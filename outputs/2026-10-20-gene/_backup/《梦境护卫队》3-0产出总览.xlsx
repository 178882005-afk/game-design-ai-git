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7945" windowHeight="12375" activeTab="6"/>
  </bookViews>
  <sheets>
    <sheet name="版本日志" sheetId="1" r:id="rId1"/>
    <sheet name="设计思路" sheetId="2" r:id="rId2"/>
    <sheet name="金币平衡" sheetId="3" r:id="rId3"/>
    <sheet name="图纸产出设计" sheetId="4" r:id="rId4"/>
    <sheet name="装备强化" sheetId="5" r:id="rId5"/>
    <sheet name="基因平衡" sheetId="6" r:id="rId6"/>
    <sheet name="产销汇总" sheetId="7" r:id="rId7"/>
    <sheet name="主线推图" sheetId="8" r:id="rId8"/>
    <sheet name="巡逻产出" sheetId="9" r:id="rId9"/>
    <sheet name="组队产出" sheetId="10" r:id="rId10"/>
    <sheet name="竞技场" sheetId="11" r:id="rId11"/>
    <sheet name="任务" sheetId="12" r:id="rId12"/>
    <sheet name="公会" sheetId="13" r:id="rId13"/>
    <sheet name="协力宝箱" sheetId="14" r:id="rId14"/>
    <sheet name="金币本" sheetId="15" r:id="rId15"/>
    <sheet name="主线宝箱" sheetId="19" r:id="rId16"/>
    <sheet name="组队配置" sheetId="18" r:id="rId17"/>
    <sheet name="组队配置50" sheetId="28" r:id="rId18"/>
    <sheet name="其他产出" sheetId="27" r:id="rId19"/>
    <sheet name="运营活动" sheetId="25" r:id="rId20"/>
    <sheet name="商店" sheetId="16" r:id="rId21"/>
    <sheet name="价值表" sheetId="17" r:id="rId22"/>
    <sheet name="装备线产销核算" sheetId="20" state="hidden" r:id="rId23"/>
    <sheet name="金币产出" sheetId="22" state="hidden" r:id="rId25"/>
    <sheet name="金币消耗" sheetId="23" state="hidden" r:id="rId26"/>
  </sheets>
  <definedNames>
    <definedName name="_xlnm._FilterDatabase" localSheetId="20" hidden="1">商店!$B$9:$S$129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<sst xmlns="http://schemas.openxmlformats.org/spreadsheetml/2006/main" count="6067" uniqueCount="779">
  <si>
    <t>版本号</t>
  </si>
  <si>
    <t xml:space="preserve">  修改内容</t>
  </si>
  <si>
    <t>负责人</t>
  </si>
  <si>
    <t>日期</t>
  </si>
  <si>
    <t>创建文档</t>
  </si>
  <si>
    <t>刁子文</t>
  </si>
  <si>
    <t>商业化数值</t>
  </si>
  <si>
    <t>说明</t>
  </si>
  <si>
    <t>设计思路</t>
  </si>
  <si>
    <t>金币调整</t>
  </si>
  <si>
    <r>
      <rPr>
        <sz val="10"/>
        <color rgb="FF267EF0"/>
        <rFont val="宋体"/>
        <charset val="134"/>
      </rPr>
      <t>'金币平衡'!A2:N24</t>
    </r>
  </si>
  <si>
    <t>基因调整</t>
  </si>
  <si>
    <r>
      <rPr>
        <sz val="10"/>
        <color rgb="FF267EF0"/>
        <rFont val="宋体"/>
        <charset val="134"/>
      </rPr>
      <t>'基因平衡'!A2:I13</t>
    </r>
  </si>
  <si>
    <t>本页结束</t>
  </si>
  <si>
    <t>生命周期</t>
  </si>
  <si>
    <t>总坑深</t>
  </si>
  <si>
    <t>产出途径</t>
  </si>
  <si>
    <t>产出价值</t>
  </si>
  <si>
    <t>产出频率</t>
  </si>
  <si>
    <t>产出比例</t>
  </si>
  <si>
    <t>长周期提升幅度</t>
  </si>
  <si>
    <t>天数</t>
  </si>
  <si>
    <t>预期天数</t>
  </si>
  <si>
    <t>装备分解</t>
  </si>
  <si>
    <t>每日</t>
  </si>
  <si>
    <t>#回调</t>
  </si>
  <si>
    <t>平衡装备</t>
  </si>
  <si>
    <t>金币本扫荡</t>
  </si>
  <si>
    <t>#卖一次</t>
  </si>
  <si>
    <t>装备+基因</t>
  </si>
  <si>
    <t>金币本首通</t>
  </si>
  <si>
    <t>一次性产出</t>
  </si>
  <si>
    <t>装备基因+商店</t>
  </si>
  <si>
    <t>抽卡</t>
  </si>
  <si>
    <t>#抬一些</t>
  </si>
  <si>
    <t>挂机</t>
  </si>
  <si>
    <t>#翻倍</t>
  </si>
  <si>
    <t>主线</t>
  </si>
  <si>
    <t>体力扫荡</t>
  </si>
  <si>
    <t>组队本</t>
  </si>
  <si>
    <t>主线战斗</t>
  </si>
  <si>
    <t>#放大为2.5</t>
  </si>
  <si>
    <t>每日活跃</t>
  </si>
  <si>
    <t>基因协助</t>
  </si>
  <si>
    <t>组队首通</t>
  </si>
  <si>
    <t>商城领取</t>
  </si>
  <si>
    <t>基金</t>
  </si>
  <si>
    <t>协力宝箱</t>
  </si>
  <si>
    <t>任务</t>
  </si>
  <si>
    <t>修正参数</t>
  </si>
  <si>
    <t>循环产出</t>
  </si>
  <si>
    <t>折损率</t>
  </si>
  <si>
    <t>关卡预期</t>
  </si>
  <si>
    <t>总产出</t>
  </si>
  <si>
    <t>金币产出</t>
  </si>
  <si>
    <t>金币需求</t>
  </si>
  <si>
    <t>装备消耗</t>
  </si>
  <si>
    <t>基因消耗</t>
  </si>
  <si>
    <t>商店消耗</t>
  </si>
  <si>
    <t>金币亏损</t>
  </si>
  <si>
    <t>预留</t>
  </si>
  <si>
    <t>战力换算</t>
  </si>
  <si>
    <t>公会</t>
  </si>
  <si>
    <t>商城购买</t>
  </si>
  <si>
    <t>竞技场+公会商店</t>
  </si>
  <si>
    <t>竞技场</t>
  </si>
  <si>
    <t>主线宝箱</t>
  </si>
  <si>
    <t>个推礼包</t>
  </si>
  <si>
    <t>战令</t>
  </si>
  <si>
    <t>好朋友宝箱</t>
  </si>
  <si>
    <t>星铸之旅</t>
  </si>
  <si>
    <t>周签到战令</t>
  </si>
  <si>
    <t>主线任务</t>
  </si>
  <si>
    <t>如果挂机砍一半</t>
  </si>
  <si>
    <t>体力消耗</t>
  </si>
  <si>
    <t>个推礼包id</t>
  </si>
  <si>
    <t>图纸</t>
  </si>
  <si>
    <t>关卡</t>
  </si>
  <si>
    <t>释放周期</t>
  </si>
  <si>
    <t>#优化，此处把金币对标材料的消耗曲线，保证金币：材料=4：1，多余的金币放到首通奖励里</t>
  </si>
  <si>
    <t>配置属性</t>
  </si>
  <si>
    <t>#每100价值买一点攻击力</t>
  </si>
  <si>
    <t>升级消耗</t>
  </si>
  <si>
    <t>装备等级</t>
  </si>
  <si>
    <t>节点属性</t>
  </si>
  <si>
    <t>修正</t>
  </si>
  <si>
    <t>配置成长</t>
  </si>
  <si>
    <t>生命</t>
  </si>
  <si>
    <t>攻击</t>
  </si>
  <si>
    <t>成长幅度</t>
  </si>
  <si>
    <t>消耗价值</t>
  </si>
  <si>
    <t>性价比</t>
  </si>
  <si>
    <t>属性性价比</t>
  </si>
  <si>
    <t>预期时间</t>
  </si>
  <si>
    <t>期望消耗</t>
  </si>
  <si>
    <t>校验</t>
  </si>
  <si>
    <t>金币</t>
  </si>
  <si>
    <t>消耗合计</t>
  </si>
  <si>
    <t>金币合计</t>
  </si>
  <si>
    <t>金币材料比</t>
  </si>
  <si>
    <t>修正后</t>
  </si>
  <si>
    <t>#提高150%</t>
  </si>
  <si>
    <t>#新增</t>
  </si>
  <si>
    <t>每日任务</t>
  </si>
  <si>
    <t>总和</t>
  </si>
  <si>
    <t>协助时长</t>
  </si>
  <si>
    <t>中R</t>
  </si>
  <si>
    <t>日常产出</t>
  </si>
  <si>
    <t>基因等级</t>
  </si>
  <si>
    <t>基因罐</t>
  </si>
  <si>
    <t>时间/s</t>
  </si>
  <si>
    <t>修正系数</t>
  </si>
  <si>
    <t>配置值</t>
  </si>
  <si>
    <t>冗余率</t>
  </si>
  <si>
    <t>协助加速</t>
  </si>
  <si>
    <t>解锁天数</t>
  </si>
  <si>
    <t>主线产出</t>
  </si>
  <si>
    <t>每日产出</t>
  </si>
  <si>
    <t>/</t>
  </si>
  <si>
    <t>非R</t>
  </si>
  <si>
    <t>小R</t>
  </si>
  <si>
    <t>大R</t>
  </si>
  <si>
    <t>竞技场排行</t>
  </si>
  <si>
    <t>主线进度</t>
  </si>
  <si>
    <t>价值产出</t>
  </si>
  <si>
    <t>活动总抽</t>
  </si>
  <si>
    <t>总览</t>
  </si>
  <si>
    <t>关卡进度</t>
  </si>
  <si>
    <t>能量特饮</t>
  </si>
  <si>
    <t>装备强化书</t>
  </si>
  <si>
    <t>梦境招募券</t>
  </si>
  <si>
    <t>织梦微尘</t>
  </si>
  <si>
    <t>符引结晶</t>
  </si>
  <si>
    <t>普通符文</t>
  </si>
  <si>
    <t>符文宝箱</t>
  </si>
  <si>
    <t>体力价值</t>
  </si>
  <si>
    <t>体力售价</t>
  </si>
  <si>
    <t>首通金币</t>
  </si>
  <si>
    <t>{progress_rate,2,600}</t>
  </si>
  <si>
    <t>{progress_rate,2,80}</t>
  </si>
  <si>
    <t>{progress,0,2,200}</t>
  </si>
  <si>
    <t>道具权重</t>
  </si>
  <si>
    <t>2白</t>
  </si>
  <si>
    <t>道具价值</t>
  </si>
  <si>
    <t>3白1绿</t>
  </si>
  <si>
    <t>道具索引</t>
  </si>
  <si>
    <t>道具名</t>
  </si>
  <si>
    <t>装备强化</t>
  </si>
  <si>
    <t>梦境招募令</t>
  </si>
  <si>
    <t>灵感钥匙</t>
  </si>
  <si>
    <t>普通灵感</t>
  </si>
  <si>
    <t>优良灵感</t>
  </si>
  <si>
    <t>稀有灵感</t>
  </si>
  <si>
    <t>史诗灵感</t>
  </si>
  <si>
    <t>传说灵感</t>
  </si>
  <si>
    <t>4白2绿</t>
  </si>
  <si>
    <t>展示</t>
  </si>
  <si>
    <t>道具1</t>
  </si>
  <si>
    <t>道具2</t>
  </si>
  <si>
    <t>道具3</t>
  </si>
  <si>
    <t>道具4</t>
  </si>
  <si>
    <t>道具5</t>
  </si>
  <si>
    <t>道具6</t>
  </si>
  <si>
    <t>道具7</t>
  </si>
  <si>
    <t>道具8</t>
  </si>
  <si>
    <t>道具9</t>
  </si>
  <si>
    <t>道具10</t>
  </si>
  <si>
    <t>道具11</t>
  </si>
  <si>
    <t>道具12</t>
  </si>
  <si>
    <t>道具13</t>
  </si>
  <si>
    <t>列1</t>
  </si>
  <si>
    <t>生成配置</t>
  </si>
  <si>
    <t>最终配置</t>
  </si>
  <si>
    <t>首通奖励</t>
  </si>
  <si>
    <t>3白3绿</t>
  </si>
  <si>
    <t>{progress_rate,11,1}</t>
  </si>
  <si>
    <t>{progress_rate,50015,1}</t>
  </si>
  <si>
    <t>{progress_rate,50016,1}</t>
  </si>
  <si>
    <t>{progress_rate,11,10}</t>
  </si>
  <si>
    <t>{progress_rate,50017,1}</t>
  </si>
  <si>
    <t>{progress_rate,50018,1}</t>
  </si>
  <si>
    <t>{progress_rate,50019,1}</t>
  </si>
  <si>
    <t>{progress_rate,50020,1}</t>
  </si>
  <si>
    <t>{progress_rate,5303001,10}</t>
  </si>
  <si>
    <t>{progress_rate,5401001,1}</t>
  </si>
  <si>
    <t>{progress_rate,5401002,1}</t>
  </si>
  <si>
    <t>{progress_rate,50027,1}</t>
  </si>
  <si>
    <t>{progress_rate,5401003,1}</t>
  </si>
  <si>
    <t>{progress_rate,50028,1}</t>
  </si>
  <si>
    <t>{progress_rate,5401004,1}</t>
  </si>
  <si>
    <t>{progress_rate,5401005,1}</t>
  </si>
  <si>
    <t>{progress_rate,5203001,30}</t>
  </si>
  <si>
    <t>{progress_rate,5401006,1}</t>
  </si>
  <si>
    <t>{progress_rate,50029,1}</t>
  </si>
  <si>
    <t>{progress_rate,5401007,1}</t>
  </si>
  <si>
    <t>{progress_rate,5401008,1}</t>
  </si>
  <si>
    <t>{progress_rate,50030,1}</t>
  </si>
  <si>
    <t>{progress_rate,5401009,1}</t>
  </si>
  <si>
    <t>{progress_rate,50031,1}</t>
  </si>
  <si>
    <t>{progress_rate,50032,1}</t>
  </si>
  <si>
    <t>扫荡</t>
  </si>
  <si>
    <t>关卡数</t>
  </si>
  <si>
    <t>钻石</t>
  </si>
  <si>
    <t>初愿摇杆</t>
  </si>
  <si>
    <t>装备掉落</t>
  </si>
  <si>
    <t>价值</t>
  </si>
  <si>
    <t>道具14</t>
  </si>
  <si>
    <t>招募券</t>
  </si>
  <si>
    <t>灵感获取令</t>
  </si>
  <si>
    <t>{1,2,750,750}</t>
  </si>
  <si>
    <t>{11,1,400,600}</t>
  </si>
  <si>
    <t>关卡节点</t>
  </si>
  <si>
    <t>队长大箱子</t>
  </si>
  <si>
    <t>队长小箱子</t>
  </si>
  <si>
    <t>加速沙漏</t>
  </si>
  <si>
    <t>波次奖励</t>
  </si>
  <si>
    <t>分解金币</t>
  </si>
  <si>
    <t>随机普通装备</t>
  </si>
  <si>
    <t>随机优秀装备</t>
  </si>
  <si>
    <t>随机稀有装备</t>
  </si>
  <si>
    <t>随机史诗装备</t>
  </si>
  <si>
    <t>随机传说装备</t>
  </si>
  <si>
    <t>随机神话装备</t>
  </si>
  <si>
    <t>随机创世装备</t>
  </si>
  <si>
    <t>随机彩虹装备</t>
  </si>
  <si>
    <t>79316}</t>
  </si>
  <si>
    <t>体力性价比</t>
  </si>
  <si>
    <t>胜利奖励</t>
  </si>
  <si>
    <t>失败奖励</t>
  </si>
  <si>
    <t>道具id</t>
  </si>
  <si>
    <t>总价值</t>
  </si>
  <si>
    <t>奖励类型</t>
  </si>
  <si>
    <t>获奖类型</t>
  </si>
  <si>
    <t>竞技场币</t>
  </si>
  <si>
    <t>每日结算</t>
  </si>
  <si>
    <t>排行</t>
  </si>
  <si>
    <t>每周结算</t>
  </si>
  <si>
    <t>星珀</t>
  </si>
  <si>
    <t>秘藏摇杆</t>
  </si>
  <si>
    <t>竞技场商店</t>
  </si>
  <si>
    <t>梦愿水晶</t>
  </si>
  <si>
    <t>梦灵经验</t>
  </si>
  <si>
    <t>加速卡</t>
  </si>
  <si>
    <t>锤子</t>
  </si>
  <si>
    <t>海拉</t>
  </si>
  <si>
    <t>预期购买</t>
  </si>
  <si>
    <t>数量</t>
  </si>
  <si>
    <t>限购次数</t>
  </si>
  <si>
    <t>活跃进度</t>
  </si>
  <si>
    <t>奖励</t>
  </si>
  <si>
    <t>幻梦晶核</t>
  </si>
  <si>
    <t>#每日任务</t>
  </si>
  <si>
    <t>活跃类总计84</t>
  </si>
  <si>
    <t>#每周任务</t>
  </si>
  <si>
    <t>战斗+活跃类总计210</t>
  </si>
  <si>
    <t>任务类型</t>
  </si>
  <si>
    <t>任务内容</t>
  </si>
  <si>
    <t>活跃度奖励</t>
  </si>
  <si>
    <t>道具奖励</t>
  </si>
  <si>
    <t>活跃类</t>
  </si>
  <si>
    <t>每日登录</t>
  </si>
  <si>
    <t>升级10次梦灵</t>
  </si>
  <si>
    <t>梦灵升级1次</t>
  </si>
  <si>
    <t>强化5次装备</t>
  </si>
  <si>
    <t>向好友赠送1次礼物</t>
  </si>
  <si>
    <t>分解100件装备</t>
  </si>
  <si>
    <t>领取2次挂机奖励</t>
  </si>
  <si>
    <t>每日商店购买15次</t>
  </si>
  <si>
    <t>领取1次音乐冥想</t>
  </si>
  <si>
    <t>消耗资源类</t>
  </si>
  <si>
    <t>招募100次梦灵</t>
  </si>
  <si>
    <t>梦境招募10次</t>
  </si>
  <si>
    <t>进行20次符文招募</t>
  </si>
  <si>
    <t>符文招募3次</t>
  </si>
  <si>
    <t>符文初愿招募30次</t>
  </si>
  <si>
    <t>战斗类</t>
  </si>
  <si>
    <t>消耗50点体力</t>
  </si>
  <si>
    <t>符文秘藏招募10次</t>
  </si>
  <si>
    <t>消耗100点体力</t>
  </si>
  <si>
    <t>领取10次体力</t>
  </si>
  <si>
    <t>消耗150点体力</t>
  </si>
  <si>
    <t>购买10次体力</t>
  </si>
  <si>
    <t>快速巡逻3次</t>
  </si>
  <si>
    <t>锻造晶石</t>
  </si>
  <si>
    <t>消耗200点体力</t>
  </si>
  <si>
    <t>挑战1次净化副本</t>
  </si>
  <si>
    <t>消耗500点体力</t>
  </si>
  <si>
    <t>挑战1次巡航副本</t>
  </si>
  <si>
    <t>击杀5000只怪物</t>
  </si>
  <si>
    <t>击杀1000只怪物</t>
  </si>
  <si>
    <t>金币本次数</t>
  </si>
  <si>
    <t>击杀10000只怪物</t>
  </si>
  <si>
    <t>合成1次符文</t>
  </si>
  <si>
    <t>完成5次梦域巡航</t>
  </si>
  <si>
    <t>装备强化2次</t>
  </si>
  <si>
    <t>参与5次每日净化</t>
  </si>
  <si>
    <t>分解1次装备</t>
  </si>
  <si>
    <t>进行5次研究</t>
  </si>
  <si>
    <t>使用特权3次</t>
  </si>
  <si>
    <t>协助他人通关3次巡航副本</t>
  </si>
  <si>
    <t>消耗100钻石</t>
  </si>
  <si>
    <t>进行1次研究</t>
  </si>
  <si>
    <t>每日商店购买2次</t>
  </si>
  <si>
    <t>购买3次体力</t>
  </si>
  <si>
    <t>任务条件</t>
  </si>
  <si>
    <t>任务汇总</t>
  </si>
  <si>
    <t>日常任务</t>
  </si>
  <si>
    <t>日常达标</t>
  </si>
  <si>
    <t>周常任务</t>
  </si>
  <si>
    <t>周常达标</t>
  </si>
  <si>
    <t>积分商店</t>
  </si>
  <si>
    <t>晶石</t>
  </si>
  <si>
    <t>咩菲特的雕像</t>
  </si>
  <si>
    <t>巡航门票</t>
  </si>
  <si>
    <t>每日产出规划</t>
  </si>
  <si>
    <t>公会贡献</t>
  </si>
  <si>
    <t>转运石</t>
  </si>
  <si>
    <t>友情值</t>
  </si>
  <si>
    <t>血瓶</t>
  </si>
  <si>
    <t>BOSS削弱</t>
  </si>
  <si>
    <t>车类型</t>
  </si>
  <si>
    <t>频次</t>
  </si>
  <si>
    <t>单次价值</t>
  </si>
  <si>
    <t>日产</t>
  </si>
  <si>
    <t>小车</t>
  </si>
  <si>
    <t>挑战奖励</t>
  </si>
  <si>
    <t>协助奖励</t>
  </si>
  <si>
    <t>宝箱</t>
  </si>
  <si>
    <t>宝箱奖励</t>
  </si>
  <si>
    <t>达成奖励</t>
  </si>
  <si>
    <t>中车</t>
  </si>
  <si>
    <t>结算奖励</t>
  </si>
  <si>
    <t>挑战/协助奖励</t>
  </si>
  <si>
    <t>大车奖励</t>
  </si>
  <si>
    <t>个人进度奖励</t>
  </si>
  <si>
    <t>公会进度奖励</t>
  </si>
  <si>
    <t>1、产出控制</t>
  </si>
  <si>
    <t>根据每周，前10抽保底一个5个抽奖券</t>
  </si>
  <si>
    <t>2、产出途径</t>
  </si>
  <si>
    <t>来源</t>
  </si>
  <si>
    <t>产出数量</t>
  </si>
  <si>
    <t>每周次数</t>
  </si>
  <si>
    <t>每周积分</t>
  </si>
  <si>
    <t>产出内容</t>
  </si>
  <si>
    <t>研究加速</t>
  </si>
  <si>
    <t>%s帮助你进行了研究加速</t>
  </si>
  <si>
    <t>你帮助%s进行研究加速</t>
  </si>
  <si>
    <t>组队副本</t>
  </si>
  <si>
    <t>%s与你一起完成副本-难度%d</t>
  </si>
  <si>
    <t>好友赠送</t>
  </si>
  <si>
    <t>%s赠送了你一份好朋友礼物</t>
  </si>
  <si>
    <t>你赠送了%s一份好朋友礼物</t>
  </si>
  <si>
    <t>%s帮你完成副本-难度%d</t>
  </si>
  <si>
    <t>概率</t>
  </si>
  <si>
    <t>道具</t>
  </si>
  <si>
    <t>能量特饮2</t>
  </si>
  <si>
    <t>星星宝箱</t>
  </si>
  <si>
    <t>品质</t>
  </si>
  <si>
    <t>数量标准</t>
  </si>
  <si>
    <t>价值标准</t>
  </si>
  <si>
    <t>稀有占比</t>
  </si>
  <si>
    <t>期望收益</t>
  </si>
  <si>
    <t>礼包价值</t>
  </si>
  <si>
    <t>白色</t>
  </si>
  <si>
    <t>蓝色</t>
  </si>
  <si>
    <t>紫色</t>
  </si>
  <si>
    <t>橙色</t>
  </si>
  <si>
    <t>1档奖励</t>
  </si>
  <si>
    <t>2档奖励</t>
  </si>
  <si>
    <t>3档填充</t>
  </si>
  <si>
    <t>金币本</t>
  </si>
  <si>
    <t>战力需求</t>
  </si>
  <si>
    <t>扫荡金币</t>
  </si>
  <si>
    <t>潜能棱晶</t>
  </si>
  <si>
    <t>宝石</t>
  </si>
  <si>
    <t>传说基因罐</t>
  </si>
  <si>
    <t>装备材料</t>
  </si>
  <si>
    <t>头盔图纸</t>
  </si>
  <si>
    <t>衣服图纸</t>
  </si>
  <si>
    <t>护臂图纸</t>
  </si>
  <si>
    <t>裤子图纸</t>
  </si>
  <si>
    <t>鞋子图纸</t>
  </si>
  <si>
    <t>手套图纸</t>
  </si>
  <si>
    <t>射手特饮</t>
  </si>
  <si>
    <t>法师特饮</t>
  </si>
  <si>
    <t>辅助特饮</t>
  </si>
  <si>
    <t>战士特饮</t>
  </si>
  <si>
    <t>毒系特饮</t>
  </si>
  <si>
    <t>控制特饮</t>
  </si>
  <si>
    <t>蓝色装备</t>
  </si>
  <si>
    <t>绿色装备</t>
  </si>
  <si>
    <t>超能特饮</t>
  </si>
  <si>
    <t>1星通关</t>
  </si>
  <si>
    <t>2星通关</t>
  </si>
  <si>
    <t>3星通关</t>
  </si>
  <si>
    <t>1星奖励</t>
  </si>
  <si>
    <t>2星奖励</t>
  </si>
  <si>
    <t>3星奖励</t>
  </si>
  <si>
    <t>{5303001,20}</t>
  </si>
  <si>
    <t>{50034,1}</t>
  </si>
  <si>
    <t>{20101,1}</t>
  </si>
  <si>
    <t>{5523001,300}</t>
  </si>
  <si>
    <t xml:space="preserve"> </t>
  </si>
  <si>
    <t>{5525002,1},{5205001,3}</t>
  </si>
  <si>
    <t>C</t>
  </si>
  <si>
    <t>B</t>
  </si>
  <si>
    <t>A</t>
  </si>
  <si>
    <t>S</t>
  </si>
  <si>
    <t>SS</t>
  </si>
  <si>
    <t>天赋石</t>
  </si>
  <si>
    <t>稀有装备</t>
  </si>
  <si>
    <t>普通装备</t>
  </si>
  <si>
    <t>符文抽</t>
  </si>
  <si>
    <t>高级符文抽</t>
  </si>
  <si>
    <t>道具数量</t>
  </si>
  <si>
    <t>{progress_rate_roll,0,0,21300,1}</t>
  </si>
  <si>
    <t>副本产出</t>
  </si>
  <si>
    <t>队长</t>
  </si>
  <si>
    <t>C级奖励</t>
  </si>
  <si>
    <t>B级奖励</t>
  </si>
  <si>
    <t>A级奖励</t>
  </si>
  <si>
    <t>S级奖励</t>
  </si>
  <si>
    <t>SS级奖励</t>
  </si>
  <si>
    <t>{progress,0,21300,1}</t>
  </si>
  <si>
    <t>队员</t>
  </si>
  <si>
    <t>{progress,0,21315,2}</t>
  </si>
  <si>
    <t>{10000,[{1,[{21315,1}]},{2,[{21316,1}]},{3,[{21317,1}]},{4,[{21318,1}]},{5,[{21319,1}]},{6,[{21320,1}]},{7,[{21321,1}]},{8,[{21322,1}]},{9,[{21323,1}]},{10,[{21324,1}]},{11,[{21325,1}]},{12,[{21326,1}]},{13,[{21327,1}]},{14,[{21328,1}]},{15,[{21329,1}]}]}</t>
  </si>
  <si>
    <t>{5000,[{1,[{21300,1}]},{2,[{21301,1}]},{3,[{21302,1}]},{4,[{21303,1}]},{5,[{21304,1}]},{6,[{21305,1}]},{7,[{21306,1}]},{8,[{21307,1}]},{9,[{21308,1}]},{10,[{21309,1}]},{11,[{21310,1}]},{12,[{21311,1}]},{13,[{21312,1}]},{14,[{21313,1}]},{15,[{21314,1}]}]}</t>
  </si>
  <si>
    <t>{10000,[{1,[{21300,1}]},{2,[{21301,1}]},{3,[{21302,1}]},{4,[{21303,1}]},{5,[{21304,1}]},{6,[{21305,1}]},{7,[{21306,1}]},{8,[{21307,1}]},{9,[{21308,1}]},{10,[{21309,1}]},{11,[{21310,1}]},{12,[{21311,1}]},{13,[{21312,1}]},{14,[{21313,1}]},{15,[{21314,1}]}]}</t>
  </si>
  <si>
    <t>商城</t>
  </si>
  <si>
    <t>抽奖券</t>
  </si>
  <si>
    <t>洗练</t>
  </si>
  <si>
    <t>红色</t>
  </si>
  <si>
    <t>运营活动释放</t>
  </si>
  <si>
    <t>体力</t>
  </si>
  <si>
    <t>签到</t>
  </si>
  <si>
    <t>关卡条件</t>
  </si>
  <si>
    <t>免费奖励</t>
  </si>
  <si>
    <t>传说符文</t>
  </si>
  <si>
    <t>第1天目标</t>
  </si>
  <si>
    <t>第2天目标</t>
  </si>
  <si>
    <t>第3天目标</t>
  </si>
  <si>
    <t>第4天目标</t>
  </si>
  <si>
    <t>第5天目标</t>
  </si>
  <si>
    <t>第6天目标</t>
  </si>
  <si>
    <t>第7天目标</t>
  </si>
  <si>
    <t>id</t>
  </si>
  <si>
    <t>物品</t>
  </si>
  <si>
    <t>随机库</t>
  </si>
  <si>
    <t>可购买次数</t>
  </si>
  <si>
    <t>随机权重</t>
  </si>
  <si>
    <t>购买消耗</t>
  </si>
  <si>
    <t>支付表id</t>
  </si>
  <si>
    <t>要求</t>
  </si>
  <si>
    <t>原价</t>
  </si>
  <si>
    <t>商店备注</t>
  </si>
  <si>
    <t>[{11,5}]</t>
  </si>
  <si>
    <t>[{2,6000}]</t>
  </si>
  <si>
    <t>[{server_open_day,1},{server_open_day_before,2}]</t>
  </si>
  <si>
    <t>[]</t>
  </si>
  <si>
    <t>梦幻摇杆*5</t>
  </si>
  <si>
    <t>[{11,10}]</t>
  </si>
  <si>
    <t>[{2,12000}]</t>
  </si>
  <si>
    <t>梦幻摇杆*10</t>
  </si>
  <si>
    <t>[{11,20}]</t>
  </si>
  <si>
    <t>[{2,24000}]</t>
  </si>
  <si>
    <t>梦幻摇杆*20</t>
  </si>
  <si>
    <t>[{1,120}]</t>
  </si>
  <si>
    <t>[{1,240}]</t>
  </si>
  <si>
    <t>[{1,480}]</t>
  </si>
  <si>
    <t>[{server_open_day,2},{server_open_day_before,3}]</t>
  </si>
  <si>
    <t>[{server_open_day,3}]</t>
  </si>
  <si>
    <t>[{5103002,50}]</t>
  </si>
  <si>
    <t>[{2,2000}]</t>
  </si>
  <si>
    <t>职业经验*50</t>
  </si>
  <si>
    <t>[{5103002,100}]</t>
  </si>
  <si>
    <t>[{2,4000}]</t>
  </si>
  <si>
    <t>职业经验*100</t>
  </si>
  <si>
    <t>[{server_open_day,2}]</t>
  </si>
  <si>
    <t>[{5103002,200}]</t>
  </si>
  <si>
    <t>[{2,8000}]</t>
  </si>
  <si>
    <t>职业经验*200</t>
  </si>
  <si>
    <t>[{1,50}]</t>
  </si>
  <si>
    <t>[{1,100}]</t>
  </si>
  <si>
    <t>[{1,200}]</t>
  </si>
  <si>
    <t>[{50003,10}]</t>
  </si>
  <si>
    <t>[{2,1000}]</t>
  </si>
  <si>
    <t>头盔图纸*10</t>
  </si>
  <si>
    <t>[{50003,20}]</t>
  </si>
  <si>
    <t>头盔图纸*20</t>
  </si>
  <si>
    <t>[{50003,40}]</t>
  </si>
  <si>
    <t>头盔图纸*40</t>
  </si>
  <si>
    <t>[{1,40}]</t>
  </si>
  <si>
    <t>[{1,80}]</t>
  </si>
  <si>
    <t>[{1,160}]</t>
  </si>
  <si>
    <t>[{50004,10}]</t>
  </si>
  <si>
    <t>衣服图纸*10</t>
  </si>
  <si>
    <t>[{50004,20}]</t>
  </si>
  <si>
    <t>衣服图纸*20</t>
  </si>
  <si>
    <t>[{50004,40}]</t>
  </si>
  <si>
    <t>衣服图纸*40</t>
  </si>
  <si>
    <t>[{50005,10}]</t>
  </si>
  <si>
    <t>护臂图纸*10</t>
  </si>
  <si>
    <t>[{50005,20}]</t>
  </si>
  <si>
    <t>护臂图纸*20</t>
  </si>
  <si>
    <t>[{50005,40}]</t>
  </si>
  <si>
    <t>护臂图纸*40</t>
  </si>
  <si>
    <t>[{50006,10}]</t>
  </si>
  <si>
    <t>裤子图纸*10</t>
  </si>
  <si>
    <t>[{50006,20}]</t>
  </si>
  <si>
    <t>裤子图纸*20</t>
  </si>
  <si>
    <t>[{50006,40}]</t>
  </si>
  <si>
    <t>裤子图纸*40</t>
  </si>
  <si>
    <t>[{50007,10}]</t>
  </si>
  <si>
    <t>鞋子图纸*10</t>
  </si>
  <si>
    <t>[{50007,20}]</t>
  </si>
  <si>
    <t>鞋子图纸*20</t>
  </si>
  <si>
    <t>[{50007,40}]</t>
  </si>
  <si>
    <t>鞋子图纸*40</t>
  </si>
  <si>
    <t>[{50008,10}]</t>
  </si>
  <si>
    <t>手套图纸*10</t>
  </si>
  <si>
    <t>[{50008,20}]</t>
  </si>
  <si>
    <t>手套图纸*20</t>
  </si>
  <si>
    <t>[{50008,40}]</t>
  </si>
  <si>
    <t>手套图纸*40</t>
  </si>
  <si>
    <t>[{9,1}]</t>
  </si>
  <si>
    <t>[{server_open_day,1},{server_open_day_before,3}]</t>
  </si>
  <si>
    <t>[{30,1}]</t>
  </si>
  <si>
    <t>[{1,224}]</t>
  </si>
  <si>
    <t>[{2,11200}]</t>
  </si>
  <si>
    <t>[{5305001,1}]</t>
  </si>
  <si>
    <t>[{1,48}]</t>
  </si>
  <si>
    <t>洗练石</t>
  </si>
  <si>
    <t>[{13101001,3}]</t>
  </si>
  <si>
    <t>[{2,600}]</t>
  </si>
  <si>
    <t>寒冰射手*1</t>
  </si>
  <si>
    <t>稀有梦灵碎片</t>
  </si>
  <si>
    <t>[{12104001,3}]</t>
  </si>
  <si>
    <t>炽焰巫师*1</t>
  </si>
  <si>
    <t>[{12301001,3}]</t>
  </si>
  <si>
    <t>吟游诗人*1</t>
  </si>
  <si>
    <t>[{14202001,2}]</t>
  </si>
  <si>
    <t>[{2,640}]</t>
  </si>
  <si>
    <t>摇滚巨石*1</t>
  </si>
  <si>
    <t>史诗梦灵碎片</t>
  </si>
  <si>
    <t>[{13201001,2}]</t>
  </si>
  <si>
    <t>果冻少女*1</t>
  </si>
  <si>
    <t>[{12106001,2}]</t>
  </si>
  <si>
    <t>[{server_open_day,1},{server_open_day_before,2},{unit,1210600,1}]</t>
  </si>
  <si>
    <t>忍者鲨手*1</t>
  </si>
  <si>
    <t>[{12304001,2}]</t>
  </si>
  <si>
    <t>[{server_open_day,1},{server_open_day_before,2},{unit,1230400,1}]</t>
  </si>
  <si>
    <t>甜心护士*1</t>
  </si>
  <si>
    <t>[{13103001,2}]</t>
  </si>
  <si>
    <t>[{server_open_day,1},{server_open_day_before,2},{unit,1310300,1}]</t>
  </si>
  <si>
    <t>雷震子*1</t>
  </si>
  <si>
    <t>[{11101001,2}]</t>
  </si>
  <si>
    <t>关羽*1</t>
  </si>
  <si>
    <t>[{1,18}]</t>
  </si>
  <si>
    <t>[{1,24}]</t>
  </si>
  <si>
    <t>[{13101001,5}]</t>
  </si>
  <si>
    <t>[{2,800}]</t>
  </si>
  <si>
    <t>[{12104001,5}]</t>
  </si>
  <si>
    <t>[{12301001,5}]</t>
  </si>
  <si>
    <t>[{14202001,3}]</t>
  </si>
  <si>
    <t>[{2,960}]</t>
  </si>
  <si>
    <t>[{13201001,3}]</t>
  </si>
  <si>
    <t>[{12106001,3}]</t>
  </si>
  <si>
    <t>[{12304001,3}]</t>
  </si>
  <si>
    <t>[{13103001,3}]</t>
  </si>
  <si>
    <t>[{11101001,3}]</t>
  </si>
  <si>
    <t>[{11301001,2}]</t>
  </si>
  <si>
    <t>[{2,1200}]</t>
  </si>
  <si>
    <t>[{server_open_day,3},{unit,1130100,1}]</t>
  </si>
  <si>
    <t>东方不败*1</t>
  </si>
  <si>
    <t>传说梦灵碎片</t>
  </si>
  <si>
    <t>[{15301001,2}]</t>
  </si>
  <si>
    <t>[{server_open_day,3},{unit,1530100,1}]</t>
  </si>
  <si>
    <t>镭射眼*1</t>
  </si>
  <si>
    <t>[{12103001,2}]</t>
  </si>
  <si>
    <t>[{server_open_day,3},{unit,1210300,1}]</t>
  </si>
  <si>
    <t>亚瑟*1</t>
  </si>
  <si>
    <t>[{14307001,2}]</t>
  </si>
  <si>
    <t>[{server_open_day,3},{unit,1430700,1}]</t>
  </si>
  <si>
    <t>蜘蛛女王*1</t>
  </si>
  <si>
    <t>[{11401001,2}]</t>
  </si>
  <si>
    <t>[{server_open_day,3},{unit,1140100,1}]</t>
  </si>
  <si>
    <t>唐小僧*1</t>
  </si>
  <si>
    <t>[{11402001,2}]</t>
  </si>
  <si>
    <t>[{server_open_day,3},{unit,1140200,1}]</t>
  </si>
  <si>
    <t>神灯王子*1</t>
  </si>
  <si>
    <t>[{1,25}]</t>
  </si>
  <si>
    <t>寒冰射手*2</t>
  </si>
  <si>
    <t>炽焰巫师*2</t>
  </si>
  <si>
    <t>吟游诗人*2</t>
  </si>
  <si>
    <t>[{1,27}]</t>
  </si>
  <si>
    <t>摇滚巨石*2</t>
  </si>
  <si>
    <t>果冻少女*2</t>
  </si>
  <si>
    <t>忍者鲨手*2</t>
  </si>
  <si>
    <t>甜心护士*2</t>
  </si>
  <si>
    <t>雷震子*2</t>
  </si>
  <si>
    <t>关羽*2</t>
  </si>
  <si>
    <t>[{1,30}]</t>
  </si>
  <si>
    <t>东方不败*2</t>
  </si>
  <si>
    <t>镭射眼*2</t>
  </si>
  <si>
    <t>亚瑟*2</t>
  </si>
  <si>
    <t>蜘蛛女王*2</t>
  </si>
  <si>
    <t>唐小僧*2</t>
  </si>
  <si>
    <t>神灯王子*2</t>
  </si>
  <si>
    <t>主要投放途径</t>
  </si>
  <si>
    <t>序号</t>
  </si>
  <si>
    <t>道具ID</t>
  </si>
  <si>
    <t>道具名称</t>
  </si>
  <si>
    <t>类别</t>
  </si>
  <si>
    <t>钻石价值</t>
  </si>
  <si>
    <t>RMB售价</t>
  </si>
  <si>
    <t>途径1</t>
  </si>
  <si>
    <t>途径2</t>
  </si>
  <si>
    <t>标准折扣</t>
  </si>
  <si>
    <t>备注</t>
  </si>
  <si>
    <t>整体思路</t>
  </si>
  <si>
    <t>货币类</t>
  </si>
  <si>
    <t>任务/成就/主线三星</t>
  </si>
  <si>
    <t>充值</t>
  </si>
  <si>
    <t>做各阶层的能力阶梯</t>
  </si>
  <si>
    <t>日周月商店</t>
  </si>
  <si>
    <t>快捷购买</t>
  </si>
  <si>
    <t>体力产出</t>
  </si>
  <si>
    <t>装备洗练</t>
  </si>
  <si>
    <t>做非R的基础体验</t>
  </si>
  <si>
    <t>每日特惠</t>
  </si>
  <si>
    <t>排行冲刺</t>
  </si>
  <si>
    <t>做中R的付费质感（前期中R）</t>
  </si>
  <si>
    <t>战令宝箱</t>
  </si>
  <si>
    <t>秘宝类</t>
  </si>
  <si>
    <t>公会活动</t>
  </si>
  <si>
    <t>每日特惠宝箱</t>
  </si>
  <si>
    <t>织梦宝箱</t>
  </si>
  <si>
    <t>梦灵类</t>
  </si>
  <si>
    <t>筑梦快递箱</t>
  </si>
  <si>
    <t>筑梦典藏箱</t>
  </si>
  <si>
    <t>装备类</t>
  </si>
  <si>
    <t>做非R长线活跃养成</t>
  </si>
  <si>
    <t>基因类</t>
  </si>
  <si>
    <t>基因低级材料</t>
  </si>
  <si>
    <t>低级洗练石</t>
  </si>
  <si>
    <t>情绪净化/主线任务</t>
  </si>
  <si>
    <t>商店购买</t>
  </si>
  <si>
    <t>做各阶层的能力阶梯（前期质变）</t>
  </si>
  <si>
    <t>通过SS类活动做分层</t>
  </si>
  <si>
    <t>招募累计</t>
  </si>
  <si>
    <t>心愿招募</t>
  </si>
  <si>
    <t>英雄招募</t>
  </si>
  <si>
    <t>神灯</t>
  </si>
  <si>
    <t>限定招募</t>
  </si>
  <si>
    <t>做大R的付费边界（后期质变）</t>
  </si>
  <si>
    <t>稀有梦灵</t>
  </si>
  <si>
    <t>史诗梦灵</t>
  </si>
  <si>
    <t>主线装备箱</t>
  </si>
  <si>
    <t>传说梦灵</t>
  </si>
  <si>
    <t>神话梦灵</t>
  </si>
  <si>
    <t>白宝石</t>
  </si>
  <si>
    <t>彩虹梦灵</t>
  </si>
  <si>
    <t>神话梦灵碎片</t>
  </si>
  <si>
    <t>彩虹梦灵碎片</t>
  </si>
  <si>
    <t>宝石类</t>
  </si>
  <si>
    <t>宝石低抽</t>
  </si>
  <si>
    <t>高级洗练石</t>
  </si>
  <si>
    <t>做中R的付费质感</t>
  </si>
  <si>
    <t>优秀符文</t>
  </si>
  <si>
    <t>绿宝石</t>
  </si>
  <si>
    <t>抽奖道具</t>
  </si>
  <si>
    <t>运营活动</t>
  </si>
  <si>
    <t>稀有符文</t>
  </si>
  <si>
    <t>蓝宝石</t>
  </si>
  <si>
    <t>宝石高抽</t>
  </si>
  <si>
    <t>主线三星</t>
  </si>
  <si>
    <t>基因高级材料</t>
  </si>
  <si>
    <t>史诗符文</t>
  </si>
  <si>
    <t>紫宝石</t>
  </si>
  <si>
    <t>史诗梦灵皮肤</t>
  </si>
  <si>
    <t>橙宝石</t>
  </si>
  <si>
    <t>传说梦灵皮肤</t>
  </si>
  <si>
    <t>神话梦灵皮肤</t>
  </si>
  <si>
    <t>神话符文</t>
  </si>
  <si>
    <t>红宝石</t>
  </si>
  <si>
    <t>做大R的付费质感</t>
  </si>
  <si>
    <t>创世符文</t>
  </si>
  <si>
    <t>彩宝石</t>
  </si>
  <si>
    <t>做大R的付费边界</t>
  </si>
  <si>
    <t>传说武器皮肤</t>
  </si>
  <si>
    <t>神话武器皮肤</t>
  </si>
  <si>
    <t>传说时装皮肤</t>
  </si>
  <si>
    <t>做中小R的钻销体系+大R的付费隔绝</t>
  </si>
  <si>
    <t>神话时装皮肤</t>
  </si>
  <si>
    <t>传说船体皮肤</t>
  </si>
  <si>
    <t>神话船体皮肤</t>
  </si>
  <si>
    <t>装备线产出核算</t>
  </si>
  <si>
    <t>长周期循环</t>
  </si>
  <si>
    <t>金币总产</t>
  </si>
  <si>
    <t>图纸总产</t>
  </si>
  <si>
    <t>符文比例</t>
  </si>
  <si>
    <t>#巡演+体力+挂机</t>
  </si>
  <si>
    <t>首通</t>
  </si>
  <si>
    <t>礼包</t>
  </si>
  <si>
    <t>每日签到</t>
  </si>
  <si>
    <t>活动填充</t>
  </si>
  <si>
    <t>招募</t>
  </si>
  <si>
    <t>扫荡次数</t>
  </si>
  <si>
    <t>月卡倍率</t>
  </si>
  <si>
    <t>抽奖数</t>
  </si>
  <si>
    <t>组队本次数</t>
  </si>
  <si>
    <t>情绪净化</t>
  </si>
  <si>
    <t>分解金币占比</t>
  </si>
  <si>
    <t>玩家预期</t>
  </si>
  <si>
    <t>失败补偿</t>
  </si>
  <si>
    <t>装备</t>
  </si>
  <si>
    <t>门票</t>
  </si>
  <si>
    <t>符文</t>
  </si>
  <si>
    <t>沙漏</t>
  </si>
  <si>
    <t>4波</t>
  </si>
  <si>
    <t>8波</t>
  </si>
  <si>
    <t>12波</t>
  </si>
  <si>
    <t>全存活</t>
  </si>
  <si>
    <t>非门票</t>
  </si>
  <si>
    <t>稀有装备6</t>
  </si>
  <si>
    <t>普通装备5</t>
  </si>
  <si>
    <t>符文5</t>
  </si>
  <si>
    <t>沙漏4</t>
  </si>
  <si>
    <t>掉线奖励</t>
  </si>
  <si>
    <t>灵感礼包</t>
  </si>
  <si>
    <t>{5700012,1}</t>
  </si>
  <si>
    <t>{5700052,1}</t>
  </si>
  <si>
    <t>{5701042,1}</t>
  </si>
  <si>
    <t>{5701043,1}</t>
  </si>
  <si>
    <t>{5701102,1}</t>
  </si>
  <si>
    <t>{5701112,1}</t>
  </si>
  <si>
    <t>{5702012,1}</t>
  </si>
  <si>
    <t>{5702013,1}</t>
  </si>
  <si>
    <t>{5702014,1}</t>
  </si>
  <si>
    <t>{5702022,1}</t>
  </si>
  <si>
    <t>{5702023,1}</t>
  </si>
  <si>
    <t>{5702032,1}</t>
  </si>
  <si>
    <t>{5702033,1}</t>
  </si>
  <si>
    <t>{5702042,1}</t>
  </si>
  <si>
    <t>{5702072,1}</t>
  </si>
  <si>
    <t>{5702073,1}</t>
  </si>
  <si>
    <t>{5702082,1}</t>
  </si>
  <si>
    <t>{5702083,1}</t>
  </si>
  <si>
    <t>{5702092,1}</t>
  </si>
  <si>
    <t>{5702093,1}</t>
  </si>
  <si>
    <t>{5702152,1}</t>
  </si>
  <si>
    <t>{5702153,1}</t>
  </si>
  <si>
    <t>{5702162,1}</t>
  </si>
  <si>
    <t>#先按照蔚蓝给5</t>
  </si>
  <si>
    <t>#综合宝箱10%</t>
  </si>
  <si>
    <t>#情绪净化产1w</t>
  </si>
  <si>
    <t>主线关卡</t>
  </si>
  <si>
    <t>小R通关</t>
  </si>
  <si>
    <t>大R通关</t>
  </si>
  <si>
    <t>装备图纸</t>
  </si>
  <si>
    <t>白记忆球</t>
  </si>
  <si>
    <t>记忆球宝箱</t>
  </si>
  <si>
    <t>装备宝箱</t>
  </si>
  <si>
    <t>挂机金币/时</t>
  </si>
  <si>
    <t>挂机图纸/时</t>
  </si>
  <si>
    <t>总金币产出</t>
  </si>
  <si>
    <t>巡逻</t>
  </si>
  <si>
    <t>总图纸产出</t>
  </si>
  <si>
    <t>图纸产</t>
  </si>
  <si>
    <t>等级</t>
  </si>
  <si>
    <t>分解步长</t>
  </si>
  <si>
    <t>预计通关天数</t>
  </si>
  <si>
    <t>总值</t>
  </si>
  <si>
    <t>白</t>
  </si>
  <si>
    <t>绿</t>
  </si>
  <si>
    <t>蓝</t>
  </si>
  <si>
    <t>紫</t>
  </si>
  <si>
    <t>总消耗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</si>
</sst>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  <numFmt numFmtId="178" formatCode="0.000_ "/>
    <numFmt numFmtId="179" formatCode="0_);[Red]\(0\)"/>
    <numFmt numFmtId="180" formatCode="0.00_ "/>
    <numFmt numFmtId="181" formatCode="0.0%"/>
    <numFmt numFmtId="182" formatCode="0.0_);[Red]\(0.0\)"/>
    <numFmt numFmtId="183" formatCode="#,##0.00_ "/>
    <numFmt numFmtId="184" formatCode="yyyy/m/d;@"/>
  </numFmts>
  <fonts count="66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sz val="12"/>
      <name val="微软雅黑"/>
      <charset val="134"/>
    </font>
    <font>
      <b/>
      <sz val="12"/>
      <color theme="4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b/>
      <sz val="11"/>
      <color theme="9"/>
      <name val="宋体"/>
      <charset val="134"/>
      <scheme val="minor"/>
    </font>
    <font>
      <sz val="9"/>
      <color rgb="FF000000"/>
      <name val="微软雅黑"/>
      <charset val="134"/>
    </font>
    <font>
      <sz val="9"/>
      <color rgb="FF000000"/>
      <name val="å®ä½"/>
      <charset val="134"/>
    </font>
    <font>
      <sz val="10"/>
      <color theme="1"/>
      <name val="宋体"/>
      <charset val="134"/>
      <scheme val="minor"/>
    </font>
    <font>
      <b/>
      <sz val="10"/>
      <name val="微软雅黑"/>
      <charset val="134"/>
    </font>
    <font>
      <b/>
      <sz val="10"/>
      <color rgb="FFFFFFFF"/>
      <name val="微软雅黑"/>
      <charset val="134"/>
    </font>
    <font>
      <sz val="11"/>
      <name val="微软雅黑"/>
      <charset val="134"/>
    </font>
    <font>
      <sz val="10"/>
      <name val="微软雅黑"/>
      <charset val="134"/>
    </font>
    <font>
      <b/>
      <sz val="10"/>
      <color rgb="FFFF0000"/>
      <name val="微软雅黑"/>
      <charset val="134"/>
    </font>
    <font>
      <sz val="11"/>
      <color rgb="FF000000"/>
      <name val="宋体"/>
      <charset val="134"/>
      <scheme val="minor"/>
    </font>
    <font>
      <b/>
      <sz val="10"/>
      <color rgb="FFFA7D00"/>
      <name val="微软雅黑"/>
      <charset val="134"/>
    </font>
    <font>
      <sz val="11"/>
      <color rgb="FF000000"/>
      <name val="宋体"/>
      <charset val="134"/>
    </font>
    <font>
      <b/>
      <sz val="11"/>
      <color theme="0"/>
      <name val="宋体"/>
      <charset val="134"/>
      <scheme val="minor"/>
    </font>
    <font>
      <sz val="10"/>
      <color rgb="FFFF0000"/>
      <name val="微软雅黑"/>
      <charset val="134"/>
    </font>
    <font>
      <b/>
      <sz val="10"/>
      <color rgb="FFFFFFFF"/>
      <name val="宋体"/>
      <charset val="134"/>
      <scheme val="minor"/>
    </font>
    <font>
      <sz val="11"/>
      <color theme="0"/>
      <name val="宋体"/>
      <charset val="134"/>
    </font>
    <font>
      <sz val="11"/>
      <color rgb="FF000000"/>
      <name val="微软雅黑"/>
      <charset val="134"/>
    </font>
    <font>
      <sz val="11"/>
      <color rgb="FFFFFFFF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微软雅黑"/>
      <charset val="134"/>
    </font>
    <font>
      <b/>
      <sz val="10"/>
      <color rgb="FFFF0000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微软雅黑"/>
      <charset val="134"/>
    </font>
    <font>
      <sz val="12"/>
      <name val="宋体"/>
      <charset val="134"/>
      <scheme val="minor"/>
    </font>
    <font>
      <sz val="11"/>
      <color theme="9"/>
      <name val="微软雅黑"/>
      <charset val="134"/>
    </font>
    <font>
      <b/>
      <sz val="11"/>
      <color theme="4"/>
      <name val="微软雅黑"/>
      <charset val="134"/>
    </font>
    <font>
      <b/>
      <sz val="10"/>
      <color rgb="FFFFFFFF"/>
      <name val="宋体"/>
      <charset val="134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b/>
      <sz val="12"/>
      <color rgb="FFFFFFFF"/>
      <name val="等线"/>
      <charset val="134"/>
    </font>
    <font>
      <sz val="12"/>
      <color rgb="FF000000"/>
      <name val="微软雅黑"/>
      <charset val="134"/>
    </font>
    <font>
      <b/>
      <sz val="12"/>
      <color rgb="FF4472C4"/>
      <name val="微软雅黑"/>
      <charset val="134"/>
    </font>
    <font>
      <sz val="12"/>
      <color rgb="FF000000"/>
      <name val="等线"/>
      <charset val="134"/>
    </font>
    <font>
      <b/>
      <sz val="12"/>
      <color rgb="FFDE3C36"/>
      <name val="宋体"/>
      <charset val="134"/>
      <scheme val="minor"/>
    </font>
    <font>
      <b/>
      <sz val="11"/>
      <color rgb="FFFF0000"/>
      <name val="微软雅黑"/>
      <charset val="134"/>
    </font>
    <font>
      <b/>
      <sz val="12"/>
      <color theme="1"/>
      <name val="微软雅黑"/>
      <charset val="134"/>
    </font>
    <font>
      <b/>
      <sz val="12"/>
      <name val="微软雅黑"/>
      <charset val="134"/>
    </font>
    <font>
      <sz val="12"/>
      <color rgb="FFFFFFFF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267EF0"/>
      <name val="宋体"/>
      <charset val="134"/>
    </font>
  </fonts>
  <fills count="5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ACD78E"/>
        <bgColor indexed="64"/>
      </patternFill>
    </fill>
    <fill>
      <patternFill patternType="solid">
        <fgColor rgb="FFFCE6D5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86"/>
        <bgColor indexed="64"/>
      </patternFill>
    </fill>
    <fill>
      <patternFill patternType="solid">
        <fgColor theme="2" tint="-0.249977"/>
        <bgColor indexed="64"/>
      </patternFill>
    </fill>
    <fill>
      <patternFill patternType="solid">
        <fgColor theme="0" tint="-0.24997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45"/>
      </top>
      <bottom style="thin">
        <color theme="4" tint="0.39994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"/>
      </bottom>
      <diagonal/>
    </border>
    <border>
      <left style="thin">
        <color rgb="FF000000"/>
      </left>
      <right/>
      <top/>
      <bottom/>
      <diagonal/>
    </border>
    <border>
      <left style="thin">
        <color rgb="FFEE822F"/>
      </left>
      <right/>
      <top style="thin">
        <color rgb="FFEE822F"/>
      </top>
      <bottom style="thin">
        <color rgb="FFEE822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4472C4"/>
      </left>
      <right/>
      <top style="thin">
        <color rgb="FF8FAADC"/>
      </top>
      <bottom style="thin">
        <color rgb="FF8FAAD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8FAADC"/>
      </top>
      <bottom style="thin">
        <color rgb="FF8FAADC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32" borderId="29" applyNumberFormat="0" applyFon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30" applyNumberFormat="0" applyFill="0" applyAlignment="0" applyProtection="0">
      <alignment vertical="center"/>
    </xf>
    <xf numFmtId="0" fontId="52" fillId="0" borderId="30" applyNumberFormat="0" applyFill="0" applyAlignment="0" applyProtection="0">
      <alignment vertical="center"/>
    </xf>
    <xf numFmtId="0" fontId="53" fillId="0" borderId="31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33" borderId="32" applyNumberFormat="0" applyAlignment="0" applyProtection="0">
      <alignment vertical="center"/>
    </xf>
    <xf numFmtId="0" fontId="55" fillId="34" borderId="33" applyNumberFormat="0" applyAlignment="0" applyProtection="0">
      <alignment vertical="center"/>
    </xf>
    <xf numFmtId="0" fontId="56" fillId="34" borderId="32" applyNumberFormat="0" applyAlignment="0" applyProtection="0">
      <alignment vertical="center"/>
    </xf>
    <xf numFmtId="0" fontId="57" fillId="35" borderId="34" applyNumberFormat="0" applyAlignment="0" applyProtection="0">
      <alignment vertical="center"/>
    </xf>
    <xf numFmtId="0" fontId="58" fillId="0" borderId="35" applyNumberFormat="0" applyFill="0" applyAlignment="0" applyProtection="0">
      <alignment vertical="center"/>
    </xf>
    <xf numFmtId="0" fontId="59" fillId="0" borderId="36" applyNumberFormat="0" applyFill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39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64" fillId="10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8" borderId="0" applyNumberFormat="0" applyBorder="0" applyAlignment="0" applyProtection="0">
      <alignment vertical="center"/>
    </xf>
    <xf numFmtId="0" fontId="63" fillId="49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3" fillId="52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4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</cellStyleXfs>
  <cellXfs count="23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3" applyNumberFormat="1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9" fontId="2" fillId="0" borderId="2" xfId="3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3" borderId="0" xfId="0" applyFill="1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9" fontId="0" fillId="0" borderId="0" xfId="3" applyFont="1" applyFill="1" applyAlignment="1">
      <alignment horizontal="center" vertical="center"/>
    </xf>
    <xf numFmtId="0" fontId="4" fillId="0" borderId="0" xfId="0" applyFont="1">
      <alignment vertical="center"/>
    </xf>
    <xf numFmtId="0" fontId="11" fillId="4" borderId="4" xfId="0" applyFont="1" applyFill="1" applyBorder="1" applyAlignment="1">
      <alignment horizontal="center" vertical="center"/>
    </xf>
    <xf numFmtId="0" fontId="12" fillId="6" borderId="0" xfId="0" applyFont="1" applyFill="1">
      <alignment vertical="center"/>
    </xf>
    <xf numFmtId="0" fontId="11" fillId="4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15" fillId="0" borderId="0" xfId="0" applyFont="1">
      <alignment vertical="center"/>
    </xf>
    <xf numFmtId="0" fontId="16" fillId="7" borderId="5" xfId="0" applyFont="1" applyFill="1" applyBorder="1" applyAlignment="1">
      <alignment horizontal="center" vertical="center"/>
    </xf>
    <xf numFmtId="49" fontId="16" fillId="7" borderId="5" xfId="0" applyNumberFormat="1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NumberFormat="1" applyFont="1" applyFill="1" applyBorder="1" applyAlignment="1" applyProtection="1">
      <alignment horizontal="center"/>
    </xf>
    <xf numFmtId="0" fontId="0" fillId="0" borderId="0" xfId="0" applyNumberFormat="1">
      <alignment vertical="center"/>
    </xf>
    <xf numFmtId="0" fontId="15" fillId="0" borderId="0" xfId="0" applyFont="1" applyAlignment="1">
      <alignment horizontal="center" vertical="center"/>
    </xf>
    <xf numFmtId="0" fontId="18" fillId="8" borderId="7" xfId="0" applyFont="1" applyFill="1" applyBorder="1">
      <alignment vertical="center"/>
    </xf>
    <xf numFmtId="0" fontId="18" fillId="8" borderId="7" xfId="0" applyFont="1" applyFill="1" applyBorder="1" applyAlignment="1">
      <alignment horizontal="center" vertical="center"/>
    </xf>
    <xf numFmtId="0" fontId="18" fillId="8" borderId="6" xfId="0" applyNumberFormat="1" applyFont="1" applyFill="1" applyBorder="1">
      <alignment vertical="center"/>
    </xf>
    <xf numFmtId="0" fontId="0" fillId="3" borderId="0" xfId="0" applyNumberFormat="1" applyFill="1" applyBorder="1" applyAlignment="1">
      <alignment vertical="center"/>
    </xf>
    <xf numFmtId="0" fontId="0" fillId="9" borderId="0" xfId="0" applyNumberFormat="1" applyFill="1" applyBorder="1" applyAlignment="1">
      <alignment vertical="center"/>
    </xf>
    <xf numFmtId="0" fontId="0" fillId="10" borderId="0" xfId="0" applyNumberFormat="1" applyFill="1" applyBorder="1" applyAlignment="1">
      <alignment vertical="center"/>
    </xf>
    <xf numFmtId="0" fontId="0" fillId="11" borderId="0" xfId="0" applyNumberFormat="1" applyFill="1" applyBorder="1" applyAlignment="1">
      <alignment vertical="center"/>
    </xf>
    <xf numFmtId="0" fontId="0" fillId="10" borderId="0" xfId="0" applyNumberFormat="1" applyFill="1" applyAlignment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9" fontId="0" fillId="3" borderId="0" xfId="0" applyNumberFormat="1" applyFill="1">
      <alignment vertical="center"/>
    </xf>
    <xf numFmtId="9" fontId="0" fillId="9" borderId="0" xfId="0" applyNumberFormat="1" applyFill="1">
      <alignment vertical="center"/>
    </xf>
    <xf numFmtId="9" fontId="0" fillId="10" borderId="0" xfId="0" applyNumberFormat="1" applyFill="1">
      <alignment vertical="center"/>
    </xf>
    <xf numFmtId="9" fontId="0" fillId="11" borderId="0" xfId="0" applyNumberFormat="1" applyFill="1">
      <alignment vertical="center"/>
    </xf>
    <xf numFmtId="0" fontId="7" fillId="0" borderId="0" xfId="0" applyFont="1" applyAlignment="1">
      <alignment horizontal="left" vertical="center"/>
    </xf>
    <xf numFmtId="0" fontId="0" fillId="3" borderId="0" xfId="0" applyNumberForma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13" borderId="9" xfId="0" applyFont="1" applyFill="1" applyBorder="1" applyAlignment="1">
      <alignment horizontal="center" vertical="center"/>
    </xf>
    <xf numFmtId="0" fontId="22" fillId="13" borderId="10" xfId="0" applyFont="1" applyFill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9" fontId="22" fillId="0" borderId="0" xfId="0" applyNumberFormat="1" applyFont="1" applyAlignment="1">
      <alignment horizontal="left" vertical="center"/>
    </xf>
    <xf numFmtId="10" fontId="22" fillId="0" borderId="0" xfId="0" applyNumberFormat="1" applyFont="1" applyAlignment="1">
      <alignment horizontal="center" vertical="center"/>
    </xf>
    <xf numFmtId="0" fontId="7" fillId="3" borderId="0" xfId="0" applyFont="1" applyFill="1" applyAlignment="1">
      <alignment horizontal="center"/>
    </xf>
    <xf numFmtId="178" fontId="0" fillId="0" borderId="0" xfId="0" applyNumberForma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14" borderId="0" xfId="0" applyFont="1" applyFill="1" applyAlignment="1">
      <alignment horizontal="center" vertical="center"/>
    </xf>
    <xf numFmtId="0" fontId="22" fillId="15" borderId="0" xfId="0" applyFont="1" applyFill="1" applyAlignment="1">
      <alignment horizontal="center" vertical="center"/>
    </xf>
    <xf numFmtId="179" fontId="22" fillId="14" borderId="0" xfId="0" applyNumberFormat="1" applyFont="1" applyFill="1" applyAlignment="1">
      <alignment horizontal="center" vertical="center"/>
    </xf>
    <xf numFmtId="0" fontId="24" fillId="16" borderId="1" xfId="0" applyFont="1" applyFill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2" fillId="16" borderId="1" xfId="0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center" vertical="center"/>
    </xf>
    <xf numFmtId="0" fontId="22" fillId="17" borderId="1" xfId="0" applyFont="1" applyFill="1" applyBorder="1" applyAlignment="1">
      <alignment horizontal="center" vertical="center"/>
    </xf>
    <xf numFmtId="0" fontId="0" fillId="0" borderId="6" xfId="0" applyFont="1" applyBorder="1">
      <alignment vertical="center"/>
    </xf>
    <xf numFmtId="0" fontId="0" fillId="0" borderId="7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25" fillId="0" borderId="6" xfId="0" applyNumberFormat="1" applyFont="1" applyBorder="1" applyAlignment="1">
      <alignment horizontal="center" vertical="center"/>
    </xf>
    <xf numFmtId="0" fontId="0" fillId="0" borderId="6" xfId="0" applyNumberFormat="1" applyFon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0" fontId="9" fillId="18" borderId="8" xfId="0" applyFont="1" applyFill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9" fillId="19" borderId="8" xfId="0" applyFont="1" applyFill="1" applyBorder="1" applyAlignment="1">
      <alignment horizontal="center" vertical="center"/>
    </xf>
    <xf numFmtId="0" fontId="27" fillId="19" borderId="8" xfId="0" applyFont="1" applyFill="1" applyBorder="1" applyAlignment="1">
      <alignment horizontal="center" vertical="center"/>
    </xf>
    <xf numFmtId="0" fontId="9" fillId="20" borderId="8" xfId="0" applyFont="1" applyFill="1" applyBorder="1" applyAlignment="1">
      <alignment horizontal="center" vertical="center"/>
    </xf>
    <xf numFmtId="0" fontId="9" fillId="21" borderId="8" xfId="0" applyFont="1" applyFill="1" applyBorder="1" applyAlignment="1">
      <alignment horizontal="center" vertical="center"/>
    </xf>
    <xf numFmtId="0" fontId="27" fillId="21" borderId="8" xfId="0" applyFont="1" applyFill="1" applyBorder="1" applyAlignment="1">
      <alignment horizontal="center" vertical="center"/>
    </xf>
    <xf numFmtId="0" fontId="25" fillId="17" borderId="13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17" borderId="14" xfId="0" applyFont="1" applyFill="1" applyBorder="1" applyAlignment="1">
      <alignment horizontal="center" vertical="center"/>
    </xf>
    <xf numFmtId="0" fontId="12" fillId="17" borderId="13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180" fontId="12" fillId="0" borderId="0" xfId="0" applyNumberFormat="1" applyFont="1" applyAlignment="1">
      <alignment horizontal="center" vertical="center"/>
    </xf>
    <xf numFmtId="0" fontId="12" fillId="0" borderId="0" xfId="0" applyNumberFormat="1" applyFont="1" applyAlignment="1">
      <alignment horizontal="center" vertical="center"/>
    </xf>
    <xf numFmtId="0" fontId="25" fillId="0" borderId="0" xfId="0" applyNumberFormat="1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9" fontId="0" fillId="0" borderId="0" xfId="3" applyAlignment="1">
      <alignment horizontal="center" vertical="center"/>
    </xf>
    <xf numFmtId="9" fontId="0" fillId="0" borderId="0" xfId="3">
      <alignment vertical="center"/>
    </xf>
    <xf numFmtId="0" fontId="29" fillId="4" borderId="3" xfId="0" applyFont="1" applyFill="1" applyBorder="1" applyAlignment="1">
      <alignment horizontal="center" vertical="center"/>
    </xf>
    <xf numFmtId="176" fontId="30" fillId="0" borderId="1" xfId="0" applyNumberFormat="1" applyFont="1" applyBorder="1" applyAlignment="1">
      <alignment horizontal="center" vertical="center"/>
    </xf>
    <xf numFmtId="0" fontId="25" fillId="0" borderId="0" xfId="0" applyNumberFormat="1" applyFont="1" applyFill="1" applyBorder="1" applyAlignment="1">
      <alignment vertical="center"/>
    </xf>
    <xf numFmtId="0" fontId="25" fillId="0" borderId="0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9" fillId="4" borderId="3" xfId="0" applyNumberFormat="1" applyFont="1" applyFill="1" applyBorder="1" applyAlignment="1">
      <alignment horizontal="center" vertical="center"/>
    </xf>
    <xf numFmtId="0" fontId="29" fillId="4" borderId="16" xfId="0" applyFont="1" applyFill="1" applyBorder="1" applyAlignment="1">
      <alignment horizontal="center" vertical="center"/>
    </xf>
    <xf numFmtId="0" fontId="29" fillId="4" borderId="0" xfId="0" applyFont="1" applyFill="1" applyBorder="1" applyAlignment="1">
      <alignment horizontal="center" vertical="center"/>
    </xf>
    <xf numFmtId="9" fontId="25" fillId="0" borderId="0" xfId="0" applyNumberFormat="1" applyFont="1">
      <alignment vertical="center"/>
    </xf>
    <xf numFmtId="0" fontId="29" fillId="4" borderId="17" xfId="0" applyFont="1" applyFill="1" applyBorder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25" fillId="0" borderId="0" xfId="0" applyNumberFormat="1" applyFont="1" applyFill="1" applyAlignment="1">
      <alignment vertic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left" vertical="center"/>
    </xf>
    <xf numFmtId="0" fontId="25" fillId="0" borderId="8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9" fontId="25" fillId="0" borderId="0" xfId="3" applyFont="1" applyFill="1" applyAlignment="1">
      <alignment horizontal="center" vertical="center"/>
    </xf>
    <xf numFmtId="9" fontId="25" fillId="0" borderId="0" xfId="3" applyNumberFormat="1" applyFont="1" applyFill="1" applyAlignment="1">
      <alignment horizontal="center" vertical="center"/>
    </xf>
    <xf numFmtId="0" fontId="25" fillId="3" borderId="0" xfId="0" applyNumberFormat="1" applyFont="1" applyFill="1" applyBorder="1" applyAlignment="1">
      <alignment horizontal="center" vertical="center"/>
    </xf>
    <xf numFmtId="9" fontId="25" fillId="0" borderId="0" xfId="0" applyNumberFormat="1" applyFont="1" applyFill="1" applyBorder="1" applyAlignment="1">
      <alignment vertical="center"/>
    </xf>
    <xf numFmtId="9" fontId="29" fillId="4" borderId="3" xfId="3" applyFont="1" applyFill="1" applyBorder="1" applyAlignment="1">
      <alignment horizontal="center" vertical="center"/>
    </xf>
    <xf numFmtId="9" fontId="29" fillId="4" borderId="3" xfId="3" applyNumberFormat="1" applyFont="1" applyFill="1" applyBorder="1" applyAlignment="1">
      <alignment horizontal="center" vertical="center"/>
    </xf>
    <xf numFmtId="9" fontId="29" fillId="4" borderId="0" xfId="3" applyNumberFormat="1" applyFont="1" applyFill="1" applyAlignment="1">
      <alignment horizontal="center" vertical="center"/>
    </xf>
    <xf numFmtId="0" fontId="25" fillId="3" borderId="0" xfId="0" applyFont="1" applyFill="1">
      <alignment vertical="center"/>
    </xf>
    <xf numFmtId="0" fontId="20" fillId="22" borderId="1" xfId="0" applyFont="1" applyFill="1" applyBorder="1" applyAlignment="1">
      <alignment horizontal="center" vertical="center"/>
    </xf>
    <xf numFmtId="0" fontId="33" fillId="22" borderId="1" xfId="0" applyFont="1" applyFill="1" applyBorder="1" applyAlignment="1">
      <alignment horizontal="center" vertical="center"/>
    </xf>
    <xf numFmtId="0" fontId="33" fillId="22" borderId="0" xfId="0" applyFont="1" applyFill="1" applyAlignment="1">
      <alignment horizontal="center" vertical="center"/>
    </xf>
    <xf numFmtId="0" fontId="20" fillId="22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34" fillId="0" borderId="0" xfId="0" applyNumberFormat="1" applyFont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176" fontId="35" fillId="0" borderId="18" xfId="0" applyNumberFormat="1" applyFont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176" fontId="34" fillId="23" borderId="0" xfId="0" applyNumberFormat="1" applyFont="1" applyFill="1" applyAlignment="1">
      <alignment horizontal="center" vertical="center"/>
    </xf>
    <xf numFmtId="176" fontId="34" fillId="24" borderId="0" xfId="0" applyNumberFormat="1" applyFont="1" applyFill="1" applyAlignment="1">
      <alignment horizontal="center" vertical="center"/>
    </xf>
    <xf numFmtId="176" fontId="34" fillId="25" borderId="0" xfId="0" applyNumberFormat="1" applyFont="1" applyFill="1" applyAlignment="1">
      <alignment horizontal="center" vertical="center"/>
    </xf>
    <xf numFmtId="176" fontId="34" fillId="26" borderId="0" xfId="0" applyNumberFormat="1" applyFont="1" applyFill="1" applyAlignment="1">
      <alignment horizontal="center" vertical="center"/>
    </xf>
    <xf numFmtId="0" fontId="22" fillId="0" borderId="0" xfId="0" applyFont="1">
      <alignment vertical="center"/>
    </xf>
    <xf numFmtId="176" fontId="22" fillId="0" borderId="0" xfId="0" applyNumberFormat="1" applyFont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81" fontId="22" fillId="0" borderId="0" xfId="3" applyNumberFormat="1" applyFont="1" applyFill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9" xfId="0" applyNumberFormat="1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22" fillId="0" borderId="0" xfId="0" applyNumberFormat="1" applyFont="1" applyAlignment="1">
      <alignment horizontal="center" vertical="center"/>
    </xf>
    <xf numFmtId="0" fontId="37" fillId="0" borderId="20" xfId="0" applyFont="1" applyBorder="1" applyAlignment="1">
      <alignment horizontal="center"/>
    </xf>
    <xf numFmtId="0" fontId="38" fillId="0" borderId="20" xfId="0" applyFont="1" applyBorder="1" applyAlignment="1">
      <alignment horizontal="center"/>
    </xf>
    <xf numFmtId="10" fontId="38" fillId="0" borderId="20" xfId="0" applyNumberFormat="1" applyFont="1" applyBorder="1" applyAlignment="1">
      <alignment horizontal="center"/>
    </xf>
    <xf numFmtId="9" fontId="38" fillId="0" borderId="20" xfId="3" applyFont="1" applyFill="1" applyBorder="1" applyAlignment="1">
      <alignment horizontal="center"/>
    </xf>
    <xf numFmtId="0" fontId="39" fillId="0" borderId="21" xfId="0" applyFont="1" applyBorder="1" applyAlignment="1">
      <alignment horizontal="center" vertical="center"/>
    </xf>
    <xf numFmtId="0" fontId="37" fillId="0" borderId="22" xfId="0" applyFont="1" applyBorder="1" applyAlignment="1">
      <alignment horizontal="center"/>
    </xf>
    <xf numFmtId="177" fontId="38" fillId="0" borderId="20" xfId="0" applyNumberFormat="1" applyFont="1" applyBorder="1" applyAlignment="1">
      <alignment horizontal="center"/>
    </xf>
    <xf numFmtId="0" fontId="5" fillId="0" borderId="0" xfId="0" applyFo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9" fontId="37" fillId="0" borderId="23" xfId="0" applyNumberFormat="1" applyFont="1" applyBorder="1" applyAlignment="1">
      <alignment horizontal="center" vertical="center"/>
    </xf>
    <xf numFmtId="182" fontId="37" fillId="0" borderId="23" xfId="0" applyNumberFormat="1" applyFont="1" applyBorder="1" applyAlignment="1">
      <alignment horizontal="center" vertical="center"/>
    </xf>
    <xf numFmtId="176" fontId="37" fillId="0" borderId="23" xfId="0" applyNumberFormat="1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7" fillId="0" borderId="23" xfId="0" applyNumberFormat="1" applyFont="1" applyBorder="1" applyAlignment="1">
      <alignment horizontal="center" vertical="center"/>
    </xf>
    <xf numFmtId="1" fontId="0" fillId="0" borderId="0" xfId="0" applyNumberFormat="1">
      <alignment vertical="center"/>
    </xf>
    <xf numFmtId="181" fontId="37" fillId="0" borderId="23" xfId="0" applyNumberFormat="1" applyFont="1" applyBorder="1" applyAlignment="1">
      <alignment horizontal="center" vertical="center"/>
    </xf>
    <xf numFmtId="1" fontId="30" fillId="0" borderId="24" xfId="0" applyNumberFormat="1" applyFont="1" applyBorder="1" applyAlignment="1">
      <alignment horizontal="center" vertical="center"/>
    </xf>
    <xf numFmtId="179" fontId="37" fillId="0" borderId="23" xfId="0" applyNumberFormat="1" applyFont="1" applyBorder="1" applyAlignment="1">
      <alignment horizontal="center" vertical="center"/>
    </xf>
    <xf numFmtId="0" fontId="40" fillId="0" borderId="24" xfId="0" applyFont="1" applyBorder="1" applyAlignment="1">
      <alignment horizontal="center" vertical="center"/>
    </xf>
    <xf numFmtId="0" fontId="25" fillId="27" borderId="0" xfId="0" applyNumberFormat="1" applyFont="1" applyFill="1" applyAlignment="1">
      <alignment horizontal="center" vertical="center"/>
    </xf>
    <xf numFmtId="9" fontId="22" fillId="0" borderId="0" xfId="3" applyFont="1" applyFill="1" applyAlignment="1">
      <alignment horizontal="center" vertical="center"/>
    </xf>
    <xf numFmtId="176" fontId="25" fillId="27" borderId="0" xfId="0" applyNumberFormat="1" applyFont="1" applyFill="1" applyAlignment="1">
      <alignment horizontal="center" vertical="center"/>
    </xf>
    <xf numFmtId="0" fontId="22" fillId="3" borderId="0" xfId="0" applyNumberFormat="1" applyFont="1" applyFill="1" applyAlignment="1">
      <alignment horizontal="center" vertical="center"/>
    </xf>
    <xf numFmtId="0" fontId="25" fillId="3" borderId="0" xfId="0" applyNumberFormat="1" applyFont="1" applyFill="1" applyAlignment="1">
      <alignment horizontal="center" vertical="center"/>
    </xf>
    <xf numFmtId="9" fontId="25" fillId="3" borderId="0" xfId="3" applyFont="1" applyFill="1" applyAlignment="1">
      <alignment horizontal="center" vertical="center"/>
    </xf>
    <xf numFmtId="0" fontId="22" fillId="28" borderId="0" xfId="0" applyFont="1" applyFill="1" applyAlignment="1">
      <alignment horizontal="center" vertical="center"/>
    </xf>
    <xf numFmtId="0" fontId="41" fillId="28" borderId="0" xfId="0" applyFont="1" applyFill="1" applyAlignment="1">
      <alignment horizontal="center" vertical="center"/>
    </xf>
    <xf numFmtId="176" fontId="22" fillId="28" borderId="0" xfId="0" applyNumberFormat="1" applyFont="1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183" fontId="25" fillId="0" borderId="0" xfId="3" applyNumberFormat="1" applyFont="1" applyFill="1" applyAlignment="1">
      <alignment horizontal="center" vertical="center"/>
    </xf>
    <xf numFmtId="0" fontId="25" fillId="28" borderId="0" xfId="0" applyFont="1" applyFill="1" applyAlignment="1">
      <alignment horizontal="center" vertical="center"/>
    </xf>
    <xf numFmtId="0" fontId="42" fillId="0" borderId="0" xfId="0" applyNumberFormat="1" applyFont="1" applyFill="1" applyBorder="1" applyAlignment="1">
      <alignment vertical="center"/>
    </xf>
    <xf numFmtId="0" fontId="42" fillId="0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vertical="center"/>
    </xf>
    <xf numFmtId="0" fontId="9" fillId="0" borderId="0" xfId="0" applyNumberFormat="1" applyFont="1" applyFill="1" applyBorder="1" applyAlignment="1">
      <alignment vertical="center"/>
    </xf>
    <xf numFmtId="0" fontId="1" fillId="29" borderId="0" xfId="0" applyFont="1" applyFill="1">
      <alignment vertical="center"/>
    </xf>
    <xf numFmtId="0" fontId="1" fillId="29" borderId="0" xfId="0" applyFont="1" applyFill="1" applyAlignment="1">
      <alignment horizontal="left" vertical="center"/>
    </xf>
    <xf numFmtId="0" fontId="11" fillId="29" borderId="0" xfId="0" applyFont="1" applyFill="1">
      <alignment vertical="center"/>
    </xf>
    <xf numFmtId="0" fontId="43" fillId="0" borderId="0" xfId="0" applyFont="1">
      <alignment vertical="center"/>
    </xf>
    <xf numFmtId="0" fontId="43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1" fillId="30" borderId="0" xfId="0" applyFont="1" applyFill="1">
      <alignment vertical="center"/>
    </xf>
    <xf numFmtId="0" fontId="1" fillId="30" borderId="0" xfId="0" applyFont="1" applyFill="1" applyAlignment="1">
      <alignment horizontal="left" vertical="center"/>
    </xf>
    <xf numFmtId="0" fontId="11" fillId="30" borderId="0" xfId="0" applyFont="1" applyFill="1">
      <alignment vertical="center"/>
    </xf>
    <xf numFmtId="0" fontId="43" fillId="2" borderId="0" xfId="0" applyFont="1" applyFill="1" applyAlignment="1">
      <alignment horizontal="left" vertical="center"/>
    </xf>
    <xf numFmtId="0" fontId="13" fillId="0" borderId="0" xfId="0" applyNumberFormat="1" applyFont="1">
      <alignment vertical="center"/>
    </xf>
    <xf numFmtId="0" fontId="1" fillId="31" borderId="25" xfId="0" applyFont="1" applyFill="1" applyBorder="1" applyAlignment="1">
      <alignment horizontal="justify" vertical="center" wrapText="1"/>
    </xf>
    <xf numFmtId="0" fontId="1" fillId="31" borderId="26" xfId="0" applyFont="1" applyFill="1" applyBorder="1" applyAlignment="1">
      <alignment horizontal="justify" vertical="center" wrapText="1"/>
    </xf>
    <xf numFmtId="0" fontId="44" fillId="31" borderId="26" xfId="0" applyFont="1" applyFill="1" applyBorder="1" applyAlignment="1">
      <alignment horizontal="justify" vertical="center" wrapText="1"/>
    </xf>
    <xf numFmtId="0" fontId="42" fillId="0" borderId="27" xfId="0" applyFont="1" applyBorder="1" applyAlignment="1">
      <alignment horizontal="justify" vertical="center" wrapText="1"/>
    </xf>
    <xf numFmtId="0" fontId="45" fillId="0" borderId="28" xfId="0" applyFont="1" applyBorder="1" applyAlignment="1">
      <alignment horizontal="justify" vertical="center" wrapText="1"/>
    </xf>
    <xf numFmtId="184" fontId="45" fillId="0" borderId="28" xfId="0" applyNumberFormat="1" applyFont="1" applyBorder="1" applyAlignment="1">
      <alignment horizontal="justify" vertical="center" wrapText="1"/>
    </xf>
    <xf numFmtId="14" fontId="45" fillId="0" borderId="28" xfId="0" applyNumberFormat="1" applyFont="1" applyBorder="1" applyAlignment="1">
      <alignment horizontal="justify" vertical="center" wrapText="1"/>
    </xf>
    <xf numFmtId="0" fontId="45" fillId="0" borderId="27" xfId="0" applyFont="1" applyBorder="1" applyAlignment="1">
      <alignment horizontal="justify" vertical="center" wrapText="1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11"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solid">
          <bgColor rgb="FFFFFF00"/>
        </patternFill>
      </fill>
      <alignment horizontal="center" vertical="center"/>
      <border>
        <left/>
        <right/>
        <top/>
        <bottom/>
      </border>
    </dxf>
    <dxf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9" formatCode="0%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i val="0"/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1"/>
        <i val="0"/>
        <strike val="0"/>
        <u val="none"/>
        <sz val="11"/>
        <color theme="4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1"/>
        <i val="0"/>
        <strike val="0"/>
        <u val="none"/>
        <sz val="11"/>
        <color theme="4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1"/>
        <i val="0"/>
        <strike val="0"/>
        <u val="none"/>
        <sz val="11"/>
        <color theme="4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1"/>
        <i val="0"/>
        <strike val="0"/>
        <u val="none"/>
        <sz val="11"/>
        <color theme="4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1"/>
        <i val="0"/>
        <strike val="0"/>
        <u val="none"/>
        <sz val="11"/>
        <color theme="4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1"/>
        <i val="0"/>
        <strike val="0"/>
        <u val="none"/>
        <sz val="11"/>
        <color theme="4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olor theme="1"/>
      </font>
      <alignment horizontal="center" vertical="center"/>
      <border>
        <top style="thin">
          <color theme="4" tint="0.399975585192419"/>
        </top>
        <bottom style="thin">
          <color theme="4" tint="0.399975585192419"/>
        </bottom>
      </border>
    </dxf>
    <dxf>
      <font>
        <name val="微软雅黑"/>
        <scheme val="none"/>
        <color theme="1"/>
      </font>
      <numFmt numFmtId="0" formatCode="General"/>
      <alignment horizontal="center" vertical="center"/>
      <border>
        <top style="thin">
          <color theme="4" tint="0.399975585192419"/>
        </top>
        <bottom style="thin">
          <color theme="4" tint="0.399975585192419"/>
        </bottom>
      </border>
    </dxf>
    <dxf>
      <font>
        <name val="微软雅黑"/>
        <scheme val="none"/>
        <color theme="1"/>
      </font>
      <alignment horizontal="center" vertical="center"/>
      <border>
        <top style="thin">
          <color theme="4" tint="0.399975585192419"/>
        </top>
        <bottom style="thin">
          <color theme="4" tint="0.399975585192419"/>
        </bottom>
      </border>
    </dxf>
    <dxf>
      <font>
        <name val="微软雅黑"/>
        <scheme val="none"/>
        <color theme="1"/>
      </font>
      <alignment horizontal="center" vertical="center"/>
      <border>
        <top style="thin">
          <color theme="4" tint="0.399975585192419"/>
        </top>
        <bottom style="thin">
          <color theme="4" tint="0.399975585192419"/>
        </bottom>
      </border>
    </dxf>
    <dxf>
      <font>
        <name val="微软雅黑"/>
        <scheme val="none"/>
        <color theme="1"/>
      </font>
      <alignment horizontal="center" vertical="center"/>
      <border>
        <top style="thin">
          <color theme="4" tint="0.399975585192419"/>
        </top>
        <bottom style="thin">
          <color theme="4" tint="0.399975585192419"/>
        </bottom>
      </border>
    </dxf>
    <dxf>
      <font>
        <name val="微软雅黑"/>
        <scheme val="none"/>
        <color theme="1"/>
      </font>
      <alignment horizontal="center" vertical="center"/>
      <border>
        <top style="thin">
          <color theme="4" tint="0.399975585192419"/>
        </top>
        <bottom style="thin">
          <color theme="4" tint="0.399975585192419"/>
        </bottom>
      </border>
    </dxf>
    <dxf>
      <font>
        <name val="微软雅黑"/>
        <scheme val="none"/>
        <color theme="1"/>
      </font>
      <alignment horizontal="center" vertical="center"/>
      <border>
        <top style="thin">
          <color theme="4" tint="0.399975585192419"/>
        </top>
        <bottom style="thin">
          <color theme="4" tint="0.399975585192419"/>
        </bottom>
      </border>
    </dxf>
    <dxf>
      <font>
        <name val="微软雅黑"/>
        <scheme val="none"/>
        <color theme="1"/>
      </font>
      <alignment horizontal="center" vertical="center"/>
      <border>
        <top style="thin">
          <color theme="4" tint="0.399975585192419"/>
        </top>
        <bottom style="thin">
          <color theme="4" tint="0.399975585192419"/>
        </bottom>
      </border>
    </dxf>
    <dxf>
      <font>
        <name val="微软雅黑"/>
        <scheme val="none"/>
        <color theme="1"/>
      </font>
      <alignment horizontal="center" vertical="center"/>
      <border>
        <top style="thin">
          <color theme="4" tint="0.399975585192419"/>
        </top>
        <bottom style="thin">
          <color theme="4" tint="0.399975585192419"/>
        </bottom>
      </border>
    </dxf>
    <dxf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horizontal="center" vertical="center"/>
    </dxf>
    <dxf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2"/>
        <color auto="1"/>
      </font>
      <numFmt numFmtId="176" formatCode="0_ 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</dxf>
    <dxf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/>
        <right style="thin">
          <color auto="1"/>
        </right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/>
        <right style="thin">
          <color auto="1"/>
        </right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color auto="1"/>
      </font>
    </dxf>
    <dxf>
      <font>
        <color auto="1"/>
      </font>
    </dxf>
    <dxf>
      <font>
        <color auto="1"/>
      </font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alignment horizontal="center"/>
    </dxf>
    <dxf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</dxf>
    <dxf>
      <numFmt numFmtId="178" formatCode="0.000_ 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numFmt numFmtId="0" formatCode="General"/>
    </dxf>
    <dxf>
      <alignment horizontal="center"/>
    </dxf>
    <dxf>
      <numFmt numFmtId="0" formatCode="General"/>
      <alignment horizontal="center"/>
    </dxf>
    <dxf>
      <numFmt numFmtId="0" formatCode="General"/>
    </dxf>
    <dxf>
      <numFmt numFmtId="0" formatCode="General"/>
    </dxf>
    <dxf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numFmt numFmtId="0" formatCode="General"/>
      <alignment horizontal="center"/>
    </dxf>
    <dxf>
      <numFmt numFmtId="0" formatCode="General"/>
    </dxf>
    <dxf>
      <numFmt numFmtId="177" formatCode="0.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eetMetadata" Target="metadata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none"/>
        <c:varyColors val="0"/>
        <c:ser>
          <c:idx val="0"/>
          <c:order val="0"/>
          <c:tx>
            <c:strRef>
              <c:f>金币平衡!$U$27</c:f>
              <c:strCache>
                <c:ptCount val="1"/>
                <c:pt idx="0">
                  <c:v>金币产出</c:v>
                </c:pt>
              </c:strCache>
            </c:strRef>
          </c:tx>
          <c:spPr>
            <a:ln w="3810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{"1","2","3","4","5","6","7","8","9","10","11","12","13","14","15","16","17","18","19","20","21","22","23","24","25","26","27","28","29","30","31","32","33","34","35","36","37","38","39","40","41","42","43","44","45","46","47","48","49","50","51","52","53","54","55","56","57","58","59","60","61","62","63","64","65","66","67","68","69","70","71","72","73","74","75","76","77","78","79","80","81","82","83","84","85","86","87","88","89","90","91","92","93","94","95","96","97","98","99","100","101","102","103","104","105","106","107","108","109","110","111","112","113","114","115","116","117","118","119","120","121","122","123","124","125","126","127","128","129","130","131","132","133","134","135","136","137","138","139","140","141","142","143","144","145","146","147","148","149","150","151","152","153","154","155","156","157","158","159","160","161","162","163","164","165","166","167","168","169","170","171","172","173","174","175","176","177","178","179","180","181","182","183","184","185","186","187","188","189","190","191","192","193","194","195","196","197","198","199","200","201","202","203","204","205","206","207","208","209","210","211","212","213","214","215","216","217","218","219","220","221","222","223","224","225","226","227","228","229","230","231","232","233","234","235","236","237","238","239","240","241","242","243","244","245","246","247","248","249","250","251","252","253","254","255","256","257","258","259","260","261","262","263","264","265","266","267","268","269","270","271","272","273","274","275","276","277","278","279","280","281","282","283","284","285","286","287","288","289","290","291","292","293","294","295","296","297","298","299","300"}</c:f>
              <c:strCach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strCache>
            </c:strRef>
          </c:cat>
          <c:val>
            <c:numRef>
              <c:f>金币平衡!$U$28:$U$327</c:f>
              <c:numCache>
                <c:formatCode>0_ </c:formatCode>
                <c:ptCount val="300"/>
                <c:pt idx="0">
                  <c:v>170685.942857143</c:v>
                </c:pt>
                <c:pt idx="1">
                  <c:v>249055.885714286</c:v>
                </c:pt>
                <c:pt idx="2">
                  <c:v>323555.828571429</c:v>
                </c:pt>
                <c:pt idx="3">
                  <c:v>422422.971428571</c:v>
                </c:pt>
                <c:pt idx="4">
                  <c:v>544644.914285714</c:v>
                </c:pt>
                <c:pt idx="5">
                  <c:v>610707.257142857</c:v>
                </c:pt>
                <c:pt idx="6">
                  <c:v>692209.2</c:v>
                </c:pt>
                <c:pt idx="7">
                  <c:v>772346.742857143</c:v>
                </c:pt>
                <c:pt idx="8">
                  <c:v>842285.885714286</c:v>
                </c:pt>
                <c:pt idx="9">
                  <c:v>926700.628571429</c:v>
                </c:pt>
                <c:pt idx="10">
                  <c:v>1014966.17142857</c:v>
                </c:pt>
                <c:pt idx="11">
                  <c:v>1099532.11428571</c:v>
                </c:pt>
                <c:pt idx="12">
                  <c:v>1174282.45714286</c:v>
                </c:pt>
                <c:pt idx="13">
                  <c:v>1264832.4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金币平衡!$V$27</c:f>
              <c:strCache>
                <c:ptCount val="1"/>
                <c:pt idx="0">
                  <c:v>金币需求</c:v>
                </c:pt>
              </c:strCache>
            </c:strRef>
          </c:tx>
          <c:spPr>
            <a:ln w="3810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{"1","2","3","4","5","6","7","8","9","10","11","12","13","14","15","16","17","18","19","20","21","22","23","24","25","26","27","28","29","30","31","32","33","34","35","36","37","38","39","40","41","42","43","44","45","46","47","48","49","50","51","52","53","54","55","56","57","58","59","60","61","62","63","64","65","66","67","68","69","70","71","72","73","74","75","76","77","78","79","80","81","82","83","84","85","86","87","88","89","90","91","92","93","94","95","96","97","98","99","100","101","102","103","104","105","106","107","108","109","110","111","112","113","114","115","116","117","118","119","120","121","122","123","124","125","126","127","128","129","130","131","132","133","134","135","136","137","138","139","140","141","142","143","144","145","146","147","148","149","150","151","152","153","154","155","156","157","158","159","160","161","162","163","164","165","166","167","168","169","170","171","172","173","174","175","176","177","178","179","180","181","182","183","184","185","186","187","188","189","190","191","192","193","194","195","196","197","198","199","200","201","202","203","204","205","206","207","208","209","210","211","212","213","214","215","216","217","218","219","220","221","222","223","224","225","226","227","228","229","230","231","232","233","234","235","236","237","238","239","240","241","242","243","244","245","246","247","248","249","250","251","252","253","254","255","256","257","258","259","260","261","262","263","264","265","266","267","268","269","270","271","272","273","274","275","276","277","278","279","280","281","282","283","284","285","286","287","288","289","290","291","292","293","294","295","296","297","298","299","300"}</c:f>
              <c:strCach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strCache>
            </c:strRef>
          </c:cat>
          <c:val>
            <c:numRef>
              <c:f>金币平衡!$V$28:$V$327</c:f>
              <c:numCache>
                <c:formatCode>General</c:formatCode>
                <c:ptCount val="300"/>
                <c:pt idx="0">
                  <c:v>175910</c:v>
                </c:pt>
                <c:pt idx="1">
                  <c:v>281110</c:v>
                </c:pt>
                <c:pt idx="2">
                  <c:v>391660</c:v>
                </c:pt>
                <c:pt idx="3">
                  <c:v>469440</c:v>
                </c:pt>
                <c:pt idx="4">
                  <c:v>559140</c:v>
                </c:pt>
                <c:pt idx="5">
                  <c:v>625750</c:v>
                </c:pt>
                <c:pt idx="6">
                  <c:v>696590</c:v>
                </c:pt>
                <c:pt idx="7">
                  <c:v>787660</c:v>
                </c:pt>
                <c:pt idx="8">
                  <c:v>857760</c:v>
                </c:pt>
                <c:pt idx="9">
                  <c:v>953910</c:v>
                </c:pt>
                <c:pt idx="10">
                  <c:v>1057540</c:v>
                </c:pt>
                <c:pt idx="11">
                  <c:v>1129050</c:v>
                </c:pt>
                <c:pt idx="12">
                  <c:v>1240440</c:v>
                </c:pt>
                <c:pt idx="13">
                  <c:v>1319710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79240731"/>
        <c:axId val="516330331"/>
      </c:lineChart>
      <c:catAx>
        <c:axId val="979240731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0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516330331"/>
        <c:crosses val="autoZero"/>
        <c:auto val="1"/>
        <c:lblAlgn val="ctr"/>
        <c:lblOffset val="100"/>
        <c:noMultiLvlLbl val="0"/>
      </c:catAx>
      <c:valAx>
        <c:axId val="5163303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0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97924073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f77e9b24-8bd4-4913-ab09-05d7f594056f}"/>
      </c:ext>
    </c:extLst>
  </c:chart>
  <c:spPr>
    <a:solidFill>
      <a:schemeClr val="bg1"/>
    </a:solidFill>
    <a:ln w="9525" cap="flat" cmpd="sng" algn="ctr">
      <a:solidFill>
        <a:srgbClr val="99999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none"/>
        <c:varyColors val="0"/>
        <c:ser>
          <c:idx val="0"/>
          <c:order val="0"/>
          <c:spPr>
            <a:ln w="3810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金币平衡!$AB$28:$AB$149</c:f>
              <c:numCache>
                <c:formatCode>#,##0.00_ </c:formatCode>
                <c:ptCount val="122"/>
                <c:pt idx="0">
                  <c:v>-5224.05714285714</c:v>
                </c:pt>
                <c:pt idx="1">
                  <c:v>-32054.1142857143</c:v>
                </c:pt>
                <c:pt idx="2">
                  <c:v>-68104.1714285715</c:v>
                </c:pt>
                <c:pt idx="3">
                  <c:v>-47017.0285714286</c:v>
                </c:pt>
                <c:pt idx="4">
                  <c:v>-14495.0857142857</c:v>
                </c:pt>
                <c:pt idx="5">
                  <c:v>-15042.7428571428</c:v>
                </c:pt>
                <c:pt idx="6">
                  <c:v>-4380.79999999993</c:v>
                </c:pt>
                <c:pt idx="7">
                  <c:v>-15313.2571428571</c:v>
                </c:pt>
                <c:pt idx="8">
                  <c:v>-15474.1142857142</c:v>
                </c:pt>
                <c:pt idx="9">
                  <c:v>-27209.3714285714</c:v>
                </c:pt>
                <c:pt idx="10">
                  <c:v>-42573.8285714285</c:v>
                </c:pt>
                <c:pt idx="11">
                  <c:v>-29517.8857142858</c:v>
                </c:pt>
                <c:pt idx="12">
                  <c:v>-66157.5428571431</c:v>
                </c:pt>
                <c:pt idx="13">
                  <c:v>-54877.6000000001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20345549"/>
        <c:axId val="491144923"/>
      </c:lineChart>
      <c:catAx>
        <c:axId val="22034554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0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491144923"/>
        <c:crosses val="autoZero"/>
        <c:auto val="1"/>
        <c:lblAlgn val="ctr"/>
        <c:lblOffset val="100"/>
        <c:noMultiLvlLbl val="0"/>
      </c:catAx>
      <c:valAx>
        <c:axId val="4911449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.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0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20345549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d0923802-5938-46b3-8760-f908f170d395}"/>
      </c:ext>
    </c:extLst>
  </c:chart>
  <c:spPr>
    <a:solidFill>
      <a:schemeClr val="bg1"/>
    </a:solidFill>
    <a:ln w="9525" cap="flat" cmpd="sng" algn="ctr">
      <a:solidFill>
        <a:srgbClr val="99999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explosion val="0"/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chemeClr val="accent2"/>
              </a:solidFill>
            </c:spPr>
          </c:dPt>
          <c:dPt>
            <c:idx val="2"/>
            <c:bubble3D val="0"/>
            <c:spPr>
              <a:solidFill>
                <a:schemeClr val="accent3"/>
              </a:solidFill>
            </c:spPr>
          </c:dPt>
          <c:dPt>
            <c:idx val="3"/>
            <c:bubble3D val="0"/>
            <c:spPr>
              <a:solidFill>
                <a:schemeClr val="accent4"/>
              </a:solidFill>
            </c:spPr>
          </c:dPt>
          <c:dPt>
            <c:idx val="4"/>
            <c:bubble3D val="0"/>
            <c:spPr>
              <a:solidFill>
                <a:schemeClr val="accent5"/>
              </a:solidFill>
            </c:spPr>
          </c:dPt>
          <c:dPt>
            <c:idx val="5"/>
            <c:bubble3D val="0"/>
            <c:spPr>
              <a:solidFill>
                <a:schemeClr val="accent6"/>
              </a:solidFill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</c:spPr>
          </c:dPt>
          <c:dLbls>
            <c:delete val="1"/>
          </c:dLbls>
          <c:cat>
            <c:strRef>
              <c:f>产销汇总!$U$2:$U$9</c:f>
              <c:strCache>
                <c:ptCount val="8"/>
                <c:pt idx="0">
                  <c:v>主线</c:v>
                </c:pt>
                <c:pt idx="1">
                  <c:v>体力扫荡</c:v>
                </c:pt>
                <c:pt idx="2">
                  <c:v>组队本</c:v>
                </c:pt>
                <c:pt idx="3">
                  <c:v>竞技场</c:v>
                </c:pt>
                <c:pt idx="4">
                  <c:v>竞技场排行</c:v>
                </c:pt>
                <c:pt idx="5">
                  <c:v>任务</c:v>
                </c:pt>
                <c:pt idx="6">
                  <c:v>公会</c:v>
                </c:pt>
                <c:pt idx="7">
                  <c:v>挂机</c:v>
                </c:pt>
              </c:strCache>
            </c:strRef>
          </c:cat>
          <c:val>
            <c:numRef>
              <c:f>产销汇总!$V$2:$V$9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630000</c:v>
                </c:pt>
                <c:pt idx="4">
                  <c:v>129428.571428571</c:v>
                </c:pt>
                <c:pt idx="5">
                  <c:v>362160</c:v>
                </c:pt>
                <c:pt idx="6">
                  <c:v>829988.571428575</c:v>
                </c:pt>
                <c:pt idx="7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321ffdb2-f0cc-476e-b8a2-8215fb19c48a}"/>
      </c:ext>
    </c:extLst>
  </c:chart>
  <c:spPr>
    <a:solidFill>
      <a:schemeClr val="bg1"/>
    </a:solidFill>
    <a:ln w="9525" cap="flat" cmpd="sng" algn="ctr">
      <a:solidFill>
        <a:srgbClr val="99999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非</a:t>
            </a:r>
            <a:r>
              <a:rPr lang="en-US" altLang="zh-CN"/>
              <a:t>R</a:t>
            </a:r>
            <a:r>
              <a:t>系统产出定位图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产销汇总!$J$12</c:f>
              <c:strCache>
                <c:ptCount val="1"/>
                <c:pt idx="0">
                  <c:v>主线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产销汇总!$I$13:$I$312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xVal>
          <c:yVal>
            <c:numRef>
              <c:f>产销汇总!$J$13:$J$312</c:f>
              <c:numCache>
                <c:formatCode>0_ </c:formatCode>
                <c:ptCount val="300"/>
                <c:pt idx="0">
                  <c:v>1349</c:v>
                </c:pt>
                <c:pt idx="1">
                  <c:v>1354</c:v>
                </c:pt>
                <c:pt idx="2">
                  <c:v>1359</c:v>
                </c:pt>
                <c:pt idx="3">
                  <c:v>1364</c:v>
                </c:pt>
                <c:pt idx="4">
                  <c:v>1369</c:v>
                </c:pt>
                <c:pt idx="5">
                  <c:v>1374</c:v>
                </c:pt>
                <c:pt idx="6">
                  <c:v>1379</c:v>
                </c:pt>
                <c:pt idx="7">
                  <c:v>1384</c:v>
                </c:pt>
                <c:pt idx="8">
                  <c:v>1387</c:v>
                </c:pt>
                <c:pt idx="9">
                  <c:v>1390</c:v>
                </c:pt>
                <c:pt idx="10">
                  <c:v>1393</c:v>
                </c:pt>
                <c:pt idx="11">
                  <c:v>1396</c:v>
                </c:pt>
                <c:pt idx="12">
                  <c:v>1399</c:v>
                </c:pt>
                <c:pt idx="13">
                  <c:v>1402</c:v>
                </c:pt>
                <c:pt idx="14">
                  <c:v>1404</c:v>
                </c:pt>
                <c:pt idx="15">
                  <c:v>1405</c:v>
                </c:pt>
                <c:pt idx="16">
                  <c:v>1406</c:v>
                </c:pt>
                <c:pt idx="17">
                  <c:v>1407</c:v>
                </c:pt>
                <c:pt idx="18">
                  <c:v>1408</c:v>
                </c:pt>
                <c:pt idx="19">
                  <c:v>1409</c:v>
                </c:pt>
                <c:pt idx="20">
                  <c:v>1410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1411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1412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1413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1414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1415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1416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1417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产销汇总!$K$12</c:f>
              <c:strCache>
                <c:ptCount val="1"/>
                <c:pt idx="0">
                  <c:v>体力扫荡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产销汇总!$I$13:$I$312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xVal>
          <c:yVal>
            <c:numRef>
              <c:f>产销汇总!$K$13:$K$312</c:f>
              <c:numCache>
                <c:formatCode>0_ </c:formatCode>
                <c:ptCount val="300"/>
                <c:pt idx="0">
                  <c:v>607.25</c:v>
                </c:pt>
                <c:pt idx="1">
                  <c:v>608.5</c:v>
                </c:pt>
                <c:pt idx="2">
                  <c:v>609.75</c:v>
                </c:pt>
                <c:pt idx="3">
                  <c:v>611</c:v>
                </c:pt>
                <c:pt idx="4">
                  <c:v>612.25</c:v>
                </c:pt>
                <c:pt idx="5">
                  <c:v>613.5</c:v>
                </c:pt>
                <c:pt idx="6">
                  <c:v>614.75</c:v>
                </c:pt>
                <c:pt idx="7">
                  <c:v>616</c:v>
                </c:pt>
                <c:pt idx="8">
                  <c:v>616.75</c:v>
                </c:pt>
                <c:pt idx="9">
                  <c:v>617.5</c:v>
                </c:pt>
                <c:pt idx="10">
                  <c:v>618.25</c:v>
                </c:pt>
                <c:pt idx="11">
                  <c:v>619</c:v>
                </c:pt>
                <c:pt idx="12">
                  <c:v>619.75</c:v>
                </c:pt>
                <c:pt idx="13">
                  <c:v>620.5</c:v>
                </c:pt>
                <c:pt idx="14">
                  <c:v>621</c:v>
                </c:pt>
                <c:pt idx="15">
                  <c:v>621.25</c:v>
                </c:pt>
                <c:pt idx="16">
                  <c:v>621.5</c:v>
                </c:pt>
                <c:pt idx="17">
                  <c:v>621.75</c:v>
                </c:pt>
                <c:pt idx="18">
                  <c:v>622</c:v>
                </c:pt>
                <c:pt idx="19">
                  <c:v>622.25</c:v>
                </c:pt>
                <c:pt idx="20">
                  <c:v>622.5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622.75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623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623.25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623.5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623.75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624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624.25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产销汇总!$L$12</c:f>
              <c:strCache>
                <c:ptCount val="1"/>
                <c:pt idx="0">
                  <c:v>组队本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产销汇总!$I$13:$I$312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xVal>
          <c:yVal>
            <c:numRef>
              <c:f>产销汇总!$L$13:$L$312</c:f>
              <c:numCache>
                <c:formatCode>0_ </c:formatCode>
                <c:ptCount val="300"/>
                <c:pt idx="0">
                  <c:v>1076.4</c:v>
                </c:pt>
                <c:pt idx="1">
                  <c:v>1076.4</c:v>
                </c:pt>
                <c:pt idx="2">
                  <c:v>1076.4</c:v>
                </c:pt>
                <c:pt idx="3">
                  <c:v>1076.4</c:v>
                </c:pt>
                <c:pt idx="4">
                  <c:v>1082.4</c:v>
                </c:pt>
                <c:pt idx="5">
                  <c:v>1082.4</c:v>
                </c:pt>
                <c:pt idx="6">
                  <c:v>1088.4</c:v>
                </c:pt>
                <c:pt idx="7">
                  <c:v>1088.4</c:v>
                </c:pt>
                <c:pt idx="8">
                  <c:v>1094.4</c:v>
                </c:pt>
                <c:pt idx="9">
                  <c:v>1094.4</c:v>
                </c:pt>
                <c:pt idx="10">
                  <c:v>1094.4</c:v>
                </c:pt>
                <c:pt idx="11">
                  <c:v>1100.4</c:v>
                </c:pt>
                <c:pt idx="12">
                  <c:v>1100.4</c:v>
                </c:pt>
                <c:pt idx="13">
                  <c:v>1100.4</c:v>
                </c:pt>
                <c:pt idx="14">
                  <c:v>1100.4</c:v>
                </c:pt>
                <c:pt idx="15">
                  <c:v>1106.4</c:v>
                </c:pt>
                <c:pt idx="16">
                  <c:v>1106.4</c:v>
                </c:pt>
                <c:pt idx="17">
                  <c:v>1106.4</c:v>
                </c:pt>
                <c:pt idx="18">
                  <c:v>1106.4</c:v>
                </c:pt>
                <c:pt idx="19">
                  <c:v>1106.4</c:v>
                </c:pt>
                <c:pt idx="20">
                  <c:v>1106.4</c:v>
                </c:pt>
                <c:pt idx="21">
                  <c:v>1106.4</c:v>
                </c:pt>
                <c:pt idx="22">
                  <c:v>1106.4</c:v>
                </c:pt>
                <c:pt idx="23">
                  <c:v>1106.4</c:v>
                </c:pt>
                <c:pt idx="24">
                  <c:v>1106.4</c:v>
                </c:pt>
                <c:pt idx="25">
                  <c:v>1106.4</c:v>
                </c:pt>
                <c:pt idx="26">
                  <c:v>1106.4</c:v>
                </c:pt>
                <c:pt idx="27">
                  <c:v>1106.4</c:v>
                </c:pt>
                <c:pt idx="28">
                  <c:v>1106.4</c:v>
                </c:pt>
                <c:pt idx="29">
                  <c:v>1106.4</c:v>
                </c:pt>
                <c:pt idx="30">
                  <c:v>1106.4</c:v>
                </c:pt>
                <c:pt idx="31">
                  <c:v>1106.4</c:v>
                </c:pt>
                <c:pt idx="32">
                  <c:v>1106.4</c:v>
                </c:pt>
                <c:pt idx="33">
                  <c:v>1106.4</c:v>
                </c:pt>
                <c:pt idx="34">
                  <c:v>1106.4</c:v>
                </c:pt>
                <c:pt idx="35">
                  <c:v>1106.4</c:v>
                </c:pt>
                <c:pt idx="36">
                  <c:v>1106.4</c:v>
                </c:pt>
                <c:pt idx="37">
                  <c:v>1106.4</c:v>
                </c:pt>
                <c:pt idx="38">
                  <c:v>1106.4</c:v>
                </c:pt>
                <c:pt idx="39">
                  <c:v>1106.4</c:v>
                </c:pt>
                <c:pt idx="40">
                  <c:v>1112.4</c:v>
                </c:pt>
                <c:pt idx="41">
                  <c:v>1112.4</c:v>
                </c:pt>
                <c:pt idx="42">
                  <c:v>1112.4</c:v>
                </c:pt>
                <c:pt idx="43">
                  <c:v>1112.4</c:v>
                </c:pt>
                <c:pt idx="44">
                  <c:v>1112.4</c:v>
                </c:pt>
                <c:pt idx="45">
                  <c:v>1112.4</c:v>
                </c:pt>
                <c:pt idx="46">
                  <c:v>1112.4</c:v>
                </c:pt>
                <c:pt idx="47">
                  <c:v>1112.4</c:v>
                </c:pt>
                <c:pt idx="48">
                  <c:v>1112.4</c:v>
                </c:pt>
                <c:pt idx="49">
                  <c:v>1112.4</c:v>
                </c:pt>
                <c:pt idx="50">
                  <c:v>1112.4</c:v>
                </c:pt>
                <c:pt idx="51">
                  <c:v>1112.4</c:v>
                </c:pt>
                <c:pt idx="52">
                  <c:v>1112.4</c:v>
                </c:pt>
                <c:pt idx="53">
                  <c:v>1112.4</c:v>
                </c:pt>
                <c:pt idx="54">
                  <c:v>1112.4</c:v>
                </c:pt>
                <c:pt idx="55">
                  <c:v>1112.4</c:v>
                </c:pt>
                <c:pt idx="56">
                  <c:v>1112.4</c:v>
                </c:pt>
                <c:pt idx="57">
                  <c:v>1112.4</c:v>
                </c:pt>
                <c:pt idx="58">
                  <c:v>1112.4</c:v>
                </c:pt>
                <c:pt idx="59">
                  <c:v>1112.4</c:v>
                </c:pt>
                <c:pt idx="60">
                  <c:v>1112.4</c:v>
                </c:pt>
                <c:pt idx="61">
                  <c:v>1112.4</c:v>
                </c:pt>
                <c:pt idx="62">
                  <c:v>1112.4</c:v>
                </c:pt>
                <c:pt idx="63">
                  <c:v>1112.4</c:v>
                </c:pt>
                <c:pt idx="64">
                  <c:v>1112.4</c:v>
                </c:pt>
                <c:pt idx="65">
                  <c:v>1112.4</c:v>
                </c:pt>
                <c:pt idx="66">
                  <c:v>1112.4</c:v>
                </c:pt>
                <c:pt idx="67">
                  <c:v>1112.4</c:v>
                </c:pt>
                <c:pt idx="68">
                  <c:v>1112.4</c:v>
                </c:pt>
                <c:pt idx="69">
                  <c:v>1112.4</c:v>
                </c:pt>
                <c:pt idx="70">
                  <c:v>1112.4</c:v>
                </c:pt>
                <c:pt idx="71">
                  <c:v>1112.4</c:v>
                </c:pt>
                <c:pt idx="72">
                  <c:v>1112.4</c:v>
                </c:pt>
                <c:pt idx="73">
                  <c:v>1112.4</c:v>
                </c:pt>
                <c:pt idx="74">
                  <c:v>1112.4</c:v>
                </c:pt>
                <c:pt idx="75">
                  <c:v>1112.4</c:v>
                </c:pt>
                <c:pt idx="76">
                  <c:v>1112.4</c:v>
                </c:pt>
                <c:pt idx="77">
                  <c:v>1112.4</c:v>
                </c:pt>
                <c:pt idx="78">
                  <c:v>1112.4</c:v>
                </c:pt>
                <c:pt idx="79">
                  <c:v>1112.4</c:v>
                </c:pt>
                <c:pt idx="80">
                  <c:v>1112.4</c:v>
                </c:pt>
                <c:pt idx="81">
                  <c:v>1112.4</c:v>
                </c:pt>
                <c:pt idx="82">
                  <c:v>1112.4</c:v>
                </c:pt>
                <c:pt idx="83">
                  <c:v>1112.4</c:v>
                </c:pt>
                <c:pt idx="84">
                  <c:v>1112.4</c:v>
                </c:pt>
                <c:pt idx="85">
                  <c:v>1112.4</c:v>
                </c:pt>
                <c:pt idx="86">
                  <c:v>1112.4</c:v>
                </c:pt>
                <c:pt idx="87">
                  <c:v>1112.4</c:v>
                </c:pt>
                <c:pt idx="88">
                  <c:v>1112.4</c:v>
                </c:pt>
                <c:pt idx="89">
                  <c:v>1112.4</c:v>
                </c:pt>
                <c:pt idx="90">
                  <c:v>1112.4</c:v>
                </c:pt>
                <c:pt idx="91">
                  <c:v>1112.4</c:v>
                </c:pt>
                <c:pt idx="92">
                  <c:v>1112.4</c:v>
                </c:pt>
                <c:pt idx="93">
                  <c:v>1112.4</c:v>
                </c:pt>
                <c:pt idx="94">
                  <c:v>1112.4</c:v>
                </c:pt>
                <c:pt idx="95">
                  <c:v>1112.4</c:v>
                </c:pt>
                <c:pt idx="96">
                  <c:v>1112.4</c:v>
                </c:pt>
                <c:pt idx="97">
                  <c:v>1112.4</c:v>
                </c:pt>
                <c:pt idx="98">
                  <c:v>1112.4</c:v>
                </c:pt>
                <c:pt idx="99">
                  <c:v>1112.4</c:v>
                </c:pt>
                <c:pt idx="100">
                  <c:v>1112.4</c:v>
                </c:pt>
                <c:pt idx="101">
                  <c:v>1112.4</c:v>
                </c:pt>
                <c:pt idx="102">
                  <c:v>1118.4</c:v>
                </c:pt>
                <c:pt idx="103">
                  <c:v>1118.4</c:v>
                </c:pt>
                <c:pt idx="104">
                  <c:v>1118.4</c:v>
                </c:pt>
                <c:pt idx="105">
                  <c:v>1118.4</c:v>
                </c:pt>
                <c:pt idx="106">
                  <c:v>1118.4</c:v>
                </c:pt>
                <c:pt idx="107">
                  <c:v>1118.4</c:v>
                </c:pt>
                <c:pt idx="108">
                  <c:v>1118.4</c:v>
                </c:pt>
                <c:pt idx="109">
                  <c:v>1118.4</c:v>
                </c:pt>
                <c:pt idx="110">
                  <c:v>1118.4</c:v>
                </c:pt>
                <c:pt idx="111">
                  <c:v>1118.4</c:v>
                </c:pt>
                <c:pt idx="112">
                  <c:v>1118.4</c:v>
                </c:pt>
                <c:pt idx="113">
                  <c:v>1118.4</c:v>
                </c:pt>
                <c:pt idx="114">
                  <c:v>1118.4</c:v>
                </c:pt>
                <c:pt idx="115">
                  <c:v>1118.4</c:v>
                </c:pt>
                <c:pt idx="116">
                  <c:v>1118.4</c:v>
                </c:pt>
                <c:pt idx="117">
                  <c:v>1118.4</c:v>
                </c:pt>
                <c:pt idx="118">
                  <c:v>1118.4</c:v>
                </c:pt>
                <c:pt idx="119">
                  <c:v>1118.4</c:v>
                </c:pt>
                <c:pt idx="120">
                  <c:v>1118.4</c:v>
                </c:pt>
                <c:pt idx="121">
                  <c:v>1118.4</c:v>
                </c:pt>
                <c:pt idx="122">
                  <c:v>1118.4</c:v>
                </c:pt>
                <c:pt idx="123">
                  <c:v>1118.4</c:v>
                </c:pt>
                <c:pt idx="124">
                  <c:v>1118.4</c:v>
                </c:pt>
                <c:pt idx="125">
                  <c:v>1118.4</c:v>
                </c:pt>
                <c:pt idx="126">
                  <c:v>1118.4</c:v>
                </c:pt>
                <c:pt idx="127">
                  <c:v>1118.4</c:v>
                </c:pt>
                <c:pt idx="128">
                  <c:v>1118.4</c:v>
                </c:pt>
                <c:pt idx="129">
                  <c:v>1118.4</c:v>
                </c:pt>
                <c:pt idx="130">
                  <c:v>1118.4</c:v>
                </c:pt>
                <c:pt idx="131">
                  <c:v>1118.4</c:v>
                </c:pt>
                <c:pt idx="132">
                  <c:v>1118.4</c:v>
                </c:pt>
                <c:pt idx="133">
                  <c:v>1118.4</c:v>
                </c:pt>
                <c:pt idx="134">
                  <c:v>1118.4</c:v>
                </c:pt>
                <c:pt idx="135">
                  <c:v>1118.4</c:v>
                </c:pt>
                <c:pt idx="136">
                  <c:v>1118.4</c:v>
                </c:pt>
                <c:pt idx="137">
                  <c:v>1118.4</c:v>
                </c:pt>
                <c:pt idx="138">
                  <c:v>1118.4</c:v>
                </c:pt>
                <c:pt idx="139">
                  <c:v>1118.4</c:v>
                </c:pt>
                <c:pt idx="140">
                  <c:v>1118.4</c:v>
                </c:pt>
                <c:pt idx="141">
                  <c:v>1118.4</c:v>
                </c:pt>
                <c:pt idx="142">
                  <c:v>1118.4</c:v>
                </c:pt>
                <c:pt idx="143">
                  <c:v>1118.4</c:v>
                </c:pt>
                <c:pt idx="144">
                  <c:v>1118.4</c:v>
                </c:pt>
                <c:pt idx="145">
                  <c:v>1118.4</c:v>
                </c:pt>
                <c:pt idx="146">
                  <c:v>1118.4</c:v>
                </c:pt>
                <c:pt idx="147">
                  <c:v>1118.4</c:v>
                </c:pt>
                <c:pt idx="148">
                  <c:v>1118.4</c:v>
                </c:pt>
                <c:pt idx="149">
                  <c:v>1118.4</c:v>
                </c:pt>
                <c:pt idx="150">
                  <c:v>1118.4</c:v>
                </c:pt>
                <c:pt idx="151">
                  <c:v>1118.4</c:v>
                </c:pt>
                <c:pt idx="152">
                  <c:v>1118.4</c:v>
                </c:pt>
                <c:pt idx="153">
                  <c:v>1118.4</c:v>
                </c:pt>
                <c:pt idx="154">
                  <c:v>1118.4</c:v>
                </c:pt>
                <c:pt idx="155">
                  <c:v>1118.4</c:v>
                </c:pt>
                <c:pt idx="156">
                  <c:v>1118.4</c:v>
                </c:pt>
                <c:pt idx="157">
                  <c:v>1118.4</c:v>
                </c:pt>
                <c:pt idx="158">
                  <c:v>1118.4</c:v>
                </c:pt>
                <c:pt idx="159">
                  <c:v>1118.4</c:v>
                </c:pt>
                <c:pt idx="160">
                  <c:v>1118.4</c:v>
                </c:pt>
                <c:pt idx="161">
                  <c:v>1118.4</c:v>
                </c:pt>
                <c:pt idx="162">
                  <c:v>1118.4</c:v>
                </c:pt>
                <c:pt idx="163">
                  <c:v>1118.4</c:v>
                </c:pt>
                <c:pt idx="164">
                  <c:v>1118.4</c:v>
                </c:pt>
                <c:pt idx="165">
                  <c:v>1118.4</c:v>
                </c:pt>
                <c:pt idx="166">
                  <c:v>1118.4</c:v>
                </c:pt>
                <c:pt idx="167">
                  <c:v>1118.4</c:v>
                </c:pt>
                <c:pt idx="168">
                  <c:v>1124.4</c:v>
                </c:pt>
                <c:pt idx="169">
                  <c:v>1124.4</c:v>
                </c:pt>
                <c:pt idx="170">
                  <c:v>1124.4</c:v>
                </c:pt>
                <c:pt idx="171">
                  <c:v>1124.4</c:v>
                </c:pt>
                <c:pt idx="172">
                  <c:v>1124.4</c:v>
                </c:pt>
                <c:pt idx="173">
                  <c:v>1124.4</c:v>
                </c:pt>
                <c:pt idx="174">
                  <c:v>1124.4</c:v>
                </c:pt>
                <c:pt idx="175">
                  <c:v>1124.4</c:v>
                </c:pt>
                <c:pt idx="176">
                  <c:v>1124.4</c:v>
                </c:pt>
                <c:pt idx="177">
                  <c:v>1124.4</c:v>
                </c:pt>
                <c:pt idx="178">
                  <c:v>1124.4</c:v>
                </c:pt>
                <c:pt idx="179">
                  <c:v>1124.4</c:v>
                </c:pt>
                <c:pt idx="180">
                  <c:v>1124.4</c:v>
                </c:pt>
                <c:pt idx="181">
                  <c:v>1124.4</c:v>
                </c:pt>
                <c:pt idx="182">
                  <c:v>1124.4</c:v>
                </c:pt>
                <c:pt idx="183">
                  <c:v>1124.4</c:v>
                </c:pt>
                <c:pt idx="184">
                  <c:v>1124.4</c:v>
                </c:pt>
                <c:pt idx="185">
                  <c:v>1124.4</c:v>
                </c:pt>
                <c:pt idx="186">
                  <c:v>1124.4</c:v>
                </c:pt>
                <c:pt idx="187">
                  <c:v>1124.4</c:v>
                </c:pt>
                <c:pt idx="188">
                  <c:v>1124.4</c:v>
                </c:pt>
                <c:pt idx="189">
                  <c:v>1124.4</c:v>
                </c:pt>
                <c:pt idx="190">
                  <c:v>1124.4</c:v>
                </c:pt>
                <c:pt idx="191">
                  <c:v>1124.4</c:v>
                </c:pt>
                <c:pt idx="192">
                  <c:v>1124.4</c:v>
                </c:pt>
                <c:pt idx="193">
                  <c:v>1124.4</c:v>
                </c:pt>
                <c:pt idx="194">
                  <c:v>1124.4</c:v>
                </c:pt>
                <c:pt idx="195">
                  <c:v>1124.4</c:v>
                </c:pt>
                <c:pt idx="196">
                  <c:v>1124.4</c:v>
                </c:pt>
                <c:pt idx="197">
                  <c:v>1124.4</c:v>
                </c:pt>
                <c:pt idx="198">
                  <c:v>1124.4</c:v>
                </c:pt>
                <c:pt idx="199">
                  <c:v>1124.4</c:v>
                </c:pt>
                <c:pt idx="200">
                  <c:v>1124.4</c:v>
                </c:pt>
                <c:pt idx="201">
                  <c:v>1124.4</c:v>
                </c:pt>
                <c:pt idx="202">
                  <c:v>1124.4</c:v>
                </c:pt>
                <c:pt idx="203">
                  <c:v>1124.4</c:v>
                </c:pt>
                <c:pt idx="204">
                  <c:v>1124.4</c:v>
                </c:pt>
                <c:pt idx="205">
                  <c:v>1124.4</c:v>
                </c:pt>
                <c:pt idx="206">
                  <c:v>1124.4</c:v>
                </c:pt>
                <c:pt idx="207">
                  <c:v>1124.4</c:v>
                </c:pt>
                <c:pt idx="208">
                  <c:v>1124.4</c:v>
                </c:pt>
                <c:pt idx="209">
                  <c:v>1124.4</c:v>
                </c:pt>
                <c:pt idx="210">
                  <c:v>1124.4</c:v>
                </c:pt>
                <c:pt idx="211">
                  <c:v>1124.4</c:v>
                </c:pt>
                <c:pt idx="212">
                  <c:v>1124.4</c:v>
                </c:pt>
                <c:pt idx="213">
                  <c:v>1124.4</c:v>
                </c:pt>
                <c:pt idx="214">
                  <c:v>1124.4</c:v>
                </c:pt>
                <c:pt idx="215">
                  <c:v>1124.4</c:v>
                </c:pt>
                <c:pt idx="216">
                  <c:v>1124.4</c:v>
                </c:pt>
                <c:pt idx="217">
                  <c:v>1124.4</c:v>
                </c:pt>
                <c:pt idx="218">
                  <c:v>1124.4</c:v>
                </c:pt>
                <c:pt idx="219">
                  <c:v>1124.4</c:v>
                </c:pt>
                <c:pt idx="220">
                  <c:v>1124.4</c:v>
                </c:pt>
                <c:pt idx="221">
                  <c:v>1124.4</c:v>
                </c:pt>
                <c:pt idx="222">
                  <c:v>1124.4</c:v>
                </c:pt>
                <c:pt idx="223">
                  <c:v>1124.4</c:v>
                </c:pt>
                <c:pt idx="224">
                  <c:v>1124.4</c:v>
                </c:pt>
                <c:pt idx="225">
                  <c:v>1124.4</c:v>
                </c:pt>
                <c:pt idx="226">
                  <c:v>1124.4</c:v>
                </c:pt>
                <c:pt idx="227">
                  <c:v>1124.4</c:v>
                </c:pt>
                <c:pt idx="228">
                  <c:v>1124.4</c:v>
                </c:pt>
                <c:pt idx="229">
                  <c:v>1124.4</c:v>
                </c:pt>
                <c:pt idx="230">
                  <c:v>1124.4</c:v>
                </c:pt>
                <c:pt idx="231">
                  <c:v>1124.4</c:v>
                </c:pt>
                <c:pt idx="232">
                  <c:v>1124.4</c:v>
                </c:pt>
                <c:pt idx="233">
                  <c:v>1124.4</c:v>
                </c:pt>
                <c:pt idx="234">
                  <c:v>1124.4</c:v>
                </c:pt>
                <c:pt idx="235">
                  <c:v>1130.4</c:v>
                </c:pt>
                <c:pt idx="236">
                  <c:v>1130.4</c:v>
                </c:pt>
                <c:pt idx="237">
                  <c:v>1130.4</c:v>
                </c:pt>
                <c:pt idx="238">
                  <c:v>1130.4</c:v>
                </c:pt>
                <c:pt idx="239">
                  <c:v>1130.4</c:v>
                </c:pt>
                <c:pt idx="240">
                  <c:v>1130.4</c:v>
                </c:pt>
                <c:pt idx="241">
                  <c:v>1130.4</c:v>
                </c:pt>
                <c:pt idx="242">
                  <c:v>1130.4</c:v>
                </c:pt>
                <c:pt idx="243">
                  <c:v>1130.4</c:v>
                </c:pt>
                <c:pt idx="244">
                  <c:v>1130.4</c:v>
                </c:pt>
                <c:pt idx="245">
                  <c:v>1130.4</c:v>
                </c:pt>
                <c:pt idx="246">
                  <c:v>1130.4</c:v>
                </c:pt>
                <c:pt idx="247">
                  <c:v>1130.4</c:v>
                </c:pt>
                <c:pt idx="248">
                  <c:v>1130.4</c:v>
                </c:pt>
                <c:pt idx="249">
                  <c:v>1130.4</c:v>
                </c:pt>
                <c:pt idx="250">
                  <c:v>1130.4</c:v>
                </c:pt>
                <c:pt idx="251">
                  <c:v>1130.4</c:v>
                </c:pt>
                <c:pt idx="252">
                  <c:v>1130.4</c:v>
                </c:pt>
                <c:pt idx="253">
                  <c:v>1130.4</c:v>
                </c:pt>
                <c:pt idx="254">
                  <c:v>1130.4</c:v>
                </c:pt>
                <c:pt idx="255">
                  <c:v>1130.4</c:v>
                </c:pt>
                <c:pt idx="256">
                  <c:v>1130.4</c:v>
                </c:pt>
                <c:pt idx="257">
                  <c:v>1130.4</c:v>
                </c:pt>
                <c:pt idx="258">
                  <c:v>1130.4</c:v>
                </c:pt>
                <c:pt idx="259">
                  <c:v>1130.4</c:v>
                </c:pt>
                <c:pt idx="260">
                  <c:v>1130.4</c:v>
                </c:pt>
                <c:pt idx="261">
                  <c:v>1130.4</c:v>
                </c:pt>
                <c:pt idx="262">
                  <c:v>1130.4</c:v>
                </c:pt>
                <c:pt idx="263">
                  <c:v>1130.4</c:v>
                </c:pt>
                <c:pt idx="264">
                  <c:v>1130.4</c:v>
                </c:pt>
                <c:pt idx="265">
                  <c:v>1130.4</c:v>
                </c:pt>
                <c:pt idx="266">
                  <c:v>1130.4</c:v>
                </c:pt>
                <c:pt idx="267">
                  <c:v>1130.4</c:v>
                </c:pt>
                <c:pt idx="268">
                  <c:v>1130.4</c:v>
                </c:pt>
                <c:pt idx="269">
                  <c:v>1130.4</c:v>
                </c:pt>
                <c:pt idx="270">
                  <c:v>1130.4</c:v>
                </c:pt>
                <c:pt idx="271">
                  <c:v>1130.4</c:v>
                </c:pt>
                <c:pt idx="272">
                  <c:v>1130.4</c:v>
                </c:pt>
                <c:pt idx="273">
                  <c:v>1130.4</c:v>
                </c:pt>
                <c:pt idx="274">
                  <c:v>1130.4</c:v>
                </c:pt>
                <c:pt idx="275">
                  <c:v>1130.4</c:v>
                </c:pt>
                <c:pt idx="276">
                  <c:v>1130.4</c:v>
                </c:pt>
                <c:pt idx="277">
                  <c:v>1130.4</c:v>
                </c:pt>
                <c:pt idx="278">
                  <c:v>1130.4</c:v>
                </c:pt>
                <c:pt idx="279">
                  <c:v>1130.4</c:v>
                </c:pt>
                <c:pt idx="280">
                  <c:v>1130.4</c:v>
                </c:pt>
                <c:pt idx="281">
                  <c:v>1130.4</c:v>
                </c:pt>
                <c:pt idx="282">
                  <c:v>1130.4</c:v>
                </c:pt>
                <c:pt idx="283">
                  <c:v>1130.4</c:v>
                </c:pt>
                <c:pt idx="284">
                  <c:v>1130.4</c:v>
                </c:pt>
                <c:pt idx="285">
                  <c:v>1130.4</c:v>
                </c:pt>
                <c:pt idx="286">
                  <c:v>1130.4</c:v>
                </c:pt>
                <c:pt idx="287">
                  <c:v>1130.4</c:v>
                </c:pt>
                <c:pt idx="288">
                  <c:v>1130.4</c:v>
                </c:pt>
                <c:pt idx="289">
                  <c:v>1130.4</c:v>
                </c:pt>
                <c:pt idx="290">
                  <c:v>1130.4</c:v>
                </c:pt>
                <c:pt idx="291">
                  <c:v>1130.4</c:v>
                </c:pt>
                <c:pt idx="292">
                  <c:v>1130.4</c:v>
                </c:pt>
                <c:pt idx="293">
                  <c:v>1130.4</c:v>
                </c:pt>
                <c:pt idx="294">
                  <c:v>1130.4</c:v>
                </c:pt>
                <c:pt idx="295">
                  <c:v>1130.4</c:v>
                </c:pt>
                <c:pt idx="296">
                  <c:v>1130.4</c:v>
                </c:pt>
                <c:pt idx="297">
                  <c:v>1130.4</c:v>
                </c:pt>
                <c:pt idx="298">
                  <c:v>1130.4</c:v>
                </c:pt>
                <c:pt idx="299">
                  <c:v>1130.4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产销汇总!$M$12</c:f>
              <c:strCache>
                <c:ptCount val="1"/>
                <c:pt idx="0">
                  <c:v>竞技场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产销汇总!$I$13:$I$312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xVal>
          <c:yVal>
            <c:numRef>
              <c:f>产销汇总!$M$13:$M$312</c:f>
              <c:numCache>
                <c:formatCode>0_ </c:formatCode>
                <c:ptCount val="300"/>
                <c:pt idx="0">
                  <c:v>1050</c:v>
                </c:pt>
                <c:pt idx="1">
                  <c:v>1050</c:v>
                </c:pt>
                <c:pt idx="2">
                  <c:v>1050</c:v>
                </c:pt>
                <c:pt idx="3">
                  <c:v>1050</c:v>
                </c:pt>
                <c:pt idx="4">
                  <c:v>1050</c:v>
                </c:pt>
                <c:pt idx="5">
                  <c:v>1050</c:v>
                </c:pt>
                <c:pt idx="6">
                  <c:v>1050</c:v>
                </c:pt>
                <c:pt idx="7">
                  <c:v>1050</c:v>
                </c:pt>
                <c:pt idx="8">
                  <c:v>1050</c:v>
                </c:pt>
                <c:pt idx="9">
                  <c:v>1050</c:v>
                </c:pt>
                <c:pt idx="10">
                  <c:v>1050</c:v>
                </c:pt>
                <c:pt idx="11">
                  <c:v>1050</c:v>
                </c:pt>
                <c:pt idx="12">
                  <c:v>1050</c:v>
                </c:pt>
                <c:pt idx="13">
                  <c:v>1050</c:v>
                </c:pt>
                <c:pt idx="14">
                  <c:v>1050</c:v>
                </c:pt>
                <c:pt idx="15">
                  <c:v>1050</c:v>
                </c:pt>
                <c:pt idx="16">
                  <c:v>1050</c:v>
                </c:pt>
                <c:pt idx="17">
                  <c:v>1050</c:v>
                </c:pt>
                <c:pt idx="18">
                  <c:v>1050</c:v>
                </c:pt>
                <c:pt idx="19">
                  <c:v>1050</c:v>
                </c:pt>
                <c:pt idx="20">
                  <c:v>1050</c:v>
                </c:pt>
                <c:pt idx="21">
                  <c:v>1050</c:v>
                </c:pt>
                <c:pt idx="22">
                  <c:v>1050</c:v>
                </c:pt>
                <c:pt idx="23">
                  <c:v>1050</c:v>
                </c:pt>
                <c:pt idx="24">
                  <c:v>1050</c:v>
                </c:pt>
                <c:pt idx="25">
                  <c:v>1050</c:v>
                </c:pt>
                <c:pt idx="26">
                  <c:v>1050</c:v>
                </c:pt>
                <c:pt idx="27">
                  <c:v>1050</c:v>
                </c:pt>
                <c:pt idx="28">
                  <c:v>1050</c:v>
                </c:pt>
                <c:pt idx="29">
                  <c:v>1050</c:v>
                </c:pt>
                <c:pt idx="30">
                  <c:v>1050</c:v>
                </c:pt>
                <c:pt idx="31">
                  <c:v>1050</c:v>
                </c:pt>
                <c:pt idx="32">
                  <c:v>1050</c:v>
                </c:pt>
                <c:pt idx="33">
                  <c:v>1050</c:v>
                </c:pt>
                <c:pt idx="34">
                  <c:v>1050</c:v>
                </c:pt>
                <c:pt idx="35">
                  <c:v>1050</c:v>
                </c:pt>
                <c:pt idx="36">
                  <c:v>1050</c:v>
                </c:pt>
                <c:pt idx="37">
                  <c:v>1050</c:v>
                </c:pt>
                <c:pt idx="38">
                  <c:v>1050</c:v>
                </c:pt>
                <c:pt idx="39">
                  <c:v>1050</c:v>
                </c:pt>
                <c:pt idx="40">
                  <c:v>1050</c:v>
                </c:pt>
                <c:pt idx="41">
                  <c:v>1050</c:v>
                </c:pt>
                <c:pt idx="42">
                  <c:v>1050</c:v>
                </c:pt>
                <c:pt idx="43">
                  <c:v>1050</c:v>
                </c:pt>
                <c:pt idx="44">
                  <c:v>1050</c:v>
                </c:pt>
                <c:pt idx="45">
                  <c:v>1050</c:v>
                </c:pt>
                <c:pt idx="46">
                  <c:v>1050</c:v>
                </c:pt>
                <c:pt idx="47">
                  <c:v>1050</c:v>
                </c:pt>
                <c:pt idx="48">
                  <c:v>1050</c:v>
                </c:pt>
                <c:pt idx="49">
                  <c:v>1050</c:v>
                </c:pt>
                <c:pt idx="50">
                  <c:v>1050</c:v>
                </c:pt>
                <c:pt idx="51">
                  <c:v>1050</c:v>
                </c:pt>
                <c:pt idx="52">
                  <c:v>1050</c:v>
                </c:pt>
                <c:pt idx="53">
                  <c:v>1050</c:v>
                </c:pt>
                <c:pt idx="54">
                  <c:v>1050</c:v>
                </c:pt>
                <c:pt idx="55">
                  <c:v>1050</c:v>
                </c:pt>
                <c:pt idx="56">
                  <c:v>1050</c:v>
                </c:pt>
                <c:pt idx="57">
                  <c:v>1050</c:v>
                </c:pt>
                <c:pt idx="58">
                  <c:v>1050</c:v>
                </c:pt>
                <c:pt idx="59">
                  <c:v>1050</c:v>
                </c:pt>
                <c:pt idx="60">
                  <c:v>1050</c:v>
                </c:pt>
                <c:pt idx="61">
                  <c:v>1050</c:v>
                </c:pt>
                <c:pt idx="62">
                  <c:v>1050</c:v>
                </c:pt>
                <c:pt idx="63">
                  <c:v>1050</c:v>
                </c:pt>
                <c:pt idx="64">
                  <c:v>1050</c:v>
                </c:pt>
                <c:pt idx="65">
                  <c:v>1050</c:v>
                </c:pt>
                <c:pt idx="66">
                  <c:v>1050</c:v>
                </c:pt>
                <c:pt idx="67">
                  <c:v>1050</c:v>
                </c:pt>
                <c:pt idx="68">
                  <c:v>1050</c:v>
                </c:pt>
                <c:pt idx="69">
                  <c:v>1050</c:v>
                </c:pt>
                <c:pt idx="70">
                  <c:v>1050</c:v>
                </c:pt>
                <c:pt idx="71">
                  <c:v>1050</c:v>
                </c:pt>
                <c:pt idx="72">
                  <c:v>1050</c:v>
                </c:pt>
                <c:pt idx="73">
                  <c:v>1050</c:v>
                </c:pt>
                <c:pt idx="74">
                  <c:v>1050</c:v>
                </c:pt>
                <c:pt idx="75">
                  <c:v>1050</c:v>
                </c:pt>
                <c:pt idx="76">
                  <c:v>1050</c:v>
                </c:pt>
                <c:pt idx="77">
                  <c:v>1050</c:v>
                </c:pt>
                <c:pt idx="78">
                  <c:v>1050</c:v>
                </c:pt>
                <c:pt idx="79">
                  <c:v>1050</c:v>
                </c:pt>
                <c:pt idx="80">
                  <c:v>1050</c:v>
                </c:pt>
                <c:pt idx="81">
                  <c:v>1050</c:v>
                </c:pt>
                <c:pt idx="82">
                  <c:v>1050</c:v>
                </c:pt>
                <c:pt idx="83">
                  <c:v>1050</c:v>
                </c:pt>
                <c:pt idx="84">
                  <c:v>1050</c:v>
                </c:pt>
                <c:pt idx="85">
                  <c:v>1050</c:v>
                </c:pt>
                <c:pt idx="86">
                  <c:v>1050</c:v>
                </c:pt>
                <c:pt idx="87">
                  <c:v>1050</c:v>
                </c:pt>
                <c:pt idx="88">
                  <c:v>1050</c:v>
                </c:pt>
                <c:pt idx="89">
                  <c:v>1050</c:v>
                </c:pt>
                <c:pt idx="90">
                  <c:v>1050</c:v>
                </c:pt>
                <c:pt idx="91">
                  <c:v>1050</c:v>
                </c:pt>
                <c:pt idx="92">
                  <c:v>1050</c:v>
                </c:pt>
                <c:pt idx="93">
                  <c:v>1050</c:v>
                </c:pt>
                <c:pt idx="94">
                  <c:v>1050</c:v>
                </c:pt>
                <c:pt idx="95">
                  <c:v>1050</c:v>
                </c:pt>
                <c:pt idx="96">
                  <c:v>1050</c:v>
                </c:pt>
                <c:pt idx="97">
                  <c:v>1050</c:v>
                </c:pt>
                <c:pt idx="98">
                  <c:v>1050</c:v>
                </c:pt>
                <c:pt idx="99">
                  <c:v>1050</c:v>
                </c:pt>
                <c:pt idx="100">
                  <c:v>1050</c:v>
                </c:pt>
                <c:pt idx="101">
                  <c:v>1050</c:v>
                </c:pt>
                <c:pt idx="102">
                  <c:v>1050</c:v>
                </c:pt>
                <c:pt idx="103">
                  <c:v>1050</c:v>
                </c:pt>
                <c:pt idx="104">
                  <c:v>1050</c:v>
                </c:pt>
                <c:pt idx="105">
                  <c:v>1050</c:v>
                </c:pt>
                <c:pt idx="106">
                  <c:v>1050</c:v>
                </c:pt>
                <c:pt idx="107">
                  <c:v>1050</c:v>
                </c:pt>
                <c:pt idx="108">
                  <c:v>1050</c:v>
                </c:pt>
                <c:pt idx="109">
                  <c:v>1050</c:v>
                </c:pt>
                <c:pt idx="110">
                  <c:v>1050</c:v>
                </c:pt>
                <c:pt idx="111">
                  <c:v>1050</c:v>
                </c:pt>
                <c:pt idx="112">
                  <c:v>1050</c:v>
                </c:pt>
                <c:pt idx="113">
                  <c:v>1050</c:v>
                </c:pt>
                <c:pt idx="114">
                  <c:v>1050</c:v>
                </c:pt>
                <c:pt idx="115">
                  <c:v>1050</c:v>
                </c:pt>
                <c:pt idx="116">
                  <c:v>1050</c:v>
                </c:pt>
                <c:pt idx="117">
                  <c:v>1050</c:v>
                </c:pt>
                <c:pt idx="118">
                  <c:v>1050</c:v>
                </c:pt>
                <c:pt idx="119">
                  <c:v>1050</c:v>
                </c:pt>
                <c:pt idx="120">
                  <c:v>1050</c:v>
                </c:pt>
                <c:pt idx="121">
                  <c:v>1050</c:v>
                </c:pt>
                <c:pt idx="122">
                  <c:v>1050</c:v>
                </c:pt>
                <c:pt idx="123">
                  <c:v>1050</c:v>
                </c:pt>
                <c:pt idx="124">
                  <c:v>1050</c:v>
                </c:pt>
                <c:pt idx="125">
                  <c:v>1050</c:v>
                </c:pt>
                <c:pt idx="126">
                  <c:v>1050</c:v>
                </c:pt>
                <c:pt idx="127">
                  <c:v>1050</c:v>
                </c:pt>
                <c:pt idx="128">
                  <c:v>1050</c:v>
                </c:pt>
                <c:pt idx="129">
                  <c:v>1050</c:v>
                </c:pt>
                <c:pt idx="130">
                  <c:v>1050</c:v>
                </c:pt>
                <c:pt idx="131">
                  <c:v>1050</c:v>
                </c:pt>
                <c:pt idx="132">
                  <c:v>1050</c:v>
                </c:pt>
                <c:pt idx="133">
                  <c:v>1050</c:v>
                </c:pt>
                <c:pt idx="134">
                  <c:v>1050</c:v>
                </c:pt>
                <c:pt idx="135">
                  <c:v>1050</c:v>
                </c:pt>
                <c:pt idx="136">
                  <c:v>1050</c:v>
                </c:pt>
                <c:pt idx="137">
                  <c:v>1050</c:v>
                </c:pt>
                <c:pt idx="138">
                  <c:v>1050</c:v>
                </c:pt>
                <c:pt idx="139">
                  <c:v>1050</c:v>
                </c:pt>
                <c:pt idx="140">
                  <c:v>1050</c:v>
                </c:pt>
                <c:pt idx="141">
                  <c:v>1050</c:v>
                </c:pt>
                <c:pt idx="142">
                  <c:v>1050</c:v>
                </c:pt>
                <c:pt idx="143">
                  <c:v>1050</c:v>
                </c:pt>
                <c:pt idx="144">
                  <c:v>1050</c:v>
                </c:pt>
                <c:pt idx="145">
                  <c:v>1050</c:v>
                </c:pt>
                <c:pt idx="146">
                  <c:v>1050</c:v>
                </c:pt>
                <c:pt idx="147">
                  <c:v>1050</c:v>
                </c:pt>
                <c:pt idx="148">
                  <c:v>1050</c:v>
                </c:pt>
                <c:pt idx="149">
                  <c:v>1050</c:v>
                </c:pt>
                <c:pt idx="150">
                  <c:v>1050</c:v>
                </c:pt>
                <c:pt idx="151">
                  <c:v>1050</c:v>
                </c:pt>
                <c:pt idx="152">
                  <c:v>1050</c:v>
                </c:pt>
                <c:pt idx="153">
                  <c:v>1050</c:v>
                </c:pt>
                <c:pt idx="154">
                  <c:v>1050</c:v>
                </c:pt>
                <c:pt idx="155">
                  <c:v>1050</c:v>
                </c:pt>
                <c:pt idx="156">
                  <c:v>1050</c:v>
                </c:pt>
                <c:pt idx="157">
                  <c:v>1050</c:v>
                </c:pt>
                <c:pt idx="158">
                  <c:v>1050</c:v>
                </c:pt>
                <c:pt idx="159">
                  <c:v>1050</c:v>
                </c:pt>
                <c:pt idx="160">
                  <c:v>1050</c:v>
                </c:pt>
                <c:pt idx="161">
                  <c:v>1050</c:v>
                </c:pt>
                <c:pt idx="162">
                  <c:v>1050</c:v>
                </c:pt>
                <c:pt idx="163">
                  <c:v>1050</c:v>
                </c:pt>
                <c:pt idx="164">
                  <c:v>1050</c:v>
                </c:pt>
                <c:pt idx="165">
                  <c:v>1050</c:v>
                </c:pt>
                <c:pt idx="166">
                  <c:v>1050</c:v>
                </c:pt>
                <c:pt idx="167">
                  <c:v>1050</c:v>
                </c:pt>
                <c:pt idx="168">
                  <c:v>1050</c:v>
                </c:pt>
                <c:pt idx="169">
                  <c:v>1050</c:v>
                </c:pt>
                <c:pt idx="170">
                  <c:v>1050</c:v>
                </c:pt>
                <c:pt idx="171">
                  <c:v>1050</c:v>
                </c:pt>
                <c:pt idx="172">
                  <c:v>1050</c:v>
                </c:pt>
                <c:pt idx="173">
                  <c:v>1050</c:v>
                </c:pt>
                <c:pt idx="174">
                  <c:v>1050</c:v>
                </c:pt>
                <c:pt idx="175">
                  <c:v>1050</c:v>
                </c:pt>
                <c:pt idx="176">
                  <c:v>1050</c:v>
                </c:pt>
                <c:pt idx="177">
                  <c:v>1050</c:v>
                </c:pt>
                <c:pt idx="178">
                  <c:v>1050</c:v>
                </c:pt>
                <c:pt idx="179">
                  <c:v>1050</c:v>
                </c:pt>
                <c:pt idx="180">
                  <c:v>1050</c:v>
                </c:pt>
                <c:pt idx="181">
                  <c:v>1050</c:v>
                </c:pt>
                <c:pt idx="182">
                  <c:v>1050</c:v>
                </c:pt>
                <c:pt idx="183">
                  <c:v>1050</c:v>
                </c:pt>
                <c:pt idx="184">
                  <c:v>1050</c:v>
                </c:pt>
                <c:pt idx="185">
                  <c:v>1050</c:v>
                </c:pt>
                <c:pt idx="186">
                  <c:v>1050</c:v>
                </c:pt>
                <c:pt idx="187">
                  <c:v>1050</c:v>
                </c:pt>
                <c:pt idx="188">
                  <c:v>1050</c:v>
                </c:pt>
                <c:pt idx="189">
                  <c:v>1050</c:v>
                </c:pt>
                <c:pt idx="190">
                  <c:v>1050</c:v>
                </c:pt>
                <c:pt idx="191">
                  <c:v>1050</c:v>
                </c:pt>
                <c:pt idx="192">
                  <c:v>1050</c:v>
                </c:pt>
                <c:pt idx="193">
                  <c:v>1050</c:v>
                </c:pt>
                <c:pt idx="194">
                  <c:v>1050</c:v>
                </c:pt>
                <c:pt idx="195">
                  <c:v>1050</c:v>
                </c:pt>
                <c:pt idx="196">
                  <c:v>1050</c:v>
                </c:pt>
                <c:pt idx="197">
                  <c:v>1050</c:v>
                </c:pt>
                <c:pt idx="198">
                  <c:v>1050</c:v>
                </c:pt>
                <c:pt idx="199">
                  <c:v>1050</c:v>
                </c:pt>
                <c:pt idx="200">
                  <c:v>1050</c:v>
                </c:pt>
                <c:pt idx="201">
                  <c:v>1050</c:v>
                </c:pt>
                <c:pt idx="202">
                  <c:v>1050</c:v>
                </c:pt>
                <c:pt idx="203">
                  <c:v>1050</c:v>
                </c:pt>
                <c:pt idx="204">
                  <c:v>1050</c:v>
                </c:pt>
                <c:pt idx="205">
                  <c:v>1050</c:v>
                </c:pt>
                <c:pt idx="206">
                  <c:v>1050</c:v>
                </c:pt>
                <c:pt idx="207">
                  <c:v>1050</c:v>
                </c:pt>
                <c:pt idx="208">
                  <c:v>1050</c:v>
                </c:pt>
                <c:pt idx="209">
                  <c:v>1050</c:v>
                </c:pt>
                <c:pt idx="210">
                  <c:v>1050</c:v>
                </c:pt>
                <c:pt idx="211">
                  <c:v>1050</c:v>
                </c:pt>
                <c:pt idx="212">
                  <c:v>1050</c:v>
                </c:pt>
                <c:pt idx="213">
                  <c:v>1050</c:v>
                </c:pt>
                <c:pt idx="214">
                  <c:v>1050</c:v>
                </c:pt>
                <c:pt idx="215">
                  <c:v>1050</c:v>
                </c:pt>
                <c:pt idx="216">
                  <c:v>1050</c:v>
                </c:pt>
                <c:pt idx="217">
                  <c:v>1050</c:v>
                </c:pt>
                <c:pt idx="218">
                  <c:v>1050</c:v>
                </c:pt>
                <c:pt idx="219">
                  <c:v>1050</c:v>
                </c:pt>
                <c:pt idx="220">
                  <c:v>1050</c:v>
                </c:pt>
                <c:pt idx="221">
                  <c:v>1050</c:v>
                </c:pt>
                <c:pt idx="222">
                  <c:v>1050</c:v>
                </c:pt>
                <c:pt idx="223">
                  <c:v>1050</c:v>
                </c:pt>
                <c:pt idx="224">
                  <c:v>1050</c:v>
                </c:pt>
                <c:pt idx="225">
                  <c:v>1050</c:v>
                </c:pt>
                <c:pt idx="226">
                  <c:v>1050</c:v>
                </c:pt>
                <c:pt idx="227">
                  <c:v>1050</c:v>
                </c:pt>
                <c:pt idx="228">
                  <c:v>1050</c:v>
                </c:pt>
                <c:pt idx="229">
                  <c:v>1050</c:v>
                </c:pt>
                <c:pt idx="230">
                  <c:v>1050</c:v>
                </c:pt>
                <c:pt idx="231">
                  <c:v>1050</c:v>
                </c:pt>
                <c:pt idx="232">
                  <c:v>1050</c:v>
                </c:pt>
                <c:pt idx="233">
                  <c:v>1050</c:v>
                </c:pt>
                <c:pt idx="234">
                  <c:v>1050</c:v>
                </c:pt>
                <c:pt idx="235">
                  <c:v>1050</c:v>
                </c:pt>
                <c:pt idx="236">
                  <c:v>1050</c:v>
                </c:pt>
                <c:pt idx="237">
                  <c:v>1050</c:v>
                </c:pt>
                <c:pt idx="238">
                  <c:v>1050</c:v>
                </c:pt>
                <c:pt idx="239">
                  <c:v>1050</c:v>
                </c:pt>
                <c:pt idx="240">
                  <c:v>1050</c:v>
                </c:pt>
                <c:pt idx="241">
                  <c:v>1050</c:v>
                </c:pt>
                <c:pt idx="242">
                  <c:v>1050</c:v>
                </c:pt>
                <c:pt idx="243">
                  <c:v>1050</c:v>
                </c:pt>
                <c:pt idx="244">
                  <c:v>1050</c:v>
                </c:pt>
                <c:pt idx="245">
                  <c:v>1050</c:v>
                </c:pt>
                <c:pt idx="246">
                  <c:v>1050</c:v>
                </c:pt>
                <c:pt idx="247">
                  <c:v>1050</c:v>
                </c:pt>
                <c:pt idx="248">
                  <c:v>1050</c:v>
                </c:pt>
                <c:pt idx="249">
                  <c:v>1050</c:v>
                </c:pt>
                <c:pt idx="250">
                  <c:v>1050</c:v>
                </c:pt>
                <c:pt idx="251">
                  <c:v>1050</c:v>
                </c:pt>
                <c:pt idx="252">
                  <c:v>1050</c:v>
                </c:pt>
                <c:pt idx="253">
                  <c:v>1050</c:v>
                </c:pt>
                <c:pt idx="254">
                  <c:v>1050</c:v>
                </c:pt>
                <c:pt idx="255">
                  <c:v>1050</c:v>
                </c:pt>
                <c:pt idx="256">
                  <c:v>1050</c:v>
                </c:pt>
                <c:pt idx="257">
                  <c:v>1050</c:v>
                </c:pt>
                <c:pt idx="258">
                  <c:v>1050</c:v>
                </c:pt>
                <c:pt idx="259">
                  <c:v>1050</c:v>
                </c:pt>
                <c:pt idx="260">
                  <c:v>1050</c:v>
                </c:pt>
                <c:pt idx="261">
                  <c:v>1050</c:v>
                </c:pt>
                <c:pt idx="262">
                  <c:v>1050</c:v>
                </c:pt>
                <c:pt idx="263">
                  <c:v>1050</c:v>
                </c:pt>
                <c:pt idx="264">
                  <c:v>1050</c:v>
                </c:pt>
                <c:pt idx="265">
                  <c:v>1050</c:v>
                </c:pt>
                <c:pt idx="266">
                  <c:v>1050</c:v>
                </c:pt>
                <c:pt idx="267">
                  <c:v>1050</c:v>
                </c:pt>
                <c:pt idx="268">
                  <c:v>1050</c:v>
                </c:pt>
                <c:pt idx="269">
                  <c:v>1050</c:v>
                </c:pt>
                <c:pt idx="270">
                  <c:v>1050</c:v>
                </c:pt>
                <c:pt idx="271">
                  <c:v>1050</c:v>
                </c:pt>
                <c:pt idx="272">
                  <c:v>1050</c:v>
                </c:pt>
                <c:pt idx="273">
                  <c:v>1050</c:v>
                </c:pt>
                <c:pt idx="274">
                  <c:v>1050</c:v>
                </c:pt>
                <c:pt idx="275">
                  <c:v>1050</c:v>
                </c:pt>
                <c:pt idx="276">
                  <c:v>1050</c:v>
                </c:pt>
                <c:pt idx="277">
                  <c:v>1050</c:v>
                </c:pt>
                <c:pt idx="278">
                  <c:v>1050</c:v>
                </c:pt>
                <c:pt idx="279">
                  <c:v>1050</c:v>
                </c:pt>
                <c:pt idx="280">
                  <c:v>1050</c:v>
                </c:pt>
                <c:pt idx="281">
                  <c:v>1050</c:v>
                </c:pt>
                <c:pt idx="282">
                  <c:v>1050</c:v>
                </c:pt>
                <c:pt idx="283">
                  <c:v>1050</c:v>
                </c:pt>
                <c:pt idx="284">
                  <c:v>1050</c:v>
                </c:pt>
                <c:pt idx="285">
                  <c:v>1050</c:v>
                </c:pt>
                <c:pt idx="286">
                  <c:v>1050</c:v>
                </c:pt>
                <c:pt idx="287">
                  <c:v>1050</c:v>
                </c:pt>
                <c:pt idx="288">
                  <c:v>1050</c:v>
                </c:pt>
                <c:pt idx="289">
                  <c:v>1050</c:v>
                </c:pt>
                <c:pt idx="290">
                  <c:v>1050</c:v>
                </c:pt>
                <c:pt idx="291">
                  <c:v>1050</c:v>
                </c:pt>
                <c:pt idx="292">
                  <c:v>1050</c:v>
                </c:pt>
                <c:pt idx="293">
                  <c:v>1050</c:v>
                </c:pt>
                <c:pt idx="294">
                  <c:v>1050</c:v>
                </c:pt>
                <c:pt idx="295">
                  <c:v>1050</c:v>
                </c:pt>
                <c:pt idx="296">
                  <c:v>1050</c:v>
                </c:pt>
                <c:pt idx="297">
                  <c:v>1050</c:v>
                </c:pt>
                <c:pt idx="298">
                  <c:v>1050</c:v>
                </c:pt>
                <c:pt idx="299">
                  <c:v>1050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产销汇总!$N$12</c:f>
              <c:strCache>
                <c:ptCount val="1"/>
                <c:pt idx="0">
                  <c:v>竞技场排行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产销汇总!$I$13:$I$312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xVal>
          <c:yVal>
            <c:numRef>
              <c:f>产销汇总!$N$13:$N$312</c:f>
              <c:numCache>
                <c:formatCode>0_ </c:formatCode>
                <c:ptCount val="300"/>
                <c:pt idx="0">
                  <c:v>261.428571428571</c:v>
                </c:pt>
                <c:pt idx="1">
                  <c:v>261.428571428571</c:v>
                </c:pt>
                <c:pt idx="2">
                  <c:v>261.428571428571</c:v>
                </c:pt>
                <c:pt idx="3">
                  <c:v>261.428571428571</c:v>
                </c:pt>
                <c:pt idx="4">
                  <c:v>261.428571428571</c:v>
                </c:pt>
                <c:pt idx="5">
                  <c:v>261.428571428571</c:v>
                </c:pt>
                <c:pt idx="6">
                  <c:v>261.428571428571</c:v>
                </c:pt>
                <c:pt idx="7">
                  <c:v>261.428571428571</c:v>
                </c:pt>
                <c:pt idx="8">
                  <c:v>261.428571428571</c:v>
                </c:pt>
                <c:pt idx="9">
                  <c:v>261.428571428571</c:v>
                </c:pt>
                <c:pt idx="10">
                  <c:v>261.428571428571</c:v>
                </c:pt>
                <c:pt idx="11">
                  <c:v>261.428571428571</c:v>
                </c:pt>
                <c:pt idx="12">
                  <c:v>261.428571428571</c:v>
                </c:pt>
                <c:pt idx="13">
                  <c:v>261.428571428571</c:v>
                </c:pt>
                <c:pt idx="14">
                  <c:v>261.428571428571</c:v>
                </c:pt>
                <c:pt idx="15">
                  <c:v>261.428571428571</c:v>
                </c:pt>
                <c:pt idx="16">
                  <c:v>261.428571428571</c:v>
                </c:pt>
                <c:pt idx="17">
                  <c:v>261.428571428571</c:v>
                </c:pt>
                <c:pt idx="18">
                  <c:v>261.428571428571</c:v>
                </c:pt>
                <c:pt idx="19">
                  <c:v>261.428571428571</c:v>
                </c:pt>
                <c:pt idx="20">
                  <c:v>261.428571428571</c:v>
                </c:pt>
                <c:pt idx="21">
                  <c:v>261.428571428571</c:v>
                </c:pt>
                <c:pt idx="22">
                  <c:v>261.428571428571</c:v>
                </c:pt>
                <c:pt idx="23">
                  <c:v>261.428571428571</c:v>
                </c:pt>
                <c:pt idx="24">
                  <c:v>261.428571428571</c:v>
                </c:pt>
                <c:pt idx="25">
                  <c:v>261.428571428571</c:v>
                </c:pt>
                <c:pt idx="26">
                  <c:v>261.428571428571</c:v>
                </c:pt>
                <c:pt idx="27">
                  <c:v>261.428571428571</c:v>
                </c:pt>
                <c:pt idx="28">
                  <c:v>261.428571428571</c:v>
                </c:pt>
                <c:pt idx="29">
                  <c:v>261.428571428571</c:v>
                </c:pt>
                <c:pt idx="30">
                  <c:v>261.428571428571</c:v>
                </c:pt>
                <c:pt idx="31">
                  <c:v>261.428571428571</c:v>
                </c:pt>
                <c:pt idx="32">
                  <c:v>261.428571428571</c:v>
                </c:pt>
                <c:pt idx="33">
                  <c:v>261.428571428571</c:v>
                </c:pt>
                <c:pt idx="34">
                  <c:v>261.428571428571</c:v>
                </c:pt>
                <c:pt idx="35">
                  <c:v>261.428571428571</c:v>
                </c:pt>
                <c:pt idx="36">
                  <c:v>261.428571428571</c:v>
                </c:pt>
                <c:pt idx="37">
                  <c:v>261.428571428571</c:v>
                </c:pt>
                <c:pt idx="38">
                  <c:v>261.428571428571</c:v>
                </c:pt>
                <c:pt idx="39">
                  <c:v>261.428571428571</c:v>
                </c:pt>
                <c:pt idx="40">
                  <c:v>261.428571428571</c:v>
                </c:pt>
                <c:pt idx="41">
                  <c:v>261.428571428571</c:v>
                </c:pt>
                <c:pt idx="42">
                  <c:v>261.428571428571</c:v>
                </c:pt>
                <c:pt idx="43">
                  <c:v>261.428571428571</c:v>
                </c:pt>
                <c:pt idx="44">
                  <c:v>261.428571428571</c:v>
                </c:pt>
                <c:pt idx="45">
                  <c:v>261.428571428571</c:v>
                </c:pt>
                <c:pt idx="46">
                  <c:v>261.428571428571</c:v>
                </c:pt>
                <c:pt idx="47">
                  <c:v>261.428571428571</c:v>
                </c:pt>
                <c:pt idx="48">
                  <c:v>261.428571428571</c:v>
                </c:pt>
                <c:pt idx="49">
                  <c:v>261.428571428571</c:v>
                </c:pt>
                <c:pt idx="50">
                  <c:v>261.428571428571</c:v>
                </c:pt>
                <c:pt idx="51">
                  <c:v>261.428571428571</c:v>
                </c:pt>
                <c:pt idx="52">
                  <c:v>261.428571428571</c:v>
                </c:pt>
                <c:pt idx="53">
                  <c:v>261.428571428571</c:v>
                </c:pt>
                <c:pt idx="54">
                  <c:v>261.428571428571</c:v>
                </c:pt>
                <c:pt idx="55">
                  <c:v>261.428571428571</c:v>
                </c:pt>
                <c:pt idx="56">
                  <c:v>261.428571428571</c:v>
                </c:pt>
                <c:pt idx="57">
                  <c:v>261.428571428571</c:v>
                </c:pt>
                <c:pt idx="58">
                  <c:v>261.428571428571</c:v>
                </c:pt>
                <c:pt idx="59">
                  <c:v>261.428571428571</c:v>
                </c:pt>
                <c:pt idx="60">
                  <c:v>261.428571428571</c:v>
                </c:pt>
                <c:pt idx="61">
                  <c:v>261.428571428571</c:v>
                </c:pt>
                <c:pt idx="62">
                  <c:v>261.428571428571</c:v>
                </c:pt>
                <c:pt idx="63">
                  <c:v>261.428571428571</c:v>
                </c:pt>
                <c:pt idx="64">
                  <c:v>261.428571428571</c:v>
                </c:pt>
                <c:pt idx="65">
                  <c:v>261.428571428571</c:v>
                </c:pt>
                <c:pt idx="66">
                  <c:v>261.428571428571</c:v>
                </c:pt>
                <c:pt idx="67">
                  <c:v>261.428571428571</c:v>
                </c:pt>
                <c:pt idx="68">
                  <c:v>261.428571428571</c:v>
                </c:pt>
                <c:pt idx="69">
                  <c:v>261.428571428571</c:v>
                </c:pt>
                <c:pt idx="70">
                  <c:v>261.428571428571</c:v>
                </c:pt>
                <c:pt idx="71">
                  <c:v>261.428571428571</c:v>
                </c:pt>
                <c:pt idx="72">
                  <c:v>261.428571428571</c:v>
                </c:pt>
                <c:pt idx="73">
                  <c:v>261.428571428571</c:v>
                </c:pt>
                <c:pt idx="74">
                  <c:v>261.428571428571</c:v>
                </c:pt>
                <c:pt idx="75">
                  <c:v>261.428571428571</c:v>
                </c:pt>
                <c:pt idx="76">
                  <c:v>261.428571428571</c:v>
                </c:pt>
                <c:pt idx="77">
                  <c:v>261.428571428571</c:v>
                </c:pt>
                <c:pt idx="78">
                  <c:v>261.428571428571</c:v>
                </c:pt>
                <c:pt idx="79">
                  <c:v>261.428571428571</c:v>
                </c:pt>
                <c:pt idx="80">
                  <c:v>261.428571428571</c:v>
                </c:pt>
                <c:pt idx="81">
                  <c:v>261.428571428571</c:v>
                </c:pt>
                <c:pt idx="82">
                  <c:v>261.428571428571</c:v>
                </c:pt>
                <c:pt idx="83">
                  <c:v>261.428571428571</c:v>
                </c:pt>
                <c:pt idx="84">
                  <c:v>261.428571428571</c:v>
                </c:pt>
                <c:pt idx="85">
                  <c:v>261.428571428571</c:v>
                </c:pt>
                <c:pt idx="86">
                  <c:v>261.428571428571</c:v>
                </c:pt>
                <c:pt idx="87">
                  <c:v>261.428571428571</c:v>
                </c:pt>
                <c:pt idx="88">
                  <c:v>261.428571428571</c:v>
                </c:pt>
                <c:pt idx="89">
                  <c:v>261.428571428571</c:v>
                </c:pt>
                <c:pt idx="90">
                  <c:v>261.428571428571</c:v>
                </c:pt>
                <c:pt idx="91">
                  <c:v>261.428571428571</c:v>
                </c:pt>
                <c:pt idx="92">
                  <c:v>261.428571428571</c:v>
                </c:pt>
                <c:pt idx="93">
                  <c:v>261.428571428571</c:v>
                </c:pt>
                <c:pt idx="94">
                  <c:v>261.428571428571</c:v>
                </c:pt>
                <c:pt idx="95">
                  <c:v>261.428571428571</c:v>
                </c:pt>
                <c:pt idx="96">
                  <c:v>261.428571428571</c:v>
                </c:pt>
                <c:pt idx="97">
                  <c:v>261.428571428571</c:v>
                </c:pt>
                <c:pt idx="98">
                  <c:v>261.428571428571</c:v>
                </c:pt>
                <c:pt idx="99">
                  <c:v>261.428571428571</c:v>
                </c:pt>
                <c:pt idx="100">
                  <c:v>261.428571428571</c:v>
                </c:pt>
                <c:pt idx="101">
                  <c:v>261.428571428571</c:v>
                </c:pt>
                <c:pt idx="102">
                  <c:v>261.428571428571</c:v>
                </c:pt>
                <c:pt idx="103">
                  <c:v>261.428571428571</c:v>
                </c:pt>
                <c:pt idx="104">
                  <c:v>261.428571428571</c:v>
                </c:pt>
                <c:pt idx="105">
                  <c:v>261.428571428571</c:v>
                </c:pt>
                <c:pt idx="106">
                  <c:v>261.428571428571</c:v>
                </c:pt>
                <c:pt idx="107">
                  <c:v>261.428571428571</c:v>
                </c:pt>
                <c:pt idx="108">
                  <c:v>261.428571428571</c:v>
                </c:pt>
                <c:pt idx="109">
                  <c:v>261.428571428571</c:v>
                </c:pt>
                <c:pt idx="110">
                  <c:v>261.428571428571</c:v>
                </c:pt>
                <c:pt idx="111">
                  <c:v>261.428571428571</c:v>
                </c:pt>
                <c:pt idx="112">
                  <c:v>261.428571428571</c:v>
                </c:pt>
                <c:pt idx="113">
                  <c:v>261.428571428571</c:v>
                </c:pt>
                <c:pt idx="114">
                  <c:v>261.428571428571</c:v>
                </c:pt>
                <c:pt idx="115">
                  <c:v>261.428571428571</c:v>
                </c:pt>
                <c:pt idx="116">
                  <c:v>261.428571428571</c:v>
                </c:pt>
                <c:pt idx="117">
                  <c:v>261.428571428571</c:v>
                </c:pt>
                <c:pt idx="118">
                  <c:v>261.428571428571</c:v>
                </c:pt>
                <c:pt idx="119">
                  <c:v>261.428571428571</c:v>
                </c:pt>
                <c:pt idx="120">
                  <c:v>261.428571428571</c:v>
                </c:pt>
                <c:pt idx="121">
                  <c:v>261.428571428571</c:v>
                </c:pt>
                <c:pt idx="122">
                  <c:v>261.428571428571</c:v>
                </c:pt>
                <c:pt idx="123">
                  <c:v>261.428571428571</c:v>
                </c:pt>
                <c:pt idx="124">
                  <c:v>261.428571428571</c:v>
                </c:pt>
                <c:pt idx="125">
                  <c:v>261.428571428571</c:v>
                </c:pt>
                <c:pt idx="126">
                  <c:v>261.428571428571</c:v>
                </c:pt>
                <c:pt idx="127">
                  <c:v>261.428571428571</c:v>
                </c:pt>
                <c:pt idx="128">
                  <c:v>261.428571428571</c:v>
                </c:pt>
                <c:pt idx="129">
                  <c:v>261.428571428571</c:v>
                </c:pt>
                <c:pt idx="130">
                  <c:v>261.428571428571</c:v>
                </c:pt>
                <c:pt idx="131">
                  <c:v>261.428571428571</c:v>
                </c:pt>
                <c:pt idx="132">
                  <c:v>261.428571428571</c:v>
                </c:pt>
                <c:pt idx="133">
                  <c:v>261.428571428571</c:v>
                </c:pt>
                <c:pt idx="134">
                  <c:v>261.428571428571</c:v>
                </c:pt>
                <c:pt idx="135">
                  <c:v>261.428571428571</c:v>
                </c:pt>
                <c:pt idx="136">
                  <c:v>261.428571428571</c:v>
                </c:pt>
                <c:pt idx="137">
                  <c:v>261.428571428571</c:v>
                </c:pt>
                <c:pt idx="138">
                  <c:v>261.428571428571</c:v>
                </c:pt>
                <c:pt idx="139">
                  <c:v>261.428571428571</c:v>
                </c:pt>
                <c:pt idx="140">
                  <c:v>261.428571428571</c:v>
                </c:pt>
                <c:pt idx="141">
                  <c:v>261.428571428571</c:v>
                </c:pt>
                <c:pt idx="142">
                  <c:v>261.428571428571</c:v>
                </c:pt>
                <c:pt idx="143">
                  <c:v>261.428571428571</c:v>
                </c:pt>
                <c:pt idx="144">
                  <c:v>261.428571428571</c:v>
                </c:pt>
                <c:pt idx="145">
                  <c:v>261.428571428571</c:v>
                </c:pt>
                <c:pt idx="146">
                  <c:v>261.428571428571</c:v>
                </c:pt>
                <c:pt idx="147">
                  <c:v>261.428571428571</c:v>
                </c:pt>
                <c:pt idx="148">
                  <c:v>261.428571428571</c:v>
                </c:pt>
                <c:pt idx="149">
                  <c:v>261.428571428571</c:v>
                </c:pt>
                <c:pt idx="150">
                  <c:v>261.428571428571</c:v>
                </c:pt>
                <c:pt idx="151">
                  <c:v>261.428571428571</c:v>
                </c:pt>
                <c:pt idx="152">
                  <c:v>261.428571428571</c:v>
                </c:pt>
                <c:pt idx="153">
                  <c:v>261.428571428571</c:v>
                </c:pt>
                <c:pt idx="154">
                  <c:v>261.428571428571</c:v>
                </c:pt>
                <c:pt idx="155">
                  <c:v>261.428571428571</c:v>
                </c:pt>
                <c:pt idx="156">
                  <c:v>261.428571428571</c:v>
                </c:pt>
                <c:pt idx="157">
                  <c:v>261.428571428571</c:v>
                </c:pt>
                <c:pt idx="158">
                  <c:v>261.428571428571</c:v>
                </c:pt>
                <c:pt idx="159">
                  <c:v>261.428571428571</c:v>
                </c:pt>
                <c:pt idx="160">
                  <c:v>261.428571428571</c:v>
                </c:pt>
                <c:pt idx="161">
                  <c:v>261.428571428571</c:v>
                </c:pt>
                <c:pt idx="162">
                  <c:v>261.428571428571</c:v>
                </c:pt>
                <c:pt idx="163">
                  <c:v>261.428571428571</c:v>
                </c:pt>
                <c:pt idx="164">
                  <c:v>261.428571428571</c:v>
                </c:pt>
                <c:pt idx="165">
                  <c:v>261.428571428571</c:v>
                </c:pt>
                <c:pt idx="166">
                  <c:v>261.428571428571</c:v>
                </c:pt>
                <c:pt idx="167">
                  <c:v>261.428571428571</c:v>
                </c:pt>
                <c:pt idx="168">
                  <c:v>261.428571428571</c:v>
                </c:pt>
                <c:pt idx="169">
                  <c:v>261.428571428571</c:v>
                </c:pt>
                <c:pt idx="170">
                  <c:v>261.428571428571</c:v>
                </c:pt>
                <c:pt idx="171">
                  <c:v>261.428571428571</c:v>
                </c:pt>
                <c:pt idx="172">
                  <c:v>261.428571428571</c:v>
                </c:pt>
                <c:pt idx="173">
                  <c:v>261.428571428571</c:v>
                </c:pt>
                <c:pt idx="174">
                  <c:v>261.428571428571</c:v>
                </c:pt>
                <c:pt idx="175">
                  <c:v>261.428571428571</c:v>
                </c:pt>
                <c:pt idx="176">
                  <c:v>261.428571428571</c:v>
                </c:pt>
                <c:pt idx="177">
                  <c:v>261.428571428571</c:v>
                </c:pt>
                <c:pt idx="178">
                  <c:v>261.428571428571</c:v>
                </c:pt>
                <c:pt idx="179">
                  <c:v>261.428571428571</c:v>
                </c:pt>
                <c:pt idx="180">
                  <c:v>261.428571428571</c:v>
                </c:pt>
                <c:pt idx="181">
                  <c:v>261.428571428571</c:v>
                </c:pt>
                <c:pt idx="182">
                  <c:v>261.428571428571</c:v>
                </c:pt>
                <c:pt idx="183">
                  <c:v>261.428571428571</c:v>
                </c:pt>
                <c:pt idx="184">
                  <c:v>261.428571428571</c:v>
                </c:pt>
                <c:pt idx="185">
                  <c:v>261.428571428571</c:v>
                </c:pt>
                <c:pt idx="186">
                  <c:v>261.428571428571</c:v>
                </c:pt>
                <c:pt idx="187">
                  <c:v>261.428571428571</c:v>
                </c:pt>
                <c:pt idx="188">
                  <c:v>261.428571428571</c:v>
                </c:pt>
                <c:pt idx="189">
                  <c:v>261.428571428571</c:v>
                </c:pt>
                <c:pt idx="190">
                  <c:v>261.428571428571</c:v>
                </c:pt>
                <c:pt idx="191">
                  <c:v>261.428571428571</c:v>
                </c:pt>
                <c:pt idx="192">
                  <c:v>261.428571428571</c:v>
                </c:pt>
                <c:pt idx="193">
                  <c:v>261.428571428571</c:v>
                </c:pt>
                <c:pt idx="194">
                  <c:v>261.428571428571</c:v>
                </c:pt>
                <c:pt idx="195">
                  <c:v>261.428571428571</c:v>
                </c:pt>
                <c:pt idx="196">
                  <c:v>261.428571428571</c:v>
                </c:pt>
                <c:pt idx="197">
                  <c:v>261.428571428571</c:v>
                </c:pt>
                <c:pt idx="198">
                  <c:v>261.428571428571</c:v>
                </c:pt>
                <c:pt idx="199">
                  <c:v>261.428571428571</c:v>
                </c:pt>
                <c:pt idx="200">
                  <c:v>261.428571428571</c:v>
                </c:pt>
                <c:pt idx="201">
                  <c:v>261.428571428571</c:v>
                </c:pt>
                <c:pt idx="202">
                  <c:v>261.428571428571</c:v>
                </c:pt>
                <c:pt idx="203">
                  <c:v>261.428571428571</c:v>
                </c:pt>
                <c:pt idx="204">
                  <c:v>261.428571428571</c:v>
                </c:pt>
                <c:pt idx="205">
                  <c:v>261.428571428571</c:v>
                </c:pt>
                <c:pt idx="206">
                  <c:v>261.428571428571</c:v>
                </c:pt>
                <c:pt idx="207">
                  <c:v>261.428571428571</c:v>
                </c:pt>
                <c:pt idx="208">
                  <c:v>261.428571428571</c:v>
                </c:pt>
                <c:pt idx="209">
                  <c:v>261.428571428571</c:v>
                </c:pt>
                <c:pt idx="210">
                  <c:v>261.428571428571</c:v>
                </c:pt>
                <c:pt idx="211">
                  <c:v>261.428571428571</c:v>
                </c:pt>
                <c:pt idx="212">
                  <c:v>261.428571428571</c:v>
                </c:pt>
                <c:pt idx="213">
                  <c:v>261.428571428571</c:v>
                </c:pt>
                <c:pt idx="214">
                  <c:v>261.428571428571</c:v>
                </c:pt>
                <c:pt idx="215">
                  <c:v>261.428571428571</c:v>
                </c:pt>
                <c:pt idx="216">
                  <c:v>261.428571428571</c:v>
                </c:pt>
                <c:pt idx="217">
                  <c:v>261.428571428571</c:v>
                </c:pt>
                <c:pt idx="218">
                  <c:v>261.428571428571</c:v>
                </c:pt>
                <c:pt idx="219">
                  <c:v>261.428571428571</c:v>
                </c:pt>
                <c:pt idx="220">
                  <c:v>261.428571428571</c:v>
                </c:pt>
                <c:pt idx="221">
                  <c:v>261.428571428571</c:v>
                </c:pt>
                <c:pt idx="222">
                  <c:v>261.428571428571</c:v>
                </c:pt>
                <c:pt idx="223">
                  <c:v>261.428571428571</c:v>
                </c:pt>
                <c:pt idx="224">
                  <c:v>261.428571428571</c:v>
                </c:pt>
                <c:pt idx="225">
                  <c:v>261.428571428571</c:v>
                </c:pt>
                <c:pt idx="226">
                  <c:v>261.428571428571</c:v>
                </c:pt>
                <c:pt idx="227">
                  <c:v>261.428571428571</c:v>
                </c:pt>
                <c:pt idx="228">
                  <c:v>261.428571428571</c:v>
                </c:pt>
                <c:pt idx="229">
                  <c:v>261.428571428571</c:v>
                </c:pt>
                <c:pt idx="230">
                  <c:v>261.428571428571</c:v>
                </c:pt>
                <c:pt idx="231">
                  <c:v>261.428571428571</c:v>
                </c:pt>
                <c:pt idx="232">
                  <c:v>261.428571428571</c:v>
                </c:pt>
                <c:pt idx="233">
                  <c:v>261.428571428571</c:v>
                </c:pt>
                <c:pt idx="234">
                  <c:v>261.428571428571</c:v>
                </c:pt>
                <c:pt idx="235">
                  <c:v>261.428571428571</c:v>
                </c:pt>
                <c:pt idx="236">
                  <c:v>261.428571428571</c:v>
                </c:pt>
                <c:pt idx="237">
                  <c:v>261.428571428571</c:v>
                </c:pt>
                <c:pt idx="238">
                  <c:v>261.428571428571</c:v>
                </c:pt>
                <c:pt idx="239">
                  <c:v>261.428571428571</c:v>
                </c:pt>
                <c:pt idx="240">
                  <c:v>261.428571428571</c:v>
                </c:pt>
                <c:pt idx="241">
                  <c:v>261.428571428571</c:v>
                </c:pt>
                <c:pt idx="242">
                  <c:v>261.428571428571</c:v>
                </c:pt>
                <c:pt idx="243">
                  <c:v>261.428571428571</c:v>
                </c:pt>
                <c:pt idx="244">
                  <c:v>261.428571428571</c:v>
                </c:pt>
                <c:pt idx="245">
                  <c:v>261.428571428571</c:v>
                </c:pt>
                <c:pt idx="246">
                  <c:v>261.428571428571</c:v>
                </c:pt>
                <c:pt idx="247">
                  <c:v>261.428571428571</c:v>
                </c:pt>
                <c:pt idx="248">
                  <c:v>261.428571428571</c:v>
                </c:pt>
                <c:pt idx="249">
                  <c:v>261.428571428571</c:v>
                </c:pt>
                <c:pt idx="250">
                  <c:v>261.428571428571</c:v>
                </c:pt>
                <c:pt idx="251">
                  <c:v>261.428571428571</c:v>
                </c:pt>
                <c:pt idx="252">
                  <c:v>261.428571428571</c:v>
                </c:pt>
                <c:pt idx="253">
                  <c:v>261.428571428571</c:v>
                </c:pt>
                <c:pt idx="254">
                  <c:v>261.428571428571</c:v>
                </c:pt>
                <c:pt idx="255">
                  <c:v>261.428571428571</c:v>
                </c:pt>
                <c:pt idx="256">
                  <c:v>261.428571428571</c:v>
                </c:pt>
                <c:pt idx="257">
                  <c:v>261.428571428571</c:v>
                </c:pt>
                <c:pt idx="258">
                  <c:v>261.428571428571</c:v>
                </c:pt>
                <c:pt idx="259">
                  <c:v>261.428571428571</c:v>
                </c:pt>
                <c:pt idx="260">
                  <c:v>261.428571428571</c:v>
                </c:pt>
                <c:pt idx="261">
                  <c:v>261.428571428571</c:v>
                </c:pt>
                <c:pt idx="262">
                  <c:v>261.428571428571</c:v>
                </c:pt>
                <c:pt idx="263">
                  <c:v>261.428571428571</c:v>
                </c:pt>
                <c:pt idx="264">
                  <c:v>261.428571428571</c:v>
                </c:pt>
                <c:pt idx="265">
                  <c:v>261.428571428571</c:v>
                </c:pt>
                <c:pt idx="266">
                  <c:v>261.428571428571</c:v>
                </c:pt>
                <c:pt idx="267">
                  <c:v>261.428571428571</c:v>
                </c:pt>
                <c:pt idx="268">
                  <c:v>261.428571428571</c:v>
                </c:pt>
                <c:pt idx="269">
                  <c:v>261.428571428571</c:v>
                </c:pt>
                <c:pt idx="270">
                  <c:v>261.428571428571</c:v>
                </c:pt>
                <c:pt idx="271">
                  <c:v>261.428571428571</c:v>
                </c:pt>
                <c:pt idx="272">
                  <c:v>261.428571428571</c:v>
                </c:pt>
                <c:pt idx="273">
                  <c:v>261.428571428571</c:v>
                </c:pt>
                <c:pt idx="274">
                  <c:v>261.428571428571</c:v>
                </c:pt>
                <c:pt idx="275">
                  <c:v>261.428571428571</c:v>
                </c:pt>
                <c:pt idx="276">
                  <c:v>261.428571428571</c:v>
                </c:pt>
                <c:pt idx="277">
                  <c:v>261.428571428571</c:v>
                </c:pt>
                <c:pt idx="278">
                  <c:v>261.428571428571</c:v>
                </c:pt>
                <c:pt idx="279">
                  <c:v>261.428571428571</c:v>
                </c:pt>
                <c:pt idx="280">
                  <c:v>261.428571428571</c:v>
                </c:pt>
                <c:pt idx="281">
                  <c:v>261.428571428571</c:v>
                </c:pt>
                <c:pt idx="282">
                  <c:v>261.428571428571</c:v>
                </c:pt>
                <c:pt idx="283">
                  <c:v>261.428571428571</c:v>
                </c:pt>
                <c:pt idx="284">
                  <c:v>261.428571428571</c:v>
                </c:pt>
                <c:pt idx="285">
                  <c:v>261.428571428571</c:v>
                </c:pt>
                <c:pt idx="286">
                  <c:v>261.428571428571</c:v>
                </c:pt>
                <c:pt idx="287">
                  <c:v>261.428571428571</c:v>
                </c:pt>
                <c:pt idx="288">
                  <c:v>261.428571428571</c:v>
                </c:pt>
                <c:pt idx="289">
                  <c:v>261.428571428571</c:v>
                </c:pt>
                <c:pt idx="290">
                  <c:v>261.428571428571</c:v>
                </c:pt>
                <c:pt idx="291">
                  <c:v>261.428571428571</c:v>
                </c:pt>
                <c:pt idx="292">
                  <c:v>261.428571428571</c:v>
                </c:pt>
                <c:pt idx="293">
                  <c:v>261.428571428571</c:v>
                </c:pt>
                <c:pt idx="294">
                  <c:v>261.428571428571</c:v>
                </c:pt>
                <c:pt idx="295">
                  <c:v>261.428571428571</c:v>
                </c:pt>
                <c:pt idx="296">
                  <c:v>261.428571428571</c:v>
                </c:pt>
                <c:pt idx="297">
                  <c:v>261.428571428571</c:v>
                </c:pt>
                <c:pt idx="298">
                  <c:v>261.428571428571</c:v>
                </c:pt>
                <c:pt idx="299">
                  <c:v>261.428571428571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产销汇总!$O$12</c:f>
              <c:strCache>
                <c:ptCount val="1"/>
                <c:pt idx="0">
                  <c:v>任务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产销汇总!$I$13:$I$312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xVal>
          <c:yVal>
            <c:numRef>
              <c:f>产销汇总!$O$13:$O$312</c:f>
              <c:numCache>
                <c:formatCode>General</c:formatCode>
                <c:ptCount val="300"/>
                <c:pt idx="0">
                  <c:v>895</c:v>
                </c:pt>
                <c:pt idx="1">
                  <c:v>895</c:v>
                </c:pt>
                <c:pt idx="2">
                  <c:v>895</c:v>
                </c:pt>
                <c:pt idx="3">
                  <c:v>895</c:v>
                </c:pt>
                <c:pt idx="4">
                  <c:v>895</c:v>
                </c:pt>
                <c:pt idx="5">
                  <c:v>895</c:v>
                </c:pt>
                <c:pt idx="6">
                  <c:v>3125</c:v>
                </c:pt>
                <c:pt idx="7">
                  <c:v>895</c:v>
                </c:pt>
                <c:pt idx="8">
                  <c:v>895</c:v>
                </c:pt>
                <c:pt idx="9">
                  <c:v>895</c:v>
                </c:pt>
                <c:pt idx="10">
                  <c:v>895</c:v>
                </c:pt>
                <c:pt idx="11">
                  <c:v>895</c:v>
                </c:pt>
                <c:pt idx="12">
                  <c:v>895</c:v>
                </c:pt>
                <c:pt idx="13">
                  <c:v>3125</c:v>
                </c:pt>
                <c:pt idx="14">
                  <c:v>895</c:v>
                </c:pt>
                <c:pt idx="15">
                  <c:v>895</c:v>
                </c:pt>
                <c:pt idx="16">
                  <c:v>895</c:v>
                </c:pt>
                <c:pt idx="17">
                  <c:v>895</c:v>
                </c:pt>
                <c:pt idx="18">
                  <c:v>895</c:v>
                </c:pt>
                <c:pt idx="19">
                  <c:v>895</c:v>
                </c:pt>
                <c:pt idx="20">
                  <c:v>3125</c:v>
                </c:pt>
                <c:pt idx="21">
                  <c:v>895</c:v>
                </c:pt>
                <c:pt idx="22">
                  <c:v>895</c:v>
                </c:pt>
                <c:pt idx="23">
                  <c:v>895</c:v>
                </c:pt>
                <c:pt idx="24">
                  <c:v>895</c:v>
                </c:pt>
                <c:pt idx="25">
                  <c:v>895</c:v>
                </c:pt>
                <c:pt idx="26">
                  <c:v>895</c:v>
                </c:pt>
                <c:pt idx="27">
                  <c:v>3125</c:v>
                </c:pt>
                <c:pt idx="28">
                  <c:v>895</c:v>
                </c:pt>
                <c:pt idx="29">
                  <c:v>895</c:v>
                </c:pt>
                <c:pt idx="30">
                  <c:v>895</c:v>
                </c:pt>
                <c:pt idx="31">
                  <c:v>895</c:v>
                </c:pt>
                <c:pt idx="32">
                  <c:v>895</c:v>
                </c:pt>
                <c:pt idx="33">
                  <c:v>895</c:v>
                </c:pt>
                <c:pt idx="34">
                  <c:v>3125</c:v>
                </c:pt>
                <c:pt idx="35">
                  <c:v>895</c:v>
                </c:pt>
                <c:pt idx="36">
                  <c:v>895</c:v>
                </c:pt>
                <c:pt idx="37">
                  <c:v>895</c:v>
                </c:pt>
                <c:pt idx="38">
                  <c:v>895</c:v>
                </c:pt>
                <c:pt idx="39">
                  <c:v>895</c:v>
                </c:pt>
                <c:pt idx="40">
                  <c:v>895</c:v>
                </c:pt>
                <c:pt idx="41">
                  <c:v>3125</c:v>
                </c:pt>
                <c:pt idx="42">
                  <c:v>895</c:v>
                </c:pt>
                <c:pt idx="43">
                  <c:v>895</c:v>
                </c:pt>
                <c:pt idx="44">
                  <c:v>895</c:v>
                </c:pt>
                <c:pt idx="45">
                  <c:v>895</c:v>
                </c:pt>
                <c:pt idx="46">
                  <c:v>895</c:v>
                </c:pt>
                <c:pt idx="47">
                  <c:v>895</c:v>
                </c:pt>
                <c:pt idx="48">
                  <c:v>3125</c:v>
                </c:pt>
                <c:pt idx="49">
                  <c:v>895</c:v>
                </c:pt>
                <c:pt idx="50">
                  <c:v>895</c:v>
                </c:pt>
                <c:pt idx="51">
                  <c:v>895</c:v>
                </c:pt>
                <c:pt idx="52">
                  <c:v>895</c:v>
                </c:pt>
                <c:pt idx="53">
                  <c:v>895</c:v>
                </c:pt>
                <c:pt idx="54">
                  <c:v>895</c:v>
                </c:pt>
                <c:pt idx="55">
                  <c:v>3125</c:v>
                </c:pt>
                <c:pt idx="56">
                  <c:v>895</c:v>
                </c:pt>
                <c:pt idx="57">
                  <c:v>895</c:v>
                </c:pt>
                <c:pt idx="58">
                  <c:v>895</c:v>
                </c:pt>
                <c:pt idx="59">
                  <c:v>895</c:v>
                </c:pt>
                <c:pt idx="60">
                  <c:v>895</c:v>
                </c:pt>
                <c:pt idx="61">
                  <c:v>895</c:v>
                </c:pt>
                <c:pt idx="62">
                  <c:v>3125</c:v>
                </c:pt>
                <c:pt idx="63">
                  <c:v>895</c:v>
                </c:pt>
                <c:pt idx="64">
                  <c:v>895</c:v>
                </c:pt>
                <c:pt idx="65">
                  <c:v>895</c:v>
                </c:pt>
                <c:pt idx="66">
                  <c:v>895</c:v>
                </c:pt>
                <c:pt idx="67">
                  <c:v>895</c:v>
                </c:pt>
                <c:pt idx="68">
                  <c:v>895</c:v>
                </c:pt>
                <c:pt idx="69">
                  <c:v>3125</c:v>
                </c:pt>
                <c:pt idx="70">
                  <c:v>895</c:v>
                </c:pt>
                <c:pt idx="71">
                  <c:v>895</c:v>
                </c:pt>
                <c:pt idx="72">
                  <c:v>895</c:v>
                </c:pt>
                <c:pt idx="73">
                  <c:v>895</c:v>
                </c:pt>
                <c:pt idx="74">
                  <c:v>895</c:v>
                </c:pt>
                <c:pt idx="75">
                  <c:v>895</c:v>
                </c:pt>
                <c:pt idx="76">
                  <c:v>3125</c:v>
                </c:pt>
                <c:pt idx="77">
                  <c:v>895</c:v>
                </c:pt>
                <c:pt idx="78">
                  <c:v>895</c:v>
                </c:pt>
                <c:pt idx="79">
                  <c:v>895</c:v>
                </c:pt>
                <c:pt idx="80">
                  <c:v>895</c:v>
                </c:pt>
                <c:pt idx="81">
                  <c:v>895</c:v>
                </c:pt>
                <c:pt idx="82">
                  <c:v>895</c:v>
                </c:pt>
                <c:pt idx="83">
                  <c:v>3125</c:v>
                </c:pt>
                <c:pt idx="84">
                  <c:v>895</c:v>
                </c:pt>
                <c:pt idx="85">
                  <c:v>895</c:v>
                </c:pt>
                <c:pt idx="86">
                  <c:v>895</c:v>
                </c:pt>
                <c:pt idx="87">
                  <c:v>895</c:v>
                </c:pt>
                <c:pt idx="88">
                  <c:v>895</c:v>
                </c:pt>
                <c:pt idx="89">
                  <c:v>895</c:v>
                </c:pt>
                <c:pt idx="90">
                  <c:v>3125</c:v>
                </c:pt>
                <c:pt idx="91">
                  <c:v>895</c:v>
                </c:pt>
                <c:pt idx="92">
                  <c:v>895</c:v>
                </c:pt>
                <c:pt idx="93">
                  <c:v>895</c:v>
                </c:pt>
                <c:pt idx="94">
                  <c:v>895</c:v>
                </c:pt>
                <c:pt idx="95">
                  <c:v>895</c:v>
                </c:pt>
                <c:pt idx="96">
                  <c:v>895</c:v>
                </c:pt>
                <c:pt idx="97">
                  <c:v>3125</c:v>
                </c:pt>
                <c:pt idx="98">
                  <c:v>895</c:v>
                </c:pt>
                <c:pt idx="99">
                  <c:v>895</c:v>
                </c:pt>
                <c:pt idx="100">
                  <c:v>895</c:v>
                </c:pt>
                <c:pt idx="101">
                  <c:v>895</c:v>
                </c:pt>
                <c:pt idx="102">
                  <c:v>895</c:v>
                </c:pt>
                <c:pt idx="103">
                  <c:v>895</c:v>
                </c:pt>
                <c:pt idx="104">
                  <c:v>3125</c:v>
                </c:pt>
                <c:pt idx="105">
                  <c:v>895</c:v>
                </c:pt>
                <c:pt idx="106">
                  <c:v>895</c:v>
                </c:pt>
                <c:pt idx="107">
                  <c:v>895</c:v>
                </c:pt>
                <c:pt idx="108">
                  <c:v>895</c:v>
                </c:pt>
                <c:pt idx="109">
                  <c:v>895</c:v>
                </c:pt>
                <c:pt idx="110">
                  <c:v>895</c:v>
                </c:pt>
                <c:pt idx="111">
                  <c:v>3125</c:v>
                </c:pt>
                <c:pt idx="112">
                  <c:v>895</c:v>
                </c:pt>
                <c:pt idx="113">
                  <c:v>895</c:v>
                </c:pt>
                <c:pt idx="114">
                  <c:v>895</c:v>
                </c:pt>
                <c:pt idx="115">
                  <c:v>895</c:v>
                </c:pt>
                <c:pt idx="116">
                  <c:v>895</c:v>
                </c:pt>
                <c:pt idx="117">
                  <c:v>895</c:v>
                </c:pt>
                <c:pt idx="118">
                  <c:v>3125</c:v>
                </c:pt>
                <c:pt idx="119">
                  <c:v>895</c:v>
                </c:pt>
                <c:pt idx="120">
                  <c:v>895</c:v>
                </c:pt>
                <c:pt idx="121">
                  <c:v>895</c:v>
                </c:pt>
                <c:pt idx="122">
                  <c:v>895</c:v>
                </c:pt>
                <c:pt idx="123">
                  <c:v>895</c:v>
                </c:pt>
                <c:pt idx="124">
                  <c:v>895</c:v>
                </c:pt>
                <c:pt idx="125">
                  <c:v>3125</c:v>
                </c:pt>
                <c:pt idx="126">
                  <c:v>895</c:v>
                </c:pt>
                <c:pt idx="127">
                  <c:v>895</c:v>
                </c:pt>
                <c:pt idx="128">
                  <c:v>895</c:v>
                </c:pt>
                <c:pt idx="129">
                  <c:v>895</c:v>
                </c:pt>
                <c:pt idx="130">
                  <c:v>895</c:v>
                </c:pt>
                <c:pt idx="131">
                  <c:v>895</c:v>
                </c:pt>
                <c:pt idx="132">
                  <c:v>3125</c:v>
                </c:pt>
                <c:pt idx="133">
                  <c:v>895</c:v>
                </c:pt>
                <c:pt idx="134">
                  <c:v>895</c:v>
                </c:pt>
                <c:pt idx="135">
                  <c:v>895</c:v>
                </c:pt>
                <c:pt idx="136">
                  <c:v>895</c:v>
                </c:pt>
                <c:pt idx="137">
                  <c:v>895</c:v>
                </c:pt>
                <c:pt idx="138">
                  <c:v>895</c:v>
                </c:pt>
                <c:pt idx="139">
                  <c:v>3125</c:v>
                </c:pt>
                <c:pt idx="140">
                  <c:v>895</c:v>
                </c:pt>
                <c:pt idx="141">
                  <c:v>895</c:v>
                </c:pt>
                <c:pt idx="142">
                  <c:v>895</c:v>
                </c:pt>
                <c:pt idx="143">
                  <c:v>895</c:v>
                </c:pt>
                <c:pt idx="144">
                  <c:v>895</c:v>
                </c:pt>
                <c:pt idx="145">
                  <c:v>895</c:v>
                </c:pt>
                <c:pt idx="146">
                  <c:v>3125</c:v>
                </c:pt>
                <c:pt idx="147">
                  <c:v>895</c:v>
                </c:pt>
                <c:pt idx="148">
                  <c:v>895</c:v>
                </c:pt>
                <c:pt idx="149">
                  <c:v>895</c:v>
                </c:pt>
                <c:pt idx="150">
                  <c:v>895</c:v>
                </c:pt>
                <c:pt idx="151">
                  <c:v>895</c:v>
                </c:pt>
                <c:pt idx="152">
                  <c:v>895</c:v>
                </c:pt>
                <c:pt idx="153">
                  <c:v>3125</c:v>
                </c:pt>
                <c:pt idx="154">
                  <c:v>895</c:v>
                </c:pt>
                <c:pt idx="155">
                  <c:v>895</c:v>
                </c:pt>
                <c:pt idx="156">
                  <c:v>895</c:v>
                </c:pt>
                <c:pt idx="157">
                  <c:v>895</c:v>
                </c:pt>
                <c:pt idx="158">
                  <c:v>895</c:v>
                </c:pt>
                <c:pt idx="159">
                  <c:v>895</c:v>
                </c:pt>
                <c:pt idx="160">
                  <c:v>3125</c:v>
                </c:pt>
                <c:pt idx="161">
                  <c:v>895</c:v>
                </c:pt>
                <c:pt idx="162">
                  <c:v>895</c:v>
                </c:pt>
                <c:pt idx="163">
                  <c:v>895</c:v>
                </c:pt>
                <c:pt idx="164">
                  <c:v>895</c:v>
                </c:pt>
                <c:pt idx="165">
                  <c:v>895</c:v>
                </c:pt>
                <c:pt idx="166">
                  <c:v>895</c:v>
                </c:pt>
                <c:pt idx="167">
                  <c:v>3125</c:v>
                </c:pt>
                <c:pt idx="168">
                  <c:v>895</c:v>
                </c:pt>
                <c:pt idx="169">
                  <c:v>895</c:v>
                </c:pt>
                <c:pt idx="170">
                  <c:v>895</c:v>
                </c:pt>
                <c:pt idx="171">
                  <c:v>895</c:v>
                </c:pt>
                <c:pt idx="172">
                  <c:v>895</c:v>
                </c:pt>
                <c:pt idx="173">
                  <c:v>895</c:v>
                </c:pt>
                <c:pt idx="174">
                  <c:v>3125</c:v>
                </c:pt>
                <c:pt idx="175">
                  <c:v>895</c:v>
                </c:pt>
                <c:pt idx="176">
                  <c:v>895</c:v>
                </c:pt>
                <c:pt idx="177">
                  <c:v>895</c:v>
                </c:pt>
                <c:pt idx="178">
                  <c:v>895</c:v>
                </c:pt>
                <c:pt idx="179">
                  <c:v>895</c:v>
                </c:pt>
                <c:pt idx="180">
                  <c:v>895</c:v>
                </c:pt>
                <c:pt idx="181">
                  <c:v>3125</c:v>
                </c:pt>
                <c:pt idx="182">
                  <c:v>895</c:v>
                </c:pt>
                <c:pt idx="183">
                  <c:v>895</c:v>
                </c:pt>
                <c:pt idx="184">
                  <c:v>895</c:v>
                </c:pt>
                <c:pt idx="185">
                  <c:v>895</c:v>
                </c:pt>
                <c:pt idx="186">
                  <c:v>895</c:v>
                </c:pt>
                <c:pt idx="187">
                  <c:v>895</c:v>
                </c:pt>
                <c:pt idx="188">
                  <c:v>3125</c:v>
                </c:pt>
                <c:pt idx="189">
                  <c:v>895</c:v>
                </c:pt>
                <c:pt idx="190">
                  <c:v>895</c:v>
                </c:pt>
                <c:pt idx="191">
                  <c:v>895</c:v>
                </c:pt>
                <c:pt idx="192">
                  <c:v>895</c:v>
                </c:pt>
                <c:pt idx="193">
                  <c:v>895</c:v>
                </c:pt>
                <c:pt idx="194">
                  <c:v>895</c:v>
                </c:pt>
                <c:pt idx="195">
                  <c:v>3125</c:v>
                </c:pt>
                <c:pt idx="196">
                  <c:v>895</c:v>
                </c:pt>
                <c:pt idx="197">
                  <c:v>895</c:v>
                </c:pt>
                <c:pt idx="198">
                  <c:v>895</c:v>
                </c:pt>
                <c:pt idx="199">
                  <c:v>895</c:v>
                </c:pt>
                <c:pt idx="200">
                  <c:v>895</c:v>
                </c:pt>
                <c:pt idx="201">
                  <c:v>895</c:v>
                </c:pt>
                <c:pt idx="202">
                  <c:v>3125</c:v>
                </c:pt>
                <c:pt idx="203">
                  <c:v>895</c:v>
                </c:pt>
                <c:pt idx="204">
                  <c:v>895</c:v>
                </c:pt>
                <c:pt idx="205">
                  <c:v>895</c:v>
                </c:pt>
                <c:pt idx="206">
                  <c:v>895</c:v>
                </c:pt>
                <c:pt idx="207">
                  <c:v>895</c:v>
                </c:pt>
                <c:pt idx="208">
                  <c:v>895</c:v>
                </c:pt>
                <c:pt idx="209">
                  <c:v>3125</c:v>
                </c:pt>
                <c:pt idx="210">
                  <c:v>895</c:v>
                </c:pt>
                <c:pt idx="211">
                  <c:v>895</c:v>
                </c:pt>
                <c:pt idx="212">
                  <c:v>895</c:v>
                </c:pt>
                <c:pt idx="213">
                  <c:v>895</c:v>
                </c:pt>
                <c:pt idx="214">
                  <c:v>895</c:v>
                </c:pt>
                <c:pt idx="215">
                  <c:v>895</c:v>
                </c:pt>
                <c:pt idx="216">
                  <c:v>3125</c:v>
                </c:pt>
                <c:pt idx="217">
                  <c:v>895</c:v>
                </c:pt>
                <c:pt idx="218">
                  <c:v>895</c:v>
                </c:pt>
                <c:pt idx="219">
                  <c:v>895</c:v>
                </c:pt>
                <c:pt idx="220">
                  <c:v>895</c:v>
                </c:pt>
                <c:pt idx="221">
                  <c:v>895</c:v>
                </c:pt>
                <c:pt idx="222">
                  <c:v>895</c:v>
                </c:pt>
                <c:pt idx="223">
                  <c:v>3125</c:v>
                </c:pt>
                <c:pt idx="224">
                  <c:v>895</c:v>
                </c:pt>
                <c:pt idx="225">
                  <c:v>895</c:v>
                </c:pt>
                <c:pt idx="226">
                  <c:v>895</c:v>
                </c:pt>
                <c:pt idx="227">
                  <c:v>895</c:v>
                </c:pt>
                <c:pt idx="228">
                  <c:v>895</c:v>
                </c:pt>
                <c:pt idx="229">
                  <c:v>895</c:v>
                </c:pt>
                <c:pt idx="230">
                  <c:v>3125</c:v>
                </c:pt>
                <c:pt idx="231">
                  <c:v>895</c:v>
                </c:pt>
                <c:pt idx="232">
                  <c:v>895</c:v>
                </c:pt>
                <c:pt idx="233">
                  <c:v>895</c:v>
                </c:pt>
                <c:pt idx="234">
                  <c:v>895</c:v>
                </c:pt>
                <c:pt idx="235">
                  <c:v>895</c:v>
                </c:pt>
                <c:pt idx="236">
                  <c:v>895</c:v>
                </c:pt>
                <c:pt idx="237">
                  <c:v>3125</c:v>
                </c:pt>
                <c:pt idx="238">
                  <c:v>895</c:v>
                </c:pt>
                <c:pt idx="239">
                  <c:v>895</c:v>
                </c:pt>
                <c:pt idx="240">
                  <c:v>895</c:v>
                </c:pt>
                <c:pt idx="241">
                  <c:v>895</c:v>
                </c:pt>
                <c:pt idx="242">
                  <c:v>895</c:v>
                </c:pt>
                <c:pt idx="243">
                  <c:v>895</c:v>
                </c:pt>
                <c:pt idx="244">
                  <c:v>3125</c:v>
                </c:pt>
                <c:pt idx="245">
                  <c:v>895</c:v>
                </c:pt>
                <c:pt idx="246">
                  <c:v>895</c:v>
                </c:pt>
                <c:pt idx="247">
                  <c:v>895</c:v>
                </c:pt>
                <c:pt idx="248">
                  <c:v>895</c:v>
                </c:pt>
                <c:pt idx="249">
                  <c:v>895</c:v>
                </c:pt>
                <c:pt idx="250">
                  <c:v>895</c:v>
                </c:pt>
                <c:pt idx="251">
                  <c:v>3125</c:v>
                </c:pt>
                <c:pt idx="252">
                  <c:v>895</c:v>
                </c:pt>
                <c:pt idx="253">
                  <c:v>895</c:v>
                </c:pt>
                <c:pt idx="254">
                  <c:v>895</c:v>
                </c:pt>
                <c:pt idx="255">
                  <c:v>895</c:v>
                </c:pt>
                <c:pt idx="256">
                  <c:v>895</c:v>
                </c:pt>
                <c:pt idx="257">
                  <c:v>895</c:v>
                </c:pt>
                <c:pt idx="258">
                  <c:v>3125</c:v>
                </c:pt>
                <c:pt idx="259">
                  <c:v>895</c:v>
                </c:pt>
                <c:pt idx="260">
                  <c:v>895</c:v>
                </c:pt>
                <c:pt idx="261">
                  <c:v>895</c:v>
                </c:pt>
                <c:pt idx="262">
                  <c:v>895</c:v>
                </c:pt>
                <c:pt idx="263">
                  <c:v>895</c:v>
                </c:pt>
                <c:pt idx="264">
                  <c:v>895</c:v>
                </c:pt>
                <c:pt idx="265">
                  <c:v>3125</c:v>
                </c:pt>
                <c:pt idx="266">
                  <c:v>895</c:v>
                </c:pt>
                <c:pt idx="267">
                  <c:v>895</c:v>
                </c:pt>
                <c:pt idx="268">
                  <c:v>895</c:v>
                </c:pt>
                <c:pt idx="269">
                  <c:v>895</c:v>
                </c:pt>
                <c:pt idx="270">
                  <c:v>895</c:v>
                </c:pt>
                <c:pt idx="271">
                  <c:v>895</c:v>
                </c:pt>
                <c:pt idx="272">
                  <c:v>3125</c:v>
                </c:pt>
                <c:pt idx="273">
                  <c:v>895</c:v>
                </c:pt>
                <c:pt idx="274">
                  <c:v>895</c:v>
                </c:pt>
                <c:pt idx="275">
                  <c:v>895</c:v>
                </c:pt>
                <c:pt idx="276">
                  <c:v>895</c:v>
                </c:pt>
                <c:pt idx="277">
                  <c:v>895</c:v>
                </c:pt>
                <c:pt idx="278">
                  <c:v>895</c:v>
                </c:pt>
                <c:pt idx="279">
                  <c:v>3125</c:v>
                </c:pt>
                <c:pt idx="280">
                  <c:v>895</c:v>
                </c:pt>
                <c:pt idx="281">
                  <c:v>895</c:v>
                </c:pt>
                <c:pt idx="282">
                  <c:v>895</c:v>
                </c:pt>
                <c:pt idx="283">
                  <c:v>895</c:v>
                </c:pt>
                <c:pt idx="284">
                  <c:v>895</c:v>
                </c:pt>
                <c:pt idx="285">
                  <c:v>895</c:v>
                </c:pt>
                <c:pt idx="286">
                  <c:v>3125</c:v>
                </c:pt>
                <c:pt idx="287">
                  <c:v>895</c:v>
                </c:pt>
                <c:pt idx="288">
                  <c:v>895</c:v>
                </c:pt>
                <c:pt idx="289">
                  <c:v>895</c:v>
                </c:pt>
                <c:pt idx="290">
                  <c:v>895</c:v>
                </c:pt>
                <c:pt idx="291">
                  <c:v>895</c:v>
                </c:pt>
                <c:pt idx="292">
                  <c:v>895</c:v>
                </c:pt>
                <c:pt idx="293">
                  <c:v>3125</c:v>
                </c:pt>
                <c:pt idx="294">
                  <c:v>895</c:v>
                </c:pt>
                <c:pt idx="295">
                  <c:v>895</c:v>
                </c:pt>
                <c:pt idx="296">
                  <c:v>895</c:v>
                </c:pt>
                <c:pt idx="297">
                  <c:v>895</c:v>
                </c:pt>
                <c:pt idx="298">
                  <c:v>895</c:v>
                </c:pt>
                <c:pt idx="299">
                  <c:v>895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产销汇总!$P$12</c:f>
              <c:strCache>
                <c:ptCount val="1"/>
                <c:pt idx="0">
                  <c:v>公会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产销汇总!$I$13:$I$312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xVal>
          <c:yVal>
            <c:numRef>
              <c:f>产销汇总!$P$13:$P$312</c:f>
              <c:numCache>
                <c:formatCode>0_ </c:formatCode>
                <c:ptCount val="300"/>
                <c:pt idx="0">
                  <c:v>2766.62857142857</c:v>
                </c:pt>
                <c:pt idx="1">
                  <c:v>2766.62857142857</c:v>
                </c:pt>
                <c:pt idx="2">
                  <c:v>2766.62857142857</c:v>
                </c:pt>
                <c:pt idx="3">
                  <c:v>2766.62857142857</c:v>
                </c:pt>
                <c:pt idx="4">
                  <c:v>2766.62857142857</c:v>
                </c:pt>
                <c:pt idx="5">
                  <c:v>2766.62857142857</c:v>
                </c:pt>
                <c:pt idx="6">
                  <c:v>2766.62857142857</c:v>
                </c:pt>
                <c:pt idx="7">
                  <c:v>2766.62857142857</c:v>
                </c:pt>
                <c:pt idx="8">
                  <c:v>2766.62857142857</c:v>
                </c:pt>
                <c:pt idx="9">
                  <c:v>2766.62857142857</c:v>
                </c:pt>
                <c:pt idx="10">
                  <c:v>2766.62857142857</c:v>
                </c:pt>
                <c:pt idx="11">
                  <c:v>2766.62857142857</c:v>
                </c:pt>
                <c:pt idx="12">
                  <c:v>2766.62857142857</c:v>
                </c:pt>
                <c:pt idx="13">
                  <c:v>2766.62857142857</c:v>
                </c:pt>
                <c:pt idx="14">
                  <c:v>2766.62857142857</c:v>
                </c:pt>
                <c:pt idx="15">
                  <c:v>2766.62857142857</c:v>
                </c:pt>
                <c:pt idx="16">
                  <c:v>2766.62857142857</c:v>
                </c:pt>
                <c:pt idx="17">
                  <c:v>2766.62857142857</c:v>
                </c:pt>
                <c:pt idx="18">
                  <c:v>2766.62857142857</c:v>
                </c:pt>
                <c:pt idx="19">
                  <c:v>2766.62857142857</c:v>
                </c:pt>
                <c:pt idx="20">
                  <c:v>2766.62857142857</c:v>
                </c:pt>
                <c:pt idx="21">
                  <c:v>2766.62857142857</c:v>
                </c:pt>
                <c:pt idx="22">
                  <c:v>2766.62857142857</c:v>
                </c:pt>
                <c:pt idx="23">
                  <c:v>2766.62857142857</c:v>
                </c:pt>
                <c:pt idx="24">
                  <c:v>2766.62857142857</c:v>
                </c:pt>
                <c:pt idx="25">
                  <c:v>2766.62857142857</c:v>
                </c:pt>
                <c:pt idx="26">
                  <c:v>2766.62857142857</c:v>
                </c:pt>
                <c:pt idx="27">
                  <c:v>2766.62857142857</c:v>
                </c:pt>
                <c:pt idx="28">
                  <c:v>2766.62857142857</c:v>
                </c:pt>
                <c:pt idx="29">
                  <c:v>2766.62857142857</c:v>
                </c:pt>
                <c:pt idx="30">
                  <c:v>2766.62857142857</c:v>
                </c:pt>
                <c:pt idx="31">
                  <c:v>2766.62857142857</c:v>
                </c:pt>
                <c:pt idx="32">
                  <c:v>2766.62857142857</c:v>
                </c:pt>
                <c:pt idx="33">
                  <c:v>2766.62857142857</c:v>
                </c:pt>
                <c:pt idx="34">
                  <c:v>2766.62857142857</c:v>
                </c:pt>
                <c:pt idx="35">
                  <c:v>2766.62857142857</c:v>
                </c:pt>
                <c:pt idx="36">
                  <c:v>2766.62857142857</c:v>
                </c:pt>
                <c:pt idx="37">
                  <c:v>2766.62857142857</c:v>
                </c:pt>
                <c:pt idx="38">
                  <c:v>2766.62857142857</c:v>
                </c:pt>
                <c:pt idx="39">
                  <c:v>2766.62857142857</c:v>
                </c:pt>
                <c:pt idx="40">
                  <c:v>2766.62857142857</c:v>
                </c:pt>
                <c:pt idx="41">
                  <c:v>2766.62857142857</c:v>
                </c:pt>
                <c:pt idx="42">
                  <c:v>2766.62857142857</c:v>
                </c:pt>
                <c:pt idx="43">
                  <c:v>2766.62857142857</c:v>
                </c:pt>
                <c:pt idx="44">
                  <c:v>2766.62857142857</c:v>
                </c:pt>
                <c:pt idx="45">
                  <c:v>2766.62857142857</c:v>
                </c:pt>
                <c:pt idx="46">
                  <c:v>2766.62857142857</c:v>
                </c:pt>
                <c:pt idx="47">
                  <c:v>2766.62857142857</c:v>
                </c:pt>
                <c:pt idx="48">
                  <c:v>2766.62857142857</c:v>
                </c:pt>
                <c:pt idx="49">
                  <c:v>2766.62857142857</c:v>
                </c:pt>
                <c:pt idx="50">
                  <c:v>2766.62857142857</c:v>
                </c:pt>
                <c:pt idx="51">
                  <c:v>2766.62857142857</c:v>
                </c:pt>
                <c:pt idx="52">
                  <c:v>2766.62857142857</c:v>
                </c:pt>
                <c:pt idx="53">
                  <c:v>2766.62857142857</c:v>
                </c:pt>
                <c:pt idx="54">
                  <c:v>2766.62857142857</c:v>
                </c:pt>
                <c:pt idx="55">
                  <c:v>2766.62857142857</c:v>
                </c:pt>
                <c:pt idx="56">
                  <c:v>2766.62857142857</c:v>
                </c:pt>
                <c:pt idx="57">
                  <c:v>2766.62857142857</c:v>
                </c:pt>
                <c:pt idx="58">
                  <c:v>2766.62857142857</c:v>
                </c:pt>
                <c:pt idx="59">
                  <c:v>2766.62857142857</c:v>
                </c:pt>
                <c:pt idx="60">
                  <c:v>2766.62857142857</c:v>
                </c:pt>
                <c:pt idx="61">
                  <c:v>2766.62857142857</c:v>
                </c:pt>
                <c:pt idx="62">
                  <c:v>2766.62857142857</c:v>
                </c:pt>
                <c:pt idx="63">
                  <c:v>2766.62857142857</c:v>
                </c:pt>
                <c:pt idx="64">
                  <c:v>2766.62857142857</c:v>
                </c:pt>
                <c:pt idx="65">
                  <c:v>2766.62857142857</c:v>
                </c:pt>
                <c:pt idx="66">
                  <c:v>2766.62857142857</c:v>
                </c:pt>
                <c:pt idx="67">
                  <c:v>2766.62857142857</c:v>
                </c:pt>
                <c:pt idx="68">
                  <c:v>2766.62857142857</c:v>
                </c:pt>
                <c:pt idx="69">
                  <c:v>2766.62857142857</c:v>
                </c:pt>
                <c:pt idx="70">
                  <c:v>2766.62857142857</c:v>
                </c:pt>
                <c:pt idx="71">
                  <c:v>2766.62857142857</c:v>
                </c:pt>
                <c:pt idx="72">
                  <c:v>2766.62857142857</c:v>
                </c:pt>
                <c:pt idx="73">
                  <c:v>2766.62857142857</c:v>
                </c:pt>
                <c:pt idx="74">
                  <c:v>2766.62857142857</c:v>
                </c:pt>
                <c:pt idx="75">
                  <c:v>2766.62857142857</c:v>
                </c:pt>
                <c:pt idx="76">
                  <c:v>2766.62857142857</c:v>
                </c:pt>
                <c:pt idx="77">
                  <c:v>2766.62857142857</c:v>
                </c:pt>
                <c:pt idx="78">
                  <c:v>2766.62857142857</c:v>
                </c:pt>
                <c:pt idx="79">
                  <c:v>2766.62857142857</c:v>
                </c:pt>
                <c:pt idx="80">
                  <c:v>2766.62857142857</c:v>
                </c:pt>
                <c:pt idx="81">
                  <c:v>2766.62857142857</c:v>
                </c:pt>
                <c:pt idx="82">
                  <c:v>2766.62857142857</c:v>
                </c:pt>
                <c:pt idx="83">
                  <c:v>2766.62857142857</c:v>
                </c:pt>
                <c:pt idx="84">
                  <c:v>2766.62857142857</c:v>
                </c:pt>
                <c:pt idx="85">
                  <c:v>2766.62857142857</c:v>
                </c:pt>
                <c:pt idx="86">
                  <c:v>2766.62857142857</c:v>
                </c:pt>
                <c:pt idx="87">
                  <c:v>2766.62857142857</c:v>
                </c:pt>
                <c:pt idx="88">
                  <c:v>2766.62857142857</c:v>
                </c:pt>
                <c:pt idx="89">
                  <c:v>2766.62857142857</c:v>
                </c:pt>
                <c:pt idx="90">
                  <c:v>2766.62857142857</c:v>
                </c:pt>
                <c:pt idx="91">
                  <c:v>2766.62857142857</c:v>
                </c:pt>
                <c:pt idx="92">
                  <c:v>2766.62857142857</c:v>
                </c:pt>
                <c:pt idx="93">
                  <c:v>2766.62857142857</c:v>
                </c:pt>
                <c:pt idx="94">
                  <c:v>2766.62857142857</c:v>
                </c:pt>
                <c:pt idx="95">
                  <c:v>2766.62857142857</c:v>
                </c:pt>
                <c:pt idx="96">
                  <c:v>2766.62857142857</c:v>
                </c:pt>
                <c:pt idx="97">
                  <c:v>2766.62857142857</c:v>
                </c:pt>
                <c:pt idx="98">
                  <c:v>2766.62857142857</c:v>
                </c:pt>
                <c:pt idx="99">
                  <c:v>2766.62857142857</c:v>
                </c:pt>
                <c:pt idx="100">
                  <c:v>2766.62857142857</c:v>
                </c:pt>
                <c:pt idx="101">
                  <c:v>2766.62857142857</c:v>
                </c:pt>
                <c:pt idx="102">
                  <c:v>2766.62857142857</c:v>
                </c:pt>
                <c:pt idx="103">
                  <c:v>2766.62857142857</c:v>
                </c:pt>
                <c:pt idx="104">
                  <c:v>2766.62857142857</c:v>
                </c:pt>
                <c:pt idx="105">
                  <c:v>2766.62857142857</c:v>
                </c:pt>
                <c:pt idx="106">
                  <c:v>2766.62857142857</c:v>
                </c:pt>
                <c:pt idx="107">
                  <c:v>2766.62857142857</c:v>
                </c:pt>
                <c:pt idx="108">
                  <c:v>2766.62857142857</c:v>
                </c:pt>
                <c:pt idx="109">
                  <c:v>2766.62857142857</c:v>
                </c:pt>
                <c:pt idx="110">
                  <c:v>2766.62857142857</c:v>
                </c:pt>
                <c:pt idx="111">
                  <c:v>2766.62857142857</c:v>
                </c:pt>
                <c:pt idx="112">
                  <c:v>2766.62857142857</c:v>
                </c:pt>
                <c:pt idx="113">
                  <c:v>2766.62857142857</c:v>
                </c:pt>
                <c:pt idx="114">
                  <c:v>2766.62857142857</c:v>
                </c:pt>
                <c:pt idx="115">
                  <c:v>2766.62857142857</c:v>
                </c:pt>
                <c:pt idx="116">
                  <c:v>2766.62857142857</c:v>
                </c:pt>
                <c:pt idx="117">
                  <c:v>2766.62857142857</c:v>
                </c:pt>
                <c:pt idx="118">
                  <c:v>2766.62857142857</c:v>
                </c:pt>
                <c:pt idx="119">
                  <c:v>2766.62857142857</c:v>
                </c:pt>
                <c:pt idx="120">
                  <c:v>2766.62857142857</c:v>
                </c:pt>
                <c:pt idx="121">
                  <c:v>2766.62857142857</c:v>
                </c:pt>
                <c:pt idx="122">
                  <c:v>2766.62857142857</c:v>
                </c:pt>
                <c:pt idx="123">
                  <c:v>2766.62857142857</c:v>
                </c:pt>
                <c:pt idx="124">
                  <c:v>2766.62857142857</c:v>
                </c:pt>
                <c:pt idx="125">
                  <c:v>2766.62857142857</c:v>
                </c:pt>
                <c:pt idx="126">
                  <c:v>2766.62857142857</c:v>
                </c:pt>
                <c:pt idx="127">
                  <c:v>2766.62857142857</c:v>
                </c:pt>
                <c:pt idx="128">
                  <c:v>2766.62857142857</c:v>
                </c:pt>
                <c:pt idx="129">
                  <c:v>2766.62857142857</c:v>
                </c:pt>
                <c:pt idx="130">
                  <c:v>2766.62857142857</c:v>
                </c:pt>
                <c:pt idx="131">
                  <c:v>2766.62857142857</c:v>
                </c:pt>
                <c:pt idx="132">
                  <c:v>2766.62857142857</c:v>
                </c:pt>
                <c:pt idx="133">
                  <c:v>2766.62857142857</c:v>
                </c:pt>
                <c:pt idx="134">
                  <c:v>2766.62857142857</c:v>
                </c:pt>
                <c:pt idx="135">
                  <c:v>2766.62857142857</c:v>
                </c:pt>
                <c:pt idx="136">
                  <c:v>2766.62857142857</c:v>
                </c:pt>
                <c:pt idx="137">
                  <c:v>2766.62857142857</c:v>
                </c:pt>
                <c:pt idx="138">
                  <c:v>2766.62857142857</c:v>
                </c:pt>
                <c:pt idx="139">
                  <c:v>2766.62857142857</c:v>
                </c:pt>
                <c:pt idx="140">
                  <c:v>2766.62857142857</c:v>
                </c:pt>
                <c:pt idx="141">
                  <c:v>2766.62857142857</c:v>
                </c:pt>
                <c:pt idx="142">
                  <c:v>2766.62857142857</c:v>
                </c:pt>
                <c:pt idx="143">
                  <c:v>2766.62857142857</c:v>
                </c:pt>
                <c:pt idx="144">
                  <c:v>2766.62857142857</c:v>
                </c:pt>
                <c:pt idx="145">
                  <c:v>2766.62857142857</c:v>
                </c:pt>
                <c:pt idx="146">
                  <c:v>2766.62857142857</c:v>
                </c:pt>
                <c:pt idx="147">
                  <c:v>2766.62857142857</c:v>
                </c:pt>
                <c:pt idx="148">
                  <c:v>2766.62857142857</c:v>
                </c:pt>
                <c:pt idx="149">
                  <c:v>2766.62857142857</c:v>
                </c:pt>
                <c:pt idx="150">
                  <c:v>2766.62857142857</c:v>
                </c:pt>
                <c:pt idx="151">
                  <c:v>2766.62857142857</c:v>
                </c:pt>
                <c:pt idx="152">
                  <c:v>2766.62857142857</c:v>
                </c:pt>
                <c:pt idx="153">
                  <c:v>2766.62857142857</c:v>
                </c:pt>
                <c:pt idx="154">
                  <c:v>2766.62857142857</c:v>
                </c:pt>
                <c:pt idx="155">
                  <c:v>2766.62857142857</c:v>
                </c:pt>
                <c:pt idx="156">
                  <c:v>2766.62857142857</c:v>
                </c:pt>
                <c:pt idx="157">
                  <c:v>2766.62857142857</c:v>
                </c:pt>
                <c:pt idx="158">
                  <c:v>2766.62857142857</c:v>
                </c:pt>
                <c:pt idx="159">
                  <c:v>2766.62857142857</c:v>
                </c:pt>
                <c:pt idx="160">
                  <c:v>2766.62857142857</c:v>
                </c:pt>
                <c:pt idx="161">
                  <c:v>2766.62857142857</c:v>
                </c:pt>
                <c:pt idx="162">
                  <c:v>2766.62857142857</c:v>
                </c:pt>
                <c:pt idx="163">
                  <c:v>2766.62857142857</c:v>
                </c:pt>
                <c:pt idx="164">
                  <c:v>2766.62857142857</c:v>
                </c:pt>
                <c:pt idx="165">
                  <c:v>2766.62857142857</c:v>
                </c:pt>
                <c:pt idx="166">
                  <c:v>2766.62857142857</c:v>
                </c:pt>
                <c:pt idx="167">
                  <c:v>2766.62857142857</c:v>
                </c:pt>
                <c:pt idx="168">
                  <c:v>2766.62857142857</c:v>
                </c:pt>
                <c:pt idx="169">
                  <c:v>2766.62857142857</c:v>
                </c:pt>
                <c:pt idx="170">
                  <c:v>2766.62857142857</c:v>
                </c:pt>
                <c:pt idx="171">
                  <c:v>2766.62857142857</c:v>
                </c:pt>
                <c:pt idx="172">
                  <c:v>2766.62857142857</c:v>
                </c:pt>
                <c:pt idx="173">
                  <c:v>2766.62857142857</c:v>
                </c:pt>
                <c:pt idx="174">
                  <c:v>2766.62857142857</c:v>
                </c:pt>
                <c:pt idx="175">
                  <c:v>2766.62857142857</c:v>
                </c:pt>
                <c:pt idx="176">
                  <c:v>2766.62857142857</c:v>
                </c:pt>
                <c:pt idx="177">
                  <c:v>2766.62857142857</c:v>
                </c:pt>
                <c:pt idx="178">
                  <c:v>2766.62857142857</c:v>
                </c:pt>
                <c:pt idx="179">
                  <c:v>2766.62857142857</c:v>
                </c:pt>
                <c:pt idx="180">
                  <c:v>2766.62857142857</c:v>
                </c:pt>
                <c:pt idx="181">
                  <c:v>2766.62857142857</c:v>
                </c:pt>
                <c:pt idx="182">
                  <c:v>2766.62857142857</c:v>
                </c:pt>
                <c:pt idx="183">
                  <c:v>2766.62857142857</c:v>
                </c:pt>
                <c:pt idx="184">
                  <c:v>2766.62857142857</c:v>
                </c:pt>
                <c:pt idx="185">
                  <c:v>2766.62857142857</c:v>
                </c:pt>
                <c:pt idx="186">
                  <c:v>2766.62857142857</c:v>
                </c:pt>
                <c:pt idx="187">
                  <c:v>2766.62857142857</c:v>
                </c:pt>
                <c:pt idx="188">
                  <c:v>2766.62857142857</c:v>
                </c:pt>
                <c:pt idx="189">
                  <c:v>2766.62857142857</c:v>
                </c:pt>
                <c:pt idx="190">
                  <c:v>2766.62857142857</c:v>
                </c:pt>
                <c:pt idx="191">
                  <c:v>2766.62857142857</c:v>
                </c:pt>
                <c:pt idx="192">
                  <c:v>2766.62857142857</c:v>
                </c:pt>
                <c:pt idx="193">
                  <c:v>2766.62857142857</c:v>
                </c:pt>
                <c:pt idx="194">
                  <c:v>2766.62857142857</c:v>
                </c:pt>
                <c:pt idx="195">
                  <c:v>2766.62857142857</c:v>
                </c:pt>
                <c:pt idx="196">
                  <c:v>2766.62857142857</c:v>
                </c:pt>
                <c:pt idx="197">
                  <c:v>2766.62857142857</c:v>
                </c:pt>
                <c:pt idx="198">
                  <c:v>2766.62857142857</c:v>
                </c:pt>
                <c:pt idx="199">
                  <c:v>2766.62857142857</c:v>
                </c:pt>
                <c:pt idx="200">
                  <c:v>2766.62857142857</c:v>
                </c:pt>
                <c:pt idx="201">
                  <c:v>2766.62857142857</c:v>
                </c:pt>
                <c:pt idx="202">
                  <c:v>2766.62857142857</c:v>
                </c:pt>
                <c:pt idx="203">
                  <c:v>2766.62857142857</c:v>
                </c:pt>
                <c:pt idx="204">
                  <c:v>2766.62857142857</c:v>
                </c:pt>
                <c:pt idx="205">
                  <c:v>2766.62857142857</c:v>
                </c:pt>
                <c:pt idx="206">
                  <c:v>2766.62857142857</c:v>
                </c:pt>
                <c:pt idx="207">
                  <c:v>2766.62857142857</c:v>
                </c:pt>
                <c:pt idx="208">
                  <c:v>2766.62857142857</c:v>
                </c:pt>
                <c:pt idx="209">
                  <c:v>2766.62857142857</c:v>
                </c:pt>
                <c:pt idx="210">
                  <c:v>2766.62857142857</c:v>
                </c:pt>
                <c:pt idx="211">
                  <c:v>2766.62857142857</c:v>
                </c:pt>
                <c:pt idx="212">
                  <c:v>2766.62857142857</c:v>
                </c:pt>
                <c:pt idx="213">
                  <c:v>2766.62857142857</c:v>
                </c:pt>
                <c:pt idx="214">
                  <c:v>2766.62857142857</c:v>
                </c:pt>
                <c:pt idx="215">
                  <c:v>2766.62857142857</c:v>
                </c:pt>
                <c:pt idx="216">
                  <c:v>2766.62857142857</c:v>
                </c:pt>
                <c:pt idx="217">
                  <c:v>2766.62857142857</c:v>
                </c:pt>
                <c:pt idx="218">
                  <c:v>2766.62857142857</c:v>
                </c:pt>
                <c:pt idx="219">
                  <c:v>2766.62857142857</c:v>
                </c:pt>
                <c:pt idx="220">
                  <c:v>2766.62857142857</c:v>
                </c:pt>
                <c:pt idx="221">
                  <c:v>2766.62857142857</c:v>
                </c:pt>
                <c:pt idx="222">
                  <c:v>2766.62857142857</c:v>
                </c:pt>
                <c:pt idx="223">
                  <c:v>2766.62857142857</c:v>
                </c:pt>
                <c:pt idx="224">
                  <c:v>2766.62857142857</c:v>
                </c:pt>
                <c:pt idx="225">
                  <c:v>2766.62857142857</c:v>
                </c:pt>
                <c:pt idx="226">
                  <c:v>2766.62857142857</c:v>
                </c:pt>
                <c:pt idx="227">
                  <c:v>2766.62857142857</c:v>
                </c:pt>
                <c:pt idx="228">
                  <c:v>2766.62857142857</c:v>
                </c:pt>
                <c:pt idx="229">
                  <c:v>2766.62857142857</c:v>
                </c:pt>
                <c:pt idx="230">
                  <c:v>2766.62857142857</c:v>
                </c:pt>
                <c:pt idx="231">
                  <c:v>2766.62857142857</c:v>
                </c:pt>
                <c:pt idx="232">
                  <c:v>2766.62857142857</c:v>
                </c:pt>
                <c:pt idx="233">
                  <c:v>2766.62857142857</c:v>
                </c:pt>
                <c:pt idx="234">
                  <c:v>2766.62857142857</c:v>
                </c:pt>
                <c:pt idx="235">
                  <c:v>2766.62857142857</c:v>
                </c:pt>
                <c:pt idx="236">
                  <c:v>2766.62857142857</c:v>
                </c:pt>
                <c:pt idx="237">
                  <c:v>2766.62857142857</c:v>
                </c:pt>
                <c:pt idx="238">
                  <c:v>2766.62857142857</c:v>
                </c:pt>
                <c:pt idx="239">
                  <c:v>2766.62857142857</c:v>
                </c:pt>
                <c:pt idx="240">
                  <c:v>2766.62857142857</c:v>
                </c:pt>
                <c:pt idx="241">
                  <c:v>2766.62857142857</c:v>
                </c:pt>
                <c:pt idx="242">
                  <c:v>2766.62857142857</c:v>
                </c:pt>
                <c:pt idx="243">
                  <c:v>2766.62857142857</c:v>
                </c:pt>
                <c:pt idx="244">
                  <c:v>2766.62857142857</c:v>
                </c:pt>
                <c:pt idx="245">
                  <c:v>2766.62857142857</c:v>
                </c:pt>
                <c:pt idx="246">
                  <c:v>2766.62857142857</c:v>
                </c:pt>
                <c:pt idx="247">
                  <c:v>2766.62857142857</c:v>
                </c:pt>
                <c:pt idx="248">
                  <c:v>2766.62857142857</c:v>
                </c:pt>
                <c:pt idx="249">
                  <c:v>2766.62857142857</c:v>
                </c:pt>
                <c:pt idx="250">
                  <c:v>2766.62857142857</c:v>
                </c:pt>
                <c:pt idx="251">
                  <c:v>2766.62857142857</c:v>
                </c:pt>
                <c:pt idx="252">
                  <c:v>2766.62857142857</c:v>
                </c:pt>
                <c:pt idx="253">
                  <c:v>2766.62857142857</c:v>
                </c:pt>
                <c:pt idx="254">
                  <c:v>2766.62857142857</c:v>
                </c:pt>
                <c:pt idx="255">
                  <c:v>2766.62857142857</c:v>
                </c:pt>
                <c:pt idx="256">
                  <c:v>2766.62857142857</c:v>
                </c:pt>
                <c:pt idx="257">
                  <c:v>2766.62857142857</c:v>
                </c:pt>
                <c:pt idx="258">
                  <c:v>2766.62857142857</c:v>
                </c:pt>
                <c:pt idx="259">
                  <c:v>2766.62857142857</c:v>
                </c:pt>
                <c:pt idx="260">
                  <c:v>2766.62857142857</c:v>
                </c:pt>
                <c:pt idx="261">
                  <c:v>2766.62857142857</c:v>
                </c:pt>
                <c:pt idx="262">
                  <c:v>2766.62857142857</c:v>
                </c:pt>
                <c:pt idx="263">
                  <c:v>2766.62857142857</c:v>
                </c:pt>
                <c:pt idx="264">
                  <c:v>2766.62857142857</c:v>
                </c:pt>
                <c:pt idx="265">
                  <c:v>2766.62857142857</c:v>
                </c:pt>
                <c:pt idx="266">
                  <c:v>2766.62857142857</c:v>
                </c:pt>
                <c:pt idx="267">
                  <c:v>2766.62857142857</c:v>
                </c:pt>
                <c:pt idx="268">
                  <c:v>2766.62857142857</c:v>
                </c:pt>
                <c:pt idx="269">
                  <c:v>2766.62857142857</c:v>
                </c:pt>
                <c:pt idx="270">
                  <c:v>2766.62857142857</c:v>
                </c:pt>
                <c:pt idx="271">
                  <c:v>2766.62857142857</c:v>
                </c:pt>
                <c:pt idx="272">
                  <c:v>2766.62857142857</c:v>
                </c:pt>
                <c:pt idx="273">
                  <c:v>2766.62857142857</c:v>
                </c:pt>
                <c:pt idx="274">
                  <c:v>2766.62857142857</c:v>
                </c:pt>
                <c:pt idx="275">
                  <c:v>2766.62857142857</c:v>
                </c:pt>
                <c:pt idx="276">
                  <c:v>2766.62857142857</c:v>
                </c:pt>
                <c:pt idx="277">
                  <c:v>2766.62857142857</c:v>
                </c:pt>
                <c:pt idx="278">
                  <c:v>2766.62857142857</c:v>
                </c:pt>
                <c:pt idx="279">
                  <c:v>2766.62857142857</c:v>
                </c:pt>
                <c:pt idx="280">
                  <c:v>2766.62857142857</c:v>
                </c:pt>
                <c:pt idx="281">
                  <c:v>2766.62857142857</c:v>
                </c:pt>
                <c:pt idx="282">
                  <c:v>2766.62857142857</c:v>
                </c:pt>
                <c:pt idx="283">
                  <c:v>2766.62857142857</c:v>
                </c:pt>
                <c:pt idx="284">
                  <c:v>2766.62857142857</c:v>
                </c:pt>
                <c:pt idx="285">
                  <c:v>2766.62857142857</c:v>
                </c:pt>
                <c:pt idx="286">
                  <c:v>2766.62857142857</c:v>
                </c:pt>
                <c:pt idx="287">
                  <c:v>2766.62857142857</c:v>
                </c:pt>
                <c:pt idx="288">
                  <c:v>2766.62857142857</c:v>
                </c:pt>
                <c:pt idx="289">
                  <c:v>2766.62857142857</c:v>
                </c:pt>
                <c:pt idx="290">
                  <c:v>2766.62857142857</c:v>
                </c:pt>
                <c:pt idx="291">
                  <c:v>2766.62857142857</c:v>
                </c:pt>
                <c:pt idx="292">
                  <c:v>2766.62857142857</c:v>
                </c:pt>
                <c:pt idx="293">
                  <c:v>2766.62857142857</c:v>
                </c:pt>
                <c:pt idx="294">
                  <c:v>2766.62857142857</c:v>
                </c:pt>
                <c:pt idx="295">
                  <c:v>2766.62857142857</c:v>
                </c:pt>
                <c:pt idx="296">
                  <c:v>2766.62857142857</c:v>
                </c:pt>
                <c:pt idx="297">
                  <c:v>2766.62857142857</c:v>
                </c:pt>
                <c:pt idx="298">
                  <c:v>2766.62857142857</c:v>
                </c:pt>
                <c:pt idx="299">
                  <c:v>2766.62857142857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产销汇总!$Q$12</c:f>
              <c:strCache>
                <c:ptCount val="1"/>
                <c:pt idx="0">
                  <c:v>挂机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产销汇总!$I$13:$I$312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xVal>
          <c:yVal>
            <c:numRef>
              <c:f>产销汇总!$Q$13:$Q$312</c:f>
              <c:numCache>
                <c:formatCode>0_ </c:formatCode>
                <c:ptCount val="300"/>
                <c:pt idx="0">
                  <c:v>1752.96</c:v>
                </c:pt>
                <c:pt idx="1">
                  <c:v>1580.16</c:v>
                </c:pt>
                <c:pt idx="2">
                  <c:v>1586.16</c:v>
                </c:pt>
                <c:pt idx="3">
                  <c:v>1592.16</c:v>
                </c:pt>
                <c:pt idx="4">
                  <c:v>1598.16</c:v>
                </c:pt>
                <c:pt idx="5">
                  <c:v>1604.16</c:v>
                </c:pt>
                <c:pt idx="6">
                  <c:v>1610.16</c:v>
                </c:pt>
                <c:pt idx="7">
                  <c:v>1616.16</c:v>
                </c:pt>
                <c:pt idx="8">
                  <c:v>1619.76</c:v>
                </c:pt>
                <c:pt idx="9">
                  <c:v>1623.36</c:v>
                </c:pt>
                <c:pt idx="10">
                  <c:v>1626.96</c:v>
                </c:pt>
                <c:pt idx="11">
                  <c:v>1630.56</c:v>
                </c:pt>
                <c:pt idx="12">
                  <c:v>1634.16</c:v>
                </c:pt>
                <c:pt idx="13">
                  <c:v>1637.76</c:v>
                </c:pt>
                <c:pt idx="14">
                  <c:v>1640.16</c:v>
                </c:pt>
                <c:pt idx="15">
                  <c:v>1641.36</c:v>
                </c:pt>
                <c:pt idx="16">
                  <c:v>1642.56</c:v>
                </c:pt>
                <c:pt idx="17">
                  <c:v>1643.76</c:v>
                </c:pt>
                <c:pt idx="18">
                  <c:v>1644.96</c:v>
                </c:pt>
                <c:pt idx="19">
                  <c:v>1646.16</c:v>
                </c:pt>
                <c:pt idx="20">
                  <c:v>1647.36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1648.56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1649.76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1650.96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1652.16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1653.36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1654.56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1655.76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843558"/>
        <c:axId val="85176231"/>
      </c:scatterChart>
      <c:valAx>
        <c:axId val="97184355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176231"/>
        <c:crosses val="autoZero"/>
        <c:crossBetween val="midCat"/>
      </c:valAx>
      <c:valAx>
        <c:axId val="85176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184355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ed1b8fd-a19b-4e50-8a5f-b4a15c39744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组队本金币产出占比</a:t>
            </a:r>
            <a:r>
              <a:rPr lang="en-US" altLang="zh-CN"/>
              <a:t>/</a:t>
            </a:r>
            <a:r>
              <a:rPr altLang="en-US"/>
              <a:t>天数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装备线产销核算!$D$19:$D$78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装备线产销核算!$L$19:$L$78</c:f>
              <c:numCache>
                <c:formatCode>0%</c:formatCode>
                <c:ptCount val="60"/>
                <c:pt idx="0">
                  <c:v>0.0453260829517058</c:v>
                </c:pt>
                <c:pt idx="1">
                  <c:v>0.0566759981680266</c:v>
                </c:pt>
                <c:pt idx="2">
                  <c:v>0.0654493578174008</c:v>
                </c:pt>
                <c:pt idx="3">
                  <c:v>0.0691939479446556</c:v>
                </c:pt>
                <c:pt idx="4">
                  <c:v>0.10846914076093</c:v>
                </c:pt>
                <c:pt idx="5">
                  <c:v>0.107627697423159</c:v>
                </c:pt>
                <c:pt idx="6">
                  <c:v>0.109735256153737</c:v>
                </c:pt>
                <c:pt idx="7">
                  <c:v>0.108899730971697</c:v>
                </c:pt>
                <c:pt idx="8">
                  <c:v>0.164413204460877</c:v>
                </c:pt>
                <c:pt idx="9">
                  <c:v>0.163576286843141</c:v>
                </c:pt>
                <c:pt idx="10">
                  <c:v>0.168162639502859</c:v>
                </c:pt>
                <c:pt idx="11">
                  <c:v>0.16732071570881</c:v>
                </c:pt>
                <c:pt idx="12">
                  <c:v>0.178715734276183</c:v>
                </c:pt>
                <c:pt idx="13">
                  <c:v>0.2103041417252</c:v>
                </c:pt>
                <c:pt idx="14">
                  <c:v>0.223710846921123</c:v>
                </c:pt>
                <c:pt idx="15">
                  <c:v>0.208830097921319</c:v>
                </c:pt>
                <c:pt idx="16">
                  <c:v>0.222043619625178</c:v>
                </c:pt>
                <c:pt idx="17">
                  <c:v>0.226421106757726</c:v>
                </c:pt>
                <c:pt idx="18">
                  <c:v>0.225864946286276</c:v>
                </c:pt>
                <c:pt idx="19">
                  <c:v>0.225311511325392</c:v>
                </c:pt>
                <c:pt idx="20">
                  <c:v>0.224760781889158</c:v>
                </c:pt>
                <c:pt idx="21">
                  <c:v>0.224212738186591</c:v>
                </c:pt>
                <c:pt idx="22">
                  <c:v>0.234879861014162</c:v>
                </c:pt>
                <c:pt idx="23">
                  <c:v>0.234318134818531</c:v>
                </c:pt>
                <c:pt idx="24">
                  <c:v>0.233759089001694</c:v>
                </c:pt>
                <c:pt idx="25">
                  <c:v>0.233202704424442</c:v>
                </c:pt>
                <c:pt idx="26">
                  <c:v>0.232648962129349</c:v>
                </c:pt>
                <c:pt idx="27">
                  <c:v>0.236745627119959</c:v>
                </c:pt>
                <c:pt idx="28">
                  <c:v>0.236189507632232</c:v>
                </c:pt>
                <c:pt idx="29">
                  <c:v>0.235635994689878</c:v>
                </c:pt>
                <c:pt idx="30">
                  <c:v>0.235085070010329</c:v>
                </c:pt>
                <c:pt idx="31">
                  <c:v>0.234536715481602</c:v>
                </c:pt>
                <c:pt idx="32">
                  <c:v>0.260846075810252</c:v>
                </c:pt>
                <c:pt idx="33">
                  <c:v>0.260261641546337</c:v>
                </c:pt>
                <c:pt idx="34">
                  <c:v>0.259679820316445</c:v>
                </c:pt>
                <c:pt idx="35">
                  <c:v>0.259100594635163</c:v>
                </c:pt>
                <c:pt idx="36">
                  <c:v>0.258523947172736</c:v>
                </c:pt>
                <c:pt idx="37">
                  <c:v>0.257949860753343</c:v>
                </c:pt>
                <c:pt idx="38">
                  <c:v>0.257378318353388</c:v>
                </c:pt>
                <c:pt idx="39">
                  <c:v>0.25680930309982</c:v>
                </c:pt>
                <c:pt idx="40">
                  <c:v>0.25624279826847</c:v>
                </c:pt>
                <c:pt idx="41">
                  <c:v>0.276490442701413</c:v>
                </c:pt>
                <c:pt idx="42">
                  <c:v>0.259866515260365</c:v>
                </c:pt>
                <c:pt idx="43">
                  <c:v>0.27584807261814</c:v>
                </c:pt>
                <c:pt idx="44">
                  <c:v>0.282144953245266</c:v>
                </c:pt>
                <c:pt idx="45">
                  <c:v>0.29889075502571</c:v>
                </c:pt>
                <c:pt idx="46">
                  <c:v>0.281549038789581</c:v>
                </c:pt>
                <c:pt idx="47">
                  <c:v>0.298222088051003</c:v>
                </c:pt>
                <c:pt idx="48">
                  <c:v>0.280955636273831</c:v>
                </c:pt>
                <c:pt idx="49">
                  <c:v>0.297556406230428</c:v>
                </c:pt>
                <c:pt idx="50">
                  <c:v>0.280364729848666</c:v>
                </c:pt>
                <c:pt idx="51">
                  <c:v>0.296893689618408</c:v>
                </c:pt>
                <c:pt idx="52">
                  <c:v>0.279776303797793</c:v>
                </c:pt>
                <c:pt idx="53">
                  <c:v>0.296233918446665</c:v>
                </c:pt>
                <c:pt idx="54">
                  <c:v>0.279190342536585</c:v>
                </c:pt>
                <c:pt idx="55">
                  <c:v>0.29557707312225</c:v>
                </c:pt>
                <c:pt idx="56">
                  <c:v>0.282461852564819</c:v>
                </c:pt>
                <c:pt idx="57">
                  <c:v>0.298910375181783</c:v>
                </c:pt>
                <c:pt idx="58">
                  <c:v>0.281875876032721</c:v>
                </c:pt>
                <c:pt idx="59">
                  <c:v>0.298254244820981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91854"/>
        <c:axId val="482129367"/>
      </c:scatterChart>
      <c:valAx>
        <c:axId val="16819185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2129367"/>
        <c:crosses val="autoZero"/>
        <c:crossBetween val="midCat"/>
      </c:valAx>
      <c:valAx>
        <c:axId val="482129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819185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283a94e-167b-4a05-a1aa-ce46a48b894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NULL" TargetMode="External"/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22</xdr:col>
      <xdr:colOff>238023</xdr:colOff>
      <xdr:row>10</xdr:row>
      <xdr:rowOff>142875</xdr:rowOff>
    </xdr:from>
    <xdr:ext cx="4981677" cy="950267"/>
    <xdr:pic>
      <xdr:nvPicPr>
        <xdr:cNvPr id="2" name="图片 1"/>
        <xdr:cNvPicPr/>
      </xdr:nvPicPr>
      <xdr:blipFill>
        <a:blip r:embed="rId3" r:link="rId4"/>
        <a:stretch>
          <a:fillRect/>
        </a:stretch>
      </xdr:blipFill>
      <xdr:spPr>
        <a:xfrm>
          <a:off x="17211040" y="2238375"/>
          <a:ext cx="4982210" cy="949960"/>
        </a:xfrm>
        <a:prstGeom prst="rect">
          <a:avLst/>
        </a:prstGeom>
      </xdr:spPr>
    </xdr:pic>
    <xdr:clientData/>
  </xdr:oneCellAnchor>
  <xdr:twoCellAnchor>
    <xdr:from>
      <xdr:col>6</xdr:col>
      <xdr:colOff>257175</xdr:colOff>
      <xdr:row>3</xdr:row>
      <xdr:rowOff>152400</xdr:rowOff>
    </xdr:from>
    <xdr:to>
      <xdr:col>13</xdr:col>
      <xdr:colOff>495300</xdr:colOff>
      <xdr:row>22</xdr:row>
      <xdr:rowOff>152400</xdr:rowOff>
    </xdr:to>
    <xdr:graphicFrame>
      <xdr:nvGraphicFramePr>
        <xdr:cNvPr id="3" name="图表 2"/>
        <xdr:cNvGraphicFramePr/>
      </xdr:nvGraphicFramePr>
      <xdr:xfrm>
        <a:off x="4933950" y="781050"/>
        <a:ext cx="5438775" cy="3981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19050</xdr:colOff>
      <xdr:row>2</xdr:row>
      <xdr:rowOff>95250</xdr:rowOff>
    </xdr:from>
    <xdr:to>
      <xdr:col>21</xdr:col>
      <xdr:colOff>276225</xdr:colOff>
      <xdr:row>21</xdr:row>
      <xdr:rowOff>95250</xdr:rowOff>
    </xdr:to>
    <xdr:graphicFrame>
      <xdr:nvGraphicFramePr>
        <xdr:cNvPr id="4" name="图表 3"/>
        <xdr:cNvGraphicFramePr/>
      </xdr:nvGraphicFramePr>
      <xdr:xfrm>
        <a:off x="11677650" y="514350"/>
        <a:ext cx="4733925" cy="3981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22</xdr:col>
      <xdr:colOff>311150</xdr:colOff>
      <xdr:row>0</xdr:row>
      <xdr:rowOff>9525</xdr:rowOff>
    </xdr:from>
    <xdr:to>
      <xdr:col>26</xdr:col>
      <xdr:colOff>682625</xdr:colOff>
      <xdr:row>9</xdr:row>
      <xdr:rowOff>115570</xdr:rowOff>
    </xdr:to>
    <xdr:graphicFrame>
      <xdr:nvGraphicFramePr>
        <xdr:cNvPr id="2" name="图表 1"/>
        <xdr:cNvGraphicFramePr/>
      </xdr:nvGraphicFramePr>
      <xdr:xfrm>
        <a:off x="16760825" y="9525"/>
        <a:ext cx="3390900" cy="1649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299720</xdr:colOff>
      <xdr:row>0</xdr:row>
      <xdr:rowOff>9525</xdr:rowOff>
    </xdr:from>
    <xdr:to>
      <xdr:col>16</xdr:col>
      <xdr:colOff>187960</xdr:colOff>
      <xdr:row>9</xdr:row>
      <xdr:rowOff>37465</xdr:rowOff>
    </xdr:to>
    <xdr:graphicFrame>
      <xdr:nvGraphicFramePr>
        <xdr:cNvPr id="4" name="图表 3"/>
        <xdr:cNvGraphicFramePr/>
      </xdr:nvGraphicFramePr>
      <xdr:xfrm>
        <a:off x="7348220" y="9525"/>
        <a:ext cx="4660265" cy="1570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485775</xdr:colOff>
      <xdr:row>30</xdr:row>
      <xdr:rowOff>168275</xdr:rowOff>
    </xdr:from>
    <xdr:to>
      <xdr:col>10</xdr:col>
      <xdr:colOff>444500</xdr:colOff>
      <xdr:row>46</xdr:row>
      <xdr:rowOff>168275</xdr:rowOff>
    </xdr:to>
    <xdr:graphicFrame>
      <xdr:nvGraphicFramePr>
        <xdr:cNvPr id="5" name="图表 2"/>
        <xdr:cNvGraphicFramePr/>
      </xdr:nvGraphicFramePr>
      <xdr:xfrm>
        <a:off x="2743200" y="5349875"/>
        <a:ext cx="52736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产出_主线推图2" displayName="产出_主线推图2" ref="B312:S612" totalsRowShown="0">
  <tableColumns count="18">
    <tableColumn id="1" name="关卡进度" dataDxfId="0"/>
    <tableColumn id="2" name="道具1" dataDxfId="1"/>
    <tableColumn id="3" name="道具2" dataDxfId="2"/>
    <tableColumn id="4" name="道具3" dataDxfId="3"/>
    <tableColumn id="5" name="道具4" dataDxfId="4"/>
    <tableColumn id="6" name="道具5" dataDxfId="5"/>
    <tableColumn id="7" name="道具6" dataDxfId="6"/>
    <tableColumn id="8" name="道具7" dataDxfId="7"/>
    <tableColumn id="9" name="道具8" dataDxfId="8"/>
    <tableColumn id="10" name="道具9" dataDxfId="9"/>
    <tableColumn id="11" name="道具10" dataDxfId="10"/>
    <tableColumn id="12" name="道具11" dataDxfId="11"/>
    <tableColumn id="13" name="道具12" dataDxfId="12"/>
    <tableColumn id="18" name="道具13"/>
    <tableColumn id="14" name="体力价值" dataDxfId="13">
      <calculatedColumnFormula>SUMPRODUCT(C313:N313,$C$309:$N$309)</calculatedColumnFormula>
    </tableColumn>
    <tableColumn id="15" name="体力售价" dataDxfId="14">
      <calculatedColumnFormula>P313/20</calculatedColumnFormula>
    </tableColumn>
    <tableColumn id="16" name="首通金币" dataDxfId="15">
      <calculatedColumnFormula>SUBSTITUTE(SUBSTITUTE(AV313,"{progress_rate,2,",""),"}","")</calculatedColumnFormula>
    </tableColumn>
    <tableColumn id="17" name="列1" dataDxfId="16">
      <calculatedColumnFormula>C313/2</calculatedColumnFormula>
    </tableColumn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12" name="产出_主线推图" displayName="产出_主线推图" ref="B3:M303" totalsRowShown="0">
  <tableColumns count="12">
    <tableColumn id="1" name="关卡进度" dataDxfId="17"/>
    <tableColumn id="2" name="金币" dataDxfId="18">
      <calculatedColumnFormula>(C313+D313)</calculatedColumnFormula>
    </tableColumn>
    <tableColumn id="4" name="能量特饮" dataDxfId="19">
      <calculatedColumnFormula>E313+F313</calculatedColumnFormula>
    </tableColumn>
    <tableColumn id="6" name="装备强化书" dataDxfId="20">
      <calculatedColumnFormula>G313+H313</calculatedColumnFormula>
    </tableColumn>
    <tableColumn id="8" name="梦境招募券" dataDxfId="21"/>
    <tableColumn id="9" name="织梦微尘" dataDxfId="22"/>
    <tableColumn id="11" name="符引结晶" dataDxfId="23"/>
    <tableColumn id="12" name="普通符文" dataDxfId="24">
      <calculatedColumnFormula>M313</calculatedColumnFormula>
    </tableColumn>
    <tableColumn id="13" name="符文宝箱" dataDxfId="25">
      <calculatedColumnFormula>N313</calculatedColumnFormula>
    </tableColumn>
    <tableColumn id="14" name="体力价值" dataDxfId="26">
      <calculatedColumnFormula>P313</calculatedColumnFormula>
    </tableColumn>
    <tableColumn id="15" name="体力售价" dataDxfId="27">
      <calculatedColumnFormula>Q313</calculatedColumnFormula>
    </tableColumn>
    <tableColumn id="16" name="首通金币" dataDxfId="28">
      <calculatedColumnFormula>IFERROR(--R313,0)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产出_巡逻产出" displayName="产出_巡逻产出" ref="B310:S610" totalsRowShown="0">
  <tableColumns count="18">
    <tableColumn id="1" name="关卡数" dataDxfId="31"/>
    <tableColumn id="2" name="道具1" dataDxfId="32">
      <calculatedColumnFormula>主线推图!D313+主线推图!C313</calculatedColumnFormula>
    </tableColumn>
    <tableColumn id="3" name="道具2" dataDxfId="33">
      <calculatedColumnFormula>C311</calculatedColumnFormula>
    </tableColumn>
    <tableColumn id="4" name="道具3" dataDxfId="34"/>
    <tableColumn id="5" name="道具4" dataDxfId="35"/>
    <tableColumn id="6" name="道具5" dataDxfId="36"/>
    <tableColumn id="7" name="道具6" dataDxfId="37"/>
    <tableColumn id="8" name="道具7" dataDxfId="38"/>
    <tableColumn id="9" name="道具8" dataDxfId="39"/>
    <tableColumn id="10" name="道具9" dataDxfId="40"/>
    <tableColumn id="11" name="道具10" dataDxfId="41"/>
    <tableColumn id="12" name="道具11" dataDxfId="42"/>
    <tableColumn id="13" name="道具12" dataDxfId="43"/>
    <tableColumn id="14" name="道具13" dataDxfId="44"/>
    <tableColumn id="15" name="道具14" dataDxfId="45"/>
    <tableColumn id="16" name="挂机" dataDxfId="46"/>
    <tableColumn id="17" name="扫荡" dataDxfId="47"/>
    <tableColumn id="18" name="列1" dataDxfId="48">
      <calculatedColumnFormula>C311/2</calculatedColumn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14" name="产出_挂机产出" displayName="产出_挂机产出" ref="B2:H302" totalsRowShown="0">
  <tableColumns count="7">
    <tableColumn id="1" name="关卡数" dataDxfId="49"/>
    <tableColumn id="2" name="金币" dataDxfId="50">
      <calculatedColumnFormula>OFFSET($B$310,$B3,MATCH(C$1&amp;C$2,$C$305:$P$305,0))</calculatedColumnFormula>
    </tableColumn>
    <tableColumn id="3" name="能量特饮" dataDxfId="51">
      <calculatedColumnFormula>OFFSET($B$310,$B3,MATCH(D$1&amp;D$2,$C$305:$P$305,0))</calculatedColumnFormula>
    </tableColumn>
    <tableColumn id="4" name="装备强化书" dataDxfId="52">
      <calculatedColumnFormula>OFFSET($B$310,$B3,MATCH(E$1&amp;E$2,$C$305:$P$305,0))</calculatedColumnFormula>
    </tableColumn>
    <tableColumn id="5" name="钻石" dataDxfId="53">
      <calculatedColumnFormula>OFFSET($B$310,$B3,MATCH(F$1&amp;F$2,$C$305:$P$305,0))</calculatedColumnFormula>
    </tableColumn>
    <tableColumn id="6" name="初愿摇杆" dataDxfId="54">
      <calculatedColumnFormula>OFFSET($B$310,$B3,MATCH(G$1&amp;G$2,$C$305:$P$305,0))</calculatedColumnFormula>
    </tableColumn>
    <tableColumn id="7" name="梦境招募券" dataDxfId="55">
      <calculatedColumnFormula>OFFSET($B$310,$B3,MATCH(H$1&amp;H$2,$C$305:$P$305,0))</calculatedColumnFormula>
    </tableColumn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15" name="产出_扫荡产出" displayName="产出_扫荡产出" ref="J2:R302" totalsRowShown="0">
  <tableColumns count="9">
    <tableColumn id="1" name="关卡数" dataDxfId="56"/>
    <tableColumn id="2" name="金币" dataDxfId="57">
      <calculatedColumnFormula>OFFSET($B$310,$B3,MATCH(K$1&amp;K$2,$C$305:$P$305,0))</calculatedColumnFormula>
    </tableColumn>
    <tableColumn id="3" name="能量特饮" dataDxfId="58">
      <calculatedColumnFormula>OFFSET($B$310,$B3,MATCH(L$1&amp;L$2,$C$305:$P$305,0))</calculatedColumnFormula>
    </tableColumn>
    <tableColumn id="4" name="普通符文" dataDxfId="59">
      <calculatedColumnFormula>OFFSET($B$310,$B3,MATCH(M$1&amp;M$2,$C$305:$P$305,0))</calculatedColumnFormula>
    </tableColumn>
    <tableColumn id="5" name="装备强化书" dataDxfId="60">
      <calculatedColumnFormula>OFFSET($B$310,$B3,MATCH(N$1&amp;N$2,$C$305:$P$305,0))</calculatedColumnFormula>
    </tableColumn>
    <tableColumn id="6" name="织梦微尘" dataDxfId="61">
      <calculatedColumnFormula>OFFSET($B$310,$B3,MATCH(O$1&amp;O$2,$C$305:$P$305,0))</calculatedColumnFormula>
    </tableColumn>
    <tableColumn id="7" name="装备掉落" dataDxfId="62">
      <calculatedColumnFormula>OFFSET($B$310,$B3,MATCH(P$1&amp;P$2,$C$305:$P$305,0))</calculatedColumnFormula>
    </tableColumn>
    <tableColumn id="8" name="梦境招募券" dataDxfId="63">
      <calculatedColumnFormula>OFFSET($B$310,$B3,MATCH(Q$1&amp;Q$2,$C$305:$P$305,0))</calculatedColumnFormula>
    </tableColumn>
    <tableColumn id="9" name="符引结晶" dataDxfId="64">
      <calculatedColumnFormula>OFFSET($B$310,$B3,MATCH(R$1&amp;R$2,$C$305:$P$305,0))</calculatedColumnFormula>
    </tableColumn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4" name="产出_组队配置" displayName="产出_组队配置" ref="B24:S39" totalsRowShown="0">
  <tableColumns count="18">
    <tableColumn id="1" name="关卡节点" dataDxfId="65"/>
    <tableColumn id="2" name="道具1" dataDxfId="66">
      <calculatedColumnFormula>INT(D25/3)</calculatedColumnFormula>
    </tableColumn>
    <tableColumn id="3" name="道具2" dataDxfId="67">
      <calculatedColumnFormula>INT(_xlfn.XLOOKUP(B25*10+10,主线推图!$B$4:$B$303,主线推图!$C$4:$C$303)*1.5)</calculatedColumnFormula>
    </tableColumn>
    <tableColumn id="4" name="道具3" dataDxfId="68"/>
    <tableColumn id="5" name="道具4" dataDxfId="69"/>
    <tableColumn id="6" name="道具5" dataDxfId="70"/>
    <tableColumn id="7" name="道具6" dataDxfId="71"/>
    <tableColumn id="8" name="道具7" dataDxfId="72"/>
    <tableColumn id="9" name="道具8" dataDxfId="73"/>
    <tableColumn id="10" name="道具9" dataDxfId="74"/>
    <tableColumn id="11" name="道具10" dataDxfId="75"/>
    <tableColumn id="12" name="道具11" dataDxfId="76"/>
    <tableColumn id="13" name="道具12" dataDxfId="77"/>
    <tableColumn id="14" name="道具13" dataDxfId="78"/>
    <tableColumn id="15" name="产出价值" dataDxfId="79">
      <calculatedColumnFormula array="1">SUMPRODUCT(C25:O25,$C$22:$O$22)</calculatedColumnFormula>
    </tableColumn>
    <tableColumn id="16" name="体力性价比" dataDxfId="80">
      <calculatedColumnFormula>P25/40</calculatedColumnFormula>
    </tableColumn>
    <tableColumn id="17" name="波次奖励" dataDxfId="81"/>
    <tableColumn id="18" name="金币" dataDxfId="82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17" name="产出_组队产出" displayName="产出_组队产出" ref="B4:V19" totalsRowShown="0">
  <tableColumns count="21">
    <tableColumn id="1" name="关卡节点"/>
    <tableColumn id="2" name="金币" dataDxfId="83">
      <calculatedColumnFormula>(C25+D25)</calculatedColumnFormula>
    </tableColumn>
    <tableColumn id="4" name="能量特饮">
      <calculatedColumnFormula>E25+F25+H25</calculatedColumnFormula>
    </tableColumn>
    <tableColumn id="6" name="符引结晶">
      <calculatedColumnFormula>G25</calculatedColumnFormula>
    </tableColumn>
    <tableColumn id="8" name="织梦微尘">
      <calculatedColumnFormula>I25</calculatedColumnFormula>
    </tableColumn>
    <tableColumn id="9" name="装备强化书"/>
    <tableColumn id="11" name="队长大箱子"/>
    <tableColumn id="12" name="队长小箱子"/>
    <tableColumn id="13" name="普通符文"/>
    <tableColumn id="14" name="加速沙漏"/>
    <tableColumn id="3" name="波次奖励"/>
    <tableColumn id="5" name="分解金币"/>
    <tableColumn id="7" name="随机普通装备"/>
    <tableColumn id="10" name="随机优秀装备"/>
    <tableColumn id="15" name="随机稀有装备"/>
    <tableColumn id="16" name="随机史诗装备"/>
    <tableColumn id="17" name="随机传说装备"/>
    <tableColumn id="18" name="随机神话装备"/>
    <tableColumn id="19" name="随机创世装备"/>
    <tableColumn id="20" name="随机彩虹装备"/>
    <tableColumn id="21" name="性价比" dataDxfId="84">
      <calculatedColumnFormula array="1">SUMPRODUCT(C5:K5,$C$3:$K$3)/40</calculatedColumnFormula>
    </tableColumn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id="5" name="产出_竞技场产出" displayName="产出_竞技场产出" ref="J3:P5" totalsRowShown="0">
  <tableColumns count="7">
    <tableColumn id="1" name="获奖类型" dataDxfId="85"/>
    <tableColumn id="2" name="梦境招募券" dataDxfId="86"/>
    <tableColumn id="3" name="初愿摇杆" dataDxfId="87"/>
    <tableColumn id="4" name="装备强化书" dataDxfId="88"/>
    <tableColumn id="5" name="竞技场币" dataDxfId="89"/>
    <tableColumn id="6" name="能量特饮" dataDxfId="90"/>
    <tableColumn id="7" name="价值" dataDxfId="91">
      <calculatedColumnFormula array="1">SUMPRODUCT($K$2:$O$2,K4:O4)</calculatedColumnFormula>
    </tableColumn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id="6" name="产出_竞技场日结算" displayName="产出_竞技场日结算" ref="J10:N17" totalsRowShown="0">
  <tableColumns count="5">
    <tableColumn id="1" name="排行" dataDxfId="92"/>
    <tableColumn id="2" name="钻石" dataDxfId="93"/>
    <tableColumn id="3" name="梦境招募券" dataDxfId="94"/>
    <tableColumn id="4" name="能量特饮" dataDxfId="95"/>
    <tableColumn id="5" name="价值" dataDxfId="96">
      <calculatedColumnFormula>SUMPRODUCT(K11:M11,$K$9:$M$9)</calculatedColumnFormula>
    </tableColumn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id="8" name="产出_竞技场周结算" displayName="产出_竞技场周结算" ref="J21:O28" totalsRowShown="0">
  <tableColumns count="6">
    <tableColumn id="1" name="排行" dataDxfId="97"/>
    <tableColumn id="2" name="星珀" dataDxfId="98">
      <calculatedColumnFormula>R22/7</calculatedColumnFormula>
    </tableColumn>
    <tableColumn id="3" name="钻石" dataDxfId="99">
      <calculatedColumnFormula>S22/7</calculatedColumnFormula>
    </tableColumn>
    <tableColumn id="4" name="秘藏摇杆" dataDxfId="100">
      <calculatedColumnFormula>T22/7</calculatedColumnFormula>
    </tableColumn>
    <tableColumn id="5" name="初愿摇杆" dataDxfId="101">
      <calculatedColumnFormula>U22/7</calculatedColumnFormula>
    </tableColumn>
    <tableColumn id="6" name="价值" dataDxfId="102">
      <calculatedColumnFormula>SUMPRODUCT(K22:N22,$K$20:$N$20)</calculatedColumnFormula>
    </tableColumn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id="27" name="产出_竞技场商店" displayName="产出_竞技场商店" ref="I33:R36" totalsRowShown="0">
  <tableColumns count="10">
    <tableColumn id="1" name="竞技场商店"/>
    <tableColumn id="2" name="梦愿水晶"/>
    <tableColumn id="3" name="符引结晶"/>
    <tableColumn id="4" name="装备强化书"/>
    <tableColumn id="5" name="梦灵经验"/>
    <tableColumn id="6" name="基因罐"/>
    <tableColumn id="7" name="加速卡"/>
    <tableColumn id="9" name="金币"/>
    <tableColumn id="10" name="锤子"/>
    <tableColumn id="11" name="海拉"/>
  </tableColumns>
  <tableStyleInfo name="TableStyleMedium2" showFirstColumn="0" showLastColumn="0" showRowStripes="0" showColumnStripes="0"/>
</table>
</file>

<file path=xl/tables/table12.xml><?xml version="1.0" encoding="utf-8"?>
<table xmlns="http://schemas.openxmlformats.org/spreadsheetml/2006/main" id="28" name="产出_竞技场周结算29" displayName="产出_竞技场周结算29" ref="Q21:V28" totalsRowShown="0">
  <tableColumns count="6">
    <tableColumn id="1" name="排行" dataDxfId="103"/>
    <tableColumn id="2" name="星珀" dataDxfId="104"/>
    <tableColumn id="3" name="钻石" dataDxfId="105"/>
    <tableColumn id="4" name="秘藏摇杆"/>
    <tableColumn id="5" name="初愿摇杆"/>
    <tableColumn id="6" name="价值" dataDxfId="106">
      <calculatedColumnFormula array="1">SUMPRODUCT(R22:U22,$K$20:$N$20)</calculatedColumnFormula>
    </tableColumn>
  </tableColumns>
  <tableStyleInfo name="TableStyleMedium2" showFirstColumn="0" showLastColumn="0" showRowStripes="0" showColumnStripes="0"/>
</table>
</file>

<file path=xl/tables/table13.xml><?xml version="1.0" encoding="utf-8"?>
<table xmlns="http://schemas.openxmlformats.org/spreadsheetml/2006/main" id="9" name="产出_任务产出" displayName="产出_任务产出" ref="B35:O40" totalsRowShown="0">
  <tableColumns count="14">
    <tableColumn id="1" name="任务条件" dataDxfId="107"/>
    <tableColumn id="2" name="梦境招募券" dataDxfId="108"/>
    <tableColumn id="3" name="金币" dataDxfId="109"/>
    <tableColumn id="4" name="符引结晶" dataDxfId="110"/>
    <tableColumn id="5" name="能量特饮" dataDxfId="111"/>
    <tableColumn id="6" name="锻造晶石" dataDxfId="112"/>
    <tableColumn id="7" name="加速沙漏" dataDxfId="113"/>
    <tableColumn id="8" name="金币本次数" dataDxfId="114"/>
    <tableColumn id="9" name="钻石" dataDxfId="115"/>
    <tableColumn id="10" name="装备强化书" dataDxfId="116"/>
    <tableColumn id="11" name="梦愿水晶" dataDxfId="117"/>
    <tableColumn id="12" name="秘藏摇杆" dataDxfId="118"/>
    <tableColumn id="13" name="幻梦晶核" dataDxfId="119"/>
    <tableColumn id="14" name="初愿摇杆" dataDxfId="120"/>
  </tableColumns>
  <tableStyleInfo name="TableStyleMedium2" showFirstColumn="0" showLastColumn="0" showRowStripes="0" showColumnStripes="0"/>
</table>
</file>

<file path=xl/tables/table14.xml><?xml version="1.0" encoding="utf-8"?>
<table xmlns="http://schemas.openxmlformats.org/spreadsheetml/2006/main" id="10" name="产出_公会产出" displayName="产出_公会产出" ref="B10:U19" totalsRowShown="0">
  <tableColumns count="20">
    <tableColumn id="1" name="车类型"/>
    <tableColumn id="2" name="奖励类型"/>
    <tableColumn id="3" name="公会贡献" dataDxfId="121"/>
    <tableColumn id="4" name="转运石" dataDxfId="122"/>
    <tableColumn id="5" name="装备强化书" dataDxfId="123"/>
    <tableColumn id="6" name="秘藏摇杆" dataDxfId="124"/>
    <tableColumn id="7" name="初愿摇杆" dataDxfId="125"/>
    <tableColumn id="8" name="能量特饮" dataDxfId="126"/>
    <tableColumn id="9" name="钻石" dataDxfId="127"/>
    <tableColumn id="10" name="梦境招募券" dataDxfId="128"/>
    <tableColumn id="11" name="友情值" dataDxfId="129"/>
    <tableColumn id="12" name="金币" dataDxfId="130"/>
    <tableColumn id="13" name="加速沙漏" dataDxfId="131"/>
    <tableColumn id="14" name="幻梦晶核" dataDxfId="132"/>
    <tableColumn id="15" name="血瓶" dataDxfId="133"/>
    <tableColumn id="16" name="BOSS削弱" dataDxfId="134"/>
    <tableColumn id="17" name="总价值" dataDxfId="135">
      <calculatedColumnFormula array="1">SUMPRODUCT(D12:Q12,D$8:Q$8)</calculatedColumnFormula>
    </tableColumn>
    <tableColumn id="18" name="频次"/>
    <tableColumn id="19" name="单次价值"/>
    <tableColumn id="20" name="日产" dataDxfId="136"/>
  </tableColumns>
  <tableStyleInfo name="TableStyleMedium2" showFirstColumn="0" showLastColumn="0" showRowStripes="0" showColumnStripes="0"/>
</table>
</file>

<file path=xl/tables/table15.xml><?xml version="1.0" encoding="utf-8"?>
<table xmlns="http://schemas.openxmlformats.org/spreadsheetml/2006/main" id="29" name="一次性产出_公会产出" displayName="一次性产出_公会产出" ref="B22:U322" totalsRowShown="0">
  <tableColumns count="20">
    <tableColumn id="1" name="车类型" dataDxfId="137"/>
    <tableColumn id="2" name="奖励类型" dataDxfId="138"/>
    <tableColumn id="3" name="公会贡献" dataDxfId="139">
      <calculatedColumnFormula>$D$12+$D$13+$D$14</calculatedColumnFormula>
    </tableColumn>
    <tableColumn id="4" name="转运石" dataDxfId="140">
      <calculatedColumnFormula>$E$12+$E$13</calculatedColumnFormula>
    </tableColumn>
    <tableColumn id="5" name="装备强化书" dataDxfId="141"/>
    <tableColumn id="6" name="秘藏摇杆" dataDxfId="142"/>
    <tableColumn id="7" name="初愿摇杆" dataDxfId="143"/>
    <tableColumn id="8" name="能量特饮" dataDxfId="144"/>
    <tableColumn id="9" name="钻石" dataDxfId="145"/>
    <tableColumn id="10" name="梦境招募券" dataDxfId="146"/>
    <tableColumn id="11" name="友情值" dataDxfId="147"/>
    <tableColumn id="12" name="金币" dataDxfId="148"/>
    <tableColumn id="13" name="加速沙漏" dataDxfId="149"/>
    <tableColumn id="14" name="幻梦晶核" dataDxfId="150"/>
    <tableColumn id="15" name="血瓶" dataDxfId="151"/>
    <tableColumn id="16" name="BOSS削弱" dataDxfId="152"/>
    <tableColumn id="17" name="总价值" dataDxfId="153">
      <calculatedColumnFormula>SUM(D23:O23,$D$8:$O$8)</calculatedColumnFormula>
    </tableColumn>
    <tableColumn id="18" name="频次" dataDxfId="154"/>
    <tableColumn id="19" name="单次价值" dataDxfId="155"/>
    <tableColumn id="20" name="日产" dataDxfId="156"/>
  </tableColumns>
  <tableStyleInfo name="TableStyleMedium2" showFirstColumn="0" showLastColumn="0" showRowStripes="0" showColumnStripes="0"/>
</table>
</file>

<file path=xl/tables/table16.xml><?xml version="1.0" encoding="utf-8"?>
<table xmlns="http://schemas.openxmlformats.org/spreadsheetml/2006/main" id="25" name="产出_协力宝箱" displayName="产出_协力宝箱" ref="P17:Z18" totalsRowShown="0">
  <tableColumns count="11">
    <tableColumn id="1" name="协力宝箱" dataDxfId="157"/>
    <tableColumn id="2" name="秘藏摇杆" dataDxfId="158">
      <calculatedColumnFormula>SUMIF($G$18:$G$29,Q$17,$N$18:$N$29)/7</calculatedColumnFormula>
    </tableColumn>
    <tableColumn id="3" name="梦境招募券" dataDxfId="159">
      <calculatedColumnFormula>SUMIF($G$18:$G$29,R$17,$N$18:$N$29)/7</calculatedColumnFormula>
    </tableColumn>
    <tableColumn id="4" name="梦愿水晶" dataDxfId="160">
      <calculatedColumnFormula>SUMIF($G$18:$G$29,S$17,$N$18:$N$29)/7</calculatedColumnFormula>
    </tableColumn>
    <tableColumn id="5" name="符引结晶" dataDxfId="161">
      <calculatedColumnFormula>SUMIF($G$18:$G$29,T$17,$N$18:$N$29)/7</calculatedColumnFormula>
    </tableColumn>
    <tableColumn id="6" name="初愿摇杆" dataDxfId="162">
      <calculatedColumnFormula>SUMIF($G$18:$G$29,U$17,$N$18:$N$29)/7</calculatedColumnFormula>
    </tableColumn>
    <tableColumn id="7" name="能量特饮2" dataDxfId="163">
      <calculatedColumnFormula>SUMIF($G$18:$G$29,V$17,$N$18:$N$29)/7</calculatedColumnFormula>
    </tableColumn>
    <tableColumn id="8" name="装备强化书" dataDxfId="164">
      <calculatedColumnFormula>SUMIF($G$18:$G$29,W$17,$N$18:$N$29)/7</calculatedColumnFormula>
    </tableColumn>
    <tableColumn id="9" name="能量特饮" dataDxfId="165">
      <calculatedColumnFormula>SUMIF($G$18:$G$29,X$17,$N$18:$N$29)/7</calculatedColumnFormula>
    </tableColumn>
    <tableColumn id="10" name="金币" dataDxfId="166">
      <calculatedColumnFormula>SUMIF($G$18:$G$29,Y$17,$N$18:$N$29)/7</calculatedColumnFormula>
    </tableColumn>
    <tableColumn id="11" name="锻造晶石" dataDxfId="167">
      <calculatedColumnFormula>SUMIF($G$18:$G$29,Z$17,$N$18:$N$29)/7</calculatedColumnFormula>
    </tableColumn>
  </tableColumns>
  <tableStyleInfo name="TableStyleMedium2" showFirstColumn="0" showLastColumn="0" showRowStripes="0" showColumnStripes="0"/>
</table>
</file>

<file path=xl/tables/table17.xml><?xml version="1.0" encoding="utf-8"?>
<table xmlns="http://schemas.openxmlformats.org/spreadsheetml/2006/main" id="26" name="产出_星星宝箱" displayName="产出_星星宝箱" ref="R47:AA48" totalsRowShown="0">
  <tableColumns count="10">
    <tableColumn id="1" name="星星宝箱" dataDxfId="168"/>
    <tableColumn id="2" name="秘藏摇杆" dataDxfId="169">
      <calculatedColumnFormula>SUM(S49:S81)</calculatedColumnFormula>
    </tableColumn>
    <tableColumn id="3" name="梦境招募券" dataDxfId="170">
      <calculatedColumnFormula>SUM(T49:T81)</calculatedColumnFormula>
    </tableColumn>
    <tableColumn id="4" name="钻石" dataDxfId="171">
      <calculatedColumnFormula>SUM(U49:U81)</calculatedColumnFormula>
    </tableColumn>
    <tableColumn id="5" name="初愿摇杆" dataDxfId="172">
      <calculatedColumnFormula>SUM(V49:V81)</calculatedColumnFormula>
    </tableColumn>
    <tableColumn id="6" name="符引结晶" dataDxfId="173">
      <calculatedColumnFormula>SUM(W49:W81)</calculatedColumnFormula>
    </tableColumn>
    <tableColumn id="7" name="装备强化书" dataDxfId="174">
      <calculatedColumnFormula>SUM(X49:X81)</calculatedColumnFormula>
    </tableColumn>
    <tableColumn id="8" name="能量特饮" dataDxfId="175">
      <calculatedColumnFormula>SUM(Y49:Y81)</calculatedColumnFormula>
    </tableColumn>
    <tableColumn id="9" name="金币" dataDxfId="176">
      <calculatedColumnFormula>SUM(Z49:Z81)</calculatedColumnFormula>
    </tableColumn>
    <tableColumn id="10" name="锻造晶石" dataDxfId="177">
      <calculatedColumnFormula>SUM(AA49:AA81)</calculatedColumnFormula>
    </tableColumn>
  </tableColumns>
  <tableStyleInfo name="TableStyleMedium2" showFirstColumn="0" showLastColumn="0" showRowStripes="0" showColumnStripes="0"/>
</table>
</file>

<file path=xl/tables/table18.xml><?xml version="1.0" encoding="utf-8"?>
<table xmlns="http://schemas.openxmlformats.org/spreadsheetml/2006/main" id="11" name="金币本产出" displayName="金币本产出" ref="B2:F302" totalsRowShown="0">
  <tableColumns count="5">
    <tableColumn id="1" name="金币本" dataDxfId="178"/>
    <tableColumn id="2" name="战力需求" dataDxfId="179"/>
    <tableColumn id="3" name="首通金币" dataDxfId="180"/>
    <tableColumn id="4" name="扫荡金币" dataDxfId="181"/>
    <tableColumn id="6" name="关卡数" dataDxfId="182"/>
  </tableColumns>
  <tableStyleInfo name="TableStyleMedium2" showFirstColumn="0" showLastColumn="0" showRowStripes="0" showColumnStripes="0"/>
</table>
</file>

<file path=xl/tables/table19.xml><?xml version="1.0" encoding="utf-8"?>
<table xmlns="http://schemas.openxmlformats.org/spreadsheetml/2006/main" id="20" name="一次性产出_金币本首通" displayName="一次性产出_金币本首通" ref="I2:J302" totalsRowShown="0">
  <tableColumns count="2">
    <tableColumn id="1" name="主线"/>
    <tableColumn id="2" name="金币" dataDxfId="183">
      <calculatedColumnFormula>SUMIF($F$3:$F$302,I3,$D$3:$D$302)</calculatedColumnFormula>
    </tableColumn>
  </tableColumns>
  <tableStyleInfo name="TableStyleMedium2" showFirstColumn="0" showLastColumn="0" showRowStripes="0" showColumnStripes="0"/>
</table>
</file>

<file path=xl/tables/table20.xml><?xml version="1.0" encoding="utf-8"?>
<table xmlns="http://schemas.openxmlformats.org/spreadsheetml/2006/main" id="21" name="产出_金币本扫荡" displayName="产出_金币本扫荡" ref="L2:N302" totalsRowShown="0">
  <tableColumns count="3">
    <tableColumn id="1" name="天数"/>
    <tableColumn id="2" name="金币" dataDxfId="184">
      <calculatedColumnFormula>IFERROR(OFFSET($E$2,MATCH(金币平衡!C28,$F$3:$F$302,1),0),0)</calculatedColumnFormula>
    </tableColumn>
    <tableColumn id="3" name="列1" dataDxfId="185">
      <calculatedColumnFormula>E3/2</calculatedColumnFormula>
    </tableColumn>
  </tableColumns>
  <tableStyleInfo name="TableStyleMedium2" showFirstColumn="0" showLastColumn="0" showRowStripes="0" showColumnStripes="0"/>
</table>
</file>

<file path=xl/tables/table21.xml><?xml version="1.0" encoding="utf-8"?>
<table xmlns="http://schemas.openxmlformats.org/spreadsheetml/2006/main" id="18" name="一次性产出_主线宝箱" displayName="一次性产出_主线宝箱" ref="B1:O301" totalsRowShown="0">
  <tableColumns count="14">
    <tableColumn id="1" name="关卡" dataDxfId="186"/>
    <tableColumn id="2" name="能量特饮" dataDxfId="187">
      <calculatedColumnFormula>J321+N321+AF321</calculatedColumnFormula>
    </tableColumn>
    <tableColumn id="3" name="装备强化书" dataDxfId="188">
      <calculatedColumnFormula>H321+T321</calculatedColumnFormula>
    </tableColumn>
    <tableColumn id="4" name="梦境招募券" dataDxfId="189">
      <calculatedColumnFormula>IF(MOD(B2,5)=0,0,D321)+IF(MOD(B2-16,20)=0,10,0)</calculatedColumnFormula>
    </tableColumn>
    <tableColumn id="5" name="梦愿水晶" dataDxfId="190">
      <calculatedColumnFormula>IF(MOD(B2,5)=0,1,0)</calculatedColumnFormula>
    </tableColumn>
    <tableColumn id="6" name="金币" dataDxfId="191">
      <calculatedColumnFormula>L321+X321+AL321+主线推图!M4+IFERROR(_xlfn.XLOOKUP((B2-6)/10,组队产出!$B$4:$B$19,组队产出!$L$4:$L$19),0)</calculatedColumnFormula>
    </tableColumn>
    <tableColumn id="7" name="转运石" dataDxfId="192">
      <calculatedColumnFormula>P321*2.5</calculatedColumnFormula>
    </tableColumn>
    <tableColumn id="8" name="符引结晶" dataDxfId="193"/>
    <tableColumn id="9" name="初愿摇杆" dataDxfId="194">
      <calculatedColumnFormula>V321</calculatedColumnFormula>
    </tableColumn>
    <tableColumn id="10" name="加速沙漏" dataDxfId="195">
      <calculatedColumnFormula>Z321</calculatedColumnFormula>
    </tableColumn>
    <tableColumn id="11" name="潜能棱晶" dataDxfId="196">
      <calculatedColumnFormula>IF(MOD(B2,5)=0,AB321,0)</calculatedColumnFormula>
    </tableColumn>
    <tableColumn id="12" name="织梦微尘" dataDxfId="197">
      <calculatedColumnFormula>IF(MOD(B2,5)=0,0,AB321)</calculatedColumnFormula>
    </tableColumn>
    <tableColumn id="13" name="钻石" dataDxfId="198">
      <calculatedColumnFormula>AD321</calculatedColumnFormula>
    </tableColumn>
    <tableColumn id="14" name="秘藏摇杆" dataDxfId="199">
      <calculatedColumnFormula>IF(MOD(B2-26,20)=0,2,0)</calculatedColumnFormula>
    </tableColumn>
  </tableColumns>
  <tableStyleInfo name="TableStyleMedium2" showFirstColumn="0" showLastColumn="0" showRowStripes="0" showColumnStripes="0"/>
</table>
</file>

<file path=xl/tables/table22.xml><?xml version="1.0" encoding="utf-8"?>
<table xmlns="http://schemas.openxmlformats.org/spreadsheetml/2006/main" id="22" name="一次性产出_主线任务" displayName="一次性产出_主线任务" ref="B2:L3" totalsRowShown="0">
  <tableColumns count="11">
    <tableColumn id="1" name="任务" dataDxfId="200"/>
    <tableColumn id="2" name="金币" dataDxfId="201"/>
    <tableColumn id="3" name="梦境招募券"/>
    <tableColumn id="4" name="钻石"/>
    <tableColumn id="5" name="锻造晶石"/>
    <tableColumn id="6" name="装备强化书"/>
    <tableColumn id="7" name="能量特饮"/>
    <tableColumn id="8" name="初愿摇杆"/>
    <tableColumn id="9" name="秘藏摇杆"/>
    <tableColumn id="10" name="加速沙漏"/>
    <tableColumn id="11" name="符引结晶"/>
  </tableColumns>
  <tableStyleInfo name="TableStyleMedium2" showFirstColumn="0" showLastColumn="0" showRowStripes="0" showColumnStripes="0"/>
</table>
</file>

<file path=xl/tables/table23.xml><?xml version="1.0" encoding="utf-8"?>
<table xmlns="http://schemas.openxmlformats.org/spreadsheetml/2006/main" id="23" name="产出_商城购买" displayName="产出_商城购买" ref="B8:D10" totalsRowShown="0">
  <tableColumns count="3">
    <tableColumn id="1" name="任务"/>
    <tableColumn id="2" name="金币" dataDxfId="202"/>
    <tableColumn id="3" name="抽奖券"/>
  </tableColumns>
  <tableStyleInfo name="TableStyleMedium2" showFirstColumn="0" showLastColumn="0" showRowStripes="0" showColumnStripes="0"/>
</table>
</file>

<file path=xl/tables/table24.xml><?xml version="1.0" encoding="utf-8"?>
<table xmlns="http://schemas.openxmlformats.org/spreadsheetml/2006/main" id="24" name="产出_基因协助" displayName="产出_基因协助" ref="I8:J9" totalsRowShown="0">
  <tableColumns count="2">
    <tableColumn id="1" name="任务"/>
    <tableColumn id="2" name="金币" dataDxfId="203"/>
  </tableColumns>
  <tableStyleInfo name="TableStyleMedium2" showFirstColumn="0" showLastColumn="0" showRowStripes="0" showColumnStripes="0"/>
</table>
</file>

<file path=xl/tables/table25.xml><?xml version="1.0" encoding="utf-8"?>
<table xmlns="http://schemas.openxmlformats.org/spreadsheetml/2006/main" id="7" name="一次性产出_章节礼包" displayName="一次性产出_章节礼包" ref="B13:E313" totalsRowShown="0">
  <tableColumns count="4">
    <tableColumn id="1" name="关卡"/>
    <tableColumn id="2" name="装备强化书" dataDxfId="204">
      <calculatedColumnFormula>IFERROR(_xlfn.XLOOKUP($B14,$Q$13:$Q$18,$L$13:$L$18),0)</calculatedColumnFormula>
    </tableColumn>
    <tableColumn id="3" name="梦境招募券" dataDxfId="205">
      <calculatedColumnFormula>IFERROR(_xlfn.XLOOKUP($B14,$Q$13:$Q$18,$M$13:$M$18),0)</calculatedColumnFormula>
    </tableColumn>
    <tableColumn id="4" name="能量特饮2" dataDxfId="206">
      <calculatedColumnFormula>IFERROR(_xlfn.XLOOKUP($B14,$Q$13:$Q$18,$J$13:$J$18),0)</calculatedColumnFormula>
    </tableColumn>
  </tableColumns>
  <tableStyleInfo name="TableStyleMedium2" showFirstColumn="0" showLastColumn="0" showRowStripes="0" showColumnStripes="0"/>
</table>
</file>

<file path=xl/tables/table26.xml><?xml version="1.0" encoding="utf-8"?>
<table xmlns="http://schemas.openxmlformats.org/spreadsheetml/2006/main" id="19" name="一次性产出_活动产出" displayName="一次性产出_活动产出" ref="B2:J302" totalsRowShown="0">
  <tableColumns count="9">
    <tableColumn id="1" name="运营活动释放" dataDxfId="207"/>
    <tableColumn id="2" name="金币" dataDxfId="208">
      <calculatedColumnFormula>IFERROR(_xlfn.XLOOKUP(B3,$O$2:$O$27,$P$2:$P$27),0)+OFFSET($R$2,MIN(8,$B3),MATCH(C$2,$S$2:$AB$2,0))</calculatedColumnFormula>
    </tableColumn>
    <tableColumn id="3" name="钻石">
      <calculatedColumnFormula>IFERROR(_xlfn.XLOOKUP(C3,$O$2:$O$27,$P$2:$P$27),0)+OFFSET($R$2,MIN(8,$B3),MATCH(D$2,$S$2:$AB$2,0))</calculatedColumnFormula>
    </tableColumn>
    <tableColumn id="4" name="梦境招募券" dataDxfId="209">
      <calculatedColumnFormula>IFERROR(_xlfn.XLOOKUP(D3,$O$2:$O$27,$P$2:$P$27),0)+OFFSET($R$2,MIN(8,$B3),MATCH(E$2,$S$2:$AB$2,0))+IFERROR(_xlfn.XLOOKUP(B3,$L$3:$L$9,$M$3:$M$9),0)</calculatedColumnFormula>
    </tableColumn>
    <tableColumn id="5" name="体力">
      <calculatedColumnFormula>IFERROR(_xlfn.XLOOKUP(E3,$O$2:$O$27,$P$2:$P$27),0)+OFFSET($R$2,MIN(8,$B3),MATCH(F$2,$S$2:$AB$2,0))</calculatedColumnFormula>
    </tableColumn>
    <tableColumn id="6" name="初愿摇杆">
      <calculatedColumnFormula>IFERROR(_xlfn.XLOOKUP(F3,$O$2:$O$27,$P$2:$P$27),0)+OFFSET($R$2,MIN(8,$B3),MATCH(G$2,$S$2:$AB$2,0))</calculatedColumnFormula>
    </tableColumn>
    <tableColumn id="7" name="能量特饮2">
      <calculatedColumnFormula>IFERROR(_xlfn.XLOOKUP(G3,$O$2:$O$27,$P$2:$P$27),0)+OFFSET($R$2,MIN(8,$B3),MATCH(H$2,$S$2:$AB$2,0))</calculatedColumnFormula>
    </tableColumn>
    <tableColumn id="8" name="幻梦晶核">
      <calculatedColumnFormula>IFERROR(_xlfn.XLOOKUP(H3,$O$2:$O$27,$P$2:$P$27),0)+OFFSET($R$2,MIN(8,$B3),MATCH(I$2,$S$2:$AB$2,0))</calculatedColumnFormula>
    </tableColumn>
    <tableColumn id="9" name="梦愿水晶">
      <calculatedColumnFormula>IFERROR(_xlfn.XLOOKUP(I3,$O$2:$O$27,$P$2:$P$27),0)+OFFSET($R$2,MIN(8,$B3),MATCH(J$2,$S$2:$AB$2,0))</calculatedColumnFormula>
    </tableColumn>
  </tableColumns>
  <tableStyleInfo name="TableStyleMedium2" showFirstColumn="0" showLastColumn="0" showRowStripes="0" showColumnStripes="0"/>
</table>
</file>

<file path=xl/tables/table27.xml><?xml version="1.0" encoding="utf-8"?>
<table xmlns="http://schemas.openxmlformats.org/spreadsheetml/2006/main" id="1" name="弃用_装备核算" displayName="弃用_装备核算" ref="D4:G14" totalsRowShown="0">
  <tableColumns count="4">
    <tableColumn id="1" name="产出途径"/>
    <tableColumn id="2" name="金币总产"/>
    <tableColumn id="3" name="图纸总产"/>
    <tableColumn id="4" name="符文比例" dataDxfId="210">
      <calculatedColumnFormula>E5/F5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5" Type="http://schemas.openxmlformats.org/officeDocument/2006/relationships/table" Target="../tables/table12.xml"/><Relationship Id="rId4" Type="http://schemas.openxmlformats.org/officeDocument/2006/relationships/table" Target="../tables/table11.xml"/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19.xml.rels><?xml version="1.0" encoding="UTF-8" standalone="yes"?>
<Relationships xmlns="http://schemas.openxmlformats.org/package/2006/relationships"><Relationship Id="rId4" Type="http://schemas.openxmlformats.org/officeDocument/2006/relationships/table" Target="../tables/table25.xml"/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3:D8"/>
  <sheetViews>
    <sheetView workbookViewId="0">
      <selection activeCell="AG65" sqref="AG65"/>
    </sheetView>
  </sheetViews>
  <sheetFormatPr defaultColWidth="9" defaultRowHeight="13.5" outlineLevelRow="7" outlineLevelCol="3"/>
  <cols>
    <col min="4" max="4" width="11.125" customWidth="1"/>
  </cols>
  <sheetData>
    <row r="3" ht="14.25"/>
    <row r="4" ht="36.75" spans="1:4">
      <c r="A4" s="226" t="s">
        <v>0</v>
      </c>
      <c r="B4" s="227" t="s">
        <v>1</v>
      </c>
      <c r="C4" s="227" t="s">
        <v>2</v>
      </c>
      <c r="D4" s="228" t="s">
        <v>3</v>
      </c>
    </row>
    <row r="5" ht="18.75" spans="1:4">
      <c r="A5" s="229">
        <v>1</v>
      </c>
      <c r="B5" s="230" t="s">
        <v>4</v>
      </c>
      <c r="C5" s="230" t="s">
        <v>5</v>
      </c>
      <c r="D5" s="231">
        <v>46059</v>
      </c>
    </row>
    <row r="6" ht="18.75" spans="1:4">
      <c r="A6" s="229">
        <v>2</v>
      </c>
      <c r="B6" s="230" t="inlineStr">
        <is>
          <t>非R进度改为2-0强度推算值；价值表对齐6-1；删除隐藏的「组队产出旧」；补设计思路</t>
        </is>
      </c>
      <c r="C6" s="230" t="inlineStr">
        <is>
          <t>Claude（按用户要求）</t>
        </is>
      </c>
      <c r="D6" s="232">
        <v>46315</v>
      </c>
    </row>
    <row r="7" ht="18" spans="1:4">
      <c r="A7" s="233"/>
      <c r="B7" s="230"/>
      <c r="C7" s="230"/>
      <c r="D7" s="230"/>
    </row>
    <row r="8" spans="1:4">
      <c r="A8" s="234"/>
      <c r="B8" s="234"/>
      <c r="C8" s="234"/>
      <c r="D8" s="23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19"/>
  <sheetViews>
    <sheetView workbookViewId="0">
      <selection activeCell="AG65" sqref="AG65"/>
    </sheetView>
  </sheetViews>
  <sheetFormatPr defaultColWidth="9" defaultRowHeight="18" outlineLevelCol="5"/>
  <cols>
    <col min="1" max="1" width="8.5" style="211" customWidth="1"/>
    <col min="2" max="2" width="2.375" style="212" customWidth="1"/>
    <col min="3" max="3" width="3.625" style="211" customWidth="1"/>
    <col min="4" max="4" width="14.375" style="213" customWidth="1"/>
    <col min="5" max="5" width="9.125" style="213" customWidth="1"/>
    <col min="6" max="6" width="22.125" style="213" customWidth="1"/>
    <col min="7" max="10" width="9.125" style="213" customWidth="1"/>
    <col min="11" max="15" width="9.5" style="214" customWidth="1"/>
    <col min="16" max="16" width="9" style="214"/>
    <col min="17" max="17" width="13.875" style="214" customWidth="1"/>
    <col min="18" max="19" width="12.625" style="214" customWidth="1"/>
    <col min="20" max="21" width="14.125" style="214"/>
    <col min="22" max="26" width="9" style="214"/>
  </cols>
  <sheetData>
    <row r="1" spans="1:6">
      <c r="A1" s="215" t="s">
        <v>6</v>
      </c>
      <c r="B1" s="216"/>
      <c r="C1" s="215"/>
      <c r="D1" s="217"/>
      <c r="E1" s="217"/>
      <c r="F1" s="217"/>
    </row>
    <row r="2" spans="1:6">
      <c r="A2" s="218"/>
      <c r="B2" s="219"/>
      <c r="C2" s="218"/>
      <c r="D2" s="220"/>
      <c r="E2" s="220"/>
      <c r="F2" s="220"/>
    </row>
    <row r="3" spans="1:6">
      <c r="A3" s="221" t="s">
        <v>7</v>
      </c>
      <c r="B3" s="222"/>
      <c r="C3" s="221"/>
      <c r="D3" s="223"/>
      <c r="E3" s="223"/>
      <c r="F3" s="223"/>
    </row>
    <row r="4" spans="1:6">
      <c r="A4" s="218"/>
      <c r="B4" s="219"/>
      <c r="C4" s="218"/>
      <c r="D4" s="220"/>
      <c r="E4" s="220"/>
      <c r="F4" s="220"/>
    </row>
    <row r="5" spans="1:6">
      <c r="A5" s="218"/>
      <c r="B5" s="224"/>
      <c r="C5" s="218" t="s">
        <v>8</v>
      </c>
      <c r="E5" s="220"/>
      <c r="F5" s="220"/>
    </row>
    <row r="6" spans="1:6">
      <c r="A6" s="218"/>
      <c r="B6" s="219"/>
      <c r="C6" s="218"/>
      <c r="D6" s="220"/>
      <c r="F6" s="220"/>
    </row>
    <row r="7" spans="1:6">
      <c r="A7" s="218"/>
      <c r="B7" s="219"/>
      <c r="C7" s="218"/>
      <c r="D7" s="225" t="s">
        <v>9</v>
      </c>
      <c r="E7" s="220"/>
    </row>
    <row r="8" spans="1:6">
      <c r="A8" s="218"/>
      <c r="B8" s="219"/>
      <c r="C8" s="218"/>
      <c r="D8" s="220"/>
      <c r="E8" s="220" t="s">
        <v>10</v>
      </c>
    </row>
    <row r="9" spans="1:6">
      <c r="A9" s="218"/>
      <c r="B9" s="219"/>
      <c r="C9" s="218"/>
      <c r="D9" s="220"/>
      <c r="E9" s="220"/>
    </row>
    <row r="10" spans="1:6">
      <c r="A10" s="218"/>
      <c r="B10" s="219"/>
      <c r="C10" s="218"/>
      <c r="D10" s="225" t="s">
        <v>11</v>
      </c>
      <c r="F10" s="220"/>
    </row>
    <row r="11" spans="1:6">
      <c r="A11" s="218"/>
      <c r="B11" s="219"/>
      <c r="C11" s="218"/>
      <c r="D11" s="220"/>
      <c r="F11" s="220"/>
    </row>
    <row r="12" spans="1:6">
      <c r="A12" s="218"/>
      <c r="B12" s="219"/>
      <c r="C12" s="218"/>
      <c r="D12" s="220"/>
      <c r="E12" t="s">
        <v>12</v>
      </c>
      <c r="F12" s="220"/>
    </row>
    <row r="13" spans="1:6">
      <c r="A13" s="218"/>
      <c r="B13" s="219"/>
      <c r="C13" s="218"/>
      <c r="D13" s="220"/>
      <c r="F13" s="220"/>
    </row>
    <row r="14" spans="1:6">
      <c r="A14" s="218"/>
      <c r="B14" s="219"/>
      <c r="C14" s="218"/>
      <c r="D14" s="220" t="inlineStr">
        <is>
          <t>产销汇总：C:G是各分层（非R/小R/中R/大R）的主线进度和每日玩法次数，2-0的宏按它取各玩法的练度档。</t>
        </is>
      </c>
      <c r="F14" s="220"/>
    </row>
    <row r="15" spans="1:6">
      <c r="A15" s="218"/>
      <c r="B15" s="219"/>
      <c r="C15" s="218"/>
      <c r="D15" s="220" t="inlineStr">
        <is>
          <t>2026-10-20：非R进度（D13:D312）改为2-0强度推算的关卡（D30 82、D60 110、D120 157、D300 180）；小R以上未改。</t>
        </is>
      </c>
      <c r="F15" s="220"/>
    </row>
    <row r="16" spans="1:6">
      <c r="A16" s="218"/>
      <c r="B16" s="219"/>
      <c r="C16" s="218"/>
      <c r="D16" s="220" t="inlineStr">
        <is>
          <t>各「产出_xxx」表是2-0宏的数据源；主线推图/巡逻/主线宝箱下方的字符串区直接生成配置奖励。</t>
        </is>
      </c>
      <c r="F16" s="220"/>
    </row>
    <row r="17" spans="1:6">
      <c r="A17" s="218"/>
      <c r="B17" s="219"/>
      <c r="C17" s="218"/>
      <c r="D17" s="220" t="inlineStr">
        <is>
          <t>价值表以《6-1商业化数值2.0版》为准；金币平衡/图纸产出设计/基因平衡核算各资源的产出占比与坑深。</t>
        </is>
      </c>
      <c r="F17" s="220"/>
    </row>
    <row r="18" spans="1:6">
      <c r="A18" s="218"/>
      <c r="B18" s="219"/>
      <c r="C18" s="218"/>
      <c r="D18" s="220"/>
      <c r="F18" s="220"/>
    </row>
    <row r="19" spans="1:6">
      <c r="A19" s="215" t="s">
        <v>13</v>
      </c>
      <c r="B19" s="216"/>
      <c r="C19" s="215"/>
      <c r="D19" s="217"/>
      <c r="E19" s="217"/>
      <c r="F19" s="217"/>
    </row>
  </sheetData>
  <hyperlinks>
    <hyperlink ref="E8" location="'金币平衡'!A2:N23" display="'金币平衡'!A2:N24"/>
    <hyperlink ref="E12" location="'基因平衡'!A2:I13" display="'基因平衡'!A2:I13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theme="5"/>
  </sheetPr>
  <dimension ref="A1:AE357"/>
  <sheetViews>
    <sheetView workbookViewId="0">
      <selection activeCell="B26" sqref="B26"/>
    </sheetView>
  </sheetViews>
  <sheetFormatPr defaultColWidth="9" defaultRowHeight="16.5"/>
  <cols>
    <col min="1" max="2" width="9" style="132"/>
    <col min="3" max="3" width="9.375" style="132" customWidth="1"/>
    <col min="4" max="4" width="9.25" style="132"/>
    <col min="5" max="5" width="14.125" style="132"/>
    <col min="6" max="6" width="10.625" style="132" customWidth="1"/>
    <col min="7" max="8" width="9.25" style="132"/>
    <col min="9" max="9" width="10.25" style="132" customWidth="1"/>
    <col min="10" max="10" width="9.25" style="132"/>
    <col min="11" max="11" width="9.5" style="132" customWidth="1"/>
    <col min="12" max="12" width="11.625" style="132"/>
    <col min="13" max="13" width="9.125" style="132" customWidth="1"/>
    <col min="14" max="14" width="9.25" style="132"/>
    <col min="15" max="15" width="14.125" style="132"/>
    <col min="16" max="16" width="9" style="132"/>
    <col min="17" max="19" width="9.25" style="132"/>
    <col min="20" max="22" width="11" style="132"/>
    <col min="23" max="23" width="10.375" style="132"/>
    <col min="24" max="24" width="9" style="132"/>
    <col min="25" max="26" width="10.375" style="132"/>
    <col min="27" max="29" width="14.125" style="132"/>
    <col min="30" max="31" width="12.625"/>
  </cols>
  <sheetData>
    <row r="1" spans="1:12">
      <c r="A1" s="83"/>
      <c r="B1" s="80"/>
      <c r="C1" s="80"/>
      <c r="D1" s="80"/>
      <c r="E1" s="80"/>
      <c r="F1" s="80"/>
      <c r="G1" s="80"/>
      <c r="H1" s="80"/>
      <c r="I1" s="80"/>
    </row>
    <row r="2" spans="1:12">
      <c r="A2" s="171"/>
      <c r="B2" s="80" t="s">
        <v>14</v>
      </c>
      <c r="C2" s="178">
        <v>60</v>
      </c>
      <c r="D2" s="80"/>
      <c r="E2" s="80"/>
      <c r="F2" s="80"/>
      <c r="G2" s="80"/>
      <c r="H2" s="80"/>
      <c r="I2" s="178"/>
      <c r="J2" s="133"/>
    </row>
    <row r="3" spans="1:12">
      <c r="A3" s="171"/>
      <c r="B3" s="80" t="s">
        <v>15</v>
      </c>
      <c r="C3" s="172" t="e">
        <f ca="1">SUM(C7:C22)*0.05</f>
        <v>#N/A</v>
      </c>
      <c r="D3" s="80"/>
      <c r="E3" s="80"/>
      <c r="F3" s="80"/>
      <c r="G3" s="80"/>
      <c r="H3" s="80"/>
      <c r="I3" s="80"/>
    </row>
    <row r="4" spans="1:12">
      <c r="A4" s="171"/>
      <c r="B4" s="80"/>
      <c r="C4" s="172"/>
      <c r="D4" s="83"/>
      <c r="E4" s="80"/>
      <c r="F4" s="80"/>
      <c r="G4" s="80"/>
      <c r="H4" s="80"/>
      <c r="I4" s="80"/>
    </row>
    <row r="5" spans="1:12">
      <c r="A5" s="171"/>
      <c r="B5" s="80"/>
      <c r="C5" s="80"/>
      <c r="D5" s="80"/>
      <c r="E5" s="80"/>
      <c r="F5" s="80"/>
      <c r="G5" s="80"/>
      <c r="H5" s="80"/>
      <c r="I5" s="80"/>
    </row>
    <row r="6" spans="1:12">
      <c r="A6" s="171"/>
      <c r="B6" s="80" t="s">
        <v>16</v>
      </c>
      <c r="C6" s="80" t="s">
        <v>17</v>
      </c>
      <c r="D6" s="80" t="s">
        <v>18</v>
      </c>
      <c r="E6" s="80" t="s">
        <v>19</v>
      </c>
      <c r="F6" s="98"/>
      <c r="G6" s="80"/>
      <c r="H6" s="80"/>
      <c r="I6" s="80" t="s">
        <v>20</v>
      </c>
      <c r="K6" s="98" t="s">
        <v>21</v>
      </c>
      <c r="L6" s="98" t="s">
        <v>22</v>
      </c>
    </row>
    <row r="7" spans="1:12">
      <c r="A7" s="171"/>
      <c r="B7" s="173" t="s">
        <v>23</v>
      </c>
      <c r="C7" s="80">
        <f ca="1" t="shared" ref="C7:C22" si="0">IF(D7="每日",SUMIF($B$28:$B$327,"&lt;="&amp;$C$2,OFFSET($C$28:$C$327,0,MATCH($B7,$D$27:$T$27,0))),SUMIF($B$28:$B$327,"="&amp;$C$2,OFFSET($C$28:$C$327,0,MATCH($B7,$D$27:$T$27,0))))</f>
        <v>710616</v>
      </c>
      <c r="D7" s="80" t="s">
        <v>24</v>
      </c>
      <c r="E7" s="174" t="e">
        <f ca="1" t="shared" ref="E7:E22" si="1">C7/SUM($C$7:$C$23)</f>
        <v>#N/A</v>
      </c>
      <c r="F7" s="199" t="s">
        <v>25</v>
      </c>
      <c r="G7" s="83"/>
      <c r="H7" s="80"/>
      <c r="I7" s="200" t="e">
        <f ca="1">SUM(F7:F22)/SUM(C7:C22)</f>
        <v>#N/A</v>
      </c>
      <c r="K7" s="98" t="e">
        <f ca="1">SUMPRODUCT(--(($U$28:$U$87-$W$28:$W$87)&lt;0),--($B$28:$B$87&gt;0))</f>
        <v>#N/A</v>
      </c>
      <c r="L7" s="143" t="s">
        <v>26</v>
      </c>
    </row>
    <row r="8" spans="1:12">
      <c r="A8" s="171"/>
      <c r="B8" s="173" t="s">
        <v>27</v>
      </c>
      <c r="C8" s="80">
        <f ca="1" t="shared" si="0"/>
        <v>1270500</v>
      </c>
      <c r="D8" s="80" t="s">
        <v>24</v>
      </c>
      <c r="E8" s="174" t="e">
        <f ca="1" t="shared" si="1"/>
        <v>#N/A</v>
      </c>
      <c r="F8" s="199" t="s">
        <v>28</v>
      </c>
      <c r="G8" s="83"/>
      <c r="H8" s="80"/>
      <c r="I8" s="80"/>
      <c r="K8" s="98" t="e">
        <f ca="1">SUMPRODUCT(--(($U$28:$U$87-$W$28:$W$87-$X$28:$X$87)&lt;0),--($B$28:$B$87&gt;0))</f>
        <v>#N/A</v>
      </c>
      <c r="L8" s="143" t="s">
        <v>29</v>
      </c>
    </row>
    <row r="9" spans="1:12">
      <c r="A9" s="171"/>
      <c r="B9" s="173" t="s">
        <v>30</v>
      </c>
      <c r="C9" s="80">
        <f ca="1" t="shared" si="0"/>
        <v>697000</v>
      </c>
      <c r="D9" s="80" t="s">
        <v>31</v>
      </c>
      <c r="E9" s="174" t="e">
        <f ca="1" t="shared" si="1"/>
        <v>#N/A</v>
      </c>
      <c r="F9" s="98"/>
      <c r="G9" s="80"/>
      <c r="H9" s="80"/>
      <c r="I9" s="80"/>
      <c r="K9" s="98" t="e">
        <f ca="1">SUMPRODUCT(--(($U$28:$U$87-$W$28:$W$87-$X$28:$X$87-0.25*$Y$28:$Y$87)&lt;0),--($B$28:$B$87&gt;0))</f>
        <v>#N/A</v>
      </c>
      <c r="L9" s="143" t="s">
        <v>32</v>
      </c>
    </row>
    <row r="10" spans="1:12">
      <c r="A10" s="171"/>
      <c r="B10" s="173" t="s">
        <v>33</v>
      </c>
      <c r="C10" s="80">
        <f ca="1" t="shared" si="0"/>
        <v>454896</v>
      </c>
      <c r="D10" s="80" t="s">
        <v>31</v>
      </c>
      <c r="E10" s="174" t="e">
        <f ca="1" t="shared" si="1"/>
        <v>#N/A</v>
      </c>
      <c r="F10" s="199" t="s">
        <v>34</v>
      </c>
      <c r="G10" s="83"/>
      <c r="H10" s="80"/>
      <c r="I10" s="80"/>
    </row>
    <row r="11" spans="1:12">
      <c r="A11" s="171"/>
      <c r="B11" s="173" t="s">
        <v>35</v>
      </c>
      <c r="C11" s="80" t="e">
        <f ca="1" t="shared" si="0"/>
        <v>#N/A</v>
      </c>
      <c r="D11" s="80" t="s">
        <v>24</v>
      </c>
      <c r="E11" s="174" t="e">
        <f ca="1" t="shared" si="1"/>
        <v>#N/A</v>
      </c>
      <c r="F11" s="201" t="s">
        <v>36</v>
      </c>
      <c r="G11" s="83"/>
      <c r="H11" s="80"/>
      <c r="I11" s="80"/>
    </row>
    <row r="12" spans="1:12">
      <c r="A12" s="171"/>
      <c r="B12" s="173" t="s">
        <v>37</v>
      </c>
      <c r="C12" s="80" t="e">
        <f ca="1" t="shared" si="0"/>
        <v>#N/A</v>
      </c>
      <c r="D12" s="80" t="s">
        <v>24</v>
      </c>
      <c r="E12" s="174" t="e">
        <f ca="1" t="shared" si="1"/>
        <v>#N/A</v>
      </c>
      <c r="H12" s="80"/>
      <c r="I12" s="80"/>
    </row>
    <row r="13" spans="1:12">
      <c r="A13" s="171"/>
      <c r="B13" s="173" t="s">
        <v>38</v>
      </c>
      <c r="C13" s="80" t="e">
        <f ca="1" t="shared" si="0"/>
        <v>#N/A</v>
      </c>
      <c r="D13" s="80" t="s">
        <v>24</v>
      </c>
      <c r="E13" s="174" t="e">
        <f ca="1" t="shared" si="1"/>
        <v>#N/A</v>
      </c>
      <c r="F13" s="98"/>
      <c r="G13" s="80"/>
      <c r="H13" s="80"/>
      <c r="I13" s="80"/>
    </row>
    <row r="14" spans="1:12">
      <c r="A14" s="171"/>
      <c r="B14" s="173" t="s">
        <v>39</v>
      </c>
      <c r="C14" s="80">
        <f ca="1" t="shared" si="0"/>
        <v>340080</v>
      </c>
      <c r="D14" s="80" t="s">
        <v>24</v>
      </c>
      <c r="E14" s="174" t="e">
        <f ca="1" t="shared" si="1"/>
        <v>#N/A</v>
      </c>
      <c r="F14" s="98"/>
      <c r="G14" s="80"/>
      <c r="H14" s="80"/>
      <c r="I14" s="80"/>
    </row>
    <row r="15" spans="1:12">
      <c r="A15" s="171"/>
      <c r="B15" s="173" t="s">
        <v>40</v>
      </c>
      <c r="C15" s="80">
        <f ca="1" t="shared" si="0"/>
        <v>234600</v>
      </c>
      <c r="D15" s="80" t="s">
        <v>31</v>
      </c>
      <c r="E15" s="174" t="e">
        <f ca="1" t="shared" si="1"/>
        <v>#N/A</v>
      </c>
      <c r="F15" s="199" t="s">
        <v>41</v>
      </c>
      <c r="G15" s="83"/>
      <c r="H15" s="80"/>
      <c r="I15" s="80"/>
    </row>
    <row r="16" spans="1:12">
      <c r="A16" s="171"/>
      <c r="B16" s="173" t="s">
        <v>42</v>
      </c>
      <c r="C16" s="80">
        <f ca="1" t="shared" si="0"/>
        <v>147428.571428572</v>
      </c>
      <c r="D16" s="80" t="s">
        <v>24</v>
      </c>
      <c r="E16" s="174" t="e">
        <f ca="1" t="shared" si="1"/>
        <v>#N/A</v>
      </c>
      <c r="F16" s="98"/>
      <c r="G16" s="80"/>
      <c r="H16" s="80"/>
      <c r="I16" s="80"/>
    </row>
    <row r="17" spans="1:31">
      <c r="A17" s="171"/>
      <c r="B17" s="173" t="s">
        <v>43</v>
      </c>
      <c r="C17" s="80">
        <f ca="1" t="shared" si="0"/>
        <v>120000</v>
      </c>
      <c r="D17" s="80" t="s">
        <v>24</v>
      </c>
      <c r="E17" s="174" t="e">
        <f ca="1" t="shared" si="1"/>
        <v>#N/A</v>
      </c>
      <c r="F17" s="98"/>
      <c r="G17" s="80"/>
      <c r="H17" s="80"/>
      <c r="I17" s="80"/>
    </row>
    <row r="18" spans="1:31">
      <c r="A18" s="171"/>
      <c r="B18" s="173" t="s">
        <v>44</v>
      </c>
      <c r="C18" s="80">
        <f ca="1" t="shared" si="0"/>
        <v>99000</v>
      </c>
      <c r="D18" s="80" t="s">
        <v>31</v>
      </c>
      <c r="E18" s="174" t="e">
        <f ca="1" t="shared" si="1"/>
        <v>#N/A</v>
      </c>
      <c r="F18" s="98"/>
      <c r="G18" s="80"/>
      <c r="H18" s="80"/>
      <c r="I18" s="80"/>
    </row>
    <row r="19" spans="1:31">
      <c r="A19" s="171"/>
      <c r="B19" s="173" t="s">
        <v>45</v>
      </c>
      <c r="C19" s="80">
        <f ca="1" t="shared" si="0"/>
        <v>64500</v>
      </c>
      <c r="D19" s="80" t="s">
        <v>24</v>
      </c>
      <c r="E19" s="174" t="e">
        <f ca="1" t="shared" si="1"/>
        <v>#N/A</v>
      </c>
      <c r="F19" s="98"/>
      <c r="G19" s="80"/>
      <c r="H19" s="80"/>
      <c r="I19" s="80"/>
    </row>
    <row r="20" spans="1:31">
      <c r="A20" s="171"/>
      <c r="B20" s="173" t="s">
        <v>46</v>
      </c>
      <c r="C20" s="80">
        <f ca="1" t="shared" si="0"/>
        <v>30000</v>
      </c>
      <c r="D20" s="80" t="s">
        <v>31</v>
      </c>
      <c r="E20" s="174" t="e">
        <f ca="1" t="shared" si="1"/>
        <v>#N/A</v>
      </c>
      <c r="F20" s="98"/>
      <c r="G20" s="80"/>
      <c r="H20" s="80"/>
      <c r="I20" s="80"/>
    </row>
    <row r="21" spans="1:31">
      <c r="A21" s="171"/>
      <c r="B21" s="173" t="s">
        <v>47</v>
      </c>
      <c r="C21" s="80">
        <f ca="1" t="shared" si="0"/>
        <v>25680</v>
      </c>
      <c r="D21" s="80" t="s">
        <v>24</v>
      </c>
      <c r="E21" s="174" t="e">
        <f ca="1" t="shared" si="1"/>
        <v>#N/A</v>
      </c>
      <c r="F21" s="98"/>
      <c r="G21" s="80"/>
      <c r="H21" s="80"/>
      <c r="I21" s="80"/>
    </row>
    <row r="22" spans="1:31">
      <c r="A22" s="171"/>
      <c r="B22" s="173" t="s">
        <v>48</v>
      </c>
      <c r="C22" s="80">
        <f ca="1" t="shared" si="0"/>
        <v>14100</v>
      </c>
      <c r="D22" s="80" t="s">
        <v>31</v>
      </c>
      <c r="E22" s="174" t="e">
        <f ca="1" t="shared" si="1"/>
        <v>#N/A</v>
      </c>
      <c r="F22" s="98"/>
      <c r="G22" s="80"/>
      <c r="H22" s="80"/>
      <c r="I22" s="80"/>
    </row>
    <row r="23" spans="1:31">
      <c r="A23" s="171"/>
      <c r="B23" s="80"/>
      <c r="E23" s="80"/>
      <c r="F23" s="80"/>
      <c r="G23" s="80"/>
      <c r="H23" s="80"/>
      <c r="I23" s="80"/>
    </row>
    <row r="24" spans="1:31">
      <c r="A24" s="171"/>
      <c r="B24" s="80"/>
      <c r="D24" s="98" t="s">
        <v>49</v>
      </c>
      <c r="E24" s="202">
        <v>1</v>
      </c>
      <c r="F24" s="80"/>
      <c r="G24" s="80"/>
      <c r="H24" s="178">
        <v>1</v>
      </c>
      <c r="I24" s="80"/>
      <c r="J24" s="98"/>
      <c r="L24" s="98"/>
      <c r="M24" s="203">
        <v>1</v>
      </c>
      <c r="N24" s="98"/>
      <c r="O24" s="98"/>
      <c r="P24" s="98"/>
      <c r="Q24" s="98"/>
      <c r="R24" s="98"/>
      <c r="S24" s="149">
        <v>1</v>
      </c>
      <c r="T24" s="98"/>
      <c r="U24" s="98"/>
      <c r="V24" s="98"/>
      <c r="W24" s="98"/>
    </row>
    <row r="25" spans="1:31">
      <c r="A25" s="171"/>
      <c r="B25" s="80"/>
      <c r="E25" s="80"/>
      <c r="F25" s="80"/>
      <c r="G25" s="80"/>
      <c r="H25" s="80"/>
      <c r="I25" s="80"/>
    </row>
    <row r="26" spans="1:31">
      <c r="A26" s="171"/>
      <c r="B26" s="80" t="str">
        <f ca="1">OFFSET(产销汇总!$C$1,0,$C$26)</f>
        <v>大R</v>
      </c>
      <c r="C26" s="80">
        <v>4</v>
      </c>
      <c r="D26" s="80" t="s">
        <v>31</v>
      </c>
      <c r="F26" s="80"/>
      <c r="G26" s="80"/>
      <c r="H26" s="80"/>
      <c r="I26" s="80"/>
      <c r="J26" s="80" t="s">
        <v>50</v>
      </c>
      <c r="K26" s="80"/>
      <c r="L26" s="80"/>
      <c r="M26" s="80"/>
      <c r="N26" s="80"/>
      <c r="O26" s="80"/>
      <c r="P26" s="80"/>
      <c r="V26" s="98" t="s">
        <v>51</v>
      </c>
      <c r="W26" s="126">
        <v>1</v>
      </c>
    </row>
    <row r="27" spans="1:31">
      <c r="A27" s="171"/>
      <c r="B27" s="80" t="s">
        <v>21</v>
      </c>
      <c r="C27" s="80" t="s">
        <v>52</v>
      </c>
      <c r="D27" s="173" t="s">
        <v>48</v>
      </c>
      <c r="E27" s="173" t="s">
        <v>40</v>
      </c>
      <c r="F27" s="173" t="s">
        <v>44</v>
      </c>
      <c r="G27" s="173" t="s">
        <v>46</v>
      </c>
      <c r="H27" s="173" t="s">
        <v>33</v>
      </c>
      <c r="I27" s="173" t="s">
        <v>30</v>
      </c>
      <c r="J27" s="173" t="s">
        <v>37</v>
      </c>
      <c r="K27" s="173" t="s">
        <v>38</v>
      </c>
      <c r="L27" s="173" t="s">
        <v>39</v>
      </c>
      <c r="M27" s="173" t="s">
        <v>35</v>
      </c>
      <c r="N27" s="80" t="s">
        <v>23</v>
      </c>
      <c r="O27" s="173" t="s">
        <v>42</v>
      </c>
      <c r="P27" s="173" t="s">
        <v>47</v>
      </c>
      <c r="Q27" s="173" t="s">
        <v>45</v>
      </c>
      <c r="R27" s="173" t="s">
        <v>43</v>
      </c>
      <c r="S27" s="173" t="s">
        <v>27</v>
      </c>
      <c r="T27" s="80" t="s">
        <v>53</v>
      </c>
      <c r="U27" s="178" t="s">
        <v>54</v>
      </c>
      <c r="V27" s="98" t="s">
        <v>55</v>
      </c>
      <c r="W27" s="98" t="s">
        <v>56</v>
      </c>
      <c r="X27" s="98" t="s">
        <v>57</v>
      </c>
      <c r="Y27" s="98" t="s">
        <v>58</v>
      </c>
      <c r="Z27" s="98"/>
      <c r="AA27" s="204" t="s">
        <v>59</v>
      </c>
      <c r="AB27" s="204"/>
      <c r="AC27" s="204" t="s">
        <v>60</v>
      </c>
    </row>
    <row r="28" spans="1:31">
      <c r="A28" s="171"/>
      <c r="B28" s="80">
        <v>1</v>
      </c>
      <c r="C28" s="80">
        <f ca="1">OFFSET(产销汇总!$C$12,$B28,$C$26)</f>
        <v>30</v>
      </c>
      <c r="D28" s="205">
        <f>5500+1800+2100+2700+2000</f>
        <v>14100</v>
      </c>
      <c r="E28" s="205">
        <f ca="1">(SUMIF(主线推图!$B$4:$B$303,"&lt;"&amp;C28,主线推图!$M$4:$M$303)+SUMIF(主线宝箱!$B$320:$B$620,"&lt;"&amp;C28,主线宝箱!$L$320:$L$620)+SUMIF(主线宝箱!$B$320:$B$620,"&lt;"&amp;C28,主线宝箱!$X$320:$X$620)+SUMIF(主线宝箱!$B$320:$B$620,"&lt;"&amp;C28,主线宝箱!$AL$320:$AL$620))</f>
        <v>49200</v>
      </c>
      <c r="F28" s="98">
        <f ca="1">SUMIF(组队产出!$B$24:$B$39,"&lt;="&amp;MAX(1,INT(C28/10-0.6)),组队产出!$R$24:$R$39)</f>
        <v>9000</v>
      </c>
      <c r="G28" s="80">
        <f ca="1">SUMIF(运营活动!$O$3:$O$27,"&lt;="&amp;C28,运营活动!$P$3:$P$27)</f>
        <v>4000</v>
      </c>
      <c r="H28" s="206">
        <f ca="1">OFFSET(产销汇总!$AM$12,B28,$C$26)*24</f>
        <v>12072</v>
      </c>
      <c r="I28" s="207">
        <f ca="1">SUMIF(金币本!$F$2:$F$52,"&lt;="&amp;C28,金币本!$D$2:$D$52)</f>
        <v>49000</v>
      </c>
      <c r="J28" s="208">
        <f ca="1">OFFSET(产销汇总!$C$1,MATCH(J$27,产销汇总!$C$2:$C$8,0),$C$26)*(_xlfn.XLOOKUP(C28,主线推图!$B$313:$B$612,主线推图!$C$313:$C$612)+_xlfn.XLOOKUP(C28,主线推图!$B$313:$B$612,主线推图!$D$313:$D$612))</f>
        <v>7436</v>
      </c>
      <c r="K28" s="205">
        <f ca="1">OFFSET(产销汇总!$C$1,MATCH(K$27,产销汇总!$C$2:$C$8,0),$C$26)*_xlfn.XLOOKUP(C28,巡逻产出!$B$311:$B$610,巡逻产出!$C$311:$C$610)*1.3</f>
        <v>0</v>
      </c>
      <c r="L28" s="205">
        <f ca="1">OFFSET(产销汇总!$C$1,MATCH(L$27,产销汇总!$C$2:$C$8,0),$C$26)*(_xlfn.XLOOKUP(MAX(1,INT(C28/10-6/10)),组队产出!$B$24:$B$39,组队产出!$D$24:$D$39))+OFFSET(产销汇总!$C$1,MATCH(L$27,产销汇总!$C$2:$C$8,0),$C$26)*(_xlfn.XLOOKUP(MAX(1,INT(C28/10-6/10)),组队产出!$B$24:$B$39,组队产出!$C$24:$C$39))</f>
        <v>4056</v>
      </c>
      <c r="M28" s="206">
        <f ca="1">(OFFSET(产销汇总!$C$1,MATCH(M$27,产销汇总!$C$2:$C$8,0),$C$26)*_xlfn.XLOOKUP(C28,巡逻产出!$B$311:$B$610,巡逻产出!$D$311:$D$610))*$M$24</f>
        <v>5272.8</v>
      </c>
      <c r="N28" s="80">
        <f ca="1">OFFSET(产销汇总!$C$1,MATCH(L$27,产销汇总!$C$2:$C$8,0),$C$26)*(_xlfn.XLOOKUP(MAX(1,INT(C28/10-6/10)),组队产出!$B$24:$B$39,组队产出!$S$24:$S$39))</f>
        <v>2664</v>
      </c>
      <c r="O28" s="207">
        <f>任务!$D$36</f>
        <v>2457.14285714286</v>
      </c>
      <c r="P28" s="98">
        <f>INT(300*10/7)</f>
        <v>428</v>
      </c>
      <c r="Q28" s="80">
        <f>IF(MOD(B28,7)=1,500,0)+1000+IF(AND($C$26=4,B28&lt;=0),40000,0)</f>
        <v>1500</v>
      </c>
      <c r="R28" s="207">
        <v>2000</v>
      </c>
      <c r="S28" s="206">
        <f ca="1">IFERROR(OFFSET(金币本!$E$2,MATCH(C28,金币本!$F$3:$F$302,1),0)*IF($C$26=1,2,3),0)</f>
        <v>7500</v>
      </c>
      <c r="T28" s="172">
        <f ca="1">SUM($J$28:S28)+SUM(D28:I28)</f>
        <v>170685.942857143</v>
      </c>
      <c r="U28" s="172">
        <f ca="1" t="shared" ref="U28:U91" si="2">T28</f>
        <v>170685.942857143</v>
      </c>
      <c r="V28" s="98">
        <f ca="1" t="shared" ref="V28:V91" si="3">SUM(W28:Y28)</f>
        <v>175910</v>
      </c>
      <c r="W28" s="98">
        <f ca="1">OFFSET(装备强化!$U$6,MATCH(图纸产出设计!V29/6*W$26,装备强化!$T$7:$T$306,1),0)*6</f>
        <v>151200</v>
      </c>
      <c r="X28" s="98">
        <v>8710</v>
      </c>
      <c r="Y28" s="98">
        <f>IF(C26=1,12000,IF(C26=2,12000,IF(C26=3,16000,16000)))</f>
        <v>16000</v>
      </c>
      <c r="Z28" s="98"/>
      <c r="AA28" s="147">
        <f ca="1" t="shared" ref="AA28:AA91" si="4">U28/V28</f>
        <v>0.970302671008714</v>
      </c>
      <c r="AB28" s="209">
        <f ca="1" t="shared" ref="AB28:AB91" si="5">U28-V28</f>
        <v>-5224.05714285714</v>
      </c>
      <c r="AC28" s="209">
        <f ca="1">SUMIFS(装备强化!$Q$7:$Q$306,装备强化!$M$7:$M$306,"&lt;="&amp;MATCH(U28/6,装备强化!$U$7:$U$306,1),装备强化!$M$7:$M$306,"&gt;="&amp;MATCH(V28/6,装备强化!$U$7:$U$306,1))*6</f>
        <v>354</v>
      </c>
    </row>
    <row r="29" spans="1:31">
      <c r="A29" s="171"/>
      <c r="B29" s="80">
        <v>2</v>
      </c>
      <c r="C29" s="80">
        <f ca="1">OFFSET(产销汇总!$C$12,$B29,$C$26)</f>
        <v>35</v>
      </c>
      <c r="D29" s="80">
        <f t="shared" ref="D29:D92" si="6">D28</f>
        <v>14100</v>
      </c>
      <c r="E29" s="80">
        <f ca="1">(SUMIF(主线推图!$B$4:$B$303,"&lt;"&amp;C29,主线推图!$M$4:$M$303)+SUMIF(主线宝箱!$B$320:$B$620,"&lt;"&amp;C29,主线宝箱!$L$320:$L$620)+SUMIF(主线宝箱!$B$320:$B$620,"&lt;"&amp;C29,主线宝箱!$X$320:$X$620)+SUMIF(主线宝箱!$B$320:$B$620,"&lt;"&amp;C29,主线宝箱!$AL$320:$AL$620))</f>
        <v>58200</v>
      </c>
      <c r="F29" s="98">
        <f ca="1">SUMIF(组队产出!$B$24:$B$39,"&lt;="&amp;MAX(1,INT(C29/10-0.6)),组队产出!$R$24:$R$39)</f>
        <v>9000</v>
      </c>
      <c r="G29" s="80">
        <f ca="1">SUMIF(运营活动!$O$3:$O$27,"&lt;="&amp;C29,运营活动!$P$3:$P$27)</f>
        <v>5000</v>
      </c>
      <c r="H29" s="80">
        <f ca="1">OFFSET(产销汇总!$AM$12,B29,$C$26)*24</f>
        <v>22752</v>
      </c>
      <c r="I29" s="172">
        <f ca="1">SUMIF(金币本!$F$2:$F$52,"&lt;="&amp;C29,金币本!$D$2:$D$52)</f>
        <v>72000</v>
      </c>
      <c r="J29" s="80">
        <f ca="1">OFFSET(产销汇总!$C$1,MATCH(J$27,产销汇总!$C$2:$C$8,0),$C$26)*(_xlfn.XLOOKUP(C29,主线推图!$B$313:$B$612,主线推图!$C$313:$C$612)+_xlfn.XLOOKUP(C29,主线推图!$B$313:$B$612,主线推图!$D$313:$D$612))</f>
        <v>7656</v>
      </c>
      <c r="K29" s="80">
        <f ca="1">OFFSET(产销汇总!$C$1,MATCH(K$27,产销汇总!$C$2:$C$8,0),$C$26)*_xlfn.XLOOKUP(C29,巡逻产出!$B$311:$B$610,巡逻产出!$C$311:$C$610)*1.3</f>
        <v>0</v>
      </c>
      <c r="L29" s="80">
        <f ca="1">OFFSET(产销汇总!$C$1,MATCH(L$27,产销汇总!$C$2:$C$8,0),$C$26)*(_xlfn.XLOOKUP(MAX(1,INT(C29/10-6/10)),组队产出!$B$24:$B$39,组队产出!$D$24:$D$39))+OFFSET(产销汇总!$C$1,MATCH(L$27,产销汇总!$C$2:$C$8,0),$C$26)*(_xlfn.XLOOKUP(MAX(1,INT(C29/10-6/10)),组队产出!$B$24:$B$39,组队产出!$C$24:$C$39))</f>
        <v>4056</v>
      </c>
      <c r="M29" s="80">
        <f ca="1">(OFFSET(产销汇总!$C$1,MATCH(M$27,产销汇总!$C$2:$C$8,0),$C$26)*_xlfn.XLOOKUP(C29,巡逻产出!$B$311:$B$610,巡逻产出!$D$311:$D$610))*$M$24</f>
        <v>5428.8</v>
      </c>
      <c r="N29" s="80">
        <f ca="1">OFFSET(产销汇总!$C$1,MATCH(L$27,产销汇总!$C$2:$C$8,0),$C$26)*(_xlfn.XLOOKUP(MAX(1,INT(C29/10-6/10)),组队产出!$B$24:$B$39,组队产出!$S$24:$S$39))</f>
        <v>2664</v>
      </c>
      <c r="O29" s="172">
        <f>任务!$D$36</f>
        <v>2457.14285714286</v>
      </c>
      <c r="P29" s="98">
        <f t="shared" ref="P28:P91" si="7">INT(300*10/7)</f>
        <v>428</v>
      </c>
      <c r="Q29" s="80">
        <f t="shared" ref="Q29:Q92" si="8">IF(MOD(B29,7)=1,500,0)+1000+IF(AND($C$26=4,B29&lt;=0),40000,0)</f>
        <v>1000</v>
      </c>
      <c r="R29" s="172">
        <f t="shared" ref="R29:R92" si="9">R28</f>
        <v>2000</v>
      </c>
      <c r="S29" s="210">
        <f ca="1">IFERROR(OFFSET(金币本!$E$2,MATCH(C29,金币本!$F$3:$F$302,1),0)*IF($C$26=1,2,3),0)</f>
        <v>9000</v>
      </c>
      <c r="T29" s="172">
        <f ca="1">SUM($J$28:S29)+SUM(D29:I29)</f>
        <v>249055.885714286</v>
      </c>
      <c r="U29" s="172">
        <f ca="1" t="shared" si="2"/>
        <v>249055.885714286</v>
      </c>
      <c r="V29" s="98">
        <f ca="1" t="shared" si="3"/>
        <v>281110</v>
      </c>
      <c r="W29" s="98">
        <f ca="1">OFFSET(装备强化!$U$6,MATCH(图纸产出设计!V30/6*W$26,装备强化!$T$7:$T$306,1),0)*6</f>
        <v>234000</v>
      </c>
      <c r="X29" s="98">
        <v>15110</v>
      </c>
      <c r="Y29" s="98">
        <f>Y28+$Y$28*Z29</f>
        <v>32000</v>
      </c>
      <c r="Z29" s="98">
        <v>1</v>
      </c>
      <c r="AA29" s="147">
        <f ca="1" t="shared" si="4"/>
        <v>0.885973055794122</v>
      </c>
      <c r="AB29" s="209">
        <f ca="1" t="shared" si="5"/>
        <v>-32054.1142857143</v>
      </c>
      <c r="AC29" s="209">
        <f ca="1">SUMIFS(装备强化!$Q$7:$Q$306,装备强化!$M$7:$M$306,"&lt;="&amp;MATCH(U29/6,装备强化!$U$7:$U$306,1),装备强化!$M$7:$M$306,"&gt;="&amp;MATCH(V29/6,装备强化!$U$7:$U$306,1))*6</f>
        <v>0</v>
      </c>
      <c r="AD29">
        <f ca="1">AC29/B29</f>
        <v>0</v>
      </c>
      <c r="AE29">
        <f ca="1">AVERAGE(AD29:AD327)</f>
        <v>2.1086160216595</v>
      </c>
    </row>
    <row r="30" spans="1:31">
      <c r="A30" s="171"/>
      <c r="B30" s="80">
        <v>3</v>
      </c>
      <c r="C30" s="80">
        <f ca="1">OFFSET(产销汇总!$C$12,$B30,$C$26)</f>
        <v>40</v>
      </c>
      <c r="D30" s="80">
        <f t="shared" si="6"/>
        <v>14100</v>
      </c>
      <c r="E30" s="80">
        <f ca="1">(SUMIF(主线推图!$B$4:$B$303,"&lt;"&amp;C30,主线推图!$M$4:$M$303)+SUMIF(主线宝箱!$B$320:$B$620,"&lt;"&amp;C30,主线宝箱!$L$320:$L$620)+SUMIF(主线宝箱!$B$320:$B$620,"&lt;"&amp;C30,主线宝箱!$X$320:$X$620)+SUMIF(主线宝箱!$B$320:$B$620,"&lt;"&amp;C30,主线宝箱!$AL$320:$AL$620))</f>
        <v>67200</v>
      </c>
      <c r="F30" s="98">
        <f ca="1">SUMIF(组队产出!$B$24:$B$39,"&lt;="&amp;MAX(1,INT(C30/10-0.6)),组队产出!$R$24:$R$39)</f>
        <v>15000</v>
      </c>
      <c r="G30" s="80">
        <f ca="1">SUMIF(运营活动!$O$3:$O$27,"&lt;="&amp;C30,运营活动!$P$3:$P$27)</f>
        <v>6000</v>
      </c>
      <c r="H30" s="80">
        <f ca="1">OFFSET(产销汇总!$AM$12,B30,$C$26)*24</f>
        <v>31464</v>
      </c>
      <c r="I30" s="172">
        <f ca="1">SUMIF(金币本!$F$2:$F$52,"&lt;="&amp;C30,金币本!$D$2:$D$52)</f>
        <v>85000</v>
      </c>
      <c r="J30" s="80">
        <f ca="1">OFFSET(产销汇总!$C$1,MATCH(J$27,产销汇总!$C$2:$C$8,0),$C$26)*(_xlfn.XLOOKUP(C30,主线推图!$B$313:$B$612,主线推图!$C$313:$C$612)+_xlfn.XLOOKUP(C30,主线推图!$B$313:$B$612,主线推图!$D$313:$D$612))</f>
        <v>7876</v>
      </c>
      <c r="K30" s="80">
        <f ca="1">OFFSET(产销汇总!$C$1,MATCH(K$27,产销汇总!$C$2:$C$8,0),$C$26)*_xlfn.XLOOKUP(C30,巡逻产出!$B$311:$B$610,巡逻产出!$C$311:$C$610)*1.3</f>
        <v>0</v>
      </c>
      <c r="L30" s="80">
        <f ca="1">OFFSET(产销汇总!$C$1,MATCH(L$27,产销汇总!$C$2:$C$8,0),$C$26)*(_xlfn.XLOOKUP(MAX(1,INT(C30/10-6/10)),组队产出!$B$24:$B$39,组队产出!$D$24:$D$39))+OFFSET(产销汇总!$C$1,MATCH(L$27,产销汇总!$C$2:$C$8,0),$C$26)*(_xlfn.XLOOKUP(MAX(1,INT(C30/10-6/10)),组队产出!$B$24:$B$39,组队产出!$C$24:$C$39))</f>
        <v>4296</v>
      </c>
      <c r="M30" s="80">
        <f ca="1">(OFFSET(产销汇总!$C$1,MATCH(M$27,产销汇总!$C$2:$C$8,0),$C$26)*_xlfn.XLOOKUP(C30,巡逻产出!$B$311:$B$610,巡逻产出!$D$311:$D$610))*$M$24</f>
        <v>5584.8</v>
      </c>
      <c r="N30" s="80">
        <f ca="1">OFFSET(产销汇总!$C$1,MATCH(L$27,产销汇总!$C$2:$C$8,0),$C$26)*(_xlfn.XLOOKUP(MAX(1,INT(C30/10-6/10)),组队产出!$B$24:$B$39,组队产出!$S$24:$S$39))</f>
        <v>3396</v>
      </c>
      <c r="O30" s="172">
        <f>任务!$D$36</f>
        <v>2457.14285714286</v>
      </c>
      <c r="P30" s="98">
        <f t="shared" si="7"/>
        <v>428</v>
      </c>
      <c r="Q30" s="80">
        <f t="shared" si="8"/>
        <v>1000</v>
      </c>
      <c r="R30" s="172">
        <f t="shared" si="9"/>
        <v>2000</v>
      </c>
      <c r="S30" s="210">
        <f ca="1">IFERROR(OFFSET(金币本!$E$2,MATCH(C30,金币本!$F$3:$F$302,1),0)*IF($C$26=1,2,3),0)</f>
        <v>9750</v>
      </c>
      <c r="T30" s="172">
        <f ca="1">SUM($J$28:S30)+SUM(D30:I30)</f>
        <v>323555.828571429</v>
      </c>
      <c r="U30" s="172">
        <f ca="1" t="shared" si="2"/>
        <v>323555.828571429</v>
      </c>
      <c r="V30" s="98">
        <f ca="1" t="shared" si="3"/>
        <v>391660</v>
      </c>
      <c r="W30" s="98">
        <f ca="1">OFFSET(装备强化!$U$6,MATCH(图纸产出设计!V31/6*W$26,装备强化!$T$7:$T$306,1),0)*6</f>
        <v>320400</v>
      </c>
      <c r="X30" s="98">
        <v>23260</v>
      </c>
      <c r="Y30" s="98">
        <f t="shared" ref="Y30:Y93" si="10">Y29+$Y$28*Z30</f>
        <v>48000</v>
      </c>
      <c r="Z30" s="98">
        <v>1</v>
      </c>
      <c r="AA30" s="147">
        <f ca="1" t="shared" si="4"/>
        <v>0.826114049357679</v>
      </c>
      <c r="AB30" s="209">
        <f ca="1" t="shared" si="5"/>
        <v>-68104.1714285715</v>
      </c>
      <c r="AC30" s="209">
        <f ca="1">SUMIFS(装备强化!$Q$7:$Q$306,装备强化!$M$7:$M$306,"&lt;="&amp;MATCH(U30/6,装备强化!$U$7:$U$306,1),装备强化!$M$7:$M$306,"&gt;="&amp;MATCH(V30/6,装备强化!$U$7:$U$306,1))*6</f>
        <v>0</v>
      </c>
      <c r="AD30">
        <f ca="1" t="shared" ref="AD30:AD93" si="11">AC30/B30</f>
        <v>0</v>
      </c>
    </row>
    <row r="31" spans="1:31">
      <c r="A31" s="171"/>
      <c r="B31" s="80">
        <v>4</v>
      </c>
      <c r="C31" s="80">
        <f ca="1">OFFSET(产销汇总!$C$12,$B31,$C$26)</f>
        <v>46</v>
      </c>
      <c r="D31" s="80">
        <f t="shared" si="6"/>
        <v>14100</v>
      </c>
      <c r="E31" s="80">
        <f ca="1">(SUMIF(主线推图!$B$4:$B$303,"&lt;"&amp;C31,主线推图!$M$4:$M$303)+SUMIF(主线宝箱!$B$320:$B$620,"&lt;"&amp;C31,主线宝箱!$L$320:$L$620)+SUMIF(主线宝箱!$B$320:$B$620,"&lt;"&amp;C31,主线宝箱!$X$320:$X$620)+SUMIF(主线宝箱!$B$320:$B$620,"&lt;"&amp;C31,主线宝箱!$AL$320:$AL$620))</f>
        <v>78000</v>
      </c>
      <c r="F31" s="98">
        <f ca="1">SUMIF(组队产出!$B$24:$B$39,"&lt;="&amp;MAX(1,INT(C31/10-0.6)),组队产出!$R$24:$R$39)</f>
        <v>21000</v>
      </c>
      <c r="G31" s="80">
        <f ca="1">SUMIF(运营活动!$O$3:$O$27,"&lt;="&amp;C31,运营活动!$P$3:$P$27)</f>
        <v>7500</v>
      </c>
      <c r="H31" s="80">
        <f ca="1">OFFSET(产销汇总!$AM$12,B31,$C$26)*24</f>
        <v>42528</v>
      </c>
      <c r="I31" s="172">
        <f ca="1">SUMIF(金币本!$F$2:$F$52,"&lt;="&amp;C31,金币本!$D$2:$D$52)</f>
        <v>114000</v>
      </c>
      <c r="J31" s="80">
        <f ca="1">OFFSET(产销汇总!$C$1,MATCH(J$27,产销汇总!$C$2:$C$8,0),$C$26)*(_xlfn.XLOOKUP(C31,主线推图!$B$313:$B$612,主线推图!$C$313:$C$612)+_xlfn.XLOOKUP(C31,主线推图!$B$313:$B$612,主线推图!$D$313:$D$612))</f>
        <v>8140</v>
      </c>
      <c r="K31" s="80">
        <f ca="1">OFFSET(产销汇总!$C$1,MATCH(K$27,产销汇总!$C$2:$C$8,0),$C$26)*_xlfn.XLOOKUP(C31,巡逻产出!$B$311:$B$610,巡逻产出!$C$311:$C$610)*1.3</f>
        <v>0</v>
      </c>
      <c r="L31" s="80">
        <f ca="1">OFFSET(产销汇总!$C$1,MATCH(L$27,产销汇总!$C$2:$C$8,0),$C$26)*(_xlfn.XLOOKUP(MAX(1,INT(C31/10-6/10)),组队产出!$B$24:$B$39,组队产出!$D$24:$D$39))+OFFSET(产销汇总!$C$1,MATCH(L$27,产销汇总!$C$2:$C$8,0),$C$26)*(_xlfn.XLOOKUP(MAX(1,INT(C31/10-6/10)),组队产出!$B$24:$B$39,组队产出!$C$24:$C$39))</f>
        <v>4536</v>
      </c>
      <c r="M31" s="80">
        <f ca="1">(OFFSET(产销汇总!$C$1,MATCH(M$27,产销汇总!$C$2:$C$8,0),$C$26)*_xlfn.XLOOKUP(C31,巡逻产出!$B$311:$B$610,巡逻产出!$D$311:$D$610))*$M$24</f>
        <v>5772</v>
      </c>
      <c r="N31" s="80">
        <f ca="1">OFFSET(产销汇总!$C$1,MATCH(L$27,产销汇总!$C$2:$C$8,0),$C$26)*(_xlfn.XLOOKUP(MAX(1,INT(C31/10-6/10)),组队产出!$B$24:$B$39,组队产出!$S$24:$S$39))</f>
        <v>4920</v>
      </c>
      <c r="O31" s="172">
        <f>任务!$D$36</f>
        <v>2457.14285714286</v>
      </c>
      <c r="P31" s="98">
        <f t="shared" si="7"/>
        <v>428</v>
      </c>
      <c r="Q31" s="80">
        <f t="shared" si="8"/>
        <v>1000</v>
      </c>
      <c r="R31" s="172">
        <f t="shared" si="9"/>
        <v>2000</v>
      </c>
      <c r="S31" s="210">
        <f ca="1">IFERROR(OFFSET(金币本!$E$2,MATCH(C31,金币本!$F$3:$F$302,1),0)*IF($C$26=1,2,3),0)</f>
        <v>11250</v>
      </c>
      <c r="T31" s="172">
        <f ca="1">SUM($J$28:S31)+SUM(D31:I31)</f>
        <v>422422.971428571</v>
      </c>
      <c r="U31" s="172">
        <f ca="1" t="shared" si="2"/>
        <v>422422.971428571</v>
      </c>
      <c r="V31" s="98">
        <f ca="1" t="shared" si="3"/>
        <v>469440</v>
      </c>
      <c r="W31" s="98">
        <f ca="1">OFFSET(装备强化!$U$6,MATCH(图纸产出设计!V32/6*W$26,装备强化!$T$7:$T$306,1),0)*6</f>
        <v>374400</v>
      </c>
      <c r="X31" s="98">
        <v>31040</v>
      </c>
      <c r="Y31" s="98">
        <f t="shared" si="10"/>
        <v>64000</v>
      </c>
      <c r="Z31" s="98">
        <v>1</v>
      </c>
      <c r="AA31" s="147">
        <f ca="1" t="shared" si="4"/>
        <v>0.899844434706398</v>
      </c>
      <c r="AB31" s="209">
        <f ca="1" t="shared" si="5"/>
        <v>-47017.0285714286</v>
      </c>
      <c r="AC31" s="209">
        <f ca="1">SUMIFS(装备强化!$Q$7:$Q$306,装备强化!$M$7:$M$306,"&lt;="&amp;MATCH(U31/6,装备强化!$U$7:$U$306,1),装备强化!$M$7:$M$306,"&gt;="&amp;MATCH(V31/6,装备强化!$U$7:$U$306,1))*6</f>
        <v>0</v>
      </c>
      <c r="AD31">
        <f ca="1" t="shared" si="11"/>
        <v>0</v>
      </c>
    </row>
    <row r="32" spans="1:31">
      <c r="A32" s="171"/>
      <c r="B32" s="80">
        <v>5</v>
      </c>
      <c r="C32" s="80">
        <f ca="1">OFFSET(产销汇总!$C$12,$B32,$C$26)</f>
        <v>55</v>
      </c>
      <c r="D32" s="80">
        <f t="shared" si="6"/>
        <v>14100</v>
      </c>
      <c r="E32" s="80">
        <f ca="1">(SUMIF(主线推图!$B$4:$B$303,"&lt;"&amp;C32,主线推图!$M$4:$M$303)+SUMIF(主线宝箱!$B$320:$B$620,"&lt;"&amp;C32,主线宝箱!$L$320:$L$620)+SUMIF(主线宝箱!$B$320:$B$620,"&lt;"&amp;C32,主线宝箱!$X$320:$X$620)+SUMIF(主线宝箱!$B$320:$B$620,"&lt;"&amp;C32,主线宝箱!$AL$320:$AL$620))</f>
        <v>94200</v>
      </c>
      <c r="F32" s="98">
        <f ca="1">SUMIF(组队产出!$B$24:$B$39,"&lt;="&amp;MAX(1,INT(C32/10-0.6)),组队产出!$R$24:$R$39)</f>
        <v>21000</v>
      </c>
      <c r="G32" s="80">
        <f ca="1">SUMIF(运营活动!$O$3:$O$27,"&lt;="&amp;C32,运营活动!$P$3:$P$27)</f>
        <v>10500</v>
      </c>
      <c r="H32" s="80">
        <f ca="1">OFFSET(产销汇总!$AM$12,B32,$C$26)*24</f>
        <v>51120</v>
      </c>
      <c r="I32" s="172">
        <f ca="1">SUMIF(金币本!$F$2:$F$52,"&lt;="&amp;C32,金币本!$D$2:$D$52)</f>
        <v>165000</v>
      </c>
      <c r="J32" s="80">
        <f ca="1">OFFSET(产销汇总!$C$1,MATCH(J$27,产销汇总!$C$2:$C$8,0),$C$26)*(_xlfn.XLOOKUP(C32,主线推图!$B$313:$B$612,主线推图!$C$313:$C$612)+_xlfn.XLOOKUP(C32,主线推图!$B$313:$B$612,主线推图!$D$313:$D$612))</f>
        <v>8536</v>
      </c>
      <c r="K32" s="80">
        <f ca="1">OFFSET(产销汇总!$C$1,MATCH(K$27,产销汇总!$C$2:$C$8,0),$C$26)*_xlfn.XLOOKUP(C32,巡逻产出!$B$311:$B$610,巡逻产出!$C$311:$C$610)*1.3</f>
        <v>0</v>
      </c>
      <c r="L32" s="80">
        <f ca="1">OFFSET(产销汇总!$C$1,MATCH(L$27,产销汇总!$C$2:$C$8,0),$C$26)*(_xlfn.XLOOKUP(MAX(1,INT(C32/10-6/10)),组队产出!$B$24:$B$39,组队产出!$D$24:$D$39))+OFFSET(产销汇总!$C$1,MATCH(L$27,产销汇总!$C$2:$C$8,0),$C$26)*(_xlfn.XLOOKUP(MAX(1,INT(C32/10-6/10)),组队产出!$B$24:$B$39,组队产出!$C$24:$C$39))</f>
        <v>4536</v>
      </c>
      <c r="M32" s="80">
        <f ca="1">(OFFSET(产销汇总!$C$1,MATCH(M$27,产销汇总!$C$2:$C$8,0),$C$26)*_xlfn.XLOOKUP(C32,巡逻产出!$B$311:$B$610,巡逻产出!$D$311:$D$610))*$M$24</f>
        <v>6052.8</v>
      </c>
      <c r="N32" s="80">
        <f ca="1">OFFSET(产销汇总!$C$1,MATCH(L$27,产销汇总!$C$2:$C$8,0),$C$26)*(_xlfn.XLOOKUP(MAX(1,INT(C32/10-6/10)),组队产出!$B$24:$B$39,组队产出!$S$24:$S$39))</f>
        <v>4920</v>
      </c>
      <c r="O32" s="172">
        <f>任务!$D$36</f>
        <v>2457.14285714286</v>
      </c>
      <c r="P32" s="98">
        <f t="shared" si="7"/>
        <v>428</v>
      </c>
      <c r="Q32" s="80">
        <f t="shared" si="8"/>
        <v>1000</v>
      </c>
      <c r="R32" s="172">
        <f t="shared" si="9"/>
        <v>2000</v>
      </c>
      <c r="S32" s="210">
        <f ca="1">IFERROR(OFFSET(金币本!$E$2,MATCH(C32,金币本!$F$3:$F$302,1),0)*IF($C$26=1,2,3),0)</f>
        <v>13500</v>
      </c>
      <c r="T32" s="172">
        <f ca="1">SUM($J$28:S32)+SUM(D32:I32)</f>
        <v>544644.914285714</v>
      </c>
      <c r="U32" s="172">
        <f ca="1" t="shared" si="2"/>
        <v>544644.914285714</v>
      </c>
      <c r="V32" s="98">
        <f ca="1" t="shared" si="3"/>
        <v>559140</v>
      </c>
      <c r="W32" s="98">
        <f ca="1">OFFSET(装备强化!$U$6,MATCH(图纸产出设计!V33/6*W$26,装备强化!$T$7:$T$306,1),0)*6</f>
        <v>439200</v>
      </c>
      <c r="X32" s="98">
        <v>39940</v>
      </c>
      <c r="Y32" s="98">
        <f t="shared" si="10"/>
        <v>80000</v>
      </c>
      <c r="Z32" s="98">
        <v>1</v>
      </c>
      <c r="AA32" s="147">
        <f ca="1" t="shared" si="4"/>
        <v>0.974076106674025</v>
      </c>
      <c r="AB32" s="209">
        <f ca="1" t="shared" si="5"/>
        <v>-14495.0857142857</v>
      </c>
      <c r="AC32" s="209">
        <f ca="1">SUMIFS(装备强化!$Q$7:$Q$306,装备强化!$M$7:$M$306,"&lt;="&amp;MATCH(U32/6,装备强化!$U$7:$U$306,1),装备强化!$M$7:$M$306,"&gt;="&amp;MATCH(V32/6,装备强化!$U$7:$U$306,1))*6</f>
        <v>0</v>
      </c>
      <c r="AD32">
        <f ca="1" t="shared" si="11"/>
        <v>0</v>
      </c>
    </row>
    <row r="33" spans="1:30">
      <c r="A33" s="171"/>
      <c r="B33" s="80">
        <v>6</v>
      </c>
      <c r="C33" s="80">
        <f ca="1">OFFSET(产销汇总!$C$12,$B33,$C$26)</f>
        <v>57</v>
      </c>
      <c r="D33" s="80">
        <f t="shared" si="6"/>
        <v>14100</v>
      </c>
      <c r="E33" s="80">
        <f ca="1">(SUMIF(主线推图!$B$4:$B$303,"&lt;"&amp;C33,主线推图!$M$4:$M$303)+SUMIF(主线宝箱!$B$320:$B$620,"&lt;"&amp;C33,主线宝箱!$L$320:$L$620)+SUMIF(主线宝箱!$B$320:$B$620,"&lt;"&amp;C33,主线宝箱!$X$320:$X$620)+SUMIF(主线宝箱!$B$320:$B$620,"&lt;"&amp;C33,主线宝箱!$AL$320:$AL$620))</f>
        <v>97800</v>
      </c>
      <c r="F33" s="98">
        <f ca="1">SUMIF(组队产出!$B$24:$B$39,"&lt;="&amp;MAX(1,INT(C33/10-0.6)),组队产出!$R$24:$R$39)</f>
        <v>28500</v>
      </c>
      <c r="G33" s="80">
        <f ca="1">SUMIF(运营活动!$O$3:$O$27,"&lt;="&amp;C33,运营活动!$P$3:$P$27)</f>
        <v>12000</v>
      </c>
      <c r="H33" s="80">
        <f ca="1">OFFSET(产销汇总!$AM$12,B33,$C$26)*24</f>
        <v>59544</v>
      </c>
      <c r="I33" s="172">
        <f ca="1">SUMIF(金币本!$F$2:$F$52,"&lt;="&amp;C33,金币本!$D$2:$D$52)</f>
        <v>165000</v>
      </c>
      <c r="J33" s="80">
        <f ca="1">OFFSET(产销汇总!$C$1,MATCH(J$27,产销汇总!$C$2:$C$8,0),$C$26)*(_xlfn.XLOOKUP(C33,主线推图!$B$313:$B$612,主线推图!$C$313:$C$612)+_xlfn.XLOOKUP(C33,主线推图!$B$313:$B$612,主线推图!$D$313:$D$612))</f>
        <v>8624</v>
      </c>
      <c r="K33" s="80">
        <f ca="1">OFFSET(产销汇总!$C$1,MATCH(K$27,产销汇总!$C$2:$C$8,0),$C$26)*_xlfn.XLOOKUP(C33,巡逻产出!$B$311:$B$610,巡逻产出!$C$311:$C$610)*1.3</f>
        <v>0</v>
      </c>
      <c r="L33" s="80">
        <f ca="1">OFFSET(产销汇总!$C$1,MATCH(L$27,产销汇总!$C$2:$C$8,0),$C$26)*(_xlfn.XLOOKUP(MAX(1,INT(C33/10-6/10)),组队产出!$B$24:$B$39,组队产出!$D$24:$D$39))+OFFSET(产销汇总!$C$1,MATCH(L$27,产销汇总!$C$2:$C$8,0),$C$26)*(_xlfn.XLOOKUP(MAX(1,INT(C33/10-6/10)),组队产出!$B$24:$B$39,组队产出!$C$24:$C$39))</f>
        <v>4776</v>
      </c>
      <c r="M33" s="80">
        <f ca="1">(OFFSET(产销汇总!$C$1,MATCH(M$27,产销汇总!$C$2:$C$8,0),$C$26)*_xlfn.XLOOKUP(C33,巡逻产出!$B$311:$B$610,巡逻产出!$D$311:$D$610))*$M$24</f>
        <v>6115.2</v>
      </c>
      <c r="N33" s="80">
        <f ca="1">OFFSET(产销汇总!$C$1,MATCH(L$27,产销汇总!$C$2:$C$8,0),$C$26)*(_xlfn.XLOOKUP(MAX(1,INT(C33/10-6/10)),组队产出!$B$24:$B$39,组队产出!$S$24:$S$39))</f>
        <v>6138</v>
      </c>
      <c r="O33" s="172">
        <f>任务!$D$36</f>
        <v>2457.14285714286</v>
      </c>
      <c r="P33" s="98">
        <f t="shared" si="7"/>
        <v>428</v>
      </c>
      <c r="Q33" s="80">
        <f t="shared" si="8"/>
        <v>1000</v>
      </c>
      <c r="R33" s="172">
        <f t="shared" si="9"/>
        <v>2000</v>
      </c>
      <c r="S33" s="210">
        <f ca="1">IFERROR(OFFSET(金币本!$E$2,MATCH(C33,金币本!$F$3:$F$302,1),0)*IF($C$26=1,2,3),0)</f>
        <v>13500</v>
      </c>
      <c r="T33" s="172">
        <f ca="1">SUM($J$28:S33)+SUM(D33:I33)</f>
        <v>610707.257142857</v>
      </c>
      <c r="U33" s="172">
        <f ca="1" t="shared" si="2"/>
        <v>610707.257142857</v>
      </c>
      <c r="V33" s="98">
        <f ca="1" t="shared" si="3"/>
        <v>625750</v>
      </c>
      <c r="W33" s="98">
        <f ca="1">OFFSET(装备强化!$U$6,MATCH(图纸产出设计!V34/6*W$26,装备强化!$T$7:$T$306,1),0)*6</f>
        <v>482400</v>
      </c>
      <c r="X33" s="98">
        <v>47350</v>
      </c>
      <c r="Y33" s="98">
        <f t="shared" si="10"/>
        <v>96000</v>
      </c>
      <c r="Z33" s="98">
        <v>1</v>
      </c>
      <c r="AA33" s="147">
        <f ca="1" t="shared" si="4"/>
        <v>0.975960458877918</v>
      </c>
      <c r="AB33" s="209">
        <f ca="1" t="shared" si="5"/>
        <v>-15042.7428571428</v>
      </c>
      <c r="AC33" s="209">
        <f ca="1">SUMIFS(装备强化!$Q$7:$Q$306,装备强化!$M$7:$M$306,"&lt;="&amp;MATCH(U33/6,装备强化!$U$7:$U$306,1),装备强化!$M$7:$M$306,"&gt;="&amp;MATCH(V33/6,装备强化!$U$7:$U$306,1))*6</f>
        <v>744</v>
      </c>
      <c r="AD33">
        <f ca="1" t="shared" si="11"/>
        <v>124</v>
      </c>
    </row>
    <row r="34" spans="1:30">
      <c r="A34" s="171"/>
      <c r="B34" s="80">
        <v>7</v>
      </c>
      <c r="C34" s="80">
        <f ca="1">OFFSET(产销汇总!$C$12,$B34,$C$26)</f>
        <v>60</v>
      </c>
      <c r="D34" s="80">
        <f t="shared" si="6"/>
        <v>14100</v>
      </c>
      <c r="E34" s="80">
        <f ca="1">(SUMIF(主线推图!$B$4:$B$303,"&lt;"&amp;C34,主线推图!$M$4:$M$303)+SUMIF(主线宝箱!$B$320:$B$620,"&lt;"&amp;C34,主线宝箱!$L$320:$L$620)+SUMIF(主线宝箱!$B$320:$B$620,"&lt;"&amp;C34,主线宝箱!$X$320:$X$620)+SUMIF(主线宝箱!$B$320:$B$620,"&lt;"&amp;C34,主线宝箱!$AL$320:$AL$620))</f>
        <v>103200</v>
      </c>
      <c r="F34" s="98">
        <f ca="1">SUMIF(组队产出!$B$24:$B$39,"&lt;="&amp;MAX(1,INT(C34/10-0.6)),组队产出!$R$24:$R$39)</f>
        <v>28500</v>
      </c>
      <c r="G34" s="80">
        <f ca="1">SUMIF(运营活动!$O$3:$O$27,"&lt;="&amp;C34,运营活动!$P$3:$P$27)</f>
        <v>12000</v>
      </c>
      <c r="H34" s="80">
        <f ca="1">OFFSET(产销汇总!$AM$12,B34,$C$26)*24</f>
        <v>70632</v>
      </c>
      <c r="I34" s="172">
        <f ca="1">SUMIF(金币本!$F$2:$F$52,"&lt;="&amp;C34,金币本!$D$2:$D$52)</f>
        <v>184000</v>
      </c>
      <c r="J34" s="80">
        <f ca="1">OFFSET(产销汇总!$C$1,MATCH(J$27,产销汇总!$C$2:$C$8,0),$C$26)*(_xlfn.XLOOKUP(C34,主线推图!$B$313:$B$612,主线推图!$C$313:$C$612)+_xlfn.XLOOKUP(C34,主线推图!$B$313:$B$612,主线推图!$D$313:$D$612))</f>
        <v>8756</v>
      </c>
      <c r="K34" s="80">
        <f ca="1">OFFSET(产销汇总!$C$1,MATCH(K$27,产销汇总!$C$2:$C$8,0),$C$26)*_xlfn.XLOOKUP(C34,巡逻产出!$B$311:$B$610,巡逻产出!$C$311:$C$610)*1.3</f>
        <v>0</v>
      </c>
      <c r="L34" s="80">
        <f ca="1">OFFSET(产销汇总!$C$1,MATCH(L$27,产销汇总!$C$2:$C$8,0),$C$26)*(_xlfn.XLOOKUP(MAX(1,INT(C34/10-6/10)),组队产出!$B$24:$B$39,组队产出!$D$24:$D$39))+OFFSET(产销汇总!$C$1,MATCH(L$27,产销汇总!$C$2:$C$8,0),$C$26)*(_xlfn.XLOOKUP(MAX(1,INT(C34/10-6/10)),组队产出!$B$24:$B$39,组队产出!$C$24:$C$39))</f>
        <v>4776</v>
      </c>
      <c r="M34" s="80">
        <f ca="1">(OFFSET(产销汇总!$C$1,MATCH(M$27,产销汇总!$C$2:$C$8,0),$C$26)*_xlfn.XLOOKUP(C34,巡逻产出!$B$311:$B$610,巡逻产出!$D$311:$D$610))*$M$24</f>
        <v>6208.8</v>
      </c>
      <c r="N34" s="80">
        <f ca="1">OFFSET(产销汇总!$C$1,MATCH(L$27,产销汇总!$C$2:$C$8,0),$C$26)*(_xlfn.XLOOKUP(MAX(1,INT(C34/10-6/10)),组队产出!$B$24:$B$39,组队产出!$S$24:$S$39))</f>
        <v>6138</v>
      </c>
      <c r="O34" s="172">
        <f>任务!$D$36</f>
        <v>2457.14285714286</v>
      </c>
      <c r="P34" s="98">
        <f t="shared" si="7"/>
        <v>428</v>
      </c>
      <c r="Q34" s="80">
        <f t="shared" si="8"/>
        <v>1000</v>
      </c>
      <c r="R34" s="172">
        <f t="shared" si="9"/>
        <v>2000</v>
      </c>
      <c r="S34" s="210">
        <f ca="1">IFERROR(OFFSET(金币本!$E$2,MATCH(C34,金币本!$F$3:$F$302,1),0)*IF($C$26=1,2,3),0)</f>
        <v>14250</v>
      </c>
      <c r="T34" s="172">
        <f ca="1">SUM($J$28:S34)+SUM(D34:I34)</f>
        <v>692209.2</v>
      </c>
      <c r="U34" s="172">
        <f ca="1" t="shared" si="2"/>
        <v>692209.2</v>
      </c>
      <c r="V34" s="98">
        <f ca="1" t="shared" si="3"/>
        <v>696590</v>
      </c>
      <c r="W34" s="98">
        <f ca="1">OFFSET(装备强化!$U$6,MATCH(图纸产出设计!V35/6*W$26,装备强化!$T$7:$T$306,1),0)*6</f>
        <v>529200</v>
      </c>
      <c r="X34" s="98">
        <v>55390</v>
      </c>
      <c r="Y34" s="98">
        <f t="shared" si="10"/>
        <v>112000</v>
      </c>
      <c r="Z34" s="98">
        <v>1</v>
      </c>
      <c r="AA34" s="147">
        <f ca="1" t="shared" si="4"/>
        <v>0.993711078252631</v>
      </c>
      <c r="AB34" s="209">
        <f ca="1" t="shared" si="5"/>
        <v>-4380.79999999993</v>
      </c>
      <c r="AC34" s="209">
        <f ca="1">SUMIFS(装备强化!$Q$7:$Q$306,装备强化!$M$7:$M$306,"&lt;="&amp;MATCH(U34/6,装备强化!$U$7:$U$306,1),装备强化!$M$7:$M$306,"&gt;="&amp;MATCH(V34/6,装备强化!$U$7:$U$306,1))*6</f>
        <v>792</v>
      </c>
      <c r="AD34">
        <f ca="1" t="shared" si="11"/>
        <v>113.142857142857</v>
      </c>
    </row>
    <row r="35" spans="1:30">
      <c r="A35" s="171"/>
      <c r="B35" s="80">
        <v>8</v>
      </c>
      <c r="C35" s="80">
        <f ca="1">OFFSET(产销汇总!$C$12,$B35,$C$26)</f>
        <v>63</v>
      </c>
      <c r="D35" s="80">
        <f t="shared" si="6"/>
        <v>14100</v>
      </c>
      <c r="E35" s="80">
        <f ca="1">(SUMIF(主线推图!$B$4:$B$303,"&lt;"&amp;C35,主线推图!$M$4:$M$303)+SUMIF(主线宝箱!$B$320:$B$620,"&lt;"&amp;C35,主线宝箱!$L$320:$L$620)+SUMIF(主线宝箱!$B$320:$B$620,"&lt;"&amp;C35,主线宝箱!$X$320:$X$620)+SUMIF(主线宝箱!$B$320:$B$620,"&lt;"&amp;C35,主线宝箱!$AL$320:$AL$620))</f>
        <v>108600</v>
      </c>
      <c r="F35" s="98">
        <f ca="1">SUMIF(组队产出!$B$24:$B$39,"&lt;="&amp;MAX(1,INT(C35/10-0.6)),组队产出!$R$24:$R$39)</f>
        <v>28500</v>
      </c>
      <c r="G35" s="80">
        <f ca="1">SUMIF(运营活动!$O$3:$O$27,"&lt;="&amp;C35,运营活动!$P$3:$P$27)</f>
        <v>12000</v>
      </c>
      <c r="H35" s="80">
        <f ca="1">OFFSET(产销汇总!$AM$12,B35,$C$26)*24</f>
        <v>77880</v>
      </c>
      <c r="I35" s="172">
        <f ca="1">SUMIF(金币本!$F$2:$F$52,"&lt;="&amp;C35,金币本!$D$2:$D$52)</f>
        <v>204000</v>
      </c>
      <c r="J35" s="80">
        <f ca="1">OFFSET(产销汇总!$C$1,MATCH(J$27,产销汇总!$C$2:$C$8,0),$C$26)*(_xlfn.XLOOKUP(C35,主线推图!$B$313:$B$612,主线推图!$C$313:$C$612)+_xlfn.XLOOKUP(C35,主线推图!$B$313:$B$612,主线推图!$D$313:$D$612))</f>
        <v>8888</v>
      </c>
      <c r="K35" s="80">
        <f ca="1">OFFSET(产销汇总!$C$1,MATCH(K$27,产销汇总!$C$2:$C$8,0),$C$26)*_xlfn.XLOOKUP(C35,巡逻产出!$B$311:$B$610,巡逻产出!$C$311:$C$610)*1.3</f>
        <v>0</v>
      </c>
      <c r="L35" s="80">
        <f ca="1">OFFSET(产销汇总!$C$1,MATCH(L$27,产销汇总!$C$2:$C$8,0),$C$26)*(_xlfn.XLOOKUP(MAX(1,INT(C35/10-6/10)),组队产出!$B$24:$B$39,组队产出!$D$24:$D$39))+OFFSET(产销汇总!$C$1,MATCH(L$27,产销汇总!$C$2:$C$8,0),$C$26)*(_xlfn.XLOOKUP(MAX(1,INT(C35/10-6/10)),组队产出!$B$24:$B$39,组队产出!$C$24:$C$39))</f>
        <v>4776</v>
      </c>
      <c r="M35" s="80">
        <f ca="1">(OFFSET(产销汇总!$C$1,MATCH(M$27,产销汇总!$C$2:$C$8,0),$C$26)*_xlfn.XLOOKUP(C35,巡逻产出!$B$311:$B$610,巡逻产出!$D$311:$D$610))*$M$24</f>
        <v>6302.4</v>
      </c>
      <c r="N35" s="80">
        <f ca="1">OFFSET(产销汇总!$C$1,MATCH(L$27,产销汇总!$C$2:$C$8,0),$C$26)*(_xlfn.XLOOKUP(MAX(1,INT(C35/10-6/10)),组队产出!$B$24:$B$39,组队产出!$S$24:$S$39))</f>
        <v>6138</v>
      </c>
      <c r="O35" s="172">
        <f>任务!$D$36</f>
        <v>2457.14285714286</v>
      </c>
      <c r="P35" s="98">
        <f t="shared" si="7"/>
        <v>428</v>
      </c>
      <c r="Q35" s="80">
        <f t="shared" si="8"/>
        <v>1500</v>
      </c>
      <c r="R35" s="172">
        <f t="shared" si="9"/>
        <v>2000</v>
      </c>
      <c r="S35" s="210">
        <f ca="1">IFERROR(OFFSET(金币本!$E$2,MATCH(C35,金币本!$F$3:$F$302,1),0)*IF($C$26=1,2,3),0)</f>
        <v>15000</v>
      </c>
      <c r="T35" s="172">
        <f ca="1">SUM($J$28:S35)+SUM(D35:I35)</f>
        <v>772346.742857143</v>
      </c>
      <c r="U35" s="172">
        <f ca="1" t="shared" si="2"/>
        <v>772346.742857143</v>
      </c>
      <c r="V35" s="98">
        <f ca="1" t="shared" si="3"/>
        <v>787660</v>
      </c>
      <c r="W35" s="98">
        <f ca="1">OFFSET(装备强化!$U$6,MATCH(图纸产出设计!V36/6*W$26,装备强化!$T$7:$T$306,1),0)*6</f>
        <v>579600</v>
      </c>
      <c r="X35" s="98">
        <v>64060</v>
      </c>
      <c r="Y35" s="98">
        <f t="shared" si="10"/>
        <v>144000</v>
      </c>
      <c r="Z35" s="98">
        <v>2</v>
      </c>
      <c r="AA35" s="147">
        <f ca="1" t="shared" si="4"/>
        <v>0.980558544114393</v>
      </c>
      <c r="AB35" s="209">
        <f ca="1" t="shared" si="5"/>
        <v>-15313.2571428571</v>
      </c>
      <c r="AC35" s="209">
        <f ca="1">SUMIFS(装备强化!$Q$7:$Q$306,装备强化!$M$7:$M$306,"&lt;="&amp;MATCH(U35/6,装备强化!$U$7:$U$306,1),装备强化!$M$7:$M$306,"&gt;="&amp;MATCH(V35/6,装备强化!$U$7:$U$306,1))*6</f>
        <v>864</v>
      </c>
      <c r="AD35">
        <f ca="1" t="shared" si="11"/>
        <v>108</v>
      </c>
    </row>
    <row r="36" spans="1:30">
      <c r="A36" s="171"/>
      <c r="B36" s="80">
        <v>9</v>
      </c>
      <c r="C36" s="80">
        <f ca="1">OFFSET(产销汇总!$C$12,$B36,$C$26)</f>
        <v>66</v>
      </c>
      <c r="D36" s="80">
        <f t="shared" si="6"/>
        <v>14100</v>
      </c>
      <c r="E36" s="80">
        <f ca="1">(SUMIF(主线推图!$B$4:$B$303,"&lt;"&amp;C36,主线推图!$M$4:$M$303)+SUMIF(主线宝箱!$B$320:$B$620,"&lt;"&amp;C36,主线宝箱!$L$320:$L$620)+SUMIF(主线宝箱!$B$320:$B$620,"&lt;"&amp;C36,主线宝箱!$X$320:$X$620)+SUMIF(主线宝箱!$B$320:$B$620,"&lt;"&amp;C36,主线宝箱!$AL$320:$AL$620))</f>
        <v>114000</v>
      </c>
      <c r="F36" s="98">
        <f ca="1">SUMIF(组队产出!$B$24:$B$39,"&lt;="&amp;MAX(1,INT(C36/10-0.6)),组队产出!$R$24:$R$39)</f>
        <v>36000</v>
      </c>
      <c r="G36" s="80">
        <f ca="1">SUMIF(运营活动!$O$3:$O$27,"&lt;="&amp;C36,运营活动!$P$3:$P$27)</f>
        <v>14000</v>
      </c>
      <c r="H36" s="80">
        <f ca="1">OFFSET(产销汇总!$AM$12,B36,$C$26)*24</f>
        <v>85128</v>
      </c>
      <c r="I36" s="172">
        <f ca="1">SUMIF(金币本!$F$2:$F$52,"&lt;="&amp;C36,金币本!$D$2:$D$52)</f>
        <v>204000</v>
      </c>
      <c r="J36" s="80">
        <f ca="1">OFFSET(产销汇总!$C$1,MATCH(J$27,产销汇总!$C$2:$C$8,0),$C$26)*(_xlfn.XLOOKUP(C36,主线推图!$B$313:$B$612,主线推图!$C$313:$C$612)+_xlfn.XLOOKUP(C36,主线推图!$B$313:$B$612,主线推图!$D$313:$D$612))</f>
        <v>9020</v>
      </c>
      <c r="K36" s="80">
        <f ca="1">OFFSET(产销汇总!$C$1,MATCH(K$27,产销汇总!$C$2:$C$8,0),$C$26)*_xlfn.XLOOKUP(C36,巡逻产出!$B$311:$B$610,巡逻产出!$C$311:$C$610)*1.3</f>
        <v>0</v>
      </c>
      <c r="L36" s="80">
        <f ca="1">OFFSET(产销汇总!$C$1,MATCH(L$27,产销汇总!$C$2:$C$8,0),$C$26)*(_xlfn.XLOOKUP(MAX(1,INT(C36/10-6/10)),组队产出!$B$24:$B$39,组队产出!$D$24:$D$39))+OFFSET(产销汇总!$C$1,MATCH(L$27,产销汇总!$C$2:$C$8,0),$C$26)*(_xlfn.XLOOKUP(MAX(1,INT(C36/10-6/10)),组队产出!$B$24:$B$39,组队产出!$C$24:$C$39))</f>
        <v>5016</v>
      </c>
      <c r="M36" s="80">
        <f ca="1">(OFFSET(产销汇总!$C$1,MATCH(M$27,产销汇总!$C$2:$C$8,0),$C$26)*_xlfn.XLOOKUP(C36,巡逻产出!$B$311:$B$610,巡逻产出!$D$311:$D$610))*$M$24</f>
        <v>6396</v>
      </c>
      <c r="N36" s="80">
        <f ca="1">OFFSET(产销汇总!$C$1,MATCH(L$27,产销汇总!$C$2:$C$8,0),$C$26)*(_xlfn.XLOOKUP(MAX(1,INT(C36/10-6/10)),组队产出!$B$24:$B$39,组队产出!$S$24:$S$39))</f>
        <v>6474</v>
      </c>
      <c r="O36" s="172">
        <f>任务!$D$36</f>
        <v>2457.14285714286</v>
      </c>
      <c r="P36" s="98">
        <f t="shared" si="7"/>
        <v>428</v>
      </c>
      <c r="Q36" s="80">
        <f t="shared" si="8"/>
        <v>1000</v>
      </c>
      <c r="R36" s="172">
        <f t="shared" si="9"/>
        <v>2000</v>
      </c>
      <c r="S36" s="210">
        <f ca="1">IFERROR(OFFSET(金币本!$E$2,MATCH(C36,金币本!$F$3:$F$302,1),0)*IF($C$26=1,2,3),0)</f>
        <v>15000</v>
      </c>
      <c r="T36" s="172">
        <f ca="1">SUM($J$28:S36)+SUM(D36:I36)</f>
        <v>842285.885714286</v>
      </c>
      <c r="U36" s="172">
        <f ca="1" t="shared" si="2"/>
        <v>842285.885714286</v>
      </c>
      <c r="V36" s="98">
        <f ca="1" t="shared" si="3"/>
        <v>857760</v>
      </c>
      <c r="W36" s="98">
        <f ca="1">OFFSET(装备强化!$U$6,MATCH(图纸产出设计!V37/6*W$26,装备强化!$T$7:$T$306,1),0)*6</f>
        <v>608400</v>
      </c>
      <c r="X36" s="98">
        <v>73360</v>
      </c>
      <c r="Y36" s="98">
        <f t="shared" si="10"/>
        <v>176000</v>
      </c>
      <c r="Z36" s="98">
        <f>Z35</f>
        <v>2</v>
      </c>
      <c r="AA36" s="147">
        <f ca="1" t="shared" si="4"/>
        <v>0.981959855570656</v>
      </c>
      <c r="AB36" s="209">
        <f ca="1" t="shared" si="5"/>
        <v>-15474.1142857142</v>
      </c>
      <c r="AC36" s="209">
        <f ca="1">SUMIFS(装备强化!$Q$7:$Q$306,装备强化!$M$7:$M$306,"&lt;="&amp;MATCH(U36/6,装备强化!$U$7:$U$306,1),装备强化!$M$7:$M$306,"&gt;="&amp;MATCH(V36/6,装备强化!$U$7:$U$306,1))*6</f>
        <v>912</v>
      </c>
      <c r="AD36">
        <f ca="1" t="shared" si="11"/>
        <v>101.333333333333</v>
      </c>
    </row>
    <row r="37" spans="1:30">
      <c r="A37" s="171"/>
      <c r="B37" s="80">
        <v>10</v>
      </c>
      <c r="C37" s="80">
        <f ca="1">OFFSET(产销汇总!$C$12,$B37,$C$26)</f>
        <v>69</v>
      </c>
      <c r="D37" s="80">
        <f t="shared" si="6"/>
        <v>14100</v>
      </c>
      <c r="E37" s="80">
        <f ca="1">(SUMIF(主线推图!$B$4:$B$303,"&lt;"&amp;C37,主线推图!$M$4:$M$303)+SUMIF(主线宝箱!$B$320:$B$620,"&lt;"&amp;C37,主线宝箱!$L$320:$L$620)+SUMIF(主线宝箱!$B$320:$B$620,"&lt;"&amp;C37,主线宝箱!$X$320:$X$620)+SUMIF(主线宝箱!$B$320:$B$620,"&lt;"&amp;C37,主线宝箱!$AL$320:$AL$620))</f>
        <v>119400</v>
      </c>
      <c r="F37" s="98">
        <f ca="1">SUMIF(组队产出!$B$24:$B$39,"&lt;="&amp;MAX(1,INT(C37/10-0.6)),组队产出!$R$24:$R$39)</f>
        <v>36000</v>
      </c>
      <c r="G37" s="80">
        <f ca="1">SUMIF(运营活动!$O$3:$O$27,"&lt;="&amp;C37,运营活动!$P$3:$P$27)</f>
        <v>16000</v>
      </c>
      <c r="H37" s="80">
        <f ca="1">OFFSET(产销汇总!$AM$12,B37,$C$26)*24</f>
        <v>92376</v>
      </c>
      <c r="I37" s="172">
        <f ca="1">SUMIF(金币本!$F$2:$F$52,"&lt;="&amp;C37,金币本!$D$2:$D$52)</f>
        <v>225000</v>
      </c>
      <c r="J37" s="80">
        <f ca="1">OFFSET(产销汇总!$C$1,MATCH(J$27,产销汇总!$C$2:$C$8,0),$C$26)*(_xlfn.XLOOKUP(C37,主线推图!$B$313:$B$612,主线推图!$C$313:$C$612)+_xlfn.XLOOKUP(C37,主线推图!$B$313:$B$612,主线推图!$D$313:$D$612))</f>
        <v>9152</v>
      </c>
      <c r="K37" s="80">
        <f ca="1">OFFSET(产销汇总!$C$1,MATCH(K$27,产销汇总!$C$2:$C$8,0),$C$26)*_xlfn.XLOOKUP(C37,巡逻产出!$B$311:$B$610,巡逻产出!$C$311:$C$610)*1.3</f>
        <v>0</v>
      </c>
      <c r="L37" s="80">
        <f ca="1">OFFSET(产销汇总!$C$1,MATCH(L$27,产销汇总!$C$2:$C$8,0),$C$26)*(_xlfn.XLOOKUP(MAX(1,INT(C37/10-6/10)),组队产出!$B$24:$B$39,组队产出!$D$24:$D$39))+OFFSET(产销汇总!$C$1,MATCH(L$27,产销汇总!$C$2:$C$8,0),$C$26)*(_xlfn.XLOOKUP(MAX(1,INT(C37/10-6/10)),组队产出!$B$24:$B$39,组队产出!$C$24:$C$39))</f>
        <v>5016</v>
      </c>
      <c r="M37" s="80">
        <f ca="1">(OFFSET(产销汇总!$C$1,MATCH(M$27,产销汇总!$C$2:$C$8,0),$C$26)*_xlfn.XLOOKUP(C37,巡逻产出!$B$311:$B$610,巡逻产出!$D$311:$D$610))*$M$24</f>
        <v>6489.6</v>
      </c>
      <c r="N37" s="80">
        <f ca="1">OFFSET(产销汇总!$C$1,MATCH(L$27,产销汇总!$C$2:$C$8,0),$C$26)*(_xlfn.XLOOKUP(MAX(1,INT(C37/10-6/10)),组队产出!$B$24:$B$39,组队产出!$S$24:$S$39))</f>
        <v>6474</v>
      </c>
      <c r="O37" s="172">
        <f>任务!$D$36</f>
        <v>2457.14285714286</v>
      </c>
      <c r="P37" s="98">
        <f t="shared" si="7"/>
        <v>428</v>
      </c>
      <c r="Q37" s="80">
        <f t="shared" si="8"/>
        <v>1000</v>
      </c>
      <c r="R37" s="172">
        <f t="shared" si="9"/>
        <v>2000</v>
      </c>
      <c r="S37" s="210">
        <f ca="1">IFERROR(OFFSET(金币本!$E$2,MATCH(C37,金币本!$F$3:$F$302,1),0)*IF($C$26=1,2,3),0)</f>
        <v>15750</v>
      </c>
      <c r="T37" s="172">
        <f ca="1">SUM($J$28:S37)+SUM(D37:I37)</f>
        <v>926700.628571429</v>
      </c>
      <c r="U37" s="172">
        <f ca="1" t="shared" si="2"/>
        <v>926700.628571429</v>
      </c>
      <c r="V37" s="98">
        <f ca="1" t="shared" si="3"/>
        <v>953910</v>
      </c>
      <c r="W37" s="98">
        <f ca="1">OFFSET(装备强化!$U$6,MATCH(图纸产出设计!V38/6*W$26,装备强化!$T$7:$T$306,1),0)*6</f>
        <v>666000</v>
      </c>
      <c r="X37" s="98">
        <v>79910</v>
      </c>
      <c r="Y37" s="98">
        <f t="shared" si="10"/>
        <v>208000</v>
      </c>
      <c r="Z37" s="98">
        <f t="shared" ref="Z37:Z100" si="12">Z36</f>
        <v>2</v>
      </c>
      <c r="AA37" s="147">
        <f ca="1" t="shared" si="4"/>
        <v>0.97147595535368</v>
      </c>
      <c r="AB37" s="209">
        <f ca="1" t="shared" si="5"/>
        <v>-27209.3714285714</v>
      </c>
      <c r="AC37" s="209">
        <f ca="1">SUMIFS(装备强化!$Q$7:$Q$306,装备强化!$M$7:$M$306,"&lt;="&amp;MATCH(U37/6,装备强化!$U$7:$U$306,1),装备强化!$M$7:$M$306,"&gt;="&amp;MATCH(V37/6,装备强化!$U$7:$U$306,1))*6</f>
        <v>960</v>
      </c>
      <c r="AD37">
        <f ca="1" t="shared" si="11"/>
        <v>96</v>
      </c>
    </row>
    <row r="38" spans="1:30">
      <c r="A38" s="171"/>
      <c r="B38" s="80">
        <v>11</v>
      </c>
      <c r="C38" s="80">
        <f ca="1">OFFSET(产销汇总!$C$12,$B38,$C$26)</f>
        <v>73</v>
      </c>
      <c r="D38" s="80">
        <f t="shared" si="6"/>
        <v>14100</v>
      </c>
      <c r="E38" s="80">
        <f ca="1">(SUMIF(主线推图!$B$4:$B$303,"&lt;"&amp;C38,主线推图!$M$4:$M$303)+SUMIF(主线宝箱!$B$320:$B$620,"&lt;"&amp;C38,主线宝箱!$L$320:$L$620)+SUMIF(主线宝箱!$B$320:$B$620,"&lt;"&amp;C38,主线宝箱!$X$320:$X$620)+SUMIF(主线宝箱!$B$320:$B$620,"&lt;"&amp;C38,主线宝箱!$AL$320:$AL$620))</f>
        <v>126600</v>
      </c>
      <c r="F38" s="98">
        <f ca="1">SUMIF(组队产出!$B$24:$B$39,"&lt;="&amp;MAX(1,INT(C38/10-0.6)),组队产出!$R$24:$R$39)</f>
        <v>36000</v>
      </c>
      <c r="G38" s="80">
        <f ca="1">SUMIF(运营活动!$O$3:$O$27,"&lt;="&amp;C38,运营活动!$P$3:$P$27)</f>
        <v>18000</v>
      </c>
      <c r="H38" s="80">
        <f ca="1">OFFSET(产销汇总!$AM$12,B38,$C$26)*24</f>
        <v>99624</v>
      </c>
      <c r="I38" s="172">
        <f ca="1">SUMIF(金币本!$F$2:$F$52,"&lt;="&amp;C38,金币本!$D$2:$D$52)</f>
        <v>247000</v>
      </c>
      <c r="J38" s="80">
        <f ca="1">OFFSET(产销汇总!$C$1,MATCH(J$27,产销汇总!$C$2:$C$8,0),$C$26)*(_xlfn.XLOOKUP(C38,主线推图!$B$313:$B$612,主线推图!$C$313:$C$612)+_xlfn.XLOOKUP(C38,主线推图!$B$313:$B$612,主线推图!$D$313:$D$612))</f>
        <v>9328</v>
      </c>
      <c r="K38" s="80">
        <f ca="1">OFFSET(产销汇总!$C$1,MATCH(K$27,产销汇总!$C$2:$C$8,0),$C$26)*_xlfn.XLOOKUP(C38,巡逻产出!$B$311:$B$610,巡逻产出!$C$311:$C$610)*1.3</f>
        <v>0</v>
      </c>
      <c r="L38" s="80">
        <f ca="1">OFFSET(产销汇总!$C$1,MATCH(L$27,产销汇总!$C$2:$C$8,0),$C$26)*(_xlfn.XLOOKUP(MAX(1,INT(C38/10-6/10)),组队产出!$B$24:$B$39,组队产出!$D$24:$D$39))+OFFSET(产销汇总!$C$1,MATCH(L$27,产销汇总!$C$2:$C$8,0),$C$26)*(_xlfn.XLOOKUP(MAX(1,INT(C38/10-6/10)),组队产出!$B$24:$B$39,组队产出!$C$24:$C$39))</f>
        <v>5016</v>
      </c>
      <c r="M38" s="80">
        <f ca="1">(OFFSET(产销汇总!$C$1,MATCH(M$27,产销汇总!$C$2:$C$8,0),$C$26)*_xlfn.XLOOKUP(C38,巡逻产出!$B$311:$B$610,巡逻产出!$D$311:$D$610))*$M$24</f>
        <v>6614.4</v>
      </c>
      <c r="N38" s="80">
        <f ca="1">OFFSET(产销汇总!$C$1,MATCH(L$27,产销汇总!$C$2:$C$8,0),$C$26)*(_xlfn.XLOOKUP(MAX(1,INT(C38/10-6/10)),组队产出!$B$24:$B$39,组队产出!$S$24:$S$39))</f>
        <v>6474</v>
      </c>
      <c r="O38" s="172">
        <f>任务!$D$36</f>
        <v>2457.14285714286</v>
      </c>
      <c r="P38" s="98">
        <f t="shared" si="7"/>
        <v>428</v>
      </c>
      <c r="Q38" s="80">
        <f t="shared" si="8"/>
        <v>1000</v>
      </c>
      <c r="R38" s="172">
        <f t="shared" si="9"/>
        <v>2000</v>
      </c>
      <c r="S38" s="210">
        <f ca="1">IFERROR(OFFSET(金币本!$E$2,MATCH(C38,金币本!$F$3:$F$302,1),0)*IF($C$26=1,2,3),0)</f>
        <v>16500</v>
      </c>
      <c r="T38" s="172">
        <f ca="1">SUM($J$28:S38)+SUM(D38:I38)</f>
        <v>1014966.17142857</v>
      </c>
      <c r="U38" s="172">
        <f ca="1" t="shared" si="2"/>
        <v>1014966.17142857</v>
      </c>
      <c r="V38" s="98">
        <f ca="1" t="shared" si="3"/>
        <v>1057540</v>
      </c>
      <c r="W38" s="98">
        <f ca="1">OFFSET(装备强化!$U$6,MATCH(图纸产出设计!V39/6*W$26,装备强化!$T$7:$T$306,1),0)*6</f>
        <v>730800</v>
      </c>
      <c r="X38" s="98">
        <v>86740</v>
      </c>
      <c r="Y38" s="98">
        <f t="shared" si="10"/>
        <v>240000</v>
      </c>
      <c r="Z38" s="98">
        <f t="shared" si="12"/>
        <v>2</v>
      </c>
      <c r="AA38" s="147">
        <f ca="1" t="shared" si="4"/>
        <v>0.95974258319172</v>
      </c>
      <c r="AB38" s="209">
        <f ca="1" t="shared" si="5"/>
        <v>-42573.8285714285</v>
      </c>
      <c r="AC38" s="209">
        <f ca="1">SUMIFS(装备强化!$Q$7:$Q$306,装备强化!$M$7:$M$306,"&lt;="&amp;MATCH(U38/6,装备强化!$U$7:$U$306,1),装备强化!$M$7:$M$306,"&gt;="&amp;MATCH(V38/6,装备强化!$U$7:$U$306,1))*6</f>
        <v>0</v>
      </c>
      <c r="AD38">
        <f ca="1" t="shared" si="11"/>
        <v>0</v>
      </c>
    </row>
    <row r="39" spans="1:30">
      <c r="A39" s="171"/>
      <c r="B39" s="80">
        <v>12</v>
      </c>
      <c r="C39" s="80">
        <f ca="1">OFFSET(产销汇总!$C$12,$B39,$C$26)</f>
        <v>75</v>
      </c>
      <c r="D39" s="80">
        <f t="shared" si="6"/>
        <v>14100</v>
      </c>
      <c r="E39" s="80">
        <f ca="1">(SUMIF(主线推图!$B$4:$B$303,"&lt;"&amp;C39,主线推图!$M$4:$M$303)+SUMIF(主线宝箱!$B$320:$B$620,"&lt;"&amp;C39,主线宝箱!$L$320:$L$620)+SUMIF(主线宝箱!$B$320:$B$620,"&lt;"&amp;C39,主线宝箱!$X$320:$X$620)+SUMIF(主线宝箱!$B$320:$B$620,"&lt;"&amp;C39,主线宝箱!$AL$320:$AL$620))</f>
        <v>130200</v>
      </c>
      <c r="F39" s="98">
        <f ca="1">SUMIF(组队产出!$B$24:$B$39,"&lt;="&amp;MAX(1,INT(C39/10-0.6)),组队产出!$R$24:$R$39)</f>
        <v>36000</v>
      </c>
      <c r="G39" s="80">
        <f ca="1">SUMIF(运营活动!$O$3:$O$27,"&lt;="&amp;C39,运营活动!$P$3:$P$27)</f>
        <v>18000</v>
      </c>
      <c r="H39" s="80">
        <f ca="1">OFFSET(产销汇总!$AM$12,B39,$C$26)*24</f>
        <v>106872</v>
      </c>
      <c r="I39" s="172">
        <f ca="1">SUMIF(金币本!$F$2:$F$52,"&lt;="&amp;C39,金币本!$D$2:$D$52)</f>
        <v>270000</v>
      </c>
      <c r="J39" s="80">
        <f ca="1">OFFSET(产销汇总!$C$1,MATCH(J$27,产销汇总!$C$2:$C$8,0),$C$26)*(_xlfn.XLOOKUP(C39,主线推图!$B$313:$B$612,主线推图!$C$313:$C$612)+_xlfn.XLOOKUP(C39,主线推图!$B$313:$B$612,主线推图!$D$313:$D$612))</f>
        <v>9416</v>
      </c>
      <c r="K39" s="80">
        <f ca="1">OFFSET(产销汇总!$C$1,MATCH(K$27,产销汇总!$C$2:$C$8,0),$C$26)*_xlfn.XLOOKUP(C39,巡逻产出!$B$311:$B$610,巡逻产出!$C$311:$C$610)*1.3</f>
        <v>0</v>
      </c>
      <c r="L39" s="80">
        <f ca="1">OFFSET(产销汇总!$C$1,MATCH(L$27,产销汇总!$C$2:$C$8,0),$C$26)*(_xlfn.XLOOKUP(MAX(1,INT(C39/10-6/10)),组队产出!$B$24:$B$39,组队产出!$D$24:$D$39))+OFFSET(产销汇总!$C$1,MATCH(L$27,产销汇总!$C$2:$C$8,0),$C$26)*(_xlfn.XLOOKUP(MAX(1,INT(C39/10-6/10)),组队产出!$B$24:$B$39,组队产出!$C$24:$C$39))</f>
        <v>5016</v>
      </c>
      <c r="M39" s="80">
        <f ca="1">(OFFSET(产销汇总!$C$1,MATCH(M$27,产销汇总!$C$2:$C$8,0),$C$26)*_xlfn.XLOOKUP(C39,巡逻产出!$B$311:$B$610,巡逻产出!$D$311:$D$610))*$M$24</f>
        <v>6676.8</v>
      </c>
      <c r="N39" s="80">
        <f ca="1">OFFSET(产销汇总!$C$1,MATCH(L$27,产销汇总!$C$2:$C$8,0),$C$26)*(_xlfn.XLOOKUP(MAX(1,INT(C39/10-6/10)),组队产出!$B$24:$B$39,组队产出!$S$24:$S$39))</f>
        <v>6474</v>
      </c>
      <c r="O39" s="172">
        <f>任务!$D$36</f>
        <v>2457.14285714286</v>
      </c>
      <c r="P39" s="98">
        <f t="shared" si="7"/>
        <v>428</v>
      </c>
      <c r="Q39" s="80">
        <f t="shared" si="8"/>
        <v>1000</v>
      </c>
      <c r="R39" s="172">
        <f t="shared" si="9"/>
        <v>2000</v>
      </c>
      <c r="S39" s="210">
        <f ca="1">IFERROR(OFFSET(金币本!$E$2,MATCH(C39,金币本!$F$3:$F$302,1),0)*IF($C$26=1,2,3),0)</f>
        <v>17250</v>
      </c>
      <c r="T39" s="172">
        <f ca="1">SUM($J$28:S39)+SUM(D39:I39)</f>
        <v>1099532.11428571</v>
      </c>
      <c r="U39" s="172">
        <f ca="1" t="shared" si="2"/>
        <v>1099532.11428571</v>
      </c>
      <c r="V39" s="98">
        <f ca="1" t="shared" si="3"/>
        <v>1129050</v>
      </c>
      <c r="W39" s="98">
        <f ca="1">OFFSET(装备强化!$U$6,MATCH(图纸产出设计!V40/6*W$26,装备强化!$T$7:$T$306,1),0)*6</f>
        <v>763200</v>
      </c>
      <c r="X39" s="98">
        <v>93850</v>
      </c>
      <c r="Y39" s="98">
        <f t="shared" si="10"/>
        <v>272000</v>
      </c>
      <c r="Z39" s="98">
        <f t="shared" si="12"/>
        <v>2</v>
      </c>
      <c r="AA39" s="147">
        <f ca="1" t="shared" si="4"/>
        <v>0.973855997773096</v>
      </c>
      <c r="AB39" s="209">
        <f ca="1" t="shared" si="5"/>
        <v>-29517.8857142858</v>
      </c>
      <c r="AC39" s="209">
        <f ca="1">SUMIFS(装备强化!$Q$7:$Q$306,装备强化!$M$7:$M$306,"&lt;="&amp;MATCH(U39/6,装备强化!$U$7:$U$306,1),装备强化!$M$7:$M$306,"&gt;="&amp;MATCH(V39/6,装备强化!$U$7:$U$306,1))*6</f>
        <v>1056</v>
      </c>
      <c r="AD39">
        <f ca="1" t="shared" si="11"/>
        <v>88</v>
      </c>
    </row>
    <row r="40" spans="1:30">
      <c r="A40" s="171"/>
      <c r="B40" s="80">
        <v>13</v>
      </c>
      <c r="C40" s="80">
        <f ca="1">OFFSET(产销汇总!$C$12,$B40,$C$26)</f>
        <v>77</v>
      </c>
      <c r="D40" s="80">
        <f t="shared" si="6"/>
        <v>14100</v>
      </c>
      <c r="E40" s="80">
        <f ca="1">(SUMIF(主线推图!$B$4:$B$303,"&lt;"&amp;C40,主线推图!$M$4:$M$303)+SUMIF(主线宝箱!$B$320:$B$620,"&lt;"&amp;C40,主线宝箱!$L$320:$L$620)+SUMIF(主线宝箱!$B$320:$B$620,"&lt;"&amp;C40,主线宝箱!$X$320:$X$620)+SUMIF(主线宝箱!$B$320:$B$620,"&lt;"&amp;C40,主线宝箱!$AL$320:$AL$620))</f>
        <v>133800</v>
      </c>
      <c r="F40" s="98">
        <f ca="1">SUMIF(组队产出!$B$24:$B$39,"&lt;="&amp;MAX(1,INT(C40/10-0.6)),组队产出!$R$24:$R$39)</f>
        <v>45000</v>
      </c>
      <c r="G40" s="80">
        <f ca="1">SUMIF(运营活动!$O$3:$O$27,"&lt;="&amp;C40,运营活动!$P$3:$P$27)</f>
        <v>20000</v>
      </c>
      <c r="H40" s="80">
        <f ca="1">OFFSET(产销汇总!$AM$12,B40,$C$26)*24</f>
        <v>114120</v>
      </c>
      <c r="I40" s="172">
        <f ca="1">SUMIF(金币本!$F$2:$F$52,"&lt;="&amp;C40,金币本!$D$2:$D$52)</f>
        <v>270000</v>
      </c>
      <c r="J40" s="80">
        <f ca="1">OFFSET(产销汇总!$C$1,MATCH(J$27,产销汇总!$C$2:$C$8,0),$C$26)*(_xlfn.XLOOKUP(C40,主线推图!$B$313:$B$612,主线推图!$C$313:$C$612)+_xlfn.XLOOKUP(C40,主线推图!$B$313:$B$612,主线推图!$D$313:$D$612))</f>
        <v>9504</v>
      </c>
      <c r="K40" s="80">
        <f ca="1">OFFSET(产销汇总!$C$1,MATCH(K$27,产销汇总!$C$2:$C$8,0),$C$26)*_xlfn.XLOOKUP(C40,巡逻产出!$B$311:$B$610,巡逻产出!$C$311:$C$610)*1.3</f>
        <v>0</v>
      </c>
      <c r="L40" s="80">
        <f ca="1">OFFSET(产销汇总!$C$1,MATCH(L$27,产销汇总!$C$2:$C$8,0),$C$26)*(_xlfn.XLOOKUP(MAX(1,INT(C40/10-6/10)),组队产出!$B$24:$B$39,组队产出!$D$24:$D$39))+OFFSET(产销汇总!$C$1,MATCH(L$27,产销汇总!$C$2:$C$8,0),$C$26)*(_xlfn.XLOOKUP(MAX(1,INT(C40/10-6/10)),组队产出!$B$24:$B$39,组队产出!$C$24:$C$39))</f>
        <v>5256</v>
      </c>
      <c r="M40" s="80">
        <f ca="1">(OFFSET(产销汇总!$C$1,MATCH(M$27,产销汇总!$C$2:$C$8,0),$C$26)*_xlfn.XLOOKUP(C40,巡逻产出!$B$311:$B$610,巡逻产出!$D$311:$D$610))*$M$24</f>
        <v>6739.2</v>
      </c>
      <c r="N40" s="80">
        <f ca="1">OFFSET(产销汇总!$C$1,MATCH(L$27,产销汇总!$C$2:$C$8,0),$C$26)*(_xlfn.XLOOKUP(MAX(1,INT(C40/10-6/10)),组队产出!$B$24:$B$39,组队产出!$S$24:$S$39))</f>
        <v>8268</v>
      </c>
      <c r="O40" s="172">
        <f>任务!$D$36</f>
        <v>2457.14285714286</v>
      </c>
      <c r="P40" s="98">
        <f t="shared" si="7"/>
        <v>428</v>
      </c>
      <c r="Q40" s="80">
        <f t="shared" si="8"/>
        <v>1000</v>
      </c>
      <c r="R40" s="172">
        <f t="shared" si="9"/>
        <v>2000</v>
      </c>
      <c r="S40" s="210">
        <f ca="1">IFERROR(OFFSET(金币本!$E$2,MATCH(C40,金币本!$F$3:$F$302,1),0)*IF($C$26=1,2,3),0)</f>
        <v>17250</v>
      </c>
      <c r="T40" s="172">
        <f ca="1">SUM($J$28:S40)+SUM(D40:I40)</f>
        <v>1174282.45714286</v>
      </c>
      <c r="U40" s="172">
        <f ca="1" t="shared" si="2"/>
        <v>1174282.45714286</v>
      </c>
      <c r="V40" s="98">
        <f ca="1" t="shared" si="3"/>
        <v>1240440</v>
      </c>
      <c r="W40" s="98">
        <f ca="1">OFFSET(装备强化!$U$6,MATCH(图纸产出设计!V41/6*W$26,装备强化!$T$7:$T$306,1),0)*6</f>
        <v>835200</v>
      </c>
      <c r="X40" s="98">
        <v>101240</v>
      </c>
      <c r="Y40" s="98">
        <f t="shared" si="10"/>
        <v>304000</v>
      </c>
      <c r="Z40" s="98">
        <f t="shared" si="12"/>
        <v>2</v>
      </c>
      <c r="AA40" s="147">
        <f ca="1" t="shared" si="4"/>
        <v>0.946666067800826</v>
      </c>
      <c r="AB40" s="209">
        <f ca="1" t="shared" si="5"/>
        <v>-66157.5428571431</v>
      </c>
      <c r="AC40" s="209">
        <f ca="1">SUMIFS(装备强化!$Q$7:$Q$306,装备强化!$M$7:$M$306,"&lt;="&amp;MATCH(U40/6,装备强化!$U$7:$U$306,1),装备强化!$M$7:$M$306,"&gt;="&amp;MATCH(V40/6,装备强化!$U$7:$U$306,1))*6</f>
        <v>0</v>
      </c>
      <c r="AD40">
        <f ca="1" t="shared" si="11"/>
        <v>0</v>
      </c>
    </row>
    <row r="41" spans="1:30">
      <c r="A41" s="171"/>
      <c r="B41" s="80">
        <v>14</v>
      </c>
      <c r="C41" s="80">
        <f ca="1">OFFSET(产销汇总!$C$12,$B41,$C$26)</f>
        <v>80</v>
      </c>
      <c r="D41" s="80">
        <f t="shared" si="6"/>
        <v>14100</v>
      </c>
      <c r="E41" s="80">
        <f ca="1">(SUMIF(主线推图!$B$4:$B$303,"&lt;"&amp;C41,主线推图!$M$4:$M$303)+SUMIF(主线宝箱!$B$320:$B$620,"&lt;"&amp;C41,主线宝箱!$L$320:$L$620)+SUMIF(主线宝箱!$B$320:$B$620,"&lt;"&amp;C41,主线宝箱!$X$320:$X$620)+SUMIF(主线宝箱!$B$320:$B$620,"&lt;"&amp;C41,主线宝箱!$AL$320:$AL$620))</f>
        <v>139200</v>
      </c>
      <c r="F41" s="98">
        <f ca="1">SUMIF(组队产出!$B$24:$B$39,"&lt;="&amp;MAX(1,INT(C41/10-0.6)),组队产出!$R$24:$R$39)</f>
        <v>45000</v>
      </c>
      <c r="G41" s="80">
        <f ca="1">SUMIF(运营活动!$O$3:$O$27,"&lt;="&amp;C41,运营活动!$P$3:$P$27)</f>
        <v>20000</v>
      </c>
      <c r="H41" s="80">
        <f ca="1">OFFSET(产销汇总!$AM$12,B41,$C$26)*24</f>
        <v>121392</v>
      </c>
      <c r="I41" s="172">
        <f ca="1">SUMIF(金币本!$F$2:$F$52,"&lt;="&amp;C41,金币本!$D$2:$D$52)</f>
        <v>294000</v>
      </c>
      <c r="J41" s="80">
        <f ca="1">OFFSET(产销汇总!$C$1,MATCH(J$27,产销汇总!$C$2:$C$8,0),$C$26)*(_xlfn.XLOOKUP(C41,主线推图!$B$313:$B$612,主线推图!$C$313:$C$612)+_xlfn.XLOOKUP(C41,主线推图!$B$313:$B$612,主线推图!$D$313:$D$612))</f>
        <v>9636</v>
      </c>
      <c r="K41" s="80">
        <f ca="1">OFFSET(产销汇总!$C$1,MATCH(K$27,产销汇总!$C$2:$C$8,0),$C$26)*_xlfn.XLOOKUP(C41,巡逻产出!$B$311:$B$610,巡逻产出!$C$311:$C$610)*1.3</f>
        <v>0</v>
      </c>
      <c r="L41" s="80">
        <f ca="1">OFFSET(产销汇总!$C$1,MATCH(L$27,产销汇总!$C$2:$C$8,0),$C$26)*(_xlfn.XLOOKUP(MAX(1,INT(C41/10-6/10)),组队产出!$B$24:$B$39,组队产出!$D$24:$D$39))+OFFSET(产销汇总!$C$1,MATCH(L$27,产销汇总!$C$2:$C$8,0),$C$26)*(_xlfn.XLOOKUP(MAX(1,INT(C41/10-6/10)),组队产出!$B$24:$B$39,组队产出!$C$24:$C$39))</f>
        <v>5256</v>
      </c>
      <c r="M41" s="80">
        <f ca="1">(OFFSET(产销汇总!$C$1,MATCH(M$27,产销汇总!$C$2:$C$8,0),$C$26)*_xlfn.XLOOKUP(C41,巡逻产出!$B$311:$B$610,巡逻产出!$D$311:$D$610))*$M$24</f>
        <v>6832.8</v>
      </c>
      <c r="N41" s="80">
        <f ca="1">OFFSET(产销汇总!$C$1,MATCH(L$27,产销汇总!$C$2:$C$8,0),$C$26)*(_xlfn.XLOOKUP(MAX(1,INT(C41/10-6/10)),组队产出!$B$24:$B$39,组队产出!$S$24:$S$39))</f>
        <v>8268</v>
      </c>
      <c r="O41" s="172">
        <f>任务!$D$36</f>
        <v>2457.14285714286</v>
      </c>
      <c r="P41" s="98">
        <f t="shared" si="7"/>
        <v>428</v>
      </c>
      <c r="Q41" s="80">
        <f t="shared" si="8"/>
        <v>1000</v>
      </c>
      <c r="R41" s="172">
        <f t="shared" si="9"/>
        <v>2000</v>
      </c>
      <c r="S41" s="210">
        <f ca="1">IFERROR(OFFSET(金币本!$E$2,MATCH(C41,金币本!$F$3:$F$302,1),0)*IF($C$26=1,2,3),0)</f>
        <v>18000</v>
      </c>
      <c r="T41" s="172">
        <f ca="1">SUM($J$28:S41)+SUM(D41:I41)</f>
        <v>1264832.4</v>
      </c>
      <c r="U41" s="172">
        <f ca="1" t="shared" si="2"/>
        <v>1264832.4</v>
      </c>
      <c r="V41" s="98">
        <f ca="1" t="shared" si="3"/>
        <v>1319710</v>
      </c>
      <c r="W41" s="98">
        <f ca="1">OFFSET(装备强化!$U$6,MATCH(图纸产出设计!V42/6*W$26,装备强化!$T$7:$T$306,1),0)*6</f>
        <v>874800</v>
      </c>
      <c r="X41" s="98">
        <v>108910</v>
      </c>
      <c r="Y41" s="98">
        <f t="shared" si="10"/>
        <v>336000</v>
      </c>
      <c r="Z41" s="98">
        <f t="shared" si="12"/>
        <v>2</v>
      </c>
      <c r="AA41" s="147">
        <f ca="1" t="shared" si="4"/>
        <v>0.958416924930477</v>
      </c>
      <c r="AB41" s="209">
        <f ca="1" t="shared" si="5"/>
        <v>-54877.6000000001</v>
      </c>
      <c r="AC41" s="209">
        <f ca="1">SUMIFS(装备强化!$Q$7:$Q$306,装备强化!$M$7:$M$306,"&lt;="&amp;MATCH(U41/6,装备强化!$U$7:$U$306,1),装备强化!$M$7:$M$306,"&gt;="&amp;MATCH(V41/6,装备强化!$U$7:$U$306,1))*6</f>
        <v>0</v>
      </c>
      <c r="AD41">
        <f ca="1" t="shared" si="11"/>
        <v>0</v>
      </c>
    </row>
    <row r="42" spans="1:30">
      <c r="A42" s="171"/>
      <c r="B42" s="80">
        <v>15</v>
      </c>
      <c r="C42" s="80">
        <f ca="1">OFFSET(产销汇总!$C$12,$B42,$C$26)</f>
        <v>81.5</v>
      </c>
      <c r="D42" s="80">
        <f t="shared" si="6"/>
        <v>14100</v>
      </c>
      <c r="E42" s="80">
        <f ca="1">(SUMIF(主线推图!$B$4:$B$303,"&lt;"&amp;C42,主线推图!$M$4:$M$303)+SUMIF(主线宝箱!$B$320:$B$620,"&lt;"&amp;C42,主线宝箱!$L$320:$L$620)+SUMIF(主线宝箱!$B$320:$B$620,"&lt;"&amp;C42,主线宝箱!$X$320:$X$620)+SUMIF(主线宝箱!$B$320:$B$620,"&lt;"&amp;C42,主线宝箱!$AL$320:$AL$620))</f>
        <v>142800</v>
      </c>
      <c r="F42" s="98">
        <f ca="1">SUMIF(组队产出!$B$24:$B$39,"&lt;="&amp;MAX(1,INT(C42/10-0.6)),组队产出!$R$24:$R$39)</f>
        <v>45000</v>
      </c>
      <c r="G42" s="80">
        <f ca="1">SUMIF(运营活动!$O$3:$O$27,"&lt;="&amp;C42,运营活动!$P$3:$P$27)</f>
        <v>20000</v>
      </c>
      <c r="H42" s="80">
        <f ca="1">OFFSET(产销汇总!$AM$12,B42,$C$26)*24</f>
        <v>128640</v>
      </c>
      <c r="I42" s="172">
        <f ca="1">SUMIF(金币本!$F$2:$F$52,"&lt;="&amp;C42,金币本!$D$2:$D$52)</f>
        <v>294000</v>
      </c>
      <c r="J42" s="80" t="e">
        <f ca="1">OFFSET(产销汇总!$C$1,MATCH(J$27,产销汇总!$C$2:$C$8,0),$C$26)*(_xlfn.XLOOKUP(C42,主线推图!$B$313:$B$612,主线推图!$C$313:$C$612)+_xlfn.XLOOKUP(C42,主线推图!$B$313:$B$612,主线推图!$D$313:$D$612))</f>
        <v>#N/A</v>
      </c>
      <c r="K42" s="80" t="e">
        <f ca="1">OFFSET(产销汇总!$C$1,MATCH(K$27,产销汇总!$C$2:$C$8,0),$C$26)*_xlfn.XLOOKUP(C42,巡逻产出!$B$311:$B$610,巡逻产出!$C$311:$C$610)*1.3</f>
        <v>#N/A</v>
      </c>
      <c r="L42" s="80">
        <f ca="1">OFFSET(产销汇总!$C$1,MATCH(L$27,产销汇总!$C$2:$C$8,0),$C$26)*(_xlfn.XLOOKUP(MAX(1,INT(C42/10-6/10)),组队产出!$B$24:$B$39,组队产出!$D$24:$D$39))+OFFSET(产销汇总!$C$1,MATCH(L$27,产销汇总!$C$2:$C$8,0),$C$26)*(_xlfn.XLOOKUP(MAX(1,INT(C42/10-6/10)),组队产出!$B$24:$B$39,组队产出!$C$24:$C$39))</f>
        <v>5256</v>
      </c>
      <c r="M42" s="80" t="e">
        <f ca="1">(OFFSET(产销汇总!$C$1,MATCH(M$27,产销汇总!$C$2:$C$8,0),$C$26)*_xlfn.XLOOKUP(C42,巡逻产出!$B$311:$B$610,巡逻产出!$D$311:$D$610))*$M$24</f>
        <v>#N/A</v>
      </c>
      <c r="N42" s="80">
        <f ca="1">OFFSET(产销汇总!$C$1,MATCH(L$27,产销汇总!$C$2:$C$8,0),$C$26)*(_xlfn.XLOOKUP(MAX(1,INT(C42/10-6/10)),组队产出!$B$24:$B$39,组队产出!$S$24:$S$39))</f>
        <v>8268</v>
      </c>
      <c r="O42" s="172">
        <f>任务!$D$36</f>
        <v>2457.14285714286</v>
      </c>
      <c r="P42" s="98">
        <f t="shared" si="7"/>
        <v>428</v>
      </c>
      <c r="Q42" s="80">
        <f t="shared" si="8"/>
        <v>1500</v>
      </c>
      <c r="R42" s="172">
        <f t="shared" si="9"/>
        <v>2000</v>
      </c>
      <c r="S42" s="210">
        <f ca="1">IFERROR(OFFSET(金币本!$E$2,MATCH(C42,金币本!$F$3:$F$302,1),0)*IF($C$26=1,2,3),0)</f>
        <v>18000</v>
      </c>
      <c r="T42" s="172" t="e">
        <f ca="1">SUM($J$28:S42)+SUM(D42:I42)</f>
        <v>#N/A</v>
      </c>
      <c r="U42" s="172" t="e">
        <f ca="1" t="shared" si="2"/>
        <v>#N/A</v>
      </c>
      <c r="V42" s="98" t="e">
        <f ca="1" t="shared" si="3"/>
        <v>#N/A</v>
      </c>
      <c r="W42" s="98" t="e">
        <f ca="1">OFFSET(装备强化!$U$6,MATCH(图纸产出设计!V43/6*W$26,装备强化!$T$7:$T$306,1),0)*6</f>
        <v>#N/A</v>
      </c>
      <c r="X42" s="98">
        <v>112850</v>
      </c>
      <c r="Y42" s="98">
        <f t="shared" si="10"/>
        <v>368000</v>
      </c>
      <c r="Z42" s="98">
        <f t="shared" si="12"/>
        <v>2</v>
      </c>
      <c r="AA42" s="147" t="e">
        <f ca="1" t="shared" si="4"/>
        <v>#N/A</v>
      </c>
      <c r="AB42" s="209" t="e">
        <f ca="1" t="shared" si="5"/>
        <v>#N/A</v>
      </c>
      <c r="AC42" s="209">
        <f ca="1">SUMIFS(装备强化!$Q$7:$Q$306,装备强化!$M$7:$M$306,"&lt;="&amp;MATCH(U42/6,装备强化!$U$7:$U$306,1),装备强化!$M$7:$M$306,"&gt;="&amp;MATCH(V42/6,装备强化!$U$7:$U$306,1))*6</f>
        <v>0</v>
      </c>
      <c r="AD42">
        <f ca="1" t="shared" si="11"/>
        <v>0</v>
      </c>
    </row>
    <row r="43" spans="1:30">
      <c r="A43" s="171"/>
      <c r="B43" s="80">
        <v>16</v>
      </c>
      <c r="C43" s="80">
        <f ca="1">OFFSET(产销汇总!$C$12,$B43,$C$26)</f>
        <v>83</v>
      </c>
      <c r="D43" s="80">
        <f t="shared" si="6"/>
        <v>14100</v>
      </c>
      <c r="E43" s="80">
        <f ca="1">(SUMIF(主线推图!$B$4:$B$303,"&lt;"&amp;C43,主线推图!$M$4:$M$303)+SUMIF(主线宝箱!$B$320:$B$620,"&lt;"&amp;C43,主线宝箱!$L$320:$L$620)+SUMIF(主线宝箱!$B$320:$B$620,"&lt;"&amp;C43,主线宝箱!$X$320:$X$620)+SUMIF(主线宝箱!$B$320:$B$620,"&lt;"&amp;C43,主线宝箱!$AL$320:$AL$620))</f>
        <v>144600</v>
      </c>
      <c r="F43" s="98">
        <f ca="1">SUMIF(组队产出!$B$24:$B$39,"&lt;="&amp;MAX(1,INT(C43/10-0.6)),组队产出!$R$24:$R$39)</f>
        <v>45000</v>
      </c>
      <c r="G43" s="80">
        <f ca="1">SUMIF(运营活动!$O$3:$O$27,"&lt;="&amp;C43,运营活动!$P$3:$P$27)</f>
        <v>20000</v>
      </c>
      <c r="H43" s="80">
        <f ca="1">OFFSET(产销汇总!$AM$12,B43,$C$26)*24</f>
        <v>135888</v>
      </c>
      <c r="I43" s="172">
        <f ca="1">SUMIF(金币本!$F$2:$F$52,"&lt;="&amp;C43,金币本!$D$2:$D$52)</f>
        <v>319000</v>
      </c>
      <c r="J43" s="80">
        <f ca="1">OFFSET(产销汇总!$C$1,MATCH(J$27,产销汇总!$C$2:$C$8,0),$C$26)*(_xlfn.XLOOKUP(C43,主线推图!$B$313:$B$612,主线推图!$C$313:$C$612)+_xlfn.XLOOKUP(C43,主线推图!$B$313:$B$612,主线推图!$D$313:$D$612))</f>
        <v>9768</v>
      </c>
      <c r="K43" s="80">
        <f ca="1">OFFSET(产销汇总!$C$1,MATCH(K$27,产销汇总!$C$2:$C$8,0),$C$26)*_xlfn.XLOOKUP(C43,巡逻产出!$B$311:$B$610,巡逻产出!$C$311:$C$610)*1.3</f>
        <v>0</v>
      </c>
      <c r="L43" s="80">
        <f ca="1">OFFSET(产销汇总!$C$1,MATCH(L$27,产销汇总!$C$2:$C$8,0),$C$26)*(_xlfn.XLOOKUP(MAX(1,INT(C43/10-6/10)),组队产出!$B$24:$B$39,组队产出!$D$24:$D$39))+OFFSET(产销汇总!$C$1,MATCH(L$27,产销汇总!$C$2:$C$8,0),$C$26)*(_xlfn.XLOOKUP(MAX(1,INT(C43/10-6/10)),组队产出!$B$24:$B$39,组队产出!$C$24:$C$39))</f>
        <v>5256</v>
      </c>
      <c r="M43" s="80">
        <f ca="1">(OFFSET(产销汇总!$C$1,MATCH(M$27,产销汇总!$C$2:$C$8,0),$C$26)*_xlfn.XLOOKUP(C43,巡逻产出!$B$311:$B$610,巡逻产出!$D$311:$D$610))*$M$24</f>
        <v>6926.4</v>
      </c>
      <c r="N43" s="80">
        <f ca="1">OFFSET(产销汇总!$C$1,MATCH(L$27,产销汇总!$C$2:$C$8,0),$C$26)*(_xlfn.XLOOKUP(MAX(1,INT(C43/10-6/10)),组队产出!$B$24:$B$39,组队产出!$S$24:$S$39))</f>
        <v>8268</v>
      </c>
      <c r="O43" s="172">
        <f>任务!$D$36</f>
        <v>2457.14285714286</v>
      </c>
      <c r="P43" s="98">
        <f t="shared" si="7"/>
        <v>428</v>
      </c>
      <c r="Q43" s="80">
        <f t="shared" si="8"/>
        <v>1000</v>
      </c>
      <c r="R43" s="172">
        <f t="shared" si="9"/>
        <v>2000</v>
      </c>
      <c r="S43" s="210">
        <f ca="1">IFERROR(OFFSET(金币本!$E$2,MATCH(C43,金币本!$F$3:$F$302,1),0)*IF($C$26=1,2,3),0)</f>
        <v>18750</v>
      </c>
      <c r="T43" s="172" t="e">
        <f ca="1">SUM($J$28:S43)+SUM(D43:I43)</f>
        <v>#N/A</v>
      </c>
      <c r="U43" s="172" t="e">
        <f ca="1" t="shared" si="2"/>
        <v>#N/A</v>
      </c>
      <c r="V43" s="98" t="e">
        <f ca="1" t="shared" si="3"/>
        <v>#N/A</v>
      </c>
      <c r="W43" s="98" t="e">
        <f ca="1">OFFSET(装备强化!$U$6,MATCH(图纸产出设计!V44/6*W$26,装备强化!$T$7:$T$306,1),0)*6</f>
        <v>#N/A</v>
      </c>
      <c r="X43" s="98">
        <v>116860</v>
      </c>
      <c r="Y43" s="98">
        <f t="shared" si="10"/>
        <v>400000</v>
      </c>
      <c r="Z43" s="98">
        <f t="shared" si="12"/>
        <v>2</v>
      </c>
      <c r="AA43" s="147" t="e">
        <f ca="1" t="shared" si="4"/>
        <v>#N/A</v>
      </c>
      <c r="AB43" s="209" t="e">
        <f ca="1" t="shared" si="5"/>
        <v>#N/A</v>
      </c>
      <c r="AC43" s="209">
        <f ca="1">SUMIFS(装备强化!$Q$7:$Q$306,装备强化!$M$7:$M$306,"&lt;="&amp;MATCH(U43/6,装备强化!$U$7:$U$306,1),装备强化!$M$7:$M$306,"&gt;="&amp;MATCH(V43/6,装备强化!$U$7:$U$306,1))*6</f>
        <v>0</v>
      </c>
      <c r="AD43">
        <f ca="1" t="shared" si="11"/>
        <v>0</v>
      </c>
    </row>
    <row r="44" spans="1:30">
      <c r="A44" s="171"/>
      <c r="B44" s="80">
        <v>17</v>
      </c>
      <c r="C44" s="80">
        <f ca="1">OFFSET(产销汇总!$C$12,$B44,$C$26)</f>
        <v>84.5</v>
      </c>
      <c r="D44" s="80">
        <f t="shared" si="6"/>
        <v>14100</v>
      </c>
      <c r="E44" s="80">
        <f ca="1">(SUMIF(主线推图!$B$4:$B$303,"&lt;"&amp;C44,主线推图!$M$4:$M$303)+SUMIF(主线宝箱!$B$320:$B$620,"&lt;"&amp;C44,主线宝箱!$L$320:$L$620)+SUMIF(主线宝箱!$B$320:$B$620,"&lt;"&amp;C44,主线宝箱!$X$320:$X$620)+SUMIF(主线宝箱!$B$320:$B$620,"&lt;"&amp;C44,主线宝箱!$AL$320:$AL$620))</f>
        <v>148200</v>
      </c>
      <c r="F44" s="98">
        <f ca="1">SUMIF(组队产出!$B$24:$B$39,"&lt;="&amp;MAX(1,INT(C44/10-0.6)),组队产出!$R$24:$R$39)</f>
        <v>45000</v>
      </c>
      <c r="G44" s="80">
        <f ca="1">SUMIF(运营活动!$O$3:$O$27,"&lt;="&amp;C44,运营活动!$P$3:$P$27)</f>
        <v>22500</v>
      </c>
      <c r="H44" s="80">
        <f ca="1">OFFSET(产销汇总!$AM$12,B44,$C$26)*24</f>
        <v>143136</v>
      </c>
      <c r="I44" s="172">
        <f ca="1">SUMIF(金币本!$F$2:$F$52,"&lt;="&amp;C44,金币本!$D$2:$D$52)</f>
        <v>319000</v>
      </c>
      <c r="J44" s="80" t="e">
        <f ca="1">OFFSET(产销汇总!$C$1,MATCH(J$27,产销汇总!$C$2:$C$8,0),$C$26)*(_xlfn.XLOOKUP(C44,主线推图!$B$313:$B$612,主线推图!$C$313:$C$612)+_xlfn.XLOOKUP(C44,主线推图!$B$313:$B$612,主线推图!$D$313:$D$612))</f>
        <v>#N/A</v>
      </c>
      <c r="K44" s="80" t="e">
        <f ca="1">OFFSET(产销汇总!$C$1,MATCH(K$27,产销汇总!$C$2:$C$8,0),$C$26)*_xlfn.XLOOKUP(C44,巡逻产出!$B$311:$B$610,巡逻产出!$C$311:$C$610)*1.3</f>
        <v>#N/A</v>
      </c>
      <c r="L44" s="80">
        <f ca="1">OFFSET(产销汇总!$C$1,MATCH(L$27,产销汇总!$C$2:$C$8,0),$C$26)*(_xlfn.XLOOKUP(MAX(1,INT(C44/10-6/10)),组队产出!$B$24:$B$39,组队产出!$D$24:$D$39))+OFFSET(产销汇总!$C$1,MATCH(L$27,产销汇总!$C$2:$C$8,0),$C$26)*(_xlfn.XLOOKUP(MAX(1,INT(C44/10-6/10)),组队产出!$B$24:$B$39,组队产出!$C$24:$C$39))</f>
        <v>5256</v>
      </c>
      <c r="M44" s="80" t="e">
        <f ca="1">(OFFSET(产销汇总!$C$1,MATCH(M$27,产销汇总!$C$2:$C$8,0),$C$26)*_xlfn.XLOOKUP(C44,巡逻产出!$B$311:$B$610,巡逻产出!$D$311:$D$610))*$M$24</f>
        <v>#N/A</v>
      </c>
      <c r="N44" s="80">
        <f ca="1">OFFSET(产销汇总!$C$1,MATCH(L$27,产销汇总!$C$2:$C$8,0),$C$26)*(_xlfn.XLOOKUP(MAX(1,INT(C44/10-6/10)),组队产出!$B$24:$B$39,组队产出!$S$24:$S$39))</f>
        <v>8268</v>
      </c>
      <c r="O44" s="172">
        <f>任务!$D$36</f>
        <v>2457.14285714286</v>
      </c>
      <c r="P44" s="98">
        <f t="shared" si="7"/>
        <v>428</v>
      </c>
      <c r="Q44" s="80">
        <f t="shared" si="8"/>
        <v>1000</v>
      </c>
      <c r="R44" s="172">
        <f t="shared" si="9"/>
        <v>2000</v>
      </c>
      <c r="S44" s="210">
        <f ca="1">IFERROR(OFFSET(金币本!$E$2,MATCH(C44,金币本!$F$3:$F$302,1),0)*IF($C$26=1,2,3),0)</f>
        <v>18750</v>
      </c>
      <c r="T44" s="172" t="e">
        <f ca="1">SUM($J$28:S44)+SUM(D44:I44)</f>
        <v>#N/A</v>
      </c>
      <c r="U44" s="172" t="e">
        <f ca="1" t="shared" si="2"/>
        <v>#N/A</v>
      </c>
      <c r="V44" s="98" t="e">
        <f ca="1" t="shared" si="3"/>
        <v>#N/A</v>
      </c>
      <c r="W44" s="98" t="e">
        <f ca="1">OFFSET(装备强化!$U$6,MATCH(图纸产出设计!V45/6*W$26,装备强化!$T$7:$T$306,1),0)*6</f>
        <v>#N/A</v>
      </c>
      <c r="X44" s="98">
        <v>120940</v>
      </c>
      <c r="Y44" s="98">
        <f t="shared" si="10"/>
        <v>432000</v>
      </c>
      <c r="Z44" s="98">
        <f t="shared" si="12"/>
        <v>2</v>
      </c>
      <c r="AA44" s="147" t="e">
        <f ca="1" t="shared" si="4"/>
        <v>#N/A</v>
      </c>
      <c r="AB44" s="209" t="e">
        <f ca="1" t="shared" si="5"/>
        <v>#N/A</v>
      </c>
      <c r="AC44" s="209">
        <f ca="1">SUMIFS(装备强化!$Q$7:$Q$306,装备强化!$M$7:$M$306,"&lt;="&amp;MATCH(U44/6,装备强化!$U$7:$U$306,1),装备强化!$M$7:$M$306,"&gt;="&amp;MATCH(V44/6,装备强化!$U$7:$U$306,1))*6</f>
        <v>0</v>
      </c>
      <c r="AD44">
        <f ca="1" t="shared" si="11"/>
        <v>0</v>
      </c>
    </row>
    <row r="45" spans="1:30">
      <c r="A45" s="171"/>
      <c r="B45" s="80">
        <v>18</v>
      </c>
      <c r="C45" s="80">
        <f ca="1">OFFSET(产销汇总!$C$12,$B45,$C$26)</f>
        <v>86</v>
      </c>
      <c r="D45" s="80">
        <f t="shared" si="6"/>
        <v>14100</v>
      </c>
      <c r="E45" s="80">
        <f ca="1">(SUMIF(主线推图!$B$4:$B$303,"&lt;"&amp;C45,主线推图!$M$4:$M$303)+SUMIF(主线宝箱!$B$320:$B$620,"&lt;"&amp;C45,主线宝箱!$L$320:$L$620)+SUMIF(主线宝箱!$B$320:$B$620,"&lt;"&amp;C45,主线宝箱!$X$320:$X$620)+SUMIF(主线宝箱!$B$320:$B$620,"&lt;"&amp;C45,主线宝箱!$AL$320:$AL$620))</f>
        <v>150000</v>
      </c>
      <c r="F45" s="98">
        <f ca="1">SUMIF(组队产出!$B$24:$B$39,"&lt;="&amp;MAX(1,INT(C45/10-0.6)),组队产出!$R$24:$R$39)</f>
        <v>54000</v>
      </c>
      <c r="G45" s="80">
        <f ca="1">SUMIF(运营活动!$O$3:$O$27,"&lt;="&amp;C45,运营活动!$P$3:$P$27)</f>
        <v>22500</v>
      </c>
      <c r="H45" s="80">
        <f ca="1">OFFSET(产销汇总!$AM$12,B45,$C$26)*24</f>
        <v>150384</v>
      </c>
      <c r="I45" s="172">
        <f ca="1">SUMIF(金币本!$F$2:$F$52,"&lt;="&amp;C45,金币本!$D$2:$D$52)</f>
        <v>319000</v>
      </c>
      <c r="J45" s="80">
        <f ca="1">OFFSET(产销汇总!$C$1,MATCH(J$27,产销汇总!$C$2:$C$8,0),$C$26)*(_xlfn.XLOOKUP(C45,主线推图!$B$313:$B$612,主线推图!$C$313:$C$612)+_xlfn.XLOOKUP(C45,主线推图!$B$313:$B$612,主线推图!$D$313:$D$612))</f>
        <v>9900</v>
      </c>
      <c r="K45" s="80">
        <f ca="1">OFFSET(产销汇总!$C$1,MATCH(K$27,产销汇总!$C$2:$C$8,0),$C$26)*_xlfn.XLOOKUP(C45,巡逻产出!$B$311:$B$610,巡逻产出!$C$311:$C$610)*1.3</f>
        <v>0</v>
      </c>
      <c r="L45" s="80">
        <f ca="1">OFFSET(产销汇总!$C$1,MATCH(L$27,产销汇总!$C$2:$C$8,0),$C$26)*(_xlfn.XLOOKUP(MAX(1,INT(C45/10-6/10)),组队产出!$B$24:$B$39,组队产出!$D$24:$D$39))+OFFSET(产销汇总!$C$1,MATCH(L$27,产销汇总!$C$2:$C$8,0),$C$26)*(_xlfn.XLOOKUP(MAX(1,INT(C45/10-6/10)),组队产出!$B$24:$B$39,组队产出!$C$24:$C$39))</f>
        <v>5496</v>
      </c>
      <c r="M45" s="80">
        <f ca="1">(OFFSET(产销汇总!$C$1,MATCH(M$27,产销汇总!$C$2:$C$8,0),$C$26)*_xlfn.XLOOKUP(C45,巡逻产出!$B$311:$B$610,巡逻产出!$D$311:$D$610))*$M$24</f>
        <v>7020</v>
      </c>
      <c r="N45" s="80">
        <f ca="1">OFFSET(产销汇总!$C$1,MATCH(L$27,产销汇总!$C$2:$C$8,0),$C$26)*(_xlfn.XLOOKUP(MAX(1,INT(C45/10-6/10)),组队产出!$B$24:$B$39,组队产出!$S$24:$S$39))</f>
        <v>10062</v>
      </c>
      <c r="O45" s="172">
        <f>任务!$D$36</f>
        <v>2457.14285714286</v>
      </c>
      <c r="P45" s="98">
        <f t="shared" si="7"/>
        <v>428</v>
      </c>
      <c r="Q45" s="80">
        <f t="shared" si="8"/>
        <v>1000</v>
      </c>
      <c r="R45" s="172">
        <f t="shared" si="9"/>
        <v>2000</v>
      </c>
      <c r="S45" s="210">
        <f ca="1">IFERROR(OFFSET(金币本!$E$2,MATCH(C45,金币本!$F$3:$F$302,1),0)*IF($C$26=1,2,3),0)</f>
        <v>18750</v>
      </c>
      <c r="T45" s="172" t="e">
        <f ca="1">SUM($J$28:S45)+SUM(D45:I45)</f>
        <v>#N/A</v>
      </c>
      <c r="U45" s="172" t="e">
        <f ca="1" t="shared" si="2"/>
        <v>#N/A</v>
      </c>
      <c r="V45" s="98" t="e">
        <f ca="1" t="shared" si="3"/>
        <v>#N/A</v>
      </c>
      <c r="W45" s="98" t="e">
        <f ca="1">OFFSET(装备强化!$U$6,MATCH(图纸产出设计!V46/6*W$26,装备强化!$T$7:$T$306,1),0)*6</f>
        <v>#N/A</v>
      </c>
      <c r="X45" s="98">
        <v>125090</v>
      </c>
      <c r="Y45" s="98">
        <f t="shared" si="10"/>
        <v>464000</v>
      </c>
      <c r="Z45" s="98">
        <f t="shared" si="12"/>
        <v>2</v>
      </c>
      <c r="AA45" s="147" t="e">
        <f ca="1" t="shared" si="4"/>
        <v>#N/A</v>
      </c>
      <c r="AB45" s="209" t="e">
        <f ca="1" t="shared" si="5"/>
        <v>#N/A</v>
      </c>
      <c r="AC45" s="209">
        <f ca="1">SUMIFS(装备强化!$Q$7:$Q$306,装备强化!$M$7:$M$306,"&lt;="&amp;MATCH(U45/6,装备强化!$U$7:$U$306,1),装备强化!$M$7:$M$306,"&gt;="&amp;MATCH(V45/6,装备强化!$U$7:$U$306,1))*6</f>
        <v>0</v>
      </c>
      <c r="AD45">
        <f ca="1" t="shared" si="11"/>
        <v>0</v>
      </c>
    </row>
    <row r="46" spans="1:30">
      <c r="A46" s="171"/>
      <c r="B46" s="80">
        <v>19</v>
      </c>
      <c r="C46" s="80">
        <f ca="1">OFFSET(产销汇总!$C$12,$B46,$C$26)</f>
        <v>87.5</v>
      </c>
      <c r="D46" s="80">
        <f t="shared" si="6"/>
        <v>14100</v>
      </c>
      <c r="E46" s="80">
        <f ca="1">(SUMIF(主线推图!$B$4:$B$303,"&lt;"&amp;C46,主线推图!$M$4:$M$303)+SUMIF(主线宝箱!$B$320:$B$620,"&lt;"&amp;C46,主线宝箱!$L$320:$L$620)+SUMIF(主线宝箱!$B$320:$B$620,"&lt;"&amp;C46,主线宝箱!$X$320:$X$620)+SUMIF(主线宝箱!$B$320:$B$620,"&lt;"&amp;C46,主线宝箱!$AL$320:$AL$620))</f>
        <v>153600</v>
      </c>
      <c r="F46" s="98">
        <f ca="1">SUMIF(组队产出!$B$24:$B$39,"&lt;="&amp;MAX(1,INT(C46/10-0.6)),组队产出!$R$24:$R$39)</f>
        <v>54000</v>
      </c>
      <c r="G46" s="80">
        <f ca="1">SUMIF(运营活动!$O$3:$O$27,"&lt;="&amp;C46,运营活动!$P$3:$P$27)</f>
        <v>22500</v>
      </c>
      <c r="H46" s="80">
        <f ca="1">OFFSET(产销汇总!$AM$12,B46,$C$26)*24</f>
        <v>157632</v>
      </c>
      <c r="I46" s="172">
        <f ca="1">SUMIF(金币本!$F$2:$F$52,"&lt;="&amp;C46,金币本!$D$2:$D$52)</f>
        <v>345000</v>
      </c>
      <c r="J46" s="80" t="e">
        <f ca="1">OFFSET(产销汇总!$C$1,MATCH(J$27,产销汇总!$C$2:$C$8,0),$C$26)*(_xlfn.XLOOKUP(C46,主线推图!$B$313:$B$612,主线推图!$C$313:$C$612)+_xlfn.XLOOKUP(C46,主线推图!$B$313:$B$612,主线推图!$D$313:$D$612))</f>
        <v>#N/A</v>
      </c>
      <c r="K46" s="80" t="e">
        <f ca="1">OFFSET(产销汇总!$C$1,MATCH(K$27,产销汇总!$C$2:$C$8,0),$C$26)*_xlfn.XLOOKUP(C46,巡逻产出!$B$311:$B$610,巡逻产出!$C$311:$C$610)*1.3</f>
        <v>#N/A</v>
      </c>
      <c r="L46" s="80">
        <f ca="1">OFFSET(产销汇总!$C$1,MATCH(L$27,产销汇总!$C$2:$C$8,0),$C$26)*(_xlfn.XLOOKUP(MAX(1,INT(C46/10-6/10)),组队产出!$B$24:$B$39,组队产出!$D$24:$D$39))+OFFSET(产销汇总!$C$1,MATCH(L$27,产销汇总!$C$2:$C$8,0),$C$26)*(_xlfn.XLOOKUP(MAX(1,INT(C46/10-6/10)),组队产出!$B$24:$B$39,组队产出!$C$24:$C$39))</f>
        <v>5496</v>
      </c>
      <c r="M46" s="80" t="e">
        <f ca="1">(OFFSET(产销汇总!$C$1,MATCH(M$27,产销汇总!$C$2:$C$8,0),$C$26)*_xlfn.XLOOKUP(C46,巡逻产出!$B$311:$B$610,巡逻产出!$D$311:$D$610))*$M$24</f>
        <v>#N/A</v>
      </c>
      <c r="N46" s="80">
        <f ca="1">OFFSET(产销汇总!$C$1,MATCH(L$27,产销汇总!$C$2:$C$8,0),$C$26)*(_xlfn.XLOOKUP(MAX(1,INT(C46/10-6/10)),组队产出!$B$24:$B$39,组队产出!$S$24:$S$39))</f>
        <v>10062</v>
      </c>
      <c r="O46" s="172">
        <f>任务!$D$36</f>
        <v>2457.14285714286</v>
      </c>
      <c r="P46" s="98">
        <f t="shared" si="7"/>
        <v>428</v>
      </c>
      <c r="Q46" s="80">
        <f t="shared" si="8"/>
        <v>1000</v>
      </c>
      <c r="R46" s="172">
        <f t="shared" si="9"/>
        <v>2000</v>
      </c>
      <c r="S46" s="210">
        <f ca="1">IFERROR(OFFSET(金币本!$E$2,MATCH(C46,金币本!$F$3:$F$302,1),0)*IF($C$26=1,2,3),0)</f>
        <v>19500</v>
      </c>
      <c r="T46" s="172" t="e">
        <f ca="1">SUM($J$28:S46)+SUM(D46:I46)</f>
        <v>#N/A</v>
      </c>
      <c r="U46" s="172" t="e">
        <f ca="1" t="shared" si="2"/>
        <v>#N/A</v>
      </c>
      <c r="V46" s="98" t="e">
        <f ca="1" t="shared" si="3"/>
        <v>#N/A</v>
      </c>
      <c r="W46" s="98" t="e">
        <f ca="1">OFFSET(装备强化!$U$6,MATCH(图纸产出设计!V47/6*W$26,装备强化!$T$7:$T$306,1),0)*6</f>
        <v>#N/A</v>
      </c>
      <c r="X46" s="98">
        <v>129310</v>
      </c>
      <c r="Y46" s="98">
        <f t="shared" si="10"/>
        <v>496000</v>
      </c>
      <c r="Z46" s="98">
        <f t="shared" si="12"/>
        <v>2</v>
      </c>
      <c r="AA46" s="147" t="e">
        <f ca="1" t="shared" si="4"/>
        <v>#N/A</v>
      </c>
      <c r="AB46" s="209" t="e">
        <f ca="1" t="shared" si="5"/>
        <v>#N/A</v>
      </c>
      <c r="AC46" s="209">
        <f ca="1">SUMIFS(装备强化!$Q$7:$Q$306,装备强化!$M$7:$M$306,"&lt;="&amp;MATCH(U46/6,装备强化!$U$7:$U$306,1),装备强化!$M$7:$M$306,"&gt;="&amp;MATCH(V46/6,装备强化!$U$7:$U$306,1))*6</f>
        <v>0</v>
      </c>
      <c r="AD46">
        <f ca="1" t="shared" si="11"/>
        <v>0</v>
      </c>
    </row>
    <row r="47" spans="1:30">
      <c r="A47" s="171"/>
      <c r="B47" s="80">
        <v>20</v>
      </c>
      <c r="C47" s="80">
        <f ca="1">OFFSET(产销汇总!$C$12,$B47,$C$26)</f>
        <v>89</v>
      </c>
      <c r="D47" s="80">
        <f t="shared" si="6"/>
        <v>14100</v>
      </c>
      <c r="E47" s="80">
        <f ca="1">(SUMIF(主线推图!$B$4:$B$303,"&lt;"&amp;C47,主线推图!$M$4:$M$303)+SUMIF(主线宝箱!$B$320:$B$620,"&lt;"&amp;C47,主线宝箱!$L$320:$L$620)+SUMIF(主线宝箱!$B$320:$B$620,"&lt;"&amp;C47,主线宝箱!$X$320:$X$620)+SUMIF(主线宝箱!$B$320:$B$620,"&lt;"&amp;C47,主线宝箱!$AL$320:$AL$620))</f>
        <v>155400</v>
      </c>
      <c r="F47" s="98">
        <f ca="1">SUMIF(组队产出!$B$24:$B$39,"&lt;="&amp;MAX(1,INT(C47/10-0.6)),组队产出!$R$24:$R$39)</f>
        <v>54000</v>
      </c>
      <c r="G47" s="80">
        <f ca="1">SUMIF(运营活动!$O$3:$O$27,"&lt;="&amp;C47,运营活动!$P$3:$P$27)</f>
        <v>25000</v>
      </c>
      <c r="H47" s="80">
        <f ca="1">OFFSET(产销汇总!$AM$12,B47,$C$26)*24</f>
        <v>164880</v>
      </c>
      <c r="I47" s="172">
        <f ca="1">SUMIF(金币本!$F$2:$F$52,"&lt;="&amp;C47,金币本!$D$2:$D$52)</f>
        <v>345000</v>
      </c>
      <c r="J47" s="80">
        <f ca="1">OFFSET(产销汇总!$C$1,MATCH(J$27,产销汇总!$C$2:$C$8,0),$C$26)*(_xlfn.XLOOKUP(C47,主线推图!$B$313:$B$612,主线推图!$C$313:$C$612)+_xlfn.XLOOKUP(C47,主线推图!$B$313:$B$612,主线推图!$D$313:$D$612))</f>
        <v>10032</v>
      </c>
      <c r="K47" s="80">
        <f ca="1">OFFSET(产销汇总!$C$1,MATCH(K$27,产销汇总!$C$2:$C$8,0),$C$26)*_xlfn.XLOOKUP(C47,巡逻产出!$B$311:$B$610,巡逻产出!$C$311:$C$610)*1.3</f>
        <v>0</v>
      </c>
      <c r="L47" s="80">
        <f ca="1">OFFSET(产销汇总!$C$1,MATCH(L$27,产销汇总!$C$2:$C$8,0),$C$26)*(_xlfn.XLOOKUP(MAX(1,INT(C47/10-6/10)),组队产出!$B$24:$B$39,组队产出!$D$24:$D$39))+OFFSET(产销汇总!$C$1,MATCH(L$27,产销汇总!$C$2:$C$8,0),$C$26)*(_xlfn.XLOOKUP(MAX(1,INT(C47/10-6/10)),组队产出!$B$24:$B$39,组队产出!$C$24:$C$39))</f>
        <v>5496</v>
      </c>
      <c r="M47" s="80">
        <f ca="1">(OFFSET(产销汇总!$C$1,MATCH(M$27,产销汇总!$C$2:$C$8,0),$C$26)*_xlfn.XLOOKUP(C47,巡逻产出!$B$311:$B$610,巡逻产出!$D$311:$D$610))*$M$24</f>
        <v>7113.6</v>
      </c>
      <c r="N47" s="80">
        <f ca="1">OFFSET(产销汇总!$C$1,MATCH(L$27,产销汇总!$C$2:$C$8,0),$C$26)*(_xlfn.XLOOKUP(MAX(1,INT(C47/10-6/10)),组队产出!$B$24:$B$39,组队产出!$S$24:$S$39))</f>
        <v>10062</v>
      </c>
      <c r="O47" s="172">
        <f>任务!$D$36</f>
        <v>2457.14285714286</v>
      </c>
      <c r="P47" s="98">
        <f t="shared" si="7"/>
        <v>428</v>
      </c>
      <c r="Q47" s="80">
        <f t="shared" si="8"/>
        <v>1000</v>
      </c>
      <c r="R47" s="172">
        <f t="shared" si="9"/>
        <v>2000</v>
      </c>
      <c r="S47" s="210">
        <f ca="1">IFERROR(OFFSET(金币本!$E$2,MATCH(C47,金币本!$F$3:$F$302,1),0)*IF($C$26=1,2,3),0)</f>
        <v>19500</v>
      </c>
      <c r="T47" s="172" t="e">
        <f ca="1">SUM($J$28:S47)+SUM(D47:I47)</f>
        <v>#N/A</v>
      </c>
      <c r="U47" s="172" t="e">
        <f ca="1" t="shared" si="2"/>
        <v>#N/A</v>
      </c>
      <c r="V47" s="98" t="e">
        <f ca="1" t="shared" si="3"/>
        <v>#N/A</v>
      </c>
      <c r="W47" s="98" t="e">
        <f ca="1">OFFSET(装备强化!$U$6,MATCH(图纸产出设计!V48/6*W$26,装备强化!$T$7:$T$306,1),0)*6</f>
        <v>#N/A</v>
      </c>
      <c r="X47" s="98">
        <v>133600</v>
      </c>
      <c r="Y47" s="98">
        <f t="shared" si="10"/>
        <v>528000</v>
      </c>
      <c r="Z47" s="98">
        <f t="shared" si="12"/>
        <v>2</v>
      </c>
      <c r="AA47" s="147" t="e">
        <f ca="1" t="shared" si="4"/>
        <v>#N/A</v>
      </c>
      <c r="AB47" s="209" t="e">
        <f ca="1" t="shared" si="5"/>
        <v>#N/A</v>
      </c>
      <c r="AC47" s="209">
        <f ca="1">SUMIFS(装备强化!$Q$7:$Q$306,装备强化!$M$7:$M$306,"&lt;="&amp;MATCH(U47/6,装备强化!$U$7:$U$306,1),装备强化!$M$7:$M$306,"&gt;="&amp;MATCH(V47/6,装备强化!$U$7:$U$306,1))*6</f>
        <v>0</v>
      </c>
      <c r="AD47">
        <f ca="1" t="shared" si="11"/>
        <v>0</v>
      </c>
    </row>
    <row r="48" spans="1:30">
      <c r="A48" s="171"/>
      <c r="B48" s="80">
        <v>21</v>
      </c>
      <c r="C48" s="80">
        <f ca="1">OFFSET(产销汇总!$C$12,$B48,$C$26)</f>
        <v>90</v>
      </c>
      <c r="D48" s="80">
        <f t="shared" si="6"/>
        <v>14100</v>
      </c>
      <c r="E48" s="80">
        <f ca="1">(SUMIF(主线推图!$B$4:$B$303,"&lt;"&amp;C48,主线推图!$M$4:$M$303)+SUMIF(主线宝箱!$B$320:$B$620,"&lt;"&amp;C48,主线宝箱!$L$320:$L$620)+SUMIF(主线宝箱!$B$320:$B$620,"&lt;"&amp;C48,主线宝箱!$X$320:$X$620)+SUMIF(主线宝箱!$B$320:$B$620,"&lt;"&amp;C48,主线宝箱!$AL$320:$AL$620))</f>
        <v>157200</v>
      </c>
      <c r="F48" s="98">
        <f ca="1">SUMIF(组队产出!$B$24:$B$39,"&lt;="&amp;MAX(1,INT(C48/10-0.6)),组队产出!$R$24:$R$39)</f>
        <v>54000</v>
      </c>
      <c r="G48" s="80">
        <f ca="1">SUMIF(运营活动!$O$3:$O$27,"&lt;="&amp;C48,运营活动!$P$3:$P$27)</f>
        <v>25000</v>
      </c>
      <c r="H48" s="80">
        <f ca="1">OFFSET(产销汇总!$AM$12,B48,$C$26)*24</f>
        <v>172128</v>
      </c>
      <c r="I48" s="172">
        <f ca="1">SUMIF(金币本!$F$2:$F$52,"&lt;="&amp;C48,金币本!$D$2:$D$52)</f>
        <v>345000</v>
      </c>
      <c r="J48" s="80">
        <f ca="1">OFFSET(产销汇总!$C$1,MATCH(J$27,产销汇总!$C$2:$C$8,0),$C$26)*(_xlfn.XLOOKUP(C48,主线推图!$B$313:$B$612,主线推图!$C$313:$C$612)+_xlfn.XLOOKUP(C48,主线推图!$B$313:$B$612,主线推图!$D$313:$D$612))</f>
        <v>10076</v>
      </c>
      <c r="K48" s="80">
        <f ca="1">OFFSET(产销汇总!$C$1,MATCH(K$27,产销汇总!$C$2:$C$8,0),$C$26)*_xlfn.XLOOKUP(C48,巡逻产出!$B$311:$B$610,巡逻产出!$C$311:$C$610)*1.3</f>
        <v>0</v>
      </c>
      <c r="L48" s="80">
        <f ca="1">OFFSET(产销汇总!$C$1,MATCH(L$27,产销汇总!$C$2:$C$8,0),$C$26)*(_xlfn.XLOOKUP(MAX(1,INT(C48/10-6/10)),组队产出!$B$24:$B$39,组队产出!$D$24:$D$39))+OFFSET(产销汇总!$C$1,MATCH(L$27,产销汇总!$C$2:$C$8,0),$C$26)*(_xlfn.XLOOKUP(MAX(1,INT(C48/10-6/10)),组队产出!$B$24:$B$39,组队产出!$C$24:$C$39))</f>
        <v>5496</v>
      </c>
      <c r="M48" s="80">
        <f ca="1">(OFFSET(产销汇总!$C$1,MATCH(M$27,产销汇总!$C$2:$C$8,0),$C$26)*_xlfn.XLOOKUP(C48,巡逻产出!$B$311:$B$610,巡逻产出!$D$311:$D$610))*$M$24</f>
        <v>7144.8</v>
      </c>
      <c r="N48" s="80">
        <f ca="1">OFFSET(产销汇总!$C$1,MATCH(L$27,产销汇总!$C$2:$C$8,0),$C$26)*(_xlfn.XLOOKUP(MAX(1,INT(C48/10-6/10)),组队产出!$B$24:$B$39,组队产出!$S$24:$S$39))</f>
        <v>10062</v>
      </c>
      <c r="O48" s="172">
        <f>任务!$D$36</f>
        <v>2457.14285714286</v>
      </c>
      <c r="P48" s="98">
        <f t="shared" si="7"/>
        <v>428</v>
      </c>
      <c r="Q48" s="80">
        <f t="shared" si="8"/>
        <v>1000</v>
      </c>
      <c r="R48" s="172">
        <f t="shared" si="9"/>
        <v>2000</v>
      </c>
      <c r="S48" s="210">
        <f ca="1">IFERROR(OFFSET(金币本!$E$2,MATCH(C48,金币本!$F$3:$F$302,1),0)*IF($C$26=1,2,3),0)</f>
        <v>19500</v>
      </c>
      <c r="T48" s="172" t="e">
        <f ca="1">SUM($J$28:S48)+SUM(D48:I48)</f>
        <v>#N/A</v>
      </c>
      <c r="U48" s="172" t="e">
        <f ca="1" t="shared" si="2"/>
        <v>#N/A</v>
      </c>
      <c r="V48" s="98" t="e">
        <f ca="1" t="shared" si="3"/>
        <v>#N/A</v>
      </c>
      <c r="W48" s="98" t="e">
        <f ca="1">OFFSET(装备强化!$U$6,MATCH(图纸产出设计!V49/6*W$26,装备强化!$T$7:$T$306,1),0)*6</f>
        <v>#N/A</v>
      </c>
      <c r="X48" s="98">
        <v>137960</v>
      </c>
      <c r="Y48" s="98">
        <f t="shared" si="10"/>
        <v>560000</v>
      </c>
      <c r="Z48" s="98">
        <f t="shared" si="12"/>
        <v>2</v>
      </c>
      <c r="AA48" s="147" t="e">
        <f ca="1" t="shared" si="4"/>
        <v>#N/A</v>
      </c>
      <c r="AB48" s="209" t="e">
        <f ca="1" t="shared" si="5"/>
        <v>#N/A</v>
      </c>
      <c r="AC48" s="209">
        <f ca="1">SUMIFS(装备强化!$Q$7:$Q$306,装备强化!$M$7:$M$306,"&lt;="&amp;MATCH(U48/6,装备强化!$U$7:$U$306,1),装备强化!$M$7:$M$306,"&gt;="&amp;MATCH(V48/6,装备强化!$U$7:$U$306,1))*6</f>
        <v>0</v>
      </c>
      <c r="AD48">
        <f ca="1" t="shared" si="11"/>
        <v>0</v>
      </c>
    </row>
    <row r="49" spans="1:30">
      <c r="A49" s="171"/>
      <c r="B49" s="80">
        <v>22</v>
      </c>
      <c r="C49" s="80">
        <f ca="1">OFFSET(产销汇总!$C$12,$B49,$C$26)</f>
        <v>91.5714285714286</v>
      </c>
      <c r="D49" s="80">
        <f t="shared" si="6"/>
        <v>14100</v>
      </c>
      <c r="E49" s="80">
        <f ca="1">(SUMIF(主线推图!$B$4:$B$303,"&lt;"&amp;C49,主线推图!$M$4:$M$303)+SUMIF(主线宝箱!$B$320:$B$620,"&lt;"&amp;C49,主线宝箱!$L$320:$L$620)+SUMIF(主线宝箱!$B$320:$B$620,"&lt;"&amp;C49,主线宝箱!$X$320:$X$620)+SUMIF(主线宝箱!$B$320:$B$620,"&lt;"&amp;C49,主线宝箱!$AL$320:$AL$620))</f>
        <v>160800</v>
      </c>
      <c r="F49" s="98">
        <f ca="1">SUMIF(组队产出!$B$24:$B$39,"&lt;="&amp;MAX(1,INT(C49/10-0.6)),组队产出!$R$24:$R$39)</f>
        <v>54000</v>
      </c>
      <c r="G49" s="80">
        <f ca="1">SUMIF(运营活动!$O$3:$O$27,"&lt;="&amp;C49,运营活动!$P$3:$P$27)</f>
        <v>25000</v>
      </c>
      <c r="H49" s="80">
        <f ca="1">OFFSET(产销汇总!$AM$12,B49,$C$26)*24</f>
        <v>179376</v>
      </c>
      <c r="I49" s="172">
        <f ca="1">SUMIF(金币本!$F$2:$F$52,"&lt;="&amp;C49,金币本!$D$2:$D$52)</f>
        <v>372000</v>
      </c>
      <c r="J49" s="80" t="e">
        <f ca="1">OFFSET(产销汇总!$C$1,MATCH(J$27,产销汇总!$C$2:$C$8,0),$C$26)*(_xlfn.XLOOKUP(C49,主线推图!$B$313:$B$612,主线推图!$C$313:$C$612)+_xlfn.XLOOKUP(C49,主线推图!$B$313:$B$612,主线推图!$D$313:$D$612))</f>
        <v>#N/A</v>
      </c>
      <c r="K49" s="80" t="e">
        <f ca="1">OFFSET(产销汇总!$C$1,MATCH(K$27,产销汇总!$C$2:$C$8,0),$C$26)*_xlfn.XLOOKUP(C49,巡逻产出!$B$311:$B$610,巡逻产出!$C$311:$C$610)*1.3</f>
        <v>#N/A</v>
      </c>
      <c r="L49" s="80">
        <f ca="1">OFFSET(产销汇总!$C$1,MATCH(L$27,产销汇总!$C$2:$C$8,0),$C$26)*(_xlfn.XLOOKUP(MAX(1,INT(C49/10-6/10)),组队产出!$B$24:$B$39,组队产出!$D$24:$D$39))+OFFSET(产销汇总!$C$1,MATCH(L$27,产销汇总!$C$2:$C$8,0),$C$26)*(_xlfn.XLOOKUP(MAX(1,INT(C49/10-6/10)),组队产出!$B$24:$B$39,组队产出!$C$24:$C$39))</f>
        <v>5496</v>
      </c>
      <c r="M49" s="80" t="e">
        <f ca="1">(OFFSET(产销汇总!$C$1,MATCH(M$27,产销汇总!$C$2:$C$8,0),$C$26)*_xlfn.XLOOKUP(C49,巡逻产出!$B$311:$B$610,巡逻产出!$D$311:$D$610))*$M$24</f>
        <v>#N/A</v>
      </c>
      <c r="N49" s="80">
        <f ca="1">OFFSET(产销汇总!$C$1,MATCH(L$27,产销汇总!$C$2:$C$8,0),$C$26)*(_xlfn.XLOOKUP(MAX(1,INT(C49/10-6/10)),组队产出!$B$24:$B$39,组队产出!$S$24:$S$39))</f>
        <v>10062</v>
      </c>
      <c r="O49" s="172">
        <f>任务!$D$36</f>
        <v>2457.14285714286</v>
      </c>
      <c r="P49" s="98">
        <f t="shared" si="7"/>
        <v>428</v>
      </c>
      <c r="Q49" s="80">
        <f t="shared" si="8"/>
        <v>1500</v>
      </c>
      <c r="R49" s="172">
        <f t="shared" si="9"/>
        <v>2000</v>
      </c>
      <c r="S49" s="210">
        <f ca="1">IFERROR(OFFSET(金币本!$E$2,MATCH(C49,金币本!$F$3:$F$302,1),0)*IF($C$26=1,2,3),0)</f>
        <v>20250</v>
      </c>
      <c r="T49" s="172" t="e">
        <f ca="1">SUM($J$28:S49)+SUM(D49:I49)</f>
        <v>#N/A</v>
      </c>
      <c r="U49" s="172" t="e">
        <f ca="1" t="shared" si="2"/>
        <v>#N/A</v>
      </c>
      <c r="V49" s="98" t="e">
        <f ca="1" t="shared" si="3"/>
        <v>#N/A</v>
      </c>
      <c r="W49" s="98" t="e">
        <f ca="1">OFFSET(装备强化!$U$6,MATCH(图纸产出设计!V50/6*W$26,装备强化!$T$7:$T$306,1),0)*6</f>
        <v>#N/A</v>
      </c>
      <c r="X49" s="98">
        <v>142390</v>
      </c>
      <c r="Y49" s="98">
        <f t="shared" si="10"/>
        <v>592000</v>
      </c>
      <c r="Z49" s="98">
        <f t="shared" si="12"/>
        <v>2</v>
      </c>
      <c r="AA49" s="147" t="e">
        <f ca="1" t="shared" si="4"/>
        <v>#N/A</v>
      </c>
      <c r="AB49" s="209" t="e">
        <f ca="1" t="shared" si="5"/>
        <v>#N/A</v>
      </c>
      <c r="AC49" s="209">
        <f ca="1">SUMIFS(装备强化!$Q$7:$Q$306,装备强化!$M$7:$M$306,"&lt;="&amp;MATCH(U49/6,装备强化!$U$7:$U$306,1),装备强化!$M$7:$M$306,"&gt;="&amp;MATCH(V49/6,装备强化!$U$7:$U$306,1))*6</f>
        <v>0</v>
      </c>
      <c r="AD49">
        <f ca="1" t="shared" si="11"/>
        <v>0</v>
      </c>
    </row>
    <row r="50" spans="1:30">
      <c r="A50" s="171"/>
      <c r="B50" s="80">
        <v>23</v>
      </c>
      <c r="C50" s="80">
        <f ca="1">OFFSET(产销汇总!$C$12,$B50,$C$26)</f>
        <v>93.1428571428571</v>
      </c>
      <c r="D50" s="80">
        <f t="shared" si="6"/>
        <v>14100</v>
      </c>
      <c r="E50" s="80">
        <f ca="1">(SUMIF(主线推图!$B$4:$B$303,"&lt;"&amp;C50,主线推图!$M$4:$M$303)+SUMIF(主线宝箱!$B$320:$B$620,"&lt;"&amp;C50,主线宝箱!$L$320:$L$620)+SUMIF(主线宝箱!$B$320:$B$620,"&lt;"&amp;C50,主线宝箱!$X$320:$X$620)+SUMIF(主线宝箱!$B$320:$B$620,"&lt;"&amp;C50,主线宝箱!$AL$320:$AL$620))</f>
        <v>164400</v>
      </c>
      <c r="F50" s="98">
        <f ca="1">SUMIF(组队产出!$B$24:$B$39,"&lt;="&amp;MAX(1,INT(C50/10-0.6)),组队产出!$R$24:$R$39)</f>
        <v>54000</v>
      </c>
      <c r="G50" s="80">
        <f ca="1">SUMIF(运营活动!$O$3:$O$27,"&lt;="&amp;C50,运营活动!$P$3:$P$27)</f>
        <v>27500</v>
      </c>
      <c r="H50" s="80">
        <f ca="1">OFFSET(产销汇总!$AM$12,B50,$C$26)*24</f>
        <v>186624</v>
      </c>
      <c r="I50" s="172">
        <f ca="1">SUMIF(金币本!$F$2:$F$52,"&lt;="&amp;C50,金币本!$D$2:$D$52)</f>
        <v>372000</v>
      </c>
      <c r="J50" s="80" t="e">
        <f ca="1">OFFSET(产销汇总!$C$1,MATCH(J$27,产销汇总!$C$2:$C$8,0),$C$26)*(_xlfn.XLOOKUP(C50,主线推图!$B$313:$B$612,主线推图!$C$313:$C$612)+_xlfn.XLOOKUP(C50,主线推图!$B$313:$B$612,主线推图!$D$313:$D$612))</f>
        <v>#N/A</v>
      </c>
      <c r="K50" s="80" t="e">
        <f ca="1">OFFSET(产销汇总!$C$1,MATCH(K$27,产销汇总!$C$2:$C$8,0),$C$26)*_xlfn.XLOOKUP(C50,巡逻产出!$B$311:$B$610,巡逻产出!$C$311:$C$610)*1.3</f>
        <v>#N/A</v>
      </c>
      <c r="L50" s="80">
        <f ca="1">OFFSET(产销汇总!$C$1,MATCH(L$27,产销汇总!$C$2:$C$8,0),$C$26)*(_xlfn.XLOOKUP(MAX(1,INT(C50/10-6/10)),组队产出!$B$24:$B$39,组队产出!$D$24:$D$39))+OFFSET(产销汇总!$C$1,MATCH(L$27,产销汇总!$C$2:$C$8,0),$C$26)*(_xlfn.XLOOKUP(MAX(1,INT(C50/10-6/10)),组队产出!$B$24:$B$39,组队产出!$C$24:$C$39))</f>
        <v>5496</v>
      </c>
      <c r="M50" s="80" t="e">
        <f ca="1">(OFFSET(产销汇总!$C$1,MATCH(M$27,产销汇总!$C$2:$C$8,0),$C$26)*_xlfn.XLOOKUP(C50,巡逻产出!$B$311:$B$610,巡逻产出!$D$311:$D$610))*$M$24</f>
        <v>#N/A</v>
      </c>
      <c r="N50" s="80">
        <f ca="1">OFFSET(产销汇总!$C$1,MATCH(L$27,产销汇总!$C$2:$C$8,0),$C$26)*(_xlfn.XLOOKUP(MAX(1,INT(C50/10-6/10)),组队产出!$B$24:$B$39,组队产出!$S$24:$S$39))</f>
        <v>10062</v>
      </c>
      <c r="O50" s="172">
        <f>任务!$D$36</f>
        <v>2457.14285714286</v>
      </c>
      <c r="P50" s="98">
        <f t="shared" si="7"/>
        <v>428</v>
      </c>
      <c r="Q50" s="80">
        <f t="shared" si="8"/>
        <v>1000</v>
      </c>
      <c r="R50" s="172">
        <f t="shared" si="9"/>
        <v>2000</v>
      </c>
      <c r="S50" s="210">
        <f ca="1">IFERROR(OFFSET(金币本!$E$2,MATCH(C50,金币本!$F$3:$F$302,1),0)*IF($C$26=1,2,3),0)</f>
        <v>20250</v>
      </c>
      <c r="T50" s="172" t="e">
        <f ca="1">SUM($J$28:S50)+SUM(D50:I50)</f>
        <v>#N/A</v>
      </c>
      <c r="U50" s="172" t="e">
        <f ca="1" t="shared" si="2"/>
        <v>#N/A</v>
      </c>
      <c r="V50" s="98" t="e">
        <f ca="1" t="shared" si="3"/>
        <v>#N/A</v>
      </c>
      <c r="W50" s="98" t="e">
        <f ca="1">OFFSET(装备强化!$U$6,MATCH(图纸产出设计!V51/6*W$26,装备强化!$T$7:$T$306,1),0)*6</f>
        <v>#N/A</v>
      </c>
      <c r="X50" s="98">
        <v>146890</v>
      </c>
      <c r="Y50" s="98">
        <f t="shared" si="10"/>
        <v>624000</v>
      </c>
      <c r="Z50" s="98">
        <f t="shared" si="12"/>
        <v>2</v>
      </c>
      <c r="AA50" s="147" t="e">
        <f ca="1" t="shared" si="4"/>
        <v>#N/A</v>
      </c>
      <c r="AB50" s="209" t="e">
        <f ca="1" t="shared" si="5"/>
        <v>#N/A</v>
      </c>
      <c r="AC50" s="209">
        <f ca="1">SUMIFS(装备强化!$Q$7:$Q$306,装备强化!$M$7:$M$306,"&lt;="&amp;MATCH(U50/6,装备强化!$U$7:$U$306,1),装备强化!$M$7:$M$306,"&gt;="&amp;MATCH(V50/6,装备强化!$U$7:$U$306,1))*6</f>
        <v>0</v>
      </c>
      <c r="AD50">
        <f ca="1" t="shared" si="11"/>
        <v>0</v>
      </c>
    </row>
    <row r="51" spans="1:30">
      <c r="A51" s="171"/>
      <c r="B51" s="80">
        <v>24</v>
      </c>
      <c r="C51" s="80">
        <f ca="1">OFFSET(产销汇总!$C$12,$B51,$C$26)</f>
        <v>94.7142857142857</v>
      </c>
      <c r="D51" s="80">
        <f t="shared" si="6"/>
        <v>14100</v>
      </c>
      <c r="E51" s="80">
        <f ca="1">(SUMIF(主线推图!$B$4:$B$303,"&lt;"&amp;C51,主线推图!$M$4:$M$303)+SUMIF(主线宝箱!$B$320:$B$620,"&lt;"&amp;C51,主线宝箱!$L$320:$L$620)+SUMIF(主线宝箱!$B$320:$B$620,"&lt;"&amp;C51,主线宝箱!$X$320:$X$620)+SUMIF(主线宝箱!$B$320:$B$620,"&lt;"&amp;C51,主线宝箱!$AL$320:$AL$620))</f>
        <v>166200</v>
      </c>
      <c r="F51" s="98">
        <f ca="1">SUMIF(组队产出!$B$24:$B$39,"&lt;="&amp;MAX(1,INT(C51/10-0.6)),组队产出!$R$24:$R$39)</f>
        <v>54000</v>
      </c>
      <c r="G51" s="80">
        <f ca="1">SUMIF(运营活动!$O$3:$O$27,"&lt;="&amp;C51,运营活动!$P$3:$P$27)</f>
        <v>27500</v>
      </c>
      <c r="H51" s="80">
        <f ca="1">OFFSET(产销汇总!$AM$12,B51,$C$26)*24</f>
        <v>193896</v>
      </c>
      <c r="I51" s="172">
        <f ca="1">SUMIF(金币本!$F$2:$F$52,"&lt;="&amp;C51,金币本!$D$2:$D$52)</f>
        <v>372000</v>
      </c>
      <c r="J51" s="80" t="e">
        <f ca="1">OFFSET(产销汇总!$C$1,MATCH(J$27,产销汇总!$C$2:$C$8,0),$C$26)*(_xlfn.XLOOKUP(C51,主线推图!$B$313:$B$612,主线推图!$C$313:$C$612)+_xlfn.XLOOKUP(C51,主线推图!$B$313:$B$612,主线推图!$D$313:$D$612))</f>
        <v>#N/A</v>
      </c>
      <c r="K51" s="80" t="e">
        <f ca="1">OFFSET(产销汇总!$C$1,MATCH(K$27,产销汇总!$C$2:$C$8,0),$C$26)*_xlfn.XLOOKUP(C51,巡逻产出!$B$311:$B$610,巡逻产出!$C$311:$C$610)*1.3</f>
        <v>#N/A</v>
      </c>
      <c r="L51" s="80">
        <f ca="1">OFFSET(产销汇总!$C$1,MATCH(L$27,产销汇总!$C$2:$C$8,0),$C$26)*(_xlfn.XLOOKUP(MAX(1,INT(C51/10-6/10)),组队产出!$B$24:$B$39,组队产出!$D$24:$D$39))+OFFSET(产销汇总!$C$1,MATCH(L$27,产销汇总!$C$2:$C$8,0),$C$26)*(_xlfn.XLOOKUP(MAX(1,INT(C51/10-6/10)),组队产出!$B$24:$B$39,组队产出!$C$24:$C$39))</f>
        <v>5496</v>
      </c>
      <c r="M51" s="80" t="e">
        <f ca="1">(OFFSET(产销汇总!$C$1,MATCH(M$27,产销汇总!$C$2:$C$8,0),$C$26)*_xlfn.XLOOKUP(C51,巡逻产出!$B$311:$B$610,巡逻产出!$D$311:$D$610))*$M$24</f>
        <v>#N/A</v>
      </c>
      <c r="N51" s="80">
        <f ca="1">OFFSET(产销汇总!$C$1,MATCH(L$27,产销汇总!$C$2:$C$8,0),$C$26)*(_xlfn.XLOOKUP(MAX(1,INT(C51/10-6/10)),组队产出!$B$24:$B$39,组队产出!$S$24:$S$39))</f>
        <v>10062</v>
      </c>
      <c r="O51" s="172">
        <f>任务!$D$36</f>
        <v>2457.14285714286</v>
      </c>
      <c r="P51" s="98">
        <f t="shared" si="7"/>
        <v>428</v>
      </c>
      <c r="Q51" s="80">
        <f t="shared" si="8"/>
        <v>1000</v>
      </c>
      <c r="R51" s="172">
        <f t="shared" si="9"/>
        <v>2000</v>
      </c>
      <c r="S51" s="210">
        <f ca="1">IFERROR(OFFSET(金币本!$E$2,MATCH(C51,金币本!$F$3:$F$302,1),0)*IF($C$26=1,2,3),0)</f>
        <v>20250</v>
      </c>
      <c r="T51" s="172" t="e">
        <f ca="1">SUM($J$28:S51)+SUM(D51:I51)</f>
        <v>#N/A</v>
      </c>
      <c r="U51" s="172" t="e">
        <f ca="1" t="shared" si="2"/>
        <v>#N/A</v>
      </c>
      <c r="V51" s="98" t="e">
        <f ca="1" t="shared" si="3"/>
        <v>#N/A</v>
      </c>
      <c r="W51" s="98" t="e">
        <f ca="1">OFFSET(装备强化!$U$6,MATCH(图纸产出设计!V52/6*W$26,装备强化!$T$7:$T$306,1),0)*6</f>
        <v>#N/A</v>
      </c>
      <c r="X51" s="98">
        <v>151460</v>
      </c>
      <c r="Y51" s="98">
        <f t="shared" si="10"/>
        <v>656000</v>
      </c>
      <c r="Z51" s="98">
        <f t="shared" si="12"/>
        <v>2</v>
      </c>
      <c r="AA51" s="147" t="e">
        <f ca="1" t="shared" si="4"/>
        <v>#N/A</v>
      </c>
      <c r="AB51" s="209" t="e">
        <f ca="1" t="shared" si="5"/>
        <v>#N/A</v>
      </c>
      <c r="AC51" s="209">
        <f ca="1">SUMIFS(装备强化!$Q$7:$Q$306,装备强化!$M$7:$M$306,"&lt;="&amp;MATCH(U51/6,装备强化!$U$7:$U$306,1),装备强化!$M$7:$M$306,"&gt;="&amp;MATCH(V51/6,装备强化!$U$7:$U$306,1))*6</f>
        <v>0</v>
      </c>
      <c r="AD51">
        <f ca="1" t="shared" si="11"/>
        <v>0</v>
      </c>
    </row>
    <row r="52" spans="1:30">
      <c r="A52" s="171"/>
      <c r="B52" s="80">
        <v>25</v>
      </c>
      <c r="C52" s="80">
        <f ca="1">OFFSET(产销汇总!$C$12,$B52,$C$26)</f>
        <v>96.2857142857143</v>
      </c>
      <c r="D52" s="80">
        <f t="shared" si="6"/>
        <v>14100</v>
      </c>
      <c r="E52" s="80">
        <f ca="1">(SUMIF(主线推图!$B$4:$B$303,"&lt;"&amp;C52,主线推图!$M$4:$M$303)+SUMIF(主线宝箱!$B$320:$B$620,"&lt;"&amp;C52,主线宝箱!$L$320:$L$620)+SUMIF(主线宝箱!$B$320:$B$620,"&lt;"&amp;C52,主线宝箱!$X$320:$X$620)+SUMIF(主线宝箱!$B$320:$B$620,"&lt;"&amp;C52,主线宝箱!$AL$320:$AL$620))</f>
        <v>169800</v>
      </c>
      <c r="F52" s="98">
        <f ca="1">SUMIF(组队产出!$B$24:$B$39,"&lt;="&amp;MAX(1,INT(C52/10-0.6)),组队产出!$R$24:$R$39)</f>
        <v>64500</v>
      </c>
      <c r="G52" s="80">
        <f ca="1">SUMIF(运营活动!$O$3:$O$27,"&lt;="&amp;C52,运营活动!$P$3:$P$27)</f>
        <v>30000</v>
      </c>
      <c r="H52" s="80">
        <f ca="1">OFFSET(产销汇总!$AM$12,B52,$C$26)*24</f>
        <v>201144</v>
      </c>
      <c r="I52" s="172">
        <f ca="1">SUMIF(金币本!$F$2:$F$52,"&lt;="&amp;C52,金币本!$D$2:$D$52)</f>
        <v>400000</v>
      </c>
      <c r="J52" s="80" t="e">
        <f ca="1">OFFSET(产销汇总!$C$1,MATCH(J$27,产销汇总!$C$2:$C$8,0),$C$26)*(_xlfn.XLOOKUP(C52,主线推图!$B$313:$B$612,主线推图!$C$313:$C$612)+_xlfn.XLOOKUP(C52,主线推图!$B$313:$B$612,主线推图!$D$313:$D$612))</f>
        <v>#N/A</v>
      </c>
      <c r="K52" s="80" t="e">
        <f ca="1">OFFSET(产销汇总!$C$1,MATCH(K$27,产销汇总!$C$2:$C$8,0),$C$26)*_xlfn.XLOOKUP(C52,巡逻产出!$B$311:$B$610,巡逻产出!$C$311:$C$610)*1.3</f>
        <v>#N/A</v>
      </c>
      <c r="L52" s="80">
        <f ca="1">OFFSET(产销汇总!$C$1,MATCH(L$27,产销汇总!$C$2:$C$8,0),$C$26)*(_xlfn.XLOOKUP(MAX(1,INT(C52/10-6/10)),组队产出!$B$24:$B$39,组队产出!$D$24:$D$39))+OFFSET(产销汇总!$C$1,MATCH(L$27,产销汇总!$C$2:$C$8,0),$C$26)*(_xlfn.XLOOKUP(MAX(1,INT(C52/10-6/10)),组队产出!$B$24:$B$39,组队产出!$C$24:$C$39))</f>
        <v>5736</v>
      </c>
      <c r="M52" s="80" t="e">
        <f ca="1">(OFFSET(产销汇总!$C$1,MATCH(M$27,产销汇总!$C$2:$C$8,0),$C$26)*_xlfn.XLOOKUP(C52,巡逻产出!$B$311:$B$610,巡逻产出!$D$311:$D$610))*$M$24</f>
        <v>#N/A</v>
      </c>
      <c r="N52" s="80">
        <f ca="1">OFFSET(产销汇总!$C$1,MATCH(L$27,产销汇总!$C$2:$C$8,0),$C$26)*(_xlfn.XLOOKUP(MAX(1,INT(C52/10-6/10)),组队产出!$B$24:$B$39,组队产出!$S$24:$S$39))</f>
        <v>12438</v>
      </c>
      <c r="O52" s="172">
        <f>任务!$D$36</f>
        <v>2457.14285714286</v>
      </c>
      <c r="P52" s="98">
        <f t="shared" si="7"/>
        <v>428</v>
      </c>
      <c r="Q52" s="80">
        <f t="shared" si="8"/>
        <v>1000</v>
      </c>
      <c r="R52" s="172">
        <f t="shared" si="9"/>
        <v>2000</v>
      </c>
      <c r="S52" s="210">
        <f ca="1">IFERROR(OFFSET(金币本!$E$2,MATCH(C52,金币本!$F$3:$F$302,1),0)*IF($C$26=1,2,3),0)</f>
        <v>21000</v>
      </c>
      <c r="T52" s="172" t="e">
        <f ca="1">SUM($J$28:S52)+SUM(D52:I52)</f>
        <v>#N/A</v>
      </c>
      <c r="U52" s="172" t="e">
        <f ca="1" t="shared" si="2"/>
        <v>#N/A</v>
      </c>
      <c r="V52" s="98" t="e">
        <f ca="1" t="shared" si="3"/>
        <v>#N/A</v>
      </c>
      <c r="W52" s="98" t="e">
        <f ca="1">OFFSET(装备强化!$U$6,MATCH(图纸产出设计!V53/6*W$26,装备强化!$T$7:$T$306,1),0)*6</f>
        <v>#N/A</v>
      </c>
      <c r="X52" s="98">
        <v>156100</v>
      </c>
      <c r="Y52" s="98">
        <f t="shared" si="10"/>
        <v>688000</v>
      </c>
      <c r="Z52" s="98">
        <f t="shared" si="12"/>
        <v>2</v>
      </c>
      <c r="AA52" s="147" t="e">
        <f ca="1" t="shared" si="4"/>
        <v>#N/A</v>
      </c>
      <c r="AB52" s="209" t="e">
        <f ca="1" t="shared" si="5"/>
        <v>#N/A</v>
      </c>
      <c r="AC52" s="209">
        <f ca="1">SUMIFS(装备强化!$Q$7:$Q$306,装备强化!$M$7:$M$306,"&lt;="&amp;MATCH(U52/6,装备强化!$U$7:$U$306,1),装备强化!$M$7:$M$306,"&gt;="&amp;MATCH(V52/6,装备强化!$U$7:$U$306,1))*6</f>
        <v>0</v>
      </c>
      <c r="AD52">
        <f ca="1" t="shared" si="11"/>
        <v>0</v>
      </c>
    </row>
    <row r="53" spans="1:30">
      <c r="A53" s="171"/>
      <c r="B53" s="80">
        <v>26</v>
      </c>
      <c r="C53" s="80">
        <f ca="1">OFFSET(产销汇总!$C$12,$B53,$C$26)</f>
        <v>97.8571428571429</v>
      </c>
      <c r="D53" s="80">
        <f t="shared" si="6"/>
        <v>14100</v>
      </c>
      <c r="E53" s="80">
        <f ca="1">(SUMIF(主线推图!$B$4:$B$303,"&lt;"&amp;C53,主线推图!$M$4:$M$303)+SUMIF(主线宝箱!$B$320:$B$620,"&lt;"&amp;C53,主线宝箱!$L$320:$L$620)+SUMIF(主线宝箱!$B$320:$B$620,"&lt;"&amp;C53,主线宝箱!$X$320:$X$620)+SUMIF(主线宝箱!$B$320:$B$620,"&lt;"&amp;C53,主线宝箱!$AL$320:$AL$620))</f>
        <v>171600</v>
      </c>
      <c r="F53" s="98">
        <f ca="1">SUMIF(组队产出!$B$24:$B$39,"&lt;="&amp;MAX(1,INT(C53/10-0.6)),组队产出!$R$24:$R$39)</f>
        <v>64500</v>
      </c>
      <c r="G53" s="80">
        <f ca="1">SUMIF(运营活动!$O$3:$O$27,"&lt;="&amp;C53,运营活动!$P$3:$P$27)</f>
        <v>30000</v>
      </c>
      <c r="H53" s="80">
        <f ca="1">OFFSET(产销汇总!$AM$12,B53,$C$26)*24</f>
        <v>208392</v>
      </c>
      <c r="I53" s="172">
        <f ca="1">SUMIF(金币本!$F$2:$F$52,"&lt;="&amp;C53,金币本!$D$2:$D$52)</f>
        <v>400000</v>
      </c>
      <c r="J53" s="80" t="e">
        <f ca="1">OFFSET(产销汇总!$C$1,MATCH(J$27,产销汇总!$C$2:$C$8,0),$C$26)*(_xlfn.XLOOKUP(C53,主线推图!$B$313:$B$612,主线推图!$C$313:$C$612)+_xlfn.XLOOKUP(C53,主线推图!$B$313:$B$612,主线推图!$D$313:$D$612))</f>
        <v>#N/A</v>
      </c>
      <c r="K53" s="80" t="e">
        <f ca="1">OFFSET(产销汇总!$C$1,MATCH(K$27,产销汇总!$C$2:$C$8,0),$C$26)*_xlfn.XLOOKUP(C53,巡逻产出!$B$311:$B$610,巡逻产出!$C$311:$C$610)*1.3</f>
        <v>#N/A</v>
      </c>
      <c r="L53" s="80">
        <f ca="1">OFFSET(产销汇总!$C$1,MATCH(L$27,产销汇总!$C$2:$C$8,0),$C$26)*(_xlfn.XLOOKUP(MAX(1,INT(C53/10-6/10)),组队产出!$B$24:$B$39,组队产出!$D$24:$D$39))+OFFSET(产销汇总!$C$1,MATCH(L$27,产销汇总!$C$2:$C$8,0),$C$26)*(_xlfn.XLOOKUP(MAX(1,INT(C53/10-6/10)),组队产出!$B$24:$B$39,组队产出!$C$24:$C$39))</f>
        <v>5736</v>
      </c>
      <c r="M53" s="80" t="e">
        <f ca="1">(OFFSET(产销汇总!$C$1,MATCH(M$27,产销汇总!$C$2:$C$8,0),$C$26)*_xlfn.XLOOKUP(C53,巡逻产出!$B$311:$B$610,巡逻产出!$D$311:$D$610))*$M$24</f>
        <v>#N/A</v>
      </c>
      <c r="N53" s="80">
        <f ca="1">OFFSET(产销汇总!$C$1,MATCH(L$27,产销汇总!$C$2:$C$8,0),$C$26)*(_xlfn.XLOOKUP(MAX(1,INT(C53/10-6/10)),组队产出!$B$24:$B$39,组队产出!$S$24:$S$39))</f>
        <v>12438</v>
      </c>
      <c r="O53" s="172">
        <f>任务!$D$36</f>
        <v>2457.14285714286</v>
      </c>
      <c r="P53" s="98">
        <f t="shared" si="7"/>
        <v>428</v>
      </c>
      <c r="Q53" s="80">
        <f t="shared" si="8"/>
        <v>1000</v>
      </c>
      <c r="R53" s="172">
        <f t="shared" si="9"/>
        <v>2000</v>
      </c>
      <c r="S53" s="210">
        <f ca="1">IFERROR(OFFSET(金币本!$E$2,MATCH(C53,金币本!$F$3:$F$302,1),0)*IF($C$26=1,2,3),0)</f>
        <v>21000</v>
      </c>
      <c r="T53" s="172" t="e">
        <f ca="1">SUM($J$28:S53)+SUM(D53:I53)</f>
        <v>#N/A</v>
      </c>
      <c r="U53" s="172" t="e">
        <f ca="1" t="shared" si="2"/>
        <v>#N/A</v>
      </c>
      <c r="V53" s="98" t="e">
        <f ca="1" t="shared" si="3"/>
        <v>#N/A</v>
      </c>
      <c r="W53" s="98" t="e">
        <f ca="1">OFFSET(装备强化!$U$6,MATCH(图纸产出设计!V54/6*W$26,装备强化!$T$7:$T$306,1),0)*6</f>
        <v>#N/A</v>
      </c>
      <c r="X53" s="98">
        <v>160810</v>
      </c>
      <c r="Y53" s="98">
        <f t="shared" si="10"/>
        <v>720000</v>
      </c>
      <c r="Z53" s="98">
        <f t="shared" si="12"/>
        <v>2</v>
      </c>
      <c r="AA53" s="147" t="e">
        <f ca="1" t="shared" si="4"/>
        <v>#N/A</v>
      </c>
      <c r="AB53" s="209" t="e">
        <f ca="1" t="shared" si="5"/>
        <v>#N/A</v>
      </c>
      <c r="AC53" s="209">
        <f ca="1">SUMIFS(装备强化!$Q$7:$Q$306,装备强化!$M$7:$M$306,"&lt;="&amp;MATCH(U53/6,装备强化!$U$7:$U$306,1),装备强化!$M$7:$M$306,"&gt;="&amp;MATCH(V53/6,装备强化!$U$7:$U$306,1))*6</f>
        <v>0</v>
      </c>
      <c r="AD53">
        <f ca="1" t="shared" si="11"/>
        <v>0</v>
      </c>
    </row>
    <row r="54" spans="1:30">
      <c r="A54" s="171"/>
      <c r="B54" s="80">
        <v>27</v>
      </c>
      <c r="C54" s="80">
        <f ca="1">OFFSET(产销汇总!$C$12,$B54,$C$26)</f>
        <v>99.4285714285714</v>
      </c>
      <c r="D54" s="80">
        <f t="shared" si="6"/>
        <v>14100</v>
      </c>
      <c r="E54" s="80">
        <f ca="1">(SUMIF(主线推图!$B$4:$B$303,"&lt;"&amp;C54,主线推图!$M$4:$M$303)+SUMIF(主线宝箱!$B$320:$B$620,"&lt;"&amp;C54,主线宝箱!$L$320:$L$620)+SUMIF(主线宝箱!$B$320:$B$620,"&lt;"&amp;C54,主线宝箱!$X$320:$X$620)+SUMIF(主线宝箱!$B$320:$B$620,"&lt;"&amp;C54,主线宝箱!$AL$320:$AL$620))</f>
        <v>175200</v>
      </c>
      <c r="F54" s="98">
        <f ca="1">SUMIF(组队产出!$B$24:$B$39,"&lt;="&amp;MAX(1,INT(C54/10-0.6)),组队产出!$R$24:$R$39)</f>
        <v>64500</v>
      </c>
      <c r="G54" s="80">
        <f ca="1">SUMIF(运营活动!$O$3:$O$27,"&lt;="&amp;C54,运营活动!$P$3:$P$27)</f>
        <v>30000</v>
      </c>
      <c r="H54" s="80">
        <f ca="1">OFFSET(产销汇总!$AM$12,B54,$C$26)*24</f>
        <v>215640</v>
      </c>
      <c r="I54" s="172">
        <f ca="1">SUMIF(金币本!$F$2:$F$52,"&lt;="&amp;C54,金币本!$D$2:$D$52)</f>
        <v>429000</v>
      </c>
      <c r="J54" s="80" t="e">
        <f ca="1">OFFSET(产销汇总!$C$1,MATCH(J$27,产销汇总!$C$2:$C$8,0),$C$26)*(_xlfn.XLOOKUP(C54,主线推图!$B$313:$B$612,主线推图!$C$313:$C$612)+_xlfn.XLOOKUP(C54,主线推图!$B$313:$B$612,主线推图!$D$313:$D$612))</f>
        <v>#N/A</v>
      </c>
      <c r="K54" s="80" t="e">
        <f ca="1">OFFSET(产销汇总!$C$1,MATCH(K$27,产销汇总!$C$2:$C$8,0),$C$26)*_xlfn.XLOOKUP(C54,巡逻产出!$B$311:$B$610,巡逻产出!$C$311:$C$610)*1.3</f>
        <v>#N/A</v>
      </c>
      <c r="L54" s="80">
        <f ca="1">OFFSET(产销汇总!$C$1,MATCH(L$27,产销汇总!$C$2:$C$8,0),$C$26)*(_xlfn.XLOOKUP(MAX(1,INT(C54/10-6/10)),组队产出!$B$24:$B$39,组队产出!$D$24:$D$39))+OFFSET(产销汇总!$C$1,MATCH(L$27,产销汇总!$C$2:$C$8,0),$C$26)*(_xlfn.XLOOKUP(MAX(1,INT(C54/10-6/10)),组队产出!$B$24:$B$39,组队产出!$C$24:$C$39))</f>
        <v>5736</v>
      </c>
      <c r="M54" s="80" t="e">
        <f ca="1">(OFFSET(产销汇总!$C$1,MATCH(M$27,产销汇总!$C$2:$C$8,0),$C$26)*_xlfn.XLOOKUP(C54,巡逻产出!$B$311:$B$610,巡逻产出!$D$311:$D$610))*$M$24</f>
        <v>#N/A</v>
      </c>
      <c r="N54" s="80">
        <f ca="1">OFFSET(产销汇总!$C$1,MATCH(L$27,产销汇总!$C$2:$C$8,0),$C$26)*(_xlfn.XLOOKUP(MAX(1,INT(C54/10-6/10)),组队产出!$B$24:$B$39,组队产出!$S$24:$S$39))</f>
        <v>12438</v>
      </c>
      <c r="O54" s="172">
        <f>任务!$D$36</f>
        <v>2457.14285714286</v>
      </c>
      <c r="P54" s="98">
        <f t="shared" si="7"/>
        <v>428</v>
      </c>
      <c r="Q54" s="80">
        <f t="shared" si="8"/>
        <v>1000</v>
      </c>
      <c r="R54" s="172">
        <f t="shared" si="9"/>
        <v>2000</v>
      </c>
      <c r="S54" s="210">
        <f ca="1">IFERROR(OFFSET(金币本!$E$2,MATCH(C54,金币本!$F$3:$F$302,1),0)*IF($C$26=1,2,3),0)</f>
        <v>21750</v>
      </c>
      <c r="T54" s="172" t="e">
        <f ca="1">SUM($J$28:S54)+SUM(D54:I54)</f>
        <v>#N/A</v>
      </c>
      <c r="U54" s="172" t="e">
        <f ca="1" t="shared" si="2"/>
        <v>#N/A</v>
      </c>
      <c r="V54" s="98" t="e">
        <f ca="1" t="shared" si="3"/>
        <v>#N/A</v>
      </c>
      <c r="W54" s="98" t="e">
        <f ca="1">OFFSET(装备强化!$U$6,MATCH(图纸产出设计!V55/6*W$26,装备强化!$T$7:$T$306,1),0)*6</f>
        <v>#N/A</v>
      </c>
      <c r="X54" s="98">
        <v>165590</v>
      </c>
      <c r="Y54" s="98">
        <f t="shared" si="10"/>
        <v>752000</v>
      </c>
      <c r="Z54" s="98">
        <f t="shared" si="12"/>
        <v>2</v>
      </c>
      <c r="AA54" s="147" t="e">
        <f ca="1" t="shared" si="4"/>
        <v>#N/A</v>
      </c>
      <c r="AB54" s="209" t="e">
        <f ca="1" t="shared" si="5"/>
        <v>#N/A</v>
      </c>
      <c r="AC54" s="209">
        <f ca="1">SUMIFS(装备强化!$Q$7:$Q$306,装备强化!$M$7:$M$306,"&lt;="&amp;MATCH(U54/6,装备强化!$U$7:$U$306,1),装备强化!$M$7:$M$306,"&gt;="&amp;MATCH(V54/6,装备强化!$U$7:$U$306,1))*6</f>
        <v>0</v>
      </c>
      <c r="AD54">
        <f ca="1" t="shared" si="11"/>
        <v>0</v>
      </c>
    </row>
    <row r="55" spans="1:30">
      <c r="A55" s="171"/>
      <c r="B55" s="80">
        <v>28</v>
      </c>
      <c r="C55" s="80">
        <f ca="1">OFFSET(产销汇总!$C$12,$B55,$C$26)</f>
        <v>101</v>
      </c>
      <c r="D55" s="80">
        <f t="shared" si="6"/>
        <v>14100</v>
      </c>
      <c r="E55" s="80">
        <f ca="1">(SUMIF(主线推图!$B$4:$B$303,"&lt;"&amp;C55,主线推图!$M$4:$M$303)+SUMIF(主线宝箱!$B$320:$B$620,"&lt;"&amp;C55,主线宝箱!$L$320:$L$620)+SUMIF(主线宝箱!$B$320:$B$620,"&lt;"&amp;C55,主线宝箱!$X$320:$X$620)+SUMIF(主线宝箱!$B$320:$B$620,"&lt;"&amp;C55,主线宝箱!$AL$320:$AL$620))</f>
        <v>177000</v>
      </c>
      <c r="F55" s="98">
        <f ca="1">SUMIF(组队产出!$B$24:$B$39,"&lt;="&amp;MAX(1,INT(C55/10-0.6)),组队产出!$R$24:$R$39)</f>
        <v>64500</v>
      </c>
      <c r="G55" s="80">
        <f ca="1">SUMIF(运营活动!$O$3:$O$27,"&lt;="&amp;C55,运营活动!$P$3:$P$27)</f>
        <v>30000</v>
      </c>
      <c r="H55" s="80">
        <f ca="1">OFFSET(产销汇总!$AM$12,B55,$C$26)*24</f>
        <v>222888</v>
      </c>
      <c r="I55" s="172">
        <f ca="1">SUMIF(金币本!$F$2:$F$52,"&lt;="&amp;C55,金币本!$D$2:$D$52)</f>
        <v>429000</v>
      </c>
      <c r="J55" s="80">
        <f ca="1">OFFSET(产销汇总!$C$1,MATCH(J$27,产销汇总!$C$2:$C$8,0),$C$26)*(_xlfn.XLOOKUP(C55,主线推图!$B$313:$B$612,主线推图!$C$313:$C$612)+_xlfn.XLOOKUP(C55,主线推图!$B$313:$B$612,主线推图!$D$313:$D$612))</f>
        <v>10560</v>
      </c>
      <c r="K55" s="80">
        <f ca="1">OFFSET(产销汇总!$C$1,MATCH(K$27,产销汇总!$C$2:$C$8,0),$C$26)*_xlfn.XLOOKUP(C55,巡逻产出!$B$311:$B$610,巡逻产出!$C$311:$C$610)*1.3</f>
        <v>0</v>
      </c>
      <c r="L55" s="80">
        <f ca="1">OFFSET(产销汇总!$C$1,MATCH(L$27,产销汇总!$C$2:$C$8,0),$C$26)*(_xlfn.XLOOKUP(MAX(1,INT(C55/10-6/10)),组队产出!$B$24:$B$39,组队产出!$D$24:$D$39))+OFFSET(产销汇总!$C$1,MATCH(L$27,产销汇总!$C$2:$C$8,0),$C$26)*(_xlfn.XLOOKUP(MAX(1,INT(C55/10-6/10)),组队产出!$B$24:$B$39,组队产出!$C$24:$C$39))</f>
        <v>5736</v>
      </c>
      <c r="M55" s="80">
        <f ca="1">(OFFSET(产销汇总!$C$1,MATCH(M$27,产销汇总!$C$2:$C$8,0),$C$26)*_xlfn.XLOOKUP(C55,巡逻产出!$B$311:$B$610,巡逻产出!$D$311:$D$610))*$M$24</f>
        <v>7488</v>
      </c>
      <c r="N55" s="80">
        <f ca="1">OFFSET(产销汇总!$C$1,MATCH(L$27,产销汇总!$C$2:$C$8,0),$C$26)*(_xlfn.XLOOKUP(MAX(1,INT(C55/10-6/10)),组队产出!$B$24:$B$39,组队产出!$S$24:$S$39))</f>
        <v>12438</v>
      </c>
      <c r="O55" s="172">
        <f>任务!$D$36</f>
        <v>2457.14285714286</v>
      </c>
      <c r="P55" s="98">
        <f t="shared" si="7"/>
        <v>428</v>
      </c>
      <c r="Q55" s="80">
        <f t="shared" si="8"/>
        <v>1000</v>
      </c>
      <c r="R55" s="172">
        <f t="shared" si="9"/>
        <v>2000</v>
      </c>
      <c r="S55" s="210">
        <f ca="1">IFERROR(OFFSET(金币本!$E$2,MATCH(C55,金币本!$F$3:$F$302,1),0)*IF($C$26=1,2,3),0)</f>
        <v>21750</v>
      </c>
      <c r="T55" s="172" t="e">
        <f ca="1">SUM($J$28:S55)+SUM(D55:I55)</f>
        <v>#N/A</v>
      </c>
      <c r="U55" s="172" t="e">
        <f ca="1" t="shared" si="2"/>
        <v>#N/A</v>
      </c>
      <c r="V55" s="98" t="e">
        <f ca="1" t="shared" si="3"/>
        <v>#N/A</v>
      </c>
      <c r="W55" s="98" t="e">
        <f ca="1">OFFSET(装备强化!$U$6,MATCH(图纸产出设计!V56/6*W$26,装备强化!$T$7:$T$306,1),0)*6</f>
        <v>#N/A</v>
      </c>
      <c r="X55" s="98">
        <v>170440</v>
      </c>
      <c r="Y55" s="98">
        <f t="shared" si="10"/>
        <v>784000</v>
      </c>
      <c r="Z55" s="98">
        <f t="shared" si="12"/>
        <v>2</v>
      </c>
      <c r="AA55" s="147" t="e">
        <f ca="1" t="shared" si="4"/>
        <v>#N/A</v>
      </c>
      <c r="AB55" s="209" t="e">
        <f ca="1" t="shared" si="5"/>
        <v>#N/A</v>
      </c>
      <c r="AC55" s="209">
        <f ca="1">SUMIFS(装备强化!$Q$7:$Q$306,装备强化!$M$7:$M$306,"&lt;="&amp;MATCH(U55/6,装备强化!$U$7:$U$306,1),装备强化!$M$7:$M$306,"&gt;="&amp;MATCH(V55/6,装备强化!$U$7:$U$306,1))*6</f>
        <v>0</v>
      </c>
      <c r="AD55">
        <f ca="1" t="shared" si="11"/>
        <v>0</v>
      </c>
    </row>
    <row r="56" spans="1:30">
      <c r="A56" s="171"/>
      <c r="B56" s="80">
        <v>29</v>
      </c>
      <c r="C56" s="80">
        <f ca="1">OFFSET(产销汇总!$C$12,$B56,$C$26)</f>
        <v>102</v>
      </c>
      <c r="D56" s="80">
        <f t="shared" si="6"/>
        <v>14100</v>
      </c>
      <c r="E56" s="80">
        <f ca="1">(SUMIF(主线推图!$B$4:$B$303,"&lt;"&amp;C56,主线推图!$M$4:$M$303)+SUMIF(主线宝箱!$B$320:$B$620,"&lt;"&amp;C56,主线宝箱!$L$320:$L$620)+SUMIF(主线宝箱!$B$320:$B$620,"&lt;"&amp;C56,主线宝箱!$X$320:$X$620)+SUMIF(主线宝箱!$B$320:$B$620,"&lt;"&amp;C56,主线宝箱!$AL$320:$AL$620))</f>
        <v>178800</v>
      </c>
      <c r="F56" s="98">
        <f ca="1">SUMIF(组队产出!$B$24:$B$39,"&lt;="&amp;MAX(1,INT(C56/10-0.6)),组队产出!$R$24:$R$39)</f>
        <v>64500</v>
      </c>
      <c r="G56" s="80">
        <f ca="1">SUMIF(运营活动!$O$3:$O$27,"&lt;="&amp;C56,运营活动!$P$3:$P$27)</f>
        <v>30000</v>
      </c>
      <c r="H56" s="80">
        <f ca="1">OFFSET(产销汇总!$AM$12,B56,$C$26)*24</f>
        <v>230136</v>
      </c>
      <c r="I56" s="172">
        <f ca="1">SUMIF(金币本!$F$2:$F$52,"&lt;="&amp;C56,金币本!$D$2:$D$52)</f>
        <v>429000</v>
      </c>
      <c r="J56" s="80">
        <f ca="1">OFFSET(产销汇总!$C$1,MATCH(J$27,产销汇总!$C$2:$C$8,0),$C$26)*(_xlfn.XLOOKUP(C56,主线推图!$B$313:$B$612,主线推图!$C$313:$C$612)+_xlfn.XLOOKUP(C56,主线推图!$B$313:$B$612,主线推图!$D$313:$D$612))</f>
        <v>10604</v>
      </c>
      <c r="K56" s="80">
        <f ca="1">OFFSET(产销汇总!$C$1,MATCH(K$27,产销汇总!$C$2:$C$8,0),$C$26)*_xlfn.XLOOKUP(C56,巡逻产出!$B$311:$B$610,巡逻产出!$C$311:$C$610)*1.3</f>
        <v>0</v>
      </c>
      <c r="L56" s="80">
        <f ca="1">OFFSET(产销汇总!$C$1,MATCH(L$27,产销汇总!$C$2:$C$8,0),$C$26)*(_xlfn.XLOOKUP(MAX(1,INT(C56/10-6/10)),组队产出!$B$24:$B$39,组队产出!$D$24:$D$39))+OFFSET(产销汇总!$C$1,MATCH(L$27,产销汇总!$C$2:$C$8,0),$C$26)*(_xlfn.XLOOKUP(MAX(1,INT(C56/10-6/10)),组队产出!$B$24:$B$39,组队产出!$C$24:$C$39))</f>
        <v>5736</v>
      </c>
      <c r="M56" s="80">
        <f ca="1">(OFFSET(产销汇总!$C$1,MATCH(M$27,产销汇总!$C$2:$C$8,0),$C$26)*_xlfn.XLOOKUP(C56,巡逻产出!$B$311:$B$610,巡逻产出!$D$311:$D$610))*$M$24</f>
        <v>7519.2</v>
      </c>
      <c r="N56" s="80">
        <f ca="1">OFFSET(产销汇总!$C$1,MATCH(L$27,产销汇总!$C$2:$C$8,0),$C$26)*(_xlfn.XLOOKUP(MAX(1,INT(C56/10-6/10)),组队产出!$B$24:$B$39,组队产出!$S$24:$S$39))</f>
        <v>12438</v>
      </c>
      <c r="O56" s="172">
        <f>任务!$D$36</f>
        <v>2457.14285714286</v>
      </c>
      <c r="P56" s="98">
        <f t="shared" si="7"/>
        <v>428</v>
      </c>
      <c r="Q56" s="80">
        <f t="shared" si="8"/>
        <v>1500</v>
      </c>
      <c r="R56" s="172">
        <f t="shared" si="9"/>
        <v>2000</v>
      </c>
      <c r="S56" s="210">
        <f ca="1">IFERROR(OFFSET(金币本!$E$2,MATCH(C56,金币本!$F$3:$F$302,1),0)*IF($C$26=1,2,3),0)</f>
        <v>21750</v>
      </c>
      <c r="T56" s="172" t="e">
        <f ca="1">SUM($J$28:S56)+SUM(D56:I56)</f>
        <v>#N/A</v>
      </c>
      <c r="U56" s="172" t="e">
        <f ca="1" t="shared" si="2"/>
        <v>#N/A</v>
      </c>
      <c r="V56" s="98" t="e">
        <f ca="1" t="shared" si="3"/>
        <v>#N/A</v>
      </c>
      <c r="W56" s="98" t="e">
        <f ca="1">OFFSET(装备强化!$U$6,MATCH(图纸产出设计!V57/6*W$26,装备强化!$T$7:$T$306,1),0)*6</f>
        <v>#N/A</v>
      </c>
      <c r="X56" s="98">
        <v>175360</v>
      </c>
      <c r="Y56" s="98">
        <f t="shared" si="10"/>
        <v>816000</v>
      </c>
      <c r="Z56" s="98">
        <f t="shared" si="12"/>
        <v>2</v>
      </c>
      <c r="AA56" s="147" t="e">
        <f ca="1" t="shared" si="4"/>
        <v>#N/A</v>
      </c>
      <c r="AB56" s="209" t="e">
        <f ca="1" t="shared" si="5"/>
        <v>#N/A</v>
      </c>
      <c r="AC56" s="209">
        <f ca="1">SUMIFS(装备强化!$Q$7:$Q$306,装备强化!$M$7:$M$306,"&lt;="&amp;MATCH(U56/6,装备强化!$U$7:$U$306,1),装备强化!$M$7:$M$306,"&gt;="&amp;MATCH(V56/6,装备强化!$U$7:$U$306,1))*6</f>
        <v>0</v>
      </c>
      <c r="AD56">
        <f ca="1" t="shared" si="11"/>
        <v>0</v>
      </c>
    </row>
    <row r="57" spans="1:30">
      <c r="A57" s="171"/>
      <c r="B57" s="80">
        <v>30</v>
      </c>
      <c r="C57" s="80">
        <f ca="1">OFFSET(产销汇总!$C$12,$B57,$C$26)</f>
        <v>103</v>
      </c>
      <c r="D57" s="80">
        <f t="shared" si="6"/>
        <v>14100</v>
      </c>
      <c r="E57" s="80">
        <f ca="1">(SUMIF(主线推图!$B$4:$B$303,"&lt;"&amp;C57,主线推图!$M$4:$M$303)+SUMIF(主线宝箱!$B$320:$B$620,"&lt;"&amp;C57,主线宝箱!$L$320:$L$620)+SUMIF(主线宝箱!$B$320:$B$620,"&lt;"&amp;C57,主线宝箱!$X$320:$X$620)+SUMIF(主线宝箱!$B$320:$B$620,"&lt;"&amp;C57,主线宝箱!$AL$320:$AL$620))</f>
        <v>180600</v>
      </c>
      <c r="F57" s="98">
        <f ca="1">SUMIF(组队产出!$B$24:$B$39,"&lt;="&amp;MAX(1,INT(C57/10-0.6)),组队产出!$R$24:$R$39)</f>
        <v>64500</v>
      </c>
      <c r="G57" s="80">
        <f ca="1">SUMIF(运营活动!$O$3:$O$27,"&lt;="&amp;C57,运营活动!$P$3:$P$27)</f>
        <v>30000</v>
      </c>
      <c r="H57" s="80">
        <f ca="1">OFFSET(产销汇总!$AM$12,B57,$C$26)*24</f>
        <v>237384</v>
      </c>
      <c r="I57" s="172">
        <f ca="1">SUMIF(金币本!$F$2:$F$52,"&lt;="&amp;C57,金币本!$D$2:$D$52)</f>
        <v>459000</v>
      </c>
      <c r="J57" s="80">
        <f ca="1">OFFSET(产销汇总!$C$1,MATCH(J$27,产销汇总!$C$2:$C$8,0),$C$26)*(_xlfn.XLOOKUP(C57,主线推图!$B$313:$B$612,主线推图!$C$313:$C$612)+_xlfn.XLOOKUP(C57,主线推图!$B$313:$B$612,主线推图!$D$313:$D$612))</f>
        <v>10648</v>
      </c>
      <c r="K57" s="80">
        <f ca="1">OFFSET(产销汇总!$C$1,MATCH(K$27,产销汇总!$C$2:$C$8,0),$C$26)*_xlfn.XLOOKUP(C57,巡逻产出!$B$311:$B$610,巡逻产出!$C$311:$C$610)*1.3</f>
        <v>0</v>
      </c>
      <c r="L57" s="80">
        <f ca="1">OFFSET(产销汇总!$C$1,MATCH(L$27,产销汇总!$C$2:$C$8,0),$C$26)*(_xlfn.XLOOKUP(MAX(1,INT(C57/10-6/10)),组队产出!$B$24:$B$39,组队产出!$D$24:$D$39))+OFFSET(产销汇总!$C$1,MATCH(L$27,产销汇总!$C$2:$C$8,0),$C$26)*(_xlfn.XLOOKUP(MAX(1,INT(C57/10-6/10)),组队产出!$B$24:$B$39,组队产出!$C$24:$C$39))</f>
        <v>5736</v>
      </c>
      <c r="M57" s="80">
        <f ca="1">(OFFSET(产销汇总!$C$1,MATCH(M$27,产销汇总!$C$2:$C$8,0),$C$26)*_xlfn.XLOOKUP(C57,巡逻产出!$B$311:$B$610,巡逻产出!$D$311:$D$610))*$M$24</f>
        <v>7550.4</v>
      </c>
      <c r="N57" s="80">
        <f ca="1">OFFSET(产销汇总!$C$1,MATCH(L$27,产销汇总!$C$2:$C$8,0),$C$26)*(_xlfn.XLOOKUP(MAX(1,INT(C57/10-6/10)),组队产出!$B$24:$B$39,组队产出!$S$24:$S$39))</f>
        <v>12438</v>
      </c>
      <c r="O57" s="172">
        <f>任务!$D$36</f>
        <v>2457.14285714286</v>
      </c>
      <c r="P57" s="98">
        <f t="shared" si="7"/>
        <v>428</v>
      </c>
      <c r="Q57" s="80">
        <f t="shared" si="8"/>
        <v>1000</v>
      </c>
      <c r="R57" s="172">
        <f t="shared" si="9"/>
        <v>2000</v>
      </c>
      <c r="S57" s="210">
        <f ca="1">IFERROR(OFFSET(金币本!$E$2,MATCH(C57,金币本!$F$3:$F$302,1),0)*IF($C$26=1,2,3),0)</f>
        <v>22500</v>
      </c>
      <c r="T57" s="172" t="e">
        <f ca="1">SUM($J$28:S57)+SUM(D57:I57)</f>
        <v>#N/A</v>
      </c>
      <c r="U57" s="172" t="e">
        <f ca="1" t="shared" si="2"/>
        <v>#N/A</v>
      </c>
      <c r="V57" s="98" t="e">
        <f ca="1" t="shared" si="3"/>
        <v>#N/A</v>
      </c>
      <c r="W57" s="98" t="e">
        <f ca="1">OFFSET(装备强化!$U$6,MATCH(图纸产出设计!V58/6*W$26,装备强化!$T$7:$T$306,1),0)*6</f>
        <v>#N/A</v>
      </c>
      <c r="X57" s="98">
        <v>180350</v>
      </c>
      <c r="Y57" s="98">
        <f t="shared" si="10"/>
        <v>848000</v>
      </c>
      <c r="Z57" s="98">
        <f t="shared" si="12"/>
        <v>2</v>
      </c>
      <c r="AA57" s="147" t="e">
        <f ca="1" t="shared" si="4"/>
        <v>#N/A</v>
      </c>
      <c r="AB57" s="209" t="e">
        <f ca="1" t="shared" si="5"/>
        <v>#N/A</v>
      </c>
      <c r="AC57" s="209">
        <f ca="1">SUMIFS(装备强化!$Q$7:$Q$306,装备强化!$M$7:$M$306,"&lt;="&amp;MATCH(U57/6,装备强化!$U$7:$U$306,1),装备强化!$M$7:$M$306,"&gt;="&amp;MATCH(V57/6,装备强化!$U$7:$U$306,1))*6</f>
        <v>0</v>
      </c>
      <c r="AD57">
        <f ca="1" t="shared" si="11"/>
        <v>0</v>
      </c>
    </row>
    <row r="58" spans="1:30">
      <c r="A58" s="171"/>
      <c r="B58" s="80">
        <v>31</v>
      </c>
      <c r="C58" s="80">
        <f ca="1">OFFSET(产销汇总!$C$12,$B58,$C$26)</f>
        <v>104</v>
      </c>
      <c r="D58" s="80">
        <f t="shared" si="6"/>
        <v>14100</v>
      </c>
      <c r="E58" s="80">
        <f ca="1">(SUMIF(主线推图!$B$4:$B$303,"&lt;"&amp;C58,主线推图!$M$4:$M$303)+SUMIF(主线宝箱!$B$320:$B$620,"&lt;"&amp;C58,主线宝箱!$L$320:$L$620)+SUMIF(主线宝箱!$B$320:$B$620,"&lt;"&amp;C58,主线宝箱!$X$320:$X$620)+SUMIF(主线宝箱!$B$320:$B$620,"&lt;"&amp;C58,主线宝箱!$AL$320:$AL$620))</f>
        <v>182400</v>
      </c>
      <c r="F58" s="98">
        <f ca="1">SUMIF(组队产出!$B$24:$B$39,"&lt;="&amp;MAX(1,INT(C58/10-0.6)),组队产出!$R$24:$R$39)</f>
        <v>64500</v>
      </c>
      <c r="G58" s="80">
        <f ca="1">SUMIF(运营活动!$O$3:$O$27,"&lt;="&amp;C58,运营活动!$P$3:$P$27)</f>
        <v>30000</v>
      </c>
      <c r="H58" s="80">
        <f ca="1">OFFSET(产销汇总!$AM$12,B58,$C$26)*24</f>
        <v>244632</v>
      </c>
      <c r="I58" s="172">
        <f ca="1">SUMIF(金币本!$F$2:$F$52,"&lt;="&amp;C58,金币本!$D$2:$D$52)</f>
        <v>459000</v>
      </c>
      <c r="J58" s="80">
        <f ca="1">OFFSET(产销汇总!$C$1,MATCH(J$27,产销汇总!$C$2:$C$8,0),$C$26)*(_xlfn.XLOOKUP(C58,主线推图!$B$313:$B$612,主线推图!$C$313:$C$612)+_xlfn.XLOOKUP(C58,主线推图!$B$313:$B$612,主线推图!$D$313:$D$612))</f>
        <v>10692</v>
      </c>
      <c r="K58" s="80">
        <f ca="1">OFFSET(产销汇总!$C$1,MATCH(K$27,产销汇总!$C$2:$C$8,0),$C$26)*_xlfn.XLOOKUP(C58,巡逻产出!$B$311:$B$610,巡逻产出!$C$311:$C$610)*1.3</f>
        <v>0</v>
      </c>
      <c r="L58" s="80">
        <f ca="1">OFFSET(产销汇总!$C$1,MATCH(L$27,产销汇总!$C$2:$C$8,0),$C$26)*(_xlfn.XLOOKUP(MAX(1,INT(C58/10-6/10)),组队产出!$B$24:$B$39,组队产出!$D$24:$D$39))+OFFSET(产销汇总!$C$1,MATCH(L$27,产销汇总!$C$2:$C$8,0),$C$26)*(_xlfn.XLOOKUP(MAX(1,INT(C58/10-6/10)),组队产出!$B$24:$B$39,组队产出!$C$24:$C$39))</f>
        <v>5736</v>
      </c>
      <c r="M58" s="80">
        <f ca="1">(OFFSET(产销汇总!$C$1,MATCH(M$27,产销汇总!$C$2:$C$8,0),$C$26)*_xlfn.XLOOKUP(C58,巡逻产出!$B$311:$B$610,巡逻产出!$D$311:$D$610))*$M$24</f>
        <v>7581.6</v>
      </c>
      <c r="N58" s="80">
        <f ca="1">OFFSET(产销汇总!$C$1,MATCH(L$27,产销汇总!$C$2:$C$8,0),$C$26)*(_xlfn.XLOOKUP(MAX(1,INT(C58/10-6/10)),组队产出!$B$24:$B$39,组队产出!$S$24:$S$39))</f>
        <v>12438</v>
      </c>
      <c r="O58" s="172">
        <f>任务!$D$36</f>
        <v>2457.14285714286</v>
      </c>
      <c r="P58" s="98">
        <f t="shared" si="7"/>
        <v>428</v>
      </c>
      <c r="Q58" s="80">
        <f t="shared" si="8"/>
        <v>1000</v>
      </c>
      <c r="R58" s="172">
        <f t="shared" si="9"/>
        <v>2000</v>
      </c>
      <c r="S58" s="210">
        <f ca="1">IFERROR(OFFSET(金币本!$E$2,MATCH(C58,金币本!$F$3:$F$302,1),0)*IF($C$26=1,2,3),0)</f>
        <v>22500</v>
      </c>
      <c r="T58" s="172" t="e">
        <f ca="1">SUM($J$28:S58)+SUM(D58:I58)</f>
        <v>#N/A</v>
      </c>
      <c r="U58" s="172" t="e">
        <f ca="1" t="shared" si="2"/>
        <v>#N/A</v>
      </c>
      <c r="V58" s="98" t="e">
        <f ca="1" t="shared" si="3"/>
        <v>#N/A</v>
      </c>
      <c r="W58" s="98" t="e">
        <f ca="1">OFFSET(装备强化!$U$6,MATCH(图纸产出设计!V59/6*W$26,装备强化!$T$7:$T$306,1),0)*6</f>
        <v>#N/A</v>
      </c>
      <c r="X58" s="98">
        <v>180350</v>
      </c>
      <c r="Y58" s="98">
        <f t="shared" si="10"/>
        <v>880000</v>
      </c>
      <c r="Z58" s="98">
        <f t="shared" si="12"/>
        <v>2</v>
      </c>
      <c r="AA58" s="147" t="e">
        <f ca="1" t="shared" si="4"/>
        <v>#N/A</v>
      </c>
      <c r="AB58" s="209" t="e">
        <f ca="1" t="shared" si="5"/>
        <v>#N/A</v>
      </c>
      <c r="AC58" s="209">
        <f ca="1">SUMIFS(装备强化!$Q$7:$Q$306,装备强化!$M$7:$M$306,"&lt;="&amp;MATCH(U58/6,装备强化!$U$7:$U$306,1),装备强化!$M$7:$M$306,"&gt;="&amp;MATCH(V58/6,装备强化!$U$7:$U$306,1))*6</f>
        <v>0</v>
      </c>
      <c r="AD58">
        <f ca="1" t="shared" si="11"/>
        <v>0</v>
      </c>
    </row>
    <row r="59" spans="1:30">
      <c r="A59" s="171"/>
      <c r="B59" s="80">
        <v>32</v>
      </c>
      <c r="C59" s="80">
        <f ca="1">OFFSET(产销汇总!$C$12,$B59,$C$26)</f>
        <v>105</v>
      </c>
      <c r="D59" s="80">
        <f t="shared" si="6"/>
        <v>14100</v>
      </c>
      <c r="E59" s="80">
        <f ca="1">(SUMIF(主线推图!$B$4:$B$303,"&lt;"&amp;C59,主线推图!$M$4:$M$303)+SUMIF(主线宝箱!$B$320:$B$620,"&lt;"&amp;C59,主线宝箱!$L$320:$L$620)+SUMIF(主线宝箱!$B$320:$B$620,"&lt;"&amp;C59,主线宝箱!$X$320:$X$620)+SUMIF(主线宝箱!$B$320:$B$620,"&lt;"&amp;C59,主线宝箱!$AL$320:$AL$620))</f>
        <v>184200</v>
      </c>
      <c r="F59" s="98">
        <f ca="1">SUMIF(组队产出!$B$24:$B$39,"&lt;="&amp;MAX(1,INT(C59/10-0.6)),组队产出!$R$24:$R$39)</f>
        <v>64500</v>
      </c>
      <c r="G59" s="80">
        <f ca="1">SUMIF(运营活动!$O$3:$O$27,"&lt;="&amp;C59,运营活动!$P$3:$P$27)</f>
        <v>30000</v>
      </c>
      <c r="H59" s="80">
        <f ca="1">OFFSET(产销汇总!$AM$12,B59,$C$26)*24</f>
        <v>251880</v>
      </c>
      <c r="I59" s="172">
        <f ca="1">SUMIF(金币本!$F$2:$F$52,"&lt;="&amp;C59,金币本!$D$2:$D$52)</f>
        <v>459000</v>
      </c>
      <c r="J59" s="80">
        <f ca="1">OFFSET(产销汇总!$C$1,MATCH(J$27,产销汇总!$C$2:$C$8,0),$C$26)*(_xlfn.XLOOKUP(C59,主线推图!$B$313:$B$612,主线推图!$C$313:$C$612)+_xlfn.XLOOKUP(C59,主线推图!$B$313:$B$612,主线推图!$D$313:$D$612))</f>
        <v>10736</v>
      </c>
      <c r="K59" s="80">
        <f ca="1">OFFSET(产销汇总!$C$1,MATCH(K$27,产销汇总!$C$2:$C$8,0),$C$26)*_xlfn.XLOOKUP(C59,巡逻产出!$B$311:$B$610,巡逻产出!$C$311:$C$610)*1.3</f>
        <v>0</v>
      </c>
      <c r="L59" s="80">
        <f ca="1">OFFSET(产销汇总!$C$1,MATCH(L$27,产销汇总!$C$2:$C$8,0),$C$26)*(_xlfn.XLOOKUP(MAX(1,INT(C59/10-6/10)),组队产出!$B$24:$B$39,组队产出!$D$24:$D$39))+OFFSET(产销汇总!$C$1,MATCH(L$27,产销汇总!$C$2:$C$8,0),$C$26)*(_xlfn.XLOOKUP(MAX(1,INT(C59/10-6/10)),组队产出!$B$24:$B$39,组队产出!$C$24:$C$39))</f>
        <v>5736</v>
      </c>
      <c r="M59" s="80">
        <f ca="1">(OFFSET(产销汇总!$C$1,MATCH(M$27,产销汇总!$C$2:$C$8,0),$C$26)*_xlfn.XLOOKUP(C59,巡逻产出!$B$311:$B$610,巡逻产出!$D$311:$D$610))*$M$24</f>
        <v>7612.8</v>
      </c>
      <c r="N59" s="80">
        <f ca="1">OFFSET(产销汇总!$C$1,MATCH(L$27,产销汇总!$C$2:$C$8,0),$C$26)*(_xlfn.XLOOKUP(MAX(1,INT(C59/10-6/10)),组队产出!$B$24:$B$39,组队产出!$S$24:$S$39))</f>
        <v>12438</v>
      </c>
      <c r="O59" s="172">
        <f>任务!$D$36</f>
        <v>2457.14285714286</v>
      </c>
      <c r="P59" s="98">
        <f t="shared" si="7"/>
        <v>428</v>
      </c>
      <c r="Q59" s="80">
        <f t="shared" si="8"/>
        <v>1000</v>
      </c>
      <c r="R59" s="172">
        <f t="shared" si="9"/>
        <v>2000</v>
      </c>
      <c r="S59" s="210">
        <f ca="1">IFERROR(OFFSET(金币本!$E$2,MATCH(C59,金币本!$F$3:$F$302,1),0)*IF($C$26=1,2,3),0)</f>
        <v>22500</v>
      </c>
      <c r="T59" s="172" t="e">
        <f ca="1">SUM($J$28:S59)+SUM(D59:I59)</f>
        <v>#N/A</v>
      </c>
      <c r="U59" s="172" t="e">
        <f ca="1" t="shared" si="2"/>
        <v>#N/A</v>
      </c>
      <c r="V59" s="98" t="e">
        <f ca="1" t="shared" si="3"/>
        <v>#N/A</v>
      </c>
      <c r="W59" s="98" t="e">
        <f ca="1">OFFSET(装备强化!$U$6,MATCH(图纸产出设计!V60/6*W$26,装备强化!$T$7:$T$306,1),0)*6</f>
        <v>#N/A</v>
      </c>
      <c r="X59" s="98">
        <v>185410</v>
      </c>
      <c r="Y59" s="98">
        <f t="shared" si="10"/>
        <v>912000</v>
      </c>
      <c r="Z59" s="98">
        <f t="shared" si="12"/>
        <v>2</v>
      </c>
      <c r="AA59" s="147" t="e">
        <f ca="1" t="shared" si="4"/>
        <v>#N/A</v>
      </c>
      <c r="AB59" s="209" t="e">
        <f ca="1" t="shared" si="5"/>
        <v>#N/A</v>
      </c>
      <c r="AC59" s="209">
        <f ca="1">SUMIFS(装备强化!$Q$7:$Q$306,装备强化!$M$7:$M$306,"&lt;="&amp;MATCH(U59/6,装备强化!$U$7:$U$306,1),装备强化!$M$7:$M$306,"&gt;="&amp;MATCH(V59/6,装备强化!$U$7:$U$306,1))*6</f>
        <v>0</v>
      </c>
      <c r="AD59">
        <f ca="1" t="shared" si="11"/>
        <v>0</v>
      </c>
    </row>
    <row r="60" spans="1:30">
      <c r="A60" s="171"/>
      <c r="B60" s="80">
        <v>33</v>
      </c>
      <c r="C60" s="80">
        <f ca="1">OFFSET(产销汇总!$C$12,$B60,$C$26)</f>
        <v>106</v>
      </c>
      <c r="D60" s="80">
        <f t="shared" si="6"/>
        <v>14100</v>
      </c>
      <c r="E60" s="80">
        <f ca="1">(SUMIF(主线推图!$B$4:$B$303,"&lt;"&amp;C60,主线推图!$M$4:$M$303)+SUMIF(主线宝箱!$B$320:$B$620,"&lt;"&amp;C60,主线宝箱!$L$320:$L$620)+SUMIF(主线宝箱!$B$320:$B$620,"&lt;"&amp;C60,主线宝箱!$X$320:$X$620)+SUMIF(主线宝箱!$B$320:$B$620,"&lt;"&amp;C60,主线宝箱!$AL$320:$AL$620))</f>
        <v>186000</v>
      </c>
      <c r="F60" s="98">
        <f ca="1">SUMIF(组队产出!$B$24:$B$39,"&lt;="&amp;MAX(1,INT(C60/10-0.6)),组队产出!$R$24:$R$39)</f>
        <v>75000</v>
      </c>
      <c r="G60" s="80">
        <f ca="1">SUMIF(运营活动!$O$3:$O$27,"&lt;="&amp;C60,运营活动!$P$3:$P$27)</f>
        <v>30000</v>
      </c>
      <c r="H60" s="80">
        <f ca="1">OFFSET(产销汇总!$AM$12,B60,$C$26)*24</f>
        <v>259152</v>
      </c>
      <c r="I60" s="172">
        <f ca="1">SUMIF(金币本!$F$2:$F$52,"&lt;="&amp;C60,金币本!$D$2:$D$52)</f>
        <v>459000</v>
      </c>
      <c r="J60" s="80">
        <f ca="1">OFFSET(产销汇总!$C$1,MATCH(J$27,产销汇总!$C$2:$C$8,0),$C$26)*(_xlfn.XLOOKUP(C60,主线推图!$B$313:$B$612,主线推图!$C$313:$C$612)+_xlfn.XLOOKUP(C60,主线推图!$B$313:$B$612,主线推图!$D$313:$D$612))</f>
        <v>10780</v>
      </c>
      <c r="K60" s="80">
        <f ca="1">OFFSET(产销汇总!$C$1,MATCH(K$27,产销汇总!$C$2:$C$8,0),$C$26)*_xlfn.XLOOKUP(C60,巡逻产出!$B$311:$B$610,巡逻产出!$C$311:$C$610)*1.3</f>
        <v>0</v>
      </c>
      <c r="L60" s="80">
        <f ca="1">OFFSET(产销汇总!$C$1,MATCH(L$27,产销汇总!$C$2:$C$8,0),$C$26)*(_xlfn.XLOOKUP(MAX(1,INT(C60/10-6/10)),组队产出!$B$24:$B$39,组队产出!$D$24:$D$39))+OFFSET(产销汇总!$C$1,MATCH(L$27,产销汇总!$C$2:$C$8,0),$C$26)*(_xlfn.XLOOKUP(MAX(1,INT(C60/10-6/10)),组队产出!$B$24:$B$39,组队产出!$C$24:$C$39))</f>
        <v>5976</v>
      </c>
      <c r="M60" s="80">
        <f ca="1">(OFFSET(产销汇总!$C$1,MATCH(M$27,产销汇总!$C$2:$C$8,0),$C$26)*_xlfn.XLOOKUP(C60,巡逻产出!$B$311:$B$610,巡逻产出!$D$311:$D$610))*$M$24</f>
        <v>7644</v>
      </c>
      <c r="N60" s="80">
        <f ca="1">OFFSET(产销汇总!$C$1,MATCH(L$27,产销汇总!$C$2:$C$8,0),$C$26)*(_xlfn.XLOOKUP(MAX(1,INT(C60/10-6/10)),组队产出!$B$24:$B$39,组队产出!$S$24:$S$39))</f>
        <v>13068</v>
      </c>
      <c r="O60" s="172">
        <f>任务!$D$36</f>
        <v>2457.14285714286</v>
      </c>
      <c r="P60" s="98">
        <f t="shared" si="7"/>
        <v>428</v>
      </c>
      <c r="Q60" s="80">
        <f t="shared" si="8"/>
        <v>1000</v>
      </c>
      <c r="R60" s="172">
        <f t="shared" si="9"/>
        <v>2000</v>
      </c>
      <c r="S60" s="210">
        <f ca="1">IFERROR(OFFSET(金币本!$E$2,MATCH(C60,金币本!$F$3:$F$302,1),0)*IF($C$26=1,2,3),0)</f>
        <v>22500</v>
      </c>
      <c r="T60" s="172" t="e">
        <f ca="1">SUM($J$28:S60)+SUM(D60:I60)</f>
        <v>#N/A</v>
      </c>
      <c r="U60" s="172" t="e">
        <f ca="1" t="shared" si="2"/>
        <v>#N/A</v>
      </c>
      <c r="V60" s="98" t="e">
        <f ca="1" t="shared" si="3"/>
        <v>#N/A</v>
      </c>
      <c r="W60" s="98" t="e">
        <f ca="1">OFFSET(装备强化!$U$6,MATCH(图纸产出设计!V61/6*W$26,装备强化!$T$7:$T$306,1),0)*6</f>
        <v>#N/A</v>
      </c>
      <c r="X60" s="98">
        <v>190540</v>
      </c>
      <c r="Y60" s="98">
        <f t="shared" si="10"/>
        <v>944000</v>
      </c>
      <c r="Z60" s="98">
        <f t="shared" si="12"/>
        <v>2</v>
      </c>
      <c r="AA60" s="147" t="e">
        <f ca="1" t="shared" si="4"/>
        <v>#N/A</v>
      </c>
      <c r="AB60" s="209" t="e">
        <f ca="1" t="shared" si="5"/>
        <v>#N/A</v>
      </c>
      <c r="AC60" s="209">
        <f ca="1">SUMIFS(装备强化!$Q$7:$Q$306,装备强化!$M$7:$M$306,"&lt;="&amp;MATCH(U60/6,装备强化!$U$7:$U$306,1),装备强化!$M$7:$M$306,"&gt;="&amp;MATCH(V60/6,装备强化!$U$7:$U$306,1))*6</f>
        <v>0</v>
      </c>
      <c r="AD60">
        <f ca="1" t="shared" si="11"/>
        <v>0</v>
      </c>
    </row>
    <row r="61" spans="1:30">
      <c r="A61" s="171"/>
      <c r="B61" s="80">
        <v>34</v>
      </c>
      <c r="C61" s="80">
        <f ca="1">OFFSET(产销汇总!$C$12,$B61,$C$26)</f>
        <v>107</v>
      </c>
      <c r="D61" s="80">
        <f t="shared" si="6"/>
        <v>14100</v>
      </c>
      <c r="E61" s="80">
        <f ca="1">(SUMIF(主线推图!$B$4:$B$303,"&lt;"&amp;C61,主线推图!$M$4:$M$303)+SUMIF(主线宝箱!$B$320:$B$620,"&lt;"&amp;C61,主线宝箱!$L$320:$L$620)+SUMIF(主线宝箱!$B$320:$B$620,"&lt;"&amp;C61,主线宝箱!$X$320:$X$620)+SUMIF(主线宝箱!$B$320:$B$620,"&lt;"&amp;C61,主线宝箱!$AL$320:$AL$620))</f>
        <v>187800</v>
      </c>
      <c r="F61" s="98">
        <f ca="1">SUMIF(组队产出!$B$24:$B$39,"&lt;="&amp;MAX(1,INT(C61/10-0.6)),组队产出!$R$24:$R$39)</f>
        <v>75000</v>
      </c>
      <c r="G61" s="80">
        <f ca="1">SUMIF(运营活动!$O$3:$O$27,"&lt;="&amp;C61,运营活动!$P$3:$P$27)</f>
        <v>30000</v>
      </c>
      <c r="H61" s="80">
        <f ca="1">OFFSET(产销汇总!$AM$12,B61,$C$26)*24</f>
        <v>266400</v>
      </c>
      <c r="I61" s="172">
        <f ca="1">SUMIF(金币本!$F$2:$F$52,"&lt;="&amp;C61,金币本!$D$2:$D$52)</f>
        <v>490000</v>
      </c>
      <c r="J61" s="80">
        <f ca="1">OFFSET(产销汇总!$C$1,MATCH(J$27,产销汇总!$C$2:$C$8,0),$C$26)*(_xlfn.XLOOKUP(C61,主线推图!$B$313:$B$612,主线推图!$C$313:$C$612)+_xlfn.XLOOKUP(C61,主线推图!$B$313:$B$612,主线推图!$D$313:$D$612))</f>
        <v>10824</v>
      </c>
      <c r="K61" s="80">
        <f ca="1">OFFSET(产销汇总!$C$1,MATCH(K$27,产销汇总!$C$2:$C$8,0),$C$26)*_xlfn.XLOOKUP(C61,巡逻产出!$B$311:$B$610,巡逻产出!$C$311:$C$610)*1.3</f>
        <v>0</v>
      </c>
      <c r="L61" s="80">
        <f ca="1">OFFSET(产销汇总!$C$1,MATCH(L$27,产销汇总!$C$2:$C$8,0),$C$26)*(_xlfn.XLOOKUP(MAX(1,INT(C61/10-6/10)),组队产出!$B$24:$B$39,组队产出!$D$24:$D$39))+OFFSET(产销汇总!$C$1,MATCH(L$27,产销汇总!$C$2:$C$8,0),$C$26)*(_xlfn.XLOOKUP(MAX(1,INT(C61/10-6/10)),组队产出!$B$24:$B$39,组队产出!$C$24:$C$39))</f>
        <v>5976</v>
      </c>
      <c r="M61" s="80">
        <f ca="1">(OFFSET(产销汇总!$C$1,MATCH(M$27,产销汇总!$C$2:$C$8,0),$C$26)*_xlfn.XLOOKUP(C61,巡逻产出!$B$311:$B$610,巡逻产出!$D$311:$D$610))*$M$24</f>
        <v>7675.2</v>
      </c>
      <c r="N61" s="80">
        <f ca="1">OFFSET(产销汇总!$C$1,MATCH(L$27,产销汇总!$C$2:$C$8,0),$C$26)*(_xlfn.XLOOKUP(MAX(1,INT(C61/10-6/10)),组队产出!$B$24:$B$39,组队产出!$S$24:$S$39))</f>
        <v>13068</v>
      </c>
      <c r="O61" s="172">
        <f>任务!$D$36</f>
        <v>2457.14285714286</v>
      </c>
      <c r="P61" s="98">
        <f t="shared" si="7"/>
        <v>428</v>
      </c>
      <c r="Q61" s="80">
        <f t="shared" si="8"/>
        <v>1000</v>
      </c>
      <c r="R61" s="172">
        <f t="shared" si="9"/>
        <v>2000</v>
      </c>
      <c r="S61" s="210">
        <f ca="1">IFERROR(OFFSET(金币本!$E$2,MATCH(C61,金币本!$F$3:$F$302,1),0)*IF($C$26=1,2,3),0)</f>
        <v>23250</v>
      </c>
      <c r="T61" s="172" t="e">
        <f ca="1">SUM($J$28:S61)+SUM(D61:I61)</f>
        <v>#N/A</v>
      </c>
      <c r="U61" s="172" t="e">
        <f ca="1" t="shared" si="2"/>
        <v>#N/A</v>
      </c>
      <c r="V61" s="98" t="e">
        <f ca="1" t="shared" si="3"/>
        <v>#N/A</v>
      </c>
      <c r="W61" s="98" t="e">
        <f ca="1">OFFSET(装备强化!$U$6,MATCH(图纸产出设计!V62/6*W$26,装备强化!$T$7:$T$306,1),0)*6</f>
        <v>#N/A</v>
      </c>
      <c r="X61" s="98">
        <v>190540</v>
      </c>
      <c r="Y61" s="98">
        <f t="shared" si="10"/>
        <v>976000</v>
      </c>
      <c r="Z61" s="98">
        <f t="shared" si="12"/>
        <v>2</v>
      </c>
      <c r="AA61" s="147" t="e">
        <f ca="1" t="shared" si="4"/>
        <v>#N/A</v>
      </c>
      <c r="AB61" s="209" t="e">
        <f ca="1" t="shared" si="5"/>
        <v>#N/A</v>
      </c>
      <c r="AC61" s="209">
        <f ca="1">SUMIFS(装备强化!$Q$7:$Q$306,装备强化!$M$7:$M$306,"&lt;="&amp;MATCH(U61/6,装备强化!$U$7:$U$306,1),装备强化!$M$7:$M$306,"&gt;="&amp;MATCH(V61/6,装备强化!$U$7:$U$306,1))*6</f>
        <v>0</v>
      </c>
      <c r="AD61">
        <f ca="1" t="shared" si="11"/>
        <v>0</v>
      </c>
    </row>
    <row r="62" spans="1:30">
      <c r="A62" s="171"/>
      <c r="B62" s="80">
        <v>35</v>
      </c>
      <c r="C62" s="80">
        <f ca="1">OFFSET(产销汇总!$C$12,$B62,$C$26)</f>
        <v>108</v>
      </c>
      <c r="D62" s="80">
        <f t="shared" si="6"/>
        <v>14100</v>
      </c>
      <c r="E62" s="80">
        <f ca="1">(SUMIF(主线推图!$B$4:$B$303,"&lt;"&amp;C62,主线推图!$M$4:$M$303)+SUMIF(主线宝箱!$B$320:$B$620,"&lt;"&amp;C62,主线宝箱!$L$320:$L$620)+SUMIF(主线宝箱!$B$320:$B$620,"&lt;"&amp;C62,主线宝箱!$X$320:$X$620)+SUMIF(主线宝箱!$B$320:$B$620,"&lt;"&amp;C62,主线宝箱!$AL$320:$AL$620))</f>
        <v>189600</v>
      </c>
      <c r="F62" s="98">
        <f ca="1">SUMIF(组队产出!$B$24:$B$39,"&lt;="&amp;MAX(1,INT(C62/10-0.6)),组队产出!$R$24:$R$39)</f>
        <v>75000</v>
      </c>
      <c r="G62" s="80">
        <f ca="1">SUMIF(运营活动!$O$3:$O$27,"&lt;="&amp;C62,运营活动!$P$3:$P$27)</f>
        <v>30000</v>
      </c>
      <c r="H62" s="80">
        <f ca="1">OFFSET(产销汇总!$AM$12,B62,$C$26)*24</f>
        <v>273648</v>
      </c>
      <c r="I62" s="172">
        <f ca="1">SUMIF(金币本!$F$2:$F$52,"&lt;="&amp;C62,金币本!$D$2:$D$52)</f>
        <v>490000</v>
      </c>
      <c r="J62" s="80">
        <f ca="1">OFFSET(产销汇总!$C$1,MATCH(J$27,产销汇总!$C$2:$C$8,0),$C$26)*(_xlfn.XLOOKUP(C62,主线推图!$B$313:$B$612,主线推图!$C$313:$C$612)+_xlfn.XLOOKUP(C62,主线推图!$B$313:$B$612,主线推图!$D$313:$D$612))</f>
        <v>10868</v>
      </c>
      <c r="K62" s="80">
        <f ca="1">OFFSET(产销汇总!$C$1,MATCH(K$27,产销汇总!$C$2:$C$8,0),$C$26)*_xlfn.XLOOKUP(C62,巡逻产出!$B$311:$B$610,巡逻产出!$C$311:$C$610)*1.3</f>
        <v>0</v>
      </c>
      <c r="L62" s="80">
        <f ca="1">OFFSET(产销汇总!$C$1,MATCH(L$27,产销汇总!$C$2:$C$8,0),$C$26)*(_xlfn.XLOOKUP(MAX(1,INT(C62/10-6/10)),组队产出!$B$24:$B$39,组队产出!$D$24:$D$39))+OFFSET(产销汇总!$C$1,MATCH(L$27,产销汇总!$C$2:$C$8,0),$C$26)*(_xlfn.XLOOKUP(MAX(1,INT(C62/10-6/10)),组队产出!$B$24:$B$39,组队产出!$C$24:$C$39))</f>
        <v>5976</v>
      </c>
      <c r="M62" s="80">
        <f ca="1">(OFFSET(产销汇总!$C$1,MATCH(M$27,产销汇总!$C$2:$C$8,0),$C$26)*_xlfn.XLOOKUP(C62,巡逻产出!$B$311:$B$610,巡逻产出!$D$311:$D$610))*$M$24</f>
        <v>7706.4</v>
      </c>
      <c r="N62" s="80">
        <f ca="1">OFFSET(产销汇总!$C$1,MATCH(L$27,产销汇总!$C$2:$C$8,0),$C$26)*(_xlfn.XLOOKUP(MAX(1,INT(C62/10-6/10)),组队产出!$B$24:$B$39,组队产出!$S$24:$S$39))</f>
        <v>13068</v>
      </c>
      <c r="O62" s="172">
        <f>任务!$D$36</f>
        <v>2457.14285714286</v>
      </c>
      <c r="P62" s="98">
        <f t="shared" si="7"/>
        <v>428</v>
      </c>
      <c r="Q62" s="80">
        <f t="shared" si="8"/>
        <v>1000</v>
      </c>
      <c r="R62" s="172">
        <f t="shared" si="9"/>
        <v>2000</v>
      </c>
      <c r="S62" s="210">
        <f ca="1">IFERROR(OFFSET(金币本!$E$2,MATCH(C62,金币本!$F$3:$F$302,1),0)*IF($C$26=1,2,3),0)</f>
        <v>23250</v>
      </c>
      <c r="T62" s="172" t="e">
        <f ca="1">SUM($J$28:S62)+SUM(D62:I62)</f>
        <v>#N/A</v>
      </c>
      <c r="U62" s="172" t="e">
        <f ca="1" t="shared" si="2"/>
        <v>#N/A</v>
      </c>
      <c r="V62" s="98" t="e">
        <f ca="1" t="shared" si="3"/>
        <v>#N/A</v>
      </c>
      <c r="W62" s="98" t="e">
        <f ca="1">OFFSET(装备强化!$U$6,MATCH(图纸产出设计!V63/6*W$26,装备强化!$T$7:$T$306,1),0)*6</f>
        <v>#N/A</v>
      </c>
      <c r="X62" s="98">
        <v>195740</v>
      </c>
      <c r="Y62" s="98">
        <f t="shared" si="10"/>
        <v>1008000</v>
      </c>
      <c r="Z62" s="98">
        <f t="shared" si="12"/>
        <v>2</v>
      </c>
      <c r="AA62" s="147" t="e">
        <f ca="1" t="shared" si="4"/>
        <v>#N/A</v>
      </c>
      <c r="AB62" s="209" t="e">
        <f ca="1" t="shared" si="5"/>
        <v>#N/A</v>
      </c>
      <c r="AC62" s="209">
        <f ca="1">SUMIFS(装备强化!$Q$7:$Q$306,装备强化!$M$7:$M$306,"&lt;="&amp;MATCH(U62/6,装备强化!$U$7:$U$306,1),装备强化!$M$7:$M$306,"&gt;="&amp;MATCH(V62/6,装备强化!$U$7:$U$306,1))*6</f>
        <v>0</v>
      </c>
      <c r="AD62">
        <f ca="1" t="shared" si="11"/>
        <v>0</v>
      </c>
    </row>
    <row r="63" spans="1:30">
      <c r="A63" s="171"/>
      <c r="B63" s="80">
        <v>36</v>
      </c>
      <c r="C63" s="80">
        <f ca="1">OFFSET(产销汇总!$C$12,$B63,$C$26)</f>
        <v>109</v>
      </c>
      <c r="D63" s="80">
        <f t="shared" si="6"/>
        <v>14100</v>
      </c>
      <c r="E63" s="80">
        <f ca="1">(SUMIF(主线推图!$B$4:$B$303,"&lt;"&amp;C63,主线推图!$M$4:$M$303)+SUMIF(主线宝箱!$B$320:$B$620,"&lt;"&amp;C63,主线宝箱!$L$320:$L$620)+SUMIF(主线宝箱!$B$320:$B$620,"&lt;"&amp;C63,主线宝箱!$X$320:$X$620)+SUMIF(主线宝箱!$B$320:$B$620,"&lt;"&amp;C63,主线宝箱!$AL$320:$AL$620))</f>
        <v>191400</v>
      </c>
      <c r="F63" s="98">
        <f ca="1">SUMIF(组队产出!$B$24:$B$39,"&lt;="&amp;MAX(1,INT(C63/10-0.6)),组队产出!$R$24:$R$39)</f>
        <v>75000</v>
      </c>
      <c r="G63" s="80">
        <f ca="1">SUMIF(运营活动!$O$3:$O$27,"&lt;="&amp;C63,运营活动!$P$3:$P$27)</f>
        <v>30000</v>
      </c>
      <c r="H63" s="80">
        <f ca="1">OFFSET(产销汇总!$AM$12,B63,$C$26)*24</f>
        <v>280896</v>
      </c>
      <c r="I63" s="172">
        <f ca="1">SUMIF(金币本!$F$2:$F$52,"&lt;="&amp;C63,金币本!$D$2:$D$52)</f>
        <v>490000</v>
      </c>
      <c r="J63" s="80">
        <f ca="1">OFFSET(产销汇总!$C$1,MATCH(J$27,产销汇总!$C$2:$C$8,0),$C$26)*(_xlfn.XLOOKUP(C63,主线推图!$B$313:$B$612,主线推图!$C$313:$C$612)+_xlfn.XLOOKUP(C63,主线推图!$B$313:$B$612,主线推图!$D$313:$D$612))</f>
        <v>10912</v>
      </c>
      <c r="K63" s="80">
        <f ca="1">OFFSET(产销汇总!$C$1,MATCH(K$27,产销汇总!$C$2:$C$8,0),$C$26)*_xlfn.XLOOKUP(C63,巡逻产出!$B$311:$B$610,巡逻产出!$C$311:$C$610)*1.3</f>
        <v>0</v>
      </c>
      <c r="L63" s="80">
        <f ca="1">OFFSET(产销汇总!$C$1,MATCH(L$27,产销汇总!$C$2:$C$8,0),$C$26)*(_xlfn.XLOOKUP(MAX(1,INT(C63/10-6/10)),组队产出!$B$24:$B$39,组队产出!$D$24:$D$39))+OFFSET(产销汇总!$C$1,MATCH(L$27,产销汇总!$C$2:$C$8,0),$C$26)*(_xlfn.XLOOKUP(MAX(1,INT(C63/10-6/10)),组队产出!$B$24:$B$39,组队产出!$C$24:$C$39))</f>
        <v>5976</v>
      </c>
      <c r="M63" s="80">
        <f ca="1">(OFFSET(产销汇总!$C$1,MATCH(M$27,产销汇总!$C$2:$C$8,0),$C$26)*_xlfn.XLOOKUP(C63,巡逻产出!$B$311:$B$610,巡逻产出!$D$311:$D$610))*$M$24</f>
        <v>7737.6</v>
      </c>
      <c r="N63" s="80">
        <f ca="1">OFFSET(产销汇总!$C$1,MATCH(L$27,产销汇总!$C$2:$C$8,0),$C$26)*(_xlfn.XLOOKUP(MAX(1,INT(C63/10-6/10)),组队产出!$B$24:$B$39,组队产出!$S$24:$S$39))</f>
        <v>13068</v>
      </c>
      <c r="O63" s="172">
        <f>任务!$D$36</f>
        <v>2457.14285714286</v>
      </c>
      <c r="P63" s="98">
        <f t="shared" si="7"/>
        <v>428</v>
      </c>
      <c r="Q63" s="80">
        <f t="shared" si="8"/>
        <v>1500</v>
      </c>
      <c r="R63" s="172">
        <f t="shared" si="9"/>
        <v>2000</v>
      </c>
      <c r="S63" s="210">
        <f ca="1">IFERROR(OFFSET(金币本!$E$2,MATCH(C63,金币本!$F$3:$F$302,1),0)*IF($C$26=1,2,3),0)</f>
        <v>23250</v>
      </c>
      <c r="T63" s="172" t="e">
        <f ca="1">SUM($J$28:S63)+SUM(D63:I63)</f>
        <v>#N/A</v>
      </c>
      <c r="U63" s="172" t="e">
        <f ca="1" t="shared" si="2"/>
        <v>#N/A</v>
      </c>
      <c r="V63" s="98" t="e">
        <f ca="1" t="shared" si="3"/>
        <v>#N/A</v>
      </c>
      <c r="W63" s="98" t="e">
        <f ca="1">OFFSET(装备强化!$U$6,MATCH(图纸产出设计!V64/6*W$26,装备强化!$T$7:$T$306,1),0)*6</f>
        <v>#N/A</v>
      </c>
      <c r="X63" s="98">
        <v>201010</v>
      </c>
      <c r="Y63" s="98">
        <f t="shared" si="10"/>
        <v>1040000</v>
      </c>
      <c r="Z63" s="98">
        <f t="shared" si="12"/>
        <v>2</v>
      </c>
      <c r="AA63" s="147" t="e">
        <f ca="1" t="shared" si="4"/>
        <v>#N/A</v>
      </c>
      <c r="AB63" s="209" t="e">
        <f ca="1" t="shared" si="5"/>
        <v>#N/A</v>
      </c>
      <c r="AC63" s="209">
        <f ca="1">SUMIFS(装备强化!$Q$7:$Q$306,装备强化!$M$7:$M$306,"&lt;="&amp;MATCH(U63/6,装备强化!$U$7:$U$306,1),装备强化!$M$7:$M$306,"&gt;="&amp;MATCH(V63/6,装备强化!$U$7:$U$306,1))*6</f>
        <v>0</v>
      </c>
      <c r="AD63">
        <f ca="1" t="shared" si="11"/>
        <v>0</v>
      </c>
    </row>
    <row r="64" spans="1:30">
      <c r="A64" s="171"/>
      <c r="B64" s="80">
        <v>37</v>
      </c>
      <c r="C64" s="80">
        <f ca="1">OFFSET(产销汇总!$C$12,$B64,$C$26)</f>
        <v>110</v>
      </c>
      <c r="D64" s="80">
        <f t="shared" si="6"/>
        <v>14100</v>
      </c>
      <c r="E64" s="80">
        <f ca="1">(SUMIF(主线推图!$B$4:$B$303,"&lt;"&amp;C64,主线推图!$M$4:$M$303)+SUMIF(主线宝箱!$B$320:$B$620,"&lt;"&amp;C64,主线宝箱!$L$320:$L$620)+SUMIF(主线宝箱!$B$320:$B$620,"&lt;"&amp;C64,主线宝箱!$X$320:$X$620)+SUMIF(主线宝箱!$B$320:$B$620,"&lt;"&amp;C64,主线宝箱!$AL$320:$AL$620))</f>
        <v>193200</v>
      </c>
      <c r="F64" s="98">
        <f ca="1">SUMIF(组队产出!$B$24:$B$39,"&lt;="&amp;MAX(1,INT(C64/10-0.6)),组队产出!$R$24:$R$39)</f>
        <v>75000</v>
      </c>
      <c r="G64" s="80">
        <f ca="1">SUMIF(运营活动!$O$3:$O$27,"&lt;="&amp;C64,运营活动!$P$3:$P$27)</f>
        <v>30000</v>
      </c>
      <c r="H64" s="80">
        <f ca="1">OFFSET(产销汇总!$AM$12,B64,$C$26)*24</f>
        <v>288144</v>
      </c>
      <c r="I64" s="172">
        <f ca="1">SUMIF(金币本!$F$2:$F$52,"&lt;="&amp;C64,金币本!$D$2:$D$52)</f>
        <v>490000</v>
      </c>
      <c r="J64" s="80">
        <f ca="1">OFFSET(产销汇总!$C$1,MATCH(J$27,产销汇总!$C$2:$C$8,0),$C$26)*(_xlfn.XLOOKUP(C64,主线推图!$B$313:$B$612,主线推图!$C$313:$C$612)+_xlfn.XLOOKUP(C64,主线推图!$B$313:$B$612,主线推图!$D$313:$D$612))</f>
        <v>10956</v>
      </c>
      <c r="K64" s="80">
        <f ca="1">OFFSET(产销汇总!$C$1,MATCH(K$27,产销汇总!$C$2:$C$8,0),$C$26)*_xlfn.XLOOKUP(C64,巡逻产出!$B$311:$B$610,巡逻产出!$C$311:$C$610)*1.3</f>
        <v>0</v>
      </c>
      <c r="L64" s="80">
        <f ca="1">OFFSET(产销汇总!$C$1,MATCH(L$27,产销汇总!$C$2:$C$8,0),$C$26)*(_xlfn.XLOOKUP(MAX(1,INT(C64/10-6/10)),组队产出!$B$24:$B$39,组队产出!$D$24:$D$39))+OFFSET(产销汇总!$C$1,MATCH(L$27,产销汇总!$C$2:$C$8,0),$C$26)*(_xlfn.XLOOKUP(MAX(1,INT(C64/10-6/10)),组队产出!$B$24:$B$39,组队产出!$C$24:$C$39))</f>
        <v>5976</v>
      </c>
      <c r="M64" s="80">
        <f ca="1">(OFFSET(产销汇总!$C$1,MATCH(M$27,产销汇总!$C$2:$C$8,0),$C$26)*_xlfn.XLOOKUP(C64,巡逻产出!$B$311:$B$610,巡逻产出!$D$311:$D$610))*$M$24</f>
        <v>7768.8</v>
      </c>
      <c r="N64" s="80">
        <f ca="1">OFFSET(产销汇总!$C$1,MATCH(L$27,产销汇总!$C$2:$C$8,0),$C$26)*(_xlfn.XLOOKUP(MAX(1,INT(C64/10-6/10)),组队产出!$B$24:$B$39,组队产出!$S$24:$S$39))</f>
        <v>13068</v>
      </c>
      <c r="O64" s="172">
        <f>任务!$D$36</f>
        <v>2457.14285714286</v>
      </c>
      <c r="P64" s="98">
        <f t="shared" si="7"/>
        <v>428</v>
      </c>
      <c r="Q64" s="80">
        <f t="shared" si="8"/>
        <v>1000</v>
      </c>
      <c r="R64" s="172">
        <f t="shared" si="9"/>
        <v>2000</v>
      </c>
      <c r="S64" s="210">
        <f ca="1">IFERROR(OFFSET(金币本!$E$2,MATCH(C64,金币本!$F$3:$F$302,1),0)*IF($C$26=1,2,3),0)</f>
        <v>23250</v>
      </c>
      <c r="T64" s="172" t="e">
        <f ca="1">SUM($J$28:S64)+SUM(D64:I64)</f>
        <v>#N/A</v>
      </c>
      <c r="U64" s="172" t="e">
        <f ca="1" t="shared" si="2"/>
        <v>#N/A</v>
      </c>
      <c r="V64" s="98" t="e">
        <f ca="1" t="shared" si="3"/>
        <v>#N/A</v>
      </c>
      <c r="W64" s="98" t="e">
        <f ca="1">OFFSET(装备强化!$U$6,MATCH(图纸产出设计!V65/6*W$26,装备强化!$T$7:$T$306,1),0)*6</f>
        <v>#N/A</v>
      </c>
      <c r="X64" s="98">
        <v>201010</v>
      </c>
      <c r="Y64" s="98">
        <f t="shared" si="10"/>
        <v>1072000</v>
      </c>
      <c r="Z64" s="98">
        <f t="shared" si="12"/>
        <v>2</v>
      </c>
      <c r="AA64" s="147" t="e">
        <f ca="1" t="shared" si="4"/>
        <v>#N/A</v>
      </c>
      <c r="AB64" s="209" t="e">
        <f ca="1" t="shared" si="5"/>
        <v>#N/A</v>
      </c>
      <c r="AC64" s="209">
        <f ca="1">SUMIFS(装备强化!$Q$7:$Q$306,装备强化!$M$7:$M$306,"&lt;="&amp;MATCH(U64/6,装备强化!$U$7:$U$306,1),装备强化!$M$7:$M$306,"&gt;="&amp;MATCH(V64/6,装备强化!$U$7:$U$306,1))*6</f>
        <v>0</v>
      </c>
      <c r="AD64">
        <f ca="1" t="shared" si="11"/>
        <v>0</v>
      </c>
    </row>
    <row r="65" spans="1:30">
      <c r="A65" s="171"/>
      <c r="B65" s="80">
        <v>38</v>
      </c>
      <c r="C65" s="80">
        <f ca="1">OFFSET(产销汇总!$C$12,$B65,$C$26)</f>
        <v>111</v>
      </c>
      <c r="D65" s="80">
        <f t="shared" si="6"/>
        <v>14100</v>
      </c>
      <c r="E65" s="80">
        <f ca="1">(SUMIF(主线推图!$B$4:$B$303,"&lt;"&amp;C65,主线推图!$M$4:$M$303)+SUMIF(主线宝箱!$B$320:$B$620,"&lt;"&amp;C65,主线宝箱!$L$320:$L$620)+SUMIF(主线宝箱!$B$320:$B$620,"&lt;"&amp;C65,主线宝箱!$X$320:$X$620)+SUMIF(主线宝箱!$B$320:$B$620,"&lt;"&amp;C65,主线宝箱!$AL$320:$AL$620))</f>
        <v>195000</v>
      </c>
      <c r="F65" s="98">
        <f ca="1">SUMIF(组队产出!$B$24:$B$39,"&lt;="&amp;MAX(1,INT(C65/10-0.6)),组队产出!$R$24:$R$39)</f>
        <v>75000</v>
      </c>
      <c r="G65" s="80">
        <f ca="1">SUMIF(运营活动!$O$3:$O$27,"&lt;="&amp;C65,运营活动!$P$3:$P$27)</f>
        <v>30000</v>
      </c>
      <c r="H65" s="80">
        <f ca="1">OFFSET(产销汇总!$AM$12,B65,$C$26)*24</f>
        <v>295392</v>
      </c>
      <c r="I65" s="172">
        <f ca="1">SUMIF(金币本!$F$2:$F$52,"&lt;="&amp;C65,金币本!$D$2:$D$52)</f>
        <v>522000</v>
      </c>
      <c r="J65" s="80">
        <f ca="1">OFFSET(产销汇总!$C$1,MATCH(J$27,产销汇总!$C$2:$C$8,0),$C$26)*(_xlfn.XLOOKUP(C65,主线推图!$B$313:$B$612,主线推图!$C$313:$C$612)+_xlfn.XLOOKUP(C65,主线推图!$B$313:$B$612,主线推图!$D$313:$D$612))</f>
        <v>11000</v>
      </c>
      <c r="K65" s="80">
        <f ca="1">OFFSET(产销汇总!$C$1,MATCH(K$27,产销汇总!$C$2:$C$8,0),$C$26)*_xlfn.XLOOKUP(C65,巡逻产出!$B$311:$B$610,巡逻产出!$C$311:$C$610)*1.3</f>
        <v>0</v>
      </c>
      <c r="L65" s="80">
        <f ca="1">OFFSET(产销汇总!$C$1,MATCH(L$27,产销汇总!$C$2:$C$8,0),$C$26)*(_xlfn.XLOOKUP(MAX(1,INT(C65/10-6/10)),组队产出!$B$24:$B$39,组队产出!$D$24:$D$39))+OFFSET(产销汇总!$C$1,MATCH(L$27,产销汇总!$C$2:$C$8,0),$C$26)*(_xlfn.XLOOKUP(MAX(1,INT(C65/10-6/10)),组队产出!$B$24:$B$39,组队产出!$C$24:$C$39))</f>
        <v>5976</v>
      </c>
      <c r="M65" s="80">
        <f ca="1">(OFFSET(产销汇总!$C$1,MATCH(M$27,产销汇总!$C$2:$C$8,0),$C$26)*_xlfn.XLOOKUP(C65,巡逻产出!$B$311:$B$610,巡逻产出!$D$311:$D$610))*$M$24</f>
        <v>7800</v>
      </c>
      <c r="N65" s="80">
        <f ca="1">OFFSET(产销汇总!$C$1,MATCH(L$27,产销汇总!$C$2:$C$8,0),$C$26)*(_xlfn.XLOOKUP(MAX(1,INT(C65/10-6/10)),组队产出!$B$24:$B$39,组队产出!$S$24:$S$39))</f>
        <v>13068</v>
      </c>
      <c r="O65" s="172">
        <f>任务!$D$36</f>
        <v>2457.14285714286</v>
      </c>
      <c r="P65" s="98">
        <f t="shared" si="7"/>
        <v>428</v>
      </c>
      <c r="Q65" s="80">
        <f t="shared" si="8"/>
        <v>1000</v>
      </c>
      <c r="R65" s="172">
        <f t="shared" si="9"/>
        <v>2000</v>
      </c>
      <c r="S65" s="210">
        <f ca="1">IFERROR(OFFSET(金币本!$E$2,MATCH(C65,金币本!$F$3:$F$302,1),0)*IF($C$26=1,2,3),0)</f>
        <v>24000</v>
      </c>
      <c r="T65" s="172" t="e">
        <f ca="1">SUM($J$28:S65)+SUM(D65:I65)</f>
        <v>#N/A</v>
      </c>
      <c r="U65" s="172" t="e">
        <f ca="1" t="shared" si="2"/>
        <v>#N/A</v>
      </c>
      <c r="V65" s="98" t="e">
        <f ca="1" t="shared" si="3"/>
        <v>#N/A</v>
      </c>
      <c r="W65" s="98" t="e">
        <f ca="1">OFFSET(装备强化!$U$6,MATCH(图纸产出设计!V66/6*W$26,装备强化!$T$7:$T$306,1),0)*6</f>
        <v>#N/A</v>
      </c>
      <c r="X65" s="98">
        <v>206350</v>
      </c>
      <c r="Y65" s="98">
        <f t="shared" si="10"/>
        <v>1104000</v>
      </c>
      <c r="Z65" s="98">
        <f t="shared" si="12"/>
        <v>2</v>
      </c>
      <c r="AA65" s="147" t="e">
        <f ca="1" t="shared" si="4"/>
        <v>#N/A</v>
      </c>
      <c r="AB65" s="209" t="e">
        <f ca="1" t="shared" si="5"/>
        <v>#N/A</v>
      </c>
      <c r="AC65" s="209">
        <f ca="1">SUMIFS(装备强化!$Q$7:$Q$306,装备强化!$M$7:$M$306,"&lt;="&amp;MATCH(U65/6,装备强化!$U$7:$U$306,1),装备强化!$M$7:$M$306,"&gt;="&amp;MATCH(V65/6,装备强化!$U$7:$U$306,1))*6</f>
        <v>0</v>
      </c>
      <c r="AD65">
        <f ca="1" t="shared" si="11"/>
        <v>0</v>
      </c>
    </row>
    <row r="66" spans="1:30">
      <c r="A66" s="171"/>
      <c r="B66" s="80">
        <v>39</v>
      </c>
      <c r="C66" s="80">
        <f ca="1">OFFSET(产销汇总!$C$12,$B66,$C$26)</f>
        <v>112</v>
      </c>
      <c r="D66" s="80">
        <f t="shared" si="6"/>
        <v>14100</v>
      </c>
      <c r="E66" s="80">
        <f ca="1">(SUMIF(主线推图!$B$4:$B$303,"&lt;"&amp;C66,主线推图!$M$4:$M$303)+SUMIF(主线宝箱!$B$320:$B$620,"&lt;"&amp;C66,主线宝箱!$L$320:$L$620)+SUMIF(主线宝箱!$B$320:$B$620,"&lt;"&amp;C66,主线宝箱!$X$320:$X$620)+SUMIF(主线宝箱!$B$320:$B$620,"&lt;"&amp;C66,主线宝箱!$AL$320:$AL$620))</f>
        <v>196800</v>
      </c>
      <c r="F66" s="98">
        <f ca="1">SUMIF(组队产出!$B$24:$B$39,"&lt;="&amp;MAX(1,INT(C66/10-0.6)),组队产出!$R$24:$R$39)</f>
        <v>75000</v>
      </c>
      <c r="G66" s="80">
        <f ca="1">SUMIF(运营活动!$O$3:$O$27,"&lt;="&amp;C66,运营活动!$P$3:$P$27)</f>
        <v>30000</v>
      </c>
      <c r="H66" s="80">
        <f ca="1">OFFSET(产销汇总!$AM$12,B66,$C$26)*24</f>
        <v>302640</v>
      </c>
      <c r="I66" s="172">
        <f ca="1">SUMIF(金币本!$F$2:$F$52,"&lt;="&amp;C66,金币本!$D$2:$D$52)</f>
        <v>522000</v>
      </c>
      <c r="J66" s="80">
        <f ca="1">OFFSET(产销汇总!$C$1,MATCH(J$27,产销汇总!$C$2:$C$8,0),$C$26)*(_xlfn.XLOOKUP(C66,主线推图!$B$313:$B$612,主线推图!$C$313:$C$612)+_xlfn.XLOOKUP(C66,主线推图!$B$313:$B$612,主线推图!$D$313:$D$612))</f>
        <v>11044</v>
      </c>
      <c r="K66" s="80">
        <f ca="1">OFFSET(产销汇总!$C$1,MATCH(K$27,产销汇总!$C$2:$C$8,0),$C$26)*_xlfn.XLOOKUP(C66,巡逻产出!$B$311:$B$610,巡逻产出!$C$311:$C$610)*1.3</f>
        <v>0</v>
      </c>
      <c r="L66" s="80">
        <f ca="1">OFFSET(产销汇总!$C$1,MATCH(L$27,产销汇总!$C$2:$C$8,0),$C$26)*(_xlfn.XLOOKUP(MAX(1,INT(C66/10-6/10)),组队产出!$B$24:$B$39,组队产出!$D$24:$D$39))+OFFSET(产销汇总!$C$1,MATCH(L$27,产销汇总!$C$2:$C$8,0),$C$26)*(_xlfn.XLOOKUP(MAX(1,INT(C66/10-6/10)),组队产出!$B$24:$B$39,组队产出!$C$24:$C$39))</f>
        <v>5976</v>
      </c>
      <c r="M66" s="80">
        <f ca="1">(OFFSET(产销汇总!$C$1,MATCH(M$27,产销汇总!$C$2:$C$8,0),$C$26)*_xlfn.XLOOKUP(C66,巡逻产出!$B$311:$B$610,巡逻产出!$D$311:$D$610))*$M$24</f>
        <v>7831.2</v>
      </c>
      <c r="N66" s="80">
        <f ca="1">OFFSET(产销汇总!$C$1,MATCH(L$27,产销汇总!$C$2:$C$8,0),$C$26)*(_xlfn.XLOOKUP(MAX(1,INT(C66/10-6/10)),组队产出!$B$24:$B$39,组队产出!$S$24:$S$39))</f>
        <v>13068</v>
      </c>
      <c r="O66" s="172">
        <f>任务!$D$36</f>
        <v>2457.14285714286</v>
      </c>
      <c r="P66" s="98">
        <f t="shared" si="7"/>
        <v>428</v>
      </c>
      <c r="Q66" s="80">
        <f t="shared" si="8"/>
        <v>1000</v>
      </c>
      <c r="R66" s="172">
        <f t="shared" si="9"/>
        <v>2000</v>
      </c>
      <c r="S66" s="210">
        <f ca="1">IFERROR(OFFSET(金币本!$E$2,MATCH(C66,金币本!$F$3:$F$302,1),0)*IF($C$26=1,2,3),0)</f>
        <v>24000</v>
      </c>
      <c r="T66" s="172" t="e">
        <f ca="1">SUM($J$28:S66)+SUM(D66:I66)</f>
        <v>#N/A</v>
      </c>
      <c r="U66" s="172" t="e">
        <f ca="1" t="shared" si="2"/>
        <v>#N/A</v>
      </c>
      <c r="V66" s="98" t="e">
        <f ca="1" t="shared" si="3"/>
        <v>#N/A</v>
      </c>
      <c r="W66" s="98" t="e">
        <f ca="1">OFFSET(装备强化!$U$6,MATCH(图纸产出设计!V67/6*W$26,装备强化!$T$7:$T$306,1),0)*6</f>
        <v>#N/A</v>
      </c>
      <c r="X66" s="98">
        <v>211760</v>
      </c>
      <c r="Y66" s="98">
        <f t="shared" si="10"/>
        <v>1136000</v>
      </c>
      <c r="Z66" s="98">
        <f t="shared" si="12"/>
        <v>2</v>
      </c>
      <c r="AA66" s="147" t="e">
        <f ca="1" t="shared" si="4"/>
        <v>#N/A</v>
      </c>
      <c r="AB66" s="209" t="e">
        <f ca="1" t="shared" si="5"/>
        <v>#N/A</v>
      </c>
      <c r="AC66" s="209">
        <f ca="1">SUMIFS(装备强化!$Q$7:$Q$306,装备强化!$M$7:$M$306,"&lt;="&amp;MATCH(U66/6,装备强化!$U$7:$U$306,1),装备强化!$M$7:$M$306,"&gt;="&amp;MATCH(V66/6,装备强化!$U$7:$U$306,1))*6</f>
        <v>0</v>
      </c>
      <c r="AD66">
        <f ca="1" t="shared" si="11"/>
        <v>0</v>
      </c>
    </row>
    <row r="67" spans="1:30">
      <c r="A67" s="171"/>
      <c r="B67" s="80">
        <v>40</v>
      </c>
      <c r="C67" s="80">
        <f ca="1">OFFSET(产销汇总!$C$12,$B67,$C$26)</f>
        <v>113</v>
      </c>
      <c r="D67" s="80">
        <f t="shared" si="6"/>
        <v>14100</v>
      </c>
      <c r="E67" s="80">
        <f ca="1">(SUMIF(主线推图!$B$4:$B$303,"&lt;"&amp;C67,主线推图!$M$4:$M$303)+SUMIF(主线宝箱!$B$320:$B$620,"&lt;"&amp;C67,主线宝箱!$L$320:$L$620)+SUMIF(主线宝箱!$B$320:$B$620,"&lt;"&amp;C67,主线宝箱!$X$320:$X$620)+SUMIF(主线宝箱!$B$320:$B$620,"&lt;"&amp;C67,主线宝箱!$AL$320:$AL$620))</f>
        <v>198600</v>
      </c>
      <c r="F67" s="98">
        <f ca="1">SUMIF(组队产出!$B$24:$B$39,"&lt;="&amp;MAX(1,INT(C67/10-0.6)),组队产出!$R$24:$R$39)</f>
        <v>75000</v>
      </c>
      <c r="G67" s="80">
        <f ca="1">SUMIF(运营活动!$O$3:$O$27,"&lt;="&amp;C67,运营活动!$P$3:$P$27)</f>
        <v>30000</v>
      </c>
      <c r="H67" s="80">
        <f ca="1">OFFSET(产销汇总!$AM$12,B67,$C$26)*24</f>
        <v>309888</v>
      </c>
      <c r="I67" s="172">
        <f ca="1">SUMIF(金币本!$F$2:$F$52,"&lt;="&amp;C67,金币本!$D$2:$D$52)</f>
        <v>522000</v>
      </c>
      <c r="J67" s="80">
        <f ca="1">OFFSET(产销汇总!$C$1,MATCH(J$27,产销汇总!$C$2:$C$8,0),$C$26)*(_xlfn.XLOOKUP(C67,主线推图!$B$313:$B$612,主线推图!$C$313:$C$612)+_xlfn.XLOOKUP(C67,主线推图!$B$313:$B$612,主线推图!$D$313:$D$612))</f>
        <v>11088</v>
      </c>
      <c r="K67" s="80">
        <f ca="1">OFFSET(产销汇总!$C$1,MATCH(K$27,产销汇总!$C$2:$C$8,0),$C$26)*_xlfn.XLOOKUP(C67,巡逻产出!$B$311:$B$610,巡逻产出!$C$311:$C$610)*1.3</f>
        <v>0</v>
      </c>
      <c r="L67" s="80">
        <f ca="1">OFFSET(产销汇总!$C$1,MATCH(L$27,产销汇总!$C$2:$C$8,0),$C$26)*(_xlfn.XLOOKUP(MAX(1,INT(C67/10-6/10)),组队产出!$B$24:$B$39,组队产出!$D$24:$D$39))+OFFSET(产销汇总!$C$1,MATCH(L$27,产销汇总!$C$2:$C$8,0),$C$26)*(_xlfn.XLOOKUP(MAX(1,INT(C67/10-6/10)),组队产出!$B$24:$B$39,组队产出!$C$24:$C$39))</f>
        <v>5976</v>
      </c>
      <c r="M67" s="80">
        <f ca="1">(OFFSET(产销汇总!$C$1,MATCH(M$27,产销汇总!$C$2:$C$8,0),$C$26)*_xlfn.XLOOKUP(C67,巡逻产出!$B$311:$B$610,巡逻产出!$D$311:$D$610))*$M$24</f>
        <v>7862.4</v>
      </c>
      <c r="N67" s="80">
        <f ca="1">OFFSET(产销汇总!$C$1,MATCH(L$27,产销汇总!$C$2:$C$8,0),$C$26)*(_xlfn.XLOOKUP(MAX(1,INT(C67/10-6/10)),组队产出!$B$24:$B$39,组队产出!$S$24:$S$39))</f>
        <v>13068</v>
      </c>
      <c r="O67" s="172">
        <f>任务!$D$36</f>
        <v>2457.14285714286</v>
      </c>
      <c r="P67" s="98">
        <f t="shared" si="7"/>
        <v>428</v>
      </c>
      <c r="Q67" s="80">
        <f t="shared" si="8"/>
        <v>1000</v>
      </c>
      <c r="R67" s="172">
        <f t="shared" si="9"/>
        <v>2000</v>
      </c>
      <c r="S67" s="210">
        <f ca="1">IFERROR(OFFSET(金币本!$E$2,MATCH(C67,金币本!$F$3:$F$302,1),0)*IF($C$26=1,2,3),0)</f>
        <v>24000</v>
      </c>
      <c r="T67" s="172" t="e">
        <f ca="1">SUM($J$28:S67)+SUM(D67:I67)</f>
        <v>#N/A</v>
      </c>
      <c r="U67" s="172" t="e">
        <f ca="1" t="shared" si="2"/>
        <v>#N/A</v>
      </c>
      <c r="V67" s="98" t="e">
        <f ca="1" t="shared" si="3"/>
        <v>#N/A</v>
      </c>
      <c r="W67" s="98" t="e">
        <f ca="1">OFFSET(装备强化!$U$6,MATCH(图纸产出设计!V68/6*W$26,装备强化!$T$7:$T$306,1),0)*6</f>
        <v>#N/A</v>
      </c>
      <c r="X67" s="98">
        <v>211760</v>
      </c>
      <c r="Y67" s="98">
        <f t="shared" si="10"/>
        <v>1168000</v>
      </c>
      <c r="Z67" s="98">
        <f t="shared" si="12"/>
        <v>2</v>
      </c>
      <c r="AA67" s="147" t="e">
        <f ca="1" t="shared" si="4"/>
        <v>#N/A</v>
      </c>
      <c r="AB67" s="209" t="e">
        <f ca="1" t="shared" si="5"/>
        <v>#N/A</v>
      </c>
      <c r="AC67" s="209">
        <f ca="1">SUMIFS(装备强化!$Q$7:$Q$306,装备强化!$M$7:$M$306,"&lt;="&amp;MATCH(U67/6,装备强化!$U$7:$U$306,1),装备强化!$M$7:$M$306,"&gt;="&amp;MATCH(V67/6,装备强化!$U$7:$U$306,1))*6</f>
        <v>0</v>
      </c>
      <c r="AD67">
        <f ca="1" t="shared" si="11"/>
        <v>0</v>
      </c>
    </row>
    <row r="68" spans="1:30">
      <c r="A68" s="171"/>
      <c r="B68" s="80">
        <v>41</v>
      </c>
      <c r="C68" s="80">
        <f ca="1">OFFSET(产销汇总!$C$12,$B68,$C$26)</f>
        <v>114</v>
      </c>
      <c r="D68" s="80">
        <f t="shared" si="6"/>
        <v>14100</v>
      </c>
      <c r="E68" s="80">
        <f ca="1">(SUMIF(主线推图!$B$4:$B$303,"&lt;"&amp;C68,主线推图!$M$4:$M$303)+SUMIF(主线宝箱!$B$320:$B$620,"&lt;"&amp;C68,主线宝箱!$L$320:$L$620)+SUMIF(主线宝箱!$B$320:$B$620,"&lt;"&amp;C68,主线宝箱!$X$320:$X$620)+SUMIF(主线宝箱!$B$320:$B$620,"&lt;"&amp;C68,主线宝箱!$AL$320:$AL$620))</f>
        <v>200400</v>
      </c>
      <c r="F68" s="98">
        <f ca="1">SUMIF(组队产出!$B$24:$B$39,"&lt;="&amp;MAX(1,INT(C68/10-0.6)),组队产出!$R$24:$R$39)</f>
        <v>75000</v>
      </c>
      <c r="G68" s="80">
        <f ca="1">SUMIF(运营活动!$O$3:$O$27,"&lt;="&amp;C68,运营活动!$P$3:$P$27)</f>
        <v>30000</v>
      </c>
      <c r="H68" s="80">
        <f ca="1">OFFSET(产销汇总!$AM$12,B68,$C$26)*24</f>
        <v>317136</v>
      </c>
      <c r="I68" s="172">
        <f ca="1">SUMIF(金币本!$F$2:$F$52,"&lt;="&amp;C68,金币本!$D$2:$D$52)</f>
        <v>522000</v>
      </c>
      <c r="J68" s="80">
        <f ca="1">OFFSET(产销汇总!$C$1,MATCH(J$27,产销汇总!$C$2:$C$8,0),$C$26)*(_xlfn.XLOOKUP(C68,主线推图!$B$313:$B$612,主线推图!$C$313:$C$612)+_xlfn.XLOOKUP(C68,主线推图!$B$313:$B$612,主线推图!$D$313:$D$612))</f>
        <v>11132</v>
      </c>
      <c r="K68" s="80">
        <f ca="1">OFFSET(产销汇总!$C$1,MATCH(K$27,产销汇总!$C$2:$C$8,0),$C$26)*_xlfn.XLOOKUP(C68,巡逻产出!$B$311:$B$610,巡逻产出!$C$311:$C$610)*1.3</f>
        <v>0</v>
      </c>
      <c r="L68" s="80">
        <f ca="1">OFFSET(产销汇总!$C$1,MATCH(L$27,产销汇总!$C$2:$C$8,0),$C$26)*(_xlfn.XLOOKUP(MAX(1,INT(C68/10-6/10)),组队产出!$B$24:$B$39,组队产出!$D$24:$D$39))+OFFSET(产销汇总!$C$1,MATCH(L$27,产销汇总!$C$2:$C$8,0),$C$26)*(_xlfn.XLOOKUP(MAX(1,INT(C68/10-6/10)),组队产出!$B$24:$B$39,组队产出!$C$24:$C$39))</f>
        <v>5976</v>
      </c>
      <c r="M68" s="80">
        <f ca="1">(OFFSET(产销汇总!$C$1,MATCH(M$27,产销汇总!$C$2:$C$8,0),$C$26)*_xlfn.XLOOKUP(C68,巡逻产出!$B$311:$B$610,巡逻产出!$D$311:$D$610))*$M$24</f>
        <v>7893.6</v>
      </c>
      <c r="N68" s="80">
        <f ca="1">OFFSET(产销汇总!$C$1,MATCH(L$27,产销汇总!$C$2:$C$8,0),$C$26)*(_xlfn.XLOOKUP(MAX(1,INT(C68/10-6/10)),组队产出!$B$24:$B$39,组队产出!$S$24:$S$39))</f>
        <v>13068</v>
      </c>
      <c r="O68" s="172">
        <f>任务!$D$36</f>
        <v>2457.14285714286</v>
      </c>
      <c r="P68" s="98">
        <f t="shared" si="7"/>
        <v>428</v>
      </c>
      <c r="Q68" s="80">
        <f t="shared" si="8"/>
        <v>1000</v>
      </c>
      <c r="R68" s="172">
        <f t="shared" si="9"/>
        <v>2000</v>
      </c>
      <c r="S68" s="210">
        <f ca="1">IFERROR(OFFSET(金币本!$E$2,MATCH(C68,金币本!$F$3:$F$302,1),0)*IF($C$26=1,2,3),0)</f>
        <v>24000</v>
      </c>
      <c r="T68" s="172" t="e">
        <f ca="1">SUM($J$28:S68)+SUM(D68:I68)</f>
        <v>#N/A</v>
      </c>
      <c r="U68" s="172" t="e">
        <f ca="1" t="shared" si="2"/>
        <v>#N/A</v>
      </c>
      <c r="V68" s="98" t="e">
        <f ca="1" t="shared" si="3"/>
        <v>#N/A</v>
      </c>
      <c r="W68" s="98" t="e">
        <f ca="1">OFFSET(装备强化!$U$6,MATCH(图纸产出设计!V69/6*W$26,装备强化!$T$7:$T$306,1),0)*6</f>
        <v>#N/A</v>
      </c>
      <c r="X68" s="98">
        <v>217240</v>
      </c>
      <c r="Y68" s="98">
        <f t="shared" si="10"/>
        <v>1200000</v>
      </c>
      <c r="Z68" s="98">
        <f t="shared" si="12"/>
        <v>2</v>
      </c>
      <c r="AA68" s="147" t="e">
        <f ca="1" t="shared" si="4"/>
        <v>#N/A</v>
      </c>
      <c r="AB68" s="209" t="e">
        <f ca="1" t="shared" si="5"/>
        <v>#N/A</v>
      </c>
      <c r="AC68" s="209">
        <f ca="1">SUMIFS(装备强化!$Q$7:$Q$306,装备强化!$M$7:$M$306,"&lt;="&amp;MATCH(U68/6,装备强化!$U$7:$U$306,1),装备强化!$M$7:$M$306,"&gt;="&amp;MATCH(V68/6,装备强化!$U$7:$U$306,1))*6</f>
        <v>0</v>
      </c>
      <c r="AD68">
        <f ca="1" t="shared" si="11"/>
        <v>0</v>
      </c>
    </row>
    <row r="69" spans="1:30">
      <c r="A69" s="171"/>
      <c r="B69" s="80">
        <v>42</v>
      </c>
      <c r="C69" s="80">
        <f ca="1">OFFSET(产销汇总!$C$12,$B69,$C$26)</f>
        <v>115</v>
      </c>
      <c r="D69" s="80">
        <f t="shared" si="6"/>
        <v>14100</v>
      </c>
      <c r="E69" s="80">
        <f ca="1">(SUMIF(主线推图!$B$4:$B$303,"&lt;"&amp;C69,主线推图!$M$4:$M$303)+SUMIF(主线宝箱!$B$320:$B$620,"&lt;"&amp;C69,主线宝箱!$L$320:$L$620)+SUMIF(主线宝箱!$B$320:$B$620,"&lt;"&amp;C69,主线宝箱!$X$320:$X$620)+SUMIF(主线宝箱!$B$320:$B$620,"&lt;"&amp;C69,主线宝箱!$AL$320:$AL$620))</f>
        <v>202200</v>
      </c>
      <c r="F69" s="98">
        <f ca="1">SUMIF(组队产出!$B$24:$B$39,"&lt;="&amp;MAX(1,INT(C69/10-0.6)),组队产出!$R$24:$R$39)</f>
        <v>75000</v>
      </c>
      <c r="G69" s="80">
        <f ca="1">SUMIF(运营活动!$O$3:$O$27,"&lt;="&amp;C69,运营活动!$P$3:$P$27)</f>
        <v>30000</v>
      </c>
      <c r="H69" s="80">
        <f ca="1">OFFSET(产销汇总!$AM$12,B69,$C$26)*24</f>
        <v>324408</v>
      </c>
      <c r="I69" s="172">
        <f ca="1">SUMIF(金币本!$F$2:$F$52,"&lt;="&amp;C69,金币本!$D$2:$D$52)</f>
        <v>555000</v>
      </c>
      <c r="J69" s="80">
        <f ca="1">OFFSET(产销汇总!$C$1,MATCH(J$27,产销汇总!$C$2:$C$8,0),$C$26)*(_xlfn.XLOOKUP(C69,主线推图!$B$313:$B$612,主线推图!$C$313:$C$612)+_xlfn.XLOOKUP(C69,主线推图!$B$313:$B$612,主线推图!$D$313:$D$612))</f>
        <v>11176</v>
      </c>
      <c r="K69" s="80">
        <f ca="1">OFFSET(产销汇总!$C$1,MATCH(K$27,产销汇总!$C$2:$C$8,0),$C$26)*_xlfn.XLOOKUP(C69,巡逻产出!$B$311:$B$610,巡逻产出!$C$311:$C$610)*1.3</f>
        <v>0</v>
      </c>
      <c r="L69" s="80">
        <f ca="1">OFFSET(产销汇总!$C$1,MATCH(L$27,产销汇总!$C$2:$C$8,0),$C$26)*(_xlfn.XLOOKUP(MAX(1,INT(C69/10-6/10)),组队产出!$B$24:$B$39,组队产出!$D$24:$D$39))+OFFSET(产销汇总!$C$1,MATCH(L$27,产销汇总!$C$2:$C$8,0),$C$26)*(_xlfn.XLOOKUP(MAX(1,INT(C69/10-6/10)),组队产出!$B$24:$B$39,组队产出!$C$24:$C$39))</f>
        <v>5976</v>
      </c>
      <c r="M69" s="80">
        <f ca="1">(OFFSET(产销汇总!$C$1,MATCH(M$27,产销汇总!$C$2:$C$8,0),$C$26)*_xlfn.XLOOKUP(C69,巡逻产出!$B$311:$B$610,巡逻产出!$D$311:$D$610))*$M$24</f>
        <v>7924.8</v>
      </c>
      <c r="N69" s="80">
        <f ca="1">OFFSET(产销汇总!$C$1,MATCH(L$27,产销汇总!$C$2:$C$8,0),$C$26)*(_xlfn.XLOOKUP(MAX(1,INT(C69/10-6/10)),组队产出!$B$24:$B$39,组队产出!$S$24:$S$39))</f>
        <v>13068</v>
      </c>
      <c r="O69" s="172">
        <f>任务!$D$36</f>
        <v>2457.14285714286</v>
      </c>
      <c r="P69" s="98">
        <f t="shared" si="7"/>
        <v>428</v>
      </c>
      <c r="Q69" s="80">
        <f t="shared" si="8"/>
        <v>1000</v>
      </c>
      <c r="R69" s="172">
        <f t="shared" si="9"/>
        <v>2000</v>
      </c>
      <c r="S69" s="210">
        <f ca="1">IFERROR(OFFSET(金币本!$E$2,MATCH(C69,金币本!$F$3:$F$302,1),0)*IF($C$26=1,2,3),0)</f>
        <v>24750</v>
      </c>
      <c r="T69" s="172" t="e">
        <f ca="1">SUM($J$28:S69)+SUM(D69:I69)</f>
        <v>#N/A</v>
      </c>
      <c r="U69" s="172" t="e">
        <f ca="1" t="shared" si="2"/>
        <v>#N/A</v>
      </c>
      <c r="V69" s="98" t="e">
        <f ca="1" t="shared" si="3"/>
        <v>#N/A</v>
      </c>
      <c r="W69" s="98" t="e">
        <f ca="1">OFFSET(装备强化!$U$6,MATCH(图纸产出设计!V70/6*W$26,装备强化!$T$7:$T$306,1),0)*6</f>
        <v>#N/A</v>
      </c>
      <c r="X69" s="98">
        <v>222790</v>
      </c>
      <c r="Y69" s="98">
        <f t="shared" si="10"/>
        <v>1232000</v>
      </c>
      <c r="Z69" s="98">
        <f t="shared" si="12"/>
        <v>2</v>
      </c>
      <c r="AA69" s="147" t="e">
        <f ca="1" t="shared" si="4"/>
        <v>#N/A</v>
      </c>
      <c r="AB69" s="209" t="e">
        <f ca="1" t="shared" si="5"/>
        <v>#N/A</v>
      </c>
      <c r="AC69" s="209">
        <f ca="1">SUMIFS(装备强化!$Q$7:$Q$306,装备强化!$M$7:$M$306,"&lt;="&amp;MATCH(U69/6,装备强化!$U$7:$U$306,1),装备强化!$M$7:$M$306,"&gt;="&amp;MATCH(V69/6,装备强化!$U$7:$U$306,1))*6</f>
        <v>0</v>
      </c>
      <c r="AD69">
        <f ca="1" t="shared" si="11"/>
        <v>0</v>
      </c>
    </row>
    <row r="70" spans="1:30">
      <c r="A70" s="171"/>
      <c r="B70" s="80">
        <v>43</v>
      </c>
      <c r="C70" s="80">
        <f ca="1">OFFSET(产销汇总!$C$12,$B70,$C$26)</f>
        <v>116</v>
      </c>
      <c r="D70" s="80">
        <f t="shared" si="6"/>
        <v>14100</v>
      </c>
      <c r="E70" s="80">
        <f ca="1">(SUMIF(主线推图!$B$4:$B$303,"&lt;"&amp;C70,主线推图!$M$4:$M$303)+SUMIF(主线宝箱!$B$320:$B$620,"&lt;"&amp;C70,主线宝箱!$L$320:$L$620)+SUMIF(主线宝箱!$B$320:$B$620,"&lt;"&amp;C70,主线宝箱!$X$320:$X$620)+SUMIF(主线宝箱!$B$320:$B$620,"&lt;"&amp;C70,主线宝箱!$AL$320:$AL$620))</f>
        <v>204000</v>
      </c>
      <c r="F70" s="98">
        <f ca="1">SUMIF(组队产出!$B$24:$B$39,"&lt;="&amp;MAX(1,INT(C70/10-0.6)),组队产出!$R$24:$R$39)</f>
        <v>87000</v>
      </c>
      <c r="G70" s="80">
        <f ca="1">SUMIF(运营活动!$O$3:$O$27,"&lt;="&amp;C70,运营活动!$P$3:$P$27)</f>
        <v>30000</v>
      </c>
      <c r="H70" s="80">
        <f ca="1">OFFSET(产销汇总!$AM$12,B70,$C$26)*24</f>
        <v>331656</v>
      </c>
      <c r="I70" s="172">
        <f ca="1">SUMIF(金币本!$F$2:$F$52,"&lt;="&amp;C70,金币本!$D$2:$D$52)</f>
        <v>555000</v>
      </c>
      <c r="J70" s="80">
        <f ca="1">OFFSET(产销汇总!$C$1,MATCH(J$27,产销汇总!$C$2:$C$8,0),$C$26)*(_xlfn.XLOOKUP(C70,主线推图!$B$313:$B$612,主线推图!$C$313:$C$612)+_xlfn.XLOOKUP(C70,主线推图!$B$313:$B$612,主线推图!$D$313:$D$612))</f>
        <v>11220</v>
      </c>
      <c r="K70" s="80">
        <f ca="1">OFFSET(产销汇总!$C$1,MATCH(K$27,产销汇总!$C$2:$C$8,0),$C$26)*_xlfn.XLOOKUP(C70,巡逻产出!$B$311:$B$610,巡逻产出!$C$311:$C$610)*1.3</f>
        <v>0</v>
      </c>
      <c r="L70" s="80">
        <f ca="1">OFFSET(产销汇总!$C$1,MATCH(L$27,产销汇总!$C$2:$C$8,0),$C$26)*(_xlfn.XLOOKUP(MAX(1,INT(C70/10-6/10)),组队产出!$B$24:$B$39,组队产出!$D$24:$D$39))+OFFSET(产销汇总!$C$1,MATCH(L$27,产销汇总!$C$2:$C$8,0),$C$26)*(_xlfn.XLOOKUP(MAX(1,INT(C70/10-6/10)),组队产出!$B$24:$B$39,组队产出!$C$24:$C$39))</f>
        <v>6216</v>
      </c>
      <c r="M70" s="80">
        <f ca="1">(OFFSET(产销汇总!$C$1,MATCH(M$27,产销汇总!$C$2:$C$8,0),$C$26)*_xlfn.XLOOKUP(C70,巡逻产出!$B$311:$B$610,巡逻产出!$D$311:$D$610))*$M$24</f>
        <v>7956</v>
      </c>
      <c r="N70" s="80">
        <f ca="1">OFFSET(产销汇总!$C$1,MATCH(L$27,产销汇总!$C$2:$C$8,0),$C$26)*(_xlfn.XLOOKUP(MAX(1,INT(C70/10-6/10)),组队产出!$B$24:$B$39,组队产出!$S$24:$S$39))</f>
        <v>16500</v>
      </c>
      <c r="O70" s="172">
        <f>任务!$D$36</f>
        <v>2457.14285714286</v>
      </c>
      <c r="P70" s="98">
        <f t="shared" si="7"/>
        <v>428</v>
      </c>
      <c r="Q70" s="80">
        <f t="shared" si="8"/>
        <v>1500</v>
      </c>
      <c r="R70" s="172">
        <f t="shared" si="9"/>
        <v>2000</v>
      </c>
      <c r="S70" s="210">
        <f ca="1">IFERROR(OFFSET(金币本!$E$2,MATCH(C70,金币本!$F$3:$F$302,1),0)*IF($C$26=1,2,3),0)</f>
        <v>24750</v>
      </c>
      <c r="T70" s="172" t="e">
        <f ca="1">SUM($J$28:S70)+SUM(D70:I70)</f>
        <v>#N/A</v>
      </c>
      <c r="U70" s="172" t="e">
        <f ca="1" t="shared" si="2"/>
        <v>#N/A</v>
      </c>
      <c r="V70" s="98" t="e">
        <f ca="1" t="shared" si="3"/>
        <v>#N/A</v>
      </c>
      <c r="W70" s="98" t="e">
        <f ca="1">OFFSET(装备强化!$U$6,MATCH(图纸产出设计!V71/6*W$26,装备强化!$T$7:$T$306,1),0)*6</f>
        <v>#N/A</v>
      </c>
      <c r="X70" s="98">
        <v>222790</v>
      </c>
      <c r="Y70" s="98">
        <f t="shared" si="10"/>
        <v>1264000</v>
      </c>
      <c r="Z70" s="98">
        <f t="shared" si="12"/>
        <v>2</v>
      </c>
      <c r="AA70" s="147" t="e">
        <f ca="1" t="shared" si="4"/>
        <v>#N/A</v>
      </c>
      <c r="AB70" s="209" t="e">
        <f ca="1" t="shared" si="5"/>
        <v>#N/A</v>
      </c>
      <c r="AC70" s="209">
        <f ca="1">SUMIFS(装备强化!$Q$7:$Q$306,装备强化!$M$7:$M$306,"&lt;="&amp;MATCH(U70/6,装备强化!$U$7:$U$306,1),装备强化!$M$7:$M$306,"&gt;="&amp;MATCH(V70/6,装备强化!$U$7:$U$306,1))*6</f>
        <v>0</v>
      </c>
      <c r="AD70">
        <f ca="1" t="shared" si="11"/>
        <v>0</v>
      </c>
    </row>
    <row r="71" spans="1:30">
      <c r="A71" s="171"/>
      <c r="B71" s="80">
        <v>44</v>
      </c>
      <c r="C71" s="80">
        <f ca="1">OFFSET(产销汇总!$C$12,$B71,$C$26)</f>
        <v>117</v>
      </c>
      <c r="D71" s="80">
        <f t="shared" si="6"/>
        <v>14100</v>
      </c>
      <c r="E71" s="80">
        <f ca="1">(SUMIF(主线推图!$B$4:$B$303,"&lt;"&amp;C71,主线推图!$M$4:$M$303)+SUMIF(主线宝箱!$B$320:$B$620,"&lt;"&amp;C71,主线宝箱!$L$320:$L$620)+SUMIF(主线宝箱!$B$320:$B$620,"&lt;"&amp;C71,主线宝箱!$X$320:$X$620)+SUMIF(主线宝箱!$B$320:$B$620,"&lt;"&amp;C71,主线宝箱!$AL$320:$AL$620))</f>
        <v>205800</v>
      </c>
      <c r="F71" s="98">
        <f ca="1">SUMIF(组队产出!$B$24:$B$39,"&lt;="&amp;MAX(1,INT(C71/10-0.6)),组队产出!$R$24:$R$39)</f>
        <v>87000</v>
      </c>
      <c r="G71" s="80">
        <f ca="1">SUMIF(运营活动!$O$3:$O$27,"&lt;="&amp;C71,运营活动!$P$3:$P$27)</f>
        <v>30000</v>
      </c>
      <c r="H71" s="80">
        <f ca="1">OFFSET(产销汇总!$AM$12,B71,$C$26)*24</f>
        <v>338904</v>
      </c>
      <c r="I71" s="172">
        <f ca="1">SUMIF(金币本!$F$2:$F$52,"&lt;="&amp;C71,金币本!$D$2:$D$52)</f>
        <v>555000</v>
      </c>
      <c r="J71" s="80">
        <f ca="1">OFFSET(产销汇总!$C$1,MATCH(J$27,产销汇总!$C$2:$C$8,0),$C$26)*(_xlfn.XLOOKUP(C71,主线推图!$B$313:$B$612,主线推图!$C$313:$C$612)+_xlfn.XLOOKUP(C71,主线推图!$B$313:$B$612,主线推图!$D$313:$D$612))</f>
        <v>11264</v>
      </c>
      <c r="K71" s="80">
        <f ca="1">OFFSET(产销汇总!$C$1,MATCH(K$27,产销汇总!$C$2:$C$8,0),$C$26)*_xlfn.XLOOKUP(C71,巡逻产出!$B$311:$B$610,巡逻产出!$C$311:$C$610)*1.3</f>
        <v>0</v>
      </c>
      <c r="L71" s="80">
        <f ca="1">OFFSET(产销汇总!$C$1,MATCH(L$27,产销汇总!$C$2:$C$8,0),$C$26)*(_xlfn.XLOOKUP(MAX(1,INT(C71/10-6/10)),组队产出!$B$24:$B$39,组队产出!$D$24:$D$39))+OFFSET(产销汇总!$C$1,MATCH(L$27,产销汇总!$C$2:$C$8,0),$C$26)*(_xlfn.XLOOKUP(MAX(1,INT(C71/10-6/10)),组队产出!$B$24:$B$39,组队产出!$C$24:$C$39))</f>
        <v>6216</v>
      </c>
      <c r="M71" s="80">
        <f ca="1">(OFFSET(产销汇总!$C$1,MATCH(M$27,产销汇总!$C$2:$C$8,0),$C$26)*_xlfn.XLOOKUP(C71,巡逻产出!$B$311:$B$610,巡逻产出!$D$311:$D$610))*$M$24</f>
        <v>7987.2</v>
      </c>
      <c r="N71" s="80">
        <f ca="1">OFFSET(产销汇总!$C$1,MATCH(L$27,产销汇总!$C$2:$C$8,0),$C$26)*(_xlfn.XLOOKUP(MAX(1,INT(C71/10-6/10)),组队产出!$B$24:$B$39,组队产出!$S$24:$S$39))</f>
        <v>16500</v>
      </c>
      <c r="O71" s="172">
        <f>任务!$D$36</f>
        <v>2457.14285714286</v>
      </c>
      <c r="P71" s="98">
        <f t="shared" si="7"/>
        <v>428</v>
      </c>
      <c r="Q71" s="80">
        <f t="shared" si="8"/>
        <v>1000</v>
      </c>
      <c r="R71" s="172">
        <f t="shared" si="9"/>
        <v>2000</v>
      </c>
      <c r="S71" s="210">
        <f ca="1">IFERROR(OFFSET(金币本!$E$2,MATCH(C71,金币本!$F$3:$F$302,1),0)*IF($C$26=1,2,3),0)</f>
        <v>24750</v>
      </c>
      <c r="T71" s="172" t="e">
        <f ca="1">SUM($J$28:S71)+SUM(D71:I71)</f>
        <v>#N/A</v>
      </c>
      <c r="U71" s="172" t="e">
        <f ca="1" t="shared" si="2"/>
        <v>#N/A</v>
      </c>
      <c r="V71" s="98" t="e">
        <f ca="1" t="shared" si="3"/>
        <v>#N/A</v>
      </c>
      <c r="W71" s="98" t="e">
        <f ca="1">OFFSET(装备强化!$U$6,MATCH(图纸产出设计!V72/6*W$26,装备强化!$T$7:$T$306,1),0)*6</f>
        <v>#N/A</v>
      </c>
      <c r="X71" s="98">
        <v>228410</v>
      </c>
      <c r="Y71" s="98">
        <f t="shared" si="10"/>
        <v>1296000</v>
      </c>
      <c r="Z71" s="98">
        <f t="shared" si="12"/>
        <v>2</v>
      </c>
      <c r="AA71" s="147" t="e">
        <f ca="1" t="shared" si="4"/>
        <v>#N/A</v>
      </c>
      <c r="AB71" s="209" t="e">
        <f ca="1" t="shared" si="5"/>
        <v>#N/A</v>
      </c>
      <c r="AC71" s="209">
        <f ca="1">SUMIFS(装备强化!$Q$7:$Q$306,装备强化!$M$7:$M$306,"&lt;="&amp;MATCH(U71/6,装备强化!$U$7:$U$306,1),装备强化!$M$7:$M$306,"&gt;="&amp;MATCH(V71/6,装备强化!$U$7:$U$306,1))*6</f>
        <v>0</v>
      </c>
      <c r="AD71">
        <f ca="1" t="shared" si="11"/>
        <v>0</v>
      </c>
    </row>
    <row r="72" spans="1:30">
      <c r="A72" s="171"/>
      <c r="B72" s="80">
        <v>45</v>
      </c>
      <c r="C72" s="80">
        <f ca="1">OFFSET(产销汇总!$C$12,$B72,$C$26)</f>
        <v>118</v>
      </c>
      <c r="D72" s="80">
        <f t="shared" si="6"/>
        <v>14100</v>
      </c>
      <c r="E72" s="80">
        <f ca="1">(SUMIF(主线推图!$B$4:$B$303,"&lt;"&amp;C72,主线推图!$M$4:$M$303)+SUMIF(主线宝箱!$B$320:$B$620,"&lt;"&amp;C72,主线宝箱!$L$320:$L$620)+SUMIF(主线宝箱!$B$320:$B$620,"&lt;"&amp;C72,主线宝箱!$X$320:$X$620)+SUMIF(主线宝箱!$B$320:$B$620,"&lt;"&amp;C72,主线宝箱!$AL$320:$AL$620))</f>
        <v>207600</v>
      </c>
      <c r="F72" s="98">
        <f ca="1">SUMIF(组队产出!$B$24:$B$39,"&lt;="&amp;MAX(1,INT(C72/10-0.6)),组队产出!$R$24:$R$39)</f>
        <v>87000</v>
      </c>
      <c r="G72" s="80">
        <f ca="1">SUMIF(运营活动!$O$3:$O$27,"&lt;="&amp;C72,运营活动!$P$3:$P$27)</f>
        <v>30000</v>
      </c>
      <c r="H72" s="80">
        <f ca="1">OFFSET(产销汇总!$AM$12,B72,$C$26)*24</f>
        <v>346152</v>
      </c>
      <c r="I72" s="172">
        <f ca="1">SUMIF(金币本!$F$2:$F$52,"&lt;="&amp;C72,金币本!$D$2:$D$52)</f>
        <v>555000</v>
      </c>
      <c r="J72" s="80">
        <f ca="1">OFFSET(产销汇总!$C$1,MATCH(J$27,产销汇总!$C$2:$C$8,0),$C$26)*(_xlfn.XLOOKUP(C72,主线推图!$B$313:$B$612,主线推图!$C$313:$C$612)+_xlfn.XLOOKUP(C72,主线推图!$B$313:$B$612,主线推图!$D$313:$D$612))</f>
        <v>11308</v>
      </c>
      <c r="K72" s="80">
        <f ca="1">OFFSET(产销汇总!$C$1,MATCH(K$27,产销汇总!$C$2:$C$8,0),$C$26)*_xlfn.XLOOKUP(C72,巡逻产出!$B$311:$B$610,巡逻产出!$C$311:$C$610)*1.3</f>
        <v>0</v>
      </c>
      <c r="L72" s="80">
        <f ca="1">OFFSET(产销汇总!$C$1,MATCH(L$27,产销汇总!$C$2:$C$8,0),$C$26)*(_xlfn.XLOOKUP(MAX(1,INT(C72/10-6/10)),组队产出!$B$24:$B$39,组队产出!$D$24:$D$39))+OFFSET(产销汇总!$C$1,MATCH(L$27,产销汇总!$C$2:$C$8,0),$C$26)*(_xlfn.XLOOKUP(MAX(1,INT(C72/10-6/10)),组队产出!$B$24:$B$39,组队产出!$C$24:$C$39))</f>
        <v>6216</v>
      </c>
      <c r="M72" s="80">
        <f ca="1">(OFFSET(产销汇总!$C$1,MATCH(M$27,产销汇总!$C$2:$C$8,0),$C$26)*_xlfn.XLOOKUP(C72,巡逻产出!$B$311:$B$610,巡逻产出!$D$311:$D$610))*$M$24</f>
        <v>8018.4</v>
      </c>
      <c r="N72" s="80">
        <f ca="1">OFFSET(产销汇总!$C$1,MATCH(L$27,产销汇总!$C$2:$C$8,0),$C$26)*(_xlfn.XLOOKUP(MAX(1,INT(C72/10-6/10)),组队产出!$B$24:$B$39,组队产出!$S$24:$S$39))</f>
        <v>16500</v>
      </c>
      <c r="O72" s="172">
        <f>任务!$D$36</f>
        <v>2457.14285714286</v>
      </c>
      <c r="P72" s="98">
        <f t="shared" si="7"/>
        <v>428</v>
      </c>
      <c r="Q72" s="80">
        <f t="shared" si="8"/>
        <v>1000</v>
      </c>
      <c r="R72" s="172">
        <f t="shared" si="9"/>
        <v>2000</v>
      </c>
      <c r="S72" s="210">
        <f ca="1">IFERROR(OFFSET(金币本!$E$2,MATCH(C72,金币本!$F$3:$F$302,1),0)*IF($C$26=1,2,3),0)</f>
        <v>24750</v>
      </c>
      <c r="T72" s="172" t="e">
        <f ca="1">SUM($J$28:S72)+SUM(D72:I72)</f>
        <v>#N/A</v>
      </c>
      <c r="U72" s="172" t="e">
        <f ca="1" t="shared" si="2"/>
        <v>#N/A</v>
      </c>
      <c r="V72" s="98" t="e">
        <f ca="1" t="shared" si="3"/>
        <v>#N/A</v>
      </c>
      <c r="W72" s="98" t="e">
        <f ca="1">OFFSET(装备强化!$U$6,MATCH(图纸产出设计!V73/6*W$26,装备强化!$T$7:$T$306,1),0)*6</f>
        <v>#N/A</v>
      </c>
      <c r="X72" s="98">
        <v>234100</v>
      </c>
      <c r="Y72" s="98">
        <f t="shared" si="10"/>
        <v>1328000</v>
      </c>
      <c r="Z72" s="98">
        <f t="shared" si="12"/>
        <v>2</v>
      </c>
      <c r="AA72" s="147" t="e">
        <f ca="1" t="shared" si="4"/>
        <v>#N/A</v>
      </c>
      <c r="AB72" s="209" t="e">
        <f ca="1" t="shared" si="5"/>
        <v>#N/A</v>
      </c>
      <c r="AC72" s="209">
        <f ca="1">SUMIFS(装备强化!$Q$7:$Q$306,装备强化!$M$7:$M$306,"&lt;="&amp;MATCH(U72/6,装备强化!$U$7:$U$306,1),装备强化!$M$7:$M$306,"&gt;="&amp;MATCH(V72/6,装备强化!$U$7:$U$306,1))*6</f>
        <v>0</v>
      </c>
      <c r="AD72">
        <f ca="1" t="shared" si="11"/>
        <v>0</v>
      </c>
    </row>
    <row r="73" spans="1:30">
      <c r="A73" s="171"/>
      <c r="B73" s="80">
        <v>46</v>
      </c>
      <c r="C73" s="80">
        <f ca="1">OFFSET(产销汇总!$C$12,$B73,$C$26)</f>
        <v>119</v>
      </c>
      <c r="D73" s="80">
        <f t="shared" si="6"/>
        <v>14100</v>
      </c>
      <c r="E73" s="80">
        <f ca="1">(SUMIF(主线推图!$B$4:$B$303,"&lt;"&amp;C73,主线推图!$M$4:$M$303)+SUMIF(主线宝箱!$B$320:$B$620,"&lt;"&amp;C73,主线宝箱!$L$320:$L$620)+SUMIF(主线宝箱!$B$320:$B$620,"&lt;"&amp;C73,主线宝箱!$X$320:$X$620)+SUMIF(主线宝箱!$B$320:$B$620,"&lt;"&amp;C73,主线宝箱!$AL$320:$AL$620))</f>
        <v>209400</v>
      </c>
      <c r="F73" s="98">
        <f ca="1">SUMIF(组队产出!$B$24:$B$39,"&lt;="&amp;MAX(1,INT(C73/10-0.6)),组队产出!$R$24:$R$39)</f>
        <v>87000</v>
      </c>
      <c r="G73" s="80">
        <f ca="1">SUMIF(运营活动!$O$3:$O$27,"&lt;="&amp;C73,运营活动!$P$3:$P$27)</f>
        <v>30000</v>
      </c>
      <c r="H73" s="80">
        <f ca="1">OFFSET(产销汇总!$AM$12,B73,$C$26)*24</f>
        <v>353400</v>
      </c>
      <c r="I73" s="172">
        <f ca="1">SUMIF(金币本!$F$2:$F$52,"&lt;="&amp;C73,金币本!$D$2:$D$52)</f>
        <v>589000</v>
      </c>
      <c r="J73" s="80">
        <f ca="1">OFFSET(产销汇总!$C$1,MATCH(J$27,产销汇总!$C$2:$C$8,0),$C$26)*(_xlfn.XLOOKUP(C73,主线推图!$B$313:$B$612,主线推图!$C$313:$C$612)+_xlfn.XLOOKUP(C73,主线推图!$B$313:$B$612,主线推图!$D$313:$D$612))</f>
        <v>11352</v>
      </c>
      <c r="K73" s="80">
        <f ca="1">OFFSET(产销汇总!$C$1,MATCH(K$27,产销汇总!$C$2:$C$8,0),$C$26)*_xlfn.XLOOKUP(C73,巡逻产出!$B$311:$B$610,巡逻产出!$C$311:$C$610)*1.3</f>
        <v>0</v>
      </c>
      <c r="L73" s="80">
        <f ca="1">OFFSET(产销汇总!$C$1,MATCH(L$27,产销汇总!$C$2:$C$8,0),$C$26)*(_xlfn.XLOOKUP(MAX(1,INT(C73/10-6/10)),组队产出!$B$24:$B$39,组队产出!$D$24:$D$39))+OFFSET(产销汇总!$C$1,MATCH(L$27,产销汇总!$C$2:$C$8,0),$C$26)*(_xlfn.XLOOKUP(MAX(1,INT(C73/10-6/10)),组队产出!$B$24:$B$39,组队产出!$C$24:$C$39))</f>
        <v>6216</v>
      </c>
      <c r="M73" s="80">
        <f ca="1">(OFFSET(产销汇总!$C$1,MATCH(M$27,产销汇总!$C$2:$C$8,0),$C$26)*_xlfn.XLOOKUP(C73,巡逻产出!$B$311:$B$610,巡逻产出!$D$311:$D$610))*$M$24</f>
        <v>8049.6</v>
      </c>
      <c r="N73" s="80">
        <f ca="1">OFFSET(产销汇总!$C$1,MATCH(L$27,产销汇总!$C$2:$C$8,0),$C$26)*(_xlfn.XLOOKUP(MAX(1,INT(C73/10-6/10)),组队产出!$B$24:$B$39,组队产出!$S$24:$S$39))</f>
        <v>16500</v>
      </c>
      <c r="O73" s="172">
        <f>任务!$D$36</f>
        <v>2457.14285714286</v>
      </c>
      <c r="P73" s="98">
        <f t="shared" si="7"/>
        <v>428</v>
      </c>
      <c r="Q73" s="80">
        <f t="shared" si="8"/>
        <v>1000</v>
      </c>
      <c r="R73" s="172">
        <f t="shared" si="9"/>
        <v>2000</v>
      </c>
      <c r="S73" s="210">
        <f ca="1">IFERROR(OFFSET(金币本!$E$2,MATCH(C73,金币本!$F$3:$F$302,1),0)*IF($C$26=1,2,3),0)</f>
        <v>25500</v>
      </c>
      <c r="T73" s="172" t="e">
        <f ca="1">SUM($J$28:S73)+SUM(D73:I73)</f>
        <v>#N/A</v>
      </c>
      <c r="U73" s="172" t="e">
        <f ca="1" t="shared" si="2"/>
        <v>#N/A</v>
      </c>
      <c r="V73" s="98" t="e">
        <f ca="1" t="shared" si="3"/>
        <v>#N/A</v>
      </c>
      <c r="W73" s="98" t="e">
        <f ca="1">OFFSET(装备强化!$U$6,MATCH(图纸产出设计!V74/6*W$26,装备强化!$T$7:$T$306,1),0)*6</f>
        <v>#N/A</v>
      </c>
      <c r="X73" s="98">
        <v>234100</v>
      </c>
      <c r="Y73" s="98">
        <f t="shared" si="10"/>
        <v>1360000</v>
      </c>
      <c r="Z73" s="98">
        <f t="shared" si="12"/>
        <v>2</v>
      </c>
      <c r="AA73" s="147" t="e">
        <f ca="1" t="shared" si="4"/>
        <v>#N/A</v>
      </c>
      <c r="AB73" s="209" t="e">
        <f ca="1" t="shared" si="5"/>
        <v>#N/A</v>
      </c>
      <c r="AC73" s="209">
        <f ca="1">SUMIFS(装备强化!$Q$7:$Q$306,装备强化!$M$7:$M$306,"&lt;="&amp;MATCH(U73/6,装备强化!$U$7:$U$306,1),装备强化!$M$7:$M$306,"&gt;="&amp;MATCH(V73/6,装备强化!$U$7:$U$306,1))*6</f>
        <v>0</v>
      </c>
      <c r="AD73">
        <f ca="1" t="shared" si="11"/>
        <v>0</v>
      </c>
    </row>
    <row r="74" spans="1:30">
      <c r="A74" s="171"/>
      <c r="B74" s="80">
        <v>47</v>
      </c>
      <c r="C74" s="80">
        <f ca="1">OFFSET(产销汇总!$C$12,$B74,$C$26)</f>
        <v>120</v>
      </c>
      <c r="D74" s="80">
        <f t="shared" si="6"/>
        <v>14100</v>
      </c>
      <c r="E74" s="80">
        <f ca="1">(SUMIF(主线推图!$B$4:$B$303,"&lt;"&amp;C74,主线推图!$M$4:$M$303)+SUMIF(主线宝箱!$B$320:$B$620,"&lt;"&amp;C74,主线宝箱!$L$320:$L$620)+SUMIF(主线宝箱!$B$320:$B$620,"&lt;"&amp;C74,主线宝箱!$X$320:$X$620)+SUMIF(主线宝箱!$B$320:$B$620,"&lt;"&amp;C74,主线宝箱!$AL$320:$AL$620))</f>
        <v>211200</v>
      </c>
      <c r="F74" s="98">
        <f ca="1">SUMIF(组队产出!$B$24:$B$39,"&lt;="&amp;MAX(1,INT(C74/10-0.6)),组队产出!$R$24:$R$39)</f>
        <v>87000</v>
      </c>
      <c r="G74" s="80">
        <f ca="1">SUMIF(运营活动!$O$3:$O$27,"&lt;="&amp;C74,运营活动!$P$3:$P$27)</f>
        <v>30000</v>
      </c>
      <c r="H74" s="80">
        <f ca="1">OFFSET(产销汇总!$AM$12,B74,$C$26)*24</f>
        <v>360648</v>
      </c>
      <c r="I74" s="172">
        <f ca="1">SUMIF(金币本!$F$2:$F$52,"&lt;="&amp;C74,金币本!$D$2:$D$52)</f>
        <v>589000</v>
      </c>
      <c r="J74" s="80">
        <f ca="1">OFFSET(产销汇总!$C$1,MATCH(J$27,产销汇总!$C$2:$C$8,0),$C$26)*(_xlfn.XLOOKUP(C74,主线推图!$B$313:$B$612,主线推图!$C$313:$C$612)+_xlfn.XLOOKUP(C74,主线推图!$B$313:$B$612,主线推图!$D$313:$D$612))</f>
        <v>11396</v>
      </c>
      <c r="K74" s="80">
        <f ca="1">OFFSET(产销汇总!$C$1,MATCH(K$27,产销汇总!$C$2:$C$8,0),$C$26)*_xlfn.XLOOKUP(C74,巡逻产出!$B$311:$B$610,巡逻产出!$C$311:$C$610)*1.3</f>
        <v>0</v>
      </c>
      <c r="L74" s="80">
        <f ca="1">OFFSET(产销汇总!$C$1,MATCH(L$27,产销汇总!$C$2:$C$8,0),$C$26)*(_xlfn.XLOOKUP(MAX(1,INT(C74/10-6/10)),组队产出!$B$24:$B$39,组队产出!$D$24:$D$39))+OFFSET(产销汇总!$C$1,MATCH(L$27,产销汇总!$C$2:$C$8,0),$C$26)*(_xlfn.XLOOKUP(MAX(1,INT(C74/10-6/10)),组队产出!$B$24:$B$39,组队产出!$C$24:$C$39))</f>
        <v>6216</v>
      </c>
      <c r="M74" s="80">
        <f ca="1">(OFFSET(产销汇总!$C$1,MATCH(M$27,产销汇总!$C$2:$C$8,0),$C$26)*_xlfn.XLOOKUP(C74,巡逻产出!$B$311:$B$610,巡逻产出!$D$311:$D$610))*$M$24</f>
        <v>8080.8</v>
      </c>
      <c r="N74" s="80">
        <f ca="1">OFFSET(产销汇总!$C$1,MATCH(L$27,产销汇总!$C$2:$C$8,0),$C$26)*(_xlfn.XLOOKUP(MAX(1,INT(C74/10-6/10)),组队产出!$B$24:$B$39,组队产出!$S$24:$S$39))</f>
        <v>16500</v>
      </c>
      <c r="O74" s="172">
        <f>任务!$D$36</f>
        <v>2457.14285714286</v>
      </c>
      <c r="P74" s="98">
        <f t="shared" si="7"/>
        <v>428</v>
      </c>
      <c r="Q74" s="80">
        <f t="shared" si="8"/>
        <v>1000</v>
      </c>
      <c r="R74" s="172">
        <f t="shared" si="9"/>
        <v>2000</v>
      </c>
      <c r="S74" s="210">
        <f ca="1">IFERROR(OFFSET(金币本!$E$2,MATCH(C74,金币本!$F$3:$F$302,1),0)*IF($C$26=1,2,3),0)</f>
        <v>25500</v>
      </c>
      <c r="T74" s="172" t="e">
        <f ca="1">SUM($J$28:S74)+SUM(D74:I74)</f>
        <v>#N/A</v>
      </c>
      <c r="U74" s="172" t="e">
        <f ca="1" t="shared" si="2"/>
        <v>#N/A</v>
      </c>
      <c r="V74" s="98" t="e">
        <f ca="1" t="shared" si="3"/>
        <v>#N/A</v>
      </c>
      <c r="W74" s="98" t="e">
        <f ca="1">OFFSET(装备强化!$U$6,MATCH(图纸产出设计!V75/6*W$26,装备强化!$T$7:$T$306,1),0)*6</f>
        <v>#N/A</v>
      </c>
      <c r="X74" s="98">
        <v>239860</v>
      </c>
      <c r="Y74" s="98">
        <f t="shared" si="10"/>
        <v>1392000</v>
      </c>
      <c r="Z74" s="98">
        <f t="shared" si="12"/>
        <v>2</v>
      </c>
      <c r="AA74" s="147" t="e">
        <f ca="1" t="shared" si="4"/>
        <v>#N/A</v>
      </c>
      <c r="AB74" s="209" t="e">
        <f ca="1" t="shared" si="5"/>
        <v>#N/A</v>
      </c>
      <c r="AC74" s="209">
        <f ca="1">SUMIFS(装备强化!$Q$7:$Q$306,装备强化!$M$7:$M$306,"&lt;="&amp;MATCH(U74/6,装备强化!$U$7:$U$306,1),装备强化!$M$7:$M$306,"&gt;="&amp;MATCH(V74/6,装备强化!$U$7:$U$306,1))*6</f>
        <v>0</v>
      </c>
      <c r="AD74">
        <f ca="1" t="shared" si="11"/>
        <v>0</v>
      </c>
    </row>
    <row r="75" spans="1:30">
      <c r="A75" s="171"/>
      <c r="B75" s="80">
        <v>48</v>
      </c>
      <c r="C75" s="80">
        <f ca="1">OFFSET(产销汇总!$C$12,$B75,$C$26)</f>
        <v>121</v>
      </c>
      <c r="D75" s="80">
        <f t="shared" si="6"/>
        <v>14100</v>
      </c>
      <c r="E75" s="80">
        <f ca="1">(SUMIF(主线推图!$B$4:$B$303,"&lt;"&amp;C75,主线推图!$M$4:$M$303)+SUMIF(主线宝箱!$B$320:$B$620,"&lt;"&amp;C75,主线宝箱!$L$320:$L$620)+SUMIF(主线宝箱!$B$320:$B$620,"&lt;"&amp;C75,主线宝箱!$X$320:$X$620)+SUMIF(主线宝箱!$B$320:$B$620,"&lt;"&amp;C75,主线宝箱!$AL$320:$AL$620))</f>
        <v>213000</v>
      </c>
      <c r="F75" s="98">
        <f ca="1">SUMIF(组队产出!$B$24:$B$39,"&lt;="&amp;MAX(1,INT(C75/10-0.6)),组队产出!$R$24:$R$39)</f>
        <v>87000</v>
      </c>
      <c r="G75" s="80">
        <f ca="1">SUMIF(运营活动!$O$3:$O$27,"&lt;="&amp;C75,运营活动!$P$3:$P$27)</f>
        <v>30000</v>
      </c>
      <c r="H75" s="80">
        <f ca="1">OFFSET(产销汇总!$AM$12,B75,$C$26)*24</f>
        <v>367896</v>
      </c>
      <c r="I75" s="172">
        <f ca="1">SUMIF(金币本!$F$2:$F$52,"&lt;="&amp;C75,金币本!$D$2:$D$52)</f>
        <v>589000</v>
      </c>
      <c r="J75" s="80">
        <f ca="1">OFFSET(产销汇总!$C$1,MATCH(J$27,产销汇总!$C$2:$C$8,0),$C$26)*(_xlfn.XLOOKUP(C75,主线推图!$B$313:$B$612,主线推图!$C$313:$C$612)+_xlfn.XLOOKUP(C75,主线推图!$B$313:$B$612,主线推图!$D$313:$D$612))</f>
        <v>11440</v>
      </c>
      <c r="K75" s="80">
        <f ca="1">OFFSET(产销汇总!$C$1,MATCH(K$27,产销汇总!$C$2:$C$8,0),$C$26)*_xlfn.XLOOKUP(C75,巡逻产出!$B$311:$B$610,巡逻产出!$C$311:$C$610)*1.3</f>
        <v>0</v>
      </c>
      <c r="L75" s="80">
        <f ca="1">OFFSET(产销汇总!$C$1,MATCH(L$27,产销汇总!$C$2:$C$8,0),$C$26)*(_xlfn.XLOOKUP(MAX(1,INT(C75/10-6/10)),组队产出!$B$24:$B$39,组队产出!$D$24:$D$39))+OFFSET(产销汇总!$C$1,MATCH(L$27,产销汇总!$C$2:$C$8,0),$C$26)*(_xlfn.XLOOKUP(MAX(1,INT(C75/10-6/10)),组队产出!$B$24:$B$39,组队产出!$C$24:$C$39))</f>
        <v>6216</v>
      </c>
      <c r="M75" s="80">
        <f ca="1">(OFFSET(产销汇总!$C$1,MATCH(M$27,产销汇总!$C$2:$C$8,0),$C$26)*_xlfn.XLOOKUP(C75,巡逻产出!$B$311:$B$610,巡逻产出!$D$311:$D$610))*$M$24</f>
        <v>8112</v>
      </c>
      <c r="N75" s="80">
        <f ca="1">OFFSET(产销汇总!$C$1,MATCH(L$27,产销汇总!$C$2:$C$8,0),$C$26)*(_xlfn.XLOOKUP(MAX(1,INT(C75/10-6/10)),组队产出!$B$24:$B$39,组队产出!$S$24:$S$39))</f>
        <v>16500</v>
      </c>
      <c r="O75" s="172">
        <f>任务!$D$36</f>
        <v>2457.14285714286</v>
      </c>
      <c r="P75" s="98">
        <f t="shared" si="7"/>
        <v>428</v>
      </c>
      <c r="Q75" s="80">
        <f t="shared" si="8"/>
        <v>1000</v>
      </c>
      <c r="R75" s="172">
        <f t="shared" si="9"/>
        <v>2000</v>
      </c>
      <c r="S75" s="210">
        <f ca="1">IFERROR(OFFSET(金币本!$E$2,MATCH(C75,金币本!$F$3:$F$302,1),0)*IF($C$26=1,2,3),0)</f>
        <v>25500</v>
      </c>
      <c r="T75" s="172" t="e">
        <f ca="1">SUM($J$28:S75)+SUM(D75:I75)</f>
        <v>#N/A</v>
      </c>
      <c r="U75" s="172" t="e">
        <f ca="1" t="shared" si="2"/>
        <v>#N/A</v>
      </c>
      <c r="V75" s="98" t="e">
        <f ca="1" t="shared" si="3"/>
        <v>#N/A</v>
      </c>
      <c r="W75" s="98" t="e">
        <f ca="1">OFFSET(装备强化!$U$6,MATCH(图纸产出设计!V76/6*W$26,装备强化!$T$7:$T$306,1),0)*6</f>
        <v>#N/A</v>
      </c>
      <c r="X75" s="98">
        <v>245690</v>
      </c>
      <c r="Y75" s="98">
        <f t="shared" si="10"/>
        <v>1424000</v>
      </c>
      <c r="Z75" s="98">
        <f t="shared" si="12"/>
        <v>2</v>
      </c>
      <c r="AA75" s="147" t="e">
        <f ca="1" t="shared" si="4"/>
        <v>#N/A</v>
      </c>
      <c r="AB75" s="209" t="e">
        <f ca="1" t="shared" si="5"/>
        <v>#N/A</v>
      </c>
      <c r="AC75" s="209">
        <f ca="1">SUMIFS(装备强化!$Q$7:$Q$306,装备强化!$M$7:$M$306,"&lt;="&amp;MATCH(U75/6,装备强化!$U$7:$U$306,1),装备强化!$M$7:$M$306,"&gt;="&amp;MATCH(V75/6,装备强化!$U$7:$U$306,1))*6</f>
        <v>0</v>
      </c>
      <c r="AD75">
        <f ca="1" t="shared" si="11"/>
        <v>0</v>
      </c>
    </row>
    <row r="76" spans="1:30">
      <c r="A76" s="171"/>
      <c r="B76" s="80">
        <v>49</v>
      </c>
      <c r="C76" s="80">
        <f ca="1">OFFSET(产销汇总!$C$12,$B76,$C$26)</f>
        <v>122</v>
      </c>
      <c r="D76" s="80">
        <f t="shared" si="6"/>
        <v>14100</v>
      </c>
      <c r="E76" s="80">
        <f ca="1">(SUMIF(主线推图!$B$4:$B$303,"&lt;"&amp;C76,主线推图!$M$4:$M$303)+SUMIF(主线宝箱!$B$320:$B$620,"&lt;"&amp;C76,主线宝箱!$L$320:$L$620)+SUMIF(主线宝箱!$B$320:$B$620,"&lt;"&amp;C76,主线宝箱!$X$320:$X$620)+SUMIF(主线宝箱!$B$320:$B$620,"&lt;"&amp;C76,主线宝箱!$AL$320:$AL$620))</f>
        <v>214800</v>
      </c>
      <c r="F76" s="98">
        <f ca="1">SUMIF(组队产出!$B$24:$B$39,"&lt;="&amp;MAX(1,INT(C76/10-0.6)),组队产出!$R$24:$R$39)</f>
        <v>87000</v>
      </c>
      <c r="G76" s="80">
        <f ca="1">SUMIF(运营活动!$O$3:$O$27,"&lt;="&amp;C76,运营活动!$P$3:$P$27)</f>
        <v>30000</v>
      </c>
      <c r="H76" s="80">
        <f ca="1">OFFSET(产销汇总!$AM$12,B76,$C$26)*24</f>
        <v>375144</v>
      </c>
      <c r="I76" s="172">
        <f ca="1">SUMIF(金币本!$F$2:$F$52,"&lt;="&amp;C76,金币本!$D$2:$D$52)</f>
        <v>589000</v>
      </c>
      <c r="J76" s="80">
        <f ca="1">OFFSET(产销汇总!$C$1,MATCH(J$27,产销汇总!$C$2:$C$8,0),$C$26)*(_xlfn.XLOOKUP(C76,主线推图!$B$313:$B$612,主线推图!$C$313:$C$612)+_xlfn.XLOOKUP(C76,主线推图!$B$313:$B$612,主线推图!$D$313:$D$612))</f>
        <v>11484</v>
      </c>
      <c r="K76" s="80">
        <f ca="1">OFFSET(产销汇总!$C$1,MATCH(K$27,产销汇总!$C$2:$C$8,0),$C$26)*_xlfn.XLOOKUP(C76,巡逻产出!$B$311:$B$610,巡逻产出!$C$311:$C$610)*1.3</f>
        <v>0</v>
      </c>
      <c r="L76" s="80">
        <f ca="1">OFFSET(产销汇总!$C$1,MATCH(L$27,产销汇总!$C$2:$C$8,0),$C$26)*(_xlfn.XLOOKUP(MAX(1,INT(C76/10-6/10)),组队产出!$B$24:$B$39,组队产出!$D$24:$D$39))+OFFSET(产销汇总!$C$1,MATCH(L$27,产销汇总!$C$2:$C$8,0),$C$26)*(_xlfn.XLOOKUP(MAX(1,INT(C76/10-6/10)),组队产出!$B$24:$B$39,组队产出!$C$24:$C$39))</f>
        <v>6216</v>
      </c>
      <c r="M76" s="80">
        <f ca="1">(OFFSET(产销汇总!$C$1,MATCH(M$27,产销汇总!$C$2:$C$8,0),$C$26)*_xlfn.XLOOKUP(C76,巡逻产出!$B$311:$B$610,巡逻产出!$D$311:$D$610))*$M$24</f>
        <v>8143.2</v>
      </c>
      <c r="N76" s="80">
        <f ca="1">OFFSET(产销汇总!$C$1,MATCH(L$27,产销汇总!$C$2:$C$8,0),$C$26)*(_xlfn.XLOOKUP(MAX(1,INT(C76/10-6/10)),组队产出!$B$24:$B$39,组队产出!$S$24:$S$39))</f>
        <v>16500</v>
      </c>
      <c r="O76" s="172">
        <f>任务!$D$36</f>
        <v>2457.14285714286</v>
      </c>
      <c r="P76" s="98">
        <f t="shared" si="7"/>
        <v>428</v>
      </c>
      <c r="Q76" s="80">
        <f t="shared" si="8"/>
        <v>1000</v>
      </c>
      <c r="R76" s="172">
        <f t="shared" si="9"/>
        <v>2000</v>
      </c>
      <c r="S76" s="210">
        <f ca="1">IFERROR(OFFSET(金币本!$E$2,MATCH(C76,金币本!$F$3:$F$302,1),0)*IF($C$26=1,2,3),0)</f>
        <v>25500</v>
      </c>
      <c r="T76" s="172" t="e">
        <f ca="1">SUM($J$28:S76)+SUM(D76:I76)</f>
        <v>#N/A</v>
      </c>
      <c r="U76" s="172" t="e">
        <f ca="1" t="shared" si="2"/>
        <v>#N/A</v>
      </c>
      <c r="V76" s="98" t="e">
        <f ca="1" t="shared" si="3"/>
        <v>#N/A</v>
      </c>
      <c r="W76" s="98" t="e">
        <f ca="1">OFFSET(装备强化!$U$6,MATCH(图纸产出设计!V77/6*W$26,装备强化!$T$7:$T$306,1),0)*6</f>
        <v>#N/A</v>
      </c>
      <c r="X76" s="98">
        <v>245690</v>
      </c>
      <c r="Y76" s="98">
        <f t="shared" si="10"/>
        <v>1456000</v>
      </c>
      <c r="Z76" s="98">
        <f t="shared" si="12"/>
        <v>2</v>
      </c>
      <c r="AA76" s="147" t="e">
        <f ca="1" t="shared" si="4"/>
        <v>#N/A</v>
      </c>
      <c r="AB76" s="209" t="e">
        <f ca="1" t="shared" si="5"/>
        <v>#N/A</v>
      </c>
      <c r="AC76" s="209">
        <f ca="1">SUMIFS(装备强化!$Q$7:$Q$306,装备强化!$M$7:$M$306,"&lt;="&amp;MATCH(U76/6,装备强化!$U$7:$U$306,1),装备强化!$M$7:$M$306,"&gt;="&amp;MATCH(V76/6,装备强化!$U$7:$U$306,1))*6</f>
        <v>0</v>
      </c>
      <c r="AD76">
        <f ca="1" t="shared" si="11"/>
        <v>0</v>
      </c>
    </row>
    <row r="77" spans="1:30">
      <c r="A77" s="171"/>
      <c r="B77" s="80">
        <v>50</v>
      </c>
      <c r="C77" s="80">
        <f ca="1">OFFSET(产销汇总!$C$12,$B77,$C$26)</f>
        <v>123</v>
      </c>
      <c r="D77" s="80">
        <f t="shared" si="6"/>
        <v>14100</v>
      </c>
      <c r="E77" s="80">
        <f ca="1">(SUMIF(主线推图!$B$4:$B$303,"&lt;"&amp;C77,主线推图!$M$4:$M$303)+SUMIF(主线宝箱!$B$320:$B$620,"&lt;"&amp;C77,主线宝箱!$L$320:$L$620)+SUMIF(主线宝箱!$B$320:$B$620,"&lt;"&amp;C77,主线宝箱!$X$320:$X$620)+SUMIF(主线宝箱!$B$320:$B$620,"&lt;"&amp;C77,主线宝箱!$AL$320:$AL$620))</f>
        <v>216600</v>
      </c>
      <c r="F77" s="98">
        <f ca="1">SUMIF(组队产出!$B$24:$B$39,"&lt;="&amp;MAX(1,INT(C77/10-0.6)),组队产出!$R$24:$R$39)</f>
        <v>87000</v>
      </c>
      <c r="G77" s="80">
        <f ca="1">SUMIF(运营活动!$O$3:$O$27,"&lt;="&amp;C77,运营活动!$P$3:$P$27)</f>
        <v>30000</v>
      </c>
      <c r="H77" s="80">
        <f ca="1">OFFSET(产销汇总!$AM$12,B77,$C$26)*24</f>
        <v>382392</v>
      </c>
      <c r="I77" s="172">
        <f ca="1">SUMIF(金币本!$F$2:$F$52,"&lt;="&amp;C77,金币本!$D$2:$D$52)</f>
        <v>624000</v>
      </c>
      <c r="J77" s="80">
        <f ca="1">OFFSET(产销汇总!$C$1,MATCH(J$27,产销汇总!$C$2:$C$8,0),$C$26)*(_xlfn.XLOOKUP(C77,主线推图!$B$313:$B$612,主线推图!$C$313:$C$612)+_xlfn.XLOOKUP(C77,主线推图!$B$313:$B$612,主线推图!$D$313:$D$612))</f>
        <v>11528</v>
      </c>
      <c r="K77" s="80">
        <f ca="1">OFFSET(产销汇总!$C$1,MATCH(K$27,产销汇总!$C$2:$C$8,0),$C$26)*_xlfn.XLOOKUP(C77,巡逻产出!$B$311:$B$610,巡逻产出!$C$311:$C$610)*1.3</f>
        <v>0</v>
      </c>
      <c r="L77" s="80">
        <f ca="1">OFFSET(产销汇总!$C$1,MATCH(L$27,产销汇总!$C$2:$C$8,0),$C$26)*(_xlfn.XLOOKUP(MAX(1,INT(C77/10-6/10)),组队产出!$B$24:$B$39,组队产出!$D$24:$D$39))+OFFSET(产销汇总!$C$1,MATCH(L$27,产销汇总!$C$2:$C$8,0),$C$26)*(_xlfn.XLOOKUP(MAX(1,INT(C77/10-6/10)),组队产出!$B$24:$B$39,组队产出!$C$24:$C$39))</f>
        <v>6216</v>
      </c>
      <c r="M77" s="80">
        <f ca="1">(OFFSET(产销汇总!$C$1,MATCH(M$27,产销汇总!$C$2:$C$8,0),$C$26)*_xlfn.XLOOKUP(C77,巡逻产出!$B$311:$B$610,巡逻产出!$D$311:$D$610))*$M$24</f>
        <v>8174.4</v>
      </c>
      <c r="N77" s="80">
        <f ca="1">OFFSET(产销汇总!$C$1,MATCH(L$27,产销汇总!$C$2:$C$8,0),$C$26)*(_xlfn.XLOOKUP(MAX(1,INT(C77/10-6/10)),组队产出!$B$24:$B$39,组队产出!$S$24:$S$39))</f>
        <v>16500</v>
      </c>
      <c r="O77" s="172">
        <f>任务!$D$36</f>
        <v>2457.14285714286</v>
      </c>
      <c r="P77" s="98">
        <f t="shared" si="7"/>
        <v>428</v>
      </c>
      <c r="Q77" s="80">
        <f t="shared" si="8"/>
        <v>1500</v>
      </c>
      <c r="R77" s="172">
        <f t="shared" si="9"/>
        <v>2000</v>
      </c>
      <c r="S77" s="210">
        <f ca="1">IFERROR(OFFSET(金币本!$E$2,MATCH(C77,金币本!$F$3:$F$302,1),0)*IF($C$26=1,2,3),0)</f>
        <v>26250</v>
      </c>
      <c r="T77" s="172" t="e">
        <f ca="1">SUM($J$28:S77)+SUM(D77:I77)</f>
        <v>#N/A</v>
      </c>
      <c r="U77" s="172" t="e">
        <f ca="1" t="shared" si="2"/>
        <v>#N/A</v>
      </c>
      <c r="V77" s="98" t="e">
        <f ca="1" t="shared" si="3"/>
        <v>#N/A</v>
      </c>
      <c r="W77" s="98" t="e">
        <f ca="1">OFFSET(装备强化!$U$6,MATCH(图纸产出设计!V78/6*W$26,装备强化!$T$7:$T$306,1),0)*6</f>
        <v>#N/A</v>
      </c>
      <c r="X77" s="98">
        <v>251590</v>
      </c>
      <c r="Y77" s="98">
        <f t="shared" si="10"/>
        <v>1488000</v>
      </c>
      <c r="Z77" s="98">
        <f t="shared" si="12"/>
        <v>2</v>
      </c>
      <c r="AA77" s="147" t="e">
        <f ca="1" t="shared" si="4"/>
        <v>#N/A</v>
      </c>
      <c r="AB77" s="209" t="e">
        <f ca="1" t="shared" si="5"/>
        <v>#N/A</v>
      </c>
      <c r="AC77" s="209">
        <f ca="1">SUMIFS(装备强化!$Q$7:$Q$306,装备强化!$M$7:$M$306,"&lt;="&amp;MATCH(U77/6,装备强化!$U$7:$U$306,1),装备强化!$M$7:$M$306,"&gt;="&amp;MATCH(V77/6,装备强化!$U$7:$U$306,1))*6</f>
        <v>0</v>
      </c>
      <c r="AD77">
        <f ca="1" t="shared" si="11"/>
        <v>0</v>
      </c>
    </row>
    <row r="78" spans="1:30">
      <c r="A78" s="171"/>
      <c r="B78" s="80">
        <v>51</v>
      </c>
      <c r="C78" s="80">
        <f ca="1">OFFSET(产销汇总!$C$12,$B78,$C$26)</f>
        <v>124</v>
      </c>
      <c r="D78" s="80">
        <f t="shared" si="6"/>
        <v>14100</v>
      </c>
      <c r="E78" s="80">
        <f ca="1">(SUMIF(主线推图!$B$4:$B$303,"&lt;"&amp;C78,主线推图!$M$4:$M$303)+SUMIF(主线宝箱!$B$320:$B$620,"&lt;"&amp;C78,主线宝箱!$L$320:$L$620)+SUMIF(主线宝箱!$B$320:$B$620,"&lt;"&amp;C78,主线宝箱!$X$320:$X$620)+SUMIF(主线宝箱!$B$320:$B$620,"&lt;"&amp;C78,主线宝箱!$AL$320:$AL$620))</f>
        <v>218400</v>
      </c>
      <c r="F78" s="98">
        <f ca="1">SUMIF(组队产出!$B$24:$B$39,"&lt;="&amp;MAX(1,INT(C78/10-0.6)),组队产出!$R$24:$R$39)</f>
        <v>87000</v>
      </c>
      <c r="G78" s="80">
        <f ca="1">SUMIF(运营活动!$O$3:$O$27,"&lt;="&amp;C78,运营活动!$P$3:$P$27)</f>
        <v>30000</v>
      </c>
      <c r="H78" s="80">
        <f ca="1">OFFSET(产销汇总!$AM$12,B78,$C$26)*24</f>
        <v>389640</v>
      </c>
      <c r="I78" s="172">
        <f ca="1">SUMIF(金币本!$F$2:$F$52,"&lt;="&amp;C78,金币本!$D$2:$D$52)</f>
        <v>624000</v>
      </c>
      <c r="J78" s="80">
        <f ca="1">OFFSET(产销汇总!$C$1,MATCH(J$27,产销汇总!$C$2:$C$8,0),$C$26)*(_xlfn.XLOOKUP(C78,主线推图!$B$313:$B$612,主线推图!$C$313:$C$612)+_xlfn.XLOOKUP(C78,主线推图!$B$313:$B$612,主线推图!$D$313:$D$612))</f>
        <v>11572</v>
      </c>
      <c r="K78" s="80">
        <f ca="1">OFFSET(产销汇总!$C$1,MATCH(K$27,产销汇总!$C$2:$C$8,0),$C$26)*_xlfn.XLOOKUP(C78,巡逻产出!$B$311:$B$610,巡逻产出!$C$311:$C$610)*1.3</f>
        <v>0</v>
      </c>
      <c r="L78" s="80">
        <f ca="1">OFFSET(产销汇总!$C$1,MATCH(L$27,产销汇总!$C$2:$C$8,0),$C$26)*(_xlfn.XLOOKUP(MAX(1,INT(C78/10-6/10)),组队产出!$B$24:$B$39,组队产出!$D$24:$D$39))+OFFSET(产销汇总!$C$1,MATCH(L$27,产销汇总!$C$2:$C$8,0),$C$26)*(_xlfn.XLOOKUP(MAX(1,INT(C78/10-6/10)),组队产出!$B$24:$B$39,组队产出!$C$24:$C$39))</f>
        <v>6216</v>
      </c>
      <c r="M78" s="80">
        <f ca="1">(OFFSET(产销汇总!$C$1,MATCH(M$27,产销汇总!$C$2:$C$8,0),$C$26)*_xlfn.XLOOKUP(C78,巡逻产出!$B$311:$B$610,巡逻产出!$D$311:$D$610))*$M$24</f>
        <v>8205.6</v>
      </c>
      <c r="N78" s="80">
        <f ca="1">OFFSET(产销汇总!$C$1,MATCH(L$27,产销汇总!$C$2:$C$8,0),$C$26)*(_xlfn.XLOOKUP(MAX(1,INT(C78/10-6/10)),组队产出!$B$24:$B$39,组队产出!$S$24:$S$39))</f>
        <v>16500</v>
      </c>
      <c r="O78" s="172">
        <f>任务!$D$36</f>
        <v>2457.14285714286</v>
      </c>
      <c r="P78" s="98">
        <f t="shared" si="7"/>
        <v>428</v>
      </c>
      <c r="Q78" s="80">
        <f t="shared" si="8"/>
        <v>1000</v>
      </c>
      <c r="R78" s="172">
        <f t="shared" si="9"/>
        <v>2000</v>
      </c>
      <c r="S78" s="210">
        <f ca="1">IFERROR(OFFSET(金币本!$E$2,MATCH(C78,金币本!$F$3:$F$302,1),0)*IF($C$26=1,2,3),0)</f>
        <v>26250</v>
      </c>
      <c r="T78" s="172" t="e">
        <f ca="1">SUM($J$28:S78)+SUM(D78:I78)</f>
        <v>#N/A</v>
      </c>
      <c r="U78" s="172" t="e">
        <f ca="1" t="shared" si="2"/>
        <v>#N/A</v>
      </c>
      <c r="V78" s="98" t="e">
        <f ca="1" t="shared" si="3"/>
        <v>#N/A</v>
      </c>
      <c r="W78" s="98" t="e">
        <f ca="1">OFFSET(装备强化!$U$6,MATCH(图纸产出设计!V79/6*W$26,装备强化!$T$7:$T$306,1),0)*6</f>
        <v>#N/A</v>
      </c>
      <c r="X78" s="98">
        <v>251590</v>
      </c>
      <c r="Y78" s="98">
        <f t="shared" si="10"/>
        <v>1520000</v>
      </c>
      <c r="Z78" s="98">
        <f t="shared" si="12"/>
        <v>2</v>
      </c>
      <c r="AA78" s="147" t="e">
        <f ca="1" t="shared" si="4"/>
        <v>#N/A</v>
      </c>
      <c r="AB78" s="209" t="e">
        <f ca="1" t="shared" si="5"/>
        <v>#N/A</v>
      </c>
      <c r="AC78" s="209">
        <f ca="1">SUMIFS(装备强化!$Q$7:$Q$306,装备强化!$M$7:$M$306,"&lt;="&amp;MATCH(U78/6,装备强化!$U$7:$U$306,1),装备强化!$M$7:$M$306,"&gt;="&amp;MATCH(V78/6,装备强化!$U$7:$U$306,1))*6</f>
        <v>0</v>
      </c>
      <c r="AD78">
        <f ca="1" t="shared" si="11"/>
        <v>0</v>
      </c>
    </row>
    <row r="79" spans="1:30">
      <c r="A79" s="171"/>
      <c r="B79" s="80">
        <v>52</v>
      </c>
      <c r="C79" s="80">
        <f ca="1">OFFSET(产销汇总!$C$12,$B79,$C$26)</f>
        <v>125</v>
      </c>
      <c r="D79" s="80">
        <f t="shared" si="6"/>
        <v>14100</v>
      </c>
      <c r="E79" s="80">
        <f ca="1">(SUMIF(主线推图!$B$4:$B$303,"&lt;"&amp;C79,主线推图!$M$4:$M$303)+SUMIF(主线宝箱!$B$320:$B$620,"&lt;"&amp;C79,主线宝箱!$L$320:$L$620)+SUMIF(主线宝箱!$B$320:$B$620,"&lt;"&amp;C79,主线宝箱!$X$320:$X$620)+SUMIF(主线宝箱!$B$320:$B$620,"&lt;"&amp;C79,主线宝箱!$AL$320:$AL$620))</f>
        <v>220200</v>
      </c>
      <c r="F79" s="98">
        <f ca="1">SUMIF(组队产出!$B$24:$B$39,"&lt;="&amp;MAX(1,INT(C79/10-0.6)),组队产出!$R$24:$R$39)</f>
        <v>87000</v>
      </c>
      <c r="G79" s="80">
        <f ca="1">SUMIF(运营活动!$O$3:$O$27,"&lt;="&amp;C79,运营活动!$P$3:$P$27)</f>
        <v>30000</v>
      </c>
      <c r="H79" s="80">
        <f ca="1">OFFSET(产销汇总!$AM$12,B79,$C$26)*24</f>
        <v>396912</v>
      </c>
      <c r="I79" s="172">
        <f ca="1">SUMIF(金币本!$F$2:$F$52,"&lt;="&amp;C79,金币本!$D$2:$D$52)</f>
        <v>624000</v>
      </c>
      <c r="J79" s="80">
        <f ca="1">OFFSET(产销汇总!$C$1,MATCH(J$27,产销汇总!$C$2:$C$8,0),$C$26)*(_xlfn.XLOOKUP(C79,主线推图!$B$313:$B$612,主线推图!$C$313:$C$612)+_xlfn.XLOOKUP(C79,主线推图!$B$313:$B$612,主线推图!$D$313:$D$612))</f>
        <v>11616</v>
      </c>
      <c r="K79" s="80">
        <f ca="1">OFFSET(产销汇总!$C$1,MATCH(K$27,产销汇总!$C$2:$C$8,0),$C$26)*_xlfn.XLOOKUP(C79,巡逻产出!$B$311:$B$610,巡逻产出!$C$311:$C$610)*1.3</f>
        <v>0</v>
      </c>
      <c r="L79" s="80">
        <f ca="1">OFFSET(产销汇总!$C$1,MATCH(L$27,产销汇总!$C$2:$C$8,0),$C$26)*(_xlfn.XLOOKUP(MAX(1,INT(C79/10-6/10)),组队产出!$B$24:$B$39,组队产出!$D$24:$D$39))+OFFSET(产销汇总!$C$1,MATCH(L$27,产销汇总!$C$2:$C$8,0),$C$26)*(_xlfn.XLOOKUP(MAX(1,INT(C79/10-6/10)),组队产出!$B$24:$B$39,组队产出!$C$24:$C$39))</f>
        <v>6216</v>
      </c>
      <c r="M79" s="80">
        <f ca="1">(OFFSET(产销汇总!$C$1,MATCH(M$27,产销汇总!$C$2:$C$8,0),$C$26)*_xlfn.XLOOKUP(C79,巡逻产出!$B$311:$B$610,巡逻产出!$D$311:$D$610))*$M$24</f>
        <v>8236.8</v>
      </c>
      <c r="N79" s="80">
        <f ca="1">OFFSET(产销汇总!$C$1,MATCH(L$27,产销汇总!$C$2:$C$8,0),$C$26)*(_xlfn.XLOOKUP(MAX(1,INT(C79/10-6/10)),组队产出!$B$24:$B$39,组队产出!$S$24:$S$39))</f>
        <v>16500</v>
      </c>
      <c r="O79" s="172">
        <f>任务!$D$36</f>
        <v>2457.14285714286</v>
      </c>
      <c r="P79" s="98">
        <f t="shared" si="7"/>
        <v>428</v>
      </c>
      <c r="Q79" s="80">
        <f t="shared" si="8"/>
        <v>1000</v>
      </c>
      <c r="R79" s="172">
        <f t="shared" si="9"/>
        <v>2000</v>
      </c>
      <c r="S79" s="210">
        <f ca="1">IFERROR(OFFSET(金币本!$E$2,MATCH(C79,金币本!$F$3:$F$302,1),0)*IF($C$26=1,2,3),0)</f>
        <v>26250</v>
      </c>
      <c r="T79" s="172" t="e">
        <f ca="1">SUM($J$28:S79)+SUM(D79:I79)</f>
        <v>#N/A</v>
      </c>
      <c r="U79" s="172" t="e">
        <f ca="1" t="shared" si="2"/>
        <v>#N/A</v>
      </c>
      <c r="V79" s="98" t="e">
        <f ca="1" t="shared" si="3"/>
        <v>#N/A</v>
      </c>
      <c r="W79" s="98" t="e">
        <f ca="1">OFFSET(装备强化!$U$6,MATCH(图纸产出设计!V80/6*W$26,装备强化!$T$7:$T$306,1),0)*6</f>
        <v>#N/A</v>
      </c>
      <c r="X79" s="98">
        <v>257560</v>
      </c>
      <c r="Y79" s="98">
        <f t="shared" si="10"/>
        <v>1552000</v>
      </c>
      <c r="Z79" s="98">
        <f t="shared" si="12"/>
        <v>2</v>
      </c>
      <c r="AA79" s="147" t="e">
        <f ca="1" t="shared" si="4"/>
        <v>#N/A</v>
      </c>
      <c r="AB79" s="209" t="e">
        <f ca="1" t="shared" si="5"/>
        <v>#N/A</v>
      </c>
      <c r="AC79" s="209">
        <f ca="1">SUMIFS(装备强化!$Q$7:$Q$306,装备强化!$M$7:$M$306,"&lt;="&amp;MATCH(U79/6,装备强化!$U$7:$U$306,1),装备强化!$M$7:$M$306,"&gt;="&amp;MATCH(V79/6,装备强化!$U$7:$U$306,1))*6</f>
        <v>0</v>
      </c>
      <c r="AD79">
        <f ca="1" t="shared" si="11"/>
        <v>0</v>
      </c>
    </row>
    <row r="80" spans="1:30">
      <c r="A80" s="171"/>
      <c r="B80" s="80">
        <v>53</v>
      </c>
      <c r="C80" s="80">
        <f ca="1">OFFSET(产销汇总!$C$12,$B80,$C$26)</f>
        <v>126</v>
      </c>
      <c r="D80" s="80">
        <f t="shared" si="6"/>
        <v>14100</v>
      </c>
      <c r="E80" s="80">
        <f ca="1">(SUMIF(主线推图!$B$4:$B$303,"&lt;"&amp;C80,主线推图!$M$4:$M$303)+SUMIF(主线宝箱!$B$320:$B$620,"&lt;"&amp;C80,主线宝箱!$L$320:$L$620)+SUMIF(主线宝箱!$B$320:$B$620,"&lt;"&amp;C80,主线宝箱!$X$320:$X$620)+SUMIF(主线宝箱!$B$320:$B$620,"&lt;"&amp;C80,主线宝箱!$AL$320:$AL$620))</f>
        <v>222000</v>
      </c>
      <c r="F80" s="98">
        <f ca="1">SUMIF(组队产出!$B$24:$B$39,"&lt;="&amp;MAX(1,INT(C80/10-0.6)),组队产出!$R$24:$R$39)</f>
        <v>99000</v>
      </c>
      <c r="G80" s="80">
        <f ca="1">SUMIF(运营活动!$O$3:$O$27,"&lt;="&amp;C80,运营活动!$P$3:$P$27)</f>
        <v>30000</v>
      </c>
      <c r="H80" s="80">
        <f ca="1">OFFSET(产销汇总!$AM$12,B80,$C$26)*24</f>
        <v>404160</v>
      </c>
      <c r="I80" s="172">
        <f ca="1">SUMIF(金币本!$F$2:$F$52,"&lt;="&amp;C80,金币本!$D$2:$D$52)</f>
        <v>624000</v>
      </c>
      <c r="J80" s="80">
        <f ca="1">OFFSET(产销汇总!$C$1,MATCH(J$27,产销汇总!$C$2:$C$8,0),$C$26)*(_xlfn.XLOOKUP(C80,主线推图!$B$313:$B$612,主线推图!$C$313:$C$612)+_xlfn.XLOOKUP(C80,主线推图!$B$313:$B$612,主线推图!$D$313:$D$612))</f>
        <v>11660</v>
      </c>
      <c r="K80" s="80">
        <f ca="1">OFFSET(产销汇总!$C$1,MATCH(K$27,产销汇总!$C$2:$C$8,0),$C$26)*_xlfn.XLOOKUP(C80,巡逻产出!$B$311:$B$610,巡逻产出!$C$311:$C$610)*1.3</f>
        <v>0</v>
      </c>
      <c r="L80" s="80">
        <f ca="1">OFFSET(产销汇总!$C$1,MATCH(L$27,产销汇总!$C$2:$C$8,0),$C$26)*(_xlfn.XLOOKUP(MAX(1,INT(C80/10-6/10)),组队产出!$B$24:$B$39,组队产出!$D$24:$D$39))+OFFSET(产销汇总!$C$1,MATCH(L$27,产销汇总!$C$2:$C$8,0),$C$26)*(_xlfn.XLOOKUP(MAX(1,INT(C80/10-6/10)),组队产出!$B$24:$B$39,组队产出!$C$24:$C$39))</f>
        <v>6456</v>
      </c>
      <c r="M80" s="80">
        <f ca="1">(OFFSET(产销汇总!$C$1,MATCH(M$27,产销汇总!$C$2:$C$8,0),$C$26)*_xlfn.XLOOKUP(C80,巡逻产出!$B$311:$B$610,巡逻产出!$D$311:$D$610))*$M$24</f>
        <v>8268</v>
      </c>
      <c r="N80" s="80">
        <f ca="1">OFFSET(产销汇总!$C$1,MATCH(L$27,产销汇总!$C$2:$C$8,0),$C$26)*(_xlfn.XLOOKUP(MAX(1,INT(C80/10-6/10)),组队产出!$B$24:$B$39,组队产出!$S$24:$S$39))</f>
        <v>17598</v>
      </c>
      <c r="O80" s="172">
        <f>任务!$D$36</f>
        <v>2457.14285714286</v>
      </c>
      <c r="P80" s="98">
        <f t="shared" si="7"/>
        <v>428</v>
      </c>
      <c r="Q80" s="80">
        <f t="shared" si="8"/>
        <v>1000</v>
      </c>
      <c r="R80" s="172">
        <f t="shared" si="9"/>
        <v>2000</v>
      </c>
      <c r="S80" s="210">
        <f ca="1">IFERROR(OFFSET(金币本!$E$2,MATCH(C80,金币本!$F$3:$F$302,1),0)*IF($C$26=1,2,3),0)</f>
        <v>26250</v>
      </c>
      <c r="T80" s="172" t="e">
        <f ca="1">SUM($J$28:S80)+SUM(D80:I80)</f>
        <v>#N/A</v>
      </c>
      <c r="U80" s="172" t="e">
        <f ca="1" t="shared" si="2"/>
        <v>#N/A</v>
      </c>
      <c r="V80" s="98" t="e">
        <f ca="1" t="shared" si="3"/>
        <v>#N/A</v>
      </c>
      <c r="W80" s="98" t="e">
        <f ca="1">OFFSET(装备强化!$U$6,MATCH(图纸产出设计!V81/6*W$26,装备强化!$T$7:$T$306,1),0)*6</f>
        <v>#N/A</v>
      </c>
      <c r="X80" s="98">
        <v>263600</v>
      </c>
      <c r="Y80" s="98">
        <f t="shared" si="10"/>
        <v>1584000</v>
      </c>
      <c r="Z80" s="98">
        <f t="shared" si="12"/>
        <v>2</v>
      </c>
      <c r="AA80" s="147" t="e">
        <f ca="1" t="shared" si="4"/>
        <v>#N/A</v>
      </c>
      <c r="AB80" s="209" t="e">
        <f ca="1" t="shared" si="5"/>
        <v>#N/A</v>
      </c>
      <c r="AC80" s="209">
        <f ca="1">SUMIFS(装备强化!$Q$7:$Q$306,装备强化!$M$7:$M$306,"&lt;="&amp;MATCH(U80/6,装备强化!$U$7:$U$306,1),装备强化!$M$7:$M$306,"&gt;="&amp;MATCH(V80/6,装备强化!$U$7:$U$306,1))*6</f>
        <v>0</v>
      </c>
      <c r="AD80">
        <f ca="1" t="shared" si="11"/>
        <v>0</v>
      </c>
    </row>
    <row r="81" spans="1:30">
      <c r="A81" s="171"/>
      <c r="B81" s="80">
        <v>54</v>
      </c>
      <c r="C81" s="80">
        <f ca="1">OFFSET(产销汇总!$C$12,$B81,$C$26)</f>
        <v>127</v>
      </c>
      <c r="D81" s="80">
        <f t="shared" si="6"/>
        <v>14100</v>
      </c>
      <c r="E81" s="80">
        <f ca="1">(SUMIF(主线推图!$B$4:$B$303,"&lt;"&amp;C81,主线推图!$M$4:$M$303)+SUMIF(主线宝箱!$B$320:$B$620,"&lt;"&amp;C81,主线宝箱!$L$320:$L$620)+SUMIF(主线宝箱!$B$320:$B$620,"&lt;"&amp;C81,主线宝箱!$X$320:$X$620)+SUMIF(主线宝箱!$B$320:$B$620,"&lt;"&amp;C81,主线宝箱!$AL$320:$AL$620))</f>
        <v>223800</v>
      </c>
      <c r="F81" s="98">
        <f ca="1">SUMIF(组队产出!$B$24:$B$39,"&lt;="&amp;MAX(1,INT(C81/10-0.6)),组队产出!$R$24:$R$39)</f>
        <v>99000</v>
      </c>
      <c r="G81" s="80">
        <f ca="1">SUMIF(运营活动!$O$3:$O$27,"&lt;="&amp;C81,运营活动!$P$3:$P$27)</f>
        <v>30000</v>
      </c>
      <c r="H81" s="80">
        <f ca="1">OFFSET(产销汇总!$AM$12,B81,$C$26)*24</f>
        <v>411408</v>
      </c>
      <c r="I81" s="172">
        <f ca="1">SUMIF(金币本!$F$2:$F$52,"&lt;="&amp;C81,金币本!$D$2:$D$52)</f>
        <v>660000</v>
      </c>
      <c r="J81" s="80">
        <f ca="1">OFFSET(产销汇总!$C$1,MATCH(J$27,产销汇总!$C$2:$C$8,0),$C$26)*(_xlfn.XLOOKUP(C81,主线推图!$B$313:$B$612,主线推图!$C$313:$C$612)+_xlfn.XLOOKUP(C81,主线推图!$B$313:$B$612,主线推图!$D$313:$D$612))</f>
        <v>11704</v>
      </c>
      <c r="K81" s="80">
        <f ca="1">OFFSET(产销汇总!$C$1,MATCH(K$27,产销汇总!$C$2:$C$8,0),$C$26)*_xlfn.XLOOKUP(C81,巡逻产出!$B$311:$B$610,巡逻产出!$C$311:$C$610)*1.3</f>
        <v>0</v>
      </c>
      <c r="L81" s="80">
        <f ca="1">OFFSET(产销汇总!$C$1,MATCH(L$27,产销汇总!$C$2:$C$8,0),$C$26)*(_xlfn.XLOOKUP(MAX(1,INT(C81/10-6/10)),组队产出!$B$24:$B$39,组队产出!$D$24:$D$39))+OFFSET(产销汇总!$C$1,MATCH(L$27,产销汇总!$C$2:$C$8,0),$C$26)*(_xlfn.XLOOKUP(MAX(1,INT(C81/10-6/10)),组队产出!$B$24:$B$39,组队产出!$C$24:$C$39))</f>
        <v>6456</v>
      </c>
      <c r="M81" s="80">
        <f ca="1">(OFFSET(产销汇总!$C$1,MATCH(M$27,产销汇总!$C$2:$C$8,0),$C$26)*_xlfn.XLOOKUP(C81,巡逻产出!$B$311:$B$610,巡逻产出!$D$311:$D$610))*$M$24</f>
        <v>8299.2</v>
      </c>
      <c r="N81" s="80">
        <f ca="1">OFFSET(产销汇总!$C$1,MATCH(L$27,产销汇总!$C$2:$C$8,0),$C$26)*(_xlfn.XLOOKUP(MAX(1,INT(C81/10-6/10)),组队产出!$B$24:$B$39,组队产出!$S$24:$S$39))</f>
        <v>17598</v>
      </c>
      <c r="O81" s="172">
        <f>任务!$D$36</f>
        <v>2457.14285714286</v>
      </c>
      <c r="P81" s="98">
        <f t="shared" si="7"/>
        <v>428</v>
      </c>
      <c r="Q81" s="80">
        <f t="shared" si="8"/>
        <v>1000</v>
      </c>
      <c r="R81" s="172">
        <f t="shared" si="9"/>
        <v>2000</v>
      </c>
      <c r="S81" s="210">
        <f ca="1">IFERROR(OFFSET(金币本!$E$2,MATCH(C81,金币本!$F$3:$F$302,1),0)*IF($C$26=1,2,3),0)</f>
        <v>27000</v>
      </c>
      <c r="T81" s="172" t="e">
        <f ca="1">SUM($J$28:S81)+SUM(D81:I81)</f>
        <v>#N/A</v>
      </c>
      <c r="U81" s="172" t="e">
        <f ca="1" t="shared" si="2"/>
        <v>#N/A</v>
      </c>
      <c r="V81" s="98" t="e">
        <f ca="1" t="shared" si="3"/>
        <v>#N/A</v>
      </c>
      <c r="W81" s="98" t="e">
        <f ca="1">OFFSET(装备强化!$U$6,MATCH(图纸产出设计!V82/6*W$26,装备强化!$T$7:$T$306,1),0)*6</f>
        <v>#N/A</v>
      </c>
      <c r="X81" s="98">
        <v>263600</v>
      </c>
      <c r="Y81" s="98">
        <f t="shared" si="10"/>
        <v>1616000</v>
      </c>
      <c r="Z81" s="98">
        <f t="shared" si="12"/>
        <v>2</v>
      </c>
      <c r="AA81" s="147" t="e">
        <f ca="1" t="shared" si="4"/>
        <v>#N/A</v>
      </c>
      <c r="AB81" s="209" t="e">
        <f ca="1" t="shared" si="5"/>
        <v>#N/A</v>
      </c>
      <c r="AC81" s="209">
        <f ca="1">SUMIFS(装备强化!$Q$7:$Q$306,装备强化!$M$7:$M$306,"&lt;="&amp;MATCH(U81/6,装备强化!$U$7:$U$306,1),装备强化!$M$7:$M$306,"&gt;="&amp;MATCH(V81/6,装备强化!$U$7:$U$306,1))*6</f>
        <v>0</v>
      </c>
      <c r="AD81">
        <f ca="1" t="shared" si="11"/>
        <v>0</v>
      </c>
    </row>
    <row r="82" spans="1:30">
      <c r="A82" s="171"/>
      <c r="B82" s="80">
        <v>55</v>
      </c>
      <c r="C82" s="80">
        <f ca="1">OFFSET(产销汇总!$C$12,$B82,$C$26)</f>
        <v>128</v>
      </c>
      <c r="D82" s="80">
        <f t="shared" si="6"/>
        <v>14100</v>
      </c>
      <c r="E82" s="80">
        <f ca="1">(SUMIF(主线推图!$B$4:$B$303,"&lt;"&amp;C82,主线推图!$M$4:$M$303)+SUMIF(主线宝箱!$B$320:$B$620,"&lt;"&amp;C82,主线宝箱!$L$320:$L$620)+SUMIF(主线宝箱!$B$320:$B$620,"&lt;"&amp;C82,主线宝箱!$X$320:$X$620)+SUMIF(主线宝箱!$B$320:$B$620,"&lt;"&amp;C82,主线宝箱!$AL$320:$AL$620))</f>
        <v>225600</v>
      </c>
      <c r="F82" s="98">
        <f ca="1">SUMIF(组队产出!$B$24:$B$39,"&lt;="&amp;MAX(1,INT(C82/10-0.6)),组队产出!$R$24:$R$39)</f>
        <v>99000</v>
      </c>
      <c r="G82" s="80">
        <f ca="1">SUMIF(运营活动!$O$3:$O$27,"&lt;="&amp;C82,运营活动!$P$3:$P$27)</f>
        <v>30000</v>
      </c>
      <c r="H82" s="80">
        <f ca="1">OFFSET(产销汇总!$AM$12,B82,$C$26)*24</f>
        <v>418656</v>
      </c>
      <c r="I82" s="172">
        <f ca="1">SUMIF(金币本!$F$2:$F$52,"&lt;="&amp;C82,金币本!$D$2:$D$52)</f>
        <v>660000</v>
      </c>
      <c r="J82" s="80">
        <f ca="1">OFFSET(产销汇总!$C$1,MATCH(J$27,产销汇总!$C$2:$C$8,0),$C$26)*(_xlfn.XLOOKUP(C82,主线推图!$B$313:$B$612,主线推图!$C$313:$C$612)+_xlfn.XLOOKUP(C82,主线推图!$B$313:$B$612,主线推图!$D$313:$D$612))</f>
        <v>11748</v>
      </c>
      <c r="K82" s="80">
        <f ca="1">OFFSET(产销汇总!$C$1,MATCH(K$27,产销汇总!$C$2:$C$8,0),$C$26)*_xlfn.XLOOKUP(C82,巡逻产出!$B$311:$B$610,巡逻产出!$C$311:$C$610)*1.3</f>
        <v>0</v>
      </c>
      <c r="L82" s="80">
        <f ca="1">OFFSET(产销汇总!$C$1,MATCH(L$27,产销汇总!$C$2:$C$8,0),$C$26)*(_xlfn.XLOOKUP(MAX(1,INT(C82/10-6/10)),组队产出!$B$24:$B$39,组队产出!$D$24:$D$39))+OFFSET(产销汇总!$C$1,MATCH(L$27,产销汇总!$C$2:$C$8,0),$C$26)*(_xlfn.XLOOKUP(MAX(1,INT(C82/10-6/10)),组队产出!$B$24:$B$39,组队产出!$C$24:$C$39))</f>
        <v>6456</v>
      </c>
      <c r="M82" s="80">
        <f ca="1">(OFFSET(产销汇总!$C$1,MATCH(M$27,产销汇总!$C$2:$C$8,0),$C$26)*_xlfn.XLOOKUP(C82,巡逻产出!$B$311:$B$610,巡逻产出!$D$311:$D$610))*$M$24</f>
        <v>8330.4</v>
      </c>
      <c r="N82" s="80">
        <f ca="1">OFFSET(产销汇总!$C$1,MATCH(L$27,产销汇总!$C$2:$C$8,0),$C$26)*(_xlfn.XLOOKUP(MAX(1,INT(C82/10-6/10)),组队产出!$B$24:$B$39,组队产出!$S$24:$S$39))</f>
        <v>17598</v>
      </c>
      <c r="O82" s="172">
        <f>任务!$D$36</f>
        <v>2457.14285714286</v>
      </c>
      <c r="P82" s="98">
        <f t="shared" si="7"/>
        <v>428</v>
      </c>
      <c r="Q82" s="80">
        <f t="shared" si="8"/>
        <v>1000</v>
      </c>
      <c r="R82" s="172">
        <f t="shared" si="9"/>
        <v>2000</v>
      </c>
      <c r="S82" s="210">
        <f ca="1">IFERROR(OFFSET(金币本!$E$2,MATCH(C82,金币本!$F$3:$F$302,1),0)*IF($C$26=1,2,3),0)</f>
        <v>27000</v>
      </c>
      <c r="T82" s="172" t="e">
        <f ca="1">SUM($J$28:S82)+SUM(D82:I82)</f>
        <v>#N/A</v>
      </c>
      <c r="U82" s="172" t="e">
        <f ca="1" t="shared" si="2"/>
        <v>#N/A</v>
      </c>
      <c r="V82" s="98" t="e">
        <f ca="1" t="shared" si="3"/>
        <v>#N/A</v>
      </c>
      <c r="W82" s="98" t="e">
        <f ca="1">OFFSET(装备强化!$U$6,MATCH(图纸产出设计!V83/6*W$26,装备强化!$T$7:$T$306,1),0)*6</f>
        <v>#N/A</v>
      </c>
      <c r="X82" s="98">
        <v>269710</v>
      </c>
      <c r="Y82" s="98">
        <f t="shared" si="10"/>
        <v>1648000</v>
      </c>
      <c r="Z82" s="98">
        <f t="shared" si="12"/>
        <v>2</v>
      </c>
      <c r="AA82" s="147" t="e">
        <f ca="1" t="shared" si="4"/>
        <v>#N/A</v>
      </c>
      <c r="AB82" s="209" t="e">
        <f ca="1" t="shared" si="5"/>
        <v>#N/A</v>
      </c>
      <c r="AC82" s="209">
        <f ca="1">SUMIFS(装备强化!$Q$7:$Q$306,装备强化!$M$7:$M$306,"&lt;="&amp;MATCH(U82/6,装备强化!$U$7:$U$306,1),装备强化!$M$7:$M$306,"&gt;="&amp;MATCH(V82/6,装备强化!$U$7:$U$306,1))*6</f>
        <v>0</v>
      </c>
      <c r="AD82">
        <f ca="1" t="shared" si="11"/>
        <v>0</v>
      </c>
    </row>
    <row r="83" spans="1:30">
      <c r="A83" s="171"/>
      <c r="B83" s="80">
        <v>56</v>
      </c>
      <c r="C83" s="80">
        <f ca="1">OFFSET(产销汇总!$C$12,$B83,$C$26)</f>
        <v>129</v>
      </c>
      <c r="D83" s="80">
        <f t="shared" si="6"/>
        <v>14100</v>
      </c>
      <c r="E83" s="80">
        <f ca="1">(SUMIF(主线推图!$B$4:$B$303,"&lt;"&amp;C83,主线推图!$M$4:$M$303)+SUMIF(主线宝箱!$B$320:$B$620,"&lt;"&amp;C83,主线宝箱!$L$320:$L$620)+SUMIF(主线宝箱!$B$320:$B$620,"&lt;"&amp;C83,主线宝箱!$X$320:$X$620)+SUMIF(主线宝箱!$B$320:$B$620,"&lt;"&amp;C83,主线宝箱!$AL$320:$AL$620))</f>
        <v>227400</v>
      </c>
      <c r="F83" s="98">
        <f ca="1">SUMIF(组队产出!$B$24:$B$39,"&lt;="&amp;MAX(1,INT(C83/10-0.6)),组队产出!$R$24:$R$39)</f>
        <v>99000</v>
      </c>
      <c r="G83" s="80">
        <f ca="1">SUMIF(运营活动!$O$3:$O$27,"&lt;="&amp;C83,运营活动!$P$3:$P$27)</f>
        <v>30000</v>
      </c>
      <c r="H83" s="80">
        <f ca="1">OFFSET(产销汇总!$AM$12,B83,$C$26)*24</f>
        <v>425904</v>
      </c>
      <c r="I83" s="172">
        <f ca="1">SUMIF(金币本!$F$2:$F$52,"&lt;="&amp;C83,金币本!$D$2:$D$52)</f>
        <v>660000</v>
      </c>
      <c r="J83" s="80">
        <f ca="1">OFFSET(产销汇总!$C$1,MATCH(J$27,产销汇总!$C$2:$C$8,0),$C$26)*(_xlfn.XLOOKUP(C83,主线推图!$B$313:$B$612,主线推图!$C$313:$C$612)+_xlfn.XLOOKUP(C83,主线推图!$B$313:$B$612,主线推图!$D$313:$D$612))</f>
        <v>11792</v>
      </c>
      <c r="K83" s="80">
        <f ca="1">OFFSET(产销汇总!$C$1,MATCH(K$27,产销汇总!$C$2:$C$8,0),$C$26)*_xlfn.XLOOKUP(C83,巡逻产出!$B$311:$B$610,巡逻产出!$C$311:$C$610)*1.3</f>
        <v>0</v>
      </c>
      <c r="L83" s="80">
        <f ca="1">OFFSET(产销汇总!$C$1,MATCH(L$27,产销汇总!$C$2:$C$8,0),$C$26)*(_xlfn.XLOOKUP(MAX(1,INT(C83/10-6/10)),组队产出!$B$24:$B$39,组队产出!$D$24:$D$39))+OFFSET(产销汇总!$C$1,MATCH(L$27,产销汇总!$C$2:$C$8,0),$C$26)*(_xlfn.XLOOKUP(MAX(1,INT(C83/10-6/10)),组队产出!$B$24:$B$39,组队产出!$C$24:$C$39))</f>
        <v>6456</v>
      </c>
      <c r="M83" s="80">
        <f ca="1">(OFFSET(产销汇总!$C$1,MATCH(M$27,产销汇总!$C$2:$C$8,0),$C$26)*_xlfn.XLOOKUP(C83,巡逻产出!$B$311:$B$610,巡逻产出!$D$311:$D$610))*$M$24</f>
        <v>8361.6</v>
      </c>
      <c r="N83" s="80">
        <f ca="1">OFFSET(产销汇总!$C$1,MATCH(L$27,产销汇总!$C$2:$C$8,0),$C$26)*(_xlfn.XLOOKUP(MAX(1,INT(C83/10-6/10)),组队产出!$B$24:$B$39,组队产出!$S$24:$S$39))</f>
        <v>17598</v>
      </c>
      <c r="O83" s="172">
        <f>任务!$D$36</f>
        <v>2457.14285714286</v>
      </c>
      <c r="P83" s="98">
        <f t="shared" si="7"/>
        <v>428</v>
      </c>
      <c r="Q83" s="80">
        <f t="shared" si="8"/>
        <v>1000</v>
      </c>
      <c r="R83" s="172">
        <f t="shared" si="9"/>
        <v>2000</v>
      </c>
      <c r="S83" s="210">
        <f ca="1">IFERROR(OFFSET(金币本!$E$2,MATCH(C83,金币本!$F$3:$F$302,1),0)*IF($C$26=1,2,3),0)</f>
        <v>27000</v>
      </c>
      <c r="T83" s="172" t="e">
        <f ca="1">SUM($J$28:S83)+SUM(D83:I83)</f>
        <v>#N/A</v>
      </c>
      <c r="U83" s="172" t="e">
        <f ca="1" t="shared" si="2"/>
        <v>#N/A</v>
      </c>
      <c r="V83" s="98" t="e">
        <f ca="1" t="shared" si="3"/>
        <v>#N/A</v>
      </c>
      <c r="W83" s="98" t="e">
        <f ca="1">OFFSET(装备强化!$U$6,MATCH(图纸产出设计!V84/6*W$26,装备强化!$T$7:$T$306,1),0)*6</f>
        <v>#N/A</v>
      </c>
      <c r="X83" s="98">
        <v>275890</v>
      </c>
      <c r="Y83" s="98">
        <f t="shared" si="10"/>
        <v>1680000</v>
      </c>
      <c r="Z83" s="98">
        <f t="shared" si="12"/>
        <v>2</v>
      </c>
      <c r="AA83" s="147" t="e">
        <f ca="1" t="shared" si="4"/>
        <v>#N/A</v>
      </c>
      <c r="AB83" s="209" t="e">
        <f ca="1" t="shared" si="5"/>
        <v>#N/A</v>
      </c>
      <c r="AC83" s="209">
        <f ca="1">SUMIFS(装备强化!$Q$7:$Q$306,装备强化!$M$7:$M$306,"&lt;="&amp;MATCH(U83/6,装备强化!$U$7:$U$306,1),装备强化!$M$7:$M$306,"&gt;="&amp;MATCH(V83/6,装备强化!$U$7:$U$306,1))*6</f>
        <v>0</v>
      </c>
      <c r="AD83">
        <f ca="1" t="shared" si="11"/>
        <v>0</v>
      </c>
    </row>
    <row r="84" spans="1:30">
      <c r="A84" s="171"/>
      <c r="B84" s="80">
        <v>57</v>
      </c>
      <c r="C84" s="80">
        <f ca="1">OFFSET(产销汇总!$C$12,$B84,$C$26)</f>
        <v>130</v>
      </c>
      <c r="D84" s="80">
        <f t="shared" si="6"/>
        <v>14100</v>
      </c>
      <c r="E84" s="80">
        <f ca="1">(SUMIF(主线推图!$B$4:$B$303,"&lt;"&amp;C84,主线推图!$M$4:$M$303)+SUMIF(主线宝箱!$B$320:$B$620,"&lt;"&amp;C84,主线宝箱!$L$320:$L$620)+SUMIF(主线宝箱!$B$320:$B$620,"&lt;"&amp;C84,主线宝箱!$X$320:$X$620)+SUMIF(主线宝箱!$B$320:$B$620,"&lt;"&amp;C84,主线宝箱!$AL$320:$AL$620))</f>
        <v>229200</v>
      </c>
      <c r="F84" s="98">
        <f ca="1">SUMIF(组队产出!$B$24:$B$39,"&lt;="&amp;MAX(1,INT(C84/10-0.6)),组队产出!$R$24:$R$39)</f>
        <v>99000</v>
      </c>
      <c r="G84" s="80">
        <f ca="1">SUMIF(运营活动!$O$3:$O$27,"&lt;="&amp;C84,运营活动!$P$3:$P$27)</f>
        <v>30000</v>
      </c>
      <c r="H84" s="80">
        <f ca="1">OFFSET(产销汇总!$AM$12,B84,$C$26)*24</f>
        <v>433152</v>
      </c>
      <c r="I84" s="172">
        <f ca="1">SUMIF(金币本!$F$2:$F$52,"&lt;="&amp;C84,金币本!$D$2:$D$52)</f>
        <v>660000</v>
      </c>
      <c r="J84" s="80">
        <f ca="1">OFFSET(产销汇总!$C$1,MATCH(J$27,产销汇总!$C$2:$C$8,0),$C$26)*(_xlfn.XLOOKUP(C84,主线推图!$B$313:$B$612,主线推图!$C$313:$C$612)+_xlfn.XLOOKUP(C84,主线推图!$B$313:$B$612,主线推图!$D$313:$D$612))</f>
        <v>11836</v>
      </c>
      <c r="K84" s="80">
        <f ca="1">OFFSET(产销汇总!$C$1,MATCH(K$27,产销汇总!$C$2:$C$8,0),$C$26)*_xlfn.XLOOKUP(C84,巡逻产出!$B$311:$B$610,巡逻产出!$C$311:$C$610)*1.3</f>
        <v>0</v>
      </c>
      <c r="L84" s="80">
        <f ca="1">OFFSET(产销汇总!$C$1,MATCH(L$27,产销汇总!$C$2:$C$8,0),$C$26)*(_xlfn.XLOOKUP(MAX(1,INT(C84/10-6/10)),组队产出!$B$24:$B$39,组队产出!$D$24:$D$39))+OFFSET(产销汇总!$C$1,MATCH(L$27,产销汇总!$C$2:$C$8,0),$C$26)*(_xlfn.XLOOKUP(MAX(1,INT(C84/10-6/10)),组队产出!$B$24:$B$39,组队产出!$C$24:$C$39))</f>
        <v>6456</v>
      </c>
      <c r="M84" s="80">
        <f ca="1">(OFFSET(产销汇总!$C$1,MATCH(M$27,产销汇总!$C$2:$C$8,0),$C$26)*_xlfn.XLOOKUP(C84,巡逻产出!$B$311:$B$610,巡逻产出!$D$311:$D$610))*$M$24</f>
        <v>8392.8</v>
      </c>
      <c r="N84" s="80">
        <f ca="1">OFFSET(产销汇总!$C$1,MATCH(L$27,产销汇总!$C$2:$C$8,0),$C$26)*(_xlfn.XLOOKUP(MAX(1,INT(C84/10-6/10)),组队产出!$B$24:$B$39,组队产出!$S$24:$S$39))</f>
        <v>17598</v>
      </c>
      <c r="O84" s="172">
        <f>任务!$D$36</f>
        <v>2457.14285714286</v>
      </c>
      <c r="P84" s="98">
        <f t="shared" si="7"/>
        <v>428</v>
      </c>
      <c r="Q84" s="80">
        <f t="shared" si="8"/>
        <v>1500</v>
      </c>
      <c r="R84" s="172">
        <f t="shared" si="9"/>
        <v>2000</v>
      </c>
      <c r="S84" s="210">
        <f ca="1">IFERROR(OFFSET(金币本!$E$2,MATCH(C84,金币本!$F$3:$F$302,1),0)*IF($C$26=1,2,3),0)</f>
        <v>27000</v>
      </c>
      <c r="T84" s="172" t="e">
        <f ca="1">SUM($J$28:S84)+SUM(D84:I84)</f>
        <v>#N/A</v>
      </c>
      <c r="U84" s="172" t="e">
        <f ca="1" t="shared" si="2"/>
        <v>#N/A</v>
      </c>
      <c r="V84" s="98" t="e">
        <f ca="1" t="shared" si="3"/>
        <v>#N/A</v>
      </c>
      <c r="W84" s="98" t="e">
        <f ca="1">OFFSET(装备强化!$U$6,MATCH(图纸产出设计!V85/6*W$26,装备强化!$T$7:$T$306,1),0)*6</f>
        <v>#N/A</v>
      </c>
      <c r="X84" s="98">
        <v>275890</v>
      </c>
      <c r="Y84" s="98">
        <f t="shared" si="10"/>
        <v>1712000</v>
      </c>
      <c r="Z84" s="98">
        <f t="shared" si="12"/>
        <v>2</v>
      </c>
      <c r="AA84" s="147" t="e">
        <f ca="1" t="shared" si="4"/>
        <v>#N/A</v>
      </c>
      <c r="AB84" s="209" t="e">
        <f ca="1" t="shared" si="5"/>
        <v>#N/A</v>
      </c>
      <c r="AC84" s="209">
        <f ca="1">SUMIFS(装备强化!$Q$7:$Q$306,装备强化!$M$7:$M$306,"&lt;="&amp;MATCH(U84/6,装备强化!$U$7:$U$306,1),装备强化!$M$7:$M$306,"&gt;="&amp;MATCH(V84/6,装备强化!$U$7:$U$306,1))*6</f>
        <v>0</v>
      </c>
      <c r="AD84">
        <f ca="1" t="shared" si="11"/>
        <v>0</v>
      </c>
    </row>
    <row r="85" spans="1:30">
      <c r="A85" s="171"/>
      <c r="B85" s="80">
        <v>58</v>
      </c>
      <c r="C85" s="80">
        <f ca="1">OFFSET(产销汇总!$C$12,$B85,$C$26)</f>
        <v>131</v>
      </c>
      <c r="D85" s="80">
        <f t="shared" si="6"/>
        <v>14100</v>
      </c>
      <c r="E85" s="80">
        <f ca="1">(SUMIF(主线推图!$B$4:$B$303,"&lt;"&amp;C85,主线推图!$M$4:$M$303)+SUMIF(主线宝箱!$B$320:$B$620,"&lt;"&amp;C85,主线宝箱!$L$320:$L$620)+SUMIF(主线宝箱!$B$320:$B$620,"&lt;"&amp;C85,主线宝箱!$X$320:$X$620)+SUMIF(主线宝箱!$B$320:$B$620,"&lt;"&amp;C85,主线宝箱!$AL$320:$AL$620))</f>
        <v>231000</v>
      </c>
      <c r="F85" s="98">
        <f ca="1">SUMIF(组队产出!$B$24:$B$39,"&lt;="&amp;MAX(1,INT(C85/10-0.6)),组队产出!$R$24:$R$39)</f>
        <v>99000</v>
      </c>
      <c r="G85" s="80">
        <f ca="1">SUMIF(运营活动!$O$3:$O$27,"&lt;="&amp;C85,运营活动!$P$3:$P$27)</f>
        <v>30000</v>
      </c>
      <c r="H85" s="80">
        <f ca="1">OFFSET(产销汇总!$AM$12,B85,$C$26)*24</f>
        <v>440400</v>
      </c>
      <c r="I85" s="172">
        <f ca="1">SUMIF(金币本!$F$2:$F$52,"&lt;="&amp;C85,金币本!$D$2:$D$52)</f>
        <v>697000</v>
      </c>
      <c r="J85" s="80">
        <f ca="1">OFFSET(产销汇总!$C$1,MATCH(J$27,产销汇总!$C$2:$C$8,0),$C$26)*(_xlfn.XLOOKUP(C85,主线推图!$B$313:$B$612,主线推图!$C$313:$C$612)+_xlfn.XLOOKUP(C85,主线推图!$B$313:$B$612,主线推图!$D$313:$D$612))</f>
        <v>11880</v>
      </c>
      <c r="K85" s="80">
        <f ca="1">OFFSET(产销汇总!$C$1,MATCH(K$27,产销汇总!$C$2:$C$8,0),$C$26)*_xlfn.XLOOKUP(C85,巡逻产出!$B$311:$B$610,巡逻产出!$C$311:$C$610)*1.3</f>
        <v>0</v>
      </c>
      <c r="L85" s="80">
        <f ca="1">OFFSET(产销汇总!$C$1,MATCH(L$27,产销汇总!$C$2:$C$8,0),$C$26)*(_xlfn.XLOOKUP(MAX(1,INT(C85/10-6/10)),组队产出!$B$24:$B$39,组队产出!$D$24:$D$39))+OFFSET(产销汇总!$C$1,MATCH(L$27,产销汇总!$C$2:$C$8,0),$C$26)*(_xlfn.XLOOKUP(MAX(1,INT(C85/10-6/10)),组队产出!$B$24:$B$39,组队产出!$C$24:$C$39))</f>
        <v>6456</v>
      </c>
      <c r="M85" s="80">
        <f ca="1">(OFFSET(产销汇总!$C$1,MATCH(M$27,产销汇总!$C$2:$C$8,0),$C$26)*_xlfn.XLOOKUP(C85,巡逻产出!$B$311:$B$610,巡逻产出!$D$311:$D$610))*$M$24</f>
        <v>8424</v>
      </c>
      <c r="N85" s="80">
        <f ca="1">OFFSET(产销汇总!$C$1,MATCH(L$27,产销汇总!$C$2:$C$8,0),$C$26)*(_xlfn.XLOOKUP(MAX(1,INT(C85/10-6/10)),组队产出!$B$24:$B$39,组队产出!$S$24:$S$39))</f>
        <v>17598</v>
      </c>
      <c r="O85" s="172">
        <f>任务!$D$36</f>
        <v>2457.14285714286</v>
      </c>
      <c r="P85" s="98">
        <f t="shared" si="7"/>
        <v>428</v>
      </c>
      <c r="Q85" s="80">
        <f t="shared" si="8"/>
        <v>1000</v>
      </c>
      <c r="R85" s="172">
        <f t="shared" si="9"/>
        <v>2000</v>
      </c>
      <c r="S85" s="210">
        <f ca="1">IFERROR(OFFSET(金币本!$E$2,MATCH(C85,金币本!$F$3:$F$302,1),0)*IF($C$26=1,2,3),0)</f>
        <v>27750</v>
      </c>
      <c r="T85" s="172" t="e">
        <f ca="1">SUM($J$28:S85)+SUM(D85:I85)</f>
        <v>#N/A</v>
      </c>
      <c r="U85" s="172" t="e">
        <f ca="1" t="shared" si="2"/>
        <v>#N/A</v>
      </c>
      <c r="V85" s="98" t="e">
        <f ca="1" t="shared" si="3"/>
        <v>#N/A</v>
      </c>
      <c r="W85" s="98" t="e">
        <f ca="1">OFFSET(装备强化!$U$6,MATCH(图纸产出设计!V86/6*W$26,装备强化!$T$7:$T$306,1),0)*6</f>
        <v>#N/A</v>
      </c>
      <c r="X85" s="98">
        <v>282140</v>
      </c>
      <c r="Y85" s="98">
        <f t="shared" si="10"/>
        <v>1744000</v>
      </c>
      <c r="Z85" s="98">
        <f t="shared" si="12"/>
        <v>2</v>
      </c>
      <c r="AA85" s="147" t="e">
        <f ca="1" t="shared" si="4"/>
        <v>#N/A</v>
      </c>
      <c r="AB85" s="209" t="e">
        <f ca="1" t="shared" si="5"/>
        <v>#N/A</v>
      </c>
      <c r="AC85" s="209">
        <f ca="1">SUMIFS(装备强化!$Q$7:$Q$306,装备强化!$M$7:$M$306,"&lt;="&amp;MATCH(U85/6,装备强化!$U$7:$U$306,1),装备强化!$M$7:$M$306,"&gt;="&amp;MATCH(V85/6,装备强化!$U$7:$U$306,1))*6</f>
        <v>0</v>
      </c>
      <c r="AD85">
        <f ca="1" t="shared" si="11"/>
        <v>0</v>
      </c>
    </row>
    <row r="86" spans="1:30">
      <c r="A86" s="171"/>
      <c r="B86" s="80">
        <v>59</v>
      </c>
      <c r="C86" s="80">
        <f ca="1">OFFSET(产销汇总!$C$12,$B86,$C$26)</f>
        <v>132</v>
      </c>
      <c r="D86" s="80">
        <f t="shared" si="6"/>
        <v>14100</v>
      </c>
      <c r="E86" s="80">
        <f ca="1">(SUMIF(主线推图!$B$4:$B$303,"&lt;"&amp;C86,主线推图!$M$4:$M$303)+SUMIF(主线宝箱!$B$320:$B$620,"&lt;"&amp;C86,主线宝箱!$L$320:$L$620)+SUMIF(主线宝箱!$B$320:$B$620,"&lt;"&amp;C86,主线宝箱!$X$320:$X$620)+SUMIF(主线宝箱!$B$320:$B$620,"&lt;"&amp;C86,主线宝箱!$AL$320:$AL$620))</f>
        <v>232800</v>
      </c>
      <c r="F86" s="98">
        <f ca="1">SUMIF(组队产出!$B$24:$B$39,"&lt;="&amp;MAX(1,INT(C86/10-0.6)),组队产出!$R$24:$R$39)</f>
        <v>99000</v>
      </c>
      <c r="G86" s="80">
        <f ca="1">SUMIF(运营活动!$O$3:$O$27,"&lt;="&amp;C86,运营活动!$P$3:$P$27)</f>
        <v>30000</v>
      </c>
      <c r="H86" s="80">
        <f ca="1">OFFSET(产销汇总!$AM$12,B86,$C$26)*24</f>
        <v>447648</v>
      </c>
      <c r="I86" s="172">
        <f ca="1">SUMIF(金币本!$F$2:$F$52,"&lt;="&amp;C86,金币本!$D$2:$D$52)</f>
        <v>697000</v>
      </c>
      <c r="J86" s="80">
        <f ca="1">OFFSET(产销汇总!$C$1,MATCH(J$27,产销汇总!$C$2:$C$8,0),$C$26)*(_xlfn.XLOOKUP(C86,主线推图!$B$313:$B$612,主线推图!$C$313:$C$612)+_xlfn.XLOOKUP(C86,主线推图!$B$313:$B$612,主线推图!$D$313:$D$612))</f>
        <v>11924</v>
      </c>
      <c r="K86" s="80">
        <f ca="1">OFFSET(产销汇总!$C$1,MATCH(K$27,产销汇总!$C$2:$C$8,0),$C$26)*_xlfn.XLOOKUP(C86,巡逻产出!$B$311:$B$610,巡逻产出!$C$311:$C$610)*1.3</f>
        <v>0</v>
      </c>
      <c r="L86" s="80">
        <f ca="1">OFFSET(产销汇总!$C$1,MATCH(L$27,产销汇总!$C$2:$C$8,0),$C$26)*(_xlfn.XLOOKUP(MAX(1,INT(C86/10-6/10)),组队产出!$B$24:$B$39,组队产出!$D$24:$D$39))+OFFSET(产销汇总!$C$1,MATCH(L$27,产销汇总!$C$2:$C$8,0),$C$26)*(_xlfn.XLOOKUP(MAX(1,INT(C86/10-6/10)),组队产出!$B$24:$B$39,组队产出!$C$24:$C$39))</f>
        <v>6456</v>
      </c>
      <c r="M86" s="80">
        <f ca="1">(OFFSET(产销汇总!$C$1,MATCH(M$27,产销汇总!$C$2:$C$8,0),$C$26)*_xlfn.XLOOKUP(C86,巡逻产出!$B$311:$B$610,巡逻产出!$D$311:$D$610))*$M$24</f>
        <v>8455.2</v>
      </c>
      <c r="N86" s="80">
        <f ca="1">OFFSET(产销汇总!$C$1,MATCH(L$27,产销汇总!$C$2:$C$8,0),$C$26)*(_xlfn.XLOOKUP(MAX(1,INT(C86/10-6/10)),组队产出!$B$24:$B$39,组队产出!$S$24:$S$39))</f>
        <v>17598</v>
      </c>
      <c r="O86" s="172">
        <f>任务!$D$36</f>
        <v>2457.14285714286</v>
      </c>
      <c r="P86" s="98">
        <f t="shared" si="7"/>
        <v>428</v>
      </c>
      <c r="Q86" s="80">
        <f t="shared" si="8"/>
        <v>1000</v>
      </c>
      <c r="R86" s="172">
        <f t="shared" si="9"/>
        <v>2000</v>
      </c>
      <c r="S86" s="210">
        <f ca="1">IFERROR(OFFSET(金币本!$E$2,MATCH(C86,金币本!$F$3:$F$302,1),0)*IF($C$26=1,2,3),0)</f>
        <v>27750</v>
      </c>
      <c r="T86" s="172" t="e">
        <f ca="1">SUM($J$28:S86)+SUM(D86:I86)</f>
        <v>#N/A</v>
      </c>
      <c r="U86" s="172" t="e">
        <f ca="1" t="shared" si="2"/>
        <v>#N/A</v>
      </c>
      <c r="V86" s="98" t="e">
        <f ca="1" t="shared" si="3"/>
        <v>#N/A</v>
      </c>
      <c r="W86" s="98" t="e">
        <f ca="1">OFFSET(装备强化!$U$6,MATCH(图纸产出设计!V87/6*W$26,装备强化!$T$7:$T$306,1),0)*6</f>
        <v>#N/A</v>
      </c>
      <c r="X86" s="98">
        <v>288460</v>
      </c>
      <c r="Y86" s="98">
        <f t="shared" si="10"/>
        <v>1776000</v>
      </c>
      <c r="Z86" s="98">
        <f t="shared" si="12"/>
        <v>2</v>
      </c>
      <c r="AA86" s="147" t="e">
        <f ca="1" t="shared" si="4"/>
        <v>#N/A</v>
      </c>
      <c r="AB86" s="209" t="e">
        <f ca="1" t="shared" si="5"/>
        <v>#N/A</v>
      </c>
      <c r="AC86" s="209">
        <f ca="1">SUMIFS(装备强化!$Q$7:$Q$306,装备强化!$M$7:$M$306,"&lt;="&amp;MATCH(U86/6,装备强化!$U$7:$U$306,1),装备强化!$M$7:$M$306,"&gt;="&amp;MATCH(V86/6,装备强化!$U$7:$U$306,1))*6</f>
        <v>0</v>
      </c>
      <c r="AD86">
        <f ca="1" t="shared" si="11"/>
        <v>0</v>
      </c>
    </row>
    <row r="87" spans="1:30">
      <c r="A87" s="171"/>
      <c r="B87" s="80">
        <v>60</v>
      </c>
      <c r="C87" s="80">
        <f ca="1">OFFSET(产销汇总!$C$12,$B87,$C$26)</f>
        <v>133</v>
      </c>
      <c r="D87" s="80">
        <f t="shared" si="6"/>
        <v>14100</v>
      </c>
      <c r="E87" s="80">
        <f ca="1">(SUMIF(主线推图!$B$4:$B$303,"&lt;"&amp;C87,主线推图!$M$4:$M$303)+SUMIF(主线宝箱!$B$320:$B$620,"&lt;"&amp;C87,主线宝箱!$L$320:$L$620)+SUMIF(主线宝箱!$B$320:$B$620,"&lt;"&amp;C87,主线宝箱!$X$320:$X$620)+SUMIF(主线宝箱!$B$320:$B$620,"&lt;"&amp;C87,主线宝箱!$AL$320:$AL$620))</f>
        <v>234600</v>
      </c>
      <c r="F87" s="98">
        <f ca="1">SUMIF(组队产出!$B$24:$B$39,"&lt;="&amp;MAX(1,INT(C87/10-0.6)),组队产出!$R$24:$R$39)</f>
        <v>99000</v>
      </c>
      <c r="G87" s="80">
        <f ca="1">SUMIF(运营活动!$O$3:$O$27,"&lt;="&amp;C87,运营活动!$P$3:$P$27)</f>
        <v>30000</v>
      </c>
      <c r="H87" s="80">
        <f ca="1">OFFSET(产销汇总!$AM$12,B87,$C$26)*24</f>
        <v>454896</v>
      </c>
      <c r="I87" s="172">
        <f ca="1">SUMIF(金币本!$F$2:$F$52,"&lt;="&amp;C87,金币本!$D$2:$D$52)</f>
        <v>697000</v>
      </c>
      <c r="J87" s="80">
        <f ca="1">OFFSET(产销汇总!$C$1,MATCH(J$27,产销汇总!$C$2:$C$8,0),$C$26)*(_xlfn.XLOOKUP(C87,主线推图!$B$313:$B$612,主线推图!$C$313:$C$612)+_xlfn.XLOOKUP(C87,主线推图!$B$313:$B$612,主线推图!$D$313:$D$612))</f>
        <v>11968</v>
      </c>
      <c r="K87" s="80">
        <f ca="1">OFFSET(产销汇总!$C$1,MATCH(K$27,产销汇总!$C$2:$C$8,0),$C$26)*_xlfn.XLOOKUP(C87,巡逻产出!$B$311:$B$610,巡逻产出!$C$311:$C$610)*1.3</f>
        <v>0</v>
      </c>
      <c r="L87" s="80">
        <f ca="1">OFFSET(产销汇总!$C$1,MATCH(L$27,产销汇总!$C$2:$C$8,0),$C$26)*(_xlfn.XLOOKUP(MAX(1,INT(C87/10-6/10)),组队产出!$B$24:$B$39,组队产出!$D$24:$D$39))+OFFSET(产销汇总!$C$1,MATCH(L$27,产销汇总!$C$2:$C$8,0),$C$26)*(_xlfn.XLOOKUP(MAX(1,INT(C87/10-6/10)),组队产出!$B$24:$B$39,组队产出!$C$24:$C$39))</f>
        <v>6456</v>
      </c>
      <c r="M87" s="80">
        <f ca="1">(OFFSET(产销汇总!$C$1,MATCH(M$27,产销汇总!$C$2:$C$8,0),$C$26)*_xlfn.XLOOKUP(C87,巡逻产出!$B$311:$B$610,巡逻产出!$D$311:$D$610))*$M$24</f>
        <v>8486.4</v>
      </c>
      <c r="N87" s="80">
        <f ca="1">OFFSET(产销汇总!$C$1,MATCH(L$27,产销汇总!$C$2:$C$8,0),$C$26)*(_xlfn.XLOOKUP(MAX(1,INT(C87/10-6/10)),组队产出!$B$24:$B$39,组队产出!$S$24:$S$39))</f>
        <v>17598</v>
      </c>
      <c r="O87" s="172">
        <f>任务!$D$36</f>
        <v>2457.14285714286</v>
      </c>
      <c r="P87" s="98">
        <f t="shared" si="7"/>
        <v>428</v>
      </c>
      <c r="Q87" s="80">
        <f t="shared" si="8"/>
        <v>1000</v>
      </c>
      <c r="R87" s="172">
        <f t="shared" si="9"/>
        <v>2000</v>
      </c>
      <c r="S87" s="210">
        <f ca="1">IFERROR(OFFSET(金币本!$E$2,MATCH(C87,金币本!$F$3:$F$302,1),0)*IF($C$26=1,2,3),0)</f>
        <v>27750</v>
      </c>
      <c r="T87" s="172" t="e">
        <f ca="1">SUM($J$28:S87)+SUM(D87:I87)</f>
        <v>#N/A</v>
      </c>
      <c r="U87" s="172" t="e">
        <f ca="1" t="shared" si="2"/>
        <v>#N/A</v>
      </c>
      <c r="V87" s="98" t="e">
        <f ca="1" t="shared" si="3"/>
        <v>#N/A</v>
      </c>
      <c r="W87" s="98" t="e">
        <f ca="1">OFFSET(装备强化!$U$6,MATCH(图纸产出设计!V88/6*W$26,装备强化!$T$7:$T$306,1),0)*6</f>
        <v>#N/A</v>
      </c>
      <c r="X87" s="98">
        <v>288460</v>
      </c>
      <c r="Y87" s="98">
        <f t="shared" si="10"/>
        <v>1808000</v>
      </c>
      <c r="Z87" s="98">
        <f t="shared" si="12"/>
        <v>2</v>
      </c>
      <c r="AA87" s="147" t="e">
        <f ca="1" t="shared" si="4"/>
        <v>#N/A</v>
      </c>
      <c r="AB87" s="209" t="e">
        <f ca="1" t="shared" si="5"/>
        <v>#N/A</v>
      </c>
      <c r="AC87" s="209">
        <f ca="1">SUMIFS(装备强化!$Q$7:$Q$306,装备强化!$M$7:$M$306,"&lt;="&amp;MATCH(U87/6,装备强化!$U$7:$U$306,1),装备强化!$M$7:$M$306,"&gt;="&amp;MATCH(V87/6,装备强化!$U$7:$U$306,1))*6</f>
        <v>0</v>
      </c>
      <c r="AD87">
        <f ca="1" t="shared" si="11"/>
        <v>0</v>
      </c>
    </row>
    <row r="88" spans="1:30">
      <c r="A88" s="171"/>
      <c r="B88" s="80">
        <v>61</v>
      </c>
      <c r="C88" s="80">
        <f ca="1">OFFSET(产销汇总!$C$12,$B88,$C$26)</f>
        <v>134</v>
      </c>
      <c r="D88" s="80">
        <f t="shared" si="6"/>
        <v>14100</v>
      </c>
      <c r="E88" s="80">
        <f ca="1">(SUMIF(主线推图!$B$4:$B$303,"&lt;"&amp;C88,主线推图!$M$4:$M$303)+SUMIF(主线宝箱!$B$320:$B$620,"&lt;"&amp;C88,主线宝箱!$L$320:$L$620)+SUMIF(主线宝箱!$B$320:$B$620,"&lt;"&amp;C88,主线宝箱!$X$320:$X$620)+SUMIF(主线宝箱!$B$320:$B$620,"&lt;"&amp;C88,主线宝箱!$AL$320:$AL$620))</f>
        <v>236400</v>
      </c>
      <c r="F88" s="98">
        <f ca="1">SUMIF(组队产出!$B$24:$B$39,"&lt;="&amp;MAX(1,INT(C88/10-0.6)),组队产出!$R$24:$R$39)</f>
        <v>99000</v>
      </c>
      <c r="G88" s="80">
        <f ca="1">SUMIF(运营活动!$O$3:$O$27,"&lt;="&amp;C88,运营活动!$P$3:$P$27)</f>
        <v>30000</v>
      </c>
      <c r="H88" s="80">
        <f ca="1">OFFSET(产销汇总!$AM$12,B88,$C$26)*24</f>
        <v>462144</v>
      </c>
      <c r="I88" s="172">
        <f ca="1">SUMIF(金币本!$F$2:$F$52,"&lt;="&amp;C88,金币本!$D$2:$D$52)</f>
        <v>697000</v>
      </c>
      <c r="J88" s="80">
        <f ca="1">OFFSET(产销汇总!$C$1,MATCH(J$27,产销汇总!$C$2:$C$8,0),$C$26)*(_xlfn.XLOOKUP(C88,主线推图!$B$313:$B$612,主线推图!$C$313:$C$612)+_xlfn.XLOOKUP(C88,主线推图!$B$313:$B$612,主线推图!$D$313:$D$612))</f>
        <v>12012</v>
      </c>
      <c r="K88" s="80">
        <f ca="1">OFFSET(产销汇总!$C$1,MATCH(K$27,产销汇总!$C$2:$C$8,0),$C$26)*_xlfn.XLOOKUP(C88,巡逻产出!$B$311:$B$610,巡逻产出!$C$311:$C$610)*1.3</f>
        <v>0</v>
      </c>
      <c r="L88" s="80">
        <f ca="1">OFFSET(产销汇总!$C$1,MATCH(L$27,产销汇总!$C$2:$C$8,0),$C$26)*(_xlfn.XLOOKUP(MAX(1,INT(C88/10-6/10)),组队产出!$B$24:$B$39,组队产出!$D$24:$D$39))+OFFSET(产销汇总!$C$1,MATCH(L$27,产销汇总!$C$2:$C$8,0),$C$26)*(_xlfn.XLOOKUP(MAX(1,INT(C88/10-6/10)),组队产出!$B$24:$B$39,组队产出!$C$24:$C$39))</f>
        <v>6456</v>
      </c>
      <c r="M88" s="80">
        <f ca="1">(OFFSET(产销汇总!$C$1,MATCH(M$27,产销汇总!$C$2:$C$8,0),$C$26)*_xlfn.XLOOKUP(C88,巡逻产出!$B$311:$B$610,巡逻产出!$D$311:$D$610))*$M$24</f>
        <v>8517.6</v>
      </c>
      <c r="N88" s="80">
        <f ca="1">OFFSET(产销汇总!$C$1,MATCH(L$27,产销汇总!$C$2:$C$8,0),$C$26)*(_xlfn.XLOOKUP(MAX(1,INT(C88/10-6/10)),组队产出!$B$24:$B$39,组队产出!$S$24:$S$39))</f>
        <v>17598</v>
      </c>
      <c r="O88" s="172">
        <f>任务!$D$36</f>
        <v>2457.14285714286</v>
      </c>
      <c r="P88" s="98">
        <f t="shared" si="7"/>
        <v>428</v>
      </c>
      <c r="Q88" s="80">
        <f t="shared" si="8"/>
        <v>1000</v>
      </c>
      <c r="R88" s="172">
        <f t="shared" si="9"/>
        <v>2000</v>
      </c>
      <c r="S88" s="210">
        <f ca="1">IFERROR(OFFSET(金币本!$E$2,MATCH(C88,金币本!$F$3:$F$302,1),0)*IF($C$26=1,2,3),0)</f>
        <v>27750</v>
      </c>
      <c r="T88" s="172" t="e">
        <f ca="1">SUM($J$28:S88)+SUM(D88:I88)</f>
        <v>#N/A</v>
      </c>
      <c r="U88" s="172" t="e">
        <f ca="1" t="shared" si="2"/>
        <v>#N/A</v>
      </c>
      <c r="V88" s="98" t="e">
        <f ca="1" t="shared" si="3"/>
        <v>#N/A</v>
      </c>
      <c r="W88" s="98" t="e">
        <f ca="1">OFFSET(装备强化!$U$6,MATCH(图纸产出设计!V89/6*W$26,装备强化!$T$7:$T$306,1),0)*6</f>
        <v>#N/A</v>
      </c>
      <c r="X88" s="98">
        <v>294850</v>
      </c>
      <c r="Y88" s="98">
        <f t="shared" si="10"/>
        <v>1840000</v>
      </c>
      <c r="Z88" s="98">
        <f t="shared" si="12"/>
        <v>2</v>
      </c>
      <c r="AA88" s="147" t="e">
        <f ca="1" t="shared" si="4"/>
        <v>#N/A</v>
      </c>
      <c r="AB88" s="209" t="e">
        <f ca="1" t="shared" si="5"/>
        <v>#N/A</v>
      </c>
      <c r="AC88" s="209">
        <f ca="1">SUMIFS(装备强化!$Q$7:$Q$306,装备强化!$M$7:$M$306,"&lt;="&amp;MATCH(U88/6,装备强化!$U$7:$U$306,1),装备强化!$M$7:$M$306,"&gt;="&amp;MATCH(V88/6,装备强化!$U$7:$U$306,1))*6</f>
        <v>0</v>
      </c>
      <c r="AD88">
        <f ca="1" t="shared" si="11"/>
        <v>0</v>
      </c>
    </row>
    <row r="89" spans="1:30">
      <c r="A89" s="171"/>
      <c r="B89" s="80">
        <v>62</v>
      </c>
      <c r="C89" s="80">
        <f ca="1">OFFSET(产销汇总!$C$12,$B89,$C$26)</f>
        <v>135</v>
      </c>
      <c r="D89" s="80">
        <f t="shared" si="6"/>
        <v>14100</v>
      </c>
      <c r="E89" s="80">
        <f ca="1">(SUMIF(主线推图!$B$4:$B$303,"&lt;"&amp;C89,主线推图!$M$4:$M$303)+SUMIF(主线宝箱!$B$320:$B$620,"&lt;"&amp;C89,主线宝箱!$L$320:$L$620)+SUMIF(主线宝箱!$B$320:$B$620,"&lt;"&amp;C89,主线宝箱!$X$320:$X$620)+SUMIF(主线宝箱!$B$320:$B$620,"&lt;"&amp;C89,主线宝箱!$AL$320:$AL$620))</f>
        <v>238200</v>
      </c>
      <c r="F89" s="98">
        <f ca="1">SUMIF(组队产出!$B$24:$B$39,"&lt;="&amp;MAX(1,INT(C89/10-0.6)),组队产出!$R$24:$R$39)</f>
        <v>99000</v>
      </c>
      <c r="G89" s="80">
        <f ca="1">SUMIF(运营活动!$O$3:$O$27,"&lt;="&amp;C89,运营活动!$P$3:$P$27)</f>
        <v>30000</v>
      </c>
      <c r="H89" s="80">
        <f ca="1">OFFSET(产销汇总!$AM$12,B89,$C$26)*24</f>
        <v>469392</v>
      </c>
      <c r="I89" s="172">
        <f ca="1">SUMIF(金币本!$F$2:$F$52,"&lt;="&amp;C89,金币本!$D$2:$D$52)</f>
        <v>735000</v>
      </c>
      <c r="J89" s="80">
        <f ca="1">OFFSET(产销汇总!$C$1,MATCH(J$27,产销汇总!$C$2:$C$8,0),$C$26)*(_xlfn.XLOOKUP(C89,主线推图!$B$313:$B$612,主线推图!$C$313:$C$612)+_xlfn.XLOOKUP(C89,主线推图!$B$313:$B$612,主线推图!$D$313:$D$612))</f>
        <v>12056</v>
      </c>
      <c r="K89" s="80">
        <f ca="1">OFFSET(产销汇总!$C$1,MATCH(K$27,产销汇总!$C$2:$C$8,0),$C$26)*_xlfn.XLOOKUP(C89,巡逻产出!$B$311:$B$610,巡逻产出!$C$311:$C$610)*1.3</f>
        <v>0</v>
      </c>
      <c r="L89" s="80">
        <f ca="1">OFFSET(产销汇总!$C$1,MATCH(L$27,产销汇总!$C$2:$C$8,0),$C$26)*(_xlfn.XLOOKUP(MAX(1,INT(C89/10-6/10)),组队产出!$B$24:$B$39,组队产出!$D$24:$D$39))+OFFSET(产销汇总!$C$1,MATCH(L$27,产销汇总!$C$2:$C$8,0),$C$26)*(_xlfn.XLOOKUP(MAX(1,INT(C89/10-6/10)),组队产出!$B$24:$B$39,组队产出!$C$24:$C$39))</f>
        <v>6456</v>
      </c>
      <c r="M89" s="80">
        <f ca="1">(OFFSET(产销汇总!$C$1,MATCH(M$27,产销汇总!$C$2:$C$8,0),$C$26)*_xlfn.XLOOKUP(C89,巡逻产出!$B$311:$B$610,巡逻产出!$D$311:$D$610))*$M$24</f>
        <v>8548.8</v>
      </c>
      <c r="N89" s="80">
        <f ca="1">OFFSET(产销汇总!$C$1,MATCH(L$27,产销汇总!$C$2:$C$8,0),$C$26)*(_xlfn.XLOOKUP(MAX(1,INT(C89/10-6/10)),组队产出!$B$24:$B$39,组队产出!$S$24:$S$39))</f>
        <v>17598</v>
      </c>
      <c r="O89" s="172">
        <f>任务!$D$36</f>
        <v>2457.14285714286</v>
      </c>
      <c r="P89" s="98">
        <f t="shared" si="7"/>
        <v>428</v>
      </c>
      <c r="Q89" s="80">
        <f t="shared" si="8"/>
        <v>1000</v>
      </c>
      <c r="R89" s="172">
        <f t="shared" si="9"/>
        <v>2000</v>
      </c>
      <c r="S89" s="210">
        <f ca="1">IFERROR(OFFSET(金币本!$E$2,MATCH(C89,金币本!$F$3:$F$302,1),0)*IF($C$26=1,2,3),0)</f>
        <v>28500</v>
      </c>
      <c r="T89" s="172" t="e">
        <f ca="1">SUM($J$28:S89)+SUM(D89:I89)</f>
        <v>#N/A</v>
      </c>
      <c r="U89" s="172" t="e">
        <f ca="1" t="shared" si="2"/>
        <v>#N/A</v>
      </c>
      <c r="V89" s="98" t="e">
        <f ca="1" t="shared" si="3"/>
        <v>#N/A</v>
      </c>
      <c r="W89" s="98" t="e">
        <f ca="1">OFFSET(装备强化!$U$6,MATCH(图纸产出设计!V90/6*W$26,装备强化!$T$7:$T$306,1),0)*6</f>
        <v>#N/A</v>
      </c>
      <c r="X89" s="98">
        <v>294850</v>
      </c>
      <c r="Y89" s="98">
        <f t="shared" si="10"/>
        <v>1872000</v>
      </c>
      <c r="Z89" s="98">
        <f t="shared" si="12"/>
        <v>2</v>
      </c>
      <c r="AA89" s="147" t="e">
        <f ca="1" t="shared" si="4"/>
        <v>#N/A</v>
      </c>
      <c r="AB89" s="209" t="e">
        <f ca="1" t="shared" si="5"/>
        <v>#N/A</v>
      </c>
      <c r="AC89" s="209">
        <f ca="1">SUMIFS(装备强化!$Q$7:$Q$306,装备强化!$M$7:$M$306,"&lt;="&amp;MATCH(U89/6,装备强化!$U$7:$U$306,1),装备强化!$M$7:$M$306,"&gt;="&amp;MATCH(V89/6,装备强化!$U$7:$U$306,1))*6</f>
        <v>0</v>
      </c>
      <c r="AD89">
        <f ca="1" t="shared" si="11"/>
        <v>0</v>
      </c>
    </row>
    <row r="90" spans="1:30">
      <c r="A90" s="171"/>
      <c r="B90" s="80">
        <v>63</v>
      </c>
      <c r="C90" s="80">
        <f ca="1">OFFSET(产销汇总!$C$12,$B90,$C$26)</f>
        <v>136</v>
      </c>
      <c r="D90" s="80">
        <f t="shared" si="6"/>
        <v>14100</v>
      </c>
      <c r="E90" s="80">
        <f ca="1">(SUMIF(主线推图!$B$4:$B$303,"&lt;"&amp;C90,主线推图!$M$4:$M$303)+SUMIF(主线宝箱!$B$320:$B$620,"&lt;"&amp;C90,主线宝箱!$L$320:$L$620)+SUMIF(主线宝箱!$B$320:$B$620,"&lt;"&amp;C90,主线宝箱!$X$320:$X$620)+SUMIF(主线宝箱!$B$320:$B$620,"&lt;"&amp;C90,主线宝箱!$AL$320:$AL$620))</f>
        <v>240000</v>
      </c>
      <c r="F90" s="98">
        <f ca="1">SUMIF(组队产出!$B$24:$B$39,"&lt;="&amp;MAX(1,INT(C90/10-0.6)),组队产出!$R$24:$R$39)</f>
        <v>112500</v>
      </c>
      <c r="G90" s="80">
        <f ca="1">SUMIF(运营活动!$O$3:$O$27,"&lt;="&amp;C90,运营活动!$P$3:$P$27)</f>
        <v>30000</v>
      </c>
      <c r="H90" s="80">
        <f ca="1">OFFSET(产销汇总!$AM$12,B90,$C$26)*24</f>
        <v>476640</v>
      </c>
      <c r="I90" s="172">
        <f ca="1">SUMIF(金币本!$F$2:$F$52,"&lt;="&amp;C90,金币本!$D$2:$D$52)</f>
        <v>735000</v>
      </c>
      <c r="J90" s="80">
        <f ca="1">OFFSET(产销汇总!$C$1,MATCH(J$27,产销汇总!$C$2:$C$8,0),$C$26)*(_xlfn.XLOOKUP(C90,主线推图!$B$313:$B$612,主线推图!$C$313:$C$612)+_xlfn.XLOOKUP(C90,主线推图!$B$313:$B$612,主线推图!$D$313:$D$612))</f>
        <v>12100</v>
      </c>
      <c r="K90" s="80">
        <f ca="1">OFFSET(产销汇总!$C$1,MATCH(K$27,产销汇总!$C$2:$C$8,0),$C$26)*_xlfn.XLOOKUP(C90,巡逻产出!$B$311:$B$610,巡逻产出!$C$311:$C$610)*1.3</f>
        <v>0</v>
      </c>
      <c r="L90" s="80">
        <f ca="1">OFFSET(产销汇总!$C$1,MATCH(L$27,产销汇总!$C$2:$C$8,0),$C$26)*(_xlfn.XLOOKUP(MAX(1,INT(C90/10-6/10)),组队产出!$B$24:$B$39,组队产出!$D$24:$D$39))+OFFSET(产销汇总!$C$1,MATCH(L$27,产销汇总!$C$2:$C$8,0),$C$26)*(_xlfn.XLOOKUP(MAX(1,INT(C90/10-6/10)),组队产出!$B$24:$B$39,组队产出!$C$24:$C$39))</f>
        <v>6696</v>
      </c>
      <c r="M90" s="80">
        <f ca="1">(OFFSET(产销汇总!$C$1,MATCH(M$27,产销汇总!$C$2:$C$8,0),$C$26)*_xlfn.XLOOKUP(C90,巡逻产出!$B$311:$B$610,巡逻产出!$D$311:$D$610))*$M$24</f>
        <v>8580</v>
      </c>
      <c r="N90" s="80">
        <f ca="1">OFFSET(产销汇总!$C$1,MATCH(L$27,产销汇总!$C$2:$C$8,0),$C$26)*(_xlfn.XLOOKUP(MAX(1,INT(C90/10-6/10)),组队产出!$B$24:$B$39,组队产出!$S$24:$S$39))</f>
        <v>18438</v>
      </c>
      <c r="O90" s="172">
        <f>任务!$D$36</f>
        <v>2457.14285714286</v>
      </c>
      <c r="P90" s="98">
        <f t="shared" si="7"/>
        <v>428</v>
      </c>
      <c r="Q90" s="80">
        <f t="shared" si="8"/>
        <v>1000</v>
      </c>
      <c r="R90" s="172">
        <f t="shared" si="9"/>
        <v>2000</v>
      </c>
      <c r="S90" s="210">
        <f ca="1">IFERROR(OFFSET(金币本!$E$2,MATCH(C90,金币本!$F$3:$F$302,1),0)*IF($C$26=1,2,3),0)</f>
        <v>28500</v>
      </c>
      <c r="T90" s="172" t="e">
        <f ca="1">SUM($J$28:S90)+SUM(D90:I90)</f>
        <v>#N/A</v>
      </c>
      <c r="U90" s="172" t="e">
        <f ca="1" t="shared" si="2"/>
        <v>#N/A</v>
      </c>
      <c r="V90" s="98" t="e">
        <f ca="1" t="shared" si="3"/>
        <v>#N/A</v>
      </c>
      <c r="W90" s="98" t="e">
        <f ca="1">OFFSET(装备强化!$U$6,MATCH(图纸产出设计!V91/6*W$26,装备强化!$T$7:$T$306,1),0)*6</f>
        <v>#N/A</v>
      </c>
      <c r="X90" s="98">
        <v>301310</v>
      </c>
      <c r="Y90" s="98">
        <f t="shared" si="10"/>
        <v>1904000</v>
      </c>
      <c r="Z90" s="98">
        <f t="shared" si="12"/>
        <v>2</v>
      </c>
      <c r="AA90" s="147" t="e">
        <f ca="1" t="shared" si="4"/>
        <v>#N/A</v>
      </c>
      <c r="AB90" s="209" t="e">
        <f ca="1" t="shared" si="5"/>
        <v>#N/A</v>
      </c>
      <c r="AC90" s="209">
        <f ca="1">SUMIFS(装备强化!$Q$7:$Q$306,装备强化!$M$7:$M$306,"&lt;="&amp;MATCH(U90/6,装备强化!$U$7:$U$306,1),装备强化!$M$7:$M$306,"&gt;="&amp;MATCH(V90/6,装备强化!$U$7:$U$306,1))*6</f>
        <v>0</v>
      </c>
      <c r="AD90">
        <f ca="1" t="shared" si="11"/>
        <v>0</v>
      </c>
    </row>
    <row r="91" spans="1:30">
      <c r="A91" s="171"/>
      <c r="B91" s="80">
        <v>64</v>
      </c>
      <c r="C91" s="80">
        <f ca="1">OFFSET(产销汇总!$C$12,$B91,$C$26)</f>
        <v>137</v>
      </c>
      <c r="D91" s="80">
        <f t="shared" si="6"/>
        <v>14100</v>
      </c>
      <c r="E91" s="80">
        <f ca="1">(SUMIF(主线推图!$B$4:$B$303,"&lt;"&amp;C91,主线推图!$M$4:$M$303)+SUMIF(主线宝箱!$B$320:$B$620,"&lt;"&amp;C91,主线宝箱!$L$320:$L$620)+SUMIF(主线宝箱!$B$320:$B$620,"&lt;"&amp;C91,主线宝箱!$X$320:$X$620)+SUMIF(主线宝箱!$B$320:$B$620,"&lt;"&amp;C91,主线宝箱!$AL$320:$AL$620))</f>
        <v>241800</v>
      </c>
      <c r="F91" s="98">
        <f ca="1">SUMIF(组队产出!$B$24:$B$39,"&lt;="&amp;MAX(1,INT(C91/10-0.6)),组队产出!$R$24:$R$39)</f>
        <v>112500</v>
      </c>
      <c r="G91" s="80">
        <f ca="1">SUMIF(运营活动!$O$3:$O$27,"&lt;="&amp;C91,运营活动!$P$3:$P$27)</f>
        <v>30000</v>
      </c>
      <c r="H91" s="80">
        <f ca="1">OFFSET(产销汇总!$AM$12,B91,$C$26)*24</f>
        <v>483888</v>
      </c>
      <c r="I91" s="172">
        <f ca="1">SUMIF(金币本!$F$2:$F$52,"&lt;="&amp;C91,金币本!$D$2:$D$52)</f>
        <v>735000</v>
      </c>
      <c r="J91" s="80">
        <f ca="1">OFFSET(产销汇总!$C$1,MATCH(J$27,产销汇总!$C$2:$C$8,0),$C$26)*(_xlfn.XLOOKUP(C91,主线推图!$B$313:$B$612,主线推图!$C$313:$C$612)+_xlfn.XLOOKUP(C91,主线推图!$B$313:$B$612,主线推图!$D$313:$D$612))</f>
        <v>12144</v>
      </c>
      <c r="K91" s="80">
        <f ca="1">OFFSET(产销汇总!$C$1,MATCH(K$27,产销汇总!$C$2:$C$8,0),$C$26)*_xlfn.XLOOKUP(C91,巡逻产出!$B$311:$B$610,巡逻产出!$C$311:$C$610)*1.3</f>
        <v>0</v>
      </c>
      <c r="L91" s="80">
        <f ca="1">OFFSET(产销汇总!$C$1,MATCH(L$27,产销汇总!$C$2:$C$8,0),$C$26)*(_xlfn.XLOOKUP(MAX(1,INT(C91/10-6/10)),组队产出!$B$24:$B$39,组队产出!$D$24:$D$39))+OFFSET(产销汇总!$C$1,MATCH(L$27,产销汇总!$C$2:$C$8,0),$C$26)*(_xlfn.XLOOKUP(MAX(1,INT(C91/10-6/10)),组队产出!$B$24:$B$39,组队产出!$C$24:$C$39))</f>
        <v>6696</v>
      </c>
      <c r="M91" s="80">
        <f ca="1">(OFFSET(产销汇总!$C$1,MATCH(M$27,产销汇总!$C$2:$C$8,0),$C$26)*_xlfn.XLOOKUP(C91,巡逻产出!$B$311:$B$610,巡逻产出!$D$311:$D$610))*$M$24</f>
        <v>8611.2</v>
      </c>
      <c r="N91" s="80">
        <f ca="1">OFFSET(产销汇总!$C$1,MATCH(L$27,产销汇总!$C$2:$C$8,0),$C$26)*(_xlfn.XLOOKUP(MAX(1,INT(C91/10-6/10)),组队产出!$B$24:$B$39,组队产出!$S$24:$S$39))</f>
        <v>18438</v>
      </c>
      <c r="O91" s="172">
        <f>任务!$D$36</f>
        <v>2457.14285714286</v>
      </c>
      <c r="P91" s="98">
        <f t="shared" si="7"/>
        <v>428</v>
      </c>
      <c r="Q91" s="80">
        <f t="shared" si="8"/>
        <v>1500</v>
      </c>
      <c r="R91" s="172">
        <f t="shared" si="9"/>
        <v>2000</v>
      </c>
      <c r="S91" s="210">
        <f ca="1">IFERROR(OFFSET(金币本!$E$2,MATCH(C91,金币本!$F$3:$F$302,1),0)*IF($C$26=1,2,3),0)</f>
        <v>28500</v>
      </c>
      <c r="T91" s="172" t="e">
        <f ca="1">SUM($J$28:S91)+SUM(D91:I91)</f>
        <v>#N/A</v>
      </c>
      <c r="U91" s="172" t="e">
        <f ca="1" t="shared" si="2"/>
        <v>#N/A</v>
      </c>
      <c r="V91" s="98" t="e">
        <f ca="1" t="shared" si="3"/>
        <v>#N/A</v>
      </c>
      <c r="W91" s="98" t="e">
        <f ca="1">OFFSET(装备强化!$U$6,MATCH(图纸产出设计!V92/6*W$26,装备强化!$T$7:$T$306,1),0)*6</f>
        <v>#N/A</v>
      </c>
      <c r="X91" s="98">
        <v>307840</v>
      </c>
      <c r="Y91" s="98">
        <f t="shared" si="10"/>
        <v>1936000</v>
      </c>
      <c r="Z91" s="98">
        <f t="shared" si="12"/>
        <v>2</v>
      </c>
      <c r="AA91" s="147" t="e">
        <f ca="1" t="shared" si="4"/>
        <v>#N/A</v>
      </c>
      <c r="AB91" s="209" t="e">
        <f ca="1" t="shared" si="5"/>
        <v>#N/A</v>
      </c>
      <c r="AC91" s="209">
        <f ca="1">SUMIFS(装备强化!$Q$7:$Q$306,装备强化!$M$7:$M$306,"&lt;="&amp;MATCH(U91/6,装备强化!$U$7:$U$306,1),装备强化!$M$7:$M$306,"&gt;="&amp;MATCH(V91/6,装备强化!$U$7:$U$306,1))*6</f>
        <v>0</v>
      </c>
      <c r="AD91">
        <f ca="1" t="shared" si="11"/>
        <v>0</v>
      </c>
    </row>
    <row r="92" spans="1:30">
      <c r="A92" s="171"/>
      <c r="B92" s="80">
        <v>65</v>
      </c>
      <c r="C92" s="80">
        <f ca="1">OFFSET(产销汇总!$C$12,$B92,$C$26)</f>
        <v>138</v>
      </c>
      <c r="D92" s="80">
        <f t="shared" si="6"/>
        <v>14100</v>
      </c>
      <c r="E92" s="80">
        <f ca="1">(SUMIF(主线推图!$B$4:$B$303,"&lt;"&amp;C92,主线推图!$M$4:$M$303)+SUMIF(主线宝箱!$B$320:$B$620,"&lt;"&amp;C92,主线宝箱!$L$320:$L$620)+SUMIF(主线宝箱!$B$320:$B$620,"&lt;"&amp;C92,主线宝箱!$X$320:$X$620)+SUMIF(主线宝箱!$B$320:$B$620,"&lt;"&amp;C92,主线宝箱!$AL$320:$AL$620))</f>
        <v>243600</v>
      </c>
      <c r="F92" s="98">
        <f ca="1">SUMIF(组队产出!$B$24:$B$39,"&lt;="&amp;MAX(1,INT(C92/10-0.6)),组队产出!$R$24:$R$39)</f>
        <v>112500</v>
      </c>
      <c r="G92" s="80">
        <f ca="1">SUMIF(运营活动!$O$3:$O$27,"&lt;="&amp;C92,运营活动!$P$3:$P$27)</f>
        <v>30000</v>
      </c>
      <c r="H92" s="80">
        <f ca="1">OFFSET(产销汇总!$AM$12,B92,$C$26)*24</f>
        <v>491136</v>
      </c>
      <c r="I92" s="172">
        <f ca="1">SUMIF(金币本!$F$2:$F$52,"&lt;="&amp;C92,金币本!$D$2:$D$52)</f>
        <v>735000</v>
      </c>
      <c r="J92" s="80">
        <f ca="1">OFFSET(产销汇总!$C$1,MATCH(J$27,产销汇总!$C$2:$C$8,0),$C$26)*(_xlfn.XLOOKUP(C92,主线推图!$B$313:$B$612,主线推图!$C$313:$C$612)+_xlfn.XLOOKUP(C92,主线推图!$B$313:$B$612,主线推图!$D$313:$D$612))</f>
        <v>12188</v>
      </c>
      <c r="K92" s="80">
        <f ca="1">OFFSET(产销汇总!$C$1,MATCH(K$27,产销汇总!$C$2:$C$8,0),$C$26)*_xlfn.XLOOKUP(C92,巡逻产出!$B$311:$B$610,巡逻产出!$C$311:$C$610)*1.3</f>
        <v>0</v>
      </c>
      <c r="L92" s="80">
        <f ca="1">OFFSET(产销汇总!$C$1,MATCH(L$27,产销汇总!$C$2:$C$8,0),$C$26)*(_xlfn.XLOOKUP(MAX(1,INT(C92/10-6/10)),组队产出!$B$24:$B$39,组队产出!$D$24:$D$39))+OFFSET(产销汇总!$C$1,MATCH(L$27,产销汇总!$C$2:$C$8,0),$C$26)*(_xlfn.XLOOKUP(MAX(1,INT(C92/10-6/10)),组队产出!$B$24:$B$39,组队产出!$C$24:$C$39))</f>
        <v>6696</v>
      </c>
      <c r="M92" s="80">
        <f ca="1">(OFFSET(产销汇总!$C$1,MATCH(M$27,产销汇总!$C$2:$C$8,0),$C$26)*_xlfn.XLOOKUP(C92,巡逻产出!$B$311:$B$610,巡逻产出!$D$311:$D$610))*$M$24</f>
        <v>8642.4</v>
      </c>
      <c r="N92" s="80">
        <f ca="1">OFFSET(产销汇总!$C$1,MATCH(L$27,产销汇总!$C$2:$C$8,0),$C$26)*(_xlfn.XLOOKUP(MAX(1,INT(C92/10-6/10)),组队产出!$B$24:$B$39,组队产出!$S$24:$S$39))</f>
        <v>18438</v>
      </c>
      <c r="O92" s="172">
        <f>任务!$D$36</f>
        <v>2457.14285714286</v>
      </c>
      <c r="P92" s="98">
        <f t="shared" ref="P92:P155" si="13">INT(300*10/7)</f>
        <v>428</v>
      </c>
      <c r="Q92" s="80">
        <f t="shared" si="8"/>
        <v>1000</v>
      </c>
      <c r="R92" s="172">
        <f t="shared" si="9"/>
        <v>2000</v>
      </c>
      <c r="S92" s="210">
        <f ca="1">IFERROR(OFFSET(金币本!$E$2,MATCH(C92,金币本!$F$3:$F$302,1),0)*IF($C$26=1,2,3),0)</f>
        <v>28500</v>
      </c>
      <c r="T92" s="172" t="e">
        <f ca="1">SUM($J$28:S92)+SUM(D92:I92)</f>
        <v>#N/A</v>
      </c>
      <c r="U92" s="172" t="e">
        <f ca="1" t="shared" ref="U92:U155" si="14">T92</f>
        <v>#N/A</v>
      </c>
      <c r="V92" s="98" t="e">
        <f ca="1" t="shared" ref="V92:V155" si="15">SUM(W92:Y92)</f>
        <v>#N/A</v>
      </c>
      <c r="W92" s="98" t="e">
        <f ca="1">OFFSET(装备强化!$U$6,MATCH(图纸产出设计!V93/6*W$26,装备强化!$T$7:$T$306,1),0)*6</f>
        <v>#N/A</v>
      </c>
      <c r="X92" s="98">
        <v>307840</v>
      </c>
      <c r="Y92" s="98">
        <f t="shared" si="10"/>
        <v>1968000</v>
      </c>
      <c r="Z92" s="98">
        <f t="shared" si="12"/>
        <v>2</v>
      </c>
      <c r="AA92" s="147" t="e">
        <f ca="1" t="shared" ref="AA92:AA155" si="16">U92/V92</f>
        <v>#N/A</v>
      </c>
      <c r="AB92" s="209" t="e">
        <f ca="1" t="shared" ref="AB92:AB155" si="17">U92-V92</f>
        <v>#N/A</v>
      </c>
      <c r="AC92" s="209">
        <f ca="1">SUMIFS(装备强化!$Q$7:$Q$306,装备强化!$M$7:$M$306,"&lt;="&amp;MATCH(U92/6,装备强化!$U$7:$U$306,1),装备强化!$M$7:$M$306,"&gt;="&amp;MATCH(V92/6,装备强化!$U$7:$U$306,1))*6</f>
        <v>0</v>
      </c>
      <c r="AD92">
        <f ca="1" t="shared" si="11"/>
        <v>0</v>
      </c>
    </row>
    <row r="93" spans="1:30">
      <c r="A93" s="171"/>
      <c r="B93" s="80">
        <v>66</v>
      </c>
      <c r="C93" s="80">
        <f ca="1">OFFSET(产销汇总!$C$12,$B93,$C$26)</f>
        <v>139</v>
      </c>
      <c r="D93" s="80">
        <f t="shared" ref="D93:D156" si="18">D92</f>
        <v>14100</v>
      </c>
      <c r="E93" s="80">
        <f ca="1">(SUMIF(主线推图!$B$4:$B$303,"&lt;"&amp;C93,主线推图!$M$4:$M$303)+SUMIF(主线宝箱!$B$320:$B$620,"&lt;"&amp;C93,主线宝箱!$L$320:$L$620)+SUMIF(主线宝箱!$B$320:$B$620,"&lt;"&amp;C93,主线宝箱!$X$320:$X$620)+SUMIF(主线宝箱!$B$320:$B$620,"&lt;"&amp;C93,主线宝箱!$AL$320:$AL$620))</f>
        <v>245400</v>
      </c>
      <c r="F93" s="98">
        <f ca="1">SUMIF(组队产出!$B$24:$B$39,"&lt;="&amp;MAX(1,INT(C93/10-0.6)),组队产出!$R$24:$R$39)</f>
        <v>112500</v>
      </c>
      <c r="G93" s="80">
        <f ca="1">SUMIF(运营活动!$O$3:$O$27,"&lt;="&amp;C93,运营活动!$P$3:$P$27)</f>
        <v>30000</v>
      </c>
      <c r="H93" s="80">
        <f ca="1">OFFSET(产销汇总!$AM$12,B93,$C$26)*24</f>
        <v>498384</v>
      </c>
      <c r="I93" s="172">
        <f ca="1">SUMIF(金币本!$F$2:$F$52,"&lt;="&amp;C93,金币本!$D$2:$D$52)</f>
        <v>774000</v>
      </c>
      <c r="J93" s="80">
        <f ca="1">OFFSET(产销汇总!$C$1,MATCH(J$27,产销汇总!$C$2:$C$8,0),$C$26)*(_xlfn.XLOOKUP(C93,主线推图!$B$313:$B$612,主线推图!$C$313:$C$612)+_xlfn.XLOOKUP(C93,主线推图!$B$313:$B$612,主线推图!$D$313:$D$612))</f>
        <v>12232</v>
      </c>
      <c r="K93" s="80">
        <f ca="1">OFFSET(产销汇总!$C$1,MATCH(K$27,产销汇总!$C$2:$C$8,0),$C$26)*_xlfn.XLOOKUP(C93,巡逻产出!$B$311:$B$610,巡逻产出!$C$311:$C$610)*1.3</f>
        <v>0</v>
      </c>
      <c r="L93" s="80">
        <f ca="1">OFFSET(产销汇总!$C$1,MATCH(L$27,产销汇总!$C$2:$C$8,0),$C$26)*(_xlfn.XLOOKUP(MAX(1,INT(C93/10-6/10)),组队产出!$B$24:$B$39,组队产出!$D$24:$D$39))+OFFSET(产销汇总!$C$1,MATCH(L$27,产销汇总!$C$2:$C$8,0),$C$26)*(_xlfn.XLOOKUP(MAX(1,INT(C93/10-6/10)),组队产出!$B$24:$B$39,组队产出!$C$24:$C$39))</f>
        <v>6696</v>
      </c>
      <c r="M93" s="80">
        <f ca="1">(OFFSET(产销汇总!$C$1,MATCH(M$27,产销汇总!$C$2:$C$8,0),$C$26)*_xlfn.XLOOKUP(C93,巡逻产出!$B$311:$B$610,巡逻产出!$D$311:$D$610))*$M$24</f>
        <v>8673.6</v>
      </c>
      <c r="N93" s="80">
        <f ca="1">OFFSET(产销汇总!$C$1,MATCH(L$27,产销汇总!$C$2:$C$8,0),$C$26)*(_xlfn.XLOOKUP(MAX(1,INT(C93/10-6/10)),组队产出!$B$24:$B$39,组队产出!$S$24:$S$39))</f>
        <v>18438</v>
      </c>
      <c r="O93" s="172">
        <f>任务!$D$36</f>
        <v>2457.14285714286</v>
      </c>
      <c r="P93" s="98">
        <f t="shared" si="13"/>
        <v>428</v>
      </c>
      <c r="Q93" s="80">
        <f t="shared" ref="Q93:Q156" si="19">IF(MOD(B93,7)=1,500,0)+1000+IF(AND($C$26=4,B93&lt;=0),40000,0)</f>
        <v>1000</v>
      </c>
      <c r="R93" s="172">
        <f t="shared" ref="R93:R156" si="20">R92</f>
        <v>2000</v>
      </c>
      <c r="S93" s="210">
        <f ca="1">IFERROR(OFFSET(金币本!$E$2,MATCH(C93,金币本!$F$3:$F$302,1),0)*IF($C$26=1,2,3),0)</f>
        <v>29250</v>
      </c>
      <c r="T93" s="172" t="e">
        <f ca="1">SUM($J$28:S93)+SUM(D93:I93)</f>
        <v>#N/A</v>
      </c>
      <c r="U93" s="172" t="e">
        <f ca="1" t="shared" si="14"/>
        <v>#N/A</v>
      </c>
      <c r="V93" s="98" t="e">
        <f ca="1" t="shared" si="15"/>
        <v>#N/A</v>
      </c>
      <c r="W93" s="98" t="e">
        <f ca="1">OFFSET(装备强化!$U$6,MATCH(图纸产出设计!V94/6*W$26,装备强化!$T$7:$T$306,1),0)*6</f>
        <v>#N/A</v>
      </c>
      <c r="X93" s="98">
        <v>314440</v>
      </c>
      <c r="Y93" s="98">
        <f t="shared" si="10"/>
        <v>2000000</v>
      </c>
      <c r="Z93" s="98">
        <f t="shared" si="12"/>
        <v>2</v>
      </c>
      <c r="AA93" s="147" t="e">
        <f ca="1" t="shared" si="16"/>
        <v>#N/A</v>
      </c>
      <c r="AB93" s="209" t="e">
        <f ca="1" t="shared" si="17"/>
        <v>#N/A</v>
      </c>
      <c r="AC93" s="209">
        <f ca="1">SUMIFS(装备强化!$Q$7:$Q$306,装备强化!$M$7:$M$306,"&lt;="&amp;MATCH(U93/6,装备强化!$U$7:$U$306,1),装备强化!$M$7:$M$306,"&gt;="&amp;MATCH(V93/6,装备强化!$U$7:$U$306,1))*6</f>
        <v>0</v>
      </c>
      <c r="AD93">
        <f ca="1" t="shared" si="11"/>
        <v>0</v>
      </c>
    </row>
    <row r="94" spans="1:30">
      <c r="A94" s="171"/>
      <c r="B94" s="80">
        <v>67</v>
      </c>
      <c r="C94" s="80">
        <f ca="1">OFFSET(产销汇总!$C$12,$B94,$C$26)</f>
        <v>140</v>
      </c>
      <c r="D94" s="80">
        <f t="shared" si="18"/>
        <v>14100</v>
      </c>
      <c r="E94" s="80">
        <f ca="1">(SUMIF(主线推图!$B$4:$B$303,"&lt;"&amp;C94,主线推图!$M$4:$M$303)+SUMIF(主线宝箱!$B$320:$B$620,"&lt;"&amp;C94,主线宝箱!$L$320:$L$620)+SUMIF(主线宝箱!$B$320:$B$620,"&lt;"&amp;C94,主线宝箱!$X$320:$X$620)+SUMIF(主线宝箱!$B$320:$B$620,"&lt;"&amp;C94,主线宝箱!$AL$320:$AL$620))</f>
        <v>247200</v>
      </c>
      <c r="F94" s="98">
        <f ca="1">SUMIF(组队产出!$B$24:$B$39,"&lt;="&amp;MAX(1,INT(C94/10-0.6)),组队产出!$R$24:$R$39)</f>
        <v>112500</v>
      </c>
      <c r="G94" s="80">
        <f ca="1">SUMIF(运营活动!$O$3:$O$27,"&lt;="&amp;C94,运营活动!$P$3:$P$27)</f>
        <v>30000</v>
      </c>
      <c r="H94" s="80">
        <f ca="1">OFFSET(产销汇总!$AM$12,B94,$C$26)*24</f>
        <v>505632</v>
      </c>
      <c r="I94" s="172">
        <f ca="1">SUMIF(金币本!$F$2:$F$52,"&lt;="&amp;C94,金币本!$D$2:$D$52)</f>
        <v>774000</v>
      </c>
      <c r="J94" s="80">
        <f ca="1">OFFSET(产销汇总!$C$1,MATCH(J$27,产销汇总!$C$2:$C$8,0),$C$26)*(_xlfn.XLOOKUP(C94,主线推图!$B$313:$B$612,主线推图!$C$313:$C$612)+_xlfn.XLOOKUP(C94,主线推图!$B$313:$B$612,主线推图!$D$313:$D$612))</f>
        <v>12276</v>
      </c>
      <c r="K94" s="80">
        <f ca="1">OFFSET(产销汇总!$C$1,MATCH(K$27,产销汇总!$C$2:$C$8,0),$C$26)*_xlfn.XLOOKUP(C94,巡逻产出!$B$311:$B$610,巡逻产出!$C$311:$C$610)*1.3</f>
        <v>0</v>
      </c>
      <c r="L94" s="80">
        <f ca="1">OFFSET(产销汇总!$C$1,MATCH(L$27,产销汇总!$C$2:$C$8,0),$C$26)*(_xlfn.XLOOKUP(MAX(1,INT(C94/10-6/10)),组队产出!$B$24:$B$39,组队产出!$D$24:$D$39))+OFFSET(产销汇总!$C$1,MATCH(L$27,产销汇总!$C$2:$C$8,0),$C$26)*(_xlfn.XLOOKUP(MAX(1,INT(C94/10-6/10)),组队产出!$B$24:$B$39,组队产出!$C$24:$C$39))</f>
        <v>6696</v>
      </c>
      <c r="M94" s="80">
        <f ca="1">(OFFSET(产销汇总!$C$1,MATCH(M$27,产销汇总!$C$2:$C$8,0),$C$26)*_xlfn.XLOOKUP(C94,巡逻产出!$B$311:$B$610,巡逻产出!$D$311:$D$610))*$M$24</f>
        <v>8704.8</v>
      </c>
      <c r="N94" s="80">
        <f ca="1">OFFSET(产销汇总!$C$1,MATCH(L$27,产销汇总!$C$2:$C$8,0),$C$26)*(_xlfn.XLOOKUP(MAX(1,INT(C94/10-6/10)),组队产出!$B$24:$B$39,组队产出!$S$24:$S$39))</f>
        <v>18438</v>
      </c>
      <c r="O94" s="172">
        <f>任务!$D$36</f>
        <v>2457.14285714286</v>
      </c>
      <c r="P94" s="98">
        <f t="shared" si="13"/>
        <v>428</v>
      </c>
      <c r="Q94" s="80">
        <f t="shared" si="19"/>
        <v>1000</v>
      </c>
      <c r="R94" s="172">
        <f t="shared" si="20"/>
        <v>2000</v>
      </c>
      <c r="S94" s="210">
        <f ca="1">IFERROR(OFFSET(金币本!$E$2,MATCH(C94,金币本!$F$3:$F$302,1),0)*IF($C$26=1,2,3),0)</f>
        <v>29250</v>
      </c>
      <c r="T94" s="172" t="e">
        <f ca="1">SUM($J$28:S94)+SUM(D94:I94)</f>
        <v>#N/A</v>
      </c>
      <c r="U94" s="172" t="e">
        <f ca="1" t="shared" si="14"/>
        <v>#N/A</v>
      </c>
      <c r="V94" s="98" t="e">
        <f ca="1" t="shared" si="15"/>
        <v>#N/A</v>
      </c>
      <c r="W94" s="98" t="e">
        <f ca="1">OFFSET(装备强化!$U$6,MATCH(图纸产出设计!V95/6*W$26,装备强化!$T$7:$T$306,1),0)*6</f>
        <v>#N/A</v>
      </c>
      <c r="X94" s="98">
        <v>321110</v>
      </c>
      <c r="Y94" s="98">
        <f t="shared" ref="Y94:Y157" si="21">Y93+$Y$28*Z94</f>
        <v>2032000</v>
      </c>
      <c r="Z94" s="98">
        <f t="shared" si="12"/>
        <v>2</v>
      </c>
      <c r="AA94" s="147" t="e">
        <f ca="1" t="shared" si="16"/>
        <v>#N/A</v>
      </c>
      <c r="AB94" s="209" t="e">
        <f ca="1" t="shared" si="17"/>
        <v>#N/A</v>
      </c>
      <c r="AC94" s="209">
        <f ca="1">SUMIFS(装备强化!$Q$7:$Q$306,装备强化!$M$7:$M$306,"&lt;="&amp;MATCH(U94/6,装备强化!$U$7:$U$306,1),装备强化!$M$7:$M$306,"&gt;="&amp;MATCH(V94/6,装备强化!$U$7:$U$306,1))*6</f>
        <v>0</v>
      </c>
      <c r="AD94">
        <f ca="1" t="shared" ref="AD94:AD157" si="22">AC94/B94</f>
        <v>0</v>
      </c>
    </row>
    <row r="95" spans="1:30">
      <c r="A95" s="171"/>
      <c r="B95" s="80">
        <v>68</v>
      </c>
      <c r="C95" s="80">
        <f ca="1">OFFSET(产销汇总!$C$12,$B95,$C$26)</f>
        <v>141</v>
      </c>
      <c r="D95" s="80">
        <f t="shared" si="18"/>
        <v>14100</v>
      </c>
      <c r="E95" s="80">
        <f ca="1">(SUMIF(主线推图!$B$4:$B$303,"&lt;"&amp;C95,主线推图!$M$4:$M$303)+SUMIF(主线宝箱!$B$320:$B$620,"&lt;"&amp;C95,主线宝箱!$L$320:$L$620)+SUMIF(主线宝箱!$B$320:$B$620,"&lt;"&amp;C95,主线宝箱!$X$320:$X$620)+SUMIF(主线宝箱!$B$320:$B$620,"&lt;"&amp;C95,主线宝箱!$AL$320:$AL$620))</f>
        <v>249000</v>
      </c>
      <c r="F95" s="98">
        <f ca="1">SUMIF(组队产出!$B$24:$B$39,"&lt;="&amp;MAX(1,INT(C95/10-0.6)),组队产出!$R$24:$R$39)</f>
        <v>112500</v>
      </c>
      <c r="G95" s="80">
        <f ca="1">SUMIF(运营活动!$O$3:$O$27,"&lt;="&amp;C95,运营活动!$P$3:$P$27)</f>
        <v>30000</v>
      </c>
      <c r="H95" s="80">
        <f ca="1">OFFSET(产销汇总!$AM$12,B95,$C$26)*24</f>
        <v>512880</v>
      </c>
      <c r="I95" s="172">
        <f ca="1">SUMIF(金币本!$F$2:$F$52,"&lt;="&amp;C95,金币本!$D$2:$D$52)</f>
        <v>774000</v>
      </c>
      <c r="J95" s="80">
        <f ca="1">OFFSET(产销汇总!$C$1,MATCH(J$27,产销汇总!$C$2:$C$8,0),$C$26)*(_xlfn.XLOOKUP(C95,主线推图!$B$313:$B$612,主线推图!$C$313:$C$612)+_xlfn.XLOOKUP(C95,主线推图!$B$313:$B$612,主线推图!$D$313:$D$612))</f>
        <v>12320</v>
      </c>
      <c r="K95" s="80">
        <f ca="1">OFFSET(产销汇总!$C$1,MATCH(K$27,产销汇总!$C$2:$C$8,0),$C$26)*_xlfn.XLOOKUP(C95,巡逻产出!$B$311:$B$610,巡逻产出!$C$311:$C$610)*1.3</f>
        <v>0</v>
      </c>
      <c r="L95" s="80">
        <f ca="1">OFFSET(产销汇总!$C$1,MATCH(L$27,产销汇总!$C$2:$C$8,0),$C$26)*(_xlfn.XLOOKUP(MAX(1,INT(C95/10-6/10)),组队产出!$B$24:$B$39,组队产出!$D$24:$D$39))+OFFSET(产销汇总!$C$1,MATCH(L$27,产销汇总!$C$2:$C$8,0),$C$26)*(_xlfn.XLOOKUP(MAX(1,INT(C95/10-6/10)),组队产出!$B$24:$B$39,组队产出!$C$24:$C$39))</f>
        <v>6696</v>
      </c>
      <c r="M95" s="80">
        <f ca="1">(OFFSET(产销汇总!$C$1,MATCH(M$27,产销汇总!$C$2:$C$8,0),$C$26)*_xlfn.XLOOKUP(C95,巡逻产出!$B$311:$B$610,巡逻产出!$D$311:$D$610))*$M$24</f>
        <v>8736</v>
      </c>
      <c r="N95" s="80">
        <f ca="1">OFFSET(产销汇总!$C$1,MATCH(L$27,产销汇总!$C$2:$C$8,0),$C$26)*(_xlfn.XLOOKUP(MAX(1,INT(C95/10-6/10)),组队产出!$B$24:$B$39,组队产出!$S$24:$S$39))</f>
        <v>18438</v>
      </c>
      <c r="O95" s="172">
        <f>任务!$D$36</f>
        <v>2457.14285714286</v>
      </c>
      <c r="P95" s="98">
        <f t="shared" si="13"/>
        <v>428</v>
      </c>
      <c r="Q95" s="80">
        <f t="shared" si="19"/>
        <v>1000</v>
      </c>
      <c r="R95" s="172">
        <f t="shared" si="20"/>
        <v>2000</v>
      </c>
      <c r="S95" s="210">
        <f ca="1">IFERROR(OFFSET(金币本!$E$2,MATCH(C95,金币本!$F$3:$F$302,1),0)*IF($C$26=1,2,3),0)</f>
        <v>29250</v>
      </c>
      <c r="T95" s="172" t="e">
        <f ca="1">SUM($J$28:S95)+SUM(D95:I95)</f>
        <v>#N/A</v>
      </c>
      <c r="U95" s="172" t="e">
        <f ca="1" t="shared" si="14"/>
        <v>#N/A</v>
      </c>
      <c r="V95" s="98" t="e">
        <f ca="1" t="shared" si="15"/>
        <v>#N/A</v>
      </c>
      <c r="W95" s="98" t="e">
        <f ca="1">OFFSET(装备强化!$U$6,MATCH(图纸产出设计!V96/6*W$26,装备强化!$T$7:$T$306,1),0)*6</f>
        <v>#N/A</v>
      </c>
      <c r="X95" s="98">
        <v>321110</v>
      </c>
      <c r="Y95" s="98">
        <f t="shared" si="21"/>
        <v>2064000</v>
      </c>
      <c r="Z95" s="98">
        <f t="shared" si="12"/>
        <v>2</v>
      </c>
      <c r="AA95" s="147" t="e">
        <f ca="1" t="shared" si="16"/>
        <v>#N/A</v>
      </c>
      <c r="AB95" s="209" t="e">
        <f ca="1" t="shared" si="17"/>
        <v>#N/A</v>
      </c>
      <c r="AC95" s="209">
        <f ca="1">SUMIFS(装备强化!$Q$7:$Q$306,装备强化!$M$7:$M$306,"&lt;="&amp;MATCH(U95/6,装备强化!$U$7:$U$306,1),装备强化!$M$7:$M$306,"&gt;="&amp;MATCH(V95/6,装备强化!$U$7:$U$306,1))*6</f>
        <v>0</v>
      </c>
      <c r="AD95">
        <f ca="1" t="shared" si="22"/>
        <v>0</v>
      </c>
    </row>
    <row r="96" spans="1:30">
      <c r="A96" s="171"/>
      <c r="B96" s="80">
        <v>69</v>
      </c>
      <c r="C96" s="80">
        <f ca="1">OFFSET(产销汇总!$C$12,$B96,$C$26)</f>
        <v>142</v>
      </c>
      <c r="D96" s="80">
        <f t="shared" si="18"/>
        <v>14100</v>
      </c>
      <c r="E96" s="80">
        <f ca="1">(SUMIF(主线推图!$B$4:$B$303,"&lt;"&amp;C96,主线推图!$M$4:$M$303)+SUMIF(主线宝箱!$B$320:$B$620,"&lt;"&amp;C96,主线宝箱!$L$320:$L$620)+SUMIF(主线宝箱!$B$320:$B$620,"&lt;"&amp;C96,主线宝箱!$X$320:$X$620)+SUMIF(主线宝箱!$B$320:$B$620,"&lt;"&amp;C96,主线宝箱!$AL$320:$AL$620))</f>
        <v>250800</v>
      </c>
      <c r="F96" s="98">
        <f ca="1">SUMIF(组队产出!$B$24:$B$39,"&lt;="&amp;MAX(1,INT(C96/10-0.6)),组队产出!$R$24:$R$39)</f>
        <v>112500</v>
      </c>
      <c r="G96" s="80">
        <f ca="1">SUMIF(运营活动!$O$3:$O$27,"&lt;="&amp;C96,运营活动!$P$3:$P$27)</f>
        <v>30000</v>
      </c>
      <c r="H96" s="80">
        <f ca="1">OFFSET(产销汇总!$AM$12,B96,$C$26)*24</f>
        <v>520128</v>
      </c>
      <c r="I96" s="172">
        <f ca="1">SUMIF(金币本!$F$2:$F$52,"&lt;="&amp;C96,金币本!$D$2:$D$52)</f>
        <v>774000</v>
      </c>
      <c r="J96" s="80">
        <f ca="1">OFFSET(产销汇总!$C$1,MATCH(J$27,产销汇总!$C$2:$C$8,0),$C$26)*(_xlfn.XLOOKUP(C96,主线推图!$B$313:$B$612,主线推图!$C$313:$C$612)+_xlfn.XLOOKUP(C96,主线推图!$B$313:$B$612,主线推图!$D$313:$D$612))</f>
        <v>12364</v>
      </c>
      <c r="K96" s="80">
        <f ca="1">OFFSET(产销汇总!$C$1,MATCH(K$27,产销汇总!$C$2:$C$8,0),$C$26)*_xlfn.XLOOKUP(C96,巡逻产出!$B$311:$B$610,巡逻产出!$C$311:$C$610)*1.3</f>
        <v>0</v>
      </c>
      <c r="L96" s="80">
        <f ca="1">OFFSET(产销汇总!$C$1,MATCH(L$27,产销汇总!$C$2:$C$8,0),$C$26)*(_xlfn.XLOOKUP(MAX(1,INT(C96/10-6/10)),组队产出!$B$24:$B$39,组队产出!$D$24:$D$39))+OFFSET(产销汇总!$C$1,MATCH(L$27,产销汇总!$C$2:$C$8,0),$C$26)*(_xlfn.XLOOKUP(MAX(1,INT(C96/10-6/10)),组队产出!$B$24:$B$39,组队产出!$C$24:$C$39))</f>
        <v>6696</v>
      </c>
      <c r="M96" s="80">
        <f ca="1">(OFFSET(产销汇总!$C$1,MATCH(M$27,产销汇总!$C$2:$C$8,0),$C$26)*_xlfn.XLOOKUP(C96,巡逻产出!$B$311:$B$610,巡逻产出!$D$311:$D$610))*$M$24</f>
        <v>8767.2</v>
      </c>
      <c r="N96" s="80">
        <f ca="1">OFFSET(产销汇总!$C$1,MATCH(L$27,产销汇总!$C$2:$C$8,0),$C$26)*(_xlfn.XLOOKUP(MAX(1,INT(C96/10-6/10)),组队产出!$B$24:$B$39,组队产出!$S$24:$S$39))</f>
        <v>18438</v>
      </c>
      <c r="O96" s="172">
        <f>任务!$D$36</f>
        <v>2457.14285714286</v>
      </c>
      <c r="P96" s="98">
        <f t="shared" si="13"/>
        <v>428</v>
      </c>
      <c r="Q96" s="80">
        <f t="shared" si="19"/>
        <v>1000</v>
      </c>
      <c r="R96" s="172">
        <f t="shared" si="20"/>
        <v>2000</v>
      </c>
      <c r="S96" s="210">
        <f ca="1">IFERROR(OFFSET(金币本!$E$2,MATCH(C96,金币本!$F$3:$F$302,1),0)*IF($C$26=1,2,3),0)</f>
        <v>29250</v>
      </c>
      <c r="T96" s="172" t="e">
        <f ca="1">SUM($J$28:S96)+SUM(D96:I96)</f>
        <v>#N/A</v>
      </c>
      <c r="U96" s="172" t="e">
        <f ca="1" t="shared" si="14"/>
        <v>#N/A</v>
      </c>
      <c r="V96" s="98" t="e">
        <f ca="1" t="shared" si="15"/>
        <v>#N/A</v>
      </c>
      <c r="W96" s="98" t="e">
        <f ca="1">OFFSET(装备强化!$U$6,MATCH(图纸产出设计!V97/6*W$26,装备强化!$T$7:$T$306,1),0)*6</f>
        <v>#N/A</v>
      </c>
      <c r="X96" s="98">
        <v>327850</v>
      </c>
      <c r="Y96" s="98">
        <f t="shared" si="21"/>
        <v>2096000</v>
      </c>
      <c r="Z96" s="98">
        <f t="shared" si="12"/>
        <v>2</v>
      </c>
      <c r="AA96" s="147" t="e">
        <f ca="1" t="shared" si="16"/>
        <v>#N/A</v>
      </c>
      <c r="AB96" s="209" t="e">
        <f ca="1" t="shared" si="17"/>
        <v>#N/A</v>
      </c>
      <c r="AC96" s="209">
        <f ca="1">SUMIFS(装备强化!$Q$7:$Q$306,装备强化!$M$7:$M$306,"&lt;="&amp;MATCH(U96/6,装备强化!$U$7:$U$306,1),装备强化!$M$7:$M$306,"&gt;="&amp;MATCH(V96/6,装备强化!$U$7:$U$306,1))*6</f>
        <v>0</v>
      </c>
      <c r="AD96">
        <f ca="1" t="shared" si="22"/>
        <v>0</v>
      </c>
    </row>
    <row r="97" spans="1:30">
      <c r="A97" s="171"/>
      <c r="B97" s="80">
        <v>70</v>
      </c>
      <c r="C97" s="80">
        <f ca="1">OFFSET(产销汇总!$C$12,$B97,$C$26)</f>
        <v>143</v>
      </c>
      <c r="D97" s="80">
        <f t="shared" si="18"/>
        <v>14100</v>
      </c>
      <c r="E97" s="80">
        <f ca="1">(SUMIF(主线推图!$B$4:$B$303,"&lt;"&amp;C97,主线推图!$M$4:$M$303)+SUMIF(主线宝箱!$B$320:$B$620,"&lt;"&amp;C97,主线宝箱!$L$320:$L$620)+SUMIF(主线宝箱!$B$320:$B$620,"&lt;"&amp;C97,主线宝箱!$X$320:$X$620)+SUMIF(主线宝箱!$B$320:$B$620,"&lt;"&amp;C97,主线宝箱!$AL$320:$AL$620))</f>
        <v>252600</v>
      </c>
      <c r="F97" s="98">
        <f ca="1">SUMIF(组队产出!$B$24:$B$39,"&lt;="&amp;MAX(1,INT(C97/10-0.6)),组队产出!$R$24:$R$39)</f>
        <v>112500</v>
      </c>
      <c r="G97" s="80">
        <f ca="1">SUMIF(运营活动!$O$3:$O$27,"&lt;="&amp;C97,运营活动!$P$3:$P$27)</f>
        <v>30000</v>
      </c>
      <c r="H97" s="80">
        <f ca="1">OFFSET(产销汇总!$AM$12,B97,$C$26)*24</f>
        <v>527376</v>
      </c>
      <c r="I97" s="172">
        <f ca="1">SUMIF(金币本!$F$2:$F$52,"&lt;="&amp;C97,金币本!$D$2:$D$52)</f>
        <v>814000</v>
      </c>
      <c r="J97" s="80">
        <f ca="1">OFFSET(产销汇总!$C$1,MATCH(J$27,产销汇总!$C$2:$C$8,0),$C$26)*(_xlfn.XLOOKUP(C97,主线推图!$B$313:$B$612,主线推图!$C$313:$C$612)+_xlfn.XLOOKUP(C97,主线推图!$B$313:$B$612,主线推图!$D$313:$D$612))</f>
        <v>12408</v>
      </c>
      <c r="K97" s="80">
        <f ca="1">OFFSET(产销汇总!$C$1,MATCH(K$27,产销汇总!$C$2:$C$8,0),$C$26)*_xlfn.XLOOKUP(C97,巡逻产出!$B$311:$B$610,巡逻产出!$C$311:$C$610)*1.3</f>
        <v>0</v>
      </c>
      <c r="L97" s="80">
        <f ca="1">OFFSET(产销汇总!$C$1,MATCH(L$27,产销汇总!$C$2:$C$8,0),$C$26)*(_xlfn.XLOOKUP(MAX(1,INT(C97/10-6/10)),组队产出!$B$24:$B$39,组队产出!$D$24:$D$39))+OFFSET(产销汇总!$C$1,MATCH(L$27,产销汇总!$C$2:$C$8,0),$C$26)*(_xlfn.XLOOKUP(MAX(1,INT(C97/10-6/10)),组队产出!$B$24:$B$39,组队产出!$C$24:$C$39))</f>
        <v>6696</v>
      </c>
      <c r="M97" s="80">
        <f ca="1">(OFFSET(产销汇总!$C$1,MATCH(M$27,产销汇总!$C$2:$C$8,0),$C$26)*_xlfn.XLOOKUP(C97,巡逻产出!$B$311:$B$610,巡逻产出!$D$311:$D$610))*$M$24</f>
        <v>8798.4</v>
      </c>
      <c r="N97" s="80">
        <f ca="1">OFFSET(产销汇总!$C$1,MATCH(L$27,产销汇总!$C$2:$C$8,0),$C$26)*(_xlfn.XLOOKUP(MAX(1,INT(C97/10-6/10)),组队产出!$B$24:$B$39,组队产出!$S$24:$S$39))</f>
        <v>18438</v>
      </c>
      <c r="O97" s="172">
        <f>任务!$D$36</f>
        <v>2457.14285714286</v>
      </c>
      <c r="P97" s="98">
        <f t="shared" si="13"/>
        <v>428</v>
      </c>
      <c r="Q97" s="80">
        <f t="shared" si="19"/>
        <v>1000</v>
      </c>
      <c r="R97" s="172">
        <f t="shared" si="20"/>
        <v>2000</v>
      </c>
      <c r="S97" s="210">
        <f ca="1">IFERROR(OFFSET(金币本!$E$2,MATCH(C97,金币本!$F$3:$F$302,1),0)*IF($C$26=1,2,3),0)</f>
        <v>30000</v>
      </c>
      <c r="T97" s="172" t="e">
        <f ca="1">SUM($J$28:S97)+SUM(D97:I97)</f>
        <v>#N/A</v>
      </c>
      <c r="U97" s="172" t="e">
        <f ca="1" t="shared" si="14"/>
        <v>#N/A</v>
      </c>
      <c r="V97" s="98" t="e">
        <f ca="1" t="shared" si="15"/>
        <v>#N/A</v>
      </c>
      <c r="W97" s="98" t="e">
        <f ca="1">OFFSET(装备强化!$U$6,MATCH(图纸产出设计!V98/6*W$26,装备强化!$T$7:$T$306,1),0)*6</f>
        <v>#N/A</v>
      </c>
      <c r="X97" s="98">
        <v>327850</v>
      </c>
      <c r="Y97" s="98">
        <f t="shared" si="21"/>
        <v>2128000</v>
      </c>
      <c r="Z97" s="98">
        <f t="shared" si="12"/>
        <v>2</v>
      </c>
      <c r="AA97" s="147" t="e">
        <f ca="1" t="shared" si="16"/>
        <v>#N/A</v>
      </c>
      <c r="AB97" s="209" t="e">
        <f ca="1" t="shared" si="17"/>
        <v>#N/A</v>
      </c>
      <c r="AC97" s="209">
        <f ca="1">SUMIFS(装备强化!$Q$7:$Q$306,装备强化!$M$7:$M$306,"&lt;="&amp;MATCH(U97/6,装备强化!$U$7:$U$306,1),装备强化!$M$7:$M$306,"&gt;="&amp;MATCH(V97/6,装备强化!$U$7:$U$306,1))*6</f>
        <v>0</v>
      </c>
      <c r="AD97">
        <f ca="1" t="shared" si="22"/>
        <v>0</v>
      </c>
    </row>
    <row r="98" spans="1:30">
      <c r="A98" s="171"/>
      <c r="B98" s="80">
        <v>71</v>
      </c>
      <c r="C98" s="80">
        <f ca="1">OFFSET(产销汇总!$C$12,$B98,$C$26)</f>
        <v>144</v>
      </c>
      <c r="D98" s="80">
        <f t="shared" si="18"/>
        <v>14100</v>
      </c>
      <c r="E98" s="80">
        <f ca="1">(SUMIF(主线推图!$B$4:$B$303,"&lt;"&amp;C98,主线推图!$M$4:$M$303)+SUMIF(主线宝箱!$B$320:$B$620,"&lt;"&amp;C98,主线宝箱!$L$320:$L$620)+SUMIF(主线宝箱!$B$320:$B$620,"&lt;"&amp;C98,主线宝箱!$X$320:$X$620)+SUMIF(主线宝箱!$B$320:$B$620,"&lt;"&amp;C98,主线宝箱!$AL$320:$AL$620))</f>
        <v>254400</v>
      </c>
      <c r="F98" s="98">
        <f ca="1">SUMIF(组队产出!$B$24:$B$39,"&lt;="&amp;MAX(1,INT(C98/10-0.6)),组队产出!$R$24:$R$39)</f>
        <v>112500</v>
      </c>
      <c r="G98" s="80">
        <f ca="1">SUMIF(运营活动!$O$3:$O$27,"&lt;="&amp;C98,运营活动!$P$3:$P$27)</f>
        <v>30000</v>
      </c>
      <c r="H98" s="80">
        <f ca="1">OFFSET(产销汇总!$AM$12,B98,$C$26)*24</f>
        <v>534624</v>
      </c>
      <c r="I98" s="172">
        <f ca="1">SUMIF(金币本!$F$2:$F$52,"&lt;="&amp;C98,金币本!$D$2:$D$52)</f>
        <v>814000</v>
      </c>
      <c r="J98" s="80">
        <f ca="1">OFFSET(产销汇总!$C$1,MATCH(J$27,产销汇总!$C$2:$C$8,0),$C$26)*(_xlfn.XLOOKUP(C98,主线推图!$B$313:$B$612,主线推图!$C$313:$C$612)+_xlfn.XLOOKUP(C98,主线推图!$B$313:$B$612,主线推图!$D$313:$D$612))</f>
        <v>12452</v>
      </c>
      <c r="K98" s="80">
        <f ca="1">OFFSET(产销汇总!$C$1,MATCH(K$27,产销汇总!$C$2:$C$8,0),$C$26)*_xlfn.XLOOKUP(C98,巡逻产出!$B$311:$B$610,巡逻产出!$C$311:$C$610)*1.3</f>
        <v>0</v>
      </c>
      <c r="L98" s="80">
        <f ca="1">OFFSET(产销汇总!$C$1,MATCH(L$27,产销汇总!$C$2:$C$8,0),$C$26)*(_xlfn.XLOOKUP(MAX(1,INT(C98/10-6/10)),组队产出!$B$24:$B$39,组队产出!$D$24:$D$39))+OFFSET(产销汇总!$C$1,MATCH(L$27,产销汇总!$C$2:$C$8,0),$C$26)*(_xlfn.XLOOKUP(MAX(1,INT(C98/10-6/10)),组队产出!$B$24:$B$39,组队产出!$C$24:$C$39))</f>
        <v>6696</v>
      </c>
      <c r="M98" s="80">
        <f ca="1">(OFFSET(产销汇总!$C$1,MATCH(M$27,产销汇总!$C$2:$C$8,0),$C$26)*_xlfn.XLOOKUP(C98,巡逻产出!$B$311:$B$610,巡逻产出!$D$311:$D$610))*$M$24</f>
        <v>8829.6</v>
      </c>
      <c r="N98" s="80">
        <f ca="1">OFFSET(产销汇总!$C$1,MATCH(L$27,产销汇总!$C$2:$C$8,0),$C$26)*(_xlfn.XLOOKUP(MAX(1,INT(C98/10-6/10)),组队产出!$B$24:$B$39,组队产出!$S$24:$S$39))</f>
        <v>18438</v>
      </c>
      <c r="O98" s="172">
        <f>任务!$D$36</f>
        <v>2457.14285714286</v>
      </c>
      <c r="P98" s="98">
        <f t="shared" si="13"/>
        <v>428</v>
      </c>
      <c r="Q98" s="80">
        <f t="shared" si="19"/>
        <v>1500</v>
      </c>
      <c r="R98" s="172">
        <f t="shared" si="20"/>
        <v>2000</v>
      </c>
      <c r="S98" s="210">
        <f ca="1">IFERROR(OFFSET(金币本!$E$2,MATCH(C98,金币本!$F$3:$F$302,1),0)*IF($C$26=1,2,3),0)</f>
        <v>30000</v>
      </c>
      <c r="T98" s="172" t="e">
        <f ca="1">SUM($J$28:S98)+SUM(D98:I98)</f>
        <v>#N/A</v>
      </c>
      <c r="U98" s="172" t="e">
        <f ca="1" t="shared" si="14"/>
        <v>#N/A</v>
      </c>
      <c r="V98" s="98" t="e">
        <f ca="1" t="shared" si="15"/>
        <v>#N/A</v>
      </c>
      <c r="W98" s="98" t="e">
        <f ca="1">OFFSET(装备强化!$U$6,MATCH(图纸产出设计!V99/6*W$26,装备强化!$T$7:$T$306,1),0)*6</f>
        <v>#N/A</v>
      </c>
      <c r="X98" s="98">
        <v>334660</v>
      </c>
      <c r="Y98" s="98">
        <f t="shared" si="21"/>
        <v>2160000</v>
      </c>
      <c r="Z98" s="98">
        <f t="shared" si="12"/>
        <v>2</v>
      </c>
      <c r="AA98" s="147" t="e">
        <f ca="1" t="shared" si="16"/>
        <v>#N/A</v>
      </c>
      <c r="AB98" s="209" t="e">
        <f ca="1" t="shared" si="17"/>
        <v>#N/A</v>
      </c>
      <c r="AC98" s="209">
        <f ca="1">SUMIFS(装备强化!$Q$7:$Q$306,装备强化!$M$7:$M$306,"&lt;="&amp;MATCH(U98/6,装备强化!$U$7:$U$306,1),装备强化!$M$7:$M$306,"&gt;="&amp;MATCH(V98/6,装备强化!$U$7:$U$306,1))*6</f>
        <v>0</v>
      </c>
      <c r="AD98">
        <f ca="1" t="shared" si="22"/>
        <v>0</v>
      </c>
    </row>
    <row r="99" spans="1:30">
      <c r="A99" s="171"/>
      <c r="B99" s="80">
        <v>72</v>
      </c>
      <c r="C99" s="80">
        <f ca="1">OFFSET(产销汇总!$C$12,$B99,$C$26)</f>
        <v>145</v>
      </c>
      <c r="D99" s="80">
        <f t="shared" si="18"/>
        <v>14100</v>
      </c>
      <c r="E99" s="80">
        <f ca="1">(SUMIF(主线推图!$B$4:$B$303,"&lt;"&amp;C99,主线推图!$M$4:$M$303)+SUMIF(主线宝箱!$B$320:$B$620,"&lt;"&amp;C99,主线宝箱!$L$320:$L$620)+SUMIF(主线宝箱!$B$320:$B$620,"&lt;"&amp;C99,主线宝箱!$X$320:$X$620)+SUMIF(主线宝箱!$B$320:$B$620,"&lt;"&amp;C99,主线宝箱!$AL$320:$AL$620))</f>
        <v>256200</v>
      </c>
      <c r="F99" s="98">
        <f ca="1">SUMIF(组队产出!$B$24:$B$39,"&lt;="&amp;MAX(1,INT(C99/10-0.6)),组队产出!$R$24:$R$39)</f>
        <v>112500</v>
      </c>
      <c r="G99" s="80">
        <f ca="1">SUMIF(运营活动!$O$3:$O$27,"&lt;="&amp;C99,运营活动!$P$3:$P$27)</f>
        <v>30000</v>
      </c>
      <c r="H99" s="80">
        <f ca="1">OFFSET(产销汇总!$AM$12,B99,$C$26)*24</f>
        <v>541872</v>
      </c>
      <c r="I99" s="172">
        <f ca="1">SUMIF(金币本!$F$2:$F$52,"&lt;="&amp;C99,金币本!$D$2:$D$52)</f>
        <v>814000</v>
      </c>
      <c r="J99" s="80">
        <f ca="1">OFFSET(产销汇总!$C$1,MATCH(J$27,产销汇总!$C$2:$C$8,0),$C$26)*(_xlfn.XLOOKUP(C99,主线推图!$B$313:$B$612,主线推图!$C$313:$C$612)+_xlfn.XLOOKUP(C99,主线推图!$B$313:$B$612,主线推图!$D$313:$D$612))</f>
        <v>12496</v>
      </c>
      <c r="K99" s="80">
        <f ca="1">OFFSET(产销汇总!$C$1,MATCH(K$27,产销汇总!$C$2:$C$8,0),$C$26)*_xlfn.XLOOKUP(C99,巡逻产出!$B$311:$B$610,巡逻产出!$C$311:$C$610)*1.3</f>
        <v>0</v>
      </c>
      <c r="L99" s="80">
        <f ca="1">OFFSET(产销汇总!$C$1,MATCH(L$27,产销汇总!$C$2:$C$8,0),$C$26)*(_xlfn.XLOOKUP(MAX(1,INT(C99/10-6/10)),组队产出!$B$24:$B$39,组队产出!$D$24:$D$39))+OFFSET(产销汇总!$C$1,MATCH(L$27,产销汇总!$C$2:$C$8,0),$C$26)*(_xlfn.XLOOKUP(MAX(1,INT(C99/10-6/10)),组队产出!$B$24:$B$39,组队产出!$C$24:$C$39))</f>
        <v>6696</v>
      </c>
      <c r="M99" s="80">
        <f ca="1">(OFFSET(产销汇总!$C$1,MATCH(M$27,产销汇总!$C$2:$C$8,0),$C$26)*_xlfn.XLOOKUP(C99,巡逻产出!$B$311:$B$610,巡逻产出!$D$311:$D$610))*$M$24</f>
        <v>8860.8</v>
      </c>
      <c r="N99" s="80">
        <f ca="1">OFFSET(产销汇总!$C$1,MATCH(L$27,产销汇总!$C$2:$C$8,0),$C$26)*(_xlfn.XLOOKUP(MAX(1,INT(C99/10-6/10)),组队产出!$B$24:$B$39,组队产出!$S$24:$S$39))</f>
        <v>18438</v>
      </c>
      <c r="O99" s="172">
        <f>任务!$D$36</f>
        <v>2457.14285714286</v>
      </c>
      <c r="P99" s="98">
        <f t="shared" si="13"/>
        <v>428</v>
      </c>
      <c r="Q99" s="80">
        <f t="shared" si="19"/>
        <v>1000</v>
      </c>
      <c r="R99" s="172">
        <f t="shared" si="20"/>
        <v>2000</v>
      </c>
      <c r="S99" s="210">
        <f ca="1">IFERROR(OFFSET(金币本!$E$2,MATCH(C99,金币本!$F$3:$F$302,1),0)*IF($C$26=1,2,3),0)</f>
        <v>30000</v>
      </c>
      <c r="T99" s="172" t="e">
        <f ca="1">SUM($J$28:S99)+SUM(D99:I99)</f>
        <v>#N/A</v>
      </c>
      <c r="U99" s="172" t="e">
        <f ca="1" t="shared" si="14"/>
        <v>#N/A</v>
      </c>
      <c r="V99" s="98" t="e">
        <f ca="1" t="shared" si="15"/>
        <v>#N/A</v>
      </c>
      <c r="W99" s="98" t="e">
        <f ca="1">OFFSET(装备强化!$U$6,MATCH(图纸产出设计!V100/6*W$26,装备强化!$T$7:$T$306,1),0)*6</f>
        <v>#N/A</v>
      </c>
      <c r="X99" s="98">
        <v>334660</v>
      </c>
      <c r="Y99" s="98">
        <f t="shared" si="21"/>
        <v>2192000</v>
      </c>
      <c r="Z99" s="98">
        <f t="shared" si="12"/>
        <v>2</v>
      </c>
      <c r="AA99" s="147" t="e">
        <f ca="1" t="shared" si="16"/>
        <v>#N/A</v>
      </c>
      <c r="AB99" s="209" t="e">
        <f ca="1" t="shared" si="17"/>
        <v>#N/A</v>
      </c>
      <c r="AC99" s="209">
        <f ca="1">SUMIFS(装备强化!$Q$7:$Q$306,装备强化!$M$7:$M$306,"&lt;="&amp;MATCH(U99/6,装备强化!$U$7:$U$306,1),装备强化!$M$7:$M$306,"&gt;="&amp;MATCH(V99/6,装备强化!$U$7:$U$306,1))*6</f>
        <v>0</v>
      </c>
      <c r="AD99">
        <f ca="1" t="shared" si="22"/>
        <v>0</v>
      </c>
    </row>
    <row r="100" spans="1:30">
      <c r="A100" s="171"/>
      <c r="B100" s="80">
        <v>73</v>
      </c>
      <c r="C100" s="80">
        <f ca="1">OFFSET(产销汇总!$C$12,$B100,$C$26)</f>
        <v>146</v>
      </c>
      <c r="D100" s="80">
        <f t="shared" si="18"/>
        <v>14100</v>
      </c>
      <c r="E100" s="80">
        <f ca="1">(SUMIF(主线推图!$B$4:$B$303,"&lt;"&amp;C100,主线推图!$M$4:$M$303)+SUMIF(主线宝箱!$B$320:$B$620,"&lt;"&amp;C100,主线宝箱!$L$320:$L$620)+SUMIF(主线宝箱!$B$320:$B$620,"&lt;"&amp;C100,主线宝箱!$X$320:$X$620)+SUMIF(主线宝箱!$B$320:$B$620,"&lt;"&amp;C100,主线宝箱!$AL$320:$AL$620))</f>
        <v>258000</v>
      </c>
      <c r="F100" s="98">
        <f ca="1">SUMIF(组队产出!$B$24:$B$39,"&lt;="&amp;MAX(1,INT(C100/10-0.6)),组队产出!$R$24:$R$39)</f>
        <v>126000</v>
      </c>
      <c r="G100" s="80">
        <f ca="1">SUMIF(运营活动!$O$3:$O$27,"&lt;="&amp;C100,运营活动!$P$3:$P$27)</f>
        <v>30000</v>
      </c>
      <c r="H100" s="80">
        <f ca="1">OFFSET(产销汇总!$AM$12,B100,$C$26)*24</f>
        <v>549120</v>
      </c>
      <c r="I100" s="172">
        <f ca="1">SUMIF(金币本!$F$2:$F$52,"&lt;="&amp;C100,金币本!$D$2:$D$52)</f>
        <v>814000</v>
      </c>
      <c r="J100" s="80">
        <f ca="1">OFFSET(产销汇总!$C$1,MATCH(J$27,产销汇总!$C$2:$C$8,0),$C$26)*(_xlfn.XLOOKUP(C100,主线推图!$B$313:$B$612,主线推图!$C$313:$C$612)+_xlfn.XLOOKUP(C100,主线推图!$B$313:$B$612,主线推图!$D$313:$D$612))</f>
        <v>12540</v>
      </c>
      <c r="K100" s="80">
        <f ca="1">OFFSET(产销汇总!$C$1,MATCH(K$27,产销汇总!$C$2:$C$8,0),$C$26)*_xlfn.XLOOKUP(C100,巡逻产出!$B$311:$B$610,巡逻产出!$C$311:$C$610)*1.3</f>
        <v>0</v>
      </c>
      <c r="L100" s="80">
        <f ca="1">OFFSET(产销汇总!$C$1,MATCH(L$27,产销汇总!$C$2:$C$8,0),$C$26)*(_xlfn.XLOOKUP(MAX(1,INT(C100/10-6/10)),组队产出!$B$24:$B$39,组队产出!$D$24:$D$39))+OFFSET(产销汇总!$C$1,MATCH(L$27,产销汇总!$C$2:$C$8,0),$C$26)*(_xlfn.XLOOKUP(MAX(1,INT(C100/10-6/10)),组队产出!$B$24:$B$39,组队产出!$C$24:$C$39))</f>
        <v>6936</v>
      </c>
      <c r="M100" s="80">
        <f ca="1">(OFFSET(产销汇总!$C$1,MATCH(M$27,产销汇总!$C$2:$C$8,0),$C$26)*_xlfn.XLOOKUP(C100,巡逻产出!$B$311:$B$610,巡逻产出!$D$311:$D$610))*$M$24</f>
        <v>8892</v>
      </c>
      <c r="N100" s="80">
        <f ca="1">OFFSET(产销汇总!$C$1,MATCH(L$27,产销汇总!$C$2:$C$8,0),$C$26)*(_xlfn.XLOOKUP(MAX(1,INT(C100/10-6/10)),组队产出!$B$24:$B$39,组队产出!$S$24:$S$39))</f>
        <v>19650</v>
      </c>
      <c r="O100" s="172">
        <f>任务!$D$36</f>
        <v>2457.14285714286</v>
      </c>
      <c r="P100" s="98">
        <f t="shared" si="13"/>
        <v>428</v>
      </c>
      <c r="Q100" s="80">
        <f t="shared" si="19"/>
        <v>1000</v>
      </c>
      <c r="R100" s="172">
        <f t="shared" si="20"/>
        <v>2000</v>
      </c>
      <c r="S100" s="210">
        <f ca="1">IFERROR(OFFSET(金币本!$E$2,MATCH(C100,金币本!$F$3:$F$302,1),0)*IF($C$26=1,2,3),0)</f>
        <v>30000</v>
      </c>
      <c r="T100" s="172" t="e">
        <f ca="1">SUM($J$28:S100)+SUM(D100:I100)</f>
        <v>#N/A</v>
      </c>
      <c r="U100" s="172" t="e">
        <f ca="1" t="shared" si="14"/>
        <v>#N/A</v>
      </c>
      <c r="V100" s="98" t="e">
        <f ca="1" t="shared" si="15"/>
        <v>#N/A</v>
      </c>
      <c r="W100" s="98" t="e">
        <f ca="1">OFFSET(装备强化!$U$6,MATCH(图纸产出设计!V101/6*W$26,装备强化!$T$7:$T$306,1),0)*6</f>
        <v>#N/A</v>
      </c>
      <c r="X100" s="98">
        <v>341540</v>
      </c>
      <c r="Y100" s="98">
        <f t="shared" si="21"/>
        <v>2224000</v>
      </c>
      <c r="Z100" s="98">
        <f t="shared" si="12"/>
        <v>2</v>
      </c>
      <c r="AA100" s="147" t="e">
        <f ca="1" t="shared" si="16"/>
        <v>#N/A</v>
      </c>
      <c r="AB100" s="209" t="e">
        <f ca="1" t="shared" si="17"/>
        <v>#N/A</v>
      </c>
      <c r="AC100" s="209">
        <f ca="1">SUMIFS(装备强化!$Q$7:$Q$306,装备强化!$M$7:$M$306,"&lt;="&amp;MATCH(U100/6,装备强化!$U$7:$U$306,1),装备强化!$M$7:$M$306,"&gt;="&amp;MATCH(V100/6,装备强化!$U$7:$U$306,1))*6</f>
        <v>0</v>
      </c>
      <c r="AD100">
        <f ca="1" t="shared" si="22"/>
        <v>0</v>
      </c>
    </row>
    <row r="101" spans="1:30">
      <c r="A101" s="171"/>
      <c r="B101" s="80">
        <v>74</v>
      </c>
      <c r="C101" s="80">
        <f ca="1">OFFSET(产销汇总!$C$12,$B101,$C$26)</f>
        <v>147</v>
      </c>
      <c r="D101" s="80">
        <f t="shared" si="18"/>
        <v>14100</v>
      </c>
      <c r="E101" s="80">
        <f ca="1">(SUMIF(主线推图!$B$4:$B$303,"&lt;"&amp;C101,主线推图!$M$4:$M$303)+SUMIF(主线宝箱!$B$320:$B$620,"&lt;"&amp;C101,主线宝箱!$L$320:$L$620)+SUMIF(主线宝箱!$B$320:$B$620,"&lt;"&amp;C101,主线宝箱!$X$320:$X$620)+SUMIF(主线宝箱!$B$320:$B$620,"&lt;"&amp;C101,主线宝箱!$AL$320:$AL$620))</f>
        <v>259800</v>
      </c>
      <c r="F101" s="98">
        <f ca="1">SUMIF(组队产出!$B$24:$B$39,"&lt;="&amp;MAX(1,INT(C101/10-0.6)),组队产出!$R$24:$R$39)</f>
        <v>126000</v>
      </c>
      <c r="G101" s="80">
        <f ca="1">SUMIF(运营活动!$O$3:$O$27,"&lt;="&amp;C101,运营活动!$P$3:$P$27)</f>
        <v>30000</v>
      </c>
      <c r="H101" s="80">
        <f ca="1">OFFSET(产销汇总!$AM$12,B101,$C$26)*24</f>
        <v>556368</v>
      </c>
      <c r="I101" s="172">
        <f ca="1">SUMIF(金币本!$F$2:$F$52,"&lt;="&amp;C101,金币本!$D$2:$D$52)</f>
        <v>855000</v>
      </c>
      <c r="J101" s="80">
        <f ca="1">OFFSET(产销汇总!$C$1,MATCH(J$27,产销汇总!$C$2:$C$8,0),$C$26)*(_xlfn.XLOOKUP(C101,主线推图!$B$313:$B$612,主线推图!$C$313:$C$612)+_xlfn.XLOOKUP(C101,主线推图!$B$313:$B$612,主线推图!$D$313:$D$612))</f>
        <v>12584</v>
      </c>
      <c r="K101" s="80">
        <f ca="1">OFFSET(产销汇总!$C$1,MATCH(K$27,产销汇总!$C$2:$C$8,0),$C$26)*_xlfn.XLOOKUP(C101,巡逻产出!$B$311:$B$610,巡逻产出!$C$311:$C$610)*1.3</f>
        <v>0</v>
      </c>
      <c r="L101" s="80">
        <f ca="1">OFFSET(产销汇总!$C$1,MATCH(L$27,产销汇总!$C$2:$C$8,0),$C$26)*(_xlfn.XLOOKUP(MAX(1,INT(C101/10-6/10)),组队产出!$B$24:$B$39,组队产出!$D$24:$D$39))+OFFSET(产销汇总!$C$1,MATCH(L$27,产销汇总!$C$2:$C$8,0),$C$26)*(_xlfn.XLOOKUP(MAX(1,INT(C101/10-6/10)),组队产出!$B$24:$B$39,组队产出!$C$24:$C$39))</f>
        <v>6936</v>
      </c>
      <c r="M101" s="80">
        <f ca="1">(OFFSET(产销汇总!$C$1,MATCH(M$27,产销汇总!$C$2:$C$8,0),$C$26)*_xlfn.XLOOKUP(C101,巡逻产出!$B$311:$B$610,巡逻产出!$D$311:$D$610))*$M$24</f>
        <v>8923.2</v>
      </c>
      <c r="N101" s="80">
        <f ca="1">OFFSET(产销汇总!$C$1,MATCH(L$27,产销汇总!$C$2:$C$8,0),$C$26)*(_xlfn.XLOOKUP(MAX(1,INT(C101/10-6/10)),组队产出!$B$24:$B$39,组队产出!$S$24:$S$39))</f>
        <v>19650</v>
      </c>
      <c r="O101" s="172">
        <f>任务!$D$36</f>
        <v>2457.14285714286</v>
      </c>
      <c r="P101" s="98">
        <f t="shared" si="13"/>
        <v>428</v>
      </c>
      <c r="Q101" s="80">
        <f t="shared" si="19"/>
        <v>1000</v>
      </c>
      <c r="R101" s="172">
        <f t="shared" si="20"/>
        <v>2000</v>
      </c>
      <c r="S101" s="210">
        <f ca="1">IFERROR(OFFSET(金币本!$E$2,MATCH(C101,金币本!$F$3:$F$302,1),0)*IF($C$26=1,2,3),0)</f>
        <v>30750</v>
      </c>
      <c r="T101" s="172" t="e">
        <f ca="1">SUM($J$28:S101)+SUM(D101:I101)</f>
        <v>#N/A</v>
      </c>
      <c r="U101" s="172" t="e">
        <f ca="1" t="shared" si="14"/>
        <v>#N/A</v>
      </c>
      <c r="V101" s="98" t="e">
        <f ca="1" t="shared" si="15"/>
        <v>#N/A</v>
      </c>
      <c r="W101" s="98" t="e">
        <f ca="1">OFFSET(装备强化!$U$6,MATCH(图纸产出设计!V102/6*W$26,装备强化!$T$7:$T$306,1),0)*6</f>
        <v>#N/A</v>
      </c>
      <c r="X101" s="98">
        <v>348490</v>
      </c>
      <c r="Y101" s="98">
        <f t="shared" si="21"/>
        <v>2256000</v>
      </c>
      <c r="Z101" s="98">
        <f t="shared" ref="Z101:Z164" si="23">Z100</f>
        <v>2</v>
      </c>
      <c r="AA101" s="147" t="e">
        <f ca="1" t="shared" si="16"/>
        <v>#N/A</v>
      </c>
      <c r="AB101" s="209" t="e">
        <f ca="1" t="shared" si="17"/>
        <v>#N/A</v>
      </c>
      <c r="AC101" s="209">
        <f ca="1">SUMIFS(装备强化!$Q$7:$Q$306,装备强化!$M$7:$M$306,"&lt;="&amp;MATCH(U101/6,装备强化!$U$7:$U$306,1),装备强化!$M$7:$M$306,"&gt;="&amp;MATCH(V101/6,装备强化!$U$7:$U$306,1))*6</f>
        <v>0</v>
      </c>
      <c r="AD101">
        <f ca="1" t="shared" si="22"/>
        <v>0</v>
      </c>
    </row>
    <row r="102" spans="1:30">
      <c r="A102" s="171"/>
      <c r="B102" s="80">
        <v>75</v>
      </c>
      <c r="C102" s="80">
        <f ca="1">OFFSET(产销汇总!$C$12,$B102,$C$26)</f>
        <v>148</v>
      </c>
      <c r="D102" s="80">
        <f t="shared" si="18"/>
        <v>14100</v>
      </c>
      <c r="E102" s="80">
        <f ca="1">(SUMIF(主线推图!$B$4:$B$303,"&lt;"&amp;C102,主线推图!$M$4:$M$303)+SUMIF(主线宝箱!$B$320:$B$620,"&lt;"&amp;C102,主线宝箱!$L$320:$L$620)+SUMIF(主线宝箱!$B$320:$B$620,"&lt;"&amp;C102,主线宝箱!$X$320:$X$620)+SUMIF(主线宝箱!$B$320:$B$620,"&lt;"&amp;C102,主线宝箱!$AL$320:$AL$620))</f>
        <v>261600</v>
      </c>
      <c r="F102" s="98">
        <f ca="1">SUMIF(组队产出!$B$24:$B$39,"&lt;="&amp;MAX(1,INT(C102/10-0.6)),组队产出!$R$24:$R$39)</f>
        <v>126000</v>
      </c>
      <c r="G102" s="80">
        <f ca="1">SUMIF(运营活动!$O$3:$O$27,"&lt;="&amp;C102,运营活动!$P$3:$P$27)</f>
        <v>30000</v>
      </c>
      <c r="H102" s="80">
        <f ca="1">OFFSET(产销汇总!$AM$12,B102,$C$26)*24</f>
        <v>563616</v>
      </c>
      <c r="I102" s="172">
        <f ca="1">SUMIF(金币本!$F$2:$F$52,"&lt;="&amp;C102,金币本!$D$2:$D$52)</f>
        <v>855000</v>
      </c>
      <c r="J102" s="80">
        <f ca="1">OFFSET(产销汇总!$C$1,MATCH(J$27,产销汇总!$C$2:$C$8,0),$C$26)*(_xlfn.XLOOKUP(C102,主线推图!$B$313:$B$612,主线推图!$C$313:$C$612)+_xlfn.XLOOKUP(C102,主线推图!$B$313:$B$612,主线推图!$D$313:$D$612))</f>
        <v>12628</v>
      </c>
      <c r="K102" s="80">
        <f ca="1">OFFSET(产销汇总!$C$1,MATCH(K$27,产销汇总!$C$2:$C$8,0),$C$26)*_xlfn.XLOOKUP(C102,巡逻产出!$B$311:$B$610,巡逻产出!$C$311:$C$610)*1.3</f>
        <v>0</v>
      </c>
      <c r="L102" s="80">
        <f ca="1">OFFSET(产销汇总!$C$1,MATCH(L$27,产销汇总!$C$2:$C$8,0),$C$26)*(_xlfn.XLOOKUP(MAX(1,INT(C102/10-6/10)),组队产出!$B$24:$B$39,组队产出!$D$24:$D$39))+OFFSET(产销汇总!$C$1,MATCH(L$27,产销汇总!$C$2:$C$8,0),$C$26)*(_xlfn.XLOOKUP(MAX(1,INT(C102/10-6/10)),组队产出!$B$24:$B$39,组队产出!$C$24:$C$39))</f>
        <v>6936</v>
      </c>
      <c r="M102" s="80">
        <f ca="1">(OFFSET(产销汇总!$C$1,MATCH(M$27,产销汇总!$C$2:$C$8,0),$C$26)*_xlfn.XLOOKUP(C102,巡逻产出!$B$311:$B$610,巡逻产出!$D$311:$D$610))*$M$24</f>
        <v>8954.4</v>
      </c>
      <c r="N102" s="80">
        <f ca="1">OFFSET(产销汇总!$C$1,MATCH(L$27,产销汇总!$C$2:$C$8,0),$C$26)*(_xlfn.XLOOKUP(MAX(1,INT(C102/10-6/10)),组队产出!$B$24:$B$39,组队产出!$S$24:$S$39))</f>
        <v>19650</v>
      </c>
      <c r="O102" s="172">
        <f>任务!$D$36</f>
        <v>2457.14285714286</v>
      </c>
      <c r="P102" s="98">
        <f t="shared" si="13"/>
        <v>428</v>
      </c>
      <c r="Q102" s="80">
        <f t="shared" si="19"/>
        <v>1000</v>
      </c>
      <c r="R102" s="172">
        <f t="shared" si="20"/>
        <v>2000</v>
      </c>
      <c r="S102" s="210">
        <f ca="1">IFERROR(OFFSET(金币本!$E$2,MATCH(C102,金币本!$F$3:$F$302,1),0)*IF($C$26=1,2,3),0)</f>
        <v>30750</v>
      </c>
      <c r="T102" s="172" t="e">
        <f ca="1">SUM($J$28:S102)+SUM(D102:I102)</f>
        <v>#N/A</v>
      </c>
      <c r="U102" s="172" t="e">
        <f ca="1" t="shared" si="14"/>
        <v>#N/A</v>
      </c>
      <c r="V102" s="98" t="e">
        <f ca="1" t="shared" si="15"/>
        <v>#N/A</v>
      </c>
      <c r="W102" s="98" t="e">
        <f ca="1">OFFSET(装备强化!$U$6,MATCH(图纸产出设计!V103/6*W$26,装备强化!$T$7:$T$306,1),0)*6</f>
        <v>#N/A</v>
      </c>
      <c r="X102" s="98">
        <v>348490</v>
      </c>
      <c r="Y102" s="98">
        <f t="shared" si="21"/>
        <v>2288000</v>
      </c>
      <c r="Z102" s="98">
        <f t="shared" si="23"/>
        <v>2</v>
      </c>
      <c r="AA102" s="147" t="e">
        <f ca="1" t="shared" si="16"/>
        <v>#N/A</v>
      </c>
      <c r="AB102" s="209" t="e">
        <f ca="1" t="shared" si="17"/>
        <v>#N/A</v>
      </c>
      <c r="AC102" s="209">
        <f ca="1">SUMIFS(装备强化!$Q$7:$Q$306,装备强化!$M$7:$M$306,"&lt;="&amp;MATCH(U102/6,装备强化!$U$7:$U$306,1),装备强化!$M$7:$M$306,"&gt;="&amp;MATCH(V102/6,装备强化!$U$7:$U$306,1))*6</f>
        <v>0</v>
      </c>
      <c r="AD102">
        <f ca="1" t="shared" si="22"/>
        <v>0</v>
      </c>
    </row>
    <row r="103" spans="1:30">
      <c r="A103" s="171"/>
      <c r="B103" s="80">
        <v>76</v>
      </c>
      <c r="C103" s="80">
        <f ca="1">OFFSET(产销汇总!$C$12,$B103,$C$26)</f>
        <v>149</v>
      </c>
      <c r="D103" s="80">
        <f t="shared" si="18"/>
        <v>14100</v>
      </c>
      <c r="E103" s="80">
        <f ca="1">(SUMIF(主线推图!$B$4:$B$303,"&lt;"&amp;C103,主线推图!$M$4:$M$303)+SUMIF(主线宝箱!$B$320:$B$620,"&lt;"&amp;C103,主线宝箱!$L$320:$L$620)+SUMIF(主线宝箱!$B$320:$B$620,"&lt;"&amp;C103,主线宝箱!$X$320:$X$620)+SUMIF(主线宝箱!$B$320:$B$620,"&lt;"&amp;C103,主线宝箱!$AL$320:$AL$620))</f>
        <v>263400</v>
      </c>
      <c r="F103" s="98">
        <f ca="1">SUMIF(组队产出!$B$24:$B$39,"&lt;="&amp;MAX(1,INT(C103/10-0.6)),组队产出!$R$24:$R$39)</f>
        <v>126000</v>
      </c>
      <c r="G103" s="80">
        <f ca="1">SUMIF(运营活动!$O$3:$O$27,"&lt;="&amp;C103,运营活动!$P$3:$P$27)</f>
        <v>30000</v>
      </c>
      <c r="H103" s="80">
        <f ca="1">OFFSET(产销汇总!$AM$12,B103,$C$26)*24</f>
        <v>570864</v>
      </c>
      <c r="I103" s="172">
        <f ca="1">SUMIF(金币本!$F$2:$F$52,"&lt;="&amp;C103,金币本!$D$2:$D$52)</f>
        <v>855000</v>
      </c>
      <c r="J103" s="80">
        <f ca="1">OFFSET(产销汇总!$C$1,MATCH(J$27,产销汇总!$C$2:$C$8,0),$C$26)*(_xlfn.XLOOKUP(C103,主线推图!$B$313:$B$612,主线推图!$C$313:$C$612)+_xlfn.XLOOKUP(C103,主线推图!$B$313:$B$612,主线推图!$D$313:$D$612))</f>
        <v>12672</v>
      </c>
      <c r="K103" s="80">
        <f ca="1">OFFSET(产销汇总!$C$1,MATCH(K$27,产销汇总!$C$2:$C$8,0),$C$26)*_xlfn.XLOOKUP(C103,巡逻产出!$B$311:$B$610,巡逻产出!$C$311:$C$610)*1.3</f>
        <v>0</v>
      </c>
      <c r="L103" s="80">
        <f ca="1">OFFSET(产销汇总!$C$1,MATCH(L$27,产销汇总!$C$2:$C$8,0),$C$26)*(_xlfn.XLOOKUP(MAX(1,INT(C103/10-6/10)),组队产出!$B$24:$B$39,组队产出!$D$24:$D$39))+OFFSET(产销汇总!$C$1,MATCH(L$27,产销汇总!$C$2:$C$8,0),$C$26)*(_xlfn.XLOOKUP(MAX(1,INT(C103/10-6/10)),组队产出!$B$24:$B$39,组队产出!$C$24:$C$39))</f>
        <v>6936</v>
      </c>
      <c r="M103" s="80">
        <f ca="1">(OFFSET(产销汇总!$C$1,MATCH(M$27,产销汇总!$C$2:$C$8,0),$C$26)*_xlfn.XLOOKUP(C103,巡逻产出!$B$311:$B$610,巡逻产出!$D$311:$D$610))*$M$24</f>
        <v>8985.6</v>
      </c>
      <c r="N103" s="80">
        <f ca="1">OFFSET(产销汇总!$C$1,MATCH(L$27,产销汇总!$C$2:$C$8,0),$C$26)*(_xlfn.XLOOKUP(MAX(1,INT(C103/10-6/10)),组队产出!$B$24:$B$39,组队产出!$S$24:$S$39))</f>
        <v>19650</v>
      </c>
      <c r="O103" s="172">
        <f>任务!$D$36</f>
        <v>2457.14285714286</v>
      </c>
      <c r="P103" s="98">
        <f t="shared" si="13"/>
        <v>428</v>
      </c>
      <c r="Q103" s="80">
        <f t="shared" si="19"/>
        <v>1000</v>
      </c>
      <c r="R103" s="172">
        <f t="shared" si="20"/>
        <v>2000</v>
      </c>
      <c r="S103" s="210">
        <f ca="1">IFERROR(OFFSET(金币本!$E$2,MATCH(C103,金币本!$F$3:$F$302,1),0)*IF($C$26=1,2,3),0)</f>
        <v>30750</v>
      </c>
      <c r="T103" s="172" t="e">
        <f ca="1">SUM($J$28:S103)+SUM(D103:I103)</f>
        <v>#N/A</v>
      </c>
      <c r="U103" s="172" t="e">
        <f ca="1" t="shared" si="14"/>
        <v>#N/A</v>
      </c>
      <c r="V103" s="98" t="e">
        <f ca="1" t="shared" si="15"/>
        <v>#N/A</v>
      </c>
      <c r="W103" s="98" t="e">
        <f ca="1">OFFSET(装备强化!$U$6,MATCH(图纸产出设计!V104/6*W$26,装备强化!$T$7:$T$306,1),0)*6</f>
        <v>#N/A</v>
      </c>
      <c r="X103" s="98">
        <v>355510</v>
      </c>
      <c r="Y103" s="98">
        <f t="shared" si="21"/>
        <v>2320000</v>
      </c>
      <c r="Z103" s="98">
        <f t="shared" si="23"/>
        <v>2</v>
      </c>
      <c r="AA103" s="147" t="e">
        <f ca="1" t="shared" si="16"/>
        <v>#N/A</v>
      </c>
      <c r="AB103" s="209" t="e">
        <f ca="1" t="shared" si="17"/>
        <v>#N/A</v>
      </c>
      <c r="AC103" s="209">
        <f ca="1">SUMIFS(装备强化!$Q$7:$Q$306,装备强化!$M$7:$M$306,"&lt;="&amp;MATCH(U103/6,装备强化!$U$7:$U$306,1),装备强化!$M$7:$M$306,"&gt;="&amp;MATCH(V103/6,装备强化!$U$7:$U$306,1))*6</f>
        <v>0</v>
      </c>
      <c r="AD103">
        <f ca="1" t="shared" si="22"/>
        <v>0</v>
      </c>
    </row>
    <row r="104" spans="1:30">
      <c r="A104" s="171"/>
      <c r="B104" s="80">
        <v>77</v>
      </c>
      <c r="C104" s="80">
        <f ca="1">OFFSET(产销汇总!$C$12,$B104,$C$26)</f>
        <v>150</v>
      </c>
      <c r="D104" s="80">
        <f t="shared" si="18"/>
        <v>14100</v>
      </c>
      <c r="E104" s="80">
        <f ca="1">(SUMIF(主线推图!$B$4:$B$303,"&lt;"&amp;C104,主线推图!$M$4:$M$303)+SUMIF(主线宝箱!$B$320:$B$620,"&lt;"&amp;C104,主线宝箱!$L$320:$L$620)+SUMIF(主线宝箱!$B$320:$B$620,"&lt;"&amp;C104,主线宝箱!$X$320:$X$620)+SUMIF(主线宝箱!$B$320:$B$620,"&lt;"&amp;C104,主线宝箱!$AL$320:$AL$620))</f>
        <v>265200</v>
      </c>
      <c r="F104" s="98">
        <f ca="1">SUMIF(组队产出!$B$24:$B$39,"&lt;="&amp;MAX(1,INT(C104/10-0.6)),组队产出!$R$24:$R$39)</f>
        <v>126000</v>
      </c>
      <c r="G104" s="80">
        <f ca="1">SUMIF(运营活动!$O$3:$O$27,"&lt;="&amp;C104,运营活动!$P$3:$P$27)</f>
        <v>30000</v>
      </c>
      <c r="H104" s="80">
        <f ca="1">OFFSET(产销汇总!$AM$12,B104,$C$26)*24</f>
        <v>578112</v>
      </c>
      <c r="I104" s="172">
        <f ca="1">SUMIF(金币本!$F$2:$F$52,"&lt;="&amp;C104,金币本!$D$2:$D$52)</f>
        <v>855000</v>
      </c>
      <c r="J104" s="80">
        <f ca="1">OFFSET(产销汇总!$C$1,MATCH(J$27,产销汇总!$C$2:$C$8,0),$C$26)*(_xlfn.XLOOKUP(C104,主线推图!$B$313:$B$612,主线推图!$C$313:$C$612)+_xlfn.XLOOKUP(C104,主线推图!$B$313:$B$612,主线推图!$D$313:$D$612))</f>
        <v>12716</v>
      </c>
      <c r="K104" s="80">
        <f ca="1">OFFSET(产销汇总!$C$1,MATCH(K$27,产销汇总!$C$2:$C$8,0),$C$26)*_xlfn.XLOOKUP(C104,巡逻产出!$B$311:$B$610,巡逻产出!$C$311:$C$610)*1.3</f>
        <v>0</v>
      </c>
      <c r="L104" s="80">
        <f ca="1">OFFSET(产销汇总!$C$1,MATCH(L$27,产销汇总!$C$2:$C$8,0),$C$26)*(_xlfn.XLOOKUP(MAX(1,INT(C104/10-6/10)),组队产出!$B$24:$B$39,组队产出!$D$24:$D$39))+OFFSET(产销汇总!$C$1,MATCH(L$27,产销汇总!$C$2:$C$8,0),$C$26)*(_xlfn.XLOOKUP(MAX(1,INT(C104/10-6/10)),组队产出!$B$24:$B$39,组队产出!$C$24:$C$39))</f>
        <v>6936</v>
      </c>
      <c r="M104" s="80">
        <f ca="1">(OFFSET(产销汇总!$C$1,MATCH(M$27,产销汇总!$C$2:$C$8,0),$C$26)*_xlfn.XLOOKUP(C104,巡逻产出!$B$311:$B$610,巡逻产出!$D$311:$D$610))*$M$24</f>
        <v>9016.8</v>
      </c>
      <c r="N104" s="80">
        <f ca="1">OFFSET(产销汇总!$C$1,MATCH(L$27,产销汇总!$C$2:$C$8,0),$C$26)*(_xlfn.XLOOKUP(MAX(1,INT(C104/10-6/10)),组队产出!$B$24:$B$39,组队产出!$S$24:$S$39))</f>
        <v>19650</v>
      </c>
      <c r="O104" s="172">
        <f>任务!$D$36</f>
        <v>2457.14285714286</v>
      </c>
      <c r="P104" s="98">
        <f t="shared" si="13"/>
        <v>428</v>
      </c>
      <c r="Q104" s="80">
        <f t="shared" si="19"/>
        <v>1000</v>
      </c>
      <c r="R104" s="172">
        <f t="shared" si="20"/>
        <v>2000</v>
      </c>
      <c r="S104" s="210">
        <f ca="1">IFERROR(OFFSET(金币本!$E$2,MATCH(C104,金币本!$F$3:$F$302,1),0)*IF($C$26=1,2,3),0)</f>
        <v>30750</v>
      </c>
      <c r="T104" s="172" t="e">
        <f ca="1">SUM($J$28:S104)+SUM(D104:I104)</f>
        <v>#N/A</v>
      </c>
      <c r="U104" s="172" t="e">
        <f ca="1" t="shared" si="14"/>
        <v>#N/A</v>
      </c>
      <c r="V104" s="98" t="e">
        <f ca="1" t="shared" si="15"/>
        <v>#N/A</v>
      </c>
      <c r="W104" s="98" t="e">
        <f ca="1">OFFSET(装备强化!$U$6,MATCH(图纸产出设计!V105/6*W$26,装备强化!$T$7:$T$306,1),0)*6</f>
        <v>#N/A</v>
      </c>
      <c r="X104" s="98">
        <v>355510</v>
      </c>
      <c r="Y104" s="98">
        <f t="shared" si="21"/>
        <v>2352000</v>
      </c>
      <c r="Z104" s="98">
        <f t="shared" si="23"/>
        <v>2</v>
      </c>
      <c r="AA104" s="147" t="e">
        <f ca="1" t="shared" si="16"/>
        <v>#N/A</v>
      </c>
      <c r="AB104" s="209" t="e">
        <f ca="1" t="shared" si="17"/>
        <v>#N/A</v>
      </c>
      <c r="AC104" s="209">
        <f ca="1">SUMIFS(装备强化!$Q$7:$Q$306,装备强化!$M$7:$M$306,"&lt;="&amp;MATCH(U104/6,装备强化!$U$7:$U$306,1),装备强化!$M$7:$M$306,"&gt;="&amp;MATCH(V104/6,装备强化!$U$7:$U$306,1))*6</f>
        <v>0</v>
      </c>
      <c r="AD104">
        <f ca="1" t="shared" si="22"/>
        <v>0</v>
      </c>
    </row>
    <row r="105" spans="1:30">
      <c r="A105" s="171"/>
      <c r="B105" s="80">
        <v>78</v>
      </c>
      <c r="C105" s="80">
        <f ca="1">OFFSET(产销汇总!$C$12,$B105,$C$26)</f>
        <v>151</v>
      </c>
      <c r="D105" s="80">
        <f t="shared" si="18"/>
        <v>14100</v>
      </c>
      <c r="E105" s="80">
        <f ca="1">(SUMIF(主线推图!$B$4:$B$303,"&lt;"&amp;C105,主线推图!$M$4:$M$303)+SUMIF(主线宝箱!$B$320:$B$620,"&lt;"&amp;C105,主线宝箱!$L$320:$L$620)+SUMIF(主线宝箱!$B$320:$B$620,"&lt;"&amp;C105,主线宝箱!$X$320:$X$620)+SUMIF(主线宝箱!$B$320:$B$620,"&lt;"&amp;C105,主线宝箱!$AL$320:$AL$620))</f>
        <v>267000</v>
      </c>
      <c r="F105" s="98">
        <f ca="1">SUMIF(组队产出!$B$24:$B$39,"&lt;="&amp;MAX(1,INT(C105/10-0.6)),组队产出!$R$24:$R$39)</f>
        <v>126000</v>
      </c>
      <c r="G105" s="80">
        <f ca="1">SUMIF(运营活动!$O$3:$O$27,"&lt;="&amp;C105,运营活动!$P$3:$P$27)</f>
        <v>30000</v>
      </c>
      <c r="H105" s="80">
        <f ca="1">OFFSET(产销汇总!$AM$12,B105,$C$26)*24</f>
        <v>585360</v>
      </c>
      <c r="I105" s="172">
        <f ca="1">SUMIF(金币本!$F$2:$F$52,"&lt;="&amp;C105,金币本!$D$2:$D$52)</f>
        <v>897000</v>
      </c>
      <c r="J105" s="80">
        <f ca="1">OFFSET(产销汇总!$C$1,MATCH(J$27,产销汇总!$C$2:$C$8,0),$C$26)*(_xlfn.XLOOKUP(C105,主线推图!$B$313:$B$612,主线推图!$C$313:$C$612)+_xlfn.XLOOKUP(C105,主线推图!$B$313:$B$612,主线推图!$D$313:$D$612))</f>
        <v>12760</v>
      </c>
      <c r="K105" s="80">
        <f ca="1">OFFSET(产销汇总!$C$1,MATCH(K$27,产销汇总!$C$2:$C$8,0),$C$26)*_xlfn.XLOOKUP(C105,巡逻产出!$B$311:$B$610,巡逻产出!$C$311:$C$610)*1.3</f>
        <v>0</v>
      </c>
      <c r="L105" s="80">
        <f ca="1">OFFSET(产销汇总!$C$1,MATCH(L$27,产销汇总!$C$2:$C$8,0),$C$26)*(_xlfn.XLOOKUP(MAX(1,INT(C105/10-6/10)),组队产出!$B$24:$B$39,组队产出!$D$24:$D$39))+OFFSET(产销汇总!$C$1,MATCH(L$27,产销汇总!$C$2:$C$8,0),$C$26)*(_xlfn.XLOOKUP(MAX(1,INT(C105/10-6/10)),组队产出!$B$24:$B$39,组队产出!$C$24:$C$39))</f>
        <v>6936</v>
      </c>
      <c r="M105" s="80">
        <f ca="1">(OFFSET(产销汇总!$C$1,MATCH(M$27,产销汇总!$C$2:$C$8,0),$C$26)*_xlfn.XLOOKUP(C105,巡逻产出!$B$311:$B$610,巡逻产出!$D$311:$D$610))*$M$24</f>
        <v>9048</v>
      </c>
      <c r="N105" s="80">
        <f ca="1">OFFSET(产销汇总!$C$1,MATCH(L$27,产销汇总!$C$2:$C$8,0),$C$26)*(_xlfn.XLOOKUP(MAX(1,INT(C105/10-6/10)),组队产出!$B$24:$B$39,组队产出!$S$24:$S$39))</f>
        <v>19650</v>
      </c>
      <c r="O105" s="172">
        <f>任务!$D$36</f>
        <v>2457.14285714286</v>
      </c>
      <c r="P105" s="98">
        <f t="shared" si="13"/>
        <v>428</v>
      </c>
      <c r="Q105" s="80">
        <f t="shared" si="19"/>
        <v>1500</v>
      </c>
      <c r="R105" s="172">
        <f t="shared" si="20"/>
        <v>2000</v>
      </c>
      <c r="S105" s="210">
        <f ca="1">IFERROR(OFFSET(金币本!$E$2,MATCH(C105,金币本!$F$3:$F$302,1),0)*IF($C$26=1,2,3),0)</f>
        <v>31500</v>
      </c>
      <c r="T105" s="172" t="e">
        <f ca="1">SUM($J$28:S105)+SUM(D105:I105)</f>
        <v>#N/A</v>
      </c>
      <c r="U105" s="172" t="e">
        <f ca="1" t="shared" si="14"/>
        <v>#N/A</v>
      </c>
      <c r="V105" s="98" t="e">
        <f ca="1" t="shared" si="15"/>
        <v>#N/A</v>
      </c>
      <c r="W105" s="98" t="e">
        <f ca="1">OFFSET(装备强化!$U$6,MATCH(图纸产出设计!V106/6*W$26,装备强化!$T$7:$T$306,1),0)*6</f>
        <v>#N/A</v>
      </c>
      <c r="X105" s="98">
        <v>362600</v>
      </c>
      <c r="Y105" s="98">
        <f t="shared" si="21"/>
        <v>2384000</v>
      </c>
      <c r="Z105" s="98">
        <f t="shared" si="23"/>
        <v>2</v>
      </c>
      <c r="AA105" s="147" t="e">
        <f ca="1" t="shared" si="16"/>
        <v>#N/A</v>
      </c>
      <c r="AB105" s="209" t="e">
        <f ca="1" t="shared" si="17"/>
        <v>#N/A</v>
      </c>
      <c r="AC105" s="209">
        <f ca="1">SUMIFS(装备强化!$Q$7:$Q$306,装备强化!$M$7:$M$306,"&lt;="&amp;MATCH(U105/6,装备强化!$U$7:$U$306,1),装备强化!$M$7:$M$306,"&gt;="&amp;MATCH(V105/6,装备强化!$U$7:$U$306,1))*6</f>
        <v>0</v>
      </c>
      <c r="AD105">
        <f ca="1" t="shared" si="22"/>
        <v>0</v>
      </c>
    </row>
    <row r="106" spans="1:30">
      <c r="A106" s="171"/>
      <c r="B106" s="80">
        <v>79</v>
      </c>
      <c r="C106" s="80">
        <f ca="1">OFFSET(产销汇总!$C$12,$B106,$C$26)</f>
        <v>152</v>
      </c>
      <c r="D106" s="80">
        <f t="shared" si="18"/>
        <v>14100</v>
      </c>
      <c r="E106" s="80">
        <f ca="1">(SUMIF(主线推图!$B$4:$B$303,"&lt;"&amp;C106,主线推图!$M$4:$M$303)+SUMIF(主线宝箱!$B$320:$B$620,"&lt;"&amp;C106,主线宝箱!$L$320:$L$620)+SUMIF(主线宝箱!$B$320:$B$620,"&lt;"&amp;C106,主线宝箱!$X$320:$X$620)+SUMIF(主线宝箱!$B$320:$B$620,"&lt;"&amp;C106,主线宝箱!$AL$320:$AL$620))</f>
        <v>268800</v>
      </c>
      <c r="F106" s="98">
        <f ca="1">SUMIF(组队产出!$B$24:$B$39,"&lt;="&amp;MAX(1,INT(C106/10-0.6)),组队产出!$R$24:$R$39)</f>
        <v>126000</v>
      </c>
      <c r="G106" s="80">
        <f ca="1">SUMIF(运营活动!$O$3:$O$27,"&lt;="&amp;C106,运营活动!$P$3:$P$27)</f>
        <v>30000</v>
      </c>
      <c r="H106" s="80">
        <f ca="1">OFFSET(产销汇总!$AM$12,B106,$C$26)*24</f>
        <v>592608</v>
      </c>
      <c r="I106" s="172">
        <f ca="1">SUMIF(金币本!$F$2:$F$52,"&lt;="&amp;C106,金币本!$D$2:$D$52)</f>
        <v>897000</v>
      </c>
      <c r="J106" s="80">
        <f ca="1">OFFSET(产销汇总!$C$1,MATCH(J$27,产销汇总!$C$2:$C$8,0),$C$26)*(_xlfn.XLOOKUP(C106,主线推图!$B$313:$B$612,主线推图!$C$313:$C$612)+_xlfn.XLOOKUP(C106,主线推图!$B$313:$B$612,主线推图!$D$313:$D$612))</f>
        <v>12804</v>
      </c>
      <c r="K106" s="80">
        <f ca="1">OFFSET(产销汇总!$C$1,MATCH(K$27,产销汇总!$C$2:$C$8,0),$C$26)*_xlfn.XLOOKUP(C106,巡逻产出!$B$311:$B$610,巡逻产出!$C$311:$C$610)*1.3</f>
        <v>0</v>
      </c>
      <c r="L106" s="80">
        <f ca="1">OFFSET(产销汇总!$C$1,MATCH(L$27,产销汇总!$C$2:$C$8,0),$C$26)*(_xlfn.XLOOKUP(MAX(1,INT(C106/10-6/10)),组队产出!$B$24:$B$39,组队产出!$D$24:$D$39))+OFFSET(产销汇总!$C$1,MATCH(L$27,产销汇总!$C$2:$C$8,0),$C$26)*(_xlfn.XLOOKUP(MAX(1,INT(C106/10-6/10)),组队产出!$B$24:$B$39,组队产出!$C$24:$C$39))</f>
        <v>6936</v>
      </c>
      <c r="M106" s="80">
        <f ca="1">(OFFSET(产销汇总!$C$1,MATCH(M$27,产销汇总!$C$2:$C$8,0),$C$26)*_xlfn.XLOOKUP(C106,巡逻产出!$B$311:$B$610,巡逻产出!$D$311:$D$610))*$M$24</f>
        <v>9079.2</v>
      </c>
      <c r="N106" s="80">
        <f ca="1">OFFSET(产销汇总!$C$1,MATCH(L$27,产销汇总!$C$2:$C$8,0),$C$26)*(_xlfn.XLOOKUP(MAX(1,INT(C106/10-6/10)),组队产出!$B$24:$B$39,组队产出!$S$24:$S$39))</f>
        <v>19650</v>
      </c>
      <c r="O106" s="172">
        <f>任务!$D$36</f>
        <v>2457.14285714286</v>
      </c>
      <c r="P106" s="98">
        <f t="shared" si="13"/>
        <v>428</v>
      </c>
      <c r="Q106" s="80">
        <f t="shared" si="19"/>
        <v>1000</v>
      </c>
      <c r="R106" s="172">
        <f t="shared" si="20"/>
        <v>2000</v>
      </c>
      <c r="S106" s="210">
        <f ca="1">IFERROR(OFFSET(金币本!$E$2,MATCH(C106,金币本!$F$3:$F$302,1),0)*IF($C$26=1,2,3),0)</f>
        <v>31500</v>
      </c>
      <c r="T106" s="172" t="e">
        <f ca="1">SUM($J$28:S106)+SUM(D106:I106)</f>
        <v>#N/A</v>
      </c>
      <c r="U106" s="172" t="e">
        <f ca="1" t="shared" si="14"/>
        <v>#N/A</v>
      </c>
      <c r="V106" s="98" t="e">
        <f ca="1" t="shared" si="15"/>
        <v>#N/A</v>
      </c>
      <c r="W106" s="98" t="e">
        <f ca="1">OFFSET(装备强化!$U$6,MATCH(图纸产出设计!V107/6*W$26,装备强化!$T$7:$T$306,1),0)*6</f>
        <v>#N/A</v>
      </c>
      <c r="X106" s="98">
        <v>362600</v>
      </c>
      <c r="Y106" s="98">
        <f t="shared" si="21"/>
        <v>2416000</v>
      </c>
      <c r="Z106" s="98">
        <f t="shared" si="23"/>
        <v>2</v>
      </c>
      <c r="AA106" s="147" t="e">
        <f ca="1" t="shared" si="16"/>
        <v>#N/A</v>
      </c>
      <c r="AB106" s="209" t="e">
        <f ca="1" t="shared" si="17"/>
        <v>#N/A</v>
      </c>
      <c r="AC106" s="209">
        <f ca="1">SUMIFS(装备强化!$Q$7:$Q$306,装备强化!$M$7:$M$306,"&lt;="&amp;MATCH(U106/6,装备强化!$U$7:$U$306,1),装备强化!$M$7:$M$306,"&gt;="&amp;MATCH(V106/6,装备强化!$U$7:$U$306,1))*6</f>
        <v>0</v>
      </c>
      <c r="AD106">
        <f ca="1" t="shared" si="22"/>
        <v>0</v>
      </c>
    </row>
    <row r="107" spans="1:30">
      <c r="A107" s="171"/>
      <c r="B107" s="80">
        <v>80</v>
      </c>
      <c r="C107" s="80">
        <f ca="1">OFFSET(产销汇总!$C$12,$B107,$C$26)</f>
        <v>153</v>
      </c>
      <c r="D107" s="80">
        <f t="shared" si="18"/>
        <v>14100</v>
      </c>
      <c r="E107" s="80">
        <f ca="1">(SUMIF(主线推图!$B$4:$B$303,"&lt;"&amp;C107,主线推图!$M$4:$M$303)+SUMIF(主线宝箱!$B$320:$B$620,"&lt;"&amp;C107,主线宝箱!$L$320:$L$620)+SUMIF(主线宝箱!$B$320:$B$620,"&lt;"&amp;C107,主线宝箱!$X$320:$X$620)+SUMIF(主线宝箱!$B$320:$B$620,"&lt;"&amp;C107,主线宝箱!$AL$320:$AL$620))</f>
        <v>270600</v>
      </c>
      <c r="F107" s="98">
        <f ca="1">SUMIF(组队产出!$B$24:$B$39,"&lt;="&amp;MAX(1,INT(C107/10-0.6)),组队产出!$R$24:$R$39)</f>
        <v>126000</v>
      </c>
      <c r="G107" s="80">
        <f ca="1">SUMIF(运营活动!$O$3:$O$27,"&lt;="&amp;C107,运营活动!$P$3:$P$27)</f>
        <v>30000</v>
      </c>
      <c r="H107" s="80">
        <f ca="1">OFFSET(产销汇总!$AM$12,B107,$C$26)*24</f>
        <v>599856</v>
      </c>
      <c r="I107" s="172">
        <f ca="1">SUMIF(金币本!$F$2:$F$52,"&lt;="&amp;C107,金币本!$D$2:$D$52)</f>
        <v>897000</v>
      </c>
      <c r="J107" s="80">
        <f ca="1">OFFSET(产销汇总!$C$1,MATCH(J$27,产销汇总!$C$2:$C$8,0),$C$26)*(_xlfn.XLOOKUP(C107,主线推图!$B$313:$B$612,主线推图!$C$313:$C$612)+_xlfn.XLOOKUP(C107,主线推图!$B$313:$B$612,主线推图!$D$313:$D$612))</f>
        <v>12848</v>
      </c>
      <c r="K107" s="80">
        <f ca="1">OFFSET(产销汇总!$C$1,MATCH(K$27,产销汇总!$C$2:$C$8,0),$C$26)*_xlfn.XLOOKUP(C107,巡逻产出!$B$311:$B$610,巡逻产出!$C$311:$C$610)*1.3</f>
        <v>0</v>
      </c>
      <c r="L107" s="80">
        <f ca="1">OFFSET(产销汇总!$C$1,MATCH(L$27,产销汇总!$C$2:$C$8,0),$C$26)*(_xlfn.XLOOKUP(MAX(1,INT(C107/10-6/10)),组队产出!$B$24:$B$39,组队产出!$D$24:$D$39))+OFFSET(产销汇总!$C$1,MATCH(L$27,产销汇总!$C$2:$C$8,0),$C$26)*(_xlfn.XLOOKUP(MAX(1,INT(C107/10-6/10)),组队产出!$B$24:$B$39,组队产出!$C$24:$C$39))</f>
        <v>6936</v>
      </c>
      <c r="M107" s="80">
        <f ca="1">(OFFSET(产销汇总!$C$1,MATCH(M$27,产销汇总!$C$2:$C$8,0),$C$26)*_xlfn.XLOOKUP(C107,巡逻产出!$B$311:$B$610,巡逻产出!$D$311:$D$610))*$M$24</f>
        <v>9110.4</v>
      </c>
      <c r="N107" s="80">
        <f ca="1">OFFSET(产销汇总!$C$1,MATCH(L$27,产销汇总!$C$2:$C$8,0),$C$26)*(_xlfn.XLOOKUP(MAX(1,INT(C107/10-6/10)),组队产出!$B$24:$B$39,组队产出!$S$24:$S$39))</f>
        <v>19650</v>
      </c>
      <c r="O107" s="172">
        <f>任务!$D$36</f>
        <v>2457.14285714286</v>
      </c>
      <c r="P107" s="98">
        <f t="shared" si="13"/>
        <v>428</v>
      </c>
      <c r="Q107" s="80">
        <f t="shared" si="19"/>
        <v>1000</v>
      </c>
      <c r="R107" s="172">
        <f t="shared" si="20"/>
        <v>2000</v>
      </c>
      <c r="S107" s="210">
        <f ca="1">IFERROR(OFFSET(金币本!$E$2,MATCH(C107,金币本!$F$3:$F$302,1),0)*IF($C$26=1,2,3),0)</f>
        <v>31500</v>
      </c>
      <c r="T107" s="172" t="e">
        <f ca="1">SUM($J$28:S107)+SUM(D107:I107)</f>
        <v>#N/A</v>
      </c>
      <c r="U107" s="172" t="e">
        <f ca="1" t="shared" si="14"/>
        <v>#N/A</v>
      </c>
      <c r="V107" s="98" t="e">
        <f ca="1" t="shared" si="15"/>
        <v>#N/A</v>
      </c>
      <c r="W107" s="98" t="e">
        <f ca="1">OFFSET(装备强化!$U$6,MATCH(图纸产出设计!V108/6*W$26,装备强化!$T$7:$T$306,1),0)*6</f>
        <v>#N/A</v>
      </c>
      <c r="X107" s="98">
        <v>369760</v>
      </c>
      <c r="Y107" s="98">
        <f t="shared" si="21"/>
        <v>2448000</v>
      </c>
      <c r="Z107" s="98">
        <f t="shared" si="23"/>
        <v>2</v>
      </c>
      <c r="AA107" s="147" t="e">
        <f ca="1" t="shared" si="16"/>
        <v>#N/A</v>
      </c>
      <c r="AB107" s="209" t="e">
        <f ca="1" t="shared" si="17"/>
        <v>#N/A</v>
      </c>
      <c r="AC107" s="209">
        <f ca="1">SUMIFS(装备强化!$Q$7:$Q$306,装备强化!$M$7:$M$306,"&lt;="&amp;MATCH(U107/6,装备强化!$U$7:$U$306,1),装备强化!$M$7:$M$306,"&gt;="&amp;MATCH(V107/6,装备强化!$U$7:$U$306,1))*6</f>
        <v>0</v>
      </c>
      <c r="AD107">
        <f ca="1" t="shared" si="22"/>
        <v>0</v>
      </c>
    </row>
    <row r="108" spans="1:30">
      <c r="A108" s="171"/>
      <c r="B108" s="80">
        <v>81</v>
      </c>
      <c r="C108" s="80">
        <f ca="1">OFFSET(产销汇总!$C$12,$B108,$C$26)</f>
        <v>154</v>
      </c>
      <c r="D108" s="80">
        <f t="shared" si="18"/>
        <v>14100</v>
      </c>
      <c r="E108" s="80">
        <f ca="1">(SUMIF(主线推图!$B$4:$B$303,"&lt;"&amp;C108,主线推图!$M$4:$M$303)+SUMIF(主线宝箱!$B$320:$B$620,"&lt;"&amp;C108,主线宝箱!$L$320:$L$620)+SUMIF(主线宝箱!$B$320:$B$620,"&lt;"&amp;C108,主线宝箱!$X$320:$X$620)+SUMIF(主线宝箱!$B$320:$B$620,"&lt;"&amp;C108,主线宝箱!$AL$320:$AL$620))</f>
        <v>272400</v>
      </c>
      <c r="F108" s="98">
        <f ca="1">SUMIF(组队产出!$B$24:$B$39,"&lt;="&amp;MAX(1,INT(C108/10-0.6)),组队产出!$R$24:$R$39)</f>
        <v>126000</v>
      </c>
      <c r="G108" s="80">
        <f ca="1">SUMIF(运营活动!$O$3:$O$27,"&lt;="&amp;C108,运营活动!$P$3:$P$27)</f>
        <v>30000</v>
      </c>
      <c r="H108" s="80">
        <f ca="1">OFFSET(产销汇总!$AM$12,B108,$C$26)*24</f>
        <v>607104</v>
      </c>
      <c r="I108" s="172">
        <f ca="1">SUMIF(金币本!$F$2:$F$52,"&lt;="&amp;C108,金币本!$D$2:$D$52)</f>
        <v>897000</v>
      </c>
      <c r="J108" s="80">
        <f ca="1">OFFSET(产销汇总!$C$1,MATCH(J$27,产销汇总!$C$2:$C$8,0),$C$26)*(_xlfn.XLOOKUP(C108,主线推图!$B$313:$B$612,主线推图!$C$313:$C$612)+_xlfn.XLOOKUP(C108,主线推图!$B$313:$B$612,主线推图!$D$313:$D$612))</f>
        <v>12892</v>
      </c>
      <c r="K108" s="80">
        <f ca="1">OFFSET(产销汇总!$C$1,MATCH(K$27,产销汇总!$C$2:$C$8,0),$C$26)*_xlfn.XLOOKUP(C108,巡逻产出!$B$311:$B$610,巡逻产出!$C$311:$C$610)*1.3</f>
        <v>0</v>
      </c>
      <c r="L108" s="80">
        <f ca="1">OFFSET(产销汇总!$C$1,MATCH(L$27,产销汇总!$C$2:$C$8,0),$C$26)*(_xlfn.XLOOKUP(MAX(1,INT(C108/10-6/10)),组队产出!$B$24:$B$39,组队产出!$D$24:$D$39))+OFFSET(产销汇总!$C$1,MATCH(L$27,产销汇总!$C$2:$C$8,0),$C$26)*(_xlfn.XLOOKUP(MAX(1,INT(C108/10-6/10)),组队产出!$B$24:$B$39,组队产出!$C$24:$C$39))</f>
        <v>6936</v>
      </c>
      <c r="M108" s="80">
        <f ca="1">(OFFSET(产销汇总!$C$1,MATCH(M$27,产销汇总!$C$2:$C$8,0),$C$26)*_xlfn.XLOOKUP(C108,巡逻产出!$B$311:$B$610,巡逻产出!$D$311:$D$610))*$M$24</f>
        <v>9141.6</v>
      </c>
      <c r="N108" s="80">
        <f ca="1">OFFSET(产销汇总!$C$1,MATCH(L$27,产销汇总!$C$2:$C$8,0),$C$26)*(_xlfn.XLOOKUP(MAX(1,INT(C108/10-6/10)),组队产出!$B$24:$B$39,组队产出!$S$24:$S$39))</f>
        <v>19650</v>
      </c>
      <c r="O108" s="172">
        <f>任务!$D$36</f>
        <v>2457.14285714286</v>
      </c>
      <c r="P108" s="98">
        <f t="shared" si="13"/>
        <v>428</v>
      </c>
      <c r="Q108" s="80">
        <f t="shared" si="19"/>
        <v>1000</v>
      </c>
      <c r="R108" s="172">
        <f t="shared" si="20"/>
        <v>2000</v>
      </c>
      <c r="S108" s="210">
        <f ca="1">IFERROR(OFFSET(金币本!$E$2,MATCH(C108,金币本!$F$3:$F$302,1),0)*IF($C$26=1,2,3),0)</f>
        <v>31500</v>
      </c>
      <c r="T108" s="172" t="e">
        <f ca="1">SUM($J$28:S108)+SUM(D108:I108)</f>
        <v>#N/A</v>
      </c>
      <c r="U108" s="172" t="e">
        <f ca="1" t="shared" si="14"/>
        <v>#N/A</v>
      </c>
      <c r="V108" s="98" t="e">
        <f ca="1" t="shared" si="15"/>
        <v>#N/A</v>
      </c>
      <c r="W108" s="98" t="e">
        <f ca="1">OFFSET(装备强化!$U$6,MATCH(图纸产出设计!V109/6*W$26,装备强化!$T$7:$T$306,1),0)*6</f>
        <v>#N/A</v>
      </c>
      <c r="X108" s="98">
        <v>376990</v>
      </c>
      <c r="Y108" s="98">
        <f t="shared" si="21"/>
        <v>2480000</v>
      </c>
      <c r="Z108" s="98">
        <f t="shared" si="23"/>
        <v>2</v>
      </c>
      <c r="AA108" s="147" t="e">
        <f ca="1" t="shared" si="16"/>
        <v>#N/A</v>
      </c>
      <c r="AB108" s="209" t="e">
        <f ca="1" t="shared" si="17"/>
        <v>#N/A</v>
      </c>
      <c r="AC108" s="209">
        <f ca="1">SUMIFS(装备强化!$Q$7:$Q$306,装备强化!$M$7:$M$306,"&lt;="&amp;MATCH(U108/6,装备强化!$U$7:$U$306,1),装备强化!$M$7:$M$306,"&gt;="&amp;MATCH(V108/6,装备强化!$U$7:$U$306,1))*6</f>
        <v>0</v>
      </c>
      <c r="AD108">
        <f ca="1" t="shared" si="22"/>
        <v>0</v>
      </c>
    </row>
    <row r="109" spans="1:30">
      <c r="A109" s="171"/>
      <c r="B109" s="80">
        <v>82</v>
      </c>
      <c r="C109" s="80">
        <f ca="1">OFFSET(产销汇总!$C$12,$B109,$C$26)</f>
        <v>155</v>
      </c>
      <c r="D109" s="80">
        <f t="shared" si="18"/>
        <v>14100</v>
      </c>
      <c r="E109" s="80">
        <f ca="1">(SUMIF(主线推图!$B$4:$B$303,"&lt;"&amp;C109,主线推图!$M$4:$M$303)+SUMIF(主线宝箱!$B$320:$B$620,"&lt;"&amp;C109,主线宝箱!$L$320:$L$620)+SUMIF(主线宝箱!$B$320:$B$620,"&lt;"&amp;C109,主线宝箱!$X$320:$X$620)+SUMIF(主线宝箱!$B$320:$B$620,"&lt;"&amp;C109,主线宝箱!$AL$320:$AL$620))</f>
        <v>274200</v>
      </c>
      <c r="F109" s="98">
        <f ca="1">SUMIF(组队产出!$B$24:$B$39,"&lt;="&amp;MAX(1,INT(C109/10-0.6)),组队产出!$R$24:$R$39)</f>
        <v>126000</v>
      </c>
      <c r="G109" s="80">
        <f ca="1">SUMIF(运营活动!$O$3:$O$27,"&lt;="&amp;C109,运营活动!$P$3:$P$27)</f>
        <v>30000</v>
      </c>
      <c r="H109" s="80">
        <f ca="1">OFFSET(产销汇总!$AM$12,B109,$C$26)*24</f>
        <v>614352</v>
      </c>
      <c r="I109" s="172">
        <f ca="1">SUMIF(金币本!$F$2:$F$52,"&lt;="&amp;C109,金币本!$D$2:$D$52)</f>
        <v>940000</v>
      </c>
      <c r="J109" s="80">
        <f ca="1">OFFSET(产销汇总!$C$1,MATCH(J$27,产销汇总!$C$2:$C$8,0),$C$26)*(_xlfn.XLOOKUP(C109,主线推图!$B$313:$B$612,主线推图!$C$313:$C$612)+_xlfn.XLOOKUP(C109,主线推图!$B$313:$B$612,主线推图!$D$313:$D$612))</f>
        <v>12936</v>
      </c>
      <c r="K109" s="80">
        <f ca="1">OFFSET(产销汇总!$C$1,MATCH(K$27,产销汇总!$C$2:$C$8,0),$C$26)*_xlfn.XLOOKUP(C109,巡逻产出!$B$311:$B$610,巡逻产出!$C$311:$C$610)*1.3</f>
        <v>0</v>
      </c>
      <c r="L109" s="80">
        <f ca="1">OFFSET(产销汇总!$C$1,MATCH(L$27,产销汇总!$C$2:$C$8,0),$C$26)*(_xlfn.XLOOKUP(MAX(1,INT(C109/10-6/10)),组队产出!$B$24:$B$39,组队产出!$D$24:$D$39))+OFFSET(产销汇总!$C$1,MATCH(L$27,产销汇总!$C$2:$C$8,0),$C$26)*(_xlfn.XLOOKUP(MAX(1,INT(C109/10-6/10)),组队产出!$B$24:$B$39,组队产出!$C$24:$C$39))</f>
        <v>6936</v>
      </c>
      <c r="M109" s="80">
        <f ca="1">(OFFSET(产销汇总!$C$1,MATCH(M$27,产销汇总!$C$2:$C$8,0),$C$26)*_xlfn.XLOOKUP(C109,巡逻产出!$B$311:$B$610,巡逻产出!$D$311:$D$610))*$M$24</f>
        <v>9172.8</v>
      </c>
      <c r="N109" s="80">
        <f ca="1">OFFSET(产销汇总!$C$1,MATCH(L$27,产销汇总!$C$2:$C$8,0),$C$26)*(_xlfn.XLOOKUP(MAX(1,INT(C109/10-6/10)),组队产出!$B$24:$B$39,组队产出!$S$24:$S$39))</f>
        <v>19650</v>
      </c>
      <c r="O109" s="172">
        <f>任务!$D$36</f>
        <v>2457.14285714286</v>
      </c>
      <c r="P109" s="98">
        <f t="shared" si="13"/>
        <v>428</v>
      </c>
      <c r="Q109" s="80">
        <f t="shared" si="19"/>
        <v>1000</v>
      </c>
      <c r="R109" s="172">
        <f t="shared" si="20"/>
        <v>2000</v>
      </c>
      <c r="S109" s="210">
        <f ca="1">IFERROR(OFFSET(金币本!$E$2,MATCH(C109,金币本!$F$3:$F$302,1),0)*IF($C$26=1,2,3),0)</f>
        <v>32250</v>
      </c>
      <c r="T109" s="172" t="e">
        <f ca="1">SUM($J$28:S109)+SUM(D109:I109)</f>
        <v>#N/A</v>
      </c>
      <c r="U109" s="172" t="e">
        <f ca="1" t="shared" si="14"/>
        <v>#N/A</v>
      </c>
      <c r="V109" s="98" t="e">
        <f ca="1" t="shared" si="15"/>
        <v>#N/A</v>
      </c>
      <c r="W109" s="98" t="e">
        <f ca="1">OFFSET(装备强化!$U$6,MATCH(图纸产出设计!V110/6*W$26,装备强化!$T$7:$T$306,1),0)*6</f>
        <v>#N/A</v>
      </c>
      <c r="X109" s="98">
        <v>376990</v>
      </c>
      <c r="Y109" s="98">
        <f t="shared" si="21"/>
        <v>2512000</v>
      </c>
      <c r="Z109" s="98">
        <f t="shared" si="23"/>
        <v>2</v>
      </c>
      <c r="AA109" s="147" t="e">
        <f ca="1" t="shared" si="16"/>
        <v>#N/A</v>
      </c>
      <c r="AB109" s="209" t="e">
        <f ca="1" t="shared" si="17"/>
        <v>#N/A</v>
      </c>
      <c r="AC109" s="209">
        <f ca="1">SUMIFS(装备强化!$Q$7:$Q$306,装备强化!$M$7:$M$306,"&lt;="&amp;MATCH(U109/6,装备强化!$U$7:$U$306,1),装备强化!$M$7:$M$306,"&gt;="&amp;MATCH(V109/6,装备强化!$U$7:$U$306,1))*6</f>
        <v>0</v>
      </c>
      <c r="AD109">
        <f ca="1" t="shared" si="22"/>
        <v>0</v>
      </c>
    </row>
    <row r="110" spans="1:30">
      <c r="A110" s="171"/>
      <c r="B110" s="80">
        <v>83</v>
      </c>
      <c r="C110" s="80">
        <f ca="1">OFFSET(产销汇总!$C$12,$B110,$C$26)</f>
        <v>156</v>
      </c>
      <c r="D110" s="80">
        <f t="shared" si="18"/>
        <v>14100</v>
      </c>
      <c r="E110" s="80">
        <f ca="1">(SUMIF(主线推图!$B$4:$B$303,"&lt;"&amp;C110,主线推图!$M$4:$M$303)+SUMIF(主线宝箱!$B$320:$B$620,"&lt;"&amp;C110,主线宝箱!$L$320:$L$620)+SUMIF(主线宝箱!$B$320:$B$620,"&lt;"&amp;C110,主线宝箱!$X$320:$X$620)+SUMIF(主线宝箱!$B$320:$B$620,"&lt;"&amp;C110,主线宝箱!$AL$320:$AL$620))</f>
        <v>276000</v>
      </c>
      <c r="F110" s="98">
        <f ca="1">SUMIF(组队产出!$B$24:$B$39,"&lt;="&amp;MAX(1,INT(C110/10-0.6)),组队产出!$R$24:$R$39)</f>
        <v>141000</v>
      </c>
      <c r="G110" s="80">
        <f ca="1">SUMIF(运营活动!$O$3:$O$27,"&lt;="&amp;C110,运营活动!$P$3:$P$27)</f>
        <v>30000</v>
      </c>
      <c r="H110" s="80">
        <f ca="1">OFFSET(产销汇总!$AM$12,B110,$C$26)*24</f>
        <v>621600</v>
      </c>
      <c r="I110" s="172">
        <f ca="1">SUMIF(金币本!$F$2:$F$52,"&lt;="&amp;C110,金币本!$D$2:$D$52)</f>
        <v>940000</v>
      </c>
      <c r="J110" s="80">
        <f ca="1">OFFSET(产销汇总!$C$1,MATCH(J$27,产销汇总!$C$2:$C$8,0),$C$26)*(_xlfn.XLOOKUP(C110,主线推图!$B$313:$B$612,主线推图!$C$313:$C$612)+_xlfn.XLOOKUP(C110,主线推图!$B$313:$B$612,主线推图!$D$313:$D$612))</f>
        <v>12980</v>
      </c>
      <c r="K110" s="80">
        <f ca="1">OFFSET(产销汇总!$C$1,MATCH(K$27,产销汇总!$C$2:$C$8,0),$C$26)*_xlfn.XLOOKUP(C110,巡逻产出!$B$311:$B$610,巡逻产出!$C$311:$C$610)*1.3</f>
        <v>0</v>
      </c>
      <c r="L110" s="80">
        <f ca="1">OFFSET(产销汇总!$C$1,MATCH(L$27,产销汇总!$C$2:$C$8,0),$C$26)*(_xlfn.XLOOKUP(MAX(1,INT(C110/10-6/10)),组队产出!$B$24:$B$39,组队产出!$D$24:$D$39))+OFFSET(产销汇总!$C$1,MATCH(L$27,产销汇总!$C$2:$C$8,0),$C$26)*(_xlfn.XLOOKUP(MAX(1,INT(C110/10-6/10)),组队产出!$B$24:$B$39,组队产出!$C$24:$C$39))</f>
        <v>7176</v>
      </c>
      <c r="M110" s="80">
        <f ca="1">(OFFSET(产销汇总!$C$1,MATCH(M$27,产销汇总!$C$2:$C$8,0),$C$26)*_xlfn.XLOOKUP(C110,巡逻产出!$B$311:$B$610,巡逻产出!$D$311:$D$610))*$M$24</f>
        <v>9204</v>
      </c>
      <c r="N110" s="80">
        <f ca="1">OFFSET(产销汇总!$C$1,MATCH(L$27,产销汇总!$C$2:$C$8,0),$C$26)*(_xlfn.XLOOKUP(MAX(1,INT(C110/10-6/10)),组队产出!$B$24:$B$39,组队产出!$S$24:$S$39))</f>
        <v>20892</v>
      </c>
      <c r="O110" s="172">
        <f>任务!$D$36</f>
        <v>2457.14285714286</v>
      </c>
      <c r="P110" s="98">
        <f t="shared" si="13"/>
        <v>428</v>
      </c>
      <c r="Q110" s="80">
        <f t="shared" si="19"/>
        <v>1000</v>
      </c>
      <c r="R110" s="172">
        <f t="shared" si="20"/>
        <v>2000</v>
      </c>
      <c r="S110" s="210">
        <f ca="1">IFERROR(OFFSET(金币本!$E$2,MATCH(C110,金币本!$F$3:$F$302,1),0)*IF($C$26=1,2,3),0)</f>
        <v>32250</v>
      </c>
      <c r="T110" s="172" t="e">
        <f ca="1">SUM($J$28:S110)+SUM(D110:I110)</f>
        <v>#N/A</v>
      </c>
      <c r="U110" s="172" t="e">
        <f ca="1" t="shared" si="14"/>
        <v>#N/A</v>
      </c>
      <c r="V110" s="98" t="e">
        <f ca="1" t="shared" si="15"/>
        <v>#N/A</v>
      </c>
      <c r="W110" s="98" t="e">
        <f ca="1">OFFSET(装备强化!$U$6,MATCH(图纸产出设计!V111/6*W$26,装备强化!$T$7:$T$306,1),0)*6</f>
        <v>#N/A</v>
      </c>
      <c r="X110" s="98">
        <v>384290</v>
      </c>
      <c r="Y110" s="98">
        <f t="shared" si="21"/>
        <v>2544000</v>
      </c>
      <c r="Z110" s="98">
        <f t="shared" si="23"/>
        <v>2</v>
      </c>
      <c r="AA110" s="147" t="e">
        <f ca="1" t="shared" si="16"/>
        <v>#N/A</v>
      </c>
      <c r="AB110" s="209" t="e">
        <f ca="1" t="shared" si="17"/>
        <v>#N/A</v>
      </c>
      <c r="AC110" s="209">
        <f ca="1">SUMIFS(装备强化!$Q$7:$Q$306,装备强化!$M$7:$M$306,"&lt;="&amp;MATCH(U110/6,装备强化!$U$7:$U$306,1),装备强化!$M$7:$M$306,"&gt;="&amp;MATCH(V110/6,装备强化!$U$7:$U$306,1))*6</f>
        <v>0</v>
      </c>
      <c r="AD110">
        <f ca="1" t="shared" si="22"/>
        <v>0</v>
      </c>
    </row>
    <row r="111" spans="1:30">
      <c r="A111" s="171"/>
      <c r="B111" s="80">
        <v>84</v>
      </c>
      <c r="C111" s="80">
        <f ca="1">OFFSET(产销汇总!$C$12,$B111,$C$26)</f>
        <v>157</v>
      </c>
      <c r="D111" s="80">
        <f t="shared" si="18"/>
        <v>14100</v>
      </c>
      <c r="E111" s="80">
        <f ca="1">(SUMIF(主线推图!$B$4:$B$303,"&lt;"&amp;C111,主线推图!$M$4:$M$303)+SUMIF(主线宝箱!$B$320:$B$620,"&lt;"&amp;C111,主线宝箱!$L$320:$L$620)+SUMIF(主线宝箱!$B$320:$B$620,"&lt;"&amp;C111,主线宝箱!$X$320:$X$620)+SUMIF(主线宝箱!$B$320:$B$620,"&lt;"&amp;C111,主线宝箱!$AL$320:$AL$620))</f>
        <v>277800</v>
      </c>
      <c r="F111" s="98">
        <f ca="1">SUMIF(组队产出!$B$24:$B$39,"&lt;="&amp;MAX(1,INT(C111/10-0.6)),组队产出!$R$24:$R$39)</f>
        <v>141000</v>
      </c>
      <c r="G111" s="80">
        <f ca="1">SUMIF(运营活动!$O$3:$O$27,"&lt;="&amp;C111,运营活动!$P$3:$P$27)</f>
        <v>30000</v>
      </c>
      <c r="H111" s="80">
        <f ca="1">OFFSET(产销汇总!$AM$12,B111,$C$26)*24</f>
        <v>628848</v>
      </c>
      <c r="I111" s="172">
        <f ca="1">SUMIF(金币本!$F$2:$F$52,"&lt;="&amp;C111,金币本!$D$2:$D$52)</f>
        <v>940000</v>
      </c>
      <c r="J111" s="80">
        <f ca="1">OFFSET(产销汇总!$C$1,MATCH(J$27,产销汇总!$C$2:$C$8,0),$C$26)*(_xlfn.XLOOKUP(C111,主线推图!$B$313:$B$612,主线推图!$C$313:$C$612)+_xlfn.XLOOKUP(C111,主线推图!$B$313:$B$612,主线推图!$D$313:$D$612))</f>
        <v>13024</v>
      </c>
      <c r="K111" s="80">
        <f ca="1">OFFSET(产销汇总!$C$1,MATCH(K$27,产销汇总!$C$2:$C$8,0),$C$26)*_xlfn.XLOOKUP(C111,巡逻产出!$B$311:$B$610,巡逻产出!$C$311:$C$610)*1.3</f>
        <v>0</v>
      </c>
      <c r="L111" s="80">
        <f ca="1">OFFSET(产销汇总!$C$1,MATCH(L$27,产销汇总!$C$2:$C$8,0),$C$26)*(_xlfn.XLOOKUP(MAX(1,INT(C111/10-6/10)),组队产出!$B$24:$B$39,组队产出!$D$24:$D$39))+OFFSET(产销汇总!$C$1,MATCH(L$27,产销汇总!$C$2:$C$8,0),$C$26)*(_xlfn.XLOOKUP(MAX(1,INT(C111/10-6/10)),组队产出!$B$24:$B$39,组队产出!$C$24:$C$39))</f>
        <v>7176</v>
      </c>
      <c r="M111" s="80">
        <f ca="1">(OFFSET(产销汇总!$C$1,MATCH(M$27,产销汇总!$C$2:$C$8,0),$C$26)*_xlfn.XLOOKUP(C111,巡逻产出!$B$311:$B$610,巡逻产出!$D$311:$D$610))*$M$24</f>
        <v>9235.2</v>
      </c>
      <c r="N111" s="80">
        <f ca="1">OFFSET(产销汇总!$C$1,MATCH(L$27,产销汇总!$C$2:$C$8,0),$C$26)*(_xlfn.XLOOKUP(MAX(1,INT(C111/10-6/10)),组队产出!$B$24:$B$39,组队产出!$S$24:$S$39))</f>
        <v>20892</v>
      </c>
      <c r="O111" s="172">
        <f>任务!$D$36</f>
        <v>2457.14285714286</v>
      </c>
      <c r="P111" s="98">
        <f t="shared" si="13"/>
        <v>428</v>
      </c>
      <c r="Q111" s="80">
        <f t="shared" si="19"/>
        <v>1000</v>
      </c>
      <c r="R111" s="172">
        <f t="shared" si="20"/>
        <v>2000</v>
      </c>
      <c r="S111" s="210">
        <f ca="1">IFERROR(OFFSET(金币本!$E$2,MATCH(C111,金币本!$F$3:$F$302,1),0)*IF($C$26=1,2,3),0)</f>
        <v>32250</v>
      </c>
      <c r="T111" s="172" t="e">
        <f ca="1">SUM($J$28:S111)+SUM(D111:I111)</f>
        <v>#N/A</v>
      </c>
      <c r="U111" s="172" t="e">
        <f ca="1" t="shared" si="14"/>
        <v>#N/A</v>
      </c>
      <c r="V111" s="98" t="e">
        <f ca="1" t="shared" si="15"/>
        <v>#N/A</v>
      </c>
      <c r="W111" s="98" t="e">
        <f ca="1">OFFSET(装备强化!$U$6,MATCH(图纸产出设计!V112/6*W$26,装备强化!$T$7:$T$306,1),0)*6</f>
        <v>#N/A</v>
      </c>
      <c r="X111" s="98">
        <v>384290</v>
      </c>
      <c r="Y111" s="98">
        <f t="shared" si="21"/>
        <v>2576000</v>
      </c>
      <c r="Z111" s="98">
        <f t="shared" si="23"/>
        <v>2</v>
      </c>
      <c r="AA111" s="147" t="e">
        <f ca="1" t="shared" si="16"/>
        <v>#N/A</v>
      </c>
      <c r="AB111" s="209" t="e">
        <f ca="1" t="shared" si="17"/>
        <v>#N/A</v>
      </c>
      <c r="AC111" s="209">
        <f ca="1">SUMIFS(装备强化!$Q$7:$Q$306,装备强化!$M$7:$M$306,"&lt;="&amp;MATCH(U111/6,装备强化!$U$7:$U$306,1),装备强化!$M$7:$M$306,"&gt;="&amp;MATCH(V111/6,装备强化!$U$7:$U$306,1))*6</f>
        <v>0</v>
      </c>
      <c r="AD111">
        <f ca="1" t="shared" si="22"/>
        <v>0</v>
      </c>
    </row>
    <row r="112" spans="1:30">
      <c r="A112" s="171"/>
      <c r="B112" s="80">
        <v>85</v>
      </c>
      <c r="C112" s="80">
        <f ca="1">OFFSET(产销汇总!$C$12,$B112,$C$26)</f>
        <v>158</v>
      </c>
      <c r="D112" s="80">
        <f t="shared" si="18"/>
        <v>14100</v>
      </c>
      <c r="E112" s="80">
        <f ca="1">(SUMIF(主线推图!$B$4:$B$303,"&lt;"&amp;C112,主线推图!$M$4:$M$303)+SUMIF(主线宝箱!$B$320:$B$620,"&lt;"&amp;C112,主线宝箱!$L$320:$L$620)+SUMIF(主线宝箱!$B$320:$B$620,"&lt;"&amp;C112,主线宝箱!$X$320:$X$620)+SUMIF(主线宝箱!$B$320:$B$620,"&lt;"&amp;C112,主线宝箱!$AL$320:$AL$620))</f>
        <v>279600</v>
      </c>
      <c r="F112" s="98">
        <f ca="1">SUMIF(组队产出!$B$24:$B$39,"&lt;="&amp;MAX(1,INT(C112/10-0.6)),组队产出!$R$24:$R$39)</f>
        <v>141000</v>
      </c>
      <c r="G112" s="80">
        <f ca="1">SUMIF(运营活动!$O$3:$O$27,"&lt;="&amp;C112,运营活动!$P$3:$P$27)</f>
        <v>30000</v>
      </c>
      <c r="H112" s="80">
        <f ca="1">OFFSET(产销汇总!$AM$12,B112,$C$26)*24</f>
        <v>636096</v>
      </c>
      <c r="I112" s="172">
        <f ca="1">SUMIF(金币本!$F$2:$F$52,"&lt;="&amp;C112,金币本!$D$2:$D$52)</f>
        <v>940000</v>
      </c>
      <c r="J112" s="80">
        <f ca="1">OFFSET(产销汇总!$C$1,MATCH(J$27,产销汇总!$C$2:$C$8,0),$C$26)*(_xlfn.XLOOKUP(C112,主线推图!$B$313:$B$612,主线推图!$C$313:$C$612)+_xlfn.XLOOKUP(C112,主线推图!$B$313:$B$612,主线推图!$D$313:$D$612))</f>
        <v>13068</v>
      </c>
      <c r="K112" s="80">
        <f ca="1">OFFSET(产销汇总!$C$1,MATCH(K$27,产销汇总!$C$2:$C$8,0),$C$26)*_xlfn.XLOOKUP(C112,巡逻产出!$B$311:$B$610,巡逻产出!$C$311:$C$610)*1.3</f>
        <v>0</v>
      </c>
      <c r="L112" s="80">
        <f ca="1">OFFSET(产销汇总!$C$1,MATCH(L$27,产销汇总!$C$2:$C$8,0),$C$26)*(_xlfn.XLOOKUP(MAX(1,INT(C112/10-6/10)),组队产出!$B$24:$B$39,组队产出!$D$24:$D$39))+OFFSET(产销汇总!$C$1,MATCH(L$27,产销汇总!$C$2:$C$8,0),$C$26)*(_xlfn.XLOOKUP(MAX(1,INT(C112/10-6/10)),组队产出!$B$24:$B$39,组队产出!$C$24:$C$39))</f>
        <v>7176</v>
      </c>
      <c r="M112" s="80">
        <f ca="1">(OFFSET(产销汇总!$C$1,MATCH(M$27,产销汇总!$C$2:$C$8,0),$C$26)*_xlfn.XLOOKUP(C112,巡逻产出!$B$311:$B$610,巡逻产出!$D$311:$D$610))*$M$24</f>
        <v>9266.4</v>
      </c>
      <c r="N112" s="80">
        <f ca="1">OFFSET(产销汇总!$C$1,MATCH(L$27,产销汇总!$C$2:$C$8,0),$C$26)*(_xlfn.XLOOKUP(MAX(1,INT(C112/10-6/10)),组队产出!$B$24:$B$39,组队产出!$S$24:$S$39))</f>
        <v>20892</v>
      </c>
      <c r="O112" s="172">
        <f>任务!$D$36</f>
        <v>2457.14285714286</v>
      </c>
      <c r="P112" s="98">
        <f t="shared" si="13"/>
        <v>428</v>
      </c>
      <c r="Q112" s="80">
        <f t="shared" si="19"/>
        <v>1500</v>
      </c>
      <c r="R112" s="172">
        <f t="shared" si="20"/>
        <v>2000</v>
      </c>
      <c r="S112" s="210">
        <f ca="1">IFERROR(OFFSET(金币本!$E$2,MATCH(C112,金币本!$F$3:$F$302,1),0)*IF($C$26=1,2,3),0)</f>
        <v>32250</v>
      </c>
      <c r="T112" s="172" t="e">
        <f ca="1">SUM($J$28:S112)+SUM(D112:I112)</f>
        <v>#N/A</v>
      </c>
      <c r="U112" s="172" t="e">
        <f ca="1" t="shared" si="14"/>
        <v>#N/A</v>
      </c>
      <c r="V112" s="98" t="e">
        <f ca="1" t="shared" si="15"/>
        <v>#N/A</v>
      </c>
      <c r="W112" s="98" t="e">
        <f ca="1">OFFSET(装备强化!$U$6,MATCH(图纸产出设计!V113/6*W$26,装备强化!$T$7:$T$306,1),0)*6</f>
        <v>#N/A</v>
      </c>
      <c r="X112" s="98">
        <v>391660</v>
      </c>
      <c r="Y112" s="98">
        <f t="shared" si="21"/>
        <v>2608000</v>
      </c>
      <c r="Z112" s="98">
        <f t="shared" si="23"/>
        <v>2</v>
      </c>
      <c r="AA112" s="147" t="e">
        <f ca="1" t="shared" si="16"/>
        <v>#N/A</v>
      </c>
      <c r="AB112" s="209" t="e">
        <f ca="1" t="shared" si="17"/>
        <v>#N/A</v>
      </c>
      <c r="AC112" s="209">
        <f ca="1">SUMIFS(装备强化!$Q$7:$Q$306,装备强化!$M$7:$M$306,"&lt;="&amp;MATCH(U112/6,装备强化!$U$7:$U$306,1),装备强化!$M$7:$M$306,"&gt;="&amp;MATCH(V112/6,装备强化!$U$7:$U$306,1))*6</f>
        <v>0</v>
      </c>
      <c r="AD112">
        <f ca="1" t="shared" si="22"/>
        <v>0</v>
      </c>
    </row>
    <row r="113" spans="1:30">
      <c r="A113" s="171"/>
      <c r="B113" s="80">
        <v>86</v>
      </c>
      <c r="C113" s="80">
        <f ca="1">OFFSET(产销汇总!$C$12,$B113,$C$26)</f>
        <v>159</v>
      </c>
      <c r="D113" s="80">
        <f t="shared" si="18"/>
        <v>14100</v>
      </c>
      <c r="E113" s="80">
        <f ca="1">(SUMIF(主线推图!$B$4:$B$303,"&lt;"&amp;C113,主线推图!$M$4:$M$303)+SUMIF(主线宝箱!$B$320:$B$620,"&lt;"&amp;C113,主线宝箱!$L$320:$L$620)+SUMIF(主线宝箱!$B$320:$B$620,"&lt;"&amp;C113,主线宝箱!$X$320:$X$620)+SUMIF(主线宝箱!$B$320:$B$620,"&lt;"&amp;C113,主线宝箱!$AL$320:$AL$620))</f>
        <v>281400</v>
      </c>
      <c r="F113" s="98">
        <f ca="1">SUMIF(组队产出!$B$24:$B$39,"&lt;="&amp;MAX(1,INT(C113/10-0.6)),组队产出!$R$24:$R$39)</f>
        <v>141000</v>
      </c>
      <c r="G113" s="80">
        <f ca="1">SUMIF(运营活动!$O$3:$O$27,"&lt;="&amp;C113,运营活动!$P$3:$P$27)</f>
        <v>30000</v>
      </c>
      <c r="H113" s="80">
        <f ca="1">OFFSET(产销汇总!$AM$12,B113,$C$26)*24</f>
        <v>643344</v>
      </c>
      <c r="I113" s="172">
        <f ca="1">SUMIF(金币本!$F$2:$F$52,"&lt;="&amp;C113,金币本!$D$2:$D$52)</f>
        <v>984000</v>
      </c>
      <c r="J113" s="80">
        <f ca="1">OFFSET(产销汇总!$C$1,MATCH(J$27,产销汇总!$C$2:$C$8,0),$C$26)*(_xlfn.XLOOKUP(C113,主线推图!$B$313:$B$612,主线推图!$C$313:$C$612)+_xlfn.XLOOKUP(C113,主线推图!$B$313:$B$612,主线推图!$D$313:$D$612))</f>
        <v>13112</v>
      </c>
      <c r="K113" s="80">
        <f ca="1">OFFSET(产销汇总!$C$1,MATCH(K$27,产销汇总!$C$2:$C$8,0),$C$26)*_xlfn.XLOOKUP(C113,巡逻产出!$B$311:$B$610,巡逻产出!$C$311:$C$610)*1.3</f>
        <v>0</v>
      </c>
      <c r="L113" s="80">
        <f ca="1">OFFSET(产销汇总!$C$1,MATCH(L$27,产销汇总!$C$2:$C$8,0),$C$26)*(_xlfn.XLOOKUP(MAX(1,INT(C113/10-6/10)),组队产出!$B$24:$B$39,组队产出!$D$24:$D$39))+OFFSET(产销汇总!$C$1,MATCH(L$27,产销汇总!$C$2:$C$8,0),$C$26)*(_xlfn.XLOOKUP(MAX(1,INT(C113/10-6/10)),组队产出!$B$24:$B$39,组队产出!$C$24:$C$39))</f>
        <v>7176</v>
      </c>
      <c r="M113" s="80">
        <f ca="1">(OFFSET(产销汇总!$C$1,MATCH(M$27,产销汇总!$C$2:$C$8,0),$C$26)*_xlfn.XLOOKUP(C113,巡逻产出!$B$311:$B$610,巡逻产出!$D$311:$D$610))*$M$24</f>
        <v>9297.6</v>
      </c>
      <c r="N113" s="80">
        <f ca="1">OFFSET(产销汇总!$C$1,MATCH(L$27,产销汇总!$C$2:$C$8,0),$C$26)*(_xlfn.XLOOKUP(MAX(1,INT(C113/10-6/10)),组队产出!$B$24:$B$39,组队产出!$S$24:$S$39))</f>
        <v>20892</v>
      </c>
      <c r="O113" s="172">
        <f>任务!$D$36</f>
        <v>2457.14285714286</v>
      </c>
      <c r="P113" s="98">
        <f t="shared" si="13"/>
        <v>428</v>
      </c>
      <c r="Q113" s="80">
        <f t="shared" si="19"/>
        <v>1000</v>
      </c>
      <c r="R113" s="172">
        <f t="shared" si="20"/>
        <v>2000</v>
      </c>
      <c r="S113" s="210">
        <f ca="1">IFERROR(OFFSET(金币本!$E$2,MATCH(C113,金币本!$F$3:$F$302,1),0)*IF($C$26=1,2,3),0)</f>
        <v>33000</v>
      </c>
      <c r="T113" s="172" t="e">
        <f ca="1">SUM($J$28:S113)+SUM(D113:I113)</f>
        <v>#N/A</v>
      </c>
      <c r="U113" s="172" t="e">
        <f ca="1" t="shared" si="14"/>
        <v>#N/A</v>
      </c>
      <c r="V113" s="98" t="e">
        <f ca="1" t="shared" si="15"/>
        <v>#N/A</v>
      </c>
      <c r="W113" s="98" t="e">
        <f ca="1">OFFSET(装备强化!$U$6,MATCH(图纸产出设计!V114/6*W$26,装备强化!$T$7:$T$306,1),0)*6</f>
        <v>#N/A</v>
      </c>
      <c r="X113" s="98">
        <v>391660</v>
      </c>
      <c r="Y113" s="98">
        <f t="shared" si="21"/>
        <v>2640000</v>
      </c>
      <c r="Z113" s="98">
        <f t="shared" si="23"/>
        <v>2</v>
      </c>
      <c r="AA113" s="147" t="e">
        <f ca="1" t="shared" si="16"/>
        <v>#N/A</v>
      </c>
      <c r="AB113" s="209" t="e">
        <f ca="1" t="shared" si="17"/>
        <v>#N/A</v>
      </c>
      <c r="AC113" s="209">
        <f ca="1">SUMIFS(装备强化!$Q$7:$Q$306,装备强化!$M$7:$M$306,"&lt;="&amp;MATCH(U113/6,装备强化!$U$7:$U$306,1),装备强化!$M$7:$M$306,"&gt;="&amp;MATCH(V113/6,装备强化!$U$7:$U$306,1))*6</f>
        <v>0</v>
      </c>
      <c r="AD113">
        <f ca="1" t="shared" si="22"/>
        <v>0</v>
      </c>
    </row>
    <row r="114" spans="1:30">
      <c r="A114" s="171"/>
      <c r="B114" s="80">
        <v>87</v>
      </c>
      <c r="C114" s="80">
        <f ca="1">OFFSET(产销汇总!$C$12,$B114,$C$26)</f>
        <v>160</v>
      </c>
      <c r="D114" s="80">
        <f t="shared" si="18"/>
        <v>14100</v>
      </c>
      <c r="E114" s="80">
        <f ca="1">(SUMIF(主线推图!$B$4:$B$303,"&lt;"&amp;C114,主线推图!$M$4:$M$303)+SUMIF(主线宝箱!$B$320:$B$620,"&lt;"&amp;C114,主线宝箱!$L$320:$L$620)+SUMIF(主线宝箱!$B$320:$B$620,"&lt;"&amp;C114,主线宝箱!$X$320:$X$620)+SUMIF(主线宝箱!$B$320:$B$620,"&lt;"&amp;C114,主线宝箱!$AL$320:$AL$620))</f>
        <v>283200</v>
      </c>
      <c r="F114" s="98">
        <f ca="1">SUMIF(组队产出!$B$24:$B$39,"&lt;="&amp;MAX(1,INT(C114/10-0.6)),组队产出!$R$24:$R$39)</f>
        <v>141000</v>
      </c>
      <c r="G114" s="80">
        <f ca="1">SUMIF(运营活动!$O$3:$O$27,"&lt;="&amp;C114,运营活动!$P$3:$P$27)</f>
        <v>30000</v>
      </c>
      <c r="H114" s="80">
        <f ca="1">OFFSET(产销汇总!$AM$12,B114,$C$26)*24</f>
        <v>650592</v>
      </c>
      <c r="I114" s="172">
        <f ca="1">SUMIF(金币本!$F$2:$F$52,"&lt;="&amp;C114,金币本!$D$2:$D$52)</f>
        <v>984000</v>
      </c>
      <c r="J114" s="80">
        <f ca="1">OFFSET(产销汇总!$C$1,MATCH(J$27,产销汇总!$C$2:$C$8,0),$C$26)*(_xlfn.XLOOKUP(C114,主线推图!$B$313:$B$612,主线推图!$C$313:$C$612)+_xlfn.XLOOKUP(C114,主线推图!$B$313:$B$612,主线推图!$D$313:$D$612))</f>
        <v>13156</v>
      </c>
      <c r="K114" s="80">
        <f ca="1">OFFSET(产销汇总!$C$1,MATCH(K$27,产销汇总!$C$2:$C$8,0),$C$26)*_xlfn.XLOOKUP(C114,巡逻产出!$B$311:$B$610,巡逻产出!$C$311:$C$610)*1.3</f>
        <v>0</v>
      </c>
      <c r="L114" s="80">
        <f ca="1">OFFSET(产销汇总!$C$1,MATCH(L$27,产销汇总!$C$2:$C$8,0),$C$26)*(_xlfn.XLOOKUP(MAX(1,INT(C114/10-6/10)),组队产出!$B$24:$B$39,组队产出!$D$24:$D$39))+OFFSET(产销汇总!$C$1,MATCH(L$27,产销汇总!$C$2:$C$8,0),$C$26)*(_xlfn.XLOOKUP(MAX(1,INT(C114/10-6/10)),组队产出!$B$24:$B$39,组队产出!$C$24:$C$39))</f>
        <v>7176</v>
      </c>
      <c r="M114" s="80">
        <f ca="1">(OFFSET(产销汇总!$C$1,MATCH(M$27,产销汇总!$C$2:$C$8,0),$C$26)*_xlfn.XLOOKUP(C114,巡逻产出!$B$311:$B$610,巡逻产出!$D$311:$D$610))*$M$24</f>
        <v>9328.8</v>
      </c>
      <c r="N114" s="80">
        <f ca="1">OFFSET(产销汇总!$C$1,MATCH(L$27,产销汇总!$C$2:$C$8,0),$C$26)*(_xlfn.XLOOKUP(MAX(1,INT(C114/10-6/10)),组队产出!$B$24:$B$39,组队产出!$S$24:$S$39))</f>
        <v>20892</v>
      </c>
      <c r="O114" s="172">
        <f>任务!$D$36</f>
        <v>2457.14285714286</v>
      </c>
      <c r="P114" s="98">
        <f t="shared" si="13"/>
        <v>428</v>
      </c>
      <c r="Q114" s="80">
        <f t="shared" si="19"/>
        <v>1000</v>
      </c>
      <c r="R114" s="172">
        <f t="shared" si="20"/>
        <v>2000</v>
      </c>
      <c r="S114" s="210">
        <f ca="1">IFERROR(OFFSET(金币本!$E$2,MATCH(C114,金币本!$F$3:$F$302,1),0)*IF($C$26=1,2,3),0)</f>
        <v>33000</v>
      </c>
      <c r="T114" s="172" t="e">
        <f ca="1">SUM($J$28:S114)+SUM(D114:I114)</f>
        <v>#N/A</v>
      </c>
      <c r="U114" s="172" t="e">
        <f ca="1" t="shared" si="14"/>
        <v>#N/A</v>
      </c>
      <c r="V114" s="98" t="e">
        <f ca="1" t="shared" si="15"/>
        <v>#N/A</v>
      </c>
      <c r="W114" s="98" t="e">
        <f ca="1">OFFSET(装备强化!$U$6,MATCH(图纸产出设计!V115/6*W$26,装备强化!$T$7:$T$306,1),0)*6</f>
        <v>#N/A</v>
      </c>
      <c r="X114" s="98">
        <v>399100</v>
      </c>
      <c r="Y114" s="98">
        <f t="shared" si="21"/>
        <v>2672000</v>
      </c>
      <c r="Z114" s="98">
        <f t="shared" si="23"/>
        <v>2</v>
      </c>
      <c r="AA114" s="147" t="e">
        <f ca="1" t="shared" si="16"/>
        <v>#N/A</v>
      </c>
      <c r="AB114" s="209" t="e">
        <f ca="1" t="shared" si="17"/>
        <v>#N/A</v>
      </c>
      <c r="AC114" s="209">
        <f ca="1">SUMIFS(装备强化!$Q$7:$Q$306,装备强化!$M$7:$M$306,"&lt;="&amp;MATCH(U114/6,装备强化!$U$7:$U$306,1),装备强化!$M$7:$M$306,"&gt;="&amp;MATCH(V114/6,装备强化!$U$7:$U$306,1))*6</f>
        <v>0</v>
      </c>
      <c r="AD114">
        <f ca="1" t="shared" si="22"/>
        <v>0</v>
      </c>
    </row>
    <row r="115" spans="1:30">
      <c r="A115" s="171"/>
      <c r="B115" s="80">
        <v>88</v>
      </c>
      <c r="C115" s="80">
        <f ca="1">OFFSET(产销汇总!$C$12,$B115,$C$26)</f>
        <v>161</v>
      </c>
      <c r="D115" s="80">
        <f t="shared" si="18"/>
        <v>14100</v>
      </c>
      <c r="E115" s="80">
        <f ca="1">(SUMIF(主线推图!$B$4:$B$303,"&lt;"&amp;C115,主线推图!$M$4:$M$303)+SUMIF(主线宝箱!$B$320:$B$620,"&lt;"&amp;C115,主线宝箱!$L$320:$L$620)+SUMIF(主线宝箱!$B$320:$B$620,"&lt;"&amp;C115,主线宝箱!$X$320:$X$620)+SUMIF(主线宝箱!$B$320:$B$620,"&lt;"&amp;C115,主线宝箱!$AL$320:$AL$620))</f>
        <v>285000</v>
      </c>
      <c r="F115" s="98">
        <f ca="1">SUMIF(组队产出!$B$24:$B$39,"&lt;="&amp;MAX(1,INT(C115/10-0.6)),组队产出!$R$24:$R$39)</f>
        <v>141000</v>
      </c>
      <c r="G115" s="80">
        <f ca="1">SUMIF(运营活动!$O$3:$O$27,"&lt;="&amp;C115,运营活动!$P$3:$P$27)</f>
        <v>30000</v>
      </c>
      <c r="H115" s="80">
        <f ca="1">OFFSET(产销汇总!$AM$12,B115,$C$26)*24</f>
        <v>657840</v>
      </c>
      <c r="I115" s="172">
        <f ca="1">SUMIF(金币本!$F$2:$F$52,"&lt;="&amp;C115,金币本!$D$2:$D$52)</f>
        <v>984000</v>
      </c>
      <c r="J115" s="80">
        <f ca="1">OFFSET(产销汇总!$C$1,MATCH(J$27,产销汇总!$C$2:$C$8,0),$C$26)*(_xlfn.XLOOKUP(C115,主线推图!$B$313:$B$612,主线推图!$C$313:$C$612)+_xlfn.XLOOKUP(C115,主线推图!$B$313:$B$612,主线推图!$D$313:$D$612))</f>
        <v>13200</v>
      </c>
      <c r="K115" s="80">
        <f ca="1">OFFSET(产销汇总!$C$1,MATCH(K$27,产销汇总!$C$2:$C$8,0),$C$26)*_xlfn.XLOOKUP(C115,巡逻产出!$B$311:$B$610,巡逻产出!$C$311:$C$610)*1.3</f>
        <v>0</v>
      </c>
      <c r="L115" s="80">
        <f ca="1">OFFSET(产销汇总!$C$1,MATCH(L$27,产销汇总!$C$2:$C$8,0),$C$26)*(_xlfn.XLOOKUP(MAX(1,INT(C115/10-6/10)),组队产出!$B$24:$B$39,组队产出!$D$24:$D$39))+OFFSET(产销汇总!$C$1,MATCH(L$27,产销汇总!$C$2:$C$8,0),$C$26)*(_xlfn.XLOOKUP(MAX(1,INT(C115/10-6/10)),组队产出!$B$24:$B$39,组队产出!$C$24:$C$39))</f>
        <v>7176</v>
      </c>
      <c r="M115" s="80">
        <f ca="1">(OFFSET(产销汇总!$C$1,MATCH(M$27,产销汇总!$C$2:$C$8,0),$C$26)*_xlfn.XLOOKUP(C115,巡逻产出!$B$311:$B$610,巡逻产出!$D$311:$D$610))*$M$24</f>
        <v>9360</v>
      </c>
      <c r="N115" s="80">
        <f ca="1">OFFSET(产销汇总!$C$1,MATCH(L$27,产销汇总!$C$2:$C$8,0),$C$26)*(_xlfn.XLOOKUP(MAX(1,INT(C115/10-6/10)),组队产出!$B$24:$B$39,组队产出!$S$24:$S$39))</f>
        <v>20892</v>
      </c>
      <c r="O115" s="172">
        <f>任务!$D$36</f>
        <v>2457.14285714286</v>
      </c>
      <c r="P115" s="98">
        <f t="shared" si="13"/>
        <v>428</v>
      </c>
      <c r="Q115" s="80">
        <f t="shared" si="19"/>
        <v>1000</v>
      </c>
      <c r="R115" s="172">
        <f t="shared" si="20"/>
        <v>2000</v>
      </c>
      <c r="S115" s="210">
        <f ca="1">IFERROR(OFFSET(金币本!$E$2,MATCH(C115,金币本!$F$3:$F$302,1),0)*IF($C$26=1,2,3),0)</f>
        <v>33000</v>
      </c>
      <c r="T115" s="172" t="e">
        <f ca="1">SUM($J$28:S115)+SUM(D115:I115)</f>
        <v>#N/A</v>
      </c>
      <c r="U115" s="172" t="e">
        <f ca="1" t="shared" si="14"/>
        <v>#N/A</v>
      </c>
      <c r="V115" s="98" t="e">
        <f ca="1" t="shared" si="15"/>
        <v>#N/A</v>
      </c>
      <c r="W115" s="98" t="e">
        <f ca="1">OFFSET(装备强化!$U$6,MATCH(图纸产出设计!V116/6*W$26,装备强化!$T$7:$T$306,1),0)*6</f>
        <v>#N/A</v>
      </c>
      <c r="X115" s="98">
        <v>399100</v>
      </c>
      <c r="Y115" s="98">
        <f t="shared" si="21"/>
        <v>2704000</v>
      </c>
      <c r="Z115" s="98">
        <f t="shared" si="23"/>
        <v>2</v>
      </c>
      <c r="AA115" s="147" t="e">
        <f ca="1" t="shared" si="16"/>
        <v>#N/A</v>
      </c>
      <c r="AB115" s="209" t="e">
        <f ca="1" t="shared" si="17"/>
        <v>#N/A</v>
      </c>
      <c r="AC115" s="209">
        <f ca="1">SUMIFS(装备强化!$Q$7:$Q$306,装备强化!$M$7:$M$306,"&lt;="&amp;MATCH(U115/6,装备强化!$U$7:$U$306,1),装备强化!$M$7:$M$306,"&gt;="&amp;MATCH(V115/6,装备强化!$U$7:$U$306,1))*6</f>
        <v>0</v>
      </c>
      <c r="AD115">
        <f ca="1" t="shared" si="22"/>
        <v>0</v>
      </c>
    </row>
    <row r="116" spans="1:30">
      <c r="A116" s="171"/>
      <c r="B116" s="80">
        <v>89</v>
      </c>
      <c r="C116" s="80">
        <f ca="1">OFFSET(产销汇总!$C$12,$B116,$C$26)</f>
        <v>162</v>
      </c>
      <c r="D116" s="80">
        <f t="shared" si="18"/>
        <v>14100</v>
      </c>
      <c r="E116" s="80">
        <f ca="1">(SUMIF(主线推图!$B$4:$B$303,"&lt;"&amp;C116,主线推图!$M$4:$M$303)+SUMIF(主线宝箱!$B$320:$B$620,"&lt;"&amp;C116,主线宝箱!$L$320:$L$620)+SUMIF(主线宝箱!$B$320:$B$620,"&lt;"&amp;C116,主线宝箱!$X$320:$X$620)+SUMIF(主线宝箱!$B$320:$B$620,"&lt;"&amp;C116,主线宝箱!$AL$320:$AL$620))</f>
        <v>286800</v>
      </c>
      <c r="F116" s="98">
        <f ca="1">SUMIF(组队产出!$B$24:$B$39,"&lt;="&amp;MAX(1,INT(C116/10-0.6)),组队产出!$R$24:$R$39)</f>
        <v>141000</v>
      </c>
      <c r="G116" s="80">
        <f ca="1">SUMIF(运营活动!$O$3:$O$27,"&lt;="&amp;C116,运营活动!$P$3:$P$27)</f>
        <v>30000</v>
      </c>
      <c r="H116" s="80">
        <f ca="1">OFFSET(产销汇总!$AM$12,B116,$C$26)*24</f>
        <v>665088</v>
      </c>
      <c r="I116" s="172">
        <f ca="1">SUMIF(金币本!$F$2:$F$52,"&lt;="&amp;C116,金币本!$D$2:$D$52)</f>
        <v>984000</v>
      </c>
      <c r="J116" s="80">
        <f ca="1">OFFSET(产销汇总!$C$1,MATCH(J$27,产销汇总!$C$2:$C$8,0),$C$26)*(_xlfn.XLOOKUP(C116,主线推图!$B$313:$B$612,主线推图!$C$313:$C$612)+_xlfn.XLOOKUP(C116,主线推图!$B$313:$B$612,主线推图!$D$313:$D$612))</f>
        <v>13244</v>
      </c>
      <c r="K116" s="80">
        <f ca="1">OFFSET(产销汇总!$C$1,MATCH(K$27,产销汇总!$C$2:$C$8,0),$C$26)*_xlfn.XLOOKUP(C116,巡逻产出!$B$311:$B$610,巡逻产出!$C$311:$C$610)*1.3</f>
        <v>0</v>
      </c>
      <c r="L116" s="80">
        <f ca="1">OFFSET(产销汇总!$C$1,MATCH(L$27,产销汇总!$C$2:$C$8,0),$C$26)*(_xlfn.XLOOKUP(MAX(1,INT(C116/10-6/10)),组队产出!$B$24:$B$39,组队产出!$D$24:$D$39))+OFFSET(产销汇总!$C$1,MATCH(L$27,产销汇总!$C$2:$C$8,0),$C$26)*(_xlfn.XLOOKUP(MAX(1,INT(C116/10-6/10)),组队产出!$B$24:$B$39,组队产出!$C$24:$C$39))</f>
        <v>7176</v>
      </c>
      <c r="M116" s="80">
        <f ca="1">(OFFSET(产销汇总!$C$1,MATCH(M$27,产销汇总!$C$2:$C$8,0),$C$26)*_xlfn.XLOOKUP(C116,巡逻产出!$B$311:$B$610,巡逻产出!$D$311:$D$610))*$M$24</f>
        <v>9391.2</v>
      </c>
      <c r="N116" s="80">
        <f ca="1">OFFSET(产销汇总!$C$1,MATCH(L$27,产销汇总!$C$2:$C$8,0),$C$26)*(_xlfn.XLOOKUP(MAX(1,INT(C116/10-6/10)),组队产出!$B$24:$B$39,组队产出!$S$24:$S$39))</f>
        <v>20892</v>
      </c>
      <c r="O116" s="172">
        <f>任务!$D$36</f>
        <v>2457.14285714286</v>
      </c>
      <c r="P116" s="98">
        <f t="shared" si="13"/>
        <v>428</v>
      </c>
      <c r="Q116" s="80">
        <f t="shared" si="19"/>
        <v>1000</v>
      </c>
      <c r="R116" s="172">
        <f t="shared" si="20"/>
        <v>2000</v>
      </c>
      <c r="S116" s="210">
        <f ca="1">IFERROR(OFFSET(金币本!$E$2,MATCH(C116,金币本!$F$3:$F$302,1),0)*IF($C$26=1,2,3),0)</f>
        <v>33000</v>
      </c>
      <c r="T116" s="172" t="e">
        <f ca="1">SUM($J$28:S116)+SUM(D116:I116)</f>
        <v>#N/A</v>
      </c>
      <c r="U116" s="172" t="e">
        <f ca="1" t="shared" si="14"/>
        <v>#N/A</v>
      </c>
      <c r="V116" s="98" t="e">
        <f ca="1" t="shared" si="15"/>
        <v>#N/A</v>
      </c>
      <c r="W116" s="98" t="e">
        <f ca="1">OFFSET(装备强化!$U$6,MATCH(图纸产出设计!V117/6*W$26,装备强化!$T$7:$T$306,1),0)*6</f>
        <v>#N/A</v>
      </c>
      <c r="X116" s="98">
        <v>406610</v>
      </c>
      <c r="Y116" s="98">
        <f t="shared" si="21"/>
        <v>2736000</v>
      </c>
      <c r="Z116" s="98">
        <f t="shared" si="23"/>
        <v>2</v>
      </c>
      <c r="AA116" s="147" t="e">
        <f ca="1" t="shared" si="16"/>
        <v>#N/A</v>
      </c>
      <c r="AB116" s="209" t="e">
        <f ca="1" t="shared" si="17"/>
        <v>#N/A</v>
      </c>
      <c r="AC116" s="209">
        <f ca="1">SUMIFS(装备强化!$Q$7:$Q$306,装备强化!$M$7:$M$306,"&lt;="&amp;MATCH(U116/6,装备强化!$U$7:$U$306,1),装备强化!$M$7:$M$306,"&gt;="&amp;MATCH(V116/6,装备强化!$U$7:$U$306,1))*6</f>
        <v>0</v>
      </c>
      <c r="AD116">
        <f ca="1" t="shared" si="22"/>
        <v>0</v>
      </c>
    </row>
    <row r="117" spans="1:30">
      <c r="A117" s="171"/>
      <c r="B117" s="80">
        <v>90</v>
      </c>
      <c r="C117" s="80">
        <f ca="1">OFFSET(产销汇总!$C$12,$B117,$C$26)</f>
        <v>163</v>
      </c>
      <c r="D117" s="80">
        <f t="shared" si="18"/>
        <v>14100</v>
      </c>
      <c r="E117" s="80">
        <f ca="1">(SUMIF(主线推图!$B$4:$B$303,"&lt;"&amp;C117,主线推图!$M$4:$M$303)+SUMIF(主线宝箱!$B$320:$B$620,"&lt;"&amp;C117,主线宝箱!$L$320:$L$620)+SUMIF(主线宝箱!$B$320:$B$620,"&lt;"&amp;C117,主线宝箱!$X$320:$X$620)+SUMIF(主线宝箱!$B$320:$B$620,"&lt;"&amp;C117,主线宝箱!$AL$320:$AL$620))</f>
        <v>288600</v>
      </c>
      <c r="F117" s="98">
        <f ca="1">SUMIF(组队产出!$B$24:$B$39,"&lt;="&amp;MAX(1,INT(C117/10-0.6)),组队产出!$R$24:$R$39)</f>
        <v>141000</v>
      </c>
      <c r="G117" s="80">
        <f ca="1">SUMIF(运营活动!$O$3:$O$27,"&lt;="&amp;C117,运营活动!$P$3:$P$27)</f>
        <v>30000</v>
      </c>
      <c r="H117" s="80">
        <f ca="1">OFFSET(产销汇总!$AM$12,B117,$C$26)*24</f>
        <v>672336</v>
      </c>
      <c r="I117" s="172">
        <f ca="1">SUMIF(金币本!$F$2:$F$52,"&lt;="&amp;C117,金币本!$D$2:$D$52)</f>
        <v>1029000</v>
      </c>
      <c r="J117" s="80">
        <f ca="1">OFFSET(产销汇总!$C$1,MATCH(J$27,产销汇总!$C$2:$C$8,0),$C$26)*(_xlfn.XLOOKUP(C117,主线推图!$B$313:$B$612,主线推图!$C$313:$C$612)+_xlfn.XLOOKUP(C117,主线推图!$B$313:$B$612,主线推图!$D$313:$D$612))</f>
        <v>13288</v>
      </c>
      <c r="K117" s="80">
        <f ca="1">OFFSET(产销汇总!$C$1,MATCH(K$27,产销汇总!$C$2:$C$8,0),$C$26)*_xlfn.XLOOKUP(C117,巡逻产出!$B$311:$B$610,巡逻产出!$C$311:$C$610)*1.3</f>
        <v>0</v>
      </c>
      <c r="L117" s="80">
        <f ca="1">OFFSET(产销汇总!$C$1,MATCH(L$27,产销汇总!$C$2:$C$8,0),$C$26)*(_xlfn.XLOOKUP(MAX(1,INT(C117/10-6/10)),组队产出!$B$24:$B$39,组队产出!$D$24:$D$39))+OFFSET(产销汇总!$C$1,MATCH(L$27,产销汇总!$C$2:$C$8,0),$C$26)*(_xlfn.XLOOKUP(MAX(1,INT(C117/10-6/10)),组队产出!$B$24:$B$39,组队产出!$C$24:$C$39))</f>
        <v>7176</v>
      </c>
      <c r="M117" s="80">
        <f ca="1">(OFFSET(产销汇总!$C$1,MATCH(M$27,产销汇总!$C$2:$C$8,0),$C$26)*_xlfn.XLOOKUP(C117,巡逻产出!$B$311:$B$610,巡逻产出!$D$311:$D$610))*$M$24</f>
        <v>9422.4</v>
      </c>
      <c r="N117" s="80">
        <f ca="1">OFFSET(产销汇总!$C$1,MATCH(L$27,产销汇总!$C$2:$C$8,0),$C$26)*(_xlfn.XLOOKUP(MAX(1,INT(C117/10-6/10)),组队产出!$B$24:$B$39,组队产出!$S$24:$S$39))</f>
        <v>20892</v>
      </c>
      <c r="O117" s="172">
        <f>任务!$D$36</f>
        <v>2457.14285714286</v>
      </c>
      <c r="P117" s="98">
        <f t="shared" si="13"/>
        <v>428</v>
      </c>
      <c r="Q117" s="80">
        <f t="shared" si="19"/>
        <v>1000</v>
      </c>
      <c r="R117" s="172">
        <f t="shared" si="20"/>
        <v>2000</v>
      </c>
      <c r="S117" s="210">
        <f ca="1">IFERROR(OFFSET(金币本!$E$2,MATCH(C117,金币本!$F$3:$F$302,1),0)*IF($C$26=1,2,3),0)</f>
        <v>33750</v>
      </c>
      <c r="T117" s="172" t="e">
        <f ca="1">SUM($J$28:S117)+SUM(D117:I117)</f>
        <v>#N/A</v>
      </c>
      <c r="U117" s="172" t="e">
        <f ca="1" t="shared" si="14"/>
        <v>#N/A</v>
      </c>
      <c r="V117" s="98" t="e">
        <f ca="1" t="shared" si="15"/>
        <v>#N/A</v>
      </c>
      <c r="W117" s="98" t="e">
        <f ca="1">OFFSET(装备强化!$U$6,MATCH(图纸产出设计!V118/6*W$26,装备强化!$T$7:$T$306,1),0)*6</f>
        <v>#N/A</v>
      </c>
      <c r="X117" s="98">
        <v>406610</v>
      </c>
      <c r="Y117" s="98">
        <f t="shared" si="21"/>
        <v>2768000</v>
      </c>
      <c r="Z117" s="98">
        <f t="shared" si="23"/>
        <v>2</v>
      </c>
      <c r="AA117" s="147" t="e">
        <f ca="1" t="shared" si="16"/>
        <v>#N/A</v>
      </c>
      <c r="AB117" s="209" t="e">
        <f ca="1" t="shared" si="17"/>
        <v>#N/A</v>
      </c>
      <c r="AC117" s="209">
        <f ca="1">SUMIFS(装备强化!$Q$7:$Q$306,装备强化!$M$7:$M$306,"&lt;="&amp;MATCH(U117/6,装备强化!$U$7:$U$306,1),装备强化!$M$7:$M$306,"&gt;="&amp;MATCH(V117/6,装备强化!$U$7:$U$306,1))*6</f>
        <v>0</v>
      </c>
      <c r="AD117">
        <f ca="1" t="shared" si="22"/>
        <v>0</v>
      </c>
    </row>
    <row r="118" spans="1:30">
      <c r="A118" s="171"/>
      <c r="B118" s="80">
        <v>91</v>
      </c>
      <c r="C118" s="80">
        <f ca="1">OFFSET(产销汇总!$C$12,$B118,$C$26)</f>
        <v>164</v>
      </c>
      <c r="D118" s="80">
        <f t="shared" si="18"/>
        <v>14100</v>
      </c>
      <c r="E118" s="80">
        <f ca="1">(SUMIF(主线推图!$B$4:$B$303,"&lt;"&amp;C118,主线推图!$M$4:$M$303)+SUMIF(主线宝箱!$B$320:$B$620,"&lt;"&amp;C118,主线宝箱!$L$320:$L$620)+SUMIF(主线宝箱!$B$320:$B$620,"&lt;"&amp;C118,主线宝箱!$X$320:$X$620)+SUMIF(主线宝箱!$B$320:$B$620,"&lt;"&amp;C118,主线宝箱!$AL$320:$AL$620))</f>
        <v>290400</v>
      </c>
      <c r="F118" s="98">
        <f ca="1">SUMIF(组队产出!$B$24:$B$39,"&lt;="&amp;MAX(1,INT(C118/10-0.6)),组队产出!$R$24:$R$39)</f>
        <v>141000</v>
      </c>
      <c r="G118" s="80">
        <f ca="1">SUMIF(运营活动!$O$3:$O$27,"&lt;="&amp;C118,运营活动!$P$3:$P$27)</f>
        <v>30000</v>
      </c>
      <c r="H118" s="80">
        <f ca="1">OFFSET(产销汇总!$AM$12,B118,$C$26)*24</f>
        <v>679584</v>
      </c>
      <c r="I118" s="172">
        <f ca="1">SUMIF(金币本!$F$2:$F$52,"&lt;="&amp;C118,金币本!$D$2:$D$52)</f>
        <v>1029000</v>
      </c>
      <c r="J118" s="80">
        <f ca="1">OFFSET(产销汇总!$C$1,MATCH(J$27,产销汇总!$C$2:$C$8,0),$C$26)*(_xlfn.XLOOKUP(C118,主线推图!$B$313:$B$612,主线推图!$C$313:$C$612)+_xlfn.XLOOKUP(C118,主线推图!$B$313:$B$612,主线推图!$D$313:$D$612))</f>
        <v>13332</v>
      </c>
      <c r="K118" s="80">
        <f ca="1">OFFSET(产销汇总!$C$1,MATCH(K$27,产销汇总!$C$2:$C$8,0),$C$26)*_xlfn.XLOOKUP(C118,巡逻产出!$B$311:$B$610,巡逻产出!$C$311:$C$610)*1.3</f>
        <v>0</v>
      </c>
      <c r="L118" s="80">
        <f ca="1">OFFSET(产销汇总!$C$1,MATCH(L$27,产销汇总!$C$2:$C$8,0),$C$26)*(_xlfn.XLOOKUP(MAX(1,INT(C118/10-6/10)),组队产出!$B$24:$B$39,组队产出!$D$24:$D$39))+OFFSET(产销汇总!$C$1,MATCH(L$27,产销汇总!$C$2:$C$8,0),$C$26)*(_xlfn.XLOOKUP(MAX(1,INT(C118/10-6/10)),组队产出!$B$24:$B$39,组队产出!$C$24:$C$39))</f>
        <v>7176</v>
      </c>
      <c r="M118" s="80">
        <f ca="1">(OFFSET(产销汇总!$C$1,MATCH(M$27,产销汇总!$C$2:$C$8,0),$C$26)*_xlfn.XLOOKUP(C118,巡逻产出!$B$311:$B$610,巡逻产出!$D$311:$D$610))*$M$24</f>
        <v>9453.6</v>
      </c>
      <c r="N118" s="80">
        <f ca="1">OFFSET(产销汇总!$C$1,MATCH(L$27,产销汇总!$C$2:$C$8,0),$C$26)*(_xlfn.XLOOKUP(MAX(1,INT(C118/10-6/10)),组队产出!$B$24:$B$39,组队产出!$S$24:$S$39))</f>
        <v>20892</v>
      </c>
      <c r="O118" s="172">
        <f>任务!$D$36</f>
        <v>2457.14285714286</v>
      </c>
      <c r="P118" s="98">
        <f t="shared" si="13"/>
        <v>428</v>
      </c>
      <c r="Q118" s="80">
        <f t="shared" si="19"/>
        <v>1000</v>
      </c>
      <c r="R118" s="172">
        <f t="shared" si="20"/>
        <v>2000</v>
      </c>
      <c r="S118" s="210">
        <f ca="1">IFERROR(OFFSET(金币本!$E$2,MATCH(C118,金币本!$F$3:$F$302,1),0)*IF($C$26=1,2,3),0)</f>
        <v>33750</v>
      </c>
      <c r="T118" s="172" t="e">
        <f ca="1">SUM($J$28:S118)+SUM(D118:I118)</f>
        <v>#N/A</v>
      </c>
      <c r="U118" s="172" t="e">
        <f ca="1" t="shared" si="14"/>
        <v>#N/A</v>
      </c>
      <c r="V118" s="98" t="e">
        <f ca="1" t="shared" si="15"/>
        <v>#N/A</v>
      </c>
      <c r="W118" s="98" t="e">
        <f ca="1">OFFSET(装备强化!$U$6,MATCH(图纸产出设计!V119/6*W$26,装备强化!$T$7:$T$306,1),0)*6</f>
        <v>#N/A</v>
      </c>
      <c r="X118" s="98">
        <v>414190</v>
      </c>
      <c r="Y118" s="98">
        <f t="shared" si="21"/>
        <v>2800000</v>
      </c>
      <c r="Z118" s="98">
        <f t="shared" si="23"/>
        <v>2</v>
      </c>
      <c r="AA118" s="147" t="e">
        <f ca="1" t="shared" si="16"/>
        <v>#N/A</v>
      </c>
      <c r="AB118" s="209" t="e">
        <f ca="1" t="shared" si="17"/>
        <v>#N/A</v>
      </c>
      <c r="AC118" s="209">
        <f ca="1">SUMIFS(装备强化!$Q$7:$Q$306,装备强化!$M$7:$M$306,"&lt;="&amp;MATCH(U118/6,装备强化!$U$7:$U$306,1),装备强化!$M$7:$M$306,"&gt;="&amp;MATCH(V118/6,装备强化!$U$7:$U$306,1))*6</f>
        <v>0</v>
      </c>
      <c r="AD118">
        <f ca="1" t="shared" si="22"/>
        <v>0</v>
      </c>
    </row>
    <row r="119" spans="1:30">
      <c r="A119" s="171"/>
      <c r="B119" s="80">
        <v>92</v>
      </c>
      <c r="C119" s="80">
        <f ca="1">OFFSET(产销汇总!$C$12,$B119,$C$26)</f>
        <v>165</v>
      </c>
      <c r="D119" s="80">
        <f t="shared" si="18"/>
        <v>14100</v>
      </c>
      <c r="E119" s="80">
        <f ca="1">(SUMIF(主线推图!$B$4:$B$303,"&lt;"&amp;C119,主线推图!$M$4:$M$303)+SUMIF(主线宝箱!$B$320:$B$620,"&lt;"&amp;C119,主线宝箱!$L$320:$L$620)+SUMIF(主线宝箱!$B$320:$B$620,"&lt;"&amp;C119,主线宝箱!$X$320:$X$620)+SUMIF(主线宝箱!$B$320:$B$620,"&lt;"&amp;C119,主线宝箱!$AL$320:$AL$620))</f>
        <v>292200</v>
      </c>
      <c r="F119" s="98">
        <f ca="1">SUMIF(组队产出!$B$24:$B$39,"&lt;="&amp;MAX(1,INT(C119/10-0.6)),组队产出!$R$24:$R$39)</f>
        <v>141000</v>
      </c>
      <c r="G119" s="80">
        <f ca="1">SUMIF(运营活动!$O$3:$O$27,"&lt;="&amp;C119,运营活动!$P$3:$P$27)</f>
        <v>30000</v>
      </c>
      <c r="H119" s="80">
        <f ca="1">OFFSET(产销汇总!$AM$12,B119,$C$26)*24</f>
        <v>686832</v>
      </c>
      <c r="I119" s="172">
        <f ca="1">SUMIF(金币本!$F$2:$F$52,"&lt;="&amp;C119,金币本!$D$2:$D$52)</f>
        <v>1029000</v>
      </c>
      <c r="J119" s="80">
        <f ca="1">OFFSET(产销汇总!$C$1,MATCH(J$27,产销汇总!$C$2:$C$8,0),$C$26)*(_xlfn.XLOOKUP(C119,主线推图!$B$313:$B$612,主线推图!$C$313:$C$612)+_xlfn.XLOOKUP(C119,主线推图!$B$313:$B$612,主线推图!$D$313:$D$612))</f>
        <v>13376</v>
      </c>
      <c r="K119" s="80">
        <f ca="1">OFFSET(产销汇总!$C$1,MATCH(K$27,产销汇总!$C$2:$C$8,0),$C$26)*_xlfn.XLOOKUP(C119,巡逻产出!$B$311:$B$610,巡逻产出!$C$311:$C$610)*1.3</f>
        <v>0</v>
      </c>
      <c r="L119" s="80">
        <f ca="1">OFFSET(产销汇总!$C$1,MATCH(L$27,产销汇总!$C$2:$C$8,0),$C$26)*(_xlfn.XLOOKUP(MAX(1,INT(C119/10-6/10)),组队产出!$B$24:$B$39,组队产出!$D$24:$D$39))+OFFSET(产销汇总!$C$1,MATCH(L$27,产销汇总!$C$2:$C$8,0),$C$26)*(_xlfn.XLOOKUP(MAX(1,INT(C119/10-6/10)),组队产出!$B$24:$B$39,组队产出!$C$24:$C$39))</f>
        <v>7176</v>
      </c>
      <c r="M119" s="80">
        <f ca="1">(OFFSET(产销汇总!$C$1,MATCH(M$27,产销汇总!$C$2:$C$8,0),$C$26)*_xlfn.XLOOKUP(C119,巡逻产出!$B$311:$B$610,巡逻产出!$D$311:$D$610))*$M$24</f>
        <v>9484.8</v>
      </c>
      <c r="N119" s="80">
        <f ca="1">OFFSET(产销汇总!$C$1,MATCH(L$27,产销汇总!$C$2:$C$8,0),$C$26)*(_xlfn.XLOOKUP(MAX(1,INT(C119/10-6/10)),组队产出!$B$24:$B$39,组队产出!$S$24:$S$39))</f>
        <v>20892</v>
      </c>
      <c r="O119" s="172">
        <f>任务!$D$36</f>
        <v>2457.14285714286</v>
      </c>
      <c r="P119" s="98">
        <f t="shared" si="13"/>
        <v>428</v>
      </c>
      <c r="Q119" s="80">
        <f t="shared" si="19"/>
        <v>1500</v>
      </c>
      <c r="R119" s="172">
        <f t="shared" si="20"/>
        <v>2000</v>
      </c>
      <c r="S119" s="210">
        <f ca="1">IFERROR(OFFSET(金币本!$E$2,MATCH(C119,金币本!$F$3:$F$302,1),0)*IF($C$26=1,2,3),0)</f>
        <v>33750</v>
      </c>
      <c r="T119" s="172" t="e">
        <f ca="1">SUM($J$28:S119)+SUM(D119:I119)</f>
        <v>#N/A</v>
      </c>
      <c r="U119" s="172" t="e">
        <f ca="1" t="shared" si="14"/>
        <v>#N/A</v>
      </c>
      <c r="V119" s="98" t="e">
        <f ca="1" t="shared" si="15"/>
        <v>#N/A</v>
      </c>
      <c r="W119" s="98" t="e">
        <f ca="1">OFFSET(装备强化!$U$6,MATCH(图纸产出设计!V120/6*W$26,装备强化!$T$7:$T$306,1),0)*6</f>
        <v>#N/A</v>
      </c>
      <c r="X119" s="98">
        <v>414190</v>
      </c>
      <c r="Y119" s="98">
        <f t="shared" si="21"/>
        <v>2832000</v>
      </c>
      <c r="Z119" s="98">
        <f t="shared" si="23"/>
        <v>2</v>
      </c>
      <c r="AA119" s="147" t="e">
        <f ca="1" t="shared" si="16"/>
        <v>#N/A</v>
      </c>
      <c r="AB119" s="209" t="e">
        <f ca="1" t="shared" si="17"/>
        <v>#N/A</v>
      </c>
      <c r="AC119" s="209">
        <f ca="1">SUMIFS(装备强化!$Q$7:$Q$306,装备强化!$M$7:$M$306,"&lt;="&amp;MATCH(U119/6,装备强化!$U$7:$U$306,1),装备强化!$M$7:$M$306,"&gt;="&amp;MATCH(V119/6,装备强化!$U$7:$U$306,1))*6</f>
        <v>0</v>
      </c>
      <c r="AD119">
        <f ca="1" t="shared" si="22"/>
        <v>0</v>
      </c>
    </row>
    <row r="120" spans="1:30">
      <c r="A120" s="171"/>
      <c r="B120" s="80">
        <v>93</v>
      </c>
      <c r="C120" s="80">
        <f ca="1">OFFSET(产销汇总!$C$12,$B120,$C$26)</f>
        <v>166</v>
      </c>
      <c r="D120" s="80">
        <f t="shared" si="18"/>
        <v>14100</v>
      </c>
      <c r="E120" s="80">
        <f ca="1">(SUMIF(主线推图!$B$4:$B$303,"&lt;"&amp;C120,主线推图!$M$4:$M$303)+SUMIF(主线宝箱!$B$320:$B$620,"&lt;"&amp;C120,主线宝箱!$L$320:$L$620)+SUMIF(主线宝箱!$B$320:$B$620,"&lt;"&amp;C120,主线宝箱!$X$320:$X$620)+SUMIF(主线宝箱!$B$320:$B$620,"&lt;"&amp;C120,主线宝箱!$AL$320:$AL$620))</f>
        <v>294000</v>
      </c>
      <c r="F120" s="98">
        <f ca="1">SUMIF(组队产出!$B$24:$B$39,"&lt;="&amp;MAX(1,INT(C120/10-0.6)),组队产出!$R$24:$R$39)</f>
        <v>141000</v>
      </c>
      <c r="G120" s="80">
        <f ca="1">SUMIF(运营活动!$O$3:$O$27,"&lt;="&amp;C120,运营活动!$P$3:$P$27)</f>
        <v>30000</v>
      </c>
      <c r="H120" s="80">
        <f ca="1">OFFSET(产销汇总!$AM$12,B120,$C$26)*24</f>
        <v>694080</v>
      </c>
      <c r="I120" s="172">
        <f ca="1">SUMIF(金币本!$F$2:$F$52,"&lt;="&amp;C120,金币本!$D$2:$D$52)</f>
        <v>1029000</v>
      </c>
      <c r="J120" s="80">
        <f ca="1">OFFSET(产销汇总!$C$1,MATCH(J$27,产销汇总!$C$2:$C$8,0),$C$26)*(_xlfn.XLOOKUP(C120,主线推图!$B$313:$B$612,主线推图!$C$313:$C$612)+_xlfn.XLOOKUP(C120,主线推图!$B$313:$B$612,主线推图!$D$313:$D$612))</f>
        <v>13420</v>
      </c>
      <c r="K120" s="80">
        <f ca="1">OFFSET(产销汇总!$C$1,MATCH(K$27,产销汇总!$C$2:$C$8,0),$C$26)*_xlfn.XLOOKUP(C120,巡逻产出!$B$311:$B$610,巡逻产出!$C$311:$C$610)*1.3</f>
        <v>0</v>
      </c>
      <c r="L120" s="80" t="e">
        <f ca="1">OFFSET(产销汇总!$C$1,MATCH(L$27,产销汇总!$C$2:$C$8,0),$C$26)*(_xlfn.XLOOKUP(MAX(1,INT(C120/10-6/10)),组队产出!$B$24:$B$39,组队产出!$D$24:$D$39))+OFFSET(产销汇总!$C$1,MATCH(L$27,产销汇总!$C$2:$C$8,0),$C$26)*(_xlfn.XLOOKUP(MAX(1,INT(C120/10-6/10)),组队产出!$B$24:$B$39,组队产出!$C$24:$C$39))</f>
        <v>#N/A</v>
      </c>
      <c r="M120" s="80">
        <f ca="1">(OFFSET(产销汇总!$C$1,MATCH(M$27,产销汇总!$C$2:$C$8,0),$C$26)*_xlfn.XLOOKUP(C120,巡逻产出!$B$311:$B$610,巡逻产出!$D$311:$D$610))*$M$24</f>
        <v>9516</v>
      </c>
      <c r="N120" s="80" t="e">
        <f ca="1">OFFSET(产销汇总!$C$1,MATCH(L$27,产销汇总!$C$2:$C$8,0),$C$26)*(_xlfn.XLOOKUP(MAX(1,INT(C120/10-6/10)),组队产出!$B$24:$B$39,组队产出!$S$24:$S$39))</f>
        <v>#N/A</v>
      </c>
      <c r="O120" s="172">
        <f>任务!$D$36</f>
        <v>2457.14285714286</v>
      </c>
      <c r="P120" s="98">
        <f t="shared" si="13"/>
        <v>428</v>
      </c>
      <c r="Q120" s="80">
        <f t="shared" si="19"/>
        <v>1000</v>
      </c>
      <c r="R120" s="172">
        <f t="shared" si="20"/>
        <v>2000</v>
      </c>
      <c r="S120" s="210">
        <f ca="1">IFERROR(OFFSET(金币本!$E$2,MATCH(C120,金币本!$F$3:$F$302,1),0)*IF($C$26=1,2,3),0)</f>
        <v>33750</v>
      </c>
      <c r="T120" s="172" t="e">
        <f ca="1">SUM($J$28:S120)+SUM(D120:I120)</f>
        <v>#N/A</v>
      </c>
      <c r="U120" s="172" t="e">
        <f ca="1" t="shared" si="14"/>
        <v>#N/A</v>
      </c>
      <c r="V120" s="98" t="e">
        <f ca="1" t="shared" si="15"/>
        <v>#N/A</v>
      </c>
      <c r="W120" s="98" t="e">
        <f ca="1">OFFSET(装备强化!$U$6,MATCH(图纸产出设计!V121/6*W$26,装备强化!$T$7:$T$306,1),0)*6</f>
        <v>#N/A</v>
      </c>
      <c r="X120" s="98">
        <v>421840</v>
      </c>
      <c r="Y120" s="98">
        <f t="shared" si="21"/>
        <v>2864000</v>
      </c>
      <c r="Z120" s="98">
        <f t="shared" si="23"/>
        <v>2</v>
      </c>
      <c r="AA120" s="147" t="e">
        <f ca="1" t="shared" si="16"/>
        <v>#N/A</v>
      </c>
      <c r="AB120" s="209" t="e">
        <f ca="1" t="shared" si="17"/>
        <v>#N/A</v>
      </c>
      <c r="AC120" s="209">
        <f ca="1">SUMIFS(装备强化!$Q$7:$Q$306,装备强化!$M$7:$M$306,"&lt;="&amp;MATCH(U120/6,装备强化!$U$7:$U$306,1),装备强化!$M$7:$M$306,"&gt;="&amp;MATCH(V120/6,装备强化!$U$7:$U$306,1))*6</f>
        <v>0</v>
      </c>
      <c r="AD120">
        <f ca="1" t="shared" si="22"/>
        <v>0</v>
      </c>
    </row>
    <row r="121" spans="1:30">
      <c r="A121" s="171"/>
      <c r="B121" s="80">
        <v>94</v>
      </c>
      <c r="C121" s="80">
        <f ca="1">OFFSET(产销汇总!$C$12,$B121,$C$26)</f>
        <v>167</v>
      </c>
      <c r="D121" s="80">
        <f t="shared" si="18"/>
        <v>14100</v>
      </c>
      <c r="E121" s="80">
        <f ca="1">(SUMIF(主线推图!$B$4:$B$303,"&lt;"&amp;C121,主线推图!$M$4:$M$303)+SUMIF(主线宝箱!$B$320:$B$620,"&lt;"&amp;C121,主线宝箱!$L$320:$L$620)+SUMIF(主线宝箱!$B$320:$B$620,"&lt;"&amp;C121,主线宝箱!$X$320:$X$620)+SUMIF(主线宝箱!$B$320:$B$620,"&lt;"&amp;C121,主线宝箱!$AL$320:$AL$620))</f>
        <v>295800</v>
      </c>
      <c r="F121" s="98">
        <f ca="1">SUMIF(组队产出!$B$24:$B$39,"&lt;="&amp;MAX(1,INT(C121/10-0.6)),组队产出!$R$24:$R$39)</f>
        <v>141000</v>
      </c>
      <c r="G121" s="80">
        <f ca="1">SUMIF(运营活动!$O$3:$O$27,"&lt;="&amp;C121,运营活动!$P$3:$P$27)</f>
        <v>30000</v>
      </c>
      <c r="H121" s="80">
        <f ca="1">OFFSET(产销汇总!$AM$12,B121,$C$26)*24</f>
        <v>701328</v>
      </c>
      <c r="I121" s="172">
        <f ca="1">SUMIF(金币本!$F$2:$F$52,"&lt;="&amp;C121,金币本!$D$2:$D$52)</f>
        <v>1075000</v>
      </c>
      <c r="J121" s="80">
        <f ca="1">OFFSET(产销汇总!$C$1,MATCH(J$27,产销汇总!$C$2:$C$8,0),$C$26)*(_xlfn.XLOOKUP(C121,主线推图!$B$313:$B$612,主线推图!$C$313:$C$612)+_xlfn.XLOOKUP(C121,主线推图!$B$313:$B$612,主线推图!$D$313:$D$612))</f>
        <v>13464</v>
      </c>
      <c r="K121" s="80">
        <f ca="1">OFFSET(产销汇总!$C$1,MATCH(K$27,产销汇总!$C$2:$C$8,0),$C$26)*_xlfn.XLOOKUP(C121,巡逻产出!$B$311:$B$610,巡逻产出!$C$311:$C$610)*1.3</f>
        <v>0</v>
      </c>
      <c r="L121" s="80" t="e">
        <f ca="1">OFFSET(产销汇总!$C$1,MATCH(L$27,产销汇总!$C$2:$C$8,0),$C$26)*(_xlfn.XLOOKUP(MAX(1,INT(C121/10-6/10)),组队产出!$B$24:$B$39,组队产出!$D$24:$D$39))+OFFSET(产销汇总!$C$1,MATCH(L$27,产销汇总!$C$2:$C$8,0),$C$26)*(_xlfn.XLOOKUP(MAX(1,INT(C121/10-6/10)),组队产出!$B$24:$B$39,组队产出!$C$24:$C$39))</f>
        <v>#N/A</v>
      </c>
      <c r="M121" s="80">
        <f ca="1">(OFFSET(产销汇总!$C$1,MATCH(M$27,产销汇总!$C$2:$C$8,0),$C$26)*_xlfn.XLOOKUP(C121,巡逻产出!$B$311:$B$610,巡逻产出!$D$311:$D$610))*$M$24</f>
        <v>9547.2</v>
      </c>
      <c r="N121" s="80" t="e">
        <f ca="1">OFFSET(产销汇总!$C$1,MATCH(L$27,产销汇总!$C$2:$C$8,0),$C$26)*(_xlfn.XLOOKUP(MAX(1,INT(C121/10-6/10)),组队产出!$B$24:$B$39,组队产出!$S$24:$S$39))</f>
        <v>#N/A</v>
      </c>
      <c r="O121" s="172">
        <f>任务!$D$36</f>
        <v>2457.14285714286</v>
      </c>
      <c r="P121" s="98">
        <f t="shared" si="13"/>
        <v>428</v>
      </c>
      <c r="Q121" s="80">
        <f t="shared" si="19"/>
        <v>1000</v>
      </c>
      <c r="R121" s="172">
        <f t="shared" si="20"/>
        <v>2000</v>
      </c>
      <c r="S121" s="210">
        <f ca="1">IFERROR(OFFSET(金币本!$E$2,MATCH(C121,金币本!$F$3:$F$302,1),0)*IF($C$26=1,2,3),0)</f>
        <v>34500</v>
      </c>
      <c r="T121" s="172" t="e">
        <f ca="1">SUM($J$28:S121)+SUM(D121:I121)</f>
        <v>#N/A</v>
      </c>
      <c r="U121" s="172" t="e">
        <f ca="1" t="shared" si="14"/>
        <v>#N/A</v>
      </c>
      <c r="V121" s="98" t="e">
        <f ca="1" t="shared" si="15"/>
        <v>#N/A</v>
      </c>
      <c r="W121" s="98" t="e">
        <f ca="1">OFFSET(装备强化!$U$6,MATCH(图纸产出设计!V122/6*W$26,装备强化!$T$7:$T$306,1),0)*6</f>
        <v>#N/A</v>
      </c>
      <c r="X121" s="98">
        <v>421840</v>
      </c>
      <c r="Y121" s="98">
        <f t="shared" si="21"/>
        <v>2896000</v>
      </c>
      <c r="Z121" s="98">
        <f t="shared" si="23"/>
        <v>2</v>
      </c>
      <c r="AA121" s="147" t="e">
        <f ca="1" t="shared" si="16"/>
        <v>#N/A</v>
      </c>
      <c r="AB121" s="209" t="e">
        <f ca="1" t="shared" si="17"/>
        <v>#N/A</v>
      </c>
      <c r="AC121" s="209">
        <f ca="1">SUMIFS(装备强化!$Q$7:$Q$306,装备强化!$M$7:$M$306,"&lt;="&amp;MATCH(U121/6,装备强化!$U$7:$U$306,1),装备强化!$M$7:$M$306,"&gt;="&amp;MATCH(V121/6,装备强化!$U$7:$U$306,1))*6</f>
        <v>0</v>
      </c>
      <c r="AD121">
        <f ca="1" t="shared" si="22"/>
        <v>0</v>
      </c>
    </row>
    <row r="122" spans="1:30">
      <c r="A122" s="171"/>
      <c r="B122" s="80">
        <v>95</v>
      </c>
      <c r="C122" s="80">
        <f ca="1">OFFSET(产销汇总!$C$12,$B122,$C$26)</f>
        <v>168</v>
      </c>
      <c r="D122" s="80">
        <f t="shared" si="18"/>
        <v>14100</v>
      </c>
      <c r="E122" s="80">
        <f ca="1">(SUMIF(主线推图!$B$4:$B$303,"&lt;"&amp;C122,主线推图!$M$4:$M$303)+SUMIF(主线宝箱!$B$320:$B$620,"&lt;"&amp;C122,主线宝箱!$L$320:$L$620)+SUMIF(主线宝箱!$B$320:$B$620,"&lt;"&amp;C122,主线宝箱!$X$320:$X$620)+SUMIF(主线宝箱!$B$320:$B$620,"&lt;"&amp;C122,主线宝箱!$AL$320:$AL$620))</f>
        <v>297600</v>
      </c>
      <c r="F122" s="98">
        <f ca="1">SUMIF(组队产出!$B$24:$B$39,"&lt;="&amp;MAX(1,INT(C122/10-0.6)),组队产出!$R$24:$R$39)</f>
        <v>141000</v>
      </c>
      <c r="G122" s="80">
        <f ca="1">SUMIF(运营活动!$O$3:$O$27,"&lt;="&amp;C122,运营活动!$P$3:$P$27)</f>
        <v>30000</v>
      </c>
      <c r="H122" s="80">
        <f ca="1">OFFSET(产销汇总!$AM$12,B122,$C$26)*24</f>
        <v>708576</v>
      </c>
      <c r="I122" s="172">
        <f ca="1">SUMIF(金币本!$F$2:$F$52,"&lt;="&amp;C122,金币本!$D$2:$D$52)</f>
        <v>1075000</v>
      </c>
      <c r="J122" s="80">
        <f ca="1">OFFSET(产销汇总!$C$1,MATCH(J$27,产销汇总!$C$2:$C$8,0),$C$26)*(_xlfn.XLOOKUP(C122,主线推图!$B$313:$B$612,主线推图!$C$313:$C$612)+_xlfn.XLOOKUP(C122,主线推图!$B$313:$B$612,主线推图!$D$313:$D$612))</f>
        <v>13508</v>
      </c>
      <c r="K122" s="80">
        <f ca="1">OFFSET(产销汇总!$C$1,MATCH(K$27,产销汇总!$C$2:$C$8,0),$C$26)*_xlfn.XLOOKUP(C122,巡逻产出!$B$311:$B$610,巡逻产出!$C$311:$C$610)*1.3</f>
        <v>0</v>
      </c>
      <c r="L122" s="80" t="e">
        <f ca="1">OFFSET(产销汇总!$C$1,MATCH(L$27,产销汇总!$C$2:$C$8,0),$C$26)*(_xlfn.XLOOKUP(MAX(1,INT(C122/10-6/10)),组队产出!$B$24:$B$39,组队产出!$D$24:$D$39))+OFFSET(产销汇总!$C$1,MATCH(L$27,产销汇总!$C$2:$C$8,0),$C$26)*(_xlfn.XLOOKUP(MAX(1,INT(C122/10-6/10)),组队产出!$B$24:$B$39,组队产出!$C$24:$C$39))</f>
        <v>#N/A</v>
      </c>
      <c r="M122" s="80">
        <f ca="1">(OFFSET(产销汇总!$C$1,MATCH(M$27,产销汇总!$C$2:$C$8,0),$C$26)*_xlfn.XLOOKUP(C122,巡逻产出!$B$311:$B$610,巡逻产出!$D$311:$D$610))*$M$24</f>
        <v>9578.4</v>
      </c>
      <c r="N122" s="80" t="e">
        <f ca="1">OFFSET(产销汇总!$C$1,MATCH(L$27,产销汇总!$C$2:$C$8,0),$C$26)*(_xlfn.XLOOKUP(MAX(1,INT(C122/10-6/10)),组队产出!$B$24:$B$39,组队产出!$S$24:$S$39))</f>
        <v>#N/A</v>
      </c>
      <c r="O122" s="172">
        <f>任务!$D$36</f>
        <v>2457.14285714286</v>
      </c>
      <c r="P122" s="98">
        <f t="shared" si="13"/>
        <v>428</v>
      </c>
      <c r="Q122" s="80">
        <f t="shared" si="19"/>
        <v>1000</v>
      </c>
      <c r="R122" s="172">
        <f t="shared" si="20"/>
        <v>2000</v>
      </c>
      <c r="S122" s="210">
        <f ca="1">IFERROR(OFFSET(金币本!$E$2,MATCH(C122,金币本!$F$3:$F$302,1),0)*IF($C$26=1,2,3),0)</f>
        <v>34500</v>
      </c>
      <c r="T122" s="172" t="e">
        <f ca="1">SUM($J$28:S122)+SUM(D122:I122)</f>
        <v>#N/A</v>
      </c>
      <c r="U122" s="172" t="e">
        <f ca="1" t="shared" si="14"/>
        <v>#N/A</v>
      </c>
      <c r="V122" s="98" t="e">
        <f ca="1" t="shared" si="15"/>
        <v>#N/A</v>
      </c>
      <c r="W122" s="98" t="e">
        <f ca="1">OFFSET(装备强化!$U$6,MATCH(图纸产出设计!V123/6*W$26,装备强化!$T$7:$T$306,1),0)*6</f>
        <v>#N/A</v>
      </c>
      <c r="X122" s="98">
        <v>429560</v>
      </c>
      <c r="Y122" s="98">
        <f t="shared" si="21"/>
        <v>2928000</v>
      </c>
      <c r="Z122" s="98">
        <f t="shared" si="23"/>
        <v>2</v>
      </c>
      <c r="AA122" s="147" t="e">
        <f ca="1" t="shared" si="16"/>
        <v>#N/A</v>
      </c>
      <c r="AB122" s="209" t="e">
        <f ca="1" t="shared" si="17"/>
        <v>#N/A</v>
      </c>
      <c r="AC122" s="209">
        <f ca="1">SUMIFS(装备强化!$Q$7:$Q$306,装备强化!$M$7:$M$306,"&lt;="&amp;MATCH(U122/6,装备强化!$U$7:$U$306,1),装备强化!$M$7:$M$306,"&gt;="&amp;MATCH(V122/6,装备强化!$U$7:$U$306,1))*6</f>
        <v>0</v>
      </c>
      <c r="AD122">
        <f ca="1" t="shared" si="22"/>
        <v>0</v>
      </c>
    </row>
    <row r="123" spans="1:30">
      <c r="A123" s="171"/>
      <c r="B123" s="80">
        <v>96</v>
      </c>
      <c r="C123" s="80">
        <f ca="1">OFFSET(产销汇总!$C$12,$B123,$C$26)</f>
        <v>169</v>
      </c>
      <c r="D123" s="80">
        <f t="shared" si="18"/>
        <v>14100</v>
      </c>
      <c r="E123" s="80">
        <f ca="1">(SUMIF(主线推图!$B$4:$B$303,"&lt;"&amp;C123,主线推图!$M$4:$M$303)+SUMIF(主线宝箱!$B$320:$B$620,"&lt;"&amp;C123,主线宝箱!$L$320:$L$620)+SUMIF(主线宝箱!$B$320:$B$620,"&lt;"&amp;C123,主线宝箱!$X$320:$X$620)+SUMIF(主线宝箱!$B$320:$B$620,"&lt;"&amp;C123,主线宝箱!$AL$320:$AL$620))</f>
        <v>299400</v>
      </c>
      <c r="F123" s="98">
        <f ca="1">SUMIF(组队产出!$B$24:$B$39,"&lt;="&amp;MAX(1,INT(C123/10-0.6)),组队产出!$R$24:$R$39)</f>
        <v>141000</v>
      </c>
      <c r="G123" s="80">
        <f ca="1">SUMIF(运营活动!$O$3:$O$27,"&lt;="&amp;C123,运营活动!$P$3:$P$27)</f>
        <v>30000</v>
      </c>
      <c r="H123" s="80">
        <f ca="1">OFFSET(产销汇总!$AM$12,B123,$C$26)*24</f>
        <v>715824</v>
      </c>
      <c r="I123" s="172">
        <f ca="1">SUMIF(金币本!$F$2:$F$52,"&lt;="&amp;C123,金币本!$D$2:$D$52)</f>
        <v>1075000</v>
      </c>
      <c r="J123" s="80">
        <f ca="1">OFFSET(产销汇总!$C$1,MATCH(J$27,产销汇总!$C$2:$C$8,0),$C$26)*(_xlfn.XLOOKUP(C123,主线推图!$B$313:$B$612,主线推图!$C$313:$C$612)+_xlfn.XLOOKUP(C123,主线推图!$B$313:$B$612,主线推图!$D$313:$D$612))</f>
        <v>13552</v>
      </c>
      <c r="K123" s="80">
        <f ca="1">OFFSET(产销汇总!$C$1,MATCH(K$27,产销汇总!$C$2:$C$8,0),$C$26)*_xlfn.XLOOKUP(C123,巡逻产出!$B$311:$B$610,巡逻产出!$C$311:$C$610)*1.3</f>
        <v>0</v>
      </c>
      <c r="L123" s="80" t="e">
        <f ca="1">OFFSET(产销汇总!$C$1,MATCH(L$27,产销汇总!$C$2:$C$8,0),$C$26)*(_xlfn.XLOOKUP(MAX(1,INT(C123/10-6/10)),组队产出!$B$24:$B$39,组队产出!$D$24:$D$39))+OFFSET(产销汇总!$C$1,MATCH(L$27,产销汇总!$C$2:$C$8,0),$C$26)*(_xlfn.XLOOKUP(MAX(1,INT(C123/10-6/10)),组队产出!$B$24:$B$39,组队产出!$C$24:$C$39))</f>
        <v>#N/A</v>
      </c>
      <c r="M123" s="80">
        <f ca="1">(OFFSET(产销汇总!$C$1,MATCH(M$27,产销汇总!$C$2:$C$8,0),$C$26)*_xlfn.XLOOKUP(C123,巡逻产出!$B$311:$B$610,巡逻产出!$D$311:$D$610))*$M$24</f>
        <v>9609.6</v>
      </c>
      <c r="N123" s="80" t="e">
        <f ca="1">OFFSET(产销汇总!$C$1,MATCH(L$27,产销汇总!$C$2:$C$8,0),$C$26)*(_xlfn.XLOOKUP(MAX(1,INT(C123/10-6/10)),组队产出!$B$24:$B$39,组队产出!$S$24:$S$39))</f>
        <v>#N/A</v>
      </c>
      <c r="O123" s="172">
        <f>任务!$D$36</f>
        <v>2457.14285714286</v>
      </c>
      <c r="P123" s="98">
        <f t="shared" si="13"/>
        <v>428</v>
      </c>
      <c r="Q123" s="80">
        <f t="shared" si="19"/>
        <v>1000</v>
      </c>
      <c r="R123" s="172">
        <f t="shared" si="20"/>
        <v>2000</v>
      </c>
      <c r="S123" s="210">
        <f ca="1">IFERROR(OFFSET(金币本!$E$2,MATCH(C123,金币本!$F$3:$F$302,1),0)*IF($C$26=1,2,3),0)</f>
        <v>34500</v>
      </c>
      <c r="T123" s="172" t="e">
        <f ca="1">SUM($J$28:S123)+SUM(D123:I123)</f>
        <v>#N/A</v>
      </c>
      <c r="U123" s="172" t="e">
        <f ca="1" t="shared" si="14"/>
        <v>#N/A</v>
      </c>
      <c r="V123" s="98" t="e">
        <f ca="1" t="shared" si="15"/>
        <v>#N/A</v>
      </c>
      <c r="W123" s="98" t="e">
        <f ca="1">OFFSET(装备强化!$U$6,MATCH(图纸产出设计!V124/6*W$26,装备强化!$T$7:$T$306,1),0)*6</f>
        <v>#N/A</v>
      </c>
      <c r="X123" s="98">
        <v>429560</v>
      </c>
      <c r="Y123" s="98">
        <f t="shared" si="21"/>
        <v>2960000</v>
      </c>
      <c r="Z123" s="98">
        <f t="shared" si="23"/>
        <v>2</v>
      </c>
      <c r="AA123" s="147" t="e">
        <f ca="1" t="shared" si="16"/>
        <v>#N/A</v>
      </c>
      <c r="AB123" s="209" t="e">
        <f ca="1" t="shared" si="17"/>
        <v>#N/A</v>
      </c>
      <c r="AC123" s="209">
        <f ca="1">SUMIFS(装备强化!$Q$7:$Q$306,装备强化!$M$7:$M$306,"&lt;="&amp;MATCH(U123/6,装备强化!$U$7:$U$306,1),装备强化!$M$7:$M$306,"&gt;="&amp;MATCH(V123/6,装备强化!$U$7:$U$306,1))*6</f>
        <v>0</v>
      </c>
      <c r="AD123">
        <f ca="1" t="shared" si="22"/>
        <v>0</v>
      </c>
    </row>
    <row r="124" spans="1:30">
      <c r="A124" s="171"/>
      <c r="B124" s="80">
        <v>97</v>
      </c>
      <c r="C124" s="80">
        <f ca="1">OFFSET(产销汇总!$C$12,$B124,$C$26)</f>
        <v>170</v>
      </c>
      <c r="D124" s="80">
        <f t="shared" si="18"/>
        <v>14100</v>
      </c>
      <c r="E124" s="80">
        <f ca="1">(SUMIF(主线推图!$B$4:$B$303,"&lt;"&amp;C124,主线推图!$M$4:$M$303)+SUMIF(主线宝箱!$B$320:$B$620,"&lt;"&amp;C124,主线宝箱!$L$320:$L$620)+SUMIF(主线宝箱!$B$320:$B$620,"&lt;"&amp;C124,主线宝箱!$X$320:$X$620)+SUMIF(主线宝箱!$B$320:$B$620,"&lt;"&amp;C124,主线宝箱!$AL$320:$AL$620))</f>
        <v>301200</v>
      </c>
      <c r="F124" s="98">
        <f ca="1">SUMIF(组队产出!$B$24:$B$39,"&lt;="&amp;MAX(1,INT(C124/10-0.6)),组队产出!$R$24:$R$39)</f>
        <v>141000</v>
      </c>
      <c r="G124" s="80">
        <f ca="1">SUMIF(运营活动!$O$3:$O$27,"&lt;="&amp;C124,运营活动!$P$3:$P$27)</f>
        <v>30000</v>
      </c>
      <c r="H124" s="80">
        <f ca="1">OFFSET(产销汇总!$AM$12,B124,$C$26)*24</f>
        <v>723072</v>
      </c>
      <c r="I124" s="172">
        <f ca="1">SUMIF(金币本!$F$2:$F$52,"&lt;="&amp;C124,金币本!$D$2:$D$52)</f>
        <v>1075000</v>
      </c>
      <c r="J124" s="80">
        <f ca="1">OFFSET(产销汇总!$C$1,MATCH(J$27,产销汇总!$C$2:$C$8,0),$C$26)*(_xlfn.XLOOKUP(C124,主线推图!$B$313:$B$612,主线推图!$C$313:$C$612)+_xlfn.XLOOKUP(C124,主线推图!$B$313:$B$612,主线推图!$D$313:$D$612))</f>
        <v>13596</v>
      </c>
      <c r="K124" s="80">
        <f ca="1">OFFSET(产销汇总!$C$1,MATCH(K$27,产销汇总!$C$2:$C$8,0),$C$26)*_xlfn.XLOOKUP(C124,巡逻产出!$B$311:$B$610,巡逻产出!$C$311:$C$610)*1.3</f>
        <v>0</v>
      </c>
      <c r="L124" s="80" t="e">
        <f ca="1">OFFSET(产销汇总!$C$1,MATCH(L$27,产销汇总!$C$2:$C$8,0),$C$26)*(_xlfn.XLOOKUP(MAX(1,INT(C124/10-6/10)),组队产出!$B$24:$B$39,组队产出!$D$24:$D$39))+OFFSET(产销汇总!$C$1,MATCH(L$27,产销汇总!$C$2:$C$8,0),$C$26)*(_xlfn.XLOOKUP(MAX(1,INT(C124/10-6/10)),组队产出!$B$24:$B$39,组队产出!$C$24:$C$39))</f>
        <v>#N/A</v>
      </c>
      <c r="M124" s="80">
        <f ca="1">(OFFSET(产销汇总!$C$1,MATCH(M$27,产销汇总!$C$2:$C$8,0),$C$26)*_xlfn.XLOOKUP(C124,巡逻产出!$B$311:$B$610,巡逻产出!$D$311:$D$610))*$M$24</f>
        <v>9640.8</v>
      </c>
      <c r="N124" s="80" t="e">
        <f ca="1">OFFSET(产销汇总!$C$1,MATCH(L$27,产销汇总!$C$2:$C$8,0),$C$26)*(_xlfn.XLOOKUP(MAX(1,INT(C124/10-6/10)),组队产出!$B$24:$B$39,组队产出!$S$24:$S$39))</f>
        <v>#N/A</v>
      </c>
      <c r="O124" s="172">
        <f>任务!$D$36</f>
        <v>2457.14285714286</v>
      </c>
      <c r="P124" s="98">
        <f t="shared" si="13"/>
        <v>428</v>
      </c>
      <c r="Q124" s="80">
        <f t="shared" si="19"/>
        <v>1000</v>
      </c>
      <c r="R124" s="172">
        <f t="shared" si="20"/>
        <v>2000</v>
      </c>
      <c r="S124" s="210">
        <f ca="1">IFERROR(OFFSET(金币本!$E$2,MATCH(C124,金币本!$F$3:$F$302,1),0)*IF($C$26=1,2,3),0)</f>
        <v>34500</v>
      </c>
      <c r="T124" s="172" t="e">
        <f ca="1">SUM($J$28:S124)+SUM(D124:I124)</f>
        <v>#N/A</v>
      </c>
      <c r="U124" s="172" t="e">
        <f ca="1" t="shared" si="14"/>
        <v>#N/A</v>
      </c>
      <c r="V124" s="98" t="e">
        <f ca="1" t="shared" si="15"/>
        <v>#N/A</v>
      </c>
      <c r="W124" s="98" t="e">
        <f ca="1">OFFSET(装备强化!$U$6,MATCH(图纸产出设计!V125/6*W$26,装备强化!$T$7:$T$306,1),0)*6</f>
        <v>#N/A</v>
      </c>
      <c r="X124" s="98">
        <v>437350</v>
      </c>
      <c r="Y124" s="98">
        <f t="shared" si="21"/>
        <v>2992000</v>
      </c>
      <c r="Z124" s="98">
        <f t="shared" si="23"/>
        <v>2</v>
      </c>
      <c r="AA124" s="147" t="e">
        <f ca="1" t="shared" si="16"/>
        <v>#N/A</v>
      </c>
      <c r="AB124" s="209" t="e">
        <f ca="1" t="shared" si="17"/>
        <v>#N/A</v>
      </c>
      <c r="AC124" s="209">
        <f ca="1">SUMIFS(装备强化!$Q$7:$Q$306,装备强化!$M$7:$M$306,"&lt;="&amp;MATCH(U124/6,装备强化!$U$7:$U$306,1),装备强化!$M$7:$M$306,"&gt;="&amp;MATCH(V124/6,装备强化!$U$7:$U$306,1))*6</f>
        <v>0</v>
      </c>
      <c r="AD124">
        <f ca="1" t="shared" si="22"/>
        <v>0</v>
      </c>
    </row>
    <row r="125" spans="1:30">
      <c r="A125" s="171"/>
      <c r="B125" s="80">
        <v>98</v>
      </c>
      <c r="C125" s="80">
        <f ca="1">OFFSET(产销汇总!$C$12,$B125,$C$26)</f>
        <v>171</v>
      </c>
      <c r="D125" s="80">
        <f t="shared" si="18"/>
        <v>14100</v>
      </c>
      <c r="E125" s="80">
        <f ca="1">(SUMIF(主线推图!$B$4:$B$303,"&lt;"&amp;C125,主线推图!$M$4:$M$303)+SUMIF(主线宝箱!$B$320:$B$620,"&lt;"&amp;C125,主线宝箱!$L$320:$L$620)+SUMIF(主线宝箱!$B$320:$B$620,"&lt;"&amp;C125,主线宝箱!$X$320:$X$620)+SUMIF(主线宝箱!$B$320:$B$620,"&lt;"&amp;C125,主线宝箱!$AL$320:$AL$620))</f>
        <v>303000</v>
      </c>
      <c r="F125" s="98">
        <f ca="1">SUMIF(组队产出!$B$24:$B$39,"&lt;="&amp;MAX(1,INT(C125/10-0.6)),组队产出!$R$24:$R$39)</f>
        <v>141000</v>
      </c>
      <c r="G125" s="80">
        <f ca="1">SUMIF(运营活动!$O$3:$O$27,"&lt;="&amp;C125,运营活动!$P$3:$P$27)</f>
        <v>30000</v>
      </c>
      <c r="H125" s="80">
        <f ca="1">OFFSET(产销汇总!$AM$12,B125,$C$26)*24</f>
        <v>730320</v>
      </c>
      <c r="I125" s="172">
        <f ca="1">SUMIF(金币本!$F$2:$F$52,"&lt;="&amp;C125,金币本!$D$2:$D$52)</f>
        <v>1122000</v>
      </c>
      <c r="J125" s="80">
        <f ca="1">OFFSET(产销汇总!$C$1,MATCH(J$27,产销汇总!$C$2:$C$8,0),$C$26)*(_xlfn.XLOOKUP(C125,主线推图!$B$313:$B$612,主线推图!$C$313:$C$612)+_xlfn.XLOOKUP(C125,主线推图!$B$313:$B$612,主线推图!$D$313:$D$612))</f>
        <v>13640</v>
      </c>
      <c r="K125" s="80">
        <f ca="1">OFFSET(产销汇总!$C$1,MATCH(K$27,产销汇总!$C$2:$C$8,0),$C$26)*_xlfn.XLOOKUP(C125,巡逻产出!$B$311:$B$610,巡逻产出!$C$311:$C$610)*1.3</f>
        <v>0</v>
      </c>
      <c r="L125" s="80" t="e">
        <f ca="1">OFFSET(产销汇总!$C$1,MATCH(L$27,产销汇总!$C$2:$C$8,0),$C$26)*(_xlfn.XLOOKUP(MAX(1,INT(C125/10-6/10)),组队产出!$B$24:$B$39,组队产出!$D$24:$D$39))+OFFSET(产销汇总!$C$1,MATCH(L$27,产销汇总!$C$2:$C$8,0),$C$26)*(_xlfn.XLOOKUP(MAX(1,INT(C125/10-6/10)),组队产出!$B$24:$B$39,组队产出!$C$24:$C$39))</f>
        <v>#N/A</v>
      </c>
      <c r="M125" s="80">
        <f ca="1">(OFFSET(产销汇总!$C$1,MATCH(M$27,产销汇总!$C$2:$C$8,0),$C$26)*_xlfn.XLOOKUP(C125,巡逻产出!$B$311:$B$610,巡逻产出!$D$311:$D$610))*$M$24</f>
        <v>9672</v>
      </c>
      <c r="N125" s="80" t="e">
        <f ca="1">OFFSET(产销汇总!$C$1,MATCH(L$27,产销汇总!$C$2:$C$8,0),$C$26)*(_xlfn.XLOOKUP(MAX(1,INT(C125/10-6/10)),组队产出!$B$24:$B$39,组队产出!$S$24:$S$39))</f>
        <v>#N/A</v>
      </c>
      <c r="O125" s="172">
        <f>任务!$D$36</f>
        <v>2457.14285714286</v>
      </c>
      <c r="P125" s="98">
        <f t="shared" si="13"/>
        <v>428</v>
      </c>
      <c r="Q125" s="80">
        <f t="shared" si="19"/>
        <v>1000</v>
      </c>
      <c r="R125" s="172">
        <f t="shared" si="20"/>
        <v>2000</v>
      </c>
      <c r="S125" s="210">
        <f ca="1">IFERROR(OFFSET(金币本!$E$2,MATCH(C125,金币本!$F$3:$F$302,1),0)*IF($C$26=1,2,3),0)</f>
        <v>35250</v>
      </c>
      <c r="T125" s="172" t="e">
        <f ca="1">SUM($J$28:S125)+SUM(D125:I125)</f>
        <v>#N/A</v>
      </c>
      <c r="U125" s="172" t="e">
        <f ca="1" t="shared" si="14"/>
        <v>#N/A</v>
      </c>
      <c r="V125" s="98" t="e">
        <f ca="1" t="shared" si="15"/>
        <v>#N/A</v>
      </c>
      <c r="W125" s="98" t="e">
        <f ca="1">OFFSET(装备强化!$U$6,MATCH(图纸产出设计!V126/6*W$26,装备强化!$T$7:$T$306,1),0)*6</f>
        <v>#N/A</v>
      </c>
      <c r="X125" s="98">
        <v>437350</v>
      </c>
      <c r="Y125" s="98">
        <f t="shared" si="21"/>
        <v>3024000</v>
      </c>
      <c r="Z125" s="98">
        <f t="shared" si="23"/>
        <v>2</v>
      </c>
      <c r="AA125" s="147" t="e">
        <f ca="1" t="shared" si="16"/>
        <v>#N/A</v>
      </c>
      <c r="AB125" s="209" t="e">
        <f ca="1" t="shared" si="17"/>
        <v>#N/A</v>
      </c>
      <c r="AC125" s="209">
        <f ca="1">SUMIFS(装备强化!$Q$7:$Q$306,装备强化!$M$7:$M$306,"&lt;="&amp;MATCH(U125/6,装备强化!$U$7:$U$306,1),装备强化!$M$7:$M$306,"&gt;="&amp;MATCH(V125/6,装备强化!$U$7:$U$306,1))*6</f>
        <v>0</v>
      </c>
      <c r="AD125">
        <f ca="1" t="shared" si="22"/>
        <v>0</v>
      </c>
    </row>
    <row r="126" spans="1:30">
      <c r="A126" s="171"/>
      <c r="B126" s="80">
        <v>99</v>
      </c>
      <c r="C126" s="80">
        <f ca="1">OFFSET(产销汇总!$C$12,$B126,$C$26)</f>
        <v>172</v>
      </c>
      <c r="D126" s="80">
        <f t="shared" si="18"/>
        <v>14100</v>
      </c>
      <c r="E126" s="80">
        <f ca="1">(SUMIF(主线推图!$B$4:$B$303,"&lt;"&amp;C126,主线推图!$M$4:$M$303)+SUMIF(主线宝箱!$B$320:$B$620,"&lt;"&amp;C126,主线宝箱!$L$320:$L$620)+SUMIF(主线宝箱!$B$320:$B$620,"&lt;"&amp;C126,主线宝箱!$X$320:$X$620)+SUMIF(主线宝箱!$B$320:$B$620,"&lt;"&amp;C126,主线宝箱!$AL$320:$AL$620))</f>
        <v>304800</v>
      </c>
      <c r="F126" s="98">
        <f ca="1">SUMIF(组队产出!$B$24:$B$39,"&lt;="&amp;MAX(1,INT(C126/10-0.6)),组队产出!$R$24:$R$39)</f>
        <v>141000</v>
      </c>
      <c r="G126" s="80">
        <f ca="1">SUMIF(运营活动!$O$3:$O$27,"&lt;="&amp;C126,运营活动!$P$3:$P$27)</f>
        <v>30000</v>
      </c>
      <c r="H126" s="80">
        <f ca="1">OFFSET(产销汇总!$AM$12,B126,$C$26)*24</f>
        <v>737568</v>
      </c>
      <c r="I126" s="172">
        <f ca="1">SUMIF(金币本!$F$2:$F$52,"&lt;="&amp;C126,金币本!$D$2:$D$52)</f>
        <v>1122000</v>
      </c>
      <c r="J126" s="80">
        <f ca="1">OFFSET(产销汇总!$C$1,MATCH(J$27,产销汇总!$C$2:$C$8,0),$C$26)*(_xlfn.XLOOKUP(C126,主线推图!$B$313:$B$612,主线推图!$C$313:$C$612)+_xlfn.XLOOKUP(C126,主线推图!$B$313:$B$612,主线推图!$D$313:$D$612))</f>
        <v>13684</v>
      </c>
      <c r="K126" s="80">
        <f ca="1">OFFSET(产销汇总!$C$1,MATCH(K$27,产销汇总!$C$2:$C$8,0),$C$26)*_xlfn.XLOOKUP(C126,巡逻产出!$B$311:$B$610,巡逻产出!$C$311:$C$610)*1.3</f>
        <v>0</v>
      </c>
      <c r="L126" s="80" t="e">
        <f ca="1">OFFSET(产销汇总!$C$1,MATCH(L$27,产销汇总!$C$2:$C$8,0),$C$26)*(_xlfn.XLOOKUP(MAX(1,INT(C126/10-6/10)),组队产出!$B$24:$B$39,组队产出!$D$24:$D$39))+OFFSET(产销汇总!$C$1,MATCH(L$27,产销汇总!$C$2:$C$8,0),$C$26)*(_xlfn.XLOOKUP(MAX(1,INT(C126/10-6/10)),组队产出!$B$24:$B$39,组队产出!$C$24:$C$39))</f>
        <v>#N/A</v>
      </c>
      <c r="M126" s="80">
        <f ca="1">(OFFSET(产销汇总!$C$1,MATCH(M$27,产销汇总!$C$2:$C$8,0),$C$26)*_xlfn.XLOOKUP(C126,巡逻产出!$B$311:$B$610,巡逻产出!$D$311:$D$610))*$M$24</f>
        <v>9703.2</v>
      </c>
      <c r="N126" s="80" t="e">
        <f ca="1">OFFSET(产销汇总!$C$1,MATCH(L$27,产销汇总!$C$2:$C$8,0),$C$26)*(_xlfn.XLOOKUP(MAX(1,INT(C126/10-6/10)),组队产出!$B$24:$B$39,组队产出!$S$24:$S$39))</f>
        <v>#N/A</v>
      </c>
      <c r="O126" s="172">
        <f>任务!$D$36</f>
        <v>2457.14285714286</v>
      </c>
      <c r="P126" s="98">
        <f t="shared" si="13"/>
        <v>428</v>
      </c>
      <c r="Q126" s="80">
        <f t="shared" si="19"/>
        <v>1500</v>
      </c>
      <c r="R126" s="172">
        <f t="shared" si="20"/>
        <v>2000</v>
      </c>
      <c r="S126" s="210">
        <f ca="1">IFERROR(OFFSET(金币本!$E$2,MATCH(C126,金币本!$F$3:$F$302,1),0)*IF($C$26=1,2,3),0)</f>
        <v>35250</v>
      </c>
      <c r="T126" s="172" t="e">
        <f ca="1">SUM($J$28:S126)+SUM(D126:I126)</f>
        <v>#N/A</v>
      </c>
      <c r="U126" s="172" t="e">
        <f ca="1" t="shared" si="14"/>
        <v>#N/A</v>
      </c>
      <c r="V126" s="98" t="e">
        <f ca="1" t="shared" si="15"/>
        <v>#N/A</v>
      </c>
      <c r="W126" s="98" t="e">
        <f ca="1">OFFSET(装备强化!$U$6,MATCH(图纸产出设计!V127/6*W$26,装备强化!$T$7:$T$306,1),0)*6</f>
        <v>#N/A</v>
      </c>
      <c r="X126" s="98">
        <v>445210</v>
      </c>
      <c r="Y126" s="98">
        <f t="shared" si="21"/>
        <v>3056000</v>
      </c>
      <c r="Z126" s="98">
        <f t="shared" si="23"/>
        <v>2</v>
      </c>
      <c r="AA126" s="147" t="e">
        <f ca="1" t="shared" si="16"/>
        <v>#N/A</v>
      </c>
      <c r="AB126" s="209" t="e">
        <f ca="1" t="shared" si="17"/>
        <v>#N/A</v>
      </c>
      <c r="AC126" s="209">
        <f ca="1">SUMIFS(装备强化!$Q$7:$Q$306,装备强化!$M$7:$M$306,"&lt;="&amp;MATCH(U126/6,装备强化!$U$7:$U$306,1),装备强化!$M$7:$M$306,"&gt;="&amp;MATCH(V126/6,装备强化!$U$7:$U$306,1))*6</f>
        <v>0</v>
      </c>
      <c r="AD126">
        <f ca="1" t="shared" si="22"/>
        <v>0</v>
      </c>
    </row>
    <row r="127" spans="1:30">
      <c r="A127" s="171"/>
      <c r="B127" s="80">
        <v>100</v>
      </c>
      <c r="C127" s="80">
        <f ca="1">OFFSET(产销汇总!$C$12,$B127,$C$26)</f>
        <v>173</v>
      </c>
      <c r="D127" s="80">
        <f t="shared" si="18"/>
        <v>14100</v>
      </c>
      <c r="E127" s="80">
        <f ca="1">(SUMIF(主线推图!$B$4:$B$303,"&lt;"&amp;C127,主线推图!$M$4:$M$303)+SUMIF(主线宝箱!$B$320:$B$620,"&lt;"&amp;C127,主线宝箱!$L$320:$L$620)+SUMIF(主线宝箱!$B$320:$B$620,"&lt;"&amp;C127,主线宝箱!$X$320:$X$620)+SUMIF(主线宝箱!$B$320:$B$620,"&lt;"&amp;C127,主线宝箱!$AL$320:$AL$620))</f>
        <v>306600</v>
      </c>
      <c r="F127" s="98">
        <f ca="1">SUMIF(组队产出!$B$24:$B$39,"&lt;="&amp;MAX(1,INT(C127/10-0.6)),组队产出!$R$24:$R$39)</f>
        <v>141000</v>
      </c>
      <c r="G127" s="80">
        <f ca="1">SUMIF(运营活动!$O$3:$O$27,"&lt;="&amp;C127,运营活动!$P$3:$P$27)</f>
        <v>30000</v>
      </c>
      <c r="H127" s="80">
        <f ca="1">OFFSET(产销汇总!$AM$12,B127,$C$26)*24</f>
        <v>744816</v>
      </c>
      <c r="I127" s="172">
        <f ca="1">SUMIF(金币本!$F$2:$F$52,"&lt;="&amp;C127,金币本!$D$2:$D$52)</f>
        <v>1122000</v>
      </c>
      <c r="J127" s="80">
        <f ca="1">OFFSET(产销汇总!$C$1,MATCH(J$27,产销汇总!$C$2:$C$8,0),$C$26)*(_xlfn.XLOOKUP(C127,主线推图!$B$313:$B$612,主线推图!$C$313:$C$612)+_xlfn.XLOOKUP(C127,主线推图!$B$313:$B$612,主线推图!$D$313:$D$612))</f>
        <v>13728</v>
      </c>
      <c r="K127" s="80">
        <f ca="1">OFFSET(产销汇总!$C$1,MATCH(K$27,产销汇总!$C$2:$C$8,0),$C$26)*_xlfn.XLOOKUP(C127,巡逻产出!$B$311:$B$610,巡逻产出!$C$311:$C$610)*1.3</f>
        <v>0</v>
      </c>
      <c r="L127" s="80" t="e">
        <f ca="1">OFFSET(产销汇总!$C$1,MATCH(L$27,产销汇总!$C$2:$C$8,0),$C$26)*(_xlfn.XLOOKUP(MAX(1,INT(C127/10-6/10)),组队产出!$B$24:$B$39,组队产出!$D$24:$D$39))+OFFSET(产销汇总!$C$1,MATCH(L$27,产销汇总!$C$2:$C$8,0),$C$26)*(_xlfn.XLOOKUP(MAX(1,INT(C127/10-6/10)),组队产出!$B$24:$B$39,组队产出!$C$24:$C$39))</f>
        <v>#N/A</v>
      </c>
      <c r="M127" s="80">
        <f ca="1">(OFFSET(产销汇总!$C$1,MATCH(M$27,产销汇总!$C$2:$C$8,0),$C$26)*_xlfn.XLOOKUP(C127,巡逻产出!$B$311:$B$610,巡逻产出!$D$311:$D$610))*$M$24</f>
        <v>9734.4</v>
      </c>
      <c r="N127" s="80" t="e">
        <f ca="1">OFFSET(产销汇总!$C$1,MATCH(L$27,产销汇总!$C$2:$C$8,0),$C$26)*(_xlfn.XLOOKUP(MAX(1,INT(C127/10-6/10)),组队产出!$B$24:$B$39,组队产出!$S$24:$S$39))</f>
        <v>#N/A</v>
      </c>
      <c r="O127" s="172">
        <f>任务!$D$36</f>
        <v>2457.14285714286</v>
      </c>
      <c r="P127" s="98">
        <f t="shared" si="13"/>
        <v>428</v>
      </c>
      <c r="Q127" s="80">
        <f t="shared" si="19"/>
        <v>1000</v>
      </c>
      <c r="R127" s="172">
        <f t="shared" si="20"/>
        <v>2000</v>
      </c>
      <c r="S127" s="210">
        <f ca="1">IFERROR(OFFSET(金币本!$E$2,MATCH(C127,金币本!$F$3:$F$302,1),0)*IF($C$26=1,2,3),0)</f>
        <v>35250</v>
      </c>
      <c r="T127" s="172" t="e">
        <f ca="1">SUM($J$28:S127)+SUM(D127:I127)</f>
        <v>#N/A</v>
      </c>
      <c r="U127" s="172" t="e">
        <f ca="1" t="shared" si="14"/>
        <v>#N/A</v>
      </c>
      <c r="V127" s="98" t="e">
        <f ca="1" t="shared" si="15"/>
        <v>#N/A</v>
      </c>
      <c r="W127" s="98" t="e">
        <f ca="1">OFFSET(装备强化!$U$6,MATCH(图纸产出设计!V128/6*W$26,装备强化!$T$7:$T$306,1),0)*6</f>
        <v>#N/A</v>
      </c>
      <c r="X127" s="98">
        <v>445210</v>
      </c>
      <c r="Y127" s="98">
        <f t="shared" si="21"/>
        <v>3088000</v>
      </c>
      <c r="Z127" s="98">
        <f t="shared" si="23"/>
        <v>2</v>
      </c>
      <c r="AA127" s="147" t="e">
        <f ca="1" t="shared" si="16"/>
        <v>#N/A</v>
      </c>
      <c r="AB127" s="209" t="e">
        <f ca="1" t="shared" si="17"/>
        <v>#N/A</v>
      </c>
      <c r="AC127" s="209">
        <f ca="1">SUMIFS(装备强化!$Q$7:$Q$306,装备强化!$M$7:$M$306,"&lt;="&amp;MATCH(U127/6,装备强化!$U$7:$U$306,1),装备强化!$M$7:$M$306,"&gt;="&amp;MATCH(V127/6,装备强化!$U$7:$U$306,1))*6</f>
        <v>0</v>
      </c>
      <c r="AD127">
        <f ca="1" t="shared" si="22"/>
        <v>0</v>
      </c>
    </row>
    <row r="128" spans="1:30">
      <c r="A128" s="171"/>
      <c r="B128" s="80">
        <v>101</v>
      </c>
      <c r="C128" s="80">
        <f ca="1">OFFSET(产销汇总!$C$12,$B128,$C$26)</f>
        <v>173.5</v>
      </c>
      <c r="D128" s="80">
        <f t="shared" si="18"/>
        <v>14100</v>
      </c>
      <c r="E128" s="80">
        <f ca="1">(SUMIF(主线推图!$B$4:$B$303,"&lt;"&amp;C128,主线推图!$M$4:$M$303)+SUMIF(主线宝箱!$B$320:$B$620,"&lt;"&amp;C128,主线宝箱!$L$320:$L$620)+SUMIF(主线宝箱!$B$320:$B$620,"&lt;"&amp;C128,主线宝箱!$X$320:$X$620)+SUMIF(主线宝箱!$B$320:$B$620,"&lt;"&amp;C128,主线宝箱!$AL$320:$AL$620))</f>
        <v>308400</v>
      </c>
      <c r="F128" s="98">
        <f ca="1">SUMIF(组队产出!$B$24:$B$39,"&lt;="&amp;MAX(1,INT(C128/10-0.6)),组队产出!$R$24:$R$39)</f>
        <v>141000</v>
      </c>
      <c r="G128" s="80">
        <f ca="1">SUMIF(运营活动!$O$3:$O$27,"&lt;="&amp;C128,运营活动!$P$3:$P$27)</f>
        <v>30000</v>
      </c>
      <c r="H128" s="80">
        <f ca="1">OFFSET(产销汇总!$AM$12,B128,$C$26)*24</f>
        <v>752064</v>
      </c>
      <c r="I128" s="172">
        <f ca="1">SUMIF(金币本!$F$2:$F$52,"&lt;="&amp;C128,金币本!$D$2:$D$52)</f>
        <v>1122000</v>
      </c>
      <c r="J128" s="80" t="e">
        <f ca="1">OFFSET(产销汇总!$C$1,MATCH(J$27,产销汇总!$C$2:$C$8,0),$C$26)*(_xlfn.XLOOKUP(C128,主线推图!$B$313:$B$612,主线推图!$C$313:$C$612)+_xlfn.XLOOKUP(C128,主线推图!$B$313:$B$612,主线推图!$D$313:$D$612))</f>
        <v>#N/A</v>
      </c>
      <c r="K128" s="80" t="e">
        <f ca="1">OFFSET(产销汇总!$C$1,MATCH(K$27,产销汇总!$C$2:$C$8,0),$C$26)*_xlfn.XLOOKUP(C128,巡逻产出!$B$311:$B$610,巡逻产出!$C$311:$C$610)*1.3</f>
        <v>#N/A</v>
      </c>
      <c r="L128" s="80" t="e">
        <f ca="1">OFFSET(产销汇总!$C$1,MATCH(L$27,产销汇总!$C$2:$C$8,0),$C$26)*(_xlfn.XLOOKUP(MAX(1,INT(C128/10-6/10)),组队产出!$B$24:$B$39,组队产出!$D$24:$D$39))+OFFSET(产销汇总!$C$1,MATCH(L$27,产销汇总!$C$2:$C$8,0),$C$26)*(_xlfn.XLOOKUP(MAX(1,INT(C128/10-6/10)),组队产出!$B$24:$B$39,组队产出!$C$24:$C$39))</f>
        <v>#N/A</v>
      </c>
      <c r="M128" s="80" t="e">
        <f ca="1">(OFFSET(产销汇总!$C$1,MATCH(M$27,产销汇总!$C$2:$C$8,0),$C$26)*_xlfn.XLOOKUP(C128,巡逻产出!$B$311:$B$610,巡逻产出!$D$311:$D$610))*$M$24</f>
        <v>#N/A</v>
      </c>
      <c r="N128" s="80" t="e">
        <f ca="1">OFFSET(产销汇总!$C$1,MATCH(L$27,产销汇总!$C$2:$C$8,0),$C$26)*(_xlfn.XLOOKUP(MAX(1,INT(C128/10-6/10)),组队产出!$B$24:$B$39,组队产出!$S$24:$S$39))</f>
        <v>#N/A</v>
      </c>
      <c r="O128" s="172">
        <f>任务!$D$36</f>
        <v>2457.14285714286</v>
      </c>
      <c r="P128" s="98">
        <f t="shared" si="13"/>
        <v>428</v>
      </c>
      <c r="Q128" s="80">
        <f t="shared" si="19"/>
        <v>1000</v>
      </c>
      <c r="R128" s="172">
        <f t="shared" si="20"/>
        <v>2000</v>
      </c>
      <c r="S128" s="210">
        <f ca="1">IFERROR(OFFSET(金币本!$E$2,MATCH(C128,金币本!$F$3:$F$302,1),0)*IF($C$26=1,2,3),0)</f>
        <v>35250</v>
      </c>
      <c r="T128" s="172" t="e">
        <f ca="1">SUM($J$28:S128)+SUM(D128:I128)</f>
        <v>#N/A</v>
      </c>
      <c r="U128" s="172" t="e">
        <f ca="1" t="shared" si="14"/>
        <v>#N/A</v>
      </c>
      <c r="V128" s="98" t="e">
        <f ca="1" t="shared" si="15"/>
        <v>#N/A</v>
      </c>
      <c r="W128" s="98" t="e">
        <f ca="1">OFFSET(装备强化!$U$6,MATCH(图纸产出设计!V129/6*W$26,装备强化!$T$7:$T$306,1),0)*6</f>
        <v>#N/A</v>
      </c>
      <c r="X128" s="98">
        <v>453140</v>
      </c>
      <c r="Y128" s="98">
        <f t="shared" si="21"/>
        <v>3120000</v>
      </c>
      <c r="Z128" s="98">
        <f t="shared" si="23"/>
        <v>2</v>
      </c>
      <c r="AA128" s="147" t="e">
        <f ca="1" t="shared" si="16"/>
        <v>#N/A</v>
      </c>
      <c r="AB128" s="209" t="e">
        <f ca="1" t="shared" si="17"/>
        <v>#N/A</v>
      </c>
      <c r="AC128" s="209">
        <f ca="1">SUMIFS(装备强化!$Q$7:$Q$306,装备强化!$M$7:$M$306,"&lt;="&amp;MATCH(U128/6,装备强化!$U$7:$U$306,1),装备强化!$M$7:$M$306,"&gt;="&amp;MATCH(V128/6,装备强化!$U$7:$U$306,1))*6</f>
        <v>0</v>
      </c>
      <c r="AD128">
        <f ca="1" t="shared" si="22"/>
        <v>0</v>
      </c>
    </row>
    <row r="129" spans="1:30">
      <c r="A129" s="171"/>
      <c r="B129" s="80">
        <v>102</v>
      </c>
      <c r="C129" s="80">
        <f ca="1">OFFSET(产销汇总!$C$12,$B129,$C$26)</f>
        <v>174</v>
      </c>
      <c r="D129" s="80">
        <f t="shared" si="18"/>
        <v>14100</v>
      </c>
      <c r="E129" s="80">
        <f ca="1">(SUMIF(主线推图!$B$4:$B$303,"&lt;"&amp;C129,主线推图!$M$4:$M$303)+SUMIF(主线宝箱!$B$320:$B$620,"&lt;"&amp;C129,主线宝箱!$L$320:$L$620)+SUMIF(主线宝箱!$B$320:$B$620,"&lt;"&amp;C129,主线宝箱!$X$320:$X$620)+SUMIF(主线宝箱!$B$320:$B$620,"&lt;"&amp;C129,主线宝箱!$AL$320:$AL$620))</f>
        <v>308400</v>
      </c>
      <c r="F129" s="98">
        <f ca="1">SUMIF(组队产出!$B$24:$B$39,"&lt;="&amp;MAX(1,INT(C129/10-0.6)),组队产出!$R$24:$R$39)</f>
        <v>141000</v>
      </c>
      <c r="G129" s="80">
        <f ca="1">SUMIF(运营活动!$O$3:$O$27,"&lt;="&amp;C129,运营活动!$P$3:$P$27)</f>
        <v>30000</v>
      </c>
      <c r="H129" s="80">
        <f ca="1">OFFSET(产销汇总!$AM$12,B129,$C$26)*24</f>
        <v>759312</v>
      </c>
      <c r="I129" s="172">
        <f ca="1">SUMIF(金币本!$F$2:$F$52,"&lt;="&amp;C129,金币本!$D$2:$D$52)</f>
        <v>1122000</v>
      </c>
      <c r="J129" s="80">
        <f ca="1">OFFSET(产销汇总!$C$1,MATCH(J$27,产销汇总!$C$2:$C$8,0),$C$26)*(_xlfn.XLOOKUP(C129,主线推图!$B$313:$B$612,主线推图!$C$313:$C$612)+_xlfn.XLOOKUP(C129,主线推图!$B$313:$B$612,主线推图!$D$313:$D$612))</f>
        <v>13772</v>
      </c>
      <c r="K129" s="80">
        <f ca="1">OFFSET(产销汇总!$C$1,MATCH(K$27,产销汇总!$C$2:$C$8,0),$C$26)*_xlfn.XLOOKUP(C129,巡逻产出!$B$311:$B$610,巡逻产出!$C$311:$C$610)*1.3</f>
        <v>0</v>
      </c>
      <c r="L129" s="80" t="e">
        <f ca="1">OFFSET(产销汇总!$C$1,MATCH(L$27,产销汇总!$C$2:$C$8,0),$C$26)*(_xlfn.XLOOKUP(MAX(1,INT(C129/10-6/10)),组队产出!$B$24:$B$39,组队产出!$D$24:$D$39))+OFFSET(产销汇总!$C$1,MATCH(L$27,产销汇总!$C$2:$C$8,0),$C$26)*(_xlfn.XLOOKUP(MAX(1,INT(C129/10-6/10)),组队产出!$B$24:$B$39,组队产出!$C$24:$C$39))</f>
        <v>#N/A</v>
      </c>
      <c r="M129" s="80">
        <f ca="1">(OFFSET(产销汇总!$C$1,MATCH(M$27,产销汇总!$C$2:$C$8,0),$C$26)*_xlfn.XLOOKUP(C129,巡逻产出!$B$311:$B$610,巡逻产出!$D$311:$D$610))*$M$24</f>
        <v>9765.6</v>
      </c>
      <c r="N129" s="80" t="e">
        <f ca="1">OFFSET(产销汇总!$C$1,MATCH(L$27,产销汇总!$C$2:$C$8,0),$C$26)*(_xlfn.XLOOKUP(MAX(1,INT(C129/10-6/10)),组队产出!$B$24:$B$39,组队产出!$S$24:$S$39))</f>
        <v>#N/A</v>
      </c>
      <c r="O129" s="172">
        <f>任务!$D$36</f>
        <v>2457.14285714286</v>
      </c>
      <c r="P129" s="98">
        <f t="shared" si="13"/>
        <v>428</v>
      </c>
      <c r="Q129" s="80">
        <f t="shared" si="19"/>
        <v>1000</v>
      </c>
      <c r="R129" s="172">
        <f t="shared" si="20"/>
        <v>2000</v>
      </c>
      <c r="S129" s="210">
        <f ca="1">IFERROR(OFFSET(金币本!$E$2,MATCH(C129,金币本!$F$3:$F$302,1),0)*IF($C$26=1,2,3),0)</f>
        <v>35250</v>
      </c>
      <c r="T129" s="172" t="e">
        <f ca="1">SUM($J$28:S129)+SUM(D129:I129)</f>
        <v>#N/A</v>
      </c>
      <c r="U129" s="172" t="e">
        <f ca="1" t="shared" si="14"/>
        <v>#N/A</v>
      </c>
      <c r="V129" s="98" t="e">
        <f ca="1" t="shared" si="15"/>
        <v>#N/A</v>
      </c>
      <c r="W129" s="98" t="e">
        <f ca="1">OFFSET(装备强化!$U$6,MATCH(图纸产出设计!V130/6*W$26,装备强化!$T$7:$T$306,1),0)*6</f>
        <v>#N/A</v>
      </c>
      <c r="X129" s="98">
        <v>453140</v>
      </c>
      <c r="Y129" s="98">
        <f t="shared" si="21"/>
        <v>3152000</v>
      </c>
      <c r="Z129" s="98">
        <f t="shared" si="23"/>
        <v>2</v>
      </c>
      <c r="AA129" s="147" t="e">
        <f ca="1" t="shared" si="16"/>
        <v>#N/A</v>
      </c>
      <c r="AB129" s="209" t="e">
        <f ca="1" t="shared" si="17"/>
        <v>#N/A</v>
      </c>
      <c r="AC129" s="209">
        <f ca="1">SUMIFS(装备强化!$Q$7:$Q$306,装备强化!$M$7:$M$306,"&lt;="&amp;MATCH(U129/6,装备强化!$U$7:$U$306,1),装备强化!$M$7:$M$306,"&gt;="&amp;MATCH(V129/6,装备强化!$U$7:$U$306,1))*6</f>
        <v>0</v>
      </c>
      <c r="AD129">
        <f ca="1" t="shared" si="22"/>
        <v>0</v>
      </c>
    </row>
    <row r="130" spans="1:30">
      <c r="A130" s="171"/>
      <c r="B130" s="80">
        <v>103</v>
      </c>
      <c r="C130" s="80">
        <f ca="1">OFFSET(产销汇总!$C$12,$B130,$C$26)</f>
        <v>174.5</v>
      </c>
      <c r="D130" s="80">
        <f t="shared" si="18"/>
        <v>14100</v>
      </c>
      <c r="E130" s="80">
        <f ca="1">(SUMIF(主线推图!$B$4:$B$303,"&lt;"&amp;C130,主线推图!$M$4:$M$303)+SUMIF(主线宝箱!$B$320:$B$620,"&lt;"&amp;C130,主线宝箱!$L$320:$L$620)+SUMIF(主线宝箱!$B$320:$B$620,"&lt;"&amp;C130,主线宝箱!$X$320:$X$620)+SUMIF(主线宝箱!$B$320:$B$620,"&lt;"&amp;C130,主线宝箱!$AL$320:$AL$620))</f>
        <v>310200</v>
      </c>
      <c r="F130" s="98">
        <f ca="1">SUMIF(组队产出!$B$24:$B$39,"&lt;="&amp;MAX(1,INT(C130/10-0.6)),组队产出!$R$24:$R$39)</f>
        <v>141000</v>
      </c>
      <c r="G130" s="80">
        <f ca="1">SUMIF(运营活动!$O$3:$O$27,"&lt;="&amp;C130,运营活动!$P$3:$P$27)</f>
        <v>30000</v>
      </c>
      <c r="H130" s="80">
        <f ca="1">OFFSET(产销汇总!$AM$12,B130,$C$26)*24</f>
        <v>766560</v>
      </c>
      <c r="I130" s="172">
        <f ca="1">SUMIF(金币本!$F$2:$F$52,"&lt;="&amp;C130,金币本!$D$2:$D$52)</f>
        <v>1122000</v>
      </c>
      <c r="J130" s="80" t="e">
        <f ca="1">OFFSET(产销汇总!$C$1,MATCH(J$27,产销汇总!$C$2:$C$8,0),$C$26)*(_xlfn.XLOOKUP(C130,主线推图!$B$313:$B$612,主线推图!$C$313:$C$612)+_xlfn.XLOOKUP(C130,主线推图!$B$313:$B$612,主线推图!$D$313:$D$612))</f>
        <v>#N/A</v>
      </c>
      <c r="K130" s="80" t="e">
        <f ca="1">OFFSET(产销汇总!$C$1,MATCH(K$27,产销汇总!$C$2:$C$8,0),$C$26)*_xlfn.XLOOKUP(C130,巡逻产出!$B$311:$B$610,巡逻产出!$C$311:$C$610)*1.3</f>
        <v>#N/A</v>
      </c>
      <c r="L130" s="80" t="e">
        <f ca="1">OFFSET(产销汇总!$C$1,MATCH(L$27,产销汇总!$C$2:$C$8,0),$C$26)*(_xlfn.XLOOKUP(MAX(1,INT(C130/10-6/10)),组队产出!$B$24:$B$39,组队产出!$D$24:$D$39))+OFFSET(产销汇总!$C$1,MATCH(L$27,产销汇总!$C$2:$C$8,0),$C$26)*(_xlfn.XLOOKUP(MAX(1,INT(C130/10-6/10)),组队产出!$B$24:$B$39,组队产出!$C$24:$C$39))</f>
        <v>#N/A</v>
      </c>
      <c r="M130" s="80" t="e">
        <f ca="1">(OFFSET(产销汇总!$C$1,MATCH(M$27,产销汇总!$C$2:$C$8,0),$C$26)*_xlfn.XLOOKUP(C130,巡逻产出!$B$311:$B$610,巡逻产出!$D$311:$D$610))*$M$24</f>
        <v>#N/A</v>
      </c>
      <c r="N130" s="80" t="e">
        <f ca="1">OFFSET(产销汇总!$C$1,MATCH(L$27,产销汇总!$C$2:$C$8,0),$C$26)*(_xlfn.XLOOKUP(MAX(1,INT(C130/10-6/10)),组队产出!$B$24:$B$39,组队产出!$S$24:$S$39))</f>
        <v>#N/A</v>
      </c>
      <c r="O130" s="172">
        <f>任务!$D$36</f>
        <v>2457.14285714286</v>
      </c>
      <c r="P130" s="98">
        <f t="shared" si="13"/>
        <v>428</v>
      </c>
      <c r="Q130" s="80">
        <f t="shared" si="19"/>
        <v>1000</v>
      </c>
      <c r="R130" s="172">
        <f t="shared" si="20"/>
        <v>2000</v>
      </c>
      <c r="S130" s="210">
        <f ca="1">IFERROR(OFFSET(金币本!$E$2,MATCH(C130,金币本!$F$3:$F$302,1),0)*IF($C$26=1,2,3),0)</f>
        <v>35250</v>
      </c>
      <c r="T130" s="172" t="e">
        <f ca="1">SUM($J$28:S130)+SUM(D130:I130)</f>
        <v>#N/A</v>
      </c>
      <c r="U130" s="172" t="e">
        <f ca="1" t="shared" si="14"/>
        <v>#N/A</v>
      </c>
      <c r="V130" s="98" t="e">
        <f ca="1" t="shared" si="15"/>
        <v>#N/A</v>
      </c>
      <c r="W130" s="98" t="e">
        <f ca="1">OFFSET(装备强化!$U$6,MATCH(图纸产出设计!V131/6*W$26,装备强化!$T$7:$T$306,1),0)*6</f>
        <v>#N/A</v>
      </c>
      <c r="X130" s="98">
        <v>461140</v>
      </c>
      <c r="Y130" s="98">
        <f t="shared" si="21"/>
        <v>3184000</v>
      </c>
      <c r="Z130" s="98">
        <f t="shared" si="23"/>
        <v>2</v>
      </c>
      <c r="AA130" s="147" t="e">
        <f ca="1" t="shared" si="16"/>
        <v>#N/A</v>
      </c>
      <c r="AB130" s="209" t="e">
        <f ca="1" t="shared" si="17"/>
        <v>#N/A</v>
      </c>
      <c r="AC130" s="209">
        <f ca="1">SUMIFS(装备强化!$Q$7:$Q$306,装备强化!$M$7:$M$306,"&lt;="&amp;MATCH(U130/6,装备强化!$U$7:$U$306,1),装备强化!$M$7:$M$306,"&gt;="&amp;MATCH(V130/6,装备强化!$U$7:$U$306,1))*6</f>
        <v>0</v>
      </c>
      <c r="AD130">
        <f ca="1" t="shared" si="22"/>
        <v>0</v>
      </c>
    </row>
    <row r="131" spans="1:30">
      <c r="A131" s="171"/>
      <c r="B131" s="80">
        <v>104</v>
      </c>
      <c r="C131" s="80">
        <f ca="1">OFFSET(产销汇总!$C$12,$B131,$C$26)</f>
        <v>175</v>
      </c>
      <c r="D131" s="80">
        <f t="shared" si="18"/>
        <v>14100</v>
      </c>
      <c r="E131" s="80">
        <f ca="1">(SUMIF(主线推图!$B$4:$B$303,"&lt;"&amp;C131,主线推图!$M$4:$M$303)+SUMIF(主线宝箱!$B$320:$B$620,"&lt;"&amp;C131,主线宝箱!$L$320:$L$620)+SUMIF(主线宝箱!$B$320:$B$620,"&lt;"&amp;C131,主线宝箱!$X$320:$X$620)+SUMIF(主线宝箱!$B$320:$B$620,"&lt;"&amp;C131,主线宝箱!$AL$320:$AL$620))</f>
        <v>310200</v>
      </c>
      <c r="F131" s="98">
        <f ca="1">SUMIF(组队产出!$B$24:$B$39,"&lt;="&amp;MAX(1,INT(C131/10-0.6)),组队产出!$R$24:$R$39)</f>
        <v>141000</v>
      </c>
      <c r="G131" s="80">
        <f ca="1">SUMIF(运营活动!$O$3:$O$27,"&lt;="&amp;C131,运营活动!$P$3:$P$27)</f>
        <v>30000</v>
      </c>
      <c r="H131" s="80">
        <f ca="1">OFFSET(产销汇总!$AM$12,B131,$C$26)*24</f>
        <v>773808</v>
      </c>
      <c r="I131" s="172">
        <f ca="1">SUMIF(金币本!$F$2:$F$52,"&lt;="&amp;C131,金币本!$D$2:$D$52)</f>
        <v>1170000</v>
      </c>
      <c r="J131" s="80">
        <f ca="1">OFFSET(产销汇总!$C$1,MATCH(J$27,产销汇总!$C$2:$C$8,0),$C$26)*(_xlfn.XLOOKUP(C131,主线推图!$B$313:$B$612,主线推图!$C$313:$C$612)+_xlfn.XLOOKUP(C131,主线推图!$B$313:$B$612,主线推图!$D$313:$D$612))</f>
        <v>13816</v>
      </c>
      <c r="K131" s="80">
        <f ca="1">OFFSET(产销汇总!$C$1,MATCH(K$27,产销汇总!$C$2:$C$8,0),$C$26)*_xlfn.XLOOKUP(C131,巡逻产出!$B$311:$B$610,巡逻产出!$C$311:$C$610)*1.3</f>
        <v>0</v>
      </c>
      <c r="L131" s="80" t="e">
        <f ca="1">OFFSET(产销汇总!$C$1,MATCH(L$27,产销汇总!$C$2:$C$8,0),$C$26)*(_xlfn.XLOOKUP(MAX(1,INT(C131/10-6/10)),组队产出!$B$24:$B$39,组队产出!$D$24:$D$39))+OFFSET(产销汇总!$C$1,MATCH(L$27,产销汇总!$C$2:$C$8,0),$C$26)*(_xlfn.XLOOKUP(MAX(1,INT(C131/10-6/10)),组队产出!$B$24:$B$39,组队产出!$C$24:$C$39))</f>
        <v>#N/A</v>
      </c>
      <c r="M131" s="80">
        <f ca="1">(OFFSET(产销汇总!$C$1,MATCH(M$27,产销汇总!$C$2:$C$8,0),$C$26)*_xlfn.XLOOKUP(C131,巡逻产出!$B$311:$B$610,巡逻产出!$D$311:$D$610))*$M$24</f>
        <v>9796.8</v>
      </c>
      <c r="N131" s="80" t="e">
        <f ca="1">OFFSET(产销汇总!$C$1,MATCH(L$27,产销汇总!$C$2:$C$8,0),$C$26)*(_xlfn.XLOOKUP(MAX(1,INT(C131/10-6/10)),组队产出!$B$24:$B$39,组队产出!$S$24:$S$39))</f>
        <v>#N/A</v>
      </c>
      <c r="O131" s="172">
        <f>任务!$D$36</f>
        <v>2457.14285714286</v>
      </c>
      <c r="P131" s="98">
        <f t="shared" si="13"/>
        <v>428</v>
      </c>
      <c r="Q131" s="80">
        <f t="shared" si="19"/>
        <v>1000</v>
      </c>
      <c r="R131" s="172">
        <f t="shared" si="20"/>
        <v>2000</v>
      </c>
      <c r="S131" s="210">
        <f ca="1">IFERROR(OFFSET(金币本!$E$2,MATCH(C131,金币本!$F$3:$F$302,1),0)*IF($C$26=1,2,3),0)</f>
        <v>36000</v>
      </c>
      <c r="T131" s="172" t="e">
        <f ca="1">SUM($J$28:S131)+SUM(D131:I131)</f>
        <v>#N/A</v>
      </c>
      <c r="U131" s="172" t="e">
        <f ca="1" t="shared" si="14"/>
        <v>#N/A</v>
      </c>
      <c r="V131" s="98" t="e">
        <f ca="1" t="shared" si="15"/>
        <v>#N/A</v>
      </c>
      <c r="W131" s="98" t="e">
        <f ca="1">OFFSET(装备强化!$U$6,MATCH(图纸产出设计!V132/6*W$26,装备强化!$T$7:$T$306,1),0)*6</f>
        <v>#N/A</v>
      </c>
      <c r="X131" s="98">
        <v>461140</v>
      </c>
      <c r="Y131" s="98">
        <f t="shared" si="21"/>
        <v>3216000</v>
      </c>
      <c r="Z131" s="98">
        <f t="shared" si="23"/>
        <v>2</v>
      </c>
      <c r="AA131" s="147" t="e">
        <f ca="1" t="shared" si="16"/>
        <v>#N/A</v>
      </c>
      <c r="AB131" s="209" t="e">
        <f ca="1" t="shared" si="17"/>
        <v>#N/A</v>
      </c>
      <c r="AC131" s="209">
        <f ca="1">SUMIFS(装备强化!$Q$7:$Q$306,装备强化!$M$7:$M$306,"&lt;="&amp;MATCH(U131/6,装备强化!$U$7:$U$306,1),装备强化!$M$7:$M$306,"&gt;="&amp;MATCH(V131/6,装备强化!$U$7:$U$306,1))*6</f>
        <v>0</v>
      </c>
      <c r="AD131">
        <f ca="1" t="shared" si="22"/>
        <v>0</v>
      </c>
    </row>
    <row r="132" spans="1:30">
      <c r="A132" s="171"/>
      <c r="B132" s="80">
        <v>105</v>
      </c>
      <c r="C132" s="80">
        <f ca="1">OFFSET(产销汇总!$C$12,$B132,$C$26)</f>
        <v>175.5</v>
      </c>
      <c r="D132" s="80">
        <f t="shared" si="18"/>
        <v>14100</v>
      </c>
      <c r="E132" s="80">
        <f ca="1">(SUMIF(主线推图!$B$4:$B$303,"&lt;"&amp;C132,主线推图!$M$4:$M$303)+SUMIF(主线宝箱!$B$320:$B$620,"&lt;"&amp;C132,主线宝箱!$L$320:$L$620)+SUMIF(主线宝箱!$B$320:$B$620,"&lt;"&amp;C132,主线宝箱!$X$320:$X$620)+SUMIF(主线宝箱!$B$320:$B$620,"&lt;"&amp;C132,主线宝箱!$AL$320:$AL$620))</f>
        <v>312000</v>
      </c>
      <c r="F132" s="98">
        <f ca="1">SUMIF(组队产出!$B$24:$B$39,"&lt;="&amp;MAX(1,INT(C132/10-0.6)),组队产出!$R$24:$R$39)</f>
        <v>141000</v>
      </c>
      <c r="G132" s="80">
        <f ca="1">SUMIF(运营活动!$O$3:$O$27,"&lt;="&amp;C132,运营活动!$P$3:$P$27)</f>
        <v>30000</v>
      </c>
      <c r="H132" s="80">
        <f ca="1">OFFSET(产销汇总!$AM$12,B132,$C$26)*24</f>
        <v>781056</v>
      </c>
      <c r="I132" s="172">
        <f ca="1">SUMIF(金币本!$F$2:$F$52,"&lt;="&amp;C132,金币本!$D$2:$D$52)</f>
        <v>1170000</v>
      </c>
      <c r="J132" s="80" t="e">
        <f ca="1">OFFSET(产销汇总!$C$1,MATCH(J$27,产销汇总!$C$2:$C$8,0),$C$26)*(_xlfn.XLOOKUP(C132,主线推图!$B$313:$B$612,主线推图!$C$313:$C$612)+_xlfn.XLOOKUP(C132,主线推图!$B$313:$B$612,主线推图!$D$313:$D$612))</f>
        <v>#N/A</v>
      </c>
      <c r="K132" s="80" t="e">
        <f ca="1">OFFSET(产销汇总!$C$1,MATCH(K$27,产销汇总!$C$2:$C$8,0),$C$26)*_xlfn.XLOOKUP(C132,巡逻产出!$B$311:$B$610,巡逻产出!$C$311:$C$610)*1.3</f>
        <v>#N/A</v>
      </c>
      <c r="L132" s="80" t="e">
        <f ca="1">OFFSET(产销汇总!$C$1,MATCH(L$27,产销汇总!$C$2:$C$8,0),$C$26)*(_xlfn.XLOOKUP(MAX(1,INT(C132/10-6/10)),组队产出!$B$24:$B$39,组队产出!$D$24:$D$39))+OFFSET(产销汇总!$C$1,MATCH(L$27,产销汇总!$C$2:$C$8,0),$C$26)*(_xlfn.XLOOKUP(MAX(1,INT(C132/10-6/10)),组队产出!$B$24:$B$39,组队产出!$C$24:$C$39))</f>
        <v>#N/A</v>
      </c>
      <c r="M132" s="80" t="e">
        <f ca="1">(OFFSET(产销汇总!$C$1,MATCH(M$27,产销汇总!$C$2:$C$8,0),$C$26)*_xlfn.XLOOKUP(C132,巡逻产出!$B$311:$B$610,巡逻产出!$D$311:$D$610))*$M$24</f>
        <v>#N/A</v>
      </c>
      <c r="N132" s="80" t="e">
        <f ca="1">OFFSET(产销汇总!$C$1,MATCH(L$27,产销汇总!$C$2:$C$8,0),$C$26)*(_xlfn.XLOOKUP(MAX(1,INT(C132/10-6/10)),组队产出!$B$24:$B$39,组队产出!$S$24:$S$39))</f>
        <v>#N/A</v>
      </c>
      <c r="O132" s="172">
        <f>任务!$D$36</f>
        <v>2457.14285714286</v>
      </c>
      <c r="P132" s="98">
        <f t="shared" si="13"/>
        <v>428</v>
      </c>
      <c r="Q132" s="80">
        <f t="shared" si="19"/>
        <v>1000</v>
      </c>
      <c r="R132" s="172">
        <f t="shared" si="20"/>
        <v>2000</v>
      </c>
      <c r="S132" s="210">
        <f ca="1">IFERROR(OFFSET(金币本!$E$2,MATCH(C132,金币本!$F$3:$F$302,1),0)*IF($C$26=1,2,3),0)</f>
        <v>36000</v>
      </c>
      <c r="T132" s="172" t="e">
        <f ca="1">SUM($J$28:S132)+SUM(D132:I132)</f>
        <v>#N/A</v>
      </c>
      <c r="U132" s="172" t="e">
        <f ca="1" t="shared" si="14"/>
        <v>#N/A</v>
      </c>
      <c r="V132" s="98" t="e">
        <f ca="1" t="shared" si="15"/>
        <v>#N/A</v>
      </c>
      <c r="W132" s="98" t="e">
        <f ca="1">OFFSET(装备强化!$U$6,MATCH(图纸产出设计!V133/6*W$26,装备强化!$T$7:$T$306,1),0)*6</f>
        <v>#N/A</v>
      </c>
      <c r="X132" s="98">
        <v>469210</v>
      </c>
      <c r="Y132" s="98">
        <f t="shared" si="21"/>
        <v>3248000</v>
      </c>
      <c r="Z132" s="98">
        <f t="shared" si="23"/>
        <v>2</v>
      </c>
      <c r="AA132" s="147" t="e">
        <f ca="1" t="shared" si="16"/>
        <v>#N/A</v>
      </c>
      <c r="AB132" s="209" t="e">
        <f ca="1" t="shared" si="17"/>
        <v>#N/A</v>
      </c>
      <c r="AC132" s="209">
        <f ca="1">SUMIFS(装备强化!$Q$7:$Q$306,装备强化!$M$7:$M$306,"&lt;="&amp;MATCH(U132/6,装备强化!$U$7:$U$306,1),装备强化!$M$7:$M$306,"&gt;="&amp;MATCH(V132/6,装备强化!$U$7:$U$306,1))*6</f>
        <v>0</v>
      </c>
      <c r="AD132">
        <f ca="1" t="shared" si="22"/>
        <v>0</v>
      </c>
    </row>
    <row r="133" spans="1:30">
      <c r="A133" s="171"/>
      <c r="B133" s="80">
        <v>106</v>
      </c>
      <c r="C133" s="80">
        <f ca="1">OFFSET(产销汇总!$C$12,$B133,$C$26)</f>
        <v>176</v>
      </c>
      <c r="D133" s="80">
        <f t="shared" si="18"/>
        <v>14100</v>
      </c>
      <c r="E133" s="80">
        <f ca="1">(SUMIF(主线推图!$B$4:$B$303,"&lt;"&amp;C133,主线推图!$M$4:$M$303)+SUMIF(主线宝箱!$B$320:$B$620,"&lt;"&amp;C133,主线宝箱!$L$320:$L$620)+SUMIF(主线宝箱!$B$320:$B$620,"&lt;"&amp;C133,主线宝箱!$X$320:$X$620)+SUMIF(主线宝箱!$B$320:$B$620,"&lt;"&amp;C133,主线宝箱!$AL$320:$AL$620))</f>
        <v>312000</v>
      </c>
      <c r="F133" s="98">
        <f ca="1">SUMIF(组队产出!$B$24:$B$39,"&lt;="&amp;MAX(1,INT(C133/10-0.6)),组队产出!$R$24:$R$39)</f>
        <v>141000</v>
      </c>
      <c r="G133" s="80">
        <f ca="1">SUMIF(运营活动!$O$3:$O$27,"&lt;="&amp;C133,运营活动!$P$3:$P$27)</f>
        <v>30000</v>
      </c>
      <c r="H133" s="80">
        <f ca="1">OFFSET(产销汇总!$AM$12,B133,$C$26)*24</f>
        <v>788304</v>
      </c>
      <c r="I133" s="172">
        <f ca="1">SUMIF(金币本!$F$2:$F$52,"&lt;="&amp;C133,金币本!$D$2:$D$52)</f>
        <v>1170000</v>
      </c>
      <c r="J133" s="80">
        <f ca="1">OFFSET(产销汇总!$C$1,MATCH(J$27,产销汇总!$C$2:$C$8,0),$C$26)*(_xlfn.XLOOKUP(C133,主线推图!$B$313:$B$612,主线推图!$C$313:$C$612)+_xlfn.XLOOKUP(C133,主线推图!$B$313:$B$612,主线推图!$D$313:$D$612))</f>
        <v>13860</v>
      </c>
      <c r="K133" s="80">
        <f ca="1">OFFSET(产销汇总!$C$1,MATCH(K$27,产销汇总!$C$2:$C$8,0),$C$26)*_xlfn.XLOOKUP(C133,巡逻产出!$B$311:$B$610,巡逻产出!$C$311:$C$610)*1.3</f>
        <v>0</v>
      </c>
      <c r="L133" s="80" t="e">
        <f ca="1">OFFSET(产销汇总!$C$1,MATCH(L$27,产销汇总!$C$2:$C$8,0),$C$26)*(_xlfn.XLOOKUP(MAX(1,INT(C133/10-6/10)),组队产出!$B$24:$B$39,组队产出!$D$24:$D$39))+OFFSET(产销汇总!$C$1,MATCH(L$27,产销汇总!$C$2:$C$8,0),$C$26)*(_xlfn.XLOOKUP(MAX(1,INT(C133/10-6/10)),组队产出!$B$24:$B$39,组队产出!$C$24:$C$39))</f>
        <v>#N/A</v>
      </c>
      <c r="M133" s="80">
        <f ca="1">(OFFSET(产销汇总!$C$1,MATCH(M$27,产销汇总!$C$2:$C$8,0),$C$26)*_xlfn.XLOOKUP(C133,巡逻产出!$B$311:$B$610,巡逻产出!$D$311:$D$610))*$M$24</f>
        <v>9828</v>
      </c>
      <c r="N133" s="80" t="e">
        <f ca="1">OFFSET(产销汇总!$C$1,MATCH(L$27,产销汇总!$C$2:$C$8,0),$C$26)*(_xlfn.XLOOKUP(MAX(1,INT(C133/10-6/10)),组队产出!$B$24:$B$39,组队产出!$S$24:$S$39))</f>
        <v>#N/A</v>
      </c>
      <c r="O133" s="172">
        <f>任务!$D$36</f>
        <v>2457.14285714286</v>
      </c>
      <c r="P133" s="98">
        <f t="shared" si="13"/>
        <v>428</v>
      </c>
      <c r="Q133" s="80">
        <f t="shared" si="19"/>
        <v>1500</v>
      </c>
      <c r="R133" s="172">
        <f t="shared" si="20"/>
        <v>2000</v>
      </c>
      <c r="S133" s="210">
        <f ca="1">IFERROR(OFFSET(金币本!$E$2,MATCH(C133,金币本!$F$3:$F$302,1),0)*IF($C$26=1,2,3),0)</f>
        <v>36000</v>
      </c>
      <c r="T133" s="172" t="e">
        <f ca="1">SUM($J$28:S133)+SUM(D133:I133)</f>
        <v>#N/A</v>
      </c>
      <c r="U133" s="172" t="e">
        <f ca="1" t="shared" si="14"/>
        <v>#N/A</v>
      </c>
      <c r="V133" s="98" t="e">
        <f ca="1" t="shared" si="15"/>
        <v>#N/A</v>
      </c>
      <c r="W133" s="98" t="e">
        <f ca="1">OFFSET(装备强化!$U$6,MATCH(图纸产出设计!V134/6*W$26,装备强化!$T$7:$T$306,1),0)*6</f>
        <v>#N/A</v>
      </c>
      <c r="X133" s="98">
        <v>469210</v>
      </c>
      <c r="Y133" s="98">
        <f t="shared" si="21"/>
        <v>3280000</v>
      </c>
      <c r="Z133" s="98">
        <f t="shared" si="23"/>
        <v>2</v>
      </c>
      <c r="AA133" s="147" t="e">
        <f ca="1" t="shared" si="16"/>
        <v>#N/A</v>
      </c>
      <c r="AB133" s="209" t="e">
        <f ca="1" t="shared" si="17"/>
        <v>#N/A</v>
      </c>
      <c r="AC133" s="209">
        <f ca="1">SUMIFS(装备强化!$Q$7:$Q$306,装备强化!$M$7:$M$306,"&lt;="&amp;MATCH(U133/6,装备强化!$U$7:$U$306,1),装备强化!$M$7:$M$306,"&gt;="&amp;MATCH(V133/6,装备强化!$U$7:$U$306,1))*6</f>
        <v>0</v>
      </c>
      <c r="AD133">
        <f ca="1" t="shared" si="22"/>
        <v>0</v>
      </c>
    </row>
    <row r="134" spans="1:30">
      <c r="A134" s="171"/>
      <c r="B134" s="80">
        <v>107</v>
      </c>
      <c r="C134" s="80">
        <f ca="1">OFFSET(产销汇总!$C$12,$B134,$C$26)</f>
        <v>176.5</v>
      </c>
      <c r="D134" s="80">
        <f t="shared" si="18"/>
        <v>14100</v>
      </c>
      <c r="E134" s="80">
        <f ca="1">(SUMIF(主线推图!$B$4:$B$303,"&lt;"&amp;C134,主线推图!$M$4:$M$303)+SUMIF(主线宝箱!$B$320:$B$620,"&lt;"&amp;C134,主线宝箱!$L$320:$L$620)+SUMIF(主线宝箱!$B$320:$B$620,"&lt;"&amp;C134,主线宝箱!$X$320:$X$620)+SUMIF(主线宝箱!$B$320:$B$620,"&lt;"&amp;C134,主线宝箱!$AL$320:$AL$620))</f>
        <v>313800</v>
      </c>
      <c r="F134" s="98">
        <f ca="1">SUMIF(组队产出!$B$24:$B$39,"&lt;="&amp;MAX(1,INT(C134/10-0.6)),组队产出!$R$24:$R$39)</f>
        <v>141000</v>
      </c>
      <c r="G134" s="80">
        <f ca="1">SUMIF(运营活动!$O$3:$O$27,"&lt;="&amp;C134,运营活动!$P$3:$P$27)</f>
        <v>30000</v>
      </c>
      <c r="H134" s="80">
        <f ca="1">OFFSET(产销汇总!$AM$12,B134,$C$26)*24</f>
        <v>795552</v>
      </c>
      <c r="I134" s="172">
        <f ca="1">SUMIF(金币本!$F$2:$F$52,"&lt;="&amp;C134,金币本!$D$2:$D$52)</f>
        <v>1170000</v>
      </c>
      <c r="J134" s="80" t="e">
        <f ca="1">OFFSET(产销汇总!$C$1,MATCH(J$27,产销汇总!$C$2:$C$8,0),$C$26)*(_xlfn.XLOOKUP(C134,主线推图!$B$313:$B$612,主线推图!$C$313:$C$612)+_xlfn.XLOOKUP(C134,主线推图!$B$313:$B$612,主线推图!$D$313:$D$612))</f>
        <v>#N/A</v>
      </c>
      <c r="K134" s="80" t="e">
        <f ca="1">OFFSET(产销汇总!$C$1,MATCH(K$27,产销汇总!$C$2:$C$8,0),$C$26)*_xlfn.XLOOKUP(C134,巡逻产出!$B$311:$B$610,巡逻产出!$C$311:$C$610)*1.3</f>
        <v>#N/A</v>
      </c>
      <c r="L134" s="80" t="e">
        <f ca="1">OFFSET(产销汇总!$C$1,MATCH(L$27,产销汇总!$C$2:$C$8,0),$C$26)*(_xlfn.XLOOKUP(MAX(1,INT(C134/10-6/10)),组队产出!$B$24:$B$39,组队产出!$D$24:$D$39))+OFFSET(产销汇总!$C$1,MATCH(L$27,产销汇总!$C$2:$C$8,0),$C$26)*(_xlfn.XLOOKUP(MAX(1,INT(C134/10-6/10)),组队产出!$B$24:$B$39,组队产出!$C$24:$C$39))</f>
        <v>#N/A</v>
      </c>
      <c r="M134" s="80" t="e">
        <f ca="1">(OFFSET(产销汇总!$C$1,MATCH(M$27,产销汇总!$C$2:$C$8,0),$C$26)*_xlfn.XLOOKUP(C134,巡逻产出!$B$311:$B$610,巡逻产出!$D$311:$D$610))*$M$24</f>
        <v>#N/A</v>
      </c>
      <c r="N134" s="80" t="e">
        <f ca="1">OFFSET(产销汇总!$C$1,MATCH(L$27,产销汇总!$C$2:$C$8,0),$C$26)*(_xlfn.XLOOKUP(MAX(1,INT(C134/10-6/10)),组队产出!$B$24:$B$39,组队产出!$S$24:$S$39))</f>
        <v>#N/A</v>
      </c>
      <c r="O134" s="172">
        <f>任务!$D$36</f>
        <v>2457.14285714286</v>
      </c>
      <c r="P134" s="98">
        <f t="shared" si="13"/>
        <v>428</v>
      </c>
      <c r="Q134" s="80">
        <f t="shared" si="19"/>
        <v>1000</v>
      </c>
      <c r="R134" s="172">
        <f t="shared" si="20"/>
        <v>2000</v>
      </c>
      <c r="S134" s="210">
        <f ca="1">IFERROR(OFFSET(金币本!$E$2,MATCH(C134,金币本!$F$3:$F$302,1),0)*IF($C$26=1,2,3),0)</f>
        <v>36000</v>
      </c>
      <c r="T134" s="172" t="e">
        <f ca="1">SUM($J$28:S134)+SUM(D134:I134)</f>
        <v>#N/A</v>
      </c>
      <c r="U134" s="172" t="e">
        <f ca="1" t="shared" si="14"/>
        <v>#N/A</v>
      </c>
      <c r="V134" s="98" t="e">
        <f ca="1" t="shared" si="15"/>
        <v>#N/A</v>
      </c>
      <c r="W134" s="98" t="e">
        <f ca="1">OFFSET(装备强化!$U$6,MATCH(图纸产出设计!V135/6*W$26,装备强化!$T$7:$T$306,1),0)*6</f>
        <v>#N/A</v>
      </c>
      <c r="X134" s="98">
        <v>477350</v>
      </c>
      <c r="Y134" s="98">
        <f t="shared" si="21"/>
        <v>3312000</v>
      </c>
      <c r="Z134" s="98">
        <f t="shared" si="23"/>
        <v>2</v>
      </c>
      <c r="AA134" s="147" t="e">
        <f ca="1" t="shared" si="16"/>
        <v>#N/A</v>
      </c>
      <c r="AB134" s="209" t="e">
        <f ca="1" t="shared" si="17"/>
        <v>#N/A</v>
      </c>
      <c r="AC134" s="209">
        <f ca="1">SUMIFS(装备强化!$Q$7:$Q$306,装备强化!$M$7:$M$306,"&lt;="&amp;MATCH(U134/6,装备强化!$U$7:$U$306,1),装备强化!$M$7:$M$306,"&gt;="&amp;MATCH(V134/6,装备强化!$U$7:$U$306,1))*6</f>
        <v>0</v>
      </c>
      <c r="AD134">
        <f ca="1" t="shared" si="22"/>
        <v>0</v>
      </c>
    </row>
    <row r="135" spans="1:30">
      <c r="A135" s="171"/>
      <c r="B135" s="80">
        <v>108</v>
      </c>
      <c r="C135" s="80">
        <f ca="1">OFFSET(产销汇总!$C$12,$B135,$C$26)</f>
        <v>177</v>
      </c>
      <c r="D135" s="80">
        <f t="shared" si="18"/>
        <v>14100</v>
      </c>
      <c r="E135" s="80">
        <f ca="1">(SUMIF(主线推图!$B$4:$B$303,"&lt;"&amp;C135,主线推图!$M$4:$M$303)+SUMIF(主线宝箱!$B$320:$B$620,"&lt;"&amp;C135,主线宝箱!$L$320:$L$620)+SUMIF(主线宝箱!$B$320:$B$620,"&lt;"&amp;C135,主线宝箱!$X$320:$X$620)+SUMIF(主线宝箱!$B$320:$B$620,"&lt;"&amp;C135,主线宝箱!$AL$320:$AL$620))</f>
        <v>313800</v>
      </c>
      <c r="F135" s="98">
        <f ca="1">SUMIF(组队产出!$B$24:$B$39,"&lt;="&amp;MAX(1,INT(C135/10-0.6)),组队产出!$R$24:$R$39)</f>
        <v>141000</v>
      </c>
      <c r="G135" s="80">
        <f ca="1">SUMIF(运营活动!$O$3:$O$27,"&lt;="&amp;C135,运营活动!$P$3:$P$27)</f>
        <v>30000</v>
      </c>
      <c r="H135" s="80">
        <f ca="1">OFFSET(产销汇总!$AM$12,B135,$C$26)*24</f>
        <v>802800</v>
      </c>
      <c r="I135" s="172">
        <f ca="1">SUMIF(金币本!$F$2:$F$52,"&lt;="&amp;C135,金币本!$D$2:$D$52)</f>
        <v>1170000</v>
      </c>
      <c r="J135" s="80">
        <f ca="1">OFFSET(产销汇总!$C$1,MATCH(J$27,产销汇总!$C$2:$C$8,0),$C$26)*(_xlfn.XLOOKUP(C135,主线推图!$B$313:$B$612,主线推图!$C$313:$C$612)+_xlfn.XLOOKUP(C135,主线推图!$B$313:$B$612,主线推图!$D$313:$D$612))</f>
        <v>13904</v>
      </c>
      <c r="K135" s="80">
        <f ca="1">OFFSET(产销汇总!$C$1,MATCH(K$27,产销汇总!$C$2:$C$8,0),$C$26)*_xlfn.XLOOKUP(C135,巡逻产出!$B$311:$B$610,巡逻产出!$C$311:$C$610)*1.3</f>
        <v>0</v>
      </c>
      <c r="L135" s="80" t="e">
        <f ca="1">OFFSET(产销汇总!$C$1,MATCH(L$27,产销汇总!$C$2:$C$8,0),$C$26)*(_xlfn.XLOOKUP(MAX(1,INT(C135/10-6/10)),组队产出!$B$24:$B$39,组队产出!$D$24:$D$39))+OFFSET(产销汇总!$C$1,MATCH(L$27,产销汇总!$C$2:$C$8,0),$C$26)*(_xlfn.XLOOKUP(MAX(1,INT(C135/10-6/10)),组队产出!$B$24:$B$39,组队产出!$C$24:$C$39))</f>
        <v>#N/A</v>
      </c>
      <c r="M135" s="80">
        <f ca="1">(OFFSET(产销汇总!$C$1,MATCH(M$27,产销汇总!$C$2:$C$8,0),$C$26)*_xlfn.XLOOKUP(C135,巡逻产出!$B$311:$B$610,巡逻产出!$D$311:$D$610))*$M$24</f>
        <v>9859.2</v>
      </c>
      <c r="N135" s="80" t="e">
        <f ca="1">OFFSET(产销汇总!$C$1,MATCH(L$27,产销汇总!$C$2:$C$8,0),$C$26)*(_xlfn.XLOOKUP(MAX(1,INT(C135/10-6/10)),组队产出!$B$24:$B$39,组队产出!$S$24:$S$39))</f>
        <v>#N/A</v>
      </c>
      <c r="O135" s="172">
        <f>任务!$D$36</f>
        <v>2457.14285714286</v>
      </c>
      <c r="P135" s="98">
        <f t="shared" si="13"/>
        <v>428</v>
      </c>
      <c r="Q135" s="80">
        <f t="shared" si="19"/>
        <v>1000</v>
      </c>
      <c r="R135" s="172">
        <f t="shared" si="20"/>
        <v>2000</v>
      </c>
      <c r="S135" s="210">
        <f ca="1">IFERROR(OFFSET(金币本!$E$2,MATCH(C135,金币本!$F$3:$F$302,1),0)*IF($C$26=1,2,3),0)</f>
        <v>36000</v>
      </c>
      <c r="T135" s="172" t="e">
        <f ca="1">SUM($J$28:S135)+SUM(D135:I135)</f>
        <v>#N/A</v>
      </c>
      <c r="U135" s="172" t="e">
        <f ca="1" t="shared" si="14"/>
        <v>#N/A</v>
      </c>
      <c r="V135" s="98" t="e">
        <f ca="1" t="shared" si="15"/>
        <v>#N/A</v>
      </c>
      <c r="W135" s="98" t="e">
        <f ca="1">OFFSET(装备强化!$U$6,MATCH(图纸产出设计!V136/6*W$26,装备强化!$T$7:$T$306,1),0)*6</f>
        <v>#N/A</v>
      </c>
      <c r="X135" s="98">
        <v>477350</v>
      </c>
      <c r="Y135" s="98">
        <f t="shared" si="21"/>
        <v>3344000</v>
      </c>
      <c r="Z135" s="98">
        <f t="shared" si="23"/>
        <v>2</v>
      </c>
      <c r="AA135" s="147" t="e">
        <f ca="1" t="shared" si="16"/>
        <v>#N/A</v>
      </c>
      <c r="AB135" s="209" t="e">
        <f ca="1" t="shared" si="17"/>
        <v>#N/A</v>
      </c>
      <c r="AC135" s="209">
        <f ca="1">SUMIFS(装备强化!$Q$7:$Q$306,装备强化!$M$7:$M$306,"&lt;="&amp;MATCH(U135/6,装备强化!$U$7:$U$306,1),装备强化!$M$7:$M$306,"&gt;="&amp;MATCH(V135/6,装备强化!$U$7:$U$306,1))*6</f>
        <v>0</v>
      </c>
      <c r="AD135">
        <f ca="1" t="shared" si="22"/>
        <v>0</v>
      </c>
    </row>
    <row r="136" spans="1:30">
      <c r="A136" s="171"/>
      <c r="B136" s="80">
        <v>109</v>
      </c>
      <c r="C136" s="80">
        <f ca="1">OFFSET(产销汇总!$C$12,$B136,$C$26)</f>
        <v>177.5</v>
      </c>
      <c r="D136" s="80">
        <f t="shared" si="18"/>
        <v>14100</v>
      </c>
      <c r="E136" s="80">
        <f ca="1">(SUMIF(主线推图!$B$4:$B$303,"&lt;"&amp;C136,主线推图!$M$4:$M$303)+SUMIF(主线宝箱!$B$320:$B$620,"&lt;"&amp;C136,主线宝箱!$L$320:$L$620)+SUMIF(主线宝箱!$B$320:$B$620,"&lt;"&amp;C136,主线宝箱!$X$320:$X$620)+SUMIF(主线宝箱!$B$320:$B$620,"&lt;"&amp;C136,主线宝箱!$AL$320:$AL$620))</f>
        <v>315600</v>
      </c>
      <c r="F136" s="98">
        <f ca="1">SUMIF(组队产出!$B$24:$B$39,"&lt;="&amp;MAX(1,INT(C136/10-0.6)),组队产出!$R$24:$R$39)</f>
        <v>141000</v>
      </c>
      <c r="G136" s="80">
        <f ca="1">SUMIF(运营活动!$O$3:$O$27,"&lt;="&amp;C136,运营活动!$P$3:$P$27)</f>
        <v>30000</v>
      </c>
      <c r="H136" s="80">
        <f ca="1">OFFSET(产销汇总!$AM$12,B136,$C$26)*24</f>
        <v>810048</v>
      </c>
      <c r="I136" s="172">
        <f ca="1">SUMIF(金币本!$F$2:$F$52,"&lt;="&amp;C136,金币本!$D$2:$D$52)</f>
        <v>1170000</v>
      </c>
      <c r="J136" s="80" t="e">
        <f ca="1">OFFSET(产销汇总!$C$1,MATCH(J$27,产销汇总!$C$2:$C$8,0),$C$26)*(_xlfn.XLOOKUP(C136,主线推图!$B$313:$B$612,主线推图!$C$313:$C$612)+_xlfn.XLOOKUP(C136,主线推图!$B$313:$B$612,主线推图!$D$313:$D$612))</f>
        <v>#N/A</v>
      </c>
      <c r="K136" s="80" t="e">
        <f ca="1">OFFSET(产销汇总!$C$1,MATCH(K$27,产销汇总!$C$2:$C$8,0),$C$26)*_xlfn.XLOOKUP(C136,巡逻产出!$B$311:$B$610,巡逻产出!$C$311:$C$610)*1.3</f>
        <v>#N/A</v>
      </c>
      <c r="L136" s="80" t="e">
        <f ca="1">OFFSET(产销汇总!$C$1,MATCH(L$27,产销汇总!$C$2:$C$8,0),$C$26)*(_xlfn.XLOOKUP(MAX(1,INT(C136/10-6/10)),组队产出!$B$24:$B$39,组队产出!$D$24:$D$39))+OFFSET(产销汇总!$C$1,MATCH(L$27,产销汇总!$C$2:$C$8,0),$C$26)*(_xlfn.XLOOKUP(MAX(1,INT(C136/10-6/10)),组队产出!$B$24:$B$39,组队产出!$C$24:$C$39))</f>
        <v>#N/A</v>
      </c>
      <c r="M136" s="80" t="e">
        <f ca="1">(OFFSET(产销汇总!$C$1,MATCH(M$27,产销汇总!$C$2:$C$8,0),$C$26)*_xlfn.XLOOKUP(C136,巡逻产出!$B$311:$B$610,巡逻产出!$D$311:$D$610))*$M$24</f>
        <v>#N/A</v>
      </c>
      <c r="N136" s="80" t="e">
        <f ca="1">OFFSET(产销汇总!$C$1,MATCH(L$27,产销汇总!$C$2:$C$8,0),$C$26)*(_xlfn.XLOOKUP(MAX(1,INT(C136/10-6/10)),组队产出!$B$24:$B$39,组队产出!$S$24:$S$39))</f>
        <v>#N/A</v>
      </c>
      <c r="O136" s="172">
        <f>任务!$D$36</f>
        <v>2457.14285714286</v>
      </c>
      <c r="P136" s="98">
        <f t="shared" si="13"/>
        <v>428</v>
      </c>
      <c r="Q136" s="80">
        <f t="shared" si="19"/>
        <v>1000</v>
      </c>
      <c r="R136" s="172">
        <f t="shared" si="20"/>
        <v>2000</v>
      </c>
      <c r="S136" s="210">
        <f ca="1">IFERROR(OFFSET(金币本!$E$2,MATCH(C136,金币本!$F$3:$F$302,1),0)*IF($C$26=1,2,3),0)</f>
        <v>36000</v>
      </c>
      <c r="T136" s="172" t="e">
        <f ca="1">SUM($J$28:S136)+SUM(D136:I136)</f>
        <v>#N/A</v>
      </c>
      <c r="U136" s="172" t="e">
        <f ca="1" t="shared" si="14"/>
        <v>#N/A</v>
      </c>
      <c r="V136" s="98" t="e">
        <f ca="1" t="shared" si="15"/>
        <v>#N/A</v>
      </c>
      <c r="W136" s="98" t="e">
        <f ca="1">OFFSET(装备强化!$U$6,MATCH(图纸产出设计!V137/6*W$26,装备强化!$T$7:$T$306,1),0)*6</f>
        <v>#N/A</v>
      </c>
      <c r="X136" s="98">
        <v>477350</v>
      </c>
      <c r="Y136" s="98">
        <f t="shared" si="21"/>
        <v>3376000</v>
      </c>
      <c r="Z136" s="98">
        <f t="shared" si="23"/>
        <v>2</v>
      </c>
      <c r="AA136" s="147" t="e">
        <f ca="1" t="shared" si="16"/>
        <v>#N/A</v>
      </c>
      <c r="AB136" s="209" t="e">
        <f ca="1" t="shared" si="17"/>
        <v>#N/A</v>
      </c>
      <c r="AC136" s="209">
        <f ca="1">SUMIFS(装备强化!$Q$7:$Q$306,装备强化!$M$7:$M$306,"&lt;="&amp;MATCH(U136/6,装备强化!$U$7:$U$306,1),装备强化!$M$7:$M$306,"&gt;="&amp;MATCH(V136/6,装备强化!$U$7:$U$306,1))*6</f>
        <v>0</v>
      </c>
      <c r="AD136">
        <f ca="1" t="shared" si="22"/>
        <v>0</v>
      </c>
    </row>
    <row r="137" spans="1:30">
      <c r="A137" s="171"/>
      <c r="B137" s="80">
        <v>110</v>
      </c>
      <c r="C137" s="80">
        <f ca="1">OFFSET(产销汇总!$C$12,$B137,$C$26)</f>
        <v>178</v>
      </c>
      <c r="D137" s="80">
        <f t="shared" si="18"/>
        <v>14100</v>
      </c>
      <c r="E137" s="80">
        <f ca="1">(SUMIF(主线推图!$B$4:$B$303,"&lt;"&amp;C137,主线推图!$M$4:$M$303)+SUMIF(主线宝箱!$B$320:$B$620,"&lt;"&amp;C137,主线宝箱!$L$320:$L$620)+SUMIF(主线宝箱!$B$320:$B$620,"&lt;"&amp;C137,主线宝箱!$X$320:$X$620)+SUMIF(主线宝箱!$B$320:$B$620,"&lt;"&amp;C137,主线宝箱!$AL$320:$AL$620))</f>
        <v>315600</v>
      </c>
      <c r="F137" s="98">
        <f ca="1">SUMIF(组队产出!$B$24:$B$39,"&lt;="&amp;MAX(1,INT(C137/10-0.6)),组队产出!$R$24:$R$39)</f>
        <v>141000</v>
      </c>
      <c r="G137" s="80">
        <f ca="1">SUMIF(运营活动!$O$3:$O$27,"&lt;="&amp;C137,运营活动!$P$3:$P$27)</f>
        <v>30000</v>
      </c>
      <c r="H137" s="80">
        <f ca="1">OFFSET(产销汇总!$AM$12,B137,$C$26)*24</f>
        <v>817296</v>
      </c>
      <c r="I137" s="172">
        <f ca="1">SUMIF(金币本!$F$2:$F$52,"&lt;="&amp;C137,金币本!$D$2:$D$52)</f>
        <v>1170000</v>
      </c>
      <c r="J137" s="80">
        <f ca="1">OFFSET(产销汇总!$C$1,MATCH(J$27,产销汇总!$C$2:$C$8,0),$C$26)*(_xlfn.XLOOKUP(C137,主线推图!$B$313:$B$612,主线推图!$C$313:$C$612)+_xlfn.XLOOKUP(C137,主线推图!$B$313:$B$612,主线推图!$D$313:$D$612))</f>
        <v>13948</v>
      </c>
      <c r="K137" s="80">
        <f ca="1">OFFSET(产销汇总!$C$1,MATCH(K$27,产销汇总!$C$2:$C$8,0),$C$26)*_xlfn.XLOOKUP(C137,巡逻产出!$B$311:$B$610,巡逻产出!$C$311:$C$610)*1.3</f>
        <v>0</v>
      </c>
      <c r="L137" s="80" t="e">
        <f ca="1">OFFSET(产销汇总!$C$1,MATCH(L$27,产销汇总!$C$2:$C$8,0),$C$26)*(_xlfn.XLOOKUP(MAX(1,INT(C137/10-6/10)),组队产出!$B$24:$B$39,组队产出!$D$24:$D$39))+OFFSET(产销汇总!$C$1,MATCH(L$27,产销汇总!$C$2:$C$8,0),$C$26)*(_xlfn.XLOOKUP(MAX(1,INT(C137/10-6/10)),组队产出!$B$24:$B$39,组队产出!$C$24:$C$39))</f>
        <v>#N/A</v>
      </c>
      <c r="M137" s="80">
        <f ca="1">(OFFSET(产销汇总!$C$1,MATCH(M$27,产销汇总!$C$2:$C$8,0),$C$26)*_xlfn.XLOOKUP(C137,巡逻产出!$B$311:$B$610,巡逻产出!$D$311:$D$610))*$M$24</f>
        <v>9890.4</v>
      </c>
      <c r="N137" s="80" t="e">
        <f ca="1">OFFSET(产销汇总!$C$1,MATCH(L$27,产销汇总!$C$2:$C$8,0),$C$26)*(_xlfn.XLOOKUP(MAX(1,INT(C137/10-6/10)),组队产出!$B$24:$B$39,组队产出!$S$24:$S$39))</f>
        <v>#N/A</v>
      </c>
      <c r="O137" s="172">
        <f>任务!$D$36</f>
        <v>2457.14285714286</v>
      </c>
      <c r="P137" s="98">
        <f t="shared" si="13"/>
        <v>428</v>
      </c>
      <c r="Q137" s="80">
        <f t="shared" si="19"/>
        <v>1000</v>
      </c>
      <c r="R137" s="172">
        <f t="shared" si="20"/>
        <v>2000</v>
      </c>
      <c r="S137" s="210">
        <f ca="1">IFERROR(OFFSET(金币本!$E$2,MATCH(C137,金币本!$F$3:$F$302,1),0)*IF($C$26=1,2,3),0)</f>
        <v>36000</v>
      </c>
      <c r="T137" s="172" t="e">
        <f ca="1">SUM($J$28:S137)+SUM(D137:I137)</f>
        <v>#N/A</v>
      </c>
      <c r="U137" s="172" t="e">
        <f ca="1" t="shared" si="14"/>
        <v>#N/A</v>
      </c>
      <c r="V137" s="98" t="e">
        <f ca="1" t="shared" si="15"/>
        <v>#N/A</v>
      </c>
      <c r="W137" s="98" t="e">
        <f ca="1">OFFSET(装备强化!$U$6,MATCH(图纸产出设计!V138/6*W$26,装备强化!$T$7:$T$306,1),0)*6</f>
        <v>#N/A</v>
      </c>
      <c r="X137" s="98">
        <v>485560</v>
      </c>
      <c r="Y137" s="98">
        <f t="shared" si="21"/>
        <v>3408000</v>
      </c>
      <c r="Z137" s="98">
        <f t="shared" si="23"/>
        <v>2</v>
      </c>
      <c r="AA137" s="147" t="e">
        <f ca="1" t="shared" si="16"/>
        <v>#N/A</v>
      </c>
      <c r="AB137" s="209" t="e">
        <f ca="1" t="shared" si="17"/>
        <v>#N/A</v>
      </c>
      <c r="AC137" s="209">
        <f ca="1">SUMIFS(装备强化!$Q$7:$Q$306,装备强化!$M$7:$M$306,"&lt;="&amp;MATCH(U137/6,装备强化!$U$7:$U$306,1),装备强化!$M$7:$M$306,"&gt;="&amp;MATCH(V137/6,装备强化!$U$7:$U$306,1))*6</f>
        <v>0</v>
      </c>
      <c r="AD137">
        <f ca="1" t="shared" si="22"/>
        <v>0</v>
      </c>
    </row>
    <row r="138" spans="1:30">
      <c r="A138" s="171"/>
      <c r="B138" s="80">
        <v>111</v>
      </c>
      <c r="C138" s="80">
        <f ca="1">OFFSET(产销汇总!$C$12,$B138,$C$26)</f>
        <v>178.5</v>
      </c>
      <c r="D138" s="80">
        <f t="shared" si="18"/>
        <v>14100</v>
      </c>
      <c r="E138" s="80">
        <f ca="1">(SUMIF(主线推图!$B$4:$B$303,"&lt;"&amp;C138,主线推图!$M$4:$M$303)+SUMIF(主线宝箱!$B$320:$B$620,"&lt;"&amp;C138,主线宝箱!$L$320:$L$620)+SUMIF(主线宝箱!$B$320:$B$620,"&lt;"&amp;C138,主线宝箱!$X$320:$X$620)+SUMIF(主线宝箱!$B$320:$B$620,"&lt;"&amp;C138,主线宝箱!$AL$320:$AL$620))</f>
        <v>317400</v>
      </c>
      <c r="F138" s="98">
        <f ca="1">SUMIF(组队产出!$B$24:$B$39,"&lt;="&amp;MAX(1,INT(C138/10-0.6)),组队产出!$R$24:$R$39)</f>
        <v>141000</v>
      </c>
      <c r="G138" s="80">
        <f ca="1">SUMIF(运营活动!$O$3:$O$27,"&lt;="&amp;C138,运营活动!$P$3:$P$27)</f>
        <v>30000</v>
      </c>
      <c r="H138" s="80">
        <f ca="1">OFFSET(产销汇总!$AM$12,B138,$C$26)*24</f>
        <v>824544</v>
      </c>
      <c r="I138" s="172">
        <f ca="1">SUMIF(金币本!$F$2:$F$52,"&lt;="&amp;C138,金币本!$D$2:$D$52)</f>
        <v>1170000</v>
      </c>
      <c r="J138" s="80" t="e">
        <f ca="1">OFFSET(产销汇总!$C$1,MATCH(J$27,产销汇总!$C$2:$C$8,0),$C$26)*(_xlfn.XLOOKUP(C138,主线推图!$B$313:$B$612,主线推图!$C$313:$C$612)+_xlfn.XLOOKUP(C138,主线推图!$B$313:$B$612,主线推图!$D$313:$D$612))</f>
        <v>#N/A</v>
      </c>
      <c r="K138" s="80" t="e">
        <f ca="1">OFFSET(产销汇总!$C$1,MATCH(K$27,产销汇总!$C$2:$C$8,0),$C$26)*_xlfn.XLOOKUP(C138,巡逻产出!$B$311:$B$610,巡逻产出!$C$311:$C$610)*1.3</f>
        <v>#N/A</v>
      </c>
      <c r="L138" s="80" t="e">
        <f ca="1">OFFSET(产销汇总!$C$1,MATCH(L$27,产销汇总!$C$2:$C$8,0),$C$26)*(_xlfn.XLOOKUP(MAX(1,INT(C138/10-6/10)),组队产出!$B$24:$B$39,组队产出!$D$24:$D$39))+OFFSET(产销汇总!$C$1,MATCH(L$27,产销汇总!$C$2:$C$8,0),$C$26)*(_xlfn.XLOOKUP(MAX(1,INT(C138/10-6/10)),组队产出!$B$24:$B$39,组队产出!$C$24:$C$39))</f>
        <v>#N/A</v>
      </c>
      <c r="M138" s="80" t="e">
        <f ca="1">(OFFSET(产销汇总!$C$1,MATCH(M$27,产销汇总!$C$2:$C$8,0),$C$26)*_xlfn.XLOOKUP(C138,巡逻产出!$B$311:$B$610,巡逻产出!$D$311:$D$610))*$M$24</f>
        <v>#N/A</v>
      </c>
      <c r="N138" s="80" t="e">
        <f ca="1">OFFSET(产销汇总!$C$1,MATCH(L$27,产销汇总!$C$2:$C$8,0),$C$26)*(_xlfn.XLOOKUP(MAX(1,INT(C138/10-6/10)),组队产出!$B$24:$B$39,组队产出!$S$24:$S$39))</f>
        <v>#N/A</v>
      </c>
      <c r="O138" s="172">
        <f>任务!$D$36</f>
        <v>2457.14285714286</v>
      </c>
      <c r="P138" s="98">
        <f t="shared" si="13"/>
        <v>428</v>
      </c>
      <c r="Q138" s="80">
        <f t="shared" si="19"/>
        <v>1000</v>
      </c>
      <c r="R138" s="172">
        <f t="shared" si="20"/>
        <v>2000</v>
      </c>
      <c r="S138" s="210">
        <f ca="1">IFERROR(OFFSET(金币本!$E$2,MATCH(C138,金币本!$F$3:$F$302,1),0)*IF($C$26=1,2,3),0)</f>
        <v>36000</v>
      </c>
      <c r="T138" s="172" t="e">
        <f ca="1">SUM($J$28:S138)+SUM(D138:I138)</f>
        <v>#N/A</v>
      </c>
      <c r="U138" s="172" t="e">
        <f ca="1" t="shared" si="14"/>
        <v>#N/A</v>
      </c>
      <c r="V138" s="98" t="e">
        <f ca="1" t="shared" si="15"/>
        <v>#N/A</v>
      </c>
      <c r="W138" s="98" t="e">
        <f ca="1">OFFSET(装备强化!$U$6,MATCH(图纸产出设计!V139/6*W$26,装备强化!$T$7:$T$306,1),0)*6</f>
        <v>#N/A</v>
      </c>
      <c r="X138" s="98">
        <v>485560</v>
      </c>
      <c r="Y138" s="98">
        <f t="shared" si="21"/>
        <v>3440000</v>
      </c>
      <c r="Z138" s="98">
        <f t="shared" si="23"/>
        <v>2</v>
      </c>
      <c r="AA138" s="147" t="e">
        <f ca="1" t="shared" si="16"/>
        <v>#N/A</v>
      </c>
      <c r="AB138" s="209" t="e">
        <f ca="1" t="shared" si="17"/>
        <v>#N/A</v>
      </c>
      <c r="AC138" s="209">
        <f ca="1">SUMIFS(装备强化!$Q$7:$Q$306,装备强化!$M$7:$M$306,"&lt;="&amp;MATCH(U138/6,装备强化!$U$7:$U$306,1),装备强化!$M$7:$M$306,"&gt;="&amp;MATCH(V138/6,装备强化!$U$7:$U$306,1))*6</f>
        <v>0</v>
      </c>
      <c r="AD138">
        <f ca="1" t="shared" si="22"/>
        <v>0</v>
      </c>
    </row>
    <row r="139" spans="1:30">
      <c r="A139" s="171"/>
      <c r="B139" s="80">
        <v>112</v>
      </c>
      <c r="C139" s="80">
        <f ca="1">OFFSET(产销汇总!$C$12,$B139,$C$26)</f>
        <v>179</v>
      </c>
      <c r="D139" s="80">
        <f t="shared" si="18"/>
        <v>14100</v>
      </c>
      <c r="E139" s="80">
        <f ca="1">(SUMIF(主线推图!$B$4:$B$303,"&lt;"&amp;C139,主线推图!$M$4:$M$303)+SUMIF(主线宝箱!$B$320:$B$620,"&lt;"&amp;C139,主线宝箱!$L$320:$L$620)+SUMIF(主线宝箱!$B$320:$B$620,"&lt;"&amp;C139,主线宝箱!$X$320:$X$620)+SUMIF(主线宝箱!$B$320:$B$620,"&lt;"&amp;C139,主线宝箱!$AL$320:$AL$620))</f>
        <v>317400</v>
      </c>
      <c r="F139" s="98">
        <f ca="1">SUMIF(组队产出!$B$24:$B$39,"&lt;="&amp;MAX(1,INT(C139/10-0.6)),组队产出!$R$24:$R$39)</f>
        <v>141000</v>
      </c>
      <c r="G139" s="80">
        <f ca="1">SUMIF(运营活动!$O$3:$O$27,"&lt;="&amp;C139,运营活动!$P$3:$P$27)</f>
        <v>30000</v>
      </c>
      <c r="H139" s="80">
        <f ca="1">OFFSET(产销汇总!$AM$12,B139,$C$26)*24</f>
        <v>831792</v>
      </c>
      <c r="I139" s="172">
        <f ca="1">SUMIF(金币本!$F$2:$F$52,"&lt;="&amp;C139,金币本!$D$2:$D$52)</f>
        <v>1219000</v>
      </c>
      <c r="J139" s="80">
        <f ca="1">OFFSET(产销汇总!$C$1,MATCH(J$27,产销汇总!$C$2:$C$8,0),$C$26)*(_xlfn.XLOOKUP(C139,主线推图!$B$313:$B$612,主线推图!$C$313:$C$612)+_xlfn.XLOOKUP(C139,主线推图!$B$313:$B$612,主线推图!$D$313:$D$612))</f>
        <v>13992</v>
      </c>
      <c r="K139" s="80">
        <f ca="1">OFFSET(产销汇总!$C$1,MATCH(K$27,产销汇总!$C$2:$C$8,0),$C$26)*_xlfn.XLOOKUP(C139,巡逻产出!$B$311:$B$610,巡逻产出!$C$311:$C$610)*1.3</f>
        <v>0</v>
      </c>
      <c r="L139" s="80" t="e">
        <f ca="1">OFFSET(产销汇总!$C$1,MATCH(L$27,产销汇总!$C$2:$C$8,0),$C$26)*(_xlfn.XLOOKUP(MAX(1,INT(C139/10-6/10)),组队产出!$B$24:$B$39,组队产出!$D$24:$D$39))+OFFSET(产销汇总!$C$1,MATCH(L$27,产销汇总!$C$2:$C$8,0),$C$26)*(_xlfn.XLOOKUP(MAX(1,INT(C139/10-6/10)),组队产出!$B$24:$B$39,组队产出!$C$24:$C$39))</f>
        <v>#N/A</v>
      </c>
      <c r="M139" s="80">
        <f ca="1">(OFFSET(产销汇总!$C$1,MATCH(M$27,产销汇总!$C$2:$C$8,0),$C$26)*_xlfn.XLOOKUP(C139,巡逻产出!$B$311:$B$610,巡逻产出!$D$311:$D$610))*$M$24</f>
        <v>9921.6</v>
      </c>
      <c r="N139" s="80" t="e">
        <f ca="1">OFFSET(产销汇总!$C$1,MATCH(L$27,产销汇总!$C$2:$C$8,0),$C$26)*(_xlfn.XLOOKUP(MAX(1,INT(C139/10-6/10)),组队产出!$B$24:$B$39,组队产出!$S$24:$S$39))</f>
        <v>#N/A</v>
      </c>
      <c r="O139" s="172">
        <f>任务!$D$36</f>
        <v>2457.14285714286</v>
      </c>
      <c r="P139" s="98">
        <f t="shared" si="13"/>
        <v>428</v>
      </c>
      <c r="Q139" s="80">
        <f t="shared" si="19"/>
        <v>1000</v>
      </c>
      <c r="R139" s="172">
        <f t="shared" si="20"/>
        <v>2000</v>
      </c>
      <c r="S139" s="210">
        <f ca="1">IFERROR(OFFSET(金币本!$E$2,MATCH(C139,金币本!$F$3:$F$302,1),0)*IF($C$26=1,2,3),0)</f>
        <v>36750</v>
      </c>
      <c r="T139" s="172" t="e">
        <f ca="1">SUM($J$28:S139)+SUM(D139:I139)</f>
        <v>#N/A</v>
      </c>
      <c r="U139" s="172" t="e">
        <f ca="1" t="shared" si="14"/>
        <v>#N/A</v>
      </c>
      <c r="V139" s="98" t="e">
        <f ca="1" t="shared" si="15"/>
        <v>#N/A</v>
      </c>
      <c r="W139" s="98" t="e">
        <f ca="1">OFFSET(装备强化!$U$6,MATCH(图纸产出设计!V140/6*W$26,装备强化!$T$7:$T$306,1),0)*6</f>
        <v>#N/A</v>
      </c>
      <c r="X139" s="98">
        <v>493840</v>
      </c>
      <c r="Y139" s="98">
        <f t="shared" si="21"/>
        <v>3472000</v>
      </c>
      <c r="Z139" s="98">
        <f t="shared" si="23"/>
        <v>2</v>
      </c>
      <c r="AA139" s="147" t="e">
        <f ca="1" t="shared" si="16"/>
        <v>#N/A</v>
      </c>
      <c r="AB139" s="209" t="e">
        <f ca="1" t="shared" si="17"/>
        <v>#N/A</v>
      </c>
      <c r="AC139" s="209">
        <f ca="1">SUMIFS(装备强化!$Q$7:$Q$306,装备强化!$M$7:$M$306,"&lt;="&amp;MATCH(U139/6,装备强化!$U$7:$U$306,1),装备强化!$M$7:$M$306,"&gt;="&amp;MATCH(V139/6,装备强化!$U$7:$U$306,1))*6</f>
        <v>0</v>
      </c>
      <c r="AD139">
        <f ca="1" t="shared" si="22"/>
        <v>0</v>
      </c>
    </row>
    <row r="140" spans="1:30">
      <c r="A140" s="171"/>
      <c r="B140" s="80">
        <v>113</v>
      </c>
      <c r="C140" s="80">
        <f ca="1">OFFSET(产销汇总!$C$12,$B140,$C$26)</f>
        <v>179.5</v>
      </c>
      <c r="D140" s="80">
        <f t="shared" si="18"/>
        <v>14100</v>
      </c>
      <c r="E140" s="80">
        <f ca="1">(SUMIF(主线推图!$B$4:$B$303,"&lt;"&amp;C140,主线推图!$M$4:$M$303)+SUMIF(主线宝箱!$B$320:$B$620,"&lt;"&amp;C140,主线宝箱!$L$320:$L$620)+SUMIF(主线宝箱!$B$320:$B$620,"&lt;"&amp;C140,主线宝箱!$X$320:$X$620)+SUMIF(主线宝箱!$B$320:$B$620,"&lt;"&amp;C140,主线宝箱!$AL$320:$AL$620))</f>
        <v>319200</v>
      </c>
      <c r="F140" s="98">
        <f ca="1">SUMIF(组队产出!$B$24:$B$39,"&lt;="&amp;MAX(1,INT(C140/10-0.6)),组队产出!$R$24:$R$39)</f>
        <v>141000</v>
      </c>
      <c r="G140" s="80">
        <f ca="1">SUMIF(运营活动!$O$3:$O$27,"&lt;="&amp;C140,运营活动!$P$3:$P$27)</f>
        <v>30000</v>
      </c>
      <c r="H140" s="80">
        <f ca="1">OFFSET(产销汇总!$AM$12,B140,$C$26)*24</f>
        <v>839040</v>
      </c>
      <c r="I140" s="172">
        <f ca="1">SUMIF(金币本!$F$2:$F$52,"&lt;="&amp;C140,金币本!$D$2:$D$52)</f>
        <v>1219000</v>
      </c>
      <c r="J140" s="80" t="e">
        <f ca="1">OFFSET(产销汇总!$C$1,MATCH(J$27,产销汇总!$C$2:$C$8,0),$C$26)*(_xlfn.XLOOKUP(C140,主线推图!$B$313:$B$612,主线推图!$C$313:$C$612)+_xlfn.XLOOKUP(C140,主线推图!$B$313:$B$612,主线推图!$D$313:$D$612))</f>
        <v>#N/A</v>
      </c>
      <c r="K140" s="80" t="e">
        <f ca="1">OFFSET(产销汇总!$C$1,MATCH(K$27,产销汇总!$C$2:$C$8,0),$C$26)*_xlfn.XLOOKUP(C140,巡逻产出!$B$311:$B$610,巡逻产出!$C$311:$C$610)*1.3</f>
        <v>#N/A</v>
      </c>
      <c r="L140" s="80" t="e">
        <f ca="1">OFFSET(产销汇总!$C$1,MATCH(L$27,产销汇总!$C$2:$C$8,0),$C$26)*(_xlfn.XLOOKUP(MAX(1,INT(C140/10-6/10)),组队产出!$B$24:$B$39,组队产出!$D$24:$D$39))+OFFSET(产销汇总!$C$1,MATCH(L$27,产销汇总!$C$2:$C$8,0),$C$26)*(_xlfn.XLOOKUP(MAX(1,INT(C140/10-6/10)),组队产出!$B$24:$B$39,组队产出!$C$24:$C$39))</f>
        <v>#N/A</v>
      </c>
      <c r="M140" s="80" t="e">
        <f ca="1">(OFFSET(产销汇总!$C$1,MATCH(M$27,产销汇总!$C$2:$C$8,0),$C$26)*_xlfn.XLOOKUP(C140,巡逻产出!$B$311:$B$610,巡逻产出!$D$311:$D$610))*$M$24</f>
        <v>#N/A</v>
      </c>
      <c r="N140" s="80" t="e">
        <f ca="1">OFFSET(产销汇总!$C$1,MATCH(L$27,产销汇总!$C$2:$C$8,0),$C$26)*(_xlfn.XLOOKUP(MAX(1,INT(C140/10-6/10)),组队产出!$B$24:$B$39,组队产出!$S$24:$S$39))</f>
        <v>#N/A</v>
      </c>
      <c r="O140" s="172">
        <f>任务!$D$36</f>
        <v>2457.14285714286</v>
      </c>
      <c r="P140" s="98">
        <f t="shared" si="13"/>
        <v>428</v>
      </c>
      <c r="Q140" s="80">
        <f t="shared" si="19"/>
        <v>1500</v>
      </c>
      <c r="R140" s="172">
        <f t="shared" si="20"/>
        <v>2000</v>
      </c>
      <c r="S140" s="210">
        <f ca="1">IFERROR(OFFSET(金币本!$E$2,MATCH(C140,金币本!$F$3:$F$302,1),0)*IF($C$26=1,2,3),0)</f>
        <v>36750</v>
      </c>
      <c r="T140" s="172" t="e">
        <f ca="1">SUM($J$28:S140)+SUM(D140:I140)</f>
        <v>#N/A</v>
      </c>
      <c r="U140" s="172" t="e">
        <f ca="1" t="shared" si="14"/>
        <v>#N/A</v>
      </c>
      <c r="V140" s="98" t="e">
        <f ca="1" t="shared" si="15"/>
        <v>#N/A</v>
      </c>
      <c r="W140" s="98" t="e">
        <f ca="1">OFFSET(装备强化!$U$6,MATCH(图纸产出设计!V141/6*W$26,装备强化!$T$7:$T$306,1),0)*6</f>
        <v>#N/A</v>
      </c>
      <c r="X140" s="98">
        <v>493840</v>
      </c>
      <c r="Y140" s="98">
        <f t="shared" si="21"/>
        <v>3504000</v>
      </c>
      <c r="Z140" s="98">
        <f t="shared" si="23"/>
        <v>2</v>
      </c>
      <c r="AA140" s="147" t="e">
        <f ca="1" t="shared" si="16"/>
        <v>#N/A</v>
      </c>
      <c r="AB140" s="209" t="e">
        <f ca="1" t="shared" si="17"/>
        <v>#N/A</v>
      </c>
      <c r="AC140" s="209">
        <f ca="1">SUMIFS(装备强化!$Q$7:$Q$306,装备强化!$M$7:$M$306,"&lt;="&amp;MATCH(U140/6,装备强化!$U$7:$U$306,1),装备强化!$M$7:$M$306,"&gt;="&amp;MATCH(V140/6,装备强化!$U$7:$U$306,1))*6</f>
        <v>0</v>
      </c>
      <c r="AD140">
        <f ca="1" t="shared" si="22"/>
        <v>0</v>
      </c>
    </row>
    <row r="141" spans="1:30">
      <c r="A141" s="171"/>
      <c r="B141" s="80">
        <v>114</v>
      </c>
      <c r="C141" s="80">
        <f ca="1">OFFSET(产销汇总!$C$12,$B141,$C$26)</f>
        <v>180</v>
      </c>
      <c r="D141" s="80">
        <f t="shared" si="18"/>
        <v>14100</v>
      </c>
      <c r="E141" s="80">
        <f ca="1">(SUMIF(主线推图!$B$4:$B$303,"&lt;"&amp;C141,主线推图!$M$4:$M$303)+SUMIF(主线宝箱!$B$320:$B$620,"&lt;"&amp;C141,主线宝箱!$L$320:$L$620)+SUMIF(主线宝箱!$B$320:$B$620,"&lt;"&amp;C141,主线宝箱!$X$320:$X$620)+SUMIF(主线宝箱!$B$320:$B$620,"&lt;"&amp;C141,主线宝箱!$AL$320:$AL$620))</f>
        <v>319200</v>
      </c>
      <c r="F141" s="98">
        <f ca="1">SUMIF(组队产出!$B$24:$B$39,"&lt;="&amp;MAX(1,INT(C141/10-0.6)),组队产出!$R$24:$R$39)</f>
        <v>141000</v>
      </c>
      <c r="G141" s="80">
        <f ca="1">SUMIF(运营活动!$O$3:$O$27,"&lt;="&amp;C141,运营活动!$P$3:$P$27)</f>
        <v>30000</v>
      </c>
      <c r="H141" s="80">
        <f ca="1">OFFSET(产销汇总!$AM$12,B141,$C$26)*24</f>
        <v>846288</v>
      </c>
      <c r="I141" s="172">
        <f ca="1">SUMIF(金币本!$F$2:$F$52,"&lt;="&amp;C141,金币本!$D$2:$D$52)</f>
        <v>1219000</v>
      </c>
      <c r="J141" s="80">
        <f ca="1">OFFSET(产销汇总!$C$1,MATCH(J$27,产销汇总!$C$2:$C$8,0),$C$26)*(_xlfn.XLOOKUP(C141,主线推图!$B$313:$B$612,主线推图!$C$313:$C$612)+_xlfn.XLOOKUP(C141,主线推图!$B$313:$B$612,主线推图!$D$313:$D$612))</f>
        <v>14036</v>
      </c>
      <c r="K141" s="80">
        <f ca="1">OFFSET(产销汇总!$C$1,MATCH(K$27,产销汇总!$C$2:$C$8,0),$C$26)*_xlfn.XLOOKUP(C141,巡逻产出!$B$311:$B$610,巡逻产出!$C$311:$C$610)*1.3</f>
        <v>0</v>
      </c>
      <c r="L141" s="80" t="e">
        <f ca="1">OFFSET(产销汇总!$C$1,MATCH(L$27,产销汇总!$C$2:$C$8,0),$C$26)*(_xlfn.XLOOKUP(MAX(1,INT(C141/10-6/10)),组队产出!$B$24:$B$39,组队产出!$D$24:$D$39))+OFFSET(产销汇总!$C$1,MATCH(L$27,产销汇总!$C$2:$C$8,0),$C$26)*(_xlfn.XLOOKUP(MAX(1,INT(C141/10-6/10)),组队产出!$B$24:$B$39,组队产出!$C$24:$C$39))</f>
        <v>#N/A</v>
      </c>
      <c r="M141" s="80">
        <f ca="1">(OFFSET(产销汇总!$C$1,MATCH(M$27,产销汇总!$C$2:$C$8,0),$C$26)*_xlfn.XLOOKUP(C141,巡逻产出!$B$311:$B$610,巡逻产出!$D$311:$D$610))*$M$24</f>
        <v>9952.8</v>
      </c>
      <c r="N141" s="80" t="e">
        <f ca="1">OFFSET(产销汇总!$C$1,MATCH(L$27,产销汇总!$C$2:$C$8,0),$C$26)*(_xlfn.XLOOKUP(MAX(1,INT(C141/10-6/10)),组队产出!$B$24:$B$39,组队产出!$S$24:$S$39))</f>
        <v>#N/A</v>
      </c>
      <c r="O141" s="172">
        <f>任务!$D$36</f>
        <v>2457.14285714286</v>
      </c>
      <c r="P141" s="98">
        <f t="shared" si="13"/>
        <v>428</v>
      </c>
      <c r="Q141" s="80">
        <f t="shared" si="19"/>
        <v>1000</v>
      </c>
      <c r="R141" s="172">
        <f t="shared" si="20"/>
        <v>2000</v>
      </c>
      <c r="S141" s="210">
        <f ca="1">IFERROR(OFFSET(金币本!$E$2,MATCH(C141,金币本!$F$3:$F$302,1),0)*IF($C$26=1,2,3),0)</f>
        <v>36750</v>
      </c>
      <c r="T141" s="172" t="e">
        <f ca="1">SUM($J$28:S141)+SUM(D141:I141)</f>
        <v>#N/A</v>
      </c>
      <c r="U141" s="172" t="e">
        <f ca="1" t="shared" si="14"/>
        <v>#N/A</v>
      </c>
      <c r="V141" s="98" t="e">
        <f ca="1" t="shared" si="15"/>
        <v>#N/A</v>
      </c>
      <c r="W141" s="98" t="e">
        <f ca="1">OFFSET(装备强化!$U$6,MATCH(图纸产出设计!V142/6*W$26,装备强化!$T$7:$T$306,1),0)*6</f>
        <v>#N/A</v>
      </c>
      <c r="X141" s="98">
        <v>502190</v>
      </c>
      <c r="Y141" s="98">
        <f t="shared" si="21"/>
        <v>3536000</v>
      </c>
      <c r="Z141" s="98">
        <f t="shared" si="23"/>
        <v>2</v>
      </c>
      <c r="AA141" s="147" t="e">
        <f ca="1" t="shared" si="16"/>
        <v>#N/A</v>
      </c>
      <c r="AB141" s="209" t="e">
        <f ca="1" t="shared" si="17"/>
        <v>#N/A</v>
      </c>
      <c r="AC141" s="209">
        <f ca="1">SUMIFS(装备强化!$Q$7:$Q$306,装备强化!$M$7:$M$306,"&lt;="&amp;MATCH(U141/6,装备强化!$U$7:$U$306,1),装备强化!$M$7:$M$306,"&gt;="&amp;MATCH(V141/6,装备强化!$U$7:$U$306,1))*6</f>
        <v>0</v>
      </c>
      <c r="AD141">
        <f ca="1" t="shared" si="22"/>
        <v>0</v>
      </c>
    </row>
    <row r="142" spans="1:30">
      <c r="A142" s="171"/>
      <c r="B142" s="80">
        <v>115</v>
      </c>
      <c r="C142" s="80">
        <f ca="1">OFFSET(产销汇总!$C$12,$B142,$C$26)</f>
        <v>180.5</v>
      </c>
      <c r="D142" s="80">
        <f t="shared" si="18"/>
        <v>14100</v>
      </c>
      <c r="E142" s="80">
        <f ca="1">(SUMIF(主线推图!$B$4:$B$303,"&lt;"&amp;C142,主线推图!$M$4:$M$303)+SUMIF(主线宝箱!$B$320:$B$620,"&lt;"&amp;C142,主线宝箱!$L$320:$L$620)+SUMIF(主线宝箱!$B$320:$B$620,"&lt;"&amp;C142,主线宝箱!$X$320:$X$620)+SUMIF(主线宝箱!$B$320:$B$620,"&lt;"&amp;C142,主线宝箱!$AL$320:$AL$620))</f>
        <v>321000</v>
      </c>
      <c r="F142" s="98">
        <f ca="1">SUMIF(组队产出!$B$24:$B$39,"&lt;="&amp;MAX(1,INT(C142/10-0.6)),组队产出!$R$24:$R$39)</f>
        <v>141000</v>
      </c>
      <c r="G142" s="80">
        <f ca="1">SUMIF(运营活动!$O$3:$O$27,"&lt;="&amp;C142,运营活动!$P$3:$P$27)</f>
        <v>30000</v>
      </c>
      <c r="H142" s="80">
        <f ca="1">OFFSET(产销汇总!$AM$12,B142,$C$26)*24</f>
        <v>853536</v>
      </c>
      <c r="I142" s="172">
        <f ca="1">SUMIF(金币本!$F$2:$F$52,"&lt;="&amp;C142,金币本!$D$2:$D$52)</f>
        <v>1219000</v>
      </c>
      <c r="J142" s="80" t="e">
        <f ca="1">OFFSET(产销汇总!$C$1,MATCH(J$27,产销汇总!$C$2:$C$8,0),$C$26)*(_xlfn.XLOOKUP(C142,主线推图!$B$313:$B$612,主线推图!$C$313:$C$612)+_xlfn.XLOOKUP(C142,主线推图!$B$313:$B$612,主线推图!$D$313:$D$612))</f>
        <v>#N/A</v>
      </c>
      <c r="K142" s="80" t="e">
        <f ca="1">OFFSET(产销汇总!$C$1,MATCH(K$27,产销汇总!$C$2:$C$8,0),$C$26)*_xlfn.XLOOKUP(C142,巡逻产出!$B$311:$B$610,巡逻产出!$C$311:$C$610)*1.3</f>
        <v>#N/A</v>
      </c>
      <c r="L142" s="80" t="e">
        <f ca="1">OFFSET(产销汇总!$C$1,MATCH(L$27,产销汇总!$C$2:$C$8,0),$C$26)*(_xlfn.XLOOKUP(MAX(1,INT(C142/10-6/10)),组队产出!$B$24:$B$39,组队产出!$D$24:$D$39))+OFFSET(产销汇总!$C$1,MATCH(L$27,产销汇总!$C$2:$C$8,0),$C$26)*(_xlfn.XLOOKUP(MAX(1,INT(C142/10-6/10)),组队产出!$B$24:$B$39,组队产出!$C$24:$C$39))</f>
        <v>#N/A</v>
      </c>
      <c r="M142" s="80" t="e">
        <f ca="1">(OFFSET(产销汇总!$C$1,MATCH(M$27,产销汇总!$C$2:$C$8,0),$C$26)*_xlfn.XLOOKUP(C142,巡逻产出!$B$311:$B$610,巡逻产出!$D$311:$D$610))*$M$24</f>
        <v>#N/A</v>
      </c>
      <c r="N142" s="80" t="e">
        <f ca="1">OFFSET(产销汇总!$C$1,MATCH(L$27,产销汇总!$C$2:$C$8,0),$C$26)*(_xlfn.XLOOKUP(MAX(1,INT(C142/10-6/10)),组队产出!$B$24:$B$39,组队产出!$S$24:$S$39))</f>
        <v>#N/A</v>
      </c>
      <c r="O142" s="172">
        <f>任务!$D$36</f>
        <v>2457.14285714286</v>
      </c>
      <c r="P142" s="98">
        <f t="shared" si="13"/>
        <v>428</v>
      </c>
      <c r="Q142" s="80">
        <f t="shared" si="19"/>
        <v>1000</v>
      </c>
      <c r="R142" s="172">
        <f t="shared" si="20"/>
        <v>2000</v>
      </c>
      <c r="S142" s="210">
        <f ca="1">IFERROR(OFFSET(金币本!$E$2,MATCH(C142,金币本!$F$3:$F$302,1),0)*IF($C$26=1,2,3),0)</f>
        <v>36750</v>
      </c>
      <c r="T142" s="172" t="e">
        <f ca="1">SUM($J$28:S142)+SUM(D142:I142)</f>
        <v>#N/A</v>
      </c>
      <c r="U142" s="172" t="e">
        <f ca="1" t="shared" si="14"/>
        <v>#N/A</v>
      </c>
      <c r="V142" s="98" t="e">
        <f ca="1" t="shared" si="15"/>
        <v>#N/A</v>
      </c>
      <c r="W142" s="98" t="e">
        <f ca="1">OFFSET(装备强化!$U$6,MATCH(图纸产出设计!V143/6*W$26,装备强化!$T$7:$T$306,1),0)*6</f>
        <v>#N/A</v>
      </c>
      <c r="X142" s="98">
        <v>502190</v>
      </c>
      <c r="Y142" s="98">
        <f t="shared" si="21"/>
        <v>3568000</v>
      </c>
      <c r="Z142" s="98">
        <f t="shared" si="23"/>
        <v>2</v>
      </c>
      <c r="AA142" s="147" t="e">
        <f ca="1" t="shared" si="16"/>
        <v>#N/A</v>
      </c>
      <c r="AB142" s="209" t="e">
        <f ca="1" t="shared" si="17"/>
        <v>#N/A</v>
      </c>
      <c r="AC142" s="209">
        <f ca="1">SUMIFS(装备强化!$Q$7:$Q$306,装备强化!$M$7:$M$306,"&lt;="&amp;MATCH(U142/6,装备强化!$U$7:$U$306,1),装备强化!$M$7:$M$306,"&gt;="&amp;MATCH(V142/6,装备强化!$U$7:$U$306,1))*6</f>
        <v>0</v>
      </c>
      <c r="AD142">
        <f ca="1" t="shared" si="22"/>
        <v>0</v>
      </c>
    </row>
    <row r="143" spans="1:30">
      <c r="A143" s="171"/>
      <c r="B143" s="80">
        <v>116</v>
      </c>
      <c r="C143" s="80">
        <f ca="1">OFFSET(产销汇总!$C$12,$B143,$C$26)</f>
        <v>181</v>
      </c>
      <c r="D143" s="80">
        <f t="shared" si="18"/>
        <v>14100</v>
      </c>
      <c r="E143" s="80">
        <f ca="1">(SUMIF(主线推图!$B$4:$B$303,"&lt;"&amp;C143,主线推图!$M$4:$M$303)+SUMIF(主线宝箱!$B$320:$B$620,"&lt;"&amp;C143,主线宝箱!$L$320:$L$620)+SUMIF(主线宝箱!$B$320:$B$620,"&lt;"&amp;C143,主线宝箱!$X$320:$X$620)+SUMIF(主线宝箱!$B$320:$B$620,"&lt;"&amp;C143,主线宝箱!$AL$320:$AL$620))</f>
        <v>321000</v>
      </c>
      <c r="F143" s="98">
        <f ca="1">SUMIF(组队产出!$B$24:$B$39,"&lt;="&amp;MAX(1,INT(C143/10-0.6)),组队产出!$R$24:$R$39)</f>
        <v>141000</v>
      </c>
      <c r="G143" s="80">
        <f ca="1">SUMIF(运营活动!$O$3:$O$27,"&lt;="&amp;C143,运营活动!$P$3:$P$27)</f>
        <v>30000</v>
      </c>
      <c r="H143" s="80">
        <f ca="1">OFFSET(产销汇总!$AM$12,B143,$C$26)*24</f>
        <v>860784</v>
      </c>
      <c r="I143" s="172">
        <f ca="1">SUMIF(金币本!$F$2:$F$52,"&lt;="&amp;C143,金币本!$D$2:$D$52)</f>
        <v>1219000</v>
      </c>
      <c r="J143" s="80">
        <f ca="1">OFFSET(产销汇总!$C$1,MATCH(J$27,产销汇总!$C$2:$C$8,0),$C$26)*(_xlfn.XLOOKUP(C143,主线推图!$B$313:$B$612,主线推图!$C$313:$C$612)+_xlfn.XLOOKUP(C143,主线推图!$B$313:$B$612,主线推图!$D$313:$D$612))</f>
        <v>14080</v>
      </c>
      <c r="K143" s="80">
        <f ca="1">OFFSET(产销汇总!$C$1,MATCH(K$27,产销汇总!$C$2:$C$8,0),$C$26)*_xlfn.XLOOKUP(C143,巡逻产出!$B$311:$B$610,巡逻产出!$C$311:$C$610)*1.3</f>
        <v>0</v>
      </c>
      <c r="L143" s="80" t="e">
        <f ca="1">OFFSET(产销汇总!$C$1,MATCH(L$27,产销汇总!$C$2:$C$8,0),$C$26)*(_xlfn.XLOOKUP(MAX(1,INT(C143/10-6/10)),组队产出!$B$24:$B$39,组队产出!$D$24:$D$39))+OFFSET(产销汇总!$C$1,MATCH(L$27,产销汇总!$C$2:$C$8,0),$C$26)*(_xlfn.XLOOKUP(MAX(1,INT(C143/10-6/10)),组队产出!$B$24:$B$39,组队产出!$C$24:$C$39))</f>
        <v>#N/A</v>
      </c>
      <c r="M143" s="80">
        <f ca="1">(OFFSET(产销汇总!$C$1,MATCH(M$27,产销汇总!$C$2:$C$8,0),$C$26)*_xlfn.XLOOKUP(C143,巡逻产出!$B$311:$B$610,巡逻产出!$D$311:$D$610))*$M$24</f>
        <v>9984</v>
      </c>
      <c r="N143" s="80" t="e">
        <f ca="1">OFFSET(产销汇总!$C$1,MATCH(L$27,产销汇总!$C$2:$C$8,0),$C$26)*(_xlfn.XLOOKUP(MAX(1,INT(C143/10-6/10)),组队产出!$B$24:$B$39,组队产出!$S$24:$S$39))</f>
        <v>#N/A</v>
      </c>
      <c r="O143" s="172">
        <f>任务!$D$36</f>
        <v>2457.14285714286</v>
      </c>
      <c r="P143" s="98">
        <f t="shared" si="13"/>
        <v>428</v>
      </c>
      <c r="Q143" s="80">
        <f t="shared" si="19"/>
        <v>1000</v>
      </c>
      <c r="R143" s="172">
        <f t="shared" si="20"/>
        <v>2000</v>
      </c>
      <c r="S143" s="210">
        <f ca="1">IFERROR(OFFSET(金币本!$E$2,MATCH(C143,金币本!$F$3:$F$302,1),0)*IF($C$26=1,2,3),0)</f>
        <v>36750</v>
      </c>
      <c r="T143" s="172" t="e">
        <f ca="1">SUM($J$28:S143)+SUM(D143:I143)</f>
        <v>#N/A</v>
      </c>
      <c r="U143" s="172" t="e">
        <f ca="1" t="shared" si="14"/>
        <v>#N/A</v>
      </c>
      <c r="V143" s="98" t="e">
        <f ca="1" t="shared" si="15"/>
        <v>#N/A</v>
      </c>
      <c r="W143" s="98" t="e">
        <f ca="1">OFFSET(装备强化!$U$6,MATCH(图纸产出设计!V144/6*W$26,装备强化!$T$7:$T$306,1),0)*6</f>
        <v>#N/A</v>
      </c>
      <c r="X143" s="98">
        <v>510610</v>
      </c>
      <c r="Y143" s="98">
        <f t="shared" si="21"/>
        <v>3600000</v>
      </c>
      <c r="Z143" s="98">
        <f t="shared" si="23"/>
        <v>2</v>
      </c>
      <c r="AA143" s="147" t="e">
        <f ca="1" t="shared" si="16"/>
        <v>#N/A</v>
      </c>
      <c r="AB143" s="209" t="e">
        <f ca="1" t="shared" si="17"/>
        <v>#N/A</v>
      </c>
      <c r="AC143" s="209">
        <f ca="1">SUMIFS(装备强化!$Q$7:$Q$306,装备强化!$M$7:$M$306,"&lt;="&amp;MATCH(U143/6,装备强化!$U$7:$U$306,1),装备强化!$M$7:$M$306,"&gt;="&amp;MATCH(V143/6,装备强化!$U$7:$U$306,1))*6</f>
        <v>0</v>
      </c>
      <c r="AD143">
        <f ca="1" t="shared" si="22"/>
        <v>0</v>
      </c>
    </row>
    <row r="144" spans="1:30">
      <c r="A144" s="171"/>
      <c r="B144" s="80">
        <v>117</v>
      </c>
      <c r="C144" s="80">
        <f ca="1">OFFSET(产销汇总!$C$12,$B144,$C$26)</f>
        <v>181.5</v>
      </c>
      <c r="D144" s="80">
        <f t="shared" si="18"/>
        <v>14100</v>
      </c>
      <c r="E144" s="80">
        <f ca="1">(SUMIF(主线推图!$B$4:$B$303,"&lt;"&amp;C144,主线推图!$M$4:$M$303)+SUMIF(主线宝箱!$B$320:$B$620,"&lt;"&amp;C144,主线宝箱!$L$320:$L$620)+SUMIF(主线宝箱!$B$320:$B$620,"&lt;"&amp;C144,主线宝箱!$X$320:$X$620)+SUMIF(主线宝箱!$B$320:$B$620,"&lt;"&amp;C144,主线宝箱!$AL$320:$AL$620))</f>
        <v>322800</v>
      </c>
      <c r="F144" s="98">
        <f ca="1">SUMIF(组队产出!$B$24:$B$39,"&lt;="&amp;MAX(1,INT(C144/10-0.6)),组队产出!$R$24:$R$39)</f>
        <v>141000</v>
      </c>
      <c r="G144" s="80">
        <f ca="1">SUMIF(运营活动!$O$3:$O$27,"&lt;="&amp;C144,运营活动!$P$3:$P$27)</f>
        <v>30000</v>
      </c>
      <c r="H144" s="80">
        <f ca="1">OFFSET(产销汇总!$AM$12,B144,$C$26)*24</f>
        <v>868032</v>
      </c>
      <c r="I144" s="172">
        <f ca="1">SUMIF(金币本!$F$2:$F$52,"&lt;="&amp;C144,金币本!$D$2:$D$52)</f>
        <v>1219000</v>
      </c>
      <c r="J144" s="80" t="e">
        <f ca="1">OFFSET(产销汇总!$C$1,MATCH(J$27,产销汇总!$C$2:$C$8,0),$C$26)*(_xlfn.XLOOKUP(C144,主线推图!$B$313:$B$612,主线推图!$C$313:$C$612)+_xlfn.XLOOKUP(C144,主线推图!$B$313:$B$612,主线推图!$D$313:$D$612))</f>
        <v>#N/A</v>
      </c>
      <c r="K144" s="80" t="e">
        <f ca="1">OFFSET(产销汇总!$C$1,MATCH(K$27,产销汇总!$C$2:$C$8,0),$C$26)*_xlfn.XLOOKUP(C144,巡逻产出!$B$311:$B$610,巡逻产出!$C$311:$C$610)*1.3</f>
        <v>#N/A</v>
      </c>
      <c r="L144" s="80" t="e">
        <f ca="1">OFFSET(产销汇总!$C$1,MATCH(L$27,产销汇总!$C$2:$C$8,0),$C$26)*(_xlfn.XLOOKUP(MAX(1,INT(C144/10-6/10)),组队产出!$B$24:$B$39,组队产出!$D$24:$D$39))+OFFSET(产销汇总!$C$1,MATCH(L$27,产销汇总!$C$2:$C$8,0),$C$26)*(_xlfn.XLOOKUP(MAX(1,INT(C144/10-6/10)),组队产出!$B$24:$B$39,组队产出!$C$24:$C$39))</f>
        <v>#N/A</v>
      </c>
      <c r="M144" s="80" t="e">
        <f ca="1">(OFFSET(产销汇总!$C$1,MATCH(M$27,产销汇总!$C$2:$C$8,0),$C$26)*_xlfn.XLOOKUP(C144,巡逻产出!$B$311:$B$610,巡逻产出!$D$311:$D$610))*$M$24</f>
        <v>#N/A</v>
      </c>
      <c r="N144" s="80" t="e">
        <f ca="1">OFFSET(产销汇总!$C$1,MATCH(L$27,产销汇总!$C$2:$C$8,0),$C$26)*(_xlfn.XLOOKUP(MAX(1,INT(C144/10-6/10)),组队产出!$B$24:$B$39,组队产出!$S$24:$S$39))</f>
        <v>#N/A</v>
      </c>
      <c r="O144" s="172">
        <f>任务!$D$36</f>
        <v>2457.14285714286</v>
      </c>
      <c r="P144" s="98">
        <f t="shared" si="13"/>
        <v>428</v>
      </c>
      <c r="Q144" s="80">
        <f t="shared" si="19"/>
        <v>1000</v>
      </c>
      <c r="R144" s="172">
        <f t="shared" si="20"/>
        <v>2000</v>
      </c>
      <c r="S144" s="210">
        <f ca="1">IFERROR(OFFSET(金币本!$E$2,MATCH(C144,金币本!$F$3:$F$302,1),0)*IF($C$26=1,2,3),0)</f>
        <v>36750</v>
      </c>
      <c r="T144" s="172" t="e">
        <f ca="1">SUM($J$28:S144)+SUM(D144:I144)</f>
        <v>#N/A</v>
      </c>
      <c r="U144" s="172" t="e">
        <f ca="1" t="shared" si="14"/>
        <v>#N/A</v>
      </c>
      <c r="V144" s="98" t="e">
        <f ca="1" t="shared" si="15"/>
        <v>#N/A</v>
      </c>
      <c r="W144" s="98" t="e">
        <f ca="1">OFFSET(装备强化!$U$6,MATCH(图纸产出设计!V145/6*W$26,装备强化!$T$7:$T$306,1),0)*6</f>
        <v>#N/A</v>
      </c>
      <c r="X144" s="98">
        <v>510610</v>
      </c>
      <c r="Y144" s="98">
        <f t="shared" si="21"/>
        <v>3632000</v>
      </c>
      <c r="Z144" s="98">
        <f t="shared" si="23"/>
        <v>2</v>
      </c>
      <c r="AA144" s="147" t="e">
        <f ca="1" t="shared" si="16"/>
        <v>#N/A</v>
      </c>
      <c r="AB144" s="209" t="e">
        <f ca="1" t="shared" si="17"/>
        <v>#N/A</v>
      </c>
      <c r="AC144" s="209">
        <f ca="1">SUMIFS(装备强化!$Q$7:$Q$306,装备强化!$M$7:$M$306,"&lt;="&amp;MATCH(U144/6,装备强化!$U$7:$U$306,1),装备强化!$M$7:$M$306,"&gt;="&amp;MATCH(V144/6,装备强化!$U$7:$U$306,1))*6</f>
        <v>0</v>
      </c>
      <c r="AD144">
        <f ca="1" t="shared" si="22"/>
        <v>0</v>
      </c>
    </row>
    <row r="145" spans="1:30">
      <c r="A145" s="171"/>
      <c r="B145" s="80">
        <v>118</v>
      </c>
      <c r="C145" s="80">
        <f ca="1">OFFSET(产销汇总!$C$12,$B145,$C$26)</f>
        <v>182</v>
      </c>
      <c r="D145" s="80">
        <f t="shared" si="18"/>
        <v>14100</v>
      </c>
      <c r="E145" s="80">
        <f ca="1">(SUMIF(主线推图!$B$4:$B$303,"&lt;"&amp;C145,主线推图!$M$4:$M$303)+SUMIF(主线宝箱!$B$320:$B$620,"&lt;"&amp;C145,主线宝箱!$L$320:$L$620)+SUMIF(主线宝箱!$B$320:$B$620,"&lt;"&amp;C145,主线宝箱!$X$320:$X$620)+SUMIF(主线宝箱!$B$320:$B$620,"&lt;"&amp;C145,主线宝箱!$AL$320:$AL$620))</f>
        <v>322800</v>
      </c>
      <c r="F145" s="98">
        <f ca="1">SUMIF(组队产出!$B$24:$B$39,"&lt;="&amp;MAX(1,INT(C145/10-0.6)),组队产出!$R$24:$R$39)</f>
        <v>141000</v>
      </c>
      <c r="G145" s="80">
        <f ca="1">SUMIF(运营活动!$O$3:$O$27,"&lt;="&amp;C145,运营活动!$P$3:$P$27)</f>
        <v>30000</v>
      </c>
      <c r="H145" s="80">
        <f ca="1">OFFSET(产销汇总!$AM$12,B145,$C$26)*24</f>
        <v>875280</v>
      </c>
      <c r="I145" s="172">
        <f ca="1">SUMIF(金币本!$F$2:$F$52,"&lt;="&amp;C145,金币本!$D$2:$D$52)</f>
        <v>1219000</v>
      </c>
      <c r="J145" s="80">
        <f ca="1">OFFSET(产销汇总!$C$1,MATCH(J$27,产销汇总!$C$2:$C$8,0),$C$26)*(_xlfn.XLOOKUP(C145,主线推图!$B$313:$B$612,主线推图!$C$313:$C$612)+_xlfn.XLOOKUP(C145,主线推图!$B$313:$B$612,主线推图!$D$313:$D$612))</f>
        <v>14124</v>
      </c>
      <c r="K145" s="80">
        <f ca="1">OFFSET(产销汇总!$C$1,MATCH(K$27,产销汇总!$C$2:$C$8,0),$C$26)*_xlfn.XLOOKUP(C145,巡逻产出!$B$311:$B$610,巡逻产出!$C$311:$C$610)*1.3</f>
        <v>0</v>
      </c>
      <c r="L145" s="80" t="e">
        <f ca="1">OFFSET(产销汇总!$C$1,MATCH(L$27,产销汇总!$C$2:$C$8,0),$C$26)*(_xlfn.XLOOKUP(MAX(1,INT(C145/10-6/10)),组队产出!$B$24:$B$39,组队产出!$D$24:$D$39))+OFFSET(产销汇总!$C$1,MATCH(L$27,产销汇总!$C$2:$C$8,0),$C$26)*(_xlfn.XLOOKUP(MAX(1,INT(C145/10-6/10)),组队产出!$B$24:$B$39,组队产出!$C$24:$C$39))</f>
        <v>#N/A</v>
      </c>
      <c r="M145" s="80">
        <f ca="1">(OFFSET(产销汇总!$C$1,MATCH(M$27,产销汇总!$C$2:$C$8,0),$C$26)*_xlfn.XLOOKUP(C145,巡逻产出!$B$311:$B$610,巡逻产出!$D$311:$D$610))*$M$24</f>
        <v>10015.2</v>
      </c>
      <c r="N145" s="80" t="e">
        <f ca="1">OFFSET(产销汇总!$C$1,MATCH(L$27,产销汇总!$C$2:$C$8,0),$C$26)*(_xlfn.XLOOKUP(MAX(1,INT(C145/10-6/10)),组队产出!$B$24:$B$39,组队产出!$S$24:$S$39))</f>
        <v>#N/A</v>
      </c>
      <c r="O145" s="172">
        <f>任务!$D$36</f>
        <v>2457.14285714286</v>
      </c>
      <c r="P145" s="98">
        <f t="shared" si="13"/>
        <v>428</v>
      </c>
      <c r="Q145" s="80">
        <f t="shared" si="19"/>
        <v>1000</v>
      </c>
      <c r="R145" s="172">
        <f t="shared" si="20"/>
        <v>2000</v>
      </c>
      <c r="S145" s="210">
        <f ca="1">IFERROR(OFFSET(金币本!$E$2,MATCH(C145,金币本!$F$3:$F$302,1),0)*IF($C$26=1,2,3),0)</f>
        <v>36750</v>
      </c>
      <c r="T145" s="172" t="e">
        <f ca="1">SUM($J$28:S145)+SUM(D145:I145)</f>
        <v>#N/A</v>
      </c>
      <c r="U145" s="172" t="e">
        <f ca="1" t="shared" si="14"/>
        <v>#N/A</v>
      </c>
      <c r="V145" s="98" t="e">
        <f ca="1" t="shared" si="15"/>
        <v>#N/A</v>
      </c>
      <c r="W145" s="98" t="e">
        <f ca="1">OFFSET(装备强化!$U$6,MATCH(图纸产出设计!V146/6*W$26,装备强化!$T$7:$T$306,1),0)*6</f>
        <v>#N/A</v>
      </c>
      <c r="X145" s="98">
        <v>519100</v>
      </c>
      <c r="Y145" s="98">
        <f t="shared" si="21"/>
        <v>3664000</v>
      </c>
      <c r="Z145" s="98">
        <f t="shared" si="23"/>
        <v>2</v>
      </c>
      <c r="AA145" s="147" t="e">
        <f ca="1" t="shared" si="16"/>
        <v>#N/A</v>
      </c>
      <c r="AB145" s="209" t="e">
        <f ca="1" t="shared" si="17"/>
        <v>#N/A</v>
      </c>
      <c r="AC145" s="209">
        <f ca="1">SUMIFS(装备强化!$Q$7:$Q$306,装备强化!$M$7:$M$306,"&lt;="&amp;MATCH(U145/6,装备强化!$U$7:$U$306,1),装备强化!$M$7:$M$306,"&gt;="&amp;MATCH(V145/6,装备强化!$U$7:$U$306,1))*6</f>
        <v>0</v>
      </c>
      <c r="AD145">
        <f ca="1" t="shared" si="22"/>
        <v>0</v>
      </c>
    </row>
    <row r="146" spans="1:30">
      <c r="A146" s="171"/>
      <c r="B146" s="80">
        <v>119</v>
      </c>
      <c r="C146" s="80">
        <f ca="1">OFFSET(产销汇总!$C$12,$B146,$C$26)</f>
        <v>182.5</v>
      </c>
      <c r="D146" s="80">
        <f t="shared" si="18"/>
        <v>14100</v>
      </c>
      <c r="E146" s="80">
        <f ca="1">(SUMIF(主线推图!$B$4:$B$303,"&lt;"&amp;C146,主线推图!$M$4:$M$303)+SUMIF(主线宝箱!$B$320:$B$620,"&lt;"&amp;C146,主线宝箱!$L$320:$L$620)+SUMIF(主线宝箱!$B$320:$B$620,"&lt;"&amp;C146,主线宝箱!$X$320:$X$620)+SUMIF(主线宝箱!$B$320:$B$620,"&lt;"&amp;C146,主线宝箱!$AL$320:$AL$620))</f>
        <v>324600</v>
      </c>
      <c r="F146" s="98">
        <f ca="1">SUMIF(组队产出!$B$24:$B$39,"&lt;="&amp;MAX(1,INT(C146/10-0.6)),组队产出!$R$24:$R$39)</f>
        <v>141000</v>
      </c>
      <c r="G146" s="80">
        <f ca="1">SUMIF(运营活动!$O$3:$O$27,"&lt;="&amp;C146,运营活动!$P$3:$P$27)</f>
        <v>30000</v>
      </c>
      <c r="H146" s="80">
        <f ca="1">OFFSET(产销汇总!$AM$12,B146,$C$26)*24</f>
        <v>882528</v>
      </c>
      <c r="I146" s="172">
        <f ca="1">SUMIF(金币本!$F$2:$F$52,"&lt;="&amp;C146,金币本!$D$2:$D$52)</f>
        <v>1219000</v>
      </c>
      <c r="J146" s="80" t="e">
        <f ca="1">OFFSET(产销汇总!$C$1,MATCH(J$27,产销汇总!$C$2:$C$8,0),$C$26)*(_xlfn.XLOOKUP(C146,主线推图!$B$313:$B$612,主线推图!$C$313:$C$612)+_xlfn.XLOOKUP(C146,主线推图!$B$313:$B$612,主线推图!$D$313:$D$612))</f>
        <v>#N/A</v>
      </c>
      <c r="K146" s="80" t="e">
        <f ca="1">OFFSET(产销汇总!$C$1,MATCH(K$27,产销汇总!$C$2:$C$8,0),$C$26)*_xlfn.XLOOKUP(C146,巡逻产出!$B$311:$B$610,巡逻产出!$C$311:$C$610)*1.3</f>
        <v>#N/A</v>
      </c>
      <c r="L146" s="80" t="e">
        <f ca="1">OFFSET(产销汇总!$C$1,MATCH(L$27,产销汇总!$C$2:$C$8,0),$C$26)*(_xlfn.XLOOKUP(MAX(1,INT(C146/10-6/10)),组队产出!$B$24:$B$39,组队产出!$D$24:$D$39))+OFFSET(产销汇总!$C$1,MATCH(L$27,产销汇总!$C$2:$C$8,0),$C$26)*(_xlfn.XLOOKUP(MAX(1,INT(C146/10-6/10)),组队产出!$B$24:$B$39,组队产出!$C$24:$C$39))</f>
        <v>#N/A</v>
      </c>
      <c r="M146" s="80" t="e">
        <f ca="1">(OFFSET(产销汇总!$C$1,MATCH(M$27,产销汇总!$C$2:$C$8,0),$C$26)*_xlfn.XLOOKUP(C146,巡逻产出!$B$311:$B$610,巡逻产出!$D$311:$D$610))*$M$24</f>
        <v>#N/A</v>
      </c>
      <c r="N146" s="80" t="e">
        <f ca="1">OFFSET(产销汇总!$C$1,MATCH(L$27,产销汇总!$C$2:$C$8,0),$C$26)*(_xlfn.XLOOKUP(MAX(1,INT(C146/10-6/10)),组队产出!$B$24:$B$39,组队产出!$S$24:$S$39))</f>
        <v>#N/A</v>
      </c>
      <c r="O146" s="172">
        <f>任务!$D$36</f>
        <v>2457.14285714286</v>
      </c>
      <c r="P146" s="98">
        <f t="shared" si="13"/>
        <v>428</v>
      </c>
      <c r="Q146" s="80">
        <f t="shared" si="19"/>
        <v>1000</v>
      </c>
      <c r="R146" s="172">
        <f t="shared" si="20"/>
        <v>2000</v>
      </c>
      <c r="S146" s="210">
        <f ca="1">IFERROR(OFFSET(金币本!$E$2,MATCH(C146,金币本!$F$3:$F$302,1),0)*IF($C$26=1,2,3),0)</f>
        <v>36750</v>
      </c>
      <c r="T146" s="172" t="e">
        <f ca="1">SUM($J$28:S146)+SUM(D146:I146)</f>
        <v>#N/A</v>
      </c>
      <c r="U146" s="172" t="e">
        <f ca="1" t="shared" si="14"/>
        <v>#N/A</v>
      </c>
      <c r="V146" s="98" t="e">
        <f ca="1" t="shared" si="15"/>
        <v>#N/A</v>
      </c>
      <c r="W146" s="98" t="e">
        <f ca="1">OFFSET(装备强化!$U$6,MATCH(图纸产出设计!V147/6*W$26,装备强化!$T$7:$T$306,1),0)*6</f>
        <v>#N/A</v>
      </c>
      <c r="X146" s="98">
        <v>519100</v>
      </c>
      <c r="Y146" s="98">
        <f t="shared" si="21"/>
        <v>3696000</v>
      </c>
      <c r="Z146" s="98">
        <f t="shared" si="23"/>
        <v>2</v>
      </c>
      <c r="AA146" s="147" t="e">
        <f ca="1" t="shared" si="16"/>
        <v>#N/A</v>
      </c>
      <c r="AB146" s="209" t="e">
        <f ca="1" t="shared" si="17"/>
        <v>#N/A</v>
      </c>
      <c r="AC146" s="209">
        <f ca="1">SUMIFS(装备强化!$Q$7:$Q$306,装备强化!$M$7:$M$306,"&lt;="&amp;MATCH(U146/6,装备强化!$U$7:$U$306,1),装备强化!$M$7:$M$306,"&gt;="&amp;MATCH(V146/6,装备强化!$U$7:$U$306,1))*6</f>
        <v>0</v>
      </c>
      <c r="AD146">
        <f ca="1" t="shared" si="22"/>
        <v>0</v>
      </c>
    </row>
    <row r="147" spans="1:30">
      <c r="A147" s="171"/>
      <c r="B147" s="80">
        <v>120</v>
      </c>
      <c r="C147" s="80">
        <f ca="1">OFFSET(产销汇总!$C$12,$B147,$C$26)</f>
        <v>183</v>
      </c>
      <c r="D147" s="80">
        <f t="shared" si="18"/>
        <v>14100</v>
      </c>
      <c r="E147" s="80">
        <f ca="1">(SUMIF(主线推图!$B$4:$B$303,"&lt;"&amp;C147,主线推图!$M$4:$M$303)+SUMIF(主线宝箱!$B$320:$B$620,"&lt;"&amp;C147,主线宝箱!$L$320:$L$620)+SUMIF(主线宝箱!$B$320:$B$620,"&lt;"&amp;C147,主线宝箱!$X$320:$X$620)+SUMIF(主线宝箱!$B$320:$B$620,"&lt;"&amp;C147,主线宝箱!$AL$320:$AL$620))</f>
        <v>324600</v>
      </c>
      <c r="F147" s="98">
        <f ca="1">SUMIF(组队产出!$B$24:$B$39,"&lt;="&amp;MAX(1,INT(C147/10-0.6)),组队产出!$R$24:$R$39)</f>
        <v>141000</v>
      </c>
      <c r="G147" s="80">
        <f ca="1">SUMIF(运营活动!$O$3:$O$27,"&lt;="&amp;C147,运营活动!$P$3:$P$27)</f>
        <v>30000</v>
      </c>
      <c r="H147" s="80">
        <f ca="1">OFFSET(产销汇总!$AM$12,B147,$C$26)*24</f>
        <v>889776</v>
      </c>
      <c r="I147" s="172">
        <f ca="1">SUMIF(金币本!$F$2:$F$52,"&lt;="&amp;C147,金币本!$D$2:$D$52)</f>
        <v>1269000</v>
      </c>
      <c r="J147" s="80">
        <f ca="1">OFFSET(产销汇总!$C$1,MATCH(J$27,产销汇总!$C$2:$C$8,0),$C$26)*(_xlfn.XLOOKUP(C147,主线推图!$B$313:$B$612,主线推图!$C$313:$C$612)+_xlfn.XLOOKUP(C147,主线推图!$B$313:$B$612,主线推图!$D$313:$D$612))</f>
        <v>14168</v>
      </c>
      <c r="K147" s="80">
        <f ca="1">OFFSET(产销汇总!$C$1,MATCH(K$27,产销汇总!$C$2:$C$8,0),$C$26)*_xlfn.XLOOKUP(C147,巡逻产出!$B$311:$B$610,巡逻产出!$C$311:$C$610)*1.3</f>
        <v>0</v>
      </c>
      <c r="L147" s="80" t="e">
        <f ca="1">OFFSET(产销汇总!$C$1,MATCH(L$27,产销汇总!$C$2:$C$8,0),$C$26)*(_xlfn.XLOOKUP(MAX(1,INT(C147/10-6/10)),组队产出!$B$24:$B$39,组队产出!$D$24:$D$39))+OFFSET(产销汇总!$C$1,MATCH(L$27,产销汇总!$C$2:$C$8,0),$C$26)*(_xlfn.XLOOKUP(MAX(1,INT(C147/10-6/10)),组队产出!$B$24:$B$39,组队产出!$C$24:$C$39))</f>
        <v>#N/A</v>
      </c>
      <c r="M147" s="80">
        <f ca="1">(OFFSET(产销汇总!$C$1,MATCH(M$27,产销汇总!$C$2:$C$8,0),$C$26)*_xlfn.XLOOKUP(C147,巡逻产出!$B$311:$B$610,巡逻产出!$D$311:$D$610))*$M$24</f>
        <v>10046.4</v>
      </c>
      <c r="N147" s="80" t="e">
        <f ca="1">OFFSET(产销汇总!$C$1,MATCH(L$27,产销汇总!$C$2:$C$8,0),$C$26)*(_xlfn.XLOOKUP(MAX(1,INT(C147/10-6/10)),组队产出!$B$24:$B$39,组队产出!$S$24:$S$39))</f>
        <v>#N/A</v>
      </c>
      <c r="O147" s="172">
        <f>任务!$D$36</f>
        <v>2457.14285714286</v>
      </c>
      <c r="P147" s="98">
        <f t="shared" si="13"/>
        <v>428</v>
      </c>
      <c r="Q147" s="80">
        <f t="shared" si="19"/>
        <v>1500</v>
      </c>
      <c r="R147" s="172">
        <f t="shared" si="20"/>
        <v>2000</v>
      </c>
      <c r="S147" s="210">
        <f ca="1">IFERROR(OFFSET(金币本!$E$2,MATCH(C147,金币本!$F$3:$F$302,1),0)*IF($C$26=1,2,3),0)</f>
        <v>37500</v>
      </c>
      <c r="T147" s="172" t="e">
        <f ca="1">SUM($J$28:S147)+SUM(D147:I147)</f>
        <v>#N/A</v>
      </c>
      <c r="U147" s="172" t="e">
        <f ca="1" t="shared" si="14"/>
        <v>#N/A</v>
      </c>
      <c r="V147" s="98" t="e">
        <f ca="1" t="shared" si="15"/>
        <v>#N/A</v>
      </c>
      <c r="W147" s="98" t="e">
        <f ca="1">OFFSET(装备强化!$U$6,MATCH(图纸产出设计!V148/6*W$26,装备强化!$T$7:$T$306,1),0)*6</f>
        <v>#N/A</v>
      </c>
      <c r="X147" s="98">
        <v>527660</v>
      </c>
      <c r="Y147" s="98">
        <f t="shared" si="21"/>
        <v>3728000</v>
      </c>
      <c r="Z147" s="98">
        <f t="shared" si="23"/>
        <v>2</v>
      </c>
      <c r="AA147" s="147" t="e">
        <f ca="1" t="shared" si="16"/>
        <v>#N/A</v>
      </c>
      <c r="AB147" s="209" t="e">
        <f ca="1" t="shared" si="17"/>
        <v>#N/A</v>
      </c>
      <c r="AC147" s="209">
        <f ca="1">SUMIFS(装备强化!$Q$7:$Q$306,装备强化!$M$7:$M$306,"&lt;="&amp;MATCH(U147/6,装备强化!$U$7:$U$306,1),装备强化!$M$7:$M$306,"&gt;="&amp;MATCH(V147/6,装备强化!$U$7:$U$306,1))*6</f>
        <v>0</v>
      </c>
      <c r="AD147">
        <f ca="1" t="shared" si="22"/>
        <v>0</v>
      </c>
    </row>
    <row r="148" spans="1:30">
      <c r="A148" s="171"/>
      <c r="B148" s="80">
        <v>121</v>
      </c>
      <c r="C148" s="80">
        <f ca="1">OFFSET(产销汇总!$C$12,$B148,$C$26)</f>
        <v>183.5</v>
      </c>
      <c r="D148" s="80">
        <f t="shared" si="18"/>
        <v>14100</v>
      </c>
      <c r="E148" s="80">
        <f ca="1">(SUMIF(主线推图!$B$4:$B$303,"&lt;"&amp;C148,主线推图!$M$4:$M$303)+SUMIF(主线宝箱!$B$320:$B$620,"&lt;"&amp;C148,主线宝箱!$L$320:$L$620)+SUMIF(主线宝箱!$B$320:$B$620,"&lt;"&amp;C148,主线宝箱!$X$320:$X$620)+SUMIF(主线宝箱!$B$320:$B$620,"&lt;"&amp;C148,主线宝箱!$AL$320:$AL$620))</f>
        <v>326400</v>
      </c>
      <c r="F148" s="98">
        <f ca="1">SUMIF(组队产出!$B$24:$B$39,"&lt;="&amp;MAX(1,INT(C148/10-0.6)),组队产出!$R$24:$R$39)</f>
        <v>141000</v>
      </c>
      <c r="G148" s="80">
        <f ca="1">SUMIF(运营活动!$O$3:$O$27,"&lt;="&amp;C148,运营活动!$P$3:$P$27)</f>
        <v>30000</v>
      </c>
      <c r="H148" s="80">
        <f ca="1">OFFSET(产销汇总!$AM$12,B148,$C$26)*24</f>
        <v>897024</v>
      </c>
      <c r="I148" s="172">
        <f ca="1">SUMIF(金币本!$F$2:$F$52,"&lt;="&amp;C148,金币本!$D$2:$D$52)</f>
        <v>1269000</v>
      </c>
      <c r="J148" s="80" t="e">
        <f ca="1">OFFSET(产销汇总!$C$1,MATCH(J$27,产销汇总!$C$2:$C$8,0),$C$26)*(_xlfn.XLOOKUP(C148,主线推图!$B$313:$B$612,主线推图!$C$313:$C$612)+_xlfn.XLOOKUP(C148,主线推图!$B$313:$B$612,主线推图!$D$313:$D$612))</f>
        <v>#N/A</v>
      </c>
      <c r="K148" s="80" t="e">
        <f ca="1">OFFSET(产销汇总!$C$1,MATCH(K$27,产销汇总!$C$2:$C$8,0),$C$26)*_xlfn.XLOOKUP(C148,巡逻产出!$B$311:$B$610,巡逻产出!$C$311:$C$610)*1.3</f>
        <v>#N/A</v>
      </c>
      <c r="L148" s="80" t="e">
        <f ca="1">OFFSET(产销汇总!$C$1,MATCH(L$27,产销汇总!$C$2:$C$8,0),$C$26)*(_xlfn.XLOOKUP(MAX(1,INT(C148/10-6/10)),组队产出!$B$24:$B$39,组队产出!$D$24:$D$39))+OFFSET(产销汇总!$C$1,MATCH(L$27,产销汇总!$C$2:$C$8,0),$C$26)*(_xlfn.XLOOKUP(MAX(1,INT(C148/10-6/10)),组队产出!$B$24:$B$39,组队产出!$C$24:$C$39))</f>
        <v>#N/A</v>
      </c>
      <c r="M148" s="80" t="e">
        <f ca="1">(OFFSET(产销汇总!$C$1,MATCH(M$27,产销汇总!$C$2:$C$8,0),$C$26)*_xlfn.XLOOKUP(C148,巡逻产出!$B$311:$B$610,巡逻产出!$D$311:$D$610))*$M$24</f>
        <v>#N/A</v>
      </c>
      <c r="N148" s="80" t="e">
        <f ca="1">OFFSET(产销汇总!$C$1,MATCH(L$27,产销汇总!$C$2:$C$8,0),$C$26)*(_xlfn.XLOOKUP(MAX(1,INT(C148/10-6/10)),组队产出!$B$24:$B$39,组队产出!$S$24:$S$39))</f>
        <v>#N/A</v>
      </c>
      <c r="O148" s="172">
        <f>任务!$D$36</f>
        <v>2457.14285714286</v>
      </c>
      <c r="P148" s="98">
        <f t="shared" si="13"/>
        <v>428</v>
      </c>
      <c r="Q148" s="80">
        <f t="shared" si="19"/>
        <v>1000</v>
      </c>
      <c r="R148" s="172">
        <f t="shared" si="20"/>
        <v>2000</v>
      </c>
      <c r="S148" s="210">
        <f ca="1">IFERROR(OFFSET(金币本!$E$2,MATCH(C148,金币本!$F$3:$F$302,1),0)*IF($C$26=1,2,3),0)</f>
        <v>37500</v>
      </c>
      <c r="T148" s="172" t="e">
        <f ca="1">SUM($J$28:S148)+SUM(D148:I148)</f>
        <v>#N/A</v>
      </c>
      <c r="U148" s="172" t="e">
        <f ca="1" t="shared" si="14"/>
        <v>#N/A</v>
      </c>
      <c r="V148" s="98" t="e">
        <f ca="1" t="shared" si="15"/>
        <v>#N/A</v>
      </c>
      <c r="W148" s="98" t="e">
        <f ca="1">OFFSET(装备强化!$U$6,MATCH(图纸产出设计!V149/6*W$26,装备强化!$T$7:$T$306,1),0)*6</f>
        <v>#N/A</v>
      </c>
      <c r="X148" s="98">
        <v>527660</v>
      </c>
      <c r="Y148" s="98">
        <f t="shared" si="21"/>
        <v>3760000</v>
      </c>
      <c r="Z148" s="98">
        <f t="shared" si="23"/>
        <v>2</v>
      </c>
      <c r="AA148" s="147" t="e">
        <f ca="1" t="shared" si="16"/>
        <v>#N/A</v>
      </c>
      <c r="AB148" s="209" t="e">
        <f ca="1" t="shared" si="17"/>
        <v>#N/A</v>
      </c>
      <c r="AC148" s="209">
        <f ca="1">SUMIFS(装备强化!$Q$7:$Q$306,装备强化!$M$7:$M$306,"&lt;="&amp;MATCH(U148/6,装备强化!$U$7:$U$306,1),装备强化!$M$7:$M$306,"&gt;="&amp;MATCH(V148/6,装备强化!$U$7:$U$306,1))*6</f>
        <v>0</v>
      </c>
      <c r="AD148">
        <f ca="1" t="shared" si="22"/>
        <v>0</v>
      </c>
    </row>
    <row r="149" spans="1:30">
      <c r="A149" s="171"/>
      <c r="B149" s="80">
        <v>122</v>
      </c>
      <c r="C149" s="80">
        <f ca="1">OFFSET(产销汇总!$C$12,$B149,$C$26)</f>
        <v>184</v>
      </c>
      <c r="D149" s="80">
        <f t="shared" si="18"/>
        <v>14100</v>
      </c>
      <c r="E149" s="80">
        <f ca="1">(SUMIF(主线推图!$B$4:$B$303,"&lt;"&amp;C149,主线推图!$M$4:$M$303)+SUMIF(主线宝箱!$B$320:$B$620,"&lt;"&amp;C149,主线宝箱!$L$320:$L$620)+SUMIF(主线宝箱!$B$320:$B$620,"&lt;"&amp;C149,主线宝箱!$X$320:$X$620)+SUMIF(主线宝箱!$B$320:$B$620,"&lt;"&amp;C149,主线宝箱!$AL$320:$AL$620))</f>
        <v>326400</v>
      </c>
      <c r="F149" s="98">
        <f ca="1">SUMIF(组队产出!$B$24:$B$39,"&lt;="&amp;MAX(1,INT(C149/10-0.6)),组队产出!$R$24:$R$39)</f>
        <v>141000</v>
      </c>
      <c r="G149" s="80">
        <f ca="1">SUMIF(运营活动!$O$3:$O$27,"&lt;="&amp;C149,运营活动!$P$3:$P$27)</f>
        <v>30000</v>
      </c>
      <c r="H149" s="80">
        <f ca="1">OFFSET(产销汇总!$AM$12,B149,$C$26)*24</f>
        <v>904272</v>
      </c>
      <c r="I149" s="172">
        <f ca="1">SUMIF(金币本!$F$2:$F$52,"&lt;="&amp;C149,金币本!$D$2:$D$52)</f>
        <v>1269000</v>
      </c>
      <c r="J149" s="80">
        <f ca="1">OFFSET(产销汇总!$C$1,MATCH(J$27,产销汇总!$C$2:$C$8,0),$C$26)*(_xlfn.XLOOKUP(C149,主线推图!$B$313:$B$612,主线推图!$C$313:$C$612)+_xlfn.XLOOKUP(C149,主线推图!$B$313:$B$612,主线推图!$D$313:$D$612))</f>
        <v>14212</v>
      </c>
      <c r="K149" s="80">
        <f ca="1">OFFSET(产销汇总!$C$1,MATCH(K$27,产销汇总!$C$2:$C$8,0),$C$26)*_xlfn.XLOOKUP(C149,巡逻产出!$B$311:$B$610,巡逻产出!$C$311:$C$610)*1.3</f>
        <v>0</v>
      </c>
      <c r="L149" s="80" t="e">
        <f ca="1">OFFSET(产销汇总!$C$1,MATCH(L$27,产销汇总!$C$2:$C$8,0),$C$26)*(_xlfn.XLOOKUP(MAX(1,INT(C149/10-6/10)),组队产出!$B$24:$B$39,组队产出!$D$24:$D$39))+OFFSET(产销汇总!$C$1,MATCH(L$27,产销汇总!$C$2:$C$8,0),$C$26)*(_xlfn.XLOOKUP(MAX(1,INT(C149/10-6/10)),组队产出!$B$24:$B$39,组队产出!$C$24:$C$39))</f>
        <v>#N/A</v>
      </c>
      <c r="M149" s="80">
        <f ca="1">(OFFSET(产销汇总!$C$1,MATCH(M$27,产销汇总!$C$2:$C$8,0),$C$26)*_xlfn.XLOOKUP(C149,巡逻产出!$B$311:$B$610,巡逻产出!$D$311:$D$610))*$M$24</f>
        <v>10077.6</v>
      </c>
      <c r="N149" s="80" t="e">
        <f ca="1">OFFSET(产销汇总!$C$1,MATCH(L$27,产销汇总!$C$2:$C$8,0),$C$26)*(_xlfn.XLOOKUP(MAX(1,INT(C149/10-6/10)),组队产出!$B$24:$B$39,组队产出!$S$24:$S$39))</f>
        <v>#N/A</v>
      </c>
      <c r="O149" s="172">
        <f>任务!$D$36</f>
        <v>2457.14285714286</v>
      </c>
      <c r="P149" s="98">
        <f t="shared" si="13"/>
        <v>428</v>
      </c>
      <c r="Q149" s="80">
        <f t="shared" si="19"/>
        <v>1000</v>
      </c>
      <c r="R149" s="172">
        <f t="shared" si="20"/>
        <v>2000</v>
      </c>
      <c r="S149" s="210">
        <f ca="1">IFERROR(OFFSET(金币本!$E$2,MATCH(C149,金币本!$F$3:$F$302,1),0)*IF($C$26=1,2,3),0)</f>
        <v>37500</v>
      </c>
      <c r="T149" s="172" t="e">
        <f ca="1">SUM($J$28:S149)+SUM(D149:I149)</f>
        <v>#N/A</v>
      </c>
      <c r="U149" s="172" t="e">
        <f ca="1" t="shared" si="14"/>
        <v>#N/A</v>
      </c>
      <c r="V149" s="98" t="e">
        <f ca="1" t="shared" si="15"/>
        <v>#N/A</v>
      </c>
      <c r="W149" s="98" t="e">
        <f ca="1">OFFSET(装备强化!$U$6,MATCH(图纸产出设计!V150/6*W$26,装备强化!$T$7:$T$306,1),0)*6</f>
        <v>#N/A</v>
      </c>
      <c r="X149" s="98">
        <v>536290</v>
      </c>
      <c r="Y149" s="98">
        <f t="shared" si="21"/>
        <v>3792000</v>
      </c>
      <c r="Z149" s="98">
        <f t="shared" si="23"/>
        <v>2</v>
      </c>
      <c r="AA149" s="147" t="e">
        <f ca="1" t="shared" si="16"/>
        <v>#N/A</v>
      </c>
      <c r="AB149" s="209" t="e">
        <f ca="1" t="shared" si="17"/>
        <v>#N/A</v>
      </c>
      <c r="AC149" s="209">
        <f ca="1">SUMIFS(装备强化!$Q$7:$Q$306,装备强化!$M$7:$M$306,"&lt;="&amp;MATCH(U149/6,装备强化!$U$7:$U$306,1),装备强化!$M$7:$M$306,"&gt;="&amp;MATCH(V149/6,装备强化!$U$7:$U$306,1))*6</f>
        <v>0</v>
      </c>
      <c r="AD149">
        <f ca="1" t="shared" si="22"/>
        <v>0</v>
      </c>
    </row>
    <row r="150" spans="1:30">
      <c r="A150" s="171"/>
      <c r="B150" s="80">
        <v>123</v>
      </c>
      <c r="C150" s="80">
        <f ca="1">OFFSET(产销汇总!$C$12,$B150,$C$26)</f>
        <v>184.5</v>
      </c>
      <c r="D150" s="80">
        <f t="shared" si="18"/>
        <v>14100</v>
      </c>
      <c r="E150" s="80">
        <f ca="1">(SUMIF(主线推图!$B$4:$B$303,"&lt;"&amp;C150,主线推图!$M$4:$M$303)+SUMIF(主线宝箱!$B$320:$B$620,"&lt;"&amp;C150,主线宝箱!$L$320:$L$620)+SUMIF(主线宝箱!$B$320:$B$620,"&lt;"&amp;C150,主线宝箱!$X$320:$X$620)+SUMIF(主线宝箱!$B$320:$B$620,"&lt;"&amp;C150,主线宝箱!$AL$320:$AL$620))</f>
        <v>328200</v>
      </c>
      <c r="F150" s="98">
        <f ca="1">SUMIF(组队产出!$B$24:$B$39,"&lt;="&amp;MAX(1,INT(C150/10-0.6)),组队产出!$R$24:$R$39)</f>
        <v>141000</v>
      </c>
      <c r="G150" s="80">
        <f ca="1">SUMIF(运营活动!$O$3:$O$27,"&lt;="&amp;C150,运营活动!$P$3:$P$27)</f>
        <v>30000</v>
      </c>
      <c r="H150" s="80">
        <f ca="1">OFFSET(产销汇总!$AM$12,B150,$C$26)*24</f>
        <v>911520</v>
      </c>
      <c r="I150" s="172">
        <f ca="1">SUMIF(金币本!$F$2:$F$52,"&lt;="&amp;C150,金币本!$D$2:$D$52)</f>
        <v>1269000</v>
      </c>
      <c r="J150" s="80" t="e">
        <f ca="1">OFFSET(产销汇总!$C$1,MATCH(J$27,产销汇总!$C$2:$C$8,0),$C$26)*(_xlfn.XLOOKUP(C150,主线推图!$B$313:$B$612,主线推图!$C$313:$C$612)+_xlfn.XLOOKUP(C150,主线推图!$B$313:$B$612,主线推图!$D$313:$D$612))</f>
        <v>#N/A</v>
      </c>
      <c r="K150" s="80" t="e">
        <f ca="1">OFFSET(产销汇总!$C$1,MATCH(K$27,产销汇总!$C$2:$C$8,0),$C$26)*_xlfn.XLOOKUP(C150,巡逻产出!$B$311:$B$610,巡逻产出!$C$311:$C$610)*1.3</f>
        <v>#N/A</v>
      </c>
      <c r="L150" s="80" t="e">
        <f ca="1">OFFSET(产销汇总!$C$1,MATCH(L$27,产销汇总!$C$2:$C$8,0),$C$26)*(_xlfn.XLOOKUP(MAX(1,INT(C150/10-6/10)),组队产出!$B$24:$B$39,组队产出!$D$24:$D$39))+OFFSET(产销汇总!$C$1,MATCH(L$27,产销汇总!$C$2:$C$8,0),$C$26)*(_xlfn.XLOOKUP(MAX(1,INT(C150/10-6/10)),组队产出!$B$24:$B$39,组队产出!$C$24:$C$39))</f>
        <v>#N/A</v>
      </c>
      <c r="M150" s="80" t="e">
        <f ca="1">(OFFSET(产销汇总!$C$1,MATCH(M$27,产销汇总!$C$2:$C$8,0),$C$26)*_xlfn.XLOOKUP(C150,巡逻产出!$B$311:$B$610,巡逻产出!$D$311:$D$610))*$M$24</f>
        <v>#N/A</v>
      </c>
      <c r="N150" s="80" t="e">
        <f ca="1">OFFSET(产销汇总!$C$1,MATCH(L$27,产销汇总!$C$2:$C$8,0),$C$26)*(_xlfn.XLOOKUP(MAX(1,INT(C150/10-6/10)),组队产出!$B$24:$B$39,组队产出!$S$24:$S$39))</f>
        <v>#N/A</v>
      </c>
      <c r="O150" s="172">
        <f>任务!$D$36</f>
        <v>2457.14285714286</v>
      </c>
      <c r="P150" s="98">
        <f t="shared" si="13"/>
        <v>428</v>
      </c>
      <c r="Q150" s="80">
        <f t="shared" si="19"/>
        <v>1000</v>
      </c>
      <c r="R150" s="172">
        <f t="shared" si="20"/>
        <v>2000</v>
      </c>
      <c r="S150" s="210">
        <f ca="1">IFERROR(OFFSET(金币本!$E$2,MATCH(C150,金币本!$F$3:$F$302,1),0)*IF($C$26=1,2,3),0)</f>
        <v>37500</v>
      </c>
      <c r="T150" s="172" t="e">
        <f ca="1">SUM($J$28:S150)+SUM(D150:I150)</f>
        <v>#N/A</v>
      </c>
      <c r="U150" s="172" t="e">
        <f ca="1" t="shared" si="14"/>
        <v>#N/A</v>
      </c>
      <c r="V150" s="98" t="e">
        <f ca="1" t="shared" si="15"/>
        <v>#N/A</v>
      </c>
      <c r="W150" s="98" t="e">
        <f ca="1">OFFSET(装备强化!$U$6,MATCH(图纸产出设计!V151/6*W$26,装备强化!$T$7:$T$306,1),0)*6</f>
        <v>#N/A</v>
      </c>
      <c r="X150" s="98">
        <v>536290</v>
      </c>
      <c r="Y150" s="98">
        <f t="shared" si="21"/>
        <v>3824000</v>
      </c>
      <c r="Z150" s="98">
        <f t="shared" si="23"/>
        <v>2</v>
      </c>
      <c r="AA150" s="147" t="e">
        <f ca="1" t="shared" si="16"/>
        <v>#N/A</v>
      </c>
      <c r="AB150" s="209" t="e">
        <f ca="1" t="shared" si="17"/>
        <v>#N/A</v>
      </c>
      <c r="AC150" s="209">
        <f ca="1">SUMIFS(装备强化!$Q$7:$Q$306,装备强化!$M$7:$M$306,"&lt;="&amp;MATCH(U150/6,装备强化!$U$7:$U$306,1),装备强化!$M$7:$M$306,"&gt;="&amp;MATCH(V150/6,装备强化!$U$7:$U$306,1))*6</f>
        <v>0</v>
      </c>
      <c r="AD150">
        <f ca="1" t="shared" si="22"/>
        <v>0</v>
      </c>
    </row>
    <row r="151" spans="1:30">
      <c r="A151" s="171"/>
      <c r="B151" s="80">
        <v>124</v>
      </c>
      <c r="C151" s="80">
        <f ca="1">OFFSET(产销汇总!$C$12,$B151,$C$26)</f>
        <v>185</v>
      </c>
      <c r="D151" s="80">
        <f t="shared" si="18"/>
        <v>14100</v>
      </c>
      <c r="E151" s="80">
        <f ca="1">(SUMIF(主线推图!$B$4:$B$303,"&lt;"&amp;C151,主线推图!$M$4:$M$303)+SUMIF(主线宝箱!$B$320:$B$620,"&lt;"&amp;C151,主线宝箱!$L$320:$L$620)+SUMIF(主线宝箱!$B$320:$B$620,"&lt;"&amp;C151,主线宝箱!$X$320:$X$620)+SUMIF(主线宝箱!$B$320:$B$620,"&lt;"&amp;C151,主线宝箱!$AL$320:$AL$620))</f>
        <v>328200</v>
      </c>
      <c r="F151" s="98">
        <f ca="1">SUMIF(组队产出!$B$24:$B$39,"&lt;="&amp;MAX(1,INT(C151/10-0.6)),组队产出!$R$24:$R$39)</f>
        <v>141000</v>
      </c>
      <c r="G151" s="80">
        <f ca="1">SUMIF(运营活动!$O$3:$O$27,"&lt;="&amp;C151,运营活动!$P$3:$P$27)</f>
        <v>30000</v>
      </c>
      <c r="H151" s="80">
        <f ca="1">OFFSET(产销汇总!$AM$12,B151,$C$26)*24</f>
        <v>918768</v>
      </c>
      <c r="I151" s="172">
        <f ca="1">SUMIF(金币本!$F$2:$F$52,"&lt;="&amp;C151,金币本!$D$2:$D$52)</f>
        <v>1269000</v>
      </c>
      <c r="J151" s="80">
        <f ca="1">OFFSET(产销汇总!$C$1,MATCH(J$27,产销汇总!$C$2:$C$8,0),$C$26)*(_xlfn.XLOOKUP(C151,主线推图!$B$313:$B$612,主线推图!$C$313:$C$612)+_xlfn.XLOOKUP(C151,主线推图!$B$313:$B$612,主线推图!$D$313:$D$612))</f>
        <v>14256</v>
      </c>
      <c r="K151" s="80">
        <f ca="1">OFFSET(产销汇总!$C$1,MATCH(K$27,产销汇总!$C$2:$C$8,0),$C$26)*_xlfn.XLOOKUP(C151,巡逻产出!$B$311:$B$610,巡逻产出!$C$311:$C$610)*1.3</f>
        <v>0</v>
      </c>
      <c r="L151" s="80" t="e">
        <f ca="1">OFFSET(产销汇总!$C$1,MATCH(L$27,产销汇总!$C$2:$C$8,0),$C$26)*(_xlfn.XLOOKUP(MAX(1,INT(C151/10-6/10)),组队产出!$B$24:$B$39,组队产出!$D$24:$D$39))+OFFSET(产销汇总!$C$1,MATCH(L$27,产销汇总!$C$2:$C$8,0),$C$26)*(_xlfn.XLOOKUP(MAX(1,INT(C151/10-6/10)),组队产出!$B$24:$B$39,组队产出!$C$24:$C$39))</f>
        <v>#N/A</v>
      </c>
      <c r="M151" s="80">
        <f ca="1">(OFFSET(产销汇总!$C$1,MATCH(M$27,产销汇总!$C$2:$C$8,0),$C$26)*_xlfn.XLOOKUP(C151,巡逻产出!$B$311:$B$610,巡逻产出!$D$311:$D$610))*$M$24</f>
        <v>10108.8</v>
      </c>
      <c r="N151" s="80" t="e">
        <f ca="1">OFFSET(产销汇总!$C$1,MATCH(L$27,产销汇总!$C$2:$C$8,0),$C$26)*(_xlfn.XLOOKUP(MAX(1,INT(C151/10-6/10)),组队产出!$B$24:$B$39,组队产出!$S$24:$S$39))</f>
        <v>#N/A</v>
      </c>
      <c r="O151" s="172">
        <f>任务!$D$36</f>
        <v>2457.14285714286</v>
      </c>
      <c r="P151" s="98">
        <f t="shared" si="13"/>
        <v>428</v>
      </c>
      <c r="Q151" s="80">
        <f t="shared" si="19"/>
        <v>1000</v>
      </c>
      <c r="R151" s="172">
        <f t="shared" si="20"/>
        <v>2000</v>
      </c>
      <c r="S151" s="210">
        <f ca="1">IFERROR(OFFSET(金币本!$E$2,MATCH(C151,金币本!$F$3:$F$302,1),0)*IF($C$26=1,2,3),0)</f>
        <v>37500</v>
      </c>
      <c r="T151" s="172" t="e">
        <f ca="1">SUM($J$28:S151)+SUM(D151:I151)</f>
        <v>#N/A</v>
      </c>
      <c r="U151" s="172" t="e">
        <f ca="1" t="shared" si="14"/>
        <v>#N/A</v>
      </c>
      <c r="V151" s="98" t="e">
        <f ca="1" t="shared" si="15"/>
        <v>#N/A</v>
      </c>
      <c r="W151" s="98" t="e">
        <f ca="1">OFFSET(装备强化!$U$6,MATCH(图纸产出设计!V152/6*W$26,装备强化!$T$7:$T$306,1),0)*6</f>
        <v>#N/A</v>
      </c>
      <c r="X151" s="98">
        <v>544990</v>
      </c>
      <c r="Y151" s="98">
        <f t="shared" si="21"/>
        <v>3856000</v>
      </c>
      <c r="Z151" s="98">
        <f t="shared" si="23"/>
        <v>2</v>
      </c>
      <c r="AA151" s="147" t="e">
        <f ca="1" t="shared" si="16"/>
        <v>#N/A</v>
      </c>
      <c r="AB151" s="209" t="e">
        <f ca="1" t="shared" si="17"/>
        <v>#N/A</v>
      </c>
      <c r="AC151" s="209">
        <f ca="1">SUMIFS(装备强化!$Q$7:$Q$306,装备强化!$M$7:$M$306,"&lt;="&amp;MATCH(U151/6,装备强化!$U$7:$U$306,1),装备强化!$M$7:$M$306,"&gt;="&amp;MATCH(V151/6,装备强化!$U$7:$U$306,1))*6</f>
        <v>0</v>
      </c>
      <c r="AD151">
        <f ca="1" t="shared" si="22"/>
        <v>0</v>
      </c>
    </row>
    <row r="152" spans="1:30">
      <c r="A152" s="171"/>
      <c r="B152" s="80">
        <v>125</v>
      </c>
      <c r="C152" s="80">
        <f ca="1">OFFSET(产销汇总!$C$12,$B152,$C$26)</f>
        <v>185.5</v>
      </c>
      <c r="D152" s="80">
        <f t="shared" si="18"/>
        <v>14100</v>
      </c>
      <c r="E152" s="80">
        <f ca="1">(SUMIF(主线推图!$B$4:$B$303,"&lt;"&amp;C152,主线推图!$M$4:$M$303)+SUMIF(主线宝箱!$B$320:$B$620,"&lt;"&amp;C152,主线宝箱!$L$320:$L$620)+SUMIF(主线宝箱!$B$320:$B$620,"&lt;"&amp;C152,主线宝箱!$X$320:$X$620)+SUMIF(主线宝箱!$B$320:$B$620,"&lt;"&amp;C152,主线宝箱!$AL$320:$AL$620))</f>
        <v>330000</v>
      </c>
      <c r="F152" s="98">
        <f ca="1">SUMIF(组队产出!$B$24:$B$39,"&lt;="&amp;MAX(1,INT(C152/10-0.6)),组队产出!$R$24:$R$39)</f>
        <v>141000</v>
      </c>
      <c r="G152" s="80">
        <f ca="1">SUMIF(运营活动!$O$3:$O$27,"&lt;="&amp;C152,运营活动!$P$3:$P$27)</f>
        <v>30000</v>
      </c>
      <c r="H152" s="80">
        <f ca="1">OFFSET(产销汇总!$AM$12,B152,$C$26)*24</f>
        <v>926016</v>
      </c>
      <c r="I152" s="172">
        <f ca="1">SUMIF(金币本!$F$2:$F$52,"&lt;="&amp;C152,金币本!$D$2:$D$52)</f>
        <v>1269000</v>
      </c>
      <c r="J152" s="80" t="e">
        <f ca="1">OFFSET(产销汇总!$C$1,MATCH(J$27,产销汇总!$C$2:$C$8,0),$C$26)*(_xlfn.XLOOKUP(C152,主线推图!$B$313:$B$612,主线推图!$C$313:$C$612)+_xlfn.XLOOKUP(C152,主线推图!$B$313:$B$612,主线推图!$D$313:$D$612))</f>
        <v>#N/A</v>
      </c>
      <c r="K152" s="80" t="e">
        <f ca="1">OFFSET(产销汇总!$C$1,MATCH(K$27,产销汇总!$C$2:$C$8,0),$C$26)*_xlfn.XLOOKUP(C152,巡逻产出!$B$311:$B$610,巡逻产出!$C$311:$C$610)*1.3</f>
        <v>#N/A</v>
      </c>
      <c r="L152" s="80" t="e">
        <f ca="1">OFFSET(产销汇总!$C$1,MATCH(L$27,产销汇总!$C$2:$C$8,0),$C$26)*(_xlfn.XLOOKUP(MAX(1,INT(C152/10-6/10)),组队产出!$B$24:$B$39,组队产出!$D$24:$D$39))+OFFSET(产销汇总!$C$1,MATCH(L$27,产销汇总!$C$2:$C$8,0),$C$26)*(_xlfn.XLOOKUP(MAX(1,INT(C152/10-6/10)),组队产出!$B$24:$B$39,组队产出!$C$24:$C$39))</f>
        <v>#N/A</v>
      </c>
      <c r="M152" s="80" t="e">
        <f ca="1">(OFFSET(产销汇总!$C$1,MATCH(M$27,产销汇总!$C$2:$C$8,0),$C$26)*_xlfn.XLOOKUP(C152,巡逻产出!$B$311:$B$610,巡逻产出!$D$311:$D$610))*$M$24</f>
        <v>#N/A</v>
      </c>
      <c r="N152" s="80" t="e">
        <f ca="1">OFFSET(产销汇总!$C$1,MATCH(L$27,产销汇总!$C$2:$C$8,0),$C$26)*(_xlfn.XLOOKUP(MAX(1,INT(C152/10-6/10)),组队产出!$B$24:$B$39,组队产出!$S$24:$S$39))</f>
        <v>#N/A</v>
      </c>
      <c r="O152" s="172">
        <f>任务!$D$36</f>
        <v>2457.14285714286</v>
      </c>
      <c r="P152" s="98">
        <f t="shared" si="13"/>
        <v>428</v>
      </c>
      <c r="Q152" s="80">
        <f t="shared" si="19"/>
        <v>1000</v>
      </c>
      <c r="R152" s="172">
        <f t="shared" si="20"/>
        <v>2000</v>
      </c>
      <c r="S152" s="210">
        <f ca="1">IFERROR(OFFSET(金币本!$E$2,MATCH(C152,金币本!$F$3:$F$302,1),0)*IF($C$26=1,2,3),0)</f>
        <v>37500</v>
      </c>
      <c r="T152" s="172" t="e">
        <f ca="1">SUM($J$28:S152)+SUM(D152:I152)</f>
        <v>#N/A</v>
      </c>
      <c r="U152" s="172" t="e">
        <f ca="1" t="shared" si="14"/>
        <v>#N/A</v>
      </c>
      <c r="V152" s="98" t="e">
        <f ca="1" t="shared" si="15"/>
        <v>#N/A</v>
      </c>
      <c r="W152" s="98" t="e">
        <f ca="1">OFFSET(装备强化!$U$6,MATCH(图纸产出设计!V153/6*W$26,装备强化!$T$7:$T$306,1),0)*6</f>
        <v>#N/A</v>
      </c>
      <c r="X152" s="98">
        <v>544990</v>
      </c>
      <c r="Y152" s="98">
        <f t="shared" si="21"/>
        <v>3888000</v>
      </c>
      <c r="Z152" s="98">
        <f t="shared" si="23"/>
        <v>2</v>
      </c>
      <c r="AA152" s="147" t="e">
        <f ca="1" t="shared" si="16"/>
        <v>#N/A</v>
      </c>
      <c r="AB152" s="209" t="e">
        <f ca="1" t="shared" si="17"/>
        <v>#N/A</v>
      </c>
      <c r="AC152" s="209">
        <f ca="1">SUMIFS(装备强化!$Q$7:$Q$306,装备强化!$M$7:$M$306,"&lt;="&amp;MATCH(U152/6,装备强化!$U$7:$U$306,1),装备强化!$M$7:$M$306,"&gt;="&amp;MATCH(V152/6,装备强化!$U$7:$U$306,1))*6</f>
        <v>0</v>
      </c>
      <c r="AD152">
        <f ca="1" t="shared" si="22"/>
        <v>0</v>
      </c>
    </row>
    <row r="153" spans="1:30">
      <c r="A153" s="171"/>
      <c r="B153" s="80">
        <v>126</v>
      </c>
      <c r="C153" s="80">
        <f ca="1">OFFSET(产销汇总!$C$12,$B153,$C$26)</f>
        <v>186</v>
      </c>
      <c r="D153" s="80">
        <f t="shared" si="18"/>
        <v>14100</v>
      </c>
      <c r="E153" s="80">
        <f ca="1">(SUMIF(主线推图!$B$4:$B$303,"&lt;"&amp;C153,主线推图!$M$4:$M$303)+SUMIF(主线宝箱!$B$320:$B$620,"&lt;"&amp;C153,主线宝箱!$L$320:$L$620)+SUMIF(主线宝箱!$B$320:$B$620,"&lt;"&amp;C153,主线宝箱!$X$320:$X$620)+SUMIF(主线宝箱!$B$320:$B$620,"&lt;"&amp;C153,主线宝箱!$AL$320:$AL$620))</f>
        <v>330000</v>
      </c>
      <c r="F153" s="98">
        <f ca="1">SUMIF(组队产出!$B$24:$B$39,"&lt;="&amp;MAX(1,INT(C153/10-0.6)),组队产出!$R$24:$R$39)</f>
        <v>141000</v>
      </c>
      <c r="G153" s="80">
        <f ca="1">SUMIF(运营活动!$O$3:$O$27,"&lt;="&amp;C153,运营活动!$P$3:$P$27)</f>
        <v>30000</v>
      </c>
      <c r="H153" s="80">
        <f ca="1">OFFSET(产销汇总!$AM$12,B153,$C$26)*24</f>
        <v>933264</v>
      </c>
      <c r="I153" s="172">
        <f ca="1">SUMIF(金币本!$F$2:$F$52,"&lt;="&amp;C153,金币本!$D$2:$D$52)</f>
        <v>1269000</v>
      </c>
      <c r="J153" s="80">
        <f ca="1">OFFSET(产销汇总!$C$1,MATCH(J$27,产销汇总!$C$2:$C$8,0),$C$26)*(_xlfn.XLOOKUP(C153,主线推图!$B$313:$B$612,主线推图!$C$313:$C$612)+_xlfn.XLOOKUP(C153,主线推图!$B$313:$B$612,主线推图!$D$313:$D$612))</f>
        <v>14300</v>
      </c>
      <c r="K153" s="80">
        <f ca="1">OFFSET(产销汇总!$C$1,MATCH(K$27,产销汇总!$C$2:$C$8,0),$C$26)*_xlfn.XLOOKUP(C153,巡逻产出!$B$311:$B$610,巡逻产出!$C$311:$C$610)*1.3</f>
        <v>0</v>
      </c>
      <c r="L153" s="80" t="e">
        <f ca="1">OFFSET(产销汇总!$C$1,MATCH(L$27,产销汇总!$C$2:$C$8,0),$C$26)*(_xlfn.XLOOKUP(MAX(1,INT(C153/10-6/10)),组队产出!$B$24:$B$39,组队产出!$D$24:$D$39))+OFFSET(产销汇总!$C$1,MATCH(L$27,产销汇总!$C$2:$C$8,0),$C$26)*(_xlfn.XLOOKUP(MAX(1,INT(C153/10-6/10)),组队产出!$B$24:$B$39,组队产出!$C$24:$C$39))</f>
        <v>#N/A</v>
      </c>
      <c r="M153" s="80">
        <f ca="1">(OFFSET(产销汇总!$C$1,MATCH(M$27,产销汇总!$C$2:$C$8,0),$C$26)*_xlfn.XLOOKUP(C153,巡逻产出!$B$311:$B$610,巡逻产出!$D$311:$D$610))*$M$24</f>
        <v>10140</v>
      </c>
      <c r="N153" s="80" t="e">
        <f ca="1">OFFSET(产销汇总!$C$1,MATCH(L$27,产销汇总!$C$2:$C$8,0),$C$26)*(_xlfn.XLOOKUP(MAX(1,INT(C153/10-6/10)),组队产出!$B$24:$B$39,组队产出!$S$24:$S$39))</f>
        <v>#N/A</v>
      </c>
      <c r="O153" s="172">
        <f>任务!$D$36</f>
        <v>2457.14285714286</v>
      </c>
      <c r="P153" s="98">
        <f t="shared" si="13"/>
        <v>428</v>
      </c>
      <c r="Q153" s="80">
        <f t="shared" si="19"/>
        <v>1000</v>
      </c>
      <c r="R153" s="172">
        <f t="shared" si="20"/>
        <v>2000</v>
      </c>
      <c r="S153" s="210">
        <f ca="1">IFERROR(OFFSET(金币本!$E$2,MATCH(C153,金币本!$F$3:$F$302,1),0)*IF($C$26=1,2,3),0)</f>
        <v>37500</v>
      </c>
      <c r="T153" s="172" t="e">
        <f ca="1">SUM($J$28:S153)+SUM(D153:I153)</f>
        <v>#N/A</v>
      </c>
      <c r="U153" s="172" t="e">
        <f ca="1" t="shared" si="14"/>
        <v>#N/A</v>
      </c>
      <c r="V153" s="98" t="e">
        <f ca="1" t="shared" si="15"/>
        <v>#N/A</v>
      </c>
      <c r="W153" s="98" t="e">
        <f ca="1">OFFSET(装备强化!$U$6,MATCH(图纸产出设计!V154/6*W$26,装备强化!$T$7:$T$306,1),0)*6</f>
        <v>#N/A</v>
      </c>
      <c r="X153" s="98">
        <v>553760</v>
      </c>
      <c r="Y153" s="98">
        <f t="shared" si="21"/>
        <v>3920000</v>
      </c>
      <c r="Z153" s="98">
        <f t="shared" si="23"/>
        <v>2</v>
      </c>
      <c r="AA153" s="147" t="e">
        <f ca="1" t="shared" si="16"/>
        <v>#N/A</v>
      </c>
      <c r="AB153" s="209" t="e">
        <f ca="1" t="shared" si="17"/>
        <v>#N/A</v>
      </c>
      <c r="AC153" s="209">
        <f ca="1">SUMIFS(装备强化!$Q$7:$Q$306,装备强化!$M$7:$M$306,"&lt;="&amp;MATCH(U153/6,装备强化!$U$7:$U$306,1),装备强化!$M$7:$M$306,"&gt;="&amp;MATCH(V153/6,装备强化!$U$7:$U$306,1))*6</f>
        <v>0</v>
      </c>
      <c r="AD153">
        <f ca="1" t="shared" si="22"/>
        <v>0</v>
      </c>
    </row>
    <row r="154" spans="1:30">
      <c r="A154" s="171"/>
      <c r="B154" s="80">
        <v>127</v>
      </c>
      <c r="C154" s="80">
        <f ca="1">OFFSET(产销汇总!$C$12,$B154,$C$26)</f>
        <v>186.5</v>
      </c>
      <c r="D154" s="80">
        <f t="shared" si="18"/>
        <v>14100</v>
      </c>
      <c r="E154" s="80">
        <f ca="1">(SUMIF(主线推图!$B$4:$B$303,"&lt;"&amp;C154,主线推图!$M$4:$M$303)+SUMIF(主线宝箱!$B$320:$B$620,"&lt;"&amp;C154,主线宝箱!$L$320:$L$620)+SUMIF(主线宝箱!$B$320:$B$620,"&lt;"&amp;C154,主线宝箱!$X$320:$X$620)+SUMIF(主线宝箱!$B$320:$B$620,"&lt;"&amp;C154,主线宝箱!$AL$320:$AL$620))</f>
        <v>331800</v>
      </c>
      <c r="F154" s="98">
        <f ca="1">SUMIF(组队产出!$B$24:$B$39,"&lt;="&amp;MAX(1,INT(C154/10-0.6)),组队产出!$R$24:$R$39)</f>
        <v>141000</v>
      </c>
      <c r="G154" s="80">
        <f ca="1">SUMIF(运营活动!$O$3:$O$27,"&lt;="&amp;C154,运营活动!$P$3:$P$27)</f>
        <v>30000</v>
      </c>
      <c r="H154" s="80">
        <f ca="1">OFFSET(产销汇总!$AM$12,B154,$C$26)*24</f>
        <v>940512</v>
      </c>
      <c r="I154" s="172">
        <f ca="1">SUMIF(金币本!$F$2:$F$52,"&lt;="&amp;C154,金币本!$D$2:$D$52)</f>
        <v>1269000</v>
      </c>
      <c r="J154" s="80" t="e">
        <f ca="1">OFFSET(产销汇总!$C$1,MATCH(J$27,产销汇总!$C$2:$C$8,0),$C$26)*(_xlfn.XLOOKUP(C154,主线推图!$B$313:$B$612,主线推图!$C$313:$C$612)+_xlfn.XLOOKUP(C154,主线推图!$B$313:$B$612,主线推图!$D$313:$D$612))</f>
        <v>#N/A</v>
      </c>
      <c r="K154" s="80" t="e">
        <f ca="1">OFFSET(产销汇总!$C$1,MATCH(K$27,产销汇总!$C$2:$C$8,0),$C$26)*_xlfn.XLOOKUP(C154,巡逻产出!$B$311:$B$610,巡逻产出!$C$311:$C$610)*1.3</f>
        <v>#N/A</v>
      </c>
      <c r="L154" s="80" t="e">
        <f ca="1">OFFSET(产销汇总!$C$1,MATCH(L$27,产销汇总!$C$2:$C$8,0),$C$26)*(_xlfn.XLOOKUP(MAX(1,INT(C154/10-6/10)),组队产出!$B$24:$B$39,组队产出!$D$24:$D$39))+OFFSET(产销汇总!$C$1,MATCH(L$27,产销汇总!$C$2:$C$8,0),$C$26)*(_xlfn.XLOOKUP(MAX(1,INT(C154/10-6/10)),组队产出!$B$24:$B$39,组队产出!$C$24:$C$39))</f>
        <v>#N/A</v>
      </c>
      <c r="M154" s="80" t="e">
        <f ca="1">(OFFSET(产销汇总!$C$1,MATCH(M$27,产销汇总!$C$2:$C$8,0),$C$26)*_xlfn.XLOOKUP(C154,巡逻产出!$B$311:$B$610,巡逻产出!$D$311:$D$610))*$M$24</f>
        <v>#N/A</v>
      </c>
      <c r="N154" s="80" t="e">
        <f ca="1">OFFSET(产销汇总!$C$1,MATCH(L$27,产销汇总!$C$2:$C$8,0),$C$26)*(_xlfn.XLOOKUP(MAX(1,INT(C154/10-6/10)),组队产出!$B$24:$B$39,组队产出!$S$24:$S$39))</f>
        <v>#N/A</v>
      </c>
      <c r="O154" s="172">
        <f>任务!$D$36</f>
        <v>2457.14285714286</v>
      </c>
      <c r="P154" s="98">
        <f t="shared" si="13"/>
        <v>428</v>
      </c>
      <c r="Q154" s="80">
        <f t="shared" si="19"/>
        <v>1500</v>
      </c>
      <c r="R154" s="172">
        <f t="shared" si="20"/>
        <v>2000</v>
      </c>
      <c r="S154" s="210">
        <f ca="1">IFERROR(OFFSET(金币本!$E$2,MATCH(C154,金币本!$F$3:$F$302,1),0)*IF($C$26=1,2,3),0)</f>
        <v>37500</v>
      </c>
      <c r="T154" s="172" t="e">
        <f ca="1">SUM($J$28:S154)+SUM(D154:I154)</f>
        <v>#N/A</v>
      </c>
      <c r="U154" s="172" t="e">
        <f ca="1" t="shared" si="14"/>
        <v>#N/A</v>
      </c>
      <c r="V154" s="98" t="e">
        <f ca="1" t="shared" si="15"/>
        <v>#N/A</v>
      </c>
      <c r="W154" s="98" t="e">
        <f ca="1">OFFSET(装备强化!$U$6,MATCH(图纸产出设计!V155/6*W$26,装备强化!$T$7:$T$306,1),0)*6</f>
        <v>#N/A</v>
      </c>
      <c r="X154" s="98">
        <v>553760</v>
      </c>
      <c r="Y154" s="98">
        <f t="shared" si="21"/>
        <v>3952000</v>
      </c>
      <c r="Z154" s="98">
        <f t="shared" si="23"/>
        <v>2</v>
      </c>
      <c r="AA154" s="147" t="e">
        <f ca="1" t="shared" si="16"/>
        <v>#N/A</v>
      </c>
      <c r="AB154" s="209" t="e">
        <f ca="1" t="shared" si="17"/>
        <v>#N/A</v>
      </c>
      <c r="AC154" s="209">
        <f ca="1">SUMIFS(装备强化!$Q$7:$Q$306,装备强化!$M$7:$M$306,"&lt;="&amp;MATCH(U154/6,装备强化!$U$7:$U$306,1),装备强化!$M$7:$M$306,"&gt;="&amp;MATCH(V154/6,装备强化!$U$7:$U$306,1))*6</f>
        <v>0</v>
      </c>
      <c r="AD154">
        <f ca="1" t="shared" si="22"/>
        <v>0</v>
      </c>
    </row>
    <row r="155" spans="1:30">
      <c r="A155" s="171"/>
      <c r="B155" s="80">
        <v>128</v>
      </c>
      <c r="C155" s="80">
        <f ca="1">OFFSET(产销汇总!$C$12,$B155,$C$26)</f>
        <v>187</v>
      </c>
      <c r="D155" s="80">
        <f t="shared" si="18"/>
        <v>14100</v>
      </c>
      <c r="E155" s="80">
        <f ca="1">(SUMIF(主线推图!$B$4:$B$303,"&lt;"&amp;C155,主线推图!$M$4:$M$303)+SUMIF(主线宝箱!$B$320:$B$620,"&lt;"&amp;C155,主线宝箱!$L$320:$L$620)+SUMIF(主线宝箱!$B$320:$B$620,"&lt;"&amp;C155,主线宝箱!$X$320:$X$620)+SUMIF(主线宝箱!$B$320:$B$620,"&lt;"&amp;C155,主线宝箱!$AL$320:$AL$620))</f>
        <v>331800</v>
      </c>
      <c r="F155" s="98">
        <f ca="1">SUMIF(组队产出!$B$24:$B$39,"&lt;="&amp;MAX(1,INT(C155/10-0.6)),组队产出!$R$24:$R$39)</f>
        <v>141000</v>
      </c>
      <c r="G155" s="80">
        <f ca="1">SUMIF(运营活动!$O$3:$O$27,"&lt;="&amp;C155,运营活动!$P$3:$P$27)</f>
        <v>30000</v>
      </c>
      <c r="H155" s="80">
        <f ca="1">OFFSET(产销汇总!$AM$12,B155,$C$26)*24</f>
        <v>947760</v>
      </c>
      <c r="I155" s="172">
        <f ca="1">SUMIF(金币本!$F$2:$F$52,"&lt;="&amp;C155,金币本!$D$2:$D$52)</f>
        <v>1320000</v>
      </c>
      <c r="J155" s="80">
        <f ca="1">OFFSET(产销汇总!$C$1,MATCH(J$27,产销汇总!$C$2:$C$8,0),$C$26)*(_xlfn.XLOOKUP(C155,主线推图!$B$313:$B$612,主线推图!$C$313:$C$612)+_xlfn.XLOOKUP(C155,主线推图!$B$313:$B$612,主线推图!$D$313:$D$612))</f>
        <v>14344</v>
      </c>
      <c r="K155" s="80">
        <f ca="1">OFFSET(产销汇总!$C$1,MATCH(K$27,产销汇总!$C$2:$C$8,0),$C$26)*_xlfn.XLOOKUP(C155,巡逻产出!$B$311:$B$610,巡逻产出!$C$311:$C$610)*1.3</f>
        <v>0</v>
      </c>
      <c r="L155" s="80" t="e">
        <f ca="1">OFFSET(产销汇总!$C$1,MATCH(L$27,产销汇总!$C$2:$C$8,0),$C$26)*(_xlfn.XLOOKUP(MAX(1,INT(C155/10-6/10)),组队产出!$B$24:$B$39,组队产出!$D$24:$D$39))+OFFSET(产销汇总!$C$1,MATCH(L$27,产销汇总!$C$2:$C$8,0),$C$26)*(_xlfn.XLOOKUP(MAX(1,INT(C155/10-6/10)),组队产出!$B$24:$B$39,组队产出!$C$24:$C$39))</f>
        <v>#N/A</v>
      </c>
      <c r="M155" s="80">
        <f ca="1">(OFFSET(产销汇总!$C$1,MATCH(M$27,产销汇总!$C$2:$C$8,0),$C$26)*_xlfn.XLOOKUP(C155,巡逻产出!$B$311:$B$610,巡逻产出!$D$311:$D$610))*$M$24</f>
        <v>10171.2</v>
      </c>
      <c r="N155" s="80" t="e">
        <f ca="1">OFFSET(产销汇总!$C$1,MATCH(L$27,产销汇总!$C$2:$C$8,0),$C$26)*(_xlfn.XLOOKUP(MAX(1,INT(C155/10-6/10)),组队产出!$B$24:$B$39,组队产出!$S$24:$S$39))</f>
        <v>#N/A</v>
      </c>
      <c r="O155" s="172">
        <f>任务!$D$36</f>
        <v>2457.14285714286</v>
      </c>
      <c r="P155" s="98">
        <f t="shared" si="13"/>
        <v>428</v>
      </c>
      <c r="Q155" s="80">
        <f t="shared" si="19"/>
        <v>1000</v>
      </c>
      <c r="R155" s="172">
        <f t="shared" si="20"/>
        <v>2000</v>
      </c>
      <c r="S155" s="210">
        <f ca="1">IFERROR(OFFSET(金币本!$E$2,MATCH(C155,金币本!$F$3:$F$302,1),0)*IF($C$26=1,2,3),0)</f>
        <v>38250</v>
      </c>
      <c r="T155" s="172" t="e">
        <f ca="1">SUM($J$28:S155)+SUM(D155:I155)</f>
        <v>#N/A</v>
      </c>
      <c r="U155" s="172" t="e">
        <f ca="1" t="shared" si="14"/>
        <v>#N/A</v>
      </c>
      <c r="V155" s="98" t="e">
        <f ca="1" t="shared" si="15"/>
        <v>#N/A</v>
      </c>
      <c r="W155" s="98" t="e">
        <f ca="1">OFFSET(装备强化!$U$6,MATCH(图纸产出设计!V156/6*W$26,装备强化!$T$7:$T$306,1),0)*6</f>
        <v>#N/A</v>
      </c>
      <c r="X155" s="98">
        <v>562600</v>
      </c>
      <c r="Y155" s="98">
        <f t="shared" si="21"/>
        <v>3984000</v>
      </c>
      <c r="Z155" s="98">
        <f t="shared" si="23"/>
        <v>2</v>
      </c>
      <c r="AA155" s="147" t="e">
        <f ca="1" t="shared" si="16"/>
        <v>#N/A</v>
      </c>
      <c r="AB155" s="209" t="e">
        <f ca="1" t="shared" si="17"/>
        <v>#N/A</v>
      </c>
      <c r="AC155" s="209">
        <f ca="1">SUMIFS(装备强化!$Q$7:$Q$306,装备强化!$M$7:$M$306,"&lt;="&amp;MATCH(U155/6,装备强化!$U$7:$U$306,1),装备强化!$M$7:$M$306,"&gt;="&amp;MATCH(V155/6,装备强化!$U$7:$U$306,1))*6</f>
        <v>0</v>
      </c>
      <c r="AD155">
        <f ca="1" t="shared" si="22"/>
        <v>0</v>
      </c>
    </row>
    <row r="156" spans="1:30">
      <c r="A156" s="171"/>
      <c r="B156" s="80">
        <v>129</v>
      </c>
      <c r="C156" s="80">
        <f ca="1">OFFSET(产销汇总!$C$12,$B156,$C$26)</f>
        <v>187.5</v>
      </c>
      <c r="D156" s="80">
        <f t="shared" si="18"/>
        <v>14100</v>
      </c>
      <c r="E156" s="80">
        <f ca="1">(SUMIF(主线推图!$B$4:$B$303,"&lt;"&amp;C156,主线推图!$M$4:$M$303)+SUMIF(主线宝箱!$B$320:$B$620,"&lt;"&amp;C156,主线宝箱!$L$320:$L$620)+SUMIF(主线宝箱!$B$320:$B$620,"&lt;"&amp;C156,主线宝箱!$X$320:$X$620)+SUMIF(主线宝箱!$B$320:$B$620,"&lt;"&amp;C156,主线宝箱!$AL$320:$AL$620))</f>
        <v>333600</v>
      </c>
      <c r="F156" s="98">
        <f ca="1">SUMIF(组队产出!$B$24:$B$39,"&lt;="&amp;MAX(1,INT(C156/10-0.6)),组队产出!$R$24:$R$39)</f>
        <v>141000</v>
      </c>
      <c r="G156" s="80">
        <f ca="1">SUMIF(运营活动!$O$3:$O$27,"&lt;="&amp;C156,运营活动!$P$3:$P$27)</f>
        <v>30000</v>
      </c>
      <c r="H156" s="80">
        <f ca="1">OFFSET(产销汇总!$AM$12,B156,$C$26)*24</f>
        <v>955008</v>
      </c>
      <c r="I156" s="172">
        <f ca="1">SUMIF(金币本!$F$2:$F$52,"&lt;="&amp;C156,金币本!$D$2:$D$52)</f>
        <v>1320000</v>
      </c>
      <c r="J156" s="80" t="e">
        <f ca="1">OFFSET(产销汇总!$C$1,MATCH(J$27,产销汇总!$C$2:$C$8,0),$C$26)*(_xlfn.XLOOKUP(C156,主线推图!$B$313:$B$612,主线推图!$C$313:$C$612)+_xlfn.XLOOKUP(C156,主线推图!$B$313:$B$612,主线推图!$D$313:$D$612))</f>
        <v>#N/A</v>
      </c>
      <c r="K156" s="80" t="e">
        <f ca="1">OFFSET(产销汇总!$C$1,MATCH(K$27,产销汇总!$C$2:$C$8,0),$C$26)*_xlfn.XLOOKUP(C156,巡逻产出!$B$311:$B$610,巡逻产出!$C$311:$C$610)*1.3</f>
        <v>#N/A</v>
      </c>
      <c r="L156" s="80" t="e">
        <f ca="1">OFFSET(产销汇总!$C$1,MATCH(L$27,产销汇总!$C$2:$C$8,0),$C$26)*(_xlfn.XLOOKUP(MAX(1,INT(C156/10-6/10)),组队产出!$B$24:$B$39,组队产出!$D$24:$D$39))+OFFSET(产销汇总!$C$1,MATCH(L$27,产销汇总!$C$2:$C$8,0),$C$26)*(_xlfn.XLOOKUP(MAX(1,INT(C156/10-6/10)),组队产出!$B$24:$B$39,组队产出!$C$24:$C$39))</f>
        <v>#N/A</v>
      </c>
      <c r="M156" s="80" t="e">
        <f ca="1">(OFFSET(产销汇总!$C$1,MATCH(M$27,产销汇总!$C$2:$C$8,0),$C$26)*_xlfn.XLOOKUP(C156,巡逻产出!$B$311:$B$610,巡逻产出!$D$311:$D$610))*$M$24</f>
        <v>#N/A</v>
      </c>
      <c r="N156" s="80" t="e">
        <f ca="1">OFFSET(产销汇总!$C$1,MATCH(L$27,产销汇总!$C$2:$C$8,0),$C$26)*(_xlfn.XLOOKUP(MAX(1,INT(C156/10-6/10)),组队产出!$B$24:$B$39,组队产出!$S$24:$S$39))</f>
        <v>#N/A</v>
      </c>
      <c r="O156" s="172">
        <f>任务!$D$36</f>
        <v>2457.14285714286</v>
      </c>
      <c r="P156" s="98">
        <f t="shared" ref="P156:P219" si="24">INT(300*10/7)</f>
        <v>428</v>
      </c>
      <c r="Q156" s="80">
        <f t="shared" si="19"/>
        <v>1000</v>
      </c>
      <c r="R156" s="172">
        <f t="shared" si="20"/>
        <v>2000</v>
      </c>
      <c r="S156" s="210">
        <f ca="1">IFERROR(OFFSET(金币本!$E$2,MATCH(C156,金币本!$F$3:$F$302,1),0)*IF($C$26=1,2,3),0)</f>
        <v>38250</v>
      </c>
      <c r="T156" s="172" t="e">
        <f ca="1">SUM($J$28:S156)+SUM(D156:I156)</f>
        <v>#N/A</v>
      </c>
      <c r="U156" s="172" t="e">
        <f ca="1" t="shared" ref="U156:U219" si="25">T156</f>
        <v>#N/A</v>
      </c>
      <c r="V156" s="98" t="e">
        <f ca="1" t="shared" ref="V156:V219" si="26">SUM(W156:Y156)</f>
        <v>#N/A</v>
      </c>
      <c r="W156" s="98" t="e">
        <f ca="1">OFFSET(装备强化!$U$6,MATCH(图纸产出设计!V157/6*W$26,装备强化!$T$7:$T$306,1),0)*6</f>
        <v>#N/A</v>
      </c>
      <c r="X156" s="98">
        <v>562600</v>
      </c>
      <c r="Y156" s="98">
        <f t="shared" si="21"/>
        <v>4016000</v>
      </c>
      <c r="Z156" s="98">
        <f t="shared" si="23"/>
        <v>2</v>
      </c>
      <c r="AA156" s="147" t="e">
        <f ca="1" t="shared" ref="AA156:AA219" si="27">U156/V156</f>
        <v>#N/A</v>
      </c>
      <c r="AB156" s="209" t="e">
        <f ca="1" t="shared" ref="AB156:AB219" si="28">U156-V156</f>
        <v>#N/A</v>
      </c>
      <c r="AC156" s="209">
        <f ca="1">SUMIFS(装备强化!$Q$7:$Q$306,装备强化!$M$7:$M$306,"&lt;="&amp;MATCH(U156/6,装备强化!$U$7:$U$306,1),装备强化!$M$7:$M$306,"&gt;="&amp;MATCH(V156/6,装备强化!$U$7:$U$306,1))*6</f>
        <v>0</v>
      </c>
      <c r="AD156">
        <f ca="1" t="shared" si="22"/>
        <v>0</v>
      </c>
    </row>
    <row r="157" spans="1:30">
      <c r="A157" s="171"/>
      <c r="B157" s="80">
        <v>130</v>
      </c>
      <c r="C157" s="80">
        <f ca="1">OFFSET(产销汇总!$C$12,$B157,$C$26)</f>
        <v>188</v>
      </c>
      <c r="D157" s="80">
        <f t="shared" ref="D157:D220" si="29">D156</f>
        <v>14100</v>
      </c>
      <c r="E157" s="80">
        <f ca="1">(SUMIF(主线推图!$B$4:$B$303,"&lt;"&amp;C157,主线推图!$M$4:$M$303)+SUMIF(主线宝箱!$B$320:$B$620,"&lt;"&amp;C157,主线宝箱!$L$320:$L$620)+SUMIF(主线宝箱!$B$320:$B$620,"&lt;"&amp;C157,主线宝箱!$X$320:$X$620)+SUMIF(主线宝箱!$B$320:$B$620,"&lt;"&amp;C157,主线宝箱!$AL$320:$AL$620))</f>
        <v>333600</v>
      </c>
      <c r="F157" s="98">
        <f ca="1">SUMIF(组队产出!$B$24:$B$39,"&lt;="&amp;MAX(1,INT(C157/10-0.6)),组队产出!$R$24:$R$39)</f>
        <v>141000</v>
      </c>
      <c r="G157" s="80">
        <f ca="1">SUMIF(运营活动!$O$3:$O$27,"&lt;="&amp;C157,运营活动!$P$3:$P$27)</f>
        <v>30000</v>
      </c>
      <c r="H157" s="80">
        <f ca="1">OFFSET(产销汇总!$AM$12,B157,$C$26)*24</f>
        <v>962256</v>
      </c>
      <c r="I157" s="172">
        <f ca="1">SUMIF(金币本!$F$2:$F$52,"&lt;="&amp;C157,金币本!$D$2:$D$52)</f>
        <v>1320000</v>
      </c>
      <c r="J157" s="80">
        <f ca="1">OFFSET(产销汇总!$C$1,MATCH(J$27,产销汇总!$C$2:$C$8,0),$C$26)*(_xlfn.XLOOKUP(C157,主线推图!$B$313:$B$612,主线推图!$C$313:$C$612)+_xlfn.XLOOKUP(C157,主线推图!$B$313:$B$612,主线推图!$D$313:$D$612))</f>
        <v>14388</v>
      </c>
      <c r="K157" s="80">
        <f ca="1">OFFSET(产销汇总!$C$1,MATCH(K$27,产销汇总!$C$2:$C$8,0),$C$26)*_xlfn.XLOOKUP(C157,巡逻产出!$B$311:$B$610,巡逻产出!$C$311:$C$610)*1.3</f>
        <v>0</v>
      </c>
      <c r="L157" s="80" t="e">
        <f ca="1">OFFSET(产销汇总!$C$1,MATCH(L$27,产销汇总!$C$2:$C$8,0),$C$26)*(_xlfn.XLOOKUP(MAX(1,INT(C157/10-6/10)),组队产出!$B$24:$B$39,组队产出!$D$24:$D$39))+OFFSET(产销汇总!$C$1,MATCH(L$27,产销汇总!$C$2:$C$8,0),$C$26)*(_xlfn.XLOOKUP(MAX(1,INT(C157/10-6/10)),组队产出!$B$24:$B$39,组队产出!$C$24:$C$39))</f>
        <v>#N/A</v>
      </c>
      <c r="M157" s="80">
        <f ca="1">(OFFSET(产销汇总!$C$1,MATCH(M$27,产销汇总!$C$2:$C$8,0),$C$26)*_xlfn.XLOOKUP(C157,巡逻产出!$B$311:$B$610,巡逻产出!$D$311:$D$610))*$M$24</f>
        <v>10202.4</v>
      </c>
      <c r="N157" s="80" t="e">
        <f ca="1">OFFSET(产销汇总!$C$1,MATCH(L$27,产销汇总!$C$2:$C$8,0),$C$26)*(_xlfn.XLOOKUP(MAX(1,INT(C157/10-6/10)),组队产出!$B$24:$B$39,组队产出!$S$24:$S$39))</f>
        <v>#N/A</v>
      </c>
      <c r="O157" s="172">
        <f>任务!$D$36</f>
        <v>2457.14285714286</v>
      </c>
      <c r="P157" s="98">
        <f t="shared" si="24"/>
        <v>428</v>
      </c>
      <c r="Q157" s="80">
        <f t="shared" ref="Q157:Q220" si="30">IF(MOD(B157,7)=1,500,0)+1000+IF(AND($C$26=4,B157&lt;=0),40000,0)</f>
        <v>1000</v>
      </c>
      <c r="R157" s="172">
        <f t="shared" ref="R157:R220" si="31">R156</f>
        <v>2000</v>
      </c>
      <c r="S157" s="210">
        <f ca="1">IFERROR(OFFSET(金币本!$E$2,MATCH(C157,金币本!$F$3:$F$302,1),0)*IF($C$26=1,2,3),0)</f>
        <v>38250</v>
      </c>
      <c r="T157" s="172" t="e">
        <f ca="1">SUM($J$28:S157)+SUM(D157:I157)</f>
        <v>#N/A</v>
      </c>
      <c r="U157" s="172" t="e">
        <f ca="1" t="shared" si="25"/>
        <v>#N/A</v>
      </c>
      <c r="V157" s="98" t="e">
        <f ca="1" t="shared" si="26"/>
        <v>#N/A</v>
      </c>
      <c r="W157" s="98" t="e">
        <f ca="1">OFFSET(装备强化!$U$6,MATCH(图纸产出设计!V158/6*W$26,装备强化!$T$7:$T$306,1),0)*6</f>
        <v>#N/A</v>
      </c>
      <c r="X157" s="98">
        <v>571510</v>
      </c>
      <c r="Y157" s="98">
        <f t="shared" si="21"/>
        <v>4048000</v>
      </c>
      <c r="Z157" s="98">
        <f t="shared" si="23"/>
        <v>2</v>
      </c>
      <c r="AA157" s="147" t="e">
        <f ca="1" t="shared" si="27"/>
        <v>#N/A</v>
      </c>
      <c r="AB157" s="209" t="e">
        <f ca="1" t="shared" si="28"/>
        <v>#N/A</v>
      </c>
      <c r="AC157" s="209">
        <f ca="1">SUMIFS(装备强化!$Q$7:$Q$306,装备强化!$M$7:$M$306,"&lt;="&amp;MATCH(U157/6,装备强化!$U$7:$U$306,1),装备强化!$M$7:$M$306,"&gt;="&amp;MATCH(V157/6,装备强化!$U$7:$U$306,1))*6</f>
        <v>0</v>
      </c>
      <c r="AD157">
        <f ca="1" t="shared" si="22"/>
        <v>0</v>
      </c>
    </row>
    <row r="158" spans="1:30">
      <c r="A158" s="171"/>
      <c r="B158" s="80">
        <v>131</v>
      </c>
      <c r="C158" s="80">
        <f ca="1">OFFSET(产销汇总!$C$12,$B158,$C$26)</f>
        <v>188.5</v>
      </c>
      <c r="D158" s="80">
        <f t="shared" si="29"/>
        <v>14100</v>
      </c>
      <c r="E158" s="80">
        <f ca="1">(SUMIF(主线推图!$B$4:$B$303,"&lt;"&amp;C158,主线推图!$M$4:$M$303)+SUMIF(主线宝箱!$B$320:$B$620,"&lt;"&amp;C158,主线宝箱!$L$320:$L$620)+SUMIF(主线宝箱!$B$320:$B$620,"&lt;"&amp;C158,主线宝箱!$X$320:$X$620)+SUMIF(主线宝箱!$B$320:$B$620,"&lt;"&amp;C158,主线宝箱!$AL$320:$AL$620))</f>
        <v>335400</v>
      </c>
      <c r="F158" s="98">
        <f ca="1">SUMIF(组队产出!$B$24:$B$39,"&lt;="&amp;MAX(1,INT(C158/10-0.6)),组队产出!$R$24:$R$39)</f>
        <v>141000</v>
      </c>
      <c r="G158" s="80">
        <f ca="1">SUMIF(运营活动!$O$3:$O$27,"&lt;="&amp;C158,运营活动!$P$3:$P$27)</f>
        <v>30000</v>
      </c>
      <c r="H158" s="80">
        <f ca="1">OFFSET(产销汇总!$AM$12,B158,$C$26)*24</f>
        <v>969504</v>
      </c>
      <c r="I158" s="172">
        <f ca="1">SUMIF(金币本!$F$2:$F$52,"&lt;="&amp;C158,金币本!$D$2:$D$52)</f>
        <v>1320000</v>
      </c>
      <c r="J158" s="80" t="e">
        <f ca="1">OFFSET(产销汇总!$C$1,MATCH(J$27,产销汇总!$C$2:$C$8,0),$C$26)*(_xlfn.XLOOKUP(C158,主线推图!$B$313:$B$612,主线推图!$C$313:$C$612)+_xlfn.XLOOKUP(C158,主线推图!$B$313:$B$612,主线推图!$D$313:$D$612))</f>
        <v>#N/A</v>
      </c>
      <c r="K158" s="80" t="e">
        <f ca="1">OFFSET(产销汇总!$C$1,MATCH(K$27,产销汇总!$C$2:$C$8,0),$C$26)*_xlfn.XLOOKUP(C158,巡逻产出!$B$311:$B$610,巡逻产出!$C$311:$C$610)*1.3</f>
        <v>#N/A</v>
      </c>
      <c r="L158" s="80" t="e">
        <f ca="1">OFFSET(产销汇总!$C$1,MATCH(L$27,产销汇总!$C$2:$C$8,0),$C$26)*(_xlfn.XLOOKUP(MAX(1,INT(C158/10-6/10)),组队产出!$B$24:$B$39,组队产出!$D$24:$D$39))+OFFSET(产销汇总!$C$1,MATCH(L$27,产销汇总!$C$2:$C$8,0),$C$26)*(_xlfn.XLOOKUP(MAX(1,INT(C158/10-6/10)),组队产出!$B$24:$B$39,组队产出!$C$24:$C$39))</f>
        <v>#N/A</v>
      </c>
      <c r="M158" s="80" t="e">
        <f ca="1">(OFFSET(产销汇总!$C$1,MATCH(M$27,产销汇总!$C$2:$C$8,0),$C$26)*_xlfn.XLOOKUP(C158,巡逻产出!$B$311:$B$610,巡逻产出!$D$311:$D$610))*$M$24</f>
        <v>#N/A</v>
      </c>
      <c r="N158" s="80" t="e">
        <f ca="1">OFFSET(产销汇总!$C$1,MATCH(L$27,产销汇总!$C$2:$C$8,0),$C$26)*(_xlfn.XLOOKUP(MAX(1,INT(C158/10-6/10)),组队产出!$B$24:$B$39,组队产出!$S$24:$S$39))</f>
        <v>#N/A</v>
      </c>
      <c r="O158" s="172">
        <f>任务!$D$36</f>
        <v>2457.14285714286</v>
      </c>
      <c r="P158" s="98">
        <f t="shared" si="24"/>
        <v>428</v>
      </c>
      <c r="Q158" s="80">
        <f t="shared" si="30"/>
        <v>1000</v>
      </c>
      <c r="R158" s="172">
        <f t="shared" si="31"/>
        <v>2000</v>
      </c>
      <c r="S158" s="210">
        <f ca="1">IFERROR(OFFSET(金币本!$E$2,MATCH(C158,金币本!$F$3:$F$302,1),0)*IF($C$26=1,2,3),0)</f>
        <v>38250</v>
      </c>
      <c r="T158" s="172" t="e">
        <f ca="1">SUM($J$28:S158)+SUM(D158:I158)</f>
        <v>#N/A</v>
      </c>
      <c r="U158" s="172" t="e">
        <f ca="1" t="shared" si="25"/>
        <v>#N/A</v>
      </c>
      <c r="V158" s="98" t="e">
        <f ca="1" t="shared" si="26"/>
        <v>#N/A</v>
      </c>
      <c r="W158" s="98" t="e">
        <f ca="1">OFFSET(装备强化!$U$6,MATCH(图纸产出设计!V159/6*W$26,装备强化!$T$7:$T$306,1),0)*6</f>
        <v>#N/A</v>
      </c>
      <c r="X158" s="98">
        <v>571510</v>
      </c>
      <c r="Y158" s="98">
        <f t="shared" ref="Y158:Y221" si="32">Y157+$Y$28*Z158</f>
        <v>4080000</v>
      </c>
      <c r="Z158" s="98">
        <f t="shared" si="23"/>
        <v>2</v>
      </c>
      <c r="AA158" s="147" t="e">
        <f ca="1" t="shared" si="27"/>
        <v>#N/A</v>
      </c>
      <c r="AB158" s="209" t="e">
        <f ca="1" t="shared" si="28"/>
        <v>#N/A</v>
      </c>
      <c r="AC158" s="209">
        <f ca="1">SUMIFS(装备强化!$Q$7:$Q$306,装备强化!$M$7:$M$306,"&lt;="&amp;MATCH(U158/6,装备强化!$U$7:$U$306,1),装备强化!$M$7:$M$306,"&gt;="&amp;MATCH(V158/6,装备强化!$U$7:$U$306,1))*6</f>
        <v>0</v>
      </c>
      <c r="AD158">
        <f ca="1" t="shared" ref="AD158:AD221" si="33">AC158/B158</f>
        <v>0</v>
      </c>
    </row>
    <row r="159" spans="1:30">
      <c r="A159" s="171"/>
      <c r="B159" s="80">
        <v>132</v>
      </c>
      <c r="C159" s="80">
        <f ca="1">OFFSET(产销汇总!$C$12,$B159,$C$26)</f>
        <v>189</v>
      </c>
      <c r="D159" s="80">
        <f t="shared" si="29"/>
        <v>14100</v>
      </c>
      <c r="E159" s="80">
        <f ca="1">(SUMIF(主线推图!$B$4:$B$303,"&lt;"&amp;C159,主线推图!$M$4:$M$303)+SUMIF(主线宝箱!$B$320:$B$620,"&lt;"&amp;C159,主线宝箱!$L$320:$L$620)+SUMIF(主线宝箱!$B$320:$B$620,"&lt;"&amp;C159,主线宝箱!$X$320:$X$620)+SUMIF(主线宝箱!$B$320:$B$620,"&lt;"&amp;C159,主线宝箱!$AL$320:$AL$620))</f>
        <v>335400</v>
      </c>
      <c r="F159" s="98">
        <f ca="1">SUMIF(组队产出!$B$24:$B$39,"&lt;="&amp;MAX(1,INT(C159/10-0.6)),组队产出!$R$24:$R$39)</f>
        <v>141000</v>
      </c>
      <c r="G159" s="80">
        <f ca="1">SUMIF(运营活动!$O$3:$O$27,"&lt;="&amp;C159,运营活动!$P$3:$P$27)</f>
        <v>30000</v>
      </c>
      <c r="H159" s="80">
        <f ca="1">OFFSET(产销汇总!$AM$12,B159,$C$26)*24</f>
        <v>976752</v>
      </c>
      <c r="I159" s="172">
        <f ca="1">SUMIF(金币本!$F$2:$F$52,"&lt;="&amp;C159,金币本!$D$2:$D$52)</f>
        <v>1320000</v>
      </c>
      <c r="J159" s="80">
        <f ca="1">OFFSET(产销汇总!$C$1,MATCH(J$27,产销汇总!$C$2:$C$8,0),$C$26)*(_xlfn.XLOOKUP(C159,主线推图!$B$313:$B$612,主线推图!$C$313:$C$612)+_xlfn.XLOOKUP(C159,主线推图!$B$313:$B$612,主线推图!$D$313:$D$612))</f>
        <v>14432</v>
      </c>
      <c r="K159" s="80">
        <f ca="1">OFFSET(产销汇总!$C$1,MATCH(K$27,产销汇总!$C$2:$C$8,0),$C$26)*_xlfn.XLOOKUP(C159,巡逻产出!$B$311:$B$610,巡逻产出!$C$311:$C$610)*1.3</f>
        <v>0</v>
      </c>
      <c r="L159" s="80" t="e">
        <f ca="1">OFFSET(产销汇总!$C$1,MATCH(L$27,产销汇总!$C$2:$C$8,0),$C$26)*(_xlfn.XLOOKUP(MAX(1,INT(C159/10-6/10)),组队产出!$B$24:$B$39,组队产出!$D$24:$D$39))+OFFSET(产销汇总!$C$1,MATCH(L$27,产销汇总!$C$2:$C$8,0),$C$26)*(_xlfn.XLOOKUP(MAX(1,INT(C159/10-6/10)),组队产出!$B$24:$B$39,组队产出!$C$24:$C$39))</f>
        <v>#N/A</v>
      </c>
      <c r="M159" s="80">
        <f ca="1">(OFFSET(产销汇总!$C$1,MATCH(M$27,产销汇总!$C$2:$C$8,0),$C$26)*_xlfn.XLOOKUP(C159,巡逻产出!$B$311:$B$610,巡逻产出!$D$311:$D$610))*$M$24</f>
        <v>10233.6</v>
      </c>
      <c r="N159" s="80" t="e">
        <f ca="1">OFFSET(产销汇总!$C$1,MATCH(L$27,产销汇总!$C$2:$C$8,0),$C$26)*(_xlfn.XLOOKUP(MAX(1,INT(C159/10-6/10)),组队产出!$B$24:$B$39,组队产出!$S$24:$S$39))</f>
        <v>#N/A</v>
      </c>
      <c r="O159" s="172">
        <f>任务!$D$36</f>
        <v>2457.14285714286</v>
      </c>
      <c r="P159" s="98">
        <f t="shared" si="24"/>
        <v>428</v>
      </c>
      <c r="Q159" s="80">
        <f t="shared" si="30"/>
        <v>1000</v>
      </c>
      <c r="R159" s="172">
        <f t="shared" si="31"/>
        <v>2000</v>
      </c>
      <c r="S159" s="210">
        <f ca="1">IFERROR(OFFSET(金币本!$E$2,MATCH(C159,金币本!$F$3:$F$302,1),0)*IF($C$26=1,2,3),0)</f>
        <v>38250</v>
      </c>
      <c r="T159" s="172" t="e">
        <f ca="1">SUM($J$28:S159)+SUM(D159:I159)</f>
        <v>#N/A</v>
      </c>
      <c r="U159" s="172" t="e">
        <f ca="1" t="shared" si="25"/>
        <v>#N/A</v>
      </c>
      <c r="V159" s="98" t="e">
        <f ca="1" t="shared" si="26"/>
        <v>#N/A</v>
      </c>
      <c r="W159" s="98" t="e">
        <f ca="1">OFFSET(装备强化!$U$6,MATCH(图纸产出设计!V160/6*W$26,装备强化!$T$7:$T$306,1),0)*6</f>
        <v>#N/A</v>
      </c>
      <c r="X159" s="98">
        <v>580490</v>
      </c>
      <c r="Y159" s="98">
        <f t="shared" si="32"/>
        <v>4112000</v>
      </c>
      <c r="Z159" s="98">
        <f t="shared" si="23"/>
        <v>2</v>
      </c>
      <c r="AA159" s="147" t="e">
        <f ca="1" t="shared" si="27"/>
        <v>#N/A</v>
      </c>
      <c r="AB159" s="209" t="e">
        <f ca="1" t="shared" si="28"/>
        <v>#N/A</v>
      </c>
      <c r="AC159" s="209">
        <f ca="1">SUMIFS(装备强化!$Q$7:$Q$306,装备强化!$M$7:$M$306,"&lt;="&amp;MATCH(U159/6,装备强化!$U$7:$U$306,1),装备强化!$M$7:$M$306,"&gt;="&amp;MATCH(V159/6,装备强化!$U$7:$U$306,1))*6</f>
        <v>0</v>
      </c>
      <c r="AD159">
        <f ca="1" t="shared" si="33"/>
        <v>0</v>
      </c>
    </row>
    <row r="160" spans="1:30">
      <c r="A160" s="171"/>
      <c r="B160" s="80">
        <v>133</v>
      </c>
      <c r="C160" s="80">
        <f ca="1">OFFSET(产销汇总!$C$12,$B160,$C$26)</f>
        <v>189.5</v>
      </c>
      <c r="D160" s="80">
        <f t="shared" si="29"/>
        <v>14100</v>
      </c>
      <c r="E160" s="80">
        <f ca="1">(SUMIF(主线推图!$B$4:$B$303,"&lt;"&amp;C160,主线推图!$M$4:$M$303)+SUMIF(主线宝箱!$B$320:$B$620,"&lt;"&amp;C160,主线宝箱!$L$320:$L$620)+SUMIF(主线宝箱!$B$320:$B$620,"&lt;"&amp;C160,主线宝箱!$X$320:$X$620)+SUMIF(主线宝箱!$B$320:$B$620,"&lt;"&amp;C160,主线宝箱!$AL$320:$AL$620))</f>
        <v>337200</v>
      </c>
      <c r="F160" s="98">
        <f ca="1">SUMIF(组队产出!$B$24:$B$39,"&lt;="&amp;MAX(1,INT(C160/10-0.6)),组队产出!$R$24:$R$39)</f>
        <v>141000</v>
      </c>
      <c r="G160" s="80">
        <f ca="1">SUMIF(运营活动!$O$3:$O$27,"&lt;="&amp;C160,运营活动!$P$3:$P$27)</f>
        <v>30000</v>
      </c>
      <c r="H160" s="80">
        <f ca="1">OFFSET(产销汇总!$AM$12,B160,$C$26)*24</f>
        <v>984000</v>
      </c>
      <c r="I160" s="172">
        <f ca="1">SUMIF(金币本!$F$2:$F$52,"&lt;="&amp;C160,金币本!$D$2:$D$52)</f>
        <v>1320000</v>
      </c>
      <c r="J160" s="80" t="e">
        <f ca="1">OFFSET(产销汇总!$C$1,MATCH(J$27,产销汇总!$C$2:$C$8,0),$C$26)*(_xlfn.XLOOKUP(C160,主线推图!$B$313:$B$612,主线推图!$C$313:$C$612)+_xlfn.XLOOKUP(C160,主线推图!$B$313:$B$612,主线推图!$D$313:$D$612))</f>
        <v>#N/A</v>
      </c>
      <c r="K160" s="80" t="e">
        <f ca="1">OFFSET(产销汇总!$C$1,MATCH(K$27,产销汇总!$C$2:$C$8,0),$C$26)*_xlfn.XLOOKUP(C160,巡逻产出!$B$311:$B$610,巡逻产出!$C$311:$C$610)*1.3</f>
        <v>#N/A</v>
      </c>
      <c r="L160" s="80" t="e">
        <f ca="1">OFFSET(产销汇总!$C$1,MATCH(L$27,产销汇总!$C$2:$C$8,0),$C$26)*(_xlfn.XLOOKUP(MAX(1,INT(C160/10-6/10)),组队产出!$B$24:$B$39,组队产出!$D$24:$D$39))+OFFSET(产销汇总!$C$1,MATCH(L$27,产销汇总!$C$2:$C$8,0),$C$26)*(_xlfn.XLOOKUP(MAX(1,INT(C160/10-6/10)),组队产出!$B$24:$B$39,组队产出!$C$24:$C$39))</f>
        <v>#N/A</v>
      </c>
      <c r="M160" s="80" t="e">
        <f ca="1">(OFFSET(产销汇总!$C$1,MATCH(M$27,产销汇总!$C$2:$C$8,0),$C$26)*_xlfn.XLOOKUP(C160,巡逻产出!$B$311:$B$610,巡逻产出!$D$311:$D$610))*$M$24</f>
        <v>#N/A</v>
      </c>
      <c r="N160" s="80" t="e">
        <f ca="1">OFFSET(产销汇总!$C$1,MATCH(L$27,产销汇总!$C$2:$C$8,0),$C$26)*(_xlfn.XLOOKUP(MAX(1,INT(C160/10-6/10)),组队产出!$B$24:$B$39,组队产出!$S$24:$S$39))</f>
        <v>#N/A</v>
      </c>
      <c r="O160" s="172">
        <f>任务!$D$36</f>
        <v>2457.14285714286</v>
      </c>
      <c r="P160" s="98">
        <f t="shared" si="24"/>
        <v>428</v>
      </c>
      <c r="Q160" s="80">
        <f t="shared" si="30"/>
        <v>1000</v>
      </c>
      <c r="R160" s="172">
        <f t="shared" si="31"/>
        <v>2000</v>
      </c>
      <c r="S160" s="210">
        <f ca="1">IFERROR(OFFSET(金币本!$E$2,MATCH(C160,金币本!$F$3:$F$302,1),0)*IF($C$26=1,2,3),0)</f>
        <v>38250</v>
      </c>
      <c r="T160" s="172" t="e">
        <f ca="1">SUM($J$28:S160)+SUM(D160:I160)</f>
        <v>#N/A</v>
      </c>
      <c r="U160" s="172" t="e">
        <f ca="1" t="shared" si="25"/>
        <v>#N/A</v>
      </c>
      <c r="V160" s="98" t="e">
        <f ca="1" t="shared" si="26"/>
        <v>#N/A</v>
      </c>
      <c r="W160" s="98" t="e">
        <f ca="1">OFFSET(装备强化!$U$6,MATCH(图纸产出设计!V161/6*W$26,装备强化!$T$7:$T$306,1),0)*6</f>
        <v>#N/A</v>
      </c>
      <c r="X160" s="98">
        <v>580490</v>
      </c>
      <c r="Y160" s="98">
        <f t="shared" si="32"/>
        <v>4144000</v>
      </c>
      <c r="Z160" s="98">
        <f t="shared" si="23"/>
        <v>2</v>
      </c>
      <c r="AA160" s="147" t="e">
        <f ca="1" t="shared" si="27"/>
        <v>#N/A</v>
      </c>
      <c r="AB160" s="209" t="e">
        <f ca="1" t="shared" si="28"/>
        <v>#N/A</v>
      </c>
      <c r="AC160" s="209">
        <f ca="1">SUMIFS(装备强化!$Q$7:$Q$306,装备强化!$M$7:$M$306,"&lt;="&amp;MATCH(U160/6,装备强化!$U$7:$U$306,1),装备强化!$M$7:$M$306,"&gt;="&amp;MATCH(V160/6,装备强化!$U$7:$U$306,1))*6</f>
        <v>0</v>
      </c>
      <c r="AD160">
        <f ca="1" t="shared" si="33"/>
        <v>0</v>
      </c>
    </row>
    <row r="161" spans="1:30">
      <c r="A161" s="171"/>
      <c r="B161" s="80">
        <v>134</v>
      </c>
      <c r="C161" s="80">
        <f ca="1">OFFSET(产销汇总!$C$12,$B161,$C$26)</f>
        <v>190</v>
      </c>
      <c r="D161" s="80">
        <f t="shared" si="29"/>
        <v>14100</v>
      </c>
      <c r="E161" s="80">
        <f ca="1">(SUMIF(主线推图!$B$4:$B$303,"&lt;"&amp;C161,主线推图!$M$4:$M$303)+SUMIF(主线宝箱!$B$320:$B$620,"&lt;"&amp;C161,主线宝箱!$L$320:$L$620)+SUMIF(主线宝箱!$B$320:$B$620,"&lt;"&amp;C161,主线宝箱!$X$320:$X$620)+SUMIF(主线宝箱!$B$320:$B$620,"&lt;"&amp;C161,主线宝箱!$AL$320:$AL$620))</f>
        <v>337200</v>
      </c>
      <c r="F161" s="98">
        <f ca="1">SUMIF(组队产出!$B$24:$B$39,"&lt;="&amp;MAX(1,INT(C161/10-0.6)),组队产出!$R$24:$R$39)</f>
        <v>141000</v>
      </c>
      <c r="G161" s="80">
        <f ca="1">SUMIF(运营活动!$O$3:$O$27,"&lt;="&amp;C161,运营活动!$P$3:$P$27)</f>
        <v>30000</v>
      </c>
      <c r="H161" s="80">
        <f ca="1">OFFSET(产销汇总!$AM$12,B161,$C$26)*24</f>
        <v>991248</v>
      </c>
      <c r="I161" s="172">
        <f ca="1">SUMIF(金币本!$F$2:$F$52,"&lt;="&amp;C161,金币本!$D$2:$D$52)</f>
        <v>1320000</v>
      </c>
      <c r="J161" s="80">
        <f ca="1">OFFSET(产销汇总!$C$1,MATCH(J$27,产销汇总!$C$2:$C$8,0),$C$26)*(_xlfn.XLOOKUP(C161,主线推图!$B$313:$B$612,主线推图!$C$313:$C$612)+_xlfn.XLOOKUP(C161,主线推图!$B$313:$B$612,主线推图!$D$313:$D$612))</f>
        <v>14476</v>
      </c>
      <c r="K161" s="80">
        <f ca="1">OFFSET(产销汇总!$C$1,MATCH(K$27,产销汇总!$C$2:$C$8,0),$C$26)*_xlfn.XLOOKUP(C161,巡逻产出!$B$311:$B$610,巡逻产出!$C$311:$C$610)*1.3</f>
        <v>0</v>
      </c>
      <c r="L161" s="80" t="e">
        <f ca="1">OFFSET(产销汇总!$C$1,MATCH(L$27,产销汇总!$C$2:$C$8,0),$C$26)*(_xlfn.XLOOKUP(MAX(1,INT(C161/10-6/10)),组队产出!$B$24:$B$39,组队产出!$D$24:$D$39))+OFFSET(产销汇总!$C$1,MATCH(L$27,产销汇总!$C$2:$C$8,0),$C$26)*(_xlfn.XLOOKUP(MAX(1,INT(C161/10-6/10)),组队产出!$B$24:$B$39,组队产出!$C$24:$C$39))</f>
        <v>#N/A</v>
      </c>
      <c r="M161" s="80">
        <f ca="1">(OFFSET(产销汇总!$C$1,MATCH(M$27,产销汇总!$C$2:$C$8,0),$C$26)*_xlfn.XLOOKUP(C161,巡逻产出!$B$311:$B$610,巡逻产出!$D$311:$D$610))*$M$24</f>
        <v>10264.8</v>
      </c>
      <c r="N161" s="80" t="e">
        <f ca="1">OFFSET(产销汇总!$C$1,MATCH(L$27,产销汇总!$C$2:$C$8,0),$C$26)*(_xlfn.XLOOKUP(MAX(1,INT(C161/10-6/10)),组队产出!$B$24:$B$39,组队产出!$S$24:$S$39))</f>
        <v>#N/A</v>
      </c>
      <c r="O161" s="172">
        <f>任务!$D$36</f>
        <v>2457.14285714286</v>
      </c>
      <c r="P161" s="98">
        <f t="shared" si="24"/>
        <v>428</v>
      </c>
      <c r="Q161" s="80">
        <f t="shared" si="30"/>
        <v>1500</v>
      </c>
      <c r="R161" s="172">
        <f t="shared" si="31"/>
        <v>2000</v>
      </c>
      <c r="S161" s="210">
        <f ca="1">IFERROR(OFFSET(金币本!$E$2,MATCH(C161,金币本!$F$3:$F$302,1),0)*IF($C$26=1,2,3),0)</f>
        <v>38250</v>
      </c>
      <c r="T161" s="172" t="e">
        <f ca="1">SUM($J$28:S161)+SUM(D161:I161)</f>
        <v>#N/A</v>
      </c>
      <c r="U161" s="172" t="e">
        <f ca="1" t="shared" si="25"/>
        <v>#N/A</v>
      </c>
      <c r="V161" s="98" t="e">
        <f ca="1" t="shared" si="26"/>
        <v>#N/A</v>
      </c>
      <c r="W161" s="98" t="e">
        <f ca="1">OFFSET(装备强化!$U$6,MATCH(图纸产出设计!V162/6*W$26,装备强化!$T$7:$T$306,1),0)*6</f>
        <v>#N/A</v>
      </c>
      <c r="X161" s="98">
        <v>589540</v>
      </c>
      <c r="Y161" s="98">
        <f t="shared" si="32"/>
        <v>4176000</v>
      </c>
      <c r="Z161" s="98">
        <f t="shared" si="23"/>
        <v>2</v>
      </c>
      <c r="AA161" s="147" t="e">
        <f ca="1" t="shared" si="27"/>
        <v>#N/A</v>
      </c>
      <c r="AB161" s="209" t="e">
        <f ca="1" t="shared" si="28"/>
        <v>#N/A</v>
      </c>
      <c r="AC161" s="209">
        <f ca="1">SUMIFS(装备强化!$Q$7:$Q$306,装备强化!$M$7:$M$306,"&lt;="&amp;MATCH(U161/6,装备强化!$U$7:$U$306,1),装备强化!$M$7:$M$306,"&gt;="&amp;MATCH(V161/6,装备强化!$U$7:$U$306,1))*6</f>
        <v>0</v>
      </c>
      <c r="AD161">
        <f ca="1" t="shared" si="33"/>
        <v>0</v>
      </c>
    </row>
    <row r="162" spans="1:30">
      <c r="A162" s="171"/>
      <c r="B162" s="80">
        <v>135</v>
      </c>
      <c r="C162" s="80">
        <f ca="1">OFFSET(产销汇总!$C$12,$B162,$C$26)</f>
        <v>190.5</v>
      </c>
      <c r="D162" s="80">
        <f t="shared" si="29"/>
        <v>14100</v>
      </c>
      <c r="E162" s="80">
        <f ca="1">(SUMIF(主线推图!$B$4:$B$303,"&lt;"&amp;C162,主线推图!$M$4:$M$303)+SUMIF(主线宝箱!$B$320:$B$620,"&lt;"&amp;C162,主线宝箱!$L$320:$L$620)+SUMIF(主线宝箱!$B$320:$B$620,"&lt;"&amp;C162,主线宝箱!$X$320:$X$620)+SUMIF(主线宝箱!$B$320:$B$620,"&lt;"&amp;C162,主线宝箱!$AL$320:$AL$620))</f>
        <v>339000</v>
      </c>
      <c r="F162" s="98">
        <f ca="1">SUMIF(组队产出!$B$24:$B$39,"&lt;="&amp;MAX(1,INT(C162/10-0.6)),组队产出!$R$24:$R$39)</f>
        <v>141000</v>
      </c>
      <c r="G162" s="80">
        <f ca="1">SUMIF(运营活动!$O$3:$O$27,"&lt;="&amp;C162,运营活动!$P$3:$P$27)</f>
        <v>30000</v>
      </c>
      <c r="H162" s="80">
        <f ca="1">OFFSET(产销汇总!$AM$12,B162,$C$26)*24</f>
        <v>998496</v>
      </c>
      <c r="I162" s="172">
        <f ca="1">SUMIF(金币本!$F$2:$F$52,"&lt;="&amp;C162,金币本!$D$2:$D$52)</f>
        <v>1320000</v>
      </c>
      <c r="J162" s="80" t="e">
        <f ca="1">OFFSET(产销汇总!$C$1,MATCH(J$27,产销汇总!$C$2:$C$8,0),$C$26)*(_xlfn.XLOOKUP(C162,主线推图!$B$313:$B$612,主线推图!$C$313:$C$612)+_xlfn.XLOOKUP(C162,主线推图!$B$313:$B$612,主线推图!$D$313:$D$612))</f>
        <v>#N/A</v>
      </c>
      <c r="K162" s="80" t="e">
        <f ca="1">OFFSET(产销汇总!$C$1,MATCH(K$27,产销汇总!$C$2:$C$8,0),$C$26)*_xlfn.XLOOKUP(C162,巡逻产出!$B$311:$B$610,巡逻产出!$C$311:$C$610)*1.3</f>
        <v>#N/A</v>
      </c>
      <c r="L162" s="80" t="e">
        <f ca="1">OFFSET(产销汇总!$C$1,MATCH(L$27,产销汇总!$C$2:$C$8,0),$C$26)*(_xlfn.XLOOKUP(MAX(1,INT(C162/10-6/10)),组队产出!$B$24:$B$39,组队产出!$D$24:$D$39))+OFFSET(产销汇总!$C$1,MATCH(L$27,产销汇总!$C$2:$C$8,0),$C$26)*(_xlfn.XLOOKUP(MAX(1,INT(C162/10-6/10)),组队产出!$B$24:$B$39,组队产出!$C$24:$C$39))</f>
        <v>#N/A</v>
      </c>
      <c r="M162" s="80" t="e">
        <f ca="1">(OFFSET(产销汇总!$C$1,MATCH(M$27,产销汇总!$C$2:$C$8,0),$C$26)*_xlfn.XLOOKUP(C162,巡逻产出!$B$311:$B$610,巡逻产出!$D$311:$D$610))*$M$24</f>
        <v>#N/A</v>
      </c>
      <c r="N162" s="80" t="e">
        <f ca="1">OFFSET(产销汇总!$C$1,MATCH(L$27,产销汇总!$C$2:$C$8,0),$C$26)*(_xlfn.XLOOKUP(MAX(1,INT(C162/10-6/10)),组队产出!$B$24:$B$39,组队产出!$S$24:$S$39))</f>
        <v>#N/A</v>
      </c>
      <c r="O162" s="172">
        <f>任务!$D$36</f>
        <v>2457.14285714286</v>
      </c>
      <c r="P162" s="98">
        <f t="shared" si="24"/>
        <v>428</v>
      </c>
      <c r="Q162" s="80">
        <f t="shared" si="30"/>
        <v>1000</v>
      </c>
      <c r="R162" s="172">
        <f t="shared" si="31"/>
        <v>2000</v>
      </c>
      <c r="S162" s="210">
        <f ca="1">IFERROR(OFFSET(金币本!$E$2,MATCH(C162,金币本!$F$3:$F$302,1),0)*IF($C$26=1,2,3),0)</f>
        <v>38250</v>
      </c>
      <c r="T162" s="172" t="e">
        <f ca="1">SUM($J$28:S162)+SUM(D162:I162)</f>
        <v>#N/A</v>
      </c>
      <c r="U162" s="172" t="e">
        <f ca="1" t="shared" si="25"/>
        <v>#N/A</v>
      </c>
      <c r="V162" s="98" t="e">
        <f ca="1" t="shared" si="26"/>
        <v>#N/A</v>
      </c>
      <c r="W162" s="98" t="e">
        <f ca="1">OFFSET(装备强化!$U$6,MATCH(图纸产出设计!V163/6*W$26,装备强化!$T$7:$T$306,1),0)*6</f>
        <v>#N/A</v>
      </c>
      <c r="X162" s="98">
        <v>589540</v>
      </c>
      <c r="Y162" s="98">
        <f t="shared" si="32"/>
        <v>4208000</v>
      </c>
      <c r="Z162" s="98">
        <f t="shared" si="23"/>
        <v>2</v>
      </c>
      <c r="AA162" s="147" t="e">
        <f ca="1" t="shared" si="27"/>
        <v>#N/A</v>
      </c>
      <c r="AB162" s="209" t="e">
        <f ca="1" t="shared" si="28"/>
        <v>#N/A</v>
      </c>
      <c r="AC162" s="209">
        <f ca="1">SUMIFS(装备强化!$Q$7:$Q$306,装备强化!$M$7:$M$306,"&lt;="&amp;MATCH(U162/6,装备强化!$U$7:$U$306,1),装备强化!$M$7:$M$306,"&gt;="&amp;MATCH(V162/6,装备强化!$U$7:$U$306,1))*6</f>
        <v>0</v>
      </c>
      <c r="AD162">
        <f ca="1" t="shared" si="33"/>
        <v>0</v>
      </c>
    </row>
    <row r="163" spans="1:30">
      <c r="A163" s="171"/>
      <c r="B163" s="80">
        <v>136</v>
      </c>
      <c r="C163" s="80">
        <f ca="1">OFFSET(产销汇总!$C$12,$B163,$C$26)</f>
        <v>191</v>
      </c>
      <c r="D163" s="80">
        <f t="shared" si="29"/>
        <v>14100</v>
      </c>
      <c r="E163" s="80">
        <f ca="1">(SUMIF(主线推图!$B$4:$B$303,"&lt;"&amp;C163,主线推图!$M$4:$M$303)+SUMIF(主线宝箱!$B$320:$B$620,"&lt;"&amp;C163,主线宝箱!$L$320:$L$620)+SUMIF(主线宝箱!$B$320:$B$620,"&lt;"&amp;C163,主线宝箱!$X$320:$X$620)+SUMIF(主线宝箱!$B$320:$B$620,"&lt;"&amp;C163,主线宝箱!$AL$320:$AL$620))</f>
        <v>339000</v>
      </c>
      <c r="F163" s="98">
        <f ca="1">SUMIF(组队产出!$B$24:$B$39,"&lt;="&amp;MAX(1,INT(C163/10-0.6)),组队产出!$R$24:$R$39)</f>
        <v>141000</v>
      </c>
      <c r="G163" s="80">
        <f ca="1">SUMIF(运营活动!$O$3:$O$27,"&lt;="&amp;C163,运营活动!$P$3:$P$27)</f>
        <v>30000</v>
      </c>
      <c r="H163" s="80">
        <f ca="1">OFFSET(产销汇总!$AM$12,B163,$C$26)*24</f>
        <v>1005744</v>
      </c>
      <c r="I163" s="172">
        <f ca="1">SUMIF(金币本!$F$2:$F$52,"&lt;="&amp;C163,金币本!$D$2:$D$52)</f>
        <v>1372000</v>
      </c>
      <c r="J163" s="80">
        <f ca="1">OFFSET(产销汇总!$C$1,MATCH(J$27,产销汇总!$C$2:$C$8,0),$C$26)*(_xlfn.XLOOKUP(C163,主线推图!$B$313:$B$612,主线推图!$C$313:$C$612)+_xlfn.XLOOKUP(C163,主线推图!$B$313:$B$612,主线推图!$D$313:$D$612))</f>
        <v>14520</v>
      </c>
      <c r="K163" s="80">
        <f ca="1">OFFSET(产销汇总!$C$1,MATCH(K$27,产销汇总!$C$2:$C$8,0),$C$26)*_xlfn.XLOOKUP(C163,巡逻产出!$B$311:$B$610,巡逻产出!$C$311:$C$610)*1.3</f>
        <v>0</v>
      </c>
      <c r="L163" s="80" t="e">
        <f ca="1">OFFSET(产销汇总!$C$1,MATCH(L$27,产销汇总!$C$2:$C$8,0),$C$26)*(_xlfn.XLOOKUP(MAX(1,INT(C163/10-6/10)),组队产出!$B$24:$B$39,组队产出!$D$24:$D$39))+OFFSET(产销汇总!$C$1,MATCH(L$27,产销汇总!$C$2:$C$8,0),$C$26)*(_xlfn.XLOOKUP(MAX(1,INT(C163/10-6/10)),组队产出!$B$24:$B$39,组队产出!$C$24:$C$39))</f>
        <v>#N/A</v>
      </c>
      <c r="M163" s="80">
        <f ca="1">(OFFSET(产销汇总!$C$1,MATCH(M$27,产销汇总!$C$2:$C$8,0),$C$26)*_xlfn.XLOOKUP(C163,巡逻产出!$B$311:$B$610,巡逻产出!$D$311:$D$610))*$M$24</f>
        <v>10296</v>
      </c>
      <c r="N163" s="80" t="e">
        <f ca="1">OFFSET(产销汇总!$C$1,MATCH(L$27,产销汇总!$C$2:$C$8,0),$C$26)*(_xlfn.XLOOKUP(MAX(1,INT(C163/10-6/10)),组队产出!$B$24:$B$39,组队产出!$S$24:$S$39))</f>
        <v>#N/A</v>
      </c>
      <c r="O163" s="172">
        <f>任务!$D$36</f>
        <v>2457.14285714286</v>
      </c>
      <c r="P163" s="98">
        <f t="shared" si="24"/>
        <v>428</v>
      </c>
      <c r="Q163" s="80">
        <f t="shared" si="30"/>
        <v>1000</v>
      </c>
      <c r="R163" s="172">
        <f t="shared" si="31"/>
        <v>2000</v>
      </c>
      <c r="S163" s="210">
        <f ca="1">IFERROR(OFFSET(金币本!$E$2,MATCH(C163,金币本!$F$3:$F$302,1),0)*IF($C$26=1,2,3),0)</f>
        <v>39000</v>
      </c>
      <c r="T163" s="172" t="e">
        <f ca="1">SUM($J$28:S163)+SUM(D163:I163)</f>
        <v>#N/A</v>
      </c>
      <c r="U163" s="172" t="e">
        <f ca="1" t="shared" si="25"/>
        <v>#N/A</v>
      </c>
      <c r="V163" s="98" t="e">
        <f ca="1" t="shared" si="26"/>
        <v>#N/A</v>
      </c>
      <c r="W163" s="98" t="e">
        <f ca="1">OFFSET(装备强化!$U$6,MATCH(图纸产出设计!V164/6*W$26,装备强化!$T$7:$T$306,1),0)*6</f>
        <v>#N/A</v>
      </c>
      <c r="X163" s="98">
        <v>598660</v>
      </c>
      <c r="Y163" s="98">
        <f t="shared" si="32"/>
        <v>4240000</v>
      </c>
      <c r="Z163" s="98">
        <f t="shared" si="23"/>
        <v>2</v>
      </c>
      <c r="AA163" s="147" t="e">
        <f ca="1" t="shared" si="27"/>
        <v>#N/A</v>
      </c>
      <c r="AB163" s="209" t="e">
        <f ca="1" t="shared" si="28"/>
        <v>#N/A</v>
      </c>
      <c r="AC163" s="209">
        <f ca="1">SUMIFS(装备强化!$Q$7:$Q$306,装备强化!$M$7:$M$306,"&lt;="&amp;MATCH(U163/6,装备强化!$U$7:$U$306,1),装备强化!$M$7:$M$306,"&gt;="&amp;MATCH(V163/6,装备强化!$U$7:$U$306,1))*6</f>
        <v>0</v>
      </c>
      <c r="AD163">
        <f ca="1" t="shared" si="33"/>
        <v>0</v>
      </c>
    </row>
    <row r="164" spans="1:30">
      <c r="A164" s="171"/>
      <c r="B164" s="80">
        <v>137</v>
      </c>
      <c r="C164" s="80">
        <f ca="1">OFFSET(产销汇总!$C$12,$B164,$C$26)</f>
        <v>191.5</v>
      </c>
      <c r="D164" s="80">
        <f t="shared" si="29"/>
        <v>14100</v>
      </c>
      <c r="E164" s="80">
        <f ca="1">(SUMIF(主线推图!$B$4:$B$303,"&lt;"&amp;C164,主线推图!$M$4:$M$303)+SUMIF(主线宝箱!$B$320:$B$620,"&lt;"&amp;C164,主线宝箱!$L$320:$L$620)+SUMIF(主线宝箱!$B$320:$B$620,"&lt;"&amp;C164,主线宝箱!$X$320:$X$620)+SUMIF(主线宝箱!$B$320:$B$620,"&lt;"&amp;C164,主线宝箱!$AL$320:$AL$620))</f>
        <v>340800</v>
      </c>
      <c r="F164" s="98">
        <f ca="1">SUMIF(组队产出!$B$24:$B$39,"&lt;="&amp;MAX(1,INT(C164/10-0.6)),组队产出!$R$24:$R$39)</f>
        <v>141000</v>
      </c>
      <c r="G164" s="80">
        <f ca="1">SUMIF(运营活动!$O$3:$O$27,"&lt;="&amp;C164,运营活动!$P$3:$P$27)</f>
        <v>30000</v>
      </c>
      <c r="H164" s="80">
        <f ca="1">OFFSET(产销汇总!$AM$12,B164,$C$26)*24</f>
        <v>1012992</v>
      </c>
      <c r="I164" s="172">
        <f ca="1">SUMIF(金币本!$F$2:$F$52,"&lt;="&amp;C164,金币本!$D$2:$D$52)</f>
        <v>1372000</v>
      </c>
      <c r="J164" s="80" t="e">
        <f ca="1">OFFSET(产销汇总!$C$1,MATCH(J$27,产销汇总!$C$2:$C$8,0),$C$26)*(_xlfn.XLOOKUP(C164,主线推图!$B$313:$B$612,主线推图!$C$313:$C$612)+_xlfn.XLOOKUP(C164,主线推图!$B$313:$B$612,主线推图!$D$313:$D$612))</f>
        <v>#N/A</v>
      </c>
      <c r="K164" s="80" t="e">
        <f ca="1">OFFSET(产销汇总!$C$1,MATCH(K$27,产销汇总!$C$2:$C$8,0),$C$26)*_xlfn.XLOOKUP(C164,巡逻产出!$B$311:$B$610,巡逻产出!$C$311:$C$610)*1.3</f>
        <v>#N/A</v>
      </c>
      <c r="L164" s="80" t="e">
        <f ca="1">OFFSET(产销汇总!$C$1,MATCH(L$27,产销汇总!$C$2:$C$8,0),$C$26)*(_xlfn.XLOOKUP(MAX(1,INT(C164/10-6/10)),组队产出!$B$24:$B$39,组队产出!$D$24:$D$39))+OFFSET(产销汇总!$C$1,MATCH(L$27,产销汇总!$C$2:$C$8,0),$C$26)*(_xlfn.XLOOKUP(MAX(1,INT(C164/10-6/10)),组队产出!$B$24:$B$39,组队产出!$C$24:$C$39))</f>
        <v>#N/A</v>
      </c>
      <c r="M164" s="80" t="e">
        <f ca="1">(OFFSET(产销汇总!$C$1,MATCH(M$27,产销汇总!$C$2:$C$8,0),$C$26)*_xlfn.XLOOKUP(C164,巡逻产出!$B$311:$B$610,巡逻产出!$D$311:$D$610))*$M$24</f>
        <v>#N/A</v>
      </c>
      <c r="N164" s="80" t="e">
        <f ca="1">OFFSET(产销汇总!$C$1,MATCH(L$27,产销汇总!$C$2:$C$8,0),$C$26)*(_xlfn.XLOOKUP(MAX(1,INT(C164/10-6/10)),组队产出!$B$24:$B$39,组队产出!$S$24:$S$39))</f>
        <v>#N/A</v>
      </c>
      <c r="O164" s="172">
        <f>任务!$D$36</f>
        <v>2457.14285714286</v>
      </c>
      <c r="P164" s="98">
        <f t="shared" si="24"/>
        <v>428</v>
      </c>
      <c r="Q164" s="80">
        <f t="shared" si="30"/>
        <v>1000</v>
      </c>
      <c r="R164" s="172">
        <f t="shared" si="31"/>
        <v>2000</v>
      </c>
      <c r="S164" s="210">
        <f ca="1">IFERROR(OFFSET(金币本!$E$2,MATCH(C164,金币本!$F$3:$F$302,1),0)*IF($C$26=1,2,3),0)</f>
        <v>39000</v>
      </c>
      <c r="T164" s="172" t="e">
        <f ca="1">SUM($J$28:S164)+SUM(D164:I164)</f>
        <v>#N/A</v>
      </c>
      <c r="U164" s="172" t="e">
        <f ca="1" t="shared" si="25"/>
        <v>#N/A</v>
      </c>
      <c r="V164" s="98" t="e">
        <f ca="1" t="shared" si="26"/>
        <v>#N/A</v>
      </c>
      <c r="W164" s="98" t="e">
        <f ca="1">OFFSET(装备强化!$U$6,MATCH(图纸产出设计!V165/6*W$26,装备强化!$T$7:$T$306,1),0)*6</f>
        <v>#N/A</v>
      </c>
      <c r="X164" s="98">
        <v>598660</v>
      </c>
      <c r="Y164" s="98">
        <f t="shared" si="32"/>
        <v>4272000</v>
      </c>
      <c r="Z164" s="98">
        <f t="shared" si="23"/>
        <v>2</v>
      </c>
      <c r="AA164" s="147" t="e">
        <f ca="1" t="shared" si="27"/>
        <v>#N/A</v>
      </c>
      <c r="AB164" s="209" t="e">
        <f ca="1" t="shared" si="28"/>
        <v>#N/A</v>
      </c>
      <c r="AC164" s="209">
        <f ca="1">SUMIFS(装备强化!$Q$7:$Q$306,装备强化!$M$7:$M$306,"&lt;="&amp;MATCH(U164/6,装备强化!$U$7:$U$306,1),装备强化!$M$7:$M$306,"&gt;="&amp;MATCH(V164/6,装备强化!$U$7:$U$306,1))*6</f>
        <v>0</v>
      </c>
      <c r="AD164">
        <f ca="1" t="shared" si="33"/>
        <v>0</v>
      </c>
    </row>
    <row r="165" spans="1:30">
      <c r="A165" s="171"/>
      <c r="B165" s="80">
        <v>138</v>
      </c>
      <c r="C165" s="80">
        <f ca="1">OFFSET(产销汇总!$C$12,$B165,$C$26)</f>
        <v>192</v>
      </c>
      <c r="D165" s="80">
        <f t="shared" si="29"/>
        <v>14100</v>
      </c>
      <c r="E165" s="80">
        <f ca="1">(SUMIF(主线推图!$B$4:$B$303,"&lt;"&amp;C165,主线推图!$M$4:$M$303)+SUMIF(主线宝箱!$B$320:$B$620,"&lt;"&amp;C165,主线宝箱!$L$320:$L$620)+SUMIF(主线宝箱!$B$320:$B$620,"&lt;"&amp;C165,主线宝箱!$X$320:$X$620)+SUMIF(主线宝箱!$B$320:$B$620,"&lt;"&amp;C165,主线宝箱!$AL$320:$AL$620))</f>
        <v>340800</v>
      </c>
      <c r="F165" s="98">
        <f ca="1">SUMIF(组队产出!$B$24:$B$39,"&lt;="&amp;MAX(1,INT(C165/10-0.6)),组队产出!$R$24:$R$39)</f>
        <v>141000</v>
      </c>
      <c r="G165" s="80">
        <f ca="1">SUMIF(运营活动!$O$3:$O$27,"&lt;="&amp;C165,运营活动!$P$3:$P$27)</f>
        <v>30000</v>
      </c>
      <c r="H165" s="80">
        <f ca="1">OFFSET(产销汇总!$AM$12,B165,$C$26)*24</f>
        <v>1020240</v>
      </c>
      <c r="I165" s="172">
        <f ca="1">SUMIF(金币本!$F$2:$F$52,"&lt;="&amp;C165,金币本!$D$2:$D$52)</f>
        <v>1372000</v>
      </c>
      <c r="J165" s="80">
        <f ca="1">OFFSET(产销汇总!$C$1,MATCH(J$27,产销汇总!$C$2:$C$8,0),$C$26)*(_xlfn.XLOOKUP(C165,主线推图!$B$313:$B$612,主线推图!$C$313:$C$612)+_xlfn.XLOOKUP(C165,主线推图!$B$313:$B$612,主线推图!$D$313:$D$612))</f>
        <v>14564</v>
      </c>
      <c r="K165" s="80">
        <f ca="1">OFFSET(产销汇总!$C$1,MATCH(K$27,产销汇总!$C$2:$C$8,0),$C$26)*_xlfn.XLOOKUP(C165,巡逻产出!$B$311:$B$610,巡逻产出!$C$311:$C$610)*1.3</f>
        <v>0</v>
      </c>
      <c r="L165" s="80" t="e">
        <f ca="1">OFFSET(产销汇总!$C$1,MATCH(L$27,产销汇总!$C$2:$C$8,0),$C$26)*(_xlfn.XLOOKUP(MAX(1,INT(C165/10-6/10)),组队产出!$B$24:$B$39,组队产出!$D$24:$D$39))+OFFSET(产销汇总!$C$1,MATCH(L$27,产销汇总!$C$2:$C$8,0),$C$26)*(_xlfn.XLOOKUP(MAX(1,INT(C165/10-6/10)),组队产出!$B$24:$B$39,组队产出!$C$24:$C$39))</f>
        <v>#N/A</v>
      </c>
      <c r="M165" s="80">
        <f ca="1">(OFFSET(产销汇总!$C$1,MATCH(M$27,产销汇总!$C$2:$C$8,0),$C$26)*_xlfn.XLOOKUP(C165,巡逻产出!$B$311:$B$610,巡逻产出!$D$311:$D$610))*$M$24</f>
        <v>10327.2</v>
      </c>
      <c r="N165" s="80" t="e">
        <f ca="1">OFFSET(产销汇总!$C$1,MATCH(L$27,产销汇总!$C$2:$C$8,0),$C$26)*(_xlfn.XLOOKUP(MAX(1,INT(C165/10-6/10)),组队产出!$B$24:$B$39,组队产出!$S$24:$S$39))</f>
        <v>#N/A</v>
      </c>
      <c r="O165" s="172">
        <f>任务!$D$36</f>
        <v>2457.14285714286</v>
      </c>
      <c r="P165" s="98">
        <f t="shared" si="24"/>
        <v>428</v>
      </c>
      <c r="Q165" s="80">
        <f t="shared" si="30"/>
        <v>1000</v>
      </c>
      <c r="R165" s="172">
        <f t="shared" si="31"/>
        <v>2000</v>
      </c>
      <c r="S165" s="210">
        <f ca="1">IFERROR(OFFSET(金币本!$E$2,MATCH(C165,金币本!$F$3:$F$302,1),0)*IF($C$26=1,2,3),0)</f>
        <v>39000</v>
      </c>
      <c r="T165" s="172" t="e">
        <f ca="1">SUM($J$28:S165)+SUM(D165:I165)</f>
        <v>#N/A</v>
      </c>
      <c r="U165" s="172" t="e">
        <f ca="1" t="shared" si="25"/>
        <v>#N/A</v>
      </c>
      <c r="V165" s="98" t="e">
        <f ca="1" t="shared" si="26"/>
        <v>#N/A</v>
      </c>
      <c r="W165" s="98" t="e">
        <f ca="1">OFFSET(装备强化!$U$6,MATCH(图纸产出设计!V166/6*W$26,装备强化!$T$7:$T$306,1),0)*6</f>
        <v>#N/A</v>
      </c>
      <c r="X165" s="98">
        <v>607850</v>
      </c>
      <c r="Y165" s="98">
        <f t="shared" si="32"/>
        <v>4304000</v>
      </c>
      <c r="Z165" s="98">
        <f t="shared" ref="Z165:Z228" si="34">Z164</f>
        <v>2</v>
      </c>
      <c r="AA165" s="147" t="e">
        <f ca="1" t="shared" si="27"/>
        <v>#N/A</v>
      </c>
      <c r="AB165" s="209" t="e">
        <f ca="1" t="shared" si="28"/>
        <v>#N/A</v>
      </c>
      <c r="AC165" s="209">
        <f ca="1">SUMIFS(装备强化!$Q$7:$Q$306,装备强化!$M$7:$M$306,"&lt;="&amp;MATCH(U165/6,装备强化!$U$7:$U$306,1),装备强化!$M$7:$M$306,"&gt;="&amp;MATCH(V165/6,装备强化!$U$7:$U$306,1))*6</f>
        <v>0</v>
      </c>
      <c r="AD165">
        <f ca="1" t="shared" si="33"/>
        <v>0</v>
      </c>
    </row>
    <row r="166" spans="1:30">
      <c r="A166" s="171"/>
      <c r="B166" s="80">
        <v>139</v>
      </c>
      <c r="C166" s="80">
        <f ca="1">OFFSET(产销汇总!$C$12,$B166,$C$26)</f>
        <v>192.5</v>
      </c>
      <c r="D166" s="80">
        <f t="shared" si="29"/>
        <v>14100</v>
      </c>
      <c r="E166" s="80">
        <f ca="1">(SUMIF(主线推图!$B$4:$B$303,"&lt;"&amp;C166,主线推图!$M$4:$M$303)+SUMIF(主线宝箱!$B$320:$B$620,"&lt;"&amp;C166,主线宝箱!$L$320:$L$620)+SUMIF(主线宝箱!$B$320:$B$620,"&lt;"&amp;C166,主线宝箱!$X$320:$X$620)+SUMIF(主线宝箱!$B$320:$B$620,"&lt;"&amp;C166,主线宝箱!$AL$320:$AL$620))</f>
        <v>342600</v>
      </c>
      <c r="F166" s="98">
        <f ca="1">SUMIF(组队产出!$B$24:$B$39,"&lt;="&amp;MAX(1,INT(C166/10-0.6)),组队产出!$R$24:$R$39)</f>
        <v>141000</v>
      </c>
      <c r="G166" s="80">
        <f ca="1">SUMIF(运营活动!$O$3:$O$27,"&lt;="&amp;C166,运营活动!$P$3:$P$27)</f>
        <v>30000</v>
      </c>
      <c r="H166" s="80">
        <f ca="1">OFFSET(产销汇总!$AM$12,B166,$C$26)*24</f>
        <v>1027488</v>
      </c>
      <c r="I166" s="172">
        <f ca="1">SUMIF(金币本!$F$2:$F$52,"&lt;="&amp;C166,金币本!$D$2:$D$52)</f>
        <v>1372000</v>
      </c>
      <c r="J166" s="80" t="e">
        <f ca="1">OFFSET(产销汇总!$C$1,MATCH(J$27,产销汇总!$C$2:$C$8,0),$C$26)*(_xlfn.XLOOKUP(C166,主线推图!$B$313:$B$612,主线推图!$C$313:$C$612)+_xlfn.XLOOKUP(C166,主线推图!$B$313:$B$612,主线推图!$D$313:$D$612))</f>
        <v>#N/A</v>
      </c>
      <c r="K166" s="80" t="e">
        <f ca="1">OFFSET(产销汇总!$C$1,MATCH(K$27,产销汇总!$C$2:$C$8,0),$C$26)*_xlfn.XLOOKUP(C166,巡逻产出!$B$311:$B$610,巡逻产出!$C$311:$C$610)*1.3</f>
        <v>#N/A</v>
      </c>
      <c r="L166" s="80" t="e">
        <f ca="1">OFFSET(产销汇总!$C$1,MATCH(L$27,产销汇总!$C$2:$C$8,0),$C$26)*(_xlfn.XLOOKUP(MAX(1,INT(C166/10-6/10)),组队产出!$B$24:$B$39,组队产出!$D$24:$D$39))+OFFSET(产销汇总!$C$1,MATCH(L$27,产销汇总!$C$2:$C$8,0),$C$26)*(_xlfn.XLOOKUP(MAX(1,INT(C166/10-6/10)),组队产出!$B$24:$B$39,组队产出!$C$24:$C$39))</f>
        <v>#N/A</v>
      </c>
      <c r="M166" s="80" t="e">
        <f ca="1">(OFFSET(产销汇总!$C$1,MATCH(M$27,产销汇总!$C$2:$C$8,0),$C$26)*_xlfn.XLOOKUP(C166,巡逻产出!$B$311:$B$610,巡逻产出!$D$311:$D$610))*$M$24</f>
        <v>#N/A</v>
      </c>
      <c r="N166" s="80" t="e">
        <f ca="1">OFFSET(产销汇总!$C$1,MATCH(L$27,产销汇总!$C$2:$C$8,0),$C$26)*(_xlfn.XLOOKUP(MAX(1,INT(C166/10-6/10)),组队产出!$B$24:$B$39,组队产出!$S$24:$S$39))</f>
        <v>#N/A</v>
      </c>
      <c r="O166" s="172">
        <f>任务!$D$36</f>
        <v>2457.14285714286</v>
      </c>
      <c r="P166" s="98">
        <f t="shared" si="24"/>
        <v>428</v>
      </c>
      <c r="Q166" s="80">
        <f t="shared" si="30"/>
        <v>1000</v>
      </c>
      <c r="R166" s="172">
        <f t="shared" si="31"/>
        <v>2000</v>
      </c>
      <c r="S166" s="210">
        <f ca="1">IFERROR(OFFSET(金币本!$E$2,MATCH(C166,金币本!$F$3:$F$302,1),0)*IF($C$26=1,2,3),0)</f>
        <v>39000</v>
      </c>
      <c r="T166" s="172" t="e">
        <f ca="1">SUM($J$28:S166)+SUM(D166:I166)</f>
        <v>#N/A</v>
      </c>
      <c r="U166" s="172" t="e">
        <f ca="1" t="shared" si="25"/>
        <v>#N/A</v>
      </c>
      <c r="V166" s="98" t="e">
        <f ca="1" t="shared" si="26"/>
        <v>#N/A</v>
      </c>
      <c r="W166" s="98" t="e">
        <f ca="1">OFFSET(装备强化!$U$6,MATCH(图纸产出设计!V167/6*W$26,装备强化!$T$7:$T$306,1),0)*6</f>
        <v>#N/A</v>
      </c>
      <c r="X166" s="98">
        <v>607850</v>
      </c>
      <c r="Y166" s="98">
        <f t="shared" si="32"/>
        <v>4336000</v>
      </c>
      <c r="Z166" s="98">
        <f t="shared" si="34"/>
        <v>2</v>
      </c>
      <c r="AA166" s="147" t="e">
        <f ca="1" t="shared" si="27"/>
        <v>#N/A</v>
      </c>
      <c r="AB166" s="209" t="e">
        <f ca="1" t="shared" si="28"/>
        <v>#N/A</v>
      </c>
      <c r="AC166" s="209">
        <f ca="1">SUMIFS(装备强化!$Q$7:$Q$306,装备强化!$M$7:$M$306,"&lt;="&amp;MATCH(U166/6,装备强化!$U$7:$U$306,1),装备强化!$M$7:$M$306,"&gt;="&amp;MATCH(V166/6,装备强化!$U$7:$U$306,1))*6</f>
        <v>0</v>
      </c>
      <c r="AD166">
        <f ca="1" t="shared" si="33"/>
        <v>0</v>
      </c>
    </row>
    <row r="167" spans="1:30">
      <c r="A167" s="171"/>
      <c r="B167" s="80">
        <v>140</v>
      </c>
      <c r="C167" s="80">
        <f ca="1">OFFSET(产销汇总!$C$12,$B167,$C$26)</f>
        <v>193</v>
      </c>
      <c r="D167" s="80">
        <f t="shared" si="29"/>
        <v>14100</v>
      </c>
      <c r="E167" s="80">
        <f ca="1">(SUMIF(主线推图!$B$4:$B$303,"&lt;"&amp;C167,主线推图!$M$4:$M$303)+SUMIF(主线宝箱!$B$320:$B$620,"&lt;"&amp;C167,主线宝箱!$L$320:$L$620)+SUMIF(主线宝箱!$B$320:$B$620,"&lt;"&amp;C167,主线宝箱!$X$320:$X$620)+SUMIF(主线宝箱!$B$320:$B$620,"&lt;"&amp;C167,主线宝箱!$AL$320:$AL$620))</f>
        <v>342600</v>
      </c>
      <c r="F167" s="98">
        <f ca="1">SUMIF(组队产出!$B$24:$B$39,"&lt;="&amp;MAX(1,INT(C167/10-0.6)),组队产出!$R$24:$R$39)</f>
        <v>141000</v>
      </c>
      <c r="G167" s="80">
        <f ca="1">SUMIF(运营活动!$O$3:$O$27,"&lt;="&amp;C167,运营活动!$P$3:$P$27)</f>
        <v>30000</v>
      </c>
      <c r="H167" s="80">
        <f ca="1">OFFSET(产销汇总!$AM$12,B167,$C$26)*24</f>
        <v>1034736</v>
      </c>
      <c r="I167" s="172">
        <f ca="1">SUMIF(金币本!$F$2:$F$52,"&lt;="&amp;C167,金币本!$D$2:$D$52)</f>
        <v>1372000</v>
      </c>
      <c r="J167" s="80">
        <f ca="1">OFFSET(产销汇总!$C$1,MATCH(J$27,产销汇总!$C$2:$C$8,0),$C$26)*(_xlfn.XLOOKUP(C167,主线推图!$B$313:$B$612,主线推图!$C$313:$C$612)+_xlfn.XLOOKUP(C167,主线推图!$B$313:$B$612,主线推图!$D$313:$D$612))</f>
        <v>14608</v>
      </c>
      <c r="K167" s="80">
        <f ca="1">OFFSET(产销汇总!$C$1,MATCH(K$27,产销汇总!$C$2:$C$8,0),$C$26)*_xlfn.XLOOKUP(C167,巡逻产出!$B$311:$B$610,巡逻产出!$C$311:$C$610)*1.3</f>
        <v>0</v>
      </c>
      <c r="L167" s="80" t="e">
        <f ca="1">OFFSET(产销汇总!$C$1,MATCH(L$27,产销汇总!$C$2:$C$8,0),$C$26)*(_xlfn.XLOOKUP(MAX(1,INT(C167/10-6/10)),组队产出!$B$24:$B$39,组队产出!$D$24:$D$39))+OFFSET(产销汇总!$C$1,MATCH(L$27,产销汇总!$C$2:$C$8,0),$C$26)*(_xlfn.XLOOKUP(MAX(1,INT(C167/10-6/10)),组队产出!$B$24:$B$39,组队产出!$C$24:$C$39))</f>
        <v>#N/A</v>
      </c>
      <c r="M167" s="80">
        <f ca="1">(OFFSET(产销汇总!$C$1,MATCH(M$27,产销汇总!$C$2:$C$8,0),$C$26)*_xlfn.XLOOKUP(C167,巡逻产出!$B$311:$B$610,巡逻产出!$D$311:$D$610))*$M$24</f>
        <v>10358.4</v>
      </c>
      <c r="N167" s="80" t="e">
        <f ca="1">OFFSET(产销汇总!$C$1,MATCH(L$27,产销汇总!$C$2:$C$8,0),$C$26)*(_xlfn.XLOOKUP(MAX(1,INT(C167/10-6/10)),组队产出!$B$24:$B$39,组队产出!$S$24:$S$39))</f>
        <v>#N/A</v>
      </c>
      <c r="O167" s="172">
        <f>任务!$D$36</f>
        <v>2457.14285714286</v>
      </c>
      <c r="P167" s="98">
        <f t="shared" si="24"/>
        <v>428</v>
      </c>
      <c r="Q167" s="80">
        <f t="shared" si="30"/>
        <v>1000</v>
      </c>
      <c r="R167" s="172">
        <f t="shared" si="31"/>
        <v>2000</v>
      </c>
      <c r="S167" s="210">
        <f ca="1">IFERROR(OFFSET(金币本!$E$2,MATCH(C167,金币本!$F$3:$F$302,1),0)*IF($C$26=1,2,3),0)</f>
        <v>39000</v>
      </c>
      <c r="T167" s="172" t="e">
        <f ca="1">SUM($J$28:S167)+SUM(D167:I167)</f>
        <v>#N/A</v>
      </c>
      <c r="U167" s="172" t="e">
        <f ca="1" t="shared" si="25"/>
        <v>#N/A</v>
      </c>
      <c r="V167" s="98" t="e">
        <f ca="1" t="shared" si="26"/>
        <v>#N/A</v>
      </c>
      <c r="W167" s="98" t="e">
        <f ca="1">OFFSET(装备强化!$U$6,MATCH(图纸产出设计!V168/6*W$26,装备强化!$T$7:$T$306,1),0)*6</f>
        <v>#N/A</v>
      </c>
      <c r="X167" s="98">
        <v>617110</v>
      </c>
      <c r="Y167" s="98">
        <f t="shared" si="32"/>
        <v>4368000</v>
      </c>
      <c r="Z167" s="98">
        <f t="shared" si="34"/>
        <v>2</v>
      </c>
      <c r="AA167" s="147" t="e">
        <f ca="1" t="shared" si="27"/>
        <v>#N/A</v>
      </c>
      <c r="AB167" s="209" t="e">
        <f ca="1" t="shared" si="28"/>
        <v>#N/A</v>
      </c>
      <c r="AC167" s="209">
        <f ca="1">SUMIFS(装备强化!$Q$7:$Q$306,装备强化!$M$7:$M$306,"&lt;="&amp;MATCH(U167/6,装备强化!$U$7:$U$306,1),装备强化!$M$7:$M$306,"&gt;="&amp;MATCH(V167/6,装备强化!$U$7:$U$306,1))*6</f>
        <v>0</v>
      </c>
      <c r="AD167">
        <f ca="1" t="shared" si="33"/>
        <v>0</v>
      </c>
    </row>
    <row r="168" spans="1:30">
      <c r="A168" s="171"/>
      <c r="B168" s="80">
        <v>141</v>
      </c>
      <c r="C168" s="80">
        <f ca="1">OFFSET(产销汇总!$C$12,$B168,$C$26)</f>
        <v>193.5</v>
      </c>
      <c r="D168" s="80">
        <f t="shared" si="29"/>
        <v>14100</v>
      </c>
      <c r="E168" s="80">
        <f ca="1">(SUMIF(主线推图!$B$4:$B$303,"&lt;"&amp;C168,主线推图!$M$4:$M$303)+SUMIF(主线宝箱!$B$320:$B$620,"&lt;"&amp;C168,主线宝箱!$L$320:$L$620)+SUMIF(主线宝箱!$B$320:$B$620,"&lt;"&amp;C168,主线宝箱!$X$320:$X$620)+SUMIF(主线宝箱!$B$320:$B$620,"&lt;"&amp;C168,主线宝箱!$AL$320:$AL$620))</f>
        <v>344400</v>
      </c>
      <c r="F168" s="98">
        <f ca="1">SUMIF(组队产出!$B$24:$B$39,"&lt;="&amp;MAX(1,INT(C168/10-0.6)),组队产出!$R$24:$R$39)</f>
        <v>141000</v>
      </c>
      <c r="G168" s="80">
        <f ca="1">SUMIF(运营活动!$O$3:$O$27,"&lt;="&amp;C168,运营活动!$P$3:$P$27)</f>
        <v>30000</v>
      </c>
      <c r="H168" s="80">
        <f ca="1">OFFSET(产销汇总!$AM$12,B168,$C$26)*24</f>
        <v>1041984</v>
      </c>
      <c r="I168" s="172">
        <f ca="1">SUMIF(金币本!$F$2:$F$52,"&lt;="&amp;C168,金币本!$D$2:$D$52)</f>
        <v>1372000</v>
      </c>
      <c r="J168" s="80" t="e">
        <f ca="1">OFFSET(产销汇总!$C$1,MATCH(J$27,产销汇总!$C$2:$C$8,0),$C$26)*(_xlfn.XLOOKUP(C168,主线推图!$B$313:$B$612,主线推图!$C$313:$C$612)+_xlfn.XLOOKUP(C168,主线推图!$B$313:$B$612,主线推图!$D$313:$D$612))</f>
        <v>#N/A</v>
      </c>
      <c r="K168" s="80" t="e">
        <f ca="1">OFFSET(产销汇总!$C$1,MATCH(K$27,产销汇总!$C$2:$C$8,0),$C$26)*_xlfn.XLOOKUP(C168,巡逻产出!$B$311:$B$610,巡逻产出!$C$311:$C$610)*1.3</f>
        <v>#N/A</v>
      </c>
      <c r="L168" s="80" t="e">
        <f ca="1">OFFSET(产销汇总!$C$1,MATCH(L$27,产销汇总!$C$2:$C$8,0),$C$26)*(_xlfn.XLOOKUP(MAX(1,INT(C168/10-6/10)),组队产出!$B$24:$B$39,组队产出!$D$24:$D$39))+OFFSET(产销汇总!$C$1,MATCH(L$27,产销汇总!$C$2:$C$8,0),$C$26)*(_xlfn.XLOOKUP(MAX(1,INT(C168/10-6/10)),组队产出!$B$24:$B$39,组队产出!$C$24:$C$39))</f>
        <v>#N/A</v>
      </c>
      <c r="M168" s="80" t="e">
        <f ca="1">(OFFSET(产销汇总!$C$1,MATCH(M$27,产销汇总!$C$2:$C$8,0),$C$26)*_xlfn.XLOOKUP(C168,巡逻产出!$B$311:$B$610,巡逻产出!$D$311:$D$610))*$M$24</f>
        <v>#N/A</v>
      </c>
      <c r="N168" s="80" t="e">
        <f ca="1">OFFSET(产销汇总!$C$1,MATCH(L$27,产销汇总!$C$2:$C$8,0),$C$26)*(_xlfn.XLOOKUP(MAX(1,INT(C168/10-6/10)),组队产出!$B$24:$B$39,组队产出!$S$24:$S$39))</f>
        <v>#N/A</v>
      </c>
      <c r="O168" s="172">
        <f>任务!$D$36</f>
        <v>2457.14285714286</v>
      </c>
      <c r="P168" s="98">
        <f t="shared" si="24"/>
        <v>428</v>
      </c>
      <c r="Q168" s="80">
        <f t="shared" si="30"/>
        <v>1500</v>
      </c>
      <c r="R168" s="172">
        <f t="shared" si="31"/>
        <v>2000</v>
      </c>
      <c r="S168" s="210">
        <f ca="1">IFERROR(OFFSET(金币本!$E$2,MATCH(C168,金币本!$F$3:$F$302,1),0)*IF($C$26=1,2,3),0)</f>
        <v>39000</v>
      </c>
      <c r="T168" s="172" t="e">
        <f ca="1">SUM($J$28:S168)+SUM(D168:I168)</f>
        <v>#N/A</v>
      </c>
      <c r="U168" s="172" t="e">
        <f ca="1" t="shared" si="25"/>
        <v>#N/A</v>
      </c>
      <c r="V168" s="98" t="e">
        <f ca="1" t="shared" si="26"/>
        <v>#N/A</v>
      </c>
      <c r="W168" s="98" t="e">
        <f ca="1">OFFSET(装备强化!$U$6,MATCH(图纸产出设计!V169/6*W$26,装备强化!$T$7:$T$306,1),0)*6</f>
        <v>#N/A</v>
      </c>
      <c r="X168" s="98">
        <v>617110</v>
      </c>
      <c r="Y168" s="98">
        <f t="shared" si="32"/>
        <v>4400000</v>
      </c>
      <c r="Z168" s="98">
        <f t="shared" si="34"/>
        <v>2</v>
      </c>
      <c r="AA168" s="147" t="e">
        <f ca="1" t="shared" si="27"/>
        <v>#N/A</v>
      </c>
      <c r="AB168" s="209" t="e">
        <f ca="1" t="shared" si="28"/>
        <v>#N/A</v>
      </c>
      <c r="AC168" s="209">
        <f ca="1">SUMIFS(装备强化!$Q$7:$Q$306,装备强化!$M$7:$M$306,"&lt;="&amp;MATCH(U168/6,装备强化!$U$7:$U$306,1),装备强化!$M$7:$M$306,"&gt;="&amp;MATCH(V168/6,装备强化!$U$7:$U$306,1))*6</f>
        <v>0</v>
      </c>
      <c r="AD168">
        <f ca="1" t="shared" si="33"/>
        <v>0</v>
      </c>
    </row>
    <row r="169" spans="1:30">
      <c r="A169" s="171"/>
      <c r="B169" s="80">
        <v>142</v>
      </c>
      <c r="C169" s="80">
        <f ca="1">OFFSET(产销汇总!$C$12,$B169,$C$26)</f>
        <v>194</v>
      </c>
      <c r="D169" s="80">
        <f t="shared" si="29"/>
        <v>14100</v>
      </c>
      <c r="E169" s="80">
        <f ca="1">(SUMIF(主线推图!$B$4:$B$303,"&lt;"&amp;C169,主线推图!$M$4:$M$303)+SUMIF(主线宝箱!$B$320:$B$620,"&lt;"&amp;C169,主线宝箱!$L$320:$L$620)+SUMIF(主线宝箱!$B$320:$B$620,"&lt;"&amp;C169,主线宝箱!$X$320:$X$620)+SUMIF(主线宝箱!$B$320:$B$620,"&lt;"&amp;C169,主线宝箱!$AL$320:$AL$620))</f>
        <v>344400</v>
      </c>
      <c r="F169" s="98">
        <f ca="1">SUMIF(组队产出!$B$24:$B$39,"&lt;="&amp;MAX(1,INT(C169/10-0.6)),组队产出!$R$24:$R$39)</f>
        <v>141000</v>
      </c>
      <c r="G169" s="80">
        <f ca="1">SUMIF(运营活动!$O$3:$O$27,"&lt;="&amp;C169,运营活动!$P$3:$P$27)</f>
        <v>30000</v>
      </c>
      <c r="H169" s="80">
        <f ca="1">OFFSET(产销汇总!$AM$12,B169,$C$26)*24</f>
        <v>1049232</v>
      </c>
      <c r="I169" s="172">
        <f ca="1">SUMIF(金币本!$F$2:$F$52,"&lt;="&amp;C169,金币本!$D$2:$D$52)</f>
        <v>1372000</v>
      </c>
      <c r="J169" s="80">
        <f ca="1">OFFSET(产销汇总!$C$1,MATCH(J$27,产销汇总!$C$2:$C$8,0),$C$26)*(_xlfn.XLOOKUP(C169,主线推图!$B$313:$B$612,主线推图!$C$313:$C$612)+_xlfn.XLOOKUP(C169,主线推图!$B$313:$B$612,主线推图!$D$313:$D$612))</f>
        <v>14652</v>
      </c>
      <c r="K169" s="80">
        <f ca="1">OFFSET(产销汇总!$C$1,MATCH(K$27,产销汇总!$C$2:$C$8,0),$C$26)*_xlfn.XLOOKUP(C169,巡逻产出!$B$311:$B$610,巡逻产出!$C$311:$C$610)*1.3</f>
        <v>0</v>
      </c>
      <c r="L169" s="80" t="e">
        <f ca="1">OFFSET(产销汇总!$C$1,MATCH(L$27,产销汇总!$C$2:$C$8,0),$C$26)*(_xlfn.XLOOKUP(MAX(1,INT(C169/10-6/10)),组队产出!$B$24:$B$39,组队产出!$D$24:$D$39))+OFFSET(产销汇总!$C$1,MATCH(L$27,产销汇总!$C$2:$C$8,0),$C$26)*(_xlfn.XLOOKUP(MAX(1,INT(C169/10-6/10)),组队产出!$B$24:$B$39,组队产出!$C$24:$C$39))</f>
        <v>#N/A</v>
      </c>
      <c r="M169" s="80">
        <f ca="1">(OFFSET(产销汇总!$C$1,MATCH(M$27,产销汇总!$C$2:$C$8,0),$C$26)*_xlfn.XLOOKUP(C169,巡逻产出!$B$311:$B$610,巡逻产出!$D$311:$D$610))*$M$24</f>
        <v>10389.6</v>
      </c>
      <c r="N169" s="80" t="e">
        <f ca="1">OFFSET(产销汇总!$C$1,MATCH(L$27,产销汇总!$C$2:$C$8,0),$C$26)*(_xlfn.XLOOKUP(MAX(1,INT(C169/10-6/10)),组队产出!$B$24:$B$39,组队产出!$S$24:$S$39))</f>
        <v>#N/A</v>
      </c>
      <c r="O169" s="172">
        <f>任务!$D$36</f>
        <v>2457.14285714286</v>
      </c>
      <c r="P169" s="98">
        <f t="shared" si="24"/>
        <v>428</v>
      </c>
      <c r="Q169" s="80">
        <f t="shared" si="30"/>
        <v>1000</v>
      </c>
      <c r="R169" s="172">
        <f t="shared" si="31"/>
        <v>2000</v>
      </c>
      <c r="S169" s="210">
        <f ca="1">IFERROR(OFFSET(金币本!$E$2,MATCH(C169,金币本!$F$3:$F$302,1),0)*IF($C$26=1,2,3),0)</f>
        <v>39000</v>
      </c>
      <c r="T169" s="172" t="e">
        <f ca="1">SUM($J$28:S169)+SUM(D169:I169)</f>
        <v>#N/A</v>
      </c>
      <c r="U169" s="172" t="e">
        <f ca="1" t="shared" si="25"/>
        <v>#N/A</v>
      </c>
      <c r="V169" s="98" t="e">
        <f ca="1" t="shared" si="26"/>
        <v>#N/A</v>
      </c>
      <c r="W169" s="98" t="e">
        <f ca="1">OFFSET(装备强化!$U$6,MATCH(图纸产出设计!V170/6*W$26,装备强化!$T$7:$T$306,1),0)*6</f>
        <v>#N/A</v>
      </c>
      <c r="X169" s="98">
        <v>626440</v>
      </c>
      <c r="Y169" s="98">
        <f t="shared" si="32"/>
        <v>4432000</v>
      </c>
      <c r="Z169" s="98">
        <f t="shared" si="34"/>
        <v>2</v>
      </c>
      <c r="AA169" s="147" t="e">
        <f ca="1" t="shared" si="27"/>
        <v>#N/A</v>
      </c>
      <c r="AB169" s="209" t="e">
        <f ca="1" t="shared" si="28"/>
        <v>#N/A</v>
      </c>
      <c r="AC169" s="209">
        <f ca="1">SUMIFS(装备强化!$Q$7:$Q$306,装备强化!$M$7:$M$306,"&lt;="&amp;MATCH(U169/6,装备强化!$U$7:$U$306,1),装备强化!$M$7:$M$306,"&gt;="&amp;MATCH(V169/6,装备强化!$U$7:$U$306,1))*6</f>
        <v>0</v>
      </c>
      <c r="AD169">
        <f ca="1" t="shared" si="33"/>
        <v>0</v>
      </c>
    </row>
    <row r="170" spans="1:30">
      <c r="A170" s="171"/>
      <c r="B170" s="80">
        <v>143</v>
      </c>
      <c r="C170" s="80">
        <f ca="1">OFFSET(产销汇总!$C$12,$B170,$C$26)</f>
        <v>194.5</v>
      </c>
      <c r="D170" s="80">
        <f t="shared" si="29"/>
        <v>14100</v>
      </c>
      <c r="E170" s="80">
        <f ca="1">(SUMIF(主线推图!$B$4:$B$303,"&lt;"&amp;C170,主线推图!$M$4:$M$303)+SUMIF(主线宝箱!$B$320:$B$620,"&lt;"&amp;C170,主线宝箱!$L$320:$L$620)+SUMIF(主线宝箱!$B$320:$B$620,"&lt;"&amp;C170,主线宝箱!$X$320:$X$620)+SUMIF(主线宝箱!$B$320:$B$620,"&lt;"&amp;C170,主线宝箱!$AL$320:$AL$620))</f>
        <v>346200</v>
      </c>
      <c r="F170" s="98">
        <f ca="1">SUMIF(组队产出!$B$24:$B$39,"&lt;="&amp;MAX(1,INT(C170/10-0.6)),组队产出!$R$24:$R$39)</f>
        <v>141000</v>
      </c>
      <c r="G170" s="80">
        <f ca="1">SUMIF(运营活动!$O$3:$O$27,"&lt;="&amp;C170,运营活动!$P$3:$P$27)</f>
        <v>30000</v>
      </c>
      <c r="H170" s="80">
        <f ca="1">OFFSET(产销汇总!$AM$12,B170,$C$26)*24</f>
        <v>1056480</v>
      </c>
      <c r="I170" s="172">
        <f ca="1">SUMIF(金币本!$F$2:$F$52,"&lt;="&amp;C170,金币本!$D$2:$D$52)</f>
        <v>1372000</v>
      </c>
      <c r="J170" s="80" t="e">
        <f ca="1">OFFSET(产销汇总!$C$1,MATCH(J$27,产销汇总!$C$2:$C$8,0),$C$26)*(_xlfn.XLOOKUP(C170,主线推图!$B$313:$B$612,主线推图!$C$313:$C$612)+_xlfn.XLOOKUP(C170,主线推图!$B$313:$B$612,主线推图!$D$313:$D$612))</f>
        <v>#N/A</v>
      </c>
      <c r="K170" s="80" t="e">
        <f ca="1">OFFSET(产销汇总!$C$1,MATCH(K$27,产销汇总!$C$2:$C$8,0),$C$26)*_xlfn.XLOOKUP(C170,巡逻产出!$B$311:$B$610,巡逻产出!$C$311:$C$610)*1.3</f>
        <v>#N/A</v>
      </c>
      <c r="L170" s="80" t="e">
        <f ca="1">OFFSET(产销汇总!$C$1,MATCH(L$27,产销汇总!$C$2:$C$8,0),$C$26)*(_xlfn.XLOOKUP(MAX(1,INT(C170/10-6/10)),组队产出!$B$24:$B$39,组队产出!$D$24:$D$39))+OFFSET(产销汇总!$C$1,MATCH(L$27,产销汇总!$C$2:$C$8,0),$C$26)*(_xlfn.XLOOKUP(MAX(1,INT(C170/10-6/10)),组队产出!$B$24:$B$39,组队产出!$C$24:$C$39))</f>
        <v>#N/A</v>
      </c>
      <c r="M170" s="80" t="e">
        <f ca="1">(OFFSET(产销汇总!$C$1,MATCH(M$27,产销汇总!$C$2:$C$8,0),$C$26)*_xlfn.XLOOKUP(C170,巡逻产出!$B$311:$B$610,巡逻产出!$D$311:$D$610))*$M$24</f>
        <v>#N/A</v>
      </c>
      <c r="N170" s="80" t="e">
        <f ca="1">OFFSET(产销汇总!$C$1,MATCH(L$27,产销汇总!$C$2:$C$8,0),$C$26)*(_xlfn.XLOOKUP(MAX(1,INT(C170/10-6/10)),组队产出!$B$24:$B$39,组队产出!$S$24:$S$39))</f>
        <v>#N/A</v>
      </c>
      <c r="O170" s="172">
        <f>任务!$D$36</f>
        <v>2457.14285714286</v>
      </c>
      <c r="P170" s="98">
        <f t="shared" si="24"/>
        <v>428</v>
      </c>
      <c r="Q170" s="80">
        <f t="shared" si="30"/>
        <v>1000</v>
      </c>
      <c r="R170" s="172">
        <f t="shared" si="31"/>
        <v>2000</v>
      </c>
      <c r="S170" s="210">
        <f ca="1">IFERROR(OFFSET(金币本!$E$2,MATCH(C170,金币本!$F$3:$F$302,1),0)*IF($C$26=1,2,3),0)</f>
        <v>39000</v>
      </c>
      <c r="T170" s="172" t="e">
        <f ca="1">SUM($J$28:S170)+SUM(D170:I170)</f>
        <v>#N/A</v>
      </c>
      <c r="U170" s="172" t="e">
        <f ca="1" t="shared" si="25"/>
        <v>#N/A</v>
      </c>
      <c r="V170" s="98" t="e">
        <f ca="1" t="shared" si="26"/>
        <v>#N/A</v>
      </c>
      <c r="W170" s="98" t="e">
        <f ca="1">OFFSET(装备强化!$U$6,MATCH(图纸产出设计!V171/6*W$26,装备强化!$T$7:$T$306,1),0)*6</f>
        <v>#N/A</v>
      </c>
      <c r="X170" s="98">
        <v>626440</v>
      </c>
      <c r="Y170" s="98">
        <f t="shared" si="32"/>
        <v>4464000</v>
      </c>
      <c r="Z170" s="98">
        <f t="shared" si="34"/>
        <v>2</v>
      </c>
      <c r="AA170" s="147" t="e">
        <f ca="1" t="shared" si="27"/>
        <v>#N/A</v>
      </c>
      <c r="AB170" s="209" t="e">
        <f ca="1" t="shared" si="28"/>
        <v>#N/A</v>
      </c>
      <c r="AC170" s="209">
        <f ca="1">SUMIFS(装备强化!$Q$7:$Q$306,装备强化!$M$7:$M$306,"&lt;="&amp;MATCH(U170/6,装备强化!$U$7:$U$306,1),装备强化!$M$7:$M$306,"&gt;="&amp;MATCH(V170/6,装备强化!$U$7:$U$306,1))*6</f>
        <v>0</v>
      </c>
      <c r="AD170">
        <f ca="1" t="shared" si="33"/>
        <v>0</v>
      </c>
    </row>
    <row r="171" spans="1:30">
      <c r="A171" s="171"/>
      <c r="B171" s="80">
        <v>144</v>
      </c>
      <c r="C171" s="80">
        <f ca="1">OFFSET(产销汇总!$C$12,$B171,$C$26)</f>
        <v>195</v>
      </c>
      <c r="D171" s="80">
        <f t="shared" si="29"/>
        <v>14100</v>
      </c>
      <c r="E171" s="80">
        <f ca="1">(SUMIF(主线推图!$B$4:$B$303,"&lt;"&amp;C171,主线推图!$M$4:$M$303)+SUMIF(主线宝箱!$B$320:$B$620,"&lt;"&amp;C171,主线宝箱!$L$320:$L$620)+SUMIF(主线宝箱!$B$320:$B$620,"&lt;"&amp;C171,主线宝箱!$X$320:$X$620)+SUMIF(主线宝箱!$B$320:$B$620,"&lt;"&amp;C171,主线宝箱!$AL$320:$AL$620))</f>
        <v>346200</v>
      </c>
      <c r="F171" s="98">
        <f ca="1">SUMIF(组队产出!$B$24:$B$39,"&lt;="&amp;MAX(1,INT(C171/10-0.6)),组队产出!$R$24:$R$39)</f>
        <v>141000</v>
      </c>
      <c r="G171" s="80">
        <f ca="1">SUMIF(运营活动!$O$3:$O$27,"&lt;="&amp;C171,运营活动!$P$3:$P$27)</f>
        <v>30000</v>
      </c>
      <c r="H171" s="80">
        <f ca="1">OFFSET(产销汇总!$AM$12,B171,$C$26)*24</f>
        <v>1063728</v>
      </c>
      <c r="I171" s="172">
        <f ca="1">SUMIF(金币本!$F$2:$F$52,"&lt;="&amp;C171,金币本!$D$2:$D$52)</f>
        <v>1425000</v>
      </c>
      <c r="J171" s="80">
        <f ca="1">OFFSET(产销汇总!$C$1,MATCH(J$27,产销汇总!$C$2:$C$8,0),$C$26)*(_xlfn.XLOOKUP(C171,主线推图!$B$313:$B$612,主线推图!$C$313:$C$612)+_xlfn.XLOOKUP(C171,主线推图!$B$313:$B$612,主线推图!$D$313:$D$612))</f>
        <v>14696</v>
      </c>
      <c r="K171" s="80">
        <f ca="1">OFFSET(产销汇总!$C$1,MATCH(K$27,产销汇总!$C$2:$C$8,0),$C$26)*_xlfn.XLOOKUP(C171,巡逻产出!$B$311:$B$610,巡逻产出!$C$311:$C$610)*1.3</f>
        <v>0</v>
      </c>
      <c r="L171" s="80" t="e">
        <f ca="1">OFFSET(产销汇总!$C$1,MATCH(L$27,产销汇总!$C$2:$C$8,0),$C$26)*(_xlfn.XLOOKUP(MAX(1,INT(C171/10-6/10)),组队产出!$B$24:$B$39,组队产出!$D$24:$D$39))+OFFSET(产销汇总!$C$1,MATCH(L$27,产销汇总!$C$2:$C$8,0),$C$26)*(_xlfn.XLOOKUP(MAX(1,INT(C171/10-6/10)),组队产出!$B$24:$B$39,组队产出!$C$24:$C$39))</f>
        <v>#N/A</v>
      </c>
      <c r="M171" s="80">
        <f ca="1">(OFFSET(产销汇总!$C$1,MATCH(M$27,产销汇总!$C$2:$C$8,0),$C$26)*_xlfn.XLOOKUP(C171,巡逻产出!$B$311:$B$610,巡逻产出!$D$311:$D$610))*$M$24</f>
        <v>10420.8</v>
      </c>
      <c r="N171" s="80" t="e">
        <f ca="1">OFFSET(产销汇总!$C$1,MATCH(L$27,产销汇总!$C$2:$C$8,0),$C$26)*(_xlfn.XLOOKUP(MAX(1,INT(C171/10-6/10)),组队产出!$B$24:$B$39,组队产出!$S$24:$S$39))</f>
        <v>#N/A</v>
      </c>
      <c r="O171" s="172">
        <f>任务!$D$36</f>
        <v>2457.14285714286</v>
      </c>
      <c r="P171" s="98">
        <f t="shared" si="24"/>
        <v>428</v>
      </c>
      <c r="Q171" s="80">
        <f t="shared" si="30"/>
        <v>1000</v>
      </c>
      <c r="R171" s="172">
        <f t="shared" si="31"/>
        <v>2000</v>
      </c>
      <c r="S171" s="210">
        <f ca="1">IFERROR(OFFSET(金币本!$E$2,MATCH(C171,金币本!$F$3:$F$302,1),0)*IF($C$26=1,2,3),0)</f>
        <v>39750</v>
      </c>
      <c r="T171" s="172" t="e">
        <f ca="1">SUM($J$28:S171)+SUM(D171:I171)</f>
        <v>#N/A</v>
      </c>
      <c r="U171" s="172" t="e">
        <f ca="1" t="shared" si="25"/>
        <v>#N/A</v>
      </c>
      <c r="V171" s="98" t="e">
        <f ca="1" t="shared" si="26"/>
        <v>#N/A</v>
      </c>
      <c r="W171" s="98" t="e">
        <f ca="1">OFFSET(装备强化!$U$6,MATCH(图纸产出设计!V172/6*W$26,装备强化!$T$7:$T$306,1),0)*6</f>
        <v>#N/A</v>
      </c>
      <c r="X171" s="98">
        <v>635840</v>
      </c>
      <c r="Y171" s="98">
        <f t="shared" si="32"/>
        <v>4496000</v>
      </c>
      <c r="Z171" s="98">
        <f t="shared" si="34"/>
        <v>2</v>
      </c>
      <c r="AA171" s="147" t="e">
        <f ca="1" t="shared" si="27"/>
        <v>#N/A</v>
      </c>
      <c r="AB171" s="209" t="e">
        <f ca="1" t="shared" si="28"/>
        <v>#N/A</v>
      </c>
      <c r="AC171" s="209">
        <f ca="1">SUMIFS(装备强化!$Q$7:$Q$306,装备强化!$M$7:$M$306,"&lt;="&amp;MATCH(U171/6,装备强化!$U$7:$U$306,1),装备强化!$M$7:$M$306,"&gt;="&amp;MATCH(V171/6,装备强化!$U$7:$U$306,1))*6</f>
        <v>0</v>
      </c>
      <c r="AD171">
        <f ca="1" t="shared" si="33"/>
        <v>0</v>
      </c>
    </row>
    <row r="172" spans="1:30">
      <c r="A172" s="171"/>
      <c r="B172" s="80">
        <v>145</v>
      </c>
      <c r="C172" s="80">
        <f ca="1">OFFSET(产销汇总!$C$12,$B172,$C$26)</f>
        <v>195.5</v>
      </c>
      <c r="D172" s="80">
        <f t="shared" si="29"/>
        <v>14100</v>
      </c>
      <c r="E172" s="80">
        <f ca="1">(SUMIF(主线推图!$B$4:$B$303,"&lt;"&amp;C172,主线推图!$M$4:$M$303)+SUMIF(主线宝箱!$B$320:$B$620,"&lt;"&amp;C172,主线宝箱!$L$320:$L$620)+SUMIF(主线宝箱!$B$320:$B$620,"&lt;"&amp;C172,主线宝箱!$X$320:$X$620)+SUMIF(主线宝箱!$B$320:$B$620,"&lt;"&amp;C172,主线宝箱!$AL$320:$AL$620))</f>
        <v>348000</v>
      </c>
      <c r="F172" s="98">
        <f ca="1">SUMIF(组队产出!$B$24:$B$39,"&lt;="&amp;MAX(1,INT(C172/10-0.6)),组队产出!$R$24:$R$39)</f>
        <v>141000</v>
      </c>
      <c r="G172" s="80">
        <f ca="1">SUMIF(运营活动!$O$3:$O$27,"&lt;="&amp;C172,运营活动!$P$3:$P$27)</f>
        <v>30000</v>
      </c>
      <c r="H172" s="80">
        <f ca="1">OFFSET(产销汇总!$AM$12,B172,$C$26)*24</f>
        <v>1070976</v>
      </c>
      <c r="I172" s="172">
        <f ca="1">SUMIF(金币本!$F$2:$F$52,"&lt;="&amp;C172,金币本!$D$2:$D$52)</f>
        <v>1425000</v>
      </c>
      <c r="J172" s="80" t="e">
        <f ca="1">OFFSET(产销汇总!$C$1,MATCH(J$27,产销汇总!$C$2:$C$8,0),$C$26)*(_xlfn.XLOOKUP(C172,主线推图!$B$313:$B$612,主线推图!$C$313:$C$612)+_xlfn.XLOOKUP(C172,主线推图!$B$313:$B$612,主线推图!$D$313:$D$612))</f>
        <v>#N/A</v>
      </c>
      <c r="K172" s="80" t="e">
        <f ca="1">OFFSET(产销汇总!$C$1,MATCH(K$27,产销汇总!$C$2:$C$8,0),$C$26)*_xlfn.XLOOKUP(C172,巡逻产出!$B$311:$B$610,巡逻产出!$C$311:$C$610)*1.3</f>
        <v>#N/A</v>
      </c>
      <c r="L172" s="80" t="e">
        <f ca="1">OFFSET(产销汇总!$C$1,MATCH(L$27,产销汇总!$C$2:$C$8,0),$C$26)*(_xlfn.XLOOKUP(MAX(1,INT(C172/10-6/10)),组队产出!$B$24:$B$39,组队产出!$D$24:$D$39))+OFFSET(产销汇总!$C$1,MATCH(L$27,产销汇总!$C$2:$C$8,0),$C$26)*(_xlfn.XLOOKUP(MAX(1,INT(C172/10-6/10)),组队产出!$B$24:$B$39,组队产出!$C$24:$C$39))</f>
        <v>#N/A</v>
      </c>
      <c r="M172" s="80" t="e">
        <f ca="1">(OFFSET(产销汇总!$C$1,MATCH(M$27,产销汇总!$C$2:$C$8,0),$C$26)*_xlfn.XLOOKUP(C172,巡逻产出!$B$311:$B$610,巡逻产出!$D$311:$D$610))*$M$24</f>
        <v>#N/A</v>
      </c>
      <c r="N172" s="80" t="e">
        <f ca="1">OFFSET(产销汇总!$C$1,MATCH(L$27,产销汇总!$C$2:$C$8,0),$C$26)*(_xlfn.XLOOKUP(MAX(1,INT(C172/10-6/10)),组队产出!$B$24:$B$39,组队产出!$S$24:$S$39))</f>
        <v>#N/A</v>
      </c>
      <c r="O172" s="172">
        <f>任务!$D$36</f>
        <v>2457.14285714286</v>
      </c>
      <c r="P172" s="98">
        <f t="shared" si="24"/>
        <v>428</v>
      </c>
      <c r="Q172" s="80">
        <f t="shared" si="30"/>
        <v>1000</v>
      </c>
      <c r="R172" s="172">
        <f t="shared" si="31"/>
        <v>2000</v>
      </c>
      <c r="S172" s="210">
        <f ca="1">IFERROR(OFFSET(金币本!$E$2,MATCH(C172,金币本!$F$3:$F$302,1),0)*IF($C$26=1,2,3),0)</f>
        <v>39750</v>
      </c>
      <c r="T172" s="172" t="e">
        <f ca="1">SUM($J$28:S172)+SUM(D172:I172)</f>
        <v>#N/A</v>
      </c>
      <c r="U172" s="172" t="e">
        <f ca="1" t="shared" si="25"/>
        <v>#N/A</v>
      </c>
      <c r="V172" s="98" t="e">
        <f ca="1" t="shared" si="26"/>
        <v>#N/A</v>
      </c>
      <c r="W172" s="98" t="e">
        <f ca="1">OFFSET(装备强化!$U$6,MATCH(图纸产出设计!V173/6*W$26,装备强化!$T$7:$T$306,1),0)*6</f>
        <v>#N/A</v>
      </c>
      <c r="X172" s="98">
        <v>635840</v>
      </c>
      <c r="Y172" s="98">
        <f t="shared" si="32"/>
        <v>4528000</v>
      </c>
      <c r="Z172" s="98">
        <f t="shared" si="34"/>
        <v>2</v>
      </c>
      <c r="AA172" s="147" t="e">
        <f ca="1" t="shared" si="27"/>
        <v>#N/A</v>
      </c>
      <c r="AB172" s="209" t="e">
        <f ca="1" t="shared" si="28"/>
        <v>#N/A</v>
      </c>
      <c r="AC172" s="209">
        <f ca="1">SUMIFS(装备强化!$Q$7:$Q$306,装备强化!$M$7:$M$306,"&lt;="&amp;MATCH(U172/6,装备强化!$U$7:$U$306,1),装备强化!$M$7:$M$306,"&gt;="&amp;MATCH(V172/6,装备强化!$U$7:$U$306,1))*6</f>
        <v>0</v>
      </c>
      <c r="AD172">
        <f ca="1" t="shared" si="33"/>
        <v>0</v>
      </c>
    </row>
    <row r="173" spans="1:30">
      <c r="A173" s="171"/>
      <c r="B173" s="80">
        <v>146</v>
      </c>
      <c r="C173" s="80">
        <f ca="1">OFFSET(产销汇总!$C$12,$B173,$C$26)</f>
        <v>196</v>
      </c>
      <c r="D173" s="80">
        <f t="shared" si="29"/>
        <v>14100</v>
      </c>
      <c r="E173" s="80">
        <f ca="1">(SUMIF(主线推图!$B$4:$B$303,"&lt;"&amp;C173,主线推图!$M$4:$M$303)+SUMIF(主线宝箱!$B$320:$B$620,"&lt;"&amp;C173,主线宝箱!$L$320:$L$620)+SUMIF(主线宝箱!$B$320:$B$620,"&lt;"&amp;C173,主线宝箱!$X$320:$X$620)+SUMIF(主线宝箱!$B$320:$B$620,"&lt;"&amp;C173,主线宝箱!$AL$320:$AL$620))</f>
        <v>348000</v>
      </c>
      <c r="F173" s="98">
        <f ca="1">SUMIF(组队产出!$B$24:$B$39,"&lt;="&amp;MAX(1,INT(C173/10-0.6)),组队产出!$R$24:$R$39)</f>
        <v>141000</v>
      </c>
      <c r="G173" s="80">
        <f ca="1">SUMIF(运营活动!$O$3:$O$27,"&lt;="&amp;C173,运营活动!$P$3:$P$27)</f>
        <v>30000</v>
      </c>
      <c r="H173" s="80">
        <f ca="1">OFFSET(产销汇总!$AM$12,B173,$C$26)*24</f>
        <v>1078224</v>
      </c>
      <c r="I173" s="172">
        <f ca="1">SUMIF(金币本!$F$2:$F$52,"&lt;="&amp;C173,金币本!$D$2:$D$52)</f>
        <v>1425000</v>
      </c>
      <c r="J173" s="80">
        <f ca="1">OFFSET(产销汇总!$C$1,MATCH(J$27,产销汇总!$C$2:$C$8,0),$C$26)*(_xlfn.XLOOKUP(C173,主线推图!$B$313:$B$612,主线推图!$C$313:$C$612)+_xlfn.XLOOKUP(C173,主线推图!$B$313:$B$612,主线推图!$D$313:$D$612))</f>
        <v>14740</v>
      </c>
      <c r="K173" s="80">
        <f ca="1">OFFSET(产销汇总!$C$1,MATCH(K$27,产销汇总!$C$2:$C$8,0),$C$26)*_xlfn.XLOOKUP(C173,巡逻产出!$B$311:$B$610,巡逻产出!$C$311:$C$610)*1.3</f>
        <v>0</v>
      </c>
      <c r="L173" s="80" t="e">
        <f ca="1">OFFSET(产销汇总!$C$1,MATCH(L$27,产销汇总!$C$2:$C$8,0),$C$26)*(_xlfn.XLOOKUP(MAX(1,INT(C173/10-6/10)),组队产出!$B$24:$B$39,组队产出!$D$24:$D$39))+OFFSET(产销汇总!$C$1,MATCH(L$27,产销汇总!$C$2:$C$8,0),$C$26)*(_xlfn.XLOOKUP(MAX(1,INT(C173/10-6/10)),组队产出!$B$24:$B$39,组队产出!$C$24:$C$39))</f>
        <v>#N/A</v>
      </c>
      <c r="M173" s="80">
        <f ca="1">(OFFSET(产销汇总!$C$1,MATCH(M$27,产销汇总!$C$2:$C$8,0),$C$26)*_xlfn.XLOOKUP(C173,巡逻产出!$B$311:$B$610,巡逻产出!$D$311:$D$610))*$M$24</f>
        <v>10452</v>
      </c>
      <c r="N173" s="80" t="e">
        <f ca="1">OFFSET(产销汇总!$C$1,MATCH(L$27,产销汇总!$C$2:$C$8,0),$C$26)*(_xlfn.XLOOKUP(MAX(1,INT(C173/10-6/10)),组队产出!$B$24:$B$39,组队产出!$S$24:$S$39))</f>
        <v>#N/A</v>
      </c>
      <c r="O173" s="172">
        <f>任务!$D$36</f>
        <v>2457.14285714286</v>
      </c>
      <c r="P173" s="98">
        <f t="shared" si="24"/>
        <v>428</v>
      </c>
      <c r="Q173" s="80">
        <f t="shared" si="30"/>
        <v>1000</v>
      </c>
      <c r="R173" s="172">
        <f t="shared" si="31"/>
        <v>2000</v>
      </c>
      <c r="S173" s="210">
        <f ca="1">IFERROR(OFFSET(金币本!$E$2,MATCH(C173,金币本!$F$3:$F$302,1),0)*IF($C$26=1,2,3),0)</f>
        <v>39750</v>
      </c>
      <c r="T173" s="172" t="e">
        <f ca="1">SUM($J$28:S173)+SUM(D173:I173)</f>
        <v>#N/A</v>
      </c>
      <c r="U173" s="172" t="e">
        <f ca="1" t="shared" si="25"/>
        <v>#N/A</v>
      </c>
      <c r="V173" s="98" t="e">
        <f ca="1" t="shared" si="26"/>
        <v>#N/A</v>
      </c>
      <c r="W173" s="98" t="e">
        <f ca="1">OFFSET(装备强化!$U$6,MATCH(图纸产出设计!V174/6*W$26,装备强化!$T$7:$T$306,1),0)*6</f>
        <v>#N/A</v>
      </c>
      <c r="X173" s="98">
        <v>635840</v>
      </c>
      <c r="Y173" s="98">
        <f t="shared" si="32"/>
        <v>4560000</v>
      </c>
      <c r="Z173" s="98">
        <f t="shared" si="34"/>
        <v>2</v>
      </c>
      <c r="AA173" s="147" t="e">
        <f ca="1" t="shared" si="27"/>
        <v>#N/A</v>
      </c>
      <c r="AB173" s="209" t="e">
        <f ca="1" t="shared" si="28"/>
        <v>#N/A</v>
      </c>
      <c r="AC173" s="209">
        <f ca="1">SUMIFS(装备强化!$Q$7:$Q$306,装备强化!$M$7:$M$306,"&lt;="&amp;MATCH(U173/6,装备强化!$U$7:$U$306,1),装备强化!$M$7:$M$306,"&gt;="&amp;MATCH(V173/6,装备强化!$U$7:$U$306,1))*6</f>
        <v>0</v>
      </c>
      <c r="AD173">
        <f ca="1" t="shared" si="33"/>
        <v>0</v>
      </c>
    </row>
    <row r="174" spans="1:30">
      <c r="A174" s="171"/>
      <c r="B174" s="80">
        <v>147</v>
      </c>
      <c r="C174" s="80">
        <f ca="1">OFFSET(产销汇总!$C$12,$B174,$C$26)</f>
        <v>196.5</v>
      </c>
      <c r="D174" s="80">
        <f t="shared" si="29"/>
        <v>14100</v>
      </c>
      <c r="E174" s="80">
        <f ca="1">(SUMIF(主线推图!$B$4:$B$303,"&lt;"&amp;C174,主线推图!$M$4:$M$303)+SUMIF(主线宝箱!$B$320:$B$620,"&lt;"&amp;C174,主线宝箱!$L$320:$L$620)+SUMIF(主线宝箱!$B$320:$B$620,"&lt;"&amp;C174,主线宝箱!$X$320:$X$620)+SUMIF(主线宝箱!$B$320:$B$620,"&lt;"&amp;C174,主线宝箱!$AL$320:$AL$620))</f>
        <v>349800</v>
      </c>
      <c r="F174" s="98">
        <f ca="1">SUMIF(组队产出!$B$24:$B$39,"&lt;="&amp;MAX(1,INT(C174/10-0.6)),组队产出!$R$24:$R$39)</f>
        <v>141000</v>
      </c>
      <c r="G174" s="80">
        <f ca="1">SUMIF(运营活动!$O$3:$O$27,"&lt;="&amp;C174,运营活动!$P$3:$P$27)</f>
        <v>30000</v>
      </c>
      <c r="H174" s="80">
        <f ca="1">OFFSET(产销汇总!$AM$12,B174,$C$26)*24</f>
        <v>1085472</v>
      </c>
      <c r="I174" s="172">
        <f ca="1">SUMIF(金币本!$F$2:$F$52,"&lt;="&amp;C174,金币本!$D$2:$D$52)</f>
        <v>1425000</v>
      </c>
      <c r="J174" s="80" t="e">
        <f ca="1">OFFSET(产销汇总!$C$1,MATCH(J$27,产销汇总!$C$2:$C$8,0),$C$26)*(_xlfn.XLOOKUP(C174,主线推图!$B$313:$B$612,主线推图!$C$313:$C$612)+_xlfn.XLOOKUP(C174,主线推图!$B$313:$B$612,主线推图!$D$313:$D$612))</f>
        <v>#N/A</v>
      </c>
      <c r="K174" s="80" t="e">
        <f ca="1">OFFSET(产销汇总!$C$1,MATCH(K$27,产销汇总!$C$2:$C$8,0),$C$26)*_xlfn.XLOOKUP(C174,巡逻产出!$B$311:$B$610,巡逻产出!$C$311:$C$610)*1.3</f>
        <v>#N/A</v>
      </c>
      <c r="L174" s="80" t="e">
        <f ca="1">OFFSET(产销汇总!$C$1,MATCH(L$27,产销汇总!$C$2:$C$8,0),$C$26)*(_xlfn.XLOOKUP(MAX(1,INT(C174/10-6/10)),组队产出!$B$24:$B$39,组队产出!$D$24:$D$39))+OFFSET(产销汇总!$C$1,MATCH(L$27,产销汇总!$C$2:$C$8,0),$C$26)*(_xlfn.XLOOKUP(MAX(1,INT(C174/10-6/10)),组队产出!$B$24:$B$39,组队产出!$C$24:$C$39))</f>
        <v>#N/A</v>
      </c>
      <c r="M174" s="80" t="e">
        <f ca="1">(OFFSET(产销汇总!$C$1,MATCH(M$27,产销汇总!$C$2:$C$8,0),$C$26)*_xlfn.XLOOKUP(C174,巡逻产出!$B$311:$B$610,巡逻产出!$D$311:$D$610))*$M$24</f>
        <v>#N/A</v>
      </c>
      <c r="N174" s="80" t="e">
        <f ca="1">OFFSET(产销汇总!$C$1,MATCH(L$27,产销汇总!$C$2:$C$8,0),$C$26)*(_xlfn.XLOOKUP(MAX(1,INT(C174/10-6/10)),组队产出!$B$24:$B$39,组队产出!$S$24:$S$39))</f>
        <v>#N/A</v>
      </c>
      <c r="O174" s="172">
        <f>任务!$D$36</f>
        <v>2457.14285714286</v>
      </c>
      <c r="P174" s="98">
        <f t="shared" si="24"/>
        <v>428</v>
      </c>
      <c r="Q174" s="80">
        <f t="shared" si="30"/>
        <v>1000</v>
      </c>
      <c r="R174" s="172">
        <f t="shared" si="31"/>
        <v>2000</v>
      </c>
      <c r="S174" s="210">
        <f ca="1">IFERROR(OFFSET(金币本!$E$2,MATCH(C174,金币本!$F$3:$F$302,1),0)*IF($C$26=1,2,3),0)</f>
        <v>39750</v>
      </c>
      <c r="T174" s="172" t="e">
        <f ca="1">SUM($J$28:S174)+SUM(D174:I174)</f>
        <v>#N/A</v>
      </c>
      <c r="U174" s="172" t="e">
        <f ca="1" t="shared" si="25"/>
        <v>#N/A</v>
      </c>
      <c r="V174" s="98" t="e">
        <f ca="1" t="shared" si="26"/>
        <v>#N/A</v>
      </c>
      <c r="W174" s="98" t="e">
        <f ca="1">OFFSET(装备强化!$U$6,MATCH(图纸产出设计!V175/6*W$26,装备强化!$T$7:$T$306,1),0)*6</f>
        <v>#N/A</v>
      </c>
      <c r="X174" s="98">
        <v>645310</v>
      </c>
      <c r="Y174" s="98">
        <f t="shared" si="32"/>
        <v>4592000</v>
      </c>
      <c r="Z174" s="98">
        <f t="shared" si="34"/>
        <v>2</v>
      </c>
      <c r="AA174" s="147" t="e">
        <f ca="1" t="shared" si="27"/>
        <v>#N/A</v>
      </c>
      <c r="AB174" s="209" t="e">
        <f ca="1" t="shared" si="28"/>
        <v>#N/A</v>
      </c>
      <c r="AC174" s="209">
        <f ca="1">SUMIFS(装备强化!$Q$7:$Q$306,装备强化!$M$7:$M$306,"&lt;="&amp;MATCH(U174/6,装备强化!$U$7:$U$306,1),装备强化!$M$7:$M$306,"&gt;="&amp;MATCH(V174/6,装备强化!$U$7:$U$306,1))*6</f>
        <v>0</v>
      </c>
      <c r="AD174">
        <f ca="1" t="shared" si="33"/>
        <v>0</v>
      </c>
    </row>
    <row r="175" spans="1:30">
      <c r="A175" s="171"/>
      <c r="B175" s="80">
        <v>148</v>
      </c>
      <c r="C175" s="80">
        <f ca="1">OFFSET(产销汇总!$C$12,$B175,$C$26)</f>
        <v>197</v>
      </c>
      <c r="D175" s="80">
        <f t="shared" si="29"/>
        <v>14100</v>
      </c>
      <c r="E175" s="80">
        <f ca="1">(SUMIF(主线推图!$B$4:$B$303,"&lt;"&amp;C175,主线推图!$M$4:$M$303)+SUMIF(主线宝箱!$B$320:$B$620,"&lt;"&amp;C175,主线宝箱!$L$320:$L$620)+SUMIF(主线宝箱!$B$320:$B$620,"&lt;"&amp;C175,主线宝箱!$X$320:$X$620)+SUMIF(主线宝箱!$B$320:$B$620,"&lt;"&amp;C175,主线宝箱!$AL$320:$AL$620))</f>
        <v>349800</v>
      </c>
      <c r="F175" s="98">
        <f ca="1">SUMIF(组队产出!$B$24:$B$39,"&lt;="&amp;MAX(1,INT(C175/10-0.6)),组队产出!$R$24:$R$39)</f>
        <v>141000</v>
      </c>
      <c r="G175" s="80">
        <f ca="1">SUMIF(运营活动!$O$3:$O$27,"&lt;="&amp;C175,运营活动!$P$3:$P$27)</f>
        <v>30000</v>
      </c>
      <c r="H175" s="80">
        <f ca="1">OFFSET(产销汇总!$AM$12,B175,$C$26)*24</f>
        <v>1092720</v>
      </c>
      <c r="I175" s="172">
        <f ca="1">SUMIF(金币本!$F$2:$F$52,"&lt;="&amp;C175,金币本!$D$2:$D$52)</f>
        <v>1425000</v>
      </c>
      <c r="J175" s="80">
        <f ca="1">OFFSET(产销汇总!$C$1,MATCH(J$27,产销汇总!$C$2:$C$8,0),$C$26)*(_xlfn.XLOOKUP(C175,主线推图!$B$313:$B$612,主线推图!$C$313:$C$612)+_xlfn.XLOOKUP(C175,主线推图!$B$313:$B$612,主线推图!$D$313:$D$612))</f>
        <v>14784</v>
      </c>
      <c r="K175" s="80">
        <f ca="1">OFFSET(产销汇总!$C$1,MATCH(K$27,产销汇总!$C$2:$C$8,0),$C$26)*_xlfn.XLOOKUP(C175,巡逻产出!$B$311:$B$610,巡逻产出!$C$311:$C$610)*1.3</f>
        <v>0</v>
      </c>
      <c r="L175" s="80" t="e">
        <f ca="1">OFFSET(产销汇总!$C$1,MATCH(L$27,产销汇总!$C$2:$C$8,0),$C$26)*(_xlfn.XLOOKUP(MAX(1,INT(C175/10-6/10)),组队产出!$B$24:$B$39,组队产出!$D$24:$D$39))+OFFSET(产销汇总!$C$1,MATCH(L$27,产销汇总!$C$2:$C$8,0),$C$26)*(_xlfn.XLOOKUP(MAX(1,INT(C175/10-6/10)),组队产出!$B$24:$B$39,组队产出!$C$24:$C$39))</f>
        <v>#N/A</v>
      </c>
      <c r="M175" s="80">
        <f ca="1">(OFFSET(产销汇总!$C$1,MATCH(M$27,产销汇总!$C$2:$C$8,0),$C$26)*_xlfn.XLOOKUP(C175,巡逻产出!$B$311:$B$610,巡逻产出!$D$311:$D$610))*$M$24</f>
        <v>10483.2</v>
      </c>
      <c r="N175" s="80" t="e">
        <f ca="1">OFFSET(产销汇总!$C$1,MATCH(L$27,产销汇总!$C$2:$C$8,0),$C$26)*(_xlfn.XLOOKUP(MAX(1,INT(C175/10-6/10)),组队产出!$B$24:$B$39,组队产出!$S$24:$S$39))</f>
        <v>#N/A</v>
      </c>
      <c r="O175" s="172">
        <f>任务!$D$36</f>
        <v>2457.14285714286</v>
      </c>
      <c r="P175" s="98">
        <f t="shared" si="24"/>
        <v>428</v>
      </c>
      <c r="Q175" s="80">
        <f t="shared" si="30"/>
        <v>1500</v>
      </c>
      <c r="R175" s="172">
        <f t="shared" si="31"/>
        <v>2000</v>
      </c>
      <c r="S175" s="210">
        <f ca="1">IFERROR(OFFSET(金币本!$E$2,MATCH(C175,金币本!$F$3:$F$302,1),0)*IF($C$26=1,2,3),0)</f>
        <v>39750</v>
      </c>
      <c r="T175" s="172" t="e">
        <f ca="1">SUM($J$28:S175)+SUM(D175:I175)</f>
        <v>#N/A</v>
      </c>
      <c r="U175" s="172" t="e">
        <f ca="1" t="shared" si="25"/>
        <v>#N/A</v>
      </c>
      <c r="V175" s="98" t="e">
        <f ca="1" t="shared" si="26"/>
        <v>#N/A</v>
      </c>
      <c r="W175" s="98" t="e">
        <f ca="1">OFFSET(装备强化!$U$6,MATCH(图纸产出设计!V176/6*W$26,装备强化!$T$7:$T$306,1),0)*6</f>
        <v>#N/A</v>
      </c>
      <c r="X175" s="98">
        <v>645310</v>
      </c>
      <c r="Y175" s="98">
        <f t="shared" si="32"/>
        <v>4624000</v>
      </c>
      <c r="Z175" s="98">
        <f t="shared" si="34"/>
        <v>2</v>
      </c>
      <c r="AA175" s="147" t="e">
        <f ca="1" t="shared" si="27"/>
        <v>#N/A</v>
      </c>
      <c r="AB175" s="209" t="e">
        <f ca="1" t="shared" si="28"/>
        <v>#N/A</v>
      </c>
      <c r="AC175" s="209">
        <f ca="1">SUMIFS(装备强化!$Q$7:$Q$306,装备强化!$M$7:$M$306,"&lt;="&amp;MATCH(U175/6,装备强化!$U$7:$U$306,1),装备强化!$M$7:$M$306,"&gt;="&amp;MATCH(V175/6,装备强化!$U$7:$U$306,1))*6</f>
        <v>0</v>
      </c>
      <c r="AD175">
        <f ca="1" t="shared" si="33"/>
        <v>0</v>
      </c>
    </row>
    <row r="176" spans="1:30">
      <c r="A176" s="171"/>
      <c r="B176" s="80">
        <v>149</v>
      </c>
      <c r="C176" s="80">
        <f ca="1">OFFSET(产销汇总!$C$12,$B176,$C$26)</f>
        <v>197.5</v>
      </c>
      <c r="D176" s="80">
        <f t="shared" si="29"/>
        <v>14100</v>
      </c>
      <c r="E176" s="80">
        <f ca="1">(SUMIF(主线推图!$B$4:$B$303,"&lt;"&amp;C176,主线推图!$M$4:$M$303)+SUMIF(主线宝箱!$B$320:$B$620,"&lt;"&amp;C176,主线宝箱!$L$320:$L$620)+SUMIF(主线宝箱!$B$320:$B$620,"&lt;"&amp;C176,主线宝箱!$X$320:$X$620)+SUMIF(主线宝箱!$B$320:$B$620,"&lt;"&amp;C176,主线宝箱!$AL$320:$AL$620))</f>
        <v>351600</v>
      </c>
      <c r="F176" s="98">
        <f ca="1">SUMIF(组队产出!$B$24:$B$39,"&lt;="&amp;MAX(1,INT(C176/10-0.6)),组队产出!$R$24:$R$39)</f>
        <v>141000</v>
      </c>
      <c r="G176" s="80">
        <f ca="1">SUMIF(运营活动!$O$3:$O$27,"&lt;="&amp;C176,运营活动!$P$3:$P$27)</f>
        <v>30000</v>
      </c>
      <c r="H176" s="80">
        <f ca="1">OFFSET(产销汇总!$AM$12,B176,$C$26)*24</f>
        <v>1099968</v>
      </c>
      <c r="I176" s="172">
        <f ca="1">SUMIF(金币本!$F$2:$F$52,"&lt;="&amp;C176,金币本!$D$2:$D$52)</f>
        <v>1425000</v>
      </c>
      <c r="J176" s="80" t="e">
        <f ca="1">OFFSET(产销汇总!$C$1,MATCH(J$27,产销汇总!$C$2:$C$8,0),$C$26)*(_xlfn.XLOOKUP(C176,主线推图!$B$313:$B$612,主线推图!$C$313:$C$612)+_xlfn.XLOOKUP(C176,主线推图!$B$313:$B$612,主线推图!$D$313:$D$612))</f>
        <v>#N/A</v>
      </c>
      <c r="K176" s="80" t="e">
        <f ca="1">OFFSET(产销汇总!$C$1,MATCH(K$27,产销汇总!$C$2:$C$8,0),$C$26)*_xlfn.XLOOKUP(C176,巡逻产出!$B$311:$B$610,巡逻产出!$C$311:$C$610)*1.3</f>
        <v>#N/A</v>
      </c>
      <c r="L176" s="80" t="e">
        <f ca="1">OFFSET(产销汇总!$C$1,MATCH(L$27,产销汇总!$C$2:$C$8,0),$C$26)*(_xlfn.XLOOKUP(MAX(1,INT(C176/10-6/10)),组队产出!$B$24:$B$39,组队产出!$D$24:$D$39))+OFFSET(产销汇总!$C$1,MATCH(L$27,产销汇总!$C$2:$C$8,0),$C$26)*(_xlfn.XLOOKUP(MAX(1,INT(C176/10-6/10)),组队产出!$B$24:$B$39,组队产出!$C$24:$C$39))</f>
        <v>#N/A</v>
      </c>
      <c r="M176" s="80" t="e">
        <f ca="1">(OFFSET(产销汇总!$C$1,MATCH(M$27,产销汇总!$C$2:$C$8,0),$C$26)*_xlfn.XLOOKUP(C176,巡逻产出!$B$311:$B$610,巡逻产出!$D$311:$D$610))*$M$24</f>
        <v>#N/A</v>
      </c>
      <c r="N176" s="80" t="e">
        <f ca="1">OFFSET(产销汇总!$C$1,MATCH(L$27,产销汇总!$C$2:$C$8,0),$C$26)*(_xlfn.XLOOKUP(MAX(1,INT(C176/10-6/10)),组队产出!$B$24:$B$39,组队产出!$S$24:$S$39))</f>
        <v>#N/A</v>
      </c>
      <c r="O176" s="172">
        <f>任务!$D$36</f>
        <v>2457.14285714286</v>
      </c>
      <c r="P176" s="98">
        <f t="shared" si="24"/>
        <v>428</v>
      </c>
      <c r="Q176" s="80">
        <f t="shared" si="30"/>
        <v>1000</v>
      </c>
      <c r="R176" s="172">
        <f t="shared" si="31"/>
        <v>2000</v>
      </c>
      <c r="S176" s="210">
        <f ca="1">IFERROR(OFFSET(金币本!$E$2,MATCH(C176,金币本!$F$3:$F$302,1),0)*IF($C$26=1,2,3),0)</f>
        <v>39750</v>
      </c>
      <c r="T176" s="172" t="e">
        <f ca="1">SUM($J$28:S176)+SUM(D176:I176)</f>
        <v>#N/A</v>
      </c>
      <c r="U176" s="172" t="e">
        <f ca="1" t="shared" si="25"/>
        <v>#N/A</v>
      </c>
      <c r="V176" s="98" t="e">
        <f ca="1" t="shared" si="26"/>
        <v>#N/A</v>
      </c>
      <c r="W176" s="98" t="e">
        <f ca="1">OFFSET(装备强化!$U$6,MATCH(图纸产出设计!V177/6*W$26,装备强化!$T$7:$T$306,1),0)*6</f>
        <v>#N/A</v>
      </c>
      <c r="X176" s="98">
        <v>654850</v>
      </c>
      <c r="Y176" s="98">
        <f t="shared" si="32"/>
        <v>4656000</v>
      </c>
      <c r="Z176" s="98">
        <f t="shared" si="34"/>
        <v>2</v>
      </c>
      <c r="AA176" s="147" t="e">
        <f ca="1" t="shared" si="27"/>
        <v>#N/A</v>
      </c>
      <c r="AB176" s="209" t="e">
        <f ca="1" t="shared" si="28"/>
        <v>#N/A</v>
      </c>
      <c r="AC176" s="209">
        <f ca="1">SUMIFS(装备强化!$Q$7:$Q$306,装备强化!$M$7:$M$306,"&lt;="&amp;MATCH(U176/6,装备强化!$U$7:$U$306,1),装备强化!$M$7:$M$306,"&gt;="&amp;MATCH(V176/6,装备强化!$U$7:$U$306,1))*6</f>
        <v>0</v>
      </c>
      <c r="AD176">
        <f ca="1" t="shared" si="33"/>
        <v>0</v>
      </c>
    </row>
    <row r="177" spans="1:30">
      <c r="A177" s="171"/>
      <c r="B177" s="80">
        <v>150</v>
      </c>
      <c r="C177" s="80">
        <f ca="1">OFFSET(产销汇总!$C$12,$B177,$C$26)</f>
        <v>198</v>
      </c>
      <c r="D177" s="80">
        <f t="shared" si="29"/>
        <v>14100</v>
      </c>
      <c r="E177" s="80">
        <f ca="1">(SUMIF(主线推图!$B$4:$B$303,"&lt;"&amp;C177,主线推图!$M$4:$M$303)+SUMIF(主线宝箱!$B$320:$B$620,"&lt;"&amp;C177,主线宝箱!$L$320:$L$620)+SUMIF(主线宝箱!$B$320:$B$620,"&lt;"&amp;C177,主线宝箱!$X$320:$X$620)+SUMIF(主线宝箱!$B$320:$B$620,"&lt;"&amp;C177,主线宝箱!$AL$320:$AL$620))</f>
        <v>351600</v>
      </c>
      <c r="F177" s="98">
        <f ca="1">SUMIF(组队产出!$B$24:$B$39,"&lt;="&amp;MAX(1,INT(C177/10-0.6)),组队产出!$R$24:$R$39)</f>
        <v>141000</v>
      </c>
      <c r="G177" s="80">
        <f ca="1">SUMIF(运营活动!$O$3:$O$27,"&lt;="&amp;C177,运营活动!$P$3:$P$27)</f>
        <v>30000</v>
      </c>
      <c r="H177" s="80">
        <f ca="1">OFFSET(产销汇总!$AM$12,B177,$C$26)*24</f>
        <v>1107216</v>
      </c>
      <c r="I177" s="172">
        <f ca="1">SUMIF(金币本!$F$2:$F$52,"&lt;="&amp;C177,金币本!$D$2:$D$52)</f>
        <v>1425000</v>
      </c>
      <c r="J177" s="80">
        <f ca="1">OFFSET(产销汇总!$C$1,MATCH(J$27,产销汇总!$C$2:$C$8,0),$C$26)*(_xlfn.XLOOKUP(C177,主线推图!$B$313:$B$612,主线推图!$C$313:$C$612)+_xlfn.XLOOKUP(C177,主线推图!$B$313:$B$612,主线推图!$D$313:$D$612))</f>
        <v>14828</v>
      </c>
      <c r="K177" s="80">
        <f ca="1">OFFSET(产销汇总!$C$1,MATCH(K$27,产销汇总!$C$2:$C$8,0),$C$26)*_xlfn.XLOOKUP(C177,巡逻产出!$B$311:$B$610,巡逻产出!$C$311:$C$610)*1.3</f>
        <v>0</v>
      </c>
      <c r="L177" s="80" t="e">
        <f ca="1">OFFSET(产销汇总!$C$1,MATCH(L$27,产销汇总!$C$2:$C$8,0),$C$26)*(_xlfn.XLOOKUP(MAX(1,INT(C177/10-6/10)),组队产出!$B$24:$B$39,组队产出!$D$24:$D$39))+OFFSET(产销汇总!$C$1,MATCH(L$27,产销汇总!$C$2:$C$8,0),$C$26)*(_xlfn.XLOOKUP(MAX(1,INT(C177/10-6/10)),组队产出!$B$24:$B$39,组队产出!$C$24:$C$39))</f>
        <v>#N/A</v>
      </c>
      <c r="M177" s="80">
        <f ca="1">(OFFSET(产销汇总!$C$1,MATCH(M$27,产销汇总!$C$2:$C$8,0),$C$26)*_xlfn.XLOOKUP(C177,巡逻产出!$B$311:$B$610,巡逻产出!$D$311:$D$610))*$M$24</f>
        <v>10514.4</v>
      </c>
      <c r="N177" s="80" t="e">
        <f ca="1">OFFSET(产销汇总!$C$1,MATCH(L$27,产销汇总!$C$2:$C$8,0),$C$26)*(_xlfn.XLOOKUP(MAX(1,INT(C177/10-6/10)),组队产出!$B$24:$B$39,组队产出!$S$24:$S$39))</f>
        <v>#N/A</v>
      </c>
      <c r="O177" s="172">
        <f>任务!$D$36</f>
        <v>2457.14285714286</v>
      </c>
      <c r="P177" s="98">
        <f t="shared" si="24"/>
        <v>428</v>
      </c>
      <c r="Q177" s="80">
        <f t="shared" si="30"/>
        <v>1000</v>
      </c>
      <c r="R177" s="172">
        <f t="shared" si="31"/>
        <v>2000</v>
      </c>
      <c r="S177" s="210">
        <f ca="1">IFERROR(OFFSET(金币本!$E$2,MATCH(C177,金币本!$F$3:$F$302,1),0)*IF($C$26=1,2,3),0)</f>
        <v>39750</v>
      </c>
      <c r="T177" s="172" t="e">
        <f ca="1">SUM($J$28:S177)+SUM(D177:I177)</f>
        <v>#N/A</v>
      </c>
      <c r="U177" s="172" t="e">
        <f ca="1" t="shared" si="25"/>
        <v>#N/A</v>
      </c>
      <c r="V177" s="98" t="e">
        <f ca="1" t="shared" si="26"/>
        <v>#N/A</v>
      </c>
      <c r="W177" s="98" t="e">
        <f ca="1">OFFSET(装备强化!$U$6,MATCH(图纸产出设计!V178/6*W$26,装备强化!$T$7:$T$306,1),0)*6</f>
        <v>#N/A</v>
      </c>
      <c r="X177" s="98">
        <v>654850</v>
      </c>
      <c r="Y177" s="98">
        <f t="shared" si="32"/>
        <v>4688000</v>
      </c>
      <c r="Z177" s="98">
        <f t="shared" si="34"/>
        <v>2</v>
      </c>
      <c r="AA177" s="147" t="e">
        <f ca="1" t="shared" si="27"/>
        <v>#N/A</v>
      </c>
      <c r="AB177" s="209" t="e">
        <f ca="1" t="shared" si="28"/>
        <v>#N/A</v>
      </c>
      <c r="AC177" s="209">
        <f ca="1">SUMIFS(装备强化!$Q$7:$Q$306,装备强化!$M$7:$M$306,"&lt;="&amp;MATCH(U177/6,装备强化!$U$7:$U$306,1),装备强化!$M$7:$M$306,"&gt;="&amp;MATCH(V177/6,装备强化!$U$7:$U$306,1))*6</f>
        <v>0</v>
      </c>
      <c r="AD177">
        <f ca="1" t="shared" si="33"/>
        <v>0</v>
      </c>
    </row>
    <row r="178" spans="1:30">
      <c r="A178" s="171"/>
      <c r="B178" s="80">
        <v>151</v>
      </c>
      <c r="C178" s="80">
        <f ca="1">OFFSET(产销汇总!$C$12,$B178,$C$26)</f>
        <v>198.5</v>
      </c>
      <c r="D178" s="80">
        <f t="shared" si="29"/>
        <v>14100</v>
      </c>
      <c r="E178" s="80">
        <f ca="1">(SUMIF(主线推图!$B$4:$B$303,"&lt;"&amp;C178,主线推图!$M$4:$M$303)+SUMIF(主线宝箱!$B$320:$B$620,"&lt;"&amp;C178,主线宝箱!$L$320:$L$620)+SUMIF(主线宝箱!$B$320:$B$620,"&lt;"&amp;C178,主线宝箱!$X$320:$X$620)+SUMIF(主线宝箱!$B$320:$B$620,"&lt;"&amp;C178,主线宝箱!$AL$320:$AL$620))</f>
        <v>353400</v>
      </c>
      <c r="F178" s="98">
        <f ca="1">SUMIF(组队产出!$B$24:$B$39,"&lt;="&amp;MAX(1,INT(C178/10-0.6)),组队产出!$R$24:$R$39)</f>
        <v>141000</v>
      </c>
      <c r="G178" s="80">
        <f ca="1">SUMIF(运营活动!$O$3:$O$27,"&lt;="&amp;C178,运营活动!$P$3:$P$27)</f>
        <v>30000</v>
      </c>
      <c r="H178" s="80">
        <f ca="1">OFFSET(产销汇总!$AM$12,B178,$C$26)*24</f>
        <v>1114464</v>
      </c>
      <c r="I178" s="172">
        <f ca="1">SUMIF(金币本!$F$2:$F$52,"&lt;="&amp;C178,金币本!$D$2:$D$52)</f>
        <v>1425000</v>
      </c>
      <c r="J178" s="80" t="e">
        <f ca="1">OFFSET(产销汇总!$C$1,MATCH(J$27,产销汇总!$C$2:$C$8,0),$C$26)*(_xlfn.XLOOKUP(C178,主线推图!$B$313:$B$612,主线推图!$C$313:$C$612)+_xlfn.XLOOKUP(C178,主线推图!$B$313:$B$612,主线推图!$D$313:$D$612))</f>
        <v>#N/A</v>
      </c>
      <c r="K178" s="80" t="e">
        <f ca="1">OFFSET(产销汇总!$C$1,MATCH(K$27,产销汇总!$C$2:$C$8,0),$C$26)*_xlfn.XLOOKUP(C178,巡逻产出!$B$311:$B$610,巡逻产出!$C$311:$C$610)*1.3</f>
        <v>#N/A</v>
      </c>
      <c r="L178" s="80" t="e">
        <f ca="1">OFFSET(产销汇总!$C$1,MATCH(L$27,产销汇总!$C$2:$C$8,0),$C$26)*(_xlfn.XLOOKUP(MAX(1,INT(C178/10-6/10)),组队产出!$B$24:$B$39,组队产出!$D$24:$D$39))+OFFSET(产销汇总!$C$1,MATCH(L$27,产销汇总!$C$2:$C$8,0),$C$26)*(_xlfn.XLOOKUP(MAX(1,INT(C178/10-6/10)),组队产出!$B$24:$B$39,组队产出!$C$24:$C$39))</f>
        <v>#N/A</v>
      </c>
      <c r="M178" s="80" t="e">
        <f ca="1">(OFFSET(产销汇总!$C$1,MATCH(M$27,产销汇总!$C$2:$C$8,0),$C$26)*_xlfn.XLOOKUP(C178,巡逻产出!$B$311:$B$610,巡逻产出!$D$311:$D$610))*$M$24</f>
        <v>#N/A</v>
      </c>
      <c r="N178" s="80" t="e">
        <f ca="1">OFFSET(产销汇总!$C$1,MATCH(L$27,产销汇总!$C$2:$C$8,0),$C$26)*(_xlfn.XLOOKUP(MAX(1,INT(C178/10-6/10)),组队产出!$B$24:$B$39,组队产出!$S$24:$S$39))</f>
        <v>#N/A</v>
      </c>
      <c r="O178" s="172">
        <f>任务!$D$36</f>
        <v>2457.14285714286</v>
      </c>
      <c r="P178" s="98">
        <f t="shared" si="24"/>
        <v>428</v>
      </c>
      <c r="Q178" s="80">
        <f t="shared" si="30"/>
        <v>1000</v>
      </c>
      <c r="R178" s="172">
        <f t="shared" si="31"/>
        <v>2000</v>
      </c>
      <c r="S178" s="210">
        <f ca="1">IFERROR(OFFSET(金币本!$E$2,MATCH(C178,金币本!$F$3:$F$302,1),0)*IF($C$26=1,2,3),0)</f>
        <v>39750</v>
      </c>
      <c r="T178" s="172" t="e">
        <f ca="1">SUM($J$28:S178)+SUM(D178:I178)</f>
        <v>#N/A</v>
      </c>
      <c r="U178" s="172" t="e">
        <f ca="1" t="shared" si="25"/>
        <v>#N/A</v>
      </c>
      <c r="V178" s="98" t="e">
        <f ca="1" t="shared" si="26"/>
        <v>#N/A</v>
      </c>
      <c r="W178" s="98" t="e">
        <f ca="1">OFFSET(装备强化!$U$6,MATCH(图纸产出设计!V179/6*W$26,装备强化!$T$7:$T$306,1),0)*6</f>
        <v>#N/A</v>
      </c>
      <c r="X178" s="98">
        <v>664460</v>
      </c>
      <c r="Y178" s="98">
        <f t="shared" si="32"/>
        <v>4720000</v>
      </c>
      <c r="Z178" s="98">
        <f t="shared" si="34"/>
        <v>2</v>
      </c>
      <c r="AA178" s="147" t="e">
        <f ca="1" t="shared" si="27"/>
        <v>#N/A</v>
      </c>
      <c r="AB178" s="209" t="e">
        <f ca="1" t="shared" si="28"/>
        <v>#N/A</v>
      </c>
      <c r="AC178" s="209">
        <f ca="1">SUMIFS(装备强化!$Q$7:$Q$306,装备强化!$M$7:$M$306,"&lt;="&amp;MATCH(U178/6,装备强化!$U$7:$U$306,1),装备强化!$M$7:$M$306,"&gt;="&amp;MATCH(V178/6,装备强化!$U$7:$U$306,1))*6</f>
        <v>0</v>
      </c>
      <c r="AD178">
        <f ca="1" t="shared" si="33"/>
        <v>0</v>
      </c>
    </row>
    <row r="179" spans="1:30">
      <c r="A179" s="171"/>
      <c r="B179" s="80">
        <v>152</v>
      </c>
      <c r="C179" s="80">
        <f ca="1">OFFSET(产销汇总!$C$12,$B179,$C$26)</f>
        <v>199</v>
      </c>
      <c r="D179" s="80">
        <f t="shared" si="29"/>
        <v>14100</v>
      </c>
      <c r="E179" s="80">
        <f ca="1">(SUMIF(主线推图!$B$4:$B$303,"&lt;"&amp;C179,主线推图!$M$4:$M$303)+SUMIF(主线宝箱!$B$320:$B$620,"&lt;"&amp;C179,主线宝箱!$L$320:$L$620)+SUMIF(主线宝箱!$B$320:$B$620,"&lt;"&amp;C179,主线宝箱!$X$320:$X$620)+SUMIF(主线宝箱!$B$320:$B$620,"&lt;"&amp;C179,主线宝箱!$AL$320:$AL$620))</f>
        <v>353400</v>
      </c>
      <c r="F179" s="98">
        <f ca="1">SUMIF(组队产出!$B$24:$B$39,"&lt;="&amp;MAX(1,INT(C179/10-0.6)),组队产出!$R$24:$R$39)</f>
        <v>141000</v>
      </c>
      <c r="G179" s="80">
        <f ca="1">SUMIF(运营活动!$O$3:$O$27,"&lt;="&amp;C179,运营活动!$P$3:$P$27)</f>
        <v>30000</v>
      </c>
      <c r="H179" s="80">
        <f ca="1">OFFSET(产销汇总!$AM$12,B179,$C$26)*24</f>
        <v>1121712</v>
      </c>
      <c r="I179" s="172">
        <f ca="1">SUMIF(金币本!$F$2:$F$52,"&lt;="&amp;C179,金币本!$D$2:$D$52)</f>
        <v>1425000</v>
      </c>
      <c r="J179" s="80">
        <f ca="1">OFFSET(产销汇总!$C$1,MATCH(J$27,产销汇总!$C$2:$C$8,0),$C$26)*(_xlfn.XLOOKUP(C179,主线推图!$B$313:$B$612,主线推图!$C$313:$C$612)+_xlfn.XLOOKUP(C179,主线推图!$B$313:$B$612,主线推图!$D$313:$D$612))</f>
        <v>14872</v>
      </c>
      <c r="K179" s="80">
        <f ca="1">OFFSET(产销汇总!$C$1,MATCH(K$27,产销汇总!$C$2:$C$8,0),$C$26)*_xlfn.XLOOKUP(C179,巡逻产出!$B$311:$B$610,巡逻产出!$C$311:$C$610)*1.3</f>
        <v>0</v>
      </c>
      <c r="L179" s="80" t="e">
        <f ca="1">OFFSET(产销汇总!$C$1,MATCH(L$27,产销汇总!$C$2:$C$8,0),$C$26)*(_xlfn.XLOOKUP(MAX(1,INT(C179/10-6/10)),组队产出!$B$24:$B$39,组队产出!$D$24:$D$39))+OFFSET(产销汇总!$C$1,MATCH(L$27,产销汇总!$C$2:$C$8,0),$C$26)*(_xlfn.XLOOKUP(MAX(1,INT(C179/10-6/10)),组队产出!$B$24:$B$39,组队产出!$C$24:$C$39))</f>
        <v>#N/A</v>
      </c>
      <c r="M179" s="80">
        <f ca="1">(OFFSET(产销汇总!$C$1,MATCH(M$27,产销汇总!$C$2:$C$8,0),$C$26)*_xlfn.XLOOKUP(C179,巡逻产出!$B$311:$B$610,巡逻产出!$D$311:$D$610))*$M$24</f>
        <v>10545.6</v>
      </c>
      <c r="N179" s="80" t="e">
        <f ca="1">OFFSET(产销汇总!$C$1,MATCH(L$27,产销汇总!$C$2:$C$8,0),$C$26)*(_xlfn.XLOOKUP(MAX(1,INT(C179/10-6/10)),组队产出!$B$24:$B$39,组队产出!$S$24:$S$39))</f>
        <v>#N/A</v>
      </c>
      <c r="O179" s="172">
        <f>任务!$D$36</f>
        <v>2457.14285714286</v>
      </c>
      <c r="P179" s="98">
        <f t="shared" si="24"/>
        <v>428</v>
      </c>
      <c r="Q179" s="80">
        <f t="shared" si="30"/>
        <v>1000</v>
      </c>
      <c r="R179" s="172">
        <f t="shared" si="31"/>
        <v>2000</v>
      </c>
      <c r="S179" s="210">
        <f ca="1">IFERROR(OFFSET(金币本!$E$2,MATCH(C179,金币本!$F$3:$F$302,1),0)*IF($C$26=1,2,3),0)</f>
        <v>39750</v>
      </c>
      <c r="T179" s="172" t="e">
        <f ca="1">SUM($J$28:S179)+SUM(D179:I179)</f>
        <v>#N/A</v>
      </c>
      <c r="U179" s="172" t="e">
        <f ca="1" t="shared" si="25"/>
        <v>#N/A</v>
      </c>
      <c r="V179" s="98" t="e">
        <f ca="1" t="shared" si="26"/>
        <v>#N/A</v>
      </c>
      <c r="W179" s="98" t="e">
        <f ca="1">OFFSET(装备强化!$U$6,MATCH(图纸产出设计!V180/6*W$26,装备强化!$T$7:$T$306,1),0)*6</f>
        <v>#N/A</v>
      </c>
      <c r="X179" s="98">
        <v>664460</v>
      </c>
      <c r="Y179" s="98">
        <f t="shared" si="32"/>
        <v>4752000</v>
      </c>
      <c r="Z179" s="98">
        <f t="shared" si="34"/>
        <v>2</v>
      </c>
      <c r="AA179" s="147" t="e">
        <f ca="1" t="shared" si="27"/>
        <v>#N/A</v>
      </c>
      <c r="AB179" s="209" t="e">
        <f ca="1" t="shared" si="28"/>
        <v>#N/A</v>
      </c>
      <c r="AC179" s="209">
        <f ca="1">SUMIFS(装备强化!$Q$7:$Q$306,装备强化!$M$7:$M$306,"&lt;="&amp;MATCH(U179/6,装备强化!$U$7:$U$306,1),装备强化!$M$7:$M$306,"&gt;="&amp;MATCH(V179/6,装备强化!$U$7:$U$306,1))*6</f>
        <v>0</v>
      </c>
      <c r="AD179">
        <f ca="1" t="shared" si="33"/>
        <v>0</v>
      </c>
    </row>
    <row r="180" spans="1:30">
      <c r="A180" s="171"/>
      <c r="B180" s="80">
        <v>153</v>
      </c>
      <c r="C180" s="80">
        <f ca="1">OFFSET(产销汇总!$C$12,$B180,$C$26)</f>
        <v>199.5</v>
      </c>
      <c r="D180" s="80">
        <f t="shared" si="29"/>
        <v>14100</v>
      </c>
      <c r="E180" s="80">
        <f ca="1">(SUMIF(主线推图!$B$4:$B$303,"&lt;"&amp;C180,主线推图!$M$4:$M$303)+SUMIF(主线宝箱!$B$320:$B$620,"&lt;"&amp;C180,主线宝箱!$L$320:$L$620)+SUMIF(主线宝箱!$B$320:$B$620,"&lt;"&amp;C180,主线宝箱!$X$320:$X$620)+SUMIF(主线宝箱!$B$320:$B$620,"&lt;"&amp;C180,主线宝箱!$AL$320:$AL$620))</f>
        <v>355200</v>
      </c>
      <c r="F180" s="98">
        <f ca="1">SUMIF(组队产出!$B$24:$B$39,"&lt;="&amp;MAX(1,INT(C180/10-0.6)),组队产出!$R$24:$R$39)</f>
        <v>141000</v>
      </c>
      <c r="G180" s="80">
        <f ca="1">SUMIF(运营活动!$O$3:$O$27,"&lt;="&amp;C180,运营活动!$P$3:$P$27)</f>
        <v>30000</v>
      </c>
      <c r="H180" s="80">
        <f ca="1">OFFSET(产销汇总!$AM$12,B180,$C$26)*24</f>
        <v>1128960</v>
      </c>
      <c r="I180" s="172">
        <f ca="1">SUMIF(金币本!$F$2:$F$52,"&lt;="&amp;C180,金币本!$D$2:$D$52)</f>
        <v>1425000</v>
      </c>
      <c r="J180" s="80" t="e">
        <f ca="1">OFFSET(产销汇总!$C$1,MATCH(J$27,产销汇总!$C$2:$C$8,0),$C$26)*(_xlfn.XLOOKUP(C180,主线推图!$B$313:$B$612,主线推图!$C$313:$C$612)+_xlfn.XLOOKUP(C180,主线推图!$B$313:$B$612,主线推图!$D$313:$D$612))</f>
        <v>#N/A</v>
      </c>
      <c r="K180" s="80" t="e">
        <f ca="1">OFFSET(产销汇总!$C$1,MATCH(K$27,产销汇总!$C$2:$C$8,0),$C$26)*_xlfn.XLOOKUP(C180,巡逻产出!$B$311:$B$610,巡逻产出!$C$311:$C$610)*1.3</f>
        <v>#N/A</v>
      </c>
      <c r="L180" s="80" t="e">
        <f ca="1">OFFSET(产销汇总!$C$1,MATCH(L$27,产销汇总!$C$2:$C$8,0),$C$26)*(_xlfn.XLOOKUP(MAX(1,INT(C180/10-6/10)),组队产出!$B$24:$B$39,组队产出!$D$24:$D$39))+OFFSET(产销汇总!$C$1,MATCH(L$27,产销汇总!$C$2:$C$8,0),$C$26)*(_xlfn.XLOOKUP(MAX(1,INT(C180/10-6/10)),组队产出!$B$24:$B$39,组队产出!$C$24:$C$39))</f>
        <v>#N/A</v>
      </c>
      <c r="M180" s="80" t="e">
        <f ca="1">(OFFSET(产销汇总!$C$1,MATCH(M$27,产销汇总!$C$2:$C$8,0),$C$26)*_xlfn.XLOOKUP(C180,巡逻产出!$B$311:$B$610,巡逻产出!$D$311:$D$610))*$M$24</f>
        <v>#N/A</v>
      </c>
      <c r="N180" s="80" t="e">
        <f ca="1">OFFSET(产销汇总!$C$1,MATCH(L$27,产销汇总!$C$2:$C$8,0),$C$26)*(_xlfn.XLOOKUP(MAX(1,INT(C180/10-6/10)),组队产出!$B$24:$B$39,组队产出!$S$24:$S$39))</f>
        <v>#N/A</v>
      </c>
      <c r="O180" s="172">
        <f>任务!$D$36</f>
        <v>2457.14285714286</v>
      </c>
      <c r="P180" s="98">
        <f t="shared" si="24"/>
        <v>428</v>
      </c>
      <c r="Q180" s="80">
        <f t="shared" si="30"/>
        <v>1000</v>
      </c>
      <c r="R180" s="172">
        <f t="shared" si="31"/>
        <v>2000</v>
      </c>
      <c r="S180" s="210">
        <f ca="1">IFERROR(OFFSET(金币本!$E$2,MATCH(C180,金币本!$F$3:$F$302,1),0)*IF($C$26=1,2,3),0)</f>
        <v>39750</v>
      </c>
      <c r="T180" s="172" t="e">
        <f ca="1">SUM($J$28:S180)+SUM(D180:I180)</f>
        <v>#N/A</v>
      </c>
      <c r="U180" s="172" t="e">
        <f ca="1" t="shared" si="25"/>
        <v>#N/A</v>
      </c>
      <c r="V180" s="98" t="e">
        <f ca="1" t="shared" si="26"/>
        <v>#N/A</v>
      </c>
      <c r="W180" s="98" t="e">
        <f ca="1">OFFSET(装备强化!$U$6,MATCH(图纸产出设计!V181/6*W$26,装备强化!$T$7:$T$306,1),0)*6</f>
        <v>#N/A</v>
      </c>
      <c r="X180" s="98">
        <v>674140</v>
      </c>
      <c r="Y180" s="98">
        <f t="shared" si="32"/>
        <v>4784000</v>
      </c>
      <c r="Z180" s="98">
        <f t="shared" si="34"/>
        <v>2</v>
      </c>
      <c r="AA180" s="147" t="e">
        <f ca="1" t="shared" si="27"/>
        <v>#N/A</v>
      </c>
      <c r="AB180" s="209" t="e">
        <f ca="1" t="shared" si="28"/>
        <v>#N/A</v>
      </c>
      <c r="AC180" s="209">
        <f ca="1">SUMIFS(装备强化!$Q$7:$Q$306,装备强化!$M$7:$M$306,"&lt;="&amp;MATCH(U180/6,装备强化!$U$7:$U$306,1),装备强化!$M$7:$M$306,"&gt;="&amp;MATCH(V180/6,装备强化!$U$7:$U$306,1))*6</f>
        <v>0</v>
      </c>
      <c r="AD180">
        <f ca="1" t="shared" si="33"/>
        <v>0</v>
      </c>
    </row>
    <row r="181" spans="1:30">
      <c r="A181" s="171"/>
      <c r="B181" s="80">
        <v>154</v>
      </c>
      <c r="C181" s="80">
        <f ca="1">OFFSET(产销汇总!$C$12,$B181,$C$26)</f>
        <v>200</v>
      </c>
      <c r="D181" s="80">
        <f t="shared" si="29"/>
        <v>14100</v>
      </c>
      <c r="E181" s="80">
        <f ca="1">(SUMIF(主线推图!$B$4:$B$303,"&lt;"&amp;C181,主线推图!$M$4:$M$303)+SUMIF(主线宝箱!$B$320:$B$620,"&lt;"&amp;C181,主线宝箱!$L$320:$L$620)+SUMIF(主线宝箱!$B$320:$B$620,"&lt;"&amp;C181,主线宝箱!$X$320:$X$620)+SUMIF(主线宝箱!$B$320:$B$620,"&lt;"&amp;C181,主线宝箱!$AL$320:$AL$620))</f>
        <v>355200</v>
      </c>
      <c r="F181" s="98">
        <f ca="1">SUMIF(组队产出!$B$24:$B$39,"&lt;="&amp;MAX(1,INT(C181/10-0.6)),组队产出!$R$24:$R$39)</f>
        <v>141000</v>
      </c>
      <c r="G181" s="80">
        <f ca="1">SUMIF(运营活动!$O$3:$O$27,"&lt;="&amp;C181,运营活动!$P$3:$P$27)</f>
        <v>30000</v>
      </c>
      <c r="H181" s="80">
        <f ca="1">OFFSET(产销汇总!$AM$12,B181,$C$26)*24</f>
        <v>1136208</v>
      </c>
      <c r="I181" s="172">
        <f ca="1">SUMIF(金币本!$F$2:$F$52,"&lt;="&amp;C181,金币本!$D$2:$D$52)</f>
        <v>1425000</v>
      </c>
      <c r="J181" s="80">
        <f ca="1">OFFSET(产销汇总!$C$1,MATCH(J$27,产销汇总!$C$2:$C$8,0),$C$26)*(_xlfn.XLOOKUP(C181,主线推图!$B$313:$B$612,主线推图!$C$313:$C$612)+_xlfn.XLOOKUP(C181,主线推图!$B$313:$B$612,主线推图!$D$313:$D$612))</f>
        <v>14916</v>
      </c>
      <c r="K181" s="80">
        <f ca="1">OFFSET(产销汇总!$C$1,MATCH(K$27,产销汇总!$C$2:$C$8,0),$C$26)*_xlfn.XLOOKUP(C181,巡逻产出!$B$311:$B$610,巡逻产出!$C$311:$C$610)*1.3</f>
        <v>0</v>
      </c>
      <c r="L181" s="80" t="e">
        <f ca="1">OFFSET(产销汇总!$C$1,MATCH(L$27,产销汇总!$C$2:$C$8,0),$C$26)*(_xlfn.XLOOKUP(MAX(1,INT(C181/10-6/10)),组队产出!$B$24:$B$39,组队产出!$D$24:$D$39))+OFFSET(产销汇总!$C$1,MATCH(L$27,产销汇总!$C$2:$C$8,0),$C$26)*(_xlfn.XLOOKUP(MAX(1,INT(C181/10-6/10)),组队产出!$B$24:$B$39,组队产出!$C$24:$C$39))</f>
        <v>#N/A</v>
      </c>
      <c r="M181" s="80">
        <f ca="1">(OFFSET(产销汇总!$C$1,MATCH(M$27,产销汇总!$C$2:$C$8,0),$C$26)*_xlfn.XLOOKUP(C181,巡逻产出!$B$311:$B$610,巡逻产出!$D$311:$D$610))*$M$24</f>
        <v>10576.8</v>
      </c>
      <c r="N181" s="80" t="e">
        <f ca="1">OFFSET(产销汇总!$C$1,MATCH(L$27,产销汇总!$C$2:$C$8,0),$C$26)*(_xlfn.XLOOKUP(MAX(1,INT(C181/10-6/10)),组队产出!$B$24:$B$39,组队产出!$S$24:$S$39))</f>
        <v>#N/A</v>
      </c>
      <c r="O181" s="172">
        <f>任务!$D$36</f>
        <v>2457.14285714286</v>
      </c>
      <c r="P181" s="98">
        <f t="shared" si="24"/>
        <v>428</v>
      </c>
      <c r="Q181" s="80">
        <f t="shared" si="30"/>
        <v>1000</v>
      </c>
      <c r="R181" s="172">
        <f t="shared" si="31"/>
        <v>2000</v>
      </c>
      <c r="S181" s="210">
        <f ca="1">IFERROR(OFFSET(金币本!$E$2,MATCH(C181,金币本!$F$3:$F$302,1),0)*IF($C$26=1,2,3),0)</f>
        <v>39750</v>
      </c>
      <c r="T181" s="172" t="e">
        <f ca="1">SUM($J$28:S181)+SUM(D181:I181)</f>
        <v>#N/A</v>
      </c>
      <c r="U181" s="172" t="e">
        <f ca="1" t="shared" si="25"/>
        <v>#N/A</v>
      </c>
      <c r="V181" s="98" t="e">
        <f ca="1" t="shared" si="26"/>
        <v>#N/A</v>
      </c>
      <c r="W181" s="98" t="e">
        <f ca="1">OFFSET(装备强化!$U$6,MATCH(图纸产出设计!V182/6*W$26,装备强化!$T$7:$T$306,1),0)*6</f>
        <v>#N/A</v>
      </c>
      <c r="X181" s="98">
        <v>674140</v>
      </c>
      <c r="Y181" s="98">
        <f t="shared" si="32"/>
        <v>4816000</v>
      </c>
      <c r="Z181" s="98">
        <f t="shared" si="34"/>
        <v>2</v>
      </c>
      <c r="AA181" s="147" t="e">
        <f ca="1" t="shared" si="27"/>
        <v>#N/A</v>
      </c>
      <c r="AB181" s="209" t="e">
        <f ca="1" t="shared" si="28"/>
        <v>#N/A</v>
      </c>
      <c r="AC181" s="209">
        <f ca="1">SUMIFS(装备强化!$Q$7:$Q$306,装备强化!$M$7:$M$306,"&lt;="&amp;MATCH(U181/6,装备强化!$U$7:$U$306,1),装备强化!$M$7:$M$306,"&gt;="&amp;MATCH(V181/6,装备强化!$U$7:$U$306,1))*6</f>
        <v>0</v>
      </c>
      <c r="AD181">
        <f ca="1" t="shared" si="33"/>
        <v>0</v>
      </c>
    </row>
    <row r="182" spans="1:30">
      <c r="A182" s="171"/>
      <c r="B182" s="80">
        <v>155</v>
      </c>
      <c r="C182" s="80">
        <f ca="1">OFFSET(产销汇总!$C$12,$B182,$C$26)</f>
        <v>200.5</v>
      </c>
      <c r="D182" s="80">
        <f t="shared" si="29"/>
        <v>14100</v>
      </c>
      <c r="E182" s="80">
        <f ca="1">(SUMIF(主线推图!$B$4:$B$303,"&lt;"&amp;C182,主线推图!$M$4:$M$303)+SUMIF(主线宝箱!$B$320:$B$620,"&lt;"&amp;C182,主线宝箱!$L$320:$L$620)+SUMIF(主线宝箱!$B$320:$B$620,"&lt;"&amp;C182,主线宝箱!$X$320:$X$620)+SUMIF(主线宝箱!$B$320:$B$620,"&lt;"&amp;C182,主线宝箱!$AL$320:$AL$620))</f>
        <v>357000</v>
      </c>
      <c r="F182" s="98">
        <f ca="1">SUMIF(组队产出!$B$24:$B$39,"&lt;="&amp;MAX(1,INT(C182/10-0.6)),组队产出!$R$24:$R$39)</f>
        <v>141000</v>
      </c>
      <c r="G182" s="80">
        <f ca="1">SUMIF(运营活动!$O$3:$O$27,"&lt;="&amp;C182,运营活动!$P$3:$P$27)</f>
        <v>30000</v>
      </c>
      <c r="H182" s="80">
        <f ca="1">OFFSET(产销汇总!$AM$12,B182,$C$26)*24</f>
        <v>1143456</v>
      </c>
      <c r="I182" s="172">
        <f ca="1">SUMIF(金币本!$F$2:$F$52,"&lt;="&amp;C182,金币本!$D$2:$D$52)</f>
        <v>1425000</v>
      </c>
      <c r="J182" s="80" t="e">
        <f ca="1">OFFSET(产销汇总!$C$1,MATCH(J$27,产销汇总!$C$2:$C$8,0),$C$26)*(_xlfn.XLOOKUP(C182,主线推图!$B$313:$B$612,主线推图!$C$313:$C$612)+_xlfn.XLOOKUP(C182,主线推图!$B$313:$B$612,主线推图!$D$313:$D$612))</f>
        <v>#N/A</v>
      </c>
      <c r="K182" s="80" t="e">
        <f ca="1">OFFSET(产销汇总!$C$1,MATCH(K$27,产销汇总!$C$2:$C$8,0),$C$26)*_xlfn.XLOOKUP(C182,巡逻产出!$B$311:$B$610,巡逻产出!$C$311:$C$610)*1.3</f>
        <v>#N/A</v>
      </c>
      <c r="L182" s="80" t="e">
        <f ca="1">OFFSET(产销汇总!$C$1,MATCH(L$27,产销汇总!$C$2:$C$8,0),$C$26)*(_xlfn.XLOOKUP(MAX(1,INT(C182/10-6/10)),组队产出!$B$24:$B$39,组队产出!$D$24:$D$39))+OFFSET(产销汇总!$C$1,MATCH(L$27,产销汇总!$C$2:$C$8,0),$C$26)*(_xlfn.XLOOKUP(MAX(1,INT(C182/10-6/10)),组队产出!$B$24:$B$39,组队产出!$C$24:$C$39))</f>
        <v>#N/A</v>
      </c>
      <c r="M182" s="80" t="e">
        <f ca="1">(OFFSET(产销汇总!$C$1,MATCH(M$27,产销汇总!$C$2:$C$8,0),$C$26)*_xlfn.XLOOKUP(C182,巡逻产出!$B$311:$B$610,巡逻产出!$D$311:$D$610))*$M$24</f>
        <v>#N/A</v>
      </c>
      <c r="N182" s="80" t="e">
        <f ca="1">OFFSET(产销汇总!$C$1,MATCH(L$27,产销汇总!$C$2:$C$8,0),$C$26)*(_xlfn.XLOOKUP(MAX(1,INT(C182/10-6/10)),组队产出!$B$24:$B$39,组队产出!$S$24:$S$39))</f>
        <v>#N/A</v>
      </c>
      <c r="O182" s="172">
        <f>任务!$D$36</f>
        <v>2457.14285714286</v>
      </c>
      <c r="P182" s="98">
        <f t="shared" si="24"/>
        <v>428</v>
      </c>
      <c r="Q182" s="80">
        <f t="shared" si="30"/>
        <v>1500</v>
      </c>
      <c r="R182" s="172">
        <f t="shared" si="31"/>
        <v>2000</v>
      </c>
      <c r="S182" s="210">
        <f ca="1">IFERROR(OFFSET(金币本!$E$2,MATCH(C182,金币本!$F$3:$F$302,1),0)*IF($C$26=1,2,3),0)</f>
        <v>39750</v>
      </c>
      <c r="T182" s="172" t="e">
        <f ca="1">SUM($J$28:S182)+SUM(D182:I182)</f>
        <v>#N/A</v>
      </c>
      <c r="U182" s="172" t="e">
        <f ca="1" t="shared" si="25"/>
        <v>#N/A</v>
      </c>
      <c r="V182" s="98" t="e">
        <f ca="1" t="shared" si="26"/>
        <v>#N/A</v>
      </c>
      <c r="W182" s="98" t="e">
        <f ca="1">OFFSET(装备强化!$U$6,MATCH(图纸产出设计!V183/6*W$26,装备强化!$T$7:$T$306,1),0)*6</f>
        <v>#N/A</v>
      </c>
      <c r="X182" s="98">
        <v>683890</v>
      </c>
      <c r="Y182" s="98">
        <f t="shared" si="32"/>
        <v>4848000</v>
      </c>
      <c r="Z182" s="98">
        <f t="shared" si="34"/>
        <v>2</v>
      </c>
      <c r="AA182" s="147" t="e">
        <f ca="1" t="shared" si="27"/>
        <v>#N/A</v>
      </c>
      <c r="AB182" s="209" t="e">
        <f ca="1" t="shared" si="28"/>
        <v>#N/A</v>
      </c>
      <c r="AC182" s="209">
        <f ca="1">SUMIFS(装备强化!$Q$7:$Q$306,装备强化!$M$7:$M$306,"&lt;="&amp;MATCH(U182/6,装备强化!$U$7:$U$306,1),装备强化!$M$7:$M$306,"&gt;="&amp;MATCH(V182/6,装备强化!$U$7:$U$306,1))*6</f>
        <v>0</v>
      </c>
      <c r="AD182">
        <f ca="1" t="shared" si="33"/>
        <v>0</v>
      </c>
    </row>
    <row r="183" spans="1:30">
      <c r="A183" s="171"/>
      <c r="B183" s="80">
        <v>156</v>
      </c>
      <c r="C183" s="80">
        <f ca="1">OFFSET(产销汇总!$C$12,$B183,$C$26)</f>
        <v>201</v>
      </c>
      <c r="D183" s="80">
        <f t="shared" si="29"/>
        <v>14100</v>
      </c>
      <c r="E183" s="80">
        <f ca="1">(SUMIF(主线推图!$B$4:$B$303,"&lt;"&amp;C183,主线推图!$M$4:$M$303)+SUMIF(主线宝箱!$B$320:$B$620,"&lt;"&amp;C183,主线宝箱!$L$320:$L$620)+SUMIF(主线宝箱!$B$320:$B$620,"&lt;"&amp;C183,主线宝箱!$X$320:$X$620)+SUMIF(主线宝箱!$B$320:$B$620,"&lt;"&amp;C183,主线宝箱!$AL$320:$AL$620))</f>
        <v>357000</v>
      </c>
      <c r="F183" s="98">
        <f ca="1">SUMIF(组队产出!$B$24:$B$39,"&lt;="&amp;MAX(1,INT(C183/10-0.6)),组队产出!$R$24:$R$39)</f>
        <v>141000</v>
      </c>
      <c r="G183" s="80">
        <f ca="1">SUMIF(运营活动!$O$3:$O$27,"&lt;="&amp;C183,运营活动!$P$3:$P$27)</f>
        <v>30000</v>
      </c>
      <c r="H183" s="80">
        <f ca="1">OFFSET(产销汇总!$AM$12,B183,$C$26)*24</f>
        <v>1150704</v>
      </c>
      <c r="I183" s="172">
        <f ca="1">SUMIF(金币本!$F$2:$F$52,"&lt;="&amp;C183,金币本!$D$2:$D$52)</f>
        <v>1425000</v>
      </c>
      <c r="J183" s="80">
        <f ca="1">OFFSET(产销汇总!$C$1,MATCH(J$27,产销汇总!$C$2:$C$8,0),$C$26)*(_xlfn.XLOOKUP(C183,主线推图!$B$313:$B$612,主线推图!$C$313:$C$612)+_xlfn.XLOOKUP(C183,主线推图!$B$313:$B$612,主线推图!$D$313:$D$612))</f>
        <v>14960</v>
      </c>
      <c r="K183" s="80">
        <f ca="1">OFFSET(产销汇总!$C$1,MATCH(K$27,产销汇总!$C$2:$C$8,0),$C$26)*_xlfn.XLOOKUP(C183,巡逻产出!$B$311:$B$610,巡逻产出!$C$311:$C$610)*1.3</f>
        <v>0</v>
      </c>
      <c r="L183" s="80" t="e">
        <f ca="1">OFFSET(产销汇总!$C$1,MATCH(L$27,产销汇总!$C$2:$C$8,0),$C$26)*(_xlfn.XLOOKUP(MAX(1,INT(C183/10-6/10)),组队产出!$B$24:$B$39,组队产出!$D$24:$D$39))+OFFSET(产销汇总!$C$1,MATCH(L$27,产销汇总!$C$2:$C$8,0),$C$26)*(_xlfn.XLOOKUP(MAX(1,INT(C183/10-6/10)),组队产出!$B$24:$B$39,组队产出!$C$24:$C$39))</f>
        <v>#N/A</v>
      </c>
      <c r="M183" s="80">
        <f ca="1">(OFFSET(产销汇总!$C$1,MATCH(M$27,产销汇总!$C$2:$C$8,0),$C$26)*_xlfn.XLOOKUP(C183,巡逻产出!$B$311:$B$610,巡逻产出!$D$311:$D$610))*$M$24</f>
        <v>10608</v>
      </c>
      <c r="N183" s="80" t="e">
        <f ca="1">OFFSET(产销汇总!$C$1,MATCH(L$27,产销汇总!$C$2:$C$8,0),$C$26)*(_xlfn.XLOOKUP(MAX(1,INT(C183/10-6/10)),组队产出!$B$24:$B$39,组队产出!$S$24:$S$39))</f>
        <v>#N/A</v>
      </c>
      <c r="O183" s="172">
        <f>任务!$D$36</f>
        <v>2457.14285714286</v>
      </c>
      <c r="P183" s="98">
        <f t="shared" si="24"/>
        <v>428</v>
      </c>
      <c r="Q183" s="80">
        <f t="shared" si="30"/>
        <v>1000</v>
      </c>
      <c r="R183" s="172">
        <f t="shared" si="31"/>
        <v>2000</v>
      </c>
      <c r="S183" s="210">
        <f ca="1">IFERROR(OFFSET(金币本!$E$2,MATCH(C183,金币本!$F$3:$F$302,1),0)*IF($C$26=1,2,3),0)</f>
        <v>39750</v>
      </c>
      <c r="T183" s="172" t="e">
        <f ca="1">SUM($J$28:S183)+SUM(D183:I183)</f>
        <v>#N/A</v>
      </c>
      <c r="U183" s="172" t="e">
        <f ca="1" t="shared" si="25"/>
        <v>#N/A</v>
      </c>
      <c r="V183" s="98" t="e">
        <f ca="1" t="shared" si="26"/>
        <v>#N/A</v>
      </c>
      <c r="W183" s="98" t="e">
        <f ca="1">OFFSET(装备强化!$U$6,MATCH(图纸产出设计!V184/6*W$26,装备强化!$T$7:$T$306,1),0)*6</f>
        <v>#N/A</v>
      </c>
      <c r="X183" s="98">
        <v>683890</v>
      </c>
      <c r="Y183" s="98">
        <f t="shared" si="32"/>
        <v>4880000</v>
      </c>
      <c r="Z183" s="98">
        <f t="shared" si="34"/>
        <v>2</v>
      </c>
      <c r="AA183" s="147" t="e">
        <f ca="1" t="shared" si="27"/>
        <v>#N/A</v>
      </c>
      <c r="AB183" s="209" t="e">
        <f ca="1" t="shared" si="28"/>
        <v>#N/A</v>
      </c>
      <c r="AC183" s="209">
        <f ca="1">SUMIFS(装备强化!$Q$7:$Q$306,装备强化!$M$7:$M$306,"&lt;="&amp;MATCH(U183/6,装备强化!$U$7:$U$306,1),装备强化!$M$7:$M$306,"&gt;="&amp;MATCH(V183/6,装备强化!$U$7:$U$306,1))*6</f>
        <v>0</v>
      </c>
      <c r="AD183">
        <f ca="1" t="shared" si="33"/>
        <v>0</v>
      </c>
    </row>
    <row r="184" spans="1:30">
      <c r="A184" s="171"/>
      <c r="B184" s="80">
        <v>157</v>
      </c>
      <c r="C184" s="80">
        <f ca="1">OFFSET(产销汇总!$C$12,$B184,$C$26)</f>
        <v>201.5</v>
      </c>
      <c r="D184" s="80">
        <f t="shared" si="29"/>
        <v>14100</v>
      </c>
      <c r="E184" s="80">
        <f ca="1">(SUMIF(主线推图!$B$4:$B$303,"&lt;"&amp;C184,主线推图!$M$4:$M$303)+SUMIF(主线宝箱!$B$320:$B$620,"&lt;"&amp;C184,主线宝箱!$L$320:$L$620)+SUMIF(主线宝箱!$B$320:$B$620,"&lt;"&amp;C184,主线宝箱!$X$320:$X$620)+SUMIF(主线宝箱!$B$320:$B$620,"&lt;"&amp;C184,主线宝箱!$AL$320:$AL$620))</f>
        <v>358800</v>
      </c>
      <c r="F184" s="98">
        <f ca="1">SUMIF(组队产出!$B$24:$B$39,"&lt;="&amp;MAX(1,INT(C184/10-0.6)),组队产出!$R$24:$R$39)</f>
        <v>141000</v>
      </c>
      <c r="G184" s="80">
        <f ca="1">SUMIF(运营活动!$O$3:$O$27,"&lt;="&amp;C184,运营活动!$P$3:$P$27)</f>
        <v>30000</v>
      </c>
      <c r="H184" s="80">
        <f ca="1">OFFSET(产销汇总!$AM$12,B184,$C$26)*24</f>
        <v>1157952</v>
      </c>
      <c r="I184" s="172">
        <f ca="1">SUMIF(金币本!$F$2:$F$52,"&lt;="&amp;C184,金币本!$D$2:$D$52)</f>
        <v>1425000</v>
      </c>
      <c r="J184" s="80" t="e">
        <f ca="1">OFFSET(产销汇总!$C$1,MATCH(J$27,产销汇总!$C$2:$C$8,0),$C$26)*(_xlfn.XLOOKUP(C184,主线推图!$B$313:$B$612,主线推图!$C$313:$C$612)+_xlfn.XLOOKUP(C184,主线推图!$B$313:$B$612,主线推图!$D$313:$D$612))</f>
        <v>#N/A</v>
      </c>
      <c r="K184" s="80" t="e">
        <f ca="1">OFFSET(产销汇总!$C$1,MATCH(K$27,产销汇总!$C$2:$C$8,0),$C$26)*_xlfn.XLOOKUP(C184,巡逻产出!$B$311:$B$610,巡逻产出!$C$311:$C$610)*1.3</f>
        <v>#N/A</v>
      </c>
      <c r="L184" s="80" t="e">
        <f ca="1">OFFSET(产销汇总!$C$1,MATCH(L$27,产销汇总!$C$2:$C$8,0),$C$26)*(_xlfn.XLOOKUP(MAX(1,INT(C184/10-6/10)),组队产出!$B$24:$B$39,组队产出!$D$24:$D$39))+OFFSET(产销汇总!$C$1,MATCH(L$27,产销汇总!$C$2:$C$8,0),$C$26)*(_xlfn.XLOOKUP(MAX(1,INT(C184/10-6/10)),组队产出!$B$24:$B$39,组队产出!$C$24:$C$39))</f>
        <v>#N/A</v>
      </c>
      <c r="M184" s="80" t="e">
        <f ca="1">(OFFSET(产销汇总!$C$1,MATCH(M$27,产销汇总!$C$2:$C$8,0),$C$26)*_xlfn.XLOOKUP(C184,巡逻产出!$B$311:$B$610,巡逻产出!$D$311:$D$610))*$M$24</f>
        <v>#N/A</v>
      </c>
      <c r="N184" s="80" t="e">
        <f ca="1">OFFSET(产销汇总!$C$1,MATCH(L$27,产销汇总!$C$2:$C$8,0),$C$26)*(_xlfn.XLOOKUP(MAX(1,INT(C184/10-6/10)),组队产出!$B$24:$B$39,组队产出!$S$24:$S$39))</f>
        <v>#N/A</v>
      </c>
      <c r="O184" s="172">
        <f>任务!$D$36</f>
        <v>2457.14285714286</v>
      </c>
      <c r="P184" s="98">
        <f t="shared" si="24"/>
        <v>428</v>
      </c>
      <c r="Q184" s="80">
        <f t="shared" si="30"/>
        <v>1000</v>
      </c>
      <c r="R184" s="172">
        <f t="shared" si="31"/>
        <v>2000</v>
      </c>
      <c r="S184" s="210">
        <f ca="1">IFERROR(OFFSET(金币本!$E$2,MATCH(C184,金币本!$F$3:$F$302,1),0)*IF($C$26=1,2,3),0)</f>
        <v>39750</v>
      </c>
      <c r="T184" s="172" t="e">
        <f ca="1">SUM($J$28:S184)+SUM(D184:I184)</f>
        <v>#N/A</v>
      </c>
      <c r="U184" s="172" t="e">
        <f ca="1" t="shared" si="25"/>
        <v>#N/A</v>
      </c>
      <c r="V184" s="98" t="e">
        <f ca="1" t="shared" si="26"/>
        <v>#N/A</v>
      </c>
      <c r="W184" s="98" t="e">
        <f ca="1">OFFSET(装备强化!$U$6,MATCH(图纸产出设计!V185/6*W$26,装备强化!$T$7:$T$306,1),0)*6</f>
        <v>#N/A</v>
      </c>
      <c r="X184" s="98">
        <v>693710</v>
      </c>
      <c r="Y184" s="98">
        <f t="shared" si="32"/>
        <v>4912000</v>
      </c>
      <c r="Z184" s="98">
        <f t="shared" si="34"/>
        <v>2</v>
      </c>
      <c r="AA184" s="147" t="e">
        <f ca="1" t="shared" si="27"/>
        <v>#N/A</v>
      </c>
      <c r="AB184" s="209" t="e">
        <f ca="1" t="shared" si="28"/>
        <v>#N/A</v>
      </c>
      <c r="AC184" s="209">
        <f ca="1">SUMIFS(装备强化!$Q$7:$Q$306,装备强化!$M$7:$M$306,"&lt;="&amp;MATCH(U184/6,装备强化!$U$7:$U$306,1),装备强化!$M$7:$M$306,"&gt;="&amp;MATCH(V184/6,装备强化!$U$7:$U$306,1))*6</f>
        <v>0</v>
      </c>
      <c r="AD184">
        <f ca="1" t="shared" si="33"/>
        <v>0</v>
      </c>
    </row>
    <row r="185" spans="1:30">
      <c r="A185" s="171"/>
      <c r="B185" s="80">
        <v>158</v>
      </c>
      <c r="C185" s="80">
        <f ca="1">OFFSET(产销汇总!$C$12,$B185,$C$26)</f>
        <v>202</v>
      </c>
      <c r="D185" s="80">
        <f t="shared" si="29"/>
        <v>14100</v>
      </c>
      <c r="E185" s="80">
        <f ca="1">(SUMIF(主线推图!$B$4:$B$303,"&lt;"&amp;C185,主线推图!$M$4:$M$303)+SUMIF(主线宝箱!$B$320:$B$620,"&lt;"&amp;C185,主线宝箱!$L$320:$L$620)+SUMIF(主线宝箱!$B$320:$B$620,"&lt;"&amp;C185,主线宝箱!$X$320:$X$620)+SUMIF(主线宝箱!$B$320:$B$620,"&lt;"&amp;C185,主线宝箱!$AL$320:$AL$620))</f>
        <v>358800</v>
      </c>
      <c r="F185" s="98">
        <f ca="1">SUMIF(组队产出!$B$24:$B$39,"&lt;="&amp;MAX(1,INT(C185/10-0.6)),组队产出!$R$24:$R$39)</f>
        <v>141000</v>
      </c>
      <c r="G185" s="80">
        <f ca="1">SUMIF(运营活动!$O$3:$O$27,"&lt;="&amp;C185,运营活动!$P$3:$P$27)</f>
        <v>30000</v>
      </c>
      <c r="H185" s="80">
        <f ca="1">OFFSET(产销汇总!$AM$12,B185,$C$26)*24</f>
        <v>1165200</v>
      </c>
      <c r="I185" s="172">
        <f ca="1">SUMIF(金币本!$F$2:$F$52,"&lt;="&amp;C185,金币本!$D$2:$D$52)</f>
        <v>1425000</v>
      </c>
      <c r="J185" s="80">
        <f ca="1">OFFSET(产销汇总!$C$1,MATCH(J$27,产销汇总!$C$2:$C$8,0),$C$26)*(_xlfn.XLOOKUP(C185,主线推图!$B$313:$B$612,主线推图!$C$313:$C$612)+_xlfn.XLOOKUP(C185,主线推图!$B$313:$B$612,主线推图!$D$313:$D$612))</f>
        <v>15004</v>
      </c>
      <c r="K185" s="80">
        <f ca="1">OFFSET(产销汇总!$C$1,MATCH(K$27,产销汇总!$C$2:$C$8,0),$C$26)*_xlfn.XLOOKUP(C185,巡逻产出!$B$311:$B$610,巡逻产出!$C$311:$C$610)*1.3</f>
        <v>0</v>
      </c>
      <c r="L185" s="80" t="e">
        <f ca="1">OFFSET(产销汇总!$C$1,MATCH(L$27,产销汇总!$C$2:$C$8,0),$C$26)*(_xlfn.XLOOKUP(MAX(1,INT(C185/10-6/10)),组队产出!$B$24:$B$39,组队产出!$D$24:$D$39))+OFFSET(产销汇总!$C$1,MATCH(L$27,产销汇总!$C$2:$C$8,0),$C$26)*(_xlfn.XLOOKUP(MAX(1,INT(C185/10-6/10)),组队产出!$B$24:$B$39,组队产出!$C$24:$C$39))</f>
        <v>#N/A</v>
      </c>
      <c r="M185" s="80">
        <f ca="1">(OFFSET(产销汇总!$C$1,MATCH(M$27,产销汇总!$C$2:$C$8,0),$C$26)*_xlfn.XLOOKUP(C185,巡逻产出!$B$311:$B$610,巡逻产出!$D$311:$D$610))*$M$24</f>
        <v>10639.2</v>
      </c>
      <c r="N185" s="80" t="e">
        <f ca="1">OFFSET(产销汇总!$C$1,MATCH(L$27,产销汇总!$C$2:$C$8,0),$C$26)*(_xlfn.XLOOKUP(MAX(1,INT(C185/10-6/10)),组队产出!$B$24:$B$39,组队产出!$S$24:$S$39))</f>
        <v>#N/A</v>
      </c>
      <c r="O185" s="172">
        <f>任务!$D$36</f>
        <v>2457.14285714286</v>
      </c>
      <c r="P185" s="98">
        <f t="shared" si="24"/>
        <v>428</v>
      </c>
      <c r="Q185" s="80">
        <f t="shared" si="30"/>
        <v>1000</v>
      </c>
      <c r="R185" s="172">
        <f t="shared" si="31"/>
        <v>2000</v>
      </c>
      <c r="S185" s="210">
        <f ca="1">IFERROR(OFFSET(金币本!$E$2,MATCH(C185,金币本!$F$3:$F$302,1),0)*IF($C$26=1,2,3),0)</f>
        <v>39750</v>
      </c>
      <c r="T185" s="172" t="e">
        <f ca="1">SUM($J$28:S185)+SUM(D185:I185)</f>
        <v>#N/A</v>
      </c>
      <c r="U185" s="172" t="e">
        <f ca="1" t="shared" si="25"/>
        <v>#N/A</v>
      </c>
      <c r="V185" s="98" t="e">
        <f ca="1" t="shared" si="26"/>
        <v>#N/A</v>
      </c>
      <c r="W185" s="98" t="e">
        <f ca="1">OFFSET(装备强化!$U$6,MATCH(图纸产出设计!V186/6*W$26,装备强化!$T$7:$T$306,1),0)*6</f>
        <v>#N/A</v>
      </c>
      <c r="X185" s="98">
        <v>693710</v>
      </c>
      <c r="Y185" s="98">
        <f t="shared" si="32"/>
        <v>4944000</v>
      </c>
      <c r="Z185" s="98">
        <f t="shared" si="34"/>
        <v>2</v>
      </c>
      <c r="AA185" s="147" t="e">
        <f ca="1" t="shared" si="27"/>
        <v>#N/A</v>
      </c>
      <c r="AB185" s="209" t="e">
        <f ca="1" t="shared" si="28"/>
        <v>#N/A</v>
      </c>
      <c r="AC185" s="209">
        <f ca="1">SUMIFS(装备强化!$Q$7:$Q$306,装备强化!$M$7:$M$306,"&lt;="&amp;MATCH(U185/6,装备强化!$U$7:$U$306,1),装备强化!$M$7:$M$306,"&gt;="&amp;MATCH(V185/6,装备强化!$U$7:$U$306,1))*6</f>
        <v>0</v>
      </c>
      <c r="AD185">
        <f ca="1" t="shared" si="33"/>
        <v>0</v>
      </c>
    </row>
    <row r="186" spans="1:30">
      <c r="A186" s="171"/>
      <c r="B186" s="80">
        <v>159</v>
      </c>
      <c r="C186" s="80">
        <f ca="1">OFFSET(产销汇总!$C$12,$B186,$C$26)</f>
        <v>202.5</v>
      </c>
      <c r="D186" s="80">
        <f t="shared" si="29"/>
        <v>14100</v>
      </c>
      <c r="E186" s="80">
        <f ca="1">(SUMIF(主线推图!$B$4:$B$303,"&lt;"&amp;C186,主线推图!$M$4:$M$303)+SUMIF(主线宝箱!$B$320:$B$620,"&lt;"&amp;C186,主线宝箱!$L$320:$L$620)+SUMIF(主线宝箱!$B$320:$B$620,"&lt;"&amp;C186,主线宝箱!$X$320:$X$620)+SUMIF(主线宝箱!$B$320:$B$620,"&lt;"&amp;C186,主线宝箱!$AL$320:$AL$620))</f>
        <v>360600</v>
      </c>
      <c r="F186" s="98">
        <f ca="1">SUMIF(组队产出!$B$24:$B$39,"&lt;="&amp;MAX(1,INT(C186/10-0.6)),组队产出!$R$24:$R$39)</f>
        <v>141000</v>
      </c>
      <c r="G186" s="80">
        <f ca="1">SUMIF(运营活动!$O$3:$O$27,"&lt;="&amp;C186,运营活动!$P$3:$P$27)</f>
        <v>30000</v>
      </c>
      <c r="H186" s="80">
        <f ca="1">OFFSET(产销汇总!$AM$12,B186,$C$26)*24</f>
        <v>1172448</v>
      </c>
      <c r="I186" s="172">
        <f ca="1">SUMIF(金币本!$F$2:$F$52,"&lt;="&amp;C186,金币本!$D$2:$D$52)</f>
        <v>1425000</v>
      </c>
      <c r="J186" s="80" t="e">
        <f ca="1">OFFSET(产销汇总!$C$1,MATCH(J$27,产销汇总!$C$2:$C$8,0),$C$26)*(_xlfn.XLOOKUP(C186,主线推图!$B$313:$B$612,主线推图!$C$313:$C$612)+_xlfn.XLOOKUP(C186,主线推图!$B$313:$B$612,主线推图!$D$313:$D$612))</f>
        <v>#N/A</v>
      </c>
      <c r="K186" s="80" t="e">
        <f ca="1">OFFSET(产销汇总!$C$1,MATCH(K$27,产销汇总!$C$2:$C$8,0),$C$26)*_xlfn.XLOOKUP(C186,巡逻产出!$B$311:$B$610,巡逻产出!$C$311:$C$610)*1.3</f>
        <v>#N/A</v>
      </c>
      <c r="L186" s="80" t="e">
        <f ca="1">OFFSET(产销汇总!$C$1,MATCH(L$27,产销汇总!$C$2:$C$8,0),$C$26)*(_xlfn.XLOOKUP(MAX(1,INT(C186/10-6/10)),组队产出!$B$24:$B$39,组队产出!$D$24:$D$39))+OFFSET(产销汇总!$C$1,MATCH(L$27,产销汇总!$C$2:$C$8,0),$C$26)*(_xlfn.XLOOKUP(MAX(1,INT(C186/10-6/10)),组队产出!$B$24:$B$39,组队产出!$C$24:$C$39))</f>
        <v>#N/A</v>
      </c>
      <c r="M186" s="80" t="e">
        <f ca="1">(OFFSET(产销汇总!$C$1,MATCH(M$27,产销汇总!$C$2:$C$8,0),$C$26)*_xlfn.XLOOKUP(C186,巡逻产出!$B$311:$B$610,巡逻产出!$D$311:$D$610))*$M$24</f>
        <v>#N/A</v>
      </c>
      <c r="N186" s="80" t="e">
        <f ca="1">OFFSET(产销汇总!$C$1,MATCH(L$27,产销汇总!$C$2:$C$8,0),$C$26)*(_xlfn.XLOOKUP(MAX(1,INT(C186/10-6/10)),组队产出!$B$24:$B$39,组队产出!$S$24:$S$39))</f>
        <v>#N/A</v>
      </c>
      <c r="O186" s="172">
        <f>任务!$D$36</f>
        <v>2457.14285714286</v>
      </c>
      <c r="P186" s="98">
        <f t="shared" si="24"/>
        <v>428</v>
      </c>
      <c r="Q186" s="80">
        <f t="shared" si="30"/>
        <v>1000</v>
      </c>
      <c r="R186" s="172">
        <f t="shared" si="31"/>
        <v>2000</v>
      </c>
      <c r="S186" s="210">
        <f ca="1">IFERROR(OFFSET(金币本!$E$2,MATCH(C186,金币本!$F$3:$F$302,1),0)*IF($C$26=1,2,3),0)</f>
        <v>39750</v>
      </c>
      <c r="T186" s="172" t="e">
        <f ca="1">SUM($J$28:S186)+SUM(D186:I186)</f>
        <v>#N/A</v>
      </c>
      <c r="U186" s="172" t="e">
        <f ca="1" t="shared" si="25"/>
        <v>#N/A</v>
      </c>
      <c r="V186" s="98" t="e">
        <f ca="1" t="shared" si="26"/>
        <v>#N/A</v>
      </c>
      <c r="W186" s="98" t="e">
        <f ca="1">OFFSET(装备强化!$U$6,MATCH(图纸产出设计!V187/6*W$26,装备强化!$T$7:$T$306,1),0)*6</f>
        <v>#N/A</v>
      </c>
      <c r="X186" s="98">
        <v>703600</v>
      </c>
      <c r="Y186" s="98">
        <f t="shared" si="32"/>
        <v>4976000</v>
      </c>
      <c r="Z186" s="98">
        <f t="shared" si="34"/>
        <v>2</v>
      </c>
      <c r="AA186" s="147" t="e">
        <f ca="1" t="shared" si="27"/>
        <v>#N/A</v>
      </c>
      <c r="AB186" s="209" t="e">
        <f ca="1" t="shared" si="28"/>
        <v>#N/A</v>
      </c>
      <c r="AC186" s="209">
        <f ca="1">SUMIFS(装备强化!$Q$7:$Q$306,装备强化!$M$7:$M$306,"&lt;="&amp;MATCH(U186/6,装备强化!$U$7:$U$306,1),装备强化!$M$7:$M$306,"&gt;="&amp;MATCH(V186/6,装备强化!$U$7:$U$306,1))*6</f>
        <v>0</v>
      </c>
      <c r="AD186">
        <f ca="1" t="shared" si="33"/>
        <v>0</v>
      </c>
    </row>
    <row r="187" spans="1:30">
      <c r="A187" s="171"/>
      <c r="B187" s="80">
        <v>160</v>
      </c>
      <c r="C187" s="80">
        <f ca="1">OFFSET(产销汇总!$C$12,$B187,$C$26)</f>
        <v>203</v>
      </c>
      <c r="D187" s="80">
        <f t="shared" si="29"/>
        <v>14100</v>
      </c>
      <c r="E187" s="80">
        <f ca="1">(SUMIF(主线推图!$B$4:$B$303,"&lt;"&amp;C187,主线推图!$M$4:$M$303)+SUMIF(主线宝箱!$B$320:$B$620,"&lt;"&amp;C187,主线宝箱!$L$320:$L$620)+SUMIF(主线宝箱!$B$320:$B$620,"&lt;"&amp;C187,主线宝箱!$X$320:$X$620)+SUMIF(主线宝箱!$B$320:$B$620,"&lt;"&amp;C187,主线宝箱!$AL$320:$AL$620))</f>
        <v>360600</v>
      </c>
      <c r="F187" s="98">
        <f ca="1">SUMIF(组队产出!$B$24:$B$39,"&lt;="&amp;MAX(1,INT(C187/10-0.6)),组队产出!$R$24:$R$39)</f>
        <v>141000</v>
      </c>
      <c r="G187" s="80">
        <f ca="1">SUMIF(运营活动!$O$3:$O$27,"&lt;="&amp;C187,运营活动!$P$3:$P$27)</f>
        <v>30000</v>
      </c>
      <c r="H187" s="80">
        <f ca="1">OFFSET(产销汇总!$AM$12,B187,$C$26)*24</f>
        <v>1179696</v>
      </c>
      <c r="I187" s="172">
        <f ca="1">SUMIF(金币本!$F$2:$F$52,"&lt;="&amp;C187,金币本!$D$2:$D$52)</f>
        <v>1425000</v>
      </c>
      <c r="J187" s="80">
        <f ca="1">OFFSET(产销汇总!$C$1,MATCH(J$27,产销汇总!$C$2:$C$8,0),$C$26)*(_xlfn.XLOOKUP(C187,主线推图!$B$313:$B$612,主线推图!$C$313:$C$612)+_xlfn.XLOOKUP(C187,主线推图!$B$313:$B$612,主线推图!$D$313:$D$612))</f>
        <v>15048</v>
      </c>
      <c r="K187" s="80">
        <f ca="1">OFFSET(产销汇总!$C$1,MATCH(K$27,产销汇总!$C$2:$C$8,0),$C$26)*_xlfn.XLOOKUP(C187,巡逻产出!$B$311:$B$610,巡逻产出!$C$311:$C$610)*1.3</f>
        <v>0</v>
      </c>
      <c r="L187" s="80" t="e">
        <f ca="1">OFFSET(产销汇总!$C$1,MATCH(L$27,产销汇总!$C$2:$C$8,0),$C$26)*(_xlfn.XLOOKUP(MAX(1,INT(C187/10-6/10)),组队产出!$B$24:$B$39,组队产出!$D$24:$D$39))+OFFSET(产销汇总!$C$1,MATCH(L$27,产销汇总!$C$2:$C$8,0),$C$26)*(_xlfn.XLOOKUP(MAX(1,INT(C187/10-6/10)),组队产出!$B$24:$B$39,组队产出!$C$24:$C$39))</f>
        <v>#N/A</v>
      </c>
      <c r="M187" s="80">
        <f ca="1">(OFFSET(产销汇总!$C$1,MATCH(M$27,产销汇总!$C$2:$C$8,0),$C$26)*_xlfn.XLOOKUP(C187,巡逻产出!$B$311:$B$610,巡逻产出!$D$311:$D$610))*$M$24</f>
        <v>10670.4</v>
      </c>
      <c r="N187" s="80" t="e">
        <f ca="1">OFFSET(产销汇总!$C$1,MATCH(L$27,产销汇总!$C$2:$C$8,0),$C$26)*(_xlfn.XLOOKUP(MAX(1,INT(C187/10-6/10)),组队产出!$B$24:$B$39,组队产出!$S$24:$S$39))</f>
        <v>#N/A</v>
      </c>
      <c r="O187" s="172">
        <f>任务!$D$36</f>
        <v>2457.14285714286</v>
      </c>
      <c r="P187" s="98">
        <f t="shared" si="24"/>
        <v>428</v>
      </c>
      <c r="Q187" s="80">
        <f t="shared" si="30"/>
        <v>1000</v>
      </c>
      <c r="R187" s="172">
        <f t="shared" si="31"/>
        <v>2000</v>
      </c>
      <c r="S187" s="210">
        <f ca="1">IFERROR(OFFSET(金币本!$E$2,MATCH(C187,金币本!$F$3:$F$302,1),0)*IF($C$26=1,2,3),0)</f>
        <v>39750</v>
      </c>
      <c r="T187" s="172" t="e">
        <f ca="1">SUM($J$28:S187)+SUM(D187:I187)</f>
        <v>#N/A</v>
      </c>
      <c r="U187" s="172" t="e">
        <f ca="1" t="shared" si="25"/>
        <v>#N/A</v>
      </c>
      <c r="V187" s="98" t="e">
        <f ca="1" t="shared" si="26"/>
        <v>#N/A</v>
      </c>
      <c r="W187" s="98" t="e">
        <f ca="1">OFFSET(装备强化!$U$6,MATCH(图纸产出设计!V188/6*W$26,装备强化!$T$7:$T$306,1),0)*6</f>
        <v>#N/A</v>
      </c>
      <c r="X187" s="98">
        <v>703600</v>
      </c>
      <c r="Y187" s="98">
        <f t="shared" si="32"/>
        <v>5008000</v>
      </c>
      <c r="Z187" s="98">
        <f t="shared" si="34"/>
        <v>2</v>
      </c>
      <c r="AA187" s="147" t="e">
        <f ca="1" t="shared" si="27"/>
        <v>#N/A</v>
      </c>
      <c r="AB187" s="209" t="e">
        <f ca="1" t="shared" si="28"/>
        <v>#N/A</v>
      </c>
      <c r="AC187" s="209">
        <f ca="1">SUMIFS(装备强化!$Q$7:$Q$306,装备强化!$M$7:$M$306,"&lt;="&amp;MATCH(U187/6,装备强化!$U$7:$U$306,1),装备强化!$M$7:$M$306,"&gt;="&amp;MATCH(V187/6,装备强化!$U$7:$U$306,1))*6</f>
        <v>0</v>
      </c>
      <c r="AD187">
        <f ca="1" t="shared" si="33"/>
        <v>0</v>
      </c>
    </row>
    <row r="188" spans="1:30">
      <c r="A188" s="171"/>
      <c r="B188" s="80">
        <v>161</v>
      </c>
      <c r="C188" s="80">
        <f ca="1">OFFSET(产销汇总!$C$12,$B188,$C$26)</f>
        <v>203.5</v>
      </c>
      <c r="D188" s="80">
        <f t="shared" si="29"/>
        <v>14100</v>
      </c>
      <c r="E188" s="80">
        <f ca="1">(SUMIF(主线推图!$B$4:$B$303,"&lt;"&amp;C188,主线推图!$M$4:$M$303)+SUMIF(主线宝箱!$B$320:$B$620,"&lt;"&amp;C188,主线宝箱!$L$320:$L$620)+SUMIF(主线宝箱!$B$320:$B$620,"&lt;"&amp;C188,主线宝箱!$X$320:$X$620)+SUMIF(主线宝箱!$B$320:$B$620,"&lt;"&amp;C188,主线宝箱!$AL$320:$AL$620))</f>
        <v>362400</v>
      </c>
      <c r="F188" s="98">
        <f ca="1">SUMIF(组队产出!$B$24:$B$39,"&lt;="&amp;MAX(1,INT(C188/10-0.6)),组队产出!$R$24:$R$39)</f>
        <v>141000</v>
      </c>
      <c r="G188" s="80">
        <f ca="1">SUMIF(运营活动!$O$3:$O$27,"&lt;="&amp;C188,运营活动!$P$3:$P$27)</f>
        <v>30000</v>
      </c>
      <c r="H188" s="80">
        <f ca="1">OFFSET(产销汇总!$AM$12,B188,$C$26)*24</f>
        <v>1186944</v>
      </c>
      <c r="I188" s="172">
        <f ca="1">SUMIF(金币本!$F$2:$F$52,"&lt;="&amp;C188,金币本!$D$2:$D$52)</f>
        <v>1425000</v>
      </c>
      <c r="J188" s="80" t="e">
        <f ca="1">OFFSET(产销汇总!$C$1,MATCH(J$27,产销汇总!$C$2:$C$8,0),$C$26)*(_xlfn.XLOOKUP(C188,主线推图!$B$313:$B$612,主线推图!$C$313:$C$612)+_xlfn.XLOOKUP(C188,主线推图!$B$313:$B$612,主线推图!$D$313:$D$612))</f>
        <v>#N/A</v>
      </c>
      <c r="K188" s="80" t="e">
        <f ca="1">OFFSET(产销汇总!$C$1,MATCH(K$27,产销汇总!$C$2:$C$8,0),$C$26)*_xlfn.XLOOKUP(C188,巡逻产出!$B$311:$B$610,巡逻产出!$C$311:$C$610)*1.3</f>
        <v>#N/A</v>
      </c>
      <c r="L188" s="80" t="e">
        <f ca="1">OFFSET(产销汇总!$C$1,MATCH(L$27,产销汇总!$C$2:$C$8,0),$C$26)*(_xlfn.XLOOKUP(MAX(1,INT(C188/10-6/10)),组队产出!$B$24:$B$39,组队产出!$D$24:$D$39))+OFFSET(产销汇总!$C$1,MATCH(L$27,产销汇总!$C$2:$C$8,0),$C$26)*(_xlfn.XLOOKUP(MAX(1,INT(C188/10-6/10)),组队产出!$B$24:$B$39,组队产出!$C$24:$C$39))</f>
        <v>#N/A</v>
      </c>
      <c r="M188" s="80" t="e">
        <f ca="1">(OFFSET(产销汇总!$C$1,MATCH(M$27,产销汇总!$C$2:$C$8,0),$C$26)*_xlfn.XLOOKUP(C188,巡逻产出!$B$311:$B$610,巡逻产出!$D$311:$D$610))*$M$24</f>
        <v>#N/A</v>
      </c>
      <c r="N188" s="80" t="e">
        <f ca="1">OFFSET(产销汇总!$C$1,MATCH(L$27,产销汇总!$C$2:$C$8,0),$C$26)*(_xlfn.XLOOKUP(MAX(1,INT(C188/10-6/10)),组队产出!$B$24:$B$39,组队产出!$S$24:$S$39))</f>
        <v>#N/A</v>
      </c>
      <c r="O188" s="172">
        <f>任务!$D$36</f>
        <v>2457.14285714286</v>
      </c>
      <c r="P188" s="98">
        <f t="shared" si="24"/>
        <v>428</v>
      </c>
      <c r="Q188" s="80">
        <f t="shared" si="30"/>
        <v>1000</v>
      </c>
      <c r="R188" s="172">
        <f t="shared" si="31"/>
        <v>2000</v>
      </c>
      <c r="S188" s="210">
        <f ca="1">IFERROR(OFFSET(金币本!$E$2,MATCH(C188,金币本!$F$3:$F$302,1),0)*IF($C$26=1,2,3),0)</f>
        <v>39750</v>
      </c>
      <c r="T188" s="172" t="e">
        <f ca="1">SUM($J$28:S188)+SUM(D188:I188)</f>
        <v>#N/A</v>
      </c>
      <c r="U188" s="172" t="e">
        <f ca="1" t="shared" si="25"/>
        <v>#N/A</v>
      </c>
      <c r="V188" s="98" t="e">
        <f ca="1" t="shared" si="26"/>
        <v>#N/A</v>
      </c>
      <c r="W188" s="98" t="e">
        <f ca="1">OFFSET(装备强化!$U$6,MATCH(图纸产出设计!V189/6*W$26,装备强化!$T$7:$T$306,1),0)*6</f>
        <v>#N/A</v>
      </c>
      <c r="X188" s="98">
        <v>713560</v>
      </c>
      <c r="Y188" s="98">
        <f t="shared" si="32"/>
        <v>5040000</v>
      </c>
      <c r="Z188" s="98">
        <f t="shared" si="34"/>
        <v>2</v>
      </c>
      <c r="AA188" s="147" t="e">
        <f ca="1" t="shared" si="27"/>
        <v>#N/A</v>
      </c>
      <c r="AB188" s="209" t="e">
        <f ca="1" t="shared" si="28"/>
        <v>#N/A</v>
      </c>
      <c r="AC188" s="209">
        <f ca="1">SUMIFS(装备强化!$Q$7:$Q$306,装备强化!$M$7:$M$306,"&lt;="&amp;MATCH(U188/6,装备强化!$U$7:$U$306,1),装备强化!$M$7:$M$306,"&gt;="&amp;MATCH(V188/6,装备强化!$U$7:$U$306,1))*6</f>
        <v>0</v>
      </c>
      <c r="AD188">
        <f ca="1" t="shared" si="33"/>
        <v>0</v>
      </c>
    </row>
    <row r="189" spans="1:30">
      <c r="A189" s="171"/>
      <c r="B189" s="80">
        <v>162</v>
      </c>
      <c r="C189" s="80">
        <f ca="1">OFFSET(产销汇总!$C$12,$B189,$C$26)</f>
        <v>204</v>
      </c>
      <c r="D189" s="80">
        <f t="shared" si="29"/>
        <v>14100</v>
      </c>
      <c r="E189" s="80">
        <f ca="1">(SUMIF(主线推图!$B$4:$B$303,"&lt;"&amp;C189,主线推图!$M$4:$M$303)+SUMIF(主线宝箱!$B$320:$B$620,"&lt;"&amp;C189,主线宝箱!$L$320:$L$620)+SUMIF(主线宝箱!$B$320:$B$620,"&lt;"&amp;C189,主线宝箱!$X$320:$X$620)+SUMIF(主线宝箱!$B$320:$B$620,"&lt;"&amp;C189,主线宝箱!$AL$320:$AL$620))</f>
        <v>362400</v>
      </c>
      <c r="F189" s="98">
        <f ca="1">SUMIF(组队产出!$B$24:$B$39,"&lt;="&amp;MAX(1,INT(C189/10-0.6)),组队产出!$R$24:$R$39)</f>
        <v>141000</v>
      </c>
      <c r="G189" s="80">
        <f ca="1">SUMIF(运营活动!$O$3:$O$27,"&lt;="&amp;C189,运营活动!$P$3:$P$27)</f>
        <v>30000</v>
      </c>
      <c r="H189" s="80">
        <f ca="1">OFFSET(产销汇总!$AM$12,B189,$C$26)*24</f>
        <v>1194192</v>
      </c>
      <c r="I189" s="172">
        <f ca="1">SUMIF(金币本!$F$2:$F$52,"&lt;="&amp;C189,金币本!$D$2:$D$52)</f>
        <v>1425000</v>
      </c>
      <c r="J189" s="80">
        <f ca="1">OFFSET(产销汇总!$C$1,MATCH(J$27,产销汇总!$C$2:$C$8,0),$C$26)*(_xlfn.XLOOKUP(C189,主线推图!$B$313:$B$612,主线推图!$C$313:$C$612)+_xlfn.XLOOKUP(C189,主线推图!$B$313:$B$612,主线推图!$D$313:$D$612))</f>
        <v>15092</v>
      </c>
      <c r="K189" s="80">
        <f ca="1">OFFSET(产销汇总!$C$1,MATCH(K$27,产销汇总!$C$2:$C$8,0),$C$26)*_xlfn.XLOOKUP(C189,巡逻产出!$B$311:$B$610,巡逻产出!$C$311:$C$610)*1.3</f>
        <v>0</v>
      </c>
      <c r="L189" s="80" t="e">
        <f ca="1">OFFSET(产销汇总!$C$1,MATCH(L$27,产销汇总!$C$2:$C$8,0),$C$26)*(_xlfn.XLOOKUP(MAX(1,INT(C189/10-6/10)),组队产出!$B$24:$B$39,组队产出!$D$24:$D$39))+OFFSET(产销汇总!$C$1,MATCH(L$27,产销汇总!$C$2:$C$8,0),$C$26)*(_xlfn.XLOOKUP(MAX(1,INT(C189/10-6/10)),组队产出!$B$24:$B$39,组队产出!$C$24:$C$39))</f>
        <v>#N/A</v>
      </c>
      <c r="M189" s="80">
        <f ca="1">(OFFSET(产销汇总!$C$1,MATCH(M$27,产销汇总!$C$2:$C$8,0),$C$26)*_xlfn.XLOOKUP(C189,巡逻产出!$B$311:$B$610,巡逻产出!$D$311:$D$610))*$M$24</f>
        <v>10701.6</v>
      </c>
      <c r="N189" s="80" t="e">
        <f ca="1">OFFSET(产销汇总!$C$1,MATCH(L$27,产销汇总!$C$2:$C$8,0),$C$26)*(_xlfn.XLOOKUP(MAX(1,INT(C189/10-6/10)),组队产出!$B$24:$B$39,组队产出!$S$24:$S$39))</f>
        <v>#N/A</v>
      </c>
      <c r="O189" s="172">
        <f>任务!$D$36</f>
        <v>2457.14285714286</v>
      </c>
      <c r="P189" s="98">
        <f t="shared" si="24"/>
        <v>428</v>
      </c>
      <c r="Q189" s="80">
        <f t="shared" si="30"/>
        <v>1500</v>
      </c>
      <c r="R189" s="172">
        <f t="shared" si="31"/>
        <v>2000</v>
      </c>
      <c r="S189" s="210">
        <f ca="1">IFERROR(OFFSET(金币本!$E$2,MATCH(C189,金币本!$F$3:$F$302,1),0)*IF($C$26=1,2,3),0)</f>
        <v>39750</v>
      </c>
      <c r="T189" s="172" t="e">
        <f ca="1">SUM($J$28:S189)+SUM(D189:I189)</f>
        <v>#N/A</v>
      </c>
      <c r="U189" s="172" t="e">
        <f ca="1" t="shared" si="25"/>
        <v>#N/A</v>
      </c>
      <c r="V189" s="98" t="e">
        <f ca="1" t="shared" si="26"/>
        <v>#N/A</v>
      </c>
      <c r="W189" s="98" t="e">
        <f ca="1">OFFSET(装备强化!$U$6,MATCH(图纸产出设计!V190/6*W$26,装备强化!$T$7:$T$306,1),0)*6</f>
        <v>#N/A</v>
      </c>
      <c r="X189" s="98">
        <v>713560</v>
      </c>
      <c r="Y189" s="98">
        <f t="shared" si="32"/>
        <v>5072000</v>
      </c>
      <c r="Z189" s="98">
        <f t="shared" si="34"/>
        <v>2</v>
      </c>
      <c r="AA189" s="147" t="e">
        <f ca="1" t="shared" si="27"/>
        <v>#N/A</v>
      </c>
      <c r="AB189" s="209" t="e">
        <f ca="1" t="shared" si="28"/>
        <v>#N/A</v>
      </c>
      <c r="AC189" s="209">
        <f ca="1">SUMIFS(装备强化!$Q$7:$Q$306,装备强化!$M$7:$M$306,"&lt;="&amp;MATCH(U189/6,装备强化!$U$7:$U$306,1),装备强化!$M$7:$M$306,"&gt;="&amp;MATCH(V189/6,装备强化!$U$7:$U$306,1))*6</f>
        <v>0</v>
      </c>
      <c r="AD189">
        <f ca="1" t="shared" si="33"/>
        <v>0</v>
      </c>
    </row>
    <row r="190" spans="1:30">
      <c r="A190" s="171"/>
      <c r="B190" s="80">
        <v>163</v>
      </c>
      <c r="C190" s="80">
        <f ca="1">OFFSET(产销汇总!$C$12,$B190,$C$26)</f>
        <v>204.5</v>
      </c>
      <c r="D190" s="80">
        <f t="shared" si="29"/>
        <v>14100</v>
      </c>
      <c r="E190" s="80">
        <f ca="1">(SUMIF(主线推图!$B$4:$B$303,"&lt;"&amp;C190,主线推图!$M$4:$M$303)+SUMIF(主线宝箱!$B$320:$B$620,"&lt;"&amp;C190,主线宝箱!$L$320:$L$620)+SUMIF(主线宝箱!$B$320:$B$620,"&lt;"&amp;C190,主线宝箱!$X$320:$X$620)+SUMIF(主线宝箱!$B$320:$B$620,"&lt;"&amp;C190,主线宝箱!$AL$320:$AL$620))</f>
        <v>364200</v>
      </c>
      <c r="F190" s="98">
        <f ca="1">SUMIF(组队产出!$B$24:$B$39,"&lt;="&amp;MAX(1,INT(C190/10-0.6)),组队产出!$R$24:$R$39)</f>
        <v>141000</v>
      </c>
      <c r="G190" s="80">
        <f ca="1">SUMIF(运营活动!$O$3:$O$27,"&lt;="&amp;C190,运营活动!$P$3:$P$27)</f>
        <v>30000</v>
      </c>
      <c r="H190" s="80">
        <f ca="1">OFFSET(产销汇总!$AM$12,B190,$C$26)*24</f>
        <v>1201440</v>
      </c>
      <c r="I190" s="172">
        <f ca="1">SUMIF(金币本!$F$2:$F$52,"&lt;="&amp;C190,金币本!$D$2:$D$52)</f>
        <v>1425000</v>
      </c>
      <c r="J190" s="80" t="e">
        <f ca="1">OFFSET(产销汇总!$C$1,MATCH(J$27,产销汇总!$C$2:$C$8,0),$C$26)*(_xlfn.XLOOKUP(C190,主线推图!$B$313:$B$612,主线推图!$C$313:$C$612)+_xlfn.XLOOKUP(C190,主线推图!$B$313:$B$612,主线推图!$D$313:$D$612))</f>
        <v>#N/A</v>
      </c>
      <c r="K190" s="80" t="e">
        <f ca="1">OFFSET(产销汇总!$C$1,MATCH(K$27,产销汇总!$C$2:$C$8,0),$C$26)*_xlfn.XLOOKUP(C190,巡逻产出!$B$311:$B$610,巡逻产出!$C$311:$C$610)*1.3</f>
        <v>#N/A</v>
      </c>
      <c r="L190" s="80" t="e">
        <f ca="1">OFFSET(产销汇总!$C$1,MATCH(L$27,产销汇总!$C$2:$C$8,0),$C$26)*(_xlfn.XLOOKUP(MAX(1,INT(C190/10-6/10)),组队产出!$B$24:$B$39,组队产出!$D$24:$D$39))+OFFSET(产销汇总!$C$1,MATCH(L$27,产销汇总!$C$2:$C$8,0),$C$26)*(_xlfn.XLOOKUP(MAX(1,INT(C190/10-6/10)),组队产出!$B$24:$B$39,组队产出!$C$24:$C$39))</f>
        <v>#N/A</v>
      </c>
      <c r="M190" s="80" t="e">
        <f ca="1">(OFFSET(产销汇总!$C$1,MATCH(M$27,产销汇总!$C$2:$C$8,0),$C$26)*_xlfn.XLOOKUP(C190,巡逻产出!$B$311:$B$610,巡逻产出!$D$311:$D$610))*$M$24</f>
        <v>#N/A</v>
      </c>
      <c r="N190" s="80" t="e">
        <f ca="1">OFFSET(产销汇总!$C$1,MATCH(L$27,产销汇总!$C$2:$C$8,0),$C$26)*(_xlfn.XLOOKUP(MAX(1,INT(C190/10-6/10)),组队产出!$B$24:$B$39,组队产出!$S$24:$S$39))</f>
        <v>#N/A</v>
      </c>
      <c r="O190" s="172">
        <f>任务!$D$36</f>
        <v>2457.14285714286</v>
      </c>
      <c r="P190" s="98">
        <f t="shared" si="24"/>
        <v>428</v>
      </c>
      <c r="Q190" s="80">
        <f t="shared" si="30"/>
        <v>1000</v>
      </c>
      <c r="R190" s="172">
        <f t="shared" si="31"/>
        <v>2000</v>
      </c>
      <c r="S190" s="210">
        <f ca="1">IFERROR(OFFSET(金币本!$E$2,MATCH(C190,金币本!$F$3:$F$302,1),0)*IF($C$26=1,2,3),0)</f>
        <v>39750</v>
      </c>
      <c r="T190" s="172" t="e">
        <f ca="1">SUM($J$28:S190)+SUM(D190:I190)</f>
        <v>#N/A</v>
      </c>
      <c r="U190" s="172" t="e">
        <f ca="1" t="shared" si="25"/>
        <v>#N/A</v>
      </c>
      <c r="V190" s="98" t="e">
        <f ca="1" t="shared" si="26"/>
        <v>#N/A</v>
      </c>
      <c r="W190" s="98" t="e">
        <f ca="1">OFFSET(装备强化!$U$6,MATCH(图纸产出设计!V191/6*W$26,装备强化!$T$7:$T$306,1),0)*6</f>
        <v>#N/A</v>
      </c>
      <c r="X190" s="98">
        <v>723590</v>
      </c>
      <c r="Y190" s="98">
        <f t="shared" si="32"/>
        <v>5104000</v>
      </c>
      <c r="Z190" s="98">
        <f t="shared" si="34"/>
        <v>2</v>
      </c>
      <c r="AA190" s="147" t="e">
        <f ca="1" t="shared" si="27"/>
        <v>#N/A</v>
      </c>
      <c r="AB190" s="209" t="e">
        <f ca="1" t="shared" si="28"/>
        <v>#N/A</v>
      </c>
      <c r="AC190" s="209">
        <f ca="1">SUMIFS(装备强化!$Q$7:$Q$306,装备强化!$M$7:$M$306,"&lt;="&amp;MATCH(U190/6,装备强化!$U$7:$U$306,1),装备强化!$M$7:$M$306,"&gt;="&amp;MATCH(V190/6,装备强化!$U$7:$U$306,1))*6</f>
        <v>0</v>
      </c>
      <c r="AD190">
        <f ca="1" t="shared" si="33"/>
        <v>0</v>
      </c>
    </row>
    <row r="191" spans="1:30">
      <c r="A191" s="171"/>
      <c r="B191" s="80">
        <v>164</v>
      </c>
      <c r="C191" s="80">
        <f ca="1">OFFSET(产销汇总!$C$12,$B191,$C$26)</f>
        <v>205</v>
      </c>
      <c r="D191" s="80">
        <f t="shared" si="29"/>
        <v>14100</v>
      </c>
      <c r="E191" s="80">
        <f ca="1">(SUMIF(主线推图!$B$4:$B$303,"&lt;"&amp;C191,主线推图!$M$4:$M$303)+SUMIF(主线宝箱!$B$320:$B$620,"&lt;"&amp;C191,主线宝箱!$L$320:$L$620)+SUMIF(主线宝箱!$B$320:$B$620,"&lt;"&amp;C191,主线宝箱!$X$320:$X$620)+SUMIF(主线宝箱!$B$320:$B$620,"&lt;"&amp;C191,主线宝箱!$AL$320:$AL$620))</f>
        <v>364200</v>
      </c>
      <c r="F191" s="98">
        <f ca="1">SUMIF(组队产出!$B$24:$B$39,"&lt;="&amp;MAX(1,INT(C191/10-0.6)),组队产出!$R$24:$R$39)</f>
        <v>141000</v>
      </c>
      <c r="G191" s="80">
        <f ca="1">SUMIF(运营活动!$O$3:$O$27,"&lt;="&amp;C191,运营活动!$P$3:$P$27)</f>
        <v>30000</v>
      </c>
      <c r="H191" s="80">
        <f ca="1">OFFSET(产销汇总!$AM$12,B191,$C$26)*24</f>
        <v>1208688</v>
      </c>
      <c r="I191" s="172">
        <f ca="1">SUMIF(金币本!$F$2:$F$52,"&lt;="&amp;C191,金币本!$D$2:$D$52)</f>
        <v>1425000</v>
      </c>
      <c r="J191" s="80">
        <f ca="1">OFFSET(产销汇总!$C$1,MATCH(J$27,产销汇总!$C$2:$C$8,0),$C$26)*(_xlfn.XLOOKUP(C191,主线推图!$B$313:$B$612,主线推图!$C$313:$C$612)+_xlfn.XLOOKUP(C191,主线推图!$B$313:$B$612,主线推图!$D$313:$D$612))</f>
        <v>15136</v>
      </c>
      <c r="K191" s="80">
        <f ca="1">OFFSET(产销汇总!$C$1,MATCH(K$27,产销汇总!$C$2:$C$8,0),$C$26)*_xlfn.XLOOKUP(C191,巡逻产出!$B$311:$B$610,巡逻产出!$C$311:$C$610)*1.3</f>
        <v>0</v>
      </c>
      <c r="L191" s="80" t="e">
        <f ca="1">OFFSET(产销汇总!$C$1,MATCH(L$27,产销汇总!$C$2:$C$8,0),$C$26)*(_xlfn.XLOOKUP(MAX(1,INT(C191/10-6/10)),组队产出!$B$24:$B$39,组队产出!$D$24:$D$39))+OFFSET(产销汇总!$C$1,MATCH(L$27,产销汇总!$C$2:$C$8,0),$C$26)*(_xlfn.XLOOKUP(MAX(1,INT(C191/10-6/10)),组队产出!$B$24:$B$39,组队产出!$C$24:$C$39))</f>
        <v>#N/A</v>
      </c>
      <c r="M191" s="80">
        <f ca="1">(OFFSET(产销汇总!$C$1,MATCH(M$27,产销汇总!$C$2:$C$8,0),$C$26)*_xlfn.XLOOKUP(C191,巡逻产出!$B$311:$B$610,巡逻产出!$D$311:$D$610))*$M$24</f>
        <v>10732.8</v>
      </c>
      <c r="N191" s="80" t="e">
        <f ca="1">OFFSET(产销汇总!$C$1,MATCH(L$27,产销汇总!$C$2:$C$8,0),$C$26)*(_xlfn.XLOOKUP(MAX(1,INT(C191/10-6/10)),组队产出!$B$24:$B$39,组队产出!$S$24:$S$39))</f>
        <v>#N/A</v>
      </c>
      <c r="O191" s="172">
        <f>任务!$D$36</f>
        <v>2457.14285714286</v>
      </c>
      <c r="P191" s="98">
        <f t="shared" si="24"/>
        <v>428</v>
      </c>
      <c r="Q191" s="80">
        <f t="shared" si="30"/>
        <v>1000</v>
      </c>
      <c r="R191" s="172">
        <f t="shared" si="31"/>
        <v>2000</v>
      </c>
      <c r="S191" s="210">
        <f ca="1">IFERROR(OFFSET(金币本!$E$2,MATCH(C191,金币本!$F$3:$F$302,1),0)*IF($C$26=1,2,3),0)</f>
        <v>39750</v>
      </c>
      <c r="T191" s="172" t="e">
        <f ca="1">SUM($J$28:S191)+SUM(D191:I191)</f>
        <v>#N/A</v>
      </c>
      <c r="U191" s="172" t="e">
        <f ca="1" t="shared" si="25"/>
        <v>#N/A</v>
      </c>
      <c r="V191" s="98" t="e">
        <f ca="1" t="shared" si="26"/>
        <v>#N/A</v>
      </c>
      <c r="W191" s="98" t="e">
        <f ca="1">OFFSET(装备强化!$U$6,MATCH(图纸产出设计!V192/6*W$26,装备强化!$T$7:$T$306,1),0)*6</f>
        <v>#N/A</v>
      </c>
      <c r="X191" s="98">
        <v>723590</v>
      </c>
      <c r="Y191" s="98">
        <f t="shared" si="32"/>
        <v>5136000</v>
      </c>
      <c r="Z191" s="98">
        <f t="shared" si="34"/>
        <v>2</v>
      </c>
      <c r="AA191" s="147" t="e">
        <f ca="1" t="shared" si="27"/>
        <v>#N/A</v>
      </c>
      <c r="AB191" s="209" t="e">
        <f ca="1" t="shared" si="28"/>
        <v>#N/A</v>
      </c>
      <c r="AC191" s="209">
        <f ca="1">SUMIFS(装备强化!$Q$7:$Q$306,装备强化!$M$7:$M$306,"&lt;="&amp;MATCH(U191/6,装备强化!$U$7:$U$306,1),装备强化!$M$7:$M$306,"&gt;="&amp;MATCH(V191/6,装备强化!$U$7:$U$306,1))*6</f>
        <v>0</v>
      </c>
      <c r="AD191">
        <f ca="1" t="shared" si="33"/>
        <v>0</v>
      </c>
    </row>
    <row r="192" spans="1:30">
      <c r="A192" s="171"/>
      <c r="B192" s="80">
        <v>165</v>
      </c>
      <c r="C192" s="80">
        <f ca="1">OFFSET(产销汇总!$C$12,$B192,$C$26)</f>
        <v>205.5</v>
      </c>
      <c r="D192" s="80">
        <f t="shared" si="29"/>
        <v>14100</v>
      </c>
      <c r="E192" s="80">
        <f ca="1">(SUMIF(主线推图!$B$4:$B$303,"&lt;"&amp;C192,主线推图!$M$4:$M$303)+SUMIF(主线宝箱!$B$320:$B$620,"&lt;"&amp;C192,主线宝箱!$L$320:$L$620)+SUMIF(主线宝箱!$B$320:$B$620,"&lt;"&amp;C192,主线宝箱!$X$320:$X$620)+SUMIF(主线宝箱!$B$320:$B$620,"&lt;"&amp;C192,主线宝箱!$AL$320:$AL$620))</f>
        <v>366000</v>
      </c>
      <c r="F192" s="98">
        <f ca="1">SUMIF(组队产出!$B$24:$B$39,"&lt;="&amp;MAX(1,INT(C192/10-0.6)),组队产出!$R$24:$R$39)</f>
        <v>141000</v>
      </c>
      <c r="G192" s="80">
        <f ca="1">SUMIF(运营活动!$O$3:$O$27,"&lt;="&amp;C192,运营活动!$P$3:$P$27)</f>
        <v>30000</v>
      </c>
      <c r="H192" s="80">
        <f ca="1">OFFSET(产销汇总!$AM$12,B192,$C$26)*24</f>
        <v>1215936</v>
      </c>
      <c r="I192" s="172">
        <f ca="1">SUMIF(金币本!$F$2:$F$52,"&lt;="&amp;C192,金币本!$D$2:$D$52)</f>
        <v>1425000</v>
      </c>
      <c r="J192" s="80" t="e">
        <f ca="1">OFFSET(产销汇总!$C$1,MATCH(J$27,产销汇总!$C$2:$C$8,0),$C$26)*(_xlfn.XLOOKUP(C192,主线推图!$B$313:$B$612,主线推图!$C$313:$C$612)+_xlfn.XLOOKUP(C192,主线推图!$B$313:$B$612,主线推图!$D$313:$D$612))</f>
        <v>#N/A</v>
      </c>
      <c r="K192" s="80" t="e">
        <f ca="1">OFFSET(产销汇总!$C$1,MATCH(K$27,产销汇总!$C$2:$C$8,0),$C$26)*_xlfn.XLOOKUP(C192,巡逻产出!$B$311:$B$610,巡逻产出!$C$311:$C$610)*1.3</f>
        <v>#N/A</v>
      </c>
      <c r="L192" s="80" t="e">
        <f ca="1">OFFSET(产销汇总!$C$1,MATCH(L$27,产销汇总!$C$2:$C$8,0),$C$26)*(_xlfn.XLOOKUP(MAX(1,INT(C192/10-6/10)),组队产出!$B$24:$B$39,组队产出!$D$24:$D$39))+OFFSET(产销汇总!$C$1,MATCH(L$27,产销汇总!$C$2:$C$8,0),$C$26)*(_xlfn.XLOOKUP(MAX(1,INT(C192/10-6/10)),组队产出!$B$24:$B$39,组队产出!$C$24:$C$39))</f>
        <v>#N/A</v>
      </c>
      <c r="M192" s="80" t="e">
        <f ca="1">(OFFSET(产销汇总!$C$1,MATCH(M$27,产销汇总!$C$2:$C$8,0),$C$26)*_xlfn.XLOOKUP(C192,巡逻产出!$B$311:$B$610,巡逻产出!$D$311:$D$610))*$M$24</f>
        <v>#N/A</v>
      </c>
      <c r="N192" s="80" t="e">
        <f ca="1">OFFSET(产销汇总!$C$1,MATCH(L$27,产销汇总!$C$2:$C$8,0),$C$26)*(_xlfn.XLOOKUP(MAX(1,INT(C192/10-6/10)),组队产出!$B$24:$B$39,组队产出!$S$24:$S$39))</f>
        <v>#N/A</v>
      </c>
      <c r="O192" s="172">
        <f>任务!$D$36</f>
        <v>2457.14285714286</v>
      </c>
      <c r="P192" s="98">
        <f t="shared" si="24"/>
        <v>428</v>
      </c>
      <c r="Q192" s="80">
        <f t="shared" si="30"/>
        <v>1000</v>
      </c>
      <c r="R192" s="172">
        <f t="shared" si="31"/>
        <v>2000</v>
      </c>
      <c r="S192" s="210">
        <f ca="1">IFERROR(OFFSET(金币本!$E$2,MATCH(C192,金币本!$F$3:$F$302,1),0)*IF($C$26=1,2,3),0)</f>
        <v>39750</v>
      </c>
      <c r="T192" s="172" t="e">
        <f ca="1">SUM($J$28:S192)+SUM(D192:I192)</f>
        <v>#N/A</v>
      </c>
      <c r="U192" s="172" t="e">
        <f ca="1" t="shared" si="25"/>
        <v>#N/A</v>
      </c>
      <c r="V192" s="98" t="e">
        <f ca="1" t="shared" si="26"/>
        <v>#N/A</v>
      </c>
      <c r="W192" s="98" t="e">
        <f ca="1">OFFSET(装备强化!$U$6,MATCH(图纸产出设计!V193/6*W$26,装备强化!$T$7:$T$306,1),0)*6</f>
        <v>#N/A</v>
      </c>
      <c r="X192" s="98">
        <v>723590</v>
      </c>
      <c r="Y192" s="98">
        <f t="shared" si="32"/>
        <v>5168000</v>
      </c>
      <c r="Z192" s="98">
        <f t="shared" si="34"/>
        <v>2</v>
      </c>
      <c r="AA192" s="147" t="e">
        <f ca="1" t="shared" si="27"/>
        <v>#N/A</v>
      </c>
      <c r="AB192" s="209" t="e">
        <f ca="1" t="shared" si="28"/>
        <v>#N/A</v>
      </c>
      <c r="AC192" s="209">
        <f ca="1">SUMIFS(装备强化!$Q$7:$Q$306,装备强化!$M$7:$M$306,"&lt;="&amp;MATCH(U192/6,装备强化!$U$7:$U$306,1),装备强化!$M$7:$M$306,"&gt;="&amp;MATCH(V192/6,装备强化!$U$7:$U$306,1))*6</f>
        <v>0</v>
      </c>
      <c r="AD192">
        <f ca="1" t="shared" si="33"/>
        <v>0</v>
      </c>
    </row>
    <row r="193" spans="1:30">
      <c r="A193" s="171"/>
      <c r="B193" s="80">
        <v>166</v>
      </c>
      <c r="C193" s="80">
        <f ca="1">OFFSET(产销汇总!$C$12,$B193,$C$26)</f>
        <v>206</v>
      </c>
      <c r="D193" s="80">
        <f t="shared" si="29"/>
        <v>14100</v>
      </c>
      <c r="E193" s="80">
        <f ca="1">(SUMIF(主线推图!$B$4:$B$303,"&lt;"&amp;C193,主线推图!$M$4:$M$303)+SUMIF(主线宝箱!$B$320:$B$620,"&lt;"&amp;C193,主线宝箱!$L$320:$L$620)+SUMIF(主线宝箱!$B$320:$B$620,"&lt;"&amp;C193,主线宝箱!$X$320:$X$620)+SUMIF(主线宝箱!$B$320:$B$620,"&lt;"&amp;C193,主线宝箱!$AL$320:$AL$620))</f>
        <v>366000</v>
      </c>
      <c r="F193" s="98">
        <f ca="1">SUMIF(组队产出!$B$24:$B$39,"&lt;="&amp;MAX(1,INT(C193/10-0.6)),组队产出!$R$24:$R$39)</f>
        <v>141000</v>
      </c>
      <c r="G193" s="80">
        <f ca="1">SUMIF(运营活动!$O$3:$O$27,"&lt;="&amp;C193,运营活动!$P$3:$P$27)</f>
        <v>30000</v>
      </c>
      <c r="H193" s="80">
        <f ca="1">OFFSET(产销汇总!$AM$12,B193,$C$26)*24</f>
        <v>1223184</v>
      </c>
      <c r="I193" s="172">
        <f ca="1">SUMIF(金币本!$F$2:$F$52,"&lt;="&amp;C193,金币本!$D$2:$D$52)</f>
        <v>1425000</v>
      </c>
      <c r="J193" s="80">
        <f ca="1">OFFSET(产销汇总!$C$1,MATCH(J$27,产销汇总!$C$2:$C$8,0),$C$26)*(_xlfn.XLOOKUP(C193,主线推图!$B$313:$B$612,主线推图!$C$313:$C$612)+_xlfn.XLOOKUP(C193,主线推图!$B$313:$B$612,主线推图!$D$313:$D$612))</f>
        <v>15180</v>
      </c>
      <c r="K193" s="80">
        <f ca="1">OFFSET(产销汇总!$C$1,MATCH(K$27,产销汇总!$C$2:$C$8,0),$C$26)*_xlfn.XLOOKUP(C193,巡逻产出!$B$311:$B$610,巡逻产出!$C$311:$C$610)*1.3</f>
        <v>0</v>
      </c>
      <c r="L193" s="80" t="e">
        <f ca="1">OFFSET(产销汇总!$C$1,MATCH(L$27,产销汇总!$C$2:$C$8,0),$C$26)*(_xlfn.XLOOKUP(MAX(1,INT(C193/10-6/10)),组队产出!$B$24:$B$39,组队产出!$D$24:$D$39))+OFFSET(产销汇总!$C$1,MATCH(L$27,产销汇总!$C$2:$C$8,0),$C$26)*(_xlfn.XLOOKUP(MAX(1,INT(C193/10-6/10)),组队产出!$B$24:$B$39,组队产出!$C$24:$C$39))</f>
        <v>#N/A</v>
      </c>
      <c r="M193" s="80">
        <f ca="1">(OFFSET(产销汇总!$C$1,MATCH(M$27,产销汇总!$C$2:$C$8,0),$C$26)*_xlfn.XLOOKUP(C193,巡逻产出!$B$311:$B$610,巡逻产出!$D$311:$D$610))*$M$24</f>
        <v>10764</v>
      </c>
      <c r="N193" s="80" t="e">
        <f ca="1">OFFSET(产销汇总!$C$1,MATCH(L$27,产销汇总!$C$2:$C$8,0),$C$26)*(_xlfn.XLOOKUP(MAX(1,INT(C193/10-6/10)),组队产出!$B$24:$B$39,组队产出!$S$24:$S$39))</f>
        <v>#N/A</v>
      </c>
      <c r="O193" s="172">
        <f>任务!$D$36</f>
        <v>2457.14285714286</v>
      </c>
      <c r="P193" s="98">
        <f t="shared" si="24"/>
        <v>428</v>
      </c>
      <c r="Q193" s="80">
        <f t="shared" si="30"/>
        <v>1000</v>
      </c>
      <c r="R193" s="172">
        <f t="shared" si="31"/>
        <v>2000</v>
      </c>
      <c r="S193" s="210">
        <f ca="1">IFERROR(OFFSET(金币本!$E$2,MATCH(C193,金币本!$F$3:$F$302,1),0)*IF($C$26=1,2,3),0)</f>
        <v>39750</v>
      </c>
      <c r="T193" s="172" t="e">
        <f ca="1">SUM($J$28:S193)+SUM(D193:I193)</f>
        <v>#N/A</v>
      </c>
      <c r="U193" s="172" t="e">
        <f ca="1" t="shared" si="25"/>
        <v>#N/A</v>
      </c>
      <c r="V193" s="98" t="e">
        <f ca="1" t="shared" si="26"/>
        <v>#N/A</v>
      </c>
      <c r="W193" s="98" t="e">
        <f ca="1">OFFSET(装备强化!$U$6,MATCH(图纸产出设计!V194/6*W$26,装备强化!$T$7:$T$306,1),0)*6</f>
        <v>#N/A</v>
      </c>
      <c r="X193" s="98">
        <v>733690</v>
      </c>
      <c r="Y193" s="98">
        <f t="shared" si="32"/>
        <v>5200000</v>
      </c>
      <c r="Z193" s="98">
        <f t="shared" si="34"/>
        <v>2</v>
      </c>
      <c r="AA193" s="147" t="e">
        <f ca="1" t="shared" si="27"/>
        <v>#N/A</v>
      </c>
      <c r="AB193" s="209" t="e">
        <f ca="1" t="shared" si="28"/>
        <v>#N/A</v>
      </c>
      <c r="AC193" s="209">
        <f ca="1">SUMIFS(装备强化!$Q$7:$Q$306,装备强化!$M$7:$M$306,"&lt;="&amp;MATCH(U193/6,装备强化!$U$7:$U$306,1),装备强化!$M$7:$M$306,"&gt;="&amp;MATCH(V193/6,装备强化!$U$7:$U$306,1))*6</f>
        <v>0</v>
      </c>
      <c r="AD193">
        <f ca="1" t="shared" si="33"/>
        <v>0</v>
      </c>
    </row>
    <row r="194" spans="1:30">
      <c r="A194" s="171"/>
      <c r="B194" s="80">
        <v>167</v>
      </c>
      <c r="C194" s="80">
        <f ca="1">OFFSET(产销汇总!$C$12,$B194,$C$26)</f>
        <v>206.5</v>
      </c>
      <c r="D194" s="80">
        <f t="shared" si="29"/>
        <v>14100</v>
      </c>
      <c r="E194" s="80">
        <f ca="1">(SUMIF(主线推图!$B$4:$B$303,"&lt;"&amp;C194,主线推图!$M$4:$M$303)+SUMIF(主线宝箱!$B$320:$B$620,"&lt;"&amp;C194,主线宝箱!$L$320:$L$620)+SUMIF(主线宝箱!$B$320:$B$620,"&lt;"&amp;C194,主线宝箱!$X$320:$X$620)+SUMIF(主线宝箱!$B$320:$B$620,"&lt;"&amp;C194,主线宝箱!$AL$320:$AL$620))</f>
        <v>367800</v>
      </c>
      <c r="F194" s="98">
        <f ca="1">SUMIF(组队产出!$B$24:$B$39,"&lt;="&amp;MAX(1,INT(C194/10-0.6)),组队产出!$R$24:$R$39)</f>
        <v>141000</v>
      </c>
      <c r="G194" s="80">
        <f ca="1">SUMIF(运营活动!$O$3:$O$27,"&lt;="&amp;C194,运营活动!$P$3:$P$27)</f>
        <v>30000</v>
      </c>
      <c r="H194" s="80">
        <f ca="1">OFFSET(产销汇总!$AM$12,B194,$C$26)*24</f>
        <v>1230432</v>
      </c>
      <c r="I194" s="172">
        <f ca="1">SUMIF(金币本!$F$2:$F$52,"&lt;="&amp;C194,金币本!$D$2:$D$52)</f>
        <v>1425000</v>
      </c>
      <c r="J194" s="80" t="e">
        <f ca="1">OFFSET(产销汇总!$C$1,MATCH(J$27,产销汇总!$C$2:$C$8,0),$C$26)*(_xlfn.XLOOKUP(C194,主线推图!$B$313:$B$612,主线推图!$C$313:$C$612)+_xlfn.XLOOKUP(C194,主线推图!$B$313:$B$612,主线推图!$D$313:$D$612))</f>
        <v>#N/A</v>
      </c>
      <c r="K194" s="80" t="e">
        <f ca="1">OFFSET(产销汇总!$C$1,MATCH(K$27,产销汇总!$C$2:$C$8,0),$C$26)*_xlfn.XLOOKUP(C194,巡逻产出!$B$311:$B$610,巡逻产出!$C$311:$C$610)*1.3</f>
        <v>#N/A</v>
      </c>
      <c r="L194" s="80" t="e">
        <f ca="1">OFFSET(产销汇总!$C$1,MATCH(L$27,产销汇总!$C$2:$C$8,0),$C$26)*(_xlfn.XLOOKUP(MAX(1,INT(C194/10-6/10)),组队产出!$B$24:$B$39,组队产出!$D$24:$D$39))+OFFSET(产销汇总!$C$1,MATCH(L$27,产销汇总!$C$2:$C$8,0),$C$26)*(_xlfn.XLOOKUP(MAX(1,INT(C194/10-6/10)),组队产出!$B$24:$B$39,组队产出!$C$24:$C$39))</f>
        <v>#N/A</v>
      </c>
      <c r="M194" s="80" t="e">
        <f ca="1">(OFFSET(产销汇总!$C$1,MATCH(M$27,产销汇总!$C$2:$C$8,0),$C$26)*_xlfn.XLOOKUP(C194,巡逻产出!$B$311:$B$610,巡逻产出!$D$311:$D$610))*$M$24</f>
        <v>#N/A</v>
      </c>
      <c r="N194" s="80" t="e">
        <f ca="1">OFFSET(产销汇总!$C$1,MATCH(L$27,产销汇总!$C$2:$C$8,0),$C$26)*(_xlfn.XLOOKUP(MAX(1,INT(C194/10-6/10)),组队产出!$B$24:$B$39,组队产出!$S$24:$S$39))</f>
        <v>#N/A</v>
      </c>
      <c r="O194" s="172">
        <f>任务!$D$36</f>
        <v>2457.14285714286</v>
      </c>
      <c r="P194" s="98">
        <f t="shared" si="24"/>
        <v>428</v>
      </c>
      <c r="Q194" s="80">
        <f t="shared" si="30"/>
        <v>1000</v>
      </c>
      <c r="R194" s="172">
        <f t="shared" si="31"/>
        <v>2000</v>
      </c>
      <c r="S194" s="210">
        <f ca="1">IFERROR(OFFSET(金币本!$E$2,MATCH(C194,金币本!$F$3:$F$302,1),0)*IF($C$26=1,2,3),0)</f>
        <v>39750</v>
      </c>
      <c r="T194" s="172" t="e">
        <f ca="1">SUM($J$28:S194)+SUM(D194:I194)</f>
        <v>#N/A</v>
      </c>
      <c r="U194" s="172" t="e">
        <f ca="1" t="shared" si="25"/>
        <v>#N/A</v>
      </c>
      <c r="V194" s="98" t="e">
        <f ca="1" t="shared" si="26"/>
        <v>#N/A</v>
      </c>
      <c r="W194" s="98" t="e">
        <f ca="1">OFFSET(装备强化!$U$6,MATCH(图纸产出设计!V195/6*W$26,装备强化!$T$7:$T$306,1),0)*6</f>
        <v>#N/A</v>
      </c>
      <c r="X194" s="98">
        <v>733690</v>
      </c>
      <c r="Y194" s="98">
        <f t="shared" si="32"/>
        <v>5232000</v>
      </c>
      <c r="Z194" s="98">
        <f t="shared" si="34"/>
        <v>2</v>
      </c>
      <c r="AA194" s="147" t="e">
        <f ca="1" t="shared" si="27"/>
        <v>#N/A</v>
      </c>
      <c r="AB194" s="209" t="e">
        <f ca="1" t="shared" si="28"/>
        <v>#N/A</v>
      </c>
      <c r="AC194" s="209">
        <f ca="1">SUMIFS(装备强化!$Q$7:$Q$306,装备强化!$M$7:$M$306,"&lt;="&amp;MATCH(U194/6,装备强化!$U$7:$U$306,1),装备强化!$M$7:$M$306,"&gt;="&amp;MATCH(V194/6,装备强化!$U$7:$U$306,1))*6</f>
        <v>0</v>
      </c>
      <c r="AD194">
        <f ca="1" t="shared" si="33"/>
        <v>0</v>
      </c>
    </row>
    <row r="195" spans="1:30">
      <c r="A195" s="171"/>
      <c r="B195" s="80">
        <v>168</v>
      </c>
      <c r="C195" s="80">
        <f ca="1">OFFSET(产销汇总!$C$12,$B195,$C$26)</f>
        <v>207</v>
      </c>
      <c r="D195" s="80">
        <f t="shared" si="29"/>
        <v>14100</v>
      </c>
      <c r="E195" s="80">
        <f ca="1">(SUMIF(主线推图!$B$4:$B$303,"&lt;"&amp;C195,主线推图!$M$4:$M$303)+SUMIF(主线宝箱!$B$320:$B$620,"&lt;"&amp;C195,主线宝箱!$L$320:$L$620)+SUMIF(主线宝箱!$B$320:$B$620,"&lt;"&amp;C195,主线宝箱!$X$320:$X$620)+SUMIF(主线宝箱!$B$320:$B$620,"&lt;"&amp;C195,主线宝箱!$AL$320:$AL$620))</f>
        <v>367800</v>
      </c>
      <c r="F195" s="98">
        <f ca="1">SUMIF(组队产出!$B$24:$B$39,"&lt;="&amp;MAX(1,INT(C195/10-0.6)),组队产出!$R$24:$R$39)</f>
        <v>141000</v>
      </c>
      <c r="G195" s="80">
        <f ca="1">SUMIF(运营活动!$O$3:$O$27,"&lt;="&amp;C195,运营活动!$P$3:$P$27)</f>
        <v>30000</v>
      </c>
      <c r="H195" s="80">
        <f ca="1">OFFSET(产销汇总!$AM$12,B195,$C$26)*24</f>
        <v>1237680</v>
      </c>
      <c r="I195" s="172">
        <f ca="1">SUMIF(金币本!$F$2:$F$52,"&lt;="&amp;C195,金币本!$D$2:$D$52)</f>
        <v>1425000</v>
      </c>
      <c r="J195" s="80">
        <f ca="1">OFFSET(产销汇总!$C$1,MATCH(J$27,产销汇总!$C$2:$C$8,0),$C$26)*(_xlfn.XLOOKUP(C195,主线推图!$B$313:$B$612,主线推图!$C$313:$C$612)+_xlfn.XLOOKUP(C195,主线推图!$B$313:$B$612,主线推图!$D$313:$D$612))</f>
        <v>15224</v>
      </c>
      <c r="K195" s="80">
        <f ca="1">OFFSET(产销汇总!$C$1,MATCH(K$27,产销汇总!$C$2:$C$8,0),$C$26)*_xlfn.XLOOKUP(C195,巡逻产出!$B$311:$B$610,巡逻产出!$C$311:$C$610)*1.3</f>
        <v>0</v>
      </c>
      <c r="L195" s="80" t="e">
        <f ca="1">OFFSET(产销汇总!$C$1,MATCH(L$27,产销汇总!$C$2:$C$8,0),$C$26)*(_xlfn.XLOOKUP(MAX(1,INT(C195/10-6/10)),组队产出!$B$24:$B$39,组队产出!$D$24:$D$39))+OFFSET(产销汇总!$C$1,MATCH(L$27,产销汇总!$C$2:$C$8,0),$C$26)*(_xlfn.XLOOKUP(MAX(1,INT(C195/10-6/10)),组队产出!$B$24:$B$39,组队产出!$C$24:$C$39))</f>
        <v>#N/A</v>
      </c>
      <c r="M195" s="80">
        <f ca="1">(OFFSET(产销汇总!$C$1,MATCH(M$27,产销汇总!$C$2:$C$8,0),$C$26)*_xlfn.XLOOKUP(C195,巡逻产出!$B$311:$B$610,巡逻产出!$D$311:$D$610))*$M$24</f>
        <v>10795.2</v>
      </c>
      <c r="N195" s="80" t="e">
        <f ca="1">OFFSET(产销汇总!$C$1,MATCH(L$27,产销汇总!$C$2:$C$8,0),$C$26)*(_xlfn.XLOOKUP(MAX(1,INT(C195/10-6/10)),组队产出!$B$24:$B$39,组队产出!$S$24:$S$39))</f>
        <v>#N/A</v>
      </c>
      <c r="O195" s="172">
        <f>任务!$D$36</f>
        <v>2457.14285714286</v>
      </c>
      <c r="P195" s="98">
        <f t="shared" si="24"/>
        <v>428</v>
      </c>
      <c r="Q195" s="80">
        <f t="shared" si="30"/>
        <v>1000</v>
      </c>
      <c r="R195" s="172">
        <f t="shared" si="31"/>
        <v>2000</v>
      </c>
      <c r="S195" s="210">
        <f ca="1">IFERROR(OFFSET(金币本!$E$2,MATCH(C195,金币本!$F$3:$F$302,1),0)*IF($C$26=1,2,3),0)</f>
        <v>39750</v>
      </c>
      <c r="T195" s="172" t="e">
        <f ca="1">SUM($J$28:S195)+SUM(D195:I195)</f>
        <v>#N/A</v>
      </c>
      <c r="U195" s="172" t="e">
        <f ca="1" t="shared" si="25"/>
        <v>#N/A</v>
      </c>
      <c r="V195" s="98" t="e">
        <f ca="1" t="shared" si="26"/>
        <v>#N/A</v>
      </c>
      <c r="W195" s="98" t="e">
        <f ca="1">OFFSET(装备强化!$U$6,MATCH(图纸产出设计!V196/6*W$26,装备强化!$T$7:$T$306,1),0)*6</f>
        <v>#N/A</v>
      </c>
      <c r="X195" s="98">
        <v>743860</v>
      </c>
      <c r="Y195" s="98">
        <f t="shared" si="32"/>
        <v>5264000</v>
      </c>
      <c r="Z195" s="98">
        <f t="shared" si="34"/>
        <v>2</v>
      </c>
      <c r="AA195" s="147" t="e">
        <f ca="1" t="shared" si="27"/>
        <v>#N/A</v>
      </c>
      <c r="AB195" s="209" t="e">
        <f ca="1" t="shared" si="28"/>
        <v>#N/A</v>
      </c>
      <c r="AC195" s="209">
        <f ca="1">SUMIFS(装备强化!$Q$7:$Q$306,装备强化!$M$7:$M$306,"&lt;="&amp;MATCH(U195/6,装备强化!$U$7:$U$306,1),装备强化!$M$7:$M$306,"&gt;="&amp;MATCH(V195/6,装备强化!$U$7:$U$306,1))*6</f>
        <v>0</v>
      </c>
      <c r="AD195">
        <f ca="1" t="shared" si="33"/>
        <v>0</v>
      </c>
    </row>
    <row r="196" spans="1:30">
      <c r="A196" s="171"/>
      <c r="B196" s="80">
        <v>169</v>
      </c>
      <c r="C196" s="80">
        <f ca="1">OFFSET(产销汇总!$C$12,$B196,$C$26)</f>
        <v>207.5</v>
      </c>
      <c r="D196" s="80">
        <f t="shared" si="29"/>
        <v>14100</v>
      </c>
      <c r="E196" s="80">
        <f ca="1">(SUMIF(主线推图!$B$4:$B$303,"&lt;"&amp;C196,主线推图!$M$4:$M$303)+SUMIF(主线宝箱!$B$320:$B$620,"&lt;"&amp;C196,主线宝箱!$L$320:$L$620)+SUMIF(主线宝箱!$B$320:$B$620,"&lt;"&amp;C196,主线宝箱!$X$320:$X$620)+SUMIF(主线宝箱!$B$320:$B$620,"&lt;"&amp;C196,主线宝箱!$AL$320:$AL$620))</f>
        <v>369600</v>
      </c>
      <c r="F196" s="98">
        <f ca="1">SUMIF(组队产出!$B$24:$B$39,"&lt;="&amp;MAX(1,INT(C196/10-0.6)),组队产出!$R$24:$R$39)</f>
        <v>141000</v>
      </c>
      <c r="G196" s="80">
        <f ca="1">SUMIF(运营活动!$O$3:$O$27,"&lt;="&amp;C196,运营活动!$P$3:$P$27)</f>
        <v>30000</v>
      </c>
      <c r="H196" s="80">
        <f ca="1">OFFSET(产销汇总!$AM$12,B196,$C$26)*24</f>
        <v>1244928</v>
      </c>
      <c r="I196" s="172">
        <f ca="1">SUMIF(金币本!$F$2:$F$52,"&lt;="&amp;C196,金币本!$D$2:$D$52)</f>
        <v>1425000</v>
      </c>
      <c r="J196" s="80" t="e">
        <f ca="1">OFFSET(产销汇总!$C$1,MATCH(J$27,产销汇总!$C$2:$C$8,0),$C$26)*(_xlfn.XLOOKUP(C196,主线推图!$B$313:$B$612,主线推图!$C$313:$C$612)+_xlfn.XLOOKUP(C196,主线推图!$B$313:$B$612,主线推图!$D$313:$D$612))</f>
        <v>#N/A</v>
      </c>
      <c r="K196" s="80" t="e">
        <f ca="1">OFFSET(产销汇总!$C$1,MATCH(K$27,产销汇总!$C$2:$C$8,0),$C$26)*_xlfn.XLOOKUP(C196,巡逻产出!$B$311:$B$610,巡逻产出!$C$311:$C$610)*1.3</f>
        <v>#N/A</v>
      </c>
      <c r="L196" s="80" t="e">
        <f ca="1">OFFSET(产销汇总!$C$1,MATCH(L$27,产销汇总!$C$2:$C$8,0),$C$26)*(_xlfn.XLOOKUP(MAX(1,INT(C196/10-6/10)),组队产出!$B$24:$B$39,组队产出!$D$24:$D$39))+OFFSET(产销汇总!$C$1,MATCH(L$27,产销汇总!$C$2:$C$8,0),$C$26)*(_xlfn.XLOOKUP(MAX(1,INT(C196/10-6/10)),组队产出!$B$24:$B$39,组队产出!$C$24:$C$39))</f>
        <v>#N/A</v>
      </c>
      <c r="M196" s="80" t="e">
        <f ca="1">(OFFSET(产销汇总!$C$1,MATCH(M$27,产销汇总!$C$2:$C$8,0),$C$26)*_xlfn.XLOOKUP(C196,巡逻产出!$B$311:$B$610,巡逻产出!$D$311:$D$610))*$M$24</f>
        <v>#N/A</v>
      </c>
      <c r="N196" s="80" t="e">
        <f ca="1">OFFSET(产销汇总!$C$1,MATCH(L$27,产销汇总!$C$2:$C$8,0),$C$26)*(_xlfn.XLOOKUP(MAX(1,INT(C196/10-6/10)),组队产出!$B$24:$B$39,组队产出!$S$24:$S$39))</f>
        <v>#N/A</v>
      </c>
      <c r="O196" s="172">
        <f>任务!$D$36</f>
        <v>2457.14285714286</v>
      </c>
      <c r="P196" s="98">
        <f t="shared" si="24"/>
        <v>428</v>
      </c>
      <c r="Q196" s="80">
        <f t="shared" si="30"/>
        <v>1500</v>
      </c>
      <c r="R196" s="172">
        <f t="shared" si="31"/>
        <v>2000</v>
      </c>
      <c r="S196" s="210">
        <f ca="1">IFERROR(OFFSET(金币本!$E$2,MATCH(C196,金币本!$F$3:$F$302,1),0)*IF($C$26=1,2,3),0)</f>
        <v>39750</v>
      </c>
      <c r="T196" s="172" t="e">
        <f ca="1">SUM($J$28:S196)+SUM(D196:I196)</f>
        <v>#N/A</v>
      </c>
      <c r="U196" s="172" t="e">
        <f ca="1" t="shared" si="25"/>
        <v>#N/A</v>
      </c>
      <c r="V196" s="98" t="e">
        <f ca="1" t="shared" si="26"/>
        <v>#N/A</v>
      </c>
      <c r="W196" s="98" t="e">
        <f ca="1">OFFSET(装备强化!$U$6,MATCH(图纸产出设计!V197/6*W$26,装备强化!$T$7:$T$306,1),0)*6</f>
        <v>#N/A</v>
      </c>
      <c r="X196" s="98">
        <v>743860</v>
      </c>
      <c r="Y196" s="98">
        <f t="shared" si="32"/>
        <v>5296000</v>
      </c>
      <c r="Z196" s="98">
        <f t="shared" si="34"/>
        <v>2</v>
      </c>
      <c r="AA196" s="147" t="e">
        <f ca="1" t="shared" si="27"/>
        <v>#N/A</v>
      </c>
      <c r="AB196" s="209" t="e">
        <f ca="1" t="shared" si="28"/>
        <v>#N/A</v>
      </c>
      <c r="AC196" s="209">
        <f ca="1">SUMIFS(装备强化!$Q$7:$Q$306,装备强化!$M$7:$M$306,"&lt;="&amp;MATCH(U196/6,装备强化!$U$7:$U$306,1),装备强化!$M$7:$M$306,"&gt;="&amp;MATCH(V196/6,装备强化!$U$7:$U$306,1))*6</f>
        <v>0</v>
      </c>
      <c r="AD196">
        <f ca="1" t="shared" si="33"/>
        <v>0</v>
      </c>
    </row>
    <row r="197" spans="1:30">
      <c r="A197" s="171"/>
      <c r="B197" s="80">
        <v>170</v>
      </c>
      <c r="C197" s="80">
        <f ca="1">OFFSET(产销汇总!$C$12,$B197,$C$26)</f>
        <v>208</v>
      </c>
      <c r="D197" s="80">
        <f t="shared" si="29"/>
        <v>14100</v>
      </c>
      <c r="E197" s="80">
        <f ca="1">(SUMIF(主线推图!$B$4:$B$303,"&lt;"&amp;C197,主线推图!$M$4:$M$303)+SUMIF(主线宝箱!$B$320:$B$620,"&lt;"&amp;C197,主线宝箱!$L$320:$L$620)+SUMIF(主线宝箱!$B$320:$B$620,"&lt;"&amp;C197,主线宝箱!$X$320:$X$620)+SUMIF(主线宝箱!$B$320:$B$620,"&lt;"&amp;C197,主线宝箱!$AL$320:$AL$620))</f>
        <v>369600</v>
      </c>
      <c r="F197" s="98">
        <f ca="1">SUMIF(组队产出!$B$24:$B$39,"&lt;="&amp;MAX(1,INT(C197/10-0.6)),组队产出!$R$24:$R$39)</f>
        <v>141000</v>
      </c>
      <c r="G197" s="80">
        <f ca="1">SUMIF(运营活动!$O$3:$O$27,"&lt;="&amp;C197,运营活动!$P$3:$P$27)</f>
        <v>30000</v>
      </c>
      <c r="H197" s="80">
        <f ca="1">OFFSET(产销汇总!$AM$12,B197,$C$26)*24</f>
        <v>1252176</v>
      </c>
      <c r="I197" s="172">
        <f ca="1">SUMIF(金币本!$F$2:$F$52,"&lt;="&amp;C197,金币本!$D$2:$D$52)</f>
        <v>1425000</v>
      </c>
      <c r="J197" s="80">
        <f ca="1">OFFSET(产销汇总!$C$1,MATCH(J$27,产销汇总!$C$2:$C$8,0),$C$26)*(_xlfn.XLOOKUP(C197,主线推图!$B$313:$B$612,主线推图!$C$313:$C$612)+_xlfn.XLOOKUP(C197,主线推图!$B$313:$B$612,主线推图!$D$313:$D$612))</f>
        <v>15268</v>
      </c>
      <c r="K197" s="80">
        <f ca="1">OFFSET(产销汇总!$C$1,MATCH(K$27,产销汇总!$C$2:$C$8,0),$C$26)*_xlfn.XLOOKUP(C197,巡逻产出!$B$311:$B$610,巡逻产出!$C$311:$C$610)*1.3</f>
        <v>0</v>
      </c>
      <c r="L197" s="80" t="e">
        <f ca="1">OFFSET(产销汇总!$C$1,MATCH(L$27,产销汇总!$C$2:$C$8,0),$C$26)*(_xlfn.XLOOKUP(MAX(1,INT(C197/10-6/10)),组队产出!$B$24:$B$39,组队产出!$D$24:$D$39))+OFFSET(产销汇总!$C$1,MATCH(L$27,产销汇总!$C$2:$C$8,0),$C$26)*(_xlfn.XLOOKUP(MAX(1,INT(C197/10-6/10)),组队产出!$B$24:$B$39,组队产出!$C$24:$C$39))</f>
        <v>#N/A</v>
      </c>
      <c r="M197" s="80">
        <f ca="1">(OFFSET(产销汇总!$C$1,MATCH(M$27,产销汇总!$C$2:$C$8,0),$C$26)*_xlfn.XLOOKUP(C197,巡逻产出!$B$311:$B$610,巡逻产出!$D$311:$D$610))*$M$24</f>
        <v>10826.4</v>
      </c>
      <c r="N197" s="80" t="e">
        <f ca="1">OFFSET(产销汇总!$C$1,MATCH(L$27,产销汇总!$C$2:$C$8,0),$C$26)*(_xlfn.XLOOKUP(MAX(1,INT(C197/10-6/10)),组队产出!$B$24:$B$39,组队产出!$S$24:$S$39))</f>
        <v>#N/A</v>
      </c>
      <c r="O197" s="172">
        <f>任务!$D$36</f>
        <v>2457.14285714286</v>
      </c>
      <c r="P197" s="98">
        <f t="shared" si="24"/>
        <v>428</v>
      </c>
      <c r="Q197" s="80">
        <f t="shared" si="30"/>
        <v>1000</v>
      </c>
      <c r="R197" s="172">
        <f t="shared" si="31"/>
        <v>2000</v>
      </c>
      <c r="S197" s="210">
        <f ca="1">IFERROR(OFFSET(金币本!$E$2,MATCH(C197,金币本!$F$3:$F$302,1),0)*IF($C$26=1,2,3),0)</f>
        <v>39750</v>
      </c>
      <c r="T197" s="172" t="e">
        <f ca="1">SUM($J$28:S197)+SUM(D197:I197)</f>
        <v>#N/A</v>
      </c>
      <c r="U197" s="172" t="e">
        <f ca="1" t="shared" si="25"/>
        <v>#N/A</v>
      </c>
      <c r="V197" s="98" t="e">
        <f ca="1" t="shared" si="26"/>
        <v>#N/A</v>
      </c>
      <c r="W197" s="98" t="e">
        <f ca="1">OFFSET(装备强化!$U$6,MATCH(图纸产出设计!V198/6*W$26,装备强化!$T$7:$T$306,1),0)*6</f>
        <v>#N/A</v>
      </c>
      <c r="X197" s="98">
        <v>754100</v>
      </c>
      <c r="Y197" s="98">
        <f t="shared" si="32"/>
        <v>5328000</v>
      </c>
      <c r="Z197" s="98">
        <f t="shared" si="34"/>
        <v>2</v>
      </c>
      <c r="AA197" s="147" t="e">
        <f ca="1" t="shared" si="27"/>
        <v>#N/A</v>
      </c>
      <c r="AB197" s="209" t="e">
        <f ca="1" t="shared" si="28"/>
        <v>#N/A</v>
      </c>
      <c r="AC197" s="209">
        <f ca="1">SUMIFS(装备强化!$Q$7:$Q$306,装备强化!$M$7:$M$306,"&lt;="&amp;MATCH(U197/6,装备强化!$U$7:$U$306,1),装备强化!$M$7:$M$306,"&gt;="&amp;MATCH(V197/6,装备强化!$U$7:$U$306,1))*6</f>
        <v>0</v>
      </c>
      <c r="AD197">
        <f ca="1" t="shared" si="33"/>
        <v>0</v>
      </c>
    </row>
    <row r="198" spans="1:30">
      <c r="A198" s="171"/>
      <c r="B198" s="80">
        <v>171</v>
      </c>
      <c r="C198" s="80">
        <f ca="1">OFFSET(产销汇总!$C$12,$B198,$C$26)</f>
        <v>208.5</v>
      </c>
      <c r="D198" s="80">
        <f t="shared" si="29"/>
        <v>14100</v>
      </c>
      <c r="E198" s="80">
        <f ca="1">(SUMIF(主线推图!$B$4:$B$303,"&lt;"&amp;C198,主线推图!$M$4:$M$303)+SUMIF(主线宝箱!$B$320:$B$620,"&lt;"&amp;C198,主线宝箱!$L$320:$L$620)+SUMIF(主线宝箱!$B$320:$B$620,"&lt;"&amp;C198,主线宝箱!$X$320:$X$620)+SUMIF(主线宝箱!$B$320:$B$620,"&lt;"&amp;C198,主线宝箱!$AL$320:$AL$620))</f>
        <v>371400</v>
      </c>
      <c r="F198" s="98">
        <f ca="1">SUMIF(组队产出!$B$24:$B$39,"&lt;="&amp;MAX(1,INT(C198/10-0.6)),组队产出!$R$24:$R$39)</f>
        <v>141000</v>
      </c>
      <c r="G198" s="80">
        <f ca="1">SUMIF(运营活动!$O$3:$O$27,"&lt;="&amp;C198,运营活动!$P$3:$P$27)</f>
        <v>30000</v>
      </c>
      <c r="H198" s="80">
        <f ca="1">OFFSET(产销汇总!$AM$12,B198,$C$26)*24</f>
        <v>1259424</v>
      </c>
      <c r="I198" s="172">
        <f ca="1">SUMIF(金币本!$F$2:$F$52,"&lt;="&amp;C198,金币本!$D$2:$D$52)</f>
        <v>1425000</v>
      </c>
      <c r="J198" s="80" t="e">
        <f ca="1">OFFSET(产销汇总!$C$1,MATCH(J$27,产销汇总!$C$2:$C$8,0),$C$26)*(_xlfn.XLOOKUP(C198,主线推图!$B$313:$B$612,主线推图!$C$313:$C$612)+_xlfn.XLOOKUP(C198,主线推图!$B$313:$B$612,主线推图!$D$313:$D$612))</f>
        <v>#N/A</v>
      </c>
      <c r="K198" s="80" t="e">
        <f ca="1">OFFSET(产销汇总!$C$1,MATCH(K$27,产销汇总!$C$2:$C$8,0),$C$26)*_xlfn.XLOOKUP(C198,巡逻产出!$B$311:$B$610,巡逻产出!$C$311:$C$610)*1.3</f>
        <v>#N/A</v>
      </c>
      <c r="L198" s="80" t="e">
        <f ca="1">OFFSET(产销汇总!$C$1,MATCH(L$27,产销汇总!$C$2:$C$8,0),$C$26)*(_xlfn.XLOOKUP(MAX(1,INT(C198/10-6/10)),组队产出!$B$24:$B$39,组队产出!$D$24:$D$39))+OFFSET(产销汇总!$C$1,MATCH(L$27,产销汇总!$C$2:$C$8,0),$C$26)*(_xlfn.XLOOKUP(MAX(1,INT(C198/10-6/10)),组队产出!$B$24:$B$39,组队产出!$C$24:$C$39))</f>
        <v>#N/A</v>
      </c>
      <c r="M198" s="80" t="e">
        <f ca="1">(OFFSET(产销汇总!$C$1,MATCH(M$27,产销汇总!$C$2:$C$8,0),$C$26)*_xlfn.XLOOKUP(C198,巡逻产出!$B$311:$B$610,巡逻产出!$D$311:$D$610))*$M$24</f>
        <v>#N/A</v>
      </c>
      <c r="N198" s="80" t="e">
        <f ca="1">OFFSET(产销汇总!$C$1,MATCH(L$27,产销汇总!$C$2:$C$8,0),$C$26)*(_xlfn.XLOOKUP(MAX(1,INT(C198/10-6/10)),组队产出!$B$24:$B$39,组队产出!$S$24:$S$39))</f>
        <v>#N/A</v>
      </c>
      <c r="O198" s="172">
        <f>任务!$D$36</f>
        <v>2457.14285714286</v>
      </c>
      <c r="P198" s="98">
        <f t="shared" si="24"/>
        <v>428</v>
      </c>
      <c r="Q198" s="80">
        <f t="shared" si="30"/>
        <v>1000</v>
      </c>
      <c r="R198" s="172">
        <f t="shared" si="31"/>
        <v>2000</v>
      </c>
      <c r="S198" s="210">
        <f ca="1">IFERROR(OFFSET(金币本!$E$2,MATCH(C198,金币本!$F$3:$F$302,1),0)*IF($C$26=1,2,3),0)</f>
        <v>39750</v>
      </c>
      <c r="T198" s="172" t="e">
        <f ca="1">SUM($J$28:S198)+SUM(D198:I198)</f>
        <v>#N/A</v>
      </c>
      <c r="U198" s="172" t="e">
        <f ca="1" t="shared" si="25"/>
        <v>#N/A</v>
      </c>
      <c r="V198" s="98" t="e">
        <f ca="1" t="shared" si="26"/>
        <v>#N/A</v>
      </c>
      <c r="W198" s="98" t="e">
        <f ca="1">OFFSET(装备强化!$U$6,MATCH(图纸产出设计!V199/6*W$26,装备强化!$T$7:$T$306,1),0)*6</f>
        <v>#N/A</v>
      </c>
      <c r="X198" s="98">
        <v>754100</v>
      </c>
      <c r="Y198" s="98">
        <f t="shared" si="32"/>
        <v>5360000</v>
      </c>
      <c r="Z198" s="98">
        <f t="shared" si="34"/>
        <v>2</v>
      </c>
      <c r="AA198" s="147" t="e">
        <f ca="1" t="shared" si="27"/>
        <v>#N/A</v>
      </c>
      <c r="AB198" s="209" t="e">
        <f ca="1" t="shared" si="28"/>
        <v>#N/A</v>
      </c>
      <c r="AC198" s="209">
        <f ca="1">SUMIFS(装备强化!$Q$7:$Q$306,装备强化!$M$7:$M$306,"&lt;="&amp;MATCH(U198/6,装备强化!$U$7:$U$306,1),装备强化!$M$7:$M$306,"&gt;="&amp;MATCH(V198/6,装备强化!$U$7:$U$306,1))*6</f>
        <v>0</v>
      </c>
      <c r="AD198">
        <f ca="1" t="shared" si="33"/>
        <v>0</v>
      </c>
    </row>
    <row r="199" spans="1:30">
      <c r="A199" s="171"/>
      <c r="B199" s="80">
        <v>172</v>
      </c>
      <c r="C199" s="80">
        <f ca="1">OFFSET(产销汇总!$C$12,$B199,$C$26)</f>
        <v>209</v>
      </c>
      <c r="D199" s="80">
        <f t="shared" si="29"/>
        <v>14100</v>
      </c>
      <c r="E199" s="80">
        <f ca="1">(SUMIF(主线推图!$B$4:$B$303,"&lt;"&amp;C199,主线推图!$M$4:$M$303)+SUMIF(主线宝箱!$B$320:$B$620,"&lt;"&amp;C199,主线宝箱!$L$320:$L$620)+SUMIF(主线宝箱!$B$320:$B$620,"&lt;"&amp;C199,主线宝箱!$X$320:$X$620)+SUMIF(主线宝箱!$B$320:$B$620,"&lt;"&amp;C199,主线宝箱!$AL$320:$AL$620))</f>
        <v>371400</v>
      </c>
      <c r="F199" s="98">
        <f ca="1">SUMIF(组队产出!$B$24:$B$39,"&lt;="&amp;MAX(1,INT(C199/10-0.6)),组队产出!$R$24:$R$39)</f>
        <v>141000</v>
      </c>
      <c r="G199" s="80">
        <f ca="1">SUMIF(运营活动!$O$3:$O$27,"&lt;="&amp;C199,运营活动!$P$3:$P$27)</f>
        <v>30000</v>
      </c>
      <c r="H199" s="80">
        <f ca="1">OFFSET(产销汇总!$AM$12,B199,$C$26)*24</f>
        <v>1266672</v>
      </c>
      <c r="I199" s="172">
        <f ca="1">SUMIF(金币本!$F$2:$F$52,"&lt;="&amp;C199,金币本!$D$2:$D$52)</f>
        <v>1425000</v>
      </c>
      <c r="J199" s="80">
        <f ca="1">OFFSET(产销汇总!$C$1,MATCH(J$27,产销汇总!$C$2:$C$8,0),$C$26)*(_xlfn.XLOOKUP(C199,主线推图!$B$313:$B$612,主线推图!$C$313:$C$612)+_xlfn.XLOOKUP(C199,主线推图!$B$313:$B$612,主线推图!$D$313:$D$612))</f>
        <v>15312</v>
      </c>
      <c r="K199" s="80">
        <f ca="1">OFFSET(产销汇总!$C$1,MATCH(K$27,产销汇总!$C$2:$C$8,0),$C$26)*_xlfn.XLOOKUP(C199,巡逻产出!$B$311:$B$610,巡逻产出!$C$311:$C$610)*1.3</f>
        <v>0</v>
      </c>
      <c r="L199" s="80" t="e">
        <f ca="1">OFFSET(产销汇总!$C$1,MATCH(L$27,产销汇总!$C$2:$C$8,0),$C$26)*(_xlfn.XLOOKUP(MAX(1,INT(C199/10-6/10)),组队产出!$B$24:$B$39,组队产出!$D$24:$D$39))+OFFSET(产销汇总!$C$1,MATCH(L$27,产销汇总!$C$2:$C$8,0),$C$26)*(_xlfn.XLOOKUP(MAX(1,INT(C199/10-6/10)),组队产出!$B$24:$B$39,组队产出!$C$24:$C$39))</f>
        <v>#N/A</v>
      </c>
      <c r="M199" s="80">
        <f ca="1">(OFFSET(产销汇总!$C$1,MATCH(M$27,产销汇总!$C$2:$C$8,0),$C$26)*_xlfn.XLOOKUP(C199,巡逻产出!$B$311:$B$610,巡逻产出!$D$311:$D$610))*$M$24</f>
        <v>10857.6</v>
      </c>
      <c r="N199" s="80" t="e">
        <f ca="1">OFFSET(产销汇总!$C$1,MATCH(L$27,产销汇总!$C$2:$C$8,0),$C$26)*(_xlfn.XLOOKUP(MAX(1,INT(C199/10-6/10)),组队产出!$B$24:$B$39,组队产出!$S$24:$S$39))</f>
        <v>#N/A</v>
      </c>
      <c r="O199" s="172">
        <f>任务!$D$36</f>
        <v>2457.14285714286</v>
      </c>
      <c r="P199" s="98">
        <f t="shared" si="24"/>
        <v>428</v>
      </c>
      <c r="Q199" s="80">
        <f t="shared" si="30"/>
        <v>1000</v>
      </c>
      <c r="R199" s="172">
        <f t="shared" si="31"/>
        <v>2000</v>
      </c>
      <c r="S199" s="210">
        <f ca="1">IFERROR(OFFSET(金币本!$E$2,MATCH(C199,金币本!$F$3:$F$302,1),0)*IF($C$26=1,2,3),0)</f>
        <v>39750</v>
      </c>
      <c r="T199" s="172" t="e">
        <f ca="1">SUM($J$28:S199)+SUM(D199:I199)</f>
        <v>#N/A</v>
      </c>
      <c r="U199" s="172" t="e">
        <f ca="1" t="shared" si="25"/>
        <v>#N/A</v>
      </c>
      <c r="V199" s="98" t="e">
        <f ca="1" t="shared" si="26"/>
        <v>#N/A</v>
      </c>
      <c r="W199" s="98" t="e">
        <f ca="1">OFFSET(装备强化!$U$6,MATCH(图纸产出设计!V200/6*W$26,装备强化!$T$7:$T$306,1),0)*6</f>
        <v>#N/A</v>
      </c>
      <c r="X199" s="98">
        <v>764410</v>
      </c>
      <c r="Y199" s="98">
        <f t="shared" si="32"/>
        <v>5392000</v>
      </c>
      <c r="Z199" s="98">
        <f t="shared" si="34"/>
        <v>2</v>
      </c>
      <c r="AA199" s="147" t="e">
        <f ca="1" t="shared" si="27"/>
        <v>#N/A</v>
      </c>
      <c r="AB199" s="209" t="e">
        <f ca="1" t="shared" si="28"/>
        <v>#N/A</v>
      </c>
      <c r="AC199" s="209">
        <f ca="1">SUMIFS(装备强化!$Q$7:$Q$306,装备强化!$M$7:$M$306,"&lt;="&amp;MATCH(U199/6,装备强化!$U$7:$U$306,1),装备强化!$M$7:$M$306,"&gt;="&amp;MATCH(V199/6,装备强化!$U$7:$U$306,1))*6</f>
        <v>0</v>
      </c>
      <c r="AD199">
        <f ca="1" t="shared" si="33"/>
        <v>0</v>
      </c>
    </row>
    <row r="200" spans="1:30">
      <c r="A200" s="171"/>
      <c r="B200" s="80">
        <v>173</v>
      </c>
      <c r="C200" s="80">
        <f ca="1">OFFSET(产销汇总!$C$12,$B200,$C$26)</f>
        <v>209.5</v>
      </c>
      <c r="D200" s="80">
        <f t="shared" si="29"/>
        <v>14100</v>
      </c>
      <c r="E200" s="80">
        <f ca="1">(SUMIF(主线推图!$B$4:$B$303,"&lt;"&amp;C200,主线推图!$M$4:$M$303)+SUMIF(主线宝箱!$B$320:$B$620,"&lt;"&amp;C200,主线宝箱!$L$320:$L$620)+SUMIF(主线宝箱!$B$320:$B$620,"&lt;"&amp;C200,主线宝箱!$X$320:$X$620)+SUMIF(主线宝箱!$B$320:$B$620,"&lt;"&amp;C200,主线宝箱!$AL$320:$AL$620))</f>
        <v>373200</v>
      </c>
      <c r="F200" s="98">
        <f ca="1">SUMIF(组队产出!$B$24:$B$39,"&lt;="&amp;MAX(1,INT(C200/10-0.6)),组队产出!$R$24:$R$39)</f>
        <v>141000</v>
      </c>
      <c r="G200" s="80">
        <f ca="1">SUMIF(运营活动!$O$3:$O$27,"&lt;="&amp;C200,运营活动!$P$3:$P$27)</f>
        <v>30000</v>
      </c>
      <c r="H200" s="80">
        <f ca="1">OFFSET(产销汇总!$AM$12,B200,$C$26)*24</f>
        <v>1273920</v>
      </c>
      <c r="I200" s="172">
        <f ca="1">SUMIF(金币本!$F$2:$F$52,"&lt;="&amp;C200,金币本!$D$2:$D$52)</f>
        <v>1425000</v>
      </c>
      <c r="J200" s="80" t="e">
        <f ca="1">OFFSET(产销汇总!$C$1,MATCH(J$27,产销汇总!$C$2:$C$8,0),$C$26)*(_xlfn.XLOOKUP(C200,主线推图!$B$313:$B$612,主线推图!$C$313:$C$612)+_xlfn.XLOOKUP(C200,主线推图!$B$313:$B$612,主线推图!$D$313:$D$612))</f>
        <v>#N/A</v>
      </c>
      <c r="K200" s="80" t="e">
        <f ca="1">OFFSET(产销汇总!$C$1,MATCH(K$27,产销汇总!$C$2:$C$8,0),$C$26)*_xlfn.XLOOKUP(C200,巡逻产出!$B$311:$B$610,巡逻产出!$C$311:$C$610)*1.3</f>
        <v>#N/A</v>
      </c>
      <c r="L200" s="80" t="e">
        <f ca="1">OFFSET(产销汇总!$C$1,MATCH(L$27,产销汇总!$C$2:$C$8,0),$C$26)*(_xlfn.XLOOKUP(MAX(1,INT(C200/10-6/10)),组队产出!$B$24:$B$39,组队产出!$D$24:$D$39))+OFFSET(产销汇总!$C$1,MATCH(L$27,产销汇总!$C$2:$C$8,0),$C$26)*(_xlfn.XLOOKUP(MAX(1,INT(C200/10-6/10)),组队产出!$B$24:$B$39,组队产出!$C$24:$C$39))</f>
        <v>#N/A</v>
      </c>
      <c r="M200" s="80" t="e">
        <f ca="1">(OFFSET(产销汇总!$C$1,MATCH(M$27,产销汇总!$C$2:$C$8,0),$C$26)*_xlfn.XLOOKUP(C200,巡逻产出!$B$311:$B$610,巡逻产出!$D$311:$D$610))*$M$24</f>
        <v>#N/A</v>
      </c>
      <c r="N200" s="80" t="e">
        <f ca="1">OFFSET(产销汇总!$C$1,MATCH(L$27,产销汇总!$C$2:$C$8,0),$C$26)*(_xlfn.XLOOKUP(MAX(1,INT(C200/10-6/10)),组队产出!$B$24:$B$39,组队产出!$S$24:$S$39))</f>
        <v>#N/A</v>
      </c>
      <c r="O200" s="172">
        <f>任务!$D$36</f>
        <v>2457.14285714286</v>
      </c>
      <c r="P200" s="98">
        <f t="shared" si="24"/>
        <v>428</v>
      </c>
      <c r="Q200" s="80">
        <f t="shared" si="30"/>
        <v>1000</v>
      </c>
      <c r="R200" s="172">
        <f t="shared" si="31"/>
        <v>2000</v>
      </c>
      <c r="S200" s="210">
        <f ca="1">IFERROR(OFFSET(金币本!$E$2,MATCH(C200,金币本!$F$3:$F$302,1),0)*IF($C$26=1,2,3),0)</f>
        <v>39750</v>
      </c>
      <c r="T200" s="172" t="e">
        <f ca="1">SUM($J$28:S200)+SUM(D200:I200)</f>
        <v>#N/A</v>
      </c>
      <c r="U200" s="172" t="e">
        <f ca="1" t="shared" si="25"/>
        <v>#N/A</v>
      </c>
      <c r="V200" s="98" t="e">
        <f ca="1" t="shared" si="26"/>
        <v>#N/A</v>
      </c>
      <c r="W200" s="98" t="e">
        <f ca="1">OFFSET(装备强化!$U$6,MATCH(图纸产出设计!V201/6*W$26,装备强化!$T$7:$T$306,1),0)*6</f>
        <v>#N/A</v>
      </c>
      <c r="X200" s="98">
        <v>764410</v>
      </c>
      <c r="Y200" s="98">
        <f t="shared" si="32"/>
        <v>5424000</v>
      </c>
      <c r="Z200" s="98">
        <f t="shared" si="34"/>
        <v>2</v>
      </c>
      <c r="AA200" s="147" t="e">
        <f ca="1" t="shared" si="27"/>
        <v>#N/A</v>
      </c>
      <c r="AB200" s="209" t="e">
        <f ca="1" t="shared" si="28"/>
        <v>#N/A</v>
      </c>
      <c r="AC200" s="209">
        <f ca="1">SUMIFS(装备强化!$Q$7:$Q$306,装备强化!$M$7:$M$306,"&lt;="&amp;MATCH(U200/6,装备强化!$U$7:$U$306,1),装备强化!$M$7:$M$306,"&gt;="&amp;MATCH(V200/6,装备强化!$U$7:$U$306,1))*6</f>
        <v>0</v>
      </c>
      <c r="AD200">
        <f ca="1" t="shared" si="33"/>
        <v>0</v>
      </c>
    </row>
    <row r="201" spans="1:30">
      <c r="A201" s="171"/>
      <c r="B201" s="80">
        <v>174</v>
      </c>
      <c r="C201" s="80">
        <f ca="1">OFFSET(产销汇总!$C$12,$B201,$C$26)</f>
        <v>210</v>
      </c>
      <c r="D201" s="80">
        <f t="shared" si="29"/>
        <v>14100</v>
      </c>
      <c r="E201" s="80">
        <f ca="1">(SUMIF(主线推图!$B$4:$B$303,"&lt;"&amp;C201,主线推图!$M$4:$M$303)+SUMIF(主线宝箱!$B$320:$B$620,"&lt;"&amp;C201,主线宝箱!$L$320:$L$620)+SUMIF(主线宝箱!$B$320:$B$620,"&lt;"&amp;C201,主线宝箱!$X$320:$X$620)+SUMIF(主线宝箱!$B$320:$B$620,"&lt;"&amp;C201,主线宝箱!$AL$320:$AL$620))</f>
        <v>373200</v>
      </c>
      <c r="F201" s="98">
        <f ca="1">SUMIF(组队产出!$B$24:$B$39,"&lt;="&amp;MAX(1,INT(C201/10-0.6)),组队产出!$R$24:$R$39)</f>
        <v>141000</v>
      </c>
      <c r="G201" s="80">
        <f ca="1">SUMIF(运营活动!$O$3:$O$27,"&lt;="&amp;C201,运营活动!$P$3:$P$27)</f>
        <v>30000</v>
      </c>
      <c r="H201" s="80">
        <f ca="1">OFFSET(产销汇总!$AM$12,B201,$C$26)*24</f>
        <v>1281168</v>
      </c>
      <c r="I201" s="172">
        <f ca="1">SUMIF(金币本!$F$2:$F$52,"&lt;="&amp;C201,金币本!$D$2:$D$52)</f>
        <v>1425000</v>
      </c>
      <c r="J201" s="80">
        <f ca="1">OFFSET(产销汇总!$C$1,MATCH(J$27,产销汇总!$C$2:$C$8,0),$C$26)*(_xlfn.XLOOKUP(C201,主线推图!$B$313:$B$612,主线推图!$C$313:$C$612)+_xlfn.XLOOKUP(C201,主线推图!$B$313:$B$612,主线推图!$D$313:$D$612))</f>
        <v>15356</v>
      </c>
      <c r="K201" s="80">
        <f ca="1">OFFSET(产销汇总!$C$1,MATCH(K$27,产销汇总!$C$2:$C$8,0),$C$26)*_xlfn.XLOOKUP(C201,巡逻产出!$B$311:$B$610,巡逻产出!$C$311:$C$610)*1.3</f>
        <v>0</v>
      </c>
      <c r="L201" s="80" t="e">
        <f ca="1">OFFSET(产销汇总!$C$1,MATCH(L$27,产销汇总!$C$2:$C$8,0),$C$26)*(_xlfn.XLOOKUP(MAX(1,INT(C201/10-6/10)),组队产出!$B$24:$B$39,组队产出!$D$24:$D$39))+OFFSET(产销汇总!$C$1,MATCH(L$27,产销汇总!$C$2:$C$8,0),$C$26)*(_xlfn.XLOOKUP(MAX(1,INT(C201/10-6/10)),组队产出!$B$24:$B$39,组队产出!$C$24:$C$39))</f>
        <v>#N/A</v>
      </c>
      <c r="M201" s="80">
        <f ca="1">(OFFSET(产销汇总!$C$1,MATCH(M$27,产销汇总!$C$2:$C$8,0),$C$26)*_xlfn.XLOOKUP(C201,巡逻产出!$B$311:$B$610,巡逻产出!$D$311:$D$610))*$M$24</f>
        <v>10888.8</v>
      </c>
      <c r="N201" s="80" t="e">
        <f ca="1">OFFSET(产销汇总!$C$1,MATCH(L$27,产销汇总!$C$2:$C$8,0),$C$26)*(_xlfn.XLOOKUP(MAX(1,INT(C201/10-6/10)),组队产出!$B$24:$B$39,组队产出!$S$24:$S$39))</f>
        <v>#N/A</v>
      </c>
      <c r="O201" s="172">
        <f>任务!$D$36</f>
        <v>2457.14285714286</v>
      </c>
      <c r="P201" s="98">
        <f t="shared" si="24"/>
        <v>428</v>
      </c>
      <c r="Q201" s="80">
        <f t="shared" si="30"/>
        <v>1000</v>
      </c>
      <c r="R201" s="172">
        <f t="shared" si="31"/>
        <v>2000</v>
      </c>
      <c r="S201" s="210">
        <f ca="1">IFERROR(OFFSET(金币本!$E$2,MATCH(C201,金币本!$F$3:$F$302,1),0)*IF($C$26=1,2,3),0)</f>
        <v>39750</v>
      </c>
      <c r="T201" s="172" t="e">
        <f ca="1">SUM($J$28:S201)+SUM(D201:I201)</f>
        <v>#N/A</v>
      </c>
      <c r="U201" s="172" t="e">
        <f ca="1" t="shared" si="25"/>
        <v>#N/A</v>
      </c>
      <c r="V201" s="98" t="e">
        <f ca="1" t="shared" si="26"/>
        <v>#N/A</v>
      </c>
      <c r="W201" s="98" t="e">
        <f ca="1">OFFSET(装备强化!$U$6,MATCH(图纸产出设计!V202/6*W$26,装备强化!$T$7:$T$306,1),0)*6</f>
        <v>#N/A</v>
      </c>
      <c r="X201" s="98">
        <v>774790</v>
      </c>
      <c r="Y201" s="98">
        <f t="shared" si="32"/>
        <v>5456000</v>
      </c>
      <c r="Z201" s="98">
        <f t="shared" si="34"/>
        <v>2</v>
      </c>
      <c r="AA201" s="147" t="e">
        <f ca="1" t="shared" si="27"/>
        <v>#N/A</v>
      </c>
      <c r="AB201" s="209" t="e">
        <f ca="1" t="shared" si="28"/>
        <v>#N/A</v>
      </c>
      <c r="AC201" s="209">
        <f ca="1">SUMIFS(装备强化!$Q$7:$Q$306,装备强化!$M$7:$M$306,"&lt;="&amp;MATCH(U201/6,装备强化!$U$7:$U$306,1),装备强化!$M$7:$M$306,"&gt;="&amp;MATCH(V201/6,装备强化!$U$7:$U$306,1))*6</f>
        <v>0</v>
      </c>
      <c r="AD201">
        <f ca="1" t="shared" si="33"/>
        <v>0</v>
      </c>
    </row>
    <row r="202" spans="1:30">
      <c r="A202" s="171"/>
      <c r="B202" s="80">
        <v>175</v>
      </c>
      <c r="C202" s="80">
        <f ca="1">OFFSET(产销汇总!$C$12,$B202,$C$26)</f>
        <v>210.5</v>
      </c>
      <c r="D202" s="80">
        <f t="shared" si="29"/>
        <v>14100</v>
      </c>
      <c r="E202" s="80">
        <f ca="1">(SUMIF(主线推图!$B$4:$B$303,"&lt;"&amp;C202,主线推图!$M$4:$M$303)+SUMIF(主线宝箱!$B$320:$B$620,"&lt;"&amp;C202,主线宝箱!$L$320:$L$620)+SUMIF(主线宝箱!$B$320:$B$620,"&lt;"&amp;C202,主线宝箱!$X$320:$X$620)+SUMIF(主线宝箱!$B$320:$B$620,"&lt;"&amp;C202,主线宝箱!$AL$320:$AL$620))</f>
        <v>375000</v>
      </c>
      <c r="F202" s="98">
        <f ca="1">SUMIF(组队产出!$B$24:$B$39,"&lt;="&amp;MAX(1,INT(C202/10-0.6)),组队产出!$R$24:$R$39)</f>
        <v>141000</v>
      </c>
      <c r="G202" s="80">
        <f ca="1">SUMIF(运营活动!$O$3:$O$27,"&lt;="&amp;C202,运营活动!$P$3:$P$27)</f>
        <v>30000</v>
      </c>
      <c r="H202" s="80">
        <f ca="1">OFFSET(产销汇总!$AM$12,B202,$C$26)*24</f>
        <v>1288416</v>
      </c>
      <c r="I202" s="172">
        <f ca="1">SUMIF(金币本!$F$2:$F$52,"&lt;="&amp;C202,金币本!$D$2:$D$52)</f>
        <v>1425000</v>
      </c>
      <c r="J202" s="80" t="e">
        <f ca="1">OFFSET(产销汇总!$C$1,MATCH(J$27,产销汇总!$C$2:$C$8,0),$C$26)*(_xlfn.XLOOKUP(C202,主线推图!$B$313:$B$612,主线推图!$C$313:$C$612)+_xlfn.XLOOKUP(C202,主线推图!$B$313:$B$612,主线推图!$D$313:$D$612))</f>
        <v>#N/A</v>
      </c>
      <c r="K202" s="80" t="e">
        <f ca="1">OFFSET(产销汇总!$C$1,MATCH(K$27,产销汇总!$C$2:$C$8,0),$C$26)*_xlfn.XLOOKUP(C202,巡逻产出!$B$311:$B$610,巡逻产出!$C$311:$C$610)*1.3</f>
        <v>#N/A</v>
      </c>
      <c r="L202" s="80" t="e">
        <f ca="1">OFFSET(产销汇总!$C$1,MATCH(L$27,产销汇总!$C$2:$C$8,0),$C$26)*(_xlfn.XLOOKUP(MAX(1,INT(C202/10-6/10)),组队产出!$B$24:$B$39,组队产出!$D$24:$D$39))+OFFSET(产销汇总!$C$1,MATCH(L$27,产销汇总!$C$2:$C$8,0),$C$26)*(_xlfn.XLOOKUP(MAX(1,INT(C202/10-6/10)),组队产出!$B$24:$B$39,组队产出!$C$24:$C$39))</f>
        <v>#N/A</v>
      </c>
      <c r="M202" s="80" t="e">
        <f ca="1">(OFFSET(产销汇总!$C$1,MATCH(M$27,产销汇总!$C$2:$C$8,0),$C$26)*_xlfn.XLOOKUP(C202,巡逻产出!$B$311:$B$610,巡逻产出!$D$311:$D$610))*$M$24</f>
        <v>#N/A</v>
      </c>
      <c r="N202" s="80" t="e">
        <f ca="1">OFFSET(产销汇总!$C$1,MATCH(L$27,产销汇总!$C$2:$C$8,0),$C$26)*(_xlfn.XLOOKUP(MAX(1,INT(C202/10-6/10)),组队产出!$B$24:$B$39,组队产出!$S$24:$S$39))</f>
        <v>#N/A</v>
      </c>
      <c r="O202" s="172">
        <f>任务!$D$36</f>
        <v>2457.14285714286</v>
      </c>
      <c r="P202" s="98">
        <f t="shared" si="24"/>
        <v>428</v>
      </c>
      <c r="Q202" s="80">
        <f t="shared" si="30"/>
        <v>1000</v>
      </c>
      <c r="R202" s="172">
        <f t="shared" si="31"/>
        <v>2000</v>
      </c>
      <c r="S202" s="210">
        <f ca="1">IFERROR(OFFSET(金币本!$E$2,MATCH(C202,金币本!$F$3:$F$302,1),0)*IF($C$26=1,2,3),0)</f>
        <v>39750</v>
      </c>
      <c r="T202" s="172" t="e">
        <f ca="1">SUM($J$28:S202)+SUM(D202:I202)</f>
        <v>#N/A</v>
      </c>
      <c r="U202" s="172" t="e">
        <f ca="1" t="shared" si="25"/>
        <v>#N/A</v>
      </c>
      <c r="V202" s="98" t="e">
        <f ca="1" t="shared" si="26"/>
        <v>#N/A</v>
      </c>
      <c r="W202" s="98" t="e">
        <f ca="1">OFFSET(装备强化!$U$6,MATCH(图纸产出设计!V203/6*W$26,装备强化!$T$7:$T$306,1),0)*6</f>
        <v>#N/A</v>
      </c>
      <c r="X202" s="98">
        <v>774790</v>
      </c>
      <c r="Y202" s="98">
        <f t="shared" si="32"/>
        <v>5488000</v>
      </c>
      <c r="Z202" s="98">
        <f t="shared" si="34"/>
        <v>2</v>
      </c>
      <c r="AA202" s="147" t="e">
        <f ca="1" t="shared" si="27"/>
        <v>#N/A</v>
      </c>
      <c r="AB202" s="209" t="e">
        <f ca="1" t="shared" si="28"/>
        <v>#N/A</v>
      </c>
      <c r="AC202" s="209">
        <f ca="1">SUMIFS(装备强化!$Q$7:$Q$306,装备强化!$M$7:$M$306,"&lt;="&amp;MATCH(U202/6,装备强化!$U$7:$U$306,1),装备强化!$M$7:$M$306,"&gt;="&amp;MATCH(V202/6,装备强化!$U$7:$U$306,1))*6</f>
        <v>0</v>
      </c>
      <c r="AD202">
        <f ca="1" t="shared" si="33"/>
        <v>0</v>
      </c>
    </row>
    <row r="203" spans="1:30">
      <c r="A203" s="171"/>
      <c r="B203" s="80">
        <v>176</v>
      </c>
      <c r="C203" s="80">
        <f ca="1">OFFSET(产销汇总!$C$12,$B203,$C$26)</f>
        <v>211</v>
      </c>
      <c r="D203" s="80">
        <f t="shared" si="29"/>
        <v>14100</v>
      </c>
      <c r="E203" s="80">
        <f ca="1">(SUMIF(主线推图!$B$4:$B$303,"&lt;"&amp;C203,主线推图!$M$4:$M$303)+SUMIF(主线宝箱!$B$320:$B$620,"&lt;"&amp;C203,主线宝箱!$L$320:$L$620)+SUMIF(主线宝箱!$B$320:$B$620,"&lt;"&amp;C203,主线宝箱!$X$320:$X$620)+SUMIF(主线宝箱!$B$320:$B$620,"&lt;"&amp;C203,主线宝箱!$AL$320:$AL$620))</f>
        <v>375000</v>
      </c>
      <c r="F203" s="98">
        <f ca="1">SUMIF(组队产出!$B$24:$B$39,"&lt;="&amp;MAX(1,INT(C203/10-0.6)),组队产出!$R$24:$R$39)</f>
        <v>141000</v>
      </c>
      <c r="G203" s="80">
        <f ca="1">SUMIF(运营活动!$O$3:$O$27,"&lt;="&amp;C203,运营活动!$P$3:$P$27)</f>
        <v>30000</v>
      </c>
      <c r="H203" s="80">
        <f ca="1">OFFSET(产销汇总!$AM$12,B203,$C$26)*24</f>
        <v>1295664</v>
      </c>
      <c r="I203" s="172">
        <f ca="1">SUMIF(金币本!$F$2:$F$52,"&lt;="&amp;C203,金币本!$D$2:$D$52)</f>
        <v>1425000</v>
      </c>
      <c r="J203" s="80">
        <f ca="1">OFFSET(产销汇总!$C$1,MATCH(J$27,产销汇总!$C$2:$C$8,0),$C$26)*(_xlfn.XLOOKUP(C203,主线推图!$B$313:$B$612,主线推图!$C$313:$C$612)+_xlfn.XLOOKUP(C203,主线推图!$B$313:$B$612,主线推图!$D$313:$D$612))</f>
        <v>15400</v>
      </c>
      <c r="K203" s="80">
        <f ca="1">OFFSET(产销汇总!$C$1,MATCH(K$27,产销汇总!$C$2:$C$8,0),$C$26)*_xlfn.XLOOKUP(C203,巡逻产出!$B$311:$B$610,巡逻产出!$C$311:$C$610)*1.3</f>
        <v>0</v>
      </c>
      <c r="L203" s="80" t="e">
        <f ca="1">OFFSET(产销汇总!$C$1,MATCH(L$27,产销汇总!$C$2:$C$8,0),$C$26)*(_xlfn.XLOOKUP(MAX(1,INT(C203/10-6/10)),组队产出!$B$24:$B$39,组队产出!$D$24:$D$39))+OFFSET(产销汇总!$C$1,MATCH(L$27,产销汇总!$C$2:$C$8,0),$C$26)*(_xlfn.XLOOKUP(MAX(1,INT(C203/10-6/10)),组队产出!$B$24:$B$39,组队产出!$C$24:$C$39))</f>
        <v>#N/A</v>
      </c>
      <c r="M203" s="80">
        <f ca="1">(OFFSET(产销汇总!$C$1,MATCH(M$27,产销汇总!$C$2:$C$8,0),$C$26)*_xlfn.XLOOKUP(C203,巡逻产出!$B$311:$B$610,巡逻产出!$D$311:$D$610))*$M$24</f>
        <v>10920</v>
      </c>
      <c r="N203" s="80" t="e">
        <f ca="1">OFFSET(产销汇总!$C$1,MATCH(L$27,产销汇总!$C$2:$C$8,0),$C$26)*(_xlfn.XLOOKUP(MAX(1,INT(C203/10-6/10)),组队产出!$B$24:$B$39,组队产出!$S$24:$S$39))</f>
        <v>#N/A</v>
      </c>
      <c r="O203" s="172">
        <f>任务!$D$36</f>
        <v>2457.14285714286</v>
      </c>
      <c r="P203" s="98">
        <f t="shared" si="24"/>
        <v>428</v>
      </c>
      <c r="Q203" s="80">
        <f t="shared" si="30"/>
        <v>1500</v>
      </c>
      <c r="R203" s="172">
        <f t="shared" si="31"/>
        <v>2000</v>
      </c>
      <c r="S203" s="210">
        <f ca="1">IFERROR(OFFSET(金币本!$E$2,MATCH(C203,金币本!$F$3:$F$302,1),0)*IF($C$26=1,2,3),0)</f>
        <v>39750</v>
      </c>
      <c r="T203" s="172" t="e">
        <f ca="1">SUM($J$28:S203)+SUM(D203:I203)</f>
        <v>#N/A</v>
      </c>
      <c r="U203" s="172" t="e">
        <f ca="1" t="shared" si="25"/>
        <v>#N/A</v>
      </c>
      <c r="V203" s="98" t="e">
        <f ca="1" t="shared" si="26"/>
        <v>#N/A</v>
      </c>
      <c r="W203" s="98" t="e">
        <f ca="1">OFFSET(装备强化!$U$6,MATCH(图纸产出设计!V204/6*W$26,装备强化!$T$7:$T$306,1),0)*6</f>
        <v>#N/A</v>
      </c>
      <c r="X203" s="98">
        <v>785240</v>
      </c>
      <c r="Y203" s="98">
        <f t="shared" si="32"/>
        <v>5520000</v>
      </c>
      <c r="Z203" s="98">
        <f t="shared" si="34"/>
        <v>2</v>
      </c>
      <c r="AA203" s="147" t="e">
        <f ca="1" t="shared" si="27"/>
        <v>#N/A</v>
      </c>
      <c r="AB203" s="209" t="e">
        <f ca="1" t="shared" si="28"/>
        <v>#N/A</v>
      </c>
      <c r="AC203" s="209">
        <f ca="1">SUMIFS(装备强化!$Q$7:$Q$306,装备强化!$M$7:$M$306,"&lt;="&amp;MATCH(U203/6,装备强化!$U$7:$U$306,1),装备强化!$M$7:$M$306,"&gt;="&amp;MATCH(V203/6,装备强化!$U$7:$U$306,1))*6</f>
        <v>0</v>
      </c>
      <c r="AD203">
        <f ca="1" t="shared" si="33"/>
        <v>0</v>
      </c>
    </row>
    <row r="204" spans="1:30">
      <c r="A204" s="171"/>
      <c r="B204" s="80">
        <v>177</v>
      </c>
      <c r="C204" s="80">
        <f ca="1">OFFSET(产销汇总!$C$12,$B204,$C$26)</f>
        <v>211.5</v>
      </c>
      <c r="D204" s="80">
        <f t="shared" si="29"/>
        <v>14100</v>
      </c>
      <c r="E204" s="80">
        <f ca="1">(SUMIF(主线推图!$B$4:$B$303,"&lt;"&amp;C204,主线推图!$M$4:$M$303)+SUMIF(主线宝箱!$B$320:$B$620,"&lt;"&amp;C204,主线宝箱!$L$320:$L$620)+SUMIF(主线宝箱!$B$320:$B$620,"&lt;"&amp;C204,主线宝箱!$X$320:$X$620)+SUMIF(主线宝箱!$B$320:$B$620,"&lt;"&amp;C204,主线宝箱!$AL$320:$AL$620))</f>
        <v>376800</v>
      </c>
      <c r="F204" s="98">
        <f ca="1">SUMIF(组队产出!$B$24:$B$39,"&lt;="&amp;MAX(1,INT(C204/10-0.6)),组队产出!$R$24:$R$39)</f>
        <v>141000</v>
      </c>
      <c r="G204" s="80">
        <f ca="1">SUMIF(运营活动!$O$3:$O$27,"&lt;="&amp;C204,运营活动!$P$3:$P$27)</f>
        <v>30000</v>
      </c>
      <c r="H204" s="80">
        <f ca="1">OFFSET(产销汇总!$AM$12,B204,$C$26)*24</f>
        <v>1302912</v>
      </c>
      <c r="I204" s="172">
        <f ca="1">SUMIF(金币本!$F$2:$F$52,"&lt;="&amp;C204,金币本!$D$2:$D$52)</f>
        <v>1425000</v>
      </c>
      <c r="J204" s="80" t="e">
        <f ca="1">OFFSET(产销汇总!$C$1,MATCH(J$27,产销汇总!$C$2:$C$8,0),$C$26)*(_xlfn.XLOOKUP(C204,主线推图!$B$313:$B$612,主线推图!$C$313:$C$612)+_xlfn.XLOOKUP(C204,主线推图!$B$313:$B$612,主线推图!$D$313:$D$612))</f>
        <v>#N/A</v>
      </c>
      <c r="K204" s="80" t="e">
        <f ca="1">OFFSET(产销汇总!$C$1,MATCH(K$27,产销汇总!$C$2:$C$8,0),$C$26)*_xlfn.XLOOKUP(C204,巡逻产出!$B$311:$B$610,巡逻产出!$C$311:$C$610)*1.3</f>
        <v>#N/A</v>
      </c>
      <c r="L204" s="80" t="e">
        <f ca="1">OFFSET(产销汇总!$C$1,MATCH(L$27,产销汇总!$C$2:$C$8,0),$C$26)*(_xlfn.XLOOKUP(MAX(1,INT(C204/10-6/10)),组队产出!$B$24:$B$39,组队产出!$D$24:$D$39))+OFFSET(产销汇总!$C$1,MATCH(L$27,产销汇总!$C$2:$C$8,0),$C$26)*(_xlfn.XLOOKUP(MAX(1,INT(C204/10-6/10)),组队产出!$B$24:$B$39,组队产出!$C$24:$C$39))</f>
        <v>#N/A</v>
      </c>
      <c r="M204" s="80" t="e">
        <f ca="1">(OFFSET(产销汇总!$C$1,MATCH(M$27,产销汇总!$C$2:$C$8,0),$C$26)*_xlfn.XLOOKUP(C204,巡逻产出!$B$311:$B$610,巡逻产出!$D$311:$D$610))*$M$24</f>
        <v>#N/A</v>
      </c>
      <c r="N204" s="80" t="e">
        <f ca="1">OFFSET(产销汇总!$C$1,MATCH(L$27,产销汇总!$C$2:$C$8,0),$C$26)*(_xlfn.XLOOKUP(MAX(1,INT(C204/10-6/10)),组队产出!$B$24:$B$39,组队产出!$S$24:$S$39))</f>
        <v>#N/A</v>
      </c>
      <c r="O204" s="172">
        <f>任务!$D$36</f>
        <v>2457.14285714286</v>
      </c>
      <c r="P204" s="98">
        <f t="shared" si="24"/>
        <v>428</v>
      </c>
      <c r="Q204" s="80">
        <f t="shared" si="30"/>
        <v>1000</v>
      </c>
      <c r="R204" s="172">
        <f t="shared" si="31"/>
        <v>2000</v>
      </c>
      <c r="S204" s="210">
        <f ca="1">IFERROR(OFFSET(金币本!$E$2,MATCH(C204,金币本!$F$3:$F$302,1),0)*IF($C$26=1,2,3),0)</f>
        <v>39750</v>
      </c>
      <c r="T204" s="172" t="e">
        <f ca="1">SUM($J$28:S204)+SUM(D204:I204)</f>
        <v>#N/A</v>
      </c>
      <c r="U204" s="172" t="e">
        <f ca="1" t="shared" si="25"/>
        <v>#N/A</v>
      </c>
      <c r="V204" s="98" t="e">
        <f ca="1" t="shared" si="26"/>
        <v>#N/A</v>
      </c>
      <c r="W204" s="98" t="e">
        <f ca="1">OFFSET(装备强化!$U$6,MATCH(图纸产出设计!V205/6*W$26,装备强化!$T$7:$T$306,1),0)*6</f>
        <v>#N/A</v>
      </c>
      <c r="X204" s="98">
        <v>785240</v>
      </c>
      <c r="Y204" s="98">
        <f t="shared" si="32"/>
        <v>5552000</v>
      </c>
      <c r="Z204" s="98">
        <f t="shared" si="34"/>
        <v>2</v>
      </c>
      <c r="AA204" s="147" t="e">
        <f ca="1" t="shared" si="27"/>
        <v>#N/A</v>
      </c>
      <c r="AB204" s="209" t="e">
        <f ca="1" t="shared" si="28"/>
        <v>#N/A</v>
      </c>
      <c r="AC204" s="209">
        <f ca="1">SUMIFS(装备强化!$Q$7:$Q$306,装备强化!$M$7:$M$306,"&lt;="&amp;MATCH(U204/6,装备强化!$U$7:$U$306,1),装备强化!$M$7:$M$306,"&gt;="&amp;MATCH(V204/6,装备强化!$U$7:$U$306,1))*6</f>
        <v>0</v>
      </c>
      <c r="AD204">
        <f ca="1" t="shared" si="33"/>
        <v>0</v>
      </c>
    </row>
    <row r="205" spans="1:30">
      <c r="A205" s="171"/>
      <c r="B205" s="80">
        <v>178</v>
      </c>
      <c r="C205" s="80">
        <f ca="1">OFFSET(产销汇总!$C$12,$B205,$C$26)</f>
        <v>212</v>
      </c>
      <c r="D205" s="80">
        <f t="shared" si="29"/>
        <v>14100</v>
      </c>
      <c r="E205" s="80">
        <f ca="1">(SUMIF(主线推图!$B$4:$B$303,"&lt;"&amp;C205,主线推图!$M$4:$M$303)+SUMIF(主线宝箱!$B$320:$B$620,"&lt;"&amp;C205,主线宝箱!$L$320:$L$620)+SUMIF(主线宝箱!$B$320:$B$620,"&lt;"&amp;C205,主线宝箱!$X$320:$X$620)+SUMIF(主线宝箱!$B$320:$B$620,"&lt;"&amp;C205,主线宝箱!$AL$320:$AL$620))</f>
        <v>376800</v>
      </c>
      <c r="F205" s="98">
        <f ca="1">SUMIF(组队产出!$B$24:$B$39,"&lt;="&amp;MAX(1,INT(C205/10-0.6)),组队产出!$R$24:$R$39)</f>
        <v>141000</v>
      </c>
      <c r="G205" s="80">
        <f ca="1">SUMIF(运营活动!$O$3:$O$27,"&lt;="&amp;C205,运营活动!$P$3:$P$27)</f>
        <v>30000</v>
      </c>
      <c r="H205" s="80">
        <f ca="1">OFFSET(产销汇总!$AM$12,B205,$C$26)*24</f>
        <v>1310160</v>
      </c>
      <c r="I205" s="172">
        <f ca="1">SUMIF(金币本!$F$2:$F$52,"&lt;="&amp;C205,金币本!$D$2:$D$52)</f>
        <v>1425000</v>
      </c>
      <c r="J205" s="80">
        <f ca="1">OFFSET(产销汇总!$C$1,MATCH(J$27,产销汇总!$C$2:$C$8,0),$C$26)*(_xlfn.XLOOKUP(C205,主线推图!$B$313:$B$612,主线推图!$C$313:$C$612)+_xlfn.XLOOKUP(C205,主线推图!$B$313:$B$612,主线推图!$D$313:$D$612))</f>
        <v>15444</v>
      </c>
      <c r="K205" s="80">
        <f ca="1">OFFSET(产销汇总!$C$1,MATCH(K$27,产销汇总!$C$2:$C$8,0),$C$26)*_xlfn.XLOOKUP(C205,巡逻产出!$B$311:$B$610,巡逻产出!$C$311:$C$610)*1.3</f>
        <v>0</v>
      </c>
      <c r="L205" s="80" t="e">
        <f ca="1">OFFSET(产销汇总!$C$1,MATCH(L$27,产销汇总!$C$2:$C$8,0),$C$26)*(_xlfn.XLOOKUP(MAX(1,INT(C205/10-6/10)),组队产出!$B$24:$B$39,组队产出!$D$24:$D$39))+OFFSET(产销汇总!$C$1,MATCH(L$27,产销汇总!$C$2:$C$8,0),$C$26)*(_xlfn.XLOOKUP(MAX(1,INT(C205/10-6/10)),组队产出!$B$24:$B$39,组队产出!$C$24:$C$39))</f>
        <v>#N/A</v>
      </c>
      <c r="M205" s="80">
        <f ca="1">(OFFSET(产销汇总!$C$1,MATCH(M$27,产销汇总!$C$2:$C$8,0),$C$26)*_xlfn.XLOOKUP(C205,巡逻产出!$B$311:$B$610,巡逻产出!$D$311:$D$610))*$M$24</f>
        <v>10951.2</v>
      </c>
      <c r="N205" s="80" t="e">
        <f ca="1">OFFSET(产销汇总!$C$1,MATCH(L$27,产销汇总!$C$2:$C$8,0),$C$26)*(_xlfn.XLOOKUP(MAX(1,INT(C205/10-6/10)),组队产出!$B$24:$B$39,组队产出!$S$24:$S$39))</f>
        <v>#N/A</v>
      </c>
      <c r="O205" s="172">
        <f>任务!$D$36</f>
        <v>2457.14285714286</v>
      </c>
      <c r="P205" s="98">
        <f t="shared" si="24"/>
        <v>428</v>
      </c>
      <c r="Q205" s="80">
        <f t="shared" si="30"/>
        <v>1000</v>
      </c>
      <c r="R205" s="172">
        <f t="shared" si="31"/>
        <v>2000</v>
      </c>
      <c r="S205" s="210">
        <f ca="1">IFERROR(OFFSET(金币本!$E$2,MATCH(C205,金币本!$F$3:$F$302,1),0)*IF($C$26=1,2,3),0)</f>
        <v>39750</v>
      </c>
      <c r="T205" s="172" t="e">
        <f ca="1">SUM($J$28:S205)+SUM(D205:I205)</f>
        <v>#N/A</v>
      </c>
      <c r="U205" s="172" t="e">
        <f ca="1" t="shared" si="25"/>
        <v>#N/A</v>
      </c>
      <c r="V205" s="98" t="e">
        <f ca="1" t="shared" si="26"/>
        <v>#N/A</v>
      </c>
      <c r="W205" s="98" t="e">
        <f ca="1">OFFSET(装备强化!$U$6,MATCH(图纸产出设计!V206/6*W$26,装备强化!$T$7:$T$306,1),0)*6</f>
        <v>#N/A</v>
      </c>
      <c r="X205" s="98">
        <v>795760</v>
      </c>
      <c r="Y205" s="98">
        <f t="shared" si="32"/>
        <v>5584000</v>
      </c>
      <c r="Z205" s="98">
        <f t="shared" si="34"/>
        <v>2</v>
      </c>
      <c r="AA205" s="147" t="e">
        <f ca="1" t="shared" si="27"/>
        <v>#N/A</v>
      </c>
      <c r="AB205" s="209" t="e">
        <f ca="1" t="shared" si="28"/>
        <v>#N/A</v>
      </c>
      <c r="AC205" s="209">
        <f ca="1">SUMIFS(装备强化!$Q$7:$Q$306,装备强化!$M$7:$M$306,"&lt;="&amp;MATCH(U205/6,装备强化!$U$7:$U$306,1),装备强化!$M$7:$M$306,"&gt;="&amp;MATCH(V205/6,装备强化!$U$7:$U$306,1))*6</f>
        <v>0</v>
      </c>
      <c r="AD205">
        <f ca="1" t="shared" si="33"/>
        <v>0</v>
      </c>
    </row>
    <row r="206" spans="1:30">
      <c r="A206" s="171"/>
      <c r="B206" s="80">
        <v>179</v>
      </c>
      <c r="C206" s="80">
        <f ca="1">OFFSET(产销汇总!$C$12,$B206,$C$26)</f>
        <v>212.5</v>
      </c>
      <c r="D206" s="80">
        <f t="shared" si="29"/>
        <v>14100</v>
      </c>
      <c r="E206" s="80">
        <f ca="1">(SUMIF(主线推图!$B$4:$B$303,"&lt;"&amp;C206,主线推图!$M$4:$M$303)+SUMIF(主线宝箱!$B$320:$B$620,"&lt;"&amp;C206,主线宝箱!$L$320:$L$620)+SUMIF(主线宝箱!$B$320:$B$620,"&lt;"&amp;C206,主线宝箱!$X$320:$X$620)+SUMIF(主线宝箱!$B$320:$B$620,"&lt;"&amp;C206,主线宝箱!$AL$320:$AL$620))</f>
        <v>378600</v>
      </c>
      <c r="F206" s="98">
        <f ca="1">SUMIF(组队产出!$B$24:$B$39,"&lt;="&amp;MAX(1,INT(C206/10-0.6)),组队产出!$R$24:$R$39)</f>
        <v>141000</v>
      </c>
      <c r="G206" s="80">
        <f ca="1">SUMIF(运营活动!$O$3:$O$27,"&lt;="&amp;C206,运营活动!$P$3:$P$27)</f>
        <v>30000</v>
      </c>
      <c r="H206" s="80">
        <f ca="1">OFFSET(产销汇总!$AM$12,B206,$C$26)*24</f>
        <v>1317408</v>
      </c>
      <c r="I206" s="172">
        <f ca="1">SUMIF(金币本!$F$2:$F$52,"&lt;="&amp;C206,金币本!$D$2:$D$52)</f>
        <v>1425000</v>
      </c>
      <c r="J206" s="80" t="e">
        <f ca="1">OFFSET(产销汇总!$C$1,MATCH(J$27,产销汇总!$C$2:$C$8,0),$C$26)*(_xlfn.XLOOKUP(C206,主线推图!$B$313:$B$612,主线推图!$C$313:$C$612)+_xlfn.XLOOKUP(C206,主线推图!$B$313:$B$612,主线推图!$D$313:$D$612))</f>
        <v>#N/A</v>
      </c>
      <c r="K206" s="80" t="e">
        <f ca="1">OFFSET(产销汇总!$C$1,MATCH(K$27,产销汇总!$C$2:$C$8,0),$C$26)*_xlfn.XLOOKUP(C206,巡逻产出!$B$311:$B$610,巡逻产出!$C$311:$C$610)*1.3</f>
        <v>#N/A</v>
      </c>
      <c r="L206" s="80" t="e">
        <f ca="1">OFFSET(产销汇总!$C$1,MATCH(L$27,产销汇总!$C$2:$C$8,0),$C$26)*(_xlfn.XLOOKUP(MAX(1,INT(C206/10-6/10)),组队产出!$B$24:$B$39,组队产出!$D$24:$D$39))+OFFSET(产销汇总!$C$1,MATCH(L$27,产销汇总!$C$2:$C$8,0),$C$26)*(_xlfn.XLOOKUP(MAX(1,INT(C206/10-6/10)),组队产出!$B$24:$B$39,组队产出!$C$24:$C$39))</f>
        <v>#N/A</v>
      </c>
      <c r="M206" s="80" t="e">
        <f ca="1">(OFFSET(产销汇总!$C$1,MATCH(M$27,产销汇总!$C$2:$C$8,0),$C$26)*_xlfn.XLOOKUP(C206,巡逻产出!$B$311:$B$610,巡逻产出!$D$311:$D$610))*$M$24</f>
        <v>#N/A</v>
      </c>
      <c r="N206" s="80" t="e">
        <f ca="1">OFFSET(产销汇总!$C$1,MATCH(L$27,产销汇总!$C$2:$C$8,0),$C$26)*(_xlfn.XLOOKUP(MAX(1,INT(C206/10-6/10)),组队产出!$B$24:$B$39,组队产出!$S$24:$S$39))</f>
        <v>#N/A</v>
      </c>
      <c r="O206" s="172">
        <f>任务!$D$36</f>
        <v>2457.14285714286</v>
      </c>
      <c r="P206" s="98">
        <f t="shared" si="24"/>
        <v>428</v>
      </c>
      <c r="Q206" s="80">
        <f t="shared" si="30"/>
        <v>1000</v>
      </c>
      <c r="R206" s="172">
        <f t="shared" si="31"/>
        <v>2000</v>
      </c>
      <c r="S206" s="210">
        <f ca="1">IFERROR(OFFSET(金币本!$E$2,MATCH(C206,金币本!$F$3:$F$302,1),0)*IF($C$26=1,2,3),0)</f>
        <v>39750</v>
      </c>
      <c r="T206" s="172" t="e">
        <f ca="1">SUM($J$28:S206)+SUM(D206:I206)</f>
        <v>#N/A</v>
      </c>
      <c r="U206" s="172" t="e">
        <f ca="1" t="shared" si="25"/>
        <v>#N/A</v>
      </c>
      <c r="V206" s="98" t="e">
        <f ca="1" t="shared" si="26"/>
        <v>#N/A</v>
      </c>
      <c r="W206" s="98" t="e">
        <f ca="1">OFFSET(装备强化!$U$6,MATCH(图纸产出设计!V207/6*W$26,装备强化!$T$7:$T$306,1),0)*6</f>
        <v>#N/A</v>
      </c>
      <c r="X206" s="98">
        <v>795760</v>
      </c>
      <c r="Y206" s="98">
        <f t="shared" si="32"/>
        <v>5616000</v>
      </c>
      <c r="Z206" s="98">
        <f t="shared" si="34"/>
        <v>2</v>
      </c>
      <c r="AA206" s="147" t="e">
        <f ca="1" t="shared" si="27"/>
        <v>#N/A</v>
      </c>
      <c r="AB206" s="209" t="e">
        <f ca="1" t="shared" si="28"/>
        <v>#N/A</v>
      </c>
      <c r="AC206" s="209">
        <f ca="1">SUMIFS(装备强化!$Q$7:$Q$306,装备强化!$M$7:$M$306,"&lt;="&amp;MATCH(U206/6,装备强化!$U$7:$U$306,1),装备强化!$M$7:$M$306,"&gt;="&amp;MATCH(V206/6,装备强化!$U$7:$U$306,1))*6</f>
        <v>0</v>
      </c>
      <c r="AD206">
        <f ca="1" t="shared" si="33"/>
        <v>0</v>
      </c>
    </row>
    <row r="207" spans="1:30">
      <c r="A207" s="171"/>
      <c r="B207" s="80">
        <v>180</v>
      </c>
      <c r="C207" s="80">
        <f ca="1">OFFSET(产销汇总!$C$12,$B207,$C$26)</f>
        <v>213</v>
      </c>
      <c r="D207" s="80">
        <f t="shared" si="29"/>
        <v>14100</v>
      </c>
      <c r="E207" s="80">
        <f ca="1">(SUMIF(主线推图!$B$4:$B$303,"&lt;"&amp;C207,主线推图!$M$4:$M$303)+SUMIF(主线宝箱!$B$320:$B$620,"&lt;"&amp;C207,主线宝箱!$L$320:$L$620)+SUMIF(主线宝箱!$B$320:$B$620,"&lt;"&amp;C207,主线宝箱!$X$320:$X$620)+SUMIF(主线宝箱!$B$320:$B$620,"&lt;"&amp;C207,主线宝箱!$AL$320:$AL$620))</f>
        <v>378600</v>
      </c>
      <c r="F207" s="98">
        <f ca="1">SUMIF(组队产出!$B$24:$B$39,"&lt;="&amp;MAX(1,INT(C207/10-0.6)),组队产出!$R$24:$R$39)</f>
        <v>141000</v>
      </c>
      <c r="G207" s="80">
        <f ca="1">SUMIF(运营活动!$O$3:$O$27,"&lt;="&amp;C207,运营活动!$P$3:$P$27)</f>
        <v>30000</v>
      </c>
      <c r="H207" s="80">
        <f ca="1">OFFSET(产销汇总!$AM$12,B207,$C$26)*24</f>
        <v>1324656</v>
      </c>
      <c r="I207" s="172">
        <f ca="1">SUMIF(金币本!$F$2:$F$52,"&lt;="&amp;C207,金币本!$D$2:$D$52)</f>
        <v>1425000</v>
      </c>
      <c r="J207" s="80">
        <f ca="1">OFFSET(产销汇总!$C$1,MATCH(J$27,产销汇总!$C$2:$C$8,0),$C$26)*(_xlfn.XLOOKUP(C207,主线推图!$B$313:$B$612,主线推图!$C$313:$C$612)+_xlfn.XLOOKUP(C207,主线推图!$B$313:$B$612,主线推图!$D$313:$D$612))</f>
        <v>15488</v>
      </c>
      <c r="K207" s="80">
        <f ca="1">OFFSET(产销汇总!$C$1,MATCH(K$27,产销汇总!$C$2:$C$8,0),$C$26)*_xlfn.XLOOKUP(C207,巡逻产出!$B$311:$B$610,巡逻产出!$C$311:$C$610)*1.3</f>
        <v>0</v>
      </c>
      <c r="L207" s="80" t="e">
        <f ca="1">OFFSET(产销汇总!$C$1,MATCH(L$27,产销汇总!$C$2:$C$8,0),$C$26)*(_xlfn.XLOOKUP(MAX(1,INT(C207/10-6/10)),组队产出!$B$24:$B$39,组队产出!$D$24:$D$39))+OFFSET(产销汇总!$C$1,MATCH(L$27,产销汇总!$C$2:$C$8,0),$C$26)*(_xlfn.XLOOKUP(MAX(1,INT(C207/10-6/10)),组队产出!$B$24:$B$39,组队产出!$C$24:$C$39))</f>
        <v>#N/A</v>
      </c>
      <c r="M207" s="80">
        <f ca="1">(OFFSET(产销汇总!$C$1,MATCH(M$27,产销汇总!$C$2:$C$8,0),$C$26)*_xlfn.XLOOKUP(C207,巡逻产出!$B$311:$B$610,巡逻产出!$D$311:$D$610))*$M$24</f>
        <v>10982.4</v>
      </c>
      <c r="N207" s="80" t="e">
        <f ca="1">OFFSET(产销汇总!$C$1,MATCH(L$27,产销汇总!$C$2:$C$8,0),$C$26)*(_xlfn.XLOOKUP(MAX(1,INT(C207/10-6/10)),组队产出!$B$24:$B$39,组队产出!$S$24:$S$39))</f>
        <v>#N/A</v>
      </c>
      <c r="O207" s="172">
        <f>任务!$D$36</f>
        <v>2457.14285714286</v>
      </c>
      <c r="P207" s="98">
        <f t="shared" si="24"/>
        <v>428</v>
      </c>
      <c r="Q207" s="80">
        <f t="shared" si="30"/>
        <v>1000</v>
      </c>
      <c r="R207" s="172">
        <f t="shared" si="31"/>
        <v>2000</v>
      </c>
      <c r="S207" s="210">
        <f ca="1">IFERROR(OFFSET(金币本!$E$2,MATCH(C207,金币本!$F$3:$F$302,1),0)*IF($C$26=1,2,3),0)</f>
        <v>39750</v>
      </c>
      <c r="T207" s="172" t="e">
        <f ca="1">SUM($J$28:S207)+SUM(D207:I207)</f>
        <v>#N/A</v>
      </c>
      <c r="U207" s="172" t="e">
        <f ca="1" t="shared" si="25"/>
        <v>#N/A</v>
      </c>
      <c r="V207" s="98" t="e">
        <f ca="1" t="shared" si="26"/>
        <v>#N/A</v>
      </c>
      <c r="W207" s="98" t="e">
        <f ca="1">OFFSET(装备强化!$U$6,MATCH(图纸产出设计!V208/6*W$26,装备强化!$T$7:$T$306,1),0)*6</f>
        <v>#N/A</v>
      </c>
      <c r="X207" s="98">
        <v>806350</v>
      </c>
      <c r="Y207" s="98">
        <f t="shared" si="32"/>
        <v>5648000</v>
      </c>
      <c r="Z207" s="98">
        <f t="shared" si="34"/>
        <v>2</v>
      </c>
      <c r="AA207" s="147" t="e">
        <f ca="1" t="shared" si="27"/>
        <v>#N/A</v>
      </c>
      <c r="AB207" s="209" t="e">
        <f ca="1" t="shared" si="28"/>
        <v>#N/A</v>
      </c>
      <c r="AC207" s="209">
        <f ca="1">SUMIFS(装备强化!$Q$7:$Q$306,装备强化!$M$7:$M$306,"&lt;="&amp;MATCH(U207/6,装备强化!$U$7:$U$306,1),装备强化!$M$7:$M$306,"&gt;="&amp;MATCH(V207/6,装备强化!$U$7:$U$306,1))*6</f>
        <v>0</v>
      </c>
      <c r="AD207">
        <f ca="1" t="shared" si="33"/>
        <v>0</v>
      </c>
    </row>
    <row r="208" spans="1:30">
      <c r="A208" s="171"/>
      <c r="B208" s="80">
        <v>181</v>
      </c>
      <c r="C208" s="80">
        <f ca="1">OFFSET(产销汇总!$C$12,$B208,$C$26)</f>
        <v>213.5</v>
      </c>
      <c r="D208" s="80">
        <f t="shared" si="29"/>
        <v>14100</v>
      </c>
      <c r="E208" s="80">
        <f ca="1">(SUMIF(主线推图!$B$4:$B$303,"&lt;"&amp;C208,主线推图!$M$4:$M$303)+SUMIF(主线宝箱!$B$320:$B$620,"&lt;"&amp;C208,主线宝箱!$L$320:$L$620)+SUMIF(主线宝箱!$B$320:$B$620,"&lt;"&amp;C208,主线宝箱!$X$320:$X$620)+SUMIF(主线宝箱!$B$320:$B$620,"&lt;"&amp;C208,主线宝箱!$AL$320:$AL$620))</f>
        <v>380400</v>
      </c>
      <c r="F208" s="98">
        <f ca="1">SUMIF(组队产出!$B$24:$B$39,"&lt;="&amp;MAX(1,INT(C208/10-0.6)),组队产出!$R$24:$R$39)</f>
        <v>141000</v>
      </c>
      <c r="G208" s="80">
        <f ca="1">SUMIF(运营活动!$O$3:$O$27,"&lt;="&amp;C208,运营活动!$P$3:$P$27)</f>
        <v>30000</v>
      </c>
      <c r="H208" s="80">
        <f ca="1">OFFSET(产销汇总!$AM$12,B208,$C$26)*24</f>
        <v>1331904</v>
      </c>
      <c r="I208" s="172">
        <f ca="1">SUMIF(金币本!$F$2:$F$52,"&lt;="&amp;C208,金币本!$D$2:$D$52)</f>
        <v>1425000</v>
      </c>
      <c r="J208" s="80" t="e">
        <f ca="1">OFFSET(产销汇总!$C$1,MATCH(J$27,产销汇总!$C$2:$C$8,0),$C$26)*(_xlfn.XLOOKUP(C208,主线推图!$B$313:$B$612,主线推图!$C$313:$C$612)+_xlfn.XLOOKUP(C208,主线推图!$B$313:$B$612,主线推图!$D$313:$D$612))</f>
        <v>#N/A</v>
      </c>
      <c r="K208" s="80" t="e">
        <f ca="1">OFFSET(产销汇总!$C$1,MATCH(K$27,产销汇总!$C$2:$C$8,0),$C$26)*_xlfn.XLOOKUP(C208,巡逻产出!$B$311:$B$610,巡逻产出!$C$311:$C$610)*1.3</f>
        <v>#N/A</v>
      </c>
      <c r="L208" s="80" t="e">
        <f ca="1">OFFSET(产销汇总!$C$1,MATCH(L$27,产销汇总!$C$2:$C$8,0),$C$26)*(_xlfn.XLOOKUP(MAX(1,INT(C208/10-6/10)),组队产出!$B$24:$B$39,组队产出!$D$24:$D$39))+OFFSET(产销汇总!$C$1,MATCH(L$27,产销汇总!$C$2:$C$8,0),$C$26)*(_xlfn.XLOOKUP(MAX(1,INT(C208/10-6/10)),组队产出!$B$24:$B$39,组队产出!$C$24:$C$39))</f>
        <v>#N/A</v>
      </c>
      <c r="M208" s="80" t="e">
        <f ca="1">(OFFSET(产销汇总!$C$1,MATCH(M$27,产销汇总!$C$2:$C$8,0),$C$26)*_xlfn.XLOOKUP(C208,巡逻产出!$B$311:$B$610,巡逻产出!$D$311:$D$610))*$M$24</f>
        <v>#N/A</v>
      </c>
      <c r="N208" s="80" t="e">
        <f ca="1">OFFSET(产销汇总!$C$1,MATCH(L$27,产销汇总!$C$2:$C$8,0),$C$26)*(_xlfn.XLOOKUP(MAX(1,INT(C208/10-6/10)),组队产出!$B$24:$B$39,组队产出!$S$24:$S$39))</f>
        <v>#N/A</v>
      </c>
      <c r="O208" s="172">
        <f>任务!$D$36</f>
        <v>2457.14285714286</v>
      </c>
      <c r="P208" s="98">
        <f t="shared" si="24"/>
        <v>428</v>
      </c>
      <c r="Q208" s="80">
        <f t="shared" si="30"/>
        <v>1000</v>
      </c>
      <c r="R208" s="172">
        <f t="shared" si="31"/>
        <v>2000</v>
      </c>
      <c r="S208" s="210">
        <f ca="1">IFERROR(OFFSET(金币本!$E$2,MATCH(C208,金币本!$F$3:$F$302,1),0)*IF($C$26=1,2,3),0)</f>
        <v>39750</v>
      </c>
      <c r="T208" s="172" t="e">
        <f ca="1">SUM($J$28:S208)+SUM(D208:I208)</f>
        <v>#N/A</v>
      </c>
      <c r="U208" s="172" t="e">
        <f ca="1" t="shared" si="25"/>
        <v>#N/A</v>
      </c>
      <c r="V208" s="98" t="e">
        <f ca="1" t="shared" si="26"/>
        <v>#N/A</v>
      </c>
      <c r="W208" s="98" t="e">
        <f ca="1">OFFSET(装备强化!$U$6,MATCH(图纸产出设计!V209/6*W$26,装备强化!$T$7:$T$306,1),0)*6</f>
        <v>#N/A</v>
      </c>
      <c r="X208" s="98">
        <v>806350</v>
      </c>
      <c r="Y208" s="98">
        <f t="shared" si="32"/>
        <v>5680000</v>
      </c>
      <c r="Z208" s="98">
        <f t="shared" si="34"/>
        <v>2</v>
      </c>
      <c r="AA208" s="147" t="e">
        <f ca="1" t="shared" si="27"/>
        <v>#N/A</v>
      </c>
      <c r="AB208" s="209" t="e">
        <f ca="1" t="shared" si="28"/>
        <v>#N/A</v>
      </c>
      <c r="AC208" s="209">
        <f ca="1">SUMIFS(装备强化!$Q$7:$Q$306,装备强化!$M$7:$M$306,"&lt;="&amp;MATCH(U208/6,装备强化!$U$7:$U$306,1),装备强化!$M$7:$M$306,"&gt;="&amp;MATCH(V208/6,装备强化!$U$7:$U$306,1))*6</f>
        <v>0</v>
      </c>
      <c r="AD208">
        <f ca="1" t="shared" si="33"/>
        <v>0</v>
      </c>
    </row>
    <row r="209" spans="1:30">
      <c r="A209" s="171"/>
      <c r="B209" s="80">
        <v>182</v>
      </c>
      <c r="C209" s="80">
        <f ca="1">OFFSET(产销汇总!$C$12,$B209,$C$26)</f>
        <v>214</v>
      </c>
      <c r="D209" s="80">
        <f t="shared" si="29"/>
        <v>14100</v>
      </c>
      <c r="E209" s="80">
        <f ca="1">(SUMIF(主线推图!$B$4:$B$303,"&lt;"&amp;C209,主线推图!$M$4:$M$303)+SUMIF(主线宝箱!$B$320:$B$620,"&lt;"&amp;C209,主线宝箱!$L$320:$L$620)+SUMIF(主线宝箱!$B$320:$B$620,"&lt;"&amp;C209,主线宝箱!$X$320:$X$620)+SUMIF(主线宝箱!$B$320:$B$620,"&lt;"&amp;C209,主线宝箱!$AL$320:$AL$620))</f>
        <v>380400</v>
      </c>
      <c r="F209" s="98">
        <f ca="1">SUMIF(组队产出!$B$24:$B$39,"&lt;="&amp;MAX(1,INT(C209/10-0.6)),组队产出!$R$24:$R$39)</f>
        <v>141000</v>
      </c>
      <c r="G209" s="80">
        <f ca="1">SUMIF(运营活动!$O$3:$O$27,"&lt;="&amp;C209,运营活动!$P$3:$P$27)</f>
        <v>30000</v>
      </c>
      <c r="H209" s="80">
        <f ca="1">OFFSET(产销汇总!$AM$12,B209,$C$26)*24</f>
        <v>1339152</v>
      </c>
      <c r="I209" s="172">
        <f ca="1">SUMIF(金币本!$F$2:$F$52,"&lt;="&amp;C209,金币本!$D$2:$D$52)</f>
        <v>1425000</v>
      </c>
      <c r="J209" s="80">
        <f ca="1">OFFSET(产销汇总!$C$1,MATCH(J$27,产销汇总!$C$2:$C$8,0),$C$26)*(_xlfn.XLOOKUP(C209,主线推图!$B$313:$B$612,主线推图!$C$313:$C$612)+_xlfn.XLOOKUP(C209,主线推图!$B$313:$B$612,主线推图!$D$313:$D$612))</f>
        <v>15532</v>
      </c>
      <c r="K209" s="80">
        <f ca="1">OFFSET(产销汇总!$C$1,MATCH(K$27,产销汇总!$C$2:$C$8,0),$C$26)*_xlfn.XLOOKUP(C209,巡逻产出!$B$311:$B$610,巡逻产出!$C$311:$C$610)*1.3</f>
        <v>0</v>
      </c>
      <c r="L209" s="80" t="e">
        <f ca="1">OFFSET(产销汇总!$C$1,MATCH(L$27,产销汇总!$C$2:$C$8,0),$C$26)*(_xlfn.XLOOKUP(MAX(1,INT(C209/10-6/10)),组队产出!$B$24:$B$39,组队产出!$D$24:$D$39))+OFFSET(产销汇总!$C$1,MATCH(L$27,产销汇总!$C$2:$C$8,0),$C$26)*(_xlfn.XLOOKUP(MAX(1,INT(C209/10-6/10)),组队产出!$B$24:$B$39,组队产出!$C$24:$C$39))</f>
        <v>#N/A</v>
      </c>
      <c r="M209" s="80">
        <f ca="1">(OFFSET(产销汇总!$C$1,MATCH(M$27,产销汇总!$C$2:$C$8,0),$C$26)*_xlfn.XLOOKUP(C209,巡逻产出!$B$311:$B$610,巡逻产出!$D$311:$D$610))*$M$24</f>
        <v>11013.6</v>
      </c>
      <c r="N209" s="80" t="e">
        <f ca="1">OFFSET(产销汇总!$C$1,MATCH(L$27,产销汇总!$C$2:$C$8,0),$C$26)*(_xlfn.XLOOKUP(MAX(1,INT(C209/10-6/10)),组队产出!$B$24:$B$39,组队产出!$S$24:$S$39))</f>
        <v>#N/A</v>
      </c>
      <c r="O209" s="172">
        <f>任务!$D$36</f>
        <v>2457.14285714286</v>
      </c>
      <c r="P209" s="98">
        <f t="shared" si="24"/>
        <v>428</v>
      </c>
      <c r="Q209" s="80">
        <f t="shared" si="30"/>
        <v>1000</v>
      </c>
      <c r="R209" s="172">
        <f t="shared" si="31"/>
        <v>2000</v>
      </c>
      <c r="S209" s="210">
        <f ca="1">IFERROR(OFFSET(金币本!$E$2,MATCH(C209,金币本!$F$3:$F$302,1),0)*IF($C$26=1,2,3),0)</f>
        <v>39750</v>
      </c>
      <c r="T209" s="172" t="e">
        <f ca="1">SUM($J$28:S209)+SUM(D209:I209)</f>
        <v>#N/A</v>
      </c>
      <c r="U209" s="172" t="e">
        <f ca="1" t="shared" si="25"/>
        <v>#N/A</v>
      </c>
      <c r="V209" s="98" t="e">
        <f ca="1" t="shared" si="26"/>
        <v>#N/A</v>
      </c>
      <c r="W209" s="98" t="e">
        <f ca="1">OFFSET(装备强化!$U$6,MATCH(图纸产出设计!V210/6*W$26,装备强化!$T$7:$T$306,1),0)*6</f>
        <v>#N/A</v>
      </c>
      <c r="X209" s="98">
        <v>817010</v>
      </c>
      <c r="Y209" s="98">
        <f t="shared" si="32"/>
        <v>5712000</v>
      </c>
      <c r="Z209" s="98">
        <f t="shared" si="34"/>
        <v>2</v>
      </c>
      <c r="AA209" s="147" t="e">
        <f ca="1" t="shared" si="27"/>
        <v>#N/A</v>
      </c>
      <c r="AB209" s="209" t="e">
        <f ca="1" t="shared" si="28"/>
        <v>#N/A</v>
      </c>
      <c r="AC209" s="209">
        <f ca="1">SUMIFS(装备强化!$Q$7:$Q$306,装备强化!$M$7:$M$306,"&lt;="&amp;MATCH(U209/6,装备强化!$U$7:$U$306,1),装备强化!$M$7:$M$306,"&gt;="&amp;MATCH(V209/6,装备强化!$U$7:$U$306,1))*6</f>
        <v>0</v>
      </c>
      <c r="AD209">
        <f ca="1" t="shared" si="33"/>
        <v>0</v>
      </c>
    </row>
    <row r="210" spans="1:30">
      <c r="A210" s="171"/>
      <c r="B210" s="80">
        <v>183</v>
      </c>
      <c r="C210" s="80">
        <f ca="1">OFFSET(产销汇总!$C$12,$B210,$C$26)</f>
        <v>214.5</v>
      </c>
      <c r="D210" s="80">
        <f t="shared" si="29"/>
        <v>14100</v>
      </c>
      <c r="E210" s="80">
        <f ca="1">(SUMIF(主线推图!$B$4:$B$303,"&lt;"&amp;C210,主线推图!$M$4:$M$303)+SUMIF(主线宝箱!$B$320:$B$620,"&lt;"&amp;C210,主线宝箱!$L$320:$L$620)+SUMIF(主线宝箱!$B$320:$B$620,"&lt;"&amp;C210,主线宝箱!$X$320:$X$620)+SUMIF(主线宝箱!$B$320:$B$620,"&lt;"&amp;C210,主线宝箱!$AL$320:$AL$620))</f>
        <v>382200</v>
      </c>
      <c r="F210" s="98">
        <f ca="1">SUMIF(组队产出!$B$24:$B$39,"&lt;="&amp;MAX(1,INT(C210/10-0.6)),组队产出!$R$24:$R$39)</f>
        <v>141000</v>
      </c>
      <c r="G210" s="80">
        <f ca="1">SUMIF(运营活动!$O$3:$O$27,"&lt;="&amp;C210,运营活动!$P$3:$P$27)</f>
        <v>30000</v>
      </c>
      <c r="H210" s="80">
        <f ca="1">OFFSET(产销汇总!$AM$12,B210,$C$26)*24</f>
        <v>1346400</v>
      </c>
      <c r="I210" s="172">
        <f ca="1">SUMIF(金币本!$F$2:$F$52,"&lt;="&amp;C210,金币本!$D$2:$D$52)</f>
        <v>1425000</v>
      </c>
      <c r="J210" s="80" t="e">
        <f ca="1">OFFSET(产销汇总!$C$1,MATCH(J$27,产销汇总!$C$2:$C$8,0),$C$26)*(_xlfn.XLOOKUP(C210,主线推图!$B$313:$B$612,主线推图!$C$313:$C$612)+_xlfn.XLOOKUP(C210,主线推图!$B$313:$B$612,主线推图!$D$313:$D$612))</f>
        <v>#N/A</v>
      </c>
      <c r="K210" s="80" t="e">
        <f ca="1">OFFSET(产销汇总!$C$1,MATCH(K$27,产销汇总!$C$2:$C$8,0),$C$26)*_xlfn.XLOOKUP(C210,巡逻产出!$B$311:$B$610,巡逻产出!$C$311:$C$610)*1.3</f>
        <v>#N/A</v>
      </c>
      <c r="L210" s="80" t="e">
        <f ca="1">OFFSET(产销汇总!$C$1,MATCH(L$27,产销汇总!$C$2:$C$8,0),$C$26)*(_xlfn.XLOOKUP(MAX(1,INT(C210/10-6/10)),组队产出!$B$24:$B$39,组队产出!$D$24:$D$39))+OFFSET(产销汇总!$C$1,MATCH(L$27,产销汇总!$C$2:$C$8,0),$C$26)*(_xlfn.XLOOKUP(MAX(1,INT(C210/10-6/10)),组队产出!$B$24:$B$39,组队产出!$C$24:$C$39))</f>
        <v>#N/A</v>
      </c>
      <c r="M210" s="80" t="e">
        <f ca="1">(OFFSET(产销汇总!$C$1,MATCH(M$27,产销汇总!$C$2:$C$8,0),$C$26)*_xlfn.XLOOKUP(C210,巡逻产出!$B$311:$B$610,巡逻产出!$D$311:$D$610))*$M$24</f>
        <v>#N/A</v>
      </c>
      <c r="N210" s="80" t="e">
        <f ca="1">OFFSET(产销汇总!$C$1,MATCH(L$27,产销汇总!$C$2:$C$8,0),$C$26)*(_xlfn.XLOOKUP(MAX(1,INT(C210/10-6/10)),组队产出!$B$24:$B$39,组队产出!$S$24:$S$39))</f>
        <v>#N/A</v>
      </c>
      <c r="O210" s="172">
        <f>任务!$D$36</f>
        <v>2457.14285714286</v>
      </c>
      <c r="P210" s="98">
        <f t="shared" si="24"/>
        <v>428</v>
      </c>
      <c r="Q210" s="80">
        <f t="shared" si="30"/>
        <v>1500</v>
      </c>
      <c r="R210" s="172">
        <f t="shared" si="31"/>
        <v>2000</v>
      </c>
      <c r="S210" s="210">
        <f ca="1">IFERROR(OFFSET(金币本!$E$2,MATCH(C210,金币本!$F$3:$F$302,1),0)*IF($C$26=1,2,3),0)</f>
        <v>39750</v>
      </c>
      <c r="T210" s="172" t="e">
        <f ca="1">SUM($J$28:S210)+SUM(D210:I210)</f>
        <v>#N/A</v>
      </c>
      <c r="U210" s="172" t="e">
        <f ca="1" t="shared" si="25"/>
        <v>#N/A</v>
      </c>
      <c r="V210" s="98" t="e">
        <f ca="1" t="shared" si="26"/>
        <v>#N/A</v>
      </c>
      <c r="W210" s="98" t="e">
        <f ca="1">OFFSET(装备强化!$U$6,MATCH(图纸产出设计!V211/6*W$26,装备强化!$T$7:$T$306,1),0)*6</f>
        <v>#N/A</v>
      </c>
      <c r="X210" s="98">
        <v>817010</v>
      </c>
      <c r="Y210" s="98">
        <f t="shared" si="32"/>
        <v>5744000</v>
      </c>
      <c r="Z210" s="98">
        <f t="shared" si="34"/>
        <v>2</v>
      </c>
      <c r="AA210" s="147" t="e">
        <f ca="1" t="shared" si="27"/>
        <v>#N/A</v>
      </c>
      <c r="AB210" s="209" t="e">
        <f ca="1" t="shared" si="28"/>
        <v>#N/A</v>
      </c>
      <c r="AC210" s="209">
        <f ca="1">SUMIFS(装备强化!$Q$7:$Q$306,装备强化!$M$7:$M$306,"&lt;="&amp;MATCH(U210/6,装备强化!$U$7:$U$306,1),装备强化!$M$7:$M$306,"&gt;="&amp;MATCH(V210/6,装备强化!$U$7:$U$306,1))*6</f>
        <v>0</v>
      </c>
      <c r="AD210">
        <f ca="1" t="shared" si="33"/>
        <v>0</v>
      </c>
    </row>
    <row r="211" spans="1:30">
      <c r="A211" s="171"/>
      <c r="B211" s="80">
        <v>184</v>
      </c>
      <c r="C211" s="80">
        <f ca="1">OFFSET(产销汇总!$C$12,$B211,$C$26)</f>
        <v>215</v>
      </c>
      <c r="D211" s="80">
        <f t="shared" si="29"/>
        <v>14100</v>
      </c>
      <c r="E211" s="80">
        <f ca="1">(SUMIF(主线推图!$B$4:$B$303,"&lt;"&amp;C211,主线推图!$M$4:$M$303)+SUMIF(主线宝箱!$B$320:$B$620,"&lt;"&amp;C211,主线宝箱!$L$320:$L$620)+SUMIF(主线宝箱!$B$320:$B$620,"&lt;"&amp;C211,主线宝箱!$X$320:$X$620)+SUMIF(主线宝箱!$B$320:$B$620,"&lt;"&amp;C211,主线宝箱!$AL$320:$AL$620))</f>
        <v>382200</v>
      </c>
      <c r="F211" s="98">
        <f ca="1">SUMIF(组队产出!$B$24:$B$39,"&lt;="&amp;MAX(1,INT(C211/10-0.6)),组队产出!$R$24:$R$39)</f>
        <v>141000</v>
      </c>
      <c r="G211" s="80">
        <f ca="1">SUMIF(运营活动!$O$3:$O$27,"&lt;="&amp;C211,运营活动!$P$3:$P$27)</f>
        <v>30000</v>
      </c>
      <c r="H211" s="80">
        <f ca="1">OFFSET(产销汇总!$AM$12,B211,$C$26)*24</f>
        <v>1353648</v>
      </c>
      <c r="I211" s="172">
        <f ca="1">SUMIF(金币本!$F$2:$F$52,"&lt;="&amp;C211,金币本!$D$2:$D$52)</f>
        <v>1425000</v>
      </c>
      <c r="J211" s="80">
        <f ca="1">OFFSET(产销汇总!$C$1,MATCH(J$27,产销汇总!$C$2:$C$8,0),$C$26)*(_xlfn.XLOOKUP(C211,主线推图!$B$313:$B$612,主线推图!$C$313:$C$612)+_xlfn.XLOOKUP(C211,主线推图!$B$313:$B$612,主线推图!$D$313:$D$612))</f>
        <v>15576</v>
      </c>
      <c r="K211" s="80">
        <f ca="1">OFFSET(产销汇总!$C$1,MATCH(K$27,产销汇总!$C$2:$C$8,0),$C$26)*_xlfn.XLOOKUP(C211,巡逻产出!$B$311:$B$610,巡逻产出!$C$311:$C$610)*1.3</f>
        <v>0</v>
      </c>
      <c r="L211" s="80" t="e">
        <f ca="1">OFFSET(产销汇总!$C$1,MATCH(L$27,产销汇总!$C$2:$C$8,0),$C$26)*(_xlfn.XLOOKUP(MAX(1,INT(C211/10-6/10)),组队产出!$B$24:$B$39,组队产出!$D$24:$D$39))+OFFSET(产销汇总!$C$1,MATCH(L$27,产销汇总!$C$2:$C$8,0),$C$26)*(_xlfn.XLOOKUP(MAX(1,INT(C211/10-6/10)),组队产出!$B$24:$B$39,组队产出!$C$24:$C$39))</f>
        <v>#N/A</v>
      </c>
      <c r="M211" s="80">
        <f ca="1">(OFFSET(产销汇总!$C$1,MATCH(M$27,产销汇总!$C$2:$C$8,0),$C$26)*_xlfn.XLOOKUP(C211,巡逻产出!$B$311:$B$610,巡逻产出!$D$311:$D$610))*$M$24</f>
        <v>11044.8</v>
      </c>
      <c r="N211" s="80" t="e">
        <f ca="1">OFFSET(产销汇总!$C$1,MATCH(L$27,产销汇总!$C$2:$C$8,0),$C$26)*(_xlfn.XLOOKUP(MAX(1,INT(C211/10-6/10)),组队产出!$B$24:$B$39,组队产出!$S$24:$S$39))</f>
        <v>#N/A</v>
      </c>
      <c r="O211" s="172">
        <f>任务!$D$36</f>
        <v>2457.14285714286</v>
      </c>
      <c r="P211" s="98">
        <f t="shared" si="24"/>
        <v>428</v>
      </c>
      <c r="Q211" s="80">
        <f t="shared" si="30"/>
        <v>1000</v>
      </c>
      <c r="R211" s="172">
        <f t="shared" si="31"/>
        <v>2000</v>
      </c>
      <c r="S211" s="210">
        <f ca="1">IFERROR(OFFSET(金币本!$E$2,MATCH(C211,金币本!$F$3:$F$302,1),0)*IF($C$26=1,2,3),0)</f>
        <v>39750</v>
      </c>
      <c r="T211" s="172" t="e">
        <f ca="1">SUM($J$28:S211)+SUM(D211:I211)</f>
        <v>#N/A</v>
      </c>
      <c r="U211" s="172" t="e">
        <f ca="1" t="shared" si="25"/>
        <v>#N/A</v>
      </c>
      <c r="V211" s="98" t="e">
        <f ca="1" t="shared" si="26"/>
        <v>#N/A</v>
      </c>
      <c r="W211" s="98" t="e">
        <f ca="1">OFFSET(装备强化!$U$6,MATCH(图纸产出设计!V212/6*W$26,装备强化!$T$7:$T$306,1),0)*6</f>
        <v>#N/A</v>
      </c>
      <c r="X211" s="98">
        <v>817010</v>
      </c>
      <c r="Y211" s="98">
        <f t="shared" si="32"/>
        <v>5776000</v>
      </c>
      <c r="Z211" s="98">
        <f t="shared" si="34"/>
        <v>2</v>
      </c>
      <c r="AA211" s="147" t="e">
        <f ca="1" t="shared" si="27"/>
        <v>#N/A</v>
      </c>
      <c r="AB211" s="209" t="e">
        <f ca="1" t="shared" si="28"/>
        <v>#N/A</v>
      </c>
      <c r="AC211" s="209">
        <f ca="1">SUMIFS(装备强化!$Q$7:$Q$306,装备强化!$M$7:$M$306,"&lt;="&amp;MATCH(U211/6,装备强化!$U$7:$U$306,1),装备强化!$M$7:$M$306,"&gt;="&amp;MATCH(V211/6,装备强化!$U$7:$U$306,1))*6</f>
        <v>0</v>
      </c>
      <c r="AD211">
        <f ca="1" t="shared" si="33"/>
        <v>0</v>
      </c>
    </row>
    <row r="212" spans="1:30">
      <c r="A212" s="171"/>
      <c r="B212" s="80">
        <v>185</v>
      </c>
      <c r="C212" s="80">
        <f ca="1">OFFSET(产销汇总!$C$12,$B212,$C$26)</f>
        <v>215.5</v>
      </c>
      <c r="D212" s="80">
        <f t="shared" si="29"/>
        <v>14100</v>
      </c>
      <c r="E212" s="80">
        <f ca="1">(SUMIF(主线推图!$B$4:$B$303,"&lt;"&amp;C212,主线推图!$M$4:$M$303)+SUMIF(主线宝箱!$B$320:$B$620,"&lt;"&amp;C212,主线宝箱!$L$320:$L$620)+SUMIF(主线宝箱!$B$320:$B$620,"&lt;"&amp;C212,主线宝箱!$X$320:$X$620)+SUMIF(主线宝箱!$B$320:$B$620,"&lt;"&amp;C212,主线宝箱!$AL$320:$AL$620))</f>
        <v>384000</v>
      </c>
      <c r="F212" s="98">
        <f ca="1">SUMIF(组队产出!$B$24:$B$39,"&lt;="&amp;MAX(1,INT(C212/10-0.6)),组队产出!$R$24:$R$39)</f>
        <v>141000</v>
      </c>
      <c r="G212" s="80">
        <f ca="1">SUMIF(运营活动!$O$3:$O$27,"&lt;="&amp;C212,运营活动!$P$3:$P$27)</f>
        <v>30000</v>
      </c>
      <c r="H212" s="80">
        <f ca="1">OFFSET(产销汇总!$AM$12,B212,$C$26)*24</f>
        <v>1360896</v>
      </c>
      <c r="I212" s="172">
        <f ca="1">SUMIF(金币本!$F$2:$F$52,"&lt;="&amp;C212,金币本!$D$2:$D$52)</f>
        <v>1425000</v>
      </c>
      <c r="J212" s="80" t="e">
        <f ca="1">OFFSET(产销汇总!$C$1,MATCH(J$27,产销汇总!$C$2:$C$8,0),$C$26)*(_xlfn.XLOOKUP(C212,主线推图!$B$313:$B$612,主线推图!$C$313:$C$612)+_xlfn.XLOOKUP(C212,主线推图!$B$313:$B$612,主线推图!$D$313:$D$612))</f>
        <v>#N/A</v>
      </c>
      <c r="K212" s="80" t="e">
        <f ca="1">OFFSET(产销汇总!$C$1,MATCH(K$27,产销汇总!$C$2:$C$8,0),$C$26)*_xlfn.XLOOKUP(C212,巡逻产出!$B$311:$B$610,巡逻产出!$C$311:$C$610)*1.3</f>
        <v>#N/A</v>
      </c>
      <c r="L212" s="80" t="e">
        <f ca="1">OFFSET(产销汇总!$C$1,MATCH(L$27,产销汇总!$C$2:$C$8,0),$C$26)*(_xlfn.XLOOKUP(MAX(1,INT(C212/10-6/10)),组队产出!$B$24:$B$39,组队产出!$D$24:$D$39))+OFFSET(产销汇总!$C$1,MATCH(L$27,产销汇总!$C$2:$C$8,0),$C$26)*(_xlfn.XLOOKUP(MAX(1,INT(C212/10-6/10)),组队产出!$B$24:$B$39,组队产出!$C$24:$C$39))</f>
        <v>#N/A</v>
      </c>
      <c r="M212" s="80" t="e">
        <f ca="1">(OFFSET(产销汇总!$C$1,MATCH(M$27,产销汇总!$C$2:$C$8,0),$C$26)*_xlfn.XLOOKUP(C212,巡逻产出!$B$311:$B$610,巡逻产出!$D$311:$D$610))*$M$24</f>
        <v>#N/A</v>
      </c>
      <c r="N212" s="80" t="e">
        <f ca="1">OFFSET(产销汇总!$C$1,MATCH(L$27,产销汇总!$C$2:$C$8,0),$C$26)*(_xlfn.XLOOKUP(MAX(1,INT(C212/10-6/10)),组队产出!$B$24:$B$39,组队产出!$S$24:$S$39))</f>
        <v>#N/A</v>
      </c>
      <c r="O212" s="172">
        <f>任务!$D$36</f>
        <v>2457.14285714286</v>
      </c>
      <c r="P212" s="98">
        <f t="shared" si="24"/>
        <v>428</v>
      </c>
      <c r="Q212" s="80">
        <f t="shared" si="30"/>
        <v>1000</v>
      </c>
      <c r="R212" s="172">
        <f t="shared" si="31"/>
        <v>2000</v>
      </c>
      <c r="S212" s="210">
        <f ca="1">IFERROR(OFFSET(金币本!$E$2,MATCH(C212,金币本!$F$3:$F$302,1),0)*IF($C$26=1,2,3),0)</f>
        <v>39750</v>
      </c>
      <c r="T212" s="172" t="e">
        <f ca="1">SUM($J$28:S212)+SUM(D212:I212)</f>
        <v>#N/A</v>
      </c>
      <c r="U212" s="172" t="e">
        <f ca="1" t="shared" si="25"/>
        <v>#N/A</v>
      </c>
      <c r="V212" s="98" t="e">
        <f ca="1" t="shared" si="26"/>
        <v>#N/A</v>
      </c>
      <c r="W212" s="98" t="e">
        <f ca="1">OFFSET(装备强化!$U$6,MATCH(图纸产出设计!V213/6*W$26,装备强化!$T$7:$T$306,1),0)*6</f>
        <v>#N/A</v>
      </c>
      <c r="X212" s="98">
        <v>827740</v>
      </c>
      <c r="Y212" s="98">
        <f t="shared" si="32"/>
        <v>5808000</v>
      </c>
      <c r="Z212" s="98">
        <f t="shared" si="34"/>
        <v>2</v>
      </c>
      <c r="AA212" s="147" t="e">
        <f ca="1" t="shared" si="27"/>
        <v>#N/A</v>
      </c>
      <c r="AB212" s="209" t="e">
        <f ca="1" t="shared" si="28"/>
        <v>#N/A</v>
      </c>
      <c r="AC212" s="209">
        <f ca="1">SUMIFS(装备强化!$Q$7:$Q$306,装备强化!$M$7:$M$306,"&lt;="&amp;MATCH(U212/6,装备强化!$U$7:$U$306,1),装备强化!$M$7:$M$306,"&gt;="&amp;MATCH(V212/6,装备强化!$U$7:$U$306,1))*6</f>
        <v>0</v>
      </c>
      <c r="AD212">
        <f ca="1" t="shared" si="33"/>
        <v>0</v>
      </c>
    </row>
    <row r="213" spans="1:30">
      <c r="A213" s="171"/>
      <c r="B213" s="80">
        <v>186</v>
      </c>
      <c r="C213" s="80">
        <f ca="1">OFFSET(产销汇总!$C$12,$B213,$C$26)</f>
        <v>216</v>
      </c>
      <c r="D213" s="80">
        <f t="shared" si="29"/>
        <v>14100</v>
      </c>
      <c r="E213" s="80">
        <f ca="1">(SUMIF(主线推图!$B$4:$B$303,"&lt;"&amp;C213,主线推图!$M$4:$M$303)+SUMIF(主线宝箱!$B$320:$B$620,"&lt;"&amp;C213,主线宝箱!$L$320:$L$620)+SUMIF(主线宝箱!$B$320:$B$620,"&lt;"&amp;C213,主线宝箱!$X$320:$X$620)+SUMIF(主线宝箱!$B$320:$B$620,"&lt;"&amp;C213,主线宝箱!$AL$320:$AL$620))</f>
        <v>384000</v>
      </c>
      <c r="F213" s="98">
        <f ca="1">SUMIF(组队产出!$B$24:$B$39,"&lt;="&amp;MAX(1,INT(C213/10-0.6)),组队产出!$R$24:$R$39)</f>
        <v>141000</v>
      </c>
      <c r="G213" s="80">
        <f ca="1">SUMIF(运营活动!$O$3:$O$27,"&lt;="&amp;C213,运营活动!$P$3:$P$27)</f>
        <v>30000</v>
      </c>
      <c r="H213" s="80">
        <f ca="1">OFFSET(产销汇总!$AM$12,B213,$C$26)*24</f>
        <v>1368144</v>
      </c>
      <c r="I213" s="172">
        <f ca="1">SUMIF(金币本!$F$2:$F$52,"&lt;="&amp;C213,金币本!$D$2:$D$52)</f>
        <v>1425000</v>
      </c>
      <c r="J213" s="80">
        <f ca="1">OFFSET(产销汇总!$C$1,MATCH(J$27,产销汇总!$C$2:$C$8,0),$C$26)*(_xlfn.XLOOKUP(C213,主线推图!$B$313:$B$612,主线推图!$C$313:$C$612)+_xlfn.XLOOKUP(C213,主线推图!$B$313:$B$612,主线推图!$D$313:$D$612))</f>
        <v>15620</v>
      </c>
      <c r="K213" s="80">
        <f ca="1">OFFSET(产销汇总!$C$1,MATCH(K$27,产销汇总!$C$2:$C$8,0),$C$26)*_xlfn.XLOOKUP(C213,巡逻产出!$B$311:$B$610,巡逻产出!$C$311:$C$610)*1.3</f>
        <v>0</v>
      </c>
      <c r="L213" s="80" t="e">
        <f ca="1">OFFSET(产销汇总!$C$1,MATCH(L$27,产销汇总!$C$2:$C$8,0),$C$26)*(_xlfn.XLOOKUP(MAX(1,INT(C213/10-6/10)),组队产出!$B$24:$B$39,组队产出!$D$24:$D$39))+OFFSET(产销汇总!$C$1,MATCH(L$27,产销汇总!$C$2:$C$8,0),$C$26)*(_xlfn.XLOOKUP(MAX(1,INT(C213/10-6/10)),组队产出!$B$24:$B$39,组队产出!$C$24:$C$39))</f>
        <v>#N/A</v>
      </c>
      <c r="M213" s="80">
        <f ca="1">(OFFSET(产销汇总!$C$1,MATCH(M$27,产销汇总!$C$2:$C$8,0),$C$26)*_xlfn.XLOOKUP(C213,巡逻产出!$B$311:$B$610,巡逻产出!$D$311:$D$610))*$M$24</f>
        <v>11076</v>
      </c>
      <c r="N213" s="80" t="e">
        <f ca="1">OFFSET(产销汇总!$C$1,MATCH(L$27,产销汇总!$C$2:$C$8,0),$C$26)*(_xlfn.XLOOKUP(MAX(1,INT(C213/10-6/10)),组队产出!$B$24:$B$39,组队产出!$S$24:$S$39))</f>
        <v>#N/A</v>
      </c>
      <c r="O213" s="172">
        <f>任务!$D$36</f>
        <v>2457.14285714286</v>
      </c>
      <c r="P213" s="98">
        <f t="shared" si="24"/>
        <v>428</v>
      </c>
      <c r="Q213" s="80">
        <f t="shared" si="30"/>
        <v>1000</v>
      </c>
      <c r="R213" s="172">
        <f t="shared" si="31"/>
        <v>2000</v>
      </c>
      <c r="S213" s="210">
        <f ca="1">IFERROR(OFFSET(金币本!$E$2,MATCH(C213,金币本!$F$3:$F$302,1),0)*IF($C$26=1,2,3),0)</f>
        <v>39750</v>
      </c>
      <c r="T213" s="172" t="e">
        <f ca="1">SUM($J$28:S213)+SUM(D213:I213)</f>
        <v>#N/A</v>
      </c>
      <c r="U213" s="172" t="e">
        <f ca="1" t="shared" si="25"/>
        <v>#N/A</v>
      </c>
      <c r="V213" s="98" t="e">
        <f ca="1" t="shared" si="26"/>
        <v>#N/A</v>
      </c>
      <c r="W213" s="98" t="e">
        <f ca="1">OFFSET(装备强化!$U$6,MATCH(图纸产出设计!V214/6*W$26,装备强化!$T$7:$T$306,1),0)*6</f>
        <v>#N/A</v>
      </c>
      <c r="X213" s="98">
        <v>827740</v>
      </c>
      <c r="Y213" s="98">
        <f t="shared" si="32"/>
        <v>5840000</v>
      </c>
      <c r="Z213" s="98">
        <f t="shared" si="34"/>
        <v>2</v>
      </c>
      <c r="AA213" s="147" t="e">
        <f ca="1" t="shared" si="27"/>
        <v>#N/A</v>
      </c>
      <c r="AB213" s="209" t="e">
        <f ca="1" t="shared" si="28"/>
        <v>#N/A</v>
      </c>
      <c r="AC213" s="209">
        <f ca="1">SUMIFS(装备强化!$Q$7:$Q$306,装备强化!$M$7:$M$306,"&lt;="&amp;MATCH(U213/6,装备强化!$U$7:$U$306,1),装备强化!$M$7:$M$306,"&gt;="&amp;MATCH(V213/6,装备强化!$U$7:$U$306,1))*6</f>
        <v>0</v>
      </c>
      <c r="AD213">
        <f ca="1" t="shared" si="33"/>
        <v>0</v>
      </c>
    </row>
    <row r="214" spans="1:30">
      <c r="A214" s="171"/>
      <c r="B214" s="80">
        <v>187</v>
      </c>
      <c r="C214" s="80">
        <f ca="1">OFFSET(产销汇总!$C$12,$B214,$C$26)</f>
        <v>216.5</v>
      </c>
      <c r="D214" s="80">
        <f t="shared" si="29"/>
        <v>14100</v>
      </c>
      <c r="E214" s="80">
        <f ca="1">(SUMIF(主线推图!$B$4:$B$303,"&lt;"&amp;C214,主线推图!$M$4:$M$303)+SUMIF(主线宝箱!$B$320:$B$620,"&lt;"&amp;C214,主线宝箱!$L$320:$L$620)+SUMIF(主线宝箱!$B$320:$B$620,"&lt;"&amp;C214,主线宝箱!$X$320:$X$620)+SUMIF(主线宝箱!$B$320:$B$620,"&lt;"&amp;C214,主线宝箱!$AL$320:$AL$620))</f>
        <v>385800</v>
      </c>
      <c r="F214" s="98">
        <f ca="1">SUMIF(组队产出!$B$24:$B$39,"&lt;="&amp;MAX(1,INT(C214/10-0.6)),组队产出!$R$24:$R$39)</f>
        <v>141000</v>
      </c>
      <c r="G214" s="80">
        <f ca="1">SUMIF(运营活动!$O$3:$O$27,"&lt;="&amp;C214,运营活动!$P$3:$P$27)</f>
        <v>30000</v>
      </c>
      <c r="H214" s="80">
        <f ca="1">OFFSET(产销汇总!$AM$12,B214,$C$26)*24</f>
        <v>1375392</v>
      </c>
      <c r="I214" s="172">
        <f ca="1">SUMIF(金币本!$F$2:$F$52,"&lt;="&amp;C214,金币本!$D$2:$D$52)</f>
        <v>1425000</v>
      </c>
      <c r="J214" s="80" t="e">
        <f ca="1">OFFSET(产销汇总!$C$1,MATCH(J$27,产销汇总!$C$2:$C$8,0),$C$26)*(_xlfn.XLOOKUP(C214,主线推图!$B$313:$B$612,主线推图!$C$313:$C$612)+_xlfn.XLOOKUP(C214,主线推图!$B$313:$B$612,主线推图!$D$313:$D$612))</f>
        <v>#N/A</v>
      </c>
      <c r="K214" s="80" t="e">
        <f ca="1">OFFSET(产销汇总!$C$1,MATCH(K$27,产销汇总!$C$2:$C$8,0),$C$26)*_xlfn.XLOOKUP(C214,巡逻产出!$B$311:$B$610,巡逻产出!$C$311:$C$610)*1.3</f>
        <v>#N/A</v>
      </c>
      <c r="L214" s="80" t="e">
        <f ca="1">OFFSET(产销汇总!$C$1,MATCH(L$27,产销汇总!$C$2:$C$8,0),$C$26)*(_xlfn.XLOOKUP(MAX(1,INT(C214/10-6/10)),组队产出!$B$24:$B$39,组队产出!$D$24:$D$39))+OFFSET(产销汇总!$C$1,MATCH(L$27,产销汇总!$C$2:$C$8,0),$C$26)*(_xlfn.XLOOKUP(MAX(1,INT(C214/10-6/10)),组队产出!$B$24:$B$39,组队产出!$C$24:$C$39))</f>
        <v>#N/A</v>
      </c>
      <c r="M214" s="80" t="e">
        <f ca="1">(OFFSET(产销汇总!$C$1,MATCH(M$27,产销汇总!$C$2:$C$8,0),$C$26)*_xlfn.XLOOKUP(C214,巡逻产出!$B$311:$B$610,巡逻产出!$D$311:$D$610))*$M$24</f>
        <v>#N/A</v>
      </c>
      <c r="N214" s="80" t="e">
        <f ca="1">OFFSET(产销汇总!$C$1,MATCH(L$27,产销汇总!$C$2:$C$8,0),$C$26)*(_xlfn.XLOOKUP(MAX(1,INT(C214/10-6/10)),组队产出!$B$24:$B$39,组队产出!$S$24:$S$39))</f>
        <v>#N/A</v>
      </c>
      <c r="O214" s="172">
        <f>任务!$D$36</f>
        <v>2457.14285714286</v>
      </c>
      <c r="P214" s="98">
        <f t="shared" si="24"/>
        <v>428</v>
      </c>
      <c r="Q214" s="80">
        <f t="shared" si="30"/>
        <v>1000</v>
      </c>
      <c r="R214" s="172">
        <f t="shared" si="31"/>
        <v>2000</v>
      </c>
      <c r="S214" s="210">
        <f ca="1">IFERROR(OFFSET(金币本!$E$2,MATCH(C214,金币本!$F$3:$F$302,1),0)*IF($C$26=1,2,3),0)</f>
        <v>39750</v>
      </c>
      <c r="T214" s="172" t="e">
        <f ca="1">SUM($J$28:S214)+SUM(D214:I214)</f>
        <v>#N/A</v>
      </c>
      <c r="U214" s="172" t="e">
        <f ca="1" t="shared" si="25"/>
        <v>#N/A</v>
      </c>
      <c r="V214" s="98" t="e">
        <f ca="1" t="shared" si="26"/>
        <v>#N/A</v>
      </c>
      <c r="W214" s="98" t="e">
        <f ca="1">OFFSET(装备强化!$U$6,MATCH(图纸产出设计!V215/6*W$26,装备强化!$T$7:$T$306,1),0)*6</f>
        <v>#N/A</v>
      </c>
      <c r="X214" s="98">
        <v>838540</v>
      </c>
      <c r="Y214" s="98">
        <f t="shared" si="32"/>
        <v>5872000</v>
      </c>
      <c r="Z214" s="98">
        <f t="shared" si="34"/>
        <v>2</v>
      </c>
      <c r="AA214" s="147" t="e">
        <f ca="1" t="shared" si="27"/>
        <v>#N/A</v>
      </c>
      <c r="AB214" s="209" t="e">
        <f ca="1" t="shared" si="28"/>
        <v>#N/A</v>
      </c>
      <c r="AC214" s="209">
        <f ca="1">SUMIFS(装备强化!$Q$7:$Q$306,装备强化!$M$7:$M$306,"&lt;="&amp;MATCH(U214/6,装备强化!$U$7:$U$306,1),装备强化!$M$7:$M$306,"&gt;="&amp;MATCH(V214/6,装备强化!$U$7:$U$306,1))*6</f>
        <v>0</v>
      </c>
      <c r="AD214">
        <f ca="1" t="shared" si="33"/>
        <v>0</v>
      </c>
    </row>
    <row r="215" spans="1:30">
      <c r="A215" s="171"/>
      <c r="B215" s="80">
        <v>188</v>
      </c>
      <c r="C215" s="80">
        <f ca="1">OFFSET(产销汇总!$C$12,$B215,$C$26)</f>
        <v>217</v>
      </c>
      <c r="D215" s="80">
        <f t="shared" si="29"/>
        <v>14100</v>
      </c>
      <c r="E215" s="80">
        <f ca="1">(SUMIF(主线推图!$B$4:$B$303,"&lt;"&amp;C215,主线推图!$M$4:$M$303)+SUMIF(主线宝箱!$B$320:$B$620,"&lt;"&amp;C215,主线宝箱!$L$320:$L$620)+SUMIF(主线宝箱!$B$320:$B$620,"&lt;"&amp;C215,主线宝箱!$X$320:$X$620)+SUMIF(主线宝箱!$B$320:$B$620,"&lt;"&amp;C215,主线宝箱!$AL$320:$AL$620))</f>
        <v>385800</v>
      </c>
      <c r="F215" s="98">
        <f ca="1">SUMIF(组队产出!$B$24:$B$39,"&lt;="&amp;MAX(1,INT(C215/10-0.6)),组队产出!$R$24:$R$39)</f>
        <v>141000</v>
      </c>
      <c r="G215" s="80">
        <f ca="1">SUMIF(运营活动!$O$3:$O$27,"&lt;="&amp;C215,运营活动!$P$3:$P$27)</f>
        <v>30000</v>
      </c>
      <c r="H215" s="80">
        <f ca="1">OFFSET(产销汇总!$AM$12,B215,$C$26)*24</f>
        <v>1382640</v>
      </c>
      <c r="I215" s="172">
        <f ca="1">SUMIF(金币本!$F$2:$F$52,"&lt;="&amp;C215,金币本!$D$2:$D$52)</f>
        <v>1425000</v>
      </c>
      <c r="J215" s="80">
        <f ca="1">OFFSET(产销汇总!$C$1,MATCH(J$27,产销汇总!$C$2:$C$8,0),$C$26)*(_xlfn.XLOOKUP(C215,主线推图!$B$313:$B$612,主线推图!$C$313:$C$612)+_xlfn.XLOOKUP(C215,主线推图!$B$313:$B$612,主线推图!$D$313:$D$612))</f>
        <v>15664</v>
      </c>
      <c r="K215" s="80">
        <f ca="1">OFFSET(产销汇总!$C$1,MATCH(K$27,产销汇总!$C$2:$C$8,0),$C$26)*_xlfn.XLOOKUP(C215,巡逻产出!$B$311:$B$610,巡逻产出!$C$311:$C$610)*1.3</f>
        <v>0</v>
      </c>
      <c r="L215" s="80" t="e">
        <f ca="1">OFFSET(产销汇总!$C$1,MATCH(L$27,产销汇总!$C$2:$C$8,0),$C$26)*(_xlfn.XLOOKUP(MAX(1,INT(C215/10-6/10)),组队产出!$B$24:$B$39,组队产出!$D$24:$D$39))+OFFSET(产销汇总!$C$1,MATCH(L$27,产销汇总!$C$2:$C$8,0),$C$26)*(_xlfn.XLOOKUP(MAX(1,INT(C215/10-6/10)),组队产出!$B$24:$B$39,组队产出!$C$24:$C$39))</f>
        <v>#N/A</v>
      </c>
      <c r="M215" s="80">
        <f ca="1">(OFFSET(产销汇总!$C$1,MATCH(M$27,产销汇总!$C$2:$C$8,0),$C$26)*_xlfn.XLOOKUP(C215,巡逻产出!$B$311:$B$610,巡逻产出!$D$311:$D$610))*$M$24</f>
        <v>11107.2</v>
      </c>
      <c r="N215" s="80" t="e">
        <f ca="1">OFFSET(产销汇总!$C$1,MATCH(L$27,产销汇总!$C$2:$C$8,0),$C$26)*(_xlfn.XLOOKUP(MAX(1,INT(C215/10-6/10)),组队产出!$B$24:$B$39,组队产出!$S$24:$S$39))</f>
        <v>#N/A</v>
      </c>
      <c r="O215" s="172">
        <f>任务!$D$36</f>
        <v>2457.14285714286</v>
      </c>
      <c r="P215" s="98">
        <f t="shared" si="24"/>
        <v>428</v>
      </c>
      <c r="Q215" s="80">
        <f t="shared" si="30"/>
        <v>1000</v>
      </c>
      <c r="R215" s="172">
        <f t="shared" si="31"/>
        <v>2000</v>
      </c>
      <c r="S215" s="210">
        <f ca="1">IFERROR(OFFSET(金币本!$E$2,MATCH(C215,金币本!$F$3:$F$302,1),0)*IF($C$26=1,2,3),0)</f>
        <v>39750</v>
      </c>
      <c r="T215" s="172" t="e">
        <f ca="1">SUM($J$28:S215)+SUM(D215:I215)</f>
        <v>#N/A</v>
      </c>
      <c r="U215" s="172" t="e">
        <f ca="1" t="shared" si="25"/>
        <v>#N/A</v>
      </c>
      <c r="V215" s="98" t="e">
        <f ca="1" t="shared" si="26"/>
        <v>#N/A</v>
      </c>
      <c r="W215" s="98" t="e">
        <f ca="1">OFFSET(装备强化!$U$6,MATCH(图纸产出设计!V216/6*W$26,装备强化!$T$7:$T$306,1),0)*6</f>
        <v>#N/A</v>
      </c>
      <c r="X215" s="98">
        <v>838540</v>
      </c>
      <c r="Y215" s="98">
        <f t="shared" si="32"/>
        <v>5904000</v>
      </c>
      <c r="Z215" s="98">
        <f t="shared" si="34"/>
        <v>2</v>
      </c>
      <c r="AA215" s="147" t="e">
        <f ca="1" t="shared" si="27"/>
        <v>#N/A</v>
      </c>
      <c r="AB215" s="209" t="e">
        <f ca="1" t="shared" si="28"/>
        <v>#N/A</v>
      </c>
      <c r="AC215" s="209">
        <f ca="1">SUMIFS(装备强化!$Q$7:$Q$306,装备强化!$M$7:$M$306,"&lt;="&amp;MATCH(U215/6,装备强化!$U$7:$U$306,1),装备强化!$M$7:$M$306,"&gt;="&amp;MATCH(V215/6,装备强化!$U$7:$U$306,1))*6</f>
        <v>0</v>
      </c>
      <c r="AD215">
        <f ca="1" t="shared" si="33"/>
        <v>0</v>
      </c>
    </row>
    <row r="216" spans="1:30">
      <c r="A216" s="171"/>
      <c r="B216" s="80">
        <v>189</v>
      </c>
      <c r="C216" s="80">
        <f ca="1">OFFSET(产销汇总!$C$12,$B216,$C$26)</f>
        <v>217.5</v>
      </c>
      <c r="D216" s="80">
        <f t="shared" si="29"/>
        <v>14100</v>
      </c>
      <c r="E216" s="80">
        <f ca="1">(SUMIF(主线推图!$B$4:$B$303,"&lt;"&amp;C216,主线推图!$M$4:$M$303)+SUMIF(主线宝箱!$B$320:$B$620,"&lt;"&amp;C216,主线宝箱!$L$320:$L$620)+SUMIF(主线宝箱!$B$320:$B$620,"&lt;"&amp;C216,主线宝箱!$X$320:$X$620)+SUMIF(主线宝箱!$B$320:$B$620,"&lt;"&amp;C216,主线宝箱!$AL$320:$AL$620))</f>
        <v>387600</v>
      </c>
      <c r="F216" s="98">
        <f ca="1">SUMIF(组队产出!$B$24:$B$39,"&lt;="&amp;MAX(1,INT(C216/10-0.6)),组队产出!$R$24:$R$39)</f>
        <v>141000</v>
      </c>
      <c r="G216" s="80">
        <f ca="1">SUMIF(运营活动!$O$3:$O$27,"&lt;="&amp;C216,运营活动!$P$3:$P$27)</f>
        <v>30000</v>
      </c>
      <c r="H216" s="80">
        <f ca="1">OFFSET(产销汇总!$AM$12,B216,$C$26)*24</f>
        <v>1389888</v>
      </c>
      <c r="I216" s="172">
        <f ca="1">SUMIF(金币本!$F$2:$F$52,"&lt;="&amp;C216,金币本!$D$2:$D$52)</f>
        <v>1425000</v>
      </c>
      <c r="J216" s="80" t="e">
        <f ca="1">OFFSET(产销汇总!$C$1,MATCH(J$27,产销汇总!$C$2:$C$8,0),$C$26)*(_xlfn.XLOOKUP(C216,主线推图!$B$313:$B$612,主线推图!$C$313:$C$612)+_xlfn.XLOOKUP(C216,主线推图!$B$313:$B$612,主线推图!$D$313:$D$612))</f>
        <v>#N/A</v>
      </c>
      <c r="K216" s="80" t="e">
        <f ca="1">OFFSET(产销汇总!$C$1,MATCH(K$27,产销汇总!$C$2:$C$8,0),$C$26)*_xlfn.XLOOKUP(C216,巡逻产出!$B$311:$B$610,巡逻产出!$C$311:$C$610)*1.3</f>
        <v>#N/A</v>
      </c>
      <c r="L216" s="80" t="e">
        <f ca="1">OFFSET(产销汇总!$C$1,MATCH(L$27,产销汇总!$C$2:$C$8,0),$C$26)*(_xlfn.XLOOKUP(MAX(1,INT(C216/10-6/10)),组队产出!$B$24:$B$39,组队产出!$D$24:$D$39))+OFFSET(产销汇总!$C$1,MATCH(L$27,产销汇总!$C$2:$C$8,0),$C$26)*(_xlfn.XLOOKUP(MAX(1,INT(C216/10-6/10)),组队产出!$B$24:$B$39,组队产出!$C$24:$C$39))</f>
        <v>#N/A</v>
      </c>
      <c r="M216" s="80" t="e">
        <f ca="1">(OFFSET(产销汇总!$C$1,MATCH(M$27,产销汇总!$C$2:$C$8,0),$C$26)*_xlfn.XLOOKUP(C216,巡逻产出!$B$311:$B$610,巡逻产出!$D$311:$D$610))*$M$24</f>
        <v>#N/A</v>
      </c>
      <c r="N216" s="80" t="e">
        <f ca="1">OFFSET(产销汇总!$C$1,MATCH(L$27,产销汇总!$C$2:$C$8,0),$C$26)*(_xlfn.XLOOKUP(MAX(1,INT(C216/10-6/10)),组队产出!$B$24:$B$39,组队产出!$S$24:$S$39))</f>
        <v>#N/A</v>
      </c>
      <c r="O216" s="172">
        <f>任务!$D$36</f>
        <v>2457.14285714286</v>
      </c>
      <c r="P216" s="98">
        <f t="shared" si="24"/>
        <v>428</v>
      </c>
      <c r="Q216" s="80">
        <f t="shared" si="30"/>
        <v>1000</v>
      </c>
      <c r="R216" s="172">
        <f t="shared" si="31"/>
        <v>2000</v>
      </c>
      <c r="S216" s="210">
        <f ca="1">IFERROR(OFFSET(金币本!$E$2,MATCH(C216,金币本!$F$3:$F$302,1),0)*IF($C$26=1,2,3),0)</f>
        <v>39750</v>
      </c>
      <c r="T216" s="172" t="e">
        <f ca="1">SUM($J$28:S216)+SUM(D216:I216)</f>
        <v>#N/A</v>
      </c>
      <c r="U216" s="172" t="e">
        <f ca="1" t="shared" si="25"/>
        <v>#N/A</v>
      </c>
      <c r="V216" s="98" t="e">
        <f ca="1" t="shared" si="26"/>
        <v>#N/A</v>
      </c>
      <c r="W216" s="98" t="e">
        <f ca="1">OFFSET(装备强化!$U$6,MATCH(图纸产出设计!V217/6*W$26,装备强化!$T$7:$T$306,1),0)*6</f>
        <v>#N/A</v>
      </c>
      <c r="X216" s="98">
        <v>849410</v>
      </c>
      <c r="Y216" s="98">
        <f t="shared" si="32"/>
        <v>5936000</v>
      </c>
      <c r="Z216" s="98">
        <f t="shared" si="34"/>
        <v>2</v>
      </c>
      <c r="AA216" s="147" t="e">
        <f ca="1" t="shared" si="27"/>
        <v>#N/A</v>
      </c>
      <c r="AB216" s="209" t="e">
        <f ca="1" t="shared" si="28"/>
        <v>#N/A</v>
      </c>
      <c r="AC216" s="209">
        <f ca="1">SUMIFS(装备强化!$Q$7:$Q$306,装备强化!$M$7:$M$306,"&lt;="&amp;MATCH(U216/6,装备强化!$U$7:$U$306,1),装备强化!$M$7:$M$306,"&gt;="&amp;MATCH(V216/6,装备强化!$U$7:$U$306,1))*6</f>
        <v>0</v>
      </c>
      <c r="AD216">
        <f ca="1" t="shared" si="33"/>
        <v>0</v>
      </c>
    </row>
    <row r="217" spans="1:30">
      <c r="A217" s="171"/>
      <c r="B217" s="80">
        <v>190</v>
      </c>
      <c r="C217" s="80">
        <f ca="1">OFFSET(产销汇总!$C$12,$B217,$C$26)</f>
        <v>218</v>
      </c>
      <c r="D217" s="80">
        <f t="shared" si="29"/>
        <v>14100</v>
      </c>
      <c r="E217" s="80">
        <f ca="1">(SUMIF(主线推图!$B$4:$B$303,"&lt;"&amp;C217,主线推图!$M$4:$M$303)+SUMIF(主线宝箱!$B$320:$B$620,"&lt;"&amp;C217,主线宝箱!$L$320:$L$620)+SUMIF(主线宝箱!$B$320:$B$620,"&lt;"&amp;C217,主线宝箱!$X$320:$X$620)+SUMIF(主线宝箱!$B$320:$B$620,"&lt;"&amp;C217,主线宝箱!$AL$320:$AL$620))</f>
        <v>387600</v>
      </c>
      <c r="F217" s="98">
        <f ca="1">SUMIF(组队产出!$B$24:$B$39,"&lt;="&amp;MAX(1,INT(C217/10-0.6)),组队产出!$R$24:$R$39)</f>
        <v>141000</v>
      </c>
      <c r="G217" s="80">
        <f ca="1">SUMIF(运营活动!$O$3:$O$27,"&lt;="&amp;C217,运营活动!$P$3:$P$27)</f>
        <v>30000</v>
      </c>
      <c r="H217" s="80">
        <f ca="1">OFFSET(产销汇总!$AM$12,B217,$C$26)*24</f>
        <v>1397136</v>
      </c>
      <c r="I217" s="172">
        <f ca="1">SUMIF(金币本!$F$2:$F$52,"&lt;="&amp;C217,金币本!$D$2:$D$52)</f>
        <v>1425000</v>
      </c>
      <c r="J217" s="80">
        <f ca="1">OFFSET(产销汇总!$C$1,MATCH(J$27,产销汇总!$C$2:$C$8,0),$C$26)*(_xlfn.XLOOKUP(C217,主线推图!$B$313:$B$612,主线推图!$C$313:$C$612)+_xlfn.XLOOKUP(C217,主线推图!$B$313:$B$612,主线推图!$D$313:$D$612))</f>
        <v>15708</v>
      </c>
      <c r="K217" s="80">
        <f ca="1">OFFSET(产销汇总!$C$1,MATCH(K$27,产销汇总!$C$2:$C$8,0),$C$26)*_xlfn.XLOOKUP(C217,巡逻产出!$B$311:$B$610,巡逻产出!$C$311:$C$610)*1.3</f>
        <v>0</v>
      </c>
      <c r="L217" s="80" t="e">
        <f ca="1">OFFSET(产销汇总!$C$1,MATCH(L$27,产销汇总!$C$2:$C$8,0),$C$26)*(_xlfn.XLOOKUP(MAX(1,INT(C217/10-6/10)),组队产出!$B$24:$B$39,组队产出!$D$24:$D$39))+OFFSET(产销汇总!$C$1,MATCH(L$27,产销汇总!$C$2:$C$8,0),$C$26)*(_xlfn.XLOOKUP(MAX(1,INT(C217/10-6/10)),组队产出!$B$24:$B$39,组队产出!$C$24:$C$39))</f>
        <v>#N/A</v>
      </c>
      <c r="M217" s="80">
        <f ca="1">(OFFSET(产销汇总!$C$1,MATCH(M$27,产销汇总!$C$2:$C$8,0),$C$26)*_xlfn.XLOOKUP(C217,巡逻产出!$B$311:$B$610,巡逻产出!$D$311:$D$610))*$M$24</f>
        <v>11138.4</v>
      </c>
      <c r="N217" s="80" t="e">
        <f ca="1">OFFSET(产销汇总!$C$1,MATCH(L$27,产销汇总!$C$2:$C$8,0),$C$26)*(_xlfn.XLOOKUP(MAX(1,INT(C217/10-6/10)),组队产出!$B$24:$B$39,组队产出!$S$24:$S$39))</f>
        <v>#N/A</v>
      </c>
      <c r="O217" s="172">
        <f>任务!$D$36</f>
        <v>2457.14285714286</v>
      </c>
      <c r="P217" s="98">
        <f t="shared" si="24"/>
        <v>428</v>
      </c>
      <c r="Q217" s="80">
        <f t="shared" si="30"/>
        <v>1500</v>
      </c>
      <c r="R217" s="172">
        <f t="shared" si="31"/>
        <v>2000</v>
      </c>
      <c r="S217" s="210">
        <f ca="1">IFERROR(OFFSET(金币本!$E$2,MATCH(C217,金币本!$F$3:$F$302,1),0)*IF($C$26=1,2,3),0)</f>
        <v>39750</v>
      </c>
      <c r="T217" s="172" t="e">
        <f ca="1">SUM($J$28:S217)+SUM(D217:I217)</f>
        <v>#N/A</v>
      </c>
      <c r="U217" s="172" t="e">
        <f ca="1" t="shared" si="25"/>
        <v>#N/A</v>
      </c>
      <c r="V217" s="98" t="e">
        <f ca="1" t="shared" si="26"/>
        <v>#N/A</v>
      </c>
      <c r="W217" s="98" t="e">
        <f ca="1">OFFSET(装备强化!$U$6,MATCH(图纸产出设计!V218/6*W$26,装备强化!$T$7:$T$306,1),0)*6</f>
        <v>#N/A</v>
      </c>
      <c r="X217" s="98">
        <v>849410</v>
      </c>
      <c r="Y217" s="98">
        <f t="shared" si="32"/>
        <v>5968000</v>
      </c>
      <c r="Z217" s="98">
        <f t="shared" si="34"/>
        <v>2</v>
      </c>
      <c r="AA217" s="147" t="e">
        <f ca="1" t="shared" si="27"/>
        <v>#N/A</v>
      </c>
      <c r="AB217" s="209" t="e">
        <f ca="1" t="shared" si="28"/>
        <v>#N/A</v>
      </c>
      <c r="AC217" s="209">
        <f ca="1">SUMIFS(装备强化!$Q$7:$Q$306,装备强化!$M$7:$M$306,"&lt;="&amp;MATCH(U217/6,装备强化!$U$7:$U$306,1),装备强化!$M$7:$M$306,"&gt;="&amp;MATCH(V217/6,装备强化!$U$7:$U$306,1))*6</f>
        <v>0</v>
      </c>
      <c r="AD217">
        <f ca="1" t="shared" si="33"/>
        <v>0</v>
      </c>
    </row>
    <row r="218" spans="1:30">
      <c r="A218" s="171"/>
      <c r="B218" s="80">
        <v>191</v>
      </c>
      <c r="C218" s="80">
        <f ca="1">OFFSET(产销汇总!$C$12,$B218,$C$26)</f>
        <v>218.5</v>
      </c>
      <c r="D218" s="80">
        <f t="shared" si="29"/>
        <v>14100</v>
      </c>
      <c r="E218" s="80">
        <f ca="1">(SUMIF(主线推图!$B$4:$B$303,"&lt;"&amp;C218,主线推图!$M$4:$M$303)+SUMIF(主线宝箱!$B$320:$B$620,"&lt;"&amp;C218,主线宝箱!$L$320:$L$620)+SUMIF(主线宝箱!$B$320:$B$620,"&lt;"&amp;C218,主线宝箱!$X$320:$X$620)+SUMIF(主线宝箱!$B$320:$B$620,"&lt;"&amp;C218,主线宝箱!$AL$320:$AL$620))</f>
        <v>389400</v>
      </c>
      <c r="F218" s="98">
        <f ca="1">SUMIF(组队产出!$B$24:$B$39,"&lt;="&amp;MAX(1,INT(C218/10-0.6)),组队产出!$R$24:$R$39)</f>
        <v>141000</v>
      </c>
      <c r="G218" s="80">
        <f ca="1">SUMIF(运营活动!$O$3:$O$27,"&lt;="&amp;C218,运营活动!$P$3:$P$27)</f>
        <v>30000</v>
      </c>
      <c r="H218" s="80">
        <f ca="1">OFFSET(产销汇总!$AM$12,B218,$C$26)*24</f>
        <v>1404384</v>
      </c>
      <c r="I218" s="172">
        <f ca="1">SUMIF(金币本!$F$2:$F$52,"&lt;="&amp;C218,金币本!$D$2:$D$52)</f>
        <v>1425000</v>
      </c>
      <c r="J218" s="80" t="e">
        <f ca="1">OFFSET(产销汇总!$C$1,MATCH(J$27,产销汇总!$C$2:$C$8,0),$C$26)*(_xlfn.XLOOKUP(C218,主线推图!$B$313:$B$612,主线推图!$C$313:$C$612)+_xlfn.XLOOKUP(C218,主线推图!$B$313:$B$612,主线推图!$D$313:$D$612))</f>
        <v>#N/A</v>
      </c>
      <c r="K218" s="80" t="e">
        <f ca="1">OFFSET(产销汇总!$C$1,MATCH(K$27,产销汇总!$C$2:$C$8,0),$C$26)*_xlfn.XLOOKUP(C218,巡逻产出!$B$311:$B$610,巡逻产出!$C$311:$C$610)*1.3</f>
        <v>#N/A</v>
      </c>
      <c r="L218" s="80" t="e">
        <f ca="1">OFFSET(产销汇总!$C$1,MATCH(L$27,产销汇总!$C$2:$C$8,0),$C$26)*(_xlfn.XLOOKUP(MAX(1,INT(C218/10-6/10)),组队产出!$B$24:$B$39,组队产出!$D$24:$D$39))+OFFSET(产销汇总!$C$1,MATCH(L$27,产销汇总!$C$2:$C$8,0),$C$26)*(_xlfn.XLOOKUP(MAX(1,INT(C218/10-6/10)),组队产出!$B$24:$B$39,组队产出!$C$24:$C$39))</f>
        <v>#N/A</v>
      </c>
      <c r="M218" s="80" t="e">
        <f ca="1">(OFFSET(产销汇总!$C$1,MATCH(M$27,产销汇总!$C$2:$C$8,0),$C$26)*_xlfn.XLOOKUP(C218,巡逻产出!$B$311:$B$610,巡逻产出!$D$311:$D$610))*$M$24</f>
        <v>#N/A</v>
      </c>
      <c r="N218" s="80" t="e">
        <f ca="1">OFFSET(产销汇总!$C$1,MATCH(L$27,产销汇总!$C$2:$C$8,0),$C$26)*(_xlfn.XLOOKUP(MAX(1,INT(C218/10-6/10)),组队产出!$B$24:$B$39,组队产出!$S$24:$S$39))</f>
        <v>#N/A</v>
      </c>
      <c r="O218" s="172">
        <f>任务!$D$36</f>
        <v>2457.14285714286</v>
      </c>
      <c r="P218" s="98">
        <f t="shared" si="24"/>
        <v>428</v>
      </c>
      <c r="Q218" s="80">
        <f t="shared" si="30"/>
        <v>1000</v>
      </c>
      <c r="R218" s="172">
        <f t="shared" si="31"/>
        <v>2000</v>
      </c>
      <c r="S218" s="210">
        <f ca="1">IFERROR(OFFSET(金币本!$E$2,MATCH(C218,金币本!$F$3:$F$302,1),0)*IF($C$26=1,2,3),0)</f>
        <v>39750</v>
      </c>
      <c r="T218" s="172" t="e">
        <f ca="1">SUM($J$28:S218)+SUM(D218:I218)</f>
        <v>#N/A</v>
      </c>
      <c r="U218" s="172" t="e">
        <f ca="1" t="shared" si="25"/>
        <v>#N/A</v>
      </c>
      <c r="V218" s="98" t="e">
        <f ca="1" t="shared" si="26"/>
        <v>#N/A</v>
      </c>
      <c r="W218" s="98" t="e">
        <f ca="1">OFFSET(装备强化!$U$6,MATCH(图纸产出设计!V219/6*W$26,装备强化!$T$7:$T$306,1),0)*6</f>
        <v>#N/A</v>
      </c>
      <c r="X218" s="98">
        <v>860350</v>
      </c>
      <c r="Y218" s="98">
        <f t="shared" si="32"/>
        <v>6000000</v>
      </c>
      <c r="Z218" s="98">
        <f t="shared" si="34"/>
        <v>2</v>
      </c>
      <c r="AA218" s="147" t="e">
        <f ca="1" t="shared" si="27"/>
        <v>#N/A</v>
      </c>
      <c r="AB218" s="209" t="e">
        <f ca="1" t="shared" si="28"/>
        <v>#N/A</v>
      </c>
      <c r="AC218" s="209">
        <f ca="1">SUMIFS(装备强化!$Q$7:$Q$306,装备强化!$M$7:$M$306,"&lt;="&amp;MATCH(U218/6,装备强化!$U$7:$U$306,1),装备强化!$M$7:$M$306,"&gt;="&amp;MATCH(V218/6,装备强化!$U$7:$U$306,1))*6</f>
        <v>0</v>
      </c>
      <c r="AD218">
        <f ca="1" t="shared" si="33"/>
        <v>0</v>
      </c>
    </row>
    <row r="219" spans="1:30">
      <c r="A219" s="171"/>
      <c r="B219" s="80">
        <v>192</v>
      </c>
      <c r="C219" s="80">
        <f ca="1">OFFSET(产销汇总!$C$12,$B219,$C$26)</f>
        <v>219</v>
      </c>
      <c r="D219" s="80">
        <f t="shared" si="29"/>
        <v>14100</v>
      </c>
      <c r="E219" s="80">
        <f ca="1">(SUMIF(主线推图!$B$4:$B$303,"&lt;"&amp;C219,主线推图!$M$4:$M$303)+SUMIF(主线宝箱!$B$320:$B$620,"&lt;"&amp;C219,主线宝箱!$L$320:$L$620)+SUMIF(主线宝箱!$B$320:$B$620,"&lt;"&amp;C219,主线宝箱!$X$320:$X$620)+SUMIF(主线宝箱!$B$320:$B$620,"&lt;"&amp;C219,主线宝箱!$AL$320:$AL$620))</f>
        <v>389400</v>
      </c>
      <c r="F219" s="98">
        <f ca="1">SUMIF(组队产出!$B$24:$B$39,"&lt;="&amp;MAX(1,INT(C219/10-0.6)),组队产出!$R$24:$R$39)</f>
        <v>141000</v>
      </c>
      <c r="G219" s="80">
        <f ca="1">SUMIF(运营活动!$O$3:$O$27,"&lt;="&amp;C219,运营活动!$P$3:$P$27)</f>
        <v>30000</v>
      </c>
      <c r="H219" s="80">
        <f ca="1">OFFSET(产销汇总!$AM$12,B219,$C$26)*24</f>
        <v>1411632</v>
      </c>
      <c r="I219" s="172">
        <f ca="1">SUMIF(金币本!$F$2:$F$52,"&lt;="&amp;C219,金币本!$D$2:$D$52)</f>
        <v>1425000</v>
      </c>
      <c r="J219" s="80">
        <f ca="1">OFFSET(产销汇总!$C$1,MATCH(J$27,产销汇总!$C$2:$C$8,0),$C$26)*(_xlfn.XLOOKUP(C219,主线推图!$B$313:$B$612,主线推图!$C$313:$C$612)+_xlfn.XLOOKUP(C219,主线推图!$B$313:$B$612,主线推图!$D$313:$D$612))</f>
        <v>15752</v>
      </c>
      <c r="K219" s="80">
        <f ca="1">OFFSET(产销汇总!$C$1,MATCH(K$27,产销汇总!$C$2:$C$8,0),$C$26)*_xlfn.XLOOKUP(C219,巡逻产出!$B$311:$B$610,巡逻产出!$C$311:$C$610)*1.3</f>
        <v>0</v>
      </c>
      <c r="L219" s="80" t="e">
        <f ca="1">OFFSET(产销汇总!$C$1,MATCH(L$27,产销汇总!$C$2:$C$8,0),$C$26)*(_xlfn.XLOOKUP(MAX(1,INT(C219/10-6/10)),组队产出!$B$24:$B$39,组队产出!$D$24:$D$39))+OFFSET(产销汇总!$C$1,MATCH(L$27,产销汇总!$C$2:$C$8,0),$C$26)*(_xlfn.XLOOKUP(MAX(1,INT(C219/10-6/10)),组队产出!$B$24:$B$39,组队产出!$C$24:$C$39))</f>
        <v>#N/A</v>
      </c>
      <c r="M219" s="80">
        <f ca="1">(OFFSET(产销汇总!$C$1,MATCH(M$27,产销汇总!$C$2:$C$8,0),$C$26)*_xlfn.XLOOKUP(C219,巡逻产出!$B$311:$B$610,巡逻产出!$D$311:$D$610))*$M$24</f>
        <v>11169.6</v>
      </c>
      <c r="N219" s="80" t="e">
        <f ca="1">OFFSET(产销汇总!$C$1,MATCH(L$27,产销汇总!$C$2:$C$8,0),$C$26)*(_xlfn.XLOOKUP(MAX(1,INT(C219/10-6/10)),组队产出!$B$24:$B$39,组队产出!$S$24:$S$39))</f>
        <v>#N/A</v>
      </c>
      <c r="O219" s="172">
        <f>任务!$D$36</f>
        <v>2457.14285714286</v>
      </c>
      <c r="P219" s="98">
        <f t="shared" si="24"/>
        <v>428</v>
      </c>
      <c r="Q219" s="80">
        <f t="shared" si="30"/>
        <v>1000</v>
      </c>
      <c r="R219" s="172">
        <f t="shared" si="31"/>
        <v>2000</v>
      </c>
      <c r="S219" s="210">
        <f ca="1">IFERROR(OFFSET(金币本!$E$2,MATCH(C219,金币本!$F$3:$F$302,1),0)*IF($C$26=1,2,3),0)</f>
        <v>39750</v>
      </c>
      <c r="T219" s="172" t="e">
        <f ca="1">SUM($J$28:S219)+SUM(D219:I219)</f>
        <v>#N/A</v>
      </c>
      <c r="U219" s="172" t="e">
        <f ca="1" t="shared" si="25"/>
        <v>#N/A</v>
      </c>
      <c r="V219" s="98" t="e">
        <f ca="1" t="shared" si="26"/>
        <v>#N/A</v>
      </c>
      <c r="W219" s="98" t="e">
        <f ca="1">OFFSET(装备强化!$U$6,MATCH(图纸产出设计!V220/6*W$26,装备强化!$T$7:$T$306,1),0)*6</f>
        <v>#N/A</v>
      </c>
      <c r="X219" s="98">
        <v>860350</v>
      </c>
      <c r="Y219" s="98">
        <f t="shared" si="32"/>
        <v>6032000</v>
      </c>
      <c r="Z219" s="98">
        <f t="shared" si="34"/>
        <v>2</v>
      </c>
      <c r="AA219" s="147" t="e">
        <f ca="1" t="shared" si="27"/>
        <v>#N/A</v>
      </c>
      <c r="AB219" s="209" t="e">
        <f ca="1" t="shared" si="28"/>
        <v>#N/A</v>
      </c>
      <c r="AC219" s="209">
        <f ca="1">SUMIFS(装备强化!$Q$7:$Q$306,装备强化!$M$7:$M$306,"&lt;="&amp;MATCH(U219/6,装备强化!$U$7:$U$306,1),装备强化!$M$7:$M$306,"&gt;="&amp;MATCH(V219/6,装备强化!$U$7:$U$306,1))*6</f>
        <v>0</v>
      </c>
      <c r="AD219">
        <f ca="1" t="shared" si="33"/>
        <v>0</v>
      </c>
    </row>
    <row r="220" spans="1:30">
      <c r="A220" s="171"/>
      <c r="B220" s="80">
        <v>193</v>
      </c>
      <c r="C220" s="80">
        <f ca="1">OFFSET(产销汇总!$C$12,$B220,$C$26)</f>
        <v>219.5</v>
      </c>
      <c r="D220" s="80">
        <f t="shared" si="29"/>
        <v>14100</v>
      </c>
      <c r="E220" s="80">
        <f ca="1">(SUMIF(主线推图!$B$4:$B$303,"&lt;"&amp;C220,主线推图!$M$4:$M$303)+SUMIF(主线宝箱!$B$320:$B$620,"&lt;"&amp;C220,主线宝箱!$L$320:$L$620)+SUMIF(主线宝箱!$B$320:$B$620,"&lt;"&amp;C220,主线宝箱!$X$320:$X$620)+SUMIF(主线宝箱!$B$320:$B$620,"&lt;"&amp;C220,主线宝箱!$AL$320:$AL$620))</f>
        <v>391200</v>
      </c>
      <c r="F220" s="98">
        <f ca="1">SUMIF(组队产出!$B$24:$B$39,"&lt;="&amp;MAX(1,INT(C220/10-0.6)),组队产出!$R$24:$R$39)</f>
        <v>141000</v>
      </c>
      <c r="G220" s="80">
        <f ca="1">SUMIF(运营活动!$O$3:$O$27,"&lt;="&amp;C220,运营活动!$P$3:$P$27)</f>
        <v>30000</v>
      </c>
      <c r="H220" s="80">
        <f ca="1">OFFSET(产销汇总!$AM$12,B220,$C$26)*24</f>
        <v>1418880</v>
      </c>
      <c r="I220" s="172">
        <f ca="1">SUMIF(金币本!$F$2:$F$52,"&lt;="&amp;C220,金币本!$D$2:$D$52)</f>
        <v>1425000</v>
      </c>
      <c r="J220" s="80" t="e">
        <f ca="1">OFFSET(产销汇总!$C$1,MATCH(J$27,产销汇总!$C$2:$C$8,0),$C$26)*(_xlfn.XLOOKUP(C220,主线推图!$B$313:$B$612,主线推图!$C$313:$C$612)+_xlfn.XLOOKUP(C220,主线推图!$B$313:$B$612,主线推图!$D$313:$D$612))</f>
        <v>#N/A</v>
      </c>
      <c r="K220" s="80" t="e">
        <f ca="1">OFFSET(产销汇总!$C$1,MATCH(K$27,产销汇总!$C$2:$C$8,0),$C$26)*_xlfn.XLOOKUP(C220,巡逻产出!$B$311:$B$610,巡逻产出!$C$311:$C$610)*1.3</f>
        <v>#N/A</v>
      </c>
      <c r="L220" s="80" t="e">
        <f ca="1">OFFSET(产销汇总!$C$1,MATCH(L$27,产销汇总!$C$2:$C$8,0),$C$26)*(_xlfn.XLOOKUP(MAX(1,INT(C220/10-6/10)),组队产出!$B$24:$B$39,组队产出!$D$24:$D$39))+OFFSET(产销汇总!$C$1,MATCH(L$27,产销汇总!$C$2:$C$8,0),$C$26)*(_xlfn.XLOOKUP(MAX(1,INT(C220/10-6/10)),组队产出!$B$24:$B$39,组队产出!$C$24:$C$39))</f>
        <v>#N/A</v>
      </c>
      <c r="M220" s="80" t="e">
        <f ca="1">(OFFSET(产销汇总!$C$1,MATCH(M$27,产销汇总!$C$2:$C$8,0),$C$26)*_xlfn.XLOOKUP(C220,巡逻产出!$B$311:$B$610,巡逻产出!$D$311:$D$610))*$M$24</f>
        <v>#N/A</v>
      </c>
      <c r="N220" s="80" t="e">
        <f ca="1">OFFSET(产销汇总!$C$1,MATCH(L$27,产销汇总!$C$2:$C$8,0),$C$26)*(_xlfn.XLOOKUP(MAX(1,INT(C220/10-6/10)),组队产出!$B$24:$B$39,组队产出!$S$24:$S$39))</f>
        <v>#N/A</v>
      </c>
      <c r="O220" s="172">
        <f>任务!$D$36</f>
        <v>2457.14285714286</v>
      </c>
      <c r="P220" s="98">
        <f t="shared" ref="P220:P283" si="35">INT(300*10/7)</f>
        <v>428</v>
      </c>
      <c r="Q220" s="80">
        <f t="shared" si="30"/>
        <v>1000</v>
      </c>
      <c r="R220" s="172">
        <f t="shared" si="31"/>
        <v>2000</v>
      </c>
      <c r="S220" s="210">
        <f ca="1">IFERROR(OFFSET(金币本!$E$2,MATCH(C220,金币本!$F$3:$F$302,1),0)*IF($C$26=1,2,3),0)</f>
        <v>39750</v>
      </c>
      <c r="T220" s="172" t="e">
        <f ca="1">SUM($J$28:S220)+SUM(D220:I220)</f>
        <v>#N/A</v>
      </c>
      <c r="U220" s="172" t="e">
        <f ca="1" t="shared" ref="U220:U283" si="36">T220</f>
        <v>#N/A</v>
      </c>
      <c r="V220" s="98" t="e">
        <f ca="1" t="shared" ref="V220:V283" si="37">SUM(W220:Y220)</f>
        <v>#N/A</v>
      </c>
      <c r="W220" s="98" t="e">
        <f ca="1">OFFSET(装备强化!$U$6,MATCH(图纸产出设计!V221/6*W$26,装备强化!$T$7:$T$306,1),0)*6</f>
        <v>#N/A</v>
      </c>
      <c r="X220" s="98">
        <v>871360</v>
      </c>
      <c r="Y220" s="98">
        <f t="shared" si="32"/>
        <v>6064000</v>
      </c>
      <c r="Z220" s="98">
        <f t="shared" si="34"/>
        <v>2</v>
      </c>
      <c r="AA220" s="147" t="e">
        <f ca="1" t="shared" ref="AA220:AA283" si="38">U220/V220</f>
        <v>#N/A</v>
      </c>
      <c r="AB220" s="209" t="e">
        <f ca="1" t="shared" ref="AB220:AB283" si="39">U220-V220</f>
        <v>#N/A</v>
      </c>
      <c r="AC220" s="209">
        <f ca="1">SUMIFS(装备强化!$Q$7:$Q$306,装备强化!$M$7:$M$306,"&lt;="&amp;MATCH(U220/6,装备强化!$U$7:$U$306,1),装备强化!$M$7:$M$306,"&gt;="&amp;MATCH(V220/6,装备强化!$U$7:$U$306,1))*6</f>
        <v>0</v>
      </c>
      <c r="AD220">
        <f ca="1" t="shared" si="33"/>
        <v>0</v>
      </c>
    </row>
    <row r="221" spans="1:30">
      <c r="A221" s="171"/>
      <c r="B221" s="80">
        <v>194</v>
      </c>
      <c r="C221" s="80">
        <f ca="1">OFFSET(产销汇总!$C$12,$B221,$C$26)</f>
        <v>220</v>
      </c>
      <c r="D221" s="80">
        <f t="shared" ref="D221:D284" si="40">D220</f>
        <v>14100</v>
      </c>
      <c r="E221" s="80">
        <f ca="1">(SUMIF(主线推图!$B$4:$B$303,"&lt;"&amp;C221,主线推图!$M$4:$M$303)+SUMIF(主线宝箱!$B$320:$B$620,"&lt;"&amp;C221,主线宝箱!$L$320:$L$620)+SUMIF(主线宝箱!$B$320:$B$620,"&lt;"&amp;C221,主线宝箱!$X$320:$X$620)+SUMIF(主线宝箱!$B$320:$B$620,"&lt;"&amp;C221,主线宝箱!$AL$320:$AL$620))</f>
        <v>391200</v>
      </c>
      <c r="F221" s="98">
        <f ca="1">SUMIF(组队产出!$B$24:$B$39,"&lt;="&amp;MAX(1,INT(C221/10-0.6)),组队产出!$R$24:$R$39)</f>
        <v>141000</v>
      </c>
      <c r="G221" s="80">
        <f ca="1">SUMIF(运营活动!$O$3:$O$27,"&lt;="&amp;C221,运营活动!$P$3:$P$27)</f>
        <v>30000</v>
      </c>
      <c r="H221" s="80">
        <f ca="1">OFFSET(产销汇总!$AM$12,B221,$C$26)*24</f>
        <v>1426128</v>
      </c>
      <c r="I221" s="172">
        <f ca="1">SUMIF(金币本!$F$2:$F$52,"&lt;="&amp;C221,金币本!$D$2:$D$52)</f>
        <v>1425000</v>
      </c>
      <c r="J221" s="80">
        <f ca="1">OFFSET(产销汇总!$C$1,MATCH(J$27,产销汇总!$C$2:$C$8,0),$C$26)*(_xlfn.XLOOKUP(C221,主线推图!$B$313:$B$612,主线推图!$C$313:$C$612)+_xlfn.XLOOKUP(C221,主线推图!$B$313:$B$612,主线推图!$D$313:$D$612))</f>
        <v>15796</v>
      </c>
      <c r="K221" s="80">
        <f ca="1">OFFSET(产销汇总!$C$1,MATCH(K$27,产销汇总!$C$2:$C$8,0),$C$26)*_xlfn.XLOOKUP(C221,巡逻产出!$B$311:$B$610,巡逻产出!$C$311:$C$610)*1.3</f>
        <v>0</v>
      </c>
      <c r="L221" s="80" t="e">
        <f ca="1">OFFSET(产销汇总!$C$1,MATCH(L$27,产销汇总!$C$2:$C$8,0),$C$26)*(_xlfn.XLOOKUP(MAX(1,INT(C221/10-6/10)),组队产出!$B$24:$B$39,组队产出!$D$24:$D$39))+OFFSET(产销汇总!$C$1,MATCH(L$27,产销汇总!$C$2:$C$8,0),$C$26)*(_xlfn.XLOOKUP(MAX(1,INT(C221/10-6/10)),组队产出!$B$24:$B$39,组队产出!$C$24:$C$39))</f>
        <v>#N/A</v>
      </c>
      <c r="M221" s="80">
        <f ca="1">(OFFSET(产销汇总!$C$1,MATCH(M$27,产销汇总!$C$2:$C$8,0),$C$26)*_xlfn.XLOOKUP(C221,巡逻产出!$B$311:$B$610,巡逻产出!$D$311:$D$610))*$M$24</f>
        <v>11200.8</v>
      </c>
      <c r="N221" s="80" t="e">
        <f ca="1">OFFSET(产销汇总!$C$1,MATCH(L$27,产销汇总!$C$2:$C$8,0),$C$26)*(_xlfn.XLOOKUP(MAX(1,INT(C221/10-6/10)),组队产出!$B$24:$B$39,组队产出!$S$24:$S$39))</f>
        <v>#N/A</v>
      </c>
      <c r="O221" s="172">
        <f>任务!$D$36</f>
        <v>2457.14285714286</v>
      </c>
      <c r="P221" s="98">
        <f t="shared" si="35"/>
        <v>428</v>
      </c>
      <c r="Q221" s="80">
        <f t="shared" ref="Q221:Q284" si="41">IF(MOD(B221,7)=1,500,0)+1000+IF(AND($C$26=4,B221&lt;=0),40000,0)</f>
        <v>1000</v>
      </c>
      <c r="R221" s="172">
        <f t="shared" ref="R221:R284" si="42">R220</f>
        <v>2000</v>
      </c>
      <c r="S221" s="210">
        <f ca="1">IFERROR(OFFSET(金币本!$E$2,MATCH(C221,金币本!$F$3:$F$302,1),0)*IF($C$26=1,2,3),0)</f>
        <v>39750</v>
      </c>
      <c r="T221" s="172" t="e">
        <f ca="1">SUM($J$28:S221)+SUM(D221:I221)</f>
        <v>#N/A</v>
      </c>
      <c r="U221" s="172" t="e">
        <f ca="1" t="shared" si="36"/>
        <v>#N/A</v>
      </c>
      <c r="V221" s="98" t="e">
        <f ca="1" t="shared" si="37"/>
        <v>#N/A</v>
      </c>
      <c r="W221" s="98" t="e">
        <f ca="1">OFFSET(装备强化!$U$6,MATCH(图纸产出设计!V222/6*W$26,装备强化!$T$7:$T$306,1),0)*6</f>
        <v>#N/A</v>
      </c>
      <c r="X221" s="98">
        <v>871360</v>
      </c>
      <c r="Y221" s="98">
        <f t="shared" si="32"/>
        <v>6096000</v>
      </c>
      <c r="Z221" s="98">
        <f t="shared" si="34"/>
        <v>2</v>
      </c>
      <c r="AA221" s="147" t="e">
        <f ca="1" t="shared" si="38"/>
        <v>#N/A</v>
      </c>
      <c r="AB221" s="209" t="e">
        <f ca="1" t="shared" si="39"/>
        <v>#N/A</v>
      </c>
      <c r="AC221" s="209">
        <f ca="1">SUMIFS(装备强化!$Q$7:$Q$306,装备强化!$M$7:$M$306,"&lt;="&amp;MATCH(U221/6,装备强化!$U$7:$U$306,1),装备强化!$M$7:$M$306,"&gt;="&amp;MATCH(V221/6,装备强化!$U$7:$U$306,1))*6</f>
        <v>0</v>
      </c>
      <c r="AD221">
        <f ca="1" t="shared" si="33"/>
        <v>0</v>
      </c>
    </row>
    <row r="222" spans="1:30">
      <c r="A222" s="171"/>
      <c r="B222" s="80">
        <v>195</v>
      </c>
      <c r="C222" s="80">
        <f ca="1">OFFSET(产销汇总!$C$12,$B222,$C$26)</f>
        <v>220.5</v>
      </c>
      <c r="D222" s="80">
        <f t="shared" si="40"/>
        <v>14100</v>
      </c>
      <c r="E222" s="80">
        <f ca="1">(SUMIF(主线推图!$B$4:$B$303,"&lt;"&amp;C222,主线推图!$M$4:$M$303)+SUMIF(主线宝箱!$B$320:$B$620,"&lt;"&amp;C222,主线宝箱!$L$320:$L$620)+SUMIF(主线宝箱!$B$320:$B$620,"&lt;"&amp;C222,主线宝箱!$X$320:$X$620)+SUMIF(主线宝箱!$B$320:$B$620,"&lt;"&amp;C222,主线宝箱!$AL$320:$AL$620))</f>
        <v>393000</v>
      </c>
      <c r="F222" s="98">
        <f ca="1">SUMIF(组队产出!$B$24:$B$39,"&lt;="&amp;MAX(1,INT(C222/10-0.6)),组队产出!$R$24:$R$39)</f>
        <v>141000</v>
      </c>
      <c r="G222" s="80">
        <f ca="1">SUMIF(运营活动!$O$3:$O$27,"&lt;="&amp;C222,运营活动!$P$3:$P$27)</f>
        <v>30000</v>
      </c>
      <c r="H222" s="80">
        <f ca="1">OFFSET(产销汇总!$AM$12,B222,$C$26)*24</f>
        <v>1433376</v>
      </c>
      <c r="I222" s="172">
        <f ca="1">SUMIF(金币本!$F$2:$F$52,"&lt;="&amp;C222,金币本!$D$2:$D$52)</f>
        <v>1425000</v>
      </c>
      <c r="J222" s="80" t="e">
        <f ca="1">OFFSET(产销汇总!$C$1,MATCH(J$27,产销汇总!$C$2:$C$8,0),$C$26)*(_xlfn.XLOOKUP(C222,主线推图!$B$313:$B$612,主线推图!$C$313:$C$612)+_xlfn.XLOOKUP(C222,主线推图!$B$313:$B$612,主线推图!$D$313:$D$612))</f>
        <v>#N/A</v>
      </c>
      <c r="K222" s="80" t="e">
        <f ca="1">OFFSET(产销汇总!$C$1,MATCH(K$27,产销汇总!$C$2:$C$8,0),$C$26)*_xlfn.XLOOKUP(C222,巡逻产出!$B$311:$B$610,巡逻产出!$C$311:$C$610)*1.3</f>
        <v>#N/A</v>
      </c>
      <c r="L222" s="80" t="e">
        <f ca="1">OFFSET(产销汇总!$C$1,MATCH(L$27,产销汇总!$C$2:$C$8,0),$C$26)*(_xlfn.XLOOKUP(MAX(1,INT(C222/10-6/10)),组队产出!$B$24:$B$39,组队产出!$D$24:$D$39))+OFFSET(产销汇总!$C$1,MATCH(L$27,产销汇总!$C$2:$C$8,0),$C$26)*(_xlfn.XLOOKUP(MAX(1,INT(C222/10-6/10)),组队产出!$B$24:$B$39,组队产出!$C$24:$C$39))</f>
        <v>#N/A</v>
      </c>
      <c r="M222" s="80" t="e">
        <f ca="1">(OFFSET(产销汇总!$C$1,MATCH(M$27,产销汇总!$C$2:$C$8,0),$C$26)*_xlfn.XLOOKUP(C222,巡逻产出!$B$311:$B$610,巡逻产出!$D$311:$D$610))*$M$24</f>
        <v>#N/A</v>
      </c>
      <c r="N222" s="80" t="e">
        <f ca="1">OFFSET(产销汇总!$C$1,MATCH(L$27,产销汇总!$C$2:$C$8,0),$C$26)*(_xlfn.XLOOKUP(MAX(1,INT(C222/10-6/10)),组队产出!$B$24:$B$39,组队产出!$S$24:$S$39))</f>
        <v>#N/A</v>
      </c>
      <c r="O222" s="172">
        <f>任务!$D$36</f>
        <v>2457.14285714286</v>
      </c>
      <c r="P222" s="98">
        <f t="shared" si="35"/>
        <v>428</v>
      </c>
      <c r="Q222" s="80">
        <f t="shared" si="41"/>
        <v>1000</v>
      </c>
      <c r="R222" s="172">
        <f t="shared" si="42"/>
        <v>2000</v>
      </c>
      <c r="S222" s="210">
        <f ca="1">IFERROR(OFFSET(金币本!$E$2,MATCH(C222,金币本!$F$3:$F$302,1),0)*IF($C$26=1,2,3),0)</f>
        <v>39750</v>
      </c>
      <c r="T222" s="172" t="e">
        <f ca="1">SUM($J$28:S222)+SUM(D222:I222)</f>
        <v>#N/A</v>
      </c>
      <c r="U222" s="172" t="e">
        <f ca="1" t="shared" si="36"/>
        <v>#N/A</v>
      </c>
      <c r="V222" s="98" t="e">
        <f ca="1" t="shared" si="37"/>
        <v>#N/A</v>
      </c>
      <c r="W222" s="98" t="e">
        <f ca="1">OFFSET(装备强化!$U$6,MATCH(图纸产出设计!V223/6*W$26,装备强化!$T$7:$T$306,1),0)*6</f>
        <v>#N/A</v>
      </c>
      <c r="X222" s="98">
        <v>871360</v>
      </c>
      <c r="Y222" s="98">
        <f t="shared" ref="Y222:Y285" si="43">Y221+$Y$28*Z222</f>
        <v>6128000</v>
      </c>
      <c r="Z222" s="98">
        <f t="shared" si="34"/>
        <v>2</v>
      </c>
      <c r="AA222" s="147" t="e">
        <f ca="1" t="shared" si="38"/>
        <v>#N/A</v>
      </c>
      <c r="AB222" s="209" t="e">
        <f ca="1" t="shared" si="39"/>
        <v>#N/A</v>
      </c>
      <c r="AC222" s="209">
        <f ca="1">SUMIFS(装备强化!$Q$7:$Q$306,装备强化!$M$7:$M$306,"&lt;="&amp;MATCH(U222/6,装备强化!$U$7:$U$306,1),装备强化!$M$7:$M$306,"&gt;="&amp;MATCH(V222/6,装备强化!$U$7:$U$306,1))*6</f>
        <v>0</v>
      </c>
      <c r="AD222">
        <f ca="1" t="shared" ref="AD222:AD285" si="44">AC222/B222</f>
        <v>0</v>
      </c>
    </row>
    <row r="223" spans="1:30">
      <c r="A223" s="171"/>
      <c r="B223" s="80">
        <v>196</v>
      </c>
      <c r="C223" s="80">
        <f ca="1">OFFSET(产销汇总!$C$12,$B223,$C$26)</f>
        <v>221</v>
      </c>
      <c r="D223" s="80">
        <f t="shared" si="40"/>
        <v>14100</v>
      </c>
      <c r="E223" s="80">
        <f ca="1">(SUMIF(主线推图!$B$4:$B$303,"&lt;"&amp;C223,主线推图!$M$4:$M$303)+SUMIF(主线宝箱!$B$320:$B$620,"&lt;"&amp;C223,主线宝箱!$L$320:$L$620)+SUMIF(主线宝箱!$B$320:$B$620,"&lt;"&amp;C223,主线宝箱!$X$320:$X$620)+SUMIF(主线宝箱!$B$320:$B$620,"&lt;"&amp;C223,主线宝箱!$AL$320:$AL$620))</f>
        <v>393000</v>
      </c>
      <c r="F223" s="98">
        <f ca="1">SUMIF(组队产出!$B$24:$B$39,"&lt;="&amp;MAX(1,INT(C223/10-0.6)),组队产出!$R$24:$R$39)</f>
        <v>141000</v>
      </c>
      <c r="G223" s="80">
        <f ca="1">SUMIF(运营活动!$O$3:$O$27,"&lt;="&amp;C223,运营活动!$P$3:$P$27)</f>
        <v>30000</v>
      </c>
      <c r="H223" s="80">
        <f ca="1">OFFSET(产销汇总!$AM$12,B223,$C$26)*24</f>
        <v>1440624</v>
      </c>
      <c r="I223" s="172">
        <f ca="1">SUMIF(金币本!$F$2:$F$52,"&lt;="&amp;C223,金币本!$D$2:$D$52)</f>
        <v>1425000</v>
      </c>
      <c r="J223" s="80">
        <f ca="1">OFFSET(产销汇总!$C$1,MATCH(J$27,产销汇总!$C$2:$C$8,0),$C$26)*(_xlfn.XLOOKUP(C223,主线推图!$B$313:$B$612,主线推图!$C$313:$C$612)+_xlfn.XLOOKUP(C223,主线推图!$B$313:$B$612,主线推图!$D$313:$D$612))</f>
        <v>15840</v>
      </c>
      <c r="K223" s="80">
        <f ca="1">OFFSET(产销汇总!$C$1,MATCH(K$27,产销汇总!$C$2:$C$8,0),$C$26)*_xlfn.XLOOKUP(C223,巡逻产出!$B$311:$B$610,巡逻产出!$C$311:$C$610)*1.3</f>
        <v>0</v>
      </c>
      <c r="L223" s="80" t="e">
        <f ca="1">OFFSET(产销汇总!$C$1,MATCH(L$27,产销汇总!$C$2:$C$8,0),$C$26)*(_xlfn.XLOOKUP(MAX(1,INT(C223/10-6/10)),组队产出!$B$24:$B$39,组队产出!$D$24:$D$39))+OFFSET(产销汇总!$C$1,MATCH(L$27,产销汇总!$C$2:$C$8,0),$C$26)*(_xlfn.XLOOKUP(MAX(1,INT(C223/10-6/10)),组队产出!$B$24:$B$39,组队产出!$C$24:$C$39))</f>
        <v>#N/A</v>
      </c>
      <c r="M223" s="80">
        <f ca="1">(OFFSET(产销汇总!$C$1,MATCH(M$27,产销汇总!$C$2:$C$8,0),$C$26)*_xlfn.XLOOKUP(C223,巡逻产出!$B$311:$B$610,巡逻产出!$D$311:$D$610))*$M$24</f>
        <v>11232</v>
      </c>
      <c r="N223" s="80" t="e">
        <f ca="1">OFFSET(产销汇总!$C$1,MATCH(L$27,产销汇总!$C$2:$C$8,0),$C$26)*(_xlfn.XLOOKUP(MAX(1,INT(C223/10-6/10)),组队产出!$B$24:$B$39,组队产出!$S$24:$S$39))</f>
        <v>#N/A</v>
      </c>
      <c r="O223" s="172">
        <f>任务!$D$36</f>
        <v>2457.14285714286</v>
      </c>
      <c r="P223" s="98">
        <f t="shared" si="35"/>
        <v>428</v>
      </c>
      <c r="Q223" s="80">
        <f t="shared" si="41"/>
        <v>1000</v>
      </c>
      <c r="R223" s="172">
        <f t="shared" si="42"/>
        <v>2000</v>
      </c>
      <c r="S223" s="210">
        <f ca="1">IFERROR(OFFSET(金币本!$E$2,MATCH(C223,金币本!$F$3:$F$302,1),0)*IF($C$26=1,2,3),0)</f>
        <v>39750</v>
      </c>
      <c r="T223" s="172" t="e">
        <f ca="1">SUM($J$28:S223)+SUM(D223:I223)</f>
        <v>#N/A</v>
      </c>
      <c r="U223" s="172" t="e">
        <f ca="1" t="shared" si="36"/>
        <v>#N/A</v>
      </c>
      <c r="V223" s="98" t="e">
        <f ca="1" t="shared" si="37"/>
        <v>#N/A</v>
      </c>
      <c r="W223" s="98" t="e">
        <f ca="1">OFFSET(装备强化!$U$6,MATCH(图纸产出设计!V224/6*W$26,装备强化!$T$7:$T$306,1),0)*6</f>
        <v>#N/A</v>
      </c>
      <c r="X223" s="98">
        <v>882440</v>
      </c>
      <c r="Y223" s="98">
        <f t="shared" si="43"/>
        <v>6160000</v>
      </c>
      <c r="Z223" s="98">
        <f t="shared" si="34"/>
        <v>2</v>
      </c>
      <c r="AA223" s="147" t="e">
        <f ca="1" t="shared" si="38"/>
        <v>#N/A</v>
      </c>
      <c r="AB223" s="209" t="e">
        <f ca="1" t="shared" si="39"/>
        <v>#N/A</v>
      </c>
      <c r="AC223" s="209">
        <f ca="1">SUMIFS(装备强化!$Q$7:$Q$306,装备强化!$M$7:$M$306,"&lt;="&amp;MATCH(U223/6,装备强化!$U$7:$U$306,1),装备强化!$M$7:$M$306,"&gt;="&amp;MATCH(V223/6,装备强化!$U$7:$U$306,1))*6</f>
        <v>0</v>
      </c>
      <c r="AD223">
        <f ca="1" t="shared" si="44"/>
        <v>0</v>
      </c>
    </row>
    <row r="224" spans="1:30">
      <c r="A224" s="171"/>
      <c r="B224" s="80">
        <v>197</v>
      </c>
      <c r="C224" s="80">
        <f ca="1">OFFSET(产销汇总!$C$12,$B224,$C$26)</f>
        <v>221.5</v>
      </c>
      <c r="D224" s="80">
        <f t="shared" si="40"/>
        <v>14100</v>
      </c>
      <c r="E224" s="80">
        <f ca="1">(SUMIF(主线推图!$B$4:$B$303,"&lt;"&amp;C224,主线推图!$M$4:$M$303)+SUMIF(主线宝箱!$B$320:$B$620,"&lt;"&amp;C224,主线宝箱!$L$320:$L$620)+SUMIF(主线宝箱!$B$320:$B$620,"&lt;"&amp;C224,主线宝箱!$X$320:$X$620)+SUMIF(主线宝箱!$B$320:$B$620,"&lt;"&amp;C224,主线宝箱!$AL$320:$AL$620))</f>
        <v>394800</v>
      </c>
      <c r="F224" s="98">
        <f ca="1">SUMIF(组队产出!$B$24:$B$39,"&lt;="&amp;MAX(1,INT(C224/10-0.6)),组队产出!$R$24:$R$39)</f>
        <v>141000</v>
      </c>
      <c r="G224" s="80">
        <f ca="1">SUMIF(运营活动!$O$3:$O$27,"&lt;="&amp;C224,运营活动!$P$3:$P$27)</f>
        <v>30000</v>
      </c>
      <c r="H224" s="80">
        <f ca="1">OFFSET(产销汇总!$AM$12,B224,$C$26)*24</f>
        <v>1447872</v>
      </c>
      <c r="I224" s="172">
        <f ca="1">SUMIF(金币本!$F$2:$F$52,"&lt;="&amp;C224,金币本!$D$2:$D$52)</f>
        <v>1425000</v>
      </c>
      <c r="J224" s="80" t="e">
        <f ca="1">OFFSET(产销汇总!$C$1,MATCH(J$27,产销汇总!$C$2:$C$8,0),$C$26)*(_xlfn.XLOOKUP(C224,主线推图!$B$313:$B$612,主线推图!$C$313:$C$612)+_xlfn.XLOOKUP(C224,主线推图!$B$313:$B$612,主线推图!$D$313:$D$612))</f>
        <v>#N/A</v>
      </c>
      <c r="K224" s="80" t="e">
        <f ca="1">OFFSET(产销汇总!$C$1,MATCH(K$27,产销汇总!$C$2:$C$8,0),$C$26)*_xlfn.XLOOKUP(C224,巡逻产出!$B$311:$B$610,巡逻产出!$C$311:$C$610)*1.3</f>
        <v>#N/A</v>
      </c>
      <c r="L224" s="80" t="e">
        <f ca="1">OFFSET(产销汇总!$C$1,MATCH(L$27,产销汇总!$C$2:$C$8,0),$C$26)*(_xlfn.XLOOKUP(MAX(1,INT(C224/10-6/10)),组队产出!$B$24:$B$39,组队产出!$D$24:$D$39))+OFFSET(产销汇总!$C$1,MATCH(L$27,产销汇总!$C$2:$C$8,0),$C$26)*(_xlfn.XLOOKUP(MAX(1,INT(C224/10-6/10)),组队产出!$B$24:$B$39,组队产出!$C$24:$C$39))</f>
        <v>#N/A</v>
      </c>
      <c r="M224" s="80" t="e">
        <f ca="1">(OFFSET(产销汇总!$C$1,MATCH(M$27,产销汇总!$C$2:$C$8,0),$C$26)*_xlfn.XLOOKUP(C224,巡逻产出!$B$311:$B$610,巡逻产出!$D$311:$D$610))*$M$24</f>
        <v>#N/A</v>
      </c>
      <c r="N224" s="80" t="e">
        <f ca="1">OFFSET(产销汇总!$C$1,MATCH(L$27,产销汇总!$C$2:$C$8,0),$C$26)*(_xlfn.XLOOKUP(MAX(1,INT(C224/10-6/10)),组队产出!$B$24:$B$39,组队产出!$S$24:$S$39))</f>
        <v>#N/A</v>
      </c>
      <c r="O224" s="172">
        <f>任务!$D$36</f>
        <v>2457.14285714286</v>
      </c>
      <c r="P224" s="98">
        <f t="shared" si="35"/>
        <v>428</v>
      </c>
      <c r="Q224" s="80">
        <f t="shared" si="41"/>
        <v>1500</v>
      </c>
      <c r="R224" s="172">
        <f t="shared" si="42"/>
        <v>2000</v>
      </c>
      <c r="S224" s="210">
        <f ca="1">IFERROR(OFFSET(金币本!$E$2,MATCH(C224,金币本!$F$3:$F$302,1),0)*IF($C$26=1,2,3),0)</f>
        <v>39750</v>
      </c>
      <c r="T224" s="172" t="e">
        <f ca="1">SUM($J$28:S224)+SUM(D224:I224)</f>
        <v>#N/A</v>
      </c>
      <c r="U224" s="172" t="e">
        <f ca="1" t="shared" si="36"/>
        <v>#N/A</v>
      </c>
      <c r="V224" s="98" t="e">
        <f ca="1" t="shared" si="37"/>
        <v>#N/A</v>
      </c>
      <c r="W224" s="98" t="e">
        <f ca="1">OFFSET(装备强化!$U$6,MATCH(图纸产出设计!V225/6*W$26,装备强化!$T$7:$T$306,1),0)*6</f>
        <v>#N/A</v>
      </c>
      <c r="X224" s="98">
        <v>882440</v>
      </c>
      <c r="Y224" s="98">
        <f t="shared" si="43"/>
        <v>6192000</v>
      </c>
      <c r="Z224" s="98">
        <f t="shared" si="34"/>
        <v>2</v>
      </c>
      <c r="AA224" s="147" t="e">
        <f ca="1" t="shared" si="38"/>
        <v>#N/A</v>
      </c>
      <c r="AB224" s="209" t="e">
        <f ca="1" t="shared" si="39"/>
        <v>#N/A</v>
      </c>
      <c r="AC224" s="209">
        <f ca="1">SUMIFS(装备强化!$Q$7:$Q$306,装备强化!$M$7:$M$306,"&lt;="&amp;MATCH(U224/6,装备强化!$U$7:$U$306,1),装备强化!$M$7:$M$306,"&gt;="&amp;MATCH(V224/6,装备强化!$U$7:$U$306,1))*6</f>
        <v>0</v>
      </c>
      <c r="AD224">
        <f ca="1" t="shared" si="44"/>
        <v>0</v>
      </c>
    </row>
    <row r="225" spans="1:30">
      <c r="A225" s="171"/>
      <c r="B225" s="80">
        <v>198</v>
      </c>
      <c r="C225" s="80">
        <f ca="1">OFFSET(产销汇总!$C$12,$B225,$C$26)</f>
        <v>222</v>
      </c>
      <c r="D225" s="80">
        <f t="shared" si="40"/>
        <v>14100</v>
      </c>
      <c r="E225" s="80">
        <f ca="1">(SUMIF(主线推图!$B$4:$B$303,"&lt;"&amp;C225,主线推图!$M$4:$M$303)+SUMIF(主线宝箱!$B$320:$B$620,"&lt;"&amp;C225,主线宝箱!$L$320:$L$620)+SUMIF(主线宝箱!$B$320:$B$620,"&lt;"&amp;C225,主线宝箱!$X$320:$X$620)+SUMIF(主线宝箱!$B$320:$B$620,"&lt;"&amp;C225,主线宝箱!$AL$320:$AL$620))</f>
        <v>394800</v>
      </c>
      <c r="F225" s="98">
        <f ca="1">SUMIF(组队产出!$B$24:$B$39,"&lt;="&amp;MAX(1,INT(C225/10-0.6)),组队产出!$R$24:$R$39)</f>
        <v>141000</v>
      </c>
      <c r="G225" s="80">
        <f ca="1">SUMIF(运营活动!$O$3:$O$27,"&lt;="&amp;C225,运营活动!$P$3:$P$27)</f>
        <v>30000</v>
      </c>
      <c r="H225" s="80">
        <f ca="1">OFFSET(产销汇总!$AM$12,B225,$C$26)*24</f>
        <v>1455120</v>
      </c>
      <c r="I225" s="172">
        <f ca="1">SUMIF(金币本!$F$2:$F$52,"&lt;="&amp;C225,金币本!$D$2:$D$52)</f>
        <v>1425000</v>
      </c>
      <c r="J225" s="80">
        <f ca="1">OFFSET(产销汇总!$C$1,MATCH(J$27,产销汇总!$C$2:$C$8,0),$C$26)*(_xlfn.XLOOKUP(C225,主线推图!$B$313:$B$612,主线推图!$C$313:$C$612)+_xlfn.XLOOKUP(C225,主线推图!$B$313:$B$612,主线推图!$D$313:$D$612))</f>
        <v>15884</v>
      </c>
      <c r="K225" s="80">
        <f ca="1">OFFSET(产销汇总!$C$1,MATCH(K$27,产销汇总!$C$2:$C$8,0),$C$26)*_xlfn.XLOOKUP(C225,巡逻产出!$B$311:$B$610,巡逻产出!$C$311:$C$610)*1.3</f>
        <v>0</v>
      </c>
      <c r="L225" s="80" t="e">
        <f ca="1">OFFSET(产销汇总!$C$1,MATCH(L$27,产销汇总!$C$2:$C$8,0),$C$26)*(_xlfn.XLOOKUP(MAX(1,INT(C225/10-6/10)),组队产出!$B$24:$B$39,组队产出!$D$24:$D$39))+OFFSET(产销汇总!$C$1,MATCH(L$27,产销汇总!$C$2:$C$8,0),$C$26)*(_xlfn.XLOOKUP(MAX(1,INT(C225/10-6/10)),组队产出!$B$24:$B$39,组队产出!$C$24:$C$39))</f>
        <v>#N/A</v>
      </c>
      <c r="M225" s="80">
        <f ca="1">(OFFSET(产销汇总!$C$1,MATCH(M$27,产销汇总!$C$2:$C$8,0),$C$26)*_xlfn.XLOOKUP(C225,巡逻产出!$B$311:$B$610,巡逻产出!$D$311:$D$610))*$M$24</f>
        <v>11263.2</v>
      </c>
      <c r="N225" s="80" t="e">
        <f ca="1">OFFSET(产销汇总!$C$1,MATCH(L$27,产销汇总!$C$2:$C$8,0),$C$26)*(_xlfn.XLOOKUP(MAX(1,INT(C225/10-6/10)),组队产出!$B$24:$B$39,组队产出!$S$24:$S$39))</f>
        <v>#N/A</v>
      </c>
      <c r="O225" s="172">
        <f>任务!$D$36</f>
        <v>2457.14285714286</v>
      </c>
      <c r="P225" s="98">
        <f t="shared" si="35"/>
        <v>428</v>
      </c>
      <c r="Q225" s="80">
        <f t="shared" si="41"/>
        <v>1000</v>
      </c>
      <c r="R225" s="172">
        <f t="shared" si="42"/>
        <v>2000</v>
      </c>
      <c r="S225" s="210">
        <f ca="1">IFERROR(OFFSET(金币本!$E$2,MATCH(C225,金币本!$F$3:$F$302,1),0)*IF($C$26=1,2,3),0)</f>
        <v>39750</v>
      </c>
      <c r="T225" s="172" t="e">
        <f ca="1">SUM($J$28:S225)+SUM(D225:I225)</f>
        <v>#N/A</v>
      </c>
      <c r="U225" s="172" t="e">
        <f ca="1" t="shared" si="36"/>
        <v>#N/A</v>
      </c>
      <c r="V225" s="98" t="e">
        <f ca="1" t="shared" si="37"/>
        <v>#N/A</v>
      </c>
      <c r="W225" s="98" t="e">
        <f ca="1">OFFSET(装备强化!$U$6,MATCH(图纸产出设计!V226/6*W$26,装备强化!$T$7:$T$306,1),0)*6</f>
        <v>#N/A</v>
      </c>
      <c r="X225" s="98">
        <v>893590</v>
      </c>
      <c r="Y225" s="98">
        <f t="shared" si="43"/>
        <v>6224000</v>
      </c>
      <c r="Z225" s="98">
        <f t="shared" si="34"/>
        <v>2</v>
      </c>
      <c r="AA225" s="147" t="e">
        <f ca="1" t="shared" si="38"/>
        <v>#N/A</v>
      </c>
      <c r="AB225" s="209" t="e">
        <f ca="1" t="shared" si="39"/>
        <v>#N/A</v>
      </c>
      <c r="AC225" s="209">
        <f ca="1">SUMIFS(装备强化!$Q$7:$Q$306,装备强化!$M$7:$M$306,"&lt;="&amp;MATCH(U225/6,装备强化!$U$7:$U$306,1),装备强化!$M$7:$M$306,"&gt;="&amp;MATCH(V225/6,装备强化!$U$7:$U$306,1))*6</f>
        <v>0</v>
      </c>
      <c r="AD225">
        <f ca="1" t="shared" si="44"/>
        <v>0</v>
      </c>
    </row>
    <row r="226" spans="1:30">
      <c r="A226" s="171"/>
      <c r="B226" s="80">
        <v>199</v>
      </c>
      <c r="C226" s="80">
        <f ca="1">OFFSET(产销汇总!$C$12,$B226,$C$26)</f>
        <v>222.5</v>
      </c>
      <c r="D226" s="80">
        <f t="shared" si="40"/>
        <v>14100</v>
      </c>
      <c r="E226" s="80">
        <f ca="1">(SUMIF(主线推图!$B$4:$B$303,"&lt;"&amp;C226,主线推图!$M$4:$M$303)+SUMIF(主线宝箱!$B$320:$B$620,"&lt;"&amp;C226,主线宝箱!$L$320:$L$620)+SUMIF(主线宝箱!$B$320:$B$620,"&lt;"&amp;C226,主线宝箱!$X$320:$X$620)+SUMIF(主线宝箱!$B$320:$B$620,"&lt;"&amp;C226,主线宝箱!$AL$320:$AL$620))</f>
        <v>396600</v>
      </c>
      <c r="F226" s="98">
        <f ca="1">SUMIF(组队产出!$B$24:$B$39,"&lt;="&amp;MAX(1,INT(C226/10-0.6)),组队产出!$R$24:$R$39)</f>
        <v>141000</v>
      </c>
      <c r="G226" s="80">
        <f ca="1">SUMIF(运营活动!$O$3:$O$27,"&lt;="&amp;C226,运营活动!$P$3:$P$27)</f>
        <v>30000</v>
      </c>
      <c r="H226" s="80">
        <f ca="1">OFFSET(产销汇总!$AM$12,B226,$C$26)*24</f>
        <v>1462368</v>
      </c>
      <c r="I226" s="172">
        <f ca="1">SUMIF(金币本!$F$2:$F$52,"&lt;="&amp;C226,金币本!$D$2:$D$52)</f>
        <v>1425000</v>
      </c>
      <c r="J226" s="80" t="e">
        <f ca="1">OFFSET(产销汇总!$C$1,MATCH(J$27,产销汇总!$C$2:$C$8,0),$C$26)*(_xlfn.XLOOKUP(C226,主线推图!$B$313:$B$612,主线推图!$C$313:$C$612)+_xlfn.XLOOKUP(C226,主线推图!$B$313:$B$612,主线推图!$D$313:$D$612))</f>
        <v>#N/A</v>
      </c>
      <c r="K226" s="80" t="e">
        <f ca="1">OFFSET(产销汇总!$C$1,MATCH(K$27,产销汇总!$C$2:$C$8,0),$C$26)*_xlfn.XLOOKUP(C226,巡逻产出!$B$311:$B$610,巡逻产出!$C$311:$C$610)*1.3</f>
        <v>#N/A</v>
      </c>
      <c r="L226" s="80" t="e">
        <f ca="1">OFFSET(产销汇总!$C$1,MATCH(L$27,产销汇总!$C$2:$C$8,0),$C$26)*(_xlfn.XLOOKUP(MAX(1,INT(C226/10-6/10)),组队产出!$B$24:$B$39,组队产出!$D$24:$D$39))+OFFSET(产销汇总!$C$1,MATCH(L$27,产销汇总!$C$2:$C$8,0),$C$26)*(_xlfn.XLOOKUP(MAX(1,INT(C226/10-6/10)),组队产出!$B$24:$B$39,组队产出!$C$24:$C$39))</f>
        <v>#N/A</v>
      </c>
      <c r="M226" s="80" t="e">
        <f ca="1">(OFFSET(产销汇总!$C$1,MATCH(M$27,产销汇总!$C$2:$C$8,0),$C$26)*_xlfn.XLOOKUP(C226,巡逻产出!$B$311:$B$610,巡逻产出!$D$311:$D$610))*$M$24</f>
        <v>#N/A</v>
      </c>
      <c r="N226" s="80" t="e">
        <f ca="1">OFFSET(产销汇总!$C$1,MATCH(L$27,产销汇总!$C$2:$C$8,0),$C$26)*(_xlfn.XLOOKUP(MAX(1,INT(C226/10-6/10)),组队产出!$B$24:$B$39,组队产出!$S$24:$S$39))</f>
        <v>#N/A</v>
      </c>
      <c r="O226" s="172">
        <f>任务!$D$36</f>
        <v>2457.14285714286</v>
      </c>
      <c r="P226" s="98">
        <f t="shared" si="35"/>
        <v>428</v>
      </c>
      <c r="Q226" s="80">
        <f t="shared" si="41"/>
        <v>1000</v>
      </c>
      <c r="R226" s="172">
        <f t="shared" si="42"/>
        <v>2000</v>
      </c>
      <c r="S226" s="210">
        <f ca="1">IFERROR(OFFSET(金币本!$E$2,MATCH(C226,金币本!$F$3:$F$302,1),0)*IF($C$26=1,2,3),0)</f>
        <v>39750</v>
      </c>
      <c r="T226" s="172" t="e">
        <f ca="1">SUM($J$28:S226)+SUM(D226:I226)</f>
        <v>#N/A</v>
      </c>
      <c r="U226" s="172" t="e">
        <f ca="1" t="shared" si="36"/>
        <v>#N/A</v>
      </c>
      <c r="V226" s="98" t="e">
        <f ca="1" t="shared" si="37"/>
        <v>#N/A</v>
      </c>
      <c r="W226" s="98" t="e">
        <f ca="1">OFFSET(装备强化!$U$6,MATCH(图纸产出设计!V227/6*W$26,装备强化!$T$7:$T$306,1),0)*6</f>
        <v>#N/A</v>
      </c>
      <c r="X226" s="98">
        <v>893590</v>
      </c>
      <c r="Y226" s="98">
        <f t="shared" si="43"/>
        <v>6256000</v>
      </c>
      <c r="Z226" s="98">
        <f t="shared" si="34"/>
        <v>2</v>
      </c>
      <c r="AA226" s="147" t="e">
        <f ca="1" t="shared" si="38"/>
        <v>#N/A</v>
      </c>
      <c r="AB226" s="209" t="e">
        <f ca="1" t="shared" si="39"/>
        <v>#N/A</v>
      </c>
      <c r="AC226" s="209">
        <f ca="1">SUMIFS(装备强化!$Q$7:$Q$306,装备强化!$M$7:$M$306,"&lt;="&amp;MATCH(U226/6,装备强化!$U$7:$U$306,1),装备强化!$M$7:$M$306,"&gt;="&amp;MATCH(V226/6,装备强化!$U$7:$U$306,1))*6</f>
        <v>0</v>
      </c>
      <c r="AD226">
        <f ca="1" t="shared" si="44"/>
        <v>0</v>
      </c>
    </row>
    <row r="227" spans="1:30">
      <c r="A227" s="171"/>
      <c r="B227" s="80">
        <v>200</v>
      </c>
      <c r="C227" s="80">
        <f ca="1">OFFSET(产销汇总!$C$12,$B227,$C$26)</f>
        <v>223</v>
      </c>
      <c r="D227" s="80">
        <f t="shared" si="40"/>
        <v>14100</v>
      </c>
      <c r="E227" s="80">
        <f ca="1">(SUMIF(主线推图!$B$4:$B$303,"&lt;"&amp;C227,主线推图!$M$4:$M$303)+SUMIF(主线宝箱!$B$320:$B$620,"&lt;"&amp;C227,主线宝箱!$L$320:$L$620)+SUMIF(主线宝箱!$B$320:$B$620,"&lt;"&amp;C227,主线宝箱!$X$320:$X$620)+SUMIF(主线宝箱!$B$320:$B$620,"&lt;"&amp;C227,主线宝箱!$AL$320:$AL$620))</f>
        <v>396600</v>
      </c>
      <c r="F227" s="98">
        <f ca="1">SUMIF(组队产出!$B$24:$B$39,"&lt;="&amp;MAX(1,INT(C227/10-0.6)),组队产出!$R$24:$R$39)</f>
        <v>141000</v>
      </c>
      <c r="G227" s="80">
        <f ca="1">SUMIF(运营活动!$O$3:$O$27,"&lt;="&amp;C227,运营活动!$P$3:$P$27)</f>
        <v>30000</v>
      </c>
      <c r="H227" s="80">
        <f ca="1">OFFSET(产销汇总!$AM$12,B227,$C$26)*24</f>
        <v>1469616</v>
      </c>
      <c r="I227" s="172">
        <f ca="1">SUMIF(金币本!$F$2:$F$52,"&lt;="&amp;C227,金币本!$D$2:$D$52)</f>
        <v>1425000</v>
      </c>
      <c r="J227" s="80">
        <f ca="1">OFFSET(产销汇总!$C$1,MATCH(J$27,产销汇总!$C$2:$C$8,0),$C$26)*(_xlfn.XLOOKUP(C227,主线推图!$B$313:$B$612,主线推图!$C$313:$C$612)+_xlfn.XLOOKUP(C227,主线推图!$B$313:$B$612,主线推图!$D$313:$D$612))</f>
        <v>15928</v>
      </c>
      <c r="K227" s="80">
        <f ca="1">OFFSET(产销汇总!$C$1,MATCH(K$27,产销汇总!$C$2:$C$8,0),$C$26)*_xlfn.XLOOKUP(C227,巡逻产出!$B$311:$B$610,巡逻产出!$C$311:$C$610)*1.3</f>
        <v>0</v>
      </c>
      <c r="L227" s="80" t="e">
        <f ca="1">OFFSET(产销汇总!$C$1,MATCH(L$27,产销汇总!$C$2:$C$8,0),$C$26)*(_xlfn.XLOOKUP(MAX(1,INT(C227/10-6/10)),组队产出!$B$24:$B$39,组队产出!$D$24:$D$39))+OFFSET(产销汇总!$C$1,MATCH(L$27,产销汇总!$C$2:$C$8,0),$C$26)*(_xlfn.XLOOKUP(MAX(1,INT(C227/10-6/10)),组队产出!$B$24:$B$39,组队产出!$C$24:$C$39))</f>
        <v>#N/A</v>
      </c>
      <c r="M227" s="80">
        <f ca="1">(OFFSET(产销汇总!$C$1,MATCH(M$27,产销汇总!$C$2:$C$8,0),$C$26)*_xlfn.XLOOKUP(C227,巡逻产出!$B$311:$B$610,巡逻产出!$D$311:$D$610))*$M$24</f>
        <v>11294.4</v>
      </c>
      <c r="N227" s="80" t="e">
        <f ca="1">OFFSET(产销汇总!$C$1,MATCH(L$27,产销汇总!$C$2:$C$8,0),$C$26)*(_xlfn.XLOOKUP(MAX(1,INT(C227/10-6/10)),组队产出!$B$24:$B$39,组队产出!$S$24:$S$39))</f>
        <v>#N/A</v>
      </c>
      <c r="O227" s="172">
        <f>任务!$D$36</f>
        <v>2457.14285714286</v>
      </c>
      <c r="P227" s="98">
        <f t="shared" si="35"/>
        <v>428</v>
      </c>
      <c r="Q227" s="80">
        <f t="shared" si="41"/>
        <v>1000</v>
      </c>
      <c r="R227" s="172">
        <f t="shared" si="42"/>
        <v>2000</v>
      </c>
      <c r="S227" s="210">
        <f ca="1">IFERROR(OFFSET(金币本!$E$2,MATCH(C227,金币本!$F$3:$F$302,1),0)*IF($C$26=1,2,3),0)</f>
        <v>39750</v>
      </c>
      <c r="T227" s="172" t="e">
        <f ca="1">SUM($J$28:S227)+SUM(D227:I227)</f>
        <v>#N/A</v>
      </c>
      <c r="U227" s="172" t="e">
        <f ca="1" t="shared" si="36"/>
        <v>#N/A</v>
      </c>
      <c r="V227" s="98" t="e">
        <f ca="1" t="shared" si="37"/>
        <v>#N/A</v>
      </c>
      <c r="W227" s="98" t="e">
        <f ca="1">OFFSET(装备强化!$U$6,MATCH(图纸产出设计!V228/6*W$26,装备强化!$T$7:$T$306,1),0)*6</f>
        <v>#N/A</v>
      </c>
      <c r="X227" s="98">
        <v>904810</v>
      </c>
      <c r="Y227" s="98">
        <f t="shared" si="43"/>
        <v>6288000</v>
      </c>
      <c r="Z227" s="98">
        <f t="shared" si="34"/>
        <v>2</v>
      </c>
      <c r="AA227" s="147" t="e">
        <f ca="1" t="shared" si="38"/>
        <v>#N/A</v>
      </c>
      <c r="AB227" s="209" t="e">
        <f ca="1" t="shared" si="39"/>
        <v>#N/A</v>
      </c>
      <c r="AC227" s="209">
        <f ca="1">SUMIFS(装备强化!$Q$7:$Q$306,装备强化!$M$7:$M$306,"&lt;="&amp;MATCH(U227/6,装备强化!$U$7:$U$306,1),装备强化!$M$7:$M$306,"&gt;="&amp;MATCH(V227/6,装备强化!$U$7:$U$306,1))*6</f>
        <v>0</v>
      </c>
      <c r="AD227">
        <f ca="1" t="shared" si="44"/>
        <v>0</v>
      </c>
    </row>
    <row r="228" spans="1:30">
      <c r="A228" s="171"/>
      <c r="B228" s="80">
        <v>201</v>
      </c>
      <c r="C228" s="80">
        <f ca="1">OFFSET(产销汇总!$C$12,$B228,$C$26)</f>
        <v>223.5</v>
      </c>
      <c r="D228" s="80">
        <f t="shared" si="40"/>
        <v>14100</v>
      </c>
      <c r="E228" s="80">
        <f ca="1">(SUMIF(主线推图!$B$4:$B$303,"&lt;"&amp;C228,主线推图!$M$4:$M$303)+SUMIF(主线宝箱!$B$320:$B$620,"&lt;"&amp;C228,主线宝箱!$L$320:$L$620)+SUMIF(主线宝箱!$B$320:$B$620,"&lt;"&amp;C228,主线宝箱!$X$320:$X$620)+SUMIF(主线宝箱!$B$320:$B$620,"&lt;"&amp;C228,主线宝箱!$AL$320:$AL$620))</f>
        <v>398400</v>
      </c>
      <c r="F228" s="98">
        <f ca="1">SUMIF(组队产出!$B$24:$B$39,"&lt;="&amp;MAX(1,INT(C228/10-0.6)),组队产出!$R$24:$R$39)</f>
        <v>141000</v>
      </c>
      <c r="G228" s="80">
        <f ca="1">SUMIF(运营活动!$O$3:$O$27,"&lt;="&amp;C228,运营活动!$P$3:$P$27)</f>
        <v>30000</v>
      </c>
      <c r="H228" s="80">
        <f ca="1">OFFSET(产销汇总!$AM$12,B228,$C$26)*24</f>
        <v>1476864</v>
      </c>
      <c r="I228" s="172">
        <f ca="1">SUMIF(金币本!$F$2:$F$52,"&lt;="&amp;C228,金币本!$D$2:$D$52)</f>
        <v>1425000</v>
      </c>
      <c r="J228" s="80" t="e">
        <f ca="1">OFFSET(产销汇总!$C$1,MATCH(J$27,产销汇总!$C$2:$C$8,0),$C$26)*(_xlfn.XLOOKUP(C228,主线推图!$B$313:$B$612,主线推图!$C$313:$C$612)+_xlfn.XLOOKUP(C228,主线推图!$B$313:$B$612,主线推图!$D$313:$D$612))</f>
        <v>#N/A</v>
      </c>
      <c r="K228" s="80" t="e">
        <f ca="1">OFFSET(产销汇总!$C$1,MATCH(K$27,产销汇总!$C$2:$C$8,0),$C$26)*_xlfn.XLOOKUP(C228,巡逻产出!$B$311:$B$610,巡逻产出!$C$311:$C$610)*1.3</f>
        <v>#N/A</v>
      </c>
      <c r="L228" s="80" t="e">
        <f ca="1">OFFSET(产销汇总!$C$1,MATCH(L$27,产销汇总!$C$2:$C$8,0),$C$26)*(_xlfn.XLOOKUP(MAX(1,INT(C228/10-6/10)),组队产出!$B$24:$B$39,组队产出!$D$24:$D$39))+OFFSET(产销汇总!$C$1,MATCH(L$27,产销汇总!$C$2:$C$8,0),$C$26)*(_xlfn.XLOOKUP(MAX(1,INT(C228/10-6/10)),组队产出!$B$24:$B$39,组队产出!$C$24:$C$39))</f>
        <v>#N/A</v>
      </c>
      <c r="M228" s="80" t="e">
        <f ca="1">(OFFSET(产销汇总!$C$1,MATCH(M$27,产销汇总!$C$2:$C$8,0),$C$26)*_xlfn.XLOOKUP(C228,巡逻产出!$B$311:$B$610,巡逻产出!$D$311:$D$610))*$M$24</f>
        <v>#N/A</v>
      </c>
      <c r="N228" s="80" t="e">
        <f ca="1">OFFSET(产销汇总!$C$1,MATCH(L$27,产销汇总!$C$2:$C$8,0),$C$26)*(_xlfn.XLOOKUP(MAX(1,INT(C228/10-6/10)),组队产出!$B$24:$B$39,组队产出!$S$24:$S$39))</f>
        <v>#N/A</v>
      </c>
      <c r="O228" s="172">
        <f>任务!$D$36</f>
        <v>2457.14285714286</v>
      </c>
      <c r="P228" s="98">
        <f t="shared" si="35"/>
        <v>428</v>
      </c>
      <c r="Q228" s="80">
        <f t="shared" si="41"/>
        <v>1000</v>
      </c>
      <c r="R228" s="172">
        <f t="shared" si="42"/>
        <v>2000</v>
      </c>
      <c r="S228" s="210">
        <f ca="1">IFERROR(OFFSET(金币本!$E$2,MATCH(C228,金币本!$F$3:$F$302,1),0)*IF($C$26=1,2,3),0)</f>
        <v>39750</v>
      </c>
      <c r="T228" s="172" t="e">
        <f ca="1">SUM($J$28:S228)+SUM(D228:I228)</f>
        <v>#N/A</v>
      </c>
      <c r="U228" s="172" t="e">
        <f ca="1" t="shared" si="36"/>
        <v>#N/A</v>
      </c>
      <c r="V228" s="98" t="e">
        <f ca="1" t="shared" si="37"/>
        <v>#N/A</v>
      </c>
      <c r="W228" s="98" t="e">
        <f ca="1">OFFSET(装备强化!$U$6,MATCH(图纸产出设计!V229/6*W$26,装备强化!$T$7:$T$306,1),0)*6</f>
        <v>#N/A</v>
      </c>
      <c r="X228" s="98">
        <v>904810</v>
      </c>
      <c r="Y228" s="98">
        <f t="shared" si="43"/>
        <v>6320000</v>
      </c>
      <c r="Z228" s="98">
        <f t="shared" si="34"/>
        <v>2</v>
      </c>
      <c r="AA228" s="147" t="e">
        <f ca="1" t="shared" si="38"/>
        <v>#N/A</v>
      </c>
      <c r="AB228" s="209" t="e">
        <f ca="1" t="shared" si="39"/>
        <v>#N/A</v>
      </c>
      <c r="AC228" s="209">
        <f ca="1">SUMIFS(装备强化!$Q$7:$Q$306,装备强化!$M$7:$M$306,"&lt;="&amp;MATCH(U228/6,装备强化!$U$7:$U$306,1),装备强化!$M$7:$M$306,"&gt;="&amp;MATCH(V228/6,装备强化!$U$7:$U$306,1))*6</f>
        <v>0</v>
      </c>
      <c r="AD228">
        <f ca="1" t="shared" si="44"/>
        <v>0</v>
      </c>
    </row>
    <row r="229" spans="1:30">
      <c r="A229" s="171"/>
      <c r="B229" s="80">
        <v>202</v>
      </c>
      <c r="C229" s="80">
        <f ca="1">OFFSET(产销汇总!$C$12,$B229,$C$26)</f>
        <v>224</v>
      </c>
      <c r="D229" s="80">
        <f t="shared" si="40"/>
        <v>14100</v>
      </c>
      <c r="E229" s="80">
        <f ca="1">(SUMIF(主线推图!$B$4:$B$303,"&lt;"&amp;C229,主线推图!$M$4:$M$303)+SUMIF(主线宝箱!$B$320:$B$620,"&lt;"&amp;C229,主线宝箱!$L$320:$L$620)+SUMIF(主线宝箱!$B$320:$B$620,"&lt;"&amp;C229,主线宝箱!$X$320:$X$620)+SUMIF(主线宝箱!$B$320:$B$620,"&lt;"&amp;C229,主线宝箱!$AL$320:$AL$620))</f>
        <v>398400</v>
      </c>
      <c r="F229" s="98">
        <f ca="1">SUMIF(组队产出!$B$24:$B$39,"&lt;="&amp;MAX(1,INT(C229/10-0.6)),组队产出!$R$24:$R$39)</f>
        <v>141000</v>
      </c>
      <c r="G229" s="80">
        <f ca="1">SUMIF(运营活动!$O$3:$O$27,"&lt;="&amp;C229,运营活动!$P$3:$P$27)</f>
        <v>30000</v>
      </c>
      <c r="H229" s="80">
        <f ca="1">OFFSET(产销汇总!$AM$12,B229,$C$26)*24</f>
        <v>1484112</v>
      </c>
      <c r="I229" s="172">
        <f ca="1">SUMIF(金币本!$F$2:$F$52,"&lt;="&amp;C229,金币本!$D$2:$D$52)</f>
        <v>1425000</v>
      </c>
      <c r="J229" s="80">
        <f ca="1">OFFSET(产销汇总!$C$1,MATCH(J$27,产销汇总!$C$2:$C$8,0),$C$26)*(_xlfn.XLOOKUP(C229,主线推图!$B$313:$B$612,主线推图!$C$313:$C$612)+_xlfn.XLOOKUP(C229,主线推图!$B$313:$B$612,主线推图!$D$313:$D$612))</f>
        <v>15972</v>
      </c>
      <c r="K229" s="80">
        <f ca="1">OFFSET(产销汇总!$C$1,MATCH(K$27,产销汇总!$C$2:$C$8,0),$C$26)*_xlfn.XLOOKUP(C229,巡逻产出!$B$311:$B$610,巡逻产出!$C$311:$C$610)*1.3</f>
        <v>0</v>
      </c>
      <c r="L229" s="80" t="e">
        <f ca="1">OFFSET(产销汇总!$C$1,MATCH(L$27,产销汇总!$C$2:$C$8,0),$C$26)*(_xlfn.XLOOKUP(MAX(1,INT(C229/10-6/10)),组队产出!$B$24:$B$39,组队产出!$D$24:$D$39))+OFFSET(产销汇总!$C$1,MATCH(L$27,产销汇总!$C$2:$C$8,0),$C$26)*(_xlfn.XLOOKUP(MAX(1,INT(C229/10-6/10)),组队产出!$B$24:$B$39,组队产出!$C$24:$C$39))</f>
        <v>#N/A</v>
      </c>
      <c r="M229" s="80">
        <f ca="1">(OFFSET(产销汇总!$C$1,MATCH(M$27,产销汇总!$C$2:$C$8,0),$C$26)*_xlfn.XLOOKUP(C229,巡逻产出!$B$311:$B$610,巡逻产出!$D$311:$D$610))*$M$24</f>
        <v>11325.6</v>
      </c>
      <c r="N229" s="80" t="e">
        <f ca="1">OFFSET(产销汇总!$C$1,MATCH(L$27,产销汇总!$C$2:$C$8,0),$C$26)*(_xlfn.XLOOKUP(MAX(1,INT(C229/10-6/10)),组队产出!$B$24:$B$39,组队产出!$S$24:$S$39))</f>
        <v>#N/A</v>
      </c>
      <c r="O229" s="172">
        <f>任务!$D$36</f>
        <v>2457.14285714286</v>
      </c>
      <c r="P229" s="98">
        <f t="shared" si="35"/>
        <v>428</v>
      </c>
      <c r="Q229" s="80">
        <f t="shared" si="41"/>
        <v>1000</v>
      </c>
      <c r="R229" s="172">
        <f t="shared" si="42"/>
        <v>2000</v>
      </c>
      <c r="S229" s="210">
        <f ca="1">IFERROR(OFFSET(金币本!$E$2,MATCH(C229,金币本!$F$3:$F$302,1),0)*IF($C$26=1,2,3),0)</f>
        <v>39750</v>
      </c>
      <c r="T229" s="172" t="e">
        <f ca="1">SUM($J$28:S229)+SUM(D229:I229)</f>
        <v>#N/A</v>
      </c>
      <c r="U229" s="172" t="e">
        <f ca="1" t="shared" si="36"/>
        <v>#N/A</v>
      </c>
      <c r="V229" s="98" t="e">
        <f ca="1" t="shared" si="37"/>
        <v>#N/A</v>
      </c>
      <c r="W229" s="98" t="e">
        <f ca="1">OFFSET(装备强化!$U$6,MATCH(图纸产出设计!V230/6*W$26,装备强化!$T$7:$T$306,1),0)*6</f>
        <v>#N/A</v>
      </c>
      <c r="X229" s="98">
        <v>916100</v>
      </c>
      <c r="Y229" s="98">
        <f t="shared" si="43"/>
        <v>6352000</v>
      </c>
      <c r="Z229" s="98">
        <f t="shared" ref="Z229:Z292" si="45">Z228</f>
        <v>2</v>
      </c>
      <c r="AA229" s="147" t="e">
        <f ca="1" t="shared" si="38"/>
        <v>#N/A</v>
      </c>
      <c r="AB229" s="209" t="e">
        <f ca="1" t="shared" si="39"/>
        <v>#N/A</v>
      </c>
      <c r="AC229" s="209">
        <f ca="1">SUMIFS(装备强化!$Q$7:$Q$306,装备强化!$M$7:$M$306,"&lt;="&amp;MATCH(U229/6,装备强化!$U$7:$U$306,1),装备强化!$M$7:$M$306,"&gt;="&amp;MATCH(V229/6,装备强化!$U$7:$U$306,1))*6</f>
        <v>0</v>
      </c>
      <c r="AD229">
        <f ca="1" t="shared" si="44"/>
        <v>0</v>
      </c>
    </row>
    <row r="230" spans="1:30">
      <c r="A230" s="171"/>
      <c r="B230" s="80">
        <v>203</v>
      </c>
      <c r="C230" s="80">
        <f ca="1">OFFSET(产销汇总!$C$12,$B230,$C$26)</f>
        <v>224.5</v>
      </c>
      <c r="D230" s="80">
        <f t="shared" si="40"/>
        <v>14100</v>
      </c>
      <c r="E230" s="80">
        <f ca="1">(SUMIF(主线推图!$B$4:$B$303,"&lt;"&amp;C230,主线推图!$M$4:$M$303)+SUMIF(主线宝箱!$B$320:$B$620,"&lt;"&amp;C230,主线宝箱!$L$320:$L$620)+SUMIF(主线宝箱!$B$320:$B$620,"&lt;"&amp;C230,主线宝箱!$X$320:$X$620)+SUMIF(主线宝箱!$B$320:$B$620,"&lt;"&amp;C230,主线宝箱!$AL$320:$AL$620))</f>
        <v>400200</v>
      </c>
      <c r="F230" s="98">
        <f ca="1">SUMIF(组队产出!$B$24:$B$39,"&lt;="&amp;MAX(1,INT(C230/10-0.6)),组队产出!$R$24:$R$39)</f>
        <v>141000</v>
      </c>
      <c r="G230" s="80">
        <f ca="1">SUMIF(运营活动!$O$3:$O$27,"&lt;="&amp;C230,运营活动!$P$3:$P$27)</f>
        <v>30000</v>
      </c>
      <c r="H230" s="80">
        <f ca="1">OFFSET(产销汇总!$AM$12,B230,$C$26)*24</f>
        <v>1491360</v>
      </c>
      <c r="I230" s="172">
        <f ca="1">SUMIF(金币本!$F$2:$F$52,"&lt;="&amp;C230,金币本!$D$2:$D$52)</f>
        <v>1425000</v>
      </c>
      <c r="J230" s="80" t="e">
        <f ca="1">OFFSET(产销汇总!$C$1,MATCH(J$27,产销汇总!$C$2:$C$8,0),$C$26)*(_xlfn.XLOOKUP(C230,主线推图!$B$313:$B$612,主线推图!$C$313:$C$612)+_xlfn.XLOOKUP(C230,主线推图!$B$313:$B$612,主线推图!$D$313:$D$612))</f>
        <v>#N/A</v>
      </c>
      <c r="K230" s="80" t="e">
        <f ca="1">OFFSET(产销汇总!$C$1,MATCH(K$27,产销汇总!$C$2:$C$8,0),$C$26)*_xlfn.XLOOKUP(C230,巡逻产出!$B$311:$B$610,巡逻产出!$C$311:$C$610)*1.3</f>
        <v>#N/A</v>
      </c>
      <c r="L230" s="80" t="e">
        <f ca="1">OFFSET(产销汇总!$C$1,MATCH(L$27,产销汇总!$C$2:$C$8,0),$C$26)*(_xlfn.XLOOKUP(MAX(1,INT(C230/10-6/10)),组队产出!$B$24:$B$39,组队产出!$D$24:$D$39))+OFFSET(产销汇总!$C$1,MATCH(L$27,产销汇总!$C$2:$C$8,0),$C$26)*(_xlfn.XLOOKUP(MAX(1,INT(C230/10-6/10)),组队产出!$B$24:$B$39,组队产出!$C$24:$C$39))</f>
        <v>#N/A</v>
      </c>
      <c r="M230" s="80" t="e">
        <f ca="1">(OFFSET(产销汇总!$C$1,MATCH(M$27,产销汇总!$C$2:$C$8,0),$C$26)*_xlfn.XLOOKUP(C230,巡逻产出!$B$311:$B$610,巡逻产出!$D$311:$D$610))*$M$24</f>
        <v>#N/A</v>
      </c>
      <c r="N230" s="80" t="e">
        <f ca="1">OFFSET(产销汇总!$C$1,MATCH(L$27,产销汇总!$C$2:$C$8,0),$C$26)*(_xlfn.XLOOKUP(MAX(1,INT(C230/10-6/10)),组队产出!$B$24:$B$39,组队产出!$S$24:$S$39))</f>
        <v>#N/A</v>
      </c>
      <c r="O230" s="172">
        <f>任务!$D$36</f>
        <v>2457.14285714286</v>
      </c>
      <c r="P230" s="98">
        <f t="shared" si="35"/>
        <v>428</v>
      </c>
      <c r="Q230" s="80">
        <f t="shared" si="41"/>
        <v>1000</v>
      </c>
      <c r="R230" s="172">
        <f t="shared" si="42"/>
        <v>2000</v>
      </c>
      <c r="S230" s="210">
        <f ca="1">IFERROR(OFFSET(金币本!$E$2,MATCH(C230,金币本!$F$3:$F$302,1),0)*IF($C$26=1,2,3),0)</f>
        <v>39750</v>
      </c>
      <c r="T230" s="172" t="e">
        <f ca="1">SUM($J$28:S230)+SUM(D230:I230)</f>
        <v>#N/A</v>
      </c>
      <c r="U230" s="172" t="e">
        <f ca="1" t="shared" si="36"/>
        <v>#N/A</v>
      </c>
      <c r="V230" s="98" t="e">
        <f ca="1" t="shared" si="37"/>
        <v>#N/A</v>
      </c>
      <c r="W230" s="98" t="e">
        <f ca="1">OFFSET(装备强化!$U$6,MATCH(图纸产出设计!V231/6*W$26,装备强化!$T$7:$T$306,1),0)*6</f>
        <v>#N/A</v>
      </c>
      <c r="X230" s="98">
        <v>916100</v>
      </c>
      <c r="Y230" s="98">
        <f t="shared" si="43"/>
        <v>6384000</v>
      </c>
      <c r="Z230" s="98">
        <f t="shared" si="45"/>
        <v>2</v>
      </c>
      <c r="AA230" s="147" t="e">
        <f ca="1" t="shared" si="38"/>
        <v>#N/A</v>
      </c>
      <c r="AB230" s="209" t="e">
        <f ca="1" t="shared" si="39"/>
        <v>#N/A</v>
      </c>
      <c r="AC230" s="209">
        <f ca="1">SUMIFS(装备强化!$Q$7:$Q$306,装备强化!$M$7:$M$306,"&lt;="&amp;MATCH(U230/6,装备强化!$U$7:$U$306,1),装备强化!$M$7:$M$306,"&gt;="&amp;MATCH(V230/6,装备强化!$U$7:$U$306,1))*6</f>
        <v>0</v>
      </c>
      <c r="AD230">
        <f ca="1" t="shared" si="44"/>
        <v>0</v>
      </c>
    </row>
    <row r="231" spans="1:30">
      <c r="A231" s="171"/>
      <c r="B231" s="80">
        <v>204</v>
      </c>
      <c r="C231" s="80">
        <f ca="1">OFFSET(产销汇总!$C$12,$B231,$C$26)</f>
        <v>225</v>
      </c>
      <c r="D231" s="80">
        <f t="shared" si="40"/>
        <v>14100</v>
      </c>
      <c r="E231" s="80">
        <f ca="1">(SUMIF(主线推图!$B$4:$B$303,"&lt;"&amp;C231,主线推图!$M$4:$M$303)+SUMIF(主线宝箱!$B$320:$B$620,"&lt;"&amp;C231,主线宝箱!$L$320:$L$620)+SUMIF(主线宝箱!$B$320:$B$620,"&lt;"&amp;C231,主线宝箱!$X$320:$X$620)+SUMIF(主线宝箱!$B$320:$B$620,"&lt;"&amp;C231,主线宝箱!$AL$320:$AL$620))</f>
        <v>400200</v>
      </c>
      <c r="F231" s="98">
        <f ca="1">SUMIF(组队产出!$B$24:$B$39,"&lt;="&amp;MAX(1,INT(C231/10-0.6)),组队产出!$R$24:$R$39)</f>
        <v>141000</v>
      </c>
      <c r="G231" s="80">
        <f ca="1">SUMIF(运营活动!$O$3:$O$27,"&lt;="&amp;C231,运营活动!$P$3:$P$27)</f>
        <v>30000</v>
      </c>
      <c r="H231" s="80">
        <f ca="1">OFFSET(产销汇总!$AM$12,B231,$C$26)*24</f>
        <v>1498608</v>
      </c>
      <c r="I231" s="172">
        <f ca="1">SUMIF(金币本!$F$2:$F$52,"&lt;="&amp;C231,金币本!$D$2:$D$52)</f>
        <v>1425000</v>
      </c>
      <c r="J231" s="80">
        <f ca="1">OFFSET(产销汇总!$C$1,MATCH(J$27,产销汇总!$C$2:$C$8,0),$C$26)*(_xlfn.XLOOKUP(C231,主线推图!$B$313:$B$612,主线推图!$C$313:$C$612)+_xlfn.XLOOKUP(C231,主线推图!$B$313:$B$612,主线推图!$D$313:$D$612))</f>
        <v>16016</v>
      </c>
      <c r="K231" s="80">
        <f ca="1">OFFSET(产销汇总!$C$1,MATCH(K$27,产销汇总!$C$2:$C$8,0),$C$26)*_xlfn.XLOOKUP(C231,巡逻产出!$B$311:$B$610,巡逻产出!$C$311:$C$610)*1.3</f>
        <v>0</v>
      </c>
      <c r="L231" s="80" t="e">
        <f ca="1">OFFSET(产销汇总!$C$1,MATCH(L$27,产销汇总!$C$2:$C$8,0),$C$26)*(_xlfn.XLOOKUP(MAX(1,INT(C231/10-6/10)),组队产出!$B$24:$B$39,组队产出!$D$24:$D$39))+OFFSET(产销汇总!$C$1,MATCH(L$27,产销汇总!$C$2:$C$8,0),$C$26)*(_xlfn.XLOOKUP(MAX(1,INT(C231/10-6/10)),组队产出!$B$24:$B$39,组队产出!$C$24:$C$39))</f>
        <v>#N/A</v>
      </c>
      <c r="M231" s="80">
        <f ca="1">(OFFSET(产销汇总!$C$1,MATCH(M$27,产销汇总!$C$2:$C$8,0),$C$26)*_xlfn.XLOOKUP(C231,巡逻产出!$B$311:$B$610,巡逻产出!$D$311:$D$610))*$M$24</f>
        <v>11356.8</v>
      </c>
      <c r="N231" s="80" t="e">
        <f ca="1">OFFSET(产销汇总!$C$1,MATCH(L$27,产销汇总!$C$2:$C$8,0),$C$26)*(_xlfn.XLOOKUP(MAX(1,INT(C231/10-6/10)),组队产出!$B$24:$B$39,组队产出!$S$24:$S$39))</f>
        <v>#N/A</v>
      </c>
      <c r="O231" s="172">
        <f>任务!$D$36</f>
        <v>2457.14285714286</v>
      </c>
      <c r="P231" s="98">
        <f t="shared" si="35"/>
        <v>428</v>
      </c>
      <c r="Q231" s="80">
        <f t="shared" si="41"/>
        <v>1500</v>
      </c>
      <c r="R231" s="172">
        <f t="shared" si="42"/>
        <v>2000</v>
      </c>
      <c r="S231" s="210">
        <f ca="1">IFERROR(OFFSET(金币本!$E$2,MATCH(C231,金币本!$F$3:$F$302,1),0)*IF($C$26=1,2,3),0)</f>
        <v>39750</v>
      </c>
      <c r="T231" s="172" t="e">
        <f ca="1">SUM($J$28:S231)+SUM(D231:I231)</f>
        <v>#N/A</v>
      </c>
      <c r="U231" s="172" t="e">
        <f ca="1" t="shared" si="36"/>
        <v>#N/A</v>
      </c>
      <c r="V231" s="98" t="e">
        <f ca="1" t="shared" si="37"/>
        <v>#N/A</v>
      </c>
      <c r="W231" s="98" t="e">
        <f ca="1">OFFSET(装备强化!$U$6,MATCH(图纸产出设计!V232/6*W$26,装备强化!$T$7:$T$306,1),0)*6</f>
        <v>#N/A</v>
      </c>
      <c r="X231" s="98">
        <v>916100</v>
      </c>
      <c r="Y231" s="98">
        <f t="shared" si="43"/>
        <v>6416000</v>
      </c>
      <c r="Z231" s="98">
        <f t="shared" si="45"/>
        <v>2</v>
      </c>
      <c r="AA231" s="147" t="e">
        <f ca="1" t="shared" si="38"/>
        <v>#N/A</v>
      </c>
      <c r="AB231" s="209" t="e">
        <f ca="1" t="shared" si="39"/>
        <v>#N/A</v>
      </c>
      <c r="AC231" s="209">
        <f ca="1">SUMIFS(装备强化!$Q$7:$Q$306,装备强化!$M$7:$M$306,"&lt;="&amp;MATCH(U231/6,装备强化!$U$7:$U$306,1),装备强化!$M$7:$M$306,"&gt;="&amp;MATCH(V231/6,装备强化!$U$7:$U$306,1))*6</f>
        <v>0</v>
      </c>
      <c r="AD231">
        <f ca="1" t="shared" si="44"/>
        <v>0</v>
      </c>
    </row>
    <row r="232" spans="1:30">
      <c r="A232" s="171"/>
      <c r="B232" s="80">
        <v>205</v>
      </c>
      <c r="C232" s="80">
        <f ca="1">OFFSET(产销汇总!$C$12,$B232,$C$26)</f>
        <v>225.5</v>
      </c>
      <c r="D232" s="80">
        <f t="shared" si="40"/>
        <v>14100</v>
      </c>
      <c r="E232" s="80">
        <f ca="1">(SUMIF(主线推图!$B$4:$B$303,"&lt;"&amp;C232,主线推图!$M$4:$M$303)+SUMIF(主线宝箱!$B$320:$B$620,"&lt;"&amp;C232,主线宝箱!$L$320:$L$620)+SUMIF(主线宝箱!$B$320:$B$620,"&lt;"&amp;C232,主线宝箱!$X$320:$X$620)+SUMIF(主线宝箱!$B$320:$B$620,"&lt;"&amp;C232,主线宝箱!$AL$320:$AL$620))</f>
        <v>402000</v>
      </c>
      <c r="F232" s="98">
        <f ca="1">SUMIF(组队产出!$B$24:$B$39,"&lt;="&amp;MAX(1,INT(C232/10-0.6)),组队产出!$R$24:$R$39)</f>
        <v>141000</v>
      </c>
      <c r="G232" s="80">
        <f ca="1">SUMIF(运营活动!$O$3:$O$27,"&lt;="&amp;C232,运营活动!$P$3:$P$27)</f>
        <v>30000</v>
      </c>
      <c r="H232" s="80">
        <f ca="1">OFFSET(产销汇总!$AM$12,B232,$C$26)*24</f>
        <v>1505856</v>
      </c>
      <c r="I232" s="172">
        <f ca="1">SUMIF(金币本!$F$2:$F$52,"&lt;="&amp;C232,金币本!$D$2:$D$52)</f>
        <v>1425000</v>
      </c>
      <c r="J232" s="80" t="e">
        <f ca="1">OFFSET(产销汇总!$C$1,MATCH(J$27,产销汇总!$C$2:$C$8,0),$C$26)*(_xlfn.XLOOKUP(C232,主线推图!$B$313:$B$612,主线推图!$C$313:$C$612)+_xlfn.XLOOKUP(C232,主线推图!$B$313:$B$612,主线推图!$D$313:$D$612))</f>
        <v>#N/A</v>
      </c>
      <c r="K232" s="80" t="e">
        <f ca="1">OFFSET(产销汇总!$C$1,MATCH(K$27,产销汇总!$C$2:$C$8,0),$C$26)*_xlfn.XLOOKUP(C232,巡逻产出!$B$311:$B$610,巡逻产出!$C$311:$C$610)*1.3</f>
        <v>#N/A</v>
      </c>
      <c r="L232" s="80" t="e">
        <f ca="1">OFFSET(产销汇总!$C$1,MATCH(L$27,产销汇总!$C$2:$C$8,0),$C$26)*(_xlfn.XLOOKUP(MAX(1,INT(C232/10-6/10)),组队产出!$B$24:$B$39,组队产出!$D$24:$D$39))+OFFSET(产销汇总!$C$1,MATCH(L$27,产销汇总!$C$2:$C$8,0),$C$26)*(_xlfn.XLOOKUP(MAX(1,INT(C232/10-6/10)),组队产出!$B$24:$B$39,组队产出!$C$24:$C$39))</f>
        <v>#N/A</v>
      </c>
      <c r="M232" s="80" t="e">
        <f ca="1">(OFFSET(产销汇总!$C$1,MATCH(M$27,产销汇总!$C$2:$C$8,0),$C$26)*_xlfn.XLOOKUP(C232,巡逻产出!$B$311:$B$610,巡逻产出!$D$311:$D$610))*$M$24</f>
        <v>#N/A</v>
      </c>
      <c r="N232" s="80" t="e">
        <f ca="1">OFFSET(产销汇总!$C$1,MATCH(L$27,产销汇总!$C$2:$C$8,0),$C$26)*(_xlfn.XLOOKUP(MAX(1,INT(C232/10-6/10)),组队产出!$B$24:$B$39,组队产出!$S$24:$S$39))</f>
        <v>#N/A</v>
      </c>
      <c r="O232" s="172">
        <f>任务!$D$36</f>
        <v>2457.14285714286</v>
      </c>
      <c r="P232" s="98">
        <f t="shared" si="35"/>
        <v>428</v>
      </c>
      <c r="Q232" s="80">
        <f t="shared" si="41"/>
        <v>1000</v>
      </c>
      <c r="R232" s="172">
        <f t="shared" si="42"/>
        <v>2000</v>
      </c>
      <c r="S232" s="210">
        <f ca="1">IFERROR(OFFSET(金币本!$E$2,MATCH(C232,金币本!$F$3:$F$302,1),0)*IF($C$26=1,2,3),0)</f>
        <v>39750</v>
      </c>
      <c r="T232" s="172" t="e">
        <f ca="1">SUM($J$28:S232)+SUM(D232:I232)</f>
        <v>#N/A</v>
      </c>
      <c r="U232" s="172" t="e">
        <f ca="1" t="shared" si="36"/>
        <v>#N/A</v>
      </c>
      <c r="V232" s="98" t="e">
        <f ca="1" t="shared" si="37"/>
        <v>#N/A</v>
      </c>
      <c r="W232" s="98" t="e">
        <f ca="1">OFFSET(装备强化!$U$6,MATCH(图纸产出设计!V233/6*W$26,装备强化!$T$7:$T$306,1),0)*6</f>
        <v>#N/A</v>
      </c>
      <c r="X232" s="98">
        <v>927460</v>
      </c>
      <c r="Y232" s="98">
        <f t="shared" si="43"/>
        <v>6448000</v>
      </c>
      <c r="Z232" s="98">
        <f t="shared" si="45"/>
        <v>2</v>
      </c>
      <c r="AA232" s="147" t="e">
        <f ca="1" t="shared" si="38"/>
        <v>#N/A</v>
      </c>
      <c r="AB232" s="209" t="e">
        <f ca="1" t="shared" si="39"/>
        <v>#N/A</v>
      </c>
      <c r="AC232" s="209">
        <f ca="1">SUMIFS(装备强化!$Q$7:$Q$306,装备强化!$M$7:$M$306,"&lt;="&amp;MATCH(U232/6,装备强化!$U$7:$U$306,1),装备强化!$M$7:$M$306,"&gt;="&amp;MATCH(V232/6,装备强化!$U$7:$U$306,1))*6</f>
        <v>0</v>
      </c>
      <c r="AD232">
        <f ca="1" t="shared" si="44"/>
        <v>0</v>
      </c>
    </row>
    <row r="233" spans="1:30">
      <c r="A233" s="171"/>
      <c r="B233" s="80">
        <v>206</v>
      </c>
      <c r="C233" s="80">
        <f ca="1">OFFSET(产销汇总!$C$12,$B233,$C$26)</f>
        <v>226</v>
      </c>
      <c r="D233" s="80">
        <f t="shared" si="40"/>
        <v>14100</v>
      </c>
      <c r="E233" s="80">
        <f ca="1">(SUMIF(主线推图!$B$4:$B$303,"&lt;"&amp;C233,主线推图!$M$4:$M$303)+SUMIF(主线宝箱!$B$320:$B$620,"&lt;"&amp;C233,主线宝箱!$L$320:$L$620)+SUMIF(主线宝箱!$B$320:$B$620,"&lt;"&amp;C233,主线宝箱!$X$320:$X$620)+SUMIF(主线宝箱!$B$320:$B$620,"&lt;"&amp;C233,主线宝箱!$AL$320:$AL$620))</f>
        <v>402000</v>
      </c>
      <c r="F233" s="98">
        <f ca="1">SUMIF(组队产出!$B$24:$B$39,"&lt;="&amp;MAX(1,INT(C233/10-0.6)),组队产出!$R$24:$R$39)</f>
        <v>141000</v>
      </c>
      <c r="G233" s="80">
        <f ca="1">SUMIF(运营活动!$O$3:$O$27,"&lt;="&amp;C233,运营活动!$P$3:$P$27)</f>
        <v>30000</v>
      </c>
      <c r="H233" s="80">
        <f ca="1">OFFSET(产销汇总!$AM$12,B233,$C$26)*24</f>
        <v>1513104</v>
      </c>
      <c r="I233" s="172">
        <f ca="1">SUMIF(金币本!$F$2:$F$52,"&lt;="&amp;C233,金币本!$D$2:$D$52)</f>
        <v>1425000</v>
      </c>
      <c r="J233" s="80">
        <f ca="1">OFFSET(产销汇总!$C$1,MATCH(J$27,产销汇总!$C$2:$C$8,0),$C$26)*(_xlfn.XLOOKUP(C233,主线推图!$B$313:$B$612,主线推图!$C$313:$C$612)+_xlfn.XLOOKUP(C233,主线推图!$B$313:$B$612,主线推图!$D$313:$D$612))</f>
        <v>16060</v>
      </c>
      <c r="K233" s="80">
        <f ca="1">OFFSET(产销汇总!$C$1,MATCH(K$27,产销汇总!$C$2:$C$8,0),$C$26)*_xlfn.XLOOKUP(C233,巡逻产出!$B$311:$B$610,巡逻产出!$C$311:$C$610)*1.3</f>
        <v>0</v>
      </c>
      <c r="L233" s="80" t="e">
        <f ca="1">OFFSET(产销汇总!$C$1,MATCH(L$27,产销汇总!$C$2:$C$8,0),$C$26)*(_xlfn.XLOOKUP(MAX(1,INT(C233/10-6/10)),组队产出!$B$24:$B$39,组队产出!$D$24:$D$39))+OFFSET(产销汇总!$C$1,MATCH(L$27,产销汇总!$C$2:$C$8,0),$C$26)*(_xlfn.XLOOKUP(MAX(1,INT(C233/10-6/10)),组队产出!$B$24:$B$39,组队产出!$C$24:$C$39))</f>
        <v>#N/A</v>
      </c>
      <c r="M233" s="80">
        <f ca="1">(OFFSET(产销汇总!$C$1,MATCH(M$27,产销汇总!$C$2:$C$8,0),$C$26)*_xlfn.XLOOKUP(C233,巡逻产出!$B$311:$B$610,巡逻产出!$D$311:$D$610))*$M$24</f>
        <v>11388</v>
      </c>
      <c r="N233" s="80" t="e">
        <f ca="1">OFFSET(产销汇总!$C$1,MATCH(L$27,产销汇总!$C$2:$C$8,0),$C$26)*(_xlfn.XLOOKUP(MAX(1,INT(C233/10-6/10)),组队产出!$B$24:$B$39,组队产出!$S$24:$S$39))</f>
        <v>#N/A</v>
      </c>
      <c r="O233" s="172">
        <f>任务!$D$36</f>
        <v>2457.14285714286</v>
      </c>
      <c r="P233" s="98">
        <f t="shared" si="35"/>
        <v>428</v>
      </c>
      <c r="Q233" s="80">
        <f t="shared" si="41"/>
        <v>1000</v>
      </c>
      <c r="R233" s="172">
        <f t="shared" si="42"/>
        <v>2000</v>
      </c>
      <c r="S233" s="210">
        <f ca="1">IFERROR(OFFSET(金币本!$E$2,MATCH(C233,金币本!$F$3:$F$302,1),0)*IF($C$26=1,2,3),0)</f>
        <v>39750</v>
      </c>
      <c r="T233" s="172" t="e">
        <f ca="1">SUM($J$28:S233)+SUM(D233:I233)</f>
        <v>#N/A</v>
      </c>
      <c r="U233" s="172" t="e">
        <f ca="1" t="shared" si="36"/>
        <v>#N/A</v>
      </c>
      <c r="V233" s="98" t="e">
        <f ca="1" t="shared" si="37"/>
        <v>#N/A</v>
      </c>
      <c r="W233" s="98" t="e">
        <f ca="1">OFFSET(装备强化!$U$6,MATCH(图纸产出设计!V234/6*W$26,装备强化!$T$7:$T$306,1),0)*6</f>
        <v>#N/A</v>
      </c>
      <c r="X233" s="98">
        <v>927460</v>
      </c>
      <c r="Y233" s="98">
        <f t="shared" si="43"/>
        <v>6480000</v>
      </c>
      <c r="Z233" s="98">
        <f t="shared" si="45"/>
        <v>2</v>
      </c>
      <c r="AA233" s="147" t="e">
        <f ca="1" t="shared" si="38"/>
        <v>#N/A</v>
      </c>
      <c r="AB233" s="209" t="e">
        <f ca="1" t="shared" si="39"/>
        <v>#N/A</v>
      </c>
      <c r="AC233" s="209">
        <f ca="1">SUMIFS(装备强化!$Q$7:$Q$306,装备强化!$M$7:$M$306,"&lt;="&amp;MATCH(U233/6,装备强化!$U$7:$U$306,1),装备强化!$M$7:$M$306,"&gt;="&amp;MATCH(V233/6,装备强化!$U$7:$U$306,1))*6</f>
        <v>0</v>
      </c>
      <c r="AD233">
        <f ca="1" t="shared" si="44"/>
        <v>0</v>
      </c>
    </row>
    <row r="234" spans="1:30">
      <c r="A234" s="171"/>
      <c r="B234" s="80">
        <v>207</v>
      </c>
      <c r="C234" s="80">
        <f ca="1">OFFSET(产销汇总!$C$12,$B234,$C$26)</f>
        <v>226.5</v>
      </c>
      <c r="D234" s="80">
        <f t="shared" si="40"/>
        <v>14100</v>
      </c>
      <c r="E234" s="80">
        <f ca="1">(SUMIF(主线推图!$B$4:$B$303,"&lt;"&amp;C234,主线推图!$M$4:$M$303)+SUMIF(主线宝箱!$B$320:$B$620,"&lt;"&amp;C234,主线宝箱!$L$320:$L$620)+SUMIF(主线宝箱!$B$320:$B$620,"&lt;"&amp;C234,主线宝箱!$X$320:$X$620)+SUMIF(主线宝箱!$B$320:$B$620,"&lt;"&amp;C234,主线宝箱!$AL$320:$AL$620))</f>
        <v>403800</v>
      </c>
      <c r="F234" s="98">
        <f ca="1">SUMIF(组队产出!$B$24:$B$39,"&lt;="&amp;MAX(1,INT(C234/10-0.6)),组队产出!$R$24:$R$39)</f>
        <v>141000</v>
      </c>
      <c r="G234" s="80">
        <f ca="1">SUMIF(运营活动!$O$3:$O$27,"&lt;="&amp;C234,运营活动!$P$3:$P$27)</f>
        <v>30000</v>
      </c>
      <c r="H234" s="80">
        <f ca="1">OFFSET(产销汇总!$AM$12,B234,$C$26)*24</f>
        <v>1520352</v>
      </c>
      <c r="I234" s="172">
        <f ca="1">SUMIF(金币本!$F$2:$F$52,"&lt;="&amp;C234,金币本!$D$2:$D$52)</f>
        <v>1425000</v>
      </c>
      <c r="J234" s="80" t="e">
        <f ca="1">OFFSET(产销汇总!$C$1,MATCH(J$27,产销汇总!$C$2:$C$8,0),$C$26)*(_xlfn.XLOOKUP(C234,主线推图!$B$313:$B$612,主线推图!$C$313:$C$612)+_xlfn.XLOOKUP(C234,主线推图!$B$313:$B$612,主线推图!$D$313:$D$612))</f>
        <v>#N/A</v>
      </c>
      <c r="K234" s="80" t="e">
        <f ca="1">OFFSET(产销汇总!$C$1,MATCH(K$27,产销汇总!$C$2:$C$8,0),$C$26)*_xlfn.XLOOKUP(C234,巡逻产出!$B$311:$B$610,巡逻产出!$C$311:$C$610)*1.3</f>
        <v>#N/A</v>
      </c>
      <c r="L234" s="80" t="e">
        <f ca="1">OFFSET(产销汇总!$C$1,MATCH(L$27,产销汇总!$C$2:$C$8,0),$C$26)*(_xlfn.XLOOKUP(MAX(1,INT(C234/10-6/10)),组队产出!$B$24:$B$39,组队产出!$D$24:$D$39))+OFFSET(产销汇总!$C$1,MATCH(L$27,产销汇总!$C$2:$C$8,0),$C$26)*(_xlfn.XLOOKUP(MAX(1,INT(C234/10-6/10)),组队产出!$B$24:$B$39,组队产出!$C$24:$C$39))</f>
        <v>#N/A</v>
      </c>
      <c r="M234" s="80" t="e">
        <f ca="1">(OFFSET(产销汇总!$C$1,MATCH(M$27,产销汇总!$C$2:$C$8,0),$C$26)*_xlfn.XLOOKUP(C234,巡逻产出!$B$311:$B$610,巡逻产出!$D$311:$D$610))*$M$24</f>
        <v>#N/A</v>
      </c>
      <c r="N234" s="80" t="e">
        <f ca="1">OFFSET(产销汇总!$C$1,MATCH(L$27,产销汇总!$C$2:$C$8,0),$C$26)*(_xlfn.XLOOKUP(MAX(1,INT(C234/10-6/10)),组队产出!$B$24:$B$39,组队产出!$S$24:$S$39))</f>
        <v>#N/A</v>
      </c>
      <c r="O234" s="172">
        <f>任务!$D$36</f>
        <v>2457.14285714286</v>
      </c>
      <c r="P234" s="98">
        <f t="shared" si="35"/>
        <v>428</v>
      </c>
      <c r="Q234" s="80">
        <f t="shared" si="41"/>
        <v>1000</v>
      </c>
      <c r="R234" s="172">
        <f t="shared" si="42"/>
        <v>2000</v>
      </c>
      <c r="S234" s="210">
        <f ca="1">IFERROR(OFFSET(金币本!$E$2,MATCH(C234,金币本!$F$3:$F$302,1),0)*IF($C$26=1,2,3),0)</f>
        <v>39750</v>
      </c>
      <c r="T234" s="172" t="e">
        <f ca="1">SUM($J$28:S234)+SUM(D234:I234)</f>
        <v>#N/A</v>
      </c>
      <c r="U234" s="172" t="e">
        <f ca="1" t="shared" si="36"/>
        <v>#N/A</v>
      </c>
      <c r="V234" s="98" t="e">
        <f ca="1" t="shared" si="37"/>
        <v>#N/A</v>
      </c>
      <c r="W234" s="98" t="e">
        <f ca="1">OFFSET(装备强化!$U$6,MATCH(图纸产出设计!V235/6*W$26,装备强化!$T$7:$T$306,1),0)*6</f>
        <v>#N/A</v>
      </c>
      <c r="X234" s="98">
        <v>938890</v>
      </c>
      <c r="Y234" s="98">
        <f t="shared" si="43"/>
        <v>6512000</v>
      </c>
      <c r="Z234" s="98">
        <f t="shared" si="45"/>
        <v>2</v>
      </c>
      <c r="AA234" s="147" t="e">
        <f ca="1" t="shared" si="38"/>
        <v>#N/A</v>
      </c>
      <c r="AB234" s="209" t="e">
        <f ca="1" t="shared" si="39"/>
        <v>#N/A</v>
      </c>
      <c r="AC234" s="209">
        <f ca="1">SUMIFS(装备强化!$Q$7:$Q$306,装备强化!$M$7:$M$306,"&lt;="&amp;MATCH(U234/6,装备强化!$U$7:$U$306,1),装备强化!$M$7:$M$306,"&gt;="&amp;MATCH(V234/6,装备强化!$U$7:$U$306,1))*6</f>
        <v>0</v>
      </c>
      <c r="AD234">
        <f ca="1" t="shared" si="44"/>
        <v>0</v>
      </c>
    </row>
    <row r="235" spans="1:30">
      <c r="A235" s="171"/>
      <c r="B235" s="80">
        <v>208</v>
      </c>
      <c r="C235" s="80">
        <f ca="1">OFFSET(产销汇总!$C$12,$B235,$C$26)</f>
        <v>227</v>
      </c>
      <c r="D235" s="80">
        <f t="shared" si="40"/>
        <v>14100</v>
      </c>
      <c r="E235" s="80">
        <f ca="1">(SUMIF(主线推图!$B$4:$B$303,"&lt;"&amp;C235,主线推图!$M$4:$M$303)+SUMIF(主线宝箱!$B$320:$B$620,"&lt;"&amp;C235,主线宝箱!$L$320:$L$620)+SUMIF(主线宝箱!$B$320:$B$620,"&lt;"&amp;C235,主线宝箱!$X$320:$X$620)+SUMIF(主线宝箱!$B$320:$B$620,"&lt;"&amp;C235,主线宝箱!$AL$320:$AL$620))</f>
        <v>403800</v>
      </c>
      <c r="F235" s="98">
        <f ca="1">SUMIF(组队产出!$B$24:$B$39,"&lt;="&amp;MAX(1,INT(C235/10-0.6)),组队产出!$R$24:$R$39)</f>
        <v>141000</v>
      </c>
      <c r="G235" s="80">
        <f ca="1">SUMIF(运营活动!$O$3:$O$27,"&lt;="&amp;C235,运营活动!$P$3:$P$27)</f>
        <v>30000</v>
      </c>
      <c r="H235" s="80">
        <f ca="1">OFFSET(产销汇总!$AM$12,B235,$C$26)*24</f>
        <v>1527600</v>
      </c>
      <c r="I235" s="172">
        <f ca="1">SUMIF(金币本!$F$2:$F$52,"&lt;="&amp;C235,金币本!$D$2:$D$52)</f>
        <v>1425000</v>
      </c>
      <c r="J235" s="80">
        <f ca="1">OFFSET(产销汇总!$C$1,MATCH(J$27,产销汇总!$C$2:$C$8,0),$C$26)*(_xlfn.XLOOKUP(C235,主线推图!$B$313:$B$612,主线推图!$C$313:$C$612)+_xlfn.XLOOKUP(C235,主线推图!$B$313:$B$612,主线推图!$D$313:$D$612))</f>
        <v>16104</v>
      </c>
      <c r="K235" s="80">
        <f ca="1">OFFSET(产销汇总!$C$1,MATCH(K$27,产销汇总!$C$2:$C$8,0),$C$26)*_xlfn.XLOOKUP(C235,巡逻产出!$B$311:$B$610,巡逻产出!$C$311:$C$610)*1.3</f>
        <v>0</v>
      </c>
      <c r="L235" s="80" t="e">
        <f ca="1">OFFSET(产销汇总!$C$1,MATCH(L$27,产销汇总!$C$2:$C$8,0),$C$26)*(_xlfn.XLOOKUP(MAX(1,INT(C235/10-6/10)),组队产出!$B$24:$B$39,组队产出!$D$24:$D$39))+OFFSET(产销汇总!$C$1,MATCH(L$27,产销汇总!$C$2:$C$8,0),$C$26)*(_xlfn.XLOOKUP(MAX(1,INT(C235/10-6/10)),组队产出!$B$24:$B$39,组队产出!$C$24:$C$39))</f>
        <v>#N/A</v>
      </c>
      <c r="M235" s="80">
        <f ca="1">(OFFSET(产销汇总!$C$1,MATCH(M$27,产销汇总!$C$2:$C$8,0),$C$26)*_xlfn.XLOOKUP(C235,巡逻产出!$B$311:$B$610,巡逻产出!$D$311:$D$610))*$M$24</f>
        <v>11419.2</v>
      </c>
      <c r="N235" s="80" t="e">
        <f ca="1">OFFSET(产销汇总!$C$1,MATCH(L$27,产销汇总!$C$2:$C$8,0),$C$26)*(_xlfn.XLOOKUP(MAX(1,INT(C235/10-6/10)),组队产出!$B$24:$B$39,组队产出!$S$24:$S$39))</f>
        <v>#N/A</v>
      </c>
      <c r="O235" s="172">
        <f>任务!$D$36</f>
        <v>2457.14285714286</v>
      </c>
      <c r="P235" s="98">
        <f t="shared" si="35"/>
        <v>428</v>
      </c>
      <c r="Q235" s="80">
        <f t="shared" si="41"/>
        <v>1000</v>
      </c>
      <c r="R235" s="172">
        <f t="shared" si="42"/>
        <v>2000</v>
      </c>
      <c r="S235" s="210">
        <f ca="1">IFERROR(OFFSET(金币本!$E$2,MATCH(C235,金币本!$F$3:$F$302,1),0)*IF($C$26=1,2,3),0)</f>
        <v>39750</v>
      </c>
      <c r="T235" s="172" t="e">
        <f ca="1">SUM($J$28:S235)+SUM(D235:I235)</f>
        <v>#N/A</v>
      </c>
      <c r="U235" s="172" t="e">
        <f ca="1" t="shared" si="36"/>
        <v>#N/A</v>
      </c>
      <c r="V235" s="98" t="e">
        <f ca="1" t="shared" si="37"/>
        <v>#N/A</v>
      </c>
      <c r="W235" s="98" t="e">
        <f ca="1">OFFSET(装备强化!$U$6,MATCH(图纸产出设计!V236/6*W$26,装备强化!$T$7:$T$306,1),0)*6</f>
        <v>#N/A</v>
      </c>
      <c r="X235" s="98">
        <v>938890</v>
      </c>
      <c r="Y235" s="98">
        <f t="shared" si="43"/>
        <v>6544000</v>
      </c>
      <c r="Z235" s="98">
        <f t="shared" si="45"/>
        <v>2</v>
      </c>
      <c r="AA235" s="147" t="e">
        <f ca="1" t="shared" si="38"/>
        <v>#N/A</v>
      </c>
      <c r="AB235" s="209" t="e">
        <f ca="1" t="shared" si="39"/>
        <v>#N/A</v>
      </c>
      <c r="AC235" s="209">
        <f ca="1">SUMIFS(装备强化!$Q$7:$Q$306,装备强化!$M$7:$M$306,"&lt;="&amp;MATCH(U235/6,装备强化!$U$7:$U$306,1),装备强化!$M$7:$M$306,"&gt;="&amp;MATCH(V235/6,装备强化!$U$7:$U$306,1))*6</f>
        <v>0</v>
      </c>
      <c r="AD235">
        <f ca="1" t="shared" si="44"/>
        <v>0</v>
      </c>
    </row>
    <row r="236" spans="1:30">
      <c r="A236" s="171"/>
      <c r="B236" s="80">
        <v>209</v>
      </c>
      <c r="C236" s="80">
        <f ca="1">OFFSET(产销汇总!$C$12,$B236,$C$26)</f>
        <v>227.5</v>
      </c>
      <c r="D236" s="80">
        <f t="shared" si="40"/>
        <v>14100</v>
      </c>
      <c r="E236" s="80">
        <f ca="1">(SUMIF(主线推图!$B$4:$B$303,"&lt;"&amp;C236,主线推图!$M$4:$M$303)+SUMIF(主线宝箱!$B$320:$B$620,"&lt;"&amp;C236,主线宝箱!$L$320:$L$620)+SUMIF(主线宝箱!$B$320:$B$620,"&lt;"&amp;C236,主线宝箱!$X$320:$X$620)+SUMIF(主线宝箱!$B$320:$B$620,"&lt;"&amp;C236,主线宝箱!$AL$320:$AL$620))</f>
        <v>405600</v>
      </c>
      <c r="F236" s="98">
        <f ca="1">SUMIF(组队产出!$B$24:$B$39,"&lt;="&amp;MAX(1,INT(C236/10-0.6)),组队产出!$R$24:$R$39)</f>
        <v>141000</v>
      </c>
      <c r="G236" s="80">
        <f ca="1">SUMIF(运营活动!$O$3:$O$27,"&lt;="&amp;C236,运营活动!$P$3:$P$27)</f>
        <v>30000</v>
      </c>
      <c r="H236" s="80">
        <f ca="1">OFFSET(产销汇总!$AM$12,B236,$C$26)*24</f>
        <v>1534848</v>
      </c>
      <c r="I236" s="172">
        <f ca="1">SUMIF(金币本!$F$2:$F$52,"&lt;="&amp;C236,金币本!$D$2:$D$52)</f>
        <v>1425000</v>
      </c>
      <c r="J236" s="80" t="e">
        <f ca="1">OFFSET(产销汇总!$C$1,MATCH(J$27,产销汇总!$C$2:$C$8,0),$C$26)*(_xlfn.XLOOKUP(C236,主线推图!$B$313:$B$612,主线推图!$C$313:$C$612)+_xlfn.XLOOKUP(C236,主线推图!$B$313:$B$612,主线推图!$D$313:$D$612))</f>
        <v>#N/A</v>
      </c>
      <c r="K236" s="80" t="e">
        <f ca="1">OFFSET(产销汇总!$C$1,MATCH(K$27,产销汇总!$C$2:$C$8,0),$C$26)*_xlfn.XLOOKUP(C236,巡逻产出!$B$311:$B$610,巡逻产出!$C$311:$C$610)*1.3</f>
        <v>#N/A</v>
      </c>
      <c r="L236" s="80" t="e">
        <f ca="1">OFFSET(产销汇总!$C$1,MATCH(L$27,产销汇总!$C$2:$C$8,0),$C$26)*(_xlfn.XLOOKUP(MAX(1,INT(C236/10-6/10)),组队产出!$B$24:$B$39,组队产出!$D$24:$D$39))+OFFSET(产销汇总!$C$1,MATCH(L$27,产销汇总!$C$2:$C$8,0),$C$26)*(_xlfn.XLOOKUP(MAX(1,INT(C236/10-6/10)),组队产出!$B$24:$B$39,组队产出!$C$24:$C$39))</f>
        <v>#N/A</v>
      </c>
      <c r="M236" s="80" t="e">
        <f ca="1">(OFFSET(产销汇总!$C$1,MATCH(M$27,产销汇总!$C$2:$C$8,0),$C$26)*_xlfn.XLOOKUP(C236,巡逻产出!$B$311:$B$610,巡逻产出!$D$311:$D$610))*$M$24</f>
        <v>#N/A</v>
      </c>
      <c r="N236" s="80" t="e">
        <f ca="1">OFFSET(产销汇总!$C$1,MATCH(L$27,产销汇总!$C$2:$C$8,0),$C$26)*(_xlfn.XLOOKUP(MAX(1,INT(C236/10-6/10)),组队产出!$B$24:$B$39,组队产出!$S$24:$S$39))</f>
        <v>#N/A</v>
      </c>
      <c r="O236" s="172">
        <f>任务!$D$36</f>
        <v>2457.14285714286</v>
      </c>
      <c r="P236" s="98">
        <f t="shared" si="35"/>
        <v>428</v>
      </c>
      <c r="Q236" s="80">
        <f t="shared" si="41"/>
        <v>1000</v>
      </c>
      <c r="R236" s="172">
        <f t="shared" si="42"/>
        <v>2000</v>
      </c>
      <c r="S236" s="210">
        <f ca="1">IFERROR(OFFSET(金币本!$E$2,MATCH(C236,金币本!$F$3:$F$302,1),0)*IF($C$26=1,2,3),0)</f>
        <v>39750</v>
      </c>
      <c r="T236" s="172" t="e">
        <f ca="1">SUM($J$28:S236)+SUM(D236:I236)</f>
        <v>#N/A</v>
      </c>
      <c r="U236" s="172" t="e">
        <f ca="1" t="shared" si="36"/>
        <v>#N/A</v>
      </c>
      <c r="V236" s="98" t="e">
        <f ca="1" t="shared" si="37"/>
        <v>#N/A</v>
      </c>
      <c r="W236" s="98" t="e">
        <f ca="1">OFFSET(装备强化!$U$6,MATCH(图纸产出设计!V237/6*W$26,装备强化!$T$7:$T$306,1),0)*6</f>
        <v>#N/A</v>
      </c>
      <c r="X236" s="98">
        <v>950390</v>
      </c>
      <c r="Y236" s="98">
        <f t="shared" si="43"/>
        <v>6576000</v>
      </c>
      <c r="Z236" s="98">
        <f t="shared" si="45"/>
        <v>2</v>
      </c>
      <c r="AA236" s="147" t="e">
        <f ca="1" t="shared" si="38"/>
        <v>#N/A</v>
      </c>
      <c r="AB236" s="209" t="e">
        <f ca="1" t="shared" si="39"/>
        <v>#N/A</v>
      </c>
      <c r="AC236" s="209">
        <f ca="1">SUMIFS(装备强化!$Q$7:$Q$306,装备强化!$M$7:$M$306,"&lt;="&amp;MATCH(U236/6,装备强化!$U$7:$U$306,1),装备强化!$M$7:$M$306,"&gt;="&amp;MATCH(V236/6,装备强化!$U$7:$U$306,1))*6</f>
        <v>0</v>
      </c>
      <c r="AD236">
        <f ca="1" t="shared" si="44"/>
        <v>0</v>
      </c>
    </row>
    <row r="237" spans="1:30">
      <c r="A237" s="171"/>
      <c r="B237" s="80">
        <v>210</v>
      </c>
      <c r="C237" s="80">
        <f ca="1">OFFSET(产销汇总!$C$12,$B237,$C$26)</f>
        <v>228</v>
      </c>
      <c r="D237" s="80">
        <f t="shared" si="40"/>
        <v>14100</v>
      </c>
      <c r="E237" s="80">
        <f ca="1">(SUMIF(主线推图!$B$4:$B$303,"&lt;"&amp;C237,主线推图!$M$4:$M$303)+SUMIF(主线宝箱!$B$320:$B$620,"&lt;"&amp;C237,主线宝箱!$L$320:$L$620)+SUMIF(主线宝箱!$B$320:$B$620,"&lt;"&amp;C237,主线宝箱!$X$320:$X$620)+SUMIF(主线宝箱!$B$320:$B$620,"&lt;"&amp;C237,主线宝箱!$AL$320:$AL$620))</f>
        <v>405600</v>
      </c>
      <c r="F237" s="98">
        <f ca="1">SUMIF(组队产出!$B$24:$B$39,"&lt;="&amp;MAX(1,INT(C237/10-0.6)),组队产出!$R$24:$R$39)</f>
        <v>141000</v>
      </c>
      <c r="G237" s="80">
        <f ca="1">SUMIF(运营活动!$O$3:$O$27,"&lt;="&amp;C237,运营活动!$P$3:$P$27)</f>
        <v>30000</v>
      </c>
      <c r="H237" s="80">
        <f ca="1">OFFSET(产销汇总!$AM$12,B237,$C$26)*24</f>
        <v>1542096</v>
      </c>
      <c r="I237" s="172">
        <f ca="1">SUMIF(金币本!$F$2:$F$52,"&lt;="&amp;C237,金币本!$D$2:$D$52)</f>
        <v>1425000</v>
      </c>
      <c r="J237" s="80">
        <f ca="1">OFFSET(产销汇总!$C$1,MATCH(J$27,产销汇总!$C$2:$C$8,0),$C$26)*(_xlfn.XLOOKUP(C237,主线推图!$B$313:$B$612,主线推图!$C$313:$C$612)+_xlfn.XLOOKUP(C237,主线推图!$B$313:$B$612,主线推图!$D$313:$D$612))</f>
        <v>16148</v>
      </c>
      <c r="K237" s="80">
        <f ca="1">OFFSET(产销汇总!$C$1,MATCH(K$27,产销汇总!$C$2:$C$8,0),$C$26)*_xlfn.XLOOKUP(C237,巡逻产出!$B$311:$B$610,巡逻产出!$C$311:$C$610)*1.3</f>
        <v>0</v>
      </c>
      <c r="L237" s="80" t="e">
        <f ca="1">OFFSET(产销汇总!$C$1,MATCH(L$27,产销汇总!$C$2:$C$8,0),$C$26)*(_xlfn.XLOOKUP(MAX(1,INT(C237/10-6/10)),组队产出!$B$24:$B$39,组队产出!$D$24:$D$39))+OFFSET(产销汇总!$C$1,MATCH(L$27,产销汇总!$C$2:$C$8,0),$C$26)*(_xlfn.XLOOKUP(MAX(1,INT(C237/10-6/10)),组队产出!$B$24:$B$39,组队产出!$C$24:$C$39))</f>
        <v>#N/A</v>
      </c>
      <c r="M237" s="80">
        <f ca="1">(OFFSET(产销汇总!$C$1,MATCH(M$27,产销汇总!$C$2:$C$8,0),$C$26)*_xlfn.XLOOKUP(C237,巡逻产出!$B$311:$B$610,巡逻产出!$D$311:$D$610))*$M$24</f>
        <v>11450.4</v>
      </c>
      <c r="N237" s="80" t="e">
        <f ca="1">OFFSET(产销汇总!$C$1,MATCH(L$27,产销汇总!$C$2:$C$8,0),$C$26)*(_xlfn.XLOOKUP(MAX(1,INT(C237/10-6/10)),组队产出!$B$24:$B$39,组队产出!$S$24:$S$39))</f>
        <v>#N/A</v>
      </c>
      <c r="O237" s="172">
        <f>任务!$D$36</f>
        <v>2457.14285714286</v>
      </c>
      <c r="P237" s="98">
        <f t="shared" si="35"/>
        <v>428</v>
      </c>
      <c r="Q237" s="80">
        <f t="shared" si="41"/>
        <v>1000</v>
      </c>
      <c r="R237" s="172">
        <f t="shared" si="42"/>
        <v>2000</v>
      </c>
      <c r="S237" s="210">
        <f ca="1">IFERROR(OFFSET(金币本!$E$2,MATCH(C237,金币本!$F$3:$F$302,1),0)*IF($C$26=1,2,3),0)</f>
        <v>39750</v>
      </c>
      <c r="T237" s="172" t="e">
        <f ca="1">SUM($J$28:S237)+SUM(D237:I237)</f>
        <v>#N/A</v>
      </c>
      <c r="U237" s="172" t="e">
        <f ca="1" t="shared" si="36"/>
        <v>#N/A</v>
      </c>
      <c r="V237" s="98" t="e">
        <f ca="1" t="shared" si="37"/>
        <v>#N/A</v>
      </c>
      <c r="W237" s="98" t="e">
        <f ca="1">OFFSET(装备强化!$U$6,MATCH(图纸产出设计!V238/6*W$26,装备强化!$T$7:$T$306,1),0)*6</f>
        <v>#N/A</v>
      </c>
      <c r="X237" s="98">
        <v>950390</v>
      </c>
      <c r="Y237" s="98">
        <f t="shared" si="43"/>
        <v>6608000</v>
      </c>
      <c r="Z237" s="98">
        <f t="shared" si="45"/>
        <v>2</v>
      </c>
      <c r="AA237" s="147" t="e">
        <f ca="1" t="shared" si="38"/>
        <v>#N/A</v>
      </c>
      <c r="AB237" s="209" t="e">
        <f ca="1" t="shared" si="39"/>
        <v>#N/A</v>
      </c>
      <c r="AC237" s="209">
        <f ca="1">SUMIFS(装备强化!$Q$7:$Q$306,装备强化!$M$7:$M$306,"&lt;="&amp;MATCH(U237/6,装备强化!$U$7:$U$306,1),装备强化!$M$7:$M$306,"&gt;="&amp;MATCH(V237/6,装备强化!$U$7:$U$306,1))*6</f>
        <v>0</v>
      </c>
      <c r="AD237">
        <f ca="1" t="shared" si="44"/>
        <v>0</v>
      </c>
    </row>
    <row r="238" spans="1:30">
      <c r="A238" s="171"/>
      <c r="B238" s="80">
        <v>211</v>
      </c>
      <c r="C238" s="80">
        <f ca="1">OFFSET(产销汇总!$C$12,$B238,$C$26)</f>
        <v>228.5</v>
      </c>
      <c r="D238" s="80">
        <f t="shared" si="40"/>
        <v>14100</v>
      </c>
      <c r="E238" s="80">
        <f ca="1">(SUMIF(主线推图!$B$4:$B$303,"&lt;"&amp;C238,主线推图!$M$4:$M$303)+SUMIF(主线宝箱!$B$320:$B$620,"&lt;"&amp;C238,主线宝箱!$L$320:$L$620)+SUMIF(主线宝箱!$B$320:$B$620,"&lt;"&amp;C238,主线宝箱!$X$320:$X$620)+SUMIF(主线宝箱!$B$320:$B$620,"&lt;"&amp;C238,主线宝箱!$AL$320:$AL$620))</f>
        <v>407400</v>
      </c>
      <c r="F238" s="98">
        <f ca="1">SUMIF(组队产出!$B$24:$B$39,"&lt;="&amp;MAX(1,INT(C238/10-0.6)),组队产出!$R$24:$R$39)</f>
        <v>141000</v>
      </c>
      <c r="G238" s="80">
        <f ca="1">SUMIF(运营活动!$O$3:$O$27,"&lt;="&amp;C238,运营活动!$P$3:$P$27)</f>
        <v>30000</v>
      </c>
      <c r="H238" s="80">
        <f ca="1">OFFSET(产销汇总!$AM$12,B238,$C$26)*24</f>
        <v>1549344</v>
      </c>
      <c r="I238" s="172">
        <f ca="1">SUMIF(金币本!$F$2:$F$52,"&lt;="&amp;C238,金币本!$D$2:$D$52)</f>
        <v>1425000</v>
      </c>
      <c r="J238" s="80" t="e">
        <f ca="1">OFFSET(产销汇总!$C$1,MATCH(J$27,产销汇总!$C$2:$C$8,0),$C$26)*(_xlfn.XLOOKUP(C238,主线推图!$B$313:$B$612,主线推图!$C$313:$C$612)+_xlfn.XLOOKUP(C238,主线推图!$B$313:$B$612,主线推图!$D$313:$D$612))</f>
        <v>#N/A</v>
      </c>
      <c r="K238" s="80" t="e">
        <f ca="1">OFFSET(产销汇总!$C$1,MATCH(K$27,产销汇总!$C$2:$C$8,0),$C$26)*_xlfn.XLOOKUP(C238,巡逻产出!$B$311:$B$610,巡逻产出!$C$311:$C$610)*1.3</f>
        <v>#N/A</v>
      </c>
      <c r="L238" s="80" t="e">
        <f ca="1">OFFSET(产销汇总!$C$1,MATCH(L$27,产销汇总!$C$2:$C$8,0),$C$26)*(_xlfn.XLOOKUP(MAX(1,INT(C238/10-6/10)),组队产出!$B$24:$B$39,组队产出!$D$24:$D$39))+OFFSET(产销汇总!$C$1,MATCH(L$27,产销汇总!$C$2:$C$8,0),$C$26)*(_xlfn.XLOOKUP(MAX(1,INT(C238/10-6/10)),组队产出!$B$24:$B$39,组队产出!$C$24:$C$39))</f>
        <v>#N/A</v>
      </c>
      <c r="M238" s="80" t="e">
        <f ca="1">(OFFSET(产销汇总!$C$1,MATCH(M$27,产销汇总!$C$2:$C$8,0),$C$26)*_xlfn.XLOOKUP(C238,巡逻产出!$B$311:$B$610,巡逻产出!$D$311:$D$610))*$M$24</f>
        <v>#N/A</v>
      </c>
      <c r="N238" s="80" t="e">
        <f ca="1">OFFSET(产销汇总!$C$1,MATCH(L$27,产销汇总!$C$2:$C$8,0),$C$26)*(_xlfn.XLOOKUP(MAX(1,INT(C238/10-6/10)),组队产出!$B$24:$B$39,组队产出!$S$24:$S$39))</f>
        <v>#N/A</v>
      </c>
      <c r="O238" s="172">
        <f>任务!$D$36</f>
        <v>2457.14285714286</v>
      </c>
      <c r="P238" s="98">
        <f t="shared" si="35"/>
        <v>428</v>
      </c>
      <c r="Q238" s="80">
        <f t="shared" si="41"/>
        <v>1500</v>
      </c>
      <c r="R238" s="172">
        <f t="shared" si="42"/>
        <v>2000</v>
      </c>
      <c r="S238" s="210">
        <f ca="1">IFERROR(OFFSET(金币本!$E$2,MATCH(C238,金币本!$F$3:$F$302,1),0)*IF($C$26=1,2,3),0)</f>
        <v>39750</v>
      </c>
      <c r="T238" s="172" t="e">
        <f ca="1">SUM($J$28:S238)+SUM(D238:I238)</f>
        <v>#N/A</v>
      </c>
      <c r="U238" s="172" t="e">
        <f ca="1" t="shared" si="36"/>
        <v>#N/A</v>
      </c>
      <c r="V238" s="98" t="e">
        <f ca="1" t="shared" si="37"/>
        <v>#N/A</v>
      </c>
      <c r="W238" s="98" t="e">
        <f ca="1">OFFSET(装备强化!$U$6,MATCH(图纸产出设计!V239/6*W$26,装备强化!$T$7:$T$306,1),0)*6</f>
        <v>#N/A</v>
      </c>
      <c r="X238" s="98">
        <v>961960</v>
      </c>
      <c r="Y238" s="98">
        <f t="shared" si="43"/>
        <v>6640000</v>
      </c>
      <c r="Z238" s="98">
        <f t="shared" si="45"/>
        <v>2</v>
      </c>
      <c r="AA238" s="147" t="e">
        <f ca="1" t="shared" si="38"/>
        <v>#N/A</v>
      </c>
      <c r="AB238" s="209" t="e">
        <f ca="1" t="shared" si="39"/>
        <v>#N/A</v>
      </c>
      <c r="AC238" s="209">
        <f ca="1">SUMIFS(装备强化!$Q$7:$Q$306,装备强化!$M$7:$M$306,"&lt;="&amp;MATCH(U238/6,装备强化!$U$7:$U$306,1),装备强化!$M$7:$M$306,"&gt;="&amp;MATCH(V238/6,装备强化!$U$7:$U$306,1))*6</f>
        <v>0</v>
      </c>
      <c r="AD238">
        <f ca="1" t="shared" si="44"/>
        <v>0</v>
      </c>
    </row>
    <row r="239" spans="1:30">
      <c r="A239" s="171"/>
      <c r="B239" s="80">
        <v>212</v>
      </c>
      <c r="C239" s="80">
        <f ca="1">OFFSET(产销汇总!$C$12,$B239,$C$26)</f>
        <v>229</v>
      </c>
      <c r="D239" s="80">
        <f t="shared" si="40"/>
        <v>14100</v>
      </c>
      <c r="E239" s="80">
        <f ca="1">(SUMIF(主线推图!$B$4:$B$303,"&lt;"&amp;C239,主线推图!$M$4:$M$303)+SUMIF(主线宝箱!$B$320:$B$620,"&lt;"&amp;C239,主线宝箱!$L$320:$L$620)+SUMIF(主线宝箱!$B$320:$B$620,"&lt;"&amp;C239,主线宝箱!$X$320:$X$620)+SUMIF(主线宝箱!$B$320:$B$620,"&lt;"&amp;C239,主线宝箱!$AL$320:$AL$620))</f>
        <v>407400</v>
      </c>
      <c r="F239" s="98">
        <f ca="1">SUMIF(组队产出!$B$24:$B$39,"&lt;="&amp;MAX(1,INT(C239/10-0.6)),组队产出!$R$24:$R$39)</f>
        <v>141000</v>
      </c>
      <c r="G239" s="80">
        <f ca="1">SUMIF(运营活动!$O$3:$O$27,"&lt;="&amp;C239,运营活动!$P$3:$P$27)</f>
        <v>30000</v>
      </c>
      <c r="H239" s="80">
        <f ca="1">OFFSET(产销汇总!$AM$12,B239,$C$26)*24</f>
        <v>1556592</v>
      </c>
      <c r="I239" s="172">
        <f ca="1">SUMIF(金币本!$F$2:$F$52,"&lt;="&amp;C239,金币本!$D$2:$D$52)</f>
        <v>1425000</v>
      </c>
      <c r="J239" s="80">
        <f ca="1">OFFSET(产销汇总!$C$1,MATCH(J$27,产销汇总!$C$2:$C$8,0),$C$26)*(_xlfn.XLOOKUP(C239,主线推图!$B$313:$B$612,主线推图!$C$313:$C$612)+_xlfn.XLOOKUP(C239,主线推图!$B$313:$B$612,主线推图!$D$313:$D$612))</f>
        <v>16192</v>
      </c>
      <c r="K239" s="80">
        <f ca="1">OFFSET(产销汇总!$C$1,MATCH(K$27,产销汇总!$C$2:$C$8,0),$C$26)*_xlfn.XLOOKUP(C239,巡逻产出!$B$311:$B$610,巡逻产出!$C$311:$C$610)*1.3</f>
        <v>0</v>
      </c>
      <c r="L239" s="80" t="e">
        <f ca="1">OFFSET(产销汇总!$C$1,MATCH(L$27,产销汇总!$C$2:$C$8,0),$C$26)*(_xlfn.XLOOKUP(MAX(1,INT(C239/10-6/10)),组队产出!$B$24:$B$39,组队产出!$D$24:$D$39))+OFFSET(产销汇总!$C$1,MATCH(L$27,产销汇总!$C$2:$C$8,0),$C$26)*(_xlfn.XLOOKUP(MAX(1,INT(C239/10-6/10)),组队产出!$B$24:$B$39,组队产出!$C$24:$C$39))</f>
        <v>#N/A</v>
      </c>
      <c r="M239" s="80">
        <f ca="1">(OFFSET(产销汇总!$C$1,MATCH(M$27,产销汇总!$C$2:$C$8,0),$C$26)*_xlfn.XLOOKUP(C239,巡逻产出!$B$311:$B$610,巡逻产出!$D$311:$D$610))*$M$24</f>
        <v>11481.6</v>
      </c>
      <c r="N239" s="80" t="e">
        <f ca="1">OFFSET(产销汇总!$C$1,MATCH(L$27,产销汇总!$C$2:$C$8,0),$C$26)*(_xlfn.XLOOKUP(MAX(1,INT(C239/10-6/10)),组队产出!$B$24:$B$39,组队产出!$S$24:$S$39))</f>
        <v>#N/A</v>
      </c>
      <c r="O239" s="172">
        <f>任务!$D$36</f>
        <v>2457.14285714286</v>
      </c>
      <c r="P239" s="98">
        <f t="shared" si="35"/>
        <v>428</v>
      </c>
      <c r="Q239" s="80">
        <f t="shared" si="41"/>
        <v>1000</v>
      </c>
      <c r="R239" s="172">
        <f t="shared" si="42"/>
        <v>2000</v>
      </c>
      <c r="S239" s="210">
        <f ca="1">IFERROR(OFFSET(金币本!$E$2,MATCH(C239,金币本!$F$3:$F$302,1),0)*IF($C$26=1,2,3),0)</f>
        <v>39750</v>
      </c>
      <c r="T239" s="172" t="e">
        <f ca="1">SUM($J$28:S239)+SUM(D239:I239)</f>
        <v>#N/A</v>
      </c>
      <c r="U239" s="172" t="e">
        <f ca="1" t="shared" si="36"/>
        <v>#N/A</v>
      </c>
      <c r="V239" s="98" t="e">
        <f ca="1" t="shared" si="37"/>
        <v>#N/A</v>
      </c>
      <c r="W239" s="98" t="e">
        <f ca="1">OFFSET(装备强化!$U$6,MATCH(图纸产出设计!V240/6*W$26,装备强化!$T$7:$T$306,1),0)*6</f>
        <v>#N/A</v>
      </c>
      <c r="X239" s="98">
        <v>961960</v>
      </c>
      <c r="Y239" s="98">
        <f t="shared" si="43"/>
        <v>6672000</v>
      </c>
      <c r="Z239" s="98">
        <f t="shared" si="45"/>
        <v>2</v>
      </c>
      <c r="AA239" s="147" t="e">
        <f ca="1" t="shared" si="38"/>
        <v>#N/A</v>
      </c>
      <c r="AB239" s="209" t="e">
        <f ca="1" t="shared" si="39"/>
        <v>#N/A</v>
      </c>
      <c r="AC239" s="209">
        <f ca="1">SUMIFS(装备强化!$Q$7:$Q$306,装备强化!$M$7:$M$306,"&lt;="&amp;MATCH(U239/6,装备强化!$U$7:$U$306,1),装备强化!$M$7:$M$306,"&gt;="&amp;MATCH(V239/6,装备强化!$U$7:$U$306,1))*6</f>
        <v>0</v>
      </c>
      <c r="AD239">
        <f ca="1" t="shared" si="44"/>
        <v>0</v>
      </c>
    </row>
    <row r="240" spans="1:30">
      <c r="A240" s="171"/>
      <c r="B240" s="80">
        <v>213</v>
      </c>
      <c r="C240" s="80">
        <f ca="1">OFFSET(产销汇总!$C$12,$B240,$C$26)</f>
        <v>229.5</v>
      </c>
      <c r="D240" s="80">
        <f t="shared" si="40"/>
        <v>14100</v>
      </c>
      <c r="E240" s="80">
        <f ca="1">(SUMIF(主线推图!$B$4:$B$303,"&lt;"&amp;C240,主线推图!$M$4:$M$303)+SUMIF(主线宝箱!$B$320:$B$620,"&lt;"&amp;C240,主线宝箱!$L$320:$L$620)+SUMIF(主线宝箱!$B$320:$B$620,"&lt;"&amp;C240,主线宝箱!$X$320:$X$620)+SUMIF(主线宝箱!$B$320:$B$620,"&lt;"&amp;C240,主线宝箱!$AL$320:$AL$620))</f>
        <v>409200</v>
      </c>
      <c r="F240" s="98">
        <f ca="1">SUMIF(组队产出!$B$24:$B$39,"&lt;="&amp;MAX(1,INT(C240/10-0.6)),组队产出!$R$24:$R$39)</f>
        <v>141000</v>
      </c>
      <c r="G240" s="80">
        <f ca="1">SUMIF(运营活动!$O$3:$O$27,"&lt;="&amp;C240,运营活动!$P$3:$P$27)</f>
        <v>30000</v>
      </c>
      <c r="H240" s="80">
        <f ca="1">OFFSET(产销汇总!$AM$12,B240,$C$26)*24</f>
        <v>1563840</v>
      </c>
      <c r="I240" s="172">
        <f ca="1">SUMIF(金币本!$F$2:$F$52,"&lt;="&amp;C240,金币本!$D$2:$D$52)</f>
        <v>1425000</v>
      </c>
      <c r="J240" s="80" t="e">
        <f ca="1">OFFSET(产销汇总!$C$1,MATCH(J$27,产销汇总!$C$2:$C$8,0),$C$26)*(_xlfn.XLOOKUP(C240,主线推图!$B$313:$B$612,主线推图!$C$313:$C$612)+_xlfn.XLOOKUP(C240,主线推图!$B$313:$B$612,主线推图!$D$313:$D$612))</f>
        <v>#N/A</v>
      </c>
      <c r="K240" s="80" t="e">
        <f ca="1">OFFSET(产销汇总!$C$1,MATCH(K$27,产销汇总!$C$2:$C$8,0),$C$26)*_xlfn.XLOOKUP(C240,巡逻产出!$B$311:$B$610,巡逻产出!$C$311:$C$610)*1.3</f>
        <v>#N/A</v>
      </c>
      <c r="L240" s="80" t="e">
        <f ca="1">OFFSET(产销汇总!$C$1,MATCH(L$27,产销汇总!$C$2:$C$8,0),$C$26)*(_xlfn.XLOOKUP(MAX(1,INT(C240/10-6/10)),组队产出!$B$24:$B$39,组队产出!$D$24:$D$39))+OFFSET(产销汇总!$C$1,MATCH(L$27,产销汇总!$C$2:$C$8,0),$C$26)*(_xlfn.XLOOKUP(MAX(1,INT(C240/10-6/10)),组队产出!$B$24:$B$39,组队产出!$C$24:$C$39))</f>
        <v>#N/A</v>
      </c>
      <c r="M240" s="80" t="e">
        <f ca="1">(OFFSET(产销汇总!$C$1,MATCH(M$27,产销汇总!$C$2:$C$8,0),$C$26)*_xlfn.XLOOKUP(C240,巡逻产出!$B$311:$B$610,巡逻产出!$D$311:$D$610))*$M$24</f>
        <v>#N/A</v>
      </c>
      <c r="N240" s="80" t="e">
        <f ca="1">OFFSET(产销汇总!$C$1,MATCH(L$27,产销汇总!$C$2:$C$8,0),$C$26)*(_xlfn.XLOOKUP(MAX(1,INT(C240/10-6/10)),组队产出!$B$24:$B$39,组队产出!$S$24:$S$39))</f>
        <v>#N/A</v>
      </c>
      <c r="O240" s="172">
        <f>任务!$D$36</f>
        <v>2457.14285714286</v>
      </c>
      <c r="P240" s="98">
        <f t="shared" si="35"/>
        <v>428</v>
      </c>
      <c r="Q240" s="80">
        <f t="shared" si="41"/>
        <v>1000</v>
      </c>
      <c r="R240" s="172">
        <f t="shared" si="42"/>
        <v>2000</v>
      </c>
      <c r="S240" s="210">
        <f ca="1">IFERROR(OFFSET(金币本!$E$2,MATCH(C240,金币本!$F$3:$F$302,1),0)*IF($C$26=1,2,3),0)</f>
        <v>39750</v>
      </c>
      <c r="T240" s="172" t="e">
        <f ca="1">SUM($J$28:S240)+SUM(D240:I240)</f>
        <v>#N/A</v>
      </c>
      <c r="U240" s="172" t="e">
        <f ca="1" t="shared" si="36"/>
        <v>#N/A</v>
      </c>
      <c r="V240" s="98" t="e">
        <f ca="1" t="shared" si="37"/>
        <v>#N/A</v>
      </c>
      <c r="W240" s="98" t="e">
        <f ca="1">OFFSET(装备强化!$U$6,MATCH(图纸产出设计!V241/6*W$26,装备强化!$T$7:$T$306,1),0)*6</f>
        <v>#N/A</v>
      </c>
      <c r="X240" s="98">
        <v>961960</v>
      </c>
      <c r="Y240" s="98">
        <f t="shared" si="43"/>
        <v>6704000</v>
      </c>
      <c r="Z240" s="98">
        <f t="shared" si="45"/>
        <v>2</v>
      </c>
      <c r="AA240" s="147" t="e">
        <f ca="1" t="shared" si="38"/>
        <v>#N/A</v>
      </c>
      <c r="AB240" s="209" t="e">
        <f ca="1" t="shared" si="39"/>
        <v>#N/A</v>
      </c>
      <c r="AC240" s="209">
        <f ca="1">SUMIFS(装备强化!$Q$7:$Q$306,装备强化!$M$7:$M$306,"&lt;="&amp;MATCH(U240/6,装备强化!$U$7:$U$306,1),装备强化!$M$7:$M$306,"&gt;="&amp;MATCH(V240/6,装备强化!$U$7:$U$306,1))*6</f>
        <v>0</v>
      </c>
      <c r="AD240">
        <f ca="1" t="shared" si="44"/>
        <v>0</v>
      </c>
    </row>
    <row r="241" spans="1:30">
      <c r="A241" s="171"/>
      <c r="B241" s="80">
        <v>214</v>
      </c>
      <c r="C241" s="80">
        <f ca="1">OFFSET(产销汇总!$C$12,$B241,$C$26)</f>
        <v>230</v>
      </c>
      <c r="D241" s="80">
        <f t="shared" si="40"/>
        <v>14100</v>
      </c>
      <c r="E241" s="80">
        <f ca="1">(SUMIF(主线推图!$B$4:$B$303,"&lt;"&amp;C241,主线推图!$M$4:$M$303)+SUMIF(主线宝箱!$B$320:$B$620,"&lt;"&amp;C241,主线宝箱!$L$320:$L$620)+SUMIF(主线宝箱!$B$320:$B$620,"&lt;"&amp;C241,主线宝箱!$X$320:$X$620)+SUMIF(主线宝箱!$B$320:$B$620,"&lt;"&amp;C241,主线宝箱!$AL$320:$AL$620))</f>
        <v>409200</v>
      </c>
      <c r="F241" s="98">
        <f ca="1">SUMIF(组队产出!$B$24:$B$39,"&lt;="&amp;MAX(1,INT(C241/10-0.6)),组队产出!$R$24:$R$39)</f>
        <v>141000</v>
      </c>
      <c r="G241" s="80">
        <f ca="1">SUMIF(运营活动!$O$3:$O$27,"&lt;="&amp;C241,运营活动!$P$3:$P$27)</f>
        <v>30000</v>
      </c>
      <c r="H241" s="80">
        <f ca="1">OFFSET(产销汇总!$AM$12,B241,$C$26)*24</f>
        <v>1571088</v>
      </c>
      <c r="I241" s="172">
        <f ca="1">SUMIF(金币本!$F$2:$F$52,"&lt;="&amp;C241,金币本!$D$2:$D$52)</f>
        <v>1425000</v>
      </c>
      <c r="J241" s="80">
        <f ca="1">OFFSET(产销汇总!$C$1,MATCH(J$27,产销汇总!$C$2:$C$8,0),$C$26)*(_xlfn.XLOOKUP(C241,主线推图!$B$313:$B$612,主线推图!$C$313:$C$612)+_xlfn.XLOOKUP(C241,主线推图!$B$313:$B$612,主线推图!$D$313:$D$612))</f>
        <v>16236</v>
      </c>
      <c r="K241" s="80">
        <f ca="1">OFFSET(产销汇总!$C$1,MATCH(K$27,产销汇总!$C$2:$C$8,0),$C$26)*_xlfn.XLOOKUP(C241,巡逻产出!$B$311:$B$610,巡逻产出!$C$311:$C$610)*1.3</f>
        <v>0</v>
      </c>
      <c r="L241" s="80" t="e">
        <f ca="1">OFFSET(产销汇总!$C$1,MATCH(L$27,产销汇总!$C$2:$C$8,0),$C$26)*(_xlfn.XLOOKUP(MAX(1,INT(C241/10-6/10)),组队产出!$B$24:$B$39,组队产出!$D$24:$D$39))+OFFSET(产销汇总!$C$1,MATCH(L$27,产销汇总!$C$2:$C$8,0),$C$26)*(_xlfn.XLOOKUP(MAX(1,INT(C241/10-6/10)),组队产出!$B$24:$B$39,组队产出!$C$24:$C$39))</f>
        <v>#N/A</v>
      </c>
      <c r="M241" s="80">
        <f ca="1">(OFFSET(产销汇总!$C$1,MATCH(M$27,产销汇总!$C$2:$C$8,0),$C$26)*_xlfn.XLOOKUP(C241,巡逻产出!$B$311:$B$610,巡逻产出!$D$311:$D$610))*$M$24</f>
        <v>11512.8</v>
      </c>
      <c r="N241" s="80" t="e">
        <f ca="1">OFFSET(产销汇总!$C$1,MATCH(L$27,产销汇总!$C$2:$C$8,0),$C$26)*(_xlfn.XLOOKUP(MAX(1,INT(C241/10-6/10)),组队产出!$B$24:$B$39,组队产出!$S$24:$S$39))</f>
        <v>#N/A</v>
      </c>
      <c r="O241" s="172">
        <f>任务!$D$36</f>
        <v>2457.14285714286</v>
      </c>
      <c r="P241" s="98">
        <f t="shared" si="35"/>
        <v>428</v>
      </c>
      <c r="Q241" s="80">
        <f t="shared" si="41"/>
        <v>1000</v>
      </c>
      <c r="R241" s="172">
        <f t="shared" si="42"/>
        <v>2000</v>
      </c>
      <c r="S241" s="210">
        <f ca="1">IFERROR(OFFSET(金币本!$E$2,MATCH(C241,金币本!$F$3:$F$302,1),0)*IF($C$26=1,2,3),0)</f>
        <v>39750</v>
      </c>
      <c r="T241" s="172" t="e">
        <f ca="1">SUM($J$28:S241)+SUM(D241:I241)</f>
        <v>#N/A</v>
      </c>
      <c r="U241" s="172" t="e">
        <f ca="1" t="shared" si="36"/>
        <v>#N/A</v>
      </c>
      <c r="V241" s="98" t="e">
        <f ca="1" t="shared" si="37"/>
        <v>#N/A</v>
      </c>
      <c r="W241" s="98" t="e">
        <f ca="1">OFFSET(装备强化!$U$6,MATCH(图纸产出设计!V242/6*W$26,装备强化!$T$7:$T$306,1),0)*6</f>
        <v>#N/A</v>
      </c>
      <c r="X241" s="98">
        <v>973600</v>
      </c>
      <c r="Y241" s="98">
        <f t="shared" si="43"/>
        <v>6736000</v>
      </c>
      <c r="Z241" s="98">
        <f t="shared" si="45"/>
        <v>2</v>
      </c>
      <c r="AA241" s="147" t="e">
        <f ca="1" t="shared" si="38"/>
        <v>#N/A</v>
      </c>
      <c r="AB241" s="209" t="e">
        <f ca="1" t="shared" si="39"/>
        <v>#N/A</v>
      </c>
      <c r="AC241" s="209">
        <f ca="1">SUMIFS(装备强化!$Q$7:$Q$306,装备强化!$M$7:$M$306,"&lt;="&amp;MATCH(U241/6,装备强化!$U$7:$U$306,1),装备强化!$M$7:$M$306,"&gt;="&amp;MATCH(V241/6,装备强化!$U$7:$U$306,1))*6</f>
        <v>0</v>
      </c>
      <c r="AD241">
        <f ca="1" t="shared" si="44"/>
        <v>0</v>
      </c>
    </row>
    <row r="242" spans="1:30">
      <c r="A242" s="171"/>
      <c r="B242" s="80">
        <v>215</v>
      </c>
      <c r="C242" s="80">
        <f ca="1">OFFSET(产销汇总!$C$12,$B242,$C$26)</f>
        <v>230.5</v>
      </c>
      <c r="D242" s="80">
        <f t="shared" si="40"/>
        <v>14100</v>
      </c>
      <c r="E242" s="80">
        <f ca="1">(SUMIF(主线推图!$B$4:$B$303,"&lt;"&amp;C242,主线推图!$M$4:$M$303)+SUMIF(主线宝箱!$B$320:$B$620,"&lt;"&amp;C242,主线宝箱!$L$320:$L$620)+SUMIF(主线宝箱!$B$320:$B$620,"&lt;"&amp;C242,主线宝箱!$X$320:$X$620)+SUMIF(主线宝箱!$B$320:$B$620,"&lt;"&amp;C242,主线宝箱!$AL$320:$AL$620))</f>
        <v>411000</v>
      </c>
      <c r="F242" s="98">
        <f ca="1">SUMIF(组队产出!$B$24:$B$39,"&lt;="&amp;MAX(1,INT(C242/10-0.6)),组队产出!$R$24:$R$39)</f>
        <v>141000</v>
      </c>
      <c r="G242" s="80">
        <f ca="1">SUMIF(运营活动!$O$3:$O$27,"&lt;="&amp;C242,运营活动!$P$3:$P$27)</f>
        <v>30000</v>
      </c>
      <c r="H242" s="80">
        <f ca="1">OFFSET(产销汇总!$AM$12,B242,$C$26)*24</f>
        <v>1578336</v>
      </c>
      <c r="I242" s="172">
        <f ca="1">SUMIF(金币本!$F$2:$F$52,"&lt;="&amp;C242,金币本!$D$2:$D$52)</f>
        <v>1425000</v>
      </c>
      <c r="J242" s="80" t="e">
        <f ca="1">OFFSET(产销汇总!$C$1,MATCH(J$27,产销汇总!$C$2:$C$8,0),$C$26)*(_xlfn.XLOOKUP(C242,主线推图!$B$313:$B$612,主线推图!$C$313:$C$612)+_xlfn.XLOOKUP(C242,主线推图!$B$313:$B$612,主线推图!$D$313:$D$612))</f>
        <v>#N/A</v>
      </c>
      <c r="K242" s="80" t="e">
        <f ca="1">OFFSET(产销汇总!$C$1,MATCH(K$27,产销汇总!$C$2:$C$8,0),$C$26)*_xlfn.XLOOKUP(C242,巡逻产出!$B$311:$B$610,巡逻产出!$C$311:$C$610)*1.3</f>
        <v>#N/A</v>
      </c>
      <c r="L242" s="80" t="e">
        <f ca="1">OFFSET(产销汇总!$C$1,MATCH(L$27,产销汇总!$C$2:$C$8,0),$C$26)*(_xlfn.XLOOKUP(MAX(1,INT(C242/10-6/10)),组队产出!$B$24:$B$39,组队产出!$D$24:$D$39))+OFFSET(产销汇总!$C$1,MATCH(L$27,产销汇总!$C$2:$C$8,0),$C$26)*(_xlfn.XLOOKUP(MAX(1,INT(C242/10-6/10)),组队产出!$B$24:$B$39,组队产出!$C$24:$C$39))</f>
        <v>#N/A</v>
      </c>
      <c r="M242" s="80" t="e">
        <f ca="1">(OFFSET(产销汇总!$C$1,MATCH(M$27,产销汇总!$C$2:$C$8,0),$C$26)*_xlfn.XLOOKUP(C242,巡逻产出!$B$311:$B$610,巡逻产出!$D$311:$D$610))*$M$24</f>
        <v>#N/A</v>
      </c>
      <c r="N242" s="80" t="e">
        <f ca="1">OFFSET(产销汇总!$C$1,MATCH(L$27,产销汇总!$C$2:$C$8,0),$C$26)*(_xlfn.XLOOKUP(MAX(1,INT(C242/10-6/10)),组队产出!$B$24:$B$39,组队产出!$S$24:$S$39))</f>
        <v>#N/A</v>
      </c>
      <c r="O242" s="172">
        <f>任务!$D$36</f>
        <v>2457.14285714286</v>
      </c>
      <c r="P242" s="98">
        <f t="shared" si="35"/>
        <v>428</v>
      </c>
      <c r="Q242" s="80">
        <f t="shared" si="41"/>
        <v>1000</v>
      </c>
      <c r="R242" s="172">
        <f t="shared" si="42"/>
        <v>2000</v>
      </c>
      <c r="S242" s="210">
        <f ca="1">IFERROR(OFFSET(金币本!$E$2,MATCH(C242,金币本!$F$3:$F$302,1),0)*IF($C$26=1,2,3),0)</f>
        <v>39750</v>
      </c>
      <c r="T242" s="172" t="e">
        <f ca="1">SUM($J$28:S242)+SUM(D242:I242)</f>
        <v>#N/A</v>
      </c>
      <c r="U242" s="172" t="e">
        <f ca="1" t="shared" si="36"/>
        <v>#N/A</v>
      </c>
      <c r="V242" s="98" t="e">
        <f ca="1" t="shared" si="37"/>
        <v>#N/A</v>
      </c>
      <c r="W242" s="98" t="e">
        <f ca="1">OFFSET(装备强化!$U$6,MATCH(图纸产出设计!V243/6*W$26,装备强化!$T$7:$T$306,1),0)*6</f>
        <v>#N/A</v>
      </c>
      <c r="X242" s="98">
        <v>973600</v>
      </c>
      <c r="Y242" s="98">
        <f t="shared" si="43"/>
        <v>6768000</v>
      </c>
      <c r="Z242" s="98">
        <f t="shared" si="45"/>
        <v>2</v>
      </c>
      <c r="AA242" s="147" t="e">
        <f ca="1" t="shared" si="38"/>
        <v>#N/A</v>
      </c>
      <c r="AB242" s="209" t="e">
        <f ca="1" t="shared" si="39"/>
        <v>#N/A</v>
      </c>
      <c r="AC242" s="209">
        <f ca="1">SUMIFS(装备强化!$Q$7:$Q$306,装备强化!$M$7:$M$306,"&lt;="&amp;MATCH(U242/6,装备强化!$U$7:$U$306,1),装备强化!$M$7:$M$306,"&gt;="&amp;MATCH(V242/6,装备强化!$U$7:$U$306,1))*6</f>
        <v>0</v>
      </c>
      <c r="AD242">
        <f ca="1" t="shared" si="44"/>
        <v>0</v>
      </c>
    </row>
    <row r="243" spans="1:30">
      <c r="A243" s="171"/>
      <c r="B243" s="80">
        <v>216</v>
      </c>
      <c r="C243" s="80">
        <f ca="1">OFFSET(产销汇总!$C$12,$B243,$C$26)</f>
        <v>231</v>
      </c>
      <c r="D243" s="80">
        <f t="shared" si="40"/>
        <v>14100</v>
      </c>
      <c r="E243" s="80">
        <f ca="1">(SUMIF(主线推图!$B$4:$B$303,"&lt;"&amp;C243,主线推图!$M$4:$M$303)+SUMIF(主线宝箱!$B$320:$B$620,"&lt;"&amp;C243,主线宝箱!$L$320:$L$620)+SUMIF(主线宝箱!$B$320:$B$620,"&lt;"&amp;C243,主线宝箱!$X$320:$X$620)+SUMIF(主线宝箱!$B$320:$B$620,"&lt;"&amp;C243,主线宝箱!$AL$320:$AL$620))</f>
        <v>411000</v>
      </c>
      <c r="F243" s="98">
        <f ca="1">SUMIF(组队产出!$B$24:$B$39,"&lt;="&amp;MAX(1,INT(C243/10-0.6)),组队产出!$R$24:$R$39)</f>
        <v>141000</v>
      </c>
      <c r="G243" s="80">
        <f ca="1">SUMIF(运营活动!$O$3:$O$27,"&lt;="&amp;C243,运营活动!$P$3:$P$27)</f>
        <v>30000</v>
      </c>
      <c r="H243" s="80">
        <f ca="1">OFFSET(产销汇总!$AM$12,B243,$C$26)*24</f>
        <v>1585584</v>
      </c>
      <c r="I243" s="172">
        <f ca="1">SUMIF(金币本!$F$2:$F$52,"&lt;="&amp;C243,金币本!$D$2:$D$52)</f>
        <v>1425000</v>
      </c>
      <c r="J243" s="80">
        <f ca="1">OFFSET(产销汇总!$C$1,MATCH(J$27,产销汇总!$C$2:$C$8,0),$C$26)*(_xlfn.XLOOKUP(C243,主线推图!$B$313:$B$612,主线推图!$C$313:$C$612)+_xlfn.XLOOKUP(C243,主线推图!$B$313:$B$612,主线推图!$D$313:$D$612))</f>
        <v>16280</v>
      </c>
      <c r="K243" s="80">
        <f ca="1">OFFSET(产销汇总!$C$1,MATCH(K$27,产销汇总!$C$2:$C$8,0),$C$26)*_xlfn.XLOOKUP(C243,巡逻产出!$B$311:$B$610,巡逻产出!$C$311:$C$610)*1.3</f>
        <v>0</v>
      </c>
      <c r="L243" s="80" t="e">
        <f ca="1">OFFSET(产销汇总!$C$1,MATCH(L$27,产销汇总!$C$2:$C$8,0),$C$26)*(_xlfn.XLOOKUP(MAX(1,INT(C243/10-6/10)),组队产出!$B$24:$B$39,组队产出!$D$24:$D$39))+OFFSET(产销汇总!$C$1,MATCH(L$27,产销汇总!$C$2:$C$8,0),$C$26)*(_xlfn.XLOOKUP(MAX(1,INT(C243/10-6/10)),组队产出!$B$24:$B$39,组队产出!$C$24:$C$39))</f>
        <v>#N/A</v>
      </c>
      <c r="M243" s="80">
        <f ca="1">(OFFSET(产销汇总!$C$1,MATCH(M$27,产销汇总!$C$2:$C$8,0),$C$26)*_xlfn.XLOOKUP(C243,巡逻产出!$B$311:$B$610,巡逻产出!$D$311:$D$610))*$M$24</f>
        <v>11544</v>
      </c>
      <c r="N243" s="80" t="e">
        <f ca="1">OFFSET(产销汇总!$C$1,MATCH(L$27,产销汇总!$C$2:$C$8,0),$C$26)*(_xlfn.XLOOKUP(MAX(1,INT(C243/10-6/10)),组队产出!$B$24:$B$39,组队产出!$S$24:$S$39))</f>
        <v>#N/A</v>
      </c>
      <c r="O243" s="172">
        <f>任务!$D$36</f>
        <v>2457.14285714286</v>
      </c>
      <c r="P243" s="98">
        <f t="shared" si="35"/>
        <v>428</v>
      </c>
      <c r="Q243" s="80">
        <f t="shared" si="41"/>
        <v>1000</v>
      </c>
      <c r="R243" s="172">
        <f t="shared" si="42"/>
        <v>2000</v>
      </c>
      <c r="S243" s="210">
        <f ca="1">IFERROR(OFFSET(金币本!$E$2,MATCH(C243,金币本!$F$3:$F$302,1),0)*IF($C$26=1,2,3),0)</f>
        <v>39750</v>
      </c>
      <c r="T243" s="172" t="e">
        <f ca="1">SUM($J$28:S243)+SUM(D243:I243)</f>
        <v>#N/A</v>
      </c>
      <c r="U243" s="172" t="e">
        <f ca="1" t="shared" si="36"/>
        <v>#N/A</v>
      </c>
      <c r="V243" s="98" t="e">
        <f ca="1" t="shared" si="37"/>
        <v>#N/A</v>
      </c>
      <c r="W243" s="98" t="e">
        <f ca="1">OFFSET(装备强化!$U$6,MATCH(图纸产出设计!V244/6*W$26,装备强化!$T$7:$T$306,1),0)*6</f>
        <v>#N/A</v>
      </c>
      <c r="X243" s="98">
        <v>985310</v>
      </c>
      <c r="Y243" s="98">
        <f t="shared" si="43"/>
        <v>6800000</v>
      </c>
      <c r="Z243" s="98">
        <f t="shared" si="45"/>
        <v>2</v>
      </c>
      <c r="AA243" s="147" t="e">
        <f ca="1" t="shared" si="38"/>
        <v>#N/A</v>
      </c>
      <c r="AB243" s="209" t="e">
        <f ca="1" t="shared" si="39"/>
        <v>#N/A</v>
      </c>
      <c r="AC243" s="209">
        <f ca="1">SUMIFS(装备强化!$Q$7:$Q$306,装备强化!$M$7:$M$306,"&lt;="&amp;MATCH(U243/6,装备强化!$U$7:$U$306,1),装备强化!$M$7:$M$306,"&gt;="&amp;MATCH(V243/6,装备强化!$U$7:$U$306,1))*6</f>
        <v>0</v>
      </c>
      <c r="AD243">
        <f ca="1" t="shared" si="44"/>
        <v>0</v>
      </c>
    </row>
    <row r="244" spans="1:30">
      <c r="A244" s="171"/>
      <c r="B244" s="80">
        <v>217</v>
      </c>
      <c r="C244" s="80">
        <f ca="1">OFFSET(产销汇总!$C$12,$B244,$C$26)</f>
        <v>231.5</v>
      </c>
      <c r="D244" s="80">
        <f t="shared" si="40"/>
        <v>14100</v>
      </c>
      <c r="E244" s="80">
        <f ca="1">(SUMIF(主线推图!$B$4:$B$303,"&lt;"&amp;C244,主线推图!$M$4:$M$303)+SUMIF(主线宝箱!$B$320:$B$620,"&lt;"&amp;C244,主线宝箱!$L$320:$L$620)+SUMIF(主线宝箱!$B$320:$B$620,"&lt;"&amp;C244,主线宝箱!$X$320:$X$620)+SUMIF(主线宝箱!$B$320:$B$620,"&lt;"&amp;C244,主线宝箱!$AL$320:$AL$620))</f>
        <v>412800</v>
      </c>
      <c r="F244" s="98">
        <f ca="1">SUMIF(组队产出!$B$24:$B$39,"&lt;="&amp;MAX(1,INT(C244/10-0.6)),组队产出!$R$24:$R$39)</f>
        <v>141000</v>
      </c>
      <c r="G244" s="80">
        <f ca="1">SUMIF(运营活动!$O$3:$O$27,"&lt;="&amp;C244,运营活动!$P$3:$P$27)</f>
        <v>30000</v>
      </c>
      <c r="H244" s="80">
        <f ca="1">OFFSET(产销汇总!$AM$12,B244,$C$26)*24</f>
        <v>1592832</v>
      </c>
      <c r="I244" s="172">
        <f ca="1">SUMIF(金币本!$F$2:$F$52,"&lt;="&amp;C244,金币本!$D$2:$D$52)</f>
        <v>1425000</v>
      </c>
      <c r="J244" s="80" t="e">
        <f ca="1">OFFSET(产销汇总!$C$1,MATCH(J$27,产销汇总!$C$2:$C$8,0),$C$26)*(_xlfn.XLOOKUP(C244,主线推图!$B$313:$B$612,主线推图!$C$313:$C$612)+_xlfn.XLOOKUP(C244,主线推图!$B$313:$B$612,主线推图!$D$313:$D$612))</f>
        <v>#N/A</v>
      </c>
      <c r="K244" s="80" t="e">
        <f ca="1">OFFSET(产销汇总!$C$1,MATCH(K$27,产销汇总!$C$2:$C$8,0),$C$26)*_xlfn.XLOOKUP(C244,巡逻产出!$B$311:$B$610,巡逻产出!$C$311:$C$610)*1.3</f>
        <v>#N/A</v>
      </c>
      <c r="L244" s="80" t="e">
        <f ca="1">OFFSET(产销汇总!$C$1,MATCH(L$27,产销汇总!$C$2:$C$8,0),$C$26)*(_xlfn.XLOOKUP(MAX(1,INT(C244/10-6/10)),组队产出!$B$24:$B$39,组队产出!$D$24:$D$39))+OFFSET(产销汇总!$C$1,MATCH(L$27,产销汇总!$C$2:$C$8,0),$C$26)*(_xlfn.XLOOKUP(MAX(1,INT(C244/10-6/10)),组队产出!$B$24:$B$39,组队产出!$C$24:$C$39))</f>
        <v>#N/A</v>
      </c>
      <c r="M244" s="80" t="e">
        <f ca="1">(OFFSET(产销汇总!$C$1,MATCH(M$27,产销汇总!$C$2:$C$8,0),$C$26)*_xlfn.XLOOKUP(C244,巡逻产出!$B$311:$B$610,巡逻产出!$D$311:$D$610))*$M$24</f>
        <v>#N/A</v>
      </c>
      <c r="N244" s="80" t="e">
        <f ca="1">OFFSET(产销汇总!$C$1,MATCH(L$27,产销汇总!$C$2:$C$8,0),$C$26)*(_xlfn.XLOOKUP(MAX(1,INT(C244/10-6/10)),组队产出!$B$24:$B$39,组队产出!$S$24:$S$39))</f>
        <v>#N/A</v>
      </c>
      <c r="O244" s="172">
        <f>任务!$D$36</f>
        <v>2457.14285714286</v>
      </c>
      <c r="P244" s="98">
        <f t="shared" si="35"/>
        <v>428</v>
      </c>
      <c r="Q244" s="80">
        <f t="shared" si="41"/>
        <v>1000</v>
      </c>
      <c r="R244" s="172">
        <f t="shared" si="42"/>
        <v>2000</v>
      </c>
      <c r="S244" s="210">
        <f ca="1">IFERROR(OFFSET(金币本!$E$2,MATCH(C244,金币本!$F$3:$F$302,1),0)*IF($C$26=1,2,3),0)</f>
        <v>39750</v>
      </c>
      <c r="T244" s="172" t="e">
        <f ca="1">SUM($J$28:S244)+SUM(D244:I244)</f>
        <v>#N/A</v>
      </c>
      <c r="U244" s="172" t="e">
        <f ca="1" t="shared" si="36"/>
        <v>#N/A</v>
      </c>
      <c r="V244" s="98" t="e">
        <f ca="1" t="shared" si="37"/>
        <v>#N/A</v>
      </c>
      <c r="W244" s="98" t="e">
        <f ca="1">OFFSET(装备强化!$U$6,MATCH(图纸产出设计!V245/6*W$26,装备强化!$T$7:$T$306,1),0)*6</f>
        <v>#N/A</v>
      </c>
      <c r="X244" s="98">
        <v>985310</v>
      </c>
      <c r="Y244" s="98">
        <f t="shared" si="43"/>
        <v>6832000</v>
      </c>
      <c r="Z244" s="98">
        <f t="shared" si="45"/>
        <v>2</v>
      </c>
      <c r="AA244" s="147" t="e">
        <f ca="1" t="shared" si="38"/>
        <v>#N/A</v>
      </c>
      <c r="AB244" s="209" t="e">
        <f ca="1" t="shared" si="39"/>
        <v>#N/A</v>
      </c>
      <c r="AC244" s="209">
        <f ca="1">SUMIFS(装备强化!$Q$7:$Q$306,装备强化!$M$7:$M$306,"&lt;="&amp;MATCH(U244/6,装备强化!$U$7:$U$306,1),装备强化!$M$7:$M$306,"&gt;="&amp;MATCH(V244/6,装备强化!$U$7:$U$306,1))*6</f>
        <v>0</v>
      </c>
      <c r="AD244">
        <f ca="1" t="shared" si="44"/>
        <v>0</v>
      </c>
    </row>
    <row r="245" spans="1:30">
      <c r="A245" s="171"/>
      <c r="B245" s="80">
        <v>218</v>
      </c>
      <c r="C245" s="80">
        <f ca="1">OFFSET(产销汇总!$C$12,$B245,$C$26)</f>
        <v>232</v>
      </c>
      <c r="D245" s="80">
        <f t="shared" si="40"/>
        <v>14100</v>
      </c>
      <c r="E245" s="80">
        <f ca="1">(SUMIF(主线推图!$B$4:$B$303,"&lt;"&amp;C245,主线推图!$M$4:$M$303)+SUMIF(主线宝箱!$B$320:$B$620,"&lt;"&amp;C245,主线宝箱!$L$320:$L$620)+SUMIF(主线宝箱!$B$320:$B$620,"&lt;"&amp;C245,主线宝箱!$X$320:$X$620)+SUMIF(主线宝箱!$B$320:$B$620,"&lt;"&amp;C245,主线宝箱!$AL$320:$AL$620))</f>
        <v>412800</v>
      </c>
      <c r="F245" s="98">
        <f ca="1">SUMIF(组队产出!$B$24:$B$39,"&lt;="&amp;MAX(1,INT(C245/10-0.6)),组队产出!$R$24:$R$39)</f>
        <v>141000</v>
      </c>
      <c r="G245" s="80">
        <f ca="1">SUMIF(运营活动!$O$3:$O$27,"&lt;="&amp;C245,运营活动!$P$3:$P$27)</f>
        <v>30000</v>
      </c>
      <c r="H245" s="80">
        <f ca="1">OFFSET(产销汇总!$AM$12,B245,$C$26)*24</f>
        <v>1600080</v>
      </c>
      <c r="I245" s="172">
        <f ca="1">SUMIF(金币本!$F$2:$F$52,"&lt;="&amp;C245,金币本!$D$2:$D$52)</f>
        <v>1425000</v>
      </c>
      <c r="J245" s="80">
        <f ca="1">OFFSET(产销汇总!$C$1,MATCH(J$27,产销汇总!$C$2:$C$8,0),$C$26)*(_xlfn.XLOOKUP(C245,主线推图!$B$313:$B$612,主线推图!$C$313:$C$612)+_xlfn.XLOOKUP(C245,主线推图!$B$313:$B$612,主线推图!$D$313:$D$612))</f>
        <v>16324</v>
      </c>
      <c r="K245" s="80">
        <f ca="1">OFFSET(产销汇总!$C$1,MATCH(K$27,产销汇总!$C$2:$C$8,0),$C$26)*_xlfn.XLOOKUP(C245,巡逻产出!$B$311:$B$610,巡逻产出!$C$311:$C$610)*1.3</f>
        <v>0</v>
      </c>
      <c r="L245" s="80" t="e">
        <f ca="1">OFFSET(产销汇总!$C$1,MATCH(L$27,产销汇总!$C$2:$C$8,0),$C$26)*(_xlfn.XLOOKUP(MAX(1,INT(C245/10-6/10)),组队产出!$B$24:$B$39,组队产出!$D$24:$D$39))+OFFSET(产销汇总!$C$1,MATCH(L$27,产销汇总!$C$2:$C$8,0),$C$26)*(_xlfn.XLOOKUP(MAX(1,INT(C245/10-6/10)),组队产出!$B$24:$B$39,组队产出!$C$24:$C$39))</f>
        <v>#N/A</v>
      </c>
      <c r="M245" s="80">
        <f ca="1">(OFFSET(产销汇总!$C$1,MATCH(M$27,产销汇总!$C$2:$C$8,0),$C$26)*_xlfn.XLOOKUP(C245,巡逻产出!$B$311:$B$610,巡逻产出!$D$311:$D$610))*$M$24</f>
        <v>11575.2</v>
      </c>
      <c r="N245" s="80" t="e">
        <f ca="1">OFFSET(产销汇总!$C$1,MATCH(L$27,产销汇总!$C$2:$C$8,0),$C$26)*(_xlfn.XLOOKUP(MAX(1,INT(C245/10-6/10)),组队产出!$B$24:$B$39,组队产出!$S$24:$S$39))</f>
        <v>#N/A</v>
      </c>
      <c r="O245" s="172">
        <f>任务!$D$36</f>
        <v>2457.14285714286</v>
      </c>
      <c r="P245" s="98">
        <f t="shared" si="35"/>
        <v>428</v>
      </c>
      <c r="Q245" s="80">
        <f t="shared" si="41"/>
        <v>1500</v>
      </c>
      <c r="R245" s="172">
        <f t="shared" si="42"/>
        <v>2000</v>
      </c>
      <c r="S245" s="210">
        <f ca="1">IFERROR(OFFSET(金币本!$E$2,MATCH(C245,金币本!$F$3:$F$302,1),0)*IF($C$26=1,2,3),0)</f>
        <v>39750</v>
      </c>
      <c r="T245" s="172" t="e">
        <f ca="1">SUM($J$28:S245)+SUM(D245:I245)</f>
        <v>#N/A</v>
      </c>
      <c r="U245" s="172" t="e">
        <f ca="1" t="shared" si="36"/>
        <v>#N/A</v>
      </c>
      <c r="V245" s="98" t="e">
        <f ca="1" t="shared" si="37"/>
        <v>#N/A</v>
      </c>
      <c r="W245" s="98" t="e">
        <f ca="1">OFFSET(装备强化!$U$6,MATCH(图纸产出设计!V246/6*W$26,装备强化!$T$7:$T$306,1),0)*6</f>
        <v>#N/A</v>
      </c>
      <c r="X245" s="98">
        <v>985310</v>
      </c>
      <c r="Y245" s="98">
        <f t="shared" si="43"/>
        <v>6864000</v>
      </c>
      <c r="Z245" s="98">
        <f t="shared" si="45"/>
        <v>2</v>
      </c>
      <c r="AA245" s="147" t="e">
        <f ca="1" t="shared" si="38"/>
        <v>#N/A</v>
      </c>
      <c r="AB245" s="209" t="e">
        <f ca="1" t="shared" si="39"/>
        <v>#N/A</v>
      </c>
      <c r="AC245" s="209">
        <f ca="1">SUMIFS(装备强化!$Q$7:$Q$306,装备强化!$M$7:$M$306,"&lt;="&amp;MATCH(U245/6,装备强化!$U$7:$U$306,1),装备强化!$M$7:$M$306,"&gt;="&amp;MATCH(V245/6,装备强化!$U$7:$U$306,1))*6</f>
        <v>0</v>
      </c>
      <c r="AD245">
        <f ca="1" t="shared" si="44"/>
        <v>0</v>
      </c>
    </row>
    <row r="246" spans="1:30">
      <c r="A246" s="171"/>
      <c r="B246" s="80">
        <v>219</v>
      </c>
      <c r="C246" s="80">
        <f ca="1">OFFSET(产销汇总!$C$12,$B246,$C$26)</f>
        <v>232.5</v>
      </c>
      <c r="D246" s="80">
        <f t="shared" si="40"/>
        <v>14100</v>
      </c>
      <c r="E246" s="80">
        <f ca="1">(SUMIF(主线推图!$B$4:$B$303,"&lt;"&amp;C246,主线推图!$M$4:$M$303)+SUMIF(主线宝箱!$B$320:$B$620,"&lt;"&amp;C246,主线宝箱!$L$320:$L$620)+SUMIF(主线宝箱!$B$320:$B$620,"&lt;"&amp;C246,主线宝箱!$X$320:$X$620)+SUMIF(主线宝箱!$B$320:$B$620,"&lt;"&amp;C246,主线宝箱!$AL$320:$AL$620))</f>
        <v>414600</v>
      </c>
      <c r="F246" s="98">
        <f ca="1">SUMIF(组队产出!$B$24:$B$39,"&lt;="&amp;MAX(1,INT(C246/10-0.6)),组队产出!$R$24:$R$39)</f>
        <v>141000</v>
      </c>
      <c r="G246" s="80">
        <f ca="1">SUMIF(运营活动!$O$3:$O$27,"&lt;="&amp;C246,运营活动!$P$3:$P$27)</f>
        <v>30000</v>
      </c>
      <c r="H246" s="80">
        <f ca="1">OFFSET(产销汇总!$AM$12,B246,$C$26)*24</f>
        <v>1607328</v>
      </c>
      <c r="I246" s="172">
        <f ca="1">SUMIF(金币本!$F$2:$F$52,"&lt;="&amp;C246,金币本!$D$2:$D$52)</f>
        <v>1425000</v>
      </c>
      <c r="J246" s="80" t="e">
        <f ca="1">OFFSET(产销汇总!$C$1,MATCH(J$27,产销汇总!$C$2:$C$8,0),$C$26)*(_xlfn.XLOOKUP(C246,主线推图!$B$313:$B$612,主线推图!$C$313:$C$612)+_xlfn.XLOOKUP(C246,主线推图!$B$313:$B$612,主线推图!$D$313:$D$612))</f>
        <v>#N/A</v>
      </c>
      <c r="K246" s="80" t="e">
        <f ca="1">OFFSET(产销汇总!$C$1,MATCH(K$27,产销汇总!$C$2:$C$8,0),$C$26)*_xlfn.XLOOKUP(C246,巡逻产出!$B$311:$B$610,巡逻产出!$C$311:$C$610)*1.3</f>
        <v>#N/A</v>
      </c>
      <c r="L246" s="80" t="e">
        <f ca="1">OFFSET(产销汇总!$C$1,MATCH(L$27,产销汇总!$C$2:$C$8,0),$C$26)*(_xlfn.XLOOKUP(MAX(1,INT(C246/10-6/10)),组队产出!$B$24:$B$39,组队产出!$D$24:$D$39))+OFFSET(产销汇总!$C$1,MATCH(L$27,产销汇总!$C$2:$C$8,0),$C$26)*(_xlfn.XLOOKUP(MAX(1,INT(C246/10-6/10)),组队产出!$B$24:$B$39,组队产出!$C$24:$C$39))</f>
        <v>#N/A</v>
      </c>
      <c r="M246" s="80" t="e">
        <f ca="1">(OFFSET(产销汇总!$C$1,MATCH(M$27,产销汇总!$C$2:$C$8,0),$C$26)*_xlfn.XLOOKUP(C246,巡逻产出!$B$311:$B$610,巡逻产出!$D$311:$D$610))*$M$24</f>
        <v>#N/A</v>
      </c>
      <c r="N246" s="80" t="e">
        <f ca="1">OFFSET(产销汇总!$C$1,MATCH(L$27,产销汇总!$C$2:$C$8,0),$C$26)*(_xlfn.XLOOKUP(MAX(1,INT(C246/10-6/10)),组队产出!$B$24:$B$39,组队产出!$S$24:$S$39))</f>
        <v>#N/A</v>
      </c>
      <c r="O246" s="172">
        <f>任务!$D$36</f>
        <v>2457.14285714286</v>
      </c>
      <c r="P246" s="98">
        <f t="shared" si="35"/>
        <v>428</v>
      </c>
      <c r="Q246" s="80">
        <f t="shared" si="41"/>
        <v>1000</v>
      </c>
      <c r="R246" s="172">
        <f t="shared" si="42"/>
        <v>2000</v>
      </c>
      <c r="S246" s="210">
        <f ca="1">IFERROR(OFFSET(金币本!$E$2,MATCH(C246,金币本!$F$3:$F$302,1),0)*IF($C$26=1,2,3),0)</f>
        <v>39750</v>
      </c>
      <c r="T246" s="172" t="e">
        <f ca="1">SUM($J$28:S246)+SUM(D246:I246)</f>
        <v>#N/A</v>
      </c>
      <c r="U246" s="172" t="e">
        <f ca="1" t="shared" si="36"/>
        <v>#N/A</v>
      </c>
      <c r="V246" s="98" t="e">
        <f ca="1" t="shared" si="37"/>
        <v>#N/A</v>
      </c>
      <c r="W246" s="98" t="e">
        <f ca="1">OFFSET(装备强化!$U$6,MATCH(图纸产出设计!V247/6*W$26,装备强化!$T$7:$T$306,1),0)*6</f>
        <v>#N/A</v>
      </c>
      <c r="X246" s="98">
        <v>997090</v>
      </c>
      <c r="Y246" s="98">
        <f t="shared" si="43"/>
        <v>6896000</v>
      </c>
      <c r="Z246" s="98">
        <f t="shared" si="45"/>
        <v>2</v>
      </c>
      <c r="AA246" s="147" t="e">
        <f ca="1" t="shared" si="38"/>
        <v>#N/A</v>
      </c>
      <c r="AB246" s="209" t="e">
        <f ca="1" t="shared" si="39"/>
        <v>#N/A</v>
      </c>
      <c r="AC246" s="209">
        <f ca="1">SUMIFS(装备强化!$Q$7:$Q$306,装备强化!$M$7:$M$306,"&lt;="&amp;MATCH(U246/6,装备强化!$U$7:$U$306,1),装备强化!$M$7:$M$306,"&gt;="&amp;MATCH(V246/6,装备强化!$U$7:$U$306,1))*6</f>
        <v>0</v>
      </c>
      <c r="AD246">
        <f ca="1" t="shared" si="44"/>
        <v>0</v>
      </c>
    </row>
    <row r="247" spans="1:30">
      <c r="A247" s="171"/>
      <c r="B247" s="80">
        <v>220</v>
      </c>
      <c r="C247" s="80">
        <f ca="1">OFFSET(产销汇总!$C$12,$B247,$C$26)</f>
        <v>233</v>
      </c>
      <c r="D247" s="80">
        <f t="shared" si="40"/>
        <v>14100</v>
      </c>
      <c r="E247" s="80">
        <f ca="1">(SUMIF(主线推图!$B$4:$B$303,"&lt;"&amp;C247,主线推图!$M$4:$M$303)+SUMIF(主线宝箱!$B$320:$B$620,"&lt;"&amp;C247,主线宝箱!$L$320:$L$620)+SUMIF(主线宝箱!$B$320:$B$620,"&lt;"&amp;C247,主线宝箱!$X$320:$X$620)+SUMIF(主线宝箱!$B$320:$B$620,"&lt;"&amp;C247,主线宝箱!$AL$320:$AL$620))</f>
        <v>414600</v>
      </c>
      <c r="F247" s="98">
        <f ca="1">SUMIF(组队产出!$B$24:$B$39,"&lt;="&amp;MAX(1,INT(C247/10-0.6)),组队产出!$R$24:$R$39)</f>
        <v>141000</v>
      </c>
      <c r="G247" s="80">
        <f ca="1">SUMIF(运营活动!$O$3:$O$27,"&lt;="&amp;C247,运营活动!$P$3:$P$27)</f>
        <v>30000</v>
      </c>
      <c r="H247" s="80">
        <f ca="1">OFFSET(产销汇总!$AM$12,B247,$C$26)*24</f>
        <v>1614576</v>
      </c>
      <c r="I247" s="172">
        <f ca="1">SUMIF(金币本!$F$2:$F$52,"&lt;="&amp;C247,金币本!$D$2:$D$52)</f>
        <v>1425000</v>
      </c>
      <c r="J247" s="80">
        <f ca="1">OFFSET(产销汇总!$C$1,MATCH(J$27,产销汇总!$C$2:$C$8,0),$C$26)*(_xlfn.XLOOKUP(C247,主线推图!$B$313:$B$612,主线推图!$C$313:$C$612)+_xlfn.XLOOKUP(C247,主线推图!$B$313:$B$612,主线推图!$D$313:$D$612))</f>
        <v>16368</v>
      </c>
      <c r="K247" s="80">
        <f ca="1">OFFSET(产销汇总!$C$1,MATCH(K$27,产销汇总!$C$2:$C$8,0),$C$26)*_xlfn.XLOOKUP(C247,巡逻产出!$B$311:$B$610,巡逻产出!$C$311:$C$610)*1.3</f>
        <v>0</v>
      </c>
      <c r="L247" s="80" t="e">
        <f ca="1">OFFSET(产销汇总!$C$1,MATCH(L$27,产销汇总!$C$2:$C$8,0),$C$26)*(_xlfn.XLOOKUP(MAX(1,INT(C247/10-6/10)),组队产出!$B$24:$B$39,组队产出!$D$24:$D$39))+OFFSET(产销汇总!$C$1,MATCH(L$27,产销汇总!$C$2:$C$8,0),$C$26)*(_xlfn.XLOOKUP(MAX(1,INT(C247/10-6/10)),组队产出!$B$24:$B$39,组队产出!$C$24:$C$39))</f>
        <v>#N/A</v>
      </c>
      <c r="M247" s="80">
        <f ca="1">(OFFSET(产销汇总!$C$1,MATCH(M$27,产销汇总!$C$2:$C$8,0),$C$26)*_xlfn.XLOOKUP(C247,巡逻产出!$B$311:$B$610,巡逻产出!$D$311:$D$610))*$M$24</f>
        <v>11606.4</v>
      </c>
      <c r="N247" s="80" t="e">
        <f ca="1">OFFSET(产销汇总!$C$1,MATCH(L$27,产销汇总!$C$2:$C$8,0),$C$26)*(_xlfn.XLOOKUP(MAX(1,INT(C247/10-6/10)),组队产出!$B$24:$B$39,组队产出!$S$24:$S$39))</f>
        <v>#N/A</v>
      </c>
      <c r="O247" s="172">
        <f>任务!$D$36</f>
        <v>2457.14285714286</v>
      </c>
      <c r="P247" s="98">
        <f t="shared" si="35"/>
        <v>428</v>
      </c>
      <c r="Q247" s="80">
        <f t="shared" si="41"/>
        <v>1000</v>
      </c>
      <c r="R247" s="172">
        <f t="shared" si="42"/>
        <v>2000</v>
      </c>
      <c r="S247" s="210">
        <f ca="1">IFERROR(OFFSET(金币本!$E$2,MATCH(C247,金币本!$F$3:$F$302,1),0)*IF($C$26=1,2,3),0)</f>
        <v>39750</v>
      </c>
      <c r="T247" s="172" t="e">
        <f ca="1">SUM($J$28:S247)+SUM(D247:I247)</f>
        <v>#N/A</v>
      </c>
      <c r="U247" s="172" t="e">
        <f ca="1" t="shared" si="36"/>
        <v>#N/A</v>
      </c>
      <c r="V247" s="98" t="e">
        <f ca="1" t="shared" si="37"/>
        <v>#N/A</v>
      </c>
      <c r="W247" s="98" t="e">
        <f ca="1">OFFSET(装备强化!$U$6,MATCH(图纸产出设计!V248/6*W$26,装备强化!$T$7:$T$306,1),0)*6</f>
        <v>#N/A</v>
      </c>
      <c r="X247" s="98">
        <v>997090</v>
      </c>
      <c r="Y247" s="98">
        <f t="shared" si="43"/>
        <v>6928000</v>
      </c>
      <c r="Z247" s="98">
        <f t="shared" si="45"/>
        <v>2</v>
      </c>
      <c r="AA247" s="147" t="e">
        <f ca="1" t="shared" si="38"/>
        <v>#N/A</v>
      </c>
      <c r="AB247" s="209" t="e">
        <f ca="1" t="shared" si="39"/>
        <v>#N/A</v>
      </c>
      <c r="AC247" s="209">
        <f ca="1">SUMIFS(装备强化!$Q$7:$Q$306,装备强化!$M$7:$M$306,"&lt;="&amp;MATCH(U247/6,装备强化!$U$7:$U$306,1),装备强化!$M$7:$M$306,"&gt;="&amp;MATCH(V247/6,装备强化!$U$7:$U$306,1))*6</f>
        <v>0</v>
      </c>
      <c r="AD247">
        <f ca="1" t="shared" si="44"/>
        <v>0</v>
      </c>
    </row>
    <row r="248" spans="1:30">
      <c r="A248" s="171"/>
      <c r="B248" s="80">
        <v>221</v>
      </c>
      <c r="C248" s="80">
        <f ca="1">OFFSET(产销汇总!$C$12,$B248,$C$26)</f>
        <v>233.5</v>
      </c>
      <c r="D248" s="80">
        <f t="shared" si="40"/>
        <v>14100</v>
      </c>
      <c r="E248" s="80">
        <f ca="1">(SUMIF(主线推图!$B$4:$B$303,"&lt;"&amp;C248,主线推图!$M$4:$M$303)+SUMIF(主线宝箱!$B$320:$B$620,"&lt;"&amp;C248,主线宝箱!$L$320:$L$620)+SUMIF(主线宝箱!$B$320:$B$620,"&lt;"&amp;C248,主线宝箱!$X$320:$X$620)+SUMIF(主线宝箱!$B$320:$B$620,"&lt;"&amp;C248,主线宝箱!$AL$320:$AL$620))</f>
        <v>416400</v>
      </c>
      <c r="F248" s="98">
        <f ca="1">SUMIF(组队产出!$B$24:$B$39,"&lt;="&amp;MAX(1,INT(C248/10-0.6)),组队产出!$R$24:$R$39)</f>
        <v>141000</v>
      </c>
      <c r="G248" s="80">
        <f ca="1">SUMIF(运营活动!$O$3:$O$27,"&lt;="&amp;C248,运营活动!$P$3:$P$27)</f>
        <v>30000</v>
      </c>
      <c r="H248" s="80">
        <f ca="1">OFFSET(产销汇总!$AM$12,B248,$C$26)*24</f>
        <v>1621824</v>
      </c>
      <c r="I248" s="172">
        <f ca="1">SUMIF(金币本!$F$2:$F$52,"&lt;="&amp;C248,金币本!$D$2:$D$52)</f>
        <v>1425000</v>
      </c>
      <c r="J248" s="80" t="e">
        <f ca="1">OFFSET(产销汇总!$C$1,MATCH(J$27,产销汇总!$C$2:$C$8,0),$C$26)*(_xlfn.XLOOKUP(C248,主线推图!$B$313:$B$612,主线推图!$C$313:$C$612)+_xlfn.XLOOKUP(C248,主线推图!$B$313:$B$612,主线推图!$D$313:$D$612))</f>
        <v>#N/A</v>
      </c>
      <c r="K248" s="80" t="e">
        <f ca="1">OFFSET(产销汇总!$C$1,MATCH(K$27,产销汇总!$C$2:$C$8,0),$C$26)*_xlfn.XLOOKUP(C248,巡逻产出!$B$311:$B$610,巡逻产出!$C$311:$C$610)*1.3</f>
        <v>#N/A</v>
      </c>
      <c r="L248" s="80" t="e">
        <f ca="1">OFFSET(产销汇总!$C$1,MATCH(L$27,产销汇总!$C$2:$C$8,0),$C$26)*(_xlfn.XLOOKUP(MAX(1,INT(C248/10-6/10)),组队产出!$B$24:$B$39,组队产出!$D$24:$D$39))+OFFSET(产销汇总!$C$1,MATCH(L$27,产销汇总!$C$2:$C$8,0),$C$26)*(_xlfn.XLOOKUP(MAX(1,INT(C248/10-6/10)),组队产出!$B$24:$B$39,组队产出!$C$24:$C$39))</f>
        <v>#N/A</v>
      </c>
      <c r="M248" s="80" t="e">
        <f ca="1">(OFFSET(产销汇总!$C$1,MATCH(M$27,产销汇总!$C$2:$C$8,0),$C$26)*_xlfn.XLOOKUP(C248,巡逻产出!$B$311:$B$610,巡逻产出!$D$311:$D$610))*$M$24</f>
        <v>#N/A</v>
      </c>
      <c r="N248" s="80" t="e">
        <f ca="1">OFFSET(产销汇总!$C$1,MATCH(L$27,产销汇总!$C$2:$C$8,0),$C$26)*(_xlfn.XLOOKUP(MAX(1,INT(C248/10-6/10)),组队产出!$B$24:$B$39,组队产出!$S$24:$S$39))</f>
        <v>#N/A</v>
      </c>
      <c r="O248" s="172">
        <f>任务!$D$36</f>
        <v>2457.14285714286</v>
      </c>
      <c r="P248" s="98">
        <f t="shared" si="35"/>
        <v>428</v>
      </c>
      <c r="Q248" s="80">
        <f t="shared" si="41"/>
        <v>1000</v>
      </c>
      <c r="R248" s="172">
        <f t="shared" si="42"/>
        <v>2000</v>
      </c>
      <c r="S248" s="210">
        <f ca="1">IFERROR(OFFSET(金币本!$E$2,MATCH(C248,金币本!$F$3:$F$302,1),0)*IF($C$26=1,2,3),0)</f>
        <v>39750</v>
      </c>
      <c r="T248" s="172" t="e">
        <f ca="1">SUM($J$28:S248)+SUM(D248:I248)</f>
        <v>#N/A</v>
      </c>
      <c r="U248" s="172" t="e">
        <f ca="1" t="shared" si="36"/>
        <v>#N/A</v>
      </c>
      <c r="V248" s="98" t="e">
        <f ca="1" t="shared" si="37"/>
        <v>#N/A</v>
      </c>
      <c r="W248" s="98" t="e">
        <f ca="1">OFFSET(装备强化!$U$6,MATCH(图纸产出设计!V249/6*W$26,装备强化!$T$7:$T$306,1),0)*6</f>
        <v>#N/A</v>
      </c>
      <c r="X248" s="98">
        <v>997090</v>
      </c>
      <c r="Y248" s="98">
        <f t="shared" si="43"/>
        <v>6960000</v>
      </c>
      <c r="Z248" s="98">
        <f t="shared" si="45"/>
        <v>2</v>
      </c>
      <c r="AA248" s="147" t="e">
        <f ca="1" t="shared" si="38"/>
        <v>#N/A</v>
      </c>
      <c r="AB248" s="209" t="e">
        <f ca="1" t="shared" si="39"/>
        <v>#N/A</v>
      </c>
      <c r="AC248" s="209">
        <f ca="1">SUMIFS(装备强化!$Q$7:$Q$306,装备强化!$M$7:$M$306,"&lt;="&amp;MATCH(U248/6,装备强化!$U$7:$U$306,1),装备强化!$M$7:$M$306,"&gt;="&amp;MATCH(V248/6,装备强化!$U$7:$U$306,1))*6</f>
        <v>0</v>
      </c>
      <c r="AD248">
        <f ca="1" t="shared" si="44"/>
        <v>0</v>
      </c>
    </row>
    <row r="249" spans="1:30">
      <c r="A249" s="171"/>
      <c r="B249" s="80">
        <v>222</v>
      </c>
      <c r="C249" s="80">
        <f ca="1">OFFSET(产销汇总!$C$12,$B249,$C$26)</f>
        <v>234</v>
      </c>
      <c r="D249" s="80">
        <f t="shared" si="40"/>
        <v>14100</v>
      </c>
      <c r="E249" s="80">
        <f ca="1">(SUMIF(主线推图!$B$4:$B$303,"&lt;"&amp;C249,主线推图!$M$4:$M$303)+SUMIF(主线宝箱!$B$320:$B$620,"&lt;"&amp;C249,主线宝箱!$L$320:$L$620)+SUMIF(主线宝箱!$B$320:$B$620,"&lt;"&amp;C249,主线宝箱!$X$320:$X$620)+SUMIF(主线宝箱!$B$320:$B$620,"&lt;"&amp;C249,主线宝箱!$AL$320:$AL$620))</f>
        <v>416400</v>
      </c>
      <c r="F249" s="98">
        <f ca="1">SUMIF(组队产出!$B$24:$B$39,"&lt;="&amp;MAX(1,INT(C249/10-0.6)),组队产出!$R$24:$R$39)</f>
        <v>141000</v>
      </c>
      <c r="G249" s="80">
        <f ca="1">SUMIF(运营活动!$O$3:$O$27,"&lt;="&amp;C249,运营活动!$P$3:$P$27)</f>
        <v>30000</v>
      </c>
      <c r="H249" s="80">
        <f ca="1">OFFSET(产销汇总!$AM$12,B249,$C$26)*24</f>
        <v>1629072</v>
      </c>
      <c r="I249" s="172">
        <f ca="1">SUMIF(金币本!$F$2:$F$52,"&lt;="&amp;C249,金币本!$D$2:$D$52)</f>
        <v>1425000</v>
      </c>
      <c r="J249" s="80">
        <f ca="1">OFFSET(产销汇总!$C$1,MATCH(J$27,产销汇总!$C$2:$C$8,0),$C$26)*(_xlfn.XLOOKUP(C249,主线推图!$B$313:$B$612,主线推图!$C$313:$C$612)+_xlfn.XLOOKUP(C249,主线推图!$B$313:$B$612,主线推图!$D$313:$D$612))</f>
        <v>16412</v>
      </c>
      <c r="K249" s="80">
        <f ca="1">OFFSET(产销汇总!$C$1,MATCH(K$27,产销汇总!$C$2:$C$8,0),$C$26)*_xlfn.XLOOKUP(C249,巡逻产出!$B$311:$B$610,巡逻产出!$C$311:$C$610)*1.3</f>
        <v>0</v>
      </c>
      <c r="L249" s="80" t="e">
        <f ca="1">OFFSET(产销汇总!$C$1,MATCH(L$27,产销汇总!$C$2:$C$8,0),$C$26)*(_xlfn.XLOOKUP(MAX(1,INT(C249/10-6/10)),组队产出!$B$24:$B$39,组队产出!$D$24:$D$39))+OFFSET(产销汇总!$C$1,MATCH(L$27,产销汇总!$C$2:$C$8,0),$C$26)*(_xlfn.XLOOKUP(MAX(1,INT(C249/10-6/10)),组队产出!$B$24:$B$39,组队产出!$C$24:$C$39))</f>
        <v>#N/A</v>
      </c>
      <c r="M249" s="80">
        <f ca="1">(OFFSET(产销汇总!$C$1,MATCH(M$27,产销汇总!$C$2:$C$8,0),$C$26)*_xlfn.XLOOKUP(C249,巡逻产出!$B$311:$B$610,巡逻产出!$D$311:$D$610))*$M$24</f>
        <v>11637.6</v>
      </c>
      <c r="N249" s="80" t="e">
        <f ca="1">OFFSET(产销汇总!$C$1,MATCH(L$27,产销汇总!$C$2:$C$8,0),$C$26)*(_xlfn.XLOOKUP(MAX(1,INT(C249/10-6/10)),组队产出!$B$24:$B$39,组队产出!$S$24:$S$39))</f>
        <v>#N/A</v>
      </c>
      <c r="O249" s="172">
        <f>任务!$D$36</f>
        <v>2457.14285714286</v>
      </c>
      <c r="P249" s="98">
        <f t="shared" si="35"/>
        <v>428</v>
      </c>
      <c r="Q249" s="80">
        <f t="shared" si="41"/>
        <v>1000</v>
      </c>
      <c r="R249" s="172">
        <f t="shared" si="42"/>
        <v>2000</v>
      </c>
      <c r="S249" s="210">
        <f ca="1">IFERROR(OFFSET(金币本!$E$2,MATCH(C249,金币本!$F$3:$F$302,1),0)*IF($C$26=1,2,3),0)</f>
        <v>39750</v>
      </c>
      <c r="T249" s="172" t="e">
        <f ca="1">SUM($J$28:S249)+SUM(D249:I249)</f>
        <v>#N/A</v>
      </c>
      <c r="U249" s="172" t="e">
        <f ca="1" t="shared" si="36"/>
        <v>#N/A</v>
      </c>
      <c r="V249" s="98" t="e">
        <f ca="1" t="shared" si="37"/>
        <v>#N/A</v>
      </c>
      <c r="W249" s="98" t="e">
        <f ca="1">OFFSET(装备强化!$U$6,MATCH(图纸产出设计!V250/6*W$26,装备强化!$T$7:$T$306,1),0)*6</f>
        <v>#N/A</v>
      </c>
      <c r="X249" s="98">
        <v>1008940</v>
      </c>
      <c r="Y249" s="98">
        <f t="shared" si="43"/>
        <v>6992000</v>
      </c>
      <c r="Z249" s="98">
        <f t="shared" si="45"/>
        <v>2</v>
      </c>
      <c r="AA249" s="147" t="e">
        <f ca="1" t="shared" si="38"/>
        <v>#N/A</v>
      </c>
      <c r="AB249" s="209" t="e">
        <f ca="1" t="shared" si="39"/>
        <v>#N/A</v>
      </c>
      <c r="AC249" s="209">
        <f ca="1">SUMIFS(装备强化!$Q$7:$Q$306,装备强化!$M$7:$M$306,"&lt;="&amp;MATCH(U249/6,装备强化!$U$7:$U$306,1),装备强化!$M$7:$M$306,"&gt;="&amp;MATCH(V249/6,装备强化!$U$7:$U$306,1))*6</f>
        <v>0</v>
      </c>
      <c r="AD249">
        <f ca="1" t="shared" si="44"/>
        <v>0</v>
      </c>
    </row>
    <row r="250" spans="1:30">
      <c r="A250" s="171"/>
      <c r="B250" s="80">
        <v>223</v>
      </c>
      <c r="C250" s="80">
        <f ca="1">OFFSET(产销汇总!$C$12,$B250,$C$26)</f>
        <v>234.5</v>
      </c>
      <c r="D250" s="80">
        <f t="shared" si="40"/>
        <v>14100</v>
      </c>
      <c r="E250" s="80">
        <f ca="1">(SUMIF(主线推图!$B$4:$B$303,"&lt;"&amp;C250,主线推图!$M$4:$M$303)+SUMIF(主线宝箱!$B$320:$B$620,"&lt;"&amp;C250,主线宝箱!$L$320:$L$620)+SUMIF(主线宝箱!$B$320:$B$620,"&lt;"&amp;C250,主线宝箱!$X$320:$X$620)+SUMIF(主线宝箱!$B$320:$B$620,"&lt;"&amp;C250,主线宝箱!$AL$320:$AL$620))</f>
        <v>418200</v>
      </c>
      <c r="F250" s="98">
        <f ca="1">SUMIF(组队产出!$B$24:$B$39,"&lt;="&amp;MAX(1,INT(C250/10-0.6)),组队产出!$R$24:$R$39)</f>
        <v>141000</v>
      </c>
      <c r="G250" s="80">
        <f ca="1">SUMIF(运营活动!$O$3:$O$27,"&lt;="&amp;C250,运营活动!$P$3:$P$27)</f>
        <v>30000</v>
      </c>
      <c r="H250" s="80">
        <f ca="1">OFFSET(产销汇总!$AM$12,B250,$C$26)*24</f>
        <v>1636320</v>
      </c>
      <c r="I250" s="172">
        <f ca="1">SUMIF(金币本!$F$2:$F$52,"&lt;="&amp;C250,金币本!$D$2:$D$52)</f>
        <v>1425000</v>
      </c>
      <c r="J250" s="80" t="e">
        <f ca="1">OFFSET(产销汇总!$C$1,MATCH(J$27,产销汇总!$C$2:$C$8,0),$C$26)*(_xlfn.XLOOKUP(C250,主线推图!$B$313:$B$612,主线推图!$C$313:$C$612)+_xlfn.XLOOKUP(C250,主线推图!$B$313:$B$612,主线推图!$D$313:$D$612))</f>
        <v>#N/A</v>
      </c>
      <c r="K250" s="80" t="e">
        <f ca="1">OFFSET(产销汇总!$C$1,MATCH(K$27,产销汇总!$C$2:$C$8,0),$C$26)*_xlfn.XLOOKUP(C250,巡逻产出!$B$311:$B$610,巡逻产出!$C$311:$C$610)*1.3</f>
        <v>#N/A</v>
      </c>
      <c r="L250" s="80" t="e">
        <f ca="1">OFFSET(产销汇总!$C$1,MATCH(L$27,产销汇总!$C$2:$C$8,0),$C$26)*(_xlfn.XLOOKUP(MAX(1,INT(C250/10-6/10)),组队产出!$B$24:$B$39,组队产出!$D$24:$D$39))+OFFSET(产销汇总!$C$1,MATCH(L$27,产销汇总!$C$2:$C$8,0),$C$26)*(_xlfn.XLOOKUP(MAX(1,INT(C250/10-6/10)),组队产出!$B$24:$B$39,组队产出!$C$24:$C$39))</f>
        <v>#N/A</v>
      </c>
      <c r="M250" s="80" t="e">
        <f ca="1">(OFFSET(产销汇总!$C$1,MATCH(M$27,产销汇总!$C$2:$C$8,0),$C$26)*_xlfn.XLOOKUP(C250,巡逻产出!$B$311:$B$610,巡逻产出!$D$311:$D$610))*$M$24</f>
        <v>#N/A</v>
      </c>
      <c r="N250" s="80" t="e">
        <f ca="1">OFFSET(产销汇总!$C$1,MATCH(L$27,产销汇总!$C$2:$C$8,0),$C$26)*(_xlfn.XLOOKUP(MAX(1,INT(C250/10-6/10)),组队产出!$B$24:$B$39,组队产出!$S$24:$S$39))</f>
        <v>#N/A</v>
      </c>
      <c r="O250" s="172">
        <f>任务!$D$36</f>
        <v>2457.14285714286</v>
      </c>
      <c r="P250" s="98">
        <f t="shared" si="35"/>
        <v>428</v>
      </c>
      <c r="Q250" s="80">
        <f t="shared" si="41"/>
        <v>1000</v>
      </c>
      <c r="R250" s="172">
        <f t="shared" si="42"/>
        <v>2000</v>
      </c>
      <c r="S250" s="210">
        <f ca="1">IFERROR(OFFSET(金币本!$E$2,MATCH(C250,金币本!$F$3:$F$302,1),0)*IF($C$26=1,2,3),0)</f>
        <v>39750</v>
      </c>
      <c r="T250" s="172" t="e">
        <f ca="1">SUM($J$28:S250)+SUM(D250:I250)</f>
        <v>#N/A</v>
      </c>
      <c r="U250" s="172" t="e">
        <f ca="1" t="shared" si="36"/>
        <v>#N/A</v>
      </c>
      <c r="V250" s="98" t="e">
        <f ca="1" t="shared" si="37"/>
        <v>#N/A</v>
      </c>
      <c r="W250" s="98" t="e">
        <f ca="1">OFFSET(装备强化!$U$6,MATCH(图纸产出设计!V251/6*W$26,装备强化!$T$7:$T$306,1),0)*6</f>
        <v>#N/A</v>
      </c>
      <c r="X250" s="98">
        <v>1008940</v>
      </c>
      <c r="Y250" s="98">
        <f t="shared" si="43"/>
        <v>7024000</v>
      </c>
      <c r="Z250" s="98">
        <f t="shared" si="45"/>
        <v>2</v>
      </c>
      <c r="AA250" s="147" t="e">
        <f ca="1" t="shared" si="38"/>
        <v>#N/A</v>
      </c>
      <c r="AB250" s="209" t="e">
        <f ca="1" t="shared" si="39"/>
        <v>#N/A</v>
      </c>
      <c r="AC250" s="209">
        <f ca="1">SUMIFS(装备强化!$Q$7:$Q$306,装备强化!$M$7:$M$306,"&lt;="&amp;MATCH(U250/6,装备强化!$U$7:$U$306,1),装备强化!$M$7:$M$306,"&gt;="&amp;MATCH(V250/6,装备强化!$U$7:$U$306,1))*6</f>
        <v>0</v>
      </c>
      <c r="AD250">
        <f ca="1" t="shared" si="44"/>
        <v>0</v>
      </c>
    </row>
    <row r="251" spans="1:30">
      <c r="A251" s="171"/>
      <c r="B251" s="80">
        <v>224</v>
      </c>
      <c r="C251" s="80">
        <f ca="1">OFFSET(产销汇总!$C$12,$B251,$C$26)</f>
        <v>235</v>
      </c>
      <c r="D251" s="80">
        <f t="shared" si="40"/>
        <v>14100</v>
      </c>
      <c r="E251" s="80">
        <f ca="1">(SUMIF(主线推图!$B$4:$B$303,"&lt;"&amp;C251,主线推图!$M$4:$M$303)+SUMIF(主线宝箱!$B$320:$B$620,"&lt;"&amp;C251,主线宝箱!$L$320:$L$620)+SUMIF(主线宝箱!$B$320:$B$620,"&lt;"&amp;C251,主线宝箱!$X$320:$X$620)+SUMIF(主线宝箱!$B$320:$B$620,"&lt;"&amp;C251,主线宝箱!$AL$320:$AL$620))</f>
        <v>418200</v>
      </c>
      <c r="F251" s="98">
        <f ca="1">SUMIF(组队产出!$B$24:$B$39,"&lt;="&amp;MAX(1,INT(C251/10-0.6)),组队产出!$R$24:$R$39)</f>
        <v>141000</v>
      </c>
      <c r="G251" s="80">
        <f ca="1">SUMIF(运营活动!$O$3:$O$27,"&lt;="&amp;C251,运营活动!$P$3:$P$27)</f>
        <v>30000</v>
      </c>
      <c r="H251" s="80">
        <f ca="1">OFFSET(产销汇总!$AM$12,B251,$C$26)*24</f>
        <v>1643568</v>
      </c>
      <c r="I251" s="172">
        <f ca="1">SUMIF(金币本!$F$2:$F$52,"&lt;="&amp;C251,金币本!$D$2:$D$52)</f>
        <v>1425000</v>
      </c>
      <c r="J251" s="80">
        <f ca="1">OFFSET(产销汇总!$C$1,MATCH(J$27,产销汇总!$C$2:$C$8,0),$C$26)*(_xlfn.XLOOKUP(C251,主线推图!$B$313:$B$612,主线推图!$C$313:$C$612)+_xlfn.XLOOKUP(C251,主线推图!$B$313:$B$612,主线推图!$D$313:$D$612))</f>
        <v>16456</v>
      </c>
      <c r="K251" s="80">
        <f ca="1">OFFSET(产销汇总!$C$1,MATCH(K$27,产销汇总!$C$2:$C$8,0),$C$26)*_xlfn.XLOOKUP(C251,巡逻产出!$B$311:$B$610,巡逻产出!$C$311:$C$610)*1.3</f>
        <v>0</v>
      </c>
      <c r="L251" s="80" t="e">
        <f ca="1">OFFSET(产销汇总!$C$1,MATCH(L$27,产销汇总!$C$2:$C$8,0),$C$26)*(_xlfn.XLOOKUP(MAX(1,INT(C251/10-6/10)),组队产出!$B$24:$B$39,组队产出!$D$24:$D$39))+OFFSET(产销汇总!$C$1,MATCH(L$27,产销汇总!$C$2:$C$8,0),$C$26)*(_xlfn.XLOOKUP(MAX(1,INT(C251/10-6/10)),组队产出!$B$24:$B$39,组队产出!$C$24:$C$39))</f>
        <v>#N/A</v>
      </c>
      <c r="M251" s="80">
        <f ca="1">(OFFSET(产销汇总!$C$1,MATCH(M$27,产销汇总!$C$2:$C$8,0),$C$26)*_xlfn.XLOOKUP(C251,巡逻产出!$B$311:$B$610,巡逻产出!$D$311:$D$610))*$M$24</f>
        <v>11668.8</v>
      </c>
      <c r="N251" s="80" t="e">
        <f ca="1">OFFSET(产销汇总!$C$1,MATCH(L$27,产销汇总!$C$2:$C$8,0),$C$26)*(_xlfn.XLOOKUP(MAX(1,INT(C251/10-6/10)),组队产出!$B$24:$B$39,组队产出!$S$24:$S$39))</f>
        <v>#N/A</v>
      </c>
      <c r="O251" s="172">
        <f>任务!$D$36</f>
        <v>2457.14285714286</v>
      </c>
      <c r="P251" s="98">
        <f t="shared" si="35"/>
        <v>428</v>
      </c>
      <c r="Q251" s="80">
        <f t="shared" si="41"/>
        <v>1000</v>
      </c>
      <c r="R251" s="172">
        <f t="shared" si="42"/>
        <v>2000</v>
      </c>
      <c r="S251" s="210">
        <f ca="1">IFERROR(OFFSET(金币本!$E$2,MATCH(C251,金币本!$F$3:$F$302,1),0)*IF($C$26=1,2,3),0)</f>
        <v>39750</v>
      </c>
      <c r="T251" s="172" t="e">
        <f ca="1">SUM($J$28:S251)+SUM(D251:I251)</f>
        <v>#N/A</v>
      </c>
      <c r="U251" s="172" t="e">
        <f ca="1" t="shared" si="36"/>
        <v>#N/A</v>
      </c>
      <c r="V251" s="98" t="e">
        <f ca="1" t="shared" si="37"/>
        <v>#N/A</v>
      </c>
      <c r="W251" s="98" t="e">
        <f ca="1">OFFSET(装备强化!$U$6,MATCH(图纸产出设计!V252/6*W$26,装备强化!$T$7:$T$306,1),0)*6</f>
        <v>#N/A</v>
      </c>
      <c r="X251" s="98">
        <v>1008940</v>
      </c>
      <c r="Y251" s="98">
        <f t="shared" si="43"/>
        <v>7056000</v>
      </c>
      <c r="Z251" s="98">
        <f t="shared" si="45"/>
        <v>2</v>
      </c>
      <c r="AA251" s="147" t="e">
        <f ca="1" t="shared" si="38"/>
        <v>#N/A</v>
      </c>
      <c r="AB251" s="209" t="e">
        <f ca="1" t="shared" si="39"/>
        <v>#N/A</v>
      </c>
      <c r="AC251" s="209">
        <f ca="1">SUMIFS(装备强化!$Q$7:$Q$306,装备强化!$M$7:$M$306,"&lt;="&amp;MATCH(U251/6,装备强化!$U$7:$U$306,1),装备强化!$M$7:$M$306,"&gt;="&amp;MATCH(V251/6,装备强化!$U$7:$U$306,1))*6</f>
        <v>0</v>
      </c>
      <c r="AD251">
        <f ca="1" t="shared" si="44"/>
        <v>0</v>
      </c>
    </row>
    <row r="252" spans="1:30">
      <c r="A252" s="171"/>
      <c r="B252" s="80">
        <v>225</v>
      </c>
      <c r="C252" s="80">
        <f ca="1">OFFSET(产销汇总!$C$12,$B252,$C$26)</f>
        <v>235.5</v>
      </c>
      <c r="D252" s="80">
        <f t="shared" si="40"/>
        <v>14100</v>
      </c>
      <c r="E252" s="80">
        <f ca="1">(SUMIF(主线推图!$B$4:$B$303,"&lt;"&amp;C252,主线推图!$M$4:$M$303)+SUMIF(主线宝箱!$B$320:$B$620,"&lt;"&amp;C252,主线宝箱!$L$320:$L$620)+SUMIF(主线宝箱!$B$320:$B$620,"&lt;"&amp;C252,主线宝箱!$X$320:$X$620)+SUMIF(主线宝箱!$B$320:$B$620,"&lt;"&amp;C252,主线宝箱!$AL$320:$AL$620))</f>
        <v>420000</v>
      </c>
      <c r="F252" s="98">
        <f ca="1">SUMIF(组队产出!$B$24:$B$39,"&lt;="&amp;MAX(1,INT(C252/10-0.6)),组队产出!$R$24:$R$39)</f>
        <v>141000</v>
      </c>
      <c r="G252" s="80">
        <f ca="1">SUMIF(运营活动!$O$3:$O$27,"&lt;="&amp;C252,运营活动!$P$3:$P$27)</f>
        <v>30000</v>
      </c>
      <c r="H252" s="80">
        <f ca="1">OFFSET(产销汇总!$AM$12,B252,$C$26)*24</f>
        <v>1650816</v>
      </c>
      <c r="I252" s="172">
        <f ca="1">SUMIF(金币本!$F$2:$F$52,"&lt;="&amp;C252,金币本!$D$2:$D$52)</f>
        <v>1425000</v>
      </c>
      <c r="J252" s="80" t="e">
        <f ca="1">OFFSET(产销汇总!$C$1,MATCH(J$27,产销汇总!$C$2:$C$8,0),$C$26)*(_xlfn.XLOOKUP(C252,主线推图!$B$313:$B$612,主线推图!$C$313:$C$612)+_xlfn.XLOOKUP(C252,主线推图!$B$313:$B$612,主线推图!$D$313:$D$612))</f>
        <v>#N/A</v>
      </c>
      <c r="K252" s="80" t="e">
        <f ca="1">OFFSET(产销汇总!$C$1,MATCH(K$27,产销汇总!$C$2:$C$8,0),$C$26)*_xlfn.XLOOKUP(C252,巡逻产出!$B$311:$B$610,巡逻产出!$C$311:$C$610)*1.3</f>
        <v>#N/A</v>
      </c>
      <c r="L252" s="80" t="e">
        <f ca="1">OFFSET(产销汇总!$C$1,MATCH(L$27,产销汇总!$C$2:$C$8,0),$C$26)*(_xlfn.XLOOKUP(MAX(1,INT(C252/10-6/10)),组队产出!$B$24:$B$39,组队产出!$D$24:$D$39))+OFFSET(产销汇总!$C$1,MATCH(L$27,产销汇总!$C$2:$C$8,0),$C$26)*(_xlfn.XLOOKUP(MAX(1,INT(C252/10-6/10)),组队产出!$B$24:$B$39,组队产出!$C$24:$C$39))</f>
        <v>#N/A</v>
      </c>
      <c r="M252" s="80" t="e">
        <f ca="1">(OFFSET(产销汇总!$C$1,MATCH(M$27,产销汇总!$C$2:$C$8,0),$C$26)*_xlfn.XLOOKUP(C252,巡逻产出!$B$311:$B$610,巡逻产出!$D$311:$D$610))*$M$24</f>
        <v>#N/A</v>
      </c>
      <c r="N252" s="80" t="e">
        <f ca="1">OFFSET(产销汇总!$C$1,MATCH(L$27,产销汇总!$C$2:$C$8,0),$C$26)*(_xlfn.XLOOKUP(MAX(1,INT(C252/10-6/10)),组队产出!$B$24:$B$39,组队产出!$S$24:$S$39))</f>
        <v>#N/A</v>
      </c>
      <c r="O252" s="172">
        <f>任务!$D$36</f>
        <v>2457.14285714286</v>
      </c>
      <c r="P252" s="98">
        <f t="shared" si="35"/>
        <v>428</v>
      </c>
      <c r="Q252" s="80">
        <f t="shared" si="41"/>
        <v>1500</v>
      </c>
      <c r="R252" s="172">
        <f t="shared" si="42"/>
        <v>2000</v>
      </c>
      <c r="S252" s="210">
        <f ca="1">IFERROR(OFFSET(金币本!$E$2,MATCH(C252,金币本!$F$3:$F$302,1),0)*IF($C$26=1,2,3),0)</f>
        <v>39750</v>
      </c>
      <c r="T252" s="172" t="e">
        <f ca="1">SUM($J$28:S252)+SUM(D252:I252)</f>
        <v>#N/A</v>
      </c>
      <c r="U252" s="172" t="e">
        <f ca="1" t="shared" si="36"/>
        <v>#N/A</v>
      </c>
      <c r="V252" s="98" t="e">
        <f ca="1" t="shared" si="37"/>
        <v>#N/A</v>
      </c>
      <c r="W252" s="98" t="e">
        <f ca="1">OFFSET(装备强化!$U$6,MATCH(图纸产出设计!V253/6*W$26,装备强化!$T$7:$T$306,1),0)*6</f>
        <v>#N/A</v>
      </c>
      <c r="X252" s="98">
        <v>1020860</v>
      </c>
      <c r="Y252" s="98">
        <f t="shared" si="43"/>
        <v>7088000</v>
      </c>
      <c r="Z252" s="98">
        <f t="shared" si="45"/>
        <v>2</v>
      </c>
      <c r="AA252" s="147" t="e">
        <f ca="1" t="shared" si="38"/>
        <v>#N/A</v>
      </c>
      <c r="AB252" s="209" t="e">
        <f ca="1" t="shared" si="39"/>
        <v>#N/A</v>
      </c>
      <c r="AC252" s="209">
        <f ca="1">SUMIFS(装备强化!$Q$7:$Q$306,装备强化!$M$7:$M$306,"&lt;="&amp;MATCH(U252/6,装备强化!$U$7:$U$306,1),装备强化!$M$7:$M$306,"&gt;="&amp;MATCH(V252/6,装备强化!$U$7:$U$306,1))*6</f>
        <v>0</v>
      </c>
      <c r="AD252">
        <f ca="1" t="shared" si="44"/>
        <v>0</v>
      </c>
    </row>
    <row r="253" spans="1:30">
      <c r="A253" s="171"/>
      <c r="B253" s="80">
        <v>226</v>
      </c>
      <c r="C253" s="80">
        <f ca="1">OFFSET(产销汇总!$C$12,$B253,$C$26)</f>
        <v>236</v>
      </c>
      <c r="D253" s="80">
        <f t="shared" si="40"/>
        <v>14100</v>
      </c>
      <c r="E253" s="80">
        <f ca="1">(SUMIF(主线推图!$B$4:$B$303,"&lt;"&amp;C253,主线推图!$M$4:$M$303)+SUMIF(主线宝箱!$B$320:$B$620,"&lt;"&amp;C253,主线宝箱!$L$320:$L$620)+SUMIF(主线宝箱!$B$320:$B$620,"&lt;"&amp;C253,主线宝箱!$X$320:$X$620)+SUMIF(主线宝箱!$B$320:$B$620,"&lt;"&amp;C253,主线宝箱!$AL$320:$AL$620))</f>
        <v>420000</v>
      </c>
      <c r="F253" s="98">
        <f ca="1">SUMIF(组队产出!$B$24:$B$39,"&lt;="&amp;MAX(1,INT(C253/10-0.6)),组队产出!$R$24:$R$39)</f>
        <v>141000</v>
      </c>
      <c r="G253" s="80">
        <f ca="1">SUMIF(运营活动!$O$3:$O$27,"&lt;="&amp;C253,运营活动!$P$3:$P$27)</f>
        <v>30000</v>
      </c>
      <c r="H253" s="80">
        <f ca="1">OFFSET(产销汇总!$AM$12,B253,$C$26)*24</f>
        <v>1658064</v>
      </c>
      <c r="I253" s="172">
        <f ca="1">SUMIF(金币本!$F$2:$F$52,"&lt;="&amp;C253,金币本!$D$2:$D$52)</f>
        <v>1425000</v>
      </c>
      <c r="J253" s="80">
        <f ca="1">OFFSET(产销汇总!$C$1,MATCH(J$27,产销汇总!$C$2:$C$8,0),$C$26)*(_xlfn.XLOOKUP(C253,主线推图!$B$313:$B$612,主线推图!$C$313:$C$612)+_xlfn.XLOOKUP(C253,主线推图!$B$313:$B$612,主线推图!$D$313:$D$612))</f>
        <v>16500</v>
      </c>
      <c r="K253" s="80">
        <f ca="1">OFFSET(产销汇总!$C$1,MATCH(K$27,产销汇总!$C$2:$C$8,0),$C$26)*_xlfn.XLOOKUP(C253,巡逻产出!$B$311:$B$610,巡逻产出!$C$311:$C$610)*1.3</f>
        <v>0</v>
      </c>
      <c r="L253" s="80" t="e">
        <f ca="1">OFFSET(产销汇总!$C$1,MATCH(L$27,产销汇总!$C$2:$C$8,0),$C$26)*(_xlfn.XLOOKUP(MAX(1,INT(C253/10-6/10)),组队产出!$B$24:$B$39,组队产出!$D$24:$D$39))+OFFSET(产销汇总!$C$1,MATCH(L$27,产销汇总!$C$2:$C$8,0),$C$26)*(_xlfn.XLOOKUP(MAX(1,INT(C253/10-6/10)),组队产出!$B$24:$B$39,组队产出!$C$24:$C$39))</f>
        <v>#N/A</v>
      </c>
      <c r="M253" s="80">
        <f ca="1">(OFFSET(产销汇总!$C$1,MATCH(M$27,产销汇总!$C$2:$C$8,0),$C$26)*_xlfn.XLOOKUP(C253,巡逻产出!$B$311:$B$610,巡逻产出!$D$311:$D$610))*$M$24</f>
        <v>11700</v>
      </c>
      <c r="N253" s="80" t="e">
        <f ca="1">OFFSET(产销汇总!$C$1,MATCH(L$27,产销汇总!$C$2:$C$8,0),$C$26)*(_xlfn.XLOOKUP(MAX(1,INT(C253/10-6/10)),组队产出!$B$24:$B$39,组队产出!$S$24:$S$39))</f>
        <v>#N/A</v>
      </c>
      <c r="O253" s="172">
        <f>任务!$D$36</f>
        <v>2457.14285714286</v>
      </c>
      <c r="P253" s="98">
        <f t="shared" si="35"/>
        <v>428</v>
      </c>
      <c r="Q253" s="80">
        <f t="shared" si="41"/>
        <v>1000</v>
      </c>
      <c r="R253" s="172">
        <f t="shared" si="42"/>
        <v>2000</v>
      </c>
      <c r="S253" s="210">
        <f ca="1">IFERROR(OFFSET(金币本!$E$2,MATCH(C253,金币本!$F$3:$F$302,1),0)*IF($C$26=1,2,3),0)</f>
        <v>39750</v>
      </c>
      <c r="T253" s="172" t="e">
        <f ca="1">SUM($J$28:S253)+SUM(D253:I253)</f>
        <v>#N/A</v>
      </c>
      <c r="U253" s="172" t="e">
        <f ca="1" t="shared" si="36"/>
        <v>#N/A</v>
      </c>
      <c r="V253" s="98" t="e">
        <f ca="1" t="shared" si="37"/>
        <v>#N/A</v>
      </c>
      <c r="W253" s="98" t="e">
        <f ca="1">OFFSET(装备强化!$U$6,MATCH(图纸产出设计!V254/6*W$26,装备强化!$T$7:$T$306,1),0)*6</f>
        <v>#N/A</v>
      </c>
      <c r="X253" s="98">
        <v>1020860</v>
      </c>
      <c r="Y253" s="98">
        <f t="shared" si="43"/>
        <v>7120000</v>
      </c>
      <c r="Z253" s="98">
        <f t="shared" si="45"/>
        <v>2</v>
      </c>
      <c r="AA253" s="147" t="e">
        <f ca="1" t="shared" si="38"/>
        <v>#N/A</v>
      </c>
      <c r="AB253" s="209" t="e">
        <f ca="1" t="shared" si="39"/>
        <v>#N/A</v>
      </c>
      <c r="AC253" s="209">
        <f ca="1">SUMIFS(装备强化!$Q$7:$Q$306,装备强化!$M$7:$M$306,"&lt;="&amp;MATCH(U253/6,装备强化!$U$7:$U$306,1),装备强化!$M$7:$M$306,"&gt;="&amp;MATCH(V253/6,装备强化!$U$7:$U$306,1))*6</f>
        <v>0</v>
      </c>
      <c r="AD253">
        <f ca="1" t="shared" si="44"/>
        <v>0</v>
      </c>
    </row>
    <row r="254" spans="1:30">
      <c r="A254" s="171"/>
      <c r="B254" s="80">
        <v>227</v>
      </c>
      <c r="C254" s="80">
        <f ca="1">OFFSET(产销汇总!$C$12,$B254,$C$26)</f>
        <v>236.5</v>
      </c>
      <c r="D254" s="80">
        <f t="shared" si="40"/>
        <v>14100</v>
      </c>
      <c r="E254" s="80">
        <f ca="1">(SUMIF(主线推图!$B$4:$B$303,"&lt;"&amp;C254,主线推图!$M$4:$M$303)+SUMIF(主线宝箱!$B$320:$B$620,"&lt;"&amp;C254,主线宝箱!$L$320:$L$620)+SUMIF(主线宝箱!$B$320:$B$620,"&lt;"&amp;C254,主线宝箱!$X$320:$X$620)+SUMIF(主线宝箱!$B$320:$B$620,"&lt;"&amp;C254,主线宝箱!$AL$320:$AL$620))</f>
        <v>421800</v>
      </c>
      <c r="F254" s="98">
        <f ca="1">SUMIF(组队产出!$B$24:$B$39,"&lt;="&amp;MAX(1,INT(C254/10-0.6)),组队产出!$R$24:$R$39)</f>
        <v>141000</v>
      </c>
      <c r="G254" s="80">
        <f ca="1">SUMIF(运营活动!$O$3:$O$27,"&lt;="&amp;C254,运营活动!$P$3:$P$27)</f>
        <v>30000</v>
      </c>
      <c r="H254" s="80">
        <f ca="1">OFFSET(产销汇总!$AM$12,B254,$C$26)*24</f>
        <v>1665312</v>
      </c>
      <c r="I254" s="172">
        <f ca="1">SUMIF(金币本!$F$2:$F$52,"&lt;="&amp;C254,金币本!$D$2:$D$52)</f>
        <v>1425000</v>
      </c>
      <c r="J254" s="80" t="e">
        <f ca="1">OFFSET(产销汇总!$C$1,MATCH(J$27,产销汇总!$C$2:$C$8,0),$C$26)*(_xlfn.XLOOKUP(C254,主线推图!$B$313:$B$612,主线推图!$C$313:$C$612)+_xlfn.XLOOKUP(C254,主线推图!$B$313:$B$612,主线推图!$D$313:$D$612))</f>
        <v>#N/A</v>
      </c>
      <c r="K254" s="80" t="e">
        <f ca="1">OFFSET(产销汇总!$C$1,MATCH(K$27,产销汇总!$C$2:$C$8,0),$C$26)*_xlfn.XLOOKUP(C254,巡逻产出!$B$311:$B$610,巡逻产出!$C$311:$C$610)*1.3</f>
        <v>#N/A</v>
      </c>
      <c r="L254" s="80" t="e">
        <f ca="1">OFFSET(产销汇总!$C$1,MATCH(L$27,产销汇总!$C$2:$C$8,0),$C$26)*(_xlfn.XLOOKUP(MAX(1,INT(C254/10-6/10)),组队产出!$B$24:$B$39,组队产出!$D$24:$D$39))+OFFSET(产销汇总!$C$1,MATCH(L$27,产销汇总!$C$2:$C$8,0),$C$26)*(_xlfn.XLOOKUP(MAX(1,INT(C254/10-6/10)),组队产出!$B$24:$B$39,组队产出!$C$24:$C$39))</f>
        <v>#N/A</v>
      </c>
      <c r="M254" s="80" t="e">
        <f ca="1">(OFFSET(产销汇总!$C$1,MATCH(M$27,产销汇总!$C$2:$C$8,0),$C$26)*_xlfn.XLOOKUP(C254,巡逻产出!$B$311:$B$610,巡逻产出!$D$311:$D$610))*$M$24</f>
        <v>#N/A</v>
      </c>
      <c r="N254" s="80" t="e">
        <f ca="1">OFFSET(产销汇总!$C$1,MATCH(L$27,产销汇总!$C$2:$C$8,0),$C$26)*(_xlfn.XLOOKUP(MAX(1,INT(C254/10-6/10)),组队产出!$B$24:$B$39,组队产出!$S$24:$S$39))</f>
        <v>#N/A</v>
      </c>
      <c r="O254" s="172">
        <f>任务!$D$36</f>
        <v>2457.14285714286</v>
      </c>
      <c r="P254" s="98">
        <f t="shared" si="35"/>
        <v>428</v>
      </c>
      <c r="Q254" s="80">
        <f t="shared" si="41"/>
        <v>1000</v>
      </c>
      <c r="R254" s="172">
        <f t="shared" si="42"/>
        <v>2000</v>
      </c>
      <c r="S254" s="210">
        <f ca="1">IFERROR(OFFSET(金币本!$E$2,MATCH(C254,金币本!$F$3:$F$302,1),0)*IF($C$26=1,2,3),0)</f>
        <v>39750</v>
      </c>
      <c r="T254" s="172" t="e">
        <f ca="1">SUM($J$28:S254)+SUM(D254:I254)</f>
        <v>#N/A</v>
      </c>
      <c r="U254" s="172" t="e">
        <f ca="1" t="shared" si="36"/>
        <v>#N/A</v>
      </c>
      <c r="V254" s="98" t="e">
        <f ca="1" t="shared" si="37"/>
        <v>#N/A</v>
      </c>
      <c r="W254" s="98" t="e">
        <f ca="1">OFFSET(装备强化!$U$6,MATCH(图纸产出设计!V255/6*W$26,装备强化!$T$7:$T$306,1),0)*6</f>
        <v>#N/A</v>
      </c>
      <c r="X254" s="98">
        <v>1020860</v>
      </c>
      <c r="Y254" s="98">
        <f t="shared" si="43"/>
        <v>7152000</v>
      </c>
      <c r="Z254" s="98">
        <f t="shared" si="45"/>
        <v>2</v>
      </c>
      <c r="AA254" s="147" t="e">
        <f ca="1" t="shared" si="38"/>
        <v>#N/A</v>
      </c>
      <c r="AB254" s="209" t="e">
        <f ca="1" t="shared" si="39"/>
        <v>#N/A</v>
      </c>
      <c r="AC254" s="209">
        <f ca="1">SUMIFS(装备强化!$Q$7:$Q$306,装备强化!$M$7:$M$306,"&lt;="&amp;MATCH(U254/6,装备强化!$U$7:$U$306,1),装备强化!$M$7:$M$306,"&gt;="&amp;MATCH(V254/6,装备强化!$U$7:$U$306,1))*6</f>
        <v>0</v>
      </c>
      <c r="AD254">
        <f ca="1" t="shared" si="44"/>
        <v>0</v>
      </c>
    </row>
    <row r="255" spans="1:30">
      <c r="A255" s="171"/>
      <c r="B255" s="80">
        <v>228</v>
      </c>
      <c r="C255" s="80">
        <f ca="1">OFFSET(产销汇总!$C$12,$B255,$C$26)</f>
        <v>237</v>
      </c>
      <c r="D255" s="80">
        <f t="shared" si="40"/>
        <v>14100</v>
      </c>
      <c r="E255" s="80">
        <f ca="1">(SUMIF(主线推图!$B$4:$B$303,"&lt;"&amp;C255,主线推图!$M$4:$M$303)+SUMIF(主线宝箱!$B$320:$B$620,"&lt;"&amp;C255,主线宝箱!$L$320:$L$620)+SUMIF(主线宝箱!$B$320:$B$620,"&lt;"&amp;C255,主线宝箱!$X$320:$X$620)+SUMIF(主线宝箱!$B$320:$B$620,"&lt;"&amp;C255,主线宝箱!$AL$320:$AL$620))</f>
        <v>421800</v>
      </c>
      <c r="F255" s="98">
        <f ca="1">SUMIF(组队产出!$B$24:$B$39,"&lt;="&amp;MAX(1,INT(C255/10-0.6)),组队产出!$R$24:$R$39)</f>
        <v>141000</v>
      </c>
      <c r="G255" s="80">
        <f ca="1">SUMIF(运营活动!$O$3:$O$27,"&lt;="&amp;C255,运营活动!$P$3:$P$27)</f>
        <v>30000</v>
      </c>
      <c r="H255" s="80">
        <f ca="1">OFFSET(产销汇总!$AM$12,B255,$C$26)*24</f>
        <v>1672560</v>
      </c>
      <c r="I255" s="172">
        <f ca="1">SUMIF(金币本!$F$2:$F$52,"&lt;="&amp;C255,金币本!$D$2:$D$52)</f>
        <v>1425000</v>
      </c>
      <c r="J255" s="80">
        <f ca="1">OFFSET(产销汇总!$C$1,MATCH(J$27,产销汇总!$C$2:$C$8,0),$C$26)*(_xlfn.XLOOKUP(C255,主线推图!$B$313:$B$612,主线推图!$C$313:$C$612)+_xlfn.XLOOKUP(C255,主线推图!$B$313:$B$612,主线推图!$D$313:$D$612))</f>
        <v>16544</v>
      </c>
      <c r="K255" s="80">
        <f ca="1">OFFSET(产销汇总!$C$1,MATCH(K$27,产销汇总!$C$2:$C$8,0),$C$26)*_xlfn.XLOOKUP(C255,巡逻产出!$B$311:$B$610,巡逻产出!$C$311:$C$610)*1.3</f>
        <v>0</v>
      </c>
      <c r="L255" s="80" t="e">
        <f ca="1">OFFSET(产销汇总!$C$1,MATCH(L$27,产销汇总!$C$2:$C$8,0),$C$26)*(_xlfn.XLOOKUP(MAX(1,INT(C255/10-6/10)),组队产出!$B$24:$B$39,组队产出!$D$24:$D$39))+OFFSET(产销汇总!$C$1,MATCH(L$27,产销汇总!$C$2:$C$8,0),$C$26)*(_xlfn.XLOOKUP(MAX(1,INT(C255/10-6/10)),组队产出!$B$24:$B$39,组队产出!$C$24:$C$39))</f>
        <v>#N/A</v>
      </c>
      <c r="M255" s="80">
        <f ca="1">(OFFSET(产销汇总!$C$1,MATCH(M$27,产销汇总!$C$2:$C$8,0),$C$26)*_xlfn.XLOOKUP(C255,巡逻产出!$B$311:$B$610,巡逻产出!$D$311:$D$610))*$M$24</f>
        <v>11731.2</v>
      </c>
      <c r="N255" s="80" t="e">
        <f ca="1">OFFSET(产销汇总!$C$1,MATCH(L$27,产销汇总!$C$2:$C$8,0),$C$26)*(_xlfn.XLOOKUP(MAX(1,INT(C255/10-6/10)),组队产出!$B$24:$B$39,组队产出!$S$24:$S$39))</f>
        <v>#N/A</v>
      </c>
      <c r="O255" s="172">
        <f>任务!$D$36</f>
        <v>2457.14285714286</v>
      </c>
      <c r="P255" s="98">
        <f t="shared" si="35"/>
        <v>428</v>
      </c>
      <c r="Q255" s="80">
        <f t="shared" si="41"/>
        <v>1000</v>
      </c>
      <c r="R255" s="172">
        <f t="shared" si="42"/>
        <v>2000</v>
      </c>
      <c r="S255" s="210">
        <f ca="1">IFERROR(OFFSET(金币本!$E$2,MATCH(C255,金币本!$F$3:$F$302,1),0)*IF($C$26=1,2,3),0)</f>
        <v>39750</v>
      </c>
      <c r="T255" s="172" t="e">
        <f ca="1">SUM($J$28:S255)+SUM(D255:I255)</f>
        <v>#N/A</v>
      </c>
      <c r="U255" s="172" t="e">
        <f ca="1" t="shared" si="36"/>
        <v>#N/A</v>
      </c>
      <c r="V255" s="98" t="e">
        <f ca="1" t="shared" si="37"/>
        <v>#N/A</v>
      </c>
      <c r="W255" s="98" t="e">
        <f ca="1">OFFSET(装备强化!$U$6,MATCH(图纸产出设计!V256/6*W$26,装备强化!$T$7:$T$306,1),0)*6</f>
        <v>#N/A</v>
      </c>
      <c r="X255" s="98">
        <v>1032850</v>
      </c>
      <c r="Y255" s="98">
        <f t="shared" si="43"/>
        <v>7184000</v>
      </c>
      <c r="Z255" s="98">
        <f t="shared" si="45"/>
        <v>2</v>
      </c>
      <c r="AA255" s="147" t="e">
        <f ca="1" t="shared" si="38"/>
        <v>#N/A</v>
      </c>
      <c r="AB255" s="209" t="e">
        <f ca="1" t="shared" si="39"/>
        <v>#N/A</v>
      </c>
      <c r="AC255" s="209">
        <f ca="1">SUMIFS(装备强化!$Q$7:$Q$306,装备强化!$M$7:$M$306,"&lt;="&amp;MATCH(U255/6,装备强化!$U$7:$U$306,1),装备强化!$M$7:$M$306,"&gt;="&amp;MATCH(V255/6,装备强化!$U$7:$U$306,1))*6</f>
        <v>0</v>
      </c>
      <c r="AD255">
        <f ca="1" t="shared" si="44"/>
        <v>0</v>
      </c>
    </row>
    <row r="256" spans="1:30">
      <c r="A256" s="171"/>
      <c r="B256" s="80">
        <v>229</v>
      </c>
      <c r="C256" s="80">
        <f ca="1">OFFSET(产销汇总!$C$12,$B256,$C$26)</f>
        <v>237.5</v>
      </c>
      <c r="D256" s="80">
        <f t="shared" si="40"/>
        <v>14100</v>
      </c>
      <c r="E256" s="80">
        <f ca="1">(SUMIF(主线推图!$B$4:$B$303,"&lt;"&amp;C256,主线推图!$M$4:$M$303)+SUMIF(主线宝箱!$B$320:$B$620,"&lt;"&amp;C256,主线宝箱!$L$320:$L$620)+SUMIF(主线宝箱!$B$320:$B$620,"&lt;"&amp;C256,主线宝箱!$X$320:$X$620)+SUMIF(主线宝箱!$B$320:$B$620,"&lt;"&amp;C256,主线宝箱!$AL$320:$AL$620))</f>
        <v>423600</v>
      </c>
      <c r="F256" s="98">
        <f ca="1">SUMIF(组队产出!$B$24:$B$39,"&lt;="&amp;MAX(1,INT(C256/10-0.6)),组队产出!$R$24:$R$39)</f>
        <v>141000</v>
      </c>
      <c r="G256" s="80">
        <f ca="1">SUMIF(运营活动!$O$3:$O$27,"&lt;="&amp;C256,运营活动!$P$3:$P$27)</f>
        <v>30000</v>
      </c>
      <c r="H256" s="80">
        <f ca="1">OFFSET(产销汇总!$AM$12,B256,$C$26)*24</f>
        <v>1679808</v>
      </c>
      <c r="I256" s="172">
        <f ca="1">SUMIF(金币本!$F$2:$F$52,"&lt;="&amp;C256,金币本!$D$2:$D$52)</f>
        <v>1425000</v>
      </c>
      <c r="J256" s="80" t="e">
        <f ca="1">OFFSET(产销汇总!$C$1,MATCH(J$27,产销汇总!$C$2:$C$8,0),$C$26)*(_xlfn.XLOOKUP(C256,主线推图!$B$313:$B$612,主线推图!$C$313:$C$612)+_xlfn.XLOOKUP(C256,主线推图!$B$313:$B$612,主线推图!$D$313:$D$612))</f>
        <v>#N/A</v>
      </c>
      <c r="K256" s="80" t="e">
        <f ca="1">OFFSET(产销汇总!$C$1,MATCH(K$27,产销汇总!$C$2:$C$8,0),$C$26)*_xlfn.XLOOKUP(C256,巡逻产出!$B$311:$B$610,巡逻产出!$C$311:$C$610)*1.3</f>
        <v>#N/A</v>
      </c>
      <c r="L256" s="80" t="e">
        <f ca="1">OFFSET(产销汇总!$C$1,MATCH(L$27,产销汇总!$C$2:$C$8,0),$C$26)*(_xlfn.XLOOKUP(MAX(1,INT(C256/10-6/10)),组队产出!$B$24:$B$39,组队产出!$D$24:$D$39))+OFFSET(产销汇总!$C$1,MATCH(L$27,产销汇总!$C$2:$C$8,0),$C$26)*(_xlfn.XLOOKUP(MAX(1,INT(C256/10-6/10)),组队产出!$B$24:$B$39,组队产出!$C$24:$C$39))</f>
        <v>#N/A</v>
      </c>
      <c r="M256" s="80" t="e">
        <f ca="1">(OFFSET(产销汇总!$C$1,MATCH(M$27,产销汇总!$C$2:$C$8,0),$C$26)*_xlfn.XLOOKUP(C256,巡逻产出!$B$311:$B$610,巡逻产出!$D$311:$D$610))*$M$24</f>
        <v>#N/A</v>
      </c>
      <c r="N256" s="80" t="e">
        <f ca="1">OFFSET(产销汇总!$C$1,MATCH(L$27,产销汇总!$C$2:$C$8,0),$C$26)*(_xlfn.XLOOKUP(MAX(1,INT(C256/10-6/10)),组队产出!$B$24:$B$39,组队产出!$S$24:$S$39))</f>
        <v>#N/A</v>
      </c>
      <c r="O256" s="172">
        <f>任务!$D$36</f>
        <v>2457.14285714286</v>
      </c>
      <c r="P256" s="98">
        <f t="shared" si="35"/>
        <v>428</v>
      </c>
      <c r="Q256" s="80">
        <f t="shared" si="41"/>
        <v>1000</v>
      </c>
      <c r="R256" s="172">
        <f t="shared" si="42"/>
        <v>2000</v>
      </c>
      <c r="S256" s="210">
        <f ca="1">IFERROR(OFFSET(金币本!$E$2,MATCH(C256,金币本!$F$3:$F$302,1),0)*IF($C$26=1,2,3),0)</f>
        <v>39750</v>
      </c>
      <c r="T256" s="172" t="e">
        <f ca="1">SUM($J$28:S256)+SUM(D256:I256)</f>
        <v>#N/A</v>
      </c>
      <c r="U256" s="172" t="e">
        <f ca="1" t="shared" si="36"/>
        <v>#N/A</v>
      </c>
      <c r="V256" s="98" t="e">
        <f ca="1" t="shared" si="37"/>
        <v>#N/A</v>
      </c>
      <c r="W256" s="98" t="e">
        <f ca="1">OFFSET(装备强化!$U$6,MATCH(图纸产出设计!V257/6*W$26,装备强化!$T$7:$T$306,1),0)*6</f>
        <v>#N/A</v>
      </c>
      <c r="X256" s="98">
        <v>1032850</v>
      </c>
      <c r="Y256" s="98">
        <f t="shared" si="43"/>
        <v>7216000</v>
      </c>
      <c r="Z256" s="98">
        <f t="shared" si="45"/>
        <v>2</v>
      </c>
      <c r="AA256" s="147" t="e">
        <f ca="1" t="shared" si="38"/>
        <v>#N/A</v>
      </c>
      <c r="AB256" s="209" t="e">
        <f ca="1" t="shared" si="39"/>
        <v>#N/A</v>
      </c>
      <c r="AC256" s="209">
        <f ca="1">SUMIFS(装备强化!$Q$7:$Q$306,装备强化!$M$7:$M$306,"&lt;="&amp;MATCH(U256/6,装备强化!$U$7:$U$306,1),装备强化!$M$7:$M$306,"&gt;="&amp;MATCH(V256/6,装备强化!$U$7:$U$306,1))*6</f>
        <v>0</v>
      </c>
      <c r="AD256">
        <f ca="1" t="shared" si="44"/>
        <v>0</v>
      </c>
    </row>
    <row r="257" spans="1:30">
      <c r="A257" s="171"/>
      <c r="B257" s="80">
        <v>230</v>
      </c>
      <c r="C257" s="80">
        <f ca="1">OFFSET(产销汇总!$C$12,$B257,$C$26)</f>
        <v>238</v>
      </c>
      <c r="D257" s="80">
        <f t="shared" si="40"/>
        <v>14100</v>
      </c>
      <c r="E257" s="80">
        <f ca="1">(SUMIF(主线推图!$B$4:$B$303,"&lt;"&amp;C257,主线推图!$M$4:$M$303)+SUMIF(主线宝箱!$B$320:$B$620,"&lt;"&amp;C257,主线宝箱!$L$320:$L$620)+SUMIF(主线宝箱!$B$320:$B$620,"&lt;"&amp;C257,主线宝箱!$X$320:$X$620)+SUMIF(主线宝箱!$B$320:$B$620,"&lt;"&amp;C257,主线宝箱!$AL$320:$AL$620))</f>
        <v>423600</v>
      </c>
      <c r="F257" s="98">
        <f ca="1">SUMIF(组队产出!$B$24:$B$39,"&lt;="&amp;MAX(1,INT(C257/10-0.6)),组队产出!$R$24:$R$39)</f>
        <v>141000</v>
      </c>
      <c r="G257" s="80">
        <f ca="1">SUMIF(运营活动!$O$3:$O$27,"&lt;="&amp;C257,运营活动!$P$3:$P$27)</f>
        <v>30000</v>
      </c>
      <c r="H257" s="80">
        <f ca="1">OFFSET(产销汇总!$AM$12,B257,$C$26)*24</f>
        <v>1687056</v>
      </c>
      <c r="I257" s="172">
        <f ca="1">SUMIF(金币本!$F$2:$F$52,"&lt;="&amp;C257,金币本!$D$2:$D$52)</f>
        <v>1425000</v>
      </c>
      <c r="J257" s="80">
        <f ca="1">OFFSET(产销汇总!$C$1,MATCH(J$27,产销汇总!$C$2:$C$8,0),$C$26)*(_xlfn.XLOOKUP(C257,主线推图!$B$313:$B$612,主线推图!$C$313:$C$612)+_xlfn.XLOOKUP(C257,主线推图!$B$313:$B$612,主线推图!$D$313:$D$612))</f>
        <v>16588</v>
      </c>
      <c r="K257" s="80">
        <f ca="1">OFFSET(产销汇总!$C$1,MATCH(K$27,产销汇总!$C$2:$C$8,0),$C$26)*_xlfn.XLOOKUP(C257,巡逻产出!$B$311:$B$610,巡逻产出!$C$311:$C$610)*1.3</f>
        <v>0</v>
      </c>
      <c r="L257" s="80" t="e">
        <f ca="1">OFFSET(产销汇总!$C$1,MATCH(L$27,产销汇总!$C$2:$C$8,0),$C$26)*(_xlfn.XLOOKUP(MAX(1,INT(C257/10-6/10)),组队产出!$B$24:$B$39,组队产出!$D$24:$D$39))+OFFSET(产销汇总!$C$1,MATCH(L$27,产销汇总!$C$2:$C$8,0),$C$26)*(_xlfn.XLOOKUP(MAX(1,INT(C257/10-6/10)),组队产出!$B$24:$B$39,组队产出!$C$24:$C$39))</f>
        <v>#N/A</v>
      </c>
      <c r="M257" s="80">
        <f ca="1">(OFFSET(产销汇总!$C$1,MATCH(M$27,产销汇总!$C$2:$C$8,0),$C$26)*_xlfn.XLOOKUP(C257,巡逻产出!$B$311:$B$610,巡逻产出!$D$311:$D$610))*$M$24</f>
        <v>11762.4</v>
      </c>
      <c r="N257" s="80" t="e">
        <f ca="1">OFFSET(产销汇总!$C$1,MATCH(L$27,产销汇总!$C$2:$C$8,0),$C$26)*(_xlfn.XLOOKUP(MAX(1,INT(C257/10-6/10)),组队产出!$B$24:$B$39,组队产出!$S$24:$S$39))</f>
        <v>#N/A</v>
      </c>
      <c r="O257" s="172">
        <f>任务!$D$36</f>
        <v>2457.14285714286</v>
      </c>
      <c r="P257" s="98">
        <f t="shared" si="35"/>
        <v>428</v>
      </c>
      <c r="Q257" s="80">
        <f t="shared" si="41"/>
        <v>1000</v>
      </c>
      <c r="R257" s="172">
        <f t="shared" si="42"/>
        <v>2000</v>
      </c>
      <c r="S257" s="210">
        <f ca="1">IFERROR(OFFSET(金币本!$E$2,MATCH(C257,金币本!$F$3:$F$302,1),0)*IF($C$26=1,2,3),0)</f>
        <v>39750</v>
      </c>
      <c r="T257" s="172" t="e">
        <f ca="1">SUM($J$28:S257)+SUM(D257:I257)</f>
        <v>#N/A</v>
      </c>
      <c r="U257" s="172" t="e">
        <f ca="1" t="shared" si="36"/>
        <v>#N/A</v>
      </c>
      <c r="V257" s="98" t="e">
        <f ca="1" t="shared" si="37"/>
        <v>#N/A</v>
      </c>
      <c r="W257" s="98" t="e">
        <f ca="1">OFFSET(装备强化!$U$6,MATCH(图纸产出设计!V258/6*W$26,装备强化!$T$7:$T$306,1),0)*6</f>
        <v>#N/A</v>
      </c>
      <c r="X257" s="98">
        <v>1032850</v>
      </c>
      <c r="Y257" s="98">
        <f t="shared" si="43"/>
        <v>7248000</v>
      </c>
      <c r="Z257" s="98">
        <f t="shared" si="45"/>
        <v>2</v>
      </c>
      <c r="AA257" s="147" t="e">
        <f ca="1" t="shared" si="38"/>
        <v>#N/A</v>
      </c>
      <c r="AB257" s="209" t="e">
        <f ca="1" t="shared" si="39"/>
        <v>#N/A</v>
      </c>
      <c r="AC257" s="209">
        <f ca="1">SUMIFS(装备强化!$Q$7:$Q$306,装备强化!$M$7:$M$306,"&lt;="&amp;MATCH(U257/6,装备强化!$U$7:$U$306,1),装备强化!$M$7:$M$306,"&gt;="&amp;MATCH(V257/6,装备强化!$U$7:$U$306,1))*6</f>
        <v>0</v>
      </c>
      <c r="AD257">
        <f ca="1" t="shared" si="44"/>
        <v>0</v>
      </c>
    </row>
    <row r="258" spans="1:30">
      <c r="A258" s="171"/>
      <c r="B258" s="80">
        <v>231</v>
      </c>
      <c r="C258" s="80">
        <f ca="1">OFFSET(产销汇总!$C$12,$B258,$C$26)</f>
        <v>238.5</v>
      </c>
      <c r="D258" s="80">
        <f t="shared" si="40"/>
        <v>14100</v>
      </c>
      <c r="E258" s="80">
        <f ca="1">(SUMIF(主线推图!$B$4:$B$303,"&lt;"&amp;C258,主线推图!$M$4:$M$303)+SUMIF(主线宝箱!$B$320:$B$620,"&lt;"&amp;C258,主线宝箱!$L$320:$L$620)+SUMIF(主线宝箱!$B$320:$B$620,"&lt;"&amp;C258,主线宝箱!$X$320:$X$620)+SUMIF(主线宝箱!$B$320:$B$620,"&lt;"&amp;C258,主线宝箱!$AL$320:$AL$620))</f>
        <v>425400</v>
      </c>
      <c r="F258" s="98">
        <f ca="1">SUMIF(组队产出!$B$24:$B$39,"&lt;="&amp;MAX(1,INT(C258/10-0.6)),组队产出!$R$24:$R$39)</f>
        <v>141000</v>
      </c>
      <c r="G258" s="80">
        <f ca="1">SUMIF(运营活动!$O$3:$O$27,"&lt;="&amp;C258,运营活动!$P$3:$P$27)</f>
        <v>30000</v>
      </c>
      <c r="H258" s="80">
        <f ca="1">OFFSET(产销汇总!$AM$12,B258,$C$26)*24</f>
        <v>1694304</v>
      </c>
      <c r="I258" s="172">
        <f ca="1">SUMIF(金币本!$F$2:$F$52,"&lt;="&amp;C258,金币本!$D$2:$D$52)</f>
        <v>1425000</v>
      </c>
      <c r="J258" s="80" t="e">
        <f ca="1">OFFSET(产销汇总!$C$1,MATCH(J$27,产销汇总!$C$2:$C$8,0),$C$26)*(_xlfn.XLOOKUP(C258,主线推图!$B$313:$B$612,主线推图!$C$313:$C$612)+_xlfn.XLOOKUP(C258,主线推图!$B$313:$B$612,主线推图!$D$313:$D$612))</f>
        <v>#N/A</v>
      </c>
      <c r="K258" s="80" t="e">
        <f ca="1">OFFSET(产销汇总!$C$1,MATCH(K$27,产销汇总!$C$2:$C$8,0),$C$26)*_xlfn.XLOOKUP(C258,巡逻产出!$B$311:$B$610,巡逻产出!$C$311:$C$610)*1.3</f>
        <v>#N/A</v>
      </c>
      <c r="L258" s="80" t="e">
        <f ca="1">OFFSET(产销汇总!$C$1,MATCH(L$27,产销汇总!$C$2:$C$8,0),$C$26)*(_xlfn.XLOOKUP(MAX(1,INT(C258/10-6/10)),组队产出!$B$24:$B$39,组队产出!$D$24:$D$39))+OFFSET(产销汇总!$C$1,MATCH(L$27,产销汇总!$C$2:$C$8,0),$C$26)*(_xlfn.XLOOKUP(MAX(1,INT(C258/10-6/10)),组队产出!$B$24:$B$39,组队产出!$C$24:$C$39))</f>
        <v>#N/A</v>
      </c>
      <c r="M258" s="80" t="e">
        <f ca="1">(OFFSET(产销汇总!$C$1,MATCH(M$27,产销汇总!$C$2:$C$8,0),$C$26)*_xlfn.XLOOKUP(C258,巡逻产出!$B$311:$B$610,巡逻产出!$D$311:$D$610))*$M$24</f>
        <v>#N/A</v>
      </c>
      <c r="N258" s="80" t="e">
        <f ca="1">OFFSET(产销汇总!$C$1,MATCH(L$27,产销汇总!$C$2:$C$8,0),$C$26)*(_xlfn.XLOOKUP(MAX(1,INT(C258/10-6/10)),组队产出!$B$24:$B$39,组队产出!$S$24:$S$39))</f>
        <v>#N/A</v>
      </c>
      <c r="O258" s="172">
        <f>任务!$D$36</f>
        <v>2457.14285714286</v>
      </c>
      <c r="P258" s="98">
        <f t="shared" si="35"/>
        <v>428</v>
      </c>
      <c r="Q258" s="80">
        <f t="shared" si="41"/>
        <v>1000</v>
      </c>
      <c r="R258" s="172">
        <f t="shared" si="42"/>
        <v>2000</v>
      </c>
      <c r="S258" s="210">
        <f ca="1">IFERROR(OFFSET(金币本!$E$2,MATCH(C258,金币本!$F$3:$F$302,1),0)*IF($C$26=1,2,3),0)</f>
        <v>39750</v>
      </c>
      <c r="T258" s="172" t="e">
        <f ca="1">SUM($J$28:S258)+SUM(D258:I258)</f>
        <v>#N/A</v>
      </c>
      <c r="U258" s="172" t="e">
        <f ca="1" t="shared" si="36"/>
        <v>#N/A</v>
      </c>
      <c r="V258" s="98" t="e">
        <f ca="1" t="shared" si="37"/>
        <v>#N/A</v>
      </c>
      <c r="W258" s="98" t="e">
        <f ca="1">OFFSET(装备强化!$U$6,MATCH(图纸产出设计!V259/6*W$26,装备强化!$T$7:$T$306,1),0)*6</f>
        <v>#N/A</v>
      </c>
      <c r="X258" s="98">
        <v>1044910</v>
      </c>
      <c r="Y258" s="98">
        <f t="shared" si="43"/>
        <v>7280000</v>
      </c>
      <c r="Z258" s="98">
        <f t="shared" si="45"/>
        <v>2</v>
      </c>
      <c r="AA258" s="147" t="e">
        <f ca="1" t="shared" si="38"/>
        <v>#N/A</v>
      </c>
      <c r="AB258" s="209" t="e">
        <f ca="1" t="shared" si="39"/>
        <v>#N/A</v>
      </c>
      <c r="AC258" s="209">
        <f ca="1">SUMIFS(装备强化!$Q$7:$Q$306,装备强化!$M$7:$M$306,"&lt;="&amp;MATCH(U258/6,装备强化!$U$7:$U$306,1),装备强化!$M$7:$M$306,"&gt;="&amp;MATCH(V258/6,装备强化!$U$7:$U$306,1))*6</f>
        <v>0</v>
      </c>
      <c r="AD258">
        <f ca="1" t="shared" si="44"/>
        <v>0</v>
      </c>
    </row>
    <row r="259" spans="1:30">
      <c r="A259" s="171"/>
      <c r="B259" s="80">
        <v>232</v>
      </c>
      <c r="C259" s="80">
        <f ca="1">OFFSET(产销汇总!$C$12,$B259,$C$26)</f>
        <v>239</v>
      </c>
      <c r="D259" s="80">
        <f t="shared" si="40"/>
        <v>14100</v>
      </c>
      <c r="E259" s="80">
        <f ca="1">(SUMIF(主线推图!$B$4:$B$303,"&lt;"&amp;C259,主线推图!$M$4:$M$303)+SUMIF(主线宝箱!$B$320:$B$620,"&lt;"&amp;C259,主线宝箱!$L$320:$L$620)+SUMIF(主线宝箱!$B$320:$B$620,"&lt;"&amp;C259,主线宝箱!$X$320:$X$620)+SUMIF(主线宝箱!$B$320:$B$620,"&lt;"&amp;C259,主线宝箱!$AL$320:$AL$620))</f>
        <v>425400</v>
      </c>
      <c r="F259" s="98">
        <f ca="1">SUMIF(组队产出!$B$24:$B$39,"&lt;="&amp;MAX(1,INT(C259/10-0.6)),组队产出!$R$24:$R$39)</f>
        <v>141000</v>
      </c>
      <c r="G259" s="80">
        <f ca="1">SUMIF(运营活动!$O$3:$O$27,"&lt;="&amp;C259,运营活动!$P$3:$P$27)</f>
        <v>30000</v>
      </c>
      <c r="H259" s="80">
        <f ca="1">OFFSET(产销汇总!$AM$12,B259,$C$26)*24</f>
        <v>1701552</v>
      </c>
      <c r="I259" s="172">
        <f ca="1">SUMIF(金币本!$F$2:$F$52,"&lt;="&amp;C259,金币本!$D$2:$D$52)</f>
        <v>1425000</v>
      </c>
      <c r="J259" s="80">
        <f ca="1">OFFSET(产销汇总!$C$1,MATCH(J$27,产销汇总!$C$2:$C$8,0),$C$26)*(_xlfn.XLOOKUP(C259,主线推图!$B$313:$B$612,主线推图!$C$313:$C$612)+_xlfn.XLOOKUP(C259,主线推图!$B$313:$B$612,主线推图!$D$313:$D$612))</f>
        <v>16632</v>
      </c>
      <c r="K259" s="80">
        <f ca="1">OFFSET(产销汇总!$C$1,MATCH(K$27,产销汇总!$C$2:$C$8,0),$C$26)*_xlfn.XLOOKUP(C259,巡逻产出!$B$311:$B$610,巡逻产出!$C$311:$C$610)*1.3</f>
        <v>0</v>
      </c>
      <c r="L259" s="80" t="e">
        <f ca="1">OFFSET(产销汇总!$C$1,MATCH(L$27,产销汇总!$C$2:$C$8,0),$C$26)*(_xlfn.XLOOKUP(MAX(1,INT(C259/10-6/10)),组队产出!$B$24:$B$39,组队产出!$D$24:$D$39))+OFFSET(产销汇总!$C$1,MATCH(L$27,产销汇总!$C$2:$C$8,0),$C$26)*(_xlfn.XLOOKUP(MAX(1,INT(C259/10-6/10)),组队产出!$B$24:$B$39,组队产出!$C$24:$C$39))</f>
        <v>#N/A</v>
      </c>
      <c r="M259" s="80">
        <f ca="1">(OFFSET(产销汇总!$C$1,MATCH(M$27,产销汇总!$C$2:$C$8,0),$C$26)*_xlfn.XLOOKUP(C259,巡逻产出!$B$311:$B$610,巡逻产出!$D$311:$D$610))*$M$24</f>
        <v>11793.6</v>
      </c>
      <c r="N259" s="80" t="e">
        <f ca="1">OFFSET(产销汇总!$C$1,MATCH(L$27,产销汇总!$C$2:$C$8,0),$C$26)*(_xlfn.XLOOKUP(MAX(1,INT(C259/10-6/10)),组队产出!$B$24:$B$39,组队产出!$S$24:$S$39))</f>
        <v>#N/A</v>
      </c>
      <c r="O259" s="172">
        <f>任务!$D$36</f>
        <v>2457.14285714286</v>
      </c>
      <c r="P259" s="98">
        <f t="shared" si="35"/>
        <v>428</v>
      </c>
      <c r="Q259" s="80">
        <f t="shared" si="41"/>
        <v>1500</v>
      </c>
      <c r="R259" s="172">
        <f t="shared" si="42"/>
        <v>2000</v>
      </c>
      <c r="S259" s="210">
        <f ca="1">IFERROR(OFFSET(金币本!$E$2,MATCH(C259,金币本!$F$3:$F$302,1),0)*IF($C$26=1,2,3),0)</f>
        <v>39750</v>
      </c>
      <c r="T259" s="172" t="e">
        <f ca="1">SUM($J$28:S259)+SUM(D259:I259)</f>
        <v>#N/A</v>
      </c>
      <c r="U259" s="172" t="e">
        <f ca="1" t="shared" si="36"/>
        <v>#N/A</v>
      </c>
      <c r="V259" s="98" t="e">
        <f ca="1" t="shared" si="37"/>
        <v>#N/A</v>
      </c>
      <c r="W259" s="98" t="e">
        <f ca="1">OFFSET(装备强化!$U$6,MATCH(图纸产出设计!V260/6*W$26,装备强化!$T$7:$T$306,1),0)*6</f>
        <v>#N/A</v>
      </c>
      <c r="X259" s="98">
        <v>1044910</v>
      </c>
      <c r="Y259" s="98">
        <f t="shared" si="43"/>
        <v>7312000</v>
      </c>
      <c r="Z259" s="98">
        <f t="shared" si="45"/>
        <v>2</v>
      </c>
      <c r="AA259" s="147" t="e">
        <f ca="1" t="shared" si="38"/>
        <v>#N/A</v>
      </c>
      <c r="AB259" s="209" t="e">
        <f ca="1" t="shared" si="39"/>
        <v>#N/A</v>
      </c>
      <c r="AC259" s="209">
        <f ca="1">SUMIFS(装备强化!$Q$7:$Q$306,装备强化!$M$7:$M$306,"&lt;="&amp;MATCH(U259/6,装备强化!$U$7:$U$306,1),装备强化!$M$7:$M$306,"&gt;="&amp;MATCH(V259/6,装备强化!$U$7:$U$306,1))*6</f>
        <v>0</v>
      </c>
      <c r="AD259">
        <f ca="1" t="shared" si="44"/>
        <v>0</v>
      </c>
    </row>
    <row r="260" spans="1:30">
      <c r="A260" s="171"/>
      <c r="B260" s="80">
        <v>233</v>
      </c>
      <c r="C260" s="80">
        <f ca="1">OFFSET(产销汇总!$C$12,$B260,$C$26)</f>
        <v>239.5</v>
      </c>
      <c r="D260" s="80">
        <f t="shared" si="40"/>
        <v>14100</v>
      </c>
      <c r="E260" s="80">
        <f ca="1">(SUMIF(主线推图!$B$4:$B$303,"&lt;"&amp;C260,主线推图!$M$4:$M$303)+SUMIF(主线宝箱!$B$320:$B$620,"&lt;"&amp;C260,主线宝箱!$L$320:$L$620)+SUMIF(主线宝箱!$B$320:$B$620,"&lt;"&amp;C260,主线宝箱!$X$320:$X$620)+SUMIF(主线宝箱!$B$320:$B$620,"&lt;"&amp;C260,主线宝箱!$AL$320:$AL$620))</f>
        <v>427200</v>
      </c>
      <c r="F260" s="98">
        <f ca="1">SUMIF(组队产出!$B$24:$B$39,"&lt;="&amp;MAX(1,INT(C260/10-0.6)),组队产出!$R$24:$R$39)</f>
        <v>141000</v>
      </c>
      <c r="G260" s="80">
        <f ca="1">SUMIF(运营活动!$O$3:$O$27,"&lt;="&amp;C260,运营活动!$P$3:$P$27)</f>
        <v>30000</v>
      </c>
      <c r="H260" s="80">
        <f ca="1">OFFSET(产销汇总!$AM$12,B260,$C$26)*24</f>
        <v>1708800</v>
      </c>
      <c r="I260" s="172">
        <f ca="1">SUMIF(金币本!$F$2:$F$52,"&lt;="&amp;C260,金币本!$D$2:$D$52)</f>
        <v>1425000</v>
      </c>
      <c r="J260" s="80" t="e">
        <f ca="1">OFFSET(产销汇总!$C$1,MATCH(J$27,产销汇总!$C$2:$C$8,0),$C$26)*(_xlfn.XLOOKUP(C260,主线推图!$B$313:$B$612,主线推图!$C$313:$C$612)+_xlfn.XLOOKUP(C260,主线推图!$B$313:$B$612,主线推图!$D$313:$D$612))</f>
        <v>#N/A</v>
      </c>
      <c r="K260" s="80" t="e">
        <f ca="1">OFFSET(产销汇总!$C$1,MATCH(K$27,产销汇总!$C$2:$C$8,0),$C$26)*_xlfn.XLOOKUP(C260,巡逻产出!$B$311:$B$610,巡逻产出!$C$311:$C$610)*1.3</f>
        <v>#N/A</v>
      </c>
      <c r="L260" s="80" t="e">
        <f ca="1">OFFSET(产销汇总!$C$1,MATCH(L$27,产销汇总!$C$2:$C$8,0),$C$26)*(_xlfn.XLOOKUP(MAX(1,INT(C260/10-6/10)),组队产出!$B$24:$B$39,组队产出!$D$24:$D$39))+OFFSET(产销汇总!$C$1,MATCH(L$27,产销汇总!$C$2:$C$8,0),$C$26)*(_xlfn.XLOOKUP(MAX(1,INT(C260/10-6/10)),组队产出!$B$24:$B$39,组队产出!$C$24:$C$39))</f>
        <v>#N/A</v>
      </c>
      <c r="M260" s="80" t="e">
        <f ca="1">(OFFSET(产销汇总!$C$1,MATCH(M$27,产销汇总!$C$2:$C$8,0),$C$26)*_xlfn.XLOOKUP(C260,巡逻产出!$B$311:$B$610,巡逻产出!$D$311:$D$610))*$M$24</f>
        <v>#N/A</v>
      </c>
      <c r="N260" s="80" t="e">
        <f ca="1">OFFSET(产销汇总!$C$1,MATCH(L$27,产销汇总!$C$2:$C$8,0),$C$26)*(_xlfn.XLOOKUP(MAX(1,INT(C260/10-6/10)),组队产出!$B$24:$B$39,组队产出!$S$24:$S$39))</f>
        <v>#N/A</v>
      </c>
      <c r="O260" s="172">
        <f>任务!$D$36</f>
        <v>2457.14285714286</v>
      </c>
      <c r="P260" s="98">
        <f t="shared" si="35"/>
        <v>428</v>
      </c>
      <c r="Q260" s="80">
        <f t="shared" si="41"/>
        <v>1000</v>
      </c>
      <c r="R260" s="172">
        <f t="shared" si="42"/>
        <v>2000</v>
      </c>
      <c r="S260" s="210">
        <f ca="1">IFERROR(OFFSET(金币本!$E$2,MATCH(C260,金币本!$F$3:$F$302,1),0)*IF($C$26=1,2,3),0)</f>
        <v>39750</v>
      </c>
      <c r="T260" s="172" t="e">
        <f ca="1">SUM($J$28:S260)+SUM(D260:I260)</f>
        <v>#N/A</v>
      </c>
      <c r="U260" s="172" t="e">
        <f ca="1" t="shared" si="36"/>
        <v>#N/A</v>
      </c>
      <c r="V260" s="98" t="e">
        <f ca="1" t="shared" si="37"/>
        <v>#N/A</v>
      </c>
      <c r="W260" s="98" t="e">
        <f ca="1">OFFSET(装备强化!$U$6,MATCH(图纸产出设计!V261/6*W$26,装备强化!$T$7:$T$306,1),0)*6</f>
        <v>#N/A</v>
      </c>
      <c r="X260" s="98">
        <v>1057040</v>
      </c>
      <c r="Y260" s="98">
        <f t="shared" si="43"/>
        <v>7344000</v>
      </c>
      <c r="Z260" s="98">
        <f t="shared" si="45"/>
        <v>2</v>
      </c>
      <c r="AA260" s="147" t="e">
        <f ca="1" t="shared" si="38"/>
        <v>#N/A</v>
      </c>
      <c r="AB260" s="209" t="e">
        <f ca="1" t="shared" si="39"/>
        <v>#N/A</v>
      </c>
      <c r="AC260" s="209">
        <f ca="1">SUMIFS(装备强化!$Q$7:$Q$306,装备强化!$M$7:$M$306,"&lt;="&amp;MATCH(U260/6,装备强化!$U$7:$U$306,1),装备强化!$M$7:$M$306,"&gt;="&amp;MATCH(V260/6,装备强化!$U$7:$U$306,1))*6</f>
        <v>0</v>
      </c>
      <c r="AD260">
        <f ca="1" t="shared" si="44"/>
        <v>0</v>
      </c>
    </row>
    <row r="261" spans="1:30">
      <c r="A261" s="171"/>
      <c r="B261" s="80">
        <v>234</v>
      </c>
      <c r="C261" s="80">
        <f ca="1">OFFSET(产销汇总!$C$12,$B261,$C$26)</f>
        <v>240</v>
      </c>
      <c r="D261" s="80">
        <f t="shared" si="40"/>
        <v>14100</v>
      </c>
      <c r="E261" s="80">
        <f ca="1">(SUMIF(主线推图!$B$4:$B$303,"&lt;"&amp;C261,主线推图!$M$4:$M$303)+SUMIF(主线宝箱!$B$320:$B$620,"&lt;"&amp;C261,主线宝箱!$L$320:$L$620)+SUMIF(主线宝箱!$B$320:$B$620,"&lt;"&amp;C261,主线宝箱!$X$320:$X$620)+SUMIF(主线宝箱!$B$320:$B$620,"&lt;"&amp;C261,主线宝箱!$AL$320:$AL$620))</f>
        <v>427200</v>
      </c>
      <c r="F261" s="98">
        <f ca="1">SUMIF(组队产出!$B$24:$B$39,"&lt;="&amp;MAX(1,INT(C261/10-0.6)),组队产出!$R$24:$R$39)</f>
        <v>141000</v>
      </c>
      <c r="G261" s="80">
        <f ca="1">SUMIF(运营活动!$O$3:$O$27,"&lt;="&amp;C261,运营活动!$P$3:$P$27)</f>
        <v>30000</v>
      </c>
      <c r="H261" s="80">
        <f ca="1">OFFSET(产销汇总!$AM$12,B261,$C$26)*24</f>
        <v>1716048</v>
      </c>
      <c r="I261" s="172">
        <f ca="1">SUMIF(金币本!$F$2:$F$52,"&lt;="&amp;C261,金币本!$D$2:$D$52)</f>
        <v>1425000</v>
      </c>
      <c r="J261" s="80">
        <f ca="1">OFFSET(产销汇总!$C$1,MATCH(J$27,产销汇总!$C$2:$C$8,0),$C$26)*(_xlfn.XLOOKUP(C261,主线推图!$B$313:$B$612,主线推图!$C$313:$C$612)+_xlfn.XLOOKUP(C261,主线推图!$B$313:$B$612,主线推图!$D$313:$D$612))</f>
        <v>16676</v>
      </c>
      <c r="K261" s="80">
        <f ca="1">OFFSET(产销汇总!$C$1,MATCH(K$27,产销汇总!$C$2:$C$8,0),$C$26)*_xlfn.XLOOKUP(C261,巡逻产出!$B$311:$B$610,巡逻产出!$C$311:$C$610)*1.3</f>
        <v>0</v>
      </c>
      <c r="L261" s="80" t="e">
        <f ca="1">OFFSET(产销汇总!$C$1,MATCH(L$27,产销汇总!$C$2:$C$8,0),$C$26)*(_xlfn.XLOOKUP(MAX(1,INT(C261/10-6/10)),组队产出!$B$24:$B$39,组队产出!$D$24:$D$39))+OFFSET(产销汇总!$C$1,MATCH(L$27,产销汇总!$C$2:$C$8,0),$C$26)*(_xlfn.XLOOKUP(MAX(1,INT(C261/10-6/10)),组队产出!$B$24:$B$39,组队产出!$C$24:$C$39))</f>
        <v>#N/A</v>
      </c>
      <c r="M261" s="80">
        <f ca="1">(OFFSET(产销汇总!$C$1,MATCH(M$27,产销汇总!$C$2:$C$8,0),$C$26)*_xlfn.XLOOKUP(C261,巡逻产出!$B$311:$B$610,巡逻产出!$D$311:$D$610))*$M$24</f>
        <v>11824.8</v>
      </c>
      <c r="N261" s="80" t="e">
        <f ca="1">OFFSET(产销汇总!$C$1,MATCH(L$27,产销汇总!$C$2:$C$8,0),$C$26)*(_xlfn.XLOOKUP(MAX(1,INT(C261/10-6/10)),组队产出!$B$24:$B$39,组队产出!$S$24:$S$39))</f>
        <v>#N/A</v>
      </c>
      <c r="O261" s="172">
        <f>任务!$D$36</f>
        <v>2457.14285714286</v>
      </c>
      <c r="P261" s="98">
        <f t="shared" si="35"/>
        <v>428</v>
      </c>
      <c r="Q261" s="80">
        <f t="shared" si="41"/>
        <v>1000</v>
      </c>
      <c r="R261" s="172">
        <f t="shared" si="42"/>
        <v>2000</v>
      </c>
      <c r="S261" s="210">
        <f ca="1">IFERROR(OFFSET(金币本!$E$2,MATCH(C261,金币本!$F$3:$F$302,1),0)*IF($C$26=1,2,3),0)</f>
        <v>39750</v>
      </c>
      <c r="T261" s="172" t="e">
        <f ca="1">SUM($J$28:S261)+SUM(D261:I261)</f>
        <v>#N/A</v>
      </c>
      <c r="U261" s="172" t="e">
        <f ca="1" t="shared" si="36"/>
        <v>#N/A</v>
      </c>
      <c r="V261" s="98" t="e">
        <f ca="1" t="shared" si="37"/>
        <v>#N/A</v>
      </c>
      <c r="W261" s="98" t="e">
        <f ca="1">OFFSET(装备强化!$U$6,MATCH(图纸产出设计!V262/6*W$26,装备强化!$T$7:$T$306,1),0)*6</f>
        <v>#N/A</v>
      </c>
      <c r="X261" s="98">
        <v>1057040</v>
      </c>
      <c r="Y261" s="98">
        <f t="shared" si="43"/>
        <v>7376000</v>
      </c>
      <c r="Z261" s="98">
        <f t="shared" si="45"/>
        <v>2</v>
      </c>
      <c r="AA261" s="147" t="e">
        <f ca="1" t="shared" si="38"/>
        <v>#N/A</v>
      </c>
      <c r="AB261" s="209" t="e">
        <f ca="1" t="shared" si="39"/>
        <v>#N/A</v>
      </c>
      <c r="AC261" s="209">
        <f ca="1">SUMIFS(装备强化!$Q$7:$Q$306,装备强化!$M$7:$M$306,"&lt;="&amp;MATCH(U261/6,装备强化!$U$7:$U$306,1),装备强化!$M$7:$M$306,"&gt;="&amp;MATCH(V261/6,装备强化!$U$7:$U$306,1))*6</f>
        <v>0</v>
      </c>
      <c r="AD261">
        <f ca="1" t="shared" si="44"/>
        <v>0</v>
      </c>
    </row>
    <row r="262" spans="1:30">
      <c r="A262" s="171"/>
      <c r="B262" s="80">
        <v>235</v>
      </c>
      <c r="C262" s="80">
        <f ca="1">OFFSET(产销汇总!$C$12,$B262,$C$26)</f>
        <v>240.5</v>
      </c>
      <c r="D262" s="80">
        <f t="shared" si="40"/>
        <v>14100</v>
      </c>
      <c r="E262" s="80">
        <f ca="1">(SUMIF(主线推图!$B$4:$B$303,"&lt;"&amp;C262,主线推图!$M$4:$M$303)+SUMIF(主线宝箱!$B$320:$B$620,"&lt;"&amp;C262,主线宝箱!$L$320:$L$620)+SUMIF(主线宝箱!$B$320:$B$620,"&lt;"&amp;C262,主线宝箱!$X$320:$X$620)+SUMIF(主线宝箱!$B$320:$B$620,"&lt;"&amp;C262,主线宝箱!$AL$320:$AL$620))</f>
        <v>429000</v>
      </c>
      <c r="F262" s="98">
        <f ca="1">SUMIF(组队产出!$B$24:$B$39,"&lt;="&amp;MAX(1,INT(C262/10-0.6)),组队产出!$R$24:$R$39)</f>
        <v>141000</v>
      </c>
      <c r="G262" s="80">
        <f ca="1">SUMIF(运营活动!$O$3:$O$27,"&lt;="&amp;C262,运营活动!$P$3:$P$27)</f>
        <v>30000</v>
      </c>
      <c r="H262" s="80">
        <f ca="1">OFFSET(产销汇总!$AM$12,B262,$C$26)*24</f>
        <v>1723296</v>
      </c>
      <c r="I262" s="172">
        <f ca="1">SUMIF(金币本!$F$2:$F$52,"&lt;="&amp;C262,金币本!$D$2:$D$52)</f>
        <v>1425000</v>
      </c>
      <c r="J262" s="80" t="e">
        <f ca="1">OFFSET(产销汇总!$C$1,MATCH(J$27,产销汇总!$C$2:$C$8,0),$C$26)*(_xlfn.XLOOKUP(C262,主线推图!$B$313:$B$612,主线推图!$C$313:$C$612)+_xlfn.XLOOKUP(C262,主线推图!$B$313:$B$612,主线推图!$D$313:$D$612))</f>
        <v>#N/A</v>
      </c>
      <c r="K262" s="80" t="e">
        <f ca="1">OFFSET(产销汇总!$C$1,MATCH(K$27,产销汇总!$C$2:$C$8,0),$C$26)*_xlfn.XLOOKUP(C262,巡逻产出!$B$311:$B$610,巡逻产出!$C$311:$C$610)*1.3</f>
        <v>#N/A</v>
      </c>
      <c r="L262" s="80" t="e">
        <f ca="1">OFFSET(产销汇总!$C$1,MATCH(L$27,产销汇总!$C$2:$C$8,0),$C$26)*(_xlfn.XLOOKUP(MAX(1,INT(C262/10-6/10)),组队产出!$B$24:$B$39,组队产出!$D$24:$D$39))+OFFSET(产销汇总!$C$1,MATCH(L$27,产销汇总!$C$2:$C$8,0),$C$26)*(_xlfn.XLOOKUP(MAX(1,INT(C262/10-6/10)),组队产出!$B$24:$B$39,组队产出!$C$24:$C$39))</f>
        <v>#N/A</v>
      </c>
      <c r="M262" s="80" t="e">
        <f ca="1">(OFFSET(产销汇总!$C$1,MATCH(M$27,产销汇总!$C$2:$C$8,0),$C$26)*_xlfn.XLOOKUP(C262,巡逻产出!$B$311:$B$610,巡逻产出!$D$311:$D$610))*$M$24</f>
        <v>#N/A</v>
      </c>
      <c r="N262" s="80" t="e">
        <f ca="1">OFFSET(产销汇总!$C$1,MATCH(L$27,产销汇总!$C$2:$C$8,0),$C$26)*(_xlfn.XLOOKUP(MAX(1,INT(C262/10-6/10)),组队产出!$B$24:$B$39,组队产出!$S$24:$S$39))</f>
        <v>#N/A</v>
      </c>
      <c r="O262" s="172">
        <f>任务!$D$36</f>
        <v>2457.14285714286</v>
      </c>
      <c r="P262" s="98">
        <f t="shared" si="35"/>
        <v>428</v>
      </c>
      <c r="Q262" s="80">
        <f t="shared" si="41"/>
        <v>1000</v>
      </c>
      <c r="R262" s="172">
        <f t="shared" si="42"/>
        <v>2000</v>
      </c>
      <c r="S262" s="210">
        <f ca="1">IFERROR(OFFSET(金币本!$E$2,MATCH(C262,金币本!$F$3:$F$302,1),0)*IF($C$26=1,2,3),0)</f>
        <v>39750</v>
      </c>
      <c r="T262" s="172" t="e">
        <f ca="1">SUM($J$28:S262)+SUM(D262:I262)</f>
        <v>#N/A</v>
      </c>
      <c r="U262" s="172" t="e">
        <f ca="1" t="shared" si="36"/>
        <v>#N/A</v>
      </c>
      <c r="V262" s="98" t="e">
        <f ca="1" t="shared" si="37"/>
        <v>#N/A</v>
      </c>
      <c r="W262" s="98" t="e">
        <f ca="1">OFFSET(装备强化!$U$6,MATCH(图纸产出设计!V263/6*W$26,装备强化!$T$7:$T$306,1),0)*6</f>
        <v>#N/A</v>
      </c>
      <c r="X262" s="98">
        <v>1057040</v>
      </c>
      <c r="Y262" s="98">
        <f t="shared" si="43"/>
        <v>7408000</v>
      </c>
      <c r="Z262" s="98">
        <f t="shared" si="45"/>
        <v>2</v>
      </c>
      <c r="AA262" s="147" t="e">
        <f ca="1" t="shared" si="38"/>
        <v>#N/A</v>
      </c>
      <c r="AB262" s="209" t="e">
        <f ca="1" t="shared" si="39"/>
        <v>#N/A</v>
      </c>
      <c r="AC262" s="209">
        <f ca="1">SUMIFS(装备强化!$Q$7:$Q$306,装备强化!$M$7:$M$306,"&lt;="&amp;MATCH(U262/6,装备强化!$U$7:$U$306,1),装备强化!$M$7:$M$306,"&gt;="&amp;MATCH(V262/6,装备强化!$U$7:$U$306,1))*6</f>
        <v>0</v>
      </c>
      <c r="AD262">
        <f ca="1" t="shared" si="44"/>
        <v>0</v>
      </c>
    </row>
    <row r="263" spans="1:30">
      <c r="A263" s="171"/>
      <c r="B263" s="80">
        <v>236</v>
      </c>
      <c r="C263" s="80">
        <f ca="1">OFFSET(产销汇总!$C$12,$B263,$C$26)</f>
        <v>241</v>
      </c>
      <c r="D263" s="80">
        <f t="shared" si="40"/>
        <v>14100</v>
      </c>
      <c r="E263" s="80">
        <f ca="1">(SUMIF(主线推图!$B$4:$B$303,"&lt;"&amp;C263,主线推图!$M$4:$M$303)+SUMIF(主线宝箱!$B$320:$B$620,"&lt;"&amp;C263,主线宝箱!$L$320:$L$620)+SUMIF(主线宝箱!$B$320:$B$620,"&lt;"&amp;C263,主线宝箱!$X$320:$X$620)+SUMIF(主线宝箱!$B$320:$B$620,"&lt;"&amp;C263,主线宝箱!$AL$320:$AL$620))</f>
        <v>429000</v>
      </c>
      <c r="F263" s="98">
        <f ca="1">SUMIF(组队产出!$B$24:$B$39,"&lt;="&amp;MAX(1,INT(C263/10-0.6)),组队产出!$R$24:$R$39)</f>
        <v>141000</v>
      </c>
      <c r="G263" s="80">
        <f ca="1">SUMIF(运营活动!$O$3:$O$27,"&lt;="&amp;C263,运营活动!$P$3:$P$27)</f>
        <v>30000</v>
      </c>
      <c r="H263" s="80">
        <f ca="1">OFFSET(产销汇总!$AM$12,B263,$C$26)*24</f>
        <v>1730544</v>
      </c>
      <c r="I263" s="172">
        <f ca="1">SUMIF(金币本!$F$2:$F$52,"&lt;="&amp;C263,金币本!$D$2:$D$52)</f>
        <v>1425000</v>
      </c>
      <c r="J263" s="80">
        <f ca="1">OFFSET(产销汇总!$C$1,MATCH(J$27,产销汇总!$C$2:$C$8,0),$C$26)*(_xlfn.XLOOKUP(C263,主线推图!$B$313:$B$612,主线推图!$C$313:$C$612)+_xlfn.XLOOKUP(C263,主线推图!$B$313:$B$612,主线推图!$D$313:$D$612))</f>
        <v>16720</v>
      </c>
      <c r="K263" s="80">
        <f ca="1">OFFSET(产销汇总!$C$1,MATCH(K$27,产销汇总!$C$2:$C$8,0),$C$26)*_xlfn.XLOOKUP(C263,巡逻产出!$B$311:$B$610,巡逻产出!$C$311:$C$610)*1.3</f>
        <v>0</v>
      </c>
      <c r="L263" s="80" t="e">
        <f ca="1">OFFSET(产销汇总!$C$1,MATCH(L$27,产销汇总!$C$2:$C$8,0),$C$26)*(_xlfn.XLOOKUP(MAX(1,INT(C263/10-6/10)),组队产出!$B$24:$B$39,组队产出!$D$24:$D$39))+OFFSET(产销汇总!$C$1,MATCH(L$27,产销汇总!$C$2:$C$8,0),$C$26)*(_xlfn.XLOOKUP(MAX(1,INT(C263/10-6/10)),组队产出!$B$24:$B$39,组队产出!$C$24:$C$39))</f>
        <v>#N/A</v>
      </c>
      <c r="M263" s="80">
        <f ca="1">(OFFSET(产销汇总!$C$1,MATCH(M$27,产销汇总!$C$2:$C$8,0),$C$26)*_xlfn.XLOOKUP(C263,巡逻产出!$B$311:$B$610,巡逻产出!$D$311:$D$610))*$M$24</f>
        <v>11856</v>
      </c>
      <c r="N263" s="80" t="e">
        <f ca="1">OFFSET(产销汇总!$C$1,MATCH(L$27,产销汇总!$C$2:$C$8,0),$C$26)*(_xlfn.XLOOKUP(MAX(1,INT(C263/10-6/10)),组队产出!$B$24:$B$39,组队产出!$S$24:$S$39))</f>
        <v>#N/A</v>
      </c>
      <c r="O263" s="172">
        <f>任务!$D$36</f>
        <v>2457.14285714286</v>
      </c>
      <c r="P263" s="98">
        <f t="shared" si="35"/>
        <v>428</v>
      </c>
      <c r="Q263" s="80">
        <f t="shared" si="41"/>
        <v>1000</v>
      </c>
      <c r="R263" s="172">
        <f t="shared" si="42"/>
        <v>2000</v>
      </c>
      <c r="S263" s="210">
        <f ca="1">IFERROR(OFFSET(金币本!$E$2,MATCH(C263,金币本!$F$3:$F$302,1),0)*IF($C$26=1,2,3),0)</f>
        <v>39750</v>
      </c>
      <c r="T263" s="172" t="e">
        <f ca="1">SUM($J$28:S263)+SUM(D263:I263)</f>
        <v>#N/A</v>
      </c>
      <c r="U263" s="172" t="e">
        <f ca="1" t="shared" si="36"/>
        <v>#N/A</v>
      </c>
      <c r="V263" s="98" t="e">
        <f ca="1" t="shared" si="37"/>
        <v>#N/A</v>
      </c>
      <c r="W263" s="98" t="e">
        <f ca="1">OFFSET(装备强化!$U$6,MATCH(图纸产出设计!V264/6*W$26,装备强化!$T$7:$T$306,1),0)*6</f>
        <v>#N/A</v>
      </c>
      <c r="X263" s="98">
        <v>1069240</v>
      </c>
      <c r="Y263" s="98">
        <f t="shared" si="43"/>
        <v>7440000</v>
      </c>
      <c r="Z263" s="98">
        <f t="shared" si="45"/>
        <v>2</v>
      </c>
      <c r="AA263" s="147" t="e">
        <f ca="1" t="shared" si="38"/>
        <v>#N/A</v>
      </c>
      <c r="AB263" s="209" t="e">
        <f ca="1" t="shared" si="39"/>
        <v>#N/A</v>
      </c>
      <c r="AC263" s="209">
        <f ca="1">SUMIFS(装备强化!$Q$7:$Q$306,装备强化!$M$7:$M$306,"&lt;="&amp;MATCH(U263/6,装备强化!$U$7:$U$306,1),装备强化!$M$7:$M$306,"&gt;="&amp;MATCH(V263/6,装备强化!$U$7:$U$306,1))*6</f>
        <v>0</v>
      </c>
      <c r="AD263">
        <f ca="1" t="shared" si="44"/>
        <v>0</v>
      </c>
    </row>
    <row r="264" spans="1:30">
      <c r="A264" s="171"/>
      <c r="B264" s="80">
        <v>237</v>
      </c>
      <c r="C264" s="80">
        <f ca="1">OFFSET(产销汇总!$C$12,$B264,$C$26)</f>
        <v>241.5</v>
      </c>
      <c r="D264" s="80">
        <f t="shared" si="40"/>
        <v>14100</v>
      </c>
      <c r="E264" s="80">
        <f ca="1">(SUMIF(主线推图!$B$4:$B$303,"&lt;"&amp;C264,主线推图!$M$4:$M$303)+SUMIF(主线宝箱!$B$320:$B$620,"&lt;"&amp;C264,主线宝箱!$L$320:$L$620)+SUMIF(主线宝箱!$B$320:$B$620,"&lt;"&amp;C264,主线宝箱!$X$320:$X$620)+SUMIF(主线宝箱!$B$320:$B$620,"&lt;"&amp;C264,主线宝箱!$AL$320:$AL$620))</f>
        <v>430800</v>
      </c>
      <c r="F264" s="98">
        <f ca="1">SUMIF(组队产出!$B$24:$B$39,"&lt;="&amp;MAX(1,INT(C264/10-0.6)),组队产出!$R$24:$R$39)</f>
        <v>141000</v>
      </c>
      <c r="G264" s="80">
        <f ca="1">SUMIF(运营活动!$O$3:$O$27,"&lt;="&amp;C264,运营活动!$P$3:$P$27)</f>
        <v>30000</v>
      </c>
      <c r="H264" s="80">
        <f ca="1">OFFSET(产销汇总!$AM$12,B264,$C$26)*24</f>
        <v>1737792</v>
      </c>
      <c r="I264" s="172">
        <f ca="1">SUMIF(金币本!$F$2:$F$52,"&lt;="&amp;C264,金币本!$D$2:$D$52)</f>
        <v>1425000</v>
      </c>
      <c r="J264" s="80" t="e">
        <f ca="1">OFFSET(产销汇总!$C$1,MATCH(J$27,产销汇总!$C$2:$C$8,0),$C$26)*(_xlfn.XLOOKUP(C264,主线推图!$B$313:$B$612,主线推图!$C$313:$C$612)+_xlfn.XLOOKUP(C264,主线推图!$B$313:$B$612,主线推图!$D$313:$D$612))</f>
        <v>#N/A</v>
      </c>
      <c r="K264" s="80" t="e">
        <f ca="1">OFFSET(产销汇总!$C$1,MATCH(K$27,产销汇总!$C$2:$C$8,0),$C$26)*_xlfn.XLOOKUP(C264,巡逻产出!$B$311:$B$610,巡逻产出!$C$311:$C$610)*1.3</f>
        <v>#N/A</v>
      </c>
      <c r="L264" s="80" t="e">
        <f ca="1">OFFSET(产销汇总!$C$1,MATCH(L$27,产销汇总!$C$2:$C$8,0),$C$26)*(_xlfn.XLOOKUP(MAX(1,INT(C264/10-6/10)),组队产出!$B$24:$B$39,组队产出!$D$24:$D$39))+OFFSET(产销汇总!$C$1,MATCH(L$27,产销汇总!$C$2:$C$8,0),$C$26)*(_xlfn.XLOOKUP(MAX(1,INT(C264/10-6/10)),组队产出!$B$24:$B$39,组队产出!$C$24:$C$39))</f>
        <v>#N/A</v>
      </c>
      <c r="M264" s="80" t="e">
        <f ca="1">(OFFSET(产销汇总!$C$1,MATCH(M$27,产销汇总!$C$2:$C$8,0),$C$26)*_xlfn.XLOOKUP(C264,巡逻产出!$B$311:$B$610,巡逻产出!$D$311:$D$610))*$M$24</f>
        <v>#N/A</v>
      </c>
      <c r="N264" s="80" t="e">
        <f ca="1">OFFSET(产销汇总!$C$1,MATCH(L$27,产销汇总!$C$2:$C$8,0),$C$26)*(_xlfn.XLOOKUP(MAX(1,INT(C264/10-6/10)),组队产出!$B$24:$B$39,组队产出!$S$24:$S$39))</f>
        <v>#N/A</v>
      </c>
      <c r="O264" s="172">
        <f>任务!$D$36</f>
        <v>2457.14285714286</v>
      </c>
      <c r="P264" s="98">
        <f t="shared" si="35"/>
        <v>428</v>
      </c>
      <c r="Q264" s="80">
        <f t="shared" si="41"/>
        <v>1000</v>
      </c>
      <c r="R264" s="172">
        <f t="shared" si="42"/>
        <v>2000</v>
      </c>
      <c r="S264" s="210">
        <f ca="1">IFERROR(OFFSET(金币本!$E$2,MATCH(C264,金币本!$F$3:$F$302,1),0)*IF($C$26=1,2,3),0)</f>
        <v>39750</v>
      </c>
      <c r="T264" s="172" t="e">
        <f ca="1">SUM($J$28:S264)+SUM(D264:I264)</f>
        <v>#N/A</v>
      </c>
      <c r="U264" s="172" t="e">
        <f ca="1" t="shared" si="36"/>
        <v>#N/A</v>
      </c>
      <c r="V264" s="98" t="e">
        <f ca="1" t="shared" si="37"/>
        <v>#N/A</v>
      </c>
      <c r="W264" s="98" t="e">
        <f ca="1">OFFSET(装备强化!$U$6,MATCH(图纸产出设计!V265/6*W$26,装备强化!$T$7:$T$306,1),0)*6</f>
        <v>#N/A</v>
      </c>
      <c r="X264" s="98">
        <v>1069240</v>
      </c>
      <c r="Y264" s="98">
        <f t="shared" si="43"/>
        <v>7472000</v>
      </c>
      <c r="Z264" s="98">
        <f t="shared" si="45"/>
        <v>2</v>
      </c>
      <c r="AA264" s="147" t="e">
        <f ca="1" t="shared" si="38"/>
        <v>#N/A</v>
      </c>
      <c r="AB264" s="209" t="e">
        <f ca="1" t="shared" si="39"/>
        <v>#N/A</v>
      </c>
      <c r="AC264" s="209">
        <f ca="1">SUMIFS(装备强化!$Q$7:$Q$306,装备强化!$M$7:$M$306,"&lt;="&amp;MATCH(U264/6,装备强化!$U$7:$U$306,1),装备强化!$M$7:$M$306,"&gt;="&amp;MATCH(V264/6,装备强化!$U$7:$U$306,1))*6</f>
        <v>0</v>
      </c>
      <c r="AD264">
        <f ca="1" t="shared" si="44"/>
        <v>0</v>
      </c>
    </row>
    <row r="265" spans="1:30">
      <c r="A265" s="171"/>
      <c r="B265" s="80">
        <v>238</v>
      </c>
      <c r="C265" s="80">
        <f ca="1">OFFSET(产销汇总!$C$12,$B265,$C$26)</f>
        <v>242</v>
      </c>
      <c r="D265" s="80">
        <f t="shared" si="40"/>
        <v>14100</v>
      </c>
      <c r="E265" s="80">
        <f ca="1">(SUMIF(主线推图!$B$4:$B$303,"&lt;"&amp;C265,主线推图!$M$4:$M$303)+SUMIF(主线宝箱!$B$320:$B$620,"&lt;"&amp;C265,主线宝箱!$L$320:$L$620)+SUMIF(主线宝箱!$B$320:$B$620,"&lt;"&amp;C265,主线宝箱!$X$320:$X$620)+SUMIF(主线宝箱!$B$320:$B$620,"&lt;"&amp;C265,主线宝箱!$AL$320:$AL$620))</f>
        <v>430800</v>
      </c>
      <c r="F265" s="98">
        <f ca="1">SUMIF(组队产出!$B$24:$B$39,"&lt;="&amp;MAX(1,INT(C265/10-0.6)),组队产出!$R$24:$R$39)</f>
        <v>141000</v>
      </c>
      <c r="G265" s="80">
        <f ca="1">SUMIF(运营活动!$O$3:$O$27,"&lt;="&amp;C265,运营活动!$P$3:$P$27)</f>
        <v>30000</v>
      </c>
      <c r="H265" s="80">
        <f ca="1">OFFSET(产销汇总!$AM$12,B265,$C$26)*24</f>
        <v>1745040</v>
      </c>
      <c r="I265" s="172">
        <f ca="1">SUMIF(金币本!$F$2:$F$52,"&lt;="&amp;C265,金币本!$D$2:$D$52)</f>
        <v>1425000</v>
      </c>
      <c r="J265" s="80">
        <f ca="1">OFFSET(产销汇总!$C$1,MATCH(J$27,产销汇总!$C$2:$C$8,0),$C$26)*(_xlfn.XLOOKUP(C265,主线推图!$B$313:$B$612,主线推图!$C$313:$C$612)+_xlfn.XLOOKUP(C265,主线推图!$B$313:$B$612,主线推图!$D$313:$D$612))</f>
        <v>16764</v>
      </c>
      <c r="K265" s="80">
        <f ca="1">OFFSET(产销汇总!$C$1,MATCH(K$27,产销汇总!$C$2:$C$8,0),$C$26)*_xlfn.XLOOKUP(C265,巡逻产出!$B$311:$B$610,巡逻产出!$C$311:$C$610)*1.3</f>
        <v>0</v>
      </c>
      <c r="L265" s="80" t="e">
        <f ca="1">OFFSET(产销汇总!$C$1,MATCH(L$27,产销汇总!$C$2:$C$8,0),$C$26)*(_xlfn.XLOOKUP(MAX(1,INT(C265/10-6/10)),组队产出!$B$24:$B$39,组队产出!$D$24:$D$39))+OFFSET(产销汇总!$C$1,MATCH(L$27,产销汇总!$C$2:$C$8,0),$C$26)*(_xlfn.XLOOKUP(MAX(1,INT(C265/10-6/10)),组队产出!$B$24:$B$39,组队产出!$C$24:$C$39))</f>
        <v>#N/A</v>
      </c>
      <c r="M265" s="80">
        <f ca="1">(OFFSET(产销汇总!$C$1,MATCH(M$27,产销汇总!$C$2:$C$8,0),$C$26)*_xlfn.XLOOKUP(C265,巡逻产出!$B$311:$B$610,巡逻产出!$D$311:$D$610))*$M$24</f>
        <v>11887.2</v>
      </c>
      <c r="N265" s="80" t="e">
        <f ca="1">OFFSET(产销汇总!$C$1,MATCH(L$27,产销汇总!$C$2:$C$8,0),$C$26)*(_xlfn.XLOOKUP(MAX(1,INT(C265/10-6/10)),组队产出!$B$24:$B$39,组队产出!$S$24:$S$39))</f>
        <v>#N/A</v>
      </c>
      <c r="O265" s="172">
        <f>任务!$D$36</f>
        <v>2457.14285714286</v>
      </c>
      <c r="P265" s="98">
        <f t="shared" si="35"/>
        <v>428</v>
      </c>
      <c r="Q265" s="80">
        <f t="shared" si="41"/>
        <v>1000</v>
      </c>
      <c r="R265" s="172">
        <f t="shared" si="42"/>
        <v>2000</v>
      </c>
      <c r="S265" s="210">
        <f ca="1">IFERROR(OFFSET(金币本!$E$2,MATCH(C265,金币本!$F$3:$F$302,1),0)*IF($C$26=1,2,3),0)</f>
        <v>39750</v>
      </c>
      <c r="T265" s="172" t="e">
        <f ca="1">SUM($J$28:S265)+SUM(D265:I265)</f>
        <v>#N/A</v>
      </c>
      <c r="U265" s="172" t="e">
        <f ca="1" t="shared" si="36"/>
        <v>#N/A</v>
      </c>
      <c r="V265" s="98" t="e">
        <f ca="1" t="shared" si="37"/>
        <v>#N/A</v>
      </c>
      <c r="W265" s="98" t="e">
        <f ca="1">OFFSET(装备强化!$U$6,MATCH(图纸产出设计!V266/6*W$26,装备强化!$T$7:$T$306,1),0)*6</f>
        <v>#N/A</v>
      </c>
      <c r="X265" s="98">
        <v>1069240</v>
      </c>
      <c r="Y265" s="98">
        <f t="shared" si="43"/>
        <v>7504000</v>
      </c>
      <c r="Z265" s="98">
        <f t="shared" si="45"/>
        <v>2</v>
      </c>
      <c r="AA265" s="147" t="e">
        <f ca="1" t="shared" si="38"/>
        <v>#N/A</v>
      </c>
      <c r="AB265" s="209" t="e">
        <f ca="1" t="shared" si="39"/>
        <v>#N/A</v>
      </c>
      <c r="AC265" s="209">
        <f ca="1">SUMIFS(装备强化!$Q$7:$Q$306,装备强化!$M$7:$M$306,"&lt;="&amp;MATCH(U265/6,装备强化!$U$7:$U$306,1),装备强化!$M$7:$M$306,"&gt;="&amp;MATCH(V265/6,装备强化!$U$7:$U$306,1))*6</f>
        <v>0</v>
      </c>
      <c r="AD265">
        <f ca="1" t="shared" si="44"/>
        <v>0</v>
      </c>
    </row>
    <row r="266" spans="1:30">
      <c r="A266" s="171"/>
      <c r="B266" s="80">
        <v>239</v>
      </c>
      <c r="C266" s="80">
        <f ca="1">OFFSET(产销汇总!$C$12,$B266,$C$26)</f>
        <v>242.5</v>
      </c>
      <c r="D266" s="80">
        <f t="shared" si="40"/>
        <v>14100</v>
      </c>
      <c r="E266" s="80">
        <f ca="1">(SUMIF(主线推图!$B$4:$B$303,"&lt;"&amp;C266,主线推图!$M$4:$M$303)+SUMIF(主线宝箱!$B$320:$B$620,"&lt;"&amp;C266,主线宝箱!$L$320:$L$620)+SUMIF(主线宝箱!$B$320:$B$620,"&lt;"&amp;C266,主线宝箱!$X$320:$X$620)+SUMIF(主线宝箱!$B$320:$B$620,"&lt;"&amp;C266,主线宝箱!$AL$320:$AL$620))</f>
        <v>432600</v>
      </c>
      <c r="F266" s="98">
        <f ca="1">SUMIF(组队产出!$B$24:$B$39,"&lt;="&amp;MAX(1,INT(C266/10-0.6)),组队产出!$R$24:$R$39)</f>
        <v>141000</v>
      </c>
      <c r="G266" s="80">
        <f ca="1">SUMIF(运营活动!$O$3:$O$27,"&lt;="&amp;C266,运营活动!$P$3:$P$27)</f>
        <v>30000</v>
      </c>
      <c r="H266" s="80">
        <f ca="1">OFFSET(产销汇总!$AM$12,B266,$C$26)*24</f>
        <v>1752288</v>
      </c>
      <c r="I266" s="172">
        <f ca="1">SUMIF(金币本!$F$2:$F$52,"&lt;="&amp;C266,金币本!$D$2:$D$52)</f>
        <v>1425000</v>
      </c>
      <c r="J266" s="80" t="e">
        <f ca="1">OFFSET(产销汇总!$C$1,MATCH(J$27,产销汇总!$C$2:$C$8,0),$C$26)*(_xlfn.XLOOKUP(C266,主线推图!$B$313:$B$612,主线推图!$C$313:$C$612)+_xlfn.XLOOKUP(C266,主线推图!$B$313:$B$612,主线推图!$D$313:$D$612))</f>
        <v>#N/A</v>
      </c>
      <c r="K266" s="80" t="e">
        <f ca="1">OFFSET(产销汇总!$C$1,MATCH(K$27,产销汇总!$C$2:$C$8,0),$C$26)*_xlfn.XLOOKUP(C266,巡逻产出!$B$311:$B$610,巡逻产出!$C$311:$C$610)*1.3</f>
        <v>#N/A</v>
      </c>
      <c r="L266" s="80" t="e">
        <f ca="1">OFFSET(产销汇总!$C$1,MATCH(L$27,产销汇总!$C$2:$C$8,0),$C$26)*(_xlfn.XLOOKUP(MAX(1,INT(C266/10-6/10)),组队产出!$B$24:$B$39,组队产出!$D$24:$D$39))+OFFSET(产销汇总!$C$1,MATCH(L$27,产销汇总!$C$2:$C$8,0),$C$26)*(_xlfn.XLOOKUP(MAX(1,INT(C266/10-6/10)),组队产出!$B$24:$B$39,组队产出!$C$24:$C$39))</f>
        <v>#N/A</v>
      </c>
      <c r="M266" s="80" t="e">
        <f ca="1">(OFFSET(产销汇总!$C$1,MATCH(M$27,产销汇总!$C$2:$C$8,0),$C$26)*_xlfn.XLOOKUP(C266,巡逻产出!$B$311:$B$610,巡逻产出!$D$311:$D$610))*$M$24</f>
        <v>#N/A</v>
      </c>
      <c r="N266" s="80" t="e">
        <f ca="1">OFFSET(产销汇总!$C$1,MATCH(L$27,产销汇总!$C$2:$C$8,0),$C$26)*(_xlfn.XLOOKUP(MAX(1,INT(C266/10-6/10)),组队产出!$B$24:$B$39,组队产出!$S$24:$S$39))</f>
        <v>#N/A</v>
      </c>
      <c r="O266" s="172">
        <f>任务!$D$36</f>
        <v>2457.14285714286</v>
      </c>
      <c r="P266" s="98">
        <f t="shared" si="35"/>
        <v>428</v>
      </c>
      <c r="Q266" s="80">
        <f t="shared" si="41"/>
        <v>1500</v>
      </c>
      <c r="R266" s="172">
        <f t="shared" si="42"/>
        <v>2000</v>
      </c>
      <c r="S266" s="210">
        <f ca="1">IFERROR(OFFSET(金币本!$E$2,MATCH(C266,金币本!$F$3:$F$302,1),0)*IF($C$26=1,2,3),0)</f>
        <v>39750</v>
      </c>
      <c r="T266" s="172" t="e">
        <f ca="1">SUM($J$28:S266)+SUM(D266:I266)</f>
        <v>#N/A</v>
      </c>
      <c r="U266" s="172" t="e">
        <f ca="1" t="shared" si="36"/>
        <v>#N/A</v>
      </c>
      <c r="V266" s="98" t="e">
        <f ca="1" t="shared" si="37"/>
        <v>#N/A</v>
      </c>
      <c r="W266" s="98" t="e">
        <f ca="1">OFFSET(装备强化!$U$6,MATCH(图纸产出设计!V267/6*W$26,装备强化!$T$7:$T$306,1),0)*6</f>
        <v>#N/A</v>
      </c>
      <c r="X266" s="98">
        <v>1081510</v>
      </c>
      <c r="Y266" s="98">
        <f t="shared" si="43"/>
        <v>7536000</v>
      </c>
      <c r="Z266" s="98">
        <f t="shared" si="45"/>
        <v>2</v>
      </c>
      <c r="AA266" s="147" t="e">
        <f ca="1" t="shared" si="38"/>
        <v>#N/A</v>
      </c>
      <c r="AB266" s="209" t="e">
        <f ca="1" t="shared" si="39"/>
        <v>#N/A</v>
      </c>
      <c r="AC266" s="209">
        <f ca="1">SUMIFS(装备强化!$Q$7:$Q$306,装备强化!$M$7:$M$306,"&lt;="&amp;MATCH(U266/6,装备强化!$U$7:$U$306,1),装备强化!$M$7:$M$306,"&gt;="&amp;MATCH(V266/6,装备强化!$U$7:$U$306,1))*6</f>
        <v>0</v>
      </c>
      <c r="AD266">
        <f ca="1" t="shared" si="44"/>
        <v>0</v>
      </c>
    </row>
    <row r="267" spans="1:30">
      <c r="A267" s="171"/>
      <c r="B267" s="80">
        <v>240</v>
      </c>
      <c r="C267" s="80">
        <f ca="1">OFFSET(产销汇总!$C$12,$B267,$C$26)</f>
        <v>243</v>
      </c>
      <c r="D267" s="80">
        <f t="shared" si="40"/>
        <v>14100</v>
      </c>
      <c r="E267" s="80">
        <f ca="1">(SUMIF(主线推图!$B$4:$B$303,"&lt;"&amp;C267,主线推图!$M$4:$M$303)+SUMIF(主线宝箱!$B$320:$B$620,"&lt;"&amp;C267,主线宝箱!$L$320:$L$620)+SUMIF(主线宝箱!$B$320:$B$620,"&lt;"&amp;C267,主线宝箱!$X$320:$X$620)+SUMIF(主线宝箱!$B$320:$B$620,"&lt;"&amp;C267,主线宝箱!$AL$320:$AL$620))</f>
        <v>432600</v>
      </c>
      <c r="F267" s="98">
        <f ca="1">SUMIF(组队产出!$B$24:$B$39,"&lt;="&amp;MAX(1,INT(C267/10-0.6)),组队产出!$R$24:$R$39)</f>
        <v>141000</v>
      </c>
      <c r="G267" s="80">
        <f ca="1">SUMIF(运营活动!$O$3:$O$27,"&lt;="&amp;C267,运营活动!$P$3:$P$27)</f>
        <v>30000</v>
      </c>
      <c r="H267" s="80">
        <f ca="1">OFFSET(产销汇总!$AM$12,B267,$C$26)*24</f>
        <v>1759536</v>
      </c>
      <c r="I267" s="172">
        <f ca="1">SUMIF(金币本!$F$2:$F$52,"&lt;="&amp;C267,金币本!$D$2:$D$52)</f>
        <v>1425000</v>
      </c>
      <c r="J267" s="80">
        <f ca="1">OFFSET(产销汇总!$C$1,MATCH(J$27,产销汇总!$C$2:$C$8,0),$C$26)*(_xlfn.XLOOKUP(C267,主线推图!$B$313:$B$612,主线推图!$C$313:$C$612)+_xlfn.XLOOKUP(C267,主线推图!$B$313:$B$612,主线推图!$D$313:$D$612))</f>
        <v>16808</v>
      </c>
      <c r="K267" s="80">
        <f ca="1">OFFSET(产销汇总!$C$1,MATCH(K$27,产销汇总!$C$2:$C$8,0),$C$26)*_xlfn.XLOOKUP(C267,巡逻产出!$B$311:$B$610,巡逻产出!$C$311:$C$610)*1.3</f>
        <v>0</v>
      </c>
      <c r="L267" s="80" t="e">
        <f ca="1">OFFSET(产销汇总!$C$1,MATCH(L$27,产销汇总!$C$2:$C$8,0),$C$26)*(_xlfn.XLOOKUP(MAX(1,INT(C267/10-6/10)),组队产出!$B$24:$B$39,组队产出!$D$24:$D$39))+OFFSET(产销汇总!$C$1,MATCH(L$27,产销汇总!$C$2:$C$8,0),$C$26)*(_xlfn.XLOOKUP(MAX(1,INT(C267/10-6/10)),组队产出!$B$24:$B$39,组队产出!$C$24:$C$39))</f>
        <v>#N/A</v>
      </c>
      <c r="M267" s="80">
        <f ca="1">(OFFSET(产销汇总!$C$1,MATCH(M$27,产销汇总!$C$2:$C$8,0),$C$26)*_xlfn.XLOOKUP(C267,巡逻产出!$B$311:$B$610,巡逻产出!$D$311:$D$610))*$M$24</f>
        <v>11918.4</v>
      </c>
      <c r="N267" s="80" t="e">
        <f ca="1">OFFSET(产销汇总!$C$1,MATCH(L$27,产销汇总!$C$2:$C$8,0),$C$26)*(_xlfn.XLOOKUP(MAX(1,INT(C267/10-6/10)),组队产出!$B$24:$B$39,组队产出!$S$24:$S$39))</f>
        <v>#N/A</v>
      </c>
      <c r="O267" s="172">
        <f>任务!$D$36</f>
        <v>2457.14285714286</v>
      </c>
      <c r="P267" s="98">
        <f t="shared" si="35"/>
        <v>428</v>
      </c>
      <c r="Q267" s="80">
        <f t="shared" si="41"/>
        <v>1000</v>
      </c>
      <c r="R267" s="172">
        <f t="shared" si="42"/>
        <v>2000</v>
      </c>
      <c r="S267" s="210">
        <f ca="1">IFERROR(OFFSET(金币本!$E$2,MATCH(C267,金币本!$F$3:$F$302,1),0)*IF($C$26=1,2,3),0)</f>
        <v>39750</v>
      </c>
      <c r="T267" s="172" t="e">
        <f ca="1">SUM($J$28:S267)+SUM(D267:I267)</f>
        <v>#N/A</v>
      </c>
      <c r="U267" s="172" t="e">
        <f ca="1" t="shared" si="36"/>
        <v>#N/A</v>
      </c>
      <c r="V267" s="98" t="e">
        <f ca="1" t="shared" si="37"/>
        <v>#N/A</v>
      </c>
      <c r="W267" s="98" t="e">
        <f ca="1">OFFSET(装备强化!$U$6,MATCH(图纸产出设计!V268/6*W$26,装备强化!$T$7:$T$306,1),0)*6</f>
        <v>#N/A</v>
      </c>
      <c r="X267" s="98">
        <v>1081510</v>
      </c>
      <c r="Y267" s="98">
        <f t="shared" si="43"/>
        <v>7568000</v>
      </c>
      <c r="Z267" s="98">
        <f t="shared" si="45"/>
        <v>2</v>
      </c>
      <c r="AA267" s="147" t="e">
        <f ca="1" t="shared" si="38"/>
        <v>#N/A</v>
      </c>
      <c r="AB267" s="209" t="e">
        <f ca="1" t="shared" si="39"/>
        <v>#N/A</v>
      </c>
      <c r="AC267" s="209">
        <f ca="1">SUMIFS(装备强化!$Q$7:$Q$306,装备强化!$M$7:$M$306,"&lt;="&amp;MATCH(U267/6,装备强化!$U$7:$U$306,1),装备强化!$M$7:$M$306,"&gt;="&amp;MATCH(V267/6,装备强化!$U$7:$U$306,1))*6</f>
        <v>0</v>
      </c>
      <c r="AD267">
        <f ca="1" t="shared" si="44"/>
        <v>0</v>
      </c>
    </row>
    <row r="268" spans="1:30">
      <c r="A268" s="171"/>
      <c r="B268" s="80">
        <v>241</v>
      </c>
      <c r="C268" s="80">
        <f ca="1">OFFSET(产销汇总!$C$12,$B268,$C$26)</f>
        <v>243.5</v>
      </c>
      <c r="D268" s="80">
        <f t="shared" si="40"/>
        <v>14100</v>
      </c>
      <c r="E268" s="80">
        <f ca="1">(SUMIF(主线推图!$B$4:$B$303,"&lt;"&amp;C268,主线推图!$M$4:$M$303)+SUMIF(主线宝箱!$B$320:$B$620,"&lt;"&amp;C268,主线宝箱!$L$320:$L$620)+SUMIF(主线宝箱!$B$320:$B$620,"&lt;"&amp;C268,主线宝箱!$X$320:$X$620)+SUMIF(主线宝箱!$B$320:$B$620,"&lt;"&amp;C268,主线宝箱!$AL$320:$AL$620))</f>
        <v>434400</v>
      </c>
      <c r="F268" s="98">
        <f ca="1">SUMIF(组队产出!$B$24:$B$39,"&lt;="&amp;MAX(1,INT(C268/10-0.6)),组队产出!$R$24:$R$39)</f>
        <v>141000</v>
      </c>
      <c r="G268" s="80">
        <f ca="1">SUMIF(运营活动!$O$3:$O$27,"&lt;="&amp;C268,运营活动!$P$3:$P$27)</f>
        <v>30000</v>
      </c>
      <c r="H268" s="80">
        <f ca="1">OFFSET(产销汇总!$AM$12,B268,$C$26)*24</f>
        <v>1766784</v>
      </c>
      <c r="I268" s="172">
        <f ca="1">SUMIF(金币本!$F$2:$F$52,"&lt;="&amp;C268,金币本!$D$2:$D$52)</f>
        <v>1425000</v>
      </c>
      <c r="J268" s="80" t="e">
        <f ca="1">OFFSET(产销汇总!$C$1,MATCH(J$27,产销汇总!$C$2:$C$8,0),$C$26)*(_xlfn.XLOOKUP(C268,主线推图!$B$313:$B$612,主线推图!$C$313:$C$612)+_xlfn.XLOOKUP(C268,主线推图!$B$313:$B$612,主线推图!$D$313:$D$612))</f>
        <v>#N/A</v>
      </c>
      <c r="K268" s="80" t="e">
        <f ca="1">OFFSET(产销汇总!$C$1,MATCH(K$27,产销汇总!$C$2:$C$8,0),$C$26)*_xlfn.XLOOKUP(C268,巡逻产出!$B$311:$B$610,巡逻产出!$C$311:$C$610)*1.3</f>
        <v>#N/A</v>
      </c>
      <c r="L268" s="80" t="e">
        <f ca="1">OFFSET(产销汇总!$C$1,MATCH(L$27,产销汇总!$C$2:$C$8,0),$C$26)*(_xlfn.XLOOKUP(MAX(1,INT(C268/10-6/10)),组队产出!$B$24:$B$39,组队产出!$D$24:$D$39))+OFFSET(产销汇总!$C$1,MATCH(L$27,产销汇总!$C$2:$C$8,0),$C$26)*(_xlfn.XLOOKUP(MAX(1,INT(C268/10-6/10)),组队产出!$B$24:$B$39,组队产出!$C$24:$C$39))</f>
        <v>#N/A</v>
      </c>
      <c r="M268" s="80" t="e">
        <f ca="1">(OFFSET(产销汇总!$C$1,MATCH(M$27,产销汇总!$C$2:$C$8,0),$C$26)*_xlfn.XLOOKUP(C268,巡逻产出!$B$311:$B$610,巡逻产出!$D$311:$D$610))*$M$24</f>
        <v>#N/A</v>
      </c>
      <c r="N268" s="80" t="e">
        <f ca="1">OFFSET(产销汇总!$C$1,MATCH(L$27,产销汇总!$C$2:$C$8,0),$C$26)*(_xlfn.XLOOKUP(MAX(1,INT(C268/10-6/10)),组队产出!$B$24:$B$39,组队产出!$S$24:$S$39))</f>
        <v>#N/A</v>
      </c>
      <c r="O268" s="172">
        <f>任务!$D$36</f>
        <v>2457.14285714286</v>
      </c>
      <c r="P268" s="98">
        <f t="shared" si="35"/>
        <v>428</v>
      </c>
      <c r="Q268" s="80">
        <f t="shared" si="41"/>
        <v>1000</v>
      </c>
      <c r="R268" s="172">
        <f t="shared" si="42"/>
        <v>2000</v>
      </c>
      <c r="S268" s="210">
        <f ca="1">IFERROR(OFFSET(金币本!$E$2,MATCH(C268,金币本!$F$3:$F$302,1),0)*IF($C$26=1,2,3),0)</f>
        <v>39750</v>
      </c>
      <c r="T268" s="172" t="e">
        <f ca="1">SUM($J$28:S268)+SUM(D268:I268)</f>
        <v>#N/A</v>
      </c>
      <c r="U268" s="172" t="e">
        <f ca="1" t="shared" si="36"/>
        <v>#N/A</v>
      </c>
      <c r="V268" s="98" t="e">
        <f ca="1" t="shared" si="37"/>
        <v>#N/A</v>
      </c>
      <c r="W268" s="98" t="e">
        <f ca="1">OFFSET(装备强化!$U$6,MATCH(图纸产出设计!V269/6*W$26,装备强化!$T$7:$T$306,1),0)*6</f>
        <v>#N/A</v>
      </c>
      <c r="X268" s="98">
        <v>1081510</v>
      </c>
      <c r="Y268" s="98">
        <f t="shared" si="43"/>
        <v>7600000</v>
      </c>
      <c r="Z268" s="98">
        <f t="shared" si="45"/>
        <v>2</v>
      </c>
      <c r="AA268" s="147" t="e">
        <f ca="1" t="shared" si="38"/>
        <v>#N/A</v>
      </c>
      <c r="AB268" s="209" t="e">
        <f ca="1" t="shared" si="39"/>
        <v>#N/A</v>
      </c>
      <c r="AC268" s="209">
        <f ca="1">SUMIFS(装备强化!$Q$7:$Q$306,装备强化!$M$7:$M$306,"&lt;="&amp;MATCH(U268/6,装备强化!$U$7:$U$306,1),装备强化!$M$7:$M$306,"&gt;="&amp;MATCH(V268/6,装备强化!$U$7:$U$306,1))*6</f>
        <v>0</v>
      </c>
      <c r="AD268">
        <f ca="1" t="shared" si="44"/>
        <v>0</v>
      </c>
    </row>
    <row r="269" spans="1:30">
      <c r="A269" s="171"/>
      <c r="B269" s="80">
        <v>242</v>
      </c>
      <c r="C269" s="80">
        <f ca="1">OFFSET(产销汇总!$C$12,$B269,$C$26)</f>
        <v>244</v>
      </c>
      <c r="D269" s="80">
        <f t="shared" si="40"/>
        <v>14100</v>
      </c>
      <c r="E269" s="80">
        <f ca="1">(SUMIF(主线推图!$B$4:$B$303,"&lt;"&amp;C269,主线推图!$M$4:$M$303)+SUMIF(主线宝箱!$B$320:$B$620,"&lt;"&amp;C269,主线宝箱!$L$320:$L$620)+SUMIF(主线宝箱!$B$320:$B$620,"&lt;"&amp;C269,主线宝箱!$X$320:$X$620)+SUMIF(主线宝箱!$B$320:$B$620,"&lt;"&amp;C269,主线宝箱!$AL$320:$AL$620))</f>
        <v>434400</v>
      </c>
      <c r="F269" s="98">
        <f ca="1">SUMIF(组队产出!$B$24:$B$39,"&lt;="&amp;MAX(1,INT(C269/10-0.6)),组队产出!$R$24:$R$39)</f>
        <v>141000</v>
      </c>
      <c r="G269" s="80">
        <f ca="1">SUMIF(运营活动!$O$3:$O$27,"&lt;="&amp;C269,运营活动!$P$3:$P$27)</f>
        <v>30000</v>
      </c>
      <c r="H269" s="80">
        <f ca="1">OFFSET(产销汇总!$AM$12,B269,$C$26)*24</f>
        <v>1774032</v>
      </c>
      <c r="I269" s="172">
        <f ca="1">SUMIF(金币本!$F$2:$F$52,"&lt;="&amp;C269,金币本!$D$2:$D$52)</f>
        <v>1425000</v>
      </c>
      <c r="J269" s="80">
        <f ca="1">OFFSET(产销汇总!$C$1,MATCH(J$27,产销汇总!$C$2:$C$8,0),$C$26)*(_xlfn.XLOOKUP(C269,主线推图!$B$313:$B$612,主线推图!$C$313:$C$612)+_xlfn.XLOOKUP(C269,主线推图!$B$313:$B$612,主线推图!$D$313:$D$612))</f>
        <v>16852</v>
      </c>
      <c r="K269" s="80">
        <f ca="1">OFFSET(产销汇总!$C$1,MATCH(K$27,产销汇总!$C$2:$C$8,0),$C$26)*_xlfn.XLOOKUP(C269,巡逻产出!$B$311:$B$610,巡逻产出!$C$311:$C$610)*1.3</f>
        <v>0</v>
      </c>
      <c r="L269" s="80" t="e">
        <f ca="1">OFFSET(产销汇总!$C$1,MATCH(L$27,产销汇总!$C$2:$C$8,0),$C$26)*(_xlfn.XLOOKUP(MAX(1,INT(C269/10-6/10)),组队产出!$B$24:$B$39,组队产出!$D$24:$D$39))+OFFSET(产销汇总!$C$1,MATCH(L$27,产销汇总!$C$2:$C$8,0),$C$26)*(_xlfn.XLOOKUP(MAX(1,INT(C269/10-6/10)),组队产出!$B$24:$B$39,组队产出!$C$24:$C$39))</f>
        <v>#N/A</v>
      </c>
      <c r="M269" s="80">
        <f ca="1">(OFFSET(产销汇总!$C$1,MATCH(M$27,产销汇总!$C$2:$C$8,0),$C$26)*_xlfn.XLOOKUP(C269,巡逻产出!$B$311:$B$610,巡逻产出!$D$311:$D$610))*$M$24</f>
        <v>11949.6</v>
      </c>
      <c r="N269" s="80" t="e">
        <f ca="1">OFFSET(产销汇总!$C$1,MATCH(L$27,产销汇总!$C$2:$C$8,0),$C$26)*(_xlfn.XLOOKUP(MAX(1,INT(C269/10-6/10)),组队产出!$B$24:$B$39,组队产出!$S$24:$S$39))</f>
        <v>#N/A</v>
      </c>
      <c r="O269" s="172">
        <f>任务!$D$36</f>
        <v>2457.14285714286</v>
      </c>
      <c r="P269" s="98">
        <f t="shared" si="35"/>
        <v>428</v>
      </c>
      <c r="Q269" s="80">
        <f t="shared" si="41"/>
        <v>1000</v>
      </c>
      <c r="R269" s="172">
        <f t="shared" si="42"/>
        <v>2000</v>
      </c>
      <c r="S269" s="210">
        <f ca="1">IFERROR(OFFSET(金币本!$E$2,MATCH(C269,金币本!$F$3:$F$302,1),0)*IF($C$26=1,2,3),0)</f>
        <v>39750</v>
      </c>
      <c r="T269" s="172" t="e">
        <f ca="1">SUM($J$28:S269)+SUM(D269:I269)</f>
        <v>#N/A</v>
      </c>
      <c r="U269" s="172" t="e">
        <f ca="1" t="shared" si="36"/>
        <v>#N/A</v>
      </c>
      <c r="V269" s="98" t="e">
        <f ca="1" t="shared" si="37"/>
        <v>#N/A</v>
      </c>
      <c r="W269" s="98" t="e">
        <f ca="1">OFFSET(装备强化!$U$6,MATCH(图纸产出设计!V270/6*W$26,装备强化!$T$7:$T$306,1),0)*6</f>
        <v>#N/A</v>
      </c>
      <c r="X269" s="98">
        <v>1093850</v>
      </c>
      <c r="Y269" s="98">
        <f t="shared" si="43"/>
        <v>7632000</v>
      </c>
      <c r="Z269" s="98">
        <f t="shared" si="45"/>
        <v>2</v>
      </c>
      <c r="AA269" s="147" t="e">
        <f ca="1" t="shared" si="38"/>
        <v>#N/A</v>
      </c>
      <c r="AB269" s="209" t="e">
        <f ca="1" t="shared" si="39"/>
        <v>#N/A</v>
      </c>
      <c r="AC269" s="209">
        <f ca="1">SUMIFS(装备强化!$Q$7:$Q$306,装备强化!$M$7:$M$306,"&lt;="&amp;MATCH(U269/6,装备强化!$U$7:$U$306,1),装备强化!$M$7:$M$306,"&gt;="&amp;MATCH(V269/6,装备强化!$U$7:$U$306,1))*6</f>
        <v>0</v>
      </c>
      <c r="AD269">
        <f ca="1" t="shared" si="44"/>
        <v>0</v>
      </c>
    </row>
    <row r="270" spans="1:30">
      <c r="A270" s="171"/>
      <c r="B270" s="80">
        <v>243</v>
      </c>
      <c r="C270" s="80">
        <f ca="1">OFFSET(产销汇总!$C$12,$B270,$C$26)</f>
        <v>244.5</v>
      </c>
      <c r="D270" s="80">
        <f t="shared" si="40"/>
        <v>14100</v>
      </c>
      <c r="E270" s="80">
        <f ca="1">(SUMIF(主线推图!$B$4:$B$303,"&lt;"&amp;C270,主线推图!$M$4:$M$303)+SUMIF(主线宝箱!$B$320:$B$620,"&lt;"&amp;C270,主线宝箱!$L$320:$L$620)+SUMIF(主线宝箱!$B$320:$B$620,"&lt;"&amp;C270,主线宝箱!$X$320:$X$620)+SUMIF(主线宝箱!$B$320:$B$620,"&lt;"&amp;C270,主线宝箱!$AL$320:$AL$620))</f>
        <v>436200</v>
      </c>
      <c r="F270" s="98">
        <f ca="1">SUMIF(组队产出!$B$24:$B$39,"&lt;="&amp;MAX(1,INT(C270/10-0.6)),组队产出!$R$24:$R$39)</f>
        <v>141000</v>
      </c>
      <c r="G270" s="80">
        <f ca="1">SUMIF(运营活动!$O$3:$O$27,"&lt;="&amp;C270,运营活动!$P$3:$P$27)</f>
        <v>30000</v>
      </c>
      <c r="H270" s="80">
        <f ca="1">OFFSET(产销汇总!$AM$12,B270,$C$26)*24</f>
        <v>1781280</v>
      </c>
      <c r="I270" s="172">
        <f ca="1">SUMIF(金币本!$F$2:$F$52,"&lt;="&amp;C270,金币本!$D$2:$D$52)</f>
        <v>1425000</v>
      </c>
      <c r="J270" s="80" t="e">
        <f ca="1">OFFSET(产销汇总!$C$1,MATCH(J$27,产销汇总!$C$2:$C$8,0),$C$26)*(_xlfn.XLOOKUP(C270,主线推图!$B$313:$B$612,主线推图!$C$313:$C$612)+_xlfn.XLOOKUP(C270,主线推图!$B$313:$B$612,主线推图!$D$313:$D$612))</f>
        <v>#N/A</v>
      </c>
      <c r="K270" s="80" t="e">
        <f ca="1">OFFSET(产销汇总!$C$1,MATCH(K$27,产销汇总!$C$2:$C$8,0),$C$26)*_xlfn.XLOOKUP(C270,巡逻产出!$B$311:$B$610,巡逻产出!$C$311:$C$610)*1.3</f>
        <v>#N/A</v>
      </c>
      <c r="L270" s="80" t="e">
        <f ca="1">OFFSET(产销汇总!$C$1,MATCH(L$27,产销汇总!$C$2:$C$8,0),$C$26)*(_xlfn.XLOOKUP(MAX(1,INT(C270/10-6/10)),组队产出!$B$24:$B$39,组队产出!$D$24:$D$39))+OFFSET(产销汇总!$C$1,MATCH(L$27,产销汇总!$C$2:$C$8,0),$C$26)*(_xlfn.XLOOKUP(MAX(1,INT(C270/10-6/10)),组队产出!$B$24:$B$39,组队产出!$C$24:$C$39))</f>
        <v>#N/A</v>
      </c>
      <c r="M270" s="80" t="e">
        <f ca="1">(OFFSET(产销汇总!$C$1,MATCH(M$27,产销汇总!$C$2:$C$8,0),$C$26)*_xlfn.XLOOKUP(C270,巡逻产出!$B$311:$B$610,巡逻产出!$D$311:$D$610))*$M$24</f>
        <v>#N/A</v>
      </c>
      <c r="N270" s="80" t="e">
        <f ca="1">OFFSET(产销汇总!$C$1,MATCH(L$27,产销汇总!$C$2:$C$8,0),$C$26)*(_xlfn.XLOOKUP(MAX(1,INT(C270/10-6/10)),组队产出!$B$24:$B$39,组队产出!$S$24:$S$39))</f>
        <v>#N/A</v>
      </c>
      <c r="O270" s="172">
        <f>任务!$D$36</f>
        <v>2457.14285714286</v>
      </c>
      <c r="P270" s="98">
        <f t="shared" si="35"/>
        <v>428</v>
      </c>
      <c r="Q270" s="80">
        <f t="shared" si="41"/>
        <v>1000</v>
      </c>
      <c r="R270" s="172">
        <f t="shared" si="42"/>
        <v>2000</v>
      </c>
      <c r="S270" s="210">
        <f ca="1">IFERROR(OFFSET(金币本!$E$2,MATCH(C270,金币本!$F$3:$F$302,1),0)*IF($C$26=1,2,3),0)</f>
        <v>39750</v>
      </c>
      <c r="T270" s="172" t="e">
        <f ca="1">SUM($J$28:S270)+SUM(D270:I270)</f>
        <v>#N/A</v>
      </c>
      <c r="U270" s="172" t="e">
        <f ca="1" t="shared" si="36"/>
        <v>#N/A</v>
      </c>
      <c r="V270" s="98" t="e">
        <f ca="1" t="shared" si="37"/>
        <v>#N/A</v>
      </c>
      <c r="W270" s="98" t="e">
        <f ca="1">OFFSET(装备强化!$U$6,MATCH(图纸产出设计!V271/6*W$26,装备强化!$T$7:$T$306,1),0)*6</f>
        <v>#N/A</v>
      </c>
      <c r="X270" s="98">
        <v>1093850</v>
      </c>
      <c r="Y270" s="98">
        <f t="shared" si="43"/>
        <v>7664000</v>
      </c>
      <c r="Z270" s="98">
        <f t="shared" si="45"/>
        <v>2</v>
      </c>
      <c r="AA270" s="147" t="e">
        <f ca="1" t="shared" si="38"/>
        <v>#N/A</v>
      </c>
      <c r="AB270" s="209" t="e">
        <f ca="1" t="shared" si="39"/>
        <v>#N/A</v>
      </c>
      <c r="AC270" s="209">
        <f ca="1">SUMIFS(装备强化!$Q$7:$Q$306,装备强化!$M$7:$M$306,"&lt;="&amp;MATCH(U270/6,装备强化!$U$7:$U$306,1),装备强化!$M$7:$M$306,"&gt;="&amp;MATCH(V270/6,装备强化!$U$7:$U$306,1))*6</f>
        <v>0</v>
      </c>
      <c r="AD270">
        <f ca="1" t="shared" si="44"/>
        <v>0</v>
      </c>
    </row>
    <row r="271" spans="1:30">
      <c r="A271" s="171"/>
      <c r="B271" s="80">
        <v>244</v>
      </c>
      <c r="C271" s="80">
        <f ca="1">OFFSET(产销汇总!$C$12,$B271,$C$26)</f>
        <v>245</v>
      </c>
      <c r="D271" s="80">
        <f t="shared" si="40"/>
        <v>14100</v>
      </c>
      <c r="E271" s="80">
        <f ca="1">(SUMIF(主线推图!$B$4:$B$303,"&lt;"&amp;C271,主线推图!$M$4:$M$303)+SUMIF(主线宝箱!$B$320:$B$620,"&lt;"&amp;C271,主线宝箱!$L$320:$L$620)+SUMIF(主线宝箱!$B$320:$B$620,"&lt;"&amp;C271,主线宝箱!$X$320:$X$620)+SUMIF(主线宝箱!$B$320:$B$620,"&lt;"&amp;C271,主线宝箱!$AL$320:$AL$620))</f>
        <v>436200</v>
      </c>
      <c r="F271" s="98">
        <f ca="1">SUMIF(组队产出!$B$24:$B$39,"&lt;="&amp;MAX(1,INT(C271/10-0.6)),组队产出!$R$24:$R$39)</f>
        <v>141000</v>
      </c>
      <c r="G271" s="80">
        <f ca="1">SUMIF(运营活动!$O$3:$O$27,"&lt;="&amp;C271,运营活动!$P$3:$P$27)</f>
        <v>30000</v>
      </c>
      <c r="H271" s="80">
        <f ca="1">OFFSET(产销汇总!$AM$12,B271,$C$26)*24</f>
        <v>1788528</v>
      </c>
      <c r="I271" s="172">
        <f ca="1">SUMIF(金币本!$F$2:$F$52,"&lt;="&amp;C271,金币本!$D$2:$D$52)</f>
        <v>1425000</v>
      </c>
      <c r="J271" s="80">
        <f ca="1">OFFSET(产销汇总!$C$1,MATCH(J$27,产销汇总!$C$2:$C$8,0),$C$26)*(_xlfn.XLOOKUP(C271,主线推图!$B$313:$B$612,主线推图!$C$313:$C$612)+_xlfn.XLOOKUP(C271,主线推图!$B$313:$B$612,主线推图!$D$313:$D$612))</f>
        <v>16896</v>
      </c>
      <c r="K271" s="80">
        <f ca="1">OFFSET(产销汇总!$C$1,MATCH(K$27,产销汇总!$C$2:$C$8,0),$C$26)*_xlfn.XLOOKUP(C271,巡逻产出!$B$311:$B$610,巡逻产出!$C$311:$C$610)*1.3</f>
        <v>0</v>
      </c>
      <c r="L271" s="80" t="e">
        <f ca="1">OFFSET(产销汇总!$C$1,MATCH(L$27,产销汇总!$C$2:$C$8,0),$C$26)*(_xlfn.XLOOKUP(MAX(1,INT(C271/10-6/10)),组队产出!$B$24:$B$39,组队产出!$D$24:$D$39))+OFFSET(产销汇总!$C$1,MATCH(L$27,产销汇总!$C$2:$C$8,0),$C$26)*(_xlfn.XLOOKUP(MAX(1,INT(C271/10-6/10)),组队产出!$B$24:$B$39,组队产出!$C$24:$C$39))</f>
        <v>#N/A</v>
      </c>
      <c r="M271" s="80">
        <f ca="1">(OFFSET(产销汇总!$C$1,MATCH(M$27,产销汇总!$C$2:$C$8,0),$C$26)*_xlfn.XLOOKUP(C271,巡逻产出!$B$311:$B$610,巡逻产出!$D$311:$D$610))*$M$24</f>
        <v>11980.8</v>
      </c>
      <c r="N271" s="80" t="e">
        <f ca="1">OFFSET(产销汇总!$C$1,MATCH(L$27,产销汇总!$C$2:$C$8,0),$C$26)*(_xlfn.XLOOKUP(MAX(1,INT(C271/10-6/10)),组队产出!$B$24:$B$39,组队产出!$S$24:$S$39))</f>
        <v>#N/A</v>
      </c>
      <c r="O271" s="172">
        <f>任务!$D$36</f>
        <v>2457.14285714286</v>
      </c>
      <c r="P271" s="98">
        <f t="shared" si="35"/>
        <v>428</v>
      </c>
      <c r="Q271" s="80">
        <f t="shared" si="41"/>
        <v>1000</v>
      </c>
      <c r="R271" s="172">
        <f t="shared" si="42"/>
        <v>2000</v>
      </c>
      <c r="S271" s="210">
        <f ca="1">IFERROR(OFFSET(金币本!$E$2,MATCH(C271,金币本!$F$3:$F$302,1),0)*IF($C$26=1,2,3),0)</f>
        <v>39750</v>
      </c>
      <c r="T271" s="172" t="e">
        <f ca="1">SUM($J$28:S271)+SUM(D271:I271)</f>
        <v>#N/A</v>
      </c>
      <c r="U271" s="172" t="e">
        <f ca="1" t="shared" si="36"/>
        <v>#N/A</v>
      </c>
      <c r="V271" s="98" t="e">
        <f ca="1" t="shared" si="37"/>
        <v>#N/A</v>
      </c>
      <c r="W271" s="98" t="e">
        <f ca="1">OFFSET(装备强化!$U$6,MATCH(图纸产出设计!V272/6*W$26,装备强化!$T$7:$T$306,1),0)*6</f>
        <v>#N/A</v>
      </c>
      <c r="X271" s="98">
        <v>1093850</v>
      </c>
      <c r="Y271" s="98">
        <f t="shared" si="43"/>
        <v>7696000</v>
      </c>
      <c r="Z271" s="98">
        <f t="shared" si="45"/>
        <v>2</v>
      </c>
      <c r="AA271" s="147" t="e">
        <f ca="1" t="shared" si="38"/>
        <v>#N/A</v>
      </c>
      <c r="AB271" s="209" t="e">
        <f ca="1" t="shared" si="39"/>
        <v>#N/A</v>
      </c>
      <c r="AC271" s="209">
        <f ca="1">SUMIFS(装备强化!$Q$7:$Q$306,装备强化!$M$7:$M$306,"&lt;="&amp;MATCH(U271/6,装备强化!$U$7:$U$306,1),装备强化!$M$7:$M$306,"&gt;="&amp;MATCH(V271/6,装备强化!$U$7:$U$306,1))*6</f>
        <v>0</v>
      </c>
      <c r="AD271">
        <f ca="1" t="shared" si="44"/>
        <v>0</v>
      </c>
    </row>
    <row r="272" spans="1:30">
      <c r="A272" s="171"/>
      <c r="B272" s="80">
        <v>245</v>
      </c>
      <c r="C272" s="80">
        <f ca="1">OFFSET(产销汇总!$C$12,$B272,$C$26)</f>
        <v>245.5</v>
      </c>
      <c r="D272" s="80">
        <f t="shared" si="40"/>
        <v>14100</v>
      </c>
      <c r="E272" s="80">
        <f ca="1">(SUMIF(主线推图!$B$4:$B$303,"&lt;"&amp;C272,主线推图!$M$4:$M$303)+SUMIF(主线宝箱!$B$320:$B$620,"&lt;"&amp;C272,主线宝箱!$L$320:$L$620)+SUMIF(主线宝箱!$B$320:$B$620,"&lt;"&amp;C272,主线宝箱!$X$320:$X$620)+SUMIF(主线宝箱!$B$320:$B$620,"&lt;"&amp;C272,主线宝箱!$AL$320:$AL$620))</f>
        <v>438000</v>
      </c>
      <c r="F272" s="98">
        <f ca="1">SUMIF(组队产出!$B$24:$B$39,"&lt;="&amp;MAX(1,INT(C272/10-0.6)),组队产出!$R$24:$R$39)</f>
        <v>141000</v>
      </c>
      <c r="G272" s="80">
        <f ca="1">SUMIF(运营活动!$O$3:$O$27,"&lt;="&amp;C272,运营活动!$P$3:$P$27)</f>
        <v>30000</v>
      </c>
      <c r="H272" s="80">
        <f ca="1">OFFSET(产销汇总!$AM$12,B272,$C$26)*24</f>
        <v>1795776</v>
      </c>
      <c r="I272" s="172">
        <f ca="1">SUMIF(金币本!$F$2:$F$52,"&lt;="&amp;C272,金币本!$D$2:$D$52)</f>
        <v>1425000</v>
      </c>
      <c r="J272" s="80" t="e">
        <f ca="1">OFFSET(产销汇总!$C$1,MATCH(J$27,产销汇总!$C$2:$C$8,0),$C$26)*(_xlfn.XLOOKUP(C272,主线推图!$B$313:$B$612,主线推图!$C$313:$C$612)+_xlfn.XLOOKUP(C272,主线推图!$B$313:$B$612,主线推图!$D$313:$D$612))</f>
        <v>#N/A</v>
      </c>
      <c r="K272" s="80" t="e">
        <f ca="1">OFFSET(产销汇总!$C$1,MATCH(K$27,产销汇总!$C$2:$C$8,0),$C$26)*_xlfn.XLOOKUP(C272,巡逻产出!$B$311:$B$610,巡逻产出!$C$311:$C$610)*1.3</f>
        <v>#N/A</v>
      </c>
      <c r="L272" s="80" t="e">
        <f ca="1">OFFSET(产销汇总!$C$1,MATCH(L$27,产销汇总!$C$2:$C$8,0),$C$26)*(_xlfn.XLOOKUP(MAX(1,INT(C272/10-6/10)),组队产出!$B$24:$B$39,组队产出!$D$24:$D$39))+OFFSET(产销汇总!$C$1,MATCH(L$27,产销汇总!$C$2:$C$8,0),$C$26)*(_xlfn.XLOOKUP(MAX(1,INT(C272/10-6/10)),组队产出!$B$24:$B$39,组队产出!$C$24:$C$39))</f>
        <v>#N/A</v>
      </c>
      <c r="M272" s="80" t="e">
        <f ca="1">(OFFSET(产销汇总!$C$1,MATCH(M$27,产销汇总!$C$2:$C$8,0),$C$26)*_xlfn.XLOOKUP(C272,巡逻产出!$B$311:$B$610,巡逻产出!$D$311:$D$610))*$M$24</f>
        <v>#N/A</v>
      </c>
      <c r="N272" s="80" t="e">
        <f ca="1">OFFSET(产销汇总!$C$1,MATCH(L$27,产销汇总!$C$2:$C$8,0),$C$26)*(_xlfn.XLOOKUP(MAX(1,INT(C272/10-6/10)),组队产出!$B$24:$B$39,组队产出!$S$24:$S$39))</f>
        <v>#N/A</v>
      </c>
      <c r="O272" s="172">
        <f>任务!$D$36</f>
        <v>2457.14285714286</v>
      </c>
      <c r="P272" s="98">
        <f t="shared" si="35"/>
        <v>428</v>
      </c>
      <c r="Q272" s="80">
        <f t="shared" si="41"/>
        <v>1000</v>
      </c>
      <c r="R272" s="172">
        <f t="shared" si="42"/>
        <v>2000</v>
      </c>
      <c r="S272" s="210">
        <f ca="1">IFERROR(OFFSET(金币本!$E$2,MATCH(C272,金币本!$F$3:$F$302,1),0)*IF($C$26=1,2,3),0)</f>
        <v>39750</v>
      </c>
      <c r="T272" s="172" t="e">
        <f ca="1">SUM($J$28:S272)+SUM(D272:I272)</f>
        <v>#N/A</v>
      </c>
      <c r="U272" s="172" t="e">
        <f ca="1" t="shared" si="36"/>
        <v>#N/A</v>
      </c>
      <c r="V272" s="98" t="e">
        <f ca="1" t="shared" si="37"/>
        <v>#N/A</v>
      </c>
      <c r="W272" s="98" t="e">
        <f ca="1">OFFSET(装备强化!$U$6,MATCH(图纸产出设计!V273/6*W$26,装备强化!$T$7:$T$306,1),0)*6</f>
        <v>#N/A</v>
      </c>
      <c r="X272" s="98">
        <v>1106260</v>
      </c>
      <c r="Y272" s="98">
        <f t="shared" si="43"/>
        <v>7728000</v>
      </c>
      <c r="Z272" s="98">
        <f t="shared" si="45"/>
        <v>2</v>
      </c>
      <c r="AA272" s="147" t="e">
        <f ca="1" t="shared" si="38"/>
        <v>#N/A</v>
      </c>
      <c r="AB272" s="209" t="e">
        <f ca="1" t="shared" si="39"/>
        <v>#N/A</v>
      </c>
      <c r="AC272" s="209">
        <f ca="1">SUMIFS(装备强化!$Q$7:$Q$306,装备强化!$M$7:$M$306,"&lt;="&amp;MATCH(U272/6,装备强化!$U$7:$U$306,1),装备强化!$M$7:$M$306,"&gt;="&amp;MATCH(V272/6,装备强化!$U$7:$U$306,1))*6</f>
        <v>0</v>
      </c>
      <c r="AD272">
        <f ca="1" t="shared" si="44"/>
        <v>0</v>
      </c>
    </row>
    <row r="273" spans="1:30">
      <c r="A273" s="171"/>
      <c r="B273" s="80">
        <v>246</v>
      </c>
      <c r="C273" s="80">
        <f ca="1">OFFSET(产销汇总!$C$12,$B273,$C$26)</f>
        <v>246</v>
      </c>
      <c r="D273" s="80">
        <f t="shared" si="40"/>
        <v>14100</v>
      </c>
      <c r="E273" s="80">
        <f ca="1">(SUMIF(主线推图!$B$4:$B$303,"&lt;"&amp;C273,主线推图!$M$4:$M$303)+SUMIF(主线宝箱!$B$320:$B$620,"&lt;"&amp;C273,主线宝箱!$L$320:$L$620)+SUMIF(主线宝箱!$B$320:$B$620,"&lt;"&amp;C273,主线宝箱!$X$320:$X$620)+SUMIF(主线宝箱!$B$320:$B$620,"&lt;"&amp;C273,主线宝箱!$AL$320:$AL$620))</f>
        <v>438000</v>
      </c>
      <c r="F273" s="98">
        <f ca="1">SUMIF(组队产出!$B$24:$B$39,"&lt;="&amp;MAX(1,INT(C273/10-0.6)),组队产出!$R$24:$R$39)</f>
        <v>141000</v>
      </c>
      <c r="G273" s="80">
        <f ca="1">SUMIF(运营活动!$O$3:$O$27,"&lt;="&amp;C273,运营活动!$P$3:$P$27)</f>
        <v>30000</v>
      </c>
      <c r="H273" s="80">
        <f ca="1">OFFSET(产销汇总!$AM$12,B273,$C$26)*24</f>
        <v>1803024</v>
      </c>
      <c r="I273" s="172">
        <f ca="1">SUMIF(金币本!$F$2:$F$52,"&lt;="&amp;C273,金币本!$D$2:$D$52)</f>
        <v>1425000</v>
      </c>
      <c r="J273" s="80">
        <f ca="1">OFFSET(产销汇总!$C$1,MATCH(J$27,产销汇总!$C$2:$C$8,0),$C$26)*(_xlfn.XLOOKUP(C273,主线推图!$B$313:$B$612,主线推图!$C$313:$C$612)+_xlfn.XLOOKUP(C273,主线推图!$B$313:$B$612,主线推图!$D$313:$D$612))</f>
        <v>16940</v>
      </c>
      <c r="K273" s="80">
        <f ca="1">OFFSET(产销汇总!$C$1,MATCH(K$27,产销汇总!$C$2:$C$8,0),$C$26)*_xlfn.XLOOKUP(C273,巡逻产出!$B$311:$B$610,巡逻产出!$C$311:$C$610)*1.3</f>
        <v>0</v>
      </c>
      <c r="L273" s="80" t="e">
        <f ca="1">OFFSET(产销汇总!$C$1,MATCH(L$27,产销汇总!$C$2:$C$8,0),$C$26)*(_xlfn.XLOOKUP(MAX(1,INT(C273/10-6/10)),组队产出!$B$24:$B$39,组队产出!$D$24:$D$39))+OFFSET(产销汇总!$C$1,MATCH(L$27,产销汇总!$C$2:$C$8,0),$C$26)*(_xlfn.XLOOKUP(MAX(1,INT(C273/10-6/10)),组队产出!$B$24:$B$39,组队产出!$C$24:$C$39))</f>
        <v>#N/A</v>
      </c>
      <c r="M273" s="80">
        <f ca="1">(OFFSET(产销汇总!$C$1,MATCH(M$27,产销汇总!$C$2:$C$8,0),$C$26)*_xlfn.XLOOKUP(C273,巡逻产出!$B$311:$B$610,巡逻产出!$D$311:$D$610))*$M$24</f>
        <v>12012</v>
      </c>
      <c r="N273" s="80" t="e">
        <f ca="1">OFFSET(产销汇总!$C$1,MATCH(L$27,产销汇总!$C$2:$C$8,0),$C$26)*(_xlfn.XLOOKUP(MAX(1,INT(C273/10-6/10)),组队产出!$B$24:$B$39,组队产出!$S$24:$S$39))</f>
        <v>#N/A</v>
      </c>
      <c r="O273" s="172">
        <f>任务!$D$36</f>
        <v>2457.14285714286</v>
      </c>
      <c r="P273" s="98">
        <f t="shared" si="35"/>
        <v>428</v>
      </c>
      <c r="Q273" s="80">
        <f t="shared" si="41"/>
        <v>1500</v>
      </c>
      <c r="R273" s="172">
        <f t="shared" si="42"/>
        <v>2000</v>
      </c>
      <c r="S273" s="210">
        <f ca="1">IFERROR(OFFSET(金币本!$E$2,MATCH(C273,金币本!$F$3:$F$302,1),0)*IF($C$26=1,2,3),0)</f>
        <v>39750</v>
      </c>
      <c r="T273" s="172" t="e">
        <f ca="1">SUM($J$28:S273)+SUM(D273:I273)</f>
        <v>#N/A</v>
      </c>
      <c r="U273" s="172" t="e">
        <f ca="1" t="shared" si="36"/>
        <v>#N/A</v>
      </c>
      <c r="V273" s="98" t="e">
        <f ca="1" t="shared" si="37"/>
        <v>#N/A</v>
      </c>
      <c r="W273" s="98" t="e">
        <f ca="1">OFFSET(装备强化!$U$6,MATCH(图纸产出设计!V274/6*W$26,装备强化!$T$7:$T$306,1),0)*6</f>
        <v>#N/A</v>
      </c>
      <c r="X273" s="98">
        <v>1106260</v>
      </c>
      <c r="Y273" s="98">
        <f t="shared" si="43"/>
        <v>7760000</v>
      </c>
      <c r="Z273" s="98">
        <f t="shared" si="45"/>
        <v>2</v>
      </c>
      <c r="AA273" s="147" t="e">
        <f ca="1" t="shared" si="38"/>
        <v>#N/A</v>
      </c>
      <c r="AB273" s="209" t="e">
        <f ca="1" t="shared" si="39"/>
        <v>#N/A</v>
      </c>
      <c r="AC273" s="209">
        <f ca="1">SUMIFS(装备强化!$Q$7:$Q$306,装备强化!$M$7:$M$306,"&lt;="&amp;MATCH(U273/6,装备强化!$U$7:$U$306,1),装备强化!$M$7:$M$306,"&gt;="&amp;MATCH(V273/6,装备强化!$U$7:$U$306,1))*6</f>
        <v>0</v>
      </c>
      <c r="AD273">
        <f ca="1" t="shared" si="44"/>
        <v>0</v>
      </c>
    </row>
    <row r="274" spans="1:30">
      <c r="A274" s="171"/>
      <c r="B274" s="80">
        <v>247</v>
      </c>
      <c r="C274" s="80">
        <f ca="1">OFFSET(产销汇总!$C$12,$B274,$C$26)</f>
        <v>246.5</v>
      </c>
      <c r="D274" s="80">
        <f t="shared" si="40"/>
        <v>14100</v>
      </c>
      <c r="E274" s="80">
        <f ca="1">(SUMIF(主线推图!$B$4:$B$303,"&lt;"&amp;C274,主线推图!$M$4:$M$303)+SUMIF(主线宝箱!$B$320:$B$620,"&lt;"&amp;C274,主线宝箱!$L$320:$L$620)+SUMIF(主线宝箱!$B$320:$B$620,"&lt;"&amp;C274,主线宝箱!$X$320:$X$620)+SUMIF(主线宝箱!$B$320:$B$620,"&lt;"&amp;C274,主线宝箱!$AL$320:$AL$620))</f>
        <v>439800</v>
      </c>
      <c r="F274" s="98">
        <f ca="1">SUMIF(组队产出!$B$24:$B$39,"&lt;="&amp;MAX(1,INT(C274/10-0.6)),组队产出!$R$24:$R$39)</f>
        <v>141000</v>
      </c>
      <c r="G274" s="80">
        <f ca="1">SUMIF(运营活动!$O$3:$O$27,"&lt;="&amp;C274,运营活动!$P$3:$P$27)</f>
        <v>30000</v>
      </c>
      <c r="H274" s="80">
        <f ca="1">OFFSET(产销汇总!$AM$12,B274,$C$26)*24</f>
        <v>1810272</v>
      </c>
      <c r="I274" s="172">
        <f ca="1">SUMIF(金币本!$F$2:$F$52,"&lt;="&amp;C274,金币本!$D$2:$D$52)</f>
        <v>1425000</v>
      </c>
      <c r="J274" s="80" t="e">
        <f ca="1">OFFSET(产销汇总!$C$1,MATCH(J$27,产销汇总!$C$2:$C$8,0),$C$26)*(_xlfn.XLOOKUP(C274,主线推图!$B$313:$B$612,主线推图!$C$313:$C$612)+_xlfn.XLOOKUP(C274,主线推图!$B$313:$B$612,主线推图!$D$313:$D$612))</f>
        <v>#N/A</v>
      </c>
      <c r="K274" s="80" t="e">
        <f ca="1">OFFSET(产销汇总!$C$1,MATCH(K$27,产销汇总!$C$2:$C$8,0),$C$26)*_xlfn.XLOOKUP(C274,巡逻产出!$B$311:$B$610,巡逻产出!$C$311:$C$610)*1.3</f>
        <v>#N/A</v>
      </c>
      <c r="L274" s="80" t="e">
        <f ca="1">OFFSET(产销汇总!$C$1,MATCH(L$27,产销汇总!$C$2:$C$8,0),$C$26)*(_xlfn.XLOOKUP(MAX(1,INT(C274/10-6/10)),组队产出!$B$24:$B$39,组队产出!$D$24:$D$39))+OFFSET(产销汇总!$C$1,MATCH(L$27,产销汇总!$C$2:$C$8,0),$C$26)*(_xlfn.XLOOKUP(MAX(1,INT(C274/10-6/10)),组队产出!$B$24:$B$39,组队产出!$C$24:$C$39))</f>
        <v>#N/A</v>
      </c>
      <c r="M274" s="80" t="e">
        <f ca="1">(OFFSET(产销汇总!$C$1,MATCH(M$27,产销汇总!$C$2:$C$8,0),$C$26)*_xlfn.XLOOKUP(C274,巡逻产出!$B$311:$B$610,巡逻产出!$D$311:$D$610))*$M$24</f>
        <v>#N/A</v>
      </c>
      <c r="N274" s="80" t="e">
        <f ca="1">OFFSET(产销汇总!$C$1,MATCH(L$27,产销汇总!$C$2:$C$8,0),$C$26)*(_xlfn.XLOOKUP(MAX(1,INT(C274/10-6/10)),组队产出!$B$24:$B$39,组队产出!$S$24:$S$39))</f>
        <v>#N/A</v>
      </c>
      <c r="O274" s="172">
        <f>任务!$D$36</f>
        <v>2457.14285714286</v>
      </c>
      <c r="P274" s="98">
        <f t="shared" si="35"/>
        <v>428</v>
      </c>
      <c r="Q274" s="80">
        <f t="shared" si="41"/>
        <v>1000</v>
      </c>
      <c r="R274" s="172">
        <f t="shared" si="42"/>
        <v>2000</v>
      </c>
      <c r="S274" s="210">
        <f ca="1">IFERROR(OFFSET(金币本!$E$2,MATCH(C274,金币本!$F$3:$F$302,1),0)*IF($C$26=1,2,3),0)</f>
        <v>39750</v>
      </c>
      <c r="T274" s="172" t="e">
        <f ca="1">SUM($J$28:S274)+SUM(D274:I274)</f>
        <v>#N/A</v>
      </c>
      <c r="U274" s="172" t="e">
        <f ca="1" t="shared" si="36"/>
        <v>#N/A</v>
      </c>
      <c r="V274" s="98" t="e">
        <f ca="1" t="shared" si="37"/>
        <v>#N/A</v>
      </c>
      <c r="W274" s="98" t="e">
        <f ca="1">OFFSET(装备强化!$U$6,MATCH(图纸产出设计!V275/6*W$26,装备强化!$T$7:$T$306,1),0)*6</f>
        <v>#N/A</v>
      </c>
      <c r="X274" s="98">
        <v>1106260</v>
      </c>
      <c r="Y274" s="98">
        <f t="shared" si="43"/>
        <v>7792000</v>
      </c>
      <c r="Z274" s="98">
        <f t="shared" si="45"/>
        <v>2</v>
      </c>
      <c r="AA274" s="147" t="e">
        <f ca="1" t="shared" si="38"/>
        <v>#N/A</v>
      </c>
      <c r="AB274" s="209" t="e">
        <f ca="1" t="shared" si="39"/>
        <v>#N/A</v>
      </c>
      <c r="AC274" s="209">
        <f ca="1">SUMIFS(装备强化!$Q$7:$Q$306,装备强化!$M$7:$M$306,"&lt;="&amp;MATCH(U274/6,装备强化!$U$7:$U$306,1),装备强化!$M$7:$M$306,"&gt;="&amp;MATCH(V274/6,装备强化!$U$7:$U$306,1))*6</f>
        <v>0</v>
      </c>
      <c r="AD274">
        <f ca="1" t="shared" si="44"/>
        <v>0</v>
      </c>
    </row>
    <row r="275" spans="1:30">
      <c r="A275" s="171"/>
      <c r="B275" s="80">
        <v>248</v>
      </c>
      <c r="C275" s="80">
        <f ca="1">OFFSET(产销汇总!$C$12,$B275,$C$26)</f>
        <v>247</v>
      </c>
      <c r="D275" s="80">
        <f t="shared" si="40"/>
        <v>14100</v>
      </c>
      <c r="E275" s="80">
        <f ca="1">(SUMIF(主线推图!$B$4:$B$303,"&lt;"&amp;C275,主线推图!$M$4:$M$303)+SUMIF(主线宝箱!$B$320:$B$620,"&lt;"&amp;C275,主线宝箱!$L$320:$L$620)+SUMIF(主线宝箱!$B$320:$B$620,"&lt;"&amp;C275,主线宝箱!$X$320:$X$620)+SUMIF(主线宝箱!$B$320:$B$620,"&lt;"&amp;C275,主线宝箱!$AL$320:$AL$620))</f>
        <v>439800</v>
      </c>
      <c r="F275" s="98">
        <f ca="1">SUMIF(组队产出!$B$24:$B$39,"&lt;="&amp;MAX(1,INT(C275/10-0.6)),组队产出!$R$24:$R$39)</f>
        <v>141000</v>
      </c>
      <c r="G275" s="80">
        <f ca="1">SUMIF(运营活动!$O$3:$O$27,"&lt;="&amp;C275,运营活动!$P$3:$P$27)</f>
        <v>30000</v>
      </c>
      <c r="H275" s="80">
        <f ca="1">OFFSET(产销汇总!$AM$12,B275,$C$26)*24</f>
        <v>1817520</v>
      </c>
      <c r="I275" s="172">
        <f ca="1">SUMIF(金币本!$F$2:$F$52,"&lt;="&amp;C275,金币本!$D$2:$D$52)</f>
        <v>1425000</v>
      </c>
      <c r="J275" s="80">
        <f ca="1">OFFSET(产销汇总!$C$1,MATCH(J$27,产销汇总!$C$2:$C$8,0),$C$26)*(_xlfn.XLOOKUP(C275,主线推图!$B$313:$B$612,主线推图!$C$313:$C$612)+_xlfn.XLOOKUP(C275,主线推图!$B$313:$B$612,主线推图!$D$313:$D$612))</f>
        <v>16984</v>
      </c>
      <c r="K275" s="80">
        <f ca="1">OFFSET(产销汇总!$C$1,MATCH(K$27,产销汇总!$C$2:$C$8,0),$C$26)*_xlfn.XLOOKUP(C275,巡逻产出!$B$311:$B$610,巡逻产出!$C$311:$C$610)*1.3</f>
        <v>0</v>
      </c>
      <c r="L275" s="80" t="e">
        <f ca="1">OFFSET(产销汇总!$C$1,MATCH(L$27,产销汇总!$C$2:$C$8,0),$C$26)*(_xlfn.XLOOKUP(MAX(1,INT(C275/10-6/10)),组队产出!$B$24:$B$39,组队产出!$D$24:$D$39))+OFFSET(产销汇总!$C$1,MATCH(L$27,产销汇总!$C$2:$C$8,0),$C$26)*(_xlfn.XLOOKUP(MAX(1,INT(C275/10-6/10)),组队产出!$B$24:$B$39,组队产出!$C$24:$C$39))</f>
        <v>#N/A</v>
      </c>
      <c r="M275" s="80">
        <f ca="1">(OFFSET(产销汇总!$C$1,MATCH(M$27,产销汇总!$C$2:$C$8,0),$C$26)*_xlfn.XLOOKUP(C275,巡逻产出!$B$311:$B$610,巡逻产出!$D$311:$D$610))*$M$24</f>
        <v>12043.2</v>
      </c>
      <c r="N275" s="80" t="e">
        <f ca="1">OFFSET(产销汇总!$C$1,MATCH(L$27,产销汇总!$C$2:$C$8,0),$C$26)*(_xlfn.XLOOKUP(MAX(1,INT(C275/10-6/10)),组队产出!$B$24:$B$39,组队产出!$S$24:$S$39))</f>
        <v>#N/A</v>
      </c>
      <c r="O275" s="172">
        <f>任务!$D$36</f>
        <v>2457.14285714286</v>
      </c>
      <c r="P275" s="98">
        <f t="shared" si="35"/>
        <v>428</v>
      </c>
      <c r="Q275" s="80">
        <f t="shared" si="41"/>
        <v>1000</v>
      </c>
      <c r="R275" s="172">
        <f t="shared" si="42"/>
        <v>2000</v>
      </c>
      <c r="S275" s="210">
        <f ca="1">IFERROR(OFFSET(金币本!$E$2,MATCH(C275,金币本!$F$3:$F$302,1),0)*IF($C$26=1,2,3),0)</f>
        <v>39750</v>
      </c>
      <c r="T275" s="172" t="e">
        <f ca="1">SUM($J$28:S275)+SUM(D275:I275)</f>
        <v>#N/A</v>
      </c>
      <c r="U275" s="172" t="e">
        <f ca="1" t="shared" si="36"/>
        <v>#N/A</v>
      </c>
      <c r="V275" s="98" t="e">
        <f ca="1" t="shared" si="37"/>
        <v>#N/A</v>
      </c>
      <c r="W275" s="98" t="e">
        <f ca="1">OFFSET(装备强化!$U$6,MATCH(图纸产出设计!V276/6*W$26,装备强化!$T$7:$T$306,1),0)*6</f>
        <v>#N/A</v>
      </c>
      <c r="X275" s="98">
        <v>1118740</v>
      </c>
      <c r="Y275" s="98">
        <f t="shared" si="43"/>
        <v>7824000</v>
      </c>
      <c r="Z275" s="98">
        <f t="shared" si="45"/>
        <v>2</v>
      </c>
      <c r="AA275" s="147" t="e">
        <f ca="1" t="shared" si="38"/>
        <v>#N/A</v>
      </c>
      <c r="AB275" s="209" t="e">
        <f ca="1" t="shared" si="39"/>
        <v>#N/A</v>
      </c>
      <c r="AC275" s="209">
        <f ca="1">SUMIFS(装备强化!$Q$7:$Q$306,装备强化!$M$7:$M$306,"&lt;="&amp;MATCH(U275/6,装备强化!$U$7:$U$306,1),装备强化!$M$7:$M$306,"&gt;="&amp;MATCH(V275/6,装备强化!$U$7:$U$306,1))*6</f>
        <v>0</v>
      </c>
      <c r="AD275">
        <f ca="1" t="shared" si="44"/>
        <v>0</v>
      </c>
    </row>
    <row r="276" spans="1:30">
      <c r="A276" s="171"/>
      <c r="B276" s="80">
        <v>249</v>
      </c>
      <c r="C276" s="80">
        <f ca="1">OFFSET(产销汇总!$C$12,$B276,$C$26)</f>
        <v>247.5</v>
      </c>
      <c r="D276" s="80">
        <f t="shared" si="40"/>
        <v>14100</v>
      </c>
      <c r="E276" s="80">
        <f ca="1">(SUMIF(主线推图!$B$4:$B$303,"&lt;"&amp;C276,主线推图!$M$4:$M$303)+SUMIF(主线宝箱!$B$320:$B$620,"&lt;"&amp;C276,主线宝箱!$L$320:$L$620)+SUMIF(主线宝箱!$B$320:$B$620,"&lt;"&amp;C276,主线宝箱!$X$320:$X$620)+SUMIF(主线宝箱!$B$320:$B$620,"&lt;"&amp;C276,主线宝箱!$AL$320:$AL$620))</f>
        <v>441600</v>
      </c>
      <c r="F276" s="98">
        <f ca="1">SUMIF(组队产出!$B$24:$B$39,"&lt;="&amp;MAX(1,INT(C276/10-0.6)),组队产出!$R$24:$R$39)</f>
        <v>141000</v>
      </c>
      <c r="G276" s="80">
        <f ca="1">SUMIF(运营活动!$O$3:$O$27,"&lt;="&amp;C276,运营活动!$P$3:$P$27)</f>
        <v>30000</v>
      </c>
      <c r="H276" s="80">
        <f ca="1">OFFSET(产销汇总!$AM$12,B276,$C$26)*24</f>
        <v>1824768</v>
      </c>
      <c r="I276" s="172">
        <f ca="1">SUMIF(金币本!$F$2:$F$52,"&lt;="&amp;C276,金币本!$D$2:$D$52)</f>
        <v>1425000</v>
      </c>
      <c r="J276" s="80" t="e">
        <f ca="1">OFFSET(产销汇总!$C$1,MATCH(J$27,产销汇总!$C$2:$C$8,0),$C$26)*(_xlfn.XLOOKUP(C276,主线推图!$B$313:$B$612,主线推图!$C$313:$C$612)+_xlfn.XLOOKUP(C276,主线推图!$B$313:$B$612,主线推图!$D$313:$D$612))</f>
        <v>#N/A</v>
      </c>
      <c r="K276" s="80" t="e">
        <f ca="1">OFFSET(产销汇总!$C$1,MATCH(K$27,产销汇总!$C$2:$C$8,0),$C$26)*_xlfn.XLOOKUP(C276,巡逻产出!$B$311:$B$610,巡逻产出!$C$311:$C$610)*1.3</f>
        <v>#N/A</v>
      </c>
      <c r="L276" s="80" t="e">
        <f ca="1">OFFSET(产销汇总!$C$1,MATCH(L$27,产销汇总!$C$2:$C$8,0),$C$26)*(_xlfn.XLOOKUP(MAX(1,INT(C276/10-6/10)),组队产出!$B$24:$B$39,组队产出!$D$24:$D$39))+OFFSET(产销汇总!$C$1,MATCH(L$27,产销汇总!$C$2:$C$8,0),$C$26)*(_xlfn.XLOOKUP(MAX(1,INT(C276/10-6/10)),组队产出!$B$24:$B$39,组队产出!$C$24:$C$39))</f>
        <v>#N/A</v>
      </c>
      <c r="M276" s="80" t="e">
        <f ca="1">(OFFSET(产销汇总!$C$1,MATCH(M$27,产销汇总!$C$2:$C$8,0),$C$26)*_xlfn.XLOOKUP(C276,巡逻产出!$B$311:$B$610,巡逻产出!$D$311:$D$610))*$M$24</f>
        <v>#N/A</v>
      </c>
      <c r="N276" s="80" t="e">
        <f ca="1">OFFSET(产销汇总!$C$1,MATCH(L$27,产销汇总!$C$2:$C$8,0),$C$26)*(_xlfn.XLOOKUP(MAX(1,INT(C276/10-6/10)),组队产出!$B$24:$B$39,组队产出!$S$24:$S$39))</f>
        <v>#N/A</v>
      </c>
      <c r="O276" s="172">
        <f>任务!$D$36</f>
        <v>2457.14285714286</v>
      </c>
      <c r="P276" s="98">
        <f t="shared" si="35"/>
        <v>428</v>
      </c>
      <c r="Q276" s="80">
        <f t="shared" si="41"/>
        <v>1000</v>
      </c>
      <c r="R276" s="172">
        <f t="shared" si="42"/>
        <v>2000</v>
      </c>
      <c r="S276" s="210">
        <f ca="1">IFERROR(OFFSET(金币本!$E$2,MATCH(C276,金币本!$F$3:$F$302,1),0)*IF($C$26=1,2,3),0)</f>
        <v>39750</v>
      </c>
      <c r="T276" s="172" t="e">
        <f ca="1">SUM($J$28:S276)+SUM(D276:I276)</f>
        <v>#N/A</v>
      </c>
      <c r="U276" s="172" t="e">
        <f ca="1" t="shared" si="36"/>
        <v>#N/A</v>
      </c>
      <c r="V276" s="98" t="e">
        <f ca="1" t="shared" si="37"/>
        <v>#N/A</v>
      </c>
      <c r="W276" s="98" t="e">
        <f ca="1">OFFSET(装备强化!$U$6,MATCH(图纸产出设计!V277/6*W$26,装备强化!$T$7:$T$306,1),0)*6</f>
        <v>#N/A</v>
      </c>
      <c r="X276" s="98">
        <v>1118740</v>
      </c>
      <c r="Y276" s="98">
        <f t="shared" si="43"/>
        <v>7856000</v>
      </c>
      <c r="Z276" s="98">
        <f t="shared" si="45"/>
        <v>2</v>
      </c>
      <c r="AA276" s="147" t="e">
        <f ca="1" t="shared" si="38"/>
        <v>#N/A</v>
      </c>
      <c r="AB276" s="209" t="e">
        <f ca="1" t="shared" si="39"/>
        <v>#N/A</v>
      </c>
      <c r="AC276" s="209">
        <f ca="1">SUMIFS(装备强化!$Q$7:$Q$306,装备强化!$M$7:$M$306,"&lt;="&amp;MATCH(U276/6,装备强化!$U$7:$U$306,1),装备强化!$M$7:$M$306,"&gt;="&amp;MATCH(V276/6,装备强化!$U$7:$U$306,1))*6</f>
        <v>0</v>
      </c>
      <c r="AD276">
        <f ca="1" t="shared" si="44"/>
        <v>0</v>
      </c>
    </row>
    <row r="277" spans="1:30">
      <c r="A277" s="171"/>
      <c r="B277" s="80">
        <v>250</v>
      </c>
      <c r="C277" s="80">
        <f ca="1">OFFSET(产销汇总!$C$12,$B277,$C$26)</f>
        <v>248</v>
      </c>
      <c r="D277" s="80">
        <f t="shared" si="40"/>
        <v>14100</v>
      </c>
      <c r="E277" s="80">
        <f ca="1">(SUMIF(主线推图!$B$4:$B$303,"&lt;"&amp;C277,主线推图!$M$4:$M$303)+SUMIF(主线宝箱!$B$320:$B$620,"&lt;"&amp;C277,主线宝箱!$L$320:$L$620)+SUMIF(主线宝箱!$B$320:$B$620,"&lt;"&amp;C277,主线宝箱!$X$320:$X$620)+SUMIF(主线宝箱!$B$320:$B$620,"&lt;"&amp;C277,主线宝箱!$AL$320:$AL$620))</f>
        <v>441600</v>
      </c>
      <c r="F277" s="98">
        <f ca="1">SUMIF(组队产出!$B$24:$B$39,"&lt;="&amp;MAX(1,INT(C277/10-0.6)),组队产出!$R$24:$R$39)</f>
        <v>141000</v>
      </c>
      <c r="G277" s="80">
        <f ca="1">SUMIF(运营活动!$O$3:$O$27,"&lt;="&amp;C277,运营活动!$P$3:$P$27)</f>
        <v>30000</v>
      </c>
      <c r="H277" s="80">
        <f ca="1">OFFSET(产销汇总!$AM$12,B277,$C$26)*24</f>
        <v>1832016</v>
      </c>
      <c r="I277" s="172">
        <f ca="1">SUMIF(金币本!$F$2:$F$52,"&lt;="&amp;C277,金币本!$D$2:$D$52)</f>
        <v>1425000</v>
      </c>
      <c r="J277" s="80">
        <f ca="1">OFFSET(产销汇总!$C$1,MATCH(J$27,产销汇总!$C$2:$C$8,0),$C$26)*(_xlfn.XLOOKUP(C277,主线推图!$B$313:$B$612,主线推图!$C$313:$C$612)+_xlfn.XLOOKUP(C277,主线推图!$B$313:$B$612,主线推图!$D$313:$D$612))</f>
        <v>17028</v>
      </c>
      <c r="K277" s="80">
        <f ca="1">OFFSET(产销汇总!$C$1,MATCH(K$27,产销汇总!$C$2:$C$8,0),$C$26)*_xlfn.XLOOKUP(C277,巡逻产出!$B$311:$B$610,巡逻产出!$C$311:$C$610)*1.3</f>
        <v>0</v>
      </c>
      <c r="L277" s="80" t="e">
        <f ca="1">OFFSET(产销汇总!$C$1,MATCH(L$27,产销汇总!$C$2:$C$8,0),$C$26)*(_xlfn.XLOOKUP(MAX(1,INT(C277/10-6/10)),组队产出!$B$24:$B$39,组队产出!$D$24:$D$39))+OFFSET(产销汇总!$C$1,MATCH(L$27,产销汇总!$C$2:$C$8,0),$C$26)*(_xlfn.XLOOKUP(MAX(1,INT(C277/10-6/10)),组队产出!$B$24:$B$39,组队产出!$C$24:$C$39))</f>
        <v>#N/A</v>
      </c>
      <c r="M277" s="80">
        <f ca="1">(OFFSET(产销汇总!$C$1,MATCH(M$27,产销汇总!$C$2:$C$8,0),$C$26)*_xlfn.XLOOKUP(C277,巡逻产出!$B$311:$B$610,巡逻产出!$D$311:$D$610))*$M$24</f>
        <v>12074.4</v>
      </c>
      <c r="N277" s="80" t="e">
        <f ca="1">OFFSET(产销汇总!$C$1,MATCH(L$27,产销汇总!$C$2:$C$8,0),$C$26)*(_xlfn.XLOOKUP(MAX(1,INT(C277/10-6/10)),组队产出!$B$24:$B$39,组队产出!$S$24:$S$39))</f>
        <v>#N/A</v>
      </c>
      <c r="O277" s="172">
        <f>任务!$D$36</f>
        <v>2457.14285714286</v>
      </c>
      <c r="P277" s="98">
        <f t="shared" si="35"/>
        <v>428</v>
      </c>
      <c r="Q277" s="80">
        <f t="shared" si="41"/>
        <v>1000</v>
      </c>
      <c r="R277" s="172">
        <f t="shared" si="42"/>
        <v>2000</v>
      </c>
      <c r="S277" s="210">
        <f ca="1">IFERROR(OFFSET(金币本!$E$2,MATCH(C277,金币本!$F$3:$F$302,1),0)*IF($C$26=1,2,3),0)</f>
        <v>39750</v>
      </c>
      <c r="T277" s="172" t="e">
        <f ca="1">SUM($J$28:S277)+SUM(D277:I277)</f>
        <v>#N/A</v>
      </c>
      <c r="U277" s="172" t="e">
        <f ca="1" t="shared" si="36"/>
        <v>#N/A</v>
      </c>
      <c r="V277" s="98" t="e">
        <f ca="1" t="shared" si="37"/>
        <v>#N/A</v>
      </c>
      <c r="W277" s="98" t="e">
        <f ca="1">OFFSET(装备强化!$U$6,MATCH(图纸产出设计!V278/6*W$26,装备强化!$T$7:$T$306,1),0)*6</f>
        <v>#N/A</v>
      </c>
      <c r="X277" s="98">
        <v>1118740</v>
      </c>
      <c r="Y277" s="98">
        <f t="shared" si="43"/>
        <v>7888000</v>
      </c>
      <c r="Z277" s="98">
        <f t="shared" si="45"/>
        <v>2</v>
      </c>
      <c r="AA277" s="147" t="e">
        <f ca="1" t="shared" si="38"/>
        <v>#N/A</v>
      </c>
      <c r="AB277" s="209" t="e">
        <f ca="1" t="shared" si="39"/>
        <v>#N/A</v>
      </c>
      <c r="AC277" s="209">
        <f ca="1">SUMIFS(装备强化!$Q$7:$Q$306,装备强化!$M$7:$M$306,"&lt;="&amp;MATCH(U277/6,装备强化!$U$7:$U$306,1),装备强化!$M$7:$M$306,"&gt;="&amp;MATCH(V277/6,装备强化!$U$7:$U$306,1))*6</f>
        <v>0</v>
      </c>
      <c r="AD277">
        <f ca="1" t="shared" si="44"/>
        <v>0</v>
      </c>
    </row>
    <row r="278" spans="1:30">
      <c r="A278" s="171"/>
      <c r="B278" s="80">
        <v>251</v>
      </c>
      <c r="C278" s="80">
        <f ca="1">OFFSET(产销汇总!$C$12,$B278,$C$26)</f>
        <v>248.5</v>
      </c>
      <c r="D278" s="80">
        <f t="shared" si="40"/>
        <v>14100</v>
      </c>
      <c r="E278" s="80">
        <f ca="1">(SUMIF(主线推图!$B$4:$B$303,"&lt;"&amp;C278,主线推图!$M$4:$M$303)+SUMIF(主线宝箱!$B$320:$B$620,"&lt;"&amp;C278,主线宝箱!$L$320:$L$620)+SUMIF(主线宝箱!$B$320:$B$620,"&lt;"&amp;C278,主线宝箱!$X$320:$X$620)+SUMIF(主线宝箱!$B$320:$B$620,"&lt;"&amp;C278,主线宝箱!$AL$320:$AL$620))</f>
        <v>443400</v>
      </c>
      <c r="F278" s="98">
        <f ca="1">SUMIF(组队产出!$B$24:$B$39,"&lt;="&amp;MAX(1,INT(C278/10-0.6)),组队产出!$R$24:$R$39)</f>
        <v>141000</v>
      </c>
      <c r="G278" s="80">
        <f ca="1">SUMIF(运营活动!$O$3:$O$27,"&lt;="&amp;C278,运营活动!$P$3:$P$27)</f>
        <v>30000</v>
      </c>
      <c r="H278" s="80">
        <f ca="1">OFFSET(产销汇总!$AM$12,B278,$C$26)*24</f>
        <v>1839264</v>
      </c>
      <c r="I278" s="172">
        <f ca="1">SUMIF(金币本!$F$2:$F$52,"&lt;="&amp;C278,金币本!$D$2:$D$52)</f>
        <v>1425000</v>
      </c>
      <c r="J278" s="80" t="e">
        <f ca="1">OFFSET(产销汇总!$C$1,MATCH(J$27,产销汇总!$C$2:$C$8,0),$C$26)*(_xlfn.XLOOKUP(C278,主线推图!$B$313:$B$612,主线推图!$C$313:$C$612)+_xlfn.XLOOKUP(C278,主线推图!$B$313:$B$612,主线推图!$D$313:$D$612))</f>
        <v>#N/A</v>
      </c>
      <c r="K278" s="80" t="e">
        <f ca="1">OFFSET(产销汇总!$C$1,MATCH(K$27,产销汇总!$C$2:$C$8,0),$C$26)*_xlfn.XLOOKUP(C278,巡逻产出!$B$311:$B$610,巡逻产出!$C$311:$C$610)*1.3</f>
        <v>#N/A</v>
      </c>
      <c r="L278" s="80" t="e">
        <f ca="1">OFFSET(产销汇总!$C$1,MATCH(L$27,产销汇总!$C$2:$C$8,0),$C$26)*(_xlfn.XLOOKUP(MAX(1,INT(C278/10-6/10)),组队产出!$B$24:$B$39,组队产出!$D$24:$D$39))+OFFSET(产销汇总!$C$1,MATCH(L$27,产销汇总!$C$2:$C$8,0),$C$26)*(_xlfn.XLOOKUP(MAX(1,INT(C278/10-6/10)),组队产出!$B$24:$B$39,组队产出!$C$24:$C$39))</f>
        <v>#N/A</v>
      </c>
      <c r="M278" s="80" t="e">
        <f ca="1">(OFFSET(产销汇总!$C$1,MATCH(M$27,产销汇总!$C$2:$C$8,0),$C$26)*_xlfn.XLOOKUP(C278,巡逻产出!$B$311:$B$610,巡逻产出!$D$311:$D$610))*$M$24</f>
        <v>#N/A</v>
      </c>
      <c r="N278" s="80" t="e">
        <f ca="1">OFFSET(产销汇总!$C$1,MATCH(L$27,产销汇总!$C$2:$C$8,0),$C$26)*(_xlfn.XLOOKUP(MAX(1,INT(C278/10-6/10)),组队产出!$B$24:$B$39,组队产出!$S$24:$S$39))</f>
        <v>#N/A</v>
      </c>
      <c r="O278" s="172">
        <f>任务!$D$36</f>
        <v>2457.14285714286</v>
      </c>
      <c r="P278" s="98">
        <f t="shared" si="35"/>
        <v>428</v>
      </c>
      <c r="Q278" s="80">
        <f t="shared" si="41"/>
        <v>1000</v>
      </c>
      <c r="R278" s="172">
        <f t="shared" si="42"/>
        <v>2000</v>
      </c>
      <c r="S278" s="210">
        <f ca="1">IFERROR(OFFSET(金币本!$E$2,MATCH(C278,金币本!$F$3:$F$302,1),0)*IF($C$26=1,2,3),0)</f>
        <v>39750</v>
      </c>
      <c r="T278" s="172" t="e">
        <f ca="1">SUM($J$28:S278)+SUM(D278:I278)</f>
        <v>#N/A</v>
      </c>
      <c r="U278" s="172" t="e">
        <f ca="1" t="shared" si="36"/>
        <v>#N/A</v>
      </c>
      <c r="V278" s="98" t="e">
        <f ca="1" t="shared" si="37"/>
        <v>#N/A</v>
      </c>
      <c r="W278" s="98" t="e">
        <f ca="1">OFFSET(装备强化!$U$6,MATCH(图纸产出设计!V279/6*W$26,装备强化!$T$7:$T$306,1),0)*6</f>
        <v>#N/A</v>
      </c>
      <c r="X278" s="98">
        <v>1131290</v>
      </c>
      <c r="Y278" s="98">
        <f t="shared" si="43"/>
        <v>7920000</v>
      </c>
      <c r="Z278" s="98">
        <f t="shared" si="45"/>
        <v>2</v>
      </c>
      <c r="AA278" s="147" t="e">
        <f ca="1" t="shared" si="38"/>
        <v>#N/A</v>
      </c>
      <c r="AB278" s="209" t="e">
        <f ca="1" t="shared" si="39"/>
        <v>#N/A</v>
      </c>
      <c r="AC278" s="209">
        <f ca="1">SUMIFS(装备强化!$Q$7:$Q$306,装备强化!$M$7:$M$306,"&lt;="&amp;MATCH(U278/6,装备强化!$U$7:$U$306,1),装备强化!$M$7:$M$306,"&gt;="&amp;MATCH(V278/6,装备强化!$U$7:$U$306,1))*6</f>
        <v>0</v>
      </c>
      <c r="AD278">
        <f ca="1" t="shared" si="44"/>
        <v>0</v>
      </c>
    </row>
    <row r="279" spans="1:30">
      <c r="A279" s="171"/>
      <c r="B279" s="80">
        <v>252</v>
      </c>
      <c r="C279" s="80">
        <f ca="1">OFFSET(产销汇总!$C$12,$B279,$C$26)</f>
        <v>249</v>
      </c>
      <c r="D279" s="80">
        <f t="shared" si="40"/>
        <v>14100</v>
      </c>
      <c r="E279" s="80">
        <f ca="1">(SUMIF(主线推图!$B$4:$B$303,"&lt;"&amp;C279,主线推图!$M$4:$M$303)+SUMIF(主线宝箱!$B$320:$B$620,"&lt;"&amp;C279,主线宝箱!$L$320:$L$620)+SUMIF(主线宝箱!$B$320:$B$620,"&lt;"&amp;C279,主线宝箱!$X$320:$X$620)+SUMIF(主线宝箱!$B$320:$B$620,"&lt;"&amp;C279,主线宝箱!$AL$320:$AL$620))</f>
        <v>443400</v>
      </c>
      <c r="F279" s="98">
        <f ca="1">SUMIF(组队产出!$B$24:$B$39,"&lt;="&amp;MAX(1,INT(C279/10-0.6)),组队产出!$R$24:$R$39)</f>
        <v>141000</v>
      </c>
      <c r="G279" s="80">
        <f ca="1">SUMIF(运营活动!$O$3:$O$27,"&lt;="&amp;C279,运营活动!$P$3:$P$27)</f>
        <v>30000</v>
      </c>
      <c r="H279" s="80">
        <f ca="1">OFFSET(产销汇总!$AM$12,B279,$C$26)*24</f>
        <v>1846512</v>
      </c>
      <c r="I279" s="172">
        <f ca="1">SUMIF(金币本!$F$2:$F$52,"&lt;="&amp;C279,金币本!$D$2:$D$52)</f>
        <v>1425000</v>
      </c>
      <c r="J279" s="80">
        <f ca="1">OFFSET(产销汇总!$C$1,MATCH(J$27,产销汇总!$C$2:$C$8,0),$C$26)*(_xlfn.XLOOKUP(C279,主线推图!$B$313:$B$612,主线推图!$C$313:$C$612)+_xlfn.XLOOKUP(C279,主线推图!$B$313:$B$612,主线推图!$D$313:$D$612))</f>
        <v>17072</v>
      </c>
      <c r="K279" s="80">
        <f ca="1">OFFSET(产销汇总!$C$1,MATCH(K$27,产销汇总!$C$2:$C$8,0),$C$26)*_xlfn.XLOOKUP(C279,巡逻产出!$B$311:$B$610,巡逻产出!$C$311:$C$610)*1.3</f>
        <v>0</v>
      </c>
      <c r="L279" s="80" t="e">
        <f ca="1">OFFSET(产销汇总!$C$1,MATCH(L$27,产销汇总!$C$2:$C$8,0),$C$26)*(_xlfn.XLOOKUP(MAX(1,INT(C279/10-6/10)),组队产出!$B$24:$B$39,组队产出!$D$24:$D$39))+OFFSET(产销汇总!$C$1,MATCH(L$27,产销汇总!$C$2:$C$8,0),$C$26)*(_xlfn.XLOOKUP(MAX(1,INT(C279/10-6/10)),组队产出!$B$24:$B$39,组队产出!$C$24:$C$39))</f>
        <v>#N/A</v>
      </c>
      <c r="M279" s="80">
        <f ca="1">(OFFSET(产销汇总!$C$1,MATCH(M$27,产销汇总!$C$2:$C$8,0),$C$26)*_xlfn.XLOOKUP(C279,巡逻产出!$B$311:$B$610,巡逻产出!$D$311:$D$610))*$M$24</f>
        <v>12105.6</v>
      </c>
      <c r="N279" s="80" t="e">
        <f ca="1">OFFSET(产销汇总!$C$1,MATCH(L$27,产销汇总!$C$2:$C$8,0),$C$26)*(_xlfn.XLOOKUP(MAX(1,INT(C279/10-6/10)),组队产出!$B$24:$B$39,组队产出!$S$24:$S$39))</f>
        <v>#N/A</v>
      </c>
      <c r="O279" s="172">
        <f>任务!$D$36</f>
        <v>2457.14285714286</v>
      </c>
      <c r="P279" s="98">
        <f t="shared" si="35"/>
        <v>428</v>
      </c>
      <c r="Q279" s="80">
        <f t="shared" si="41"/>
        <v>1000</v>
      </c>
      <c r="R279" s="172">
        <f t="shared" si="42"/>
        <v>2000</v>
      </c>
      <c r="S279" s="210">
        <f ca="1">IFERROR(OFFSET(金币本!$E$2,MATCH(C279,金币本!$F$3:$F$302,1),0)*IF($C$26=1,2,3),0)</f>
        <v>39750</v>
      </c>
      <c r="T279" s="172" t="e">
        <f ca="1">SUM($J$28:S279)+SUM(D279:I279)</f>
        <v>#N/A</v>
      </c>
      <c r="U279" s="172" t="e">
        <f ca="1" t="shared" si="36"/>
        <v>#N/A</v>
      </c>
      <c r="V279" s="98" t="e">
        <f ca="1" t="shared" si="37"/>
        <v>#N/A</v>
      </c>
      <c r="W279" s="98" t="e">
        <f ca="1">OFFSET(装备强化!$U$6,MATCH(图纸产出设计!V280/6*W$26,装备强化!$T$7:$T$306,1),0)*6</f>
        <v>#N/A</v>
      </c>
      <c r="X279" s="98">
        <v>1131290</v>
      </c>
      <c r="Y279" s="98">
        <f t="shared" si="43"/>
        <v>7952000</v>
      </c>
      <c r="Z279" s="98">
        <f t="shared" si="45"/>
        <v>2</v>
      </c>
      <c r="AA279" s="147" t="e">
        <f ca="1" t="shared" si="38"/>
        <v>#N/A</v>
      </c>
      <c r="AB279" s="209" t="e">
        <f ca="1" t="shared" si="39"/>
        <v>#N/A</v>
      </c>
      <c r="AC279" s="209">
        <f ca="1">SUMIFS(装备强化!$Q$7:$Q$306,装备强化!$M$7:$M$306,"&lt;="&amp;MATCH(U279/6,装备强化!$U$7:$U$306,1),装备强化!$M$7:$M$306,"&gt;="&amp;MATCH(V279/6,装备强化!$U$7:$U$306,1))*6</f>
        <v>0</v>
      </c>
      <c r="AD279">
        <f ca="1" t="shared" si="44"/>
        <v>0</v>
      </c>
    </row>
    <row r="280" spans="1:30">
      <c r="A280" s="171"/>
      <c r="B280" s="80">
        <v>253</v>
      </c>
      <c r="C280" s="80">
        <f ca="1">OFFSET(产销汇总!$C$12,$B280,$C$26)</f>
        <v>249.5</v>
      </c>
      <c r="D280" s="80">
        <f t="shared" si="40"/>
        <v>14100</v>
      </c>
      <c r="E280" s="80">
        <f ca="1">(SUMIF(主线推图!$B$4:$B$303,"&lt;"&amp;C280,主线推图!$M$4:$M$303)+SUMIF(主线宝箱!$B$320:$B$620,"&lt;"&amp;C280,主线宝箱!$L$320:$L$620)+SUMIF(主线宝箱!$B$320:$B$620,"&lt;"&amp;C280,主线宝箱!$X$320:$X$620)+SUMIF(主线宝箱!$B$320:$B$620,"&lt;"&amp;C280,主线宝箱!$AL$320:$AL$620))</f>
        <v>445200</v>
      </c>
      <c r="F280" s="98">
        <f ca="1">SUMIF(组队产出!$B$24:$B$39,"&lt;="&amp;MAX(1,INT(C280/10-0.6)),组队产出!$R$24:$R$39)</f>
        <v>141000</v>
      </c>
      <c r="G280" s="80">
        <f ca="1">SUMIF(运营活动!$O$3:$O$27,"&lt;="&amp;C280,运营活动!$P$3:$P$27)</f>
        <v>30000</v>
      </c>
      <c r="H280" s="80">
        <f ca="1">OFFSET(产销汇总!$AM$12,B280,$C$26)*24</f>
        <v>1853760</v>
      </c>
      <c r="I280" s="172">
        <f ca="1">SUMIF(金币本!$F$2:$F$52,"&lt;="&amp;C280,金币本!$D$2:$D$52)</f>
        <v>1425000</v>
      </c>
      <c r="J280" s="80" t="e">
        <f ca="1">OFFSET(产销汇总!$C$1,MATCH(J$27,产销汇总!$C$2:$C$8,0),$C$26)*(_xlfn.XLOOKUP(C280,主线推图!$B$313:$B$612,主线推图!$C$313:$C$612)+_xlfn.XLOOKUP(C280,主线推图!$B$313:$B$612,主线推图!$D$313:$D$612))</f>
        <v>#N/A</v>
      </c>
      <c r="K280" s="80" t="e">
        <f ca="1">OFFSET(产销汇总!$C$1,MATCH(K$27,产销汇总!$C$2:$C$8,0),$C$26)*_xlfn.XLOOKUP(C280,巡逻产出!$B$311:$B$610,巡逻产出!$C$311:$C$610)*1.3</f>
        <v>#N/A</v>
      </c>
      <c r="L280" s="80" t="e">
        <f ca="1">OFFSET(产销汇总!$C$1,MATCH(L$27,产销汇总!$C$2:$C$8,0),$C$26)*(_xlfn.XLOOKUP(MAX(1,INT(C280/10-6/10)),组队产出!$B$24:$B$39,组队产出!$D$24:$D$39))+OFFSET(产销汇总!$C$1,MATCH(L$27,产销汇总!$C$2:$C$8,0),$C$26)*(_xlfn.XLOOKUP(MAX(1,INT(C280/10-6/10)),组队产出!$B$24:$B$39,组队产出!$C$24:$C$39))</f>
        <v>#N/A</v>
      </c>
      <c r="M280" s="80" t="e">
        <f ca="1">(OFFSET(产销汇总!$C$1,MATCH(M$27,产销汇总!$C$2:$C$8,0),$C$26)*_xlfn.XLOOKUP(C280,巡逻产出!$B$311:$B$610,巡逻产出!$D$311:$D$610))*$M$24</f>
        <v>#N/A</v>
      </c>
      <c r="N280" s="80" t="e">
        <f ca="1">OFFSET(产销汇总!$C$1,MATCH(L$27,产销汇总!$C$2:$C$8,0),$C$26)*(_xlfn.XLOOKUP(MAX(1,INT(C280/10-6/10)),组队产出!$B$24:$B$39,组队产出!$S$24:$S$39))</f>
        <v>#N/A</v>
      </c>
      <c r="O280" s="172">
        <f>任务!$D$36</f>
        <v>2457.14285714286</v>
      </c>
      <c r="P280" s="98">
        <f t="shared" si="35"/>
        <v>428</v>
      </c>
      <c r="Q280" s="80">
        <f t="shared" si="41"/>
        <v>1500</v>
      </c>
      <c r="R280" s="172">
        <f t="shared" si="42"/>
        <v>2000</v>
      </c>
      <c r="S280" s="210">
        <f ca="1">IFERROR(OFFSET(金币本!$E$2,MATCH(C280,金币本!$F$3:$F$302,1),0)*IF($C$26=1,2,3),0)</f>
        <v>39750</v>
      </c>
      <c r="T280" s="172" t="e">
        <f ca="1">SUM($J$28:S280)+SUM(D280:I280)</f>
        <v>#N/A</v>
      </c>
      <c r="U280" s="172" t="e">
        <f ca="1" t="shared" si="36"/>
        <v>#N/A</v>
      </c>
      <c r="V280" s="98" t="e">
        <f ca="1" t="shared" si="37"/>
        <v>#N/A</v>
      </c>
      <c r="W280" s="98" t="e">
        <f ca="1">OFFSET(装备强化!$U$6,MATCH(图纸产出设计!V281/6*W$26,装备强化!$T$7:$T$306,1),0)*6</f>
        <v>#N/A</v>
      </c>
      <c r="X280" s="98">
        <v>1131290</v>
      </c>
      <c r="Y280" s="98">
        <f t="shared" si="43"/>
        <v>7984000</v>
      </c>
      <c r="Z280" s="98">
        <f t="shared" si="45"/>
        <v>2</v>
      </c>
      <c r="AA280" s="147" t="e">
        <f ca="1" t="shared" si="38"/>
        <v>#N/A</v>
      </c>
      <c r="AB280" s="209" t="e">
        <f ca="1" t="shared" si="39"/>
        <v>#N/A</v>
      </c>
      <c r="AC280" s="209">
        <f ca="1">SUMIFS(装备强化!$Q$7:$Q$306,装备强化!$M$7:$M$306,"&lt;="&amp;MATCH(U280/6,装备强化!$U$7:$U$306,1),装备强化!$M$7:$M$306,"&gt;="&amp;MATCH(V280/6,装备强化!$U$7:$U$306,1))*6</f>
        <v>0</v>
      </c>
      <c r="AD280">
        <f ca="1" t="shared" si="44"/>
        <v>0</v>
      </c>
    </row>
    <row r="281" spans="1:30">
      <c r="A281" s="171"/>
      <c r="B281" s="80">
        <v>254</v>
      </c>
      <c r="C281" s="80">
        <f ca="1">OFFSET(产销汇总!$C$12,$B281,$C$26)</f>
        <v>250</v>
      </c>
      <c r="D281" s="80">
        <f t="shared" si="40"/>
        <v>14100</v>
      </c>
      <c r="E281" s="80">
        <f ca="1">(SUMIF(主线推图!$B$4:$B$303,"&lt;"&amp;C281,主线推图!$M$4:$M$303)+SUMIF(主线宝箱!$B$320:$B$620,"&lt;"&amp;C281,主线宝箱!$L$320:$L$620)+SUMIF(主线宝箱!$B$320:$B$620,"&lt;"&amp;C281,主线宝箱!$X$320:$X$620)+SUMIF(主线宝箱!$B$320:$B$620,"&lt;"&amp;C281,主线宝箱!$AL$320:$AL$620))</f>
        <v>445200</v>
      </c>
      <c r="F281" s="98">
        <f ca="1">SUMIF(组队产出!$B$24:$B$39,"&lt;="&amp;MAX(1,INT(C281/10-0.6)),组队产出!$R$24:$R$39)</f>
        <v>141000</v>
      </c>
      <c r="G281" s="80">
        <f ca="1">SUMIF(运营活动!$O$3:$O$27,"&lt;="&amp;C281,运营活动!$P$3:$P$27)</f>
        <v>30000</v>
      </c>
      <c r="H281" s="80">
        <f ca="1">OFFSET(产销汇总!$AM$12,B281,$C$26)*24</f>
        <v>1861008</v>
      </c>
      <c r="I281" s="172">
        <f ca="1">SUMIF(金币本!$F$2:$F$52,"&lt;="&amp;C281,金币本!$D$2:$D$52)</f>
        <v>1425000</v>
      </c>
      <c r="J281" s="80">
        <f ca="1">OFFSET(产销汇总!$C$1,MATCH(J$27,产销汇总!$C$2:$C$8,0),$C$26)*(_xlfn.XLOOKUP(C281,主线推图!$B$313:$B$612,主线推图!$C$313:$C$612)+_xlfn.XLOOKUP(C281,主线推图!$B$313:$B$612,主线推图!$D$313:$D$612))</f>
        <v>17116</v>
      </c>
      <c r="K281" s="80">
        <f ca="1">OFFSET(产销汇总!$C$1,MATCH(K$27,产销汇总!$C$2:$C$8,0),$C$26)*_xlfn.XLOOKUP(C281,巡逻产出!$B$311:$B$610,巡逻产出!$C$311:$C$610)*1.3</f>
        <v>0</v>
      </c>
      <c r="L281" s="80" t="e">
        <f ca="1">OFFSET(产销汇总!$C$1,MATCH(L$27,产销汇总!$C$2:$C$8,0),$C$26)*(_xlfn.XLOOKUP(MAX(1,INT(C281/10-6/10)),组队产出!$B$24:$B$39,组队产出!$D$24:$D$39))+OFFSET(产销汇总!$C$1,MATCH(L$27,产销汇总!$C$2:$C$8,0),$C$26)*(_xlfn.XLOOKUP(MAX(1,INT(C281/10-6/10)),组队产出!$B$24:$B$39,组队产出!$C$24:$C$39))</f>
        <v>#N/A</v>
      </c>
      <c r="M281" s="80">
        <f ca="1">(OFFSET(产销汇总!$C$1,MATCH(M$27,产销汇总!$C$2:$C$8,0),$C$26)*_xlfn.XLOOKUP(C281,巡逻产出!$B$311:$B$610,巡逻产出!$D$311:$D$610))*$M$24</f>
        <v>12136.8</v>
      </c>
      <c r="N281" s="80" t="e">
        <f ca="1">OFFSET(产销汇总!$C$1,MATCH(L$27,产销汇总!$C$2:$C$8,0),$C$26)*(_xlfn.XLOOKUP(MAX(1,INT(C281/10-6/10)),组队产出!$B$24:$B$39,组队产出!$S$24:$S$39))</f>
        <v>#N/A</v>
      </c>
      <c r="O281" s="172">
        <f>任务!$D$36</f>
        <v>2457.14285714286</v>
      </c>
      <c r="P281" s="98">
        <f t="shared" si="35"/>
        <v>428</v>
      </c>
      <c r="Q281" s="80">
        <f t="shared" si="41"/>
        <v>1000</v>
      </c>
      <c r="R281" s="172">
        <f t="shared" si="42"/>
        <v>2000</v>
      </c>
      <c r="S281" s="210">
        <f ca="1">IFERROR(OFFSET(金币本!$E$2,MATCH(C281,金币本!$F$3:$F$302,1),0)*IF($C$26=1,2,3),0)</f>
        <v>39750</v>
      </c>
      <c r="T281" s="172" t="e">
        <f ca="1">SUM($J$28:S281)+SUM(D281:I281)</f>
        <v>#N/A</v>
      </c>
      <c r="U281" s="172" t="e">
        <f ca="1" t="shared" si="36"/>
        <v>#N/A</v>
      </c>
      <c r="V281" s="98" t="e">
        <f ca="1" t="shared" si="37"/>
        <v>#N/A</v>
      </c>
      <c r="W281" s="98" t="e">
        <f ca="1">OFFSET(装备强化!$U$6,MATCH(图纸产出设计!V282/6*W$26,装备强化!$T$7:$T$306,1),0)*6</f>
        <v>#N/A</v>
      </c>
      <c r="X281" s="98">
        <v>1131290</v>
      </c>
      <c r="Y281" s="98">
        <f t="shared" si="43"/>
        <v>8016000</v>
      </c>
      <c r="Z281" s="98">
        <f t="shared" si="45"/>
        <v>2</v>
      </c>
      <c r="AA281" s="147" t="e">
        <f ca="1" t="shared" si="38"/>
        <v>#N/A</v>
      </c>
      <c r="AB281" s="209" t="e">
        <f ca="1" t="shared" si="39"/>
        <v>#N/A</v>
      </c>
      <c r="AC281" s="209">
        <f ca="1">SUMIFS(装备强化!$Q$7:$Q$306,装备强化!$M$7:$M$306,"&lt;="&amp;MATCH(U281/6,装备强化!$U$7:$U$306,1),装备强化!$M$7:$M$306,"&gt;="&amp;MATCH(V281/6,装备强化!$U$7:$U$306,1))*6</f>
        <v>0</v>
      </c>
      <c r="AD281">
        <f ca="1" t="shared" si="44"/>
        <v>0</v>
      </c>
    </row>
    <row r="282" spans="1:30">
      <c r="A282" s="171"/>
      <c r="B282" s="80">
        <v>255</v>
      </c>
      <c r="C282" s="80">
        <f ca="1">OFFSET(产销汇总!$C$12,$B282,$C$26)</f>
        <v>250.5</v>
      </c>
      <c r="D282" s="80">
        <f t="shared" si="40"/>
        <v>14100</v>
      </c>
      <c r="E282" s="80">
        <f ca="1">(SUMIF(主线推图!$B$4:$B$303,"&lt;"&amp;C282,主线推图!$M$4:$M$303)+SUMIF(主线宝箱!$B$320:$B$620,"&lt;"&amp;C282,主线宝箱!$L$320:$L$620)+SUMIF(主线宝箱!$B$320:$B$620,"&lt;"&amp;C282,主线宝箱!$X$320:$X$620)+SUMIF(主线宝箱!$B$320:$B$620,"&lt;"&amp;C282,主线宝箱!$AL$320:$AL$620))</f>
        <v>447000</v>
      </c>
      <c r="F282" s="98">
        <f ca="1">SUMIF(组队产出!$B$24:$B$39,"&lt;="&amp;MAX(1,INT(C282/10-0.6)),组队产出!$R$24:$R$39)</f>
        <v>141000</v>
      </c>
      <c r="G282" s="80">
        <f ca="1">SUMIF(运营活动!$O$3:$O$27,"&lt;="&amp;C282,运营活动!$P$3:$P$27)</f>
        <v>30000</v>
      </c>
      <c r="H282" s="80">
        <f ca="1">OFFSET(产销汇总!$AM$12,B282,$C$26)*24</f>
        <v>1868256</v>
      </c>
      <c r="I282" s="172">
        <f ca="1">SUMIF(金币本!$F$2:$F$52,"&lt;="&amp;C282,金币本!$D$2:$D$52)</f>
        <v>1425000</v>
      </c>
      <c r="J282" s="80" t="e">
        <f ca="1">OFFSET(产销汇总!$C$1,MATCH(J$27,产销汇总!$C$2:$C$8,0),$C$26)*(_xlfn.XLOOKUP(C282,主线推图!$B$313:$B$612,主线推图!$C$313:$C$612)+_xlfn.XLOOKUP(C282,主线推图!$B$313:$B$612,主线推图!$D$313:$D$612))</f>
        <v>#N/A</v>
      </c>
      <c r="K282" s="80" t="e">
        <f ca="1">OFFSET(产销汇总!$C$1,MATCH(K$27,产销汇总!$C$2:$C$8,0),$C$26)*_xlfn.XLOOKUP(C282,巡逻产出!$B$311:$B$610,巡逻产出!$C$311:$C$610)*1.3</f>
        <v>#N/A</v>
      </c>
      <c r="L282" s="80" t="e">
        <f ca="1">OFFSET(产销汇总!$C$1,MATCH(L$27,产销汇总!$C$2:$C$8,0),$C$26)*(_xlfn.XLOOKUP(MAX(1,INT(C282/10-6/10)),组队产出!$B$24:$B$39,组队产出!$D$24:$D$39))+OFFSET(产销汇总!$C$1,MATCH(L$27,产销汇总!$C$2:$C$8,0),$C$26)*(_xlfn.XLOOKUP(MAX(1,INT(C282/10-6/10)),组队产出!$B$24:$B$39,组队产出!$C$24:$C$39))</f>
        <v>#N/A</v>
      </c>
      <c r="M282" s="80" t="e">
        <f ca="1">(OFFSET(产销汇总!$C$1,MATCH(M$27,产销汇总!$C$2:$C$8,0),$C$26)*_xlfn.XLOOKUP(C282,巡逻产出!$B$311:$B$610,巡逻产出!$D$311:$D$610))*$M$24</f>
        <v>#N/A</v>
      </c>
      <c r="N282" s="80" t="e">
        <f ca="1">OFFSET(产销汇总!$C$1,MATCH(L$27,产销汇总!$C$2:$C$8,0),$C$26)*(_xlfn.XLOOKUP(MAX(1,INT(C282/10-6/10)),组队产出!$B$24:$B$39,组队产出!$S$24:$S$39))</f>
        <v>#N/A</v>
      </c>
      <c r="O282" s="172">
        <f>任务!$D$36</f>
        <v>2457.14285714286</v>
      </c>
      <c r="P282" s="98">
        <f t="shared" si="35"/>
        <v>428</v>
      </c>
      <c r="Q282" s="80">
        <f t="shared" si="41"/>
        <v>1000</v>
      </c>
      <c r="R282" s="172">
        <f t="shared" si="42"/>
        <v>2000</v>
      </c>
      <c r="S282" s="210">
        <f ca="1">IFERROR(OFFSET(金币本!$E$2,MATCH(C282,金币本!$F$3:$F$302,1),0)*IF($C$26=1,2,3),0)</f>
        <v>39750</v>
      </c>
      <c r="T282" s="172" t="e">
        <f ca="1">SUM($J$28:S282)+SUM(D282:I282)</f>
        <v>#N/A</v>
      </c>
      <c r="U282" s="172" t="e">
        <f ca="1" t="shared" si="36"/>
        <v>#N/A</v>
      </c>
      <c r="V282" s="98" t="e">
        <f ca="1" t="shared" si="37"/>
        <v>#N/A</v>
      </c>
      <c r="W282" s="98" t="e">
        <f ca="1">OFFSET(装备强化!$U$6,MATCH(图纸产出设计!V283/6*W$26,装备强化!$T$7:$T$306,1),0)*6</f>
        <v>#N/A</v>
      </c>
      <c r="X282" s="98">
        <v>1143910</v>
      </c>
      <c r="Y282" s="98">
        <f t="shared" si="43"/>
        <v>8048000</v>
      </c>
      <c r="Z282" s="98">
        <f t="shared" si="45"/>
        <v>2</v>
      </c>
      <c r="AA282" s="147" t="e">
        <f ca="1" t="shared" si="38"/>
        <v>#N/A</v>
      </c>
      <c r="AB282" s="209" t="e">
        <f ca="1" t="shared" si="39"/>
        <v>#N/A</v>
      </c>
      <c r="AC282" s="209">
        <f ca="1">SUMIFS(装备强化!$Q$7:$Q$306,装备强化!$M$7:$M$306,"&lt;="&amp;MATCH(U282/6,装备强化!$U$7:$U$306,1),装备强化!$M$7:$M$306,"&gt;="&amp;MATCH(V282/6,装备强化!$U$7:$U$306,1))*6</f>
        <v>0</v>
      </c>
      <c r="AD282">
        <f ca="1" t="shared" si="44"/>
        <v>0</v>
      </c>
    </row>
    <row r="283" spans="1:30">
      <c r="A283" s="171"/>
      <c r="B283" s="80">
        <v>256</v>
      </c>
      <c r="C283" s="80">
        <f ca="1">OFFSET(产销汇总!$C$12,$B283,$C$26)</f>
        <v>251</v>
      </c>
      <c r="D283" s="80">
        <f t="shared" si="40"/>
        <v>14100</v>
      </c>
      <c r="E283" s="80">
        <f ca="1">(SUMIF(主线推图!$B$4:$B$303,"&lt;"&amp;C283,主线推图!$M$4:$M$303)+SUMIF(主线宝箱!$B$320:$B$620,"&lt;"&amp;C283,主线宝箱!$L$320:$L$620)+SUMIF(主线宝箱!$B$320:$B$620,"&lt;"&amp;C283,主线宝箱!$X$320:$X$620)+SUMIF(主线宝箱!$B$320:$B$620,"&lt;"&amp;C283,主线宝箱!$AL$320:$AL$620))</f>
        <v>447000</v>
      </c>
      <c r="F283" s="98">
        <f ca="1">SUMIF(组队产出!$B$24:$B$39,"&lt;="&amp;MAX(1,INT(C283/10-0.6)),组队产出!$R$24:$R$39)</f>
        <v>141000</v>
      </c>
      <c r="G283" s="80">
        <f ca="1">SUMIF(运营活动!$O$3:$O$27,"&lt;="&amp;C283,运营活动!$P$3:$P$27)</f>
        <v>30000</v>
      </c>
      <c r="H283" s="80">
        <f ca="1">OFFSET(产销汇总!$AM$12,B283,$C$26)*24</f>
        <v>1875504</v>
      </c>
      <c r="I283" s="172">
        <f ca="1">SUMIF(金币本!$F$2:$F$52,"&lt;="&amp;C283,金币本!$D$2:$D$52)</f>
        <v>1425000</v>
      </c>
      <c r="J283" s="80">
        <f ca="1">OFFSET(产销汇总!$C$1,MATCH(J$27,产销汇总!$C$2:$C$8,0),$C$26)*(_xlfn.XLOOKUP(C283,主线推图!$B$313:$B$612,主线推图!$C$313:$C$612)+_xlfn.XLOOKUP(C283,主线推图!$B$313:$B$612,主线推图!$D$313:$D$612))</f>
        <v>17160</v>
      </c>
      <c r="K283" s="80">
        <f ca="1">OFFSET(产销汇总!$C$1,MATCH(K$27,产销汇总!$C$2:$C$8,0),$C$26)*_xlfn.XLOOKUP(C283,巡逻产出!$B$311:$B$610,巡逻产出!$C$311:$C$610)*1.3</f>
        <v>0</v>
      </c>
      <c r="L283" s="80" t="e">
        <f ca="1">OFFSET(产销汇总!$C$1,MATCH(L$27,产销汇总!$C$2:$C$8,0),$C$26)*(_xlfn.XLOOKUP(MAX(1,INT(C283/10-6/10)),组队产出!$B$24:$B$39,组队产出!$D$24:$D$39))+OFFSET(产销汇总!$C$1,MATCH(L$27,产销汇总!$C$2:$C$8,0),$C$26)*(_xlfn.XLOOKUP(MAX(1,INT(C283/10-6/10)),组队产出!$B$24:$B$39,组队产出!$C$24:$C$39))</f>
        <v>#N/A</v>
      </c>
      <c r="M283" s="80">
        <f ca="1">(OFFSET(产销汇总!$C$1,MATCH(M$27,产销汇总!$C$2:$C$8,0),$C$26)*_xlfn.XLOOKUP(C283,巡逻产出!$B$311:$B$610,巡逻产出!$D$311:$D$610))*$M$24</f>
        <v>12168</v>
      </c>
      <c r="N283" s="80" t="e">
        <f ca="1">OFFSET(产销汇总!$C$1,MATCH(L$27,产销汇总!$C$2:$C$8,0),$C$26)*(_xlfn.XLOOKUP(MAX(1,INT(C283/10-6/10)),组队产出!$B$24:$B$39,组队产出!$S$24:$S$39))</f>
        <v>#N/A</v>
      </c>
      <c r="O283" s="172">
        <f>任务!$D$36</f>
        <v>2457.14285714286</v>
      </c>
      <c r="P283" s="98">
        <f t="shared" si="35"/>
        <v>428</v>
      </c>
      <c r="Q283" s="80">
        <f t="shared" si="41"/>
        <v>1000</v>
      </c>
      <c r="R283" s="172">
        <f t="shared" si="42"/>
        <v>2000</v>
      </c>
      <c r="S283" s="210">
        <f ca="1">IFERROR(OFFSET(金币本!$E$2,MATCH(C283,金币本!$F$3:$F$302,1),0)*IF($C$26=1,2,3),0)</f>
        <v>39750</v>
      </c>
      <c r="T283" s="172" t="e">
        <f ca="1">SUM($J$28:S283)+SUM(D283:I283)</f>
        <v>#N/A</v>
      </c>
      <c r="U283" s="172" t="e">
        <f ca="1" t="shared" si="36"/>
        <v>#N/A</v>
      </c>
      <c r="V283" s="98" t="e">
        <f ca="1" t="shared" si="37"/>
        <v>#N/A</v>
      </c>
      <c r="W283" s="98" t="e">
        <f ca="1">OFFSET(装备强化!$U$6,MATCH(图纸产出设计!V284/6*W$26,装备强化!$T$7:$T$306,1),0)*6</f>
        <v>#N/A</v>
      </c>
      <c r="X283" s="98">
        <v>1143910</v>
      </c>
      <c r="Y283" s="98">
        <f t="shared" si="43"/>
        <v>8080000</v>
      </c>
      <c r="Z283" s="98">
        <f t="shared" si="45"/>
        <v>2</v>
      </c>
      <c r="AA283" s="147" t="e">
        <f ca="1" t="shared" si="38"/>
        <v>#N/A</v>
      </c>
      <c r="AB283" s="209" t="e">
        <f ca="1" t="shared" si="39"/>
        <v>#N/A</v>
      </c>
      <c r="AC283" s="209">
        <f ca="1">SUMIFS(装备强化!$Q$7:$Q$306,装备强化!$M$7:$M$306,"&lt;="&amp;MATCH(U283/6,装备强化!$U$7:$U$306,1),装备强化!$M$7:$M$306,"&gt;="&amp;MATCH(V283/6,装备强化!$U$7:$U$306,1))*6</f>
        <v>0</v>
      </c>
      <c r="AD283">
        <f ca="1" t="shared" si="44"/>
        <v>0</v>
      </c>
    </row>
    <row r="284" spans="1:30">
      <c r="A284" s="171"/>
      <c r="B284" s="80">
        <v>257</v>
      </c>
      <c r="C284" s="80">
        <f ca="1">OFFSET(产销汇总!$C$12,$B284,$C$26)</f>
        <v>251.5</v>
      </c>
      <c r="D284" s="80">
        <f t="shared" si="40"/>
        <v>14100</v>
      </c>
      <c r="E284" s="80">
        <f ca="1">(SUMIF(主线推图!$B$4:$B$303,"&lt;"&amp;C284,主线推图!$M$4:$M$303)+SUMIF(主线宝箱!$B$320:$B$620,"&lt;"&amp;C284,主线宝箱!$L$320:$L$620)+SUMIF(主线宝箱!$B$320:$B$620,"&lt;"&amp;C284,主线宝箱!$X$320:$X$620)+SUMIF(主线宝箱!$B$320:$B$620,"&lt;"&amp;C284,主线宝箱!$AL$320:$AL$620))</f>
        <v>448800</v>
      </c>
      <c r="F284" s="98">
        <f ca="1">SUMIF(组队产出!$B$24:$B$39,"&lt;="&amp;MAX(1,INT(C284/10-0.6)),组队产出!$R$24:$R$39)</f>
        <v>141000</v>
      </c>
      <c r="G284" s="80">
        <f ca="1">SUMIF(运营活动!$O$3:$O$27,"&lt;="&amp;C284,运营活动!$P$3:$P$27)</f>
        <v>30000</v>
      </c>
      <c r="H284" s="80">
        <f ca="1">OFFSET(产销汇总!$AM$12,B284,$C$26)*24</f>
        <v>1882752</v>
      </c>
      <c r="I284" s="172">
        <f ca="1">SUMIF(金币本!$F$2:$F$52,"&lt;="&amp;C284,金币本!$D$2:$D$52)</f>
        <v>1425000</v>
      </c>
      <c r="J284" s="80" t="e">
        <f ca="1">OFFSET(产销汇总!$C$1,MATCH(J$27,产销汇总!$C$2:$C$8,0),$C$26)*(_xlfn.XLOOKUP(C284,主线推图!$B$313:$B$612,主线推图!$C$313:$C$612)+_xlfn.XLOOKUP(C284,主线推图!$B$313:$B$612,主线推图!$D$313:$D$612))</f>
        <v>#N/A</v>
      </c>
      <c r="K284" s="80" t="e">
        <f ca="1">OFFSET(产销汇总!$C$1,MATCH(K$27,产销汇总!$C$2:$C$8,0),$C$26)*_xlfn.XLOOKUP(C284,巡逻产出!$B$311:$B$610,巡逻产出!$C$311:$C$610)*1.3</f>
        <v>#N/A</v>
      </c>
      <c r="L284" s="80" t="e">
        <f ca="1">OFFSET(产销汇总!$C$1,MATCH(L$27,产销汇总!$C$2:$C$8,0),$C$26)*(_xlfn.XLOOKUP(MAX(1,INT(C284/10-6/10)),组队产出!$B$24:$B$39,组队产出!$D$24:$D$39))+OFFSET(产销汇总!$C$1,MATCH(L$27,产销汇总!$C$2:$C$8,0),$C$26)*(_xlfn.XLOOKUP(MAX(1,INT(C284/10-6/10)),组队产出!$B$24:$B$39,组队产出!$C$24:$C$39))</f>
        <v>#N/A</v>
      </c>
      <c r="M284" s="80" t="e">
        <f ca="1">(OFFSET(产销汇总!$C$1,MATCH(M$27,产销汇总!$C$2:$C$8,0),$C$26)*_xlfn.XLOOKUP(C284,巡逻产出!$B$311:$B$610,巡逻产出!$D$311:$D$610))*$M$24</f>
        <v>#N/A</v>
      </c>
      <c r="N284" s="80" t="e">
        <f ca="1">OFFSET(产销汇总!$C$1,MATCH(L$27,产销汇总!$C$2:$C$8,0),$C$26)*(_xlfn.XLOOKUP(MAX(1,INT(C284/10-6/10)),组队产出!$B$24:$B$39,组队产出!$S$24:$S$39))</f>
        <v>#N/A</v>
      </c>
      <c r="O284" s="172">
        <f>任务!$D$36</f>
        <v>2457.14285714286</v>
      </c>
      <c r="P284" s="98">
        <f t="shared" ref="P284:P327" si="46">INT(300*10/7)</f>
        <v>428</v>
      </c>
      <c r="Q284" s="80">
        <f t="shared" si="41"/>
        <v>1000</v>
      </c>
      <c r="R284" s="172">
        <f t="shared" si="42"/>
        <v>2000</v>
      </c>
      <c r="S284" s="210">
        <f ca="1">IFERROR(OFFSET(金币本!$E$2,MATCH(C284,金币本!$F$3:$F$302,1),0)*IF($C$26=1,2,3),0)</f>
        <v>39750</v>
      </c>
      <c r="T284" s="172" t="e">
        <f ca="1">SUM($J$28:S284)+SUM(D284:I284)</f>
        <v>#N/A</v>
      </c>
      <c r="U284" s="172" t="e">
        <f ca="1" t="shared" ref="U284:U327" si="47">T284</f>
        <v>#N/A</v>
      </c>
      <c r="V284" s="98" t="e">
        <f ca="1" t="shared" ref="V284:V327" si="48">SUM(W284:Y284)</f>
        <v>#N/A</v>
      </c>
      <c r="W284" s="98" t="e">
        <f ca="1">OFFSET(装备强化!$U$6,MATCH(图纸产出设计!V285/6*W$26,装备强化!$T$7:$T$306,1),0)*6</f>
        <v>#N/A</v>
      </c>
      <c r="X284" s="98">
        <v>1143910</v>
      </c>
      <c r="Y284" s="98">
        <f t="shared" si="43"/>
        <v>8112000</v>
      </c>
      <c r="Z284" s="98">
        <f t="shared" si="45"/>
        <v>2</v>
      </c>
      <c r="AA284" s="147" t="e">
        <f ca="1" t="shared" ref="AA284:AA327" si="49">U284/V284</f>
        <v>#N/A</v>
      </c>
      <c r="AB284" s="209" t="e">
        <f ca="1" t="shared" ref="AB284:AB327" si="50">U284-V284</f>
        <v>#N/A</v>
      </c>
      <c r="AC284" s="209">
        <f ca="1">SUMIFS(装备强化!$Q$7:$Q$306,装备强化!$M$7:$M$306,"&lt;="&amp;MATCH(U284/6,装备强化!$U$7:$U$306,1),装备强化!$M$7:$M$306,"&gt;="&amp;MATCH(V284/6,装备强化!$U$7:$U$306,1))*6</f>
        <v>0</v>
      </c>
      <c r="AD284">
        <f ca="1" t="shared" si="44"/>
        <v>0</v>
      </c>
    </row>
    <row r="285" spans="1:30">
      <c r="A285" s="171"/>
      <c r="B285" s="80">
        <v>258</v>
      </c>
      <c r="C285" s="80">
        <f ca="1">OFFSET(产销汇总!$C$12,$B285,$C$26)</f>
        <v>252</v>
      </c>
      <c r="D285" s="80">
        <f t="shared" ref="D285:D327" si="51">D284</f>
        <v>14100</v>
      </c>
      <c r="E285" s="80">
        <f ca="1">(SUMIF(主线推图!$B$4:$B$303,"&lt;"&amp;C285,主线推图!$M$4:$M$303)+SUMIF(主线宝箱!$B$320:$B$620,"&lt;"&amp;C285,主线宝箱!$L$320:$L$620)+SUMIF(主线宝箱!$B$320:$B$620,"&lt;"&amp;C285,主线宝箱!$X$320:$X$620)+SUMIF(主线宝箱!$B$320:$B$620,"&lt;"&amp;C285,主线宝箱!$AL$320:$AL$620))</f>
        <v>448800</v>
      </c>
      <c r="F285" s="98">
        <f ca="1">SUMIF(组队产出!$B$24:$B$39,"&lt;="&amp;MAX(1,INT(C285/10-0.6)),组队产出!$R$24:$R$39)</f>
        <v>141000</v>
      </c>
      <c r="G285" s="80">
        <f ca="1">SUMIF(运营活动!$O$3:$O$27,"&lt;="&amp;C285,运营活动!$P$3:$P$27)</f>
        <v>30000</v>
      </c>
      <c r="H285" s="80">
        <f ca="1">OFFSET(产销汇总!$AM$12,B285,$C$26)*24</f>
        <v>1890000</v>
      </c>
      <c r="I285" s="172">
        <f ca="1">SUMIF(金币本!$F$2:$F$52,"&lt;="&amp;C285,金币本!$D$2:$D$52)</f>
        <v>1425000</v>
      </c>
      <c r="J285" s="80">
        <f ca="1">OFFSET(产销汇总!$C$1,MATCH(J$27,产销汇总!$C$2:$C$8,0),$C$26)*(_xlfn.XLOOKUP(C285,主线推图!$B$313:$B$612,主线推图!$C$313:$C$612)+_xlfn.XLOOKUP(C285,主线推图!$B$313:$B$612,主线推图!$D$313:$D$612))</f>
        <v>17204</v>
      </c>
      <c r="K285" s="80">
        <f ca="1">OFFSET(产销汇总!$C$1,MATCH(K$27,产销汇总!$C$2:$C$8,0),$C$26)*_xlfn.XLOOKUP(C285,巡逻产出!$B$311:$B$610,巡逻产出!$C$311:$C$610)*1.3</f>
        <v>0</v>
      </c>
      <c r="L285" s="80" t="e">
        <f ca="1">OFFSET(产销汇总!$C$1,MATCH(L$27,产销汇总!$C$2:$C$8,0),$C$26)*(_xlfn.XLOOKUP(MAX(1,INT(C285/10-6/10)),组队产出!$B$24:$B$39,组队产出!$D$24:$D$39))+OFFSET(产销汇总!$C$1,MATCH(L$27,产销汇总!$C$2:$C$8,0),$C$26)*(_xlfn.XLOOKUP(MAX(1,INT(C285/10-6/10)),组队产出!$B$24:$B$39,组队产出!$C$24:$C$39))</f>
        <v>#N/A</v>
      </c>
      <c r="M285" s="80">
        <f ca="1">(OFFSET(产销汇总!$C$1,MATCH(M$27,产销汇总!$C$2:$C$8,0),$C$26)*_xlfn.XLOOKUP(C285,巡逻产出!$B$311:$B$610,巡逻产出!$D$311:$D$610))*$M$24</f>
        <v>12199.2</v>
      </c>
      <c r="N285" s="80" t="e">
        <f ca="1">OFFSET(产销汇总!$C$1,MATCH(L$27,产销汇总!$C$2:$C$8,0),$C$26)*(_xlfn.XLOOKUP(MAX(1,INT(C285/10-6/10)),组队产出!$B$24:$B$39,组队产出!$S$24:$S$39))</f>
        <v>#N/A</v>
      </c>
      <c r="O285" s="172">
        <f>任务!$D$36</f>
        <v>2457.14285714286</v>
      </c>
      <c r="P285" s="98">
        <f t="shared" si="46"/>
        <v>428</v>
      </c>
      <c r="Q285" s="80">
        <f t="shared" ref="Q285:Q327" si="52">IF(MOD(B285,7)=1,500,0)+1000+IF(AND($C$26=4,B285&lt;=0),40000,0)</f>
        <v>1000</v>
      </c>
      <c r="R285" s="172">
        <f t="shared" ref="R285:R327" si="53">R284</f>
        <v>2000</v>
      </c>
      <c r="S285" s="210">
        <f ca="1">IFERROR(OFFSET(金币本!$E$2,MATCH(C285,金币本!$F$3:$F$302,1),0)*IF($C$26=1,2,3),0)</f>
        <v>39750</v>
      </c>
      <c r="T285" s="172" t="e">
        <f ca="1">SUM($J$28:S285)+SUM(D285:I285)</f>
        <v>#N/A</v>
      </c>
      <c r="U285" s="172" t="e">
        <f ca="1" t="shared" si="47"/>
        <v>#N/A</v>
      </c>
      <c r="V285" s="98" t="e">
        <f ca="1" t="shared" si="48"/>
        <v>#N/A</v>
      </c>
      <c r="W285" s="98" t="e">
        <f ca="1">OFFSET(装备强化!$U$6,MATCH(图纸产出设计!V286/6*W$26,装备强化!$T$7:$T$306,1),0)*6</f>
        <v>#N/A</v>
      </c>
      <c r="X285" s="98">
        <v>1156600</v>
      </c>
      <c r="Y285" s="98">
        <f t="shared" si="43"/>
        <v>8144000</v>
      </c>
      <c r="Z285" s="98">
        <f t="shared" si="45"/>
        <v>2</v>
      </c>
      <c r="AA285" s="147" t="e">
        <f ca="1" t="shared" si="49"/>
        <v>#N/A</v>
      </c>
      <c r="AB285" s="209" t="e">
        <f ca="1" t="shared" si="50"/>
        <v>#N/A</v>
      </c>
      <c r="AC285" s="209">
        <f ca="1">SUMIFS(装备强化!$Q$7:$Q$306,装备强化!$M$7:$M$306,"&lt;="&amp;MATCH(U285/6,装备强化!$U$7:$U$306,1),装备强化!$M$7:$M$306,"&gt;="&amp;MATCH(V285/6,装备强化!$U$7:$U$306,1))*6</f>
        <v>0</v>
      </c>
      <c r="AD285">
        <f ca="1" t="shared" si="44"/>
        <v>0</v>
      </c>
    </row>
    <row r="286" spans="1:30">
      <c r="A286" s="171"/>
      <c r="B286" s="80">
        <v>259</v>
      </c>
      <c r="C286" s="80">
        <f ca="1">OFFSET(产销汇总!$C$12,$B286,$C$26)</f>
        <v>252.5</v>
      </c>
      <c r="D286" s="80">
        <f t="shared" si="51"/>
        <v>14100</v>
      </c>
      <c r="E286" s="80">
        <f ca="1">(SUMIF(主线推图!$B$4:$B$303,"&lt;"&amp;C286,主线推图!$M$4:$M$303)+SUMIF(主线宝箱!$B$320:$B$620,"&lt;"&amp;C286,主线宝箱!$L$320:$L$620)+SUMIF(主线宝箱!$B$320:$B$620,"&lt;"&amp;C286,主线宝箱!$X$320:$X$620)+SUMIF(主线宝箱!$B$320:$B$620,"&lt;"&amp;C286,主线宝箱!$AL$320:$AL$620))</f>
        <v>450600</v>
      </c>
      <c r="F286" s="98">
        <f ca="1">SUMIF(组队产出!$B$24:$B$39,"&lt;="&amp;MAX(1,INT(C286/10-0.6)),组队产出!$R$24:$R$39)</f>
        <v>141000</v>
      </c>
      <c r="G286" s="80">
        <f ca="1">SUMIF(运营活动!$O$3:$O$27,"&lt;="&amp;C286,运营活动!$P$3:$P$27)</f>
        <v>30000</v>
      </c>
      <c r="H286" s="80">
        <f ca="1">OFFSET(产销汇总!$AM$12,B286,$C$26)*24</f>
        <v>1897248</v>
      </c>
      <c r="I286" s="172">
        <f ca="1">SUMIF(金币本!$F$2:$F$52,"&lt;="&amp;C286,金币本!$D$2:$D$52)</f>
        <v>1425000</v>
      </c>
      <c r="J286" s="80" t="e">
        <f ca="1">OFFSET(产销汇总!$C$1,MATCH(J$27,产销汇总!$C$2:$C$8,0),$C$26)*(_xlfn.XLOOKUP(C286,主线推图!$B$313:$B$612,主线推图!$C$313:$C$612)+_xlfn.XLOOKUP(C286,主线推图!$B$313:$B$612,主线推图!$D$313:$D$612))</f>
        <v>#N/A</v>
      </c>
      <c r="K286" s="80" t="e">
        <f ca="1">OFFSET(产销汇总!$C$1,MATCH(K$27,产销汇总!$C$2:$C$8,0),$C$26)*_xlfn.XLOOKUP(C286,巡逻产出!$B$311:$B$610,巡逻产出!$C$311:$C$610)*1.3</f>
        <v>#N/A</v>
      </c>
      <c r="L286" s="80" t="e">
        <f ca="1">OFFSET(产销汇总!$C$1,MATCH(L$27,产销汇总!$C$2:$C$8,0),$C$26)*(_xlfn.XLOOKUP(MAX(1,INT(C286/10-6/10)),组队产出!$B$24:$B$39,组队产出!$D$24:$D$39))+OFFSET(产销汇总!$C$1,MATCH(L$27,产销汇总!$C$2:$C$8,0),$C$26)*(_xlfn.XLOOKUP(MAX(1,INT(C286/10-6/10)),组队产出!$B$24:$B$39,组队产出!$C$24:$C$39))</f>
        <v>#N/A</v>
      </c>
      <c r="M286" s="80" t="e">
        <f ca="1">(OFFSET(产销汇总!$C$1,MATCH(M$27,产销汇总!$C$2:$C$8,0),$C$26)*_xlfn.XLOOKUP(C286,巡逻产出!$B$311:$B$610,巡逻产出!$D$311:$D$610))*$M$24</f>
        <v>#N/A</v>
      </c>
      <c r="N286" s="80" t="e">
        <f ca="1">OFFSET(产销汇总!$C$1,MATCH(L$27,产销汇总!$C$2:$C$8,0),$C$26)*(_xlfn.XLOOKUP(MAX(1,INT(C286/10-6/10)),组队产出!$B$24:$B$39,组队产出!$S$24:$S$39))</f>
        <v>#N/A</v>
      </c>
      <c r="O286" s="172">
        <f>任务!$D$36</f>
        <v>2457.14285714286</v>
      </c>
      <c r="P286" s="98">
        <f t="shared" si="46"/>
        <v>428</v>
      </c>
      <c r="Q286" s="80">
        <f t="shared" si="52"/>
        <v>1000</v>
      </c>
      <c r="R286" s="172">
        <f t="shared" si="53"/>
        <v>2000</v>
      </c>
      <c r="S286" s="210">
        <f ca="1">IFERROR(OFFSET(金币本!$E$2,MATCH(C286,金币本!$F$3:$F$302,1),0)*IF($C$26=1,2,3),0)</f>
        <v>39750</v>
      </c>
      <c r="T286" s="172" t="e">
        <f ca="1">SUM($J$28:S286)+SUM(D286:I286)</f>
        <v>#N/A</v>
      </c>
      <c r="U286" s="172" t="e">
        <f ca="1" t="shared" si="47"/>
        <v>#N/A</v>
      </c>
      <c r="V286" s="98" t="e">
        <f ca="1" t="shared" si="48"/>
        <v>#N/A</v>
      </c>
      <c r="W286" s="98" t="e">
        <f ca="1">OFFSET(装备强化!$U$6,MATCH(图纸产出设计!V287/6*W$26,装备强化!$T$7:$T$306,1),0)*6</f>
        <v>#N/A</v>
      </c>
      <c r="X286" s="98">
        <v>1156600</v>
      </c>
      <c r="Y286" s="98">
        <f t="shared" ref="Y286:Y327" si="54">Y285+$Y$28*Z286</f>
        <v>8176000</v>
      </c>
      <c r="Z286" s="98">
        <f t="shared" si="45"/>
        <v>2</v>
      </c>
      <c r="AA286" s="147" t="e">
        <f ca="1" t="shared" si="49"/>
        <v>#N/A</v>
      </c>
      <c r="AB286" s="209" t="e">
        <f ca="1" t="shared" si="50"/>
        <v>#N/A</v>
      </c>
      <c r="AC286" s="209">
        <f ca="1">SUMIFS(装备强化!$Q$7:$Q$306,装备强化!$M$7:$M$306,"&lt;="&amp;MATCH(U286/6,装备强化!$U$7:$U$306,1),装备强化!$M$7:$M$306,"&gt;="&amp;MATCH(V286/6,装备强化!$U$7:$U$306,1))*6</f>
        <v>0</v>
      </c>
      <c r="AD286">
        <f ca="1" t="shared" ref="AD286:AD327" si="55">AC286/B286</f>
        <v>0</v>
      </c>
    </row>
    <row r="287" spans="1:30">
      <c r="A287" s="171"/>
      <c r="B287" s="80">
        <v>260</v>
      </c>
      <c r="C287" s="80">
        <f ca="1">OFFSET(产销汇总!$C$12,$B287,$C$26)</f>
        <v>253</v>
      </c>
      <c r="D287" s="80">
        <f t="shared" si="51"/>
        <v>14100</v>
      </c>
      <c r="E287" s="80">
        <f ca="1">(SUMIF(主线推图!$B$4:$B$303,"&lt;"&amp;C287,主线推图!$M$4:$M$303)+SUMIF(主线宝箱!$B$320:$B$620,"&lt;"&amp;C287,主线宝箱!$L$320:$L$620)+SUMIF(主线宝箱!$B$320:$B$620,"&lt;"&amp;C287,主线宝箱!$X$320:$X$620)+SUMIF(主线宝箱!$B$320:$B$620,"&lt;"&amp;C287,主线宝箱!$AL$320:$AL$620))</f>
        <v>450600</v>
      </c>
      <c r="F287" s="98">
        <f ca="1">SUMIF(组队产出!$B$24:$B$39,"&lt;="&amp;MAX(1,INT(C287/10-0.6)),组队产出!$R$24:$R$39)</f>
        <v>141000</v>
      </c>
      <c r="G287" s="80">
        <f ca="1">SUMIF(运营活动!$O$3:$O$27,"&lt;="&amp;C287,运营活动!$P$3:$P$27)</f>
        <v>30000</v>
      </c>
      <c r="H287" s="80">
        <f ca="1">OFFSET(产销汇总!$AM$12,B287,$C$26)*24</f>
        <v>1904496</v>
      </c>
      <c r="I287" s="172">
        <f ca="1">SUMIF(金币本!$F$2:$F$52,"&lt;="&amp;C287,金币本!$D$2:$D$52)</f>
        <v>1425000</v>
      </c>
      <c r="J287" s="80">
        <f ca="1">OFFSET(产销汇总!$C$1,MATCH(J$27,产销汇总!$C$2:$C$8,0),$C$26)*(_xlfn.XLOOKUP(C287,主线推图!$B$313:$B$612,主线推图!$C$313:$C$612)+_xlfn.XLOOKUP(C287,主线推图!$B$313:$B$612,主线推图!$D$313:$D$612))</f>
        <v>17248</v>
      </c>
      <c r="K287" s="80">
        <f ca="1">OFFSET(产销汇总!$C$1,MATCH(K$27,产销汇总!$C$2:$C$8,0),$C$26)*_xlfn.XLOOKUP(C287,巡逻产出!$B$311:$B$610,巡逻产出!$C$311:$C$610)*1.3</f>
        <v>0</v>
      </c>
      <c r="L287" s="80" t="e">
        <f ca="1">OFFSET(产销汇总!$C$1,MATCH(L$27,产销汇总!$C$2:$C$8,0),$C$26)*(_xlfn.XLOOKUP(MAX(1,INT(C287/10-6/10)),组队产出!$B$24:$B$39,组队产出!$D$24:$D$39))+OFFSET(产销汇总!$C$1,MATCH(L$27,产销汇总!$C$2:$C$8,0),$C$26)*(_xlfn.XLOOKUP(MAX(1,INT(C287/10-6/10)),组队产出!$B$24:$B$39,组队产出!$C$24:$C$39))</f>
        <v>#N/A</v>
      </c>
      <c r="M287" s="80">
        <f ca="1">(OFFSET(产销汇总!$C$1,MATCH(M$27,产销汇总!$C$2:$C$8,0),$C$26)*_xlfn.XLOOKUP(C287,巡逻产出!$B$311:$B$610,巡逻产出!$D$311:$D$610))*$M$24</f>
        <v>12230.4</v>
      </c>
      <c r="N287" s="80" t="e">
        <f ca="1">OFFSET(产销汇总!$C$1,MATCH(L$27,产销汇总!$C$2:$C$8,0),$C$26)*(_xlfn.XLOOKUP(MAX(1,INT(C287/10-6/10)),组队产出!$B$24:$B$39,组队产出!$S$24:$S$39))</f>
        <v>#N/A</v>
      </c>
      <c r="O287" s="172">
        <f>任务!$D$36</f>
        <v>2457.14285714286</v>
      </c>
      <c r="P287" s="98">
        <f t="shared" si="46"/>
        <v>428</v>
      </c>
      <c r="Q287" s="80">
        <f t="shared" si="52"/>
        <v>1500</v>
      </c>
      <c r="R287" s="172">
        <f t="shared" si="53"/>
        <v>2000</v>
      </c>
      <c r="S287" s="210">
        <f ca="1">IFERROR(OFFSET(金币本!$E$2,MATCH(C287,金币本!$F$3:$F$302,1),0)*IF($C$26=1,2,3),0)</f>
        <v>39750</v>
      </c>
      <c r="T287" s="172" t="e">
        <f ca="1">SUM($J$28:S287)+SUM(D287:I287)</f>
        <v>#N/A</v>
      </c>
      <c r="U287" s="172" t="e">
        <f ca="1" t="shared" si="47"/>
        <v>#N/A</v>
      </c>
      <c r="V287" s="98" t="e">
        <f ca="1" t="shared" si="48"/>
        <v>#N/A</v>
      </c>
      <c r="W287" s="98" t="e">
        <f ca="1">OFFSET(装备强化!$U$6,MATCH(图纸产出设计!V288/6*W$26,装备强化!$T$7:$T$306,1),0)*6</f>
        <v>#N/A</v>
      </c>
      <c r="X287" s="98">
        <v>1156600</v>
      </c>
      <c r="Y287" s="98">
        <f t="shared" si="54"/>
        <v>8208000</v>
      </c>
      <c r="Z287" s="98">
        <f t="shared" si="45"/>
        <v>2</v>
      </c>
      <c r="AA287" s="147" t="e">
        <f ca="1" t="shared" si="49"/>
        <v>#N/A</v>
      </c>
      <c r="AB287" s="209" t="e">
        <f ca="1" t="shared" si="50"/>
        <v>#N/A</v>
      </c>
      <c r="AC287" s="209">
        <f ca="1">SUMIFS(装备强化!$Q$7:$Q$306,装备强化!$M$7:$M$306,"&lt;="&amp;MATCH(U287/6,装备强化!$U$7:$U$306,1),装备强化!$M$7:$M$306,"&gt;="&amp;MATCH(V287/6,装备强化!$U$7:$U$306,1))*6</f>
        <v>0</v>
      </c>
      <c r="AD287">
        <f ca="1" t="shared" si="55"/>
        <v>0</v>
      </c>
    </row>
    <row r="288" spans="1:30">
      <c r="A288" s="171"/>
      <c r="B288" s="80">
        <v>261</v>
      </c>
      <c r="C288" s="80">
        <f ca="1">OFFSET(产销汇总!$C$12,$B288,$C$26)</f>
        <v>253.5</v>
      </c>
      <c r="D288" s="80">
        <f t="shared" si="51"/>
        <v>14100</v>
      </c>
      <c r="E288" s="80">
        <f ca="1">(SUMIF(主线推图!$B$4:$B$303,"&lt;"&amp;C288,主线推图!$M$4:$M$303)+SUMIF(主线宝箱!$B$320:$B$620,"&lt;"&amp;C288,主线宝箱!$L$320:$L$620)+SUMIF(主线宝箱!$B$320:$B$620,"&lt;"&amp;C288,主线宝箱!$X$320:$X$620)+SUMIF(主线宝箱!$B$320:$B$620,"&lt;"&amp;C288,主线宝箱!$AL$320:$AL$620))</f>
        <v>452400</v>
      </c>
      <c r="F288" s="98">
        <f ca="1">SUMIF(组队产出!$B$24:$B$39,"&lt;="&amp;MAX(1,INT(C288/10-0.6)),组队产出!$R$24:$R$39)</f>
        <v>141000</v>
      </c>
      <c r="G288" s="80">
        <f ca="1">SUMIF(运营活动!$O$3:$O$27,"&lt;="&amp;C288,运营活动!$P$3:$P$27)</f>
        <v>30000</v>
      </c>
      <c r="H288" s="80">
        <f ca="1">OFFSET(产销汇总!$AM$12,B288,$C$26)*24</f>
        <v>1911744</v>
      </c>
      <c r="I288" s="172">
        <f ca="1">SUMIF(金币本!$F$2:$F$52,"&lt;="&amp;C288,金币本!$D$2:$D$52)</f>
        <v>1425000</v>
      </c>
      <c r="J288" s="80" t="e">
        <f ca="1">OFFSET(产销汇总!$C$1,MATCH(J$27,产销汇总!$C$2:$C$8,0),$C$26)*(_xlfn.XLOOKUP(C288,主线推图!$B$313:$B$612,主线推图!$C$313:$C$612)+_xlfn.XLOOKUP(C288,主线推图!$B$313:$B$612,主线推图!$D$313:$D$612))</f>
        <v>#N/A</v>
      </c>
      <c r="K288" s="80" t="e">
        <f ca="1">OFFSET(产销汇总!$C$1,MATCH(K$27,产销汇总!$C$2:$C$8,0),$C$26)*_xlfn.XLOOKUP(C288,巡逻产出!$B$311:$B$610,巡逻产出!$C$311:$C$610)*1.3</f>
        <v>#N/A</v>
      </c>
      <c r="L288" s="80" t="e">
        <f ca="1">OFFSET(产销汇总!$C$1,MATCH(L$27,产销汇总!$C$2:$C$8,0),$C$26)*(_xlfn.XLOOKUP(MAX(1,INT(C288/10-6/10)),组队产出!$B$24:$B$39,组队产出!$D$24:$D$39))+OFFSET(产销汇总!$C$1,MATCH(L$27,产销汇总!$C$2:$C$8,0),$C$26)*(_xlfn.XLOOKUP(MAX(1,INT(C288/10-6/10)),组队产出!$B$24:$B$39,组队产出!$C$24:$C$39))</f>
        <v>#N/A</v>
      </c>
      <c r="M288" s="80" t="e">
        <f ca="1">(OFFSET(产销汇总!$C$1,MATCH(M$27,产销汇总!$C$2:$C$8,0),$C$26)*_xlfn.XLOOKUP(C288,巡逻产出!$B$311:$B$610,巡逻产出!$D$311:$D$610))*$M$24</f>
        <v>#N/A</v>
      </c>
      <c r="N288" s="80" t="e">
        <f ca="1">OFFSET(产销汇总!$C$1,MATCH(L$27,产销汇总!$C$2:$C$8,0),$C$26)*(_xlfn.XLOOKUP(MAX(1,INT(C288/10-6/10)),组队产出!$B$24:$B$39,组队产出!$S$24:$S$39))</f>
        <v>#N/A</v>
      </c>
      <c r="O288" s="172">
        <f>任务!$D$36</f>
        <v>2457.14285714286</v>
      </c>
      <c r="P288" s="98">
        <f t="shared" si="46"/>
        <v>428</v>
      </c>
      <c r="Q288" s="80">
        <f t="shared" si="52"/>
        <v>1000</v>
      </c>
      <c r="R288" s="172">
        <f t="shared" si="53"/>
        <v>2000</v>
      </c>
      <c r="S288" s="210">
        <f ca="1">IFERROR(OFFSET(金币本!$E$2,MATCH(C288,金币本!$F$3:$F$302,1),0)*IF($C$26=1,2,3),0)</f>
        <v>39750</v>
      </c>
      <c r="T288" s="172" t="e">
        <f ca="1">SUM($J$28:S288)+SUM(D288:I288)</f>
        <v>#N/A</v>
      </c>
      <c r="U288" s="172" t="e">
        <f ca="1" t="shared" si="47"/>
        <v>#N/A</v>
      </c>
      <c r="V288" s="98" t="e">
        <f ca="1" t="shared" si="48"/>
        <v>#N/A</v>
      </c>
      <c r="W288" s="98" t="e">
        <f ca="1">OFFSET(装备强化!$U$6,MATCH(图纸产出设计!V289/6*W$26,装备强化!$T$7:$T$306,1),0)*6</f>
        <v>#N/A</v>
      </c>
      <c r="X288" s="98">
        <v>1169360</v>
      </c>
      <c r="Y288" s="98">
        <f t="shared" si="54"/>
        <v>8240000</v>
      </c>
      <c r="Z288" s="98">
        <f t="shared" si="45"/>
        <v>2</v>
      </c>
      <c r="AA288" s="147" t="e">
        <f ca="1" t="shared" si="49"/>
        <v>#N/A</v>
      </c>
      <c r="AB288" s="209" t="e">
        <f ca="1" t="shared" si="50"/>
        <v>#N/A</v>
      </c>
      <c r="AC288" s="209">
        <f ca="1">SUMIFS(装备强化!$Q$7:$Q$306,装备强化!$M$7:$M$306,"&lt;="&amp;MATCH(U288/6,装备强化!$U$7:$U$306,1),装备强化!$M$7:$M$306,"&gt;="&amp;MATCH(V288/6,装备强化!$U$7:$U$306,1))*6</f>
        <v>0</v>
      </c>
      <c r="AD288">
        <f ca="1" t="shared" si="55"/>
        <v>0</v>
      </c>
    </row>
    <row r="289" spans="1:30">
      <c r="A289" s="171"/>
      <c r="B289" s="80">
        <v>262</v>
      </c>
      <c r="C289" s="80">
        <f ca="1">OFFSET(产销汇总!$C$12,$B289,$C$26)</f>
        <v>254</v>
      </c>
      <c r="D289" s="80">
        <f t="shared" si="51"/>
        <v>14100</v>
      </c>
      <c r="E289" s="80">
        <f ca="1">(SUMIF(主线推图!$B$4:$B$303,"&lt;"&amp;C289,主线推图!$M$4:$M$303)+SUMIF(主线宝箱!$B$320:$B$620,"&lt;"&amp;C289,主线宝箱!$L$320:$L$620)+SUMIF(主线宝箱!$B$320:$B$620,"&lt;"&amp;C289,主线宝箱!$X$320:$X$620)+SUMIF(主线宝箱!$B$320:$B$620,"&lt;"&amp;C289,主线宝箱!$AL$320:$AL$620))</f>
        <v>452400</v>
      </c>
      <c r="F289" s="98">
        <f ca="1">SUMIF(组队产出!$B$24:$B$39,"&lt;="&amp;MAX(1,INT(C289/10-0.6)),组队产出!$R$24:$R$39)</f>
        <v>141000</v>
      </c>
      <c r="G289" s="80">
        <f ca="1">SUMIF(运营活动!$O$3:$O$27,"&lt;="&amp;C289,运营活动!$P$3:$P$27)</f>
        <v>30000</v>
      </c>
      <c r="H289" s="80">
        <f ca="1">OFFSET(产销汇总!$AM$12,B289,$C$26)*24</f>
        <v>1918992</v>
      </c>
      <c r="I289" s="172">
        <f ca="1">SUMIF(金币本!$F$2:$F$52,"&lt;="&amp;C289,金币本!$D$2:$D$52)</f>
        <v>1425000</v>
      </c>
      <c r="J289" s="80">
        <f ca="1">OFFSET(产销汇总!$C$1,MATCH(J$27,产销汇总!$C$2:$C$8,0),$C$26)*(_xlfn.XLOOKUP(C289,主线推图!$B$313:$B$612,主线推图!$C$313:$C$612)+_xlfn.XLOOKUP(C289,主线推图!$B$313:$B$612,主线推图!$D$313:$D$612))</f>
        <v>17292</v>
      </c>
      <c r="K289" s="80">
        <f ca="1">OFFSET(产销汇总!$C$1,MATCH(K$27,产销汇总!$C$2:$C$8,0),$C$26)*_xlfn.XLOOKUP(C289,巡逻产出!$B$311:$B$610,巡逻产出!$C$311:$C$610)*1.3</f>
        <v>0</v>
      </c>
      <c r="L289" s="80" t="e">
        <f ca="1">OFFSET(产销汇总!$C$1,MATCH(L$27,产销汇总!$C$2:$C$8,0),$C$26)*(_xlfn.XLOOKUP(MAX(1,INT(C289/10-6/10)),组队产出!$B$24:$B$39,组队产出!$D$24:$D$39))+OFFSET(产销汇总!$C$1,MATCH(L$27,产销汇总!$C$2:$C$8,0),$C$26)*(_xlfn.XLOOKUP(MAX(1,INT(C289/10-6/10)),组队产出!$B$24:$B$39,组队产出!$C$24:$C$39))</f>
        <v>#N/A</v>
      </c>
      <c r="M289" s="80">
        <f ca="1">(OFFSET(产销汇总!$C$1,MATCH(M$27,产销汇总!$C$2:$C$8,0),$C$26)*_xlfn.XLOOKUP(C289,巡逻产出!$B$311:$B$610,巡逻产出!$D$311:$D$610))*$M$24</f>
        <v>12261.6</v>
      </c>
      <c r="N289" s="80" t="e">
        <f ca="1">OFFSET(产销汇总!$C$1,MATCH(L$27,产销汇总!$C$2:$C$8,0),$C$26)*(_xlfn.XLOOKUP(MAX(1,INT(C289/10-6/10)),组队产出!$B$24:$B$39,组队产出!$S$24:$S$39))</f>
        <v>#N/A</v>
      </c>
      <c r="O289" s="172">
        <f>任务!$D$36</f>
        <v>2457.14285714286</v>
      </c>
      <c r="P289" s="98">
        <f t="shared" si="46"/>
        <v>428</v>
      </c>
      <c r="Q289" s="80">
        <f t="shared" si="52"/>
        <v>1000</v>
      </c>
      <c r="R289" s="172">
        <f t="shared" si="53"/>
        <v>2000</v>
      </c>
      <c r="S289" s="210">
        <f ca="1">IFERROR(OFFSET(金币本!$E$2,MATCH(C289,金币本!$F$3:$F$302,1),0)*IF($C$26=1,2,3),0)</f>
        <v>39750</v>
      </c>
      <c r="T289" s="172" t="e">
        <f ca="1">SUM($J$28:S289)+SUM(D289:I289)</f>
        <v>#N/A</v>
      </c>
      <c r="U289" s="172" t="e">
        <f ca="1" t="shared" si="47"/>
        <v>#N/A</v>
      </c>
      <c r="V289" s="98" t="e">
        <f ca="1" t="shared" si="48"/>
        <v>#N/A</v>
      </c>
      <c r="W289" s="98" t="e">
        <f ca="1">OFFSET(装备强化!$U$6,MATCH(图纸产出设计!V290/6*W$26,装备强化!$T$7:$T$306,1),0)*6</f>
        <v>#N/A</v>
      </c>
      <c r="X289" s="98">
        <v>1169360</v>
      </c>
      <c r="Y289" s="98">
        <f t="shared" si="54"/>
        <v>8272000</v>
      </c>
      <c r="Z289" s="98">
        <f t="shared" si="45"/>
        <v>2</v>
      </c>
      <c r="AA289" s="147" t="e">
        <f ca="1" t="shared" si="49"/>
        <v>#N/A</v>
      </c>
      <c r="AB289" s="209" t="e">
        <f ca="1" t="shared" si="50"/>
        <v>#N/A</v>
      </c>
      <c r="AC289" s="209">
        <f ca="1">SUMIFS(装备强化!$Q$7:$Q$306,装备强化!$M$7:$M$306,"&lt;="&amp;MATCH(U289/6,装备强化!$U$7:$U$306,1),装备强化!$M$7:$M$306,"&gt;="&amp;MATCH(V289/6,装备强化!$U$7:$U$306,1))*6</f>
        <v>0</v>
      </c>
      <c r="AD289">
        <f ca="1" t="shared" si="55"/>
        <v>0</v>
      </c>
    </row>
    <row r="290" spans="1:30">
      <c r="A290" s="171"/>
      <c r="B290" s="80">
        <v>263</v>
      </c>
      <c r="C290" s="80">
        <f ca="1">OFFSET(产销汇总!$C$12,$B290,$C$26)</f>
        <v>254.5</v>
      </c>
      <c r="D290" s="80">
        <f t="shared" si="51"/>
        <v>14100</v>
      </c>
      <c r="E290" s="80">
        <f ca="1">(SUMIF(主线推图!$B$4:$B$303,"&lt;"&amp;C290,主线推图!$M$4:$M$303)+SUMIF(主线宝箱!$B$320:$B$620,"&lt;"&amp;C290,主线宝箱!$L$320:$L$620)+SUMIF(主线宝箱!$B$320:$B$620,"&lt;"&amp;C290,主线宝箱!$X$320:$X$620)+SUMIF(主线宝箱!$B$320:$B$620,"&lt;"&amp;C290,主线宝箱!$AL$320:$AL$620))</f>
        <v>454200</v>
      </c>
      <c r="F290" s="98">
        <f ca="1">SUMIF(组队产出!$B$24:$B$39,"&lt;="&amp;MAX(1,INT(C290/10-0.6)),组队产出!$R$24:$R$39)</f>
        <v>141000</v>
      </c>
      <c r="G290" s="80">
        <f ca="1">SUMIF(运营活动!$O$3:$O$27,"&lt;="&amp;C290,运营活动!$P$3:$P$27)</f>
        <v>30000</v>
      </c>
      <c r="H290" s="80">
        <f ca="1">OFFSET(产销汇总!$AM$12,B290,$C$26)*24</f>
        <v>1926240</v>
      </c>
      <c r="I290" s="172">
        <f ca="1">SUMIF(金币本!$F$2:$F$52,"&lt;="&amp;C290,金币本!$D$2:$D$52)</f>
        <v>1425000</v>
      </c>
      <c r="J290" s="80" t="e">
        <f ca="1">OFFSET(产销汇总!$C$1,MATCH(J$27,产销汇总!$C$2:$C$8,0),$C$26)*(_xlfn.XLOOKUP(C290,主线推图!$B$313:$B$612,主线推图!$C$313:$C$612)+_xlfn.XLOOKUP(C290,主线推图!$B$313:$B$612,主线推图!$D$313:$D$612))</f>
        <v>#N/A</v>
      </c>
      <c r="K290" s="80" t="e">
        <f ca="1">OFFSET(产销汇总!$C$1,MATCH(K$27,产销汇总!$C$2:$C$8,0),$C$26)*_xlfn.XLOOKUP(C290,巡逻产出!$B$311:$B$610,巡逻产出!$C$311:$C$610)*1.3</f>
        <v>#N/A</v>
      </c>
      <c r="L290" s="80" t="e">
        <f ca="1">OFFSET(产销汇总!$C$1,MATCH(L$27,产销汇总!$C$2:$C$8,0),$C$26)*(_xlfn.XLOOKUP(MAX(1,INT(C290/10-6/10)),组队产出!$B$24:$B$39,组队产出!$D$24:$D$39))+OFFSET(产销汇总!$C$1,MATCH(L$27,产销汇总!$C$2:$C$8,0),$C$26)*(_xlfn.XLOOKUP(MAX(1,INT(C290/10-6/10)),组队产出!$B$24:$B$39,组队产出!$C$24:$C$39))</f>
        <v>#N/A</v>
      </c>
      <c r="M290" s="80" t="e">
        <f ca="1">(OFFSET(产销汇总!$C$1,MATCH(M$27,产销汇总!$C$2:$C$8,0),$C$26)*_xlfn.XLOOKUP(C290,巡逻产出!$B$311:$B$610,巡逻产出!$D$311:$D$610))*$M$24</f>
        <v>#N/A</v>
      </c>
      <c r="N290" s="80" t="e">
        <f ca="1">OFFSET(产销汇总!$C$1,MATCH(L$27,产销汇总!$C$2:$C$8,0),$C$26)*(_xlfn.XLOOKUP(MAX(1,INT(C290/10-6/10)),组队产出!$B$24:$B$39,组队产出!$S$24:$S$39))</f>
        <v>#N/A</v>
      </c>
      <c r="O290" s="172">
        <f>任务!$D$36</f>
        <v>2457.14285714286</v>
      </c>
      <c r="P290" s="98">
        <f t="shared" si="46"/>
        <v>428</v>
      </c>
      <c r="Q290" s="80">
        <f t="shared" si="52"/>
        <v>1000</v>
      </c>
      <c r="R290" s="172">
        <f t="shared" si="53"/>
        <v>2000</v>
      </c>
      <c r="S290" s="210">
        <f ca="1">IFERROR(OFFSET(金币本!$E$2,MATCH(C290,金币本!$F$3:$F$302,1),0)*IF($C$26=1,2,3),0)</f>
        <v>39750</v>
      </c>
      <c r="T290" s="172" t="e">
        <f ca="1">SUM($J$28:S290)+SUM(D290:I290)</f>
        <v>#N/A</v>
      </c>
      <c r="U290" s="172" t="e">
        <f ca="1" t="shared" si="47"/>
        <v>#N/A</v>
      </c>
      <c r="V290" s="98" t="e">
        <f ca="1" t="shared" si="48"/>
        <v>#N/A</v>
      </c>
      <c r="W290" s="98" t="e">
        <f ca="1">OFFSET(装备强化!$U$6,MATCH(图纸产出设计!V291/6*W$26,装备强化!$T$7:$T$306,1),0)*6</f>
        <v>#N/A</v>
      </c>
      <c r="X290" s="98">
        <v>1169360</v>
      </c>
      <c r="Y290" s="98">
        <f t="shared" si="54"/>
        <v>8304000</v>
      </c>
      <c r="Z290" s="98">
        <f t="shared" si="45"/>
        <v>2</v>
      </c>
      <c r="AA290" s="147" t="e">
        <f ca="1" t="shared" si="49"/>
        <v>#N/A</v>
      </c>
      <c r="AB290" s="209" t="e">
        <f ca="1" t="shared" si="50"/>
        <v>#N/A</v>
      </c>
      <c r="AC290" s="209">
        <f ca="1">SUMIFS(装备强化!$Q$7:$Q$306,装备强化!$M$7:$M$306,"&lt;="&amp;MATCH(U290/6,装备强化!$U$7:$U$306,1),装备强化!$M$7:$M$306,"&gt;="&amp;MATCH(V290/6,装备强化!$U$7:$U$306,1))*6</f>
        <v>0</v>
      </c>
      <c r="AD290">
        <f ca="1" t="shared" si="55"/>
        <v>0</v>
      </c>
    </row>
    <row r="291" spans="1:30">
      <c r="A291" s="171"/>
      <c r="B291" s="80">
        <v>264</v>
      </c>
      <c r="C291" s="80">
        <f ca="1">OFFSET(产销汇总!$C$12,$B291,$C$26)</f>
        <v>255</v>
      </c>
      <c r="D291" s="80">
        <f t="shared" si="51"/>
        <v>14100</v>
      </c>
      <c r="E291" s="80">
        <f ca="1">(SUMIF(主线推图!$B$4:$B$303,"&lt;"&amp;C291,主线推图!$M$4:$M$303)+SUMIF(主线宝箱!$B$320:$B$620,"&lt;"&amp;C291,主线宝箱!$L$320:$L$620)+SUMIF(主线宝箱!$B$320:$B$620,"&lt;"&amp;C291,主线宝箱!$X$320:$X$620)+SUMIF(主线宝箱!$B$320:$B$620,"&lt;"&amp;C291,主线宝箱!$AL$320:$AL$620))</f>
        <v>454200</v>
      </c>
      <c r="F291" s="98">
        <f ca="1">SUMIF(组队产出!$B$24:$B$39,"&lt;="&amp;MAX(1,INT(C291/10-0.6)),组队产出!$R$24:$R$39)</f>
        <v>141000</v>
      </c>
      <c r="G291" s="80">
        <f ca="1">SUMIF(运营活动!$O$3:$O$27,"&lt;="&amp;C291,运营活动!$P$3:$P$27)</f>
        <v>30000</v>
      </c>
      <c r="H291" s="80">
        <f ca="1">OFFSET(产销汇总!$AM$12,B291,$C$26)*24</f>
        <v>1933488</v>
      </c>
      <c r="I291" s="172">
        <f ca="1">SUMIF(金币本!$F$2:$F$52,"&lt;="&amp;C291,金币本!$D$2:$D$52)</f>
        <v>1425000</v>
      </c>
      <c r="J291" s="80">
        <f ca="1">OFFSET(产销汇总!$C$1,MATCH(J$27,产销汇总!$C$2:$C$8,0),$C$26)*(_xlfn.XLOOKUP(C291,主线推图!$B$313:$B$612,主线推图!$C$313:$C$612)+_xlfn.XLOOKUP(C291,主线推图!$B$313:$B$612,主线推图!$D$313:$D$612))</f>
        <v>17336</v>
      </c>
      <c r="K291" s="80">
        <f ca="1">OFFSET(产销汇总!$C$1,MATCH(K$27,产销汇总!$C$2:$C$8,0),$C$26)*_xlfn.XLOOKUP(C291,巡逻产出!$B$311:$B$610,巡逻产出!$C$311:$C$610)*1.3</f>
        <v>0</v>
      </c>
      <c r="L291" s="80" t="e">
        <f ca="1">OFFSET(产销汇总!$C$1,MATCH(L$27,产销汇总!$C$2:$C$8,0),$C$26)*(_xlfn.XLOOKUP(MAX(1,INT(C291/10-6/10)),组队产出!$B$24:$B$39,组队产出!$D$24:$D$39))+OFFSET(产销汇总!$C$1,MATCH(L$27,产销汇总!$C$2:$C$8,0),$C$26)*(_xlfn.XLOOKUP(MAX(1,INT(C291/10-6/10)),组队产出!$B$24:$B$39,组队产出!$C$24:$C$39))</f>
        <v>#N/A</v>
      </c>
      <c r="M291" s="80">
        <f ca="1">(OFFSET(产销汇总!$C$1,MATCH(M$27,产销汇总!$C$2:$C$8,0),$C$26)*_xlfn.XLOOKUP(C291,巡逻产出!$B$311:$B$610,巡逻产出!$D$311:$D$610))*$M$24</f>
        <v>12292.8</v>
      </c>
      <c r="N291" s="80" t="e">
        <f ca="1">OFFSET(产销汇总!$C$1,MATCH(L$27,产销汇总!$C$2:$C$8,0),$C$26)*(_xlfn.XLOOKUP(MAX(1,INT(C291/10-6/10)),组队产出!$B$24:$B$39,组队产出!$S$24:$S$39))</f>
        <v>#N/A</v>
      </c>
      <c r="O291" s="172">
        <f>任务!$D$36</f>
        <v>2457.14285714286</v>
      </c>
      <c r="P291" s="98">
        <f t="shared" si="46"/>
        <v>428</v>
      </c>
      <c r="Q291" s="80">
        <f t="shared" si="52"/>
        <v>1000</v>
      </c>
      <c r="R291" s="172">
        <f t="shared" si="53"/>
        <v>2000</v>
      </c>
      <c r="S291" s="210">
        <f ca="1">IFERROR(OFFSET(金币本!$E$2,MATCH(C291,金币本!$F$3:$F$302,1),0)*IF($C$26=1,2,3),0)</f>
        <v>39750</v>
      </c>
      <c r="T291" s="172" t="e">
        <f ca="1">SUM($J$28:S291)+SUM(D291:I291)</f>
        <v>#N/A</v>
      </c>
      <c r="U291" s="172" t="e">
        <f ca="1" t="shared" si="47"/>
        <v>#N/A</v>
      </c>
      <c r="V291" s="98" t="e">
        <f ca="1" t="shared" si="48"/>
        <v>#N/A</v>
      </c>
      <c r="W291" s="98" t="e">
        <f ca="1">OFFSET(装备强化!$U$6,MATCH(图纸产出设计!V292/6*W$26,装备强化!$T$7:$T$306,1),0)*6</f>
        <v>#N/A</v>
      </c>
      <c r="X291" s="98">
        <v>1182190</v>
      </c>
      <c r="Y291" s="98">
        <f t="shared" si="54"/>
        <v>8336000</v>
      </c>
      <c r="Z291" s="98">
        <f t="shared" si="45"/>
        <v>2</v>
      </c>
      <c r="AA291" s="147" t="e">
        <f ca="1" t="shared" si="49"/>
        <v>#N/A</v>
      </c>
      <c r="AB291" s="209" t="e">
        <f ca="1" t="shared" si="50"/>
        <v>#N/A</v>
      </c>
      <c r="AC291" s="209">
        <f ca="1">SUMIFS(装备强化!$Q$7:$Q$306,装备强化!$M$7:$M$306,"&lt;="&amp;MATCH(U291/6,装备强化!$U$7:$U$306,1),装备强化!$M$7:$M$306,"&gt;="&amp;MATCH(V291/6,装备强化!$U$7:$U$306,1))*6</f>
        <v>0</v>
      </c>
      <c r="AD291">
        <f ca="1" t="shared" si="55"/>
        <v>0</v>
      </c>
    </row>
    <row r="292" spans="1:30">
      <c r="A292" s="171"/>
      <c r="B292" s="80">
        <v>265</v>
      </c>
      <c r="C292" s="80">
        <f ca="1">OFFSET(产销汇总!$C$12,$B292,$C$26)</f>
        <v>255.5</v>
      </c>
      <c r="D292" s="80">
        <f t="shared" si="51"/>
        <v>14100</v>
      </c>
      <c r="E292" s="80">
        <f ca="1">(SUMIF(主线推图!$B$4:$B$303,"&lt;"&amp;C292,主线推图!$M$4:$M$303)+SUMIF(主线宝箱!$B$320:$B$620,"&lt;"&amp;C292,主线宝箱!$L$320:$L$620)+SUMIF(主线宝箱!$B$320:$B$620,"&lt;"&amp;C292,主线宝箱!$X$320:$X$620)+SUMIF(主线宝箱!$B$320:$B$620,"&lt;"&amp;C292,主线宝箱!$AL$320:$AL$620))</f>
        <v>456000</v>
      </c>
      <c r="F292" s="98">
        <f ca="1">SUMIF(组队产出!$B$24:$B$39,"&lt;="&amp;MAX(1,INT(C292/10-0.6)),组队产出!$R$24:$R$39)</f>
        <v>141000</v>
      </c>
      <c r="G292" s="80">
        <f ca="1">SUMIF(运营活动!$O$3:$O$27,"&lt;="&amp;C292,运营活动!$P$3:$P$27)</f>
        <v>30000</v>
      </c>
      <c r="H292" s="80">
        <f ca="1">OFFSET(产销汇总!$AM$12,B292,$C$26)*24</f>
        <v>1940736</v>
      </c>
      <c r="I292" s="172">
        <f ca="1">SUMIF(金币本!$F$2:$F$52,"&lt;="&amp;C292,金币本!$D$2:$D$52)</f>
        <v>1425000</v>
      </c>
      <c r="J292" s="80" t="e">
        <f ca="1">OFFSET(产销汇总!$C$1,MATCH(J$27,产销汇总!$C$2:$C$8,0),$C$26)*(_xlfn.XLOOKUP(C292,主线推图!$B$313:$B$612,主线推图!$C$313:$C$612)+_xlfn.XLOOKUP(C292,主线推图!$B$313:$B$612,主线推图!$D$313:$D$612))</f>
        <v>#N/A</v>
      </c>
      <c r="K292" s="80" t="e">
        <f ca="1">OFFSET(产销汇总!$C$1,MATCH(K$27,产销汇总!$C$2:$C$8,0),$C$26)*_xlfn.XLOOKUP(C292,巡逻产出!$B$311:$B$610,巡逻产出!$C$311:$C$610)*1.3</f>
        <v>#N/A</v>
      </c>
      <c r="L292" s="80" t="e">
        <f ca="1">OFFSET(产销汇总!$C$1,MATCH(L$27,产销汇总!$C$2:$C$8,0),$C$26)*(_xlfn.XLOOKUP(MAX(1,INT(C292/10-6/10)),组队产出!$B$24:$B$39,组队产出!$D$24:$D$39))+OFFSET(产销汇总!$C$1,MATCH(L$27,产销汇总!$C$2:$C$8,0),$C$26)*(_xlfn.XLOOKUP(MAX(1,INT(C292/10-6/10)),组队产出!$B$24:$B$39,组队产出!$C$24:$C$39))</f>
        <v>#N/A</v>
      </c>
      <c r="M292" s="80" t="e">
        <f ca="1">(OFFSET(产销汇总!$C$1,MATCH(M$27,产销汇总!$C$2:$C$8,0),$C$26)*_xlfn.XLOOKUP(C292,巡逻产出!$B$311:$B$610,巡逻产出!$D$311:$D$610))*$M$24</f>
        <v>#N/A</v>
      </c>
      <c r="N292" s="80" t="e">
        <f ca="1">OFFSET(产销汇总!$C$1,MATCH(L$27,产销汇总!$C$2:$C$8,0),$C$26)*(_xlfn.XLOOKUP(MAX(1,INT(C292/10-6/10)),组队产出!$B$24:$B$39,组队产出!$S$24:$S$39))</f>
        <v>#N/A</v>
      </c>
      <c r="O292" s="172">
        <f>任务!$D$36</f>
        <v>2457.14285714286</v>
      </c>
      <c r="P292" s="98">
        <f t="shared" si="46"/>
        <v>428</v>
      </c>
      <c r="Q292" s="80">
        <f t="shared" si="52"/>
        <v>1000</v>
      </c>
      <c r="R292" s="172">
        <f t="shared" si="53"/>
        <v>2000</v>
      </c>
      <c r="S292" s="210">
        <f ca="1">IFERROR(OFFSET(金币本!$E$2,MATCH(C292,金币本!$F$3:$F$302,1),0)*IF($C$26=1,2,3),0)</f>
        <v>39750</v>
      </c>
      <c r="T292" s="172" t="e">
        <f ca="1">SUM($J$28:S292)+SUM(D292:I292)</f>
        <v>#N/A</v>
      </c>
      <c r="U292" s="172" t="e">
        <f ca="1" t="shared" si="47"/>
        <v>#N/A</v>
      </c>
      <c r="V292" s="98" t="e">
        <f ca="1" t="shared" si="48"/>
        <v>#N/A</v>
      </c>
      <c r="W292" s="98" t="e">
        <f ca="1">OFFSET(装备强化!$U$6,MATCH(图纸产出设计!V293/6*W$26,装备强化!$T$7:$T$306,1),0)*6</f>
        <v>#N/A</v>
      </c>
      <c r="X292" s="98">
        <v>1182190</v>
      </c>
      <c r="Y292" s="98">
        <f t="shared" si="54"/>
        <v>8368000</v>
      </c>
      <c r="Z292" s="98">
        <f t="shared" si="45"/>
        <v>2</v>
      </c>
      <c r="AA292" s="147" t="e">
        <f ca="1" t="shared" si="49"/>
        <v>#N/A</v>
      </c>
      <c r="AB292" s="209" t="e">
        <f ca="1" t="shared" si="50"/>
        <v>#N/A</v>
      </c>
      <c r="AC292" s="209">
        <f ca="1">SUMIFS(装备强化!$Q$7:$Q$306,装备强化!$M$7:$M$306,"&lt;="&amp;MATCH(U292/6,装备强化!$U$7:$U$306,1),装备强化!$M$7:$M$306,"&gt;="&amp;MATCH(V292/6,装备强化!$U$7:$U$306,1))*6</f>
        <v>0</v>
      </c>
      <c r="AD292">
        <f ca="1" t="shared" si="55"/>
        <v>0</v>
      </c>
    </row>
    <row r="293" spans="1:30">
      <c r="A293" s="171"/>
      <c r="B293" s="80">
        <v>266</v>
      </c>
      <c r="C293" s="80">
        <f ca="1">OFFSET(产销汇总!$C$12,$B293,$C$26)</f>
        <v>256</v>
      </c>
      <c r="D293" s="80">
        <f t="shared" si="51"/>
        <v>14100</v>
      </c>
      <c r="E293" s="80">
        <f ca="1">(SUMIF(主线推图!$B$4:$B$303,"&lt;"&amp;C293,主线推图!$M$4:$M$303)+SUMIF(主线宝箱!$B$320:$B$620,"&lt;"&amp;C293,主线宝箱!$L$320:$L$620)+SUMIF(主线宝箱!$B$320:$B$620,"&lt;"&amp;C293,主线宝箱!$X$320:$X$620)+SUMIF(主线宝箱!$B$320:$B$620,"&lt;"&amp;C293,主线宝箱!$AL$320:$AL$620))</f>
        <v>456000</v>
      </c>
      <c r="F293" s="98">
        <f ca="1">SUMIF(组队产出!$B$24:$B$39,"&lt;="&amp;MAX(1,INT(C293/10-0.6)),组队产出!$R$24:$R$39)</f>
        <v>141000</v>
      </c>
      <c r="G293" s="80">
        <f ca="1">SUMIF(运营活动!$O$3:$O$27,"&lt;="&amp;C293,运营活动!$P$3:$P$27)</f>
        <v>30000</v>
      </c>
      <c r="H293" s="80">
        <f ca="1">OFFSET(产销汇总!$AM$12,B293,$C$26)*24</f>
        <v>1947984</v>
      </c>
      <c r="I293" s="172">
        <f ca="1">SUMIF(金币本!$F$2:$F$52,"&lt;="&amp;C293,金币本!$D$2:$D$52)</f>
        <v>1425000</v>
      </c>
      <c r="J293" s="80">
        <f ca="1">OFFSET(产销汇总!$C$1,MATCH(J$27,产销汇总!$C$2:$C$8,0),$C$26)*(_xlfn.XLOOKUP(C293,主线推图!$B$313:$B$612,主线推图!$C$313:$C$612)+_xlfn.XLOOKUP(C293,主线推图!$B$313:$B$612,主线推图!$D$313:$D$612))</f>
        <v>17380</v>
      </c>
      <c r="K293" s="80">
        <f ca="1">OFFSET(产销汇总!$C$1,MATCH(K$27,产销汇总!$C$2:$C$8,0),$C$26)*_xlfn.XLOOKUP(C293,巡逻产出!$B$311:$B$610,巡逻产出!$C$311:$C$610)*1.3</f>
        <v>0</v>
      </c>
      <c r="L293" s="80" t="e">
        <f ca="1">OFFSET(产销汇总!$C$1,MATCH(L$27,产销汇总!$C$2:$C$8,0),$C$26)*(_xlfn.XLOOKUP(MAX(1,INT(C293/10-6/10)),组队产出!$B$24:$B$39,组队产出!$D$24:$D$39))+OFFSET(产销汇总!$C$1,MATCH(L$27,产销汇总!$C$2:$C$8,0),$C$26)*(_xlfn.XLOOKUP(MAX(1,INT(C293/10-6/10)),组队产出!$B$24:$B$39,组队产出!$C$24:$C$39))</f>
        <v>#N/A</v>
      </c>
      <c r="M293" s="80">
        <f ca="1">(OFFSET(产销汇总!$C$1,MATCH(M$27,产销汇总!$C$2:$C$8,0),$C$26)*_xlfn.XLOOKUP(C293,巡逻产出!$B$311:$B$610,巡逻产出!$D$311:$D$610))*$M$24</f>
        <v>12324</v>
      </c>
      <c r="N293" s="80" t="e">
        <f ca="1">OFFSET(产销汇总!$C$1,MATCH(L$27,产销汇总!$C$2:$C$8,0),$C$26)*(_xlfn.XLOOKUP(MAX(1,INT(C293/10-6/10)),组队产出!$B$24:$B$39,组队产出!$S$24:$S$39))</f>
        <v>#N/A</v>
      </c>
      <c r="O293" s="172">
        <f>任务!$D$36</f>
        <v>2457.14285714286</v>
      </c>
      <c r="P293" s="98">
        <f t="shared" si="46"/>
        <v>428</v>
      </c>
      <c r="Q293" s="80">
        <f t="shared" si="52"/>
        <v>1000</v>
      </c>
      <c r="R293" s="172">
        <f t="shared" si="53"/>
        <v>2000</v>
      </c>
      <c r="S293" s="210">
        <f ca="1">IFERROR(OFFSET(金币本!$E$2,MATCH(C293,金币本!$F$3:$F$302,1),0)*IF($C$26=1,2,3),0)</f>
        <v>39750</v>
      </c>
      <c r="T293" s="172" t="e">
        <f ca="1">SUM($J$28:S293)+SUM(D293:I293)</f>
        <v>#N/A</v>
      </c>
      <c r="U293" s="172" t="e">
        <f ca="1" t="shared" si="47"/>
        <v>#N/A</v>
      </c>
      <c r="V293" s="98" t="e">
        <f ca="1" t="shared" si="48"/>
        <v>#N/A</v>
      </c>
      <c r="W293" s="98" t="e">
        <f ca="1">OFFSET(装备强化!$U$6,MATCH(图纸产出设计!V294/6*W$26,装备强化!$T$7:$T$306,1),0)*6</f>
        <v>#N/A</v>
      </c>
      <c r="X293" s="98">
        <v>1182190</v>
      </c>
      <c r="Y293" s="98">
        <f t="shared" si="54"/>
        <v>8400000</v>
      </c>
      <c r="Z293" s="98">
        <f t="shared" ref="Z293:Z327" si="56">Z292</f>
        <v>2</v>
      </c>
      <c r="AA293" s="147" t="e">
        <f ca="1" t="shared" si="49"/>
        <v>#N/A</v>
      </c>
      <c r="AB293" s="209" t="e">
        <f ca="1" t="shared" si="50"/>
        <v>#N/A</v>
      </c>
      <c r="AC293" s="209">
        <f ca="1">SUMIFS(装备强化!$Q$7:$Q$306,装备强化!$M$7:$M$306,"&lt;="&amp;MATCH(U293/6,装备强化!$U$7:$U$306,1),装备强化!$M$7:$M$306,"&gt;="&amp;MATCH(V293/6,装备强化!$U$7:$U$306,1))*6</f>
        <v>0</v>
      </c>
      <c r="AD293">
        <f ca="1" t="shared" si="55"/>
        <v>0</v>
      </c>
    </row>
    <row r="294" spans="1:30">
      <c r="A294" s="171"/>
      <c r="B294" s="80">
        <v>267</v>
      </c>
      <c r="C294" s="80">
        <f ca="1">OFFSET(产销汇总!$C$12,$B294,$C$26)</f>
        <v>256.5</v>
      </c>
      <c r="D294" s="80">
        <f t="shared" si="51"/>
        <v>14100</v>
      </c>
      <c r="E294" s="80">
        <f ca="1">(SUMIF(主线推图!$B$4:$B$303,"&lt;"&amp;C294,主线推图!$M$4:$M$303)+SUMIF(主线宝箱!$B$320:$B$620,"&lt;"&amp;C294,主线宝箱!$L$320:$L$620)+SUMIF(主线宝箱!$B$320:$B$620,"&lt;"&amp;C294,主线宝箱!$X$320:$X$620)+SUMIF(主线宝箱!$B$320:$B$620,"&lt;"&amp;C294,主线宝箱!$AL$320:$AL$620))</f>
        <v>457800</v>
      </c>
      <c r="F294" s="98">
        <f ca="1">SUMIF(组队产出!$B$24:$B$39,"&lt;="&amp;MAX(1,INT(C294/10-0.6)),组队产出!$R$24:$R$39)</f>
        <v>141000</v>
      </c>
      <c r="G294" s="80">
        <f ca="1">SUMIF(运营活动!$O$3:$O$27,"&lt;="&amp;C294,运营活动!$P$3:$P$27)</f>
        <v>30000</v>
      </c>
      <c r="H294" s="80">
        <f ca="1">OFFSET(产销汇总!$AM$12,B294,$C$26)*24</f>
        <v>1955232</v>
      </c>
      <c r="I294" s="172">
        <f ca="1">SUMIF(金币本!$F$2:$F$52,"&lt;="&amp;C294,金币本!$D$2:$D$52)</f>
        <v>1425000</v>
      </c>
      <c r="J294" s="80" t="e">
        <f ca="1">OFFSET(产销汇总!$C$1,MATCH(J$27,产销汇总!$C$2:$C$8,0),$C$26)*(_xlfn.XLOOKUP(C294,主线推图!$B$313:$B$612,主线推图!$C$313:$C$612)+_xlfn.XLOOKUP(C294,主线推图!$B$313:$B$612,主线推图!$D$313:$D$612))</f>
        <v>#N/A</v>
      </c>
      <c r="K294" s="80" t="e">
        <f ca="1">OFFSET(产销汇总!$C$1,MATCH(K$27,产销汇总!$C$2:$C$8,0),$C$26)*_xlfn.XLOOKUP(C294,巡逻产出!$B$311:$B$610,巡逻产出!$C$311:$C$610)*1.3</f>
        <v>#N/A</v>
      </c>
      <c r="L294" s="80" t="e">
        <f ca="1">OFFSET(产销汇总!$C$1,MATCH(L$27,产销汇总!$C$2:$C$8,0),$C$26)*(_xlfn.XLOOKUP(MAX(1,INT(C294/10-6/10)),组队产出!$B$24:$B$39,组队产出!$D$24:$D$39))+OFFSET(产销汇总!$C$1,MATCH(L$27,产销汇总!$C$2:$C$8,0),$C$26)*(_xlfn.XLOOKUP(MAX(1,INT(C294/10-6/10)),组队产出!$B$24:$B$39,组队产出!$C$24:$C$39))</f>
        <v>#N/A</v>
      </c>
      <c r="M294" s="80" t="e">
        <f ca="1">(OFFSET(产销汇总!$C$1,MATCH(M$27,产销汇总!$C$2:$C$8,0),$C$26)*_xlfn.XLOOKUP(C294,巡逻产出!$B$311:$B$610,巡逻产出!$D$311:$D$610))*$M$24</f>
        <v>#N/A</v>
      </c>
      <c r="N294" s="80" t="e">
        <f ca="1">OFFSET(产销汇总!$C$1,MATCH(L$27,产销汇总!$C$2:$C$8,0),$C$26)*(_xlfn.XLOOKUP(MAX(1,INT(C294/10-6/10)),组队产出!$B$24:$B$39,组队产出!$S$24:$S$39))</f>
        <v>#N/A</v>
      </c>
      <c r="O294" s="172">
        <f>任务!$D$36</f>
        <v>2457.14285714286</v>
      </c>
      <c r="P294" s="98">
        <f t="shared" si="46"/>
        <v>428</v>
      </c>
      <c r="Q294" s="80">
        <f t="shared" si="52"/>
        <v>1500</v>
      </c>
      <c r="R294" s="172">
        <f t="shared" si="53"/>
        <v>2000</v>
      </c>
      <c r="S294" s="210">
        <f ca="1">IFERROR(OFFSET(金币本!$E$2,MATCH(C294,金币本!$F$3:$F$302,1),0)*IF($C$26=1,2,3),0)</f>
        <v>39750</v>
      </c>
      <c r="T294" s="172" t="e">
        <f ca="1">SUM($J$28:S294)+SUM(D294:I294)</f>
        <v>#N/A</v>
      </c>
      <c r="U294" s="172" t="e">
        <f ca="1" t="shared" si="47"/>
        <v>#N/A</v>
      </c>
      <c r="V294" s="98" t="e">
        <f ca="1" t="shared" si="48"/>
        <v>#N/A</v>
      </c>
      <c r="W294" s="98" t="e">
        <f ca="1">OFFSET(装备强化!$U$6,MATCH(图纸产出设计!V295/6*W$26,装备强化!$T$7:$T$306,1),0)*6</f>
        <v>#N/A</v>
      </c>
      <c r="X294" s="98">
        <v>1195090</v>
      </c>
      <c r="Y294" s="98">
        <f t="shared" si="54"/>
        <v>8432000</v>
      </c>
      <c r="Z294" s="98">
        <f t="shared" si="56"/>
        <v>2</v>
      </c>
      <c r="AA294" s="147" t="e">
        <f ca="1" t="shared" si="49"/>
        <v>#N/A</v>
      </c>
      <c r="AB294" s="209" t="e">
        <f ca="1" t="shared" si="50"/>
        <v>#N/A</v>
      </c>
      <c r="AC294" s="209">
        <f ca="1">SUMIFS(装备强化!$Q$7:$Q$306,装备强化!$M$7:$M$306,"&lt;="&amp;MATCH(U294/6,装备强化!$U$7:$U$306,1),装备强化!$M$7:$M$306,"&gt;="&amp;MATCH(V294/6,装备强化!$U$7:$U$306,1))*6</f>
        <v>0</v>
      </c>
      <c r="AD294">
        <f ca="1" t="shared" si="55"/>
        <v>0</v>
      </c>
    </row>
    <row r="295" spans="1:30">
      <c r="A295" s="171"/>
      <c r="B295" s="80">
        <v>268</v>
      </c>
      <c r="C295" s="80">
        <f ca="1">OFFSET(产销汇总!$C$12,$B295,$C$26)</f>
        <v>257</v>
      </c>
      <c r="D295" s="80">
        <f t="shared" si="51"/>
        <v>14100</v>
      </c>
      <c r="E295" s="80">
        <f ca="1">(SUMIF(主线推图!$B$4:$B$303,"&lt;"&amp;C295,主线推图!$M$4:$M$303)+SUMIF(主线宝箱!$B$320:$B$620,"&lt;"&amp;C295,主线宝箱!$L$320:$L$620)+SUMIF(主线宝箱!$B$320:$B$620,"&lt;"&amp;C295,主线宝箱!$X$320:$X$620)+SUMIF(主线宝箱!$B$320:$B$620,"&lt;"&amp;C295,主线宝箱!$AL$320:$AL$620))</f>
        <v>457800</v>
      </c>
      <c r="F295" s="98">
        <f ca="1">SUMIF(组队产出!$B$24:$B$39,"&lt;="&amp;MAX(1,INT(C295/10-0.6)),组队产出!$R$24:$R$39)</f>
        <v>141000</v>
      </c>
      <c r="G295" s="80">
        <f ca="1">SUMIF(运营活动!$O$3:$O$27,"&lt;="&amp;C295,运营活动!$P$3:$P$27)</f>
        <v>30000</v>
      </c>
      <c r="H295" s="80">
        <f ca="1">OFFSET(产销汇总!$AM$12,B295,$C$26)*24</f>
        <v>1962480</v>
      </c>
      <c r="I295" s="172">
        <f ca="1">SUMIF(金币本!$F$2:$F$52,"&lt;="&amp;C295,金币本!$D$2:$D$52)</f>
        <v>1425000</v>
      </c>
      <c r="J295" s="80">
        <f ca="1">OFFSET(产销汇总!$C$1,MATCH(J$27,产销汇总!$C$2:$C$8,0),$C$26)*(_xlfn.XLOOKUP(C295,主线推图!$B$313:$B$612,主线推图!$C$313:$C$612)+_xlfn.XLOOKUP(C295,主线推图!$B$313:$B$612,主线推图!$D$313:$D$612))</f>
        <v>17424</v>
      </c>
      <c r="K295" s="80">
        <f ca="1">OFFSET(产销汇总!$C$1,MATCH(K$27,产销汇总!$C$2:$C$8,0),$C$26)*_xlfn.XLOOKUP(C295,巡逻产出!$B$311:$B$610,巡逻产出!$C$311:$C$610)*1.3</f>
        <v>0</v>
      </c>
      <c r="L295" s="80" t="e">
        <f ca="1">OFFSET(产销汇总!$C$1,MATCH(L$27,产销汇总!$C$2:$C$8,0),$C$26)*(_xlfn.XLOOKUP(MAX(1,INT(C295/10-6/10)),组队产出!$B$24:$B$39,组队产出!$D$24:$D$39))+OFFSET(产销汇总!$C$1,MATCH(L$27,产销汇总!$C$2:$C$8,0),$C$26)*(_xlfn.XLOOKUP(MAX(1,INT(C295/10-6/10)),组队产出!$B$24:$B$39,组队产出!$C$24:$C$39))</f>
        <v>#N/A</v>
      </c>
      <c r="M295" s="80">
        <f ca="1">(OFFSET(产销汇总!$C$1,MATCH(M$27,产销汇总!$C$2:$C$8,0),$C$26)*_xlfn.XLOOKUP(C295,巡逻产出!$B$311:$B$610,巡逻产出!$D$311:$D$610))*$M$24</f>
        <v>12355.2</v>
      </c>
      <c r="N295" s="80" t="e">
        <f ca="1">OFFSET(产销汇总!$C$1,MATCH(L$27,产销汇总!$C$2:$C$8,0),$C$26)*(_xlfn.XLOOKUP(MAX(1,INT(C295/10-6/10)),组队产出!$B$24:$B$39,组队产出!$S$24:$S$39))</f>
        <v>#N/A</v>
      </c>
      <c r="O295" s="172">
        <f>任务!$D$36</f>
        <v>2457.14285714286</v>
      </c>
      <c r="P295" s="98">
        <f t="shared" si="46"/>
        <v>428</v>
      </c>
      <c r="Q295" s="80">
        <f t="shared" si="52"/>
        <v>1000</v>
      </c>
      <c r="R295" s="172">
        <f t="shared" si="53"/>
        <v>2000</v>
      </c>
      <c r="S295" s="210">
        <f ca="1">IFERROR(OFFSET(金币本!$E$2,MATCH(C295,金币本!$F$3:$F$302,1),0)*IF($C$26=1,2,3),0)</f>
        <v>39750</v>
      </c>
      <c r="T295" s="172" t="e">
        <f ca="1">SUM($J$28:S295)+SUM(D295:I295)</f>
        <v>#N/A</v>
      </c>
      <c r="U295" s="172" t="e">
        <f ca="1" t="shared" si="47"/>
        <v>#N/A</v>
      </c>
      <c r="V295" s="98" t="e">
        <f ca="1" t="shared" si="48"/>
        <v>#N/A</v>
      </c>
      <c r="W295" s="98" t="e">
        <f ca="1">OFFSET(装备强化!$U$6,MATCH(图纸产出设计!V296/6*W$26,装备强化!$T$7:$T$306,1),0)*6</f>
        <v>#N/A</v>
      </c>
      <c r="X295" s="98">
        <v>1195090</v>
      </c>
      <c r="Y295" s="98">
        <f t="shared" si="54"/>
        <v>8464000</v>
      </c>
      <c r="Z295" s="98">
        <f t="shared" si="56"/>
        <v>2</v>
      </c>
      <c r="AA295" s="147" t="e">
        <f ca="1" t="shared" si="49"/>
        <v>#N/A</v>
      </c>
      <c r="AB295" s="209" t="e">
        <f ca="1" t="shared" si="50"/>
        <v>#N/A</v>
      </c>
      <c r="AC295" s="209">
        <f ca="1">SUMIFS(装备强化!$Q$7:$Q$306,装备强化!$M$7:$M$306,"&lt;="&amp;MATCH(U295/6,装备强化!$U$7:$U$306,1),装备强化!$M$7:$M$306,"&gt;="&amp;MATCH(V295/6,装备强化!$U$7:$U$306,1))*6</f>
        <v>0</v>
      </c>
      <c r="AD295">
        <f ca="1" t="shared" si="55"/>
        <v>0</v>
      </c>
    </row>
    <row r="296" spans="1:30">
      <c r="A296" s="171"/>
      <c r="B296" s="80">
        <v>269</v>
      </c>
      <c r="C296" s="80">
        <f ca="1">OFFSET(产销汇总!$C$12,$B296,$C$26)</f>
        <v>257.5</v>
      </c>
      <c r="D296" s="80">
        <f t="shared" si="51"/>
        <v>14100</v>
      </c>
      <c r="E296" s="80">
        <f ca="1">(SUMIF(主线推图!$B$4:$B$303,"&lt;"&amp;C296,主线推图!$M$4:$M$303)+SUMIF(主线宝箱!$B$320:$B$620,"&lt;"&amp;C296,主线宝箱!$L$320:$L$620)+SUMIF(主线宝箱!$B$320:$B$620,"&lt;"&amp;C296,主线宝箱!$X$320:$X$620)+SUMIF(主线宝箱!$B$320:$B$620,"&lt;"&amp;C296,主线宝箱!$AL$320:$AL$620))</f>
        <v>459600</v>
      </c>
      <c r="F296" s="98">
        <f ca="1">SUMIF(组队产出!$B$24:$B$39,"&lt;="&amp;MAX(1,INT(C296/10-0.6)),组队产出!$R$24:$R$39)</f>
        <v>141000</v>
      </c>
      <c r="G296" s="80">
        <f ca="1">SUMIF(运营活动!$O$3:$O$27,"&lt;="&amp;C296,运营活动!$P$3:$P$27)</f>
        <v>30000</v>
      </c>
      <c r="H296" s="80">
        <f ca="1">OFFSET(产销汇总!$AM$12,B296,$C$26)*24</f>
        <v>1969728</v>
      </c>
      <c r="I296" s="172">
        <f ca="1">SUMIF(金币本!$F$2:$F$52,"&lt;="&amp;C296,金币本!$D$2:$D$52)</f>
        <v>1425000</v>
      </c>
      <c r="J296" s="80" t="e">
        <f ca="1">OFFSET(产销汇总!$C$1,MATCH(J$27,产销汇总!$C$2:$C$8,0),$C$26)*(_xlfn.XLOOKUP(C296,主线推图!$B$313:$B$612,主线推图!$C$313:$C$612)+_xlfn.XLOOKUP(C296,主线推图!$B$313:$B$612,主线推图!$D$313:$D$612))</f>
        <v>#N/A</v>
      </c>
      <c r="K296" s="80" t="e">
        <f ca="1">OFFSET(产销汇总!$C$1,MATCH(K$27,产销汇总!$C$2:$C$8,0),$C$26)*_xlfn.XLOOKUP(C296,巡逻产出!$B$311:$B$610,巡逻产出!$C$311:$C$610)*1.3</f>
        <v>#N/A</v>
      </c>
      <c r="L296" s="80" t="e">
        <f ca="1">OFFSET(产销汇总!$C$1,MATCH(L$27,产销汇总!$C$2:$C$8,0),$C$26)*(_xlfn.XLOOKUP(MAX(1,INT(C296/10-6/10)),组队产出!$B$24:$B$39,组队产出!$D$24:$D$39))+OFFSET(产销汇总!$C$1,MATCH(L$27,产销汇总!$C$2:$C$8,0),$C$26)*(_xlfn.XLOOKUP(MAX(1,INT(C296/10-6/10)),组队产出!$B$24:$B$39,组队产出!$C$24:$C$39))</f>
        <v>#N/A</v>
      </c>
      <c r="M296" s="80" t="e">
        <f ca="1">(OFFSET(产销汇总!$C$1,MATCH(M$27,产销汇总!$C$2:$C$8,0),$C$26)*_xlfn.XLOOKUP(C296,巡逻产出!$B$311:$B$610,巡逻产出!$D$311:$D$610))*$M$24</f>
        <v>#N/A</v>
      </c>
      <c r="N296" s="80" t="e">
        <f ca="1">OFFSET(产销汇总!$C$1,MATCH(L$27,产销汇总!$C$2:$C$8,0),$C$26)*(_xlfn.XLOOKUP(MAX(1,INT(C296/10-6/10)),组队产出!$B$24:$B$39,组队产出!$S$24:$S$39))</f>
        <v>#N/A</v>
      </c>
      <c r="O296" s="172">
        <f>任务!$D$36</f>
        <v>2457.14285714286</v>
      </c>
      <c r="P296" s="98">
        <f t="shared" si="46"/>
        <v>428</v>
      </c>
      <c r="Q296" s="80">
        <f t="shared" si="52"/>
        <v>1000</v>
      </c>
      <c r="R296" s="172">
        <f t="shared" si="53"/>
        <v>2000</v>
      </c>
      <c r="S296" s="210">
        <f ca="1">IFERROR(OFFSET(金币本!$E$2,MATCH(C296,金币本!$F$3:$F$302,1),0)*IF($C$26=1,2,3),0)</f>
        <v>39750</v>
      </c>
      <c r="T296" s="172" t="e">
        <f ca="1">SUM($J$28:S296)+SUM(D296:I296)</f>
        <v>#N/A</v>
      </c>
      <c r="U296" s="172" t="e">
        <f ca="1" t="shared" si="47"/>
        <v>#N/A</v>
      </c>
      <c r="V296" s="98" t="e">
        <f ca="1" t="shared" si="48"/>
        <v>#N/A</v>
      </c>
      <c r="W296" s="98" t="e">
        <f ca="1">OFFSET(装备强化!$U$6,MATCH(图纸产出设计!V297/6*W$26,装备强化!$T$7:$T$306,1),0)*6</f>
        <v>#N/A</v>
      </c>
      <c r="X296" s="98">
        <v>1195090</v>
      </c>
      <c r="Y296" s="98">
        <f t="shared" si="54"/>
        <v>8496000</v>
      </c>
      <c r="Z296" s="98">
        <f t="shared" si="56"/>
        <v>2</v>
      </c>
      <c r="AA296" s="147" t="e">
        <f ca="1" t="shared" si="49"/>
        <v>#N/A</v>
      </c>
      <c r="AB296" s="209" t="e">
        <f ca="1" t="shared" si="50"/>
        <v>#N/A</v>
      </c>
      <c r="AC296" s="209">
        <f ca="1">SUMIFS(装备强化!$Q$7:$Q$306,装备强化!$M$7:$M$306,"&lt;="&amp;MATCH(U296/6,装备强化!$U$7:$U$306,1),装备强化!$M$7:$M$306,"&gt;="&amp;MATCH(V296/6,装备强化!$U$7:$U$306,1))*6</f>
        <v>0</v>
      </c>
      <c r="AD296">
        <f ca="1" t="shared" si="55"/>
        <v>0</v>
      </c>
    </row>
    <row r="297" spans="1:30">
      <c r="A297" s="171"/>
      <c r="B297" s="80">
        <v>270</v>
      </c>
      <c r="C297" s="80">
        <f ca="1">OFFSET(产销汇总!$C$12,$B297,$C$26)</f>
        <v>258</v>
      </c>
      <c r="D297" s="80">
        <f t="shared" si="51"/>
        <v>14100</v>
      </c>
      <c r="E297" s="80">
        <f ca="1">(SUMIF(主线推图!$B$4:$B$303,"&lt;"&amp;C297,主线推图!$M$4:$M$303)+SUMIF(主线宝箱!$B$320:$B$620,"&lt;"&amp;C297,主线宝箱!$L$320:$L$620)+SUMIF(主线宝箱!$B$320:$B$620,"&lt;"&amp;C297,主线宝箱!$X$320:$X$620)+SUMIF(主线宝箱!$B$320:$B$620,"&lt;"&amp;C297,主线宝箱!$AL$320:$AL$620))</f>
        <v>459600</v>
      </c>
      <c r="F297" s="98">
        <f ca="1">SUMIF(组队产出!$B$24:$B$39,"&lt;="&amp;MAX(1,INT(C297/10-0.6)),组队产出!$R$24:$R$39)</f>
        <v>141000</v>
      </c>
      <c r="G297" s="80">
        <f ca="1">SUMIF(运营活动!$O$3:$O$27,"&lt;="&amp;C297,运营活动!$P$3:$P$27)</f>
        <v>30000</v>
      </c>
      <c r="H297" s="80">
        <f ca="1">OFFSET(产销汇总!$AM$12,B297,$C$26)*24</f>
        <v>1976976</v>
      </c>
      <c r="I297" s="172">
        <f ca="1">SUMIF(金币本!$F$2:$F$52,"&lt;="&amp;C297,金币本!$D$2:$D$52)</f>
        <v>1425000</v>
      </c>
      <c r="J297" s="80">
        <f ca="1">OFFSET(产销汇总!$C$1,MATCH(J$27,产销汇总!$C$2:$C$8,0),$C$26)*(_xlfn.XLOOKUP(C297,主线推图!$B$313:$B$612,主线推图!$C$313:$C$612)+_xlfn.XLOOKUP(C297,主线推图!$B$313:$B$612,主线推图!$D$313:$D$612))</f>
        <v>17468</v>
      </c>
      <c r="K297" s="80">
        <f ca="1">OFFSET(产销汇总!$C$1,MATCH(K$27,产销汇总!$C$2:$C$8,0),$C$26)*_xlfn.XLOOKUP(C297,巡逻产出!$B$311:$B$610,巡逻产出!$C$311:$C$610)*1.3</f>
        <v>0</v>
      </c>
      <c r="L297" s="80" t="e">
        <f ca="1">OFFSET(产销汇总!$C$1,MATCH(L$27,产销汇总!$C$2:$C$8,0),$C$26)*(_xlfn.XLOOKUP(MAX(1,INT(C297/10-6/10)),组队产出!$B$24:$B$39,组队产出!$D$24:$D$39))+OFFSET(产销汇总!$C$1,MATCH(L$27,产销汇总!$C$2:$C$8,0),$C$26)*(_xlfn.XLOOKUP(MAX(1,INT(C297/10-6/10)),组队产出!$B$24:$B$39,组队产出!$C$24:$C$39))</f>
        <v>#N/A</v>
      </c>
      <c r="M297" s="80">
        <f ca="1">(OFFSET(产销汇总!$C$1,MATCH(M$27,产销汇总!$C$2:$C$8,0),$C$26)*_xlfn.XLOOKUP(C297,巡逻产出!$B$311:$B$610,巡逻产出!$D$311:$D$610))*$M$24</f>
        <v>12386.4</v>
      </c>
      <c r="N297" s="80" t="e">
        <f ca="1">OFFSET(产销汇总!$C$1,MATCH(L$27,产销汇总!$C$2:$C$8,0),$C$26)*(_xlfn.XLOOKUP(MAX(1,INT(C297/10-6/10)),组队产出!$B$24:$B$39,组队产出!$S$24:$S$39))</f>
        <v>#N/A</v>
      </c>
      <c r="O297" s="172">
        <f>任务!$D$36</f>
        <v>2457.14285714286</v>
      </c>
      <c r="P297" s="98">
        <f t="shared" si="46"/>
        <v>428</v>
      </c>
      <c r="Q297" s="80">
        <f t="shared" si="52"/>
        <v>1000</v>
      </c>
      <c r="R297" s="172">
        <f t="shared" si="53"/>
        <v>2000</v>
      </c>
      <c r="S297" s="210">
        <f ca="1">IFERROR(OFFSET(金币本!$E$2,MATCH(C297,金币本!$F$3:$F$302,1),0)*IF($C$26=1,2,3),0)</f>
        <v>39750</v>
      </c>
      <c r="T297" s="172" t="e">
        <f ca="1">SUM($J$28:S297)+SUM(D297:I297)</f>
        <v>#N/A</v>
      </c>
      <c r="U297" s="172" t="e">
        <f ca="1" t="shared" si="47"/>
        <v>#N/A</v>
      </c>
      <c r="V297" s="98" t="e">
        <f ca="1" t="shared" si="48"/>
        <v>#N/A</v>
      </c>
      <c r="W297" s="98" t="e">
        <f ca="1">OFFSET(装备强化!$U$6,MATCH(图纸产出设计!V298/6*W$26,装备强化!$T$7:$T$306,1),0)*6</f>
        <v>#N/A</v>
      </c>
      <c r="X297" s="98">
        <v>1208060</v>
      </c>
      <c r="Y297" s="98">
        <f t="shared" si="54"/>
        <v>8528000</v>
      </c>
      <c r="Z297" s="98">
        <f t="shared" si="56"/>
        <v>2</v>
      </c>
      <c r="AA297" s="147" t="e">
        <f ca="1" t="shared" si="49"/>
        <v>#N/A</v>
      </c>
      <c r="AB297" s="209" t="e">
        <f ca="1" t="shared" si="50"/>
        <v>#N/A</v>
      </c>
      <c r="AC297" s="209">
        <f ca="1">SUMIFS(装备强化!$Q$7:$Q$306,装备强化!$M$7:$M$306,"&lt;="&amp;MATCH(U297/6,装备强化!$U$7:$U$306,1),装备强化!$M$7:$M$306,"&gt;="&amp;MATCH(V297/6,装备强化!$U$7:$U$306,1))*6</f>
        <v>0</v>
      </c>
      <c r="AD297">
        <f ca="1" t="shared" si="55"/>
        <v>0</v>
      </c>
    </row>
    <row r="298" spans="1:30">
      <c r="A298" s="171"/>
      <c r="B298" s="80">
        <v>271</v>
      </c>
      <c r="C298" s="80">
        <f ca="1">OFFSET(产销汇总!$C$12,$B298,$C$26)</f>
        <v>258.5</v>
      </c>
      <c r="D298" s="80">
        <f t="shared" si="51"/>
        <v>14100</v>
      </c>
      <c r="E298" s="80">
        <f ca="1">(SUMIF(主线推图!$B$4:$B$303,"&lt;"&amp;C298,主线推图!$M$4:$M$303)+SUMIF(主线宝箱!$B$320:$B$620,"&lt;"&amp;C298,主线宝箱!$L$320:$L$620)+SUMIF(主线宝箱!$B$320:$B$620,"&lt;"&amp;C298,主线宝箱!$X$320:$X$620)+SUMIF(主线宝箱!$B$320:$B$620,"&lt;"&amp;C298,主线宝箱!$AL$320:$AL$620))</f>
        <v>461400</v>
      </c>
      <c r="F298" s="98">
        <f ca="1">SUMIF(组队产出!$B$24:$B$39,"&lt;="&amp;MAX(1,INT(C298/10-0.6)),组队产出!$R$24:$R$39)</f>
        <v>141000</v>
      </c>
      <c r="G298" s="80">
        <f ca="1">SUMIF(运营活动!$O$3:$O$27,"&lt;="&amp;C298,运营活动!$P$3:$P$27)</f>
        <v>30000</v>
      </c>
      <c r="H298" s="80">
        <f ca="1">OFFSET(产销汇总!$AM$12,B298,$C$26)*24</f>
        <v>1984224</v>
      </c>
      <c r="I298" s="172">
        <f ca="1">SUMIF(金币本!$F$2:$F$52,"&lt;="&amp;C298,金币本!$D$2:$D$52)</f>
        <v>1425000</v>
      </c>
      <c r="J298" s="80" t="e">
        <f ca="1">OFFSET(产销汇总!$C$1,MATCH(J$27,产销汇总!$C$2:$C$8,0),$C$26)*(_xlfn.XLOOKUP(C298,主线推图!$B$313:$B$612,主线推图!$C$313:$C$612)+_xlfn.XLOOKUP(C298,主线推图!$B$313:$B$612,主线推图!$D$313:$D$612))</f>
        <v>#N/A</v>
      </c>
      <c r="K298" s="80" t="e">
        <f ca="1">OFFSET(产销汇总!$C$1,MATCH(K$27,产销汇总!$C$2:$C$8,0),$C$26)*_xlfn.XLOOKUP(C298,巡逻产出!$B$311:$B$610,巡逻产出!$C$311:$C$610)*1.3</f>
        <v>#N/A</v>
      </c>
      <c r="L298" s="80" t="e">
        <f ca="1">OFFSET(产销汇总!$C$1,MATCH(L$27,产销汇总!$C$2:$C$8,0),$C$26)*(_xlfn.XLOOKUP(MAX(1,INT(C298/10-6/10)),组队产出!$B$24:$B$39,组队产出!$D$24:$D$39))+OFFSET(产销汇总!$C$1,MATCH(L$27,产销汇总!$C$2:$C$8,0),$C$26)*(_xlfn.XLOOKUP(MAX(1,INT(C298/10-6/10)),组队产出!$B$24:$B$39,组队产出!$C$24:$C$39))</f>
        <v>#N/A</v>
      </c>
      <c r="M298" s="80" t="e">
        <f ca="1">(OFFSET(产销汇总!$C$1,MATCH(M$27,产销汇总!$C$2:$C$8,0),$C$26)*_xlfn.XLOOKUP(C298,巡逻产出!$B$311:$B$610,巡逻产出!$D$311:$D$610))*$M$24</f>
        <v>#N/A</v>
      </c>
      <c r="N298" s="80" t="e">
        <f ca="1">OFFSET(产销汇总!$C$1,MATCH(L$27,产销汇总!$C$2:$C$8,0),$C$26)*(_xlfn.XLOOKUP(MAX(1,INT(C298/10-6/10)),组队产出!$B$24:$B$39,组队产出!$S$24:$S$39))</f>
        <v>#N/A</v>
      </c>
      <c r="O298" s="172">
        <f>任务!$D$36</f>
        <v>2457.14285714286</v>
      </c>
      <c r="P298" s="98">
        <f t="shared" si="46"/>
        <v>428</v>
      </c>
      <c r="Q298" s="80">
        <f t="shared" si="52"/>
        <v>1000</v>
      </c>
      <c r="R298" s="172">
        <f t="shared" si="53"/>
        <v>2000</v>
      </c>
      <c r="S298" s="210">
        <f ca="1">IFERROR(OFFSET(金币本!$E$2,MATCH(C298,金币本!$F$3:$F$302,1),0)*IF($C$26=1,2,3),0)</f>
        <v>39750</v>
      </c>
      <c r="T298" s="172" t="e">
        <f ca="1">SUM($J$28:S298)+SUM(D298:I298)</f>
        <v>#N/A</v>
      </c>
      <c r="U298" s="172" t="e">
        <f ca="1" t="shared" si="47"/>
        <v>#N/A</v>
      </c>
      <c r="V298" s="98" t="e">
        <f ca="1" t="shared" si="48"/>
        <v>#N/A</v>
      </c>
      <c r="W298" s="98" t="e">
        <f ca="1">OFFSET(装备强化!$U$6,MATCH(图纸产出设计!V299/6*W$26,装备强化!$T$7:$T$306,1),0)*6</f>
        <v>#N/A</v>
      </c>
      <c r="X298" s="98">
        <v>1208060</v>
      </c>
      <c r="Y298" s="98">
        <f t="shared" si="54"/>
        <v>8560000</v>
      </c>
      <c r="Z298" s="98">
        <f t="shared" si="56"/>
        <v>2</v>
      </c>
      <c r="AA298" s="147" t="e">
        <f ca="1" t="shared" si="49"/>
        <v>#N/A</v>
      </c>
      <c r="AB298" s="209" t="e">
        <f ca="1" t="shared" si="50"/>
        <v>#N/A</v>
      </c>
      <c r="AC298" s="209">
        <f ca="1">SUMIFS(装备强化!$Q$7:$Q$306,装备强化!$M$7:$M$306,"&lt;="&amp;MATCH(U298/6,装备强化!$U$7:$U$306,1),装备强化!$M$7:$M$306,"&gt;="&amp;MATCH(V298/6,装备强化!$U$7:$U$306,1))*6</f>
        <v>0</v>
      </c>
      <c r="AD298">
        <f ca="1" t="shared" si="55"/>
        <v>0</v>
      </c>
    </row>
    <row r="299" spans="1:30">
      <c r="A299" s="171"/>
      <c r="B299" s="80">
        <v>272</v>
      </c>
      <c r="C299" s="80">
        <f ca="1">OFFSET(产销汇总!$C$12,$B299,$C$26)</f>
        <v>259</v>
      </c>
      <c r="D299" s="80">
        <f t="shared" si="51"/>
        <v>14100</v>
      </c>
      <c r="E299" s="80">
        <f ca="1">(SUMIF(主线推图!$B$4:$B$303,"&lt;"&amp;C299,主线推图!$M$4:$M$303)+SUMIF(主线宝箱!$B$320:$B$620,"&lt;"&amp;C299,主线宝箱!$L$320:$L$620)+SUMIF(主线宝箱!$B$320:$B$620,"&lt;"&amp;C299,主线宝箱!$X$320:$X$620)+SUMIF(主线宝箱!$B$320:$B$620,"&lt;"&amp;C299,主线宝箱!$AL$320:$AL$620))</f>
        <v>461400</v>
      </c>
      <c r="F299" s="98">
        <f ca="1">SUMIF(组队产出!$B$24:$B$39,"&lt;="&amp;MAX(1,INT(C299/10-0.6)),组队产出!$R$24:$R$39)</f>
        <v>141000</v>
      </c>
      <c r="G299" s="80">
        <f ca="1">SUMIF(运营活动!$O$3:$O$27,"&lt;="&amp;C299,运营活动!$P$3:$P$27)</f>
        <v>30000</v>
      </c>
      <c r="H299" s="80">
        <f ca="1">OFFSET(产销汇总!$AM$12,B299,$C$26)*24</f>
        <v>1991472</v>
      </c>
      <c r="I299" s="172">
        <f ca="1">SUMIF(金币本!$F$2:$F$52,"&lt;="&amp;C299,金币本!$D$2:$D$52)</f>
        <v>1425000</v>
      </c>
      <c r="J299" s="80">
        <f ca="1">OFFSET(产销汇总!$C$1,MATCH(J$27,产销汇总!$C$2:$C$8,0),$C$26)*(_xlfn.XLOOKUP(C299,主线推图!$B$313:$B$612,主线推图!$C$313:$C$612)+_xlfn.XLOOKUP(C299,主线推图!$B$313:$B$612,主线推图!$D$313:$D$612))</f>
        <v>17512</v>
      </c>
      <c r="K299" s="80">
        <f ca="1">OFFSET(产销汇总!$C$1,MATCH(K$27,产销汇总!$C$2:$C$8,0),$C$26)*_xlfn.XLOOKUP(C299,巡逻产出!$B$311:$B$610,巡逻产出!$C$311:$C$610)*1.3</f>
        <v>0</v>
      </c>
      <c r="L299" s="80" t="e">
        <f ca="1">OFFSET(产销汇总!$C$1,MATCH(L$27,产销汇总!$C$2:$C$8,0),$C$26)*(_xlfn.XLOOKUP(MAX(1,INT(C299/10-6/10)),组队产出!$B$24:$B$39,组队产出!$D$24:$D$39))+OFFSET(产销汇总!$C$1,MATCH(L$27,产销汇总!$C$2:$C$8,0),$C$26)*(_xlfn.XLOOKUP(MAX(1,INT(C299/10-6/10)),组队产出!$B$24:$B$39,组队产出!$C$24:$C$39))</f>
        <v>#N/A</v>
      </c>
      <c r="M299" s="80">
        <f ca="1">(OFFSET(产销汇总!$C$1,MATCH(M$27,产销汇总!$C$2:$C$8,0),$C$26)*_xlfn.XLOOKUP(C299,巡逻产出!$B$311:$B$610,巡逻产出!$D$311:$D$610))*$M$24</f>
        <v>12417.6</v>
      </c>
      <c r="N299" s="80" t="e">
        <f ca="1">OFFSET(产销汇总!$C$1,MATCH(L$27,产销汇总!$C$2:$C$8,0),$C$26)*(_xlfn.XLOOKUP(MAX(1,INT(C299/10-6/10)),组队产出!$B$24:$B$39,组队产出!$S$24:$S$39))</f>
        <v>#N/A</v>
      </c>
      <c r="O299" s="172">
        <f>任务!$D$36</f>
        <v>2457.14285714286</v>
      </c>
      <c r="P299" s="98">
        <f t="shared" si="46"/>
        <v>428</v>
      </c>
      <c r="Q299" s="80">
        <f t="shared" si="52"/>
        <v>1000</v>
      </c>
      <c r="R299" s="172">
        <f t="shared" si="53"/>
        <v>2000</v>
      </c>
      <c r="S299" s="210">
        <f ca="1">IFERROR(OFFSET(金币本!$E$2,MATCH(C299,金币本!$F$3:$F$302,1),0)*IF($C$26=1,2,3),0)</f>
        <v>39750</v>
      </c>
      <c r="T299" s="172" t="e">
        <f ca="1">SUM($J$28:S299)+SUM(D299:I299)</f>
        <v>#N/A</v>
      </c>
      <c r="U299" s="172" t="e">
        <f ca="1" t="shared" si="47"/>
        <v>#N/A</v>
      </c>
      <c r="V299" s="98" t="e">
        <f ca="1" t="shared" si="48"/>
        <v>#N/A</v>
      </c>
      <c r="W299" s="98" t="e">
        <f ca="1">OFFSET(装备强化!$U$6,MATCH(图纸产出设计!V300/6*W$26,装备强化!$T$7:$T$306,1),0)*6</f>
        <v>#N/A</v>
      </c>
      <c r="X299" s="98">
        <v>1208060</v>
      </c>
      <c r="Y299" s="98">
        <f t="shared" si="54"/>
        <v>8592000</v>
      </c>
      <c r="Z299" s="98">
        <f t="shared" si="56"/>
        <v>2</v>
      </c>
      <c r="AA299" s="147" t="e">
        <f ca="1" t="shared" si="49"/>
        <v>#N/A</v>
      </c>
      <c r="AB299" s="209" t="e">
        <f ca="1" t="shared" si="50"/>
        <v>#N/A</v>
      </c>
      <c r="AC299" s="209">
        <f ca="1">SUMIFS(装备强化!$Q$7:$Q$306,装备强化!$M$7:$M$306,"&lt;="&amp;MATCH(U299/6,装备强化!$U$7:$U$306,1),装备强化!$M$7:$M$306,"&gt;="&amp;MATCH(V299/6,装备强化!$U$7:$U$306,1))*6</f>
        <v>0</v>
      </c>
      <c r="AD299">
        <f ca="1" t="shared" si="55"/>
        <v>0</v>
      </c>
    </row>
    <row r="300" spans="1:30">
      <c r="A300" s="171"/>
      <c r="B300" s="80">
        <v>273</v>
      </c>
      <c r="C300" s="80">
        <f ca="1">OFFSET(产销汇总!$C$12,$B300,$C$26)</f>
        <v>259.5</v>
      </c>
      <c r="D300" s="80">
        <f t="shared" si="51"/>
        <v>14100</v>
      </c>
      <c r="E300" s="80">
        <f ca="1">(SUMIF(主线推图!$B$4:$B$303,"&lt;"&amp;C300,主线推图!$M$4:$M$303)+SUMIF(主线宝箱!$B$320:$B$620,"&lt;"&amp;C300,主线宝箱!$L$320:$L$620)+SUMIF(主线宝箱!$B$320:$B$620,"&lt;"&amp;C300,主线宝箱!$X$320:$X$620)+SUMIF(主线宝箱!$B$320:$B$620,"&lt;"&amp;C300,主线宝箱!$AL$320:$AL$620))</f>
        <v>463200</v>
      </c>
      <c r="F300" s="98">
        <f ca="1">SUMIF(组队产出!$B$24:$B$39,"&lt;="&amp;MAX(1,INT(C300/10-0.6)),组队产出!$R$24:$R$39)</f>
        <v>141000</v>
      </c>
      <c r="G300" s="80">
        <f ca="1">SUMIF(运营活动!$O$3:$O$27,"&lt;="&amp;C300,运营活动!$P$3:$P$27)</f>
        <v>30000</v>
      </c>
      <c r="H300" s="80">
        <f ca="1">OFFSET(产销汇总!$AM$12,B300,$C$26)*24</f>
        <v>1998720</v>
      </c>
      <c r="I300" s="172">
        <f ca="1">SUMIF(金币本!$F$2:$F$52,"&lt;="&amp;C300,金币本!$D$2:$D$52)</f>
        <v>1425000</v>
      </c>
      <c r="J300" s="80" t="e">
        <f ca="1">OFFSET(产销汇总!$C$1,MATCH(J$27,产销汇总!$C$2:$C$8,0),$C$26)*(_xlfn.XLOOKUP(C300,主线推图!$B$313:$B$612,主线推图!$C$313:$C$612)+_xlfn.XLOOKUP(C300,主线推图!$B$313:$B$612,主线推图!$D$313:$D$612))</f>
        <v>#N/A</v>
      </c>
      <c r="K300" s="80" t="e">
        <f ca="1">OFFSET(产销汇总!$C$1,MATCH(K$27,产销汇总!$C$2:$C$8,0),$C$26)*_xlfn.XLOOKUP(C300,巡逻产出!$B$311:$B$610,巡逻产出!$C$311:$C$610)*1.3</f>
        <v>#N/A</v>
      </c>
      <c r="L300" s="80" t="e">
        <f ca="1">OFFSET(产销汇总!$C$1,MATCH(L$27,产销汇总!$C$2:$C$8,0),$C$26)*(_xlfn.XLOOKUP(MAX(1,INT(C300/10-6/10)),组队产出!$B$24:$B$39,组队产出!$D$24:$D$39))+OFFSET(产销汇总!$C$1,MATCH(L$27,产销汇总!$C$2:$C$8,0),$C$26)*(_xlfn.XLOOKUP(MAX(1,INT(C300/10-6/10)),组队产出!$B$24:$B$39,组队产出!$C$24:$C$39))</f>
        <v>#N/A</v>
      </c>
      <c r="M300" s="80" t="e">
        <f ca="1">(OFFSET(产销汇总!$C$1,MATCH(M$27,产销汇总!$C$2:$C$8,0),$C$26)*_xlfn.XLOOKUP(C300,巡逻产出!$B$311:$B$610,巡逻产出!$D$311:$D$610))*$M$24</f>
        <v>#N/A</v>
      </c>
      <c r="N300" s="80" t="e">
        <f ca="1">OFFSET(产销汇总!$C$1,MATCH(L$27,产销汇总!$C$2:$C$8,0),$C$26)*(_xlfn.XLOOKUP(MAX(1,INT(C300/10-6/10)),组队产出!$B$24:$B$39,组队产出!$S$24:$S$39))</f>
        <v>#N/A</v>
      </c>
      <c r="O300" s="172">
        <f>任务!$D$36</f>
        <v>2457.14285714286</v>
      </c>
      <c r="P300" s="98">
        <f t="shared" si="46"/>
        <v>428</v>
      </c>
      <c r="Q300" s="80">
        <f t="shared" si="52"/>
        <v>1000</v>
      </c>
      <c r="R300" s="172">
        <f t="shared" si="53"/>
        <v>2000</v>
      </c>
      <c r="S300" s="210">
        <f ca="1">IFERROR(OFFSET(金币本!$E$2,MATCH(C300,金币本!$F$3:$F$302,1),0)*IF($C$26=1,2,3),0)</f>
        <v>39750</v>
      </c>
      <c r="T300" s="172" t="e">
        <f ca="1">SUM($J$28:S300)+SUM(D300:I300)</f>
        <v>#N/A</v>
      </c>
      <c r="U300" s="172" t="e">
        <f ca="1" t="shared" si="47"/>
        <v>#N/A</v>
      </c>
      <c r="V300" s="98" t="e">
        <f ca="1" t="shared" si="48"/>
        <v>#N/A</v>
      </c>
      <c r="W300" s="98" t="e">
        <f ca="1">OFFSET(装备强化!$U$6,MATCH(图纸产出设计!V301/6*W$26,装备强化!$T$7:$T$306,1),0)*6</f>
        <v>#N/A</v>
      </c>
      <c r="X300" s="98">
        <v>1221100</v>
      </c>
      <c r="Y300" s="98">
        <f t="shared" si="54"/>
        <v>8624000</v>
      </c>
      <c r="Z300" s="98">
        <f t="shared" si="56"/>
        <v>2</v>
      </c>
      <c r="AA300" s="147" t="e">
        <f ca="1" t="shared" si="49"/>
        <v>#N/A</v>
      </c>
      <c r="AB300" s="209" t="e">
        <f ca="1" t="shared" si="50"/>
        <v>#N/A</v>
      </c>
      <c r="AC300" s="209">
        <f ca="1">SUMIFS(装备强化!$Q$7:$Q$306,装备强化!$M$7:$M$306,"&lt;="&amp;MATCH(U300/6,装备强化!$U$7:$U$306,1),装备强化!$M$7:$M$306,"&gt;="&amp;MATCH(V300/6,装备强化!$U$7:$U$306,1))*6</f>
        <v>0</v>
      </c>
      <c r="AD300">
        <f ca="1" t="shared" si="55"/>
        <v>0</v>
      </c>
    </row>
    <row r="301" spans="1:30">
      <c r="A301" s="171"/>
      <c r="B301" s="80">
        <v>274</v>
      </c>
      <c r="C301" s="80">
        <f ca="1">OFFSET(产销汇总!$C$12,$B301,$C$26)</f>
        <v>260</v>
      </c>
      <c r="D301" s="80">
        <f t="shared" si="51"/>
        <v>14100</v>
      </c>
      <c r="E301" s="80">
        <f ca="1">(SUMIF(主线推图!$B$4:$B$303,"&lt;"&amp;C301,主线推图!$M$4:$M$303)+SUMIF(主线宝箱!$B$320:$B$620,"&lt;"&amp;C301,主线宝箱!$L$320:$L$620)+SUMIF(主线宝箱!$B$320:$B$620,"&lt;"&amp;C301,主线宝箱!$X$320:$X$620)+SUMIF(主线宝箱!$B$320:$B$620,"&lt;"&amp;C301,主线宝箱!$AL$320:$AL$620))</f>
        <v>463200</v>
      </c>
      <c r="F301" s="98">
        <f ca="1">SUMIF(组队产出!$B$24:$B$39,"&lt;="&amp;MAX(1,INT(C301/10-0.6)),组队产出!$R$24:$R$39)</f>
        <v>141000</v>
      </c>
      <c r="G301" s="80">
        <f ca="1">SUMIF(运营活动!$O$3:$O$27,"&lt;="&amp;C301,运营活动!$P$3:$P$27)</f>
        <v>30000</v>
      </c>
      <c r="H301" s="80">
        <f ca="1">OFFSET(产销汇总!$AM$12,B301,$C$26)*24</f>
        <v>2005968</v>
      </c>
      <c r="I301" s="172">
        <f ca="1">SUMIF(金币本!$F$2:$F$52,"&lt;="&amp;C301,金币本!$D$2:$D$52)</f>
        <v>1425000</v>
      </c>
      <c r="J301" s="80">
        <f ca="1">OFFSET(产销汇总!$C$1,MATCH(J$27,产销汇总!$C$2:$C$8,0),$C$26)*(_xlfn.XLOOKUP(C301,主线推图!$B$313:$B$612,主线推图!$C$313:$C$612)+_xlfn.XLOOKUP(C301,主线推图!$B$313:$B$612,主线推图!$D$313:$D$612))</f>
        <v>17556</v>
      </c>
      <c r="K301" s="80">
        <f ca="1">OFFSET(产销汇总!$C$1,MATCH(K$27,产销汇总!$C$2:$C$8,0),$C$26)*_xlfn.XLOOKUP(C301,巡逻产出!$B$311:$B$610,巡逻产出!$C$311:$C$610)*1.3</f>
        <v>0</v>
      </c>
      <c r="L301" s="80" t="e">
        <f ca="1">OFFSET(产销汇总!$C$1,MATCH(L$27,产销汇总!$C$2:$C$8,0),$C$26)*(_xlfn.XLOOKUP(MAX(1,INT(C301/10-6/10)),组队产出!$B$24:$B$39,组队产出!$D$24:$D$39))+OFFSET(产销汇总!$C$1,MATCH(L$27,产销汇总!$C$2:$C$8,0),$C$26)*(_xlfn.XLOOKUP(MAX(1,INT(C301/10-6/10)),组队产出!$B$24:$B$39,组队产出!$C$24:$C$39))</f>
        <v>#N/A</v>
      </c>
      <c r="M301" s="80">
        <f ca="1">(OFFSET(产销汇总!$C$1,MATCH(M$27,产销汇总!$C$2:$C$8,0),$C$26)*_xlfn.XLOOKUP(C301,巡逻产出!$B$311:$B$610,巡逻产出!$D$311:$D$610))*$M$24</f>
        <v>12448.8</v>
      </c>
      <c r="N301" s="80" t="e">
        <f ca="1">OFFSET(产销汇总!$C$1,MATCH(L$27,产销汇总!$C$2:$C$8,0),$C$26)*(_xlfn.XLOOKUP(MAX(1,INT(C301/10-6/10)),组队产出!$B$24:$B$39,组队产出!$S$24:$S$39))</f>
        <v>#N/A</v>
      </c>
      <c r="O301" s="172">
        <f>任务!$D$36</f>
        <v>2457.14285714286</v>
      </c>
      <c r="P301" s="98">
        <f t="shared" si="46"/>
        <v>428</v>
      </c>
      <c r="Q301" s="80">
        <f t="shared" si="52"/>
        <v>1500</v>
      </c>
      <c r="R301" s="172">
        <f t="shared" si="53"/>
        <v>2000</v>
      </c>
      <c r="S301" s="210">
        <f ca="1">IFERROR(OFFSET(金币本!$E$2,MATCH(C301,金币本!$F$3:$F$302,1),0)*IF($C$26=1,2,3),0)</f>
        <v>39750</v>
      </c>
      <c r="T301" s="172" t="e">
        <f ca="1">SUM($J$28:S301)+SUM(D301:I301)</f>
        <v>#N/A</v>
      </c>
      <c r="U301" s="172" t="e">
        <f ca="1" t="shared" si="47"/>
        <v>#N/A</v>
      </c>
      <c r="V301" s="98" t="e">
        <f ca="1" t="shared" si="48"/>
        <v>#N/A</v>
      </c>
      <c r="W301" s="98" t="e">
        <f ca="1">OFFSET(装备强化!$U$6,MATCH(图纸产出设计!V302/6*W$26,装备强化!$T$7:$T$306,1),0)*6</f>
        <v>#N/A</v>
      </c>
      <c r="X301" s="98">
        <v>1221100</v>
      </c>
      <c r="Y301" s="98">
        <f t="shared" si="54"/>
        <v>8656000</v>
      </c>
      <c r="Z301" s="98">
        <f t="shared" si="56"/>
        <v>2</v>
      </c>
      <c r="AA301" s="147" t="e">
        <f ca="1" t="shared" si="49"/>
        <v>#N/A</v>
      </c>
      <c r="AB301" s="209" t="e">
        <f ca="1" t="shared" si="50"/>
        <v>#N/A</v>
      </c>
      <c r="AC301" s="209">
        <f ca="1">SUMIFS(装备强化!$Q$7:$Q$306,装备强化!$M$7:$M$306,"&lt;="&amp;MATCH(U301/6,装备强化!$U$7:$U$306,1),装备强化!$M$7:$M$306,"&gt;="&amp;MATCH(V301/6,装备强化!$U$7:$U$306,1))*6</f>
        <v>0</v>
      </c>
      <c r="AD301">
        <f ca="1" t="shared" si="55"/>
        <v>0</v>
      </c>
    </row>
    <row r="302" spans="1:30">
      <c r="A302" s="171"/>
      <c r="B302" s="80">
        <v>275</v>
      </c>
      <c r="C302" s="80">
        <f ca="1">OFFSET(产销汇总!$C$12,$B302,$C$26)</f>
        <v>260.5</v>
      </c>
      <c r="D302" s="80">
        <f t="shared" si="51"/>
        <v>14100</v>
      </c>
      <c r="E302" s="80">
        <f ca="1">(SUMIF(主线推图!$B$4:$B$303,"&lt;"&amp;C302,主线推图!$M$4:$M$303)+SUMIF(主线宝箱!$B$320:$B$620,"&lt;"&amp;C302,主线宝箱!$L$320:$L$620)+SUMIF(主线宝箱!$B$320:$B$620,"&lt;"&amp;C302,主线宝箱!$X$320:$X$620)+SUMIF(主线宝箱!$B$320:$B$620,"&lt;"&amp;C302,主线宝箱!$AL$320:$AL$620))</f>
        <v>465000</v>
      </c>
      <c r="F302" s="98">
        <f ca="1">SUMIF(组队产出!$B$24:$B$39,"&lt;="&amp;MAX(1,INT(C302/10-0.6)),组队产出!$R$24:$R$39)</f>
        <v>141000</v>
      </c>
      <c r="G302" s="80">
        <f ca="1">SUMIF(运营活动!$O$3:$O$27,"&lt;="&amp;C302,运营活动!$P$3:$P$27)</f>
        <v>30000</v>
      </c>
      <c r="H302" s="80">
        <f ca="1">OFFSET(产销汇总!$AM$12,B302,$C$26)*24</f>
        <v>2013216</v>
      </c>
      <c r="I302" s="172">
        <f ca="1">SUMIF(金币本!$F$2:$F$52,"&lt;="&amp;C302,金币本!$D$2:$D$52)</f>
        <v>1425000</v>
      </c>
      <c r="J302" s="80" t="e">
        <f ca="1">OFFSET(产销汇总!$C$1,MATCH(J$27,产销汇总!$C$2:$C$8,0),$C$26)*(_xlfn.XLOOKUP(C302,主线推图!$B$313:$B$612,主线推图!$C$313:$C$612)+_xlfn.XLOOKUP(C302,主线推图!$B$313:$B$612,主线推图!$D$313:$D$612))</f>
        <v>#N/A</v>
      </c>
      <c r="K302" s="80" t="e">
        <f ca="1">OFFSET(产销汇总!$C$1,MATCH(K$27,产销汇总!$C$2:$C$8,0),$C$26)*_xlfn.XLOOKUP(C302,巡逻产出!$B$311:$B$610,巡逻产出!$C$311:$C$610)*1.3</f>
        <v>#N/A</v>
      </c>
      <c r="L302" s="80" t="e">
        <f ca="1">OFFSET(产销汇总!$C$1,MATCH(L$27,产销汇总!$C$2:$C$8,0),$C$26)*(_xlfn.XLOOKUP(MAX(1,INT(C302/10-6/10)),组队产出!$B$24:$B$39,组队产出!$D$24:$D$39))+OFFSET(产销汇总!$C$1,MATCH(L$27,产销汇总!$C$2:$C$8,0),$C$26)*(_xlfn.XLOOKUP(MAX(1,INT(C302/10-6/10)),组队产出!$B$24:$B$39,组队产出!$C$24:$C$39))</f>
        <v>#N/A</v>
      </c>
      <c r="M302" s="80" t="e">
        <f ca="1">(OFFSET(产销汇总!$C$1,MATCH(M$27,产销汇总!$C$2:$C$8,0),$C$26)*_xlfn.XLOOKUP(C302,巡逻产出!$B$311:$B$610,巡逻产出!$D$311:$D$610))*$M$24</f>
        <v>#N/A</v>
      </c>
      <c r="N302" s="80" t="e">
        <f ca="1">OFFSET(产销汇总!$C$1,MATCH(L$27,产销汇总!$C$2:$C$8,0),$C$26)*(_xlfn.XLOOKUP(MAX(1,INT(C302/10-6/10)),组队产出!$B$24:$B$39,组队产出!$S$24:$S$39))</f>
        <v>#N/A</v>
      </c>
      <c r="O302" s="172">
        <f>任务!$D$36</f>
        <v>2457.14285714286</v>
      </c>
      <c r="P302" s="98">
        <f t="shared" si="46"/>
        <v>428</v>
      </c>
      <c r="Q302" s="80">
        <f t="shared" si="52"/>
        <v>1000</v>
      </c>
      <c r="R302" s="172">
        <f t="shared" si="53"/>
        <v>2000</v>
      </c>
      <c r="S302" s="210">
        <f ca="1">IFERROR(OFFSET(金币本!$E$2,MATCH(C302,金币本!$F$3:$F$302,1),0)*IF($C$26=1,2,3),0)</f>
        <v>39750</v>
      </c>
      <c r="T302" s="172" t="e">
        <f ca="1">SUM($J$28:S302)+SUM(D302:I302)</f>
        <v>#N/A</v>
      </c>
      <c r="U302" s="172" t="e">
        <f ca="1" t="shared" si="47"/>
        <v>#N/A</v>
      </c>
      <c r="V302" s="98" t="e">
        <f ca="1" t="shared" si="48"/>
        <v>#N/A</v>
      </c>
      <c r="W302" s="98" t="e">
        <f ca="1">OFFSET(装备强化!$U$6,MATCH(图纸产出设计!V303/6*W$26,装备强化!$T$7:$T$306,1),0)*6</f>
        <v>#N/A</v>
      </c>
      <c r="X302" s="98">
        <v>1221100</v>
      </c>
      <c r="Y302" s="98">
        <f t="shared" si="54"/>
        <v>8688000</v>
      </c>
      <c r="Z302" s="98">
        <f t="shared" si="56"/>
        <v>2</v>
      </c>
      <c r="AA302" s="147" t="e">
        <f ca="1" t="shared" si="49"/>
        <v>#N/A</v>
      </c>
      <c r="AB302" s="209" t="e">
        <f ca="1" t="shared" si="50"/>
        <v>#N/A</v>
      </c>
      <c r="AC302" s="209">
        <f ca="1">SUMIFS(装备强化!$Q$7:$Q$306,装备强化!$M$7:$M$306,"&lt;="&amp;MATCH(U302/6,装备强化!$U$7:$U$306,1),装备强化!$M$7:$M$306,"&gt;="&amp;MATCH(V302/6,装备强化!$U$7:$U$306,1))*6</f>
        <v>0</v>
      </c>
      <c r="AD302">
        <f ca="1" t="shared" si="55"/>
        <v>0</v>
      </c>
    </row>
    <row r="303" spans="1:30">
      <c r="A303" s="171"/>
      <c r="B303" s="80">
        <v>276</v>
      </c>
      <c r="C303" s="80">
        <f ca="1">OFFSET(产销汇总!$C$12,$B303,$C$26)</f>
        <v>261</v>
      </c>
      <c r="D303" s="80">
        <f t="shared" si="51"/>
        <v>14100</v>
      </c>
      <c r="E303" s="80">
        <f ca="1">(SUMIF(主线推图!$B$4:$B$303,"&lt;"&amp;C303,主线推图!$M$4:$M$303)+SUMIF(主线宝箱!$B$320:$B$620,"&lt;"&amp;C303,主线宝箱!$L$320:$L$620)+SUMIF(主线宝箱!$B$320:$B$620,"&lt;"&amp;C303,主线宝箱!$X$320:$X$620)+SUMIF(主线宝箱!$B$320:$B$620,"&lt;"&amp;C303,主线宝箱!$AL$320:$AL$620))</f>
        <v>465000</v>
      </c>
      <c r="F303" s="98">
        <f ca="1">SUMIF(组队产出!$B$24:$B$39,"&lt;="&amp;MAX(1,INT(C303/10-0.6)),组队产出!$R$24:$R$39)</f>
        <v>141000</v>
      </c>
      <c r="G303" s="80">
        <f ca="1">SUMIF(运营活动!$O$3:$O$27,"&lt;="&amp;C303,运营活动!$P$3:$P$27)</f>
        <v>30000</v>
      </c>
      <c r="H303" s="80">
        <f ca="1">OFFSET(产销汇总!$AM$12,B303,$C$26)*24</f>
        <v>2020464</v>
      </c>
      <c r="I303" s="172">
        <f ca="1">SUMIF(金币本!$F$2:$F$52,"&lt;="&amp;C303,金币本!$D$2:$D$52)</f>
        <v>1425000</v>
      </c>
      <c r="J303" s="80">
        <f ca="1">OFFSET(产销汇总!$C$1,MATCH(J$27,产销汇总!$C$2:$C$8,0),$C$26)*(_xlfn.XLOOKUP(C303,主线推图!$B$313:$B$612,主线推图!$C$313:$C$612)+_xlfn.XLOOKUP(C303,主线推图!$B$313:$B$612,主线推图!$D$313:$D$612))</f>
        <v>17600</v>
      </c>
      <c r="K303" s="80">
        <f ca="1">OFFSET(产销汇总!$C$1,MATCH(K$27,产销汇总!$C$2:$C$8,0),$C$26)*_xlfn.XLOOKUP(C303,巡逻产出!$B$311:$B$610,巡逻产出!$C$311:$C$610)*1.3</f>
        <v>0</v>
      </c>
      <c r="L303" s="80" t="e">
        <f ca="1">OFFSET(产销汇总!$C$1,MATCH(L$27,产销汇总!$C$2:$C$8,0),$C$26)*(_xlfn.XLOOKUP(MAX(1,INT(C303/10-6/10)),组队产出!$B$24:$B$39,组队产出!$D$24:$D$39))+OFFSET(产销汇总!$C$1,MATCH(L$27,产销汇总!$C$2:$C$8,0),$C$26)*(_xlfn.XLOOKUP(MAX(1,INT(C303/10-6/10)),组队产出!$B$24:$B$39,组队产出!$C$24:$C$39))</f>
        <v>#N/A</v>
      </c>
      <c r="M303" s="80">
        <f ca="1">(OFFSET(产销汇总!$C$1,MATCH(M$27,产销汇总!$C$2:$C$8,0),$C$26)*_xlfn.XLOOKUP(C303,巡逻产出!$B$311:$B$610,巡逻产出!$D$311:$D$610))*$M$24</f>
        <v>12480</v>
      </c>
      <c r="N303" s="80" t="e">
        <f ca="1">OFFSET(产销汇总!$C$1,MATCH(L$27,产销汇总!$C$2:$C$8,0),$C$26)*(_xlfn.XLOOKUP(MAX(1,INT(C303/10-6/10)),组队产出!$B$24:$B$39,组队产出!$S$24:$S$39))</f>
        <v>#N/A</v>
      </c>
      <c r="O303" s="172">
        <f>任务!$D$36</f>
        <v>2457.14285714286</v>
      </c>
      <c r="P303" s="98">
        <f t="shared" si="46"/>
        <v>428</v>
      </c>
      <c r="Q303" s="80">
        <f t="shared" si="52"/>
        <v>1000</v>
      </c>
      <c r="R303" s="172">
        <f t="shared" si="53"/>
        <v>2000</v>
      </c>
      <c r="S303" s="210">
        <f ca="1">IFERROR(OFFSET(金币本!$E$2,MATCH(C303,金币本!$F$3:$F$302,1),0)*IF($C$26=1,2,3),0)</f>
        <v>39750</v>
      </c>
      <c r="T303" s="172" t="e">
        <f ca="1">SUM($J$28:S303)+SUM(D303:I303)</f>
        <v>#N/A</v>
      </c>
      <c r="U303" s="172" t="e">
        <f ca="1" t="shared" si="47"/>
        <v>#N/A</v>
      </c>
      <c r="V303" s="98" t="e">
        <f ca="1" t="shared" si="48"/>
        <v>#N/A</v>
      </c>
      <c r="W303" s="98" t="e">
        <f ca="1">OFFSET(装备强化!$U$6,MATCH(图纸产出设计!V304/6*W$26,装备强化!$T$7:$T$306,1),0)*6</f>
        <v>#N/A</v>
      </c>
      <c r="X303" s="98">
        <v>1234210</v>
      </c>
      <c r="Y303" s="98">
        <f t="shared" si="54"/>
        <v>8720000</v>
      </c>
      <c r="Z303" s="98">
        <f t="shared" si="56"/>
        <v>2</v>
      </c>
      <c r="AA303" s="147" t="e">
        <f ca="1" t="shared" si="49"/>
        <v>#N/A</v>
      </c>
      <c r="AB303" s="209" t="e">
        <f ca="1" t="shared" si="50"/>
        <v>#N/A</v>
      </c>
      <c r="AC303" s="209">
        <f ca="1">SUMIFS(装备强化!$Q$7:$Q$306,装备强化!$M$7:$M$306,"&lt;="&amp;MATCH(U303/6,装备强化!$U$7:$U$306,1),装备强化!$M$7:$M$306,"&gt;="&amp;MATCH(V303/6,装备强化!$U$7:$U$306,1))*6</f>
        <v>0</v>
      </c>
      <c r="AD303">
        <f ca="1" t="shared" si="55"/>
        <v>0</v>
      </c>
    </row>
    <row r="304" spans="1:30">
      <c r="A304" s="171"/>
      <c r="B304" s="80">
        <v>277</v>
      </c>
      <c r="C304" s="80">
        <f ca="1">OFFSET(产销汇总!$C$12,$B304,$C$26)</f>
        <v>261.5</v>
      </c>
      <c r="D304" s="80">
        <f t="shared" si="51"/>
        <v>14100</v>
      </c>
      <c r="E304" s="80">
        <f ca="1">(SUMIF(主线推图!$B$4:$B$303,"&lt;"&amp;C304,主线推图!$M$4:$M$303)+SUMIF(主线宝箱!$B$320:$B$620,"&lt;"&amp;C304,主线宝箱!$L$320:$L$620)+SUMIF(主线宝箱!$B$320:$B$620,"&lt;"&amp;C304,主线宝箱!$X$320:$X$620)+SUMIF(主线宝箱!$B$320:$B$620,"&lt;"&amp;C304,主线宝箱!$AL$320:$AL$620))</f>
        <v>466800</v>
      </c>
      <c r="F304" s="98">
        <f ca="1">SUMIF(组队产出!$B$24:$B$39,"&lt;="&amp;MAX(1,INT(C304/10-0.6)),组队产出!$R$24:$R$39)</f>
        <v>141000</v>
      </c>
      <c r="G304" s="80">
        <f ca="1">SUMIF(运营活动!$O$3:$O$27,"&lt;="&amp;C304,运营活动!$P$3:$P$27)</f>
        <v>30000</v>
      </c>
      <c r="H304" s="80">
        <f ca="1">OFFSET(产销汇总!$AM$12,B304,$C$26)*24</f>
        <v>2027712</v>
      </c>
      <c r="I304" s="172">
        <f ca="1">SUMIF(金币本!$F$2:$F$52,"&lt;="&amp;C304,金币本!$D$2:$D$52)</f>
        <v>1425000</v>
      </c>
      <c r="J304" s="80" t="e">
        <f ca="1">OFFSET(产销汇总!$C$1,MATCH(J$27,产销汇总!$C$2:$C$8,0),$C$26)*(_xlfn.XLOOKUP(C304,主线推图!$B$313:$B$612,主线推图!$C$313:$C$612)+_xlfn.XLOOKUP(C304,主线推图!$B$313:$B$612,主线推图!$D$313:$D$612))</f>
        <v>#N/A</v>
      </c>
      <c r="K304" s="80" t="e">
        <f ca="1">OFFSET(产销汇总!$C$1,MATCH(K$27,产销汇总!$C$2:$C$8,0),$C$26)*_xlfn.XLOOKUP(C304,巡逻产出!$B$311:$B$610,巡逻产出!$C$311:$C$610)*1.3</f>
        <v>#N/A</v>
      </c>
      <c r="L304" s="80" t="e">
        <f ca="1">OFFSET(产销汇总!$C$1,MATCH(L$27,产销汇总!$C$2:$C$8,0),$C$26)*(_xlfn.XLOOKUP(MAX(1,INT(C304/10-6/10)),组队产出!$B$24:$B$39,组队产出!$D$24:$D$39))+OFFSET(产销汇总!$C$1,MATCH(L$27,产销汇总!$C$2:$C$8,0),$C$26)*(_xlfn.XLOOKUP(MAX(1,INT(C304/10-6/10)),组队产出!$B$24:$B$39,组队产出!$C$24:$C$39))</f>
        <v>#N/A</v>
      </c>
      <c r="M304" s="80" t="e">
        <f ca="1">(OFFSET(产销汇总!$C$1,MATCH(M$27,产销汇总!$C$2:$C$8,0),$C$26)*_xlfn.XLOOKUP(C304,巡逻产出!$B$311:$B$610,巡逻产出!$D$311:$D$610))*$M$24</f>
        <v>#N/A</v>
      </c>
      <c r="N304" s="80" t="e">
        <f ca="1">OFFSET(产销汇总!$C$1,MATCH(L$27,产销汇总!$C$2:$C$8,0),$C$26)*(_xlfn.XLOOKUP(MAX(1,INT(C304/10-6/10)),组队产出!$B$24:$B$39,组队产出!$S$24:$S$39))</f>
        <v>#N/A</v>
      </c>
      <c r="O304" s="172">
        <f>任务!$D$36</f>
        <v>2457.14285714286</v>
      </c>
      <c r="P304" s="98">
        <f t="shared" si="46"/>
        <v>428</v>
      </c>
      <c r="Q304" s="80">
        <f t="shared" si="52"/>
        <v>1000</v>
      </c>
      <c r="R304" s="172">
        <f t="shared" si="53"/>
        <v>2000</v>
      </c>
      <c r="S304" s="210">
        <f ca="1">IFERROR(OFFSET(金币本!$E$2,MATCH(C304,金币本!$F$3:$F$302,1),0)*IF($C$26=1,2,3),0)</f>
        <v>39750</v>
      </c>
      <c r="T304" s="172" t="e">
        <f ca="1">SUM($J$28:S304)+SUM(D304:I304)</f>
        <v>#N/A</v>
      </c>
      <c r="U304" s="172" t="e">
        <f ca="1" t="shared" si="47"/>
        <v>#N/A</v>
      </c>
      <c r="V304" s="98" t="e">
        <f ca="1" t="shared" si="48"/>
        <v>#N/A</v>
      </c>
      <c r="W304" s="98" t="e">
        <f ca="1">OFFSET(装备强化!$U$6,MATCH(图纸产出设计!V305/6*W$26,装备强化!$T$7:$T$306,1),0)*6</f>
        <v>#N/A</v>
      </c>
      <c r="X304" s="98">
        <v>1234210</v>
      </c>
      <c r="Y304" s="98">
        <f t="shared" si="54"/>
        <v>8752000</v>
      </c>
      <c r="Z304" s="98">
        <f t="shared" si="56"/>
        <v>2</v>
      </c>
      <c r="AA304" s="147" t="e">
        <f ca="1" t="shared" si="49"/>
        <v>#N/A</v>
      </c>
      <c r="AB304" s="209" t="e">
        <f ca="1" t="shared" si="50"/>
        <v>#N/A</v>
      </c>
      <c r="AC304" s="209">
        <f ca="1">SUMIFS(装备强化!$Q$7:$Q$306,装备强化!$M$7:$M$306,"&lt;="&amp;MATCH(U304/6,装备强化!$U$7:$U$306,1),装备强化!$M$7:$M$306,"&gt;="&amp;MATCH(V304/6,装备强化!$U$7:$U$306,1))*6</f>
        <v>0</v>
      </c>
      <c r="AD304">
        <f ca="1" t="shared" si="55"/>
        <v>0</v>
      </c>
    </row>
    <row r="305" spans="1:30">
      <c r="A305" s="171"/>
      <c r="B305" s="80">
        <v>278</v>
      </c>
      <c r="C305" s="80">
        <f ca="1">OFFSET(产销汇总!$C$12,$B305,$C$26)</f>
        <v>262</v>
      </c>
      <c r="D305" s="80">
        <f t="shared" si="51"/>
        <v>14100</v>
      </c>
      <c r="E305" s="80">
        <f ca="1">(SUMIF(主线推图!$B$4:$B$303,"&lt;"&amp;C305,主线推图!$M$4:$M$303)+SUMIF(主线宝箱!$B$320:$B$620,"&lt;"&amp;C305,主线宝箱!$L$320:$L$620)+SUMIF(主线宝箱!$B$320:$B$620,"&lt;"&amp;C305,主线宝箱!$X$320:$X$620)+SUMIF(主线宝箱!$B$320:$B$620,"&lt;"&amp;C305,主线宝箱!$AL$320:$AL$620))</f>
        <v>466800</v>
      </c>
      <c r="F305" s="98">
        <f ca="1">SUMIF(组队产出!$B$24:$B$39,"&lt;="&amp;MAX(1,INT(C305/10-0.6)),组队产出!$R$24:$R$39)</f>
        <v>141000</v>
      </c>
      <c r="G305" s="80">
        <f ca="1">SUMIF(运营活动!$O$3:$O$27,"&lt;="&amp;C305,运营活动!$P$3:$P$27)</f>
        <v>30000</v>
      </c>
      <c r="H305" s="80">
        <f ca="1">OFFSET(产销汇总!$AM$12,B305,$C$26)*24</f>
        <v>2034960</v>
      </c>
      <c r="I305" s="172">
        <f ca="1">SUMIF(金币本!$F$2:$F$52,"&lt;="&amp;C305,金币本!$D$2:$D$52)</f>
        <v>1425000</v>
      </c>
      <c r="J305" s="80">
        <f ca="1">OFFSET(产销汇总!$C$1,MATCH(J$27,产销汇总!$C$2:$C$8,0),$C$26)*(_xlfn.XLOOKUP(C305,主线推图!$B$313:$B$612,主线推图!$C$313:$C$612)+_xlfn.XLOOKUP(C305,主线推图!$B$313:$B$612,主线推图!$D$313:$D$612))</f>
        <v>17644</v>
      </c>
      <c r="K305" s="80">
        <f ca="1">OFFSET(产销汇总!$C$1,MATCH(K$27,产销汇总!$C$2:$C$8,0),$C$26)*_xlfn.XLOOKUP(C305,巡逻产出!$B$311:$B$610,巡逻产出!$C$311:$C$610)*1.3</f>
        <v>0</v>
      </c>
      <c r="L305" s="80" t="e">
        <f ca="1">OFFSET(产销汇总!$C$1,MATCH(L$27,产销汇总!$C$2:$C$8,0),$C$26)*(_xlfn.XLOOKUP(MAX(1,INT(C305/10-6/10)),组队产出!$B$24:$B$39,组队产出!$D$24:$D$39))+OFFSET(产销汇总!$C$1,MATCH(L$27,产销汇总!$C$2:$C$8,0),$C$26)*(_xlfn.XLOOKUP(MAX(1,INT(C305/10-6/10)),组队产出!$B$24:$B$39,组队产出!$C$24:$C$39))</f>
        <v>#N/A</v>
      </c>
      <c r="M305" s="80">
        <f ca="1">(OFFSET(产销汇总!$C$1,MATCH(M$27,产销汇总!$C$2:$C$8,0),$C$26)*_xlfn.XLOOKUP(C305,巡逻产出!$B$311:$B$610,巡逻产出!$D$311:$D$610))*$M$24</f>
        <v>12511.2</v>
      </c>
      <c r="N305" s="80" t="e">
        <f ca="1">OFFSET(产销汇总!$C$1,MATCH(L$27,产销汇总!$C$2:$C$8,0),$C$26)*(_xlfn.XLOOKUP(MAX(1,INT(C305/10-6/10)),组队产出!$B$24:$B$39,组队产出!$S$24:$S$39))</f>
        <v>#N/A</v>
      </c>
      <c r="O305" s="172">
        <f>任务!$D$36</f>
        <v>2457.14285714286</v>
      </c>
      <c r="P305" s="98">
        <f t="shared" si="46"/>
        <v>428</v>
      </c>
      <c r="Q305" s="80">
        <f t="shared" si="52"/>
        <v>1000</v>
      </c>
      <c r="R305" s="172">
        <f t="shared" si="53"/>
        <v>2000</v>
      </c>
      <c r="S305" s="210">
        <f ca="1">IFERROR(OFFSET(金币本!$E$2,MATCH(C305,金币本!$F$3:$F$302,1),0)*IF($C$26=1,2,3),0)</f>
        <v>39750</v>
      </c>
      <c r="T305" s="172" t="e">
        <f ca="1">SUM($J$28:S305)+SUM(D305:I305)</f>
        <v>#N/A</v>
      </c>
      <c r="U305" s="172" t="e">
        <f ca="1" t="shared" si="47"/>
        <v>#N/A</v>
      </c>
      <c r="V305" s="98" t="e">
        <f ca="1" t="shared" si="48"/>
        <v>#N/A</v>
      </c>
      <c r="W305" s="98" t="e">
        <f ca="1">OFFSET(装备强化!$U$6,MATCH(图纸产出设计!V306/6*W$26,装备强化!$T$7:$T$306,1),0)*6</f>
        <v>#N/A</v>
      </c>
      <c r="X305" s="98">
        <v>1234210</v>
      </c>
      <c r="Y305" s="98">
        <f t="shared" si="54"/>
        <v>8784000</v>
      </c>
      <c r="Z305" s="98">
        <f t="shared" si="56"/>
        <v>2</v>
      </c>
      <c r="AA305" s="147" t="e">
        <f ca="1" t="shared" si="49"/>
        <v>#N/A</v>
      </c>
      <c r="AB305" s="209" t="e">
        <f ca="1" t="shared" si="50"/>
        <v>#N/A</v>
      </c>
      <c r="AC305" s="209">
        <f ca="1">SUMIFS(装备强化!$Q$7:$Q$306,装备强化!$M$7:$M$306,"&lt;="&amp;MATCH(U305/6,装备强化!$U$7:$U$306,1),装备强化!$M$7:$M$306,"&gt;="&amp;MATCH(V305/6,装备强化!$U$7:$U$306,1))*6</f>
        <v>0</v>
      </c>
      <c r="AD305">
        <f ca="1" t="shared" si="55"/>
        <v>0</v>
      </c>
    </row>
    <row r="306" spans="1:30">
      <c r="A306" s="171"/>
      <c r="B306" s="80">
        <v>279</v>
      </c>
      <c r="C306" s="80">
        <f ca="1">OFFSET(产销汇总!$C$12,$B306,$C$26)</f>
        <v>262.5</v>
      </c>
      <c r="D306" s="80">
        <f t="shared" si="51"/>
        <v>14100</v>
      </c>
      <c r="E306" s="80">
        <f ca="1">(SUMIF(主线推图!$B$4:$B$303,"&lt;"&amp;C306,主线推图!$M$4:$M$303)+SUMIF(主线宝箱!$B$320:$B$620,"&lt;"&amp;C306,主线宝箱!$L$320:$L$620)+SUMIF(主线宝箱!$B$320:$B$620,"&lt;"&amp;C306,主线宝箱!$X$320:$X$620)+SUMIF(主线宝箱!$B$320:$B$620,"&lt;"&amp;C306,主线宝箱!$AL$320:$AL$620))</f>
        <v>468600</v>
      </c>
      <c r="F306" s="98">
        <f ca="1">SUMIF(组队产出!$B$24:$B$39,"&lt;="&amp;MAX(1,INT(C306/10-0.6)),组队产出!$R$24:$R$39)</f>
        <v>141000</v>
      </c>
      <c r="G306" s="80">
        <f ca="1">SUMIF(运营活动!$O$3:$O$27,"&lt;="&amp;C306,运营活动!$P$3:$P$27)</f>
        <v>30000</v>
      </c>
      <c r="H306" s="80">
        <f ca="1">OFFSET(产销汇总!$AM$12,B306,$C$26)*24</f>
        <v>2042208</v>
      </c>
      <c r="I306" s="172">
        <f ca="1">SUMIF(金币本!$F$2:$F$52,"&lt;="&amp;C306,金币本!$D$2:$D$52)</f>
        <v>1425000</v>
      </c>
      <c r="J306" s="80" t="e">
        <f ca="1">OFFSET(产销汇总!$C$1,MATCH(J$27,产销汇总!$C$2:$C$8,0),$C$26)*(_xlfn.XLOOKUP(C306,主线推图!$B$313:$B$612,主线推图!$C$313:$C$612)+_xlfn.XLOOKUP(C306,主线推图!$B$313:$B$612,主线推图!$D$313:$D$612))</f>
        <v>#N/A</v>
      </c>
      <c r="K306" s="80" t="e">
        <f ca="1">OFFSET(产销汇总!$C$1,MATCH(K$27,产销汇总!$C$2:$C$8,0),$C$26)*_xlfn.XLOOKUP(C306,巡逻产出!$B$311:$B$610,巡逻产出!$C$311:$C$610)*1.3</f>
        <v>#N/A</v>
      </c>
      <c r="L306" s="80" t="e">
        <f ca="1">OFFSET(产销汇总!$C$1,MATCH(L$27,产销汇总!$C$2:$C$8,0),$C$26)*(_xlfn.XLOOKUP(MAX(1,INT(C306/10-6/10)),组队产出!$B$24:$B$39,组队产出!$D$24:$D$39))+OFFSET(产销汇总!$C$1,MATCH(L$27,产销汇总!$C$2:$C$8,0),$C$26)*(_xlfn.XLOOKUP(MAX(1,INT(C306/10-6/10)),组队产出!$B$24:$B$39,组队产出!$C$24:$C$39))</f>
        <v>#N/A</v>
      </c>
      <c r="M306" s="80" t="e">
        <f ca="1">(OFFSET(产销汇总!$C$1,MATCH(M$27,产销汇总!$C$2:$C$8,0),$C$26)*_xlfn.XLOOKUP(C306,巡逻产出!$B$311:$B$610,巡逻产出!$D$311:$D$610))*$M$24</f>
        <v>#N/A</v>
      </c>
      <c r="N306" s="80" t="e">
        <f ca="1">OFFSET(产销汇总!$C$1,MATCH(L$27,产销汇总!$C$2:$C$8,0),$C$26)*(_xlfn.XLOOKUP(MAX(1,INT(C306/10-6/10)),组队产出!$B$24:$B$39,组队产出!$S$24:$S$39))</f>
        <v>#N/A</v>
      </c>
      <c r="O306" s="172">
        <f>任务!$D$36</f>
        <v>2457.14285714286</v>
      </c>
      <c r="P306" s="98">
        <f t="shared" si="46"/>
        <v>428</v>
      </c>
      <c r="Q306" s="80">
        <f t="shared" si="52"/>
        <v>1000</v>
      </c>
      <c r="R306" s="172">
        <f t="shared" si="53"/>
        <v>2000</v>
      </c>
      <c r="S306" s="210">
        <f ca="1">IFERROR(OFFSET(金币本!$E$2,MATCH(C306,金币本!$F$3:$F$302,1),0)*IF($C$26=1,2,3),0)</f>
        <v>39750</v>
      </c>
      <c r="T306" s="172" t="e">
        <f ca="1">SUM($J$28:S306)+SUM(D306:I306)</f>
        <v>#N/A</v>
      </c>
      <c r="U306" s="172" t="e">
        <f ca="1" t="shared" si="47"/>
        <v>#N/A</v>
      </c>
      <c r="V306" s="98" t="e">
        <f ca="1" t="shared" si="48"/>
        <v>#N/A</v>
      </c>
      <c r="W306" s="98" t="e">
        <f ca="1">OFFSET(装备强化!$U$6,MATCH(图纸产出设计!V307/6*W$26,装备强化!$T$7:$T$306,1),0)*6</f>
        <v>#N/A</v>
      </c>
      <c r="X306" s="98">
        <v>1247390</v>
      </c>
      <c r="Y306" s="98">
        <f t="shared" si="54"/>
        <v>8816000</v>
      </c>
      <c r="Z306" s="98">
        <f t="shared" si="56"/>
        <v>2</v>
      </c>
      <c r="AA306" s="147" t="e">
        <f ca="1" t="shared" si="49"/>
        <v>#N/A</v>
      </c>
      <c r="AB306" s="209" t="e">
        <f ca="1" t="shared" si="50"/>
        <v>#N/A</v>
      </c>
      <c r="AC306" s="209">
        <f ca="1">SUMIFS(装备强化!$Q$7:$Q$306,装备强化!$M$7:$M$306,"&lt;="&amp;MATCH(U306/6,装备强化!$U$7:$U$306,1),装备强化!$M$7:$M$306,"&gt;="&amp;MATCH(V306/6,装备强化!$U$7:$U$306,1))*6</f>
        <v>0</v>
      </c>
      <c r="AD306">
        <f ca="1" t="shared" si="55"/>
        <v>0</v>
      </c>
    </row>
    <row r="307" spans="1:30">
      <c r="A307" s="171"/>
      <c r="B307" s="80">
        <v>280</v>
      </c>
      <c r="C307" s="80">
        <f ca="1">OFFSET(产销汇总!$C$12,$B307,$C$26)</f>
        <v>263</v>
      </c>
      <c r="D307" s="80">
        <f t="shared" si="51"/>
        <v>14100</v>
      </c>
      <c r="E307" s="80">
        <f ca="1">(SUMIF(主线推图!$B$4:$B$303,"&lt;"&amp;C307,主线推图!$M$4:$M$303)+SUMIF(主线宝箱!$B$320:$B$620,"&lt;"&amp;C307,主线宝箱!$L$320:$L$620)+SUMIF(主线宝箱!$B$320:$B$620,"&lt;"&amp;C307,主线宝箱!$X$320:$X$620)+SUMIF(主线宝箱!$B$320:$B$620,"&lt;"&amp;C307,主线宝箱!$AL$320:$AL$620))</f>
        <v>468600</v>
      </c>
      <c r="F307" s="98">
        <f ca="1">SUMIF(组队产出!$B$24:$B$39,"&lt;="&amp;MAX(1,INT(C307/10-0.6)),组队产出!$R$24:$R$39)</f>
        <v>141000</v>
      </c>
      <c r="G307" s="80">
        <f ca="1">SUMIF(运营活动!$O$3:$O$27,"&lt;="&amp;C307,运营活动!$P$3:$P$27)</f>
        <v>30000</v>
      </c>
      <c r="H307" s="80">
        <f ca="1">OFFSET(产销汇总!$AM$12,B307,$C$26)*24</f>
        <v>2049456</v>
      </c>
      <c r="I307" s="172">
        <f ca="1">SUMIF(金币本!$F$2:$F$52,"&lt;="&amp;C307,金币本!$D$2:$D$52)</f>
        <v>1425000</v>
      </c>
      <c r="J307" s="80">
        <f ca="1">OFFSET(产销汇总!$C$1,MATCH(J$27,产销汇总!$C$2:$C$8,0),$C$26)*(_xlfn.XLOOKUP(C307,主线推图!$B$313:$B$612,主线推图!$C$313:$C$612)+_xlfn.XLOOKUP(C307,主线推图!$B$313:$B$612,主线推图!$D$313:$D$612))</f>
        <v>17688</v>
      </c>
      <c r="K307" s="80">
        <f ca="1">OFFSET(产销汇总!$C$1,MATCH(K$27,产销汇总!$C$2:$C$8,0),$C$26)*_xlfn.XLOOKUP(C307,巡逻产出!$B$311:$B$610,巡逻产出!$C$311:$C$610)*1.3</f>
        <v>0</v>
      </c>
      <c r="L307" s="80" t="e">
        <f ca="1">OFFSET(产销汇总!$C$1,MATCH(L$27,产销汇总!$C$2:$C$8,0),$C$26)*(_xlfn.XLOOKUP(MAX(1,INT(C307/10-6/10)),组队产出!$B$24:$B$39,组队产出!$D$24:$D$39))+OFFSET(产销汇总!$C$1,MATCH(L$27,产销汇总!$C$2:$C$8,0),$C$26)*(_xlfn.XLOOKUP(MAX(1,INT(C307/10-6/10)),组队产出!$B$24:$B$39,组队产出!$C$24:$C$39))</f>
        <v>#N/A</v>
      </c>
      <c r="M307" s="80">
        <f ca="1">(OFFSET(产销汇总!$C$1,MATCH(M$27,产销汇总!$C$2:$C$8,0),$C$26)*_xlfn.XLOOKUP(C307,巡逻产出!$B$311:$B$610,巡逻产出!$D$311:$D$610))*$M$24</f>
        <v>12542.4</v>
      </c>
      <c r="N307" s="80" t="e">
        <f ca="1">OFFSET(产销汇总!$C$1,MATCH(L$27,产销汇总!$C$2:$C$8,0),$C$26)*(_xlfn.XLOOKUP(MAX(1,INT(C307/10-6/10)),组队产出!$B$24:$B$39,组队产出!$S$24:$S$39))</f>
        <v>#N/A</v>
      </c>
      <c r="O307" s="172">
        <f>任务!$D$36</f>
        <v>2457.14285714286</v>
      </c>
      <c r="P307" s="98">
        <f t="shared" si="46"/>
        <v>428</v>
      </c>
      <c r="Q307" s="80">
        <f t="shared" si="52"/>
        <v>1000</v>
      </c>
      <c r="R307" s="172">
        <f t="shared" si="53"/>
        <v>2000</v>
      </c>
      <c r="S307" s="210">
        <f ca="1">IFERROR(OFFSET(金币本!$E$2,MATCH(C307,金币本!$F$3:$F$302,1),0)*IF($C$26=1,2,3),0)</f>
        <v>39750</v>
      </c>
      <c r="T307" s="172" t="e">
        <f ca="1">SUM($J$28:S307)+SUM(D307:I307)</f>
        <v>#N/A</v>
      </c>
      <c r="U307" s="172" t="e">
        <f ca="1" t="shared" si="47"/>
        <v>#N/A</v>
      </c>
      <c r="V307" s="98" t="e">
        <f ca="1" t="shared" si="48"/>
        <v>#N/A</v>
      </c>
      <c r="W307" s="98" t="e">
        <f ca="1">OFFSET(装备强化!$U$6,MATCH(图纸产出设计!V308/6*W$26,装备强化!$T$7:$T$306,1),0)*6</f>
        <v>#N/A</v>
      </c>
      <c r="X307" s="98">
        <v>1247390</v>
      </c>
      <c r="Y307" s="98">
        <f t="shared" si="54"/>
        <v>8848000</v>
      </c>
      <c r="Z307" s="98">
        <f t="shared" si="56"/>
        <v>2</v>
      </c>
      <c r="AA307" s="147" t="e">
        <f ca="1" t="shared" si="49"/>
        <v>#N/A</v>
      </c>
      <c r="AB307" s="209" t="e">
        <f ca="1" t="shared" si="50"/>
        <v>#N/A</v>
      </c>
      <c r="AC307" s="209">
        <f ca="1">SUMIFS(装备强化!$Q$7:$Q$306,装备强化!$M$7:$M$306,"&lt;="&amp;MATCH(U307/6,装备强化!$U$7:$U$306,1),装备强化!$M$7:$M$306,"&gt;="&amp;MATCH(V307/6,装备强化!$U$7:$U$306,1))*6</f>
        <v>0</v>
      </c>
      <c r="AD307">
        <f ca="1" t="shared" si="55"/>
        <v>0</v>
      </c>
    </row>
    <row r="308" spans="1:30">
      <c r="A308" s="171"/>
      <c r="B308" s="80">
        <v>281</v>
      </c>
      <c r="C308" s="80">
        <f ca="1">OFFSET(产销汇总!$C$12,$B308,$C$26)</f>
        <v>263.5</v>
      </c>
      <c r="D308" s="80">
        <f t="shared" si="51"/>
        <v>14100</v>
      </c>
      <c r="E308" s="80">
        <f ca="1">(SUMIF(主线推图!$B$4:$B$303,"&lt;"&amp;C308,主线推图!$M$4:$M$303)+SUMIF(主线宝箱!$B$320:$B$620,"&lt;"&amp;C308,主线宝箱!$L$320:$L$620)+SUMIF(主线宝箱!$B$320:$B$620,"&lt;"&amp;C308,主线宝箱!$X$320:$X$620)+SUMIF(主线宝箱!$B$320:$B$620,"&lt;"&amp;C308,主线宝箱!$AL$320:$AL$620))</f>
        <v>470400</v>
      </c>
      <c r="F308" s="98">
        <f ca="1">SUMIF(组队产出!$B$24:$B$39,"&lt;="&amp;MAX(1,INT(C308/10-0.6)),组队产出!$R$24:$R$39)</f>
        <v>141000</v>
      </c>
      <c r="G308" s="80">
        <f ca="1">SUMIF(运营活动!$O$3:$O$27,"&lt;="&amp;C308,运营活动!$P$3:$P$27)</f>
        <v>30000</v>
      </c>
      <c r="H308" s="80">
        <f ca="1">OFFSET(产销汇总!$AM$12,B308,$C$26)*24</f>
        <v>2056704</v>
      </c>
      <c r="I308" s="172">
        <f ca="1">SUMIF(金币本!$F$2:$F$52,"&lt;="&amp;C308,金币本!$D$2:$D$52)</f>
        <v>1425000</v>
      </c>
      <c r="J308" s="80" t="e">
        <f ca="1">OFFSET(产销汇总!$C$1,MATCH(J$27,产销汇总!$C$2:$C$8,0),$C$26)*(_xlfn.XLOOKUP(C308,主线推图!$B$313:$B$612,主线推图!$C$313:$C$612)+_xlfn.XLOOKUP(C308,主线推图!$B$313:$B$612,主线推图!$D$313:$D$612))</f>
        <v>#N/A</v>
      </c>
      <c r="K308" s="80" t="e">
        <f ca="1">OFFSET(产销汇总!$C$1,MATCH(K$27,产销汇总!$C$2:$C$8,0),$C$26)*_xlfn.XLOOKUP(C308,巡逻产出!$B$311:$B$610,巡逻产出!$C$311:$C$610)*1.3</f>
        <v>#N/A</v>
      </c>
      <c r="L308" s="80" t="e">
        <f ca="1">OFFSET(产销汇总!$C$1,MATCH(L$27,产销汇总!$C$2:$C$8,0),$C$26)*(_xlfn.XLOOKUP(MAX(1,INT(C308/10-6/10)),组队产出!$B$24:$B$39,组队产出!$D$24:$D$39))+OFFSET(产销汇总!$C$1,MATCH(L$27,产销汇总!$C$2:$C$8,0),$C$26)*(_xlfn.XLOOKUP(MAX(1,INT(C308/10-6/10)),组队产出!$B$24:$B$39,组队产出!$C$24:$C$39))</f>
        <v>#N/A</v>
      </c>
      <c r="M308" s="80" t="e">
        <f ca="1">(OFFSET(产销汇总!$C$1,MATCH(M$27,产销汇总!$C$2:$C$8,0),$C$26)*_xlfn.XLOOKUP(C308,巡逻产出!$B$311:$B$610,巡逻产出!$D$311:$D$610))*$M$24</f>
        <v>#N/A</v>
      </c>
      <c r="N308" s="80" t="e">
        <f ca="1">OFFSET(产销汇总!$C$1,MATCH(L$27,产销汇总!$C$2:$C$8,0),$C$26)*(_xlfn.XLOOKUP(MAX(1,INT(C308/10-6/10)),组队产出!$B$24:$B$39,组队产出!$S$24:$S$39))</f>
        <v>#N/A</v>
      </c>
      <c r="O308" s="172">
        <f>任务!$D$36</f>
        <v>2457.14285714286</v>
      </c>
      <c r="P308" s="98">
        <f t="shared" si="46"/>
        <v>428</v>
      </c>
      <c r="Q308" s="80">
        <f t="shared" si="52"/>
        <v>1500</v>
      </c>
      <c r="R308" s="172">
        <f t="shared" si="53"/>
        <v>2000</v>
      </c>
      <c r="S308" s="210">
        <f ca="1">IFERROR(OFFSET(金币本!$E$2,MATCH(C308,金币本!$F$3:$F$302,1),0)*IF($C$26=1,2,3),0)</f>
        <v>39750</v>
      </c>
      <c r="T308" s="172" t="e">
        <f ca="1">SUM($J$28:S308)+SUM(D308:I308)</f>
        <v>#N/A</v>
      </c>
      <c r="U308" s="172" t="e">
        <f ca="1" t="shared" si="47"/>
        <v>#N/A</v>
      </c>
      <c r="V308" s="98" t="e">
        <f ca="1" t="shared" si="48"/>
        <v>#N/A</v>
      </c>
      <c r="W308" s="98" t="e">
        <f ca="1">OFFSET(装备强化!$U$6,MATCH(图纸产出设计!V309/6*W$26,装备强化!$T$7:$T$306,1),0)*6</f>
        <v>#N/A</v>
      </c>
      <c r="X308" s="98">
        <v>1247390</v>
      </c>
      <c r="Y308" s="98">
        <f t="shared" si="54"/>
        <v>8880000</v>
      </c>
      <c r="Z308" s="98">
        <f t="shared" si="56"/>
        <v>2</v>
      </c>
      <c r="AA308" s="147" t="e">
        <f ca="1" t="shared" si="49"/>
        <v>#N/A</v>
      </c>
      <c r="AB308" s="209" t="e">
        <f ca="1" t="shared" si="50"/>
        <v>#N/A</v>
      </c>
      <c r="AC308" s="209">
        <f ca="1">SUMIFS(装备强化!$Q$7:$Q$306,装备强化!$M$7:$M$306,"&lt;="&amp;MATCH(U308/6,装备强化!$U$7:$U$306,1),装备强化!$M$7:$M$306,"&gt;="&amp;MATCH(V308/6,装备强化!$U$7:$U$306,1))*6</f>
        <v>0</v>
      </c>
      <c r="AD308">
        <f ca="1" t="shared" si="55"/>
        <v>0</v>
      </c>
    </row>
    <row r="309" spans="1:30">
      <c r="A309" s="171"/>
      <c r="B309" s="80">
        <v>282</v>
      </c>
      <c r="C309" s="80">
        <f ca="1">OFFSET(产销汇总!$C$12,$B309,$C$26)</f>
        <v>264</v>
      </c>
      <c r="D309" s="80">
        <f t="shared" si="51"/>
        <v>14100</v>
      </c>
      <c r="E309" s="80">
        <f ca="1">(SUMIF(主线推图!$B$4:$B$303,"&lt;"&amp;C309,主线推图!$M$4:$M$303)+SUMIF(主线宝箱!$B$320:$B$620,"&lt;"&amp;C309,主线宝箱!$L$320:$L$620)+SUMIF(主线宝箱!$B$320:$B$620,"&lt;"&amp;C309,主线宝箱!$X$320:$X$620)+SUMIF(主线宝箱!$B$320:$B$620,"&lt;"&amp;C309,主线宝箱!$AL$320:$AL$620))</f>
        <v>470400</v>
      </c>
      <c r="F309" s="98">
        <f ca="1">SUMIF(组队产出!$B$24:$B$39,"&lt;="&amp;MAX(1,INT(C309/10-0.6)),组队产出!$R$24:$R$39)</f>
        <v>141000</v>
      </c>
      <c r="G309" s="80">
        <f ca="1">SUMIF(运营活动!$O$3:$O$27,"&lt;="&amp;C309,运营活动!$P$3:$P$27)</f>
        <v>30000</v>
      </c>
      <c r="H309" s="80">
        <f ca="1">OFFSET(产销汇总!$AM$12,B309,$C$26)*24</f>
        <v>2063952</v>
      </c>
      <c r="I309" s="172">
        <f ca="1">SUMIF(金币本!$F$2:$F$52,"&lt;="&amp;C309,金币本!$D$2:$D$52)</f>
        <v>1425000</v>
      </c>
      <c r="J309" s="80">
        <f ca="1">OFFSET(产销汇总!$C$1,MATCH(J$27,产销汇总!$C$2:$C$8,0),$C$26)*(_xlfn.XLOOKUP(C309,主线推图!$B$313:$B$612,主线推图!$C$313:$C$612)+_xlfn.XLOOKUP(C309,主线推图!$B$313:$B$612,主线推图!$D$313:$D$612))</f>
        <v>17732</v>
      </c>
      <c r="K309" s="80">
        <f ca="1">OFFSET(产销汇总!$C$1,MATCH(K$27,产销汇总!$C$2:$C$8,0),$C$26)*_xlfn.XLOOKUP(C309,巡逻产出!$B$311:$B$610,巡逻产出!$C$311:$C$610)*1.3</f>
        <v>0</v>
      </c>
      <c r="L309" s="80" t="e">
        <f ca="1">OFFSET(产销汇总!$C$1,MATCH(L$27,产销汇总!$C$2:$C$8,0),$C$26)*(_xlfn.XLOOKUP(MAX(1,INT(C309/10-6/10)),组队产出!$B$24:$B$39,组队产出!$D$24:$D$39))+OFFSET(产销汇总!$C$1,MATCH(L$27,产销汇总!$C$2:$C$8,0),$C$26)*(_xlfn.XLOOKUP(MAX(1,INT(C309/10-6/10)),组队产出!$B$24:$B$39,组队产出!$C$24:$C$39))</f>
        <v>#N/A</v>
      </c>
      <c r="M309" s="80">
        <f ca="1">(OFFSET(产销汇总!$C$1,MATCH(M$27,产销汇总!$C$2:$C$8,0),$C$26)*_xlfn.XLOOKUP(C309,巡逻产出!$B$311:$B$610,巡逻产出!$D$311:$D$610))*$M$24</f>
        <v>12573.6</v>
      </c>
      <c r="N309" s="80" t="e">
        <f ca="1">OFFSET(产销汇总!$C$1,MATCH(L$27,产销汇总!$C$2:$C$8,0),$C$26)*(_xlfn.XLOOKUP(MAX(1,INT(C309/10-6/10)),组队产出!$B$24:$B$39,组队产出!$S$24:$S$39))</f>
        <v>#N/A</v>
      </c>
      <c r="O309" s="172">
        <f>任务!$D$36</f>
        <v>2457.14285714286</v>
      </c>
      <c r="P309" s="98">
        <f t="shared" si="46"/>
        <v>428</v>
      </c>
      <c r="Q309" s="80">
        <f t="shared" si="52"/>
        <v>1000</v>
      </c>
      <c r="R309" s="172">
        <f t="shared" si="53"/>
        <v>2000</v>
      </c>
      <c r="S309" s="210">
        <f ca="1">IFERROR(OFFSET(金币本!$E$2,MATCH(C309,金币本!$F$3:$F$302,1),0)*IF($C$26=1,2,3),0)</f>
        <v>39750</v>
      </c>
      <c r="T309" s="172" t="e">
        <f ca="1">SUM($J$28:S309)+SUM(D309:I309)</f>
        <v>#N/A</v>
      </c>
      <c r="U309" s="172" t="e">
        <f ca="1" t="shared" si="47"/>
        <v>#N/A</v>
      </c>
      <c r="V309" s="98" t="e">
        <f ca="1" t="shared" si="48"/>
        <v>#N/A</v>
      </c>
      <c r="W309" s="98" t="e">
        <f ca="1">OFFSET(装备强化!$U$6,MATCH(图纸产出设计!V310/6*W$26,装备强化!$T$7:$T$306,1),0)*6</f>
        <v>#N/A</v>
      </c>
      <c r="X309" s="98">
        <v>1260640</v>
      </c>
      <c r="Y309" s="98">
        <f t="shared" si="54"/>
        <v>8912000</v>
      </c>
      <c r="Z309" s="98">
        <f t="shared" si="56"/>
        <v>2</v>
      </c>
      <c r="AA309" s="147" t="e">
        <f ca="1" t="shared" si="49"/>
        <v>#N/A</v>
      </c>
      <c r="AB309" s="209" t="e">
        <f ca="1" t="shared" si="50"/>
        <v>#N/A</v>
      </c>
      <c r="AC309" s="209">
        <f ca="1">SUMIFS(装备强化!$Q$7:$Q$306,装备强化!$M$7:$M$306,"&lt;="&amp;MATCH(U309/6,装备强化!$U$7:$U$306,1),装备强化!$M$7:$M$306,"&gt;="&amp;MATCH(V309/6,装备强化!$U$7:$U$306,1))*6</f>
        <v>0</v>
      </c>
      <c r="AD309">
        <f ca="1" t="shared" si="55"/>
        <v>0</v>
      </c>
    </row>
    <row r="310" spans="1:30">
      <c r="A310" s="171"/>
      <c r="B310" s="80">
        <v>283</v>
      </c>
      <c r="C310" s="80">
        <f ca="1">OFFSET(产销汇总!$C$12,$B310,$C$26)</f>
        <v>264.5</v>
      </c>
      <c r="D310" s="80">
        <f t="shared" si="51"/>
        <v>14100</v>
      </c>
      <c r="E310" s="80">
        <f ca="1">(SUMIF(主线推图!$B$4:$B$303,"&lt;"&amp;C310,主线推图!$M$4:$M$303)+SUMIF(主线宝箱!$B$320:$B$620,"&lt;"&amp;C310,主线宝箱!$L$320:$L$620)+SUMIF(主线宝箱!$B$320:$B$620,"&lt;"&amp;C310,主线宝箱!$X$320:$X$620)+SUMIF(主线宝箱!$B$320:$B$620,"&lt;"&amp;C310,主线宝箱!$AL$320:$AL$620))</f>
        <v>472200</v>
      </c>
      <c r="F310" s="98">
        <f ca="1">SUMIF(组队产出!$B$24:$B$39,"&lt;="&amp;MAX(1,INT(C310/10-0.6)),组队产出!$R$24:$R$39)</f>
        <v>141000</v>
      </c>
      <c r="G310" s="80">
        <f ca="1">SUMIF(运营活动!$O$3:$O$27,"&lt;="&amp;C310,运营活动!$P$3:$P$27)</f>
        <v>30000</v>
      </c>
      <c r="H310" s="80">
        <f ca="1">OFFSET(产销汇总!$AM$12,B310,$C$26)*24</f>
        <v>2071200</v>
      </c>
      <c r="I310" s="172">
        <f ca="1">SUMIF(金币本!$F$2:$F$52,"&lt;="&amp;C310,金币本!$D$2:$D$52)</f>
        <v>1425000</v>
      </c>
      <c r="J310" s="80" t="e">
        <f ca="1">OFFSET(产销汇总!$C$1,MATCH(J$27,产销汇总!$C$2:$C$8,0),$C$26)*(_xlfn.XLOOKUP(C310,主线推图!$B$313:$B$612,主线推图!$C$313:$C$612)+_xlfn.XLOOKUP(C310,主线推图!$B$313:$B$612,主线推图!$D$313:$D$612))</f>
        <v>#N/A</v>
      </c>
      <c r="K310" s="80" t="e">
        <f ca="1">OFFSET(产销汇总!$C$1,MATCH(K$27,产销汇总!$C$2:$C$8,0),$C$26)*_xlfn.XLOOKUP(C310,巡逻产出!$B$311:$B$610,巡逻产出!$C$311:$C$610)*1.3</f>
        <v>#N/A</v>
      </c>
      <c r="L310" s="80" t="e">
        <f ca="1">OFFSET(产销汇总!$C$1,MATCH(L$27,产销汇总!$C$2:$C$8,0),$C$26)*(_xlfn.XLOOKUP(MAX(1,INT(C310/10-6/10)),组队产出!$B$24:$B$39,组队产出!$D$24:$D$39))+OFFSET(产销汇总!$C$1,MATCH(L$27,产销汇总!$C$2:$C$8,0),$C$26)*(_xlfn.XLOOKUP(MAX(1,INT(C310/10-6/10)),组队产出!$B$24:$B$39,组队产出!$C$24:$C$39))</f>
        <v>#N/A</v>
      </c>
      <c r="M310" s="80" t="e">
        <f ca="1">(OFFSET(产销汇总!$C$1,MATCH(M$27,产销汇总!$C$2:$C$8,0),$C$26)*_xlfn.XLOOKUP(C310,巡逻产出!$B$311:$B$610,巡逻产出!$D$311:$D$610))*$M$24</f>
        <v>#N/A</v>
      </c>
      <c r="N310" s="80" t="e">
        <f ca="1">OFFSET(产销汇总!$C$1,MATCH(L$27,产销汇总!$C$2:$C$8,0),$C$26)*(_xlfn.XLOOKUP(MAX(1,INT(C310/10-6/10)),组队产出!$B$24:$B$39,组队产出!$S$24:$S$39))</f>
        <v>#N/A</v>
      </c>
      <c r="O310" s="172">
        <f>任务!$D$36</f>
        <v>2457.14285714286</v>
      </c>
      <c r="P310" s="98">
        <f t="shared" si="46"/>
        <v>428</v>
      </c>
      <c r="Q310" s="80">
        <f t="shared" si="52"/>
        <v>1000</v>
      </c>
      <c r="R310" s="172">
        <f t="shared" si="53"/>
        <v>2000</v>
      </c>
      <c r="S310" s="210">
        <f ca="1">IFERROR(OFFSET(金币本!$E$2,MATCH(C310,金币本!$F$3:$F$302,1),0)*IF($C$26=1,2,3),0)</f>
        <v>39750</v>
      </c>
      <c r="T310" s="172" t="e">
        <f ca="1">SUM($J$28:S310)+SUM(D310:I310)</f>
        <v>#N/A</v>
      </c>
      <c r="U310" s="172" t="e">
        <f ca="1" t="shared" si="47"/>
        <v>#N/A</v>
      </c>
      <c r="V310" s="98" t="e">
        <f ca="1" t="shared" si="48"/>
        <v>#N/A</v>
      </c>
      <c r="W310" s="98" t="e">
        <f ca="1">OFFSET(装备强化!$U$6,MATCH(图纸产出设计!V311/6*W$26,装备强化!$T$7:$T$306,1),0)*6</f>
        <v>#N/A</v>
      </c>
      <c r="X310" s="98">
        <v>1260640</v>
      </c>
      <c r="Y310" s="98">
        <f t="shared" si="54"/>
        <v>8944000</v>
      </c>
      <c r="Z310" s="98">
        <f t="shared" si="56"/>
        <v>2</v>
      </c>
      <c r="AA310" s="147" t="e">
        <f ca="1" t="shared" si="49"/>
        <v>#N/A</v>
      </c>
      <c r="AB310" s="209" t="e">
        <f ca="1" t="shared" si="50"/>
        <v>#N/A</v>
      </c>
      <c r="AC310" s="209">
        <f ca="1">SUMIFS(装备强化!$Q$7:$Q$306,装备强化!$M$7:$M$306,"&lt;="&amp;MATCH(U310/6,装备强化!$U$7:$U$306,1),装备强化!$M$7:$M$306,"&gt;="&amp;MATCH(V310/6,装备强化!$U$7:$U$306,1))*6</f>
        <v>0</v>
      </c>
      <c r="AD310">
        <f ca="1" t="shared" si="55"/>
        <v>0</v>
      </c>
    </row>
    <row r="311" spans="1:30">
      <c r="A311" s="171"/>
      <c r="B311" s="80">
        <v>284</v>
      </c>
      <c r="C311" s="80">
        <f ca="1">OFFSET(产销汇总!$C$12,$B311,$C$26)</f>
        <v>265</v>
      </c>
      <c r="D311" s="80">
        <f t="shared" si="51"/>
        <v>14100</v>
      </c>
      <c r="E311" s="80">
        <f ca="1">(SUMIF(主线推图!$B$4:$B$303,"&lt;"&amp;C311,主线推图!$M$4:$M$303)+SUMIF(主线宝箱!$B$320:$B$620,"&lt;"&amp;C311,主线宝箱!$L$320:$L$620)+SUMIF(主线宝箱!$B$320:$B$620,"&lt;"&amp;C311,主线宝箱!$X$320:$X$620)+SUMIF(主线宝箱!$B$320:$B$620,"&lt;"&amp;C311,主线宝箱!$AL$320:$AL$620))</f>
        <v>472200</v>
      </c>
      <c r="F311" s="98">
        <f ca="1">SUMIF(组队产出!$B$24:$B$39,"&lt;="&amp;MAX(1,INT(C311/10-0.6)),组队产出!$R$24:$R$39)</f>
        <v>141000</v>
      </c>
      <c r="G311" s="80">
        <f ca="1">SUMIF(运营活动!$O$3:$O$27,"&lt;="&amp;C311,运营活动!$P$3:$P$27)</f>
        <v>30000</v>
      </c>
      <c r="H311" s="80">
        <f ca="1">OFFSET(产销汇总!$AM$12,B311,$C$26)*24</f>
        <v>2078448</v>
      </c>
      <c r="I311" s="172">
        <f ca="1">SUMIF(金币本!$F$2:$F$52,"&lt;="&amp;C311,金币本!$D$2:$D$52)</f>
        <v>1425000</v>
      </c>
      <c r="J311" s="80">
        <f ca="1">OFFSET(产销汇总!$C$1,MATCH(J$27,产销汇总!$C$2:$C$8,0),$C$26)*(_xlfn.XLOOKUP(C311,主线推图!$B$313:$B$612,主线推图!$C$313:$C$612)+_xlfn.XLOOKUP(C311,主线推图!$B$313:$B$612,主线推图!$D$313:$D$612))</f>
        <v>17776</v>
      </c>
      <c r="K311" s="80">
        <f ca="1">OFFSET(产销汇总!$C$1,MATCH(K$27,产销汇总!$C$2:$C$8,0),$C$26)*_xlfn.XLOOKUP(C311,巡逻产出!$B$311:$B$610,巡逻产出!$C$311:$C$610)*1.3</f>
        <v>0</v>
      </c>
      <c r="L311" s="80" t="e">
        <f ca="1">OFFSET(产销汇总!$C$1,MATCH(L$27,产销汇总!$C$2:$C$8,0),$C$26)*(_xlfn.XLOOKUP(MAX(1,INT(C311/10-6/10)),组队产出!$B$24:$B$39,组队产出!$D$24:$D$39))+OFFSET(产销汇总!$C$1,MATCH(L$27,产销汇总!$C$2:$C$8,0),$C$26)*(_xlfn.XLOOKUP(MAX(1,INT(C311/10-6/10)),组队产出!$B$24:$B$39,组队产出!$C$24:$C$39))</f>
        <v>#N/A</v>
      </c>
      <c r="M311" s="80">
        <f ca="1">(OFFSET(产销汇总!$C$1,MATCH(M$27,产销汇总!$C$2:$C$8,0),$C$26)*_xlfn.XLOOKUP(C311,巡逻产出!$B$311:$B$610,巡逻产出!$D$311:$D$610))*$M$24</f>
        <v>12604.8</v>
      </c>
      <c r="N311" s="80" t="e">
        <f ca="1">OFFSET(产销汇总!$C$1,MATCH(L$27,产销汇总!$C$2:$C$8,0),$C$26)*(_xlfn.XLOOKUP(MAX(1,INT(C311/10-6/10)),组队产出!$B$24:$B$39,组队产出!$S$24:$S$39))</f>
        <v>#N/A</v>
      </c>
      <c r="O311" s="172">
        <f>任务!$D$36</f>
        <v>2457.14285714286</v>
      </c>
      <c r="P311" s="98">
        <f t="shared" si="46"/>
        <v>428</v>
      </c>
      <c r="Q311" s="80">
        <f t="shared" si="52"/>
        <v>1000</v>
      </c>
      <c r="R311" s="172">
        <f t="shared" si="53"/>
        <v>2000</v>
      </c>
      <c r="S311" s="210">
        <f ca="1">IFERROR(OFFSET(金币本!$E$2,MATCH(C311,金币本!$F$3:$F$302,1),0)*IF($C$26=1,2,3),0)</f>
        <v>39750</v>
      </c>
      <c r="T311" s="172" t="e">
        <f ca="1">SUM($J$28:S311)+SUM(D311:I311)</f>
        <v>#N/A</v>
      </c>
      <c r="U311" s="172" t="e">
        <f ca="1" t="shared" si="47"/>
        <v>#N/A</v>
      </c>
      <c r="V311" s="98" t="e">
        <f ca="1" t="shared" si="48"/>
        <v>#N/A</v>
      </c>
      <c r="W311" s="98" t="e">
        <f ca="1">OFFSET(装备强化!$U$6,MATCH(图纸产出设计!V312/6*W$26,装备强化!$T$7:$T$306,1),0)*6</f>
        <v>#N/A</v>
      </c>
      <c r="X311" s="98">
        <v>1260640</v>
      </c>
      <c r="Y311" s="98">
        <f t="shared" si="54"/>
        <v>8976000</v>
      </c>
      <c r="Z311" s="98">
        <f t="shared" si="56"/>
        <v>2</v>
      </c>
      <c r="AA311" s="147" t="e">
        <f ca="1" t="shared" si="49"/>
        <v>#N/A</v>
      </c>
      <c r="AB311" s="209" t="e">
        <f ca="1" t="shared" si="50"/>
        <v>#N/A</v>
      </c>
      <c r="AC311" s="209">
        <f ca="1">SUMIFS(装备强化!$Q$7:$Q$306,装备强化!$M$7:$M$306,"&lt;="&amp;MATCH(U311/6,装备强化!$U$7:$U$306,1),装备强化!$M$7:$M$306,"&gt;="&amp;MATCH(V311/6,装备强化!$U$7:$U$306,1))*6</f>
        <v>0</v>
      </c>
      <c r="AD311">
        <f ca="1" t="shared" si="55"/>
        <v>0</v>
      </c>
    </row>
    <row r="312" spans="1:30">
      <c r="A312" s="171"/>
      <c r="B312" s="80">
        <v>285</v>
      </c>
      <c r="C312" s="80">
        <f ca="1">OFFSET(产销汇总!$C$12,$B312,$C$26)</f>
        <v>265.5</v>
      </c>
      <c r="D312" s="80">
        <f t="shared" si="51"/>
        <v>14100</v>
      </c>
      <c r="E312" s="80">
        <f ca="1">(SUMIF(主线推图!$B$4:$B$303,"&lt;"&amp;C312,主线推图!$M$4:$M$303)+SUMIF(主线宝箱!$B$320:$B$620,"&lt;"&amp;C312,主线宝箱!$L$320:$L$620)+SUMIF(主线宝箱!$B$320:$B$620,"&lt;"&amp;C312,主线宝箱!$X$320:$X$620)+SUMIF(主线宝箱!$B$320:$B$620,"&lt;"&amp;C312,主线宝箱!$AL$320:$AL$620))</f>
        <v>474000</v>
      </c>
      <c r="F312" s="98">
        <f ca="1">SUMIF(组队产出!$B$24:$B$39,"&lt;="&amp;MAX(1,INT(C312/10-0.6)),组队产出!$R$24:$R$39)</f>
        <v>141000</v>
      </c>
      <c r="G312" s="80">
        <f ca="1">SUMIF(运营活动!$O$3:$O$27,"&lt;="&amp;C312,运营活动!$P$3:$P$27)</f>
        <v>30000</v>
      </c>
      <c r="H312" s="80">
        <f ca="1">OFFSET(产销汇总!$AM$12,B312,$C$26)*24</f>
        <v>2085696</v>
      </c>
      <c r="I312" s="172">
        <f ca="1">SUMIF(金币本!$F$2:$F$52,"&lt;="&amp;C312,金币本!$D$2:$D$52)</f>
        <v>1425000</v>
      </c>
      <c r="J312" s="80" t="e">
        <f ca="1">OFFSET(产销汇总!$C$1,MATCH(J$27,产销汇总!$C$2:$C$8,0),$C$26)*(_xlfn.XLOOKUP(C312,主线推图!$B$313:$B$612,主线推图!$C$313:$C$612)+_xlfn.XLOOKUP(C312,主线推图!$B$313:$B$612,主线推图!$D$313:$D$612))</f>
        <v>#N/A</v>
      </c>
      <c r="K312" s="80" t="e">
        <f ca="1">OFFSET(产销汇总!$C$1,MATCH(K$27,产销汇总!$C$2:$C$8,0),$C$26)*_xlfn.XLOOKUP(C312,巡逻产出!$B$311:$B$610,巡逻产出!$C$311:$C$610)*1.3</f>
        <v>#N/A</v>
      </c>
      <c r="L312" s="80" t="e">
        <f ca="1">OFFSET(产销汇总!$C$1,MATCH(L$27,产销汇总!$C$2:$C$8,0),$C$26)*(_xlfn.XLOOKUP(MAX(1,INT(C312/10-6/10)),组队产出!$B$24:$B$39,组队产出!$D$24:$D$39))+OFFSET(产销汇总!$C$1,MATCH(L$27,产销汇总!$C$2:$C$8,0),$C$26)*(_xlfn.XLOOKUP(MAX(1,INT(C312/10-6/10)),组队产出!$B$24:$B$39,组队产出!$C$24:$C$39))</f>
        <v>#N/A</v>
      </c>
      <c r="M312" s="80" t="e">
        <f ca="1">(OFFSET(产销汇总!$C$1,MATCH(M$27,产销汇总!$C$2:$C$8,0),$C$26)*_xlfn.XLOOKUP(C312,巡逻产出!$B$311:$B$610,巡逻产出!$D$311:$D$610))*$M$24</f>
        <v>#N/A</v>
      </c>
      <c r="N312" s="80" t="e">
        <f ca="1">OFFSET(产销汇总!$C$1,MATCH(L$27,产销汇总!$C$2:$C$8,0),$C$26)*(_xlfn.XLOOKUP(MAX(1,INT(C312/10-6/10)),组队产出!$B$24:$B$39,组队产出!$S$24:$S$39))</f>
        <v>#N/A</v>
      </c>
      <c r="O312" s="172">
        <f>任务!$D$36</f>
        <v>2457.14285714286</v>
      </c>
      <c r="P312" s="98">
        <f t="shared" si="46"/>
        <v>428</v>
      </c>
      <c r="Q312" s="80">
        <f t="shared" si="52"/>
        <v>1000</v>
      </c>
      <c r="R312" s="172">
        <f t="shared" si="53"/>
        <v>2000</v>
      </c>
      <c r="S312" s="210">
        <f ca="1">IFERROR(OFFSET(金币本!$E$2,MATCH(C312,金币本!$F$3:$F$302,1),0)*IF($C$26=1,2,3),0)</f>
        <v>39750</v>
      </c>
      <c r="T312" s="172" t="e">
        <f ca="1">SUM($J$28:S312)+SUM(D312:I312)</f>
        <v>#N/A</v>
      </c>
      <c r="U312" s="172" t="e">
        <f ca="1" t="shared" si="47"/>
        <v>#N/A</v>
      </c>
      <c r="V312" s="98" t="e">
        <f ca="1" t="shared" si="48"/>
        <v>#N/A</v>
      </c>
      <c r="W312" s="98" t="e">
        <f ca="1">OFFSET(装备强化!$U$6,MATCH(图纸产出设计!V313/6*W$26,装备强化!$T$7:$T$306,1),0)*6</f>
        <v>#N/A</v>
      </c>
      <c r="X312" s="98">
        <v>1260640</v>
      </c>
      <c r="Y312" s="98">
        <f t="shared" si="54"/>
        <v>9008000</v>
      </c>
      <c r="Z312" s="98">
        <f t="shared" si="56"/>
        <v>2</v>
      </c>
      <c r="AA312" s="147" t="e">
        <f ca="1" t="shared" si="49"/>
        <v>#N/A</v>
      </c>
      <c r="AB312" s="209" t="e">
        <f ca="1" t="shared" si="50"/>
        <v>#N/A</v>
      </c>
      <c r="AC312" s="209">
        <f ca="1">SUMIFS(装备强化!$Q$7:$Q$306,装备强化!$M$7:$M$306,"&lt;="&amp;MATCH(U312/6,装备强化!$U$7:$U$306,1),装备强化!$M$7:$M$306,"&gt;="&amp;MATCH(V312/6,装备强化!$U$7:$U$306,1))*6</f>
        <v>0</v>
      </c>
      <c r="AD312">
        <f ca="1" t="shared" si="55"/>
        <v>0</v>
      </c>
    </row>
    <row r="313" spans="1:30">
      <c r="A313" s="171"/>
      <c r="B313" s="80">
        <v>286</v>
      </c>
      <c r="C313" s="80">
        <f ca="1">OFFSET(产销汇总!$C$12,$B313,$C$26)</f>
        <v>266</v>
      </c>
      <c r="D313" s="80">
        <f t="shared" si="51"/>
        <v>14100</v>
      </c>
      <c r="E313" s="80">
        <f ca="1">(SUMIF(主线推图!$B$4:$B$303,"&lt;"&amp;C313,主线推图!$M$4:$M$303)+SUMIF(主线宝箱!$B$320:$B$620,"&lt;"&amp;C313,主线宝箱!$L$320:$L$620)+SUMIF(主线宝箱!$B$320:$B$620,"&lt;"&amp;C313,主线宝箱!$X$320:$X$620)+SUMIF(主线宝箱!$B$320:$B$620,"&lt;"&amp;C313,主线宝箱!$AL$320:$AL$620))</f>
        <v>474000</v>
      </c>
      <c r="F313" s="98">
        <f ca="1">SUMIF(组队产出!$B$24:$B$39,"&lt;="&amp;MAX(1,INT(C313/10-0.6)),组队产出!$R$24:$R$39)</f>
        <v>141000</v>
      </c>
      <c r="G313" s="80">
        <f ca="1">SUMIF(运营活动!$O$3:$O$27,"&lt;="&amp;C313,运营活动!$P$3:$P$27)</f>
        <v>30000</v>
      </c>
      <c r="H313" s="80">
        <f ca="1">OFFSET(产销汇总!$AM$12,B313,$C$26)*24</f>
        <v>2092944</v>
      </c>
      <c r="I313" s="172">
        <f ca="1">SUMIF(金币本!$F$2:$F$52,"&lt;="&amp;C313,金币本!$D$2:$D$52)</f>
        <v>1425000</v>
      </c>
      <c r="J313" s="80">
        <f ca="1">OFFSET(产销汇总!$C$1,MATCH(J$27,产销汇总!$C$2:$C$8,0),$C$26)*(_xlfn.XLOOKUP(C313,主线推图!$B$313:$B$612,主线推图!$C$313:$C$612)+_xlfn.XLOOKUP(C313,主线推图!$B$313:$B$612,主线推图!$D$313:$D$612))</f>
        <v>17820</v>
      </c>
      <c r="K313" s="80">
        <f ca="1">OFFSET(产销汇总!$C$1,MATCH(K$27,产销汇总!$C$2:$C$8,0),$C$26)*_xlfn.XLOOKUP(C313,巡逻产出!$B$311:$B$610,巡逻产出!$C$311:$C$610)*1.3</f>
        <v>0</v>
      </c>
      <c r="L313" s="80" t="e">
        <f ca="1">OFFSET(产销汇总!$C$1,MATCH(L$27,产销汇总!$C$2:$C$8,0),$C$26)*(_xlfn.XLOOKUP(MAX(1,INT(C313/10-6/10)),组队产出!$B$24:$B$39,组队产出!$D$24:$D$39))+OFFSET(产销汇总!$C$1,MATCH(L$27,产销汇总!$C$2:$C$8,0),$C$26)*(_xlfn.XLOOKUP(MAX(1,INT(C313/10-6/10)),组队产出!$B$24:$B$39,组队产出!$C$24:$C$39))</f>
        <v>#N/A</v>
      </c>
      <c r="M313" s="80">
        <f ca="1">(OFFSET(产销汇总!$C$1,MATCH(M$27,产销汇总!$C$2:$C$8,0),$C$26)*_xlfn.XLOOKUP(C313,巡逻产出!$B$311:$B$610,巡逻产出!$D$311:$D$610))*$M$24</f>
        <v>12636</v>
      </c>
      <c r="N313" s="80" t="e">
        <f ca="1">OFFSET(产销汇总!$C$1,MATCH(L$27,产销汇总!$C$2:$C$8,0),$C$26)*(_xlfn.XLOOKUP(MAX(1,INT(C313/10-6/10)),组队产出!$B$24:$B$39,组队产出!$S$24:$S$39))</f>
        <v>#N/A</v>
      </c>
      <c r="O313" s="172">
        <f>任务!$D$36</f>
        <v>2457.14285714286</v>
      </c>
      <c r="P313" s="98">
        <f t="shared" si="46"/>
        <v>428</v>
      </c>
      <c r="Q313" s="80">
        <f t="shared" si="52"/>
        <v>1000</v>
      </c>
      <c r="R313" s="172">
        <f t="shared" si="53"/>
        <v>2000</v>
      </c>
      <c r="S313" s="210">
        <f ca="1">IFERROR(OFFSET(金币本!$E$2,MATCH(C313,金币本!$F$3:$F$302,1),0)*IF($C$26=1,2,3),0)</f>
        <v>39750</v>
      </c>
      <c r="T313" s="172" t="e">
        <f ca="1">SUM($J$28:S313)+SUM(D313:I313)</f>
        <v>#N/A</v>
      </c>
      <c r="U313" s="172" t="e">
        <f ca="1" t="shared" si="47"/>
        <v>#N/A</v>
      </c>
      <c r="V313" s="98" t="e">
        <f ca="1" t="shared" si="48"/>
        <v>#N/A</v>
      </c>
      <c r="W313" s="98" t="e">
        <f ca="1">OFFSET(装备强化!$U$6,MATCH(图纸产出设计!V314/6*W$26,装备强化!$T$7:$T$306,1),0)*6</f>
        <v>#N/A</v>
      </c>
      <c r="X313" s="98">
        <v>1273960</v>
      </c>
      <c r="Y313" s="98">
        <f t="shared" si="54"/>
        <v>9040000</v>
      </c>
      <c r="Z313" s="98">
        <f t="shared" si="56"/>
        <v>2</v>
      </c>
      <c r="AA313" s="147" t="e">
        <f ca="1" t="shared" si="49"/>
        <v>#N/A</v>
      </c>
      <c r="AB313" s="209" t="e">
        <f ca="1" t="shared" si="50"/>
        <v>#N/A</v>
      </c>
      <c r="AC313" s="209">
        <f ca="1">SUMIFS(装备强化!$Q$7:$Q$306,装备强化!$M$7:$M$306,"&lt;="&amp;MATCH(U313/6,装备强化!$U$7:$U$306,1),装备强化!$M$7:$M$306,"&gt;="&amp;MATCH(V313/6,装备强化!$U$7:$U$306,1))*6</f>
        <v>0</v>
      </c>
      <c r="AD313">
        <f ca="1" t="shared" si="55"/>
        <v>0</v>
      </c>
    </row>
    <row r="314" spans="1:30">
      <c r="A314" s="171"/>
      <c r="B314" s="80">
        <v>287</v>
      </c>
      <c r="C314" s="80">
        <f ca="1">OFFSET(产销汇总!$C$12,$B314,$C$26)</f>
        <v>266.5</v>
      </c>
      <c r="D314" s="80">
        <f t="shared" si="51"/>
        <v>14100</v>
      </c>
      <c r="E314" s="80">
        <f ca="1">(SUMIF(主线推图!$B$4:$B$303,"&lt;"&amp;C314,主线推图!$M$4:$M$303)+SUMIF(主线宝箱!$B$320:$B$620,"&lt;"&amp;C314,主线宝箱!$L$320:$L$620)+SUMIF(主线宝箱!$B$320:$B$620,"&lt;"&amp;C314,主线宝箱!$X$320:$X$620)+SUMIF(主线宝箱!$B$320:$B$620,"&lt;"&amp;C314,主线宝箱!$AL$320:$AL$620))</f>
        <v>475800</v>
      </c>
      <c r="F314" s="98">
        <f ca="1">SUMIF(组队产出!$B$24:$B$39,"&lt;="&amp;MAX(1,INT(C314/10-0.6)),组队产出!$R$24:$R$39)</f>
        <v>141000</v>
      </c>
      <c r="G314" s="80">
        <f ca="1">SUMIF(运营活动!$O$3:$O$27,"&lt;="&amp;C314,运营活动!$P$3:$P$27)</f>
        <v>30000</v>
      </c>
      <c r="H314" s="80">
        <f ca="1">OFFSET(产销汇总!$AM$12,B314,$C$26)*24</f>
        <v>2100192</v>
      </c>
      <c r="I314" s="172">
        <f ca="1">SUMIF(金币本!$F$2:$F$52,"&lt;="&amp;C314,金币本!$D$2:$D$52)</f>
        <v>1425000</v>
      </c>
      <c r="J314" s="80" t="e">
        <f ca="1">OFFSET(产销汇总!$C$1,MATCH(J$27,产销汇总!$C$2:$C$8,0),$C$26)*(_xlfn.XLOOKUP(C314,主线推图!$B$313:$B$612,主线推图!$C$313:$C$612)+_xlfn.XLOOKUP(C314,主线推图!$B$313:$B$612,主线推图!$D$313:$D$612))</f>
        <v>#N/A</v>
      </c>
      <c r="K314" s="80" t="e">
        <f ca="1">OFFSET(产销汇总!$C$1,MATCH(K$27,产销汇总!$C$2:$C$8,0),$C$26)*_xlfn.XLOOKUP(C314,巡逻产出!$B$311:$B$610,巡逻产出!$C$311:$C$610)*1.3</f>
        <v>#N/A</v>
      </c>
      <c r="L314" s="80" t="e">
        <f ca="1">OFFSET(产销汇总!$C$1,MATCH(L$27,产销汇总!$C$2:$C$8,0),$C$26)*(_xlfn.XLOOKUP(MAX(1,INT(C314/10-6/10)),组队产出!$B$24:$B$39,组队产出!$D$24:$D$39))+OFFSET(产销汇总!$C$1,MATCH(L$27,产销汇总!$C$2:$C$8,0),$C$26)*(_xlfn.XLOOKUP(MAX(1,INT(C314/10-6/10)),组队产出!$B$24:$B$39,组队产出!$C$24:$C$39))</f>
        <v>#N/A</v>
      </c>
      <c r="M314" s="80" t="e">
        <f ca="1">(OFFSET(产销汇总!$C$1,MATCH(M$27,产销汇总!$C$2:$C$8,0),$C$26)*_xlfn.XLOOKUP(C314,巡逻产出!$B$311:$B$610,巡逻产出!$D$311:$D$610))*$M$24</f>
        <v>#N/A</v>
      </c>
      <c r="N314" s="80" t="e">
        <f ca="1">OFFSET(产销汇总!$C$1,MATCH(L$27,产销汇总!$C$2:$C$8,0),$C$26)*(_xlfn.XLOOKUP(MAX(1,INT(C314/10-6/10)),组队产出!$B$24:$B$39,组队产出!$S$24:$S$39))</f>
        <v>#N/A</v>
      </c>
      <c r="O314" s="172">
        <f>任务!$D$36</f>
        <v>2457.14285714286</v>
      </c>
      <c r="P314" s="98">
        <f t="shared" si="46"/>
        <v>428</v>
      </c>
      <c r="Q314" s="80">
        <f t="shared" si="52"/>
        <v>1000</v>
      </c>
      <c r="R314" s="172">
        <f t="shared" si="53"/>
        <v>2000</v>
      </c>
      <c r="S314" s="210">
        <f ca="1">IFERROR(OFFSET(金币本!$E$2,MATCH(C314,金币本!$F$3:$F$302,1),0)*IF($C$26=1,2,3),0)</f>
        <v>39750</v>
      </c>
      <c r="T314" s="172" t="e">
        <f ca="1">SUM($J$28:S314)+SUM(D314:I314)</f>
        <v>#N/A</v>
      </c>
      <c r="U314" s="172" t="e">
        <f ca="1" t="shared" si="47"/>
        <v>#N/A</v>
      </c>
      <c r="V314" s="98" t="e">
        <f ca="1" t="shared" si="48"/>
        <v>#N/A</v>
      </c>
      <c r="W314" s="98" t="e">
        <f ca="1">OFFSET(装备强化!$U$6,MATCH(图纸产出设计!V315/6*W$26,装备强化!$T$7:$T$306,1),0)*6</f>
        <v>#N/A</v>
      </c>
      <c r="X314" s="98">
        <v>1273960</v>
      </c>
      <c r="Y314" s="98">
        <f t="shared" si="54"/>
        <v>9072000</v>
      </c>
      <c r="Z314" s="98">
        <f t="shared" si="56"/>
        <v>2</v>
      </c>
      <c r="AA314" s="147" t="e">
        <f ca="1" t="shared" si="49"/>
        <v>#N/A</v>
      </c>
      <c r="AB314" s="209" t="e">
        <f ca="1" t="shared" si="50"/>
        <v>#N/A</v>
      </c>
      <c r="AC314" s="209">
        <f ca="1">SUMIFS(装备强化!$Q$7:$Q$306,装备强化!$M$7:$M$306,"&lt;="&amp;MATCH(U314/6,装备强化!$U$7:$U$306,1),装备强化!$M$7:$M$306,"&gt;="&amp;MATCH(V314/6,装备强化!$U$7:$U$306,1))*6</f>
        <v>0</v>
      </c>
      <c r="AD314">
        <f ca="1" t="shared" si="55"/>
        <v>0</v>
      </c>
    </row>
    <row r="315" spans="1:30">
      <c r="A315" s="171"/>
      <c r="B315" s="80">
        <v>288</v>
      </c>
      <c r="C315" s="80">
        <f ca="1">OFFSET(产销汇总!$C$12,$B315,$C$26)</f>
        <v>267</v>
      </c>
      <c r="D315" s="80">
        <f t="shared" si="51"/>
        <v>14100</v>
      </c>
      <c r="E315" s="80">
        <f ca="1">(SUMIF(主线推图!$B$4:$B$303,"&lt;"&amp;C315,主线推图!$M$4:$M$303)+SUMIF(主线宝箱!$B$320:$B$620,"&lt;"&amp;C315,主线宝箱!$L$320:$L$620)+SUMIF(主线宝箱!$B$320:$B$620,"&lt;"&amp;C315,主线宝箱!$X$320:$X$620)+SUMIF(主线宝箱!$B$320:$B$620,"&lt;"&amp;C315,主线宝箱!$AL$320:$AL$620))</f>
        <v>475800</v>
      </c>
      <c r="F315" s="98">
        <f ca="1">SUMIF(组队产出!$B$24:$B$39,"&lt;="&amp;MAX(1,INT(C315/10-0.6)),组队产出!$R$24:$R$39)</f>
        <v>141000</v>
      </c>
      <c r="G315" s="80">
        <f ca="1">SUMIF(运营活动!$O$3:$O$27,"&lt;="&amp;C315,运营活动!$P$3:$P$27)</f>
        <v>30000</v>
      </c>
      <c r="H315" s="80">
        <f ca="1">OFFSET(产销汇总!$AM$12,B315,$C$26)*24</f>
        <v>2107440</v>
      </c>
      <c r="I315" s="172">
        <f ca="1">SUMIF(金币本!$F$2:$F$52,"&lt;="&amp;C315,金币本!$D$2:$D$52)</f>
        <v>1425000</v>
      </c>
      <c r="J315" s="80">
        <f ca="1">OFFSET(产销汇总!$C$1,MATCH(J$27,产销汇总!$C$2:$C$8,0),$C$26)*(_xlfn.XLOOKUP(C315,主线推图!$B$313:$B$612,主线推图!$C$313:$C$612)+_xlfn.XLOOKUP(C315,主线推图!$B$313:$B$612,主线推图!$D$313:$D$612))</f>
        <v>17864</v>
      </c>
      <c r="K315" s="80">
        <f ca="1">OFFSET(产销汇总!$C$1,MATCH(K$27,产销汇总!$C$2:$C$8,0),$C$26)*_xlfn.XLOOKUP(C315,巡逻产出!$B$311:$B$610,巡逻产出!$C$311:$C$610)*1.3</f>
        <v>0</v>
      </c>
      <c r="L315" s="80" t="e">
        <f ca="1">OFFSET(产销汇总!$C$1,MATCH(L$27,产销汇总!$C$2:$C$8,0),$C$26)*(_xlfn.XLOOKUP(MAX(1,INT(C315/10-6/10)),组队产出!$B$24:$B$39,组队产出!$D$24:$D$39))+OFFSET(产销汇总!$C$1,MATCH(L$27,产销汇总!$C$2:$C$8,0),$C$26)*(_xlfn.XLOOKUP(MAX(1,INT(C315/10-6/10)),组队产出!$B$24:$B$39,组队产出!$C$24:$C$39))</f>
        <v>#N/A</v>
      </c>
      <c r="M315" s="80">
        <f ca="1">(OFFSET(产销汇总!$C$1,MATCH(M$27,产销汇总!$C$2:$C$8,0),$C$26)*_xlfn.XLOOKUP(C315,巡逻产出!$B$311:$B$610,巡逻产出!$D$311:$D$610))*$M$24</f>
        <v>12667.2</v>
      </c>
      <c r="N315" s="80" t="e">
        <f ca="1">OFFSET(产销汇总!$C$1,MATCH(L$27,产销汇总!$C$2:$C$8,0),$C$26)*(_xlfn.XLOOKUP(MAX(1,INT(C315/10-6/10)),组队产出!$B$24:$B$39,组队产出!$S$24:$S$39))</f>
        <v>#N/A</v>
      </c>
      <c r="O315" s="172">
        <f>任务!$D$36</f>
        <v>2457.14285714286</v>
      </c>
      <c r="P315" s="98">
        <f t="shared" si="46"/>
        <v>428</v>
      </c>
      <c r="Q315" s="80">
        <f t="shared" si="52"/>
        <v>1500</v>
      </c>
      <c r="R315" s="172">
        <f t="shared" si="53"/>
        <v>2000</v>
      </c>
      <c r="S315" s="210">
        <f ca="1">IFERROR(OFFSET(金币本!$E$2,MATCH(C315,金币本!$F$3:$F$302,1),0)*IF($C$26=1,2,3),0)</f>
        <v>39750</v>
      </c>
      <c r="T315" s="172" t="e">
        <f ca="1">SUM($J$28:S315)+SUM(D315:I315)</f>
        <v>#N/A</v>
      </c>
      <c r="U315" s="172" t="e">
        <f ca="1" t="shared" si="47"/>
        <v>#N/A</v>
      </c>
      <c r="V315" s="98" t="e">
        <f ca="1" t="shared" si="48"/>
        <v>#N/A</v>
      </c>
      <c r="W315" s="98" t="e">
        <f ca="1">OFFSET(装备强化!$U$6,MATCH(图纸产出设计!V316/6*W$26,装备强化!$T$7:$T$306,1),0)*6</f>
        <v>#N/A</v>
      </c>
      <c r="X315" s="98">
        <v>1273960</v>
      </c>
      <c r="Y315" s="98">
        <f t="shared" si="54"/>
        <v>9104000</v>
      </c>
      <c r="Z315" s="98">
        <f t="shared" si="56"/>
        <v>2</v>
      </c>
      <c r="AA315" s="147" t="e">
        <f ca="1" t="shared" si="49"/>
        <v>#N/A</v>
      </c>
      <c r="AB315" s="209" t="e">
        <f ca="1" t="shared" si="50"/>
        <v>#N/A</v>
      </c>
      <c r="AC315" s="209">
        <f ca="1">SUMIFS(装备强化!$Q$7:$Q$306,装备强化!$M$7:$M$306,"&lt;="&amp;MATCH(U315/6,装备强化!$U$7:$U$306,1),装备强化!$M$7:$M$306,"&gt;="&amp;MATCH(V315/6,装备强化!$U$7:$U$306,1))*6</f>
        <v>0</v>
      </c>
      <c r="AD315">
        <f ca="1" t="shared" si="55"/>
        <v>0</v>
      </c>
    </row>
    <row r="316" spans="1:30">
      <c r="A316" s="171"/>
      <c r="B316" s="80">
        <v>289</v>
      </c>
      <c r="C316" s="80">
        <f ca="1">OFFSET(产销汇总!$C$12,$B316,$C$26)</f>
        <v>267.5</v>
      </c>
      <c r="D316" s="80">
        <f t="shared" si="51"/>
        <v>14100</v>
      </c>
      <c r="E316" s="80">
        <f ca="1">(SUMIF(主线推图!$B$4:$B$303,"&lt;"&amp;C316,主线推图!$M$4:$M$303)+SUMIF(主线宝箱!$B$320:$B$620,"&lt;"&amp;C316,主线宝箱!$L$320:$L$620)+SUMIF(主线宝箱!$B$320:$B$620,"&lt;"&amp;C316,主线宝箱!$X$320:$X$620)+SUMIF(主线宝箱!$B$320:$B$620,"&lt;"&amp;C316,主线宝箱!$AL$320:$AL$620))</f>
        <v>477600</v>
      </c>
      <c r="F316" s="98">
        <f ca="1">SUMIF(组队产出!$B$24:$B$39,"&lt;="&amp;MAX(1,INT(C316/10-0.6)),组队产出!$R$24:$R$39)</f>
        <v>141000</v>
      </c>
      <c r="G316" s="80">
        <f ca="1">SUMIF(运营活动!$O$3:$O$27,"&lt;="&amp;C316,运营活动!$P$3:$P$27)</f>
        <v>30000</v>
      </c>
      <c r="H316" s="80">
        <f ca="1">OFFSET(产销汇总!$AM$12,B316,$C$26)*24</f>
        <v>2114688</v>
      </c>
      <c r="I316" s="172">
        <f ca="1">SUMIF(金币本!$F$2:$F$52,"&lt;="&amp;C316,金币本!$D$2:$D$52)</f>
        <v>1425000</v>
      </c>
      <c r="J316" s="80" t="e">
        <f ca="1">OFFSET(产销汇总!$C$1,MATCH(J$27,产销汇总!$C$2:$C$8,0),$C$26)*(_xlfn.XLOOKUP(C316,主线推图!$B$313:$B$612,主线推图!$C$313:$C$612)+_xlfn.XLOOKUP(C316,主线推图!$B$313:$B$612,主线推图!$D$313:$D$612))</f>
        <v>#N/A</v>
      </c>
      <c r="K316" s="80" t="e">
        <f ca="1">OFFSET(产销汇总!$C$1,MATCH(K$27,产销汇总!$C$2:$C$8,0),$C$26)*_xlfn.XLOOKUP(C316,巡逻产出!$B$311:$B$610,巡逻产出!$C$311:$C$610)*1.3</f>
        <v>#N/A</v>
      </c>
      <c r="L316" s="80" t="e">
        <f ca="1">OFFSET(产销汇总!$C$1,MATCH(L$27,产销汇总!$C$2:$C$8,0),$C$26)*(_xlfn.XLOOKUP(MAX(1,INT(C316/10-6/10)),组队产出!$B$24:$B$39,组队产出!$D$24:$D$39))+OFFSET(产销汇总!$C$1,MATCH(L$27,产销汇总!$C$2:$C$8,0),$C$26)*(_xlfn.XLOOKUP(MAX(1,INT(C316/10-6/10)),组队产出!$B$24:$B$39,组队产出!$C$24:$C$39))</f>
        <v>#N/A</v>
      </c>
      <c r="M316" s="80" t="e">
        <f ca="1">(OFFSET(产销汇总!$C$1,MATCH(M$27,产销汇总!$C$2:$C$8,0),$C$26)*_xlfn.XLOOKUP(C316,巡逻产出!$B$311:$B$610,巡逻产出!$D$311:$D$610))*$M$24</f>
        <v>#N/A</v>
      </c>
      <c r="N316" s="80" t="e">
        <f ca="1">OFFSET(产销汇总!$C$1,MATCH(L$27,产销汇总!$C$2:$C$8,0),$C$26)*(_xlfn.XLOOKUP(MAX(1,INT(C316/10-6/10)),组队产出!$B$24:$B$39,组队产出!$S$24:$S$39))</f>
        <v>#N/A</v>
      </c>
      <c r="O316" s="172">
        <f>任务!$D$36</f>
        <v>2457.14285714286</v>
      </c>
      <c r="P316" s="98">
        <f t="shared" si="46"/>
        <v>428</v>
      </c>
      <c r="Q316" s="80">
        <f t="shared" si="52"/>
        <v>1000</v>
      </c>
      <c r="R316" s="172">
        <f t="shared" si="53"/>
        <v>2000</v>
      </c>
      <c r="S316" s="210">
        <f ca="1">IFERROR(OFFSET(金币本!$E$2,MATCH(C316,金币本!$F$3:$F$302,1),0)*IF($C$26=1,2,3),0)</f>
        <v>39750</v>
      </c>
      <c r="T316" s="172" t="e">
        <f ca="1">SUM($J$28:S316)+SUM(D316:I316)</f>
        <v>#N/A</v>
      </c>
      <c r="U316" s="172" t="e">
        <f ca="1" t="shared" si="47"/>
        <v>#N/A</v>
      </c>
      <c r="V316" s="98" t="e">
        <f ca="1" t="shared" si="48"/>
        <v>#N/A</v>
      </c>
      <c r="W316" s="98" t="e">
        <f ca="1">OFFSET(装备强化!$U$6,MATCH(图纸产出设计!V317/6*W$26,装备强化!$T$7:$T$306,1),0)*6</f>
        <v>#N/A</v>
      </c>
      <c r="X316" s="98">
        <v>1287350</v>
      </c>
      <c r="Y316" s="98">
        <f t="shared" si="54"/>
        <v>9136000</v>
      </c>
      <c r="Z316" s="98">
        <f t="shared" si="56"/>
        <v>2</v>
      </c>
      <c r="AA316" s="147" t="e">
        <f ca="1" t="shared" si="49"/>
        <v>#N/A</v>
      </c>
      <c r="AB316" s="209" t="e">
        <f ca="1" t="shared" si="50"/>
        <v>#N/A</v>
      </c>
      <c r="AC316" s="209">
        <f ca="1">SUMIFS(装备强化!$Q$7:$Q$306,装备强化!$M$7:$M$306,"&lt;="&amp;MATCH(U316/6,装备强化!$U$7:$U$306,1),装备强化!$M$7:$M$306,"&gt;="&amp;MATCH(V316/6,装备强化!$U$7:$U$306,1))*6</f>
        <v>0</v>
      </c>
      <c r="AD316">
        <f ca="1" t="shared" si="55"/>
        <v>0</v>
      </c>
    </row>
    <row r="317" spans="1:30">
      <c r="A317" s="171"/>
      <c r="B317" s="80">
        <v>290</v>
      </c>
      <c r="C317" s="80">
        <f ca="1">OFFSET(产销汇总!$C$12,$B317,$C$26)</f>
        <v>268</v>
      </c>
      <c r="D317" s="80">
        <f t="shared" si="51"/>
        <v>14100</v>
      </c>
      <c r="E317" s="80">
        <f ca="1">(SUMIF(主线推图!$B$4:$B$303,"&lt;"&amp;C317,主线推图!$M$4:$M$303)+SUMIF(主线宝箱!$B$320:$B$620,"&lt;"&amp;C317,主线宝箱!$L$320:$L$620)+SUMIF(主线宝箱!$B$320:$B$620,"&lt;"&amp;C317,主线宝箱!$X$320:$X$620)+SUMIF(主线宝箱!$B$320:$B$620,"&lt;"&amp;C317,主线宝箱!$AL$320:$AL$620))</f>
        <v>477600</v>
      </c>
      <c r="F317" s="98">
        <f ca="1">SUMIF(组队产出!$B$24:$B$39,"&lt;="&amp;MAX(1,INT(C317/10-0.6)),组队产出!$R$24:$R$39)</f>
        <v>141000</v>
      </c>
      <c r="G317" s="80">
        <f ca="1">SUMIF(运营活动!$O$3:$O$27,"&lt;="&amp;C317,运营活动!$P$3:$P$27)</f>
        <v>30000</v>
      </c>
      <c r="H317" s="80">
        <f ca="1">OFFSET(产销汇总!$AM$12,B317,$C$26)*24</f>
        <v>2121936</v>
      </c>
      <c r="I317" s="172">
        <f ca="1">SUMIF(金币本!$F$2:$F$52,"&lt;="&amp;C317,金币本!$D$2:$D$52)</f>
        <v>1425000</v>
      </c>
      <c r="J317" s="80">
        <f ca="1">OFFSET(产销汇总!$C$1,MATCH(J$27,产销汇总!$C$2:$C$8,0),$C$26)*(_xlfn.XLOOKUP(C317,主线推图!$B$313:$B$612,主线推图!$C$313:$C$612)+_xlfn.XLOOKUP(C317,主线推图!$B$313:$B$612,主线推图!$D$313:$D$612))</f>
        <v>17908</v>
      </c>
      <c r="K317" s="80">
        <f ca="1">OFFSET(产销汇总!$C$1,MATCH(K$27,产销汇总!$C$2:$C$8,0),$C$26)*_xlfn.XLOOKUP(C317,巡逻产出!$B$311:$B$610,巡逻产出!$C$311:$C$610)*1.3</f>
        <v>0</v>
      </c>
      <c r="L317" s="80" t="e">
        <f ca="1">OFFSET(产销汇总!$C$1,MATCH(L$27,产销汇总!$C$2:$C$8,0),$C$26)*(_xlfn.XLOOKUP(MAX(1,INT(C317/10-6/10)),组队产出!$B$24:$B$39,组队产出!$D$24:$D$39))+OFFSET(产销汇总!$C$1,MATCH(L$27,产销汇总!$C$2:$C$8,0),$C$26)*(_xlfn.XLOOKUP(MAX(1,INT(C317/10-6/10)),组队产出!$B$24:$B$39,组队产出!$C$24:$C$39))</f>
        <v>#N/A</v>
      </c>
      <c r="M317" s="80">
        <f ca="1">(OFFSET(产销汇总!$C$1,MATCH(M$27,产销汇总!$C$2:$C$8,0),$C$26)*_xlfn.XLOOKUP(C317,巡逻产出!$B$311:$B$610,巡逻产出!$D$311:$D$610))*$M$24</f>
        <v>12698.4</v>
      </c>
      <c r="N317" s="80" t="e">
        <f ca="1">OFFSET(产销汇总!$C$1,MATCH(L$27,产销汇总!$C$2:$C$8,0),$C$26)*(_xlfn.XLOOKUP(MAX(1,INT(C317/10-6/10)),组队产出!$B$24:$B$39,组队产出!$S$24:$S$39))</f>
        <v>#N/A</v>
      </c>
      <c r="O317" s="172">
        <f>任务!$D$36</f>
        <v>2457.14285714286</v>
      </c>
      <c r="P317" s="98">
        <f t="shared" si="46"/>
        <v>428</v>
      </c>
      <c r="Q317" s="80">
        <f t="shared" si="52"/>
        <v>1000</v>
      </c>
      <c r="R317" s="172">
        <f t="shared" si="53"/>
        <v>2000</v>
      </c>
      <c r="S317" s="210">
        <f ca="1">IFERROR(OFFSET(金币本!$E$2,MATCH(C317,金币本!$F$3:$F$302,1),0)*IF($C$26=1,2,3),0)</f>
        <v>39750</v>
      </c>
      <c r="T317" s="172" t="e">
        <f ca="1">SUM($J$28:S317)+SUM(D317:I317)</f>
        <v>#N/A</v>
      </c>
      <c r="U317" s="172" t="e">
        <f ca="1" t="shared" si="47"/>
        <v>#N/A</v>
      </c>
      <c r="V317" s="98" t="e">
        <f ca="1" t="shared" si="48"/>
        <v>#N/A</v>
      </c>
      <c r="W317" s="98" t="e">
        <f ca="1">OFFSET(装备强化!$U$6,MATCH(图纸产出设计!V318/6*W$26,装备强化!$T$7:$T$306,1),0)*6</f>
        <v>#N/A</v>
      </c>
      <c r="X317" s="98">
        <v>1287350</v>
      </c>
      <c r="Y317" s="98">
        <f t="shared" si="54"/>
        <v>9168000</v>
      </c>
      <c r="Z317" s="98">
        <f t="shared" si="56"/>
        <v>2</v>
      </c>
      <c r="AA317" s="147" t="e">
        <f ca="1" t="shared" si="49"/>
        <v>#N/A</v>
      </c>
      <c r="AB317" s="209" t="e">
        <f ca="1" t="shared" si="50"/>
        <v>#N/A</v>
      </c>
      <c r="AC317" s="209">
        <f ca="1">SUMIFS(装备强化!$Q$7:$Q$306,装备强化!$M$7:$M$306,"&lt;="&amp;MATCH(U317/6,装备强化!$U$7:$U$306,1),装备强化!$M$7:$M$306,"&gt;="&amp;MATCH(V317/6,装备强化!$U$7:$U$306,1))*6</f>
        <v>0</v>
      </c>
      <c r="AD317">
        <f ca="1" t="shared" si="55"/>
        <v>0</v>
      </c>
    </row>
    <row r="318" spans="1:30">
      <c r="A318" s="171"/>
      <c r="B318" s="80">
        <v>291</v>
      </c>
      <c r="C318" s="80">
        <f ca="1">OFFSET(产销汇总!$C$12,$B318,$C$26)</f>
        <v>268.5</v>
      </c>
      <c r="D318" s="80">
        <f t="shared" si="51"/>
        <v>14100</v>
      </c>
      <c r="E318" s="80">
        <f ca="1">(SUMIF(主线推图!$B$4:$B$303,"&lt;"&amp;C318,主线推图!$M$4:$M$303)+SUMIF(主线宝箱!$B$320:$B$620,"&lt;"&amp;C318,主线宝箱!$L$320:$L$620)+SUMIF(主线宝箱!$B$320:$B$620,"&lt;"&amp;C318,主线宝箱!$X$320:$X$620)+SUMIF(主线宝箱!$B$320:$B$620,"&lt;"&amp;C318,主线宝箱!$AL$320:$AL$620))</f>
        <v>479400</v>
      </c>
      <c r="F318" s="98">
        <f ca="1">SUMIF(组队产出!$B$24:$B$39,"&lt;="&amp;MAX(1,INT(C318/10-0.6)),组队产出!$R$24:$R$39)</f>
        <v>141000</v>
      </c>
      <c r="G318" s="80">
        <f ca="1">SUMIF(运营活动!$O$3:$O$27,"&lt;="&amp;C318,运营活动!$P$3:$P$27)</f>
        <v>30000</v>
      </c>
      <c r="H318" s="80">
        <f ca="1">OFFSET(产销汇总!$AM$12,B318,$C$26)*24</f>
        <v>2129184</v>
      </c>
      <c r="I318" s="172">
        <f ca="1">SUMIF(金币本!$F$2:$F$52,"&lt;="&amp;C318,金币本!$D$2:$D$52)</f>
        <v>1425000</v>
      </c>
      <c r="J318" s="80" t="e">
        <f ca="1">OFFSET(产销汇总!$C$1,MATCH(J$27,产销汇总!$C$2:$C$8,0),$C$26)*(_xlfn.XLOOKUP(C318,主线推图!$B$313:$B$612,主线推图!$C$313:$C$612)+_xlfn.XLOOKUP(C318,主线推图!$B$313:$B$612,主线推图!$D$313:$D$612))</f>
        <v>#N/A</v>
      </c>
      <c r="K318" s="80" t="e">
        <f ca="1">OFFSET(产销汇总!$C$1,MATCH(K$27,产销汇总!$C$2:$C$8,0),$C$26)*_xlfn.XLOOKUP(C318,巡逻产出!$B$311:$B$610,巡逻产出!$C$311:$C$610)*1.3</f>
        <v>#N/A</v>
      </c>
      <c r="L318" s="80" t="e">
        <f ca="1">OFFSET(产销汇总!$C$1,MATCH(L$27,产销汇总!$C$2:$C$8,0),$C$26)*(_xlfn.XLOOKUP(MAX(1,INT(C318/10-6/10)),组队产出!$B$24:$B$39,组队产出!$D$24:$D$39))+OFFSET(产销汇总!$C$1,MATCH(L$27,产销汇总!$C$2:$C$8,0),$C$26)*(_xlfn.XLOOKUP(MAX(1,INT(C318/10-6/10)),组队产出!$B$24:$B$39,组队产出!$C$24:$C$39))</f>
        <v>#N/A</v>
      </c>
      <c r="M318" s="80" t="e">
        <f ca="1">(OFFSET(产销汇总!$C$1,MATCH(M$27,产销汇总!$C$2:$C$8,0),$C$26)*_xlfn.XLOOKUP(C318,巡逻产出!$B$311:$B$610,巡逻产出!$D$311:$D$610))*$M$24</f>
        <v>#N/A</v>
      </c>
      <c r="N318" s="80" t="e">
        <f ca="1">OFFSET(产销汇总!$C$1,MATCH(L$27,产销汇总!$C$2:$C$8,0),$C$26)*(_xlfn.XLOOKUP(MAX(1,INT(C318/10-6/10)),组队产出!$B$24:$B$39,组队产出!$S$24:$S$39))</f>
        <v>#N/A</v>
      </c>
      <c r="O318" s="172">
        <f>任务!$D$36</f>
        <v>2457.14285714286</v>
      </c>
      <c r="P318" s="98">
        <f t="shared" si="46"/>
        <v>428</v>
      </c>
      <c r="Q318" s="80">
        <f t="shared" si="52"/>
        <v>1000</v>
      </c>
      <c r="R318" s="172">
        <f t="shared" si="53"/>
        <v>2000</v>
      </c>
      <c r="S318" s="210">
        <f ca="1">IFERROR(OFFSET(金币本!$E$2,MATCH(C318,金币本!$F$3:$F$302,1),0)*IF($C$26=1,2,3),0)</f>
        <v>39750</v>
      </c>
      <c r="T318" s="172" t="e">
        <f ca="1">SUM($J$28:S318)+SUM(D318:I318)</f>
        <v>#N/A</v>
      </c>
      <c r="U318" s="172" t="e">
        <f ca="1" t="shared" si="47"/>
        <v>#N/A</v>
      </c>
      <c r="V318" s="98" t="e">
        <f ca="1" t="shared" si="48"/>
        <v>#N/A</v>
      </c>
      <c r="W318" s="98" t="e">
        <f ca="1">OFFSET(装备强化!$U$6,MATCH(图纸产出设计!V319/6*W$26,装备强化!$T$7:$T$306,1),0)*6</f>
        <v>#N/A</v>
      </c>
      <c r="X318" s="98">
        <v>1287350</v>
      </c>
      <c r="Y318" s="98">
        <f t="shared" si="54"/>
        <v>9200000</v>
      </c>
      <c r="Z318" s="98">
        <f t="shared" si="56"/>
        <v>2</v>
      </c>
      <c r="AA318" s="147" t="e">
        <f ca="1" t="shared" si="49"/>
        <v>#N/A</v>
      </c>
      <c r="AB318" s="209" t="e">
        <f ca="1" t="shared" si="50"/>
        <v>#N/A</v>
      </c>
      <c r="AC318" s="209">
        <f ca="1">SUMIFS(装备强化!$Q$7:$Q$306,装备强化!$M$7:$M$306,"&lt;="&amp;MATCH(U318/6,装备强化!$U$7:$U$306,1),装备强化!$M$7:$M$306,"&gt;="&amp;MATCH(V318/6,装备强化!$U$7:$U$306,1))*6</f>
        <v>0</v>
      </c>
      <c r="AD318">
        <f ca="1" t="shared" si="55"/>
        <v>0</v>
      </c>
    </row>
    <row r="319" spans="1:30">
      <c r="A319" s="171"/>
      <c r="B319" s="80">
        <v>292</v>
      </c>
      <c r="C319" s="80">
        <f ca="1">OFFSET(产销汇总!$C$12,$B319,$C$26)</f>
        <v>269</v>
      </c>
      <c r="D319" s="80">
        <f t="shared" si="51"/>
        <v>14100</v>
      </c>
      <c r="E319" s="80">
        <f ca="1">(SUMIF(主线推图!$B$4:$B$303,"&lt;"&amp;C319,主线推图!$M$4:$M$303)+SUMIF(主线宝箱!$B$320:$B$620,"&lt;"&amp;C319,主线宝箱!$L$320:$L$620)+SUMIF(主线宝箱!$B$320:$B$620,"&lt;"&amp;C319,主线宝箱!$X$320:$X$620)+SUMIF(主线宝箱!$B$320:$B$620,"&lt;"&amp;C319,主线宝箱!$AL$320:$AL$620))</f>
        <v>479400</v>
      </c>
      <c r="F319" s="98">
        <f ca="1">SUMIF(组队产出!$B$24:$B$39,"&lt;="&amp;MAX(1,INT(C319/10-0.6)),组队产出!$R$24:$R$39)</f>
        <v>141000</v>
      </c>
      <c r="G319" s="80">
        <f ca="1">SUMIF(运营活动!$O$3:$O$27,"&lt;="&amp;C319,运营活动!$P$3:$P$27)</f>
        <v>30000</v>
      </c>
      <c r="H319" s="80">
        <f ca="1">OFFSET(产销汇总!$AM$12,B319,$C$26)*24</f>
        <v>2136432</v>
      </c>
      <c r="I319" s="172">
        <f ca="1">SUMIF(金币本!$F$2:$F$52,"&lt;="&amp;C319,金币本!$D$2:$D$52)</f>
        <v>1425000</v>
      </c>
      <c r="J319" s="80">
        <f ca="1">OFFSET(产销汇总!$C$1,MATCH(J$27,产销汇总!$C$2:$C$8,0),$C$26)*(_xlfn.XLOOKUP(C319,主线推图!$B$313:$B$612,主线推图!$C$313:$C$612)+_xlfn.XLOOKUP(C319,主线推图!$B$313:$B$612,主线推图!$D$313:$D$612))</f>
        <v>17952</v>
      </c>
      <c r="K319" s="80">
        <f ca="1">OFFSET(产销汇总!$C$1,MATCH(K$27,产销汇总!$C$2:$C$8,0),$C$26)*_xlfn.XLOOKUP(C319,巡逻产出!$B$311:$B$610,巡逻产出!$C$311:$C$610)*1.3</f>
        <v>0</v>
      </c>
      <c r="L319" s="80" t="e">
        <f ca="1">OFFSET(产销汇总!$C$1,MATCH(L$27,产销汇总!$C$2:$C$8,0),$C$26)*(_xlfn.XLOOKUP(MAX(1,INT(C319/10-6/10)),组队产出!$B$24:$B$39,组队产出!$D$24:$D$39))+OFFSET(产销汇总!$C$1,MATCH(L$27,产销汇总!$C$2:$C$8,0),$C$26)*(_xlfn.XLOOKUP(MAX(1,INT(C319/10-6/10)),组队产出!$B$24:$B$39,组队产出!$C$24:$C$39))</f>
        <v>#N/A</v>
      </c>
      <c r="M319" s="80">
        <f ca="1">(OFFSET(产销汇总!$C$1,MATCH(M$27,产销汇总!$C$2:$C$8,0),$C$26)*_xlfn.XLOOKUP(C319,巡逻产出!$B$311:$B$610,巡逻产出!$D$311:$D$610))*$M$24</f>
        <v>12729.6</v>
      </c>
      <c r="N319" s="80" t="e">
        <f ca="1">OFFSET(产销汇总!$C$1,MATCH(L$27,产销汇总!$C$2:$C$8,0),$C$26)*(_xlfn.XLOOKUP(MAX(1,INT(C319/10-6/10)),组队产出!$B$24:$B$39,组队产出!$S$24:$S$39))</f>
        <v>#N/A</v>
      </c>
      <c r="O319" s="172">
        <f>任务!$D$36</f>
        <v>2457.14285714286</v>
      </c>
      <c r="P319" s="98">
        <f t="shared" si="46"/>
        <v>428</v>
      </c>
      <c r="Q319" s="80">
        <f t="shared" si="52"/>
        <v>1000</v>
      </c>
      <c r="R319" s="172">
        <f t="shared" si="53"/>
        <v>2000</v>
      </c>
      <c r="S319" s="210">
        <f ca="1">IFERROR(OFFSET(金币本!$E$2,MATCH(C319,金币本!$F$3:$F$302,1),0)*IF($C$26=1,2,3),0)</f>
        <v>39750</v>
      </c>
      <c r="T319" s="172" t="e">
        <f ca="1">SUM($J$28:S319)+SUM(D319:I319)</f>
        <v>#N/A</v>
      </c>
      <c r="U319" s="172" t="e">
        <f ca="1" t="shared" si="47"/>
        <v>#N/A</v>
      </c>
      <c r="V319" s="98" t="e">
        <f ca="1" t="shared" si="48"/>
        <v>#N/A</v>
      </c>
      <c r="W319" s="98" t="e">
        <f ca="1">OFFSET(装备强化!$U$6,MATCH(图纸产出设计!V320/6*W$26,装备强化!$T$7:$T$306,1),0)*6</f>
        <v>#N/A</v>
      </c>
      <c r="X319" s="98">
        <v>1300810</v>
      </c>
      <c r="Y319" s="98">
        <f t="shared" si="54"/>
        <v>9232000</v>
      </c>
      <c r="Z319" s="98">
        <f t="shared" si="56"/>
        <v>2</v>
      </c>
      <c r="AA319" s="147" t="e">
        <f ca="1" t="shared" si="49"/>
        <v>#N/A</v>
      </c>
      <c r="AB319" s="209" t="e">
        <f ca="1" t="shared" si="50"/>
        <v>#N/A</v>
      </c>
      <c r="AC319" s="209">
        <f ca="1">SUMIFS(装备强化!$Q$7:$Q$306,装备强化!$M$7:$M$306,"&lt;="&amp;MATCH(U319/6,装备强化!$U$7:$U$306,1),装备强化!$M$7:$M$306,"&gt;="&amp;MATCH(V319/6,装备强化!$U$7:$U$306,1))*6</f>
        <v>0</v>
      </c>
      <c r="AD319">
        <f ca="1" t="shared" si="55"/>
        <v>0</v>
      </c>
    </row>
    <row r="320" spans="1:30">
      <c r="A320" s="171"/>
      <c r="B320" s="80">
        <v>293</v>
      </c>
      <c r="C320" s="80">
        <f ca="1">OFFSET(产销汇总!$C$12,$B320,$C$26)</f>
        <v>269.5</v>
      </c>
      <c r="D320" s="80">
        <f t="shared" si="51"/>
        <v>14100</v>
      </c>
      <c r="E320" s="80">
        <f ca="1">(SUMIF(主线推图!$B$4:$B$303,"&lt;"&amp;C320,主线推图!$M$4:$M$303)+SUMIF(主线宝箱!$B$320:$B$620,"&lt;"&amp;C320,主线宝箱!$L$320:$L$620)+SUMIF(主线宝箱!$B$320:$B$620,"&lt;"&amp;C320,主线宝箱!$X$320:$X$620)+SUMIF(主线宝箱!$B$320:$B$620,"&lt;"&amp;C320,主线宝箱!$AL$320:$AL$620))</f>
        <v>481200</v>
      </c>
      <c r="F320" s="98">
        <f ca="1">SUMIF(组队产出!$B$24:$B$39,"&lt;="&amp;MAX(1,INT(C320/10-0.6)),组队产出!$R$24:$R$39)</f>
        <v>141000</v>
      </c>
      <c r="G320" s="80">
        <f ca="1">SUMIF(运营活动!$O$3:$O$27,"&lt;="&amp;C320,运营活动!$P$3:$P$27)</f>
        <v>30000</v>
      </c>
      <c r="H320" s="80">
        <f ca="1">OFFSET(产销汇总!$AM$12,B320,$C$26)*24</f>
        <v>2143680</v>
      </c>
      <c r="I320" s="172">
        <f ca="1">SUMIF(金币本!$F$2:$F$52,"&lt;="&amp;C320,金币本!$D$2:$D$52)</f>
        <v>1425000</v>
      </c>
      <c r="J320" s="80" t="e">
        <f ca="1">OFFSET(产销汇总!$C$1,MATCH(J$27,产销汇总!$C$2:$C$8,0),$C$26)*(_xlfn.XLOOKUP(C320,主线推图!$B$313:$B$612,主线推图!$C$313:$C$612)+_xlfn.XLOOKUP(C320,主线推图!$B$313:$B$612,主线推图!$D$313:$D$612))</f>
        <v>#N/A</v>
      </c>
      <c r="K320" s="80" t="e">
        <f ca="1">OFFSET(产销汇总!$C$1,MATCH(K$27,产销汇总!$C$2:$C$8,0),$C$26)*_xlfn.XLOOKUP(C320,巡逻产出!$B$311:$B$610,巡逻产出!$C$311:$C$610)*1.3</f>
        <v>#N/A</v>
      </c>
      <c r="L320" s="80" t="e">
        <f ca="1">OFFSET(产销汇总!$C$1,MATCH(L$27,产销汇总!$C$2:$C$8,0),$C$26)*(_xlfn.XLOOKUP(MAX(1,INT(C320/10-6/10)),组队产出!$B$24:$B$39,组队产出!$D$24:$D$39))+OFFSET(产销汇总!$C$1,MATCH(L$27,产销汇总!$C$2:$C$8,0),$C$26)*(_xlfn.XLOOKUP(MAX(1,INT(C320/10-6/10)),组队产出!$B$24:$B$39,组队产出!$C$24:$C$39))</f>
        <v>#N/A</v>
      </c>
      <c r="M320" s="80" t="e">
        <f ca="1">(OFFSET(产销汇总!$C$1,MATCH(M$27,产销汇总!$C$2:$C$8,0),$C$26)*_xlfn.XLOOKUP(C320,巡逻产出!$B$311:$B$610,巡逻产出!$D$311:$D$610))*$M$24</f>
        <v>#N/A</v>
      </c>
      <c r="N320" s="80" t="e">
        <f ca="1">OFFSET(产销汇总!$C$1,MATCH(L$27,产销汇总!$C$2:$C$8,0),$C$26)*(_xlfn.XLOOKUP(MAX(1,INT(C320/10-6/10)),组队产出!$B$24:$B$39,组队产出!$S$24:$S$39))</f>
        <v>#N/A</v>
      </c>
      <c r="O320" s="172">
        <f>任务!$D$36</f>
        <v>2457.14285714286</v>
      </c>
      <c r="P320" s="98">
        <f t="shared" si="46"/>
        <v>428</v>
      </c>
      <c r="Q320" s="80">
        <f t="shared" si="52"/>
        <v>1000</v>
      </c>
      <c r="R320" s="172">
        <f t="shared" si="53"/>
        <v>2000</v>
      </c>
      <c r="S320" s="210">
        <f ca="1">IFERROR(OFFSET(金币本!$E$2,MATCH(C320,金币本!$F$3:$F$302,1),0)*IF($C$26=1,2,3),0)</f>
        <v>39750</v>
      </c>
      <c r="T320" s="172" t="e">
        <f ca="1">SUM($J$28:S320)+SUM(D320:I320)</f>
        <v>#N/A</v>
      </c>
      <c r="U320" s="172" t="e">
        <f ca="1" t="shared" si="47"/>
        <v>#N/A</v>
      </c>
      <c r="V320" s="98" t="e">
        <f ca="1" t="shared" si="48"/>
        <v>#N/A</v>
      </c>
      <c r="W320" s="98" t="e">
        <f ca="1">OFFSET(装备强化!$U$6,MATCH(图纸产出设计!V321/6*W$26,装备强化!$T$7:$T$306,1),0)*6</f>
        <v>#N/A</v>
      </c>
      <c r="X320" s="98">
        <v>1300810</v>
      </c>
      <c r="Y320" s="98">
        <f t="shared" si="54"/>
        <v>9264000</v>
      </c>
      <c r="Z320" s="98">
        <f t="shared" si="56"/>
        <v>2</v>
      </c>
      <c r="AA320" s="147" t="e">
        <f ca="1" t="shared" si="49"/>
        <v>#N/A</v>
      </c>
      <c r="AB320" s="209" t="e">
        <f ca="1" t="shared" si="50"/>
        <v>#N/A</v>
      </c>
      <c r="AC320" s="209">
        <f ca="1">SUMIFS(装备强化!$Q$7:$Q$306,装备强化!$M$7:$M$306,"&lt;="&amp;MATCH(U320/6,装备强化!$U$7:$U$306,1),装备强化!$M$7:$M$306,"&gt;="&amp;MATCH(V320/6,装备强化!$U$7:$U$306,1))*6</f>
        <v>0</v>
      </c>
      <c r="AD320">
        <f ca="1" t="shared" si="55"/>
        <v>0</v>
      </c>
    </row>
    <row r="321" spans="1:30">
      <c r="A321" s="171"/>
      <c r="B321" s="80">
        <v>294</v>
      </c>
      <c r="C321" s="80">
        <f ca="1">OFFSET(产销汇总!$C$12,$B321,$C$26)</f>
        <v>270</v>
      </c>
      <c r="D321" s="80">
        <f t="shared" si="51"/>
        <v>14100</v>
      </c>
      <c r="E321" s="80">
        <f ca="1">(SUMIF(主线推图!$B$4:$B$303,"&lt;"&amp;C321,主线推图!$M$4:$M$303)+SUMIF(主线宝箱!$B$320:$B$620,"&lt;"&amp;C321,主线宝箱!$L$320:$L$620)+SUMIF(主线宝箱!$B$320:$B$620,"&lt;"&amp;C321,主线宝箱!$X$320:$X$620)+SUMIF(主线宝箱!$B$320:$B$620,"&lt;"&amp;C321,主线宝箱!$AL$320:$AL$620))</f>
        <v>481200</v>
      </c>
      <c r="F321" s="98">
        <f ca="1">SUMIF(组队产出!$B$24:$B$39,"&lt;="&amp;MAX(1,INT(C321/10-0.6)),组队产出!$R$24:$R$39)</f>
        <v>141000</v>
      </c>
      <c r="G321" s="80">
        <f ca="1">SUMIF(运营活动!$O$3:$O$27,"&lt;="&amp;C321,运营活动!$P$3:$P$27)</f>
        <v>30000</v>
      </c>
      <c r="H321" s="80">
        <f ca="1">OFFSET(产销汇总!$AM$12,B321,$C$26)*24</f>
        <v>2150928</v>
      </c>
      <c r="I321" s="172">
        <f ca="1">SUMIF(金币本!$F$2:$F$52,"&lt;="&amp;C321,金币本!$D$2:$D$52)</f>
        <v>1425000</v>
      </c>
      <c r="J321" s="80">
        <f ca="1">OFFSET(产销汇总!$C$1,MATCH(J$27,产销汇总!$C$2:$C$8,0),$C$26)*(_xlfn.XLOOKUP(C321,主线推图!$B$313:$B$612,主线推图!$C$313:$C$612)+_xlfn.XLOOKUP(C321,主线推图!$B$313:$B$612,主线推图!$D$313:$D$612))</f>
        <v>17996</v>
      </c>
      <c r="K321" s="80">
        <f ca="1">OFFSET(产销汇总!$C$1,MATCH(K$27,产销汇总!$C$2:$C$8,0),$C$26)*_xlfn.XLOOKUP(C321,巡逻产出!$B$311:$B$610,巡逻产出!$C$311:$C$610)*1.3</f>
        <v>0</v>
      </c>
      <c r="L321" s="80" t="e">
        <f ca="1">OFFSET(产销汇总!$C$1,MATCH(L$27,产销汇总!$C$2:$C$8,0),$C$26)*(_xlfn.XLOOKUP(MAX(1,INT(C321/10-6/10)),组队产出!$B$24:$B$39,组队产出!$D$24:$D$39))+OFFSET(产销汇总!$C$1,MATCH(L$27,产销汇总!$C$2:$C$8,0),$C$26)*(_xlfn.XLOOKUP(MAX(1,INT(C321/10-6/10)),组队产出!$B$24:$B$39,组队产出!$C$24:$C$39))</f>
        <v>#N/A</v>
      </c>
      <c r="M321" s="80">
        <f ca="1">(OFFSET(产销汇总!$C$1,MATCH(M$27,产销汇总!$C$2:$C$8,0),$C$26)*_xlfn.XLOOKUP(C321,巡逻产出!$B$311:$B$610,巡逻产出!$D$311:$D$610))*$M$24</f>
        <v>12760.8</v>
      </c>
      <c r="N321" s="80" t="e">
        <f ca="1">OFFSET(产销汇总!$C$1,MATCH(L$27,产销汇总!$C$2:$C$8,0),$C$26)*(_xlfn.XLOOKUP(MAX(1,INT(C321/10-6/10)),组队产出!$B$24:$B$39,组队产出!$S$24:$S$39))</f>
        <v>#N/A</v>
      </c>
      <c r="O321" s="172">
        <f>任务!$D$36</f>
        <v>2457.14285714286</v>
      </c>
      <c r="P321" s="98">
        <f t="shared" si="46"/>
        <v>428</v>
      </c>
      <c r="Q321" s="80">
        <f t="shared" si="52"/>
        <v>1000</v>
      </c>
      <c r="R321" s="172">
        <f t="shared" si="53"/>
        <v>2000</v>
      </c>
      <c r="S321" s="210">
        <f ca="1">IFERROR(OFFSET(金币本!$E$2,MATCH(C321,金币本!$F$3:$F$302,1),0)*IF($C$26=1,2,3),0)</f>
        <v>39750</v>
      </c>
      <c r="T321" s="172" t="e">
        <f ca="1">SUM($J$28:S321)+SUM(D321:I321)</f>
        <v>#N/A</v>
      </c>
      <c r="U321" s="172" t="e">
        <f ca="1" t="shared" si="47"/>
        <v>#N/A</v>
      </c>
      <c r="V321" s="98" t="e">
        <f ca="1" t="shared" si="48"/>
        <v>#N/A</v>
      </c>
      <c r="W321" s="98" t="e">
        <f ca="1">OFFSET(装备强化!$U$6,MATCH(图纸产出设计!V322/6*W$26,装备强化!$T$7:$T$306,1),0)*6</f>
        <v>#N/A</v>
      </c>
      <c r="X321" s="98">
        <v>1300810</v>
      </c>
      <c r="Y321" s="98">
        <f t="shared" si="54"/>
        <v>9296000</v>
      </c>
      <c r="Z321" s="98">
        <f t="shared" si="56"/>
        <v>2</v>
      </c>
      <c r="AA321" s="147" t="e">
        <f ca="1" t="shared" si="49"/>
        <v>#N/A</v>
      </c>
      <c r="AB321" s="209" t="e">
        <f ca="1" t="shared" si="50"/>
        <v>#N/A</v>
      </c>
      <c r="AC321" s="209">
        <f ca="1">SUMIFS(装备强化!$Q$7:$Q$306,装备强化!$M$7:$M$306,"&lt;="&amp;MATCH(U321/6,装备强化!$U$7:$U$306,1),装备强化!$M$7:$M$306,"&gt;="&amp;MATCH(V321/6,装备强化!$U$7:$U$306,1))*6</f>
        <v>0</v>
      </c>
      <c r="AD321">
        <f ca="1" t="shared" si="55"/>
        <v>0</v>
      </c>
    </row>
    <row r="322" spans="1:30">
      <c r="A322" s="171"/>
      <c r="B322" s="80">
        <v>295</v>
      </c>
      <c r="C322" s="80">
        <f ca="1">OFFSET(产销汇总!$C$12,$B322,$C$26)</f>
        <v>270.5</v>
      </c>
      <c r="D322" s="80">
        <f t="shared" si="51"/>
        <v>14100</v>
      </c>
      <c r="E322" s="80">
        <f ca="1">(SUMIF(主线推图!$B$4:$B$303,"&lt;"&amp;C322,主线推图!$M$4:$M$303)+SUMIF(主线宝箱!$B$320:$B$620,"&lt;"&amp;C322,主线宝箱!$L$320:$L$620)+SUMIF(主线宝箱!$B$320:$B$620,"&lt;"&amp;C322,主线宝箱!$X$320:$X$620)+SUMIF(主线宝箱!$B$320:$B$620,"&lt;"&amp;C322,主线宝箱!$AL$320:$AL$620))</f>
        <v>483000</v>
      </c>
      <c r="F322" s="98">
        <f ca="1">SUMIF(组队产出!$B$24:$B$39,"&lt;="&amp;MAX(1,INT(C322/10-0.6)),组队产出!$R$24:$R$39)</f>
        <v>141000</v>
      </c>
      <c r="G322" s="80">
        <f ca="1">SUMIF(运营活动!$O$3:$O$27,"&lt;="&amp;C322,运营活动!$P$3:$P$27)</f>
        <v>30000</v>
      </c>
      <c r="H322" s="80">
        <f ca="1">OFFSET(产销汇总!$AM$12,B322,$C$26)*24</f>
        <v>2158176</v>
      </c>
      <c r="I322" s="172">
        <f ca="1">SUMIF(金币本!$F$2:$F$52,"&lt;="&amp;C322,金币本!$D$2:$D$52)</f>
        <v>1425000</v>
      </c>
      <c r="J322" s="80" t="e">
        <f ca="1">OFFSET(产销汇总!$C$1,MATCH(J$27,产销汇总!$C$2:$C$8,0),$C$26)*(_xlfn.XLOOKUP(C322,主线推图!$B$313:$B$612,主线推图!$C$313:$C$612)+_xlfn.XLOOKUP(C322,主线推图!$B$313:$B$612,主线推图!$D$313:$D$612))</f>
        <v>#N/A</v>
      </c>
      <c r="K322" s="80" t="e">
        <f ca="1">OFFSET(产销汇总!$C$1,MATCH(K$27,产销汇总!$C$2:$C$8,0),$C$26)*_xlfn.XLOOKUP(C322,巡逻产出!$B$311:$B$610,巡逻产出!$C$311:$C$610)*1.3</f>
        <v>#N/A</v>
      </c>
      <c r="L322" s="80" t="e">
        <f ca="1">OFFSET(产销汇总!$C$1,MATCH(L$27,产销汇总!$C$2:$C$8,0),$C$26)*(_xlfn.XLOOKUP(MAX(1,INT(C322/10-6/10)),组队产出!$B$24:$B$39,组队产出!$D$24:$D$39))+OFFSET(产销汇总!$C$1,MATCH(L$27,产销汇总!$C$2:$C$8,0),$C$26)*(_xlfn.XLOOKUP(MAX(1,INT(C322/10-6/10)),组队产出!$B$24:$B$39,组队产出!$C$24:$C$39))</f>
        <v>#N/A</v>
      </c>
      <c r="M322" s="80" t="e">
        <f ca="1">(OFFSET(产销汇总!$C$1,MATCH(M$27,产销汇总!$C$2:$C$8,0),$C$26)*_xlfn.XLOOKUP(C322,巡逻产出!$B$311:$B$610,巡逻产出!$D$311:$D$610))*$M$24</f>
        <v>#N/A</v>
      </c>
      <c r="N322" s="80" t="e">
        <f ca="1">OFFSET(产销汇总!$C$1,MATCH(L$27,产销汇总!$C$2:$C$8,0),$C$26)*(_xlfn.XLOOKUP(MAX(1,INT(C322/10-6/10)),组队产出!$B$24:$B$39,组队产出!$S$24:$S$39))</f>
        <v>#N/A</v>
      </c>
      <c r="O322" s="172">
        <f>任务!$D$36</f>
        <v>2457.14285714286</v>
      </c>
      <c r="P322" s="98">
        <f t="shared" si="46"/>
        <v>428</v>
      </c>
      <c r="Q322" s="80">
        <f t="shared" si="52"/>
        <v>1500</v>
      </c>
      <c r="R322" s="172">
        <f t="shared" si="53"/>
        <v>2000</v>
      </c>
      <c r="S322" s="210">
        <f ca="1">IFERROR(OFFSET(金币本!$E$2,MATCH(C322,金币本!$F$3:$F$302,1),0)*IF($C$26=1,2,3),0)</f>
        <v>39750</v>
      </c>
      <c r="T322" s="172" t="e">
        <f ca="1">SUM($J$28:S322)+SUM(D322:I322)</f>
        <v>#N/A</v>
      </c>
      <c r="U322" s="172" t="e">
        <f ca="1" t="shared" si="47"/>
        <v>#N/A</v>
      </c>
      <c r="V322" s="98" t="e">
        <f ca="1" t="shared" si="48"/>
        <v>#N/A</v>
      </c>
      <c r="W322" s="98" t="e">
        <f ca="1">OFFSET(装备强化!$U$6,MATCH(图纸产出设计!V323/6*W$26,装备强化!$T$7:$T$306,1),0)*6</f>
        <v>#N/A</v>
      </c>
      <c r="X322" s="98">
        <v>1314340</v>
      </c>
      <c r="Y322" s="98">
        <f t="shared" si="54"/>
        <v>9328000</v>
      </c>
      <c r="Z322" s="98">
        <f t="shared" si="56"/>
        <v>2</v>
      </c>
      <c r="AA322" s="147" t="e">
        <f ca="1" t="shared" si="49"/>
        <v>#N/A</v>
      </c>
      <c r="AB322" s="209" t="e">
        <f ca="1" t="shared" si="50"/>
        <v>#N/A</v>
      </c>
      <c r="AC322" s="209">
        <f ca="1">SUMIFS(装备强化!$Q$7:$Q$306,装备强化!$M$7:$M$306,"&lt;="&amp;MATCH(U322/6,装备强化!$U$7:$U$306,1),装备强化!$M$7:$M$306,"&gt;="&amp;MATCH(V322/6,装备强化!$U$7:$U$306,1))*6</f>
        <v>0</v>
      </c>
      <c r="AD322">
        <f ca="1" t="shared" si="55"/>
        <v>0</v>
      </c>
    </row>
    <row r="323" spans="1:30">
      <c r="A323" s="171"/>
      <c r="B323" s="80">
        <v>296</v>
      </c>
      <c r="C323" s="80">
        <f ca="1">OFFSET(产销汇总!$C$12,$B323,$C$26)</f>
        <v>271</v>
      </c>
      <c r="D323" s="80">
        <f t="shared" si="51"/>
        <v>14100</v>
      </c>
      <c r="E323" s="80">
        <f ca="1">(SUMIF(主线推图!$B$4:$B$303,"&lt;"&amp;C323,主线推图!$M$4:$M$303)+SUMIF(主线宝箱!$B$320:$B$620,"&lt;"&amp;C323,主线宝箱!$L$320:$L$620)+SUMIF(主线宝箱!$B$320:$B$620,"&lt;"&amp;C323,主线宝箱!$X$320:$X$620)+SUMIF(主线宝箱!$B$320:$B$620,"&lt;"&amp;C323,主线宝箱!$AL$320:$AL$620))</f>
        <v>483000</v>
      </c>
      <c r="F323" s="98">
        <f ca="1">SUMIF(组队产出!$B$24:$B$39,"&lt;="&amp;MAX(1,INT(C323/10-0.6)),组队产出!$R$24:$R$39)</f>
        <v>141000</v>
      </c>
      <c r="G323" s="80">
        <f ca="1">SUMIF(运营活动!$O$3:$O$27,"&lt;="&amp;C323,运营活动!$P$3:$P$27)</f>
        <v>30000</v>
      </c>
      <c r="H323" s="80">
        <f ca="1">OFFSET(产销汇总!$AM$12,B323,$C$26)*24</f>
        <v>2165424</v>
      </c>
      <c r="I323" s="172">
        <f ca="1">SUMIF(金币本!$F$2:$F$52,"&lt;="&amp;C323,金币本!$D$2:$D$52)</f>
        <v>1425000</v>
      </c>
      <c r="J323" s="80">
        <f ca="1">OFFSET(产销汇总!$C$1,MATCH(J$27,产销汇总!$C$2:$C$8,0),$C$26)*(_xlfn.XLOOKUP(C323,主线推图!$B$313:$B$612,主线推图!$C$313:$C$612)+_xlfn.XLOOKUP(C323,主线推图!$B$313:$B$612,主线推图!$D$313:$D$612))</f>
        <v>18040</v>
      </c>
      <c r="K323" s="80">
        <f ca="1">OFFSET(产销汇总!$C$1,MATCH(K$27,产销汇总!$C$2:$C$8,0),$C$26)*_xlfn.XLOOKUP(C323,巡逻产出!$B$311:$B$610,巡逻产出!$C$311:$C$610)*1.3</f>
        <v>0</v>
      </c>
      <c r="L323" s="80" t="e">
        <f ca="1">OFFSET(产销汇总!$C$1,MATCH(L$27,产销汇总!$C$2:$C$8,0),$C$26)*(_xlfn.XLOOKUP(MAX(1,INT(C323/10-6/10)),组队产出!$B$24:$B$39,组队产出!$D$24:$D$39))+OFFSET(产销汇总!$C$1,MATCH(L$27,产销汇总!$C$2:$C$8,0),$C$26)*(_xlfn.XLOOKUP(MAX(1,INT(C323/10-6/10)),组队产出!$B$24:$B$39,组队产出!$C$24:$C$39))</f>
        <v>#N/A</v>
      </c>
      <c r="M323" s="80">
        <f ca="1">(OFFSET(产销汇总!$C$1,MATCH(M$27,产销汇总!$C$2:$C$8,0),$C$26)*_xlfn.XLOOKUP(C323,巡逻产出!$B$311:$B$610,巡逻产出!$D$311:$D$610))*$M$24</f>
        <v>12792</v>
      </c>
      <c r="N323" s="80" t="e">
        <f ca="1">OFFSET(产销汇总!$C$1,MATCH(L$27,产销汇总!$C$2:$C$8,0),$C$26)*(_xlfn.XLOOKUP(MAX(1,INT(C323/10-6/10)),组队产出!$B$24:$B$39,组队产出!$S$24:$S$39))</f>
        <v>#N/A</v>
      </c>
      <c r="O323" s="172">
        <f>任务!$D$36</f>
        <v>2457.14285714286</v>
      </c>
      <c r="P323" s="98">
        <f t="shared" si="46"/>
        <v>428</v>
      </c>
      <c r="Q323" s="80">
        <f t="shared" si="52"/>
        <v>1000</v>
      </c>
      <c r="R323" s="172">
        <f t="shared" si="53"/>
        <v>2000</v>
      </c>
      <c r="S323" s="210">
        <f ca="1">IFERROR(OFFSET(金币本!$E$2,MATCH(C323,金币本!$F$3:$F$302,1),0)*IF($C$26=1,2,3),0)</f>
        <v>39750</v>
      </c>
      <c r="T323" s="172" t="e">
        <f ca="1">SUM($J$28:S323)+SUM(D323:I323)</f>
        <v>#N/A</v>
      </c>
      <c r="U323" s="172" t="e">
        <f ca="1" t="shared" si="47"/>
        <v>#N/A</v>
      </c>
      <c r="V323" s="98" t="e">
        <f ca="1" t="shared" si="48"/>
        <v>#N/A</v>
      </c>
      <c r="W323" s="98" t="e">
        <f ca="1">OFFSET(装备强化!$U$6,MATCH(图纸产出设计!V324/6*W$26,装备强化!$T$7:$T$306,1),0)*6</f>
        <v>#N/A</v>
      </c>
      <c r="X323" s="98">
        <v>1314340</v>
      </c>
      <c r="Y323" s="98">
        <f t="shared" si="54"/>
        <v>9360000</v>
      </c>
      <c r="Z323" s="98">
        <f t="shared" si="56"/>
        <v>2</v>
      </c>
      <c r="AA323" s="147" t="e">
        <f ca="1" t="shared" si="49"/>
        <v>#N/A</v>
      </c>
      <c r="AB323" s="209" t="e">
        <f ca="1" t="shared" si="50"/>
        <v>#N/A</v>
      </c>
      <c r="AC323" s="209">
        <f ca="1">SUMIFS(装备强化!$Q$7:$Q$306,装备强化!$M$7:$M$306,"&lt;="&amp;MATCH(U323/6,装备强化!$U$7:$U$306,1),装备强化!$M$7:$M$306,"&gt;="&amp;MATCH(V323/6,装备强化!$U$7:$U$306,1))*6</f>
        <v>0</v>
      </c>
      <c r="AD323">
        <f ca="1" t="shared" si="55"/>
        <v>0</v>
      </c>
    </row>
    <row r="324" spans="1:30">
      <c r="A324" s="171"/>
      <c r="B324" s="80">
        <v>297</v>
      </c>
      <c r="C324" s="80">
        <f ca="1">OFFSET(产销汇总!$C$12,$B324,$C$26)</f>
        <v>271.5</v>
      </c>
      <c r="D324" s="80">
        <f t="shared" si="51"/>
        <v>14100</v>
      </c>
      <c r="E324" s="80">
        <f ca="1">(SUMIF(主线推图!$B$4:$B$303,"&lt;"&amp;C324,主线推图!$M$4:$M$303)+SUMIF(主线宝箱!$B$320:$B$620,"&lt;"&amp;C324,主线宝箱!$L$320:$L$620)+SUMIF(主线宝箱!$B$320:$B$620,"&lt;"&amp;C324,主线宝箱!$X$320:$X$620)+SUMIF(主线宝箱!$B$320:$B$620,"&lt;"&amp;C324,主线宝箱!$AL$320:$AL$620))</f>
        <v>484800</v>
      </c>
      <c r="F324" s="98">
        <f ca="1">SUMIF(组队产出!$B$24:$B$39,"&lt;="&amp;MAX(1,INT(C324/10-0.6)),组队产出!$R$24:$R$39)</f>
        <v>141000</v>
      </c>
      <c r="G324" s="80">
        <f ca="1">SUMIF(运营活动!$O$3:$O$27,"&lt;="&amp;C324,运营活动!$P$3:$P$27)</f>
        <v>30000</v>
      </c>
      <c r="H324" s="80">
        <f ca="1">OFFSET(产销汇总!$AM$12,B324,$C$26)*24</f>
        <v>2172672</v>
      </c>
      <c r="I324" s="172">
        <f ca="1">SUMIF(金币本!$F$2:$F$52,"&lt;="&amp;C324,金币本!$D$2:$D$52)</f>
        <v>1425000</v>
      </c>
      <c r="J324" s="80" t="e">
        <f ca="1">OFFSET(产销汇总!$C$1,MATCH(J$27,产销汇总!$C$2:$C$8,0),$C$26)*(_xlfn.XLOOKUP(C324,主线推图!$B$313:$B$612,主线推图!$C$313:$C$612)+_xlfn.XLOOKUP(C324,主线推图!$B$313:$B$612,主线推图!$D$313:$D$612))</f>
        <v>#N/A</v>
      </c>
      <c r="K324" s="80" t="e">
        <f ca="1">OFFSET(产销汇总!$C$1,MATCH(K$27,产销汇总!$C$2:$C$8,0),$C$26)*_xlfn.XLOOKUP(C324,巡逻产出!$B$311:$B$610,巡逻产出!$C$311:$C$610)*1.3</f>
        <v>#N/A</v>
      </c>
      <c r="L324" s="80" t="e">
        <f ca="1">OFFSET(产销汇总!$C$1,MATCH(L$27,产销汇总!$C$2:$C$8,0),$C$26)*(_xlfn.XLOOKUP(MAX(1,INT(C324/10-6/10)),组队产出!$B$24:$B$39,组队产出!$D$24:$D$39))+OFFSET(产销汇总!$C$1,MATCH(L$27,产销汇总!$C$2:$C$8,0),$C$26)*(_xlfn.XLOOKUP(MAX(1,INT(C324/10-6/10)),组队产出!$B$24:$B$39,组队产出!$C$24:$C$39))</f>
        <v>#N/A</v>
      </c>
      <c r="M324" s="80" t="e">
        <f ca="1">(OFFSET(产销汇总!$C$1,MATCH(M$27,产销汇总!$C$2:$C$8,0),$C$26)*_xlfn.XLOOKUP(C324,巡逻产出!$B$311:$B$610,巡逻产出!$D$311:$D$610))*$M$24</f>
        <v>#N/A</v>
      </c>
      <c r="N324" s="80" t="e">
        <f ca="1">OFFSET(产销汇总!$C$1,MATCH(L$27,产销汇总!$C$2:$C$8,0),$C$26)*(_xlfn.XLOOKUP(MAX(1,INT(C324/10-6/10)),组队产出!$B$24:$B$39,组队产出!$S$24:$S$39))</f>
        <v>#N/A</v>
      </c>
      <c r="O324" s="172">
        <f>任务!$D$36</f>
        <v>2457.14285714286</v>
      </c>
      <c r="P324" s="98">
        <f t="shared" si="46"/>
        <v>428</v>
      </c>
      <c r="Q324" s="80">
        <f t="shared" si="52"/>
        <v>1000</v>
      </c>
      <c r="R324" s="172">
        <f t="shared" si="53"/>
        <v>2000</v>
      </c>
      <c r="S324" s="210">
        <f ca="1">IFERROR(OFFSET(金币本!$E$2,MATCH(C324,金币本!$F$3:$F$302,1),0)*IF($C$26=1,2,3),0)</f>
        <v>39750</v>
      </c>
      <c r="T324" s="172" t="e">
        <f ca="1">SUM($J$28:S324)+SUM(D324:I324)</f>
        <v>#N/A</v>
      </c>
      <c r="U324" s="172" t="e">
        <f ca="1" t="shared" si="47"/>
        <v>#N/A</v>
      </c>
      <c r="V324" s="98" t="e">
        <f ca="1" t="shared" si="48"/>
        <v>#N/A</v>
      </c>
      <c r="W324" s="98" t="e">
        <f ca="1">OFFSET(装备强化!$U$6,MATCH(图纸产出设计!V325/6*W$26,装备强化!$T$7:$T$306,1),0)*6</f>
        <v>#N/A</v>
      </c>
      <c r="X324" s="98">
        <v>1314340</v>
      </c>
      <c r="Y324" s="98">
        <f t="shared" si="54"/>
        <v>9392000</v>
      </c>
      <c r="Z324" s="98">
        <f t="shared" si="56"/>
        <v>2</v>
      </c>
      <c r="AA324" s="147" t="e">
        <f ca="1" t="shared" si="49"/>
        <v>#N/A</v>
      </c>
      <c r="AB324" s="209" t="e">
        <f ca="1" t="shared" si="50"/>
        <v>#N/A</v>
      </c>
      <c r="AC324" s="209">
        <f ca="1">SUMIFS(装备强化!$Q$7:$Q$306,装备强化!$M$7:$M$306,"&lt;="&amp;MATCH(U324/6,装备强化!$U$7:$U$306,1),装备强化!$M$7:$M$306,"&gt;="&amp;MATCH(V324/6,装备强化!$U$7:$U$306,1))*6</f>
        <v>0</v>
      </c>
      <c r="AD324">
        <f ca="1" t="shared" si="55"/>
        <v>0</v>
      </c>
    </row>
    <row r="325" spans="1:30">
      <c r="A325" s="171"/>
      <c r="B325" s="80">
        <v>298</v>
      </c>
      <c r="C325" s="80">
        <f ca="1">OFFSET(产销汇总!$C$12,$B325,$C$26)</f>
        <v>272</v>
      </c>
      <c r="D325" s="80">
        <f t="shared" si="51"/>
        <v>14100</v>
      </c>
      <c r="E325" s="80">
        <f ca="1">(SUMIF(主线推图!$B$4:$B$303,"&lt;"&amp;C325,主线推图!$M$4:$M$303)+SUMIF(主线宝箱!$B$320:$B$620,"&lt;"&amp;C325,主线宝箱!$L$320:$L$620)+SUMIF(主线宝箱!$B$320:$B$620,"&lt;"&amp;C325,主线宝箱!$X$320:$X$620)+SUMIF(主线宝箱!$B$320:$B$620,"&lt;"&amp;C325,主线宝箱!$AL$320:$AL$620))</f>
        <v>484800</v>
      </c>
      <c r="F325" s="98">
        <f ca="1">SUMIF(组队产出!$B$24:$B$39,"&lt;="&amp;MAX(1,INT(C325/10-0.6)),组队产出!$R$24:$R$39)</f>
        <v>141000</v>
      </c>
      <c r="G325" s="80">
        <f ca="1">SUMIF(运营活动!$O$3:$O$27,"&lt;="&amp;C325,运营活动!$P$3:$P$27)</f>
        <v>30000</v>
      </c>
      <c r="H325" s="80">
        <f ca="1">OFFSET(产销汇总!$AM$12,B325,$C$26)*24</f>
        <v>2179920</v>
      </c>
      <c r="I325" s="172">
        <f ca="1">SUMIF(金币本!$F$2:$F$52,"&lt;="&amp;C325,金币本!$D$2:$D$52)</f>
        <v>1425000</v>
      </c>
      <c r="J325" s="80">
        <f ca="1">OFFSET(产销汇总!$C$1,MATCH(J$27,产销汇总!$C$2:$C$8,0),$C$26)*(_xlfn.XLOOKUP(C325,主线推图!$B$313:$B$612,主线推图!$C$313:$C$612)+_xlfn.XLOOKUP(C325,主线推图!$B$313:$B$612,主线推图!$D$313:$D$612))</f>
        <v>18084</v>
      </c>
      <c r="K325" s="80">
        <f ca="1">OFFSET(产销汇总!$C$1,MATCH(K$27,产销汇总!$C$2:$C$8,0),$C$26)*_xlfn.XLOOKUP(C325,巡逻产出!$B$311:$B$610,巡逻产出!$C$311:$C$610)*1.3</f>
        <v>0</v>
      </c>
      <c r="L325" s="80" t="e">
        <f ca="1">OFFSET(产销汇总!$C$1,MATCH(L$27,产销汇总!$C$2:$C$8,0),$C$26)*(_xlfn.XLOOKUP(MAX(1,INT(C325/10-6/10)),组队产出!$B$24:$B$39,组队产出!$D$24:$D$39))+OFFSET(产销汇总!$C$1,MATCH(L$27,产销汇总!$C$2:$C$8,0),$C$26)*(_xlfn.XLOOKUP(MAX(1,INT(C325/10-6/10)),组队产出!$B$24:$B$39,组队产出!$C$24:$C$39))</f>
        <v>#N/A</v>
      </c>
      <c r="M325" s="80">
        <f ca="1">(OFFSET(产销汇总!$C$1,MATCH(M$27,产销汇总!$C$2:$C$8,0),$C$26)*_xlfn.XLOOKUP(C325,巡逻产出!$B$311:$B$610,巡逻产出!$D$311:$D$610))*$M$24</f>
        <v>12823.2</v>
      </c>
      <c r="N325" s="80" t="e">
        <f ca="1">OFFSET(产销汇总!$C$1,MATCH(L$27,产销汇总!$C$2:$C$8,0),$C$26)*(_xlfn.XLOOKUP(MAX(1,INT(C325/10-6/10)),组队产出!$B$24:$B$39,组队产出!$S$24:$S$39))</f>
        <v>#N/A</v>
      </c>
      <c r="O325" s="172">
        <f>任务!$D$36</f>
        <v>2457.14285714286</v>
      </c>
      <c r="P325" s="98">
        <f t="shared" si="46"/>
        <v>428</v>
      </c>
      <c r="Q325" s="80">
        <f t="shared" si="52"/>
        <v>1000</v>
      </c>
      <c r="R325" s="172">
        <f t="shared" si="53"/>
        <v>2000</v>
      </c>
      <c r="S325" s="210">
        <f ca="1">IFERROR(OFFSET(金币本!$E$2,MATCH(C325,金币本!$F$3:$F$302,1),0)*IF($C$26=1,2,3),0)</f>
        <v>39750</v>
      </c>
      <c r="T325" s="172" t="e">
        <f ca="1">SUM($J$28:S325)+SUM(D325:I325)</f>
        <v>#N/A</v>
      </c>
      <c r="U325" s="172" t="e">
        <f ca="1" t="shared" si="47"/>
        <v>#N/A</v>
      </c>
      <c r="V325" s="98" t="e">
        <f ca="1" t="shared" si="48"/>
        <v>#N/A</v>
      </c>
      <c r="W325" s="98" t="e">
        <f ca="1">OFFSET(装备强化!$U$6,MATCH(图纸产出设计!V326/6*W$26,装备强化!$T$7:$T$306,1),0)*6</f>
        <v>#N/A</v>
      </c>
      <c r="X325" s="98">
        <v>1327940</v>
      </c>
      <c r="Y325" s="98">
        <f t="shared" si="54"/>
        <v>9424000</v>
      </c>
      <c r="Z325" s="98">
        <f t="shared" si="56"/>
        <v>2</v>
      </c>
      <c r="AA325" s="147" t="e">
        <f ca="1" t="shared" si="49"/>
        <v>#N/A</v>
      </c>
      <c r="AB325" s="209" t="e">
        <f ca="1" t="shared" si="50"/>
        <v>#N/A</v>
      </c>
      <c r="AC325" s="209">
        <f ca="1">SUMIFS(装备强化!$Q$7:$Q$306,装备强化!$M$7:$M$306,"&lt;="&amp;MATCH(U325/6,装备强化!$U$7:$U$306,1),装备强化!$M$7:$M$306,"&gt;="&amp;MATCH(V325/6,装备强化!$U$7:$U$306,1))*6</f>
        <v>0</v>
      </c>
      <c r="AD325">
        <f ca="1" t="shared" si="55"/>
        <v>0</v>
      </c>
    </row>
    <row r="326" spans="1:30">
      <c r="A326" s="171"/>
      <c r="B326" s="80">
        <v>299</v>
      </c>
      <c r="C326" s="80">
        <f ca="1">OFFSET(产销汇总!$C$12,$B326,$C$26)</f>
        <v>272.5</v>
      </c>
      <c r="D326" s="80">
        <f t="shared" si="51"/>
        <v>14100</v>
      </c>
      <c r="E326" s="80">
        <f ca="1">(SUMIF(主线推图!$B$4:$B$303,"&lt;"&amp;C326,主线推图!$M$4:$M$303)+SUMIF(主线宝箱!$B$320:$B$620,"&lt;"&amp;C326,主线宝箱!$L$320:$L$620)+SUMIF(主线宝箱!$B$320:$B$620,"&lt;"&amp;C326,主线宝箱!$X$320:$X$620)+SUMIF(主线宝箱!$B$320:$B$620,"&lt;"&amp;C326,主线宝箱!$AL$320:$AL$620))</f>
        <v>486600</v>
      </c>
      <c r="F326" s="98">
        <f ca="1">SUMIF(组队产出!$B$24:$B$39,"&lt;="&amp;MAX(1,INT(C326/10-0.6)),组队产出!$R$24:$R$39)</f>
        <v>141000</v>
      </c>
      <c r="G326" s="80">
        <f ca="1">SUMIF(运营活动!$O$3:$O$27,"&lt;="&amp;C326,运营活动!$P$3:$P$27)</f>
        <v>30000</v>
      </c>
      <c r="H326" s="80">
        <f ca="1">OFFSET(产销汇总!$AM$12,B326,$C$26)*24</f>
        <v>2187168</v>
      </c>
      <c r="I326" s="172">
        <f ca="1">SUMIF(金币本!$F$2:$F$52,"&lt;="&amp;C326,金币本!$D$2:$D$52)</f>
        <v>1425000</v>
      </c>
      <c r="J326" s="80" t="e">
        <f ca="1">OFFSET(产销汇总!$C$1,MATCH(J$27,产销汇总!$C$2:$C$8,0),$C$26)*(_xlfn.XLOOKUP(C326,主线推图!$B$313:$B$612,主线推图!$C$313:$C$612)+_xlfn.XLOOKUP(C326,主线推图!$B$313:$B$612,主线推图!$D$313:$D$612))</f>
        <v>#N/A</v>
      </c>
      <c r="K326" s="80" t="e">
        <f ca="1">OFFSET(产销汇总!$C$1,MATCH(K$27,产销汇总!$C$2:$C$8,0),$C$26)*_xlfn.XLOOKUP(C326,巡逻产出!$B$311:$B$610,巡逻产出!$C$311:$C$610)*1.3</f>
        <v>#N/A</v>
      </c>
      <c r="L326" s="80" t="e">
        <f ca="1">OFFSET(产销汇总!$C$1,MATCH(L$27,产销汇总!$C$2:$C$8,0),$C$26)*(_xlfn.XLOOKUP(MAX(1,INT(C326/10-6/10)),组队产出!$B$24:$B$39,组队产出!$D$24:$D$39))+OFFSET(产销汇总!$C$1,MATCH(L$27,产销汇总!$C$2:$C$8,0),$C$26)*(_xlfn.XLOOKUP(MAX(1,INT(C326/10-6/10)),组队产出!$B$24:$B$39,组队产出!$C$24:$C$39))</f>
        <v>#N/A</v>
      </c>
      <c r="M326" s="80" t="e">
        <f ca="1">(OFFSET(产销汇总!$C$1,MATCH(M$27,产销汇总!$C$2:$C$8,0),$C$26)*_xlfn.XLOOKUP(C326,巡逻产出!$B$311:$B$610,巡逻产出!$D$311:$D$610))*$M$24</f>
        <v>#N/A</v>
      </c>
      <c r="N326" s="80" t="e">
        <f ca="1">OFFSET(产销汇总!$C$1,MATCH(L$27,产销汇总!$C$2:$C$8,0),$C$26)*(_xlfn.XLOOKUP(MAX(1,INT(C326/10-6/10)),组队产出!$B$24:$B$39,组队产出!$S$24:$S$39))</f>
        <v>#N/A</v>
      </c>
      <c r="O326" s="172">
        <f>任务!$D$36</f>
        <v>2457.14285714286</v>
      </c>
      <c r="P326" s="98">
        <f t="shared" si="46"/>
        <v>428</v>
      </c>
      <c r="Q326" s="80">
        <f t="shared" si="52"/>
        <v>1000</v>
      </c>
      <c r="R326" s="172">
        <f t="shared" si="53"/>
        <v>2000</v>
      </c>
      <c r="S326" s="210">
        <f ca="1">IFERROR(OFFSET(金币本!$E$2,MATCH(C326,金币本!$F$3:$F$302,1),0)*IF($C$26=1,2,3),0)</f>
        <v>39750</v>
      </c>
      <c r="T326" s="172" t="e">
        <f ca="1">SUM($J$28:S326)+SUM(D326:I326)</f>
        <v>#N/A</v>
      </c>
      <c r="U326" s="172" t="e">
        <f ca="1" t="shared" si="47"/>
        <v>#N/A</v>
      </c>
      <c r="V326" s="98" t="e">
        <f ca="1" t="shared" si="48"/>
        <v>#N/A</v>
      </c>
      <c r="W326" s="98" t="e">
        <f ca="1">OFFSET(装备强化!$U$6,MATCH(图纸产出设计!V327/6*W$26,装备强化!$T$7:$T$306,1),0)*6</f>
        <v>#N/A</v>
      </c>
      <c r="X326" s="98">
        <v>1327940</v>
      </c>
      <c r="Y326" s="98">
        <f t="shared" si="54"/>
        <v>9456000</v>
      </c>
      <c r="Z326" s="98">
        <f t="shared" si="56"/>
        <v>2</v>
      </c>
      <c r="AA326" s="147" t="e">
        <f ca="1" t="shared" si="49"/>
        <v>#N/A</v>
      </c>
      <c r="AB326" s="209" t="e">
        <f ca="1" t="shared" si="50"/>
        <v>#N/A</v>
      </c>
      <c r="AC326" s="209">
        <f ca="1">SUMIFS(装备强化!$Q$7:$Q$306,装备强化!$M$7:$M$306,"&lt;="&amp;MATCH(U326/6,装备强化!$U$7:$U$306,1),装备强化!$M$7:$M$306,"&gt;="&amp;MATCH(V326/6,装备强化!$U$7:$U$306,1))*6</f>
        <v>0</v>
      </c>
      <c r="AD326">
        <f ca="1" t="shared" si="55"/>
        <v>0</v>
      </c>
    </row>
    <row r="327" spans="1:30">
      <c r="A327" s="171"/>
      <c r="B327" s="80">
        <v>300</v>
      </c>
      <c r="C327" s="80">
        <f ca="1">OFFSET(产销汇总!$C$12,$B327,$C$26)</f>
        <v>273</v>
      </c>
      <c r="D327" s="80">
        <f t="shared" si="51"/>
        <v>14100</v>
      </c>
      <c r="E327" s="80">
        <f ca="1">(SUMIF(主线推图!$B$4:$B$303,"&lt;"&amp;C327,主线推图!$M$4:$M$303)+SUMIF(主线宝箱!$B$320:$B$620,"&lt;"&amp;C327,主线宝箱!$L$320:$L$620)+SUMIF(主线宝箱!$B$320:$B$620,"&lt;"&amp;C327,主线宝箱!$X$320:$X$620)+SUMIF(主线宝箱!$B$320:$B$620,"&lt;"&amp;C327,主线宝箱!$AL$320:$AL$620))</f>
        <v>486600</v>
      </c>
      <c r="F327" s="98">
        <f ca="1">SUMIF(组队产出!$B$24:$B$39,"&lt;="&amp;MAX(1,INT(C327/10-0.6)),组队产出!$R$24:$R$39)</f>
        <v>141000</v>
      </c>
      <c r="G327" s="80">
        <f ca="1">SUMIF(运营活动!$O$3:$O$27,"&lt;="&amp;C327,运营活动!$P$3:$P$27)</f>
        <v>30000</v>
      </c>
      <c r="H327" s="80">
        <f ca="1">OFFSET(产销汇总!$AM$12,B327,$C$26)*24</f>
        <v>2194416</v>
      </c>
      <c r="I327" s="172">
        <f ca="1">SUMIF(金币本!$F$2:$F$52,"&lt;="&amp;C327,金币本!$D$2:$D$52)</f>
        <v>1425000</v>
      </c>
      <c r="J327" s="80">
        <f ca="1">OFFSET(产销汇总!$C$1,MATCH(J$27,产销汇总!$C$2:$C$8,0),$C$26)*(_xlfn.XLOOKUP(C327,主线推图!$B$313:$B$612,主线推图!$C$313:$C$612)+_xlfn.XLOOKUP(C327,主线推图!$B$313:$B$612,主线推图!$D$313:$D$612))</f>
        <v>18128</v>
      </c>
      <c r="K327" s="80">
        <f ca="1">OFFSET(产销汇总!$C$1,MATCH(K$27,产销汇总!$C$2:$C$8,0),$C$26)*_xlfn.XLOOKUP(C327,巡逻产出!$B$311:$B$610,巡逻产出!$C$311:$C$610)*1.3</f>
        <v>0</v>
      </c>
      <c r="L327" s="80" t="e">
        <f ca="1">OFFSET(产销汇总!$C$1,MATCH(L$27,产销汇总!$C$2:$C$8,0),$C$26)*(_xlfn.XLOOKUP(MAX(1,INT(C327/10-6/10)),组队产出!$B$24:$B$39,组队产出!$D$24:$D$39))+OFFSET(产销汇总!$C$1,MATCH(L$27,产销汇总!$C$2:$C$8,0),$C$26)*(_xlfn.XLOOKUP(MAX(1,INT(C327/10-6/10)),组队产出!$B$24:$B$39,组队产出!$C$24:$C$39))</f>
        <v>#N/A</v>
      </c>
      <c r="M327" s="80">
        <f ca="1">(OFFSET(产销汇总!$C$1,MATCH(M$27,产销汇总!$C$2:$C$8,0),$C$26)*_xlfn.XLOOKUP(C327,巡逻产出!$B$311:$B$610,巡逻产出!$D$311:$D$610))*$M$24</f>
        <v>12854.4</v>
      </c>
      <c r="N327" s="80" t="e">
        <f ca="1">OFFSET(产销汇总!$C$1,MATCH(L$27,产销汇总!$C$2:$C$8,0),$C$26)*(_xlfn.XLOOKUP(MAX(1,INT(C327/10-6/10)),组队产出!$B$24:$B$39,组队产出!$S$24:$S$39))</f>
        <v>#N/A</v>
      </c>
      <c r="O327" s="172">
        <f>任务!$D$36</f>
        <v>2457.14285714286</v>
      </c>
      <c r="P327" s="98">
        <f t="shared" si="46"/>
        <v>428</v>
      </c>
      <c r="Q327" s="80">
        <f t="shared" si="52"/>
        <v>1000</v>
      </c>
      <c r="R327" s="172">
        <f t="shared" si="53"/>
        <v>2000</v>
      </c>
      <c r="S327" s="210">
        <f ca="1">IFERROR(OFFSET(金币本!$E$2,MATCH(C327,金币本!$F$3:$F$302,1),0)*IF($C$26=1,2,3),0)</f>
        <v>39750</v>
      </c>
      <c r="T327" s="172" t="e">
        <f ca="1">SUM($J$28:S327)+SUM(D327:I327)</f>
        <v>#N/A</v>
      </c>
      <c r="U327" s="172" t="e">
        <f ca="1" t="shared" si="47"/>
        <v>#N/A</v>
      </c>
      <c r="V327" s="98" t="e">
        <f ca="1" t="shared" si="48"/>
        <v>#N/A</v>
      </c>
      <c r="W327" s="98" t="e">
        <f ca="1">OFFSET(装备强化!$U$6,MATCH(图纸产出设计!V328/6*W$26,装备强化!$T$7:$T$306,1),0)*6</f>
        <v>#N/A</v>
      </c>
      <c r="X327" s="98">
        <v>1327940</v>
      </c>
      <c r="Y327" s="98">
        <f t="shared" si="54"/>
        <v>9488000</v>
      </c>
      <c r="Z327" s="98">
        <f t="shared" si="56"/>
        <v>2</v>
      </c>
      <c r="AA327" s="147" t="e">
        <f ca="1" t="shared" si="49"/>
        <v>#N/A</v>
      </c>
      <c r="AB327" s="209" t="e">
        <f ca="1" t="shared" si="50"/>
        <v>#N/A</v>
      </c>
      <c r="AC327" s="209">
        <f ca="1">SUMIFS(装备强化!$Q$7:$Q$306,装备强化!$M$7:$M$306,"&lt;="&amp;MATCH(U327/6,装备强化!$U$7:$U$306,1),装备强化!$M$7:$M$306,"&gt;="&amp;MATCH(V327/6,装备强化!$U$7:$U$306,1))*6</f>
        <v>0</v>
      </c>
      <c r="AD327">
        <f ca="1" t="shared" si="55"/>
        <v>0</v>
      </c>
    </row>
    <row r="332" spans="1:30">
      <c r="B332"/>
      <c r="C332"/>
      <c r="D332" s="52"/>
      <c r="E332" s="52"/>
      <c r="F332" s="52"/>
    </row>
    <row r="333" spans="1:30">
      <c r="B333"/>
      <c r="C333"/>
      <c r="D333" s="52"/>
      <c r="E333" s="52"/>
      <c r="F333" s="52"/>
    </row>
    <row r="334" spans="1:30">
      <c r="B334"/>
      <c r="C334"/>
      <c r="D334" s="52"/>
      <c r="E334" s="52"/>
      <c r="F334" s="52"/>
    </row>
    <row r="335" spans="1:30">
      <c r="B335"/>
      <c r="C335"/>
      <c r="D335" s="52"/>
      <c r="E335" s="52"/>
      <c r="F335" s="52"/>
    </row>
    <row r="336" spans="1:30">
      <c r="B336"/>
      <c r="C336"/>
      <c r="D336" s="52"/>
      <c r="E336" s="52"/>
      <c r="F336" s="52"/>
    </row>
    <row r="337" spans="2:6">
      <c r="B337"/>
      <c r="C337"/>
      <c r="D337" s="52"/>
      <c r="E337" s="52"/>
      <c r="F337" s="52"/>
    </row>
    <row r="338" spans="2:6">
      <c r="B338"/>
      <c r="C338"/>
      <c r="D338" s="52"/>
      <c r="E338" s="52"/>
      <c r="F338" s="52"/>
    </row>
    <row r="339" spans="2:6">
      <c r="B339"/>
      <c r="C339"/>
      <c r="D339" s="52"/>
      <c r="E339" s="52"/>
      <c r="F339" s="52"/>
    </row>
    <row r="340" spans="2:6">
      <c r="B340"/>
      <c r="C340"/>
      <c r="D340" s="52"/>
      <c r="E340" s="52"/>
      <c r="F340" s="52"/>
    </row>
    <row r="341" spans="2:6">
      <c r="B341"/>
      <c r="C341"/>
      <c r="D341" s="52"/>
      <c r="E341" s="52"/>
      <c r="F341" s="52"/>
    </row>
    <row r="342" spans="2:6">
      <c r="B342"/>
      <c r="C342"/>
    </row>
    <row r="343" spans="2:6">
      <c r="B343"/>
      <c r="C343"/>
    </row>
    <row r="344" spans="2:6">
      <c r="B344"/>
      <c r="C344"/>
    </row>
    <row r="345" spans="2:6">
      <c r="B345"/>
      <c r="C345"/>
    </row>
    <row r="346" spans="2:6">
      <c r="B346"/>
      <c r="C346"/>
    </row>
    <row r="347" spans="2:6">
      <c r="B347"/>
      <c r="C347"/>
    </row>
    <row r="348" spans="2:6">
      <c r="B348"/>
      <c r="C348"/>
    </row>
    <row r="349" spans="2:6">
      <c r="B349"/>
      <c r="C349"/>
    </row>
    <row r="350" spans="2:6">
      <c r="B350"/>
      <c r="C350"/>
    </row>
    <row r="351" spans="2:6">
      <c r="B351"/>
      <c r="C351"/>
    </row>
    <row r="352" spans="2:6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</sheetData>
  <conditionalFormatting sqref="E7:E2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{0149c937-5b72-4988-a872-4dded4fd4bc8}</x14:id>
        </ext>
      </extLst>
    </cfRule>
  </conditionalFormatting>
  <pageMargins left="0.75" right="0.75" top="1" bottom="1" header="0.5" footer="0.5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49c937-5b72-4988-a872-4dded4fd4bc8}">
            <x14:dataBar minLength="0" maxLength="100" border="1" negativeBarBorderColorSameAsPositive="0">
              <x14:cfvo type="min"/>
              <x14:cfvo type="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E7:E22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theme="5"/>
  </sheetPr>
  <dimension ref="A1:W342"/>
  <sheetViews>
    <sheetView topLeftCell="A34" workbookViewId="0">
      <selection activeCell="E69" sqref="E67:F69"/>
    </sheetView>
  </sheetViews>
  <sheetFormatPr defaultColWidth="9" defaultRowHeight="16.5"/>
  <cols>
    <col min="1" max="2" width="9" style="132"/>
    <col min="3" max="3" width="9.375" style="132" customWidth="1"/>
    <col min="4" max="4" width="9.25" style="132"/>
    <col min="5" max="5" width="14.125" style="132"/>
    <col min="6" max="6" width="9" style="132"/>
    <col min="7" max="7" width="9.25" style="132"/>
    <col min="8" max="8" width="9" style="132"/>
    <col min="9" max="9" width="9.25" style="132"/>
    <col min="10" max="18" width="9" style="132"/>
    <col min="19" max="21" width="9.25" style="132"/>
    <col min="22" max="22" width="9" style="132"/>
    <col min="23" max="23" width="11" style="132" customWidth="1"/>
    <col min="24" max="26" width="9" style="132"/>
  </cols>
  <sheetData>
    <row r="1" spans="1:8">
      <c r="A1" s="83"/>
      <c r="B1" s="80"/>
      <c r="C1" s="80"/>
      <c r="D1" s="80"/>
      <c r="E1" s="80"/>
      <c r="F1" s="80"/>
      <c r="G1" s="80"/>
      <c r="H1" s="80"/>
    </row>
    <row r="2" spans="1:8">
      <c r="A2" s="171"/>
      <c r="B2" s="80" t="s">
        <v>14</v>
      </c>
      <c r="C2" s="80">
        <v>60</v>
      </c>
      <c r="D2" s="80"/>
      <c r="E2" s="80"/>
      <c r="F2" s="80"/>
      <c r="G2" s="80"/>
      <c r="H2" s="80"/>
    </row>
    <row r="3" spans="1:8">
      <c r="A3" s="171"/>
      <c r="B3" s="80" t="s">
        <v>15</v>
      </c>
      <c r="C3" s="172" t="e">
        <f ca="1">SUM(C7:C23)*3</f>
        <v>#N/A</v>
      </c>
      <c r="D3" s="80"/>
      <c r="E3" s="80"/>
      <c r="F3" s="80"/>
      <c r="G3" s="80"/>
      <c r="H3" s="80"/>
    </row>
    <row r="4" spans="1:8">
      <c r="A4" s="171"/>
      <c r="B4" s="80" t="s">
        <v>61</v>
      </c>
      <c r="C4" s="172" t="e">
        <f ca="1">OFFSET(装备强化!G6,MATCH(C3/3/6,装备强化!$T$7:$T$306,1),0)*6</f>
        <v>#N/A</v>
      </c>
      <c r="D4" s="83"/>
      <c r="E4" s="80"/>
      <c r="F4" s="80"/>
      <c r="G4" s="80"/>
      <c r="H4" s="80"/>
    </row>
    <row r="5" spans="1:8">
      <c r="A5" s="171"/>
      <c r="B5" s="80"/>
      <c r="C5" s="80"/>
      <c r="D5" s="80"/>
      <c r="E5" s="80"/>
      <c r="F5" s="80"/>
      <c r="G5" s="80"/>
      <c r="H5" s="80"/>
    </row>
    <row r="6" spans="1:8">
      <c r="A6" s="171"/>
      <c r="B6" s="80" t="s">
        <v>16</v>
      </c>
      <c r="C6" s="80" t="s">
        <v>17</v>
      </c>
      <c r="D6" s="80" t="s">
        <v>18</v>
      </c>
      <c r="E6" s="80" t="s">
        <v>19</v>
      </c>
      <c r="G6" s="80"/>
      <c r="H6" s="80"/>
    </row>
    <row r="7" spans="1:8">
      <c r="A7" s="171"/>
      <c r="B7" s="80" t="s">
        <v>35</v>
      </c>
      <c r="C7" s="80" t="e">
        <f ca="1" t="shared" ref="C7:C24" si="0">IF(D7="每日",SUMIF($B$29:$B$328,"&lt;="&amp;$C$2,OFFSET($C$29:$C$328,0,MATCH($B7,$D$28:$V$28,0))),SUMIF($B$29:$B$328,"="&amp;$C$2,OFFSET($C$29:$C$328,0,MATCH($B7,$D$28:$V$28,0))))</f>
        <v>#N/A</v>
      </c>
      <c r="D7" s="80" t="s">
        <v>24</v>
      </c>
      <c r="E7" s="174" t="e">
        <f ca="1" t="shared" ref="E7:E24" si="1">C7/SUM($C$7:$C$23)</f>
        <v>#N/A</v>
      </c>
      <c r="F7" s="80"/>
      <c r="G7" s="80"/>
      <c r="H7" s="80"/>
    </row>
    <row r="8" spans="1:8">
      <c r="A8" s="171"/>
      <c r="B8" s="80" t="s">
        <v>62</v>
      </c>
      <c r="C8" s="80">
        <f ca="1" t="shared" si="0"/>
        <v>7042.85714285711</v>
      </c>
      <c r="D8" s="80" t="s">
        <v>24</v>
      </c>
      <c r="E8" s="174" t="e">
        <f ca="1" t="shared" si="1"/>
        <v>#N/A</v>
      </c>
      <c r="F8" s="80"/>
      <c r="G8" s="80"/>
      <c r="H8" s="80"/>
    </row>
    <row r="9" spans="1:8">
      <c r="A9" s="171"/>
      <c r="B9" s="80" t="s">
        <v>63</v>
      </c>
      <c r="C9" s="80">
        <f ca="1" t="shared" si="0"/>
        <v>5900</v>
      </c>
      <c r="D9" s="80" t="s">
        <v>24</v>
      </c>
      <c r="E9" s="174" t="e">
        <f ca="1" t="shared" si="1"/>
        <v>#N/A</v>
      </c>
      <c r="F9" s="80"/>
      <c r="G9" s="80"/>
      <c r="H9" s="80"/>
    </row>
    <row r="10" spans="1:8">
      <c r="A10" s="171"/>
      <c r="B10" s="80" t="s">
        <v>64</v>
      </c>
      <c r="C10" s="80">
        <f ca="1" t="shared" si="0"/>
        <v>8900</v>
      </c>
      <c r="D10" s="80" t="s">
        <v>24</v>
      </c>
      <c r="E10" s="174" t="e">
        <f ca="1" t="shared" si="1"/>
        <v>#N/A</v>
      </c>
      <c r="F10" s="80"/>
      <c r="G10" s="80"/>
      <c r="H10" s="80"/>
    </row>
    <row r="11" spans="1:8">
      <c r="A11" s="171"/>
      <c r="B11" s="80" t="s">
        <v>37</v>
      </c>
      <c r="C11" s="80" t="e">
        <f ca="1" t="shared" si="0"/>
        <v>#N/A</v>
      </c>
      <c r="D11" s="80" t="s">
        <v>24</v>
      </c>
      <c r="E11" s="174" t="e">
        <f ca="1" t="shared" si="1"/>
        <v>#N/A</v>
      </c>
      <c r="F11" s="80"/>
      <c r="G11" s="80"/>
      <c r="H11" s="80"/>
    </row>
    <row r="12" spans="1:8">
      <c r="A12" s="171"/>
      <c r="B12" s="80" t="s">
        <v>65</v>
      </c>
      <c r="C12" s="80">
        <f ca="1" t="shared" si="0"/>
        <v>10800</v>
      </c>
      <c r="D12" s="80" t="s">
        <v>24</v>
      </c>
      <c r="E12" s="174" t="e">
        <f ca="1" t="shared" si="1"/>
        <v>#N/A</v>
      </c>
      <c r="F12" s="80"/>
      <c r="G12" s="80"/>
      <c r="H12" s="80"/>
    </row>
    <row r="13" spans="1:8">
      <c r="A13" s="171"/>
      <c r="B13" s="80" t="s">
        <v>39</v>
      </c>
      <c r="C13" s="80">
        <f ca="1" t="shared" si="0"/>
        <v>5760</v>
      </c>
      <c r="D13" s="80" t="s">
        <v>24</v>
      </c>
      <c r="E13" s="174" t="e">
        <f ca="1" t="shared" si="1"/>
        <v>#N/A</v>
      </c>
      <c r="F13" s="80"/>
      <c r="G13" s="80"/>
      <c r="H13" s="80"/>
    </row>
    <row r="14" spans="1:8">
      <c r="A14" s="171"/>
      <c r="B14" s="80" t="s">
        <v>38</v>
      </c>
      <c r="C14" s="80" t="e">
        <f ca="1" t="shared" si="0"/>
        <v>#N/A</v>
      </c>
      <c r="D14" s="80" t="s">
        <v>24</v>
      </c>
      <c r="E14" s="174" t="e">
        <f ca="1" t="shared" si="1"/>
        <v>#N/A</v>
      </c>
      <c r="F14" s="80"/>
      <c r="G14" s="80"/>
      <c r="H14" s="80"/>
    </row>
    <row r="15" spans="1:8">
      <c r="A15" s="171"/>
      <c r="B15" s="80" t="s">
        <v>66</v>
      </c>
      <c r="C15" s="80">
        <f ca="1" t="shared" si="0"/>
        <v>5320</v>
      </c>
      <c r="D15" s="80" t="s">
        <v>31</v>
      </c>
      <c r="E15" s="174" t="e">
        <f ca="1" t="shared" si="1"/>
        <v>#N/A</v>
      </c>
      <c r="F15" s="80"/>
      <c r="G15" s="80"/>
      <c r="H15" s="80"/>
    </row>
    <row r="16" spans="1:8">
      <c r="A16" s="171"/>
      <c r="B16" s="80" t="s">
        <v>67</v>
      </c>
      <c r="C16" s="80">
        <f ca="1" t="shared" si="0"/>
        <v>3890</v>
      </c>
      <c r="D16" s="80" t="s">
        <v>31</v>
      </c>
      <c r="E16" s="174" t="e">
        <f ca="1" t="shared" si="1"/>
        <v>#N/A</v>
      </c>
      <c r="F16" s="80"/>
      <c r="G16" s="80"/>
      <c r="H16" s="80"/>
    </row>
    <row r="17" spans="1:23">
      <c r="A17" s="171"/>
      <c r="B17" s="80" t="s">
        <v>42</v>
      </c>
      <c r="C17" s="80">
        <f ca="1" t="shared" si="0"/>
        <v>2040</v>
      </c>
      <c r="D17" s="80" t="s">
        <v>24</v>
      </c>
      <c r="E17" s="174" t="e">
        <f ca="1" t="shared" si="1"/>
        <v>#N/A</v>
      </c>
      <c r="F17" s="80"/>
      <c r="G17" s="80"/>
      <c r="H17" s="80"/>
    </row>
    <row r="18" spans="1:23">
      <c r="A18" s="171"/>
      <c r="B18" s="80" t="s">
        <v>68</v>
      </c>
      <c r="C18" s="80">
        <f ca="1" t="shared" si="0"/>
        <v>0</v>
      </c>
      <c r="D18" s="80" t="s">
        <v>24</v>
      </c>
      <c r="E18" s="174" t="e">
        <f ca="1" t="shared" si="1"/>
        <v>#N/A</v>
      </c>
      <c r="F18" s="80"/>
      <c r="G18" s="80"/>
      <c r="H18" s="80"/>
    </row>
    <row r="19" spans="1:23">
      <c r="A19" s="171"/>
      <c r="B19" s="80" t="s">
        <v>69</v>
      </c>
      <c r="C19" s="80">
        <f ca="1" t="shared" si="0"/>
        <v>600</v>
      </c>
      <c r="D19" s="80" t="s">
        <v>24</v>
      </c>
      <c r="E19" s="174" t="e">
        <f ca="1" t="shared" si="1"/>
        <v>#N/A</v>
      </c>
      <c r="F19" s="80"/>
      <c r="G19" s="80"/>
      <c r="H19" s="80"/>
    </row>
    <row r="20" spans="1:23">
      <c r="A20" s="171"/>
      <c r="B20" s="80" t="s">
        <v>45</v>
      </c>
      <c r="C20" s="80">
        <f ca="1" t="shared" si="0"/>
        <v>600</v>
      </c>
      <c r="D20" s="80" t="s">
        <v>24</v>
      </c>
      <c r="E20" s="174" t="e">
        <f ca="1" t="shared" si="1"/>
        <v>#N/A</v>
      </c>
      <c r="F20" s="80"/>
      <c r="G20" s="80"/>
      <c r="H20" s="80"/>
    </row>
    <row r="21" spans="1:23">
      <c r="A21" s="171"/>
      <c r="B21" s="80" t="s">
        <v>70</v>
      </c>
      <c r="C21" s="80">
        <f ca="1" t="shared" si="0"/>
        <v>450</v>
      </c>
      <c r="D21" s="80" t="s">
        <v>31</v>
      </c>
      <c r="E21" s="174" t="e">
        <f ca="1" t="shared" si="1"/>
        <v>#N/A</v>
      </c>
      <c r="F21" s="80"/>
      <c r="G21" s="80"/>
      <c r="H21" s="80"/>
    </row>
    <row r="22" spans="1:23">
      <c r="A22" s="171"/>
      <c r="B22" s="80" t="s">
        <v>71</v>
      </c>
      <c r="C22" s="80">
        <f ca="1" t="shared" si="0"/>
        <v>170</v>
      </c>
      <c r="D22" s="80" t="s">
        <v>24</v>
      </c>
      <c r="E22" s="174" t="e">
        <f ca="1" t="shared" si="1"/>
        <v>#N/A</v>
      </c>
      <c r="F22" s="80"/>
      <c r="G22" s="80"/>
      <c r="H22" s="80"/>
    </row>
    <row r="23" spans="1:23">
      <c r="A23" s="171"/>
      <c r="B23" s="80" t="s">
        <v>72</v>
      </c>
      <c r="C23" s="80">
        <f ca="1" t="shared" si="0"/>
        <v>110</v>
      </c>
      <c r="D23" s="80" t="s">
        <v>31</v>
      </c>
      <c r="E23" s="174" t="e">
        <f ca="1" t="shared" si="1"/>
        <v>#N/A</v>
      </c>
      <c r="F23" s="80"/>
      <c r="G23" s="80"/>
      <c r="H23" s="80"/>
    </row>
    <row r="24" spans="1:23">
      <c r="A24" s="171"/>
      <c r="B24" s="80" t="s">
        <v>47</v>
      </c>
      <c r="C24" s="80">
        <f ca="1" t="shared" si="0"/>
        <v>102</v>
      </c>
      <c r="D24" s="80" t="s">
        <v>24</v>
      </c>
      <c r="E24" s="174" t="e">
        <f ca="1" t="shared" si="1"/>
        <v>#N/A</v>
      </c>
      <c r="F24" s="80"/>
      <c r="G24" s="80"/>
      <c r="H24" s="80"/>
    </row>
    <row r="25" spans="1:23">
      <c r="A25" s="171"/>
      <c r="D25" s="80"/>
      <c r="E25" s="80"/>
      <c r="F25" s="80"/>
      <c r="G25" s="80"/>
      <c r="H25" s="80"/>
    </row>
    <row r="26" spans="1:23">
      <c r="A26" s="171"/>
      <c r="B26" s="80"/>
      <c r="E26" s="80"/>
      <c r="F26" s="80"/>
      <c r="G26" s="80"/>
      <c r="H26" s="80"/>
    </row>
    <row r="27" spans="1:23">
      <c r="A27" s="171"/>
      <c r="B27" s="80" t="str">
        <f ca="1">金币平衡!B26</f>
        <v>大R</v>
      </c>
      <c r="C27" s="80">
        <f>金币平衡!C26</f>
        <v>4</v>
      </c>
      <c r="D27" s="80" t="s">
        <v>31</v>
      </c>
      <c r="E27" s="80"/>
      <c r="F27" s="80"/>
      <c r="G27" s="80"/>
      <c r="H27" s="80" t="s">
        <v>50</v>
      </c>
      <c r="I27" s="80"/>
      <c r="J27" s="80"/>
      <c r="K27" s="80" t="s">
        <v>73</v>
      </c>
      <c r="L27" s="80"/>
      <c r="M27" s="80"/>
      <c r="N27" s="80"/>
      <c r="O27" s="80"/>
      <c r="P27" s="80" t="s">
        <v>74</v>
      </c>
      <c r="Q27" s="80"/>
    </row>
    <row r="28" spans="1:23">
      <c r="A28" s="171"/>
      <c r="B28" s="80" t="s">
        <v>21</v>
      </c>
      <c r="C28" s="80" t="s">
        <v>52</v>
      </c>
      <c r="D28" s="80" t="s">
        <v>66</v>
      </c>
      <c r="E28" s="80" t="s">
        <v>72</v>
      </c>
      <c r="F28" s="80" t="s">
        <v>70</v>
      </c>
      <c r="G28" s="80" t="s">
        <v>67</v>
      </c>
      <c r="H28" s="80" t="s">
        <v>37</v>
      </c>
      <c r="I28" s="80" t="s">
        <v>38</v>
      </c>
      <c r="J28" s="80" t="s">
        <v>39</v>
      </c>
      <c r="K28" s="80" t="s">
        <v>35</v>
      </c>
      <c r="L28" s="80" t="s">
        <v>65</v>
      </c>
      <c r="M28" s="80" t="s">
        <v>42</v>
      </c>
      <c r="N28" s="80" t="s">
        <v>47</v>
      </c>
      <c r="O28" s="80" t="s">
        <v>71</v>
      </c>
      <c r="P28" s="80" t="s">
        <v>68</v>
      </c>
      <c r="Q28" s="80" t="s">
        <v>69</v>
      </c>
      <c r="R28" s="80" t="s">
        <v>45</v>
      </c>
      <c r="S28" s="80" t="s">
        <v>63</v>
      </c>
      <c r="T28" s="80" t="s">
        <v>62</v>
      </c>
      <c r="U28" s="80" t="s">
        <v>64</v>
      </c>
      <c r="V28" s="80" t="s">
        <v>53</v>
      </c>
    </row>
    <row r="29" spans="1:23">
      <c r="A29" s="171"/>
      <c r="B29" s="80">
        <v>1</v>
      </c>
      <c r="C29" s="80">
        <f ca="1">OFFSET(产销汇总!$C$12,$B29,$C$27)</f>
        <v>30</v>
      </c>
      <c r="D29" s="80">
        <f ca="1">SUMIF(主线宝箱!$B$321:$B$620,"&lt;="&amp;C29,主线宝箱!$H$321:$H$620)+SUMIF(主线宝箱!$B$321:$B$620,"&lt;="&amp;C29,主线宝箱!$T$321:$T$620)</f>
        <v>1200</v>
      </c>
      <c r="E29" s="80">
        <v>110</v>
      </c>
      <c r="F29" s="80">
        <f>0.225*100*5</f>
        <v>112.5</v>
      </c>
      <c r="G29" s="80">
        <f ca="1">IF(AND($C$27&lt;3,B29&gt;3),G28,SUMIF(图纸产出设计!$F$334:$F$342,"&lt;="&amp;B29,图纸产出设计!$C$334:$C$342))</f>
        <v>1590</v>
      </c>
      <c r="H29" s="80">
        <f ca="1">OFFSET(产销汇总!$C$1,MATCH(H$28,产销汇总!$C$2:$C$8,0),$C$27)*(_xlfn.XLOOKUP(C29,主线推图!$B$313:$B$612,主线推图!$G$313:$G$612)+_xlfn.XLOOKUP(C29,主线推图!$B$313:$B$612,主线推图!$H$313:$H$612))</f>
        <v>176</v>
      </c>
      <c r="I29" s="80">
        <f ca="1">OFFSET(产销汇总!$C$1,MATCH(I$28,产销汇总!$C$2:$C$8,0),$C$27)*_xlfn.XLOOKUP(C29,巡逻产出!$B$311:$B$610,巡逻产出!$H$311:$H$610)</f>
        <v>0</v>
      </c>
      <c r="J29" s="80">
        <f ca="1">OFFSET(产销汇总!$C$1,MATCH(J$28,产销汇总!$C$2:$C$8,0),$C$27)*(_xlfn.XLOOKUP(MAX(1,INT(C29/10-6/10)),组队产出!$B$24:$B$39,组队产出!$J$24:$J$39)+_xlfn.XLOOKUP(MAX(1,INT(C29/10-6/10)),组队产出!$B$24:$B$39,组队产出!$K$24:$K$39))</f>
        <v>96</v>
      </c>
      <c r="K29" s="80">
        <f ca="1">OFFSET(产销汇总!$C$1,MATCH(K$28,产销汇总!$C$2:$C$8,0),$C$27)*_xlfn.XLOOKUP(C29,巡逻产出!$B$311:$B$610,巡逻产出!$I$311:$I$610)*IF($C$27=1,0.5,1)</f>
        <v>312</v>
      </c>
      <c r="L29" s="80">
        <f ca="1">OFFSET(产销汇总!$C$1,MATCH(L$28,产销汇总!$C$2:$C$8,0),$C$27)*竞技场!$C$5</f>
        <v>180</v>
      </c>
      <c r="M29" s="80">
        <f>任务!$C$6+IF(MOD(B29,7)=0,任务!$M$25)</f>
        <v>30</v>
      </c>
      <c r="N29" s="98">
        <f t="shared" ref="N29:N92" si="2">ROUND(12/7,1)</f>
        <v>1.7</v>
      </c>
      <c r="O29" s="80">
        <f t="shared" ref="O29:O92" si="3">IF(MOD(B29,7)=2,10,0)+IF(MOD(B29,7)=5,10,0)</f>
        <v>0</v>
      </c>
      <c r="P29" s="172">
        <f ca="1">OFFSET(产销汇总!$C$1,MATCH(P$27,产销汇总!$C$2:$C$8,0),$C$27)/200*协力宝箱!$Q$82</f>
        <v>0</v>
      </c>
      <c r="Q29" s="80">
        <f t="shared" ref="Q29:Q92" si="4">0.2*5*10</f>
        <v>10</v>
      </c>
      <c r="R29" s="80">
        <v>10</v>
      </c>
      <c r="S29" s="172">
        <v>50</v>
      </c>
      <c r="T29" s="172"/>
      <c r="U29" s="172">
        <f>IF($C$27&lt;2,50,100)+IF(B29&gt;=3,50,0)</f>
        <v>100</v>
      </c>
      <c r="V29" s="172">
        <f ca="1">SUM($H$29:U29)+SUM(D29:G29)</f>
        <v>3978.2</v>
      </c>
    </row>
    <row r="30" spans="1:23">
      <c r="A30" s="171"/>
      <c r="B30" s="80">
        <v>2</v>
      </c>
      <c r="C30" s="80">
        <f ca="1">OFFSET(产销汇总!$C$12,$B30,$C$27)</f>
        <v>35</v>
      </c>
      <c r="D30" s="80">
        <f ca="1">SUMIF(主线宝箱!$B$321:$B$620,"&lt;="&amp;C30,主线宝箱!$H$321:$H$620)+SUMIF(主线宝箱!$B$321:$B$620,"&lt;="&amp;C30,主线宝箱!$T$321:$T$620)</f>
        <v>1400</v>
      </c>
      <c r="E30" s="80">
        <v>110</v>
      </c>
      <c r="F30" s="80">
        <f t="shared" ref="F30:F44" si="5">F29+22.5</f>
        <v>135</v>
      </c>
      <c r="G30" s="80">
        <f ca="1">IF(AND($C$27&lt;3,B30&gt;3),G29,SUMIF(图纸产出设计!$F$334:$F$342,"&lt;="&amp;B30,图纸产出设计!$C$334:$C$342))</f>
        <v>2690</v>
      </c>
      <c r="H30" s="80">
        <f ca="1">OFFSET(产销汇总!$C$1,MATCH(H$28,产销汇总!$C$2:$C$8,0),$C$27)*(_xlfn.XLOOKUP(C30,主线推图!$B$313:$B$612,主线推图!$G$313:$G$612)+_xlfn.XLOOKUP(C30,主线推图!$B$313:$B$612,主线推图!$H$313:$H$612))</f>
        <v>176</v>
      </c>
      <c r="I30" s="80">
        <f ca="1">OFFSET(产销汇总!$C$1,MATCH(I$28,产销汇总!$C$2:$C$8,0),$C$27)*_xlfn.XLOOKUP(C30,巡逻产出!$B$311:$B$610,巡逻产出!$H$311:$H$610)</f>
        <v>0</v>
      </c>
      <c r="J30" s="80">
        <f ca="1">OFFSET(产销汇总!$C$1,MATCH(J$28,产销汇总!$C$2:$C$8,0),$C$27)*(_xlfn.XLOOKUP(MAX(1,INT(C30/10-6/10)),组队产出!$B$24:$B$39,组队产出!$J$24:$J$39)+_xlfn.XLOOKUP(MAX(1,INT(C30/10-6/10)),组队产出!$B$24:$B$39,组队产出!$K$24:$K$39))</f>
        <v>96</v>
      </c>
      <c r="K30" s="80">
        <f ca="1">OFFSET(产销汇总!$C$1,MATCH(K$28,产销汇总!$C$2:$C$8,0),$C$27)*_xlfn.XLOOKUP(C30,巡逻产出!$B$311:$B$610,巡逻产出!$I$311:$I$610)*IF($C$27=1,0.5,1)</f>
        <v>312</v>
      </c>
      <c r="L30" s="80">
        <f ca="1">OFFSET(产销汇总!$C$1,MATCH(L$28,产销汇总!$C$2:$C$8,0),$C$27)*竞技场!$C$5</f>
        <v>180</v>
      </c>
      <c r="M30" s="80">
        <f>任务!$C$6+IF(MOD(B30,7)=0,任务!$M$25)</f>
        <v>30</v>
      </c>
      <c r="N30" s="98">
        <f t="shared" si="2"/>
        <v>1.7</v>
      </c>
      <c r="O30" s="80">
        <f t="shared" si="3"/>
        <v>10</v>
      </c>
      <c r="P30" s="172">
        <f ca="1">OFFSET(产销汇总!$C$1,MATCH(P$27,产销汇总!$C$2:$C$8,0),$C$27)/200*协力宝箱!$Q$82</f>
        <v>0</v>
      </c>
      <c r="Q30" s="80">
        <f t="shared" si="4"/>
        <v>10</v>
      </c>
      <c r="R30" s="80">
        <v>10</v>
      </c>
      <c r="S30" s="172">
        <v>50</v>
      </c>
      <c r="T30" s="172"/>
      <c r="U30" s="172">
        <f t="shared" ref="U30:U93" si="6">IF($C$27&lt;2,50,100)+IF(B30&gt;=3,50,0)</f>
        <v>100</v>
      </c>
      <c r="V30" s="172">
        <f ca="1">SUM($H$29:U30)+SUM(D30:G30)</f>
        <v>6276.4</v>
      </c>
      <c r="W30" s="132">
        <f ca="1">V30-V29</f>
        <v>2298.2</v>
      </c>
    </row>
    <row r="31" spans="1:23">
      <c r="A31" s="171"/>
      <c r="B31" s="80">
        <v>3</v>
      </c>
      <c r="C31" s="80">
        <f ca="1">OFFSET(产销汇总!$C$12,$B31,$C$27)</f>
        <v>40</v>
      </c>
      <c r="D31" s="80">
        <f ca="1">SUMIF(主线宝箱!$B$321:$B$620,"&lt;="&amp;C31,主线宝箱!$H$321:$H$620)+SUMIF(主线宝箱!$B$321:$B$620,"&lt;="&amp;C31,主线宝箱!$T$321:$T$620)</f>
        <v>1600</v>
      </c>
      <c r="E31" s="80">
        <v>110</v>
      </c>
      <c r="F31" s="80">
        <f t="shared" si="5"/>
        <v>157.5</v>
      </c>
      <c r="G31" s="80">
        <f ca="1">IF(AND($C$27&lt;3,B31&gt;3),G30,SUMIF(图纸产出设计!$F$334:$F$342,"&lt;="&amp;B31,图纸产出设计!$C$334:$C$342))</f>
        <v>3890</v>
      </c>
      <c r="H31" s="80">
        <f ca="1">OFFSET(产销汇总!$C$1,MATCH(H$28,产销汇总!$C$2:$C$8,0),$C$27)*(_xlfn.XLOOKUP(C31,主线推图!$B$313:$B$612,主线推图!$G$313:$G$612)+_xlfn.XLOOKUP(C31,主线推图!$B$313:$B$612,主线推图!$H$313:$H$612))</f>
        <v>176</v>
      </c>
      <c r="I31" s="80">
        <f ca="1">OFFSET(产销汇总!$C$1,MATCH(I$28,产销汇总!$C$2:$C$8,0),$C$27)*_xlfn.XLOOKUP(C31,巡逻产出!$B$311:$B$610,巡逻产出!$H$311:$H$610)</f>
        <v>0</v>
      </c>
      <c r="J31" s="80">
        <f ca="1">OFFSET(产销汇总!$C$1,MATCH(J$28,产销汇总!$C$2:$C$8,0),$C$27)*(_xlfn.XLOOKUP(MAX(1,INT(C31/10-6/10)),组队产出!$B$24:$B$39,组队产出!$J$24:$J$39)+_xlfn.XLOOKUP(MAX(1,INT(C31/10-6/10)),组队产出!$B$24:$B$39,组队产出!$K$24:$K$39))</f>
        <v>96</v>
      </c>
      <c r="K31" s="80">
        <f ca="1">OFFSET(产销汇总!$C$1,MATCH(K$28,产销汇总!$C$2:$C$8,0),$C$27)*_xlfn.XLOOKUP(C31,巡逻产出!$B$311:$B$610,巡逻产出!$I$311:$I$610)*IF($C$27=1,0.5,1)</f>
        <v>312</v>
      </c>
      <c r="L31" s="80">
        <f ca="1">OFFSET(产销汇总!$C$1,MATCH(L$28,产销汇总!$C$2:$C$8,0),$C$27)*竞技场!$C$5</f>
        <v>180</v>
      </c>
      <c r="M31" s="80">
        <f>任务!$C$6+IF(MOD(B31,7)=0,任务!$M$25)</f>
        <v>30</v>
      </c>
      <c r="N31" s="98">
        <f t="shared" si="2"/>
        <v>1.7</v>
      </c>
      <c r="O31" s="80">
        <f t="shared" si="3"/>
        <v>0</v>
      </c>
      <c r="P31" s="172">
        <f ca="1">OFFSET(产销汇总!$C$1,MATCH(P$27,产销汇总!$C$2:$C$8,0),$C$27)/200*协力宝箱!$Q$82</f>
        <v>0</v>
      </c>
      <c r="Q31" s="80">
        <f t="shared" si="4"/>
        <v>10</v>
      </c>
      <c r="R31" s="80">
        <v>10</v>
      </c>
      <c r="S31" s="172">
        <v>100</v>
      </c>
      <c r="T31" s="172">
        <f>(公会!$F$12+公会!$F$13+公会!$F$14+公会!$F$18/7)/2</f>
        <v>121.428571428571</v>
      </c>
      <c r="U31" s="172">
        <f t="shared" si="6"/>
        <v>150</v>
      </c>
      <c r="V31" s="172">
        <f ca="1">SUM($H$29:U31)+SUM(D31:G31)</f>
        <v>8886.02857142857</v>
      </c>
      <c r="W31" s="132">
        <f ca="1" t="shared" ref="W31:W94" si="7">V31-V30</f>
        <v>2609.62857142857</v>
      </c>
    </row>
    <row r="32" spans="1:23">
      <c r="A32" s="171"/>
      <c r="B32" s="80">
        <v>4</v>
      </c>
      <c r="C32" s="80">
        <f ca="1">OFFSET(产销汇总!$C$12,$B32,$C$27)</f>
        <v>46</v>
      </c>
      <c r="D32" s="80">
        <f ca="1">SUMIF(主线宝箱!$B$321:$B$620,"&lt;="&amp;C32,主线宝箱!$H$321:$H$620)+SUMIF(主线宝箱!$B$321:$B$620,"&lt;="&amp;C32,主线宝箱!$T$321:$T$620)</f>
        <v>1840</v>
      </c>
      <c r="E32" s="80">
        <v>110</v>
      </c>
      <c r="F32" s="80">
        <f t="shared" si="5"/>
        <v>180</v>
      </c>
      <c r="G32" s="80">
        <f ca="1">IF(AND($C$27&lt;3,B32&gt;3),G31,SUMIF(图纸产出设计!$F$334:$F$342,"&lt;="&amp;B32,图纸产出设计!$C$334:$C$342))</f>
        <v>3890</v>
      </c>
      <c r="H32" s="80">
        <f ca="1">OFFSET(产销汇总!$C$1,MATCH(H$28,产销汇总!$C$2:$C$8,0),$C$27)*(_xlfn.XLOOKUP(C32,主线推图!$B$313:$B$612,主线推图!$G$313:$G$612)+_xlfn.XLOOKUP(C32,主线推图!$B$313:$B$612,主线推图!$H$313:$H$612))</f>
        <v>176</v>
      </c>
      <c r="I32" s="80">
        <f ca="1">OFFSET(产销汇总!$C$1,MATCH(I$28,产销汇总!$C$2:$C$8,0),$C$27)*_xlfn.XLOOKUP(C32,巡逻产出!$B$311:$B$610,巡逻产出!$H$311:$H$610)</f>
        <v>0</v>
      </c>
      <c r="J32" s="80">
        <f ca="1">OFFSET(产销汇总!$C$1,MATCH(J$28,产销汇总!$C$2:$C$8,0),$C$27)*(_xlfn.XLOOKUP(MAX(1,INT(C32/10-6/10)),组队产出!$B$24:$B$39,组队产出!$J$24:$J$39)+_xlfn.XLOOKUP(MAX(1,INT(C32/10-6/10)),组队产出!$B$24:$B$39,组队产出!$K$24:$K$39))</f>
        <v>96</v>
      </c>
      <c r="K32" s="80">
        <f ca="1">OFFSET(产销汇总!$C$1,MATCH(K$28,产销汇总!$C$2:$C$8,0),$C$27)*_xlfn.XLOOKUP(C32,巡逻产出!$B$311:$B$610,巡逻产出!$I$311:$I$610)*IF($C$27=1,0.5,1)</f>
        <v>312</v>
      </c>
      <c r="L32" s="80">
        <f ca="1">OFFSET(产销汇总!$C$1,MATCH(L$28,产销汇总!$C$2:$C$8,0),$C$27)*竞技场!$C$5</f>
        <v>180</v>
      </c>
      <c r="M32" s="80">
        <f>任务!$C$6+IF(MOD(B32,7)=0,任务!$M$25)</f>
        <v>30</v>
      </c>
      <c r="N32" s="98">
        <f t="shared" si="2"/>
        <v>1.7</v>
      </c>
      <c r="O32" s="80">
        <f t="shared" si="3"/>
        <v>0</v>
      </c>
      <c r="P32" s="172">
        <f ca="1">OFFSET(产销汇总!$C$1,MATCH(P$27,产销汇总!$C$2:$C$8,0),$C$27)/200*协力宝箱!$Q$82</f>
        <v>0</v>
      </c>
      <c r="Q32" s="80">
        <f t="shared" si="4"/>
        <v>10</v>
      </c>
      <c r="R32" s="80">
        <v>10</v>
      </c>
      <c r="S32" s="172">
        <f t="shared" ref="S31:S94" si="8">S31</f>
        <v>100</v>
      </c>
      <c r="T32" s="172">
        <f>(公会!$F$12+公会!$F$13+公会!$F$14+公会!$F$18/7)/2</f>
        <v>121.428571428571</v>
      </c>
      <c r="U32" s="172">
        <f t="shared" si="6"/>
        <v>150</v>
      </c>
      <c r="V32" s="172">
        <f ca="1">SUM($H$29:U32)+SUM(D32:G32)</f>
        <v>10335.6571428571</v>
      </c>
      <c r="W32" s="132">
        <f ca="1" t="shared" si="7"/>
        <v>1449.62857142857</v>
      </c>
    </row>
    <row r="33" spans="1:23">
      <c r="A33" s="171"/>
      <c r="B33" s="80">
        <v>5</v>
      </c>
      <c r="C33" s="80">
        <f ca="1">OFFSET(产销汇总!$C$12,$B33,$C$27)</f>
        <v>55</v>
      </c>
      <c r="D33" s="80">
        <f ca="1">SUMIF(主线宝箱!$B$321:$B$620,"&lt;="&amp;C33,主线宝箱!$H$321:$H$620)+SUMIF(主线宝箱!$B$321:$B$620,"&lt;="&amp;C33,主线宝箱!$T$321:$T$620)</f>
        <v>2200</v>
      </c>
      <c r="E33" s="80">
        <v>110</v>
      </c>
      <c r="F33" s="80">
        <f t="shared" si="5"/>
        <v>202.5</v>
      </c>
      <c r="G33" s="80">
        <f ca="1">IF(AND($C$27&lt;3,B33&gt;3),G32,SUMIF(图纸产出设计!$F$334:$F$342,"&lt;="&amp;B33,图纸产出设计!$C$334:$C$342))</f>
        <v>3890</v>
      </c>
      <c r="H33" s="80">
        <f ca="1">OFFSET(产销汇总!$C$1,MATCH(H$28,产销汇总!$C$2:$C$8,0),$C$27)*(_xlfn.XLOOKUP(C33,主线推图!$B$313:$B$612,主线推图!$G$313:$G$612)+_xlfn.XLOOKUP(C33,主线推图!$B$313:$B$612,主线推图!$H$313:$H$612))</f>
        <v>176</v>
      </c>
      <c r="I33" s="80">
        <f ca="1">OFFSET(产销汇总!$C$1,MATCH(I$28,产销汇总!$C$2:$C$8,0),$C$27)*_xlfn.XLOOKUP(C33,巡逻产出!$B$311:$B$610,巡逻产出!$H$311:$H$610)</f>
        <v>0</v>
      </c>
      <c r="J33" s="80">
        <f ca="1">OFFSET(产销汇总!$C$1,MATCH(J$28,产销汇总!$C$2:$C$8,0),$C$27)*(_xlfn.XLOOKUP(MAX(1,INT(C33/10-6/10)),组队产出!$B$24:$B$39,组队产出!$J$24:$J$39)+_xlfn.XLOOKUP(MAX(1,INT(C33/10-6/10)),组队产出!$B$24:$B$39,组队产出!$K$24:$K$39))</f>
        <v>96</v>
      </c>
      <c r="K33" s="80">
        <f ca="1">OFFSET(产销汇总!$C$1,MATCH(K$28,产销汇总!$C$2:$C$8,0),$C$27)*_xlfn.XLOOKUP(C33,巡逻产出!$B$311:$B$610,巡逻产出!$I$311:$I$610)*IF($C$27=1,0.5,1)</f>
        <v>312</v>
      </c>
      <c r="L33" s="80">
        <f ca="1">OFFSET(产销汇总!$C$1,MATCH(L$28,产销汇总!$C$2:$C$8,0),$C$27)*竞技场!$C$5</f>
        <v>180</v>
      </c>
      <c r="M33" s="80">
        <f>任务!$C$6+IF(MOD(B33,7)=0,任务!$M$25)</f>
        <v>30</v>
      </c>
      <c r="N33" s="98">
        <f t="shared" si="2"/>
        <v>1.7</v>
      </c>
      <c r="O33" s="80">
        <f t="shared" si="3"/>
        <v>10</v>
      </c>
      <c r="P33" s="172">
        <f ca="1">OFFSET(产销汇总!$C$1,MATCH(P$27,产销汇总!$C$2:$C$8,0),$C$27)/200*协力宝箱!$Q$82</f>
        <v>0</v>
      </c>
      <c r="Q33" s="80">
        <f t="shared" si="4"/>
        <v>10</v>
      </c>
      <c r="R33" s="80">
        <v>10</v>
      </c>
      <c r="S33" s="172">
        <f t="shared" si="8"/>
        <v>100</v>
      </c>
      <c r="T33" s="172">
        <f>(公会!$F$12+公会!$F$13+公会!$F$14+公会!$F$18/7)/2</f>
        <v>121.428571428571</v>
      </c>
      <c r="U33" s="172">
        <f t="shared" si="6"/>
        <v>150</v>
      </c>
      <c r="V33" s="172">
        <f ca="1">SUM($H$29:U33)+SUM(D33:G33)</f>
        <v>11915.2857142857</v>
      </c>
      <c r="W33" s="132">
        <f ca="1" t="shared" si="7"/>
        <v>1579.62857142857</v>
      </c>
    </row>
    <row r="34" spans="1:23">
      <c r="A34" s="171"/>
      <c r="B34" s="80">
        <v>6</v>
      </c>
      <c r="C34" s="80">
        <f ca="1">OFFSET(产销汇总!$C$12,$B34,$C$27)</f>
        <v>57</v>
      </c>
      <c r="D34" s="80">
        <f ca="1">SUMIF(主线宝箱!$B$321:$B$620,"&lt;="&amp;C34,主线宝箱!$H$321:$H$620)+SUMIF(主线宝箱!$B$321:$B$620,"&lt;="&amp;C34,主线宝箱!$T$321:$T$620)</f>
        <v>2280</v>
      </c>
      <c r="E34" s="80">
        <v>110</v>
      </c>
      <c r="F34" s="80">
        <f t="shared" si="5"/>
        <v>225</v>
      </c>
      <c r="G34" s="80">
        <f ca="1">IF(AND($C$27&lt;3,B34&gt;3),G33,SUMIF(图纸产出设计!$F$334:$F$342,"&lt;="&amp;B34,图纸产出设计!$C$334:$C$342))</f>
        <v>3890</v>
      </c>
      <c r="H34" s="80">
        <f ca="1">OFFSET(产销汇总!$C$1,MATCH(H$28,产销汇总!$C$2:$C$8,0),$C$27)*(_xlfn.XLOOKUP(C34,主线推图!$B$313:$B$612,主线推图!$G$313:$G$612)+_xlfn.XLOOKUP(C34,主线推图!$B$313:$B$612,主线推图!$H$313:$H$612))</f>
        <v>176</v>
      </c>
      <c r="I34" s="80">
        <f ca="1">OFFSET(产销汇总!$C$1,MATCH(I$28,产销汇总!$C$2:$C$8,0),$C$27)*_xlfn.XLOOKUP(C34,巡逻产出!$B$311:$B$610,巡逻产出!$H$311:$H$610)</f>
        <v>0</v>
      </c>
      <c r="J34" s="80">
        <f ca="1">OFFSET(产销汇总!$C$1,MATCH(J$28,产销汇总!$C$2:$C$8,0),$C$27)*(_xlfn.XLOOKUP(MAX(1,INT(C34/10-6/10)),组队产出!$B$24:$B$39,组队产出!$J$24:$J$39)+_xlfn.XLOOKUP(MAX(1,INT(C34/10-6/10)),组队产出!$B$24:$B$39,组队产出!$K$24:$K$39))</f>
        <v>96</v>
      </c>
      <c r="K34" s="80">
        <f ca="1">OFFSET(产销汇总!$C$1,MATCH(K$28,产销汇总!$C$2:$C$8,0),$C$27)*_xlfn.XLOOKUP(C34,巡逻产出!$B$311:$B$610,巡逻产出!$I$311:$I$610)*IF($C$27=1,0.5,1)</f>
        <v>312</v>
      </c>
      <c r="L34" s="80">
        <f ca="1">OFFSET(产销汇总!$C$1,MATCH(L$28,产销汇总!$C$2:$C$8,0),$C$27)*竞技场!$C$5</f>
        <v>180</v>
      </c>
      <c r="M34" s="80">
        <f>任务!$C$6+IF(MOD(B34,7)=0,任务!$M$25)</f>
        <v>30</v>
      </c>
      <c r="N34" s="98">
        <f t="shared" si="2"/>
        <v>1.7</v>
      </c>
      <c r="O34" s="80">
        <f t="shared" si="3"/>
        <v>0</v>
      </c>
      <c r="P34" s="172">
        <f ca="1">OFFSET(产销汇总!$C$1,MATCH(P$27,产销汇总!$C$2:$C$8,0),$C$27)/200*协力宝箱!$Q$82</f>
        <v>0</v>
      </c>
      <c r="Q34" s="80">
        <f t="shared" si="4"/>
        <v>10</v>
      </c>
      <c r="R34" s="80">
        <v>10</v>
      </c>
      <c r="S34" s="172">
        <f t="shared" si="8"/>
        <v>100</v>
      </c>
      <c r="T34" s="172">
        <f>(公会!$F$12+公会!$F$13+公会!$F$14+公会!$F$18/7)/2</f>
        <v>121.428571428571</v>
      </c>
      <c r="U34" s="172">
        <f t="shared" si="6"/>
        <v>150</v>
      </c>
      <c r="V34" s="172">
        <f ca="1">SUM($H$29:U34)+SUM(D34:G34)</f>
        <v>13204.9142857143</v>
      </c>
      <c r="W34" s="132">
        <f ca="1" t="shared" si="7"/>
        <v>1289.62857142857</v>
      </c>
    </row>
    <row r="35" spans="1:23">
      <c r="A35" s="171"/>
      <c r="B35" s="80">
        <v>7</v>
      </c>
      <c r="C35" s="80">
        <f ca="1">OFFSET(产销汇总!$C$12,$B35,$C$27)</f>
        <v>60</v>
      </c>
      <c r="D35" s="80">
        <f ca="1">SUMIF(主线宝箱!$B$321:$B$620,"&lt;="&amp;C35,主线宝箱!$H$321:$H$620)+SUMIF(主线宝箱!$B$321:$B$620,"&lt;="&amp;C35,主线宝箱!$T$321:$T$620)</f>
        <v>2400</v>
      </c>
      <c r="E35" s="80">
        <v>110</v>
      </c>
      <c r="F35" s="80">
        <f t="shared" si="5"/>
        <v>247.5</v>
      </c>
      <c r="G35" s="80">
        <f ca="1">IF(AND($C$27&lt;3,B35&gt;3),G34,SUMIF(图纸产出设计!$F$334:$F$342,"&lt;="&amp;B35,图纸产出设计!$C$334:$C$342))</f>
        <v>3890</v>
      </c>
      <c r="H35" s="80">
        <f ca="1">OFFSET(产销汇总!$C$1,MATCH(H$28,产销汇总!$C$2:$C$8,0),$C$27)*(_xlfn.XLOOKUP(C35,主线推图!$B$313:$B$612,主线推图!$G$313:$G$612)+_xlfn.XLOOKUP(C35,主线推图!$B$313:$B$612,主线推图!$H$313:$H$612))</f>
        <v>176</v>
      </c>
      <c r="I35" s="80">
        <f ca="1">OFFSET(产销汇总!$C$1,MATCH(I$28,产销汇总!$C$2:$C$8,0),$C$27)*_xlfn.XLOOKUP(C35,巡逻产出!$B$311:$B$610,巡逻产出!$H$311:$H$610)</f>
        <v>0</v>
      </c>
      <c r="J35" s="80">
        <f ca="1">OFFSET(产销汇总!$C$1,MATCH(J$28,产销汇总!$C$2:$C$8,0),$C$27)*(_xlfn.XLOOKUP(MAX(1,INT(C35/10-6/10)),组队产出!$B$24:$B$39,组队产出!$J$24:$J$39)+_xlfn.XLOOKUP(MAX(1,INT(C35/10-6/10)),组队产出!$B$24:$B$39,组队产出!$K$24:$K$39))</f>
        <v>96</v>
      </c>
      <c r="K35" s="80">
        <f ca="1">OFFSET(产销汇总!$C$1,MATCH(K$28,产销汇总!$C$2:$C$8,0),$C$27)*_xlfn.XLOOKUP(C35,巡逻产出!$B$311:$B$610,巡逻产出!$I$311:$I$610)*IF($C$27=1,0.5,1)</f>
        <v>312</v>
      </c>
      <c r="L35" s="80">
        <f ca="1">OFFSET(产销汇总!$C$1,MATCH(L$28,产销汇总!$C$2:$C$8,0),$C$27)*竞技场!$C$5</f>
        <v>180</v>
      </c>
      <c r="M35" s="80">
        <f>任务!$C$6+IF(MOD(B35,7)=0,任务!$M$25)</f>
        <v>60</v>
      </c>
      <c r="N35" s="98">
        <f t="shared" si="2"/>
        <v>1.7</v>
      </c>
      <c r="O35" s="80">
        <f t="shared" si="3"/>
        <v>0</v>
      </c>
      <c r="P35" s="172">
        <f ca="1">OFFSET(产销汇总!$C$1,MATCH(P$27,产销汇总!$C$2:$C$8,0),$C$27)/200*协力宝箱!$Q$82</f>
        <v>0</v>
      </c>
      <c r="Q35" s="80">
        <f t="shared" si="4"/>
        <v>10</v>
      </c>
      <c r="R35" s="80">
        <v>10</v>
      </c>
      <c r="S35" s="172">
        <v>100</v>
      </c>
      <c r="T35" s="172">
        <f>(公会!$F$12+公会!$F$13+公会!$F$14+公会!$F$18/7)/2</f>
        <v>121.428571428571</v>
      </c>
      <c r="U35" s="172">
        <f t="shared" si="6"/>
        <v>150</v>
      </c>
      <c r="V35" s="172">
        <f ca="1">SUM($H$29:U35)+SUM(D35:G35)</f>
        <v>14564.5428571429</v>
      </c>
      <c r="W35" s="132">
        <f ca="1" t="shared" si="7"/>
        <v>1359.62857142857</v>
      </c>
    </row>
    <row r="36" spans="1:23">
      <c r="A36" s="171"/>
      <c r="B36" s="80">
        <v>8</v>
      </c>
      <c r="C36" s="80">
        <f ca="1">OFFSET(产销汇总!$C$12,$B36,$C$27)</f>
        <v>63</v>
      </c>
      <c r="D36" s="80">
        <f ca="1">SUMIF(主线宝箱!$B$321:$B$620,"&lt;="&amp;C36,主线宝箱!$H$321:$H$620)+SUMIF(主线宝箱!$B$321:$B$620,"&lt;="&amp;C36,主线宝箱!$T$321:$T$620)</f>
        <v>2520</v>
      </c>
      <c r="E36" s="80">
        <v>110</v>
      </c>
      <c r="F36" s="80">
        <f t="shared" si="5"/>
        <v>270</v>
      </c>
      <c r="G36" s="80">
        <f ca="1">IF(AND($C$27&lt;3,B36&gt;3),G35,SUMIF(图纸产出设计!$F$334:$F$342,"&lt;="&amp;B36,图纸产出设计!$C$334:$C$342))</f>
        <v>3890</v>
      </c>
      <c r="H36" s="80">
        <f ca="1">OFFSET(产销汇总!$C$1,MATCH(H$28,产销汇总!$C$2:$C$8,0),$C$27)*(_xlfn.XLOOKUP(C36,主线推图!$B$313:$B$612,主线推图!$G$313:$G$612)+_xlfn.XLOOKUP(C36,主线推图!$B$313:$B$612,主线推图!$H$313:$H$612))</f>
        <v>176</v>
      </c>
      <c r="I36" s="80">
        <f ca="1">OFFSET(产销汇总!$C$1,MATCH(I$28,产销汇总!$C$2:$C$8,0),$C$27)*_xlfn.XLOOKUP(C36,巡逻产出!$B$311:$B$610,巡逻产出!$H$311:$H$610)</f>
        <v>0</v>
      </c>
      <c r="J36" s="80">
        <f ca="1">OFFSET(产销汇总!$C$1,MATCH(J$28,产销汇总!$C$2:$C$8,0),$C$27)*(_xlfn.XLOOKUP(MAX(1,INT(C36/10-6/10)),组队产出!$B$24:$B$39,组队产出!$J$24:$J$39)+_xlfn.XLOOKUP(MAX(1,INT(C36/10-6/10)),组队产出!$B$24:$B$39,组队产出!$K$24:$K$39))</f>
        <v>96</v>
      </c>
      <c r="K36" s="80">
        <f ca="1">OFFSET(产销汇总!$C$1,MATCH(K$28,产销汇总!$C$2:$C$8,0),$C$27)*_xlfn.XLOOKUP(C36,巡逻产出!$B$311:$B$610,巡逻产出!$I$311:$I$610)*IF($C$27=1,0.5,1)</f>
        <v>312</v>
      </c>
      <c r="L36" s="80">
        <f ca="1">OFFSET(产销汇总!$C$1,MATCH(L$28,产销汇总!$C$2:$C$8,0),$C$27)*竞技场!$C$5</f>
        <v>180</v>
      </c>
      <c r="M36" s="80">
        <f>任务!$C$6+IF(MOD(B36,7)=0,任务!$M$25)</f>
        <v>30</v>
      </c>
      <c r="N36" s="98">
        <f t="shared" si="2"/>
        <v>1.7</v>
      </c>
      <c r="O36" s="80">
        <f t="shared" si="3"/>
        <v>0</v>
      </c>
      <c r="P36" s="172">
        <f ca="1">OFFSET(产销汇总!$C$1,MATCH(P$27,产销汇总!$C$2:$C$8,0),$C$27)/200*协力宝箱!$Q$82</f>
        <v>0</v>
      </c>
      <c r="Q36" s="80">
        <f t="shared" si="4"/>
        <v>10</v>
      </c>
      <c r="R36" s="80">
        <v>10</v>
      </c>
      <c r="S36" s="172">
        <f t="shared" si="8"/>
        <v>100</v>
      </c>
      <c r="T36" s="172">
        <f>(公会!$F$12+公会!$F$13+公会!$F$14+公会!$F$18/7)/2</f>
        <v>121.428571428571</v>
      </c>
      <c r="U36" s="172">
        <f t="shared" si="6"/>
        <v>150</v>
      </c>
      <c r="V36" s="172">
        <f ca="1">SUM($H$29:U36)+SUM(D36:G36)</f>
        <v>15894.1714285714</v>
      </c>
      <c r="W36" s="132">
        <f ca="1" t="shared" si="7"/>
        <v>1329.62857142857</v>
      </c>
    </row>
    <row r="37" spans="1:23">
      <c r="A37" s="171"/>
      <c r="B37" s="80">
        <v>9</v>
      </c>
      <c r="C37" s="80">
        <f ca="1">OFFSET(产销汇总!$C$12,$B37,$C$27)</f>
        <v>66</v>
      </c>
      <c r="D37" s="80">
        <f ca="1">SUMIF(主线宝箱!$B$321:$B$620,"&lt;="&amp;C37,主线宝箱!$H$321:$H$620)+SUMIF(主线宝箱!$B$321:$B$620,"&lt;="&amp;C37,主线宝箱!$T$321:$T$620)</f>
        <v>2640</v>
      </c>
      <c r="E37" s="80">
        <v>110</v>
      </c>
      <c r="F37" s="80">
        <f t="shared" si="5"/>
        <v>292.5</v>
      </c>
      <c r="G37" s="80">
        <f ca="1">IF(AND($C$27&lt;3,B37&gt;3),G36,SUMIF(图纸产出设计!$F$334:$F$342,"&lt;="&amp;B37,图纸产出设计!$C$334:$C$342))</f>
        <v>3890</v>
      </c>
      <c r="H37" s="80">
        <f ca="1">OFFSET(产销汇总!$C$1,MATCH(H$28,产销汇总!$C$2:$C$8,0),$C$27)*(_xlfn.XLOOKUP(C37,主线推图!$B$313:$B$612,主线推图!$G$313:$G$612)+_xlfn.XLOOKUP(C37,主线推图!$B$313:$B$612,主线推图!$H$313:$H$612))</f>
        <v>176</v>
      </c>
      <c r="I37" s="80">
        <f ca="1">OFFSET(产销汇总!$C$1,MATCH(I$28,产销汇总!$C$2:$C$8,0),$C$27)*_xlfn.XLOOKUP(C37,巡逻产出!$B$311:$B$610,巡逻产出!$H$311:$H$610)</f>
        <v>0</v>
      </c>
      <c r="J37" s="80">
        <f ca="1">OFFSET(产销汇总!$C$1,MATCH(J$28,产销汇总!$C$2:$C$8,0),$C$27)*(_xlfn.XLOOKUP(MAX(1,INT(C37/10-6/10)),组队产出!$B$24:$B$39,组队产出!$J$24:$J$39)+_xlfn.XLOOKUP(MAX(1,INT(C37/10-6/10)),组队产出!$B$24:$B$39,组队产出!$K$24:$K$39))</f>
        <v>96</v>
      </c>
      <c r="K37" s="80">
        <f ca="1">OFFSET(产销汇总!$C$1,MATCH(K$28,产销汇总!$C$2:$C$8,0),$C$27)*_xlfn.XLOOKUP(C37,巡逻产出!$B$311:$B$610,巡逻产出!$I$311:$I$610)*IF($C$27=1,0.5,1)</f>
        <v>312</v>
      </c>
      <c r="L37" s="80">
        <f ca="1">OFFSET(产销汇总!$C$1,MATCH(L$28,产销汇总!$C$2:$C$8,0),$C$27)*竞技场!$C$5</f>
        <v>180</v>
      </c>
      <c r="M37" s="80">
        <f>任务!$C$6+IF(MOD(B37,7)=0,任务!$M$25)</f>
        <v>30</v>
      </c>
      <c r="N37" s="98">
        <f t="shared" si="2"/>
        <v>1.7</v>
      </c>
      <c r="O37" s="80">
        <f t="shared" si="3"/>
        <v>10</v>
      </c>
      <c r="P37" s="172">
        <f ca="1">OFFSET(产销汇总!$C$1,MATCH(P$27,产销汇总!$C$2:$C$8,0),$C$27)/200*协力宝箱!$Q$82</f>
        <v>0</v>
      </c>
      <c r="Q37" s="80">
        <f t="shared" si="4"/>
        <v>10</v>
      </c>
      <c r="R37" s="80">
        <v>10</v>
      </c>
      <c r="S37" s="172">
        <f t="shared" si="8"/>
        <v>100</v>
      </c>
      <c r="T37" s="172">
        <f>(公会!$F$12+公会!$F$13+公会!$F$14+公会!$F$18/7)/2</f>
        <v>121.428571428571</v>
      </c>
      <c r="U37" s="172">
        <f t="shared" si="6"/>
        <v>150</v>
      </c>
      <c r="V37" s="172">
        <f ca="1">SUM($H$29:U37)+SUM(D37:G37)</f>
        <v>17233.8</v>
      </c>
      <c r="W37" s="132">
        <f ca="1" t="shared" si="7"/>
        <v>1339.62857142857</v>
      </c>
    </row>
    <row r="38" spans="1:23">
      <c r="A38" s="171"/>
      <c r="B38" s="80">
        <v>10</v>
      </c>
      <c r="C38" s="80">
        <f ca="1">OFFSET(产销汇总!$C$12,$B38,$C$27)</f>
        <v>69</v>
      </c>
      <c r="D38" s="80">
        <f ca="1">SUMIF(主线宝箱!$B$321:$B$620,"&lt;="&amp;C38,主线宝箱!$H$321:$H$620)+SUMIF(主线宝箱!$B$321:$B$620,"&lt;="&amp;C38,主线宝箱!$T$321:$T$620)</f>
        <v>2760</v>
      </c>
      <c r="E38" s="80">
        <v>110</v>
      </c>
      <c r="F38" s="80">
        <f t="shared" si="5"/>
        <v>315</v>
      </c>
      <c r="G38" s="80">
        <f ca="1">IF(AND($C$27&lt;3,B38&gt;3),G37,SUMIF(图纸产出设计!$F$334:$F$342,"&lt;="&amp;B38,图纸产出设计!$C$334:$C$342))</f>
        <v>3890</v>
      </c>
      <c r="H38" s="80">
        <f ca="1">OFFSET(产销汇总!$C$1,MATCH(H$28,产销汇总!$C$2:$C$8,0),$C$27)*(_xlfn.XLOOKUP(C38,主线推图!$B$313:$B$612,主线推图!$G$313:$G$612)+_xlfn.XLOOKUP(C38,主线推图!$B$313:$B$612,主线推图!$H$313:$H$612))</f>
        <v>176</v>
      </c>
      <c r="I38" s="80">
        <f ca="1">OFFSET(产销汇总!$C$1,MATCH(I$28,产销汇总!$C$2:$C$8,0),$C$27)*_xlfn.XLOOKUP(C38,巡逻产出!$B$311:$B$610,巡逻产出!$H$311:$H$610)</f>
        <v>0</v>
      </c>
      <c r="J38" s="80">
        <f ca="1">OFFSET(产销汇总!$C$1,MATCH(J$28,产销汇总!$C$2:$C$8,0),$C$27)*(_xlfn.XLOOKUP(MAX(1,INT(C38/10-6/10)),组队产出!$B$24:$B$39,组队产出!$J$24:$J$39)+_xlfn.XLOOKUP(MAX(1,INT(C38/10-6/10)),组队产出!$B$24:$B$39,组队产出!$K$24:$K$39))</f>
        <v>96</v>
      </c>
      <c r="K38" s="80">
        <f ca="1">OFFSET(产销汇总!$C$1,MATCH(K$28,产销汇总!$C$2:$C$8,0),$C$27)*_xlfn.XLOOKUP(C38,巡逻产出!$B$311:$B$610,巡逻产出!$I$311:$I$610)*IF($C$27=1,0.5,1)</f>
        <v>312</v>
      </c>
      <c r="L38" s="80">
        <f ca="1">OFFSET(产销汇总!$C$1,MATCH(L$28,产销汇总!$C$2:$C$8,0),$C$27)*竞技场!$C$5</f>
        <v>180</v>
      </c>
      <c r="M38" s="80">
        <f>任务!$C$6+IF(MOD(B38,7)=0,任务!$M$25)</f>
        <v>30</v>
      </c>
      <c r="N38" s="98">
        <f t="shared" si="2"/>
        <v>1.7</v>
      </c>
      <c r="O38" s="80">
        <f t="shared" si="3"/>
        <v>0</v>
      </c>
      <c r="P38" s="172">
        <f ca="1">OFFSET(产销汇总!$C$1,MATCH(P$27,产销汇总!$C$2:$C$8,0),$C$27)/200*协力宝箱!$Q$82</f>
        <v>0</v>
      </c>
      <c r="Q38" s="80">
        <f t="shared" si="4"/>
        <v>10</v>
      </c>
      <c r="R38" s="80">
        <v>10</v>
      </c>
      <c r="S38" s="172">
        <f t="shared" si="8"/>
        <v>100</v>
      </c>
      <c r="T38" s="172">
        <f>(公会!$F$12+公会!$F$13+公会!$F$14+公会!$F$18/7)/2</f>
        <v>121.428571428571</v>
      </c>
      <c r="U38" s="172">
        <f t="shared" si="6"/>
        <v>150</v>
      </c>
      <c r="V38" s="172">
        <f ca="1">SUM($H$29:U38)+SUM(D38:G38)</f>
        <v>18563.4285714286</v>
      </c>
      <c r="W38" s="132">
        <f ca="1" t="shared" si="7"/>
        <v>1329.62857142857</v>
      </c>
    </row>
    <row r="39" spans="1:23">
      <c r="A39" s="171"/>
      <c r="B39" s="80">
        <v>11</v>
      </c>
      <c r="C39" s="80">
        <f ca="1">OFFSET(产销汇总!$C$12,$B39,$C$27)</f>
        <v>73</v>
      </c>
      <c r="D39" s="80">
        <f ca="1">SUMIF(主线宝箱!$B$321:$B$620,"&lt;="&amp;C39,主线宝箱!$H$321:$H$620)+SUMIF(主线宝箱!$B$321:$B$620,"&lt;="&amp;C39,主线宝箱!$T$321:$T$620)</f>
        <v>2920</v>
      </c>
      <c r="E39" s="80">
        <v>110</v>
      </c>
      <c r="F39" s="80">
        <f t="shared" si="5"/>
        <v>337.5</v>
      </c>
      <c r="G39" s="80">
        <f ca="1">IF(AND($C$27&lt;3,B39&gt;3),G38,SUMIF(图纸产出设计!$F$334:$F$342,"&lt;="&amp;B39,图纸产出设计!$C$334:$C$342))</f>
        <v>3890</v>
      </c>
      <c r="H39" s="80">
        <f ca="1">OFFSET(产销汇总!$C$1,MATCH(H$28,产销汇总!$C$2:$C$8,0),$C$27)*(_xlfn.XLOOKUP(C39,主线推图!$B$313:$B$612,主线推图!$G$313:$G$612)+_xlfn.XLOOKUP(C39,主线推图!$B$313:$B$612,主线推图!$H$313:$H$612))</f>
        <v>176</v>
      </c>
      <c r="I39" s="80">
        <f ca="1">OFFSET(产销汇总!$C$1,MATCH(I$28,产销汇总!$C$2:$C$8,0),$C$27)*_xlfn.XLOOKUP(C39,巡逻产出!$B$311:$B$610,巡逻产出!$H$311:$H$610)</f>
        <v>0</v>
      </c>
      <c r="J39" s="80">
        <f ca="1">OFFSET(产销汇总!$C$1,MATCH(J$28,产销汇总!$C$2:$C$8,0),$C$27)*(_xlfn.XLOOKUP(MAX(1,INT(C39/10-6/10)),组队产出!$B$24:$B$39,组队产出!$J$24:$J$39)+_xlfn.XLOOKUP(MAX(1,INT(C39/10-6/10)),组队产出!$B$24:$B$39,组队产出!$K$24:$K$39))</f>
        <v>96</v>
      </c>
      <c r="K39" s="80">
        <f ca="1">OFFSET(产销汇总!$C$1,MATCH(K$28,产销汇总!$C$2:$C$8,0),$C$27)*_xlfn.XLOOKUP(C39,巡逻产出!$B$311:$B$610,巡逻产出!$I$311:$I$610)*IF($C$27=1,0.5,1)</f>
        <v>312</v>
      </c>
      <c r="L39" s="80">
        <f ca="1">OFFSET(产销汇总!$C$1,MATCH(L$28,产销汇总!$C$2:$C$8,0),$C$27)*竞技场!$C$5</f>
        <v>180</v>
      </c>
      <c r="M39" s="80">
        <f>任务!$C$6+IF(MOD(B39,7)=0,任务!$M$25)</f>
        <v>30</v>
      </c>
      <c r="N39" s="98">
        <f t="shared" si="2"/>
        <v>1.7</v>
      </c>
      <c r="O39" s="80">
        <f t="shared" si="3"/>
        <v>0</v>
      </c>
      <c r="P39" s="172">
        <f ca="1">OFFSET(产销汇总!$C$1,MATCH(P$27,产销汇总!$C$2:$C$8,0),$C$27)/200*协力宝箱!$Q$82</f>
        <v>0</v>
      </c>
      <c r="Q39" s="80">
        <f t="shared" si="4"/>
        <v>10</v>
      </c>
      <c r="R39" s="80">
        <v>10</v>
      </c>
      <c r="S39" s="172">
        <f t="shared" si="8"/>
        <v>100</v>
      </c>
      <c r="T39" s="172">
        <f>(公会!$F$12+公会!$F$13+公会!$F$14+公会!$F$18/7)/2</f>
        <v>121.428571428571</v>
      </c>
      <c r="U39" s="172">
        <f t="shared" si="6"/>
        <v>150</v>
      </c>
      <c r="V39" s="172">
        <f ca="1">SUM($H$29:U39)+SUM(D39:G39)</f>
        <v>19933.0571428571</v>
      </c>
      <c r="W39" s="132">
        <f ca="1" t="shared" si="7"/>
        <v>1369.62857142857</v>
      </c>
    </row>
    <row r="40" spans="1:23">
      <c r="A40" s="171"/>
      <c r="B40" s="80">
        <v>12</v>
      </c>
      <c r="C40" s="80">
        <f ca="1">OFFSET(产销汇总!$C$12,$B40,$C$27)</f>
        <v>75</v>
      </c>
      <c r="D40" s="80">
        <f ca="1">SUMIF(主线宝箱!$B$321:$B$620,"&lt;="&amp;C40,主线宝箱!$H$321:$H$620)+SUMIF(主线宝箱!$B$321:$B$620,"&lt;="&amp;C40,主线宝箱!$T$321:$T$620)</f>
        <v>3000</v>
      </c>
      <c r="E40" s="80">
        <v>110</v>
      </c>
      <c r="F40" s="80">
        <f t="shared" si="5"/>
        <v>360</v>
      </c>
      <c r="G40" s="80">
        <f ca="1">IF(AND($C$27&lt;3,B40&gt;3),G39,SUMIF(图纸产出设计!$F$334:$F$342,"&lt;="&amp;B40,图纸产出设计!$C$334:$C$342))</f>
        <v>3890</v>
      </c>
      <c r="H40" s="80">
        <f ca="1">OFFSET(产销汇总!$C$1,MATCH(H$28,产销汇总!$C$2:$C$8,0),$C$27)*(_xlfn.XLOOKUP(C40,主线推图!$B$313:$B$612,主线推图!$G$313:$G$612)+_xlfn.XLOOKUP(C40,主线推图!$B$313:$B$612,主线推图!$H$313:$H$612))</f>
        <v>176</v>
      </c>
      <c r="I40" s="80">
        <f ca="1">OFFSET(产销汇总!$C$1,MATCH(I$28,产销汇总!$C$2:$C$8,0),$C$27)*_xlfn.XLOOKUP(C40,巡逻产出!$B$311:$B$610,巡逻产出!$H$311:$H$610)</f>
        <v>0</v>
      </c>
      <c r="J40" s="80">
        <f ca="1">OFFSET(产销汇总!$C$1,MATCH(J$28,产销汇总!$C$2:$C$8,0),$C$27)*(_xlfn.XLOOKUP(MAX(1,INT(C40/10-6/10)),组队产出!$B$24:$B$39,组队产出!$J$24:$J$39)+_xlfn.XLOOKUP(MAX(1,INT(C40/10-6/10)),组队产出!$B$24:$B$39,组队产出!$K$24:$K$39))</f>
        <v>96</v>
      </c>
      <c r="K40" s="80">
        <f ca="1">OFFSET(产销汇总!$C$1,MATCH(K$28,产销汇总!$C$2:$C$8,0),$C$27)*_xlfn.XLOOKUP(C40,巡逻产出!$B$311:$B$610,巡逻产出!$I$311:$I$610)*IF($C$27=1,0.5,1)</f>
        <v>312</v>
      </c>
      <c r="L40" s="80">
        <f ca="1">OFFSET(产销汇总!$C$1,MATCH(L$28,产销汇总!$C$2:$C$8,0),$C$27)*竞技场!$C$5</f>
        <v>180</v>
      </c>
      <c r="M40" s="80">
        <f>任务!$C$6+IF(MOD(B40,7)=0,任务!$M$25)</f>
        <v>30</v>
      </c>
      <c r="N40" s="98">
        <f t="shared" si="2"/>
        <v>1.7</v>
      </c>
      <c r="O40" s="80">
        <f t="shared" si="3"/>
        <v>10</v>
      </c>
      <c r="P40" s="172">
        <f ca="1">OFFSET(产销汇总!$C$1,MATCH(P$27,产销汇总!$C$2:$C$8,0),$C$27)/200*协力宝箱!$Q$82</f>
        <v>0</v>
      </c>
      <c r="Q40" s="80">
        <f t="shared" si="4"/>
        <v>10</v>
      </c>
      <c r="R40" s="80">
        <v>10</v>
      </c>
      <c r="S40" s="172">
        <f t="shared" si="8"/>
        <v>100</v>
      </c>
      <c r="T40" s="172">
        <f>(公会!$F$12+公会!$F$13+公会!$F$14+公会!$F$18/7)/2</f>
        <v>121.428571428571</v>
      </c>
      <c r="U40" s="172">
        <f t="shared" si="6"/>
        <v>150</v>
      </c>
      <c r="V40" s="172">
        <f ca="1">SUM($H$29:U40)+SUM(D40:G40)</f>
        <v>21232.6857142857</v>
      </c>
      <c r="W40" s="132">
        <f ca="1" t="shared" si="7"/>
        <v>1299.62857142857</v>
      </c>
    </row>
    <row r="41" spans="1:23">
      <c r="A41" s="171"/>
      <c r="B41" s="80">
        <v>13</v>
      </c>
      <c r="C41" s="80">
        <f ca="1">OFFSET(产销汇总!$C$12,$B41,$C$27)</f>
        <v>77</v>
      </c>
      <c r="D41" s="80">
        <f ca="1">SUMIF(主线宝箱!$B$321:$B$620,"&lt;="&amp;C41,主线宝箱!$H$321:$H$620)+SUMIF(主线宝箱!$B$321:$B$620,"&lt;="&amp;C41,主线宝箱!$T$321:$T$620)</f>
        <v>3080</v>
      </c>
      <c r="E41" s="80">
        <v>110</v>
      </c>
      <c r="F41" s="80">
        <f t="shared" si="5"/>
        <v>382.5</v>
      </c>
      <c r="G41" s="80">
        <f ca="1">IF(AND($C$27&lt;3,B41&gt;3),G40,SUMIF(图纸产出设计!$F$334:$F$342,"&lt;="&amp;B41,图纸产出设计!$C$334:$C$342))</f>
        <v>3890</v>
      </c>
      <c r="H41" s="80">
        <f ca="1">OFFSET(产销汇总!$C$1,MATCH(H$28,产销汇总!$C$2:$C$8,0),$C$27)*(_xlfn.XLOOKUP(C41,主线推图!$B$313:$B$612,主线推图!$G$313:$G$612)+_xlfn.XLOOKUP(C41,主线推图!$B$313:$B$612,主线推图!$H$313:$H$612))</f>
        <v>176</v>
      </c>
      <c r="I41" s="80">
        <f ca="1">OFFSET(产销汇总!$C$1,MATCH(I$28,产销汇总!$C$2:$C$8,0),$C$27)*_xlfn.XLOOKUP(C41,巡逻产出!$B$311:$B$610,巡逻产出!$H$311:$H$610)</f>
        <v>0</v>
      </c>
      <c r="J41" s="80">
        <f ca="1">OFFSET(产销汇总!$C$1,MATCH(J$28,产销汇总!$C$2:$C$8,0),$C$27)*(_xlfn.XLOOKUP(MAX(1,INT(C41/10-6/10)),组队产出!$B$24:$B$39,组队产出!$J$24:$J$39)+_xlfn.XLOOKUP(MAX(1,INT(C41/10-6/10)),组队产出!$B$24:$B$39,组队产出!$K$24:$K$39))</f>
        <v>96</v>
      </c>
      <c r="K41" s="80">
        <f ca="1">OFFSET(产销汇总!$C$1,MATCH(K$28,产销汇总!$C$2:$C$8,0),$C$27)*_xlfn.XLOOKUP(C41,巡逻产出!$B$311:$B$610,巡逻产出!$I$311:$I$610)*IF($C$27=1,0.5,1)</f>
        <v>312</v>
      </c>
      <c r="L41" s="80">
        <f ca="1">OFFSET(产销汇总!$C$1,MATCH(L$28,产销汇总!$C$2:$C$8,0),$C$27)*竞技场!$C$5</f>
        <v>180</v>
      </c>
      <c r="M41" s="80">
        <f>任务!$C$6+IF(MOD(B41,7)=0,任务!$M$25)</f>
        <v>30</v>
      </c>
      <c r="N41" s="98">
        <f t="shared" si="2"/>
        <v>1.7</v>
      </c>
      <c r="O41" s="80">
        <f t="shared" si="3"/>
        <v>0</v>
      </c>
      <c r="P41" s="172">
        <f ca="1">OFFSET(产销汇总!$C$1,MATCH(P$27,产销汇总!$C$2:$C$8,0),$C$27)/200*协力宝箱!$Q$82</f>
        <v>0</v>
      </c>
      <c r="Q41" s="80">
        <f t="shared" si="4"/>
        <v>10</v>
      </c>
      <c r="R41" s="80">
        <v>10</v>
      </c>
      <c r="S41" s="172">
        <f t="shared" si="8"/>
        <v>100</v>
      </c>
      <c r="T41" s="172">
        <f>(公会!$F$12+公会!$F$13+公会!$F$14+公会!$F$18/7)/2</f>
        <v>121.428571428571</v>
      </c>
      <c r="U41" s="172">
        <f t="shared" si="6"/>
        <v>150</v>
      </c>
      <c r="V41" s="172">
        <f ca="1">SUM($H$29:U41)+SUM(D41:G41)</f>
        <v>22522.3142857143</v>
      </c>
      <c r="W41" s="132">
        <f ca="1" t="shared" si="7"/>
        <v>1289.62857142857</v>
      </c>
    </row>
    <row r="42" spans="1:23">
      <c r="A42" s="171"/>
      <c r="B42" s="80">
        <v>14</v>
      </c>
      <c r="C42" s="80">
        <f ca="1">OFFSET(产销汇总!$C$12,$B42,$C$27)</f>
        <v>80</v>
      </c>
      <c r="D42" s="80">
        <f ca="1">SUMIF(主线宝箱!$B$321:$B$620,"&lt;="&amp;C42,主线宝箱!$H$321:$H$620)+SUMIF(主线宝箱!$B$321:$B$620,"&lt;="&amp;C42,主线宝箱!$T$321:$T$620)</f>
        <v>3200</v>
      </c>
      <c r="E42" s="80">
        <v>110</v>
      </c>
      <c r="F42" s="80">
        <f t="shared" si="5"/>
        <v>405</v>
      </c>
      <c r="G42" s="80">
        <f ca="1">IF(AND($C$27&lt;3,B42&gt;3),G41,SUMIF(图纸产出设计!$F$334:$F$342,"&lt;="&amp;B42,图纸产出设计!$C$334:$C$342))</f>
        <v>3890</v>
      </c>
      <c r="H42" s="80">
        <f ca="1">OFFSET(产销汇总!$C$1,MATCH(H$28,产销汇总!$C$2:$C$8,0),$C$27)*(_xlfn.XLOOKUP(C42,主线推图!$B$313:$B$612,主线推图!$G$313:$G$612)+_xlfn.XLOOKUP(C42,主线推图!$B$313:$B$612,主线推图!$H$313:$H$612))</f>
        <v>176</v>
      </c>
      <c r="I42" s="80">
        <f ca="1">OFFSET(产销汇总!$C$1,MATCH(I$28,产销汇总!$C$2:$C$8,0),$C$27)*_xlfn.XLOOKUP(C42,巡逻产出!$B$311:$B$610,巡逻产出!$H$311:$H$610)</f>
        <v>0</v>
      </c>
      <c r="J42" s="80">
        <f ca="1">OFFSET(产销汇总!$C$1,MATCH(J$28,产销汇总!$C$2:$C$8,0),$C$27)*(_xlfn.XLOOKUP(MAX(1,INT(C42/10-6/10)),组队产出!$B$24:$B$39,组队产出!$J$24:$J$39)+_xlfn.XLOOKUP(MAX(1,INT(C42/10-6/10)),组队产出!$B$24:$B$39,组队产出!$K$24:$K$39))</f>
        <v>96</v>
      </c>
      <c r="K42" s="80">
        <f ca="1">OFFSET(产销汇总!$C$1,MATCH(K$28,产销汇总!$C$2:$C$8,0),$C$27)*_xlfn.XLOOKUP(C42,巡逻产出!$B$311:$B$610,巡逻产出!$I$311:$I$610)*IF($C$27=1,0.5,1)</f>
        <v>312</v>
      </c>
      <c r="L42" s="80">
        <f ca="1">OFFSET(产销汇总!$C$1,MATCH(L$28,产销汇总!$C$2:$C$8,0),$C$27)*竞技场!$C$5</f>
        <v>180</v>
      </c>
      <c r="M42" s="80">
        <f>任务!$C$6+IF(MOD(B42,7)=0,任务!$M$25)</f>
        <v>60</v>
      </c>
      <c r="N42" s="98">
        <f t="shared" si="2"/>
        <v>1.7</v>
      </c>
      <c r="O42" s="80">
        <f t="shared" si="3"/>
        <v>0</v>
      </c>
      <c r="P42" s="172">
        <f ca="1">OFFSET(产销汇总!$C$1,MATCH(P$27,产销汇总!$C$2:$C$8,0),$C$27)/200*协力宝箱!$Q$82</f>
        <v>0</v>
      </c>
      <c r="Q42" s="80">
        <f t="shared" si="4"/>
        <v>10</v>
      </c>
      <c r="R42" s="80">
        <v>10</v>
      </c>
      <c r="S42" s="172">
        <f t="shared" si="8"/>
        <v>100</v>
      </c>
      <c r="T42" s="172">
        <f>(公会!$F$12+公会!$F$13+公会!$F$14+公会!$F$18/7)/2</f>
        <v>121.428571428571</v>
      </c>
      <c r="U42" s="172">
        <f t="shared" si="6"/>
        <v>150</v>
      </c>
      <c r="V42" s="172">
        <f ca="1">SUM($H$29:U42)+SUM(D42:G42)</f>
        <v>23881.9428571429</v>
      </c>
      <c r="W42" s="132">
        <f ca="1" t="shared" si="7"/>
        <v>1359.62857142857</v>
      </c>
    </row>
    <row r="43" spans="1:23">
      <c r="A43" s="171"/>
      <c r="B43" s="80">
        <v>15</v>
      </c>
      <c r="C43" s="80">
        <f ca="1">OFFSET(产销汇总!$C$12,$B43,$C$27)</f>
        <v>81.5</v>
      </c>
      <c r="D43" s="80">
        <f ca="1">SUMIF(主线宝箱!$B$321:$B$620,"&lt;="&amp;C43,主线宝箱!$H$321:$H$620)+SUMIF(主线宝箱!$B$321:$B$620,"&lt;="&amp;C43,主线宝箱!$T$321:$T$620)</f>
        <v>3240</v>
      </c>
      <c r="E43" s="80">
        <v>110</v>
      </c>
      <c r="F43" s="80">
        <f t="shared" si="5"/>
        <v>427.5</v>
      </c>
      <c r="G43" s="80">
        <f ca="1">IF(AND($C$27&lt;3,B43&gt;3),G42,SUMIF(图纸产出设计!$F$334:$F$342,"&lt;="&amp;B43,图纸产出设计!$C$334:$C$342))</f>
        <v>3890</v>
      </c>
      <c r="H43" s="80" t="e">
        <f ca="1">OFFSET(产销汇总!$C$1,MATCH(H$28,产销汇总!$C$2:$C$8,0),$C$27)*(_xlfn.XLOOKUP(C43,主线推图!$B$313:$B$612,主线推图!$G$313:$G$612)+_xlfn.XLOOKUP(C43,主线推图!$B$313:$B$612,主线推图!$H$313:$H$612))</f>
        <v>#N/A</v>
      </c>
      <c r="I43" s="80" t="e">
        <f ca="1">OFFSET(产销汇总!$C$1,MATCH(I$28,产销汇总!$C$2:$C$8,0),$C$27)*_xlfn.XLOOKUP(C43,巡逻产出!$B$311:$B$610,巡逻产出!$H$311:$H$610)</f>
        <v>#N/A</v>
      </c>
      <c r="J43" s="80">
        <f ca="1">OFFSET(产销汇总!$C$1,MATCH(J$28,产销汇总!$C$2:$C$8,0),$C$27)*(_xlfn.XLOOKUP(MAX(1,INT(C43/10-6/10)),组队产出!$B$24:$B$39,组队产出!$J$24:$J$39)+_xlfn.XLOOKUP(MAX(1,INT(C43/10-6/10)),组队产出!$B$24:$B$39,组队产出!$K$24:$K$39))</f>
        <v>96</v>
      </c>
      <c r="K43" s="80" t="e">
        <f ca="1">OFFSET(产销汇总!$C$1,MATCH(K$28,产销汇总!$C$2:$C$8,0),$C$27)*_xlfn.XLOOKUP(C43,巡逻产出!$B$311:$B$610,巡逻产出!$I$311:$I$610)*IF($C$27=1,0.5,1)</f>
        <v>#N/A</v>
      </c>
      <c r="L43" s="80">
        <f ca="1">OFFSET(产销汇总!$C$1,MATCH(L$28,产销汇总!$C$2:$C$8,0),$C$27)*竞技场!$C$5</f>
        <v>180</v>
      </c>
      <c r="M43" s="80">
        <f>任务!$C$6+IF(MOD(B43,7)=0,任务!$M$25)</f>
        <v>30</v>
      </c>
      <c r="N43" s="98">
        <f t="shared" si="2"/>
        <v>1.7</v>
      </c>
      <c r="O43" s="80">
        <f t="shared" si="3"/>
        <v>0</v>
      </c>
      <c r="P43" s="172">
        <f ca="1">OFFSET(产销汇总!$C$1,MATCH(P$27,产销汇总!$C$2:$C$8,0),$C$27)/200*协力宝箱!$Q$82</f>
        <v>0</v>
      </c>
      <c r="Q43" s="80">
        <f t="shared" si="4"/>
        <v>10</v>
      </c>
      <c r="R43" s="80">
        <v>10</v>
      </c>
      <c r="S43" s="172">
        <f t="shared" si="8"/>
        <v>100</v>
      </c>
      <c r="T43" s="172">
        <f>(公会!$F$12+公会!$F$13+公会!$F$14+公会!$F$18/7)/2</f>
        <v>121.428571428571</v>
      </c>
      <c r="U43" s="172">
        <f t="shared" si="6"/>
        <v>150</v>
      </c>
      <c r="V43" s="172" t="e">
        <f ca="1">SUM($H$29:U43)+SUM(D43:G43)</f>
        <v>#N/A</v>
      </c>
      <c r="W43" s="132" t="e">
        <f ca="1" t="shared" si="7"/>
        <v>#N/A</v>
      </c>
    </row>
    <row r="44" spans="1:23">
      <c r="A44" s="171"/>
      <c r="B44" s="80">
        <v>16</v>
      </c>
      <c r="C44" s="80">
        <f ca="1">OFFSET(产销汇总!$C$12,$B44,$C$27)</f>
        <v>83</v>
      </c>
      <c r="D44" s="80">
        <f ca="1">SUMIF(主线宝箱!$B$321:$B$620,"&lt;="&amp;C44,主线宝箱!$H$321:$H$620)+SUMIF(主线宝箱!$B$321:$B$620,"&lt;="&amp;C44,主线宝箱!$T$321:$T$620)</f>
        <v>3320</v>
      </c>
      <c r="E44" s="80">
        <v>110</v>
      </c>
      <c r="F44" s="80">
        <f t="shared" si="5"/>
        <v>450</v>
      </c>
      <c r="G44" s="80">
        <f ca="1">IF(AND($C$27&lt;3,B44&gt;3),G43,SUMIF(图纸产出设计!$F$334:$F$342,"&lt;="&amp;B44,图纸产出设计!$C$334:$C$342))</f>
        <v>3890</v>
      </c>
      <c r="H44" s="80">
        <f ca="1">OFFSET(产销汇总!$C$1,MATCH(H$28,产销汇总!$C$2:$C$8,0),$C$27)*(_xlfn.XLOOKUP(C44,主线推图!$B$313:$B$612,主线推图!$G$313:$G$612)+_xlfn.XLOOKUP(C44,主线推图!$B$313:$B$612,主线推图!$H$313:$H$612))</f>
        <v>176</v>
      </c>
      <c r="I44" s="80">
        <f ca="1">OFFSET(产销汇总!$C$1,MATCH(I$28,产销汇总!$C$2:$C$8,0),$C$27)*_xlfn.XLOOKUP(C44,巡逻产出!$B$311:$B$610,巡逻产出!$H$311:$H$610)</f>
        <v>0</v>
      </c>
      <c r="J44" s="80">
        <f ca="1">OFFSET(产销汇总!$C$1,MATCH(J$28,产销汇总!$C$2:$C$8,0),$C$27)*(_xlfn.XLOOKUP(MAX(1,INT(C44/10-6/10)),组队产出!$B$24:$B$39,组队产出!$J$24:$J$39)+_xlfn.XLOOKUP(MAX(1,INT(C44/10-6/10)),组队产出!$B$24:$B$39,组队产出!$K$24:$K$39))</f>
        <v>96</v>
      </c>
      <c r="K44" s="80">
        <f ca="1">OFFSET(产销汇总!$C$1,MATCH(K$28,产销汇总!$C$2:$C$8,0),$C$27)*_xlfn.XLOOKUP(C44,巡逻产出!$B$311:$B$610,巡逻产出!$I$311:$I$610)*IF($C$27=1,0.5,1)</f>
        <v>312</v>
      </c>
      <c r="L44" s="80">
        <f ca="1">OFFSET(产销汇总!$C$1,MATCH(L$28,产销汇总!$C$2:$C$8,0),$C$27)*竞技场!$C$5</f>
        <v>180</v>
      </c>
      <c r="M44" s="80">
        <f>任务!$C$6+IF(MOD(B44,7)=0,任务!$M$25)</f>
        <v>30</v>
      </c>
      <c r="N44" s="98">
        <f t="shared" si="2"/>
        <v>1.7</v>
      </c>
      <c r="O44" s="80">
        <f t="shared" si="3"/>
        <v>10</v>
      </c>
      <c r="P44" s="172">
        <f ca="1">OFFSET(产销汇总!$C$1,MATCH(P$27,产销汇总!$C$2:$C$8,0),$C$27)/200*协力宝箱!$Q$82</f>
        <v>0</v>
      </c>
      <c r="Q44" s="80">
        <f t="shared" si="4"/>
        <v>10</v>
      </c>
      <c r="R44" s="80">
        <v>10</v>
      </c>
      <c r="S44" s="172">
        <f t="shared" si="8"/>
        <v>100</v>
      </c>
      <c r="T44" s="172">
        <f>(公会!$F$12+公会!$F$13+公会!$F$14+公会!$F$18/7)/2</f>
        <v>121.428571428571</v>
      </c>
      <c r="U44" s="172">
        <f t="shared" si="6"/>
        <v>150</v>
      </c>
      <c r="V44" s="172" t="e">
        <f ca="1">SUM($H$29:U44)+SUM(D44:G44)</f>
        <v>#N/A</v>
      </c>
      <c r="W44" s="132" t="e">
        <f ca="1" t="shared" si="7"/>
        <v>#N/A</v>
      </c>
    </row>
    <row r="45" spans="1:23">
      <c r="A45" s="171"/>
      <c r="B45" s="80">
        <v>17</v>
      </c>
      <c r="C45" s="80">
        <f ca="1">OFFSET(产销汇总!$C$12,$B45,$C$27)</f>
        <v>84.5</v>
      </c>
      <c r="D45" s="80">
        <f ca="1">SUMIF(主线宝箱!$B$321:$B$620,"&lt;="&amp;C45,主线宝箱!$H$321:$H$620)+SUMIF(主线宝箱!$B$321:$B$620,"&lt;="&amp;C45,主线宝箱!$T$321:$T$620)</f>
        <v>3360</v>
      </c>
      <c r="E45" s="80">
        <v>110</v>
      </c>
      <c r="F45" s="80">
        <f t="shared" ref="F45:F108" si="9">F44</f>
        <v>450</v>
      </c>
      <c r="G45" s="80">
        <f ca="1">IF(AND($C$27&lt;3,B45&gt;3),G44,SUMIF(图纸产出设计!$F$334:$F$342,"&lt;="&amp;B45,图纸产出设计!$C$334:$C$342))</f>
        <v>3890</v>
      </c>
      <c r="H45" s="80" t="e">
        <f ca="1">OFFSET(产销汇总!$C$1,MATCH(H$28,产销汇总!$C$2:$C$8,0),$C$27)*(_xlfn.XLOOKUP(C45,主线推图!$B$313:$B$612,主线推图!$G$313:$G$612)+_xlfn.XLOOKUP(C45,主线推图!$B$313:$B$612,主线推图!$H$313:$H$612))</f>
        <v>#N/A</v>
      </c>
      <c r="I45" s="80" t="e">
        <f ca="1">OFFSET(产销汇总!$C$1,MATCH(I$28,产销汇总!$C$2:$C$8,0),$C$27)*_xlfn.XLOOKUP(C45,巡逻产出!$B$311:$B$610,巡逻产出!$H$311:$H$610)</f>
        <v>#N/A</v>
      </c>
      <c r="J45" s="80">
        <f ca="1">OFFSET(产销汇总!$C$1,MATCH(J$28,产销汇总!$C$2:$C$8,0),$C$27)*(_xlfn.XLOOKUP(MAX(1,INT(C45/10-6/10)),组队产出!$B$24:$B$39,组队产出!$J$24:$J$39)+_xlfn.XLOOKUP(MAX(1,INT(C45/10-6/10)),组队产出!$B$24:$B$39,组队产出!$K$24:$K$39))</f>
        <v>96</v>
      </c>
      <c r="K45" s="80" t="e">
        <f ca="1">OFFSET(产销汇总!$C$1,MATCH(K$28,产销汇总!$C$2:$C$8,0),$C$27)*_xlfn.XLOOKUP(C45,巡逻产出!$B$311:$B$610,巡逻产出!$I$311:$I$610)*IF($C$27=1,0.5,1)</f>
        <v>#N/A</v>
      </c>
      <c r="L45" s="80">
        <f ca="1">OFFSET(产销汇总!$C$1,MATCH(L$28,产销汇总!$C$2:$C$8,0),$C$27)*竞技场!$C$5</f>
        <v>180</v>
      </c>
      <c r="M45" s="80">
        <f>任务!$C$6+IF(MOD(B45,7)=0,任务!$M$25)</f>
        <v>30</v>
      </c>
      <c r="N45" s="98">
        <f t="shared" si="2"/>
        <v>1.7</v>
      </c>
      <c r="O45" s="80">
        <f t="shared" si="3"/>
        <v>0</v>
      </c>
      <c r="P45" s="172">
        <f ca="1">OFFSET(产销汇总!$C$1,MATCH(P$27,产销汇总!$C$2:$C$8,0),$C$27)/200*协力宝箱!$Q$82</f>
        <v>0</v>
      </c>
      <c r="Q45" s="80">
        <f t="shared" si="4"/>
        <v>10</v>
      </c>
      <c r="R45" s="80">
        <v>10</v>
      </c>
      <c r="S45" s="172">
        <f t="shared" si="8"/>
        <v>100</v>
      </c>
      <c r="T45" s="172">
        <f>(公会!$F$12+公会!$F$13+公会!$F$14+公会!$F$18/7)/2</f>
        <v>121.428571428571</v>
      </c>
      <c r="U45" s="172">
        <f t="shared" si="6"/>
        <v>150</v>
      </c>
      <c r="V45" s="172" t="e">
        <f ca="1">SUM($H$29:U45)+SUM(D45:G45)</f>
        <v>#N/A</v>
      </c>
      <c r="W45" s="132" t="e">
        <f ca="1" t="shared" si="7"/>
        <v>#N/A</v>
      </c>
    </row>
    <row r="46" spans="1:23">
      <c r="A46" s="171"/>
      <c r="B46" s="80">
        <v>18</v>
      </c>
      <c r="C46" s="80">
        <f ca="1">OFFSET(产销汇总!$C$12,$B46,$C$27)</f>
        <v>86</v>
      </c>
      <c r="D46" s="80">
        <f ca="1">SUMIF(主线宝箱!$B$321:$B$620,"&lt;="&amp;C46,主线宝箱!$H$321:$H$620)+SUMIF(主线宝箱!$B$321:$B$620,"&lt;="&amp;C46,主线宝箱!$T$321:$T$620)</f>
        <v>3440</v>
      </c>
      <c r="E46" s="80">
        <v>110</v>
      </c>
      <c r="F46" s="80">
        <f t="shared" si="9"/>
        <v>450</v>
      </c>
      <c r="G46" s="80">
        <f ca="1">IF(AND($C$27&lt;3,B46&gt;3),G45,SUMIF(图纸产出设计!$F$334:$F$342,"&lt;="&amp;B46,图纸产出设计!$C$334:$C$342))</f>
        <v>3890</v>
      </c>
      <c r="H46" s="80">
        <f ca="1">OFFSET(产销汇总!$C$1,MATCH(H$28,产销汇总!$C$2:$C$8,0),$C$27)*(_xlfn.XLOOKUP(C46,主线推图!$B$313:$B$612,主线推图!$G$313:$G$612)+_xlfn.XLOOKUP(C46,主线推图!$B$313:$B$612,主线推图!$H$313:$H$612))</f>
        <v>176</v>
      </c>
      <c r="I46" s="80">
        <f ca="1">OFFSET(产销汇总!$C$1,MATCH(I$28,产销汇总!$C$2:$C$8,0),$C$27)*_xlfn.XLOOKUP(C46,巡逻产出!$B$311:$B$610,巡逻产出!$H$311:$H$610)</f>
        <v>0</v>
      </c>
      <c r="J46" s="80">
        <f ca="1">OFFSET(产销汇总!$C$1,MATCH(J$28,产销汇总!$C$2:$C$8,0),$C$27)*(_xlfn.XLOOKUP(MAX(1,INT(C46/10-6/10)),组队产出!$B$24:$B$39,组队产出!$J$24:$J$39)+_xlfn.XLOOKUP(MAX(1,INT(C46/10-6/10)),组队产出!$B$24:$B$39,组队产出!$K$24:$K$39))</f>
        <v>96</v>
      </c>
      <c r="K46" s="80">
        <f ca="1">OFFSET(产销汇总!$C$1,MATCH(K$28,产销汇总!$C$2:$C$8,0),$C$27)*_xlfn.XLOOKUP(C46,巡逻产出!$B$311:$B$610,巡逻产出!$I$311:$I$610)*IF($C$27=1,0.5,1)</f>
        <v>312</v>
      </c>
      <c r="L46" s="80">
        <f ca="1">OFFSET(产销汇总!$C$1,MATCH(L$28,产销汇总!$C$2:$C$8,0),$C$27)*竞技场!$C$5</f>
        <v>180</v>
      </c>
      <c r="M46" s="80">
        <f>任务!$C$6+IF(MOD(B46,7)=0,任务!$M$25)</f>
        <v>30</v>
      </c>
      <c r="N46" s="98">
        <f t="shared" si="2"/>
        <v>1.7</v>
      </c>
      <c r="O46" s="80">
        <f t="shared" si="3"/>
        <v>0</v>
      </c>
      <c r="P46" s="172">
        <f ca="1">OFFSET(产销汇总!$C$1,MATCH(P$27,产销汇总!$C$2:$C$8,0),$C$27)/200*协力宝箱!$Q$82</f>
        <v>0</v>
      </c>
      <c r="Q46" s="80">
        <f t="shared" si="4"/>
        <v>10</v>
      </c>
      <c r="R46" s="80">
        <v>10</v>
      </c>
      <c r="S46" s="172">
        <f t="shared" si="8"/>
        <v>100</v>
      </c>
      <c r="T46" s="172">
        <f>(公会!$F$12+公会!$F$13+公会!$F$14+公会!$F$18/7)/2</f>
        <v>121.428571428571</v>
      </c>
      <c r="U46" s="172">
        <f t="shared" si="6"/>
        <v>150</v>
      </c>
      <c r="V46" s="172" t="e">
        <f ca="1">SUM($H$29:U46)+SUM(D46:G46)</f>
        <v>#N/A</v>
      </c>
      <c r="W46" s="132" t="e">
        <f ca="1" t="shared" si="7"/>
        <v>#N/A</v>
      </c>
    </row>
    <row r="47" spans="1:23">
      <c r="A47" s="171"/>
      <c r="B47" s="80">
        <v>19</v>
      </c>
      <c r="C47" s="80">
        <f ca="1">OFFSET(产销汇总!$C$12,$B47,$C$27)</f>
        <v>87.5</v>
      </c>
      <c r="D47" s="80">
        <f ca="1">SUMIF(主线宝箱!$B$321:$B$620,"&lt;="&amp;C47,主线宝箱!$H$321:$H$620)+SUMIF(主线宝箱!$B$321:$B$620,"&lt;="&amp;C47,主线宝箱!$T$321:$T$620)</f>
        <v>3480</v>
      </c>
      <c r="E47" s="80">
        <v>110</v>
      </c>
      <c r="F47" s="80">
        <f t="shared" si="9"/>
        <v>450</v>
      </c>
      <c r="G47" s="80">
        <f ca="1">IF(AND($C$27&lt;3,B47&gt;3),G46,SUMIF(图纸产出设计!$F$334:$F$342,"&lt;="&amp;B47,图纸产出设计!$C$334:$C$342))</f>
        <v>3890</v>
      </c>
      <c r="H47" s="80" t="e">
        <f ca="1">OFFSET(产销汇总!$C$1,MATCH(H$28,产销汇总!$C$2:$C$8,0),$C$27)*(_xlfn.XLOOKUP(C47,主线推图!$B$313:$B$612,主线推图!$G$313:$G$612)+_xlfn.XLOOKUP(C47,主线推图!$B$313:$B$612,主线推图!$H$313:$H$612))</f>
        <v>#N/A</v>
      </c>
      <c r="I47" s="80" t="e">
        <f ca="1">OFFSET(产销汇总!$C$1,MATCH(I$28,产销汇总!$C$2:$C$8,0),$C$27)*_xlfn.XLOOKUP(C47,巡逻产出!$B$311:$B$610,巡逻产出!$H$311:$H$610)</f>
        <v>#N/A</v>
      </c>
      <c r="J47" s="80">
        <f ca="1">OFFSET(产销汇总!$C$1,MATCH(J$28,产销汇总!$C$2:$C$8,0),$C$27)*(_xlfn.XLOOKUP(MAX(1,INT(C47/10-6/10)),组队产出!$B$24:$B$39,组队产出!$J$24:$J$39)+_xlfn.XLOOKUP(MAX(1,INT(C47/10-6/10)),组队产出!$B$24:$B$39,组队产出!$K$24:$K$39))</f>
        <v>96</v>
      </c>
      <c r="K47" s="80" t="e">
        <f ca="1">OFFSET(产销汇总!$C$1,MATCH(K$28,产销汇总!$C$2:$C$8,0),$C$27)*_xlfn.XLOOKUP(C47,巡逻产出!$B$311:$B$610,巡逻产出!$I$311:$I$610)*IF($C$27=1,0.5,1)</f>
        <v>#N/A</v>
      </c>
      <c r="L47" s="80">
        <f ca="1">OFFSET(产销汇总!$C$1,MATCH(L$28,产销汇总!$C$2:$C$8,0),$C$27)*竞技场!$C$5</f>
        <v>180</v>
      </c>
      <c r="M47" s="80">
        <f>任务!$C$6+IF(MOD(B47,7)=0,任务!$M$25)</f>
        <v>30</v>
      </c>
      <c r="N47" s="98">
        <f t="shared" si="2"/>
        <v>1.7</v>
      </c>
      <c r="O47" s="80">
        <f t="shared" si="3"/>
        <v>10</v>
      </c>
      <c r="P47" s="172">
        <f ca="1">OFFSET(产销汇总!$C$1,MATCH(P$27,产销汇总!$C$2:$C$8,0),$C$27)/200*协力宝箱!$Q$82</f>
        <v>0</v>
      </c>
      <c r="Q47" s="80">
        <f t="shared" si="4"/>
        <v>10</v>
      </c>
      <c r="R47" s="80">
        <v>10</v>
      </c>
      <c r="S47" s="172">
        <f t="shared" si="8"/>
        <v>100</v>
      </c>
      <c r="T47" s="172">
        <f>(公会!$F$12+公会!$F$13+公会!$F$14+公会!$F$18/7)/2</f>
        <v>121.428571428571</v>
      </c>
      <c r="U47" s="172">
        <f t="shared" si="6"/>
        <v>150</v>
      </c>
      <c r="V47" s="172" t="e">
        <f ca="1">SUM($H$29:U47)+SUM(D47:G47)</f>
        <v>#N/A</v>
      </c>
      <c r="W47" s="132" t="e">
        <f ca="1" t="shared" si="7"/>
        <v>#N/A</v>
      </c>
    </row>
    <row r="48" spans="1:23">
      <c r="A48" s="171"/>
      <c r="B48" s="80">
        <v>20</v>
      </c>
      <c r="C48" s="80">
        <f ca="1">OFFSET(产销汇总!$C$12,$B48,$C$27)</f>
        <v>89</v>
      </c>
      <c r="D48" s="80">
        <f ca="1">SUMIF(主线宝箱!$B$321:$B$620,"&lt;="&amp;C48,主线宝箱!$H$321:$H$620)+SUMIF(主线宝箱!$B$321:$B$620,"&lt;="&amp;C48,主线宝箱!$T$321:$T$620)</f>
        <v>3560</v>
      </c>
      <c r="E48" s="80">
        <v>110</v>
      </c>
      <c r="F48" s="80">
        <f t="shared" si="9"/>
        <v>450</v>
      </c>
      <c r="G48" s="80">
        <f ca="1">IF(AND($C$27&lt;3,B48&gt;3),G47,SUMIF(图纸产出设计!$F$334:$F$342,"&lt;="&amp;B48,图纸产出设计!$C$334:$C$342))</f>
        <v>3890</v>
      </c>
      <c r="H48" s="80">
        <f ca="1">OFFSET(产销汇总!$C$1,MATCH(H$28,产销汇总!$C$2:$C$8,0),$C$27)*(_xlfn.XLOOKUP(C48,主线推图!$B$313:$B$612,主线推图!$G$313:$G$612)+_xlfn.XLOOKUP(C48,主线推图!$B$313:$B$612,主线推图!$H$313:$H$612))</f>
        <v>176</v>
      </c>
      <c r="I48" s="80">
        <f ca="1">OFFSET(产销汇总!$C$1,MATCH(I$28,产销汇总!$C$2:$C$8,0),$C$27)*_xlfn.XLOOKUP(C48,巡逻产出!$B$311:$B$610,巡逻产出!$H$311:$H$610)</f>
        <v>0</v>
      </c>
      <c r="J48" s="80">
        <f ca="1">OFFSET(产销汇总!$C$1,MATCH(J$28,产销汇总!$C$2:$C$8,0),$C$27)*(_xlfn.XLOOKUP(MAX(1,INT(C48/10-6/10)),组队产出!$B$24:$B$39,组队产出!$J$24:$J$39)+_xlfn.XLOOKUP(MAX(1,INT(C48/10-6/10)),组队产出!$B$24:$B$39,组队产出!$K$24:$K$39))</f>
        <v>96</v>
      </c>
      <c r="K48" s="80">
        <f ca="1">OFFSET(产销汇总!$C$1,MATCH(K$28,产销汇总!$C$2:$C$8,0),$C$27)*_xlfn.XLOOKUP(C48,巡逻产出!$B$311:$B$610,巡逻产出!$I$311:$I$610)*IF($C$27=1,0.5,1)</f>
        <v>312</v>
      </c>
      <c r="L48" s="80">
        <f ca="1">OFFSET(产销汇总!$C$1,MATCH(L$28,产销汇总!$C$2:$C$8,0),$C$27)*竞技场!$C$5</f>
        <v>180</v>
      </c>
      <c r="M48" s="80">
        <f>任务!$C$6+IF(MOD(B48,7)=0,任务!$M$25)</f>
        <v>30</v>
      </c>
      <c r="N48" s="98">
        <f t="shared" si="2"/>
        <v>1.7</v>
      </c>
      <c r="O48" s="80">
        <f t="shared" si="3"/>
        <v>0</v>
      </c>
      <c r="P48" s="172">
        <f ca="1">OFFSET(产销汇总!$C$1,MATCH(P$27,产销汇总!$C$2:$C$8,0),$C$27)/200*协力宝箱!$Q$82</f>
        <v>0</v>
      </c>
      <c r="Q48" s="80">
        <f t="shared" si="4"/>
        <v>10</v>
      </c>
      <c r="R48" s="80">
        <v>10</v>
      </c>
      <c r="S48" s="172">
        <f t="shared" si="8"/>
        <v>100</v>
      </c>
      <c r="T48" s="172">
        <f>(公会!$F$12+公会!$F$13+公会!$F$14+公会!$F$18/7)/2</f>
        <v>121.428571428571</v>
      </c>
      <c r="U48" s="172">
        <f t="shared" si="6"/>
        <v>150</v>
      </c>
      <c r="V48" s="172" t="e">
        <f ca="1">SUM($H$29:U48)+SUM(D48:G48)</f>
        <v>#N/A</v>
      </c>
      <c r="W48" s="132" t="e">
        <f ca="1" t="shared" si="7"/>
        <v>#N/A</v>
      </c>
    </row>
    <row r="49" spans="1:23">
      <c r="A49" s="171"/>
      <c r="B49" s="80">
        <v>21</v>
      </c>
      <c r="C49" s="80">
        <f ca="1">OFFSET(产销汇总!$C$12,$B49,$C$27)</f>
        <v>90</v>
      </c>
      <c r="D49" s="80">
        <f ca="1">SUMIF(主线宝箱!$B$321:$B$620,"&lt;="&amp;C49,主线宝箱!$H$321:$H$620)+SUMIF(主线宝箱!$B$321:$B$620,"&lt;="&amp;C49,主线宝箱!$T$321:$T$620)</f>
        <v>3600</v>
      </c>
      <c r="E49" s="80">
        <v>110</v>
      </c>
      <c r="F49" s="80">
        <f t="shared" si="9"/>
        <v>450</v>
      </c>
      <c r="G49" s="80">
        <f ca="1">IF(AND($C$27&lt;3,B49&gt;3),G48,SUMIF(图纸产出设计!$F$334:$F$342,"&lt;="&amp;B49,图纸产出设计!$C$334:$C$342))</f>
        <v>3890</v>
      </c>
      <c r="H49" s="80">
        <f ca="1">OFFSET(产销汇总!$C$1,MATCH(H$28,产销汇总!$C$2:$C$8,0),$C$27)*(_xlfn.XLOOKUP(C49,主线推图!$B$313:$B$612,主线推图!$G$313:$G$612)+_xlfn.XLOOKUP(C49,主线推图!$B$313:$B$612,主线推图!$H$313:$H$612))</f>
        <v>176</v>
      </c>
      <c r="I49" s="80">
        <f ca="1">OFFSET(产销汇总!$C$1,MATCH(I$28,产销汇总!$C$2:$C$8,0),$C$27)*_xlfn.XLOOKUP(C49,巡逻产出!$B$311:$B$610,巡逻产出!$H$311:$H$610)</f>
        <v>0</v>
      </c>
      <c r="J49" s="80">
        <f ca="1">OFFSET(产销汇总!$C$1,MATCH(J$28,产销汇总!$C$2:$C$8,0),$C$27)*(_xlfn.XLOOKUP(MAX(1,INT(C49/10-6/10)),组队产出!$B$24:$B$39,组队产出!$J$24:$J$39)+_xlfn.XLOOKUP(MAX(1,INT(C49/10-6/10)),组队产出!$B$24:$B$39,组队产出!$K$24:$K$39))</f>
        <v>96</v>
      </c>
      <c r="K49" s="80">
        <f ca="1">OFFSET(产销汇总!$C$1,MATCH(K$28,产销汇总!$C$2:$C$8,0),$C$27)*_xlfn.XLOOKUP(C49,巡逻产出!$B$311:$B$610,巡逻产出!$I$311:$I$610)*IF($C$27=1,0.5,1)</f>
        <v>312</v>
      </c>
      <c r="L49" s="80">
        <f ca="1">OFFSET(产销汇总!$C$1,MATCH(L$28,产销汇总!$C$2:$C$8,0),$C$27)*竞技场!$C$5</f>
        <v>180</v>
      </c>
      <c r="M49" s="80">
        <f>任务!$C$6+IF(MOD(B49,7)=0,任务!$M$25)</f>
        <v>60</v>
      </c>
      <c r="N49" s="98">
        <f t="shared" si="2"/>
        <v>1.7</v>
      </c>
      <c r="O49" s="80">
        <f t="shared" si="3"/>
        <v>0</v>
      </c>
      <c r="P49" s="172">
        <f ca="1">OFFSET(产销汇总!$C$1,MATCH(P$27,产销汇总!$C$2:$C$8,0),$C$27)/200*协力宝箱!$Q$82</f>
        <v>0</v>
      </c>
      <c r="Q49" s="80">
        <f t="shared" si="4"/>
        <v>10</v>
      </c>
      <c r="R49" s="80">
        <v>10</v>
      </c>
      <c r="S49" s="172">
        <f t="shared" si="8"/>
        <v>100</v>
      </c>
      <c r="T49" s="172">
        <f>(公会!$F$12+公会!$F$13+公会!$F$14+公会!$F$18/7)/2</f>
        <v>121.428571428571</v>
      </c>
      <c r="U49" s="172">
        <f t="shared" si="6"/>
        <v>150</v>
      </c>
      <c r="V49" s="172" t="e">
        <f ca="1">SUM($H$29:U49)+SUM(D49:G49)</f>
        <v>#N/A</v>
      </c>
      <c r="W49" s="132" t="e">
        <f ca="1" t="shared" si="7"/>
        <v>#N/A</v>
      </c>
    </row>
    <row r="50" spans="1:23">
      <c r="A50" s="171"/>
      <c r="B50" s="80">
        <v>22</v>
      </c>
      <c r="C50" s="80">
        <f ca="1">OFFSET(产销汇总!$C$12,$B50,$C$27)</f>
        <v>91.5714285714286</v>
      </c>
      <c r="D50" s="80">
        <f ca="1">SUMIF(主线宝箱!$B$321:$B$620,"&lt;="&amp;C50,主线宝箱!$H$321:$H$620)+SUMIF(主线宝箱!$B$321:$B$620,"&lt;="&amp;C50,主线宝箱!$T$321:$T$620)</f>
        <v>3640</v>
      </c>
      <c r="E50" s="80">
        <v>110</v>
      </c>
      <c r="F50" s="80">
        <f t="shared" si="9"/>
        <v>450</v>
      </c>
      <c r="G50" s="80">
        <f ca="1">IF(AND($C$27&lt;3,B50&gt;3),G49,SUMIF(图纸产出设计!$F$334:$F$342,"&lt;="&amp;B50,图纸产出设计!$C$334:$C$342))</f>
        <v>3890</v>
      </c>
      <c r="H50" s="80" t="e">
        <f ca="1">OFFSET(产销汇总!$C$1,MATCH(H$28,产销汇总!$C$2:$C$8,0),$C$27)*(_xlfn.XLOOKUP(C50,主线推图!$B$313:$B$612,主线推图!$G$313:$G$612)+_xlfn.XLOOKUP(C50,主线推图!$B$313:$B$612,主线推图!$H$313:$H$612))</f>
        <v>#N/A</v>
      </c>
      <c r="I50" s="80" t="e">
        <f ca="1">OFFSET(产销汇总!$C$1,MATCH(I$28,产销汇总!$C$2:$C$8,0),$C$27)*_xlfn.XLOOKUP(C50,巡逻产出!$B$311:$B$610,巡逻产出!$H$311:$H$610)</f>
        <v>#N/A</v>
      </c>
      <c r="J50" s="80">
        <f ca="1">OFFSET(产销汇总!$C$1,MATCH(J$28,产销汇总!$C$2:$C$8,0),$C$27)*(_xlfn.XLOOKUP(MAX(1,INT(C50/10-6/10)),组队产出!$B$24:$B$39,组队产出!$J$24:$J$39)+_xlfn.XLOOKUP(MAX(1,INT(C50/10-6/10)),组队产出!$B$24:$B$39,组队产出!$K$24:$K$39))</f>
        <v>96</v>
      </c>
      <c r="K50" s="80" t="e">
        <f ca="1">OFFSET(产销汇总!$C$1,MATCH(K$28,产销汇总!$C$2:$C$8,0),$C$27)*_xlfn.XLOOKUP(C50,巡逻产出!$B$311:$B$610,巡逻产出!$I$311:$I$610)*IF($C$27=1,0.5,1)</f>
        <v>#N/A</v>
      </c>
      <c r="L50" s="80">
        <f ca="1">OFFSET(产销汇总!$C$1,MATCH(L$28,产销汇总!$C$2:$C$8,0),$C$27)*竞技场!$C$5</f>
        <v>180</v>
      </c>
      <c r="M50" s="80">
        <f>任务!$C$6+IF(MOD(B50,7)=0,任务!$M$25)</f>
        <v>30</v>
      </c>
      <c r="N50" s="98">
        <f t="shared" si="2"/>
        <v>1.7</v>
      </c>
      <c r="O50" s="80">
        <f t="shared" si="3"/>
        <v>0</v>
      </c>
      <c r="P50" s="172">
        <f ca="1">OFFSET(产销汇总!$C$1,MATCH(P$27,产销汇总!$C$2:$C$8,0),$C$27)/200*协力宝箱!$Q$82</f>
        <v>0</v>
      </c>
      <c r="Q50" s="80">
        <f t="shared" si="4"/>
        <v>10</v>
      </c>
      <c r="R50" s="80">
        <v>10</v>
      </c>
      <c r="S50" s="172">
        <f t="shared" si="8"/>
        <v>100</v>
      </c>
      <c r="T50" s="172">
        <f>(公会!$F$12+公会!$F$13+公会!$F$14+公会!$F$18/7)/2</f>
        <v>121.428571428571</v>
      </c>
      <c r="U50" s="172">
        <f t="shared" si="6"/>
        <v>150</v>
      </c>
      <c r="V50" s="172" t="e">
        <f ca="1">SUM($H$29:U50)+SUM(D50:G50)</f>
        <v>#N/A</v>
      </c>
      <c r="W50" s="132" t="e">
        <f ca="1" t="shared" si="7"/>
        <v>#N/A</v>
      </c>
    </row>
    <row r="51" spans="1:23">
      <c r="A51" s="171"/>
      <c r="B51" s="80">
        <v>23</v>
      </c>
      <c r="C51" s="80">
        <f ca="1">OFFSET(产销汇总!$C$12,$B51,$C$27)</f>
        <v>93.1428571428571</v>
      </c>
      <c r="D51" s="80">
        <f ca="1">SUMIF(主线宝箱!$B$321:$B$620,"&lt;="&amp;C51,主线宝箱!$H$321:$H$620)+SUMIF(主线宝箱!$B$321:$B$620,"&lt;="&amp;C51,主线宝箱!$T$321:$T$620)</f>
        <v>3720</v>
      </c>
      <c r="E51" s="80">
        <v>110</v>
      </c>
      <c r="F51" s="80">
        <f t="shared" si="9"/>
        <v>450</v>
      </c>
      <c r="G51" s="80">
        <f ca="1">IF(AND($C$27&lt;3,B51&gt;3),G50,SUMIF(图纸产出设计!$F$334:$F$342,"&lt;="&amp;B51,图纸产出设计!$C$334:$C$342))</f>
        <v>3890</v>
      </c>
      <c r="H51" s="80" t="e">
        <f ca="1">OFFSET(产销汇总!$C$1,MATCH(H$28,产销汇总!$C$2:$C$8,0),$C$27)*(_xlfn.XLOOKUP(C51,主线推图!$B$313:$B$612,主线推图!$G$313:$G$612)+_xlfn.XLOOKUP(C51,主线推图!$B$313:$B$612,主线推图!$H$313:$H$612))</f>
        <v>#N/A</v>
      </c>
      <c r="I51" s="80" t="e">
        <f ca="1">OFFSET(产销汇总!$C$1,MATCH(I$28,产销汇总!$C$2:$C$8,0),$C$27)*_xlfn.XLOOKUP(C51,巡逻产出!$B$311:$B$610,巡逻产出!$H$311:$H$610)</f>
        <v>#N/A</v>
      </c>
      <c r="J51" s="80">
        <f ca="1">OFFSET(产销汇总!$C$1,MATCH(J$28,产销汇总!$C$2:$C$8,0),$C$27)*(_xlfn.XLOOKUP(MAX(1,INT(C51/10-6/10)),组队产出!$B$24:$B$39,组队产出!$J$24:$J$39)+_xlfn.XLOOKUP(MAX(1,INT(C51/10-6/10)),组队产出!$B$24:$B$39,组队产出!$K$24:$K$39))</f>
        <v>96</v>
      </c>
      <c r="K51" s="80" t="e">
        <f ca="1">OFFSET(产销汇总!$C$1,MATCH(K$28,产销汇总!$C$2:$C$8,0),$C$27)*_xlfn.XLOOKUP(C51,巡逻产出!$B$311:$B$610,巡逻产出!$I$311:$I$610)*IF($C$27=1,0.5,1)</f>
        <v>#N/A</v>
      </c>
      <c r="L51" s="80">
        <f ca="1">OFFSET(产销汇总!$C$1,MATCH(L$28,产销汇总!$C$2:$C$8,0),$C$27)*竞技场!$C$5</f>
        <v>180</v>
      </c>
      <c r="M51" s="80">
        <f>任务!$C$6+IF(MOD(B51,7)=0,任务!$M$25)</f>
        <v>30</v>
      </c>
      <c r="N51" s="98">
        <f t="shared" si="2"/>
        <v>1.7</v>
      </c>
      <c r="O51" s="80">
        <f t="shared" si="3"/>
        <v>10</v>
      </c>
      <c r="P51" s="172">
        <f ca="1">OFFSET(产销汇总!$C$1,MATCH(P$27,产销汇总!$C$2:$C$8,0),$C$27)/200*协力宝箱!$Q$82</f>
        <v>0</v>
      </c>
      <c r="Q51" s="80">
        <f t="shared" si="4"/>
        <v>10</v>
      </c>
      <c r="R51" s="80">
        <v>10</v>
      </c>
      <c r="S51" s="172">
        <f t="shared" si="8"/>
        <v>100</v>
      </c>
      <c r="T51" s="172">
        <f>(公会!$F$12+公会!$F$13+公会!$F$14+公会!$F$18/7)/2</f>
        <v>121.428571428571</v>
      </c>
      <c r="U51" s="172">
        <f t="shared" si="6"/>
        <v>150</v>
      </c>
      <c r="V51" s="172" t="e">
        <f ca="1">SUM($H$29:U51)+SUM(D51:G51)</f>
        <v>#N/A</v>
      </c>
      <c r="W51" s="132" t="e">
        <f ca="1" t="shared" si="7"/>
        <v>#N/A</v>
      </c>
    </row>
    <row r="52" spans="1:23">
      <c r="A52" s="171"/>
      <c r="B52" s="80">
        <v>24</v>
      </c>
      <c r="C52" s="80">
        <f ca="1">OFFSET(产销汇总!$C$12,$B52,$C$27)</f>
        <v>94.7142857142857</v>
      </c>
      <c r="D52" s="80">
        <f ca="1">SUMIF(主线宝箱!$B$321:$B$620,"&lt;="&amp;C52,主线宝箱!$H$321:$H$620)+SUMIF(主线宝箱!$B$321:$B$620,"&lt;="&amp;C52,主线宝箱!$T$321:$T$620)</f>
        <v>3760</v>
      </c>
      <c r="E52" s="80">
        <v>110</v>
      </c>
      <c r="F52" s="80">
        <f t="shared" si="9"/>
        <v>450</v>
      </c>
      <c r="G52" s="80">
        <f ca="1">IF(AND($C$27&lt;3,B52&gt;3),G51,SUMIF(图纸产出设计!$F$334:$F$342,"&lt;="&amp;B52,图纸产出设计!$C$334:$C$342))</f>
        <v>3890</v>
      </c>
      <c r="H52" s="80" t="e">
        <f ca="1">OFFSET(产销汇总!$C$1,MATCH(H$28,产销汇总!$C$2:$C$8,0),$C$27)*(_xlfn.XLOOKUP(C52,主线推图!$B$313:$B$612,主线推图!$G$313:$G$612)+_xlfn.XLOOKUP(C52,主线推图!$B$313:$B$612,主线推图!$H$313:$H$612))</f>
        <v>#N/A</v>
      </c>
      <c r="I52" s="80" t="e">
        <f ca="1">OFFSET(产销汇总!$C$1,MATCH(I$28,产销汇总!$C$2:$C$8,0),$C$27)*_xlfn.XLOOKUP(C52,巡逻产出!$B$311:$B$610,巡逻产出!$H$311:$H$610)</f>
        <v>#N/A</v>
      </c>
      <c r="J52" s="80">
        <f ca="1">OFFSET(产销汇总!$C$1,MATCH(J$28,产销汇总!$C$2:$C$8,0),$C$27)*(_xlfn.XLOOKUP(MAX(1,INT(C52/10-6/10)),组队产出!$B$24:$B$39,组队产出!$J$24:$J$39)+_xlfn.XLOOKUP(MAX(1,INT(C52/10-6/10)),组队产出!$B$24:$B$39,组队产出!$K$24:$K$39))</f>
        <v>96</v>
      </c>
      <c r="K52" s="80" t="e">
        <f ca="1">OFFSET(产销汇总!$C$1,MATCH(K$28,产销汇总!$C$2:$C$8,0),$C$27)*_xlfn.XLOOKUP(C52,巡逻产出!$B$311:$B$610,巡逻产出!$I$311:$I$610)*IF($C$27=1,0.5,1)</f>
        <v>#N/A</v>
      </c>
      <c r="L52" s="80">
        <f ca="1">OFFSET(产销汇总!$C$1,MATCH(L$28,产销汇总!$C$2:$C$8,0),$C$27)*竞技场!$C$5</f>
        <v>180</v>
      </c>
      <c r="M52" s="80">
        <f>任务!$C$6+IF(MOD(B52,7)=0,任务!$M$25)</f>
        <v>30</v>
      </c>
      <c r="N52" s="98">
        <f t="shared" si="2"/>
        <v>1.7</v>
      </c>
      <c r="O52" s="80">
        <f t="shared" si="3"/>
        <v>0</v>
      </c>
      <c r="P52" s="172">
        <f ca="1">OFFSET(产销汇总!$C$1,MATCH(P$27,产销汇总!$C$2:$C$8,0),$C$27)/200*协力宝箱!$Q$82</f>
        <v>0</v>
      </c>
      <c r="Q52" s="80">
        <f t="shared" si="4"/>
        <v>10</v>
      </c>
      <c r="R52" s="80">
        <v>10</v>
      </c>
      <c r="S52" s="172">
        <f t="shared" si="8"/>
        <v>100</v>
      </c>
      <c r="T52" s="172">
        <f>(公会!$F$12+公会!$F$13+公会!$F$14+公会!$F$18/7)/2</f>
        <v>121.428571428571</v>
      </c>
      <c r="U52" s="172">
        <f t="shared" si="6"/>
        <v>150</v>
      </c>
      <c r="V52" s="172" t="e">
        <f ca="1">SUM($H$29:U52)+SUM(D52:G52)</f>
        <v>#N/A</v>
      </c>
      <c r="W52" s="132" t="e">
        <f ca="1" t="shared" si="7"/>
        <v>#N/A</v>
      </c>
    </row>
    <row r="53" spans="1:23">
      <c r="A53" s="171"/>
      <c r="B53" s="80">
        <v>25</v>
      </c>
      <c r="C53" s="80">
        <f ca="1">OFFSET(产销汇总!$C$12,$B53,$C$27)</f>
        <v>96.2857142857143</v>
      </c>
      <c r="D53" s="80">
        <f ca="1">SUMIF(主线宝箱!$B$321:$B$620,"&lt;="&amp;C53,主线宝箱!$H$321:$H$620)+SUMIF(主线宝箱!$B$321:$B$620,"&lt;="&amp;C53,主线宝箱!$T$321:$T$620)</f>
        <v>3840</v>
      </c>
      <c r="E53" s="80">
        <v>110</v>
      </c>
      <c r="F53" s="80">
        <f t="shared" si="9"/>
        <v>450</v>
      </c>
      <c r="G53" s="80">
        <f ca="1">IF(AND($C$27&lt;3,B53&gt;3),G52,SUMIF(图纸产出设计!$F$334:$F$342,"&lt;="&amp;B53,图纸产出设计!$C$334:$C$342))</f>
        <v>3890</v>
      </c>
      <c r="H53" s="80" t="e">
        <f ca="1">OFFSET(产销汇总!$C$1,MATCH(H$28,产销汇总!$C$2:$C$8,0),$C$27)*(_xlfn.XLOOKUP(C53,主线推图!$B$313:$B$612,主线推图!$G$313:$G$612)+_xlfn.XLOOKUP(C53,主线推图!$B$313:$B$612,主线推图!$H$313:$H$612))</f>
        <v>#N/A</v>
      </c>
      <c r="I53" s="80" t="e">
        <f ca="1">OFFSET(产销汇总!$C$1,MATCH(I$28,产销汇总!$C$2:$C$8,0),$C$27)*_xlfn.XLOOKUP(C53,巡逻产出!$B$311:$B$610,巡逻产出!$H$311:$H$610)</f>
        <v>#N/A</v>
      </c>
      <c r="J53" s="80">
        <f ca="1">OFFSET(产销汇总!$C$1,MATCH(J$28,产销汇总!$C$2:$C$8,0),$C$27)*(_xlfn.XLOOKUP(MAX(1,INT(C53/10-6/10)),组队产出!$B$24:$B$39,组队产出!$J$24:$J$39)+_xlfn.XLOOKUP(MAX(1,INT(C53/10-6/10)),组队产出!$B$24:$B$39,组队产出!$K$24:$K$39))</f>
        <v>96</v>
      </c>
      <c r="K53" s="80" t="e">
        <f ca="1">OFFSET(产销汇总!$C$1,MATCH(K$28,产销汇总!$C$2:$C$8,0),$C$27)*_xlfn.XLOOKUP(C53,巡逻产出!$B$311:$B$610,巡逻产出!$I$311:$I$610)*IF($C$27=1,0.5,1)</f>
        <v>#N/A</v>
      </c>
      <c r="L53" s="80">
        <f ca="1">OFFSET(产销汇总!$C$1,MATCH(L$28,产销汇总!$C$2:$C$8,0),$C$27)*竞技场!$C$5</f>
        <v>180</v>
      </c>
      <c r="M53" s="80">
        <f>任务!$C$6+IF(MOD(B53,7)=0,任务!$M$25)</f>
        <v>30</v>
      </c>
      <c r="N53" s="98">
        <f t="shared" si="2"/>
        <v>1.7</v>
      </c>
      <c r="O53" s="80">
        <f t="shared" si="3"/>
        <v>0</v>
      </c>
      <c r="P53" s="172">
        <f ca="1">OFFSET(产销汇总!$C$1,MATCH(P$27,产销汇总!$C$2:$C$8,0),$C$27)/200*协力宝箱!$Q$82</f>
        <v>0</v>
      </c>
      <c r="Q53" s="80">
        <f t="shared" si="4"/>
        <v>10</v>
      </c>
      <c r="R53" s="80">
        <v>10</v>
      </c>
      <c r="S53" s="172">
        <f t="shared" si="8"/>
        <v>100</v>
      </c>
      <c r="T53" s="172">
        <f>(公会!$F$12+公会!$F$13+公会!$F$14+公会!$F$18/7)/2</f>
        <v>121.428571428571</v>
      </c>
      <c r="U53" s="172">
        <f t="shared" si="6"/>
        <v>150</v>
      </c>
      <c r="V53" s="172" t="e">
        <f ca="1">SUM($H$29:U53)+SUM(D53:G53)</f>
        <v>#N/A</v>
      </c>
      <c r="W53" s="132" t="e">
        <f ca="1" t="shared" si="7"/>
        <v>#N/A</v>
      </c>
    </row>
    <row r="54" spans="1:23">
      <c r="A54" s="171"/>
      <c r="B54" s="80">
        <v>26</v>
      </c>
      <c r="C54" s="80">
        <f ca="1">OFFSET(产销汇总!$C$12,$B54,$C$27)</f>
        <v>97.8571428571429</v>
      </c>
      <c r="D54" s="80">
        <f ca="1">SUMIF(主线宝箱!$B$321:$B$620,"&lt;="&amp;C54,主线宝箱!$H$321:$H$620)+SUMIF(主线宝箱!$B$321:$B$620,"&lt;="&amp;C54,主线宝箱!$T$321:$T$620)</f>
        <v>3880</v>
      </c>
      <c r="E54" s="80">
        <v>110</v>
      </c>
      <c r="F54" s="80">
        <f t="shared" si="9"/>
        <v>450</v>
      </c>
      <c r="G54" s="80">
        <f ca="1">IF(AND($C$27&lt;3,B54&gt;3),G53,SUMIF(图纸产出设计!$F$334:$F$342,"&lt;="&amp;B54,图纸产出设计!$C$334:$C$342))</f>
        <v>3890</v>
      </c>
      <c r="H54" s="80" t="e">
        <f ca="1">OFFSET(产销汇总!$C$1,MATCH(H$28,产销汇总!$C$2:$C$8,0),$C$27)*(_xlfn.XLOOKUP(C54,主线推图!$B$313:$B$612,主线推图!$G$313:$G$612)+_xlfn.XLOOKUP(C54,主线推图!$B$313:$B$612,主线推图!$H$313:$H$612))</f>
        <v>#N/A</v>
      </c>
      <c r="I54" s="80" t="e">
        <f ca="1">OFFSET(产销汇总!$C$1,MATCH(I$28,产销汇总!$C$2:$C$8,0),$C$27)*_xlfn.XLOOKUP(C54,巡逻产出!$B$311:$B$610,巡逻产出!$H$311:$H$610)</f>
        <v>#N/A</v>
      </c>
      <c r="J54" s="80">
        <f ca="1">OFFSET(产销汇总!$C$1,MATCH(J$28,产销汇总!$C$2:$C$8,0),$C$27)*(_xlfn.XLOOKUP(MAX(1,INT(C54/10-6/10)),组队产出!$B$24:$B$39,组队产出!$J$24:$J$39)+_xlfn.XLOOKUP(MAX(1,INT(C54/10-6/10)),组队产出!$B$24:$B$39,组队产出!$K$24:$K$39))</f>
        <v>96</v>
      </c>
      <c r="K54" s="80" t="e">
        <f ca="1">OFFSET(产销汇总!$C$1,MATCH(K$28,产销汇总!$C$2:$C$8,0),$C$27)*_xlfn.XLOOKUP(C54,巡逻产出!$B$311:$B$610,巡逻产出!$I$311:$I$610)*IF($C$27=1,0.5,1)</f>
        <v>#N/A</v>
      </c>
      <c r="L54" s="80">
        <f ca="1">OFFSET(产销汇总!$C$1,MATCH(L$28,产销汇总!$C$2:$C$8,0),$C$27)*竞技场!$C$5</f>
        <v>180</v>
      </c>
      <c r="M54" s="80">
        <f>任务!$C$6+IF(MOD(B54,7)=0,任务!$M$25)</f>
        <v>30</v>
      </c>
      <c r="N54" s="98">
        <f t="shared" si="2"/>
        <v>1.7</v>
      </c>
      <c r="O54" s="80">
        <f t="shared" si="3"/>
        <v>10</v>
      </c>
      <c r="P54" s="172">
        <f ca="1">OFFSET(产销汇总!$C$1,MATCH(P$27,产销汇总!$C$2:$C$8,0),$C$27)/200*协力宝箱!$Q$82</f>
        <v>0</v>
      </c>
      <c r="Q54" s="80">
        <f t="shared" si="4"/>
        <v>10</v>
      </c>
      <c r="R54" s="80">
        <v>10</v>
      </c>
      <c r="S54" s="172">
        <f t="shared" si="8"/>
        <v>100</v>
      </c>
      <c r="T54" s="172">
        <f>(公会!$F$12+公会!$F$13+公会!$F$14+公会!$F$18/7)/2</f>
        <v>121.428571428571</v>
      </c>
      <c r="U54" s="172">
        <f t="shared" si="6"/>
        <v>150</v>
      </c>
      <c r="V54" s="172" t="e">
        <f ca="1">SUM($H$29:U54)+SUM(D54:G54)</f>
        <v>#N/A</v>
      </c>
      <c r="W54" s="132" t="e">
        <f ca="1" t="shared" si="7"/>
        <v>#N/A</v>
      </c>
    </row>
    <row r="55" spans="1:23">
      <c r="A55" s="171"/>
      <c r="B55" s="80">
        <v>27</v>
      </c>
      <c r="C55" s="80">
        <f ca="1">OFFSET(产销汇总!$C$12,$B55,$C$27)</f>
        <v>99.4285714285714</v>
      </c>
      <c r="D55" s="80">
        <f ca="1">SUMIF(主线宝箱!$B$321:$B$620,"&lt;="&amp;C55,主线宝箱!$H$321:$H$620)+SUMIF(主线宝箱!$B$321:$B$620,"&lt;="&amp;C55,主线宝箱!$T$321:$T$620)</f>
        <v>3960</v>
      </c>
      <c r="E55" s="80">
        <v>110</v>
      </c>
      <c r="F55" s="80">
        <f t="shared" si="9"/>
        <v>450</v>
      </c>
      <c r="G55" s="80">
        <f ca="1">IF(AND($C$27&lt;3,B55&gt;3),G54,SUMIF(图纸产出设计!$F$334:$F$342,"&lt;="&amp;B55,图纸产出设计!$C$334:$C$342))</f>
        <v>3890</v>
      </c>
      <c r="H55" s="80" t="e">
        <f ca="1">OFFSET(产销汇总!$C$1,MATCH(H$28,产销汇总!$C$2:$C$8,0),$C$27)*(_xlfn.XLOOKUP(C55,主线推图!$B$313:$B$612,主线推图!$G$313:$G$612)+_xlfn.XLOOKUP(C55,主线推图!$B$313:$B$612,主线推图!$H$313:$H$612))</f>
        <v>#N/A</v>
      </c>
      <c r="I55" s="80" t="e">
        <f ca="1">OFFSET(产销汇总!$C$1,MATCH(I$28,产销汇总!$C$2:$C$8,0),$C$27)*_xlfn.XLOOKUP(C55,巡逻产出!$B$311:$B$610,巡逻产出!$H$311:$H$610)</f>
        <v>#N/A</v>
      </c>
      <c r="J55" s="80">
        <f ca="1">OFFSET(产销汇总!$C$1,MATCH(J$28,产销汇总!$C$2:$C$8,0),$C$27)*(_xlfn.XLOOKUP(MAX(1,INT(C55/10-6/10)),组队产出!$B$24:$B$39,组队产出!$J$24:$J$39)+_xlfn.XLOOKUP(MAX(1,INT(C55/10-6/10)),组队产出!$B$24:$B$39,组队产出!$K$24:$K$39))</f>
        <v>96</v>
      </c>
      <c r="K55" s="80" t="e">
        <f ca="1">OFFSET(产销汇总!$C$1,MATCH(K$28,产销汇总!$C$2:$C$8,0),$C$27)*_xlfn.XLOOKUP(C55,巡逻产出!$B$311:$B$610,巡逻产出!$I$311:$I$610)*IF($C$27=1,0.5,1)</f>
        <v>#N/A</v>
      </c>
      <c r="L55" s="80">
        <f ca="1">OFFSET(产销汇总!$C$1,MATCH(L$28,产销汇总!$C$2:$C$8,0),$C$27)*竞技场!$C$5</f>
        <v>180</v>
      </c>
      <c r="M55" s="80">
        <f>任务!$C$6+IF(MOD(B55,7)=0,任务!$M$25)</f>
        <v>30</v>
      </c>
      <c r="N55" s="98">
        <f t="shared" si="2"/>
        <v>1.7</v>
      </c>
      <c r="O55" s="80">
        <f t="shared" si="3"/>
        <v>0</v>
      </c>
      <c r="P55" s="172">
        <f ca="1">OFFSET(产销汇总!$C$1,MATCH(P$27,产销汇总!$C$2:$C$8,0),$C$27)/200*协力宝箱!$Q$82</f>
        <v>0</v>
      </c>
      <c r="Q55" s="80">
        <f t="shared" si="4"/>
        <v>10</v>
      </c>
      <c r="R55" s="80">
        <v>10</v>
      </c>
      <c r="S55" s="172">
        <f t="shared" si="8"/>
        <v>100</v>
      </c>
      <c r="T55" s="172">
        <f>(公会!$F$12+公会!$F$13+公会!$F$14+公会!$F$18/7)/2</f>
        <v>121.428571428571</v>
      </c>
      <c r="U55" s="172">
        <f t="shared" si="6"/>
        <v>150</v>
      </c>
      <c r="V55" s="172" t="e">
        <f ca="1">SUM($H$29:U55)+SUM(D55:G55)</f>
        <v>#N/A</v>
      </c>
      <c r="W55" s="132" t="e">
        <f ca="1" t="shared" si="7"/>
        <v>#N/A</v>
      </c>
    </row>
    <row r="56" spans="1:23">
      <c r="A56" s="171"/>
      <c r="B56" s="80">
        <v>28</v>
      </c>
      <c r="C56" s="80">
        <f ca="1">OFFSET(产销汇总!$C$12,$B56,$C$27)</f>
        <v>101</v>
      </c>
      <c r="D56" s="80">
        <f ca="1">SUMIF(主线宝箱!$B$321:$B$620,"&lt;="&amp;C56,主线宝箱!$H$321:$H$620)+SUMIF(主线宝箱!$B$321:$B$620,"&lt;="&amp;C56,主线宝箱!$T$321:$T$620)</f>
        <v>4040</v>
      </c>
      <c r="E56" s="80">
        <v>110</v>
      </c>
      <c r="F56" s="80">
        <f t="shared" si="9"/>
        <v>450</v>
      </c>
      <c r="G56" s="80">
        <f ca="1">IF(AND($C$27&lt;3,B56&gt;3),G55,SUMIF(图纸产出设计!$F$334:$F$342,"&lt;="&amp;B56,图纸产出设计!$C$334:$C$342))</f>
        <v>3890</v>
      </c>
      <c r="H56" s="80">
        <f ca="1">OFFSET(产销汇总!$C$1,MATCH(H$28,产销汇总!$C$2:$C$8,0),$C$27)*(_xlfn.XLOOKUP(C56,主线推图!$B$313:$B$612,主线推图!$G$313:$G$612)+_xlfn.XLOOKUP(C56,主线推图!$B$313:$B$612,主线推图!$H$313:$H$612))</f>
        <v>176</v>
      </c>
      <c r="I56" s="80">
        <f ca="1">OFFSET(产销汇总!$C$1,MATCH(I$28,产销汇总!$C$2:$C$8,0),$C$27)*_xlfn.XLOOKUP(C56,巡逻产出!$B$311:$B$610,巡逻产出!$H$311:$H$610)</f>
        <v>0</v>
      </c>
      <c r="J56" s="80">
        <f ca="1">OFFSET(产销汇总!$C$1,MATCH(J$28,产销汇总!$C$2:$C$8,0),$C$27)*(_xlfn.XLOOKUP(MAX(1,INT(C56/10-6/10)),组队产出!$B$24:$B$39,组队产出!$J$24:$J$39)+_xlfn.XLOOKUP(MAX(1,INT(C56/10-6/10)),组队产出!$B$24:$B$39,组队产出!$K$24:$K$39))</f>
        <v>96</v>
      </c>
      <c r="K56" s="80">
        <f ca="1">OFFSET(产销汇总!$C$1,MATCH(K$28,产销汇总!$C$2:$C$8,0),$C$27)*_xlfn.XLOOKUP(C56,巡逻产出!$B$311:$B$610,巡逻产出!$I$311:$I$610)*IF($C$27=1,0.5,1)</f>
        <v>312</v>
      </c>
      <c r="L56" s="80">
        <f ca="1">OFFSET(产销汇总!$C$1,MATCH(L$28,产销汇总!$C$2:$C$8,0),$C$27)*竞技场!$C$5</f>
        <v>180</v>
      </c>
      <c r="M56" s="80">
        <f>任务!$C$6+IF(MOD(B56,7)=0,任务!$M$25)</f>
        <v>60</v>
      </c>
      <c r="N56" s="98">
        <f t="shared" si="2"/>
        <v>1.7</v>
      </c>
      <c r="O56" s="80">
        <f t="shared" si="3"/>
        <v>0</v>
      </c>
      <c r="P56" s="172">
        <f ca="1">OFFSET(产销汇总!$C$1,MATCH(P$27,产销汇总!$C$2:$C$8,0),$C$27)/200*协力宝箱!$Q$82</f>
        <v>0</v>
      </c>
      <c r="Q56" s="80">
        <f t="shared" si="4"/>
        <v>10</v>
      </c>
      <c r="R56" s="80">
        <v>10</v>
      </c>
      <c r="S56" s="172">
        <f t="shared" si="8"/>
        <v>100</v>
      </c>
      <c r="T56" s="172">
        <f>(公会!$F$12+公会!$F$13+公会!$F$14+公会!$F$18/7)/2</f>
        <v>121.428571428571</v>
      </c>
      <c r="U56" s="172">
        <f t="shared" si="6"/>
        <v>150</v>
      </c>
      <c r="V56" s="172" t="e">
        <f ca="1">SUM($H$29:U56)+SUM(D56:G56)</f>
        <v>#N/A</v>
      </c>
      <c r="W56" s="132" t="e">
        <f ca="1" t="shared" si="7"/>
        <v>#N/A</v>
      </c>
    </row>
    <row r="57" spans="1:23">
      <c r="A57" s="171"/>
      <c r="B57" s="80">
        <v>29</v>
      </c>
      <c r="C57" s="80">
        <f ca="1">OFFSET(产销汇总!$C$12,$B57,$C$27)</f>
        <v>102</v>
      </c>
      <c r="D57" s="80">
        <f ca="1">SUMIF(主线宝箱!$B$321:$B$620,"&lt;="&amp;C57,主线宝箱!$H$321:$H$620)+SUMIF(主线宝箱!$B$321:$B$620,"&lt;="&amp;C57,主线宝箱!$T$321:$T$620)</f>
        <v>4080</v>
      </c>
      <c r="E57" s="80">
        <v>110</v>
      </c>
      <c r="F57" s="80">
        <f t="shared" si="9"/>
        <v>450</v>
      </c>
      <c r="G57" s="80">
        <f ca="1">IF(AND($C$27&lt;3,B57&gt;3),G56,SUMIF(图纸产出设计!$F$334:$F$342,"&lt;="&amp;B57,图纸产出设计!$C$334:$C$342))</f>
        <v>3890</v>
      </c>
      <c r="H57" s="80">
        <f ca="1">OFFSET(产销汇总!$C$1,MATCH(H$28,产销汇总!$C$2:$C$8,0),$C$27)*(_xlfn.XLOOKUP(C57,主线推图!$B$313:$B$612,主线推图!$G$313:$G$612)+_xlfn.XLOOKUP(C57,主线推图!$B$313:$B$612,主线推图!$H$313:$H$612))</f>
        <v>176</v>
      </c>
      <c r="I57" s="80">
        <f ca="1">OFFSET(产销汇总!$C$1,MATCH(I$28,产销汇总!$C$2:$C$8,0),$C$27)*_xlfn.XLOOKUP(C57,巡逻产出!$B$311:$B$610,巡逻产出!$H$311:$H$610)</f>
        <v>0</v>
      </c>
      <c r="J57" s="80">
        <f ca="1">OFFSET(产销汇总!$C$1,MATCH(J$28,产销汇总!$C$2:$C$8,0),$C$27)*(_xlfn.XLOOKUP(MAX(1,INT(C57/10-6/10)),组队产出!$B$24:$B$39,组队产出!$J$24:$J$39)+_xlfn.XLOOKUP(MAX(1,INT(C57/10-6/10)),组队产出!$B$24:$B$39,组队产出!$K$24:$K$39))</f>
        <v>96</v>
      </c>
      <c r="K57" s="80">
        <f ca="1">OFFSET(产销汇总!$C$1,MATCH(K$28,产销汇总!$C$2:$C$8,0),$C$27)*_xlfn.XLOOKUP(C57,巡逻产出!$B$311:$B$610,巡逻产出!$I$311:$I$610)*IF($C$27=1,0.5,1)</f>
        <v>312</v>
      </c>
      <c r="L57" s="80">
        <f ca="1">OFFSET(产销汇总!$C$1,MATCH(L$28,产销汇总!$C$2:$C$8,0),$C$27)*竞技场!$C$5</f>
        <v>180</v>
      </c>
      <c r="M57" s="80">
        <f>任务!$C$6+IF(MOD(B57,7)=0,任务!$M$25)</f>
        <v>30</v>
      </c>
      <c r="N57" s="98">
        <f t="shared" si="2"/>
        <v>1.7</v>
      </c>
      <c r="O57" s="80">
        <f t="shared" si="3"/>
        <v>0</v>
      </c>
      <c r="P57" s="172">
        <f ca="1">OFFSET(产销汇总!$C$1,MATCH(P$27,产销汇总!$C$2:$C$8,0),$C$27)/200*协力宝箱!$Q$82</f>
        <v>0</v>
      </c>
      <c r="Q57" s="80">
        <f t="shared" si="4"/>
        <v>10</v>
      </c>
      <c r="R57" s="80">
        <v>10</v>
      </c>
      <c r="S57" s="172">
        <f t="shared" si="8"/>
        <v>100</v>
      </c>
      <c r="T57" s="172">
        <f>(公会!$F$12+公会!$F$13+公会!$F$14+公会!$F$18/7)/2</f>
        <v>121.428571428571</v>
      </c>
      <c r="U57" s="172">
        <f t="shared" si="6"/>
        <v>150</v>
      </c>
      <c r="V57" s="172" t="e">
        <f ca="1">SUM($H$29:U57)+SUM(D57:G57)</f>
        <v>#N/A</v>
      </c>
      <c r="W57" s="132" t="e">
        <f ca="1" t="shared" si="7"/>
        <v>#N/A</v>
      </c>
    </row>
    <row r="58" spans="1:23">
      <c r="A58" s="171"/>
      <c r="B58" s="80">
        <v>30</v>
      </c>
      <c r="C58" s="80">
        <f ca="1">OFFSET(产销汇总!$C$12,$B58,$C$27)</f>
        <v>103</v>
      </c>
      <c r="D58" s="80">
        <f ca="1">SUMIF(主线宝箱!$B$321:$B$620,"&lt;="&amp;C58,主线宝箱!$H$321:$H$620)+SUMIF(主线宝箱!$B$321:$B$620,"&lt;="&amp;C58,主线宝箱!$T$321:$T$620)</f>
        <v>4120</v>
      </c>
      <c r="E58" s="80">
        <v>110</v>
      </c>
      <c r="F58" s="80">
        <f t="shared" si="9"/>
        <v>450</v>
      </c>
      <c r="G58" s="80">
        <f ca="1">IF(AND($C$27&lt;3,B58&gt;3),G57,SUMIF(图纸产出设计!$F$334:$F$342,"&lt;="&amp;B58,图纸产出设计!$C$334:$C$342))</f>
        <v>3890</v>
      </c>
      <c r="H58" s="80">
        <f ca="1">OFFSET(产销汇总!$C$1,MATCH(H$28,产销汇总!$C$2:$C$8,0),$C$27)*(_xlfn.XLOOKUP(C58,主线推图!$B$313:$B$612,主线推图!$G$313:$G$612)+_xlfn.XLOOKUP(C58,主线推图!$B$313:$B$612,主线推图!$H$313:$H$612))</f>
        <v>176</v>
      </c>
      <c r="I58" s="80">
        <f ca="1">OFFSET(产销汇总!$C$1,MATCH(I$28,产销汇总!$C$2:$C$8,0),$C$27)*_xlfn.XLOOKUP(C58,巡逻产出!$B$311:$B$610,巡逻产出!$H$311:$H$610)</f>
        <v>0</v>
      </c>
      <c r="J58" s="80">
        <f ca="1">OFFSET(产销汇总!$C$1,MATCH(J$28,产销汇总!$C$2:$C$8,0),$C$27)*(_xlfn.XLOOKUP(MAX(1,INT(C58/10-6/10)),组队产出!$B$24:$B$39,组队产出!$J$24:$J$39)+_xlfn.XLOOKUP(MAX(1,INT(C58/10-6/10)),组队产出!$B$24:$B$39,组队产出!$K$24:$K$39))</f>
        <v>96</v>
      </c>
      <c r="K58" s="80">
        <f ca="1">OFFSET(产销汇总!$C$1,MATCH(K$28,产销汇总!$C$2:$C$8,0),$C$27)*_xlfn.XLOOKUP(C58,巡逻产出!$B$311:$B$610,巡逻产出!$I$311:$I$610)*IF($C$27=1,0.5,1)</f>
        <v>312</v>
      </c>
      <c r="L58" s="80">
        <f ca="1">OFFSET(产销汇总!$C$1,MATCH(L$28,产销汇总!$C$2:$C$8,0),$C$27)*竞技场!$C$5</f>
        <v>180</v>
      </c>
      <c r="M58" s="80">
        <f>任务!$C$6+IF(MOD(B58,7)=0,任务!$M$25)</f>
        <v>30</v>
      </c>
      <c r="N58" s="98">
        <f t="shared" si="2"/>
        <v>1.7</v>
      </c>
      <c r="O58" s="80">
        <f t="shared" si="3"/>
        <v>10</v>
      </c>
      <c r="P58" s="172">
        <f ca="1">OFFSET(产销汇总!$C$1,MATCH(P$27,产销汇总!$C$2:$C$8,0),$C$27)/200*协力宝箱!$Q$82</f>
        <v>0</v>
      </c>
      <c r="Q58" s="80">
        <f t="shared" si="4"/>
        <v>10</v>
      </c>
      <c r="R58" s="80">
        <v>10</v>
      </c>
      <c r="S58" s="172">
        <f t="shared" si="8"/>
        <v>100</v>
      </c>
      <c r="T58" s="172">
        <f>(公会!$F$12+公会!$F$13+公会!$F$14+公会!$F$18/7)/2</f>
        <v>121.428571428571</v>
      </c>
      <c r="U58" s="172">
        <f t="shared" si="6"/>
        <v>150</v>
      </c>
      <c r="V58" s="172" t="e">
        <f ca="1">SUM($H$29:U58)+SUM(D58:G58)</f>
        <v>#N/A</v>
      </c>
      <c r="W58" s="132" t="e">
        <f ca="1" t="shared" si="7"/>
        <v>#N/A</v>
      </c>
    </row>
    <row r="59" spans="1:23">
      <c r="A59" s="171"/>
      <c r="B59" s="80">
        <v>31</v>
      </c>
      <c r="C59" s="80">
        <f ca="1">OFFSET(产销汇总!$C$12,$B59,$C$27)</f>
        <v>104</v>
      </c>
      <c r="D59" s="80">
        <f ca="1">SUMIF(主线宝箱!$B$321:$B$620,"&lt;="&amp;C59,主线宝箱!$H$321:$H$620)+SUMIF(主线宝箱!$B$321:$B$620,"&lt;="&amp;C59,主线宝箱!$T$321:$T$620)</f>
        <v>4160</v>
      </c>
      <c r="E59" s="80">
        <v>110</v>
      </c>
      <c r="F59" s="80">
        <f t="shared" si="9"/>
        <v>450</v>
      </c>
      <c r="G59" s="80">
        <f ca="1">IF(AND($C$27&lt;3,B59&gt;3),G58,SUMIF(图纸产出设计!$F$334:$F$342,"&lt;="&amp;B59,图纸产出设计!$C$334:$C$342))</f>
        <v>3890</v>
      </c>
      <c r="H59" s="80">
        <f ca="1">OFFSET(产销汇总!$C$1,MATCH(H$28,产销汇总!$C$2:$C$8,0),$C$27)*(_xlfn.XLOOKUP(C59,主线推图!$B$313:$B$612,主线推图!$G$313:$G$612)+_xlfn.XLOOKUP(C59,主线推图!$B$313:$B$612,主线推图!$H$313:$H$612))</f>
        <v>176</v>
      </c>
      <c r="I59" s="80">
        <f ca="1">OFFSET(产销汇总!$C$1,MATCH(I$28,产销汇总!$C$2:$C$8,0),$C$27)*_xlfn.XLOOKUP(C59,巡逻产出!$B$311:$B$610,巡逻产出!$H$311:$H$610)</f>
        <v>0</v>
      </c>
      <c r="J59" s="80">
        <f ca="1">OFFSET(产销汇总!$C$1,MATCH(J$28,产销汇总!$C$2:$C$8,0),$C$27)*(_xlfn.XLOOKUP(MAX(1,INT(C59/10-6/10)),组队产出!$B$24:$B$39,组队产出!$J$24:$J$39)+_xlfn.XLOOKUP(MAX(1,INT(C59/10-6/10)),组队产出!$B$24:$B$39,组队产出!$K$24:$K$39))</f>
        <v>96</v>
      </c>
      <c r="K59" s="80">
        <f ca="1">OFFSET(产销汇总!$C$1,MATCH(K$28,产销汇总!$C$2:$C$8,0),$C$27)*_xlfn.XLOOKUP(C59,巡逻产出!$B$311:$B$610,巡逻产出!$I$311:$I$610)*IF($C$27=1,0.5,1)</f>
        <v>312</v>
      </c>
      <c r="L59" s="80">
        <f ca="1">OFFSET(产销汇总!$C$1,MATCH(L$28,产销汇总!$C$2:$C$8,0),$C$27)*竞技场!$C$5</f>
        <v>180</v>
      </c>
      <c r="M59" s="80">
        <f>任务!$C$6+IF(MOD(B59,7)=0,任务!$M$25)</f>
        <v>30</v>
      </c>
      <c r="N59" s="98">
        <f t="shared" si="2"/>
        <v>1.7</v>
      </c>
      <c r="O59" s="80">
        <f t="shared" si="3"/>
        <v>0</v>
      </c>
      <c r="P59" s="172">
        <f ca="1">OFFSET(产销汇总!$C$1,MATCH(P$27,产销汇总!$C$2:$C$8,0),$C$27)/200*协力宝箱!$Q$82</f>
        <v>0</v>
      </c>
      <c r="Q59" s="80">
        <f t="shared" si="4"/>
        <v>10</v>
      </c>
      <c r="R59" s="80">
        <v>10</v>
      </c>
      <c r="S59" s="172">
        <f t="shared" si="8"/>
        <v>100</v>
      </c>
      <c r="T59" s="172">
        <f>(公会!$F$12+公会!$F$13+公会!$F$14+公会!$F$18/7)/2</f>
        <v>121.428571428571</v>
      </c>
      <c r="U59" s="172">
        <f t="shared" si="6"/>
        <v>150</v>
      </c>
      <c r="V59" s="172" t="e">
        <f ca="1">SUM($H$29:U59)+SUM(D59:G59)</f>
        <v>#N/A</v>
      </c>
      <c r="W59" s="132" t="e">
        <f ca="1" t="shared" si="7"/>
        <v>#N/A</v>
      </c>
    </row>
    <row r="60" spans="1:23">
      <c r="A60" s="171"/>
      <c r="B60" s="80">
        <v>32</v>
      </c>
      <c r="C60" s="80">
        <f ca="1">OFFSET(产销汇总!$C$12,$B60,$C$27)</f>
        <v>105</v>
      </c>
      <c r="D60" s="80">
        <f ca="1">SUMIF(主线宝箱!$B$321:$B$620,"&lt;="&amp;C60,主线宝箱!$H$321:$H$620)+SUMIF(主线宝箱!$B$321:$B$620,"&lt;="&amp;C60,主线宝箱!$T$321:$T$620)</f>
        <v>4200</v>
      </c>
      <c r="E60" s="80">
        <v>110</v>
      </c>
      <c r="F60" s="80">
        <f t="shared" si="9"/>
        <v>450</v>
      </c>
      <c r="G60" s="80">
        <f ca="1">IF(AND($C$27&lt;3,B60&gt;3),G59,SUMIF(图纸产出设计!$F$334:$F$342,"&lt;="&amp;B60,图纸产出设计!$C$334:$C$342))</f>
        <v>3890</v>
      </c>
      <c r="H60" s="80">
        <f ca="1">OFFSET(产销汇总!$C$1,MATCH(H$28,产销汇总!$C$2:$C$8,0),$C$27)*(_xlfn.XLOOKUP(C60,主线推图!$B$313:$B$612,主线推图!$G$313:$G$612)+_xlfn.XLOOKUP(C60,主线推图!$B$313:$B$612,主线推图!$H$313:$H$612))</f>
        <v>176</v>
      </c>
      <c r="I60" s="80">
        <f ca="1">OFFSET(产销汇总!$C$1,MATCH(I$28,产销汇总!$C$2:$C$8,0),$C$27)*_xlfn.XLOOKUP(C60,巡逻产出!$B$311:$B$610,巡逻产出!$H$311:$H$610)</f>
        <v>0</v>
      </c>
      <c r="J60" s="80">
        <f ca="1">OFFSET(产销汇总!$C$1,MATCH(J$28,产销汇总!$C$2:$C$8,0),$C$27)*(_xlfn.XLOOKUP(MAX(1,INT(C60/10-6/10)),组队产出!$B$24:$B$39,组队产出!$J$24:$J$39)+_xlfn.XLOOKUP(MAX(1,INT(C60/10-6/10)),组队产出!$B$24:$B$39,组队产出!$K$24:$K$39))</f>
        <v>96</v>
      </c>
      <c r="K60" s="80">
        <f ca="1">OFFSET(产销汇总!$C$1,MATCH(K$28,产销汇总!$C$2:$C$8,0),$C$27)*_xlfn.XLOOKUP(C60,巡逻产出!$B$311:$B$610,巡逻产出!$I$311:$I$610)*IF($C$27=1,0.5,1)</f>
        <v>312</v>
      </c>
      <c r="L60" s="80">
        <f ca="1">OFFSET(产销汇总!$C$1,MATCH(L$28,产销汇总!$C$2:$C$8,0),$C$27)*竞技场!$C$5</f>
        <v>180</v>
      </c>
      <c r="M60" s="80">
        <f>任务!$C$6+IF(MOD(B60,7)=0,任务!$M$25)</f>
        <v>30</v>
      </c>
      <c r="N60" s="98">
        <f t="shared" si="2"/>
        <v>1.7</v>
      </c>
      <c r="O60" s="80">
        <f t="shared" si="3"/>
        <v>0</v>
      </c>
      <c r="P60" s="172">
        <f ca="1">OFFSET(产销汇总!$C$1,MATCH(P$27,产销汇总!$C$2:$C$8,0),$C$27)/200*协力宝箱!$Q$82</f>
        <v>0</v>
      </c>
      <c r="Q60" s="80">
        <f t="shared" si="4"/>
        <v>10</v>
      </c>
      <c r="R60" s="80">
        <v>10</v>
      </c>
      <c r="S60" s="172">
        <f t="shared" si="8"/>
        <v>100</v>
      </c>
      <c r="T60" s="172">
        <f>(公会!$F$12+公会!$F$13+公会!$F$14+公会!$F$18/7)/2</f>
        <v>121.428571428571</v>
      </c>
      <c r="U60" s="172">
        <f t="shared" si="6"/>
        <v>150</v>
      </c>
      <c r="V60" s="172" t="e">
        <f ca="1">SUM($H$29:U60)+SUM(D60:G60)</f>
        <v>#N/A</v>
      </c>
      <c r="W60" s="132" t="e">
        <f ca="1" t="shared" si="7"/>
        <v>#N/A</v>
      </c>
    </row>
    <row r="61" spans="1:23">
      <c r="A61" s="171"/>
      <c r="B61" s="80">
        <v>33</v>
      </c>
      <c r="C61" s="80">
        <f ca="1">OFFSET(产销汇总!$C$12,$B61,$C$27)</f>
        <v>106</v>
      </c>
      <c r="D61" s="80">
        <f ca="1">SUMIF(主线宝箱!$B$321:$B$620,"&lt;="&amp;C61,主线宝箱!$H$321:$H$620)+SUMIF(主线宝箱!$B$321:$B$620,"&lt;="&amp;C61,主线宝箱!$T$321:$T$620)</f>
        <v>4240</v>
      </c>
      <c r="E61" s="80">
        <v>110</v>
      </c>
      <c r="F61" s="80">
        <f t="shared" si="9"/>
        <v>450</v>
      </c>
      <c r="G61" s="80">
        <f ca="1">IF(AND($C$27&lt;3,B61&gt;3),G60,SUMIF(图纸产出设计!$F$334:$F$342,"&lt;="&amp;B61,图纸产出设计!$C$334:$C$342))</f>
        <v>3890</v>
      </c>
      <c r="H61" s="80">
        <f ca="1">OFFSET(产销汇总!$C$1,MATCH(H$28,产销汇总!$C$2:$C$8,0),$C$27)*(_xlfn.XLOOKUP(C61,主线推图!$B$313:$B$612,主线推图!$G$313:$G$612)+_xlfn.XLOOKUP(C61,主线推图!$B$313:$B$612,主线推图!$H$313:$H$612))</f>
        <v>176</v>
      </c>
      <c r="I61" s="80">
        <f ca="1">OFFSET(产销汇总!$C$1,MATCH(I$28,产销汇总!$C$2:$C$8,0),$C$27)*_xlfn.XLOOKUP(C61,巡逻产出!$B$311:$B$610,巡逻产出!$H$311:$H$610)</f>
        <v>0</v>
      </c>
      <c r="J61" s="80">
        <f ca="1">OFFSET(产销汇总!$C$1,MATCH(J$28,产销汇总!$C$2:$C$8,0),$C$27)*(_xlfn.XLOOKUP(MAX(1,INT(C61/10-6/10)),组队产出!$B$24:$B$39,组队产出!$J$24:$J$39)+_xlfn.XLOOKUP(MAX(1,INT(C61/10-6/10)),组队产出!$B$24:$B$39,组队产出!$K$24:$K$39))</f>
        <v>96</v>
      </c>
      <c r="K61" s="80">
        <f ca="1">OFFSET(产销汇总!$C$1,MATCH(K$28,产销汇总!$C$2:$C$8,0),$C$27)*_xlfn.XLOOKUP(C61,巡逻产出!$B$311:$B$610,巡逻产出!$I$311:$I$610)*IF($C$27=1,0.5,1)</f>
        <v>312</v>
      </c>
      <c r="L61" s="80">
        <f ca="1">OFFSET(产销汇总!$C$1,MATCH(L$28,产销汇总!$C$2:$C$8,0),$C$27)*竞技场!$C$5</f>
        <v>180</v>
      </c>
      <c r="M61" s="80">
        <f>任务!$C$6+IF(MOD(B61,7)=0,任务!$M$25)</f>
        <v>30</v>
      </c>
      <c r="N61" s="98">
        <f t="shared" si="2"/>
        <v>1.7</v>
      </c>
      <c r="O61" s="80">
        <f t="shared" si="3"/>
        <v>10</v>
      </c>
      <c r="P61" s="172">
        <f ca="1">OFFSET(产销汇总!$C$1,MATCH(P$27,产销汇总!$C$2:$C$8,0),$C$27)/200*协力宝箱!$Q$82</f>
        <v>0</v>
      </c>
      <c r="Q61" s="80">
        <f t="shared" si="4"/>
        <v>10</v>
      </c>
      <c r="R61" s="80">
        <v>10</v>
      </c>
      <c r="S61" s="172">
        <f t="shared" si="8"/>
        <v>100</v>
      </c>
      <c r="T61" s="172">
        <f>(公会!$F$12+公会!$F$13+公会!$F$14+公会!$F$18/7)/2</f>
        <v>121.428571428571</v>
      </c>
      <c r="U61" s="172">
        <f t="shared" si="6"/>
        <v>150</v>
      </c>
      <c r="V61" s="172" t="e">
        <f ca="1">SUM($H$29:U61)+SUM(D61:G61)</f>
        <v>#N/A</v>
      </c>
      <c r="W61" s="132" t="e">
        <f ca="1" t="shared" si="7"/>
        <v>#N/A</v>
      </c>
    </row>
    <row r="62" spans="1:23">
      <c r="A62" s="171"/>
      <c r="B62" s="80">
        <v>34</v>
      </c>
      <c r="C62" s="80">
        <f ca="1">OFFSET(产销汇总!$C$12,$B62,$C$27)</f>
        <v>107</v>
      </c>
      <c r="D62" s="80">
        <f ca="1">SUMIF(主线宝箱!$B$321:$B$620,"&lt;="&amp;C62,主线宝箱!$H$321:$H$620)+SUMIF(主线宝箱!$B$321:$B$620,"&lt;="&amp;C62,主线宝箱!$T$321:$T$620)</f>
        <v>4280</v>
      </c>
      <c r="E62" s="80">
        <v>110</v>
      </c>
      <c r="F62" s="80">
        <f t="shared" si="9"/>
        <v>450</v>
      </c>
      <c r="G62" s="80">
        <f ca="1">IF(AND($C$27&lt;3,B62&gt;3),G61,SUMIF(图纸产出设计!$F$334:$F$342,"&lt;="&amp;B62,图纸产出设计!$C$334:$C$342))</f>
        <v>3890</v>
      </c>
      <c r="H62" s="80">
        <f ca="1">OFFSET(产销汇总!$C$1,MATCH(H$28,产销汇总!$C$2:$C$8,0),$C$27)*(_xlfn.XLOOKUP(C62,主线推图!$B$313:$B$612,主线推图!$G$313:$G$612)+_xlfn.XLOOKUP(C62,主线推图!$B$313:$B$612,主线推图!$H$313:$H$612))</f>
        <v>176</v>
      </c>
      <c r="I62" s="80">
        <f ca="1">OFFSET(产销汇总!$C$1,MATCH(I$28,产销汇总!$C$2:$C$8,0),$C$27)*_xlfn.XLOOKUP(C62,巡逻产出!$B$311:$B$610,巡逻产出!$H$311:$H$610)</f>
        <v>0</v>
      </c>
      <c r="J62" s="80">
        <f ca="1">OFFSET(产销汇总!$C$1,MATCH(J$28,产销汇总!$C$2:$C$8,0),$C$27)*(_xlfn.XLOOKUP(MAX(1,INT(C62/10-6/10)),组队产出!$B$24:$B$39,组队产出!$J$24:$J$39)+_xlfn.XLOOKUP(MAX(1,INT(C62/10-6/10)),组队产出!$B$24:$B$39,组队产出!$K$24:$K$39))</f>
        <v>96</v>
      </c>
      <c r="K62" s="80">
        <f ca="1">OFFSET(产销汇总!$C$1,MATCH(K$28,产销汇总!$C$2:$C$8,0),$C$27)*_xlfn.XLOOKUP(C62,巡逻产出!$B$311:$B$610,巡逻产出!$I$311:$I$610)*IF($C$27=1,0.5,1)</f>
        <v>312</v>
      </c>
      <c r="L62" s="80">
        <f ca="1">OFFSET(产销汇总!$C$1,MATCH(L$28,产销汇总!$C$2:$C$8,0),$C$27)*竞技场!$C$5</f>
        <v>180</v>
      </c>
      <c r="M62" s="80">
        <f>任务!$C$6+IF(MOD(B62,7)=0,任务!$M$25)</f>
        <v>30</v>
      </c>
      <c r="N62" s="98">
        <f t="shared" si="2"/>
        <v>1.7</v>
      </c>
      <c r="O62" s="80">
        <f t="shared" si="3"/>
        <v>0</v>
      </c>
      <c r="P62" s="172">
        <f ca="1">OFFSET(产销汇总!$C$1,MATCH(P$27,产销汇总!$C$2:$C$8,0),$C$27)/200*协力宝箱!$Q$82</f>
        <v>0</v>
      </c>
      <c r="Q62" s="80">
        <f t="shared" si="4"/>
        <v>10</v>
      </c>
      <c r="R62" s="80">
        <v>10</v>
      </c>
      <c r="S62" s="172">
        <f t="shared" si="8"/>
        <v>100</v>
      </c>
      <c r="T62" s="172">
        <f>(公会!$F$12+公会!$F$13+公会!$F$14+公会!$F$18/7)/2</f>
        <v>121.428571428571</v>
      </c>
      <c r="U62" s="172">
        <f t="shared" si="6"/>
        <v>150</v>
      </c>
      <c r="V62" s="172" t="e">
        <f ca="1">SUM($H$29:U62)+SUM(D62:G62)</f>
        <v>#N/A</v>
      </c>
      <c r="W62" s="132" t="e">
        <f ca="1" t="shared" si="7"/>
        <v>#N/A</v>
      </c>
    </row>
    <row r="63" spans="1:23">
      <c r="A63" s="171"/>
      <c r="B63" s="80">
        <v>35</v>
      </c>
      <c r="C63" s="80">
        <f ca="1">OFFSET(产销汇总!$C$12,$B63,$C$27)</f>
        <v>108</v>
      </c>
      <c r="D63" s="80">
        <f ca="1">SUMIF(主线宝箱!$B$321:$B$620,"&lt;="&amp;C63,主线宝箱!$H$321:$H$620)+SUMIF(主线宝箱!$B$321:$B$620,"&lt;="&amp;C63,主线宝箱!$T$321:$T$620)</f>
        <v>4320</v>
      </c>
      <c r="E63" s="80">
        <v>110</v>
      </c>
      <c r="F63" s="80">
        <f t="shared" si="9"/>
        <v>450</v>
      </c>
      <c r="G63" s="80">
        <f ca="1">IF(AND($C$27&lt;3,B63&gt;3),G62,SUMIF(图纸产出设计!$F$334:$F$342,"&lt;="&amp;B63,图纸产出设计!$C$334:$C$342))</f>
        <v>3890</v>
      </c>
      <c r="H63" s="80">
        <f ca="1">OFFSET(产销汇总!$C$1,MATCH(H$28,产销汇总!$C$2:$C$8,0),$C$27)*(_xlfn.XLOOKUP(C63,主线推图!$B$313:$B$612,主线推图!$G$313:$G$612)+_xlfn.XLOOKUP(C63,主线推图!$B$313:$B$612,主线推图!$H$313:$H$612))</f>
        <v>176</v>
      </c>
      <c r="I63" s="80">
        <f ca="1">OFFSET(产销汇总!$C$1,MATCH(I$28,产销汇总!$C$2:$C$8,0),$C$27)*_xlfn.XLOOKUP(C63,巡逻产出!$B$311:$B$610,巡逻产出!$H$311:$H$610)</f>
        <v>0</v>
      </c>
      <c r="J63" s="80">
        <f ca="1">OFFSET(产销汇总!$C$1,MATCH(J$28,产销汇总!$C$2:$C$8,0),$C$27)*(_xlfn.XLOOKUP(MAX(1,INT(C63/10-6/10)),组队产出!$B$24:$B$39,组队产出!$J$24:$J$39)+_xlfn.XLOOKUP(MAX(1,INT(C63/10-6/10)),组队产出!$B$24:$B$39,组队产出!$K$24:$K$39))</f>
        <v>96</v>
      </c>
      <c r="K63" s="80">
        <f ca="1">OFFSET(产销汇总!$C$1,MATCH(K$28,产销汇总!$C$2:$C$8,0),$C$27)*_xlfn.XLOOKUP(C63,巡逻产出!$B$311:$B$610,巡逻产出!$I$311:$I$610)*IF($C$27=1,0.5,1)</f>
        <v>312</v>
      </c>
      <c r="L63" s="80">
        <f ca="1">OFFSET(产销汇总!$C$1,MATCH(L$28,产销汇总!$C$2:$C$8,0),$C$27)*竞技场!$C$5</f>
        <v>180</v>
      </c>
      <c r="M63" s="80">
        <f>任务!$C$6+IF(MOD(B63,7)=0,任务!$M$25)</f>
        <v>60</v>
      </c>
      <c r="N63" s="98">
        <f t="shared" si="2"/>
        <v>1.7</v>
      </c>
      <c r="O63" s="80">
        <f t="shared" si="3"/>
        <v>0</v>
      </c>
      <c r="P63" s="172">
        <f ca="1">OFFSET(产销汇总!$C$1,MATCH(P$27,产销汇总!$C$2:$C$8,0),$C$27)/200*协力宝箱!$Q$82</f>
        <v>0</v>
      </c>
      <c r="Q63" s="80">
        <f t="shared" si="4"/>
        <v>10</v>
      </c>
      <c r="R63" s="80">
        <v>10</v>
      </c>
      <c r="S63" s="172">
        <f t="shared" si="8"/>
        <v>100</v>
      </c>
      <c r="T63" s="172">
        <f>(公会!$F$12+公会!$F$13+公会!$F$14+公会!$F$18/7)/2</f>
        <v>121.428571428571</v>
      </c>
      <c r="U63" s="172">
        <f t="shared" si="6"/>
        <v>150</v>
      </c>
      <c r="V63" s="172" t="e">
        <f ca="1">SUM($H$29:U63)+SUM(D63:G63)</f>
        <v>#N/A</v>
      </c>
      <c r="W63" s="132" t="e">
        <f ca="1" t="shared" si="7"/>
        <v>#N/A</v>
      </c>
    </row>
    <row r="64" spans="1:23">
      <c r="A64" s="171"/>
      <c r="B64" s="80">
        <v>36</v>
      </c>
      <c r="C64" s="80">
        <f ca="1">OFFSET(产销汇总!$C$12,$B64,$C$27)</f>
        <v>109</v>
      </c>
      <c r="D64" s="80">
        <f ca="1">SUMIF(主线宝箱!$B$321:$B$620,"&lt;="&amp;C64,主线宝箱!$H$321:$H$620)+SUMIF(主线宝箱!$B$321:$B$620,"&lt;="&amp;C64,主线宝箱!$T$321:$T$620)</f>
        <v>4360</v>
      </c>
      <c r="E64" s="80">
        <v>110</v>
      </c>
      <c r="F64" s="80">
        <f t="shared" si="9"/>
        <v>450</v>
      </c>
      <c r="G64" s="80">
        <f ca="1">IF(AND($C$27&lt;3,B64&gt;3),G63,SUMIF(图纸产出设计!$F$334:$F$342,"&lt;="&amp;B64,图纸产出设计!$C$334:$C$342))</f>
        <v>3890</v>
      </c>
      <c r="H64" s="80">
        <f ca="1">OFFSET(产销汇总!$C$1,MATCH(H$28,产销汇总!$C$2:$C$8,0),$C$27)*(_xlfn.XLOOKUP(C64,主线推图!$B$313:$B$612,主线推图!$G$313:$G$612)+_xlfn.XLOOKUP(C64,主线推图!$B$313:$B$612,主线推图!$H$313:$H$612))</f>
        <v>176</v>
      </c>
      <c r="I64" s="80">
        <f ca="1">OFFSET(产销汇总!$C$1,MATCH(I$28,产销汇总!$C$2:$C$8,0),$C$27)*_xlfn.XLOOKUP(C64,巡逻产出!$B$311:$B$610,巡逻产出!$H$311:$H$610)</f>
        <v>0</v>
      </c>
      <c r="J64" s="80">
        <f ca="1">OFFSET(产销汇总!$C$1,MATCH(J$28,产销汇总!$C$2:$C$8,0),$C$27)*(_xlfn.XLOOKUP(MAX(1,INT(C64/10-6/10)),组队产出!$B$24:$B$39,组队产出!$J$24:$J$39)+_xlfn.XLOOKUP(MAX(1,INT(C64/10-6/10)),组队产出!$B$24:$B$39,组队产出!$K$24:$K$39))</f>
        <v>96</v>
      </c>
      <c r="K64" s="80">
        <f ca="1">OFFSET(产销汇总!$C$1,MATCH(K$28,产销汇总!$C$2:$C$8,0),$C$27)*_xlfn.XLOOKUP(C64,巡逻产出!$B$311:$B$610,巡逻产出!$I$311:$I$610)*IF($C$27=1,0.5,1)</f>
        <v>312</v>
      </c>
      <c r="L64" s="80">
        <f ca="1">OFFSET(产销汇总!$C$1,MATCH(L$28,产销汇总!$C$2:$C$8,0),$C$27)*竞技场!$C$5</f>
        <v>180</v>
      </c>
      <c r="M64" s="80">
        <f>任务!$C$6+IF(MOD(B64,7)=0,任务!$M$25)</f>
        <v>30</v>
      </c>
      <c r="N64" s="98">
        <f t="shared" si="2"/>
        <v>1.7</v>
      </c>
      <c r="O64" s="80">
        <f t="shared" si="3"/>
        <v>0</v>
      </c>
      <c r="P64" s="172">
        <f ca="1">OFFSET(产销汇总!$C$1,MATCH(P$27,产销汇总!$C$2:$C$8,0),$C$27)/200*协力宝箱!$Q$82</f>
        <v>0</v>
      </c>
      <c r="Q64" s="80">
        <f t="shared" si="4"/>
        <v>10</v>
      </c>
      <c r="R64" s="80">
        <v>10</v>
      </c>
      <c r="S64" s="172">
        <f t="shared" si="8"/>
        <v>100</v>
      </c>
      <c r="T64" s="172">
        <f>(公会!$F$12+公会!$F$13+公会!$F$14+公会!$F$18/7)/2</f>
        <v>121.428571428571</v>
      </c>
      <c r="U64" s="172">
        <f t="shared" si="6"/>
        <v>150</v>
      </c>
      <c r="V64" s="172" t="e">
        <f ca="1">SUM($H$29:U64)+SUM(D64:G64)</f>
        <v>#N/A</v>
      </c>
      <c r="W64" s="132" t="e">
        <f ca="1" t="shared" si="7"/>
        <v>#N/A</v>
      </c>
    </row>
    <row r="65" spans="1:23">
      <c r="A65" s="171"/>
      <c r="B65" s="80">
        <v>37</v>
      </c>
      <c r="C65" s="80">
        <f ca="1">OFFSET(产销汇总!$C$12,$B65,$C$27)</f>
        <v>110</v>
      </c>
      <c r="D65" s="80">
        <f ca="1">SUMIF(主线宝箱!$B$321:$B$620,"&lt;="&amp;C65,主线宝箱!$H$321:$H$620)+SUMIF(主线宝箱!$B$321:$B$620,"&lt;="&amp;C65,主线宝箱!$T$321:$T$620)</f>
        <v>4400</v>
      </c>
      <c r="E65" s="80">
        <v>110</v>
      </c>
      <c r="F65" s="80">
        <f t="shared" si="9"/>
        <v>450</v>
      </c>
      <c r="G65" s="80">
        <f ca="1">IF(AND($C$27&lt;3,B65&gt;3),G64,SUMIF(图纸产出设计!$F$334:$F$342,"&lt;="&amp;B65,图纸产出设计!$C$334:$C$342))</f>
        <v>3890</v>
      </c>
      <c r="H65" s="80">
        <f ca="1">OFFSET(产销汇总!$C$1,MATCH(H$28,产销汇总!$C$2:$C$8,0),$C$27)*(_xlfn.XLOOKUP(C65,主线推图!$B$313:$B$612,主线推图!$G$313:$G$612)+_xlfn.XLOOKUP(C65,主线推图!$B$313:$B$612,主线推图!$H$313:$H$612))</f>
        <v>176</v>
      </c>
      <c r="I65" s="80">
        <f ca="1">OFFSET(产销汇总!$C$1,MATCH(I$28,产销汇总!$C$2:$C$8,0),$C$27)*_xlfn.XLOOKUP(C65,巡逻产出!$B$311:$B$610,巡逻产出!$H$311:$H$610)</f>
        <v>0</v>
      </c>
      <c r="J65" s="80">
        <f ca="1">OFFSET(产销汇总!$C$1,MATCH(J$28,产销汇总!$C$2:$C$8,0),$C$27)*(_xlfn.XLOOKUP(MAX(1,INT(C65/10-6/10)),组队产出!$B$24:$B$39,组队产出!$J$24:$J$39)+_xlfn.XLOOKUP(MAX(1,INT(C65/10-6/10)),组队产出!$B$24:$B$39,组队产出!$K$24:$K$39))</f>
        <v>96</v>
      </c>
      <c r="K65" s="80">
        <f ca="1">OFFSET(产销汇总!$C$1,MATCH(K$28,产销汇总!$C$2:$C$8,0),$C$27)*_xlfn.XLOOKUP(C65,巡逻产出!$B$311:$B$610,巡逻产出!$I$311:$I$610)*IF($C$27=1,0.5,1)</f>
        <v>312</v>
      </c>
      <c r="L65" s="80">
        <f ca="1">OFFSET(产销汇总!$C$1,MATCH(L$28,产销汇总!$C$2:$C$8,0),$C$27)*竞技场!$C$5</f>
        <v>180</v>
      </c>
      <c r="M65" s="80">
        <f>任务!$C$6+IF(MOD(B65,7)=0,任务!$M$25)</f>
        <v>30</v>
      </c>
      <c r="N65" s="98">
        <f t="shared" si="2"/>
        <v>1.7</v>
      </c>
      <c r="O65" s="80">
        <f t="shared" si="3"/>
        <v>10</v>
      </c>
      <c r="P65" s="172">
        <f ca="1">OFFSET(产销汇总!$C$1,MATCH(P$27,产销汇总!$C$2:$C$8,0),$C$27)/200*协力宝箱!$Q$82</f>
        <v>0</v>
      </c>
      <c r="Q65" s="80">
        <f t="shared" si="4"/>
        <v>10</v>
      </c>
      <c r="R65" s="80">
        <v>10</v>
      </c>
      <c r="S65" s="172">
        <f t="shared" si="8"/>
        <v>100</v>
      </c>
      <c r="T65" s="172">
        <f>(公会!$F$12+公会!$F$13+公会!$F$14+公会!$F$18/7)/2</f>
        <v>121.428571428571</v>
      </c>
      <c r="U65" s="172">
        <f t="shared" si="6"/>
        <v>150</v>
      </c>
      <c r="V65" s="172" t="e">
        <f ca="1">SUM($H$29:U65)+SUM(D65:G65)</f>
        <v>#N/A</v>
      </c>
      <c r="W65" s="132" t="e">
        <f ca="1" t="shared" si="7"/>
        <v>#N/A</v>
      </c>
    </row>
    <row r="66" spans="1:23">
      <c r="A66" s="171"/>
      <c r="B66" s="80">
        <v>38</v>
      </c>
      <c r="C66" s="80">
        <f ca="1">OFFSET(产销汇总!$C$12,$B66,$C$27)</f>
        <v>111</v>
      </c>
      <c r="D66" s="80">
        <f ca="1">SUMIF(主线宝箱!$B$321:$B$620,"&lt;="&amp;C66,主线宝箱!$H$321:$H$620)+SUMIF(主线宝箱!$B$321:$B$620,"&lt;="&amp;C66,主线宝箱!$T$321:$T$620)</f>
        <v>4440</v>
      </c>
      <c r="E66" s="80">
        <v>110</v>
      </c>
      <c r="F66" s="80">
        <f t="shared" si="9"/>
        <v>450</v>
      </c>
      <c r="G66" s="80">
        <f ca="1">IF(AND($C$27&lt;3,B66&gt;3),G65,SUMIF(图纸产出设计!$F$334:$F$342,"&lt;="&amp;B66,图纸产出设计!$C$334:$C$342))</f>
        <v>3890</v>
      </c>
      <c r="H66" s="80">
        <f ca="1">OFFSET(产销汇总!$C$1,MATCH(H$28,产销汇总!$C$2:$C$8,0),$C$27)*(_xlfn.XLOOKUP(C66,主线推图!$B$313:$B$612,主线推图!$G$313:$G$612)+_xlfn.XLOOKUP(C66,主线推图!$B$313:$B$612,主线推图!$H$313:$H$612))</f>
        <v>176</v>
      </c>
      <c r="I66" s="80">
        <f ca="1">OFFSET(产销汇总!$C$1,MATCH(I$28,产销汇总!$C$2:$C$8,0),$C$27)*_xlfn.XLOOKUP(C66,巡逻产出!$B$311:$B$610,巡逻产出!$H$311:$H$610)</f>
        <v>0</v>
      </c>
      <c r="J66" s="80">
        <f ca="1">OFFSET(产销汇总!$C$1,MATCH(J$28,产销汇总!$C$2:$C$8,0),$C$27)*(_xlfn.XLOOKUP(MAX(1,INT(C66/10-6/10)),组队产出!$B$24:$B$39,组队产出!$J$24:$J$39)+_xlfn.XLOOKUP(MAX(1,INT(C66/10-6/10)),组队产出!$B$24:$B$39,组队产出!$K$24:$K$39))</f>
        <v>96</v>
      </c>
      <c r="K66" s="80">
        <f ca="1">OFFSET(产销汇总!$C$1,MATCH(K$28,产销汇总!$C$2:$C$8,0),$C$27)*_xlfn.XLOOKUP(C66,巡逻产出!$B$311:$B$610,巡逻产出!$I$311:$I$610)*IF($C$27=1,0.5,1)</f>
        <v>312</v>
      </c>
      <c r="L66" s="80">
        <f ca="1">OFFSET(产销汇总!$C$1,MATCH(L$28,产销汇总!$C$2:$C$8,0),$C$27)*竞技场!$C$5</f>
        <v>180</v>
      </c>
      <c r="M66" s="80">
        <f>任务!$C$6+IF(MOD(B66,7)=0,任务!$M$25)</f>
        <v>30</v>
      </c>
      <c r="N66" s="98">
        <f t="shared" si="2"/>
        <v>1.7</v>
      </c>
      <c r="O66" s="80">
        <f t="shared" si="3"/>
        <v>0</v>
      </c>
      <c r="P66" s="172">
        <f ca="1">OFFSET(产销汇总!$C$1,MATCH(P$27,产销汇总!$C$2:$C$8,0),$C$27)/200*协力宝箱!$Q$82</f>
        <v>0</v>
      </c>
      <c r="Q66" s="80">
        <f t="shared" si="4"/>
        <v>10</v>
      </c>
      <c r="R66" s="80">
        <v>10</v>
      </c>
      <c r="S66" s="172">
        <f t="shared" si="8"/>
        <v>100</v>
      </c>
      <c r="T66" s="172">
        <f>(公会!$F$12+公会!$F$13+公会!$F$14+公会!$F$18/7)/2</f>
        <v>121.428571428571</v>
      </c>
      <c r="U66" s="172">
        <f t="shared" si="6"/>
        <v>150</v>
      </c>
      <c r="V66" s="172" t="e">
        <f ca="1">SUM($H$29:U66)+SUM(D66:G66)</f>
        <v>#N/A</v>
      </c>
      <c r="W66" s="132" t="e">
        <f ca="1" t="shared" si="7"/>
        <v>#N/A</v>
      </c>
    </row>
    <row r="67" spans="1:23">
      <c r="A67" s="171"/>
      <c r="B67" s="80">
        <v>39</v>
      </c>
      <c r="C67" s="80">
        <f ca="1">OFFSET(产销汇总!$C$12,$B67,$C$27)</f>
        <v>112</v>
      </c>
      <c r="D67" s="80">
        <f ca="1">SUMIF(主线宝箱!$B$321:$B$620,"&lt;="&amp;C67,主线宝箱!$H$321:$H$620)+SUMIF(主线宝箱!$B$321:$B$620,"&lt;="&amp;C67,主线宝箱!$T$321:$T$620)</f>
        <v>4480</v>
      </c>
      <c r="E67" s="80">
        <v>110</v>
      </c>
      <c r="F67" s="80">
        <f t="shared" si="9"/>
        <v>450</v>
      </c>
      <c r="G67" s="80">
        <f ca="1">IF(AND($C$27&lt;3,B67&gt;3),G66,SUMIF(图纸产出设计!$F$334:$F$342,"&lt;="&amp;B67,图纸产出设计!$C$334:$C$342))</f>
        <v>3890</v>
      </c>
      <c r="H67" s="80">
        <f ca="1">OFFSET(产销汇总!$C$1,MATCH(H$28,产销汇总!$C$2:$C$8,0),$C$27)*(_xlfn.XLOOKUP(C67,主线推图!$B$313:$B$612,主线推图!$G$313:$G$612)+_xlfn.XLOOKUP(C67,主线推图!$B$313:$B$612,主线推图!$H$313:$H$612))</f>
        <v>176</v>
      </c>
      <c r="I67" s="80">
        <f ca="1">OFFSET(产销汇总!$C$1,MATCH(I$28,产销汇总!$C$2:$C$8,0),$C$27)*_xlfn.XLOOKUP(C67,巡逻产出!$B$311:$B$610,巡逻产出!$H$311:$H$610)</f>
        <v>0</v>
      </c>
      <c r="J67" s="80">
        <f ca="1">OFFSET(产销汇总!$C$1,MATCH(J$28,产销汇总!$C$2:$C$8,0),$C$27)*(_xlfn.XLOOKUP(MAX(1,INT(C67/10-6/10)),组队产出!$B$24:$B$39,组队产出!$J$24:$J$39)+_xlfn.XLOOKUP(MAX(1,INT(C67/10-6/10)),组队产出!$B$24:$B$39,组队产出!$K$24:$K$39))</f>
        <v>96</v>
      </c>
      <c r="K67" s="80">
        <f ca="1">OFFSET(产销汇总!$C$1,MATCH(K$28,产销汇总!$C$2:$C$8,0),$C$27)*_xlfn.XLOOKUP(C67,巡逻产出!$B$311:$B$610,巡逻产出!$I$311:$I$610)*IF($C$27=1,0.5,1)</f>
        <v>312</v>
      </c>
      <c r="L67" s="80">
        <f ca="1">OFFSET(产销汇总!$C$1,MATCH(L$28,产销汇总!$C$2:$C$8,0),$C$27)*竞技场!$C$5</f>
        <v>180</v>
      </c>
      <c r="M67" s="80">
        <f>任务!$C$6+IF(MOD(B67,7)=0,任务!$M$25)</f>
        <v>30</v>
      </c>
      <c r="N67" s="98">
        <f t="shared" si="2"/>
        <v>1.7</v>
      </c>
      <c r="O67" s="80">
        <f t="shared" si="3"/>
        <v>0</v>
      </c>
      <c r="P67" s="172">
        <f ca="1">OFFSET(产销汇总!$C$1,MATCH(P$27,产销汇总!$C$2:$C$8,0),$C$27)/200*协力宝箱!$Q$82</f>
        <v>0</v>
      </c>
      <c r="Q67" s="80">
        <f t="shared" si="4"/>
        <v>10</v>
      </c>
      <c r="R67" s="80">
        <v>10</v>
      </c>
      <c r="S67" s="172">
        <f t="shared" si="8"/>
        <v>100</v>
      </c>
      <c r="T67" s="172">
        <f>(公会!$F$12+公会!$F$13+公会!$F$14+公会!$F$18/7)/2</f>
        <v>121.428571428571</v>
      </c>
      <c r="U67" s="172">
        <f t="shared" si="6"/>
        <v>150</v>
      </c>
      <c r="V67" s="172" t="e">
        <f ca="1">SUM($H$29:U67)+SUM(D67:G67)</f>
        <v>#N/A</v>
      </c>
      <c r="W67" s="132" t="e">
        <f ca="1" t="shared" si="7"/>
        <v>#N/A</v>
      </c>
    </row>
    <row r="68" spans="1:23">
      <c r="A68" s="171"/>
      <c r="B68" s="80">
        <v>40</v>
      </c>
      <c r="C68" s="80">
        <f ca="1">OFFSET(产销汇总!$C$12,$B68,$C$27)</f>
        <v>113</v>
      </c>
      <c r="D68" s="80">
        <f ca="1">SUMIF(主线宝箱!$B$321:$B$620,"&lt;="&amp;C68,主线宝箱!$H$321:$H$620)+SUMIF(主线宝箱!$B$321:$B$620,"&lt;="&amp;C68,主线宝箱!$T$321:$T$620)</f>
        <v>4520</v>
      </c>
      <c r="E68" s="80">
        <v>110</v>
      </c>
      <c r="F68" s="80">
        <f t="shared" si="9"/>
        <v>450</v>
      </c>
      <c r="G68" s="80">
        <f ca="1">IF(AND($C$27&lt;3,B68&gt;3),G67,SUMIF(图纸产出设计!$F$334:$F$342,"&lt;="&amp;B68,图纸产出设计!$C$334:$C$342))</f>
        <v>3890</v>
      </c>
      <c r="H68" s="80">
        <f ca="1">OFFSET(产销汇总!$C$1,MATCH(H$28,产销汇总!$C$2:$C$8,0),$C$27)*(_xlfn.XLOOKUP(C68,主线推图!$B$313:$B$612,主线推图!$G$313:$G$612)+_xlfn.XLOOKUP(C68,主线推图!$B$313:$B$612,主线推图!$H$313:$H$612))</f>
        <v>176</v>
      </c>
      <c r="I68" s="80">
        <f ca="1">OFFSET(产销汇总!$C$1,MATCH(I$28,产销汇总!$C$2:$C$8,0),$C$27)*_xlfn.XLOOKUP(C68,巡逻产出!$B$311:$B$610,巡逻产出!$H$311:$H$610)</f>
        <v>0</v>
      </c>
      <c r="J68" s="80">
        <f ca="1">OFFSET(产销汇总!$C$1,MATCH(J$28,产销汇总!$C$2:$C$8,0),$C$27)*(_xlfn.XLOOKUP(MAX(1,INT(C68/10-6/10)),组队产出!$B$24:$B$39,组队产出!$J$24:$J$39)+_xlfn.XLOOKUP(MAX(1,INT(C68/10-6/10)),组队产出!$B$24:$B$39,组队产出!$K$24:$K$39))</f>
        <v>96</v>
      </c>
      <c r="K68" s="80">
        <f ca="1">OFFSET(产销汇总!$C$1,MATCH(K$28,产销汇总!$C$2:$C$8,0),$C$27)*_xlfn.XLOOKUP(C68,巡逻产出!$B$311:$B$610,巡逻产出!$I$311:$I$610)*IF($C$27=1,0.5,1)</f>
        <v>312</v>
      </c>
      <c r="L68" s="80">
        <f ca="1">OFFSET(产销汇总!$C$1,MATCH(L$28,产销汇总!$C$2:$C$8,0),$C$27)*竞技场!$C$5</f>
        <v>180</v>
      </c>
      <c r="M68" s="80">
        <f>任务!$C$6+IF(MOD(B68,7)=0,任务!$M$25)</f>
        <v>30</v>
      </c>
      <c r="N68" s="98">
        <f t="shared" si="2"/>
        <v>1.7</v>
      </c>
      <c r="O68" s="80">
        <f t="shared" si="3"/>
        <v>10</v>
      </c>
      <c r="P68" s="172">
        <f ca="1">OFFSET(产销汇总!$C$1,MATCH(P$27,产销汇总!$C$2:$C$8,0),$C$27)/200*协力宝箱!$Q$82</f>
        <v>0</v>
      </c>
      <c r="Q68" s="80">
        <f t="shared" si="4"/>
        <v>10</v>
      </c>
      <c r="R68" s="80">
        <v>10</v>
      </c>
      <c r="S68" s="172">
        <f t="shared" si="8"/>
        <v>100</v>
      </c>
      <c r="T68" s="172">
        <f>(公会!$F$12+公会!$F$13+公会!$F$14+公会!$F$18/7)/2</f>
        <v>121.428571428571</v>
      </c>
      <c r="U68" s="172">
        <f t="shared" si="6"/>
        <v>150</v>
      </c>
      <c r="V68" s="172" t="e">
        <f ca="1">SUM($H$29:U68)+SUM(D68:G68)</f>
        <v>#N/A</v>
      </c>
      <c r="W68" s="132" t="e">
        <f ca="1" t="shared" si="7"/>
        <v>#N/A</v>
      </c>
    </row>
    <row r="69" spans="1:23">
      <c r="A69" s="171"/>
      <c r="B69" s="80">
        <v>41</v>
      </c>
      <c r="C69" s="80">
        <f ca="1">OFFSET(产销汇总!$C$12,$B69,$C$27)</f>
        <v>114</v>
      </c>
      <c r="D69" s="80">
        <f ca="1">SUMIF(主线宝箱!$B$321:$B$620,"&lt;="&amp;C69,主线宝箱!$H$321:$H$620)+SUMIF(主线宝箱!$B$321:$B$620,"&lt;="&amp;C69,主线宝箱!$T$321:$T$620)</f>
        <v>4560</v>
      </c>
      <c r="E69" s="80">
        <v>110</v>
      </c>
      <c r="F69" s="80">
        <f t="shared" si="9"/>
        <v>450</v>
      </c>
      <c r="G69" s="80">
        <f ca="1">IF(AND($C$27&lt;3,B69&gt;3),G68,SUMIF(图纸产出设计!$F$334:$F$342,"&lt;="&amp;B69,图纸产出设计!$C$334:$C$342))</f>
        <v>3890</v>
      </c>
      <c r="H69" s="80">
        <f ca="1">OFFSET(产销汇总!$C$1,MATCH(H$28,产销汇总!$C$2:$C$8,0),$C$27)*(_xlfn.XLOOKUP(C69,主线推图!$B$313:$B$612,主线推图!$G$313:$G$612)+_xlfn.XLOOKUP(C69,主线推图!$B$313:$B$612,主线推图!$H$313:$H$612))</f>
        <v>176</v>
      </c>
      <c r="I69" s="80">
        <f ca="1">OFFSET(产销汇总!$C$1,MATCH(I$28,产销汇总!$C$2:$C$8,0),$C$27)*_xlfn.XLOOKUP(C69,巡逻产出!$B$311:$B$610,巡逻产出!$H$311:$H$610)</f>
        <v>0</v>
      </c>
      <c r="J69" s="80">
        <f ca="1">OFFSET(产销汇总!$C$1,MATCH(J$28,产销汇总!$C$2:$C$8,0),$C$27)*(_xlfn.XLOOKUP(MAX(1,INT(C69/10-6/10)),组队产出!$B$24:$B$39,组队产出!$J$24:$J$39)+_xlfn.XLOOKUP(MAX(1,INT(C69/10-6/10)),组队产出!$B$24:$B$39,组队产出!$K$24:$K$39))</f>
        <v>96</v>
      </c>
      <c r="K69" s="80">
        <f ca="1">OFFSET(产销汇总!$C$1,MATCH(K$28,产销汇总!$C$2:$C$8,0),$C$27)*_xlfn.XLOOKUP(C69,巡逻产出!$B$311:$B$610,巡逻产出!$I$311:$I$610)*IF($C$27=1,0.5,1)</f>
        <v>312</v>
      </c>
      <c r="L69" s="80">
        <f ca="1">OFFSET(产销汇总!$C$1,MATCH(L$28,产销汇总!$C$2:$C$8,0),$C$27)*竞技场!$C$5</f>
        <v>180</v>
      </c>
      <c r="M69" s="80">
        <f>任务!$C$6+IF(MOD(B69,7)=0,任务!$M$25)</f>
        <v>30</v>
      </c>
      <c r="N69" s="98">
        <f t="shared" si="2"/>
        <v>1.7</v>
      </c>
      <c r="O69" s="80">
        <f t="shared" si="3"/>
        <v>0</v>
      </c>
      <c r="P69" s="172">
        <f ca="1">OFFSET(产销汇总!$C$1,MATCH(P$27,产销汇总!$C$2:$C$8,0),$C$27)/200*协力宝箱!$Q$82</f>
        <v>0</v>
      </c>
      <c r="Q69" s="80">
        <f t="shared" si="4"/>
        <v>10</v>
      </c>
      <c r="R69" s="80">
        <v>10</v>
      </c>
      <c r="S69" s="172">
        <f t="shared" si="8"/>
        <v>100</v>
      </c>
      <c r="T69" s="172">
        <f>(公会!$F$12+公会!$F$13+公会!$F$14+公会!$F$18/7)/2</f>
        <v>121.428571428571</v>
      </c>
      <c r="U69" s="172">
        <f t="shared" si="6"/>
        <v>150</v>
      </c>
      <c r="V69" s="172" t="e">
        <f ca="1">SUM($H$29:U69)+SUM(D69:G69)</f>
        <v>#N/A</v>
      </c>
      <c r="W69" s="132" t="e">
        <f ca="1" t="shared" si="7"/>
        <v>#N/A</v>
      </c>
    </row>
    <row r="70" spans="1:23">
      <c r="A70" s="171"/>
      <c r="B70" s="80">
        <v>42</v>
      </c>
      <c r="C70" s="80">
        <f ca="1">OFFSET(产销汇总!$C$12,$B70,$C$27)</f>
        <v>115</v>
      </c>
      <c r="D70" s="80">
        <f ca="1">SUMIF(主线宝箱!$B$321:$B$620,"&lt;="&amp;C70,主线宝箱!$H$321:$H$620)+SUMIF(主线宝箱!$B$321:$B$620,"&lt;="&amp;C70,主线宝箱!$T$321:$T$620)</f>
        <v>4600</v>
      </c>
      <c r="E70" s="80">
        <v>110</v>
      </c>
      <c r="F70" s="80">
        <f t="shared" si="9"/>
        <v>450</v>
      </c>
      <c r="G70" s="80">
        <f ca="1">IF(AND($C$27&lt;3,B70&gt;3),G69,SUMIF(图纸产出设计!$F$334:$F$342,"&lt;="&amp;B70,图纸产出设计!$C$334:$C$342))</f>
        <v>3890</v>
      </c>
      <c r="H70" s="80">
        <f ca="1">OFFSET(产销汇总!$C$1,MATCH(H$28,产销汇总!$C$2:$C$8,0),$C$27)*(_xlfn.XLOOKUP(C70,主线推图!$B$313:$B$612,主线推图!$G$313:$G$612)+_xlfn.XLOOKUP(C70,主线推图!$B$313:$B$612,主线推图!$H$313:$H$612))</f>
        <v>176</v>
      </c>
      <c r="I70" s="80">
        <f ca="1">OFFSET(产销汇总!$C$1,MATCH(I$28,产销汇总!$C$2:$C$8,0),$C$27)*_xlfn.XLOOKUP(C70,巡逻产出!$B$311:$B$610,巡逻产出!$H$311:$H$610)</f>
        <v>0</v>
      </c>
      <c r="J70" s="80">
        <f ca="1">OFFSET(产销汇总!$C$1,MATCH(J$28,产销汇总!$C$2:$C$8,0),$C$27)*(_xlfn.XLOOKUP(MAX(1,INT(C70/10-6/10)),组队产出!$B$24:$B$39,组队产出!$J$24:$J$39)+_xlfn.XLOOKUP(MAX(1,INT(C70/10-6/10)),组队产出!$B$24:$B$39,组队产出!$K$24:$K$39))</f>
        <v>96</v>
      </c>
      <c r="K70" s="80">
        <f ca="1">OFFSET(产销汇总!$C$1,MATCH(K$28,产销汇总!$C$2:$C$8,0),$C$27)*_xlfn.XLOOKUP(C70,巡逻产出!$B$311:$B$610,巡逻产出!$I$311:$I$610)*IF($C$27=1,0.5,1)</f>
        <v>312</v>
      </c>
      <c r="L70" s="80">
        <f ca="1">OFFSET(产销汇总!$C$1,MATCH(L$28,产销汇总!$C$2:$C$8,0),$C$27)*竞技场!$C$5</f>
        <v>180</v>
      </c>
      <c r="M70" s="80">
        <f>任务!$C$6+IF(MOD(B70,7)=0,任务!$M$25)</f>
        <v>60</v>
      </c>
      <c r="N70" s="98">
        <f t="shared" si="2"/>
        <v>1.7</v>
      </c>
      <c r="O70" s="80">
        <f t="shared" si="3"/>
        <v>0</v>
      </c>
      <c r="P70" s="172">
        <f ca="1">OFFSET(产销汇总!$C$1,MATCH(P$27,产销汇总!$C$2:$C$8,0),$C$27)/200*协力宝箱!$Q$82</f>
        <v>0</v>
      </c>
      <c r="Q70" s="80">
        <f t="shared" si="4"/>
        <v>10</v>
      </c>
      <c r="R70" s="80">
        <v>10</v>
      </c>
      <c r="S70" s="172">
        <f t="shared" si="8"/>
        <v>100</v>
      </c>
      <c r="T70" s="172">
        <f>(公会!$F$12+公会!$F$13+公会!$F$14+公会!$F$18/7)/2</f>
        <v>121.428571428571</v>
      </c>
      <c r="U70" s="172">
        <f t="shared" si="6"/>
        <v>150</v>
      </c>
      <c r="V70" s="172" t="e">
        <f ca="1">SUM($H$29:U70)+SUM(D70:G70)</f>
        <v>#N/A</v>
      </c>
      <c r="W70" s="132" t="e">
        <f ca="1" t="shared" si="7"/>
        <v>#N/A</v>
      </c>
    </row>
    <row r="71" spans="1:23">
      <c r="A71" s="171"/>
      <c r="B71" s="80">
        <v>43</v>
      </c>
      <c r="C71" s="80">
        <f ca="1">OFFSET(产销汇总!$C$12,$B71,$C$27)</f>
        <v>116</v>
      </c>
      <c r="D71" s="80">
        <f ca="1">SUMIF(主线宝箱!$B$321:$B$620,"&lt;="&amp;C71,主线宝箱!$H$321:$H$620)+SUMIF(主线宝箱!$B$321:$B$620,"&lt;="&amp;C71,主线宝箱!$T$321:$T$620)</f>
        <v>4640</v>
      </c>
      <c r="E71" s="80">
        <v>110</v>
      </c>
      <c r="F71" s="80">
        <f t="shared" si="9"/>
        <v>450</v>
      </c>
      <c r="G71" s="80">
        <f ca="1">IF(AND($C$27&lt;3,B71&gt;3),G70,SUMIF(图纸产出设计!$F$334:$F$342,"&lt;="&amp;B71,图纸产出设计!$C$334:$C$342))</f>
        <v>3890</v>
      </c>
      <c r="H71" s="80">
        <f ca="1">OFFSET(产销汇总!$C$1,MATCH(H$28,产销汇总!$C$2:$C$8,0),$C$27)*(_xlfn.XLOOKUP(C71,主线推图!$B$313:$B$612,主线推图!$G$313:$G$612)+_xlfn.XLOOKUP(C71,主线推图!$B$313:$B$612,主线推图!$H$313:$H$612))</f>
        <v>176</v>
      </c>
      <c r="I71" s="80">
        <f ca="1">OFFSET(产销汇总!$C$1,MATCH(I$28,产销汇总!$C$2:$C$8,0),$C$27)*_xlfn.XLOOKUP(C71,巡逻产出!$B$311:$B$610,巡逻产出!$H$311:$H$610)</f>
        <v>0</v>
      </c>
      <c r="J71" s="80">
        <f ca="1">OFFSET(产销汇总!$C$1,MATCH(J$28,产销汇总!$C$2:$C$8,0),$C$27)*(_xlfn.XLOOKUP(MAX(1,INT(C71/10-6/10)),组队产出!$B$24:$B$39,组队产出!$J$24:$J$39)+_xlfn.XLOOKUP(MAX(1,INT(C71/10-6/10)),组队产出!$B$24:$B$39,组队产出!$K$24:$K$39))</f>
        <v>96</v>
      </c>
      <c r="K71" s="80">
        <f ca="1">OFFSET(产销汇总!$C$1,MATCH(K$28,产销汇总!$C$2:$C$8,0),$C$27)*_xlfn.XLOOKUP(C71,巡逻产出!$B$311:$B$610,巡逻产出!$I$311:$I$610)*IF($C$27=1,0.5,1)</f>
        <v>312</v>
      </c>
      <c r="L71" s="80">
        <f ca="1">OFFSET(产销汇总!$C$1,MATCH(L$28,产销汇总!$C$2:$C$8,0),$C$27)*竞技场!$C$5</f>
        <v>180</v>
      </c>
      <c r="M71" s="80">
        <f>任务!$C$6+IF(MOD(B71,7)=0,任务!$M$25)</f>
        <v>30</v>
      </c>
      <c r="N71" s="98">
        <f t="shared" si="2"/>
        <v>1.7</v>
      </c>
      <c r="O71" s="80">
        <f t="shared" si="3"/>
        <v>0</v>
      </c>
      <c r="P71" s="172">
        <f ca="1">OFFSET(产销汇总!$C$1,MATCH(P$27,产销汇总!$C$2:$C$8,0),$C$27)/200*协力宝箱!$Q$82</f>
        <v>0</v>
      </c>
      <c r="Q71" s="80">
        <f t="shared" si="4"/>
        <v>10</v>
      </c>
      <c r="R71" s="80">
        <v>10</v>
      </c>
      <c r="S71" s="172">
        <f t="shared" si="8"/>
        <v>100</v>
      </c>
      <c r="T71" s="172">
        <f>(公会!$F$12+公会!$F$13+公会!$F$14+公会!$F$18/7)/2</f>
        <v>121.428571428571</v>
      </c>
      <c r="U71" s="172">
        <f t="shared" si="6"/>
        <v>150</v>
      </c>
      <c r="V71" s="172" t="e">
        <f ca="1">SUM($H$29:U71)+SUM(D71:G71)</f>
        <v>#N/A</v>
      </c>
      <c r="W71" s="132" t="e">
        <f ca="1" t="shared" si="7"/>
        <v>#N/A</v>
      </c>
    </row>
    <row r="72" spans="1:23">
      <c r="A72" s="171"/>
      <c r="B72" s="80">
        <v>44</v>
      </c>
      <c r="C72" s="80">
        <f ca="1">OFFSET(产销汇总!$C$12,$B72,$C$27)</f>
        <v>117</v>
      </c>
      <c r="D72" s="80">
        <f ca="1">SUMIF(主线宝箱!$B$321:$B$620,"&lt;="&amp;C72,主线宝箱!$H$321:$H$620)+SUMIF(主线宝箱!$B$321:$B$620,"&lt;="&amp;C72,主线宝箱!$T$321:$T$620)</f>
        <v>4680</v>
      </c>
      <c r="E72" s="80">
        <v>110</v>
      </c>
      <c r="F72" s="80">
        <f t="shared" si="9"/>
        <v>450</v>
      </c>
      <c r="G72" s="80">
        <f ca="1">IF(AND($C$27&lt;3,B72&gt;3),G71,SUMIF(图纸产出设计!$F$334:$F$342,"&lt;="&amp;B72,图纸产出设计!$C$334:$C$342))</f>
        <v>3890</v>
      </c>
      <c r="H72" s="80">
        <f ca="1">OFFSET(产销汇总!$C$1,MATCH(H$28,产销汇总!$C$2:$C$8,0),$C$27)*(_xlfn.XLOOKUP(C72,主线推图!$B$313:$B$612,主线推图!$G$313:$G$612)+_xlfn.XLOOKUP(C72,主线推图!$B$313:$B$612,主线推图!$H$313:$H$612))</f>
        <v>176</v>
      </c>
      <c r="I72" s="80">
        <f ca="1">OFFSET(产销汇总!$C$1,MATCH(I$28,产销汇总!$C$2:$C$8,0),$C$27)*_xlfn.XLOOKUP(C72,巡逻产出!$B$311:$B$610,巡逻产出!$H$311:$H$610)</f>
        <v>0</v>
      </c>
      <c r="J72" s="80">
        <f ca="1">OFFSET(产销汇总!$C$1,MATCH(J$28,产销汇总!$C$2:$C$8,0),$C$27)*(_xlfn.XLOOKUP(MAX(1,INT(C72/10-6/10)),组队产出!$B$24:$B$39,组队产出!$J$24:$J$39)+_xlfn.XLOOKUP(MAX(1,INT(C72/10-6/10)),组队产出!$B$24:$B$39,组队产出!$K$24:$K$39))</f>
        <v>96</v>
      </c>
      <c r="K72" s="80">
        <f ca="1">OFFSET(产销汇总!$C$1,MATCH(K$28,产销汇总!$C$2:$C$8,0),$C$27)*_xlfn.XLOOKUP(C72,巡逻产出!$B$311:$B$610,巡逻产出!$I$311:$I$610)*IF($C$27=1,0.5,1)</f>
        <v>312</v>
      </c>
      <c r="L72" s="80">
        <f ca="1">OFFSET(产销汇总!$C$1,MATCH(L$28,产销汇总!$C$2:$C$8,0),$C$27)*竞技场!$C$5</f>
        <v>180</v>
      </c>
      <c r="M72" s="80">
        <f>任务!$C$6+IF(MOD(B72,7)=0,任务!$M$25)</f>
        <v>30</v>
      </c>
      <c r="N72" s="98">
        <f t="shared" si="2"/>
        <v>1.7</v>
      </c>
      <c r="O72" s="80">
        <f t="shared" si="3"/>
        <v>10</v>
      </c>
      <c r="P72" s="172">
        <f ca="1">OFFSET(产销汇总!$C$1,MATCH(P$27,产销汇总!$C$2:$C$8,0),$C$27)/200*协力宝箱!$Q$82</f>
        <v>0</v>
      </c>
      <c r="Q72" s="80">
        <f t="shared" si="4"/>
        <v>10</v>
      </c>
      <c r="R72" s="80">
        <v>10</v>
      </c>
      <c r="S72" s="172">
        <f t="shared" si="8"/>
        <v>100</v>
      </c>
      <c r="T72" s="172">
        <f>(公会!$F$12+公会!$F$13+公会!$F$14+公会!$F$18/7)/2</f>
        <v>121.428571428571</v>
      </c>
      <c r="U72" s="172">
        <f t="shared" si="6"/>
        <v>150</v>
      </c>
      <c r="V72" s="172" t="e">
        <f ca="1">SUM($H$29:U72)+SUM(D72:G72)</f>
        <v>#N/A</v>
      </c>
      <c r="W72" s="132" t="e">
        <f ca="1" t="shared" si="7"/>
        <v>#N/A</v>
      </c>
    </row>
    <row r="73" spans="1:23">
      <c r="A73" s="171"/>
      <c r="B73" s="80">
        <v>45</v>
      </c>
      <c r="C73" s="80">
        <f ca="1">OFFSET(产销汇总!$C$12,$B73,$C$27)</f>
        <v>118</v>
      </c>
      <c r="D73" s="80">
        <f ca="1">SUMIF(主线宝箱!$B$321:$B$620,"&lt;="&amp;C73,主线宝箱!$H$321:$H$620)+SUMIF(主线宝箱!$B$321:$B$620,"&lt;="&amp;C73,主线宝箱!$T$321:$T$620)</f>
        <v>4720</v>
      </c>
      <c r="E73" s="80">
        <v>110</v>
      </c>
      <c r="F73" s="80">
        <f t="shared" si="9"/>
        <v>450</v>
      </c>
      <c r="G73" s="80">
        <f ca="1">IF(AND($C$27&lt;3,B73&gt;3),G72,SUMIF(图纸产出设计!$F$334:$F$342,"&lt;="&amp;B73,图纸产出设计!$C$334:$C$342))</f>
        <v>3890</v>
      </c>
      <c r="H73" s="80">
        <f ca="1">OFFSET(产销汇总!$C$1,MATCH(H$28,产销汇总!$C$2:$C$8,0),$C$27)*(_xlfn.XLOOKUP(C73,主线推图!$B$313:$B$612,主线推图!$G$313:$G$612)+_xlfn.XLOOKUP(C73,主线推图!$B$313:$B$612,主线推图!$H$313:$H$612))</f>
        <v>176</v>
      </c>
      <c r="I73" s="80">
        <f ca="1">OFFSET(产销汇总!$C$1,MATCH(I$28,产销汇总!$C$2:$C$8,0),$C$27)*_xlfn.XLOOKUP(C73,巡逻产出!$B$311:$B$610,巡逻产出!$H$311:$H$610)</f>
        <v>0</v>
      </c>
      <c r="J73" s="80">
        <f ca="1">OFFSET(产销汇总!$C$1,MATCH(J$28,产销汇总!$C$2:$C$8,0),$C$27)*(_xlfn.XLOOKUP(MAX(1,INT(C73/10-6/10)),组队产出!$B$24:$B$39,组队产出!$J$24:$J$39)+_xlfn.XLOOKUP(MAX(1,INT(C73/10-6/10)),组队产出!$B$24:$B$39,组队产出!$K$24:$K$39))</f>
        <v>96</v>
      </c>
      <c r="K73" s="80">
        <f ca="1">OFFSET(产销汇总!$C$1,MATCH(K$28,产销汇总!$C$2:$C$8,0),$C$27)*_xlfn.XLOOKUP(C73,巡逻产出!$B$311:$B$610,巡逻产出!$I$311:$I$610)*IF($C$27=1,0.5,1)</f>
        <v>312</v>
      </c>
      <c r="L73" s="80">
        <f ca="1">OFFSET(产销汇总!$C$1,MATCH(L$28,产销汇总!$C$2:$C$8,0),$C$27)*竞技场!$C$5</f>
        <v>180</v>
      </c>
      <c r="M73" s="80">
        <f>任务!$C$6+IF(MOD(B73,7)=0,任务!$M$25)</f>
        <v>30</v>
      </c>
      <c r="N73" s="98">
        <f t="shared" si="2"/>
        <v>1.7</v>
      </c>
      <c r="O73" s="80">
        <f t="shared" si="3"/>
        <v>0</v>
      </c>
      <c r="P73" s="172">
        <f ca="1">OFFSET(产销汇总!$C$1,MATCH(P$27,产销汇总!$C$2:$C$8,0),$C$27)/200*协力宝箱!$Q$82</f>
        <v>0</v>
      </c>
      <c r="Q73" s="80">
        <f t="shared" si="4"/>
        <v>10</v>
      </c>
      <c r="R73" s="80">
        <v>10</v>
      </c>
      <c r="S73" s="172">
        <f t="shared" si="8"/>
        <v>100</v>
      </c>
      <c r="T73" s="172">
        <f>(公会!$F$12+公会!$F$13+公会!$F$14+公会!$F$18/7)/2</f>
        <v>121.428571428571</v>
      </c>
      <c r="U73" s="172">
        <f t="shared" si="6"/>
        <v>150</v>
      </c>
      <c r="V73" s="172" t="e">
        <f ca="1">SUM($H$29:U73)+SUM(D73:G73)</f>
        <v>#N/A</v>
      </c>
      <c r="W73" s="132" t="e">
        <f ca="1" t="shared" si="7"/>
        <v>#N/A</v>
      </c>
    </row>
    <row r="74" spans="1:23">
      <c r="A74" s="171"/>
      <c r="B74" s="80">
        <v>46</v>
      </c>
      <c r="C74" s="80">
        <f ca="1">OFFSET(产销汇总!$C$12,$B74,$C$27)</f>
        <v>119</v>
      </c>
      <c r="D74" s="80">
        <f ca="1">SUMIF(主线宝箱!$B$321:$B$620,"&lt;="&amp;C74,主线宝箱!$H$321:$H$620)+SUMIF(主线宝箱!$B$321:$B$620,"&lt;="&amp;C74,主线宝箱!$T$321:$T$620)</f>
        <v>4760</v>
      </c>
      <c r="E74" s="80">
        <v>110</v>
      </c>
      <c r="F74" s="80">
        <f t="shared" si="9"/>
        <v>450</v>
      </c>
      <c r="G74" s="80">
        <f ca="1">IF(AND($C$27&lt;3,B74&gt;3),G73,SUMIF(图纸产出设计!$F$334:$F$342,"&lt;="&amp;B74,图纸产出设计!$C$334:$C$342))</f>
        <v>3890</v>
      </c>
      <c r="H74" s="80">
        <f ca="1">OFFSET(产销汇总!$C$1,MATCH(H$28,产销汇总!$C$2:$C$8,0),$C$27)*(_xlfn.XLOOKUP(C74,主线推图!$B$313:$B$612,主线推图!$G$313:$G$612)+_xlfn.XLOOKUP(C74,主线推图!$B$313:$B$612,主线推图!$H$313:$H$612))</f>
        <v>176</v>
      </c>
      <c r="I74" s="80">
        <f ca="1">OFFSET(产销汇总!$C$1,MATCH(I$28,产销汇总!$C$2:$C$8,0),$C$27)*_xlfn.XLOOKUP(C74,巡逻产出!$B$311:$B$610,巡逻产出!$H$311:$H$610)</f>
        <v>0</v>
      </c>
      <c r="J74" s="80">
        <f ca="1">OFFSET(产销汇总!$C$1,MATCH(J$28,产销汇总!$C$2:$C$8,0),$C$27)*(_xlfn.XLOOKUP(MAX(1,INT(C74/10-6/10)),组队产出!$B$24:$B$39,组队产出!$J$24:$J$39)+_xlfn.XLOOKUP(MAX(1,INT(C74/10-6/10)),组队产出!$B$24:$B$39,组队产出!$K$24:$K$39))</f>
        <v>96</v>
      </c>
      <c r="K74" s="80">
        <f ca="1">OFFSET(产销汇总!$C$1,MATCH(K$28,产销汇总!$C$2:$C$8,0),$C$27)*_xlfn.XLOOKUP(C74,巡逻产出!$B$311:$B$610,巡逻产出!$I$311:$I$610)*IF($C$27=1,0.5,1)</f>
        <v>312</v>
      </c>
      <c r="L74" s="80">
        <f ca="1">OFFSET(产销汇总!$C$1,MATCH(L$28,产销汇总!$C$2:$C$8,0),$C$27)*竞技场!$C$5</f>
        <v>180</v>
      </c>
      <c r="M74" s="80">
        <f>任务!$C$6+IF(MOD(B74,7)=0,任务!$M$25)</f>
        <v>30</v>
      </c>
      <c r="N74" s="98">
        <f t="shared" si="2"/>
        <v>1.7</v>
      </c>
      <c r="O74" s="80">
        <f t="shared" si="3"/>
        <v>0</v>
      </c>
      <c r="P74" s="172">
        <f ca="1">OFFSET(产销汇总!$C$1,MATCH(P$27,产销汇总!$C$2:$C$8,0),$C$27)/200*协力宝箱!$Q$82</f>
        <v>0</v>
      </c>
      <c r="Q74" s="80">
        <f t="shared" si="4"/>
        <v>10</v>
      </c>
      <c r="R74" s="80">
        <v>10</v>
      </c>
      <c r="S74" s="172">
        <f t="shared" si="8"/>
        <v>100</v>
      </c>
      <c r="T74" s="172">
        <f>(公会!$F$12+公会!$F$13+公会!$F$14+公会!$F$18/7)/2</f>
        <v>121.428571428571</v>
      </c>
      <c r="U74" s="172">
        <f t="shared" si="6"/>
        <v>150</v>
      </c>
      <c r="V74" s="172" t="e">
        <f ca="1">SUM($H$29:U74)+SUM(D74:G74)</f>
        <v>#N/A</v>
      </c>
      <c r="W74" s="132" t="e">
        <f ca="1" t="shared" si="7"/>
        <v>#N/A</v>
      </c>
    </row>
    <row r="75" spans="1:23">
      <c r="A75" s="171"/>
      <c r="B75" s="80">
        <v>47</v>
      </c>
      <c r="C75" s="80">
        <f ca="1">OFFSET(产销汇总!$C$12,$B75,$C$27)</f>
        <v>120</v>
      </c>
      <c r="D75" s="80">
        <f ca="1">SUMIF(主线宝箱!$B$321:$B$620,"&lt;="&amp;C75,主线宝箱!$H$321:$H$620)+SUMIF(主线宝箱!$B$321:$B$620,"&lt;="&amp;C75,主线宝箱!$T$321:$T$620)</f>
        <v>4800</v>
      </c>
      <c r="E75" s="80">
        <v>110</v>
      </c>
      <c r="F75" s="80">
        <f t="shared" si="9"/>
        <v>450</v>
      </c>
      <c r="G75" s="80">
        <f ca="1">IF(AND($C$27&lt;3,B75&gt;3),G74,SUMIF(图纸产出设计!$F$334:$F$342,"&lt;="&amp;B75,图纸产出设计!$C$334:$C$342))</f>
        <v>3890</v>
      </c>
      <c r="H75" s="80">
        <f ca="1">OFFSET(产销汇总!$C$1,MATCH(H$28,产销汇总!$C$2:$C$8,0),$C$27)*(_xlfn.XLOOKUP(C75,主线推图!$B$313:$B$612,主线推图!$G$313:$G$612)+_xlfn.XLOOKUP(C75,主线推图!$B$313:$B$612,主线推图!$H$313:$H$612))</f>
        <v>176</v>
      </c>
      <c r="I75" s="80">
        <f ca="1">OFFSET(产销汇总!$C$1,MATCH(I$28,产销汇总!$C$2:$C$8,0),$C$27)*_xlfn.XLOOKUP(C75,巡逻产出!$B$311:$B$610,巡逻产出!$H$311:$H$610)</f>
        <v>0</v>
      </c>
      <c r="J75" s="80">
        <f ca="1">OFFSET(产销汇总!$C$1,MATCH(J$28,产销汇总!$C$2:$C$8,0),$C$27)*(_xlfn.XLOOKUP(MAX(1,INT(C75/10-6/10)),组队产出!$B$24:$B$39,组队产出!$J$24:$J$39)+_xlfn.XLOOKUP(MAX(1,INT(C75/10-6/10)),组队产出!$B$24:$B$39,组队产出!$K$24:$K$39))</f>
        <v>96</v>
      </c>
      <c r="K75" s="80">
        <f ca="1">OFFSET(产销汇总!$C$1,MATCH(K$28,产销汇总!$C$2:$C$8,0),$C$27)*_xlfn.XLOOKUP(C75,巡逻产出!$B$311:$B$610,巡逻产出!$I$311:$I$610)*IF($C$27=1,0.5,1)</f>
        <v>312</v>
      </c>
      <c r="L75" s="80">
        <f ca="1">OFFSET(产销汇总!$C$1,MATCH(L$28,产销汇总!$C$2:$C$8,0),$C$27)*竞技场!$C$5</f>
        <v>180</v>
      </c>
      <c r="M75" s="80">
        <f>任务!$C$6+IF(MOD(B75,7)=0,任务!$M$25)</f>
        <v>30</v>
      </c>
      <c r="N75" s="98">
        <f t="shared" si="2"/>
        <v>1.7</v>
      </c>
      <c r="O75" s="80">
        <f t="shared" si="3"/>
        <v>10</v>
      </c>
      <c r="P75" s="172">
        <f ca="1">OFFSET(产销汇总!$C$1,MATCH(P$27,产销汇总!$C$2:$C$8,0),$C$27)/200*协力宝箱!$Q$82</f>
        <v>0</v>
      </c>
      <c r="Q75" s="80">
        <f t="shared" si="4"/>
        <v>10</v>
      </c>
      <c r="R75" s="80">
        <v>10</v>
      </c>
      <c r="S75" s="172">
        <f t="shared" si="8"/>
        <v>100</v>
      </c>
      <c r="T75" s="172">
        <f>(公会!$F$12+公会!$F$13+公会!$F$14+公会!$F$18/7)/2</f>
        <v>121.428571428571</v>
      </c>
      <c r="U75" s="172">
        <f t="shared" si="6"/>
        <v>150</v>
      </c>
      <c r="V75" s="172" t="e">
        <f ca="1">SUM($H$29:U75)+SUM(D75:G75)</f>
        <v>#N/A</v>
      </c>
      <c r="W75" s="132" t="e">
        <f ca="1" t="shared" si="7"/>
        <v>#N/A</v>
      </c>
    </row>
    <row r="76" spans="1:23">
      <c r="A76" s="171"/>
      <c r="B76" s="80">
        <v>48</v>
      </c>
      <c r="C76" s="80">
        <f ca="1">OFFSET(产销汇总!$C$12,$B76,$C$27)</f>
        <v>121</v>
      </c>
      <c r="D76" s="80">
        <f ca="1">SUMIF(主线宝箱!$B$321:$B$620,"&lt;="&amp;C76,主线宝箱!$H$321:$H$620)+SUMIF(主线宝箱!$B$321:$B$620,"&lt;="&amp;C76,主线宝箱!$T$321:$T$620)</f>
        <v>4840</v>
      </c>
      <c r="E76" s="80">
        <v>110</v>
      </c>
      <c r="F76" s="80">
        <f t="shared" si="9"/>
        <v>450</v>
      </c>
      <c r="G76" s="80">
        <f ca="1">IF(AND($C$27&lt;3,B76&gt;3),G75,SUMIF(图纸产出设计!$F$334:$F$342,"&lt;="&amp;B76,图纸产出设计!$C$334:$C$342))</f>
        <v>3890</v>
      </c>
      <c r="H76" s="80">
        <f ca="1">OFFSET(产销汇总!$C$1,MATCH(H$28,产销汇总!$C$2:$C$8,0),$C$27)*(_xlfn.XLOOKUP(C76,主线推图!$B$313:$B$612,主线推图!$G$313:$G$612)+_xlfn.XLOOKUP(C76,主线推图!$B$313:$B$612,主线推图!$H$313:$H$612))</f>
        <v>176</v>
      </c>
      <c r="I76" s="80">
        <f ca="1">OFFSET(产销汇总!$C$1,MATCH(I$28,产销汇总!$C$2:$C$8,0),$C$27)*_xlfn.XLOOKUP(C76,巡逻产出!$B$311:$B$610,巡逻产出!$H$311:$H$610)</f>
        <v>0</v>
      </c>
      <c r="J76" s="80">
        <f ca="1">OFFSET(产销汇总!$C$1,MATCH(J$28,产销汇总!$C$2:$C$8,0),$C$27)*(_xlfn.XLOOKUP(MAX(1,INT(C76/10-6/10)),组队产出!$B$24:$B$39,组队产出!$J$24:$J$39)+_xlfn.XLOOKUP(MAX(1,INT(C76/10-6/10)),组队产出!$B$24:$B$39,组队产出!$K$24:$K$39))</f>
        <v>96</v>
      </c>
      <c r="K76" s="80">
        <f ca="1">OFFSET(产销汇总!$C$1,MATCH(K$28,产销汇总!$C$2:$C$8,0),$C$27)*_xlfn.XLOOKUP(C76,巡逻产出!$B$311:$B$610,巡逻产出!$I$311:$I$610)*IF($C$27=1,0.5,1)</f>
        <v>312</v>
      </c>
      <c r="L76" s="80">
        <f ca="1">OFFSET(产销汇总!$C$1,MATCH(L$28,产销汇总!$C$2:$C$8,0),$C$27)*竞技场!$C$5</f>
        <v>180</v>
      </c>
      <c r="M76" s="80">
        <f>任务!$C$6+IF(MOD(B76,7)=0,任务!$M$25)</f>
        <v>30</v>
      </c>
      <c r="N76" s="98">
        <f t="shared" si="2"/>
        <v>1.7</v>
      </c>
      <c r="O76" s="80">
        <f t="shared" si="3"/>
        <v>0</v>
      </c>
      <c r="P76" s="172">
        <f ca="1">OFFSET(产销汇总!$C$1,MATCH(P$27,产销汇总!$C$2:$C$8,0),$C$27)/200*协力宝箱!$Q$82</f>
        <v>0</v>
      </c>
      <c r="Q76" s="80">
        <f t="shared" si="4"/>
        <v>10</v>
      </c>
      <c r="R76" s="80">
        <v>10</v>
      </c>
      <c r="S76" s="172">
        <f t="shared" si="8"/>
        <v>100</v>
      </c>
      <c r="T76" s="172">
        <f>(公会!$F$12+公会!$F$13+公会!$F$14+公会!$F$18/7)/2</f>
        <v>121.428571428571</v>
      </c>
      <c r="U76" s="172">
        <f t="shared" si="6"/>
        <v>150</v>
      </c>
      <c r="V76" s="172" t="e">
        <f ca="1">SUM($H$29:U76)+SUM(D76:G76)</f>
        <v>#N/A</v>
      </c>
      <c r="W76" s="132" t="e">
        <f ca="1" t="shared" si="7"/>
        <v>#N/A</v>
      </c>
    </row>
    <row r="77" spans="1:23">
      <c r="A77" s="171"/>
      <c r="B77" s="80">
        <v>49</v>
      </c>
      <c r="C77" s="80">
        <f ca="1">OFFSET(产销汇总!$C$12,$B77,$C$27)</f>
        <v>122</v>
      </c>
      <c r="D77" s="80">
        <f ca="1">SUMIF(主线宝箱!$B$321:$B$620,"&lt;="&amp;C77,主线宝箱!$H$321:$H$620)+SUMIF(主线宝箱!$B$321:$B$620,"&lt;="&amp;C77,主线宝箱!$T$321:$T$620)</f>
        <v>4880</v>
      </c>
      <c r="E77" s="80">
        <v>110</v>
      </c>
      <c r="F77" s="80">
        <f t="shared" si="9"/>
        <v>450</v>
      </c>
      <c r="G77" s="80">
        <f ca="1">IF(AND($C$27&lt;3,B77&gt;3),G76,SUMIF(图纸产出设计!$F$334:$F$342,"&lt;="&amp;B77,图纸产出设计!$C$334:$C$342))</f>
        <v>3890</v>
      </c>
      <c r="H77" s="80">
        <f ca="1">OFFSET(产销汇总!$C$1,MATCH(H$28,产销汇总!$C$2:$C$8,0),$C$27)*(_xlfn.XLOOKUP(C77,主线推图!$B$313:$B$612,主线推图!$G$313:$G$612)+_xlfn.XLOOKUP(C77,主线推图!$B$313:$B$612,主线推图!$H$313:$H$612))</f>
        <v>176</v>
      </c>
      <c r="I77" s="80">
        <f ca="1">OFFSET(产销汇总!$C$1,MATCH(I$28,产销汇总!$C$2:$C$8,0),$C$27)*_xlfn.XLOOKUP(C77,巡逻产出!$B$311:$B$610,巡逻产出!$H$311:$H$610)</f>
        <v>0</v>
      </c>
      <c r="J77" s="80">
        <f ca="1">OFFSET(产销汇总!$C$1,MATCH(J$28,产销汇总!$C$2:$C$8,0),$C$27)*(_xlfn.XLOOKUP(MAX(1,INT(C77/10-6/10)),组队产出!$B$24:$B$39,组队产出!$J$24:$J$39)+_xlfn.XLOOKUP(MAX(1,INT(C77/10-6/10)),组队产出!$B$24:$B$39,组队产出!$K$24:$K$39))</f>
        <v>96</v>
      </c>
      <c r="K77" s="80">
        <f ca="1">OFFSET(产销汇总!$C$1,MATCH(K$28,产销汇总!$C$2:$C$8,0),$C$27)*_xlfn.XLOOKUP(C77,巡逻产出!$B$311:$B$610,巡逻产出!$I$311:$I$610)*IF($C$27=1,0.5,1)</f>
        <v>312</v>
      </c>
      <c r="L77" s="80">
        <f ca="1">OFFSET(产销汇总!$C$1,MATCH(L$28,产销汇总!$C$2:$C$8,0),$C$27)*竞技场!$C$5</f>
        <v>180</v>
      </c>
      <c r="M77" s="80">
        <f>任务!$C$6+IF(MOD(B77,7)=0,任务!$M$25)</f>
        <v>60</v>
      </c>
      <c r="N77" s="98">
        <f t="shared" si="2"/>
        <v>1.7</v>
      </c>
      <c r="O77" s="80">
        <f t="shared" si="3"/>
        <v>0</v>
      </c>
      <c r="P77" s="172">
        <f ca="1">OFFSET(产销汇总!$C$1,MATCH(P$27,产销汇总!$C$2:$C$8,0),$C$27)/200*协力宝箱!$Q$82</f>
        <v>0</v>
      </c>
      <c r="Q77" s="80">
        <f t="shared" si="4"/>
        <v>10</v>
      </c>
      <c r="R77" s="80">
        <v>10</v>
      </c>
      <c r="S77" s="172">
        <f t="shared" si="8"/>
        <v>100</v>
      </c>
      <c r="T77" s="172">
        <f>(公会!$F$12+公会!$F$13+公会!$F$14+公会!$F$18/7)/2</f>
        <v>121.428571428571</v>
      </c>
      <c r="U77" s="172">
        <f t="shared" si="6"/>
        <v>150</v>
      </c>
      <c r="V77" s="172" t="e">
        <f ca="1">SUM($H$29:U77)+SUM(D77:G77)</f>
        <v>#N/A</v>
      </c>
      <c r="W77" s="132" t="e">
        <f ca="1" t="shared" si="7"/>
        <v>#N/A</v>
      </c>
    </row>
    <row r="78" spans="1:23">
      <c r="A78" s="171"/>
      <c r="B78" s="80">
        <v>50</v>
      </c>
      <c r="C78" s="80">
        <f ca="1">OFFSET(产销汇总!$C$12,$B78,$C$27)</f>
        <v>123</v>
      </c>
      <c r="D78" s="80">
        <f ca="1">SUMIF(主线宝箱!$B$321:$B$620,"&lt;="&amp;C78,主线宝箱!$H$321:$H$620)+SUMIF(主线宝箱!$B$321:$B$620,"&lt;="&amp;C78,主线宝箱!$T$321:$T$620)</f>
        <v>4920</v>
      </c>
      <c r="E78" s="80">
        <v>110</v>
      </c>
      <c r="F78" s="80">
        <f t="shared" si="9"/>
        <v>450</v>
      </c>
      <c r="G78" s="80">
        <f ca="1">IF(AND($C$27&lt;3,B78&gt;3),G77,SUMIF(图纸产出设计!$F$334:$F$342,"&lt;="&amp;B78,图纸产出设计!$C$334:$C$342))</f>
        <v>3890</v>
      </c>
      <c r="H78" s="80">
        <f ca="1">OFFSET(产销汇总!$C$1,MATCH(H$28,产销汇总!$C$2:$C$8,0),$C$27)*(_xlfn.XLOOKUP(C78,主线推图!$B$313:$B$612,主线推图!$G$313:$G$612)+_xlfn.XLOOKUP(C78,主线推图!$B$313:$B$612,主线推图!$H$313:$H$612))</f>
        <v>176</v>
      </c>
      <c r="I78" s="80">
        <f ca="1">OFFSET(产销汇总!$C$1,MATCH(I$28,产销汇总!$C$2:$C$8,0),$C$27)*_xlfn.XLOOKUP(C78,巡逻产出!$B$311:$B$610,巡逻产出!$H$311:$H$610)</f>
        <v>0</v>
      </c>
      <c r="J78" s="80">
        <f ca="1">OFFSET(产销汇总!$C$1,MATCH(J$28,产销汇总!$C$2:$C$8,0),$C$27)*(_xlfn.XLOOKUP(MAX(1,INT(C78/10-6/10)),组队产出!$B$24:$B$39,组队产出!$J$24:$J$39)+_xlfn.XLOOKUP(MAX(1,INT(C78/10-6/10)),组队产出!$B$24:$B$39,组队产出!$K$24:$K$39))</f>
        <v>96</v>
      </c>
      <c r="K78" s="80">
        <f ca="1">OFFSET(产销汇总!$C$1,MATCH(K$28,产销汇总!$C$2:$C$8,0),$C$27)*_xlfn.XLOOKUP(C78,巡逻产出!$B$311:$B$610,巡逻产出!$I$311:$I$610)*IF($C$27=1,0.5,1)</f>
        <v>312</v>
      </c>
      <c r="L78" s="80">
        <f ca="1">OFFSET(产销汇总!$C$1,MATCH(L$28,产销汇总!$C$2:$C$8,0),$C$27)*竞技场!$C$5</f>
        <v>180</v>
      </c>
      <c r="M78" s="80">
        <f>任务!$C$6+IF(MOD(B78,7)=0,任务!$M$25)</f>
        <v>30</v>
      </c>
      <c r="N78" s="98">
        <f t="shared" si="2"/>
        <v>1.7</v>
      </c>
      <c r="O78" s="80">
        <f t="shared" si="3"/>
        <v>0</v>
      </c>
      <c r="P78" s="172">
        <f ca="1">OFFSET(产销汇总!$C$1,MATCH(P$27,产销汇总!$C$2:$C$8,0),$C$27)/200*协力宝箱!$Q$82</f>
        <v>0</v>
      </c>
      <c r="Q78" s="80">
        <f t="shared" si="4"/>
        <v>10</v>
      </c>
      <c r="R78" s="80">
        <v>10</v>
      </c>
      <c r="S78" s="172">
        <f t="shared" si="8"/>
        <v>100</v>
      </c>
      <c r="T78" s="172">
        <f>(公会!$F$12+公会!$F$13+公会!$F$14+公会!$F$18/7)/2</f>
        <v>121.428571428571</v>
      </c>
      <c r="U78" s="172">
        <f t="shared" si="6"/>
        <v>150</v>
      </c>
      <c r="V78" s="172" t="e">
        <f ca="1">SUM($H$29:U78)+SUM(D78:G78)</f>
        <v>#N/A</v>
      </c>
      <c r="W78" s="132" t="e">
        <f ca="1" t="shared" si="7"/>
        <v>#N/A</v>
      </c>
    </row>
    <row r="79" spans="1:23">
      <c r="A79" s="171"/>
      <c r="B79" s="80">
        <v>51</v>
      </c>
      <c r="C79" s="80">
        <f ca="1">OFFSET(产销汇总!$C$12,$B79,$C$27)</f>
        <v>124</v>
      </c>
      <c r="D79" s="80">
        <f ca="1">SUMIF(主线宝箱!$B$321:$B$620,"&lt;="&amp;C79,主线宝箱!$H$321:$H$620)+SUMIF(主线宝箱!$B$321:$B$620,"&lt;="&amp;C79,主线宝箱!$T$321:$T$620)</f>
        <v>4960</v>
      </c>
      <c r="E79" s="80">
        <v>110</v>
      </c>
      <c r="F79" s="80">
        <f t="shared" si="9"/>
        <v>450</v>
      </c>
      <c r="G79" s="80">
        <f ca="1">IF(AND($C$27&lt;3,B79&gt;3),G78,SUMIF(图纸产出设计!$F$334:$F$342,"&lt;="&amp;B79,图纸产出设计!$C$334:$C$342))</f>
        <v>3890</v>
      </c>
      <c r="H79" s="80">
        <f ca="1">OFFSET(产销汇总!$C$1,MATCH(H$28,产销汇总!$C$2:$C$8,0),$C$27)*(_xlfn.XLOOKUP(C79,主线推图!$B$313:$B$612,主线推图!$G$313:$G$612)+_xlfn.XLOOKUP(C79,主线推图!$B$313:$B$612,主线推图!$H$313:$H$612))</f>
        <v>176</v>
      </c>
      <c r="I79" s="80">
        <f ca="1">OFFSET(产销汇总!$C$1,MATCH(I$28,产销汇总!$C$2:$C$8,0),$C$27)*_xlfn.XLOOKUP(C79,巡逻产出!$B$311:$B$610,巡逻产出!$H$311:$H$610)</f>
        <v>0</v>
      </c>
      <c r="J79" s="80">
        <f ca="1">OFFSET(产销汇总!$C$1,MATCH(J$28,产销汇总!$C$2:$C$8,0),$C$27)*(_xlfn.XLOOKUP(MAX(1,INT(C79/10-6/10)),组队产出!$B$24:$B$39,组队产出!$J$24:$J$39)+_xlfn.XLOOKUP(MAX(1,INT(C79/10-6/10)),组队产出!$B$24:$B$39,组队产出!$K$24:$K$39))</f>
        <v>96</v>
      </c>
      <c r="K79" s="80">
        <f ca="1">OFFSET(产销汇总!$C$1,MATCH(K$28,产销汇总!$C$2:$C$8,0),$C$27)*_xlfn.XLOOKUP(C79,巡逻产出!$B$311:$B$610,巡逻产出!$I$311:$I$610)*IF($C$27=1,0.5,1)</f>
        <v>312</v>
      </c>
      <c r="L79" s="80">
        <f ca="1">OFFSET(产销汇总!$C$1,MATCH(L$28,产销汇总!$C$2:$C$8,0),$C$27)*竞技场!$C$5</f>
        <v>180</v>
      </c>
      <c r="M79" s="80">
        <f>任务!$C$6+IF(MOD(B79,7)=0,任务!$M$25)</f>
        <v>30</v>
      </c>
      <c r="N79" s="98">
        <f t="shared" si="2"/>
        <v>1.7</v>
      </c>
      <c r="O79" s="80">
        <f t="shared" si="3"/>
        <v>10</v>
      </c>
      <c r="P79" s="172">
        <f ca="1">OFFSET(产销汇总!$C$1,MATCH(P$27,产销汇总!$C$2:$C$8,0),$C$27)/200*协力宝箱!$Q$82</f>
        <v>0</v>
      </c>
      <c r="Q79" s="80">
        <f t="shared" si="4"/>
        <v>10</v>
      </c>
      <c r="R79" s="80">
        <v>10</v>
      </c>
      <c r="S79" s="172">
        <f t="shared" si="8"/>
        <v>100</v>
      </c>
      <c r="T79" s="172">
        <f>(公会!$F$12+公会!$F$13+公会!$F$14+公会!$F$18/7)/2</f>
        <v>121.428571428571</v>
      </c>
      <c r="U79" s="172">
        <f t="shared" si="6"/>
        <v>150</v>
      </c>
      <c r="V79" s="172" t="e">
        <f ca="1">SUM($H$29:U79)+SUM(D79:G79)</f>
        <v>#N/A</v>
      </c>
      <c r="W79" s="132" t="e">
        <f ca="1" t="shared" si="7"/>
        <v>#N/A</v>
      </c>
    </row>
    <row r="80" spans="1:23">
      <c r="A80" s="171"/>
      <c r="B80" s="80">
        <v>52</v>
      </c>
      <c r="C80" s="80">
        <f ca="1">OFFSET(产销汇总!$C$12,$B80,$C$27)</f>
        <v>125</v>
      </c>
      <c r="D80" s="80">
        <f ca="1">SUMIF(主线宝箱!$B$321:$B$620,"&lt;="&amp;C80,主线宝箱!$H$321:$H$620)+SUMIF(主线宝箱!$B$321:$B$620,"&lt;="&amp;C80,主线宝箱!$T$321:$T$620)</f>
        <v>5000</v>
      </c>
      <c r="E80" s="80">
        <v>110</v>
      </c>
      <c r="F80" s="80">
        <f t="shared" si="9"/>
        <v>450</v>
      </c>
      <c r="G80" s="80">
        <f ca="1">IF(AND($C$27&lt;3,B80&gt;3),G79,SUMIF(图纸产出设计!$F$334:$F$342,"&lt;="&amp;B80,图纸产出设计!$C$334:$C$342))</f>
        <v>3890</v>
      </c>
      <c r="H80" s="80">
        <f ca="1">OFFSET(产销汇总!$C$1,MATCH(H$28,产销汇总!$C$2:$C$8,0),$C$27)*(_xlfn.XLOOKUP(C80,主线推图!$B$313:$B$612,主线推图!$G$313:$G$612)+_xlfn.XLOOKUP(C80,主线推图!$B$313:$B$612,主线推图!$H$313:$H$612))</f>
        <v>176</v>
      </c>
      <c r="I80" s="80">
        <f ca="1">OFFSET(产销汇总!$C$1,MATCH(I$28,产销汇总!$C$2:$C$8,0),$C$27)*_xlfn.XLOOKUP(C80,巡逻产出!$B$311:$B$610,巡逻产出!$H$311:$H$610)</f>
        <v>0</v>
      </c>
      <c r="J80" s="80">
        <f ca="1">OFFSET(产销汇总!$C$1,MATCH(J$28,产销汇总!$C$2:$C$8,0),$C$27)*(_xlfn.XLOOKUP(MAX(1,INT(C80/10-6/10)),组队产出!$B$24:$B$39,组队产出!$J$24:$J$39)+_xlfn.XLOOKUP(MAX(1,INT(C80/10-6/10)),组队产出!$B$24:$B$39,组队产出!$K$24:$K$39))</f>
        <v>96</v>
      </c>
      <c r="K80" s="80">
        <f ca="1">OFFSET(产销汇总!$C$1,MATCH(K$28,产销汇总!$C$2:$C$8,0),$C$27)*_xlfn.XLOOKUP(C80,巡逻产出!$B$311:$B$610,巡逻产出!$I$311:$I$610)*IF($C$27=1,0.5,1)</f>
        <v>312</v>
      </c>
      <c r="L80" s="80">
        <f ca="1">OFFSET(产销汇总!$C$1,MATCH(L$28,产销汇总!$C$2:$C$8,0),$C$27)*竞技场!$C$5</f>
        <v>180</v>
      </c>
      <c r="M80" s="80">
        <f>任务!$C$6+IF(MOD(B80,7)=0,任务!$M$25)</f>
        <v>30</v>
      </c>
      <c r="N80" s="98">
        <f t="shared" si="2"/>
        <v>1.7</v>
      </c>
      <c r="O80" s="80">
        <f t="shared" si="3"/>
        <v>0</v>
      </c>
      <c r="P80" s="172">
        <f ca="1">OFFSET(产销汇总!$C$1,MATCH(P$27,产销汇总!$C$2:$C$8,0),$C$27)/200*协力宝箱!$Q$82</f>
        <v>0</v>
      </c>
      <c r="Q80" s="80">
        <f t="shared" si="4"/>
        <v>10</v>
      </c>
      <c r="R80" s="80">
        <v>10</v>
      </c>
      <c r="S80" s="172">
        <f t="shared" si="8"/>
        <v>100</v>
      </c>
      <c r="T80" s="172">
        <f>(公会!$F$12+公会!$F$13+公会!$F$14+公会!$F$18/7)/2</f>
        <v>121.428571428571</v>
      </c>
      <c r="U80" s="172">
        <f t="shared" si="6"/>
        <v>150</v>
      </c>
      <c r="V80" s="172" t="e">
        <f ca="1">SUM($H$29:U80)+SUM(D80:G80)</f>
        <v>#N/A</v>
      </c>
      <c r="W80" s="132" t="e">
        <f ca="1" t="shared" si="7"/>
        <v>#N/A</v>
      </c>
    </row>
    <row r="81" spans="1:23">
      <c r="A81" s="171"/>
      <c r="B81" s="80">
        <v>53</v>
      </c>
      <c r="C81" s="80">
        <f ca="1">OFFSET(产销汇总!$C$12,$B81,$C$27)</f>
        <v>126</v>
      </c>
      <c r="D81" s="80">
        <f ca="1">SUMIF(主线宝箱!$B$321:$B$620,"&lt;="&amp;C81,主线宝箱!$H$321:$H$620)+SUMIF(主线宝箱!$B$321:$B$620,"&lt;="&amp;C81,主线宝箱!$T$321:$T$620)</f>
        <v>5040</v>
      </c>
      <c r="E81" s="80">
        <v>110</v>
      </c>
      <c r="F81" s="80">
        <f t="shared" si="9"/>
        <v>450</v>
      </c>
      <c r="G81" s="80">
        <f ca="1">IF(AND($C$27&lt;3,B81&gt;3),G80,SUMIF(图纸产出设计!$F$334:$F$342,"&lt;="&amp;B81,图纸产出设计!$C$334:$C$342))</f>
        <v>3890</v>
      </c>
      <c r="H81" s="80">
        <f ca="1">OFFSET(产销汇总!$C$1,MATCH(H$28,产销汇总!$C$2:$C$8,0),$C$27)*(_xlfn.XLOOKUP(C81,主线推图!$B$313:$B$612,主线推图!$G$313:$G$612)+_xlfn.XLOOKUP(C81,主线推图!$B$313:$B$612,主线推图!$H$313:$H$612))</f>
        <v>176</v>
      </c>
      <c r="I81" s="80">
        <f ca="1">OFFSET(产销汇总!$C$1,MATCH(I$28,产销汇总!$C$2:$C$8,0),$C$27)*_xlfn.XLOOKUP(C81,巡逻产出!$B$311:$B$610,巡逻产出!$H$311:$H$610)</f>
        <v>0</v>
      </c>
      <c r="J81" s="80">
        <f ca="1">OFFSET(产销汇总!$C$1,MATCH(J$28,产销汇总!$C$2:$C$8,0),$C$27)*(_xlfn.XLOOKUP(MAX(1,INT(C81/10-6/10)),组队产出!$B$24:$B$39,组队产出!$J$24:$J$39)+_xlfn.XLOOKUP(MAX(1,INT(C81/10-6/10)),组队产出!$B$24:$B$39,组队产出!$K$24:$K$39))</f>
        <v>96</v>
      </c>
      <c r="K81" s="80">
        <f ca="1">OFFSET(产销汇总!$C$1,MATCH(K$28,产销汇总!$C$2:$C$8,0),$C$27)*_xlfn.XLOOKUP(C81,巡逻产出!$B$311:$B$610,巡逻产出!$I$311:$I$610)*IF($C$27=1,0.5,1)</f>
        <v>312</v>
      </c>
      <c r="L81" s="80">
        <f ca="1">OFFSET(产销汇总!$C$1,MATCH(L$28,产销汇总!$C$2:$C$8,0),$C$27)*竞技场!$C$5</f>
        <v>180</v>
      </c>
      <c r="M81" s="80">
        <f>任务!$C$6+IF(MOD(B81,7)=0,任务!$M$25)</f>
        <v>30</v>
      </c>
      <c r="N81" s="98">
        <f t="shared" si="2"/>
        <v>1.7</v>
      </c>
      <c r="O81" s="80">
        <f t="shared" si="3"/>
        <v>0</v>
      </c>
      <c r="P81" s="172">
        <f ca="1">OFFSET(产销汇总!$C$1,MATCH(P$27,产销汇总!$C$2:$C$8,0),$C$27)/200*协力宝箱!$Q$82</f>
        <v>0</v>
      </c>
      <c r="Q81" s="80">
        <f t="shared" si="4"/>
        <v>10</v>
      </c>
      <c r="R81" s="80">
        <v>10</v>
      </c>
      <c r="S81" s="172">
        <f t="shared" si="8"/>
        <v>100</v>
      </c>
      <c r="T81" s="172">
        <f>(公会!$F$12+公会!$F$13+公会!$F$14+公会!$F$18/7)/2</f>
        <v>121.428571428571</v>
      </c>
      <c r="U81" s="172">
        <f t="shared" si="6"/>
        <v>150</v>
      </c>
      <c r="V81" s="172" t="e">
        <f ca="1">SUM($H$29:U81)+SUM(D81:G81)</f>
        <v>#N/A</v>
      </c>
      <c r="W81" s="132" t="e">
        <f ca="1" t="shared" si="7"/>
        <v>#N/A</v>
      </c>
    </row>
    <row r="82" spans="1:23">
      <c r="A82" s="171"/>
      <c r="B82" s="80">
        <v>54</v>
      </c>
      <c r="C82" s="80">
        <f ca="1">OFFSET(产销汇总!$C$12,$B82,$C$27)</f>
        <v>127</v>
      </c>
      <c r="D82" s="80">
        <f ca="1">SUMIF(主线宝箱!$B$321:$B$620,"&lt;="&amp;C82,主线宝箱!$H$321:$H$620)+SUMIF(主线宝箱!$B$321:$B$620,"&lt;="&amp;C82,主线宝箱!$T$321:$T$620)</f>
        <v>5080</v>
      </c>
      <c r="E82" s="80">
        <v>110</v>
      </c>
      <c r="F82" s="80">
        <f t="shared" si="9"/>
        <v>450</v>
      </c>
      <c r="G82" s="80">
        <f ca="1">IF(AND($C$27&lt;3,B82&gt;3),G81,SUMIF(图纸产出设计!$F$334:$F$342,"&lt;="&amp;B82,图纸产出设计!$C$334:$C$342))</f>
        <v>3890</v>
      </c>
      <c r="H82" s="80">
        <f ca="1">OFFSET(产销汇总!$C$1,MATCH(H$28,产销汇总!$C$2:$C$8,0),$C$27)*(_xlfn.XLOOKUP(C82,主线推图!$B$313:$B$612,主线推图!$G$313:$G$612)+_xlfn.XLOOKUP(C82,主线推图!$B$313:$B$612,主线推图!$H$313:$H$612))</f>
        <v>176</v>
      </c>
      <c r="I82" s="80">
        <f ca="1">OFFSET(产销汇总!$C$1,MATCH(I$28,产销汇总!$C$2:$C$8,0),$C$27)*_xlfn.XLOOKUP(C82,巡逻产出!$B$311:$B$610,巡逻产出!$H$311:$H$610)</f>
        <v>0</v>
      </c>
      <c r="J82" s="80">
        <f ca="1">OFFSET(产销汇总!$C$1,MATCH(J$28,产销汇总!$C$2:$C$8,0),$C$27)*(_xlfn.XLOOKUP(MAX(1,INT(C82/10-6/10)),组队产出!$B$24:$B$39,组队产出!$J$24:$J$39)+_xlfn.XLOOKUP(MAX(1,INT(C82/10-6/10)),组队产出!$B$24:$B$39,组队产出!$K$24:$K$39))</f>
        <v>96</v>
      </c>
      <c r="K82" s="80">
        <f ca="1">OFFSET(产销汇总!$C$1,MATCH(K$28,产销汇总!$C$2:$C$8,0),$C$27)*_xlfn.XLOOKUP(C82,巡逻产出!$B$311:$B$610,巡逻产出!$I$311:$I$610)*IF($C$27=1,0.5,1)</f>
        <v>312</v>
      </c>
      <c r="L82" s="80">
        <f ca="1">OFFSET(产销汇总!$C$1,MATCH(L$28,产销汇总!$C$2:$C$8,0),$C$27)*竞技场!$C$5</f>
        <v>180</v>
      </c>
      <c r="M82" s="80">
        <f>任务!$C$6+IF(MOD(B82,7)=0,任务!$M$25)</f>
        <v>30</v>
      </c>
      <c r="N82" s="98">
        <f t="shared" si="2"/>
        <v>1.7</v>
      </c>
      <c r="O82" s="80">
        <f t="shared" si="3"/>
        <v>10</v>
      </c>
      <c r="P82" s="172">
        <f ca="1">OFFSET(产销汇总!$C$1,MATCH(P$27,产销汇总!$C$2:$C$8,0),$C$27)/200*协力宝箱!$Q$82</f>
        <v>0</v>
      </c>
      <c r="Q82" s="80">
        <f t="shared" si="4"/>
        <v>10</v>
      </c>
      <c r="R82" s="80">
        <v>10</v>
      </c>
      <c r="S82" s="172">
        <f t="shared" si="8"/>
        <v>100</v>
      </c>
      <c r="T82" s="172">
        <f>(公会!$F$12+公会!$F$13+公会!$F$14+公会!$F$18/7)/2</f>
        <v>121.428571428571</v>
      </c>
      <c r="U82" s="172">
        <f t="shared" si="6"/>
        <v>150</v>
      </c>
      <c r="V82" s="172" t="e">
        <f ca="1">SUM($H$29:U82)+SUM(D82:G82)</f>
        <v>#N/A</v>
      </c>
      <c r="W82" s="132" t="e">
        <f ca="1" t="shared" si="7"/>
        <v>#N/A</v>
      </c>
    </row>
    <row r="83" spans="1:23">
      <c r="A83" s="171"/>
      <c r="B83" s="80">
        <v>55</v>
      </c>
      <c r="C83" s="80">
        <f ca="1">OFFSET(产销汇总!$C$12,$B83,$C$27)</f>
        <v>128</v>
      </c>
      <c r="D83" s="80">
        <f ca="1">SUMIF(主线宝箱!$B$321:$B$620,"&lt;="&amp;C83,主线宝箱!$H$321:$H$620)+SUMIF(主线宝箱!$B$321:$B$620,"&lt;="&amp;C83,主线宝箱!$T$321:$T$620)</f>
        <v>5120</v>
      </c>
      <c r="E83" s="80">
        <v>110</v>
      </c>
      <c r="F83" s="80">
        <f t="shared" si="9"/>
        <v>450</v>
      </c>
      <c r="G83" s="80">
        <f ca="1">IF(AND($C$27&lt;3,B83&gt;3),G82,SUMIF(图纸产出设计!$F$334:$F$342,"&lt;="&amp;B83,图纸产出设计!$C$334:$C$342))</f>
        <v>3890</v>
      </c>
      <c r="H83" s="80">
        <f ca="1">OFFSET(产销汇总!$C$1,MATCH(H$28,产销汇总!$C$2:$C$8,0),$C$27)*(_xlfn.XLOOKUP(C83,主线推图!$B$313:$B$612,主线推图!$G$313:$G$612)+_xlfn.XLOOKUP(C83,主线推图!$B$313:$B$612,主线推图!$H$313:$H$612))</f>
        <v>176</v>
      </c>
      <c r="I83" s="80">
        <f ca="1">OFFSET(产销汇总!$C$1,MATCH(I$28,产销汇总!$C$2:$C$8,0),$C$27)*_xlfn.XLOOKUP(C83,巡逻产出!$B$311:$B$610,巡逻产出!$H$311:$H$610)</f>
        <v>0</v>
      </c>
      <c r="J83" s="80">
        <f ca="1">OFFSET(产销汇总!$C$1,MATCH(J$28,产销汇总!$C$2:$C$8,0),$C$27)*(_xlfn.XLOOKUP(MAX(1,INT(C83/10-6/10)),组队产出!$B$24:$B$39,组队产出!$J$24:$J$39)+_xlfn.XLOOKUP(MAX(1,INT(C83/10-6/10)),组队产出!$B$24:$B$39,组队产出!$K$24:$K$39))</f>
        <v>96</v>
      </c>
      <c r="K83" s="80">
        <f ca="1">OFFSET(产销汇总!$C$1,MATCH(K$28,产销汇总!$C$2:$C$8,0),$C$27)*_xlfn.XLOOKUP(C83,巡逻产出!$B$311:$B$610,巡逻产出!$I$311:$I$610)*IF($C$27=1,0.5,1)</f>
        <v>312</v>
      </c>
      <c r="L83" s="80">
        <f ca="1">OFFSET(产销汇总!$C$1,MATCH(L$28,产销汇总!$C$2:$C$8,0),$C$27)*竞技场!$C$5</f>
        <v>180</v>
      </c>
      <c r="M83" s="80">
        <f>任务!$C$6+IF(MOD(B83,7)=0,任务!$M$25)</f>
        <v>30</v>
      </c>
      <c r="N83" s="98">
        <f t="shared" si="2"/>
        <v>1.7</v>
      </c>
      <c r="O83" s="80">
        <f t="shared" si="3"/>
        <v>0</v>
      </c>
      <c r="P83" s="172">
        <f ca="1">OFFSET(产销汇总!$C$1,MATCH(P$27,产销汇总!$C$2:$C$8,0),$C$27)/200*协力宝箱!$Q$82</f>
        <v>0</v>
      </c>
      <c r="Q83" s="80">
        <f t="shared" si="4"/>
        <v>10</v>
      </c>
      <c r="R83" s="80">
        <v>10</v>
      </c>
      <c r="S83" s="172">
        <f t="shared" si="8"/>
        <v>100</v>
      </c>
      <c r="T83" s="172">
        <f>(公会!$F$12+公会!$F$13+公会!$F$14+公会!$F$18/7)/2</f>
        <v>121.428571428571</v>
      </c>
      <c r="U83" s="172">
        <f t="shared" si="6"/>
        <v>150</v>
      </c>
      <c r="V83" s="172" t="e">
        <f ca="1">SUM($H$29:U83)+SUM(D83:G83)</f>
        <v>#N/A</v>
      </c>
      <c r="W83" s="132" t="e">
        <f ca="1" t="shared" si="7"/>
        <v>#N/A</v>
      </c>
    </row>
    <row r="84" spans="1:23">
      <c r="A84" s="171"/>
      <c r="B84" s="80">
        <v>56</v>
      </c>
      <c r="C84" s="80">
        <f ca="1">OFFSET(产销汇总!$C$12,$B84,$C$27)</f>
        <v>129</v>
      </c>
      <c r="D84" s="80">
        <f ca="1">SUMIF(主线宝箱!$B$321:$B$620,"&lt;="&amp;C84,主线宝箱!$H$321:$H$620)+SUMIF(主线宝箱!$B$321:$B$620,"&lt;="&amp;C84,主线宝箱!$T$321:$T$620)</f>
        <v>5160</v>
      </c>
      <c r="E84" s="80">
        <v>110</v>
      </c>
      <c r="F84" s="80">
        <f t="shared" si="9"/>
        <v>450</v>
      </c>
      <c r="G84" s="80">
        <f ca="1">IF(AND($C$27&lt;3,B84&gt;3),G83,SUMIF(图纸产出设计!$F$334:$F$342,"&lt;="&amp;B84,图纸产出设计!$C$334:$C$342))</f>
        <v>3890</v>
      </c>
      <c r="H84" s="80">
        <f ca="1">OFFSET(产销汇总!$C$1,MATCH(H$28,产销汇总!$C$2:$C$8,0),$C$27)*(_xlfn.XLOOKUP(C84,主线推图!$B$313:$B$612,主线推图!$G$313:$G$612)+_xlfn.XLOOKUP(C84,主线推图!$B$313:$B$612,主线推图!$H$313:$H$612))</f>
        <v>176</v>
      </c>
      <c r="I84" s="80">
        <f ca="1">OFFSET(产销汇总!$C$1,MATCH(I$28,产销汇总!$C$2:$C$8,0),$C$27)*_xlfn.XLOOKUP(C84,巡逻产出!$B$311:$B$610,巡逻产出!$H$311:$H$610)</f>
        <v>0</v>
      </c>
      <c r="J84" s="80">
        <f ca="1">OFFSET(产销汇总!$C$1,MATCH(J$28,产销汇总!$C$2:$C$8,0),$C$27)*(_xlfn.XLOOKUP(MAX(1,INT(C84/10-6/10)),组队产出!$B$24:$B$39,组队产出!$J$24:$J$39)+_xlfn.XLOOKUP(MAX(1,INT(C84/10-6/10)),组队产出!$B$24:$B$39,组队产出!$K$24:$K$39))</f>
        <v>96</v>
      </c>
      <c r="K84" s="80">
        <f ca="1">OFFSET(产销汇总!$C$1,MATCH(K$28,产销汇总!$C$2:$C$8,0),$C$27)*_xlfn.XLOOKUP(C84,巡逻产出!$B$311:$B$610,巡逻产出!$I$311:$I$610)*IF($C$27=1,0.5,1)</f>
        <v>312</v>
      </c>
      <c r="L84" s="80">
        <f ca="1">OFFSET(产销汇总!$C$1,MATCH(L$28,产销汇总!$C$2:$C$8,0),$C$27)*竞技场!$C$5</f>
        <v>180</v>
      </c>
      <c r="M84" s="80">
        <f>任务!$C$6+IF(MOD(B84,7)=0,任务!$M$25)</f>
        <v>60</v>
      </c>
      <c r="N84" s="98">
        <f t="shared" si="2"/>
        <v>1.7</v>
      </c>
      <c r="O84" s="80">
        <f t="shared" si="3"/>
        <v>0</v>
      </c>
      <c r="P84" s="172">
        <f ca="1">OFFSET(产销汇总!$C$1,MATCH(P$27,产销汇总!$C$2:$C$8,0),$C$27)/200*协力宝箱!$Q$82</f>
        <v>0</v>
      </c>
      <c r="Q84" s="80">
        <f t="shared" si="4"/>
        <v>10</v>
      </c>
      <c r="R84" s="80">
        <v>10</v>
      </c>
      <c r="S84" s="172">
        <f t="shared" si="8"/>
        <v>100</v>
      </c>
      <c r="T84" s="172">
        <f>(公会!$F$12+公会!$F$13+公会!$F$14+公会!$F$18/7)/2</f>
        <v>121.428571428571</v>
      </c>
      <c r="U84" s="172">
        <f t="shared" si="6"/>
        <v>150</v>
      </c>
      <c r="V84" s="172" t="e">
        <f ca="1">SUM($H$29:U84)+SUM(D84:G84)</f>
        <v>#N/A</v>
      </c>
      <c r="W84" s="132" t="e">
        <f ca="1" t="shared" si="7"/>
        <v>#N/A</v>
      </c>
    </row>
    <row r="85" spans="1:23">
      <c r="A85" s="171"/>
      <c r="B85" s="80">
        <v>57</v>
      </c>
      <c r="C85" s="80">
        <f ca="1">OFFSET(产销汇总!$C$12,$B85,$C$27)</f>
        <v>130</v>
      </c>
      <c r="D85" s="80">
        <f ca="1">SUMIF(主线宝箱!$B$321:$B$620,"&lt;="&amp;C85,主线宝箱!$H$321:$H$620)+SUMIF(主线宝箱!$B$321:$B$620,"&lt;="&amp;C85,主线宝箱!$T$321:$T$620)</f>
        <v>5200</v>
      </c>
      <c r="E85" s="80">
        <v>110</v>
      </c>
      <c r="F85" s="80">
        <f t="shared" si="9"/>
        <v>450</v>
      </c>
      <c r="G85" s="80">
        <f ca="1">IF(AND($C$27&lt;3,B85&gt;3),G84,SUMIF(图纸产出设计!$F$334:$F$342,"&lt;="&amp;B85,图纸产出设计!$C$334:$C$342))</f>
        <v>3890</v>
      </c>
      <c r="H85" s="80">
        <f ca="1">OFFSET(产销汇总!$C$1,MATCH(H$28,产销汇总!$C$2:$C$8,0),$C$27)*(_xlfn.XLOOKUP(C85,主线推图!$B$313:$B$612,主线推图!$G$313:$G$612)+_xlfn.XLOOKUP(C85,主线推图!$B$313:$B$612,主线推图!$H$313:$H$612))</f>
        <v>176</v>
      </c>
      <c r="I85" s="80">
        <f ca="1">OFFSET(产销汇总!$C$1,MATCH(I$28,产销汇总!$C$2:$C$8,0),$C$27)*_xlfn.XLOOKUP(C85,巡逻产出!$B$311:$B$610,巡逻产出!$H$311:$H$610)</f>
        <v>0</v>
      </c>
      <c r="J85" s="80">
        <f ca="1">OFFSET(产销汇总!$C$1,MATCH(J$28,产销汇总!$C$2:$C$8,0),$C$27)*(_xlfn.XLOOKUP(MAX(1,INT(C85/10-6/10)),组队产出!$B$24:$B$39,组队产出!$J$24:$J$39)+_xlfn.XLOOKUP(MAX(1,INT(C85/10-6/10)),组队产出!$B$24:$B$39,组队产出!$K$24:$K$39))</f>
        <v>96</v>
      </c>
      <c r="K85" s="80">
        <f ca="1">OFFSET(产销汇总!$C$1,MATCH(K$28,产销汇总!$C$2:$C$8,0),$C$27)*_xlfn.XLOOKUP(C85,巡逻产出!$B$311:$B$610,巡逻产出!$I$311:$I$610)*IF($C$27=1,0.5,1)</f>
        <v>312</v>
      </c>
      <c r="L85" s="80">
        <f ca="1">OFFSET(产销汇总!$C$1,MATCH(L$28,产销汇总!$C$2:$C$8,0),$C$27)*竞技场!$C$5</f>
        <v>180</v>
      </c>
      <c r="M85" s="80">
        <f>任务!$C$6+IF(MOD(B85,7)=0,任务!$M$25)</f>
        <v>30</v>
      </c>
      <c r="N85" s="98">
        <f t="shared" si="2"/>
        <v>1.7</v>
      </c>
      <c r="O85" s="80">
        <f t="shared" si="3"/>
        <v>0</v>
      </c>
      <c r="P85" s="172">
        <f ca="1">OFFSET(产销汇总!$C$1,MATCH(P$27,产销汇总!$C$2:$C$8,0),$C$27)/200*协力宝箱!$Q$82</f>
        <v>0</v>
      </c>
      <c r="Q85" s="80">
        <f t="shared" si="4"/>
        <v>10</v>
      </c>
      <c r="R85" s="80">
        <v>10</v>
      </c>
      <c r="S85" s="172">
        <f t="shared" si="8"/>
        <v>100</v>
      </c>
      <c r="T85" s="172">
        <f>(公会!$F$12+公会!$F$13+公会!$F$14+公会!$F$18/7)/2</f>
        <v>121.428571428571</v>
      </c>
      <c r="U85" s="172">
        <f t="shared" si="6"/>
        <v>150</v>
      </c>
      <c r="V85" s="172" t="e">
        <f ca="1">SUM($H$29:U85)+SUM(D85:G85)</f>
        <v>#N/A</v>
      </c>
      <c r="W85" s="132" t="e">
        <f ca="1" t="shared" si="7"/>
        <v>#N/A</v>
      </c>
    </row>
    <row r="86" spans="1:23">
      <c r="A86" s="171"/>
      <c r="B86" s="80">
        <v>58</v>
      </c>
      <c r="C86" s="80">
        <f ca="1">OFFSET(产销汇总!$C$12,$B86,$C$27)</f>
        <v>131</v>
      </c>
      <c r="D86" s="80">
        <f ca="1">SUMIF(主线宝箱!$B$321:$B$620,"&lt;="&amp;C86,主线宝箱!$H$321:$H$620)+SUMIF(主线宝箱!$B$321:$B$620,"&lt;="&amp;C86,主线宝箱!$T$321:$T$620)</f>
        <v>5240</v>
      </c>
      <c r="E86" s="80">
        <v>110</v>
      </c>
      <c r="F86" s="80">
        <f t="shared" si="9"/>
        <v>450</v>
      </c>
      <c r="G86" s="80">
        <f ca="1">IF(AND($C$27&lt;3,B86&gt;3),G85,SUMIF(图纸产出设计!$F$334:$F$342,"&lt;="&amp;B86,图纸产出设计!$C$334:$C$342))</f>
        <v>3890</v>
      </c>
      <c r="H86" s="80">
        <f ca="1">OFFSET(产销汇总!$C$1,MATCH(H$28,产销汇总!$C$2:$C$8,0),$C$27)*(_xlfn.XLOOKUP(C86,主线推图!$B$313:$B$612,主线推图!$G$313:$G$612)+_xlfn.XLOOKUP(C86,主线推图!$B$313:$B$612,主线推图!$H$313:$H$612))</f>
        <v>176</v>
      </c>
      <c r="I86" s="80">
        <f ca="1">OFFSET(产销汇总!$C$1,MATCH(I$28,产销汇总!$C$2:$C$8,0),$C$27)*_xlfn.XLOOKUP(C86,巡逻产出!$B$311:$B$610,巡逻产出!$H$311:$H$610)</f>
        <v>0</v>
      </c>
      <c r="J86" s="80">
        <f ca="1">OFFSET(产销汇总!$C$1,MATCH(J$28,产销汇总!$C$2:$C$8,0),$C$27)*(_xlfn.XLOOKUP(MAX(1,INT(C86/10-6/10)),组队产出!$B$24:$B$39,组队产出!$J$24:$J$39)+_xlfn.XLOOKUP(MAX(1,INT(C86/10-6/10)),组队产出!$B$24:$B$39,组队产出!$K$24:$K$39))</f>
        <v>96</v>
      </c>
      <c r="K86" s="80">
        <f ca="1">OFFSET(产销汇总!$C$1,MATCH(K$28,产销汇总!$C$2:$C$8,0),$C$27)*_xlfn.XLOOKUP(C86,巡逻产出!$B$311:$B$610,巡逻产出!$I$311:$I$610)*IF($C$27=1,0.5,1)</f>
        <v>312</v>
      </c>
      <c r="L86" s="80">
        <f ca="1">OFFSET(产销汇总!$C$1,MATCH(L$28,产销汇总!$C$2:$C$8,0),$C$27)*竞技场!$C$5</f>
        <v>180</v>
      </c>
      <c r="M86" s="80">
        <f>任务!$C$6+IF(MOD(B86,7)=0,任务!$M$25)</f>
        <v>30</v>
      </c>
      <c r="N86" s="98">
        <f t="shared" si="2"/>
        <v>1.7</v>
      </c>
      <c r="O86" s="80">
        <f t="shared" si="3"/>
        <v>10</v>
      </c>
      <c r="P86" s="172">
        <f ca="1">OFFSET(产销汇总!$C$1,MATCH(P$27,产销汇总!$C$2:$C$8,0),$C$27)/200*协力宝箱!$Q$82</f>
        <v>0</v>
      </c>
      <c r="Q86" s="80">
        <f t="shared" si="4"/>
        <v>10</v>
      </c>
      <c r="R86" s="80">
        <v>10</v>
      </c>
      <c r="S86" s="172">
        <f t="shared" si="8"/>
        <v>100</v>
      </c>
      <c r="T86" s="172">
        <f>(公会!$F$12+公会!$F$13+公会!$F$14+公会!$F$18/7)/2</f>
        <v>121.428571428571</v>
      </c>
      <c r="U86" s="172">
        <f t="shared" si="6"/>
        <v>150</v>
      </c>
      <c r="V86" s="172" t="e">
        <f ca="1">SUM($H$29:U86)+SUM(D86:G86)</f>
        <v>#N/A</v>
      </c>
      <c r="W86" s="132" t="e">
        <f ca="1" t="shared" si="7"/>
        <v>#N/A</v>
      </c>
    </row>
    <row r="87" spans="1:23">
      <c r="A87" s="171"/>
      <c r="B87" s="80">
        <v>59</v>
      </c>
      <c r="C87" s="80">
        <f ca="1">OFFSET(产销汇总!$C$12,$B87,$C$27)</f>
        <v>132</v>
      </c>
      <c r="D87" s="80">
        <f ca="1">SUMIF(主线宝箱!$B$321:$B$620,"&lt;="&amp;C87,主线宝箱!$H$321:$H$620)+SUMIF(主线宝箱!$B$321:$B$620,"&lt;="&amp;C87,主线宝箱!$T$321:$T$620)</f>
        <v>5280</v>
      </c>
      <c r="E87" s="80">
        <v>110</v>
      </c>
      <c r="F87" s="80">
        <f t="shared" si="9"/>
        <v>450</v>
      </c>
      <c r="G87" s="80">
        <f ca="1">IF(AND($C$27&lt;3,B87&gt;3),G86,SUMIF(图纸产出设计!$F$334:$F$342,"&lt;="&amp;B87,图纸产出设计!$C$334:$C$342))</f>
        <v>3890</v>
      </c>
      <c r="H87" s="80">
        <f ca="1">OFFSET(产销汇总!$C$1,MATCH(H$28,产销汇总!$C$2:$C$8,0),$C$27)*(_xlfn.XLOOKUP(C87,主线推图!$B$313:$B$612,主线推图!$G$313:$G$612)+_xlfn.XLOOKUP(C87,主线推图!$B$313:$B$612,主线推图!$H$313:$H$612))</f>
        <v>176</v>
      </c>
      <c r="I87" s="80">
        <f ca="1">OFFSET(产销汇总!$C$1,MATCH(I$28,产销汇总!$C$2:$C$8,0),$C$27)*_xlfn.XLOOKUP(C87,巡逻产出!$B$311:$B$610,巡逻产出!$H$311:$H$610)</f>
        <v>0</v>
      </c>
      <c r="J87" s="80">
        <f ca="1">OFFSET(产销汇总!$C$1,MATCH(J$28,产销汇总!$C$2:$C$8,0),$C$27)*(_xlfn.XLOOKUP(MAX(1,INT(C87/10-6/10)),组队产出!$B$24:$B$39,组队产出!$J$24:$J$39)+_xlfn.XLOOKUP(MAX(1,INT(C87/10-6/10)),组队产出!$B$24:$B$39,组队产出!$K$24:$K$39))</f>
        <v>96</v>
      </c>
      <c r="K87" s="80">
        <f ca="1">OFFSET(产销汇总!$C$1,MATCH(K$28,产销汇总!$C$2:$C$8,0),$C$27)*_xlfn.XLOOKUP(C87,巡逻产出!$B$311:$B$610,巡逻产出!$I$311:$I$610)*IF($C$27=1,0.5,1)</f>
        <v>312</v>
      </c>
      <c r="L87" s="80">
        <f ca="1">OFFSET(产销汇总!$C$1,MATCH(L$28,产销汇总!$C$2:$C$8,0),$C$27)*竞技场!$C$5</f>
        <v>180</v>
      </c>
      <c r="M87" s="80">
        <f>任务!$C$6+IF(MOD(B87,7)=0,任务!$M$25)</f>
        <v>30</v>
      </c>
      <c r="N87" s="98">
        <f t="shared" si="2"/>
        <v>1.7</v>
      </c>
      <c r="O87" s="80">
        <f t="shared" si="3"/>
        <v>0</v>
      </c>
      <c r="P87" s="172">
        <f ca="1">OFFSET(产销汇总!$C$1,MATCH(P$27,产销汇总!$C$2:$C$8,0),$C$27)/200*协力宝箱!$Q$82</f>
        <v>0</v>
      </c>
      <c r="Q87" s="80">
        <f t="shared" si="4"/>
        <v>10</v>
      </c>
      <c r="R87" s="80">
        <v>10</v>
      </c>
      <c r="S87" s="172">
        <f t="shared" si="8"/>
        <v>100</v>
      </c>
      <c r="T87" s="172">
        <f>(公会!$F$12+公会!$F$13+公会!$F$14+公会!$F$18/7)/2</f>
        <v>121.428571428571</v>
      </c>
      <c r="U87" s="172">
        <f t="shared" si="6"/>
        <v>150</v>
      </c>
      <c r="V87" s="172" t="e">
        <f ca="1">SUM($H$29:U87)+SUM(D87:G87)</f>
        <v>#N/A</v>
      </c>
      <c r="W87" s="132" t="e">
        <f ca="1" t="shared" si="7"/>
        <v>#N/A</v>
      </c>
    </row>
    <row r="88" spans="1:23">
      <c r="A88" s="171"/>
      <c r="B88" s="80">
        <v>60</v>
      </c>
      <c r="C88" s="80">
        <f ca="1">OFFSET(产销汇总!$C$12,$B88,$C$27)</f>
        <v>133</v>
      </c>
      <c r="D88" s="80">
        <f ca="1">SUMIF(主线宝箱!$B$321:$B$620,"&lt;="&amp;C88,主线宝箱!$H$321:$H$620)+SUMIF(主线宝箱!$B$321:$B$620,"&lt;="&amp;C88,主线宝箱!$T$321:$T$620)</f>
        <v>5320</v>
      </c>
      <c r="E88" s="80">
        <v>110</v>
      </c>
      <c r="F88" s="80">
        <f t="shared" si="9"/>
        <v>450</v>
      </c>
      <c r="G88" s="80">
        <f ca="1">IF(AND($C$27&lt;3,B88&gt;3),G87,SUMIF(图纸产出设计!$F$334:$F$342,"&lt;="&amp;B88,图纸产出设计!$C$334:$C$342))</f>
        <v>3890</v>
      </c>
      <c r="H88" s="80">
        <f ca="1">OFFSET(产销汇总!$C$1,MATCH(H$28,产销汇总!$C$2:$C$8,0),$C$27)*(_xlfn.XLOOKUP(C88,主线推图!$B$313:$B$612,主线推图!$G$313:$G$612)+_xlfn.XLOOKUP(C88,主线推图!$B$313:$B$612,主线推图!$H$313:$H$612))</f>
        <v>176</v>
      </c>
      <c r="I88" s="80">
        <f ca="1">OFFSET(产销汇总!$C$1,MATCH(I$28,产销汇总!$C$2:$C$8,0),$C$27)*_xlfn.XLOOKUP(C88,巡逻产出!$B$311:$B$610,巡逻产出!$H$311:$H$610)</f>
        <v>0</v>
      </c>
      <c r="J88" s="80">
        <f ca="1">OFFSET(产销汇总!$C$1,MATCH(J$28,产销汇总!$C$2:$C$8,0),$C$27)*(_xlfn.XLOOKUP(MAX(1,INT(C88/10-6/10)),组队产出!$B$24:$B$39,组队产出!$J$24:$J$39)+_xlfn.XLOOKUP(MAX(1,INT(C88/10-6/10)),组队产出!$B$24:$B$39,组队产出!$K$24:$K$39))</f>
        <v>96</v>
      </c>
      <c r="K88" s="80">
        <f ca="1">OFFSET(产销汇总!$C$1,MATCH(K$28,产销汇总!$C$2:$C$8,0),$C$27)*_xlfn.XLOOKUP(C88,巡逻产出!$B$311:$B$610,巡逻产出!$I$311:$I$610)*IF($C$27=1,0.5,1)</f>
        <v>312</v>
      </c>
      <c r="L88" s="80">
        <f ca="1">OFFSET(产销汇总!$C$1,MATCH(L$28,产销汇总!$C$2:$C$8,0),$C$27)*竞技场!$C$5</f>
        <v>180</v>
      </c>
      <c r="M88" s="80">
        <f>任务!$C$6+IF(MOD(B88,7)=0,任务!$M$25)</f>
        <v>30</v>
      </c>
      <c r="N88" s="98">
        <f t="shared" si="2"/>
        <v>1.7</v>
      </c>
      <c r="O88" s="80">
        <f t="shared" si="3"/>
        <v>0</v>
      </c>
      <c r="P88" s="172">
        <f ca="1">OFFSET(产销汇总!$C$1,MATCH(P$27,产销汇总!$C$2:$C$8,0),$C$27)/200*协力宝箱!$Q$82</f>
        <v>0</v>
      </c>
      <c r="Q88" s="80">
        <f t="shared" si="4"/>
        <v>10</v>
      </c>
      <c r="R88" s="80">
        <v>10</v>
      </c>
      <c r="S88" s="172">
        <f t="shared" si="8"/>
        <v>100</v>
      </c>
      <c r="T88" s="172">
        <f>(公会!$F$12+公会!$F$13+公会!$F$14+公会!$F$18/7)/2</f>
        <v>121.428571428571</v>
      </c>
      <c r="U88" s="172">
        <f t="shared" si="6"/>
        <v>150</v>
      </c>
      <c r="V88" s="172" t="e">
        <f ca="1">SUM($H$29:U88)+SUM(D88:G88)</f>
        <v>#N/A</v>
      </c>
      <c r="W88" s="132" t="e">
        <f ca="1" t="shared" si="7"/>
        <v>#N/A</v>
      </c>
    </row>
    <row r="89" spans="1:23">
      <c r="A89" s="171"/>
      <c r="B89" s="80">
        <v>61</v>
      </c>
      <c r="C89" s="80">
        <f ca="1">OFFSET(产销汇总!$C$12,$B89,$C$27)</f>
        <v>134</v>
      </c>
      <c r="D89" s="80">
        <f ca="1">SUMIF(主线宝箱!$B$321:$B$620,"&lt;="&amp;C89,主线宝箱!$H$321:$H$620)+SUMIF(主线宝箱!$B$321:$B$620,"&lt;="&amp;C89,主线宝箱!$T$321:$T$620)</f>
        <v>5360</v>
      </c>
      <c r="E89" s="80">
        <v>110</v>
      </c>
      <c r="F89" s="80">
        <f t="shared" si="9"/>
        <v>450</v>
      </c>
      <c r="G89" s="80">
        <f ca="1">IF(AND($C$27&lt;3,B89&gt;3),G88,SUMIF(图纸产出设计!$F$334:$F$342,"&lt;="&amp;B89,图纸产出设计!$C$334:$C$342))</f>
        <v>3890</v>
      </c>
      <c r="H89" s="80">
        <f ca="1">OFFSET(产销汇总!$C$1,MATCH(H$28,产销汇总!$C$2:$C$8,0),$C$27)*(_xlfn.XLOOKUP(C89,主线推图!$B$313:$B$612,主线推图!$G$313:$G$612)+_xlfn.XLOOKUP(C89,主线推图!$B$313:$B$612,主线推图!$H$313:$H$612))</f>
        <v>176</v>
      </c>
      <c r="I89" s="80">
        <f ca="1">OFFSET(产销汇总!$C$1,MATCH(I$28,产销汇总!$C$2:$C$8,0),$C$27)*_xlfn.XLOOKUP(C89,巡逻产出!$B$311:$B$610,巡逻产出!$H$311:$H$610)</f>
        <v>0</v>
      </c>
      <c r="J89" s="80">
        <f ca="1">OFFSET(产销汇总!$C$1,MATCH(J$28,产销汇总!$C$2:$C$8,0),$C$27)*(_xlfn.XLOOKUP(MAX(1,INT(C89/10-6/10)),组队产出!$B$24:$B$39,组队产出!$J$24:$J$39)+_xlfn.XLOOKUP(MAX(1,INT(C89/10-6/10)),组队产出!$B$24:$B$39,组队产出!$K$24:$K$39))</f>
        <v>96</v>
      </c>
      <c r="K89" s="80">
        <f ca="1">OFFSET(产销汇总!$C$1,MATCH(K$28,产销汇总!$C$2:$C$8,0),$C$27)*_xlfn.XLOOKUP(C89,巡逻产出!$B$311:$B$610,巡逻产出!$I$311:$I$610)*IF($C$27=1,0.5,1)</f>
        <v>312</v>
      </c>
      <c r="L89" s="80">
        <f ca="1">OFFSET(产销汇总!$C$1,MATCH(L$28,产销汇总!$C$2:$C$8,0),$C$27)*竞技场!$C$5</f>
        <v>180</v>
      </c>
      <c r="M89" s="80">
        <f>任务!$C$6+IF(MOD(B89,7)=0,任务!$M$25)</f>
        <v>30</v>
      </c>
      <c r="N89" s="98">
        <f t="shared" si="2"/>
        <v>1.7</v>
      </c>
      <c r="O89" s="80">
        <f t="shared" si="3"/>
        <v>10</v>
      </c>
      <c r="P89" s="172">
        <f ca="1">OFFSET(产销汇总!$C$1,MATCH(P$27,产销汇总!$C$2:$C$8,0),$C$27)/200*协力宝箱!$Q$82</f>
        <v>0</v>
      </c>
      <c r="Q89" s="80">
        <f t="shared" si="4"/>
        <v>10</v>
      </c>
      <c r="R89" s="80">
        <v>10</v>
      </c>
      <c r="S89" s="172">
        <f t="shared" si="8"/>
        <v>100</v>
      </c>
      <c r="T89" s="172">
        <f>(公会!$F$12+公会!$F$13+公会!$F$14+公会!$F$18/7)/2</f>
        <v>121.428571428571</v>
      </c>
      <c r="U89" s="172">
        <f t="shared" si="6"/>
        <v>150</v>
      </c>
      <c r="V89" s="172" t="e">
        <f ca="1">SUM($H$29:U89)+SUM(D89:G89)</f>
        <v>#N/A</v>
      </c>
      <c r="W89" s="132" t="e">
        <f ca="1" t="shared" si="7"/>
        <v>#N/A</v>
      </c>
    </row>
    <row r="90" spans="1:23">
      <c r="A90" s="171"/>
      <c r="B90" s="80">
        <v>62</v>
      </c>
      <c r="C90" s="80">
        <f ca="1">OFFSET(产销汇总!$C$12,$B90,$C$27)</f>
        <v>135</v>
      </c>
      <c r="D90" s="80">
        <f ca="1">SUMIF(主线宝箱!$B$321:$B$620,"&lt;="&amp;C90,主线宝箱!$H$321:$H$620)+SUMIF(主线宝箱!$B$321:$B$620,"&lt;="&amp;C90,主线宝箱!$T$321:$T$620)</f>
        <v>5400</v>
      </c>
      <c r="E90" s="80">
        <v>110</v>
      </c>
      <c r="F90" s="80">
        <f t="shared" si="9"/>
        <v>450</v>
      </c>
      <c r="G90" s="80">
        <f ca="1">IF(AND($C$27&lt;3,B90&gt;3),G89,SUMIF(图纸产出设计!$F$334:$F$342,"&lt;="&amp;B90,图纸产出设计!$C$334:$C$342))</f>
        <v>3890</v>
      </c>
      <c r="H90" s="80">
        <f ca="1">OFFSET(产销汇总!$C$1,MATCH(H$28,产销汇总!$C$2:$C$8,0),$C$27)*(_xlfn.XLOOKUP(C90,主线推图!$B$313:$B$612,主线推图!$G$313:$G$612)+_xlfn.XLOOKUP(C90,主线推图!$B$313:$B$612,主线推图!$H$313:$H$612))</f>
        <v>176</v>
      </c>
      <c r="I90" s="80">
        <f ca="1">OFFSET(产销汇总!$C$1,MATCH(I$28,产销汇总!$C$2:$C$8,0),$C$27)*_xlfn.XLOOKUP(C90,巡逻产出!$B$311:$B$610,巡逻产出!$H$311:$H$610)</f>
        <v>0</v>
      </c>
      <c r="J90" s="80">
        <f ca="1">OFFSET(产销汇总!$C$1,MATCH(J$28,产销汇总!$C$2:$C$8,0),$C$27)*(_xlfn.XLOOKUP(MAX(1,INT(C90/10-6/10)),组队产出!$B$24:$B$39,组队产出!$J$24:$J$39)+_xlfn.XLOOKUP(MAX(1,INT(C90/10-6/10)),组队产出!$B$24:$B$39,组队产出!$K$24:$K$39))</f>
        <v>96</v>
      </c>
      <c r="K90" s="80">
        <f ca="1">OFFSET(产销汇总!$C$1,MATCH(K$28,产销汇总!$C$2:$C$8,0),$C$27)*_xlfn.XLOOKUP(C90,巡逻产出!$B$311:$B$610,巡逻产出!$I$311:$I$610)*IF($C$27=1,0.5,1)</f>
        <v>312</v>
      </c>
      <c r="L90" s="80">
        <f ca="1">OFFSET(产销汇总!$C$1,MATCH(L$28,产销汇总!$C$2:$C$8,0),$C$27)*竞技场!$C$5</f>
        <v>180</v>
      </c>
      <c r="M90" s="80">
        <f>任务!$C$6+IF(MOD(B90,7)=0,任务!$M$25)</f>
        <v>30</v>
      </c>
      <c r="N90" s="98">
        <f t="shared" si="2"/>
        <v>1.7</v>
      </c>
      <c r="O90" s="80">
        <f t="shared" si="3"/>
        <v>0</v>
      </c>
      <c r="P90" s="172">
        <f ca="1">OFFSET(产销汇总!$C$1,MATCH(P$27,产销汇总!$C$2:$C$8,0),$C$27)/200*协力宝箱!$Q$82</f>
        <v>0</v>
      </c>
      <c r="Q90" s="80">
        <f t="shared" si="4"/>
        <v>10</v>
      </c>
      <c r="R90" s="80">
        <v>10</v>
      </c>
      <c r="S90" s="172">
        <f t="shared" si="8"/>
        <v>100</v>
      </c>
      <c r="T90" s="172">
        <f>(公会!$F$12+公会!$F$13+公会!$F$14+公会!$F$18/7)/2</f>
        <v>121.428571428571</v>
      </c>
      <c r="U90" s="172">
        <f t="shared" si="6"/>
        <v>150</v>
      </c>
      <c r="V90" s="172" t="e">
        <f ca="1">SUM($H$29:U90)+SUM(D90:G90)</f>
        <v>#N/A</v>
      </c>
      <c r="W90" s="132" t="e">
        <f ca="1" t="shared" si="7"/>
        <v>#N/A</v>
      </c>
    </row>
    <row r="91" spans="1:23">
      <c r="A91" s="171"/>
      <c r="B91" s="80">
        <v>63</v>
      </c>
      <c r="C91" s="80">
        <f ca="1">OFFSET(产销汇总!$C$12,$B91,$C$27)</f>
        <v>136</v>
      </c>
      <c r="D91" s="80">
        <f ca="1">SUMIF(主线宝箱!$B$321:$B$620,"&lt;="&amp;C91,主线宝箱!$H$321:$H$620)+SUMIF(主线宝箱!$B$321:$B$620,"&lt;="&amp;C91,主线宝箱!$T$321:$T$620)</f>
        <v>5440</v>
      </c>
      <c r="E91" s="80">
        <v>110</v>
      </c>
      <c r="F91" s="80">
        <f t="shared" si="9"/>
        <v>450</v>
      </c>
      <c r="G91" s="80">
        <f ca="1">IF(AND($C$27&lt;3,B91&gt;3),G90,SUMIF(图纸产出设计!$F$334:$F$342,"&lt;="&amp;B91,图纸产出设计!$C$334:$C$342))</f>
        <v>3890</v>
      </c>
      <c r="H91" s="80">
        <f ca="1">OFFSET(产销汇总!$C$1,MATCH(H$28,产销汇总!$C$2:$C$8,0),$C$27)*(_xlfn.XLOOKUP(C91,主线推图!$B$313:$B$612,主线推图!$G$313:$G$612)+_xlfn.XLOOKUP(C91,主线推图!$B$313:$B$612,主线推图!$H$313:$H$612))</f>
        <v>176</v>
      </c>
      <c r="I91" s="80">
        <f ca="1">OFFSET(产销汇总!$C$1,MATCH(I$28,产销汇总!$C$2:$C$8,0),$C$27)*_xlfn.XLOOKUP(C91,巡逻产出!$B$311:$B$610,巡逻产出!$H$311:$H$610)</f>
        <v>0</v>
      </c>
      <c r="J91" s="80">
        <f ca="1">OFFSET(产销汇总!$C$1,MATCH(J$28,产销汇总!$C$2:$C$8,0),$C$27)*(_xlfn.XLOOKUP(MAX(1,INT(C91/10-6/10)),组队产出!$B$24:$B$39,组队产出!$J$24:$J$39)+_xlfn.XLOOKUP(MAX(1,INT(C91/10-6/10)),组队产出!$B$24:$B$39,组队产出!$K$24:$K$39))</f>
        <v>96</v>
      </c>
      <c r="K91" s="80">
        <f ca="1">OFFSET(产销汇总!$C$1,MATCH(K$28,产销汇总!$C$2:$C$8,0),$C$27)*_xlfn.XLOOKUP(C91,巡逻产出!$B$311:$B$610,巡逻产出!$I$311:$I$610)*IF($C$27=1,0.5,1)</f>
        <v>312</v>
      </c>
      <c r="L91" s="80">
        <f ca="1">OFFSET(产销汇总!$C$1,MATCH(L$28,产销汇总!$C$2:$C$8,0),$C$27)*竞技场!$C$5</f>
        <v>180</v>
      </c>
      <c r="M91" s="80">
        <f>任务!$C$6+IF(MOD(B91,7)=0,任务!$M$25)</f>
        <v>60</v>
      </c>
      <c r="N91" s="98">
        <f t="shared" si="2"/>
        <v>1.7</v>
      </c>
      <c r="O91" s="80">
        <f t="shared" si="3"/>
        <v>0</v>
      </c>
      <c r="P91" s="172">
        <f ca="1">OFFSET(产销汇总!$C$1,MATCH(P$27,产销汇总!$C$2:$C$8,0),$C$27)/200*协力宝箱!$Q$82</f>
        <v>0</v>
      </c>
      <c r="Q91" s="80">
        <f t="shared" si="4"/>
        <v>10</v>
      </c>
      <c r="R91" s="80">
        <v>10</v>
      </c>
      <c r="S91" s="172">
        <f t="shared" si="8"/>
        <v>100</v>
      </c>
      <c r="T91" s="172">
        <f>(公会!$F$12+公会!$F$13+公会!$F$14+公会!$F$18/7)/2</f>
        <v>121.428571428571</v>
      </c>
      <c r="U91" s="172">
        <f t="shared" si="6"/>
        <v>150</v>
      </c>
      <c r="V91" s="172" t="e">
        <f ca="1">SUM($H$29:U91)+SUM(D91:G91)</f>
        <v>#N/A</v>
      </c>
      <c r="W91" s="132" t="e">
        <f ca="1" t="shared" si="7"/>
        <v>#N/A</v>
      </c>
    </row>
    <row r="92" spans="1:23">
      <c r="A92" s="171"/>
      <c r="B92" s="80">
        <v>64</v>
      </c>
      <c r="C92" s="80">
        <f ca="1">OFFSET(产销汇总!$C$12,$B92,$C$27)</f>
        <v>137</v>
      </c>
      <c r="D92" s="80">
        <f ca="1">SUMIF(主线宝箱!$B$321:$B$620,"&lt;="&amp;C92,主线宝箱!$H$321:$H$620)+SUMIF(主线宝箱!$B$321:$B$620,"&lt;="&amp;C92,主线宝箱!$T$321:$T$620)</f>
        <v>5480</v>
      </c>
      <c r="E92" s="80">
        <v>110</v>
      </c>
      <c r="F92" s="80">
        <f t="shared" si="9"/>
        <v>450</v>
      </c>
      <c r="G92" s="80">
        <f ca="1">IF(AND($C$27&lt;3,B92&gt;3),G91,SUMIF(图纸产出设计!$F$334:$F$342,"&lt;="&amp;B92,图纸产出设计!$C$334:$C$342))</f>
        <v>3890</v>
      </c>
      <c r="H92" s="80">
        <f ca="1">OFFSET(产销汇总!$C$1,MATCH(H$28,产销汇总!$C$2:$C$8,0),$C$27)*(_xlfn.XLOOKUP(C92,主线推图!$B$313:$B$612,主线推图!$G$313:$G$612)+_xlfn.XLOOKUP(C92,主线推图!$B$313:$B$612,主线推图!$H$313:$H$612))</f>
        <v>176</v>
      </c>
      <c r="I92" s="80">
        <f ca="1">OFFSET(产销汇总!$C$1,MATCH(I$28,产销汇总!$C$2:$C$8,0),$C$27)*_xlfn.XLOOKUP(C92,巡逻产出!$B$311:$B$610,巡逻产出!$H$311:$H$610)</f>
        <v>0</v>
      </c>
      <c r="J92" s="80">
        <f ca="1">OFFSET(产销汇总!$C$1,MATCH(J$28,产销汇总!$C$2:$C$8,0),$C$27)*(_xlfn.XLOOKUP(MAX(1,INT(C92/10-6/10)),组队产出!$B$24:$B$39,组队产出!$J$24:$J$39)+_xlfn.XLOOKUP(MAX(1,INT(C92/10-6/10)),组队产出!$B$24:$B$39,组队产出!$K$24:$K$39))</f>
        <v>96</v>
      </c>
      <c r="K92" s="80">
        <f ca="1">OFFSET(产销汇总!$C$1,MATCH(K$28,产销汇总!$C$2:$C$8,0),$C$27)*_xlfn.XLOOKUP(C92,巡逻产出!$B$311:$B$610,巡逻产出!$I$311:$I$610)*IF($C$27=1,0.5,1)</f>
        <v>312</v>
      </c>
      <c r="L92" s="80">
        <f ca="1">OFFSET(产销汇总!$C$1,MATCH(L$28,产销汇总!$C$2:$C$8,0),$C$27)*竞技场!$C$5</f>
        <v>180</v>
      </c>
      <c r="M92" s="80">
        <f>任务!$C$6+IF(MOD(B92,7)=0,任务!$M$25)</f>
        <v>30</v>
      </c>
      <c r="N92" s="98">
        <f t="shared" si="2"/>
        <v>1.7</v>
      </c>
      <c r="O92" s="80">
        <f t="shared" si="3"/>
        <v>0</v>
      </c>
      <c r="P92" s="172">
        <f ca="1">OFFSET(产销汇总!$C$1,MATCH(P$27,产销汇总!$C$2:$C$8,0),$C$27)/200*协力宝箱!$Q$82</f>
        <v>0</v>
      </c>
      <c r="Q92" s="80">
        <f t="shared" si="4"/>
        <v>10</v>
      </c>
      <c r="R92" s="80">
        <v>10</v>
      </c>
      <c r="S92" s="172">
        <f t="shared" si="8"/>
        <v>100</v>
      </c>
      <c r="T92" s="172">
        <f>(公会!$F$12+公会!$F$13+公会!$F$14+公会!$F$18/7)/2</f>
        <v>121.428571428571</v>
      </c>
      <c r="U92" s="172">
        <f t="shared" si="6"/>
        <v>150</v>
      </c>
      <c r="V92" s="172" t="e">
        <f ca="1">SUM($H$29:U92)+SUM(D92:G92)</f>
        <v>#N/A</v>
      </c>
      <c r="W92" s="132" t="e">
        <f ca="1" t="shared" si="7"/>
        <v>#N/A</v>
      </c>
    </row>
    <row r="93" spans="1:23">
      <c r="A93" s="171"/>
      <c r="B93" s="80">
        <v>65</v>
      </c>
      <c r="C93" s="80">
        <f ca="1">OFFSET(产销汇总!$C$12,$B93,$C$27)</f>
        <v>138</v>
      </c>
      <c r="D93" s="80">
        <f ca="1">SUMIF(主线宝箱!$B$321:$B$620,"&lt;="&amp;C93,主线宝箱!$H$321:$H$620)+SUMIF(主线宝箱!$B$321:$B$620,"&lt;="&amp;C93,主线宝箱!$T$321:$T$620)</f>
        <v>5520</v>
      </c>
      <c r="E93" s="80">
        <v>110</v>
      </c>
      <c r="F93" s="80">
        <f t="shared" si="9"/>
        <v>450</v>
      </c>
      <c r="G93" s="80">
        <f ca="1">IF(AND($C$27&lt;3,B93&gt;3),G92,SUMIF(图纸产出设计!$F$334:$F$342,"&lt;="&amp;B93,图纸产出设计!$C$334:$C$342))</f>
        <v>3890</v>
      </c>
      <c r="H93" s="80">
        <f ca="1">OFFSET(产销汇总!$C$1,MATCH(H$28,产销汇总!$C$2:$C$8,0),$C$27)*(_xlfn.XLOOKUP(C93,主线推图!$B$313:$B$612,主线推图!$G$313:$G$612)+_xlfn.XLOOKUP(C93,主线推图!$B$313:$B$612,主线推图!$H$313:$H$612))</f>
        <v>176</v>
      </c>
      <c r="I93" s="80">
        <f ca="1">OFFSET(产销汇总!$C$1,MATCH(I$28,产销汇总!$C$2:$C$8,0),$C$27)*_xlfn.XLOOKUP(C93,巡逻产出!$B$311:$B$610,巡逻产出!$H$311:$H$610)</f>
        <v>0</v>
      </c>
      <c r="J93" s="80">
        <f ca="1">OFFSET(产销汇总!$C$1,MATCH(J$28,产销汇总!$C$2:$C$8,0),$C$27)*(_xlfn.XLOOKUP(MAX(1,INT(C93/10-6/10)),组队产出!$B$24:$B$39,组队产出!$J$24:$J$39)+_xlfn.XLOOKUP(MAX(1,INT(C93/10-6/10)),组队产出!$B$24:$B$39,组队产出!$K$24:$K$39))</f>
        <v>96</v>
      </c>
      <c r="K93" s="80">
        <f ca="1">OFFSET(产销汇总!$C$1,MATCH(K$28,产销汇总!$C$2:$C$8,0),$C$27)*_xlfn.XLOOKUP(C93,巡逻产出!$B$311:$B$610,巡逻产出!$I$311:$I$610)*IF($C$27=1,0.5,1)</f>
        <v>312</v>
      </c>
      <c r="L93" s="80">
        <f ca="1">OFFSET(产销汇总!$C$1,MATCH(L$28,产销汇总!$C$2:$C$8,0),$C$27)*竞技场!$C$5</f>
        <v>180</v>
      </c>
      <c r="M93" s="80">
        <f>任务!$C$6+IF(MOD(B93,7)=0,任务!$M$25)</f>
        <v>30</v>
      </c>
      <c r="N93" s="98">
        <f t="shared" ref="N93:N156" si="10">ROUND(12/7,1)</f>
        <v>1.7</v>
      </c>
      <c r="O93" s="80">
        <f t="shared" ref="O93:O156" si="11">IF(MOD(B93,7)=2,10,0)+IF(MOD(B93,7)=5,10,0)</f>
        <v>10</v>
      </c>
      <c r="P93" s="172">
        <f ca="1">OFFSET(产销汇总!$C$1,MATCH(P$27,产销汇总!$C$2:$C$8,0),$C$27)/200*协力宝箱!$Q$82</f>
        <v>0</v>
      </c>
      <c r="Q93" s="80">
        <f t="shared" ref="Q93:Q156" si="12">0.2*5*10</f>
        <v>10</v>
      </c>
      <c r="R93" s="80">
        <v>10</v>
      </c>
      <c r="S93" s="172">
        <f t="shared" si="8"/>
        <v>100</v>
      </c>
      <c r="T93" s="172">
        <f>(公会!$F$12+公会!$F$13+公会!$F$14+公会!$F$18/7)/2</f>
        <v>121.428571428571</v>
      </c>
      <c r="U93" s="172">
        <f t="shared" si="6"/>
        <v>150</v>
      </c>
      <c r="V93" s="172" t="e">
        <f ca="1">SUM($H$29:U93)+SUM(D93:G93)</f>
        <v>#N/A</v>
      </c>
      <c r="W93" s="132" t="e">
        <f ca="1" t="shared" si="7"/>
        <v>#N/A</v>
      </c>
    </row>
    <row r="94" spans="1:23">
      <c r="A94" s="171"/>
      <c r="B94" s="80">
        <v>66</v>
      </c>
      <c r="C94" s="80">
        <f ca="1">OFFSET(产销汇总!$C$12,$B94,$C$27)</f>
        <v>139</v>
      </c>
      <c r="D94" s="80">
        <f ca="1">SUMIF(主线宝箱!$B$321:$B$620,"&lt;="&amp;C94,主线宝箱!$H$321:$H$620)+SUMIF(主线宝箱!$B$321:$B$620,"&lt;="&amp;C94,主线宝箱!$T$321:$T$620)</f>
        <v>5560</v>
      </c>
      <c r="E94" s="80">
        <v>110</v>
      </c>
      <c r="F94" s="80">
        <f t="shared" si="9"/>
        <v>450</v>
      </c>
      <c r="G94" s="80">
        <f ca="1">IF(AND($C$27&lt;3,B94&gt;3),G93,SUMIF(图纸产出设计!$F$334:$F$342,"&lt;="&amp;B94,图纸产出设计!$C$334:$C$342))</f>
        <v>3890</v>
      </c>
      <c r="H94" s="80">
        <f ca="1">OFFSET(产销汇总!$C$1,MATCH(H$28,产销汇总!$C$2:$C$8,0),$C$27)*(_xlfn.XLOOKUP(C94,主线推图!$B$313:$B$612,主线推图!$G$313:$G$612)+_xlfn.XLOOKUP(C94,主线推图!$B$313:$B$612,主线推图!$H$313:$H$612))</f>
        <v>176</v>
      </c>
      <c r="I94" s="80">
        <f ca="1">OFFSET(产销汇总!$C$1,MATCH(I$28,产销汇总!$C$2:$C$8,0),$C$27)*_xlfn.XLOOKUP(C94,巡逻产出!$B$311:$B$610,巡逻产出!$H$311:$H$610)</f>
        <v>0</v>
      </c>
      <c r="J94" s="80">
        <f ca="1">OFFSET(产销汇总!$C$1,MATCH(J$28,产销汇总!$C$2:$C$8,0),$C$27)*(_xlfn.XLOOKUP(MAX(1,INT(C94/10-6/10)),组队产出!$B$24:$B$39,组队产出!$J$24:$J$39)+_xlfn.XLOOKUP(MAX(1,INT(C94/10-6/10)),组队产出!$B$24:$B$39,组队产出!$K$24:$K$39))</f>
        <v>96</v>
      </c>
      <c r="K94" s="80">
        <f ca="1">OFFSET(产销汇总!$C$1,MATCH(K$28,产销汇总!$C$2:$C$8,0),$C$27)*_xlfn.XLOOKUP(C94,巡逻产出!$B$311:$B$610,巡逻产出!$I$311:$I$610)*IF($C$27=1,0.5,1)</f>
        <v>312</v>
      </c>
      <c r="L94" s="80">
        <f ca="1">OFFSET(产销汇总!$C$1,MATCH(L$28,产销汇总!$C$2:$C$8,0),$C$27)*竞技场!$C$5</f>
        <v>180</v>
      </c>
      <c r="M94" s="80">
        <f>任务!$C$6+IF(MOD(B94,7)=0,任务!$M$25)</f>
        <v>30</v>
      </c>
      <c r="N94" s="98">
        <f t="shared" si="10"/>
        <v>1.7</v>
      </c>
      <c r="O94" s="80">
        <f t="shared" si="11"/>
        <v>0</v>
      </c>
      <c r="P94" s="172">
        <f ca="1">OFFSET(产销汇总!$C$1,MATCH(P$27,产销汇总!$C$2:$C$8,0),$C$27)/200*协力宝箱!$Q$82</f>
        <v>0</v>
      </c>
      <c r="Q94" s="80">
        <f t="shared" si="12"/>
        <v>10</v>
      </c>
      <c r="R94" s="80">
        <v>10</v>
      </c>
      <c r="S94" s="172">
        <f t="shared" si="8"/>
        <v>100</v>
      </c>
      <c r="T94" s="172">
        <f>(公会!$F$12+公会!$F$13+公会!$F$14+公会!$F$18/7)/2</f>
        <v>121.428571428571</v>
      </c>
      <c r="U94" s="172">
        <f t="shared" ref="U94:U157" si="13">IF($C$27&lt;2,50,100)+IF(B94&gt;=3,50,0)</f>
        <v>150</v>
      </c>
      <c r="V94" s="172" t="e">
        <f ca="1">SUM($H$29:U94)+SUM(D94:G94)</f>
        <v>#N/A</v>
      </c>
      <c r="W94" s="132" t="e">
        <f ca="1" t="shared" si="7"/>
        <v>#N/A</v>
      </c>
    </row>
    <row r="95" spans="1:23">
      <c r="A95" s="171"/>
      <c r="B95" s="80">
        <v>67</v>
      </c>
      <c r="C95" s="80">
        <f ca="1">OFFSET(产销汇总!$C$12,$B95,$C$27)</f>
        <v>140</v>
      </c>
      <c r="D95" s="80">
        <f ca="1">SUMIF(主线宝箱!$B$321:$B$620,"&lt;="&amp;C95,主线宝箱!$H$321:$H$620)+SUMIF(主线宝箱!$B$321:$B$620,"&lt;="&amp;C95,主线宝箱!$T$321:$T$620)</f>
        <v>5600</v>
      </c>
      <c r="E95" s="80">
        <v>110</v>
      </c>
      <c r="F95" s="80">
        <f t="shared" si="9"/>
        <v>450</v>
      </c>
      <c r="G95" s="80">
        <f ca="1">IF(AND($C$27&lt;3,B95&gt;3),G94,SUMIF(图纸产出设计!$F$334:$F$342,"&lt;="&amp;B95,图纸产出设计!$C$334:$C$342))</f>
        <v>3890</v>
      </c>
      <c r="H95" s="80">
        <f ca="1">OFFSET(产销汇总!$C$1,MATCH(H$28,产销汇总!$C$2:$C$8,0),$C$27)*(_xlfn.XLOOKUP(C95,主线推图!$B$313:$B$612,主线推图!$G$313:$G$612)+_xlfn.XLOOKUP(C95,主线推图!$B$313:$B$612,主线推图!$H$313:$H$612))</f>
        <v>176</v>
      </c>
      <c r="I95" s="80">
        <f ca="1">OFFSET(产销汇总!$C$1,MATCH(I$28,产销汇总!$C$2:$C$8,0),$C$27)*_xlfn.XLOOKUP(C95,巡逻产出!$B$311:$B$610,巡逻产出!$H$311:$H$610)</f>
        <v>0</v>
      </c>
      <c r="J95" s="80">
        <f ca="1">OFFSET(产销汇总!$C$1,MATCH(J$28,产销汇总!$C$2:$C$8,0),$C$27)*(_xlfn.XLOOKUP(MAX(1,INT(C95/10-6/10)),组队产出!$B$24:$B$39,组队产出!$J$24:$J$39)+_xlfn.XLOOKUP(MAX(1,INT(C95/10-6/10)),组队产出!$B$24:$B$39,组队产出!$K$24:$K$39))</f>
        <v>96</v>
      </c>
      <c r="K95" s="80">
        <f ca="1">OFFSET(产销汇总!$C$1,MATCH(K$28,产销汇总!$C$2:$C$8,0),$C$27)*_xlfn.XLOOKUP(C95,巡逻产出!$B$311:$B$610,巡逻产出!$I$311:$I$610)*IF($C$27=1,0.5,1)</f>
        <v>312</v>
      </c>
      <c r="L95" s="80">
        <f ca="1">OFFSET(产销汇总!$C$1,MATCH(L$28,产销汇总!$C$2:$C$8,0),$C$27)*竞技场!$C$5</f>
        <v>180</v>
      </c>
      <c r="M95" s="80">
        <f>任务!$C$6+IF(MOD(B95,7)=0,任务!$M$25)</f>
        <v>30</v>
      </c>
      <c r="N95" s="98">
        <f t="shared" si="10"/>
        <v>1.7</v>
      </c>
      <c r="O95" s="80">
        <f t="shared" si="11"/>
        <v>0</v>
      </c>
      <c r="P95" s="172">
        <f ca="1">OFFSET(产销汇总!$C$1,MATCH(P$27,产销汇总!$C$2:$C$8,0),$C$27)/200*协力宝箱!$Q$82</f>
        <v>0</v>
      </c>
      <c r="Q95" s="80">
        <f t="shared" si="12"/>
        <v>10</v>
      </c>
      <c r="R95" s="80">
        <v>10</v>
      </c>
      <c r="S95" s="172">
        <f t="shared" ref="S95:S158" si="14">S94</f>
        <v>100</v>
      </c>
      <c r="T95" s="172">
        <f>(公会!$F$12+公会!$F$13+公会!$F$14+公会!$F$18/7)/2</f>
        <v>121.428571428571</v>
      </c>
      <c r="U95" s="172">
        <f t="shared" si="13"/>
        <v>150</v>
      </c>
      <c r="V95" s="172" t="e">
        <f ca="1">SUM($H$29:U95)+SUM(D95:G95)</f>
        <v>#N/A</v>
      </c>
      <c r="W95" s="132" t="e">
        <f ca="1" t="shared" ref="W95:W158" si="15">V95-V94</f>
        <v>#N/A</v>
      </c>
    </row>
    <row r="96" spans="1:23">
      <c r="A96" s="171"/>
      <c r="B96" s="80">
        <v>68</v>
      </c>
      <c r="C96" s="80">
        <f ca="1">OFFSET(产销汇总!$C$12,$B96,$C$27)</f>
        <v>141</v>
      </c>
      <c r="D96" s="80">
        <f ca="1">SUMIF(主线宝箱!$B$321:$B$620,"&lt;="&amp;C96,主线宝箱!$H$321:$H$620)+SUMIF(主线宝箱!$B$321:$B$620,"&lt;="&amp;C96,主线宝箱!$T$321:$T$620)</f>
        <v>5640</v>
      </c>
      <c r="E96" s="80">
        <v>110</v>
      </c>
      <c r="F96" s="80">
        <f t="shared" si="9"/>
        <v>450</v>
      </c>
      <c r="G96" s="80">
        <f ca="1">IF(AND($C$27&lt;3,B96&gt;3),G95,SUMIF(图纸产出设计!$F$334:$F$342,"&lt;="&amp;B96,图纸产出设计!$C$334:$C$342))</f>
        <v>3890</v>
      </c>
      <c r="H96" s="80">
        <f ca="1">OFFSET(产销汇总!$C$1,MATCH(H$28,产销汇总!$C$2:$C$8,0),$C$27)*(_xlfn.XLOOKUP(C96,主线推图!$B$313:$B$612,主线推图!$G$313:$G$612)+_xlfn.XLOOKUP(C96,主线推图!$B$313:$B$612,主线推图!$H$313:$H$612))</f>
        <v>176</v>
      </c>
      <c r="I96" s="80">
        <f ca="1">OFFSET(产销汇总!$C$1,MATCH(I$28,产销汇总!$C$2:$C$8,0),$C$27)*_xlfn.XLOOKUP(C96,巡逻产出!$B$311:$B$610,巡逻产出!$H$311:$H$610)</f>
        <v>0</v>
      </c>
      <c r="J96" s="80">
        <f ca="1">OFFSET(产销汇总!$C$1,MATCH(J$28,产销汇总!$C$2:$C$8,0),$C$27)*(_xlfn.XLOOKUP(MAX(1,INT(C96/10-6/10)),组队产出!$B$24:$B$39,组队产出!$J$24:$J$39)+_xlfn.XLOOKUP(MAX(1,INT(C96/10-6/10)),组队产出!$B$24:$B$39,组队产出!$K$24:$K$39))</f>
        <v>96</v>
      </c>
      <c r="K96" s="80">
        <f ca="1">OFFSET(产销汇总!$C$1,MATCH(K$28,产销汇总!$C$2:$C$8,0),$C$27)*_xlfn.XLOOKUP(C96,巡逻产出!$B$311:$B$610,巡逻产出!$I$311:$I$610)*IF($C$27=1,0.5,1)</f>
        <v>312</v>
      </c>
      <c r="L96" s="80">
        <f ca="1">OFFSET(产销汇总!$C$1,MATCH(L$28,产销汇总!$C$2:$C$8,0),$C$27)*竞技场!$C$5</f>
        <v>180</v>
      </c>
      <c r="M96" s="80">
        <f>任务!$C$6+IF(MOD(B96,7)=0,任务!$M$25)</f>
        <v>30</v>
      </c>
      <c r="N96" s="98">
        <f t="shared" si="10"/>
        <v>1.7</v>
      </c>
      <c r="O96" s="80">
        <f t="shared" si="11"/>
        <v>10</v>
      </c>
      <c r="P96" s="172">
        <f ca="1">OFFSET(产销汇总!$C$1,MATCH(P$27,产销汇总!$C$2:$C$8,0),$C$27)/200*协力宝箱!$Q$82</f>
        <v>0</v>
      </c>
      <c r="Q96" s="80">
        <f t="shared" si="12"/>
        <v>10</v>
      </c>
      <c r="R96" s="80">
        <v>10</v>
      </c>
      <c r="S96" s="172">
        <f t="shared" si="14"/>
        <v>100</v>
      </c>
      <c r="T96" s="172">
        <f>(公会!$F$12+公会!$F$13+公会!$F$14+公会!$F$18/7)/2</f>
        <v>121.428571428571</v>
      </c>
      <c r="U96" s="172">
        <f t="shared" si="13"/>
        <v>150</v>
      </c>
      <c r="V96" s="172" t="e">
        <f ca="1">SUM($H$29:U96)+SUM(D96:G96)</f>
        <v>#N/A</v>
      </c>
      <c r="W96" s="132" t="e">
        <f ca="1" t="shared" si="15"/>
        <v>#N/A</v>
      </c>
    </row>
    <row r="97" spans="1:23">
      <c r="A97" s="171"/>
      <c r="B97" s="80">
        <v>69</v>
      </c>
      <c r="C97" s="80">
        <f ca="1">OFFSET(产销汇总!$C$12,$B97,$C$27)</f>
        <v>142</v>
      </c>
      <c r="D97" s="80">
        <f ca="1">SUMIF(主线宝箱!$B$321:$B$620,"&lt;="&amp;C97,主线宝箱!$H$321:$H$620)+SUMIF(主线宝箱!$B$321:$B$620,"&lt;="&amp;C97,主线宝箱!$T$321:$T$620)</f>
        <v>5680</v>
      </c>
      <c r="E97" s="80">
        <v>110</v>
      </c>
      <c r="F97" s="80">
        <f t="shared" si="9"/>
        <v>450</v>
      </c>
      <c r="G97" s="80">
        <f ca="1">IF(AND($C$27&lt;3,B97&gt;3),G96,SUMIF(图纸产出设计!$F$334:$F$342,"&lt;="&amp;B97,图纸产出设计!$C$334:$C$342))</f>
        <v>3890</v>
      </c>
      <c r="H97" s="80">
        <f ca="1">OFFSET(产销汇总!$C$1,MATCH(H$28,产销汇总!$C$2:$C$8,0),$C$27)*(_xlfn.XLOOKUP(C97,主线推图!$B$313:$B$612,主线推图!$G$313:$G$612)+_xlfn.XLOOKUP(C97,主线推图!$B$313:$B$612,主线推图!$H$313:$H$612))</f>
        <v>176</v>
      </c>
      <c r="I97" s="80">
        <f ca="1">OFFSET(产销汇总!$C$1,MATCH(I$28,产销汇总!$C$2:$C$8,0),$C$27)*_xlfn.XLOOKUP(C97,巡逻产出!$B$311:$B$610,巡逻产出!$H$311:$H$610)</f>
        <v>0</v>
      </c>
      <c r="J97" s="80">
        <f ca="1">OFFSET(产销汇总!$C$1,MATCH(J$28,产销汇总!$C$2:$C$8,0),$C$27)*(_xlfn.XLOOKUP(MAX(1,INT(C97/10-6/10)),组队产出!$B$24:$B$39,组队产出!$J$24:$J$39)+_xlfn.XLOOKUP(MAX(1,INT(C97/10-6/10)),组队产出!$B$24:$B$39,组队产出!$K$24:$K$39))</f>
        <v>96</v>
      </c>
      <c r="K97" s="80">
        <f ca="1">OFFSET(产销汇总!$C$1,MATCH(K$28,产销汇总!$C$2:$C$8,0),$C$27)*_xlfn.XLOOKUP(C97,巡逻产出!$B$311:$B$610,巡逻产出!$I$311:$I$610)*IF($C$27=1,0.5,1)</f>
        <v>312</v>
      </c>
      <c r="L97" s="80">
        <f ca="1">OFFSET(产销汇总!$C$1,MATCH(L$28,产销汇总!$C$2:$C$8,0),$C$27)*竞技场!$C$5</f>
        <v>180</v>
      </c>
      <c r="M97" s="80">
        <f>任务!$C$6+IF(MOD(B97,7)=0,任务!$M$25)</f>
        <v>30</v>
      </c>
      <c r="N97" s="98">
        <f t="shared" si="10"/>
        <v>1.7</v>
      </c>
      <c r="O97" s="80">
        <f t="shared" si="11"/>
        <v>0</v>
      </c>
      <c r="P97" s="172">
        <f ca="1">OFFSET(产销汇总!$C$1,MATCH(P$27,产销汇总!$C$2:$C$8,0),$C$27)/200*协力宝箱!$Q$82</f>
        <v>0</v>
      </c>
      <c r="Q97" s="80">
        <f t="shared" si="12"/>
        <v>10</v>
      </c>
      <c r="R97" s="80">
        <v>10</v>
      </c>
      <c r="S97" s="172">
        <f t="shared" si="14"/>
        <v>100</v>
      </c>
      <c r="T97" s="172">
        <f>(公会!$F$12+公会!$F$13+公会!$F$14+公会!$F$18/7)/2</f>
        <v>121.428571428571</v>
      </c>
      <c r="U97" s="172">
        <f t="shared" si="13"/>
        <v>150</v>
      </c>
      <c r="V97" s="172" t="e">
        <f ca="1">SUM($H$29:U97)+SUM(D97:G97)</f>
        <v>#N/A</v>
      </c>
      <c r="W97" s="132" t="e">
        <f ca="1" t="shared" si="15"/>
        <v>#N/A</v>
      </c>
    </row>
    <row r="98" spans="1:23">
      <c r="A98" s="171"/>
      <c r="B98" s="80">
        <v>70</v>
      </c>
      <c r="C98" s="80">
        <f ca="1">OFFSET(产销汇总!$C$12,$B98,$C$27)</f>
        <v>143</v>
      </c>
      <c r="D98" s="80">
        <f ca="1">SUMIF(主线宝箱!$B$321:$B$620,"&lt;="&amp;C98,主线宝箱!$H$321:$H$620)+SUMIF(主线宝箱!$B$321:$B$620,"&lt;="&amp;C98,主线宝箱!$T$321:$T$620)</f>
        <v>5720</v>
      </c>
      <c r="E98" s="80">
        <v>110</v>
      </c>
      <c r="F98" s="80">
        <f t="shared" si="9"/>
        <v>450</v>
      </c>
      <c r="G98" s="80">
        <f ca="1">IF(AND($C$27&lt;3,B98&gt;3),G97,SUMIF(图纸产出设计!$F$334:$F$342,"&lt;="&amp;B98,图纸产出设计!$C$334:$C$342))</f>
        <v>3890</v>
      </c>
      <c r="H98" s="80">
        <f ca="1">OFFSET(产销汇总!$C$1,MATCH(H$28,产销汇总!$C$2:$C$8,0),$C$27)*(_xlfn.XLOOKUP(C98,主线推图!$B$313:$B$612,主线推图!$G$313:$G$612)+_xlfn.XLOOKUP(C98,主线推图!$B$313:$B$612,主线推图!$H$313:$H$612))</f>
        <v>176</v>
      </c>
      <c r="I98" s="80">
        <f ca="1">OFFSET(产销汇总!$C$1,MATCH(I$28,产销汇总!$C$2:$C$8,0),$C$27)*_xlfn.XLOOKUP(C98,巡逻产出!$B$311:$B$610,巡逻产出!$H$311:$H$610)</f>
        <v>0</v>
      </c>
      <c r="J98" s="80">
        <f ca="1">OFFSET(产销汇总!$C$1,MATCH(J$28,产销汇总!$C$2:$C$8,0),$C$27)*(_xlfn.XLOOKUP(MAX(1,INT(C98/10-6/10)),组队产出!$B$24:$B$39,组队产出!$J$24:$J$39)+_xlfn.XLOOKUP(MAX(1,INT(C98/10-6/10)),组队产出!$B$24:$B$39,组队产出!$K$24:$K$39))</f>
        <v>96</v>
      </c>
      <c r="K98" s="80">
        <f ca="1">OFFSET(产销汇总!$C$1,MATCH(K$28,产销汇总!$C$2:$C$8,0),$C$27)*_xlfn.XLOOKUP(C98,巡逻产出!$B$311:$B$610,巡逻产出!$I$311:$I$610)*IF($C$27=1,0.5,1)</f>
        <v>312</v>
      </c>
      <c r="L98" s="80">
        <f ca="1">OFFSET(产销汇总!$C$1,MATCH(L$28,产销汇总!$C$2:$C$8,0),$C$27)*竞技场!$C$5</f>
        <v>180</v>
      </c>
      <c r="M98" s="80">
        <f>任务!$C$6+IF(MOD(B98,7)=0,任务!$M$25)</f>
        <v>60</v>
      </c>
      <c r="N98" s="98">
        <f t="shared" si="10"/>
        <v>1.7</v>
      </c>
      <c r="O98" s="80">
        <f t="shared" si="11"/>
        <v>0</v>
      </c>
      <c r="P98" s="172">
        <f ca="1">OFFSET(产销汇总!$C$1,MATCH(P$27,产销汇总!$C$2:$C$8,0),$C$27)/200*协力宝箱!$Q$82</f>
        <v>0</v>
      </c>
      <c r="Q98" s="80">
        <f t="shared" si="12"/>
        <v>10</v>
      </c>
      <c r="R98" s="80">
        <v>10</v>
      </c>
      <c r="S98" s="172">
        <f t="shared" si="14"/>
        <v>100</v>
      </c>
      <c r="T98" s="172">
        <f>(公会!$F$12+公会!$F$13+公会!$F$14+公会!$F$18/7)/2</f>
        <v>121.428571428571</v>
      </c>
      <c r="U98" s="172">
        <f t="shared" si="13"/>
        <v>150</v>
      </c>
      <c r="V98" s="172" t="e">
        <f ca="1">SUM($H$29:U98)+SUM(D98:G98)</f>
        <v>#N/A</v>
      </c>
      <c r="W98" s="132" t="e">
        <f ca="1" t="shared" si="15"/>
        <v>#N/A</v>
      </c>
    </row>
    <row r="99" spans="1:23">
      <c r="A99" s="171"/>
      <c r="B99" s="80">
        <v>71</v>
      </c>
      <c r="C99" s="80">
        <f ca="1">OFFSET(产销汇总!$C$12,$B99,$C$27)</f>
        <v>144</v>
      </c>
      <c r="D99" s="80">
        <f ca="1">SUMIF(主线宝箱!$B$321:$B$620,"&lt;="&amp;C99,主线宝箱!$H$321:$H$620)+SUMIF(主线宝箱!$B$321:$B$620,"&lt;="&amp;C99,主线宝箱!$T$321:$T$620)</f>
        <v>5760</v>
      </c>
      <c r="E99" s="80">
        <v>110</v>
      </c>
      <c r="F99" s="80">
        <f t="shared" si="9"/>
        <v>450</v>
      </c>
      <c r="G99" s="80">
        <f ca="1">IF(AND($C$27&lt;3,B99&gt;3),G98,SUMIF(图纸产出设计!$F$334:$F$342,"&lt;="&amp;B99,图纸产出设计!$C$334:$C$342))</f>
        <v>3890</v>
      </c>
      <c r="H99" s="80">
        <f ca="1">OFFSET(产销汇总!$C$1,MATCH(H$28,产销汇总!$C$2:$C$8,0),$C$27)*(_xlfn.XLOOKUP(C99,主线推图!$B$313:$B$612,主线推图!$G$313:$G$612)+_xlfn.XLOOKUP(C99,主线推图!$B$313:$B$612,主线推图!$H$313:$H$612))</f>
        <v>176</v>
      </c>
      <c r="I99" s="80">
        <f ca="1">OFFSET(产销汇总!$C$1,MATCH(I$28,产销汇总!$C$2:$C$8,0),$C$27)*_xlfn.XLOOKUP(C99,巡逻产出!$B$311:$B$610,巡逻产出!$H$311:$H$610)</f>
        <v>0</v>
      </c>
      <c r="J99" s="80">
        <f ca="1">OFFSET(产销汇总!$C$1,MATCH(J$28,产销汇总!$C$2:$C$8,0),$C$27)*(_xlfn.XLOOKUP(MAX(1,INT(C99/10-6/10)),组队产出!$B$24:$B$39,组队产出!$J$24:$J$39)+_xlfn.XLOOKUP(MAX(1,INT(C99/10-6/10)),组队产出!$B$24:$B$39,组队产出!$K$24:$K$39))</f>
        <v>96</v>
      </c>
      <c r="K99" s="80">
        <f ca="1">OFFSET(产销汇总!$C$1,MATCH(K$28,产销汇总!$C$2:$C$8,0),$C$27)*_xlfn.XLOOKUP(C99,巡逻产出!$B$311:$B$610,巡逻产出!$I$311:$I$610)*IF($C$27=1,0.5,1)</f>
        <v>312</v>
      </c>
      <c r="L99" s="80">
        <f ca="1">OFFSET(产销汇总!$C$1,MATCH(L$28,产销汇总!$C$2:$C$8,0),$C$27)*竞技场!$C$5</f>
        <v>180</v>
      </c>
      <c r="M99" s="80">
        <f>任务!$C$6+IF(MOD(B99,7)=0,任务!$M$25)</f>
        <v>30</v>
      </c>
      <c r="N99" s="98">
        <f t="shared" si="10"/>
        <v>1.7</v>
      </c>
      <c r="O99" s="80">
        <f t="shared" si="11"/>
        <v>0</v>
      </c>
      <c r="P99" s="172">
        <f ca="1">OFFSET(产销汇总!$C$1,MATCH(P$27,产销汇总!$C$2:$C$8,0),$C$27)/200*协力宝箱!$Q$82</f>
        <v>0</v>
      </c>
      <c r="Q99" s="80">
        <f t="shared" si="12"/>
        <v>10</v>
      </c>
      <c r="R99" s="80">
        <v>10</v>
      </c>
      <c r="S99" s="172">
        <f t="shared" si="14"/>
        <v>100</v>
      </c>
      <c r="T99" s="172">
        <f>(公会!$F$12+公会!$F$13+公会!$F$14+公会!$F$18/7)/2</f>
        <v>121.428571428571</v>
      </c>
      <c r="U99" s="172">
        <f t="shared" si="13"/>
        <v>150</v>
      </c>
      <c r="V99" s="172" t="e">
        <f ca="1">SUM($H$29:U99)+SUM(D99:G99)</f>
        <v>#N/A</v>
      </c>
      <c r="W99" s="132" t="e">
        <f ca="1" t="shared" si="15"/>
        <v>#N/A</v>
      </c>
    </row>
    <row r="100" spans="1:23">
      <c r="A100" s="171"/>
      <c r="B100" s="80">
        <v>72</v>
      </c>
      <c r="C100" s="80">
        <f ca="1">OFFSET(产销汇总!$C$12,$B100,$C$27)</f>
        <v>145</v>
      </c>
      <c r="D100" s="80">
        <f ca="1">SUMIF(主线宝箱!$B$321:$B$620,"&lt;="&amp;C100,主线宝箱!$H$321:$H$620)+SUMIF(主线宝箱!$B$321:$B$620,"&lt;="&amp;C100,主线宝箱!$T$321:$T$620)</f>
        <v>5800</v>
      </c>
      <c r="E100" s="80">
        <v>110</v>
      </c>
      <c r="F100" s="80">
        <f t="shared" si="9"/>
        <v>450</v>
      </c>
      <c r="G100" s="80">
        <f ca="1">IF(AND($C$27&lt;3,B100&gt;3),G99,SUMIF(图纸产出设计!$F$334:$F$342,"&lt;="&amp;B100,图纸产出设计!$C$334:$C$342))</f>
        <v>3890</v>
      </c>
      <c r="H100" s="80">
        <f ca="1">OFFSET(产销汇总!$C$1,MATCH(H$28,产销汇总!$C$2:$C$8,0),$C$27)*(_xlfn.XLOOKUP(C100,主线推图!$B$313:$B$612,主线推图!$G$313:$G$612)+_xlfn.XLOOKUP(C100,主线推图!$B$313:$B$612,主线推图!$H$313:$H$612))</f>
        <v>176</v>
      </c>
      <c r="I100" s="80">
        <f ca="1">OFFSET(产销汇总!$C$1,MATCH(I$28,产销汇总!$C$2:$C$8,0),$C$27)*_xlfn.XLOOKUP(C100,巡逻产出!$B$311:$B$610,巡逻产出!$H$311:$H$610)</f>
        <v>0</v>
      </c>
      <c r="J100" s="80">
        <f ca="1">OFFSET(产销汇总!$C$1,MATCH(J$28,产销汇总!$C$2:$C$8,0),$C$27)*(_xlfn.XLOOKUP(MAX(1,INT(C100/10-6/10)),组队产出!$B$24:$B$39,组队产出!$J$24:$J$39)+_xlfn.XLOOKUP(MAX(1,INT(C100/10-6/10)),组队产出!$B$24:$B$39,组队产出!$K$24:$K$39))</f>
        <v>96</v>
      </c>
      <c r="K100" s="80">
        <f ca="1">OFFSET(产销汇总!$C$1,MATCH(K$28,产销汇总!$C$2:$C$8,0),$C$27)*_xlfn.XLOOKUP(C100,巡逻产出!$B$311:$B$610,巡逻产出!$I$311:$I$610)*IF($C$27=1,0.5,1)</f>
        <v>312</v>
      </c>
      <c r="L100" s="80">
        <f ca="1">OFFSET(产销汇总!$C$1,MATCH(L$28,产销汇总!$C$2:$C$8,0),$C$27)*竞技场!$C$5</f>
        <v>180</v>
      </c>
      <c r="M100" s="80">
        <f>任务!$C$6+IF(MOD(B100,7)=0,任务!$M$25)</f>
        <v>30</v>
      </c>
      <c r="N100" s="98">
        <f t="shared" si="10"/>
        <v>1.7</v>
      </c>
      <c r="O100" s="80">
        <f t="shared" si="11"/>
        <v>10</v>
      </c>
      <c r="P100" s="172">
        <f ca="1">OFFSET(产销汇总!$C$1,MATCH(P$27,产销汇总!$C$2:$C$8,0),$C$27)/200*协力宝箱!$Q$82</f>
        <v>0</v>
      </c>
      <c r="Q100" s="80">
        <f t="shared" si="12"/>
        <v>10</v>
      </c>
      <c r="R100" s="80">
        <v>10</v>
      </c>
      <c r="S100" s="172">
        <f t="shared" si="14"/>
        <v>100</v>
      </c>
      <c r="T100" s="172">
        <f>(公会!$F$12+公会!$F$13+公会!$F$14+公会!$F$18/7)/2</f>
        <v>121.428571428571</v>
      </c>
      <c r="U100" s="172">
        <f t="shared" si="13"/>
        <v>150</v>
      </c>
      <c r="V100" s="172" t="e">
        <f ca="1">SUM($H$29:U100)+SUM(D100:G100)</f>
        <v>#N/A</v>
      </c>
      <c r="W100" s="132" t="e">
        <f ca="1" t="shared" si="15"/>
        <v>#N/A</v>
      </c>
    </row>
    <row r="101" spans="1:23">
      <c r="A101" s="171"/>
      <c r="B101" s="80">
        <v>73</v>
      </c>
      <c r="C101" s="80">
        <f ca="1">OFFSET(产销汇总!$C$12,$B101,$C$27)</f>
        <v>146</v>
      </c>
      <c r="D101" s="80">
        <f ca="1">SUMIF(主线宝箱!$B$321:$B$620,"&lt;="&amp;C101,主线宝箱!$H$321:$H$620)+SUMIF(主线宝箱!$B$321:$B$620,"&lt;="&amp;C101,主线宝箱!$T$321:$T$620)</f>
        <v>5840</v>
      </c>
      <c r="E101" s="80">
        <v>110</v>
      </c>
      <c r="F101" s="80">
        <f t="shared" si="9"/>
        <v>450</v>
      </c>
      <c r="G101" s="80">
        <f ca="1">IF(AND($C$27&lt;3,B101&gt;3),G100,SUMIF(图纸产出设计!$F$334:$F$342,"&lt;="&amp;B101,图纸产出设计!$C$334:$C$342))</f>
        <v>3890</v>
      </c>
      <c r="H101" s="80">
        <f ca="1">OFFSET(产销汇总!$C$1,MATCH(H$28,产销汇总!$C$2:$C$8,0),$C$27)*(_xlfn.XLOOKUP(C101,主线推图!$B$313:$B$612,主线推图!$G$313:$G$612)+_xlfn.XLOOKUP(C101,主线推图!$B$313:$B$612,主线推图!$H$313:$H$612))</f>
        <v>176</v>
      </c>
      <c r="I101" s="80">
        <f ca="1">OFFSET(产销汇总!$C$1,MATCH(I$28,产销汇总!$C$2:$C$8,0),$C$27)*_xlfn.XLOOKUP(C101,巡逻产出!$B$311:$B$610,巡逻产出!$H$311:$H$610)</f>
        <v>0</v>
      </c>
      <c r="J101" s="80">
        <f ca="1">OFFSET(产销汇总!$C$1,MATCH(J$28,产销汇总!$C$2:$C$8,0),$C$27)*(_xlfn.XLOOKUP(MAX(1,INT(C101/10-6/10)),组队产出!$B$24:$B$39,组队产出!$J$24:$J$39)+_xlfn.XLOOKUP(MAX(1,INT(C101/10-6/10)),组队产出!$B$24:$B$39,组队产出!$K$24:$K$39))</f>
        <v>96</v>
      </c>
      <c r="K101" s="80">
        <f ca="1">OFFSET(产销汇总!$C$1,MATCH(K$28,产销汇总!$C$2:$C$8,0),$C$27)*_xlfn.XLOOKUP(C101,巡逻产出!$B$311:$B$610,巡逻产出!$I$311:$I$610)*IF($C$27=1,0.5,1)</f>
        <v>312</v>
      </c>
      <c r="L101" s="80">
        <f ca="1">OFFSET(产销汇总!$C$1,MATCH(L$28,产销汇总!$C$2:$C$8,0),$C$27)*竞技场!$C$5</f>
        <v>180</v>
      </c>
      <c r="M101" s="80">
        <f>任务!$C$6+IF(MOD(B101,7)=0,任务!$M$25)</f>
        <v>30</v>
      </c>
      <c r="N101" s="98">
        <f t="shared" si="10"/>
        <v>1.7</v>
      </c>
      <c r="O101" s="80">
        <f t="shared" si="11"/>
        <v>0</v>
      </c>
      <c r="P101" s="172">
        <f ca="1">OFFSET(产销汇总!$C$1,MATCH(P$27,产销汇总!$C$2:$C$8,0),$C$27)/200*协力宝箱!$Q$82</f>
        <v>0</v>
      </c>
      <c r="Q101" s="80">
        <f t="shared" si="12"/>
        <v>10</v>
      </c>
      <c r="R101" s="80">
        <v>10</v>
      </c>
      <c r="S101" s="172">
        <f t="shared" si="14"/>
        <v>100</v>
      </c>
      <c r="T101" s="172">
        <f>(公会!$F$12+公会!$F$13+公会!$F$14+公会!$F$18/7)/2</f>
        <v>121.428571428571</v>
      </c>
      <c r="U101" s="172">
        <f t="shared" si="13"/>
        <v>150</v>
      </c>
      <c r="V101" s="172" t="e">
        <f ca="1">SUM($H$29:U101)+SUM(D101:G101)</f>
        <v>#N/A</v>
      </c>
      <c r="W101" s="132" t="e">
        <f ca="1" t="shared" si="15"/>
        <v>#N/A</v>
      </c>
    </row>
    <row r="102" spans="1:23">
      <c r="A102" s="171"/>
      <c r="B102" s="80">
        <v>74</v>
      </c>
      <c r="C102" s="80">
        <f ca="1">OFFSET(产销汇总!$C$12,$B102,$C$27)</f>
        <v>147</v>
      </c>
      <c r="D102" s="80">
        <f ca="1">SUMIF(主线宝箱!$B$321:$B$620,"&lt;="&amp;C102,主线宝箱!$H$321:$H$620)+SUMIF(主线宝箱!$B$321:$B$620,"&lt;="&amp;C102,主线宝箱!$T$321:$T$620)</f>
        <v>5880</v>
      </c>
      <c r="E102" s="80">
        <v>110</v>
      </c>
      <c r="F102" s="80">
        <f t="shared" si="9"/>
        <v>450</v>
      </c>
      <c r="G102" s="80">
        <f ca="1">IF(AND($C$27&lt;3,B102&gt;3),G101,SUMIF(图纸产出设计!$F$334:$F$342,"&lt;="&amp;B102,图纸产出设计!$C$334:$C$342))</f>
        <v>3890</v>
      </c>
      <c r="H102" s="80">
        <f ca="1">OFFSET(产销汇总!$C$1,MATCH(H$28,产销汇总!$C$2:$C$8,0),$C$27)*(_xlfn.XLOOKUP(C102,主线推图!$B$313:$B$612,主线推图!$G$313:$G$612)+_xlfn.XLOOKUP(C102,主线推图!$B$313:$B$612,主线推图!$H$313:$H$612))</f>
        <v>176</v>
      </c>
      <c r="I102" s="80">
        <f ca="1">OFFSET(产销汇总!$C$1,MATCH(I$28,产销汇总!$C$2:$C$8,0),$C$27)*_xlfn.XLOOKUP(C102,巡逻产出!$B$311:$B$610,巡逻产出!$H$311:$H$610)</f>
        <v>0</v>
      </c>
      <c r="J102" s="80">
        <f ca="1">OFFSET(产销汇总!$C$1,MATCH(J$28,产销汇总!$C$2:$C$8,0),$C$27)*(_xlfn.XLOOKUP(MAX(1,INT(C102/10-6/10)),组队产出!$B$24:$B$39,组队产出!$J$24:$J$39)+_xlfn.XLOOKUP(MAX(1,INT(C102/10-6/10)),组队产出!$B$24:$B$39,组队产出!$K$24:$K$39))</f>
        <v>96</v>
      </c>
      <c r="K102" s="80">
        <f ca="1">OFFSET(产销汇总!$C$1,MATCH(K$28,产销汇总!$C$2:$C$8,0),$C$27)*_xlfn.XLOOKUP(C102,巡逻产出!$B$311:$B$610,巡逻产出!$I$311:$I$610)*IF($C$27=1,0.5,1)</f>
        <v>312</v>
      </c>
      <c r="L102" s="80">
        <f ca="1">OFFSET(产销汇总!$C$1,MATCH(L$28,产销汇总!$C$2:$C$8,0),$C$27)*竞技场!$C$5</f>
        <v>180</v>
      </c>
      <c r="M102" s="80">
        <f>任务!$C$6+IF(MOD(B102,7)=0,任务!$M$25)</f>
        <v>30</v>
      </c>
      <c r="N102" s="98">
        <f t="shared" si="10"/>
        <v>1.7</v>
      </c>
      <c r="O102" s="80">
        <f t="shared" si="11"/>
        <v>0</v>
      </c>
      <c r="P102" s="172">
        <f ca="1">OFFSET(产销汇总!$C$1,MATCH(P$27,产销汇总!$C$2:$C$8,0),$C$27)/200*协力宝箱!$Q$82</f>
        <v>0</v>
      </c>
      <c r="Q102" s="80">
        <f t="shared" si="12"/>
        <v>10</v>
      </c>
      <c r="R102" s="80">
        <v>10</v>
      </c>
      <c r="S102" s="172">
        <f t="shared" si="14"/>
        <v>100</v>
      </c>
      <c r="T102" s="172">
        <f>(公会!$F$12+公会!$F$13+公会!$F$14+公会!$F$18/7)/2</f>
        <v>121.428571428571</v>
      </c>
      <c r="U102" s="172">
        <f t="shared" si="13"/>
        <v>150</v>
      </c>
      <c r="V102" s="172" t="e">
        <f ca="1">SUM($H$29:U102)+SUM(D102:G102)</f>
        <v>#N/A</v>
      </c>
      <c r="W102" s="132" t="e">
        <f ca="1" t="shared" si="15"/>
        <v>#N/A</v>
      </c>
    </row>
    <row r="103" spans="1:23">
      <c r="A103" s="171"/>
      <c r="B103" s="80">
        <v>75</v>
      </c>
      <c r="C103" s="80">
        <f ca="1">OFFSET(产销汇总!$C$12,$B103,$C$27)</f>
        <v>148</v>
      </c>
      <c r="D103" s="80">
        <f ca="1">SUMIF(主线宝箱!$B$321:$B$620,"&lt;="&amp;C103,主线宝箱!$H$321:$H$620)+SUMIF(主线宝箱!$B$321:$B$620,"&lt;="&amp;C103,主线宝箱!$T$321:$T$620)</f>
        <v>5920</v>
      </c>
      <c r="E103" s="80">
        <v>110</v>
      </c>
      <c r="F103" s="80">
        <f t="shared" si="9"/>
        <v>450</v>
      </c>
      <c r="G103" s="80">
        <f ca="1">IF(AND($C$27&lt;3,B103&gt;3),G102,SUMIF(图纸产出设计!$F$334:$F$342,"&lt;="&amp;B103,图纸产出设计!$C$334:$C$342))</f>
        <v>3890</v>
      </c>
      <c r="H103" s="80">
        <f ca="1">OFFSET(产销汇总!$C$1,MATCH(H$28,产销汇总!$C$2:$C$8,0),$C$27)*(_xlfn.XLOOKUP(C103,主线推图!$B$313:$B$612,主线推图!$G$313:$G$612)+_xlfn.XLOOKUP(C103,主线推图!$B$313:$B$612,主线推图!$H$313:$H$612))</f>
        <v>176</v>
      </c>
      <c r="I103" s="80">
        <f ca="1">OFFSET(产销汇总!$C$1,MATCH(I$28,产销汇总!$C$2:$C$8,0),$C$27)*_xlfn.XLOOKUP(C103,巡逻产出!$B$311:$B$610,巡逻产出!$H$311:$H$610)</f>
        <v>0</v>
      </c>
      <c r="J103" s="80">
        <f ca="1">OFFSET(产销汇总!$C$1,MATCH(J$28,产销汇总!$C$2:$C$8,0),$C$27)*(_xlfn.XLOOKUP(MAX(1,INT(C103/10-6/10)),组队产出!$B$24:$B$39,组队产出!$J$24:$J$39)+_xlfn.XLOOKUP(MAX(1,INT(C103/10-6/10)),组队产出!$B$24:$B$39,组队产出!$K$24:$K$39))</f>
        <v>96</v>
      </c>
      <c r="K103" s="80">
        <f ca="1">OFFSET(产销汇总!$C$1,MATCH(K$28,产销汇总!$C$2:$C$8,0),$C$27)*_xlfn.XLOOKUP(C103,巡逻产出!$B$311:$B$610,巡逻产出!$I$311:$I$610)*IF($C$27=1,0.5,1)</f>
        <v>312</v>
      </c>
      <c r="L103" s="80">
        <f ca="1">OFFSET(产销汇总!$C$1,MATCH(L$28,产销汇总!$C$2:$C$8,0),$C$27)*竞技场!$C$5</f>
        <v>180</v>
      </c>
      <c r="M103" s="80">
        <f>任务!$C$6+IF(MOD(B103,7)=0,任务!$M$25)</f>
        <v>30</v>
      </c>
      <c r="N103" s="98">
        <f t="shared" si="10"/>
        <v>1.7</v>
      </c>
      <c r="O103" s="80">
        <f t="shared" si="11"/>
        <v>10</v>
      </c>
      <c r="P103" s="172">
        <f ca="1">OFFSET(产销汇总!$C$1,MATCH(P$27,产销汇总!$C$2:$C$8,0),$C$27)/200*协力宝箱!$Q$82</f>
        <v>0</v>
      </c>
      <c r="Q103" s="80">
        <f t="shared" si="12"/>
        <v>10</v>
      </c>
      <c r="R103" s="80">
        <v>10</v>
      </c>
      <c r="S103" s="172">
        <f t="shared" si="14"/>
        <v>100</v>
      </c>
      <c r="T103" s="172">
        <f>(公会!$F$12+公会!$F$13+公会!$F$14+公会!$F$18/7)/2</f>
        <v>121.428571428571</v>
      </c>
      <c r="U103" s="172">
        <f t="shared" si="13"/>
        <v>150</v>
      </c>
      <c r="V103" s="172" t="e">
        <f ca="1">SUM($H$29:U103)+SUM(D103:G103)</f>
        <v>#N/A</v>
      </c>
      <c r="W103" s="132" t="e">
        <f ca="1" t="shared" si="15"/>
        <v>#N/A</v>
      </c>
    </row>
    <row r="104" spans="1:23">
      <c r="A104" s="171"/>
      <c r="B104" s="80">
        <v>76</v>
      </c>
      <c r="C104" s="80">
        <f ca="1">OFFSET(产销汇总!$C$12,$B104,$C$27)</f>
        <v>149</v>
      </c>
      <c r="D104" s="80">
        <f ca="1">SUMIF(主线宝箱!$B$321:$B$620,"&lt;="&amp;C104,主线宝箱!$H$321:$H$620)+SUMIF(主线宝箱!$B$321:$B$620,"&lt;="&amp;C104,主线宝箱!$T$321:$T$620)</f>
        <v>5960</v>
      </c>
      <c r="E104" s="80">
        <v>110</v>
      </c>
      <c r="F104" s="80">
        <f t="shared" si="9"/>
        <v>450</v>
      </c>
      <c r="G104" s="80">
        <f ca="1">IF(AND($C$27&lt;3,B104&gt;3),G103,SUMIF(图纸产出设计!$F$334:$F$342,"&lt;="&amp;B104,图纸产出设计!$C$334:$C$342))</f>
        <v>3890</v>
      </c>
      <c r="H104" s="80">
        <f ca="1">OFFSET(产销汇总!$C$1,MATCH(H$28,产销汇总!$C$2:$C$8,0),$C$27)*(_xlfn.XLOOKUP(C104,主线推图!$B$313:$B$612,主线推图!$G$313:$G$612)+_xlfn.XLOOKUP(C104,主线推图!$B$313:$B$612,主线推图!$H$313:$H$612))</f>
        <v>176</v>
      </c>
      <c r="I104" s="80">
        <f ca="1">OFFSET(产销汇总!$C$1,MATCH(I$28,产销汇总!$C$2:$C$8,0),$C$27)*_xlfn.XLOOKUP(C104,巡逻产出!$B$311:$B$610,巡逻产出!$H$311:$H$610)</f>
        <v>0</v>
      </c>
      <c r="J104" s="80">
        <f ca="1">OFFSET(产销汇总!$C$1,MATCH(J$28,产销汇总!$C$2:$C$8,0),$C$27)*(_xlfn.XLOOKUP(MAX(1,INT(C104/10-6/10)),组队产出!$B$24:$B$39,组队产出!$J$24:$J$39)+_xlfn.XLOOKUP(MAX(1,INT(C104/10-6/10)),组队产出!$B$24:$B$39,组队产出!$K$24:$K$39))</f>
        <v>96</v>
      </c>
      <c r="K104" s="80">
        <f ca="1">OFFSET(产销汇总!$C$1,MATCH(K$28,产销汇总!$C$2:$C$8,0),$C$27)*_xlfn.XLOOKUP(C104,巡逻产出!$B$311:$B$610,巡逻产出!$I$311:$I$610)*IF($C$27=1,0.5,1)</f>
        <v>312</v>
      </c>
      <c r="L104" s="80">
        <f ca="1">OFFSET(产销汇总!$C$1,MATCH(L$28,产销汇总!$C$2:$C$8,0),$C$27)*竞技场!$C$5</f>
        <v>180</v>
      </c>
      <c r="M104" s="80">
        <f>任务!$C$6+IF(MOD(B104,7)=0,任务!$M$25)</f>
        <v>30</v>
      </c>
      <c r="N104" s="98">
        <f t="shared" si="10"/>
        <v>1.7</v>
      </c>
      <c r="O104" s="80">
        <f t="shared" si="11"/>
        <v>0</v>
      </c>
      <c r="P104" s="172">
        <f ca="1">OFFSET(产销汇总!$C$1,MATCH(P$27,产销汇总!$C$2:$C$8,0),$C$27)/200*协力宝箱!$Q$82</f>
        <v>0</v>
      </c>
      <c r="Q104" s="80">
        <f t="shared" si="12"/>
        <v>10</v>
      </c>
      <c r="R104" s="80">
        <v>10</v>
      </c>
      <c r="S104" s="172">
        <f t="shared" si="14"/>
        <v>100</v>
      </c>
      <c r="T104" s="172">
        <f>(公会!$F$12+公会!$F$13+公会!$F$14+公会!$F$18/7)/2</f>
        <v>121.428571428571</v>
      </c>
      <c r="U104" s="172">
        <f t="shared" si="13"/>
        <v>150</v>
      </c>
      <c r="V104" s="172" t="e">
        <f ca="1">SUM($H$29:U104)+SUM(D104:G104)</f>
        <v>#N/A</v>
      </c>
      <c r="W104" s="132" t="e">
        <f ca="1" t="shared" si="15"/>
        <v>#N/A</v>
      </c>
    </row>
    <row r="105" spans="1:23">
      <c r="A105" s="171"/>
      <c r="B105" s="80">
        <v>77</v>
      </c>
      <c r="C105" s="80">
        <f ca="1">OFFSET(产销汇总!$C$12,$B105,$C$27)</f>
        <v>150</v>
      </c>
      <c r="D105" s="80">
        <f ca="1">SUMIF(主线宝箱!$B$321:$B$620,"&lt;="&amp;C105,主线宝箱!$H$321:$H$620)+SUMIF(主线宝箱!$B$321:$B$620,"&lt;="&amp;C105,主线宝箱!$T$321:$T$620)</f>
        <v>6000</v>
      </c>
      <c r="E105" s="80">
        <v>110</v>
      </c>
      <c r="F105" s="80">
        <f t="shared" si="9"/>
        <v>450</v>
      </c>
      <c r="G105" s="80">
        <f ca="1">IF(AND($C$27&lt;3,B105&gt;3),G104,SUMIF(图纸产出设计!$F$334:$F$342,"&lt;="&amp;B105,图纸产出设计!$C$334:$C$342))</f>
        <v>3890</v>
      </c>
      <c r="H105" s="80">
        <f ca="1">OFFSET(产销汇总!$C$1,MATCH(H$28,产销汇总!$C$2:$C$8,0),$C$27)*(_xlfn.XLOOKUP(C105,主线推图!$B$313:$B$612,主线推图!$G$313:$G$612)+_xlfn.XLOOKUP(C105,主线推图!$B$313:$B$612,主线推图!$H$313:$H$612))</f>
        <v>176</v>
      </c>
      <c r="I105" s="80">
        <f ca="1">OFFSET(产销汇总!$C$1,MATCH(I$28,产销汇总!$C$2:$C$8,0),$C$27)*_xlfn.XLOOKUP(C105,巡逻产出!$B$311:$B$610,巡逻产出!$H$311:$H$610)</f>
        <v>0</v>
      </c>
      <c r="J105" s="80">
        <f ca="1">OFFSET(产销汇总!$C$1,MATCH(J$28,产销汇总!$C$2:$C$8,0),$C$27)*(_xlfn.XLOOKUP(MAX(1,INT(C105/10-6/10)),组队产出!$B$24:$B$39,组队产出!$J$24:$J$39)+_xlfn.XLOOKUP(MAX(1,INT(C105/10-6/10)),组队产出!$B$24:$B$39,组队产出!$K$24:$K$39))</f>
        <v>96</v>
      </c>
      <c r="K105" s="80">
        <f ca="1">OFFSET(产销汇总!$C$1,MATCH(K$28,产销汇总!$C$2:$C$8,0),$C$27)*_xlfn.XLOOKUP(C105,巡逻产出!$B$311:$B$610,巡逻产出!$I$311:$I$610)*IF($C$27=1,0.5,1)</f>
        <v>312</v>
      </c>
      <c r="L105" s="80">
        <f ca="1">OFFSET(产销汇总!$C$1,MATCH(L$28,产销汇总!$C$2:$C$8,0),$C$27)*竞技场!$C$5</f>
        <v>180</v>
      </c>
      <c r="M105" s="80">
        <f>任务!$C$6+IF(MOD(B105,7)=0,任务!$M$25)</f>
        <v>60</v>
      </c>
      <c r="N105" s="98">
        <f t="shared" si="10"/>
        <v>1.7</v>
      </c>
      <c r="O105" s="80">
        <f t="shared" si="11"/>
        <v>0</v>
      </c>
      <c r="P105" s="172">
        <f ca="1">OFFSET(产销汇总!$C$1,MATCH(P$27,产销汇总!$C$2:$C$8,0),$C$27)/200*协力宝箱!$Q$82</f>
        <v>0</v>
      </c>
      <c r="Q105" s="80">
        <f t="shared" si="12"/>
        <v>10</v>
      </c>
      <c r="R105" s="80">
        <v>10</v>
      </c>
      <c r="S105" s="172">
        <f t="shared" si="14"/>
        <v>100</v>
      </c>
      <c r="T105" s="172">
        <f>(公会!$F$12+公会!$F$13+公会!$F$14+公会!$F$18/7)/2</f>
        <v>121.428571428571</v>
      </c>
      <c r="U105" s="172">
        <f t="shared" si="13"/>
        <v>150</v>
      </c>
      <c r="V105" s="172" t="e">
        <f ca="1">SUM($H$29:U105)+SUM(D105:G105)</f>
        <v>#N/A</v>
      </c>
      <c r="W105" s="132" t="e">
        <f ca="1" t="shared" si="15"/>
        <v>#N/A</v>
      </c>
    </row>
    <row r="106" spans="1:23">
      <c r="A106" s="171"/>
      <c r="B106" s="80">
        <v>78</v>
      </c>
      <c r="C106" s="80">
        <f ca="1">OFFSET(产销汇总!$C$12,$B106,$C$27)</f>
        <v>151</v>
      </c>
      <c r="D106" s="80">
        <f ca="1">SUMIF(主线宝箱!$B$321:$B$620,"&lt;="&amp;C106,主线宝箱!$H$321:$H$620)+SUMIF(主线宝箱!$B$321:$B$620,"&lt;="&amp;C106,主线宝箱!$T$321:$T$620)</f>
        <v>6040</v>
      </c>
      <c r="E106" s="80">
        <v>110</v>
      </c>
      <c r="F106" s="80">
        <f t="shared" si="9"/>
        <v>450</v>
      </c>
      <c r="G106" s="80">
        <f ca="1">IF(AND($C$27&lt;3,B106&gt;3),G105,SUMIF(图纸产出设计!$F$334:$F$342,"&lt;="&amp;B106,图纸产出设计!$C$334:$C$342))</f>
        <v>3890</v>
      </c>
      <c r="H106" s="80">
        <f ca="1">OFFSET(产销汇总!$C$1,MATCH(H$28,产销汇总!$C$2:$C$8,0),$C$27)*(_xlfn.XLOOKUP(C106,主线推图!$B$313:$B$612,主线推图!$G$313:$G$612)+_xlfn.XLOOKUP(C106,主线推图!$B$313:$B$612,主线推图!$H$313:$H$612))</f>
        <v>176</v>
      </c>
      <c r="I106" s="80">
        <f ca="1">OFFSET(产销汇总!$C$1,MATCH(I$28,产销汇总!$C$2:$C$8,0),$C$27)*_xlfn.XLOOKUP(C106,巡逻产出!$B$311:$B$610,巡逻产出!$H$311:$H$610)</f>
        <v>0</v>
      </c>
      <c r="J106" s="80">
        <f ca="1">OFFSET(产销汇总!$C$1,MATCH(J$28,产销汇总!$C$2:$C$8,0),$C$27)*(_xlfn.XLOOKUP(MAX(1,INT(C106/10-6/10)),组队产出!$B$24:$B$39,组队产出!$J$24:$J$39)+_xlfn.XLOOKUP(MAX(1,INT(C106/10-6/10)),组队产出!$B$24:$B$39,组队产出!$K$24:$K$39))</f>
        <v>96</v>
      </c>
      <c r="K106" s="80">
        <f ca="1">OFFSET(产销汇总!$C$1,MATCH(K$28,产销汇总!$C$2:$C$8,0),$C$27)*_xlfn.XLOOKUP(C106,巡逻产出!$B$311:$B$610,巡逻产出!$I$311:$I$610)*IF($C$27=1,0.5,1)</f>
        <v>312</v>
      </c>
      <c r="L106" s="80">
        <f ca="1">OFFSET(产销汇总!$C$1,MATCH(L$28,产销汇总!$C$2:$C$8,0),$C$27)*竞技场!$C$5</f>
        <v>180</v>
      </c>
      <c r="M106" s="80">
        <f>任务!$C$6+IF(MOD(B106,7)=0,任务!$M$25)</f>
        <v>30</v>
      </c>
      <c r="N106" s="98">
        <f t="shared" si="10"/>
        <v>1.7</v>
      </c>
      <c r="O106" s="80">
        <f t="shared" si="11"/>
        <v>0</v>
      </c>
      <c r="P106" s="172">
        <f ca="1">OFFSET(产销汇总!$C$1,MATCH(P$27,产销汇总!$C$2:$C$8,0),$C$27)/200*协力宝箱!$Q$82</f>
        <v>0</v>
      </c>
      <c r="Q106" s="80">
        <f t="shared" si="12"/>
        <v>10</v>
      </c>
      <c r="R106" s="80">
        <v>10</v>
      </c>
      <c r="S106" s="172">
        <f t="shared" si="14"/>
        <v>100</v>
      </c>
      <c r="T106" s="172">
        <f>(公会!$F$12+公会!$F$13+公会!$F$14+公会!$F$18/7)/2</f>
        <v>121.428571428571</v>
      </c>
      <c r="U106" s="172">
        <f t="shared" si="13"/>
        <v>150</v>
      </c>
      <c r="V106" s="172" t="e">
        <f ca="1">SUM($H$29:U106)+SUM(D106:G106)</f>
        <v>#N/A</v>
      </c>
      <c r="W106" s="132" t="e">
        <f ca="1" t="shared" si="15"/>
        <v>#N/A</v>
      </c>
    </row>
    <row r="107" spans="1:23">
      <c r="A107" s="171"/>
      <c r="B107" s="80">
        <v>79</v>
      </c>
      <c r="C107" s="80">
        <f ca="1">OFFSET(产销汇总!$C$12,$B107,$C$27)</f>
        <v>152</v>
      </c>
      <c r="D107" s="80">
        <f ca="1">SUMIF(主线宝箱!$B$321:$B$620,"&lt;="&amp;C107,主线宝箱!$H$321:$H$620)+SUMIF(主线宝箱!$B$321:$B$620,"&lt;="&amp;C107,主线宝箱!$T$321:$T$620)</f>
        <v>6080</v>
      </c>
      <c r="E107" s="80">
        <v>110</v>
      </c>
      <c r="F107" s="80">
        <f t="shared" si="9"/>
        <v>450</v>
      </c>
      <c r="G107" s="80">
        <f ca="1">IF(AND($C$27&lt;3,B107&gt;3),G106,SUMIF(图纸产出设计!$F$334:$F$342,"&lt;="&amp;B107,图纸产出设计!$C$334:$C$342))</f>
        <v>3890</v>
      </c>
      <c r="H107" s="80">
        <f ca="1">OFFSET(产销汇总!$C$1,MATCH(H$28,产销汇总!$C$2:$C$8,0),$C$27)*(_xlfn.XLOOKUP(C107,主线推图!$B$313:$B$612,主线推图!$G$313:$G$612)+_xlfn.XLOOKUP(C107,主线推图!$B$313:$B$612,主线推图!$H$313:$H$612))</f>
        <v>176</v>
      </c>
      <c r="I107" s="80">
        <f ca="1">OFFSET(产销汇总!$C$1,MATCH(I$28,产销汇总!$C$2:$C$8,0),$C$27)*_xlfn.XLOOKUP(C107,巡逻产出!$B$311:$B$610,巡逻产出!$H$311:$H$610)</f>
        <v>0</v>
      </c>
      <c r="J107" s="80">
        <f ca="1">OFFSET(产销汇总!$C$1,MATCH(J$28,产销汇总!$C$2:$C$8,0),$C$27)*(_xlfn.XLOOKUP(MAX(1,INT(C107/10-6/10)),组队产出!$B$24:$B$39,组队产出!$J$24:$J$39)+_xlfn.XLOOKUP(MAX(1,INT(C107/10-6/10)),组队产出!$B$24:$B$39,组队产出!$K$24:$K$39))</f>
        <v>96</v>
      </c>
      <c r="K107" s="80">
        <f ca="1">OFFSET(产销汇总!$C$1,MATCH(K$28,产销汇总!$C$2:$C$8,0),$C$27)*_xlfn.XLOOKUP(C107,巡逻产出!$B$311:$B$610,巡逻产出!$I$311:$I$610)*IF($C$27=1,0.5,1)</f>
        <v>312</v>
      </c>
      <c r="L107" s="80">
        <f ca="1">OFFSET(产销汇总!$C$1,MATCH(L$28,产销汇总!$C$2:$C$8,0),$C$27)*竞技场!$C$5</f>
        <v>180</v>
      </c>
      <c r="M107" s="80">
        <f>任务!$C$6+IF(MOD(B107,7)=0,任务!$M$25)</f>
        <v>30</v>
      </c>
      <c r="N107" s="98">
        <f t="shared" si="10"/>
        <v>1.7</v>
      </c>
      <c r="O107" s="80">
        <f t="shared" si="11"/>
        <v>10</v>
      </c>
      <c r="P107" s="172">
        <f ca="1">OFFSET(产销汇总!$C$1,MATCH(P$27,产销汇总!$C$2:$C$8,0),$C$27)/200*协力宝箱!$Q$82</f>
        <v>0</v>
      </c>
      <c r="Q107" s="80">
        <f t="shared" si="12"/>
        <v>10</v>
      </c>
      <c r="R107" s="80">
        <v>10</v>
      </c>
      <c r="S107" s="172">
        <f t="shared" si="14"/>
        <v>100</v>
      </c>
      <c r="T107" s="172">
        <f>(公会!$F$12+公会!$F$13+公会!$F$14+公会!$F$18/7)/2</f>
        <v>121.428571428571</v>
      </c>
      <c r="U107" s="172">
        <f t="shared" si="13"/>
        <v>150</v>
      </c>
      <c r="V107" s="172" t="e">
        <f ca="1">SUM($H$29:U107)+SUM(D107:G107)</f>
        <v>#N/A</v>
      </c>
      <c r="W107" s="132" t="e">
        <f ca="1" t="shared" si="15"/>
        <v>#N/A</v>
      </c>
    </row>
    <row r="108" spans="1:23">
      <c r="A108" s="171"/>
      <c r="B108" s="80">
        <v>80</v>
      </c>
      <c r="C108" s="80">
        <f ca="1">OFFSET(产销汇总!$C$12,$B108,$C$27)</f>
        <v>153</v>
      </c>
      <c r="D108" s="80">
        <f ca="1">SUMIF(主线宝箱!$B$321:$B$620,"&lt;="&amp;C108,主线宝箱!$H$321:$H$620)+SUMIF(主线宝箱!$B$321:$B$620,"&lt;="&amp;C108,主线宝箱!$T$321:$T$620)</f>
        <v>6120</v>
      </c>
      <c r="E108" s="80">
        <v>110</v>
      </c>
      <c r="F108" s="80">
        <f t="shared" si="9"/>
        <v>450</v>
      </c>
      <c r="G108" s="80">
        <f ca="1">IF(AND($C$27&lt;3,B108&gt;3),G107,SUMIF(图纸产出设计!$F$334:$F$342,"&lt;="&amp;B108,图纸产出设计!$C$334:$C$342))</f>
        <v>3890</v>
      </c>
      <c r="H108" s="80">
        <f ca="1">OFFSET(产销汇总!$C$1,MATCH(H$28,产销汇总!$C$2:$C$8,0),$C$27)*(_xlfn.XLOOKUP(C108,主线推图!$B$313:$B$612,主线推图!$G$313:$G$612)+_xlfn.XLOOKUP(C108,主线推图!$B$313:$B$612,主线推图!$H$313:$H$612))</f>
        <v>176</v>
      </c>
      <c r="I108" s="80">
        <f ca="1">OFFSET(产销汇总!$C$1,MATCH(I$28,产销汇总!$C$2:$C$8,0),$C$27)*_xlfn.XLOOKUP(C108,巡逻产出!$B$311:$B$610,巡逻产出!$H$311:$H$610)</f>
        <v>0</v>
      </c>
      <c r="J108" s="80">
        <f ca="1">OFFSET(产销汇总!$C$1,MATCH(J$28,产销汇总!$C$2:$C$8,0),$C$27)*(_xlfn.XLOOKUP(MAX(1,INT(C108/10-6/10)),组队产出!$B$24:$B$39,组队产出!$J$24:$J$39)+_xlfn.XLOOKUP(MAX(1,INT(C108/10-6/10)),组队产出!$B$24:$B$39,组队产出!$K$24:$K$39))</f>
        <v>96</v>
      </c>
      <c r="K108" s="80">
        <f ca="1">OFFSET(产销汇总!$C$1,MATCH(K$28,产销汇总!$C$2:$C$8,0),$C$27)*_xlfn.XLOOKUP(C108,巡逻产出!$B$311:$B$610,巡逻产出!$I$311:$I$610)*IF($C$27=1,0.5,1)</f>
        <v>312</v>
      </c>
      <c r="L108" s="80">
        <f ca="1">OFFSET(产销汇总!$C$1,MATCH(L$28,产销汇总!$C$2:$C$8,0),$C$27)*竞技场!$C$5</f>
        <v>180</v>
      </c>
      <c r="M108" s="80">
        <f>任务!$C$6+IF(MOD(B108,7)=0,任务!$M$25)</f>
        <v>30</v>
      </c>
      <c r="N108" s="98">
        <f t="shared" si="10"/>
        <v>1.7</v>
      </c>
      <c r="O108" s="80">
        <f t="shared" si="11"/>
        <v>0</v>
      </c>
      <c r="P108" s="172">
        <f ca="1">OFFSET(产销汇总!$C$1,MATCH(P$27,产销汇总!$C$2:$C$8,0),$C$27)/200*协力宝箱!$Q$82</f>
        <v>0</v>
      </c>
      <c r="Q108" s="80">
        <f t="shared" si="12"/>
        <v>10</v>
      </c>
      <c r="R108" s="80">
        <v>10</v>
      </c>
      <c r="S108" s="172">
        <f t="shared" si="14"/>
        <v>100</v>
      </c>
      <c r="T108" s="172">
        <f>(公会!$F$12+公会!$F$13+公会!$F$14+公会!$F$18/7)/2</f>
        <v>121.428571428571</v>
      </c>
      <c r="U108" s="172">
        <f t="shared" si="13"/>
        <v>150</v>
      </c>
      <c r="V108" s="172" t="e">
        <f ca="1">SUM($H$29:U108)+SUM(D108:G108)</f>
        <v>#N/A</v>
      </c>
      <c r="W108" s="132" t="e">
        <f ca="1" t="shared" si="15"/>
        <v>#N/A</v>
      </c>
    </row>
    <row r="109" spans="1:23">
      <c r="A109" s="171"/>
      <c r="B109" s="80">
        <v>81</v>
      </c>
      <c r="C109" s="80">
        <f ca="1">OFFSET(产销汇总!$C$12,$B109,$C$27)</f>
        <v>154</v>
      </c>
      <c r="D109" s="80">
        <f ca="1">SUMIF(主线宝箱!$B$321:$B$620,"&lt;="&amp;C109,主线宝箱!$H$321:$H$620)+SUMIF(主线宝箱!$B$321:$B$620,"&lt;="&amp;C109,主线宝箱!$T$321:$T$620)</f>
        <v>6160</v>
      </c>
      <c r="E109" s="80">
        <v>110</v>
      </c>
      <c r="F109" s="80">
        <f t="shared" ref="F109:F172" si="16">F108</f>
        <v>450</v>
      </c>
      <c r="G109" s="80">
        <f ca="1">IF(AND($C$27&lt;3,B109&gt;3),G108,SUMIF(图纸产出设计!$F$334:$F$342,"&lt;="&amp;B109,图纸产出设计!$C$334:$C$342))</f>
        <v>3890</v>
      </c>
      <c r="H109" s="80">
        <f ca="1">OFFSET(产销汇总!$C$1,MATCH(H$28,产销汇总!$C$2:$C$8,0),$C$27)*(_xlfn.XLOOKUP(C109,主线推图!$B$313:$B$612,主线推图!$G$313:$G$612)+_xlfn.XLOOKUP(C109,主线推图!$B$313:$B$612,主线推图!$H$313:$H$612))</f>
        <v>176</v>
      </c>
      <c r="I109" s="80">
        <f ca="1">OFFSET(产销汇总!$C$1,MATCH(I$28,产销汇总!$C$2:$C$8,0),$C$27)*_xlfn.XLOOKUP(C109,巡逻产出!$B$311:$B$610,巡逻产出!$H$311:$H$610)</f>
        <v>0</v>
      </c>
      <c r="J109" s="80">
        <f ca="1">OFFSET(产销汇总!$C$1,MATCH(J$28,产销汇总!$C$2:$C$8,0),$C$27)*(_xlfn.XLOOKUP(MAX(1,INT(C109/10-6/10)),组队产出!$B$24:$B$39,组队产出!$J$24:$J$39)+_xlfn.XLOOKUP(MAX(1,INT(C109/10-6/10)),组队产出!$B$24:$B$39,组队产出!$K$24:$K$39))</f>
        <v>96</v>
      </c>
      <c r="K109" s="80">
        <f ca="1">OFFSET(产销汇总!$C$1,MATCH(K$28,产销汇总!$C$2:$C$8,0),$C$27)*_xlfn.XLOOKUP(C109,巡逻产出!$B$311:$B$610,巡逻产出!$I$311:$I$610)*IF($C$27=1,0.5,1)</f>
        <v>312</v>
      </c>
      <c r="L109" s="80">
        <f ca="1">OFFSET(产销汇总!$C$1,MATCH(L$28,产销汇总!$C$2:$C$8,0),$C$27)*竞技场!$C$5</f>
        <v>180</v>
      </c>
      <c r="M109" s="80">
        <f>任务!$C$6+IF(MOD(B109,7)=0,任务!$M$25)</f>
        <v>30</v>
      </c>
      <c r="N109" s="98">
        <f t="shared" si="10"/>
        <v>1.7</v>
      </c>
      <c r="O109" s="80">
        <f t="shared" si="11"/>
        <v>0</v>
      </c>
      <c r="P109" s="172">
        <f ca="1">OFFSET(产销汇总!$C$1,MATCH(P$27,产销汇总!$C$2:$C$8,0),$C$27)/200*协力宝箱!$Q$82</f>
        <v>0</v>
      </c>
      <c r="Q109" s="80">
        <f t="shared" si="12"/>
        <v>10</v>
      </c>
      <c r="R109" s="80">
        <v>10</v>
      </c>
      <c r="S109" s="172">
        <f t="shared" si="14"/>
        <v>100</v>
      </c>
      <c r="T109" s="172">
        <f>(公会!$F$12+公会!$F$13+公会!$F$14+公会!$F$18/7)/2</f>
        <v>121.428571428571</v>
      </c>
      <c r="U109" s="172">
        <f t="shared" si="13"/>
        <v>150</v>
      </c>
      <c r="V109" s="172" t="e">
        <f ca="1">SUM($H$29:U109)+SUM(D109:G109)</f>
        <v>#N/A</v>
      </c>
      <c r="W109" s="132" t="e">
        <f ca="1" t="shared" si="15"/>
        <v>#N/A</v>
      </c>
    </row>
    <row r="110" spans="1:23">
      <c r="A110" s="171"/>
      <c r="B110" s="80">
        <v>82</v>
      </c>
      <c r="C110" s="80">
        <f ca="1">OFFSET(产销汇总!$C$12,$B110,$C$27)</f>
        <v>155</v>
      </c>
      <c r="D110" s="80">
        <f ca="1">SUMIF(主线宝箱!$B$321:$B$620,"&lt;="&amp;C110,主线宝箱!$H$321:$H$620)+SUMIF(主线宝箱!$B$321:$B$620,"&lt;="&amp;C110,主线宝箱!$T$321:$T$620)</f>
        <v>6200</v>
      </c>
      <c r="E110" s="80">
        <v>110</v>
      </c>
      <c r="F110" s="80">
        <f t="shared" si="16"/>
        <v>450</v>
      </c>
      <c r="G110" s="80">
        <f ca="1">IF(AND($C$27&lt;3,B110&gt;3),G109,SUMIF(图纸产出设计!$F$334:$F$342,"&lt;="&amp;B110,图纸产出设计!$C$334:$C$342))</f>
        <v>3890</v>
      </c>
      <c r="H110" s="80">
        <f ca="1">OFFSET(产销汇总!$C$1,MATCH(H$28,产销汇总!$C$2:$C$8,0),$C$27)*(_xlfn.XLOOKUP(C110,主线推图!$B$313:$B$612,主线推图!$G$313:$G$612)+_xlfn.XLOOKUP(C110,主线推图!$B$313:$B$612,主线推图!$H$313:$H$612))</f>
        <v>176</v>
      </c>
      <c r="I110" s="80">
        <f ca="1">OFFSET(产销汇总!$C$1,MATCH(I$28,产销汇总!$C$2:$C$8,0),$C$27)*_xlfn.XLOOKUP(C110,巡逻产出!$B$311:$B$610,巡逻产出!$H$311:$H$610)</f>
        <v>0</v>
      </c>
      <c r="J110" s="80">
        <f ca="1">OFFSET(产销汇总!$C$1,MATCH(J$28,产销汇总!$C$2:$C$8,0),$C$27)*(_xlfn.XLOOKUP(MAX(1,INT(C110/10-6/10)),组队产出!$B$24:$B$39,组队产出!$J$24:$J$39)+_xlfn.XLOOKUP(MAX(1,INT(C110/10-6/10)),组队产出!$B$24:$B$39,组队产出!$K$24:$K$39))</f>
        <v>96</v>
      </c>
      <c r="K110" s="80">
        <f ca="1">OFFSET(产销汇总!$C$1,MATCH(K$28,产销汇总!$C$2:$C$8,0),$C$27)*_xlfn.XLOOKUP(C110,巡逻产出!$B$311:$B$610,巡逻产出!$I$311:$I$610)*IF($C$27=1,0.5,1)</f>
        <v>312</v>
      </c>
      <c r="L110" s="80">
        <f ca="1">OFFSET(产销汇总!$C$1,MATCH(L$28,产销汇总!$C$2:$C$8,0),$C$27)*竞技场!$C$5</f>
        <v>180</v>
      </c>
      <c r="M110" s="80">
        <f>任务!$C$6+IF(MOD(B110,7)=0,任务!$M$25)</f>
        <v>30</v>
      </c>
      <c r="N110" s="98">
        <f t="shared" si="10"/>
        <v>1.7</v>
      </c>
      <c r="O110" s="80">
        <f t="shared" si="11"/>
        <v>10</v>
      </c>
      <c r="P110" s="172">
        <f ca="1">OFFSET(产销汇总!$C$1,MATCH(P$27,产销汇总!$C$2:$C$8,0),$C$27)/200*协力宝箱!$Q$82</f>
        <v>0</v>
      </c>
      <c r="Q110" s="80">
        <f t="shared" si="12"/>
        <v>10</v>
      </c>
      <c r="R110" s="80">
        <v>10</v>
      </c>
      <c r="S110" s="172">
        <f t="shared" si="14"/>
        <v>100</v>
      </c>
      <c r="T110" s="172">
        <f>(公会!$F$12+公会!$F$13+公会!$F$14+公会!$F$18/7)/2</f>
        <v>121.428571428571</v>
      </c>
      <c r="U110" s="172">
        <f t="shared" si="13"/>
        <v>150</v>
      </c>
      <c r="V110" s="172" t="e">
        <f ca="1">SUM($H$29:U110)+SUM(D110:G110)</f>
        <v>#N/A</v>
      </c>
      <c r="W110" s="132" t="e">
        <f ca="1" t="shared" si="15"/>
        <v>#N/A</v>
      </c>
    </row>
    <row r="111" spans="1:23">
      <c r="A111" s="171"/>
      <c r="B111" s="80">
        <v>83</v>
      </c>
      <c r="C111" s="80">
        <f ca="1">OFFSET(产销汇总!$C$12,$B111,$C$27)</f>
        <v>156</v>
      </c>
      <c r="D111" s="80">
        <f ca="1">SUMIF(主线宝箱!$B$321:$B$620,"&lt;="&amp;C111,主线宝箱!$H$321:$H$620)+SUMIF(主线宝箱!$B$321:$B$620,"&lt;="&amp;C111,主线宝箱!$T$321:$T$620)</f>
        <v>6240</v>
      </c>
      <c r="E111" s="80">
        <v>110</v>
      </c>
      <c r="F111" s="80">
        <f t="shared" si="16"/>
        <v>450</v>
      </c>
      <c r="G111" s="80">
        <f ca="1">IF(AND($C$27&lt;3,B111&gt;3),G110,SUMIF(图纸产出设计!$F$334:$F$342,"&lt;="&amp;B111,图纸产出设计!$C$334:$C$342))</f>
        <v>3890</v>
      </c>
      <c r="H111" s="80">
        <f ca="1">OFFSET(产销汇总!$C$1,MATCH(H$28,产销汇总!$C$2:$C$8,0),$C$27)*(_xlfn.XLOOKUP(C111,主线推图!$B$313:$B$612,主线推图!$G$313:$G$612)+_xlfn.XLOOKUP(C111,主线推图!$B$313:$B$612,主线推图!$H$313:$H$612))</f>
        <v>176</v>
      </c>
      <c r="I111" s="80">
        <f ca="1">OFFSET(产销汇总!$C$1,MATCH(I$28,产销汇总!$C$2:$C$8,0),$C$27)*_xlfn.XLOOKUP(C111,巡逻产出!$B$311:$B$610,巡逻产出!$H$311:$H$610)</f>
        <v>0</v>
      </c>
      <c r="J111" s="80">
        <f ca="1">OFFSET(产销汇总!$C$1,MATCH(J$28,产销汇总!$C$2:$C$8,0),$C$27)*(_xlfn.XLOOKUP(MAX(1,INT(C111/10-6/10)),组队产出!$B$24:$B$39,组队产出!$J$24:$J$39)+_xlfn.XLOOKUP(MAX(1,INT(C111/10-6/10)),组队产出!$B$24:$B$39,组队产出!$K$24:$K$39))</f>
        <v>96</v>
      </c>
      <c r="K111" s="80">
        <f ca="1">OFFSET(产销汇总!$C$1,MATCH(K$28,产销汇总!$C$2:$C$8,0),$C$27)*_xlfn.XLOOKUP(C111,巡逻产出!$B$311:$B$610,巡逻产出!$I$311:$I$610)*IF($C$27=1,0.5,1)</f>
        <v>312</v>
      </c>
      <c r="L111" s="80">
        <f ca="1">OFFSET(产销汇总!$C$1,MATCH(L$28,产销汇总!$C$2:$C$8,0),$C$27)*竞技场!$C$5</f>
        <v>180</v>
      </c>
      <c r="M111" s="80">
        <f>任务!$C$6+IF(MOD(B111,7)=0,任务!$M$25)</f>
        <v>30</v>
      </c>
      <c r="N111" s="98">
        <f t="shared" si="10"/>
        <v>1.7</v>
      </c>
      <c r="O111" s="80">
        <f t="shared" si="11"/>
        <v>0</v>
      </c>
      <c r="P111" s="172">
        <f ca="1">OFFSET(产销汇总!$C$1,MATCH(P$27,产销汇总!$C$2:$C$8,0),$C$27)/200*协力宝箱!$Q$82</f>
        <v>0</v>
      </c>
      <c r="Q111" s="80">
        <f t="shared" si="12"/>
        <v>10</v>
      </c>
      <c r="R111" s="80">
        <v>10</v>
      </c>
      <c r="S111" s="172">
        <f t="shared" si="14"/>
        <v>100</v>
      </c>
      <c r="T111" s="172">
        <f>(公会!$F$12+公会!$F$13+公会!$F$14+公会!$F$18/7)/2</f>
        <v>121.428571428571</v>
      </c>
      <c r="U111" s="172">
        <f t="shared" si="13"/>
        <v>150</v>
      </c>
      <c r="V111" s="172" t="e">
        <f ca="1">SUM($H$29:U111)+SUM(D111:G111)</f>
        <v>#N/A</v>
      </c>
      <c r="W111" s="132" t="e">
        <f ca="1" t="shared" si="15"/>
        <v>#N/A</v>
      </c>
    </row>
    <row r="112" spans="1:23">
      <c r="A112" s="171"/>
      <c r="B112" s="80">
        <v>84</v>
      </c>
      <c r="C112" s="80">
        <f ca="1">OFFSET(产销汇总!$C$12,$B112,$C$27)</f>
        <v>157</v>
      </c>
      <c r="D112" s="80">
        <f ca="1">SUMIF(主线宝箱!$B$321:$B$620,"&lt;="&amp;C112,主线宝箱!$H$321:$H$620)+SUMIF(主线宝箱!$B$321:$B$620,"&lt;="&amp;C112,主线宝箱!$T$321:$T$620)</f>
        <v>6280</v>
      </c>
      <c r="E112" s="80">
        <v>110</v>
      </c>
      <c r="F112" s="80">
        <f t="shared" si="16"/>
        <v>450</v>
      </c>
      <c r="G112" s="80">
        <f ca="1">IF(AND($C$27&lt;3,B112&gt;3),G111,SUMIF(图纸产出设计!$F$334:$F$342,"&lt;="&amp;B112,图纸产出设计!$C$334:$C$342))</f>
        <v>3890</v>
      </c>
      <c r="H112" s="80">
        <f ca="1">OFFSET(产销汇总!$C$1,MATCH(H$28,产销汇总!$C$2:$C$8,0),$C$27)*(_xlfn.XLOOKUP(C112,主线推图!$B$313:$B$612,主线推图!$G$313:$G$612)+_xlfn.XLOOKUP(C112,主线推图!$B$313:$B$612,主线推图!$H$313:$H$612))</f>
        <v>176</v>
      </c>
      <c r="I112" s="80">
        <f ca="1">OFFSET(产销汇总!$C$1,MATCH(I$28,产销汇总!$C$2:$C$8,0),$C$27)*_xlfn.XLOOKUP(C112,巡逻产出!$B$311:$B$610,巡逻产出!$H$311:$H$610)</f>
        <v>0</v>
      </c>
      <c r="J112" s="80">
        <f ca="1">OFFSET(产销汇总!$C$1,MATCH(J$28,产销汇总!$C$2:$C$8,0),$C$27)*(_xlfn.XLOOKUP(MAX(1,INT(C112/10-6/10)),组队产出!$B$24:$B$39,组队产出!$J$24:$J$39)+_xlfn.XLOOKUP(MAX(1,INT(C112/10-6/10)),组队产出!$B$24:$B$39,组队产出!$K$24:$K$39))</f>
        <v>96</v>
      </c>
      <c r="K112" s="80">
        <f ca="1">OFFSET(产销汇总!$C$1,MATCH(K$28,产销汇总!$C$2:$C$8,0),$C$27)*_xlfn.XLOOKUP(C112,巡逻产出!$B$311:$B$610,巡逻产出!$I$311:$I$610)*IF($C$27=1,0.5,1)</f>
        <v>312</v>
      </c>
      <c r="L112" s="80">
        <f ca="1">OFFSET(产销汇总!$C$1,MATCH(L$28,产销汇总!$C$2:$C$8,0),$C$27)*竞技场!$C$5</f>
        <v>180</v>
      </c>
      <c r="M112" s="80">
        <f>任务!$C$6+IF(MOD(B112,7)=0,任务!$M$25)</f>
        <v>60</v>
      </c>
      <c r="N112" s="98">
        <f t="shared" si="10"/>
        <v>1.7</v>
      </c>
      <c r="O112" s="80">
        <f t="shared" si="11"/>
        <v>0</v>
      </c>
      <c r="P112" s="172">
        <f ca="1">OFFSET(产销汇总!$C$1,MATCH(P$27,产销汇总!$C$2:$C$8,0),$C$27)/200*协力宝箱!$Q$82</f>
        <v>0</v>
      </c>
      <c r="Q112" s="80">
        <f t="shared" si="12"/>
        <v>10</v>
      </c>
      <c r="R112" s="80">
        <v>10</v>
      </c>
      <c r="S112" s="172">
        <f t="shared" si="14"/>
        <v>100</v>
      </c>
      <c r="T112" s="172">
        <f>(公会!$F$12+公会!$F$13+公会!$F$14+公会!$F$18/7)/2</f>
        <v>121.428571428571</v>
      </c>
      <c r="U112" s="172">
        <f t="shared" si="13"/>
        <v>150</v>
      </c>
      <c r="V112" s="172" t="e">
        <f ca="1">SUM($H$29:U112)+SUM(D112:G112)</f>
        <v>#N/A</v>
      </c>
      <c r="W112" s="132" t="e">
        <f ca="1" t="shared" si="15"/>
        <v>#N/A</v>
      </c>
    </row>
    <row r="113" spans="1:23">
      <c r="A113" s="171"/>
      <c r="B113" s="80">
        <v>85</v>
      </c>
      <c r="C113" s="80">
        <f ca="1">OFFSET(产销汇总!$C$12,$B113,$C$27)</f>
        <v>158</v>
      </c>
      <c r="D113" s="80">
        <f ca="1">SUMIF(主线宝箱!$B$321:$B$620,"&lt;="&amp;C113,主线宝箱!$H$321:$H$620)+SUMIF(主线宝箱!$B$321:$B$620,"&lt;="&amp;C113,主线宝箱!$T$321:$T$620)</f>
        <v>6320</v>
      </c>
      <c r="E113" s="80">
        <v>110</v>
      </c>
      <c r="F113" s="80">
        <f t="shared" si="16"/>
        <v>450</v>
      </c>
      <c r="G113" s="80">
        <f ca="1">IF(AND($C$27&lt;3,B113&gt;3),G112,SUMIF(图纸产出设计!$F$334:$F$342,"&lt;="&amp;B113,图纸产出设计!$C$334:$C$342))</f>
        <v>3890</v>
      </c>
      <c r="H113" s="80">
        <f ca="1">OFFSET(产销汇总!$C$1,MATCH(H$28,产销汇总!$C$2:$C$8,0),$C$27)*(_xlfn.XLOOKUP(C113,主线推图!$B$313:$B$612,主线推图!$G$313:$G$612)+_xlfn.XLOOKUP(C113,主线推图!$B$313:$B$612,主线推图!$H$313:$H$612))</f>
        <v>176</v>
      </c>
      <c r="I113" s="80">
        <f ca="1">OFFSET(产销汇总!$C$1,MATCH(I$28,产销汇总!$C$2:$C$8,0),$C$27)*_xlfn.XLOOKUP(C113,巡逻产出!$B$311:$B$610,巡逻产出!$H$311:$H$610)</f>
        <v>0</v>
      </c>
      <c r="J113" s="80">
        <f ca="1">OFFSET(产销汇总!$C$1,MATCH(J$28,产销汇总!$C$2:$C$8,0),$C$27)*(_xlfn.XLOOKUP(MAX(1,INT(C113/10-6/10)),组队产出!$B$24:$B$39,组队产出!$J$24:$J$39)+_xlfn.XLOOKUP(MAX(1,INT(C113/10-6/10)),组队产出!$B$24:$B$39,组队产出!$K$24:$K$39))</f>
        <v>96</v>
      </c>
      <c r="K113" s="80">
        <f ca="1">OFFSET(产销汇总!$C$1,MATCH(K$28,产销汇总!$C$2:$C$8,0),$C$27)*_xlfn.XLOOKUP(C113,巡逻产出!$B$311:$B$610,巡逻产出!$I$311:$I$610)*IF($C$27=1,0.5,1)</f>
        <v>312</v>
      </c>
      <c r="L113" s="80">
        <f ca="1">OFFSET(产销汇总!$C$1,MATCH(L$28,产销汇总!$C$2:$C$8,0),$C$27)*竞技场!$C$5</f>
        <v>180</v>
      </c>
      <c r="M113" s="80">
        <f>任务!$C$6+IF(MOD(B113,7)=0,任务!$M$25)</f>
        <v>30</v>
      </c>
      <c r="N113" s="98">
        <f t="shared" si="10"/>
        <v>1.7</v>
      </c>
      <c r="O113" s="80">
        <f t="shared" si="11"/>
        <v>0</v>
      </c>
      <c r="P113" s="172">
        <f ca="1">OFFSET(产销汇总!$C$1,MATCH(P$27,产销汇总!$C$2:$C$8,0),$C$27)/200*协力宝箱!$Q$82</f>
        <v>0</v>
      </c>
      <c r="Q113" s="80">
        <f t="shared" si="12"/>
        <v>10</v>
      </c>
      <c r="R113" s="80">
        <v>10</v>
      </c>
      <c r="S113" s="172">
        <f t="shared" si="14"/>
        <v>100</v>
      </c>
      <c r="T113" s="172">
        <f>(公会!$F$12+公会!$F$13+公会!$F$14+公会!$F$18/7)/2</f>
        <v>121.428571428571</v>
      </c>
      <c r="U113" s="172">
        <f t="shared" si="13"/>
        <v>150</v>
      </c>
      <c r="V113" s="172" t="e">
        <f ca="1">SUM($H$29:U113)+SUM(D113:G113)</f>
        <v>#N/A</v>
      </c>
      <c r="W113" s="132" t="e">
        <f ca="1" t="shared" si="15"/>
        <v>#N/A</v>
      </c>
    </row>
    <row r="114" spans="1:23">
      <c r="A114" s="171"/>
      <c r="B114" s="80">
        <v>86</v>
      </c>
      <c r="C114" s="80">
        <f ca="1">OFFSET(产销汇总!$C$12,$B114,$C$27)</f>
        <v>159</v>
      </c>
      <c r="D114" s="80">
        <f ca="1">SUMIF(主线宝箱!$B$321:$B$620,"&lt;="&amp;C114,主线宝箱!$H$321:$H$620)+SUMIF(主线宝箱!$B$321:$B$620,"&lt;="&amp;C114,主线宝箱!$T$321:$T$620)</f>
        <v>6360</v>
      </c>
      <c r="E114" s="80">
        <v>110</v>
      </c>
      <c r="F114" s="80">
        <f t="shared" si="16"/>
        <v>450</v>
      </c>
      <c r="G114" s="80">
        <f ca="1">IF(AND($C$27&lt;3,B114&gt;3),G113,SUMIF(图纸产出设计!$F$334:$F$342,"&lt;="&amp;B114,图纸产出设计!$C$334:$C$342))</f>
        <v>3890</v>
      </c>
      <c r="H114" s="80">
        <f ca="1">OFFSET(产销汇总!$C$1,MATCH(H$28,产销汇总!$C$2:$C$8,0),$C$27)*(_xlfn.XLOOKUP(C114,主线推图!$B$313:$B$612,主线推图!$G$313:$G$612)+_xlfn.XLOOKUP(C114,主线推图!$B$313:$B$612,主线推图!$H$313:$H$612))</f>
        <v>176</v>
      </c>
      <c r="I114" s="80">
        <f ca="1">OFFSET(产销汇总!$C$1,MATCH(I$28,产销汇总!$C$2:$C$8,0),$C$27)*_xlfn.XLOOKUP(C114,巡逻产出!$B$311:$B$610,巡逻产出!$H$311:$H$610)</f>
        <v>0</v>
      </c>
      <c r="J114" s="80">
        <f ca="1">OFFSET(产销汇总!$C$1,MATCH(J$28,产销汇总!$C$2:$C$8,0),$C$27)*(_xlfn.XLOOKUP(MAX(1,INT(C114/10-6/10)),组队产出!$B$24:$B$39,组队产出!$J$24:$J$39)+_xlfn.XLOOKUP(MAX(1,INT(C114/10-6/10)),组队产出!$B$24:$B$39,组队产出!$K$24:$K$39))</f>
        <v>96</v>
      </c>
      <c r="K114" s="80">
        <f ca="1">OFFSET(产销汇总!$C$1,MATCH(K$28,产销汇总!$C$2:$C$8,0),$C$27)*_xlfn.XLOOKUP(C114,巡逻产出!$B$311:$B$610,巡逻产出!$I$311:$I$610)*IF($C$27=1,0.5,1)</f>
        <v>312</v>
      </c>
      <c r="L114" s="80">
        <f ca="1">OFFSET(产销汇总!$C$1,MATCH(L$28,产销汇总!$C$2:$C$8,0),$C$27)*竞技场!$C$5</f>
        <v>180</v>
      </c>
      <c r="M114" s="80">
        <f>任务!$C$6+IF(MOD(B114,7)=0,任务!$M$25)</f>
        <v>30</v>
      </c>
      <c r="N114" s="98">
        <f t="shared" si="10"/>
        <v>1.7</v>
      </c>
      <c r="O114" s="80">
        <f t="shared" si="11"/>
        <v>10</v>
      </c>
      <c r="P114" s="172">
        <f ca="1">OFFSET(产销汇总!$C$1,MATCH(P$27,产销汇总!$C$2:$C$8,0),$C$27)/200*协力宝箱!$Q$82</f>
        <v>0</v>
      </c>
      <c r="Q114" s="80">
        <f t="shared" si="12"/>
        <v>10</v>
      </c>
      <c r="R114" s="80">
        <v>10</v>
      </c>
      <c r="S114" s="172">
        <f t="shared" si="14"/>
        <v>100</v>
      </c>
      <c r="T114" s="172">
        <f>(公会!$F$12+公会!$F$13+公会!$F$14+公会!$F$18/7)/2</f>
        <v>121.428571428571</v>
      </c>
      <c r="U114" s="172">
        <f t="shared" si="13"/>
        <v>150</v>
      </c>
      <c r="V114" s="172" t="e">
        <f ca="1">SUM($H$29:U114)+SUM(D114:G114)</f>
        <v>#N/A</v>
      </c>
      <c r="W114" s="132" t="e">
        <f ca="1" t="shared" si="15"/>
        <v>#N/A</v>
      </c>
    </row>
    <row r="115" spans="1:23">
      <c r="A115" s="171"/>
      <c r="B115" s="80">
        <v>87</v>
      </c>
      <c r="C115" s="80">
        <f ca="1">OFFSET(产销汇总!$C$12,$B115,$C$27)</f>
        <v>160</v>
      </c>
      <c r="D115" s="80">
        <f ca="1">SUMIF(主线宝箱!$B$321:$B$620,"&lt;="&amp;C115,主线宝箱!$H$321:$H$620)+SUMIF(主线宝箱!$B$321:$B$620,"&lt;="&amp;C115,主线宝箱!$T$321:$T$620)</f>
        <v>6400</v>
      </c>
      <c r="E115" s="80">
        <v>110</v>
      </c>
      <c r="F115" s="80">
        <f t="shared" si="16"/>
        <v>450</v>
      </c>
      <c r="G115" s="80">
        <f ca="1">IF(AND($C$27&lt;3,B115&gt;3),G114,SUMIF(图纸产出设计!$F$334:$F$342,"&lt;="&amp;B115,图纸产出设计!$C$334:$C$342))</f>
        <v>3890</v>
      </c>
      <c r="H115" s="80">
        <f ca="1">OFFSET(产销汇总!$C$1,MATCH(H$28,产销汇总!$C$2:$C$8,0),$C$27)*(_xlfn.XLOOKUP(C115,主线推图!$B$313:$B$612,主线推图!$G$313:$G$612)+_xlfn.XLOOKUP(C115,主线推图!$B$313:$B$612,主线推图!$H$313:$H$612))</f>
        <v>176</v>
      </c>
      <c r="I115" s="80">
        <f ca="1">OFFSET(产销汇总!$C$1,MATCH(I$28,产销汇总!$C$2:$C$8,0),$C$27)*_xlfn.XLOOKUP(C115,巡逻产出!$B$311:$B$610,巡逻产出!$H$311:$H$610)</f>
        <v>0</v>
      </c>
      <c r="J115" s="80">
        <f ca="1">OFFSET(产销汇总!$C$1,MATCH(J$28,产销汇总!$C$2:$C$8,0),$C$27)*(_xlfn.XLOOKUP(MAX(1,INT(C115/10-6/10)),组队产出!$B$24:$B$39,组队产出!$J$24:$J$39)+_xlfn.XLOOKUP(MAX(1,INT(C115/10-6/10)),组队产出!$B$24:$B$39,组队产出!$K$24:$K$39))</f>
        <v>96</v>
      </c>
      <c r="K115" s="80">
        <f ca="1">OFFSET(产销汇总!$C$1,MATCH(K$28,产销汇总!$C$2:$C$8,0),$C$27)*_xlfn.XLOOKUP(C115,巡逻产出!$B$311:$B$610,巡逻产出!$I$311:$I$610)*IF($C$27=1,0.5,1)</f>
        <v>312</v>
      </c>
      <c r="L115" s="80">
        <f ca="1">OFFSET(产销汇总!$C$1,MATCH(L$28,产销汇总!$C$2:$C$8,0),$C$27)*竞技场!$C$5</f>
        <v>180</v>
      </c>
      <c r="M115" s="80">
        <f>任务!$C$6+IF(MOD(B115,7)=0,任务!$M$25)</f>
        <v>30</v>
      </c>
      <c r="N115" s="98">
        <f t="shared" si="10"/>
        <v>1.7</v>
      </c>
      <c r="O115" s="80">
        <f t="shared" si="11"/>
        <v>0</v>
      </c>
      <c r="P115" s="172">
        <f ca="1">OFFSET(产销汇总!$C$1,MATCH(P$27,产销汇总!$C$2:$C$8,0),$C$27)/200*协力宝箱!$Q$82</f>
        <v>0</v>
      </c>
      <c r="Q115" s="80">
        <f t="shared" si="12"/>
        <v>10</v>
      </c>
      <c r="R115" s="80">
        <v>10</v>
      </c>
      <c r="S115" s="172">
        <f t="shared" si="14"/>
        <v>100</v>
      </c>
      <c r="T115" s="172">
        <f>(公会!$F$12+公会!$F$13+公会!$F$14+公会!$F$18/7)/2</f>
        <v>121.428571428571</v>
      </c>
      <c r="U115" s="172">
        <f t="shared" si="13"/>
        <v>150</v>
      </c>
      <c r="V115" s="172" t="e">
        <f ca="1">SUM($H$29:U115)+SUM(D115:G115)</f>
        <v>#N/A</v>
      </c>
      <c r="W115" s="132" t="e">
        <f ca="1" t="shared" si="15"/>
        <v>#N/A</v>
      </c>
    </row>
    <row r="116" spans="1:23">
      <c r="A116" s="171"/>
      <c r="B116" s="80">
        <v>88</v>
      </c>
      <c r="C116" s="80">
        <f ca="1">OFFSET(产销汇总!$C$12,$B116,$C$27)</f>
        <v>161</v>
      </c>
      <c r="D116" s="80">
        <f ca="1">SUMIF(主线宝箱!$B$321:$B$620,"&lt;="&amp;C116,主线宝箱!$H$321:$H$620)+SUMIF(主线宝箱!$B$321:$B$620,"&lt;="&amp;C116,主线宝箱!$T$321:$T$620)</f>
        <v>6440</v>
      </c>
      <c r="E116" s="80">
        <v>110</v>
      </c>
      <c r="F116" s="80">
        <f t="shared" si="16"/>
        <v>450</v>
      </c>
      <c r="G116" s="80">
        <f ca="1">IF(AND($C$27&lt;3,B116&gt;3),G115,SUMIF(图纸产出设计!$F$334:$F$342,"&lt;="&amp;B116,图纸产出设计!$C$334:$C$342))</f>
        <v>3890</v>
      </c>
      <c r="H116" s="80">
        <f ca="1">OFFSET(产销汇总!$C$1,MATCH(H$28,产销汇总!$C$2:$C$8,0),$C$27)*(_xlfn.XLOOKUP(C116,主线推图!$B$313:$B$612,主线推图!$G$313:$G$612)+_xlfn.XLOOKUP(C116,主线推图!$B$313:$B$612,主线推图!$H$313:$H$612))</f>
        <v>176</v>
      </c>
      <c r="I116" s="80">
        <f ca="1">OFFSET(产销汇总!$C$1,MATCH(I$28,产销汇总!$C$2:$C$8,0),$C$27)*_xlfn.XLOOKUP(C116,巡逻产出!$B$311:$B$610,巡逻产出!$H$311:$H$610)</f>
        <v>0</v>
      </c>
      <c r="J116" s="80">
        <f ca="1">OFFSET(产销汇总!$C$1,MATCH(J$28,产销汇总!$C$2:$C$8,0),$C$27)*(_xlfn.XLOOKUP(MAX(1,INT(C116/10-6/10)),组队产出!$B$24:$B$39,组队产出!$J$24:$J$39)+_xlfn.XLOOKUP(MAX(1,INT(C116/10-6/10)),组队产出!$B$24:$B$39,组队产出!$K$24:$K$39))</f>
        <v>96</v>
      </c>
      <c r="K116" s="80">
        <f ca="1">OFFSET(产销汇总!$C$1,MATCH(K$28,产销汇总!$C$2:$C$8,0),$C$27)*_xlfn.XLOOKUP(C116,巡逻产出!$B$311:$B$610,巡逻产出!$I$311:$I$610)*IF($C$27=1,0.5,1)</f>
        <v>312</v>
      </c>
      <c r="L116" s="80">
        <f ca="1">OFFSET(产销汇总!$C$1,MATCH(L$28,产销汇总!$C$2:$C$8,0),$C$27)*竞技场!$C$5</f>
        <v>180</v>
      </c>
      <c r="M116" s="80">
        <f>任务!$C$6+IF(MOD(B116,7)=0,任务!$M$25)</f>
        <v>30</v>
      </c>
      <c r="N116" s="98">
        <f t="shared" si="10"/>
        <v>1.7</v>
      </c>
      <c r="O116" s="80">
        <f t="shared" si="11"/>
        <v>0</v>
      </c>
      <c r="P116" s="172">
        <f ca="1">OFFSET(产销汇总!$C$1,MATCH(P$27,产销汇总!$C$2:$C$8,0),$C$27)/200*协力宝箱!$Q$82</f>
        <v>0</v>
      </c>
      <c r="Q116" s="80">
        <f t="shared" si="12"/>
        <v>10</v>
      </c>
      <c r="R116" s="80">
        <v>10</v>
      </c>
      <c r="S116" s="172">
        <f t="shared" si="14"/>
        <v>100</v>
      </c>
      <c r="T116" s="172">
        <f>(公会!$F$12+公会!$F$13+公会!$F$14+公会!$F$18/7)/2</f>
        <v>121.428571428571</v>
      </c>
      <c r="U116" s="172">
        <f t="shared" si="13"/>
        <v>150</v>
      </c>
      <c r="V116" s="172" t="e">
        <f ca="1">SUM($H$29:U116)+SUM(D116:G116)</f>
        <v>#N/A</v>
      </c>
      <c r="W116" s="132" t="e">
        <f ca="1" t="shared" si="15"/>
        <v>#N/A</v>
      </c>
    </row>
    <row r="117" spans="1:23">
      <c r="A117" s="171"/>
      <c r="B117" s="80">
        <v>89</v>
      </c>
      <c r="C117" s="80">
        <f ca="1">OFFSET(产销汇总!$C$12,$B117,$C$27)</f>
        <v>162</v>
      </c>
      <c r="D117" s="80">
        <f ca="1">SUMIF(主线宝箱!$B$321:$B$620,"&lt;="&amp;C117,主线宝箱!$H$321:$H$620)+SUMIF(主线宝箱!$B$321:$B$620,"&lt;="&amp;C117,主线宝箱!$T$321:$T$620)</f>
        <v>6480</v>
      </c>
      <c r="E117" s="80">
        <v>110</v>
      </c>
      <c r="F117" s="80">
        <f t="shared" si="16"/>
        <v>450</v>
      </c>
      <c r="G117" s="80">
        <f ca="1">IF(AND($C$27&lt;3,B117&gt;3),G116,SUMIF(图纸产出设计!$F$334:$F$342,"&lt;="&amp;B117,图纸产出设计!$C$334:$C$342))</f>
        <v>3890</v>
      </c>
      <c r="H117" s="80">
        <f ca="1">OFFSET(产销汇总!$C$1,MATCH(H$28,产销汇总!$C$2:$C$8,0),$C$27)*(_xlfn.XLOOKUP(C117,主线推图!$B$313:$B$612,主线推图!$G$313:$G$612)+_xlfn.XLOOKUP(C117,主线推图!$B$313:$B$612,主线推图!$H$313:$H$612))</f>
        <v>176</v>
      </c>
      <c r="I117" s="80">
        <f ca="1">OFFSET(产销汇总!$C$1,MATCH(I$28,产销汇总!$C$2:$C$8,0),$C$27)*_xlfn.XLOOKUP(C117,巡逻产出!$B$311:$B$610,巡逻产出!$H$311:$H$610)</f>
        <v>0</v>
      </c>
      <c r="J117" s="80">
        <f ca="1">OFFSET(产销汇总!$C$1,MATCH(J$28,产销汇总!$C$2:$C$8,0),$C$27)*(_xlfn.XLOOKUP(MAX(1,INT(C117/10-6/10)),组队产出!$B$24:$B$39,组队产出!$J$24:$J$39)+_xlfn.XLOOKUP(MAX(1,INT(C117/10-6/10)),组队产出!$B$24:$B$39,组队产出!$K$24:$K$39))</f>
        <v>96</v>
      </c>
      <c r="K117" s="80">
        <f ca="1">OFFSET(产销汇总!$C$1,MATCH(K$28,产销汇总!$C$2:$C$8,0),$C$27)*_xlfn.XLOOKUP(C117,巡逻产出!$B$311:$B$610,巡逻产出!$I$311:$I$610)*IF($C$27=1,0.5,1)</f>
        <v>312</v>
      </c>
      <c r="L117" s="80">
        <f ca="1">OFFSET(产销汇总!$C$1,MATCH(L$28,产销汇总!$C$2:$C$8,0),$C$27)*竞技场!$C$5</f>
        <v>180</v>
      </c>
      <c r="M117" s="80">
        <f>任务!$C$6+IF(MOD(B117,7)=0,任务!$M$25)</f>
        <v>30</v>
      </c>
      <c r="N117" s="98">
        <f t="shared" si="10"/>
        <v>1.7</v>
      </c>
      <c r="O117" s="80">
        <f t="shared" si="11"/>
        <v>10</v>
      </c>
      <c r="P117" s="172">
        <f ca="1">OFFSET(产销汇总!$C$1,MATCH(P$27,产销汇总!$C$2:$C$8,0),$C$27)/200*协力宝箱!$Q$82</f>
        <v>0</v>
      </c>
      <c r="Q117" s="80">
        <f t="shared" si="12"/>
        <v>10</v>
      </c>
      <c r="R117" s="80">
        <v>10</v>
      </c>
      <c r="S117" s="172">
        <f t="shared" si="14"/>
        <v>100</v>
      </c>
      <c r="T117" s="172">
        <f>(公会!$F$12+公会!$F$13+公会!$F$14+公会!$F$18/7)/2</f>
        <v>121.428571428571</v>
      </c>
      <c r="U117" s="172">
        <f t="shared" si="13"/>
        <v>150</v>
      </c>
      <c r="V117" s="172" t="e">
        <f ca="1">SUM($H$29:U117)+SUM(D117:G117)</f>
        <v>#N/A</v>
      </c>
      <c r="W117" s="132" t="e">
        <f ca="1" t="shared" si="15"/>
        <v>#N/A</v>
      </c>
    </row>
    <row r="118" spans="1:23">
      <c r="A118" s="171"/>
      <c r="B118" s="80">
        <v>90</v>
      </c>
      <c r="C118" s="80">
        <f ca="1">OFFSET(产销汇总!$C$12,$B118,$C$27)</f>
        <v>163</v>
      </c>
      <c r="D118" s="80">
        <f ca="1">SUMIF(主线宝箱!$B$321:$B$620,"&lt;="&amp;C118,主线宝箱!$H$321:$H$620)+SUMIF(主线宝箱!$B$321:$B$620,"&lt;="&amp;C118,主线宝箱!$T$321:$T$620)</f>
        <v>6520</v>
      </c>
      <c r="E118" s="80">
        <v>110</v>
      </c>
      <c r="F118" s="80">
        <f t="shared" si="16"/>
        <v>450</v>
      </c>
      <c r="G118" s="80">
        <f ca="1">IF(AND($C$27&lt;3,B118&gt;3),G117,SUMIF(图纸产出设计!$F$334:$F$342,"&lt;="&amp;B118,图纸产出设计!$C$334:$C$342))</f>
        <v>3890</v>
      </c>
      <c r="H118" s="80">
        <f ca="1">OFFSET(产销汇总!$C$1,MATCH(H$28,产销汇总!$C$2:$C$8,0),$C$27)*(_xlfn.XLOOKUP(C118,主线推图!$B$313:$B$612,主线推图!$G$313:$G$612)+_xlfn.XLOOKUP(C118,主线推图!$B$313:$B$612,主线推图!$H$313:$H$612))</f>
        <v>176</v>
      </c>
      <c r="I118" s="80">
        <f ca="1">OFFSET(产销汇总!$C$1,MATCH(I$28,产销汇总!$C$2:$C$8,0),$C$27)*_xlfn.XLOOKUP(C118,巡逻产出!$B$311:$B$610,巡逻产出!$H$311:$H$610)</f>
        <v>0</v>
      </c>
      <c r="J118" s="80">
        <f ca="1">OFFSET(产销汇总!$C$1,MATCH(J$28,产销汇总!$C$2:$C$8,0),$C$27)*(_xlfn.XLOOKUP(MAX(1,INT(C118/10-6/10)),组队产出!$B$24:$B$39,组队产出!$J$24:$J$39)+_xlfn.XLOOKUP(MAX(1,INT(C118/10-6/10)),组队产出!$B$24:$B$39,组队产出!$K$24:$K$39))</f>
        <v>96</v>
      </c>
      <c r="K118" s="80">
        <f ca="1">OFFSET(产销汇总!$C$1,MATCH(K$28,产销汇总!$C$2:$C$8,0),$C$27)*_xlfn.XLOOKUP(C118,巡逻产出!$B$311:$B$610,巡逻产出!$I$311:$I$610)*IF($C$27=1,0.5,1)</f>
        <v>312</v>
      </c>
      <c r="L118" s="80">
        <f ca="1">OFFSET(产销汇总!$C$1,MATCH(L$28,产销汇总!$C$2:$C$8,0),$C$27)*竞技场!$C$5</f>
        <v>180</v>
      </c>
      <c r="M118" s="80">
        <f>任务!$C$6+IF(MOD(B118,7)=0,任务!$M$25)</f>
        <v>30</v>
      </c>
      <c r="N118" s="98">
        <f t="shared" si="10"/>
        <v>1.7</v>
      </c>
      <c r="O118" s="80">
        <f t="shared" si="11"/>
        <v>0</v>
      </c>
      <c r="P118" s="172">
        <f ca="1">OFFSET(产销汇总!$C$1,MATCH(P$27,产销汇总!$C$2:$C$8,0),$C$27)/200*协力宝箱!$Q$82</f>
        <v>0</v>
      </c>
      <c r="Q118" s="80">
        <f t="shared" si="12"/>
        <v>10</v>
      </c>
      <c r="R118" s="80">
        <v>10</v>
      </c>
      <c r="S118" s="172">
        <f t="shared" si="14"/>
        <v>100</v>
      </c>
      <c r="T118" s="172">
        <f>(公会!$F$12+公会!$F$13+公会!$F$14+公会!$F$18/7)/2</f>
        <v>121.428571428571</v>
      </c>
      <c r="U118" s="172">
        <f t="shared" si="13"/>
        <v>150</v>
      </c>
      <c r="V118" s="172" t="e">
        <f ca="1">SUM($H$29:U118)+SUM(D118:G118)</f>
        <v>#N/A</v>
      </c>
      <c r="W118" s="132" t="e">
        <f ca="1" t="shared" si="15"/>
        <v>#N/A</v>
      </c>
    </row>
    <row r="119" spans="1:23">
      <c r="A119" s="171"/>
      <c r="B119" s="80">
        <v>91</v>
      </c>
      <c r="C119" s="80">
        <f ca="1">OFFSET(产销汇总!$C$12,$B119,$C$27)</f>
        <v>164</v>
      </c>
      <c r="D119" s="80">
        <f ca="1">SUMIF(主线宝箱!$B$321:$B$620,"&lt;="&amp;C119,主线宝箱!$H$321:$H$620)+SUMIF(主线宝箱!$B$321:$B$620,"&lt;="&amp;C119,主线宝箱!$T$321:$T$620)</f>
        <v>6560</v>
      </c>
      <c r="E119" s="80">
        <v>110</v>
      </c>
      <c r="F119" s="80">
        <f t="shared" si="16"/>
        <v>450</v>
      </c>
      <c r="G119" s="80">
        <f ca="1">IF(AND($C$27&lt;3,B119&gt;3),G118,SUMIF(图纸产出设计!$F$334:$F$342,"&lt;="&amp;B119,图纸产出设计!$C$334:$C$342))</f>
        <v>3890</v>
      </c>
      <c r="H119" s="80">
        <f ca="1">OFFSET(产销汇总!$C$1,MATCH(H$28,产销汇总!$C$2:$C$8,0),$C$27)*(_xlfn.XLOOKUP(C119,主线推图!$B$313:$B$612,主线推图!$G$313:$G$612)+_xlfn.XLOOKUP(C119,主线推图!$B$313:$B$612,主线推图!$H$313:$H$612))</f>
        <v>176</v>
      </c>
      <c r="I119" s="80">
        <f ca="1">OFFSET(产销汇总!$C$1,MATCH(I$28,产销汇总!$C$2:$C$8,0),$C$27)*_xlfn.XLOOKUP(C119,巡逻产出!$B$311:$B$610,巡逻产出!$H$311:$H$610)</f>
        <v>0</v>
      </c>
      <c r="J119" s="80">
        <f ca="1">OFFSET(产销汇总!$C$1,MATCH(J$28,产销汇总!$C$2:$C$8,0),$C$27)*(_xlfn.XLOOKUP(MAX(1,INT(C119/10-6/10)),组队产出!$B$24:$B$39,组队产出!$J$24:$J$39)+_xlfn.XLOOKUP(MAX(1,INT(C119/10-6/10)),组队产出!$B$24:$B$39,组队产出!$K$24:$K$39))</f>
        <v>96</v>
      </c>
      <c r="K119" s="80">
        <f ca="1">OFFSET(产销汇总!$C$1,MATCH(K$28,产销汇总!$C$2:$C$8,0),$C$27)*_xlfn.XLOOKUP(C119,巡逻产出!$B$311:$B$610,巡逻产出!$I$311:$I$610)*IF($C$27=1,0.5,1)</f>
        <v>312</v>
      </c>
      <c r="L119" s="80">
        <f ca="1">OFFSET(产销汇总!$C$1,MATCH(L$28,产销汇总!$C$2:$C$8,0),$C$27)*竞技场!$C$5</f>
        <v>180</v>
      </c>
      <c r="M119" s="80">
        <f>任务!$C$6+IF(MOD(B119,7)=0,任务!$M$25)</f>
        <v>60</v>
      </c>
      <c r="N119" s="98">
        <f t="shared" si="10"/>
        <v>1.7</v>
      </c>
      <c r="O119" s="80">
        <f t="shared" si="11"/>
        <v>0</v>
      </c>
      <c r="P119" s="172">
        <f ca="1">OFFSET(产销汇总!$C$1,MATCH(P$27,产销汇总!$C$2:$C$8,0),$C$27)/200*协力宝箱!$Q$82</f>
        <v>0</v>
      </c>
      <c r="Q119" s="80">
        <f t="shared" si="12"/>
        <v>10</v>
      </c>
      <c r="R119" s="80">
        <v>10</v>
      </c>
      <c r="S119" s="172">
        <f t="shared" si="14"/>
        <v>100</v>
      </c>
      <c r="T119" s="172">
        <f>(公会!$F$12+公会!$F$13+公会!$F$14+公会!$F$18/7)/2</f>
        <v>121.428571428571</v>
      </c>
      <c r="U119" s="172">
        <f t="shared" si="13"/>
        <v>150</v>
      </c>
      <c r="V119" s="172" t="e">
        <f ca="1">SUM($H$29:U119)+SUM(D119:G119)</f>
        <v>#N/A</v>
      </c>
      <c r="W119" s="132" t="e">
        <f ca="1" t="shared" si="15"/>
        <v>#N/A</v>
      </c>
    </row>
    <row r="120" spans="1:23">
      <c r="A120" s="171"/>
      <c r="B120" s="80">
        <v>92</v>
      </c>
      <c r="C120" s="80">
        <f ca="1">OFFSET(产销汇总!$C$12,$B120,$C$27)</f>
        <v>165</v>
      </c>
      <c r="D120" s="80">
        <f ca="1">SUMIF(主线宝箱!$B$321:$B$620,"&lt;="&amp;C120,主线宝箱!$H$321:$H$620)+SUMIF(主线宝箱!$B$321:$B$620,"&lt;="&amp;C120,主线宝箱!$T$321:$T$620)</f>
        <v>6600</v>
      </c>
      <c r="E120" s="80">
        <v>110</v>
      </c>
      <c r="F120" s="80">
        <f t="shared" si="16"/>
        <v>450</v>
      </c>
      <c r="G120" s="80">
        <f ca="1">IF(AND($C$27&lt;3,B120&gt;3),G119,SUMIF(图纸产出设计!$F$334:$F$342,"&lt;="&amp;B120,图纸产出设计!$C$334:$C$342))</f>
        <v>3890</v>
      </c>
      <c r="H120" s="80">
        <f ca="1">OFFSET(产销汇总!$C$1,MATCH(H$28,产销汇总!$C$2:$C$8,0),$C$27)*(_xlfn.XLOOKUP(C120,主线推图!$B$313:$B$612,主线推图!$G$313:$G$612)+_xlfn.XLOOKUP(C120,主线推图!$B$313:$B$612,主线推图!$H$313:$H$612))</f>
        <v>176</v>
      </c>
      <c r="I120" s="80">
        <f ca="1">OFFSET(产销汇总!$C$1,MATCH(I$28,产销汇总!$C$2:$C$8,0),$C$27)*_xlfn.XLOOKUP(C120,巡逻产出!$B$311:$B$610,巡逻产出!$H$311:$H$610)</f>
        <v>0</v>
      </c>
      <c r="J120" s="80">
        <f ca="1">OFFSET(产销汇总!$C$1,MATCH(J$28,产销汇总!$C$2:$C$8,0),$C$27)*(_xlfn.XLOOKUP(MAX(1,INT(C120/10-6/10)),组队产出!$B$24:$B$39,组队产出!$J$24:$J$39)+_xlfn.XLOOKUP(MAX(1,INT(C120/10-6/10)),组队产出!$B$24:$B$39,组队产出!$K$24:$K$39))</f>
        <v>96</v>
      </c>
      <c r="K120" s="80">
        <f ca="1">OFFSET(产销汇总!$C$1,MATCH(K$28,产销汇总!$C$2:$C$8,0),$C$27)*_xlfn.XLOOKUP(C120,巡逻产出!$B$311:$B$610,巡逻产出!$I$311:$I$610)*IF($C$27=1,0.5,1)</f>
        <v>312</v>
      </c>
      <c r="L120" s="80">
        <f ca="1">OFFSET(产销汇总!$C$1,MATCH(L$28,产销汇总!$C$2:$C$8,0),$C$27)*竞技场!$C$5</f>
        <v>180</v>
      </c>
      <c r="M120" s="80">
        <f>任务!$C$6+IF(MOD(B120,7)=0,任务!$M$25)</f>
        <v>30</v>
      </c>
      <c r="N120" s="98">
        <f t="shared" si="10"/>
        <v>1.7</v>
      </c>
      <c r="O120" s="80">
        <f t="shared" si="11"/>
        <v>0</v>
      </c>
      <c r="P120" s="172">
        <f ca="1">OFFSET(产销汇总!$C$1,MATCH(P$27,产销汇总!$C$2:$C$8,0),$C$27)/200*协力宝箱!$Q$82</f>
        <v>0</v>
      </c>
      <c r="Q120" s="80">
        <f t="shared" si="12"/>
        <v>10</v>
      </c>
      <c r="R120" s="80">
        <v>10</v>
      </c>
      <c r="S120" s="172">
        <f t="shared" si="14"/>
        <v>100</v>
      </c>
      <c r="T120" s="172">
        <f>(公会!$F$12+公会!$F$13+公会!$F$14+公会!$F$18/7)/2</f>
        <v>121.428571428571</v>
      </c>
      <c r="U120" s="172">
        <f t="shared" si="13"/>
        <v>150</v>
      </c>
      <c r="V120" s="172" t="e">
        <f ca="1">SUM($H$29:U120)+SUM(D120:G120)</f>
        <v>#N/A</v>
      </c>
      <c r="W120" s="132" t="e">
        <f ca="1" t="shared" si="15"/>
        <v>#N/A</v>
      </c>
    </row>
    <row r="121" spans="1:23">
      <c r="A121" s="171"/>
      <c r="B121" s="80">
        <v>93</v>
      </c>
      <c r="C121" s="80">
        <f ca="1">OFFSET(产销汇总!$C$12,$B121,$C$27)</f>
        <v>166</v>
      </c>
      <c r="D121" s="80">
        <f ca="1">SUMIF(主线宝箱!$B$321:$B$620,"&lt;="&amp;C121,主线宝箱!$H$321:$H$620)+SUMIF(主线宝箱!$B$321:$B$620,"&lt;="&amp;C121,主线宝箱!$T$321:$T$620)</f>
        <v>6640</v>
      </c>
      <c r="E121" s="80">
        <v>110</v>
      </c>
      <c r="F121" s="80">
        <f t="shared" si="16"/>
        <v>450</v>
      </c>
      <c r="G121" s="80">
        <f ca="1">IF(AND($C$27&lt;3,B121&gt;3),G120,SUMIF(图纸产出设计!$F$334:$F$342,"&lt;="&amp;B121,图纸产出设计!$C$334:$C$342))</f>
        <v>3890</v>
      </c>
      <c r="H121" s="80">
        <f ca="1">OFFSET(产销汇总!$C$1,MATCH(H$28,产销汇总!$C$2:$C$8,0),$C$27)*(_xlfn.XLOOKUP(C121,主线推图!$B$313:$B$612,主线推图!$G$313:$G$612)+_xlfn.XLOOKUP(C121,主线推图!$B$313:$B$612,主线推图!$H$313:$H$612))</f>
        <v>176</v>
      </c>
      <c r="I121" s="80">
        <f ca="1">OFFSET(产销汇总!$C$1,MATCH(I$28,产销汇总!$C$2:$C$8,0),$C$27)*_xlfn.XLOOKUP(C121,巡逻产出!$B$311:$B$610,巡逻产出!$H$311:$H$610)</f>
        <v>0</v>
      </c>
      <c r="J121" s="80" t="e">
        <f ca="1">OFFSET(产销汇总!$C$1,MATCH(J$28,产销汇总!$C$2:$C$8,0),$C$27)*(_xlfn.XLOOKUP(MAX(1,INT(C121/10-6/10)),组队产出!$B$24:$B$39,组队产出!$J$24:$J$39)+_xlfn.XLOOKUP(MAX(1,INT(C121/10-6/10)),组队产出!$B$24:$B$39,组队产出!$K$24:$K$39))</f>
        <v>#N/A</v>
      </c>
      <c r="K121" s="80">
        <f ca="1">OFFSET(产销汇总!$C$1,MATCH(K$28,产销汇总!$C$2:$C$8,0),$C$27)*_xlfn.XLOOKUP(C121,巡逻产出!$B$311:$B$610,巡逻产出!$I$311:$I$610)*IF($C$27=1,0.5,1)</f>
        <v>312</v>
      </c>
      <c r="L121" s="80">
        <f ca="1">OFFSET(产销汇总!$C$1,MATCH(L$28,产销汇总!$C$2:$C$8,0),$C$27)*竞技场!$C$5</f>
        <v>180</v>
      </c>
      <c r="M121" s="80">
        <f>任务!$C$6+IF(MOD(B121,7)=0,任务!$M$25)</f>
        <v>30</v>
      </c>
      <c r="N121" s="98">
        <f t="shared" si="10"/>
        <v>1.7</v>
      </c>
      <c r="O121" s="80">
        <f t="shared" si="11"/>
        <v>10</v>
      </c>
      <c r="P121" s="172">
        <f ca="1">OFFSET(产销汇总!$C$1,MATCH(P$27,产销汇总!$C$2:$C$8,0),$C$27)/200*协力宝箱!$Q$82</f>
        <v>0</v>
      </c>
      <c r="Q121" s="80">
        <f t="shared" si="12"/>
        <v>10</v>
      </c>
      <c r="R121" s="80">
        <v>10</v>
      </c>
      <c r="S121" s="172">
        <f t="shared" si="14"/>
        <v>100</v>
      </c>
      <c r="T121" s="172">
        <f>(公会!$F$12+公会!$F$13+公会!$F$14+公会!$F$18/7)/2</f>
        <v>121.428571428571</v>
      </c>
      <c r="U121" s="172">
        <f t="shared" si="13"/>
        <v>150</v>
      </c>
      <c r="V121" s="172" t="e">
        <f ca="1">SUM($H$29:U121)+SUM(D121:G121)</f>
        <v>#N/A</v>
      </c>
      <c r="W121" s="132" t="e">
        <f ca="1" t="shared" si="15"/>
        <v>#N/A</v>
      </c>
    </row>
    <row r="122" spans="1:23">
      <c r="A122" s="171"/>
      <c r="B122" s="80">
        <v>94</v>
      </c>
      <c r="C122" s="80">
        <f ca="1">OFFSET(产销汇总!$C$12,$B122,$C$27)</f>
        <v>167</v>
      </c>
      <c r="D122" s="80">
        <f ca="1">SUMIF(主线宝箱!$B$321:$B$620,"&lt;="&amp;C122,主线宝箱!$H$321:$H$620)+SUMIF(主线宝箱!$B$321:$B$620,"&lt;="&amp;C122,主线宝箱!$T$321:$T$620)</f>
        <v>6680</v>
      </c>
      <c r="E122" s="80">
        <v>110</v>
      </c>
      <c r="F122" s="80">
        <f t="shared" si="16"/>
        <v>450</v>
      </c>
      <c r="G122" s="80">
        <f ca="1">IF(AND($C$27&lt;3,B122&gt;3),G121,SUMIF(图纸产出设计!$F$334:$F$342,"&lt;="&amp;B122,图纸产出设计!$C$334:$C$342))</f>
        <v>3890</v>
      </c>
      <c r="H122" s="80">
        <f ca="1">OFFSET(产销汇总!$C$1,MATCH(H$28,产销汇总!$C$2:$C$8,0),$C$27)*(_xlfn.XLOOKUP(C122,主线推图!$B$313:$B$612,主线推图!$G$313:$G$612)+_xlfn.XLOOKUP(C122,主线推图!$B$313:$B$612,主线推图!$H$313:$H$612))</f>
        <v>176</v>
      </c>
      <c r="I122" s="80">
        <f ca="1">OFFSET(产销汇总!$C$1,MATCH(I$28,产销汇总!$C$2:$C$8,0),$C$27)*_xlfn.XLOOKUP(C122,巡逻产出!$B$311:$B$610,巡逻产出!$H$311:$H$610)</f>
        <v>0</v>
      </c>
      <c r="J122" s="80" t="e">
        <f ca="1">OFFSET(产销汇总!$C$1,MATCH(J$28,产销汇总!$C$2:$C$8,0),$C$27)*(_xlfn.XLOOKUP(MAX(1,INT(C122/10-6/10)),组队产出!$B$24:$B$39,组队产出!$J$24:$J$39)+_xlfn.XLOOKUP(MAX(1,INT(C122/10-6/10)),组队产出!$B$24:$B$39,组队产出!$K$24:$K$39))</f>
        <v>#N/A</v>
      </c>
      <c r="K122" s="80">
        <f ca="1">OFFSET(产销汇总!$C$1,MATCH(K$28,产销汇总!$C$2:$C$8,0),$C$27)*_xlfn.XLOOKUP(C122,巡逻产出!$B$311:$B$610,巡逻产出!$I$311:$I$610)*IF($C$27=1,0.5,1)</f>
        <v>312</v>
      </c>
      <c r="L122" s="80">
        <f ca="1">OFFSET(产销汇总!$C$1,MATCH(L$28,产销汇总!$C$2:$C$8,0),$C$27)*竞技场!$C$5</f>
        <v>180</v>
      </c>
      <c r="M122" s="80">
        <f>任务!$C$6+IF(MOD(B122,7)=0,任务!$M$25)</f>
        <v>30</v>
      </c>
      <c r="N122" s="98">
        <f t="shared" si="10"/>
        <v>1.7</v>
      </c>
      <c r="O122" s="80">
        <f t="shared" si="11"/>
        <v>0</v>
      </c>
      <c r="P122" s="172">
        <f ca="1">OFFSET(产销汇总!$C$1,MATCH(P$27,产销汇总!$C$2:$C$8,0),$C$27)/200*协力宝箱!$Q$82</f>
        <v>0</v>
      </c>
      <c r="Q122" s="80">
        <f t="shared" si="12"/>
        <v>10</v>
      </c>
      <c r="R122" s="80">
        <v>10</v>
      </c>
      <c r="S122" s="172">
        <f t="shared" si="14"/>
        <v>100</v>
      </c>
      <c r="T122" s="172">
        <f>(公会!$F$12+公会!$F$13+公会!$F$14+公会!$F$18/7)/2</f>
        <v>121.428571428571</v>
      </c>
      <c r="U122" s="172">
        <f t="shared" si="13"/>
        <v>150</v>
      </c>
      <c r="V122" s="172" t="e">
        <f ca="1">SUM($H$29:U122)+SUM(D122:G122)</f>
        <v>#N/A</v>
      </c>
      <c r="W122" s="132" t="e">
        <f ca="1" t="shared" si="15"/>
        <v>#N/A</v>
      </c>
    </row>
    <row r="123" spans="1:23">
      <c r="A123" s="171"/>
      <c r="B123" s="80">
        <v>95</v>
      </c>
      <c r="C123" s="80">
        <f ca="1">OFFSET(产销汇总!$C$12,$B123,$C$27)</f>
        <v>168</v>
      </c>
      <c r="D123" s="80">
        <f ca="1">SUMIF(主线宝箱!$B$321:$B$620,"&lt;="&amp;C123,主线宝箱!$H$321:$H$620)+SUMIF(主线宝箱!$B$321:$B$620,"&lt;="&amp;C123,主线宝箱!$T$321:$T$620)</f>
        <v>6720</v>
      </c>
      <c r="E123" s="80">
        <v>110</v>
      </c>
      <c r="F123" s="80">
        <f t="shared" si="16"/>
        <v>450</v>
      </c>
      <c r="G123" s="80">
        <f ca="1">IF(AND($C$27&lt;3,B123&gt;3),G122,SUMIF(图纸产出设计!$F$334:$F$342,"&lt;="&amp;B123,图纸产出设计!$C$334:$C$342))</f>
        <v>3890</v>
      </c>
      <c r="H123" s="80">
        <f ca="1">OFFSET(产销汇总!$C$1,MATCH(H$28,产销汇总!$C$2:$C$8,0),$C$27)*(_xlfn.XLOOKUP(C123,主线推图!$B$313:$B$612,主线推图!$G$313:$G$612)+_xlfn.XLOOKUP(C123,主线推图!$B$313:$B$612,主线推图!$H$313:$H$612))</f>
        <v>176</v>
      </c>
      <c r="I123" s="80">
        <f ca="1">OFFSET(产销汇总!$C$1,MATCH(I$28,产销汇总!$C$2:$C$8,0),$C$27)*_xlfn.XLOOKUP(C123,巡逻产出!$B$311:$B$610,巡逻产出!$H$311:$H$610)</f>
        <v>0</v>
      </c>
      <c r="J123" s="80" t="e">
        <f ca="1">OFFSET(产销汇总!$C$1,MATCH(J$28,产销汇总!$C$2:$C$8,0),$C$27)*(_xlfn.XLOOKUP(MAX(1,INT(C123/10-6/10)),组队产出!$B$24:$B$39,组队产出!$J$24:$J$39)+_xlfn.XLOOKUP(MAX(1,INT(C123/10-6/10)),组队产出!$B$24:$B$39,组队产出!$K$24:$K$39))</f>
        <v>#N/A</v>
      </c>
      <c r="K123" s="80">
        <f ca="1">OFFSET(产销汇总!$C$1,MATCH(K$28,产销汇总!$C$2:$C$8,0),$C$27)*_xlfn.XLOOKUP(C123,巡逻产出!$B$311:$B$610,巡逻产出!$I$311:$I$610)*IF($C$27=1,0.5,1)</f>
        <v>312</v>
      </c>
      <c r="L123" s="80">
        <f ca="1">OFFSET(产销汇总!$C$1,MATCH(L$28,产销汇总!$C$2:$C$8,0),$C$27)*竞技场!$C$5</f>
        <v>180</v>
      </c>
      <c r="M123" s="80">
        <f>任务!$C$6+IF(MOD(B123,7)=0,任务!$M$25)</f>
        <v>30</v>
      </c>
      <c r="N123" s="98">
        <f t="shared" si="10"/>
        <v>1.7</v>
      </c>
      <c r="O123" s="80">
        <f t="shared" si="11"/>
        <v>0</v>
      </c>
      <c r="P123" s="172">
        <f ca="1">OFFSET(产销汇总!$C$1,MATCH(P$27,产销汇总!$C$2:$C$8,0),$C$27)/200*协力宝箱!$Q$82</f>
        <v>0</v>
      </c>
      <c r="Q123" s="80">
        <f t="shared" si="12"/>
        <v>10</v>
      </c>
      <c r="R123" s="80">
        <v>10</v>
      </c>
      <c r="S123" s="172">
        <f t="shared" si="14"/>
        <v>100</v>
      </c>
      <c r="T123" s="172">
        <f>(公会!$F$12+公会!$F$13+公会!$F$14+公会!$F$18/7)/2</f>
        <v>121.428571428571</v>
      </c>
      <c r="U123" s="172">
        <f t="shared" si="13"/>
        <v>150</v>
      </c>
      <c r="V123" s="172" t="e">
        <f ca="1">SUM($H$29:U123)+SUM(D123:G123)</f>
        <v>#N/A</v>
      </c>
      <c r="W123" s="132" t="e">
        <f ca="1" t="shared" si="15"/>
        <v>#N/A</v>
      </c>
    </row>
    <row r="124" spans="1:23">
      <c r="A124" s="171"/>
      <c r="B124" s="80">
        <v>96</v>
      </c>
      <c r="C124" s="80">
        <f ca="1">OFFSET(产销汇总!$C$12,$B124,$C$27)</f>
        <v>169</v>
      </c>
      <c r="D124" s="80">
        <f ca="1">SUMIF(主线宝箱!$B$321:$B$620,"&lt;="&amp;C124,主线宝箱!$H$321:$H$620)+SUMIF(主线宝箱!$B$321:$B$620,"&lt;="&amp;C124,主线宝箱!$T$321:$T$620)</f>
        <v>6760</v>
      </c>
      <c r="E124" s="80">
        <v>110</v>
      </c>
      <c r="F124" s="80">
        <f t="shared" si="16"/>
        <v>450</v>
      </c>
      <c r="G124" s="80">
        <f ca="1">IF(AND($C$27&lt;3,B124&gt;3),G123,SUMIF(图纸产出设计!$F$334:$F$342,"&lt;="&amp;B124,图纸产出设计!$C$334:$C$342))</f>
        <v>3890</v>
      </c>
      <c r="H124" s="80">
        <f ca="1">OFFSET(产销汇总!$C$1,MATCH(H$28,产销汇总!$C$2:$C$8,0),$C$27)*(_xlfn.XLOOKUP(C124,主线推图!$B$313:$B$612,主线推图!$G$313:$G$612)+_xlfn.XLOOKUP(C124,主线推图!$B$313:$B$612,主线推图!$H$313:$H$612))</f>
        <v>176</v>
      </c>
      <c r="I124" s="80">
        <f ca="1">OFFSET(产销汇总!$C$1,MATCH(I$28,产销汇总!$C$2:$C$8,0),$C$27)*_xlfn.XLOOKUP(C124,巡逻产出!$B$311:$B$610,巡逻产出!$H$311:$H$610)</f>
        <v>0</v>
      </c>
      <c r="J124" s="80" t="e">
        <f ca="1">OFFSET(产销汇总!$C$1,MATCH(J$28,产销汇总!$C$2:$C$8,0),$C$27)*(_xlfn.XLOOKUP(MAX(1,INT(C124/10-6/10)),组队产出!$B$24:$B$39,组队产出!$J$24:$J$39)+_xlfn.XLOOKUP(MAX(1,INT(C124/10-6/10)),组队产出!$B$24:$B$39,组队产出!$K$24:$K$39))</f>
        <v>#N/A</v>
      </c>
      <c r="K124" s="80">
        <f ca="1">OFFSET(产销汇总!$C$1,MATCH(K$28,产销汇总!$C$2:$C$8,0),$C$27)*_xlfn.XLOOKUP(C124,巡逻产出!$B$311:$B$610,巡逻产出!$I$311:$I$610)*IF($C$27=1,0.5,1)</f>
        <v>312</v>
      </c>
      <c r="L124" s="80">
        <f ca="1">OFFSET(产销汇总!$C$1,MATCH(L$28,产销汇总!$C$2:$C$8,0),$C$27)*竞技场!$C$5</f>
        <v>180</v>
      </c>
      <c r="M124" s="80">
        <f>任务!$C$6+IF(MOD(B124,7)=0,任务!$M$25)</f>
        <v>30</v>
      </c>
      <c r="N124" s="98">
        <f t="shared" si="10"/>
        <v>1.7</v>
      </c>
      <c r="O124" s="80">
        <f t="shared" si="11"/>
        <v>10</v>
      </c>
      <c r="P124" s="172">
        <f ca="1">OFFSET(产销汇总!$C$1,MATCH(P$27,产销汇总!$C$2:$C$8,0),$C$27)/200*协力宝箱!$Q$82</f>
        <v>0</v>
      </c>
      <c r="Q124" s="80">
        <f t="shared" si="12"/>
        <v>10</v>
      </c>
      <c r="R124" s="80">
        <v>10</v>
      </c>
      <c r="S124" s="172">
        <f t="shared" si="14"/>
        <v>100</v>
      </c>
      <c r="T124" s="172">
        <f>(公会!$F$12+公会!$F$13+公会!$F$14+公会!$F$18/7)/2</f>
        <v>121.428571428571</v>
      </c>
      <c r="U124" s="172">
        <f t="shared" si="13"/>
        <v>150</v>
      </c>
      <c r="V124" s="172" t="e">
        <f ca="1">SUM($H$29:U124)+SUM(D124:G124)</f>
        <v>#N/A</v>
      </c>
      <c r="W124" s="132" t="e">
        <f ca="1" t="shared" si="15"/>
        <v>#N/A</v>
      </c>
    </row>
    <row r="125" spans="1:23">
      <c r="A125" s="171"/>
      <c r="B125" s="80">
        <v>97</v>
      </c>
      <c r="C125" s="80">
        <f ca="1">OFFSET(产销汇总!$C$12,$B125,$C$27)</f>
        <v>170</v>
      </c>
      <c r="D125" s="80">
        <f ca="1">SUMIF(主线宝箱!$B$321:$B$620,"&lt;="&amp;C125,主线宝箱!$H$321:$H$620)+SUMIF(主线宝箱!$B$321:$B$620,"&lt;="&amp;C125,主线宝箱!$T$321:$T$620)</f>
        <v>6800</v>
      </c>
      <c r="E125" s="80">
        <v>110</v>
      </c>
      <c r="F125" s="80">
        <f t="shared" si="16"/>
        <v>450</v>
      </c>
      <c r="G125" s="80">
        <f ca="1">IF(AND($C$27&lt;3,B125&gt;3),G124,SUMIF(图纸产出设计!$F$334:$F$342,"&lt;="&amp;B125,图纸产出设计!$C$334:$C$342))</f>
        <v>3890</v>
      </c>
      <c r="H125" s="80">
        <f ca="1">OFFSET(产销汇总!$C$1,MATCH(H$28,产销汇总!$C$2:$C$8,0),$C$27)*(_xlfn.XLOOKUP(C125,主线推图!$B$313:$B$612,主线推图!$G$313:$G$612)+_xlfn.XLOOKUP(C125,主线推图!$B$313:$B$612,主线推图!$H$313:$H$612))</f>
        <v>176</v>
      </c>
      <c r="I125" s="80">
        <f ca="1">OFFSET(产销汇总!$C$1,MATCH(I$28,产销汇总!$C$2:$C$8,0),$C$27)*_xlfn.XLOOKUP(C125,巡逻产出!$B$311:$B$610,巡逻产出!$H$311:$H$610)</f>
        <v>0</v>
      </c>
      <c r="J125" s="80" t="e">
        <f ca="1">OFFSET(产销汇总!$C$1,MATCH(J$28,产销汇总!$C$2:$C$8,0),$C$27)*(_xlfn.XLOOKUP(MAX(1,INT(C125/10-6/10)),组队产出!$B$24:$B$39,组队产出!$J$24:$J$39)+_xlfn.XLOOKUP(MAX(1,INT(C125/10-6/10)),组队产出!$B$24:$B$39,组队产出!$K$24:$K$39))</f>
        <v>#N/A</v>
      </c>
      <c r="K125" s="80">
        <f ca="1">OFFSET(产销汇总!$C$1,MATCH(K$28,产销汇总!$C$2:$C$8,0),$C$27)*_xlfn.XLOOKUP(C125,巡逻产出!$B$311:$B$610,巡逻产出!$I$311:$I$610)*IF($C$27=1,0.5,1)</f>
        <v>312</v>
      </c>
      <c r="L125" s="80">
        <f ca="1">OFFSET(产销汇总!$C$1,MATCH(L$28,产销汇总!$C$2:$C$8,0),$C$27)*竞技场!$C$5</f>
        <v>180</v>
      </c>
      <c r="M125" s="80">
        <f>任务!$C$6+IF(MOD(B125,7)=0,任务!$M$25)</f>
        <v>30</v>
      </c>
      <c r="N125" s="98">
        <f t="shared" si="10"/>
        <v>1.7</v>
      </c>
      <c r="O125" s="80">
        <f t="shared" si="11"/>
        <v>0</v>
      </c>
      <c r="P125" s="172">
        <f ca="1">OFFSET(产销汇总!$C$1,MATCH(P$27,产销汇总!$C$2:$C$8,0),$C$27)/200*协力宝箱!$Q$82</f>
        <v>0</v>
      </c>
      <c r="Q125" s="80">
        <f t="shared" si="12"/>
        <v>10</v>
      </c>
      <c r="R125" s="80">
        <v>10</v>
      </c>
      <c r="S125" s="172">
        <f t="shared" si="14"/>
        <v>100</v>
      </c>
      <c r="T125" s="172">
        <f>(公会!$F$12+公会!$F$13+公会!$F$14+公会!$F$18/7)/2</f>
        <v>121.428571428571</v>
      </c>
      <c r="U125" s="172">
        <f t="shared" si="13"/>
        <v>150</v>
      </c>
      <c r="V125" s="172" t="e">
        <f ca="1">SUM($H$29:U125)+SUM(D125:G125)</f>
        <v>#N/A</v>
      </c>
      <c r="W125" s="132" t="e">
        <f ca="1" t="shared" si="15"/>
        <v>#N/A</v>
      </c>
    </row>
    <row r="126" spans="1:23">
      <c r="A126" s="171"/>
      <c r="B126" s="80">
        <v>98</v>
      </c>
      <c r="C126" s="80">
        <f ca="1">OFFSET(产销汇总!$C$12,$B126,$C$27)</f>
        <v>171</v>
      </c>
      <c r="D126" s="80">
        <f ca="1">SUMIF(主线宝箱!$B$321:$B$620,"&lt;="&amp;C126,主线宝箱!$H$321:$H$620)+SUMIF(主线宝箱!$B$321:$B$620,"&lt;="&amp;C126,主线宝箱!$T$321:$T$620)</f>
        <v>6840</v>
      </c>
      <c r="E126" s="80">
        <v>110</v>
      </c>
      <c r="F126" s="80">
        <f t="shared" si="16"/>
        <v>450</v>
      </c>
      <c r="G126" s="80">
        <f ca="1">IF(AND($C$27&lt;3,B126&gt;3),G125,SUMIF(图纸产出设计!$F$334:$F$342,"&lt;="&amp;B126,图纸产出设计!$C$334:$C$342))</f>
        <v>3890</v>
      </c>
      <c r="H126" s="80">
        <f ca="1">OFFSET(产销汇总!$C$1,MATCH(H$28,产销汇总!$C$2:$C$8,0),$C$27)*(_xlfn.XLOOKUP(C126,主线推图!$B$313:$B$612,主线推图!$G$313:$G$612)+_xlfn.XLOOKUP(C126,主线推图!$B$313:$B$612,主线推图!$H$313:$H$612))</f>
        <v>176</v>
      </c>
      <c r="I126" s="80">
        <f ca="1">OFFSET(产销汇总!$C$1,MATCH(I$28,产销汇总!$C$2:$C$8,0),$C$27)*_xlfn.XLOOKUP(C126,巡逻产出!$B$311:$B$610,巡逻产出!$H$311:$H$610)</f>
        <v>0</v>
      </c>
      <c r="J126" s="80" t="e">
        <f ca="1">OFFSET(产销汇总!$C$1,MATCH(J$28,产销汇总!$C$2:$C$8,0),$C$27)*(_xlfn.XLOOKUP(MAX(1,INT(C126/10-6/10)),组队产出!$B$24:$B$39,组队产出!$J$24:$J$39)+_xlfn.XLOOKUP(MAX(1,INT(C126/10-6/10)),组队产出!$B$24:$B$39,组队产出!$K$24:$K$39))</f>
        <v>#N/A</v>
      </c>
      <c r="K126" s="80">
        <f ca="1">OFFSET(产销汇总!$C$1,MATCH(K$28,产销汇总!$C$2:$C$8,0),$C$27)*_xlfn.XLOOKUP(C126,巡逻产出!$B$311:$B$610,巡逻产出!$I$311:$I$610)*IF($C$27=1,0.5,1)</f>
        <v>312</v>
      </c>
      <c r="L126" s="80">
        <f ca="1">OFFSET(产销汇总!$C$1,MATCH(L$28,产销汇总!$C$2:$C$8,0),$C$27)*竞技场!$C$5</f>
        <v>180</v>
      </c>
      <c r="M126" s="80">
        <f>任务!$C$6+IF(MOD(B126,7)=0,任务!$M$25)</f>
        <v>60</v>
      </c>
      <c r="N126" s="98">
        <f t="shared" si="10"/>
        <v>1.7</v>
      </c>
      <c r="O126" s="80">
        <f t="shared" si="11"/>
        <v>0</v>
      </c>
      <c r="P126" s="172">
        <f ca="1">OFFSET(产销汇总!$C$1,MATCH(P$27,产销汇总!$C$2:$C$8,0),$C$27)/200*协力宝箱!$Q$82</f>
        <v>0</v>
      </c>
      <c r="Q126" s="80">
        <f t="shared" si="12"/>
        <v>10</v>
      </c>
      <c r="R126" s="80">
        <v>10</v>
      </c>
      <c r="S126" s="172">
        <f t="shared" si="14"/>
        <v>100</v>
      </c>
      <c r="T126" s="172">
        <f>(公会!$F$12+公会!$F$13+公会!$F$14+公会!$F$18/7)/2</f>
        <v>121.428571428571</v>
      </c>
      <c r="U126" s="172">
        <f t="shared" si="13"/>
        <v>150</v>
      </c>
      <c r="V126" s="172" t="e">
        <f ca="1">SUM($H$29:U126)+SUM(D126:G126)</f>
        <v>#N/A</v>
      </c>
      <c r="W126" s="132" t="e">
        <f ca="1" t="shared" si="15"/>
        <v>#N/A</v>
      </c>
    </row>
    <row r="127" spans="1:23">
      <c r="A127" s="171"/>
      <c r="B127" s="80">
        <v>99</v>
      </c>
      <c r="C127" s="80">
        <f ca="1">OFFSET(产销汇总!$C$12,$B127,$C$27)</f>
        <v>172</v>
      </c>
      <c r="D127" s="80">
        <f ca="1">SUMIF(主线宝箱!$B$321:$B$620,"&lt;="&amp;C127,主线宝箱!$H$321:$H$620)+SUMIF(主线宝箱!$B$321:$B$620,"&lt;="&amp;C127,主线宝箱!$T$321:$T$620)</f>
        <v>6880</v>
      </c>
      <c r="E127" s="80">
        <v>110</v>
      </c>
      <c r="F127" s="80">
        <f t="shared" si="16"/>
        <v>450</v>
      </c>
      <c r="G127" s="80">
        <f ca="1">IF(AND($C$27&lt;3,B127&gt;3),G126,SUMIF(图纸产出设计!$F$334:$F$342,"&lt;="&amp;B127,图纸产出设计!$C$334:$C$342))</f>
        <v>3890</v>
      </c>
      <c r="H127" s="80">
        <f ca="1">OFFSET(产销汇总!$C$1,MATCH(H$28,产销汇总!$C$2:$C$8,0),$C$27)*(_xlfn.XLOOKUP(C127,主线推图!$B$313:$B$612,主线推图!$G$313:$G$612)+_xlfn.XLOOKUP(C127,主线推图!$B$313:$B$612,主线推图!$H$313:$H$612))</f>
        <v>176</v>
      </c>
      <c r="I127" s="80">
        <f ca="1">OFFSET(产销汇总!$C$1,MATCH(I$28,产销汇总!$C$2:$C$8,0),$C$27)*_xlfn.XLOOKUP(C127,巡逻产出!$B$311:$B$610,巡逻产出!$H$311:$H$610)</f>
        <v>0</v>
      </c>
      <c r="J127" s="80" t="e">
        <f ca="1">OFFSET(产销汇总!$C$1,MATCH(J$28,产销汇总!$C$2:$C$8,0),$C$27)*(_xlfn.XLOOKUP(MAX(1,INT(C127/10-6/10)),组队产出!$B$24:$B$39,组队产出!$J$24:$J$39)+_xlfn.XLOOKUP(MAX(1,INT(C127/10-6/10)),组队产出!$B$24:$B$39,组队产出!$K$24:$K$39))</f>
        <v>#N/A</v>
      </c>
      <c r="K127" s="80">
        <f ca="1">OFFSET(产销汇总!$C$1,MATCH(K$28,产销汇总!$C$2:$C$8,0),$C$27)*_xlfn.XLOOKUP(C127,巡逻产出!$B$311:$B$610,巡逻产出!$I$311:$I$610)*IF($C$27=1,0.5,1)</f>
        <v>312</v>
      </c>
      <c r="L127" s="80">
        <f ca="1">OFFSET(产销汇总!$C$1,MATCH(L$28,产销汇总!$C$2:$C$8,0),$C$27)*竞技场!$C$5</f>
        <v>180</v>
      </c>
      <c r="M127" s="80">
        <f>任务!$C$6+IF(MOD(B127,7)=0,任务!$M$25)</f>
        <v>30</v>
      </c>
      <c r="N127" s="98">
        <f t="shared" si="10"/>
        <v>1.7</v>
      </c>
      <c r="O127" s="80">
        <f t="shared" si="11"/>
        <v>0</v>
      </c>
      <c r="P127" s="172">
        <f ca="1">OFFSET(产销汇总!$C$1,MATCH(P$27,产销汇总!$C$2:$C$8,0),$C$27)/200*协力宝箱!$Q$82</f>
        <v>0</v>
      </c>
      <c r="Q127" s="80">
        <f t="shared" si="12"/>
        <v>10</v>
      </c>
      <c r="R127" s="80">
        <v>10</v>
      </c>
      <c r="S127" s="172">
        <f t="shared" si="14"/>
        <v>100</v>
      </c>
      <c r="T127" s="172">
        <f>(公会!$F$12+公会!$F$13+公会!$F$14+公会!$F$18/7)/2</f>
        <v>121.428571428571</v>
      </c>
      <c r="U127" s="172">
        <f t="shared" si="13"/>
        <v>150</v>
      </c>
      <c r="V127" s="172" t="e">
        <f ca="1">SUM($H$29:U127)+SUM(D127:G127)</f>
        <v>#N/A</v>
      </c>
      <c r="W127" s="132" t="e">
        <f ca="1" t="shared" si="15"/>
        <v>#N/A</v>
      </c>
    </row>
    <row r="128" spans="1:23">
      <c r="A128" s="171"/>
      <c r="B128" s="80">
        <v>100</v>
      </c>
      <c r="C128" s="80">
        <f ca="1">OFFSET(产销汇总!$C$12,$B128,$C$27)</f>
        <v>173</v>
      </c>
      <c r="D128" s="80">
        <f ca="1">SUMIF(主线宝箱!$B$321:$B$620,"&lt;="&amp;C128,主线宝箱!$H$321:$H$620)+SUMIF(主线宝箱!$B$321:$B$620,"&lt;="&amp;C128,主线宝箱!$T$321:$T$620)</f>
        <v>6920</v>
      </c>
      <c r="E128" s="80">
        <v>110</v>
      </c>
      <c r="F128" s="80">
        <f t="shared" si="16"/>
        <v>450</v>
      </c>
      <c r="G128" s="80">
        <f ca="1">IF(AND($C$27&lt;3,B128&gt;3),G127,SUMIF(图纸产出设计!$F$334:$F$342,"&lt;="&amp;B128,图纸产出设计!$C$334:$C$342))</f>
        <v>3890</v>
      </c>
      <c r="H128" s="80">
        <f ca="1">OFFSET(产销汇总!$C$1,MATCH(H$28,产销汇总!$C$2:$C$8,0),$C$27)*(_xlfn.XLOOKUP(C128,主线推图!$B$313:$B$612,主线推图!$G$313:$G$612)+_xlfn.XLOOKUP(C128,主线推图!$B$313:$B$612,主线推图!$H$313:$H$612))</f>
        <v>176</v>
      </c>
      <c r="I128" s="80">
        <f ca="1">OFFSET(产销汇总!$C$1,MATCH(I$28,产销汇总!$C$2:$C$8,0),$C$27)*_xlfn.XLOOKUP(C128,巡逻产出!$B$311:$B$610,巡逻产出!$H$311:$H$610)</f>
        <v>0</v>
      </c>
      <c r="J128" s="80" t="e">
        <f ca="1">OFFSET(产销汇总!$C$1,MATCH(J$28,产销汇总!$C$2:$C$8,0),$C$27)*(_xlfn.XLOOKUP(MAX(1,INT(C128/10-6/10)),组队产出!$B$24:$B$39,组队产出!$J$24:$J$39)+_xlfn.XLOOKUP(MAX(1,INT(C128/10-6/10)),组队产出!$B$24:$B$39,组队产出!$K$24:$K$39))</f>
        <v>#N/A</v>
      </c>
      <c r="K128" s="80">
        <f ca="1">OFFSET(产销汇总!$C$1,MATCH(K$28,产销汇总!$C$2:$C$8,0),$C$27)*_xlfn.XLOOKUP(C128,巡逻产出!$B$311:$B$610,巡逻产出!$I$311:$I$610)*IF($C$27=1,0.5,1)</f>
        <v>312</v>
      </c>
      <c r="L128" s="80">
        <f ca="1">OFFSET(产销汇总!$C$1,MATCH(L$28,产销汇总!$C$2:$C$8,0),$C$27)*竞技场!$C$5</f>
        <v>180</v>
      </c>
      <c r="M128" s="80">
        <f>任务!$C$6+IF(MOD(B128,7)=0,任务!$M$25)</f>
        <v>30</v>
      </c>
      <c r="N128" s="98">
        <f t="shared" si="10"/>
        <v>1.7</v>
      </c>
      <c r="O128" s="80">
        <f t="shared" si="11"/>
        <v>10</v>
      </c>
      <c r="P128" s="172">
        <f ca="1">OFFSET(产销汇总!$C$1,MATCH(P$27,产销汇总!$C$2:$C$8,0),$C$27)/200*协力宝箱!$Q$82</f>
        <v>0</v>
      </c>
      <c r="Q128" s="80">
        <f t="shared" si="12"/>
        <v>10</v>
      </c>
      <c r="R128" s="80">
        <v>10</v>
      </c>
      <c r="S128" s="172">
        <f t="shared" si="14"/>
        <v>100</v>
      </c>
      <c r="T128" s="172">
        <f>(公会!$F$12+公会!$F$13+公会!$F$14+公会!$F$18/7)/2</f>
        <v>121.428571428571</v>
      </c>
      <c r="U128" s="172">
        <f t="shared" si="13"/>
        <v>150</v>
      </c>
      <c r="V128" s="172" t="e">
        <f ca="1">SUM($H$29:U128)+SUM(D128:G128)</f>
        <v>#N/A</v>
      </c>
      <c r="W128" s="132" t="e">
        <f ca="1" t="shared" si="15"/>
        <v>#N/A</v>
      </c>
    </row>
    <row r="129" spans="1:23">
      <c r="A129" s="171"/>
      <c r="B129" s="80">
        <v>101</v>
      </c>
      <c r="C129" s="80">
        <f ca="1">OFFSET(产销汇总!$C$12,$B129,$C$27)</f>
        <v>173.5</v>
      </c>
      <c r="D129" s="80">
        <f ca="1">SUMIF(主线宝箱!$B$321:$B$620,"&lt;="&amp;C129,主线宝箱!$H$321:$H$620)+SUMIF(主线宝箱!$B$321:$B$620,"&lt;="&amp;C129,主线宝箱!$T$321:$T$620)</f>
        <v>6920</v>
      </c>
      <c r="E129" s="80">
        <v>110</v>
      </c>
      <c r="F129" s="80">
        <f t="shared" si="16"/>
        <v>450</v>
      </c>
      <c r="G129" s="80">
        <f ca="1">IF(AND($C$27&lt;3,B129&gt;3),G128,SUMIF(图纸产出设计!$F$334:$F$342,"&lt;="&amp;B129,图纸产出设计!$C$334:$C$342))</f>
        <v>3890</v>
      </c>
      <c r="H129" s="80" t="e">
        <f ca="1">OFFSET(产销汇总!$C$1,MATCH(H$28,产销汇总!$C$2:$C$8,0),$C$27)*(_xlfn.XLOOKUP(C129,主线推图!$B$313:$B$612,主线推图!$G$313:$G$612)+_xlfn.XLOOKUP(C129,主线推图!$B$313:$B$612,主线推图!$H$313:$H$612))</f>
        <v>#N/A</v>
      </c>
      <c r="I129" s="80" t="e">
        <f ca="1">OFFSET(产销汇总!$C$1,MATCH(I$28,产销汇总!$C$2:$C$8,0),$C$27)*_xlfn.XLOOKUP(C129,巡逻产出!$B$311:$B$610,巡逻产出!$H$311:$H$610)</f>
        <v>#N/A</v>
      </c>
      <c r="J129" s="80" t="e">
        <f ca="1">OFFSET(产销汇总!$C$1,MATCH(J$28,产销汇总!$C$2:$C$8,0),$C$27)*(_xlfn.XLOOKUP(MAX(1,INT(C129/10-6/10)),组队产出!$B$24:$B$39,组队产出!$J$24:$J$39)+_xlfn.XLOOKUP(MAX(1,INT(C129/10-6/10)),组队产出!$B$24:$B$39,组队产出!$K$24:$K$39))</f>
        <v>#N/A</v>
      </c>
      <c r="K129" s="80" t="e">
        <f ca="1">OFFSET(产销汇总!$C$1,MATCH(K$28,产销汇总!$C$2:$C$8,0),$C$27)*_xlfn.XLOOKUP(C129,巡逻产出!$B$311:$B$610,巡逻产出!$I$311:$I$610)*IF($C$27=1,0.5,1)</f>
        <v>#N/A</v>
      </c>
      <c r="L129" s="80">
        <f ca="1">OFFSET(产销汇总!$C$1,MATCH(L$28,产销汇总!$C$2:$C$8,0),$C$27)*竞技场!$C$5</f>
        <v>180</v>
      </c>
      <c r="M129" s="80">
        <f>任务!$C$6+IF(MOD(B129,7)=0,任务!$M$25)</f>
        <v>30</v>
      </c>
      <c r="N129" s="98">
        <f t="shared" si="10"/>
        <v>1.7</v>
      </c>
      <c r="O129" s="80">
        <f t="shared" si="11"/>
        <v>0</v>
      </c>
      <c r="P129" s="172">
        <f ca="1">OFFSET(产销汇总!$C$1,MATCH(P$27,产销汇总!$C$2:$C$8,0),$C$27)/200*协力宝箱!$Q$82</f>
        <v>0</v>
      </c>
      <c r="Q129" s="80">
        <f t="shared" si="12"/>
        <v>10</v>
      </c>
      <c r="R129" s="80">
        <v>10</v>
      </c>
      <c r="S129" s="172">
        <f t="shared" si="14"/>
        <v>100</v>
      </c>
      <c r="T129" s="172">
        <f>(公会!$F$12+公会!$F$13+公会!$F$14+公会!$F$18/7)/2</f>
        <v>121.428571428571</v>
      </c>
      <c r="U129" s="172">
        <f t="shared" si="13"/>
        <v>150</v>
      </c>
      <c r="V129" s="172" t="e">
        <f ca="1">SUM($H$29:U129)+SUM(D129:G129)</f>
        <v>#N/A</v>
      </c>
      <c r="W129" s="132" t="e">
        <f ca="1" t="shared" si="15"/>
        <v>#N/A</v>
      </c>
    </row>
    <row r="130" spans="1:23">
      <c r="A130" s="171"/>
      <c r="B130" s="80">
        <v>102</v>
      </c>
      <c r="C130" s="80">
        <f ca="1">OFFSET(产销汇总!$C$12,$B130,$C$27)</f>
        <v>174</v>
      </c>
      <c r="D130" s="80">
        <f ca="1">SUMIF(主线宝箱!$B$321:$B$620,"&lt;="&amp;C130,主线宝箱!$H$321:$H$620)+SUMIF(主线宝箱!$B$321:$B$620,"&lt;="&amp;C130,主线宝箱!$T$321:$T$620)</f>
        <v>6960</v>
      </c>
      <c r="E130" s="80">
        <v>110</v>
      </c>
      <c r="F130" s="80">
        <f t="shared" si="16"/>
        <v>450</v>
      </c>
      <c r="G130" s="80">
        <f ca="1">IF(AND($C$27&lt;3,B130&gt;3),G129,SUMIF(图纸产出设计!$F$334:$F$342,"&lt;="&amp;B130,图纸产出设计!$C$334:$C$342))</f>
        <v>3890</v>
      </c>
      <c r="H130" s="80">
        <f ca="1">OFFSET(产销汇总!$C$1,MATCH(H$28,产销汇总!$C$2:$C$8,0),$C$27)*(_xlfn.XLOOKUP(C130,主线推图!$B$313:$B$612,主线推图!$G$313:$G$612)+_xlfn.XLOOKUP(C130,主线推图!$B$313:$B$612,主线推图!$H$313:$H$612))</f>
        <v>176</v>
      </c>
      <c r="I130" s="80">
        <f ca="1">OFFSET(产销汇总!$C$1,MATCH(I$28,产销汇总!$C$2:$C$8,0),$C$27)*_xlfn.XLOOKUP(C130,巡逻产出!$B$311:$B$610,巡逻产出!$H$311:$H$610)</f>
        <v>0</v>
      </c>
      <c r="J130" s="80" t="e">
        <f ca="1">OFFSET(产销汇总!$C$1,MATCH(J$28,产销汇总!$C$2:$C$8,0),$C$27)*(_xlfn.XLOOKUP(MAX(1,INT(C130/10-6/10)),组队产出!$B$24:$B$39,组队产出!$J$24:$J$39)+_xlfn.XLOOKUP(MAX(1,INT(C130/10-6/10)),组队产出!$B$24:$B$39,组队产出!$K$24:$K$39))</f>
        <v>#N/A</v>
      </c>
      <c r="K130" s="80">
        <f ca="1">OFFSET(产销汇总!$C$1,MATCH(K$28,产销汇总!$C$2:$C$8,0),$C$27)*_xlfn.XLOOKUP(C130,巡逻产出!$B$311:$B$610,巡逻产出!$I$311:$I$610)*IF($C$27=1,0.5,1)</f>
        <v>312</v>
      </c>
      <c r="L130" s="80">
        <f ca="1">OFFSET(产销汇总!$C$1,MATCH(L$28,产销汇总!$C$2:$C$8,0),$C$27)*竞技场!$C$5</f>
        <v>180</v>
      </c>
      <c r="M130" s="80">
        <f>任务!$C$6+IF(MOD(B130,7)=0,任务!$M$25)</f>
        <v>30</v>
      </c>
      <c r="N130" s="98">
        <f t="shared" si="10"/>
        <v>1.7</v>
      </c>
      <c r="O130" s="80">
        <f t="shared" si="11"/>
        <v>0</v>
      </c>
      <c r="P130" s="172">
        <f ca="1">OFFSET(产销汇总!$C$1,MATCH(P$27,产销汇总!$C$2:$C$8,0),$C$27)/200*协力宝箱!$Q$82</f>
        <v>0</v>
      </c>
      <c r="Q130" s="80">
        <f t="shared" si="12"/>
        <v>10</v>
      </c>
      <c r="R130" s="80">
        <v>10</v>
      </c>
      <c r="S130" s="172">
        <f t="shared" si="14"/>
        <v>100</v>
      </c>
      <c r="T130" s="172">
        <f>(公会!$F$12+公会!$F$13+公会!$F$14+公会!$F$18/7)/2</f>
        <v>121.428571428571</v>
      </c>
      <c r="U130" s="172">
        <f t="shared" si="13"/>
        <v>150</v>
      </c>
      <c r="V130" s="172" t="e">
        <f ca="1">SUM($H$29:U130)+SUM(D130:G130)</f>
        <v>#N/A</v>
      </c>
      <c r="W130" s="132" t="e">
        <f ca="1" t="shared" si="15"/>
        <v>#N/A</v>
      </c>
    </row>
    <row r="131" spans="1:23">
      <c r="A131" s="171"/>
      <c r="B131" s="80">
        <v>103</v>
      </c>
      <c r="C131" s="80">
        <f ca="1">OFFSET(产销汇总!$C$12,$B131,$C$27)</f>
        <v>174.5</v>
      </c>
      <c r="D131" s="80">
        <f ca="1">SUMIF(主线宝箱!$B$321:$B$620,"&lt;="&amp;C131,主线宝箱!$H$321:$H$620)+SUMIF(主线宝箱!$B$321:$B$620,"&lt;="&amp;C131,主线宝箱!$T$321:$T$620)</f>
        <v>6960</v>
      </c>
      <c r="E131" s="80">
        <v>110</v>
      </c>
      <c r="F131" s="80">
        <f t="shared" si="16"/>
        <v>450</v>
      </c>
      <c r="G131" s="80">
        <f ca="1">IF(AND($C$27&lt;3,B131&gt;3),G130,SUMIF(图纸产出设计!$F$334:$F$342,"&lt;="&amp;B131,图纸产出设计!$C$334:$C$342))</f>
        <v>3890</v>
      </c>
      <c r="H131" s="80" t="e">
        <f ca="1">OFFSET(产销汇总!$C$1,MATCH(H$28,产销汇总!$C$2:$C$8,0),$C$27)*(_xlfn.XLOOKUP(C131,主线推图!$B$313:$B$612,主线推图!$G$313:$G$612)+_xlfn.XLOOKUP(C131,主线推图!$B$313:$B$612,主线推图!$H$313:$H$612))</f>
        <v>#N/A</v>
      </c>
      <c r="I131" s="80" t="e">
        <f ca="1">OFFSET(产销汇总!$C$1,MATCH(I$28,产销汇总!$C$2:$C$8,0),$C$27)*_xlfn.XLOOKUP(C131,巡逻产出!$B$311:$B$610,巡逻产出!$H$311:$H$610)</f>
        <v>#N/A</v>
      </c>
      <c r="J131" s="80" t="e">
        <f ca="1">OFFSET(产销汇总!$C$1,MATCH(J$28,产销汇总!$C$2:$C$8,0),$C$27)*(_xlfn.XLOOKUP(MAX(1,INT(C131/10-6/10)),组队产出!$B$24:$B$39,组队产出!$J$24:$J$39)+_xlfn.XLOOKUP(MAX(1,INT(C131/10-6/10)),组队产出!$B$24:$B$39,组队产出!$K$24:$K$39))</f>
        <v>#N/A</v>
      </c>
      <c r="K131" s="80" t="e">
        <f ca="1">OFFSET(产销汇总!$C$1,MATCH(K$28,产销汇总!$C$2:$C$8,0),$C$27)*_xlfn.XLOOKUP(C131,巡逻产出!$B$311:$B$610,巡逻产出!$I$311:$I$610)*IF($C$27=1,0.5,1)</f>
        <v>#N/A</v>
      </c>
      <c r="L131" s="80">
        <f ca="1">OFFSET(产销汇总!$C$1,MATCH(L$28,产销汇总!$C$2:$C$8,0),$C$27)*竞技场!$C$5</f>
        <v>180</v>
      </c>
      <c r="M131" s="80">
        <f>任务!$C$6+IF(MOD(B131,7)=0,任务!$M$25)</f>
        <v>30</v>
      </c>
      <c r="N131" s="98">
        <f t="shared" si="10"/>
        <v>1.7</v>
      </c>
      <c r="O131" s="80">
        <f t="shared" si="11"/>
        <v>10</v>
      </c>
      <c r="P131" s="172">
        <f ca="1">OFFSET(产销汇总!$C$1,MATCH(P$27,产销汇总!$C$2:$C$8,0),$C$27)/200*协力宝箱!$Q$82</f>
        <v>0</v>
      </c>
      <c r="Q131" s="80">
        <f t="shared" si="12"/>
        <v>10</v>
      </c>
      <c r="R131" s="80">
        <v>10</v>
      </c>
      <c r="S131" s="172">
        <f t="shared" si="14"/>
        <v>100</v>
      </c>
      <c r="T131" s="172">
        <f>(公会!$F$12+公会!$F$13+公会!$F$14+公会!$F$18/7)/2</f>
        <v>121.428571428571</v>
      </c>
      <c r="U131" s="172">
        <f t="shared" si="13"/>
        <v>150</v>
      </c>
      <c r="V131" s="172" t="e">
        <f ca="1">SUM($H$29:U131)+SUM(D131:G131)</f>
        <v>#N/A</v>
      </c>
      <c r="W131" s="132" t="e">
        <f ca="1" t="shared" si="15"/>
        <v>#N/A</v>
      </c>
    </row>
    <row r="132" spans="1:23">
      <c r="A132" s="171"/>
      <c r="B132" s="80">
        <v>104</v>
      </c>
      <c r="C132" s="80">
        <f ca="1">OFFSET(产销汇总!$C$12,$B132,$C$27)</f>
        <v>175</v>
      </c>
      <c r="D132" s="80">
        <f ca="1">SUMIF(主线宝箱!$B$321:$B$620,"&lt;="&amp;C132,主线宝箱!$H$321:$H$620)+SUMIF(主线宝箱!$B$321:$B$620,"&lt;="&amp;C132,主线宝箱!$T$321:$T$620)</f>
        <v>7000</v>
      </c>
      <c r="E132" s="80">
        <v>110</v>
      </c>
      <c r="F132" s="80">
        <f t="shared" si="16"/>
        <v>450</v>
      </c>
      <c r="G132" s="80">
        <f ca="1">IF(AND($C$27&lt;3,B132&gt;3),G131,SUMIF(图纸产出设计!$F$334:$F$342,"&lt;="&amp;B132,图纸产出设计!$C$334:$C$342))</f>
        <v>3890</v>
      </c>
      <c r="H132" s="80">
        <f ca="1">OFFSET(产销汇总!$C$1,MATCH(H$28,产销汇总!$C$2:$C$8,0),$C$27)*(_xlfn.XLOOKUP(C132,主线推图!$B$313:$B$612,主线推图!$G$313:$G$612)+_xlfn.XLOOKUP(C132,主线推图!$B$313:$B$612,主线推图!$H$313:$H$612))</f>
        <v>176</v>
      </c>
      <c r="I132" s="80">
        <f ca="1">OFFSET(产销汇总!$C$1,MATCH(I$28,产销汇总!$C$2:$C$8,0),$C$27)*_xlfn.XLOOKUP(C132,巡逻产出!$B$311:$B$610,巡逻产出!$H$311:$H$610)</f>
        <v>0</v>
      </c>
      <c r="J132" s="80" t="e">
        <f ca="1">OFFSET(产销汇总!$C$1,MATCH(J$28,产销汇总!$C$2:$C$8,0),$C$27)*(_xlfn.XLOOKUP(MAX(1,INT(C132/10-6/10)),组队产出!$B$24:$B$39,组队产出!$J$24:$J$39)+_xlfn.XLOOKUP(MAX(1,INT(C132/10-6/10)),组队产出!$B$24:$B$39,组队产出!$K$24:$K$39))</f>
        <v>#N/A</v>
      </c>
      <c r="K132" s="80">
        <f ca="1">OFFSET(产销汇总!$C$1,MATCH(K$28,产销汇总!$C$2:$C$8,0),$C$27)*_xlfn.XLOOKUP(C132,巡逻产出!$B$311:$B$610,巡逻产出!$I$311:$I$610)*IF($C$27=1,0.5,1)</f>
        <v>312</v>
      </c>
      <c r="L132" s="80">
        <f ca="1">OFFSET(产销汇总!$C$1,MATCH(L$28,产销汇总!$C$2:$C$8,0),$C$27)*竞技场!$C$5</f>
        <v>180</v>
      </c>
      <c r="M132" s="80">
        <f>任务!$C$6+IF(MOD(B132,7)=0,任务!$M$25)</f>
        <v>30</v>
      </c>
      <c r="N132" s="98">
        <f t="shared" si="10"/>
        <v>1.7</v>
      </c>
      <c r="O132" s="80">
        <f t="shared" si="11"/>
        <v>0</v>
      </c>
      <c r="P132" s="172">
        <f ca="1">OFFSET(产销汇总!$C$1,MATCH(P$27,产销汇总!$C$2:$C$8,0),$C$27)/200*协力宝箱!$Q$82</f>
        <v>0</v>
      </c>
      <c r="Q132" s="80">
        <f t="shared" si="12"/>
        <v>10</v>
      </c>
      <c r="R132" s="80">
        <v>10</v>
      </c>
      <c r="S132" s="172">
        <f t="shared" si="14"/>
        <v>100</v>
      </c>
      <c r="T132" s="172">
        <f>(公会!$F$12+公会!$F$13+公会!$F$14+公会!$F$18/7)/2</f>
        <v>121.428571428571</v>
      </c>
      <c r="U132" s="172">
        <f t="shared" si="13"/>
        <v>150</v>
      </c>
      <c r="V132" s="172" t="e">
        <f ca="1">SUM($H$29:U132)+SUM(D132:G132)</f>
        <v>#N/A</v>
      </c>
      <c r="W132" s="132" t="e">
        <f ca="1" t="shared" si="15"/>
        <v>#N/A</v>
      </c>
    </row>
    <row r="133" spans="1:23">
      <c r="A133" s="171"/>
      <c r="B133" s="80">
        <v>105</v>
      </c>
      <c r="C133" s="80">
        <f ca="1">OFFSET(产销汇总!$C$12,$B133,$C$27)</f>
        <v>175.5</v>
      </c>
      <c r="D133" s="80">
        <f ca="1">SUMIF(主线宝箱!$B$321:$B$620,"&lt;="&amp;C133,主线宝箱!$H$321:$H$620)+SUMIF(主线宝箱!$B$321:$B$620,"&lt;="&amp;C133,主线宝箱!$T$321:$T$620)</f>
        <v>7000</v>
      </c>
      <c r="E133" s="80">
        <v>110</v>
      </c>
      <c r="F133" s="80">
        <f t="shared" si="16"/>
        <v>450</v>
      </c>
      <c r="G133" s="80">
        <f ca="1">IF(AND($C$27&lt;3,B133&gt;3),G132,SUMIF(图纸产出设计!$F$334:$F$342,"&lt;="&amp;B133,图纸产出设计!$C$334:$C$342))</f>
        <v>3890</v>
      </c>
      <c r="H133" s="80" t="e">
        <f ca="1">OFFSET(产销汇总!$C$1,MATCH(H$28,产销汇总!$C$2:$C$8,0),$C$27)*(_xlfn.XLOOKUP(C133,主线推图!$B$313:$B$612,主线推图!$G$313:$G$612)+_xlfn.XLOOKUP(C133,主线推图!$B$313:$B$612,主线推图!$H$313:$H$612))</f>
        <v>#N/A</v>
      </c>
      <c r="I133" s="80" t="e">
        <f ca="1">OFFSET(产销汇总!$C$1,MATCH(I$28,产销汇总!$C$2:$C$8,0),$C$27)*_xlfn.XLOOKUP(C133,巡逻产出!$B$311:$B$610,巡逻产出!$H$311:$H$610)</f>
        <v>#N/A</v>
      </c>
      <c r="J133" s="80" t="e">
        <f ca="1">OFFSET(产销汇总!$C$1,MATCH(J$28,产销汇总!$C$2:$C$8,0),$C$27)*(_xlfn.XLOOKUP(MAX(1,INT(C133/10-6/10)),组队产出!$B$24:$B$39,组队产出!$J$24:$J$39)+_xlfn.XLOOKUP(MAX(1,INT(C133/10-6/10)),组队产出!$B$24:$B$39,组队产出!$K$24:$K$39))</f>
        <v>#N/A</v>
      </c>
      <c r="K133" s="80" t="e">
        <f ca="1">OFFSET(产销汇总!$C$1,MATCH(K$28,产销汇总!$C$2:$C$8,0),$C$27)*_xlfn.XLOOKUP(C133,巡逻产出!$B$311:$B$610,巡逻产出!$I$311:$I$610)*IF($C$27=1,0.5,1)</f>
        <v>#N/A</v>
      </c>
      <c r="L133" s="80">
        <f ca="1">OFFSET(产销汇总!$C$1,MATCH(L$28,产销汇总!$C$2:$C$8,0),$C$27)*竞技场!$C$5</f>
        <v>180</v>
      </c>
      <c r="M133" s="80">
        <f>任务!$C$6+IF(MOD(B133,7)=0,任务!$M$25)</f>
        <v>60</v>
      </c>
      <c r="N133" s="98">
        <f t="shared" si="10"/>
        <v>1.7</v>
      </c>
      <c r="O133" s="80">
        <f t="shared" si="11"/>
        <v>0</v>
      </c>
      <c r="P133" s="172">
        <f ca="1">OFFSET(产销汇总!$C$1,MATCH(P$27,产销汇总!$C$2:$C$8,0),$C$27)/200*协力宝箱!$Q$82</f>
        <v>0</v>
      </c>
      <c r="Q133" s="80">
        <f t="shared" si="12"/>
        <v>10</v>
      </c>
      <c r="R133" s="80">
        <v>10</v>
      </c>
      <c r="S133" s="172">
        <f t="shared" si="14"/>
        <v>100</v>
      </c>
      <c r="T133" s="172">
        <f>(公会!$F$12+公会!$F$13+公会!$F$14+公会!$F$18/7)/2</f>
        <v>121.428571428571</v>
      </c>
      <c r="U133" s="172">
        <f t="shared" si="13"/>
        <v>150</v>
      </c>
      <c r="V133" s="172" t="e">
        <f ca="1">SUM($H$29:U133)+SUM(D133:G133)</f>
        <v>#N/A</v>
      </c>
      <c r="W133" s="132" t="e">
        <f ca="1" t="shared" si="15"/>
        <v>#N/A</v>
      </c>
    </row>
    <row r="134" spans="1:23">
      <c r="A134" s="171"/>
      <c r="B134" s="80">
        <v>106</v>
      </c>
      <c r="C134" s="80">
        <f ca="1">OFFSET(产销汇总!$C$12,$B134,$C$27)</f>
        <v>176</v>
      </c>
      <c r="D134" s="80">
        <f ca="1">SUMIF(主线宝箱!$B$321:$B$620,"&lt;="&amp;C134,主线宝箱!$H$321:$H$620)+SUMIF(主线宝箱!$B$321:$B$620,"&lt;="&amp;C134,主线宝箱!$T$321:$T$620)</f>
        <v>7040</v>
      </c>
      <c r="E134" s="80">
        <v>110</v>
      </c>
      <c r="F134" s="80">
        <f t="shared" si="16"/>
        <v>450</v>
      </c>
      <c r="G134" s="80">
        <f ca="1">IF(AND($C$27&lt;3,B134&gt;3),G133,SUMIF(图纸产出设计!$F$334:$F$342,"&lt;="&amp;B134,图纸产出设计!$C$334:$C$342))</f>
        <v>3890</v>
      </c>
      <c r="H134" s="80">
        <f ca="1">OFFSET(产销汇总!$C$1,MATCH(H$28,产销汇总!$C$2:$C$8,0),$C$27)*(_xlfn.XLOOKUP(C134,主线推图!$B$313:$B$612,主线推图!$G$313:$G$612)+_xlfn.XLOOKUP(C134,主线推图!$B$313:$B$612,主线推图!$H$313:$H$612))</f>
        <v>176</v>
      </c>
      <c r="I134" s="80">
        <f ca="1">OFFSET(产销汇总!$C$1,MATCH(I$28,产销汇总!$C$2:$C$8,0),$C$27)*_xlfn.XLOOKUP(C134,巡逻产出!$B$311:$B$610,巡逻产出!$H$311:$H$610)</f>
        <v>0</v>
      </c>
      <c r="J134" s="80" t="e">
        <f ca="1">OFFSET(产销汇总!$C$1,MATCH(J$28,产销汇总!$C$2:$C$8,0),$C$27)*(_xlfn.XLOOKUP(MAX(1,INT(C134/10-6/10)),组队产出!$B$24:$B$39,组队产出!$J$24:$J$39)+_xlfn.XLOOKUP(MAX(1,INT(C134/10-6/10)),组队产出!$B$24:$B$39,组队产出!$K$24:$K$39))</f>
        <v>#N/A</v>
      </c>
      <c r="K134" s="80">
        <f ca="1">OFFSET(产销汇总!$C$1,MATCH(K$28,产销汇总!$C$2:$C$8,0),$C$27)*_xlfn.XLOOKUP(C134,巡逻产出!$B$311:$B$610,巡逻产出!$I$311:$I$610)*IF($C$27=1,0.5,1)</f>
        <v>312</v>
      </c>
      <c r="L134" s="80">
        <f ca="1">OFFSET(产销汇总!$C$1,MATCH(L$28,产销汇总!$C$2:$C$8,0),$C$27)*竞技场!$C$5</f>
        <v>180</v>
      </c>
      <c r="M134" s="80">
        <f>任务!$C$6+IF(MOD(B134,7)=0,任务!$M$25)</f>
        <v>30</v>
      </c>
      <c r="N134" s="98">
        <f t="shared" si="10"/>
        <v>1.7</v>
      </c>
      <c r="O134" s="80">
        <f t="shared" si="11"/>
        <v>0</v>
      </c>
      <c r="P134" s="172">
        <f ca="1">OFFSET(产销汇总!$C$1,MATCH(P$27,产销汇总!$C$2:$C$8,0),$C$27)/200*协力宝箱!$Q$82</f>
        <v>0</v>
      </c>
      <c r="Q134" s="80">
        <f t="shared" si="12"/>
        <v>10</v>
      </c>
      <c r="R134" s="80">
        <v>10</v>
      </c>
      <c r="S134" s="172">
        <f t="shared" si="14"/>
        <v>100</v>
      </c>
      <c r="T134" s="172">
        <f>(公会!$F$12+公会!$F$13+公会!$F$14+公会!$F$18/7)/2</f>
        <v>121.428571428571</v>
      </c>
      <c r="U134" s="172">
        <f t="shared" si="13"/>
        <v>150</v>
      </c>
      <c r="V134" s="172" t="e">
        <f ca="1">SUM($H$29:U134)+SUM(D134:G134)</f>
        <v>#N/A</v>
      </c>
      <c r="W134" s="132" t="e">
        <f ca="1" t="shared" si="15"/>
        <v>#N/A</v>
      </c>
    </row>
    <row r="135" spans="1:23">
      <c r="A135" s="171"/>
      <c r="B135" s="80">
        <v>107</v>
      </c>
      <c r="C135" s="80">
        <f ca="1">OFFSET(产销汇总!$C$12,$B135,$C$27)</f>
        <v>176.5</v>
      </c>
      <c r="D135" s="80">
        <f ca="1">SUMIF(主线宝箱!$B$321:$B$620,"&lt;="&amp;C135,主线宝箱!$H$321:$H$620)+SUMIF(主线宝箱!$B$321:$B$620,"&lt;="&amp;C135,主线宝箱!$T$321:$T$620)</f>
        <v>7040</v>
      </c>
      <c r="E135" s="80">
        <v>110</v>
      </c>
      <c r="F135" s="80">
        <f t="shared" si="16"/>
        <v>450</v>
      </c>
      <c r="G135" s="80">
        <f ca="1">IF(AND($C$27&lt;3,B135&gt;3),G134,SUMIF(图纸产出设计!$F$334:$F$342,"&lt;="&amp;B135,图纸产出设计!$C$334:$C$342))</f>
        <v>3890</v>
      </c>
      <c r="H135" s="80" t="e">
        <f ca="1">OFFSET(产销汇总!$C$1,MATCH(H$28,产销汇总!$C$2:$C$8,0),$C$27)*(_xlfn.XLOOKUP(C135,主线推图!$B$313:$B$612,主线推图!$G$313:$G$612)+_xlfn.XLOOKUP(C135,主线推图!$B$313:$B$612,主线推图!$H$313:$H$612))</f>
        <v>#N/A</v>
      </c>
      <c r="I135" s="80" t="e">
        <f ca="1">OFFSET(产销汇总!$C$1,MATCH(I$28,产销汇总!$C$2:$C$8,0),$C$27)*_xlfn.XLOOKUP(C135,巡逻产出!$B$311:$B$610,巡逻产出!$H$311:$H$610)</f>
        <v>#N/A</v>
      </c>
      <c r="J135" s="80" t="e">
        <f ca="1">OFFSET(产销汇总!$C$1,MATCH(J$28,产销汇总!$C$2:$C$8,0),$C$27)*(_xlfn.XLOOKUP(MAX(1,INT(C135/10-6/10)),组队产出!$B$24:$B$39,组队产出!$J$24:$J$39)+_xlfn.XLOOKUP(MAX(1,INT(C135/10-6/10)),组队产出!$B$24:$B$39,组队产出!$K$24:$K$39))</f>
        <v>#N/A</v>
      </c>
      <c r="K135" s="80" t="e">
        <f ca="1">OFFSET(产销汇总!$C$1,MATCH(K$28,产销汇总!$C$2:$C$8,0),$C$27)*_xlfn.XLOOKUP(C135,巡逻产出!$B$311:$B$610,巡逻产出!$I$311:$I$610)*IF($C$27=1,0.5,1)</f>
        <v>#N/A</v>
      </c>
      <c r="L135" s="80">
        <f ca="1">OFFSET(产销汇总!$C$1,MATCH(L$28,产销汇总!$C$2:$C$8,0),$C$27)*竞技场!$C$5</f>
        <v>180</v>
      </c>
      <c r="M135" s="80">
        <f>任务!$C$6+IF(MOD(B135,7)=0,任务!$M$25)</f>
        <v>30</v>
      </c>
      <c r="N135" s="98">
        <f t="shared" si="10"/>
        <v>1.7</v>
      </c>
      <c r="O135" s="80">
        <f t="shared" si="11"/>
        <v>10</v>
      </c>
      <c r="P135" s="172">
        <f ca="1">OFFSET(产销汇总!$C$1,MATCH(P$27,产销汇总!$C$2:$C$8,0),$C$27)/200*协力宝箱!$Q$82</f>
        <v>0</v>
      </c>
      <c r="Q135" s="80">
        <f t="shared" si="12"/>
        <v>10</v>
      </c>
      <c r="R135" s="80">
        <v>10</v>
      </c>
      <c r="S135" s="172">
        <f t="shared" si="14"/>
        <v>100</v>
      </c>
      <c r="T135" s="172">
        <f>(公会!$F$12+公会!$F$13+公会!$F$14+公会!$F$18/7)/2</f>
        <v>121.428571428571</v>
      </c>
      <c r="U135" s="172">
        <f t="shared" si="13"/>
        <v>150</v>
      </c>
      <c r="V135" s="172" t="e">
        <f ca="1">SUM($H$29:U135)+SUM(D135:G135)</f>
        <v>#N/A</v>
      </c>
      <c r="W135" s="132" t="e">
        <f ca="1" t="shared" si="15"/>
        <v>#N/A</v>
      </c>
    </row>
    <row r="136" spans="1:23">
      <c r="A136" s="171"/>
      <c r="B136" s="80">
        <v>108</v>
      </c>
      <c r="C136" s="80">
        <f ca="1">OFFSET(产销汇总!$C$12,$B136,$C$27)</f>
        <v>177</v>
      </c>
      <c r="D136" s="80">
        <f ca="1">SUMIF(主线宝箱!$B$321:$B$620,"&lt;="&amp;C136,主线宝箱!$H$321:$H$620)+SUMIF(主线宝箱!$B$321:$B$620,"&lt;="&amp;C136,主线宝箱!$T$321:$T$620)</f>
        <v>7080</v>
      </c>
      <c r="E136" s="80">
        <v>110</v>
      </c>
      <c r="F136" s="80">
        <f t="shared" si="16"/>
        <v>450</v>
      </c>
      <c r="G136" s="80">
        <f ca="1">IF(AND($C$27&lt;3,B136&gt;3),G135,SUMIF(图纸产出设计!$F$334:$F$342,"&lt;="&amp;B136,图纸产出设计!$C$334:$C$342))</f>
        <v>3890</v>
      </c>
      <c r="H136" s="80">
        <f ca="1">OFFSET(产销汇总!$C$1,MATCH(H$28,产销汇总!$C$2:$C$8,0),$C$27)*(_xlfn.XLOOKUP(C136,主线推图!$B$313:$B$612,主线推图!$G$313:$G$612)+_xlfn.XLOOKUP(C136,主线推图!$B$313:$B$612,主线推图!$H$313:$H$612))</f>
        <v>176</v>
      </c>
      <c r="I136" s="80">
        <f ca="1">OFFSET(产销汇总!$C$1,MATCH(I$28,产销汇总!$C$2:$C$8,0),$C$27)*_xlfn.XLOOKUP(C136,巡逻产出!$B$311:$B$610,巡逻产出!$H$311:$H$610)</f>
        <v>0</v>
      </c>
      <c r="J136" s="80" t="e">
        <f ca="1">OFFSET(产销汇总!$C$1,MATCH(J$28,产销汇总!$C$2:$C$8,0),$C$27)*(_xlfn.XLOOKUP(MAX(1,INT(C136/10-6/10)),组队产出!$B$24:$B$39,组队产出!$J$24:$J$39)+_xlfn.XLOOKUP(MAX(1,INT(C136/10-6/10)),组队产出!$B$24:$B$39,组队产出!$K$24:$K$39))</f>
        <v>#N/A</v>
      </c>
      <c r="K136" s="80">
        <f ca="1">OFFSET(产销汇总!$C$1,MATCH(K$28,产销汇总!$C$2:$C$8,0),$C$27)*_xlfn.XLOOKUP(C136,巡逻产出!$B$311:$B$610,巡逻产出!$I$311:$I$610)*IF($C$27=1,0.5,1)</f>
        <v>312</v>
      </c>
      <c r="L136" s="80">
        <f ca="1">OFFSET(产销汇总!$C$1,MATCH(L$28,产销汇总!$C$2:$C$8,0),$C$27)*竞技场!$C$5</f>
        <v>180</v>
      </c>
      <c r="M136" s="80">
        <f>任务!$C$6+IF(MOD(B136,7)=0,任务!$M$25)</f>
        <v>30</v>
      </c>
      <c r="N136" s="98">
        <f t="shared" si="10"/>
        <v>1.7</v>
      </c>
      <c r="O136" s="80">
        <f t="shared" si="11"/>
        <v>0</v>
      </c>
      <c r="P136" s="172">
        <f ca="1">OFFSET(产销汇总!$C$1,MATCH(P$27,产销汇总!$C$2:$C$8,0),$C$27)/200*协力宝箱!$Q$82</f>
        <v>0</v>
      </c>
      <c r="Q136" s="80">
        <f t="shared" si="12"/>
        <v>10</v>
      </c>
      <c r="R136" s="80">
        <v>10</v>
      </c>
      <c r="S136" s="172">
        <f t="shared" si="14"/>
        <v>100</v>
      </c>
      <c r="T136" s="172">
        <f>(公会!$F$12+公会!$F$13+公会!$F$14+公会!$F$18/7)/2</f>
        <v>121.428571428571</v>
      </c>
      <c r="U136" s="172">
        <f t="shared" si="13"/>
        <v>150</v>
      </c>
      <c r="V136" s="172" t="e">
        <f ca="1">SUM($H$29:U136)+SUM(D136:G136)</f>
        <v>#N/A</v>
      </c>
      <c r="W136" s="132" t="e">
        <f ca="1" t="shared" si="15"/>
        <v>#N/A</v>
      </c>
    </row>
    <row r="137" spans="1:23">
      <c r="A137" s="171"/>
      <c r="B137" s="80">
        <v>109</v>
      </c>
      <c r="C137" s="80">
        <f ca="1">OFFSET(产销汇总!$C$12,$B137,$C$27)</f>
        <v>177.5</v>
      </c>
      <c r="D137" s="80">
        <f ca="1">SUMIF(主线宝箱!$B$321:$B$620,"&lt;="&amp;C137,主线宝箱!$H$321:$H$620)+SUMIF(主线宝箱!$B$321:$B$620,"&lt;="&amp;C137,主线宝箱!$T$321:$T$620)</f>
        <v>7080</v>
      </c>
      <c r="E137" s="80">
        <v>110</v>
      </c>
      <c r="F137" s="80">
        <f t="shared" si="16"/>
        <v>450</v>
      </c>
      <c r="G137" s="80">
        <f ca="1">IF(AND($C$27&lt;3,B137&gt;3),G136,SUMIF(图纸产出设计!$F$334:$F$342,"&lt;="&amp;B137,图纸产出设计!$C$334:$C$342))</f>
        <v>3890</v>
      </c>
      <c r="H137" s="80" t="e">
        <f ca="1">OFFSET(产销汇总!$C$1,MATCH(H$28,产销汇总!$C$2:$C$8,0),$C$27)*(_xlfn.XLOOKUP(C137,主线推图!$B$313:$B$612,主线推图!$G$313:$G$612)+_xlfn.XLOOKUP(C137,主线推图!$B$313:$B$612,主线推图!$H$313:$H$612))</f>
        <v>#N/A</v>
      </c>
      <c r="I137" s="80" t="e">
        <f ca="1">OFFSET(产销汇总!$C$1,MATCH(I$28,产销汇总!$C$2:$C$8,0),$C$27)*_xlfn.XLOOKUP(C137,巡逻产出!$B$311:$B$610,巡逻产出!$H$311:$H$610)</f>
        <v>#N/A</v>
      </c>
      <c r="J137" s="80" t="e">
        <f ca="1">OFFSET(产销汇总!$C$1,MATCH(J$28,产销汇总!$C$2:$C$8,0),$C$27)*(_xlfn.XLOOKUP(MAX(1,INT(C137/10-6/10)),组队产出!$B$24:$B$39,组队产出!$J$24:$J$39)+_xlfn.XLOOKUP(MAX(1,INT(C137/10-6/10)),组队产出!$B$24:$B$39,组队产出!$K$24:$K$39))</f>
        <v>#N/A</v>
      </c>
      <c r="K137" s="80" t="e">
        <f ca="1">OFFSET(产销汇总!$C$1,MATCH(K$28,产销汇总!$C$2:$C$8,0),$C$27)*_xlfn.XLOOKUP(C137,巡逻产出!$B$311:$B$610,巡逻产出!$I$311:$I$610)*IF($C$27=1,0.5,1)</f>
        <v>#N/A</v>
      </c>
      <c r="L137" s="80">
        <f ca="1">OFFSET(产销汇总!$C$1,MATCH(L$28,产销汇总!$C$2:$C$8,0),$C$27)*竞技场!$C$5</f>
        <v>180</v>
      </c>
      <c r="M137" s="80">
        <f>任务!$C$6+IF(MOD(B137,7)=0,任务!$M$25)</f>
        <v>30</v>
      </c>
      <c r="N137" s="98">
        <f t="shared" si="10"/>
        <v>1.7</v>
      </c>
      <c r="O137" s="80">
        <f t="shared" si="11"/>
        <v>0</v>
      </c>
      <c r="P137" s="172">
        <f ca="1">OFFSET(产销汇总!$C$1,MATCH(P$27,产销汇总!$C$2:$C$8,0),$C$27)/200*协力宝箱!$Q$82</f>
        <v>0</v>
      </c>
      <c r="Q137" s="80">
        <f t="shared" si="12"/>
        <v>10</v>
      </c>
      <c r="R137" s="80">
        <v>10</v>
      </c>
      <c r="S137" s="172">
        <f t="shared" si="14"/>
        <v>100</v>
      </c>
      <c r="T137" s="172">
        <f>(公会!$F$12+公会!$F$13+公会!$F$14+公会!$F$18/7)/2</f>
        <v>121.428571428571</v>
      </c>
      <c r="U137" s="172">
        <f t="shared" si="13"/>
        <v>150</v>
      </c>
      <c r="V137" s="172" t="e">
        <f ca="1">SUM($H$29:U137)+SUM(D137:G137)</f>
        <v>#N/A</v>
      </c>
      <c r="W137" s="132" t="e">
        <f ca="1" t="shared" si="15"/>
        <v>#N/A</v>
      </c>
    </row>
    <row r="138" spans="1:23">
      <c r="A138" s="171"/>
      <c r="B138" s="80">
        <v>110</v>
      </c>
      <c r="C138" s="80">
        <f ca="1">OFFSET(产销汇总!$C$12,$B138,$C$27)</f>
        <v>178</v>
      </c>
      <c r="D138" s="80">
        <f ca="1">SUMIF(主线宝箱!$B$321:$B$620,"&lt;="&amp;C138,主线宝箱!$H$321:$H$620)+SUMIF(主线宝箱!$B$321:$B$620,"&lt;="&amp;C138,主线宝箱!$T$321:$T$620)</f>
        <v>7120</v>
      </c>
      <c r="E138" s="80">
        <v>110</v>
      </c>
      <c r="F138" s="80">
        <f t="shared" si="16"/>
        <v>450</v>
      </c>
      <c r="G138" s="80">
        <f ca="1">IF(AND($C$27&lt;3,B138&gt;3),G137,SUMIF(图纸产出设计!$F$334:$F$342,"&lt;="&amp;B138,图纸产出设计!$C$334:$C$342))</f>
        <v>3890</v>
      </c>
      <c r="H138" s="80">
        <f ca="1">OFFSET(产销汇总!$C$1,MATCH(H$28,产销汇总!$C$2:$C$8,0),$C$27)*(_xlfn.XLOOKUP(C138,主线推图!$B$313:$B$612,主线推图!$G$313:$G$612)+_xlfn.XLOOKUP(C138,主线推图!$B$313:$B$612,主线推图!$H$313:$H$612))</f>
        <v>176</v>
      </c>
      <c r="I138" s="80">
        <f ca="1">OFFSET(产销汇总!$C$1,MATCH(I$28,产销汇总!$C$2:$C$8,0),$C$27)*_xlfn.XLOOKUP(C138,巡逻产出!$B$311:$B$610,巡逻产出!$H$311:$H$610)</f>
        <v>0</v>
      </c>
      <c r="J138" s="80" t="e">
        <f ca="1">OFFSET(产销汇总!$C$1,MATCH(J$28,产销汇总!$C$2:$C$8,0),$C$27)*(_xlfn.XLOOKUP(MAX(1,INT(C138/10-6/10)),组队产出!$B$24:$B$39,组队产出!$J$24:$J$39)+_xlfn.XLOOKUP(MAX(1,INT(C138/10-6/10)),组队产出!$B$24:$B$39,组队产出!$K$24:$K$39))</f>
        <v>#N/A</v>
      </c>
      <c r="K138" s="80">
        <f ca="1">OFFSET(产销汇总!$C$1,MATCH(K$28,产销汇总!$C$2:$C$8,0),$C$27)*_xlfn.XLOOKUP(C138,巡逻产出!$B$311:$B$610,巡逻产出!$I$311:$I$610)*IF($C$27=1,0.5,1)</f>
        <v>312</v>
      </c>
      <c r="L138" s="80">
        <f ca="1">OFFSET(产销汇总!$C$1,MATCH(L$28,产销汇总!$C$2:$C$8,0),$C$27)*竞技场!$C$5</f>
        <v>180</v>
      </c>
      <c r="M138" s="80">
        <f>任务!$C$6+IF(MOD(B138,7)=0,任务!$M$25)</f>
        <v>30</v>
      </c>
      <c r="N138" s="98">
        <f t="shared" si="10"/>
        <v>1.7</v>
      </c>
      <c r="O138" s="80">
        <f t="shared" si="11"/>
        <v>10</v>
      </c>
      <c r="P138" s="172">
        <f ca="1">OFFSET(产销汇总!$C$1,MATCH(P$27,产销汇总!$C$2:$C$8,0),$C$27)/200*协力宝箱!$Q$82</f>
        <v>0</v>
      </c>
      <c r="Q138" s="80">
        <f t="shared" si="12"/>
        <v>10</v>
      </c>
      <c r="R138" s="80">
        <v>10</v>
      </c>
      <c r="S138" s="172">
        <f t="shared" si="14"/>
        <v>100</v>
      </c>
      <c r="T138" s="172">
        <f>(公会!$F$12+公会!$F$13+公会!$F$14+公会!$F$18/7)/2</f>
        <v>121.428571428571</v>
      </c>
      <c r="U138" s="172">
        <f t="shared" si="13"/>
        <v>150</v>
      </c>
      <c r="V138" s="172" t="e">
        <f ca="1">SUM($H$29:U138)+SUM(D138:G138)</f>
        <v>#N/A</v>
      </c>
      <c r="W138" s="132" t="e">
        <f ca="1" t="shared" si="15"/>
        <v>#N/A</v>
      </c>
    </row>
    <row r="139" spans="1:23">
      <c r="A139" s="171"/>
      <c r="B139" s="80">
        <v>111</v>
      </c>
      <c r="C139" s="80">
        <f ca="1">OFFSET(产销汇总!$C$12,$B139,$C$27)</f>
        <v>178.5</v>
      </c>
      <c r="D139" s="80">
        <f ca="1">SUMIF(主线宝箱!$B$321:$B$620,"&lt;="&amp;C139,主线宝箱!$H$321:$H$620)+SUMIF(主线宝箱!$B$321:$B$620,"&lt;="&amp;C139,主线宝箱!$T$321:$T$620)</f>
        <v>7120</v>
      </c>
      <c r="E139" s="80">
        <v>110</v>
      </c>
      <c r="F139" s="80">
        <f t="shared" si="16"/>
        <v>450</v>
      </c>
      <c r="G139" s="80">
        <f ca="1">IF(AND($C$27&lt;3,B139&gt;3),G138,SUMIF(图纸产出设计!$F$334:$F$342,"&lt;="&amp;B139,图纸产出设计!$C$334:$C$342))</f>
        <v>3890</v>
      </c>
      <c r="H139" s="80" t="e">
        <f ca="1">OFFSET(产销汇总!$C$1,MATCH(H$28,产销汇总!$C$2:$C$8,0),$C$27)*(_xlfn.XLOOKUP(C139,主线推图!$B$313:$B$612,主线推图!$G$313:$G$612)+_xlfn.XLOOKUP(C139,主线推图!$B$313:$B$612,主线推图!$H$313:$H$612))</f>
        <v>#N/A</v>
      </c>
      <c r="I139" s="80" t="e">
        <f ca="1">OFFSET(产销汇总!$C$1,MATCH(I$28,产销汇总!$C$2:$C$8,0),$C$27)*_xlfn.XLOOKUP(C139,巡逻产出!$B$311:$B$610,巡逻产出!$H$311:$H$610)</f>
        <v>#N/A</v>
      </c>
      <c r="J139" s="80" t="e">
        <f ca="1">OFFSET(产销汇总!$C$1,MATCH(J$28,产销汇总!$C$2:$C$8,0),$C$27)*(_xlfn.XLOOKUP(MAX(1,INT(C139/10-6/10)),组队产出!$B$24:$B$39,组队产出!$J$24:$J$39)+_xlfn.XLOOKUP(MAX(1,INT(C139/10-6/10)),组队产出!$B$24:$B$39,组队产出!$K$24:$K$39))</f>
        <v>#N/A</v>
      </c>
      <c r="K139" s="80" t="e">
        <f ca="1">OFFSET(产销汇总!$C$1,MATCH(K$28,产销汇总!$C$2:$C$8,0),$C$27)*_xlfn.XLOOKUP(C139,巡逻产出!$B$311:$B$610,巡逻产出!$I$311:$I$610)*IF($C$27=1,0.5,1)</f>
        <v>#N/A</v>
      </c>
      <c r="L139" s="80">
        <f ca="1">OFFSET(产销汇总!$C$1,MATCH(L$28,产销汇总!$C$2:$C$8,0),$C$27)*竞技场!$C$5</f>
        <v>180</v>
      </c>
      <c r="M139" s="80">
        <f>任务!$C$6+IF(MOD(B139,7)=0,任务!$M$25)</f>
        <v>30</v>
      </c>
      <c r="N139" s="98">
        <f t="shared" si="10"/>
        <v>1.7</v>
      </c>
      <c r="O139" s="80">
        <f t="shared" si="11"/>
        <v>0</v>
      </c>
      <c r="P139" s="172">
        <f ca="1">OFFSET(产销汇总!$C$1,MATCH(P$27,产销汇总!$C$2:$C$8,0),$C$27)/200*协力宝箱!$Q$82</f>
        <v>0</v>
      </c>
      <c r="Q139" s="80">
        <f t="shared" si="12"/>
        <v>10</v>
      </c>
      <c r="R139" s="80">
        <v>10</v>
      </c>
      <c r="S139" s="172">
        <f t="shared" si="14"/>
        <v>100</v>
      </c>
      <c r="T139" s="172">
        <f>(公会!$F$12+公会!$F$13+公会!$F$14+公会!$F$18/7)/2</f>
        <v>121.428571428571</v>
      </c>
      <c r="U139" s="172">
        <f t="shared" si="13"/>
        <v>150</v>
      </c>
      <c r="V139" s="172" t="e">
        <f ca="1">SUM($H$29:U139)+SUM(D139:G139)</f>
        <v>#N/A</v>
      </c>
      <c r="W139" s="132" t="e">
        <f ca="1" t="shared" si="15"/>
        <v>#N/A</v>
      </c>
    </row>
    <row r="140" spans="1:23">
      <c r="A140" s="171"/>
      <c r="B140" s="80">
        <v>112</v>
      </c>
      <c r="C140" s="80">
        <f ca="1">OFFSET(产销汇总!$C$12,$B140,$C$27)</f>
        <v>179</v>
      </c>
      <c r="D140" s="80">
        <f ca="1">SUMIF(主线宝箱!$B$321:$B$620,"&lt;="&amp;C140,主线宝箱!$H$321:$H$620)+SUMIF(主线宝箱!$B$321:$B$620,"&lt;="&amp;C140,主线宝箱!$T$321:$T$620)</f>
        <v>7160</v>
      </c>
      <c r="E140" s="80">
        <v>110</v>
      </c>
      <c r="F140" s="80">
        <f t="shared" si="16"/>
        <v>450</v>
      </c>
      <c r="G140" s="80">
        <f ca="1">IF(AND($C$27&lt;3,B140&gt;3),G139,SUMIF(图纸产出设计!$F$334:$F$342,"&lt;="&amp;B140,图纸产出设计!$C$334:$C$342))</f>
        <v>3890</v>
      </c>
      <c r="H140" s="80">
        <f ca="1">OFFSET(产销汇总!$C$1,MATCH(H$28,产销汇总!$C$2:$C$8,0),$C$27)*(_xlfn.XLOOKUP(C140,主线推图!$B$313:$B$612,主线推图!$G$313:$G$612)+_xlfn.XLOOKUP(C140,主线推图!$B$313:$B$612,主线推图!$H$313:$H$612))</f>
        <v>176</v>
      </c>
      <c r="I140" s="80">
        <f ca="1">OFFSET(产销汇总!$C$1,MATCH(I$28,产销汇总!$C$2:$C$8,0),$C$27)*_xlfn.XLOOKUP(C140,巡逻产出!$B$311:$B$610,巡逻产出!$H$311:$H$610)</f>
        <v>0</v>
      </c>
      <c r="J140" s="80" t="e">
        <f ca="1">OFFSET(产销汇总!$C$1,MATCH(J$28,产销汇总!$C$2:$C$8,0),$C$27)*(_xlfn.XLOOKUP(MAX(1,INT(C140/10-6/10)),组队产出!$B$24:$B$39,组队产出!$J$24:$J$39)+_xlfn.XLOOKUP(MAX(1,INT(C140/10-6/10)),组队产出!$B$24:$B$39,组队产出!$K$24:$K$39))</f>
        <v>#N/A</v>
      </c>
      <c r="K140" s="80">
        <f ca="1">OFFSET(产销汇总!$C$1,MATCH(K$28,产销汇总!$C$2:$C$8,0),$C$27)*_xlfn.XLOOKUP(C140,巡逻产出!$B$311:$B$610,巡逻产出!$I$311:$I$610)*IF($C$27=1,0.5,1)</f>
        <v>312</v>
      </c>
      <c r="L140" s="80">
        <f ca="1">OFFSET(产销汇总!$C$1,MATCH(L$28,产销汇总!$C$2:$C$8,0),$C$27)*竞技场!$C$5</f>
        <v>180</v>
      </c>
      <c r="M140" s="80">
        <f>任务!$C$6+IF(MOD(B140,7)=0,任务!$M$25)</f>
        <v>60</v>
      </c>
      <c r="N140" s="98">
        <f t="shared" si="10"/>
        <v>1.7</v>
      </c>
      <c r="O140" s="80">
        <f t="shared" si="11"/>
        <v>0</v>
      </c>
      <c r="P140" s="172">
        <f ca="1">OFFSET(产销汇总!$C$1,MATCH(P$27,产销汇总!$C$2:$C$8,0),$C$27)/200*协力宝箱!$Q$82</f>
        <v>0</v>
      </c>
      <c r="Q140" s="80">
        <f t="shared" si="12"/>
        <v>10</v>
      </c>
      <c r="R140" s="80">
        <v>10</v>
      </c>
      <c r="S140" s="172">
        <f t="shared" si="14"/>
        <v>100</v>
      </c>
      <c r="T140" s="172">
        <f>(公会!$F$12+公会!$F$13+公会!$F$14+公会!$F$18/7)/2</f>
        <v>121.428571428571</v>
      </c>
      <c r="U140" s="172">
        <f t="shared" si="13"/>
        <v>150</v>
      </c>
      <c r="V140" s="172" t="e">
        <f ca="1">SUM($H$29:U140)+SUM(D140:G140)</f>
        <v>#N/A</v>
      </c>
      <c r="W140" s="132" t="e">
        <f ca="1" t="shared" si="15"/>
        <v>#N/A</v>
      </c>
    </row>
    <row r="141" spans="1:23">
      <c r="A141" s="171"/>
      <c r="B141" s="80">
        <v>113</v>
      </c>
      <c r="C141" s="80">
        <f ca="1">OFFSET(产销汇总!$C$12,$B141,$C$27)</f>
        <v>179.5</v>
      </c>
      <c r="D141" s="80">
        <f ca="1">SUMIF(主线宝箱!$B$321:$B$620,"&lt;="&amp;C141,主线宝箱!$H$321:$H$620)+SUMIF(主线宝箱!$B$321:$B$620,"&lt;="&amp;C141,主线宝箱!$T$321:$T$620)</f>
        <v>7160</v>
      </c>
      <c r="E141" s="80">
        <v>110</v>
      </c>
      <c r="F141" s="80">
        <f t="shared" si="16"/>
        <v>450</v>
      </c>
      <c r="G141" s="80">
        <f ca="1">IF(AND($C$27&lt;3,B141&gt;3),G140,SUMIF(图纸产出设计!$F$334:$F$342,"&lt;="&amp;B141,图纸产出设计!$C$334:$C$342))</f>
        <v>3890</v>
      </c>
      <c r="H141" s="80" t="e">
        <f ca="1">OFFSET(产销汇总!$C$1,MATCH(H$28,产销汇总!$C$2:$C$8,0),$C$27)*(_xlfn.XLOOKUP(C141,主线推图!$B$313:$B$612,主线推图!$G$313:$G$612)+_xlfn.XLOOKUP(C141,主线推图!$B$313:$B$612,主线推图!$H$313:$H$612))</f>
        <v>#N/A</v>
      </c>
      <c r="I141" s="80" t="e">
        <f ca="1">OFFSET(产销汇总!$C$1,MATCH(I$28,产销汇总!$C$2:$C$8,0),$C$27)*_xlfn.XLOOKUP(C141,巡逻产出!$B$311:$B$610,巡逻产出!$H$311:$H$610)</f>
        <v>#N/A</v>
      </c>
      <c r="J141" s="80" t="e">
        <f ca="1">OFFSET(产销汇总!$C$1,MATCH(J$28,产销汇总!$C$2:$C$8,0),$C$27)*(_xlfn.XLOOKUP(MAX(1,INT(C141/10-6/10)),组队产出!$B$24:$B$39,组队产出!$J$24:$J$39)+_xlfn.XLOOKUP(MAX(1,INT(C141/10-6/10)),组队产出!$B$24:$B$39,组队产出!$K$24:$K$39))</f>
        <v>#N/A</v>
      </c>
      <c r="K141" s="80" t="e">
        <f ca="1">OFFSET(产销汇总!$C$1,MATCH(K$28,产销汇总!$C$2:$C$8,0),$C$27)*_xlfn.XLOOKUP(C141,巡逻产出!$B$311:$B$610,巡逻产出!$I$311:$I$610)*IF($C$27=1,0.5,1)</f>
        <v>#N/A</v>
      </c>
      <c r="L141" s="80">
        <f ca="1">OFFSET(产销汇总!$C$1,MATCH(L$28,产销汇总!$C$2:$C$8,0),$C$27)*竞技场!$C$5</f>
        <v>180</v>
      </c>
      <c r="M141" s="80">
        <f>任务!$C$6+IF(MOD(B141,7)=0,任务!$M$25)</f>
        <v>30</v>
      </c>
      <c r="N141" s="98">
        <f t="shared" si="10"/>
        <v>1.7</v>
      </c>
      <c r="O141" s="80">
        <f t="shared" si="11"/>
        <v>0</v>
      </c>
      <c r="P141" s="172">
        <f ca="1">OFFSET(产销汇总!$C$1,MATCH(P$27,产销汇总!$C$2:$C$8,0),$C$27)/200*协力宝箱!$Q$82</f>
        <v>0</v>
      </c>
      <c r="Q141" s="80">
        <f t="shared" si="12"/>
        <v>10</v>
      </c>
      <c r="R141" s="80">
        <v>10</v>
      </c>
      <c r="S141" s="172">
        <f t="shared" si="14"/>
        <v>100</v>
      </c>
      <c r="T141" s="172">
        <f>(公会!$F$12+公会!$F$13+公会!$F$14+公会!$F$18/7)/2</f>
        <v>121.428571428571</v>
      </c>
      <c r="U141" s="172">
        <f t="shared" si="13"/>
        <v>150</v>
      </c>
      <c r="V141" s="172" t="e">
        <f ca="1">SUM($H$29:U141)+SUM(D141:G141)</f>
        <v>#N/A</v>
      </c>
      <c r="W141" s="132" t="e">
        <f ca="1" t="shared" si="15"/>
        <v>#N/A</v>
      </c>
    </row>
    <row r="142" spans="1:23">
      <c r="A142" s="171"/>
      <c r="B142" s="80">
        <v>114</v>
      </c>
      <c r="C142" s="80">
        <f ca="1">OFFSET(产销汇总!$C$12,$B142,$C$27)</f>
        <v>180</v>
      </c>
      <c r="D142" s="80">
        <f ca="1">SUMIF(主线宝箱!$B$321:$B$620,"&lt;="&amp;C142,主线宝箱!$H$321:$H$620)+SUMIF(主线宝箱!$B$321:$B$620,"&lt;="&amp;C142,主线宝箱!$T$321:$T$620)</f>
        <v>7200</v>
      </c>
      <c r="E142" s="80">
        <v>110</v>
      </c>
      <c r="F142" s="80">
        <f t="shared" si="16"/>
        <v>450</v>
      </c>
      <c r="G142" s="80">
        <f ca="1">IF(AND($C$27&lt;3,B142&gt;3),G141,SUMIF(图纸产出设计!$F$334:$F$342,"&lt;="&amp;B142,图纸产出设计!$C$334:$C$342))</f>
        <v>3890</v>
      </c>
      <c r="H142" s="80">
        <f ca="1">OFFSET(产销汇总!$C$1,MATCH(H$28,产销汇总!$C$2:$C$8,0),$C$27)*(_xlfn.XLOOKUP(C142,主线推图!$B$313:$B$612,主线推图!$G$313:$G$612)+_xlfn.XLOOKUP(C142,主线推图!$B$313:$B$612,主线推图!$H$313:$H$612))</f>
        <v>176</v>
      </c>
      <c r="I142" s="80">
        <f ca="1">OFFSET(产销汇总!$C$1,MATCH(I$28,产销汇总!$C$2:$C$8,0),$C$27)*_xlfn.XLOOKUP(C142,巡逻产出!$B$311:$B$610,巡逻产出!$H$311:$H$610)</f>
        <v>0</v>
      </c>
      <c r="J142" s="80" t="e">
        <f ca="1">OFFSET(产销汇总!$C$1,MATCH(J$28,产销汇总!$C$2:$C$8,0),$C$27)*(_xlfn.XLOOKUP(MAX(1,INT(C142/10-6/10)),组队产出!$B$24:$B$39,组队产出!$J$24:$J$39)+_xlfn.XLOOKUP(MAX(1,INT(C142/10-6/10)),组队产出!$B$24:$B$39,组队产出!$K$24:$K$39))</f>
        <v>#N/A</v>
      </c>
      <c r="K142" s="80">
        <f ca="1">OFFSET(产销汇总!$C$1,MATCH(K$28,产销汇总!$C$2:$C$8,0),$C$27)*_xlfn.XLOOKUP(C142,巡逻产出!$B$311:$B$610,巡逻产出!$I$311:$I$610)*IF($C$27=1,0.5,1)</f>
        <v>312</v>
      </c>
      <c r="L142" s="80">
        <f ca="1">OFFSET(产销汇总!$C$1,MATCH(L$28,产销汇总!$C$2:$C$8,0),$C$27)*竞技场!$C$5</f>
        <v>180</v>
      </c>
      <c r="M142" s="80">
        <f>任务!$C$6+IF(MOD(B142,7)=0,任务!$M$25)</f>
        <v>30</v>
      </c>
      <c r="N142" s="98">
        <f t="shared" si="10"/>
        <v>1.7</v>
      </c>
      <c r="O142" s="80">
        <f t="shared" si="11"/>
        <v>10</v>
      </c>
      <c r="P142" s="172">
        <f ca="1">OFFSET(产销汇总!$C$1,MATCH(P$27,产销汇总!$C$2:$C$8,0),$C$27)/200*协力宝箱!$Q$82</f>
        <v>0</v>
      </c>
      <c r="Q142" s="80">
        <f t="shared" si="12"/>
        <v>10</v>
      </c>
      <c r="R142" s="80">
        <v>10</v>
      </c>
      <c r="S142" s="172">
        <f t="shared" si="14"/>
        <v>100</v>
      </c>
      <c r="T142" s="172">
        <f>(公会!$F$12+公会!$F$13+公会!$F$14+公会!$F$18/7)/2</f>
        <v>121.428571428571</v>
      </c>
      <c r="U142" s="172">
        <f t="shared" si="13"/>
        <v>150</v>
      </c>
      <c r="V142" s="172" t="e">
        <f ca="1">SUM($H$29:U142)+SUM(D142:G142)</f>
        <v>#N/A</v>
      </c>
      <c r="W142" s="132" t="e">
        <f ca="1" t="shared" si="15"/>
        <v>#N/A</v>
      </c>
    </row>
    <row r="143" spans="1:23">
      <c r="A143" s="171"/>
      <c r="B143" s="80">
        <v>115</v>
      </c>
      <c r="C143" s="80">
        <f ca="1">OFFSET(产销汇总!$C$12,$B143,$C$27)</f>
        <v>180.5</v>
      </c>
      <c r="D143" s="80">
        <f ca="1">SUMIF(主线宝箱!$B$321:$B$620,"&lt;="&amp;C143,主线宝箱!$H$321:$H$620)+SUMIF(主线宝箱!$B$321:$B$620,"&lt;="&amp;C143,主线宝箱!$T$321:$T$620)</f>
        <v>7200</v>
      </c>
      <c r="E143" s="80">
        <v>110</v>
      </c>
      <c r="F143" s="80">
        <f t="shared" si="16"/>
        <v>450</v>
      </c>
      <c r="G143" s="80">
        <f ca="1">IF(AND($C$27&lt;3,B143&gt;3),G142,SUMIF(图纸产出设计!$F$334:$F$342,"&lt;="&amp;B143,图纸产出设计!$C$334:$C$342))</f>
        <v>3890</v>
      </c>
      <c r="H143" s="80" t="e">
        <f ca="1">OFFSET(产销汇总!$C$1,MATCH(H$28,产销汇总!$C$2:$C$8,0),$C$27)*(_xlfn.XLOOKUP(C143,主线推图!$B$313:$B$612,主线推图!$G$313:$G$612)+_xlfn.XLOOKUP(C143,主线推图!$B$313:$B$612,主线推图!$H$313:$H$612))</f>
        <v>#N/A</v>
      </c>
      <c r="I143" s="80" t="e">
        <f ca="1">OFFSET(产销汇总!$C$1,MATCH(I$28,产销汇总!$C$2:$C$8,0),$C$27)*_xlfn.XLOOKUP(C143,巡逻产出!$B$311:$B$610,巡逻产出!$H$311:$H$610)</f>
        <v>#N/A</v>
      </c>
      <c r="J143" s="80" t="e">
        <f ca="1">OFFSET(产销汇总!$C$1,MATCH(J$28,产销汇总!$C$2:$C$8,0),$C$27)*(_xlfn.XLOOKUP(MAX(1,INT(C143/10-6/10)),组队产出!$B$24:$B$39,组队产出!$J$24:$J$39)+_xlfn.XLOOKUP(MAX(1,INT(C143/10-6/10)),组队产出!$B$24:$B$39,组队产出!$K$24:$K$39))</f>
        <v>#N/A</v>
      </c>
      <c r="K143" s="80" t="e">
        <f ca="1">OFFSET(产销汇总!$C$1,MATCH(K$28,产销汇总!$C$2:$C$8,0),$C$27)*_xlfn.XLOOKUP(C143,巡逻产出!$B$311:$B$610,巡逻产出!$I$311:$I$610)*IF($C$27=1,0.5,1)</f>
        <v>#N/A</v>
      </c>
      <c r="L143" s="80">
        <f ca="1">OFFSET(产销汇总!$C$1,MATCH(L$28,产销汇总!$C$2:$C$8,0),$C$27)*竞技场!$C$5</f>
        <v>180</v>
      </c>
      <c r="M143" s="80">
        <f>任务!$C$6+IF(MOD(B143,7)=0,任务!$M$25)</f>
        <v>30</v>
      </c>
      <c r="N143" s="98">
        <f t="shared" si="10"/>
        <v>1.7</v>
      </c>
      <c r="O143" s="80">
        <f t="shared" si="11"/>
        <v>0</v>
      </c>
      <c r="P143" s="172">
        <f ca="1">OFFSET(产销汇总!$C$1,MATCH(P$27,产销汇总!$C$2:$C$8,0),$C$27)/200*协力宝箱!$Q$82</f>
        <v>0</v>
      </c>
      <c r="Q143" s="80">
        <f t="shared" si="12"/>
        <v>10</v>
      </c>
      <c r="R143" s="80">
        <v>10</v>
      </c>
      <c r="S143" s="172">
        <f t="shared" si="14"/>
        <v>100</v>
      </c>
      <c r="T143" s="172">
        <f>(公会!$F$12+公会!$F$13+公会!$F$14+公会!$F$18/7)/2</f>
        <v>121.428571428571</v>
      </c>
      <c r="U143" s="172">
        <f t="shared" si="13"/>
        <v>150</v>
      </c>
      <c r="V143" s="172" t="e">
        <f ca="1">SUM($H$29:U143)+SUM(D143:G143)</f>
        <v>#N/A</v>
      </c>
      <c r="W143" s="132" t="e">
        <f ca="1" t="shared" si="15"/>
        <v>#N/A</v>
      </c>
    </row>
    <row r="144" spans="1:23">
      <c r="A144" s="171"/>
      <c r="B144" s="80">
        <v>116</v>
      </c>
      <c r="C144" s="80">
        <f ca="1">OFFSET(产销汇总!$C$12,$B144,$C$27)</f>
        <v>181</v>
      </c>
      <c r="D144" s="80">
        <f ca="1">SUMIF(主线宝箱!$B$321:$B$620,"&lt;="&amp;C144,主线宝箱!$H$321:$H$620)+SUMIF(主线宝箱!$B$321:$B$620,"&lt;="&amp;C144,主线宝箱!$T$321:$T$620)</f>
        <v>7240</v>
      </c>
      <c r="E144" s="80">
        <v>110</v>
      </c>
      <c r="F144" s="80">
        <f t="shared" si="16"/>
        <v>450</v>
      </c>
      <c r="G144" s="80">
        <f ca="1">IF(AND($C$27&lt;3,B144&gt;3),G143,SUMIF(图纸产出设计!$F$334:$F$342,"&lt;="&amp;B144,图纸产出设计!$C$334:$C$342))</f>
        <v>3890</v>
      </c>
      <c r="H144" s="80">
        <f ca="1">OFFSET(产销汇总!$C$1,MATCH(H$28,产销汇总!$C$2:$C$8,0),$C$27)*(_xlfn.XLOOKUP(C144,主线推图!$B$313:$B$612,主线推图!$G$313:$G$612)+_xlfn.XLOOKUP(C144,主线推图!$B$313:$B$612,主线推图!$H$313:$H$612))</f>
        <v>176</v>
      </c>
      <c r="I144" s="80">
        <f ca="1">OFFSET(产销汇总!$C$1,MATCH(I$28,产销汇总!$C$2:$C$8,0),$C$27)*_xlfn.XLOOKUP(C144,巡逻产出!$B$311:$B$610,巡逻产出!$H$311:$H$610)</f>
        <v>0</v>
      </c>
      <c r="J144" s="80" t="e">
        <f ca="1">OFFSET(产销汇总!$C$1,MATCH(J$28,产销汇总!$C$2:$C$8,0),$C$27)*(_xlfn.XLOOKUP(MAX(1,INT(C144/10-6/10)),组队产出!$B$24:$B$39,组队产出!$J$24:$J$39)+_xlfn.XLOOKUP(MAX(1,INT(C144/10-6/10)),组队产出!$B$24:$B$39,组队产出!$K$24:$K$39))</f>
        <v>#N/A</v>
      </c>
      <c r="K144" s="80">
        <f ca="1">OFFSET(产销汇总!$C$1,MATCH(K$28,产销汇总!$C$2:$C$8,0),$C$27)*_xlfn.XLOOKUP(C144,巡逻产出!$B$311:$B$610,巡逻产出!$I$311:$I$610)*IF($C$27=1,0.5,1)</f>
        <v>312</v>
      </c>
      <c r="L144" s="80">
        <f ca="1">OFFSET(产销汇总!$C$1,MATCH(L$28,产销汇总!$C$2:$C$8,0),$C$27)*竞技场!$C$5</f>
        <v>180</v>
      </c>
      <c r="M144" s="80">
        <f>任务!$C$6+IF(MOD(B144,7)=0,任务!$M$25)</f>
        <v>30</v>
      </c>
      <c r="N144" s="98">
        <f t="shared" si="10"/>
        <v>1.7</v>
      </c>
      <c r="O144" s="80">
        <f t="shared" si="11"/>
        <v>0</v>
      </c>
      <c r="P144" s="172">
        <f ca="1">OFFSET(产销汇总!$C$1,MATCH(P$27,产销汇总!$C$2:$C$8,0),$C$27)/200*协力宝箱!$Q$82</f>
        <v>0</v>
      </c>
      <c r="Q144" s="80">
        <f t="shared" si="12"/>
        <v>10</v>
      </c>
      <c r="R144" s="80">
        <v>10</v>
      </c>
      <c r="S144" s="172">
        <f t="shared" si="14"/>
        <v>100</v>
      </c>
      <c r="T144" s="172">
        <f>(公会!$F$12+公会!$F$13+公会!$F$14+公会!$F$18/7)/2</f>
        <v>121.428571428571</v>
      </c>
      <c r="U144" s="172">
        <f t="shared" si="13"/>
        <v>150</v>
      </c>
      <c r="V144" s="172" t="e">
        <f ca="1">SUM($H$29:U144)+SUM(D144:G144)</f>
        <v>#N/A</v>
      </c>
      <c r="W144" s="132" t="e">
        <f ca="1" t="shared" si="15"/>
        <v>#N/A</v>
      </c>
    </row>
    <row r="145" spans="1:23">
      <c r="A145" s="171"/>
      <c r="B145" s="80">
        <v>117</v>
      </c>
      <c r="C145" s="80">
        <f ca="1">OFFSET(产销汇总!$C$12,$B145,$C$27)</f>
        <v>181.5</v>
      </c>
      <c r="D145" s="80">
        <f ca="1">SUMIF(主线宝箱!$B$321:$B$620,"&lt;="&amp;C145,主线宝箱!$H$321:$H$620)+SUMIF(主线宝箱!$B$321:$B$620,"&lt;="&amp;C145,主线宝箱!$T$321:$T$620)</f>
        <v>7240</v>
      </c>
      <c r="E145" s="80">
        <v>110</v>
      </c>
      <c r="F145" s="80">
        <f t="shared" si="16"/>
        <v>450</v>
      </c>
      <c r="G145" s="80">
        <f ca="1">IF(AND($C$27&lt;3,B145&gt;3),G144,SUMIF(图纸产出设计!$F$334:$F$342,"&lt;="&amp;B145,图纸产出设计!$C$334:$C$342))</f>
        <v>3890</v>
      </c>
      <c r="H145" s="80" t="e">
        <f ca="1">OFFSET(产销汇总!$C$1,MATCH(H$28,产销汇总!$C$2:$C$8,0),$C$27)*(_xlfn.XLOOKUP(C145,主线推图!$B$313:$B$612,主线推图!$G$313:$G$612)+_xlfn.XLOOKUP(C145,主线推图!$B$313:$B$612,主线推图!$H$313:$H$612))</f>
        <v>#N/A</v>
      </c>
      <c r="I145" s="80" t="e">
        <f ca="1">OFFSET(产销汇总!$C$1,MATCH(I$28,产销汇总!$C$2:$C$8,0),$C$27)*_xlfn.XLOOKUP(C145,巡逻产出!$B$311:$B$610,巡逻产出!$H$311:$H$610)</f>
        <v>#N/A</v>
      </c>
      <c r="J145" s="80" t="e">
        <f ca="1">OFFSET(产销汇总!$C$1,MATCH(J$28,产销汇总!$C$2:$C$8,0),$C$27)*(_xlfn.XLOOKUP(MAX(1,INT(C145/10-6/10)),组队产出!$B$24:$B$39,组队产出!$J$24:$J$39)+_xlfn.XLOOKUP(MAX(1,INT(C145/10-6/10)),组队产出!$B$24:$B$39,组队产出!$K$24:$K$39))</f>
        <v>#N/A</v>
      </c>
      <c r="K145" s="80" t="e">
        <f ca="1">OFFSET(产销汇总!$C$1,MATCH(K$28,产销汇总!$C$2:$C$8,0),$C$27)*_xlfn.XLOOKUP(C145,巡逻产出!$B$311:$B$610,巡逻产出!$I$311:$I$610)*IF($C$27=1,0.5,1)</f>
        <v>#N/A</v>
      </c>
      <c r="L145" s="80">
        <f ca="1">OFFSET(产销汇总!$C$1,MATCH(L$28,产销汇总!$C$2:$C$8,0),$C$27)*竞技场!$C$5</f>
        <v>180</v>
      </c>
      <c r="M145" s="80">
        <f>任务!$C$6+IF(MOD(B145,7)=0,任务!$M$25)</f>
        <v>30</v>
      </c>
      <c r="N145" s="98">
        <f t="shared" si="10"/>
        <v>1.7</v>
      </c>
      <c r="O145" s="80">
        <f t="shared" si="11"/>
        <v>10</v>
      </c>
      <c r="P145" s="172">
        <f ca="1">OFFSET(产销汇总!$C$1,MATCH(P$27,产销汇总!$C$2:$C$8,0),$C$27)/200*协力宝箱!$Q$82</f>
        <v>0</v>
      </c>
      <c r="Q145" s="80">
        <f t="shared" si="12"/>
        <v>10</v>
      </c>
      <c r="R145" s="80">
        <v>10</v>
      </c>
      <c r="S145" s="172">
        <f t="shared" si="14"/>
        <v>100</v>
      </c>
      <c r="T145" s="172">
        <f>(公会!$F$12+公会!$F$13+公会!$F$14+公会!$F$18/7)/2</f>
        <v>121.428571428571</v>
      </c>
      <c r="U145" s="172">
        <f t="shared" si="13"/>
        <v>150</v>
      </c>
      <c r="V145" s="172" t="e">
        <f ca="1">SUM($H$29:U145)+SUM(D145:G145)</f>
        <v>#N/A</v>
      </c>
      <c r="W145" s="132" t="e">
        <f ca="1" t="shared" si="15"/>
        <v>#N/A</v>
      </c>
    </row>
    <row r="146" spans="1:23">
      <c r="A146" s="171"/>
      <c r="B146" s="80">
        <v>118</v>
      </c>
      <c r="C146" s="80">
        <f ca="1">OFFSET(产销汇总!$C$12,$B146,$C$27)</f>
        <v>182</v>
      </c>
      <c r="D146" s="80">
        <f ca="1">SUMIF(主线宝箱!$B$321:$B$620,"&lt;="&amp;C146,主线宝箱!$H$321:$H$620)+SUMIF(主线宝箱!$B$321:$B$620,"&lt;="&amp;C146,主线宝箱!$T$321:$T$620)</f>
        <v>7280</v>
      </c>
      <c r="E146" s="80">
        <v>110</v>
      </c>
      <c r="F146" s="80">
        <f t="shared" si="16"/>
        <v>450</v>
      </c>
      <c r="G146" s="80">
        <f ca="1">IF(AND($C$27&lt;3,B146&gt;3),G145,SUMIF(图纸产出设计!$F$334:$F$342,"&lt;="&amp;B146,图纸产出设计!$C$334:$C$342))</f>
        <v>3890</v>
      </c>
      <c r="H146" s="80">
        <f ca="1">OFFSET(产销汇总!$C$1,MATCH(H$28,产销汇总!$C$2:$C$8,0),$C$27)*(_xlfn.XLOOKUP(C146,主线推图!$B$313:$B$612,主线推图!$G$313:$G$612)+_xlfn.XLOOKUP(C146,主线推图!$B$313:$B$612,主线推图!$H$313:$H$612))</f>
        <v>176</v>
      </c>
      <c r="I146" s="80">
        <f ca="1">OFFSET(产销汇总!$C$1,MATCH(I$28,产销汇总!$C$2:$C$8,0),$C$27)*_xlfn.XLOOKUP(C146,巡逻产出!$B$311:$B$610,巡逻产出!$H$311:$H$610)</f>
        <v>0</v>
      </c>
      <c r="J146" s="80" t="e">
        <f ca="1">OFFSET(产销汇总!$C$1,MATCH(J$28,产销汇总!$C$2:$C$8,0),$C$27)*(_xlfn.XLOOKUP(MAX(1,INT(C146/10-6/10)),组队产出!$B$24:$B$39,组队产出!$J$24:$J$39)+_xlfn.XLOOKUP(MAX(1,INT(C146/10-6/10)),组队产出!$B$24:$B$39,组队产出!$K$24:$K$39))</f>
        <v>#N/A</v>
      </c>
      <c r="K146" s="80">
        <f ca="1">OFFSET(产销汇总!$C$1,MATCH(K$28,产销汇总!$C$2:$C$8,0),$C$27)*_xlfn.XLOOKUP(C146,巡逻产出!$B$311:$B$610,巡逻产出!$I$311:$I$610)*IF($C$27=1,0.5,1)</f>
        <v>312</v>
      </c>
      <c r="L146" s="80">
        <f ca="1">OFFSET(产销汇总!$C$1,MATCH(L$28,产销汇总!$C$2:$C$8,0),$C$27)*竞技场!$C$5</f>
        <v>180</v>
      </c>
      <c r="M146" s="80">
        <f>任务!$C$6+IF(MOD(B146,7)=0,任务!$M$25)</f>
        <v>30</v>
      </c>
      <c r="N146" s="98">
        <f t="shared" si="10"/>
        <v>1.7</v>
      </c>
      <c r="O146" s="80">
        <f t="shared" si="11"/>
        <v>0</v>
      </c>
      <c r="P146" s="172">
        <f ca="1">OFFSET(产销汇总!$C$1,MATCH(P$27,产销汇总!$C$2:$C$8,0),$C$27)/200*协力宝箱!$Q$82</f>
        <v>0</v>
      </c>
      <c r="Q146" s="80">
        <f t="shared" si="12"/>
        <v>10</v>
      </c>
      <c r="R146" s="80">
        <v>10</v>
      </c>
      <c r="S146" s="172">
        <f t="shared" si="14"/>
        <v>100</v>
      </c>
      <c r="T146" s="172">
        <f>(公会!$F$12+公会!$F$13+公会!$F$14+公会!$F$18/7)/2</f>
        <v>121.428571428571</v>
      </c>
      <c r="U146" s="172">
        <f t="shared" si="13"/>
        <v>150</v>
      </c>
      <c r="V146" s="172" t="e">
        <f ca="1">SUM($H$29:U146)+SUM(D146:G146)</f>
        <v>#N/A</v>
      </c>
      <c r="W146" s="132" t="e">
        <f ca="1" t="shared" si="15"/>
        <v>#N/A</v>
      </c>
    </row>
    <row r="147" spans="1:23">
      <c r="A147" s="171"/>
      <c r="B147" s="80">
        <v>119</v>
      </c>
      <c r="C147" s="80">
        <f ca="1">OFFSET(产销汇总!$C$12,$B147,$C$27)</f>
        <v>182.5</v>
      </c>
      <c r="D147" s="80">
        <f ca="1">SUMIF(主线宝箱!$B$321:$B$620,"&lt;="&amp;C147,主线宝箱!$H$321:$H$620)+SUMIF(主线宝箱!$B$321:$B$620,"&lt;="&amp;C147,主线宝箱!$T$321:$T$620)</f>
        <v>7280</v>
      </c>
      <c r="E147" s="80">
        <v>110</v>
      </c>
      <c r="F147" s="80">
        <f t="shared" si="16"/>
        <v>450</v>
      </c>
      <c r="G147" s="80">
        <f ca="1">IF(AND($C$27&lt;3,B147&gt;3),G146,SUMIF(图纸产出设计!$F$334:$F$342,"&lt;="&amp;B147,图纸产出设计!$C$334:$C$342))</f>
        <v>3890</v>
      </c>
      <c r="H147" s="80" t="e">
        <f ca="1">OFFSET(产销汇总!$C$1,MATCH(H$28,产销汇总!$C$2:$C$8,0),$C$27)*(_xlfn.XLOOKUP(C147,主线推图!$B$313:$B$612,主线推图!$G$313:$G$612)+_xlfn.XLOOKUP(C147,主线推图!$B$313:$B$612,主线推图!$H$313:$H$612))</f>
        <v>#N/A</v>
      </c>
      <c r="I147" s="80" t="e">
        <f ca="1">OFFSET(产销汇总!$C$1,MATCH(I$28,产销汇总!$C$2:$C$8,0),$C$27)*_xlfn.XLOOKUP(C147,巡逻产出!$B$311:$B$610,巡逻产出!$H$311:$H$610)</f>
        <v>#N/A</v>
      </c>
      <c r="J147" s="80" t="e">
        <f ca="1">OFFSET(产销汇总!$C$1,MATCH(J$28,产销汇总!$C$2:$C$8,0),$C$27)*(_xlfn.XLOOKUP(MAX(1,INT(C147/10-6/10)),组队产出!$B$24:$B$39,组队产出!$J$24:$J$39)+_xlfn.XLOOKUP(MAX(1,INT(C147/10-6/10)),组队产出!$B$24:$B$39,组队产出!$K$24:$K$39))</f>
        <v>#N/A</v>
      </c>
      <c r="K147" s="80" t="e">
        <f ca="1">OFFSET(产销汇总!$C$1,MATCH(K$28,产销汇总!$C$2:$C$8,0),$C$27)*_xlfn.XLOOKUP(C147,巡逻产出!$B$311:$B$610,巡逻产出!$I$311:$I$610)*IF($C$27=1,0.5,1)</f>
        <v>#N/A</v>
      </c>
      <c r="L147" s="80">
        <f ca="1">OFFSET(产销汇总!$C$1,MATCH(L$28,产销汇总!$C$2:$C$8,0),$C$27)*竞技场!$C$5</f>
        <v>180</v>
      </c>
      <c r="M147" s="80">
        <f>任务!$C$6+IF(MOD(B147,7)=0,任务!$M$25)</f>
        <v>60</v>
      </c>
      <c r="N147" s="98">
        <f t="shared" si="10"/>
        <v>1.7</v>
      </c>
      <c r="O147" s="80">
        <f t="shared" si="11"/>
        <v>0</v>
      </c>
      <c r="P147" s="172">
        <f ca="1">OFFSET(产销汇总!$C$1,MATCH(P$27,产销汇总!$C$2:$C$8,0),$C$27)/200*协力宝箱!$Q$82</f>
        <v>0</v>
      </c>
      <c r="Q147" s="80">
        <f t="shared" si="12"/>
        <v>10</v>
      </c>
      <c r="R147" s="80">
        <v>10</v>
      </c>
      <c r="S147" s="172">
        <f t="shared" si="14"/>
        <v>100</v>
      </c>
      <c r="T147" s="172">
        <f>(公会!$F$12+公会!$F$13+公会!$F$14+公会!$F$18/7)/2</f>
        <v>121.428571428571</v>
      </c>
      <c r="U147" s="172">
        <f t="shared" si="13"/>
        <v>150</v>
      </c>
      <c r="V147" s="172" t="e">
        <f ca="1">SUM($H$29:U147)+SUM(D147:G147)</f>
        <v>#N/A</v>
      </c>
      <c r="W147" s="132" t="e">
        <f ca="1" t="shared" si="15"/>
        <v>#N/A</v>
      </c>
    </row>
    <row r="148" spans="1:23">
      <c r="A148" s="171"/>
      <c r="B148" s="80">
        <v>120</v>
      </c>
      <c r="C148" s="80">
        <f ca="1">OFFSET(产销汇总!$C$12,$B148,$C$27)</f>
        <v>183</v>
      </c>
      <c r="D148" s="80">
        <f ca="1">SUMIF(主线宝箱!$B$321:$B$620,"&lt;="&amp;C148,主线宝箱!$H$321:$H$620)+SUMIF(主线宝箱!$B$321:$B$620,"&lt;="&amp;C148,主线宝箱!$T$321:$T$620)</f>
        <v>7320</v>
      </c>
      <c r="E148" s="80">
        <v>110</v>
      </c>
      <c r="F148" s="80">
        <f t="shared" si="16"/>
        <v>450</v>
      </c>
      <c r="G148" s="80">
        <f ca="1">IF(AND($C$27&lt;3,B148&gt;3),G147,SUMIF(图纸产出设计!$F$334:$F$342,"&lt;="&amp;B148,图纸产出设计!$C$334:$C$342))</f>
        <v>3890</v>
      </c>
      <c r="H148" s="80">
        <f ca="1">OFFSET(产销汇总!$C$1,MATCH(H$28,产销汇总!$C$2:$C$8,0),$C$27)*(_xlfn.XLOOKUP(C148,主线推图!$B$313:$B$612,主线推图!$G$313:$G$612)+_xlfn.XLOOKUP(C148,主线推图!$B$313:$B$612,主线推图!$H$313:$H$612))</f>
        <v>176</v>
      </c>
      <c r="I148" s="80">
        <f ca="1">OFFSET(产销汇总!$C$1,MATCH(I$28,产销汇总!$C$2:$C$8,0),$C$27)*_xlfn.XLOOKUP(C148,巡逻产出!$B$311:$B$610,巡逻产出!$H$311:$H$610)</f>
        <v>0</v>
      </c>
      <c r="J148" s="80" t="e">
        <f ca="1">OFFSET(产销汇总!$C$1,MATCH(J$28,产销汇总!$C$2:$C$8,0),$C$27)*(_xlfn.XLOOKUP(MAX(1,INT(C148/10-6/10)),组队产出!$B$24:$B$39,组队产出!$J$24:$J$39)+_xlfn.XLOOKUP(MAX(1,INT(C148/10-6/10)),组队产出!$B$24:$B$39,组队产出!$K$24:$K$39))</f>
        <v>#N/A</v>
      </c>
      <c r="K148" s="80">
        <f ca="1">OFFSET(产销汇总!$C$1,MATCH(K$28,产销汇总!$C$2:$C$8,0),$C$27)*_xlfn.XLOOKUP(C148,巡逻产出!$B$311:$B$610,巡逻产出!$I$311:$I$610)*IF($C$27=1,0.5,1)</f>
        <v>312</v>
      </c>
      <c r="L148" s="80">
        <f ca="1">OFFSET(产销汇总!$C$1,MATCH(L$28,产销汇总!$C$2:$C$8,0),$C$27)*竞技场!$C$5</f>
        <v>180</v>
      </c>
      <c r="M148" s="80">
        <f>任务!$C$6+IF(MOD(B148,7)=0,任务!$M$25)</f>
        <v>30</v>
      </c>
      <c r="N148" s="98">
        <f t="shared" si="10"/>
        <v>1.7</v>
      </c>
      <c r="O148" s="80">
        <f t="shared" si="11"/>
        <v>0</v>
      </c>
      <c r="P148" s="172">
        <f ca="1">OFFSET(产销汇总!$C$1,MATCH(P$27,产销汇总!$C$2:$C$8,0),$C$27)/200*协力宝箱!$Q$82</f>
        <v>0</v>
      </c>
      <c r="Q148" s="80">
        <f t="shared" si="12"/>
        <v>10</v>
      </c>
      <c r="R148" s="80">
        <v>10</v>
      </c>
      <c r="S148" s="172">
        <f t="shared" si="14"/>
        <v>100</v>
      </c>
      <c r="T148" s="172">
        <f>(公会!$F$12+公会!$F$13+公会!$F$14+公会!$F$18/7)/2</f>
        <v>121.428571428571</v>
      </c>
      <c r="U148" s="172">
        <f t="shared" si="13"/>
        <v>150</v>
      </c>
      <c r="V148" s="172" t="e">
        <f ca="1">SUM($H$29:U148)+SUM(D148:G148)</f>
        <v>#N/A</v>
      </c>
      <c r="W148" s="132" t="e">
        <f ca="1" t="shared" si="15"/>
        <v>#N/A</v>
      </c>
    </row>
    <row r="149" spans="1:23">
      <c r="A149" s="171"/>
      <c r="B149" s="80">
        <v>121</v>
      </c>
      <c r="C149" s="80">
        <f ca="1">OFFSET(产销汇总!$C$12,$B149,$C$27)</f>
        <v>183.5</v>
      </c>
      <c r="D149" s="80">
        <f ca="1">SUMIF(主线宝箱!$B$321:$B$620,"&lt;="&amp;C149,主线宝箱!$H$321:$H$620)+SUMIF(主线宝箱!$B$321:$B$620,"&lt;="&amp;C149,主线宝箱!$T$321:$T$620)</f>
        <v>7320</v>
      </c>
      <c r="E149" s="80">
        <v>110</v>
      </c>
      <c r="F149" s="80">
        <f t="shared" si="16"/>
        <v>450</v>
      </c>
      <c r="G149" s="80">
        <f ca="1">IF(AND($C$27&lt;3,B149&gt;3),G148,SUMIF(图纸产出设计!$F$334:$F$342,"&lt;="&amp;B149,图纸产出设计!$C$334:$C$342))</f>
        <v>3890</v>
      </c>
      <c r="H149" s="80" t="e">
        <f ca="1">OFFSET(产销汇总!$C$1,MATCH(H$28,产销汇总!$C$2:$C$8,0),$C$27)*(_xlfn.XLOOKUP(C149,主线推图!$B$313:$B$612,主线推图!$G$313:$G$612)+_xlfn.XLOOKUP(C149,主线推图!$B$313:$B$612,主线推图!$H$313:$H$612))</f>
        <v>#N/A</v>
      </c>
      <c r="I149" s="80" t="e">
        <f ca="1">OFFSET(产销汇总!$C$1,MATCH(I$28,产销汇总!$C$2:$C$8,0),$C$27)*_xlfn.XLOOKUP(C149,巡逻产出!$B$311:$B$610,巡逻产出!$H$311:$H$610)</f>
        <v>#N/A</v>
      </c>
      <c r="J149" s="80" t="e">
        <f ca="1">OFFSET(产销汇总!$C$1,MATCH(J$28,产销汇总!$C$2:$C$8,0),$C$27)*(_xlfn.XLOOKUP(MAX(1,INT(C149/10-6/10)),组队产出!$B$24:$B$39,组队产出!$J$24:$J$39)+_xlfn.XLOOKUP(MAX(1,INT(C149/10-6/10)),组队产出!$B$24:$B$39,组队产出!$K$24:$K$39))</f>
        <v>#N/A</v>
      </c>
      <c r="K149" s="80" t="e">
        <f ca="1">OFFSET(产销汇总!$C$1,MATCH(K$28,产销汇总!$C$2:$C$8,0),$C$27)*_xlfn.XLOOKUP(C149,巡逻产出!$B$311:$B$610,巡逻产出!$I$311:$I$610)*IF($C$27=1,0.5,1)</f>
        <v>#N/A</v>
      </c>
      <c r="L149" s="80">
        <f ca="1">OFFSET(产销汇总!$C$1,MATCH(L$28,产销汇总!$C$2:$C$8,0),$C$27)*竞技场!$C$5</f>
        <v>180</v>
      </c>
      <c r="M149" s="80">
        <f>任务!$C$6+IF(MOD(B149,7)=0,任务!$M$25)</f>
        <v>30</v>
      </c>
      <c r="N149" s="98">
        <f t="shared" si="10"/>
        <v>1.7</v>
      </c>
      <c r="O149" s="80">
        <f t="shared" si="11"/>
        <v>10</v>
      </c>
      <c r="P149" s="172">
        <f ca="1">OFFSET(产销汇总!$C$1,MATCH(P$27,产销汇总!$C$2:$C$8,0),$C$27)/200*协力宝箱!$Q$82</f>
        <v>0</v>
      </c>
      <c r="Q149" s="80">
        <f t="shared" si="12"/>
        <v>10</v>
      </c>
      <c r="R149" s="80">
        <v>10</v>
      </c>
      <c r="S149" s="172">
        <f t="shared" si="14"/>
        <v>100</v>
      </c>
      <c r="T149" s="172">
        <f>(公会!$F$12+公会!$F$13+公会!$F$14+公会!$F$18/7)/2</f>
        <v>121.428571428571</v>
      </c>
      <c r="U149" s="172">
        <f t="shared" si="13"/>
        <v>150</v>
      </c>
      <c r="V149" s="172" t="e">
        <f ca="1">SUM($H$29:U149)+SUM(D149:G149)</f>
        <v>#N/A</v>
      </c>
      <c r="W149" s="132" t="e">
        <f ca="1" t="shared" si="15"/>
        <v>#N/A</v>
      </c>
    </row>
    <row r="150" spans="1:23">
      <c r="A150" s="171"/>
      <c r="B150" s="80">
        <v>122</v>
      </c>
      <c r="C150" s="80">
        <f ca="1">OFFSET(产销汇总!$C$12,$B150,$C$27)</f>
        <v>184</v>
      </c>
      <c r="D150" s="80">
        <f ca="1">SUMIF(主线宝箱!$B$321:$B$620,"&lt;="&amp;C150,主线宝箱!$H$321:$H$620)+SUMIF(主线宝箱!$B$321:$B$620,"&lt;="&amp;C150,主线宝箱!$T$321:$T$620)</f>
        <v>7360</v>
      </c>
      <c r="E150" s="80">
        <v>110</v>
      </c>
      <c r="F150" s="80">
        <f t="shared" si="16"/>
        <v>450</v>
      </c>
      <c r="G150" s="80">
        <f ca="1">IF(AND($C$27&lt;3,B150&gt;3),G149,SUMIF(图纸产出设计!$F$334:$F$342,"&lt;="&amp;B150,图纸产出设计!$C$334:$C$342))</f>
        <v>3890</v>
      </c>
      <c r="H150" s="80">
        <f ca="1">OFFSET(产销汇总!$C$1,MATCH(H$28,产销汇总!$C$2:$C$8,0),$C$27)*(_xlfn.XLOOKUP(C150,主线推图!$B$313:$B$612,主线推图!$G$313:$G$612)+_xlfn.XLOOKUP(C150,主线推图!$B$313:$B$612,主线推图!$H$313:$H$612))</f>
        <v>176</v>
      </c>
      <c r="I150" s="80">
        <f ca="1">OFFSET(产销汇总!$C$1,MATCH(I$28,产销汇总!$C$2:$C$8,0),$C$27)*_xlfn.XLOOKUP(C150,巡逻产出!$B$311:$B$610,巡逻产出!$H$311:$H$610)</f>
        <v>0</v>
      </c>
      <c r="J150" s="80" t="e">
        <f ca="1">OFFSET(产销汇总!$C$1,MATCH(J$28,产销汇总!$C$2:$C$8,0),$C$27)*(_xlfn.XLOOKUP(MAX(1,INT(C150/10-6/10)),组队产出!$B$24:$B$39,组队产出!$J$24:$J$39)+_xlfn.XLOOKUP(MAX(1,INT(C150/10-6/10)),组队产出!$B$24:$B$39,组队产出!$K$24:$K$39))</f>
        <v>#N/A</v>
      </c>
      <c r="K150" s="80">
        <f ca="1">OFFSET(产销汇总!$C$1,MATCH(K$28,产销汇总!$C$2:$C$8,0),$C$27)*_xlfn.XLOOKUP(C150,巡逻产出!$B$311:$B$610,巡逻产出!$I$311:$I$610)*IF($C$27=1,0.5,1)</f>
        <v>312</v>
      </c>
      <c r="L150" s="80">
        <f ca="1">OFFSET(产销汇总!$C$1,MATCH(L$28,产销汇总!$C$2:$C$8,0),$C$27)*竞技场!$C$5</f>
        <v>180</v>
      </c>
      <c r="M150" s="80">
        <f>任务!$C$6+IF(MOD(B150,7)=0,任务!$M$25)</f>
        <v>30</v>
      </c>
      <c r="N150" s="98">
        <f t="shared" si="10"/>
        <v>1.7</v>
      </c>
      <c r="O150" s="80">
        <f t="shared" si="11"/>
        <v>0</v>
      </c>
      <c r="P150" s="172">
        <f ca="1">OFFSET(产销汇总!$C$1,MATCH(P$27,产销汇总!$C$2:$C$8,0),$C$27)/200*协力宝箱!$Q$82</f>
        <v>0</v>
      </c>
      <c r="Q150" s="80">
        <f t="shared" si="12"/>
        <v>10</v>
      </c>
      <c r="R150" s="80">
        <v>10</v>
      </c>
      <c r="S150" s="172">
        <f t="shared" si="14"/>
        <v>100</v>
      </c>
      <c r="T150" s="172">
        <f>(公会!$F$12+公会!$F$13+公会!$F$14+公会!$F$18/7)/2</f>
        <v>121.428571428571</v>
      </c>
      <c r="U150" s="172">
        <f t="shared" si="13"/>
        <v>150</v>
      </c>
      <c r="V150" s="172" t="e">
        <f ca="1">SUM($H$29:U150)+SUM(D150:G150)</f>
        <v>#N/A</v>
      </c>
      <c r="W150" s="132" t="e">
        <f ca="1" t="shared" si="15"/>
        <v>#N/A</v>
      </c>
    </row>
    <row r="151" spans="1:23">
      <c r="A151" s="171"/>
      <c r="B151" s="80">
        <v>123</v>
      </c>
      <c r="C151" s="80">
        <f ca="1">OFFSET(产销汇总!$C$12,$B151,$C$27)</f>
        <v>184.5</v>
      </c>
      <c r="D151" s="80">
        <f ca="1">SUMIF(主线宝箱!$B$321:$B$620,"&lt;="&amp;C151,主线宝箱!$H$321:$H$620)+SUMIF(主线宝箱!$B$321:$B$620,"&lt;="&amp;C151,主线宝箱!$T$321:$T$620)</f>
        <v>7360</v>
      </c>
      <c r="E151" s="80">
        <v>110</v>
      </c>
      <c r="F151" s="80">
        <f t="shared" si="16"/>
        <v>450</v>
      </c>
      <c r="G151" s="80">
        <f ca="1">IF(AND($C$27&lt;3,B151&gt;3),G150,SUMIF(图纸产出设计!$F$334:$F$342,"&lt;="&amp;B151,图纸产出设计!$C$334:$C$342))</f>
        <v>3890</v>
      </c>
      <c r="H151" s="80" t="e">
        <f ca="1">OFFSET(产销汇总!$C$1,MATCH(H$28,产销汇总!$C$2:$C$8,0),$C$27)*(_xlfn.XLOOKUP(C151,主线推图!$B$313:$B$612,主线推图!$G$313:$G$612)+_xlfn.XLOOKUP(C151,主线推图!$B$313:$B$612,主线推图!$H$313:$H$612))</f>
        <v>#N/A</v>
      </c>
      <c r="I151" s="80" t="e">
        <f ca="1">OFFSET(产销汇总!$C$1,MATCH(I$28,产销汇总!$C$2:$C$8,0),$C$27)*_xlfn.XLOOKUP(C151,巡逻产出!$B$311:$B$610,巡逻产出!$H$311:$H$610)</f>
        <v>#N/A</v>
      </c>
      <c r="J151" s="80" t="e">
        <f ca="1">OFFSET(产销汇总!$C$1,MATCH(J$28,产销汇总!$C$2:$C$8,0),$C$27)*(_xlfn.XLOOKUP(MAX(1,INT(C151/10-6/10)),组队产出!$B$24:$B$39,组队产出!$J$24:$J$39)+_xlfn.XLOOKUP(MAX(1,INT(C151/10-6/10)),组队产出!$B$24:$B$39,组队产出!$K$24:$K$39))</f>
        <v>#N/A</v>
      </c>
      <c r="K151" s="80" t="e">
        <f ca="1">OFFSET(产销汇总!$C$1,MATCH(K$28,产销汇总!$C$2:$C$8,0),$C$27)*_xlfn.XLOOKUP(C151,巡逻产出!$B$311:$B$610,巡逻产出!$I$311:$I$610)*IF($C$27=1,0.5,1)</f>
        <v>#N/A</v>
      </c>
      <c r="L151" s="80">
        <f ca="1">OFFSET(产销汇总!$C$1,MATCH(L$28,产销汇总!$C$2:$C$8,0),$C$27)*竞技场!$C$5</f>
        <v>180</v>
      </c>
      <c r="M151" s="80">
        <f>任务!$C$6+IF(MOD(B151,7)=0,任务!$M$25)</f>
        <v>30</v>
      </c>
      <c r="N151" s="98">
        <f t="shared" si="10"/>
        <v>1.7</v>
      </c>
      <c r="O151" s="80">
        <f t="shared" si="11"/>
        <v>0</v>
      </c>
      <c r="P151" s="172">
        <f ca="1">OFFSET(产销汇总!$C$1,MATCH(P$27,产销汇总!$C$2:$C$8,0),$C$27)/200*协力宝箱!$Q$82</f>
        <v>0</v>
      </c>
      <c r="Q151" s="80">
        <f t="shared" si="12"/>
        <v>10</v>
      </c>
      <c r="R151" s="80">
        <v>10</v>
      </c>
      <c r="S151" s="172">
        <f t="shared" si="14"/>
        <v>100</v>
      </c>
      <c r="T151" s="172">
        <f>(公会!$F$12+公会!$F$13+公会!$F$14+公会!$F$18/7)/2</f>
        <v>121.428571428571</v>
      </c>
      <c r="U151" s="172">
        <f t="shared" si="13"/>
        <v>150</v>
      </c>
      <c r="V151" s="172" t="e">
        <f ca="1">SUM($H$29:U151)+SUM(D151:G151)</f>
        <v>#N/A</v>
      </c>
      <c r="W151" s="132" t="e">
        <f ca="1" t="shared" si="15"/>
        <v>#N/A</v>
      </c>
    </row>
    <row r="152" spans="1:23">
      <c r="A152" s="171"/>
      <c r="B152" s="80">
        <v>124</v>
      </c>
      <c r="C152" s="80">
        <f ca="1">OFFSET(产销汇总!$C$12,$B152,$C$27)</f>
        <v>185</v>
      </c>
      <c r="D152" s="80">
        <f ca="1">SUMIF(主线宝箱!$B$321:$B$620,"&lt;="&amp;C152,主线宝箱!$H$321:$H$620)+SUMIF(主线宝箱!$B$321:$B$620,"&lt;="&amp;C152,主线宝箱!$T$321:$T$620)</f>
        <v>7400</v>
      </c>
      <c r="E152" s="80">
        <v>110</v>
      </c>
      <c r="F152" s="80">
        <f t="shared" si="16"/>
        <v>450</v>
      </c>
      <c r="G152" s="80">
        <f ca="1">IF(AND($C$27&lt;3,B152&gt;3),G151,SUMIF(图纸产出设计!$F$334:$F$342,"&lt;="&amp;B152,图纸产出设计!$C$334:$C$342))</f>
        <v>3890</v>
      </c>
      <c r="H152" s="80">
        <f ca="1">OFFSET(产销汇总!$C$1,MATCH(H$28,产销汇总!$C$2:$C$8,0),$C$27)*(_xlfn.XLOOKUP(C152,主线推图!$B$313:$B$612,主线推图!$G$313:$G$612)+_xlfn.XLOOKUP(C152,主线推图!$B$313:$B$612,主线推图!$H$313:$H$612))</f>
        <v>176</v>
      </c>
      <c r="I152" s="80">
        <f ca="1">OFFSET(产销汇总!$C$1,MATCH(I$28,产销汇总!$C$2:$C$8,0),$C$27)*_xlfn.XLOOKUP(C152,巡逻产出!$B$311:$B$610,巡逻产出!$H$311:$H$610)</f>
        <v>0</v>
      </c>
      <c r="J152" s="80" t="e">
        <f ca="1">OFFSET(产销汇总!$C$1,MATCH(J$28,产销汇总!$C$2:$C$8,0),$C$27)*(_xlfn.XLOOKUP(MAX(1,INT(C152/10-6/10)),组队产出!$B$24:$B$39,组队产出!$J$24:$J$39)+_xlfn.XLOOKUP(MAX(1,INT(C152/10-6/10)),组队产出!$B$24:$B$39,组队产出!$K$24:$K$39))</f>
        <v>#N/A</v>
      </c>
      <c r="K152" s="80">
        <f ca="1">OFFSET(产销汇总!$C$1,MATCH(K$28,产销汇总!$C$2:$C$8,0),$C$27)*_xlfn.XLOOKUP(C152,巡逻产出!$B$311:$B$610,巡逻产出!$I$311:$I$610)*IF($C$27=1,0.5,1)</f>
        <v>312</v>
      </c>
      <c r="L152" s="80">
        <f ca="1">OFFSET(产销汇总!$C$1,MATCH(L$28,产销汇总!$C$2:$C$8,0),$C$27)*竞技场!$C$5</f>
        <v>180</v>
      </c>
      <c r="M152" s="80">
        <f>任务!$C$6+IF(MOD(B152,7)=0,任务!$M$25)</f>
        <v>30</v>
      </c>
      <c r="N152" s="98">
        <f t="shared" si="10"/>
        <v>1.7</v>
      </c>
      <c r="O152" s="80">
        <f t="shared" si="11"/>
        <v>10</v>
      </c>
      <c r="P152" s="172">
        <f ca="1">OFFSET(产销汇总!$C$1,MATCH(P$27,产销汇总!$C$2:$C$8,0),$C$27)/200*协力宝箱!$Q$82</f>
        <v>0</v>
      </c>
      <c r="Q152" s="80">
        <f t="shared" si="12"/>
        <v>10</v>
      </c>
      <c r="R152" s="80">
        <v>10</v>
      </c>
      <c r="S152" s="172">
        <f t="shared" si="14"/>
        <v>100</v>
      </c>
      <c r="T152" s="172">
        <f>(公会!$F$12+公会!$F$13+公会!$F$14+公会!$F$18/7)/2</f>
        <v>121.428571428571</v>
      </c>
      <c r="U152" s="172">
        <f t="shared" si="13"/>
        <v>150</v>
      </c>
      <c r="V152" s="172" t="e">
        <f ca="1">SUM($H$29:U152)+SUM(D152:G152)</f>
        <v>#N/A</v>
      </c>
      <c r="W152" s="132" t="e">
        <f ca="1" t="shared" si="15"/>
        <v>#N/A</v>
      </c>
    </row>
    <row r="153" spans="1:23">
      <c r="A153" s="171"/>
      <c r="B153" s="80">
        <v>125</v>
      </c>
      <c r="C153" s="80">
        <f ca="1">OFFSET(产销汇总!$C$12,$B153,$C$27)</f>
        <v>185.5</v>
      </c>
      <c r="D153" s="80">
        <f ca="1">SUMIF(主线宝箱!$B$321:$B$620,"&lt;="&amp;C153,主线宝箱!$H$321:$H$620)+SUMIF(主线宝箱!$B$321:$B$620,"&lt;="&amp;C153,主线宝箱!$T$321:$T$620)</f>
        <v>7400</v>
      </c>
      <c r="E153" s="80">
        <v>110</v>
      </c>
      <c r="F153" s="80">
        <f t="shared" si="16"/>
        <v>450</v>
      </c>
      <c r="G153" s="80">
        <f ca="1">IF(AND($C$27&lt;3,B153&gt;3),G152,SUMIF(图纸产出设计!$F$334:$F$342,"&lt;="&amp;B153,图纸产出设计!$C$334:$C$342))</f>
        <v>3890</v>
      </c>
      <c r="H153" s="80" t="e">
        <f ca="1">OFFSET(产销汇总!$C$1,MATCH(H$28,产销汇总!$C$2:$C$8,0),$C$27)*(_xlfn.XLOOKUP(C153,主线推图!$B$313:$B$612,主线推图!$G$313:$G$612)+_xlfn.XLOOKUP(C153,主线推图!$B$313:$B$612,主线推图!$H$313:$H$612))</f>
        <v>#N/A</v>
      </c>
      <c r="I153" s="80" t="e">
        <f ca="1">OFFSET(产销汇总!$C$1,MATCH(I$28,产销汇总!$C$2:$C$8,0),$C$27)*_xlfn.XLOOKUP(C153,巡逻产出!$B$311:$B$610,巡逻产出!$H$311:$H$610)</f>
        <v>#N/A</v>
      </c>
      <c r="J153" s="80" t="e">
        <f ca="1">OFFSET(产销汇总!$C$1,MATCH(J$28,产销汇总!$C$2:$C$8,0),$C$27)*(_xlfn.XLOOKUP(MAX(1,INT(C153/10-6/10)),组队产出!$B$24:$B$39,组队产出!$J$24:$J$39)+_xlfn.XLOOKUP(MAX(1,INT(C153/10-6/10)),组队产出!$B$24:$B$39,组队产出!$K$24:$K$39))</f>
        <v>#N/A</v>
      </c>
      <c r="K153" s="80" t="e">
        <f ca="1">OFFSET(产销汇总!$C$1,MATCH(K$28,产销汇总!$C$2:$C$8,0),$C$27)*_xlfn.XLOOKUP(C153,巡逻产出!$B$311:$B$610,巡逻产出!$I$311:$I$610)*IF($C$27=1,0.5,1)</f>
        <v>#N/A</v>
      </c>
      <c r="L153" s="80">
        <f ca="1">OFFSET(产销汇总!$C$1,MATCH(L$28,产销汇总!$C$2:$C$8,0),$C$27)*竞技场!$C$5</f>
        <v>180</v>
      </c>
      <c r="M153" s="80">
        <f>任务!$C$6+IF(MOD(B153,7)=0,任务!$M$25)</f>
        <v>30</v>
      </c>
      <c r="N153" s="98">
        <f t="shared" si="10"/>
        <v>1.7</v>
      </c>
      <c r="O153" s="80">
        <f t="shared" si="11"/>
        <v>0</v>
      </c>
      <c r="P153" s="172">
        <f ca="1">OFFSET(产销汇总!$C$1,MATCH(P$27,产销汇总!$C$2:$C$8,0),$C$27)/200*协力宝箱!$Q$82</f>
        <v>0</v>
      </c>
      <c r="Q153" s="80">
        <f t="shared" si="12"/>
        <v>10</v>
      </c>
      <c r="R153" s="80">
        <v>10</v>
      </c>
      <c r="S153" s="172">
        <f t="shared" si="14"/>
        <v>100</v>
      </c>
      <c r="T153" s="172">
        <f>(公会!$F$12+公会!$F$13+公会!$F$14+公会!$F$18/7)/2</f>
        <v>121.428571428571</v>
      </c>
      <c r="U153" s="172">
        <f t="shared" si="13"/>
        <v>150</v>
      </c>
      <c r="V153" s="172" t="e">
        <f ca="1">SUM($H$29:U153)+SUM(D153:G153)</f>
        <v>#N/A</v>
      </c>
      <c r="W153" s="132" t="e">
        <f ca="1" t="shared" si="15"/>
        <v>#N/A</v>
      </c>
    </row>
    <row r="154" spans="1:23">
      <c r="A154" s="171"/>
      <c r="B154" s="80">
        <v>126</v>
      </c>
      <c r="C154" s="80">
        <f ca="1">OFFSET(产销汇总!$C$12,$B154,$C$27)</f>
        <v>186</v>
      </c>
      <c r="D154" s="80">
        <f ca="1">SUMIF(主线宝箱!$B$321:$B$620,"&lt;="&amp;C154,主线宝箱!$H$321:$H$620)+SUMIF(主线宝箱!$B$321:$B$620,"&lt;="&amp;C154,主线宝箱!$T$321:$T$620)</f>
        <v>7440</v>
      </c>
      <c r="E154" s="80">
        <v>110</v>
      </c>
      <c r="F154" s="80">
        <f t="shared" si="16"/>
        <v>450</v>
      </c>
      <c r="G154" s="80">
        <f ca="1">IF(AND($C$27&lt;3,B154&gt;3),G153,SUMIF(图纸产出设计!$F$334:$F$342,"&lt;="&amp;B154,图纸产出设计!$C$334:$C$342))</f>
        <v>3890</v>
      </c>
      <c r="H154" s="80">
        <f ca="1">OFFSET(产销汇总!$C$1,MATCH(H$28,产销汇总!$C$2:$C$8,0),$C$27)*(_xlfn.XLOOKUP(C154,主线推图!$B$313:$B$612,主线推图!$G$313:$G$612)+_xlfn.XLOOKUP(C154,主线推图!$B$313:$B$612,主线推图!$H$313:$H$612))</f>
        <v>176</v>
      </c>
      <c r="I154" s="80">
        <f ca="1">OFFSET(产销汇总!$C$1,MATCH(I$28,产销汇总!$C$2:$C$8,0),$C$27)*_xlfn.XLOOKUP(C154,巡逻产出!$B$311:$B$610,巡逻产出!$H$311:$H$610)</f>
        <v>0</v>
      </c>
      <c r="J154" s="80" t="e">
        <f ca="1">OFFSET(产销汇总!$C$1,MATCH(J$28,产销汇总!$C$2:$C$8,0),$C$27)*(_xlfn.XLOOKUP(MAX(1,INT(C154/10-6/10)),组队产出!$B$24:$B$39,组队产出!$J$24:$J$39)+_xlfn.XLOOKUP(MAX(1,INT(C154/10-6/10)),组队产出!$B$24:$B$39,组队产出!$K$24:$K$39))</f>
        <v>#N/A</v>
      </c>
      <c r="K154" s="80">
        <f ca="1">OFFSET(产销汇总!$C$1,MATCH(K$28,产销汇总!$C$2:$C$8,0),$C$27)*_xlfn.XLOOKUP(C154,巡逻产出!$B$311:$B$610,巡逻产出!$I$311:$I$610)*IF($C$27=1,0.5,1)</f>
        <v>312</v>
      </c>
      <c r="L154" s="80">
        <f ca="1">OFFSET(产销汇总!$C$1,MATCH(L$28,产销汇总!$C$2:$C$8,0),$C$27)*竞技场!$C$5</f>
        <v>180</v>
      </c>
      <c r="M154" s="80">
        <f>任务!$C$6+IF(MOD(B154,7)=0,任务!$M$25)</f>
        <v>60</v>
      </c>
      <c r="N154" s="98">
        <f t="shared" si="10"/>
        <v>1.7</v>
      </c>
      <c r="O154" s="80">
        <f t="shared" si="11"/>
        <v>0</v>
      </c>
      <c r="P154" s="172">
        <f ca="1">OFFSET(产销汇总!$C$1,MATCH(P$27,产销汇总!$C$2:$C$8,0),$C$27)/200*协力宝箱!$Q$82</f>
        <v>0</v>
      </c>
      <c r="Q154" s="80">
        <f t="shared" si="12"/>
        <v>10</v>
      </c>
      <c r="R154" s="80">
        <v>10</v>
      </c>
      <c r="S154" s="172">
        <f t="shared" si="14"/>
        <v>100</v>
      </c>
      <c r="T154" s="172">
        <f>(公会!$F$12+公会!$F$13+公会!$F$14+公会!$F$18/7)/2</f>
        <v>121.428571428571</v>
      </c>
      <c r="U154" s="172">
        <f t="shared" si="13"/>
        <v>150</v>
      </c>
      <c r="V154" s="172" t="e">
        <f ca="1">SUM($H$29:U154)+SUM(D154:G154)</f>
        <v>#N/A</v>
      </c>
      <c r="W154" s="132" t="e">
        <f ca="1" t="shared" si="15"/>
        <v>#N/A</v>
      </c>
    </row>
    <row r="155" spans="1:23">
      <c r="A155" s="171"/>
      <c r="B155" s="80">
        <v>127</v>
      </c>
      <c r="C155" s="80">
        <f ca="1">OFFSET(产销汇总!$C$12,$B155,$C$27)</f>
        <v>186.5</v>
      </c>
      <c r="D155" s="80">
        <f ca="1">SUMIF(主线宝箱!$B$321:$B$620,"&lt;="&amp;C155,主线宝箱!$H$321:$H$620)+SUMIF(主线宝箱!$B$321:$B$620,"&lt;="&amp;C155,主线宝箱!$T$321:$T$620)</f>
        <v>7440</v>
      </c>
      <c r="E155" s="80">
        <v>110</v>
      </c>
      <c r="F155" s="80">
        <f t="shared" si="16"/>
        <v>450</v>
      </c>
      <c r="G155" s="80">
        <f ca="1">IF(AND($C$27&lt;3,B155&gt;3),G154,SUMIF(图纸产出设计!$F$334:$F$342,"&lt;="&amp;B155,图纸产出设计!$C$334:$C$342))</f>
        <v>3890</v>
      </c>
      <c r="H155" s="80" t="e">
        <f ca="1">OFFSET(产销汇总!$C$1,MATCH(H$28,产销汇总!$C$2:$C$8,0),$C$27)*(_xlfn.XLOOKUP(C155,主线推图!$B$313:$B$612,主线推图!$G$313:$G$612)+_xlfn.XLOOKUP(C155,主线推图!$B$313:$B$612,主线推图!$H$313:$H$612))</f>
        <v>#N/A</v>
      </c>
      <c r="I155" s="80" t="e">
        <f ca="1">OFFSET(产销汇总!$C$1,MATCH(I$28,产销汇总!$C$2:$C$8,0),$C$27)*_xlfn.XLOOKUP(C155,巡逻产出!$B$311:$B$610,巡逻产出!$H$311:$H$610)</f>
        <v>#N/A</v>
      </c>
      <c r="J155" s="80" t="e">
        <f ca="1">OFFSET(产销汇总!$C$1,MATCH(J$28,产销汇总!$C$2:$C$8,0),$C$27)*(_xlfn.XLOOKUP(MAX(1,INT(C155/10-6/10)),组队产出!$B$24:$B$39,组队产出!$J$24:$J$39)+_xlfn.XLOOKUP(MAX(1,INT(C155/10-6/10)),组队产出!$B$24:$B$39,组队产出!$K$24:$K$39))</f>
        <v>#N/A</v>
      </c>
      <c r="K155" s="80" t="e">
        <f ca="1">OFFSET(产销汇总!$C$1,MATCH(K$28,产销汇总!$C$2:$C$8,0),$C$27)*_xlfn.XLOOKUP(C155,巡逻产出!$B$311:$B$610,巡逻产出!$I$311:$I$610)*IF($C$27=1,0.5,1)</f>
        <v>#N/A</v>
      </c>
      <c r="L155" s="80">
        <f ca="1">OFFSET(产销汇总!$C$1,MATCH(L$28,产销汇总!$C$2:$C$8,0),$C$27)*竞技场!$C$5</f>
        <v>180</v>
      </c>
      <c r="M155" s="80">
        <f>任务!$C$6+IF(MOD(B155,7)=0,任务!$M$25)</f>
        <v>30</v>
      </c>
      <c r="N155" s="98">
        <f t="shared" si="10"/>
        <v>1.7</v>
      </c>
      <c r="O155" s="80">
        <f t="shared" si="11"/>
        <v>0</v>
      </c>
      <c r="P155" s="172">
        <f ca="1">OFFSET(产销汇总!$C$1,MATCH(P$27,产销汇总!$C$2:$C$8,0),$C$27)/200*协力宝箱!$Q$82</f>
        <v>0</v>
      </c>
      <c r="Q155" s="80">
        <f t="shared" si="12"/>
        <v>10</v>
      </c>
      <c r="R155" s="80">
        <v>10</v>
      </c>
      <c r="S155" s="172">
        <f t="shared" si="14"/>
        <v>100</v>
      </c>
      <c r="T155" s="172">
        <f>(公会!$F$12+公会!$F$13+公会!$F$14+公会!$F$18/7)/2</f>
        <v>121.428571428571</v>
      </c>
      <c r="U155" s="172">
        <f t="shared" si="13"/>
        <v>150</v>
      </c>
      <c r="V155" s="172" t="e">
        <f ca="1">SUM($H$29:U155)+SUM(D155:G155)</f>
        <v>#N/A</v>
      </c>
      <c r="W155" s="132" t="e">
        <f ca="1" t="shared" si="15"/>
        <v>#N/A</v>
      </c>
    </row>
    <row r="156" spans="1:23">
      <c r="A156" s="171"/>
      <c r="B156" s="80">
        <v>128</v>
      </c>
      <c r="C156" s="80">
        <f ca="1">OFFSET(产销汇总!$C$12,$B156,$C$27)</f>
        <v>187</v>
      </c>
      <c r="D156" s="80">
        <f ca="1">SUMIF(主线宝箱!$B$321:$B$620,"&lt;="&amp;C156,主线宝箱!$H$321:$H$620)+SUMIF(主线宝箱!$B$321:$B$620,"&lt;="&amp;C156,主线宝箱!$T$321:$T$620)</f>
        <v>7480</v>
      </c>
      <c r="E156" s="80">
        <v>110</v>
      </c>
      <c r="F156" s="80">
        <f t="shared" si="16"/>
        <v>450</v>
      </c>
      <c r="G156" s="80">
        <f ca="1">IF(AND($C$27&lt;3,B156&gt;3),G155,SUMIF(图纸产出设计!$F$334:$F$342,"&lt;="&amp;B156,图纸产出设计!$C$334:$C$342))</f>
        <v>3890</v>
      </c>
      <c r="H156" s="80">
        <f ca="1">OFFSET(产销汇总!$C$1,MATCH(H$28,产销汇总!$C$2:$C$8,0),$C$27)*(_xlfn.XLOOKUP(C156,主线推图!$B$313:$B$612,主线推图!$G$313:$G$612)+_xlfn.XLOOKUP(C156,主线推图!$B$313:$B$612,主线推图!$H$313:$H$612))</f>
        <v>176</v>
      </c>
      <c r="I156" s="80">
        <f ca="1">OFFSET(产销汇总!$C$1,MATCH(I$28,产销汇总!$C$2:$C$8,0),$C$27)*_xlfn.XLOOKUP(C156,巡逻产出!$B$311:$B$610,巡逻产出!$H$311:$H$610)</f>
        <v>0</v>
      </c>
      <c r="J156" s="80" t="e">
        <f ca="1">OFFSET(产销汇总!$C$1,MATCH(J$28,产销汇总!$C$2:$C$8,0),$C$27)*(_xlfn.XLOOKUP(MAX(1,INT(C156/10-6/10)),组队产出!$B$24:$B$39,组队产出!$J$24:$J$39)+_xlfn.XLOOKUP(MAX(1,INT(C156/10-6/10)),组队产出!$B$24:$B$39,组队产出!$K$24:$K$39))</f>
        <v>#N/A</v>
      </c>
      <c r="K156" s="80">
        <f ca="1">OFFSET(产销汇总!$C$1,MATCH(K$28,产销汇总!$C$2:$C$8,0),$C$27)*_xlfn.XLOOKUP(C156,巡逻产出!$B$311:$B$610,巡逻产出!$I$311:$I$610)*IF($C$27=1,0.5,1)</f>
        <v>312</v>
      </c>
      <c r="L156" s="80">
        <f ca="1">OFFSET(产销汇总!$C$1,MATCH(L$28,产销汇总!$C$2:$C$8,0),$C$27)*竞技场!$C$5</f>
        <v>180</v>
      </c>
      <c r="M156" s="80">
        <f>任务!$C$6+IF(MOD(B156,7)=0,任务!$M$25)</f>
        <v>30</v>
      </c>
      <c r="N156" s="98">
        <f t="shared" si="10"/>
        <v>1.7</v>
      </c>
      <c r="O156" s="80">
        <f t="shared" si="11"/>
        <v>10</v>
      </c>
      <c r="P156" s="172">
        <f ca="1">OFFSET(产销汇总!$C$1,MATCH(P$27,产销汇总!$C$2:$C$8,0),$C$27)/200*协力宝箱!$Q$82</f>
        <v>0</v>
      </c>
      <c r="Q156" s="80">
        <f t="shared" si="12"/>
        <v>10</v>
      </c>
      <c r="R156" s="80">
        <v>10</v>
      </c>
      <c r="S156" s="172">
        <f t="shared" si="14"/>
        <v>100</v>
      </c>
      <c r="T156" s="172">
        <f>(公会!$F$12+公会!$F$13+公会!$F$14+公会!$F$18/7)/2</f>
        <v>121.428571428571</v>
      </c>
      <c r="U156" s="172">
        <f t="shared" si="13"/>
        <v>150</v>
      </c>
      <c r="V156" s="172" t="e">
        <f ca="1">SUM($H$29:U156)+SUM(D156:G156)</f>
        <v>#N/A</v>
      </c>
      <c r="W156" s="132" t="e">
        <f ca="1" t="shared" si="15"/>
        <v>#N/A</v>
      </c>
    </row>
    <row r="157" spans="1:23">
      <c r="A157" s="171"/>
      <c r="B157" s="80">
        <v>129</v>
      </c>
      <c r="C157" s="80">
        <f ca="1">OFFSET(产销汇总!$C$12,$B157,$C$27)</f>
        <v>187.5</v>
      </c>
      <c r="D157" s="80">
        <f ca="1">SUMIF(主线宝箱!$B$321:$B$620,"&lt;="&amp;C157,主线宝箱!$H$321:$H$620)+SUMIF(主线宝箱!$B$321:$B$620,"&lt;="&amp;C157,主线宝箱!$T$321:$T$620)</f>
        <v>7480</v>
      </c>
      <c r="E157" s="80">
        <v>110</v>
      </c>
      <c r="F157" s="80">
        <f t="shared" si="16"/>
        <v>450</v>
      </c>
      <c r="G157" s="80">
        <f ca="1">IF(AND($C$27&lt;3,B157&gt;3),G156,SUMIF(图纸产出设计!$F$334:$F$342,"&lt;="&amp;B157,图纸产出设计!$C$334:$C$342))</f>
        <v>3890</v>
      </c>
      <c r="H157" s="80" t="e">
        <f ca="1">OFFSET(产销汇总!$C$1,MATCH(H$28,产销汇总!$C$2:$C$8,0),$C$27)*(_xlfn.XLOOKUP(C157,主线推图!$B$313:$B$612,主线推图!$G$313:$G$612)+_xlfn.XLOOKUP(C157,主线推图!$B$313:$B$612,主线推图!$H$313:$H$612))</f>
        <v>#N/A</v>
      </c>
      <c r="I157" s="80" t="e">
        <f ca="1">OFFSET(产销汇总!$C$1,MATCH(I$28,产销汇总!$C$2:$C$8,0),$C$27)*_xlfn.XLOOKUP(C157,巡逻产出!$B$311:$B$610,巡逻产出!$H$311:$H$610)</f>
        <v>#N/A</v>
      </c>
      <c r="J157" s="80" t="e">
        <f ca="1">OFFSET(产销汇总!$C$1,MATCH(J$28,产销汇总!$C$2:$C$8,0),$C$27)*(_xlfn.XLOOKUP(MAX(1,INT(C157/10-6/10)),组队产出!$B$24:$B$39,组队产出!$J$24:$J$39)+_xlfn.XLOOKUP(MAX(1,INT(C157/10-6/10)),组队产出!$B$24:$B$39,组队产出!$K$24:$K$39))</f>
        <v>#N/A</v>
      </c>
      <c r="K157" s="80" t="e">
        <f ca="1">OFFSET(产销汇总!$C$1,MATCH(K$28,产销汇总!$C$2:$C$8,0),$C$27)*_xlfn.XLOOKUP(C157,巡逻产出!$B$311:$B$610,巡逻产出!$I$311:$I$610)*IF($C$27=1,0.5,1)</f>
        <v>#N/A</v>
      </c>
      <c r="L157" s="80">
        <f ca="1">OFFSET(产销汇总!$C$1,MATCH(L$28,产销汇总!$C$2:$C$8,0),$C$27)*竞技场!$C$5</f>
        <v>180</v>
      </c>
      <c r="M157" s="80">
        <f>任务!$C$6+IF(MOD(B157,7)=0,任务!$M$25)</f>
        <v>30</v>
      </c>
      <c r="N157" s="98">
        <f t="shared" ref="N157:N220" si="17">ROUND(12/7,1)</f>
        <v>1.7</v>
      </c>
      <c r="O157" s="80">
        <f t="shared" ref="O157:O220" si="18">IF(MOD(B157,7)=2,10,0)+IF(MOD(B157,7)=5,10,0)</f>
        <v>0</v>
      </c>
      <c r="P157" s="172">
        <f ca="1">OFFSET(产销汇总!$C$1,MATCH(P$27,产销汇总!$C$2:$C$8,0),$C$27)/200*协力宝箱!$Q$82</f>
        <v>0</v>
      </c>
      <c r="Q157" s="80">
        <f t="shared" ref="Q157:Q220" si="19">0.2*5*10</f>
        <v>10</v>
      </c>
      <c r="R157" s="80">
        <v>10</v>
      </c>
      <c r="S157" s="172">
        <f t="shared" si="14"/>
        <v>100</v>
      </c>
      <c r="T157" s="172">
        <f>(公会!$F$12+公会!$F$13+公会!$F$14+公会!$F$18/7)/2</f>
        <v>121.428571428571</v>
      </c>
      <c r="U157" s="172">
        <f t="shared" si="13"/>
        <v>150</v>
      </c>
      <c r="V157" s="172" t="e">
        <f ca="1">SUM($H$29:U157)+SUM(D157:G157)</f>
        <v>#N/A</v>
      </c>
      <c r="W157" s="132" t="e">
        <f ca="1" t="shared" si="15"/>
        <v>#N/A</v>
      </c>
    </row>
    <row r="158" spans="1:23">
      <c r="A158" s="171"/>
      <c r="B158" s="80">
        <v>130</v>
      </c>
      <c r="C158" s="80">
        <f ca="1">OFFSET(产销汇总!$C$12,$B158,$C$27)</f>
        <v>188</v>
      </c>
      <c r="D158" s="80">
        <f ca="1">SUMIF(主线宝箱!$B$321:$B$620,"&lt;="&amp;C158,主线宝箱!$H$321:$H$620)+SUMIF(主线宝箱!$B$321:$B$620,"&lt;="&amp;C158,主线宝箱!$T$321:$T$620)</f>
        <v>7520</v>
      </c>
      <c r="E158" s="80">
        <v>110</v>
      </c>
      <c r="F158" s="80">
        <f t="shared" si="16"/>
        <v>450</v>
      </c>
      <c r="G158" s="80">
        <f ca="1">IF(AND($C$27&lt;3,B158&gt;3),G157,SUMIF(图纸产出设计!$F$334:$F$342,"&lt;="&amp;B158,图纸产出设计!$C$334:$C$342))</f>
        <v>3890</v>
      </c>
      <c r="H158" s="80">
        <f ca="1">OFFSET(产销汇总!$C$1,MATCH(H$28,产销汇总!$C$2:$C$8,0),$C$27)*(_xlfn.XLOOKUP(C158,主线推图!$B$313:$B$612,主线推图!$G$313:$G$612)+_xlfn.XLOOKUP(C158,主线推图!$B$313:$B$612,主线推图!$H$313:$H$612))</f>
        <v>176</v>
      </c>
      <c r="I158" s="80">
        <f ca="1">OFFSET(产销汇总!$C$1,MATCH(I$28,产销汇总!$C$2:$C$8,0),$C$27)*_xlfn.XLOOKUP(C158,巡逻产出!$B$311:$B$610,巡逻产出!$H$311:$H$610)</f>
        <v>0</v>
      </c>
      <c r="J158" s="80" t="e">
        <f ca="1">OFFSET(产销汇总!$C$1,MATCH(J$28,产销汇总!$C$2:$C$8,0),$C$27)*(_xlfn.XLOOKUP(MAX(1,INT(C158/10-6/10)),组队产出!$B$24:$B$39,组队产出!$J$24:$J$39)+_xlfn.XLOOKUP(MAX(1,INT(C158/10-6/10)),组队产出!$B$24:$B$39,组队产出!$K$24:$K$39))</f>
        <v>#N/A</v>
      </c>
      <c r="K158" s="80">
        <f ca="1">OFFSET(产销汇总!$C$1,MATCH(K$28,产销汇总!$C$2:$C$8,0),$C$27)*_xlfn.XLOOKUP(C158,巡逻产出!$B$311:$B$610,巡逻产出!$I$311:$I$610)*IF($C$27=1,0.5,1)</f>
        <v>312</v>
      </c>
      <c r="L158" s="80">
        <f ca="1">OFFSET(产销汇总!$C$1,MATCH(L$28,产销汇总!$C$2:$C$8,0),$C$27)*竞技场!$C$5</f>
        <v>180</v>
      </c>
      <c r="M158" s="80">
        <f>任务!$C$6+IF(MOD(B158,7)=0,任务!$M$25)</f>
        <v>30</v>
      </c>
      <c r="N158" s="98">
        <f t="shared" si="17"/>
        <v>1.7</v>
      </c>
      <c r="O158" s="80">
        <f t="shared" si="18"/>
        <v>0</v>
      </c>
      <c r="P158" s="172">
        <f ca="1">OFFSET(产销汇总!$C$1,MATCH(P$27,产销汇总!$C$2:$C$8,0),$C$27)/200*协力宝箱!$Q$82</f>
        <v>0</v>
      </c>
      <c r="Q158" s="80">
        <f t="shared" si="19"/>
        <v>10</v>
      </c>
      <c r="R158" s="80">
        <v>10</v>
      </c>
      <c r="S158" s="172">
        <f t="shared" si="14"/>
        <v>100</v>
      </c>
      <c r="T158" s="172">
        <f>(公会!$F$12+公会!$F$13+公会!$F$14+公会!$F$18/7)/2</f>
        <v>121.428571428571</v>
      </c>
      <c r="U158" s="172">
        <f t="shared" ref="U158:U221" si="20">IF($C$27&lt;2,50,100)+IF(B158&gt;=3,50,0)</f>
        <v>150</v>
      </c>
      <c r="V158" s="172" t="e">
        <f ca="1">SUM($H$29:U158)+SUM(D158:G158)</f>
        <v>#N/A</v>
      </c>
      <c r="W158" s="132" t="e">
        <f ca="1" t="shared" si="15"/>
        <v>#N/A</v>
      </c>
    </row>
    <row r="159" spans="1:23">
      <c r="A159" s="171"/>
      <c r="B159" s="80">
        <v>131</v>
      </c>
      <c r="C159" s="80">
        <f ca="1">OFFSET(产销汇总!$C$12,$B159,$C$27)</f>
        <v>188.5</v>
      </c>
      <c r="D159" s="80">
        <f ca="1">SUMIF(主线宝箱!$B$321:$B$620,"&lt;="&amp;C159,主线宝箱!$H$321:$H$620)+SUMIF(主线宝箱!$B$321:$B$620,"&lt;="&amp;C159,主线宝箱!$T$321:$T$620)</f>
        <v>7520</v>
      </c>
      <c r="E159" s="80">
        <v>110</v>
      </c>
      <c r="F159" s="80">
        <f t="shared" si="16"/>
        <v>450</v>
      </c>
      <c r="G159" s="80">
        <f ca="1">IF(AND($C$27&lt;3,B159&gt;3),G158,SUMIF(图纸产出设计!$F$334:$F$342,"&lt;="&amp;B159,图纸产出设计!$C$334:$C$342))</f>
        <v>3890</v>
      </c>
      <c r="H159" s="80" t="e">
        <f ca="1">OFFSET(产销汇总!$C$1,MATCH(H$28,产销汇总!$C$2:$C$8,0),$C$27)*(_xlfn.XLOOKUP(C159,主线推图!$B$313:$B$612,主线推图!$G$313:$G$612)+_xlfn.XLOOKUP(C159,主线推图!$B$313:$B$612,主线推图!$H$313:$H$612))</f>
        <v>#N/A</v>
      </c>
      <c r="I159" s="80" t="e">
        <f ca="1">OFFSET(产销汇总!$C$1,MATCH(I$28,产销汇总!$C$2:$C$8,0),$C$27)*_xlfn.XLOOKUP(C159,巡逻产出!$B$311:$B$610,巡逻产出!$H$311:$H$610)</f>
        <v>#N/A</v>
      </c>
      <c r="J159" s="80" t="e">
        <f ca="1">OFFSET(产销汇总!$C$1,MATCH(J$28,产销汇总!$C$2:$C$8,0),$C$27)*(_xlfn.XLOOKUP(MAX(1,INT(C159/10-6/10)),组队产出!$B$24:$B$39,组队产出!$J$24:$J$39)+_xlfn.XLOOKUP(MAX(1,INT(C159/10-6/10)),组队产出!$B$24:$B$39,组队产出!$K$24:$K$39))</f>
        <v>#N/A</v>
      </c>
      <c r="K159" s="80" t="e">
        <f ca="1">OFFSET(产销汇总!$C$1,MATCH(K$28,产销汇总!$C$2:$C$8,0),$C$27)*_xlfn.XLOOKUP(C159,巡逻产出!$B$311:$B$610,巡逻产出!$I$311:$I$610)*IF($C$27=1,0.5,1)</f>
        <v>#N/A</v>
      </c>
      <c r="L159" s="80">
        <f ca="1">OFFSET(产销汇总!$C$1,MATCH(L$28,产销汇总!$C$2:$C$8,0),$C$27)*竞技场!$C$5</f>
        <v>180</v>
      </c>
      <c r="M159" s="80">
        <f>任务!$C$6+IF(MOD(B159,7)=0,任务!$M$25)</f>
        <v>30</v>
      </c>
      <c r="N159" s="98">
        <f t="shared" si="17"/>
        <v>1.7</v>
      </c>
      <c r="O159" s="80">
        <f t="shared" si="18"/>
        <v>10</v>
      </c>
      <c r="P159" s="172">
        <f ca="1">OFFSET(产销汇总!$C$1,MATCH(P$27,产销汇总!$C$2:$C$8,0),$C$27)/200*协力宝箱!$Q$82</f>
        <v>0</v>
      </c>
      <c r="Q159" s="80">
        <f t="shared" si="19"/>
        <v>10</v>
      </c>
      <c r="R159" s="80">
        <v>10</v>
      </c>
      <c r="S159" s="172">
        <f t="shared" ref="S159:S222" si="21">S158</f>
        <v>100</v>
      </c>
      <c r="T159" s="172">
        <f>(公会!$F$12+公会!$F$13+公会!$F$14+公会!$F$18/7)/2</f>
        <v>121.428571428571</v>
      </c>
      <c r="U159" s="172">
        <f t="shared" si="20"/>
        <v>150</v>
      </c>
      <c r="V159" s="172" t="e">
        <f ca="1">SUM($H$29:U159)+SUM(D159:G159)</f>
        <v>#N/A</v>
      </c>
      <c r="W159" s="132" t="e">
        <f ca="1" t="shared" ref="W159:W222" si="22">V159-V158</f>
        <v>#N/A</v>
      </c>
    </row>
    <row r="160" spans="1:23">
      <c r="A160" s="171"/>
      <c r="B160" s="80">
        <v>132</v>
      </c>
      <c r="C160" s="80">
        <f ca="1">OFFSET(产销汇总!$C$12,$B160,$C$27)</f>
        <v>189</v>
      </c>
      <c r="D160" s="80">
        <f ca="1">SUMIF(主线宝箱!$B$321:$B$620,"&lt;="&amp;C160,主线宝箱!$H$321:$H$620)+SUMIF(主线宝箱!$B$321:$B$620,"&lt;="&amp;C160,主线宝箱!$T$321:$T$620)</f>
        <v>7560</v>
      </c>
      <c r="E160" s="80">
        <v>110</v>
      </c>
      <c r="F160" s="80">
        <f t="shared" si="16"/>
        <v>450</v>
      </c>
      <c r="G160" s="80">
        <f ca="1">IF(AND($C$27&lt;3,B160&gt;3),G159,SUMIF(图纸产出设计!$F$334:$F$342,"&lt;="&amp;B160,图纸产出设计!$C$334:$C$342))</f>
        <v>3890</v>
      </c>
      <c r="H160" s="80">
        <f ca="1">OFFSET(产销汇总!$C$1,MATCH(H$28,产销汇总!$C$2:$C$8,0),$C$27)*(_xlfn.XLOOKUP(C160,主线推图!$B$313:$B$612,主线推图!$G$313:$G$612)+_xlfn.XLOOKUP(C160,主线推图!$B$313:$B$612,主线推图!$H$313:$H$612))</f>
        <v>176</v>
      </c>
      <c r="I160" s="80">
        <f ca="1">OFFSET(产销汇总!$C$1,MATCH(I$28,产销汇总!$C$2:$C$8,0),$C$27)*_xlfn.XLOOKUP(C160,巡逻产出!$B$311:$B$610,巡逻产出!$H$311:$H$610)</f>
        <v>0</v>
      </c>
      <c r="J160" s="80" t="e">
        <f ca="1">OFFSET(产销汇总!$C$1,MATCH(J$28,产销汇总!$C$2:$C$8,0),$C$27)*(_xlfn.XLOOKUP(MAX(1,INT(C160/10-6/10)),组队产出!$B$24:$B$39,组队产出!$J$24:$J$39)+_xlfn.XLOOKUP(MAX(1,INT(C160/10-6/10)),组队产出!$B$24:$B$39,组队产出!$K$24:$K$39))</f>
        <v>#N/A</v>
      </c>
      <c r="K160" s="80">
        <f ca="1">OFFSET(产销汇总!$C$1,MATCH(K$28,产销汇总!$C$2:$C$8,0),$C$27)*_xlfn.XLOOKUP(C160,巡逻产出!$B$311:$B$610,巡逻产出!$I$311:$I$610)*IF($C$27=1,0.5,1)</f>
        <v>312</v>
      </c>
      <c r="L160" s="80">
        <f ca="1">OFFSET(产销汇总!$C$1,MATCH(L$28,产销汇总!$C$2:$C$8,0),$C$27)*竞技场!$C$5</f>
        <v>180</v>
      </c>
      <c r="M160" s="80">
        <f>任务!$C$6+IF(MOD(B160,7)=0,任务!$M$25)</f>
        <v>30</v>
      </c>
      <c r="N160" s="98">
        <f t="shared" si="17"/>
        <v>1.7</v>
      </c>
      <c r="O160" s="80">
        <f t="shared" si="18"/>
        <v>0</v>
      </c>
      <c r="P160" s="172">
        <f ca="1">OFFSET(产销汇总!$C$1,MATCH(P$27,产销汇总!$C$2:$C$8,0),$C$27)/200*协力宝箱!$Q$82</f>
        <v>0</v>
      </c>
      <c r="Q160" s="80">
        <f t="shared" si="19"/>
        <v>10</v>
      </c>
      <c r="R160" s="80">
        <v>10</v>
      </c>
      <c r="S160" s="172">
        <f t="shared" si="21"/>
        <v>100</v>
      </c>
      <c r="T160" s="172">
        <f>(公会!$F$12+公会!$F$13+公会!$F$14+公会!$F$18/7)/2</f>
        <v>121.428571428571</v>
      </c>
      <c r="U160" s="172">
        <f t="shared" si="20"/>
        <v>150</v>
      </c>
      <c r="V160" s="172" t="e">
        <f ca="1">SUM($H$29:U160)+SUM(D160:G160)</f>
        <v>#N/A</v>
      </c>
      <c r="W160" s="132" t="e">
        <f ca="1" t="shared" si="22"/>
        <v>#N/A</v>
      </c>
    </row>
    <row r="161" spans="1:23">
      <c r="A161" s="171"/>
      <c r="B161" s="80">
        <v>133</v>
      </c>
      <c r="C161" s="80">
        <f ca="1">OFFSET(产销汇总!$C$12,$B161,$C$27)</f>
        <v>189.5</v>
      </c>
      <c r="D161" s="80">
        <f ca="1">SUMIF(主线宝箱!$B$321:$B$620,"&lt;="&amp;C161,主线宝箱!$H$321:$H$620)+SUMIF(主线宝箱!$B$321:$B$620,"&lt;="&amp;C161,主线宝箱!$T$321:$T$620)</f>
        <v>7560</v>
      </c>
      <c r="E161" s="80">
        <v>110</v>
      </c>
      <c r="F161" s="80">
        <f t="shared" si="16"/>
        <v>450</v>
      </c>
      <c r="G161" s="80">
        <f ca="1">IF(AND($C$27&lt;3,B161&gt;3),G160,SUMIF(图纸产出设计!$F$334:$F$342,"&lt;="&amp;B161,图纸产出设计!$C$334:$C$342))</f>
        <v>3890</v>
      </c>
      <c r="H161" s="80" t="e">
        <f ca="1">OFFSET(产销汇总!$C$1,MATCH(H$28,产销汇总!$C$2:$C$8,0),$C$27)*(_xlfn.XLOOKUP(C161,主线推图!$B$313:$B$612,主线推图!$G$313:$G$612)+_xlfn.XLOOKUP(C161,主线推图!$B$313:$B$612,主线推图!$H$313:$H$612))</f>
        <v>#N/A</v>
      </c>
      <c r="I161" s="80" t="e">
        <f ca="1">OFFSET(产销汇总!$C$1,MATCH(I$28,产销汇总!$C$2:$C$8,0),$C$27)*_xlfn.XLOOKUP(C161,巡逻产出!$B$311:$B$610,巡逻产出!$H$311:$H$610)</f>
        <v>#N/A</v>
      </c>
      <c r="J161" s="80" t="e">
        <f ca="1">OFFSET(产销汇总!$C$1,MATCH(J$28,产销汇总!$C$2:$C$8,0),$C$27)*(_xlfn.XLOOKUP(MAX(1,INT(C161/10-6/10)),组队产出!$B$24:$B$39,组队产出!$J$24:$J$39)+_xlfn.XLOOKUP(MAX(1,INT(C161/10-6/10)),组队产出!$B$24:$B$39,组队产出!$K$24:$K$39))</f>
        <v>#N/A</v>
      </c>
      <c r="K161" s="80" t="e">
        <f ca="1">OFFSET(产销汇总!$C$1,MATCH(K$28,产销汇总!$C$2:$C$8,0),$C$27)*_xlfn.XLOOKUP(C161,巡逻产出!$B$311:$B$610,巡逻产出!$I$311:$I$610)*IF($C$27=1,0.5,1)</f>
        <v>#N/A</v>
      </c>
      <c r="L161" s="80">
        <f ca="1">OFFSET(产销汇总!$C$1,MATCH(L$28,产销汇总!$C$2:$C$8,0),$C$27)*竞技场!$C$5</f>
        <v>180</v>
      </c>
      <c r="M161" s="80">
        <f>任务!$C$6+IF(MOD(B161,7)=0,任务!$M$25)</f>
        <v>60</v>
      </c>
      <c r="N161" s="98">
        <f t="shared" si="17"/>
        <v>1.7</v>
      </c>
      <c r="O161" s="80">
        <f t="shared" si="18"/>
        <v>0</v>
      </c>
      <c r="P161" s="172">
        <f ca="1">OFFSET(产销汇总!$C$1,MATCH(P$27,产销汇总!$C$2:$C$8,0),$C$27)/200*协力宝箱!$Q$82</f>
        <v>0</v>
      </c>
      <c r="Q161" s="80">
        <f t="shared" si="19"/>
        <v>10</v>
      </c>
      <c r="R161" s="80">
        <v>10</v>
      </c>
      <c r="S161" s="172">
        <f t="shared" si="21"/>
        <v>100</v>
      </c>
      <c r="T161" s="172">
        <f>(公会!$F$12+公会!$F$13+公会!$F$14+公会!$F$18/7)/2</f>
        <v>121.428571428571</v>
      </c>
      <c r="U161" s="172">
        <f t="shared" si="20"/>
        <v>150</v>
      </c>
      <c r="V161" s="172" t="e">
        <f ca="1">SUM($H$29:U161)+SUM(D161:G161)</f>
        <v>#N/A</v>
      </c>
      <c r="W161" s="132" t="e">
        <f ca="1" t="shared" si="22"/>
        <v>#N/A</v>
      </c>
    </row>
    <row r="162" spans="1:23">
      <c r="A162" s="171"/>
      <c r="B162" s="80">
        <v>134</v>
      </c>
      <c r="C162" s="80">
        <f ca="1">OFFSET(产销汇总!$C$12,$B162,$C$27)</f>
        <v>190</v>
      </c>
      <c r="D162" s="80">
        <f ca="1">SUMIF(主线宝箱!$B$321:$B$620,"&lt;="&amp;C162,主线宝箱!$H$321:$H$620)+SUMIF(主线宝箱!$B$321:$B$620,"&lt;="&amp;C162,主线宝箱!$T$321:$T$620)</f>
        <v>7600</v>
      </c>
      <c r="E162" s="80">
        <v>110</v>
      </c>
      <c r="F162" s="80">
        <f t="shared" si="16"/>
        <v>450</v>
      </c>
      <c r="G162" s="80">
        <f ca="1">IF(AND($C$27&lt;3,B162&gt;3),G161,SUMIF(图纸产出设计!$F$334:$F$342,"&lt;="&amp;B162,图纸产出设计!$C$334:$C$342))</f>
        <v>3890</v>
      </c>
      <c r="H162" s="80">
        <f ca="1">OFFSET(产销汇总!$C$1,MATCH(H$28,产销汇总!$C$2:$C$8,0),$C$27)*(_xlfn.XLOOKUP(C162,主线推图!$B$313:$B$612,主线推图!$G$313:$G$612)+_xlfn.XLOOKUP(C162,主线推图!$B$313:$B$612,主线推图!$H$313:$H$612))</f>
        <v>176</v>
      </c>
      <c r="I162" s="80">
        <f ca="1">OFFSET(产销汇总!$C$1,MATCH(I$28,产销汇总!$C$2:$C$8,0),$C$27)*_xlfn.XLOOKUP(C162,巡逻产出!$B$311:$B$610,巡逻产出!$H$311:$H$610)</f>
        <v>0</v>
      </c>
      <c r="J162" s="80" t="e">
        <f ca="1">OFFSET(产销汇总!$C$1,MATCH(J$28,产销汇总!$C$2:$C$8,0),$C$27)*(_xlfn.XLOOKUP(MAX(1,INT(C162/10-6/10)),组队产出!$B$24:$B$39,组队产出!$J$24:$J$39)+_xlfn.XLOOKUP(MAX(1,INT(C162/10-6/10)),组队产出!$B$24:$B$39,组队产出!$K$24:$K$39))</f>
        <v>#N/A</v>
      </c>
      <c r="K162" s="80">
        <f ca="1">OFFSET(产销汇总!$C$1,MATCH(K$28,产销汇总!$C$2:$C$8,0),$C$27)*_xlfn.XLOOKUP(C162,巡逻产出!$B$311:$B$610,巡逻产出!$I$311:$I$610)*IF($C$27=1,0.5,1)</f>
        <v>312</v>
      </c>
      <c r="L162" s="80">
        <f ca="1">OFFSET(产销汇总!$C$1,MATCH(L$28,产销汇总!$C$2:$C$8,0),$C$27)*竞技场!$C$5</f>
        <v>180</v>
      </c>
      <c r="M162" s="80">
        <f>任务!$C$6+IF(MOD(B162,7)=0,任务!$M$25)</f>
        <v>30</v>
      </c>
      <c r="N162" s="98">
        <f t="shared" si="17"/>
        <v>1.7</v>
      </c>
      <c r="O162" s="80">
        <f t="shared" si="18"/>
        <v>0</v>
      </c>
      <c r="P162" s="172">
        <f ca="1">OFFSET(产销汇总!$C$1,MATCH(P$27,产销汇总!$C$2:$C$8,0),$C$27)/200*协力宝箱!$Q$82</f>
        <v>0</v>
      </c>
      <c r="Q162" s="80">
        <f t="shared" si="19"/>
        <v>10</v>
      </c>
      <c r="R162" s="80">
        <v>10</v>
      </c>
      <c r="S162" s="172">
        <f t="shared" si="21"/>
        <v>100</v>
      </c>
      <c r="T162" s="172">
        <f>(公会!$F$12+公会!$F$13+公会!$F$14+公会!$F$18/7)/2</f>
        <v>121.428571428571</v>
      </c>
      <c r="U162" s="172">
        <f t="shared" si="20"/>
        <v>150</v>
      </c>
      <c r="V162" s="172" t="e">
        <f ca="1">SUM($H$29:U162)+SUM(D162:G162)</f>
        <v>#N/A</v>
      </c>
      <c r="W162" s="132" t="e">
        <f ca="1" t="shared" si="22"/>
        <v>#N/A</v>
      </c>
    </row>
    <row r="163" spans="1:23">
      <c r="A163" s="171"/>
      <c r="B163" s="80">
        <v>135</v>
      </c>
      <c r="C163" s="80">
        <f ca="1">OFFSET(产销汇总!$C$12,$B163,$C$27)</f>
        <v>190.5</v>
      </c>
      <c r="D163" s="80">
        <f ca="1">SUMIF(主线宝箱!$B$321:$B$620,"&lt;="&amp;C163,主线宝箱!$H$321:$H$620)+SUMIF(主线宝箱!$B$321:$B$620,"&lt;="&amp;C163,主线宝箱!$T$321:$T$620)</f>
        <v>7600</v>
      </c>
      <c r="E163" s="80">
        <v>110</v>
      </c>
      <c r="F163" s="80">
        <f t="shared" si="16"/>
        <v>450</v>
      </c>
      <c r="G163" s="80">
        <f ca="1">IF(AND($C$27&lt;3,B163&gt;3),G162,SUMIF(图纸产出设计!$F$334:$F$342,"&lt;="&amp;B163,图纸产出设计!$C$334:$C$342))</f>
        <v>3890</v>
      </c>
      <c r="H163" s="80" t="e">
        <f ca="1">OFFSET(产销汇总!$C$1,MATCH(H$28,产销汇总!$C$2:$C$8,0),$C$27)*(_xlfn.XLOOKUP(C163,主线推图!$B$313:$B$612,主线推图!$G$313:$G$612)+_xlfn.XLOOKUP(C163,主线推图!$B$313:$B$612,主线推图!$H$313:$H$612))</f>
        <v>#N/A</v>
      </c>
      <c r="I163" s="80" t="e">
        <f ca="1">OFFSET(产销汇总!$C$1,MATCH(I$28,产销汇总!$C$2:$C$8,0),$C$27)*_xlfn.XLOOKUP(C163,巡逻产出!$B$311:$B$610,巡逻产出!$H$311:$H$610)</f>
        <v>#N/A</v>
      </c>
      <c r="J163" s="80" t="e">
        <f ca="1">OFFSET(产销汇总!$C$1,MATCH(J$28,产销汇总!$C$2:$C$8,0),$C$27)*(_xlfn.XLOOKUP(MAX(1,INT(C163/10-6/10)),组队产出!$B$24:$B$39,组队产出!$J$24:$J$39)+_xlfn.XLOOKUP(MAX(1,INT(C163/10-6/10)),组队产出!$B$24:$B$39,组队产出!$K$24:$K$39))</f>
        <v>#N/A</v>
      </c>
      <c r="K163" s="80" t="e">
        <f ca="1">OFFSET(产销汇总!$C$1,MATCH(K$28,产销汇总!$C$2:$C$8,0),$C$27)*_xlfn.XLOOKUP(C163,巡逻产出!$B$311:$B$610,巡逻产出!$I$311:$I$610)*IF($C$27=1,0.5,1)</f>
        <v>#N/A</v>
      </c>
      <c r="L163" s="80">
        <f ca="1">OFFSET(产销汇总!$C$1,MATCH(L$28,产销汇总!$C$2:$C$8,0),$C$27)*竞技场!$C$5</f>
        <v>180</v>
      </c>
      <c r="M163" s="80">
        <f>任务!$C$6+IF(MOD(B163,7)=0,任务!$M$25)</f>
        <v>30</v>
      </c>
      <c r="N163" s="98">
        <f t="shared" si="17"/>
        <v>1.7</v>
      </c>
      <c r="O163" s="80">
        <f t="shared" si="18"/>
        <v>10</v>
      </c>
      <c r="P163" s="172">
        <f ca="1">OFFSET(产销汇总!$C$1,MATCH(P$27,产销汇总!$C$2:$C$8,0),$C$27)/200*协力宝箱!$Q$82</f>
        <v>0</v>
      </c>
      <c r="Q163" s="80">
        <f t="shared" si="19"/>
        <v>10</v>
      </c>
      <c r="R163" s="80">
        <v>10</v>
      </c>
      <c r="S163" s="172">
        <f t="shared" si="21"/>
        <v>100</v>
      </c>
      <c r="T163" s="172">
        <f>(公会!$F$12+公会!$F$13+公会!$F$14+公会!$F$18/7)/2</f>
        <v>121.428571428571</v>
      </c>
      <c r="U163" s="172">
        <f t="shared" si="20"/>
        <v>150</v>
      </c>
      <c r="V163" s="172" t="e">
        <f ca="1">SUM($H$29:U163)+SUM(D163:G163)</f>
        <v>#N/A</v>
      </c>
      <c r="W163" s="132" t="e">
        <f ca="1" t="shared" si="22"/>
        <v>#N/A</v>
      </c>
    </row>
    <row r="164" spans="1:23">
      <c r="A164" s="171"/>
      <c r="B164" s="80">
        <v>136</v>
      </c>
      <c r="C164" s="80">
        <f ca="1">OFFSET(产销汇总!$C$12,$B164,$C$27)</f>
        <v>191</v>
      </c>
      <c r="D164" s="80">
        <f ca="1">SUMIF(主线宝箱!$B$321:$B$620,"&lt;="&amp;C164,主线宝箱!$H$321:$H$620)+SUMIF(主线宝箱!$B$321:$B$620,"&lt;="&amp;C164,主线宝箱!$T$321:$T$620)</f>
        <v>7640</v>
      </c>
      <c r="E164" s="80">
        <v>110</v>
      </c>
      <c r="F164" s="80">
        <f t="shared" si="16"/>
        <v>450</v>
      </c>
      <c r="G164" s="80">
        <f ca="1">IF(AND($C$27&lt;3,B164&gt;3),G163,SUMIF(图纸产出设计!$F$334:$F$342,"&lt;="&amp;B164,图纸产出设计!$C$334:$C$342))</f>
        <v>3890</v>
      </c>
      <c r="H164" s="80">
        <f ca="1">OFFSET(产销汇总!$C$1,MATCH(H$28,产销汇总!$C$2:$C$8,0),$C$27)*(_xlfn.XLOOKUP(C164,主线推图!$B$313:$B$612,主线推图!$G$313:$G$612)+_xlfn.XLOOKUP(C164,主线推图!$B$313:$B$612,主线推图!$H$313:$H$612))</f>
        <v>176</v>
      </c>
      <c r="I164" s="80">
        <f ca="1">OFFSET(产销汇总!$C$1,MATCH(I$28,产销汇总!$C$2:$C$8,0),$C$27)*_xlfn.XLOOKUP(C164,巡逻产出!$B$311:$B$610,巡逻产出!$H$311:$H$610)</f>
        <v>0</v>
      </c>
      <c r="J164" s="80" t="e">
        <f ca="1">OFFSET(产销汇总!$C$1,MATCH(J$28,产销汇总!$C$2:$C$8,0),$C$27)*(_xlfn.XLOOKUP(MAX(1,INT(C164/10-6/10)),组队产出!$B$24:$B$39,组队产出!$J$24:$J$39)+_xlfn.XLOOKUP(MAX(1,INT(C164/10-6/10)),组队产出!$B$24:$B$39,组队产出!$K$24:$K$39))</f>
        <v>#N/A</v>
      </c>
      <c r="K164" s="80">
        <f ca="1">OFFSET(产销汇总!$C$1,MATCH(K$28,产销汇总!$C$2:$C$8,0),$C$27)*_xlfn.XLOOKUP(C164,巡逻产出!$B$311:$B$610,巡逻产出!$I$311:$I$610)*IF($C$27=1,0.5,1)</f>
        <v>312</v>
      </c>
      <c r="L164" s="80">
        <f ca="1">OFFSET(产销汇总!$C$1,MATCH(L$28,产销汇总!$C$2:$C$8,0),$C$27)*竞技场!$C$5</f>
        <v>180</v>
      </c>
      <c r="M164" s="80">
        <f>任务!$C$6+IF(MOD(B164,7)=0,任务!$M$25)</f>
        <v>30</v>
      </c>
      <c r="N164" s="98">
        <f t="shared" si="17"/>
        <v>1.7</v>
      </c>
      <c r="O164" s="80">
        <f t="shared" si="18"/>
        <v>0</v>
      </c>
      <c r="P164" s="172">
        <f ca="1">OFFSET(产销汇总!$C$1,MATCH(P$27,产销汇总!$C$2:$C$8,0),$C$27)/200*协力宝箱!$Q$82</f>
        <v>0</v>
      </c>
      <c r="Q164" s="80">
        <f t="shared" si="19"/>
        <v>10</v>
      </c>
      <c r="R164" s="80">
        <v>10</v>
      </c>
      <c r="S164" s="172">
        <f t="shared" si="21"/>
        <v>100</v>
      </c>
      <c r="T164" s="172">
        <f>(公会!$F$12+公会!$F$13+公会!$F$14+公会!$F$18/7)/2</f>
        <v>121.428571428571</v>
      </c>
      <c r="U164" s="172">
        <f t="shared" si="20"/>
        <v>150</v>
      </c>
      <c r="V164" s="172" t="e">
        <f ca="1">SUM($H$29:U164)+SUM(D164:G164)</f>
        <v>#N/A</v>
      </c>
      <c r="W164" s="132" t="e">
        <f ca="1" t="shared" si="22"/>
        <v>#N/A</v>
      </c>
    </row>
    <row r="165" spans="1:23">
      <c r="A165" s="171"/>
      <c r="B165" s="80">
        <v>137</v>
      </c>
      <c r="C165" s="80">
        <f ca="1">OFFSET(产销汇总!$C$12,$B165,$C$27)</f>
        <v>191.5</v>
      </c>
      <c r="D165" s="80">
        <f ca="1">SUMIF(主线宝箱!$B$321:$B$620,"&lt;="&amp;C165,主线宝箱!$H$321:$H$620)+SUMIF(主线宝箱!$B$321:$B$620,"&lt;="&amp;C165,主线宝箱!$T$321:$T$620)</f>
        <v>7640</v>
      </c>
      <c r="E165" s="80">
        <v>110</v>
      </c>
      <c r="F165" s="80">
        <f t="shared" si="16"/>
        <v>450</v>
      </c>
      <c r="G165" s="80">
        <f ca="1">IF(AND($C$27&lt;3,B165&gt;3),G164,SUMIF(图纸产出设计!$F$334:$F$342,"&lt;="&amp;B165,图纸产出设计!$C$334:$C$342))</f>
        <v>3890</v>
      </c>
      <c r="H165" s="80" t="e">
        <f ca="1">OFFSET(产销汇总!$C$1,MATCH(H$28,产销汇总!$C$2:$C$8,0),$C$27)*(_xlfn.XLOOKUP(C165,主线推图!$B$313:$B$612,主线推图!$G$313:$G$612)+_xlfn.XLOOKUP(C165,主线推图!$B$313:$B$612,主线推图!$H$313:$H$612))</f>
        <v>#N/A</v>
      </c>
      <c r="I165" s="80" t="e">
        <f ca="1">OFFSET(产销汇总!$C$1,MATCH(I$28,产销汇总!$C$2:$C$8,0),$C$27)*_xlfn.XLOOKUP(C165,巡逻产出!$B$311:$B$610,巡逻产出!$H$311:$H$610)</f>
        <v>#N/A</v>
      </c>
      <c r="J165" s="80" t="e">
        <f ca="1">OFFSET(产销汇总!$C$1,MATCH(J$28,产销汇总!$C$2:$C$8,0),$C$27)*(_xlfn.XLOOKUP(MAX(1,INT(C165/10-6/10)),组队产出!$B$24:$B$39,组队产出!$J$24:$J$39)+_xlfn.XLOOKUP(MAX(1,INT(C165/10-6/10)),组队产出!$B$24:$B$39,组队产出!$K$24:$K$39))</f>
        <v>#N/A</v>
      </c>
      <c r="K165" s="80" t="e">
        <f ca="1">OFFSET(产销汇总!$C$1,MATCH(K$28,产销汇总!$C$2:$C$8,0),$C$27)*_xlfn.XLOOKUP(C165,巡逻产出!$B$311:$B$610,巡逻产出!$I$311:$I$610)*IF($C$27=1,0.5,1)</f>
        <v>#N/A</v>
      </c>
      <c r="L165" s="80">
        <f ca="1">OFFSET(产销汇总!$C$1,MATCH(L$28,产销汇总!$C$2:$C$8,0),$C$27)*竞技场!$C$5</f>
        <v>180</v>
      </c>
      <c r="M165" s="80">
        <f>任务!$C$6+IF(MOD(B165,7)=0,任务!$M$25)</f>
        <v>30</v>
      </c>
      <c r="N165" s="98">
        <f t="shared" si="17"/>
        <v>1.7</v>
      </c>
      <c r="O165" s="80">
        <f t="shared" si="18"/>
        <v>0</v>
      </c>
      <c r="P165" s="172">
        <f ca="1">OFFSET(产销汇总!$C$1,MATCH(P$27,产销汇总!$C$2:$C$8,0),$C$27)/200*协力宝箱!$Q$82</f>
        <v>0</v>
      </c>
      <c r="Q165" s="80">
        <f t="shared" si="19"/>
        <v>10</v>
      </c>
      <c r="R165" s="80">
        <v>10</v>
      </c>
      <c r="S165" s="172">
        <f t="shared" si="21"/>
        <v>100</v>
      </c>
      <c r="T165" s="172">
        <f>(公会!$F$12+公会!$F$13+公会!$F$14+公会!$F$18/7)/2</f>
        <v>121.428571428571</v>
      </c>
      <c r="U165" s="172">
        <f t="shared" si="20"/>
        <v>150</v>
      </c>
      <c r="V165" s="172" t="e">
        <f ca="1">SUM($H$29:U165)+SUM(D165:G165)</f>
        <v>#N/A</v>
      </c>
      <c r="W165" s="132" t="e">
        <f ca="1" t="shared" si="22"/>
        <v>#N/A</v>
      </c>
    </row>
    <row r="166" spans="1:23">
      <c r="A166" s="171"/>
      <c r="B166" s="80">
        <v>138</v>
      </c>
      <c r="C166" s="80">
        <f ca="1">OFFSET(产销汇总!$C$12,$B166,$C$27)</f>
        <v>192</v>
      </c>
      <c r="D166" s="80">
        <f ca="1">SUMIF(主线宝箱!$B$321:$B$620,"&lt;="&amp;C166,主线宝箱!$H$321:$H$620)+SUMIF(主线宝箱!$B$321:$B$620,"&lt;="&amp;C166,主线宝箱!$T$321:$T$620)</f>
        <v>7680</v>
      </c>
      <c r="E166" s="80">
        <v>110</v>
      </c>
      <c r="F166" s="80">
        <f t="shared" si="16"/>
        <v>450</v>
      </c>
      <c r="G166" s="80">
        <f ca="1">IF(AND($C$27&lt;3,B166&gt;3),G165,SUMIF(图纸产出设计!$F$334:$F$342,"&lt;="&amp;B166,图纸产出设计!$C$334:$C$342))</f>
        <v>3890</v>
      </c>
      <c r="H166" s="80">
        <f ca="1">OFFSET(产销汇总!$C$1,MATCH(H$28,产销汇总!$C$2:$C$8,0),$C$27)*(_xlfn.XLOOKUP(C166,主线推图!$B$313:$B$612,主线推图!$G$313:$G$612)+_xlfn.XLOOKUP(C166,主线推图!$B$313:$B$612,主线推图!$H$313:$H$612))</f>
        <v>176</v>
      </c>
      <c r="I166" s="80">
        <f ca="1">OFFSET(产销汇总!$C$1,MATCH(I$28,产销汇总!$C$2:$C$8,0),$C$27)*_xlfn.XLOOKUP(C166,巡逻产出!$B$311:$B$610,巡逻产出!$H$311:$H$610)</f>
        <v>0</v>
      </c>
      <c r="J166" s="80" t="e">
        <f ca="1">OFFSET(产销汇总!$C$1,MATCH(J$28,产销汇总!$C$2:$C$8,0),$C$27)*(_xlfn.XLOOKUP(MAX(1,INT(C166/10-6/10)),组队产出!$B$24:$B$39,组队产出!$J$24:$J$39)+_xlfn.XLOOKUP(MAX(1,INT(C166/10-6/10)),组队产出!$B$24:$B$39,组队产出!$K$24:$K$39))</f>
        <v>#N/A</v>
      </c>
      <c r="K166" s="80">
        <f ca="1">OFFSET(产销汇总!$C$1,MATCH(K$28,产销汇总!$C$2:$C$8,0),$C$27)*_xlfn.XLOOKUP(C166,巡逻产出!$B$311:$B$610,巡逻产出!$I$311:$I$610)*IF($C$27=1,0.5,1)</f>
        <v>312</v>
      </c>
      <c r="L166" s="80">
        <f ca="1">OFFSET(产销汇总!$C$1,MATCH(L$28,产销汇总!$C$2:$C$8,0),$C$27)*竞技场!$C$5</f>
        <v>180</v>
      </c>
      <c r="M166" s="80">
        <f>任务!$C$6+IF(MOD(B166,7)=0,任务!$M$25)</f>
        <v>30</v>
      </c>
      <c r="N166" s="98">
        <f t="shared" si="17"/>
        <v>1.7</v>
      </c>
      <c r="O166" s="80">
        <f t="shared" si="18"/>
        <v>10</v>
      </c>
      <c r="P166" s="172">
        <f ca="1">OFFSET(产销汇总!$C$1,MATCH(P$27,产销汇总!$C$2:$C$8,0),$C$27)/200*协力宝箱!$Q$82</f>
        <v>0</v>
      </c>
      <c r="Q166" s="80">
        <f t="shared" si="19"/>
        <v>10</v>
      </c>
      <c r="R166" s="80">
        <v>10</v>
      </c>
      <c r="S166" s="172">
        <f t="shared" si="21"/>
        <v>100</v>
      </c>
      <c r="T166" s="172">
        <f>(公会!$F$12+公会!$F$13+公会!$F$14+公会!$F$18/7)/2</f>
        <v>121.428571428571</v>
      </c>
      <c r="U166" s="172">
        <f t="shared" si="20"/>
        <v>150</v>
      </c>
      <c r="V166" s="172" t="e">
        <f ca="1">SUM($H$29:U166)+SUM(D166:G166)</f>
        <v>#N/A</v>
      </c>
      <c r="W166" s="132" t="e">
        <f ca="1" t="shared" si="22"/>
        <v>#N/A</v>
      </c>
    </row>
    <row r="167" spans="1:23">
      <c r="A167" s="171"/>
      <c r="B167" s="80">
        <v>139</v>
      </c>
      <c r="C167" s="80">
        <f ca="1">OFFSET(产销汇总!$C$12,$B167,$C$27)</f>
        <v>192.5</v>
      </c>
      <c r="D167" s="80">
        <f ca="1">SUMIF(主线宝箱!$B$321:$B$620,"&lt;="&amp;C167,主线宝箱!$H$321:$H$620)+SUMIF(主线宝箱!$B$321:$B$620,"&lt;="&amp;C167,主线宝箱!$T$321:$T$620)</f>
        <v>7680</v>
      </c>
      <c r="E167" s="80">
        <v>110</v>
      </c>
      <c r="F167" s="80">
        <f t="shared" si="16"/>
        <v>450</v>
      </c>
      <c r="G167" s="80">
        <f ca="1">IF(AND($C$27&lt;3,B167&gt;3),G166,SUMIF(图纸产出设计!$F$334:$F$342,"&lt;="&amp;B167,图纸产出设计!$C$334:$C$342))</f>
        <v>3890</v>
      </c>
      <c r="H167" s="80" t="e">
        <f ca="1">OFFSET(产销汇总!$C$1,MATCH(H$28,产销汇总!$C$2:$C$8,0),$C$27)*(_xlfn.XLOOKUP(C167,主线推图!$B$313:$B$612,主线推图!$G$313:$G$612)+_xlfn.XLOOKUP(C167,主线推图!$B$313:$B$612,主线推图!$H$313:$H$612))</f>
        <v>#N/A</v>
      </c>
      <c r="I167" s="80" t="e">
        <f ca="1">OFFSET(产销汇总!$C$1,MATCH(I$28,产销汇总!$C$2:$C$8,0),$C$27)*_xlfn.XLOOKUP(C167,巡逻产出!$B$311:$B$610,巡逻产出!$H$311:$H$610)</f>
        <v>#N/A</v>
      </c>
      <c r="J167" s="80" t="e">
        <f ca="1">OFFSET(产销汇总!$C$1,MATCH(J$28,产销汇总!$C$2:$C$8,0),$C$27)*(_xlfn.XLOOKUP(MAX(1,INT(C167/10-6/10)),组队产出!$B$24:$B$39,组队产出!$J$24:$J$39)+_xlfn.XLOOKUP(MAX(1,INT(C167/10-6/10)),组队产出!$B$24:$B$39,组队产出!$K$24:$K$39))</f>
        <v>#N/A</v>
      </c>
      <c r="K167" s="80" t="e">
        <f ca="1">OFFSET(产销汇总!$C$1,MATCH(K$28,产销汇总!$C$2:$C$8,0),$C$27)*_xlfn.XLOOKUP(C167,巡逻产出!$B$311:$B$610,巡逻产出!$I$311:$I$610)*IF($C$27=1,0.5,1)</f>
        <v>#N/A</v>
      </c>
      <c r="L167" s="80">
        <f ca="1">OFFSET(产销汇总!$C$1,MATCH(L$28,产销汇总!$C$2:$C$8,0),$C$27)*竞技场!$C$5</f>
        <v>180</v>
      </c>
      <c r="M167" s="80">
        <f>任务!$C$6+IF(MOD(B167,7)=0,任务!$M$25)</f>
        <v>30</v>
      </c>
      <c r="N167" s="98">
        <f t="shared" si="17"/>
        <v>1.7</v>
      </c>
      <c r="O167" s="80">
        <f t="shared" si="18"/>
        <v>0</v>
      </c>
      <c r="P167" s="172">
        <f ca="1">OFFSET(产销汇总!$C$1,MATCH(P$27,产销汇总!$C$2:$C$8,0),$C$27)/200*协力宝箱!$Q$82</f>
        <v>0</v>
      </c>
      <c r="Q167" s="80">
        <f t="shared" si="19"/>
        <v>10</v>
      </c>
      <c r="R167" s="80">
        <v>10</v>
      </c>
      <c r="S167" s="172">
        <f t="shared" si="21"/>
        <v>100</v>
      </c>
      <c r="T167" s="172">
        <f>(公会!$F$12+公会!$F$13+公会!$F$14+公会!$F$18/7)/2</f>
        <v>121.428571428571</v>
      </c>
      <c r="U167" s="172">
        <f t="shared" si="20"/>
        <v>150</v>
      </c>
      <c r="V167" s="172" t="e">
        <f ca="1">SUM($H$29:U167)+SUM(D167:G167)</f>
        <v>#N/A</v>
      </c>
      <c r="W167" s="132" t="e">
        <f ca="1" t="shared" si="22"/>
        <v>#N/A</v>
      </c>
    </row>
    <row r="168" spans="1:23">
      <c r="A168" s="171"/>
      <c r="B168" s="80">
        <v>140</v>
      </c>
      <c r="C168" s="80">
        <f ca="1">OFFSET(产销汇总!$C$12,$B168,$C$27)</f>
        <v>193</v>
      </c>
      <c r="D168" s="80">
        <f ca="1">SUMIF(主线宝箱!$B$321:$B$620,"&lt;="&amp;C168,主线宝箱!$H$321:$H$620)+SUMIF(主线宝箱!$B$321:$B$620,"&lt;="&amp;C168,主线宝箱!$T$321:$T$620)</f>
        <v>7720</v>
      </c>
      <c r="E168" s="80">
        <v>110</v>
      </c>
      <c r="F168" s="80">
        <f t="shared" si="16"/>
        <v>450</v>
      </c>
      <c r="G168" s="80">
        <f ca="1">IF(AND($C$27&lt;3,B168&gt;3),G167,SUMIF(图纸产出设计!$F$334:$F$342,"&lt;="&amp;B168,图纸产出设计!$C$334:$C$342))</f>
        <v>3890</v>
      </c>
      <c r="H168" s="80">
        <f ca="1">OFFSET(产销汇总!$C$1,MATCH(H$28,产销汇总!$C$2:$C$8,0),$C$27)*(_xlfn.XLOOKUP(C168,主线推图!$B$313:$B$612,主线推图!$G$313:$G$612)+_xlfn.XLOOKUP(C168,主线推图!$B$313:$B$612,主线推图!$H$313:$H$612))</f>
        <v>176</v>
      </c>
      <c r="I168" s="80">
        <f ca="1">OFFSET(产销汇总!$C$1,MATCH(I$28,产销汇总!$C$2:$C$8,0),$C$27)*_xlfn.XLOOKUP(C168,巡逻产出!$B$311:$B$610,巡逻产出!$H$311:$H$610)</f>
        <v>0</v>
      </c>
      <c r="J168" s="80" t="e">
        <f ca="1">OFFSET(产销汇总!$C$1,MATCH(J$28,产销汇总!$C$2:$C$8,0),$C$27)*(_xlfn.XLOOKUP(MAX(1,INT(C168/10-6/10)),组队产出!$B$24:$B$39,组队产出!$J$24:$J$39)+_xlfn.XLOOKUP(MAX(1,INT(C168/10-6/10)),组队产出!$B$24:$B$39,组队产出!$K$24:$K$39))</f>
        <v>#N/A</v>
      </c>
      <c r="K168" s="80">
        <f ca="1">OFFSET(产销汇总!$C$1,MATCH(K$28,产销汇总!$C$2:$C$8,0),$C$27)*_xlfn.XLOOKUP(C168,巡逻产出!$B$311:$B$610,巡逻产出!$I$311:$I$610)*IF($C$27=1,0.5,1)</f>
        <v>312</v>
      </c>
      <c r="L168" s="80">
        <f ca="1">OFFSET(产销汇总!$C$1,MATCH(L$28,产销汇总!$C$2:$C$8,0),$C$27)*竞技场!$C$5</f>
        <v>180</v>
      </c>
      <c r="M168" s="80">
        <f>任务!$C$6+IF(MOD(B168,7)=0,任务!$M$25)</f>
        <v>60</v>
      </c>
      <c r="N168" s="98">
        <f t="shared" si="17"/>
        <v>1.7</v>
      </c>
      <c r="O168" s="80">
        <f t="shared" si="18"/>
        <v>0</v>
      </c>
      <c r="P168" s="172">
        <f ca="1">OFFSET(产销汇总!$C$1,MATCH(P$27,产销汇总!$C$2:$C$8,0),$C$27)/200*协力宝箱!$Q$82</f>
        <v>0</v>
      </c>
      <c r="Q168" s="80">
        <f t="shared" si="19"/>
        <v>10</v>
      </c>
      <c r="R168" s="80">
        <v>10</v>
      </c>
      <c r="S168" s="172">
        <f t="shared" si="21"/>
        <v>100</v>
      </c>
      <c r="T168" s="172">
        <f>(公会!$F$12+公会!$F$13+公会!$F$14+公会!$F$18/7)/2</f>
        <v>121.428571428571</v>
      </c>
      <c r="U168" s="172">
        <f t="shared" si="20"/>
        <v>150</v>
      </c>
      <c r="V168" s="172" t="e">
        <f ca="1">SUM($H$29:U168)+SUM(D168:G168)</f>
        <v>#N/A</v>
      </c>
      <c r="W168" s="132" t="e">
        <f ca="1" t="shared" si="22"/>
        <v>#N/A</v>
      </c>
    </row>
    <row r="169" spans="1:23">
      <c r="A169" s="171"/>
      <c r="B169" s="80">
        <v>141</v>
      </c>
      <c r="C169" s="80">
        <f ca="1">OFFSET(产销汇总!$C$12,$B169,$C$27)</f>
        <v>193.5</v>
      </c>
      <c r="D169" s="80">
        <f ca="1">SUMIF(主线宝箱!$B$321:$B$620,"&lt;="&amp;C169,主线宝箱!$H$321:$H$620)+SUMIF(主线宝箱!$B$321:$B$620,"&lt;="&amp;C169,主线宝箱!$T$321:$T$620)</f>
        <v>7720</v>
      </c>
      <c r="E169" s="80">
        <v>110</v>
      </c>
      <c r="F169" s="80">
        <f t="shared" si="16"/>
        <v>450</v>
      </c>
      <c r="G169" s="80">
        <f ca="1">IF(AND($C$27&lt;3,B169&gt;3),G168,SUMIF(图纸产出设计!$F$334:$F$342,"&lt;="&amp;B169,图纸产出设计!$C$334:$C$342))</f>
        <v>3890</v>
      </c>
      <c r="H169" s="80" t="e">
        <f ca="1">OFFSET(产销汇总!$C$1,MATCH(H$28,产销汇总!$C$2:$C$8,0),$C$27)*(_xlfn.XLOOKUP(C169,主线推图!$B$313:$B$612,主线推图!$G$313:$G$612)+_xlfn.XLOOKUP(C169,主线推图!$B$313:$B$612,主线推图!$H$313:$H$612))</f>
        <v>#N/A</v>
      </c>
      <c r="I169" s="80" t="e">
        <f ca="1">OFFSET(产销汇总!$C$1,MATCH(I$28,产销汇总!$C$2:$C$8,0),$C$27)*_xlfn.XLOOKUP(C169,巡逻产出!$B$311:$B$610,巡逻产出!$H$311:$H$610)</f>
        <v>#N/A</v>
      </c>
      <c r="J169" s="80" t="e">
        <f ca="1">OFFSET(产销汇总!$C$1,MATCH(J$28,产销汇总!$C$2:$C$8,0),$C$27)*(_xlfn.XLOOKUP(MAX(1,INT(C169/10-6/10)),组队产出!$B$24:$B$39,组队产出!$J$24:$J$39)+_xlfn.XLOOKUP(MAX(1,INT(C169/10-6/10)),组队产出!$B$24:$B$39,组队产出!$K$24:$K$39))</f>
        <v>#N/A</v>
      </c>
      <c r="K169" s="80" t="e">
        <f ca="1">OFFSET(产销汇总!$C$1,MATCH(K$28,产销汇总!$C$2:$C$8,0),$C$27)*_xlfn.XLOOKUP(C169,巡逻产出!$B$311:$B$610,巡逻产出!$I$311:$I$610)*IF($C$27=1,0.5,1)</f>
        <v>#N/A</v>
      </c>
      <c r="L169" s="80">
        <f ca="1">OFFSET(产销汇总!$C$1,MATCH(L$28,产销汇总!$C$2:$C$8,0),$C$27)*竞技场!$C$5</f>
        <v>180</v>
      </c>
      <c r="M169" s="80">
        <f>任务!$C$6+IF(MOD(B169,7)=0,任务!$M$25)</f>
        <v>30</v>
      </c>
      <c r="N169" s="98">
        <f t="shared" si="17"/>
        <v>1.7</v>
      </c>
      <c r="O169" s="80">
        <f t="shared" si="18"/>
        <v>0</v>
      </c>
      <c r="P169" s="172">
        <f ca="1">OFFSET(产销汇总!$C$1,MATCH(P$27,产销汇总!$C$2:$C$8,0),$C$27)/200*协力宝箱!$Q$82</f>
        <v>0</v>
      </c>
      <c r="Q169" s="80">
        <f t="shared" si="19"/>
        <v>10</v>
      </c>
      <c r="R169" s="80">
        <v>10</v>
      </c>
      <c r="S169" s="172">
        <f t="shared" si="21"/>
        <v>100</v>
      </c>
      <c r="T169" s="172">
        <f>(公会!$F$12+公会!$F$13+公会!$F$14+公会!$F$18/7)/2</f>
        <v>121.428571428571</v>
      </c>
      <c r="U169" s="172">
        <f t="shared" si="20"/>
        <v>150</v>
      </c>
      <c r="V169" s="172" t="e">
        <f ca="1">SUM($H$29:U169)+SUM(D169:G169)</f>
        <v>#N/A</v>
      </c>
      <c r="W169" s="132" t="e">
        <f ca="1" t="shared" si="22"/>
        <v>#N/A</v>
      </c>
    </row>
    <row r="170" spans="1:23">
      <c r="A170" s="171"/>
      <c r="B170" s="80">
        <v>142</v>
      </c>
      <c r="C170" s="80">
        <f ca="1">OFFSET(产销汇总!$C$12,$B170,$C$27)</f>
        <v>194</v>
      </c>
      <c r="D170" s="80">
        <f ca="1">SUMIF(主线宝箱!$B$321:$B$620,"&lt;="&amp;C170,主线宝箱!$H$321:$H$620)+SUMIF(主线宝箱!$B$321:$B$620,"&lt;="&amp;C170,主线宝箱!$T$321:$T$620)</f>
        <v>7760</v>
      </c>
      <c r="E170" s="80">
        <v>110</v>
      </c>
      <c r="F170" s="80">
        <f t="shared" si="16"/>
        <v>450</v>
      </c>
      <c r="G170" s="80">
        <f ca="1">IF(AND($C$27&lt;3,B170&gt;3),G169,SUMIF(图纸产出设计!$F$334:$F$342,"&lt;="&amp;B170,图纸产出设计!$C$334:$C$342))</f>
        <v>3890</v>
      </c>
      <c r="H170" s="80">
        <f ca="1">OFFSET(产销汇总!$C$1,MATCH(H$28,产销汇总!$C$2:$C$8,0),$C$27)*(_xlfn.XLOOKUP(C170,主线推图!$B$313:$B$612,主线推图!$G$313:$G$612)+_xlfn.XLOOKUP(C170,主线推图!$B$313:$B$612,主线推图!$H$313:$H$612))</f>
        <v>176</v>
      </c>
      <c r="I170" s="80">
        <f ca="1">OFFSET(产销汇总!$C$1,MATCH(I$28,产销汇总!$C$2:$C$8,0),$C$27)*_xlfn.XLOOKUP(C170,巡逻产出!$B$311:$B$610,巡逻产出!$H$311:$H$610)</f>
        <v>0</v>
      </c>
      <c r="J170" s="80" t="e">
        <f ca="1">OFFSET(产销汇总!$C$1,MATCH(J$28,产销汇总!$C$2:$C$8,0),$C$27)*(_xlfn.XLOOKUP(MAX(1,INT(C170/10-6/10)),组队产出!$B$24:$B$39,组队产出!$J$24:$J$39)+_xlfn.XLOOKUP(MAX(1,INT(C170/10-6/10)),组队产出!$B$24:$B$39,组队产出!$K$24:$K$39))</f>
        <v>#N/A</v>
      </c>
      <c r="K170" s="80">
        <f ca="1">OFFSET(产销汇总!$C$1,MATCH(K$28,产销汇总!$C$2:$C$8,0),$C$27)*_xlfn.XLOOKUP(C170,巡逻产出!$B$311:$B$610,巡逻产出!$I$311:$I$610)*IF($C$27=1,0.5,1)</f>
        <v>312</v>
      </c>
      <c r="L170" s="80">
        <f ca="1">OFFSET(产销汇总!$C$1,MATCH(L$28,产销汇总!$C$2:$C$8,0),$C$27)*竞技场!$C$5</f>
        <v>180</v>
      </c>
      <c r="M170" s="80">
        <f>任务!$C$6+IF(MOD(B170,7)=0,任务!$M$25)</f>
        <v>30</v>
      </c>
      <c r="N170" s="98">
        <f t="shared" si="17"/>
        <v>1.7</v>
      </c>
      <c r="O170" s="80">
        <f t="shared" si="18"/>
        <v>10</v>
      </c>
      <c r="P170" s="172">
        <f ca="1">OFFSET(产销汇总!$C$1,MATCH(P$27,产销汇总!$C$2:$C$8,0),$C$27)/200*协力宝箱!$Q$82</f>
        <v>0</v>
      </c>
      <c r="Q170" s="80">
        <f t="shared" si="19"/>
        <v>10</v>
      </c>
      <c r="R170" s="80">
        <v>10</v>
      </c>
      <c r="S170" s="172">
        <f t="shared" si="21"/>
        <v>100</v>
      </c>
      <c r="T170" s="172">
        <f>(公会!$F$12+公会!$F$13+公会!$F$14+公会!$F$18/7)/2</f>
        <v>121.428571428571</v>
      </c>
      <c r="U170" s="172">
        <f t="shared" si="20"/>
        <v>150</v>
      </c>
      <c r="V170" s="172" t="e">
        <f ca="1">SUM($H$29:U170)+SUM(D170:G170)</f>
        <v>#N/A</v>
      </c>
      <c r="W170" s="132" t="e">
        <f ca="1" t="shared" si="22"/>
        <v>#N/A</v>
      </c>
    </row>
    <row r="171" spans="1:23">
      <c r="A171" s="171"/>
      <c r="B171" s="80">
        <v>143</v>
      </c>
      <c r="C171" s="80">
        <f ca="1">OFFSET(产销汇总!$C$12,$B171,$C$27)</f>
        <v>194.5</v>
      </c>
      <c r="D171" s="80">
        <f ca="1">SUMIF(主线宝箱!$B$321:$B$620,"&lt;="&amp;C171,主线宝箱!$H$321:$H$620)+SUMIF(主线宝箱!$B$321:$B$620,"&lt;="&amp;C171,主线宝箱!$T$321:$T$620)</f>
        <v>7760</v>
      </c>
      <c r="E171" s="80">
        <v>110</v>
      </c>
      <c r="F171" s="80">
        <f t="shared" si="16"/>
        <v>450</v>
      </c>
      <c r="G171" s="80">
        <f ca="1">IF(AND($C$27&lt;3,B171&gt;3),G170,SUMIF(图纸产出设计!$F$334:$F$342,"&lt;="&amp;B171,图纸产出设计!$C$334:$C$342))</f>
        <v>3890</v>
      </c>
      <c r="H171" s="80" t="e">
        <f ca="1">OFFSET(产销汇总!$C$1,MATCH(H$28,产销汇总!$C$2:$C$8,0),$C$27)*(_xlfn.XLOOKUP(C171,主线推图!$B$313:$B$612,主线推图!$G$313:$G$612)+_xlfn.XLOOKUP(C171,主线推图!$B$313:$B$612,主线推图!$H$313:$H$612))</f>
        <v>#N/A</v>
      </c>
      <c r="I171" s="80" t="e">
        <f ca="1">OFFSET(产销汇总!$C$1,MATCH(I$28,产销汇总!$C$2:$C$8,0),$C$27)*_xlfn.XLOOKUP(C171,巡逻产出!$B$311:$B$610,巡逻产出!$H$311:$H$610)</f>
        <v>#N/A</v>
      </c>
      <c r="J171" s="80" t="e">
        <f ca="1">OFFSET(产销汇总!$C$1,MATCH(J$28,产销汇总!$C$2:$C$8,0),$C$27)*(_xlfn.XLOOKUP(MAX(1,INT(C171/10-6/10)),组队产出!$B$24:$B$39,组队产出!$J$24:$J$39)+_xlfn.XLOOKUP(MAX(1,INT(C171/10-6/10)),组队产出!$B$24:$B$39,组队产出!$K$24:$K$39))</f>
        <v>#N/A</v>
      </c>
      <c r="K171" s="80" t="e">
        <f ca="1">OFFSET(产销汇总!$C$1,MATCH(K$28,产销汇总!$C$2:$C$8,0),$C$27)*_xlfn.XLOOKUP(C171,巡逻产出!$B$311:$B$610,巡逻产出!$I$311:$I$610)*IF($C$27=1,0.5,1)</f>
        <v>#N/A</v>
      </c>
      <c r="L171" s="80">
        <f ca="1">OFFSET(产销汇总!$C$1,MATCH(L$28,产销汇总!$C$2:$C$8,0),$C$27)*竞技场!$C$5</f>
        <v>180</v>
      </c>
      <c r="M171" s="80">
        <f>任务!$C$6+IF(MOD(B171,7)=0,任务!$M$25)</f>
        <v>30</v>
      </c>
      <c r="N171" s="98">
        <f t="shared" si="17"/>
        <v>1.7</v>
      </c>
      <c r="O171" s="80">
        <f t="shared" si="18"/>
        <v>0</v>
      </c>
      <c r="P171" s="172">
        <f ca="1">OFFSET(产销汇总!$C$1,MATCH(P$27,产销汇总!$C$2:$C$8,0),$C$27)/200*协力宝箱!$Q$82</f>
        <v>0</v>
      </c>
      <c r="Q171" s="80">
        <f t="shared" si="19"/>
        <v>10</v>
      </c>
      <c r="R171" s="80">
        <v>10</v>
      </c>
      <c r="S171" s="172">
        <f t="shared" si="21"/>
        <v>100</v>
      </c>
      <c r="T171" s="172">
        <f>(公会!$F$12+公会!$F$13+公会!$F$14+公会!$F$18/7)/2</f>
        <v>121.428571428571</v>
      </c>
      <c r="U171" s="172">
        <f t="shared" si="20"/>
        <v>150</v>
      </c>
      <c r="V171" s="172" t="e">
        <f ca="1">SUM($H$29:U171)+SUM(D171:G171)</f>
        <v>#N/A</v>
      </c>
      <c r="W171" s="132" t="e">
        <f ca="1" t="shared" si="22"/>
        <v>#N/A</v>
      </c>
    </row>
    <row r="172" spans="1:23">
      <c r="A172" s="171"/>
      <c r="B172" s="80">
        <v>144</v>
      </c>
      <c r="C172" s="80">
        <f ca="1">OFFSET(产销汇总!$C$12,$B172,$C$27)</f>
        <v>195</v>
      </c>
      <c r="D172" s="80">
        <f ca="1">SUMIF(主线宝箱!$B$321:$B$620,"&lt;="&amp;C172,主线宝箱!$H$321:$H$620)+SUMIF(主线宝箱!$B$321:$B$620,"&lt;="&amp;C172,主线宝箱!$T$321:$T$620)</f>
        <v>7800</v>
      </c>
      <c r="E172" s="80">
        <v>110</v>
      </c>
      <c r="F172" s="80">
        <f t="shared" si="16"/>
        <v>450</v>
      </c>
      <c r="G172" s="80">
        <f ca="1">IF(AND($C$27&lt;3,B172&gt;3),G171,SUMIF(图纸产出设计!$F$334:$F$342,"&lt;="&amp;B172,图纸产出设计!$C$334:$C$342))</f>
        <v>3890</v>
      </c>
      <c r="H172" s="80">
        <f ca="1">OFFSET(产销汇总!$C$1,MATCH(H$28,产销汇总!$C$2:$C$8,0),$C$27)*(_xlfn.XLOOKUP(C172,主线推图!$B$313:$B$612,主线推图!$G$313:$G$612)+_xlfn.XLOOKUP(C172,主线推图!$B$313:$B$612,主线推图!$H$313:$H$612))</f>
        <v>176</v>
      </c>
      <c r="I172" s="80">
        <f ca="1">OFFSET(产销汇总!$C$1,MATCH(I$28,产销汇总!$C$2:$C$8,0),$C$27)*_xlfn.XLOOKUP(C172,巡逻产出!$B$311:$B$610,巡逻产出!$H$311:$H$610)</f>
        <v>0</v>
      </c>
      <c r="J172" s="80" t="e">
        <f ca="1">OFFSET(产销汇总!$C$1,MATCH(J$28,产销汇总!$C$2:$C$8,0),$C$27)*(_xlfn.XLOOKUP(MAX(1,INT(C172/10-6/10)),组队产出!$B$24:$B$39,组队产出!$J$24:$J$39)+_xlfn.XLOOKUP(MAX(1,INT(C172/10-6/10)),组队产出!$B$24:$B$39,组队产出!$K$24:$K$39))</f>
        <v>#N/A</v>
      </c>
      <c r="K172" s="80">
        <f ca="1">OFFSET(产销汇总!$C$1,MATCH(K$28,产销汇总!$C$2:$C$8,0),$C$27)*_xlfn.XLOOKUP(C172,巡逻产出!$B$311:$B$610,巡逻产出!$I$311:$I$610)*IF($C$27=1,0.5,1)</f>
        <v>312</v>
      </c>
      <c r="L172" s="80">
        <f ca="1">OFFSET(产销汇总!$C$1,MATCH(L$28,产销汇总!$C$2:$C$8,0),$C$27)*竞技场!$C$5</f>
        <v>180</v>
      </c>
      <c r="M172" s="80">
        <f>任务!$C$6+IF(MOD(B172,7)=0,任务!$M$25)</f>
        <v>30</v>
      </c>
      <c r="N172" s="98">
        <f t="shared" si="17"/>
        <v>1.7</v>
      </c>
      <c r="O172" s="80">
        <f t="shared" si="18"/>
        <v>0</v>
      </c>
      <c r="P172" s="172">
        <f ca="1">OFFSET(产销汇总!$C$1,MATCH(P$27,产销汇总!$C$2:$C$8,0),$C$27)/200*协力宝箱!$Q$82</f>
        <v>0</v>
      </c>
      <c r="Q172" s="80">
        <f t="shared" si="19"/>
        <v>10</v>
      </c>
      <c r="R172" s="80">
        <v>10</v>
      </c>
      <c r="S172" s="172">
        <f t="shared" si="21"/>
        <v>100</v>
      </c>
      <c r="T172" s="172">
        <f>(公会!$F$12+公会!$F$13+公会!$F$14+公会!$F$18/7)/2</f>
        <v>121.428571428571</v>
      </c>
      <c r="U172" s="172">
        <f t="shared" si="20"/>
        <v>150</v>
      </c>
      <c r="V172" s="172" t="e">
        <f ca="1">SUM($H$29:U172)+SUM(D172:G172)</f>
        <v>#N/A</v>
      </c>
      <c r="W172" s="132" t="e">
        <f ca="1" t="shared" si="22"/>
        <v>#N/A</v>
      </c>
    </row>
    <row r="173" spans="1:23">
      <c r="A173" s="171"/>
      <c r="B173" s="80">
        <v>145</v>
      </c>
      <c r="C173" s="80">
        <f ca="1">OFFSET(产销汇总!$C$12,$B173,$C$27)</f>
        <v>195.5</v>
      </c>
      <c r="D173" s="80">
        <f ca="1">SUMIF(主线宝箱!$B$321:$B$620,"&lt;="&amp;C173,主线宝箱!$H$321:$H$620)+SUMIF(主线宝箱!$B$321:$B$620,"&lt;="&amp;C173,主线宝箱!$T$321:$T$620)</f>
        <v>7800</v>
      </c>
      <c r="E173" s="80">
        <v>110</v>
      </c>
      <c r="F173" s="80">
        <f t="shared" ref="F173:F236" si="23">F172</f>
        <v>450</v>
      </c>
      <c r="G173" s="80">
        <f ca="1">IF(AND($C$27&lt;3,B173&gt;3),G172,SUMIF(图纸产出设计!$F$334:$F$342,"&lt;="&amp;B173,图纸产出设计!$C$334:$C$342))</f>
        <v>3890</v>
      </c>
      <c r="H173" s="80" t="e">
        <f ca="1">OFFSET(产销汇总!$C$1,MATCH(H$28,产销汇总!$C$2:$C$8,0),$C$27)*(_xlfn.XLOOKUP(C173,主线推图!$B$313:$B$612,主线推图!$G$313:$G$612)+_xlfn.XLOOKUP(C173,主线推图!$B$313:$B$612,主线推图!$H$313:$H$612))</f>
        <v>#N/A</v>
      </c>
      <c r="I173" s="80" t="e">
        <f ca="1">OFFSET(产销汇总!$C$1,MATCH(I$28,产销汇总!$C$2:$C$8,0),$C$27)*_xlfn.XLOOKUP(C173,巡逻产出!$B$311:$B$610,巡逻产出!$H$311:$H$610)</f>
        <v>#N/A</v>
      </c>
      <c r="J173" s="80" t="e">
        <f ca="1">OFFSET(产销汇总!$C$1,MATCH(J$28,产销汇总!$C$2:$C$8,0),$C$27)*(_xlfn.XLOOKUP(MAX(1,INT(C173/10-6/10)),组队产出!$B$24:$B$39,组队产出!$J$24:$J$39)+_xlfn.XLOOKUP(MAX(1,INT(C173/10-6/10)),组队产出!$B$24:$B$39,组队产出!$K$24:$K$39))</f>
        <v>#N/A</v>
      </c>
      <c r="K173" s="80" t="e">
        <f ca="1">OFFSET(产销汇总!$C$1,MATCH(K$28,产销汇总!$C$2:$C$8,0),$C$27)*_xlfn.XLOOKUP(C173,巡逻产出!$B$311:$B$610,巡逻产出!$I$311:$I$610)*IF($C$27=1,0.5,1)</f>
        <v>#N/A</v>
      </c>
      <c r="L173" s="80">
        <f ca="1">OFFSET(产销汇总!$C$1,MATCH(L$28,产销汇总!$C$2:$C$8,0),$C$27)*竞技场!$C$5</f>
        <v>180</v>
      </c>
      <c r="M173" s="80">
        <f>任务!$C$6+IF(MOD(B173,7)=0,任务!$M$25)</f>
        <v>30</v>
      </c>
      <c r="N173" s="98">
        <f t="shared" si="17"/>
        <v>1.7</v>
      </c>
      <c r="O173" s="80">
        <f t="shared" si="18"/>
        <v>10</v>
      </c>
      <c r="P173" s="172">
        <f ca="1">OFFSET(产销汇总!$C$1,MATCH(P$27,产销汇总!$C$2:$C$8,0),$C$27)/200*协力宝箱!$Q$82</f>
        <v>0</v>
      </c>
      <c r="Q173" s="80">
        <f t="shared" si="19"/>
        <v>10</v>
      </c>
      <c r="R173" s="80">
        <v>10</v>
      </c>
      <c r="S173" s="172">
        <f t="shared" si="21"/>
        <v>100</v>
      </c>
      <c r="T173" s="172">
        <f>(公会!$F$12+公会!$F$13+公会!$F$14+公会!$F$18/7)/2</f>
        <v>121.428571428571</v>
      </c>
      <c r="U173" s="172">
        <f t="shared" si="20"/>
        <v>150</v>
      </c>
      <c r="V173" s="172" t="e">
        <f ca="1">SUM($H$29:U173)+SUM(D173:G173)</f>
        <v>#N/A</v>
      </c>
      <c r="W173" s="132" t="e">
        <f ca="1" t="shared" si="22"/>
        <v>#N/A</v>
      </c>
    </row>
    <row r="174" spans="1:23">
      <c r="A174" s="171"/>
      <c r="B174" s="80">
        <v>146</v>
      </c>
      <c r="C174" s="80">
        <f ca="1">OFFSET(产销汇总!$C$12,$B174,$C$27)</f>
        <v>196</v>
      </c>
      <c r="D174" s="80">
        <f ca="1">SUMIF(主线宝箱!$B$321:$B$620,"&lt;="&amp;C174,主线宝箱!$H$321:$H$620)+SUMIF(主线宝箱!$B$321:$B$620,"&lt;="&amp;C174,主线宝箱!$T$321:$T$620)</f>
        <v>7840</v>
      </c>
      <c r="E174" s="80">
        <v>110</v>
      </c>
      <c r="F174" s="80">
        <f t="shared" si="23"/>
        <v>450</v>
      </c>
      <c r="G174" s="80">
        <f ca="1">IF(AND($C$27&lt;3,B174&gt;3),G173,SUMIF(图纸产出设计!$F$334:$F$342,"&lt;="&amp;B174,图纸产出设计!$C$334:$C$342))</f>
        <v>3890</v>
      </c>
      <c r="H174" s="80">
        <f ca="1">OFFSET(产销汇总!$C$1,MATCH(H$28,产销汇总!$C$2:$C$8,0),$C$27)*(_xlfn.XLOOKUP(C174,主线推图!$B$313:$B$612,主线推图!$G$313:$G$612)+_xlfn.XLOOKUP(C174,主线推图!$B$313:$B$612,主线推图!$H$313:$H$612))</f>
        <v>176</v>
      </c>
      <c r="I174" s="80">
        <f ca="1">OFFSET(产销汇总!$C$1,MATCH(I$28,产销汇总!$C$2:$C$8,0),$C$27)*_xlfn.XLOOKUP(C174,巡逻产出!$B$311:$B$610,巡逻产出!$H$311:$H$610)</f>
        <v>0</v>
      </c>
      <c r="J174" s="80" t="e">
        <f ca="1">OFFSET(产销汇总!$C$1,MATCH(J$28,产销汇总!$C$2:$C$8,0),$C$27)*(_xlfn.XLOOKUP(MAX(1,INT(C174/10-6/10)),组队产出!$B$24:$B$39,组队产出!$J$24:$J$39)+_xlfn.XLOOKUP(MAX(1,INT(C174/10-6/10)),组队产出!$B$24:$B$39,组队产出!$K$24:$K$39))</f>
        <v>#N/A</v>
      </c>
      <c r="K174" s="80">
        <f ca="1">OFFSET(产销汇总!$C$1,MATCH(K$28,产销汇总!$C$2:$C$8,0),$C$27)*_xlfn.XLOOKUP(C174,巡逻产出!$B$311:$B$610,巡逻产出!$I$311:$I$610)*IF($C$27=1,0.5,1)</f>
        <v>312</v>
      </c>
      <c r="L174" s="80">
        <f ca="1">OFFSET(产销汇总!$C$1,MATCH(L$28,产销汇总!$C$2:$C$8,0),$C$27)*竞技场!$C$5</f>
        <v>180</v>
      </c>
      <c r="M174" s="80">
        <f>任务!$C$6+IF(MOD(B174,7)=0,任务!$M$25)</f>
        <v>30</v>
      </c>
      <c r="N174" s="98">
        <f t="shared" si="17"/>
        <v>1.7</v>
      </c>
      <c r="O174" s="80">
        <f t="shared" si="18"/>
        <v>0</v>
      </c>
      <c r="P174" s="172">
        <f ca="1">OFFSET(产销汇总!$C$1,MATCH(P$27,产销汇总!$C$2:$C$8,0),$C$27)/200*协力宝箱!$Q$82</f>
        <v>0</v>
      </c>
      <c r="Q174" s="80">
        <f t="shared" si="19"/>
        <v>10</v>
      </c>
      <c r="R174" s="80">
        <v>10</v>
      </c>
      <c r="S174" s="172">
        <f t="shared" si="21"/>
        <v>100</v>
      </c>
      <c r="T174" s="172">
        <f>(公会!$F$12+公会!$F$13+公会!$F$14+公会!$F$18/7)/2</f>
        <v>121.428571428571</v>
      </c>
      <c r="U174" s="172">
        <f t="shared" si="20"/>
        <v>150</v>
      </c>
      <c r="V174" s="172" t="e">
        <f ca="1">SUM($H$29:U174)+SUM(D174:G174)</f>
        <v>#N/A</v>
      </c>
      <c r="W174" s="132" t="e">
        <f ca="1" t="shared" si="22"/>
        <v>#N/A</v>
      </c>
    </row>
    <row r="175" spans="1:23">
      <c r="A175" s="171"/>
      <c r="B175" s="80">
        <v>147</v>
      </c>
      <c r="C175" s="80">
        <f ca="1">OFFSET(产销汇总!$C$12,$B175,$C$27)</f>
        <v>196.5</v>
      </c>
      <c r="D175" s="80">
        <f ca="1">SUMIF(主线宝箱!$B$321:$B$620,"&lt;="&amp;C175,主线宝箱!$H$321:$H$620)+SUMIF(主线宝箱!$B$321:$B$620,"&lt;="&amp;C175,主线宝箱!$T$321:$T$620)</f>
        <v>7840</v>
      </c>
      <c r="E175" s="80">
        <v>110</v>
      </c>
      <c r="F175" s="80">
        <f t="shared" si="23"/>
        <v>450</v>
      </c>
      <c r="G175" s="80">
        <f ca="1">IF(AND($C$27&lt;3,B175&gt;3),G174,SUMIF(图纸产出设计!$F$334:$F$342,"&lt;="&amp;B175,图纸产出设计!$C$334:$C$342))</f>
        <v>3890</v>
      </c>
      <c r="H175" s="80" t="e">
        <f ca="1">OFFSET(产销汇总!$C$1,MATCH(H$28,产销汇总!$C$2:$C$8,0),$C$27)*(_xlfn.XLOOKUP(C175,主线推图!$B$313:$B$612,主线推图!$G$313:$G$612)+_xlfn.XLOOKUP(C175,主线推图!$B$313:$B$612,主线推图!$H$313:$H$612))</f>
        <v>#N/A</v>
      </c>
      <c r="I175" s="80" t="e">
        <f ca="1">OFFSET(产销汇总!$C$1,MATCH(I$28,产销汇总!$C$2:$C$8,0),$C$27)*_xlfn.XLOOKUP(C175,巡逻产出!$B$311:$B$610,巡逻产出!$H$311:$H$610)</f>
        <v>#N/A</v>
      </c>
      <c r="J175" s="80" t="e">
        <f ca="1">OFFSET(产销汇总!$C$1,MATCH(J$28,产销汇总!$C$2:$C$8,0),$C$27)*(_xlfn.XLOOKUP(MAX(1,INT(C175/10-6/10)),组队产出!$B$24:$B$39,组队产出!$J$24:$J$39)+_xlfn.XLOOKUP(MAX(1,INT(C175/10-6/10)),组队产出!$B$24:$B$39,组队产出!$K$24:$K$39))</f>
        <v>#N/A</v>
      </c>
      <c r="K175" s="80" t="e">
        <f ca="1">OFFSET(产销汇总!$C$1,MATCH(K$28,产销汇总!$C$2:$C$8,0),$C$27)*_xlfn.XLOOKUP(C175,巡逻产出!$B$311:$B$610,巡逻产出!$I$311:$I$610)*IF($C$27=1,0.5,1)</f>
        <v>#N/A</v>
      </c>
      <c r="L175" s="80">
        <f ca="1">OFFSET(产销汇总!$C$1,MATCH(L$28,产销汇总!$C$2:$C$8,0),$C$27)*竞技场!$C$5</f>
        <v>180</v>
      </c>
      <c r="M175" s="80">
        <f>任务!$C$6+IF(MOD(B175,7)=0,任务!$M$25)</f>
        <v>60</v>
      </c>
      <c r="N175" s="98">
        <f t="shared" si="17"/>
        <v>1.7</v>
      </c>
      <c r="O175" s="80">
        <f t="shared" si="18"/>
        <v>0</v>
      </c>
      <c r="P175" s="172">
        <f ca="1">OFFSET(产销汇总!$C$1,MATCH(P$27,产销汇总!$C$2:$C$8,0),$C$27)/200*协力宝箱!$Q$82</f>
        <v>0</v>
      </c>
      <c r="Q175" s="80">
        <f t="shared" si="19"/>
        <v>10</v>
      </c>
      <c r="R175" s="80">
        <v>10</v>
      </c>
      <c r="S175" s="172">
        <f t="shared" si="21"/>
        <v>100</v>
      </c>
      <c r="T175" s="172">
        <f>(公会!$F$12+公会!$F$13+公会!$F$14+公会!$F$18/7)/2</f>
        <v>121.428571428571</v>
      </c>
      <c r="U175" s="172">
        <f t="shared" si="20"/>
        <v>150</v>
      </c>
      <c r="V175" s="172" t="e">
        <f ca="1">SUM($H$29:U175)+SUM(D175:G175)</f>
        <v>#N/A</v>
      </c>
      <c r="W175" s="132" t="e">
        <f ca="1" t="shared" si="22"/>
        <v>#N/A</v>
      </c>
    </row>
    <row r="176" spans="1:23">
      <c r="A176" s="171"/>
      <c r="B176" s="80">
        <v>148</v>
      </c>
      <c r="C176" s="80">
        <f ca="1">OFFSET(产销汇总!$C$12,$B176,$C$27)</f>
        <v>197</v>
      </c>
      <c r="D176" s="80">
        <f ca="1">SUMIF(主线宝箱!$B$321:$B$620,"&lt;="&amp;C176,主线宝箱!$H$321:$H$620)+SUMIF(主线宝箱!$B$321:$B$620,"&lt;="&amp;C176,主线宝箱!$T$321:$T$620)</f>
        <v>7880</v>
      </c>
      <c r="E176" s="80">
        <v>110</v>
      </c>
      <c r="F176" s="80">
        <f t="shared" si="23"/>
        <v>450</v>
      </c>
      <c r="G176" s="80">
        <f ca="1">IF(AND($C$27&lt;3,B176&gt;3),G175,SUMIF(图纸产出设计!$F$334:$F$342,"&lt;="&amp;B176,图纸产出设计!$C$334:$C$342))</f>
        <v>3890</v>
      </c>
      <c r="H176" s="80">
        <f ca="1">OFFSET(产销汇总!$C$1,MATCH(H$28,产销汇总!$C$2:$C$8,0),$C$27)*(_xlfn.XLOOKUP(C176,主线推图!$B$313:$B$612,主线推图!$G$313:$G$612)+_xlfn.XLOOKUP(C176,主线推图!$B$313:$B$612,主线推图!$H$313:$H$612))</f>
        <v>176</v>
      </c>
      <c r="I176" s="80">
        <f ca="1">OFFSET(产销汇总!$C$1,MATCH(I$28,产销汇总!$C$2:$C$8,0),$C$27)*_xlfn.XLOOKUP(C176,巡逻产出!$B$311:$B$610,巡逻产出!$H$311:$H$610)</f>
        <v>0</v>
      </c>
      <c r="J176" s="80" t="e">
        <f ca="1">OFFSET(产销汇总!$C$1,MATCH(J$28,产销汇总!$C$2:$C$8,0),$C$27)*(_xlfn.XLOOKUP(MAX(1,INT(C176/10-6/10)),组队产出!$B$24:$B$39,组队产出!$J$24:$J$39)+_xlfn.XLOOKUP(MAX(1,INT(C176/10-6/10)),组队产出!$B$24:$B$39,组队产出!$K$24:$K$39))</f>
        <v>#N/A</v>
      </c>
      <c r="K176" s="80">
        <f ca="1">OFFSET(产销汇总!$C$1,MATCH(K$28,产销汇总!$C$2:$C$8,0),$C$27)*_xlfn.XLOOKUP(C176,巡逻产出!$B$311:$B$610,巡逻产出!$I$311:$I$610)*IF($C$27=1,0.5,1)</f>
        <v>312</v>
      </c>
      <c r="L176" s="80">
        <f ca="1">OFFSET(产销汇总!$C$1,MATCH(L$28,产销汇总!$C$2:$C$8,0),$C$27)*竞技场!$C$5</f>
        <v>180</v>
      </c>
      <c r="M176" s="80">
        <f>任务!$C$6+IF(MOD(B176,7)=0,任务!$M$25)</f>
        <v>30</v>
      </c>
      <c r="N176" s="98">
        <f t="shared" si="17"/>
        <v>1.7</v>
      </c>
      <c r="O176" s="80">
        <f t="shared" si="18"/>
        <v>0</v>
      </c>
      <c r="P176" s="172">
        <f ca="1">OFFSET(产销汇总!$C$1,MATCH(P$27,产销汇总!$C$2:$C$8,0),$C$27)/200*协力宝箱!$Q$82</f>
        <v>0</v>
      </c>
      <c r="Q176" s="80">
        <f t="shared" si="19"/>
        <v>10</v>
      </c>
      <c r="R176" s="80">
        <v>10</v>
      </c>
      <c r="S176" s="172">
        <f t="shared" si="21"/>
        <v>100</v>
      </c>
      <c r="T176" s="172">
        <f>(公会!$F$12+公会!$F$13+公会!$F$14+公会!$F$18/7)/2</f>
        <v>121.428571428571</v>
      </c>
      <c r="U176" s="172">
        <f t="shared" si="20"/>
        <v>150</v>
      </c>
      <c r="V176" s="172" t="e">
        <f ca="1">SUM($H$29:U176)+SUM(D176:G176)</f>
        <v>#N/A</v>
      </c>
      <c r="W176" s="132" t="e">
        <f ca="1" t="shared" si="22"/>
        <v>#N/A</v>
      </c>
    </row>
    <row r="177" spans="1:23">
      <c r="A177" s="171"/>
      <c r="B177" s="80">
        <v>149</v>
      </c>
      <c r="C177" s="80">
        <f ca="1">OFFSET(产销汇总!$C$12,$B177,$C$27)</f>
        <v>197.5</v>
      </c>
      <c r="D177" s="80">
        <f ca="1">SUMIF(主线宝箱!$B$321:$B$620,"&lt;="&amp;C177,主线宝箱!$H$321:$H$620)+SUMIF(主线宝箱!$B$321:$B$620,"&lt;="&amp;C177,主线宝箱!$T$321:$T$620)</f>
        <v>7880</v>
      </c>
      <c r="E177" s="80">
        <v>110</v>
      </c>
      <c r="F177" s="80">
        <f t="shared" si="23"/>
        <v>450</v>
      </c>
      <c r="G177" s="80">
        <f ca="1">IF(AND($C$27&lt;3,B177&gt;3),G176,SUMIF(图纸产出设计!$F$334:$F$342,"&lt;="&amp;B177,图纸产出设计!$C$334:$C$342))</f>
        <v>3890</v>
      </c>
      <c r="H177" s="80" t="e">
        <f ca="1">OFFSET(产销汇总!$C$1,MATCH(H$28,产销汇总!$C$2:$C$8,0),$C$27)*(_xlfn.XLOOKUP(C177,主线推图!$B$313:$B$612,主线推图!$G$313:$G$612)+_xlfn.XLOOKUP(C177,主线推图!$B$313:$B$612,主线推图!$H$313:$H$612))</f>
        <v>#N/A</v>
      </c>
      <c r="I177" s="80" t="e">
        <f ca="1">OFFSET(产销汇总!$C$1,MATCH(I$28,产销汇总!$C$2:$C$8,0),$C$27)*_xlfn.XLOOKUP(C177,巡逻产出!$B$311:$B$610,巡逻产出!$H$311:$H$610)</f>
        <v>#N/A</v>
      </c>
      <c r="J177" s="80" t="e">
        <f ca="1">OFFSET(产销汇总!$C$1,MATCH(J$28,产销汇总!$C$2:$C$8,0),$C$27)*(_xlfn.XLOOKUP(MAX(1,INT(C177/10-6/10)),组队产出!$B$24:$B$39,组队产出!$J$24:$J$39)+_xlfn.XLOOKUP(MAX(1,INT(C177/10-6/10)),组队产出!$B$24:$B$39,组队产出!$K$24:$K$39))</f>
        <v>#N/A</v>
      </c>
      <c r="K177" s="80" t="e">
        <f ca="1">OFFSET(产销汇总!$C$1,MATCH(K$28,产销汇总!$C$2:$C$8,0),$C$27)*_xlfn.XLOOKUP(C177,巡逻产出!$B$311:$B$610,巡逻产出!$I$311:$I$610)*IF($C$27=1,0.5,1)</f>
        <v>#N/A</v>
      </c>
      <c r="L177" s="80">
        <f ca="1">OFFSET(产销汇总!$C$1,MATCH(L$28,产销汇总!$C$2:$C$8,0),$C$27)*竞技场!$C$5</f>
        <v>180</v>
      </c>
      <c r="M177" s="80">
        <f>任务!$C$6+IF(MOD(B177,7)=0,任务!$M$25)</f>
        <v>30</v>
      </c>
      <c r="N177" s="98">
        <f t="shared" si="17"/>
        <v>1.7</v>
      </c>
      <c r="O177" s="80">
        <f t="shared" si="18"/>
        <v>10</v>
      </c>
      <c r="P177" s="172">
        <f ca="1">OFFSET(产销汇总!$C$1,MATCH(P$27,产销汇总!$C$2:$C$8,0),$C$27)/200*协力宝箱!$Q$82</f>
        <v>0</v>
      </c>
      <c r="Q177" s="80">
        <f t="shared" si="19"/>
        <v>10</v>
      </c>
      <c r="R177" s="80">
        <v>10</v>
      </c>
      <c r="S177" s="172">
        <f t="shared" si="21"/>
        <v>100</v>
      </c>
      <c r="T177" s="172">
        <f>(公会!$F$12+公会!$F$13+公会!$F$14+公会!$F$18/7)/2</f>
        <v>121.428571428571</v>
      </c>
      <c r="U177" s="172">
        <f t="shared" si="20"/>
        <v>150</v>
      </c>
      <c r="V177" s="172" t="e">
        <f ca="1">SUM($H$29:U177)+SUM(D177:G177)</f>
        <v>#N/A</v>
      </c>
      <c r="W177" s="132" t="e">
        <f ca="1" t="shared" si="22"/>
        <v>#N/A</v>
      </c>
    </row>
    <row r="178" spans="1:23">
      <c r="A178" s="171"/>
      <c r="B178" s="80">
        <v>150</v>
      </c>
      <c r="C178" s="80">
        <f ca="1">OFFSET(产销汇总!$C$12,$B178,$C$27)</f>
        <v>198</v>
      </c>
      <c r="D178" s="80">
        <f ca="1">SUMIF(主线宝箱!$B$321:$B$620,"&lt;="&amp;C178,主线宝箱!$H$321:$H$620)+SUMIF(主线宝箱!$B$321:$B$620,"&lt;="&amp;C178,主线宝箱!$T$321:$T$620)</f>
        <v>7920</v>
      </c>
      <c r="E178" s="80">
        <v>110</v>
      </c>
      <c r="F178" s="80">
        <f t="shared" si="23"/>
        <v>450</v>
      </c>
      <c r="G178" s="80">
        <f ca="1">IF(AND($C$27&lt;3,B178&gt;3),G177,SUMIF(图纸产出设计!$F$334:$F$342,"&lt;="&amp;B178,图纸产出设计!$C$334:$C$342))</f>
        <v>3890</v>
      </c>
      <c r="H178" s="80">
        <f ca="1">OFFSET(产销汇总!$C$1,MATCH(H$28,产销汇总!$C$2:$C$8,0),$C$27)*(_xlfn.XLOOKUP(C178,主线推图!$B$313:$B$612,主线推图!$G$313:$G$612)+_xlfn.XLOOKUP(C178,主线推图!$B$313:$B$612,主线推图!$H$313:$H$612))</f>
        <v>176</v>
      </c>
      <c r="I178" s="80">
        <f ca="1">OFFSET(产销汇总!$C$1,MATCH(I$28,产销汇总!$C$2:$C$8,0),$C$27)*_xlfn.XLOOKUP(C178,巡逻产出!$B$311:$B$610,巡逻产出!$H$311:$H$610)</f>
        <v>0</v>
      </c>
      <c r="J178" s="80" t="e">
        <f ca="1">OFFSET(产销汇总!$C$1,MATCH(J$28,产销汇总!$C$2:$C$8,0),$C$27)*(_xlfn.XLOOKUP(MAX(1,INT(C178/10-6/10)),组队产出!$B$24:$B$39,组队产出!$J$24:$J$39)+_xlfn.XLOOKUP(MAX(1,INT(C178/10-6/10)),组队产出!$B$24:$B$39,组队产出!$K$24:$K$39))</f>
        <v>#N/A</v>
      </c>
      <c r="K178" s="80">
        <f ca="1">OFFSET(产销汇总!$C$1,MATCH(K$28,产销汇总!$C$2:$C$8,0),$C$27)*_xlfn.XLOOKUP(C178,巡逻产出!$B$311:$B$610,巡逻产出!$I$311:$I$610)*IF($C$27=1,0.5,1)</f>
        <v>312</v>
      </c>
      <c r="L178" s="80">
        <f ca="1">OFFSET(产销汇总!$C$1,MATCH(L$28,产销汇总!$C$2:$C$8,0),$C$27)*竞技场!$C$5</f>
        <v>180</v>
      </c>
      <c r="M178" s="80">
        <f>任务!$C$6+IF(MOD(B178,7)=0,任务!$M$25)</f>
        <v>30</v>
      </c>
      <c r="N178" s="98">
        <f t="shared" si="17"/>
        <v>1.7</v>
      </c>
      <c r="O178" s="80">
        <f t="shared" si="18"/>
        <v>0</v>
      </c>
      <c r="P178" s="172">
        <f ca="1">OFFSET(产销汇总!$C$1,MATCH(P$27,产销汇总!$C$2:$C$8,0),$C$27)/200*协力宝箱!$Q$82</f>
        <v>0</v>
      </c>
      <c r="Q178" s="80">
        <f t="shared" si="19"/>
        <v>10</v>
      </c>
      <c r="R178" s="80">
        <v>10</v>
      </c>
      <c r="S178" s="172">
        <f t="shared" si="21"/>
        <v>100</v>
      </c>
      <c r="T178" s="172">
        <f>(公会!$F$12+公会!$F$13+公会!$F$14+公会!$F$18/7)/2</f>
        <v>121.428571428571</v>
      </c>
      <c r="U178" s="172">
        <f t="shared" si="20"/>
        <v>150</v>
      </c>
      <c r="V178" s="172" t="e">
        <f ca="1">SUM($H$29:U178)+SUM(D178:G178)</f>
        <v>#N/A</v>
      </c>
      <c r="W178" s="132" t="e">
        <f ca="1" t="shared" si="22"/>
        <v>#N/A</v>
      </c>
    </row>
    <row r="179" spans="1:23">
      <c r="A179" s="171"/>
      <c r="B179" s="80">
        <v>151</v>
      </c>
      <c r="C179" s="80">
        <f ca="1">OFFSET(产销汇总!$C$12,$B179,$C$27)</f>
        <v>198.5</v>
      </c>
      <c r="D179" s="80">
        <f ca="1">SUMIF(主线宝箱!$B$321:$B$620,"&lt;="&amp;C179,主线宝箱!$H$321:$H$620)+SUMIF(主线宝箱!$B$321:$B$620,"&lt;="&amp;C179,主线宝箱!$T$321:$T$620)</f>
        <v>7920</v>
      </c>
      <c r="E179" s="80">
        <v>110</v>
      </c>
      <c r="F179" s="80">
        <f t="shared" si="23"/>
        <v>450</v>
      </c>
      <c r="G179" s="80">
        <f ca="1">IF(AND($C$27&lt;3,B179&gt;3),G178,SUMIF(图纸产出设计!$F$334:$F$342,"&lt;="&amp;B179,图纸产出设计!$C$334:$C$342))</f>
        <v>3890</v>
      </c>
      <c r="H179" s="80" t="e">
        <f ca="1">OFFSET(产销汇总!$C$1,MATCH(H$28,产销汇总!$C$2:$C$8,0),$C$27)*(_xlfn.XLOOKUP(C179,主线推图!$B$313:$B$612,主线推图!$G$313:$G$612)+_xlfn.XLOOKUP(C179,主线推图!$B$313:$B$612,主线推图!$H$313:$H$612))</f>
        <v>#N/A</v>
      </c>
      <c r="I179" s="80" t="e">
        <f ca="1">OFFSET(产销汇总!$C$1,MATCH(I$28,产销汇总!$C$2:$C$8,0),$C$27)*_xlfn.XLOOKUP(C179,巡逻产出!$B$311:$B$610,巡逻产出!$H$311:$H$610)</f>
        <v>#N/A</v>
      </c>
      <c r="J179" s="80" t="e">
        <f ca="1">OFFSET(产销汇总!$C$1,MATCH(J$28,产销汇总!$C$2:$C$8,0),$C$27)*(_xlfn.XLOOKUP(MAX(1,INT(C179/10-6/10)),组队产出!$B$24:$B$39,组队产出!$J$24:$J$39)+_xlfn.XLOOKUP(MAX(1,INT(C179/10-6/10)),组队产出!$B$24:$B$39,组队产出!$K$24:$K$39))</f>
        <v>#N/A</v>
      </c>
      <c r="K179" s="80" t="e">
        <f ca="1">OFFSET(产销汇总!$C$1,MATCH(K$28,产销汇总!$C$2:$C$8,0),$C$27)*_xlfn.XLOOKUP(C179,巡逻产出!$B$311:$B$610,巡逻产出!$I$311:$I$610)*IF($C$27=1,0.5,1)</f>
        <v>#N/A</v>
      </c>
      <c r="L179" s="80">
        <f ca="1">OFFSET(产销汇总!$C$1,MATCH(L$28,产销汇总!$C$2:$C$8,0),$C$27)*竞技场!$C$5</f>
        <v>180</v>
      </c>
      <c r="M179" s="80">
        <f>任务!$C$6+IF(MOD(B179,7)=0,任务!$M$25)</f>
        <v>30</v>
      </c>
      <c r="N179" s="98">
        <f t="shared" si="17"/>
        <v>1.7</v>
      </c>
      <c r="O179" s="80">
        <f t="shared" si="18"/>
        <v>0</v>
      </c>
      <c r="P179" s="172">
        <f ca="1">OFFSET(产销汇总!$C$1,MATCH(P$27,产销汇总!$C$2:$C$8,0),$C$27)/200*协力宝箱!$Q$82</f>
        <v>0</v>
      </c>
      <c r="Q179" s="80">
        <f t="shared" si="19"/>
        <v>10</v>
      </c>
      <c r="R179" s="80">
        <v>10</v>
      </c>
      <c r="S179" s="172">
        <f t="shared" si="21"/>
        <v>100</v>
      </c>
      <c r="T179" s="172">
        <f>(公会!$F$12+公会!$F$13+公会!$F$14+公会!$F$18/7)/2</f>
        <v>121.428571428571</v>
      </c>
      <c r="U179" s="172">
        <f t="shared" si="20"/>
        <v>150</v>
      </c>
      <c r="V179" s="172" t="e">
        <f ca="1">SUM($H$29:U179)+SUM(D179:G179)</f>
        <v>#N/A</v>
      </c>
      <c r="W179" s="132" t="e">
        <f ca="1" t="shared" si="22"/>
        <v>#N/A</v>
      </c>
    </row>
    <row r="180" spans="1:23">
      <c r="A180" s="171"/>
      <c r="B180" s="80">
        <v>152</v>
      </c>
      <c r="C180" s="80">
        <f ca="1">OFFSET(产销汇总!$C$12,$B180,$C$27)</f>
        <v>199</v>
      </c>
      <c r="D180" s="80">
        <f ca="1">SUMIF(主线宝箱!$B$321:$B$620,"&lt;="&amp;C180,主线宝箱!$H$321:$H$620)+SUMIF(主线宝箱!$B$321:$B$620,"&lt;="&amp;C180,主线宝箱!$T$321:$T$620)</f>
        <v>7960</v>
      </c>
      <c r="E180" s="80">
        <v>110</v>
      </c>
      <c r="F180" s="80">
        <f t="shared" si="23"/>
        <v>450</v>
      </c>
      <c r="G180" s="80">
        <f ca="1">IF(AND($C$27&lt;3,B180&gt;3),G179,SUMIF(图纸产出设计!$F$334:$F$342,"&lt;="&amp;B180,图纸产出设计!$C$334:$C$342))</f>
        <v>3890</v>
      </c>
      <c r="H180" s="80">
        <f ca="1">OFFSET(产销汇总!$C$1,MATCH(H$28,产销汇总!$C$2:$C$8,0),$C$27)*(_xlfn.XLOOKUP(C180,主线推图!$B$313:$B$612,主线推图!$G$313:$G$612)+_xlfn.XLOOKUP(C180,主线推图!$B$313:$B$612,主线推图!$H$313:$H$612))</f>
        <v>176</v>
      </c>
      <c r="I180" s="80">
        <f ca="1">OFFSET(产销汇总!$C$1,MATCH(I$28,产销汇总!$C$2:$C$8,0),$C$27)*_xlfn.XLOOKUP(C180,巡逻产出!$B$311:$B$610,巡逻产出!$H$311:$H$610)</f>
        <v>0</v>
      </c>
      <c r="J180" s="80" t="e">
        <f ca="1">OFFSET(产销汇总!$C$1,MATCH(J$28,产销汇总!$C$2:$C$8,0),$C$27)*(_xlfn.XLOOKUP(MAX(1,INT(C180/10-6/10)),组队产出!$B$24:$B$39,组队产出!$J$24:$J$39)+_xlfn.XLOOKUP(MAX(1,INT(C180/10-6/10)),组队产出!$B$24:$B$39,组队产出!$K$24:$K$39))</f>
        <v>#N/A</v>
      </c>
      <c r="K180" s="80">
        <f ca="1">OFFSET(产销汇总!$C$1,MATCH(K$28,产销汇总!$C$2:$C$8,0),$C$27)*_xlfn.XLOOKUP(C180,巡逻产出!$B$311:$B$610,巡逻产出!$I$311:$I$610)*IF($C$27=1,0.5,1)</f>
        <v>312</v>
      </c>
      <c r="L180" s="80">
        <f ca="1">OFFSET(产销汇总!$C$1,MATCH(L$28,产销汇总!$C$2:$C$8,0),$C$27)*竞技场!$C$5</f>
        <v>180</v>
      </c>
      <c r="M180" s="80">
        <f>任务!$C$6+IF(MOD(B180,7)=0,任务!$M$25)</f>
        <v>30</v>
      </c>
      <c r="N180" s="98">
        <f t="shared" si="17"/>
        <v>1.7</v>
      </c>
      <c r="O180" s="80">
        <f t="shared" si="18"/>
        <v>10</v>
      </c>
      <c r="P180" s="172">
        <f ca="1">OFFSET(产销汇总!$C$1,MATCH(P$27,产销汇总!$C$2:$C$8,0),$C$27)/200*协力宝箱!$Q$82</f>
        <v>0</v>
      </c>
      <c r="Q180" s="80">
        <f t="shared" si="19"/>
        <v>10</v>
      </c>
      <c r="R180" s="80">
        <v>10</v>
      </c>
      <c r="S180" s="172">
        <f t="shared" si="21"/>
        <v>100</v>
      </c>
      <c r="T180" s="172">
        <f>(公会!$F$12+公会!$F$13+公会!$F$14+公会!$F$18/7)/2</f>
        <v>121.428571428571</v>
      </c>
      <c r="U180" s="172">
        <f t="shared" si="20"/>
        <v>150</v>
      </c>
      <c r="V180" s="172" t="e">
        <f ca="1">SUM($H$29:U180)+SUM(D180:G180)</f>
        <v>#N/A</v>
      </c>
      <c r="W180" s="132" t="e">
        <f ca="1" t="shared" si="22"/>
        <v>#N/A</v>
      </c>
    </row>
    <row r="181" spans="1:23">
      <c r="A181" s="171"/>
      <c r="B181" s="80">
        <v>153</v>
      </c>
      <c r="C181" s="80">
        <f ca="1">OFFSET(产销汇总!$C$12,$B181,$C$27)</f>
        <v>199.5</v>
      </c>
      <c r="D181" s="80">
        <f ca="1">SUMIF(主线宝箱!$B$321:$B$620,"&lt;="&amp;C181,主线宝箱!$H$321:$H$620)+SUMIF(主线宝箱!$B$321:$B$620,"&lt;="&amp;C181,主线宝箱!$T$321:$T$620)</f>
        <v>7960</v>
      </c>
      <c r="E181" s="80">
        <v>110</v>
      </c>
      <c r="F181" s="80">
        <f t="shared" si="23"/>
        <v>450</v>
      </c>
      <c r="G181" s="80">
        <f ca="1">IF(AND($C$27&lt;3,B181&gt;3),G180,SUMIF(图纸产出设计!$F$334:$F$342,"&lt;="&amp;B181,图纸产出设计!$C$334:$C$342))</f>
        <v>3890</v>
      </c>
      <c r="H181" s="80" t="e">
        <f ca="1">OFFSET(产销汇总!$C$1,MATCH(H$28,产销汇总!$C$2:$C$8,0),$C$27)*(_xlfn.XLOOKUP(C181,主线推图!$B$313:$B$612,主线推图!$G$313:$G$612)+_xlfn.XLOOKUP(C181,主线推图!$B$313:$B$612,主线推图!$H$313:$H$612))</f>
        <v>#N/A</v>
      </c>
      <c r="I181" s="80" t="e">
        <f ca="1">OFFSET(产销汇总!$C$1,MATCH(I$28,产销汇总!$C$2:$C$8,0),$C$27)*_xlfn.XLOOKUP(C181,巡逻产出!$B$311:$B$610,巡逻产出!$H$311:$H$610)</f>
        <v>#N/A</v>
      </c>
      <c r="J181" s="80" t="e">
        <f ca="1">OFFSET(产销汇总!$C$1,MATCH(J$28,产销汇总!$C$2:$C$8,0),$C$27)*(_xlfn.XLOOKUP(MAX(1,INT(C181/10-6/10)),组队产出!$B$24:$B$39,组队产出!$J$24:$J$39)+_xlfn.XLOOKUP(MAX(1,INT(C181/10-6/10)),组队产出!$B$24:$B$39,组队产出!$K$24:$K$39))</f>
        <v>#N/A</v>
      </c>
      <c r="K181" s="80" t="e">
        <f ca="1">OFFSET(产销汇总!$C$1,MATCH(K$28,产销汇总!$C$2:$C$8,0),$C$27)*_xlfn.XLOOKUP(C181,巡逻产出!$B$311:$B$610,巡逻产出!$I$311:$I$610)*IF($C$27=1,0.5,1)</f>
        <v>#N/A</v>
      </c>
      <c r="L181" s="80">
        <f ca="1">OFFSET(产销汇总!$C$1,MATCH(L$28,产销汇总!$C$2:$C$8,0),$C$27)*竞技场!$C$5</f>
        <v>180</v>
      </c>
      <c r="M181" s="80">
        <f>任务!$C$6+IF(MOD(B181,7)=0,任务!$M$25)</f>
        <v>30</v>
      </c>
      <c r="N181" s="98">
        <f t="shared" si="17"/>
        <v>1.7</v>
      </c>
      <c r="O181" s="80">
        <f t="shared" si="18"/>
        <v>0</v>
      </c>
      <c r="P181" s="172">
        <f ca="1">OFFSET(产销汇总!$C$1,MATCH(P$27,产销汇总!$C$2:$C$8,0),$C$27)/200*协力宝箱!$Q$82</f>
        <v>0</v>
      </c>
      <c r="Q181" s="80">
        <f t="shared" si="19"/>
        <v>10</v>
      </c>
      <c r="R181" s="80">
        <v>10</v>
      </c>
      <c r="S181" s="172">
        <f t="shared" si="21"/>
        <v>100</v>
      </c>
      <c r="T181" s="172">
        <f>(公会!$F$12+公会!$F$13+公会!$F$14+公会!$F$18/7)/2</f>
        <v>121.428571428571</v>
      </c>
      <c r="U181" s="172">
        <f t="shared" si="20"/>
        <v>150</v>
      </c>
      <c r="V181" s="172" t="e">
        <f ca="1">SUM($H$29:U181)+SUM(D181:G181)</f>
        <v>#N/A</v>
      </c>
      <c r="W181" s="132" t="e">
        <f ca="1" t="shared" si="22"/>
        <v>#N/A</v>
      </c>
    </row>
    <row r="182" spans="1:23">
      <c r="A182" s="171"/>
      <c r="B182" s="80">
        <v>154</v>
      </c>
      <c r="C182" s="80">
        <f ca="1">OFFSET(产销汇总!$C$12,$B182,$C$27)</f>
        <v>200</v>
      </c>
      <c r="D182" s="80">
        <f ca="1">SUMIF(主线宝箱!$B$321:$B$620,"&lt;="&amp;C182,主线宝箱!$H$321:$H$620)+SUMIF(主线宝箱!$B$321:$B$620,"&lt;="&amp;C182,主线宝箱!$T$321:$T$620)</f>
        <v>8000</v>
      </c>
      <c r="E182" s="80">
        <v>110</v>
      </c>
      <c r="F182" s="80">
        <f t="shared" si="23"/>
        <v>450</v>
      </c>
      <c r="G182" s="80">
        <f ca="1">IF(AND($C$27&lt;3,B182&gt;3),G181,SUMIF(图纸产出设计!$F$334:$F$342,"&lt;="&amp;B182,图纸产出设计!$C$334:$C$342))</f>
        <v>3890</v>
      </c>
      <c r="H182" s="80">
        <f ca="1">OFFSET(产销汇总!$C$1,MATCH(H$28,产销汇总!$C$2:$C$8,0),$C$27)*(_xlfn.XLOOKUP(C182,主线推图!$B$313:$B$612,主线推图!$G$313:$G$612)+_xlfn.XLOOKUP(C182,主线推图!$B$313:$B$612,主线推图!$H$313:$H$612))</f>
        <v>176</v>
      </c>
      <c r="I182" s="80">
        <f ca="1">OFFSET(产销汇总!$C$1,MATCH(I$28,产销汇总!$C$2:$C$8,0),$C$27)*_xlfn.XLOOKUP(C182,巡逻产出!$B$311:$B$610,巡逻产出!$H$311:$H$610)</f>
        <v>0</v>
      </c>
      <c r="J182" s="80" t="e">
        <f ca="1">OFFSET(产销汇总!$C$1,MATCH(J$28,产销汇总!$C$2:$C$8,0),$C$27)*(_xlfn.XLOOKUP(MAX(1,INT(C182/10-6/10)),组队产出!$B$24:$B$39,组队产出!$J$24:$J$39)+_xlfn.XLOOKUP(MAX(1,INT(C182/10-6/10)),组队产出!$B$24:$B$39,组队产出!$K$24:$K$39))</f>
        <v>#N/A</v>
      </c>
      <c r="K182" s="80">
        <f ca="1">OFFSET(产销汇总!$C$1,MATCH(K$28,产销汇总!$C$2:$C$8,0),$C$27)*_xlfn.XLOOKUP(C182,巡逻产出!$B$311:$B$610,巡逻产出!$I$311:$I$610)*IF($C$27=1,0.5,1)</f>
        <v>312</v>
      </c>
      <c r="L182" s="80">
        <f ca="1">OFFSET(产销汇总!$C$1,MATCH(L$28,产销汇总!$C$2:$C$8,0),$C$27)*竞技场!$C$5</f>
        <v>180</v>
      </c>
      <c r="M182" s="80">
        <f>任务!$C$6+IF(MOD(B182,7)=0,任务!$M$25)</f>
        <v>60</v>
      </c>
      <c r="N182" s="98">
        <f t="shared" si="17"/>
        <v>1.7</v>
      </c>
      <c r="O182" s="80">
        <f t="shared" si="18"/>
        <v>0</v>
      </c>
      <c r="P182" s="172">
        <f ca="1">OFFSET(产销汇总!$C$1,MATCH(P$27,产销汇总!$C$2:$C$8,0),$C$27)/200*协力宝箱!$Q$82</f>
        <v>0</v>
      </c>
      <c r="Q182" s="80">
        <f t="shared" si="19"/>
        <v>10</v>
      </c>
      <c r="R182" s="80">
        <v>10</v>
      </c>
      <c r="S182" s="172">
        <f t="shared" si="21"/>
        <v>100</v>
      </c>
      <c r="T182" s="172">
        <f>(公会!$F$12+公会!$F$13+公会!$F$14+公会!$F$18/7)/2</f>
        <v>121.428571428571</v>
      </c>
      <c r="U182" s="172">
        <f t="shared" si="20"/>
        <v>150</v>
      </c>
      <c r="V182" s="172" t="e">
        <f ca="1">SUM($H$29:U182)+SUM(D182:G182)</f>
        <v>#N/A</v>
      </c>
      <c r="W182" s="132" t="e">
        <f ca="1" t="shared" si="22"/>
        <v>#N/A</v>
      </c>
    </row>
    <row r="183" spans="1:23">
      <c r="A183" s="171"/>
      <c r="B183" s="80">
        <v>155</v>
      </c>
      <c r="C183" s="80">
        <f ca="1">OFFSET(产销汇总!$C$12,$B183,$C$27)</f>
        <v>200.5</v>
      </c>
      <c r="D183" s="80">
        <f ca="1">SUMIF(主线宝箱!$B$321:$B$620,"&lt;="&amp;C183,主线宝箱!$H$321:$H$620)+SUMIF(主线宝箱!$B$321:$B$620,"&lt;="&amp;C183,主线宝箱!$T$321:$T$620)</f>
        <v>8000</v>
      </c>
      <c r="E183" s="80">
        <v>110</v>
      </c>
      <c r="F183" s="80">
        <f t="shared" si="23"/>
        <v>450</v>
      </c>
      <c r="G183" s="80">
        <f ca="1">IF(AND($C$27&lt;3,B183&gt;3),G182,SUMIF(图纸产出设计!$F$334:$F$342,"&lt;="&amp;B183,图纸产出设计!$C$334:$C$342))</f>
        <v>3890</v>
      </c>
      <c r="H183" s="80" t="e">
        <f ca="1">OFFSET(产销汇总!$C$1,MATCH(H$28,产销汇总!$C$2:$C$8,0),$C$27)*(_xlfn.XLOOKUP(C183,主线推图!$B$313:$B$612,主线推图!$G$313:$G$612)+_xlfn.XLOOKUP(C183,主线推图!$B$313:$B$612,主线推图!$H$313:$H$612))</f>
        <v>#N/A</v>
      </c>
      <c r="I183" s="80" t="e">
        <f ca="1">OFFSET(产销汇总!$C$1,MATCH(I$28,产销汇总!$C$2:$C$8,0),$C$27)*_xlfn.XLOOKUP(C183,巡逻产出!$B$311:$B$610,巡逻产出!$H$311:$H$610)</f>
        <v>#N/A</v>
      </c>
      <c r="J183" s="80" t="e">
        <f ca="1">OFFSET(产销汇总!$C$1,MATCH(J$28,产销汇总!$C$2:$C$8,0),$C$27)*(_xlfn.XLOOKUP(MAX(1,INT(C183/10-6/10)),组队产出!$B$24:$B$39,组队产出!$J$24:$J$39)+_xlfn.XLOOKUP(MAX(1,INT(C183/10-6/10)),组队产出!$B$24:$B$39,组队产出!$K$24:$K$39))</f>
        <v>#N/A</v>
      </c>
      <c r="K183" s="80" t="e">
        <f ca="1">OFFSET(产销汇总!$C$1,MATCH(K$28,产销汇总!$C$2:$C$8,0),$C$27)*_xlfn.XLOOKUP(C183,巡逻产出!$B$311:$B$610,巡逻产出!$I$311:$I$610)*IF($C$27=1,0.5,1)</f>
        <v>#N/A</v>
      </c>
      <c r="L183" s="80">
        <f ca="1">OFFSET(产销汇总!$C$1,MATCH(L$28,产销汇总!$C$2:$C$8,0),$C$27)*竞技场!$C$5</f>
        <v>180</v>
      </c>
      <c r="M183" s="80">
        <f>任务!$C$6+IF(MOD(B183,7)=0,任务!$M$25)</f>
        <v>30</v>
      </c>
      <c r="N183" s="98">
        <f t="shared" si="17"/>
        <v>1.7</v>
      </c>
      <c r="O183" s="80">
        <f t="shared" si="18"/>
        <v>0</v>
      </c>
      <c r="P183" s="172">
        <f ca="1">OFFSET(产销汇总!$C$1,MATCH(P$27,产销汇总!$C$2:$C$8,0),$C$27)/200*协力宝箱!$Q$82</f>
        <v>0</v>
      </c>
      <c r="Q183" s="80">
        <f t="shared" si="19"/>
        <v>10</v>
      </c>
      <c r="R183" s="80">
        <v>10</v>
      </c>
      <c r="S183" s="172">
        <f t="shared" si="21"/>
        <v>100</v>
      </c>
      <c r="T183" s="172">
        <f>(公会!$F$12+公会!$F$13+公会!$F$14+公会!$F$18/7)/2</f>
        <v>121.428571428571</v>
      </c>
      <c r="U183" s="172">
        <f t="shared" si="20"/>
        <v>150</v>
      </c>
      <c r="V183" s="172" t="e">
        <f ca="1">SUM($H$29:U183)+SUM(D183:G183)</f>
        <v>#N/A</v>
      </c>
      <c r="W183" s="132" t="e">
        <f ca="1" t="shared" si="22"/>
        <v>#N/A</v>
      </c>
    </row>
    <row r="184" spans="1:23">
      <c r="A184" s="171"/>
      <c r="B184" s="80">
        <v>156</v>
      </c>
      <c r="C184" s="80">
        <f ca="1">OFFSET(产销汇总!$C$12,$B184,$C$27)</f>
        <v>201</v>
      </c>
      <c r="D184" s="80">
        <f ca="1">SUMIF(主线宝箱!$B$321:$B$620,"&lt;="&amp;C184,主线宝箱!$H$321:$H$620)+SUMIF(主线宝箱!$B$321:$B$620,"&lt;="&amp;C184,主线宝箱!$T$321:$T$620)</f>
        <v>8040</v>
      </c>
      <c r="E184" s="80">
        <v>110</v>
      </c>
      <c r="F184" s="80">
        <f t="shared" si="23"/>
        <v>450</v>
      </c>
      <c r="G184" s="80">
        <f ca="1">IF(AND($C$27&lt;3,B184&gt;3),G183,SUMIF(图纸产出设计!$F$334:$F$342,"&lt;="&amp;B184,图纸产出设计!$C$334:$C$342))</f>
        <v>3890</v>
      </c>
      <c r="H184" s="80">
        <f ca="1">OFFSET(产销汇总!$C$1,MATCH(H$28,产销汇总!$C$2:$C$8,0),$C$27)*(_xlfn.XLOOKUP(C184,主线推图!$B$313:$B$612,主线推图!$G$313:$G$612)+_xlfn.XLOOKUP(C184,主线推图!$B$313:$B$612,主线推图!$H$313:$H$612))</f>
        <v>176</v>
      </c>
      <c r="I184" s="80">
        <f ca="1">OFFSET(产销汇总!$C$1,MATCH(I$28,产销汇总!$C$2:$C$8,0),$C$27)*_xlfn.XLOOKUP(C184,巡逻产出!$B$311:$B$610,巡逻产出!$H$311:$H$610)</f>
        <v>0</v>
      </c>
      <c r="J184" s="80" t="e">
        <f ca="1">OFFSET(产销汇总!$C$1,MATCH(J$28,产销汇总!$C$2:$C$8,0),$C$27)*(_xlfn.XLOOKUP(MAX(1,INT(C184/10-6/10)),组队产出!$B$24:$B$39,组队产出!$J$24:$J$39)+_xlfn.XLOOKUP(MAX(1,INT(C184/10-6/10)),组队产出!$B$24:$B$39,组队产出!$K$24:$K$39))</f>
        <v>#N/A</v>
      </c>
      <c r="K184" s="80">
        <f ca="1">OFFSET(产销汇总!$C$1,MATCH(K$28,产销汇总!$C$2:$C$8,0),$C$27)*_xlfn.XLOOKUP(C184,巡逻产出!$B$311:$B$610,巡逻产出!$I$311:$I$610)*IF($C$27=1,0.5,1)</f>
        <v>312</v>
      </c>
      <c r="L184" s="80">
        <f ca="1">OFFSET(产销汇总!$C$1,MATCH(L$28,产销汇总!$C$2:$C$8,0),$C$27)*竞技场!$C$5</f>
        <v>180</v>
      </c>
      <c r="M184" s="80">
        <f>任务!$C$6+IF(MOD(B184,7)=0,任务!$M$25)</f>
        <v>30</v>
      </c>
      <c r="N184" s="98">
        <f t="shared" si="17"/>
        <v>1.7</v>
      </c>
      <c r="O184" s="80">
        <f t="shared" si="18"/>
        <v>10</v>
      </c>
      <c r="P184" s="172">
        <f ca="1">OFFSET(产销汇总!$C$1,MATCH(P$27,产销汇总!$C$2:$C$8,0),$C$27)/200*协力宝箱!$Q$82</f>
        <v>0</v>
      </c>
      <c r="Q184" s="80">
        <f t="shared" si="19"/>
        <v>10</v>
      </c>
      <c r="R184" s="80">
        <v>10</v>
      </c>
      <c r="S184" s="172">
        <f t="shared" si="21"/>
        <v>100</v>
      </c>
      <c r="T184" s="172">
        <f>(公会!$F$12+公会!$F$13+公会!$F$14+公会!$F$18/7)/2</f>
        <v>121.428571428571</v>
      </c>
      <c r="U184" s="172">
        <f t="shared" si="20"/>
        <v>150</v>
      </c>
      <c r="V184" s="172" t="e">
        <f ca="1">SUM($H$29:U184)+SUM(D184:G184)</f>
        <v>#N/A</v>
      </c>
      <c r="W184" s="132" t="e">
        <f ca="1" t="shared" si="22"/>
        <v>#N/A</v>
      </c>
    </row>
    <row r="185" spans="1:23">
      <c r="A185" s="171"/>
      <c r="B185" s="80">
        <v>157</v>
      </c>
      <c r="C185" s="80">
        <f ca="1">OFFSET(产销汇总!$C$12,$B185,$C$27)</f>
        <v>201.5</v>
      </c>
      <c r="D185" s="80">
        <f ca="1">SUMIF(主线宝箱!$B$321:$B$620,"&lt;="&amp;C185,主线宝箱!$H$321:$H$620)+SUMIF(主线宝箱!$B$321:$B$620,"&lt;="&amp;C185,主线宝箱!$T$321:$T$620)</f>
        <v>8040</v>
      </c>
      <c r="E185" s="80">
        <v>110</v>
      </c>
      <c r="F185" s="80">
        <f t="shared" si="23"/>
        <v>450</v>
      </c>
      <c r="G185" s="80">
        <f ca="1">IF(AND($C$27&lt;3,B185&gt;3),G184,SUMIF(图纸产出设计!$F$334:$F$342,"&lt;="&amp;B185,图纸产出设计!$C$334:$C$342))</f>
        <v>3890</v>
      </c>
      <c r="H185" s="80" t="e">
        <f ca="1">OFFSET(产销汇总!$C$1,MATCH(H$28,产销汇总!$C$2:$C$8,0),$C$27)*(_xlfn.XLOOKUP(C185,主线推图!$B$313:$B$612,主线推图!$G$313:$G$612)+_xlfn.XLOOKUP(C185,主线推图!$B$313:$B$612,主线推图!$H$313:$H$612))</f>
        <v>#N/A</v>
      </c>
      <c r="I185" s="80" t="e">
        <f ca="1">OFFSET(产销汇总!$C$1,MATCH(I$28,产销汇总!$C$2:$C$8,0),$C$27)*_xlfn.XLOOKUP(C185,巡逻产出!$B$311:$B$610,巡逻产出!$H$311:$H$610)</f>
        <v>#N/A</v>
      </c>
      <c r="J185" s="80" t="e">
        <f ca="1">OFFSET(产销汇总!$C$1,MATCH(J$28,产销汇总!$C$2:$C$8,0),$C$27)*(_xlfn.XLOOKUP(MAX(1,INT(C185/10-6/10)),组队产出!$B$24:$B$39,组队产出!$J$24:$J$39)+_xlfn.XLOOKUP(MAX(1,INT(C185/10-6/10)),组队产出!$B$24:$B$39,组队产出!$K$24:$K$39))</f>
        <v>#N/A</v>
      </c>
      <c r="K185" s="80" t="e">
        <f ca="1">OFFSET(产销汇总!$C$1,MATCH(K$28,产销汇总!$C$2:$C$8,0),$C$27)*_xlfn.XLOOKUP(C185,巡逻产出!$B$311:$B$610,巡逻产出!$I$311:$I$610)*IF($C$27=1,0.5,1)</f>
        <v>#N/A</v>
      </c>
      <c r="L185" s="80">
        <f ca="1">OFFSET(产销汇总!$C$1,MATCH(L$28,产销汇总!$C$2:$C$8,0),$C$27)*竞技场!$C$5</f>
        <v>180</v>
      </c>
      <c r="M185" s="80">
        <f>任务!$C$6+IF(MOD(B185,7)=0,任务!$M$25)</f>
        <v>30</v>
      </c>
      <c r="N185" s="98">
        <f t="shared" si="17"/>
        <v>1.7</v>
      </c>
      <c r="O185" s="80">
        <f t="shared" si="18"/>
        <v>0</v>
      </c>
      <c r="P185" s="172">
        <f ca="1">OFFSET(产销汇总!$C$1,MATCH(P$27,产销汇总!$C$2:$C$8,0),$C$27)/200*协力宝箱!$Q$82</f>
        <v>0</v>
      </c>
      <c r="Q185" s="80">
        <f t="shared" si="19"/>
        <v>10</v>
      </c>
      <c r="R185" s="80">
        <v>10</v>
      </c>
      <c r="S185" s="172">
        <f t="shared" si="21"/>
        <v>100</v>
      </c>
      <c r="T185" s="172">
        <f>(公会!$F$12+公会!$F$13+公会!$F$14+公会!$F$18/7)/2</f>
        <v>121.428571428571</v>
      </c>
      <c r="U185" s="172">
        <f t="shared" si="20"/>
        <v>150</v>
      </c>
      <c r="V185" s="172" t="e">
        <f ca="1">SUM($H$29:U185)+SUM(D185:G185)</f>
        <v>#N/A</v>
      </c>
      <c r="W185" s="132" t="e">
        <f ca="1" t="shared" si="22"/>
        <v>#N/A</v>
      </c>
    </row>
    <row r="186" spans="1:23">
      <c r="A186" s="171"/>
      <c r="B186" s="80">
        <v>158</v>
      </c>
      <c r="C186" s="80">
        <f ca="1">OFFSET(产销汇总!$C$12,$B186,$C$27)</f>
        <v>202</v>
      </c>
      <c r="D186" s="80">
        <f ca="1">SUMIF(主线宝箱!$B$321:$B$620,"&lt;="&amp;C186,主线宝箱!$H$321:$H$620)+SUMIF(主线宝箱!$B$321:$B$620,"&lt;="&amp;C186,主线宝箱!$T$321:$T$620)</f>
        <v>8080</v>
      </c>
      <c r="E186" s="80">
        <v>110</v>
      </c>
      <c r="F186" s="80">
        <f t="shared" si="23"/>
        <v>450</v>
      </c>
      <c r="G186" s="80">
        <f ca="1">IF(AND($C$27&lt;3,B186&gt;3),G185,SUMIF(图纸产出设计!$F$334:$F$342,"&lt;="&amp;B186,图纸产出设计!$C$334:$C$342))</f>
        <v>3890</v>
      </c>
      <c r="H186" s="80">
        <f ca="1">OFFSET(产销汇总!$C$1,MATCH(H$28,产销汇总!$C$2:$C$8,0),$C$27)*(_xlfn.XLOOKUP(C186,主线推图!$B$313:$B$612,主线推图!$G$313:$G$612)+_xlfn.XLOOKUP(C186,主线推图!$B$313:$B$612,主线推图!$H$313:$H$612))</f>
        <v>176</v>
      </c>
      <c r="I186" s="80">
        <f ca="1">OFFSET(产销汇总!$C$1,MATCH(I$28,产销汇总!$C$2:$C$8,0),$C$27)*_xlfn.XLOOKUP(C186,巡逻产出!$B$311:$B$610,巡逻产出!$H$311:$H$610)</f>
        <v>0</v>
      </c>
      <c r="J186" s="80" t="e">
        <f ca="1">OFFSET(产销汇总!$C$1,MATCH(J$28,产销汇总!$C$2:$C$8,0),$C$27)*(_xlfn.XLOOKUP(MAX(1,INT(C186/10-6/10)),组队产出!$B$24:$B$39,组队产出!$J$24:$J$39)+_xlfn.XLOOKUP(MAX(1,INT(C186/10-6/10)),组队产出!$B$24:$B$39,组队产出!$K$24:$K$39))</f>
        <v>#N/A</v>
      </c>
      <c r="K186" s="80">
        <f ca="1">OFFSET(产销汇总!$C$1,MATCH(K$28,产销汇总!$C$2:$C$8,0),$C$27)*_xlfn.XLOOKUP(C186,巡逻产出!$B$311:$B$610,巡逻产出!$I$311:$I$610)*IF($C$27=1,0.5,1)</f>
        <v>312</v>
      </c>
      <c r="L186" s="80">
        <f ca="1">OFFSET(产销汇总!$C$1,MATCH(L$28,产销汇总!$C$2:$C$8,0),$C$27)*竞技场!$C$5</f>
        <v>180</v>
      </c>
      <c r="M186" s="80">
        <f>任务!$C$6+IF(MOD(B186,7)=0,任务!$M$25)</f>
        <v>30</v>
      </c>
      <c r="N186" s="98">
        <f t="shared" si="17"/>
        <v>1.7</v>
      </c>
      <c r="O186" s="80">
        <f t="shared" si="18"/>
        <v>0</v>
      </c>
      <c r="P186" s="172">
        <f ca="1">OFFSET(产销汇总!$C$1,MATCH(P$27,产销汇总!$C$2:$C$8,0),$C$27)/200*协力宝箱!$Q$82</f>
        <v>0</v>
      </c>
      <c r="Q186" s="80">
        <f t="shared" si="19"/>
        <v>10</v>
      </c>
      <c r="R186" s="80">
        <v>10</v>
      </c>
      <c r="S186" s="172">
        <f t="shared" si="21"/>
        <v>100</v>
      </c>
      <c r="T186" s="172">
        <f>(公会!$F$12+公会!$F$13+公会!$F$14+公会!$F$18/7)/2</f>
        <v>121.428571428571</v>
      </c>
      <c r="U186" s="172">
        <f t="shared" si="20"/>
        <v>150</v>
      </c>
      <c r="V186" s="172" t="e">
        <f ca="1">SUM($H$29:U186)+SUM(D186:G186)</f>
        <v>#N/A</v>
      </c>
      <c r="W186" s="132" t="e">
        <f ca="1" t="shared" si="22"/>
        <v>#N/A</v>
      </c>
    </row>
    <row r="187" spans="1:23">
      <c r="A187" s="171"/>
      <c r="B187" s="80">
        <v>159</v>
      </c>
      <c r="C187" s="80">
        <f ca="1">OFFSET(产销汇总!$C$12,$B187,$C$27)</f>
        <v>202.5</v>
      </c>
      <c r="D187" s="80">
        <f ca="1">SUMIF(主线宝箱!$B$321:$B$620,"&lt;="&amp;C187,主线宝箱!$H$321:$H$620)+SUMIF(主线宝箱!$B$321:$B$620,"&lt;="&amp;C187,主线宝箱!$T$321:$T$620)</f>
        <v>8080</v>
      </c>
      <c r="E187" s="80">
        <v>110</v>
      </c>
      <c r="F187" s="80">
        <f t="shared" si="23"/>
        <v>450</v>
      </c>
      <c r="G187" s="80">
        <f ca="1">IF(AND($C$27&lt;3,B187&gt;3),G186,SUMIF(图纸产出设计!$F$334:$F$342,"&lt;="&amp;B187,图纸产出设计!$C$334:$C$342))</f>
        <v>3890</v>
      </c>
      <c r="H187" s="80" t="e">
        <f ca="1">OFFSET(产销汇总!$C$1,MATCH(H$28,产销汇总!$C$2:$C$8,0),$C$27)*(_xlfn.XLOOKUP(C187,主线推图!$B$313:$B$612,主线推图!$G$313:$G$612)+_xlfn.XLOOKUP(C187,主线推图!$B$313:$B$612,主线推图!$H$313:$H$612))</f>
        <v>#N/A</v>
      </c>
      <c r="I187" s="80" t="e">
        <f ca="1">OFFSET(产销汇总!$C$1,MATCH(I$28,产销汇总!$C$2:$C$8,0),$C$27)*_xlfn.XLOOKUP(C187,巡逻产出!$B$311:$B$610,巡逻产出!$H$311:$H$610)</f>
        <v>#N/A</v>
      </c>
      <c r="J187" s="80" t="e">
        <f ca="1">OFFSET(产销汇总!$C$1,MATCH(J$28,产销汇总!$C$2:$C$8,0),$C$27)*(_xlfn.XLOOKUP(MAX(1,INT(C187/10-6/10)),组队产出!$B$24:$B$39,组队产出!$J$24:$J$39)+_xlfn.XLOOKUP(MAX(1,INT(C187/10-6/10)),组队产出!$B$24:$B$39,组队产出!$K$24:$K$39))</f>
        <v>#N/A</v>
      </c>
      <c r="K187" s="80" t="e">
        <f ca="1">OFFSET(产销汇总!$C$1,MATCH(K$28,产销汇总!$C$2:$C$8,0),$C$27)*_xlfn.XLOOKUP(C187,巡逻产出!$B$311:$B$610,巡逻产出!$I$311:$I$610)*IF($C$27=1,0.5,1)</f>
        <v>#N/A</v>
      </c>
      <c r="L187" s="80">
        <f ca="1">OFFSET(产销汇总!$C$1,MATCH(L$28,产销汇总!$C$2:$C$8,0),$C$27)*竞技场!$C$5</f>
        <v>180</v>
      </c>
      <c r="M187" s="80">
        <f>任务!$C$6+IF(MOD(B187,7)=0,任务!$M$25)</f>
        <v>30</v>
      </c>
      <c r="N187" s="98">
        <f t="shared" si="17"/>
        <v>1.7</v>
      </c>
      <c r="O187" s="80">
        <f t="shared" si="18"/>
        <v>10</v>
      </c>
      <c r="P187" s="172">
        <f ca="1">OFFSET(产销汇总!$C$1,MATCH(P$27,产销汇总!$C$2:$C$8,0),$C$27)/200*协力宝箱!$Q$82</f>
        <v>0</v>
      </c>
      <c r="Q187" s="80">
        <f t="shared" si="19"/>
        <v>10</v>
      </c>
      <c r="R187" s="80">
        <v>10</v>
      </c>
      <c r="S187" s="172">
        <f t="shared" si="21"/>
        <v>100</v>
      </c>
      <c r="T187" s="172">
        <f>(公会!$F$12+公会!$F$13+公会!$F$14+公会!$F$18/7)/2</f>
        <v>121.428571428571</v>
      </c>
      <c r="U187" s="172">
        <f t="shared" si="20"/>
        <v>150</v>
      </c>
      <c r="V187" s="172" t="e">
        <f ca="1">SUM($H$29:U187)+SUM(D187:G187)</f>
        <v>#N/A</v>
      </c>
      <c r="W187" s="132" t="e">
        <f ca="1" t="shared" si="22"/>
        <v>#N/A</v>
      </c>
    </row>
    <row r="188" spans="1:23">
      <c r="A188" s="171"/>
      <c r="B188" s="80">
        <v>160</v>
      </c>
      <c r="C188" s="80">
        <f ca="1">OFFSET(产销汇总!$C$12,$B188,$C$27)</f>
        <v>203</v>
      </c>
      <c r="D188" s="80">
        <f ca="1">SUMIF(主线宝箱!$B$321:$B$620,"&lt;="&amp;C188,主线宝箱!$H$321:$H$620)+SUMIF(主线宝箱!$B$321:$B$620,"&lt;="&amp;C188,主线宝箱!$T$321:$T$620)</f>
        <v>8120</v>
      </c>
      <c r="E188" s="80">
        <v>110</v>
      </c>
      <c r="F188" s="80">
        <f t="shared" si="23"/>
        <v>450</v>
      </c>
      <c r="G188" s="80">
        <f ca="1">IF(AND($C$27&lt;3,B188&gt;3),G187,SUMIF(图纸产出设计!$F$334:$F$342,"&lt;="&amp;B188,图纸产出设计!$C$334:$C$342))</f>
        <v>3890</v>
      </c>
      <c r="H188" s="80">
        <f ca="1">OFFSET(产销汇总!$C$1,MATCH(H$28,产销汇总!$C$2:$C$8,0),$C$27)*(_xlfn.XLOOKUP(C188,主线推图!$B$313:$B$612,主线推图!$G$313:$G$612)+_xlfn.XLOOKUP(C188,主线推图!$B$313:$B$612,主线推图!$H$313:$H$612))</f>
        <v>176</v>
      </c>
      <c r="I188" s="80">
        <f ca="1">OFFSET(产销汇总!$C$1,MATCH(I$28,产销汇总!$C$2:$C$8,0),$C$27)*_xlfn.XLOOKUP(C188,巡逻产出!$B$311:$B$610,巡逻产出!$H$311:$H$610)</f>
        <v>0</v>
      </c>
      <c r="J188" s="80" t="e">
        <f ca="1">OFFSET(产销汇总!$C$1,MATCH(J$28,产销汇总!$C$2:$C$8,0),$C$27)*(_xlfn.XLOOKUP(MAX(1,INT(C188/10-6/10)),组队产出!$B$24:$B$39,组队产出!$J$24:$J$39)+_xlfn.XLOOKUP(MAX(1,INT(C188/10-6/10)),组队产出!$B$24:$B$39,组队产出!$K$24:$K$39))</f>
        <v>#N/A</v>
      </c>
      <c r="K188" s="80">
        <f ca="1">OFFSET(产销汇总!$C$1,MATCH(K$28,产销汇总!$C$2:$C$8,0),$C$27)*_xlfn.XLOOKUP(C188,巡逻产出!$B$311:$B$610,巡逻产出!$I$311:$I$610)*IF($C$27=1,0.5,1)</f>
        <v>312</v>
      </c>
      <c r="L188" s="80">
        <f ca="1">OFFSET(产销汇总!$C$1,MATCH(L$28,产销汇总!$C$2:$C$8,0),$C$27)*竞技场!$C$5</f>
        <v>180</v>
      </c>
      <c r="M188" s="80">
        <f>任务!$C$6+IF(MOD(B188,7)=0,任务!$M$25)</f>
        <v>30</v>
      </c>
      <c r="N188" s="98">
        <f t="shared" si="17"/>
        <v>1.7</v>
      </c>
      <c r="O188" s="80">
        <f t="shared" si="18"/>
        <v>0</v>
      </c>
      <c r="P188" s="172">
        <f ca="1">OFFSET(产销汇总!$C$1,MATCH(P$27,产销汇总!$C$2:$C$8,0),$C$27)/200*协力宝箱!$Q$82</f>
        <v>0</v>
      </c>
      <c r="Q188" s="80">
        <f t="shared" si="19"/>
        <v>10</v>
      </c>
      <c r="R188" s="80">
        <v>10</v>
      </c>
      <c r="S188" s="172">
        <f t="shared" si="21"/>
        <v>100</v>
      </c>
      <c r="T188" s="172">
        <f>(公会!$F$12+公会!$F$13+公会!$F$14+公会!$F$18/7)/2</f>
        <v>121.428571428571</v>
      </c>
      <c r="U188" s="172">
        <f t="shared" si="20"/>
        <v>150</v>
      </c>
      <c r="V188" s="172" t="e">
        <f ca="1">SUM($H$29:U188)+SUM(D188:G188)</f>
        <v>#N/A</v>
      </c>
      <c r="W188" s="132" t="e">
        <f ca="1" t="shared" si="22"/>
        <v>#N/A</v>
      </c>
    </row>
    <row r="189" spans="1:23">
      <c r="A189" s="171"/>
      <c r="B189" s="80">
        <v>161</v>
      </c>
      <c r="C189" s="80">
        <f ca="1">OFFSET(产销汇总!$C$12,$B189,$C$27)</f>
        <v>203.5</v>
      </c>
      <c r="D189" s="80">
        <f ca="1">SUMIF(主线宝箱!$B$321:$B$620,"&lt;="&amp;C189,主线宝箱!$H$321:$H$620)+SUMIF(主线宝箱!$B$321:$B$620,"&lt;="&amp;C189,主线宝箱!$T$321:$T$620)</f>
        <v>8120</v>
      </c>
      <c r="E189" s="80">
        <v>110</v>
      </c>
      <c r="F189" s="80">
        <f t="shared" si="23"/>
        <v>450</v>
      </c>
      <c r="G189" s="80">
        <f ca="1">IF(AND($C$27&lt;3,B189&gt;3),G188,SUMIF(图纸产出设计!$F$334:$F$342,"&lt;="&amp;B189,图纸产出设计!$C$334:$C$342))</f>
        <v>3890</v>
      </c>
      <c r="H189" s="80" t="e">
        <f ca="1">OFFSET(产销汇总!$C$1,MATCH(H$28,产销汇总!$C$2:$C$8,0),$C$27)*(_xlfn.XLOOKUP(C189,主线推图!$B$313:$B$612,主线推图!$G$313:$G$612)+_xlfn.XLOOKUP(C189,主线推图!$B$313:$B$612,主线推图!$H$313:$H$612))</f>
        <v>#N/A</v>
      </c>
      <c r="I189" s="80" t="e">
        <f ca="1">OFFSET(产销汇总!$C$1,MATCH(I$28,产销汇总!$C$2:$C$8,0),$C$27)*_xlfn.XLOOKUP(C189,巡逻产出!$B$311:$B$610,巡逻产出!$H$311:$H$610)</f>
        <v>#N/A</v>
      </c>
      <c r="J189" s="80" t="e">
        <f ca="1">OFFSET(产销汇总!$C$1,MATCH(J$28,产销汇总!$C$2:$C$8,0),$C$27)*(_xlfn.XLOOKUP(MAX(1,INT(C189/10-6/10)),组队产出!$B$24:$B$39,组队产出!$J$24:$J$39)+_xlfn.XLOOKUP(MAX(1,INT(C189/10-6/10)),组队产出!$B$24:$B$39,组队产出!$K$24:$K$39))</f>
        <v>#N/A</v>
      </c>
      <c r="K189" s="80" t="e">
        <f ca="1">OFFSET(产销汇总!$C$1,MATCH(K$28,产销汇总!$C$2:$C$8,0),$C$27)*_xlfn.XLOOKUP(C189,巡逻产出!$B$311:$B$610,巡逻产出!$I$311:$I$610)*IF($C$27=1,0.5,1)</f>
        <v>#N/A</v>
      </c>
      <c r="L189" s="80">
        <f ca="1">OFFSET(产销汇总!$C$1,MATCH(L$28,产销汇总!$C$2:$C$8,0),$C$27)*竞技场!$C$5</f>
        <v>180</v>
      </c>
      <c r="M189" s="80">
        <f>任务!$C$6+IF(MOD(B189,7)=0,任务!$M$25)</f>
        <v>60</v>
      </c>
      <c r="N189" s="98">
        <f t="shared" si="17"/>
        <v>1.7</v>
      </c>
      <c r="O189" s="80">
        <f t="shared" si="18"/>
        <v>0</v>
      </c>
      <c r="P189" s="172">
        <f ca="1">OFFSET(产销汇总!$C$1,MATCH(P$27,产销汇总!$C$2:$C$8,0),$C$27)/200*协力宝箱!$Q$82</f>
        <v>0</v>
      </c>
      <c r="Q189" s="80">
        <f t="shared" si="19"/>
        <v>10</v>
      </c>
      <c r="R189" s="80">
        <v>10</v>
      </c>
      <c r="S189" s="172">
        <f t="shared" si="21"/>
        <v>100</v>
      </c>
      <c r="T189" s="172">
        <f>(公会!$F$12+公会!$F$13+公会!$F$14+公会!$F$18/7)/2</f>
        <v>121.428571428571</v>
      </c>
      <c r="U189" s="172">
        <f t="shared" si="20"/>
        <v>150</v>
      </c>
      <c r="V189" s="172" t="e">
        <f ca="1">SUM($H$29:U189)+SUM(D189:G189)</f>
        <v>#N/A</v>
      </c>
      <c r="W189" s="132" t="e">
        <f ca="1" t="shared" si="22"/>
        <v>#N/A</v>
      </c>
    </row>
    <row r="190" spans="1:23">
      <c r="A190" s="171"/>
      <c r="B190" s="80">
        <v>162</v>
      </c>
      <c r="C190" s="80">
        <f ca="1">OFFSET(产销汇总!$C$12,$B190,$C$27)</f>
        <v>204</v>
      </c>
      <c r="D190" s="80">
        <f ca="1">SUMIF(主线宝箱!$B$321:$B$620,"&lt;="&amp;C190,主线宝箱!$H$321:$H$620)+SUMIF(主线宝箱!$B$321:$B$620,"&lt;="&amp;C190,主线宝箱!$T$321:$T$620)</f>
        <v>8160</v>
      </c>
      <c r="E190" s="80">
        <v>110</v>
      </c>
      <c r="F190" s="80">
        <f t="shared" si="23"/>
        <v>450</v>
      </c>
      <c r="G190" s="80">
        <f ca="1">IF(AND($C$27&lt;3,B190&gt;3),G189,SUMIF(图纸产出设计!$F$334:$F$342,"&lt;="&amp;B190,图纸产出设计!$C$334:$C$342))</f>
        <v>3890</v>
      </c>
      <c r="H190" s="80">
        <f ca="1">OFFSET(产销汇总!$C$1,MATCH(H$28,产销汇总!$C$2:$C$8,0),$C$27)*(_xlfn.XLOOKUP(C190,主线推图!$B$313:$B$612,主线推图!$G$313:$G$612)+_xlfn.XLOOKUP(C190,主线推图!$B$313:$B$612,主线推图!$H$313:$H$612))</f>
        <v>176</v>
      </c>
      <c r="I190" s="80">
        <f ca="1">OFFSET(产销汇总!$C$1,MATCH(I$28,产销汇总!$C$2:$C$8,0),$C$27)*_xlfn.XLOOKUP(C190,巡逻产出!$B$311:$B$610,巡逻产出!$H$311:$H$610)</f>
        <v>0</v>
      </c>
      <c r="J190" s="80" t="e">
        <f ca="1">OFFSET(产销汇总!$C$1,MATCH(J$28,产销汇总!$C$2:$C$8,0),$C$27)*(_xlfn.XLOOKUP(MAX(1,INT(C190/10-6/10)),组队产出!$B$24:$B$39,组队产出!$J$24:$J$39)+_xlfn.XLOOKUP(MAX(1,INT(C190/10-6/10)),组队产出!$B$24:$B$39,组队产出!$K$24:$K$39))</f>
        <v>#N/A</v>
      </c>
      <c r="K190" s="80">
        <f ca="1">OFFSET(产销汇总!$C$1,MATCH(K$28,产销汇总!$C$2:$C$8,0),$C$27)*_xlfn.XLOOKUP(C190,巡逻产出!$B$311:$B$610,巡逻产出!$I$311:$I$610)*IF($C$27=1,0.5,1)</f>
        <v>312</v>
      </c>
      <c r="L190" s="80">
        <f ca="1">OFFSET(产销汇总!$C$1,MATCH(L$28,产销汇总!$C$2:$C$8,0),$C$27)*竞技场!$C$5</f>
        <v>180</v>
      </c>
      <c r="M190" s="80">
        <f>任务!$C$6+IF(MOD(B190,7)=0,任务!$M$25)</f>
        <v>30</v>
      </c>
      <c r="N190" s="98">
        <f t="shared" si="17"/>
        <v>1.7</v>
      </c>
      <c r="O190" s="80">
        <f t="shared" si="18"/>
        <v>0</v>
      </c>
      <c r="P190" s="172">
        <f ca="1">OFFSET(产销汇总!$C$1,MATCH(P$27,产销汇总!$C$2:$C$8,0),$C$27)/200*协力宝箱!$Q$82</f>
        <v>0</v>
      </c>
      <c r="Q190" s="80">
        <f t="shared" si="19"/>
        <v>10</v>
      </c>
      <c r="R190" s="80">
        <v>10</v>
      </c>
      <c r="S190" s="172">
        <f t="shared" si="21"/>
        <v>100</v>
      </c>
      <c r="T190" s="172">
        <f>(公会!$F$12+公会!$F$13+公会!$F$14+公会!$F$18/7)/2</f>
        <v>121.428571428571</v>
      </c>
      <c r="U190" s="172">
        <f t="shared" si="20"/>
        <v>150</v>
      </c>
      <c r="V190" s="172" t="e">
        <f ca="1">SUM($H$29:U190)+SUM(D190:G190)</f>
        <v>#N/A</v>
      </c>
      <c r="W190" s="132" t="e">
        <f ca="1" t="shared" si="22"/>
        <v>#N/A</v>
      </c>
    </row>
    <row r="191" spans="1:23">
      <c r="A191" s="171"/>
      <c r="B191" s="80">
        <v>163</v>
      </c>
      <c r="C191" s="80">
        <f ca="1">OFFSET(产销汇总!$C$12,$B191,$C$27)</f>
        <v>204.5</v>
      </c>
      <c r="D191" s="80">
        <f ca="1">SUMIF(主线宝箱!$B$321:$B$620,"&lt;="&amp;C191,主线宝箱!$H$321:$H$620)+SUMIF(主线宝箱!$B$321:$B$620,"&lt;="&amp;C191,主线宝箱!$T$321:$T$620)</f>
        <v>8160</v>
      </c>
      <c r="E191" s="80">
        <v>110</v>
      </c>
      <c r="F191" s="80">
        <f t="shared" si="23"/>
        <v>450</v>
      </c>
      <c r="G191" s="80">
        <f ca="1">IF(AND($C$27&lt;3,B191&gt;3),G190,SUMIF(图纸产出设计!$F$334:$F$342,"&lt;="&amp;B191,图纸产出设计!$C$334:$C$342))</f>
        <v>3890</v>
      </c>
      <c r="H191" s="80" t="e">
        <f ca="1">OFFSET(产销汇总!$C$1,MATCH(H$28,产销汇总!$C$2:$C$8,0),$C$27)*(_xlfn.XLOOKUP(C191,主线推图!$B$313:$B$612,主线推图!$G$313:$G$612)+_xlfn.XLOOKUP(C191,主线推图!$B$313:$B$612,主线推图!$H$313:$H$612))</f>
        <v>#N/A</v>
      </c>
      <c r="I191" s="80" t="e">
        <f ca="1">OFFSET(产销汇总!$C$1,MATCH(I$28,产销汇总!$C$2:$C$8,0),$C$27)*_xlfn.XLOOKUP(C191,巡逻产出!$B$311:$B$610,巡逻产出!$H$311:$H$610)</f>
        <v>#N/A</v>
      </c>
      <c r="J191" s="80" t="e">
        <f ca="1">OFFSET(产销汇总!$C$1,MATCH(J$28,产销汇总!$C$2:$C$8,0),$C$27)*(_xlfn.XLOOKUP(MAX(1,INT(C191/10-6/10)),组队产出!$B$24:$B$39,组队产出!$J$24:$J$39)+_xlfn.XLOOKUP(MAX(1,INT(C191/10-6/10)),组队产出!$B$24:$B$39,组队产出!$K$24:$K$39))</f>
        <v>#N/A</v>
      </c>
      <c r="K191" s="80" t="e">
        <f ca="1">OFFSET(产销汇总!$C$1,MATCH(K$28,产销汇总!$C$2:$C$8,0),$C$27)*_xlfn.XLOOKUP(C191,巡逻产出!$B$311:$B$610,巡逻产出!$I$311:$I$610)*IF($C$27=1,0.5,1)</f>
        <v>#N/A</v>
      </c>
      <c r="L191" s="80">
        <f ca="1">OFFSET(产销汇总!$C$1,MATCH(L$28,产销汇总!$C$2:$C$8,0),$C$27)*竞技场!$C$5</f>
        <v>180</v>
      </c>
      <c r="M191" s="80">
        <f>任务!$C$6+IF(MOD(B191,7)=0,任务!$M$25)</f>
        <v>30</v>
      </c>
      <c r="N191" s="98">
        <f t="shared" si="17"/>
        <v>1.7</v>
      </c>
      <c r="O191" s="80">
        <f t="shared" si="18"/>
        <v>10</v>
      </c>
      <c r="P191" s="172">
        <f ca="1">OFFSET(产销汇总!$C$1,MATCH(P$27,产销汇总!$C$2:$C$8,0),$C$27)/200*协力宝箱!$Q$82</f>
        <v>0</v>
      </c>
      <c r="Q191" s="80">
        <f t="shared" si="19"/>
        <v>10</v>
      </c>
      <c r="R191" s="80">
        <v>10</v>
      </c>
      <c r="S191" s="172">
        <f t="shared" si="21"/>
        <v>100</v>
      </c>
      <c r="T191" s="172">
        <f>(公会!$F$12+公会!$F$13+公会!$F$14+公会!$F$18/7)/2</f>
        <v>121.428571428571</v>
      </c>
      <c r="U191" s="172">
        <f t="shared" si="20"/>
        <v>150</v>
      </c>
      <c r="V191" s="172" t="e">
        <f ca="1">SUM($H$29:U191)+SUM(D191:G191)</f>
        <v>#N/A</v>
      </c>
      <c r="W191" s="132" t="e">
        <f ca="1" t="shared" si="22"/>
        <v>#N/A</v>
      </c>
    </row>
    <row r="192" spans="1:23">
      <c r="A192" s="171"/>
      <c r="B192" s="80">
        <v>164</v>
      </c>
      <c r="C192" s="80">
        <f ca="1">OFFSET(产销汇总!$C$12,$B192,$C$27)</f>
        <v>205</v>
      </c>
      <c r="D192" s="80">
        <f ca="1">SUMIF(主线宝箱!$B$321:$B$620,"&lt;="&amp;C192,主线宝箱!$H$321:$H$620)+SUMIF(主线宝箱!$B$321:$B$620,"&lt;="&amp;C192,主线宝箱!$T$321:$T$620)</f>
        <v>8200</v>
      </c>
      <c r="E192" s="80">
        <v>110</v>
      </c>
      <c r="F192" s="80">
        <f t="shared" si="23"/>
        <v>450</v>
      </c>
      <c r="G192" s="80">
        <f ca="1">IF(AND($C$27&lt;3,B192&gt;3),G191,SUMIF(图纸产出设计!$F$334:$F$342,"&lt;="&amp;B192,图纸产出设计!$C$334:$C$342))</f>
        <v>3890</v>
      </c>
      <c r="H192" s="80">
        <f ca="1">OFFSET(产销汇总!$C$1,MATCH(H$28,产销汇总!$C$2:$C$8,0),$C$27)*(_xlfn.XLOOKUP(C192,主线推图!$B$313:$B$612,主线推图!$G$313:$G$612)+_xlfn.XLOOKUP(C192,主线推图!$B$313:$B$612,主线推图!$H$313:$H$612))</f>
        <v>176</v>
      </c>
      <c r="I192" s="80">
        <f ca="1">OFFSET(产销汇总!$C$1,MATCH(I$28,产销汇总!$C$2:$C$8,0),$C$27)*_xlfn.XLOOKUP(C192,巡逻产出!$B$311:$B$610,巡逻产出!$H$311:$H$610)</f>
        <v>0</v>
      </c>
      <c r="J192" s="80" t="e">
        <f ca="1">OFFSET(产销汇总!$C$1,MATCH(J$28,产销汇总!$C$2:$C$8,0),$C$27)*(_xlfn.XLOOKUP(MAX(1,INT(C192/10-6/10)),组队产出!$B$24:$B$39,组队产出!$J$24:$J$39)+_xlfn.XLOOKUP(MAX(1,INT(C192/10-6/10)),组队产出!$B$24:$B$39,组队产出!$K$24:$K$39))</f>
        <v>#N/A</v>
      </c>
      <c r="K192" s="80">
        <f ca="1">OFFSET(产销汇总!$C$1,MATCH(K$28,产销汇总!$C$2:$C$8,0),$C$27)*_xlfn.XLOOKUP(C192,巡逻产出!$B$311:$B$610,巡逻产出!$I$311:$I$610)*IF($C$27=1,0.5,1)</f>
        <v>312</v>
      </c>
      <c r="L192" s="80">
        <f ca="1">OFFSET(产销汇总!$C$1,MATCH(L$28,产销汇总!$C$2:$C$8,0),$C$27)*竞技场!$C$5</f>
        <v>180</v>
      </c>
      <c r="M192" s="80">
        <f>任务!$C$6+IF(MOD(B192,7)=0,任务!$M$25)</f>
        <v>30</v>
      </c>
      <c r="N192" s="98">
        <f t="shared" si="17"/>
        <v>1.7</v>
      </c>
      <c r="O192" s="80">
        <f t="shared" si="18"/>
        <v>0</v>
      </c>
      <c r="P192" s="172">
        <f ca="1">OFFSET(产销汇总!$C$1,MATCH(P$27,产销汇总!$C$2:$C$8,0),$C$27)/200*协力宝箱!$Q$82</f>
        <v>0</v>
      </c>
      <c r="Q192" s="80">
        <f t="shared" si="19"/>
        <v>10</v>
      </c>
      <c r="R192" s="80">
        <v>10</v>
      </c>
      <c r="S192" s="172">
        <f t="shared" si="21"/>
        <v>100</v>
      </c>
      <c r="T192" s="172">
        <f>(公会!$F$12+公会!$F$13+公会!$F$14+公会!$F$18/7)/2</f>
        <v>121.428571428571</v>
      </c>
      <c r="U192" s="172">
        <f t="shared" si="20"/>
        <v>150</v>
      </c>
      <c r="V192" s="172" t="e">
        <f ca="1">SUM($H$29:U192)+SUM(D192:G192)</f>
        <v>#N/A</v>
      </c>
      <c r="W192" s="132" t="e">
        <f ca="1" t="shared" si="22"/>
        <v>#N/A</v>
      </c>
    </row>
    <row r="193" spans="1:23">
      <c r="A193" s="171"/>
      <c r="B193" s="80">
        <v>165</v>
      </c>
      <c r="C193" s="80">
        <f ca="1">OFFSET(产销汇总!$C$12,$B193,$C$27)</f>
        <v>205.5</v>
      </c>
      <c r="D193" s="80">
        <f ca="1">SUMIF(主线宝箱!$B$321:$B$620,"&lt;="&amp;C193,主线宝箱!$H$321:$H$620)+SUMIF(主线宝箱!$B$321:$B$620,"&lt;="&amp;C193,主线宝箱!$T$321:$T$620)</f>
        <v>8200</v>
      </c>
      <c r="E193" s="80">
        <v>110</v>
      </c>
      <c r="F193" s="80">
        <f t="shared" si="23"/>
        <v>450</v>
      </c>
      <c r="G193" s="80">
        <f ca="1">IF(AND($C$27&lt;3,B193&gt;3),G192,SUMIF(图纸产出设计!$F$334:$F$342,"&lt;="&amp;B193,图纸产出设计!$C$334:$C$342))</f>
        <v>3890</v>
      </c>
      <c r="H193" s="80" t="e">
        <f ca="1">OFFSET(产销汇总!$C$1,MATCH(H$28,产销汇总!$C$2:$C$8,0),$C$27)*(_xlfn.XLOOKUP(C193,主线推图!$B$313:$B$612,主线推图!$G$313:$G$612)+_xlfn.XLOOKUP(C193,主线推图!$B$313:$B$612,主线推图!$H$313:$H$612))</f>
        <v>#N/A</v>
      </c>
      <c r="I193" s="80" t="e">
        <f ca="1">OFFSET(产销汇总!$C$1,MATCH(I$28,产销汇总!$C$2:$C$8,0),$C$27)*_xlfn.XLOOKUP(C193,巡逻产出!$B$311:$B$610,巡逻产出!$H$311:$H$610)</f>
        <v>#N/A</v>
      </c>
      <c r="J193" s="80" t="e">
        <f ca="1">OFFSET(产销汇总!$C$1,MATCH(J$28,产销汇总!$C$2:$C$8,0),$C$27)*(_xlfn.XLOOKUP(MAX(1,INT(C193/10-6/10)),组队产出!$B$24:$B$39,组队产出!$J$24:$J$39)+_xlfn.XLOOKUP(MAX(1,INT(C193/10-6/10)),组队产出!$B$24:$B$39,组队产出!$K$24:$K$39))</f>
        <v>#N/A</v>
      </c>
      <c r="K193" s="80" t="e">
        <f ca="1">OFFSET(产销汇总!$C$1,MATCH(K$28,产销汇总!$C$2:$C$8,0),$C$27)*_xlfn.XLOOKUP(C193,巡逻产出!$B$311:$B$610,巡逻产出!$I$311:$I$610)*IF($C$27=1,0.5,1)</f>
        <v>#N/A</v>
      </c>
      <c r="L193" s="80">
        <f ca="1">OFFSET(产销汇总!$C$1,MATCH(L$28,产销汇总!$C$2:$C$8,0),$C$27)*竞技场!$C$5</f>
        <v>180</v>
      </c>
      <c r="M193" s="80">
        <f>任务!$C$6+IF(MOD(B193,7)=0,任务!$M$25)</f>
        <v>30</v>
      </c>
      <c r="N193" s="98">
        <f t="shared" si="17"/>
        <v>1.7</v>
      </c>
      <c r="O193" s="80">
        <f t="shared" si="18"/>
        <v>0</v>
      </c>
      <c r="P193" s="172">
        <f ca="1">OFFSET(产销汇总!$C$1,MATCH(P$27,产销汇总!$C$2:$C$8,0),$C$27)/200*协力宝箱!$Q$82</f>
        <v>0</v>
      </c>
      <c r="Q193" s="80">
        <f t="shared" si="19"/>
        <v>10</v>
      </c>
      <c r="R193" s="80">
        <v>10</v>
      </c>
      <c r="S193" s="172">
        <f t="shared" si="21"/>
        <v>100</v>
      </c>
      <c r="T193" s="172">
        <f>(公会!$F$12+公会!$F$13+公会!$F$14+公会!$F$18/7)/2</f>
        <v>121.428571428571</v>
      </c>
      <c r="U193" s="172">
        <f t="shared" si="20"/>
        <v>150</v>
      </c>
      <c r="V193" s="172" t="e">
        <f ca="1">SUM($H$29:U193)+SUM(D193:G193)</f>
        <v>#N/A</v>
      </c>
      <c r="W193" s="132" t="e">
        <f ca="1" t="shared" si="22"/>
        <v>#N/A</v>
      </c>
    </row>
    <row r="194" spans="1:23">
      <c r="A194" s="171"/>
      <c r="B194" s="80">
        <v>166</v>
      </c>
      <c r="C194" s="80">
        <f ca="1">OFFSET(产销汇总!$C$12,$B194,$C$27)</f>
        <v>206</v>
      </c>
      <c r="D194" s="80">
        <f ca="1">SUMIF(主线宝箱!$B$321:$B$620,"&lt;="&amp;C194,主线宝箱!$H$321:$H$620)+SUMIF(主线宝箱!$B$321:$B$620,"&lt;="&amp;C194,主线宝箱!$T$321:$T$620)</f>
        <v>8240</v>
      </c>
      <c r="E194" s="80">
        <v>110</v>
      </c>
      <c r="F194" s="80">
        <f t="shared" si="23"/>
        <v>450</v>
      </c>
      <c r="G194" s="80">
        <f ca="1">IF(AND($C$27&lt;3,B194&gt;3),G193,SUMIF(图纸产出设计!$F$334:$F$342,"&lt;="&amp;B194,图纸产出设计!$C$334:$C$342))</f>
        <v>3890</v>
      </c>
      <c r="H194" s="80">
        <f ca="1">OFFSET(产销汇总!$C$1,MATCH(H$28,产销汇总!$C$2:$C$8,0),$C$27)*(_xlfn.XLOOKUP(C194,主线推图!$B$313:$B$612,主线推图!$G$313:$G$612)+_xlfn.XLOOKUP(C194,主线推图!$B$313:$B$612,主线推图!$H$313:$H$612))</f>
        <v>176</v>
      </c>
      <c r="I194" s="80">
        <f ca="1">OFFSET(产销汇总!$C$1,MATCH(I$28,产销汇总!$C$2:$C$8,0),$C$27)*_xlfn.XLOOKUP(C194,巡逻产出!$B$311:$B$610,巡逻产出!$H$311:$H$610)</f>
        <v>0</v>
      </c>
      <c r="J194" s="80" t="e">
        <f ca="1">OFFSET(产销汇总!$C$1,MATCH(J$28,产销汇总!$C$2:$C$8,0),$C$27)*(_xlfn.XLOOKUP(MAX(1,INT(C194/10-6/10)),组队产出!$B$24:$B$39,组队产出!$J$24:$J$39)+_xlfn.XLOOKUP(MAX(1,INT(C194/10-6/10)),组队产出!$B$24:$B$39,组队产出!$K$24:$K$39))</f>
        <v>#N/A</v>
      </c>
      <c r="K194" s="80">
        <f ca="1">OFFSET(产销汇总!$C$1,MATCH(K$28,产销汇总!$C$2:$C$8,0),$C$27)*_xlfn.XLOOKUP(C194,巡逻产出!$B$311:$B$610,巡逻产出!$I$311:$I$610)*IF($C$27=1,0.5,1)</f>
        <v>312</v>
      </c>
      <c r="L194" s="80">
        <f ca="1">OFFSET(产销汇总!$C$1,MATCH(L$28,产销汇总!$C$2:$C$8,0),$C$27)*竞技场!$C$5</f>
        <v>180</v>
      </c>
      <c r="M194" s="80">
        <f>任务!$C$6+IF(MOD(B194,7)=0,任务!$M$25)</f>
        <v>30</v>
      </c>
      <c r="N194" s="98">
        <f t="shared" si="17"/>
        <v>1.7</v>
      </c>
      <c r="O194" s="80">
        <f t="shared" si="18"/>
        <v>10</v>
      </c>
      <c r="P194" s="172">
        <f ca="1">OFFSET(产销汇总!$C$1,MATCH(P$27,产销汇总!$C$2:$C$8,0),$C$27)/200*协力宝箱!$Q$82</f>
        <v>0</v>
      </c>
      <c r="Q194" s="80">
        <f t="shared" si="19"/>
        <v>10</v>
      </c>
      <c r="R194" s="80">
        <v>10</v>
      </c>
      <c r="S194" s="172">
        <f t="shared" si="21"/>
        <v>100</v>
      </c>
      <c r="T194" s="172">
        <f>(公会!$F$12+公会!$F$13+公会!$F$14+公会!$F$18/7)/2</f>
        <v>121.428571428571</v>
      </c>
      <c r="U194" s="172">
        <f t="shared" si="20"/>
        <v>150</v>
      </c>
      <c r="V194" s="172" t="e">
        <f ca="1">SUM($H$29:U194)+SUM(D194:G194)</f>
        <v>#N/A</v>
      </c>
      <c r="W194" s="132" t="e">
        <f ca="1" t="shared" si="22"/>
        <v>#N/A</v>
      </c>
    </row>
    <row r="195" spans="1:23">
      <c r="A195" s="171"/>
      <c r="B195" s="80">
        <v>167</v>
      </c>
      <c r="C195" s="80">
        <f ca="1">OFFSET(产销汇总!$C$12,$B195,$C$27)</f>
        <v>206.5</v>
      </c>
      <c r="D195" s="80">
        <f ca="1">SUMIF(主线宝箱!$B$321:$B$620,"&lt;="&amp;C195,主线宝箱!$H$321:$H$620)+SUMIF(主线宝箱!$B$321:$B$620,"&lt;="&amp;C195,主线宝箱!$T$321:$T$620)</f>
        <v>8240</v>
      </c>
      <c r="E195" s="80">
        <v>110</v>
      </c>
      <c r="F195" s="80">
        <f t="shared" si="23"/>
        <v>450</v>
      </c>
      <c r="G195" s="80">
        <f ca="1">IF(AND($C$27&lt;3,B195&gt;3),G194,SUMIF(图纸产出设计!$F$334:$F$342,"&lt;="&amp;B195,图纸产出设计!$C$334:$C$342))</f>
        <v>3890</v>
      </c>
      <c r="H195" s="80" t="e">
        <f ca="1">OFFSET(产销汇总!$C$1,MATCH(H$28,产销汇总!$C$2:$C$8,0),$C$27)*(_xlfn.XLOOKUP(C195,主线推图!$B$313:$B$612,主线推图!$G$313:$G$612)+_xlfn.XLOOKUP(C195,主线推图!$B$313:$B$612,主线推图!$H$313:$H$612))</f>
        <v>#N/A</v>
      </c>
      <c r="I195" s="80" t="e">
        <f ca="1">OFFSET(产销汇总!$C$1,MATCH(I$28,产销汇总!$C$2:$C$8,0),$C$27)*_xlfn.XLOOKUP(C195,巡逻产出!$B$311:$B$610,巡逻产出!$H$311:$H$610)</f>
        <v>#N/A</v>
      </c>
      <c r="J195" s="80" t="e">
        <f ca="1">OFFSET(产销汇总!$C$1,MATCH(J$28,产销汇总!$C$2:$C$8,0),$C$27)*(_xlfn.XLOOKUP(MAX(1,INT(C195/10-6/10)),组队产出!$B$24:$B$39,组队产出!$J$24:$J$39)+_xlfn.XLOOKUP(MAX(1,INT(C195/10-6/10)),组队产出!$B$24:$B$39,组队产出!$K$24:$K$39))</f>
        <v>#N/A</v>
      </c>
      <c r="K195" s="80" t="e">
        <f ca="1">OFFSET(产销汇总!$C$1,MATCH(K$28,产销汇总!$C$2:$C$8,0),$C$27)*_xlfn.XLOOKUP(C195,巡逻产出!$B$311:$B$610,巡逻产出!$I$311:$I$610)*IF($C$27=1,0.5,1)</f>
        <v>#N/A</v>
      </c>
      <c r="L195" s="80">
        <f ca="1">OFFSET(产销汇总!$C$1,MATCH(L$28,产销汇总!$C$2:$C$8,0),$C$27)*竞技场!$C$5</f>
        <v>180</v>
      </c>
      <c r="M195" s="80">
        <f>任务!$C$6+IF(MOD(B195,7)=0,任务!$M$25)</f>
        <v>30</v>
      </c>
      <c r="N195" s="98">
        <f t="shared" si="17"/>
        <v>1.7</v>
      </c>
      <c r="O195" s="80">
        <f t="shared" si="18"/>
        <v>0</v>
      </c>
      <c r="P195" s="172">
        <f ca="1">OFFSET(产销汇总!$C$1,MATCH(P$27,产销汇总!$C$2:$C$8,0),$C$27)/200*协力宝箱!$Q$82</f>
        <v>0</v>
      </c>
      <c r="Q195" s="80">
        <f t="shared" si="19"/>
        <v>10</v>
      </c>
      <c r="R195" s="80">
        <v>10</v>
      </c>
      <c r="S195" s="172">
        <f t="shared" si="21"/>
        <v>100</v>
      </c>
      <c r="T195" s="172">
        <f>(公会!$F$12+公会!$F$13+公会!$F$14+公会!$F$18/7)/2</f>
        <v>121.428571428571</v>
      </c>
      <c r="U195" s="172">
        <f t="shared" si="20"/>
        <v>150</v>
      </c>
      <c r="V195" s="172" t="e">
        <f ca="1">SUM($H$29:U195)+SUM(D195:G195)</f>
        <v>#N/A</v>
      </c>
      <c r="W195" s="132" t="e">
        <f ca="1" t="shared" si="22"/>
        <v>#N/A</v>
      </c>
    </row>
    <row r="196" spans="1:23">
      <c r="A196" s="171"/>
      <c r="B196" s="80">
        <v>168</v>
      </c>
      <c r="C196" s="80">
        <f ca="1">OFFSET(产销汇总!$C$12,$B196,$C$27)</f>
        <v>207</v>
      </c>
      <c r="D196" s="80">
        <f ca="1">SUMIF(主线宝箱!$B$321:$B$620,"&lt;="&amp;C196,主线宝箱!$H$321:$H$620)+SUMIF(主线宝箱!$B$321:$B$620,"&lt;="&amp;C196,主线宝箱!$T$321:$T$620)</f>
        <v>8280</v>
      </c>
      <c r="E196" s="80">
        <v>110</v>
      </c>
      <c r="F196" s="80">
        <f t="shared" si="23"/>
        <v>450</v>
      </c>
      <c r="G196" s="80">
        <f ca="1">IF(AND($C$27&lt;3,B196&gt;3),G195,SUMIF(图纸产出设计!$F$334:$F$342,"&lt;="&amp;B196,图纸产出设计!$C$334:$C$342))</f>
        <v>3890</v>
      </c>
      <c r="H196" s="80">
        <f ca="1">OFFSET(产销汇总!$C$1,MATCH(H$28,产销汇总!$C$2:$C$8,0),$C$27)*(_xlfn.XLOOKUP(C196,主线推图!$B$313:$B$612,主线推图!$G$313:$G$612)+_xlfn.XLOOKUP(C196,主线推图!$B$313:$B$612,主线推图!$H$313:$H$612))</f>
        <v>176</v>
      </c>
      <c r="I196" s="80">
        <f ca="1">OFFSET(产销汇总!$C$1,MATCH(I$28,产销汇总!$C$2:$C$8,0),$C$27)*_xlfn.XLOOKUP(C196,巡逻产出!$B$311:$B$610,巡逻产出!$H$311:$H$610)</f>
        <v>0</v>
      </c>
      <c r="J196" s="80" t="e">
        <f ca="1">OFFSET(产销汇总!$C$1,MATCH(J$28,产销汇总!$C$2:$C$8,0),$C$27)*(_xlfn.XLOOKUP(MAX(1,INT(C196/10-6/10)),组队产出!$B$24:$B$39,组队产出!$J$24:$J$39)+_xlfn.XLOOKUP(MAX(1,INT(C196/10-6/10)),组队产出!$B$24:$B$39,组队产出!$K$24:$K$39))</f>
        <v>#N/A</v>
      </c>
      <c r="K196" s="80">
        <f ca="1">OFFSET(产销汇总!$C$1,MATCH(K$28,产销汇总!$C$2:$C$8,0),$C$27)*_xlfn.XLOOKUP(C196,巡逻产出!$B$311:$B$610,巡逻产出!$I$311:$I$610)*IF($C$27=1,0.5,1)</f>
        <v>312</v>
      </c>
      <c r="L196" s="80">
        <f ca="1">OFFSET(产销汇总!$C$1,MATCH(L$28,产销汇总!$C$2:$C$8,0),$C$27)*竞技场!$C$5</f>
        <v>180</v>
      </c>
      <c r="M196" s="80">
        <f>任务!$C$6+IF(MOD(B196,7)=0,任务!$M$25)</f>
        <v>60</v>
      </c>
      <c r="N196" s="98">
        <f t="shared" si="17"/>
        <v>1.7</v>
      </c>
      <c r="O196" s="80">
        <f t="shared" si="18"/>
        <v>0</v>
      </c>
      <c r="P196" s="172">
        <f ca="1">OFFSET(产销汇总!$C$1,MATCH(P$27,产销汇总!$C$2:$C$8,0),$C$27)/200*协力宝箱!$Q$82</f>
        <v>0</v>
      </c>
      <c r="Q196" s="80">
        <f t="shared" si="19"/>
        <v>10</v>
      </c>
      <c r="R196" s="80">
        <v>10</v>
      </c>
      <c r="S196" s="172">
        <f t="shared" si="21"/>
        <v>100</v>
      </c>
      <c r="T196" s="172">
        <f>(公会!$F$12+公会!$F$13+公会!$F$14+公会!$F$18/7)/2</f>
        <v>121.428571428571</v>
      </c>
      <c r="U196" s="172">
        <f t="shared" si="20"/>
        <v>150</v>
      </c>
      <c r="V196" s="172" t="e">
        <f ca="1">SUM($H$29:U196)+SUM(D196:G196)</f>
        <v>#N/A</v>
      </c>
      <c r="W196" s="132" t="e">
        <f ca="1" t="shared" si="22"/>
        <v>#N/A</v>
      </c>
    </row>
    <row r="197" spans="1:23">
      <c r="A197" s="171"/>
      <c r="B197" s="80">
        <v>169</v>
      </c>
      <c r="C197" s="80">
        <f ca="1">OFFSET(产销汇总!$C$12,$B197,$C$27)</f>
        <v>207.5</v>
      </c>
      <c r="D197" s="80">
        <f ca="1">SUMIF(主线宝箱!$B$321:$B$620,"&lt;="&amp;C197,主线宝箱!$H$321:$H$620)+SUMIF(主线宝箱!$B$321:$B$620,"&lt;="&amp;C197,主线宝箱!$T$321:$T$620)</f>
        <v>8280</v>
      </c>
      <c r="E197" s="80">
        <v>110</v>
      </c>
      <c r="F197" s="80">
        <f t="shared" si="23"/>
        <v>450</v>
      </c>
      <c r="G197" s="80">
        <f ca="1">IF(AND($C$27&lt;3,B197&gt;3),G196,SUMIF(图纸产出设计!$F$334:$F$342,"&lt;="&amp;B197,图纸产出设计!$C$334:$C$342))</f>
        <v>3890</v>
      </c>
      <c r="H197" s="80" t="e">
        <f ca="1">OFFSET(产销汇总!$C$1,MATCH(H$28,产销汇总!$C$2:$C$8,0),$C$27)*(_xlfn.XLOOKUP(C197,主线推图!$B$313:$B$612,主线推图!$G$313:$G$612)+_xlfn.XLOOKUP(C197,主线推图!$B$313:$B$612,主线推图!$H$313:$H$612))</f>
        <v>#N/A</v>
      </c>
      <c r="I197" s="80" t="e">
        <f ca="1">OFFSET(产销汇总!$C$1,MATCH(I$28,产销汇总!$C$2:$C$8,0),$C$27)*_xlfn.XLOOKUP(C197,巡逻产出!$B$311:$B$610,巡逻产出!$H$311:$H$610)</f>
        <v>#N/A</v>
      </c>
      <c r="J197" s="80" t="e">
        <f ca="1">OFFSET(产销汇总!$C$1,MATCH(J$28,产销汇总!$C$2:$C$8,0),$C$27)*(_xlfn.XLOOKUP(MAX(1,INT(C197/10-6/10)),组队产出!$B$24:$B$39,组队产出!$J$24:$J$39)+_xlfn.XLOOKUP(MAX(1,INT(C197/10-6/10)),组队产出!$B$24:$B$39,组队产出!$K$24:$K$39))</f>
        <v>#N/A</v>
      </c>
      <c r="K197" s="80" t="e">
        <f ca="1">OFFSET(产销汇总!$C$1,MATCH(K$28,产销汇总!$C$2:$C$8,0),$C$27)*_xlfn.XLOOKUP(C197,巡逻产出!$B$311:$B$610,巡逻产出!$I$311:$I$610)*IF($C$27=1,0.5,1)</f>
        <v>#N/A</v>
      </c>
      <c r="L197" s="80">
        <f ca="1">OFFSET(产销汇总!$C$1,MATCH(L$28,产销汇总!$C$2:$C$8,0),$C$27)*竞技场!$C$5</f>
        <v>180</v>
      </c>
      <c r="M197" s="80">
        <f>任务!$C$6+IF(MOD(B197,7)=0,任务!$M$25)</f>
        <v>30</v>
      </c>
      <c r="N197" s="98">
        <f t="shared" si="17"/>
        <v>1.7</v>
      </c>
      <c r="O197" s="80">
        <f t="shared" si="18"/>
        <v>0</v>
      </c>
      <c r="P197" s="172">
        <f ca="1">OFFSET(产销汇总!$C$1,MATCH(P$27,产销汇总!$C$2:$C$8,0),$C$27)/200*协力宝箱!$Q$82</f>
        <v>0</v>
      </c>
      <c r="Q197" s="80">
        <f t="shared" si="19"/>
        <v>10</v>
      </c>
      <c r="R197" s="80">
        <v>10</v>
      </c>
      <c r="S197" s="172">
        <f t="shared" si="21"/>
        <v>100</v>
      </c>
      <c r="T197" s="172">
        <f>(公会!$F$12+公会!$F$13+公会!$F$14+公会!$F$18/7)/2</f>
        <v>121.428571428571</v>
      </c>
      <c r="U197" s="172">
        <f t="shared" si="20"/>
        <v>150</v>
      </c>
      <c r="V197" s="172" t="e">
        <f ca="1">SUM($H$29:U197)+SUM(D197:G197)</f>
        <v>#N/A</v>
      </c>
      <c r="W197" s="132" t="e">
        <f ca="1" t="shared" si="22"/>
        <v>#N/A</v>
      </c>
    </row>
    <row r="198" spans="1:23">
      <c r="A198" s="171"/>
      <c r="B198" s="80">
        <v>170</v>
      </c>
      <c r="C198" s="80">
        <f ca="1">OFFSET(产销汇总!$C$12,$B198,$C$27)</f>
        <v>208</v>
      </c>
      <c r="D198" s="80">
        <f ca="1">SUMIF(主线宝箱!$B$321:$B$620,"&lt;="&amp;C198,主线宝箱!$H$321:$H$620)+SUMIF(主线宝箱!$B$321:$B$620,"&lt;="&amp;C198,主线宝箱!$T$321:$T$620)</f>
        <v>8320</v>
      </c>
      <c r="E198" s="80">
        <v>110</v>
      </c>
      <c r="F198" s="80">
        <f t="shared" si="23"/>
        <v>450</v>
      </c>
      <c r="G198" s="80">
        <f ca="1">IF(AND($C$27&lt;3,B198&gt;3),G197,SUMIF(图纸产出设计!$F$334:$F$342,"&lt;="&amp;B198,图纸产出设计!$C$334:$C$342))</f>
        <v>3890</v>
      </c>
      <c r="H198" s="80">
        <f ca="1">OFFSET(产销汇总!$C$1,MATCH(H$28,产销汇总!$C$2:$C$8,0),$C$27)*(_xlfn.XLOOKUP(C198,主线推图!$B$313:$B$612,主线推图!$G$313:$G$612)+_xlfn.XLOOKUP(C198,主线推图!$B$313:$B$612,主线推图!$H$313:$H$612))</f>
        <v>176</v>
      </c>
      <c r="I198" s="80">
        <f ca="1">OFFSET(产销汇总!$C$1,MATCH(I$28,产销汇总!$C$2:$C$8,0),$C$27)*_xlfn.XLOOKUP(C198,巡逻产出!$B$311:$B$610,巡逻产出!$H$311:$H$610)</f>
        <v>0</v>
      </c>
      <c r="J198" s="80" t="e">
        <f ca="1">OFFSET(产销汇总!$C$1,MATCH(J$28,产销汇总!$C$2:$C$8,0),$C$27)*(_xlfn.XLOOKUP(MAX(1,INT(C198/10-6/10)),组队产出!$B$24:$B$39,组队产出!$J$24:$J$39)+_xlfn.XLOOKUP(MAX(1,INT(C198/10-6/10)),组队产出!$B$24:$B$39,组队产出!$K$24:$K$39))</f>
        <v>#N/A</v>
      </c>
      <c r="K198" s="80">
        <f ca="1">OFFSET(产销汇总!$C$1,MATCH(K$28,产销汇总!$C$2:$C$8,0),$C$27)*_xlfn.XLOOKUP(C198,巡逻产出!$B$311:$B$610,巡逻产出!$I$311:$I$610)*IF($C$27=1,0.5,1)</f>
        <v>312</v>
      </c>
      <c r="L198" s="80">
        <f ca="1">OFFSET(产销汇总!$C$1,MATCH(L$28,产销汇总!$C$2:$C$8,0),$C$27)*竞技场!$C$5</f>
        <v>180</v>
      </c>
      <c r="M198" s="80">
        <f>任务!$C$6+IF(MOD(B198,7)=0,任务!$M$25)</f>
        <v>30</v>
      </c>
      <c r="N198" s="98">
        <f t="shared" si="17"/>
        <v>1.7</v>
      </c>
      <c r="O198" s="80">
        <f t="shared" si="18"/>
        <v>10</v>
      </c>
      <c r="P198" s="172">
        <f ca="1">OFFSET(产销汇总!$C$1,MATCH(P$27,产销汇总!$C$2:$C$8,0),$C$27)/200*协力宝箱!$Q$82</f>
        <v>0</v>
      </c>
      <c r="Q198" s="80">
        <f t="shared" si="19"/>
        <v>10</v>
      </c>
      <c r="R198" s="80">
        <v>10</v>
      </c>
      <c r="S198" s="172">
        <f t="shared" si="21"/>
        <v>100</v>
      </c>
      <c r="T198" s="172">
        <f>(公会!$F$12+公会!$F$13+公会!$F$14+公会!$F$18/7)/2</f>
        <v>121.428571428571</v>
      </c>
      <c r="U198" s="172">
        <f t="shared" si="20"/>
        <v>150</v>
      </c>
      <c r="V198" s="172" t="e">
        <f ca="1">SUM($H$29:U198)+SUM(D198:G198)</f>
        <v>#N/A</v>
      </c>
      <c r="W198" s="132" t="e">
        <f ca="1" t="shared" si="22"/>
        <v>#N/A</v>
      </c>
    </row>
    <row r="199" spans="1:23">
      <c r="A199" s="171"/>
      <c r="B199" s="80">
        <v>171</v>
      </c>
      <c r="C199" s="80">
        <f ca="1">OFFSET(产销汇总!$C$12,$B199,$C$27)</f>
        <v>208.5</v>
      </c>
      <c r="D199" s="80">
        <f ca="1">SUMIF(主线宝箱!$B$321:$B$620,"&lt;="&amp;C199,主线宝箱!$H$321:$H$620)+SUMIF(主线宝箱!$B$321:$B$620,"&lt;="&amp;C199,主线宝箱!$T$321:$T$620)</f>
        <v>8320</v>
      </c>
      <c r="E199" s="80">
        <v>110</v>
      </c>
      <c r="F199" s="80">
        <f t="shared" si="23"/>
        <v>450</v>
      </c>
      <c r="G199" s="80">
        <f ca="1">IF(AND($C$27&lt;3,B199&gt;3),G198,SUMIF(图纸产出设计!$F$334:$F$342,"&lt;="&amp;B199,图纸产出设计!$C$334:$C$342))</f>
        <v>3890</v>
      </c>
      <c r="H199" s="80" t="e">
        <f ca="1">OFFSET(产销汇总!$C$1,MATCH(H$28,产销汇总!$C$2:$C$8,0),$C$27)*(_xlfn.XLOOKUP(C199,主线推图!$B$313:$B$612,主线推图!$G$313:$G$612)+_xlfn.XLOOKUP(C199,主线推图!$B$313:$B$612,主线推图!$H$313:$H$612))</f>
        <v>#N/A</v>
      </c>
      <c r="I199" s="80" t="e">
        <f ca="1">OFFSET(产销汇总!$C$1,MATCH(I$28,产销汇总!$C$2:$C$8,0),$C$27)*_xlfn.XLOOKUP(C199,巡逻产出!$B$311:$B$610,巡逻产出!$H$311:$H$610)</f>
        <v>#N/A</v>
      </c>
      <c r="J199" s="80" t="e">
        <f ca="1">OFFSET(产销汇总!$C$1,MATCH(J$28,产销汇总!$C$2:$C$8,0),$C$27)*(_xlfn.XLOOKUP(MAX(1,INT(C199/10-6/10)),组队产出!$B$24:$B$39,组队产出!$J$24:$J$39)+_xlfn.XLOOKUP(MAX(1,INT(C199/10-6/10)),组队产出!$B$24:$B$39,组队产出!$K$24:$K$39))</f>
        <v>#N/A</v>
      </c>
      <c r="K199" s="80" t="e">
        <f ca="1">OFFSET(产销汇总!$C$1,MATCH(K$28,产销汇总!$C$2:$C$8,0),$C$27)*_xlfn.XLOOKUP(C199,巡逻产出!$B$311:$B$610,巡逻产出!$I$311:$I$610)*IF($C$27=1,0.5,1)</f>
        <v>#N/A</v>
      </c>
      <c r="L199" s="80">
        <f ca="1">OFFSET(产销汇总!$C$1,MATCH(L$28,产销汇总!$C$2:$C$8,0),$C$27)*竞技场!$C$5</f>
        <v>180</v>
      </c>
      <c r="M199" s="80">
        <f>任务!$C$6+IF(MOD(B199,7)=0,任务!$M$25)</f>
        <v>30</v>
      </c>
      <c r="N199" s="98">
        <f t="shared" si="17"/>
        <v>1.7</v>
      </c>
      <c r="O199" s="80">
        <f t="shared" si="18"/>
        <v>0</v>
      </c>
      <c r="P199" s="172">
        <f ca="1">OFFSET(产销汇总!$C$1,MATCH(P$27,产销汇总!$C$2:$C$8,0),$C$27)/200*协力宝箱!$Q$82</f>
        <v>0</v>
      </c>
      <c r="Q199" s="80">
        <f t="shared" si="19"/>
        <v>10</v>
      </c>
      <c r="R199" s="80">
        <v>10</v>
      </c>
      <c r="S199" s="172">
        <f t="shared" si="21"/>
        <v>100</v>
      </c>
      <c r="T199" s="172">
        <f>(公会!$F$12+公会!$F$13+公会!$F$14+公会!$F$18/7)/2</f>
        <v>121.428571428571</v>
      </c>
      <c r="U199" s="172">
        <f t="shared" si="20"/>
        <v>150</v>
      </c>
      <c r="V199" s="172" t="e">
        <f ca="1">SUM($H$29:U199)+SUM(D199:G199)</f>
        <v>#N/A</v>
      </c>
      <c r="W199" s="132" t="e">
        <f ca="1" t="shared" si="22"/>
        <v>#N/A</v>
      </c>
    </row>
    <row r="200" spans="1:23">
      <c r="A200" s="171"/>
      <c r="B200" s="80">
        <v>172</v>
      </c>
      <c r="C200" s="80">
        <f ca="1">OFFSET(产销汇总!$C$12,$B200,$C$27)</f>
        <v>209</v>
      </c>
      <c r="D200" s="80">
        <f ca="1">SUMIF(主线宝箱!$B$321:$B$620,"&lt;="&amp;C200,主线宝箱!$H$321:$H$620)+SUMIF(主线宝箱!$B$321:$B$620,"&lt;="&amp;C200,主线宝箱!$T$321:$T$620)</f>
        <v>8360</v>
      </c>
      <c r="E200" s="80">
        <v>110</v>
      </c>
      <c r="F200" s="80">
        <f t="shared" si="23"/>
        <v>450</v>
      </c>
      <c r="G200" s="80">
        <f ca="1">IF(AND($C$27&lt;3,B200&gt;3),G199,SUMIF(图纸产出设计!$F$334:$F$342,"&lt;="&amp;B200,图纸产出设计!$C$334:$C$342))</f>
        <v>3890</v>
      </c>
      <c r="H200" s="80">
        <f ca="1">OFFSET(产销汇总!$C$1,MATCH(H$28,产销汇总!$C$2:$C$8,0),$C$27)*(_xlfn.XLOOKUP(C200,主线推图!$B$313:$B$612,主线推图!$G$313:$G$612)+_xlfn.XLOOKUP(C200,主线推图!$B$313:$B$612,主线推图!$H$313:$H$612))</f>
        <v>176</v>
      </c>
      <c r="I200" s="80">
        <f ca="1">OFFSET(产销汇总!$C$1,MATCH(I$28,产销汇总!$C$2:$C$8,0),$C$27)*_xlfn.XLOOKUP(C200,巡逻产出!$B$311:$B$610,巡逻产出!$H$311:$H$610)</f>
        <v>0</v>
      </c>
      <c r="J200" s="80" t="e">
        <f ca="1">OFFSET(产销汇总!$C$1,MATCH(J$28,产销汇总!$C$2:$C$8,0),$C$27)*(_xlfn.XLOOKUP(MAX(1,INT(C200/10-6/10)),组队产出!$B$24:$B$39,组队产出!$J$24:$J$39)+_xlfn.XLOOKUP(MAX(1,INT(C200/10-6/10)),组队产出!$B$24:$B$39,组队产出!$K$24:$K$39))</f>
        <v>#N/A</v>
      </c>
      <c r="K200" s="80">
        <f ca="1">OFFSET(产销汇总!$C$1,MATCH(K$28,产销汇总!$C$2:$C$8,0),$C$27)*_xlfn.XLOOKUP(C200,巡逻产出!$B$311:$B$610,巡逻产出!$I$311:$I$610)*IF($C$27=1,0.5,1)</f>
        <v>312</v>
      </c>
      <c r="L200" s="80">
        <f ca="1">OFFSET(产销汇总!$C$1,MATCH(L$28,产销汇总!$C$2:$C$8,0),$C$27)*竞技场!$C$5</f>
        <v>180</v>
      </c>
      <c r="M200" s="80">
        <f>任务!$C$6+IF(MOD(B200,7)=0,任务!$M$25)</f>
        <v>30</v>
      </c>
      <c r="N200" s="98">
        <f t="shared" si="17"/>
        <v>1.7</v>
      </c>
      <c r="O200" s="80">
        <f t="shared" si="18"/>
        <v>0</v>
      </c>
      <c r="P200" s="172">
        <f ca="1">OFFSET(产销汇总!$C$1,MATCH(P$27,产销汇总!$C$2:$C$8,0),$C$27)/200*协力宝箱!$Q$82</f>
        <v>0</v>
      </c>
      <c r="Q200" s="80">
        <f t="shared" si="19"/>
        <v>10</v>
      </c>
      <c r="R200" s="80">
        <v>10</v>
      </c>
      <c r="S200" s="172">
        <f t="shared" si="21"/>
        <v>100</v>
      </c>
      <c r="T200" s="172">
        <f>(公会!$F$12+公会!$F$13+公会!$F$14+公会!$F$18/7)/2</f>
        <v>121.428571428571</v>
      </c>
      <c r="U200" s="172">
        <f t="shared" si="20"/>
        <v>150</v>
      </c>
      <c r="V200" s="172" t="e">
        <f ca="1">SUM($H$29:U200)+SUM(D200:G200)</f>
        <v>#N/A</v>
      </c>
      <c r="W200" s="132" t="e">
        <f ca="1" t="shared" si="22"/>
        <v>#N/A</v>
      </c>
    </row>
    <row r="201" spans="1:23">
      <c r="A201" s="171"/>
      <c r="B201" s="80">
        <v>173</v>
      </c>
      <c r="C201" s="80">
        <f ca="1">OFFSET(产销汇总!$C$12,$B201,$C$27)</f>
        <v>209.5</v>
      </c>
      <c r="D201" s="80">
        <f ca="1">SUMIF(主线宝箱!$B$321:$B$620,"&lt;="&amp;C201,主线宝箱!$H$321:$H$620)+SUMIF(主线宝箱!$B$321:$B$620,"&lt;="&amp;C201,主线宝箱!$T$321:$T$620)</f>
        <v>8360</v>
      </c>
      <c r="E201" s="80">
        <v>110</v>
      </c>
      <c r="F201" s="80">
        <f t="shared" si="23"/>
        <v>450</v>
      </c>
      <c r="G201" s="80">
        <f ca="1">IF(AND($C$27&lt;3,B201&gt;3),G200,SUMIF(图纸产出设计!$F$334:$F$342,"&lt;="&amp;B201,图纸产出设计!$C$334:$C$342))</f>
        <v>3890</v>
      </c>
      <c r="H201" s="80" t="e">
        <f ca="1">OFFSET(产销汇总!$C$1,MATCH(H$28,产销汇总!$C$2:$C$8,0),$C$27)*(_xlfn.XLOOKUP(C201,主线推图!$B$313:$B$612,主线推图!$G$313:$G$612)+_xlfn.XLOOKUP(C201,主线推图!$B$313:$B$612,主线推图!$H$313:$H$612))</f>
        <v>#N/A</v>
      </c>
      <c r="I201" s="80" t="e">
        <f ca="1">OFFSET(产销汇总!$C$1,MATCH(I$28,产销汇总!$C$2:$C$8,0),$C$27)*_xlfn.XLOOKUP(C201,巡逻产出!$B$311:$B$610,巡逻产出!$H$311:$H$610)</f>
        <v>#N/A</v>
      </c>
      <c r="J201" s="80" t="e">
        <f ca="1">OFFSET(产销汇总!$C$1,MATCH(J$28,产销汇总!$C$2:$C$8,0),$C$27)*(_xlfn.XLOOKUP(MAX(1,INT(C201/10-6/10)),组队产出!$B$24:$B$39,组队产出!$J$24:$J$39)+_xlfn.XLOOKUP(MAX(1,INT(C201/10-6/10)),组队产出!$B$24:$B$39,组队产出!$K$24:$K$39))</f>
        <v>#N/A</v>
      </c>
      <c r="K201" s="80" t="e">
        <f ca="1">OFFSET(产销汇总!$C$1,MATCH(K$28,产销汇总!$C$2:$C$8,0),$C$27)*_xlfn.XLOOKUP(C201,巡逻产出!$B$311:$B$610,巡逻产出!$I$311:$I$610)*IF($C$27=1,0.5,1)</f>
        <v>#N/A</v>
      </c>
      <c r="L201" s="80">
        <f ca="1">OFFSET(产销汇总!$C$1,MATCH(L$28,产销汇总!$C$2:$C$8,0),$C$27)*竞技场!$C$5</f>
        <v>180</v>
      </c>
      <c r="M201" s="80">
        <f>任务!$C$6+IF(MOD(B201,7)=0,任务!$M$25)</f>
        <v>30</v>
      </c>
      <c r="N201" s="98">
        <f t="shared" si="17"/>
        <v>1.7</v>
      </c>
      <c r="O201" s="80">
        <f t="shared" si="18"/>
        <v>10</v>
      </c>
      <c r="P201" s="172">
        <f ca="1">OFFSET(产销汇总!$C$1,MATCH(P$27,产销汇总!$C$2:$C$8,0),$C$27)/200*协力宝箱!$Q$82</f>
        <v>0</v>
      </c>
      <c r="Q201" s="80">
        <f t="shared" si="19"/>
        <v>10</v>
      </c>
      <c r="R201" s="80">
        <v>10</v>
      </c>
      <c r="S201" s="172">
        <f t="shared" si="21"/>
        <v>100</v>
      </c>
      <c r="T201" s="172">
        <f>(公会!$F$12+公会!$F$13+公会!$F$14+公会!$F$18/7)/2</f>
        <v>121.428571428571</v>
      </c>
      <c r="U201" s="172">
        <f t="shared" si="20"/>
        <v>150</v>
      </c>
      <c r="V201" s="172" t="e">
        <f ca="1">SUM($H$29:U201)+SUM(D201:G201)</f>
        <v>#N/A</v>
      </c>
      <c r="W201" s="132" t="e">
        <f ca="1" t="shared" si="22"/>
        <v>#N/A</v>
      </c>
    </row>
    <row r="202" spans="1:23">
      <c r="A202" s="171"/>
      <c r="B202" s="80">
        <v>174</v>
      </c>
      <c r="C202" s="80">
        <f ca="1">OFFSET(产销汇总!$C$12,$B202,$C$27)</f>
        <v>210</v>
      </c>
      <c r="D202" s="80">
        <f ca="1">SUMIF(主线宝箱!$B$321:$B$620,"&lt;="&amp;C202,主线宝箱!$H$321:$H$620)+SUMIF(主线宝箱!$B$321:$B$620,"&lt;="&amp;C202,主线宝箱!$T$321:$T$620)</f>
        <v>8400</v>
      </c>
      <c r="E202" s="80">
        <v>110</v>
      </c>
      <c r="F202" s="80">
        <f t="shared" si="23"/>
        <v>450</v>
      </c>
      <c r="G202" s="80">
        <f ca="1">IF(AND($C$27&lt;3,B202&gt;3),G201,SUMIF(图纸产出设计!$F$334:$F$342,"&lt;="&amp;B202,图纸产出设计!$C$334:$C$342))</f>
        <v>3890</v>
      </c>
      <c r="H202" s="80">
        <f ca="1">OFFSET(产销汇总!$C$1,MATCH(H$28,产销汇总!$C$2:$C$8,0),$C$27)*(_xlfn.XLOOKUP(C202,主线推图!$B$313:$B$612,主线推图!$G$313:$G$612)+_xlfn.XLOOKUP(C202,主线推图!$B$313:$B$612,主线推图!$H$313:$H$612))</f>
        <v>176</v>
      </c>
      <c r="I202" s="80">
        <f ca="1">OFFSET(产销汇总!$C$1,MATCH(I$28,产销汇总!$C$2:$C$8,0),$C$27)*_xlfn.XLOOKUP(C202,巡逻产出!$B$311:$B$610,巡逻产出!$H$311:$H$610)</f>
        <v>0</v>
      </c>
      <c r="J202" s="80" t="e">
        <f ca="1">OFFSET(产销汇总!$C$1,MATCH(J$28,产销汇总!$C$2:$C$8,0),$C$27)*(_xlfn.XLOOKUP(MAX(1,INT(C202/10-6/10)),组队产出!$B$24:$B$39,组队产出!$J$24:$J$39)+_xlfn.XLOOKUP(MAX(1,INT(C202/10-6/10)),组队产出!$B$24:$B$39,组队产出!$K$24:$K$39))</f>
        <v>#N/A</v>
      </c>
      <c r="K202" s="80">
        <f ca="1">OFFSET(产销汇总!$C$1,MATCH(K$28,产销汇总!$C$2:$C$8,0),$C$27)*_xlfn.XLOOKUP(C202,巡逻产出!$B$311:$B$610,巡逻产出!$I$311:$I$610)*IF($C$27=1,0.5,1)</f>
        <v>312</v>
      </c>
      <c r="L202" s="80">
        <f ca="1">OFFSET(产销汇总!$C$1,MATCH(L$28,产销汇总!$C$2:$C$8,0),$C$27)*竞技场!$C$5</f>
        <v>180</v>
      </c>
      <c r="M202" s="80">
        <f>任务!$C$6+IF(MOD(B202,7)=0,任务!$M$25)</f>
        <v>30</v>
      </c>
      <c r="N202" s="98">
        <f t="shared" si="17"/>
        <v>1.7</v>
      </c>
      <c r="O202" s="80">
        <f t="shared" si="18"/>
        <v>0</v>
      </c>
      <c r="P202" s="172">
        <f ca="1">OFFSET(产销汇总!$C$1,MATCH(P$27,产销汇总!$C$2:$C$8,0),$C$27)/200*协力宝箱!$Q$82</f>
        <v>0</v>
      </c>
      <c r="Q202" s="80">
        <f t="shared" si="19"/>
        <v>10</v>
      </c>
      <c r="R202" s="80">
        <v>10</v>
      </c>
      <c r="S202" s="172">
        <f t="shared" si="21"/>
        <v>100</v>
      </c>
      <c r="T202" s="172">
        <f>(公会!$F$12+公会!$F$13+公会!$F$14+公会!$F$18/7)/2</f>
        <v>121.428571428571</v>
      </c>
      <c r="U202" s="172">
        <f t="shared" si="20"/>
        <v>150</v>
      </c>
      <c r="V202" s="172" t="e">
        <f ca="1">SUM($H$29:U202)+SUM(D202:G202)</f>
        <v>#N/A</v>
      </c>
      <c r="W202" s="132" t="e">
        <f ca="1" t="shared" si="22"/>
        <v>#N/A</v>
      </c>
    </row>
    <row r="203" spans="1:23">
      <c r="A203" s="171"/>
      <c r="B203" s="80">
        <v>175</v>
      </c>
      <c r="C203" s="80">
        <f ca="1">OFFSET(产销汇总!$C$12,$B203,$C$27)</f>
        <v>210.5</v>
      </c>
      <c r="D203" s="80">
        <f ca="1">SUMIF(主线宝箱!$B$321:$B$620,"&lt;="&amp;C203,主线宝箱!$H$321:$H$620)+SUMIF(主线宝箱!$B$321:$B$620,"&lt;="&amp;C203,主线宝箱!$T$321:$T$620)</f>
        <v>8400</v>
      </c>
      <c r="E203" s="80">
        <v>110</v>
      </c>
      <c r="F203" s="80">
        <f t="shared" si="23"/>
        <v>450</v>
      </c>
      <c r="G203" s="80">
        <f ca="1">IF(AND($C$27&lt;3,B203&gt;3),G202,SUMIF(图纸产出设计!$F$334:$F$342,"&lt;="&amp;B203,图纸产出设计!$C$334:$C$342))</f>
        <v>3890</v>
      </c>
      <c r="H203" s="80" t="e">
        <f ca="1">OFFSET(产销汇总!$C$1,MATCH(H$28,产销汇总!$C$2:$C$8,0),$C$27)*(_xlfn.XLOOKUP(C203,主线推图!$B$313:$B$612,主线推图!$G$313:$G$612)+_xlfn.XLOOKUP(C203,主线推图!$B$313:$B$612,主线推图!$H$313:$H$612))</f>
        <v>#N/A</v>
      </c>
      <c r="I203" s="80" t="e">
        <f ca="1">OFFSET(产销汇总!$C$1,MATCH(I$28,产销汇总!$C$2:$C$8,0),$C$27)*_xlfn.XLOOKUP(C203,巡逻产出!$B$311:$B$610,巡逻产出!$H$311:$H$610)</f>
        <v>#N/A</v>
      </c>
      <c r="J203" s="80" t="e">
        <f ca="1">OFFSET(产销汇总!$C$1,MATCH(J$28,产销汇总!$C$2:$C$8,0),$C$27)*(_xlfn.XLOOKUP(MAX(1,INT(C203/10-6/10)),组队产出!$B$24:$B$39,组队产出!$J$24:$J$39)+_xlfn.XLOOKUP(MAX(1,INT(C203/10-6/10)),组队产出!$B$24:$B$39,组队产出!$K$24:$K$39))</f>
        <v>#N/A</v>
      </c>
      <c r="K203" s="80" t="e">
        <f ca="1">OFFSET(产销汇总!$C$1,MATCH(K$28,产销汇总!$C$2:$C$8,0),$C$27)*_xlfn.XLOOKUP(C203,巡逻产出!$B$311:$B$610,巡逻产出!$I$311:$I$610)*IF($C$27=1,0.5,1)</f>
        <v>#N/A</v>
      </c>
      <c r="L203" s="80">
        <f ca="1">OFFSET(产销汇总!$C$1,MATCH(L$28,产销汇总!$C$2:$C$8,0),$C$27)*竞技场!$C$5</f>
        <v>180</v>
      </c>
      <c r="M203" s="80">
        <f>任务!$C$6+IF(MOD(B203,7)=0,任务!$M$25)</f>
        <v>60</v>
      </c>
      <c r="N203" s="98">
        <f t="shared" si="17"/>
        <v>1.7</v>
      </c>
      <c r="O203" s="80">
        <f t="shared" si="18"/>
        <v>0</v>
      </c>
      <c r="P203" s="172">
        <f ca="1">OFFSET(产销汇总!$C$1,MATCH(P$27,产销汇总!$C$2:$C$8,0),$C$27)/200*协力宝箱!$Q$82</f>
        <v>0</v>
      </c>
      <c r="Q203" s="80">
        <f t="shared" si="19"/>
        <v>10</v>
      </c>
      <c r="R203" s="80">
        <v>10</v>
      </c>
      <c r="S203" s="172">
        <f t="shared" si="21"/>
        <v>100</v>
      </c>
      <c r="T203" s="172">
        <f>(公会!$F$12+公会!$F$13+公会!$F$14+公会!$F$18/7)/2</f>
        <v>121.428571428571</v>
      </c>
      <c r="U203" s="172">
        <f t="shared" si="20"/>
        <v>150</v>
      </c>
      <c r="V203" s="172" t="e">
        <f ca="1">SUM($H$29:U203)+SUM(D203:G203)</f>
        <v>#N/A</v>
      </c>
      <c r="W203" s="132" t="e">
        <f ca="1" t="shared" si="22"/>
        <v>#N/A</v>
      </c>
    </row>
    <row r="204" spans="1:23">
      <c r="A204" s="171"/>
      <c r="B204" s="80">
        <v>176</v>
      </c>
      <c r="C204" s="80">
        <f ca="1">OFFSET(产销汇总!$C$12,$B204,$C$27)</f>
        <v>211</v>
      </c>
      <c r="D204" s="80">
        <f ca="1">SUMIF(主线宝箱!$B$321:$B$620,"&lt;="&amp;C204,主线宝箱!$H$321:$H$620)+SUMIF(主线宝箱!$B$321:$B$620,"&lt;="&amp;C204,主线宝箱!$T$321:$T$620)</f>
        <v>8440</v>
      </c>
      <c r="E204" s="80">
        <v>110</v>
      </c>
      <c r="F204" s="80">
        <f t="shared" si="23"/>
        <v>450</v>
      </c>
      <c r="G204" s="80">
        <f ca="1">IF(AND($C$27&lt;3,B204&gt;3),G203,SUMIF(图纸产出设计!$F$334:$F$342,"&lt;="&amp;B204,图纸产出设计!$C$334:$C$342))</f>
        <v>3890</v>
      </c>
      <c r="H204" s="80">
        <f ca="1">OFFSET(产销汇总!$C$1,MATCH(H$28,产销汇总!$C$2:$C$8,0),$C$27)*(_xlfn.XLOOKUP(C204,主线推图!$B$313:$B$612,主线推图!$G$313:$G$612)+_xlfn.XLOOKUP(C204,主线推图!$B$313:$B$612,主线推图!$H$313:$H$612))</f>
        <v>176</v>
      </c>
      <c r="I204" s="80">
        <f ca="1">OFFSET(产销汇总!$C$1,MATCH(I$28,产销汇总!$C$2:$C$8,0),$C$27)*_xlfn.XLOOKUP(C204,巡逻产出!$B$311:$B$610,巡逻产出!$H$311:$H$610)</f>
        <v>0</v>
      </c>
      <c r="J204" s="80" t="e">
        <f ca="1">OFFSET(产销汇总!$C$1,MATCH(J$28,产销汇总!$C$2:$C$8,0),$C$27)*(_xlfn.XLOOKUP(MAX(1,INT(C204/10-6/10)),组队产出!$B$24:$B$39,组队产出!$J$24:$J$39)+_xlfn.XLOOKUP(MAX(1,INT(C204/10-6/10)),组队产出!$B$24:$B$39,组队产出!$K$24:$K$39))</f>
        <v>#N/A</v>
      </c>
      <c r="K204" s="80">
        <f ca="1">OFFSET(产销汇总!$C$1,MATCH(K$28,产销汇总!$C$2:$C$8,0),$C$27)*_xlfn.XLOOKUP(C204,巡逻产出!$B$311:$B$610,巡逻产出!$I$311:$I$610)*IF($C$27=1,0.5,1)</f>
        <v>312</v>
      </c>
      <c r="L204" s="80">
        <f ca="1">OFFSET(产销汇总!$C$1,MATCH(L$28,产销汇总!$C$2:$C$8,0),$C$27)*竞技场!$C$5</f>
        <v>180</v>
      </c>
      <c r="M204" s="80">
        <f>任务!$C$6+IF(MOD(B204,7)=0,任务!$M$25)</f>
        <v>30</v>
      </c>
      <c r="N204" s="98">
        <f t="shared" si="17"/>
        <v>1.7</v>
      </c>
      <c r="O204" s="80">
        <f t="shared" si="18"/>
        <v>0</v>
      </c>
      <c r="P204" s="172">
        <f ca="1">OFFSET(产销汇总!$C$1,MATCH(P$27,产销汇总!$C$2:$C$8,0),$C$27)/200*协力宝箱!$Q$82</f>
        <v>0</v>
      </c>
      <c r="Q204" s="80">
        <f t="shared" si="19"/>
        <v>10</v>
      </c>
      <c r="R204" s="80">
        <v>10</v>
      </c>
      <c r="S204" s="172">
        <f t="shared" si="21"/>
        <v>100</v>
      </c>
      <c r="T204" s="172">
        <f>(公会!$F$12+公会!$F$13+公会!$F$14+公会!$F$18/7)/2</f>
        <v>121.428571428571</v>
      </c>
      <c r="U204" s="172">
        <f t="shared" si="20"/>
        <v>150</v>
      </c>
      <c r="V204" s="172" t="e">
        <f ca="1">SUM($H$29:U204)+SUM(D204:G204)</f>
        <v>#N/A</v>
      </c>
      <c r="W204" s="132" t="e">
        <f ca="1" t="shared" si="22"/>
        <v>#N/A</v>
      </c>
    </row>
    <row r="205" spans="1:23">
      <c r="A205" s="171"/>
      <c r="B205" s="80">
        <v>177</v>
      </c>
      <c r="C205" s="80">
        <f ca="1">OFFSET(产销汇总!$C$12,$B205,$C$27)</f>
        <v>211.5</v>
      </c>
      <c r="D205" s="80">
        <f ca="1">SUMIF(主线宝箱!$B$321:$B$620,"&lt;="&amp;C205,主线宝箱!$H$321:$H$620)+SUMIF(主线宝箱!$B$321:$B$620,"&lt;="&amp;C205,主线宝箱!$T$321:$T$620)</f>
        <v>8440</v>
      </c>
      <c r="E205" s="80">
        <v>110</v>
      </c>
      <c r="F205" s="80">
        <f t="shared" si="23"/>
        <v>450</v>
      </c>
      <c r="G205" s="80">
        <f ca="1">IF(AND($C$27&lt;3,B205&gt;3),G204,SUMIF(图纸产出设计!$F$334:$F$342,"&lt;="&amp;B205,图纸产出设计!$C$334:$C$342))</f>
        <v>3890</v>
      </c>
      <c r="H205" s="80" t="e">
        <f ca="1">OFFSET(产销汇总!$C$1,MATCH(H$28,产销汇总!$C$2:$C$8,0),$C$27)*(_xlfn.XLOOKUP(C205,主线推图!$B$313:$B$612,主线推图!$G$313:$G$612)+_xlfn.XLOOKUP(C205,主线推图!$B$313:$B$612,主线推图!$H$313:$H$612))</f>
        <v>#N/A</v>
      </c>
      <c r="I205" s="80" t="e">
        <f ca="1">OFFSET(产销汇总!$C$1,MATCH(I$28,产销汇总!$C$2:$C$8,0),$C$27)*_xlfn.XLOOKUP(C205,巡逻产出!$B$311:$B$610,巡逻产出!$H$311:$H$610)</f>
        <v>#N/A</v>
      </c>
      <c r="J205" s="80" t="e">
        <f ca="1">OFFSET(产销汇总!$C$1,MATCH(J$28,产销汇总!$C$2:$C$8,0),$C$27)*(_xlfn.XLOOKUP(MAX(1,INT(C205/10-6/10)),组队产出!$B$24:$B$39,组队产出!$J$24:$J$39)+_xlfn.XLOOKUP(MAX(1,INT(C205/10-6/10)),组队产出!$B$24:$B$39,组队产出!$K$24:$K$39))</f>
        <v>#N/A</v>
      </c>
      <c r="K205" s="80" t="e">
        <f ca="1">OFFSET(产销汇总!$C$1,MATCH(K$28,产销汇总!$C$2:$C$8,0),$C$27)*_xlfn.XLOOKUP(C205,巡逻产出!$B$311:$B$610,巡逻产出!$I$311:$I$610)*IF($C$27=1,0.5,1)</f>
        <v>#N/A</v>
      </c>
      <c r="L205" s="80">
        <f ca="1">OFFSET(产销汇总!$C$1,MATCH(L$28,产销汇总!$C$2:$C$8,0),$C$27)*竞技场!$C$5</f>
        <v>180</v>
      </c>
      <c r="M205" s="80">
        <f>任务!$C$6+IF(MOD(B205,7)=0,任务!$M$25)</f>
        <v>30</v>
      </c>
      <c r="N205" s="98">
        <f t="shared" si="17"/>
        <v>1.7</v>
      </c>
      <c r="O205" s="80">
        <f t="shared" si="18"/>
        <v>10</v>
      </c>
      <c r="P205" s="172">
        <f ca="1">OFFSET(产销汇总!$C$1,MATCH(P$27,产销汇总!$C$2:$C$8,0),$C$27)/200*协力宝箱!$Q$82</f>
        <v>0</v>
      </c>
      <c r="Q205" s="80">
        <f t="shared" si="19"/>
        <v>10</v>
      </c>
      <c r="R205" s="80">
        <v>10</v>
      </c>
      <c r="S205" s="172">
        <f t="shared" si="21"/>
        <v>100</v>
      </c>
      <c r="T205" s="172">
        <f>(公会!$F$12+公会!$F$13+公会!$F$14+公会!$F$18/7)/2</f>
        <v>121.428571428571</v>
      </c>
      <c r="U205" s="172">
        <f t="shared" si="20"/>
        <v>150</v>
      </c>
      <c r="V205" s="172" t="e">
        <f ca="1">SUM($H$29:U205)+SUM(D205:G205)</f>
        <v>#N/A</v>
      </c>
      <c r="W205" s="132" t="e">
        <f ca="1" t="shared" si="22"/>
        <v>#N/A</v>
      </c>
    </row>
    <row r="206" spans="1:23">
      <c r="A206" s="171"/>
      <c r="B206" s="80">
        <v>178</v>
      </c>
      <c r="C206" s="80">
        <f ca="1">OFFSET(产销汇总!$C$12,$B206,$C$27)</f>
        <v>212</v>
      </c>
      <c r="D206" s="80">
        <f ca="1">SUMIF(主线宝箱!$B$321:$B$620,"&lt;="&amp;C206,主线宝箱!$H$321:$H$620)+SUMIF(主线宝箱!$B$321:$B$620,"&lt;="&amp;C206,主线宝箱!$T$321:$T$620)</f>
        <v>8480</v>
      </c>
      <c r="E206" s="80">
        <v>110</v>
      </c>
      <c r="F206" s="80">
        <f t="shared" si="23"/>
        <v>450</v>
      </c>
      <c r="G206" s="80">
        <f ca="1">IF(AND($C$27&lt;3,B206&gt;3),G205,SUMIF(图纸产出设计!$F$334:$F$342,"&lt;="&amp;B206,图纸产出设计!$C$334:$C$342))</f>
        <v>3890</v>
      </c>
      <c r="H206" s="80">
        <f ca="1">OFFSET(产销汇总!$C$1,MATCH(H$28,产销汇总!$C$2:$C$8,0),$C$27)*(_xlfn.XLOOKUP(C206,主线推图!$B$313:$B$612,主线推图!$G$313:$G$612)+_xlfn.XLOOKUP(C206,主线推图!$B$313:$B$612,主线推图!$H$313:$H$612))</f>
        <v>176</v>
      </c>
      <c r="I206" s="80">
        <f ca="1">OFFSET(产销汇总!$C$1,MATCH(I$28,产销汇总!$C$2:$C$8,0),$C$27)*_xlfn.XLOOKUP(C206,巡逻产出!$B$311:$B$610,巡逻产出!$H$311:$H$610)</f>
        <v>0</v>
      </c>
      <c r="J206" s="80" t="e">
        <f ca="1">OFFSET(产销汇总!$C$1,MATCH(J$28,产销汇总!$C$2:$C$8,0),$C$27)*(_xlfn.XLOOKUP(MAX(1,INT(C206/10-6/10)),组队产出!$B$24:$B$39,组队产出!$J$24:$J$39)+_xlfn.XLOOKUP(MAX(1,INT(C206/10-6/10)),组队产出!$B$24:$B$39,组队产出!$K$24:$K$39))</f>
        <v>#N/A</v>
      </c>
      <c r="K206" s="80">
        <f ca="1">OFFSET(产销汇总!$C$1,MATCH(K$28,产销汇总!$C$2:$C$8,0),$C$27)*_xlfn.XLOOKUP(C206,巡逻产出!$B$311:$B$610,巡逻产出!$I$311:$I$610)*IF($C$27=1,0.5,1)</f>
        <v>312</v>
      </c>
      <c r="L206" s="80">
        <f ca="1">OFFSET(产销汇总!$C$1,MATCH(L$28,产销汇总!$C$2:$C$8,0),$C$27)*竞技场!$C$5</f>
        <v>180</v>
      </c>
      <c r="M206" s="80">
        <f>任务!$C$6+IF(MOD(B206,7)=0,任务!$M$25)</f>
        <v>30</v>
      </c>
      <c r="N206" s="98">
        <f t="shared" si="17"/>
        <v>1.7</v>
      </c>
      <c r="O206" s="80">
        <f t="shared" si="18"/>
        <v>0</v>
      </c>
      <c r="P206" s="172">
        <f ca="1">OFFSET(产销汇总!$C$1,MATCH(P$27,产销汇总!$C$2:$C$8,0),$C$27)/200*协力宝箱!$Q$82</f>
        <v>0</v>
      </c>
      <c r="Q206" s="80">
        <f t="shared" si="19"/>
        <v>10</v>
      </c>
      <c r="R206" s="80">
        <v>10</v>
      </c>
      <c r="S206" s="172">
        <f t="shared" si="21"/>
        <v>100</v>
      </c>
      <c r="T206" s="172">
        <f>(公会!$F$12+公会!$F$13+公会!$F$14+公会!$F$18/7)/2</f>
        <v>121.428571428571</v>
      </c>
      <c r="U206" s="172">
        <f t="shared" si="20"/>
        <v>150</v>
      </c>
      <c r="V206" s="172" t="e">
        <f ca="1">SUM($H$29:U206)+SUM(D206:G206)</f>
        <v>#N/A</v>
      </c>
      <c r="W206" s="132" t="e">
        <f ca="1" t="shared" si="22"/>
        <v>#N/A</v>
      </c>
    </row>
    <row r="207" spans="1:23">
      <c r="A207" s="171"/>
      <c r="B207" s="80">
        <v>179</v>
      </c>
      <c r="C207" s="80">
        <f ca="1">OFFSET(产销汇总!$C$12,$B207,$C$27)</f>
        <v>212.5</v>
      </c>
      <c r="D207" s="80">
        <f ca="1">SUMIF(主线宝箱!$B$321:$B$620,"&lt;="&amp;C207,主线宝箱!$H$321:$H$620)+SUMIF(主线宝箱!$B$321:$B$620,"&lt;="&amp;C207,主线宝箱!$T$321:$T$620)</f>
        <v>8480</v>
      </c>
      <c r="E207" s="80">
        <v>110</v>
      </c>
      <c r="F207" s="80">
        <f t="shared" si="23"/>
        <v>450</v>
      </c>
      <c r="G207" s="80">
        <f ca="1">IF(AND($C$27&lt;3,B207&gt;3),G206,SUMIF(图纸产出设计!$F$334:$F$342,"&lt;="&amp;B207,图纸产出设计!$C$334:$C$342))</f>
        <v>3890</v>
      </c>
      <c r="H207" s="80" t="e">
        <f ca="1">OFFSET(产销汇总!$C$1,MATCH(H$28,产销汇总!$C$2:$C$8,0),$C$27)*(_xlfn.XLOOKUP(C207,主线推图!$B$313:$B$612,主线推图!$G$313:$G$612)+_xlfn.XLOOKUP(C207,主线推图!$B$313:$B$612,主线推图!$H$313:$H$612))</f>
        <v>#N/A</v>
      </c>
      <c r="I207" s="80" t="e">
        <f ca="1">OFFSET(产销汇总!$C$1,MATCH(I$28,产销汇总!$C$2:$C$8,0),$C$27)*_xlfn.XLOOKUP(C207,巡逻产出!$B$311:$B$610,巡逻产出!$H$311:$H$610)</f>
        <v>#N/A</v>
      </c>
      <c r="J207" s="80" t="e">
        <f ca="1">OFFSET(产销汇总!$C$1,MATCH(J$28,产销汇总!$C$2:$C$8,0),$C$27)*(_xlfn.XLOOKUP(MAX(1,INT(C207/10-6/10)),组队产出!$B$24:$B$39,组队产出!$J$24:$J$39)+_xlfn.XLOOKUP(MAX(1,INT(C207/10-6/10)),组队产出!$B$24:$B$39,组队产出!$K$24:$K$39))</f>
        <v>#N/A</v>
      </c>
      <c r="K207" s="80" t="e">
        <f ca="1">OFFSET(产销汇总!$C$1,MATCH(K$28,产销汇总!$C$2:$C$8,0),$C$27)*_xlfn.XLOOKUP(C207,巡逻产出!$B$311:$B$610,巡逻产出!$I$311:$I$610)*IF($C$27=1,0.5,1)</f>
        <v>#N/A</v>
      </c>
      <c r="L207" s="80">
        <f ca="1">OFFSET(产销汇总!$C$1,MATCH(L$28,产销汇总!$C$2:$C$8,0),$C$27)*竞技场!$C$5</f>
        <v>180</v>
      </c>
      <c r="M207" s="80">
        <f>任务!$C$6+IF(MOD(B207,7)=0,任务!$M$25)</f>
        <v>30</v>
      </c>
      <c r="N207" s="98">
        <f t="shared" si="17"/>
        <v>1.7</v>
      </c>
      <c r="O207" s="80">
        <f t="shared" si="18"/>
        <v>0</v>
      </c>
      <c r="P207" s="172">
        <f ca="1">OFFSET(产销汇总!$C$1,MATCH(P$27,产销汇总!$C$2:$C$8,0),$C$27)/200*协力宝箱!$Q$82</f>
        <v>0</v>
      </c>
      <c r="Q207" s="80">
        <f t="shared" si="19"/>
        <v>10</v>
      </c>
      <c r="R207" s="80">
        <v>10</v>
      </c>
      <c r="S207" s="172">
        <f t="shared" si="21"/>
        <v>100</v>
      </c>
      <c r="T207" s="172">
        <f>(公会!$F$12+公会!$F$13+公会!$F$14+公会!$F$18/7)/2</f>
        <v>121.428571428571</v>
      </c>
      <c r="U207" s="172">
        <f t="shared" si="20"/>
        <v>150</v>
      </c>
      <c r="V207" s="172" t="e">
        <f ca="1">SUM($H$29:U207)+SUM(D207:G207)</f>
        <v>#N/A</v>
      </c>
      <c r="W207" s="132" t="e">
        <f ca="1" t="shared" si="22"/>
        <v>#N/A</v>
      </c>
    </row>
    <row r="208" spans="1:23">
      <c r="A208" s="171"/>
      <c r="B208" s="80">
        <v>180</v>
      </c>
      <c r="C208" s="80">
        <f ca="1">OFFSET(产销汇总!$C$12,$B208,$C$27)</f>
        <v>213</v>
      </c>
      <c r="D208" s="80">
        <f ca="1">SUMIF(主线宝箱!$B$321:$B$620,"&lt;="&amp;C208,主线宝箱!$H$321:$H$620)+SUMIF(主线宝箱!$B$321:$B$620,"&lt;="&amp;C208,主线宝箱!$T$321:$T$620)</f>
        <v>8520</v>
      </c>
      <c r="E208" s="80">
        <v>110</v>
      </c>
      <c r="F208" s="80">
        <f t="shared" si="23"/>
        <v>450</v>
      </c>
      <c r="G208" s="80">
        <f ca="1">IF(AND($C$27&lt;3,B208&gt;3),G207,SUMIF(图纸产出设计!$F$334:$F$342,"&lt;="&amp;B208,图纸产出设计!$C$334:$C$342))</f>
        <v>3890</v>
      </c>
      <c r="H208" s="80">
        <f ca="1">OFFSET(产销汇总!$C$1,MATCH(H$28,产销汇总!$C$2:$C$8,0),$C$27)*(_xlfn.XLOOKUP(C208,主线推图!$B$313:$B$612,主线推图!$G$313:$G$612)+_xlfn.XLOOKUP(C208,主线推图!$B$313:$B$612,主线推图!$H$313:$H$612))</f>
        <v>176</v>
      </c>
      <c r="I208" s="80">
        <f ca="1">OFFSET(产销汇总!$C$1,MATCH(I$28,产销汇总!$C$2:$C$8,0),$C$27)*_xlfn.XLOOKUP(C208,巡逻产出!$B$311:$B$610,巡逻产出!$H$311:$H$610)</f>
        <v>0</v>
      </c>
      <c r="J208" s="80" t="e">
        <f ca="1">OFFSET(产销汇总!$C$1,MATCH(J$28,产销汇总!$C$2:$C$8,0),$C$27)*(_xlfn.XLOOKUP(MAX(1,INT(C208/10-6/10)),组队产出!$B$24:$B$39,组队产出!$J$24:$J$39)+_xlfn.XLOOKUP(MAX(1,INT(C208/10-6/10)),组队产出!$B$24:$B$39,组队产出!$K$24:$K$39))</f>
        <v>#N/A</v>
      </c>
      <c r="K208" s="80">
        <f ca="1">OFFSET(产销汇总!$C$1,MATCH(K$28,产销汇总!$C$2:$C$8,0),$C$27)*_xlfn.XLOOKUP(C208,巡逻产出!$B$311:$B$610,巡逻产出!$I$311:$I$610)*IF($C$27=1,0.5,1)</f>
        <v>312</v>
      </c>
      <c r="L208" s="80">
        <f ca="1">OFFSET(产销汇总!$C$1,MATCH(L$28,产销汇总!$C$2:$C$8,0),$C$27)*竞技场!$C$5</f>
        <v>180</v>
      </c>
      <c r="M208" s="80">
        <f>任务!$C$6+IF(MOD(B208,7)=0,任务!$M$25)</f>
        <v>30</v>
      </c>
      <c r="N208" s="98">
        <f t="shared" si="17"/>
        <v>1.7</v>
      </c>
      <c r="O208" s="80">
        <f t="shared" si="18"/>
        <v>10</v>
      </c>
      <c r="P208" s="172">
        <f ca="1">OFFSET(产销汇总!$C$1,MATCH(P$27,产销汇总!$C$2:$C$8,0),$C$27)/200*协力宝箱!$Q$82</f>
        <v>0</v>
      </c>
      <c r="Q208" s="80">
        <f t="shared" si="19"/>
        <v>10</v>
      </c>
      <c r="R208" s="80">
        <v>10</v>
      </c>
      <c r="S208" s="172">
        <f t="shared" si="21"/>
        <v>100</v>
      </c>
      <c r="T208" s="172">
        <f>(公会!$F$12+公会!$F$13+公会!$F$14+公会!$F$18/7)/2</f>
        <v>121.428571428571</v>
      </c>
      <c r="U208" s="172">
        <f t="shared" si="20"/>
        <v>150</v>
      </c>
      <c r="V208" s="172" t="e">
        <f ca="1">SUM($H$29:U208)+SUM(D208:G208)</f>
        <v>#N/A</v>
      </c>
      <c r="W208" s="132" t="e">
        <f ca="1" t="shared" si="22"/>
        <v>#N/A</v>
      </c>
    </row>
    <row r="209" spans="1:23">
      <c r="A209" s="171"/>
      <c r="B209" s="80">
        <v>181</v>
      </c>
      <c r="C209" s="80">
        <f ca="1">OFFSET(产销汇总!$C$12,$B209,$C$27)</f>
        <v>213.5</v>
      </c>
      <c r="D209" s="80">
        <f ca="1">SUMIF(主线宝箱!$B$321:$B$620,"&lt;="&amp;C209,主线宝箱!$H$321:$H$620)+SUMIF(主线宝箱!$B$321:$B$620,"&lt;="&amp;C209,主线宝箱!$T$321:$T$620)</f>
        <v>8520</v>
      </c>
      <c r="E209" s="80">
        <v>110</v>
      </c>
      <c r="F209" s="80">
        <f t="shared" si="23"/>
        <v>450</v>
      </c>
      <c r="G209" s="80">
        <f ca="1">IF(AND($C$27&lt;3,B209&gt;3),G208,SUMIF(图纸产出设计!$F$334:$F$342,"&lt;="&amp;B209,图纸产出设计!$C$334:$C$342))</f>
        <v>3890</v>
      </c>
      <c r="H209" s="80" t="e">
        <f ca="1">OFFSET(产销汇总!$C$1,MATCH(H$28,产销汇总!$C$2:$C$8,0),$C$27)*(_xlfn.XLOOKUP(C209,主线推图!$B$313:$B$612,主线推图!$G$313:$G$612)+_xlfn.XLOOKUP(C209,主线推图!$B$313:$B$612,主线推图!$H$313:$H$612))</f>
        <v>#N/A</v>
      </c>
      <c r="I209" s="80" t="e">
        <f ca="1">OFFSET(产销汇总!$C$1,MATCH(I$28,产销汇总!$C$2:$C$8,0),$C$27)*_xlfn.XLOOKUP(C209,巡逻产出!$B$311:$B$610,巡逻产出!$H$311:$H$610)</f>
        <v>#N/A</v>
      </c>
      <c r="J209" s="80" t="e">
        <f ca="1">OFFSET(产销汇总!$C$1,MATCH(J$28,产销汇总!$C$2:$C$8,0),$C$27)*(_xlfn.XLOOKUP(MAX(1,INT(C209/10-6/10)),组队产出!$B$24:$B$39,组队产出!$J$24:$J$39)+_xlfn.XLOOKUP(MAX(1,INT(C209/10-6/10)),组队产出!$B$24:$B$39,组队产出!$K$24:$K$39))</f>
        <v>#N/A</v>
      </c>
      <c r="K209" s="80" t="e">
        <f ca="1">OFFSET(产销汇总!$C$1,MATCH(K$28,产销汇总!$C$2:$C$8,0),$C$27)*_xlfn.XLOOKUP(C209,巡逻产出!$B$311:$B$610,巡逻产出!$I$311:$I$610)*IF($C$27=1,0.5,1)</f>
        <v>#N/A</v>
      </c>
      <c r="L209" s="80">
        <f ca="1">OFFSET(产销汇总!$C$1,MATCH(L$28,产销汇总!$C$2:$C$8,0),$C$27)*竞技场!$C$5</f>
        <v>180</v>
      </c>
      <c r="M209" s="80">
        <f>任务!$C$6+IF(MOD(B209,7)=0,任务!$M$25)</f>
        <v>30</v>
      </c>
      <c r="N209" s="98">
        <f t="shared" si="17"/>
        <v>1.7</v>
      </c>
      <c r="O209" s="80">
        <f t="shared" si="18"/>
        <v>0</v>
      </c>
      <c r="P209" s="172">
        <f ca="1">OFFSET(产销汇总!$C$1,MATCH(P$27,产销汇总!$C$2:$C$8,0),$C$27)/200*协力宝箱!$Q$82</f>
        <v>0</v>
      </c>
      <c r="Q209" s="80">
        <f t="shared" si="19"/>
        <v>10</v>
      </c>
      <c r="R209" s="80">
        <v>10</v>
      </c>
      <c r="S209" s="172">
        <f t="shared" si="21"/>
        <v>100</v>
      </c>
      <c r="T209" s="172">
        <f>(公会!$F$12+公会!$F$13+公会!$F$14+公会!$F$18/7)/2</f>
        <v>121.428571428571</v>
      </c>
      <c r="U209" s="172">
        <f t="shared" si="20"/>
        <v>150</v>
      </c>
      <c r="V209" s="172" t="e">
        <f ca="1">SUM($H$29:U209)+SUM(D209:G209)</f>
        <v>#N/A</v>
      </c>
      <c r="W209" s="132" t="e">
        <f ca="1" t="shared" si="22"/>
        <v>#N/A</v>
      </c>
    </row>
    <row r="210" spans="1:23">
      <c r="A210" s="171"/>
      <c r="B210" s="80">
        <v>182</v>
      </c>
      <c r="C210" s="80">
        <f ca="1">OFFSET(产销汇总!$C$12,$B210,$C$27)</f>
        <v>214</v>
      </c>
      <c r="D210" s="80">
        <f ca="1">SUMIF(主线宝箱!$B$321:$B$620,"&lt;="&amp;C210,主线宝箱!$H$321:$H$620)+SUMIF(主线宝箱!$B$321:$B$620,"&lt;="&amp;C210,主线宝箱!$T$321:$T$620)</f>
        <v>8560</v>
      </c>
      <c r="E210" s="80">
        <v>110</v>
      </c>
      <c r="F210" s="80">
        <f t="shared" si="23"/>
        <v>450</v>
      </c>
      <c r="G210" s="80">
        <f ca="1">IF(AND($C$27&lt;3,B210&gt;3),G209,SUMIF(图纸产出设计!$F$334:$F$342,"&lt;="&amp;B210,图纸产出设计!$C$334:$C$342))</f>
        <v>3890</v>
      </c>
      <c r="H210" s="80">
        <f ca="1">OFFSET(产销汇总!$C$1,MATCH(H$28,产销汇总!$C$2:$C$8,0),$C$27)*(_xlfn.XLOOKUP(C210,主线推图!$B$313:$B$612,主线推图!$G$313:$G$612)+_xlfn.XLOOKUP(C210,主线推图!$B$313:$B$612,主线推图!$H$313:$H$612))</f>
        <v>176</v>
      </c>
      <c r="I210" s="80">
        <f ca="1">OFFSET(产销汇总!$C$1,MATCH(I$28,产销汇总!$C$2:$C$8,0),$C$27)*_xlfn.XLOOKUP(C210,巡逻产出!$B$311:$B$610,巡逻产出!$H$311:$H$610)</f>
        <v>0</v>
      </c>
      <c r="J210" s="80" t="e">
        <f ca="1">OFFSET(产销汇总!$C$1,MATCH(J$28,产销汇总!$C$2:$C$8,0),$C$27)*(_xlfn.XLOOKUP(MAX(1,INT(C210/10-6/10)),组队产出!$B$24:$B$39,组队产出!$J$24:$J$39)+_xlfn.XLOOKUP(MAX(1,INT(C210/10-6/10)),组队产出!$B$24:$B$39,组队产出!$K$24:$K$39))</f>
        <v>#N/A</v>
      </c>
      <c r="K210" s="80">
        <f ca="1">OFFSET(产销汇总!$C$1,MATCH(K$28,产销汇总!$C$2:$C$8,0),$C$27)*_xlfn.XLOOKUP(C210,巡逻产出!$B$311:$B$610,巡逻产出!$I$311:$I$610)*IF($C$27=1,0.5,1)</f>
        <v>312</v>
      </c>
      <c r="L210" s="80">
        <f ca="1">OFFSET(产销汇总!$C$1,MATCH(L$28,产销汇总!$C$2:$C$8,0),$C$27)*竞技场!$C$5</f>
        <v>180</v>
      </c>
      <c r="M210" s="80">
        <f>任务!$C$6+IF(MOD(B210,7)=0,任务!$M$25)</f>
        <v>60</v>
      </c>
      <c r="N210" s="98">
        <f t="shared" si="17"/>
        <v>1.7</v>
      </c>
      <c r="O210" s="80">
        <f t="shared" si="18"/>
        <v>0</v>
      </c>
      <c r="P210" s="172">
        <f ca="1">OFFSET(产销汇总!$C$1,MATCH(P$27,产销汇总!$C$2:$C$8,0),$C$27)/200*协力宝箱!$Q$82</f>
        <v>0</v>
      </c>
      <c r="Q210" s="80">
        <f t="shared" si="19"/>
        <v>10</v>
      </c>
      <c r="R210" s="80">
        <v>10</v>
      </c>
      <c r="S210" s="172">
        <f t="shared" si="21"/>
        <v>100</v>
      </c>
      <c r="T210" s="172">
        <f>(公会!$F$12+公会!$F$13+公会!$F$14+公会!$F$18/7)/2</f>
        <v>121.428571428571</v>
      </c>
      <c r="U210" s="172">
        <f t="shared" si="20"/>
        <v>150</v>
      </c>
      <c r="V210" s="172" t="e">
        <f ca="1">SUM($H$29:U210)+SUM(D210:G210)</f>
        <v>#N/A</v>
      </c>
      <c r="W210" s="132" t="e">
        <f ca="1" t="shared" si="22"/>
        <v>#N/A</v>
      </c>
    </row>
    <row r="211" spans="1:23">
      <c r="A211" s="171"/>
      <c r="B211" s="80">
        <v>183</v>
      </c>
      <c r="C211" s="80">
        <f ca="1">OFFSET(产销汇总!$C$12,$B211,$C$27)</f>
        <v>214.5</v>
      </c>
      <c r="D211" s="80">
        <f ca="1">SUMIF(主线宝箱!$B$321:$B$620,"&lt;="&amp;C211,主线宝箱!$H$321:$H$620)+SUMIF(主线宝箱!$B$321:$B$620,"&lt;="&amp;C211,主线宝箱!$T$321:$T$620)</f>
        <v>8560</v>
      </c>
      <c r="E211" s="80">
        <v>110</v>
      </c>
      <c r="F211" s="80">
        <f t="shared" si="23"/>
        <v>450</v>
      </c>
      <c r="G211" s="80">
        <f ca="1">IF(AND($C$27&lt;3,B211&gt;3),G210,SUMIF(图纸产出设计!$F$334:$F$342,"&lt;="&amp;B211,图纸产出设计!$C$334:$C$342))</f>
        <v>3890</v>
      </c>
      <c r="H211" s="80" t="e">
        <f ca="1">OFFSET(产销汇总!$C$1,MATCH(H$28,产销汇总!$C$2:$C$8,0),$C$27)*(_xlfn.XLOOKUP(C211,主线推图!$B$313:$B$612,主线推图!$G$313:$G$612)+_xlfn.XLOOKUP(C211,主线推图!$B$313:$B$612,主线推图!$H$313:$H$612))</f>
        <v>#N/A</v>
      </c>
      <c r="I211" s="80" t="e">
        <f ca="1">OFFSET(产销汇总!$C$1,MATCH(I$28,产销汇总!$C$2:$C$8,0),$C$27)*_xlfn.XLOOKUP(C211,巡逻产出!$B$311:$B$610,巡逻产出!$H$311:$H$610)</f>
        <v>#N/A</v>
      </c>
      <c r="J211" s="80" t="e">
        <f ca="1">OFFSET(产销汇总!$C$1,MATCH(J$28,产销汇总!$C$2:$C$8,0),$C$27)*(_xlfn.XLOOKUP(MAX(1,INT(C211/10-6/10)),组队产出!$B$24:$B$39,组队产出!$J$24:$J$39)+_xlfn.XLOOKUP(MAX(1,INT(C211/10-6/10)),组队产出!$B$24:$B$39,组队产出!$K$24:$K$39))</f>
        <v>#N/A</v>
      </c>
      <c r="K211" s="80" t="e">
        <f ca="1">OFFSET(产销汇总!$C$1,MATCH(K$28,产销汇总!$C$2:$C$8,0),$C$27)*_xlfn.XLOOKUP(C211,巡逻产出!$B$311:$B$610,巡逻产出!$I$311:$I$610)*IF($C$27=1,0.5,1)</f>
        <v>#N/A</v>
      </c>
      <c r="L211" s="80">
        <f ca="1">OFFSET(产销汇总!$C$1,MATCH(L$28,产销汇总!$C$2:$C$8,0),$C$27)*竞技场!$C$5</f>
        <v>180</v>
      </c>
      <c r="M211" s="80">
        <f>任务!$C$6+IF(MOD(B211,7)=0,任务!$M$25)</f>
        <v>30</v>
      </c>
      <c r="N211" s="98">
        <f t="shared" si="17"/>
        <v>1.7</v>
      </c>
      <c r="O211" s="80">
        <f t="shared" si="18"/>
        <v>0</v>
      </c>
      <c r="P211" s="172">
        <f ca="1">OFFSET(产销汇总!$C$1,MATCH(P$27,产销汇总!$C$2:$C$8,0),$C$27)/200*协力宝箱!$Q$82</f>
        <v>0</v>
      </c>
      <c r="Q211" s="80">
        <f t="shared" si="19"/>
        <v>10</v>
      </c>
      <c r="R211" s="80">
        <v>10</v>
      </c>
      <c r="S211" s="172">
        <f t="shared" si="21"/>
        <v>100</v>
      </c>
      <c r="T211" s="172">
        <f>(公会!$F$12+公会!$F$13+公会!$F$14+公会!$F$18/7)/2</f>
        <v>121.428571428571</v>
      </c>
      <c r="U211" s="172">
        <f t="shared" si="20"/>
        <v>150</v>
      </c>
      <c r="V211" s="172" t="e">
        <f ca="1">SUM($H$29:U211)+SUM(D211:G211)</f>
        <v>#N/A</v>
      </c>
      <c r="W211" s="132" t="e">
        <f ca="1" t="shared" si="22"/>
        <v>#N/A</v>
      </c>
    </row>
    <row r="212" spans="1:23">
      <c r="A212" s="171"/>
      <c r="B212" s="80">
        <v>184</v>
      </c>
      <c r="C212" s="80">
        <f ca="1">OFFSET(产销汇总!$C$12,$B212,$C$27)</f>
        <v>215</v>
      </c>
      <c r="D212" s="80">
        <f ca="1">SUMIF(主线宝箱!$B$321:$B$620,"&lt;="&amp;C212,主线宝箱!$H$321:$H$620)+SUMIF(主线宝箱!$B$321:$B$620,"&lt;="&amp;C212,主线宝箱!$T$321:$T$620)</f>
        <v>8600</v>
      </c>
      <c r="E212" s="80">
        <v>110</v>
      </c>
      <c r="F212" s="80">
        <f t="shared" si="23"/>
        <v>450</v>
      </c>
      <c r="G212" s="80">
        <f ca="1">IF(AND($C$27&lt;3,B212&gt;3),G211,SUMIF(图纸产出设计!$F$334:$F$342,"&lt;="&amp;B212,图纸产出设计!$C$334:$C$342))</f>
        <v>3890</v>
      </c>
      <c r="H212" s="80">
        <f ca="1">OFFSET(产销汇总!$C$1,MATCH(H$28,产销汇总!$C$2:$C$8,0),$C$27)*(_xlfn.XLOOKUP(C212,主线推图!$B$313:$B$612,主线推图!$G$313:$G$612)+_xlfn.XLOOKUP(C212,主线推图!$B$313:$B$612,主线推图!$H$313:$H$612))</f>
        <v>176</v>
      </c>
      <c r="I212" s="80">
        <f ca="1">OFFSET(产销汇总!$C$1,MATCH(I$28,产销汇总!$C$2:$C$8,0),$C$27)*_xlfn.XLOOKUP(C212,巡逻产出!$B$311:$B$610,巡逻产出!$H$311:$H$610)</f>
        <v>0</v>
      </c>
      <c r="J212" s="80" t="e">
        <f ca="1">OFFSET(产销汇总!$C$1,MATCH(J$28,产销汇总!$C$2:$C$8,0),$C$27)*(_xlfn.XLOOKUP(MAX(1,INT(C212/10-6/10)),组队产出!$B$24:$B$39,组队产出!$J$24:$J$39)+_xlfn.XLOOKUP(MAX(1,INT(C212/10-6/10)),组队产出!$B$24:$B$39,组队产出!$K$24:$K$39))</f>
        <v>#N/A</v>
      </c>
      <c r="K212" s="80">
        <f ca="1">OFFSET(产销汇总!$C$1,MATCH(K$28,产销汇总!$C$2:$C$8,0),$C$27)*_xlfn.XLOOKUP(C212,巡逻产出!$B$311:$B$610,巡逻产出!$I$311:$I$610)*IF($C$27=1,0.5,1)</f>
        <v>312</v>
      </c>
      <c r="L212" s="80">
        <f ca="1">OFFSET(产销汇总!$C$1,MATCH(L$28,产销汇总!$C$2:$C$8,0),$C$27)*竞技场!$C$5</f>
        <v>180</v>
      </c>
      <c r="M212" s="80">
        <f>任务!$C$6+IF(MOD(B212,7)=0,任务!$M$25)</f>
        <v>30</v>
      </c>
      <c r="N212" s="98">
        <f t="shared" si="17"/>
        <v>1.7</v>
      </c>
      <c r="O212" s="80">
        <f t="shared" si="18"/>
        <v>10</v>
      </c>
      <c r="P212" s="172">
        <f ca="1">OFFSET(产销汇总!$C$1,MATCH(P$27,产销汇总!$C$2:$C$8,0),$C$27)/200*协力宝箱!$Q$82</f>
        <v>0</v>
      </c>
      <c r="Q212" s="80">
        <f t="shared" si="19"/>
        <v>10</v>
      </c>
      <c r="R212" s="80">
        <v>10</v>
      </c>
      <c r="S212" s="172">
        <f t="shared" si="21"/>
        <v>100</v>
      </c>
      <c r="T212" s="172">
        <f>(公会!$F$12+公会!$F$13+公会!$F$14+公会!$F$18/7)/2</f>
        <v>121.428571428571</v>
      </c>
      <c r="U212" s="172">
        <f t="shared" si="20"/>
        <v>150</v>
      </c>
      <c r="V212" s="172" t="e">
        <f ca="1">SUM($H$29:U212)+SUM(D212:G212)</f>
        <v>#N/A</v>
      </c>
      <c r="W212" s="132" t="e">
        <f ca="1" t="shared" si="22"/>
        <v>#N/A</v>
      </c>
    </row>
    <row r="213" spans="1:23">
      <c r="A213" s="171"/>
      <c r="B213" s="80">
        <v>185</v>
      </c>
      <c r="C213" s="80">
        <f ca="1">OFFSET(产销汇总!$C$12,$B213,$C$27)</f>
        <v>215.5</v>
      </c>
      <c r="D213" s="80">
        <f ca="1">SUMIF(主线宝箱!$B$321:$B$620,"&lt;="&amp;C213,主线宝箱!$H$321:$H$620)+SUMIF(主线宝箱!$B$321:$B$620,"&lt;="&amp;C213,主线宝箱!$T$321:$T$620)</f>
        <v>8600</v>
      </c>
      <c r="E213" s="80">
        <v>110</v>
      </c>
      <c r="F213" s="80">
        <f t="shared" si="23"/>
        <v>450</v>
      </c>
      <c r="G213" s="80">
        <f ca="1">IF(AND($C$27&lt;3,B213&gt;3),G212,SUMIF(图纸产出设计!$F$334:$F$342,"&lt;="&amp;B213,图纸产出设计!$C$334:$C$342))</f>
        <v>3890</v>
      </c>
      <c r="H213" s="80" t="e">
        <f ca="1">OFFSET(产销汇总!$C$1,MATCH(H$28,产销汇总!$C$2:$C$8,0),$C$27)*(_xlfn.XLOOKUP(C213,主线推图!$B$313:$B$612,主线推图!$G$313:$G$612)+_xlfn.XLOOKUP(C213,主线推图!$B$313:$B$612,主线推图!$H$313:$H$612))</f>
        <v>#N/A</v>
      </c>
      <c r="I213" s="80" t="e">
        <f ca="1">OFFSET(产销汇总!$C$1,MATCH(I$28,产销汇总!$C$2:$C$8,0),$C$27)*_xlfn.XLOOKUP(C213,巡逻产出!$B$311:$B$610,巡逻产出!$H$311:$H$610)</f>
        <v>#N/A</v>
      </c>
      <c r="J213" s="80" t="e">
        <f ca="1">OFFSET(产销汇总!$C$1,MATCH(J$28,产销汇总!$C$2:$C$8,0),$C$27)*(_xlfn.XLOOKUP(MAX(1,INT(C213/10-6/10)),组队产出!$B$24:$B$39,组队产出!$J$24:$J$39)+_xlfn.XLOOKUP(MAX(1,INT(C213/10-6/10)),组队产出!$B$24:$B$39,组队产出!$K$24:$K$39))</f>
        <v>#N/A</v>
      </c>
      <c r="K213" s="80" t="e">
        <f ca="1">OFFSET(产销汇总!$C$1,MATCH(K$28,产销汇总!$C$2:$C$8,0),$C$27)*_xlfn.XLOOKUP(C213,巡逻产出!$B$311:$B$610,巡逻产出!$I$311:$I$610)*IF($C$27=1,0.5,1)</f>
        <v>#N/A</v>
      </c>
      <c r="L213" s="80">
        <f ca="1">OFFSET(产销汇总!$C$1,MATCH(L$28,产销汇总!$C$2:$C$8,0),$C$27)*竞技场!$C$5</f>
        <v>180</v>
      </c>
      <c r="M213" s="80">
        <f>任务!$C$6+IF(MOD(B213,7)=0,任务!$M$25)</f>
        <v>30</v>
      </c>
      <c r="N213" s="98">
        <f t="shared" si="17"/>
        <v>1.7</v>
      </c>
      <c r="O213" s="80">
        <f t="shared" si="18"/>
        <v>0</v>
      </c>
      <c r="P213" s="172">
        <f ca="1">OFFSET(产销汇总!$C$1,MATCH(P$27,产销汇总!$C$2:$C$8,0),$C$27)/200*协力宝箱!$Q$82</f>
        <v>0</v>
      </c>
      <c r="Q213" s="80">
        <f t="shared" si="19"/>
        <v>10</v>
      </c>
      <c r="R213" s="80">
        <v>10</v>
      </c>
      <c r="S213" s="172">
        <f t="shared" si="21"/>
        <v>100</v>
      </c>
      <c r="T213" s="172">
        <f>(公会!$F$12+公会!$F$13+公会!$F$14+公会!$F$18/7)/2</f>
        <v>121.428571428571</v>
      </c>
      <c r="U213" s="172">
        <f t="shared" si="20"/>
        <v>150</v>
      </c>
      <c r="V213" s="172" t="e">
        <f ca="1">SUM($H$29:U213)+SUM(D213:G213)</f>
        <v>#N/A</v>
      </c>
      <c r="W213" s="132" t="e">
        <f ca="1" t="shared" si="22"/>
        <v>#N/A</v>
      </c>
    </row>
    <row r="214" spans="1:23">
      <c r="A214" s="171"/>
      <c r="B214" s="80">
        <v>186</v>
      </c>
      <c r="C214" s="80">
        <f ca="1">OFFSET(产销汇总!$C$12,$B214,$C$27)</f>
        <v>216</v>
      </c>
      <c r="D214" s="80">
        <f ca="1">SUMIF(主线宝箱!$B$321:$B$620,"&lt;="&amp;C214,主线宝箱!$H$321:$H$620)+SUMIF(主线宝箱!$B$321:$B$620,"&lt;="&amp;C214,主线宝箱!$T$321:$T$620)</f>
        <v>8640</v>
      </c>
      <c r="E214" s="80">
        <v>110</v>
      </c>
      <c r="F214" s="80">
        <f t="shared" si="23"/>
        <v>450</v>
      </c>
      <c r="G214" s="80">
        <f ca="1">IF(AND($C$27&lt;3,B214&gt;3),G213,SUMIF(图纸产出设计!$F$334:$F$342,"&lt;="&amp;B214,图纸产出设计!$C$334:$C$342))</f>
        <v>3890</v>
      </c>
      <c r="H214" s="80">
        <f ca="1">OFFSET(产销汇总!$C$1,MATCH(H$28,产销汇总!$C$2:$C$8,0),$C$27)*(_xlfn.XLOOKUP(C214,主线推图!$B$313:$B$612,主线推图!$G$313:$G$612)+_xlfn.XLOOKUP(C214,主线推图!$B$313:$B$612,主线推图!$H$313:$H$612))</f>
        <v>176</v>
      </c>
      <c r="I214" s="80">
        <f ca="1">OFFSET(产销汇总!$C$1,MATCH(I$28,产销汇总!$C$2:$C$8,0),$C$27)*_xlfn.XLOOKUP(C214,巡逻产出!$B$311:$B$610,巡逻产出!$H$311:$H$610)</f>
        <v>0</v>
      </c>
      <c r="J214" s="80" t="e">
        <f ca="1">OFFSET(产销汇总!$C$1,MATCH(J$28,产销汇总!$C$2:$C$8,0),$C$27)*(_xlfn.XLOOKUP(MAX(1,INT(C214/10-6/10)),组队产出!$B$24:$B$39,组队产出!$J$24:$J$39)+_xlfn.XLOOKUP(MAX(1,INT(C214/10-6/10)),组队产出!$B$24:$B$39,组队产出!$K$24:$K$39))</f>
        <v>#N/A</v>
      </c>
      <c r="K214" s="80">
        <f ca="1">OFFSET(产销汇总!$C$1,MATCH(K$28,产销汇总!$C$2:$C$8,0),$C$27)*_xlfn.XLOOKUP(C214,巡逻产出!$B$311:$B$610,巡逻产出!$I$311:$I$610)*IF($C$27=1,0.5,1)</f>
        <v>312</v>
      </c>
      <c r="L214" s="80">
        <f ca="1">OFFSET(产销汇总!$C$1,MATCH(L$28,产销汇总!$C$2:$C$8,0),$C$27)*竞技场!$C$5</f>
        <v>180</v>
      </c>
      <c r="M214" s="80">
        <f>任务!$C$6+IF(MOD(B214,7)=0,任务!$M$25)</f>
        <v>30</v>
      </c>
      <c r="N214" s="98">
        <f t="shared" si="17"/>
        <v>1.7</v>
      </c>
      <c r="O214" s="80">
        <f t="shared" si="18"/>
        <v>0</v>
      </c>
      <c r="P214" s="172">
        <f ca="1">OFFSET(产销汇总!$C$1,MATCH(P$27,产销汇总!$C$2:$C$8,0),$C$27)/200*协力宝箱!$Q$82</f>
        <v>0</v>
      </c>
      <c r="Q214" s="80">
        <f t="shared" si="19"/>
        <v>10</v>
      </c>
      <c r="R214" s="80">
        <v>10</v>
      </c>
      <c r="S214" s="172">
        <f t="shared" si="21"/>
        <v>100</v>
      </c>
      <c r="T214" s="172">
        <f>(公会!$F$12+公会!$F$13+公会!$F$14+公会!$F$18/7)/2</f>
        <v>121.428571428571</v>
      </c>
      <c r="U214" s="172">
        <f t="shared" si="20"/>
        <v>150</v>
      </c>
      <c r="V214" s="172" t="e">
        <f ca="1">SUM($H$29:U214)+SUM(D214:G214)</f>
        <v>#N/A</v>
      </c>
      <c r="W214" s="132" t="e">
        <f ca="1" t="shared" si="22"/>
        <v>#N/A</v>
      </c>
    </row>
    <row r="215" spans="1:23">
      <c r="A215" s="171"/>
      <c r="B215" s="80">
        <v>187</v>
      </c>
      <c r="C215" s="80">
        <f ca="1">OFFSET(产销汇总!$C$12,$B215,$C$27)</f>
        <v>216.5</v>
      </c>
      <c r="D215" s="80">
        <f ca="1">SUMIF(主线宝箱!$B$321:$B$620,"&lt;="&amp;C215,主线宝箱!$H$321:$H$620)+SUMIF(主线宝箱!$B$321:$B$620,"&lt;="&amp;C215,主线宝箱!$T$321:$T$620)</f>
        <v>8640</v>
      </c>
      <c r="E215" s="80">
        <v>110</v>
      </c>
      <c r="F215" s="80">
        <f t="shared" si="23"/>
        <v>450</v>
      </c>
      <c r="G215" s="80">
        <f ca="1">IF(AND($C$27&lt;3,B215&gt;3),G214,SUMIF(图纸产出设计!$F$334:$F$342,"&lt;="&amp;B215,图纸产出设计!$C$334:$C$342))</f>
        <v>3890</v>
      </c>
      <c r="H215" s="80" t="e">
        <f ca="1">OFFSET(产销汇总!$C$1,MATCH(H$28,产销汇总!$C$2:$C$8,0),$C$27)*(_xlfn.XLOOKUP(C215,主线推图!$B$313:$B$612,主线推图!$G$313:$G$612)+_xlfn.XLOOKUP(C215,主线推图!$B$313:$B$612,主线推图!$H$313:$H$612))</f>
        <v>#N/A</v>
      </c>
      <c r="I215" s="80" t="e">
        <f ca="1">OFFSET(产销汇总!$C$1,MATCH(I$28,产销汇总!$C$2:$C$8,0),$C$27)*_xlfn.XLOOKUP(C215,巡逻产出!$B$311:$B$610,巡逻产出!$H$311:$H$610)</f>
        <v>#N/A</v>
      </c>
      <c r="J215" s="80" t="e">
        <f ca="1">OFFSET(产销汇总!$C$1,MATCH(J$28,产销汇总!$C$2:$C$8,0),$C$27)*(_xlfn.XLOOKUP(MAX(1,INT(C215/10-6/10)),组队产出!$B$24:$B$39,组队产出!$J$24:$J$39)+_xlfn.XLOOKUP(MAX(1,INT(C215/10-6/10)),组队产出!$B$24:$B$39,组队产出!$K$24:$K$39))</f>
        <v>#N/A</v>
      </c>
      <c r="K215" s="80" t="e">
        <f ca="1">OFFSET(产销汇总!$C$1,MATCH(K$28,产销汇总!$C$2:$C$8,0),$C$27)*_xlfn.XLOOKUP(C215,巡逻产出!$B$311:$B$610,巡逻产出!$I$311:$I$610)*IF($C$27=1,0.5,1)</f>
        <v>#N/A</v>
      </c>
      <c r="L215" s="80">
        <f ca="1">OFFSET(产销汇总!$C$1,MATCH(L$28,产销汇总!$C$2:$C$8,0),$C$27)*竞技场!$C$5</f>
        <v>180</v>
      </c>
      <c r="M215" s="80">
        <f>任务!$C$6+IF(MOD(B215,7)=0,任务!$M$25)</f>
        <v>30</v>
      </c>
      <c r="N215" s="98">
        <f t="shared" si="17"/>
        <v>1.7</v>
      </c>
      <c r="O215" s="80">
        <f t="shared" si="18"/>
        <v>10</v>
      </c>
      <c r="P215" s="172">
        <f ca="1">OFFSET(产销汇总!$C$1,MATCH(P$27,产销汇总!$C$2:$C$8,0),$C$27)/200*协力宝箱!$Q$82</f>
        <v>0</v>
      </c>
      <c r="Q215" s="80">
        <f t="shared" si="19"/>
        <v>10</v>
      </c>
      <c r="R215" s="80">
        <v>10</v>
      </c>
      <c r="S215" s="172">
        <f t="shared" si="21"/>
        <v>100</v>
      </c>
      <c r="T215" s="172">
        <f>(公会!$F$12+公会!$F$13+公会!$F$14+公会!$F$18/7)/2</f>
        <v>121.428571428571</v>
      </c>
      <c r="U215" s="172">
        <f t="shared" si="20"/>
        <v>150</v>
      </c>
      <c r="V215" s="172" t="e">
        <f ca="1">SUM($H$29:U215)+SUM(D215:G215)</f>
        <v>#N/A</v>
      </c>
      <c r="W215" s="132" t="e">
        <f ca="1" t="shared" si="22"/>
        <v>#N/A</v>
      </c>
    </row>
    <row r="216" spans="1:23">
      <c r="A216" s="171"/>
      <c r="B216" s="80">
        <v>188</v>
      </c>
      <c r="C216" s="80">
        <f ca="1">OFFSET(产销汇总!$C$12,$B216,$C$27)</f>
        <v>217</v>
      </c>
      <c r="D216" s="80">
        <f ca="1">SUMIF(主线宝箱!$B$321:$B$620,"&lt;="&amp;C216,主线宝箱!$H$321:$H$620)+SUMIF(主线宝箱!$B$321:$B$620,"&lt;="&amp;C216,主线宝箱!$T$321:$T$620)</f>
        <v>8680</v>
      </c>
      <c r="E216" s="80">
        <v>110</v>
      </c>
      <c r="F216" s="80">
        <f t="shared" si="23"/>
        <v>450</v>
      </c>
      <c r="G216" s="80">
        <f ca="1">IF(AND($C$27&lt;3,B216&gt;3),G215,SUMIF(图纸产出设计!$F$334:$F$342,"&lt;="&amp;B216,图纸产出设计!$C$334:$C$342))</f>
        <v>3890</v>
      </c>
      <c r="H216" s="80">
        <f ca="1">OFFSET(产销汇总!$C$1,MATCH(H$28,产销汇总!$C$2:$C$8,0),$C$27)*(_xlfn.XLOOKUP(C216,主线推图!$B$313:$B$612,主线推图!$G$313:$G$612)+_xlfn.XLOOKUP(C216,主线推图!$B$313:$B$612,主线推图!$H$313:$H$612))</f>
        <v>176</v>
      </c>
      <c r="I216" s="80">
        <f ca="1">OFFSET(产销汇总!$C$1,MATCH(I$28,产销汇总!$C$2:$C$8,0),$C$27)*_xlfn.XLOOKUP(C216,巡逻产出!$B$311:$B$610,巡逻产出!$H$311:$H$610)</f>
        <v>0</v>
      </c>
      <c r="J216" s="80" t="e">
        <f ca="1">OFFSET(产销汇总!$C$1,MATCH(J$28,产销汇总!$C$2:$C$8,0),$C$27)*(_xlfn.XLOOKUP(MAX(1,INT(C216/10-6/10)),组队产出!$B$24:$B$39,组队产出!$J$24:$J$39)+_xlfn.XLOOKUP(MAX(1,INT(C216/10-6/10)),组队产出!$B$24:$B$39,组队产出!$K$24:$K$39))</f>
        <v>#N/A</v>
      </c>
      <c r="K216" s="80">
        <f ca="1">OFFSET(产销汇总!$C$1,MATCH(K$28,产销汇总!$C$2:$C$8,0),$C$27)*_xlfn.XLOOKUP(C216,巡逻产出!$B$311:$B$610,巡逻产出!$I$311:$I$610)*IF($C$27=1,0.5,1)</f>
        <v>312</v>
      </c>
      <c r="L216" s="80">
        <f ca="1">OFFSET(产销汇总!$C$1,MATCH(L$28,产销汇总!$C$2:$C$8,0),$C$27)*竞技场!$C$5</f>
        <v>180</v>
      </c>
      <c r="M216" s="80">
        <f>任务!$C$6+IF(MOD(B216,7)=0,任务!$M$25)</f>
        <v>30</v>
      </c>
      <c r="N216" s="98">
        <f t="shared" si="17"/>
        <v>1.7</v>
      </c>
      <c r="O216" s="80">
        <f t="shared" si="18"/>
        <v>0</v>
      </c>
      <c r="P216" s="172">
        <f ca="1">OFFSET(产销汇总!$C$1,MATCH(P$27,产销汇总!$C$2:$C$8,0),$C$27)/200*协力宝箱!$Q$82</f>
        <v>0</v>
      </c>
      <c r="Q216" s="80">
        <f t="shared" si="19"/>
        <v>10</v>
      </c>
      <c r="R216" s="80">
        <v>10</v>
      </c>
      <c r="S216" s="172">
        <f t="shared" si="21"/>
        <v>100</v>
      </c>
      <c r="T216" s="172">
        <f>(公会!$F$12+公会!$F$13+公会!$F$14+公会!$F$18/7)/2</f>
        <v>121.428571428571</v>
      </c>
      <c r="U216" s="172">
        <f t="shared" si="20"/>
        <v>150</v>
      </c>
      <c r="V216" s="172" t="e">
        <f ca="1">SUM($H$29:U216)+SUM(D216:G216)</f>
        <v>#N/A</v>
      </c>
      <c r="W216" s="132" t="e">
        <f ca="1" t="shared" si="22"/>
        <v>#N/A</v>
      </c>
    </row>
    <row r="217" spans="1:23">
      <c r="A217" s="171"/>
      <c r="B217" s="80">
        <v>189</v>
      </c>
      <c r="C217" s="80">
        <f ca="1">OFFSET(产销汇总!$C$12,$B217,$C$27)</f>
        <v>217.5</v>
      </c>
      <c r="D217" s="80">
        <f ca="1">SUMIF(主线宝箱!$B$321:$B$620,"&lt;="&amp;C217,主线宝箱!$H$321:$H$620)+SUMIF(主线宝箱!$B$321:$B$620,"&lt;="&amp;C217,主线宝箱!$T$321:$T$620)</f>
        <v>8680</v>
      </c>
      <c r="E217" s="80">
        <v>110</v>
      </c>
      <c r="F217" s="80">
        <f t="shared" si="23"/>
        <v>450</v>
      </c>
      <c r="G217" s="80">
        <f ca="1">IF(AND($C$27&lt;3,B217&gt;3),G216,SUMIF(图纸产出设计!$F$334:$F$342,"&lt;="&amp;B217,图纸产出设计!$C$334:$C$342))</f>
        <v>3890</v>
      </c>
      <c r="H217" s="80" t="e">
        <f ca="1">OFFSET(产销汇总!$C$1,MATCH(H$28,产销汇总!$C$2:$C$8,0),$C$27)*(_xlfn.XLOOKUP(C217,主线推图!$B$313:$B$612,主线推图!$G$313:$G$612)+_xlfn.XLOOKUP(C217,主线推图!$B$313:$B$612,主线推图!$H$313:$H$612))</f>
        <v>#N/A</v>
      </c>
      <c r="I217" s="80" t="e">
        <f ca="1">OFFSET(产销汇总!$C$1,MATCH(I$28,产销汇总!$C$2:$C$8,0),$C$27)*_xlfn.XLOOKUP(C217,巡逻产出!$B$311:$B$610,巡逻产出!$H$311:$H$610)</f>
        <v>#N/A</v>
      </c>
      <c r="J217" s="80" t="e">
        <f ca="1">OFFSET(产销汇总!$C$1,MATCH(J$28,产销汇总!$C$2:$C$8,0),$C$27)*(_xlfn.XLOOKUP(MAX(1,INT(C217/10-6/10)),组队产出!$B$24:$B$39,组队产出!$J$24:$J$39)+_xlfn.XLOOKUP(MAX(1,INT(C217/10-6/10)),组队产出!$B$24:$B$39,组队产出!$K$24:$K$39))</f>
        <v>#N/A</v>
      </c>
      <c r="K217" s="80" t="e">
        <f ca="1">OFFSET(产销汇总!$C$1,MATCH(K$28,产销汇总!$C$2:$C$8,0),$C$27)*_xlfn.XLOOKUP(C217,巡逻产出!$B$311:$B$610,巡逻产出!$I$311:$I$610)*IF($C$27=1,0.5,1)</f>
        <v>#N/A</v>
      </c>
      <c r="L217" s="80">
        <f ca="1">OFFSET(产销汇总!$C$1,MATCH(L$28,产销汇总!$C$2:$C$8,0),$C$27)*竞技场!$C$5</f>
        <v>180</v>
      </c>
      <c r="M217" s="80">
        <f>任务!$C$6+IF(MOD(B217,7)=0,任务!$M$25)</f>
        <v>60</v>
      </c>
      <c r="N217" s="98">
        <f t="shared" si="17"/>
        <v>1.7</v>
      </c>
      <c r="O217" s="80">
        <f t="shared" si="18"/>
        <v>0</v>
      </c>
      <c r="P217" s="172">
        <f ca="1">OFFSET(产销汇总!$C$1,MATCH(P$27,产销汇总!$C$2:$C$8,0),$C$27)/200*协力宝箱!$Q$82</f>
        <v>0</v>
      </c>
      <c r="Q217" s="80">
        <f t="shared" si="19"/>
        <v>10</v>
      </c>
      <c r="R217" s="80">
        <v>10</v>
      </c>
      <c r="S217" s="172">
        <f t="shared" si="21"/>
        <v>100</v>
      </c>
      <c r="T217" s="172">
        <f>(公会!$F$12+公会!$F$13+公会!$F$14+公会!$F$18/7)/2</f>
        <v>121.428571428571</v>
      </c>
      <c r="U217" s="172">
        <f t="shared" si="20"/>
        <v>150</v>
      </c>
      <c r="V217" s="172" t="e">
        <f ca="1">SUM($H$29:U217)+SUM(D217:G217)</f>
        <v>#N/A</v>
      </c>
      <c r="W217" s="132" t="e">
        <f ca="1" t="shared" si="22"/>
        <v>#N/A</v>
      </c>
    </row>
    <row r="218" spans="1:23">
      <c r="A218" s="171"/>
      <c r="B218" s="80">
        <v>190</v>
      </c>
      <c r="C218" s="80">
        <f ca="1">OFFSET(产销汇总!$C$12,$B218,$C$27)</f>
        <v>218</v>
      </c>
      <c r="D218" s="80">
        <f ca="1">SUMIF(主线宝箱!$B$321:$B$620,"&lt;="&amp;C218,主线宝箱!$H$321:$H$620)+SUMIF(主线宝箱!$B$321:$B$620,"&lt;="&amp;C218,主线宝箱!$T$321:$T$620)</f>
        <v>8720</v>
      </c>
      <c r="E218" s="80">
        <v>110</v>
      </c>
      <c r="F218" s="80">
        <f t="shared" si="23"/>
        <v>450</v>
      </c>
      <c r="G218" s="80">
        <f ca="1">IF(AND($C$27&lt;3,B218&gt;3),G217,SUMIF(图纸产出设计!$F$334:$F$342,"&lt;="&amp;B218,图纸产出设计!$C$334:$C$342))</f>
        <v>3890</v>
      </c>
      <c r="H218" s="80">
        <f ca="1">OFFSET(产销汇总!$C$1,MATCH(H$28,产销汇总!$C$2:$C$8,0),$C$27)*(_xlfn.XLOOKUP(C218,主线推图!$B$313:$B$612,主线推图!$G$313:$G$612)+_xlfn.XLOOKUP(C218,主线推图!$B$313:$B$612,主线推图!$H$313:$H$612))</f>
        <v>176</v>
      </c>
      <c r="I218" s="80">
        <f ca="1">OFFSET(产销汇总!$C$1,MATCH(I$28,产销汇总!$C$2:$C$8,0),$C$27)*_xlfn.XLOOKUP(C218,巡逻产出!$B$311:$B$610,巡逻产出!$H$311:$H$610)</f>
        <v>0</v>
      </c>
      <c r="J218" s="80" t="e">
        <f ca="1">OFFSET(产销汇总!$C$1,MATCH(J$28,产销汇总!$C$2:$C$8,0),$C$27)*(_xlfn.XLOOKUP(MAX(1,INT(C218/10-6/10)),组队产出!$B$24:$B$39,组队产出!$J$24:$J$39)+_xlfn.XLOOKUP(MAX(1,INT(C218/10-6/10)),组队产出!$B$24:$B$39,组队产出!$K$24:$K$39))</f>
        <v>#N/A</v>
      </c>
      <c r="K218" s="80">
        <f ca="1">OFFSET(产销汇总!$C$1,MATCH(K$28,产销汇总!$C$2:$C$8,0),$C$27)*_xlfn.XLOOKUP(C218,巡逻产出!$B$311:$B$610,巡逻产出!$I$311:$I$610)*IF($C$27=1,0.5,1)</f>
        <v>312</v>
      </c>
      <c r="L218" s="80">
        <f ca="1">OFFSET(产销汇总!$C$1,MATCH(L$28,产销汇总!$C$2:$C$8,0),$C$27)*竞技场!$C$5</f>
        <v>180</v>
      </c>
      <c r="M218" s="80">
        <f>任务!$C$6+IF(MOD(B218,7)=0,任务!$M$25)</f>
        <v>30</v>
      </c>
      <c r="N218" s="98">
        <f t="shared" si="17"/>
        <v>1.7</v>
      </c>
      <c r="O218" s="80">
        <f t="shared" si="18"/>
        <v>0</v>
      </c>
      <c r="P218" s="172">
        <f ca="1">OFFSET(产销汇总!$C$1,MATCH(P$27,产销汇总!$C$2:$C$8,0),$C$27)/200*协力宝箱!$Q$82</f>
        <v>0</v>
      </c>
      <c r="Q218" s="80">
        <f t="shared" si="19"/>
        <v>10</v>
      </c>
      <c r="R218" s="80">
        <v>10</v>
      </c>
      <c r="S218" s="172">
        <f t="shared" si="21"/>
        <v>100</v>
      </c>
      <c r="T218" s="172">
        <f>(公会!$F$12+公会!$F$13+公会!$F$14+公会!$F$18/7)/2</f>
        <v>121.428571428571</v>
      </c>
      <c r="U218" s="172">
        <f t="shared" si="20"/>
        <v>150</v>
      </c>
      <c r="V218" s="172" t="e">
        <f ca="1">SUM($H$29:U218)+SUM(D218:G218)</f>
        <v>#N/A</v>
      </c>
      <c r="W218" s="132" t="e">
        <f ca="1" t="shared" si="22"/>
        <v>#N/A</v>
      </c>
    </row>
    <row r="219" spans="1:23">
      <c r="A219" s="171"/>
      <c r="B219" s="80">
        <v>191</v>
      </c>
      <c r="C219" s="80">
        <f ca="1">OFFSET(产销汇总!$C$12,$B219,$C$27)</f>
        <v>218.5</v>
      </c>
      <c r="D219" s="80">
        <f ca="1">SUMIF(主线宝箱!$B$321:$B$620,"&lt;="&amp;C219,主线宝箱!$H$321:$H$620)+SUMIF(主线宝箱!$B$321:$B$620,"&lt;="&amp;C219,主线宝箱!$T$321:$T$620)</f>
        <v>8720</v>
      </c>
      <c r="E219" s="80">
        <v>110</v>
      </c>
      <c r="F219" s="80">
        <f t="shared" si="23"/>
        <v>450</v>
      </c>
      <c r="G219" s="80">
        <f ca="1">IF(AND($C$27&lt;3,B219&gt;3),G218,SUMIF(图纸产出设计!$F$334:$F$342,"&lt;="&amp;B219,图纸产出设计!$C$334:$C$342))</f>
        <v>3890</v>
      </c>
      <c r="H219" s="80" t="e">
        <f ca="1">OFFSET(产销汇总!$C$1,MATCH(H$28,产销汇总!$C$2:$C$8,0),$C$27)*(_xlfn.XLOOKUP(C219,主线推图!$B$313:$B$612,主线推图!$G$313:$G$612)+_xlfn.XLOOKUP(C219,主线推图!$B$313:$B$612,主线推图!$H$313:$H$612))</f>
        <v>#N/A</v>
      </c>
      <c r="I219" s="80" t="e">
        <f ca="1">OFFSET(产销汇总!$C$1,MATCH(I$28,产销汇总!$C$2:$C$8,0),$C$27)*_xlfn.XLOOKUP(C219,巡逻产出!$B$311:$B$610,巡逻产出!$H$311:$H$610)</f>
        <v>#N/A</v>
      </c>
      <c r="J219" s="80" t="e">
        <f ca="1">OFFSET(产销汇总!$C$1,MATCH(J$28,产销汇总!$C$2:$C$8,0),$C$27)*(_xlfn.XLOOKUP(MAX(1,INT(C219/10-6/10)),组队产出!$B$24:$B$39,组队产出!$J$24:$J$39)+_xlfn.XLOOKUP(MAX(1,INT(C219/10-6/10)),组队产出!$B$24:$B$39,组队产出!$K$24:$K$39))</f>
        <v>#N/A</v>
      </c>
      <c r="K219" s="80" t="e">
        <f ca="1">OFFSET(产销汇总!$C$1,MATCH(K$28,产销汇总!$C$2:$C$8,0),$C$27)*_xlfn.XLOOKUP(C219,巡逻产出!$B$311:$B$610,巡逻产出!$I$311:$I$610)*IF($C$27=1,0.5,1)</f>
        <v>#N/A</v>
      </c>
      <c r="L219" s="80">
        <f ca="1">OFFSET(产销汇总!$C$1,MATCH(L$28,产销汇总!$C$2:$C$8,0),$C$27)*竞技场!$C$5</f>
        <v>180</v>
      </c>
      <c r="M219" s="80">
        <f>任务!$C$6+IF(MOD(B219,7)=0,任务!$M$25)</f>
        <v>30</v>
      </c>
      <c r="N219" s="98">
        <f t="shared" si="17"/>
        <v>1.7</v>
      </c>
      <c r="O219" s="80">
        <f t="shared" si="18"/>
        <v>10</v>
      </c>
      <c r="P219" s="172">
        <f ca="1">OFFSET(产销汇总!$C$1,MATCH(P$27,产销汇总!$C$2:$C$8,0),$C$27)/200*协力宝箱!$Q$82</f>
        <v>0</v>
      </c>
      <c r="Q219" s="80">
        <f t="shared" si="19"/>
        <v>10</v>
      </c>
      <c r="R219" s="80">
        <v>10</v>
      </c>
      <c r="S219" s="172">
        <f t="shared" si="21"/>
        <v>100</v>
      </c>
      <c r="T219" s="172">
        <f>(公会!$F$12+公会!$F$13+公会!$F$14+公会!$F$18/7)/2</f>
        <v>121.428571428571</v>
      </c>
      <c r="U219" s="172">
        <f t="shared" si="20"/>
        <v>150</v>
      </c>
      <c r="V219" s="172" t="e">
        <f ca="1">SUM($H$29:U219)+SUM(D219:G219)</f>
        <v>#N/A</v>
      </c>
      <c r="W219" s="132" t="e">
        <f ca="1" t="shared" si="22"/>
        <v>#N/A</v>
      </c>
    </row>
    <row r="220" spans="1:23">
      <c r="A220" s="171"/>
      <c r="B220" s="80">
        <v>192</v>
      </c>
      <c r="C220" s="80">
        <f ca="1">OFFSET(产销汇总!$C$12,$B220,$C$27)</f>
        <v>219</v>
      </c>
      <c r="D220" s="80">
        <f ca="1">SUMIF(主线宝箱!$B$321:$B$620,"&lt;="&amp;C220,主线宝箱!$H$321:$H$620)+SUMIF(主线宝箱!$B$321:$B$620,"&lt;="&amp;C220,主线宝箱!$T$321:$T$620)</f>
        <v>8760</v>
      </c>
      <c r="E220" s="80">
        <v>110</v>
      </c>
      <c r="F220" s="80">
        <f t="shared" si="23"/>
        <v>450</v>
      </c>
      <c r="G220" s="80">
        <f ca="1">IF(AND($C$27&lt;3,B220&gt;3),G219,SUMIF(图纸产出设计!$F$334:$F$342,"&lt;="&amp;B220,图纸产出设计!$C$334:$C$342))</f>
        <v>3890</v>
      </c>
      <c r="H220" s="80">
        <f ca="1">OFFSET(产销汇总!$C$1,MATCH(H$28,产销汇总!$C$2:$C$8,0),$C$27)*(_xlfn.XLOOKUP(C220,主线推图!$B$313:$B$612,主线推图!$G$313:$G$612)+_xlfn.XLOOKUP(C220,主线推图!$B$313:$B$612,主线推图!$H$313:$H$612))</f>
        <v>176</v>
      </c>
      <c r="I220" s="80">
        <f ca="1">OFFSET(产销汇总!$C$1,MATCH(I$28,产销汇总!$C$2:$C$8,0),$C$27)*_xlfn.XLOOKUP(C220,巡逻产出!$B$311:$B$610,巡逻产出!$H$311:$H$610)</f>
        <v>0</v>
      </c>
      <c r="J220" s="80" t="e">
        <f ca="1">OFFSET(产销汇总!$C$1,MATCH(J$28,产销汇总!$C$2:$C$8,0),$C$27)*(_xlfn.XLOOKUP(MAX(1,INT(C220/10-6/10)),组队产出!$B$24:$B$39,组队产出!$J$24:$J$39)+_xlfn.XLOOKUP(MAX(1,INT(C220/10-6/10)),组队产出!$B$24:$B$39,组队产出!$K$24:$K$39))</f>
        <v>#N/A</v>
      </c>
      <c r="K220" s="80">
        <f ca="1">OFFSET(产销汇总!$C$1,MATCH(K$28,产销汇总!$C$2:$C$8,0),$C$27)*_xlfn.XLOOKUP(C220,巡逻产出!$B$311:$B$610,巡逻产出!$I$311:$I$610)*IF($C$27=1,0.5,1)</f>
        <v>312</v>
      </c>
      <c r="L220" s="80">
        <f ca="1">OFFSET(产销汇总!$C$1,MATCH(L$28,产销汇总!$C$2:$C$8,0),$C$27)*竞技场!$C$5</f>
        <v>180</v>
      </c>
      <c r="M220" s="80">
        <f>任务!$C$6+IF(MOD(B220,7)=0,任务!$M$25)</f>
        <v>30</v>
      </c>
      <c r="N220" s="98">
        <f t="shared" si="17"/>
        <v>1.7</v>
      </c>
      <c r="O220" s="80">
        <f t="shared" si="18"/>
        <v>0</v>
      </c>
      <c r="P220" s="172">
        <f ca="1">OFFSET(产销汇总!$C$1,MATCH(P$27,产销汇总!$C$2:$C$8,0),$C$27)/200*协力宝箱!$Q$82</f>
        <v>0</v>
      </c>
      <c r="Q220" s="80">
        <f t="shared" si="19"/>
        <v>10</v>
      </c>
      <c r="R220" s="80">
        <v>10</v>
      </c>
      <c r="S220" s="172">
        <f t="shared" si="21"/>
        <v>100</v>
      </c>
      <c r="T220" s="172">
        <f>(公会!$F$12+公会!$F$13+公会!$F$14+公会!$F$18/7)/2</f>
        <v>121.428571428571</v>
      </c>
      <c r="U220" s="172">
        <f t="shared" si="20"/>
        <v>150</v>
      </c>
      <c r="V220" s="172" t="e">
        <f ca="1">SUM($H$29:U220)+SUM(D220:G220)</f>
        <v>#N/A</v>
      </c>
      <c r="W220" s="132" t="e">
        <f ca="1" t="shared" si="22"/>
        <v>#N/A</v>
      </c>
    </row>
    <row r="221" spans="1:23">
      <c r="A221" s="171"/>
      <c r="B221" s="80">
        <v>193</v>
      </c>
      <c r="C221" s="80">
        <f ca="1">OFFSET(产销汇总!$C$12,$B221,$C$27)</f>
        <v>219.5</v>
      </c>
      <c r="D221" s="80">
        <f ca="1">SUMIF(主线宝箱!$B$321:$B$620,"&lt;="&amp;C221,主线宝箱!$H$321:$H$620)+SUMIF(主线宝箱!$B$321:$B$620,"&lt;="&amp;C221,主线宝箱!$T$321:$T$620)</f>
        <v>8760</v>
      </c>
      <c r="E221" s="80">
        <v>110</v>
      </c>
      <c r="F221" s="80">
        <f t="shared" si="23"/>
        <v>450</v>
      </c>
      <c r="G221" s="80">
        <f ca="1">IF(AND($C$27&lt;3,B221&gt;3),G220,SUMIF(图纸产出设计!$F$334:$F$342,"&lt;="&amp;B221,图纸产出设计!$C$334:$C$342))</f>
        <v>3890</v>
      </c>
      <c r="H221" s="80" t="e">
        <f ca="1">OFFSET(产销汇总!$C$1,MATCH(H$28,产销汇总!$C$2:$C$8,0),$C$27)*(_xlfn.XLOOKUP(C221,主线推图!$B$313:$B$612,主线推图!$G$313:$G$612)+_xlfn.XLOOKUP(C221,主线推图!$B$313:$B$612,主线推图!$H$313:$H$612))</f>
        <v>#N/A</v>
      </c>
      <c r="I221" s="80" t="e">
        <f ca="1">OFFSET(产销汇总!$C$1,MATCH(I$28,产销汇总!$C$2:$C$8,0),$C$27)*_xlfn.XLOOKUP(C221,巡逻产出!$B$311:$B$610,巡逻产出!$H$311:$H$610)</f>
        <v>#N/A</v>
      </c>
      <c r="J221" s="80" t="e">
        <f ca="1">OFFSET(产销汇总!$C$1,MATCH(J$28,产销汇总!$C$2:$C$8,0),$C$27)*(_xlfn.XLOOKUP(MAX(1,INT(C221/10-6/10)),组队产出!$B$24:$B$39,组队产出!$J$24:$J$39)+_xlfn.XLOOKUP(MAX(1,INT(C221/10-6/10)),组队产出!$B$24:$B$39,组队产出!$K$24:$K$39))</f>
        <v>#N/A</v>
      </c>
      <c r="K221" s="80" t="e">
        <f ca="1">OFFSET(产销汇总!$C$1,MATCH(K$28,产销汇总!$C$2:$C$8,0),$C$27)*_xlfn.XLOOKUP(C221,巡逻产出!$B$311:$B$610,巡逻产出!$I$311:$I$610)*IF($C$27=1,0.5,1)</f>
        <v>#N/A</v>
      </c>
      <c r="L221" s="80">
        <f ca="1">OFFSET(产销汇总!$C$1,MATCH(L$28,产销汇总!$C$2:$C$8,0),$C$27)*竞技场!$C$5</f>
        <v>180</v>
      </c>
      <c r="M221" s="80">
        <f>任务!$C$6+IF(MOD(B221,7)=0,任务!$M$25)</f>
        <v>30</v>
      </c>
      <c r="N221" s="98">
        <f t="shared" ref="N221:N284" si="24">ROUND(12/7,1)</f>
        <v>1.7</v>
      </c>
      <c r="O221" s="80">
        <f t="shared" ref="O221:O284" si="25">IF(MOD(B221,7)=2,10,0)+IF(MOD(B221,7)=5,10,0)</f>
        <v>0</v>
      </c>
      <c r="P221" s="172">
        <f ca="1">OFFSET(产销汇总!$C$1,MATCH(P$27,产销汇总!$C$2:$C$8,0),$C$27)/200*协力宝箱!$Q$82</f>
        <v>0</v>
      </c>
      <c r="Q221" s="80">
        <f t="shared" ref="Q221:Q284" si="26">0.2*5*10</f>
        <v>10</v>
      </c>
      <c r="R221" s="80">
        <v>10</v>
      </c>
      <c r="S221" s="172">
        <f t="shared" si="21"/>
        <v>100</v>
      </c>
      <c r="T221" s="172">
        <f>(公会!$F$12+公会!$F$13+公会!$F$14+公会!$F$18/7)/2</f>
        <v>121.428571428571</v>
      </c>
      <c r="U221" s="172">
        <f t="shared" si="20"/>
        <v>150</v>
      </c>
      <c r="V221" s="172" t="e">
        <f ca="1">SUM($H$29:U221)+SUM(D221:G221)</f>
        <v>#N/A</v>
      </c>
      <c r="W221" s="132" t="e">
        <f ca="1" t="shared" si="22"/>
        <v>#N/A</v>
      </c>
    </row>
    <row r="222" spans="1:23">
      <c r="A222" s="171"/>
      <c r="B222" s="80">
        <v>194</v>
      </c>
      <c r="C222" s="80">
        <f ca="1">OFFSET(产销汇总!$C$12,$B222,$C$27)</f>
        <v>220</v>
      </c>
      <c r="D222" s="80">
        <f ca="1">SUMIF(主线宝箱!$B$321:$B$620,"&lt;="&amp;C222,主线宝箱!$H$321:$H$620)+SUMIF(主线宝箱!$B$321:$B$620,"&lt;="&amp;C222,主线宝箱!$T$321:$T$620)</f>
        <v>8800</v>
      </c>
      <c r="E222" s="80">
        <v>110</v>
      </c>
      <c r="F222" s="80">
        <f t="shared" si="23"/>
        <v>450</v>
      </c>
      <c r="G222" s="80">
        <f ca="1">IF(AND($C$27&lt;3,B222&gt;3),G221,SUMIF(图纸产出设计!$F$334:$F$342,"&lt;="&amp;B222,图纸产出设计!$C$334:$C$342))</f>
        <v>3890</v>
      </c>
      <c r="H222" s="80">
        <f ca="1">OFFSET(产销汇总!$C$1,MATCH(H$28,产销汇总!$C$2:$C$8,0),$C$27)*(_xlfn.XLOOKUP(C222,主线推图!$B$313:$B$612,主线推图!$G$313:$G$612)+_xlfn.XLOOKUP(C222,主线推图!$B$313:$B$612,主线推图!$H$313:$H$612))</f>
        <v>176</v>
      </c>
      <c r="I222" s="80">
        <f ca="1">OFFSET(产销汇总!$C$1,MATCH(I$28,产销汇总!$C$2:$C$8,0),$C$27)*_xlfn.XLOOKUP(C222,巡逻产出!$B$311:$B$610,巡逻产出!$H$311:$H$610)</f>
        <v>0</v>
      </c>
      <c r="J222" s="80" t="e">
        <f ca="1">OFFSET(产销汇总!$C$1,MATCH(J$28,产销汇总!$C$2:$C$8,0),$C$27)*(_xlfn.XLOOKUP(MAX(1,INT(C222/10-6/10)),组队产出!$B$24:$B$39,组队产出!$J$24:$J$39)+_xlfn.XLOOKUP(MAX(1,INT(C222/10-6/10)),组队产出!$B$24:$B$39,组队产出!$K$24:$K$39))</f>
        <v>#N/A</v>
      </c>
      <c r="K222" s="80">
        <f ca="1">OFFSET(产销汇总!$C$1,MATCH(K$28,产销汇总!$C$2:$C$8,0),$C$27)*_xlfn.XLOOKUP(C222,巡逻产出!$B$311:$B$610,巡逻产出!$I$311:$I$610)*IF($C$27=1,0.5,1)</f>
        <v>312</v>
      </c>
      <c r="L222" s="80">
        <f ca="1">OFFSET(产销汇总!$C$1,MATCH(L$28,产销汇总!$C$2:$C$8,0),$C$27)*竞技场!$C$5</f>
        <v>180</v>
      </c>
      <c r="M222" s="80">
        <f>任务!$C$6+IF(MOD(B222,7)=0,任务!$M$25)</f>
        <v>30</v>
      </c>
      <c r="N222" s="98">
        <f t="shared" si="24"/>
        <v>1.7</v>
      </c>
      <c r="O222" s="80">
        <f t="shared" si="25"/>
        <v>10</v>
      </c>
      <c r="P222" s="172">
        <f ca="1">OFFSET(产销汇总!$C$1,MATCH(P$27,产销汇总!$C$2:$C$8,0),$C$27)/200*协力宝箱!$Q$82</f>
        <v>0</v>
      </c>
      <c r="Q222" s="80">
        <f t="shared" si="26"/>
        <v>10</v>
      </c>
      <c r="R222" s="80">
        <v>10</v>
      </c>
      <c r="S222" s="172">
        <f t="shared" si="21"/>
        <v>100</v>
      </c>
      <c r="T222" s="172">
        <f>(公会!$F$12+公会!$F$13+公会!$F$14+公会!$F$18/7)/2</f>
        <v>121.428571428571</v>
      </c>
      <c r="U222" s="172">
        <f t="shared" ref="U222:U285" si="27">IF($C$27&lt;2,50,100)+IF(B222&gt;=3,50,0)</f>
        <v>150</v>
      </c>
      <c r="V222" s="172" t="e">
        <f ca="1">SUM($H$29:U222)+SUM(D222:G222)</f>
        <v>#N/A</v>
      </c>
      <c r="W222" s="132" t="e">
        <f ca="1" t="shared" si="22"/>
        <v>#N/A</v>
      </c>
    </row>
    <row r="223" spans="1:23">
      <c r="A223" s="171"/>
      <c r="B223" s="80">
        <v>195</v>
      </c>
      <c r="C223" s="80">
        <f ca="1">OFFSET(产销汇总!$C$12,$B223,$C$27)</f>
        <v>220.5</v>
      </c>
      <c r="D223" s="80">
        <f ca="1">SUMIF(主线宝箱!$B$321:$B$620,"&lt;="&amp;C223,主线宝箱!$H$321:$H$620)+SUMIF(主线宝箱!$B$321:$B$620,"&lt;="&amp;C223,主线宝箱!$T$321:$T$620)</f>
        <v>8800</v>
      </c>
      <c r="E223" s="80">
        <v>110</v>
      </c>
      <c r="F223" s="80">
        <f t="shared" si="23"/>
        <v>450</v>
      </c>
      <c r="G223" s="80">
        <f ca="1">IF(AND($C$27&lt;3,B223&gt;3),G222,SUMIF(图纸产出设计!$F$334:$F$342,"&lt;="&amp;B223,图纸产出设计!$C$334:$C$342))</f>
        <v>3890</v>
      </c>
      <c r="H223" s="80" t="e">
        <f ca="1">OFFSET(产销汇总!$C$1,MATCH(H$28,产销汇总!$C$2:$C$8,0),$C$27)*(_xlfn.XLOOKUP(C223,主线推图!$B$313:$B$612,主线推图!$G$313:$G$612)+_xlfn.XLOOKUP(C223,主线推图!$B$313:$B$612,主线推图!$H$313:$H$612))</f>
        <v>#N/A</v>
      </c>
      <c r="I223" s="80" t="e">
        <f ca="1">OFFSET(产销汇总!$C$1,MATCH(I$28,产销汇总!$C$2:$C$8,0),$C$27)*_xlfn.XLOOKUP(C223,巡逻产出!$B$311:$B$610,巡逻产出!$H$311:$H$610)</f>
        <v>#N/A</v>
      </c>
      <c r="J223" s="80" t="e">
        <f ca="1">OFFSET(产销汇总!$C$1,MATCH(J$28,产销汇总!$C$2:$C$8,0),$C$27)*(_xlfn.XLOOKUP(MAX(1,INT(C223/10-6/10)),组队产出!$B$24:$B$39,组队产出!$J$24:$J$39)+_xlfn.XLOOKUP(MAX(1,INT(C223/10-6/10)),组队产出!$B$24:$B$39,组队产出!$K$24:$K$39))</f>
        <v>#N/A</v>
      </c>
      <c r="K223" s="80" t="e">
        <f ca="1">OFFSET(产销汇总!$C$1,MATCH(K$28,产销汇总!$C$2:$C$8,0),$C$27)*_xlfn.XLOOKUP(C223,巡逻产出!$B$311:$B$610,巡逻产出!$I$311:$I$610)*IF($C$27=1,0.5,1)</f>
        <v>#N/A</v>
      </c>
      <c r="L223" s="80">
        <f ca="1">OFFSET(产销汇总!$C$1,MATCH(L$28,产销汇总!$C$2:$C$8,0),$C$27)*竞技场!$C$5</f>
        <v>180</v>
      </c>
      <c r="M223" s="80">
        <f>任务!$C$6+IF(MOD(B223,7)=0,任务!$M$25)</f>
        <v>30</v>
      </c>
      <c r="N223" s="98">
        <f t="shared" si="24"/>
        <v>1.7</v>
      </c>
      <c r="O223" s="80">
        <f t="shared" si="25"/>
        <v>0</v>
      </c>
      <c r="P223" s="172">
        <f ca="1">OFFSET(产销汇总!$C$1,MATCH(P$27,产销汇总!$C$2:$C$8,0),$C$27)/200*协力宝箱!$Q$82</f>
        <v>0</v>
      </c>
      <c r="Q223" s="80">
        <f t="shared" si="26"/>
        <v>10</v>
      </c>
      <c r="R223" s="80">
        <v>10</v>
      </c>
      <c r="S223" s="172">
        <f t="shared" ref="S223:S286" si="28">S222</f>
        <v>100</v>
      </c>
      <c r="T223" s="172">
        <f>(公会!$F$12+公会!$F$13+公会!$F$14+公会!$F$18/7)/2</f>
        <v>121.428571428571</v>
      </c>
      <c r="U223" s="172">
        <f t="shared" si="27"/>
        <v>150</v>
      </c>
      <c r="V223" s="172" t="e">
        <f ca="1">SUM($H$29:U223)+SUM(D223:G223)</f>
        <v>#N/A</v>
      </c>
      <c r="W223" s="132" t="e">
        <f ca="1" t="shared" ref="W223:W286" si="29">V223-V222</f>
        <v>#N/A</v>
      </c>
    </row>
    <row r="224" spans="1:23">
      <c r="A224" s="171"/>
      <c r="B224" s="80">
        <v>196</v>
      </c>
      <c r="C224" s="80">
        <f ca="1">OFFSET(产销汇总!$C$12,$B224,$C$27)</f>
        <v>221</v>
      </c>
      <c r="D224" s="80">
        <f ca="1">SUMIF(主线宝箱!$B$321:$B$620,"&lt;="&amp;C224,主线宝箱!$H$321:$H$620)+SUMIF(主线宝箱!$B$321:$B$620,"&lt;="&amp;C224,主线宝箱!$T$321:$T$620)</f>
        <v>8840</v>
      </c>
      <c r="E224" s="80">
        <v>110</v>
      </c>
      <c r="F224" s="80">
        <f t="shared" si="23"/>
        <v>450</v>
      </c>
      <c r="G224" s="80">
        <f ca="1">IF(AND($C$27&lt;3,B224&gt;3),G223,SUMIF(图纸产出设计!$F$334:$F$342,"&lt;="&amp;B224,图纸产出设计!$C$334:$C$342))</f>
        <v>3890</v>
      </c>
      <c r="H224" s="80">
        <f ca="1">OFFSET(产销汇总!$C$1,MATCH(H$28,产销汇总!$C$2:$C$8,0),$C$27)*(_xlfn.XLOOKUP(C224,主线推图!$B$313:$B$612,主线推图!$G$313:$G$612)+_xlfn.XLOOKUP(C224,主线推图!$B$313:$B$612,主线推图!$H$313:$H$612))</f>
        <v>176</v>
      </c>
      <c r="I224" s="80">
        <f ca="1">OFFSET(产销汇总!$C$1,MATCH(I$28,产销汇总!$C$2:$C$8,0),$C$27)*_xlfn.XLOOKUP(C224,巡逻产出!$B$311:$B$610,巡逻产出!$H$311:$H$610)</f>
        <v>0</v>
      </c>
      <c r="J224" s="80" t="e">
        <f ca="1">OFFSET(产销汇总!$C$1,MATCH(J$28,产销汇总!$C$2:$C$8,0),$C$27)*(_xlfn.XLOOKUP(MAX(1,INT(C224/10-6/10)),组队产出!$B$24:$B$39,组队产出!$J$24:$J$39)+_xlfn.XLOOKUP(MAX(1,INT(C224/10-6/10)),组队产出!$B$24:$B$39,组队产出!$K$24:$K$39))</f>
        <v>#N/A</v>
      </c>
      <c r="K224" s="80">
        <f ca="1">OFFSET(产销汇总!$C$1,MATCH(K$28,产销汇总!$C$2:$C$8,0),$C$27)*_xlfn.XLOOKUP(C224,巡逻产出!$B$311:$B$610,巡逻产出!$I$311:$I$610)*IF($C$27=1,0.5,1)</f>
        <v>312</v>
      </c>
      <c r="L224" s="80">
        <f ca="1">OFFSET(产销汇总!$C$1,MATCH(L$28,产销汇总!$C$2:$C$8,0),$C$27)*竞技场!$C$5</f>
        <v>180</v>
      </c>
      <c r="M224" s="80">
        <f>任务!$C$6+IF(MOD(B224,7)=0,任务!$M$25)</f>
        <v>60</v>
      </c>
      <c r="N224" s="98">
        <f t="shared" si="24"/>
        <v>1.7</v>
      </c>
      <c r="O224" s="80">
        <f t="shared" si="25"/>
        <v>0</v>
      </c>
      <c r="P224" s="172">
        <f ca="1">OFFSET(产销汇总!$C$1,MATCH(P$27,产销汇总!$C$2:$C$8,0),$C$27)/200*协力宝箱!$Q$82</f>
        <v>0</v>
      </c>
      <c r="Q224" s="80">
        <f t="shared" si="26"/>
        <v>10</v>
      </c>
      <c r="R224" s="80">
        <v>10</v>
      </c>
      <c r="S224" s="172">
        <f t="shared" si="28"/>
        <v>100</v>
      </c>
      <c r="T224" s="172">
        <f>(公会!$F$12+公会!$F$13+公会!$F$14+公会!$F$18/7)/2</f>
        <v>121.428571428571</v>
      </c>
      <c r="U224" s="172">
        <f t="shared" si="27"/>
        <v>150</v>
      </c>
      <c r="V224" s="172" t="e">
        <f ca="1">SUM($H$29:U224)+SUM(D224:G224)</f>
        <v>#N/A</v>
      </c>
      <c r="W224" s="132" t="e">
        <f ca="1" t="shared" si="29"/>
        <v>#N/A</v>
      </c>
    </row>
    <row r="225" spans="1:23">
      <c r="A225" s="171"/>
      <c r="B225" s="80">
        <v>197</v>
      </c>
      <c r="C225" s="80">
        <f ca="1">OFFSET(产销汇总!$C$12,$B225,$C$27)</f>
        <v>221.5</v>
      </c>
      <c r="D225" s="80">
        <f ca="1">SUMIF(主线宝箱!$B$321:$B$620,"&lt;="&amp;C225,主线宝箱!$H$321:$H$620)+SUMIF(主线宝箱!$B$321:$B$620,"&lt;="&amp;C225,主线宝箱!$T$321:$T$620)</f>
        <v>8840</v>
      </c>
      <c r="E225" s="80">
        <v>110</v>
      </c>
      <c r="F225" s="80">
        <f t="shared" si="23"/>
        <v>450</v>
      </c>
      <c r="G225" s="80">
        <f ca="1">IF(AND($C$27&lt;3,B225&gt;3),G224,SUMIF(图纸产出设计!$F$334:$F$342,"&lt;="&amp;B225,图纸产出设计!$C$334:$C$342))</f>
        <v>3890</v>
      </c>
      <c r="H225" s="80" t="e">
        <f ca="1">OFFSET(产销汇总!$C$1,MATCH(H$28,产销汇总!$C$2:$C$8,0),$C$27)*(_xlfn.XLOOKUP(C225,主线推图!$B$313:$B$612,主线推图!$G$313:$G$612)+_xlfn.XLOOKUP(C225,主线推图!$B$313:$B$612,主线推图!$H$313:$H$612))</f>
        <v>#N/A</v>
      </c>
      <c r="I225" s="80" t="e">
        <f ca="1">OFFSET(产销汇总!$C$1,MATCH(I$28,产销汇总!$C$2:$C$8,0),$C$27)*_xlfn.XLOOKUP(C225,巡逻产出!$B$311:$B$610,巡逻产出!$H$311:$H$610)</f>
        <v>#N/A</v>
      </c>
      <c r="J225" s="80" t="e">
        <f ca="1">OFFSET(产销汇总!$C$1,MATCH(J$28,产销汇总!$C$2:$C$8,0),$C$27)*(_xlfn.XLOOKUP(MAX(1,INT(C225/10-6/10)),组队产出!$B$24:$B$39,组队产出!$J$24:$J$39)+_xlfn.XLOOKUP(MAX(1,INT(C225/10-6/10)),组队产出!$B$24:$B$39,组队产出!$K$24:$K$39))</f>
        <v>#N/A</v>
      </c>
      <c r="K225" s="80" t="e">
        <f ca="1">OFFSET(产销汇总!$C$1,MATCH(K$28,产销汇总!$C$2:$C$8,0),$C$27)*_xlfn.XLOOKUP(C225,巡逻产出!$B$311:$B$610,巡逻产出!$I$311:$I$610)*IF($C$27=1,0.5,1)</f>
        <v>#N/A</v>
      </c>
      <c r="L225" s="80">
        <f ca="1">OFFSET(产销汇总!$C$1,MATCH(L$28,产销汇总!$C$2:$C$8,0),$C$27)*竞技场!$C$5</f>
        <v>180</v>
      </c>
      <c r="M225" s="80">
        <f>任务!$C$6+IF(MOD(B225,7)=0,任务!$M$25)</f>
        <v>30</v>
      </c>
      <c r="N225" s="98">
        <f t="shared" si="24"/>
        <v>1.7</v>
      </c>
      <c r="O225" s="80">
        <f t="shared" si="25"/>
        <v>0</v>
      </c>
      <c r="P225" s="172">
        <f ca="1">OFFSET(产销汇总!$C$1,MATCH(P$27,产销汇总!$C$2:$C$8,0),$C$27)/200*协力宝箱!$Q$82</f>
        <v>0</v>
      </c>
      <c r="Q225" s="80">
        <f t="shared" si="26"/>
        <v>10</v>
      </c>
      <c r="R225" s="80">
        <v>10</v>
      </c>
      <c r="S225" s="172">
        <f t="shared" si="28"/>
        <v>100</v>
      </c>
      <c r="T225" s="172">
        <f>(公会!$F$12+公会!$F$13+公会!$F$14+公会!$F$18/7)/2</f>
        <v>121.428571428571</v>
      </c>
      <c r="U225" s="172">
        <f t="shared" si="27"/>
        <v>150</v>
      </c>
      <c r="V225" s="172" t="e">
        <f ca="1">SUM($H$29:U225)+SUM(D225:G225)</f>
        <v>#N/A</v>
      </c>
      <c r="W225" s="132" t="e">
        <f ca="1" t="shared" si="29"/>
        <v>#N/A</v>
      </c>
    </row>
    <row r="226" spans="1:23">
      <c r="A226" s="171"/>
      <c r="B226" s="80">
        <v>198</v>
      </c>
      <c r="C226" s="80">
        <f ca="1">OFFSET(产销汇总!$C$12,$B226,$C$27)</f>
        <v>222</v>
      </c>
      <c r="D226" s="80">
        <f ca="1">SUMIF(主线宝箱!$B$321:$B$620,"&lt;="&amp;C226,主线宝箱!$H$321:$H$620)+SUMIF(主线宝箱!$B$321:$B$620,"&lt;="&amp;C226,主线宝箱!$T$321:$T$620)</f>
        <v>8880</v>
      </c>
      <c r="E226" s="80">
        <v>110</v>
      </c>
      <c r="F226" s="80">
        <f t="shared" si="23"/>
        <v>450</v>
      </c>
      <c r="G226" s="80">
        <f ca="1">IF(AND($C$27&lt;3,B226&gt;3),G225,SUMIF(图纸产出设计!$F$334:$F$342,"&lt;="&amp;B226,图纸产出设计!$C$334:$C$342))</f>
        <v>3890</v>
      </c>
      <c r="H226" s="80">
        <f ca="1">OFFSET(产销汇总!$C$1,MATCH(H$28,产销汇总!$C$2:$C$8,0),$C$27)*(_xlfn.XLOOKUP(C226,主线推图!$B$313:$B$612,主线推图!$G$313:$G$612)+_xlfn.XLOOKUP(C226,主线推图!$B$313:$B$612,主线推图!$H$313:$H$612))</f>
        <v>176</v>
      </c>
      <c r="I226" s="80">
        <f ca="1">OFFSET(产销汇总!$C$1,MATCH(I$28,产销汇总!$C$2:$C$8,0),$C$27)*_xlfn.XLOOKUP(C226,巡逻产出!$B$311:$B$610,巡逻产出!$H$311:$H$610)</f>
        <v>0</v>
      </c>
      <c r="J226" s="80" t="e">
        <f ca="1">OFFSET(产销汇总!$C$1,MATCH(J$28,产销汇总!$C$2:$C$8,0),$C$27)*(_xlfn.XLOOKUP(MAX(1,INT(C226/10-6/10)),组队产出!$B$24:$B$39,组队产出!$J$24:$J$39)+_xlfn.XLOOKUP(MAX(1,INT(C226/10-6/10)),组队产出!$B$24:$B$39,组队产出!$K$24:$K$39))</f>
        <v>#N/A</v>
      </c>
      <c r="K226" s="80">
        <f ca="1">OFFSET(产销汇总!$C$1,MATCH(K$28,产销汇总!$C$2:$C$8,0),$C$27)*_xlfn.XLOOKUP(C226,巡逻产出!$B$311:$B$610,巡逻产出!$I$311:$I$610)*IF($C$27=1,0.5,1)</f>
        <v>312</v>
      </c>
      <c r="L226" s="80">
        <f ca="1">OFFSET(产销汇总!$C$1,MATCH(L$28,产销汇总!$C$2:$C$8,0),$C$27)*竞技场!$C$5</f>
        <v>180</v>
      </c>
      <c r="M226" s="80">
        <f>任务!$C$6+IF(MOD(B226,7)=0,任务!$M$25)</f>
        <v>30</v>
      </c>
      <c r="N226" s="98">
        <f t="shared" si="24"/>
        <v>1.7</v>
      </c>
      <c r="O226" s="80">
        <f t="shared" si="25"/>
        <v>10</v>
      </c>
      <c r="P226" s="172">
        <f ca="1">OFFSET(产销汇总!$C$1,MATCH(P$27,产销汇总!$C$2:$C$8,0),$C$27)/200*协力宝箱!$Q$82</f>
        <v>0</v>
      </c>
      <c r="Q226" s="80">
        <f t="shared" si="26"/>
        <v>10</v>
      </c>
      <c r="R226" s="80">
        <v>10</v>
      </c>
      <c r="S226" s="172">
        <f t="shared" si="28"/>
        <v>100</v>
      </c>
      <c r="T226" s="172">
        <f>(公会!$F$12+公会!$F$13+公会!$F$14+公会!$F$18/7)/2</f>
        <v>121.428571428571</v>
      </c>
      <c r="U226" s="172">
        <f t="shared" si="27"/>
        <v>150</v>
      </c>
      <c r="V226" s="172" t="e">
        <f ca="1">SUM($H$29:U226)+SUM(D226:G226)</f>
        <v>#N/A</v>
      </c>
      <c r="W226" s="132" t="e">
        <f ca="1" t="shared" si="29"/>
        <v>#N/A</v>
      </c>
    </row>
    <row r="227" spans="1:23">
      <c r="A227" s="171"/>
      <c r="B227" s="80">
        <v>199</v>
      </c>
      <c r="C227" s="80">
        <f ca="1">OFFSET(产销汇总!$C$12,$B227,$C$27)</f>
        <v>222.5</v>
      </c>
      <c r="D227" s="80">
        <f ca="1">SUMIF(主线宝箱!$B$321:$B$620,"&lt;="&amp;C227,主线宝箱!$H$321:$H$620)+SUMIF(主线宝箱!$B$321:$B$620,"&lt;="&amp;C227,主线宝箱!$T$321:$T$620)</f>
        <v>8880</v>
      </c>
      <c r="E227" s="80">
        <v>110</v>
      </c>
      <c r="F227" s="80">
        <f t="shared" si="23"/>
        <v>450</v>
      </c>
      <c r="G227" s="80">
        <f ca="1">IF(AND($C$27&lt;3,B227&gt;3),G226,SUMIF(图纸产出设计!$F$334:$F$342,"&lt;="&amp;B227,图纸产出设计!$C$334:$C$342))</f>
        <v>3890</v>
      </c>
      <c r="H227" s="80" t="e">
        <f ca="1">OFFSET(产销汇总!$C$1,MATCH(H$28,产销汇总!$C$2:$C$8,0),$C$27)*(_xlfn.XLOOKUP(C227,主线推图!$B$313:$B$612,主线推图!$G$313:$G$612)+_xlfn.XLOOKUP(C227,主线推图!$B$313:$B$612,主线推图!$H$313:$H$612))</f>
        <v>#N/A</v>
      </c>
      <c r="I227" s="80" t="e">
        <f ca="1">OFFSET(产销汇总!$C$1,MATCH(I$28,产销汇总!$C$2:$C$8,0),$C$27)*_xlfn.XLOOKUP(C227,巡逻产出!$B$311:$B$610,巡逻产出!$H$311:$H$610)</f>
        <v>#N/A</v>
      </c>
      <c r="J227" s="80" t="e">
        <f ca="1">OFFSET(产销汇总!$C$1,MATCH(J$28,产销汇总!$C$2:$C$8,0),$C$27)*(_xlfn.XLOOKUP(MAX(1,INT(C227/10-6/10)),组队产出!$B$24:$B$39,组队产出!$J$24:$J$39)+_xlfn.XLOOKUP(MAX(1,INT(C227/10-6/10)),组队产出!$B$24:$B$39,组队产出!$K$24:$K$39))</f>
        <v>#N/A</v>
      </c>
      <c r="K227" s="80" t="e">
        <f ca="1">OFFSET(产销汇总!$C$1,MATCH(K$28,产销汇总!$C$2:$C$8,0),$C$27)*_xlfn.XLOOKUP(C227,巡逻产出!$B$311:$B$610,巡逻产出!$I$311:$I$610)*IF($C$27=1,0.5,1)</f>
        <v>#N/A</v>
      </c>
      <c r="L227" s="80">
        <f ca="1">OFFSET(产销汇总!$C$1,MATCH(L$28,产销汇总!$C$2:$C$8,0),$C$27)*竞技场!$C$5</f>
        <v>180</v>
      </c>
      <c r="M227" s="80">
        <f>任务!$C$6+IF(MOD(B227,7)=0,任务!$M$25)</f>
        <v>30</v>
      </c>
      <c r="N227" s="98">
        <f t="shared" si="24"/>
        <v>1.7</v>
      </c>
      <c r="O227" s="80">
        <f t="shared" si="25"/>
        <v>0</v>
      </c>
      <c r="P227" s="172">
        <f ca="1">OFFSET(产销汇总!$C$1,MATCH(P$27,产销汇总!$C$2:$C$8,0),$C$27)/200*协力宝箱!$Q$82</f>
        <v>0</v>
      </c>
      <c r="Q227" s="80">
        <f t="shared" si="26"/>
        <v>10</v>
      </c>
      <c r="R227" s="80">
        <v>10</v>
      </c>
      <c r="S227" s="172">
        <f t="shared" si="28"/>
        <v>100</v>
      </c>
      <c r="T227" s="172">
        <f>(公会!$F$12+公会!$F$13+公会!$F$14+公会!$F$18/7)/2</f>
        <v>121.428571428571</v>
      </c>
      <c r="U227" s="172">
        <f t="shared" si="27"/>
        <v>150</v>
      </c>
      <c r="V227" s="172" t="e">
        <f ca="1">SUM($H$29:U227)+SUM(D227:G227)</f>
        <v>#N/A</v>
      </c>
      <c r="W227" s="132" t="e">
        <f ca="1" t="shared" si="29"/>
        <v>#N/A</v>
      </c>
    </row>
    <row r="228" spans="1:23">
      <c r="A228" s="171"/>
      <c r="B228" s="80">
        <v>200</v>
      </c>
      <c r="C228" s="80">
        <f ca="1">OFFSET(产销汇总!$C$12,$B228,$C$27)</f>
        <v>223</v>
      </c>
      <c r="D228" s="80">
        <f ca="1">SUMIF(主线宝箱!$B$321:$B$620,"&lt;="&amp;C228,主线宝箱!$H$321:$H$620)+SUMIF(主线宝箱!$B$321:$B$620,"&lt;="&amp;C228,主线宝箱!$T$321:$T$620)</f>
        <v>8920</v>
      </c>
      <c r="E228" s="80">
        <v>110</v>
      </c>
      <c r="F228" s="80">
        <f t="shared" si="23"/>
        <v>450</v>
      </c>
      <c r="G228" s="80">
        <f ca="1">IF(AND($C$27&lt;3,B228&gt;3),G227,SUMIF(图纸产出设计!$F$334:$F$342,"&lt;="&amp;B228,图纸产出设计!$C$334:$C$342))</f>
        <v>3890</v>
      </c>
      <c r="H228" s="80">
        <f ca="1">OFFSET(产销汇总!$C$1,MATCH(H$28,产销汇总!$C$2:$C$8,0),$C$27)*(_xlfn.XLOOKUP(C228,主线推图!$B$313:$B$612,主线推图!$G$313:$G$612)+_xlfn.XLOOKUP(C228,主线推图!$B$313:$B$612,主线推图!$H$313:$H$612))</f>
        <v>176</v>
      </c>
      <c r="I228" s="80">
        <f ca="1">OFFSET(产销汇总!$C$1,MATCH(I$28,产销汇总!$C$2:$C$8,0),$C$27)*_xlfn.XLOOKUP(C228,巡逻产出!$B$311:$B$610,巡逻产出!$H$311:$H$610)</f>
        <v>0</v>
      </c>
      <c r="J228" s="80" t="e">
        <f ca="1">OFFSET(产销汇总!$C$1,MATCH(J$28,产销汇总!$C$2:$C$8,0),$C$27)*(_xlfn.XLOOKUP(MAX(1,INT(C228/10-6/10)),组队产出!$B$24:$B$39,组队产出!$J$24:$J$39)+_xlfn.XLOOKUP(MAX(1,INT(C228/10-6/10)),组队产出!$B$24:$B$39,组队产出!$K$24:$K$39))</f>
        <v>#N/A</v>
      </c>
      <c r="K228" s="80">
        <f ca="1">OFFSET(产销汇总!$C$1,MATCH(K$28,产销汇总!$C$2:$C$8,0),$C$27)*_xlfn.XLOOKUP(C228,巡逻产出!$B$311:$B$610,巡逻产出!$I$311:$I$610)*IF($C$27=1,0.5,1)</f>
        <v>312</v>
      </c>
      <c r="L228" s="80">
        <f ca="1">OFFSET(产销汇总!$C$1,MATCH(L$28,产销汇总!$C$2:$C$8,0),$C$27)*竞技场!$C$5</f>
        <v>180</v>
      </c>
      <c r="M228" s="80">
        <f>任务!$C$6+IF(MOD(B228,7)=0,任务!$M$25)</f>
        <v>30</v>
      </c>
      <c r="N228" s="98">
        <f t="shared" si="24"/>
        <v>1.7</v>
      </c>
      <c r="O228" s="80">
        <f t="shared" si="25"/>
        <v>0</v>
      </c>
      <c r="P228" s="172">
        <f ca="1">OFFSET(产销汇总!$C$1,MATCH(P$27,产销汇总!$C$2:$C$8,0),$C$27)/200*协力宝箱!$Q$82</f>
        <v>0</v>
      </c>
      <c r="Q228" s="80">
        <f t="shared" si="26"/>
        <v>10</v>
      </c>
      <c r="R228" s="80">
        <v>10</v>
      </c>
      <c r="S228" s="172">
        <f t="shared" si="28"/>
        <v>100</v>
      </c>
      <c r="T228" s="172">
        <f>(公会!$F$12+公会!$F$13+公会!$F$14+公会!$F$18/7)/2</f>
        <v>121.428571428571</v>
      </c>
      <c r="U228" s="172">
        <f t="shared" si="27"/>
        <v>150</v>
      </c>
      <c r="V228" s="172" t="e">
        <f ca="1">SUM($H$29:U228)+SUM(D228:G228)</f>
        <v>#N/A</v>
      </c>
      <c r="W228" s="132" t="e">
        <f ca="1" t="shared" si="29"/>
        <v>#N/A</v>
      </c>
    </row>
    <row r="229" spans="1:23">
      <c r="A229" s="171"/>
      <c r="B229" s="80">
        <v>201</v>
      </c>
      <c r="C229" s="80">
        <f ca="1">OFFSET(产销汇总!$C$12,$B229,$C$27)</f>
        <v>223.5</v>
      </c>
      <c r="D229" s="80">
        <f ca="1">SUMIF(主线宝箱!$B$321:$B$620,"&lt;="&amp;C229,主线宝箱!$H$321:$H$620)+SUMIF(主线宝箱!$B$321:$B$620,"&lt;="&amp;C229,主线宝箱!$T$321:$T$620)</f>
        <v>8920</v>
      </c>
      <c r="E229" s="80">
        <v>110</v>
      </c>
      <c r="F229" s="80">
        <f t="shared" si="23"/>
        <v>450</v>
      </c>
      <c r="G229" s="80">
        <f ca="1">IF(AND($C$27&lt;3,B229&gt;3),G228,SUMIF(图纸产出设计!$F$334:$F$342,"&lt;="&amp;B229,图纸产出设计!$C$334:$C$342))</f>
        <v>3890</v>
      </c>
      <c r="H229" s="80" t="e">
        <f ca="1">OFFSET(产销汇总!$C$1,MATCH(H$28,产销汇总!$C$2:$C$8,0),$C$27)*(_xlfn.XLOOKUP(C229,主线推图!$B$313:$B$612,主线推图!$G$313:$G$612)+_xlfn.XLOOKUP(C229,主线推图!$B$313:$B$612,主线推图!$H$313:$H$612))</f>
        <v>#N/A</v>
      </c>
      <c r="I229" s="80" t="e">
        <f ca="1">OFFSET(产销汇总!$C$1,MATCH(I$28,产销汇总!$C$2:$C$8,0),$C$27)*_xlfn.XLOOKUP(C229,巡逻产出!$B$311:$B$610,巡逻产出!$H$311:$H$610)</f>
        <v>#N/A</v>
      </c>
      <c r="J229" s="80" t="e">
        <f ca="1">OFFSET(产销汇总!$C$1,MATCH(J$28,产销汇总!$C$2:$C$8,0),$C$27)*(_xlfn.XLOOKUP(MAX(1,INT(C229/10-6/10)),组队产出!$B$24:$B$39,组队产出!$J$24:$J$39)+_xlfn.XLOOKUP(MAX(1,INT(C229/10-6/10)),组队产出!$B$24:$B$39,组队产出!$K$24:$K$39))</f>
        <v>#N/A</v>
      </c>
      <c r="K229" s="80" t="e">
        <f ca="1">OFFSET(产销汇总!$C$1,MATCH(K$28,产销汇总!$C$2:$C$8,0),$C$27)*_xlfn.XLOOKUP(C229,巡逻产出!$B$311:$B$610,巡逻产出!$I$311:$I$610)*IF($C$27=1,0.5,1)</f>
        <v>#N/A</v>
      </c>
      <c r="L229" s="80">
        <f ca="1">OFFSET(产销汇总!$C$1,MATCH(L$28,产销汇总!$C$2:$C$8,0),$C$27)*竞技场!$C$5</f>
        <v>180</v>
      </c>
      <c r="M229" s="80">
        <f>任务!$C$6+IF(MOD(B229,7)=0,任务!$M$25)</f>
        <v>30</v>
      </c>
      <c r="N229" s="98">
        <f t="shared" si="24"/>
        <v>1.7</v>
      </c>
      <c r="O229" s="80">
        <f t="shared" si="25"/>
        <v>10</v>
      </c>
      <c r="P229" s="172">
        <f ca="1">OFFSET(产销汇总!$C$1,MATCH(P$27,产销汇总!$C$2:$C$8,0),$C$27)/200*协力宝箱!$Q$82</f>
        <v>0</v>
      </c>
      <c r="Q229" s="80">
        <f t="shared" si="26"/>
        <v>10</v>
      </c>
      <c r="R229" s="80">
        <v>10</v>
      </c>
      <c r="S229" s="172">
        <f t="shared" si="28"/>
        <v>100</v>
      </c>
      <c r="T229" s="172">
        <f>(公会!$F$12+公会!$F$13+公会!$F$14+公会!$F$18/7)/2</f>
        <v>121.428571428571</v>
      </c>
      <c r="U229" s="172">
        <f t="shared" si="27"/>
        <v>150</v>
      </c>
      <c r="V229" s="172" t="e">
        <f ca="1">SUM($H$29:U229)+SUM(D229:G229)</f>
        <v>#N/A</v>
      </c>
      <c r="W229" s="132" t="e">
        <f ca="1" t="shared" si="29"/>
        <v>#N/A</v>
      </c>
    </row>
    <row r="230" spans="1:23">
      <c r="A230" s="171"/>
      <c r="B230" s="80">
        <v>202</v>
      </c>
      <c r="C230" s="80">
        <f ca="1">OFFSET(产销汇总!$C$12,$B230,$C$27)</f>
        <v>224</v>
      </c>
      <c r="D230" s="80">
        <f ca="1">SUMIF(主线宝箱!$B$321:$B$620,"&lt;="&amp;C230,主线宝箱!$H$321:$H$620)+SUMIF(主线宝箱!$B$321:$B$620,"&lt;="&amp;C230,主线宝箱!$T$321:$T$620)</f>
        <v>8960</v>
      </c>
      <c r="E230" s="80">
        <v>110</v>
      </c>
      <c r="F230" s="80">
        <f t="shared" si="23"/>
        <v>450</v>
      </c>
      <c r="G230" s="80">
        <f ca="1">IF(AND($C$27&lt;3,B230&gt;3),G229,SUMIF(图纸产出设计!$F$334:$F$342,"&lt;="&amp;B230,图纸产出设计!$C$334:$C$342))</f>
        <v>3890</v>
      </c>
      <c r="H230" s="80">
        <f ca="1">OFFSET(产销汇总!$C$1,MATCH(H$28,产销汇总!$C$2:$C$8,0),$C$27)*(_xlfn.XLOOKUP(C230,主线推图!$B$313:$B$612,主线推图!$G$313:$G$612)+_xlfn.XLOOKUP(C230,主线推图!$B$313:$B$612,主线推图!$H$313:$H$612))</f>
        <v>176</v>
      </c>
      <c r="I230" s="80">
        <f ca="1">OFFSET(产销汇总!$C$1,MATCH(I$28,产销汇总!$C$2:$C$8,0),$C$27)*_xlfn.XLOOKUP(C230,巡逻产出!$B$311:$B$610,巡逻产出!$H$311:$H$610)</f>
        <v>0</v>
      </c>
      <c r="J230" s="80" t="e">
        <f ca="1">OFFSET(产销汇总!$C$1,MATCH(J$28,产销汇总!$C$2:$C$8,0),$C$27)*(_xlfn.XLOOKUP(MAX(1,INT(C230/10-6/10)),组队产出!$B$24:$B$39,组队产出!$J$24:$J$39)+_xlfn.XLOOKUP(MAX(1,INT(C230/10-6/10)),组队产出!$B$24:$B$39,组队产出!$K$24:$K$39))</f>
        <v>#N/A</v>
      </c>
      <c r="K230" s="80">
        <f ca="1">OFFSET(产销汇总!$C$1,MATCH(K$28,产销汇总!$C$2:$C$8,0),$C$27)*_xlfn.XLOOKUP(C230,巡逻产出!$B$311:$B$610,巡逻产出!$I$311:$I$610)*IF($C$27=1,0.5,1)</f>
        <v>312</v>
      </c>
      <c r="L230" s="80">
        <f ca="1">OFFSET(产销汇总!$C$1,MATCH(L$28,产销汇总!$C$2:$C$8,0),$C$27)*竞技场!$C$5</f>
        <v>180</v>
      </c>
      <c r="M230" s="80">
        <f>任务!$C$6+IF(MOD(B230,7)=0,任务!$M$25)</f>
        <v>30</v>
      </c>
      <c r="N230" s="98">
        <f t="shared" si="24"/>
        <v>1.7</v>
      </c>
      <c r="O230" s="80">
        <f t="shared" si="25"/>
        <v>0</v>
      </c>
      <c r="P230" s="172">
        <f ca="1">OFFSET(产销汇总!$C$1,MATCH(P$27,产销汇总!$C$2:$C$8,0),$C$27)/200*协力宝箱!$Q$82</f>
        <v>0</v>
      </c>
      <c r="Q230" s="80">
        <f t="shared" si="26"/>
        <v>10</v>
      </c>
      <c r="R230" s="80">
        <v>10</v>
      </c>
      <c r="S230" s="172">
        <f t="shared" si="28"/>
        <v>100</v>
      </c>
      <c r="T230" s="172">
        <f>(公会!$F$12+公会!$F$13+公会!$F$14+公会!$F$18/7)/2</f>
        <v>121.428571428571</v>
      </c>
      <c r="U230" s="172">
        <f t="shared" si="27"/>
        <v>150</v>
      </c>
      <c r="V230" s="172" t="e">
        <f ca="1">SUM($H$29:U230)+SUM(D230:G230)</f>
        <v>#N/A</v>
      </c>
      <c r="W230" s="132" t="e">
        <f ca="1" t="shared" si="29"/>
        <v>#N/A</v>
      </c>
    </row>
    <row r="231" spans="1:23">
      <c r="A231" s="171"/>
      <c r="B231" s="80">
        <v>203</v>
      </c>
      <c r="C231" s="80">
        <f ca="1">OFFSET(产销汇总!$C$12,$B231,$C$27)</f>
        <v>224.5</v>
      </c>
      <c r="D231" s="80">
        <f ca="1">SUMIF(主线宝箱!$B$321:$B$620,"&lt;="&amp;C231,主线宝箱!$H$321:$H$620)+SUMIF(主线宝箱!$B$321:$B$620,"&lt;="&amp;C231,主线宝箱!$T$321:$T$620)</f>
        <v>8960</v>
      </c>
      <c r="E231" s="80">
        <v>110</v>
      </c>
      <c r="F231" s="80">
        <f t="shared" si="23"/>
        <v>450</v>
      </c>
      <c r="G231" s="80">
        <f ca="1">IF(AND($C$27&lt;3,B231&gt;3),G230,SUMIF(图纸产出设计!$F$334:$F$342,"&lt;="&amp;B231,图纸产出设计!$C$334:$C$342))</f>
        <v>3890</v>
      </c>
      <c r="H231" s="80" t="e">
        <f ca="1">OFFSET(产销汇总!$C$1,MATCH(H$28,产销汇总!$C$2:$C$8,0),$C$27)*(_xlfn.XLOOKUP(C231,主线推图!$B$313:$B$612,主线推图!$G$313:$G$612)+_xlfn.XLOOKUP(C231,主线推图!$B$313:$B$612,主线推图!$H$313:$H$612))</f>
        <v>#N/A</v>
      </c>
      <c r="I231" s="80" t="e">
        <f ca="1">OFFSET(产销汇总!$C$1,MATCH(I$28,产销汇总!$C$2:$C$8,0),$C$27)*_xlfn.XLOOKUP(C231,巡逻产出!$B$311:$B$610,巡逻产出!$H$311:$H$610)</f>
        <v>#N/A</v>
      </c>
      <c r="J231" s="80" t="e">
        <f ca="1">OFFSET(产销汇总!$C$1,MATCH(J$28,产销汇总!$C$2:$C$8,0),$C$27)*(_xlfn.XLOOKUP(MAX(1,INT(C231/10-6/10)),组队产出!$B$24:$B$39,组队产出!$J$24:$J$39)+_xlfn.XLOOKUP(MAX(1,INT(C231/10-6/10)),组队产出!$B$24:$B$39,组队产出!$K$24:$K$39))</f>
        <v>#N/A</v>
      </c>
      <c r="K231" s="80" t="e">
        <f ca="1">OFFSET(产销汇总!$C$1,MATCH(K$28,产销汇总!$C$2:$C$8,0),$C$27)*_xlfn.XLOOKUP(C231,巡逻产出!$B$311:$B$610,巡逻产出!$I$311:$I$610)*IF($C$27=1,0.5,1)</f>
        <v>#N/A</v>
      </c>
      <c r="L231" s="80">
        <f ca="1">OFFSET(产销汇总!$C$1,MATCH(L$28,产销汇总!$C$2:$C$8,0),$C$27)*竞技场!$C$5</f>
        <v>180</v>
      </c>
      <c r="M231" s="80">
        <f>任务!$C$6+IF(MOD(B231,7)=0,任务!$M$25)</f>
        <v>60</v>
      </c>
      <c r="N231" s="98">
        <f t="shared" si="24"/>
        <v>1.7</v>
      </c>
      <c r="O231" s="80">
        <f t="shared" si="25"/>
        <v>0</v>
      </c>
      <c r="P231" s="172">
        <f ca="1">OFFSET(产销汇总!$C$1,MATCH(P$27,产销汇总!$C$2:$C$8,0),$C$27)/200*协力宝箱!$Q$82</f>
        <v>0</v>
      </c>
      <c r="Q231" s="80">
        <f t="shared" si="26"/>
        <v>10</v>
      </c>
      <c r="R231" s="80">
        <v>10</v>
      </c>
      <c r="S231" s="172">
        <f t="shared" si="28"/>
        <v>100</v>
      </c>
      <c r="T231" s="172">
        <f>(公会!$F$12+公会!$F$13+公会!$F$14+公会!$F$18/7)/2</f>
        <v>121.428571428571</v>
      </c>
      <c r="U231" s="172">
        <f t="shared" si="27"/>
        <v>150</v>
      </c>
      <c r="V231" s="172" t="e">
        <f ca="1">SUM($H$29:U231)+SUM(D231:G231)</f>
        <v>#N/A</v>
      </c>
      <c r="W231" s="132" t="e">
        <f ca="1" t="shared" si="29"/>
        <v>#N/A</v>
      </c>
    </row>
    <row r="232" spans="1:23">
      <c r="A232" s="171"/>
      <c r="B232" s="80">
        <v>204</v>
      </c>
      <c r="C232" s="80">
        <f ca="1">OFFSET(产销汇总!$C$12,$B232,$C$27)</f>
        <v>225</v>
      </c>
      <c r="D232" s="80">
        <f ca="1">SUMIF(主线宝箱!$B$321:$B$620,"&lt;="&amp;C232,主线宝箱!$H$321:$H$620)+SUMIF(主线宝箱!$B$321:$B$620,"&lt;="&amp;C232,主线宝箱!$T$321:$T$620)</f>
        <v>9000</v>
      </c>
      <c r="E232" s="80">
        <v>110</v>
      </c>
      <c r="F232" s="80">
        <f t="shared" si="23"/>
        <v>450</v>
      </c>
      <c r="G232" s="80">
        <f ca="1">IF(AND($C$27&lt;3,B232&gt;3),G231,SUMIF(图纸产出设计!$F$334:$F$342,"&lt;="&amp;B232,图纸产出设计!$C$334:$C$342))</f>
        <v>3890</v>
      </c>
      <c r="H232" s="80">
        <f ca="1">OFFSET(产销汇总!$C$1,MATCH(H$28,产销汇总!$C$2:$C$8,0),$C$27)*(_xlfn.XLOOKUP(C232,主线推图!$B$313:$B$612,主线推图!$G$313:$G$612)+_xlfn.XLOOKUP(C232,主线推图!$B$313:$B$612,主线推图!$H$313:$H$612))</f>
        <v>176</v>
      </c>
      <c r="I232" s="80">
        <f ca="1">OFFSET(产销汇总!$C$1,MATCH(I$28,产销汇总!$C$2:$C$8,0),$C$27)*_xlfn.XLOOKUP(C232,巡逻产出!$B$311:$B$610,巡逻产出!$H$311:$H$610)</f>
        <v>0</v>
      </c>
      <c r="J232" s="80" t="e">
        <f ca="1">OFFSET(产销汇总!$C$1,MATCH(J$28,产销汇总!$C$2:$C$8,0),$C$27)*(_xlfn.XLOOKUP(MAX(1,INT(C232/10-6/10)),组队产出!$B$24:$B$39,组队产出!$J$24:$J$39)+_xlfn.XLOOKUP(MAX(1,INT(C232/10-6/10)),组队产出!$B$24:$B$39,组队产出!$K$24:$K$39))</f>
        <v>#N/A</v>
      </c>
      <c r="K232" s="80">
        <f ca="1">OFFSET(产销汇总!$C$1,MATCH(K$28,产销汇总!$C$2:$C$8,0),$C$27)*_xlfn.XLOOKUP(C232,巡逻产出!$B$311:$B$610,巡逻产出!$I$311:$I$610)*IF($C$27=1,0.5,1)</f>
        <v>312</v>
      </c>
      <c r="L232" s="80">
        <f ca="1">OFFSET(产销汇总!$C$1,MATCH(L$28,产销汇总!$C$2:$C$8,0),$C$27)*竞技场!$C$5</f>
        <v>180</v>
      </c>
      <c r="M232" s="80">
        <f>任务!$C$6+IF(MOD(B232,7)=0,任务!$M$25)</f>
        <v>30</v>
      </c>
      <c r="N232" s="98">
        <f t="shared" si="24"/>
        <v>1.7</v>
      </c>
      <c r="O232" s="80">
        <f t="shared" si="25"/>
        <v>0</v>
      </c>
      <c r="P232" s="172">
        <f ca="1">OFFSET(产销汇总!$C$1,MATCH(P$27,产销汇总!$C$2:$C$8,0),$C$27)/200*协力宝箱!$Q$82</f>
        <v>0</v>
      </c>
      <c r="Q232" s="80">
        <f t="shared" si="26"/>
        <v>10</v>
      </c>
      <c r="R232" s="80">
        <v>10</v>
      </c>
      <c r="S232" s="172">
        <f t="shared" si="28"/>
        <v>100</v>
      </c>
      <c r="T232" s="172">
        <f>(公会!$F$12+公会!$F$13+公会!$F$14+公会!$F$18/7)/2</f>
        <v>121.428571428571</v>
      </c>
      <c r="U232" s="172">
        <f t="shared" si="27"/>
        <v>150</v>
      </c>
      <c r="V232" s="172" t="e">
        <f ca="1">SUM($H$29:U232)+SUM(D232:G232)</f>
        <v>#N/A</v>
      </c>
      <c r="W232" s="132" t="e">
        <f ca="1" t="shared" si="29"/>
        <v>#N/A</v>
      </c>
    </row>
    <row r="233" spans="1:23">
      <c r="A233" s="171"/>
      <c r="B233" s="80">
        <v>205</v>
      </c>
      <c r="C233" s="80">
        <f ca="1">OFFSET(产销汇总!$C$12,$B233,$C$27)</f>
        <v>225.5</v>
      </c>
      <c r="D233" s="80">
        <f ca="1">SUMIF(主线宝箱!$B$321:$B$620,"&lt;="&amp;C233,主线宝箱!$H$321:$H$620)+SUMIF(主线宝箱!$B$321:$B$620,"&lt;="&amp;C233,主线宝箱!$T$321:$T$620)</f>
        <v>9000</v>
      </c>
      <c r="E233" s="80">
        <v>110</v>
      </c>
      <c r="F233" s="80">
        <f t="shared" si="23"/>
        <v>450</v>
      </c>
      <c r="G233" s="80">
        <f ca="1">IF(AND($C$27&lt;3,B233&gt;3),G232,SUMIF(图纸产出设计!$F$334:$F$342,"&lt;="&amp;B233,图纸产出设计!$C$334:$C$342))</f>
        <v>3890</v>
      </c>
      <c r="H233" s="80" t="e">
        <f ca="1">OFFSET(产销汇总!$C$1,MATCH(H$28,产销汇总!$C$2:$C$8,0),$C$27)*(_xlfn.XLOOKUP(C233,主线推图!$B$313:$B$612,主线推图!$G$313:$G$612)+_xlfn.XLOOKUP(C233,主线推图!$B$313:$B$612,主线推图!$H$313:$H$612))</f>
        <v>#N/A</v>
      </c>
      <c r="I233" s="80" t="e">
        <f ca="1">OFFSET(产销汇总!$C$1,MATCH(I$28,产销汇总!$C$2:$C$8,0),$C$27)*_xlfn.XLOOKUP(C233,巡逻产出!$B$311:$B$610,巡逻产出!$H$311:$H$610)</f>
        <v>#N/A</v>
      </c>
      <c r="J233" s="80" t="e">
        <f ca="1">OFFSET(产销汇总!$C$1,MATCH(J$28,产销汇总!$C$2:$C$8,0),$C$27)*(_xlfn.XLOOKUP(MAX(1,INT(C233/10-6/10)),组队产出!$B$24:$B$39,组队产出!$J$24:$J$39)+_xlfn.XLOOKUP(MAX(1,INT(C233/10-6/10)),组队产出!$B$24:$B$39,组队产出!$K$24:$K$39))</f>
        <v>#N/A</v>
      </c>
      <c r="K233" s="80" t="e">
        <f ca="1">OFFSET(产销汇总!$C$1,MATCH(K$28,产销汇总!$C$2:$C$8,0),$C$27)*_xlfn.XLOOKUP(C233,巡逻产出!$B$311:$B$610,巡逻产出!$I$311:$I$610)*IF($C$27=1,0.5,1)</f>
        <v>#N/A</v>
      </c>
      <c r="L233" s="80">
        <f ca="1">OFFSET(产销汇总!$C$1,MATCH(L$28,产销汇总!$C$2:$C$8,0),$C$27)*竞技场!$C$5</f>
        <v>180</v>
      </c>
      <c r="M233" s="80">
        <f>任务!$C$6+IF(MOD(B233,7)=0,任务!$M$25)</f>
        <v>30</v>
      </c>
      <c r="N233" s="98">
        <f t="shared" si="24"/>
        <v>1.7</v>
      </c>
      <c r="O233" s="80">
        <f t="shared" si="25"/>
        <v>10</v>
      </c>
      <c r="P233" s="172">
        <f ca="1">OFFSET(产销汇总!$C$1,MATCH(P$27,产销汇总!$C$2:$C$8,0),$C$27)/200*协力宝箱!$Q$82</f>
        <v>0</v>
      </c>
      <c r="Q233" s="80">
        <f t="shared" si="26"/>
        <v>10</v>
      </c>
      <c r="R233" s="80">
        <v>10</v>
      </c>
      <c r="S233" s="172">
        <f t="shared" si="28"/>
        <v>100</v>
      </c>
      <c r="T233" s="172">
        <f>(公会!$F$12+公会!$F$13+公会!$F$14+公会!$F$18/7)/2</f>
        <v>121.428571428571</v>
      </c>
      <c r="U233" s="172">
        <f t="shared" si="27"/>
        <v>150</v>
      </c>
      <c r="V233" s="172" t="e">
        <f ca="1">SUM($H$29:U233)+SUM(D233:G233)</f>
        <v>#N/A</v>
      </c>
      <c r="W233" s="132" t="e">
        <f ca="1" t="shared" si="29"/>
        <v>#N/A</v>
      </c>
    </row>
    <row r="234" spans="1:23">
      <c r="A234" s="171"/>
      <c r="B234" s="80">
        <v>206</v>
      </c>
      <c r="C234" s="80">
        <f ca="1">OFFSET(产销汇总!$C$12,$B234,$C$27)</f>
        <v>226</v>
      </c>
      <c r="D234" s="80">
        <f ca="1">SUMIF(主线宝箱!$B$321:$B$620,"&lt;="&amp;C234,主线宝箱!$H$321:$H$620)+SUMIF(主线宝箱!$B$321:$B$620,"&lt;="&amp;C234,主线宝箱!$T$321:$T$620)</f>
        <v>9040</v>
      </c>
      <c r="E234" s="80">
        <v>110</v>
      </c>
      <c r="F234" s="80">
        <f t="shared" si="23"/>
        <v>450</v>
      </c>
      <c r="G234" s="80">
        <f ca="1">IF(AND($C$27&lt;3,B234&gt;3),G233,SUMIF(图纸产出设计!$F$334:$F$342,"&lt;="&amp;B234,图纸产出设计!$C$334:$C$342))</f>
        <v>3890</v>
      </c>
      <c r="H234" s="80">
        <f ca="1">OFFSET(产销汇总!$C$1,MATCH(H$28,产销汇总!$C$2:$C$8,0),$C$27)*(_xlfn.XLOOKUP(C234,主线推图!$B$313:$B$612,主线推图!$G$313:$G$612)+_xlfn.XLOOKUP(C234,主线推图!$B$313:$B$612,主线推图!$H$313:$H$612))</f>
        <v>176</v>
      </c>
      <c r="I234" s="80">
        <f ca="1">OFFSET(产销汇总!$C$1,MATCH(I$28,产销汇总!$C$2:$C$8,0),$C$27)*_xlfn.XLOOKUP(C234,巡逻产出!$B$311:$B$610,巡逻产出!$H$311:$H$610)</f>
        <v>0</v>
      </c>
      <c r="J234" s="80" t="e">
        <f ca="1">OFFSET(产销汇总!$C$1,MATCH(J$28,产销汇总!$C$2:$C$8,0),$C$27)*(_xlfn.XLOOKUP(MAX(1,INT(C234/10-6/10)),组队产出!$B$24:$B$39,组队产出!$J$24:$J$39)+_xlfn.XLOOKUP(MAX(1,INT(C234/10-6/10)),组队产出!$B$24:$B$39,组队产出!$K$24:$K$39))</f>
        <v>#N/A</v>
      </c>
      <c r="K234" s="80">
        <f ca="1">OFFSET(产销汇总!$C$1,MATCH(K$28,产销汇总!$C$2:$C$8,0),$C$27)*_xlfn.XLOOKUP(C234,巡逻产出!$B$311:$B$610,巡逻产出!$I$311:$I$610)*IF($C$27=1,0.5,1)</f>
        <v>312</v>
      </c>
      <c r="L234" s="80">
        <f ca="1">OFFSET(产销汇总!$C$1,MATCH(L$28,产销汇总!$C$2:$C$8,0),$C$27)*竞技场!$C$5</f>
        <v>180</v>
      </c>
      <c r="M234" s="80">
        <f>任务!$C$6+IF(MOD(B234,7)=0,任务!$M$25)</f>
        <v>30</v>
      </c>
      <c r="N234" s="98">
        <f t="shared" si="24"/>
        <v>1.7</v>
      </c>
      <c r="O234" s="80">
        <f t="shared" si="25"/>
        <v>0</v>
      </c>
      <c r="P234" s="172">
        <f ca="1">OFFSET(产销汇总!$C$1,MATCH(P$27,产销汇总!$C$2:$C$8,0),$C$27)/200*协力宝箱!$Q$82</f>
        <v>0</v>
      </c>
      <c r="Q234" s="80">
        <f t="shared" si="26"/>
        <v>10</v>
      </c>
      <c r="R234" s="80">
        <v>10</v>
      </c>
      <c r="S234" s="172">
        <f t="shared" si="28"/>
        <v>100</v>
      </c>
      <c r="T234" s="172">
        <f>(公会!$F$12+公会!$F$13+公会!$F$14+公会!$F$18/7)/2</f>
        <v>121.428571428571</v>
      </c>
      <c r="U234" s="172">
        <f t="shared" si="27"/>
        <v>150</v>
      </c>
      <c r="V234" s="172" t="e">
        <f ca="1">SUM($H$29:U234)+SUM(D234:G234)</f>
        <v>#N/A</v>
      </c>
      <c r="W234" s="132" t="e">
        <f ca="1" t="shared" si="29"/>
        <v>#N/A</v>
      </c>
    </row>
    <row r="235" spans="1:23">
      <c r="A235" s="171"/>
      <c r="B235" s="80">
        <v>207</v>
      </c>
      <c r="C235" s="80">
        <f ca="1">OFFSET(产销汇总!$C$12,$B235,$C$27)</f>
        <v>226.5</v>
      </c>
      <c r="D235" s="80">
        <f ca="1">SUMIF(主线宝箱!$B$321:$B$620,"&lt;="&amp;C235,主线宝箱!$H$321:$H$620)+SUMIF(主线宝箱!$B$321:$B$620,"&lt;="&amp;C235,主线宝箱!$T$321:$T$620)</f>
        <v>9040</v>
      </c>
      <c r="E235" s="80">
        <v>110</v>
      </c>
      <c r="F235" s="80">
        <f t="shared" si="23"/>
        <v>450</v>
      </c>
      <c r="G235" s="80">
        <f ca="1">IF(AND($C$27&lt;3,B235&gt;3),G234,SUMIF(图纸产出设计!$F$334:$F$342,"&lt;="&amp;B235,图纸产出设计!$C$334:$C$342))</f>
        <v>3890</v>
      </c>
      <c r="H235" s="80" t="e">
        <f ca="1">OFFSET(产销汇总!$C$1,MATCH(H$28,产销汇总!$C$2:$C$8,0),$C$27)*(_xlfn.XLOOKUP(C235,主线推图!$B$313:$B$612,主线推图!$G$313:$G$612)+_xlfn.XLOOKUP(C235,主线推图!$B$313:$B$612,主线推图!$H$313:$H$612))</f>
        <v>#N/A</v>
      </c>
      <c r="I235" s="80" t="e">
        <f ca="1">OFFSET(产销汇总!$C$1,MATCH(I$28,产销汇总!$C$2:$C$8,0),$C$27)*_xlfn.XLOOKUP(C235,巡逻产出!$B$311:$B$610,巡逻产出!$H$311:$H$610)</f>
        <v>#N/A</v>
      </c>
      <c r="J235" s="80" t="e">
        <f ca="1">OFFSET(产销汇总!$C$1,MATCH(J$28,产销汇总!$C$2:$C$8,0),$C$27)*(_xlfn.XLOOKUP(MAX(1,INT(C235/10-6/10)),组队产出!$B$24:$B$39,组队产出!$J$24:$J$39)+_xlfn.XLOOKUP(MAX(1,INT(C235/10-6/10)),组队产出!$B$24:$B$39,组队产出!$K$24:$K$39))</f>
        <v>#N/A</v>
      </c>
      <c r="K235" s="80" t="e">
        <f ca="1">OFFSET(产销汇总!$C$1,MATCH(K$28,产销汇总!$C$2:$C$8,0),$C$27)*_xlfn.XLOOKUP(C235,巡逻产出!$B$311:$B$610,巡逻产出!$I$311:$I$610)*IF($C$27=1,0.5,1)</f>
        <v>#N/A</v>
      </c>
      <c r="L235" s="80">
        <f ca="1">OFFSET(产销汇总!$C$1,MATCH(L$28,产销汇总!$C$2:$C$8,0),$C$27)*竞技场!$C$5</f>
        <v>180</v>
      </c>
      <c r="M235" s="80">
        <f>任务!$C$6+IF(MOD(B235,7)=0,任务!$M$25)</f>
        <v>30</v>
      </c>
      <c r="N235" s="98">
        <f t="shared" si="24"/>
        <v>1.7</v>
      </c>
      <c r="O235" s="80">
        <f t="shared" si="25"/>
        <v>0</v>
      </c>
      <c r="P235" s="172">
        <f ca="1">OFFSET(产销汇总!$C$1,MATCH(P$27,产销汇总!$C$2:$C$8,0),$C$27)/200*协力宝箱!$Q$82</f>
        <v>0</v>
      </c>
      <c r="Q235" s="80">
        <f t="shared" si="26"/>
        <v>10</v>
      </c>
      <c r="R235" s="80">
        <v>10</v>
      </c>
      <c r="S235" s="172">
        <f t="shared" si="28"/>
        <v>100</v>
      </c>
      <c r="T235" s="172">
        <f>(公会!$F$12+公会!$F$13+公会!$F$14+公会!$F$18/7)/2</f>
        <v>121.428571428571</v>
      </c>
      <c r="U235" s="172">
        <f t="shared" si="27"/>
        <v>150</v>
      </c>
      <c r="V235" s="172" t="e">
        <f ca="1">SUM($H$29:U235)+SUM(D235:G235)</f>
        <v>#N/A</v>
      </c>
      <c r="W235" s="132" t="e">
        <f ca="1" t="shared" si="29"/>
        <v>#N/A</v>
      </c>
    </row>
    <row r="236" spans="1:23">
      <c r="A236" s="171"/>
      <c r="B236" s="80">
        <v>208</v>
      </c>
      <c r="C236" s="80">
        <f ca="1">OFFSET(产销汇总!$C$12,$B236,$C$27)</f>
        <v>227</v>
      </c>
      <c r="D236" s="80">
        <f ca="1">SUMIF(主线宝箱!$B$321:$B$620,"&lt;="&amp;C236,主线宝箱!$H$321:$H$620)+SUMIF(主线宝箱!$B$321:$B$620,"&lt;="&amp;C236,主线宝箱!$T$321:$T$620)</f>
        <v>9080</v>
      </c>
      <c r="E236" s="80">
        <v>110</v>
      </c>
      <c r="F236" s="80">
        <f t="shared" si="23"/>
        <v>450</v>
      </c>
      <c r="G236" s="80">
        <f ca="1">IF(AND($C$27&lt;3,B236&gt;3),G235,SUMIF(图纸产出设计!$F$334:$F$342,"&lt;="&amp;B236,图纸产出设计!$C$334:$C$342))</f>
        <v>3890</v>
      </c>
      <c r="H236" s="80">
        <f ca="1">OFFSET(产销汇总!$C$1,MATCH(H$28,产销汇总!$C$2:$C$8,0),$C$27)*(_xlfn.XLOOKUP(C236,主线推图!$B$313:$B$612,主线推图!$G$313:$G$612)+_xlfn.XLOOKUP(C236,主线推图!$B$313:$B$612,主线推图!$H$313:$H$612))</f>
        <v>176</v>
      </c>
      <c r="I236" s="80">
        <f ca="1">OFFSET(产销汇总!$C$1,MATCH(I$28,产销汇总!$C$2:$C$8,0),$C$27)*_xlfn.XLOOKUP(C236,巡逻产出!$B$311:$B$610,巡逻产出!$H$311:$H$610)</f>
        <v>0</v>
      </c>
      <c r="J236" s="80" t="e">
        <f ca="1">OFFSET(产销汇总!$C$1,MATCH(J$28,产销汇总!$C$2:$C$8,0),$C$27)*(_xlfn.XLOOKUP(MAX(1,INT(C236/10-6/10)),组队产出!$B$24:$B$39,组队产出!$J$24:$J$39)+_xlfn.XLOOKUP(MAX(1,INT(C236/10-6/10)),组队产出!$B$24:$B$39,组队产出!$K$24:$K$39))</f>
        <v>#N/A</v>
      </c>
      <c r="K236" s="80">
        <f ca="1">OFFSET(产销汇总!$C$1,MATCH(K$28,产销汇总!$C$2:$C$8,0),$C$27)*_xlfn.XLOOKUP(C236,巡逻产出!$B$311:$B$610,巡逻产出!$I$311:$I$610)*IF($C$27=1,0.5,1)</f>
        <v>312</v>
      </c>
      <c r="L236" s="80">
        <f ca="1">OFFSET(产销汇总!$C$1,MATCH(L$28,产销汇总!$C$2:$C$8,0),$C$27)*竞技场!$C$5</f>
        <v>180</v>
      </c>
      <c r="M236" s="80">
        <f>任务!$C$6+IF(MOD(B236,7)=0,任务!$M$25)</f>
        <v>30</v>
      </c>
      <c r="N236" s="98">
        <f t="shared" si="24"/>
        <v>1.7</v>
      </c>
      <c r="O236" s="80">
        <f t="shared" si="25"/>
        <v>10</v>
      </c>
      <c r="P236" s="172">
        <f ca="1">OFFSET(产销汇总!$C$1,MATCH(P$27,产销汇总!$C$2:$C$8,0),$C$27)/200*协力宝箱!$Q$82</f>
        <v>0</v>
      </c>
      <c r="Q236" s="80">
        <f t="shared" si="26"/>
        <v>10</v>
      </c>
      <c r="R236" s="80">
        <v>10</v>
      </c>
      <c r="S236" s="172">
        <f t="shared" si="28"/>
        <v>100</v>
      </c>
      <c r="T236" s="172">
        <f>(公会!$F$12+公会!$F$13+公会!$F$14+公会!$F$18/7)/2</f>
        <v>121.428571428571</v>
      </c>
      <c r="U236" s="172">
        <f t="shared" si="27"/>
        <v>150</v>
      </c>
      <c r="V236" s="172" t="e">
        <f ca="1">SUM($H$29:U236)+SUM(D236:G236)</f>
        <v>#N/A</v>
      </c>
      <c r="W236" s="132" t="e">
        <f ca="1" t="shared" si="29"/>
        <v>#N/A</v>
      </c>
    </row>
    <row r="237" spans="1:23">
      <c r="A237" s="171"/>
      <c r="B237" s="80">
        <v>209</v>
      </c>
      <c r="C237" s="80">
        <f ca="1">OFFSET(产销汇总!$C$12,$B237,$C$27)</f>
        <v>227.5</v>
      </c>
      <c r="D237" s="80">
        <f ca="1">SUMIF(主线宝箱!$B$321:$B$620,"&lt;="&amp;C237,主线宝箱!$H$321:$H$620)+SUMIF(主线宝箱!$B$321:$B$620,"&lt;="&amp;C237,主线宝箱!$T$321:$T$620)</f>
        <v>9080</v>
      </c>
      <c r="E237" s="80">
        <v>110</v>
      </c>
      <c r="F237" s="80">
        <f t="shared" ref="F237:F300" si="30">F236</f>
        <v>450</v>
      </c>
      <c r="G237" s="80">
        <f ca="1">IF(AND($C$27&lt;3,B237&gt;3),G236,SUMIF(图纸产出设计!$F$334:$F$342,"&lt;="&amp;B237,图纸产出设计!$C$334:$C$342))</f>
        <v>3890</v>
      </c>
      <c r="H237" s="80" t="e">
        <f ca="1">OFFSET(产销汇总!$C$1,MATCH(H$28,产销汇总!$C$2:$C$8,0),$C$27)*(_xlfn.XLOOKUP(C237,主线推图!$B$313:$B$612,主线推图!$G$313:$G$612)+_xlfn.XLOOKUP(C237,主线推图!$B$313:$B$612,主线推图!$H$313:$H$612))</f>
        <v>#N/A</v>
      </c>
      <c r="I237" s="80" t="e">
        <f ca="1">OFFSET(产销汇总!$C$1,MATCH(I$28,产销汇总!$C$2:$C$8,0),$C$27)*_xlfn.XLOOKUP(C237,巡逻产出!$B$311:$B$610,巡逻产出!$H$311:$H$610)</f>
        <v>#N/A</v>
      </c>
      <c r="J237" s="80" t="e">
        <f ca="1">OFFSET(产销汇总!$C$1,MATCH(J$28,产销汇总!$C$2:$C$8,0),$C$27)*(_xlfn.XLOOKUP(MAX(1,INT(C237/10-6/10)),组队产出!$B$24:$B$39,组队产出!$J$24:$J$39)+_xlfn.XLOOKUP(MAX(1,INT(C237/10-6/10)),组队产出!$B$24:$B$39,组队产出!$K$24:$K$39))</f>
        <v>#N/A</v>
      </c>
      <c r="K237" s="80" t="e">
        <f ca="1">OFFSET(产销汇总!$C$1,MATCH(K$28,产销汇总!$C$2:$C$8,0),$C$27)*_xlfn.XLOOKUP(C237,巡逻产出!$B$311:$B$610,巡逻产出!$I$311:$I$610)*IF($C$27=1,0.5,1)</f>
        <v>#N/A</v>
      </c>
      <c r="L237" s="80">
        <f ca="1">OFFSET(产销汇总!$C$1,MATCH(L$28,产销汇总!$C$2:$C$8,0),$C$27)*竞技场!$C$5</f>
        <v>180</v>
      </c>
      <c r="M237" s="80">
        <f>任务!$C$6+IF(MOD(B237,7)=0,任务!$M$25)</f>
        <v>30</v>
      </c>
      <c r="N237" s="98">
        <f t="shared" si="24"/>
        <v>1.7</v>
      </c>
      <c r="O237" s="80">
        <f t="shared" si="25"/>
        <v>0</v>
      </c>
      <c r="P237" s="172">
        <f ca="1">OFFSET(产销汇总!$C$1,MATCH(P$27,产销汇总!$C$2:$C$8,0),$C$27)/200*协力宝箱!$Q$82</f>
        <v>0</v>
      </c>
      <c r="Q237" s="80">
        <f t="shared" si="26"/>
        <v>10</v>
      </c>
      <c r="R237" s="80">
        <v>10</v>
      </c>
      <c r="S237" s="172">
        <f t="shared" si="28"/>
        <v>100</v>
      </c>
      <c r="T237" s="172">
        <f>(公会!$F$12+公会!$F$13+公会!$F$14+公会!$F$18/7)/2</f>
        <v>121.428571428571</v>
      </c>
      <c r="U237" s="172">
        <f t="shared" si="27"/>
        <v>150</v>
      </c>
      <c r="V237" s="172" t="e">
        <f ca="1">SUM($H$29:U237)+SUM(D237:G237)</f>
        <v>#N/A</v>
      </c>
      <c r="W237" s="132" t="e">
        <f ca="1" t="shared" si="29"/>
        <v>#N/A</v>
      </c>
    </row>
    <row r="238" spans="1:23">
      <c r="A238" s="171"/>
      <c r="B238" s="80">
        <v>210</v>
      </c>
      <c r="C238" s="80">
        <f ca="1">OFFSET(产销汇总!$C$12,$B238,$C$27)</f>
        <v>228</v>
      </c>
      <c r="D238" s="80">
        <f ca="1">SUMIF(主线宝箱!$B$321:$B$620,"&lt;="&amp;C238,主线宝箱!$H$321:$H$620)+SUMIF(主线宝箱!$B$321:$B$620,"&lt;="&amp;C238,主线宝箱!$T$321:$T$620)</f>
        <v>9120</v>
      </c>
      <c r="E238" s="80">
        <v>110</v>
      </c>
      <c r="F238" s="80">
        <f t="shared" si="30"/>
        <v>450</v>
      </c>
      <c r="G238" s="80">
        <f ca="1">IF(AND($C$27&lt;3,B238&gt;3),G237,SUMIF(图纸产出设计!$F$334:$F$342,"&lt;="&amp;B238,图纸产出设计!$C$334:$C$342))</f>
        <v>3890</v>
      </c>
      <c r="H238" s="80">
        <f ca="1">OFFSET(产销汇总!$C$1,MATCH(H$28,产销汇总!$C$2:$C$8,0),$C$27)*(_xlfn.XLOOKUP(C238,主线推图!$B$313:$B$612,主线推图!$G$313:$G$612)+_xlfn.XLOOKUP(C238,主线推图!$B$313:$B$612,主线推图!$H$313:$H$612))</f>
        <v>176</v>
      </c>
      <c r="I238" s="80">
        <f ca="1">OFFSET(产销汇总!$C$1,MATCH(I$28,产销汇总!$C$2:$C$8,0),$C$27)*_xlfn.XLOOKUP(C238,巡逻产出!$B$311:$B$610,巡逻产出!$H$311:$H$610)</f>
        <v>0</v>
      </c>
      <c r="J238" s="80" t="e">
        <f ca="1">OFFSET(产销汇总!$C$1,MATCH(J$28,产销汇总!$C$2:$C$8,0),$C$27)*(_xlfn.XLOOKUP(MAX(1,INT(C238/10-6/10)),组队产出!$B$24:$B$39,组队产出!$J$24:$J$39)+_xlfn.XLOOKUP(MAX(1,INT(C238/10-6/10)),组队产出!$B$24:$B$39,组队产出!$K$24:$K$39))</f>
        <v>#N/A</v>
      </c>
      <c r="K238" s="80">
        <f ca="1">OFFSET(产销汇总!$C$1,MATCH(K$28,产销汇总!$C$2:$C$8,0),$C$27)*_xlfn.XLOOKUP(C238,巡逻产出!$B$311:$B$610,巡逻产出!$I$311:$I$610)*IF($C$27=1,0.5,1)</f>
        <v>312</v>
      </c>
      <c r="L238" s="80">
        <f ca="1">OFFSET(产销汇总!$C$1,MATCH(L$28,产销汇总!$C$2:$C$8,0),$C$27)*竞技场!$C$5</f>
        <v>180</v>
      </c>
      <c r="M238" s="80">
        <f>任务!$C$6+IF(MOD(B238,7)=0,任务!$M$25)</f>
        <v>60</v>
      </c>
      <c r="N238" s="98">
        <f t="shared" si="24"/>
        <v>1.7</v>
      </c>
      <c r="O238" s="80">
        <f t="shared" si="25"/>
        <v>0</v>
      </c>
      <c r="P238" s="172">
        <f ca="1">OFFSET(产销汇总!$C$1,MATCH(P$27,产销汇总!$C$2:$C$8,0),$C$27)/200*协力宝箱!$Q$82</f>
        <v>0</v>
      </c>
      <c r="Q238" s="80">
        <f t="shared" si="26"/>
        <v>10</v>
      </c>
      <c r="R238" s="80">
        <v>10</v>
      </c>
      <c r="S238" s="172">
        <f t="shared" si="28"/>
        <v>100</v>
      </c>
      <c r="T238" s="172">
        <f>(公会!$F$12+公会!$F$13+公会!$F$14+公会!$F$18/7)/2</f>
        <v>121.428571428571</v>
      </c>
      <c r="U238" s="172">
        <f t="shared" si="27"/>
        <v>150</v>
      </c>
      <c r="V238" s="172" t="e">
        <f ca="1">SUM($H$29:U238)+SUM(D238:G238)</f>
        <v>#N/A</v>
      </c>
      <c r="W238" s="132" t="e">
        <f ca="1" t="shared" si="29"/>
        <v>#N/A</v>
      </c>
    </row>
    <row r="239" spans="1:23">
      <c r="A239" s="171"/>
      <c r="B239" s="80">
        <v>211</v>
      </c>
      <c r="C239" s="80">
        <f ca="1">OFFSET(产销汇总!$C$12,$B239,$C$27)</f>
        <v>228.5</v>
      </c>
      <c r="D239" s="80">
        <f ca="1">SUMIF(主线宝箱!$B$321:$B$620,"&lt;="&amp;C239,主线宝箱!$H$321:$H$620)+SUMIF(主线宝箱!$B$321:$B$620,"&lt;="&amp;C239,主线宝箱!$T$321:$T$620)</f>
        <v>9120</v>
      </c>
      <c r="E239" s="80">
        <v>110</v>
      </c>
      <c r="F239" s="80">
        <f t="shared" si="30"/>
        <v>450</v>
      </c>
      <c r="G239" s="80">
        <f ca="1">IF(AND($C$27&lt;3,B239&gt;3),G238,SUMIF(图纸产出设计!$F$334:$F$342,"&lt;="&amp;B239,图纸产出设计!$C$334:$C$342))</f>
        <v>3890</v>
      </c>
      <c r="H239" s="80" t="e">
        <f ca="1">OFFSET(产销汇总!$C$1,MATCH(H$28,产销汇总!$C$2:$C$8,0),$C$27)*(_xlfn.XLOOKUP(C239,主线推图!$B$313:$B$612,主线推图!$G$313:$G$612)+_xlfn.XLOOKUP(C239,主线推图!$B$313:$B$612,主线推图!$H$313:$H$612))</f>
        <v>#N/A</v>
      </c>
      <c r="I239" s="80" t="e">
        <f ca="1">OFFSET(产销汇总!$C$1,MATCH(I$28,产销汇总!$C$2:$C$8,0),$C$27)*_xlfn.XLOOKUP(C239,巡逻产出!$B$311:$B$610,巡逻产出!$H$311:$H$610)</f>
        <v>#N/A</v>
      </c>
      <c r="J239" s="80" t="e">
        <f ca="1">OFFSET(产销汇总!$C$1,MATCH(J$28,产销汇总!$C$2:$C$8,0),$C$27)*(_xlfn.XLOOKUP(MAX(1,INT(C239/10-6/10)),组队产出!$B$24:$B$39,组队产出!$J$24:$J$39)+_xlfn.XLOOKUP(MAX(1,INT(C239/10-6/10)),组队产出!$B$24:$B$39,组队产出!$K$24:$K$39))</f>
        <v>#N/A</v>
      </c>
      <c r="K239" s="80" t="e">
        <f ca="1">OFFSET(产销汇总!$C$1,MATCH(K$28,产销汇总!$C$2:$C$8,0),$C$27)*_xlfn.XLOOKUP(C239,巡逻产出!$B$311:$B$610,巡逻产出!$I$311:$I$610)*IF($C$27=1,0.5,1)</f>
        <v>#N/A</v>
      </c>
      <c r="L239" s="80">
        <f ca="1">OFFSET(产销汇总!$C$1,MATCH(L$28,产销汇总!$C$2:$C$8,0),$C$27)*竞技场!$C$5</f>
        <v>180</v>
      </c>
      <c r="M239" s="80">
        <f>任务!$C$6+IF(MOD(B239,7)=0,任务!$M$25)</f>
        <v>30</v>
      </c>
      <c r="N239" s="98">
        <f t="shared" si="24"/>
        <v>1.7</v>
      </c>
      <c r="O239" s="80">
        <f t="shared" si="25"/>
        <v>0</v>
      </c>
      <c r="P239" s="172">
        <f ca="1">OFFSET(产销汇总!$C$1,MATCH(P$27,产销汇总!$C$2:$C$8,0),$C$27)/200*协力宝箱!$Q$82</f>
        <v>0</v>
      </c>
      <c r="Q239" s="80">
        <f t="shared" si="26"/>
        <v>10</v>
      </c>
      <c r="R239" s="80">
        <v>10</v>
      </c>
      <c r="S239" s="172">
        <f t="shared" si="28"/>
        <v>100</v>
      </c>
      <c r="T239" s="172">
        <f>(公会!$F$12+公会!$F$13+公会!$F$14+公会!$F$18/7)/2</f>
        <v>121.428571428571</v>
      </c>
      <c r="U239" s="172">
        <f t="shared" si="27"/>
        <v>150</v>
      </c>
      <c r="V239" s="172" t="e">
        <f ca="1">SUM($H$29:U239)+SUM(D239:G239)</f>
        <v>#N/A</v>
      </c>
      <c r="W239" s="132" t="e">
        <f ca="1" t="shared" si="29"/>
        <v>#N/A</v>
      </c>
    </row>
    <row r="240" spans="1:23">
      <c r="A240" s="171"/>
      <c r="B240" s="80">
        <v>212</v>
      </c>
      <c r="C240" s="80">
        <f ca="1">OFFSET(产销汇总!$C$12,$B240,$C$27)</f>
        <v>229</v>
      </c>
      <c r="D240" s="80">
        <f ca="1">SUMIF(主线宝箱!$B$321:$B$620,"&lt;="&amp;C240,主线宝箱!$H$321:$H$620)+SUMIF(主线宝箱!$B$321:$B$620,"&lt;="&amp;C240,主线宝箱!$T$321:$T$620)</f>
        <v>9160</v>
      </c>
      <c r="E240" s="80">
        <v>110</v>
      </c>
      <c r="F240" s="80">
        <f t="shared" si="30"/>
        <v>450</v>
      </c>
      <c r="G240" s="80">
        <f ca="1">IF(AND($C$27&lt;3,B240&gt;3),G239,SUMIF(图纸产出设计!$F$334:$F$342,"&lt;="&amp;B240,图纸产出设计!$C$334:$C$342))</f>
        <v>3890</v>
      </c>
      <c r="H240" s="80">
        <f ca="1">OFFSET(产销汇总!$C$1,MATCH(H$28,产销汇总!$C$2:$C$8,0),$C$27)*(_xlfn.XLOOKUP(C240,主线推图!$B$313:$B$612,主线推图!$G$313:$G$612)+_xlfn.XLOOKUP(C240,主线推图!$B$313:$B$612,主线推图!$H$313:$H$612))</f>
        <v>176</v>
      </c>
      <c r="I240" s="80">
        <f ca="1">OFFSET(产销汇总!$C$1,MATCH(I$28,产销汇总!$C$2:$C$8,0),$C$27)*_xlfn.XLOOKUP(C240,巡逻产出!$B$311:$B$610,巡逻产出!$H$311:$H$610)</f>
        <v>0</v>
      </c>
      <c r="J240" s="80" t="e">
        <f ca="1">OFFSET(产销汇总!$C$1,MATCH(J$28,产销汇总!$C$2:$C$8,0),$C$27)*(_xlfn.XLOOKUP(MAX(1,INT(C240/10-6/10)),组队产出!$B$24:$B$39,组队产出!$J$24:$J$39)+_xlfn.XLOOKUP(MAX(1,INT(C240/10-6/10)),组队产出!$B$24:$B$39,组队产出!$K$24:$K$39))</f>
        <v>#N/A</v>
      </c>
      <c r="K240" s="80">
        <f ca="1">OFFSET(产销汇总!$C$1,MATCH(K$28,产销汇总!$C$2:$C$8,0),$C$27)*_xlfn.XLOOKUP(C240,巡逻产出!$B$311:$B$610,巡逻产出!$I$311:$I$610)*IF($C$27=1,0.5,1)</f>
        <v>312</v>
      </c>
      <c r="L240" s="80">
        <f ca="1">OFFSET(产销汇总!$C$1,MATCH(L$28,产销汇总!$C$2:$C$8,0),$C$27)*竞技场!$C$5</f>
        <v>180</v>
      </c>
      <c r="M240" s="80">
        <f>任务!$C$6+IF(MOD(B240,7)=0,任务!$M$25)</f>
        <v>30</v>
      </c>
      <c r="N240" s="98">
        <f t="shared" si="24"/>
        <v>1.7</v>
      </c>
      <c r="O240" s="80">
        <f t="shared" si="25"/>
        <v>10</v>
      </c>
      <c r="P240" s="172">
        <f ca="1">OFFSET(产销汇总!$C$1,MATCH(P$27,产销汇总!$C$2:$C$8,0),$C$27)/200*协力宝箱!$Q$82</f>
        <v>0</v>
      </c>
      <c r="Q240" s="80">
        <f t="shared" si="26"/>
        <v>10</v>
      </c>
      <c r="R240" s="80">
        <v>10</v>
      </c>
      <c r="S240" s="172">
        <f t="shared" si="28"/>
        <v>100</v>
      </c>
      <c r="T240" s="172">
        <f>(公会!$F$12+公会!$F$13+公会!$F$14+公会!$F$18/7)/2</f>
        <v>121.428571428571</v>
      </c>
      <c r="U240" s="172">
        <f t="shared" si="27"/>
        <v>150</v>
      </c>
      <c r="V240" s="172" t="e">
        <f ca="1">SUM($H$29:U240)+SUM(D240:G240)</f>
        <v>#N/A</v>
      </c>
      <c r="W240" s="132" t="e">
        <f ca="1" t="shared" si="29"/>
        <v>#N/A</v>
      </c>
    </row>
    <row r="241" spans="1:23">
      <c r="A241" s="171"/>
      <c r="B241" s="80">
        <v>213</v>
      </c>
      <c r="C241" s="80">
        <f ca="1">OFFSET(产销汇总!$C$12,$B241,$C$27)</f>
        <v>229.5</v>
      </c>
      <c r="D241" s="80">
        <f ca="1">SUMIF(主线宝箱!$B$321:$B$620,"&lt;="&amp;C241,主线宝箱!$H$321:$H$620)+SUMIF(主线宝箱!$B$321:$B$620,"&lt;="&amp;C241,主线宝箱!$T$321:$T$620)</f>
        <v>9160</v>
      </c>
      <c r="E241" s="80">
        <v>110</v>
      </c>
      <c r="F241" s="80">
        <f t="shared" si="30"/>
        <v>450</v>
      </c>
      <c r="G241" s="80">
        <f ca="1">IF(AND($C$27&lt;3,B241&gt;3),G240,SUMIF(图纸产出设计!$F$334:$F$342,"&lt;="&amp;B241,图纸产出设计!$C$334:$C$342))</f>
        <v>3890</v>
      </c>
      <c r="H241" s="80" t="e">
        <f ca="1">OFFSET(产销汇总!$C$1,MATCH(H$28,产销汇总!$C$2:$C$8,0),$C$27)*(_xlfn.XLOOKUP(C241,主线推图!$B$313:$B$612,主线推图!$G$313:$G$612)+_xlfn.XLOOKUP(C241,主线推图!$B$313:$B$612,主线推图!$H$313:$H$612))</f>
        <v>#N/A</v>
      </c>
      <c r="I241" s="80" t="e">
        <f ca="1">OFFSET(产销汇总!$C$1,MATCH(I$28,产销汇总!$C$2:$C$8,0),$C$27)*_xlfn.XLOOKUP(C241,巡逻产出!$B$311:$B$610,巡逻产出!$H$311:$H$610)</f>
        <v>#N/A</v>
      </c>
      <c r="J241" s="80" t="e">
        <f ca="1">OFFSET(产销汇总!$C$1,MATCH(J$28,产销汇总!$C$2:$C$8,0),$C$27)*(_xlfn.XLOOKUP(MAX(1,INT(C241/10-6/10)),组队产出!$B$24:$B$39,组队产出!$J$24:$J$39)+_xlfn.XLOOKUP(MAX(1,INT(C241/10-6/10)),组队产出!$B$24:$B$39,组队产出!$K$24:$K$39))</f>
        <v>#N/A</v>
      </c>
      <c r="K241" s="80" t="e">
        <f ca="1">OFFSET(产销汇总!$C$1,MATCH(K$28,产销汇总!$C$2:$C$8,0),$C$27)*_xlfn.XLOOKUP(C241,巡逻产出!$B$311:$B$610,巡逻产出!$I$311:$I$610)*IF($C$27=1,0.5,1)</f>
        <v>#N/A</v>
      </c>
      <c r="L241" s="80">
        <f ca="1">OFFSET(产销汇总!$C$1,MATCH(L$28,产销汇总!$C$2:$C$8,0),$C$27)*竞技场!$C$5</f>
        <v>180</v>
      </c>
      <c r="M241" s="80">
        <f>任务!$C$6+IF(MOD(B241,7)=0,任务!$M$25)</f>
        <v>30</v>
      </c>
      <c r="N241" s="98">
        <f t="shared" si="24"/>
        <v>1.7</v>
      </c>
      <c r="O241" s="80">
        <f t="shared" si="25"/>
        <v>0</v>
      </c>
      <c r="P241" s="172">
        <f ca="1">OFFSET(产销汇总!$C$1,MATCH(P$27,产销汇总!$C$2:$C$8,0),$C$27)/200*协力宝箱!$Q$82</f>
        <v>0</v>
      </c>
      <c r="Q241" s="80">
        <f t="shared" si="26"/>
        <v>10</v>
      </c>
      <c r="R241" s="80">
        <v>10</v>
      </c>
      <c r="S241" s="172">
        <f t="shared" si="28"/>
        <v>100</v>
      </c>
      <c r="T241" s="172">
        <f>(公会!$F$12+公会!$F$13+公会!$F$14+公会!$F$18/7)/2</f>
        <v>121.428571428571</v>
      </c>
      <c r="U241" s="172">
        <f t="shared" si="27"/>
        <v>150</v>
      </c>
      <c r="V241" s="172" t="e">
        <f ca="1">SUM($H$29:U241)+SUM(D241:G241)</f>
        <v>#N/A</v>
      </c>
      <c r="W241" s="132" t="e">
        <f ca="1" t="shared" si="29"/>
        <v>#N/A</v>
      </c>
    </row>
    <row r="242" spans="1:23">
      <c r="A242" s="171"/>
      <c r="B242" s="80">
        <v>214</v>
      </c>
      <c r="C242" s="80">
        <f ca="1">OFFSET(产销汇总!$C$12,$B242,$C$27)</f>
        <v>230</v>
      </c>
      <c r="D242" s="80">
        <f ca="1">SUMIF(主线宝箱!$B$321:$B$620,"&lt;="&amp;C242,主线宝箱!$H$321:$H$620)+SUMIF(主线宝箱!$B$321:$B$620,"&lt;="&amp;C242,主线宝箱!$T$321:$T$620)</f>
        <v>9200</v>
      </c>
      <c r="E242" s="80">
        <v>110</v>
      </c>
      <c r="F242" s="80">
        <f t="shared" si="30"/>
        <v>450</v>
      </c>
      <c r="G242" s="80">
        <f ca="1">IF(AND($C$27&lt;3,B242&gt;3),G241,SUMIF(图纸产出设计!$F$334:$F$342,"&lt;="&amp;B242,图纸产出设计!$C$334:$C$342))</f>
        <v>3890</v>
      </c>
      <c r="H242" s="80">
        <f ca="1">OFFSET(产销汇总!$C$1,MATCH(H$28,产销汇总!$C$2:$C$8,0),$C$27)*(_xlfn.XLOOKUP(C242,主线推图!$B$313:$B$612,主线推图!$G$313:$G$612)+_xlfn.XLOOKUP(C242,主线推图!$B$313:$B$612,主线推图!$H$313:$H$612))</f>
        <v>176</v>
      </c>
      <c r="I242" s="80">
        <f ca="1">OFFSET(产销汇总!$C$1,MATCH(I$28,产销汇总!$C$2:$C$8,0),$C$27)*_xlfn.XLOOKUP(C242,巡逻产出!$B$311:$B$610,巡逻产出!$H$311:$H$610)</f>
        <v>0</v>
      </c>
      <c r="J242" s="80" t="e">
        <f ca="1">OFFSET(产销汇总!$C$1,MATCH(J$28,产销汇总!$C$2:$C$8,0),$C$27)*(_xlfn.XLOOKUP(MAX(1,INT(C242/10-6/10)),组队产出!$B$24:$B$39,组队产出!$J$24:$J$39)+_xlfn.XLOOKUP(MAX(1,INT(C242/10-6/10)),组队产出!$B$24:$B$39,组队产出!$K$24:$K$39))</f>
        <v>#N/A</v>
      </c>
      <c r="K242" s="80">
        <f ca="1">OFFSET(产销汇总!$C$1,MATCH(K$28,产销汇总!$C$2:$C$8,0),$C$27)*_xlfn.XLOOKUP(C242,巡逻产出!$B$311:$B$610,巡逻产出!$I$311:$I$610)*IF($C$27=1,0.5,1)</f>
        <v>312</v>
      </c>
      <c r="L242" s="80">
        <f ca="1">OFFSET(产销汇总!$C$1,MATCH(L$28,产销汇总!$C$2:$C$8,0),$C$27)*竞技场!$C$5</f>
        <v>180</v>
      </c>
      <c r="M242" s="80">
        <f>任务!$C$6+IF(MOD(B242,7)=0,任务!$M$25)</f>
        <v>30</v>
      </c>
      <c r="N242" s="98">
        <f t="shared" si="24"/>
        <v>1.7</v>
      </c>
      <c r="O242" s="80">
        <f t="shared" si="25"/>
        <v>0</v>
      </c>
      <c r="P242" s="172">
        <f ca="1">OFFSET(产销汇总!$C$1,MATCH(P$27,产销汇总!$C$2:$C$8,0),$C$27)/200*协力宝箱!$Q$82</f>
        <v>0</v>
      </c>
      <c r="Q242" s="80">
        <f t="shared" si="26"/>
        <v>10</v>
      </c>
      <c r="R242" s="80">
        <v>10</v>
      </c>
      <c r="S242" s="172">
        <f t="shared" si="28"/>
        <v>100</v>
      </c>
      <c r="T242" s="172">
        <f>(公会!$F$12+公会!$F$13+公会!$F$14+公会!$F$18/7)/2</f>
        <v>121.428571428571</v>
      </c>
      <c r="U242" s="172">
        <f t="shared" si="27"/>
        <v>150</v>
      </c>
      <c r="V242" s="172" t="e">
        <f ca="1">SUM($H$29:U242)+SUM(D242:G242)</f>
        <v>#N/A</v>
      </c>
      <c r="W242" s="132" t="e">
        <f ca="1" t="shared" si="29"/>
        <v>#N/A</v>
      </c>
    </row>
    <row r="243" spans="1:23">
      <c r="A243" s="171"/>
      <c r="B243" s="80">
        <v>215</v>
      </c>
      <c r="C243" s="80">
        <f ca="1">OFFSET(产销汇总!$C$12,$B243,$C$27)</f>
        <v>230.5</v>
      </c>
      <c r="D243" s="80">
        <f ca="1">SUMIF(主线宝箱!$B$321:$B$620,"&lt;="&amp;C243,主线宝箱!$H$321:$H$620)+SUMIF(主线宝箱!$B$321:$B$620,"&lt;="&amp;C243,主线宝箱!$T$321:$T$620)</f>
        <v>9200</v>
      </c>
      <c r="E243" s="80">
        <v>110</v>
      </c>
      <c r="F243" s="80">
        <f t="shared" si="30"/>
        <v>450</v>
      </c>
      <c r="G243" s="80">
        <f ca="1">IF(AND($C$27&lt;3,B243&gt;3),G242,SUMIF(图纸产出设计!$F$334:$F$342,"&lt;="&amp;B243,图纸产出设计!$C$334:$C$342))</f>
        <v>3890</v>
      </c>
      <c r="H243" s="80" t="e">
        <f ca="1">OFFSET(产销汇总!$C$1,MATCH(H$28,产销汇总!$C$2:$C$8,0),$C$27)*(_xlfn.XLOOKUP(C243,主线推图!$B$313:$B$612,主线推图!$G$313:$G$612)+_xlfn.XLOOKUP(C243,主线推图!$B$313:$B$612,主线推图!$H$313:$H$612))</f>
        <v>#N/A</v>
      </c>
      <c r="I243" s="80" t="e">
        <f ca="1">OFFSET(产销汇总!$C$1,MATCH(I$28,产销汇总!$C$2:$C$8,0),$C$27)*_xlfn.XLOOKUP(C243,巡逻产出!$B$311:$B$610,巡逻产出!$H$311:$H$610)</f>
        <v>#N/A</v>
      </c>
      <c r="J243" s="80" t="e">
        <f ca="1">OFFSET(产销汇总!$C$1,MATCH(J$28,产销汇总!$C$2:$C$8,0),$C$27)*(_xlfn.XLOOKUP(MAX(1,INT(C243/10-6/10)),组队产出!$B$24:$B$39,组队产出!$J$24:$J$39)+_xlfn.XLOOKUP(MAX(1,INT(C243/10-6/10)),组队产出!$B$24:$B$39,组队产出!$K$24:$K$39))</f>
        <v>#N/A</v>
      </c>
      <c r="K243" s="80" t="e">
        <f ca="1">OFFSET(产销汇总!$C$1,MATCH(K$28,产销汇总!$C$2:$C$8,0),$C$27)*_xlfn.XLOOKUP(C243,巡逻产出!$B$311:$B$610,巡逻产出!$I$311:$I$610)*IF($C$27=1,0.5,1)</f>
        <v>#N/A</v>
      </c>
      <c r="L243" s="80">
        <f ca="1">OFFSET(产销汇总!$C$1,MATCH(L$28,产销汇总!$C$2:$C$8,0),$C$27)*竞技场!$C$5</f>
        <v>180</v>
      </c>
      <c r="M243" s="80">
        <f>任务!$C$6+IF(MOD(B243,7)=0,任务!$M$25)</f>
        <v>30</v>
      </c>
      <c r="N243" s="98">
        <f t="shared" si="24"/>
        <v>1.7</v>
      </c>
      <c r="O243" s="80">
        <f t="shared" si="25"/>
        <v>10</v>
      </c>
      <c r="P243" s="172">
        <f ca="1">OFFSET(产销汇总!$C$1,MATCH(P$27,产销汇总!$C$2:$C$8,0),$C$27)/200*协力宝箱!$Q$82</f>
        <v>0</v>
      </c>
      <c r="Q243" s="80">
        <f t="shared" si="26"/>
        <v>10</v>
      </c>
      <c r="R243" s="80">
        <v>10</v>
      </c>
      <c r="S243" s="172">
        <f t="shared" si="28"/>
        <v>100</v>
      </c>
      <c r="T243" s="172">
        <f>(公会!$F$12+公会!$F$13+公会!$F$14+公会!$F$18/7)/2</f>
        <v>121.428571428571</v>
      </c>
      <c r="U243" s="172">
        <f t="shared" si="27"/>
        <v>150</v>
      </c>
      <c r="V243" s="172" t="e">
        <f ca="1">SUM($H$29:U243)+SUM(D243:G243)</f>
        <v>#N/A</v>
      </c>
      <c r="W243" s="132" t="e">
        <f ca="1" t="shared" si="29"/>
        <v>#N/A</v>
      </c>
    </row>
    <row r="244" spans="1:23">
      <c r="A244" s="171"/>
      <c r="B244" s="80">
        <v>216</v>
      </c>
      <c r="C244" s="80">
        <f ca="1">OFFSET(产销汇总!$C$12,$B244,$C$27)</f>
        <v>231</v>
      </c>
      <c r="D244" s="80">
        <f ca="1">SUMIF(主线宝箱!$B$321:$B$620,"&lt;="&amp;C244,主线宝箱!$H$321:$H$620)+SUMIF(主线宝箱!$B$321:$B$620,"&lt;="&amp;C244,主线宝箱!$T$321:$T$620)</f>
        <v>9240</v>
      </c>
      <c r="E244" s="80">
        <v>110</v>
      </c>
      <c r="F244" s="80">
        <f t="shared" si="30"/>
        <v>450</v>
      </c>
      <c r="G244" s="80">
        <f ca="1">IF(AND($C$27&lt;3,B244&gt;3),G243,SUMIF(图纸产出设计!$F$334:$F$342,"&lt;="&amp;B244,图纸产出设计!$C$334:$C$342))</f>
        <v>3890</v>
      </c>
      <c r="H244" s="80">
        <f ca="1">OFFSET(产销汇总!$C$1,MATCH(H$28,产销汇总!$C$2:$C$8,0),$C$27)*(_xlfn.XLOOKUP(C244,主线推图!$B$313:$B$612,主线推图!$G$313:$G$612)+_xlfn.XLOOKUP(C244,主线推图!$B$313:$B$612,主线推图!$H$313:$H$612))</f>
        <v>176</v>
      </c>
      <c r="I244" s="80">
        <f ca="1">OFFSET(产销汇总!$C$1,MATCH(I$28,产销汇总!$C$2:$C$8,0),$C$27)*_xlfn.XLOOKUP(C244,巡逻产出!$B$311:$B$610,巡逻产出!$H$311:$H$610)</f>
        <v>0</v>
      </c>
      <c r="J244" s="80" t="e">
        <f ca="1">OFFSET(产销汇总!$C$1,MATCH(J$28,产销汇总!$C$2:$C$8,0),$C$27)*(_xlfn.XLOOKUP(MAX(1,INT(C244/10-6/10)),组队产出!$B$24:$B$39,组队产出!$J$24:$J$39)+_xlfn.XLOOKUP(MAX(1,INT(C244/10-6/10)),组队产出!$B$24:$B$39,组队产出!$K$24:$K$39))</f>
        <v>#N/A</v>
      </c>
      <c r="K244" s="80">
        <f ca="1">OFFSET(产销汇总!$C$1,MATCH(K$28,产销汇总!$C$2:$C$8,0),$C$27)*_xlfn.XLOOKUP(C244,巡逻产出!$B$311:$B$610,巡逻产出!$I$311:$I$610)*IF($C$27=1,0.5,1)</f>
        <v>312</v>
      </c>
      <c r="L244" s="80">
        <f ca="1">OFFSET(产销汇总!$C$1,MATCH(L$28,产销汇总!$C$2:$C$8,0),$C$27)*竞技场!$C$5</f>
        <v>180</v>
      </c>
      <c r="M244" s="80">
        <f>任务!$C$6+IF(MOD(B244,7)=0,任务!$M$25)</f>
        <v>30</v>
      </c>
      <c r="N244" s="98">
        <f t="shared" si="24"/>
        <v>1.7</v>
      </c>
      <c r="O244" s="80">
        <f t="shared" si="25"/>
        <v>0</v>
      </c>
      <c r="P244" s="172">
        <f ca="1">OFFSET(产销汇总!$C$1,MATCH(P$27,产销汇总!$C$2:$C$8,0),$C$27)/200*协力宝箱!$Q$82</f>
        <v>0</v>
      </c>
      <c r="Q244" s="80">
        <f t="shared" si="26"/>
        <v>10</v>
      </c>
      <c r="R244" s="80">
        <v>10</v>
      </c>
      <c r="S244" s="172">
        <f t="shared" si="28"/>
        <v>100</v>
      </c>
      <c r="T244" s="172">
        <f>(公会!$F$12+公会!$F$13+公会!$F$14+公会!$F$18/7)/2</f>
        <v>121.428571428571</v>
      </c>
      <c r="U244" s="172">
        <f t="shared" si="27"/>
        <v>150</v>
      </c>
      <c r="V244" s="172" t="e">
        <f ca="1">SUM($H$29:U244)+SUM(D244:G244)</f>
        <v>#N/A</v>
      </c>
      <c r="W244" s="132" t="e">
        <f ca="1" t="shared" si="29"/>
        <v>#N/A</v>
      </c>
    </row>
    <row r="245" spans="1:23">
      <c r="A245" s="171"/>
      <c r="B245" s="80">
        <v>217</v>
      </c>
      <c r="C245" s="80">
        <f ca="1">OFFSET(产销汇总!$C$12,$B245,$C$27)</f>
        <v>231.5</v>
      </c>
      <c r="D245" s="80">
        <f ca="1">SUMIF(主线宝箱!$B$321:$B$620,"&lt;="&amp;C245,主线宝箱!$H$321:$H$620)+SUMIF(主线宝箱!$B$321:$B$620,"&lt;="&amp;C245,主线宝箱!$T$321:$T$620)</f>
        <v>9240</v>
      </c>
      <c r="E245" s="80">
        <v>110</v>
      </c>
      <c r="F245" s="80">
        <f t="shared" si="30"/>
        <v>450</v>
      </c>
      <c r="G245" s="80">
        <f ca="1">IF(AND($C$27&lt;3,B245&gt;3),G244,SUMIF(图纸产出设计!$F$334:$F$342,"&lt;="&amp;B245,图纸产出设计!$C$334:$C$342))</f>
        <v>3890</v>
      </c>
      <c r="H245" s="80" t="e">
        <f ca="1">OFFSET(产销汇总!$C$1,MATCH(H$28,产销汇总!$C$2:$C$8,0),$C$27)*(_xlfn.XLOOKUP(C245,主线推图!$B$313:$B$612,主线推图!$G$313:$G$612)+_xlfn.XLOOKUP(C245,主线推图!$B$313:$B$612,主线推图!$H$313:$H$612))</f>
        <v>#N/A</v>
      </c>
      <c r="I245" s="80" t="e">
        <f ca="1">OFFSET(产销汇总!$C$1,MATCH(I$28,产销汇总!$C$2:$C$8,0),$C$27)*_xlfn.XLOOKUP(C245,巡逻产出!$B$311:$B$610,巡逻产出!$H$311:$H$610)</f>
        <v>#N/A</v>
      </c>
      <c r="J245" s="80" t="e">
        <f ca="1">OFFSET(产销汇总!$C$1,MATCH(J$28,产销汇总!$C$2:$C$8,0),$C$27)*(_xlfn.XLOOKUP(MAX(1,INT(C245/10-6/10)),组队产出!$B$24:$B$39,组队产出!$J$24:$J$39)+_xlfn.XLOOKUP(MAX(1,INT(C245/10-6/10)),组队产出!$B$24:$B$39,组队产出!$K$24:$K$39))</f>
        <v>#N/A</v>
      </c>
      <c r="K245" s="80" t="e">
        <f ca="1">OFFSET(产销汇总!$C$1,MATCH(K$28,产销汇总!$C$2:$C$8,0),$C$27)*_xlfn.XLOOKUP(C245,巡逻产出!$B$311:$B$610,巡逻产出!$I$311:$I$610)*IF($C$27=1,0.5,1)</f>
        <v>#N/A</v>
      </c>
      <c r="L245" s="80">
        <f ca="1">OFFSET(产销汇总!$C$1,MATCH(L$28,产销汇总!$C$2:$C$8,0),$C$27)*竞技场!$C$5</f>
        <v>180</v>
      </c>
      <c r="M245" s="80">
        <f>任务!$C$6+IF(MOD(B245,7)=0,任务!$M$25)</f>
        <v>60</v>
      </c>
      <c r="N245" s="98">
        <f t="shared" si="24"/>
        <v>1.7</v>
      </c>
      <c r="O245" s="80">
        <f t="shared" si="25"/>
        <v>0</v>
      </c>
      <c r="P245" s="172">
        <f ca="1">OFFSET(产销汇总!$C$1,MATCH(P$27,产销汇总!$C$2:$C$8,0),$C$27)/200*协力宝箱!$Q$82</f>
        <v>0</v>
      </c>
      <c r="Q245" s="80">
        <f t="shared" si="26"/>
        <v>10</v>
      </c>
      <c r="R245" s="80">
        <v>10</v>
      </c>
      <c r="S245" s="172">
        <f t="shared" si="28"/>
        <v>100</v>
      </c>
      <c r="T245" s="172">
        <f>(公会!$F$12+公会!$F$13+公会!$F$14+公会!$F$18/7)/2</f>
        <v>121.428571428571</v>
      </c>
      <c r="U245" s="172">
        <f t="shared" si="27"/>
        <v>150</v>
      </c>
      <c r="V245" s="172" t="e">
        <f ca="1">SUM($H$29:U245)+SUM(D245:G245)</f>
        <v>#N/A</v>
      </c>
      <c r="W245" s="132" t="e">
        <f ca="1" t="shared" si="29"/>
        <v>#N/A</v>
      </c>
    </row>
    <row r="246" spans="1:23">
      <c r="A246" s="171"/>
      <c r="B246" s="80">
        <v>218</v>
      </c>
      <c r="C246" s="80">
        <f ca="1">OFFSET(产销汇总!$C$12,$B246,$C$27)</f>
        <v>232</v>
      </c>
      <c r="D246" s="80">
        <f ca="1">SUMIF(主线宝箱!$B$321:$B$620,"&lt;="&amp;C246,主线宝箱!$H$321:$H$620)+SUMIF(主线宝箱!$B$321:$B$620,"&lt;="&amp;C246,主线宝箱!$T$321:$T$620)</f>
        <v>9280</v>
      </c>
      <c r="E246" s="80">
        <v>110</v>
      </c>
      <c r="F246" s="80">
        <f t="shared" si="30"/>
        <v>450</v>
      </c>
      <c r="G246" s="80">
        <f ca="1">IF(AND($C$27&lt;3,B246&gt;3),G245,SUMIF(图纸产出设计!$F$334:$F$342,"&lt;="&amp;B246,图纸产出设计!$C$334:$C$342))</f>
        <v>3890</v>
      </c>
      <c r="H246" s="80">
        <f ca="1">OFFSET(产销汇总!$C$1,MATCH(H$28,产销汇总!$C$2:$C$8,0),$C$27)*(_xlfn.XLOOKUP(C246,主线推图!$B$313:$B$612,主线推图!$G$313:$G$612)+_xlfn.XLOOKUP(C246,主线推图!$B$313:$B$612,主线推图!$H$313:$H$612))</f>
        <v>176</v>
      </c>
      <c r="I246" s="80">
        <f ca="1">OFFSET(产销汇总!$C$1,MATCH(I$28,产销汇总!$C$2:$C$8,0),$C$27)*_xlfn.XLOOKUP(C246,巡逻产出!$B$311:$B$610,巡逻产出!$H$311:$H$610)</f>
        <v>0</v>
      </c>
      <c r="J246" s="80" t="e">
        <f ca="1">OFFSET(产销汇总!$C$1,MATCH(J$28,产销汇总!$C$2:$C$8,0),$C$27)*(_xlfn.XLOOKUP(MAX(1,INT(C246/10-6/10)),组队产出!$B$24:$B$39,组队产出!$J$24:$J$39)+_xlfn.XLOOKUP(MAX(1,INT(C246/10-6/10)),组队产出!$B$24:$B$39,组队产出!$K$24:$K$39))</f>
        <v>#N/A</v>
      </c>
      <c r="K246" s="80">
        <f ca="1">OFFSET(产销汇总!$C$1,MATCH(K$28,产销汇总!$C$2:$C$8,0),$C$27)*_xlfn.XLOOKUP(C246,巡逻产出!$B$311:$B$610,巡逻产出!$I$311:$I$610)*IF($C$27=1,0.5,1)</f>
        <v>312</v>
      </c>
      <c r="L246" s="80">
        <f ca="1">OFFSET(产销汇总!$C$1,MATCH(L$28,产销汇总!$C$2:$C$8,0),$C$27)*竞技场!$C$5</f>
        <v>180</v>
      </c>
      <c r="M246" s="80">
        <f>任务!$C$6+IF(MOD(B246,7)=0,任务!$M$25)</f>
        <v>30</v>
      </c>
      <c r="N246" s="98">
        <f t="shared" si="24"/>
        <v>1.7</v>
      </c>
      <c r="O246" s="80">
        <f t="shared" si="25"/>
        <v>0</v>
      </c>
      <c r="P246" s="172">
        <f ca="1">OFFSET(产销汇总!$C$1,MATCH(P$27,产销汇总!$C$2:$C$8,0),$C$27)/200*协力宝箱!$Q$82</f>
        <v>0</v>
      </c>
      <c r="Q246" s="80">
        <f t="shared" si="26"/>
        <v>10</v>
      </c>
      <c r="R246" s="80">
        <v>10</v>
      </c>
      <c r="S246" s="172">
        <f t="shared" si="28"/>
        <v>100</v>
      </c>
      <c r="T246" s="172">
        <f>(公会!$F$12+公会!$F$13+公会!$F$14+公会!$F$18/7)/2</f>
        <v>121.428571428571</v>
      </c>
      <c r="U246" s="172">
        <f t="shared" si="27"/>
        <v>150</v>
      </c>
      <c r="V246" s="172" t="e">
        <f ca="1">SUM($H$29:U246)+SUM(D246:G246)</f>
        <v>#N/A</v>
      </c>
      <c r="W246" s="132" t="e">
        <f ca="1" t="shared" si="29"/>
        <v>#N/A</v>
      </c>
    </row>
    <row r="247" spans="1:23">
      <c r="A247" s="171"/>
      <c r="B247" s="80">
        <v>219</v>
      </c>
      <c r="C247" s="80">
        <f ca="1">OFFSET(产销汇总!$C$12,$B247,$C$27)</f>
        <v>232.5</v>
      </c>
      <c r="D247" s="80">
        <f ca="1">SUMIF(主线宝箱!$B$321:$B$620,"&lt;="&amp;C247,主线宝箱!$H$321:$H$620)+SUMIF(主线宝箱!$B$321:$B$620,"&lt;="&amp;C247,主线宝箱!$T$321:$T$620)</f>
        <v>9280</v>
      </c>
      <c r="E247" s="80">
        <v>110</v>
      </c>
      <c r="F247" s="80">
        <f t="shared" si="30"/>
        <v>450</v>
      </c>
      <c r="G247" s="80">
        <f ca="1">IF(AND($C$27&lt;3,B247&gt;3),G246,SUMIF(图纸产出设计!$F$334:$F$342,"&lt;="&amp;B247,图纸产出设计!$C$334:$C$342))</f>
        <v>3890</v>
      </c>
      <c r="H247" s="80" t="e">
        <f ca="1">OFFSET(产销汇总!$C$1,MATCH(H$28,产销汇总!$C$2:$C$8,0),$C$27)*(_xlfn.XLOOKUP(C247,主线推图!$B$313:$B$612,主线推图!$G$313:$G$612)+_xlfn.XLOOKUP(C247,主线推图!$B$313:$B$612,主线推图!$H$313:$H$612))</f>
        <v>#N/A</v>
      </c>
      <c r="I247" s="80" t="e">
        <f ca="1">OFFSET(产销汇总!$C$1,MATCH(I$28,产销汇总!$C$2:$C$8,0),$C$27)*_xlfn.XLOOKUP(C247,巡逻产出!$B$311:$B$610,巡逻产出!$H$311:$H$610)</f>
        <v>#N/A</v>
      </c>
      <c r="J247" s="80" t="e">
        <f ca="1">OFFSET(产销汇总!$C$1,MATCH(J$28,产销汇总!$C$2:$C$8,0),$C$27)*(_xlfn.XLOOKUP(MAX(1,INT(C247/10-6/10)),组队产出!$B$24:$B$39,组队产出!$J$24:$J$39)+_xlfn.XLOOKUP(MAX(1,INT(C247/10-6/10)),组队产出!$B$24:$B$39,组队产出!$K$24:$K$39))</f>
        <v>#N/A</v>
      </c>
      <c r="K247" s="80" t="e">
        <f ca="1">OFFSET(产销汇总!$C$1,MATCH(K$28,产销汇总!$C$2:$C$8,0),$C$27)*_xlfn.XLOOKUP(C247,巡逻产出!$B$311:$B$610,巡逻产出!$I$311:$I$610)*IF($C$27=1,0.5,1)</f>
        <v>#N/A</v>
      </c>
      <c r="L247" s="80">
        <f ca="1">OFFSET(产销汇总!$C$1,MATCH(L$28,产销汇总!$C$2:$C$8,0),$C$27)*竞技场!$C$5</f>
        <v>180</v>
      </c>
      <c r="M247" s="80">
        <f>任务!$C$6+IF(MOD(B247,7)=0,任务!$M$25)</f>
        <v>30</v>
      </c>
      <c r="N247" s="98">
        <f t="shared" si="24"/>
        <v>1.7</v>
      </c>
      <c r="O247" s="80">
        <f t="shared" si="25"/>
        <v>10</v>
      </c>
      <c r="P247" s="172">
        <f ca="1">OFFSET(产销汇总!$C$1,MATCH(P$27,产销汇总!$C$2:$C$8,0),$C$27)/200*协力宝箱!$Q$82</f>
        <v>0</v>
      </c>
      <c r="Q247" s="80">
        <f t="shared" si="26"/>
        <v>10</v>
      </c>
      <c r="R247" s="80">
        <v>10</v>
      </c>
      <c r="S247" s="172">
        <f t="shared" si="28"/>
        <v>100</v>
      </c>
      <c r="T247" s="172">
        <f>(公会!$F$12+公会!$F$13+公会!$F$14+公会!$F$18/7)/2</f>
        <v>121.428571428571</v>
      </c>
      <c r="U247" s="172">
        <f t="shared" si="27"/>
        <v>150</v>
      </c>
      <c r="V247" s="172" t="e">
        <f ca="1">SUM($H$29:U247)+SUM(D247:G247)</f>
        <v>#N/A</v>
      </c>
      <c r="W247" s="132" t="e">
        <f ca="1" t="shared" si="29"/>
        <v>#N/A</v>
      </c>
    </row>
    <row r="248" spans="1:23">
      <c r="A248" s="171"/>
      <c r="B248" s="80">
        <v>220</v>
      </c>
      <c r="C248" s="80">
        <f ca="1">OFFSET(产销汇总!$C$12,$B248,$C$27)</f>
        <v>233</v>
      </c>
      <c r="D248" s="80">
        <f ca="1">SUMIF(主线宝箱!$B$321:$B$620,"&lt;="&amp;C248,主线宝箱!$H$321:$H$620)+SUMIF(主线宝箱!$B$321:$B$620,"&lt;="&amp;C248,主线宝箱!$T$321:$T$620)</f>
        <v>9320</v>
      </c>
      <c r="E248" s="80">
        <v>110</v>
      </c>
      <c r="F248" s="80">
        <f t="shared" si="30"/>
        <v>450</v>
      </c>
      <c r="G248" s="80">
        <f ca="1">IF(AND($C$27&lt;3,B248&gt;3),G247,SUMIF(图纸产出设计!$F$334:$F$342,"&lt;="&amp;B248,图纸产出设计!$C$334:$C$342))</f>
        <v>3890</v>
      </c>
      <c r="H248" s="80">
        <f ca="1">OFFSET(产销汇总!$C$1,MATCH(H$28,产销汇总!$C$2:$C$8,0),$C$27)*(_xlfn.XLOOKUP(C248,主线推图!$B$313:$B$612,主线推图!$G$313:$G$612)+_xlfn.XLOOKUP(C248,主线推图!$B$313:$B$612,主线推图!$H$313:$H$612))</f>
        <v>176</v>
      </c>
      <c r="I248" s="80">
        <f ca="1">OFFSET(产销汇总!$C$1,MATCH(I$28,产销汇总!$C$2:$C$8,0),$C$27)*_xlfn.XLOOKUP(C248,巡逻产出!$B$311:$B$610,巡逻产出!$H$311:$H$610)</f>
        <v>0</v>
      </c>
      <c r="J248" s="80" t="e">
        <f ca="1">OFFSET(产销汇总!$C$1,MATCH(J$28,产销汇总!$C$2:$C$8,0),$C$27)*(_xlfn.XLOOKUP(MAX(1,INT(C248/10-6/10)),组队产出!$B$24:$B$39,组队产出!$J$24:$J$39)+_xlfn.XLOOKUP(MAX(1,INT(C248/10-6/10)),组队产出!$B$24:$B$39,组队产出!$K$24:$K$39))</f>
        <v>#N/A</v>
      </c>
      <c r="K248" s="80">
        <f ca="1">OFFSET(产销汇总!$C$1,MATCH(K$28,产销汇总!$C$2:$C$8,0),$C$27)*_xlfn.XLOOKUP(C248,巡逻产出!$B$311:$B$610,巡逻产出!$I$311:$I$610)*IF($C$27=1,0.5,1)</f>
        <v>312</v>
      </c>
      <c r="L248" s="80">
        <f ca="1">OFFSET(产销汇总!$C$1,MATCH(L$28,产销汇总!$C$2:$C$8,0),$C$27)*竞技场!$C$5</f>
        <v>180</v>
      </c>
      <c r="M248" s="80">
        <f>任务!$C$6+IF(MOD(B248,7)=0,任务!$M$25)</f>
        <v>30</v>
      </c>
      <c r="N248" s="98">
        <f t="shared" si="24"/>
        <v>1.7</v>
      </c>
      <c r="O248" s="80">
        <f t="shared" si="25"/>
        <v>0</v>
      </c>
      <c r="P248" s="172">
        <f ca="1">OFFSET(产销汇总!$C$1,MATCH(P$27,产销汇总!$C$2:$C$8,0),$C$27)/200*协力宝箱!$Q$82</f>
        <v>0</v>
      </c>
      <c r="Q248" s="80">
        <f t="shared" si="26"/>
        <v>10</v>
      </c>
      <c r="R248" s="80">
        <v>10</v>
      </c>
      <c r="S248" s="172">
        <f t="shared" si="28"/>
        <v>100</v>
      </c>
      <c r="T248" s="172">
        <f>(公会!$F$12+公会!$F$13+公会!$F$14+公会!$F$18/7)/2</f>
        <v>121.428571428571</v>
      </c>
      <c r="U248" s="172">
        <f t="shared" si="27"/>
        <v>150</v>
      </c>
      <c r="V248" s="172" t="e">
        <f ca="1">SUM($H$29:U248)+SUM(D248:G248)</f>
        <v>#N/A</v>
      </c>
      <c r="W248" s="132" t="e">
        <f ca="1" t="shared" si="29"/>
        <v>#N/A</v>
      </c>
    </row>
    <row r="249" spans="1:23">
      <c r="A249" s="171"/>
      <c r="B249" s="80">
        <v>221</v>
      </c>
      <c r="C249" s="80">
        <f ca="1">OFFSET(产销汇总!$C$12,$B249,$C$27)</f>
        <v>233.5</v>
      </c>
      <c r="D249" s="80">
        <f ca="1">SUMIF(主线宝箱!$B$321:$B$620,"&lt;="&amp;C249,主线宝箱!$H$321:$H$620)+SUMIF(主线宝箱!$B$321:$B$620,"&lt;="&amp;C249,主线宝箱!$T$321:$T$620)</f>
        <v>9320</v>
      </c>
      <c r="E249" s="80">
        <v>110</v>
      </c>
      <c r="F249" s="80">
        <f t="shared" si="30"/>
        <v>450</v>
      </c>
      <c r="G249" s="80">
        <f ca="1">IF(AND($C$27&lt;3,B249&gt;3),G248,SUMIF(图纸产出设计!$F$334:$F$342,"&lt;="&amp;B249,图纸产出设计!$C$334:$C$342))</f>
        <v>3890</v>
      </c>
      <c r="H249" s="80" t="e">
        <f ca="1">OFFSET(产销汇总!$C$1,MATCH(H$28,产销汇总!$C$2:$C$8,0),$C$27)*(_xlfn.XLOOKUP(C249,主线推图!$B$313:$B$612,主线推图!$G$313:$G$612)+_xlfn.XLOOKUP(C249,主线推图!$B$313:$B$612,主线推图!$H$313:$H$612))</f>
        <v>#N/A</v>
      </c>
      <c r="I249" s="80" t="e">
        <f ca="1">OFFSET(产销汇总!$C$1,MATCH(I$28,产销汇总!$C$2:$C$8,0),$C$27)*_xlfn.XLOOKUP(C249,巡逻产出!$B$311:$B$610,巡逻产出!$H$311:$H$610)</f>
        <v>#N/A</v>
      </c>
      <c r="J249" s="80" t="e">
        <f ca="1">OFFSET(产销汇总!$C$1,MATCH(J$28,产销汇总!$C$2:$C$8,0),$C$27)*(_xlfn.XLOOKUP(MAX(1,INT(C249/10-6/10)),组队产出!$B$24:$B$39,组队产出!$J$24:$J$39)+_xlfn.XLOOKUP(MAX(1,INT(C249/10-6/10)),组队产出!$B$24:$B$39,组队产出!$K$24:$K$39))</f>
        <v>#N/A</v>
      </c>
      <c r="K249" s="80" t="e">
        <f ca="1">OFFSET(产销汇总!$C$1,MATCH(K$28,产销汇总!$C$2:$C$8,0),$C$27)*_xlfn.XLOOKUP(C249,巡逻产出!$B$311:$B$610,巡逻产出!$I$311:$I$610)*IF($C$27=1,0.5,1)</f>
        <v>#N/A</v>
      </c>
      <c r="L249" s="80">
        <f ca="1">OFFSET(产销汇总!$C$1,MATCH(L$28,产销汇总!$C$2:$C$8,0),$C$27)*竞技场!$C$5</f>
        <v>180</v>
      </c>
      <c r="M249" s="80">
        <f>任务!$C$6+IF(MOD(B249,7)=0,任务!$M$25)</f>
        <v>30</v>
      </c>
      <c r="N249" s="98">
        <f t="shared" si="24"/>
        <v>1.7</v>
      </c>
      <c r="O249" s="80">
        <f t="shared" si="25"/>
        <v>0</v>
      </c>
      <c r="P249" s="172">
        <f ca="1">OFFSET(产销汇总!$C$1,MATCH(P$27,产销汇总!$C$2:$C$8,0),$C$27)/200*协力宝箱!$Q$82</f>
        <v>0</v>
      </c>
      <c r="Q249" s="80">
        <f t="shared" si="26"/>
        <v>10</v>
      </c>
      <c r="R249" s="80">
        <v>10</v>
      </c>
      <c r="S249" s="172">
        <f t="shared" si="28"/>
        <v>100</v>
      </c>
      <c r="T249" s="172">
        <f>(公会!$F$12+公会!$F$13+公会!$F$14+公会!$F$18/7)/2</f>
        <v>121.428571428571</v>
      </c>
      <c r="U249" s="172">
        <f t="shared" si="27"/>
        <v>150</v>
      </c>
      <c r="V249" s="172" t="e">
        <f ca="1">SUM($H$29:U249)+SUM(D249:G249)</f>
        <v>#N/A</v>
      </c>
      <c r="W249" s="132" t="e">
        <f ca="1" t="shared" si="29"/>
        <v>#N/A</v>
      </c>
    </row>
    <row r="250" spans="1:23">
      <c r="A250" s="171"/>
      <c r="B250" s="80">
        <v>222</v>
      </c>
      <c r="C250" s="80">
        <f ca="1">OFFSET(产销汇总!$C$12,$B250,$C$27)</f>
        <v>234</v>
      </c>
      <c r="D250" s="80">
        <f ca="1">SUMIF(主线宝箱!$B$321:$B$620,"&lt;="&amp;C250,主线宝箱!$H$321:$H$620)+SUMIF(主线宝箱!$B$321:$B$620,"&lt;="&amp;C250,主线宝箱!$T$321:$T$620)</f>
        <v>9360</v>
      </c>
      <c r="E250" s="80">
        <v>110</v>
      </c>
      <c r="F250" s="80">
        <f t="shared" si="30"/>
        <v>450</v>
      </c>
      <c r="G250" s="80">
        <f ca="1">IF(AND($C$27&lt;3,B250&gt;3),G249,SUMIF(图纸产出设计!$F$334:$F$342,"&lt;="&amp;B250,图纸产出设计!$C$334:$C$342))</f>
        <v>3890</v>
      </c>
      <c r="H250" s="80">
        <f ca="1">OFFSET(产销汇总!$C$1,MATCH(H$28,产销汇总!$C$2:$C$8,0),$C$27)*(_xlfn.XLOOKUP(C250,主线推图!$B$313:$B$612,主线推图!$G$313:$G$612)+_xlfn.XLOOKUP(C250,主线推图!$B$313:$B$612,主线推图!$H$313:$H$612))</f>
        <v>176</v>
      </c>
      <c r="I250" s="80">
        <f ca="1">OFFSET(产销汇总!$C$1,MATCH(I$28,产销汇总!$C$2:$C$8,0),$C$27)*_xlfn.XLOOKUP(C250,巡逻产出!$B$311:$B$610,巡逻产出!$H$311:$H$610)</f>
        <v>0</v>
      </c>
      <c r="J250" s="80" t="e">
        <f ca="1">OFFSET(产销汇总!$C$1,MATCH(J$28,产销汇总!$C$2:$C$8,0),$C$27)*(_xlfn.XLOOKUP(MAX(1,INT(C250/10-6/10)),组队产出!$B$24:$B$39,组队产出!$J$24:$J$39)+_xlfn.XLOOKUP(MAX(1,INT(C250/10-6/10)),组队产出!$B$24:$B$39,组队产出!$K$24:$K$39))</f>
        <v>#N/A</v>
      </c>
      <c r="K250" s="80">
        <f ca="1">OFFSET(产销汇总!$C$1,MATCH(K$28,产销汇总!$C$2:$C$8,0),$C$27)*_xlfn.XLOOKUP(C250,巡逻产出!$B$311:$B$610,巡逻产出!$I$311:$I$610)*IF($C$27=1,0.5,1)</f>
        <v>312</v>
      </c>
      <c r="L250" s="80">
        <f ca="1">OFFSET(产销汇总!$C$1,MATCH(L$28,产销汇总!$C$2:$C$8,0),$C$27)*竞技场!$C$5</f>
        <v>180</v>
      </c>
      <c r="M250" s="80">
        <f>任务!$C$6+IF(MOD(B250,7)=0,任务!$M$25)</f>
        <v>30</v>
      </c>
      <c r="N250" s="98">
        <f t="shared" si="24"/>
        <v>1.7</v>
      </c>
      <c r="O250" s="80">
        <f t="shared" si="25"/>
        <v>10</v>
      </c>
      <c r="P250" s="172">
        <f ca="1">OFFSET(产销汇总!$C$1,MATCH(P$27,产销汇总!$C$2:$C$8,0),$C$27)/200*协力宝箱!$Q$82</f>
        <v>0</v>
      </c>
      <c r="Q250" s="80">
        <f t="shared" si="26"/>
        <v>10</v>
      </c>
      <c r="R250" s="80">
        <v>10</v>
      </c>
      <c r="S250" s="172">
        <f t="shared" si="28"/>
        <v>100</v>
      </c>
      <c r="T250" s="172">
        <f>(公会!$F$12+公会!$F$13+公会!$F$14+公会!$F$18/7)/2</f>
        <v>121.428571428571</v>
      </c>
      <c r="U250" s="172">
        <f t="shared" si="27"/>
        <v>150</v>
      </c>
      <c r="V250" s="172" t="e">
        <f ca="1">SUM($H$29:U250)+SUM(D250:G250)</f>
        <v>#N/A</v>
      </c>
      <c r="W250" s="132" t="e">
        <f ca="1" t="shared" si="29"/>
        <v>#N/A</v>
      </c>
    </row>
    <row r="251" spans="1:23">
      <c r="A251" s="171"/>
      <c r="B251" s="80">
        <v>223</v>
      </c>
      <c r="C251" s="80">
        <f ca="1">OFFSET(产销汇总!$C$12,$B251,$C$27)</f>
        <v>234.5</v>
      </c>
      <c r="D251" s="80">
        <f ca="1">SUMIF(主线宝箱!$B$321:$B$620,"&lt;="&amp;C251,主线宝箱!$H$321:$H$620)+SUMIF(主线宝箱!$B$321:$B$620,"&lt;="&amp;C251,主线宝箱!$T$321:$T$620)</f>
        <v>9360</v>
      </c>
      <c r="E251" s="80">
        <v>110</v>
      </c>
      <c r="F251" s="80">
        <f t="shared" si="30"/>
        <v>450</v>
      </c>
      <c r="G251" s="80">
        <f ca="1">IF(AND($C$27&lt;3,B251&gt;3),G250,SUMIF(图纸产出设计!$F$334:$F$342,"&lt;="&amp;B251,图纸产出设计!$C$334:$C$342))</f>
        <v>3890</v>
      </c>
      <c r="H251" s="80" t="e">
        <f ca="1">OFFSET(产销汇总!$C$1,MATCH(H$28,产销汇总!$C$2:$C$8,0),$C$27)*(_xlfn.XLOOKUP(C251,主线推图!$B$313:$B$612,主线推图!$G$313:$G$612)+_xlfn.XLOOKUP(C251,主线推图!$B$313:$B$612,主线推图!$H$313:$H$612))</f>
        <v>#N/A</v>
      </c>
      <c r="I251" s="80" t="e">
        <f ca="1">OFFSET(产销汇总!$C$1,MATCH(I$28,产销汇总!$C$2:$C$8,0),$C$27)*_xlfn.XLOOKUP(C251,巡逻产出!$B$311:$B$610,巡逻产出!$H$311:$H$610)</f>
        <v>#N/A</v>
      </c>
      <c r="J251" s="80" t="e">
        <f ca="1">OFFSET(产销汇总!$C$1,MATCH(J$28,产销汇总!$C$2:$C$8,0),$C$27)*(_xlfn.XLOOKUP(MAX(1,INT(C251/10-6/10)),组队产出!$B$24:$B$39,组队产出!$J$24:$J$39)+_xlfn.XLOOKUP(MAX(1,INT(C251/10-6/10)),组队产出!$B$24:$B$39,组队产出!$K$24:$K$39))</f>
        <v>#N/A</v>
      </c>
      <c r="K251" s="80" t="e">
        <f ca="1">OFFSET(产销汇总!$C$1,MATCH(K$28,产销汇总!$C$2:$C$8,0),$C$27)*_xlfn.XLOOKUP(C251,巡逻产出!$B$311:$B$610,巡逻产出!$I$311:$I$610)*IF($C$27=1,0.5,1)</f>
        <v>#N/A</v>
      </c>
      <c r="L251" s="80">
        <f ca="1">OFFSET(产销汇总!$C$1,MATCH(L$28,产销汇总!$C$2:$C$8,0),$C$27)*竞技场!$C$5</f>
        <v>180</v>
      </c>
      <c r="M251" s="80">
        <f>任务!$C$6+IF(MOD(B251,7)=0,任务!$M$25)</f>
        <v>30</v>
      </c>
      <c r="N251" s="98">
        <f t="shared" si="24"/>
        <v>1.7</v>
      </c>
      <c r="O251" s="80">
        <f t="shared" si="25"/>
        <v>0</v>
      </c>
      <c r="P251" s="172">
        <f ca="1">OFFSET(产销汇总!$C$1,MATCH(P$27,产销汇总!$C$2:$C$8,0),$C$27)/200*协力宝箱!$Q$82</f>
        <v>0</v>
      </c>
      <c r="Q251" s="80">
        <f t="shared" si="26"/>
        <v>10</v>
      </c>
      <c r="R251" s="80">
        <v>10</v>
      </c>
      <c r="S251" s="172">
        <f t="shared" si="28"/>
        <v>100</v>
      </c>
      <c r="T251" s="172">
        <f>(公会!$F$12+公会!$F$13+公会!$F$14+公会!$F$18/7)/2</f>
        <v>121.428571428571</v>
      </c>
      <c r="U251" s="172">
        <f t="shared" si="27"/>
        <v>150</v>
      </c>
      <c r="V251" s="172" t="e">
        <f ca="1">SUM($H$29:U251)+SUM(D251:G251)</f>
        <v>#N/A</v>
      </c>
      <c r="W251" s="132" t="e">
        <f ca="1" t="shared" si="29"/>
        <v>#N/A</v>
      </c>
    </row>
    <row r="252" spans="1:23">
      <c r="A252" s="171"/>
      <c r="B252" s="80">
        <v>224</v>
      </c>
      <c r="C252" s="80">
        <f ca="1">OFFSET(产销汇总!$C$12,$B252,$C$27)</f>
        <v>235</v>
      </c>
      <c r="D252" s="80">
        <f ca="1">SUMIF(主线宝箱!$B$321:$B$620,"&lt;="&amp;C252,主线宝箱!$H$321:$H$620)+SUMIF(主线宝箱!$B$321:$B$620,"&lt;="&amp;C252,主线宝箱!$T$321:$T$620)</f>
        <v>9400</v>
      </c>
      <c r="E252" s="80">
        <v>110</v>
      </c>
      <c r="F252" s="80">
        <f t="shared" si="30"/>
        <v>450</v>
      </c>
      <c r="G252" s="80">
        <f ca="1">IF(AND($C$27&lt;3,B252&gt;3),G251,SUMIF(图纸产出设计!$F$334:$F$342,"&lt;="&amp;B252,图纸产出设计!$C$334:$C$342))</f>
        <v>3890</v>
      </c>
      <c r="H252" s="80">
        <f ca="1">OFFSET(产销汇总!$C$1,MATCH(H$28,产销汇总!$C$2:$C$8,0),$C$27)*(_xlfn.XLOOKUP(C252,主线推图!$B$313:$B$612,主线推图!$G$313:$G$612)+_xlfn.XLOOKUP(C252,主线推图!$B$313:$B$612,主线推图!$H$313:$H$612))</f>
        <v>176</v>
      </c>
      <c r="I252" s="80">
        <f ca="1">OFFSET(产销汇总!$C$1,MATCH(I$28,产销汇总!$C$2:$C$8,0),$C$27)*_xlfn.XLOOKUP(C252,巡逻产出!$B$311:$B$610,巡逻产出!$H$311:$H$610)</f>
        <v>0</v>
      </c>
      <c r="J252" s="80" t="e">
        <f ca="1">OFFSET(产销汇总!$C$1,MATCH(J$28,产销汇总!$C$2:$C$8,0),$C$27)*(_xlfn.XLOOKUP(MAX(1,INT(C252/10-6/10)),组队产出!$B$24:$B$39,组队产出!$J$24:$J$39)+_xlfn.XLOOKUP(MAX(1,INT(C252/10-6/10)),组队产出!$B$24:$B$39,组队产出!$K$24:$K$39))</f>
        <v>#N/A</v>
      </c>
      <c r="K252" s="80">
        <f ca="1">OFFSET(产销汇总!$C$1,MATCH(K$28,产销汇总!$C$2:$C$8,0),$C$27)*_xlfn.XLOOKUP(C252,巡逻产出!$B$311:$B$610,巡逻产出!$I$311:$I$610)*IF($C$27=1,0.5,1)</f>
        <v>312</v>
      </c>
      <c r="L252" s="80">
        <f ca="1">OFFSET(产销汇总!$C$1,MATCH(L$28,产销汇总!$C$2:$C$8,0),$C$27)*竞技场!$C$5</f>
        <v>180</v>
      </c>
      <c r="M252" s="80">
        <f>任务!$C$6+IF(MOD(B252,7)=0,任务!$M$25)</f>
        <v>60</v>
      </c>
      <c r="N252" s="98">
        <f t="shared" si="24"/>
        <v>1.7</v>
      </c>
      <c r="O252" s="80">
        <f t="shared" si="25"/>
        <v>0</v>
      </c>
      <c r="P252" s="172">
        <f ca="1">OFFSET(产销汇总!$C$1,MATCH(P$27,产销汇总!$C$2:$C$8,0),$C$27)/200*协力宝箱!$Q$82</f>
        <v>0</v>
      </c>
      <c r="Q252" s="80">
        <f t="shared" si="26"/>
        <v>10</v>
      </c>
      <c r="R252" s="80">
        <v>10</v>
      </c>
      <c r="S252" s="172">
        <f t="shared" si="28"/>
        <v>100</v>
      </c>
      <c r="T252" s="172">
        <f>(公会!$F$12+公会!$F$13+公会!$F$14+公会!$F$18/7)/2</f>
        <v>121.428571428571</v>
      </c>
      <c r="U252" s="172">
        <f t="shared" si="27"/>
        <v>150</v>
      </c>
      <c r="V252" s="172" t="e">
        <f ca="1">SUM($H$29:U252)+SUM(D252:G252)</f>
        <v>#N/A</v>
      </c>
      <c r="W252" s="132" t="e">
        <f ca="1" t="shared" si="29"/>
        <v>#N/A</v>
      </c>
    </row>
    <row r="253" spans="1:23">
      <c r="A253" s="171"/>
      <c r="B253" s="80">
        <v>225</v>
      </c>
      <c r="C253" s="80">
        <f ca="1">OFFSET(产销汇总!$C$12,$B253,$C$27)</f>
        <v>235.5</v>
      </c>
      <c r="D253" s="80">
        <f ca="1">SUMIF(主线宝箱!$B$321:$B$620,"&lt;="&amp;C253,主线宝箱!$H$321:$H$620)+SUMIF(主线宝箱!$B$321:$B$620,"&lt;="&amp;C253,主线宝箱!$T$321:$T$620)</f>
        <v>9400</v>
      </c>
      <c r="E253" s="80">
        <v>110</v>
      </c>
      <c r="F253" s="80">
        <f t="shared" si="30"/>
        <v>450</v>
      </c>
      <c r="G253" s="80">
        <f ca="1">IF(AND($C$27&lt;3,B253&gt;3),G252,SUMIF(图纸产出设计!$F$334:$F$342,"&lt;="&amp;B253,图纸产出设计!$C$334:$C$342))</f>
        <v>3890</v>
      </c>
      <c r="H253" s="80" t="e">
        <f ca="1">OFFSET(产销汇总!$C$1,MATCH(H$28,产销汇总!$C$2:$C$8,0),$C$27)*(_xlfn.XLOOKUP(C253,主线推图!$B$313:$B$612,主线推图!$G$313:$G$612)+_xlfn.XLOOKUP(C253,主线推图!$B$313:$B$612,主线推图!$H$313:$H$612))</f>
        <v>#N/A</v>
      </c>
      <c r="I253" s="80" t="e">
        <f ca="1">OFFSET(产销汇总!$C$1,MATCH(I$28,产销汇总!$C$2:$C$8,0),$C$27)*_xlfn.XLOOKUP(C253,巡逻产出!$B$311:$B$610,巡逻产出!$H$311:$H$610)</f>
        <v>#N/A</v>
      </c>
      <c r="J253" s="80" t="e">
        <f ca="1">OFFSET(产销汇总!$C$1,MATCH(J$28,产销汇总!$C$2:$C$8,0),$C$27)*(_xlfn.XLOOKUP(MAX(1,INT(C253/10-6/10)),组队产出!$B$24:$B$39,组队产出!$J$24:$J$39)+_xlfn.XLOOKUP(MAX(1,INT(C253/10-6/10)),组队产出!$B$24:$B$39,组队产出!$K$24:$K$39))</f>
        <v>#N/A</v>
      </c>
      <c r="K253" s="80" t="e">
        <f ca="1">OFFSET(产销汇总!$C$1,MATCH(K$28,产销汇总!$C$2:$C$8,0),$C$27)*_xlfn.XLOOKUP(C253,巡逻产出!$B$311:$B$610,巡逻产出!$I$311:$I$610)*IF($C$27=1,0.5,1)</f>
        <v>#N/A</v>
      </c>
      <c r="L253" s="80">
        <f ca="1">OFFSET(产销汇总!$C$1,MATCH(L$28,产销汇总!$C$2:$C$8,0),$C$27)*竞技场!$C$5</f>
        <v>180</v>
      </c>
      <c r="M253" s="80">
        <f>任务!$C$6+IF(MOD(B253,7)=0,任务!$M$25)</f>
        <v>30</v>
      </c>
      <c r="N253" s="98">
        <f t="shared" si="24"/>
        <v>1.7</v>
      </c>
      <c r="O253" s="80">
        <f t="shared" si="25"/>
        <v>0</v>
      </c>
      <c r="P253" s="172">
        <f ca="1">OFFSET(产销汇总!$C$1,MATCH(P$27,产销汇总!$C$2:$C$8,0),$C$27)/200*协力宝箱!$Q$82</f>
        <v>0</v>
      </c>
      <c r="Q253" s="80">
        <f t="shared" si="26"/>
        <v>10</v>
      </c>
      <c r="R253" s="80">
        <v>10</v>
      </c>
      <c r="S253" s="172">
        <f t="shared" si="28"/>
        <v>100</v>
      </c>
      <c r="T253" s="172">
        <f>(公会!$F$12+公会!$F$13+公会!$F$14+公会!$F$18/7)/2</f>
        <v>121.428571428571</v>
      </c>
      <c r="U253" s="172">
        <f t="shared" si="27"/>
        <v>150</v>
      </c>
      <c r="V253" s="172" t="e">
        <f ca="1">SUM($H$29:U253)+SUM(D253:G253)</f>
        <v>#N/A</v>
      </c>
      <c r="W253" s="132" t="e">
        <f ca="1" t="shared" si="29"/>
        <v>#N/A</v>
      </c>
    </row>
    <row r="254" spans="1:23">
      <c r="A254" s="171"/>
      <c r="B254" s="80">
        <v>226</v>
      </c>
      <c r="C254" s="80">
        <f ca="1">OFFSET(产销汇总!$C$12,$B254,$C$27)</f>
        <v>236</v>
      </c>
      <c r="D254" s="80">
        <f ca="1">SUMIF(主线宝箱!$B$321:$B$620,"&lt;="&amp;C254,主线宝箱!$H$321:$H$620)+SUMIF(主线宝箱!$B$321:$B$620,"&lt;="&amp;C254,主线宝箱!$T$321:$T$620)</f>
        <v>9440</v>
      </c>
      <c r="E254" s="80">
        <v>110</v>
      </c>
      <c r="F254" s="80">
        <f t="shared" si="30"/>
        <v>450</v>
      </c>
      <c r="G254" s="80">
        <f ca="1">IF(AND($C$27&lt;3,B254&gt;3),G253,SUMIF(图纸产出设计!$F$334:$F$342,"&lt;="&amp;B254,图纸产出设计!$C$334:$C$342))</f>
        <v>3890</v>
      </c>
      <c r="H254" s="80">
        <f ca="1">OFFSET(产销汇总!$C$1,MATCH(H$28,产销汇总!$C$2:$C$8,0),$C$27)*(_xlfn.XLOOKUP(C254,主线推图!$B$313:$B$612,主线推图!$G$313:$G$612)+_xlfn.XLOOKUP(C254,主线推图!$B$313:$B$612,主线推图!$H$313:$H$612))</f>
        <v>176</v>
      </c>
      <c r="I254" s="80">
        <f ca="1">OFFSET(产销汇总!$C$1,MATCH(I$28,产销汇总!$C$2:$C$8,0),$C$27)*_xlfn.XLOOKUP(C254,巡逻产出!$B$311:$B$610,巡逻产出!$H$311:$H$610)</f>
        <v>0</v>
      </c>
      <c r="J254" s="80" t="e">
        <f ca="1">OFFSET(产销汇总!$C$1,MATCH(J$28,产销汇总!$C$2:$C$8,0),$C$27)*(_xlfn.XLOOKUP(MAX(1,INT(C254/10-6/10)),组队产出!$B$24:$B$39,组队产出!$J$24:$J$39)+_xlfn.XLOOKUP(MAX(1,INT(C254/10-6/10)),组队产出!$B$24:$B$39,组队产出!$K$24:$K$39))</f>
        <v>#N/A</v>
      </c>
      <c r="K254" s="80">
        <f ca="1">OFFSET(产销汇总!$C$1,MATCH(K$28,产销汇总!$C$2:$C$8,0),$C$27)*_xlfn.XLOOKUP(C254,巡逻产出!$B$311:$B$610,巡逻产出!$I$311:$I$610)*IF($C$27=1,0.5,1)</f>
        <v>312</v>
      </c>
      <c r="L254" s="80">
        <f ca="1">OFFSET(产销汇总!$C$1,MATCH(L$28,产销汇总!$C$2:$C$8,0),$C$27)*竞技场!$C$5</f>
        <v>180</v>
      </c>
      <c r="M254" s="80">
        <f>任务!$C$6+IF(MOD(B254,7)=0,任务!$M$25)</f>
        <v>30</v>
      </c>
      <c r="N254" s="98">
        <f t="shared" si="24"/>
        <v>1.7</v>
      </c>
      <c r="O254" s="80">
        <f t="shared" si="25"/>
        <v>10</v>
      </c>
      <c r="P254" s="172">
        <f ca="1">OFFSET(产销汇总!$C$1,MATCH(P$27,产销汇总!$C$2:$C$8,0),$C$27)/200*协力宝箱!$Q$82</f>
        <v>0</v>
      </c>
      <c r="Q254" s="80">
        <f t="shared" si="26"/>
        <v>10</v>
      </c>
      <c r="R254" s="80">
        <v>10</v>
      </c>
      <c r="S254" s="172">
        <f t="shared" si="28"/>
        <v>100</v>
      </c>
      <c r="T254" s="172">
        <f>(公会!$F$12+公会!$F$13+公会!$F$14+公会!$F$18/7)/2</f>
        <v>121.428571428571</v>
      </c>
      <c r="U254" s="172">
        <f t="shared" si="27"/>
        <v>150</v>
      </c>
      <c r="V254" s="172" t="e">
        <f ca="1">SUM($H$29:U254)+SUM(D254:G254)</f>
        <v>#N/A</v>
      </c>
      <c r="W254" s="132" t="e">
        <f ca="1" t="shared" si="29"/>
        <v>#N/A</v>
      </c>
    </row>
    <row r="255" spans="1:23">
      <c r="A255" s="171"/>
      <c r="B255" s="80">
        <v>227</v>
      </c>
      <c r="C255" s="80">
        <f ca="1">OFFSET(产销汇总!$C$12,$B255,$C$27)</f>
        <v>236.5</v>
      </c>
      <c r="D255" s="80">
        <f ca="1">SUMIF(主线宝箱!$B$321:$B$620,"&lt;="&amp;C255,主线宝箱!$H$321:$H$620)+SUMIF(主线宝箱!$B$321:$B$620,"&lt;="&amp;C255,主线宝箱!$T$321:$T$620)</f>
        <v>9440</v>
      </c>
      <c r="E255" s="80">
        <v>110</v>
      </c>
      <c r="F255" s="80">
        <f t="shared" si="30"/>
        <v>450</v>
      </c>
      <c r="G255" s="80">
        <f ca="1">IF(AND($C$27&lt;3,B255&gt;3),G254,SUMIF(图纸产出设计!$F$334:$F$342,"&lt;="&amp;B255,图纸产出设计!$C$334:$C$342))</f>
        <v>3890</v>
      </c>
      <c r="H255" s="80" t="e">
        <f ca="1">OFFSET(产销汇总!$C$1,MATCH(H$28,产销汇总!$C$2:$C$8,0),$C$27)*(_xlfn.XLOOKUP(C255,主线推图!$B$313:$B$612,主线推图!$G$313:$G$612)+_xlfn.XLOOKUP(C255,主线推图!$B$313:$B$612,主线推图!$H$313:$H$612))</f>
        <v>#N/A</v>
      </c>
      <c r="I255" s="80" t="e">
        <f ca="1">OFFSET(产销汇总!$C$1,MATCH(I$28,产销汇总!$C$2:$C$8,0),$C$27)*_xlfn.XLOOKUP(C255,巡逻产出!$B$311:$B$610,巡逻产出!$H$311:$H$610)</f>
        <v>#N/A</v>
      </c>
      <c r="J255" s="80" t="e">
        <f ca="1">OFFSET(产销汇总!$C$1,MATCH(J$28,产销汇总!$C$2:$C$8,0),$C$27)*(_xlfn.XLOOKUP(MAX(1,INT(C255/10-6/10)),组队产出!$B$24:$B$39,组队产出!$J$24:$J$39)+_xlfn.XLOOKUP(MAX(1,INT(C255/10-6/10)),组队产出!$B$24:$B$39,组队产出!$K$24:$K$39))</f>
        <v>#N/A</v>
      </c>
      <c r="K255" s="80" t="e">
        <f ca="1">OFFSET(产销汇总!$C$1,MATCH(K$28,产销汇总!$C$2:$C$8,0),$C$27)*_xlfn.XLOOKUP(C255,巡逻产出!$B$311:$B$610,巡逻产出!$I$311:$I$610)*IF($C$27=1,0.5,1)</f>
        <v>#N/A</v>
      </c>
      <c r="L255" s="80">
        <f ca="1">OFFSET(产销汇总!$C$1,MATCH(L$28,产销汇总!$C$2:$C$8,0),$C$27)*竞技场!$C$5</f>
        <v>180</v>
      </c>
      <c r="M255" s="80">
        <f>任务!$C$6+IF(MOD(B255,7)=0,任务!$M$25)</f>
        <v>30</v>
      </c>
      <c r="N255" s="98">
        <f t="shared" si="24"/>
        <v>1.7</v>
      </c>
      <c r="O255" s="80">
        <f t="shared" si="25"/>
        <v>0</v>
      </c>
      <c r="P255" s="172">
        <f ca="1">OFFSET(产销汇总!$C$1,MATCH(P$27,产销汇总!$C$2:$C$8,0),$C$27)/200*协力宝箱!$Q$82</f>
        <v>0</v>
      </c>
      <c r="Q255" s="80">
        <f t="shared" si="26"/>
        <v>10</v>
      </c>
      <c r="R255" s="80">
        <v>10</v>
      </c>
      <c r="S255" s="172">
        <f t="shared" si="28"/>
        <v>100</v>
      </c>
      <c r="T255" s="172">
        <f>(公会!$F$12+公会!$F$13+公会!$F$14+公会!$F$18/7)/2</f>
        <v>121.428571428571</v>
      </c>
      <c r="U255" s="172">
        <f t="shared" si="27"/>
        <v>150</v>
      </c>
      <c r="V255" s="172" t="e">
        <f ca="1">SUM($H$29:U255)+SUM(D255:G255)</f>
        <v>#N/A</v>
      </c>
      <c r="W255" s="132" t="e">
        <f ca="1" t="shared" si="29"/>
        <v>#N/A</v>
      </c>
    </row>
    <row r="256" spans="1:23">
      <c r="A256" s="171"/>
      <c r="B256" s="80">
        <v>228</v>
      </c>
      <c r="C256" s="80">
        <f ca="1">OFFSET(产销汇总!$C$12,$B256,$C$27)</f>
        <v>237</v>
      </c>
      <c r="D256" s="80">
        <f ca="1">SUMIF(主线宝箱!$B$321:$B$620,"&lt;="&amp;C256,主线宝箱!$H$321:$H$620)+SUMIF(主线宝箱!$B$321:$B$620,"&lt;="&amp;C256,主线宝箱!$T$321:$T$620)</f>
        <v>9480</v>
      </c>
      <c r="E256" s="80">
        <v>110</v>
      </c>
      <c r="F256" s="80">
        <f t="shared" si="30"/>
        <v>450</v>
      </c>
      <c r="G256" s="80">
        <f ca="1">IF(AND($C$27&lt;3,B256&gt;3),G255,SUMIF(图纸产出设计!$F$334:$F$342,"&lt;="&amp;B256,图纸产出设计!$C$334:$C$342))</f>
        <v>3890</v>
      </c>
      <c r="H256" s="80">
        <f ca="1">OFFSET(产销汇总!$C$1,MATCH(H$28,产销汇总!$C$2:$C$8,0),$C$27)*(_xlfn.XLOOKUP(C256,主线推图!$B$313:$B$612,主线推图!$G$313:$G$612)+_xlfn.XLOOKUP(C256,主线推图!$B$313:$B$612,主线推图!$H$313:$H$612))</f>
        <v>176</v>
      </c>
      <c r="I256" s="80">
        <f ca="1">OFFSET(产销汇总!$C$1,MATCH(I$28,产销汇总!$C$2:$C$8,0),$C$27)*_xlfn.XLOOKUP(C256,巡逻产出!$B$311:$B$610,巡逻产出!$H$311:$H$610)</f>
        <v>0</v>
      </c>
      <c r="J256" s="80" t="e">
        <f ca="1">OFFSET(产销汇总!$C$1,MATCH(J$28,产销汇总!$C$2:$C$8,0),$C$27)*(_xlfn.XLOOKUP(MAX(1,INT(C256/10-6/10)),组队产出!$B$24:$B$39,组队产出!$J$24:$J$39)+_xlfn.XLOOKUP(MAX(1,INT(C256/10-6/10)),组队产出!$B$24:$B$39,组队产出!$K$24:$K$39))</f>
        <v>#N/A</v>
      </c>
      <c r="K256" s="80">
        <f ca="1">OFFSET(产销汇总!$C$1,MATCH(K$28,产销汇总!$C$2:$C$8,0),$C$27)*_xlfn.XLOOKUP(C256,巡逻产出!$B$311:$B$610,巡逻产出!$I$311:$I$610)*IF($C$27=1,0.5,1)</f>
        <v>312</v>
      </c>
      <c r="L256" s="80">
        <f ca="1">OFFSET(产销汇总!$C$1,MATCH(L$28,产销汇总!$C$2:$C$8,0),$C$27)*竞技场!$C$5</f>
        <v>180</v>
      </c>
      <c r="M256" s="80">
        <f>任务!$C$6+IF(MOD(B256,7)=0,任务!$M$25)</f>
        <v>30</v>
      </c>
      <c r="N256" s="98">
        <f t="shared" si="24"/>
        <v>1.7</v>
      </c>
      <c r="O256" s="80">
        <f t="shared" si="25"/>
        <v>0</v>
      </c>
      <c r="P256" s="172">
        <f ca="1">OFFSET(产销汇总!$C$1,MATCH(P$27,产销汇总!$C$2:$C$8,0),$C$27)/200*协力宝箱!$Q$82</f>
        <v>0</v>
      </c>
      <c r="Q256" s="80">
        <f t="shared" si="26"/>
        <v>10</v>
      </c>
      <c r="R256" s="80">
        <v>10</v>
      </c>
      <c r="S256" s="172">
        <f t="shared" si="28"/>
        <v>100</v>
      </c>
      <c r="T256" s="172">
        <f>(公会!$F$12+公会!$F$13+公会!$F$14+公会!$F$18/7)/2</f>
        <v>121.428571428571</v>
      </c>
      <c r="U256" s="172">
        <f t="shared" si="27"/>
        <v>150</v>
      </c>
      <c r="V256" s="172" t="e">
        <f ca="1">SUM($H$29:U256)+SUM(D256:G256)</f>
        <v>#N/A</v>
      </c>
      <c r="W256" s="132" t="e">
        <f ca="1" t="shared" si="29"/>
        <v>#N/A</v>
      </c>
    </row>
    <row r="257" spans="1:23">
      <c r="A257" s="171"/>
      <c r="B257" s="80">
        <v>229</v>
      </c>
      <c r="C257" s="80">
        <f ca="1">OFFSET(产销汇总!$C$12,$B257,$C$27)</f>
        <v>237.5</v>
      </c>
      <c r="D257" s="80">
        <f ca="1">SUMIF(主线宝箱!$B$321:$B$620,"&lt;="&amp;C257,主线宝箱!$H$321:$H$620)+SUMIF(主线宝箱!$B$321:$B$620,"&lt;="&amp;C257,主线宝箱!$T$321:$T$620)</f>
        <v>9480</v>
      </c>
      <c r="E257" s="80">
        <v>110</v>
      </c>
      <c r="F257" s="80">
        <f t="shared" si="30"/>
        <v>450</v>
      </c>
      <c r="G257" s="80">
        <f ca="1">IF(AND($C$27&lt;3,B257&gt;3),G256,SUMIF(图纸产出设计!$F$334:$F$342,"&lt;="&amp;B257,图纸产出设计!$C$334:$C$342))</f>
        <v>3890</v>
      </c>
      <c r="H257" s="80" t="e">
        <f ca="1">OFFSET(产销汇总!$C$1,MATCH(H$28,产销汇总!$C$2:$C$8,0),$C$27)*(_xlfn.XLOOKUP(C257,主线推图!$B$313:$B$612,主线推图!$G$313:$G$612)+_xlfn.XLOOKUP(C257,主线推图!$B$313:$B$612,主线推图!$H$313:$H$612))</f>
        <v>#N/A</v>
      </c>
      <c r="I257" s="80" t="e">
        <f ca="1">OFFSET(产销汇总!$C$1,MATCH(I$28,产销汇总!$C$2:$C$8,0),$C$27)*_xlfn.XLOOKUP(C257,巡逻产出!$B$311:$B$610,巡逻产出!$H$311:$H$610)</f>
        <v>#N/A</v>
      </c>
      <c r="J257" s="80" t="e">
        <f ca="1">OFFSET(产销汇总!$C$1,MATCH(J$28,产销汇总!$C$2:$C$8,0),$C$27)*(_xlfn.XLOOKUP(MAX(1,INT(C257/10-6/10)),组队产出!$B$24:$B$39,组队产出!$J$24:$J$39)+_xlfn.XLOOKUP(MAX(1,INT(C257/10-6/10)),组队产出!$B$24:$B$39,组队产出!$K$24:$K$39))</f>
        <v>#N/A</v>
      </c>
      <c r="K257" s="80" t="e">
        <f ca="1">OFFSET(产销汇总!$C$1,MATCH(K$28,产销汇总!$C$2:$C$8,0),$C$27)*_xlfn.XLOOKUP(C257,巡逻产出!$B$311:$B$610,巡逻产出!$I$311:$I$610)*IF($C$27=1,0.5,1)</f>
        <v>#N/A</v>
      </c>
      <c r="L257" s="80">
        <f ca="1">OFFSET(产销汇总!$C$1,MATCH(L$28,产销汇总!$C$2:$C$8,0),$C$27)*竞技场!$C$5</f>
        <v>180</v>
      </c>
      <c r="M257" s="80">
        <f>任务!$C$6+IF(MOD(B257,7)=0,任务!$M$25)</f>
        <v>30</v>
      </c>
      <c r="N257" s="98">
        <f t="shared" si="24"/>
        <v>1.7</v>
      </c>
      <c r="O257" s="80">
        <f t="shared" si="25"/>
        <v>10</v>
      </c>
      <c r="P257" s="172">
        <f ca="1">OFFSET(产销汇总!$C$1,MATCH(P$27,产销汇总!$C$2:$C$8,0),$C$27)/200*协力宝箱!$Q$82</f>
        <v>0</v>
      </c>
      <c r="Q257" s="80">
        <f t="shared" si="26"/>
        <v>10</v>
      </c>
      <c r="R257" s="80">
        <v>10</v>
      </c>
      <c r="S257" s="172">
        <f t="shared" si="28"/>
        <v>100</v>
      </c>
      <c r="T257" s="172">
        <f>(公会!$F$12+公会!$F$13+公会!$F$14+公会!$F$18/7)/2</f>
        <v>121.428571428571</v>
      </c>
      <c r="U257" s="172">
        <f t="shared" si="27"/>
        <v>150</v>
      </c>
      <c r="V257" s="172" t="e">
        <f ca="1">SUM($H$29:U257)+SUM(D257:G257)</f>
        <v>#N/A</v>
      </c>
      <c r="W257" s="132" t="e">
        <f ca="1" t="shared" si="29"/>
        <v>#N/A</v>
      </c>
    </row>
    <row r="258" spans="1:23">
      <c r="A258" s="171"/>
      <c r="B258" s="80">
        <v>230</v>
      </c>
      <c r="C258" s="80">
        <f ca="1">OFFSET(产销汇总!$C$12,$B258,$C$27)</f>
        <v>238</v>
      </c>
      <c r="D258" s="80">
        <f ca="1">SUMIF(主线宝箱!$B$321:$B$620,"&lt;="&amp;C258,主线宝箱!$H$321:$H$620)+SUMIF(主线宝箱!$B$321:$B$620,"&lt;="&amp;C258,主线宝箱!$T$321:$T$620)</f>
        <v>9520</v>
      </c>
      <c r="E258" s="80">
        <v>110</v>
      </c>
      <c r="F258" s="80">
        <f t="shared" si="30"/>
        <v>450</v>
      </c>
      <c r="G258" s="80">
        <f ca="1">IF(AND($C$27&lt;3,B258&gt;3),G257,SUMIF(图纸产出设计!$F$334:$F$342,"&lt;="&amp;B258,图纸产出设计!$C$334:$C$342))</f>
        <v>3890</v>
      </c>
      <c r="H258" s="80">
        <f ca="1">OFFSET(产销汇总!$C$1,MATCH(H$28,产销汇总!$C$2:$C$8,0),$C$27)*(_xlfn.XLOOKUP(C258,主线推图!$B$313:$B$612,主线推图!$G$313:$G$612)+_xlfn.XLOOKUP(C258,主线推图!$B$313:$B$612,主线推图!$H$313:$H$612))</f>
        <v>176</v>
      </c>
      <c r="I258" s="80">
        <f ca="1">OFFSET(产销汇总!$C$1,MATCH(I$28,产销汇总!$C$2:$C$8,0),$C$27)*_xlfn.XLOOKUP(C258,巡逻产出!$B$311:$B$610,巡逻产出!$H$311:$H$610)</f>
        <v>0</v>
      </c>
      <c r="J258" s="80" t="e">
        <f ca="1">OFFSET(产销汇总!$C$1,MATCH(J$28,产销汇总!$C$2:$C$8,0),$C$27)*(_xlfn.XLOOKUP(MAX(1,INT(C258/10-6/10)),组队产出!$B$24:$B$39,组队产出!$J$24:$J$39)+_xlfn.XLOOKUP(MAX(1,INT(C258/10-6/10)),组队产出!$B$24:$B$39,组队产出!$K$24:$K$39))</f>
        <v>#N/A</v>
      </c>
      <c r="K258" s="80">
        <f ca="1">OFFSET(产销汇总!$C$1,MATCH(K$28,产销汇总!$C$2:$C$8,0),$C$27)*_xlfn.XLOOKUP(C258,巡逻产出!$B$311:$B$610,巡逻产出!$I$311:$I$610)*IF($C$27=1,0.5,1)</f>
        <v>312</v>
      </c>
      <c r="L258" s="80">
        <f ca="1">OFFSET(产销汇总!$C$1,MATCH(L$28,产销汇总!$C$2:$C$8,0),$C$27)*竞技场!$C$5</f>
        <v>180</v>
      </c>
      <c r="M258" s="80">
        <f>任务!$C$6+IF(MOD(B258,7)=0,任务!$M$25)</f>
        <v>30</v>
      </c>
      <c r="N258" s="98">
        <f t="shared" si="24"/>
        <v>1.7</v>
      </c>
      <c r="O258" s="80">
        <f t="shared" si="25"/>
        <v>0</v>
      </c>
      <c r="P258" s="172">
        <f ca="1">OFFSET(产销汇总!$C$1,MATCH(P$27,产销汇总!$C$2:$C$8,0),$C$27)/200*协力宝箱!$Q$82</f>
        <v>0</v>
      </c>
      <c r="Q258" s="80">
        <f t="shared" si="26"/>
        <v>10</v>
      </c>
      <c r="R258" s="80">
        <v>10</v>
      </c>
      <c r="S258" s="172">
        <f t="shared" si="28"/>
        <v>100</v>
      </c>
      <c r="T258" s="172">
        <f>(公会!$F$12+公会!$F$13+公会!$F$14+公会!$F$18/7)/2</f>
        <v>121.428571428571</v>
      </c>
      <c r="U258" s="172">
        <f t="shared" si="27"/>
        <v>150</v>
      </c>
      <c r="V258" s="172" t="e">
        <f ca="1">SUM($H$29:U258)+SUM(D258:G258)</f>
        <v>#N/A</v>
      </c>
      <c r="W258" s="132" t="e">
        <f ca="1" t="shared" si="29"/>
        <v>#N/A</v>
      </c>
    </row>
    <row r="259" spans="1:23">
      <c r="A259" s="171"/>
      <c r="B259" s="80">
        <v>231</v>
      </c>
      <c r="C259" s="80">
        <f ca="1">OFFSET(产销汇总!$C$12,$B259,$C$27)</f>
        <v>238.5</v>
      </c>
      <c r="D259" s="80">
        <f ca="1">SUMIF(主线宝箱!$B$321:$B$620,"&lt;="&amp;C259,主线宝箱!$H$321:$H$620)+SUMIF(主线宝箱!$B$321:$B$620,"&lt;="&amp;C259,主线宝箱!$T$321:$T$620)</f>
        <v>9520</v>
      </c>
      <c r="E259" s="80">
        <v>110</v>
      </c>
      <c r="F259" s="80">
        <f t="shared" si="30"/>
        <v>450</v>
      </c>
      <c r="G259" s="80">
        <f ca="1">IF(AND($C$27&lt;3,B259&gt;3),G258,SUMIF(图纸产出设计!$F$334:$F$342,"&lt;="&amp;B259,图纸产出设计!$C$334:$C$342))</f>
        <v>3890</v>
      </c>
      <c r="H259" s="80" t="e">
        <f ca="1">OFFSET(产销汇总!$C$1,MATCH(H$28,产销汇总!$C$2:$C$8,0),$C$27)*(_xlfn.XLOOKUP(C259,主线推图!$B$313:$B$612,主线推图!$G$313:$G$612)+_xlfn.XLOOKUP(C259,主线推图!$B$313:$B$612,主线推图!$H$313:$H$612))</f>
        <v>#N/A</v>
      </c>
      <c r="I259" s="80" t="e">
        <f ca="1">OFFSET(产销汇总!$C$1,MATCH(I$28,产销汇总!$C$2:$C$8,0),$C$27)*_xlfn.XLOOKUP(C259,巡逻产出!$B$311:$B$610,巡逻产出!$H$311:$H$610)</f>
        <v>#N/A</v>
      </c>
      <c r="J259" s="80" t="e">
        <f ca="1">OFFSET(产销汇总!$C$1,MATCH(J$28,产销汇总!$C$2:$C$8,0),$C$27)*(_xlfn.XLOOKUP(MAX(1,INT(C259/10-6/10)),组队产出!$B$24:$B$39,组队产出!$J$24:$J$39)+_xlfn.XLOOKUP(MAX(1,INT(C259/10-6/10)),组队产出!$B$24:$B$39,组队产出!$K$24:$K$39))</f>
        <v>#N/A</v>
      </c>
      <c r="K259" s="80" t="e">
        <f ca="1">OFFSET(产销汇总!$C$1,MATCH(K$28,产销汇总!$C$2:$C$8,0),$C$27)*_xlfn.XLOOKUP(C259,巡逻产出!$B$311:$B$610,巡逻产出!$I$311:$I$610)*IF($C$27=1,0.5,1)</f>
        <v>#N/A</v>
      </c>
      <c r="L259" s="80">
        <f ca="1">OFFSET(产销汇总!$C$1,MATCH(L$28,产销汇总!$C$2:$C$8,0),$C$27)*竞技场!$C$5</f>
        <v>180</v>
      </c>
      <c r="M259" s="80">
        <f>任务!$C$6+IF(MOD(B259,7)=0,任务!$M$25)</f>
        <v>60</v>
      </c>
      <c r="N259" s="98">
        <f t="shared" si="24"/>
        <v>1.7</v>
      </c>
      <c r="O259" s="80">
        <f t="shared" si="25"/>
        <v>0</v>
      </c>
      <c r="P259" s="172">
        <f ca="1">OFFSET(产销汇总!$C$1,MATCH(P$27,产销汇总!$C$2:$C$8,0),$C$27)/200*协力宝箱!$Q$82</f>
        <v>0</v>
      </c>
      <c r="Q259" s="80">
        <f t="shared" si="26"/>
        <v>10</v>
      </c>
      <c r="R259" s="80">
        <v>10</v>
      </c>
      <c r="S259" s="172">
        <f t="shared" si="28"/>
        <v>100</v>
      </c>
      <c r="T259" s="172">
        <f>(公会!$F$12+公会!$F$13+公会!$F$14+公会!$F$18/7)/2</f>
        <v>121.428571428571</v>
      </c>
      <c r="U259" s="172">
        <f t="shared" si="27"/>
        <v>150</v>
      </c>
      <c r="V259" s="172" t="e">
        <f ca="1">SUM($H$29:U259)+SUM(D259:G259)</f>
        <v>#N/A</v>
      </c>
      <c r="W259" s="132" t="e">
        <f ca="1" t="shared" si="29"/>
        <v>#N/A</v>
      </c>
    </row>
    <row r="260" spans="1:23">
      <c r="A260" s="171"/>
      <c r="B260" s="80">
        <v>232</v>
      </c>
      <c r="C260" s="80">
        <f ca="1">OFFSET(产销汇总!$C$12,$B260,$C$27)</f>
        <v>239</v>
      </c>
      <c r="D260" s="80">
        <f ca="1">SUMIF(主线宝箱!$B$321:$B$620,"&lt;="&amp;C260,主线宝箱!$H$321:$H$620)+SUMIF(主线宝箱!$B$321:$B$620,"&lt;="&amp;C260,主线宝箱!$T$321:$T$620)</f>
        <v>9560</v>
      </c>
      <c r="E260" s="80">
        <v>110</v>
      </c>
      <c r="F260" s="80">
        <f t="shared" si="30"/>
        <v>450</v>
      </c>
      <c r="G260" s="80">
        <f ca="1">IF(AND($C$27&lt;3,B260&gt;3),G259,SUMIF(图纸产出设计!$F$334:$F$342,"&lt;="&amp;B260,图纸产出设计!$C$334:$C$342))</f>
        <v>3890</v>
      </c>
      <c r="H260" s="80">
        <f ca="1">OFFSET(产销汇总!$C$1,MATCH(H$28,产销汇总!$C$2:$C$8,0),$C$27)*(_xlfn.XLOOKUP(C260,主线推图!$B$313:$B$612,主线推图!$G$313:$G$612)+_xlfn.XLOOKUP(C260,主线推图!$B$313:$B$612,主线推图!$H$313:$H$612))</f>
        <v>176</v>
      </c>
      <c r="I260" s="80">
        <f ca="1">OFFSET(产销汇总!$C$1,MATCH(I$28,产销汇总!$C$2:$C$8,0),$C$27)*_xlfn.XLOOKUP(C260,巡逻产出!$B$311:$B$610,巡逻产出!$H$311:$H$610)</f>
        <v>0</v>
      </c>
      <c r="J260" s="80" t="e">
        <f ca="1">OFFSET(产销汇总!$C$1,MATCH(J$28,产销汇总!$C$2:$C$8,0),$C$27)*(_xlfn.XLOOKUP(MAX(1,INT(C260/10-6/10)),组队产出!$B$24:$B$39,组队产出!$J$24:$J$39)+_xlfn.XLOOKUP(MAX(1,INT(C260/10-6/10)),组队产出!$B$24:$B$39,组队产出!$K$24:$K$39))</f>
        <v>#N/A</v>
      </c>
      <c r="K260" s="80">
        <f ca="1">OFFSET(产销汇总!$C$1,MATCH(K$28,产销汇总!$C$2:$C$8,0),$C$27)*_xlfn.XLOOKUP(C260,巡逻产出!$B$311:$B$610,巡逻产出!$I$311:$I$610)*IF($C$27=1,0.5,1)</f>
        <v>312</v>
      </c>
      <c r="L260" s="80">
        <f ca="1">OFFSET(产销汇总!$C$1,MATCH(L$28,产销汇总!$C$2:$C$8,0),$C$27)*竞技场!$C$5</f>
        <v>180</v>
      </c>
      <c r="M260" s="80">
        <f>任务!$C$6+IF(MOD(B260,7)=0,任务!$M$25)</f>
        <v>30</v>
      </c>
      <c r="N260" s="98">
        <f t="shared" si="24"/>
        <v>1.7</v>
      </c>
      <c r="O260" s="80">
        <f t="shared" si="25"/>
        <v>0</v>
      </c>
      <c r="P260" s="172">
        <f ca="1">OFFSET(产销汇总!$C$1,MATCH(P$27,产销汇总!$C$2:$C$8,0),$C$27)/200*协力宝箱!$Q$82</f>
        <v>0</v>
      </c>
      <c r="Q260" s="80">
        <f t="shared" si="26"/>
        <v>10</v>
      </c>
      <c r="R260" s="80">
        <v>10</v>
      </c>
      <c r="S260" s="172">
        <f t="shared" si="28"/>
        <v>100</v>
      </c>
      <c r="T260" s="172">
        <f>(公会!$F$12+公会!$F$13+公会!$F$14+公会!$F$18/7)/2</f>
        <v>121.428571428571</v>
      </c>
      <c r="U260" s="172">
        <f t="shared" si="27"/>
        <v>150</v>
      </c>
      <c r="V260" s="172" t="e">
        <f ca="1">SUM($H$29:U260)+SUM(D260:G260)</f>
        <v>#N/A</v>
      </c>
      <c r="W260" s="132" t="e">
        <f ca="1" t="shared" si="29"/>
        <v>#N/A</v>
      </c>
    </row>
    <row r="261" spans="1:23">
      <c r="A261" s="171"/>
      <c r="B261" s="80">
        <v>233</v>
      </c>
      <c r="C261" s="80">
        <f ca="1">OFFSET(产销汇总!$C$12,$B261,$C$27)</f>
        <v>239.5</v>
      </c>
      <c r="D261" s="80">
        <f ca="1">SUMIF(主线宝箱!$B$321:$B$620,"&lt;="&amp;C261,主线宝箱!$H$321:$H$620)+SUMIF(主线宝箱!$B$321:$B$620,"&lt;="&amp;C261,主线宝箱!$T$321:$T$620)</f>
        <v>9560</v>
      </c>
      <c r="E261" s="80">
        <v>110</v>
      </c>
      <c r="F261" s="80">
        <f t="shared" si="30"/>
        <v>450</v>
      </c>
      <c r="G261" s="80">
        <f ca="1">IF(AND($C$27&lt;3,B261&gt;3),G260,SUMIF(图纸产出设计!$F$334:$F$342,"&lt;="&amp;B261,图纸产出设计!$C$334:$C$342))</f>
        <v>3890</v>
      </c>
      <c r="H261" s="80" t="e">
        <f ca="1">OFFSET(产销汇总!$C$1,MATCH(H$28,产销汇总!$C$2:$C$8,0),$C$27)*(_xlfn.XLOOKUP(C261,主线推图!$B$313:$B$612,主线推图!$G$313:$G$612)+_xlfn.XLOOKUP(C261,主线推图!$B$313:$B$612,主线推图!$H$313:$H$612))</f>
        <v>#N/A</v>
      </c>
      <c r="I261" s="80" t="e">
        <f ca="1">OFFSET(产销汇总!$C$1,MATCH(I$28,产销汇总!$C$2:$C$8,0),$C$27)*_xlfn.XLOOKUP(C261,巡逻产出!$B$311:$B$610,巡逻产出!$H$311:$H$610)</f>
        <v>#N/A</v>
      </c>
      <c r="J261" s="80" t="e">
        <f ca="1">OFFSET(产销汇总!$C$1,MATCH(J$28,产销汇总!$C$2:$C$8,0),$C$27)*(_xlfn.XLOOKUP(MAX(1,INT(C261/10-6/10)),组队产出!$B$24:$B$39,组队产出!$J$24:$J$39)+_xlfn.XLOOKUP(MAX(1,INT(C261/10-6/10)),组队产出!$B$24:$B$39,组队产出!$K$24:$K$39))</f>
        <v>#N/A</v>
      </c>
      <c r="K261" s="80" t="e">
        <f ca="1">OFFSET(产销汇总!$C$1,MATCH(K$28,产销汇总!$C$2:$C$8,0),$C$27)*_xlfn.XLOOKUP(C261,巡逻产出!$B$311:$B$610,巡逻产出!$I$311:$I$610)*IF($C$27=1,0.5,1)</f>
        <v>#N/A</v>
      </c>
      <c r="L261" s="80">
        <f ca="1">OFFSET(产销汇总!$C$1,MATCH(L$28,产销汇总!$C$2:$C$8,0),$C$27)*竞技场!$C$5</f>
        <v>180</v>
      </c>
      <c r="M261" s="80">
        <f>任务!$C$6+IF(MOD(B261,7)=0,任务!$M$25)</f>
        <v>30</v>
      </c>
      <c r="N261" s="98">
        <f t="shared" si="24"/>
        <v>1.7</v>
      </c>
      <c r="O261" s="80">
        <f t="shared" si="25"/>
        <v>10</v>
      </c>
      <c r="P261" s="172">
        <f ca="1">OFFSET(产销汇总!$C$1,MATCH(P$27,产销汇总!$C$2:$C$8,0),$C$27)/200*协力宝箱!$Q$82</f>
        <v>0</v>
      </c>
      <c r="Q261" s="80">
        <f t="shared" si="26"/>
        <v>10</v>
      </c>
      <c r="R261" s="80">
        <v>10</v>
      </c>
      <c r="S261" s="172">
        <f t="shared" si="28"/>
        <v>100</v>
      </c>
      <c r="T261" s="172">
        <f>(公会!$F$12+公会!$F$13+公会!$F$14+公会!$F$18/7)/2</f>
        <v>121.428571428571</v>
      </c>
      <c r="U261" s="172">
        <f t="shared" si="27"/>
        <v>150</v>
      </c>
      <c r="V261" s="172" t="e">
        <f ca="1">SUM($H$29:U261)+SUM(D261:G261)</f>
        <v>#N/A</v>
      </c>
      <c r="W261" s="132" t="e">
        <f ca="1" t="shared" si="29"/>
        <v>#N/A</v>
      </c>
    </row>
    <row r="262" spans="1:23">
      <c r="A262" s="171"/>
      <c r="B262" s="80">
        <v>234</v>
      </c>
      <c r="C262" s="80">
        <f ca="1">OFFSET(产销汇总!$C$12,$B262,$C$27)</f>
        <v>240</v>
      </c>
      <c r="D262" s="80">
        <f ca="1">SUMIF(主线宝箱!$B$321:$B$620,"&lt;="&amp;C262,主线宝箱!$H$321:$H$620)+SUMIF(主线宝箱!$B$321:$B$620,"&lt;="&amp;C262,主线宝箱!$T$321:$T$620)</f>
        <v>9600</v>
      </c>
      <c r="E262" s="80">
        <v>110</v>
      </c>
      <c r="F262" s="80">
        <f t="shared" si="30"/>
        <v>450</v>
      </c>
      <c r="G262" s="80">
        <f ca="1">IF(AND($C$27&lt;3,B262&gt;3),G261,SUMIF(图纸产出设计!$F$334:$F$342,"&lt;="&amp;B262,图纸产出设计!$C$334:$C$342))</f>
        <v>3890</v>
      </c>
      <c r="H262" s="80">
        <f ca="1">OFFSET(产销汇总!$C$1,MATCH(H$28,产销汇总!$C$2:$C$8,0),$C$27)*(_xlfn.XLOOKUP(C262,主线推图!$B$313:$B$612,主线推图!$G$313:$G$612)+_xlfn.XLOOKUP(C262,主线推图!$B$313:$B$612,主线推图!$H$313:$H$612))</f>
        <v>176</v>
      </c>
      <c r="I262" s="80">
        <f ca="1">OFFSET(产销汇总!$C$1,MATCH(I$28,产销汇总!$C$2:$C$8,0),$C$27)*_xlfn.XLOOKUP(C262,巡逻产出!$B$311:$B$610,巡逻产出!$H$311:$H$610)</f>
        <v>0</v>
      </c>
      <c r="J262" s="80" t="e">
        <f ca="1">OFFSET(产销汇总!$C$1,MATCH(J$28,产销汇总!$C$2:$C$8,0),$C$27)*(_xlfn.XLOOKUP(MAX(1,INT(C262/10-6/10)),组队产出!$B$24:$B$39,组队产出!$J$24:$J$39)+_xlfn.XLOOKUP(MAX(1,INT(C262/10-6/10)),组队产出!$B$24:$B$39,组队产出!$K$24:$K$39))</f>
        <v>#N/A</v>
      </c>
      <c r="K262" s="80">
        <f ca="1">OFFSET(产销汇总!$C$1,MATCH(K$28,产销汇总!$C$2:$C$8,0),$C$27)*_xlfn.XLOOKUP(C262,巡逻产出!$B$311:$B$610,巡逻产出!$I$311:$I$610)*IF($C$27=1,0.5,1)</f>
        <v>312</v>
      </c>
      <c r="L262" s="80">
        <f ca="1">OFFSET(产销汇总!$C$1,MATCH(L$28,产销汇总!$C$2:$C$8,0),$C$27)*竞技场!$C$5</f>
        <v>180</v>
      </c>
      <c r="M262" s="80">
        <f>任务!$C$6+IF(MOD(B262,7)=0,任务!$M$25)</f>
        <v>30</v>
      </c>
      <c r="N262" s="98">
        <f t="shared" si="24"/>
        <v>1.7</v>
      </c>
      <c r="O262" s="80">
        <f t="shared" si="25"/>
        <v>0</v>
      </c>
      <c r="P262" s="172">
        <f ca="1">OFFSET(产销汇总!$C$1,MATCH(P$27,产销汇总!$C$2:$C$8,0),$C$27)/200*协力宝箱!$Q$82</f>
        <v>0</v>
      </c>
      <c r="Q262" s="80">
        <f t="shared" si="26"/>
        <v>10</v>
      </c>
      <c r="R262" s="80">
        <v>10</v>
      </c>
      <c r="S262" s="172">
        <f t="shared" si="28"/>
        <v>100</v>
      </c>
      <c r="T262" s="172">
        <f>(公会!$F$12+公会!$F$13+公会!$F$14+公会!$F$18/7)/2</f>
        <v>121.428571428571</v>
      </c>
      <c r="U262" s="172">
        <f t="shared" si="27"/>
        <v>150</v>
      </c>
      <c r="V262" s="172" t="e">
        <f ca="1">SUM($H$29:U262)+SUM(D262:G262)</f>
        <v>#N/A</v>
      </c>
      <c r="W262" s="132" t="e">
        <f ca="1" t="shared" si="29"/>
        <v>#N/A</v>
      </c>
    </row>
    <row r="263" spans="1:23">
      <c r="A263" s="171"/>
      <c r="B263" s="80">
        <v>235</v>
      </c>
      <c r="C263" s="80">
        <f ca="1">OFFSET(产销汇总!$C$12,$B263,$C$27)</f>
        <v>240.5</v>
      </c>
      <c r="D263" s="80">
        <f ca="1">SUMIF(主线宝箱!$B$321:$B$620,"&lt;="&amp;C263,主线宝箱!$H$321:$H$620)+SUMIF(主线宝箱!$B$321:$B$620,"&lt;="&amp;C263,主线宝箱!$T$321:$T$620)</f>
        <v>9600</v>
      </c>
      <c r="E263" s="80">
        <v>110</v>
      </c>
      <c r="F263" s="80">
        <f t="shared" si="30"/>
        <v>450</v>
      </c>
      <c r="G263" s="80">
        <f ca="1">IF(AND($C$27&lt;3,B263&gt;3),G262,SUMIF(图纸产出设计!$F$334:$F$342,"&lt;="&amp;B263,图纸产出设计!$C$334:$C$342))</f>
        <v>3890</v>
      </c>
      <c r="H263" s="80" t="e">
        <f ca="1">OFFSET(产销汇总!$C$1,MATCH(H$28,产销汇总!$C$2:$C$8,0),$C$27)*(_xlfn.XLOOKUP(C263,主线推图!$B$313:$B$612,主线推图!$G$313:$G$612)+_xlfn.XLOOKUP(C263,主线推图!$B$313:$B$612,主线推图!$H$313:$H$612))</f>
        <v>#N/A</v>
      </c>
      <c r="I263" s="80" t="e">
        <f ca="1">OFFSET(产销汇总!$C$1,MATCH(I$28,产销汇总!$C$2:$C$8,0),$C$27)*_xlfn.XLOOKUP(C263,巡逻产出!$B$311:$B$610,巡逻产出!$H$311:$H$610)</f>
        <v>#N/A</v>
      </c>
      <c r="J263" s="80" t="e">
        <f ca="1">OFFSET(产销汇总!$C$1,MATCH(J$28,产销汇总!$C$2:$C$8,0),$C$27)*(_xlfn.XLOOKUP(MAX(1,INT(C263/10-6/10)),组队产出!$B$24:$B$39,组队产出!$J$24:$J$39)+_xlfn.XLOOKUP(MAX(1,INT(C263/10-6/10)),组队产出!$B$24:$B$39,组队产出!$K$24:$K$39))</f>
        <v>#N/A</v>
      </c>
      <c r="K263" s="80" t="e">
        <f ca="1">OFFSET(产销汇总!$C$1,MATCH(K$28,产销汇总!$C$2:$C$8,0),$C$27)*_xlfn.XLOOKUP(C263,巡逻产出!$B$311:$B$610,巡逻产出!$I$311:$I$610)*IF($C$27=1,0.5,1)</f>
        <v>#N/A</v>
      </c>
      <c r="L263" s="80">
        <f ca="1">OFFSET(产销汇总!$C$1,MATCH(L$28,产销汇总!$C$2:$C$8,0),$C$27)*竞技场!$C$5</f>
        <v>180</v>
      </c>
      <c r="M263" s="80">
        <f>任务!$C$6+IF(MOD(B263,7)=0,任务!$M$25)</f>
        <v>30</v>
      </c>
      <c r="N263" s="98">
        <f t="shared" si="24"/>
        <v>1.7</v>
      </c>
      <c r="O263" s="80">
        <f t="shared" si="25"/>
        <v>0</v>
      </c>
      <c r="P263" s="172">
        <f ca="1">OFFSET(产销汇总!$C$1,MATCH(P$27,产销汇总!$C$2:$C$8,0),$C$27)/200*协力宝箱!$Q$82</f>
        <v>0</v>
      </c>
      <c r="Q263" s="80">
        <f t="shared" si="26"/>
        <v>10</v>
      </c>
      <c r="R263" s="80">
        <v>10</v>
      </c>
      <c r="S263" s="172">
        <f t="shared" si="28"/>
        <v>100</v>
      </c>
      <c r="T263" s="172">
        <f>(公会!$F$12+公会!$F$13+公会!$F$14+公会!$F$18/7)/2</f>
        <v>121.428571428571</v>
      </c>
      <c r="U263" s="172">
        <f t="shared" si="27"/>
        <v>150</v>
      </c>
      <c r="V263" s="172" t="e">
        <f ca="1">SUM($H$29:U263)+SUM(D263:G263)</f>
        <v>#N/A</v>
      </c>
      <c r="W263" s="132" t="e">
        <f ca="1" t="shared" si="29"/>
        <v>#N/A</v>
      </c>
    </row>
    <row r="264" spans="1:23">
      <c r="A264" s="171"/>
      <c r="B264" s="80">
        <v>236</v>
      </c>
      <c r="C264" s="80">
        <f ca="1">OFFSET(产销汇总!$C$12,$B264,$C$27)</f>
        <v>241</v>
      </c>
      <c r="D264" s="80">
        <f ca="1">SUMIF(主线宝箱!$B$321:$B$620,"&lt;="&amp;C264,主线宝箱!$H$321:$H$620)+SUMIF(主线宝箱!$B$321:$B$620,"&lt;="&amp;C264,主线宝箱!$T$321:$T$620)</f>
        <v>9640</v>
      </c>
      <c r="E264" s="80">
        <v>110</v>
      </c>
      <c r="F264" s="80">
        <f t="shared" si="30"/>
        <v>450</v>
      </c>
      <c r="G264" s="80">
        <f ca="1">IF(AND($C$27&lt;3,B264&gt;3),G263,SUMIF(图纸产出设计!$F$334:$F$342,"&lt;="&amp;B264,图纸产出设计!$C$334:$C$342))</f>
        <v>3890</v>
      </c>
      <c r="H264" s="80">
        <f ca="1">OFFSET(产销汇总!$C$1,MATCH(H$28,产销汇总!$C$2:$C$8,0),$C$27)*(_xlfn.XLOOKUP(C264,主线推图!$B$313:$B$612,主线推图!$G$313:$G$612)+_xlfn.XLOOKUP(C264,主线推图!$B$313:$B$612,主线推图!$H$313:$H$612))</f>
        <v>176</v>
      </c>
      <c r="I264" s="80">
        <f ca="1">OFFSET(产销汇总!$C$1,MATCH(I$28,产销汇总!$C$2:$C$8,0),$C$27)*_xlfn.XLOOKUP(C264,巡逻产出!$B$311:$B$610,巡逻产出!$H$311:$H$610)</f>
        <v>0</v>
      </c>
      <c r="J264" s="80" t="e">
        <f ca="1">OFFSET(产销汇总!$C$1,MATCH(J$28,产销汇总!$C$2:$C$8,0),$C$27)*(_xlfn.XLOOKUP(MAX(1,INT(C264/10-6/10)),组队产出!$B$24:$B$39,组队产出!$J$24:$J$39)+_xlfn.XLOOKUP(MAX(1,INT(C264/10-6/10)),组队产出!$B$24:$B$39,组队产出!$K$24:$K$39))</f>
        <v>#N/A</v>
      </c>
      <c r="K264" s="80">
        <f ca="1">OFFSET(产销汇总!$C$1,MATCH(K$28,产销汇总!$C$2:$C$8,0),$C$27)*_xlfn.XLOOKUP(C264,巡逻产出!$B$311:$B$610,巡逻产出!$I$311:$I$610)*IF($C$27=1,0.5,1)</f>
        <v>312</v>
      </c>
      <c r="L264" s="80">
        <f ca="1">OFFSET(产销汇总!$C$1,MATCH(L$28,产销汇总!$C$2:$C$8,0),$C$27)*竞技场!$C$5</f>
        <v>180</v>
      </c>
      <c r="M264" s="80">
        <f>任务!$C$6+IF(MOD(B264,7)=0,任务!$M$25)</f>
        <v>30</v>
      </c>
      <c r="N264" s="98">
        <f t="shared" si="24"/>
        <v>1.7</v>
      </c>
      <c r="O264" s="80">
        <f t="shared" si="25"/>
        <v>10</v>
      </c>
      <c r="P264" s="172">
        <f ca="1">OFFSET(产销汇总!$C$1,MATCH(P$27,产销汇总!$C$2:$C$8,0),$C$27)/200*协力宝箱!$Q$82</f>
        <v>0</v>
      </c>
      <c r="Q264" s="80">
        <f t="shared" si="26"/>
        <v>10</v>
      </c>
      <c r="R264" s="80">
        <v>10</v>
      </c>
      <c r="S264" s="172">
        <f t="shared" si="28"/>
        <v>100</v>
      </c>
      <c r="T264" s="172">
        <f>(公会!$F$12+公会!$F$13+公会!$F$14+公会!$F$18/7)/2</f>
        <v>121.428571428571</v>
      </c>
      <c r="U264" s="172">
        <f t="shared" si="27"/>
        <v>150</v>
      </c>
      <c r="V264" s="172" t="e">
        <f ca="1">SUM($H$29:U264)+SUM(D264:G264)</f>
        <v>#N/A</v>
      </c>
      <c r="W264" s="132" t="e">
        <f ca="1" t="shared" si="29"/>
        <v>#N/A</v>
      </c>
    </row>
    <row r="265" spans="1:23">
      <c r="A265" s="171"/>
      <c r="B265" s="80">
        <v>237</v>
      </c>
      <c r="C265" s="80">
        <f ca="1">OFFSET(产销汇总!$C$12,$B265,$C$27)</f>
        <v>241.5</v>
      </c>
      <c r="D265" s="80">
        <f ca="1">SUMIF(主线宝箱!$B$321:$B$620,"&lt;="&amp;C265,主线宝箱!$H$321:$H$620)+SUMIF(主线宝箱!$B$321:$B$620,"&lt;="&amp;C265,主线宝箱!$T$321:$T$620)</f>
        <v>9640</v>
      </c>
      <c r="E265" s="80">
        <v>110</v>
      </c>
      <c r="F265" s="80">
        <f t="shared" si="30"/>
        <v>450</v>
      </c>
      <c r="G265" s="80">
        <f ca="1">IF(AND($C$27&lt;3,B265&gt;3),G264,SUMIF(图纸产出设计!$F$334:$F$342,"&lt;="&amp;B265,图纸产出设计!$C$334:$C$342))</f>
        <v>3890</v>
      </c>
      <c r="H265" s="80" t="e">
        <f ca="1">OFFSET(产销汇总!$C$1,MATCH(H$28,产销汇总!$C$2:$C$8,0),$C$27)*(_xlfn.XLOOKUP(C265,主线推图!$B$313:$B$612,主线推图!$G$313:$G$612)+_xlfn.XLOOKUP(C265,主线推图!$B$313:$B$612,主线推图!$H$313:$H$612))</f>
        <v>#N/A</v>
      </c>
      <c r="I265" s="80" t="e">
        <f ca="1">OFFSET(产销汇总!$C$1,MATCH(I$28,产销汇总!$C$2:$C$8,0),$C$27)*_xlfn.XLOOKUP(C265,巡逻产出!$B$311:$B$610,巡逻产出!$H$311:$H$610)</f>
        <v>#N/A</v>
      </c>
      <c r="J265" s="80" t="e">
        <f ca="1">OFFSET(产销汇总!$C$1,MATCH(J$28,产销汇总!$C$2:$C$8,0),$C$27)*(_xlfn.XLOOKUP(MAX(1,INT(C265/10-6/10)),组队产出!$B$24:$B$39,组队产出!$J$24:$J$39)+_xlfn.XLOOKUP(MAX(1,INT(C265/10-6/10)),组队产出!$B$24:$B$39,组队产出!$K$24:$K$39))</f>
        <v>#N/A</v>
      </c>
      <c r="K265" s="80" t="e">
        <f ca="1">OFFSET(产销汇总!$C$1,MATCH(K$28,产销汇总!$C$2:$C$8,0),$C$27)*_xlfn.XLOOKUP(C265,巡逻产出!$B$311:$B$610,巡逻产出!$I$311:$I$610)*IF($C$27=1,0.5,1)</f>
        <v>#N/A</v>
      </c>
      <c r="L265" s="80">
        <f ca="1">OFFSET(产销汇总!$C$1,MATCH(L$28,产销汇总!$C$2:$C$8,0),$C$27)*竞技场!$C$5</f>
        <v>180</v>
      </c>
      <c r="M265" s="80">
        <f>任务!$C$6+IF(MOD(B265,7)=0,任务!$M$25)</f>
        <v>30</v>
      </c>
      <c r="N265" s="98">
        <f t="shared" si="24"/>
        <v>1.7</v>
      </c>
      <c r="O265" s="80">
        <f t="shared" si="25"/>
        <v>0</v>
      </c>
      <c r="P265" s="172">
        <f ca="1">OFFSET(产销汇总!$C$1,MATCH(P$27,产销汇总!$C$2:$C$8,0),$C$27)/200*协力宝箱!$Q$82</f>
        <v>0</v>
      </c>
      <c r="Q265" s="80">
        <f t="shared" si="26"/>
        <v>10</v>
      </c>
      <c r="R265" s="80">
        <v>10</v>
      </c>
      <c r="S265" s="172">
        <f t="shared" si="28"/>
        <v>100</v>
      </c>
      <c r="T265" s="172">
        <f>(公会!$F$12+公会!$F$13+公会!$F$14+公会!$F$18/7)/2</f>
        <v>121.428571428571</v>
      </c>
      <c r="U265" s="172">
        <f t="shared" si="27"/>
        <v>150</v>
      </c>
      <c r="V265" s="172" t="e">
        <f ca="1">SUM($H$29:U265)+SUM(D265:G265)</f>
        <v>#N/A</v>
      </c>
      <c r="W265" s="132" t="e">
        <f ca="1" t="shared" si="29"/>
        <v>#N/A</v>
      </c>
    </row>
    <row r="266" spans="1:23">
      <c r="A266" s="171"/>
      <c r="B266" s="80">
        <v>238</v>
      </c>
      <c r="C266" s="80">
        <f ca="1">OFFSET(产销汇总!$C$12,$B266,$C$27)</f>
        <v>242</v>
      </c>
      <c r="D266" s="80">
        <f ca="1">SUMIF(主线宝箱!$B$321:$B$620,"&lt;="&amp;C266,主线宝箱!$H$321:$H$620)+SUMIF(主线宝箱!$B$321:$B$620,"&lt;="&amp;C266,主线宝箱!$T$321:$T$620)</f>
        <v>9680</v>
      </c>
      <c r="E266" s="80">
        <v>110</v>
      </c>
      <c r="F266" s="80">
        <f t="shared" si="30"/>
        <v>450</v>
      </c>
      <c r="G266" s="80">
        <f ca="1">IF(AND($C$27&lt;3,B266&gt;3),G265,SUMIF(图纸产出设计!$F$334:$F$342,"&lt;="&amp;B266,图纸产出设计!$C$334:$C$342))</f>
        <v>3890</v>
      </c>
      <c r="H266" s="80">
        <f ca="1">OFFSET(产销汇总!$C$1,MATCH(H$28,产销汇总!$C$2:$C$8,0),$C$27)*(_xlfn.XLOOKUP(C266,主线推图!$B$313:$B$612,主线推图!$G$313:$G$612)+_xlfn.XLOOKUP(C266,主线推图!$B$313:$B$612,主线推图!$H$313:$H$612))</f>
        <v>176</v>
      </c>
      <c r="I266" s="80">
        <f ca="1">OFFSET(产销汇总!$C$1,MATCH(I$28,产销汇总!$C$2:$C$8,0),$C$27)*_xlfn.XLOOKUP(C266,巡逻产出!$B$311:$B$610,巡逻产出!$H$311:$H$610)</f>
        <v>0</v>
      </c>
      <c r="J266" s="80" t="e">
        <f ca="1">OFFSET(产销汇总!$C$1,MATCH(J$28,产销汇总!$C$2:$C$8,0),$C$27)*(_xlfn.XLOOKUP(MAX(1,INT(C266/10-6/10)),组队产出!$B$24:$B$39,组队产出!$J$24:$J$39)+_xlfn.XLOOKUP(MAX(1,INT(C266/10-6/10)),组队产出!$B$24:$B$39,组队产出!$K$24:$K$39))</f>
        <v>#N/A</v>
      </c>
      <c r="K266" s="80">
        <f ca="1">OFFSET(产销汇总!$C$1,MATCH(K$28,产销汇总!$C$2:$C$8,0),$C$27)*_xlfn.XLOOKUP(C266,巡逻产出!$B$311:$B$610,巡逻产出!$I$311:$I$610)*IF($C$27=1,0.5,1)</f>
        <v>312</v>
      </c>
      <c r="L266" s="80">
        <f ca="1">OFFSET(产销汇总!$C$1,MATCH(L$28,产销汇总!$C$2:$C$8,0),$C$27)*竞技场!$C$5</f>
        <v>180</v>
      </c>
      <c r="M266" s="80">
        <f>任务!$C$6+IF(MOD(B266,7)=0,任务!$M$25)</f>
        <v>60</v>
      </c>
      <c r="N266" s="98">
        <f t="shared" si="24"/>
        <v>1.7</v>
      </c>
      <c r="O266" s="80">
        <f t="shared" si="25"/>
        <v>0</v>
      </c>
      <c r="P266" s="172">
        <f ca="1">OFFSET(产销汇总!$C$1,MATCH(P$27,产销汇总!$C$2:$C$8,0),$C$27)/200*协力宝箱!$Q$82</f>
        <v>0</v>
      </c>
      <c r="Q266" s="80">
        <f t="shared" si="26"/>
        <v>10</v>
      </c>
      <c r="R266" s="80">
        <v>10</v>
      </c>
      <c r="S266" s="172">
        <f t="shared" si="28"/>
        <v>100</v>
      </c>
      <c r="T266" s="172">
        <f>(公会!$F$12+公会!$F$13+公会!$F$14+公会!$F$18/7)/2</f>
        <v>121.428571428571</v>
      </c>
      <c r="U266" s="172">
        <f t="shared" si="27"/>
        <v>150</v>
      </c>
      <c r="V266" s="172" t="e">
        <f ca="1">SUM($H$29:U266)+SUM(D266:G266)</f>
        <v>#N/A</v>
      </c>
      <c r="W266" s="132" t="e">
        <f ca="1" t="shared" si="29"/>
        <v>#N/A</v>
      </c>
    </row>
    <row r="267" spans="1:23">
      <c r="A267" s="171"/>
      <c r="B267" s="80">
        <v>239</v>
      </c>
      <c r="C267" s="80">
        <f ca="1">OFFSET(产销汇总!$C$12,$B267,$C$27)</f>
        <v>242.5</v>
      </c>
      <c r="D267" s="80">
        <f ca="1">SUMIF(主线宝箱!$B$321:$B$620,"&lt;="&amp;C267,主线宝箱!$H$321:$H$620)+SUMIF(主线宝箱!$B$321:$B$620,"&lt;="&amp;C267,主线宝箱!$T$321:$T$620)</f>
        <v>9680</v>
      </c>
      <c r="E267" s="80">
        <v>110</v>
      </c>
      <c r="F267" s="80">
        <f t="shared" si="30"/>
        <v>450</v>
      </c>
      <c r="G267" s="80">
        <f ca="1">IF(AND($C$27&lt;3,B267&gt;3),G266,SUMIF(图纸产出设计!$F$334:$F$342,"&lt;="&amp;B267,图纸产出设计!$C$334:$C$342))</f>
        <v>3890</v>
      </c>
      <c r="H267" s="80" t="e">
        <f ca="1">OFFSET(产销汇总!$C$1,MATCH(H$28,产销汇总!$C$2:$C$8,0),$C$27)*(_xlfn.XLOOKUP(C267,主线推图!$B$313:$B$612,主线推图!$G$313:$G$612)+_xlfn.XLOOKUP(C267,主线推图!$B$313:$B$612,主线推图!$H$313:$H$612))</f>
        <v>#N/A</v>
      </c>
      <c r="I267" s="80" t="e">
        <f ca="1">OFFSET(产销汇总!$C$1,MATCH(I$28,产销汇总!$C$2:$C$8,0),$C$27)*_xlfn.XLOOKUP(C267,巡逻产出!$B$311:$B$610,巡逻产出!$H$311:$H$610)</f>
        <v>#N/A</v>
      </c>
      <c r="J267" s="80" t="e">
        <f ca="1">OFFSET(产销汇总!$C$1,MATCH(J$28,产销汇总!$C$2:$C$8,0),$C$27)*(_xlfn.XLOOKUP(MAX(1,INT(C267/10-6/10)),组队产出!$B$24:$B$39,组队产出!$J$24:$J$39)+_xlfn.XLOOKUP(MAX(1,INT(C267/10-6/10)),组队产出!$B$24:$B$39,组队产出!$K$24:$K$39))</f>
        <v>#N/A</v>
      </c>
      <c r="K267" s="80" t="e">
        <f ca="1">OFFSET(产销汇总!$C$1,MATCH(K$28,产销汇总!$C$2:$C$8,0),$C$27)*_xlfn.XLOOKUP(C267,巡逻产出!$B$311:$B$610,巡逻产出!$I$311:$I$610)*IF($C$27=1,0.5,1)</f>
        <v>#N/A</v>
      </c>
      <c r="L267" s="80">
        <f ca="1">OFFSET(产销汇总!$C$1,MATCH(L$28,产销汇总!$C$2:$C$8,0),$C$27)*竞技场!$C$5</f>
        <v>180</v>
      </c>
      <c r="M267" s="80">
        <f>任务!$C$6+IF(MOD(B267,7)=0,任务!$M$25)</f>
        <v>30</v>
      </c>
      <c r="N267" s="98">
        <f t="shared" si="24"/>
        <v>1.7</v>
      </c>
      <c r="O267" s="80">
        <f t="shared" si="25"/>
        <v>0</v>
      </c>
      <c r="P267" s="172">
        <f ca="1">OFFSET(产销汇总!$C$1,MATCH(P$27,产销汇总!$C$2:$C$8,0),$C$27)/200*协力宝箱!$Q$82</f>
        <v>0</v>
      </c>
      <c r="Q267" s="80">
        <f t="shared" si="26"/>
        <v>10</v>
      </c>
      <c r="R267" s="80">
        <v>10</v>
      </c>
      <c r="S267" s="172">
        <f t="shared" si="28"/>
        <v>100</v>
      </c>
      <c r="T267" s="172">
        <f>(公会!$F$12+公会!$F$13+公会!$F$14+公会!$F$18/7)/2</f>
        <v>121.428571428571</v>
      </c>
      <c r="U267" s="172">
        <f t="shared" si="27"/>
        <v>150</v>
      </c>
      <c r="V267" s="172" t="e">
        <f ca="1">SUM($H$29:U267)+SUM(D267:G267)</f>
        <v>#N/A</v>
      </c>
      <c r="W267" s="132" t="e">
        <f ca="1" t="shared" si="29"/>
        <v>#N/A</v>
      </c>
    </row>
    <row r="268" spans="1:23">
      <c r="A268" s="171"/>
      <c r="B268" s="80">
        <v>240</v>
      </c>
      <c r="C268" s="80">
        <f ca="1">OFFSET(产销汇总!$C$12,$B268,$C$27)</f>
        <v>243</v>
      </c>
      <c r="D268" s="80">
        <f ca="1">SUMIF(主线宝箱!$B$321:$B$620,"&lt;="&amp;C268,主线宝箱!$H$321:$H$620)+SUMIF(主线宝箱!$B$321:$B$620,"&lt;="&amp;C268,主线宝箱!$T$321:$T$620)</f>
        <v>9720</v>
      </c>
      <c r="E268" s="80">
        <v>110</v>
      </c>
      <c r="F268" s="80">
        <f t="shared" si="30"/>
        <v>450</v>
      </c>
      <c r="G268" s="80">
        <f ca="1">IF(AND($C$27&lt;3,B268&gt;3),G267,SUMIF(图纸产出设计!$F$334:$F$342,"&lt;="&amp;B268,图纸产出设计!$C$334:$C$342))</f>
        <v>3890</v>
      </c>
      <c r="H268" s="80">
        <f ca="1">OFFSET(产销汇总!$C$1,MATCH(H$28,产销汇总!$C$2:$C$8,0),$C$27)*(_xlfn.XLOOKUP(C268,主线推图!$B$313:$B$612,主线推图!$G$313:$G$612)+_xlfn.XLOOKUP(C268,主线推图!$B$313:$B$612,主线推图!$H$313:$H$612))</f>
        <v>176</v>
      </c>
      <c r="I268" s="80">
        <f ca="1">OFFSET(产销汇总!$C$1,MATCH(I$28,产销汇总!$C$2:$C$8,0),$C$27)*_xlfn.XLOOKUP(C268,巡逻产出!$B$311:$B$610,巡逻产出!$H$311:$H$610)</f>
        <v>0</v>
      </c>
      <c r="J268" s="80" t="e">
        <f ca="1">OFFSET(产销汇总!$C$1,MATCH(J$28,产销汇总!$C$2:$C$8,0),$C$27)*(_xlfn.XLOOKUP(MAX(1,INT(C268/10-6/10)),组队产出!$B$24:$B$39,组队产出!$J$24:$J$39)+_xlfn.XLOOKUP(MAX(1,INT(C268/10-6/10)),组队产出!$B$24:$B$39,组队产出!$K$24:$K$39))</f>
        <v>#N/A</v>
      </c>
      <c r="K268" s="80">
        <f ca="1">OFFSET(产销汇总!$C$1,MATCH(K$28,产销汇总!$C$2:$C$8,0),$C$27)*_xlfn.XLOOKUP(C268,巡逻产出!$B$311:$B$610,巡逻产出!$I$311:$I$610)*IF($C$27=1,0.5,1)</f>
        <v>312</v>
      </c>
      <c r="L268" s="80">
        <f ca="1">OFFSET(产销汇总!$C$1,MATCH(L$28,产销汇总!$C$2:$C$8,0),$C$27)*竞技场!$C$5</f>
        <v>180</v>
      </c>
      <c r="M268" s="80">
        <f>任务!$C$6+IF(MOD(B268,7)=0,任务!$M$25)</f>
        <v>30</v>
      </c>
      <c r="N268" s="98">
        <f t="shared" si="24"/>
        <v>1.7</v>
      </c>
      <c r="O268" s="80">
        <f t="shared" si="25"/>
        <v>10</v>
      </c>
      <c r="P268" s="172">
        <f ca="1">OFFSET(产销汇总!$C$1,MATCH(P$27,产销汇总!$C$2:$C$8,0),$C$27)/200*协力宝箱!$Q$82</f>
        <v>0</v>
      </c>
      <c r="Q268" s="80">
        <f t="shared" si="26"/>
        <v>10</v>
      </c>
      <c r="R268" s="80">
        <v>10</v>
      </c>
      <c r="S268" s="172">
        <f t="shared" si="28"/>
        <v>100</v>
      </c>
      <c r="T268" s="172">
        <f>(公会!$F$12+公会!$F$13+公会!$F$14+公会!$F$18/7)/2</f>
        <v>121.428571428571</v>
      </c>
      <c r="U268" s="172">
        <f t="shared" si="27"/>
        <v>150</v>
      </c>
      <c r="V268" s="172" t="e">
        <f ca="1">SUM($H$29:U268)+SUM(D268:G268)</f>
        <v>#N/A</v>
      </c>
      <c r="W268" s="132" t="e">
        <f ca="1" t="shared" si="29"/>
        <v>#N/A</v>
      </c>
    </row>
    <row r="269" spans="1:23">
      <c r="A269" s="171"/>
      <c r="B269" s="80">
        <v>241</v>
      </c>
      <c r="C269" s="80">
        <f ca="1">OFFSET(产销汇总!$C$12,$B269,$C$27)</f>
        <v>243.5</v>
      </c>
      <c r="D269" s="80">
        <f ca="1">SUMIF(主线宝箱!$B$321:$B$620,"&lt;="&amp;C269,主线宝箱!$H$321:$H$620)+SUMIF(主线宝箱!$B$321:$B$620,"&lt;="&amp;C269,主线宝箱!$T$321:$T$620)</f>
        <v>9720</v>
      </c>
      <c r="E269" s="80">
        <v>110</v>
      </c>
      <c r="F269" s="80">
        <f t="shared" si="30"/>
        <v>450</v>
      </c>
      <c r="G269" s="80">
        <f ca="1">IF(AND($C$27&lt;3,B269&gt;3),G268,SUMIF(图纸产出设计!$F$334:$F$342,"&lt;="&amp;B269,图纸产出设计!$C$334:$C$342))</f>
        <v>3890</v>
      </c>
      <c r="H269" s="80" t="e">
        <f ca="1">OFFSET(产销汇总!$C$1,MATCH(H$28,产销汇总!$C$2:$C$8,0),$C$27)*(_xlfn.XLOOKUP(C269,主线推图!$B$313:$B$612,主线推图!$G$313:$G$612)+_xlfn.XLOOKUP(C269,主线推图!$B$313:$B$612,主线推图!$H$313:$H$612))</f>
        <v>#N/A</v>
      </c>
      <c r="I269" s="80" t="e">
        <f ca="1">OFFSET(产销汇总!$C$1,MATCH(I$28,产销汇总!$C$2:$C$8,0),$C$27)*_xlfn.XLOOKUP(C269,巡逻产出!$B$311:$B$610,巡逻产出!$H$311:$H$610)</f>
        <v>#N/A</v>
      </c>
      <c r="J269" s="80" t="e">
        <f ca="1">OFFSET(产销汇总!$C$1,MATCH(J$28,产销汇总!$C$2:$C$8,0),$C$27)*(_xlfn.XLOOKUP(MAX(1,INT(C269/10-6/10)),组队产出!$B$24:$B$39,组队产出!$J$24:$J$39)+_xlfn.XLOOKUP(MAX(1,INT(C269/10-6/10)),组队产出!$B$24:$B$39,组队产出!$K$24:$K$39))</f>
        <v>#N/A</v>
      </c>
      <c r="K269" s="80" t="e">
        <f ca="1">OFFSET(产销汇总!$C$1,MATCH(K$28,产销汇总!$C$2:$C$8,0),$C$27)*_xlfn.XLOOKUP(C269,巡逻产出!$B$311:$B$610,巡逻产出!$I$311:$I$610)*IF($C$27=1,0.5,1)</f>
        <v>#N/A</v>
      </c>
      <c r="L269" s="80">
        <f ca="1">OFFSET(产销汇总!$C$1,MATCH(L$28,产销汇总!$C$2:$C$8,0),$C$27)*竞技场!$C$5</f>
        <v>180</v>
      </c>
      <c r="M269" s="80">
        <f>任务!$C$6+IF(MOD(B269,7)=0,任务!$M$25)</f>
        <v>30</v>
      </c>
      <c r="N269" s="98">
        <f t="shared" si="24"/>
        <v>1.7</v>
      </c>
      <c r="O269" s="80">
        <f t="shared" si="25"/>
        <v>0</v>
      </c>
      <c r="P269" s="172">
        <f ca="1">OFFSET(产销汇总!$C$1,MATCH(P$27,产销汇总!$C$2:$C$8,0),$C$27)/200*协力宝箱!$Q$82</f>
        <v>0</v>
      </c>
      <c r="Q269" s="80">
        <f t="shared" si="26"/>
        <v>10</v>
      </c>
      <c r="R269" s="80">
        <v>10</v>
      </c>
      <c r="S269" s="172">
        <f t="shared" si="28"/>
        <v>100</v>
      </c>
      <c r="T269" s="172">
        <f>(公会!$F$12+公会!$F$13+公会!$F$14+公会!$F$18/7)/2</f>
        <v>121.428571428571</v>
      </c>
      <c r="U269" s="172">
        <f t="shared" si="27"/>
        <v>150</v>
      </c>
      <c r="V269" s="172" t="e">
        <f ca="1">SUM($H$29:U269)+SUM(D269:G269)</f>
        <v>#N/A</v>
      </c>
      <c r="W269" s="132" t="e">
        <f ca="1" t="shared" si="29"/>
        <v>#N/A</v>
      </c>
    </row>
    <row r="270" spans="1:23">
      <c r="A270" s="171"/>
      <c r="B270" s="80">
        <v>242</v>
      </c>
      <c r="C270" s="80">
        <f ca="1">OFFSET(产销汇总!$C$12,$B270,$C$27)</f>
        <v>244</v>
      </c>
      <c r="D270" s="80">
        <f ca="1">SUMIF(主线宝箱!$B$321:$B$620,"&lt;="&amp;C270,主线宝箱!$H$321:$H$620)+SUMIF(主线宝箱!$B$321:$B$620,"&lt;="&amp;C270,主线宝箱!$T$321:$T$620)</f>
        <v>9760</v>
      </c>
      <c r="E270" s="80">
        <v>110</v>
      </c>
      <c r="F270" s="80">
        <f t="shared" si="30"/>
        <v>450</v>
      </c>
      <c r="G270" s="80">
        <f ca="1">IF(AND($C$27&lt;3,B270&gt;3),G269,SUMIF(图纸产出设计!$F$334:$F$342,"&lt;="&amp;B270,图纸产出设计!$C$334:$C$342))</f>
        <v>3890</v>
      </c>
      <c r="H270" s="80">
        <f ca="1">OFFSET(产销汇总!$C$1,MATCH(H$28,产销汇总!$C$2:$C$8,0),$C$27)*(_xlfn.XLOOKUP(C270,主线推图!$B$313:$B$612,主线推图!$G$313:$G$612)+_xlfn.XLOOKUP(C270,主线推图!$B$313:$B$612,主线推图!$H$313:$H$612))</f>
        <v>176</v>
      </c>
      <c r="I270" s="80">
        <f ca="1">OFFSET(产销汇总!$C$1,MATCH(I$28,产销汇总!$C$2:$C$8,0),$C$27)*_xlfn.XLOOKUP(C270,巡逻产出!$B$311:$B$610,巡逻产出!$H$311:$H$610)</f>
        <v>0</v>
      </c>
      <c r="J270" s="80" t="e">
        <f ca="1">OFFSET(产销汇总!$C$1,MATCH(J$28,产销汇总!$C$2:$C$8,0),$C$27)*(_xlfn.XLOOKUP(MAX(1,INT(C270/10-6/10)),组队产出!$B$24:$B$39,组队产出!$J$24:$J$39)+_xlfn.XLOOKUP(MAX(1,INT(C270/10-6/10)),组队产出!$B$24:$B$39,组队产出!$K$24:$K$39))</f>
        <v>#N/A</v>
      </c>
      <c r="K270" s="80">
        <f ca="1">OFFSET(产销汇总!$C$1,MATCH(K$28,产销汇总!$C$2:$C$8,0),$C$27)*_xlfn.XLOOKUP(C270,巡逻产出!$B$311:$B$610,巡逻产出!$I$311:$I$610)*IF($C$27=1,0.5,1)</f>
        <v>312</v>
      </c>
      <c r="L270" s="80">
        <f ca="1">OFFSET(产销汇总!$C$1,MATCH(L$28,产销汇总!$C$2:$C$8,0),$C$27)*竞技场!$C$5</f>
        <v>180</v>
      </c>
      <c r="M270" s="80">
        <f>任务!$C$6+IF(MOD(B270,7)=0,任务!$M$25)</f>
        <v>30</v>
      </c>
      <c r="N270" s="98">
        <f t="shared" si="24"/>
        <v>1.7</v>
      </c>
      <c r="O270" s="80">
        <f t="shared" si="25"/>
        <v>0</v>
      </c>
      <c r="P270" s="172">
        <f ca="1">OFFSET(产销汇总!$C$1,MATCH(P$27,产销汇总!$C$2:$C$8,0),$C$27)/200*协力宝箱!$Q$82</f>
        <v>0</v>
      </c>
      <c r="Q270" s="80">
        <f t="shared" si="26"/>
        <v>10</v>
      </c>
      <c r="R270" s="80">
        <v>10</v>
      </c>
      <c r="S270" s="172">
        <f t="shared" si="28"/>
        <v>100</v>
      </c>
      <c r="T270" s="172">
        <f>(公会!$F$12+公会!$F$13+公会!$F$14+公会!$F$18/7)/2</f>
        <v>121.428571428571</v>
      </c>
      <c r="U270" s="172">
        <f t="shared" si="27"/>
        <v>150</v>
      </c>
      <c r="V270" s="172" t="e">
        <f ca="1">SUM($H$29:U270)+SUM(D270:G270)</f>
        <v>#N/A</v>
      </c>
      <c r="W270" s="132" t="e">
        <f ca="1" t="shared" si="29"/>
        <v>#N/A</v>
      </c>
    </row>
    <row r="271" spans="1:23">
      <c r="A271" s="171"/>
      <c r="B271" s="80">
        <v>243</v>
      </c>
      <c r="C271" s="80">
        <f ca="1">OFFSET(产销汇总!$C$12,$B271,$C$27)</f>
        <v>244.5</v>
      </c>
      <c r="D271" s="80">
        <f ca="1">SUMIF(主线宝箱!$B$321:$B$620,"&lt;="&amp;C271,主线宝箱!$H$321:$H$620)+SUMIF(主线宝箱!$B$321:$B$620,"&lt;="&amp;C271,主线宝箱!$T$321:$T$620)</f>
        <v>9760</v>
      </c>
      <c r="E271" s="80">
        <v>110</v>
      </c>
      <c r="F271" s="80">
        <f t="shared" si="30"/>
        <v>450</v>
      </c>
      <c r="G271" s="80">
        <f ca="1">IF(AND($C$27&lt;3,B271&gt;3),G270,SUMIF(图纸产出设计!$F$334:$F$342,"&lt;="&amp;B271,图纸产出设计!$C$334:$C$342))</f>
        <v>3890</v>
      </c>
      <c r="H271" s="80" t="e">
        <f ca="1">OFFSET(产销汇总!$C$1,MATCH(H$28,产销汇总!$C$2:$C$8,0),$C$27)*(_xlfn.XLOOKUP(C271,主线推图!$B$313:$B$612,主线推图!$G$313:$G$612)+_xlfn.XLOOKUP(C271,主线推图!$B$313:$B$612,主线推图!$H$313:$H$612))</f>
        <v>#N/A</v>
      </c>
      <c r="I271" s="80" t="e">
        <f ca="1">OFFSET(产销汇总!$C$1,MATCH(I$28,产销汇总!$C$2:$C$8,0),$C$27)*_xlfn.XLOOKUP(C271,巡逻产出!$B$311:$B$610,巡逻产出!$H$311:$H$610)</f>
        <v>#N/A</v>
      </c>
      <c r="J271" s="80" t="e">
        <f ca="1">OFFSET(产销汇总!$C$1,MATCH(J$28,产销汇总!$C$2:$C$8,0),$C$27)*(_xlfn.XLOOKUP(MAX(1,INT(C271/10-6/10)),组队产出!$B$24:$B$39,组队产出!$J$24:$J$39)+_xlfn.XLOOKUP(MAX(1,INT(C271/10-6/10)),组队产出!$B$24:$B$39,组队产出!$K$24:$K$39))</f>
        <v>#N/A</v>
      </c>
      <c r="K271" s="80" t="e">
        <f ca="1">OFFSET(产销汇总!$C$1,MATCH(K$28,产销汇总!$C$2:$C$8,0),$C$27)*_xlfn.XLOOKUP(C271,巡逻产出!$B$311:$B$610,巡逻产出!$I$311:$I$610)*IF($C$27=1,0.5,1)</f>
        <v>#N/A</v>
      </c>
      <c r="L271" s="80">
        <f ca="1">OFFSET(产销汇总!$C$1,MATCH(L$28,产销汇总!$C$2:$C$8,0),$C$27)*竞技场!$C$5</f>
        <v>180</v>
      </c>
      <c r="M271" s="80">
        <f>任务!$C$6+IF(MOD(B271,7)=0,任务!$M$25)</f>
        <v>30</v>
      </c>
      <c r="N271" s="98">
        <f t="shared" si="24"/>
        <v>1.7</v>
      </c>
      <c r="O271" s="80">
        <f t="shared" si="25"/>
        <v>10</v>
      </c>
      <c r="P271" s="172">
        <f ca="1">OFFSET(产销汇总!$C$1,MATCH(P$27,产销汇总!$C$2:$C$8,0),$C$27)/200*协力宝箱!$Q$82</f>
        <v>0</v>
      </c>
      <c r="Q271" s="80">
        <f t="shared" si="26"/>
        <v>10</v>
      </c>
      <c r="R271" s="80">
        <v>10</v>
      </c>
      <c r="S271" s="172">
        <f t="shared" si="28"/>
        <v>100</v>
      </c>
      <c r="T271" s="172">
        <f>(公会!$F$12+公会!$F$13+公会!$F$14+公会!$F$18/7)/2</f>
        <v>121.428571428571</v>
      </c>
      <c r="U271" s="172">
        <f t="shared" si="27"/>
        <v>150</v>
      </c>
      <c r="V271" s="172" t="e">
        <f ca="1">SUM($H$29:U271)+SUM(D271:G271)</f>
        <v>#N/A</v>
      </c>
      <c r="W271" s="132" t="e">
        <f ca="1" t="shared" si="29"/>
        <v>#N/A</v>
      </c>
    </row>
    <row r="272" spans="1:23">
      <c r="A272" s="171"/>
      <c r="B272" s="80">
        <v>244</v>
      </c>
      <c r="C272" s="80">
        <f ca="1">OFFSET(产销汇总!$C$12,$B272,$C$27)</f>
        <v>245</v>
      </c>
      <c r="D272" s="80">
        <f ca="1">SUMIF(主线宝箱!$B$321:$B$620,"&lt;="&amp;C272,主线宝箱!$H$321:$H$620)+SUMIF(主线宝箱!$B$321:$B$620,"&lt;="&amp;C272,主线宝箱!$T$321:$T$620)</f>
        <v>9800</v>
      </c>
      <c r="E272" s="80">
        <v>110</v>
      </c>
      <c r="F272" s="80">
        <f t="shared" si="30"/>
        <v>450</v>
      </c>
      <c r="G272" s="80">
        <f ca="1">IF(AND($C$27&lt;3,B272&gt;3),G271,SUMIF(图纸产出设计!$F$334:$F$342,"&lt;="&amp;B272,图纸产出设计!$C$334:$C$342))</f>
        <v>3890</v>
      </c>
      <c r="H272" s="80">
        <f ca="1">OFFSET(产销汇总!$C$1,MATCH(H$28,产销汇总!$C$2:$C$8,0),$C$27)*(_xlfn.XLOOKUP(C272,主线推图!$B$313:$B$612,主线推图!$G$313:$G$612)+_xlfn.XLOOKUP(C272,主线推图!$B$313:$B$612,主线推图!$H$313:$H$612))</f>
        <v>176</v>
      </c>
      <c r="I272" s="80">
        <f ca="1">OFFSET(产销汇总!$C$1,MATCH(I$28,产销汇总!$C$2:$C$8,0),$C$27)*_xlfn.XLOOKUP(C272,巡逻产出!$B$311:$B$610,巡逻产出!$H$311:$H$610)</f>
        <v>0</v>
      </c>
      <c r="J272" s="80" t="e">
        <f ca="1">OFFSET(产销汇总!$C$1,MATCH(J$28,产销汇总!$C$2:$C$8,0),$C$27)*(_xlfn.XLOOKUP(MAX(1,INT(C272/10-6/10)),组队产出!$B$24:$B$39,组队产出!$J$24:$J$39)+_xlfn.XLOOKUP(MAX(1,INT(C272/10-6/10)),组队产出!$B$24:$B$39,组队产出!$K$24:$K$39))</f>
        <v>#N/A</v>
      </c>
      <c r="K272" s="80">
        <f ca="1">OFFSET(产销汇总!$C$1,MATCH(K$28,产销汇总!$C$2:$C$8,0),$C$27)*_xlfn.XLOOKUP(C272,巡逻产出!$B$311:$B$610,巡逻产出!$I$311:$I$610)*IF($C$27=1,0.5,1)</f>
        <v>312</v>
      </c>
      <c r="L272" s="80">
        <f ca="1">OFFSET(产销汇总!$C$1,MATCH(L$28,产销汇总!$C$2:$C$8,0),$C$27)*竞技场!$C$5</f>
        <v>180</v>
      </c>
      <c r="M272" s="80">
        <f>任务!$C$6+IF(MOD(B272,7)=0,任务!$M$25)</f>
        <v>30</v>
      </c>
      <c r="N272" s="98">
        <f t="shared" si="24"/>
        <v>1.7</v>
      </c>
      <c r="O272" s="80">
        <f t="shared" si="25"/>
        <v>0</v>
      </c>
      <c r="P272" s="172">
        <f ca="1">OFFSET(产销汇总!$C$1,MATCH(P$27,产销汇总!$C$2:$C$8,0),$C$27)/200*协力宝箱!$Q$82</f>
        <v>0</v>
      </c>
      <c r="Q272" s="80">
        <f t="shared" si="26"/>
        <v>10</v>
      </c>
      <c r="R272" s="80">
        <v>10</v>
      </c>
      <c r="S272" s="172">
        <f t="shared" si="28"/>
        <v>100</v>
      </c>
      <c r="T272" s="172">
        <f>(公会!$F$12+公会!$F$13+公会!$F$14+公会!$F$18/7)/2</f>
        <v>121.428571428571</v>
      </c>
      <c r="U272" s="172">
        <f t="shared" si="27"/>
        <v>150</v>
      </c>
      <c r="V272" s="172" t="e">
        <f ca="1">SUM($H$29:U272)+SUM(D272:G272)</f>
        <v>#N/A</v>
      </c>
      <c r="W272" s="132" t="e">
        <f ca="1" t="shared" si="29"/>
        <v>#N/A</v>
      </c>
    </row>
    <row r="273" spans="1:23">
      <c r="A273" s="171"/>
      <c r="B273" s="80">
        <v>245</v>
      </c>
      <c r="C273" s="80">
        <f ca="1">OFFSET(产销汇总!$C$12,$B273,$C$27)</f>
        <v>245.5</v>
      </c>
      <c r="D273" s="80">
        <f ca="1">SUMIF(主线宝箱!$B$321:$B$620,"&lt;="&amp;C273,主线宝箱!$H$321:$H$620)+SUMIF(主线宝箱!$B$321:$B$620,"&lt;="&amp;C273,主线宝箱!$T$321:$T$620)</f>
        <v>9800</v>
      </c>
      <c r="E273" s="80">
        <v>110</v>
      </c>
      <c r="F273" s="80">
        <f t="shared" si="30"/>
        <v>450</v>
      </c>
      <c r="G273" s="80">
        <f ca="1">IF(AND($C$27&lt;3,B273&gt;3),G272,SUMIF(图纸产出设计!$F$334:$F$342,"&lt;="&amp;B273,图纸产出设计!$C$334:$C$342))</f>
        <v>3890</v>
      </c>
      <c r="H273" s="80" t="e">
        <f ca="1">OFFSET(产销汇总!$C$1,MATCH(H$28,产销汇总!$C$2:$C$8,0),$C$27)*(_xlfn.XLOOKUP(C273,主线推图!$B$313:$B$612,主线推图!$G$313:$G$612)+_xlfn.XLOOKUP(C273,主线推图!$B$313:$B$612,主线推图!$H$313:$H$612))</f>
        <v>#N/A</v>
      </c>
      <c r="I273" s="80" t="e">
        <f ca="1">OFFSET(产销汇总!$C$1,MATCH(I$28,产销汇总!$C$2:$C$8,0),$C$27)*_xlfn.XLOOKUP(C273,巡逻产出!$B$311:$B$610,巡逻产出!$H$311:$H$610)</f>
        <v>#N/A</v>
      </c>
      <c r="J273" s="80" t="e">
        <f ca="1">OFFSET(产销汇总!$C$1,MATCH(J$28,产销汇总!$C$2:$C$8,0),$C$27)*(_xlfn.XLOOKUP(MAX(1,INT(C273/10-6/10)),组队产出!$B$24:$B$39,组队产出!$J$24:$J$39)+_xlfn.XLOOKUP(MAX(1,INT(C273/10-6/10)),组队产出!$B$24:$B$39,组队产出!$K$24:$K$39))</f>
        <v>#N/A</v>
      </c>
      <c r="K273" s="80" t="e">
        <f ca="1">OFFSET(产销汇总!$C$1,MATCH(K$28,产销汇总!$C$2:$C$8,0),$C$27)*_xlfn.XLOOKUP(C273,巡逻产出!$B$311:$B$610,巡逻产出!$I$311:$I$610)*IF($C$27=1,0.5,1)</f>
        <v>#N/A</v>
      </c>
      <c r="L273" s="80">
        <f ca="1">OFFSET(产销汇总!$C$1,MATCH(L$28,产销汇总!$C$2:$C$8,0),$C$27)*竞技场!$C$5</f>
        <v>180</v>
      </c>
      <c r="M273" s="80">
        <f>任务!$C$6+IF(MOD(B273,7)=0,任务!$M$25)</f>
        <v>60</v>
      </c>
      <c r="N273" s="98">
        <f t="shared" si="24"/>
        <v>1.7</v>
      </c>
      <c r="O273" s="80">
        <f t="shared" si="25"/>
        <v>0</v>
      </c>
      <c r="P273" s="172">
        <f ca="1">OFFSET(产销汇总!$C$1,MATCH(P$27,产销汇总!$C$2:$C$8,0),$C$27)/200*协力宝箱!$Q$82</f>
        <v>0</v>
      </c>
      <c r="Q273" s="80">
        <f t="shared" si="26"/>
        <v>10</v>
      </c>
      <c r="R273" s="80">
        <v>10</v>
      </c>
      <c r="S273" s="172">
        <f t="shared" si="28"/>
        <v>100</v>
      </c>
      <c r="T273" s="172">
        <f>(公会!$F$12+公会!$F$13+公会!$F$14+公会!$F$18/7)/2</f>
        <v>121.428571428571</v>
      </c>
      <c r="U273" s="172">
        <f t="shared" si="27"/>
        <v>150</v>
      </c>
      <c r="V273" s="172" t="e">
        <f ca="1">SUM($H$29:U273)+SUM(D273:G273)</f>
        <v>#N/A</v>
      </c>
      <c r="W273" s="132" t="e">
        <f ca="1" t="shared" si="29"/>
        <v>#N/A</v>
      </c>
    </row>
    <row r="274" spans="1:23">
      <c r="A274" s="171"/>
      <c r="B274" s="80">
        <v>246</v>
      </c>
      <c r="C274" s="80">
        <f ca="1">OFFSET(产销汇总!$C$12,$B274,$C$27)</f>
        <v>246</v>
      </c>
      <c r="D274" s="80">
        <f ca="1">SUMIF(主线宝箱!$B$321:$B$620,"&lt;="&amp;C274,主线宝箱!$H$321:$H$620)+SUMIF(主线宝箱!$B$321:$B$620,"&lt;="&amp;C274,主线宝箱!$T$321:$T$620)</f>
        <v>9840</v>
      </c>
      <c r="E274" s="80">
        <v>110</v>
      </c>
      <c r="F274" s="80">
        <f t="shared" si="30"/>
        <v>450</v>
      </c>
      <c r="G274" s="80">
        <f ca="1">IF(AND($C$27&lt;3,B274&gt;3),G273,SUMIF(图纸产出设计!$F$334:$F$342,"&lt;="&amp;B274,图纸产出设计!$C$334:$C$342))</f>
        <v>3890</v>
      </c>
      <c r="H274" s="80">
        <f ca="1">OFFSET(产销汇总!$C$1,MATCH(H$28,产销汇总!$C$2:$C$8,0),$C$27)*(_xlfn.XLOOKUP(C274,主线推图!$B$313:$B$612,主线推图!$G$313:$G$612)+_xlfn.XLOOKUP(C274,主线推图!$B$313:$B$612,主线推图!$H$313:$H$612))</f>
        <v>176</v>
      </c>
      <c r="I274" s="80">
        <f ca="1">OFFSET(产销汇总!$C$1,MATCH(I$28,产销汇总!$C$2:$C$8,0),$C$27)*_xlfn.XLOOKUP(C274,巡逻产出!$B$311:$B$610,巡逻产出!$H$311:$H$610)</f>
        <v>0</v>
      </c>
      <c r="J274" s="80" t="e">
        <f ca="1">OFFSET(产销汇总!$C$1,MATCH(J$28,产销汇总!$C$2:$C$8,0),$C$27)*(_xlfn.XLOOKUP(MAX(1,INT(C274/10-6/10)),组队产出!$B$24:$B$39,组队产出!$J$24:$J$39)+_xlfn.XLOOKUP(MAX(1,INT(C274/10-6/10)),组队产出!$B$24:$B$39,组队产出!$K$24:$K$39))</f>
        <v>#N/A</v>
      </c>
      <c r="K274" s="80">
        <f ca="1">OFFSET(产销汇总!$C$1,MATCH(K$28,产销汇总!$C$2:$C$8,0),$C$27)*_xlfn.XLOOKUP(C274,巡逻产出!$B$311:$B$610,巡逻产出!$I$311:$I$610)*IF($C$27=1,0.5,1)</f>
        <v>312</v>
      </c>
      <c r="L274" s="80">
        <f ca="1">OFFSET(产销汇总!$C$1,MATCH(L$28,产销汇总!$C$2:$C$8,0),$C$27)*竞技场!$C$5</f>
        <v>180</v>
      </c>
      <c r="M274" s="80">
        <f>任务!$C$6+IF(MOD(B274,7)=0,任务!$M$25)</f>
        <v>30</v>
      </c>
      <c r="N274" s="98">
        <f t="shared" si="24"/>
        <v>1.7</v>
      </c>
      <c r="O274" s="80">
        <f t="shared" si="25"/>
        <v>0</v>
      </c>
      <c r="P274" s="172">
        <f ca="1">OFFSET(产销汇总!$C$1,MATCH(P$27,产销汇总!$C$2:$C$8,0),$C$27)/200*协力宝箱!$Q$82</f>
        <v>0</v>
      </c>
      <c r="Q274" s="80">
        <f t="shared" si="26"/>
        <v>10</v>
      </c>
      <c r="R274" s="80">
        <v>10</v>
      </c>
      <c r="S274" s="172">
        <f t="shared" si="28"/>
        <v>100</v>
      </c>
      <c r="T274" s="172">
        <f>(公会!$F$12+公会!$F$13+公会!$F$14+公会!$F$18/7)/2</f>
        <v>121.428571428571</v>
      </c>
      <c r="U274" s="172">
        <f t="shared" si="27"/>
        <v>150</v>
      </c>
      <c r="V274" s="172" t="e">
        <f ca="1">SUM($H$29:U274)+SUM(D274:G274)</f>
        <v>#N/A</v>
      </c>
      <c r="W274" s="132" t="e">
        <f ca="1" t="shared" si="29"/>
        <v>#N/A</v>
      </c>
    </row>
    <row r="275" spans="1:23">
      <c r="A275" s="171"/>
      <c r="B275" s="80">
        <v>247</v>
      </c>
      <c r="C275" s="80">
        <f ca="1">OFFSET(产销汇总!$C$12,$B275,$C$27)</f>
        <v>246.5</v>
      </c>
      <c r="D275" s="80">
        <f ca="1">SUMIF(主线宝箱!$B$321:$B$620,"&lt;="&amp;C275,主线宝箱!$H$321:$H$620)+SUMIF(主线宝箱!$B$321:$B$620,"&lt;="&amp;C275,主线宝箱!$T$321:$T$620)</f>
        <v>9840</v>
      </c>
      <c r="E275" s="80">
        <v>110</v>
      </c>
      <c r="F275" s="80">
        <f t="shared" si="30"/>
        <v>450</v>
      </c>
      <c r="G275" s="80">
        <f ca="1">IF(AND($C$27&lt;3,B275&gt;3),G274,SUMIF(图纸产出设计!$F$334:$F$342,"&lt;="&amp;B275,图纸产出设计!$C$334:$C$342))</f>
        <v>3890</v>
      </c>
      <c r="H275" s="80" t="e">
        <f ca="1">OFFSET(产销汇总!$C$1,MATCH(H$28,产销汇总!$C$2:$C$8,0),$C$27)*(_xlfn.XLOOKUP(C275,主线推图!$B$313:$B$612,主线推图!$G$313:$G$612)+_xlfn.XLOOKUP(C275,主线推图!$B$313:$B$612,主线推图!$H$313:$H$612))</f>
        <v>#N/A</v>
      </c>
      <c r="I275" s="80" t="e">
        <f ca="1">OFFSET(产销汇总!$C$1,MATCH(I$28,产销汇总!$C$2:$C$8,0),$C$27)*_xlfn.XLOOKUP(C275,巡逻产出!$B$311:$B$610,巡逻产出!$H$311:$H$610)</f>
        <v>#N/A</v>
      </c>
      <c r="J275" s="80" t="e">
        <f ca="1">OFFSET(产销汇总!$C$1,MATCH(J$28,产销汇总!$C$2:$C$8,0),$C$27)*(_xlfn.XLOOKUP(MAX(1,INT(C275/10-6/10)),组队产出!$B$24:$B$39,组队产出!$J$24:$J$39)+_xlfn.XLOOKUP(MAX(1,INT(C275/10-6/10)),组队产出!$B$24:$B$39,组队产出!$K$24:$K$39))</f>
        <v>#N/A</v>
      </c>
      <c r="K275" s="80" t="e">
        <f ca="1">OFFSET(产销汇总!$C$1,MATCH(K$28,产销汇总!$C$2:$C$8,0),$C$27)*_xlfn.XLOOKUP(C275,巡逻产出!$B$311:$B$610,巡逻产出!$I$311:$I$610)*IF($C$27=1,0.5,1)</f>
        <v>#N/A</v>
      </c>
      <c r="L275" s="80">
        <f ca="1">OFFSET(产销汇总!$C$1,MATCH(L$28,产销汇总!$C$2:$C$8,0),$C$27)*竞技场!$C$5</f>
        <v>180</v>
      </c>
      <c r="M275" s="80">
        <f>任务!$C$6+IF(MOD(B275,7)=0,任务!$M$25)</f>
        <v>30</v>
      </c>
      <c r="N275" s="98">
        <f t="shared" si="24"/>
        <v>1.7</v>
      </c>
      <c r="O275" s="80">
        <f t="shared" si="25"/>
        <v>10</v>
      </c>
      <c r="P275" s="172">
        <f ca="1">OFFSET(产销汇总!$C$1,MATCH(P$27,产销汇总!$C$2:$C$8,0),$C$27)/200*协力宝箱!$Q$82</f>
        <v>0</v>
      </c>
      <c r="Q275" s="80">
        <f t="shared" si="26"/>
        <v>10</v>
      </c>
      <c r="R275" s="80">
        <v>10</v>
      </c>
      <c r="S275" s="172">
        <f t="shared" si="28"/>
        <v>100</v>
      </c>
      <c r="T275" s="172">
        <f>(公会!$F$12+公会!$F$13+公会!$F$14+公会!$F$18/7)/2</f>
        <v>121.428571428571</v>
      </c>
      <c r="U275" s="172">
        <f t="shared" si="27"/>
        <v>150</v>
      </c>
      <c r="V275" s="172" t="e">
        <f ca="1">SUM($H$29:U275)+SUM(D275:G275)</f>
        <v>#N/A</v>
      </c>
      <c r="W275" s="132" t="e">
        <f ca="1" t="shared" si="29"/>
        <v>#N/A</v>
      </c>
    </row>
    <row r="276" spans="1:23">
      <c r="A276" s="171"/>
      <c r="B276" s="80">
        <v>248</v>
      </c>
      <c r="C276" s="80">
        <f ca="1">OFFSET(产销汇总!$C$12,$B276,$C$27)</f>
        <v>247</v>
      </c>
      <c r="D276" s="80">
        <f ca="1">SUMIF(主线宝箱!$B$321:$B$620,"&lt;="&amp;C276,主线宝箱!$H$321:$H$620)+SUMIF(主线宝箱!$B$321:$B$620,"&lt;="&amp;C276,主线宝箱!$T$321:$T$620)</f>
        <v>9880</v>
      </c>
      <c r="E276" s="80">
        <v>110</v>
      </c>
      <c r="F276" s="80">
        <f t="shared" si="30"/>
        <v>450</v>
      </c>
      <c r="G276" s="80">
        <f ca="1">IF(AND($C$27&lt;3,B276&gt;3),G275,SUMIF(图纸产出设计!$F$334:$F$342,"&lt;="&amp;B276,图纸产出设计!$C$334:$C$342))</f>
        <v>3890</v>
      </c>
      <c r="H276" s="80">
        <f ca="1">OFFSET(产销汇总!$C$1,MATCH(H$28,产销汇总!$C$2:$C$8,0),$C$27)*(_xlfn.XLOOKUP(C276,主线推图!$B$313:$B$612,主线推图!$G$313:$G$612)+_xlfn.XLOOKUP(C276,主线推图!$B$313:$B$612,主线推图!$H$313:$H$612))</f>
        <v>176</v>
      </c>
      <c r="I276" s="80">
        <f ca="1">OFFSET(产销汇总!$C$1,MATCH(I$28,产销汇总!$C$2:$C$8,0),$C$27)*_xlfn.XLOOKUP(C276,巡逻产出!$B$311:$B$610,巡逻产出!$H$311:$H$610)</f>
        <v>0</v>
      </c>
      <c r="J276" s="80" t="e">
        <f ca="1">OFFSET(产销汇总!$C$1,MATCH(J$28,产销汇总!$C$2:$C$8,0),$C$27)*(_xlfn.XLOOKUP(MAX(1,INT(C276/10-6/10)),组队产出!$B$24:$B$39,组队产出!$J$24:$J$39)+_xlfn.XLOOKUP(MAX(1,INT(C276/10-6/10)),组队产出!$B$24:$B$39,组队产出!$K$24:$K$39))</f>
        <v>#N/A</v>
      </c>
      <c r="K276" s="80">
        <f ca="1">OFFSET(产销汇总!$C$1,MATCH(K$28,产销汇总!$C$2:$C$8,0),$C$27)*_xlfn.XLOOKUP(C276,巡逻产出!$B$311:$B$610,巡逻产出!$I$311:$I$610)*IF($C$27=1,0.5,1)</f>
        <v>312</v>
      </c>
      <c r="L276" s="80">
        <f ca="1">OFFSET(产销汇总!$C$1,MATCH(L$28,产销汇总!$C$2:$C$8,0),$C$27)*竞技场!$C$5</f>
        <v>180</v>
      </c>
      <c r="M276" s="80">
        <f>任务!$C$6+IF(MOD(B276,7)=0,任务!$M$25)</f>
        <v>30</v>
      </c>
      <c r="N276" s="98">
        <f t="shared" si="24"/>
        <v>1.7</v>
      </c>
      <c r="O276" s="80">
        <f t="shared" si="25"/>
        <v>0</v>
      </c>
      <c r="P276" s="172">
        <f ca="1">OFFSET(产销汇总!$C$1,MATCH(P$27,产销汇总!$C$2:$C$8,0),$C$27)/200*协力宝箱!$Q$82</f>
        <v>0</v>
      </c>
      <c r="Q276" s="80">
        <f t="shared" si="26"/>
        <v>10</v>
      </c>
      <c r="R276" s="80">
        <v>10</v>
      </c>
      <c r="S276" s="172">
        <f t="shared" si="28"/>
        <v>100</v>
      </c>
      <c r="T276" s="172">
        <f>(公会!$F$12+公会!$F$13+公会!$F$14+公会!$F$18/7)/2</f>
        <v>121.428571428571</v>
      </c>
      <c r="U276" s="172">
        <f t="shared" si="27"/>
        <v>150</v>
      </c>
      <c r="V276" s="172" t="e">
        <f ca="1">SUM($H$29:U276)+SUM(D276:G276)</f>
        <v>#N/A</v>
      </c>
      <c r="W276" s="132" t="e">
        <f ca="1" t="shared" si="29"/>
        <v>#N/A</v>
      </c>
    </row>
    <row r="277" spans="1:23">
      <c r="A277" s="171"/>
      <c r="B277" s="80">
        <v>249</v>
      </c>
      <c r="C277" s="80">
        <f ca="1">OFFSET(产销汇总!$C$12,$B277,$C$27)</f>
        <v>247.5</v>
      </c>
      <c r="D277" s="80">
        <f ca="1">SUMIF(主线宝箱!$B$321:$B$620,"&lt;="&amp;C277,主线宝箱!$H$321:$H$620)+SUMIF(主线宝箱!$B$321:$B$620,"&lt;="&amp;C277,主线宝箱!$T$321:$T$620)</f>
        <v>9880</v>
      </c>
      <c r="E277" s="80">
        <v>110</v>
      </c>
      <c r="F277" s="80">
        <f t="shared" si="30"/>
        <v>450</v>
      </c>
      <c r="G277" s="80">
        <f ca="1">IF(AND($C$27&lt;3,B277&gt;3),G276,SUMIF(图纸产出设计!$F$334:$F$342,"&lt;="&amp;B277,图纸产出设计!$C$334:$C$342))</f>
        <v>3890</v>
      </c>
      <c r="H277" s="80" t="e">
        <f ca="1">OFFSET(产销汇总!$C$1,MATCH(H$28,产销汇总!$C$2:$C$8,0),$C$27)*(_xlfn.XLOOKUP(C277,主线推图!$B$313:$B$612,主线推图!$G$313:$G$612)+_xlfn.XLOOKUP(C277,主线推图!$B$313:$B$612,主线推图!$H$313:$H$612))</f>
        <v>#N/A</v>
      </c>
      <c r="I277" s="80" t="e">
        <f ca="1">OFFSET(产销汇总!$C$1,MATCH(I$28,产销汇总!$C$2:$C$8,0),$C$27)*_xlfn.XLOOKUP(C277,巡逻产出!$B$311:$B$610,巡逻产出!$H$311:$H$610)</f>
        <v>#N/A</v>
      </c>
      <c r="J277" s="80" t="e">
        <f ca="1">OFFSET(产销汇总!$C$1,MATCH(J$28,产销汇总!$C$2:$C$8,0),$C$27)*(_xlfn.XLOOKUP(MAX(1,INT(C277/10-6/10)),组队产出!$B$24:$B$39,组队产出!$J$24:$J$39)+_xlfn.XLOOKUP(MAX(1,INT(C277/10-6/10)),组队产出!$B$24:$B$39,组队产出!$K$24:$K$39))</f>
        <v>#N/A</v>
      </c>
      <c r="K277" s="80" t="e">
        <f ca="1">OFFSET(产销汇总!$C$1,MATCH(K$28,产销汇总!$C$2:$C$8,0),$C$27)*_xlfn.XLOOKUP(C277,巡逻产出!$B$311:$B$610,巡逻产出!$I$311:$I$610)*IF($C$27=1,0.5,1)</f>
        <v>#N/A</v>
      </c>
      <c r="L277" s="80">
        <f ca="1">OFFSET(产销汇总!$C$1,MATCH(L$28,产销汇总!$C$2:$C$8,0),$C$27)*竞技场!$C$5</f>
        <v>180</v>
      </c>
      <c r="M277" s="80">
        <f>任务!$C$6+IF(MOD(B277,7)=0,任务!$M$25)</f>
        <v>30</v>
      </c>
      <c r="N277" s="98">
        <f t="shared" si="24"/>
        <v>1.7</v>
      </c>
      <c r="O277" s="80">
        <f t="shared" si="25"/>
        <v>0</v>
      </c>
      <c r="P277" s="172">
        <f ca="1">OFFSET(产销汇总!$C$1,MATCH(P$27,产销汇总!$C$2:$C$8,0),$C$27)/200*协力宝箱!$Q$82</f>
        <v>0</v>
      </c>
      <c r="Q277" s="80">
        <f t="shared" si="26"/>
        <v>10</v>
      </c>
      <c r="R277" s="80">
        <v>10</v>
      </c>
      <c r="S277" s="172">
        <f t="shared" si="28"/>
        <v>100</v>
      </c>
      <c r="T277" s="172">
        <f>(公会!$F$12+公会!$F$13+公会!$F$14+公会!$F$18/7)/2</f>
        <v>121.428571428571</v>
      </c>
      <c r="U277" s="172">
        <f t="shared" si="27"/>
        <v>150</v>
      </c>
      <c r="V277" s="172" t="e">
        <f ca="1">SUM($H$29:U277)+SUM(D277:G277)</f>
        <v>#N/A</v>
      </c>
      <c r="W277" s="132" t="e">
        <f ca="1" t="shared" si="29"/>
        <v>#N/A</v>
      </c>
    </row>
    <row r="278" spans="1:23">
      <c r="A278" s="171"/>
      <c r="B278" s="80">
        <v>250</v>
      </c>
      <c r="C278" s="80">
        <f ca="1">OFFSET(产销汇总!$C$12,$B278,$C$27)</f>
        <v>248</v>
      </c>
      <c r="D278" s="80">
        <f ca="1">SUMIF(主线宝箱!$B$321:$B$620,"&lt;="&amp;C278,主线宝箱!$H$321:$H$620)+SUMIF(主线宝箱!$B$321:$B$620,"&lt;="&amp;C278,主线宝箱!$T$321:$T$620)</f>
        <v>9920</v>
      </c>
      <c r="E278" s="80">
        <v>110</v>
      </c>
      <c r="F278" s="80">
        <f t="shared" si="30"/>
        <v>450</v>
      </c>
      <c r="G278" s="80">
        <f ca="1">IF(AND($C$27&lt;3,B278&gt;3),G277,SUMIF(图纸产出设计!$F$334:$F$342,"&lt;="&amp;B278,图纸产出设计!$C$334:$C$342))</f>
        <v>3890</v>
      </c>
      <c r="H278" s="80">
        <f ca="1">OFFSET(产销汇总!$C$1,MATCH(H$28,产销汇总!$C$2:$C$8,0),$C$27)*(_xlfn.XLOOKUP(C278,主线推图!$B$313:$B$612,主线推图!$G$313:$G$612)+_xlfn.XLOOKUP(C278,主线推图!$B$313:$B$612,主线推图!$H$313:$H$612))</f>
        <v>176</v>
      </c>
      <c r="I278" s="80">
        <f ca="1">OFFSET(产销汇总!$C$1,MATCH(I$28,产销汇总!$C$2:$C$8,0),$C$27)*_xlfn.XLOOKUP(C278,巡逻产出!$B$311:$B$610,巡逻产出!$H$311:$H$610)</f>
        <v>0</v>
      </c>
      <c r="J278" s="80" t="e">
        <f ca="1">OFFSET(产销汇总!$C$1,MATCH(J$28,产销汇总!$C$2:$C$8,0),$C$27)*(_xlfn.XLOOKUP(MAX(1,INT(C278/10-6/10)),组队产出!$B$24:$B$39,组队产出!$J$24:$J$39)+_xlfn.XLOOKUP(MAX(1,INT(C278/10-6/10)),组队产出!$B$24:$B$39,组队产出!$K$24:$K$39))</f>
        <v>#N/A</v>
      </c>
      <c r="K278" s="80">
        <f ca="1">OFFSET(产销汇总!$C$1,MATCH(K$28,产销汇总!$C$2:$C$8,0),$C$27)*_xlfn.XLOOKUP(C278,巡逻产出!$B$311:$B$610,巡逻产出!$I$311:$I$610)*IF($C$27=1,0.5,1)</f>
        <v>312</v>
      </c>
      <c r="L278" s="80">
        <f ca="1">OFFSET(产销汇总!$C$1,MATCH(L$28,产销汇总!$C$2:$C$8,0),$C$27)*竞技场!$C$5</f>
        <v>180</v>
      </c>
      <c r="M278" s="80">
        <f>任务!$C$6+IF(MOD(B278,7)=0,任务!$M$25)</f>
        <v>30</v>
      </c>
      <c r="N278" s="98">
        <f t="shared" si="24"/>
        <v>1.7</v>
      </c>
      <c r="O278" s="80">
        <f t="shared" si="25"/>
        <v>10</v>
      </c>
      <c r="P278" s="172">
        <f ca="1">OFFSET(产销汇总!$C$1,MATCH(P$27,产销汇总!$C$2:$C$8,0),$C$27)/200*协力宝箱!$Q$82</f>
        <v>0</v>
      </c>
      <c r="Q278" s="80">
        <f t="shared" si="26"/>
        <v>10</v>
      </c>
      <c r="R278" s="80">
        <v>10</v>
      </c>
      <c r="S278" s="172">
        <f t="shared" si="28"/>
        <v>100</v>
      </c>
      <c r="T278" s="172">
        <f>(公会!$F$12+公会!$F$13+公会!$F$14+公会!$F$18/7)/2</f>
        <v>121.428571428571</v>
      </c>
      <c r="U278" s="172">
        <f t="shared" si="27"/>
        <v>150</v>
      </c>
      <c r="V278" s="172" t="e">
        <f ca="1">SUM($H$29:U278)+SUM(D278:G278)</f>
        <v>#N/A</v>
      </c>
      <c r="W278" s="132" t="e">
        <f ca="1" t="shared" si="29"/>
        <v>#N/A</v>
      </c>
    </row>
    <row r="279" spans="1:23">
      <c r="A279" s="171"/>
      <c r="B279" s="80">
        <v>251</v>
      </c>
      <c r="C279" s="80">
        <f ca="1">OFFSET(产销汇总!$C$12,$B279,$C$27)</f>
        <v>248.5</v>
      </c>
      <c r="D279" s="80">
        <f ca="1">SUMIF(主线宝箱!$B$321:$B$620,"&lt;="&amp;C279,主线宝箱!$H$321:$H$620)+SUMIF(主线宝箱!$B$321:$B$620,"&lt;="&amp;C279,主线宝箱!$T$321:$T$620)</f>
        <v>9920</v>
      </c>
      <c r="E279" s="80">
        <v>110</v>
      </c>
      <c r="F279" s="80">
        <f t="shared" si="30"/>
        <v>450</v>
      </c>
      <c r="G279" s="80">
        <f ca="1">IF(AND($C$27&lt;3,B279&gt;3),G278,SUMIF(图纸产出设计!$F$334:$F$342,"&lt;="&amp;B279,图纸产出设计!$C$334:$C$342))</f>
        <v>3890</v>
      </c>
      <c r="H279" s="80" t="e">
        <f ca="1">OFFSET(产销汇总!$C$1,MATCH(H$28,产销汇总!$C$2:$C$8,0),$C$27)*(_xlfn.XLOOKUP(C279,主线推图!$B$313:$B$612,主线推图!$G$313:$G$612)+_xlfn.XLOOKUP(C279,主线推图!$B$313:$B$612,主线推图!$H$313:$H$612))</f>
        <v>#N/A</v>
      </c>
      <c r="I279" s="80" t="e">
        <f ca="1">OFFSET(产销汇总!$C$1,MATCH(I$28,产销汇总!$C$2:$C$8,0),$C$27)*_xlfn.XLOOKUP(C279,巡逻产出!$B$311:$B$610,巡逻产出!$H$311:$H$610)</f>
        <v>#N/A</v>
      </c>
      <c r="J279" s="80" t="e">
        <f ca="1">OFFSET(产销汇总!$C$1,MATCH(J$28,产销汇总!$C$2:$C$8,0),$C$27)*(_xlfn.XLOOKUP(MAX(1,INT(C279/10-6/10)),组队产出!$B$24:$B$39,组队产出!$J$24:$J$39)+_xlfn.XLOOKUP(MAX(1,INT(C279/10-6/10)),组队产出!$B$24:$B$39,组队产出!$K$24:$K$39))</f>
        <v>#N/A</v>
      </c>
      <c r="K279" s="80" t="e">
        <f ca="1">OFFSET(产销汇总!$C$1,MATCH(K$28,产销汇总!$C$2:$C$8,0),$C$27)*_xlfn.XLOOKUP(C279,巡逻产出!$B$311:$B$610,巡逻产出!$I$311:$I$610)*IF($C$27=1,0.5,1)</f>
        <v>#N/A</v>
      </c>
      <c r="L279" s="80">
        <f ca="1">OFFSET(产销汇总!$C$1,MATCH(L$28,产销汇总!$C$2:$C$8,0),$C$27)*竞技场!$C$5</f>
        <v>180</v>
      </c>
      <c r="M279" s="80">
        <f>任务!$C$6+IF(MOD(B279,7)=0,任务!$M$25)</f>
        <v>30</v>
      </c>
      <c r="N279" s="98">
        <f t="shared" si="24"/>
        <v>1.7</v>
      </c>
      <c r="O279" s="80">
        <f t="shared" si="25"/>
        <v>0</v>
      </c>
      <c r="P279" s="172">
        <f ca="1">OFFSET(产销汇总!$C$1,MATCH(P$27,产销汇总!$C$2:$C$8,0),$C$27)/200*协力宝箱!$Q$82</f>
        <v>0</v>
      </c>
      <c r="Q279" s="80">
        <f t="shared" si="26"/>
        <v>10</v>
      </c>
      <c r="R279" s="80">
        <v>10</v>
      </c>
      <c r="S279" s="172">
        <f t="shared" si="28"/>
        <v>100</v>
      </c>
      <c r="T279" s="172">
        <f>(公会!$F$12+公会!$F$13+公会!$F$14+公会!$F$18/7)/2</f>
        <v>121.428571428571</v>
      </c>
      <c r="U279" s="172">
        <f t="shared" si="27"/>
        <v>150</v>
      </c>
      <c r="V279" s="172" t="e">
        <f ca="1">SUM($H$29:U279)+SUM(D279:G279)</f>
        <v>#N/A</v>
      </c>
      <c r="W279" s="132" t="e">
        <f ca="1" t="shared" si="29"/>
        <v>#N/A</v>
      </c>
    </row>
    <row r="280" spans="1:23">
      <c r="A280" s="171"/>
      <c r="B280" s="80">
        <v>252</v>
      </c>
      <c r="C280" s="80">
        <f ca="1">OFFSET(产销汇总!$C$12,$B280,$C$27)</f>
        <v>249</v>
      </c>
      <c r="D280" s="80">
        <f ca="1">SUMIF(主线宝箱!$B$321:$B$620,"&lt;="&amp;C280,主线宝箱!$H$321:$H$620)+SUMIF(主线宝箱!$B$321:$B$620,"&lt;="&amp;C280,主线宝箱!$T$321:$T$620)</f>
        <v>9960</v>
      </c>
      <c r="E280" s="80">
        <v>110</v>
      </c>
      <c r="F280" s="80">
        <f t="shared" si="30"/>
        <v>450</v>
      </c>
      <c r="G280" s="80">
        <f ca="1">IF(AND($C$27&lt;3,B280&gt;3),G279,SUMIF(图纸产出设计!$F$334:$F$342,"&lt;="&amp;B280,图纸产出设计!$C$334:$C$342))</f>
        <v>3890</v>
      </c>
      <c r="H280" s="80">
        <f ca="1">OFFSET(产销汇总!$C$1,MATCH(H$28,产销汇总!$C$2:$C$8,0),$C$27)*(_xlfn.XLOOKUP(C280,主线推图!$B$313:$B$612,主线推图!$G$313:$G$612)+_xlfn.XLOOKUP(C280,主线推图!$B$313:$B$612,主线推图!$H$313:$H$612))</f>
        <v>176</v>
      </c>
      <c r="I280" s="80">
        <f ca="1">OFFSET(产销汇总!$C$1,MATCH(I$28,产销汇总!$C$2:$C$8,0),$C$27)*_xlfn.XLOOKUP(C280,巡逻产出!$B$311:$B$610,巡逻产出!$H$311:$H$610)</f>
        <v>0</v>
      </c>
      <c r="J280" s="80" t="e">
        <f ca="1">OFFSET(产销汇总!$C$1,MATCH(J$28,产销汇总!$C$2:$C$8,0),$C$27)*(_xlfn.XLOOKUP(MAX(1,INT(C280/10-6/10)),组队产出!$B$24:$B$39,组队产出!$J$24:$J$39)+_xlfn.XLOOKUP(MAX(1,INT(C280/10-6/10)),组队产出!$B$24:$B$39,组队产出!$K$24:$K$39))</f>
        <v>#N/A</v>
      </c>
      <c r="K280" s="80">
        <f ca="1">OFFSET(产销汇总!$C$1,MATCH(K$28,产销汇总!$C$2:$C$8,0),$C$27)*_xlfn.XLOOKUP(C280,巡逻产出!$B$311:$B$610,巡逻产出!$I$311:$I$610)*IF($C$27=1,0.5,1)</f>
        <v>312</v>
      </c>
      <c r="L280" s="80">
        <f ca="1">OFFSET(产销汇总!$C$1,MATCH(L$28,产销汇总!$C$2:$C$8,0),$C$27)*竞技场!$C$5</f>
        <v>180</v>
      </c>
      <c r="M280" s="80">
        <f>任务!$C$6+IF(MOD(B280,7)=0,任务!$M$25)</f>
        <v>60</v>
      </c>
      <c r="N280" s="98">
        <f t="shared" si="24"/>
        <v>1.7</v>
      </c>
      <c r="O280" s="80">
        <f t="shared" si="25"/>
        <v>0</v>
      </c>
      <c r="P280" s="172">
        <f ca="1">OFFSET(产销汇总!$C$1,MATCH(P$27,产销汇总!$C$2:$C$8,0),$C$27)/200*协力宝箱!$Q$82</f>
        <v>0</v>
      </c>
      <c r="Q280" s="80">
        <f t="shared" si="26"/>
        <v>10</v>
      </c>
      <c r="R280" s="80">
        <v>10</v>
      </c>
      <c r="S280" s="172">
        <f t="shared" si="28"/>
        <v>100</v>
      </c>
      <c r="T280" s="172">
        <f>(公会!$F$12+公会!$F$13+公会!$F$14+公会!$F$18/7)/2</f>
        <v>121.428571428571</v>
      </c>
      <c r="U280" s="172">
        <f t="shared" si="27"/>
        <v>150</v>
      </c>
      <c r="V280" s="172" t="e">
        <f ca="1">SUM($H$29:U280)+SUM(D280:G280)</f>
        <v>#N/A</v>
      </c>
      <c r="W280" s="132" t="e">
        <f ca="1" t="shared" si="29"/>
        <v>#N/A</v>
      </c>
    </row>
    <row r="281" spans="1:23">
      <c r="A281" s="171"/>
      <c r="B281" s="80">
        <v>253</v>
      </c>
      <c r="C281" s="80">
        <f ca="1">OFFSET(产销汇总!$C$12,$B281,$C$27)</f>
        <v>249.5</v>
      </c>
      <c r="D281" s="80">
        <f ca="1">SUMIF(主线宝箱!$B$321:$B$620,"&lt;="&amp;C281,主线宝箱!$H$321:$H$620)+SUMIF(主线宝箱!$B$321:$B$620,"&lt;="&amp;C281,主线宝箱!$T$321:$T$620)</f>
        <v>9960</v>
      </c>
      <c r="E281" s="80">
        <v>110</v>
      </c>
      <c r="F281" s="80">
        <f t="shared" si="30"/>
        <v>450</v>
      </c>
      <c r="G281" s="80">
        <f ca="1">IF(AND($C$27&lt;3,B281&gt;3),G280,SUMIF(图纸产出设计!$F$334:$F$342,"&lt;="&amp;B281,图纸产出设计!$C$334:$C$342))</f>
        <v>3890</v>
      </c>
      <c r="H281" s="80" t="e">
        <f ca="1">OFFSET(产销汇总!$C$1,MATCH(H$28,产销汇总!$C$2:$C$8,0),$C$27)*(_xlfn.XLOOKUP(C281,主线推图!$B$313:$B$612,主线推图!$G$313:$G$612)+_xlfn.XLOOKUP(C281,主线推图!$B$313:$B$612,主线推图!$H$313:$H$612))</f>
        <v>#N/A</v>
      </c>
      <c r="I281" s="80" t="e">
        <f ca="1">OFFSET(产销汇总!$C$1,MATCH(I$28,产销汇总!$C$2:$C$8,0),$C$27)*_xlfn.XLOOKUP(C281,巡逻产出!$B$311:$B$610,巡逻产出!$H$311:$H$610)</f>
        <v>#N/A</v>
      </c>
      <c r="J281" s="80" t="e">
        <f ca="1">OFFSET(产销汇总!$C$1,MATCH(J$28,产销汇总!$C$2:$C$8,0),$C$27)*(_xlfn.XLOOKUP(MAX(1,INT(C281/10-6/10)),组队产出!$B$24:$B$39,组队产出!$J$24:$J$39)+_xlfn.XLOOKUP(MAX(1,INT(C281/10-6/10)),组队产出!$B$24:$B$39,组队产出!$K$24:$K$39))</f>
        <v>#N/A</v>
      </c>
      <c r="K281" s="80" t="e">
        <f ca="1">OFFSET(产销汇总!$C$1,MATCH(K$28,产销汇总!$C$2:$C$8,0),$C$27)*_xlfn.XLOOKUP(C281,巡逻产出!$B$311:$B$610,巡逻产出!$I$311:$I$610)*IF($C$27=1,0.5,1)</f>
        <v>#N/A</v>
      </c>
      <c r="L281" s="80">
        <f ca="1">OFFSET(产销汇总!$C$1,MATCH(L$28,产销汇总!$C$2:$C$8,0),$C$27)*竞技场!$C$5</f>
        <v>180</v>
      </c>
      <c r="M281" s="80">
        <f>任务!$C$6+IF(MOD(B281,7)=0,任务!$M$25)</f>
        <v>30</v>
      </c>
      <c r="N281" s="98">
        <f t="shared" si="24"/>
        <v>1.7</v>
      </c>
      <c r="O281" s="80">
        <f t="shared" si="25"/>
        <v>0</v>
      </c>
      <c r="P281" s="172">
        <f ca="1">OFFSET(产销汇总!$C$1,MATCH(P$27,产销汇总!$C$2:$C$8,0),$C$27)/200*协力宝箱!$Q$82</f>
        <v>0</v>
      </c>
      <c r="Q281" s="80">
        <f t="shared" si="26"/>
        <v>10</v>
      </c>
      <c r="R281" s="80">
        <v>10</v>
      </c>
      <c r="S281" s="172">
        <f t="shared" si="28"/>
        <v>100</v>
      </c>
      <c r="T281" s="172">
        <f>(公会!$F$12+公会!$F$13+公会!$F$14+公会!$F$18/7)/2</f>
        <v>121.428571428571</v>
      </c>
      <c r="U281" s="172">
        <f t="shared" si="27"/>
        <v>150</v>
      </c>
      <c r="V281" s="172" t="e">
        <f ca="1">SUM($H$29:U281)+SUM(D281:G281)</f>
        <v>#N/A</v>
      </c>
      <c r="W281" s="132" t="e">
        <f ca="1" t="shared" si="29"/>
        <v>#N/A</v>
      </c>
    </row>
    <row r="282" spans="1:23">
      <c r="A282" s="171"/>
      <c r="B282" s="80">
        <v>254</v>
      </c>
      <c r="C282" s="80">
        <f ca="1">OFFSET(产销汇总!$C$12,$B282,$C$27)</f>
        <v>250</v>
      </c>
      <c r="D282" s="80">
        <f ca="1">SUMIF(主线宝箱!$B$321:$B$620,"&lt;="&amp;C282,主线宝箱!$H$321:$H$620)+SUMIF(主线宝箱!$B$321:$B$620,"&lt;="&amp;C282,主线宝箱!$T$321:$T$620)</f>
        <v>10000</v>
      </c>
      <c r="E282" s="80">
        <v>110</v>
      </c>
      <c r="F282" s="80">
        <f t="shared" si="30"/>
        <v>450</v>
      </c>
      <c r="G282" s="80">
        <f ca="1">IF(AND($C$27&lt;3,B282&gt;3),G281,SUMIF(图纸产出设计!$F$334:$F$342,"&lt;="&amp;B282,图纸产出设计!$C$334:$C$342))</f>
        <v>3890</v>
      </c>
      <c r="H282" s="80">
        <f ca="1">OFFSET(产销汇总!$C$1,MATCH(H$28,产销汇总!$C$2:$C$8,0),$C$27)*(_xlfn.XLOOKUP(C282,主线推图!$B$313:$B$612,主线推图!$G$313:$G$612)+_xlfn.XLOOKUP(C282,主线推图!$B$313:$B$612,主线推图!$H$313:$H$612))</f>
        <v>176</v>
      </c>
      <c r="I282" s="80">
        <f ca="1">OFFSET(产销汇总!$C$1,MATCH(I$28,产销汇总!$C$2:$C$8,0),$C$27)*_xlfn.XLOOKUP(C282,巡逻产出!$B$311:$B$610,巡逻产出!$H$311:$H$610)</f>
        <v>0</v>
      </c>
      <c r="J282" s="80" t="e">
        <f ca="1">OFFSET(产销汇总!$C$1,MATCH(J$28,产销汇总!$C$2:$C$8,0),$C$27)*(_xlfn.XLOOKUP(MAX(1,INT(C282/10-6/10)),组队产出!$B$24:$B$39,组队产出!$J$24:$J$39)+_xlfn.XLOOKUP(MAX(1,INT(C282/10-6/10)),组队产出!$B$24:$B$39,组队产出!$K$24:$K$39))</f>
        <v>#N/A</v>
      </c>
      <c r="K282" s="80">
        <f ca="1">OFFSET(产销汇总!$C$1,MATCH(K$28,产销汇总!$C$2:$C$8,0),$C$27)*_xlfn.XLOOKUP(C282,巡逻产出!$B$311:$B$610,巡逻产出!$I$311:$I$610)*IF($C$27=1,0.5,1)</f>
        <v>312</v>
      </c>
      <c r="L282" s="80">
        <f ca="1">OFFSET(产销汇总!$C$1,MATCH(L$28,产销汇总!$C$2:$C$8,0),$C$27)*竞技场!$C$5</f>
        <v>180</v>
      </c>
      <c r="M282" s="80">
        <f>任务!$C$6+IF(MOD(B282,7)=0,任务!$M$25)</f>
        <v>30</v>
      </c>
      <c r="N282" s="98">
        <f t="shared" si="24"/>
        <v>1.7</v>
      </c>
      <c r="O282" s="80">
        <f t="shared" si="25"/>
        <v>10</v>
      </c>
      <c r="P282" s="172">
        <f ca="1">OFFSET(产销汇总!$C$1,MATCH(P$27,产销汇总!$C$2:$C$8,0),$C$27)/200*协力宝箱!$Q$82</f>
        <v>0</v>
      </c>
      <c r="Q282" s="80">
        <f t="shared" si="26"/>
        <v>10</v>
      </c>
      <c r="R282" s="80">
        <v>10</v>
      </c>
      <c r="S282" s="172">
        <f t="shared" si="28"/>
        <v>100</v>
      </c>
      <c r="T282" s="172">
        <f>(公会!$F$12+公会!$F$13+公会!$F$14+公会!$F$18/7)/2</f>
        <v>121.428571428571</v>
      </c>
      <c r="U282" s="172">
        <f t="shared" si="27"/>
        <v>150</v>
      </c>
      <c r="V282" s="172" t="e">
        <f ca="1">SUM($H$29:U282)+SUM(D282:G282)</f>
        <v>#N/A</v>
      </c>
      <c r="W282" s="132" t="e">
        <f ca="1" t="shared" si="29"/>
        <v>#N/A</v>
      </c>
    </row>
    <row r="283" spans="1:23">
      <c r="A283" s="171"/>
      <c r="B283" s="80">
        <v>255</v>
      </c>
      <c r="C283" s="80">
        <f ca="1">OFFSET(产销汇总!$C$12,$B283,$C$27)</f>
        <v>250.5</v>
      </c>
      <c r="D283" s="80">
        <f ca="1">SUMIF(主线宝箱!$B$321:$B$620,"&lt;="&amp;C283,主线宝箱!$H$321:$H$620)+SUMIF(主线宝箱!$B$321:$B$620,"&lt;="&amp;C283,主线宝箱!$T$321:$T$620)</f>
        <v>10000</v>
      </c>
      <c r="E283" s="80">
        <v>110</v>
      </c>
      <c r="F283" s="80">
        <f t="shared" si="30"/>
        <v>450</v>
      </c>
      <c r="G283" s="80">
        <f ca="1">IF(AND($C$27&lt;3,B283&gt;3),G282,SUMIF(图纸产出设计!$F$334:$F$342,"&lt;="&amp;B283,图纸产出设计!$C$334:$C$342))</f>
        <v>3890</v>
      </c>
      <c r="H283" s="80" t="e">
        <f ca="1">OFFSET(产销汇总!$C$1,MATCH(H$28,产销汇总!$C$2:$C$8,0),$C$27)*(_xlfn.XLOOKUP(C283,主线推图!$B$313:$B$612,主线推图!$G$313:$G$612)+_xlfn.XLOOKUP(C283,主线推图!$B$313:$B$612,主线推图!$H$313:$H$612))</f>
        <v>#N/A</v>
      </c>
      <c r="I283" s="80" t="e">
        <f ca="1">OFFSET(产销汇总!$C$1,MATCH(I$28,产销汇总!$C$2:$C$8,0),$C$27)*_xlfn.XLOOKUP(C283,巡逻产出!$B$311:$B$610,巡逻产出!$H$311:$H$610)</f>
        <v>#N/A</v>
      </c>
      <c r="J283" s="80" t="e">
        <f ca="1">OFFSET(产销汇总!$C$1,MATCH(J$28,产销汇总!$C$2:$C$8,0),$C$27)*(_xlfn.XLOOKUP(MAX(1,INT(C283/10-6/10)),组队产出!$B$24:$B$39,组队产出!$J$24:$J$39)+_xlfn.XLOOKUP(MAX(1,INT(C283/10-6/10)),组队产出!$B$24:$B$39,组队产出!$K$24:$K$39))</f>
        <v>#N/A</v>
      </c>
      <c r="K283" s="80" t="e">
        <f ca="1">OFFSET(产销汇总!$C$1,MATCH(K$28,产销汇总!$C$2:$C$8,0),$C$27)*_xlfn.XLOOKUP(C283,巡逻产出!$B$311:$B$610,巡逻产出!$I$311:$I$610)*IF($C$27=1,0.5,1)</f>
        <v>#N/A</v>
      </c>
      <c r="L283" s="80">
        <f ca="1">OFFSET(产销汇总!$C$1,MATCH(L$28,产销汇总!$C$2:$C$8,0),$C$27)*竞技场!$C$5</f>
        <v>180</v>
      </c>
      <c r="M283" s="80">
        <f>任务!$C$6+IF(MOD(B283,7)=0,任务!$M$25)</f>
        <v>30</v>
      </c>
      <c r="N283" s="98">
        <f t="shared" si="24"/>
        <v>1.7</v>
      </c>
      <c r="O283" s="80">
        <f t="shared" si="25"/>
        <v>0</v>
      </c>
      <c r="P283" s="172">
        <f ca="1">OFFSET(产销汇总!$C$1,MATCH(P$27,产销汇总!$C$2:$C$8,0),$C$27)/200*协力宝箱!$Q$82</f>
        <v>0</v>
      </c>
      <c r="Q283" s="80">
        <f t="shared" si="26"/>
        <v>10</v>
      </c>
      <c r="R283" s="80">
        <v>10</v>
      </c>
      <c r="S283" s="172">
        <f t="shared" si="28"/>
        <v>100</v>
      </c>
      <c r="T283" s="172">
        <f>(公会!$F$12+公会!$F$13+公会!$F$14+公会!$F$18/7)/2</f>
        <v>121.428571428571</v>
      </c>
      <c r="U283" s="172">
        <f t="shared" si="27"/>
        <v>150</v>
      </c>
      <c r="V283" s="172" t="e">
        <f ca="1">SUM($H$29:U283)+SUM(D283:G283)</f>
        <v>#N/A</v>
      </c>
      <c r="W283" s="132" t="e">
        <f ca="1" t="shared" si="29"/>
        <v>#N/A</v>
      </c>
    </row>
    <row r="284" spans="1:23">
      <c r="A284" s="171"/>
      <c r="B284" s="80">
        <v>256</v>
      </c>
      <c r="C284" s="80">
        <f ca="1">OFFSET(产销汇总!$C$12,$B284,$C$27)</f>
        <v>251</v>
      </c>
      <c r="D284" s="80">
        <f ca="1">SUMIF(主线宝箱!$B$321:$B$620,"&lt;="&amp;C284,主线宝箱!$H$321:$H$620)+SUMIF(主线宝箱!$B$321:$B$620,"&lt;="&amp;C284,主线宝箱!$T$321:$T$620)</f>
        <v>10040</v>
      </c>
      <c r="E284" s="80">
        <v>110</v>
      </c>
      <c r="F284" s="80">
        <f t="shared" si="30"/>
        <v>450</v>
      </c>
      <c r="G284" s="80">
        <f ca="1">IF(AND($C$27&lt;3,B284&gt;3),G283,SUMIF(图纸产出设计!$F$334:$F$342,"&lt;="&amp;B284,图纸产出设计!$C$334:$C$342))</f>
        <v>3890</v>
      </c>
      <c r="H284" s="80">
        <f ca="1">OFFSET(产销汇总!$C$1,MATCH(H$28,产销汇总!$C$2:$C$8,0),$C$27)*(_xlfn.XLOOKUP(C284,主线推图!$B$313:$B$612,主线推图!$G$313:$G$612)+_xlfn.XLOOKUP(C284,主线推图!$B$313:$B$612,主线推图!$H$313:$H$612))</f>
        <v>176</v>
      </c>
      <c r="I284" s="80">
        <f ca="1">OFFSET(产销汇总!$C$1,MATCH(I$28,产销汇总!$C$2:$C$8,0),$C$27)*_xlfn.XLOOKUP(C284,巡逻产出!$B$311:$B$610,巡逻产出!$H$311:$H$610)</f>
        <v>0</v>
      </c>
      <c r="J284" s="80" t="e">
        <f ca="1">OFFSET(产销汇总!$C$1,MATCH(J$28,产销汇总!$C$2:$C$8,0),$C$27)*(_xlfn.XLOOKUP(MAX(1,INT(C284/10-6/10)),组队产出!$B$24:$B$39,组队产出!$J$24:$J$39)+_xlfn.XLOOKUP(MAX(1,INT(C284/10-6/10)),组队产出!$B$24:$B$39,组队产出!$K$24:$K$39))</f>
        <v>#N/A</v>
      </c>
      <c r="K284" s="80">
        <f ca="1">OFFSET(产销汇总!$C$1,MATCH(K$28,产销汇总!$C$2:$C$8,0),$C$27)*_xlfn.XLOOKUP(C284,巡逻产出!$B$311:$B$610,巡逻产出!$I$311:$I$610)*IF($C$27=1,0.5,1)</f>
        <v>312</v>
      </c>
      <c r="L284" s="80">
        <f ca="1">OFFSET(产销汇总!$C$1,MATCH(L$28,产销汇总!$C$2:$C$8,0),$C$27)*竞技场!$C$5</f>
        <v>180</v>
      </c>
      <c r="M284" s="80">
        <f>任务!$C$6+IF(MOD(B284,7)=0,任务!$M$25)</f>
        <v>30</v>
      </c>
      <c r="N284" s="98">
        <f t="shared" si="24"/>
        <v>1.7</v>
      </c>
      <c r="O284" s="80">
        <f t="shared" si="25"/>
        <v>0</v>
      </c>
      <c r="P284" s="172">
        <f ca="1">OFFSET(产销汇总!$C$1,MATCH(P$27,产销汇总!$C$2:$C$8,0),$C$27)/200*协力宝箱!$Q$82</f>
        <v>0</v>
      </c>
      <c r="Q284" s="80">
        <f t="shared" si="26"/>
        <v>10</v>
      </c>
      <c r="R284" s="80">
        <v>10</v>
      </c>
      <c r="S284" s="172">
        <f t="shared" si="28"/>
        <v>100</v>
      </c>
      <c r="T284" s="172">
        <f>(公会!$F$12+公会!$F$13+公会!$F$14+公会!$F$18/7)/2</f>
        <v>121.428571428571</v>
      </c>
      <c r="U284" s="172">
        <f t="shared" si="27"/>
        <v>150</v>
      </c>
      <c r="V284" s="172" t="e">
        <f ca="1">SUM($H$29:U284)+SUM(D284:G284)</f>
        <v>#N/A</v>
      </c>
      <c r="W284" s="132" t="e">
        <f ca="1" t="shared" si="29"/>
        <v>#N/A</v>
      </c>
    </row>
    <row r="285" spans="1:23">
      <c r="A285" s="171"/>
      <c r="B285" s="80">
        <v>257</v>
      </c>
      <c r="C285" s="80">
        <f ca="1">OFFSET(产销汇总!$C$12,$B285,$C$27)</f>
        <v>251.5</v>
      </c>
      <c r="D285" s="80">
        <f ca="1">SUMIF(主线宝箱!$B$321:$B$620,"&lt;="&amp;C285,主线宝箱!$H$321:$H$620)+SUMIF(主线宝箱!$B$321:$B$620,"&lt;="&amp;C285,主线宝箱!$T$321:$T$620)</f>
        <v>10040</v>
      </c>
      <c r="E285" s="80">
        <v>110</v>
      </c>
      <c r="F285" s="80">
        <f t="shared" si="30"/>
        <v>450</v>
      </c>
      <c r="G285" s="80">
        <f ca="1">IF(AND($C$27&lt;3,B285&gt;3),G284,SUMIF(图纸产出设计!$F$334:$F$342,"&lt;="&amp;B285,图纸产出设计!$C$334:$C$342))</f>
        <v>3890</v>
      </c>
      <c r="H285" s="80" t="e">
        <f ca="1">OFFSET(产销汇总!$C$1,MATCH(H$28,产销汇总!$C$2:$C$8,0),$C$27)*(_xlfn.XLOOKUP(C285,主线推图!$B$313:$B$612,主线推图!$G$313:$G$612)+_xlfn.XLOOKUP(C285,主线推图!$B$313:$B$612,主线推图!$H$313:$H$612))</f>
        <v>#N/A</v>
      </c>
      <c r="I285" s="80" t="e">
        <f ca="1">OFFSET(产销汇总!$C$1,MATCH(I$28,产销汇总!$C$2:$C$8,0),$C$27)*_xlfn.XLOOKUP(C285,巡逻产出!$B$311:$B$610,巡逻产出!$H$311:$H$610)</f>
        <v>#N/A</v>
      </c>
      <c r="J285" s="80" t="e">
        <f ca="1">OFFSET(产销汇总!$C$1,MATCH(J$28,产销汇总!$C$2:$C$8,0),$C$27)*(_xlfn.XLOOKUP(MAX(1,INT(C285/10-6/10)),组队产出!$B$24:$B$39,组队产出!$J$24:$J$39)+_xlfn.XLOOKUP(MAX(1,INT(C285/10-6/10)),组队产出!$B$24:$B$39,组队产出!$K$24:$K$39))</f>
        <v>#N/A</v>
      </c>
      <c r="K285" s="80" t="e">
        <f ca="1">OFFSET(产销汇总!$C$1,MATCH(K$28,产销汇总!$C$2:$C$8,0),$C$27)*_xlfn.XLOOKUP(C285,巡逻产出!$B$311:$B$610,巡逻产出!$I$311:$I$610)*IF($C$27=1,0.5,1)</f>
        <v>#N/A</v>
      </c>
      <c r="L285" s="80">
        <f ca="1">OFFSET(产销汇总!$C$1,MATCH(L$28,产销汇总!$C$2:$C$8,0),$C$27)*竞技场!$C$5</f>
        <v>180</v>
      </c>
      <c r="M285" s="80">
        <f>任务!$C$6+IF(MOD(B285,7)=0,任务!$M$25)</f>
        <v>30</v>
      </c>
      <c r="N285" s="98">
        <f t="shared" ref="N285:N328" si="31">ROUND(12/7,1)</f>
        <v>1.7</v>
      </c>
      <c r="O285" s="80">
        <f t="shared" ref="O285:O328" si="32">IF(MOD(B285,7)=2,10,0)+IF(MOD(B285,7)=5,10,0)</f>
        <v>10</v>
      </c>
      <c r="P285" s="172">
        <f ca="1">OFFSET(产销汇总!$C$1,MATCH(P$27,产销汇总!$C$2:$C$8,0),$C$27)/200*协力宝箱!$Q$82</f>
        <v>0</v>
      </c>
      <c r="Q285" s="80">
        <f t="shared" ref="Q285:Q328" si="33">0.2*5*10</f>
        <v>10</v>
      </c>
      <c r="R285" s="80">
        <v>10</v>
      </c>
      <c r="S285" s="172">
        <f t="shared" si="28"/>
        <v>100</v>
      </c>
      <c r="T285" s="172">
        <f>(公会!$F$12+公会!$F$13+公会!$F$14+公会!$F$18/7)/2</f>
        <v>121.428571428571</v>
      </c>
      <c r="U285" s="172">
        <f t="shared" si="27"/>
        <v>150</v>
      </c>
      <c r="V285" s="172" t="e">
        <f ca="1">SUM($H$29:U285)+SUM(D285:G285)</f>
        <v>#N/A</v>
      </c>
      <c r="W285" s="132" t="e">
        <f ca="1" t="shared" si="29"/>
        <v>#N/A</v>
      </c>
    </row>
    <row r="286" spans="1:23">
      <c r="A286" s="171"/>
      <c r="B286" s="80">
        <v>258</v>
      </c>
      <c r="C286" s="80">
        <f ca="1">OFFSET(产销汇总!$C$12,$B286,$C$27)</f>
        <v>252</v>
      </c>
      <c r="D286" s="80">
        <f ca="1">SUMIF(主线宝箱!$B$321:$B$620,"&lt;="&amp;C286,主线宝箱!$H$321:$H$620)+SUMIF(主线宝箱!$B$321:$B$620,"&lt;="&amp;C286,主线宝箱!$T$321:$T$620)</f>
        <v>10080</v>
      </c>
      <c r="E286" s="80">
        <v>110</v>
      </c>
      <c r="F286" s="80">
        <f t="shared" si="30"/>
        <v>450</v>
      </c>
      <c r="G286" s="80">
        <f ca="1">IF(AND($C$27&lt;3,B286&gt;3),G285,SUMIF(图纸产出设计!$F$334:$F$342,"&lt;="&amp;B286,图纸产出设计!$C$334:$C$342))</f>
        <v>3890</v>
      </c>
      <c r="H286" s="80">
        <f ca="1">OFFSET(产销汇总!$C$1,MATCH(H$28,产销汇总!$C$2:$C$8,0),$C$27)*(_xlfn.XLOOKUP(C286,主线推图!$B$313:$B$612,主线推图!$G$313:$G$612)+_xlfn.XLOOKUP(C286,主线推图!$B$313:$B$612,主线推图!$H$313:$H$612))</f>
        <v>176</v>
      </c>
      <c r="I286" s="80">
        <f ca="1">OFFSET(产销汇总!$C$1,MATCH(I$28,产销汇总!$C$2:$C$8,0),$C$27)*_xlfn.XLOOKUP(C286,巡逻产出!$B$311:$B$610,巡逻产出!$H$311:$H$610)</f>
        <v>0</v>
      </c>
      <c r="J286" s="80" t="e">
        <f ca="1">OFFSET(产销汇总!$C$1,MATCH(J$28,产销汇总!$C$2:$C$8,0),$C$27)*(_xlfn.XLOOKUP(MAX(1,INT(C286/10-6/10)),组队产出!$B$24:$B$39,组队产出!$J$24:$J$39)+_xlfn.XLOOKUP(MAX(1,INT(C286/10-6/10)),组队产出!$B$24:$B$39,组队产出!$K$24:$K$39))</f>
        <v>#N/A</v>
      </c>
      <c r="K286" s="80">
        <f ca="1">OFFSET(产销汇总!$C$1,MATCH(K$28,产销汇总!$C$2:$C$8,0),$C$27)*_xlfn.XLOOKUP(C286,巡逻产出!$B$311:$B$610,巡逻产出!$I$311:$I$610)*IF($C$27=1,0.5,1)</f>
        <v>312</v>
      </c>
      <c r="L286" s="80">
        <f ca="1">OFFSET(产销汇总!$C$1,MATCH(L$28,产销汇总!$C$2:$C$8,0),$C$27)*竞技场!$C$5</f>
        <v>180</v>
      </c>
      <c r="M286" s="80">
        <f>任务!$C$6+IF(MOD(B286,7)=0,任务!$M$25)</f>
        <v>30</v>
      </c>
      <c r="N286" s="98">
        <f t="shared" si="31"/>
        <v>1.7</v>
      </c>
      <c r="O286" s="80">
        <f t="shared" si="32"/>
        <v>0</v>
      </c>
      <c r="P286" s="172">
        <f ca="1">OFFSET(产销汇总!$C$1,MATCH(P$27,产销汇总!$C$2:$C$8,0),$C$27)/200*协力宝箱!$Q$82</f>
        <v>0</v>
      </c>
      <c r="Q286" s="80">
        <f t="shared" si="33"/>
        <v>10</v>
      </c>
      <c r="R286" s="80">
        <v>10</v>
      </c>
      <c r="S286" s="172">
        <f t="shared" si="28"/>
        <v>100</v>
      </c>
      <c r="T286" s="172">
        <f>(公会!$F$12+公会!$F$13+公会!$F$14+公会!$F$18/7)/2</f>
        <v>121.428571428571</v>
      </c>
      <c r="U286" s="172">
        <f t="shared" ref="U286:U328" si="34">IF($C$27&lt;2,50,100)+IF(B286&gt;=3,50,0)</f>
        <v>150</v>
      </c>
      <c r="V286" s="172" t="e">
        <f ca="1">SUM($H$29:U286)+SUM(D286:G286)</f>
        <v>#N/A</v>
      </c>
      <c r="W286" s="132" t="e">
        <f ca="1" t="shared" si="29"/>
        <v>#N/A</v>
      </c>
    </row>
    <row r="287" spans="1:23">
      <c r="A287" s="171"/>
      <c r="B287" s="80">
        <v>259</v>
      </c>
      <c r="C287" s="80">
        <f ca="1">OFFSET(产销汇总!$C$12,$B287,$C$27)</f>
        <v>252.5</v>
      </c>
      <c r="D287" s="80">
        <f ca="1">SUMIF(主线宝箱!$B$321:$B$620,"&lt;="&amp;C287,主线宝箱!$H$321:$H$620)+SUMIF(主线宝箱!$B$321:$B$620,"&lt;="&amp;C287,主线宝箱!$T$321:$T$620)</f>
        <v>10080</v>
      </c>
      <c r="E287" s="80">
        <v>110</v>
      </c>
      <c r="F287" s="80">
        <f t="shared" si="30"/>
        <v>450</v>
      </c>
      <c r="G287" s="80">
        <f ca="1">IF(AND($C$27&lt;3,B287&gt;3),G286,SUMIF(图纸产出设计!$F$334:$F$342,"&lt;="&amp;B287,图纸产出设计!$C$334:$C$342))</f>
        <v>3890</v>
      </c>
      <c r="H287" s="80" t="e">
        <f ca="1">OFFSET(产销汇总!$C$1,MATCH(H$28,产销汇总!$C$2:$C$8,0),$C$27)*(_xlfn.XLOOKUP(C287,主线推图!$B$313:$B$612,主线推图!$G$313:$G$612)+_xlfn.XLOOKUP(C287,主线推图!$B$313:$B$612,主线推图!$H$313:$H$612))</f>
        <v>#N/A</v>
      </c>
      <c r="I287" s="80" t="e">
        <f ca="1">OFFSET(产销汇总!$C$1,MATCH(I$28,产销汇总!$C$2:$C$8,0),$C$27)*_xlfn.XLOOKUP(C287,巡逻产出!$B$311:$B$610,巡逻产出!$H$311:$H$610)</f>
        <v>#N/A</v>
      </c>
      <c r="J287" s="80" t="e">
        <f ca="1">OFFSET(产销汇总!$C$1,MATCH(J$28,产销汇总!$C$2:$C$8,0),$C$27)*(_xlfn.XLOOKUP(MAX(1,INT(C287/10-6/10)),组队产出!$B$24:$B$39,组队产出!$J$24:$J$39)+_xlfn.XLOOKUP(MAX(1,INT(C287/10-6/10)),组队产出!$B$24:$B$39,组队产出!$K$24:$K$39))</f>
        <v>#N/A</v>
      </c>
      <c r="K287" s="80" t="e">
        <f ca="1">OFFSET(产销汇总!$C$1,MATCH(K$28,产销汇总!$C$2:$C$8,0),$C$27)*_xlfn.XLOOKUP(C287,巡逻产出!$B$311:$B$610,巡逻产出!$I$311:$I$610)*IF($C$27=1,0.5,1)</f>
        <v>#N/A</v>
      </c>
      <c r="L287" s="80">
        <f ca="1">OFFSET(产销汇总!$C$1,MATCH(L$28,产销汇总!$C$2:$C$8,0),$C$27)*竞技场!$C$5</f>
        <v>180</v>
      </c>
      <c r="M287" s="80">
        <f>任务!$C$6+IF(MOD(B287,7)=0,任务!$M$25)</f>
        <v>60</v>
      </c>
      <c r="N287" s="98">
        <f t="shared" si="31"/>
        <v>1.7</v>
      </c>
      <c r="O287" s="80">
        <f t="shared" si="32"/>
        <v>0</v>
      </c>
      <c r="P287" s="172">
        <f ca="1">OFFSET(产销汇总!$C$1,MATCH(P$27,产销汇总!$C$2:$C$8,0),$C$27)/200*协力宝箱!$Q$82</f>
        <v>0</v>
      </c>
      <c r="Q287" s="80">
        <f t="shared" si="33"/>
        <v>10</v>
      </c>
      <c r="R287" s="80">
        <v>10</v>
      </c>
      <c r="S287" s="172">
        <f t="shared" ref="S287:S328" si="35">S286</f>
        <v>100</v>
      </c>
      <c r="T287" s="172">
        <f>(公会!$F$12+公会!$F$13+公会!$F$14+公会!$F$18/7)/2</f>
        <v>121.428571428571</v>
      </c>
      <c r="U287" s="172">
        <f t="shared" si="34"/>
        <v>150</v>
      </c>
      <c r="V287" s="172" t="e">
        <f ca="1">SUM($H$29:U287)+SUM(D287:G287)</f>
        <v>#N/A</v>
      </c>
      <c r="W287" s="132" t="e">
        <f ca="1" t="shared" ref="W287:W328" si="36">V287-V286</f>
        <v>#N/A</v>
      </c>
    </row>
    <row r="288" spans="1:23">
      <c r="A288" s="171"/>
      <c r="B288" s="80">
        <v>260</v>
      </c>
      <c r="C288" s="80">
        <f ca="1">OFFSET(产销汇总!$C$12,$B288,$C$27)</f>
        <v>253</v>
      </c>
      <c r="D288" s="80">
        <f ca="1">SUMIF(主线宝箱!$B$321:$B$620,"&lt;="&amp;C288,主线宝箱!$H$321:$H$620)+SUMIF(主线宝箱!$B$321:$B$620,"&lt;="&amp;C288,主线宝箱!$T$321:$T$620)</f>
        <v>10120</v>
      </c>
      <c r="E288" s="80">
        <v>110</v>
      </c>
      <c r="F288" s="80">
        <f t="shared" si="30"/>
        <v>450</v>
      </c>
      <c r="G288" s="80">
        <f ca="1">IF(AND($C$27&lt;3,B288&gt;3),G287,SUMIF(图纸产出设计!$F$334:$F$342,"&lt;="&amp;B288,图纸产出设计!$C$334:$C$342))</f>
        <v>3890</v>
      </c>
      <c r="H288" s="80">
        <f ca="1">OFFSET(产销汇总!$C$1,MATCH(H$28,产销汇总!$C$2:$C$8,0),$C$27)*(_xlfn.XLOOKUP(C288,主线推图!$B$313:$B$612,主线推图!$G$313:$G$612)+_xlfn.XLOOKUP(C288,主线推图!$B$313:$B$612,主线推图!$H$313:$H$612))</f>
        <v>176</v>
      </c>
      <c r="I288" s="80">
        <f ca="1">OFFSET(产销汇总!$C$1,MATCH(I$28,产销汇总!$C$2:$C$8,0),$C$27)*_xlfn.XLOOKUP(C288,巡逻产出!$B$311:$B$610,巡逻产出!$H$311:$H$610)</f>
        <v>0</v>
      </c>
      <c r="J288" s="80" t="e">
        <f ca="1">OFFSET(产销汇总!$C$1,MATCH(J$28,产销汇总!$C$2:$C$8,0),$C$27)*(_xlfn.XLOOKUP(MAX(1,INT(C288/10-6/10)),组队产出!$B$24:$B$39,组队产出!$J$24:$J$39)+_xlfn.XLOOKUP(MAX(1,INT(C288/10-6/10)),组队产出!$B$24:$B$39,组队产出!$K$24:$K$39))</f>
        <v>#N/A</v>
      </c>
      <c r="K288" s="80">
        <f ca="1">OFFSET(产销汇总!$C$1,MATCH(K$28,产销汇总!$C$2:$C$8,0),$C$27)*_xlfn.XLOOKUP(C288,巡逻产出!$B$311:$B$610,巡逻产出!$I$311:$I$610)*IF($C$27=1,0.5,1)</f>
        <v>312</v>
      </c>
      <c r="L288" s="80">
        <f ca="1">OFFSET(产销汇总!$C$1,MATCH(L$28,产销汇总!$C$2:$C$8,0),$C$27)*竞技场!$C$5</f>
        <v>180</v>
      </c>
      <c r="M288" s="80">
        <f>任务!$C$6+IF(MOD(B288,7)=0,任务!$M$25)</f>
        <v>30</v>
      </c>
      <c r="N288" s="98">
        <f t="shared" si="31"/>
        <v>1.7</v>
      </c>
      <c r="O288" s="80">
        <f t="shared" si="32"/>
        <v>0</v>
      </c>
      <c r="P288" s="172">
        <f ca="1">OFFSET(产销汇总!$C$1,MATCH(P$27,产销汇总!$C$2:$C$8,0),$C$27)/200*协力宝箱!$Q$82</f>
        <v>0</v>
      </c>
      <c r="Q288" s="80">
        <f t="shared" si="33"/>
        <v>10</v>
      </c>
      <c r="R288" s="80">
        <v>10</v>
      </c>
      <c r="S288" s="172">
        <f t="shared" si="35"/>
        <v>100</v>
      </c>
      <c r="T288" s="172">
        <f>(公会!$F$12+公会!$F$13+公会!$F$14+公会!$F$18/7)/2</f>
        <v>121.428571428571</v>
      </c>
      <c r="U288" s="172">
        <f t="shared" si="34"/>
        <v>150</v>
      </c>
      <c r="V288" s="172" t="e">
        <f ca="1">SUM($H$29:U288)+SUM(D288:G288)</f>
        <v>#N/A</v>
      </c>
      <c r="W288" s="132" t="e">
        <f ca="1" t="shared" si="36"/>
        <v>#N/A</v>
      </c>
    </row>
    <row r="289" spans="1:23">
      <c r="A289" s="171"/>
      <c r="B289" s="80">
        <v>261</v>
      </c>
      <c r="C289" s="80">
        <f ca="1">OFFSET(产销汇总!$C$12,$B289,$C$27)</f>
        <v>253.5</v>
      </c>
      <c r="D289" s="80">
        <f ca="1">SUMIF(主线宝箱!$B$321:$B$620,"&lt;="&amp;C289,主线宝箱!$H$321:$H$620)+SUMIF(主线宝箱!$B$321:$B$620,"&lt;="&amp;C289,主线宝箱!$T$321:$T$620)</f>
        <v>10120</v>
      </c>
      <c r="E289" s="80">
        <v>110</v>
      </c>
      <c r="F289" s="80">
        <f t="shared" si="30"/>
        <v>450</v>
      </c>
      <c r="G289" s="80">
        <f ca="1">IF(AND($C$27&lt;3,B289&gt;3),G288,SUMIF(图纸产出设计!$F$334:$F$342,"&lt;="&amp;B289,图纸产出设计!$C$334:$C$342))</f>
        <v>3890</v>
      </c>
      <c r="H289" s="80" t="e">
        <f ca="1">OFFSET(产销汇总!$C$1,MATCH(H$28,产销汇总!$C$2:$C$8,0),$C$27)*(_xlfn.XLOOKUP(C289,主线推图!$B$313:$B$612,主线推图!$G$313:$G$612)+_xlfn.XLOOKUP(C289,主线推图!$B$313:$B$612,主线推图!$H$313:$H$612))</f>
        <v>#N/A</v>
      </c>
      <c r="I289" s="80" t="e">
        <f ca="1">OFFSET(产销汇总!$C$1,MATCH(I$28,产销汇总!$C$2:$C$8,0),$C$27)*_xlfn.XLOOKUP(C289,巡逻产出!$B$311:$B$610,巡逻产出!$H$311:$H$610)</f>
        <v>#N/A</v>
      </c>
      <c r="J289" s="80" t="e">
        <f ca="1">OFFSET(产销汇总!$C$1,MATCH(J$28,产销汇总!$C$2:$C$8,0),$C$27)*(_xlfn.XLOOKUP(MAX(1,INT(C289/10-6/10)),组队产出!$B$24:$B$39,组队产出!$J$24:$J$39)+_xlfn.XLOOKUP(MAX(1,INT(C289/10-6/10)),组队产出!$B$24:$B$39,组队产出!$K$24:$K$39))</f>
        <v>#N/A</v>
      </c>
      <c r="K289" s="80" t="e">
        <f ca="1">OFFSET(产销汇总!$C$1,MATCH(K$28,产销汇总!$C$2:$C$8,0),$C$27)*_xlfn.XLOOKUP(C289,巡逻产出!$B$311:$B$610,巡逻产出!$I$311:$I$610)*IF($C$27=1,0.5,1)</f>
        <v>#N/A</v>
      </c>
      <c r="L289" s="80">
        <f ca="1">OFFSET(产销汇总!$C$1,MATCH(L$28,产销汇总!$C$2:$C$8,0),$C$27)*竞技场!$C$5</f>
        <v>180</v>
      </c>
      <c r="M289" s="80">
        <f>任务!$C$6+IF(MOD(B289,7)=0,任务!$M$25)</f>
        <v>30</v>
      </c>
      <c r="N289" s="98">
        <f t="shared" si="31"/>
        <v>1.7</v>
      </c>
      <c r="O289" s="80">
        <f t="shared" si="32"/>
        <v>10</v>
      </c>
      <c r="P289" s="172">
        <f ca="1">OFFSET(产销汇总!$C$1,MATCH(P$27,产销汇总!$C$2:$C$8,0),$C$27)/200*协力宝箱!$Q$82</f>
        <v>0</v>
      </c>
      <c r="Q289" s="80">
        <f t="shared" si="33"/>
        <v>10</v>
      </c>
      <c r="R289" s="80">
        <v>10</v>
      </c>
      <c r="S289" s="172">
        <f t="shared" si="35"/>
        <v>100</v>
      </c>
      <c r="T289" s="172">
        <f>(公会!$F$12+公会!$F$13+公会!$F$14+公会!$F$18/7)/2</f>
        <v>121.428571428571</v>
      </c>
      <c r="U289" s="172">
        <f t="shared" si="34"/>
        <v>150</v>
      </c>
      <c r="V289" s="172" t="e">
        <f ca="1">SUM($H$29:U289)+SUM(D289:G289)</f>
        <v>#N/A</v>
      </c>
      <c r="W289" s="132" t="e">
        <f ca="1" t="shared" si="36"/>
        <v>#N/A</v>
      </c>
    </row>
    <row r="290" spans="1:23">
      <c r="A290" s="171"/>
      <c r="B290" s="80">
        <v>262</v>
      </c>
      <c r="C290" s="80">
        <f ca="1">OFFSET(产销汇总!$C$12,$B290,$C$27)</f>
        <v>254</v>
      </c>
      <c r="D290" s="80">
        <f ca="1">SUMIF(主线宝箱!$B$321:$B$620,"&lt;="&amp;C290,主线宝箱!$H$321:$H$620)+SUMIF(主线宝箱!$B$321:$B$620,"&lt;="&amp;C290,主线宝箱!$T$321:$T$620)</f>
        <v>10160</v>
      </c>
      <c r="E290" s="80">
        <v>110</v>
      </c>
      <c r="F290" s="80">
        <f t="shared" si="30"/>
        <v>450</v>
      </c>
      <c r="G290" s="80">
        <f ca="1">IF(AND($C$27&lt;3,B290&gt;3),G289,SUMIF(图纸产出设计!$F$334:$F$342,"&lt;="&amp;B290,图纸产出设计!$C$334:$C$342))</f>
        <v>3890</v>
      </c>
      <c r="H290" s="80">
        <f ca="1">OFFSET(产销汇总!$C$1,MATCH(H$28,产销汇总!$C$2:$C$8,0),$C$27)*(_xlfn.XLOOKUP(C290,主线推图!$B$313:$B$612,主线推图!$G$313:$G$612)+_xlfn.XLOOKUP(C290,主线推图!$B$313:$B$612,主线推图!$H$313:$H$612))</f>
        <v>176</v>
      </c>
      <c r="I290" s="80">
        <f ca="1">OFFSET(产销汇总!$C$1,MATCH(I$28,产销汇总!$C$2:$C$8,0),$C$27)*_xlfn.XLOOKUP(C290,巡逻产出!$B$311:$B$610,巡逻产出!$H$311:$H$610)</f>
        <v>0</v>
      </c>
      <c r="J290" s="80" t="e">
        <f ca="1">OFFSET(产销汇总!$C$1,MATCH(J$28,产销汇总!$C$2:$C$8,0),$C$27)*(_xlfn.XLOOKUP(MAX(1,INT(C290/10-6/10)),组队产出!$B$24:$B$39,组队产出!$J$24:$J$39)+_xlfn.XLOOKUP(MAX(1,INT(C290/10-6/10)),组队产出!$B$24:$B$39,组队产出!$K$24:$K$39))</f>
        <v>#N/A</v>
      </c>
      <c r="K290" s="80">
        <f ca="1">OFFSET(产销汇总!$C$1,MATCH(K$28,产销汇总!$C$2:$C$8,0),$C$27)*_xlfn.XLOOKUP(C290,巡逻产出!$B$311:$B$610,巡逻产出!$I$311:$I$610)*IF($C$27=1,0.5,1)</f>
        <v>312</v>
      </c>
      <c r="L290" s="80">
        <f ca="1">OFFSET(产销汇总!$C$1,MATCH(L$28,产销汇总!$C$2:$C$8,0),$C$27)*竞技场!$C$5</f>
        <v>180</v>
      </c>
      <c r="M290" s="80">
        <f>任务!$C$6+IF(MOD(B290,7)=0,任务!$M$25)</f>
        <v>30</v>
      </c>
      <c r="N290" s="98">
        <f t="shared" si="31"/>
        <v>1.7</v>
      </c>
      <c r="O290" s="80">
        <f t="shared" si="32"/>
        <v>0</v>
      </c>
      <c r="P290" s="172">
        <f ca="1">OFFSET(产销汇总!$C$1,MATCH(P$27,产销汇总!$C$2:$C$8,0),$C$27)/200*协力宝箱!$Q$82</f>
        <v>0</v>
      </c>
      <c r="Q290" s="80">
        <f t="shared" si="33"/>
        <v>10</v>
      </c>
      <c r="R290" s="80">
        <v>10</v>
      </c>
      <c r="S290" s="172">
        <f t="shared" si="35"/>
        <v>100</v>
      </c>
      <c r="T290" s="172">
        <f>(公会!$F$12+公会!$F$13+公会!$F$14+公会!$F$18/7)/2</f>
        <v>121.428571428571</v>
      </c>
      <c r="U290" s="172">
        <f t="shared" si="34"/>
        <v>150</v>
      </c>
      <c r="V290" s="172" t="e">
        <f ca="1">SUM($H$29:U290)+SUM(D290:G290)</f>
        <v>#N/A</v>
      </c>
      <c r="W290" s="132" t="e">
        <f ca="1" t="shared" si="36"/>
        <v>#N/A</v>
      </c>
    </row>
    <row r="291" spans="1:23">
      <c r="A291" s="171"/>
      <c r="B291" s="80">
        <v>263</v>
      </c>
      <c r="C291" s="80">
        <f ca="1">OFFSET(产销汇总!$C$12,$B291,$C$27)</f>
        <v>254.5</v>
      </c>
      <c r="D291" s="80">
        <f ca="1">SUMIF(主线宝箱!$B$321:$B$620,"&lt;="&amp;C291,主线宝箱!$H$321:$H$620)+SUMIF(主线宝箱!$B$321:$B$620,"&lt;="&amp;C291,主线宝箱!$T$321:$T$620)</f>
        <v>10160</v>
      </c>
      <c r="E291" s="80">
        <v>110</v>
      </c>
      <c r="F291" s="80">
        <f t="shared" si="30"/>
        <v>450</v>
      </c>
      <c r="G291" s="80">
        <f ca="1">IF(AND($C$27&lt;3,B291&gt;3),G290,SUMIF(图纸产出设计!$F$334:$F$342,"&lt;="&amp;B291,图纸产出设计!$C$334:$C$342))</f>
        <v>3890</v>
      </c>
      <c r="H291" s="80" t="e">
        <f ca="1">OFFSET(产销汇总!$C$1,MATCH(H$28,产销汇总!$C$2:$C$8,0),$C$27)*(_xlfn.XLOOKUP(C291,主线推图!$B$313:$B$612,主线推图!$G$313:$G$612)+_xlfn.XLOOKUP(C291,主线推图!$B$313:$B$612,主线推图!$H$313:$H$612))</f>
        <v>#N/A</v>
      </c>
      <c r="I291" s="80" t="e">
        <f ca="1">OFFSET(产销汇总!$C$1,MATCH(I$28,产销汇总!$C$2:$C$8,0),$C$27)*_xlfn.XLOOKUP(C291,巡逻产出!$B$311:$B$610,巡逻产出!$H$311:$H$610)</f>
        <v>#N/A</v>
      </c>
      <c r="J291" s="80" t="e">
        <f ca="1">OFFSET(产销汇总!$C$1,MATCH(J$28,产销汇总!$C$2:$C$8,0),$C$27)*(_xlfn.XLOOKUP(MAX(1,INT(C291/10-6/10)),组队产出!$B$24:$B$39,组队产出!$J$24:$J$39)+_xlfn.XLOOKUP(MAX(1,INT(C291/10-6/10)),组队产出!$B$24:$B$39,组队产出!$K$24:$K$39))</f>
        <v>#N/A</v>
      </c>
      <c r="K291" s="80" t="e">
        <f ca="1">OFFSET(产销汇总!$C$1,MATCH(K$28,产销汇总!$C$2:$C$8,0),$C$27)*_xlfn.XLOOKUP(C291,巡逻产出!$B$311:$B$610,巡逻产出!$I$311:$I$610)*IF($C$27=1,0.5,1)</f>
        <v>#N/A</v>
      </c>
      <c r="L291" s="80">
        <f ca="1">OFFSET(产销汇总!$C$1,MATCH(L$28,产销汇总!$C$2:$C$8,0),$C$27)*竞技场!$C$5</f>
        <v>180</v>
      </c>
      <c r="M291" s="80">
        <f>任务!$C$6+IF(MOD(B291,7)=0,任务!$M$25)</f>
        <v>30</v>
      </c>
      <c r="N291" s="98">
        <f t="shared" si="31"/>
        <v>1.7</v>
      </c>
      <c r="O291" s="80">
        <f t="shared" si="32"/>
        <v>0</v>
      </c>
      <c r="P291" s="172">
        <f ca="1">OFFSET(产销汇总!$C$1,MATCH(P$27,产销汇总!$C$2:$C$8,0),$C$27)/200*协力宝箱!$Q$82</f>
        <v>0</v>
      </c>
      <c r="Q291" s="80">
        <f t="shared" si="33"/>
        <v>10</v>
      </c>
      <c r="R291" s="80">
        <v>10</v>
      </c>
      <c r="S291" s="172">
        <f t="shared" si="35"/>
        <v>100</v>
      </c>
      <c r="T291" s="172">
        <f>(公会!$F$12+公会!$F$13+公会!$F$14+公会!$F$18/7)/2</f>
        <v>121.428571428571</v>
      </c>
      <c r="U291" s="172">
        <f t="shared" si="34"/>
        <v>150</v>
      </c>
      <c r="V291" s="172" t="e">
        <f ca="1">SUM($H$29:U291)+SUM(D291:G291)</f>
        <v>#N/A</v>
      </c>
      <c r="W291" s="132" t="e">
        <f ca="1" t="shared" si="36"/>
        <v>#N/A</v>
      </c>
    </row>
    <row r="292" spans="1:23">
      <c r="A292" s="171"/>
      <c r="B292" s="80">
        <v>264</v>
      </c>
      <c r="C292" s="80">
        <f ca="1">OFFSET(产销汇总!$C$12,$B292,$C$27)</f>
        <v>255</v>
      </c>
      <c r="D292" s="80">
        <f ca="1">SUMIF(主线宝箱!$B$321:$B$620,"&lt;="&amp;C292,主线宝箱!$H$321:$H$620)+SUMIF(主线宝箱!$B$321:$B$620,"&lt;="&amp;C292,主线宝箱!$T$321:$T$620)</f>
        <v>10200</v>
      </c>
      <c r="E292" s="80">
        <v>110</v>
      </c>
      <c r="F292" s="80">
        <f t="shared" si="30"/>
        <v>450</v>
      </c>
      <c r="G292" s="80">
        <f ca="1">IF(AND($C$27&lt;3,B292&gt;3),G291,SUMIF(图纸产出设计!$F$334:$F$342,"&lt;="&amp;B292,图纸产出设计!$C$334:$C$342))</f>
        <v>3890</v>
      </c>
      <c r="H292" s="80">
        <f ca="1">OFFSET(产销汇总!$C$1,MATCH(H$28,产销汇总!$C$2:$C$8,0),$C$27)*(_xlfn.XLOOKUP(C292,主线推图!$B$313:$B$612,主线推图!$G$313:$G$612)+_xlfn.XLOOKUP(C292,主线推图!$B$313:$B$612,主线推图!$H$313:$H$612))</f>
        <v>176</v>
      </c>
      <c r="I292" s="80">
        <f ca="1">OFFSET(产销汇总!$C$1,MATCH(I$28,产销汇总!$C$2:$C$8,0),$C$27)*_xlfn.XLOOKUP(C292,巡逻产出!$B$311:$B$610,巡逻产出!$H$311:$H$610)</f>
        <v>0</v>
      </c>
      <c r="J292" s="80" t="e">
        <f ca="1">OFFSET(产销汇总!$C$1,MATCH(J$28,产销汇总!$C$2:$C$8,0),$C$27)*(_xlfn.XLOOKUP(MAX(1,INT(C292/10-6/10)),组队产出!$B$24:$B$39,组队产出!$J$24:$J$39)+_xlfn.XLOOKUP(MAX(1,INT(C292/10-6/10)),组队产出!$B$24:$B$39,组队产出!$K$24:$K$39))</f>
        <v>#N/A</v>
      </c>
      <c r="K292" s="80">
        <f ca="1">OFFSET(产销汇总!$C$1,MATCH(K$28,产销汇总!$C$2:$C$8,0),$C$27)*_xlfn.XLOOKUP(C292,巡逻产出!$B$311:$B$610,巡逻产出!$I$311:$I$610)*IF($C$27=1,0.5,1)</f>
        <v>312</v>
      </c>
      <c r="L292" s="80">
        <f ca="1">OFFSET(产销汇总!$C$1,MATCH(L$28,产销汇总!$C$2:$C$8,0),$C$27)*竞技场!$C$5</f>
        <v>180</v>
      </c>
      <c r="M292" s="80">
        <f>任务!$C$6+IF(MOD(B292,7)=0,任务!$M$25)</f>
        <v>30</v>
      </c>
      <c r="N292" s="98">
        <f t="shared" si="31"/>
        <v>1.7</v>
      </c>
      <c r="O292" s="80">
        <f t="shared" si="32"/>
        <v>10</v>
      </c>
      <c r="P292" s="172">
        <f ca="1">OFFSET(产销汇总!$C$1,MATCH(P$27,产销汇总!$C$2:$C$8,0),$C$27)/200*协力宝箱!$Q$82</f>
        <v>0</v>
      </c>
      <c r="Q292" s="80">
        <f t="shared" si="33"/>
        <v>10</v>
      </c>
      <c r="R292" s="80">
        <v>10</v>
      </c>
      <c r="S292" s="172">
        <f t="shared" si="35"/>
        <v>100</v>
      </c>
      <c r="T292" s="172">
        <f>(公会!$F$12+公会!$F$13+公会!$F$14+公会!$F$18/7)/2</f>
        <v>121.428571428571</v>
      </c>
      <c r="U292" s="172">
        <f t="shared" si="34"/>
        <v>150</v>
      </c>
      <c r="V292" s="172" t="e">
        <f ca="1">SUM($H$29:U292)+SUM(D292:G292)</f>
        <v>#N/A</v>
      </c>
      <c r="W292" s="132" t="e">
        <f ca="1" t="shared" si="36"/>
        <v>#N/A</v>
      </c>
    </row>
    <row r="293" spans="1:23">
      <c r="A293" s="171"/>
      <c r="B293" s="80">
        <v>265</v>
      </c>
      <c r="C293" s="80">
        <f ca="1">OFFSET(产销汇总!$C$12,$B293,$C$27)</f>
        <v>255.5</v>
      </c>
      <c r="D293" s="80">
        <f ca="1">SUMIF(主线宝箱!$B$321:$B$620,"&lt;="&amp;C293,主线宝箱!$H$321:$H$620)+SUMIF(主线宝箱!$B$321:$B$620,"&lt;="&amp;C293,主线宝箱!$T$321:$T$620)</f>
        <v>10200</v>
      </c>
      <c r="E293" s="80">
        <v>110</v>
      </c>
      <c r="F293" s="80">
        <f t="shared" si="30"/>
        <v>450</v>
      </c>
      <c r="G293" s="80">
        <f ca="1">IF(AND($C$27&lt;3,B293&gt;3),G292,SUMIF(图纸产出设计!$F$334:$F$342,"&lt;="&amp;B293,图纸产出设计!$C$334:$C$342))</f>
        <v>3890</v>
      </c>
      <c r="H293" s="80" t="e">
        <f ca="1">OFFSET(产销汇总!$C$1,MATCH(H$28,产销汇总!$C$2:$C$8,0),$C$27)*(_xlfn.XLOOKUP(C293,主线推图!$B$313:$B$612,主线推图!$G$313:$G$612)+_xlfn.XLOOKUP(C293,主线推图!$B$313:$B$612,主线推图!$H$313:$H$612))</f>
        <v>#N/A</v>
      </c>
      <c r="I293" s="80" t="e">
        <f ca="1">OFFSET(产销汇总!$C$1,MATCH(I$28,产销汇总!$C$2:$C$8,0),$C$27)*_xlfn.XLOOKUP(C293,巡逻产出!$B$311:$B$610,巡逻产出!$H$311:$H$610)</f>
        <v>#N/A</v>
      </c>
      <c r="J293" s="80" t="e">
        <f ca="1">OFFSET(产销汇总!$C$1,MATCH(J$28,产销汇总!$C$2:$C$8,0),$C$27)*(_xlfn.XLOOKUP(MAX(1,INT(C293/10-6/10)),组队产出!$B$24:$B$39,组队产出!$J$24:$J$39)+_xlfn.XLOOKUP(MAX(1,INT(C293/10-6/10)),组队产出!$B$24:$B$39,组队产出!$K$24:$K$39))</f>
        <v>#N/A</v>
      </c>
      <c r="K293" s="80" t="e">
        <f ca="1">OFFSET(产销汇总!$C$1,MATCH(K$28,产销汇总!$C$2:$C$8,0),$C$27)*_xlfn.XLOOKUP(C293,巡逻产出!$B$311:$B$610,巡逻产出!$I$311:$I$610)*IF($C$27=1,0.5,1)</f>
        <v>#N/A</v>
      </c>
      <c r="L293" s="80">
        <f ca="1">OFFSET(产销汇总!$C$1,MATCH(L$28,产销汇总!$C$2:$C$8,0),$C$27)*竞技场!$C$5</f>
        <v>180</v>
      </c>
      <c r="M293" s="80">
        <f>任务!$C$6+IF(MOD(B293,7)=0,任务!$M$25)</f>
        <v>30</v>
      </c>
      <c r="N293" s="98">
        <f t="shared" si="31"/>
        <v>1.7</v>
      </c>
      <c r="O293" s="80">
        <f t="shared" si="32"/>
        <v>0</v>
      </c>
      <c r="P293" s="172">
        <f ca="1">OFFSET(产销汇总!$C$1,MATCH(P$27,产销汇总!$C$2:$C$8,0),$C$27)/200*协力宝箱!$Q$82</f>
        <v>0</v>
      </c>
      <c r="Q293" s="80">
        <f t="shared" si="33"/>
        <v>10</v>
      </c>
      <c r="R293" s="80">
        <v>10</v>
      </c>
      <c r="S293" s="172">
        <f t="shared" si="35"/>
        <v>100</v>
      </c>
      <c r="T293" s="172">
        <f>(公会!$F$12+公会!$F$13+公会!$F$14+公会!$F$18/7)/2</f>
        <v>121.428571428571</v>
      </c>
      <c r="U293" s="172">
        <f t="shared" si="34"/>
        <v>150</v>
      </c>
      <c r="V293" s="172" t="e">
        <f ca="1">SUM($H$29:U293)+SUM(D293:G293)</f>
        <v>#N/A</v>
      </c>
      <c r="W293" s="132" t="e">
        <f ca="1" t="shared" si="36"/>
        <v>#N/A</v>
      </c>
    </row>
    <row r="294" spans="1:23">
      <c r="A294" s="171"/>
      <c r="B294" s="80">
        <v>266</v>
      </c>
      <c r="C294" s="80">
        <f ca="1">OFFSET(产销汇总!$C$12,$B294,$C$27)</f>
        <v>256</v>
      </c>
      <c r="D294" s="80">
        <f ca="1">SUMIF(主线宝箱!$B$321:$B$620,"&lt;="&amp;C294,主线宝箱!$H$321:$H$620)+SUMIF(主线宝箱!$B$321:$B$620,"&lt;="&amp;C294,主线宝箱!$T$321:$T$620)</f>
        <v>10240</v>
      </c>
      <c r="E294" s="80">
        <v>110</v>
      </c>
      <c r="F294" s="80">
        <f t="shared" si="30"/>
        <v>450</v>
      </c>
      <c r="G294" s="80">
        <f ca="1">IF(AND($C$27&lt;3,B294&gt;3),G293,SUMIF(图纸产出设计!$F$334:$F$342,"&lt;="&amp;B294,图纸产出设计!$C$334:$C$342))</f>
        <v>3890</v>
      </c>
      <c r="H294" s="80">
        <f ca="1">OFFSET(产销汇总!$C$1,MATCH(H$28,产销汇总!$C$2:$C$8,0),$C$27)*(_xlfn.XLOOKUP(C294,主线推图!$B$313:$B$612,主线推图!$G$313:$G$612)+_xlfn.XLOOKUP(C294,主线推图!$B$313:$B$612,主线推图!$H$313:$H$612))</f>
        <v>176</v>
      </c>
      <c r="I294" s="80">
        <f ca="1">OFFSET(产销汇总!$C$1,MATCH(I$28,产销汇总!$C$2:$C$8,0),$C$27)*_xlfn.XLOOKUP(C294,巡逻产出!$B$311:$B$610,巡逻产出!$H$311:$H$610)</f>
        <v>0</v>
      </c>
      <c r="J294" s="80" t="e">
        <f ca="1">OFFSET(产销汇总!$C$1,MATCH(J$28,产销汇总!$C$2:$C$8,0),$C$27)*(_xlfn.XLOOKUP(MAX(1,INT(C294/10-6/10)),组队产出!$B$24:$B$39,组队产出!$J$24:$J$39)+_xlfn.XLOOKUP(MAX(1,INT(C294/10-6/10)),组队产出!$B$24:$B$39,组队产出!$K$24:$K$39))</f>
        <v>#N/A</v>
      </c>
      <c r="K294" s="80">
        <f ca="1">OFFSET(产销汇总!$C$1,MATCH(K$28,产销汇总!$C$2:$C$8,0),$C$27)*_xlfn.XLOOKUP(C294,巡逻产出!$B$311:$B$610,巡逻产出!$I$311:$I$610)*IF($C$27=1,0.5,1)</f>
        <v>312</v>
      </c>
      <c r="L294" s="80">
        <f ca="1">OFFSET(产销汇总!$C$1,MATCH(L$28,产销汇总!$C$2:$C$8,0),$C$27)*竞技场!$C$5</f>
        <v>180</v>
      </c>
      <c r="M294" s="80">
        <f>任务!$C$6+IF(MOD(B294,7)=0,任务!$M$25)</f>
        <v>60</v>
      </c>
      <c r="N294" s="98">
        <f t="shared" si="31"/>
        <v>1.7</v>
      </c>
      <c r="O294" s="80">
        <f t="shared" si="32"/>
        <v>0</v>
      </c>
      <c r="P294" s="172">
        <f ca="1">OFFSET(产销汇总!$C$1,MATCH(P$27,产销汇总!$C$2:$C$8,0),$C$27)/200*协力宝箱!$Q$82</f>
        <v>0</v>
      </c>
      <c r="Q294" s="80">
        <f t="shared" si="33"/>
        <v>10</v>
      </c>
      <c r="R294" s="80">
        <v>10</v>
      </c>
      <c r="S294" s="172">
        <f t="shared" si="35"/>
        <v>100</v>
      </c>
      <c r="T294" s="172">
        <f>(公会!$F$12+公会!$F$13+公会!$F$14+公会!$F$18/7)/2</f>
        <v>121.428571428571</v>
      </c>
      <c r="U294" s="172">
        <f t="shared" si="34"/>
        <v>150</v>
      </c>
      <c r="V294" s="172" t="e">
        <f ca="1">SUM($H$29:U294)+SUM(D294:G294)</f>
        <v>#N/A</v>
      </c>
      <c r="W294" s="132" t="e">
        <f ca="1" t="shared" si="36"/>
        <v>#N/A</v>
      </c>
    </row>
    <row r="295" spans="1:23">
      <c r="A295" s="171"/>
      <c r="B295" s="80">
        <v>267</v>
      </c>
      <c r="C295" s="80">
        <f ca="1">OFFSET(产销汇总!$C$12,$B295,$C$27)</f>
        <v>256.5</v>
      </c>
      <c r="D295" s="80">
        <f ca="1">SUMIF(主线宝箱!$B$321:$B$620,"&lt;="&amp;C295,主线宝箱!$H$321:$H$620)+SUMIF(主线宝箱!$B$321:$B$620,"&lt;="&amp;C295,主线宝箱!$T$321:$T$620)</f>
        <v>10240</v>
      </c>
      <c r="E295" s="80">
        <v>110</v>
      </c>
      <c r="F295" s="80">
        <f t="shared" si="30"/>
        <v>450</v>
      </c>
      <c r="G295" s="80">
        <f ca="1">IF(AND($C$27&lt;3,B295&gt;3),G294,SUMIF(图纸产出设计!$F$334:$F$342,"&lt;="&amp;B295,图纸产出设计!$C$334:$C$342))</f>
        <v>3890</v>
      </c>
      <c r="H295" s="80" t="e">
        <f ca="1">OFFSET(产销汇总!$C$1,MATCH(H$28,产销汇总!$C$2:$C$8,0),$C$27)*(_xlfn.XLOOKUP(C295,主线推图!$B$313:$B$612,主线推图!$G$313:$G$612)+_xlfn.XLOOKUP(C295,主线推图!$B$313:$B$612,主线推图!$H$313:$H$612))</f>
        <v>#N/A</v>
      </c>
      <c r="I295" s="80" t="e">
        <f ca="1">OFFSET(产销汇总!$C$1,MATCH(I$28,产销汇总!$C$2:$C$8,0),$C$27)*_xlfn.XLOOKUP(C295,巡逻产出!$B$311:$B$610,巡逻产出!$H$311:$H$610)</f>
        <v>#N/A</v>
      </c>
      <c r="J295" s="80" t="e">
        <f ca="1">OFFSET(产销汇总!$C$1,MATCH(J$28,产销汇总!$C$2:$C$8,0),$C$27)*(_xlfn.XLOOKUP(MAX(1,INT(C295/10-6/10)),组队产出!$B$24:$B$39,组队产出!$J$24:$J$39)+_xlfn.XLOOKUP(MAX(1,INT(C295/10-6/10)),组队产出!$B$24:$B$39,组队产出!$K$24:$K$39))</f>
        <v>#N/A</v>
      </c>
      <c r="K295" s="80" t="e">
        <f ca="1">OFFSET(产销汇总!$C$1,MATCH(K$28,产销汇总!$C$2:$C$8,0),$C$27)*_xlfn.XLOOKUP(C295,巡逻产出!$B$311:$B$610,巡逻产出!$I$311:$I$610)*IF($C$27=1,0.5,1)</f>
        <v>#N/A</v>
      </c>
      <c r="L295" s="80">
        <f ca="1">OFFSET(产销汇总!$C$1,MATCH(L$28,产销汇总!$C$2:$C$8,0),$C$27)*竞技场!$C$5</f>
        <v>180</v>
      </c>
      <c r="M295" s="80">
        <f>任务!$C$6+IF(MOD(B295,7)=0,任务!$M$25)</f>
        <v>30</v>
      </c>
      <c r="N295" s="98">
        <f t="shared" si="31"/>
        <v>1.7</v>
      </c>
      <c r="O295" s="80">
        <f t="shared" si="32"/>
        <v>0</v>
      </c>
      <c r="P295" s="172">
        <f ca="1">OFFSET(产销汇总!$C$1,MATCH(P$27,产销汇总!$C$2:$C$8,0),$C$27)/200*协力宝箱!$Q$82</f>
        <v>0</v>
      </c>
      <c r="Q295" s="80">
        <f t="shared" si="33"/>
        <v>10</v>
      </c>
      <c r="R295" s="80">
        <v>10</v>
      </c>
      <c r="S295" s="172">
        <f t="shared" si="35"/>
        <v>100</v>
      </c>
      <c r="T295" s="172">
        <f>(公会!$F$12+公会!$F$13+公会!$F$14+公会!$F$18/7)/2</f>
        <v>121.428571428571</v>
      </c>
      <c r="U295" s="172">
        <f t="shared" si="34"/>
        <v>150</v>
      </c>
      <c r="V295" s="172" t="e">
        <f ca="1">SUM($H$29:U295)+SUM(D295:G295)</f>
        <v>#N/A</v>
      </c>
      <c r="W295" s="132" t="e">
        <f ca="1" t="shared" si="36"/>
        <v>#N/A</v>
      </c>
    </row>
    <row r="296" spans="1:23">
      <c r="A296" s="171"/>
      <c r="B296" s="80">
        <v>268</v>
      </c>
      <c r="C296" s="80">
        <f ca="1">OFFSET(产销汇总!$C$12,$B296,$C$27)</f>
        <v>257</v>
      </c>
      <c r="D296" s="80">
        <f ca="1">SUMIF(主线宝箱!$B$321:$B$620,"&lt;="&amp;C296,主线宝箱!$H$321:$H$620)+SUMIF(主线宝箱!$B$321:$B$620,"&lt;="&amp;C296,主线宝箱!$T$321:$T$620)</f>
        <v>10280</v>
      </c>
      <c r="E296" s="80">
        <v>110</v>
      </c>
      <c r="F296" s="80">
        <f t="shared" si="30"/>
        <v>450</v>
      </c>
      <c r="G296" s="80">
        <f ca="1">IF(AND($C$27&lt;3,B296&gt;3),G295,SUMIF(图纸产出设计!$F$334:$F$342,"&lt;="&amp;B296,图纸产出设计!$C$334:$C$342))</f>
        <v>3890</v>
      </c>
      <c r="H296" s="80">
        <f ca="1">OFFSET(产销汇总!$C$1,MATCH(H$28,产销汇总!$C$2:$C$8,0),$C$27)*(_xlfn.XLOOKUP(C296,主线推图!$B$313:$B$612,主线推图!$G$313:$G$612)+_xlfn.XLOOKUP(C296,主线推图!$B$313:$B$612,主线推图!$H$313:$H$612))</f>
        <v>176</v>
      </c>
      <c r="I296" s="80">
        <f ca="1">OFFSET(产销汇总!$C$1,MATCH(I$28,产销汇总!$C$2:$C$8,0),$C$27)*_xlfn.XLOOKUP(C296,巡逻产出!$B$311:$B$610,巡逻产出!$H$311:$H$610)</f>
        <v>0</v>
      </c>
      <c r="J296" s="80" t="e">
        <f ca="1">OFFSET(产销汇总!$C$1,MATCH(J$28,产销汇总!$C$2:$C$8,0),$C$27)*(_xlfn.XLOOKUP(MAX(1,INT(C296/10-6/10)),组队产出!$B$24:$B$39,组队产出!$J$24:$J$39)+_xlfn.XLOOKUP(MAX(1,INT(C296/10-6/10)),组队产出!$B$24:$B$39,组队产出!$K$24:$K$39))</f>
        <v>#N/A</v>
      </c>
      <c r="K296" s="80">
        <f ca="1">OFFSET(产销汇总!$C$1,MATCH(K$28,产销汇总!$C$2:$C$8,0),$C$27)*_xlfn.XLOOKUP(C296,巡逻产出!$B$311:$B$610,巡逻产出!$I$311:$I$610)*IF($C$27=1,0.5,1)</f>
        <v>312</v>
      </c>
      <c r="L296" s="80">
        <f ca="1">OFFSET(产销汇总!$C$1,MATCH(L$28,产销汇总!$C$2:$C$8,0),$C$27)*竞技场!$C$5</f>
        <v>180</v>
      </c>
      <c r="M296" s="80">
        <f>任务!$C$6+IF(MOD(B296,7)=0,任务!$M$25)</f>
        <v>30</v>
      </c>
      <c r="N296" s="98">
        <f t="shared" si="31"/>
        <v>1.7</v>
      </c>
      <c r="O296" s="80">
        <f t="shared" si="32"/>
        <v>10</v>
      </c>
      <c r="P296" s="172">
        <f ca="1">OFFSET(产销汇总!$C$1,MATCH(P$27,产销汇总!$C$2:$C$8,0),$C$27)/200*协力宝箱!$Q$82</f>
        <v>0</v>
      </c>
      <c r="Q296" s="80">
        <f t="shared" si="33"/>
        <v>10</v>
      </c>
      <c r="R296" s="80">
        <v>10</v>
      </c>
      <c r="S296" s="172">
        <f t="shared" si="35"/>
        <v>100</v>
      </c>
      <c r="T296" s="172">
        <f>(公会!$F$12+公会!$F$13+公会!$F$14+公会!$F$18/7)/2</f>
        <v>121.428571428571</v>
      </c>
      <c r="U296" s="172">
        <f t="shared" si="34"/>
        <v>150</v>
      </c>
      <c r="V296" s="172" t="e">
        <f ca="1">SUM($H$29:U296)+SUM(D296:G296)</f>
        <v>#N/A</v>
      </c>
      <c r="W296" s="132" t="e">
        <f ca="1" t="shared" si="36"/>
        <v>#N/A</v>
      </c>
    </row>
    <row r="297" spans="1:23">
      <c r="A297" s="171"/>
      <c r="B297" s="80">
        <v>269</v>
      </c>
      <c r="C297" s="80">
        <f ca="1">OFFSET(产销汇总!$C$12,$B297,$C$27)</f>
        <v>257.5</v>
      </c>
      <c r="D297" s="80">
        <f ca="1">SUMIF(主线宝箱!$B$321:$B$620,"&lt;="&amp;C297,主线宝箱!$H$321:$H$620)+SUMIF(主线宝箱!$B$321:$B$620,"&lt;="&amp;C297,主线宝箱!$T$321:$T$620)</f>
        <v>10280</v>
      </c>
      <c r="E297" s="80">
        <v>110</v>
      </c>
      <c r="F297" s="80">
        <f t="shared" si="30"/>
        <v>450</v>
      </c>
      <c r="G297" s="80">
        <f ca="1">IF(AND($C$27&lt;3,B297&gt;3),G296,SUMIF(图纸产出设计!$F$334:$F$342,"&lt;="&amp;B297,图纸产出设计!$C$334:$C$342))</f>
        <v>3890</v>
      </c>
      <c r="H297" s="80" t="e">
        <f ca="1">OFFSET(产销汇总!$C$1,MATCH(H$28,产销汇总!$C$2:$C$8,0),$C$27)*(_xlfn.XLOOKUP(C297,主线推图!$B$313:$B$612,主线推图!$G$313:$G$612)+_xlfn.XLOOKUP(C297,主线推图!$B$313:$B$612,主线推图!$H$313:$H$612))</f>
        <v>#N/A</v>
      </c>
      <c r="I297" s="80" t="e">
        <f ca="1">OFFSET(产销汇总!$C$1,MATCH(I$28,产销汇总!$C$2:$C$8,0),$C$27)*_xlfn.XLOOKUP(C297,巡逻产出!$B$311:$B$610,巡逻产出!$H$311:$H$610)</f>
        <v>#N/A</v>
      </c>
      <c r="J297" s="80" t="e">
        <f ca="1">OFFSET(产销汇总!$C$1,MATCH(J$28,产销汇总!$C$2:$C$8,0),$C$27)*(_xlfn.XLOOKUP(MAX(1,INT(C297/10-6/10)),组队产出!$B$24:$B$39,组队产出!$J$24:$J$39)+_xlfn.XLOOKUP(MAX(1,INT(C297/10-6/10)),组队产出!$B$24:$B$39,组队产出!$K$24:$K$39))</f>
        <v>#N/A</v>
      </c>
      <c r="K297" s="80" t="e">
        <f ca="1">OFFSET(产销汇总!$C$1,MATCH(K$28,产销汇总!$C$2:$C$8,0),$C$27)*_xlfn.XLOOKUP(C297,巡逻产出!$B$311:$B$610,巡逻产出!$I$311:$I$610)*IF($C$27=1,0.5,1)</f>
        <v>#N/A</v>
      </c>
      <c r="L297" s="80">
        <f ca="1">OFFSET(产销汇总!$C$1,MATCH(L$28,产销汇总!$C$2:$C$8,0),$C$27)*竞技场!$C$5</f>
        <v>180</v>
      </c>
      <c r="M297" s="80">
        <f>任务!$C$6+IF(MOD(B297,7)=0,任务!$M$25)</f>
        <v>30</v>
      </c>
      <c r="N297" s="98">
        <f t="shared" si="31"/>
        <v>1.7</v>
      </c>
      <c r="O297" s="80">
        <f t="shared" si="32"/>
        <v>0</v>
      </c>
      <c r="P297" s="172">
        <f ca="1">OFFSET(产销汇总!$C$1,MATCH(P$27,产销汇总!$C$2:$C$8,0),$C$27)/200*协力宝箱!$Q$82</f>
        <v>0</v>
      </c>
      <c r="Q297" s="80">
        <f t="shared" si="33"/>
        <v>10</v>
      </c>
      <c r="R297" s="80">
        <v>10</v>
      </c>
      <c r="S297" s="172">
        <f t="shared" si="35"/>
        <v>100</v>
      </c>
      <c r="T297" s="172">
        <f>(公会!$F$12+公会!$F$13+公会!$F$14+公会!$F$18/7)/2</f>
        <v>121.428571428571</v>
      </c>
      <c r="U297" s="172">
        <f t="shared" si="34"/>
        <v>150</v>
      </c>
      <c r="V297" s="172" t="e">
        <f ca="1">SUM($H$29:U297)+SUM(D297:G297)</f>
        <v>#N/A</v>
      </c>
      <c r="W297" s="132" t="e">
        <f ca="1" t="shared" si="36"/>
        <v>#N/A</v>
      </c>
    </row>
    <row r="298" spans="1:23">
      <c r="A298" s="171"/>
      <c r="B298" s="80">
        <v>270</v>
      </c>
      <c r="C298" s="80">
        <f ca="1">OFFSET(产销汇总!$C$12,$B298,$C$27)</f>
        <v>258</v>
      </c>
      <c r="D298" s="80">
        <f ca="1">SUMIF(主线宝箱!$B$321:$B$620,"&lt;="&amp;C298,主线宝箱!$H$321:$H$620)+SUMIF(主线宝箱!$B$321:$B$620,"&lt;="&amp;C298,主线宝箱!$T$321:$T$620)</f>
        <v>10320</v>
      </c>
      <c r="E298" s="80">
        <v>110</v>
      </c>
      <c r="F298" s="80">
        <f t="shared" si="30"/>
        <v>450</v>
      </c>
      <c r="G298" s="80">
        <f ca="1">IF(AND($C$27&lt;3,B298&gt;3),G297,SUMIF(图纸产出设计!$F$334:$F$342,"&lt;="&amp;B298,图纸产出设计!$C$334:$C$342))</f>
        <v>3890</v>
      </c>
      <c r="H298" s="80">
        <f ca="1">OFFSET(产销汇总!$C$1,MATCH(H$28,产销汇总!$C$2:$C$8,0),$C$27)*(_xlfn.XLOOKUP(C298,主线推图!$B$313:$B$612,主线推图!$G$313:$G$612)+_xlfn.XLOOKUP(C298,主线推图!$B$313:$B$612,主线推图!$H$313:$H$612))</f>
        <v>176</v>
      </c>
      <c r="I298" s="80">
        <f ca="1">OFFSET(产销汇总!$C$1,MATCH(I$28,产销汇总!$C$2:$C$8,0),$C$27)*_xlfn.XLOOKUP(C298,巡逻产出!$B$311:$B$610,巡逻产出!$H$311:$H$610)</f>
        <v>0</v>
      </c>
      <c r="J298" s="80" t="e">
        <f ca="1">OFFSET(产销汇总!$C$1,MATCH(J$28,产销汇总!$C$2:$C$8,0),$C$27)*(_xlfn.XLOOKUP(MAX(1,INT(C298/10-6/10)),组队产出!$B$24:$B$39,组队产出!$J$24:$J$39)+_xlfn.XLOOKUP(MAX(1,INT(C298/10-6/10)),组队产出!$B$24:$B$39,组队产出!$K$24:$K$39))</f>
        <v>#N/A</v>
      </c>
      <c r="K298" s="80">
        <f ca="1">OFFSET(产销汇总!$C$1,MATCH(K$28,产销汇总!$C$2:$C$8,0),$C$27)*_xlfn.XLOOKUP(C298,巡逻产出!$B$311:$B$610,巡逻产出!$I$311:$I$610)*IF($C$27=1,0.5,1)</f>
        <v>312</v>
      </c>
      <c r="L298" s="80">
        <f ca="1">OFFSET(产销汇总!$C$1,MATCH(L$28,产销汇总!$C$2:$C$8,0),$C$27)*竞技场!$C$5</f>
        <v>180</v>
      </c>
      <c r="M298" s="80">
        <f>任务!$C$6+IF(MOD(B298,7)=0,任务!$M$25)</f>
        <v>30</v>
      </c>
      <c r="N298" s="98">
        <f t="shared" si="31"/>
        <v>1.7</v>
      </c>
      <c r="O298" s="80">
        <f t="shared" si="32"/>
        <v>0</v>
      </c>
      <c r="P298" s="172">
        <f ca="1">OFFSET(产销汇总!$C$1,MATCH(P$27,产销汇总!$C$2:$C$8,0),$C$27)/200*协力宝箱!$Q$82</f>
        <v>0</v>
      </c>
      <c r="Q298" s="80">
        <f t="shared" si="33"/>
        <v>10</v>
      </c>
      <c r="R298" s="80">
        <v>10</v>
      </c>
      <c r="S298" s="172">
        <f t="shared" si="35"/>
        <v>100</v>
      </c>
      <c r="T298" s="172">
        <f>(公会!$F$12+公会!$F$13+公会!$F$14+公会!$F$18/7)/2</f>
        <v>121.428571428571</v>
      </c>
      <c r="U298" s="172">
        <f t="shared" si="34"/>
        <v>150</v>
      </c>
      <c r="V298" s="172" t="e">
        <f ca="1">SUM($H$29:U298)+SUM(D298:G298)</f>
        <v>#N/A</v>
      </c>
      <c r="W298" s="132" t="e">
        <f ca="1" t="shared" si="36"/>
        <v>#N/A</v>
      </c>
    </row>
    <row r="299" spans="1:23">
      <c r="A299" s="171"/>
      <c r="B299" s="80">
        <v>271</v>
      </c>
      <c r="C299" s="80">
        <f ca="1">OFFSET(产销汇总!$C$12,$B299,$C$27)</f>
        <v>258.5</v>
      </c>
      <c r="D299" s="80">
        <f ca="1">SUMIF(主线宝箱!$B$321:$B$620,"&lt;="&amp;C299,主线宝箱!$H$321:$H$620)+SUMIF(主线宝箱!$B$321:$B$620,"&lt;="&amp;C299,主线宝箱!$T$321:$T$620)</f>
        <v>10320</v>
      </c>
      <c r="E299" s="80">
        <v>110</v>
      </c>
      <c r="F299" s="80">
        <f t="shared" si="30"/>
        <v>450</v>
      </c>
      <c r="G299" s="80">
        <f ca="1">IF(AND($C$27&lt;3,B299&gt;3),G298,SUMIF(图纸产出设计!$F$334:$F$342,"&lt;="&amp;B299,图纸产出设计!$C$334:$C$342))</f>
        <v>3890</v>
      </c>
      <c r="H299" s="80" t="e">
        <f ca="1">OFFSET(产销汇总!$C$1,MATCH(H$28,产销汇总!$C$2:$C$8,0),$C$27)*(_xlfn.XLOOKUP(C299,主线推图!$B$313:$B$612,主线推图!$G$313:$G$612)+_xlfn.XLOOKUP(C299,主线推图!$B$313:$B$612,主线推图!$H$313:$H$612))</f>
        <v>#N/A</v>
      </c>
      <c r="I299" s="80" t="e">
        <f ca="1">OFFSET(产销汇总!$C$1,MATCH(I$28,产销汇总!$C$2:$C$8,0),$C$27)*_xlfn.XLOOKUP(C299,巡逻产出!$B$311:$B$610,巡逻产出!$H$311:$H$610)</f>
        <v>#N/A</v>
      </c>
      <c r="J299" s="80" t="e">
        <f ca="1">OFFSET(产销汇总!$C$1,MATCH(J$28,产销汇总!$C$2:$C$8,0),$C$27)*(_xlfn.XLOOKUP(MAX(1,INT(C299/10-6/10)),组队产出!$B$24:$B$39,组队产出!$J$24:$J$39)+_xlfn.XLOOKUP(MAX(1,INT(C299/10-6/10)),组队产出!$B$24:$B$39,组队产出!$K$24:$K$39))</f>
        <v>#N/A</v>
      </c>
      <c r="K299" s="80" t="e">
        <f ca="1">OFFSET(产销汇总!$C$1,MATCH(K$28,产销汇总!$C$2:$C$8,0),$C$27)*_xlfn.XLOOKUP(C299,巡逻产出!$B$311:$B$610,巡逻产出!$I$311:$I$610)*IF($C$27=1,0.5,1)</f>
        <v>#N/A</v>
      </c>
      <c r="L299" s="80">
        <f ca="1">OFFSET(产销汇总!$C$1,MATCH(L$28,产销汇总!$C$2:$C$8,0),$C$27)*竞技场!$C$5</f>
        <v>180</v>
      </c>
      <c r="M299" s="80">
        <f>任务!$C$6+IF(MOD(B299,7)=0,任务!$M$25)</f>
        <v>30</v>
      </c>
      <c r="N299" s="98">
        <f t="shared" si="31"/>
        <v>1.7</v>
      </c>
      <c r="O299" s="80">
        <f t="shared" si="32"/>
        <v>10</v>
      </c>
      <c r="P299" s="172">
        <f ca="1">OFFSET(产销汇总!$C$1,MATCH(P$27,产销汇总!$C$2:$C$8,0),$C$27)/200*协力宝箱!$Q$82</f>
        <v>0</v>
      </c>
      <c r="Q299" s="80">
        <f t="shared" si="33"/>
        <v>10</v>
      </c>
      <c r="R299" s="80">
        <v>10</v>
      </c>
      <c r="S299" s="172">
        <f t="shared" si="35"/>
        <v>100</v>
      </c>
      <c r="T299" s="172">
        <f>(公会!$F$12+公会!$F$13+公会!$F$14+公会!$F$18/7)/2</f>
        <v>121.428571428571</v>
      </c>
      <c r="U299" s="172">
        <f t="shared" si="34"/>
        <v>150</v>
      </c>
      <c r="V299" s="172" t="e">
        <f ca="1">SUM($H$29:U299)+SUM(D299:G299)</f>
        <v>#N/A</v>
      </c>
      <c r="W299" s="132" t="e">
        <f ca="1" t="shared" si="36"/>
        <v>#N/A</v>
      </c>
    </row>
    <row r="300" spans="1:23">
      <c r="A300" s="171"/>
      <c r="B300" s="80">
        <v>272</v>
      </c>
      <c r="C300" s="80">
        <f ca="1">OFFSET(产销汇总!$C$12,$B300,$C$27)</f>
        <v>259</v>
      </c>
      <c r="D300" s="80">
        <f ca="1">SUMIF(主线宝箱!$B$321:$B$620,"&lt;="&amp;C300,主线宝箱!$H$321:$H$620)+SUMIF(主线宝箱!$B$321:$B$620,"&lt;="&amp;C300,主线宝箱!$T$321:$T$620)</f>
        <v>10360</v>
      </c>
      <c r="E300" s="80">
        <v>110</v>
      </c>
      <c r="F300" s="80">
        <f t="shared" si="30"/>
        <v>450</v>
      </c>
      <c r="G300" s="80">
        <f ca="1">IF(AND($C$27&lt;3,B300&gt;3),G299,SUMIF(图纸产出设计!$F$334:$F$342,"&lt;="&amp;B300,图纸产出设计!$C$334:$C$342))</f>
        <v>3890</v>
      </c>
      <c r="H300" s="80">
        <f ca="1">OFFSET(产销汇总!$C$1,MATCH(H$28,产销汇总!$C$2:$C$8,0),$C$27)*(_xlfn.XLOOKUP(C300,主线推图!$B$313:$B$612,主线推图!$G$313:$G$612)+_xlfn.XLOOKUP(C300,主线推图!$B$313:$B$612,主线推图!$H$313:$H$612))</f>
        <v>176</v>
      </c>
      <c r="I300" s="80">
        <f ca="1">OFFSET(产销汇总!$C$1,MATCH(I$28,产销汇总!$C$2:$C$8,0),$C$27)*_xlfn.XLOOKUP(C300,巡逻产出!$B$311:$B$610,巡逻产出!$H$311:$H$610)</f>
        <v>0</v>
      </c>
      <c r="J300" s="80" t="e">
        <f ca="1">OFFSET(产销汇总!$C$1,MATCH(J$28,产销汇总!$C$2:$C$8,0),$C$27)*(_xlfn.XLOOKUP(MAX(1,INT(C300/10-6/10)),组队产出!$B$24:$B$39,组队产出!$J$24:$J$39)+_xlfn.XLOOKUP(MAX(1,INT(C300/10-6/10)),组队产出!$B$24:$B$39,组队产出!$K$24:$K$39))</f>
        <v>#N/A</v>
      </c>
      <c r="K300" s="80">
        <f ca="1">OFFSET(产销汇总!$C$1,MATCH(K$28,产销汇总!$C$2:$C$8,0),$C$27)*_xlfn.XLOOKUP(C300,巡逻产出!$B$311:$B$610,巡逻产出!$I$311:$I$610)*IF($C$27=1,0.5,1)</f>
        <v>312</v>
      </c>
      <c r="L300" s="80">
        <f ca="1">OFFSET(产销汇总!$C$1,MATCH(L$28,产销汇总!$C$2:$C$8,0),$C$27)*竞技场!$C$5</f>
        <v>180</v>
      </c>
      <c r="M300" s="80">
        <f>任务!$C$6+IF(MOD(B300,7)=0,任务!$M$25)</f>
        <v>30</v>
      </c>
      <c r="N300" s="98">
        <f t="shared" si="31"/>
        <v>1.7</v>
      </c>
      <c r="O300" s="80">
        <f t="shared" si="32"/>
        <v>0</v>
      </c>
      <c r="P300" s="172">
        <f ca="1">OFFSET(产销汇总!$C$1,MATCH(P$27,产销汇总!$C$2:$C$8,0),$C$27)/200*协力宝箱!$Q$82</f>
        <v>0</v>
      </c>
      <c r="Q300" s="80">
        <f t="shared" si="33"/>
        <v>10</v>
      </c>
      <c r="R300" s="80">
        <v>10</v>
      </c>
      <c r="S300" s="172">
        <f t="shared" si="35"/>
        <v>100</v>
      </c>
      <c r="T300" s="172">
        <f>(公会!$F$12+公会!$F$13+公会!$F$14+公会!$F$18/7)/2</f>
        <v>121.428571428571</v>
      </c>
      <c r="U300" s="172">
        <f t="shared" si="34"/>
        <v>150</v>
      </c>
      <c r="V300" s="172" t="e">
        <f ca="1">SUM($H$29:U300)+SUM(D300:G300)</f>
        <v>#N/A</v>
      </c>
      <c r="W300" s="132" t="e">
        <f ca="1" t="shared" si="36"/>
        <v>#N/A</v>
      </c>
    </row>
    <row r="301" spans="1:23">
      <c r="A301" s="171"/>
      <c r="B301" s="80">
        <v>273</v>
      </c>
      <c r="C301" s="80">
        <f ca="1">OFFSET(产销汇总!$C$12,$B301,$C$27)</f>
        <v>259.5</v>
      </c>
      <c r="D301" s="80">
        <f ca="1">SUMIF(主线宝箱!$B$321:$B$620,"&lt;="&amp;C301,主线宝箱!$H$321:$H$620)+SUMIF(主线宝箱!$B$321:$B$620,"&lt;="&amp;C301,主线宝箱!$T$321:$T$620)</f>
        <v>10360</v>
      </c>
      <c r="E301" s="80">
        <v>110</v>
      </c>
      <c r="F301" s="80">
        <f t="shared" ref="F301:F328" si="37">F300</f>
        <v>450</v>
      </c>
      <c r="G301" s="80">
        <f ca="1">IF(AND($C$27&lt;3,B301&gt;3),G300,SUMIF(图纸产出设计!$F$334:$F$342,"&lt;="&amp;B301,图纸产出设计!$C$334:$C$342))</f>
        <v>3890</v>
      </c>
      <c r="H301" s="80" t="e">
        <f ca="1">OFFSET(产销汇总!$C$1,MATCH(H$28,产销汇总!$C$2:$C$8,0),$C$27)*(_xlfn.XLOOKUP(C301,主线推图!$B$313:$B$612,主线推图!$G$313:$G$612)+_xlfn.XLOOKUP(C301,主线推图!$B$313:$B$612,主线推图!$H$313:$H$612))</f>
        <v>#N/A</v>
      </c>
      <c r="I301" s="80" t="e">
        <f ca="1">OFFSET(产销汇总!$C$1,MATCH(I$28,产销汇总!$C$2:$C$8,0),$C$27)*_xlfn.XLOOKUP(C301,巡逻产出!$B$311:$B$610,巡逻产出!$H$311:$H$610)</f>
        <v>#N/A</v>
      </c>
      <c r="J301" s="80" t="e">
        <f ca="1">OFFSET(产销汇总!$C$1,MATCH(J$28,产销汇总!$C$2:$C$8,0),$C$27)*(_xlfn.XLOOKUP(MAX(1,INT(C301/10-6/10)),组队产出!$B$24:$B$39,组队产出!$J$24:$J$39)+_xlfn.XLOOKUP(MAX(1,INT(C301/10-6/10)),组队产出!$B$24:$B$39,组队产出!$K$24:$K$39))</f>
        <v>#N/A</v>
      </c>
      <c r="K301" s="80" t="e">
        <f ca="1">OFFSET(产销汇总!$C$1,MATCH(K$28,产销汇总!$C$2:$C$8,0),$C$27)*_xlfn.XLOOKUP(C301,巡逻产出!$B$311:$B$610,巡逻产出!$I$311:$I$610)*IF($C$27=1,0.5,1)</f>
        <v>#N/A</v>
      </c>
      <c r="L301" s="80">
        <f ca="1">OFFSET(产销汇总!$C$1,MATCH(L$28,产销汇总!$C$2:$C$8,0),$C$27)*竞技场!$C$5</f>
        <v>180</v>
      </c>
      <c r="M301" s="80">
        <f>任务!$C$6+IF(MOD(B301,7)=0,任务!$M$25)</f>
        <v>60</v>
      </c>
      <c r="N301" s="98">
        <f t="shared" si="31"/>
        <v>1.7</v>
      </c>
      <c r="O301" s="80">
        <f t="shared" si="32"/>
        <v>0</v>
      </c>
      <c r="P301" s="172">
        <f ca="1">OFFSET(产销汇总!$C$1,MATCH(P$27,产销汇总!$C$2:$C$8,0),$C$27)/200*协力宝箱!$Q$82</f>
        <v>0</v>
      </c>
      <c r="Q301" s="80">
        <f t="shared" si="33"/>
        <v>10</v>
      </c>
      <c r="R301" s="80">
        <v>10</v>
      </c>
      <c r="S301" s="172">
        <f t="shared" si="35"/>
        <v>100</v>
      </c>
      <c r="T301" s="172">
        <f>(公会!$F$12+公会!$F$13+公会!$F$14+公会!$F$18/7)/2</f>
        <v>121.428571428571</v>
      </c>
      <c r="U301" s="172">
        <f t="shared" si="34"/>
        <v>150</v>
      </c>
      <c r="V301" s="172" t="e">
        <f ca="1">SUM($H$29:U301)+SUM(D301:G301)</f>
        <v>#N/A</v>
      </c>
      <c r="W301" s="132" t="e">
        <f ca="1" t="shared" si="36"/>
        <v>#N/A</v>
      </c>
    </row>
    <row r="302" spans="1:23">
      <c r="A302" s="171"/>
      <c r="B302" s="80">
        <v>274</v>
      </c>
      <c r="C302" s="80">
        <f ca="1">OFFSET(产销汇总!$C$12,$B302,$C$27)</f>
        <v>260</v>
      </c>
      <c r="D302" s="80">
        <f ca="1">SUMIF(主线宝箱!$B$321:$B$620,"&lt;="&amp;C302,主线宝箱!$H$321:$H$620)+SUMIF(主线宝箱!$B$321:$B$620,"&lt;="&amp;C302,主线宝箱!$T$321:$T$620)</f>
        <v>10400</v>
      </c>
      <c r="E302" s="80">
        <v>110</v>
      </c>
      <c r="F302" s="80">
        <f t="shared" si="37"/>
        <v>450</v>
      </c>
      <c r="G302" s="80">
        <f ca="1">IF(AND($C$27&lt;3,B302&gt;3),G301,SUMIF(图纸产出设计!$F$334:$F$342,"&lt;="&amp;B302,图纸产出设计!$C$334:$C$342))</f>
        <v>3890</v>
      </c>
      <c r="H302" s="80">
        <f ca="1">OFFSET(产销汇总!$C$1,MATCH(H$28,产销汇总!$C$2:$C$8,0),$C$27)*(_xlfn.XLOOKUP(C302,主线推图!$B$313:$B$612,主线推图!$G$313:$G$612)+_xlfn.XLOOKUP(C302,主线推图!$B$313:$B$612,主线推图!$H$313:$H$612))</f>
        <v>176</v>
      </c>
      <c r="I302" s="80">
        <f ca="1">OFFSET(产销汇总!$C$1,MATCH(I$28,产销汇总!$C$2:$C$8,0),$C$27)*_xlfn.XLOOKUP(C302,巡逻产出!$B$311:$B$610,巡逻产出!$H$311:$H$610)</f>
        <v>0</v>
      </c>
      <c r="J302" s="80" t="e">
        <f ca="1">OFFSET(产销汇总!$C$1,MATCH(J$28,产销汇总!$C$2:$C$8,0),$C$27)*(_xlfn.XLOOKUP(MAX(1,INT(C302/10-6/10)),组队产出!$B$24:$B$39,组队产出!$J$24:$J$39)+_xlfn.XLOOKUP(MAX(1,INT(C302/10-6/10)),组队产出!$B$24:$B$39,组队产出!$K$24:$K$39))</f>
        <v>#N/A</v>
      </c>
      <c r="K302" s="80">
        <f ca="1">OFFSET(产销汇总!$C$1,MATCH(K$28,产销汇总!$C$2:$C$8,0),$C$27)*_xlfn.XLOOKUP(C302,巡逻产出!$B$311:$B$610,巡逻产出!$I$311:$I$610)*IF($C$27=1,0.5,1)</f>
        <v>312</v>
      </c>
      <c r="L302" s="80">
        <f ca="1">OFFSET(产销汇总!$C$1,MATCH(L$28,产销汇总!$C$2:$C$8,0),$C$27)*竞技场!$C$5</f>
        <v>180</v>
      </c>
      <c r="M302" s="80">
        <f>任务!$C$6+IF(MOD(B302,7)=0,任务!$M$25)</f>
        <v>30</v>
      </c>
      <c r="N302" s="98">
        <f t="shared" si="31"/>
        <v>1.7</v>
      </c>
      <c r="O302" s="80">
        <f t="shared" si="32"/>
        <v>0</v>
      </c>
      <c r="P302" s="172">
        <f ca="1">OFFSET(产销汇总!$C$1,MATCH(P$27,产销汇总!$C$2:$C$8,0),$C$27)/200*协力宝箱!$Q$82</f>
        <v>0</v>
      </c>
      <c r="Q302" s="80">
        <f t="shared" si="33"/>
        <v>10</v>
      </c>
      <c r="R302" s="80">
        <v>10</v>
      </c>
      <c r="S302" s="172">
        <f t="shared" si="35"/>
        <v>100</v>
      </c>
      <c r="T302" s="172">
        <f>(公会!$F$12+公会!$F$13+公会!$F$14+公会!$F$18/7)/2</f>
        <v>121.428571428571</v>
      </c>
      <c r="U302" s="172">
        <f t="shared" si="34"/>
        <v>150</v>
      </c>
      <c r="V302" s="172" t="e">
        <f ca="1">SUM($H$29:U302)+SUM(D302:G302)</f>
        <v>#N/A</v>
      </c>
      <c r="W302" s="132" t="e">
        <f ca="1" t="shared" si="36"/>
        <v>#N/A</v>
      </c>
    </row>
    <row r="303" spans="1:23">
      <c r="A303" s="171"/>
      <c r="B303" s="80">
        <v>275</v>
      </c>
      <c r="C303" s="80">
        <f ca="1">OFFSET(产销汇总!$C$12,$B303,$C$27)</f>
        <v>260.5</v>
      </c>
      <c r="D303" s="80">
        <f ca="1">SUMIF(主线宝箱!$B$321:$B$620,"&lt;="&amp;C303,主线宝箱!$H$321:$H$620)+SUMIF(主线宝箱!$B$321:$B$620,"&lt;="&amp;C303,主线宝箱!$T$321:$T$620)</f>
        <v>10400</v>
      </c>
      <c r="E303" s="80">
        <v>110</v>
      </c>
      <c r="F303" s="80">
        <f t="shared" si="37"/>
        <v>450</v>
      </c>
      <c r="G303" s="80">
        <f ca="1">IF(AND($C$27&lt;3,B303&gt;3),G302,SUMIF(图纸产出设计!$F$334:$F$342,"&lt;="&amp;B303,图纸产出设计!$C$334:$C$342))</f>
        <v>3890</v>
      </c>
      <c r="H303" s="80" t="e">
        <f ca="1">OFFSET(产销汇总!$C$1,MATCH(H$28,产销汇总!$C$2:$C$8,0),$C$27)*(_xlfn.XLOOKUP(C303,主线推图!$B$313:$B$612,主线推图!$G$313:$G$612)+_xlfn.XLOOKUP(C303,主线推图!$B$313:$B$612,主线推图!$H$313:$H$612))</f>
        <v>#N/A</v>
      </c>
      <c r="I303" s="80" t="e">
        <f ca="1">OFFSET(产销汇总!$C$1,MATCH(I$28,产销汇总!$C$2:$C$8,0),$C$27)*_xlfn.XLOOKUP(C303,巡逻产出!$B$311:$B$610,巡逻产出!$H$311:$H$610)</f>
        <v>#N/A</v>
      </c>
      <c r="J303" s="80" t="e">
        <f ca="1">OFFSET(产销汇总!$C$1,MATCH(J$28,产销汇总!$C$2:$C$8,0),$C$27)*(_xlfn.XLOOKUP(MAX(1,INT(C303/10-6/10)),组队产出!$B$24:$B$39,组队产出!$J$24:$J$39)+_xlfn.XLOOKUP(MAX(1,INT(C303/10-6/10)),组队产出!$B$24:$B$39,组队产出!$K$24:$K$39))</f>
        <v>#N/A</v>
      </c>
      <c r="K303" s="80" t="e">
        <f ca="1">OFFSET(产销汇总!$C$1,MATCH(K$28,产销汇总!$C$2:$C$8,0),$C$27)*_xlfn.XLOOKUP(C303,巡逻产出!$B$311:$B$610,巡逻产出!$I$311:$I$610)*IF($C$27=1,0.5,1)</f>
        <v>#N/A</v>
      </c>
      <c r="L303" s="80">
        <f ca="1">OFFSET(产销汇总!$C$1,MATCH(L$28,产销汇总!$C$2:$C$8,0),$C$27)*竞技场!$C$5</f>
        <v>180</v>
      </c>
      <c r="M303" s="80">
        <f>任务!$C$6+IF(MOD(B303,7)=0,任务!$M$25)</f>
        <v>30</v>
      </c>
      <c r="N303" s="98">
        <f t="shared" si="31"/>
        <v>1.7</v>
      </c>
      <c r="O303" s="80">
        <f t="shared" si="32"/>
        <v>10</v>
      </c>
      <c r="P303" s="172">
        <f ca="1">OFFSET(产销汇总!$C$1,MATCH(P$27,产销汇总!$C$2:$C$8,0),$C$27)/200*协力宝箱!$Q$82</f>
        <v>0</v>
      </c>
      <c r="Q303" s="80">
        <f t="shared" si="33"/>
        <v>10</v>
      </c>
      <c r="R303" s="80">
        <v>10</v>
      </c>
      <c r="S303" s="172">
        <f t="shared" si="35"/>
        <v>100</v>
      </c>
      <c r="T303" s="172">
        <f>(公会!$F$12+公会!$F$13+公会!$F$14+公会!$F$18/7)/2</f>
        <v>121.428571428571</v>
      </c>
      <c r="U303" s="172">
        <f t="shared" si="34"/>
        <v>150</v>
      </c>
      <c r="V303" s="172" t="e">
        <f ca="1">SUM($H$29:U303)+SUM(D303:G303)</f>
        <v>#N/A</v>
      </c>
      <c r="W303" s="132" t="e">
        <f ca="1" t="shared" si="36"/>
        <v>#N/A</v>
      </c>
    </row>
    <row r="304" spans="1:23">
      <c r="A304" s="171"/>
      <c r="B304" s="80">
        <v>276</v>
      </c>
      <c r="C304" s="80">
        <f ca="1">OFFSET(产销汇总!$C$12,$B304,$C$27)</f>
        <v>261</v>
      </c>
      <c r="D304" s="80">
        <f ca="1">SUMIF(主线宝箱!$B$321:$B$620,"&lt;="&amp;C304,主线宝箱!$H$321:$H$620)+SUMIF(主线宝箱!$B$321:$B$620,"&lt;="&amp;C304,主线宝箱!$T$321:$T$620)</f>
        <v>10440</v>
      </c>
      <c r="E304" s="80">
        <v>110</v>
      </c>
      <c r="F304" s="80">
        <f t="shared" si="37"/>
        <v>450</v>
      </c>
      <c r="G304" s="80">
        <f ca="1">IF(AND($C$27&lt;3,B304&gt;3),G303,SUMIF(图纸产出设计!$F$334:$F$342,"&lt;="&amp;B304,图纸产出设计!$C$334:$C$342))</f>
        <v>3890</v>
      </c>
      <c r="H304" s="80">
        <f ca="1">OFFSET(产销汇总!$C$1,MATCH(H$28,产销汇总!$C$2:$C$8,0),$C$27)*(_xlfn.XLOOKUP(C304,主线推图!$B$313:$B$612,主线推图!$G$313:$G$612)+_xlfn.XLOOKUP(C304,主线推图!$B$313:$B$612,主线推图!$H$313:$H$612))</f>
        <v>176</v>
      </c>
      <c r="I304" s="80">
        <f ca="1">OFFSET(产销汇总!$C$1,MATCH(I$28,产销汇总!$C$2:$C$8,0),$C$27)*_xlfn.XLOOKUP(C304,巡逻产出!$B$311:$B$610,巡逻产出!$H$311:$H$610)</f>
        <v>0</v>
      </c>
      <c r="J304" s="80" t="e">
        <f ca="1">OFFSET(产销汇总!$C$1,MATCH(J$28,产销汇总!$C$2:$C$8,0),$C$27)*(_xlfn.XLOOKUP(MAX(1,INT(C304/10-6/10)),组队产出!$B$24:$B$39,组队产出!$J$24:$J$39)+_xlfn.XLOOKUP(MAX(1,INT(C304/10-6/10)),组队产出!$B$24:$B$39,组队产出!$K$24:$K$39))</f>
        <v>#N/A</v>
      </c>
      <c r="K304" s="80">
        <f ca="1">OFFSET(产销汇总!$C$1,MATCH(K$28,产销汇总!$C$2:$C$8,0),$C$27)*_xlfn.XLOOKUP(C304,巡逻产出!$B$311:$B$610,巡逻产出!$I$311:$I$610)*IF($C$27=1,0.5,1)</f>
        <v>312</v>
      </c>
      <c r="L304" s="80">
        <f ca="1">OFFSET(产销汇总!$C$1,MATCH(L$28,产销汇总!$C$2:$C$8,0),$C$27)*竞技场!$C$5</f>
        <v>180</v>
      </c>
      <c r="M304" s="80">
        <f>任务!$C$6+IF(MOD(B304,7)=0,任务!$M$25)</f>
        <v>30</v>
      </c>
      <c r="N304" s="98">
        <f t="shared" si="31"/>
        <v>1.7</v>
      </c>
      <c r="O304" s="80">
        <f t="shared" si="32"/>
        <v>0</v>
      </c>
      <c r="P304" s="172">
        <f ca="1">OFFSET(产销汇总!$C$1,MATCH(P$27,产销汇总!$C$2:$C$8,0),$C$27)/200*协力宝箱!$Q$82</f>
        <v>0</v>
      </c>
      <c r="Q304" s="80">
        <f t="shared" si="33"/>
        <v>10</v>
      </c>
      <c r="R304" s="80">
        <v>10</v>
      </c>
      <c r="S304" s="172">
        <f t="shared" si="35"/>
        <v>100</v>
      </c>
      <c r="T304" s="172">
        <f>(公会!$F$12+公会!$F$13+公会!$F$14+公会!$F$18/7)/2</f>
        <v>121.428571428571</v>
      </c>
      <c r="U304" s="172">
        <f t="shared" si="34"/>
        <v>150</v>
      </c>
      <c r="V304" s="172" t="e">
        <f ca="1">SUM($H$29:U304)+SUM(D304:G304)</f>
        <v>#N/A</v>
      </c>
      <c r="W304" s="132" t="e">
        <f ca="1" t="shared" si="36"/>
        <v>#N/A</v>
      </c>
    </row>
    <row r="305" spans="1:23">
      <c r="A305" s="171"/>
      <c r="B305" s="80">
        <v>277</v>
      </c>
      <c r="C305" s="80">
        <f ca="1">OFFSET(产销汇总!$C$12,$B305,$C$27)</f>
        <v>261.5</v>
      </c>
      <c r="D305" s="80">
        <f ca="1">SUMIF(主线宝箱!$B$321:$B$620,"&lt;="&amp;C305,主线宝箱!$H$321:$H$620)+SUMIF(主线宝箱!$B$321:$B$620,"&lt;="&amp;C305,主线宝箱!$T$321:$T$620)</f>
        <v>10440</v>
      </c>
      <c r="E305" s="80">
        <v>110</v>
      </c>
      <c r="F305" s="80">
        <f t="shared" si="37"/>
        <v>450</v>
      </c>
      <c r="G305" s="80">
        <f ca="1">IF(AND($C$27&lt;3,B305&gt;3),G304,SUMIF(图纸产出设计!$F$334:$F$342,"&lt;="&amp;B305,图纸产出设计!$C$334:$C$342))</f>
        <v>3890</v>
      </c>
      <c r="H305" s="80" t="e">
        <f ca="1">OFFSET(产销汇总!$C$1,MATCH(H$28,产销汇总!$C$2:$C$8,0),$C$27)*(_xlfn.XLOOKUP(C305,主线推图!$B$313:$B$612,主线推图!$G$313:$G$612)+_xlfn.XLOOKUP(C305,主线推图!$B$313:$B$612,主线推图!$H$313:$H$612))</f>
        <v>#N/A</v>
      </c>
      <c r="I305" s="80" t="e">
        <f ca="1">OFFSET(产销汇总!$C$1,MATCH(I$28,产销汇总!$C$2:$C$8,0),$C$27)*_xlfn.XLOOKUP(C305,巡逻产出!$B$311:$B$610,巡逻产出!$H$311:$H$610)</f>
        <v>#N/A</v>
      </c>
      <c r="J305" s="80" t="e">
        <f ca="1">OFFSET(产销汇总!$C$1,MATCH(J$28,产销汇总!$C$2:$C$8,0),$C$27)*(_xlfn.XLOOKUP(MAX(1,INT(C305/10-6/10)),组队产出!$B$24:$B$39,组队产出!$J$24:$J$39)+_xlfn.XLOOKUP(MAX(1,INT(C305/10-6/10)),组队产出!$B$24:$B$39,组队产出!$K$24:$K$39))</f>
        <v>#N/A</v>
      </c>
      <c r="K305" s="80" t="e">
        <f ca="1">OFFSET(产销汇总!$C$1,MATCH(K$28,产销汇总!$C$2:$C$8,0),$C$27)*_xlfn.XLOOKUP(C305,巡逻产出!$B$311:$B$610,巡逻产出!$I$311:$I$610)*IF($C$27=1,0.5,1)</f>
        <v>#N/A</v>
      </c>
      <c r="L305" s="80">
        <f ca="1">OFFSET(产销汇总!$C$1,MATCH(L$28,产销汇总!$C$2:$C$8,0),$C$27)*竞技场!$C$5</f>
        <v>180</v>
      </c>
      <c r="M305" s="80">
        <f>任务!$C$6+IF(MOD(B305,7)=0,任务!$M$25)</f>
        <v>30</v>
      </c>
      <c r="N305" s="98">
        <f t="shared" si="31"/>
        <v>1.7</v>
      </c>
      <c r="O305" s="80">
        <f t="shared" si="32"/>
        <v>0</v>
      </c>
      <c r="P305" s="172">
        <f ca="1">OFFSET(产销汇总!$C$1,MATCH(P$27,产销汇总!$C$2:$C$8,0),$C$27)/200*协力宝箱!$Q$82</f>
        <v>0</v>
      </c>
      <c r="Q305" s="80">
        <f t="shared" si="33"/>
        <v>10</v>
      </c>
      <c r="R305" s="80">
        <v>10</v>
      </c>
      <c r="S305" s="172">
        <f t="shared" si="35"/>
        <v>100</v>
      </c>
      <c r="T305" s="172">
        <f>(公会!$F$12+公会!$F$13+公会!$F$14+公会!$F$18/7)/2</f>
        <v>121.428571428571</v>
      </c>
      <c r="U305" s="172">
        <f t="shared" si="34"/>
        <v>150</v>
      </c>
      <c r="V305" s="172" t="e">
        <f ca="1">SUM($H$29:U305)+SUM(D305:G305)</f>
        <v>#N/A</v>
      </c>
      <c r="W305" s="132" t="e">
        <f ca="1" t="shared" si="36"/>
        <v>#N/A</v>
      </c>
    </row>
    <row r="306" spans="1:23">
      <c r="A306" s="171"/>
      <c r="B306" s="80">
        <v>278</v>
      </c>
      <c r="C306" s="80">
        <f ca="1">OFFSET(产销汇总!$C$12,$B306,$C$27)</f>
        <v>262</v>
      </c>
      <c r="D306" s="80">
        <f ca="1">SUMIF(主线宝箱!$B$321:$B$620,"&lt;="&amp;C306,主线宝箱!$H$321:$H$620)+SUMIF(主线宝箱!$B$321:$B$620,"&lt;="&amp;C306,主线宝箱!$T$321:$T$620)</f>
        <v>10480</v>
      </c>
      <c r="E306" s="80">
        <v>110</v>
      </c>
      <c r="F306" s="80">
        <f t="shared" si="37"/>
        <v>450</v>
      </c>
      <c r="G306" s="80">
        <f ca="1">IF(AND($C$27&lt;3,B306&gt;3),G305,SUMIF(图纸产出设计!$F$334:$F$342,"&lt;="&amp;B306,图纸产出设计!$C$334:$C$342))</f>
        <v>3890</v>
      </c>
      <c r="H306" s="80">
        <f ca="1">OFFSET(产销汇总!$C$1,MATCH(H$28,产销汇总!$C$2:$C$8,0),$C$27)*(_xlfn.XLOOKUP(C306,主线推图!$B$313:$B$612,主线推图!$G$313:$G$612)+_xlfn.XLOOKUP(C306,主线推图!$B$313:$B$612,主线推图!$H$313:$H$612))</f>
        <v>176</v>
      </c>
      <c r="I306" s="80">
        <f ca="1">OFFSET(产销汇总!$C$1,MATCH(I$28,产销汇总!$C$2:$C$8,0),$C$27)*_xlfn.XLOOKUP(C306,巡逻产出!$B$311:$B$610,巡逻产出!$H$311:$H$610)</f>
        <v>0</v>
      </c>
      <c r="J306" s="80" t="e">
        <f ca="1">OFFSET(产销汇总!$C$1,MATCH(J$28,产销汇总!$C$2:$C$8,0),$C$27)*(_xlfn.XLOOKUP(MAX(1,INT(C306/10-6/10)),组队产出!$B$24:$B$39,组队产出!$J$24:$J$39)+_xlfn.XLOOKUP(MAX(1,INT(C306/10-6/10)),组队产出!$B$24:$B$39,组队产出!$K$24:$K$39))</f>
        <v>#N/A</v>
      </c>
      <c r="K306" s="80">
        <f ca="1">OFFSET(产销汇总!$C$1,MATCH(K$28,产销汇总!$C$2:$C$8,0),$C$27)*_xlfn.XLOOKUP(C306,巡逻产出!$B$311:$B$610,巡逻产出!$I$311:$I$610)*IF($C$27=1,0.5,1)</f>
        <v>312</v>
      </c>
      <c r="L306" s="80">
        <f ca="1">OFFSET(产销汇总!$C$1,MATCH(L$28,产销汇总!$C$2:$C$8,0),$C$27)*竞技场!$C$5</f>
        <v>180</v>
      </c>
      <c r="M306" s="80">
        <f>任务!$C$6+IF(MOD(B306,7)=0,任务!$M$25)</f>
        <v>30</v>
      </c>
      <c r="N306" s="98">
        <f t="shared" si="31"/>
        <v>1.7</v>
      </c>
      <c r="O306" s="80">
        <f t="shared" si="32"/>
        <v>10</v>
      </c>
      <c r="P306" s="172">
        <f ca="1">OFFSET(产销汇总!$C$1,MATCH(P$27,产销汇总!$C$2:$C$8,0),$C$27)/200*协力宝箱!$Q$82</f>
        <v>0</v>
      </c>
      <c r="Q306" s="80">
        <f t="shared" si="33"/>
        <v>10</v>
      </c>
      <c r="R306" s="80">
        <v>10</v>
      </c>
      <c r="S306" s="172">
        <f t="shared" si="35"/>
        <v>100</v>
      </c>
      <c r="T306" s="172">
        <f>(公会!$F$12+公会!$F$13+公会!$F$14+公会!$F$18/7)/2</f>
        <v>121.428571428571</v>
      </c>
      <c r="U306" s="172">
        <f t="shared" si="34"/>
        <v>150</v>
      </c>
      <c r="V306" s="172" t="e">
        <f ca="1">SUM($H$29:U306)+SUM(D306:G306)</f>
        <v>#N/A</v>
      </c>
      <c r="W306" s="132" t="e">
        <f ca="1" t="shared" si="36"/>
        <v>#N/A</v>
      </c>
    </row>
    <row r="307" spans="1:23">
      <c r="A307" s="171"/>
      <c r="B307" s="80">
        <v>279</v>
      </c>
      <c r="C307" s="80">
        <f ca="1">OFFSET(产销汇总!$C$12,$B307,$C$27)</f>
        <v>262.5</v>
      </c>
      <c r="D307" s="80">
        <f ca="1">SUMIF(主线宝箱!$B$321:$B$620,"&lt;="&amp;C307,主线宝箱!$H$321:$H$620)+SUMIF(主线宝箱!$B$321:$B$620,"&lt;="&amp;C307,主线宝箱!$T$321:$T$620)</f>
        <v>10480</v>
      </c>
      <c r="E307" s="80">
        <v>110</v>
      </c>
      <c r="F307" s="80">
        <f t="shared" si="37"/>
        <v>450</v>
      </c>
      <c r="G307" s="80">
        <f ca="1">IF(AND($C$27&lt;3,B307&gt;3),G306,SUMIF(图纸产出设计!$F$334:$F$342,"&lt;="&amp;B307,图纸产出设计!$C$334:$C$342))</f>
        <v>3890</v>
      </c>
      <c r="H307" s="80" t="e">
        <f ca="1">OFFSET(产销汇总!$C$1,MATCH(H$28,产销汇总!$C$2:$C$8,0),$C$27)*(_xlfn.XLOOKUP(C307,主线推图!$B$313:$B$612,主线推图!$G$313:$G$612)+_xlfn.XLOOKUP(C307,主线推图!$B$313:$B$612,主线推图!$H$313:$H$612))</f>
        <v>#N/A</v>
      </c>
      <c r="I307" s="80" t="e">
        <f ca="1">OFFSET(产销汇总!$C$1,MATCH(I$28,产销汇总!$C$2:$C$8,0),$C$27)*_xlfn.XLOOKUP(C307,巡逻产出!$B$311:$B$610,巡逻产出!$H$311:$H$610)</f>
        <v>#N/A</v>
      </c>
      <c r="J307" s="80" t="e">
        <f ca="1">OFFSET(产销汇总!$C$1,MATCH(J$28,产销汇总!$C$2:$C$8,0),$C$27)*(_xlfn.XLOOKUP(MAX(1,INT(C307/10-6/10)),组队产出!$B$24:$B$39,组队产出!$J$24:$J$39)+_xlfn.XLOOKUP(MAX(1,INT(C307/10-6/10)),组队产出!$B$24:$B$39,组队产出!$K$24:$K$39))</f>
        <v>#N/A</v>
      </c>
      <c r="K307" s="80" t="e">
        <f ca="1">OFFSET(产销汇总!$C$1,MATCH(K$28,产销汇总!$C$2:$C$8,0),$C$27)*_xlfn.XLOOKUP(C307,巡逻产出!$B$311:$B$610,巡逻产出!$I$311:$I$610)*IF($C$27=1,0.5,1)</f>
        <v>#N/A</v>
      </c>
      <c r="L307" s="80">
        <f ca="1">OFFSET(产销汇总!$C$1,MATCH(L$28,产销汇总!$C$2:$C$8,0),$C$27)*竞技场!$C$5</f>
        <v>180</v>
      </c>
      <c r="M307" s="80">
        <f>任务!$C$6+IF(MOD(B307,7)=0,任务!$M$25)</f>
        <v>30</v>
      </c>
      <c r="N307" s="98">
        <f t="shared" si="31"/>
        <v>1.7</v>
      </c>
      <c r="O307" s="80">
        <f t="shared" si="32"/>
        <v>0</v>
      </c>
      <c r="P307" s="172">
        <f ca="1">OFFSET(产销汇总!$C$1,MATCH(P$27,产销汇总!$C$2:$C$8,0),$C$27)/200*协力宝箱!$Q$82</f>
        <v>0</v>
      </c>
      <c r="Q307" s="80">
        <f t="shared" si="33"/>
        <v>10</v>
      </c>
      <c r="R307" s="80">
        <v>10</v>
      </c>
      <c r="S307" s="172">
        <f t="shared" si="35"/>
        <v>100</v>
      </c>
      <c r="T307" s="172">
        <f>(公会!$F$12+公会!$F$13+公会!$F$14+公会!$F$18/7)/2</f>
        <v>121.428571428571</v>
      </c>
      <c r="U307" s="172">
        <f t="shared" si="34"/>
        <v>150</v>
      </c>
      <c r="V307" s="172" t="e">
        <f ca="1">SUM($H$29:U307)+SUM(D307:G307)</f>
        <v>#N/A</v>
      </c>
      <c r="W307" s="132" t="e">
        <f ca="1" t="shared" si="36"/>
        <v>#N/A</v>
      </c>
    </row>
    <row r="308" spans="1:23">
      <c r="A308" s="171"/>
      <c r="B308" s="80">
        <v>280</v>
      </c>
      <c r="C308" s="80">
        <f ca="1">OFFSET(产销汇总!$C$12,$B308,$C$27)</f>
        <v>263</v>
      </c>
      <c r="D308" s="80">
        <f ca="1">SUMIF(主线宝箱!$B$321:$B$620,"&lt;="&amp;C308,主线宝箱!$H$321:$H$620)+SUMIF(主线宝箱!$B$321:$B$620,"&lt;="&amp;C308,主线宝箱!$T$321:$T$620)</f>
        <v>10520</v>
      </c>
      <c r="E308" s="80">
        <v>110</v>
      </c>
      <c r="F308" s="80">
        <f t="shared" si="37"/>
        <v>450</v>
      </c>
      <c r="G308" s="80">
        <f ca="1">IF(AND($C$27&lt;3,B308&gt;3),G307,SUMIF(图纸产出设计!$F$334:$F$342,"&lt;="&amp;B308,图纸产出设计!$C$334:$C$342))</f>
        <v>3890</v>
      </c>
      <c r="H308" s="80">
        <f ca="1">OFFSET(产销汇总!$C$1,MATCH(H$28,产销汇总!$C$2:$C$8,0),$C$27)*(_xlfn.XLOOKUP(C308,主线推图!$B$313:$B$612,主线推图!$G$313:$G$612)+_xlfn.XLOOKUP(C308,主线推图!$B$313:$B$612,主线推图!$H$313:$H$612))</f>
        <v>176</v>
      </c>
      <c r="I308" s="80">
        <f ca="1">OFFSET(产销汇总!$C$1,MATCH(I$28,产销汇总!$C$2:$C$8,0),$C$27)*_xlfn.XLOOKUP(C308,巡逻产出!$B$311:$B$610,巡逻产出!$H$311:$H$610)</f>
        <v>0</v>
      </c>
      <c r="J308" s="80" t="e">
        <f ca="1">OFFSET(产销汇总!$C$1,MATCH(J$28,产销汇总!$C$2:$C$8,0),$C$27)*(_xlfn.XLOOKUP(MAX(1,INT(C308/10-6/10)),组队产出!$B$24:$B$39,组队产出!$J$24:$J$39)+_xlfn.XLOOKUP(MAX(1,INT(C308/10-6/10)),组队产出!$B$24:$B$39,组队产出!$K$24:$K$39))</f>
        <v>#N/A</v>
      </c>
      <c r="K308" s="80">
        <f ca="1">OFFSET(产销汇总!$C$1,MATCH(K$28,产销汇总!$C$2:$C$8,0),$C$27)*_xlfn.XLOOKUP(C308,巡逻产出!$B$311:$B$610,巡逻产出!$I$311:$I$610)*IF($C$27=1,0.5,1)</f>
        <v>312</v>
      </c>
      <c r="L308" s="80">
        <f ca="1">OFFSET(产销汇总!$C$1,MATCH(L$28,产销汇总!$C$2:$C$8,0),$C$27)*竞技场!$C$5</f>
        <v>180</v>
      </c>
      <c r="M308" s="80">
        <f>任务!$C$6+IF(MOD(B308,7)=0,任务!$M$25)</f>
        <v>60</v>
      </c>
      <c r="N308" s="98">
        <f t="shared" si="31"/>
        <v>1.7</v>
      </c>
      <c r="O308" s="80">
        <f t="shared" si="32"/>
        <v>0</v>
      </c>
      <c r="P308" s="172">
        <f ca="1">OFFSET(产销汇总!$C$1,MATCH(P$27,产销汇总!$C$2:$C$8,0),$C$27)/200*协力宝箱!$Q$82</f>
        <v>0</v>
      </c>
      <c r="Q308" s="80">
        <f t="shared" si="33"/>
        <v>10</v>
      </c>
      <c r="R308" s="80">
        <v>10</v>
      </c>
      <c r="S308" s="172">
        <f t="shared" si="35"/>
        <v>100</v>
      </c>
      <c r="T308" s="172">
        <f>(公会!$F$12+公会!$F$13+公会!$F$14+公会!$F$18/7)/2</f>
        <v>121.428571428571</v>
      </c>
      <c r="U308" s="172">
        <f t="shared" si="34"/>
        <v>150</v>
      </c>
      <c r="V308" s="172" t="e">
        <f ca="1">SUM($H$29:U308)+SUM(D308:G308)</f>
        <v>#N/A</v>
      </c>
      <c r="W308" s="132" t="e">
        <f ca="1" t="shared" si="36"/>
        <v>#N/A</v>
      </c>
    </row>
    <row r="309" spans="1:23">
      <c r="A309" s="171"/>
      <c r="B309" s="80">
        <v>281</v>
      </c>
      <c r="C309" s="80">
        <f ca="1">OFFSET(产销汇总!$C$12,$B309,$C$27)</f>
        <v>263.5</v>
      </c>
      <c r="D309" s="80">
        <f ca="1">SUMIF(主线宝箱!$B$321:$B$620,"&lt;="&amp;C309,主线宝箱!$H$321:$H$620)+SUMIF(主线宝箱!$B$321:$B$620,"&lt;="&amp;C309,主线宝箱!$T$321:$T$620)</f>
        <v>10520</v>
      </c>
      <c r="E309" s="80">
        <v>110</v>
      </c>
      <c r="F309" s="80">
        <f t="shared" si="37"/>
        <v>450</v>
      </c>
      <c r="G309" s="80">
        <f ca="1">IF(AND($C$27&lt;3,B309&gt;3),G308,SUMIF(图纸产出设计!$F$334:$F$342,"&lt;="&amp;B309,图纸产出设计!$C$334:$C$342))</f>
        <v>3890</v>
      </c>
      <c r="H309" s="80" t="e">
        <f ca="1">OFFSET(产销汇总!$C$1,MATCH(H$28,产销汇总!$C$2:$C$8,0),$C$27)*(_xlfn.XLOOKUP(C309,主线推图!$B$313:$B$612,主线推图!$G$313:$G$612)+_xlfn.XLOOKUP(C309,主线推图!$B$313:$B$612,主线推图!$H$313:$H$612))</f>
        <v>#N/A</v>
      </c>
      <c r="I309" s="80" t="e">
        <f ca="1">OFFSET(产销汇总!$C$1,MATCH(I$28,产销汇总!$C$2:$C$8,0),$C$27)*_xlfn.XLOOKUP(C309,巡逻产出!$B$311:$B$610,巡逻产出!$H$311:$H$610)</f>
        <v>#N/A</v>
      </c>
      <c r="J309" s="80" t="e">
        <f ca="1">OFFSET(产销汇总!$C$1,MATCH(J$28,产销汇总!$C$2:$C$8,0),$C$27)*(_xlfn.XLOOKUP(MAX(1,INT(C309/10-6/10)),组队产出!$B$24:$B$39,组队产出!$J$24:$J$39)+_xlfn.XLOOKUP(MAX(1,INT(C309/10-6/10)),组队产出!$B$24:$B$39,组队产出!$K$24:$K$39))</f>
        <v>#N/A</v>
      </c>
      <c r="K309" s="80" t="e">
        <f ca="1">OFFSET(产销汇总!$C$1,MATCH(K$28,产销汇总!$C$2:$C$8,0),$C$27)*_xlfn.XLOOKUP(C309,巡逻产出!$B$311:$B$610,巡逻产出!$I$311:$I$610)*IF($C$27=1,0.5,1)</f>
        <v>#N/A</v>
      </c>
      <c r="L309" s="80">
        <f ca="1">OFFSET(产销汇总!$C$1,MATCH(L$28,产销汇总!$C$2:$C$8,0),$C$27)*竞技场!$C$5</f>
        <v>180</v>
      </c>
      <c r="M309" s="80">
        <f>任务!$C$6+IF(MOD(B309,7)=0,任务!$M$25)</f>
        <v>30</v>
      </c>
      <c r="N309" s="98">
        <f t="shared" si="31"/>
        <v>1.7</v>
      </c>
      <c r="O309" s="80">
        <f t="shared" si="32"/>
        <v>0</v>
      </c>
      <c r="P309" s="172">
        <f ca="1">OFFSET(产销汇总!$C$1,MATCH(P$27,产销汇总!$C$2:$C$8,0),$C$27)/200*协力宝箱!$Q$82</f>
        <v>0</v>
      </c>
      <c r="Q309" s="80">
        <f t="shared" si="33"/>
        <v>10</v>
      </c>
      <c r="R309" s="80">
        <v>10</v>
      </c>
      <c r="S309" s="172">
        <f t="shared" si="35"/>
        <v>100</v>
      </c>
      <c r="T309" s="172">
        <f>(公会!$F$12+公会!$F$13+公会!$F$14+公会!$F$18/7)/2</f>
        <v>121.428571428571</v>
      </c>
      <c r="U309" s="172">
        <f t="shared" si="34"/>
        <v>150</v>
      </c>
      <c r="V309" s="172" t="e">
        <f ca="1">SUM($H$29:U309)+SUM(D309:G309)</f>
        <v>#N/A</v>
      </c>
      <c r="W309" s="132" t="e">
        <f ca="1" t="shared" si="36"/>
        <v>#N/A</v>
      </c>
    </row>
    <row r="310" spans="1:23">
      <c r="A310" s="171"/>
      <c r="B310" s="80">
        <v>282</v>
      </c>
      <c r="C310" s="80">
        <f ca="1">OFFSET(产销汇总!$C$12,$B310,$C$27)</f>
        <v>264</v>
      </c>
      <c r="D310" s="80">
        <f ca="1">SUMIF(主线宝箱!$B$321:$B$620,"&lt;="&amp;C310,主线宝箱!$H$321:$H$620)+SUMIF(主线宝箱!$B$321:$B$620,"&lt;="&amp;C310,主线宝箱!$T$321:$T$620)</f>
        <v>10560</v>
      </c>
      <c r="E310" s="80">
        <v>110</v>
      </c>
      <c r="F310" s="80">
        <f t="shared" si="37"/>
        <v>450</v>
      </c>
      <c r="G310" s="80">
        <f ca="1">IF(AND($C$27&lt;3,B310&gt;3),G309,SUMIF(图纸产出设计!$F$334:$F$342,"&lt;="&amp;B310,图纸产出设计!$C$334:$C$342))</f>
        <v>3890</v>
      </c>
      <c r="H310" s="80">
        <f ca="1">OFFSET(产销汇总!$C$1,MATCH(H$28,产销汇总!$C$2:$C$8,0),$C$27)*(_xlfn.XLOOKUP(C310,主线推图!$B$313:$B$612,主线推图!$G$313:$G$612)+_xlfn.XLOOKUP(C310,主线推图!$B$313:$B$612,主线推图!$H$313:$H$612))</f>
        <v>176</v>
      </c>
      <c r="I310" s="80">
        <f ca="1">OFFSET(产销汇总!$C$1,MATCH(I$28,产销汇总!$C$2:$C$8,0),$C$27)*_xlfn.XLOOKUP(C310,巡逻产出!$B$311:$B$610,巡逻产出!$H$311:$H$610)</f>
        <v>0</v>
      </c>
      <c r="J310" s="80" t="e">
        <f ca="1">OFFSET(产销汇总!$C$1,MATCH(J$28,产销汇总!$C$2:$C$8,0),$C$27)*(_xlfn.XLOOKUP(MAX(1,INT(C310/10-6/10)),组队产出!$B$24:$B$39,组队产出!$J$24:$J$39)+_xlfn.XLOOKUP(MAX(1,INT(C310/10-6/10)),组队产出!$B$24:$B$39,组队产出!$K$24:$K$39))</f>
        <v>#N/A</v>
      </c>
      <c r="K310" s="80">
        <f ca="1">OFFSET(产销汇总!$C$1,MATCH(K$28,产销汇总!$C$2:$C$8,0),$C$27)*_xlfn.XLOOKUP(C310,巡逻产出!$B$311:$B$610,巡逻产出!$I$311:$I$610)*IF($C$27=1,0.5,1)</f>
        <v>312</v>
      </c>
      <c r="L310" s="80">
        <f ca="1">OFFSET(产销汇总!$C$1,MATCH(L$28,产销汇总!$C$2:$C$8,0),$C$27)*竞技场!$C$5</f>
        <v>180</v>
      </c>
      <c r="M310" s="80">
        <f>任务!$C$6+IF(MOD(B310,7)=0,任务!$M$25)</f>
        <v>30</v>
      </c>
      <c r="N310" s="98">
        <f t="shared" si="31"/>
        <v>1.7</v>
      </c>
      <c r="O310" s="80">
        <f t="shared" si="32"/>
        <v>10</v>
      </c>
      <c r="P310" s="172">
        <f ca="1">OFFSET(产销汇总!$C$1,MATCH(P$27,产销汇总!$C$2:$C$8,0),$C$27)/200*协力宝箱!$Q$82</f>
        <v>0</v>
      </c>
      <c r="Q310" s="80">
        <f t="shared" si="33"/>
        <v>10</v>
      </c>
      <c r="R310" s="80">
        <v>10</v>
      </c>
      <c r="S310" s="172">
        <f t="shared" si="35"/>
        <v>100</v>
      </c>
      <c r="T310" s="172">
        <f>(公会!$F$12+公会!$F$13+公会!$F$14+公会!$F$18/7)/2</f>
        <v>121.428571428571</v>
      </c>
      <c r="U310" s="172">
        <f t="shared" si="34"/>
        <v>150</v>
      </c>
      <c r="V310" s="172" t="e">
        <f ca="1">SUM($H$29:U310)+SUM(D310:G310)</f>
        <v>#N/A</v>
      </c>
      <c r="W310" s="132" t="e">
        <f ca="1" t="shared" si="36"/>
        <v>#N/A</v>
      </c>
    </row>
    <row r="311" spans="1:23">
      <c r="A311" s="171"/>
      <c r="B311" s="80">
        <v>283</v>
      </c>
      <c r="C311" s="80">
        <f ca="1">OFFSET(产销汇总!$C$12,$B311,$C$27)</f>
        <v>264.5</v>
      </c>
      <c r="D311" s="80">
        <f ca="1">SUMIF(主线宝箱!$B$321:$B$620,"&lt;="&amp;C311,主线宝箱!$H$321:$H$620)+SUMIF(主线宝箱!$B$321:$B$620,"&lt;="&amp;C311,主线宝箱!$T$321:$T$620)</f>
        <v>10560</v>
      </c>
      <c r="E311" s="80">
        <v>110</v>
      </c>
      <c r="F311" s="80">
        <f t="shared" si="37"/>
        <v>450</v>
      </c>
      <c r="G311" s="80">
        <f ca="1">IF(AND($C$27&lt;3,B311&gt;3),G310,SUMIF(图纸产出设计!$F$334:$F$342,"&lt;="&amp;B311,图纸产出设计!$C$334:$C$342))</f>
        <v>3890</v>
      </c>
      <c r="H311" s="80" t="e">
        <f ca="1">OFFSET(产销汇总!$C$1,MATCH(H$28,产销汇总!$C$2:$C$8,0),$C$27)*(_xlfn.XLOOKUP(C311,主线推图!$B$313:$B$612,主线推图!$G$313:$G$612)+_xlfn.XLOOKUP(C311,主线推图!$B$313:$B$612,主线推图!$H$313:$H$612))</f>
        <v>#N/A</v>
      </c>
      <c r="I311" s="80" t="e">
        <f ca="1">OFFSET(产销汇总!$C$1,MATCH(I$28,产销汇总!$C$2:$C$8,0),$C$27)*_xlfn.XLOOKUP(C311,巡逻产出!$B$311:$B$610,巡逻产出!$H$311:$H$610)</f>
        <v>#N/A</v>
      </c>
      <c r="J311" s="80" t="e">
        <f ca="1">OFFSET(产销汇总!$C$1,MATCH(J$28,产销汇总!$C$2:$C$8,0),$C$27)*(_xlfn.XLOOKUP(MAX(1,INT(C311/10-6/10)),组队产出!$B$24:$B$39,组队产出!$J$24:$J$39)+_xlfn.XLOOKUP(MAX(1,INT(C311/10-6/10)),组队产出!$B$24:$B$39,组队产出!$K$24:$K$39))</f>
        <v>#N/A</v>
      </c>
      <c r="K311" s="80" t="e">
        <f ca="1">OFFSET(产销汇总!$C$1,MATCH(K$28,产销汇总!$C$2:$C$8,0),$C$27)*_xlfn.XLOOKUP(C311,巡逻产出!$B$311:$B$610,巡逻产出!$I$311:$I$610)*IF($C$27=1,0.5,1)</f>
        <v>#N/A</v>
      </c>
      <c r="L311" s="80">
        <f ca="1">OFFSET(产销汇总!$C$1,MATCH(L$28,产销汇总!$C$2:$C$8,0),$C$27)*竞技场!$C$5</f>
        <v>180</v>
      </c>
      <c r="M311" s="80">
        <f>任务!$C$6+IF(MOD(B311,7)=0,任务!$M$25)</f>
        <v>30</v>
      </c>
      <c r="N311" s="98">
        <f t="shared" si="31"/>
        <v>1.7</v>
      </c>
      <c r="O311" s="80">
        <f t="shared" si="32"/>
        <v>0</v>
      </c>
      <c r="P311" s="172">
        <f ca="1">OFFSET(产销汇总!$C$1,MATCH(P$27,产销汇总!$C$2:$C$8,0),$C$27)/200*协力宝箱!$Q$82</f>
        <v>0</v>
      </c>
      <c r="Q311" s="80">
        <f t="shared" si="33"/>
        <v>10</v>
      </c>
      <c r="R311" s="80">
        <v>10</v>
      </c>
      <c r="S311" s="172">
        <f t="shared" si="35"/>
        <v>100</v>
      </c>
      <c r="T311" s="172">
        <f>(公会!$F$12+公会!$F$13+公会!$F$14+公会!$F$18/7)/2</f>
        <v>121.428571428571</v>
      </c>
      <c r="U311" s="172">
        <f t="shared" si="34"/>
        <v>150</v>
      </c>
      <c r="V311" s="172" t="e">
        <f ca="1">SUM($H$29:U311)+SUM(D311:G311)</f>
        <v>#N/A</v>
      </c>
      <c r="W311" s="132" t="e">
        <f ca="1" t="shared" si="36"/>
        <v>#N/A</v>
      </c>
    </row>
    <row r="312" spans="1:23">
      <c r="A312" s="171"/>
      <c r="B312" s="80">
        <v>284</v>
      </c>
      <c r="C312" s="80">
        <f ca="1">OFFSET(产销汇总!$C$12,$B312,$C$27)</f>
        <v>265</v>
      </c>
      <c r="D312" s="80">
        <f ca="1">SUMIF(主线宝箱!$B$321:$B$620,"&lt;="&amp;C312,主线宝箱!$H$321:$H$620)+SUMIF(主线宝箱!$B$321:$B$620,"&lt;="&amp;C312,主线宝箱!$T$321:$T$620)</f>
        <v>10600</v>
      </c>
      <c r="E312" s="80">
        <v>110</v>
      </c>
      <c r="F312" s="80">
        <f t="shared" si="37"/>
        <v>450</v>
      </c>
      <c r="G312" s="80">
        <f ca="1">IF(AND($C$27&lt;3,B312&gt;3),G311,SUMIF(图纸产出设计!$F$334:$F$342,"&lt;="&amp;B312,图纸产出设计!$C$334:$C$342))</f>
        <v>3890</v>
      </c>
      <c r="H312" s="80">
        <f ca="1">OFFSET(产销汇总!$C$1,MATCH(H$28,产销汇总!$C$2:$C$8,0),$C$27)*(_xlfn.XLOOKUP(C312,主线推图!$B$313:$B$612,主线推图!$G$313:$G$612)+_xlfn.XLOOKUP(C312,主线推图!$B$313:$B$612,主线推图!$H$313:$H$612))</f>
        <v>176</v>
      </c>
      <c r="I312" s="80">
        <f ca="1">OFFSET(产销汇总!$C$1,MATCH(I$28,产销汇总!$C$2:$C$8,0),$C$27)*_xlfn.XLOOKUP(C312,巡逻产出!$B$311:$B$610,巡逻产出!$H$311:$H$610)</f>
        <v>0</v>
      </c>
      <c r="J312" s="80" t="e">
        <f ca="1">OFFSET(产销汇总!$C$1,MATCH(J$28,产销汇总!$C$2:$C$8,0),$C$27)*(_xlfn.XLOOKUP(MAX(1,INT(C312/10-6/10)),组队产出!$B$24:$B$39,组队产出!$J$24:$J$39)+_xlfn.XLOOKUP(MAX(1,INT(C312/10-6/10)),组队产出!$B$24:$B$39,组队产出!$K$24:$K$39))</f>
        <v>#N/A</v>
      </c>
      <c r="K312" s="80">
        <f ca="1">OFFSET(产销汇总!$C$1,MATCH(K$28,产销汇总!$C$2:$C$8,0),$C$27)*_xlfn.XLOOKUP(C312,巡逻产出!$B$311:$B$610,巡逻产出!$I$311:$I$610)*IF($C$27=1,0.5,1)</f>
        <v>312</v>
      </c>
      <c r="L312" s="80">
        <f ca="1">OFFSET(产销汇总!$C$1,MATCH(L$28,产销汇总!$C$2:$C$8,0),$C$27)*竞技场!$C$5</f>
        <v>180</v>
      </c>
      <c r="M312" s="80">
        <f>任务!$C$6+IF(MOD(B312,7)=0,任务!$M$25)</f>
        <v>30</v>
      </c>
      <c r="N312" s="98">
        <f t="shared" si="31"/>
        <v>1.7</v>
      </c>
      <c r="O312" s="80">
        <f t="shared" si="32"/>
        <v>0</v>
      </c>
      <c r="P312" s="172">
        <f ca="1">OFFSET(产销汇总!$C$1,MATCH(P$27,产销汇总!$C$2:$C$8,0),$C$27)/200*协力宝箱!$Q$82</f>
        <v>0</v>
      </c>
      <c r="Q312" s="80">
        <f t="shared" si="33"/>
        <v>10</v>
      </c>
      <c r="R312" s="80">
        <v>10</v>
      </c>
      <c r="S312" s="172">
        <f t="shared" si="35"/>
        <v>100</v>
      </c>
      <c r="T312" s="172">
        <f>(公会!$F$12+公会!$F$13+公会!$F$14+公会!$F$18/7)/2</f>
        <v>121.428571428571</v>
      </c>
      <c r="U312" s="172">
        <f t="shared" si="34"/>
        <v>150</v>
      </c>
      <c r="V312" s="172" t="e">
        <f ca="1">SUM($H$29:U312)+SUM(D312:G312)</f>
        <v>#N/A</v>
      </c>
      <c r="W312" s="132" t="e">
        <f ca="1" t="shared" si="36"/>
        <v>#N/A</v>
      </c>
    </row>
    <row r="313" spans="1:23">
      <c r="A313" s="171"/>
      <c r="B313" s="80">
        <v>285</v>
      </c>
      <c r="C313" s="80">
        <f ca="1">OFFSET(产销汇总!$C$12,$B313,$C$27)</f>
        <v>265.5</v>
      </c>
      <c r="D313" s="80">
        <f ca="1">SUMIF(主线宝箱!$B$321:$B$620,"&lt;="&amp;C313,主线宝箱!$H$321:$H$620)+SUMIF(主线宝箱!$B$321:$B$620,"&lt;="&amp;C313,主线宝箱!$T$321:$T$620)</f>
        <v>10600</v>
      </c>
      <c r="E313" s="80">
        <v>110</v>
      </c>
      <c r="F313" s="80">
        <f t="shared" si="37"/>
        <v>450</v>
      </c>
      <c r="G313" s="80">
        <f ca="1">IF(AND($C$27&lt;3,B313&gt;3),G312,SUMIF(图纸产出设计!$F$334:$F$342,"&lt;="&amp;B313,图纸产出设计!$C$334:$C$342))</f>
        <v>3890</v>
      </c>
      <c r="H313" s="80" t="e">
        <f ca="1">OFFSET(产销汇总!$C$1,MATCH(H$28,产销汇总!$C$2:$C$8,0),$C$27)*(_xlfn.XLOOKUP(C313,主线推图!$B$313:$B$612,主线推图!$G$313:$G$612)+_xlfn.XLOOKUP(C313,主线推图!$B$313:$B$612,主线推图!$H$313:$H$612))</f>
        <v>#N/A</v>
      </c>
      <c r="I313" s="80" t="e">
        <f ca="1">OFFSET(产销汇总!$C$1,MATCH(I$28,产销汇总!$C$2:$C$8,0),$C$27)*_xlfn.XLOOKUP(C313,巡逻产出!$B$311:$B$610,巡逻产出!$H$311:$H$610)</f>
        <v>#N/A</v>
      </c>
      <c r="J313" s="80" t="e">
        <f ca="1">OFFSET(产销汇总!$C$1,MATCH(J$28,产销汇总!$C$2:$C$8,0),$C$27)*(_xlfn.XLOOKUP(MAX(1,INT(C313/10-6/10)),组队产出!$B$24:$B$39,组队产出!$J$24:$J$39)+_xlfn.XLOOKUP(MAX(1,INT(C313/10-6/10)),组队产出!$B$24:$B$39,组队产出!$K$24:$K$39))</f>
        <v>#N/A</v>
      </c>
      <c r="K313" s="80" t="e">
        <f ca="1">OFFSET(产销汇总!$C$1,MATCH(K$28,产销汇总!$C$2:$C$8,0),$C$27)*_xlfn.XLOOKUP(C313,巡逻产出!$B$311:$B$610,巡逻产出!$I$311:$I$610)*IF($C$27=1,0.5,1)</f>
        <v>#N/A</v>
      </c>
      <c r="L313" s="80">
        <f ca="1">OFFSET(产销汇总!$C$1,MATCH(L$28,产销汇总!$C$2:$C$8,0),$C$27)*竞技场!$C$5</f>
        <v>180</v>
      </c>
      <c r="M313" s="80">
        <f>任务!$C$6+IF(MOD(B313,7)=0,任务!$M$25)</f>
        <v>30</v>
      </c>
      <c r="N313" s="98">
        <f t="shared" si="31"/>
        <v>1.7</v>
      </c>
      <c r="O313" s="80">
        <f t="shared" si="32"/>
        <v>10</v>
      </c>
      <c r="P313" s="172">
        <f ca="1">OFFSET(产销汇总!$C$1,MATCH(P$27,产销汇总!$C$2:$C$8,0),$C$27)/200*协力宝箱!$Q$82</f>
        <v>0</v>
      </c>
      <c r="Q313" s="80">
        <f t="shared" si="33"/>
        <v>10</v>
      </c>
      <c r="R313" s="80">
        <v>10</v>
      </c>
      <c r="S313" s="172">
        <f t="shared" si="35"/>
        <v>100</v>
      </c>
      <c r="T313" s="172">
        <f>(公会!$F$12+公会!$F$13+公会!$F$14+公会!$F$18/7)/2</f>
        <v>121.428571428571</v>
      </c>
      <c r="U313" s="172">
        <f t="shared" si="34"/>
        <v>150</v>
      </c>
      <c r="V313" s="172" t="e">
        <f ca="1">SUM($H$29:U313)+SUM(D313:G313)</f>
        <v>#N/A</v>
      </c>
      <c r="W313" s="132" t="e">
        <f ca="1" t="shared" si="36"/>
        <v>#N/A</v>
      </c>
    </row>
    <row r="314" spans="1:23">
      <c r="A314" s="171"/>
      <c r="B314" s="80">
        <v>286</v>
      </c>
      <c r="C314" s="80">
        <f ca="1">OFFSET(产销汇总!$C$12,$B314,$C$27)</f>
        <v>266</v>
      </c>
      <c r="D314" s="80">
        <f ca="1">SUMIF(主线宝箱!$B$321:$B$620,"&lt;="&amp;C314,主线宝箱!$H$321:$H$620)+SUMIF(主线宝箱!$B$321:$B$620,"&lt;="&amp;C314,主线宝箱!$T$321:$T$620)</f>
        <v>10640</v>
      </c>
      <c r="E314" s="80">
        <v>110</v>
      </c>
      <c r="F314" s="80">
        <f t="shared" si="37"/>
        <v>450</v>
      </c>
      <c r="G314" s="80">
        <f ca="1">IF(AND($C$27&lt;3,B314&gt;3),G313,SUMIF(图纸产出设计!$F$334:$F$342,"&lt;="&amp;B314,图纸产出设计!$C$334:$C$342))</f>
        <v>3890</v>
      </c>
      <c r="H314" s="80">
        <f ca="1">OFFSET(产销汇总!$C$1,MATCH(H$28,产销汇总!$C$2:$C$8,0),$C$27)*(_xlfn.XLOOKUP(C314,主线推图!$B$313:$B$612,主线推图!$G$313:$G$612)+_xlfn.XLOOKUP(C314,主线推图!$B$313:$B$612,主线推图!$H$313:$H$612))</f>
        <v>176</v>
      </c>
      <c r="I314" s="80">
        <f ca="1">OFFSET(产销汇总!$C$1,MATCH(I$28,产销汇总!$C$2:$C$8,0),$C$27)*_xlfn.XLOOKUP(C314,巡逻产出!$B$311:$B$610,巡逻产出!$H$311:$H$610)</f>
        <v>0</v>
      </c>
      <c r="J314" s="80" t="e">
        <f ca="1">OFFSET(产销汇总!$C$1,MATCH(J$28,产销汇总!$C$2:$C$8,0),$C$27)*(_xlfn.XLOOKUP(MAX(1,INT(C314/10-6/10)),组队产出!$B$24:$B$39,组队产出!$J$24:$J$39)+_xlfn.XLOOKUP(MAX(1,INT(C314/10-6/10)),组队产出!$B$24:$B$39,组队产出!$K$24:$K$39))</f>
        <v>#N/A</v>
      </c>
      <c r="K314" s="80">
        <f ca="1">OFFSET(产销汇总!$C$1,MATCH(K$28,产销汇总!$C$2:$C$8,0),$C$27)*_xlfn.XLOOKUP(C314,巡逻产出!$B$311:$B$610,巡逻产出!$I$311:$I$610)*IF($C$27=1,0.5,1)</f>
        <v>312</v>
      </c>
      <c r="L314" s="80">
        <f ca="1">OFFSET(产销汇总!$C$1,MATCH(L$28,产销汇总!$C$2:$C$8,0),$C$27)*竞技场!$C$5</f>
        <v>180</v>
      </c>
      <c r="M314" s="80">
        <f>任务!$C$6+IF(MOD(B314,7)=0,任务!$M$25)</f>
        <v>30</v>
      </c>
      <c r="N314" s="98">
        <f t="shared" si="31"/>
        <v>1.7</v>
      </c>
      <c r="O314" s="80">
        <f t="shared" si="32"/>
        <v>0</v>
      </c>
      <c r="P314" s="172">
        <f ca="1">OFFSET(产销汇总!$C$1,MATCH(P$27,产销汇总!$C$2:$C$8,0),$C$27)/200*协力宝箱!$Q$82</f>
        <v>0</v>
      </c>
      <c r="Q314" s="80">
        <f t="shared" si="33"/>
        <v>10</v>
      </c>
      <c r="R314" s="80">
        <v>10</v>
      </c>
      <c r="S314" s="172">
        <f t="shared" si="35"/>
        <v>100</v>
      </c>
      <c r="T314" s="172">
        <f>(公会!$F$12+公会!$F$13+公会!$F$14+公会!$F$18/7)/2</f>
        <v>121.428571428571</v>
      </c>
      <c r="U314" s="172">
        <f t="shared" si="34"/>
        <v>150</v>
      </c>
      <c r="V314" s="172" t="e">
        <f ca="1">SUM($H$29:U314)+SUM(D314:G314)</f>
        <v>#N/A</v>
      </c>
      <c r="W314" s="132" t="e">
        <f ca="1" t="shared" si="36"/>
        <v>#N/A</v>
      </c>
    </row>
    <row r="315" spans="1:23">
      <c r="A315" s="171"/>
      <c r="B315" s="80">
        <v>287</v>
      </c>
      <c r="C315" s="80">
        <f ca="1">OFFSET(产销汇总!$C$12,$B315,$C$27)</f>
        <v>266.5</v>
      </c>
      <c r="D315" s="80">
        <f ca="1">SUMIF(主线宝箱!$B$321:$B$620,"&lt;="&amp;C315,主线宝箱!$H$321:$H$620)+SUMIF(主线宝箱!$B$321:$B$620,"&lt;="&amp;C315,主线宝箱!$T$321:$T$620)</f>
        <v>10640</v>
      </c>
      <c r="E315" s="80">
        <v>110</v>
      </c>
      <c r="F315" s="80">
        <f t="shared" si="37"/>
        <v>450</v>
      </c>
      <c r="G315" s="80">
        <f ca="1">IF(AND($C$27&lt;3,B315&gt;3),G314,SUMIF(图纸产出设计!$F$334:$F$342,"&lt;="&amp;B315,图纸产出设计!$C$334:$C$342))</f>
        <v>3890</v>
      </c>
      <c r="H315" s="80" t="e">
        <f ca="1">OFFSET(产销汇总!$C$1,MATCH(H$28,产销汇总!$C$2:$C$8,0),$C$27)*(_xlfn.XLOOKUP(C315,主线推图!$B$313:$B$612,主线推图!$G$313:$G$612)+_xlfn.XLOOKUP(C315,主线推图!$B$313:$B$612,主线推图!$H$313:$H$612))</f>
        <v>#N/A</v>
      </c>
      <c r="I315" s="80" t="e">
        <f ca="1">OFFSET(产销汇总!$C$1,MATCH(I$28,产销汇总!$C$2:$C$8,0),$C$27)*_xlfn.XLOOKUP(C315,巡逻产出!$B$311:$B$610,巡逻产出!$H$311:$H$610)</f>
        <v>#N/A</v>
      </c>
      <c r="J315" s="80" t="e">
        <f ca="1">OFFSET(产销汇总!$C$1,MATCH(J$28,产销汇总!$C$2:$C$8,0),$C$27)*(_xlfn.XLOOKUP(MAX(1,INT(C315/10-6/10)),组队产出!$B$24:$B$39,组队产出!$J$24:$J$39)+_xlfn.XLOOKUP(MAX(1,INT(C315/10-6/10)),组队产出!$B$24:$B$39,组队产出!$K$24:$K$39))</f>
        <v>#N/A</v>
      </c>
      <c r="K315" s="80" t="e">
        <f ca="1">OFFSET(产销汇总!$C$1,MATCH(K$28,产销汇总!$C$2:$C$8,0),$C$27)*_xlfn.XLOOKUP(C315,巡逻产出!$B$311:$B$610,巡逻产出!$I$311:$I$610)*IF($C$27=1,0.5,1)</f>
        <v>#N/A</v>
      </c>
      <c r="L315" s="80">
        <f ca="1">OFFSET(产销汇总!$C$1,MATCH(L$28,产销汇总!$C$2:$C$8,0),$C$27)*竞技场!$C$5</f>
        <v>180</v>
      </c>
      <c r="M315" s="80">
        <f>任务!$C$6+IF(MOD(B315,7)=0,任务!$M$25)</f>
        <v>60</v>
      </c>
      <c r="N315" s="98">
        <f t="shared" si="31"/>
        <v>1.7</v>
      </c>
      <c r="O315" s="80">
        <f t="shared" si="32"/>
        <v>0</v>
      </c>
      <c r="P315" s="172">
        <f ca="1">OFFSET(产销汇总!$C$1,MATCH(P$27,产销汇总!$C$2:$C$8,0),$C$27)/200*协力宝箱!$Q$82</f>
        <v>0</v>
      </c>
      <c r="Q315" s="80">
        <f t="shared" si="33"/>
        <v>10</v>
      </c>
      <c r="R315" s="80">
        <v>10</v>
      </c>
      <c r="S315" s="172">
        <f t="shared" si="35"/>
        <v>100</v>
      </c>
      <c r="T315" s="172">
        <f>(公会!$F$12+公会!$F$13+公会!$F$14+公会!$F$18/7)/2</f>
        <v>121.428571428571</v>
      </c>
      <c r="U315" s="172">
        <f t="shared" si="34"/>
        <v>150</v>
      </c>
      <c r="V315" s="172" t="e">
        <f ca="1">SUM($H$29:U315)+SUM(D315:G315)</f>
        <v>#N/A</v>
      </c>
      <c r="W315" s="132" t="e">
        <f ca="1" t="shared" si="36"/>
        <v>#N/A</v>
      </c>
    </row>
    <row r="316" spans="1:23">
      <c r="A316" s="171"/>
      <c r="B316" s="80">
        <v>288</v>
      </c>
      <c r="C316" s="80">
        <f ca="1">OFFSET(产销汇总!$C$12,$B316,$C$27)</f>
        <v>267</v>
      </c>
      <c r="D316" s="80">
        <f ca="1">SUMIF(主线宝箱!$B$321:$B$620,"&lt;="&amp;C316,主线宝箱!$H$321:$H$620)+SUMIF(主线宝箱!$B$321:$B$620,"&lt;="&amp;C316,主线宝箱!$T$321:$T$620)</f>
        <v>10680</v>
      </c>
      <c r="E316" s="80">
        <v>110</v>
      </c>
      <c r="F316" s="80">
        <f t="shared" si="37"/>
        <v>450</v>
      </c>
      <c r="G316" s="80">
        <f ca="1">IF(AND($C$27&lt;3,B316&gt;3),G315,SUMIF(图纸产出设计!$F$334:$F$342,"&lt;="&amp;B316,图纸产出设计!$C$334:$C$342))</f>
        <v>3890</v>
      </c>
      <c r="H316" s="80">
        <f ca="1">OFFSET(产销汇总!$C$1,MATCH(H$28,产销汇总!$C$2:$C$8,0),$C$27)*(_xlfn.XLOOKUP(C316,主线推图!$B$313:$B$612,主线推图!$G$313:$G$612)+_xlfn.XLOOKUP(C316,主线推图!$B$313:$B$612,主线推图!$H$313:$H$612))</f>
        <v>176</v>
      </c>
      <c r="I316" s="80">
        <f ca="1">OFFSET(产销汇总!$C$1,MATCH(I$28,产销汇总!$C$2:$C$8,0),$C$27)*_xlfn.XLOOKUP(C316,巡逻产出!$B$311:$B$610,巡逻产出!$H$311:$H$610)</f>
        <v>0</v>
      </c>
      <c r="J316" s="80" t="e">
        <f ca="1">OFFSET(产销汇总!$C$1,MATCH(J$28,产销汇总!$C$2:$C$8,0),$C$27)*(_xlfn.XLOOKUP(MAX(1,INT(C316/10-6/10)),组队产出!$B$24:$B$39,组队产出!$J$24:$J$39)+_xlfn.XLOOKUP(MAX(1,INT(C316/10-6/10)),组队产出!$B$24:$B$39,组队产出!$K$24:$K$39))</f>
        <v>#N/A</v>
      </c>
      <c r="K316" s="80">
        <f ca="1">OFFSET(产销汇总!$C$1,MATCH(K$28,产销汇总!$C$2:$C$8,0),$C$27)*_xlfn.XLOOKUP(C316,巡逻产出!$B$311:$B$610,巡逻产出!$I$311:$I$610)*IF($C$27=1,0.5,1)</f>
        <v>312</v>
      </c>
      <c r="L316" s="80">
        <f ca="1">OFFSET(产销汇总!$C$1,MATCH(L$28,产销汇总!$C$2:$C$8,0),$C$27)*竞技场!$C$5</f>
        <v>180</v>
      </c>
      <c r="M316" s="80">
        <f>任务!$C$6+IF(MOD(B316,7)=0,任务!$M$25)</f>
        <v>30</v>
      </c>
      <c r="N316" s="98">
        <f t="shared" si="31"/>
        <v>1.7</v>
      </c>
      <c r="O316" s="80">
        <f t="shared" si="32"/>
        <v>0</v>
      </c>
      <c r="P316" s="172">
        <f ca="1">OFFSET(产销汇总!$C$1,MATCH(P$27,产销汇总!$C$2:$C$8,0),$C$27)/200*协力宝箱!$Q$82</f>
        <v>0</v>
      </c>
      <c r="Q316" s="80">
        <f t="shared" si="33"/>
        <v>10</v>
      </c>
      <c r="R316" s="80">
        <v>10</v>
      </c>
      <c r="S316" s="172">
        <f t="shared" si="35"/>
        <v>100</v>
      </c>
      <c r="T316" s="172">
        <f>(公会!$F$12+公会!$F$13+公会!$F$14+公会!$F$18/7)/2</f>
        <v>121.428571428571</v>
      </c>
      <c r="U316" s="172">
        <f t="shared" si="34"/>
        <v>150</v>
      </c>
      <c r="V316" s="172" t="e">
        <f ca="1">SUM($H$29:U316)+SUM(D316:G316)</f>
        <v>#N/A</v>
      </c>
      <c r="W316" s="132" t="e">
        <f ca="1" t="shared" si="36"/>
        <v>#N/A</v>
      </c>
    </row>
    <row r="317" spans="1:23">
      <c r="A317" s="171"/>
      <c r="B317" s="80">
        <v>289</v>
      </c>
      <c r="C317" s="80">
        <f ca="1">OFFSET(产销汇总!$C$12,$B317,$C$27)</f>
        <v>267.5</v>
      </c>
      <c r="D317" s="80">
        <f ca="1">SUMIF(主线宝箱!$B$321:$B$620,"&lt;="&amp;C317,主线宝箱!$H$321:$H$620)+SUMIF(主线宝箱!$B$321:$B$620,"&lt;="&amp;C317,主线宝箱!$T$321:$T$620)</f>
        <v>10680</v>
      </c>
      <c r="E317" s="80">
        <v>110</v>
      </c>
      <c r="F317" s="80">
        <f t="shared" si="37"/>
        <v>450</v>
      </c>
      <c r="G317" s="80">
        <f ca="1">IF(AND($C$27&lt;3,B317&gt;3),G316,SUMIF(图纸产出设计!$F$334:$F$342,"&lt;="&amp;B317,图纸产出设计!$C$334:$C$342))</f>
        <v>3890</v>
      </c>
      <c r="H317" s="80" t="e">
        <f ca="1">OFFSET(产销汇总!$C$1,MATCH(H$28,产销汇总!$C$2:$C$8,0),$C$27)*(_xlfn.XLOOKUP(C317,主线推图!$B$313:$B$612,主线推图!$G$313:$G$612)+_xlfn.XLOOKUP(C317,主线推图!$B$313:$B$612,主线推图!$H$313:$H$612))</f>
        <v>#N/A</v>
      </c>
      <c r="I317" s="80" t="e">
        <f ca="1">OFFSET(产销汇总!$C$1,MATCH(I$28,产销汇总!$C$2:$C$8,0),$C$27)*_xlfn.XLOOKUP(C317,巡逻产出!$B$311:$B$610,巡逻产出!$H$311:$H$610)</f>
        <v>#N/A</v>
      </c>
      <c r="J317" s="80" t="e">
        <f ca="1">OFFSET(产销汇总!$C$1,MATCH(J$28,产销汇总!$C$2:$C$8,0),$C$27)*(_xlfn.XLOOKUP(MAX(1,INT(C317/10-6/10)),组队产出!$B$24:$B$39,组队产出!$J$24:$J$39)+_xlfn.XLOOKUP(MAX(1,INT(C317/10-6/10)),组队产出!$B$24:$B$39,组队产出!$K$24:$K$39))</f>
        <v>#N/A</v>
      </c>
      <c r="K317" s="80" t="e">
        <f ca="1">OFFSET(产销汇总!$C$1,MATCH(K$28,产销汇总!$C$2:$C$8,0),$C$27)*_xlfn.XLOOKUP(C317,巡逻产出!$B$311:$B$610,巡逻产出!$I$311:$I$610)*IF($C$27=1,0.5,1)</f>
        <v>#N/A</v>
      </c>
      <c r="L317" s="80">
        <f ca="1">OFFSET(产销汇总!$C$1,MATCH(L$28,产销汇总!$C$2:$C$8,0),$C$27)*竞技场!$C$5</f>
        <v>180</v>
      </c>
      <c r="M317" s="80">
        <f>任务!$C$6+IF(MOD(B317,7)=0,任务!$M$25)</f>
        <v>30</v>
      </c>
      <c r="N317" s="98">
        <f t="shared" si="31"/>
        <v>1.7</v>
      </c>
      <c r="O317" s="80">
        <f t="shared" si="32"/>
        <v>10</v>
      </c>
      <c r="P317" s="172">
        <f ca="1">OFFSET(产销汇总!$C$1,MATCH(P$27,产销汇总!$C$2:$C$8,0),$C$27)/200*协力宝箱!$Q$82</f>
        <v>0</v>
      </c>
      <c r="Q317" s="80">
        <f t="shared" si="33"/>
        <v>10</v>
      </c>
      <c r="R317" s="80">
        <v>10</v>
      </c>
      <c r="S317" s="172">
        <f t="shared" si="35"/>
        <v>100</v>
      </c>
      <c r="T317" s="172">
        <f>(公会!$F$12+公会!$F$13+公会!$F$14+公会!$F$18/7)/2</f>
        <v>121.428571428571</v>
      </c>
      <c r="U317" s="172">
        <f t="shared" si="34"/>
        <v>150</v>
      </c>
      <c r="V317" s="172" t="e">
        <f ca="1">SUM($H$29:U317)+SUM(D317:G317)</f>
        <v>#N/A</v>
      </c>
      <c r="W317" s="132" t="e">
        <f ca="1" t="shared" si="36"/>
        <v>#N/A</v>
      </c>
    </row>
    <row r="318" spans="1:23">
      <c r="A318" s="171"/>
      <c r="B318" s="80">
        <v>290</v>
      </c>
      <c r="C318" s="80">
        <f ca="1">OFFSET(产销汇总!$C$12,$B318,$C$27)</f>
        <v>268</v>
      </c>
      <c r="D318" s="80">
        <f ca="1">SUMIF(主线宝箱!$B$321:$B$620,"&lt;="&amp;C318,主线宝箱!$H$321:$H$620)+SUMIF(主线宝箱!$B$321:$B$620,"&lt;="&amp;C318,主线宝箱!$T$321:$T$620)</f>
        <v>10720</v>
      </c>
      <c r="E318" s="80">
        <v>110</v>
      </c>
      <c r="F318" s="80">
        <f t="shared" si="37"/>
        <v>450</v>
      </c>
      <c r="G318" s="80">
        <f ca="1">IF(AND($C$27&lt;3,B318&gt;3),G317,SUMIF(图纸产出设计!$F$334:$F$342,"&lt;="&amp;B318,图纸产出设计!$C$334:$C$342))</f>
        <v>3890</v>
      </c>
      <c r="H318" s="80">
        <f ca="1">OFFSET(产销汇总!$C$1,MATCH(H$28,产销汇总!$C$2:$C$8,0),$C$27)*(_xlfn.XLOOKUP(C318,主线推图!$B$313:$B$612,主线推图!$G$313:$G$612)+_xlfn.XLOOKUP(C318,主线推图!$B$313:$B$612,主线推图!$H$313:$H$612))</f>
        <v>176</v>
      </c>
      <c r="I318" s="80">
        <f ca="1">OFFSET(产销汇总!$C$1,MATCH(I$28,产销汇总!$C$2:$C$8,0),$C$27)*_xlfn.XLOOKUP(C318,巡逻产出!$B$311:$B$610,巡逻产出!$H$311:$H$610)</f>
        <v>0</v>
      </c>
      <c r="J318" s="80" t="e">
        <f ca="1">OFFSET(产销汇总!$C$1,MATCH(J$28,产销汇总!$C$2:$C$8,0),$C$27)*(_xlfn.XLOOKUP(MAX(1,INT(C318/10-6/10)),组队产出!$B$24:$B$39,组队产出!$J$24:$J$39)+_xlfn.XLOOKUP(MAX(1,INT(C318/10-6/10)),组队产出!$B$24:$B$39,组队产出!$K$24:$K$39))</f>
        <v>#N/A</v>
      </c>
      <c r="K318" s="80">
        <f ca="1">OFFSET(产销汇总!$C$1,MATCH(K$28,产销汇总!$C$2:$C$8,0),$C$27)*_xlfn.XLOOKUP(C318,巡逻产出!$B$311:$B$610,巡逻产出!$I$311:$I$610)*IF($C$27=1,0.5,1)</f>
        <v>312</v>
      </c>
      <c r="L318" s="80">
        <f ca="1">OFFSET(产销汇总!$C$1,MATCH(L$28,产销汇总!$C$2:$C$8,0),$C$27)*竞技场!$C$5</f>
        <v>180</v>
      </c>
      <c r="M318" s="80">
        <f>任务!$C$6+IF(MOD(B318,7)=0,任务!$M$25)</f>
        <v>30</v>
      </c>
      <c r="N318" s="98">
        <f t="shared" si="31"/>
        <v>1.7</v>
      </c>
      <c r="O318" s="80">
        <f t="shared" si="32"/>
        <v>0</v>
      </c>
      <c r="P318" s="172">
        <f ca="1">OFFSET(产销汇总!$C$1,MATCH(P$27,产销汇总!$C$2:$C$8,0),$C$27)/200*协力宝箱!$Q$82</f>
        <v>0</v>
      </c>
      <c r="Q318" s="80">
        <f t="shared" si="33"/>
        <v>10</v>
      </c>
      <c r="R318" s="80">
        <v>10</v>
      </c>
      <c r="S318" s="172">
        <f t="shared" si="35"/>
        <v>100</v>
      </c>
      <c r="T318" s="172">
        <f>(公会!$F$12+公会!$F$13+公会!$F$14+公会!$F$18/7)/2</f>
        <v>121.428571428571</v>
      </c>
      <c r="U318" s="172">
        <f t="shared" si="34"/>
        <v>150</v>
      </c>
      <c r="V318" s="172" t="e">
        <f ca="1">SUM($H$29:U318)+SUM(D318:G318)</f>
        <v>#N/A</v>
      </c>
      <c r="W318" s="132" t="e">
        <f ca="1" t="shared" si="36"/>
        <v>#N/A</v>
      </c>
    </row>
    <row r="319" spans="1:23">
      <c r="A319" s="171"/>
      <c r="B319" s="80">
        <v>291</v>
      </c>
      <c r="C319" s="80">
        <f ca="1">OFFSET(产销汇总!$C$12,$B319,$C$27)</f>
        <v>268.5</v>
      </c>
      <c r="D319" s="80">
        <f ca="1">SUMIF(主线宝箱!$B$321:$B$620,"&lt;="&amp;C319,主线宝箱!$H$321:$H$620)+SUMIF(主线宝箱!$B$321:$B$620,"&lt;="&amp;C319,主线宝箱!$T$321:$T$620)</f>
        <v>10720</v>
      </c>
      <c r="E319" s="80">
        <v>110</v>
      </c>
      <c r="F319" s="80">
        <f t="shared" si="37"/>
        <v>450</v>
      </c>
      <c r="G319" s="80">
        <f ca="1">IF(AND($C$27&lt;3,B319&gt;3),G318,SUMIF(图纸产出设计!$F$334:$F$342,"&lt;="&amp;B319,图纸产出设计!$C$334:$C$342))</f>
        <v>3890</v>
      </c>
      <c r="H319" s="80" t="e">
        <f ca="1">OFFSET(产销汇总!$C$1,MATCH(H$28,产销汇总!$C$2:$C$8,0),$C$27)*(_xlfn.XLOOKUP(C319,主线推图!$B$313:$B$612,主线推图!$G$313:$G$612)+_xlfn.XLOOKUP(C319,主线推图!$B$313:$B$612,主线推图!$H$313:$H$612))</f>
        <v>#N/A</v>
      </c>
      <c r="I319" s="80" t="e">
        <f ca="1">OFFSET(产销汇总!$C$1,MATCH(I$28,产销汇总!$C$2:$C$8,0),$C$27)*_xlfn.XLOOKUP(C319,巡逻产出!$B$311:$B$610,巡逻产出!$H$311:$H$610)</f>
        <v>#N/A</v>
      </c>
      <c r="J319" s="80" t="e">
        <f ca="1">OFFSET(产销汇总!$C$1,MATCH(J$28,产销汇总!$C$2:$C$8,0),$C$27)*(_xlfn.XLOOKUP(MAX(1,INT(C319/10-6/10)),组队产出!$B$24:$B$39,组队产出!$J$24:$J$39)+_xlfn.XLOOKUP(MAX(1,INT(C319/10-6/10)),组队产出!$B$24:$B$39,组队产出!$K$24:$K$39))</f>
        <v>#N/A</v>
      </c>
      <c r="K319" s="80" t="e">
        <f ca="1">OFFSET(产销汇总!$C$1,MATCH(K$28,产销汇总!$C$2:$C$8,0),$C$27)*_xlfn.XLOOKUP(C319,巡逻产出!$B$311:$B$610,巡逻产出!$I$311:$I$610)*IF($C$27=1,0.5,1)</f>
        <v>#N/A</v>
      </c>
      <c r="L319" s="80">
        <f ca="1">OFFSET(产销汇总!$C$1,MATCH(L$28,产销汇总!$C$2:$C$8,0),$C$27)*竞技场!$C$5</f>
        <v>180</v>
      </c>
      <c r="M319" s="80">
        <f>任务!$C$6+IF(MOD(B319,7)=0,任务!$M$25)</f>
        <v>30</v>
      </c>
      <c r="N319" s="98">
        <f t="shared" si="31"/>
        <v>1.7</v>
      </c>
      <c r="O319" s="80">
        <f t="shared" si="32"/>
        <v>0</v>
      </c>
      <c r="P319" s="172">
        <f ca="1">OFFSET(产销汇总!$C$1,MATCH(P$27,产销汇总!$C$2:$C$8,0),$C$27)/200*协力宝箱!$Q$82</f>
        <v>0</v>
      </c>
      <c r="Q319" s="80">
        <f t="shared" si="33"/>
        <v>10</v>
      </c>
      <c r="R319" s="80">
        <v>10</v>
      </c>
      <c r="S319" s="172">
        <f t="shared" si="35"/>
        <v>100</v>
      </c>
      <c r="T319" s="172">
        <f>(公会!$F$12+公会!$F$13+公会!$F$14+公会!$F$18/7)/2</f>
        <v>121.428571428571</v>
      </c>
      <c r="U319" s="172">
        <f t="shared" si="34"/>
        <v>150</v>
      </c>
      <c r="V319" s="172" t="e">
        <f ca="1">SUM($H$29:U319)+SUM(D319:G319)</f>
        <v>#N/A</v>
      </c>
      <c r="W319" s="132" t="e">
        <f ca="1" t="shared" si="36"/>
        <v>#N/A</v>
      </c>
    </row>
    <row r="320" spans="1:23">
      <c r="A320" s="171"/>
      <c r="B320" s="80">
        <v>292</v>
      </c>
      <c r="C320" s="80">
        <f ca="1">OFFSET(产销汇总!$C$12,$B320,$C$27)</f>
        <v>269</v>
      </c>
      <c r="D320" s="80">
        <f ca="1">SUMIF(主线宝箱!$B$321:$B$620,"&lt;="&amp;C320,主线宝箱!$H$321:$H$620)+SUMIF(主线宝箱!$B$321:$B$620,"&lt;="&amp;C320,主线宝箱!$T$321:$T$620)</f>
        <v>10760</v>
      </c>
      <c r="E320" s="80">
        <v>110</v>
      </c>
      <c r="F320" s="80">
        <f t="shared" si="37"/>
        <v>450</v>
      </c>
      <c r="G320" s="80">
        <f ca="1">IF(AND($C$27&lt;3,B320&gt;3),G319,SUMIF(图纸产出设计!$F$334:$F$342,"&lt;="&amp;B320,图纸产出设计!$C$334:$C$342))</f>
        <v>3890</v>
      </c>
      <c r="H320" s="80">
        <f ca="1">OFFSET(产销汇总!$C$1,MATCH(H$28,产销汇总!$C$2:$C$8,0),$C$27)*(_xlfn.XLOOKUP(C320,主线推图!$B$313:$B$612,主线推图!$G$313:$G$612)+_xlfn.XLOOKUP(C320,主线推图!$B$313:$B$612,主线推图!$H$313:$H$612))</f>
        <v>176</v>
      </c>
      <c r="I320" s="80">
        <f ca="1">OFFSET(产销汇总!$C$1,MATCH(I$28,产销汇总!$C$2:$C$8,0),$C$27)*_xlfn.XLOOKUP(C320,巡逻产出!$B$311:$B$610,巡逻产出!$H$311:$H$610)</f>
        <v>0</v>
      </c>
      <c r="J320" s="80" t="e">
        <f ca="1">OFFSET(产销汇总!$C$1,MATCH(J$28,产销汇总!$C$2:$C$8,0),$C$27)*(_xlfn.XLOOKUP(MAX(1,INT(C320/10-6/10)),组队产出!$B$24:$B$39,组队产出!$J$24:$J$39)+_xlfn.XLOOKUP(MAX(1,INT(C320/10-6/10)),组队产出!$B$24:$B$39,组队产出!$K$24:$K$39))</f>
        <v>#N/A</v>
      </c>
      <c r="K320" s="80">
        <f ca="1">OFFSET(产销汇总!$C$1,MATCH(K$28,产销汇总!$C$2:$C$8,0),$C$27)*_xlfn.XLOOKUP(C320,巡逻产出!$B$311:$B$610,巡逻产出!$I$311:$I$610)*IF($C$27=1,0.5,1)</f>
        <v>312</v>
      </c>
      <c r="L320" s="80">
        <f ca="1">OFFSET(产销汇总!$C$1,MATCH(L$28,产销汇总!$C$2:$C$8,0),$C$27)*竞技场!$C$5</f>
        <v>180</v>
      </c>
      <c r="M320" s="80">
        <f>任务!$C$6+IF(MOD(B320,7)=0,任务!$M$25)</f>
        <v>30</v>
      </c>
      <c r="N320" s="98">
        <f t="shared" si="31"/>
        <v>1.7</v>
      </c>
      <c r="O320" s="80">
        <f t="shared" si="32"/>
        <v>10</v>
      </c>
      <c r="P320" s="172">
        <f ca="1">OFFSET(产销汇总!$C$1,MATCH(P$27,产销汇总!$C$2:$C$8,0),$C$27)/200*协力宝箱!$Q$82</f>
        <v>0</v>
      </c>
      <c r="Q320" s="80">
        <f t="shared" si="33"/>
        <v>10</v>
      </c>
      <c r="R320" s="80">
        <v>10</v>
      </c>
      <c r="S320" s="172">
        <f t="shared" si="35"/>
        <v>100</v>
      </c>
      <c r="T320" s="172">
        <f>(公会!$F$12+公会!$F$13+公会!$F$14+公会!$F$18/7)/2</f>
        <v>121.428571428571</v>
      </c>
      <c r="U320" s="172">
        <f t="shared" si="34"/>
        <v>150</v>
      </c>
      <c r="V320" s="172" t="e">
        <f ca="1">SUM($H$29:U320)+SUM(D320:G320)</f>
        <v>#N/A</v>
      </c>
      <c r="W320" s="132" t="e">
        <f ca="1" t="shared" si="36"/>
        <v>#N/A</v>
      </c>
    </row>
    <row r="321" spans="1:23">
      <c r="A321" s="171"/>
      <c r="B321" s="80">
        <v>293</v>
      </c>
      <c r="C321" s="80">
        <f ca="1">OFFSET(产销汇总!$C$12,$B321,$C$27)</f>
        <v>269.5</v>
      </c>
      <c r="D321" s="80">
        <f ca="1">SUMIF(主线宝箱!$B$321:$B$620,"&lt;="&amp;C321,主线宝箱!$H$321:$H$620)+SUMIF(主线宝箱!$B$321:$B$620,"&lt;="&amp;C321,主线宝箱!$T$321:$T$620)</f>
        <v>10760</v>
      </c>
      <c r="E321" s="80">
        <v>110</v>
      </c>
      <c r="F321" s="80">
        <f t="shared" si="37"/>
        <v>450</v>
      </c>
      <c r="G321" s="80">
        <f ca="1">IF(AND($C$27&lt;3,B321&gt;3),G320,SUMIF(图纸产出设计!$F$334:$F$342,"&lt;="&amp;B321,图纸产出设计!$C$334:$C$342))</f>
        <v>3890</v>
      </c>
      <c r="H321" s="80" t="e">
        <f ca="1">OFFSET(产销汇总!$C$1,MATCH(H$28,产销汇总!$C$2:$C$8,0),$C$27)*(_xlfn.XLOOKUP(C321,主线推图!$B$313:$B$612,主线推图!$G$313:$G$612)+_xlfn.XLOOKUP(C321,主线推图!$B$313:$B$612,主线推图!$H$313:$H$612))</f>
        <v>#N/A</v>
      </c>
      <c r="I321" s="80" t="e">
        <f ca="1">OFFSET(产销汇总!$C$1,MATCH(I$28,产销汇总!$C$2:$C$8,0),$C$27)*_xlfn.XLOOKUP(C321,巡逻产出!$B$311:$B$610,巡逻产出!$H$311:$H$610)</f>
        <v>#N/A</v>
      </c>
      <c r="J321" s="80" t="e">
        <f ca="1">OFFSET(产销汇总!$C$1,MATCH(J$28,产销汇总!$C$2:$C$8,0),$C$27)*(_xlfn.XLOOKUP(MAX(1,INT(C321/10-6/10)),组队产出!$B$24:$B$39,组队产出!$J$24:$J$39)+_xlfn.XLOOKUP(MAX(1,INT(C321/10-6/10)),组队产出!$B$24:$B$39,组队产出!$K$24:$K$39))</f>
        <v>#N/A</v>
      </c>
      <c r="K321" s="80" t="e">
        <f ca="1">OFFSET(产销汇总!$C$1,MATCH(K$28,产销汇总!$C$2:$C$8,0),$C$27)*_xlfn.XLOOKUP(C321,巡逻产出!$B$311:$B$610,巡逻产出!$I$311:$I$610)*IF($C$27=1,0.5,1)</f>
        <v>#N/A</v>
      </c>
      <c r="L321" s="80">
        <f ca="1">OFFSET(产销汇总!$C$1,MATCH(L$28,产销汇总!$C$2:$C$8,0),$C$27)*竞技场!$C$5</f>
        <v>180</v>
      </c>
      <c r="M321" s="80">
        <f>任务!$C$6+IF(MOD(B321,7)=0,任务!$M$25)</f>
        <v>30</v>
      </c>
      <c r="N321" s="98">
        <f t="shared" si="31"/>
        <v>1.7</v>
      </c>
      <c r="O321" s="80">
        <f t="shared" si="32"/>
        <v>0</v>
      </c>
      <c r="P321" s="172">
        <f ca="1">OFFSET(产销汇总!$C$1,MATCH(P$27,产销汇总!$C$2:$C$8,0),$C$27)/200*协力宝箱!$Q$82</f>
        <v>0</v>
      </c>
      <c r="Q321" s="80">
        <f t="shared" si="33"/>
        <v>10</v>
      </c>
      <c r="R321" s="80">
        <v>10</v>
      </c>
      <c r="S321" s="172">
        <f t="shared" si="35"/>
        <v>100</v>
      </c>
      <c r="T321" s="172">
        <f>(公会!$F$12+公会!$F$13+公会!$F$14+公会!$F$18/7)/2</f>
        <v>121.428571428571</v>
      </c>
      <c r="U321" s="172">
        <f t="shared" si="34"/>
        <v>150</v>
      </c>
      <c r="V321" s="172" t="e">
        <f ca="1">SUM($H$29:U321)+SUM(D321:G321)</f>
        <v>#N/A</v>
      </c>
      <c r="W321" s="132" t="e">
        <f ca="1" t="shared" si="36"/>
        <v>#N/A</v>
      </c>
    </row>
    <row r="322" spans="1:23">
      <c r="A322" s="171"/>
      <c r="B322" s="80">
        <v>294</v>
      </c>
      <c r="C322" s="80">
        <f ca="1">OFFSET(产销汇总!$C$12,$B322,$C$27)</f>
        <v>270</v>
      </c>
      <c r="D322" s="80">
        <f ca="1">SUMIF(主线宝箱!$B$321:$B$620,"&lt;="&amp;C322,主线宝箱!$H$321:$H$620)+SUMIF(主线宝箱!$B$321:$B$620,"&lt;="&amp;C322,主线宝箱!$T$321:$T$620)</f>
        <v>10800</v>
      </c>
      <c r="E322" s="80">
        <v>110</v>
      </c>
      <c r="F322" s="80">
        <f t="shared" si="37"/>
        <v>450</v>
      </c>
      <c r="G322" s="80">
        <f ca="1">IF(AND($C$27&lt;3,B322&gt;3),G321,SUMIF(图纸产出设计!$F$334:$F$342,"&lt;="&amp;B322,图纸产出设计!$C$334:$C$342))</f>
        <v>3890</v>
      </c>
      <c r="H322" s="80">
        <f ca="1">OFFSET(产销汇总!$C$1,MATCH(H$28,产销汇总!$C$2:$C$8,0),$C$27)*(_xlfn.XLOOKUP(C322,主线推图!$B$313:$B$612,主线推图!$G$313:$G$612)+_xlfn.XLOOKUP(C322,主线推图!$B$313:$B$612,主线推图!$H$313:$H$612))</f>
        <v>176</v>
      </c>
      <c r="I322" s="80">
        <f ca="1">OFFSET(产销汇总!$C$1,MATCH(I$28,产销汇总!$C$2:$C$8,0),$C$27)*_xlfn.XLOOKUP(C322,巡逻产出!$B$311:$B$610,巡逻产出!$H$311:$H$610)</f>
        <v>0</v>
      </c>
      <c r="J322" s="80" t="e">
        <f ca="1">OFFSET(产销汇总!$C$1,MATCH(J$28,产销汇总!$C$2:$C$8,0),$C$27)*(_xlfn.XLOOKUP(MAX(1,INT(C322/10-6/10)),组队产出!$B$24:$B$39,组队产出!$J$24:$J$39)+_xlfn.XLOOKUP(MAX(1,INT(C322/10-6/10)),组队产出!$B$24:$B$39,组队产出!$K$24:$K$39))</f>
        <v>#N/A</v>
      </c>
      <c r="K322" s="80">
        <f ca="1">OFFSET(产销汇总!$C$1,MATCH(K$28,产销汇总!$C$2:$C$8,0),$C$27)*_xlfn.XLOOKUP(C322,巡逻产出!$B$311:$B$610,巡逻产出!$I$311:$I$610)*IF($C$27=1,0.5,1)</f>
        <v>312</v>
      </c>
      <c r="L322" s="80">
        <f ca="1">OFFSET(产销汇总!$C$1,MATCH(L$28,产销汇总!$C$2:$C$8,0),$C$27)*竞技场!$C$5</f>
        <v>180</v>
      </c>
      <c r="M322" s="80">
        <f>任务!$C$6+IF(MOD(B322,7)=0,任务!$M$25)</f>
        <v>60</v>
      </c>
      <c r="N322" s="98">
        <f t="shared" si="31"/>
        <v>1.7</v>
      </c>
      <c r="O322" s="80">
        <f t="shared" si="32"/>
        <v>0</v>
      </c>
      <c r="P322" s="172">
        <f ca="1">OFFSET(产销汇总!$C$1,MATCH(P$27,产销汇总!$C$2:$C$8,0),$C$27)/200*协力宝箱!$Q$82</f>
        <v>0</v>
      </c>
      <c r="Q322" s="80">
        <f t="shared" si="33"/>
        <v>10</v>
      </c>
      <c r="R322" s="80">
        <v>10</v>
      </c>
      <c r="S322" s="172">
        <f t="shared" si="35"/>
        <v>100</v>
      </c>
      <c r="T322" s="172">
        <f>(公会!$F$12+公会!$F$13+公会!$F$14+公会!$F$18/7)/2</f>
        <v>121.428571428571</v>
      </c>
      <c r="U322" s="172">
        <f t="shared" si="34"/>
        <v>150</v>
      </c>
      <c r="V322" s="172" t="e">
        <f ca="1">SUM($H$29:U322)+SUM(D322:G322)</f>
        <v>#N/A</v>
      </c>
      <c r="W322" s="132" t="e">
        <f ca="1" t="shared" si="36"/>
        <v>#N/A</v>
      </c>
    </row>
    <row r="323" spans="1:23">
      <c r="A323" s="171"/>
      <c r="B323" s="80">
        <v>295</v>
      </c>
      <c r="C323" s="80">
        <f ca="1">OFFSET(产销汇总!$C$12,$B323,$C$27)</f>
        <v>270.5</v>
      </c>
      <c r="D323" s="80">
        <f ca="1">SUMIF(主线宝箱!$B$321:$B$620,"&lt;="&amp;C323,主线宝箱!$H$321:$H$620)+SUMIF(主线宝箱!$B$321:$B$620,"&lt;="&amp;C323,主线宝箱!$T$321:$T$620)</f>
        <v>10800</v>
      </c>
      <c r="E323" s="80">
        <v>110</v>
      </c>
      <c r="F323" s="80">
        <f t="shared" si="37"/>
        <v>450</v>
      </c>
      <c r="G323" s="80">
        <f ca="1">IF(AND($C$27&lt;3,B323&gt;3),G322,SUMIF(图纸产出设计!$F$334:$F$342,"&lt;="&amp;B323,图纸产出设计!$C$334:$C$342))</f>
        <v>3890</v>
      </c>
      <c r="H323" s="80" t="e">
        <f ca="1">OFFSET(产销汇总!$C$1,MATCH(H$28,产销汇总!$C$2:$C$8,0),$C$27)*(_xlfn.XLOOKUP(C323,主线推图!$B$313:$B$612,主线推图!$G$313:$G$612)+_xlfn.XLOOKUP(C323,主线推图!$B$313:$B$612,主线推图!$H$313:$H$612))</f>
        <v>#N/A</v>
      </c>
      <c r="I323" s="80" t="e">
        <f ca="1">OFFSET(产销汇总!$C$1,MATCH(I$28,产销汇总!$C$2:$C$8,0),$C$27)*_xlfn.XLOOKUP(C323,巡逻产出!$B$311:$B$610,巡逻产出!$H$311:$H$610)</f>
        <v>#N/A</v>
      </c>
      <c r="J323" s="80" t="e">
        <f ca="1">OFFSET(产销汇总!$C$1,MATCH(J$28,产销汇总!$C$2:$C$8,0),$C$27)*(_xlfn.XLOOKUP(MAX(1,INT(C323/10-6/10)),组队产出!$B$24:$B$39,组队产出!$J$24:$J$39)+_xlfn.XLOOKUP(MAX(1,INT(C323/10-6/10)),组队产出!$B$24:$B$39,组队产出!$K$24:$K$39))</f>
        <v>#N/A</v>
      </c>
      <c r="K323" s="80" t="e">
        <f ca="1">OFFSET(产销汇总!$C$1,MATCH(K$28,产销汇总!$C$2:$C$8,0),$C$27)*_xlfn.XLOOKUP(C323,巡逻产出!$B$311:$B$610,巡逻产出!$I$311:$I$610)*IF($C$27=1,0.5,1)</f>
        <v>#N/A</v>
      </c>
      <c r="L323" s="80">
        <f ca="1">OFFSET(产销汇总!$C$1,MATCH(L$28,产销汇总!$C$2:$C$8,0),$C$27)*竞技场!$C$5</f>
        <v>180</v>
      </c>
      <c r="M323" s="80">
        <f>任务!$C$6+IF(MOD(B323,7)=0,任务!$M$25)</f>
        <v>30</v>
      </c>
      <c r="N323" s="98">
        <f t="shared" si="31"/>
        <v>1.7</v>
      </c>
      <c r="O323" s="80">
        <f t="shared" si="32"/>
        <v>0</v>
      </c>
      <c r="P323" s="172">
        <f ca="1">OFFSET(产销汇总!$C$1,MATCH(P$27,产销汇总!$C$2:$C$8,0),$C$27)/200*协力宝箱!$Q$82</f>
        <v>0</v>
      </c>
      <c r="Q323" s="80">
        <f t="shared" si="33"/>
        <v>10</v>
      </c>
      <c r="R323" s="80">
        <v>10</v>
      </c>
      <c r="S323" s="172">
        <f t="shared" si="35"/>
        <v>100</v>
      </c>
      <c r="T323" s="172">
        <f>(公会!$F$12+公会!$F$13+公会!$F$14+公会!$F$18/7)/2</f>
        <v>121.428571428571</v>
      </c>
      <c r="U323" s="172">
        <f t="shared" si="34"/>
        <v>150</v>
      </c>
      <c r="V323" s="172" t="e">
        <f ca="1">SUM($H$29:U323)+SUM(D323:G323)</f>
        <v>#N/A</v>
      </c>
      <c r="W323" s="132" t="e">
        <f ca="1" t="shared" si="36"/>
        <v>#N/A</v>
      </c>
    </row>
    <row r="324" spans="1:23">
      <c r="A324" s="171"/>
      <c r="B324" s="80">
        <v>296</v>
      </c>
      <c r="C324" s="80">
        <f ca="1">OFFSET(产销汇总!$C$12,$B324,$C$27)</f>
        <v>271</v>
      </c>
      <c r="D324" s="80">
        <f ca="1">SUMIF(主线宝箱!$B$321:$B$620,"&lt;="&amp;C324,主线宝箱!$H$321:$H$620)+SUMIF(主线宝箱!$B$321:$B$620,"&lt;="&amp;C324,主线宝箱!$T$321:$T$620)</f>
        <v>10840</v>
      </c>
      <c r="E324" s="80">
        <v>110</v>
      </c>
      <c r="F324" s="80">
        <f t="shared" si="37"/>
        <v>450</v>
      </c>
      <c r="G324" s="80">
        <f ca="1">IF(AND($C$27&lt;3,B324&gt;3),G323,SUMIF(图纸产出设计!$F$334:$F$342,"&lt;="&amp;B324,图纸产出设计!$C$334:$C$342))</f>
        <v>3890</v>
      </c>
      <c r="H324" s="80">
        <f ca="1">OFFSET(产销汇总!$C$1,MATCH(H$28,产销汇总!$C$2:$C$8,0),$C$27)*(_xlfn.XLOOKUP(C324,主线推图!$B$313:$B$612,主线推图!$G$313:$G$612)+_xlfn.XLOOKUP(C324,主线推图!$B$313:$B$612,主线推图!$H$313:$H$612))</f>
        <v>176</v>
      </c>
      <c r="I324" s="80">
        <f ca="1">OFFSET(产销汇总!$C$1,MATCH(I$28,产销汇总!$C$2:$C$8,0),$C$27)*_xlfn.XLOOKUP(C324,巡逻产出!$B$311:$B$610,巡逻产出!$H$311:$H$610)</f>
        <v>0</v>
      </c>
      <c r="J324" s="80" t="e">
        <f ca="1">OFFSET(产销汇总!$C$1,MATCH(J$28,产销汇总!$C$2:$C$8,0),$C$27)*(_xlfn.XLOOKUP(MAX(1,INT(C324/10-6/10)),组队产出!$B$24:$B$39,组队产出!$J$24:$J$39)+_xlfn.XLOOKUP(MAX(1,INT(C324/10-6/10)),组队产出!$B$24:$B$39,组队产出!$K$24:$K$39))</f>
        <v>#N/A</v>
      </c>
      <c r="K324" s="80">
        <f ca="1">OFFSET(产销汇总!$C$1,MATCH(K$28,产销汇总!$C$2:$C$8,0),$C$27)*_xlfn.XLOOKUP(C324,巡逻产出!$B$311:$B$610,巡逻产出!$I$311:$I$610)*IF($C$27=1,0.5,1)</f>
        <v>312</v>
      </c>
      <c r="L324" s="80">
        <f ca="1">OFFSET(产销汇总!$C$1,MATCH(L$28,产销汇总!$C$2:$C$8,0),$C$27)*竞技场!$C$5</f>
        <v>180</v>
      </c>
      <c r="M324" s="80">
        <f>任务!$C$6+IF(MOD(B324,7)=0,任务!$M$25)</f>
        <v>30</v>
      </c>
      <c r="N324" s="98">
        <f t="shared" si="31"/>
        <v>1.7</v>
      </c>
      <c r="O324" s="80">
        <f t="shared" si="32"/>
        <v>10</v>
      </c>
      <c r="P324" s="172">
        <f ca="1">OFFSET(产销汇总!$C$1,MATCH(P$27,产销汇总!$C$2:$C$8,0),$C$27)/200*协力宝箱!$Q$82</f>
        <v>0</v>
      </c>
      <c r="Q324" s="80">
        <f t="shared" si="33"/>
        <v>10</v>
      </c>
      <c r="R324" s="80">
        <v>10</v>
      </c>
      <c r="S324" s="172">
        <f t="shared" si="35"/>
        <v>100</v>
      </c>
      <c r="T324" s="172">
        <f>(公会!$F$12+公会!$F$13+公会!$F$14+公会!$F$18/7)/2</f>
        <v>121.428571428571</v>
      </c>
      <c r="U324" s="172">
        <f t="shared" si="34"/>
        <v>150</v>
      </c>
      <c r="V324" s="172" t="e">
        <f ca="1">SUM($H$29:U324)+SUM(D324:G324)</f>
        <v>#N/A</v>
      </c>
      <c r="W324" s="132" t="e">
        <f ca="1" t="shared" si="36"/>
        <v>#N/A</v>
      </c>
    </row>
    <row r="325" spans="1:23">
      <c r="A325" s="171"/>
      <c r="B325" s="80">
        <v>297</v>
      </c>
      <c r="C325" s="80">
        <f ca="1">OFFSET(产销汇总!$C$12,$B325,$C$27)</f>
        <v>271.5</v>
      </c>
      <c r="D325" s="80">
        <f ca="1">SUMIF(主线宝箱!$B$321:$B$620,"&lt;="&amp;C325,主线宝箱!$H$321:$H$620)+SUMIF(主线宝箱!$B$321:$B$620,"&lt;="&amp;C325,主线宝箱!$T$321:$T$620)</f>
        <v>10840</v>
      </c>
      <c r="E325" s="80">
        <v>110</v>
      </c>
      <c r="F325" s="80">
        <f t="shared" si="37"/>
        <v>450</v>
      </c>
      <c r="G325" s="80">
        <f ca="1">IF(AND($C$27&lt;3,B325&gt;3),G324,SUMIF(图纸产出设计!$F$334:$F$342,"&lt;="&amp;B325,图纸产出设计!$C$334:$C$342))</f>
        <v>3890</v>
      </c>
      <c r="H325" s="80" t="e">
        <f ca="1">OFFSET(产销汇总!$C$1,MATCH(H$28,产销汇总!$C$2:$C$8,0),$C$27)*(_xlfn.XLOOKUP(C325,主线推图!$B$313:$B$612,主线推图!$G$313:$G$612)+_xlfn.XLOOKUP(C325,主线推图!$B$313:$B$612,主线推图!$H$313:$H$612))</f>
        <v>#N/A</v>
      </c>
      <c r="I325" s="80" t="e">
        <f ca="1">OFFSET(产销汇总!$C$1,MATCH(I$28,产销汇总!$C$2:$C$8,0),$C$27)*_xlfn.XLOOKUP(C325,巡逻产出!$B$311:$B$610,巡逻产出!$H$311:$H$610)</f>
        <v>#N/A</v>
      </c>
      <c r="J325" s="80" t="e">
        <f ca="1">OFFSET(产销汇总!$C$1,MATCH(J$28,产销汇总!$C$2:$C$8,0),$C$27)*(_xlfn.XLOOKUP(MAX(1,INT(C325/10-6/10)),组队产出!$B$24:$B$39,组队产出!$J$24:$J$39)+_xlfn.XLOOKUP(MAX(1,INT(C325/10-6/10)),组队产出!$B$24:$B$39,组队产出!$K$24:$K$39))</f>
        <v>#N/A</v>
      </c>
      <c r="K325" s="80" t="e">
        <f ca="1">OFFSET(产销汇总!$C$1,MATCH(K$28,产销汇总!$C$2:$C$8,0),$C$27)*_xlfn.XLOOKUP(C325,巡逻产出!$B$311:$B$610,巡逻产出!$I$311:$I$610)*IF($C$27=1,0.5,1)</f>
        <v>#N/A</v>
      </c>
      <c r="L325" s="80">
        <f ca="1">OFFSET(产销汇总!$C$1,MATCH(L$28,产销汇总!$C$2:$C$8,0),$C$27)*竞技场!$C$5</f>
        <v>180</v>
      </c>
      <c r="M325" s="80">
        <f>任务!$C$6+IF(MOD(B325,7)=0,任务!$M$25)</f>
        <v>30</v>
      </c>
      <c r="N325" s="98">
        <f t="shared" si="31"/>
        <v>1.7</v>
      </c>
      <c r="O325" s="80">
        <f t="shared" si="32"/>
        <v>0</v>
      </c>
      <c r="P325" s="172">
        <f ca="1">OFFSET(产销汇总!$C$1,MATCH(P$27,产销汇总!$C$2:$C$8,0),$C$27)/200*协力宝箱!$Q$82</f>
        <v>0</v>
      </c>
      <c r="Q325" s="80">
        <f t="shared" si="33"/>
        <v>10</v>
      </c>
      <c r="R325" s="80">
        <v>10</v>
      </c>
      <c r="S325" s="172">
        <f t="shared" si="35"/>
        <v>100</v>
      </c>
      <c r="T325" s="172">
        <f>(公会!$F$12+公会!$F$13+公会!$F$14+公会!$F$18/7)/2</f>
        <v>121.428571428571</v>
      </c>
      <c r="U325" s="172">
        <f t="shared" si="34"/>
        <v>150</v>
      </c>
      <c r="V325" s="172" t="e">
        <f ca="1">SUM($H$29:U325)+SUM(D325:G325)</f>
        <v>#N/A</v>
      </c>
      <c r="W325" s="132" t="e">
        <f ca="1" t="shared" si="36"/>
        <v>#N/A</v>
      </c>
    </row>
    <row r="326" spans="1:23">
      <c r="A326" s="171"/>
      <c r="B326" s="80">
        <v>298</v>
      </c>
      <c r="C326" s="80">
        <f ca="1">OFFSET(产销汇总!$C$12,$B326,$C$27)</f>
        <v>272</v>
      </c>
      <c r="D326" s="80">
        <f ca="1">SUMIF(主线宝箱!$B$321:$B$620,"&lt;="&amp;C326,主线宝箱!$H$321:$H$620)+SUMIF(主线宝箱!$B$321:$B$620,"&lt;="&amp;C326,主线宝箱!$T$321:$T$620)</f>
        <v>10880</v>
      </c>
      <c r="E326" s="80">
        <v>110</v>
      </c>
      <c r="F326" s="80">
        <f t="shared" si="37"/>
        <v>450</v>
      </c>
      <c r="G326" s="80">
        <f ca="1">IF(AND($C$27&lt;3,B326&gt;3),G325,SUMIF(图纸产出设计!$F$334:$F$342,"&lt;="&amp;B326,图纸产出设计!$C$334:$C$342))</f>
        <v>3890</v>
      </c>
      <c r="H326" s="80">
        <f ca="1">OFFSET(产销汇总!$C$1,MATCH(H$28,产销汇总!$C$2:$C$8,0),$C$27)*(_xlfn.XLOOKUP(C326,主线推图!$B$313:$B$612,主线推图!$G$313:$G$612)+_xlfn.XLOOKUP(C326,主线推图!$B$313:$B$612,主线推图!$H$313:$H$612))</f>
        <v>176</v>
      </c>
      <c r="I326" s="80">
        <f ca="1">OFFSET(产销汇总!$C$1,MATCH(I$28,产销汇总!$C$2:$C$8,0),$C$27)*_xlfn.XLOOKUP(C326,巡逻产出!$B$311:$B$610,巡逻产出!$H$311:$H$610)</f>
        <v>0</v>
      </c>
      <c r="J326" s="80" t="e">
        <f ca="1">OFFSET(产销汇总!$C$1,MATCH(J$28,产销汇总!$C$2:$C$8,0),$C$27)*(_xlfn.XLOOKUP(MAX(1,INT(C326/10-6/10)),组队产出!$B$24:$B$39,组队产出!$J$24:$J$39)+_xlfn.XLOOKUP(MAX(1,INT(C326/10-6/10)),组队产出!$B$24:$B$39,组队产出!$K$24:$K$39))</f>
        <v>#N/A</v>
      </c>
      <c r="K326" s="80">
        <f ca="1">OFFSET(产销汇总!$C$1,MATCH(K$28,产销汇总!$C$2:$C$8,0),$C$27)*_xlfn.XLOOKUP(C326,巡逻产出!$B$311:$B$610,巡逻产出!$I$311:$I$610)*IF($C$27=1,0.5,1)</f>
        <v>312</v>
      </c>
      <c r="L326" s="80">
        <f ca="1">OFFSET(产销汇总!$C$1,MATCH(L$28,产销汇总!$C$2:$C$8,0),$C$27)*竞技场!$C$5</f>
        <v>180</v>
      </c>
      <c r="M326" s="80">
        <f>任务!$C$6+IF(MOD(B326,7)=0,任务!$M$25)</f>
        <v>30</v>
      </c>
      <c r="N326" s="98">
        <f t="shared" si="31"/>
        <v>1.7</v>
      </c>
      <c r="O326" s="80">
        <f t="shared" si="32"/>
        <v>0</v>
      </c>
      <c r="P326" s="172">
        <f ca="1">OFFSET(产销汇总!$C$1,MATCH(P$27,产销汇总!$C$2:$C$8,0),$C$27)/200*协力宝箱!$Q$82</f>
        <v>0</v>
      </c>
      <c r="Q326" s="80">
        <f t="shared" si="33"/>
        <v>10</v>
      </c>
      <c r="R326" s="80">
        <v>10</v>
      </c>
      <c r="S326" s="172">
        <f t="shared" si="35"/>
        <v>100</v>
      </c>
      <c r="T326" s="172">
        <f>(公会!$F$12+公会!$F$13+公会!$F$14+公会!$F$18/7)/2</f>
        <v>121.428571428571</v>
      </c>
      <c r="U326" s="172">
        <f t="shared" si="34"/>
        <v>150</v>
      </c>
      <c r="V326" s="172" t="e">
        <f ca="1">SUM($H$29:U326)+SUM(D326:G326)</f>
        <v>#N/A</v>
      </c>
      <c r="W326" s="132" t="e">
        <f ca="1" t="shared" si="36"/>
        <v>#N/A</v>
      </c>
    </row>
    <row r="327" spans="1:23">
      <c r="A327" s="171"/>
      <c r="B327" s="80">
        <v>299</v>
      </c>
      <c r="C327" s="80">
        <f ca="1">OFFSET(产销汇总!$C$12,$B327,$C$27)</f>
        <v>272.5</v>
      </c>
      <c r="D327" s="80">
        <f ca="1">SUMIF(主线宝箱!$B$321:$B$620,"&lt;="&amp;C327,主线宝箱!$H$321:$H$620)+SUMIF(主线宝箱!$B$321:$B$620,"&lt;="&amp;C327,主线宝箱!$T$321:$T$620)</f>
        <v>10880</v>
      </c>
      <c r="E327" s="80">
        <v>110</v>
      </c>
      <c r="F327" s="80">
        <f t="shared" si="37"/>
        <v>450</v>
      </c>
      <c r="G327" s="80">
        <f ca="1">IF(AND($C$27&lt;3,B327&gt;3),G326,SUMIF(图纸产出设计!$F$334:$F$342,"&lt;="&amp;B327,图纸产出设计!$C$334:$C$342))</f>
        <v>3890</v>
      </c>
      <c r="H327" s="80" t="e">
        <f ca="1">OFFSET(产销汇总!$C$1,MATCH(H$28,产销汇总!$C$2:$C$8,0),$C$27)*(_xlfn.XLOOKUP(C327,主线推图!$B$313:$B$612,主线推图!$G$313:$G$612)+_xlfn.XLOOKUP(C327,主线推图!$B$313:$B$612,主线推图!$H$313:$H$612))</f>
        <v>#N/A</v>
      </c>
      <c r="I327" s="80" t="e">
        <f ca="1">OFFSET(产销汇总!$C$1,MATCH(I$28,产销汇总!$C$2:$C$8,0),$C$27)*_xlfn.XLOOKUP(C327,巡逻产出!$B$311:$B$610,巡逻产出!$H$311:$H$610)</f>
        <v>#N/A</v>
      </c>
      <c r="J327" s="80" t="e">
        <f ca="1">OFFSET(产销汇总!$C$1,MATCH(J$28,产销汇总!$C$2:$C$8,0),$C$27)*(_xlfn.XLOOKUP(MAX(1,INT(C327/10-6/10)),组队产出!$B$24:$B$39,组队产出!$J$24:$J$39)+_xlfn.XLOOKUP(MAX(1,INT(C327/10-6/10)),组队产出!$B$24:$B$39,组队产出!$K$24:$K$39))</f>
        <v>#N/A</v>
      </c>
      <c r="K327" s="80" t="e">
        <f ca="1">OFFSET(产销汇总!$C$1,MATCH(K$28,产销汇总!$C$2:$C$8,0),$C$27)*_xlfn.XLOOKUP(C327,巡逻产出!$B$311:$B$610,巡逻产出!$I$311:$I$610)*IF($C$27=1,0.5,1)</f>
        <v>#N/A</v>
      </c>
      <c r="L327" s="80">
        <f ca="1">OFFSET(产销汇总!$C$1,MATCH(L$28,产销汇总!$C$2:$C$8,0),$C$27)*竞技场!$C$5</f>
        <v>180</v>
      </c>
      <c r="M327" s="80">
        <f>任务!$C$6+IF(MOD(B327,7)=0,任务!$M$25)</f>
        <v>30</v>
      </c>
      <c r="N327" s="98">
        <f t="shared" si="31"/>
        <v>1.7</v>
      </c>
      <c r="O327" s="80">
        <f t="shared" si="32"/>
        <v>10</v>
      </c>
      <c r="P327" s="172">
        <f ca="1">OFFSET(产销汇总!$C$1,MATCH(P$27,产销汇总!$C$2:$C$8,0),$C$27)/200*协力宝箱!$Q$82</f>
        <v>0</v>
      </c>
      <c r="Q327" s="80">
        <f t="shared" si="33"/>
        <v>10</v>
      </c>
      <c r="R327" s="80">
        <v>10</v>
      </c>
      <c r="S327" s="172">
        <f t="shared" si="35"/>
        <v>100</v>
      </c>
      <c r="T327" s="172">
        <f>(公会!$F$12+公会!$F$13+公会!$F$14+公会!$F$18/7)/2</f>
        <v>121.428571428571</v>
      </c>
      <c r="U327" s="172">
        <f t="shared" si="34"/>
        <v>150</v>
      </c>
      <c r="V327" s="172" t="e">
        <f ca="1">SUM($H$29:U327)+SUM(D327:G327)</f>
        <v>#N/A</v>
      </c>
      <c r="W327" s="132" t="e">
        <f ca="1" t="shared" si="36"/>
        <v>#N/A</v>
      </c>
    </row>
    <row r="328" spans="1:23">
      <c r="A328" s="171"/>
      <c r="B328" s="80">
        <v>300</v>
      </c>
      <c r="C328" s="80">
        <f ca="1">OFFSET(产销汇总!$C$12,$B328,$C$27)</f>
        <v>273</v>
      </c>
      <c r="D328" s="80">
        <f ca="1">SUMIF(主线宝箱!$B$321:$B$620,"&lt;="&amp;C328,主线宝箱!$H$321:$H$620)+SUMIF(主线宝箱!$B$321:$B$620,"&lt;="&amp;C328,主线宝箱!$T$321:$T$620)</f>
        <v>10920</v>
      </c>
      <c r="E328" s="80">
        <v>110</v>
      </c>
      <c r="F328" s="80">
        <f t="shared" si="37"/>
        <v>450</v>
      </c>
      <c r="G328" s="80">
        <f ca="1">IF(AND($C$27&lt;3,B328&gt;3),G327,SUMIF(图纸产出设计!$F$334:$F$342,"&lt;="&amp;B328,图纸产出设计!$C$334:$C$342))</f>
        <v>3890</v>
      </c>
      <c r="H328" s="80">
        <f ca="1">OFFSET(产销汇总!$C$1,MATCH(H$28,产销汇总!$C$2:$C$8,0),$C$27)*(_xlfn.XLOOKUP(C328,主线推图!$B$313:$B$612,主线推图!$G$313:$G$612)+_xlfn.XLOOKUP(C328,主线推图!$B$313:$B$612,主线推图!$H$313:$H$612))</f>
        <v>176</v>
      </c>
      <c r="I328" s="80">
        <f ca="1">OFFSET(产销汇总!$C$1,MATCH(I$28,产销汇总!$C$2:$C$8,0),$C$27)*_xlfn.XLOOKUP(C328,巡逻产出!$B$311:$B$610,巡逻产出!$H$311:$H$610)</f>
        <v>0</v>
      </c>
      <c r="J328" s="80" t="e">
        <f ca="1">OFFSET(产销汇总!$C$1,MATCH(J$28,产销汇总!$C$2:$C$8,0),$C$27)*(_xlfn.XLOOKUP(MAX(1,INT(C328/10-6/10)),组队产出!$B$24:$B$39,组队产出!$J$24:$J$39)+_xlfn.XLOOKUP(MAX(1,INT(C328/10-6/10)),组队产出!$B$24:$B$39,组队产出!$K$24:$K$39))</f>
        <v>#N/A</v>
      </c>
      <c r="K328" s="80">
        <f ca="1">OFFSET(产销汇总!$C$1,MATCH(K$28,产销汇总!$C$2:$C$8,0),$C$27)*_xlfn.XLOOKUP(C328,巡逻产出!$B$311:$B$610,巡逻产出!$I$311:$I$610)*IF($C$27=1,0.5,1)</f>
        <v>312</v>
      </c>
      <c r="L328" s="80">
        <f ca="1">OFFSET(产销汇总!$C$1,MATCH(L$28,产销汇总!$C$2:$C$8,0),$C$27)*竞技场!$C$5</f>
        <v>180</v>
      </c>
      <c r="M328" s="80">
        <f>任务!$C$6+IF(MOD(B328,7)=0,任务!$M$25)</f>
        <v>30</v>
      </c>
      <c r="N328" s="98">
        <f t="shared" si="31"/>
        <v>1.7</v>
      </c>
      <c r="O328" s="80">
        <f t="shared" si="32"/>
        <v>0</v>
      </c>
      <c r="P328" s="172">
        <f ca="1">OFFSET(产销汇总!$C$1,MATCH(P$27,产销汇总!$C$2:$C$8,0),$C$27)/200*协力宝箱!$Q$82</f>
        <v>0</v>
      </c>
      <c r="Q328" s="80">
        <f t="shared" si="33"/>
        <v>10</v>
      </c>
      <c r="R328" s="80">
        <v>10</v>
      </c>
      <c r="S328" s="172">
        <f t="shared" si="35"/>
        <v>100</v>
      </c>
      <c r="T328" s="172">
        <f>(公会!$F$12+公会!$F$13+公会!$F$14+公会!$F$18/7)/2</f>
        <v>121.428571428571</v>
      </c>
      <c r="U328" s="172">
        <f t="shared" si="34"/>
        <v>150</v>
      </c>
      <c r="V328" s="172" t="e">
        <f ca="1">SUM($H$29:U328)+SUM(D328:G328)</f>
        <v>#N/A</v>
      </c>
      <c r="W328" s="132" t="e">
        <f ca="1" t="shared" si="36"/>
        <v>#N/A</v>
      </c>
    </row>
    <row r="333" spans="1:23">
      <c r="B333" s="52" t="s">
        <v>75</v>
      </c>
      <c r="C333" s="52" t="s">
        <v>76</v>
      </c>
      <c r="D333" s="52" t="s">
        <v>17</v>
      </c>
      <c r="E333" s="52" t="s">
        <v>77</v>
      </c>
      <c r="F333" s="52" t="s">
        <v>78</v>
      </c>
      <c r="J333" s="132" t="s">
        <v>78</v>
      </c>
      <c r="K333" s="132" t="s">
        <v>78</v>
      </c>
      <c r="L333" s="132" t="s">
        <v>78</v>
      </c>
      <c r="M333" s="132" t="s">
        <v>78</v>
      </c>
    </row>
    <row r="334" spans="1:23">
      <c r="B334" s="52">
        <v>1</v>
      </c>
      <c r="C334" s="52">
        <v>120</v>
      </c>
      <c r="D334" s="52">
        <v>360</v>
      </c>
      <c r="E334" s="52">
        <v>4</v>
      </c>
      <c r="F334" s="52">
        <f ca="1">OFFSET($J$333,$B334,$C$27-1)</f>
        <v>1</v>
      </c>
      <c r="G334" s="52">
        <f ca="1">IFERROR(MATCH(E334,图纸产出设计!$C$29:$C$328,1)+1,1)</f>
        <v>1</v>
      </c>
      <c r="J334" s="132">
        <v>1</v>
      </c>
      <c r="K334" s="132">
        <v>1</v>
      </c>
      <c r="L334" s="132">
        <v>1</v>
      </c>
      <c r="M334" s="132">
        <v>1</v>
      </c>
    </row>
    <row r="335" spans="1:23">
      <c r="B335" s="52">
        <v>2</v>
      </c>
      <c r="C335" s="52">
        <v>200</v>
      </c>
      <c r="D335" s="52">
        <v>600</v>
      </c>
      <c r="E335" s="52">
        <v>8</v>
      </c>
      <c r="F335" s="52">
        <f ca="1" t="shared" ref="F335:F342" si="38">OFFSET($J$333,$B335,$C$27-1)</f>
        <v>1</v>
      </c>
      <c r="G335" s="52">
        <f ca="1">IFERROR(MATCH(E335,图纸产出设计!$C$29:$C$328,1)+1,1)</f>
        <v>1</v>
      </c>
      <c r="J335" s="132">
        <v>1</v>
      </c>
      <c r="K335" s="132">
        <v>1</v>
      </c>
      <c r="L335" s="132">
        <v>1</v>
      </c>
      <c r="M335" s="132">
        <v>1</v>
      </c>
    </row>
    <row r="336" spans="1:23">
      <c r="B336" s="52">
        <v>3</v>
      </c>
      <c r="C336" s="52">
        <v>240</v>
      </c>
      <c r="D336" s="52">
        <v>720</v>
      </c>
      <c r="E336" s="52">
        <v>10</v>
      </c>
      <c r="F336" s="52">
        <f ca="1" t="shared" si="38"/>
        <v>1</v>
      </c>
      <c r="G336" s="52">
        <f ca="1">IFERROR(MATCH(E336,图纸产出设计!$C$29:$C$328,1)+1,1)</f>
        <v>1</v>
      </c>
      <c r="J336" s="132">
        <v>2</v>
      </c>
      <c r="K336" s="132">
        <v>1</v>
      </c>
      <c r="L336" s="132">
        <v>1</v>
      </c>
      <c r="M336" s="132">
        <v>1</v>
      </c>
    </row>
    <row r="337" spans="2:13">
      <c r="B337" s="52">
        <v>4</v>
      </c>
      <c r="C337" s="52">
        <v>280</v>
      </c>
      <c r="D337" s="52">
        <v>840</v>
      </c>
      <c r="E337" s="52">
        <v>15</v>
      </c>
      <c r="F337" s="52">
        <f ca="1" t="shared" si="38"/>
        <v>1</v>
      </c>
      <c r="G337" s="52">
        <f ca="1">IFERROR(MATCH(E337,图纸产出设计!$C$29:$C$328,1)+1,1)</f>
        <v>1</v>
      </c>
      <c r="J337" s="132">
        <v>3</v>
      </c>
      <c r="K337" s="132">
        <v>2</v>
      </c>
      <c r="L337" s="132">
        <v>1</v>
      </c>
      <c r="M337" s="132">
        <v>1</v>
      </c>
    </row>
    <row r="338" spans="2:13">
      <c r="B338" s="52">
        <v>5</v>
      </c>
      <c r="C338" s="52">
        <v>350</v>
      </c>
      <c r="D338" s="52">
        <v>1050</v>
      </c>
      <c r="E338" s="52">
        <v>20</v>
      </c>
      <c r="F338" s="52">
        <f ca="1" t="shared" si="38"/>
        <v>1</v>
      </c>
      <c r="G338" s="52">
        <f ca="1">IFERROR(MATCH(E338,图纸产出设计!$C$29:$C$328,1)+1,1)</f>
        <v>1</v>
      </c>
      <c r="J338" s="132">
        <v>5</v>
      </c>
      <c r="K338" s="132">
        <v>3</v>
      </c>
      <c r="L338" s="132">
        <v>2</v>
      </c>
      <c r="M338" s="132">
        <v>1</v>
      </c>
    </row>
    <row r="339" spans="2:13">
      <c r="B339" s="52">
        <v>6</v>
      </c>
      <c r="C339" s="52">
        <v>400</v>
      </c>
      <c r="D339" s="52">
        <v>1200</v>
      </c>
      <c r="E339" s="52">
        <v>24</v>
      </c>
      <c r="F339" s="52">
        <f ca="1" t="shared" si="38"/>
        <v>1</v>
      </c>
      <c r="G339" s="52">
        <f ca="1">IFERROR(MATCH(E339,图纸产出设计!$C$29:$C$328,1)+1,1)</f>
        <v>1</v>
      </c>
      <c r="J339" s="132">
        <v>999</v>
      </c>
      <c r="K339" s="132">
        <v>5</v>
      </c>
      <c r="L339" s="132">
        <v>3</v>
      </c>
      <c r="M339" s="132">
        <v>1</v>
      </c>
    </row>
    <row r="340" spans="2:13">
      <c r="B340" s="52">
        <v>7</v>
      </c>
      <c r="C340" s="52">
        <v>500</v>
      </c>
      <c r="D340" s="52">
        <v>1500</v>
      </c>
      <c r="E340" s="52">
        <v>28</v>
      </c>
      <c r="F340" s="52">
        <f ca="1" t="shared" si="38"/>
        <v>2</v>
      </c>
      <c r="G340" s="52">
        <f ca="1">IFERROR(MATCH(E340,图纸产出设计!$C$29:$C$328,1)+1,1)</f>
        <v>1</v>
      </c>
      <c r="J340" s="132">
        <v>999</v>
      </c>
      <c r="K340" s="132">
        <v>999</v>
      </c>
      <c r="L340" s="132">
        <v>5</v>
      </c>
      <c r="M340" s="132">
        <v>2</v>
      </c>
    </row>
    <row r="341" spans="2:13">
      <c r="B341" s="52">
        <v>8</v>
      </c>
      <c r="C341" s="52">
        <v>600</v>
      </c>
      <c r="D341" s="52">
        <v>1800</v>
      </c>
      <c r="E341" s="52">
        <v>32</v>
      </c>
      <c r="F341" s="52">
        <f ca="1" t="shared" si="38"/>
        <v>2</v>
      </c>
      <c r="G341" s="52">
        <f ca="1">IFERROR(MATCH(E341,图纸产出设计!$C$29:$C$328,1)+1,1)</f>
        <v>2</v>
      </c>
      <c r="J341" s="132">
        <v>999</v>
      </c>
      <c r="K341" s="132">
        <v>999</v>
      </c>
      <c r="L341" s="132">
        <v>999</v>
      </c>
      <c r="M341" s="132">
        <v>2</v>
      </c>
    </row>
    <row r="342" spans="2:13">
      <c r="B342" s="52">
        <v>9</v>
      </c>
      <c r="C342" s="52">
        <v>1200</v>
      </c>
      <c r="D342" s="52">
        <v>3600</v>
      </c>
      <c r="E342" s="52">
        <v>36</v>
      </c>
      <c r="F342" s="52">
        <f ca="1" t="shared" si="38"/>
        <v>3</v>
      </c>
      <c r="G342" s="52">
        <f ca="1">IFERROR(MATCH(E342,图纸产出设计!$C$29:$C$328,1)+1,1)</f>
        <v>3</v>
      </c>
      <c r="J342" s="132">
        <v>999</v>
      </c>
      <c r="K342" s="132">
        <v>999</v>
      </c>
      <c r="L342" s="132">
        <v>999</v>
      </c>
      <c r="M342" s="132">
        <v>3</v>
      </c>
    </row>
  </sheetData>
  <conditionalFormatting sqref="E7:E2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{d93a5ad9-3dcc-4351-890a-cfbbf90341de}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3a5ad9-3dcc-4351-890a-cfbbf90341de}">
            <x14:dataBar minLength="0" maxLength="100" border="1" negativeBarBorderColorSameAsPositive="0">
              <x14:cfvo type="min"/>
              <x14:cfvo type="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E7:E24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5"/>
  </sheetPr>
  <dimension ref="A1:Z306"/>
  <sheetViews>
    <sheetView workbookViewId="0">
      <selection activeCell="AG65" sqref="AG65"/>
    </sheetView>
  </sheetViews>
  <sheetFormatPr defaultColWidth="9" defaultRowHeight="13.5"/>
  <cols>
    <col min="4" max="4" width="13.7083333333333" customWidth="1"/>
    <col min="11" max="11" width="10.7083333333333" customWidth="1"/>
    <col min="19" max="19" width="9.70833333333333" customWidth="1"/>
  </cols>
  <sheetData>
    <row r="1" spans="1:26">
      <c r="A1" s="37"/>
      <c r="B1" s="37"/>
      <c r="C1" s="37"/>
      <c r="D1" s="37"/>
      <c r="E1" s="37"/>
    </row>
    <row r="2" customHeight="1" spans="1:26">
      <c r="A2" s="37"/>
    </row>
    <row r="3" spans="1:26">
      <c r="A3" s="37"/>
    </row>
    <row r="4" ht="16.5" spans="1:26">
      <c r="A4" s="37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82" t="s">
        <v>79</v>
      </c>
      <c r="P4" s="186"/>
      <c r="Q4" s="186"/>
      <c r="R4" s="186"/>
      <c r="S4" s="186"/>
      <c r="T4" s="186"/>
      <c r="U4" s="186"/>
      <c r="V4" s="186"/>
      <c r="W4" s="186"/>
      <c r="X4" s="186"/>
    </row>
    <row r="5" ht="16.5" spans="1:26">
      <c r="A5" s="37"/>
      <c r="B5" s="186"/>
      <c r="C5" s="186"/>
      <c r="D5" s="186"/>
      <c r="E5" s="186"/>
      <c r="F5" s="82" t="s">
        <v>80</v>
      </c>
      <c r="G5" s="186"/>
      <c r="H5" s="186"/>
      <c r="I5" s="186"/>
      <c r="J5" s="186"/>
      <c r="K5" s="82" t="s">
        <v>81</v>
      </c>
      <c r="L5" s="186"/>
      <c r="M5" s="186"/>
      <c r="N5" s="82"/>
      <c r="O5" s="82"/>
      <c r="P5" s="12" t="s">
        <v>82</v>
      </c>
      <c r="Q5" s="12"/>
      <c r="R5" s="186"/>
      <c r="S5" s="186"/>
      <c r="T5" s="186"/>
      <c r="U5" s="186"/>
      <c r="V5" s="186"/>
      <c r="W5" s="186"/>
      <c r="X5" s="186"/>
    </row>
    <row r="6" ht="18" spans="1:26">
      <c r="A6" s="37"/>
      <c r="B6" s="1" t="s">
        <v>83</v>
      </c>
      <c r="C6" s="1" t="s">
        <v>84</v>
      </c>
      <c r="D6" s="187" t="s">
        <v>85</v>
      </c>
      <c r="E6" s="1" t="s">
        <v>86</v>
      </c>
      <c r="F6" s="1" t="s">
        <v>87</v>
      </c>
      <c r="G6" s="1" t="s">
        <v>88</v>
      </c>
      <c r="H6" s="1" t="s">
        <v>89</v>
      </c>
      <c r="I6" s="1" t="s">
        <v>90</v>
      </c>
      <c r="J6" s="1" t="s">
        <v>91</v>
      </c>
      <c r="K6" s="1" t="s">
        <v>92</v>
      </c>
      <c r="L6" s="186"/>
      <c r="M6" s="1" t="s">
        <v>83</v>
      </c>
      <c r="N6" s="1" t="s">
        <v>93</v>
      </c>
      <c r="O6" s="1" t="s">
        <v>94</v>
      </c>
      <c r="P6" s="1"/>
      <c r="Q6" s="1" t="s">
        <v>82</v>
      </c>
      <c r="R6" s="1" t="s">
        <v>95</v>
      </c>
      <c r="S6" s="1" t="s">
        <v>96</v>
      </c>
      <c r="T6" s="1" t="s">
        <v>97</v>
      </c>
      <c r="U6" s="1" t="s">
        <v>98</v>
      </c>
      <c r="V6" s="1" t="s">
        <v>93</v>
      </c>
      <c r="W6" s="1" t="s">
        <v>99</v>
      </c>
      <c r="X6" s="1" t="s">
        <v>90</v>
      </c>
    </row>
    <row r="7" ht="17.25" spans="1:26">
      <c r="A7" s="37"/>
      <c r="B7" s="188">
        <v>1</v>
      </c>
      <c r="C7" s="189"/>
      <c r="D7" s="188"/>
      <c r="E7" s="188"/>
      <c r="F7" s="188">
        <v>30</v>
      </c>
      <c r="G7" s="190">
        <v>3</v>
      </c>
      <c r="H7" s="189"/>
      <c r="I7" s="188">
        <v>45</v>
      </c>
      <c r="J7" s="188"/>
      <c r="K7" s="188"/>
      <c r="L7" s="186"/>
      <c r="M7" s="188">
        <v>1</v>
      </c>
      <c r="N7" s="188">
        <v>1</v>
      </c>
      <c r="O7" s="191">
        <v>33</v>
      </c>
      <c r="P7" s="191"/>
      <c r="Q7" s="188">
        <v>5</v>
      </c>
      <c r="R7" s="189">
        <v>0.85</v>
      </c>
      <c r="S7" s="192">
        <v>600</v>
      </c>
      <c r="T7" s="188">
        <v>5</v>
      </c>
      <c r="U7" s="188">
        <v>600</v>
      </c>
      <c r="V7" s="188">
        <v>1</v>
      </c>
      <c r="W7" s="191">
        <v>120</v>
      </c>
      <c r="X7" s="193">
        <v>600</v>
      </c>
      <c r="Y7" s="188">
        <v>600</v>
      </c>
      <c r="Z7" s="194">
        <f t="shared" ref="Z7:Z55" si="0">Y7/Q7</f>
        <v>120</v>
      </c>
    </row>
    <row r="8" ht="17.25" spans="1:26">
      <c r="A8" s="37"/>
      <c r="B8" s="188">
        <v>2</v>
      </c>
      <c r="C8" s="189"/>
      <c r="D8" s="192">
        <v>3</v>
      </c>
      <c r="E8" s="188">
        <v>3</v>
      </c>
      <c r="F8" s="188">
        <v>60</v>
      </c>
      <c r="G8" s="190">
        <v>6</v>
      </c>
      <c r="H8" s="195">
        <v>0.04</v>
      </c>
      <c r="I8" s="188">
        <v>54</v>
      </c>
      <c r="J8" s="191">
        <v>1351</v>
      </c>
      <c r="K8" s="196">
        <v>18</v>
      </c>
      <c r="L8" s="186"/>
      <c r="M8" s="188">
        <v>2</v>
      </c>
      <c r="N8" s="188">
        <v>1</v>
      </c>
      <c r="O8" s="191">
        <v>33</v>
      </c>
      <c r="P8" s="191">
        <v>3</v>
      </c>
      <c r="Q8" s="188">
        <v>8</v>
      </c>
      <c r="R8" s="189">
        <v>0.8</v>
      </c>
      <c r="S8" s="192">
        <v>600</v>
      </c>
      <c r="T8" s="188">
        <v>13</v>
      </c>
      <c r="U8" s="188">
        <f>SUM($S$7:S8)</f>
        <v>1200</v>
      </c>
      <c r="V8" s="188">
        <v>1</v>
      </c>
      <c r="W8" s="191">
        <v>92</v>
      </c>
      <c r="X8" s="188"/>
      <c r="Y8" s="188">
        <v>600</v>
      </c>
      <c r="Z8" s="194">
        <f t="shared" si="0"/>
        <v>75</v>
      </c>
    </row>
    <row r="9" ht="17.25" spans="1:26">
      <c r="A9" s="37"/>
      <c r="B9" s="188">
        <v>3</v>
      </c>
      <c r="C9" s="189"/>
      <c r="D9" s="192">
        <v>3</v>
      </c>
      <c r="E9" s="188">
        <v>3</v>
      </c>
      <c r="F9" s="188">
        <v>90</v>
      </c>
      <c r="G9" s="190">
        <v>9</v>
      </c>
      <c r="H9" s="195">
        <v>0.039</v>
      </c>
      <c r="I9" s="188">
        <v>63</v>
      </c>
      <c r="J9" s="191">
        <v>1601</v>
      </c>
      <c r="K9" s="196">
        <v>21</v>
      </c>
      <c r="L9" s="186"/>
      <c r="M9" s="188">
        <v>3</v>
      </c>
      <c r="N9" s="188">
        <v>1</v>
      </c>
      <c r="O9" s="191">
        <v>33</v>
      </c>
      <c r="P9" s="191">
        <v>3</v>
      </c>
      <c r="Q9" s="188">
        <v>11</v>
      </c>
      <c r="R9" s="189">
        <v>0.76</v>
      </c>
      <c r="S9" s="192">
        <v>600</v>
      </c>
      <c r="T9" s="188">
        <v>24</v>
      </c>
      <c r="U9" s="188">
        <f>SUM($S$7:S9)</f>
        <v>1800</v>
      </c>
      <c r="V9" s="188">
        <v>1</v>
      </c>
      <c r="W9" s="191">
        <v>75</v>
      </c>
      <c r="X9" s="188"/>
      <c r="Y9" s="188">
        <v>600</v>
      </c>
      <c r="Z9" s="194">
        <f t="shared" si="0"/>
        <v>54.5454545454545</v>
      </c>
    </row>
    <row r="10" ht="17.25" spans="1:26">
      <c r="A10" s="37"/>
      <c r="B10" s="188">
        <v>4</v>
      </c>
      <c r="C10" s="189"/>
      <c r="D10" s="192">
        <v>3</v>
      </c>
      <c r="E10" s="188">
        <v>3</v>
      </c>
      <c r="F10" s="188">
        <v>120</v>
      </c>
      <c r="G10" s="190">
        <v>12</v>
      </c>
      <c r="H10" s="195">
        <v>0.039</v>
      </c>
      <c r="I10" s="188">
        <v>102</v>
      </c>
      <c r="J10" s="191">
        <v>2634</v>
      </c>
      <c r="K10" s="196">
        <v>34</v>
      </c>
      <c r="L10" s="186"/>
      <c r="M10" s="188">
        <v>4</v>
      </c>
      <c r="N10" s="188">
        <v>1</v>
      </c>
      <c r="O10" s="191">
        <v>33</v>
      </c>
      <c r="P10" s="191">
        <v>3</v>
      </c>
      <c r="Q10" s="188">
        <v>14</v>
      </c>
      <c r="R10" s="189">
        <v>0.71</v>
      </c>
      <c r="S10" s="192">
        <v>900</v>
      </c>
      <c r="T10" s="188">
        <v>38</v>
      </c>
      <c r="U10" s="188">
        <f>SUM($S$7:S10)</f>
        <v>2700</v>
      </c>
      <c r="V10" s="188">
        <v>1</v>
      </c>
      <c r="W10" s="191">
        <v>79</v>
      </c>
      <c r="X10" s="188"/>
      <c r="Y10" s="188">
        <v>1200</v>
      </c>
      <c r="Z10" s="194">
        <f t="shared" si="0"/>
        <v>85.7142857142857</v>
      </c>
    </row>
    <row r="11" ht="17.25" spans="1:26">
      <c r="A11" s="37"/>
      <c r="B11" s="188">
        <v>5</v>
      </c>
      <c r="C11" s="189"/>
      <c r="D11" s="192">
        <v>3</v>
      </c>
      <c r="E11" s="188">
        <v>3</v>
      </c>
      <c r="F11" s="188">
        <v>150</v>
      </c>
      <c r="G11" s="190">
        <v>15</v>
      </c>
      <c r="H11" s="195">
        <v>0.038</v>
      </c>
      <c r="I11" s="188">
        <v>111</v>
      </c>
      <c r="J11" s="191">
        <v>2912</v>
      </c>
      <c r="K11" s="196">
        <v>37</v>
      </c>
      <c r="L11" s="186"/>
      <c r="M11" s="188">
        <v>5</v>
      </c>
      <c r="N11" s="188">
        <v>1</v>
      </c>
      <c r="O11" s="191">
        <v>33</v>
      </c>
      <c r="P11" s="191">
        <v>3</v>
      </c>
      <c r="Q11" s="188">
        <v>17</v>
      </c>
      <c r="R11" s="189">
        <v>0.67</v>
      </c>
      <c r="S11" s="192">
        <v>900</v>
      </c>
      <c r="T11" s="188">
        <v>55</v>
      </c>
      <c r="U11" s="188">
        <f>SUM($S$7:S11)</f>
        <v>3600</v>
      </c>
      <c r="V11" s="188">
        <v>1</v>
      </c>
      <c r="W11" s="191">
        <v>76</v>
      </c>
      <c r="X11" s="188"/>
      <c r="Y11" s="188">
        <v>1200</v>
      </c>
      <c r="Z11" s="194">
        <f t="shared" si="0"/>
        <v>70.5882352941177</v>
      </c>
    </row>
    <row r="12" ht="17.25" spans="1:26">
      <c r="A12" s="37"/>
      <c r="B12" s="188">
        <v>6</v>
      </c>
      <c r="C12" s="189"/>
      <c r="D12" s="192">
        <v>3</v>
      </c>
      <c r="E12" s="188">
        <v>3</v>
      </c>
      <c r="F12" s="188">
        <v>180</v>
      </c>
      <c r="G12" s="190">
        <v>18</v>
      </c>
      <c r="H12" s="195">
        <v>0.038</v>
      </c>
      <c r="I12" s="188">
        <v>120</v>
      </c>
      <c r="J12" s="191">
        <v>3197</v>
      </c>
      <c r="K12" s="196">
        <v>40</v>
      </c>
      <c r="L12" s="186"/>
      <c r="M12" s="188">
        <v>6</v>
      </c>
      <c r="N12" s="188">
        <v>1</v>
      </c>
      <c r="O12" s="191">
        <v>33</v>
      </c>
      <c r="P12" s="191">
        <v>3</v>
      </c>
      <c r="Q12" s="188">
        <v>20</v>
      </c>
      <c r="R12" s="189">
        <v>0.62</v>
      </c>
      <c r="S12" s="192">
        <v>900</v>
      </c>
      <c r="T12" s="188">
        <v>75</v>
      </c>
      <c r="U12" s="188">
        <f>SUM($S$7:S12)</f>
        <v>4500</v>
      </c>
      <c r="V12" s="188">
        <v>1</v>
      </c>
      <c r="W12" s="191">
        <v>72</v>
      </c>
      <c r="X12" s="193">
        <v>900</v>
      </c>
      <c r="Y12" s="188">
        <v>1200</v>
      </c>
      <c r="Z12" s="194">
        <f t="shared" si="0"/>
        <v>60</v>
      </c>
    </row>
    <row r="13" ht="17.25" spans="1:26">
      <c r="A13" s="37"/>
      <c r="B13" s="188">
        <v>7</v>
      </c>
      <c r="C13" s="189"/>
      <c r="D13" s="192">
        <v>3</v>
      </c>
      <c r="E13" s="188">
        <v>3</v>
      </c>
      <c r="F13" s="188">
        <v>210</v>
      </c>
      <c r="G13" s="190">
        <v>21</v>
      </c>
      <c r="H13" s="195">
        <v>0.037</v>
      </c>
      <c r="I13" s="188">
        <v>129</v>
      </c>
      <c r="J13" s="191">
        <v>3489</v>
      </c>
      <c r="K13" s="196">
        <v>43</v>
      </c>
      <c r="L13" s="186"/>
      <c r="M13" s="188">
        <v>7</v>
      </c>
      <c r="N13" s="188">
        <v>1</v>
      </c>
      <c r="O13" s="191">
        <v>33</v>
      </c>
      <c r="P13" s="191">
        <v>3</v>
      </c>
      <c r="Q13" s="188">
        <v>23</v>
      </c>
      <c r="R13" s="189">
        <v>0.58</v>
      </c>
      <c r="S13" s="192">
        <v>900</v>
      </c>
      <c r="T13" s="188">
        <v>98</v>
      </c>
      <c r="U13" s="188">
        <f>SUM($S$7:S13)</f>
        <v>5400</v>
      </c>
      <c r="V13" s="188">
        <v>1</v>
      </c>
      <c r="W13" s="191">
        <v>67</v>
      </c>
      <c r="X13" s="188"/>
      <c r="Y13" s="188">
        <v>1200</v>
      </c>
      <c r="Z13" s="194">
        <f t="shared" si="0"/>
        <v>52.1739130434783</v>
      </c>
    </row>
    <row r="14" ht="17.25" spans="1:26">
      <c r="A14" s="37"/>
      <c r="B14" s="188">
        <v>8</v>
      </c>
      <c r="C14" s="189"/>
      <c r="D14" s="192">
        <v>3</v>
      </c>
      <c r="E14" s="188">
        <v>3</v>
      </c>
      <c r="F14" s="188">
        <v>240</v>
      </c>
      <c r="G14" s="190">
        <v>24</v>
      </c>
      <c r="H14" s="195">
        <v>0.036</v>
      </c>
      <c r="I14" s="188">
        <v>168</v>
      </c>
      <c r="J14" s="191">
        <v>4612</v>
      </c>
      <c r="K14" s="196">
        <v>46</v>
      </c>
      <c r="L14" s="186"/>
      <c r="M14" s="188">
        <v>8</v>
      </c>
      <c r="N14" s="188">
        <v>1</v>
      </c>
      <c r="O14" s="191">
        <v>33</v>
      </c>
      <c r="P14" s="191">
        <v>3</v>
      </c>
      <c r="Q14" s="188">
        <v>26</v>
      </c>
      <c r="R14" s="189">
        <v>0.53</v>
      </c>
      <c r="S14" s="192">
        <v>1200</v>
      </c>
      <c r="T14" s="188">
        <v>124</v>
      </c>
      <c r="U14" s="188">
        <f>SUM($S$7:S14)</f>
        <v>6600</v>
      </c>
      <c r="V14" s="188">
        <v>1</v>
      </c>
      <c r="W14" s="191">
        <v>68</v>
      </c>
      <c r="X14" s="193">
        <v>900</v>
      </c>
      <c r="Y14" s="188">
        <v>1200</v>
      </c>
      <c r="Z14" s="194">
        <f t="shared" si="0"/>
        <v>46.1538461538462</v>
      </c>
    </row>
    <row r="15" ht="17.25" spans="1:26">
      <c r="B15" s="188">
        <v>9</v>
      </c>
      <c r="C15" s="197"/>
      <c r="D15" s="192">
        <v>3</v>
      </c>
      <c r="E15" s="188">
        <v>3</v>
      </c>
      <c r="F15" s="188">
        <v>270</v>
      </c>
      <c r="G15" s="190">
        <v>27</v>
      </c>
      <c r="H15" s="195">
        <v>0.036</v>
      </c>
      <c r="I15" s="188">
        <v>177</v>
      </c>
      <c r="J15" s="191">
        <v>4930</v>
      </c>
      <c r="K15" s="196">
        <v>49</v>
      </c>
      <c r="L15" s="186"/>
      <c r="M15" s="188">
        <v>9</v>
      </c>
      <c r="N15" s="188">
        <v>1</v>
      </c>
      <c r="O15" s="191">
        <v>33</v>
      </c>
      <c r="P15" s="191">
        <v>3</v>
      </c>
      <c r="Q15" s="188">
        <v>29</v>
      </c>
      <c r="R15" s="189">
        <v>0.48</v>
      </c>
      <c r="S15" s="192">
        <v>1200</v>
      </c>
      <c r="T15" s="188">
        <v>153</v>
      </c>
      <c r="U15" s="188">
        <f>SUM($S$7:S15)</f>
        <v>7800</v>
      </c>
      <c r="V15" s="188">
        <v>1</v>
      </c>
      <c r="W15" s="191">
        <v>67</v>
      </c>
      <c r="X15" s="193">
        <v>900</v>
      </c>
      <c r="Y15" s="188">
        <v>1200</v>
      </c>
      <c r="Z15" s="194">
        <f t="shared" si="0"/>
        <v>41.3793103448276</v>
      </c>
    </row>
    <row r="16" ht="17.25" spans="1:26">
      <c r="B16" s="188">
        <v>10</v>
      </c>
      <c r="C16" s="197">
        <v>30</v>
      </c>
      <c r="D16" s="192">
        <v>4</v>
      </c>
      <c r="E16" s="188">
        <v>4</v>
      </c>
      <c r="F16" s="188">
        <v>310</v>
      </c>
      <c r="G16" s="190">
        <v>31</v>
      </c>
      <c r="H16" s="195">
        <v>0.04</v>
      </c>
      <c r="I16" s="188">
        <v>186</v>
      </c>
      <c r="J16" s="191">
        <v>4645</v>
      </c>
      <c r="K16" s="196">
        <v>46.5</v>
      </c>
      <c r="L16" s="186"/>
      <c r="M16" s="188">
        <v>10</v>
      </c>
      <c r="N16" s="188">
        <v>2</v>
      </c>
      <c r="O16" s="191">
        <v>45</v>
      </c>
      <c r="P16" s="191">
        <v>3</v>
      </c>
      <c r="Q16" s="188">
        <v>32</v>
      </c>
      <c r="R16" s="189">
        <v>0.46</v>
      </c>
      <c r="S16" s="192">
        <v>1200</v>
      </c>
      <c r="T16" s="188">
        <v>185</v>
      </c>
      <c r="U16" s="188">
        <f>SUM($S$7:S16)</f>
        <v>9000</v>
      </c>
      <c r="V16" s="188">
        <v>1</v>
      </c>
      <c r="W16" s="191">
        <v>65</v>
      </c>
      <c r="X16" s="188"/>
      <c r="Y16" s="188">
        <v>1800</v>
      </c>
      <c r="Z16" s="194">
        <f t="shared" si="0"/>
        <v>56.25</v>
      </c>
    </row>
    <row r="17" ht="17.25" spans="2:26">
      <c r="B17" s="188">
        <v>11</v>
      </c>
      <c r="C17" s="197"/>
      <c r="D17" s="192">
        <v>4</v>
      </c>
      <c r="E17" s="188">
        <v>4</v>
      </c>
      <c r="F17" s="188">
        <v>350</v>
      </c>
      <c r="G17" s="190">
        <v>35</v>
      </c>
      <c r="H17" s="195">
        <v>0.039</v>
      </c>
      <c r="I17" s="188">
        <v>195</v>
      </c>
      <c r="J17" s="191">
        <v>4949</v>
      </c>
      <c r="K17" s="196">
        <v>48.75</v>
      </c>
      <c r="L17" s="186"/>
      <c r="M17" s="188">
        <v>11</v>
      </c>
      <c r="N17" s="188">
        <v>2</v>
      </c>
      <c r="O17" s="191">
        <v>45</v>
      </c>
      <c r="P17" s="191">
        <v>3</v>
      </c>
      <c r="Q17" s="188">
        <v>35</v>
      </c>
      <c r="R17" s="189">
        <v>0.43</v>
      </c>
      <c r="S17" s="192">
        <v>1200</v>
      </c>
      <c r="T17" s="188">
        <v>220</v>
      </c>
      <c r="U17" s="188">
        <f>SUM($S$7:S17)</f>
        <v>10200</v>
      </c>
      <c r="V17" s="188">
        <v>1</v>
      </c>
      <c r="W17" s="191">
        <v>63</v>
      </c>
      <c r="X17" s="193">
        <v>1200</v>
      </c>
      <c r="Y17" s="188">
        <v>1800</v>
      </c>
      <c r="Z17" s="194">
        <f t="shared" si="0"/>
        <v>51.4285714285714</v>
      </c>
    </row>
    <row r="18" ht="17.25" spans="2:26">
      <c r="B18" s="188">
        <v>12</v>
      </c>
      <c r="C18" s="197"/>
      <c r="D18" s="192">
        <v>4</v>
      </c>
      <c r="E18" s="188">
        <v>4</v>
      </c>
      <c r="F18" s="188">
        <v>390</v>
      </c>
      <c r="G18" s="190">
        <v>39</v>
      </c>
      <c r="H18" s="195">
        <v>0.039</v>
      </c>
      <c r="I18" s="188">
        <v>234</v>
      </c>
      <c r="J18" s="191">
        <v>6034</v>
      </c>
      <c r="K18" s="196">
        <v>51</v>
      </c>
      <c r="L18" s="186"/>
      <c r="M18" s="188">
        <v>12</v>
      </c>
      <c r="N18" s="188">
        <v>2</v>
      </c>
      <c r="O18" s="191">
        <v>45</v>
      </c>
      <c r="P18" s="191">
        <v>3</v>
      </c>
      <c r="Q18" s="188">
        <v>38</v>
      </c>
      <c r="R18" s="189">
        <v>0.4</v>
      </c>
      <c r="S18" s="192">
        <v>1500</v>
      </c>
      <c r="T18" s="188">
        <v>258</v>
      </c>
      <c r="U18" s="188">
        <f>SUM($S$7:S18)</f>
        <v>11700</v>
      </c>
      <c r="V18" s="188">
        <v>1</v>
      </c>
      <c r="W18" s="191">
        <v>63</v>
      </c>
      <c r="X18" s="188"/>
      <c r="Y18" s="188">
        <v>1800</v>
      </c>
      <c r="Z18" s="194">
        <f t="shared" si="0"/>
        <v>47.3684210526316</v>
      </c>
    </row>
    <row r="19" ht="17.25" spans="2:26">
      <c r="B19" s="188">
        <v>13</v>
      </c>
      <c r="C19" s="197"/>
      <c r="D19" s="192">
        <v>4</v>
      </c>
      <c r="E19" s="188">
        <v>4</v>
      </c>
      <c r="F19" s="188">
        <v>430</v>
      </c>
      <c r="G19" s="190">
        <v>43</v>
      </c>
      <c r="H19" s="195">
        <v>0.038</v>
      </c>
      <c r="I19" s="188">
        <v>243</v>
      </c>
      <c r="J19" s="191">
        <v>6365</v>
      </c>
      <c r="K19" s="196">
        <v>53.25</v>
      </c>
      <c r="L19" s="186"/>
      <c r="M19" s="188">
        <v>13</v>
      </c>
      <c r="N19" s="188">
        <v>2</v>
      </c>
      <c r="O19" s="191">
        <v>45</v>
      </c>
      <c r="P19" s="191">
        <v>3</v>
      </c>
      <c r="Q19" s="188">
        <v>41</v>
      </c>
      <c r="R19" s="189">
        <v>0.37</v>
      </c>
      <c r="S19" s="192">
        <v>1500</v>
      </c>
      <c r="T19" s="188">
        <v>299</v>
      </c>
      <c r="U19" s="188">
        <f>SUM($S$7:S19)</f>
        <v>13200</v>
      </c>
      <c r="V19" s="188">
        <v>2</v>
      </c>
      <c r="W19" s="191">
        <v>62</v>
      </c>
      <c r="X19" s="188"/>
      <c r="Y19" s="188">
        <v>1800</v>
      </c>
      <c r="Z19" s="194">
        <f t="shared" si="0"/>
        <v>43.9024390243902</v>
      </c>
    </row>
    <row r="20" ht="17.25" spans="2:26">
      <c r="B20" s="188">
        <v>14</v>
      </c>
      <c r="C20" s="197"/>
      <c r="D20" s="192">
        <v>4</v>
      </c>
      <c r="E20" s="188">
        <v>4</v>
      </c>
      <c r="F20" s="188">
        <v>470</v>
      </c>
      <c r="G20" s="190">
        <v>47</v>
      </c>
      <c r="H20" s="195">
        <v>0.038</v>
      </c>
      <c r="I20" s="188">
        <v>252</v>
      </c>
      <c r="J20" s="191">
        <v>6703</v>
      </c>
      <c r="K20" s="196">
        <v>55.5</v>
      </c>
      <c r="L20" s="186"/>
      <c r="M20" s="188">
        <v>14</v>
      </c>
      <c r="N20" s="188">
        <v>2</v>
      </c>
      <c r="O20" s="191">
        <v>45</v>
      </c>
      <c r="P20" s="191">
        <v>3</v>
      </c>
      <c r="Q20" s="188">
        <v>44</v>
      </c>
      <c r="R20" s="189">
        <v>0.34</v>
      </c>
      <c r="S20" s="192">
        <v>1500</v>
      </c>
      <c r="T20" s="188">
        <v>343</v>
      </c>
      <c r="U20" s="188">
        <f>SUM($S$7:S20)</f>
        <v>14700</v>
      </c>
      <c r="V20" s="188">
        <v>2</v>
      </c>
      <c r="W20" s="191">
        <v>61</v>
      </c>
      <c r="X20" s="188"/>
      <c r="Y20" s="188">
        <v>1800</v>
      </c>
      <c r="Z20" s="194">
        <f t="shared" si="0"/>
        <v>40.9090909090909</v>
      </c>
    </row>
    <row r="21" ht="17.25" spans="2:26">
      <c r="B21" s="188">
        <v>15</v>
      </c>
      <c r="C21" s="197"/>
      <c r="D21" s="192">
        <v>4</v>
      </c>
      <c r="E21" s="188">
        <v>4</v>
      </c>
      <c r="F21" s="188">
        <v>510</v>
      </c>
      <c r="G21" s="190">
        <v>51</v>
      </c>
      <c r="H21" s="195">
        <v>0.037</v>
      </c>
      <c r="I21" s="188">
        <v>261</v>
      </c>
      <c r="J21" s="191">
        <v>7048</v>
      </c>
      <c r="K21" s="196">
        <v>57.75</v>
      </c>
      <c r="L21" s="186"/>
      <c r="M21" s="188">
        <v>15</v>
      </c>
      <c r="N21" s="188">
        <v>2</v>
      </c>
      <c r="O21" s="191">
        <v>45</v>
      </c>
      <c r="P21" s="191">
        <v>3</v>
      </c>
      <c r="Q21" s="188">
        <v>47</v>
      </c>
      <c r="R21" s="189">
        <v>0.31</v>
      </c>
      <c r="S21" s="192">
        <v>1500</v>
      </c>
      <c r="T21" s="188">
        <v>390</v>
      </c>
      <c r="U21" s="188">
        <f>SUM($S$7:S21)</f>
        <v>16200</v>
      </c>
      <c r="V21" s="188">
        <v>2</v>
      </c>
      <c r="W21" s="191">
        <v>60</v>
      </c>
      <c r="X21" s="188"/>
      <c r="Y21" s="188">
        <v>1800</v>
      </c>
      <c r="Z21" s="194">
        <f t="shared" si="0"/>
        <v>38.2978723404255</v>
      </c>
    </row>
    <row r="22" ht="17.25" spans="2:26">
      <c r="B22" s="188">
        <v>16</v>
      </c>
      <c r="C22" s="197">
        <v>54</v>
      </c>
      <c r="D22" s="192">
        <v>4</v>
      </c>
      <c r="E22" s="188">
        <v>4</v>
      </c>
      <c r="F22" s="188">
        <v>550</v>
      </c>
      <c r="G22" s="190">
        <v>55</v>
      </c>
      <c r="H22" s="195">
        <v>0.036</v>
      </c>
      <c r="I22" s="188">
        <v>297</v>
      </c>
      <c r="J22" s="191">
        <v>8141</v>
      </c>
      <c r="K22" s="196">
        <v>66.75</v>
      </c>
      <c r="L22" s="186"/>
      <c r="M22" s="188">
        <v>16</v>
      </c>
      <c r="N22" s="188">
        <v>3</v>
      </c>
      <c r="O22" s="191">
        <v>64</v>
      </c>
      <c r="P22" s="191">
        <v>2</v>
      </c>
      <c r="Q22" s="188">
        <v>49</v>
      </c>
      <c r="R22" s="189">
        <v>0.3</v>
      </c>
      <c r="S22" s="192">
        <v>1800</v>
      </c>
      <c r="T22" s="188">
        <v>439</v>
      </c>
      <c r="U22" s="188">
        <f>SUM($S$7:S22)</f>
        <v>18000</v>
      </c>
      <c r="V22" s="188">
        <v>2</v>
      </c>
      <c r="W22" s="191">
        <v>60</v>
      </c>
      <c r="X22" s="188"/>
      <c r="Y22" s="188">
        <v>2400</v>
      </c>
      <c r="Z22" s="194">
        <f t="shared" si="0"/>
        <v>48.9795918367347</v>
      </c>
    </row>
    <row r="23" ht="17.25" spans="2:26">
      <c r="B23" s="188">
        <v>17</v>
      </c>
      <c r="C23" s="197"/>
      <c r="D23" s="192">
        <v>4</v>
      </c>
      <c r="E23" s="188">
        <v>4</v>
      </c>
      <c r="F23" s="188">
        <v>590</v>
      </c>
      <c r="G23" s="190">
        <v>59</v>
      </c>
      <c r="H23" s="195">
        <v>0.036</v>
      </c>
      <c r="I23" s="188">
        <v>303</v>
      </c>
      <c r="J23" s="191">
        <v>8429</v>
      </c>
      <c r="K23" s="196">
        <v>68.25</v>
      </c>
      <c r="L23" s="186"/>
      <c r="M23" s="188">
        <v>17</v>
      </c>
      <c r="N23" s="188">
        <v>3</v>
      </c>
      <c r="O23" s="191">
        <v>64</v>
      </c>
      <c r="P23" s="191">
        <v>2</v>
      </c>
      <c r="Q23" s="188">
        <v>51</v>
      </c>
      <c r="R23" s="189">
        <v>0.29</v>
      </c>
      <c r="S23" s="192">
        <v>1800</v>
      </c>
      <c r="T23" s="188">
        <v>490</v>
      </c>
      <c r="U23" s="188">
        <f>SUM($S$7:S23)</f>
        <v>19800</v>
      </c>
      <c r="V23" s="188">
        <v>2</v>
      </c>
      <c r="W23" s="191">
        <v>60</v>
      </c>
      <c r="X23" s="188"/>
      <c r="Y23" s="188">
        <v>2400</v>
      </c>
      <c r="Z23" s="194">
        <f t="shared" si="0"/>
        <v>47.0588235294118</v>
      </c>
    </row>
    <row r="24" ht="17.25" spans="2:26">
      <c r="B24" s="188">
        <v>18</v>
      </c>
      <c r="C24" s="197"/>
      <c r="D24" s="192">
        <v>4</v>
      </c>
      <c r="E24" s="188">
        <v>4</v>
      </c>
      <c r="F24" s="188">
        <v>630</v>
      </c>
      <c r="G24" s="190">
        <v>63</v>
      </c>
      <c r="H24" s="195">
        <v>0.035</v>
      </c>
      <c r="I24" s="188">
        <v>309</v>
      </c>
      <c r="J24" s="191">
        <v>8721</v>
      </c>
      <c r="K24" s="196">
        <v>69.75</v>
      </c>
      <c r="L24" s="186"/>
      <c r="M24" s="188">
        <v>18</v>
      </c>
      <c r="N24" s="188">
        <v>3</v>
      </c>
      <c r="O24" s="191">
        <v>64</v>
      </c>
      <c r="P24" s="191">
        <v>2</v>
      </c>
      <c r="Q24" s="188">
        <v>53</v>
      </c>
      <c r="R24" s="189">
        <v>0.28</v>
      </c>
      <c r="S24" s="192">
        <v>1800</v>
      </c>
      <c r="T24" s="188">
        <v>543</v>
      </c>
      <c r="U24" s="188">
        <f>SUM($S$7:S24)</f>
        <v>21600</v>
      </c>
      <c r="V24" s="188">
        <v>2</v>
      </c>
      <c r="W24" s="191">
        <v>60</v>
      </c>
      <c r="X24" s="188"/>
      <c r="Y24" s="188">
        <v>2400</v>
      </c>
      <c r="Z24" s="194">
        <f t="shared" si="0"/>
        <v>45.2830188679245</v>
      </c>
    </row>
    <row r="25" ht="17.25" spans="2:26">
      <c r="B25" s="188">
        <v>19</v>
      </c>
      <c r="C25" s="197"/>
      <c r="D25" s="192">
        <v>4</v>
      </c>
      <c r="E25" s="188">
        <v>4</v>
      </c>
      <c r="F25" s="188">
        <v>670</v>
      </c>
      <c r="G25" s="190">
        <v>67</v>
      </c>
      <c r="H25" s="195">
        <v>0.035</v>
      </c>
      <c r="I25" s="188">
        <v>315</v>
      </c>
      <c r="J25" s="191">
        <v>9018</v>
      </c>
      <c r="K25" s="196">
        <v>71.25</v>
      </c>
      <c r="L25" s="186"/>
      <c r="M25" s="188">
        <v>19</v>
      </c>
      <c r="N25" s="188">
        <v>3</v>
      </c>
      <c r="O25" s="191">
        <v>64</v>
      </c>
      <c r="P25" s="191">
        <v>2</v>
      </c>
      <c r="Q25" s="188">
        <v>55</v>
      </c>
      <c r="R25" s="189">
        <v>0.27</v>
      </c>
      <c r="S25" s="192">
        <v>1800</v>
      </c>
      <c r="T25" s="188">
        <v>598</v>
      </c>
      <c r="U25" s="188">
        <f>SUM($S$7:S25)</f>
        <v>23400</v>
      </c>
      <c r="V25" s="188">
        <v>3</v>
      </c>
      <c r="W25" s="191">
        <v>59</v>
      </c>
      <c r="X25" s="188"/>
      <c r="Y25" s="188">
        <v>2400</v>
      </c>
      <c r="Z25" s="194">
        <f t="shared" si="0"/>
        <v>43.6363636363636</v>
      </c>
    </row>
    <row r="26" ht="17.25" spans="2:26">
      <c r="B26" s="188">
        <v>20</v>
      </c>
      <c r="C26" s="197">
        <v>70</v>
      </c>
      <c r="D26" s="192">
        <v>5</v>
      </c>
      <c r="E26" s="188">
        <v>5</v>
      </c>
      <c r="F26" s="188">
        <v>720</v>
      </c>
      <c r="G26" s="190">
        <v>72</v>
      </c>
      <c r="H26" s="195">
        <v>0.031</v>
      </c>
      <c r="I26" s="188">
        <v>321</v>
      </c>
      <c r="J26" s="191">
        <v>10255</v>
      </c>
      <c r="K26" s="196">
        <v>58.2</v>
      </c>
      <c r="L26" s="186"/>
      <c r="M26" s="188">
        <v>20</v>
      </c>
      <c r="N26" s="188">
        <v>4</v>
      </c>
      <c r="O26" s="191">
        <v>63</v>
      </c>
      <c r="P26" s="191">
        <v>2</v>
      </c>
      <c r="Q26" s="188">
        <v>57</v>
      </c>
      <c r="R26" s="189">
        <v>0.26</v>
      </c>
      <c r="S26" s="192">
        <v>1800</v>
      </c>
      <c r="T26" s="188">
        <v>655</v>
      </c>
      <c r="U26" s="188">
        <f>SUM($S$7:S26)</f>
        <v>25200</v>
      </c>
      <c r="V26" s="188">
        <v>3</v>
      </c>
      <c r="W26" s="191">
        <v>59</v>
      </c>
      <c r="X26" s="188"/>
      <c r="Y26" s="188">
        <v>2400</v>
      </c>
      <c r="Z26" s="194">
        <f t="shared" si="0"/>
        <v>42.1052631578947</v>
      </c>
    </row>
    <row r="27" ht="17.25" spans="2:26">
      <c r="B27" s="188">
        <v>21</v>
      </c>
      <c r="C27" s="197"/>
      <c r="D27" s="192">
        <v>5</v>
      </c>
      <c r="E27" s="188">
        <v>5</v>
      </c>
      <c r="F27" s="188">
        <v>770</v>
      </c>
      <c r="G27" s="190">
        <v>77</v>
      </c>
      <c r="H27" s="195">
        <v>0.031</v>
      </c>
      <c r="I27" s="188">
        <v>327</v>
      </c>
      <c r="J27" s="191">
        <v>10580</v>
      </c>
      <c r="K27" s="196">
        <v>59.4</v>
      </c>
      <c r="L27" s="186"/>
      <c r="M27" s="188">
        <v>21</v>
      </c>
      <c r="N27" s="188">
        <v>4</v>
      </c>
      <c r="O27" s="191">
        <v>63</v>
      </c>
      <c r="P27" s="191">
        <v>2</v>
      </c>
      <c r="Q27" s="188">
        <v>59</v>
      </c>
      <c r="R27" s="189">
        <v>0.25</v>
      </c>
      <c r="S27" s="192">
        <v>1800</v>
      </c>
      <c r="T27" s="188">
        <v>714</v>
      </c>
      <c r="U27" s="188">
        <f>SUM($S$7:S27)</f>
        <v>27000</v>
      </c>
      <c r="V27" s="188">
        <v>3</v>
      </c>
      <c r="W27" s="191">
        <v>58</v>
      </c>
      <c r="X27" s="188"/>
      <c r="Y27" s="188">
        <v>2400</v>
      </c>
      <c r="Z27" s="194">
        <f t="shared" si="0"/>
        <v>40.6779661016949</v>
      </c>
    </row>
    <row r="28" ht="17.25" spans="2:26">
      <c r="B28" s="188">
        <v>22</v>
      </c>
      <c r="C28" s="197"/>
      <c r="D28" s="192">
        <v>5</v>
      </c>
      <c r="E28" s="188">
        <v>5</v>
      </c>
      <c r="F28" s="188">
        <v>820</v>
      </c>
      <c r="G28" s="190">
        <v>82</v>
      </c>
      <c r="H28" s="195">
        <v>0.031</v>
      </c>
      <c r="I28" s="188">
        <v>363</v>
      </c>
      <c r="J28" s="191">
        <v>11892</v>
      </c>
      <c r="K28" s="196">
        <v>66.6</v>
      </c>
      <c r="L28" s="186"/>
      <c r="M28" s="188">
        <v>22</v>
      </c>
      <c r="N28" s="188">
        <v>4</v>
      </c>
      <c r="O28" s="191">
        <v>63</v>
      </c>
      <c r="P28" s="191">
        <v>2</v>
      </c>
      <c r="Q28" s="188">
        <v>61</v>
      </c>
      <c r="R28" s="189">
        <v>0.23</v>
      </c>
      <c r="S28" s="192">
        <v>2400</v>
      </c>
      <c r="T28" s="188">
        <v>775</v>
      </c>
      <c r="U28" s="188">
        <f>SUM($S$7:S28)</f>
        <v>29400</v>
      </c>
      <c r="V28" s="188">
        <v>3</v>
      </c>
      <c r="W28" s="191">
        <v>58</v>
      </c>
      <c r="X28" s="188"/>
      <c r="Y28" s="188">
        <v>3000</v>
      </c>
      <c r="Z28" s="194">
        <f t="shared" si="0"/>
        <v>49.1803278688525</v>
      </c>
    </row>
    <row r="29" ht="17.25" spans="2:26">
      <c r="B29" s="188">
        <v>23</v>
      </c>
      <c r="C29" s="197"/>
      <c r="D29" s="192">
        <v>5</v>
      </c>
      <c r="E29" s="188">
        <v>5</v>
      </c>
      <c r="F29" s="188">
        <v>870</v>
      </c>
      <c r="G29" s="190">
        <v>87</v>
      </c>
      <c r="H29" s="195">
        <v>0.03</v>
      </c>
      <c r="I29" s="188">
        <v>369</v>
      </c>
      <c r="J29" s="191">
        <v>12238</v>
      </c>
      <c r="K29" s="196">
        <v>67.8</v>
      </c>
      <c r="L29" s="186"/>
      <c r="M29" s="188">
        <v>23</v>
      </c>
      <c r="N29" s="188">
        <v>4</v>
      </c>
      <c r="O29" s="191">
        <v>63</v>
      </c>
      <c r="P29" s="191">
        <v>2</v>
      </c>
      <c r="Q29" s="188">
        <v>63</v>
      </c>
      <c r="R29" s="189">
        <v>0.22</v>
      </c>
      <c r="S29" s="192">
        <v>2400</v>
      </c>
      <c r="T29" s="188">
        <v>838</v>
      </c>
      <c r="U29" s="188">
        <f>SUM($S$7:S29)</f>
        <v>31800</v>
      </c>
      <c r="V29" s="188">
        <v>4</v>
      </c>
      <c r="W29" s="191">
        <v>58</v>
      </c>
      <c r="X29" s="188"/>
      <c r="Y29" s="188">
        <v>3000</v>
      </c>
      <c r="Z29" s="194">
        <f t="shared" si="0"/>
        <v>47.6190476190476</v>
      </c>
    </row>
    <row r="30" ht="17.25" spans="2:26">
      <c r="B30" s="188">
        <v>24</v>
      </c>
      <c r="C30" s="197">
        <v>90</v>
      </c>
      <c r="D30" s="192">
        <v>5</v>
      </c>
      <c r="E30" s="188">
        <v>5</v>
      </c>
      <c r="F30" s="188">
        <v>920</v>
      </c>
      <c r="G30" s="190">
        <v>92</v>
      </c>
      <c r="H30" s="195">
        <v>0.03</v>
      </c>
      <c r="I30" s="188">
        <v>375</v>
      </c>
      <c r="J30" s="191">
        <v>12589</v>
      </c>
      <c r="K30" s="196">
        <v>69</v>
      </c>
      <c r="L30" s="186"/>
      <c r="M30" s="188">
        <v>24</v>
      </c>
      <c r="N30" s="188">
        <v>5</v>
      </c>
      <c r="O30" s="191">
        <v>81</v>
      </c>
      <c r="P30" s="191">
        <v>2</v>
      </c>
      <c r="Q30" s="188">
        <v>65</v>
      </c>
      <c r="R30" s="189">
        <v>0.22</v>
      </c>
      <c r="S30" s="192">
        <v>2400</v>
      </c>
      <c r="T30" s="188">
        <v>903</v>
      </c>
      <c r="U30" s="188">
        <f>SUM($S$7:S30)</f>
        <v>34200</v>
      </c>
      <c r="V30" s="188">
        <v>4</v>
      </c>
      <c r="W30" s="191">
        <v>58</v>
      </c>
      <c r="X30" s="188"/>
      <c r="Y30" s="188">
        <v>3000</v>
      </c>
      <c r="Z30" s="194">
        <f t="shared" si="0"/>
        <v>46.1538461538462</v>
      </c>
    </row>
    <row r="31" ht="17.25" spans="2:26">
      <c r="B31" s="188">
        <v>25</v>
      </c>
      <c r="C31" s="197"/>
      <c r="D31" s="192">
        <v>5</v>
      </c>
      <c r="E31" s="188">
        <v>5</v>
      </c>
      <c r="F31" s="188">
        <v>970</v>
      </c>
      <c r="G31" s="190">
        <v>97</v>
      </c>
      <c r="H31" s="195">
        <v>0.029</v>
      </c>
      <c r="I31" s="188">
        <v>381</v>
      </c>
      <c r="J31" s="191">
        <v>12946</v>
      </c>
      <c r="K31" s="196">
        <v>70.2</v>
      </c>
      <c r="L31" s="186"/>
      <c r="M31" s="188">
        <v>25</v>
      </c>
      <c r="N31" s="188">
        <v>5</v>
      </c>
      <c r="O31" s="191">
        <v>81</v>
      </c>
      <c r="P31" s="191">
        <v>2</v>
      </c>
      <c r="Q31" s="188">
        <v>67</v>
      </c>
      <c r="R31" s="189">
        <v>0.21</v>
      </c>
      <c r="S31" s="192">
        <v>2400</v>
      </c>
      <c r="T31" s="188">
        <v>970</v>
      </c>
      <c r="U31" s="188">
        <f>SUM($S$7:S31)</f>
        <v>36600</v>
      </c>
      <c r="V31" s="188">
        <v>4</v>
      </c>
      <c r="W31" s="191">
        <v>58</v>
      </c>
      <c r="X31" s="188"/>
      <c r="Y31" s="188">
        <v>3000</v>
      </c>
      <c r="Z31" s="194">
        <f t="shared" si="0"/>
        <v>44.7761194029851</v>
      </c>
    </row>
    <row r="32" ht="17.25" spans="2:26">
      <c r="B32" s="188">
        <v>26</v>
      </c>
      <c r="C32" s="197"/>
      <c r="D32" s="192">
        <v>5</v>
      </c>
      <c r="E32" s="188">
        <v>5</v>
      </c>
      <c r="F32" s="188">
        <v>1020</v>
      </c>
      <c r="G32" s="190">
        <v>102</v>
      </c>
      <c r="H32" s="195">
        <v>0.029</v>
      </c>
      <c r="I32" s="188">
        <v>387</v>
      </c>
      <c r="J32" s="191">
        <v>13307</v>
      </c>
      <c r="K32" s="196">
        <v>71.4</v>
      </c>
      <c r="L32" s="186"/>
      <c r="M32" s="188">
        <v>26</v>
      </c>
      <c r="N32" s="188">
        <v>5</v>
      </c>
      <c r="O32" s="191">
        <v>81</v>
      </c>
      <c r="P32" s="191">
        <v>2</v>
      </c>
      <c r="Q32" s="188">
        <v>69</v>
      </c>
      <c r="R32" s="189">
        <v>0.21</v>
      </c>
      <c r="S32" s="192">
        <v>2400</v>
      </c>
      <c r="T32" s="188">
        <v>1039</v>
      </c>
      <c r="U32" s="188">
        <f>SUM($S$7:S32)</f>
        <v>39000</v>
      </c>
      <c r="V32" s="188">
        <v>4</v>
      </c>
      <c r="W32" s="191">
        <v>57</v>
      </c>
      <c r="X32" s="193">
        <v>2400</v>
      </c>
      <c r="Y32" s="188">
        <v>3000</v>
      </c>
      <c r="Z32" s="194">
        <f t="shared" si="0"/>
        <v>43.4782608695652</v>
      </c>
    </row>
    <row r="33" ht="17.25" spans="2:26">
      <c r="B33" s="188">
        <v>27</v>
      </c>
      <c r="C33" s="197">
        <v>105</v>
      </c>
      <c r="D33" s="192">
        <v>5</v>
      </c>
      <c r="E33" s="188">
        <v>5</v>
      </c>
      <c r="F33" s="188">
        <v>1070</v>
      </c>
      <c r="G33" s="190">
        <v>107</v>
      </c>
      <c r="H33" s="195">
        <v>0.029</v>
      </c>
      <c r="I33" s="188">
        <v>393</v>
      </c>
      <c r="J33" s="191">
        <v>13672</v>
      </c>
      <c r="K33" s="196">
        <v>72.6</v>
      </c>
      <c r="L33" s="186"/>
      <c r="M33" s="188">
        <v>27</v>
      </c>
      <c r="N33" s="188">
        <v>6</v>
      </c>
      <c r="O33" s="191">
        <v>81</v>
      </c>
      <c r="P33" s="191">
        <v>2</v>
      </c>
      <c r="Q33" s="188">
        <v>71</v>
      </c>
      <c r="R33" s="189">
        <v>0.21</v>
      </c>
      <c r="S33" s="192">
        <v>2400</v>
      </c>
      <c r="T33" s="188">
        <v>1110</v>
      </c>
      <c r="U33" s="188">
        <f>SUM($S$7:S33)</f>
        <v>41400</v>
      </c>
      <c r="V33" s="188">
        <v>5</v>
      </c>
      <c r="W33" s="191">
        <v>57</v>
      </c>
      <c r="X33" s="193">
        <v>2400</v>
      </c>
      <c r="Y33" s="188">
        <v>3000</v>
      </c>
      <c r="Z33" s="194">
        <f t="shared" si="0"/>
        <v>42.2535211267606</v>
      </c>
    </row>
    <row r="34" ht="17.25" spans="2:26">
      <c r="B34" s="188">
        <v>28</v>
      </c>
      <c r="C34" s="197"/>
      <c r="D34" s="192">
        <v>5</v>
      </c>
      <c r="E34" s="188">
        <v>5</v>
      </c>
      <c r="F34" s="188">
        <v>1120</v>
      </c>
      <c r="G34" s="190">
        <v>112</v>
      </c>
      <c r="H34" s="195">
        <v>0.028</v>
      </c>
      <c r="I34" s="188">
        <v>429</v>
      </c>
      <c r="J34" s="191">
        <v>15099</v>
      </c>
      <c r="K34" s="196">
        <v>79.8</v>
      </c>
      <c r="L34" s="186"/>
      <c r="M34" s="188">
        <v>28</v>
      </c>
      <c r="N34" s="188">
        <v>6</v>
      </c>
      <c r="O34" s="191">
        <v>81</v>
      </c>
      <c r="P34" s="191">
        <v>2</v>
      </c>
      <c r="Q34" s="188">
        <v>73</v>
      </c>
      <c r="R34" s="189">
        <v>0.2</v>
      </c>
      <c r="S34" s="192">
        <v>3000</v>
      </c>
      <c r="T34" s="188">
        <v>1183</v>
      </c>
      <c r="U34" s="188">
        <f>SUM($S$7:S34)</f>
        <v>44400</v>
      </c>
      <c r="V34" s="188">
        <v>5</v>
      </c>
      <c r="W34" s="191">
        <v>57</v>
      </c>
      <c r="X34" s="188"/>
      <c r="Y34" s="188">
        <v>3600</v>
      </c>
      <c r="Z34" s="194">
        <f t="shared" si="0"/>
        <v>49.3150684931507</v>
      </c>
    </row>
    <row r="35" ht="17.25" spans="2:26">
      <c r="B35" s="188">
        <v>29</v>
      </c>
      <c r="C35" s="197"/>
      <c r="D35" s="192">
        <v>5</v>
      </c>
      <c r="E35" s="188">
        <v>5</v>
      </c>
      <c r="F35" s="188">
        <v>1170</v>
      </c>
      <c r="G35" s="190">
        <v>117</v>
      </c>
      <c r="H35" s="195">
        <v>0.028</v>
      </c>
      <c r="I35" s="188">
        <v>435</v>
      </c>
      <c r="J35" s="191">
        <v>15487</v>
      </c>
      <c r="K35" s="196">
        <v>81</v>
      </c>
      <c r="L35" s="186"/>
      <c r="M35" s="188">
        <v>29</v>
      </c>
      <c r="N35" s="188">
        <v>6</v>
      </c>
      <c r="O35" s="191">
        <v>81</v>
      </c>
      <c r="P35" s="191">
        <v>2</v>
      </c>
      <c r="Q35" s="188">
        <v>75</v>
      </c>
      <c r="R35" s="189">
        <v>0.19</v>
      </c>
      <c r="S35" s="192">
        <v>3000</v>
      </c>
      <c r="T35" s="188">
        <v>1258</v>
      </c>
      <c r="U35" s="188">
        <f>SUM($S$7:S35)</f>
        <v>47400</v>
      </c>
      <c r="V35" s="188">
        <v>5</v>
      </c>
      <c r="W35" s="191">
        <v>57</v>
      </c>
      <c r="X35" s="193">
        <v>2400</v>
      </c>
      <c r="Y35" s="188">
        <v>3600</v>
      </c>
      <c r="Z35" s="194">
        <f t="shared" si="0"/>
        <v>48</v>
      </c>
    </row>
    <row r="36" ht="17.25" spans="2:26">
      <c r="B36" s="188">
        <v>30</v>
      </c>
      <c r="C36" s="197">
        <v>126</v>
      </c>
      <c r="D36" s="192">
        <v>5</v>
      </c>
      <c r="E36" s="188">
        <v>5</v>
      </c>
      <c r="F36" s="188">
        <v>1220</v>
      </c>
      <c r="G36" s="190">
        <v>122</v>
      </c>
      <c r="H36" s="195">
        <v>0.022</v>
      </c>
      <c r="I36" s="188">
        <v>444</v>
      </c>
      <c r="J36" s="191">
        <v>20475</v>
      </c>
      <c r="K36" s="196">
        <v>82.8</v>
      </c>
      <c r="L36" s="186"/>
      <c r="M36" s="188">
        <v>30</v>
      </c>
      <c r="N36" s="188">
        <v>7</v>
      </c>
      <c r="O36" s="191">
        <v>118</v>
      </c>
      <c r="P36" s="191">
        <v>3</v>
      </c>
      <c r="Q36" s="188">
        <v>78</v>
      </c>
      <c r="R36" s="189">
        <v>0.2</v>
      </c>
      <c r="S36" s="192">
        <v>3000</v>
      </c>
      <c r="T36" s="188">
        <v>1336</v>
      </c>
      <c r="U36" s="188">
        <f>SUM($S$7:S36)</f>
        <v>50400</v>
      </c>
      <c r="V36" s="188">
        <v>6</v>
      </c>
      <c r="W36" s="191">
        <v>57</v>
      </c>
      <c r="X36" s="188"/>
      <c r="Y36" s="188">
        <v>3600</v>
      </c>
      <c r="Z36" s="194">
        <f t="shared" si="0"/>
        <v>46.1538461538462</v>
      </c>
    </row>
    <row r="37" ht="17.25" spans="2:26">
      <c r="B37" s="188">
        <v>31</v>
      </c>
      <c r="C37" s="197"/>
      <c r="D37" s="192">
        <v>5</v>
      </c>
      <c r="E37" s="188">
        <v>5</v>
      </c>
      <c r="F37" s="188">
        <v>1270</v>
      </c>
      <c r="G37" s="190">
        <v>127</v>
      </c>
      <c r="H37" s="195">
        <v>0.021</v>
      </c>
      <c r="I37" s="188">
        <v>453</v>
      </c>
      <c r="J37" s="191">
        <v>21074</v>
      </c>
      <c r="K37" s="196">
        <v>84.6</v>
      </c>
      <c r="L37" s="186"/>
      <c r="M37" s="188">
        <v>31</v>
      </c>
      <c r="N37" s="188">
        <v>7</v>
      </c>
      <c r="O37" s="191">
        <v>118</v>
      </c>
      <c r="P37" s="191">
        <v>3</v>
      </c>
      <c r="Q37" s="188">
        <v>81</v>
      </c>
      <c r="R37" s="189">
        <v>0.21</v>
      </c>
      <c r="S37" s="192">
        <v>3000</v>
      </c>
      <c r="T37" s="188">
        <v>1417</v>
      </c>
      <c r="U37" s="188">
        <f>SUM($S$7:S37)</f>
        <v>53400</v>
      </c>
      <c r="V37" s="188">
        <v>6</v>
      </c>
      <c r="W37" s="191">
        <v>56</v>
      </c>
      <c r="X37" s="188"/>
      <c r="Y37" s="188">
        <v>3600</v>
      </c>
      <c r="Z37" s="194">
        <f t="shared" si="0"/>
        <v>44.4444444444444</v>
      </c>
    </row>
    <row r="38" ht="17.25" spans="2:26">
      <c r="B38" s="188">
        <v>32</v>
      </c>
      <c r="C38" s="197">
        <v>140</v>
      </c>
      <c r="D38" s="192">
        <v>5</v>
      </c>
      <c r="E38" s="188">
        <v>5</v>
      </c>
      <c r="F38" s="188">
        <v>1320</v>
      </c>
      <c r="G38" s="190">
        <v>132</v>
      </c>
      <c r="H38" s="195">
        <v>0.021</v>
      </c>
      <c r="I38" s="188">
        <v>462</v>
      </c>
      <c r="J38" s="191">
        <v>21681</v>
      </c>
      <c r="K38" s="196">
        <v>86.4</v>
      </c>
      <c r="L38" s="186"/>
      <c r="M38" s="188">
        <v>32</v>
      </c>
      <c r="N38" s="188">
        <v>8</v>
      </c>
      <c r="O38" s="191">
        <v>118</v>
      </c>
      <c r="P38" s="191">
        <v>3</v>
      </c>
      <c r="Q38" s="188">
        <v>84</v>
      </c>
      <c r="R38" s="189">
        <v>0.22</v>
      </c>
      <c r="S38" s="192">
        <v>3000</v>
      </c>
      <c r="T38" s="188">
        <v>1501</v>
      </c>
      <c r="U38" s="188">
        <f>SUM($S$7:S38)</f>
        <v>56400</v>
      </c>
      <c r="V38" s="188">
        <v>6</v>
      </c>
      <c r="W38" s="191">
        <v>56</v>
      </c>
      <c r="X38" s="188"/>
      <c r="Y38" s="188">
        <v>3600</v>
      </c>
      <c r="Z38" s="194">
        <f t="shared" si="0"/>
        <v>42.8571428571429</v>
      </c>
    </row>
    <row r="39" ht="17.25" spans="2:26">
      <c r="B39" s="188">
        <v>33</v>
      </c>
      <c r="C39" s="197"/>
      <c r="D39" s="192">
        <v>5</v>
      </c>
      <c r="E39" s="188">
        <v>5</v>
      </c>
      <c r="F39" s="188">
        <v>1370</v>
      </c>
      <c r="G39" s="190">
        <v>137</v>
      </c>
      <c r="H39" s="195">
        <v>0.021</v>
      </c>
      <c r="I39" s="188">
        <v>501</v>
      </c>
      <c r="J39" s="191">
        <v>23714</v>
      </c>
      <c r="K39" s="196">
        <v>88.2</v>
      </c>
      <c r="L39" s="186"/>
      <c r="M39" s="188">
        <v>33</v>
      </c>
      <c r="N39" s="188">
        <v>8</v>
      </c>
      <c r="O39" s="191">
        <v>118</v>
      </c>
      <c r="P39" s="191">
        <v>3</v>
      </c>
      <c r="Q39" s="188">
        <v>87</v>
      </c>
      <c r="R39" s="189">
        <v>0.22</v>
      </c>
      <c r="S39" s="192">
        <v>3000</v>
      </c>
      <c r="T39" s="188">
        <v>1588</v>
      </c>
      <c r="U39" s="188">
        <f>SUM($S$7:S39)</f>
        <v>59400</v>
      </c>
      <c r="V39" s="188">
        <v>7</v>
      </c>
      <c r="W39" s="191">
        <v>56</v>
      </c>
      <c r="X39" s="193">
        <v>3000</v>
      </c>
      <c r="Y39" s="188">
        <v>3600</v>
      </c>
      <c r="Z39" s="194">
        <f t="shared" si="0"/>
        <v>41.3793103448276</v>
      </c>
    </row>
    <row r="40" ht="17.25" spans="2:26">
      <c r="B40" s="188">
        <v>34</v>
      </c>
      <c r="C40" s="197">
        <v>154</v>
      </c>
      <c r="D40" s="192">
        <v>5</v>
      </c>
      <c r="E40" s="188">
        <v>5</v>
      </c>
      <c r="F40" s="188">
        <v>1420</v>
      </c>
      <c r="G40" s="190">
        <v>142</v>
      </c>
      <c r="H40" s="195">
        <v>0.021</v>
      </c>
      <c r="I40" s="188">
        <v>510</v>
      </c>
      <c r="J40" s="191">
        <v>24347</v>
      </c>
      <c r="K40" s="196">
        <v>90</v>
      </c>
      <c r="L40" s="186"/>
      <c r="M40" s="188">
        <v>34</v>
      </c>
      <c r="N40" s="188">
        <v>9</v>
      </c>
      <c r="O40" s="191">
        <v>115</v>
      </c>
      <c r="P40" s="191">
        <v>3</v>
      </c>
      <c r="Q40" s="188">
        <v>90</v>
      </c>
      <c r="R40" s="189">
        <v>0.22</v>
      </c>
      <c r="S40" s="192">
        <v>3000</v>
      </c>
      <c r="T40" s="188">
        <v>1678</v>
      </c>
      <c r="U40" s="188">
        <f>SUM($S$7:S40)</f>
        <v>62400</v>
      </c>
      <c r="V40" s="188">
        <v>7</v>
      </c>
      <c r="W40" s="191">
        <v>56</v>
      </c>
      <c r="X40" s="188"/>
      <c r="Y40" s="188">
        <v>3600</v>
      </c>
      <c r="Z40" s="194">
        <f t="shared" si="0"/>
        <v>40</v>
      </c>
    </row>
    <row r="41" ht="17.25" spans="2:26">
      <c r="B41" s="188">
        <v>35</v>
      </c>
      <c r="C41" s="197"/>
      <c r="D41" s="192">
        <v>6</v>
      </c>
      <c r="E41" s="188">
        <v>6</v>
      </c>
      <c r="F41" s="188">
        <v>1480</v>
      </c>
      <c r="G41" s="190">
        <v>148</v>
      </c>
      <c r="H41" s="195">
        <v>0.025</v>
      </c>
      <c r="I41" s="188">
        <v>519</v>
      </c>
      <c r="J41" s="191">
        <v>20840</v>
      </c>
      <c r="K41" s="196">
        <v>81.5</v>
      </c>
      <c r="L41" s="186"/>
      <c r="M41" s="188">
        <v>35</v>
      </c>
      <c r="N41" s="188">
        <v>9</v>
      </c>
      <c r="O41" s="191">
        <v>115</v>
      </c>
      <c r="P41" s="191">
        <v>3</v>
      </c>
      <c r="Q41" s="188">
        <v>93</v>
      </c>
      <c r="R41" s="189">
        <v>0.22</v>
      </c>
      <c r="S41" s="192">
        <v>3600</v>
      </c>
      <c r="T41" s="188">
        <v>1771</v>
      </c>
      <c r="U41" s="188">
        <f>SUM($S$7:S41)</f>
        <v>66000</v>
      </c>
      <c r="V41" s="188">
        <v>8</v>
      </c>
      <c r="W41" s="191">
        <v>56</v>
      </c>
      <c r="X41" s="188"/>
      <c r="Y41" s="188">
        <f>4200</f>
        <v>4200</v>
      </c>
      <c r="Z41" s="194">
        <f t="shared" si="0"/>
        <v>45.1612903225806</v>
      </c>
    </row>
    <row r="42" ht="17.25" spans="2:26">
      <c r="B42" s="188">
        <v>36</v>
      </c>
      <c r="C42" s="197">
        <v>168</v>
      </c>
      <c r="D42" s="192">
        <v>6</v>
      </c>
      <c r="E42" s="188">
        <v>6</v>
      </c>
      <c r="F42" s="188">
        <v>1540</v>
      </c>
      <c r="G42" s="190">
        <v>154</v>
      </c>
      <c r="H42" s="195">
        <v>0.025</v>
      </c>
      <c r="I42" s="188">
        <v>528</v>
      </c>
      <c r="J42" s="191">
        <v>21416</v>
      </c>
      <c r="K42" s="196">
        <v>83</v>
      </c>
      <c r="L42" s="186"/>
      <c r="M42" s="188">
        <v>36</v>
      </c>
      <c r="N42" s="188">
        <v>10</v>
      </c>
      <c r="O42" s="191">
        <v>115</v>
      </c>
      <c r="P42" s="191">
        <v>3</v>
      </c>
      <c r="Q42" s="188">
        <v>96</v>
      </c>
      <c r="R42" s="189">
        <v>0.21</v>
      </c>
      <c r="S42" s="192">
        <v>3600</v>
      </c>
      <c r="T42" s="188">
        <v>1867</v>
      </c>
      <c r="U42" s="188">
        <f>SUM($S$7:S42)</f>
        <v>69600</v>
      </c>
      <c r="V42" s="188">
        <v>8</v>
      </c>
      <c r="W42" s="191">
        <v>55</v>
      </c>
      <c r="X42" s="193">
        <v>3600</v>
      </c>
      <c r="Y42" s="188">
        <f>4200</f>
        <v>4200</v>
      </c>
      <c r="Z42" s="194">
        <f t="shared" si="0"/>
        <v>43.75</v>
      </c>
    </row>
    <row r="43" ht="17.25" spans="2:26">
      <c r="B43" s="188">
        <v>37</v>
      </c>
      <c r="C43" s="197"/>
      <c r="D43" s="192">
        <v>6</v>
      </c>
      <c r="E43" s="188">
        <v>6</v>
      </c>
      <c r="F43" s="188">
        <v>1600</v>
      </c>
      <c r="G43" s="190">
        <v>160</v>
      </c>
      <c r="H43" s="195">
        <v>0.024</v>
      </c>
      <c r="I43" s="188">
        <v>567</v>
      </c>
      <c r="J43" s="191">
        <v>23228</v>
      </c>
      <c r="K43" s="196">
        <v>84.5</v>
      </c>
      <c r="L43" s="186"/>
      <c r="M43" s="188">
        <v>37</v>
      </c>
      <c r="N43" s="188">
        <v>10</v>
      </c>
      <c r="O43" s="191">
        <v>115</v>
      </c>
      <c r="P43" s="191">
        <v>3</v>
      </c>
      <c r="Q43" s="188">
        <v>99</v>
      </c>
      <c r="R43" s="189">
        <v>0.21</v>
      </c>
      <c r="S43" s="192">
        <v>3600</v>
      </c>
      <c r="T43" s="188">
        <v>1966</v>
      </c>
      <c r="U43" s="188">
        <f>SUM($S$7:S43)</f>
        <v>73200</v>
      </c>
      <c r="V43" s="188">
        <v>8</v>
      </c>
      <c r="W43" s="191">
        <v>55</v>
      </c>
      <c r="X43" s="188"/>
      <c r="Y43" s="188">
        <f>4200</f>
        <v>4200</v>
      </c>
      <c r="Z43" s="194">
        <f t="shared" si="0"/>
        <v>42.4242424242424</v>
      </c>
    </row>
    <row r="44" ht="17.25" spans="2:26">
      <c r="B44" s="188">
        <v>38</v>
      </c>
      <c r="C44" s="197">
        <v>182</v>
      </c>
      <c r="D44" s="192">
        <v>6</v>
      </c>
      <c r="E44" s="188">
        <v>6</v>
      </c>
      <c r="F44" s="188">
        <v>1660</v>
      </c>
      <c r="G44" s="190">
        <v>166</v>
      </c>
      <c r="H44" s="195">
        <v>0.024</v>
      </c>
      <c r="I44" s="188">
        <v>576</v>
      </c>
      <c r="J44" s="191">
        <v>23831</v>
      </c>
      <c r="K44" s="196">
        <v>86</v>
      </c>
      <c r="L44" s="186"/>
      <c r="M44" s="188">
        <v>38</v>
      </c>
      <c r="N44" s="188">
        <v>11</v>
      </c>
      <c r="O44" s="191">
        <v>115</v>
      </c>
      <c r="P44" s="191">
        <v>3</v>
      </c>
      <c r="Q44" s="188">
        <v>102</v>
      </c>
      <c r="R44" s="189">
        <v>0.21</v>
      </c>
      <c r="S44" s="192">
        <v>3600</v>
      </c>
      <c r="T44" s="188">
        <v>2068</v>
      </c>
      <c r="U44" s="188">
        <f>SUM($S$7:S44)</f>
        <v>76800</v>
      </c>
      <c r="V44" s="188">
        <v>9</v>
      </c>
      <c r="W44" s="191">
        <v>55</v>
      </c>
      <c r="X44" s="188"/>
      <c r="Y44" s="188">
        <f t="shared" ref="Y44:Y57" si="1">S44-1200</f>
        <v>2400</v>
      </c>
      <c r="Z44" s="194">
        <f t="shared" si="0"/>
        <v>23.5294117647059</v>
      </c>
    </row>
    <row r="45" ht="17.25" spans="2:26">
      <c r="B45" s="188">
        <v>39</v>
      </c>
      <c r="C45" s="197"/>
      <c r="D45" s="192">
        <v>6</v>
      </c>
      <c r="E45" s="188">
        <v>6</v>
      </c>
      <c r="F45" s="188">
        <v>1720</v>
      </c>
      <c r="G45" s="190">
        <v>172</v>
      </c>
      <c r="H45" s="195">
        <v>0.024</v>
      </c>
      <c r="I45" s="188">
        <v>585</v>
      </c>
      <c r="J45" s="191">
        <v>24441</v>
      </c>
      <c r="K45" s="196">
        <v>87.5</v>
      </c>
      <c r="L45" s="186"/>
      <c r="M45" s="188">
        <v>39</v>
      </c>
      <c r="N45" s="188">
        <v>11</v>
      </c>
      <c r="O45" s="191">
        <v>115</v>
      </c>
      <c r="P45" s="191">
        <v>3</v>
      </c>
      <c r="Q45" s="188">
        <v>105</v>
      </c>
      <c r="R45" s="189">
        <v>0.2</v>
      </c>
      <c r="S45" s="192">
        <v>3600</v>
      </c>
      <c r="T45" s="188">
        <v>2173</v>
      </c>
      <c r="U45" s="188">
        <f>SUM($S$7:S45)</f>
        <v>80400</v>
      </c>
      <c r="V45" s="188">
        <v>9</v>
      </c>
      <c r="W45" s="191">
        <v>55</v>
      </c>
      <c r="X45" s="193">
        <v>3600</v>
      </c>
      <c r="Y45" s="188">
        <f t="shared" si="1"/>
        <v>2400</v>
      </c>
      <c r="Z45" s="194">
        <f t="shared" si="0"/>
        <v>22.8571428571429</v>
      </c>
    </row>
    <row r="46" ht="17.25" spans="2:26">
      <c r="B46" s="188">
        <v>40</v>
      </c>
      <c r="C46" s="197">
        <v>198</v>
      </c>
      <c r="D46" s="192">
        <v>7</v>
      </c>
      <c r="E46" s="188">
        <v>7</v>
      </c>
      <c r="F46" s="188">
        <v>1790</v>
      </c>
      <c r="G46" s="190">
        <v>179</v>
      </c>
      <c r="H46" s="195">
        <v>0.025</v>
      </c>
      <c r="I46" s="188">
        <v>594</v>
      </c>
      <c r="J46" s="191">
        <v>23779</v>
      </c>
      <c r="K46" s="196">
        <v>76.28571429</v>
      </c>
      <c r="L46" s="186"/>
      <c r="M46" s="188">
        <v>40</v>
      </c>
      <c r="N46" s="188">
        <v>12</v>
      </c>
      <c r="O46" s="191">
        <v>115</v>
      </c>
      <c r="P46" s="191">
        <v>3</v>
      </c>
      <c r="Q46" s="188">
        <v>108</v>
      </c>
      <c r="R46" s="189">
        <v>0.2</v>
      </c>
      <c r="S46" s="192">
        <v>3600</v>
      </c>
      <c r="T46" s="188">
        <v>2281</v>
      </c>
      <c r="U46" s="188">
        <f>SUM($S$7:S46)</f>
        <v>84000</v>
      </c>
      <c r="V46" s="188">
        <v>10</v>
      </c>
      <c r="W46" s="191">
        <v>55</v>
      </c>
      <c r="X46" s="188"/>
      <c r="Y46" s="188">
        <f t="shared" si="1"/>
        <v>2400</v>
      </c>
      <c r="Z46" s="194">
        <f t="shared" si="0"/>
        <v>22.2222222222222</v>
      </c>
    </row>
    <row r="47" ht="17.25" spans="2:26">
      <c r="B47" s="188">
        <v>41</v>
      </c>
      <c r="C47" s="197"/>
      <c r="D47" s="192">
        <v>7</v>
      </c>
      <c r="E47" s="188">
        <v>7</v>
      </c>
      <c r="F47" s="188">
        <v>1860</v>
      </c>
      <c r="G47" s="190">
        <v>186</v>
      </c>
      <c r="H47" s="195">
        <v>0.025</v>
      </c>
      <c r="I47" s="188">
        <v>636</v>
      </c>
      <c r="J47" s="191">
        <v>25719</v>
      </c>
      <c r="K47" s="196">
        <v>82.28571429</v>
      </c>
      <c r="L47" s="186"/>
      <c r="M47" s="188">
        <v>41</v>
      </c>
      <c r="N47" s="188">
        <v>12</v>
      </c>
      <c r="O47" s="191">
        <v>115</v>
      </c>
      <c r="P47" s="191">
        <v>4</v>
      </c>
      <c r="Q47" s="188">
        <v>112</v>
      </c>
      <c r="R47" s="189">
        <v>0.19</v>
      </c>
      <c r="S47" s="192">
        <v>4200</v>
      </c>
      <c r="T47" s="188">
        <v>2393</v>
      </c>
      <c r="U47" s="188">
        <f>SUM($S$7:S47)</f>
        <v>88200</v>
      </c>
      <c r="V47" s="188">
        <v>10</v>
      </c>
      <c r="W47" s="191">
        <v>55</v>
      </c>
      <c r="X47" s="188"/>
      <c r="Y47" s="188">
        <f t="shared" si="1"/>
        <v>3000</v>
      </c>
      <c r="Z47" s="194">
        <f t="shared" si="0"/>
        <v>26.7857142857143</v>
      </c>
    </row>
    <row r="48" ht="17.25" spans="2:26">
      <c r="B48" s="188">
        <v>42</v>
      </c>
      <c r="C48" s="197">
        <v>214</v>
      </c>
      <c r="D48" s="192">
        <v>7</v>
      </c>
      <c r="E48" s="188">
        <v>7</v>
      </c>
      <c r="F48" s="188">
        <v>1930</v>
      </c>
      <c r="G48" s="190">
        <v>193</v>
      </c>
      <c r="H48" s="195">
        <v>0.024</v>
      </c>
      <c r="I48" s="188">
        <v>648</v>
      </c>
      <c r="J48" s="191">
        <v>26467</v>
      </c>
      <c r="K48" s="196">
        <v>84</v>
      </c>
      <c r="L48" s="186"/>
      <c r="M48" s="188">
        <v>42</v>
      </c>
      <c r="N48" s="188">
        <v>13</v>
      </c>
      <c r="O48" s="191">
        <v>115</v>
      </c>
      <c r="P48" s="191">
        <v>4</v>
      </c>
      <c r="Q48" s="188">
        <v>116</v>
      </c>
      <c r="R48" s="189">
        <v>0.18</v>
      </c>
      <c r="S48" s="192">
        <v>4200</v>
      </c>
      <c r="T48" s="188">
        <v>2509</v>
      </c>
      <c r="U48" s="188">
        <f>SUM($S$7:S48)</f>
        <v>92400</v>
      </c>
      <c r="V48" s="188">
        <v>11</v>
      </c>
      <c r="W48" s="191">
        <v>55</v>
      </c>
      <c r="X48" s="188"/>
      <c r="Y48" s="188">
        <f t="shared" si="1"/>
        <v>3000</v>
      </c>
      <c r="Z48" s="194">
        <f t="shared" si="0"/>
        <v>25.8620689655172</v>
      </c>
    </row>
    <row r="49" ht="17.25" spans="2:26">
      <c r="B49" s="188">
        <v>43</v>
      </c>
      <c r="C49" s="197"/>
      <c r="D49" s="192">
        <v>7</v>
      </c>
      <c r="E49" s="188">
        <v>7</v>
      </c>
      <c r="F49" s="188">
        <v>2000</v>
      </c>
      <c r="G49" s="190">
        <v>200</v>
      </c>
      <c r="H49" s="195">
        <v>0.024</v>
      </c>
      <c r="I49" s="188">
        <v>660</v>
      </c>
      <c r="J49" s="191">
        <v>27225</v>
      </c>
      <c r="K49" s="196">
        <v>85.71428571</v>
      </c>
      <c r="L49" s="186"/>
      <c r="M49" s="188">
        <v>43</v>
      </c>
      <c r="N49" s="188">
        <v>13</v>
      </c>
      <c r="O49" s="191">
        <v>115</v>
      </c>
      <c r="P49" s="191">
        <v>4</v>
      </c>
      <c r="Q49" s="188">
        <v>120</v>
      </c>
      <c r="R49" s="189">
        <v>0.17</v>
      </c>
      <c r="S49" s="192">
        <v>4200</v>
      </c>
      <c r="T49" s="188">
        <v>2629</v>
      </c>
      <c r="U49" s="188">
        <f>SUM($S$7:S49)</f>
        <v>96600</v>
      </c>
      <c r="V49" s="188">
        <v>11</v>
      </c>
      <c r="W49" s="191">
        <v>54</v>
      </c>
      <c r="X49" s="193">
        <v>4200</v>
      </c>
      <c r="Y49" s="188">
        <f t="shared" si="1"/>
        <v>3000</v>
      </c>
      <c r="Z49" s="194">
        <f t="shared" si="0"/>
        <v>25</v>
      </c>
    </row>
    <row r="50" ht="17.25" spans="2:26">
      <c r="B50" s="188">
        <v>44</v>
      </c>
      <c r="C50" s="197">
        <v>230</v>
      </c>
      <c r="D50" s="192">
        <v>7</v>
      </c>
      <c r="E50" s="188">
        <v>7</v>
      </c>
      <c r="F50" s="188">
        <v>2070</v>
      </c>
      <c r="G50" s="190">
        <v>207</v>
      </c>
      <c r="H50" s="195">
        <v>0.024</v>
      </c>
      <c r="I50" s="188">
        <v>702</v>
      </c>
      <c r="J50" s="191">
        <v>29243</v>
      </c>
      <c r="K50" s="196">
        <v>91.71428571</v>
      </c>
      <c r="L50" s="186"/>
      <c r="M50" s="188">
        <v>44</v>
      </c>
      <c r="N50" s="188">
        <v>14</v>
      </c>
      <c r="O50" s="191">
        <v>230</v>
      </c>
      <c r="P50" s="191">
        <v>4</v>
      </c>
      <c r="Q50" s="188">
        <v>124</v>
      </c>
      <c r="R50" s="189">
        <v>0.19</v>
      </c>
      <c r="S50" s="192">
        <v>4800</v>
      </c>
      <c r="T50" s="188">
        <v>2753</v>
      </c>
      <c r="U50" s="188">
        <f>SUM($S$7:S50)</f>
        <v>101400</v>
      </c>
      <c r="V50" s="188">
        <v>12</v>
      </c>
      <c r="W50" s="191">
        <v>54</v>
      </c>
      <c r="X50" s="188"/>
      <c r="Y50" s="188">
        <f t="shared" si="1"/>
        <v>3600</v>
      </c>
      <c r="Z50" s="194">
        <f t="shared" si="0"/>
        <v>29.0322580645161</v>
      </c>
    </row>
    <row r="51" ht="17.25" spans="2:26">
      <c r="B51" s="188">
        <v>45</v>
      </c>
      <c r="C51" s="197">
        <v>238</v>
      </c>
      <c r="D51" s="192">
        <v>7</v>
      </c>
      <c r="E51" s="188">
        <v>7</v>
      </c>
      <c r="F51" s="188">
        <v>2140</v>
      </c>
      <c r="G51" s="190">
        <v>214</v>
      </c>
      <c r="H51" s="195">
        <v>0.024</v>
      </c>
      <c r="I51" s="188">
        <v>714</v>
      </c>
      <c r="J51" s="191">
        <v>30032</v>
      </c>
      <c r="K51" s="196">
        <v>93.42857143</v>
      </c>
      <c r="L51" s="186"/>
      <c r="M51" s="188">
        <v>45</v>
      </c>
      <c r="N51" s="188">
        <v>15</v>
      </c>
      <c r="O51" s="191">
        <v>230</v>
      </c>
      <c r="P51" s="191">
        <v>4</v>
      </c>
      <c r="Q51" s="188">
        <v>128</v>
      </c>
      <c r="R51" s="189">
        <v>0.21</v>
      </c>
      <c r="S51" s="192">
        <v>4800</v>
      </c>
      <c r="T51" s="188">
        <v>2881</v>
      </c>
      <c r="U51" s="188">
        <f>SUM($S$7:S51)</f>
        <v>106200</v>
      </c>
      <c r="V51" s="188">
        <v>12</v>
      </c>
      <c r="W51" s="191">
        <v>54</v>
      </c>
      <c r="X51" s="188"/>
      <c r="Y51" s="188">
        <f t="shared" si="1"/>
        <v>3600</v>
      </c>
      <c r="Z51" s="194">
        <f t="shared" si="0"/>
        <v>28.125</v>
      </c>
    </row>
    <row r="52" ht="17.25" spans="2:26">
      <c r="B52" s="188">
        <v>46</v>
      </c>
      <c r="C52" s="197">
        <v>246</v>
      </c>
      <c r="D52" s="192">
        <v>7</v>
      </c>
      <c r="E52" s="188">
        <v>7</v>
      </c>
      <c r="F52" s="188">
        <v>2210</v>
      </c>
      <c r="G52" s="190">
        <v>221</v>
      </c>
      <c r="H52" s="195">
        <v>0.024</v>
      </c>
      <c r="I52" s="188">
        <v>726</v>
      </c>
      <c r="J52" s="191">
        <v>30832</v>
      </c>
      <c r="K52" s="196">
        <v>95.14285714</v>
      </c>
      <c r="L52" s="186"/>
      <c r="M52" s="188">
        <v>46</v>
      </c>
      <c r="N52" s="188">
        <v>16</v>
      </c>
      <c r="O52" s="191">
        <v>230</v>
      </c>
      <c r="P52" s="191">
        <v>4</v>
      </c>
      <c r="Q52" s="188">
        <v>132</v>
      </c>
      <c r="R52" s="189">
        <v>0.22</v>
      </c>
      <c r="S52" s="192">
        <v>4800</v>
      </c>
      <c r="T52" s="188">
        <v>3013</v>
      </c>
      <c r="U52" s="188">
        <f>SUM($S$7:S52)</f>
        <v>111000</v>
      </c>
      <c r="V52" s="188">
        <v>13</v>
      </c>
      <c r="W52" s="191">
        <v>54</v>
      </c>
      <c r="X52" s="188"/>
      <c r="Y52" s="188">
        <f t="shared" si="1"/>
        <v>3600</v>
      </c>
      <c r="Z52" s="194">
        <f t="shared" si="0"/>
        <v>27.2727272727273</v>
      </c>
    </row>
    <row r="53" ht="17.25" spans="2:26">
      <c r="B53" s="188">
        <v>47</v>
      </c>
      <c r="C53" s="197">
        <v>254</v>
      </c>
      <c r="D53" s="192">
        <v>7</v>
      </c>
      <c r="E53" s="188">
        <v>7</v>
      </c>
      <c r="F53" s="188">
        <v>2280</v>
      </c>
      <c r="G53" s="190">
        <v>228</v>
      </c>
      <c r="H53" s="195">
        <v>0.023</v>
      </c>
      <c r="I53" s="188">
        <v>768</v>
      </c>
      <c r="J53" s="191">
        <v>32927</v>
      </c>
      <c r="K53" s="196">
        <v>101.1428571</v>
      </c>
      <c r="L53" s="186"/>
      <c r="M53" s="188">
        <v>47</v>
      </c>
      <c r="N53" s="188">
        <v>20</v>
      </c>
      <c r="O53" s="191">
        <v>181</v>
      </c>
      <c r="P53" s="191">
        <v>4</v>
      </c>
      <c r="Q53" s="188">
        <v>136</v>
      </c>
      <c r="R53" s="189">
        <v>0.22</v>
      </c>
      <c r="S53" s="192">
        <v>5400</v>
      </c>
      <c r="T53" s="188">
        <v>3149</v>
      </c>
      <c r="U53" s="188">
        <f>SUM($S$7:S53)</f>
        <v>116400</v>
      </c>
      <c r="V53" s="188">
        <v>14</v>
      </c>
      <c r="W53" s="191">
        <v>54</v>
      </c>
      <c r="X53" s="188"/>
      <c r="Y53" s="188">
        <f t="shared" si="1"/>
        <v>4200</v>
      </c>
      <c r="Z53" s="194">
        <f t="shared" si="0"/>
        <v>30.8823529411765</v>
      </c>
    </row>
    <row r="54" ht="17.25" spans="2:26">
      <c r="B54" s="188">
        <v>48</v>
      </c>
      <c r="C54" s="197"/>
      <c r="D54" s="192">
        <v>8</v>
      </c>
      <c r="E54" s="188">
        <v>8</v>
      </c>
      <c r="F54" s="188">
        <v>2360</v>
      </c>
      <c r="G54" s="190">
        <v>236</v>
      </c>
      <c r="H54" s="195">
        <v>0.026</v>
      </c>
      <c r="I54" s="188">
        <v>780</v>
      </c>
      <c r="J54" s="191">
        <v>29558</v>
      </c>
      <c r="K54" s="196">
        <v>90</v>
      </c>
      <c r="L54" s="186"/>
      <c r="M54" s="188">
        <v>48</v>
      </c>
      <c r="N54" s="188">
        <v>20</v>
      </c>
      <c r="O54" s="191">
        <v>181</v>
      </c>
      <c r="P54" s="191">
        <v>4</v>
      </c>
      <c r="Q54" s="188">
        <v>140</v>
      </c>
      <c r="R54" s="189">
        <v>0.22</v>
      </c>
      <c r="S54" s="192">
        <v>5400</v>
      </c>
      <c r="T54" s="188">
        <v>3289</v>
      </c>
      <c r="U54" s="188">
        <f>SUM($S$7:S54)</f>
        <v>121800</v>
      </c>
      <c r="V54" s="188">
        <v>14</v>
      </c>
      <c r="W54" s="191">
        <v>54</v>
      </c>
      <c r="X54" s="188"/>
      <c r="Y54" s="188">
        <f t="shared" si="1"/>
        <v>4200</v>
      </c>
      <c r="Z54" s="194">
        <f t="shared" si="0"/>
        <v>30</v>
      </c>
    </row>
    <row r="55" ht="17.25" spans="2:26">
      <c r="B55" s="188">
        <v>49</v>
      </c>
      <c r="C55" s="197"/>
      <c r="D55" s="192">
        <v>8</v>
      </c>
      <c r="E55" s="188">
        <v>8</v>
      </c>
      <c r="F55" s="188">
        <v>2440</v>
      </c>
      <c r="G55" s="190">
        <v>244</v>
      </c>
      <c r="H55" s="195">
        <v>0.026</v>
      </c>
      <c r="I55" s="188">
        <v>792</v>
      </c>
      <c r="J55" s="191">
        <v>30335</v>
      </c>
      <c r="K55" s="196">
        <v>91.5</v>
      </c>
      <c r="L55" s="186"/>
      <c r="M55" s="188">
        <v>49</v>
      </c>
      <c r="N55" s="188">
        <v>20</v>
      </c>
      <c r="O55" s="191">
        <v>181</v>
      </c>
      <c r="P55" s="191">
        <v>4</v>
      </c>
      <c r="Q55" s="188">
        <v>144</v>
      </c>
      <c r="R55" s="189">
        <v>0.22</v>
      </c>
      <c r="S55" s="192">
        <v>5400</v>
      </c>
      <c r="T55" s="188">
        <v>3433</v>
      </c>
      <c r="U55" s="188">
        <f>SUM($S$7:S55)</f>
        <v>127200</v>
      </c>
      <c r="V55" s="188">
        <v>15</v>
      </c>
      <c r="W55" s="191">
        <v>54</v>
      </c>
      <c r="X55" s="188"/>
      <c r="Y55" s="188">
        <f t="shared" si="1"/>
        <v>4200</v>
      </c>
      <c r="Z55" s="194">
        <f t="shared" si="0"/>
        <v>29.1666666666667</v>
      </c>
    </row>
    <row r="56" ht="17.25" spans="2:26">
      <c r="B56" s="188">
        <v>50</v>
      </c>
      <c r="C56" s="197"/>
      <c r="D56" s="192">
        <v>8</v>
      </c>
      <c r="E56" s="188">
        <v>8</v>
      </c>
      <c r="F56" s="188">
        <v>2520</v>
      </c>
      <c r="G56" s="190">
        <v>252</v>
      </c>
      <c r="H56" s="195">
        <v>0.02</v>
      </c>
      <c r="I56" s="188">
        <v>834</v>
      </c>
      <c r="J56" s="191">
        <v>41305</v>
      </c>
      <c r="K56" s="196">
        <v>96.75</v>
      </c>
      <c r="L56" s="186"/>
      <c r="M56" s="188">
        <v>50</v>
      </c>
      <c r="N56" s="188">
        <v>20</v>
      </c>
      <c r="O56" s="191">
        <v>181</v>
      </c>
      <c r="P56" s="191">
        <v>4</v>
      </c>
      <c r="Q56" s="188">
        <v>148</v>
      </c>
      <c r="R56" s="189">
        <v>0.22</v>
      </c>
      <c r="S56" s="192">
        <v>6000</v>
      </c>
      <c r="T56" s="188">
        <v>3581</v>
      </c>
      <c r="U56" s="188">
        <f>SUM($S$7:S56)</f>
        <v>133200</v>
      </c>
      <c r="V56" s="188">
        <v>15</v>
      </c>
      <c r="W56" s="191">
        <v>54</v>
      </c>
      <c r="X56" s="188"/>
      <c r="Y56" s="188">
        <f t="shared" si="1"/>
        <v>4800</v>
      </c>
      <c r="Z56" s="194">
        <v>1500</v>
      </c>
    </row>
    <row r="57" ht="17.25" spans="2:26">
      <c r="B57" s="188">
        <v>51</v>
      </c>
      <c r="C57" s="197">
        <v>294</v>
      </c>
      <c r="D57" s="192">
        <v>10</v>
      </c>
      <c r="E57" s="188">
        <v>10</v>
      </c>
      <c r="F57" s="188">
        <v>2620</v>
      </c>
      <c r="G57" s="190">
        <v>262</v>
      </c>
      <c r="H57" s="195">
        <v>0.025</v>
      </c>
      <c r="I57" s="188">
        <v>846</v>
      </c>
      <c r="J57" s="191">
        <v>33828</v>
      </c>
      <c r="K57" s="196">
        <v>78.6</v>
      </c>
      <c r="L57" s="186"/>
      <c r="M57" s="188">
        <v>51</v>
      </c>
      <c r="N57" s="188">
        <v>27</v>
      </c>
      <c r="O57" s="191">
        <v>175</v>
      </c>
      <c r="P57" s="191">
        <v>4</v>
      </c>
      <c r="Q57" s="188">
        <v>152</v>
      </c>
      <c r="R57" s="189">
        <v>0.22</v>
      </c>
      <c r="S57" s="192">
        <v>6000</v>
      </c>
      <c r="T57" s="188">
        <v>3733</v>
      </c>
      <c r="U57" s="188">
        <f>SUM($S$7:S57)</f>
        <v>139200</v>
      </c>
      <c r="V57" s="188">
        <v>16</v>
      </c>
      <c r="W57" s="191">
        <v>54</v>
      </c>
      <c r="X57" s="188"/>
      <c r="Y57" s="188">
        <f t="shared" si="1"/>
        <v>4800</v>
      </c>
      <c r="Z57" s="194">
        <f t="shared" ref="Z57:Z120" si="2">Y57/Q57</f>
        <v>31.5789473684211</v>
      </c>
    </row>
    <row r="58" ht="17.25" spans="2:26">
      <c r="B58" s="188">
        <v>52</v>
      </c>
      <c r="C58" s="197"/>
      <c r="D58" s="192">
        <v>10</v>
      </c>
      <c r="E58" s="188">
        <v>10</v>
      </c>
      <c r="F58" s="188">
        <v>2720</v>
      </c>
      <c r="G58" s="190">
        <v>272</v>
      </c>
      <c r="H58" s="195">
        <v>0.025</v>
      </c>
      <c r="I58" s="188">
        <v>858</v>
      </c>
      <c r="J58" s="191">
        <v>34656</v>
      </c>
      <c r="K58" s="196">
        <v>82.8</v>
      </c>
      <c r="L58" s="186"/>
      <c r="M58" s="188">
        <v>52</v>
      </c>
      <c r="N58" s="188">
        <v>27</v>
      </c>
      <c r="O58" s="191">
        <v>175</v>
      </c>
      <c r="P58" s="191">
        <v>4</v>
      </c>
      <c r="Q58" s="188">
        <v>156</v>
      </c>
      <c r="R58" s="189">
        <v>0.21</v>
      </c>
      <c r="S58" s="192">
        <v>6600</v>
      </c>
      <c r="T58" s="188">
        <v>3889</v>
      </c>
      <c r="U58" s="188">
        <f>SUM($S$7:S58)</f>
        <v>145800</v>
      </c>
      <c r="V58" s="188">
        <v>17</v>
      </c>
      <c r="W58" s="191">
        <v>53</v>
      </c>
      <c r="X58" s="188"/>
      <c r="Y58" s="188">
        <f t="shared" ref="Y58:Y86" si="3">Y56+600</f>
        <v>5400</v>
      </c>
      <c r="Z58" s="194">
        <f t="shared" si="2"/>
        <v>34.6153846153846</v>
      </c>
    </row>
    <row r="59" ht="17.25" spans="2:26">
      <c r="B59" s="188">
        <v>53</v>
      </c>
      <c r="C59" s="197"/>
      <c r="D59" s="192">
        <v>10</v>
      </c>
      <c r="E59" s="188">
        <v>10</v>
      </c>
      <c r="F59" s="188">
        <v>2820</v>
      </c>
      <c r="G59" s="190">
        <v>282</v>
      </c>
      <c r="H59" s="195">
        <v>0.025</v>
      </c>
      <c r="I59" s="188">
        <v>900</v>
      </c>
      <c r="J59" s="191">
        <v>36718</v>
      </c>
      <c r="K59" s="196">
        <v>84</v>
      </c>
      <c r="L59" s="186"/>
      <c r="M59" s="188">
        <v>53</v>
      </c>
      <c r="N59" s="188">
        <v>27</v>
      </c>
      <c r="O59" s="191">
        <v>175</v>
      </c>
      <c r="P59" s="191">
        <v>4</v>
      </c>
      <c r="Q59" s="188">
        <v>160</v>
      </c>
      <c r="R59" s="189">
        <v>0.21</v>
      </c>
      <c r="S59" s="192">
        <v>6600</v>
      </c>
      <c r="T59" s="188">
        <v>4049</v>
      </c>
      <c r="U59" s="188">
        <f>SUM($S$7:S59)</f>
        <v>152400</v>
      </c>
      <c r="V59" s="188">
        <v>18</v>
      </c>
      <c r="W59" s="191">
        <v>53</v>
      </c>
      <c r="X59" s="188"/>
      <c r="Y59" s="188">
        <f t="shared" si="3"/>
        <v>5400</v>
      </c>
      <c r="Z59" s="194">
        <f t="shared" si="2"/>
        <v>33.75</v>
      </c>
    </row>
    <row r="60" ht="17.25" spans="2:26">
      <c r="B60" s="188">
        <v>54</v>
      </c>
      <c r="C60" s="197"/>
      <c r="D60" s="192">
        <v>10</v>
      </c>
      <c r="E60" s="188">
        <v>10</v>
      </c>
      <c r="F60" s="188">
        <v>2920</v>
      </c>
      <c r="G60" s="190">
        <v>292</v>
      </c>
      <c r="H60" s="195">
        <v>0.024</v>
      </c>
      <c r="I60" s="188">
        <v>912</v>
      </c>
      <c r="J60" s="191">
        <v>37578</v>
      </c>
      <c r="K60" s="196">
        <v>88.2</v>
      </c>
      <c r="L60" s="186"/>
      <c r="M60" s="188">
        <v>54</v>
      </c>
      <c r="N60" s="188">
        <v>27</v>
      </c>
      <c r="O60" s="191">
        <v>175</v>
      </c>
      <c r="P60" s="191">
        <v>4</v>
      </c>
      <c r="Q60" s="188">
        <v>164</v>
      </c>
      <c r="R60" s="189">
        <v>0.2</v>
      </c>
      <c r="S60" s="192">
        <v>7200</v>
      </c>
      <c r="T60" s="188">
        <v>4213</v>
      </c>
      <c r="U60" s="188">
        <f>SUM($S$7:S60)</f>
        <v>159600</v>
      </c>
      <c r="V60" s="188">
        <v>18</v>
      </c>
      <c r="W60" s="191">
        <v>53</v>
      </c>
      <c r="X60" s="188"/>
      <c r="Y60" s="188">
        <f t="shared" si="3"/>
        <v>6000</v>
      </c>
      <c r="Z60" s="194">
        <f t="shared" si="2"/>
        <v>36.5853658536585</v>
      </c>
    </row>
    <row r="61" ht="17.25" spans="2:26">
      <c r="B61" s="188">
        <v>55</v>
      </c>
      <c r="C61" s="197"/>
      <c r="D61" s="192">
        <v>10</v>
      </c>
      <c r="E61" s="188">
        <v>10</v>
      </c>
      <c r="F61" s="188">
        <v>3020</v>
      </c>
      <c r="G61" s="190">
        <v>302</v>
      </c>
      <c r="H61" s="195">
        <v>0.024</v>
      </c>
      <c r="I61" s="188">
        <v>924</v>
      </c>
      <c r="J61" s="191">
        <v>38447</v>
      </c>
      <c r="K61" s="196">
        <v>89.4</v>
      </c>
      <c r="L61" s="186"/>
      <c r="M61" s="188">
        <v>55</v>
      </c>
      <c r="N61" s="188">
        <v>27</v>
      </c>
      <c r="O61" s="191">
        <v>175</v>
      </c>
      <c r="P61" s="191">
        <v>4</v>
      </c>
      <c r="Q61" s="188">
        <v>168</v>
      </c>
      <c r="R61" s="189">
        <v>0.2</v>
      </c>
      <c r="S61" s="192">
        <v>7200</v>
      </c>
      <c r="T61" s="188">
        <v>4381</v>
      </c>
      <c r="U61" s="188">
        <f>SUM($S$7:S61)</f>
        <v>166800</v>
      </c>
      <c r="V61" s="188">
        <v>19</v>
      </c>
      <c r="W61" s="191">
        <v>53</v>
      </c>
      <c r="X61" s="188"/>
      <c r="Y61" s="188">
        <f t="shared" si="3"/>
        <v>6000</v>
      </c>
      <c r="Z61" s="194">
        <f t="shared" si="2"/>
        <v>35.7142857142857</v>
      </c>
    </row>
    <row r="62" ht="17.25" spans="2:26">
      <c r="B62" s="188">
        <v>56</v>
      </c>
      <c r="C62" s="197"/>
      <c r="D62" s="192">
        <v>10</v>
      </c>
      <c r="E62" s="188">
        <v>10</v>
      </c>
      <c r="F62" s="188">
        <v>3120</v>
      </c>
      <c r="G62" s="190">
        <v>312</v>
      </c>
      <c r="H62" s="195">
        <v>0.024</v>
      </c>
      <c r="I62" s="188">
        <v>966</v>
      </c>
      <c r="J62" s="191">
        <v>40587</v>
      </c>
      <c r="K62" s="196">
        <v>93.6</v>
      </c>
      <c r="L62" s="186"/>
      <c r="M62" s="188">
        <v>56</v>
      </c>
      <c r="N62" s="188">
        <v>27</v>
      </c>
      <c r="O62" s="191">
        <v>175</v>
      </c>
      <c r="P62" s="191">
        <v>4</v>
      </c>
      <c r="Q62" s="188">
        <v>172</v>
      </c>
      <c r="R62" s="189">
        <v>0.19</v>
      </c>
      <c r="S62" s="192">
        <v>7800</v>
      </c>
      <c r="T62" s="188">
        <v>4553</v>
      </c>
      <c r="U62" s="188">
        <f>SUM($S$7:S62)</f>
        <v>174600</v>
      </c>
      <c r="V62" s="188">
        <v>20</v>
      </c>
      <c r="W62" s="191">
        <v>53</v>
      </c>
      <c r="X62" s="188"/>
      <c r="Y62" s="188">
        <f t="shared" si="3"/>
        <v>6600</v>
      </c>
      <c r="Z62" s="194">
        <f t="shared" si="2"/>
        <v>38.3720930232558</v>
      </c>
    </row>
    <row r="63" ht="17.25" spans="2:26">
      <c r="B63" s="188">
        <v>57</v>
      </c>
      <c r="C63" s="197"/>
      <c r="D63" s="192">
        <v>10</v>
      </c>
      <c r="E63" s="188">
        <v>10</v>
      </c>
      <c r="F63" s="188">
        <v>3220</v>
      </c>
      <c r="G63" s="190">
        <v>322</v>
      </c>
      <c r="H63" s="195">
        <v>0.024</v>
      </c>
      <c r="I63" s="188">
        <v>978</v>
      </c>
      <c r="J63" s="191">
        <v>41488</v>
      </c>
      <c r="K63" s="196">
        <v>94.8</v>
      </c>
      <c r="L63" s="186"/>
      <c r="M63" s="188">
        <v>57</v>
      </c>
      <c r="N63" s="188">
        <v>27</v>
      </c>
      <c r="O63" s="191">
        <v>175</v>
      </c>
      <c r="P63" s="191">
        <v>4</v>
      </c>
      <c r="Q63" s="188">
        <v>176</v>
      </c>
      <c r="R63" s="189">
        <v>0.19</v>
      </c>
      <c r="S63" s="192">
        <v>7800</v>
      </c>
      <c r="T63" s="188">
        <v>4729</v>
      </c>
      <c r="U63" s="188">
        <f>SUM($S$7:S63)</f>
        <v>182400</v>
      </c>
      <c r="V63" s="188">
        <v>21</v>
      </c>
      <c r="W63" s="191">
        <v>53</v>
      </c>
      <c r="X63" s="188"/>
      <c r="Y63" s="188">
        <f t="shared" si="3"/>
        <v>6600</v>
      </c>
      <c r="Z63" s="194">
        <f t="shared" si="2"/>
        <v>37.5</v>
      </c>
    </row>
    <row r="64" ht="17.25" spans="2:26">
      <c r="B64" s="188">
        <v>58</v>
      </c>
      <c r="C64" s="197">
        <v>364</v>
      </c>
      <c r="D64" s="192">
        <v>10</v>
      </c>
      <c r="E64" s="188">
        <v>10</v>
      </c>
      <c r="F64" s="188">
        <v>3320</v>
      </c>
      <c r="G64" s="190">
        <v>332</v>
      </c>
      <c r="H64" s="195">
        <v>0.023</v>
      </c>
      <c r="I64" s="188">
        <v>990</v>
      </c>
      <c r="J64" s="191">
        <v>42399</v>
      </c>
      <c r="K64" s="196">
        <v>99</v>
      </c>
      <c r="L64" s="186"/>
      <c r="M64" s="188">
        <v>58</v>
      </c>
      <c r="N64" s="188">
        <v>34</v>
      </c>
      <c r="O64" s="191">
        <v>245</v>
      </c>
      <c r="P64" s="191">
        <v>4</v>
      </c>
      <c r="Q64" s="188">
        <v>180</v>
      </c>
      <c r="R64" s="189">
        <v>0.19</v>
      </c>
      <c r="S64" s="192">
        <v>8400</v>
      </c>
      <c r="T64" s="188">
        <v>4909</v>
      </c>
      <c r="U64" s="188">
        <f>SUM($S$7:S64)</f>
        <v>190800</v>
      </c>
      <c r="V64" s="188">
        <v>22</v>
      </c>
      <c r="W64" s="191">
        <v>53</v>
      </c>
      <c r="X64" s="188"/>
      <c r="Y64" s="188">
        <f t="shared" si="3"/>
        <v>7200</v>
      </c>
      <c r="Z64" s="194">
        <f t="shared" si="2"/>
        <v>40</v>
      </c>
    </row>
    <row r="65" ht="17.25" spans="2:26">
      <c r="B65" s="188">
        <v>59</v>
      </c>
      <c r="C65" s="197"/>
      <c r="D65" s="192">
        <v>10</v>
      </c>
      <c r="E65" s="188">
        <v>10</v>
      </c>
      <c r="F65" s="188">
        <v>3420</v>
      </c>
      <c r="G65" s="190">
        <v>342</v>
      </c>
      <c r="H65" s="195">
        <v>0.023</v>
      </c>
      <c r="I65" s="188">
        <v>1032</v>
      </c>
      <c r="J65" s="191">
        <v>44617</v>
      </c>
      <c r="K65" s="196">
        <v>100.2</v>
      </c>
      <c r="L65" s="186"/>
      <c r="M65" s="188">
        <v>59</v>
      </c>
      <c r="N65" s="188">
        <v>34</v>
      </c>
      <c r="O65" s="191">
        <v>245</v>
      </c>
      <c r="P65" s="191">
        <v>4</v>
      </c>
      <c r="Q65" s="188">
        <v>184</v>
      </c>
      <c r="R65" s="189">
        <v>0.19</v>
      </c>
      <c r="S65" s="192">
        <v>8400</v>
      </c>
      <c r="T65" s="188">
        <v>5093</v>
      </c>
      <c r="U65" s="188">
        <f>SUM($S$7:S65)</f>
        <v>199200</v>
      </c>
      <c r="V65" s="188">
        <v>22</v>
      </c>
      <c r="W65" s="191">
        <v>53</v>
      </c>
      <c r="X65" s="188"/>
      <c r="Y65" s="188">
        <f t="shared" si="3"/>
        <v>7200</v>
      </c>
      <c r="Z65" s="194">
        <f t="shared" si="2"/>
        <v>39.1304347826087</v>
      </c>
    </row>
    <row r="66" ht="17.25" spans="2:26">
      <c r="B66" s="188">
        <v>60</v>
      </c>
      <c r="C66" s="197"/>
      <c r="D66" s="192">
        <v>10</v>
      </c>
      <c r="E66" s="188">
        <v>10</v>
      </c>
      <c r="F66" s="188">
        <v>3520</v>
      </c>
      <c r="G66" s="190">
        <v>352</v>
      </c>
      <c r="H66" s="195">
        <v>0.021</v>
      </c>
      <c r="I66" s="188">
        <v>1044</v>
      </c>
      <c r="J66" s="191">
        <v>50171</v>
      </c>
      <c r="K66" s="196">
        <v>104.4</v>
      </c>
      <c r="L66" s="186"/>
      <c r="M66" s="188">
        <v>60</v>
      </c>
      <c r="N66" s="188">
        <v>34</v>
      </c>
      <c r="O66" s="191">
        <v>245</v>
      </c>
      <c r="P66" s="191">
        <v>4</v>
      </c>
      <c r="Q66" s="188">
        <v>188</v>
      </c>
      <c r="R66" s="189">
        <v>0.19</v>
      </c>
      <c r="S66" s="192">
        <v>9000</v>
      </c>
      <c r="T66" s="188">
        <v>5281</v>
      </c>
      <c r="U66" s="188">
        <f>SUM($S$7:S66)</f>
        <v>208200</v>
      </c>
      <c r="V66" s="188">
        <v>23</v>
      </c>
      <c r="W66" s="191">
        <v>53</v>
      </c>
      <c r="X66" s="188"/>
      <c r="Y66" s="188">
        <f t="shared" si="3"/>
        <v>7800</v>
      </c>
      <c r="Z66" s="194">
        <f t="shared" si="2"/>
        <v>41.4893617021277</v>
      </c>
    </row>
    <row r="67" ht="17.25" spans="2:26">
      <c r="B67" s="188">
        <v>61</v>
      </c>
      <c r="C67" s="197"/>
      <c r="D67" s="192">
        <v>10</v>
      </c>
      <c r="E67" s="188">
        <v>10</v>
      </c>
      <c r="F67" s="188">
        <v>3620</v>
      </c>
      <c r="G67" s="190">
        <v>362</v>
      </c>
      <c r="H67" s="195">
        <v>0.021</v>
      </c>
      <c r="I67" s="188">
        <v>1056</v>
      </c>
      <c r="J67" s="191">
        <v>51176</v>
      </c>
      <c r="K67" s="196">
        <v>105.6</v>
      </c>
      <c r="L67" s="186"/>
      <c r="M67" s="188">
        <v>61</v>
      </c>
      <c r="N67" s="188">
        <v>34</v>
      </c>
      <c r="O67" s="191">
        <v>245</v>
      </c>
      <c r="P67" s="191">
        <v>4</v>
      </c>
      <c r="Q67" s="188">
        <v>192</v>
      </c>
      <c r="R67" s="189">
        <v>0.19</v>
      </c>
      <c r="S67" s="192">
        <v>9000</v>
      </c>
      <c r="T67" s="188">
        <v>5473</v>
      </c>
      <c r="U67" s="188">
        <f>SUM($S$7:S67)</f>
        <v>217200</v>
      </c>
      <c r="V67" s="188">
        <v>24</v>
      </c>
      <c r="W67" s="191">
        <v>53</v>
      </c>
      <c r="X67" s="188"/>
      <c r="Y67" s="188">
        <f t="shared" si="3"/>
        <v>7800</v>
      </c>
      <c r="Z67" s="194">
        <f t="shared" si="2"/>
        <v>40.625</v>
      </c>
    </row>
    <row r="68" ht="17.25" spans="2:26">
      <c r="B68" s="188">
        <v>62</v>
      </c>
      <c r="C68" s="197"/>
      <c r="D68" s="192">
        <v>10</v>
      </c>
      <c r="E68" s="188">
        <v>10</v>
      </c>
      <c r="F68" s="188">
        <v>3720</v>
      </c>
      <c r="G68" s="190">
        <v>372</v>
      </c>
      <c r="H68" s="195">
        <v>0.02</v>
      </c>
      <c r="I68" s="188">
        <v>1098</v>
      </c>
      <c r="J68" s="191">
        <v>53657</v>
      </c>
      <c r="K68" s="196">
        <v>109.8</v>
      </c>
      <c r="L68" s="186"/>
      <c r="M68" s="188">
        <v>62</v>
      </c>
      <c r="N68" s="188">
        <v>34</v>
      </c>
      <c r="O68" s="191">
        <v>245</v>
      </c>
      <c r="P68" s="191">
        <v>4</v>
      </c>
      <c r="Q68" s="188">
        <v>196</v>
      </c>
      <c r="R68" s="189">
        <v>0.2</v>
      </c>
      <c r="S68" s="192">
        <v>9600</v>
      </c>
      <c r="T68" s="188">
        <v>5669</v>
      </c>
      <c r="U68" s="188">
        <f>SUM($S$7:S68)</f>
        <v>226800</v>
      </c>
      <c r="V68" s="188">
        <v>25</v>
      </c>
      <c r="W68" s="191">
        <v>53</v>
      </c>
      <c r="X68" s="188"/>
      <c r="Y68" s="188">
        <f t="shared" si="3"/>
        <v>8400</v>
      </c>
      <c r="Z68" s="194">
        <f t="shared" si="2"/>
        <v>42.8571428571429</v>
      </c>
    </row>
    <row r="69" ht="17.25" spans="2:26">
      <c r="B69" s="188">
        <v>63</v>
      </c>
      <c r="C69" s="197"/>
      <c r="D69" s="192">
        <v>10</v>
      </c>
      <c r="E69" s="188">
        <v>10</v>
      </c>
      <c r="F69" s="188">
        <v>3820</v>
      </c>
      <c r="G69" s="190">
        <v>382</v>
      </c>
      <c r="H69" s="195">
        <v>0.02</v>
      </c>
      <c r="I69" s="188">
        <v>1110</v>
      </c>
      <c r="J69" s="191">
        <v>54694</v>
      </c>
      <c r="K69" s="196">
        <v>111</v>
      </c>
      <c r="L69" s="186"/>
      <c r="M69" s="188">
        <v>63</v>
      </c>
      <c r="N69" s="188">
        <v>41</v>
      </c>
      <c r="O69" s="191">
        <v>245</v>
      </c>
      <c r="P69" s="191">
        <v>4</v>
      </c>
      <c r="Q69" s="188">
        <v>200</v>
      </c>
      <c r="R69" s="189">
        <v>0.19</v>
      </c>
      <c r="S69" s="192">
        <v>9600</v>
      </c>
      <c r="T69" s="188">
        <v>5869</v>
      </c>
      <c r="U69" s="188">
        <f>SUM($S$7:S69)</f>
        <v>236400</v>
      </c>
      <c r="V69" s="188">
        <v>26</v>
      </c>
      <c r="W69" s="191">
        <v>53</v>
      </c>
      <c r="X69" s="188"/>
      <c r="Y69" s="188">
        <f t="shared" si="3"/>
        <v>8400</v>
      </c>
      <c r="Z69" s="194">
        <f t="shared" si="2"/>
        <v>42</v>
      </c>
    </row>
    <row r="70" ht="17.25" spans="2:26">
      <c r="B70" s="188">
        <v>64</v>
      </c>
      <c r="C70" s="197"/>
      <c r="D70" s="192">
        <v>10</v>
      </c>
      <c r="E70" s="188">
        <v>10</v>
      </c>
      <c r="F70" s="188">
        <v>3920</v>
      </c>
      <c r="G70" s="190">
        <v>392</v>
      </c>
      <c r="H70" s="195">
        <v>0.02</v>
      </c>
      <c r="I70" s="188">
        <v>1122</v>
      </c>
      <c r="J70" s="191">
        <v>55741</v>
      </c>
      <c r="K70" s="196">
        <v>115.2</v>
      </c>
      <c r="L70" s="186"/>
      <c r="M70" s="188">
        <v>64</v>
      </c>
      <c r="N70" s="188">
        <v>41</v>
      </c>
      <c r="O70" s="191">
        <v>245</v>
      </c>
      <c r="P70" s="191">
        <v>4</v>
      </c>
      <c r="Q70" s="188">
        <v>204</v>
      </c>
      <c r="R70" s="189">
        <v>0.19</v>
      </c>
      <c r="S70" s="192">
        <v>10200</v>
      </c>
      <c r="T70" s="188">
        <v>6073</v>
      </c>
      <c r="U70" s="188">
        <f>SUM($S$7:S70)</f>
        <v>246600</v>
      </c>
      <c r="V70" s="188">
        <v>27</v>
      </c>
      <c r="W70" s="191">
        <v>53</v>
      </c>
      <c r="X70" s="188"/>
      <c r="Y70" s="188">
        <f t="shared" si="3"/>
        <v>9000</v>
      </c>
      <c r="Z70" s="194">
        <f t="shared" si="2"/>
        <v>44.1176470588235</v>
      </c>
    </row>
    <row r="71" ht="17.25" spans="2:26">
      <c r="B71" s="188">
        <v>65</v>
      </c>
      <c r="C71" s="197"/>
      <c r="D71" s="192">
        <v>10</v>
      </c>
      <c r="E71" s="188">
        <v>10</v>
      </c>
      <c r="F71" s="188">
        <v>4020</v>
      </c>
      <c r="G71" s="190">
        <v>402</v>
      </c>
      <c r="H71" s="195">
        <v>0.02</v>
      </c>
      <c r="I71" s="188">
        <v>1164</v>
      </c>
      <c r="J71" s="191">
        <v>58300</v>
      </c>
      <c r="K71" s="196">
        <v>116.4</v>
      </c>
      <c r="L71" s="186"/>
      <c r="M71" s="188">
        <v>65</v>
      </c>
      <c r="N71" s="188">
        <v>41</v>
      </c>
      <c r="O71" s="191">
        <v>245</v>
      </c>
      <c r="P71" s="191">
        <v>4</v>
      </c>
      <c r="Q71" s="188">
        <v>208</v>
      </c>
      <c r="R71" s="189">
        <v>0.19</v>
      </c>
      <c r="S71" s="192">
        <v>10200</v>
      </c>
      <c r="T71" s="188">
        <v>6281</v>
      </c>
      <c r="U71" s="188">
        <f>SUM($S$7:S71)</f>
        <v>256800</v>
      </c>
      <c r="V71" s="188">
        <v>28</v>
      </c>
      <c r="W71" s="191">
        <v>53</v>
      </c>
      <c r="X71" s="188"/>
      <c r="Y71" s="188">
        <f t="shared" si="3"/>
        <v>9000</v>
      </c>
      <c r="Z71" s="194">
        <f t="shared" si="2"/>
        <v>43.2692307692308</v>
      </c>
    </row>
    <row r="72" ht="17.25" spans="2:26">
      <c r="B72" s="188">
        <v>66</v>
      </c>
      <c r="C72" s="197"/>
      <c r="D72" s="192">
        <v>10</v>
      </c>
      <c r="E72" s="188">
        <v>10</v>
      </c>
      <c r="F72" s="188">
        <v>4120</v>
      </c>
      <c r="G72" s="190">
        <v>412</v>
      </c>
      <c r="H72" s="195">
        <v>0.02</v>
      </c>
      <c r="I72" s="188">
        <v>1176</v>
      </c>
      <c r="J72" s="191">
        <v>59379</v>
      </c>
      <c r="K72" s="196">
        <v>120.6</v>
      </c>
      <c r="L72" s="186"/>
      <c r="M72" s="188">
        <v>66</v>
      </c>
      <c r="N72" s="188">
        <v>41</v>
      </c>
      <c r="O72" s="191">
        <v>245</v>
      </c>
      <c r="P72" s="191">
        <v>4</v>
      </c>
      <c r="Q72" s="188">
        <v>212</v>
      </c>
      <c r="R72" s="189">
        <v>0.19</v>
      </c>
      <c r="S72" s="192">
        <v>10800</v>
      </c>
      <c r="T72" s="188">
        <v>6493</v>
      </c>
      <c r="U72" s="188">
        <f>SUM($S$7:S72)</f>
        <v>267600</v>
      </c>
      <c r="V72" s="188">
        <v>29</v>
      </c>
      <c r="W72" s="191">
        <v>52</v>
      </c>
      <c r="X72" s="188"/>
      <c r="Y72" s="188">
        <f t="shared" si="3"/>
        <v>9600</v>
      </c>
      <c r="Z72" s="194">
        <f t="shared" si="2"/>
        <v>45.2830188679245</v>
      </c>
    </row>
    <row r="73" ht="17.25" spans="2:26">
      <c r="B73" s="188">
        <v>67</v>
      </c>
      <c r="C73" s="197"/>
      <c r="D73" s="192">
        <v>10</v>
      </c>
      <c r="E73" s="188">
        <v>10</v>
      </c>
      <c r="F73" s="188">
        <v>4220</v>
      </c>
      <c r="G73" s="190">
        <v>422</v>
      </c>
      <c r="H73" s="195">
        <v>0.02</v>
      </c>
      <c r="I73" s="188">
        <v>1188</v>
      </c>
      <c r="J73" s="191">
        <v>60467</v>
      </c>
      <c r="K73" s="196">
        <v>121.8</v>
      </c>
      <c r="L73" s="186"/>
      <c r="M73" s="188">
        <v>67</v>
      </c>
      <c r="N73" s="188">
        <v>41</v>
      </c>
      <c r="O73" s="191">
        <v>245</v>
      </c>
      <c r="P73" s="191">
        <v>4</v>
      </c>
      <c r="Q73" s="188">
        <v>216</v>
      </c>
      <c r="R73" s="189">
        <v>0.19</v>
      </c>
      <c r="S73" s="192">
        <v>10800</v>
      </c>
      <c r="T73" s="188">
        <v>6709</v>
      </c>
      <c r="U73" s="188">
        <f>SUM($S$7:S73)</f>
        <v>278400</v>
      </c>
      <c r="V73" s="188">
        <v>30</v>
      </c>
      <c r="W73" s="191">
        <v>52</v>
      </c>
      <c r="X73" s="188"/>
      <c r="Y73" s="188">
        <f t="shared" si="3"/>
        <v>9600</v>
      </c>
      <c r="Z73" s="194">
        <f t="shared" si="2"/>
        <v>44.4444444444444</v>
      </c>
    </row>
    <row r="74" ht="17.25" spans="2:26">
      <c r="B74" s="188">
        <v>68</v>
      </c>
      <c r="C74" s="197"/>
      <c r="D74" s="192">
        <v>10</v>
      </c>
      <c r="E74" s="188">
        <v>10</v>
      </c>
      <c r="F74" s="188">
        <v>4320</v>
      </c>
      <c r="G74" s="190">
        <v>432</v>
      </c>
      <c r="H74" s="195">
        <v>0.019</v>
      </c>
      <c r="I74" s="188">
        <v>1230</v>
      </c>
      <c r="J74" s="191">
        <v>63104</v>
      </c>
      <c r="K74" s="196">
        <v>126</v>
      </c>
      <c r="L74" s="186"/>
      <c r="M74" s="188">
        <v>68</v>
      </c>
      <c r="N74" s="188">
        <v>48</v>
      </c>
      <c r="O74" s="191">
        <v>245</v>
      </c>
      <c r="P74" s="191">
        <v>4</v>
      </c>
      <c r="Q74" s="188">
        <v>220</v>
      </c>
      <c r="R74" s="189">
        <v>0.19</v>
      </c>
      <c r="S74" s="192">
        <v>11400</v>
      </c>
      <c r="T74" s="188">
        <v>6929</v>
      </c>
      <c r="U74" s="188">
        <f>SUM($S$7:S74)</f>
        <v>289800</v>
      </c>
      <c r="V74" s="188">
        <v>31</v>
      </c>
      <c r="W74" s="191">
        <v>52</v>
      </c>
      <c r="X74" s="188"/>
      <c r="Y74" s="188">
        <f t="shared" si="3"/>
        <v>10200</v>
      </c>
      <c r="Z74" s="194">
        <f t="shared" si="2"/>
        <v>46.3636363636364</v>
      </c>
    </row>
    <row r="75" ht="17.25" spans="2:26">
      <c r="B75" s="188">
        <v>69</v>
      </c>
      <c r="C75" s="197"/>
      <c r="D75" s="192">
        <v>10</v>
      </c>
      <c r="E75" s="188">
        <v>10</v>
      </c>
      <c r="F75" s="188">
        <v>4420</v>
      </c>
      <c r="G75" s="190">
        <v>442</v>
      </c>
      <c r="H75" s="195">
        <v>0.019</v>
      </c>
      <c r="I75" s="188">
        <v>1242</v>
      </c>
      <c r="J75" s="191">
        <v>64224</v>
      </c>
      <c r="K75" s="196">
        <v>127.2</v>
      </c>
      <c r="L75" s="186"/>
      <c r="M75" s="188">
        <v>69</v>
      </c>
      <c r="N75" s="188">
        <v>48</v>
      </c>
      <c r="O75" s="191">
        <v>245</v>
      </c>
      <c r="P75" s="191">
        <v>4</v>
      </c>
      <c r="Q75" s="188">
        <v>224</v>
      </c>
      <c r="R75" s="189">
        <v>0.18</v>
      </c>
      <c r="S75" s="192">
        <v>11400</v>
      </c>
      <c r="T75" s="188">
        <v>7153</v>
      </c>
      <c r="U75" s="188">
        <f>SUM($S$7:S75)</f>
        <v>301200</v>
      </c>
      <c r="V75" s="188">
        <v>32</v>
      </c>
      <c r="W75" s="191">
        <v>52</v>
      </c>
      <c r="X75" s="188"/>
      <c r="Y75" s="188">
        <f t="shared" si="3"/>
        <v>10200</v>
      </c>
      <c r="Z75" s="194">
        <f t="shared" si="2"/>
        <v>45.5357142857143</v>
      </c>
    </row>
    <row r="76" ht="17.25" spans="2:26">
      <c r="B76" s="188">
        <v>70</v>
      </c>
      <c r="C76" s="197"/>
      <c r="D76" s="192">
        <v>12</v>
      </c>
      <c r="E76" s="188">
        <v>12</v>
      </c>
      <c r="F76" s="188">
        <v>4540</v>
      </c>
      <c r="G76" s="190">
        <v>454</v>
      </c>
      <c r="H76" s="195">
        <v>0.021</v>
      </c>
      <c r="I76" s="188">
        <v>1254</v>
      </c>
      <c r="J76" s="191">
        <v>59798</v>
      </c>
      <c r="K76" s="196">
        <v>109.5</v>
      </c>
      <c r="L76" s="186"/>
      <c r="M76" s="188">
        <v>70</v>
      </c>
      <c r="N76" s="188">
        <v>48</v>
      </c>
      <c r="O76" s="191">
        <v>245</v>
      </c>
      <c r="P76" s="191">
        <v>4</v>
      </c>
      <c r="Q76" s="188">
        <v>228</v>
      </c>
      <c r="R76" s="189">
        <v>0.18</v>
      </c>
      <c r="S76" s="192">
        <v>12000</v>
      </c>
      <c r="T76" s="188">
        <v>7381</v>
      </c>
      <c r="U76" s="188">
        <f>SUM($S$7:S76)</f>
        <v>313200</v>
      </c>
      <c r="V76" s="188">
        <v>33</v>
      </c>
      <c r="W76" s="191">
        <v>52</v>
      </c>
      <c r="X76" s="188"/>
      <c r="Y76" s="188">
        <f t="shared" si="3"/>
        <v>10800</v>
      </c>
      <c r="Z76" s="194">
        <f t="shared" si="2"/>
        <v>47.3684210526316</v>
      </c>
    </row>
    <row r="77" ht="17.25" spans="2:26">
      <c r="B77" s="188">
        <v>71</v>
      </c>
      <c r="C77" s="197"/>
      <c r="D77" s="192">
        <v>12</v>
      </c>
      <c r="E77" s="188">
        <v>12</v>
      </c>
      <c r="F77" s="188">
        <v>4660</v>
      </c>
      <c r="G77" s="190">
        <v>466</v>
      </c>
      <c r="H77" s="195">
        <v>0.021</v>
      </c>
      <c r="I77" s="188">
        <v>1296</v>
      </c>
      <c r="J77" s="191">
        <v>62327</v>
      </c>
      <c r="K77" s="196">
        <v>110.5</v>
      </c>
      <c r="L77" s="186"/>
      <c r="M77" s="188">
        <v>71</v>
      </c>
      <c r="N77" s="188">
        <v>48</v>
      </c>
      <c r="O77" s="191">
        <v>245</v>
      </c>
      <c r="P77" s="191">
        <v>4</v>
      </c>
      <c r="Q77" s="188">
        <v>232</v>
      </c>
      <c r="R77" s="189">
        <v>0.18</v>
      </c>
      <c r="S77" s="192">
        <v>12000</v>
      </c>
      <c r="T77" s="188">
        <v>7613</v>
      </c>
      <c r="U77" s="188">
        <f>SUM($S$7:S77)</f>
        <v>325200</v>
      </c>
      <c r="V77" s="188">
        <v>34</v>
      </c>
      <c r="W77" s="191">
        <v>52</v>
      </c>
      <c r="X77" s="188"/>
      <c r="Y77" s="188">
        <f t="shared" si="3"/>
        <v>10800</v>
      </c>
      <c r="Z77" s="194">
        <f t="shared" si="2"/>
        <v>46.551724137931</v>
      </c>
    </row>
    <row r="78" ht="17.25" spans="2:26">
      <c r="B78" s="188">
        <v>72</v>
      </c>
      <c r="C78" s="197"/>
      <c r="D78" s="192">
        <v>12</v>
      </c>
      <c r="E78" s="188">
        <v>12</v>
      </c>
      <c r="F78" s="188">
        <v>4780</v>
      </c>
      <c r="G78" s="190">
        <v>478</v>
      </c>
      <c r="H78" s="195">
        <v>0.021</v>
      </c>
      <c r="I78" s="188">
        <v>1308</v>
      </c>
      <c r="J78" s="191">
        <v>63435</v>
      </c>
      <c r="K78" s="196">
        <v>114</v>
      </c>
      <c r="L78" s="186"/>
      <c r="M78" s="188">
        <v>72</v>
      </c>
      <c r="N78" s="188">
        <v>48</v>
      </c>
      <c r="O78" s="191">
        <v>245</v>
      </c>
      <c r="P78" s="191">
        <v>4</v>
      </c>
      <c r="Q78" s="188">
        <v>236</v>
      </c>
      <c r="R78" s="189">
        <v>0.17</v>
      </c>
      <c r="S78" s="192">
        <v>12600</v>
      </c>
      <c r="T78" s="188">
        <v>7849</v>
      </c>
      <c r="U78" s="188">
        <f>SUM($S$7:S78)</f>
        <v>337800</v>
      </c>
      <c r="V78" s="188">
        <v>35</v>
      </c>
      <c r="W78" s="191">
        <v>52</v>
      </c>
      <c r="X78" s="188"/>
      <c r="Y78" s="188">
        <f t="shared" si="3"/>
        <v>11400</v>
      </c>
      <c r="Z78" s="194">
        <f t="shared" si="2"/>
        <v>48.3050847457627</v>
      </c>
    </row>
    <row r="79" ht="17.25" spans="2:26">
      <c r="B79" s="188">
        <v>73</v>
      </c>
      <c r="C79" s="197"/>
      <c r="D79" s="192">
        <v>12</v>
      </c>
      <c r="E79" s="188">
        <v>12</v>
      </c>
      <c r="F79" s="188">
        <v>4900</v>
      </c>
      <c r="G79" s="190">
        <v>490</v>
      </c>
      <c r="H79" s="195">
        <v>0.02</v>
      </c>
      <c r="I79" s="188">
        <v>1320</v>
      </c>
      <c r="J79" s="191">
        <v>64552</v>
      </c>
      <c r="K79" s="196">
        <v>115</v>
      </c>
      <c r="L79" s="186"/>
      <c r="M79" s="188">
        <v>73</v>
      </c>
      <c r="N79" s="188">
        <v>55</v>
      </c>
      <c r="O79" s="191">
        <v>245</v>
      </c>
      <c r="P79" s="191">
        <v>4</v>
      </c>
      <c r="Q79" s="188">
        <v>240</v>
      </c>
      <c r="R79" s="189">
        <v>0.17</v>
      </c>
      <c r="S79" s="192">
        <v>12600</v>
      </c>
      <c r="T79" s="188">
        <v>8089</v>
      </c>
      <c r="U79" s="188">
        <f>SUM($S$7:S79)</f>
        <v>350400</v>
      </c>
      <c r="V79" s="188">
        <v>36</v>
      </c>
      <c r="W79" s="191">
        <v>52</v>
      </c>
      <c r="X79" s="188"/>
      <c r="Y79" s="188">
        <f t="shared" si="3"/>
        <v>11400</v>
      </c>
      <c r="Z79" s="194">
        <f t="shared" si="2"/>
        <v>47.5</v>
      </c>
    </row>
    <row r="80" ht="17.25" spans="2:26">
      <c r="B80" s="188">
        <v>74</v>
      </c>
      <c r="C80" s="197"/>
      <c r="D80" s="192">
        <v>12</v>
      </c>
      <c r="E80" s="188">
        <v>12</v>
      </c>
      <c r="F80" s="188">
        <v>5020</v>
      </c>
      <c r="G80" s="190">
        <v>502</v>
      </c>
      <c r="H80" s="195">
        <v>0.02</v>
      </c>
      <c r="I80" s="188">
        <v>1362</v>
      </c>
      <c r="J80" s="191">
        <v>67159</v>
      </c>
      <c r="K80" s="196">
        <v>118.5</v>
      </c>
      <c r="L80" s="186"/>
      <c r="M80" s="188">
        <v>74</v>
      </c>
      <c r="N80" s="188">
        <v>55</v>
      </c>
      <c r="O80" s="191">
        <v>245</v>
      </c>
      <c r="P80" s="191">
        <v>4</v>
      </c>
      <c r="Q80" s="188">
        <v>244</v>
      </c>
      <c r="R80" s="189">
        <v>0.16</v>
      </c>
      <c r="S80" s="192">
        <v>13200</v>
      </c>
      <c r="T80" s="188">
        <v>8333</v>
      </c>
      <c r="U80" s="188">
        <f>SUM($S$7:S80)</f>
        <v>363600</v>
      </c>
      <c r="V80" s="188">
        <v>37</v>
      </c>
      <c r="W80" s="191">
        <v>52</v>
      </c>
      <c r="X80" s="188"/>
      <c r="Y80" s="188">
        <f t="shared" si="3"/>
        <v>12000</v>
      </c>
      <c r="Z80" s="194">
        <f t="shared" si="2"/>
        <v>49.1803278688525</v>
      </c>
    </row>
    <row r="81" ht="17.25" spans="2:26">
      <c r="B81" s="188">
        <v>75</v>
      </c>
      <c r="C81" s="197"/>
      <c r="D81" s="192">
        <v>12</v>
      </c>
      <c r="E81" s="188">
        <v>12</v>
      </c>
      <c r="F81" s="188">
        <v>5140</v>
      </c>
      <c r="G81" s="190">
        <v>514</v>
      </c>
      <c r="H81" s="195">
        <v>0.02</v>
      </c>
      <c r="I81" s="188">
        <v>1374</v>
      </c>
      <c r="J81" s="191">
        <v>68309</v>
      </c>
      <c r="K81" s="196">
        <v>119.5</v>
      </c>
      <c r="L81" s="186"/>
      <c r="M81" s="188">
        <v>75</v>
      </c>
      <c r="N81" s="188">
        <v>55</v>
      </c>
      <c r="O81" s="191">
        <v>245</v>
      </c>
      <c r="P81" s="191">
        <v>4</v>
      </c>
      <c r="Q81" s="188">
        <v>248</v>
      </c>
      <c r="R81" s="189">
        <v>0.16</v>
      </c>
      <c r="S81" s="192">
        <v>13200</v>
      </c>
      <c r="T81" s="188">
        <v>8581</v>
      </c>
      <c r="U81" s="188">
        <f>SUM($S$7:S81)</f>
        <v>376800</v>
      </c>
      <c r="V81" s="188">
        <v>38</v>
      </c>
      <c r="W81" s="191">
        <v>52</v>
      </c>
      <c r="X81" s="188"/>
      <c r="Y81" s="188">
        <f t="shared" si="3"/>
        <v>12000</v>
      </c>
      <c r="Z81" s="194">
        <f t="shared" si="2"/>
        <v>48.3870967741936</v>
      </c>
    </row>
    <row r="82" ht="17.25" spans="2:26">
      <c r="B82" s="188">
        <v>76</v>
      </c>
      <c r="C82" s="197"/>
      <c r="D82" s="192">
        <v>12</v>
      </c>
      <c r="E82" s="188">
        <v>12</v>
      </c>
      <c r="F82" s="188">
        <v>5260</v>
      </c>
      <c r="G82" s="190">
        <v>526</v>
      </c>
      <c r="H82" s="195">
        <v>0.02</v>
      </c>
      <c r="I82" s="188">
        <v>1386</v>
      </c>
      <c r="J82" s="191">
        <v>69468</v>
      </c>
      <c r="K82" s="196">
        <v>123</v>
      </c>
      <c r="L82" s="186"/>
      <c r="M82" s="188">
        <v>76</v>
      </c>
      <c r="N82" s="188">
        <v>55</v>
      </c>
      <c r="O82" s="191">
        <v>245</v>
      </c>
      <c r="P82" s="191">
        <v>4</v>
      </c>
      <c r="Q82" s="188">
        <v>252</v>
      </c>
      <c r="R82" s="189">
        <v>0.16</v>
      </c>
      <c r="S82" s="192">
        <v>13800</v>
      </c>
      <c r="T82" s="188">
        <v>8833</v>
      </c>
      <c r="U82" s="188">
        <f>SUM($S$7:S82)</f>
        <v>390600</v>
      </c>
      <c r="V82" s="188">
        <v>39</v>
      </c>
      <c r="W82" s="191">
        <v>52</v>
      </c>
      <c r="X82" s="188"/>
      <c r="Y82" s="188">
        <f t="shared" si="3"/>
        <v>12600</v>
      </c>
      <c r="Z82" s="194">
        <f t="shared" si="2"/>
        <v>50</v>
      </c>
    </row>
    <row r="83" ht="17.25" spans="2:26">
      <c r="B83" s="188">
        <v>77</v>
      </c>
      <c r="C83" s="197"/>
      <c r="D83" s="192">
        <v>12</v>
      </c>
      <c r="E83" s="188">
        <v>12</v>
      </c>
      <c r="F83" s="188">
        <v>5380</v>
      </c>
      <c r="G83" s="190">
        <v>538</v>
      </c>
      <c r="H83" s="195">
        <v>0.02</v>
      </c>
      <c r="I83" s="188">
        <v>1428</v>
      </c>
      <c r="J83" s="191">
        <v>72153</v>
      </c>
      <c r="K83" s="196">
        <v>124</v>
      </c>
      <c r="L83" s="186"/>
      <c r="M83" s="188">
        <v>77</v>
      </c>
      <c r="N83" s="188">
        <v>55</v>
      </c>
      <c r="O83" s="191">
        <v>245</v>
      </c>
      <c r="P83" s="191">
        <v>4</v>
      </c>
      <c r="Q83" s="188">
        <v>256</v>
      </c>
      <c r="R83" s="189">
        <v>0.15</v>
      </c>
      <c r="S83" s="192">
        <v>13800</v>
      </c>
      <c r="T83" s="188">
        <v>9089</v>
      </c>
      <c r="U83" s="188">
        <f>SUM($S$7:S83)</f>
        <v>404400</v>
      </c>
      <c r="V83" s="188">
        <v>40</v>
      </c>
      <c r="W83" s="191">
        <v>52</v>
      </c>
      <c r="X83" s="188"/>
      <c r="Y83" s="188">
        <f t="shared" si="3"/>
        <v>12600</v>
      </c>
      <c r="Z83" s="194">
        <f t="shared" si="2"/>
        <v>49.21875</v>
      </c>
    </row>
    <row r="84" ht="17.25" spans="2:26">
      <c r="B84" s="188">
        <v>78</v>
      </c>
      <c r="C84" s="197"/>
      <c r="D84" s="192">
        <v>12</v>
      </c>
      <c r="E84" s="188">
        <v>12</v>
      </c>
      <c r="F84" s="188">
        <v>5500</v>
      </c>
      <c r="G84" s="190">
        <v>550</v>
      </c>
      <c r="H84" s="195">
        <v>0.02</v>
      </c>
      <c r="I84" s="188">
        <v>1440</v>
      </c>
      <c r="J84" s="191">
        <v>73344</v>
      </c>
      <c r="K84" s="196">
        <v>127.5</v>
      </c>
      <c r="L84" s="186"/>
      <c r="M84" s="188">
        <v>78</v>
      </c>
      <c r="N84" s="188">
        <v>62</v>
      </c>
      <c r="O84" s="191">
        <v>406</v>
      </c>
      <c r="P84" s="191">
        <v>4</v>
      </c>
      <c r="Q84" s="188">
        <v>260</v>
      </c>
      <c r="R84" s="189">
        <v>0.16</v>
      </c>
      <c r="S84" s="192">
        <v>14400</v>
      </c>
      <c r="T84" s="188">
        <v>9349</v>
      </c>
      <c r="U84" s="188">
        <f>SUM($S$7:S84)</f>
        <v>418800</v>
      </c>
      <c r="V84" s="188">
        <v>41</v>
      </c>
      <c r="W84" s="191">
        <v>52</v>
      </c>
      <c r="X84" s="188"/>
      <c r="Y84" s="188">
        <f t="shared" si="3"/>
        <v>13200</v>
      </c>
      <c r="Z84" s="194">
        <f t="shared" si="2"/>
        <v>50.7692307692308</v>
      </c>
    </row>
    <row r="85" ht="17.25" spans="2:26">
      <c r="B85" s="188">
        <v>79</v>
      </c>
      <c r="C85" s="197"/>
      <c r="D85" s="192">
        <v>12</v>
      </c>
      <c r="E85" s="188">
        <v>12</v>
      </c>
      <c r="F85" s="188">
        <v>5620</v>
      </c>
      <c r="G85" s="190">
        <v>562</v>
      </c>
      <c r="H85" s="195">
        <v>0.019</v>
      </c>
      <c r="I85" s="188">
        <v>1452</v>
      </c>
      <c r="J85" s="191">
        <v>74544</v>
      </c>
      <c r="K85" s="196">
        <v>128.5</v>
      </c>
      <c r="L85" s="186"/>
      <c r="M85" s="188">
        <v>79</v>
      </c>
      <c r="N85" s="188">
        <v>62</v>
      </c>
      <c r="O85" s="191">
        <v>406</v>
      </c>
      <c r="P85" s="191">
        <v>4</v>
      </c>
      <c r="Q85" s="188">
        <v>264</v>
      </c>
      <c r="R85" s="189">
        <v>0.17</v>
      </c>
      <c r="S85" s="192">
        <v>14400</v>
      </c>
      <c r="T85" s="188">
        <v>9613</v>
      </c>
      <c r="U85" s="188">
        <f>SUM($S$7:S85)</f>
        <v>433200</v>
      </c>
      <c r="V85" s="188">
        <v>43</v>
      </c>
      <c r="W85" s="191">
        <v>52</v>
      </c>
      <c r="X85" s="188"/>
      <c r="Y85" s="188">
        <f t="shared" si="3"/>
        <v>13200</v>
      </c>
      <c r="Z85" s="194">
        <f t="shared" si="2"/>
        <v>50</v>
      </c>
    </row>
    <row r="86" ht="17.25" spans="2:26">
      <c r="B86" s="188">
        <v>80</v>
      </c>
      <c r="C86" s="197"/>
      <c r="D86" s="192">
        <v>16</v>
      </c>
      <c r="E86" s="188">
        <v>16</v>
      </c>
      <c r="F86" s="188">
        <v>5780</v>
      </c>
      <c r="G86" s="190">
        <v>578</v>
      </c>
      <c r="H86" s="195">
        <v>0.017</v>
      </c>
      <c r="I86" s="188">
        <v>1494</v>
      </c>
      <c r="J86" s="191">
        <v>87088</v>
      </c>
      <c r="K86" s="196">
        <v>99</v>
      </c>
      <c r="L86" s="186"/>
      <c r="M86" s="188">
        <v>80</v>
      </c>
      <c r="N86" s="188">
        <v>62</v>
      </c>
      <c r="O86" s="191">
        <v>406</v>
      </c>
      <c r="P86" s="191">
        <v>4</v>
      </c>
      <c r="Q86" s="188">
        <v>268</v>
      </c>
      <c r="R86" s="189">
        <v>0.17</v>
      </c>
      <c r="S86" s="192">
        <v>15000</v>
      </c>
      <c r="T86" s="188">
        <v>9881</v>
      </c>
      <c r="U86" s="188">
        <f>SUM($S$7:S86)</f>
        <v>448200</v>
      </c>
      <c r="V86" s="188">
        <v>44</v>
      </c>
      <c r="W86" s="191">
        <v>52</v>
      </c>
      <c r="X86" s="188"/>
      <c r="Y86" s="188">
        <f t="shared" si="3"/>
        <v>13800</v>
      </c>
      <c r="Z86" s="194">
        <f t="shared" si="2"/>
        <v>51.4925373134328</v>
      </c>
    </row>
    <row r="87" ht="17.25" spans="2:26">
      <c r="B87" s="188">
        <v>81</v>
      </c>
      <c r="C87" s="197"/>
      <c r="D87" s="192">
        <v>16</v>
      </c>
      <c r="E87" s="188">
        <v>16</v>
      </c>
      <c r="F87" s="188">
        <v>5940</v>
      </c>
      <c r="G87" s="190">
        <v>594</v>
      </c>
      <c r="H87" s="195">
        <v>0.017</v>
      </c>
      <c r="I87" s="188">
        <v>1506</v>
      </c>
      <c r="J87" s="191">
        <v>88399</v>
      </c>
      <c r="K87" s="196">
        <v>102.25</v>
      </c>
      <c r="L87" s="186"/>
      <c r="M87" s="188">
        <v>81</v>
      </c>
      <c r="N87" s="188">
        <v>90</v>
      </c>
      <c r="O87" s="191">
        <v>429</v>
      </c>
      <c r="P87" s="191">
        <v>4</v>
      </c>
      <c r="Q87" s="188">
        <v>272</v>
      </c>
      <c r="R87" s="189">
        <v>0.18</v>
      </c>
      <c r="S87" s="192">
        <v>15800</v>
      </c>
      <c r="T87" s="188">
        <v>10153</v>
      </c>
      <c r="U87" s="188">
        <f>SUM($S$7:S87)</f>
        <v>464000</v>
      </c>
      <c r="V87" s="188">
        <v>45</v>
      </c>
      <c r="W87" s="191">
        <v>52</v>
      </c>
      <c r="X87" s="188">
        <v>19200</v>
      </c>
      <c r="Y87" s="188">
        <f t="shared" ref="Y87:Y150" si="4">Y86+800</f>
        <v>14600</v>
      </c>
      <c r="Z87" s="194">
        <f t="shared" si="2"/>
        <v>53.6764705882353</v>
      </c>
    </row>
    <row r="88" ht="17.25" spans="2:26">
      <c r="B88" s="188">
        <v>82</v>
      </c>
      <c r="C88" s="197"/>
      <c r="D88" s="192">
        <v>16</v>
      </c>
      <c r="E88" s="188">
        <v>16</v>
      </c>
      <c r="F88" s="188">
        <v>6100</v>
      </c>
      <c r="G88" s="190">
        <v>610</v>
      </c>
      <c r="H88" s="195">
        <v>0.017</v>
      </c>
      <c r="I88" s="188">
        <v>1518</v>
      </c>
      <c r="J88" s="191">
        <v>89720</v>
      </c>
      <c r="K88" s="196">
        <v>105.5</v>
      </c>
      <c r="L88" s="186"/>
      <c r="M88" s="188">
        <v>82</v>
      </c>
      <c r="N88" s="188">
        <v>90</v>
      </c>
      <c r="O88" s="191">
        <v>429</v>
      </c>
      <c r="P88" s="191">
        <v>4</v>
      </c>
      <c r="Q88" s="188">
        <v>276</v>
      </c>
      <c r="R88" s="189">
        <v>0.18</v>
      </c>
      <c r="S88" s="192">
        <v>16600</v>
      </c>
      <c r="T88" s="188">
        <v>10429</v>
      </c>
      <c r="U88" s="188">
        <f>SUM($S$7:S88)</f>
        <v>480600</v>
      </c>
      <c r="V88" s="188">
        <v>47</v>
      </c>
      <c r="W88" s="191">
        <v>52</v>
      </c>
      <c r="X88" s="188">
        <v>20000</v>
      </c>
      <c r="Y88" s="188">
        <f t="shared" si="4"/>
        <v>15400</v>
      </c>
      <c r="Z88" s="194">
        <f t="shared" si="2"/>
        <v>55.7971014492754</v>
      </c>
    </row>
    <row r="89" ht="17.25" spans="2:26">
      <c r="B89" s="188">
        <v>83</v>
      </c>
      <c r="C89" s="197"/>
      <c r="D89" s="192">
        <v>16</v>
      </c>
      <c r="E89" s="188">
        <v>16</v>
      </c>
      <c r="F89" s="188">
        <v>6260</v>
      </c>
      <c r="G89" s="190">
        <v>626</v>
      </c>
      <c r="H89" s="195">
        <v>0.017</v>
      </c>
      <c r="I89" s="188">
        <v>1560</v>
      </c>
      <c r="J89" s="191">
        <v>92835</v>
      </c>
      <c r="K89" s="196">
        <v>108.75</v>
      </c>
      <c r="L89" s="186"/>
      <c r="M89" s="188">
        <v>83</v>
      </c>
      <c r="N89" s="188">
        <v>90</v>
      </c>
      <c r="O89" s="191">
        <v>429</v>
      </c>
      <c r="P89" s="191">
        <v>4</v>
      </c>
      <c r="Q89" s="188">
        <v>280</v>
      </c>
      <c r="R89" s="189">
        <v>0.19</v>
      </c>
      <c r="S89" s="192">
        <v>17400</v>
      </c>
      <c r="T89" s="188">
        <v>10709</v>
      </c>
      <c r="U89" s="188">
        <f>SUM($S$7:S89)</f>
        <v>498000</v>
      </c>
      <c r="V89" s="188">
        <v>48</v>
      </c>
      <c r="W89" s="191">
        <v>52</v>
      </c>
      <c r="X89" s="188">
        <v>20800</v>
      </c>
      <c r="Y89" s="188">
        <f t="shared" si="4"/>
        <v>16200</v>
      </c>
      <c r="Z89" s="194">
        <f t="shared" si="2"/>
        <v>57.8571428571429</v>
      </c>
    </row>
    <row r="90" ht="17.25" spans="2:26">
      <c r="B90" s="188">
        <v>84</v>
      </c>
      <c r="C90" s="197"/>
      <c r="D90" s="192">
        <v>16</v>
      </c>
      <c r="E90" s="188">
        <v>16</v>
      </c>
      <c r="F90" s="188">
        <v>6420</v>
      </c>
      <c r="G90" s="190">
        <v>642</v>
      </c>
      <c r="H90" s="195">
        <v>0.017</v>
      </c>
      <c r="I90" s="188">
        <v>1572</v>
      </c>
      <c r="J90" s="191">
        <v>94188</v>
      </c>
      <c r="K90" s="196">
        <v>112</v>
      </c>
      <c r="L90" s="186"/>
      <c r="M90" s="188">
        <v>84</v>
      </c>
      <c r="N90" s="188">
        <v>90</v>
      </c>
      <c r="O90" s="191">
        <v>429</v>
      </c>
      <c r="P90" s="191">
        <v>4</v>
      </c>
      <c r="Q90" s="188">
        <v>284</v>
      </c>
      <c r="R90" s="189">
        <v>0.19</v>
      </c>
      <c r="S90" s="192">
        <v>18200</v>
      </c>
      <c r="T90" s="188">
        <v>10993</v>
      </c>
      <c r="U90" s="188">
        <f>SUM($S$7:S90)</f>
        <v>516200</v>
      </c>
      <c r="V90" s="188">
        <v>49</v>
      </c>
      <c r="W90" s="191">
        <v>52</v>
      </c>
      <c r="X90" s="188">
        <v>21600</v>
      </c>
      <c r="Y90" s="188">
        <f t="shared" si="4"/>
        <v>17000</v>
      </c>
      <c r="Z90" s="194">
        <f t="shared" si="2"/>
        <v>59.8591549295775</v>
      </c>
    </row>
    <row r="91" ht="17.25" spans="2:26">
      <c r="B91" s="188">
        <v>85</v>
      </c>
      <c r="C91" s="197"/>
      <c r="D91" s="192">
        <v>16</v>
      </c>
      <c r="E91" s="188">
        <v>16</v>
      </c>
      <c r="F91" s="188">
        <v>6580</v>
      </c>
      <c r="G91" s="190">
        <v>658</v>
      </c>
      <c r="H91" s="195">
        <v>0.017</v>
      </c>
      <c r="I91" s="188">
        <v>1584</v>
      </c>
      <c r="J91" s="191">
        <v>95550</v>
      </c>
      <c r="K91" s="196">
        <v>115.25</v>
      </c>
      <c r="L91" s="186"/>
      <c r="M91" s="188">
        <v>85</v>
      </c>
      <c r="N91" s="188">
        <v>90</v>
      </c>
      <c r="O91" s="191">
        <v>429</v>
      </c>
      <c r="P91" s="191">
        <v>4</v>
      </c>
      <c r="Q91" s="188">
        <v>288</v>
      </c>
      <c r="R91" s="189">
        <v>0.2</v>
      </c>
      <c r="S91" s="192">
        <v>19000</v>
      </c>
      <c r="T91" s="188">
        <v>11281</v>
      </c>
      <c r="U91" s="188">
        <f>SUM($S$7:S91)</f>
        <v>535200</v>
      </c>
      <c r="V91" s="188">
        <v>50</v>
      </c>
      <c r="W91" s="191">
        <v>52</v>
      </c>
      <c r="X91" s="188">
        <v>22400</v>
      </c>
      <c r="Y91" s="188">
        <f t="shared" si="4"/>
        <v>17800</v>
      </c>
      <c r="Z91" s="194">
        <f t="shared" si="2"/>
        <v>61.8055555555556</v>
      </c>
    </row>
    <row r="92" ht="17.25" spans="2:26">
      <c r="B92" s="188">
        <v>86</v>
      </c>
      <c r="C92" s="197"/>
      <c r="D92" s="192">
        <v>16</v>
      </c>
      <c r="E92" s="188">
        <v>16</v>
      </c>
      <c r="F92" s="188">
        <v>6740</v>
      </c>
      <c r="G92" s="190">
        <v>674</v>
      </c>
      <c r="H92" s="195">
        <v>0.016</v>
      </c>
      <c r="I92" s="188">
        <v>1629</v>
      </c>
      <c r="J92" s="191">
        <v>98925</v>
      </c>
      <c r="K92" s="196">
        <v>118.6875</v>
      </c>
      <c r="L92" s="186"/>
      <c r="M92" s="188">
        <v>86</v>
      </c>
      <c r="N92" s="188">
        <v>90</v>
      </c>
      <c r="O92" s="191">
        <v>429</v>
      </c>
      <c r="P92" s="191">
        <v>5</v>
      </c>
      <c r="Q92" s="188">
        <v>293</v>
      </c>
      <c r="R92" s="189">
        <v>0.2</v>
      </c>
      <c r="S92" s="192">
        <v>19800</v>
      </c>
      <c r="T92" s="188">
        <v>11574</v>
      </c>
      <c r="U92" s="188">
        <f>SUM($S$7:S92)</f>
        <v>555000</v>
      </c>
      <c r="V92" s="188">
        <v>52</v>
      </c>
      <c r="W92" s="191">
        <v>52</v>
      </c>
      <c r="X92" s="188">
        <v>23200</v>
      </c>
      <c r="Y92" s="188">
        <f t="shared" si="4"/>
        <v>18600</v>
      </c>
      <c r="Z92" s="194">
        <f t="shared" si="2"/>
        <v>63.481228668942</v>
      </c>
    </row>
    <row r="93" ht="17.25" spans="2:26">
      <c r="B93" s="188">
        <v>87</v>
      </c>
      <c r="C93" s="197"/>
      <c r="D93" s="192">
        <v>16</v>
      </c>
      <c r="E93" s="188">
        <v>16</v>
      </c>
      <c r="F93" s="188">
        <v>6900</v>
      </c>
      <c r="G93" s="190">
        <v>690</v>
      </c>
      <c r="H93" s="195">
        <v>0.016</v>
      </c>
      <c r="I93" s="188">
        <v>1644</v>
      </c>
      <c r="J93" s="191">
        <v>100504</v>
      </c>
      <c r="K93" s="196">
        <v>122.125</v>
      </c>
      <c r="L93" s="186"/>
      <c r="M93" s="188">
        <v>87</v>
      </c>
      <c r="N93" s="188">
        <v>90</v>
      </c>
      <c r="O93" s="191">
        <v>429</v>
      </c>
      <c r="P93" s="191">
        <v>5</v>
      </c>
      <c r="Q93" s="188">
        <v>298</v>
      </c>
      <c r="R93" s="189">
        <v>0.2</v>
      </c>
      <c r="S93" s="192">
        <v>20600</v>
      </c>
      <c r="T93" s="188">
        <v>11872</v>
      </c>
      <c r="U93" s="188">
        <f>SUM($S$7:S93)</f>
        <v>575600</v>
      </c>
      <c r="V93" s="188">
        <v>53</v>
      </c>
      <c r="W93" s="191">
        <v>52</v>
      </c>
      <c r="X93" s="188">
        <v>24000</v>
      </c>
      <c r="Y93" s="188">
        <f t="shared" si="4"/>
        <v>19400</v>
      </c>
      <c r="Z93" s="194">
        <f t="shared" si="2"/>
        <v>65.1006711409396</v>
      </c>
    </row>
    <row r="94" ht="17.25" spans="2:26">
      <c r="B94" s="188">
        <v>88</v>
      </c>
      <c r="C94" s="197"/>
      <c r="D94" s="192">
        <v>16</v>
      </c>
      <c r="E94" s="188">
        <v>16</v>
      </c>
      <c r="F94" s="188">
        <v>7060</v>
      </c>
      <c r="G94" s="190">
        <v>706</v>
      </c>
      <c r="H94" s="195">
        <v>0.016</v>
      </c>
      <c r="I94" s="188">
        <v>1689</v>
      </c>
      <c r="J94" s="191">
        <v>103940</v>
      </c>
      <c r="K94" s="196">
        <v>125.5625</v>
      </c>
      <c r="L94" s="186"/>
      <c r="M94" s="188">
        <v>88</v>
      </c>
      <c r="N94" s="188">
        <v>90</v>
      </c>
      <c r="O94" s="191">
        <v>429</v>
      </c>
      <c r="P94" s="191">
        <v>5</v>
      </c>
      <c r="Q94" s="188">
        <v>303</v>
      </c>
      <c r="R94" s="189">
        <v>0.21</v>
      </c>
      <c r="S94" s="192">
        <v>21400</v>
      </c>
      <c r="T94" s="188">
        <v>12175</v>
      </c>
      <c r="U94" s="188">
        <f>SUM($S$7:S94)</f>
        <v>597000</v>
      </c>
      <c r="V94" s="188">
        <v>54</v>
      </c>
      <c r="W94" s="191">
        <v>52</v>
      </c>
      <c r="X94" s="188">
        <v>24800</v>
      </c>
      <c r="Y94" s="188">
        <f t="shared" si="4"/>
        <v>20200</v>
      </c>
      <c r="Z94" s="194">
        <f t="shared" si="2"/>
        <v>66.6666666666667</v>
      </c>
    </row>
    <row r="95" ht="17.25" spans="2:26">
      <c r="B95" s="188">
        <v>89</v>
      </c>
      <c r="C95" s="197"/>
      <c r="D95" s="192">
        <v>16</v>
      </c>
      <c r="E95" s="188">
        <v>16</v>
      </c>
      <c r="F95" s="188">
        <v>7220</v>
      </c>
      <c r="G95" s="190">
        <v>722</v>
      </c>
      <c r="H95" s="195">
        <v>0.016</v>
      </c>
      <c r="I95" s="188">
        <v>1704</v>
      </c>
      <c r="J95" s="191">
        <v>105555</v>
      </c>
      <c r="K95" s="196">
        <v>129</v>
      </c>
      <c r="L95" s="186"/>
      <c r="M95" s="188">
        <v>89</v>
      </c>
      <c r="N95" s="188">
        <v>90</v>
      </c>
      <c r="O95" s="191">
        <v>429</v>
      </c>
      <c r="P95" s="191">
        <v>5</v>
      </c>
      <c r="Q95" s="188">
        <v>308</v>
      </c>
      <c r="R95" s="189">
        <v>0.21</v>
      </c>
      <c r="S95" s="192">
        <v>22200</v>
      </c>
      <c r="T95" s="188">
        <v>12483</v>
      </c>
      <c r="U95" s="188">
        <f>SUM($S$7:S95)</f>
        <v>619200</v>
      </c>
      <c r="V95" s="188">
        <v>56</v>
      </c>
      <c r="W95" s="191">
        <v>52</v>
      </c>
      <c r="X95" s="188">
        <v>25600</v>
      </c>
      <c r="Y95" s="188">
        <f t="shared" si="4"/>
        <v>21000</v>
      </c>
      <c r="Z95" s="194">
        <f t="shared" si="2"/>
        <v>68.1818181818182</v>
      </c>
    </row>
    <row r="96" ht="17.25" spans="2:26">
      <c r="B96" s="188">
        <v>90</v>
      </c>
      <c r="C96" s="197"/>
      <c r="D96" s="192">
        <v>20</v>
      </c>
      <c r="E96" s="188">
        <v>20</v>
      </c>
      <c r="F96" s="188">
        <v>7420</v>
      </c>
      <c r="G96" s="190">
        <v>742</v>
      </c>
      <c r="H96" s="195">
        <v>0.018</v>
      </c>
      <c r="I96" s="188">
        <v>1758</v>
      </c>
      <c r="J96" s="191">
        <v>96951</v>
      </c>
      <c r="K96" s="196">
        <v>106.4</v>
      </c>
      <c r="L96" s="186"/>
      <c r="M96" s="188">
        <v>90</v>
      </c>
      <c r="N96" s="188">
        <v>90</v>
      </c>
      <c r="O96" s="191">
        <v>429</v>
      </c>
      <c r="P96" s="191">
        <v>8</v>
      </c>
      <c r="Q96" s="188">
        <v>316</v>
      </c>
      <c r="R96" s="189">
        <v>0.21</v>
      </c>
      <c r="S96" s="192">
        <v>23000</v>
      </c>
      <c r="T96" s="188">
        <v>12799</v>
      </c>
      <c r="U96" s="188">
        <f>SUM($S$7:S96)</f>
        <v>642200</v>
      </c>
      <c r="V96" s="188">
        <v>57</v>
      </c>
      <c r="W96" s="191">
        <v>52</v>
      </c>
      <c r="X96" s="188">
        <v>26400</v>
      </c>
      <c r="Y96" s="188">
        <f t="shared" si="4"/>
        <v>21800</v>
      </c>
      <c r="Z96" s="194">
        <f t="shared" si="2"/>
        <v>68.9873417721519</v>
      </c>
    </row>
    <row r="97" ht="17.25" spans="2:26">
      <c r="B97" s="188">
        <v>91</v>
      </c>
      <c r="C97" s="197"/>
      <c r="D97" s="192">
        <v>20</v>
      </c>
      <c r="E97" s="188">
        <v>20</v>
      </c>
      <c r="F97" s="188">
        <v>7620</v>
      </c>
      <c r="G97" s="190">
        <v>762</v>
      </c>
      <c r="H97" s="195">
        <v>0.018</v>
      </c>
      <c r="I97" s="188">
        <v>1782</v>
      </c>
      <c r="J97" s="191">
        <v>98998</v>
      </c>
      <c r="K97" s="196">
        <v>109.6</v>
      </c>
      <c r="L97" s="186"/>
      <c r="M97" s="188">
        <v>91</v>
      </c>
      <c r="N97" s="188">
        <v>90</v>
      </c>
      <c r="O97" s="191">
        <v>429</v>
      </c>
      <c r="P97" s="191">
        <v>8</v>
      </c>
      <c r="Q97" s="188">
        <v>324</v>
      </c>
      <c r="R97" s="189">
        <v>0.21</v>
      </c>
      <c r="S97" s="192">
        <v>23800</v>
      </c>
      <c r="T97" s="188">
        <v>13123</v>
      </c>
      <c r="U97" s="188">
        <f>SUM($S$7:S97)</f>
        <v>666000</v>
      </c>
      <c r="V97" s="188">
        <v>59</v>
      </c>
      <c r="W97" s="191">
        <v>52</v>
      </c>
      <c r="X97" s="188">
        <v>27200</v>
      </c>
      <c r="Y97" s="188">
        <f t="shared" si="4"/>
        <v>22600</v>
      </c>
      <c r="Z97" s="194">
        <f t="shared" si="2"/>
        <v>69.7530864197531</v>
      </c>
    </row>
    <row r="98" ht="17.25" spans="2:26">
      <c r="B98" s="188">
        <v>92</v>
      </c>
      <c r="C98" s="197"/>
      <c r="D98" s="192">
        <v>20</v>
      </c>
      <c r="E98" s="188">
        <v>20</v>
      </c>
      <c r="F98" s="188">
        <v>7820</v>
      </c>
      <c r="G98" s="190">
        <v>782</v>
      </c>
      <c r="H98" s="195">
        <v>0.018</v>
      </c>
      <c r="I98" s="188">
        <v>1836</v>
      </c>
      <c r="J98" s="191">
        <v>102743</v>
      </c>
      <c r="K98" s="196">
        <v>112.8</v>
      </c>
      <c r="L98" s="186"/>
      <c r="M98" s="188">
        <v>92</v>
      </c>
      <c r="N98" s="188">
        <v>120</v>
      </c>
      <c r="O98" s="191">
        <v>842</v>
      </c>
      <c r="P98" s="191">
        <v>8</v>
      </c>
      <c r="Q98" s="188">
        <v>332</v>
      </c>
      <c r="R98" s="189">
        <v>0.23</v>
      </c>
      <c r="S98" s="192">
        <v>24600</v>
      </c>
      <c r="T98" s="188">
        <v>13455</v>
      </c>
      <c r="U98" s="188">
        <f>SUM($S$7:S98)</f>
        <v>690600</v>
      </c>
      <c r="V98" s="188">
        <v>60</v>
      </c>
      <c r="W98" s="191">
        <v>52</v>
      </c>
      <c r="X98" s="188">
        <v>28000</v>
      </c>
      <c r="Y98" s="188">
        <f t="shared" si="4"/>
        <v>23400</v>
      </c>
      <c r="Z98" s="194">
        <f t="shared" si="2"/>
        <v>70.4819277108434</v>
      </c>
    </row>
    <row r="99" ht="17.25" spans="2:26">
      <c r="B99" s="188">
        <v>93</v>
      </c>
      <c r="C99" s="197"/>
      <c r="D99" s="192">
        <v>20</v>
      </c>
      <c r="E99" s="188">
        <v>20</v>
      </c>
      <c r="F99" s="188">
        <v>8020</v>
      </c>
      <c r="G99" s="190">
        <v>802</v>
      </c>
      <c r="H99" s="195">
        <v>0.018</v>
      </c>
      <c r="I99" s="188">
        <v>1890</v>
      </c>
      <c r="J99" s="191">
        <v>106532</v>
      </c>
      <c r="K99" s="196">
        <v>116</v>
      </c>
      <c r="L99" s="186"/>
      <c r="M99" s="188">
        <v>93</v>
      </c>
      <c r="N99" s="188">
        <v>120</v>
      </c>
      <c r="O99" s="191">
        <v>842</v>
      </c>
      <c r="P99" s="191">
        <v>8</v>
      </c>
      <c r="Q99" s="188">
        <v>340</v>
      </c>
      <c r="R99" s="189">
        <v>0.25</v>
      </c>
      <c r="S99" s="192">
        <v>25400</v>
      </c>
      <c r="T99" s="188">
        <v>13795</v>
      </c>
      <c r="U99" s="188">
        <f>SUM($S$7:S99)</f>
        <v>716000</v>
      </c>
      <c r="V99" s="188">
        <v>62</v>
      </c>
      <c r="W99" s="191">
        <v>52</v>
      </c>
      <c r="X99" s="188">
        <v>28800</v>
      </c>
      <c r="Y99" s="188">
        <f t="shared" si="4"/>
        <v>24200</v>
      </c>
      <c r="Z99" s="194">
        <f t="shared" si="2"/>
        <v>71.1764705882353</v>
      </c>
    </row>
    <row r="100" ht="17.25" spans="2:26">
      <c r="B100" s="188">
        <v>94</v>
      </c>
      <c r="C100" s="197"/>
      <c r="D100" s="198">
        <v>24</v>
      </c>
      <c r="E100" s="188">
        <v>20</v>
      </c>
      <c r="F100" s="188">
        <v>8220</v>
      </c>
      <c r="G100" s="190">
        <v>822</v>
      </c>
      <c r="H100" s="195">
        <v>0.018</v>
      </c>
      <c r="I100" s="188">
        <v>1914</v>
      </c>
      <c r="J100" s="191">
        <v>108662</v>
      </c>
      <c r="K100" s="196">
        <v>99.33333333</v>
      </c>
      <c r="L100" s="186"/>
      <c r="M100" s="188">
        <v>94</v>
      </c>
      <c r="N100" s="188">
        <v>120</v>
      </c>
      <c r="O100" s="191">
        <v>842</v>
      </c>
      <c r="P100" s="191">
        <v>8</v>
      </c>
      <c r="Q100" s="188">
        <v>348</v>
      </c>
      <c r="R100" s="189">
        <v>0.26</v>
      </c>
      <c r="S100" s="192">
        <v>26200</v>
      </c>
      <c r="T100" s="188">
        <v>14143</v>
      </c>
      <c r="U100" s="188">
        <f>SUM($S$7:S100)</f>
        <v>742200</v>
      </c>
      <c r="V100" s="188">
        <v>64</v>
      </c>
      <c r="W100" s="191">
        <v>52</v>
      </c>
      <c r="X100" s="188">
        <v>29600</v>
      </c>
      <c r="Y100" s="188">
        <f t="shared" si="4"/>
        <v>25000</v>
      </c>
      <c r="Z100" s="194">
        <f t="shared" si="2"/>
        <v>71.8390804597701</v>
      </c>
    </row>
    <row r="101" ht="17.25" spans="2:26">
      <c r="B101" s="188">
        <v>95</v>
      </c>
      <c r="C101" s="197"/>
      <c r="D101" s="198">
        <v>24</v>
      </c>
      <c r="E101" s="188">
        <v>20</v>
      </c>
      <c r="F101" s="188">
        <v>8420</v>
      </c>
      <c r="G101" s="190">
        <v>842</v>
      </c>
      <c r="H101" s="195">
        <v>0.017</v>
      </c>
      <c r="I101" s="188">
        <v>1968</v>
      </c>
      <c r="J101" s="191">
        <v>112526</v>
      </c>
      <c r="K101" s="196">
        <v>102</v>
      </c>
      <c r="L101" s="186"/>
      <c r="M101" s="188">
        <v>95</v>
      </c>
      <c r="N101" s="188">
        <v>120</v>
      </c>
      <c r="O101" s="191">
        <v>842</v>
      </c>
      <c r="P101" s="191">
        <v>8</v>
      </c>
      <c r="Q101" s="188">
        <v>356</v>
      </c>
      <c r="R101" s="189">
        <v>0.28</v>
      </c>
      <c r="S101" s="192">
        <v>27000</v>
      </c>
      <c r="T101" s="188">
        <v>14499</v>
      </c>
      <c r="U101" s="188">
        <f>SUM($S$7:S101)</f>
        <v>769200</v>
      </c>
      <c r="V101" s="188">
        <v>65</v>
      </c>
      <c r="W101" s="191">
        <v>52</v>
      </c>
      <c r="X101" s="188">
        <v>30400</v>
      </c>
      <c r="Y101" s="188">
        <f t="shared" si="4"/>
        <v>25800</v>
      </c>
      <c r="Z101" s="194">
        <f t="shared" si="2"/>
        <v>72.4719101123596</v>
      </c>
    </row>
    <row r="102" ht="17.25" spans="2:26">
      <c r="B102" s="188">
        <v>96</v>
      </c>
      <c r="C102" s="197"/>
      <c r="D102" s="198">
        <v>24</v>
      </c>
      <c r="E102" s="188">
        <v>20</v>
      </c>
      <c r="F102" s="188">
        <v>8620</v>
      </c>
      <c r="G102" s="190">
        <v>862</v>
      </c>
      <c r="H102" s="195">
        <v>0.017</v>
      </c>
      <c r="I102" s="188">
        <v>2022</v>
      </c>
      <c r="J102" s="191">
        <v>116435</v>
      </c>
      <c r="K102" s="196">
        <v>104.6666667</v>
      </c>
      <c r="L102" s="186"/>
      <c r="M102" s="188">
        <v>96</v>
      </c>
      <c r="N102" s="188">
        <v>120</v>
      </c>
      <c r="O102" s="191">
        <v>842</v>
      </c>
      <c r="P102" s="191">
        <v>8</v>
      </c>
      <c r="Q102" s="188">
        <v>364</v>
      </c>
      <c r="R102" s="189">
        <v>0.29</v>
      </c>
      <c r="S102" s="192">
        <v>27800</v>
      </c>
      <c r="T102" s="188">
        <v>14863</v>
      </c>
      <c r="U102" s="188">
        <f>SUM($S$7:S102)</f>
        <v>797000</v>
      </c>
      <c r="V102" s="188">
        <v>67</v>
      </c>
      <c r="W102" s="191">
        <v>52</v>
      </c>
      <c r="X102" s="188">
        <v>31200</v>
      </c>
      <c r="Y102" s="188">
        <f t="shared" si="4"/>
        <v>26600</v>
      </c>
      <c r="Z102" s="194">
        <f t="shared" si="2"/>
        <v>73.0769230769231</v>
      </c>
    </row>
    <row r="103" ht="17.25" spans="2:26">
      <c r="B103" s="188">
        <v>97</v>
      </c>
      <c r="C103" s="197"/>
      <c r="D103" s="198">
        <v>24</v>
      </c>
      <c r="E103" s="188">
        <v>20</v>
      </c>
      <c r="F103" s="188">
        <v>8820</v>
      </c>
      <c r="G103" s="190">
        <v>882</v>
      </c>
      <c r="H103" s="195">
        <v>0.017</v>
      </c>
      <c r="I103" s="188">
        <v>2046</v>
      </c>
      <c r="J103" s="191">
        <v>118648</v>
      </c>
      <c r="K103" s="196">
        <v>107.3333333</v>
      </c>
      <c r="L103" s="186"/>
      <c r="M103" s="188">
        <v>97</v>
      </c>
      <c r="N103" s="188">
        <v>120</v>
      </c>
      <c r="O103" s="191">
        <v>842</v>
      </c>
      <c r="P103" s="191">
        <v>8</v>
      </c>
      <c r="Q103" s="188">
        <v>372</v>
      </c>
      <c r="R103" s="189">
        <v>0.3</v>
      </c>
      <c r="S103" s="192">
        <v>28600</v>
      </c>
      <c r="T103" s="188">
        <v>15235</v>
      </c>
      <c r="U103" s="188">
        <f>SUM($S$7:S103)</f>
        <v>825600</v>
      </c>
      <c r="V103" s="188">
        <v>68</v>
      </c>
      <c r="W103" s="191">
        <v>51</v>
      </c>
      <c r="X103" s="188">
        <v>32000</v>
      </c>
      <c r="Y103" s="188">
        <f t="shared" si="4"/>
        <v>27400</v>
      </c>
      <c r="Z103" s="194">
        <f t="shared" si="2"/>
        <v>73.6559139784946</v>
      </c>
    </row>
    <row r="104" ht="17.25" spans="2:26">
      <c r="B104" s="188">
        <v>98</v>
      </c>
      <c r="C104" s="197"/>
      <c r="D104" s="198">
        <v>24</v>
      </c>
      <c r="E104" s="188">
        <v>20</v>
      </c>
      <c r="F104" s="188">
        <v>9020</v>
      </c>
      <c r="G104" s="190">
        <v>902</v>
      </c>
      <c r="H104" s="195">
        <v>0.017</v>
      </c>
      <c r="I104" s="188">
        <v>2100</v>
      </c>
      <c r="J104" s="191">
        <v>122631</v>
      </c>
      <c r="K104" s="196">
        <v>110</v>
      </c>
      <c r="L104" s="186"/>
      <c r="M104" s="188">
        <v>98</v>
      </c>
      <c r="N104" s="188">
        <v>150</v>
      </c>
      <c r="O104" s="191">
        <v>842</v>
      </c>
      <c r="P104" s="191">
        <v>8</v>
      </c>
      <c r="Q104" s="188">
        <v>380</v>
      </c>
      <c r="R104" s="189">
        <v>0.31</v>
      </c>
      <c r="S104" s="192">
        <v>29400</v>
      </c>
      <c r="T104" s="188">
        <v>15615</v>
      </c>
      <c r="U104" s="188">
        <f>SUM($S$7:S104)</f>
        <v>855000</v>
      </c>
      <c r="V104" s="188">
        <v>70</v>
      </c>
      <c r="W104" s="191">
        <v>51</v>
      </c>
      <c r="X104" s="188">
        <v>32800</v>
      </c>
      <c r="Y104" s="188">
        <f t="shared" si="4"/>
        <v>28200</v>
      </c>
      <c r="Z104" s="194">
        <f t="shared" si="2"/>
        <v>74.2105263157895</v>
      </c>
    </row>
    <row r="105" ht="17.25" spans="2:26">
      <c r="B105" s="188">
        <v>99</v>
      </c>
      <c r="C105" s="197"/>
      <c r="D105" s="198">
        <v>24</v>
      </c>
      <c r="E105" s="188">
        <v>20</v>
      </c>
      <c r="F105" s="188">
        <v>9220</v>
      </c>
      <c r="G105" s="190">
        <v>922</v>
      </c>
      <c r="H105" s="195">
        <v>0.017</v>
      </c>
      <c r="I105" s="188">
        <v>2154</v>
      </c>
      <c r="J105" s="191">
        <v>126659</v>
      </c>
      <c r="K105" s="196">
        <v>112.6666667</v>
      </c>
      <c r="L105" s="186"/>
      <c r="M105" s="188">
        <v>99</v>
      </c>
      <c r="N105" s="188">
        <v>150</v>
      </c>
      <c r="O105" s="191">
        <v>842</v>
      </c>
      <c r="P105" s="191">
        <v>8</v>
      </c>
      <c r="Q105" s="188">
        <v>388</v>
      </c>
      <c r="R105" s="189">
        <v>0.32</v>
      </c>
      <c r="S105" s="192">
        <v>30200</v>
      </c>
      <c r="T105" s="188">
        <v>16003</v>
      </c>
      <c r="U105" s="188">
        <f>SUM($S$7:S105)</f>
        <v>885200</v>
      </c>
      <c r="V105" s="188">
        <v>72</v>
      </c>
      <c r="W105" s="191">
        <v>51</v>
      </c>
      <c r="X105" s="188">
        <v>33600</v>
      </c>
      <c r="Y105" s="188">
        <f t="shared" si="4"/>
        <v>29000</v>
      </c>
      <c r="Z105" s="194">
        <f t="shared" si="2"/>
        <v>74.7422680412371</v>
      </c>
    </row>
    <row r="106" ht="17.25" spans="2:26">
      <c r="B106" s="188">
        <v>100</v>
      </c>
      <c r="C106" s="197"/>
      <c r="D106" s="198">
        <v>28</v>
      </c>
      <c r="E106" s="188">
        <v>24</v>
      </c>
      <c r="F106" s="188">
        <v>9460</v>
      </c>
      <c r="G106" s="190">
        <v>946</v>
      </c>
      <c r="H106" s="195">
        <v>0.018</v>
      </c>
      <c r="I106" s="188">
        <v>2178</v>
      </c>
      <c r="J106" s="191">
        <v>118496</v>
      </c>
      <c r="K106" s="196">
        <v>98.85714286</v>
      </c>
      <c r="L106" s="186"/>
      <c r="M106" s="188">
        <v>100</v>
      </c>
      <c r="N106" s="188">
        <v>150</v>
      </c>
      <c r="O106" s="191">
        <v>842</v>
      </c>
      <c r="P106" s="191">
        <v>8</v>
      </c>
      <c r="Q106" s="188">
        <v>396</v>
      </c>
      <c r="R106" s="189">
        <v>0.32</v>
      </c>
      <c r="S106" s="192">
        <v>31000</v>
      </c>
      <c r="T106" s="188">
        <v>16399</v>
      </c>
      <c r="U106" s="188">
        <f>SUM($S$7:S106)</f>
        <v>916200</v>
      </c>
      <c r="V106" s="188">
        <v>74</v>
      </c>
      <c r="W106" s="191">
        <v>51</v>
      </c>
      <c r="X106" s="193">
        <v>34400</v>
      </c>
      <c r="Y106" s="188">
        <f t="shared" si="4"/>
        <v>29800</v>
      </c>
      <c r="Z106" s="194">
        <f t="shared" si="2"/>
        <v>75.2525252525252</v>
      </c>
    </row>
    <row r="107" ht="17.25" spans="2:26">
      <c r="B107" s="188">
        <v>101</v>
      </c>
      <c r="C107" s="197"/>
      <c r="D107" s="198">
        <v>28</v>
      </c>
      <c r="E107" s="188">
        <v>24</v>
      </c>
      <c r="F107" s="188">
        <v>9700</v>
      </c>
      <c r="G107" s="190">
        <v>970</v>
      </c>
      <c r="H107" s="195">
        <v>0.018</v>
      </c>
      <c r="I107" s="188">
        <v>2232</v>
      </c>
      <c r="J107" s="191">
        <v>122340</v>
      </c>
      <c r="K107" s="196">
        <v>101.1428571</v>
      </c>
      <c r="L107" s="186"/>
      <c r="M107" s="188">
        <v>101</v>
      </c>
      <c r="N107" s="188">
        <v>150</v>
      </c>
      <c r="O107" s="191">
        <v>842</v>
      </c>
      <c r="P107" s="191">
        <v>8</v>
      </c>
      <c r="Q107" s="188">
        <v>404</v>
      </c>
      <c r="R107" s="189">
        <v>0.33</v>
      </c>
      <c r="S107" s="192">
        <v>31800</v>
      </c>
      <c r="T107" s="188">
        <v>16803</v>
      </c>
      <c r="U107" s="188">
        <f>SUM($S$7:S107)</f>
        <v>948000</v>
      </c>
      <c r="V107" s="188">
        <v>76</v>
      </c>
      <c r="W107" s="191">
        <v>51</v>
      </c>
      <c r="X107" s="193">
        <v>35200</v>
      </c>
      <c r="Y107" s="188">
        <f t="shared" si="4"/>
        <v>30600</v>
      </c>
      <c r="Z107" s="194">
        <f t="shared" si="2"/>
        <v>75.7425742574257</v>
      </c>
    </row>
    <row r="108" ht="17.25" spans="2:26">
      <c r="B108" s="188">
        <v>102</v>
      </c>
      <c r="C108" s="197"/>
      <c r="D108" s="198">
        <v>28</v>
      </c>
      <c r="E108" s="188">
        <v>24</v>
      </c>
      <c r="F108" s="188">
        <v>9940</v>
      </c>
      <c r="G108" s="190">
        <v>994</v>
      </c>
      <c r="H108" s="195">
        <v>0.018</v>
      </c>
      <c r="I108" s="188">
        <v>2286</v>
      </c>
      <c r="J108" s="191">
        <v>126228</v>
      </c>
      <c r="K108" s="196">
        <v>103.4285714</v>
      </c>
      <c r="L108" s="186"/>
      <c r="M108" s="188">
        <v>102</v>
      </c>
      <c r="N108" s="188">
        <v>150</v>
      </c>
      <c r="O108" s="191">
        <v>842</v>
      </c>
      <c r="P108" s="191">
        <v>8</v>
      </c>
      <c r="Q108" s="188">
        <v>412</v>
      </c>
      <c r="R108" s="189">
        <v>0.34</v>
      </c>
      <c r="S108" s="192">
        <v>32600</v>
      </c>
      <c r="T108" s="188">
        <v>17215</v>
      </c>
      <c r="U108" s="188">
        <f>SUM($S$7:S108)</f>
        <v>980600</v>
      </c>
      <c r="V108" s="188">
        <v>78</v>
      </c>
      <c r="W108" s="191">
        <v>51</v>
      </c>
      <c r="X108" s="193">
        <v>36000</v>
      </c>
      <c r="Y108" s="188">
        <f t="shared" si="4"/>
        <v>31400</v>
      </c>
      <c r="Z108" s="194">
        <f t="shared" si="2"/>
        <v>76.2135922330097</v>
      </c>
    </row>
    <row r="109" ht="17.25" spans="2:26">
      <c r="B109" s="188">
        <v>103</v>
      </c>
      <c r="C109" s="197"/>
      <c r="D109" s="198">
        <v>28</v>
      </c>
      <c r="E109" s="188">
        <v>24</v>
      </c>
      <c r="F109" s="188">
        <v>10180</v>
      </c>
      <c r="G109" s="190">
        <v>1018</v>
      </c>
      <c r="H109" s="195">
        <v>0.018</v>
      </c>
      <c r="I109" s="188">
        <v>2310</v>
      </c>
      <c r="J109" s="191">
        <v>128491</v>
      </c>
      <c r="K109" s="196">
        <v>105.7142857</v>
      </c>
      <c r="L109" s="186"/>
      <c r="M109" s="188">
        <v>103</v>
      </c>
      <c r="N109" s="188">
        <v>150</v>
      </c>
      <c r="O109" s="191">
        <v>842</v>
      </c>
      <c r="P109" s="191">
        <v>8</v>
      </c>
      <c r="Q109" s="188">
        <v>420</v>
      </c>
      <c r="R109" s="189">
        <v>0.34</v>
      </c>
      <c r="S109" s="192">
        <v>33400</v>
      </c>
      <c r="T109" s="188">
        <v>17635</v>
      </c>
      <c r="U109" s="188">
        <f>SUM($S$7:S109)</f>
        <v>1014000</v>
      </c>
      <c r="V109" s="188">
        <v>79</v>
      </c>
      <c r="W109" s="191">
        <v>51</v>
      </c>
      <c r="X109" s="193">
        <v>36800</v>
      </c>
      <c r="Y109" s="188">
        <f t="shared" si="4"/>
        <v>32200</v>
      </c>
      <c r="Z109" s="194">
        <f t="shared" si="2"/>
        <v>76.6666666666667</v>
      </c>
    </row>
    <row r="110" ht="17.25" spans="2:26">
      <c r="B110" s="188">
        <v>104</v>
      </c>
      <c r="C110" s="197"/>
      <c r="D110" s="198">
        <v>28</v>
      </c>
      <c r="E110" s="188">
        <v>24</v>
      </c>
      <c r="F110" s="188">
        <v>10420</v>
      </c>
      <c r="G110" s="190">
        <v>1042</v>
      </c>
      <c r="H110" s="195">
        <v>0.018</v>
      </c>
      <c r="I110" s="188">
        <v>2364</v>
      </c>
      <c r="J110" s="191">
        <v>132454</v>
      </c>
      <c r="K110" s="196">
        <v>108</v>
      </c>
      <c r="L110" s="186"/>
      <c r="M110" s="188">
        <v>104</v>
      </c>
      <c r="N110" s="188">
        <v>190</v>
      </c>
      <c r="O110" s="191">
        <v>840</v>
      </c>
      <c r="P110" s="191">
        <v>8</v>
      </c>
      <c r="Q110" s="188">
        <v>428</v>
      </c>
      <c r="R110" s="189">
        <v>0.35</v>
      </c>
      <c r="S110" s="192">
        <v>34200</v>
      </c>
      <c r="T110" s="188">
        <v>18063</v>
      </c>
      <c r="U110" s="188">
        <f>SUM($S$7:S110)</f>
        <v>1048200</v>
      </c>
      <c r="V110" s="188">
        <v>82</v>
      </c>
      <c r="W110" s="191">
        <v>51</v>
      </c>
      <c r="X110" s="193">
        <v>37600</v>
      </c>
      <c r="Y110" s="188">
        <f t="shared" si="4"/>
        <v>33000</v>
      </c>
      <c r="Z110" s="194">
        <f t="shared" si="2"/>
        <v>77.1028037383178</v>
      </c>
    </row>
    <row r="111" ht="17.25" spans="2:26">
      <c r="B111" s="188">
        <v>105</v>
      </c>
      <c r="C111" s="197"/>
      <c r="D111" s="198">
        <v>28</v>
      </c>
      <c r="E111" s="188">
        <v>24</v>
      </c>
      <c r="F111" s="188">
        <v>10660</v>
      </c>
      <c r="G111" s="190">
        <v>1066</v>
      </c>
      <c r="H111" s="195">
        <v>0.018</v>
      </c>
      <c r="I111" s="188">
        <v>2418</v>
      </c>
      <c r="J111" s="191">
        <v>136461</v>
      </c>
      <c r="K111" s="196">
        <v>110.2857143</v>
      </c>
      <c r="L111" s="186"/>
      <c r="M111" s="188">
        <v>105</v>
      </c>
      <c r="N111" s="188">
        <v>190</v>
      </c>
      <c r="O111" s="191">
        <v>840</v>
      </c>
      <c r="P111" s="191">
        <v>8</v>
      </c>
      <c r="Q111" s="188">
        <v>436</v>
      </c>
      <c r="R111" s="189">
        <v>0.35</v>
      </c>
      <c r="S111" s="192">
        <v>35000</v>
      </c>
      <c r="T111" s="188">
        <v>18499</v>
      </c>
      <c r="U111" s="188">
        <f>SUM($S$7:S111)</f>
        <v>1083200</v>
      </c>
      <c r="V111" s="188">
        <v>84</v>
      </c>
      <c r="W111" s="191">
        <v>51</v>
      </c>
      <c r="X111" s="188">
        <f t="shared" ref="X111:X129" si="5">X110+800</f>
        <v>38400</v>
      </c>
      <c r="Y111" s="188">
        <f t="shared" si="4"/>
        <v>33800</v>
      </c>
      <c r="Z111" s="194">
        <f t="shared" si="2"/>
        <v>77.5229357798165</v>
      </c>
    </row>
    <row r="112" ht="17.25" spans="2:26">
      <c r="B112" s="188">
        <v>106</v>
      </c>
      <c r="C112" s="197"/>
      <c r="D112" s="198">
        <v>28</v>
      </c>
      <c r="E112" s="188">
        <v>24</v>
      </c>
      <c r="F112" s="188">
        <v>10900</v>
      </c>
      <c r="G112" s="190">
        <v>1090</v>
      </c>
      <c r="H112" s="195">
        <v>0.018</v>
      </c>
      <c r="I112" s="188">
        <v>2442</v>
      </c>
      <c r="J112" s="191">
        <v>138807</v>
      </c>
      <c r="K112" s="196">
        <v>112.5714286</v>
      </c>
      <c r="L112" s="186"/>
      <c r="M112" s="188">
        <v>106</v>
      </c>
      <c r="N112" s="188">
        <v>190</v>
      </c>
      <c r="O112" s="191">
        <v>840</v>
      </c>
      <c r="P112" s="191">
        <v>8</v>
      </c>
      <c r="Q112" s="188">
        <v>444</v>
      </c>
      <c r="R112" s="189">
        <v>0.35</v>
      </c>
      <c r="S112" s="192">
        <v>35800</v>
      </c>
      <c r="T112" s="188">
        <v>18943</v>
      </c>
      <c r="U112" s="188">
        <f>SUM($S$7:S112)</f>
        <v>1119000</v>
      </c>
      <c r="V112" s="188">
        <v>86</v>
      </c>
      <c r="W112" s="191">
        <v>51</v>
      </c>
      <c r="X112" s="188">
        <f t="shared" si="5"/>
        <v>39200</v>
      </c>
      <c r="Y112" s="188">
        <f t="shared" si="4"/>
        <v>34600</v>
      </c>
      <c r="Z112" s="194">
        <f t="shared" si="2"/>
        <v>77.9279279279279</v>
      </c>
    </row>
    <row r="113" ht="17.25" spans="2:26">
      <c r="B113" s="188">
        <v>107</v>
      </c>
      <c r="C113" s="197"/>
      <c r="D113" s="198">
        <v>32</v>
      </c>
      <c r="E113" s="188">
        <v>24</v>
      </c>
      <c r="F113" s="188">
        <v>11140</v>
      </c>
      <c r="G113" s="190">
        <v>1114</v>
      </c>
      <c r="H113" s="195">
        <v>0.017</v>
      </c>
      <c r="I113" s="188">
        <v>2496</v>
      </c>
      <c r="J113" s="191">
        <v>142890</v>
      </c>
      <c r="K113" s="196">
        <v>100.5</v>
      </c>
      <c r="L113" s="186"/>
      <c r="M113" s="188">
        <v>107</v>
      </c>
      <c r="N113" s="188">
        <v>190</v>
      </c>
      <c r="O113" s="191">
        <v>840</v>
      </c>
      <c r="P113" s="191">
        <v>8</v>
      </c>
      <c r="Q113" s="188">
        <v>452</v>
      </c>
      <c r="R113" s="189">
        <v>0.36</v>
      </c>
      <c r="S113" s="192">
        <v>36600</v>
      </c>
      <c r="T113" s="188">
        <v>19395</v>
      </c>
      <c r="U113" s="188">
        <f>SUM($S$7:S113)</f>
        <v>1155600</v>
      </c>
      <c r="V113" s="188">
        <v>88</v>
      </c>
      <c r="W113" s="191">
        <v>51</v>
      </c>
      <c r="X113" s="188">
        <f t="shared" si="5"/>
        <v>40000</v>
      </c>
      <c r="Y113" s="188">
        <f t="shared" si="4"/>
        <v>35400</v>
      </c>
      <c r="Z113" s="194">
        <f t="shared" si="2"/>
        <v>78.3185840707965</v>
      </c>
    </row>
    <row r="114" ht="17.25" spans="2:26">
      <c r="B114" s="188">
        <v>108</v>
      </c>
      <c r="C114" s="197"/>
      <c r="D114" s="198">
        <v>32</v>
      </c>
      <c r="E114" s="188">
        <v>24</v>
      </c>
      <c r="F114" s="188">
        <v>11380</v>
      </c>
      <c r="G114" s="190">
        <v>1138</v>
      </c>
      <c r="H114" s="195">
        <v>0.017</v>
      </c>
      <c r="I114" s="188">
        <v>2550</v>
      </c>
      <c r="J114" s="191">
        <v>147016</v>
      </c>
      <c r="K114" s="196">
        <v>102.5</v>
      </c>
      <c r="L114" s="186"/>
      <c r="M114" s="188">
        <v>108</v>
      </c>
      <c r="N114" s="188">
        <v>190</v>
      </c>
      <c r="O114" s="191">
        <v>833</v>
      </c>
      <c r="P114" s="191">
        <v>8</v>
      </c>
      <c r="Q114" s="188">
        <v>460</v>
      </c>
      <c r="R114" s="189">
        <v>0.36</v>
      </c>
      <c r="S114" s="192">
        <v>37400</v>
      </c>
      <c r="T114" s="188">
        <v>19855</v>
      </c>
      <c r="U114" s="188">
        <f>SUM($S$7:S114)</f>
        <v>1193000</v>
      </c>
      <c r="V114" s="188">
        <v>90</v>
      </c>
      <c r="W114" s="191">
        <v>51</v>
      </c>
      <c r="X114" s="188">
        <f t="shared" si="5"/>
        <v>40800</v>
      </c>
      <c r="Y114" s="188">
        <f t="shared" si="4"/>
        <v>36200</v>
      </c>
      <c r="Z114" s="194">
        <f t="shared" si="2"/>
        <v>78.695652173913</v>
      </c>
    </row>
    <row r="115" ht="17.25" spans="2:26">
      <c r="B115" s="188">
        <v>109</v>
      </c>
      <c r="C115" s="197"/>
      <c r="D115" s="198">
        <v>32</v>
      </c>
      <c r="E115" s="188">
        <v>24</v>
      </c>
      <c r="F115" s="188">
        <v>11620</v>
      </c>
      <c r="G115" s="190">
        <v>1162</v>
      </c>
      <c r="H115" s="195">
        <v>0.017</v>
      </c>
      <c r="I115" s="188">
        <v>2574</v>
      </c>
      <c r="J115" s="191">
        <v>149445</v>
      </c>
      <c r="K115" s="196">
        <v>104.5</v>
      </c>
      <c r="L115" s="186"/>
      <c r="M115" s="188">
        <v>109</v>
      </c>
      <c r="N115" s="188">
        <v>190</v>
      </c>
      <c r="O115" s="191">
        <v>833</v>
      </c>
      <c r="P115" s="191">
        <v>8</v>
      </c>
      <c r="Q115" s="188">
        <v>468</v>
      </c>
      <c r="R115" s="189">
        <v>0.36</v>
      </c>
      <c r="S115" s="192">
        <v>38200</v>
      </c>
      <c r="T115" s="188">
        <v>20323</v>
      </c>
      <c r="U115" s="188">
        <f>SUM($S$7:S115)</f>
        <v>1231200</v>
      </c>
      <c r="V115" s="188">
        <v>92</v>
      </c>
      <c r="W115" s="191">
        <v>51</v>
      </c>
      <c r="X115" s="188">
        <f t="shared" si="5"/>
        <v>41600</v>
      </c>
      <c r="Y115" s="188">
        <f t="shared" si="4"/>
        <v>37000</v>
      </c>
      <c r="Z115" s="194">
        <f t="shared" si="2"/>
        <v>79.0598290598291</v>
      </c>
    </row>
    <row r="116" ht="17.25" spans="2:26">
      <c r="B116" s="188">
        <v>110</v>
      </c>
      <c r="C116" s="197"/>
      <c r="D116" s="198">
        <v>32</v>
      </c>
      <c r="E116" s="188">
        <v>28</v>
      </c>
      <c r="F116" s="188">
        <v>11900</v>
      </c>
      <c r="G116" s="190">
        <v>1190</v>
      </c>
      <c r="H116" s="195">
        <v>0.018</v>
      </c>
      <c r="I116" s="188">
        <v>2628</v>
      </c>
      <c r="J116" s="191">
        <v>144728</v>
      </c>
      <c r="K116" s="196">
        <v>106.5</v>
      </c>
      <c r="L116" s="186"/>
      <c r="M116" s="188">
        <v>110</v>
      </c>
      <c r="N116" s="188">
        <v>190</v>
      </c>
      <c r="O116" s="191">
        <v>833</v>
      </c>
      <c r="P116" s="191">
        <v>8</v>
      </c>
      <c r="Q116" s="188">
        <v>476</v>
      </c>
      <c r="R116" s="189">
        <v>0.36</v>
      </c>
      <c r="S116" s="192">
        <v>39000</v>
      </c>
      <c r="T116" s="188">
        <v>20799</v>
      </c>
      <c r="U116" s="188">
        <f>SUM($S$7:S116)</f>
        <v>1270200</v>
      </c>
      <c r="V116" s="188">
        <v>94</v>
      </c>
      <c r="W116" s="191">
        <v>51</v>
      </c>
      <c r="X116" s="188">
        <f t="shared" si="5"/>
        <v>42400</v>
      </c>
      <c r="Y116" s="188">
        <f t="shared" si="4"/>
        <v>37800</v>
      </c>
      <c r="Z116" s="194">
        <f t="shared" si="2"/>
        <v>79.4117647058823</v>
      </c>
    </row>
    <row r="117" ht="17.25" spans="2:26">
      <c r="B117" s="188">
        <v>111</v>
      </c>
      <c r="C117" s="197"/>
      <c r="D117" s="198">
        <v>32</v>
      </c>
      <c r="E117" s="188">
        <v>28</v>
      </c>
      <c r="F117" s="188">
        <v>12180</v>
      </c>
      <c r="G117" s="190">
        <v>1218</v>
      </c>
      <c r="H117" s="195">
        <v>0.018</v>
      </c>
      <c r="I117" s="188">
        <v>2682</v>
      </c>
      <c r="J117" s="191">
        <v>148790</v>
      </c>
      <c r="K117" s="196">
        <v>108.5</v>
      </c>
      <c r="L117" s="186"/>
      <c r="M117" s="188">
        <v>111</v>
      </c>
      <c r="N117" s="188">
        <v>190</v>
      </c>
      <c r="O117" s="191">
        <v>833</v>
      </c>
      <c r="P117" s="191">
        <v>8</v>
      </c>
      <c r="Q117" s="188">
        <v>484</v>
      </c>
      <c r="R117" s="189">
        <v>0.36</v>
      </c>
      <c r="S117" s="192">
        <v>39800</v>
      </c>
      <c r="T117" s="188">
        <v>21283</v>
      </c>
      <c r="U117" s="188">
        <f>SUM($S$7:S117)</f>
        <v>1310000</v>
      </c>
      <c r="V117" s="188">
        <v>96</v>
      </c>
      <c r="W117" s="191">
        <v>51</v>
      </c>
      <c r="X117" s="188">
        <f t="shared" si="5"/>
        <v>43200</v>
      </c>
      <c r="Y117" s="188">
        <f t="shared" si="4"/>
        <v>38600</v>
      </c>
      <c r="Z117" s="194">
        <f t="shared" si="2"/>
        <v>79.7520661157025</v>
      </c>
    </row>
    <row r="118" ht="17.25" spans="2:26">
      <c r="B118" s="188">
        <v>112</v>
      </c>
      <c r="C118" s="197"/>
      <c r="D118" s="198">
        <v>32</v>
      </c>
      <c r="E118" s="188">
        <v>28</v>
      </c>
      <c r="F118" s="188">
        <v>12460</v>
      </c>
      <c r="G118" s="190">
        <v>1246</v>
      </c>
      <c r="H118" s="195">
        <v>0.018</v>
      </c>
      <c r="I118" s="188">
        <v>2706</v>
      </c>
      <c r="J118" s="191">
        <v>151220</v>
      </c>
      <c r="K118" s="196">
        <v>110.5</v>
      </c>
      <c r="L118" s="186"/>
      <c r="M118" s="188">
        <v>112</v>
      </c>
      <c r="N118" s="188">
        <v>250</v>
      </c>
      <c r="O118" s="191">
        <v>833</v>
      </c>
      <c r="P118" s="191">
        <v>8</v>
      </c>
      <c r="Q118" s="188">
        <v>492</v>
      </c>
      <c r="R118" s="189">
        <v>0.36</v>
      </c>
      <c r="S118" s="192">
        <v>40600</v>
      </c>
      <c r="T118" s="188">
        <v>21775</v>
      </c>
      <c r="U118" s="188">
        <f>SUM($S$7:S118)</f>
        <v>1350600</v>
      </c>
      <c r="V118" s="188">
        <v>99</v>
      </c>
      <c r="W118" s="191">
        <v>51</v>
      </c>
      <c r="X118" s="188">
        <f t="shared" si="5"/>
        <v>44000</v>
      </c>
      <c r="Y118" s="188">
        <f t="shared" si="4"/>
        <v>39400</v>
      </c>
      <c r="Z118" s="194">
        <f t="shared" si="2"/>
        <v>80.0813008130081</v>
      </c>
    </row>
    <row r="119" ht="17.25" spans="2:26">
      <c r="B119" s="188">
        <v>113</v>
      </c>
      <c r="C119" s="197"/>
      <c r="D119" s="198">
        <v>32</v>
      </c>
      <c r="E119" s="188">
        <v>28</v>
      </c>
      <c r="F119" s="188">
        <v>12740</v>
      </c>
      <c r="G119" s="190">
        <v>1274</v>
      </c>
      <c r="H119" s="195">
        <v>0.018</v>
      </c>
      <c r="I119" s="188">
        <v>2760</v>
      </c>
      <c r="J119" s="191">
        <v>155359</v>
      </c>
      <c r="K119" s="196">
        <v>112.5</v>
      </c>
      <c r="L119" s="186"/>
      <c r="M119" s="188">
        <v>113</v>
      </c>
      <c r="N119" s="188">
        <v>250</v>
      </c>
      <c r="O119" s="191">
        <v>833</v>
      </c>
      <c r="P119" s="191">
        <v>8</v>
      </c>
      <c r="Q119" s="188">
        <v>500</v>
      </c>
      <c r="R119" s="189">
        <v>0.37</v>
      </c>
      <c r="S119" s="192">
        <v>41400</v>
      </c>
      <c r="T119" s="188">
        <v>22275</v>
      </c>
      <c r="U119" s="188">
        <f>SUM($S$7:S119)</f>
        <v>1392000</v>
      </c>
      <c r="V119" s="188">
        <v>101</v>
      </c>
      <c r="W119" s="191">
        <v>51</v>
      </c>
      <c r="X119" s="188">
        <f t="shared" si="5"/>
        <v>44800</v>
      </c>
      <c r="Y119" s="188">
        <f t="shared" si="4"/>
        <v>40200</v>
      </c>
      <c r="Z119" s="194">
        <f t="shared" si="2"/>
        <v>80.4</v>
      </c>
    </row>
    <row r="120" ht="17.25" spans="2:26">
      <c r="B120" s="188">
        <v>114</v>
      </c>
      <c r="C120" s="197"/>
      <c r="D120" s="198">
        <v>32</v>
      </c>
      <c r="E120" s="188">
        <v>28</v>
      </c>
      <c r="F120" s="188">
        <v>13020</v>
      </c>
      <c r="G120" s="190">
        <v>1302</v>
      </c>
      <c r="H120" s="195">
        <v>0.018</v>
      </c>
      <c r="I120" s="188">
        <v>2814</v>
      </c>
      <c r="J120" s="191">
        <v>159541</v>
      </c>
      <c r="K120" s="196">
        <v>114.5</v>
      </c>
      <c r="L120" s="186"/>
      <c r="M120" s="188">
        <v>114</v>
      </c>
      <c r="N120" s="188">
        <v>250</v>
      </c>
      <c r="O120" s="191">
        <v>833</v>
      </c>
      <c r="P120" s="191">
        <v>8</v>
      </c>
      <c r="Q120" s="188">
        <v>508</v>
      </c>
      <c r="R120" s="189">
        <v>0.37</v>
      </c>
      <c r="S120" s="192">
        <v>42200</v>
      </c>
      <c r="T120" s="188">
        <v>22783</v>
      </c>
      <c r="U120" s="188">
        <f>SUM($S$7:S120)</f>
        <v>1434200</v>
      </c>
      <c r="V120" s="188">
        <v>103</v>
      </c>
      <c r="W120" s="191">
        <v>51</v>
      </c>
      <c r="X120" s="188">
        <f t="shared" si="5"/>
        <v>45600</v>
      </c>
      <c r="Y120" s="188">
        <f t="shared" si="4"/>
        <v>41000</v>
      </c>
      <c r="Z120" s="194">
        <f t="shared" si="2"/>
        <v>80.7086614173228</v>
      </c>
    </row>
    <row r="121" ht="17.25" spans="2:26">
      <c r="B121" s="188">
        <v>115</v>
      </c>
      <c r="C121" s="197"/>
      <c r="D121" s="198">
        <v>36</v>
      </c>
      <c r="E121" s="188">
        <v>28</v>
      </c>
      <c r="F121" s="188">
        <v>13300</v>
      </c>
      <c r="G121" s="190">
        <v>1330</v>
      </c>
      <c r="H121" s="195">
        <v>0.018</v>
      </c>
      <c r="I121" s="188">
        <v>2838</v>
      </c>
      <c r="J121" s="191">
        <v>162053</v>
      </c>
      <c r="K121" s="196">
        <v>103.5555556</v>
      </c>
      <c r="L121" s="186"/>
      <c r="M121" s="188">
        <v>115</v>
      </c>
      <c r="N121" s="188">
        <v>250</v>
      </c>
      <c r="O121" s="191">
        <v>833</v>
      </c>
      <c r="P121" s="191">
        <v>8</v>
      </c>
      <c r="Q121" s="188">
        <v>516</v>
      </c>
      <c r="R121" s="189">
        <v>0.37</v>
      </c>
      <c r="S121" s="192">
        <v>43000</v>
      </c>
      <c r="T121" s="188">
        <v>23299</v>
      </c>
      <c r="U121" s="188">
        <f>SUM($S$7:S121)</f>
        <v>1477200</v>
      </c>
      <c r="V121" s="188">
        <v>106</v>
      </c>
      <c r="W121" s="191">
        <v>51</v>
      </c>
      <c r="X121" s="188">
        <f t="shared" si="5"/>
        <v>46400</v>
      </c>
      <c r="Y121" s="188">
        <f t="shared" si="4"/>
        <v>41800</v>
      </c>
      <c r="Z121" s="194">
        <f t="shared" ref="Z121:Z184" si="6">Y121/Q121</f>
        <v>81.0077519379845</v>
      </c>
    </row>
    <row r="122" ht="17.25" spans="2:26">
      <c r="B122" s="188">
        <v>116</v>
      </c>
      <c r="C122" s="197"/>
      <c r="D122" s="198">
        <v>36</v>
      </c>
      <c r="E122" s="188">
        <v>28</v>
      </c>
      <c r="F122" s="188">
        <v>13580</v>
      </c>
      <c r="G122" s="190">
        <v>1358</v>
      </c>
      <c r="H122" s="195">
        <v>0.017</v>
      </c>
      <c r="I122" s="188">
        <v>2892</v>
      </c>
      <c r="J122" s="191">
        <v>166311</v>
      </c>
      <c r="K122" s="196">
        <v>105.3333333</v>
      </c>
      <c r="L122" s="186"/>
      <c r="M122" s="188">
        <v>116</v>
      </c>
      <c r="N122" s="188">
        <v>250</v>
      </c>
      <c r="O122" s="191">
        <v>833</v>
      </c>
      <c r="P122" s="191">
        <v>8</v>
      </c>
      <c r="Q122" s="188">
        <v>524</v>
      </c>
      <c r="R122" s="189">
        <v>0.37</v>
      </c>
      <c r="S122" s="192">
        <v>43800</v>
      </c>
      <c r="T122" s="188">
        <v>23823</v>
      </c>
      <c r="U122" s="188">
        <f>SUM($S$7:S122)</f>
        <v>1521000</v>
      </c>
      <c r="V122" s="188">
        <v>108</v>
      </c>
      <c r="W122" s="191">
        <v>51</v>
      </c>
      <c r="X122" s="188">
        <f t="shared" si="5"/>
        <v>47200</v>
      </c>
      <c r="Y122" s="188">
        <f t="shared" si="4"/>
        <v>42600</v>
      </c>
      <c r="Z122" s="194">
        <f t="shared" si="6"/>
        <v>81.2977099236641</v>
      </c>
    </row>
    <row r="123" ht="17.25" spans="2:26">
      <c r="B123" s="188">
        <v>117</v>
      </c>
      <c r="C123" s="197"/>
      <c r="D123" s="198">
        <v>36</v>
      </c>
      <c r="E123" s="188">
        <v>28</v>
      </c>
      <c r="F123" s="188">
        <v>13860</v>
      </c>
      <c r="G123" s="190">
        <v>1386</v>
      </c>
      <c r="H123" s="195">
        <v>0.017</v>
      </c>
      <c r="I123" s="188">
        <v>2946</v>
      </c>
      <c r="J123" s="191">
        <v>170612</v>
      </c>
      <c r="K123" s="196">
        <v>107.1111111</v>
      </c>
      <c r="L123" s="186"/>
      <c r="M123" s="188">
        <v>117</v>
      </c>
      <c r="N123" s="188">
        <v>250</v>
      </c>
      <c r="O123" s="191">
        <v>833</v>
      </c>
      <c r="P123" s="191">
        <v>8</v>
      </c>
      <c r="Q123" s="188">
        <v>532</v>
      </c>
      <c r="R123" s="189">
        <v>0.37</v>
      </c>
      <c r="S123" s="192">
        <v>44600</v>
      </c>
      <c r="T123" s="188">
        <v>24355</v>
      </c>
      <c r="U123" s="188">
        <f>SUM($S$7:S123)</f>
        <v>1565600</v>
      </c>
      <c r="V123" s="188">
        <v>110</v>
      </c>
      <c r="W123" s="191">
        <v>51</v>
      </c>
      <c r="X123" s="188">
        <f t="shared" si="5"/>
        <v>48000</v>
      </c>
      <c r="Y123" s="188">
        <f t="shared" si="4"/>
        <v>43400</v>
      </c>
      <c r="Z123" s="194">
        <f t="shared" si="6"/>
        <v>81.5789473684211</v>
      </c>
    </row>
    <row r="124" ht="17.25" spans="2:26">
      <c r="B124" s="188">
        <v>118</v>
      </c>
      <c r="C124" s="197"/>
      <c r="D124" s="198">
        <v>36</v>
      </c>
      <c r="E124" s="188">
        <v>28</v>
      </c>
      <c r="F124" s="188">
        <v>14140</v>
      </c>
      <c r="G124" s="190">
        <v>1414</v>
      </c>
      <c r="H124" s="195">
        <v>0.017</v>
      </c>
      <c r="I124" s="188">
        <v>2970</v>
      </c>
      <c r="J124" s="191">
        <v>173208</v>
      </c>
      <c r="K124" s="196">
        <v>108.8888889</v>
      </c>
      <c r="L124" s="186"/>
      <c r="M124" s="188">
        <v>118</v>
      </c>
      <c r="N124" s="188">
        <v>250</v>
      </c>
      <c r="O124" s="191">
        <v>833</v>
      </c>
      <c r="P124" s="191">
        <v>8</v>
      </c>
      <c r="Q124" s="188">
        <v>540</v>
      </c>
      <c r="R124" s="189">
        <v>0.37</v>
      </c>
      <c r="S124" s="192">
        <v>45400</v>
      </c>
      <c r="T124" s="188">
        <v>24895</v>
      </c>
      <c r="U124" s="188">
        <f>SUM($S$7:S124)</f>
        <v>1611000</v>
      </c>
      <c r="V124" s="188">
        <v>113</v>
      </c>
      <c r="W124" s="191">
        <v>51</v>
      </c>
      <c r="X124" s="188">
        <f t="shared" si="5"/>
        <v>48800</v>
      </c>
      <c r="Y124" s="188">
        <f t="shared" si="4"/>
        <v>44200</v>
      </c>
      <c r="Z124" s="194">
        <f t="shared" si="6"/>
        <v>81.8518518518518</v>
      </c>
    </row>
    <row r="125" ht="17.25" spans="2:26">
      <c r="B125" s="188">
        <v>119</v>
      </c>
      <c r="C125" s="197"/>
      <c r="D125" s="198">
        <v>36</v>
      </c>
      <c r="E125" s="188">
        <v>28</v>
      </c>
      <c r="F125" s="188">
        <v>14420</v>
      </c>
      <c r="G125" s="190">
        <v>1442</v>
      </c>
      <c r="H125" s="195">
        <v>0.017</v>
      </c>
      <c r="I125" s="188">
        <v>3024</v>
      </c>
      <c r="J125" s="191">
        <v>177585</v>
      </c>
      <c r="K125" s="196">
        <v>110.6666667</v>
      </c>
      <c r="L125" s="186"/>
      <c r="M125" s="188">
        <v>119</v>
      </c>
      <c r="N125" s="188">
        <v>250</v>
      </c>
      <c r="O125" s="191">
        <v>833</v>
      </c>
      <c r="P125" s="191">
        <v>8</v>
      </c>
      <c r="Q125" s="188">
        <v>548</v>
      </c>
      <c r="R125" s="189">
        <v>0.37</v>
      </c>
      <c r="S125" s="192">
        <v>46200</v>
      </c>
      <c r="T125" s="188">
        <v>25443</v>
      </c>
      <c r="U125" s="188">
        <f>SUM($S$7:S125)</f>
        <v>1657200</v>
      </c>
      <c r="V125" s="188">
        <v>115</v>
      </c>
      <c r="W125" s="191">
        <v>51</v>
      </c>
      <c r="X125" s="188">
        <f t="shared" si="5"/>
        <v>49600</v>
      </c>
      <c r="Y125" s="188">
        <f t="shared" si="4"/>
        <v>45000</v>
      </c>
      <c r="Z125" s="194">
        <f t="shared" si="6"/>
        <v>82.1167883211679</v>
      </c>
    </row>
    <row r="126" ht="17.25" spans="2:26">
      <c r="B126" s="188">
        <v>120</v>
      </c>
      <c r="C126" s="197"/>
      <c r="D126" s="198">
        <v>36</v>
      </c>
      <c r="E126" s="188">
        <v>32</v>
      </c>
      <c r="F126" s="188">
        <v>14740</v>
      </c>
      <c r="G126" s="190">
        <v>1474</v>
      </c>
      <c r="H126" s="195">
        <v>0.016</v>
      </c>
      <c r="I126" s="188">
        <v>3078</v>
      </c>
      <c r="J126" s="191">
        <v>198204</v>
      </c>
      <c r="K126" s="196">
        <v>112.4444444</v>
      </c>
      <c r="L126" s="186"/>
      <c r="M126" s="188">
        <v>120</v>
      </c>
      <c r="N126" s="188">
        <v>250</v>
      </c>
      <c r="O126" s="191">
        <v>833</v>
      </c>
      <c r="P126" s="191">
        <v>8</v>
      </c>
      <c r="Q126" s="188">
        <v>556</v>
      </c>
      <c r="R126" s="189">
        <v>0.36</v>
      </c>
      <c r="S126" s="192">
        <v>47000</v>
      </c>
      <c r="T126" s="188">
        <v>25999</v>
      </c>
      <c r="U126" s="188">
        <f>SUM($S$7:S126)</f>
        <v>1704200</v>
      </c>
      <c r="V126" s="188">
        <v>118</v>
      </c>
      <c r="W126" s="191">
        <v>51</v>
      </c>
      <c r="X126" s="188">
        <f t="shared" si="5"/>
        <v>50400</v>
      </c>
      <c r="Y126" s="188">
        <f t="shared" si="4"/>
        <v>45800</v>
      </c>
      <c r="Z126" s="194">
        <f t="shared" si="6"/>
        <v>82.3741007194245</v>
      </c>
    </row>
    <row r="127" ht="17.25" spans="2:26">
      <c r="B127" s="188">
        <v>121</v>
      </c>
      <c r="C127" s="197"/>
      <c r="D127" s="198">
        <v>36</v>
      </c>
      <c r="E127" s="188">
        <v>32</v>
      </c>
      <c r="F127" s="188">
        <v>15060</v>
      </c>
      <c r="G127" s="190">
        <v>1506</v>
      </c>
      <c r="H127" s="195">
        <v>0.015</v>
      </c>
      <c r="I127" s="188">
        <v>3102</v>
      </c>
      <c r="J127" s="191">
        <v>201009</v>
      </c>
      <c r="K127" s="196">
        <v>114.2222222</v>
      </c>
      <c r="L127" s="186"/>
      <c r="M127" s="188">
        <v>121</v>
      </c>
      <c r="N127" s="188">
        <v>250</v>
      </c>
      <c r="O127" s="191">
        <v>833</v>
      </c>
      <c r="P127" s="191">
        <v>8</v>
      </c>
      <c r="Q127" s="188">
        <v>564</v>
      </c>
      <c r="R127" s="189">
        <v>0.36</v>
      </c>
      <c r="S127" s="192">
        <v>47800</v>
      </c>
      <c r="T127" s="188">
        <v>26563</v>
      </c>
      <c r="U127" s="188">
        <f>SUM($S$7:S127)</f>
        <v>1752000</v>
      </c>
      <c r="V127" s="188">
        <v>120</v>
      </c>
      <c r="W127" s="191">
        <v>51</v>
      </c>
      <c r="X127" s="188">
        <f t="shared" si="5"/>
        <v>51200</v>
      </c>
      <c r="Y127" s="188">
        <f t="shared" si="4"/>
        <v>46600</v>
      </c>
      <c r="Z127" s="194">
        <f t="shared" si="6"/>
        <v>82.6241134751773</v>
      </c>
    </row>
    <row r="128" ht="17.25" spans="2:26">
      <c r="B128" s="188">
        <v>122</v>
      </c>
      <c r="C128" s="197"/>
      <c r="D128" s="198">
        <v>36</v>
      </c>
      <c r="E128" s="188">
        <v>32</v>
      </c>
      <c r="F128" s="188">
        <v>15380</v>
      </c>
      <c r="G128" s="190">
        <v>1538</v>
      </c>
      <c r="H128" s="195">
        <v>0.015</v>
      </c>
      <c r="I128" s="188">
        <v>3156</v>
      </c>
      <c r="J128" s="191">
        <v>205790</v>
      </c>
      <c r="K128" s="196">
        <v>116</v>
      </c>
      <c r="L128" s="186"/>
      <c r="M128" s="188">
        <v>122</v>
      </c>
      <c r="N128" s="188">
        <v>250</v>
      </c>
      <c r="O128" s="191">
        <v>833</v>
      </c>
      <c r="P128" s="191">
        <v>8</v>
      </c>
      <c r="Q128" s="188">
        <v>572</v>
      </c>
      <c r="R128" s="189">
        <v>0.36</v>
      </c>
      <c r="S128" s="192">
        <v>48600</v>
      </c>
      <c r="T128" s="188">
        <v>27135</v>
      </c>
      <c r="U128" s="188">
        <f>SUM($S$7:S128)</f>
        <v>1800600</v>
      </c>
      <c r="V128" s="188">
        <v>123</v>
      </c>
      <c r="W128" s="191">
        <v>51</v>
      </c>
      <c r="X128" s="188">
        <f t="shared" si="5"/>
        <v>52000</v>
      </c>
      <c r="Y128" s="188">
        <f t="shared" si="4"/>
        <v>47400</v>
      </c>
      <c r="Z128" s="194">
        <f t="shared" si="6"/>
        <v>82.8671328671329</v>
      </c>
    </row>
    <row r="129" ht="17.25" spans="2:26">
      <c r="B129" s="188">
        <v>123</v>
      </c>
      <c r="C129" s="197"/>
      <c r="D129" s="198">
        <v>36</v>
      </c>
      <c r="E129" s="188">
        <v>32</v>
      </c>
      <c r="F129" s="188">
        <v>15700</v>
      </c>
      <c r="G129" s="190">
        <v>1570</v>
      </c>
      <c r="H129" s="195">
        <v>0.015</v>
      </c>
      <c r="I129" s="188">
        <v>3210</v>
      </c>
      <c r="J129" s="191">
        <v>210614</v>
      </c>
      <c r="K129" s="196">
        <v>117.7777778</v>
      </c>
      <c r="L129" s="186"/>
      <c r="M129" s="188">
        <v>123</v>
      </c>
      <c r="N129" s="188">
        <v>250</v>
      </c>
      <c r="O129" s="191">
        <v>833</v>
      </c>
      <c r="P129" s="191">
        <v>8</v>
      </c>
      <c r="Q129" s="188">
        <v>580</v>
      </c>
      <c r="R129" s="189">
        <v>0.36</v>
      </c>
      <c r="S129" s="192">
        <v>49400</v>
      </c>
      <c r="T129" s="188">
        <v>27715</v>
      </c>
      <c r="U129" s="188">
        <f>SUM($S$7:S129)</f>
        <v>1850000</v>
      </c>
      <c r="V129" s="188">
        <v>125</v>
      </c>
      <c r="W129" s="191">
        <v>51</v>
      </c>
      <c r="X129" s="188">
        <f t="shared" si="5"/>
        <v>52800</v>
      </c>
      <c r="Y129" s="188">
        <f t="shared" si="4"/>
        <v>48200</v>
      </c>
      <c r="Z129" s="194">
        <f t="shared" si="6"/>
        <v>83.1034482758621</v>
      </c>
    </row>
    <row r="130" ht="17.25" spans="2:26">
      <c r="B130" s="188">
        <v>124</v>
      </c>
      <c r="C130" s="197"/>
      <c r="D130" s="198">
        <v>36</v>
      </c>
      <c r="E130" s="188">
        <v>32</v>
      </c>
      <c r="F130" s="188">
        <v>16020</v>
      </c>
      <c r="G130" s="190">
        <v>1602</v>
      </c>
      <c r="H130" s="195">
        <v>0.015</v>
      </c>
      <c r="I130" s="188">
        <v>3234</v>
      </c>
      <c r="J130" s="191">
        <v>213501</v>
      </c>
      <c r="K130" s="196">
        <v>119.5555556</v>
      </c>
      <c r="L130" s="186"/>
      <c r="M130" s="188">
        <v>124</v>
      </c>
      <c r="N130" s="188">
        <v>310</v>
      </c>
      <c r="O130" s="191">
        <v>833</v>
      </c>
      <c r="P130" s="191">
        <v>8</v>
      </c>
      <c r="Q130" s="188">
        <v>588</v>
      </c>
      <c r="R130" s="189">
        <v>0.36</v>
      </c>
      <c r="S130" s="192">
        <v>50200</v>
      </c>
      <c r="T130" s="188">
        <v>28303</v>
      </c>
      <c r="U130" s="188">
        <f>SUM($S$7:S130)</f>
        <v>1900200</v>
      </c>
      <c r="V130" s="188">
        <v>128</v>
      </c>
      <c r="W130" s="191">
        <v>51</v>
      </c>
      <c r="X130" s="193">
        <v>53600</v>
      </c>
      <c r="Y130" s="188">
        <f t="shared" si="4"/>
        <v>49000</v>
      </c>
      <c r="Z130" s="194">
        <f t="shared" si="6"/>
        <v>83.3333333333333</v>
      </c>
    </row>
    <row r="131" ht="17.25" spans="2:26">
      <c r="B131" s="188">
        <v>125</v>
      </c>
      <c r="C131" s="197"/>
      <c r="D131" s="198">
        <v>40</v>
      </c>
      <c r="E131" s="188">
        <v>32</v>
      </c>
      <c r="F131" s="188">
        <v>16340</v>
      </c>
      <c r="G131" s="190">
        <v>1634</v>
      </c>
      <c r="H131" s="195">
        <v>0.015</v>
      </c>
      <c r="I131" s="188">
        <v>3288</v>
      </c>
      <c r="J131" s="191">
        <v>218401</v>
      </c>
      <c r="K131" s="196">
        <v>109.2</v>
      </c>
      <c r="L131" s="186"/>
      <c r="M131" s="188">
        <v>125</v>
      </c>
      <c r="N131" s="188">
        <v>310</v>
      </c>
      <c r="O131" s="191">
        <v>833</v>
      </c>
      <c r="P131" s="191">
        <v>8</v>
      </c>
      <c r="Q131" s="188">
        <v>596</v>
      </c>
      <c r="R131" s="189">
        <v>0.36</v>
      </c>
      <c r="S131" s="192">
        <v>51000</v>
      </c>
      <c r="T131" s="188">
        <v>28899</v>
      </c>
      <c r="U131" s="188">
        <f>SUM($S$7:S131)</f>
        <v>1951200</v>
      </c>
      <c r="V131" s="188">
        <v>131</v>
      </c>
      <c r="W131" s="191">
        <v>51</v>
      </c>
      <c r="X131" s="193">
        <v>54400</v>
      </c>
      <c r="Y131" s="188">
        <f t="shared" si="4"/>
        <v>49800</v>
      </c>
      <c r="Z131" s="194">
        <f t="shared" si="6"/>
        <v>83.5570469798658</v>
      </c>
    </row>
    <row r="132" ht="17.25" spans="2:26">
      <c r="B132" s="188">
        <v>126</v>
      </c>
      <c r="C132" s="197"/>
      <c r="D132" s="198">
        <v>40</v>
      </c>
      <c r="E132" s="188">
        <v>32</v>
      </c>
      <c r="F132" s="188">
        <v>16660</v>
      </c>
      <c r="G132" s="190">
        <v>1666</v>
      </c>
      <c r="H132" s="195">
        <v>0.015</v>
      </c>
      <c r="I132" s="188">
        <v>3342</v>
      </c>
      <c r="J132" s="191">
        <v>223345</v>
      </c>
      <c r="K132" s="196">
        <v>110.8</v>
      </c>
      <c r="L132" s="186"/>
      <c r="M132" s="188">
        <v>126</v>
      </c>
      <c r="N132" s="188">
        <v>310</v>
      </c>
      <c r="O132" s="191">
        <v>833</v>
      </c>
      <c r="P132" s="191">
        <v>8</v>
      </c>
      <c r="Q132" s="188">
        <v>604</v>
      </c>
      <c r="R132" s="189">
        <v>0.36</v>
      </c>
      <c r="S132" s="192">
        <v>51800</v>
      </c>
      <c r="T132" s="188">
        <v>29503</v>
      </c>
      <c r="U132" s="188">
        <f>SUM($S$7:S132)</f>
        <v>2003000</v>
      </c>
      <c r="V132" s="188">
        <v>134</v>
      </c>
      <c r="W132" s="191">
        <v>51</v>
      </c>
      <c r="X132" s="188"/>
      <c r="Y132" s="188">
        <f t="shared" si="4"/>
        <v>50600</v>
      </c>
      <c r="Z132" s="194">
        <f t="shared" si="6"/>
        <v>83.7748344370861</v>
      </c>
    </row>
    <row r="133" ht="17.25" spans="2:26">
      <c r="B133" s="188">
        <v>127</v>
      </c>
      <c r="C133" s="197"/>
      <c r="D133" s="198">
        <v>40</v>
      </c>
      <c r="E133" s="188">
        <v>32</v>
      </c>
      <c r="F133" s="188">
        <v>16980</v>
      </c>
      <c r="G133" s="190">
        <v>1698</v>
      </c>
      <c r="H133" s="195">
        <v>0.015</v>
      </c>
      <c r="I133" s="188">
        <v>3366</v>
      </c>
      <c r="J133" s="191">
        <v>226315</v>
      </c>
      <c r="K133" s="196">
        <v>112.4</v>
      </c>
      <c r="L133" s="186"/>
      <c r="M133" s="188">
        <v>127</v>
      </c>
      <c r="N133" s="188">
        <v>310</v>
      </c>
      <c r="O133" s="191">
        <v>833</v>
      </c>
      <c r="P133" s="191">
        <v>8</v>
      </c>
      <c r="Q133" s="188">
        <v>612</v>
      </c>
      <c r="R133" s="189">
        <v>0.36</v>
      </c>
      <c r="S133" s="192">
        <v>52600</v>
      </c>
      <c r="T133" s="188">
        <v>30115</v>
      </c>
      <c r="U133" s="188">
        <f>SUM($S$7:S133)</f>
        <v>2055600</v>
      </c>
      <c r="V133" s="188">
        <v>137</v>
      </c>
      <c r="W133" s="191">
        <v>51</v>
      </c>
      <c r="X133" s="188"/>
      <c r="Y133" s="188">
        <f t="shared" si="4"/>
        <v>51400</v>
      </c>
      <c r="Z133" s="194">
        <f t="shared" si="6"/>
        <v>83.9869281045752</v>
      </c>
    </row>
    <row r="134" ht="17.25" spans="2:26">
      <c r="B134" s="188">
        <v>128</v>
      </c>
      <c r="C134" s="197"/>
      <c r="D134" s="198">
        <v>40</v>
      </c>
      <c r="E134" s="188">
        <v>32</v>
      </c>
      <c r="F134" s="188">
        <v>17300</v>
      </c>
      <c r="G134" s="190">
        <v>1730</v>
      </c>
      <c r="H134" s="195">
        <v>0.015</v>
      </c>
      <c r="I134" s="188">
        <v>3420</v>
      </c>
      <c r="J134" s="191">
        <v>231334</v>
      </c>
      <c r="K134" s="196">
        <v>114</v>
      </c>
      <c r="L134" s="186"/>
      <c r="M134" s="188">
        <v>128</v>
      </c>
      <c r="N134" s="188">
        <v>310</v>
      </c>
      <c r="O134" s="191">
        <v>833</v>
      </c>
      <c r="P134" s="191">
        <v>8</v>
      </c>
      <c r="Q134" s="188">
        <v>620</v>
      </c>
      <c r="R134" s="189">
        <v>0.35</v>
      </c>
      <c r="S134" s="192">
        <v>53400</v>
      </c>
      <c r="T134" s="188">
        <v>30735</v>
      </c>
      <c r="U134" s="188">
        <f>SUM($S$7:S134)</f>
        <v>2109000</v>
      </c>
      <c r="V134" s="188">
        <v>139</v>
      </c>
      <c r="W134" s="191">
        <v>51</v>
      </c>
      <c r="X134" s="188"/>
      <c r="Y134" s="188">
        <f t="shared" si="4"/>
        <v>52200</v>
      </c>
      <c r="Z134" s="194">
        <f t="shared" si="6"/>
        <v>84.1935483870968</v>
      </c>
    </row>
    <row r="135" ht="17.25" spans="2:26">
      <c r="B135" s="188">
        <v>129</v>
      </c>
      <c r="C135" s="197"/>
      <c r="D135" s="198">
        <v>40</v>
      </c>
      <c r="E135" s="188">
        <v>32</v>
      </c>
      <c r="F135" s="188">
        <v>17620</v>
      </c>
      <c r="G135" s="190">
        <v>1762</v>
      </c>
      <c r="H135" s="195">
        <v>0.015</v>
      </c>
      <c r="I135" s="188">
        <v>3474</v>
      </c>
      <c r="J135" s="191">
        <v>236397</v>
      </c>
      <c r="K135" s="196">
        <v>115.6</v>
      </c>
      <c r="L135" s="186"/>
      <c r="M135" s="188">
        <v>129</v>
      </c>
      <c r="N135" s="188">
        <v>310</v>
      </c>
      <c r="O135" s="191">
        <v>833</v>
      </c>
      <c r="P135" s="191">
        <v>8</v>
      </c>
      <c r="Q135" s="188">
        <v>628</v>
      </c>
      <c r="R135" s="189">
        <v>0.35</v>
      </c>
      <c r="S135" s="192">
        <v>54200</v>
      </c>
      <c r="T135" s="188">
        <v>31363</v>
      </c>
      <c r="U135" s="188">
        <f>SUM($S$7:S135)</f>
        <v>2163200</v>
      </c>
      <c r="V135" s="188">
        <v>142</v>
      </c>
      <c r="W135" s="191">
        <v>51</v>
      </c>
      <c r="X135" s="188"/>
      <c r="Y135" s="188">
        <f t="shared" si="4"/>
        <v>53000</v>
      </c>
      <c r="Z135" s="194">
        <f t="shared" si="6"/>
        <v>84.3949044585987</v>
      </c>
    </row>
    <row r="136" ht="17.25" spans="2:26">
      <c r="B136" s="188">
        <v>130</v>
      </c>
      <c r="C136" s="197"/>
      <c r="D136" s="198">
        <v>40</v>
      </c>
      <c r="E136" s="188">
        <v>36</v>
      </c>
      <c r="F136" s="188">
        <v>17980</v>
      </c>
      <c r="G136" s="190">
        <v>1798</v>
      </c>
      <c r="H136" s="195">
        <v>0.015</v>
      </c>
      <c r="I136" s="188">
        <v>3498</v>
      </c>
      <c r="J136" s="191">
        <v>234224</v>
      </c>
      <c r="K136" s="196">
        <v>117.2</v>
      </c>
      <c r="L136" s="186"/>
      <c r="M136" s="188">
        <v>130</v>
      </c>
      <c r="N136" s="188">
        <v>310</v>
      </c>
      <c r="O136" s="191">
        <v>833</v>
      </c>
      <c r="P136" s="191">
        <v>8</v>
      </c>
      <c r="Q136" s="188">
        <v>636</v>
      </c>
      <c r="R136" s="189">
        <v>0.35</v>
      </c>
      <c r="S136" s="192">
        <v>55000</v>
      </c>
      <c r="T136" s="188">
        <v>31999</v>
      </c>
      <c r="U136" s="188">
        <f>SUM($S$7:S136)</f>
        <v>2218200</v>
      </c>
      <c r="V136" s="188">
        <v>145</v>
      </c>
      <c r="W136" s="191">
        <v>51</v>
      </c>
      <c r="X136" s="188"/>
      <c r="Y136" s="188">
        <f t="shared" si="4"/>
        <v>53800</v>
      </c>
      <c r="Z136" s="194">
        <f t="shared" si="6"/>
        <v>84.5911949685535</v>
      </c>
    </row>
    <row r="137" ht="17.25" spans="2:26">
      <c r="B137" s="188">
        <v>131</v>
      </c>
      <c r="C137" s="197"/>
      <c r="D137" s="198">
        <v>40</v>
      </c>
      <c r="E137" s="188">
        <v>36</v>
      </c>
      <c r="F137" s="188">
        <v>18340</v>
      </c>
      <c r="G137" s="190">
        <v>1834</v>
      </c>
      <c r="H137" s="195">
        <v>0.015</v>
      </c>
      <c r="I137" s="188">
        <v>3552</v>
      </c>
      <c r="J137" s="191">
        <v>239281</v>
      </c>
      <c r="K137" s="196">
        <v>118.8</v>
      </c>
      <c r="L137" s="186"/>
      <c r="M137" s="188">
        <v>131</v>
      </c>
      <c r="N137" s="188">
        <v>310</v>
      </c>
      <c r="O137" s="191">
        <v>833</v>
      </c>
      <c r="P137" s="191">
        <v>8</v>
      </c>
      <c r="Q137" s="188">
        <v>644</v>
      </c>
      <c r="R137" s="189">
        <v>0.35</v>
      </c>
      <c r="S137" s="192">
        <v>55800</v>
      </c>
      <c r="T137" s="188">
        <v>32643</v>
      </c>
      <c r="U137" s="188">
        <f>SUM($S$7:S137)</f>
        <v>2274000</v>
      </c>
      <c r="V137" s="188">
        <v>148</v>
      </c>
      <c r="W137" s="191">
        <v>51</v>
      </c>
      <c r="X137" s="188"/>
      <c r="Y137" s="188">
        <f t="shared" si="4"/>
        <v>54600</v>
      </c>
      <c r="Z137" s="194">
        <f t="shared" si="6"/>
        <v>84.7826086956522</v>
      </c>
    </row>
    <row r="138" ht="17.25" spans="2:26">
      <c r="B138" s="188">
        <v>132</v>
      </c>
      <c r="C138" s="197"/>
      <c r="D138" s="198">
        <v>40</v>
      </c>
      <c r="E138" s="188">
        <v>36</v>
      </c>
      <c r="F138" s="188">
        <v>18700</v>
      </c>
      <c r="G138" s="190">
        <v>1870</v>
      </c>
      <c r="H138" s="195">
        <v>0.015</v>
      </c>
      <c r="I138" s="188">
        <v>3606</v>
      </c>
      <c r="J138" s="191">
        <v>244383</v>
      </c>
      <c r="K138" s="196">
        <v>120.4</v>
      </c>
      <c r="L138" s="186"/>
      <c r="M138" s="188">
        <v>132</v>
      </c>
      <c r="N138" s="188">
        <v>310</v>
      </c>
      <c r="O138" s="191">
        <v>833</v>
      </c>
      <c r="P138" s="191">
        <v>8</v>
      </c>
      <c r="Q138" s="188">
        <v>652</v>
      </c>
      <c r="R138" s="189">
        <v>0.35</v>
      </c>
      <c r="S138" s="192">
        <v>56600</v>
      </c>
      <c r="T138" s="188">
        <v>33295</v>
      </c>
      <c r="U138" s="188">
        <f>SUM($S$7:S138)</f>
        <v>2330600</v>
      </c>
      <c r="V138" s="188">
        <v>151</v>
      </c>
      <c r="W138" s="191">
        <v>51</v>
      </c>
      <c r="X138" s="188"/>
      <c r="Y138" s="188">
        <f t="shared" si="4"/>
        <v>55400</v>
      </c>
      <c r="Z138" s="194">
        <f t="shared" si="6"/>
        <v>84.9693251533742</v>
      </c>
    </row>
    <row r="139" ht="17.25" spans="2:26">
      <c r="B139" s="188">
        <v>133</v>
      </c>
      <c r="C139" s="197"/>
      <c r="D139" s="198">
        <v>40</v>
      </c>
      <c r="E139" s="188">
        <v>36</v>
      </c>
      <c r="F139" s="188">
        <v>19060</v>
      </c>
      <c r="G139" s="190">
        <v>1906</v>
      </c>
      <c r="H139" s="195">
        <v>0.015</v>
      </c>
      <c r="I139" s="188">
        <v>3630</v>
      </c>
      <c r="J139" s="191">
        <v>247483</v>
      </c>
      <c r="K139" s="196">
        <v>122</v>
      </c>
      <c r="L139" s="186"/>
      <c r="M139" s="188">
        <v>133</v>
      </c>
      <c r="N139" s="188">
        <v>310</v>
      </c>
      <c r="O139" s="191">
        <v>833</v>
      </c>
      <c r="P139" s="191">
        <v>8</v>
      </c>
      <c r="Q139" s="188">
        <v>660</v>
      </c>
      <c r="R139" s="189">
        <v>0.34</v>
      </c>
      <c r="S139" s="192">
        <v>57400</v>
      </c>
      <c r="T139" s="188">
        <v>33955</v>
      </c>
      <c r="U139" s="188">
        <f>SUM($S$7:S139)</f>
        <v>2388000</v>
      </c>
      <c r="V139" s="188">
        <v>154</v>
      </c>
      <c r="W139" s="191">
        <v>51</v>
      </c>
      <c r="X139" s="188"/>
      <c r="Y139" s="188">
        <f t="shared" si="4"/>
        <v>56200</v>
      </c>
      <c r="Z139" s="194">
        <f t="shared" si="6"/>
        <v>85.1515151515152</v>
      </c>
    </row>
    <row r="140" ht="17.25" spans="2:26">
      <c r="B140" s="188">
        <v>134</v>
      </c>
      <c r="C140" s="197"/>
      <c r="D140" s="198">
        <v>40</v>
      </c>
      <c r="E140" s="188">
        <v>36</v>
      </c>
      <c r="F140" s="188">
        <v>19420</v>
      </c>
      <c r="G140" s="190">
        <v>1942</v>
      </c>
      <c r="H140" s="195">
        <v>0.015</v>
      </c>
      <c r="I140" s="188">
        <v>3684</v>
      </c>
      <c r="J140" s="191">
        <v>252660</v>
      </c>
      <c r="K140" s="196">
        <v>123.6</v>
      </c>
      <c r="L140" s="186"/>
      <c r="M140" s="188">
        <v>134</v>
      </c>
      <c r="N140" s="188">
        <v>310</v>
      </c>
      <c r="O140" s="191">
        <v>833</v>
      </c>
      <c r="P140" s="191">
        <v>8</v>
      </c>
      <c r="Q140" s="188">
        <v>668</v>
      </c>
      <c r="R140" s="189">
        <v>0.34</v>
      </c>
      <c r="S140" s="192">
        <v>58200</v>
      </c>
      <c r="T140" s="188">
        <v>34623</v>
      </c>
      <c r="U140" s="188">
        <f>SUM($S$7:S140)</f>
        <v>2446200</v>
      </c>
      <c r="V140" s="188">
        <v>157</v>
      </c>
      <c r="W140" s="191">
        <v>51</v>
      </c>
      <c r="X140" s="188"/>
      <c r="Y140" s="188">
        <f t="shared" si="4"/>
        <v>57000</v>
      </c>
      <c r="Z140" s="194">
        <f t="shared" si="6"/>
        <v>85.3293413173653</v>
      </c>
    </row>
    <row r="141" ht="17.25" spans="2:26">
      <c r="B141" s="188">
        <v>135</v>
      </c>
      <c r="C141" s="197"/>
      <c r="D141" s="198">
        <v>45</v>
      </c>
      <c r="E141" s="188">
        <v>36</v>
      </c>
      <c r="F141" s="188">
        <v>19780</v>
      </c>
      <c r="G141" s="190">
        <v>1978</v>
      </c>
      <c r="H141" s="195">
        <v>0.014</v>
      </c>
      <c r="I141" s="188">
        <v>3738</v>
      </c>
      <c r="J141" s="191">
        <v>257881</v>
      </c>
      <c r="K141" s="196">
        <v>111.2888889</v>
      </c>
      <c r="L141" s="186"/>
      <c r="M141" s="188">
        <v>135</v>
      </c>
      <c r="N141" s="188">
        <v>310</v>
      </c>
      <c r="O141" s="191">
        <v>833</v>
      </c>
      <c r="P141" s="191">
        <v>8</v>
      </c>
      <c r="Q141" s="188">
        <v>676</v>
      </c>
      <c r="R141" s="189">
        <v>0.34</v>
      </c>
      <c r="S141" s="192">
        <v>59000</v>
      </c>
      <c r="T141" s="188">
        <v>35299</v>
      </c>
      <c r="U141" s="188">
        <f>SUM($S$7:S141)</f>
        <v>2505200</v>
      </c>
      <c r="V141" s="188">
        <v>160</v>
      </c>
      <c r="W141" s="191">
        <v>51</v>
      </c>
      <c r="X141" s="188"/>
      <c r="Y141" s="188">
        <f t="shared" si="4"/>
        <v>57800</v>
      </c>
      <c r="Z141" s="194">
        <f t="shared" si="6"/>
        <v>85.5029585798816</v>
      </c>
    </row>
    <row r="142" ht="17.25" spans="2:26">
      <c r="B142" s="188">
        <v>136</v>
      </c>
      <c r="C142" s="197"/>
      <c r="D142" s="198">
        <v>45</v>
      </c>
      <c r="E142" s="188">
        <v>36</v>
      </c>
      <c r="F142" s="188">
        <v>20140</v>
      </c>
      <c r="G142" s="190">
        <v>2014</v>
      </c>
      <c r="H142" s="195">
        <v>0.014</v>
      </c>
      <c r="I142" s="188">
        <v>3762</v>
      </c>
      <c r="J142" s="191">
        <v>261064</v>
      </c>
      <c r="K142" s="196">
        <v>112.7111111</v>
      </c>
      <c r="L142" s="186"/>
      <c r="M142" s="188">
        <v>136</v>
      </c>
      <c r="N142" s="188">
        <v>370</v>
      </c>
      <c r="O142" s="191">
        <v>833</v>
      </c>
      <c r="P142" s="191">
        <v>8</v>
      </c>
      <c r="Q142" s="188">
        <v>684</v>
      </c>
      <c r="R142" s="189">
        <v>0.34</v>
      </c>
      <c r="S142" s="192">
        <v>59800</v>
      </c>
      <c r="T142" s="188">
        <v>35983</v>
      </c>
      <c r="U142" s="188">
        <f>SUM($S$7:S142)</f>
        <v>2565000</v>
      </c>
      <c r="V142" s="188">
        <v>163</v>
      </c>
      <c r="W142" s="191">
        <v>51</v>
      </c>
      <c r="X142" s="188"/>
      <c r="Y142" s="188">
        <f t="shared" si="4"/>
        <v>58600</v>
      </c>
      <c r="Z142" s="194">
        <f t="shared" si="6"/>
        <v>85.672514619883</v>
      </c>
    </row>
    <row r="143" ht="17.25" spans="2:26">
      <c r="B143" s="188">
        <v>137</v>
      </c>
      <c r="C143" s="197"/>
      <c r="D143" s="198">
        <v>45</v>
      </c>
      <c r="E143" s="188">
        <v>36</v>
      </c>
      <c r="F143" s="188">
        <v>20500</v>
      </c>
      <c r="G143" s="190">
        <v>2050</v>
      </c>
      <c r="H143" s="195">
        <v>0.014</v>
      </c>
      <c r="I143" s="188">
        <v>3816</v>
      </c>
      <c r="J143" s="191">
        <v>266361</v>
      </c>
      <c r="K143" s="196">
        <v>114.1333333</v>
      </c>
      <c r="L143" s="186"/>
      <c r="M143" s="188">
        <v>137</v>
      </c>
      <c r="N143" s="188">
        <v>370</v>
      </c>
      <c r="O143" s="191">
        <v>833</v>
      </c>
      <c r="P143" s="191">
        <v>8</v>
      </c>
      <c r="Q143" s="188">
        <v>692</v>
      </c>
      <c r="R143" s="189">
        <v>0.33</v>
      </c>
      <c r="S143" s="192">
        <v>60600</v>
      </c>
      <c r="T143" s="188">
        <v>36675</v>
      </c>
      <c r="U143" s="188">
        <f>SUM($S$7:S143)</f>
        <v>2625600</v>
      </c>
      <c r="V143" s="188">
        <v>166</v>
      </c>
      <c r="W143" s="191">
        <v>51</v>
      </c>
      <c r="X143" s="188"/>
      <c r="Y143" s="188">
        <f t="shared" si="4"/>
        <v>59400</v>
      </c>
      <c r="Z143" s="194">
        <f t="shared" si="6"/>
        <v>85.8381502890173</v>
      </c>
    </row>
    <row r="144" ht="17.25" spans="2:26">
      <c r="B144" s="188">
        <v>138</v>
      </c>
      <c r="C144" s="197"/>
      <c r="D144" s="198">
        <v>45</v>
      </c>
      <c r="E144" s="188">
        <v>36</v>
      </c>
      <c r="F144" s="188">
        <v>20860</v>
      </c>
      <c r="G144" s="190">
        <v>2086</v>
      </c>
      <c r="H144" s="195">
        <v>0.014</v>
      </c>
      <c r="I144" s="188">
        <v>3870</v>
      </c>
      <c r="J144" s="191">
        <v>271701</v>
      </c>
      <c r="K144" s="196">
        <v>115.5555556</v>
      </c>
      <c r="L144" s="186"/>
      <c r="M144" s="188">
        <v>138</v>
      </c>
      <c r="N144" s="188">
        <v>370</v>
      </c>
      <c r="O144" s="191">
        <v>833</v>
      </c>
      <c r="P144" s="191">
        <v>8</v>
      </c>
      <c r="Q144" s="188">
        <v>700</v>
      </c>
      <c r="R144" s="189">
        <v>0.33</v>
      </c>
      <c r="S144" s="192">
        <v>61400</v>
      </c>
      <c r="T144" s="188">
        <v>37375</v>
      </c>
      <c r="U144" s="188">
        <f>SUM($S$7:S144)</f>
        <v>2687000</v>
      </c>
      <c r="V144" s="188">
        <v>169</v>
      </c>
      <c r="W144" s="191">
        <v>51</v>
      </c>
      <c r="X144" s="188"/>
      <c r="Y144" s="188">
        <f t="shared" si="4"/>
        <v>60200</v>
      </c>
      <c r="Z144" s="194">
        <f t="shared" si="6"/>
        <v>86</v>
      </c>
    </row>
    <row r="145" ht="17.25" spans="2:26">
      <c r="B145" s="188">
        <v>139</v>
      </c>
      <c r="C145" s="197"/>
      <c r="D145" s="198">
        <v>45</v>
      </c>
      <c r="E145" s="188">
        <v>36</v>
      </c>
      <c r="F145" s="188">
        <v>21220</v>
      </c>
      <c r="G145" s="190">
        <v>2122</v>
      </c>
      <c r="H145" s="195">
        <v>0.014</v>
      </c>
      <c r="I145" s="188">
        <v>3894</v>
      </c>
      <c r="J145" s="191">
        <v>274967</v>
      </c>
      <c r="K145" s="196">
        <v>116.9777778</v>
      </c>
      <c r="L145" s="186"/>
      <c r="M145" s="188">
        <v>139</v>
      </c>
      <c r="N145" s="188">
        <v>370</v>
      </c>
      <c r="O145" s="191">
        <v>833</v>
      </c>
      <c r="P145" s="191">
        <v>8</v>
      </c>
      <c r="Q145" s="188">
        <v>708</v>
      </c>
      <c r="R145" s="189">
        <v>0.33</v>
      </c>
      <c r="S145" s="192">
        <v>62200</v>
      </c>
      <c r="T145" s="188">
        <v>38083</v>
      </c>
      <c r="U145" s="188">
        <f>SUM($S$7:S145)</f>
        <v>2749200</v>
      </c>
      <c r="V145" s="188">
        <v>173</v>
      </c>
      <c r="W145" s="191">
        <v>51</v>
      </c>
      <c r="X145" s="188"/>
      <c r="Y145" s="188">
        <f t="shared" si="4"/>
        <v>61000</v>
      </c>
      <c r="Z145" s="194">
        <f t="shared" si="6"/>
        <v>86.1581920903955</v>
      </c>
    </row>
    <row r="146" ht="17.25" spans="2:26">
      <c r="B146" s="188">
        <v>140</v>
      </c>
      <c r="C146" s="197"/>
      <c r="D146" s="198">
        <v>45</v>
      </c>
      <c r="E146" s="188">
        <v>40</v>
      </c>
      <c r="F146" s="188">
        <v>21620</v>
      </c>
      <c r="G146" s="190">
        <v>2162</v>
      </c>
      <c r="H146" s="195">
        <v>0.014</v>
      </c>
      <c r="I146" s="188">
        <v>3948</v>
      </c>
      <c r="J146" s="191">
        <v>277306</v>
      </c>
      <c r="K146" s="196">
        <v>118.4</v>
      </c>
      <c r="L146" s="186"/>
      <c r="M146" s="188">
        <v>140</v>
      </c>
      <c r="N146" s="188">
        <v>370</v>
      </c>
      <c r="O146" s="191">
        <v>833</v>
      </c>
      <c r="P146" s="191">
        <v>8</v>
      </c>
      <c r="Q146" s="188">
        <v>716</v>
      </c>
      <c r="R146" s="189">
        <v>0.33</v>
      </c>
      <c r="S146" s="192">
        <v>63000</v>
      </c>
      <c r="T146" s="188">
        <v>38799</v>
      </c>
      <c r="U146" s="188">
        <f>SUM($S$7:S146)</f>
        <v>2812200</v>
      </c>
      <c r="V146" s="188">
        <v>176</v>
      </c>
      <c r="W146" s="191">
        <v>51</v>
      </c>
      <c r="X146" s="188"/>
      <c r="Y146" s="188">
        <f t="shared" si="4"/>
        <v>61800</v>
      </c>
      <c r="Z146" s="194">
        <f t="shared" si="6"/>
        <v>86.3128491620112</v>
      </c>
    </row>
    <row r="147" ht="17.25" spans="2:26">
      <c r="B147" s="188">
        <v>141</v>
      </c>
      <c r="C147" s="197"/>
      <c r="D147" s="198">
        <v>45</v>
      </c>
      <c r="E147" s="188">
        <v>40</v>
      </c>
      <c r="F147" s="188">
        <v>22020</v>
      </c>
      <c r="G147" s="190">
        <v>2202</v>
      </c>
      <c r="H147" s="195">
        <v>0.014</v>
      </c>
      <c r="I147" s="188">
        <v>4002</v>
      </c>
      <c r="J147" s="191">
        <v>282724</v>
      </c>
      <c r="K147" s="196">
        <v>119.8222222</v>
      </c>
      <c r="L147" s="186"/>
      <c r="M147" s="188">
        <v>141</v>
      </c>
      <c r="N147" s="188">
        <v>370</v>
      </c>
      <c r="O147" s="191">
        <v>833</v>
      </c>
      <c r="P147" s="191">
        <v>8</v>
      </c>
      <c r="Q147" s="188">
        <v>724</v>
      </c>
      <c r="R147" s="189">
        <v>0.32</v>
      </c>
      <c r="S147" s="192">
        <v>63800</v>
      </c>
      <c r="T147" s="188">
        <v>39523</v>
      </c>
      <c r="U147" s="188">
        <f>SUM($S$7:S147)</f>
        <v>2876000</v>
      </c>
      <c r="V147" s="188">
        <v>179</v>
      </c>
      <c r="W147" s="191">
        <v>51</v>
      </c>
      <c r="X147" s="188"/>
      <c r="Y147" s="188">
        <f t="shared" si="4"/>
        <v>62600</v>
      </c>
      <c r="Z147" s="194">
        <f t="shared" si="6"/>
        <v>86.46408839779</v>
      </c>
    </row>
    <row r="148" ht="17.25" spans="2:26">
      <c r="B148" s="188">
        <v>142</v>
      </c>
      <c r="C148" s="197"/>
      <c r="D148" s="198">
        <v>45</v>
      </c>
      <c r="E148" s="188">
        <v>40</v>
      </c>
      <c r="F148" s="188">
        <v>22420</v>
      </c>
      <c r="G148" s="190">
        <v>2242</v>
      </c>
      <c r="H148" s="195">
        <v>0.014</v>
      </c>
      <c r="I148" s="188">
        <v>4026</v>
      </c>
      <c r="J148" s="191">
        <v>286053</v>
      </c>
      <c r="K148" s="196">
        <v>121.2444444</v>
      </c>
      <c r="L148" s="186"/>
      <c r="M148" s="188">
        <v>142</v>
      </c>
      <c r="N148" s="188">
        <v>370</v>
      </c>
      <c r="O148" s="191">
        <v>833</v>
      </c>
      <c r="P148" s="191">
        <v>8</v>
      </c>
      <c r="Q148" s="188">
        <v>732</v>
      </c>
      <c r="R148" s="189">
        <v>0.32</v>
      </c>
      <c r="S148" s="192">
        <v>64600</v>
      </c>
      <c r="T148" s="188">
        <v>40255</v>
      </c>
      <c r="U148" s="188">
        <f>SUM($S$7:S148)</f>
        <v>2940600</v>
      </c>
      <c r="V148" s="188">
        <v>182</v>
      </c>
      <c r="W148" s="191">
        <v>51</v>
      </c>
      <c r="X148" s="188"/>
      <c r="Y148" s="188">
        <f t="shared" si="4"/>
        <v>63400</v>
      </c>
      <c r="Z148" s="194">
        <f t="shared" si="6"/>
        <v>86.6120218579235</v>
      </c>
    </row>
    <row r="149" ht="17.25" spans="2:26">
      <c r="B149" s="188">
        <v>143</v>
      </c>
      <c r="C149" s="197"/>
      <c r="D149" s="198">
        <v>45</v>
      </c>
      <c r="E149" s="188">
        <v>40</v>
      </c>
      <c r="F149" s="188">
        <v>22820</v>
      </c>
      <c r="G149" s="190">
        <v>2282</v>
      </c>
      <c r="H149" s="195">
        <v>0.014</v>
      </c>
      <c r="I149" s="188">
        <v>4080</v>
      </c>
      <c r="J149" s="191">
        <v>291547</v>
      </c>
      <c r="K149" s="196">
        <v>122.6666667</v>
      </c>
      <c r="L149" s="186"/>
      <c r="M149" s="188">
        <v>143</v>
      </c>
      <c r="N149" s="188">
        <v>370</v>
      </c>
      <c r="O149" s="191">
        <v>833</v>
      </c>
      <c r="P149" s="191">
        <v>8</v>
      </c>
      <c r="Q149" s="188">
        <v>740</v>
      </c>
      <c r="R149" s="189">
        <v>0.32</v>
      </c>
      <c r="S149" s="192">
        <v>65400</v>
      </c>
      <c r="T149" s="188">
        <v>40995</v>
      </c>
      <c r="U149" s="188">
        <f>SUM($S$7:S149)</f>
        <v>3006000</v>
      </c>
      <c r="V149" s="188">
        <v>186</v>
      </c>
      <c r="W149" s="191">
        <v>51</v>
      </c>
      <c r="X149" s="188"/>
      <c r="Y149" s="188">
        <f t="shared" si="4"/>
        <v>64200</v>
      </c>
      <c r="Z149" s="194">
        <f t="shared" si="6"/>
        <v>86.7567567567568</v>
      </c>
    </row>
    <row r="150" ht="17.25" spans="2:26">
      <c r="B150" s="188">
        <v>144</v>
      </c>
      <c r="C150" s="197"/>
      <c r="D150" s="198">
        <v>45</v>
      </c>
      <c r="E150" s="188">
        <v>40</v>
      </c>
      <c r="F150" s="188">
        <v>23220</v>
      </c>
      <c r="G150" s="190">
        <v>2322</v>
      </c>
      <c r="H150" s="195">
        <v>0.014</v>
      </c>
      <c r="I150" s="188">
        <v>4134</v>
      </c>
      <c r="J150" s="191">
        <v>297083</v>
      </c>
      <c r="K150" s="196">
        <v>124.0888889</v>
      </c>
      <c r="L150" s="186"/>
      <c r="M150" s="188">
        <v>144</v>
      </c>
      <c r="N150" s="188">
        <v>370</v>
      </c>
      <c r="O150" s="191">
        <v>833</v>
      </c>
      <c r="P150" s="191">
        <v>8</v>
      </c>
      <c r="Q150" s="188">
        <v>748</v>
      </c>
      <c r="R150" s="189">
        <v>0.32</v>
      </c>
      <c r="S150" s="192">
        <v>66200</v>
      </c>
      <c r="T150" s="188">
        <v>41743</v>
      </c>
      <c r="U150" s="188">
        <f>SUM($S$7:S150)</f>
        <v>3072200</v>
      </c>
      <c r="V150" s="188">
        <v>189</v>
      </c>
      <c r="W150" s="191">
        <v>51</v>
      </c>
      <c r="X150" s="188"/>
      <c r="Y150" s="188">
        <f t="shared" si="4"/>
        <v>65000</v>
      </c>
      <c r="Z150" s="194">
        <f t="shared" si="6"/>
        <v>86.8983957219251</v>
      </c>
    </row>
    <row r="151" ht="17.25" spans="2:26">
      <c r="B151" s="188">
        <v>145</v>
      </c>
      <c r="C151" s="197"/>
      <c r="D151" s="198">
        <v>50</v>
      </c>
      <c r="E151" s="188">
        <v>40</v>
      </c>
      <c r="F151" s="188">
        <v>23620</v>
      </c>
      <c r="G151" s="190">
        <v>2362</v>
      </c>
      <c r="H151" s="195">
        <v>0.014</v>
      </c>
      <c r="I151" s="188">
        <v>4158</v>
      </c>
      <c r="J151" s="191">
        <v>300496</v>
      </c>
      <c r="K151" s="196">
        <v>112.96</v>
      </c>
      <c r="L151" s="186"/>
      <c r="M151" s="188">
        <v>145</v>
      </c>
      <c r="N151" s="188">
        <v>370</v>
      </c>
      <c r="O151" s="191">
        <v>833</v>
      </c>
      <c r="P151" s="191">
        <v>8</v>
      </c>
      <c r="Q151" s="188">
        <v>756</v>
      </c>
      <c r="R151" s="189">
        <v>0.31</v>
      </c>
      <c r="S151" s="192">
        <v>67000</v>
      </c>
      <c r="T151" s="188">
        <v>42499</v>
      </c>
      <c r="U151" s="188">
        <f>SUM($S$7:S151)</f>
        <v>3139200</v>
      </c>
      <c r="V151" s="188">
        <v>193</v>
      </c>
      <c r="W151" s="191">
        <v>51</v>
      </c>
      <c r="X151" s="188"/>
      <c r="Y151" s="188">
        <f t="shared" ref="Y151:Y214" si="7">Y150+800</f>
        <v>65800</v>
      </c>
      <c r="Z151" s="194">
        <f t="shared" si="6"/>
        <v>87.037037037037</v>
      </c>
    </row>
    <row r="152" ht="17.25" spans="2:26">
      <c r="B152" s="188">
        <v>146</v>
      </c>
      <c r="C152" s="197"/>
      <c r="D152" s="198">
        <v>50</v>
      </c>
      <c r="E152" s="188">
        <v>40</v>
      </c>
      <c r="F152" s="188">
        <v>24020</v>
      </c>
      <c r="G152" s="190">
        <v>2402</v>
      </c>
      <c r="H152" s="195">
        <v>0.014</v>
      </c>
      <c r="I152" s="188">
        <v>4212</v>
      </c>
      <c r="J152" s="191">
        <v>306109</v>
      </c>
      <c r="K152" s="196">
        <v>114.24</v>
      </c>
      <c r="L152" s="186"/>
      <c r="M152" s="188">
        <v>146</v>
      </c>
      <c r="N152" s="188">
        <v>370</v>
      </c>
      <c r="O152" s="191">
        <v>833</v>
      </c>
      <c r="P152" s="191">
        <v>8</v>
      </c>
      <c r="Q152" s="188">
        <v>764</v>
      </c>
      <c r="R152" s="189">
        <v>0.31</v>
      </c>
      <c r="S152" s="192">
        <v>67800</v>
      </c>
      <c r="T152" s="188">
        <v>43263</v>
      </c>
      <c r="U152" s="188">
        <f>SUM($S$7:S152)</f>
        <v>3207000</v>
      </c>
      <c r="V152" s="188">
        <v>196</v>
      </c>
      <c r="W152" s="191">
        <v>51</v>
      </c>
      <c r="X152" s="188"/>
      <c r="Y152" s="188">
        <f t="shared" si="7"/>
        <v>66600</v>
      </c>
      <c r="Z152" s="194">
        <f t="shared" si="6"/>
        <v>87.1727748691099</v>
      </c>
    </row>
    <row r="153" ht="17.25" spans="2:26">
      <c r="B153" s="188">
        <v>147</v>
      </c>
      <c r="C153" s="197"/>
      <c r="D153" s="198">
        <v>50</v>
      </c>
      <c r="E153" s="188">
        <v>40</v>
      </c>
      <c r="F153" s="188">
        <v>24420</v>
      </c>
      <c r="G153" s="190">
        <v>2442</v>
      </c>
      <c r="H153" s="195">
        <v>0.014</v>
      </c>
      <c r="I153" s="188">
        <v>4266</v>
      </c>
      <c r="J153" s="191">
        <v>311765</v>
      </c>
      <c r="K153" s="196">
        <v>115.52</v>
      </c>
      <c r="L153" s="186"/>
      <c r="M153" s="188">
        <v>147</v>
      </c>
      <c r="N153" s="188">
        <v>370</v>
      </c>
      <c r="O153" s="191">
        <v>833</v>
      </c>
      <c r="P153" s="191">
        <v>8</v>
      </c>
      <c r="Q153" s="188">
        <v>772</v>
      </c>
      <c r="R153" s="189">
        <v>0.31</v>
      </c>
      <c r="S153" s="192">
        <v>68600</v>
      </c>
      <c r="T153" s="188">
        <v>44035</v>
      </c>
      <c r="U153" s="188">
        <f>SUM($S$7:S153)</f>
        <v>3275600</v>
      </c>
      <c r="V153" s="188">
        <v>199</v>
      </c>
      <c r="W153" s="191">
        <v>51</v>
      </c>
      <c r="X153" s="188"/>
      <c r="Y153" s="188">
        <f t="shared" si="7"/>
        <v>67400</v>
      </c>
      <c r="Z153" s="194">
        <f t="shared" si="6"/>
        <v>87.3056994818653</v>
      </c>
    </row>
    <row r="154" ht="17.25" spans="2:26">
      <c r="B154" s="188">
        <v>148</v>
      </c>
      <c r="C154" s="197"/>
      <c r="D154" s="198">
        <v>50</v>
      </c>
      <c r="E154" s="188">
        <v>40</v>
      </c>
      <c r="F154" s="188">
        <v>24820</v>
      </c>
      <c r="G154" s="190">
        <v>2482</v>
      </c>
      <c r="H154" s="195">
        <v>0.014</v>
      </c>
      <c r="I154" s="188">
        <v>4290</v>
      </c>
      <c r="J154" s="191">
        <v>315260</v>
      </c>
      <c r="K154" s="196">
        <v>116.8</v>
      </c>
      <c r="L154" s="186"/>
      <c r="M154" s="188">
        <v>148</v>
      </c>
      <c r="N154" s="188">
        <v>430</v>
      </c>
      <c r="O154" s="191">
        <v>833</v>
      </c>
      <c r="P154" s="191">
        <v>8</v>
      </c>
      <c r="Q154" s="188">
        <v>780</v>
      </c>
      <c r="R154" s="189">
        <v>0.3</v>
      </c>
      <c r="S154" s="192">
        <v>69400</v>
      </c>
      <c r="T154" s="188">
        <v>44815</v>
      </c>
      <c r="U154" s="188">
        <f>SUM($S$7:S154)</f>
        <v>3345000</v>
      </c>
      <c r="V154" s="188">
        <v>203</v>
      </c>
      <c r="W154" s="191">
        <v>51</v>
      </c>
      <c r="X154" s="188"/>
      <c r="Y154" s="188">
        <f t="shared" si="7"/>
        <v>68200</v>
      </c>
      <c r="Z154" s="194">
        <f t="shared" si="6"/>
        <v>87.4358974358974</v>
      </c>
    </row>
    <row r="155" ht="17.25" spans="2:26">
      <c r="B155" s="188">
        <v>149</v>
      </c>
      <c r="C155" s="197"/>
      <c r="D155" s="198">
        <v>50</v>
      </c>
      <c r="E155" s="188">
        <v>40</v>
      </c>
      <c r="F155" s="188">
        <v>25220</v>
      </c>
      <c r="G155" s="190">
        <v>2522</v>
      </c>
      <c r="H155" s="195">
        <v>0.014</v>
      </c>
      <c r="I155" s="188">
        <v>4344</v>
      </c>
      <c r="J155" s="191">
        <v>320992</v>
      </c>
      <c r="K155" s="196">
        <v>118.08</v>
      </c>
      <c r="L155" s="186"/>
      <c r="M155" s="188">
        <v>149</v>
      </c>
      <c r="N155" s="188">
        <v>430</v>
      </c>
      <c r="O155" s="191">
        <v>833</v>
      </c>
      <c r="P155" s="191">
        <v>8</v>
      </c>
      <c r="Q155" s="188">
        <v>788</v>
      </c>
      <c r="R155" s="189">
        <v>0.3</v>
      </c>
      <c r="S155" s="192">
        <v>70200</v>
      </c>
      <c r="T155" s="188">
        <v>45603</v>
      </c>
      <c r="U155" s="188">
        <f>SUM($S$7:S155)</f>
        <v>3415200</v>
      </c>
      <c r="V155" s="188">
        <v>207</v>
      </c>
      <c r="W155" s="191">
        <v>51</v>
      </c>
      <c r="X155" s="188"/>
      <c r="Y155" s="188">
        <f t="shared" si="7"/>
        <v>69000</v>
      </c>
      <c r="Z155" s="194">
        <f t="shared" si="6"/>
        <v>87.5634517766497</v>
      </c>
    </row>
    <row r="156" ht="17.25" spans="2:26">
      <c r="B156" s="188">
        <v>150</v>
      </c>
      <c r="C156" s="197"/>
      <c r="D156" s="198">
        <v>50</v>
      </c>
      <c r="E156" s="188">
        <v>44</v>
      </c>
      <c r="F156" s="188">
        <v>25660</v>
      </c>
      <c r="G156" s="190">
        <v>2566</v>
      </c>
      <c r="H156" s="195">
        <v>0.013</v>
      </c>
      <c r="I156" s="188">
        <v>4398</v>
      </c>
      <c r="J156" s="191">
        <v>326114</v>
      </c>
      <c r="K156" s="196">
        <v>119.36</v>
      </c>
      <c r="L156" s="186"/>
      <c r="M156" s="188">
        <v>150</v>
      </c>
      <c r="N156" s="188">
        <v>430</v>
      </c>
      <c r="O156" s="191">
        <v>833</v>
      </c>
      <c r="P156" s="191">
        <v>8</v>
      </c>
      <c r="Q156" s="188">
        <v>796</v>
      </c>
      <c r="R156" s="189">
        <v>0.3</v>
      </c>
      <c r="S156" s="192">
        <v>71000</v>
      </c>
      <c r="T156" s="188">
        <v>46399</v>
      </c>
      <c r="U156" s="188">
        <f>SUM($S$7:S156)</f>
        <v>3486200</v>
      </c>
      <c r="V156" s="188">
        <v>210</v>
      </c>
      <c r="W156" s="191">
        <v>51</v>
      </c>
      <c r="X156" s="188"/>
      <c r="Y156" s="188">
        <f t="shared" si="7"/>
        <v>69800</v>
      </c>
      <c r="Z156" s="194">
        <f t="shared" si="6"/>
        <v>87.6884422110553</v>
      </c>
    </row>
    <row r="157" ht="17.25" spans="2:26">
      <c r="B157" s="188">
        <v>151</v>
      </c>
      <c r="C157" s="197"/>
      <c r="D157" s="198">
        <v>50</v>
      </c>
      <c r="E157" s="188">
        <v>44</v>
      </c>
      <c r="F157" s="188">
        <v>26100</v>
      </c>
      <c r="G157" s="190">
        <v>2610</v>
      </c>
      <c r="H157" s="195">
        <v>0.013</v>
      </c>
      <c r="I157" s="188">
        <v>4422</v>
      </c>
      <c r="J157" s="191">
        <v>329689</v>
      </c>
      <c r="K157" s="196">
        <v>120.64</v>
      </c>
      <c r="L157" s="186"/>
      <c r="M157" s="188">
        <v>151</v>
      </c>
      <c r="N157" s="188">
        <v>430</v>
      </c>
      <c r="O157" s="191">
        <v>833</v>
      </c>
      <c r="P157" s="191">
        <v>8</v>
      </c>
      <c r="Q157" s="188">
        <v>804</v>
      </c>
      <c r="R157" s="189">
        <v>0.29</v>
      </c>
      <c r="S157" s="192">
        <v>71800</v>
      </c>
      <c r="T157" s="188">
        <v>47203</v>
      </c>
      <c r="U157" s="188">
        <f>SUM($S$7:S157)</f>
        <v>3558000</v>
      </c>
      <c r="V157" s="188">
        <v>214</v>
      </c>
      <c r="W157" s="191">
        <v>51</v>
      </c>
      <c r="X157" s="188"/>
      <c r="Y157" s="188">
        <f t="shared" si="7"/>
        <v>70600</v>
      </c>
      <c r="Z157" s="194">
        <f t="shared" si="6"/>
        <v>87.8109452736318</v>
      </c>
    </row>
    <row r="158" ht="17.25" spans="2:26">
      <c r="B158" s="188">
        <v>152</v>
      </c>
      <c r="C158" s="197"/>
      <c r="D158" s="198">
        <v>50</v>
      </c>
      <c r="E158" s="188">
        <v>44</v>
      </c>
      <c r="F158" s="188">
        <v>26540</v>
      </c>
      <c r="G158" s="190">
        <v>2654</v>
      </c>
      <c r="H158" s="195">
        <v>0.013</v>
      </c>
      <c r="I158" s="188">
        <v>4476</v>
      </c>
      <c r="J158" s="191">
        <v>335532</v>
      </c>
      <c r="K158" s="196">
        <v>121.92</v>
      </c>
      <c r="L158" s="186"/>
      <c r="M158" s="188">
        <v>152</v>
      </c>
      <c r="N158" s="188">
        <v>430</v>
      </c>
      <c r="O158" s="191">
        <v>833</v>
      </c>
      <c r="P158" s="191">
        <v>8</v>
      </c>
      <c r="Q158" s="188">
        <v>812</v>
      </c>
      <c r="R158" s="189">
        <v>0.29</v>
      </c>
      <c r="S158" s="192">
        <v>72600</v>
      </c>
      <c r="T158" s="188">
        <v>48015</v>
      </c>
      <c r="U158" s="188">
        <f>SUM($S$7:S158)</f>
        <v>3630600</v>
      </c>
      <c r="V158" s="188">
        <v>217</v>
      </c>
      <c r="W158" s="191">
        <v>51</v>
      </c>
      <c r="X158" s="188"/>
      <c r="Y158" s="188">
        <f t="shared" si="7"/>
        <v>71400</v>
      </c>
      <c r="Z158" s="194">
        <f t="shared" si="6"/>
        <v>87.9310344827586</v>
      </c>
    </row>
    <row r="159" ht="17.25" spans="2:26">
      <c r="B159" s="188">
        <v>153</v>
      </c>
      <c r="C159" s="197"/>
      <c r="D159" s="198">
        <v>50</v>
      </c>
      <c r="E159" s="188">
        <v>44</v>
      </c>
      <c r="F159" s="188">
        <v>26980</v>
      </c>
      <c r="G159" s="190">
        <v>2698</v>
      </c>
      <c r="H159" s="195">
        <v>0.013</v>
      </c>
      <c r="I159" s="188">
        <v>4530</v>
      </c>
      <c r="J159" s="191">
        <v>341419</v>
      </c>
      <c r="K159" s="196">
        <v>123.2</v>
      </c>
      <c r="L159" s="186"/>
      <c r="M159" s="188">
        <v>153</v>
      </c>
      <c r="N159" s="188">
        <v>430</v>
      </c>
      <c r="O159" s="191">
        <v>833</v>
      </c>
      <c r="P159" s="191">
        <v>8</v>
      </c>
      <c r="Q159" s="188">
        <v>820</v>
      </c>
      <c r="R159" s="189">
        <v>0.29</v>
      </c>
      <c r="S159" s="192">
        <v>73400</v>
      </c>
      <c r="T159" s="188">
        <v>48835</v>
      </c>
      <c r="U159" s="188">
        <f>SUM($S$7:S159)</f>
        <v>3704000</v>
      </c>
      <c r="V159" s="188">
        <v>221</v>
      </c>
      <c r="W159" s="191">
        <v>51</v>
      </c>
      <c r="X159" s="188"/>
      <c r="Y159" s="188">
        <f t="shared" si="7"/>
        <v>72200</v>
      </c>
      <c r="Z159" s="194">
        <f t="shared" si="6"/>
        <v>88.0487804878049</v>
      </c>
    </row>
    <row r="160" ht="17.25" spans="2:26">
      <c r="B160" s="188">
        <v>154</v>
      </c>
      <c r="C160" s="197"/>
      <c r="D160" s="198">
        <v>50</v>
      </c>
      <c r="E160" s="188">
        <v>44</v>
      </c>
      <c r="F160" s="188">
        <v>27420</v>
      </c>
      <c r="G160" s="190">
        <v>2742</v>
      </c>
      <c r="H160" s="195">
        <v>0.013</v>
      </c>
      <c r="I160" s="188">
        <v>4554</v>
      </c>
      <c r="J160" s="191">
        <v>345077</v>
      </c>
      <c r="K160" s="196">
        <v>124.48</v>
      </c>
      <c r="L160" s="186"/>
      <c r="M160" s="188">
        <v>154</v>
      </c>
      <c r="N160" s="188">
        <v>430</v>
      </c>
      <c r="O160" s="191">
        <v>833</v>
      </c>
      <c r="P160" s="191">
        <v>8</v>
      </c>
      <c r="Q160" s="188">
        <v>828</v>
      </c>
      <c r="R160" s="189">
        <v>0.28</v>
      </c>
      <c r="S160" s="192">
        <v>74200</v>
      </c>
      <c r="T160" s="188">
        <v>49663</v>
      </c>
      <c r="U160" s="188">
        <f>SUM($S$7:S160)</f>
        <v>3778200</v>
      </c>
      <c r="V160" s="188">
        <v>225</v>
      </c>
      <c r="W160" s="191">
        <v>51</v>
      </c>
      <c r="X160" s="188"/>
      <c r="Y160" s="188">
        <f t="shared" si="7"/>
        <v>73000</v>
      </c>
      <c r="Z160" s="194">
        <f t="shared" si="6"/>
        <v>88.1642512077295</v>
      </c>
    </row>
    <row r="161" ht="17.25" spans="2:26">
      <c r="B161" s="188">
        <v>155</v>
      </c>
      <c r="C161" s="197"/>
      <c r="D161" s="198">
        <v>55</v>
      </c>
      <c r="E161" s="188">
        <v>44</v>
      </c>
      <c r="F161" s="188">
        <v>27860</v>
      </c>
      <c r="G161" s="190">
        <v>2786</v>
      </c>
      <c r="H161" s="195">
        <v>0.013</v>
      </c>
      <c r="I161" s="188">
        <v>4608</v>
      </c>
      <c r="J161" s="191">
        <v>351039</v>
      </c>
      <c r="K161" s="196">
        <v>114.3272727</v>
      </c>
      <c r="L161" s="186"/>
      <c r="M161" s="188">
        <v>155</v>
      </c>
      <c r="N161" s="188">
        <v>430</v>
      </c>
      <c r="O161" s="191">
        <v>833</v>
      </c>
      <c r="P161" s="191">
        <v>8</v>
      </c>
      <c r="Q161" s="188">
        <v>836</v>
      </c>
      <c r="R161" s="189">
        <v>0.28</v>
      </c>
      <c r="S161" s="192">
        <v>75000</v>
      </c>
      <c r="T161" s="188">
        <v>50499</v>
      </c>
      <c r="U161" s="188">
        <f>SUM($S$7:S161)</f>
        <v>3853200</v>
      </c>
      <c r="V161" s="188">
        <v>229</v>
      </c>
      <c r="W161" s="191">
        <v>51</v>
      </c>
      <c r="X161" s="188"/>
      <c r="Y161" s="188">
        <f t="shared" si="7"/>
        <v>73800</v>
      </c>
      <c r="Z161" s="194">
        <f t="shared" si="6"/>
        <v>88.2775119617225</v>
      </c>
    </row>
    <row r="162" ht="17.25" spans="2:26">
      <c r="B162" s="188">
        <v>156</v>
      </c>
      <c r="C162" s="197"/>
      <c r="D162" s="198">
        <v>55</v>
      </c>
      <c r="E162" s="188">
        <v>44</v>
      </c>
      <c r="F162" s="188">
        <v>28300</v>
      </c>
      <c r="G162" s="190">
        <v>2830</v>
      </c>
      <c r="H162" s="195">
        <v>0.013</v>
      </c>
      <c r="I162" s="188">
        <v>4662</v>
      </c>
      <c r="J162" s="191">
        <v>357045</v>
      </c>
      <c r="K162" s="196">
        <v>115.4909091</v>
      </c>
      <c r="L162" s="186"/>
      <c r="M162" s="188">
        <v>156</v>
      </c>
      <c r="N162" s="188">
        <v>430</v>
      </c>
      <c r="O162" s="191">
        <v>833</v>
      </c>
      <c r="P162" s="191">
        <v>8</v>
      </c>
      <c r="Q162" s="188">
        <v>844</v>
      </c>
      <c r="R162" s="189">
        <v>0.28</v>
      </c>
      <c r="S162" s="192">
        <v>75800</v>
      </c>
      <c r="T162" s="188">
        <v>51343</v>
      </c>
      <c r="U162" s="188">
        <f>SUM($S$7:S162)</f>
        <v>3929000</v>
      </c>
      <c r="V162" s="188">
        <v>232</v>
      </c>
      <c r="W162" s="191">
        <v>51</v>
      </c>
      <c r="X162" s="188"/>
      <c r="Y162" s="188">
        <f t="shared" si="7"/>
        <v>74600</v>
      </c>
      <c r="Z162" s="194">
        <f t="shared" si="6"/>
        <v>88.3886255924171</v>
      </c>
    </row>
    <row r="163" ht="17.25" spans="2:26">
      <c r="B163" s="188">
        <v>157</v>
      </c>
      <c r="C163" s="197"/>
      <c r="D163" s="198">
        <v>55</v>
      </c>
      <c r="E163" s="188">
        <v>44</v>
      </c>
      <c r="F163" s="188">
        <v>28740</v>
      </c>
      <c r="G163" s="190">
        <v>2874</v>
      </c>
      <c r="H163" s="195">
        <v>0.013</v>
      </c>
      <c r="I163" s="188">
        <v>4686</v>
      </c>
      <c r="J163" s="191">
        <v>360786</v>
      </c>
      <c r="K163" s="196">
        <v>116.6545455</v>
      </c>
      <c r="L163" s="186"/>
      <c r="M163" s="188">
        <v>157</v>
      </c>
      <c r="N163" s="188">
        <v>430</v>
      </c>
      <c r="O163" s="191">
        <v>833</v>
      </c>
      <c r="P163" s="191">
        <v>8</v>
      </c>
      <c r="Q163" s="188">
        <v>852</v>
      </c>
      <c r="R163" s="189">
        <v>0.27</v>
      </c>
      <c r="S163" s="192">
        <v>76600</v>
      </c>
      <c r="T163" s="188">
        <v>52195</v>
      </c>
      <c r="U163" s="188">
        <f>SUM($S$7:S163)</f>
        <v>4005600</v>
      </c>
      <c r="V163" s="188">
        <v>236</v>
      </c>
      <c r="W163" s="191">
        <v>51</v>
      </c>
      <c r="X163" s="188"/>
      <c r="Y163" s="188">
        <f t="shared" si="7"/>
        <v>75400</v>
      </c>
      <c r="Z163" s="194">
        <f t="shared" si="6"/>
        <v>88.4976525821596</v>
      </c>
    </row>
    <row r="164" ht="17.25" spans="2:26">
      <c r="B164" s="188">
        <v>158</v>
      </c>
      <c r="C164" s="197"/>
      <c r="D164" s="198">
        <v>55</v>
      </c>
      <c r="E164" s="188">
        <v>44</v>
      </c>
      <c r="F164" s="188">
        <v>29180</v>
      </c>
      <c r="G164" s="190">
        <v>2918</v>
      </c>
      <c r="H164" s="195">
        <v>0.013</v>
      </c>
      <c r="I164" s="188">
        <v>4740</v>
      </c>
      <c r="J164" s="191">
        <v>366868</v>
      </c>
      <c r="K164" s="196">
        <v>117.8181818</v>
      </c>
      <c r="L164" s="186"/>
      <c r="M164" s="188">
        <v>158</v>
      </c>
      <c r="N164" s="188">
        <v>430</v>
      </c>
      <c r="O164" s="191">
        <v>833</v>
      </c>
      <c r="P164" s="191">
        <v>8</v>
      </c>
      <c r="Q164" s="188">
        <v>860</v>
      </c>
      <c r="R164" s="189">
        <v>0.27</v>
      </c>
      <c r="S164" s="192">
        <v>77400</v>
      </c>
      <c r="T164" s="188">
        <v>53055</v>
      </c>
      <c r="U164" s="188">
        <f>SUM($S$7:S164)</f>
        <v>4083000</v>
      </c>
      <c r="V164" s="188">
        <v>240</v>
      </c>
      <c r="W164" s="191">
        <v>51</v>
      </c>
      <c r="X164" s="188"/>
      <c r="Y164" s="188">
        <f t="shared" si="7"/>
        <v>76200</v>
      </c>
      <c r="Z164" s="194">
        <f t="shared" si="6"/>
        <v>88.6046511627907</v>
      </c>
    </row>
    <row r="165" ht="17.25" spans="2:26">
      <c r="B165" s="188">
        <v>159</v>
      </c>
      <c r="C165" s="197"/>
      <c r="D165" s="198">
        <v>55</v>
      </c>
      <c r="E165" s="188">
        <v>44</v>
      </c>
      <c r="F165" s="188">
        <v>29620</v>
      </c>
      <c r="G165" s="190">
        <v>2962</v>
      </c>
      <c r="H165" s="195">
        <v>0.013</v>
      </c>
      <c r="I165" s="188">
        <v>4794</v>
      </c>
      <c r="J165" s="191">
        <v>372993</v>
      </c>
      <c r="K165" s="196">
        <v>118.9818182</v>
      </c>
      <c r="L165" s="186"/>
      <c r="M165" s="188">
        <v>159</v>
      </c>
      <c r="N165" s="188">
        <v>430</v>
      </c>
      <c r="O165" s="191">
        <v>833</v>
      </c>
      <c r="P165" s="191">
        <v>8</v>
      </c>
      <c r="Q165" s="188">
        <v>868</v>
      </c>
      <c r="R165" s="189">
        <v>0.27</v>
      </c>
      <c r="S165" s="192">
        <v>78200</v>
      </c>
      <c r="T165" s="188">
        <v>53923</v>
      </c>
      <c r="U165" s="188">
        <f>SUM($S$7:S165)</f>
        <v>4161200</v>
      </c>
      <c r="V165" s="188">
        <v>244</v>
      </c>
      <c r="W165" s="191">
        <v>51</v>
      </c>
      <c r="X165" s="188"/>
      <c r="Y165" s="188">
        <f t="shared" si="7"/>
        <v>77000</v>
      </c>
      <c r="Z165" s="194">
        <f t="shared" si="6"/>
        <v>88.7096774193548</v>
      </c>
    </row>
    <row r="166" ht="17.25" spans="2:26">
      <c r="B166" s="188">
        <v>160</v>
      </c>
      <c r="C166" s="197"/>
      <c r="D166" s="198">
        <v>55</v>
      </c>
      <c r="E166" s="188">
        <v>48</v>
      </c>
      <c r="F166" s="188">
        <v>30100</v>
      </c>
      <c r="G166" s="190">
        <v>3010</v>
      </c>
      <c r="H166" s="195">
        <v>0.013</v>
      </c>
      <c r="I166" s="188">
        <v>4818</v>
      </c>
      <c r="J166" s="191">
        <v>378991</v>
      </c>
      <c r="K166" s="196">
        <v>120.1454545</v>
      </c>
      <c r="L166" s="186"/>
      <c r="M166" s="188">
        <v>160</v>
      </c>
      <c r="N166" s="188">
        <v>520</v>
      </c>
      <c r="O166" s="191">
        <v>833</v>
      </c>
      <c r="P166" s="191">
        <v>8</v>
      </c>
      <c r="Q166" s="188">
        <v>876</v>
      </c>
      <c r="R166" s="189">
        <v>0.26</v>
      </c>
      <c r="S166" s="192">
        <v>79000</v>
      </c>
      <c r="T166" s="188">
        <v>54799</v>
      </c>
      <c r="U166" s="188">
        <f>SUM($S$7:S166)</f>
        <v>4240200</v>
      </c>
      <c r="V166" s="188">
        <v>248</v>
      </c>
      <c r="W166" s="191">
        <v>51</v>
      </c>
      <c r="X166" s="188"/>
      <c r="Y166" s="188">
        <f t="shared" si="7"/>
        <v>77800</v>
      </c>
      <c r="Z166" s="194">
        <f t="shared" si="6"/>
        <v>88.8127853881278</v>
      </c>
    </row>
    <row r="167" ht="17.25" spans="2:26">
      <c r="B167" s="188">
        <v>161</v>
      </c>
      <c r="C167" s="197"/>
      <c r="D167" s="198">
        <v>55</v>
      </c>
      <c r="E167" s="188">
        <v>48</v>
      </c>
      <c r="F167" s="188">
        <v>30580</v>
      </c>
      <c r="G167" s="190">
        <v>3058</v>
      </c>
      <c r="H167" s="195">
        <v>0.013</v>
      </c>
      <c r="I167" s="188">
        <v>4872</v>
      </c>
      <c r="J167" s="191">
        <v>385216</v>
      </c>
      <c r="K167" s="196">
        <v>121.3090909</v>
      </c>
      <c r="L167" s="186"/>
      <c r="M167" s="188">
        <v>161</v>
      </c>
      <c r="N167" s="188">
        <v>520</v>
      </c>
      <c r="O167" s="191">
        <v>833</v>
      </c>
      <c r="P167" s="191">
        <v>8</v>
      </c>
      <c r="Q167" s="188">
        <v>884</v>
      </c>
      <c r="R167" s="189">
        <v>0.26</v>
      </c>
      <c r="S167" s="192">
        <v>79800</v>
      </c>
      <c r="T167" s="188">
        <v>55683</v>
      </c>
      <c r="U167" s="188">
        <f>SUM($S$7:S167)</f>
        <v>4320000</v>
      </c>
      <c r="V167" s="188">
        <v>252</v>
      </c>
      <c r="W167" s="191">
        <v>51</v>
      </c>
      <c r="X167" s="188"/>
      <c r="Y167" s="188">
        <f t="shared" si="7"/>
        <v>78600</v>
      </c>
      <c r="Z167" s="194">
        <f t="shared" si="6"/>
        <v>88.9140271493213</v>
      </c>
    </row>
    <row r="168" ht="17.25" spans="2:26">
      <c r="B168" s="188">
        <v>162</v>
      </c>
      <c r="C168" s="197"/>
      <c r="D168" s="198">
        <v>55</v>
      </c>
      <c r="E168" s="188">
        <v>48</v>
      </c>
      <c r="F168" s="188">
        <v>31060</v>
      </c>
      <c r="G168" s="190">
        <v>3106</v>
      </c>
      <c r="H168" s="195">
        <v>0.013</v>
      </c>
      <c r="I168" s="188">
        <v>4926</v>
      </c>
      <c r="J168" s="191">
        <v>391486</v>
      </c>
      <c r="K168" s="196">
        <v>122.4727273</v>
      </c>
      <c r="L168" s="186"/>
      <c r="M168" s="188">
        <v>162</v>
      </c>
      <c r="N168" s="188">
        <v>520</v>
      </c>
      <c r="O168" s="191">
        <v>833</v>
      </c>
      <c r="P168" s="191">
        <v>8</v>
      </c>
      <c r="Q168" s="188">
        <v>892</v>
      </c>
      <c r="R168" s="189">
        <v>0.26</v>
      </c>
      <c r="S168" s="192">
        <v>80600</v>
      </c>
      <c r="T168" s="188">
        <v>56575</v>
      </c>
      <c r="U168" s="188">
        <f>SUM($S$7:S168)</f>
        <v>4400600</v>
      </c>
      <c r="V168" s="188">
        <v>256</v>
      </c>
      <c r="W168" s="191">
        <v>51</v>
      </c>
      <c r="X168" s="188"/>
      <c r="Y168" s="188">
        <f t="shared" si="7"/>
        <v>79400</v>
      </c>
      <c r="Z168" s="194">
        <f t="shared" si="6"/>
        <v>89.0134529147982</v>
      </c>
    </row>
    <row r="169" ht="17.25" spans="2:26">
      <c r="B169" s="188">
        <v>163</v>
      </c>
      <c r="C169" s="197"/>
      <c r="D169" s="198">
        <v>55</v>
      </c>
      <c r="E169" s="188">
        <v>48</v>
      </c>
      <c r="F169" s="188">
        <v>31540</v>
      </c>
      <c r="G169" s="190">
        <v>3154</v>
      </c>
      <c r="H169" s="195">
        <v>0.013</v>
      </c>
      <c r="I169" s="188">
        <v>4950</v>
      </c>
      <c r="J169" s="191">
        <v>395403</v>
      </c>
      <c r="K169" s="196">
        <v>123.6363636</v>
      </c>
      <c r="L169" s="186"/>
      <c r="M169" s="188">
        <v>163</v>
      </c>
      <c r="N169" s="188">
        <v>520</v>
      </c>
      <c r="O169" s="191">
        <v>833</v>
      </c>
      <c r="P169" s="191">
        <v>8</v>
      </c>
      <c r="Q169" s="188">
        <v>900</v>
      </c>
      <c r="R169" s="189">
        <v>0.25</v>
      </c>
      <c r="S169" s="192">
        <v>81400</v>
      </c>
      <c r="T169" s="188">
        <v>57475</v>
      </c>
      <c r="U169" s="188">
        <f>SUM($S$7:S169)</f>
        <v>4482000</v>
      </c>
      <c r="V169" s="188">
        <v>260</v>
      </c>
      <c r="W169" s="191">
        <v>51</v>
      </c>
      <c r="X169" s="188"/>
      <c r="Y169" s="188">
        <f t="shared" si="7"/>
        <v>80200</v>
      </c>
      <c r="Z169" s="194">
        <f t="shared" si="6"/>
        <v>89.1111111111111</v>
      </c>
    </row>
    <row r="170" ht="17.25" spans="2:26">
      <c r="B170" s="188">
        <v>164</v>
      </c>
      <c r="C170" s="197"/>
      <c r="D170" s="198">
        <v>55</v>
      </c>
      <c r="E170" s="188">
        <v>48</v>
      </c>
      <c r="F170" s="188">
        <v>32020</v>
      </c>
      <c r="G170" s="190">
        <v>3202</v>
      </c>
      <c r="H170" s="195">
        <v>0.012</v>
      </c>
      <c r="I170" s="188">
        <v>5004</v>
      </c>
      <c r="J170" s="191">
        <v>401748</v>
      </c>
      <c r="K170" s="196">
        <v>124.8</v>
      </c>
      <c r="L170" s="186"/>
      <c r="M170" s="188">
        <v>164</v>
      </c>
      <c r="N170" s="188">
        <v>520</v>
      </c>
      <c r="O170" s="191">
        <v>833</v>
      </c>
      <c r="P170" s="191">
        <v>8</v>
      </c>
      <c r="Q170" s="188">
        <v>908</v>
      </c>
      <c r="R170" s="189">
        <v>0.25</v>
      </c>
      <c r="S170" s="192">
        <v>82200</v>
      </c>
      <c r="T170" s="188">
        <v>58383</v>
      </c>
      <c r="U170" s="188">
        <f>SUM($S$7:S170)</f>
        <v>4564200</v>
      </c>
      <c r="V170" s="188">
        <v>264</v>
      </c>
      <c r="W170" s="191">
        <v>51</v>
      </c>
      <c r="X170" s="188"/>
      <c r="Y170" s="188">
        <f t="shared" si="7"/>
        <v>81000</v>
      </c>
      <c r="Z170" s="194">
        <f t="shared" si="6"/>
        <v>89.2070484581498</v>
      </c>
    </row>
    <row r="171" ht="17.25" spans="2:26">
      <c r="B171" s="188">
        <v>165</v>
      </c>
      <c r="C171" s="197"/>
      <c r="D171" s="198">
        <v>60</v>
      </c>
      <c r="E171" s="188">
        <v>48</v>
      </c>
      <c r="F171" s="188">
        <v>32500</v>
      </c>
      <c r="G171" s="190">
        <v>3250</v>
      </c>
      <c r="H171" s="195">
        <v>0.012</v>
      </c>
      <c r="I171" s="188">
        <v>5058</v>
      </c>
      <c r="J171" s="191">
        <v>408136</v>
      </c>
      <c r="K171" s="196">
        <v>115.4666667</v>
      </c>
      <c r="L171" s="186"/>
      <c r="M171" s="188">
        <v>165</v>
      </c>
      <c r="N171" s="188">
        <v>520</v>
      </c>
      <c r="O171" s="191">
        <v>833</v>
      </c>
      <c r="P171" s="191">
        <v>8</v>
      </c>
      <c r="Q171" s="188">
        <v>916</v>
      </c>
      <c r="R171" s="189">
        <v>0.24</v>
      </c>
      <c r="S171" s="192">
        <v>83000</v>
      </c>
      <c r="T171" s="188">
        <v>59299</v>
      </c>
      <c r="U171" s="188">
        <f>SUM($S$7:S171)</f>
        <v>4647200</v>
      </c>
      <c r="V171" s="188">
        <v>268</v>
      </c>
      <c r="W171" s="191">
        <v>51</v>
      </c>
      <c r="X171" s="188"/>
      <c r="Y171" s="188">
        <f t="shared" si="7"/>
        <v>81800</v>
      </c>
      <c r="Z171" s="194">
        <f t="shared" si="6"/>
        <v>89.3013100436681</v>
      </c>
    </row>
    <row r="172" ht="17.25" spans="2:26">
      <c r="B172" s="188">
        <v>166</v>
      </c>
      <c r="C172" s="197"/>
      <c r="D172" s="198">
        <v>60</v>
      </c>
      <c r="E172" s="188">
        <v>48</v>
      </c>
      <c r="F172" s="188">
        <v>32980</v>
      </c>
      <c r="G172" s="190">
        <v>3298</v>
      </c>
      <c r="H172" s="195">
        <v>0.012</v>
      </c>
      <c r="I172" s="188">
        <v>5082</v>
      </c>
      <c r="J172" s="191">
        <v>412136</v>
      </c>
      <c r="K172" s="196">
        <v>116.5333333</v>
      </c>
      <c r="L172" s="186"/>
      <c r="M172" s="188">
        <v>166</v>
      </c>
      <c r="N172" s="188">
        <v>520</v>
      </c>
      <c r="O172" s="191">
        <v>833</v>
      </c>
      <c r="P172" s="191">
        <v>8</v>
      </c>
      <c r="Q172" s="188">
        <v>924</v>
      </c>
      <c r="R172" s="189">
        <v>0.24</v>
      </c>
      <c r="S172" s="192">
        <v>83800</v>
      </c>
      <c r="T172" s="188">
        <v>60223</v>
      </c>
      <c r="U172" s="188">
        <f>SUM($S$7:S172)</f>
        <v>4731000</v>
      </c>
      <c r="V172" s="188">
        <v>273</v>
      </c>
      <c r="W172" s="191">
        <v>51</v>
      </c>
      <c r="X172" s="188"/>
      <c r="Y172" s="188">
        <f t="shared" si="7"/>
        <v>82600</v>
      </c>
      <c r="Z172" s="194">
        <f t="shared" si="6"/>
        <v>89.3939393939394</v>
      </c>
    </row>
    <row r="173" ht="17.25" spans="2:26">
      <c r="B173" s="188">
        <v>167</v>
      </c>
      <c r="C173" s="197"/>
      <c r="D173" s="198">
        <v>60</v>
      </c>
      <c r="E173" s="188">
        <v>48</v>
      </c>
      <c r="F173" s="188">
        <v>33460</v>
      </c>
      <c r="G173" s="190">
        <v>3346</v>
      </c>
      <c r="H173" s="195">
        <v>0.012</v>
      </c>
      <c r="I173" s="188">
        <v>5136</v>
      </c>
      <c r="J173" s="191">
        <v>418600</v>
      </c>
      <c r="K173" s="196">
        <v>117.6</v>
      </c>
      <c r="L173" s="186"/>
      <c r="M173" s="188">
        <v>167</v>
      </c>
      <c r="N173" s="188">
        <v>520</v>
      </c>
      <c r="O173" s="191">
        <v>833</v>
      </c>
      <c r="P173" s="191">
        <v>8</v>
      </c>
      <c r="Q173" s="188">
        <v>932</v>
      </c>
      <c r="R173" s="189">
        <v>0.24</v>
      </c>
      <c r="S173" s="192">
        <v>84600</v>
      </c>
      <c r="T173" s="188">
        <v>61155</v>
      </c>
      <c r="U173" s="188">
        <f>SUM($S$7:S173)</f>
        <v>4815600</v>
      </c>
      <c r="V173" s="188">
        <v>277</v>
      </c>
      <c r="W173" s="191">
        <v>51</v>
      </c>
      <c r="X173" s="188"/>
      <c r="Y173" s="188">
        <f t="shared" si="7"/>
        <v>83400</v>
      </c>
      <c r="Z173" s="194">
        <f t="shared" si="6"/>
        <v>89.4849785407725</v>
      </c>
    </row>
    <row r="174" ht="17.25" spans="2:26">
      <c r="B174" s="188">
        <v>168</v>
      </c>
      <c r="C174" s="197"/>
      <c r="D174" s="198">
        <v>60</v>
      </c>
      <c r="E174" s="188">
        <v>48</v>
      </c>
      <c r="F174" s="188">
        <v>33940</v>
      </c>
      <c r="G174" s="190">
        <v>3394</v>
      </c>
      <c r="H174" s="195">
        <v>0.012</v>
      </c>
      <c r="I174" s="188">
        <v>5190</v>
      </c>
      <c r="J174" s="191">
        <v>425108</v>
      </c>
      <c r="K174" s="196">
        <v>118.6666667</v>
      </c>
      <c r="L174" s="186"/>
      <c r="M174" s="188">
        <v>168</v>
      </c>
      <c r="N174" s="188">
        <v>520</v>
      </c>
      <c r="O174" s="191">
        <v>833</v>
      </c>
      <c r="P174" s="191">
        <v>8</v>
      </c>
      <c r="Q174" s="188">
        <v>940</v>
      </c>
      <c r="R174" s="189">
        <v>0.23</v>
      </c>
      <c r="S174" s="192">
        <v>85400</v>
      </c>
      <c r="T174" s="188">
        <v>62095</v>
      </c>
      <c r="U174" s="188">
        <f>SUM($S$7:S174)</f>
        <v>4901000</v>
      </c>
      <c r="V174" s="188">
        <v>281</v>
      </c>
      <c r="W174" s="191">
        <v>51</v>
      </c>
      <c r="X174" s="188"/>
      <c r="Y174" s="188">
        <f t="shared" si="7"/>
        <v>84200</v>
      </c>
      <c r="Z174" s="194">
        <f t="shared" si="6"/>
        <v>89.5744680851064</v>
      </c>
    </row>
    <row r="175" ht="17.25" spans="2:26">
      <c r="B175" s="188">
        <v>169</v>
      </c>
      <c r="C175" s="197"/>
      <c r="D175" s="198">
        <v>60</v>
      </c>
      <c r="E175" s="188">
        <v>48</v>
      </c>
      <c r="F175" s="188">
        <v>34420</v>
      </c>
      <c r="G175" s="190">
        <v>3442</v>
      </c>
      <c r="H175" s="195">
        <v>0.012</v>
      </c>
      <c r="I175" s="188">
        <v>5214</v>
      </c>
      <c r="J175" s="191">
        <v>429191</v>
      </c>
      <c r="K175" s="196">
        <v>119.7333333</v>
      </c>
      <c r="L175" s="186"/>
      <c r="M175" s="188">
        <v>169</v>
      </c>
      <c r="N175" s="188">
        <v>520</v>
      </c>
      <c r="O175" s="191">
        <v>833</v>
      </c>
      <c r="P175" s="191">
        <v>8</v>
      </c>
      <c r="Q175" s="188">
        <v>948</v>
      </c>
      <c r="R175" s="189">
        <v>0.23</v>
      </c>
      <c r="S175" s="192">
        <v>86200</v>
      </c>
      <c r="T175" s="188">
        <v>63043</v>
      </c>
      <c r="U175" s="188">
        <f>SUM($S$7:S175)</f>
        <v>4987200</v>
      </c>
      <c r="V175" s="188">
        <v>285</v>
      </c>
      <c r="W175" s="191">
        <v>51</v>
      </c>
      <c r="X175" s="188"/>
      <c r="Y175" s="188">
        <f t="shared" si="7"/>
        <v>85000</v>
      </c>
      <c r="Z175" s="194">
        <f t="shared" si="6"/>
        <v>89.662447257384</v>
      </c>
    </row>
    <row r="176" ht="17.25" spans="2:26">
      <c r="B176" s="188">
        <v>170</v>
      </c>
      <c r="C176" s="197"/>
      <c r="D176" s="198">
        <v>60</v>
      </c>
      <c r="E176" s="188">
        <v>52</v>
      </c>
      <c r="F176" s="188">
        <v>34940</v>
      </c>
      <c r="G176" s="190">
        <v>3494</v>
      </c>
      <c r="H176" s="195">
        <v>0.012</v>
      </c>
      <c r="I176" s="188">
        <v>5268</v>
      </c>
      <c r="J176" s="191">
        <v>441199</v>
      </c>
      <c r="K176" s="196">
        <v>120.8</v>
      </c>
      <c r="L176" s="186"/>
      <c r="M176" s="188">
        <v>170</v>
      </c>
      <c r="N176" s="188">
        <v>520</v>
      </c>
      <c r="O176" s="191">
        <v>833</v>
      </c>
      <c r="P176" s="191">
        <v>8</v>
      </c>
      <c r="Q176" s="188">
        <v>956</v>
      </c>
      <c r="R176" s="189">
        <v>0.23</v>
      </c>
      <c r="S176" s="192">
        <v>87000</v>
      </c>
      <c r="T176" s="188">
        <v>63999</v>
      </c>
      <c r="U176" s="188">
        <f>SUM($S$7:S176)</f>
        <v>5074200</v>
      </c>
      <c r="V176" s="188">
        <v>290</v>
      </c>
      <c r="W176" s="191">
        <v>51</v>
      </c>
      <c r="X176" s="188"/>
      <c r="Y176" s="188">
        <f t="shared" si="7"/>
        <v>85800</v>
      </c>
      <c r="Z176" s="194">
        <f t="shared" si="6"/>
        <v>89.7489539748954</v>
      </c>
    </row>
    <row r="177" ht="17.25" spans="2:26">
      <c r="B177" s="188">
        <v>171</v>
      </c>
      <c r="C177" s="197"/>
      <c r="D177" s="198">
        <v>60</v>
      </c>
      <c r="E177" s="188">
        <v>52</v>
      </c>
      <c r="F177" s="188">
        <v>35460</v>
      </c>
      <c r="G177" s="190">
        <v>3546</v>
      </c>
      <c r="H177" s="195">
        <v>0.012</v>
      </c>
      <c r="I177" s="188">
        <v>5322</v>
      </c>
      <c r="J177" s="191">
        <v>447882</v>
      </c>
      <c r="K177" s="196">
        <v>121.8666667</v>
      </c>
      <c r="L177" s="186"/>
      <c r="M177" s="188">
        <v>171</v>
      </c>
      <c r="N177" s="188">
        <v>520</v>
      </c>
      <c r="O177" s="191">
        <v>833</v>
      </c>
      <c r="P177" s="191">
        <v>8</v>
      </c>
      <c r="Q177" s="188">
        <v>964</v>
      </c>
      <c r="R177" s="189">
        <v>0.22</v>
      </c>
      <c r="S177" s="192">
        <v>87800</v>
      </c>
      <c r="T177" s="188">
        <v>64963</v>
      </c>
      <c r="U177" s="188">
        <f>SUM($S$7:S177)</f>
        <v>5162000</v>
      </c>
      <c r="V177" s="188">
        <v>294</v>
      </c>
      <c r="W177" s="191">
        <v>51</v>
      </c>
      <c r="X177" s="188"/>
      <c r="Y177" s="188">
        <f t="shared" si="7"/>
        <v>86600</v>
      </c>
      <c r="Z177" s="194">
        <f t="shared" si="6"/>
        <v>89.8340248962656</v>
      </c>
    </row>
    <row r="178" ht="17.25" spans="2:26">
      <c r="B178" s="188">
        <v>172</v>
      </c>
      <c r="C178" s="197"/>
      <c r="D178" s="198">
        <v>60</v>
      </c>
      <c r="E178" s="188">
        <v>52</v>
      </c>
      <c r="F178" s="188">
        <v>35980</v>
      </c>
      <c r="G178" s="190">
        <v>3598</v>
      </c>
      <c r="H178" s="195">
        <v>0.012</v>
      </c>
      <c r="I178" s="188">
        <v>5346</v>
      </c>
      <c r="J178" s="191">
        <v>452072</v>
      </c>
      <c r="K178" s="196">
        <v>122.9333333</v>
      </c>
      <c r="L178" s="186"/>
      <c r="M178" s="188">
        <v>172</v>
      </c>
      <c r="N178" s="188">
        <v>520</v>
      </c>
      <c r="O178" s="191">
        <v>833</v>
      </c>
      <c r="P178" s="191">
        <v>8</v>
      </c>
      <c r="Q178" s="188">
        <v>972</v>
      </c>
      <c r="R178" s="189">
        <v>0.22</v>
      </c>
      <c r="S178" s="192">
        <v>88600</v>
      </c>
      <c r="T178" s="188">
        <v>65935</v>
      </c>
      <c r="U178" s="188">
        <f>SUM($S$7:S178)</f>
        <v>5250600</v>
      </c>
      <c r="V178" s="188">
        <v>298</v>
      </c>
      <c r="W178" s="191">
        <v>51</v>
      </c>
      <c r="X178" s="188"/>
      <c r="Y178" s="188">
        <f t="shared" si="7"/>
        <v>87400</v>
      </c>
      <c r="Z178" s="194">
        <f t="shared" si="6"/>
        <v>89.917695473251</v>
      </c>
    </row>
    <row r="179" ht="17.25" spans="2:26">
      <c r="B179" s="188">
        <v>173</v>
      </c>
      <c r="C179" s="197"/>
      <c r="D179" s="198">
        <v>60</v>
      </c>
      <c r="E179" s="188">
        <v>52</v>
      </c>
      <c r="F179" s="188">
        <v>36500</v>
      </c>
      <c r="G179" s="190">
        <v>3650</v>
      </c>
      <c r="H179" s="195">
        <v>0.012</v>
      </c>
      <c r="I179" s="188">
        <v>5400</v>
      </c>
      <c r="J179" s="191">
        <v>458831</v>
      </c>
      <c r="K179" s="196">
        <v>124</v>
      </c>
      <c r="L179" s="186"/>
      <c r="M179" s="188">
        <v>173</v>
      </c>
      <c r="N179" s="188">
        <v>520</v>
      </c>
      <c r="O179" s="191">
        <v>833</v>
      </c>
      <c r="P179" s="191">
        <v>8</v>
      </c>
      <c r="Q179" s="188">
        <v>980</v>
      </c>
      <c r="R179" s="189">
        <v>0.21</v>
      </c>
      <c r="S179" s="192">
        <v>89400</v>
      </c>
      <c r="T179" s="188">
        <v>66915</v>
      </c>
      <c r="U179" s="188">
        <f>SUM($S$7:S179)</f>
        <v>5340000</v>
      </c>
      <c r="V179" s="188">
        <v>303</v>
      </c>
      <c r="W179" s="191">
        <v>51</v>
      </c>
      <c r="X179" s="188"/>
      <c r="Y179" s="188">
        <f t="shared" si="7"/>
        <v>88200</v>
      </c>
      <c r="Z179" s="194">
        <f t="shared" si="6"/>
        <v>90</v>
      </c>
    </row>
    <row r="180" ht="17.25" spans="2:26">
      <c r="B180" s="188">
        <v>174</v>
      </c>
      <c r="C180" s="197"/>
      <c r="D180" s="198">
        <v>60</v>
      </c>
      <c r="E180" s="188">
        <v>52</v>
      </c>
      <c r="F180" s="188">
        <v>37020</v>
      </c>
      <c r="G180" s="190">
        <v>3702</v>
      </c>
      <c r="H180" s="195">
        <v>0.012</v>
      </c>
      <c r="I180" s="188">
        <v>5454</v>
      </c>
      <c r="J180" s="191">
        <v>465633</v>
      </c>
      <c r="K180" s="196">
        <v>125.0666667</v>
      </c>
      <c r="L180" s="186"/>
      <c r="M180" s="188">
        <v>174</v>
      </c>
      <c r="N180" s="188">
        <v>520</v>
      </c>
      <c r="O180" s="191">
        <v>833</v>
      </c>
      <c r="P180" s="191">
        <v>8</v>
      </c>
      <c r="Q180" s="188">
        <v>988</v>
      </c>
      <c r="R180" s="189">
        <v>0.21</v>
      </c>
      <c r="S180" s="192">
        <v>90200</v>
      </c>
      <c r="T180" s="188">
        <v>67903</v>
      </c>
      <c r="U180" s="188">
        <f>SUM($S$7:S180)</f>
        <v>5430200</v>
      </c>
      <c r="V180" s="188">
        <v>307</v>
      </c>
      <c r="W180" s="191">
        <v>51</v>
      </c>
      <c r="X180" s="188"/>
      <c r="Y180" s="188">
        <f t="shared" si="7"/>
        <v>89000</v>
      </c>
      <c r="Z180" s="194">
        <f t="shared" si="6"/>
        <v>90.080971659919</v>
      </c>
    </row>
    <row r="181" ht="17.25" spans="2:26">
      <c r="B181" s="188">
        <v>175</v>
      </c>
      <c r="C181" s="197"/>
      <c r="D181" s="198">
        <v>65</v>
      </c>
      <c r="E181" s="188">
        <v>52</v>
      </c>
      <c r="F181" s="188">
        <v>37540</v>
      </c>
      <c r="G181" s="190">
        <v>3754</v>
      </c>
      <c r="H181" s="195">
        <v>0.012</v>
      </c>
      <c r="I181" s="188">
        <v>5478</v>
      </c>
      <c r="J181" s="191">
        <v>469906</v>
      </c>
      <c r="K181" s="196">
        <v>116.4307692</v>
      </c>
      <c r="L181" s="186"/>
      <c r="M181" s="188">
        <v>175</v>
      </c>
      <c r="N181" s="188">
        <v>520</v>
      </c>
      <c r="O181" s="191">
        <v>833</v>
      </c>
      <c r="P181" s="191">
        <v>8</v>
      </c>
      <c r="Q181" s="188">
        <v>996</v>
      </c>
      <c r="R181" s="189">
        <v>0.21</v>
      </c>
      <c r="S181" s="192">
        <v>91000</v>
      </c>
      <c r="T181" s="188">
        <v>68899</v>
      </c>
      <c r="U181" s="188">
        <f>SUM($S$7:S181)</f>
        <v>5521200</v>
      </c>
      <c r="V181" s="188">
        <v>312</v>
      </c>
      <c r="W181" s="191">
        <v>51</v>
      </c>
      <c r="X181" s="188"/>
      <c r="Y181" s="188">
        <f t="shared" si="7"/>
        <v>89800</v>
      </c>
      <c r="Z181" s="194">
        <f t="shared" si="6"/>
        <v>90.1606425702811</v>
      </c>
    </row>
    <row r="182" ht="17.25" spans="2:26">
      <c r="B182" s="188">
        <v>176</v>
      </c>
      <c r="C182" s="197"/>
      <c r="D182" s="198">
        <v>65</v>
      </c>
      <c r="E182" s="188">
        <v>52</v>
      </c>
      <c r="F182" s="188">
        <v>38060</v>
      </c>
      <c r="G182" s="190">
        <v>3806</v>
      </c>
      <c r="H182" s="195">
        <v>0.012</v>
      </c>
      <c r="I182" s="188">
        <v>5532</v>
      </c>
      <c r="J182" s="191">
        <v>476784</v>
      </c>
      <c r="K182" s="196">
        <v>117.4153846</v>
      </c>
      <c r="L182" s="186"/>
      <c r="M182" s="188">
        <v>176</v>
      </c>
      <c r="N182" s="188">
        <v>520</v>
      </c>
      <c r="O182" s="191">
        <v>833</v>
      </c>
      <c r="P182" s="191">
        <v>8</v>
      </c>
      <c r="Q182" s="188">
        <v>1004</v>
      </c>
      <c r="R182" s="189">
        <v>0.2</v>
      </c>
      <c r="S182" s="192">
        <v>91800</v>
      </c>
      <c r="T182" s="188">
        <v>69903</v>
      </c>
      <c r="U182" s="188">
        <f>SUM($S$7:S182)</f>
        <v>5613000</v>
      </c>
      <c r="V182" s="188">
        <v>316</v>
      </c>
      <c r="W182" s="191">
        <v>51</v>
      </c>
      <c r="X182" s="188"/>
      <c r="Y182" s="188">
        <f t="shared" si="7"/>
        <v>90600</v>
      </c>
      <c r="Z182" s="194">
        <f t="shared" si="6"/>
        <v>90.2390438247012</v>
      </c>
    </row>
    <row r="183" ht="17.25" spans="2:26">
      <c r="B183" s="188">
        <v>177</v>
      </c>
      <c r="C183" s="197"/>
      <c r="D183" s="198">
        <v>65</v>
      </c>
      <c r="E183" s="188">
        <v>52</v>
      </c>
      <c r="F183" s="188">
        <v>38580</v>
      </c>
      <c r="G183" s="190">
        <v>3858</v>
      </c>
      <c r="H183" s="195">
        <v>0.012</v>
      </c>
      <c r="I183" s="188">
        <v>5586</v>
      </c>
      <c r="J183" s="191">
        <v>483706</v>
      </c>
      <c r="K183" s="196">
        <v>118.4</v>
      </c>
      <c r="L183" s="186"/>
      <c r="M183" s="188">
        <v>177</v>
      </c>
      <c r="N183" s="188">
        <v>520</v>
      </c>
      <c r="O183" s="191">
        <v>833</v>
      </c>
      <c r="P183" s="191">
        <v>8</v>
      </c>
      <c r="Q183" s="188">
        <v>1012</v>
      </c>
      <c r="R183" s="189">
        <v>0.2</v>
      </c>
      <c r="S183" s="192">
        <v>92600</v>
      </c>
      <c r="T183" s="188">
        <v>70915</v>
      </c>
      <c r="U183" s="188">
        <f>SUM($S$7:S183)</f>
        <v>5705600</v>
      </c>
      <c r="V183" s="188">
        <v>321</v>
      </c>
      <c r="W183" s="191">
        <v>51</v>
      </c>
      <c r="X183" s="188"/>
      <c r="Y183" s="188">
        <f t="shared" si="7"/>
        <v>91400</v>
      </c>
      <c r="Z183" s="194">
        <f t="shared" si="6"/>
        <v>90.3162055335968</v>
      </c>
    </row>
    <row r="184" ht="17.25" spans="2:26">
      <c r="B184" s="188">
        <v>178</v>
      </c>
      <c r="C184" s="197"/>
      <c r="D184" s="198">
        <v>65</v>
      </c>
      <c r="E184" s="188">
        <v>52</v>
      </c>
      <c r="F184" s="188">
        <v>39100</v>
      </c>
      <c r="G184" s="190">
        <v>3910</v>
      </c>
      <c r="H184" s="195">
        <v>0.011</v>
      </c>
      <c r="I184" s="188">
        <v>5610</v>
      </c>
      <c r="J184" s="191">
        <v>488061</v>
      </c>
      <c r="K184" s="196">
        <v>119.3846154</v>
      </c>
      <c r="L184" s="186"/>
      <c r="M184" s="188">
        <v>178</v>
      </c>
      <c r="N184" s="188">
        <v>1304</v>
      </c>
      <c r="O184" s="191">
        <v>1062</v>
      </c>
      <c r="P184" s="191">
        <v>8</v>
      </c>
      <c r="Q184" s="188">
        <v>1020</v>
      </c>
      <c r="R184" s="189">
        <v>0.2</v>
      </c>
      <c r="S184" s="192">
        <v>93400</v>
      </c>
      <c r="T184" s="188">
        <v>71935</v>
      </c>
      <c r="U184" s="188">
        <f>SUM($S$7:S184)</f>
        <v>5799000</v>
      </c>
      <c r="V184" s="188">
        <v>326</v>
      </c>
      <c r="W184" s="191">
        <v>51</v>
      </c>
      <c r="X184" s="188"/>
      <c r="Y184" s="188">
        <f t="shared" si="7"/>
        <v>92200</v>
      </c>
      <c r="Z184" s="194">
        <f t="shared" si="6"/>
        <v>90.3921568627451</v>
      </c>
    </row>
    <row r="185" ht="17.25" spans="2:26">
      <c r="B185" s="188">
        <v>179</v>
      </c>
      <c r="C185" s="197"/>
      <c r="D185" s="198">
        <v>65</v>
      </c>
      <c r="E185" s="188">
        <v>52</v>
      </c>
      <c r="F185" s="188">
        <v>39620</v>
      </c>
      <c r="G185" s="190">
        <v>3962</v>
      </c>
      <c r="H185" s="195">
        <v>0.011</v>
      </c>
      <c r="I185" s="188">
        <v>5664</v>
      </c>
      <c r="J185" s="191">
        <v>495059</v>
      </c>
      <c r="K185" s="196">
        <v>120.3692308</v>
      </c>
      <c r="L185" s="186"/>
      <c r="M185" s="188">
        <v>179</v>
      </c>
      <c r="N185" s="188">
        <v>1304</v>
      </c>
      <c r="O185" s="191">
        <v>1062</v>
      </c>
      <c r="P185" s="191">
        <v>8</v>
      </c>
      <c r="Q185" s="188">
        <v>1028</v>
      </c>
      <c r="R185" s="189">
        <v>0.19</v>
      </c>
      <c r="S185" s="192">
        <v>94200</v>
      </c>
      <c r="T185" s="188">
        <v>72963</v>
      </c>
      <c r="U185" s="188">
        <f>SUM($S$7:S185)</f>
        <v>5893200</v>
      </c>
      <c r="V185" s="188">
        <v>330</v>
      </c>
      <c r="W185" s="191">
        <v>51</v>
      </c>
      <c r="X185" s="188"/>
      <c r="Y185" s="188">
        <f t="shared" si="7"/>
        <v>93000</v>
      </c>
      <c r="Z185" s="194">
        <f t="shared" ref="Z185:Z248" si="8">Y185/Q185</f>
        <v>90.4669260700389</v>
      </c>
    </row>
    <row r="186" ht="17.25" spans="2:26">
      <c r="B186" s="188">
        <v>180</v>
      </c>
      <c r="C186" s="197"/>
      <c r="D186" s="198">
        <v>65</v>
      </c>
      <c r="E186" s="188">
        <v>56</v>
      </c>
      <c r="F186" s="188">
        <v>40180</v>
      </c>
      <c r="G186" s="190">
        <v>4018</v>
      </c>
      <c r="H186" s="195">
        <v>0.011</v>
      </c>
      <c r="I186" s="188">
        <v>5718</v>
      </c>
      <c r="J186" s="191">
        <v>511458</v>
      </c>
      <c r="K186" s="196">
        <v>121.3538462</v>
      </c>
      <c r="L186" s="186"/>
      <c r="M186" s="188">
        <v>180</v>
      </c>
      <c r="N186" s="188">
        <v>1304</v>
      </c>
      <c r="O186" s="191">
        <v>1062</v>
      </c>
      <c r="P186" s="191">
        <v>8</v>
      </c>
      <c r="Q186" s="188">
        <v>1036</v>
      </c>
      <c r="R186" s="189">
        <v>0.19</v>
      </c>
      <c r="S186" s="192">
        <v>95000</v>
      </c>
      <c r="T186" s="188">
        <v>73999</v>
      </c>
      <c r="U186" s="188">
        <f>SUM($S$7:S186)</f>
        <v>5988200</v>
      </c>
      <c r="V186" s="188">
        <v>335</v>
      </c>
      <c r="W186" s="191">
        <v>51</v>
      </c>
      <c r="X186" s="188"/>
      <c r="Y186" s="188">
        <f t="shared" si="7"/>
        <v>93800</v>
      </c>
      <c r="Z186" s="194">
        <f t="shared" si="8"/>
        <v>90.5405405405405</v>
      </c>
    </row>
    <row r="187" ht="17.25" spans="2:26">
      <c r="B187" s="188">
        <v>181</v>
      </c>
      <c r="C187" s="197"/>
      <c r="D187" s="198">
        <v>65</v>
      </c>
      <c r="E187" s="188">
        <v>56</v>
      </c>
      <c r="F187" s="188">
        <v>40740</v>
      </c>
      <c r="G187" s="190">
        <v>4074</v>
      </c>
      <c r="H187" s="195">
        <v>0.011</v>
      </c>
      <c r="I187" s="188">
        <v>5742</v>
      </c>
      <c r="J187" s="191">
        <v>515936</v>
      </c>
      <c r="K187" s="196">
        <v>122.3384615</v>
      </c>
      <c r="L187" s="186"/>
      <c r="M187" s="188">
        <v>181</v>
      </c>
      <c r="N187" s="188">
        <v>1304</v>
      </c>
      <c r="O187" s="191">
        <v>1062</v>
      </c>
      <c r="P187" s="191">
        <v>8</v>
      </c>
      <c r="Q187" s="188">
        <v>1044</v>
      </c>
      <c r="R187" s="189">
        <v>0.19</v>
      </c>
      <c r="S187" s="192">
        <v>95800</v>
      </c>
      <c r="T187" s="188">
        <v>75043</v>
      </c>
      <c r="U187" s="188">
        <f>SUM($S$7:S187)</f>
        <v>6084000</v>
      </c>
      <c r="V187" s="188">
        <v>340</v>
      </c>
      <c r="W187" s="191">
        <v>51</v>
      </c>
      <c r="X187" s="188"/>
      <c r="Y187" s="188">
        <f t="shared" si="7"/>
        <v>94600</v>
      </c>
      <c r="Z187" s="194">
        <f t="shared" si="8"/>
        <v>90.6130268199234</v>
      </c>
    </row>
    <row r="188" ht="17.25" spans="2:26">
      <c r="B188" s="188">
        <v>182</v>
      </c>
      <c r="C188" s="197"/>
      <c r="D188" s="198">
        <v>65</v>
      </c>
      <c r="E188" s="188">
        <v>56</v>
      </c>
      <c r="F188" s="188">
        <v>41300</v>
      </c>
      <c r="G188" s="190">
        <v>4130</v>
      </c>
      <c r="H188" s="195">
        <v>0.011</v>
      </c>
      <c r="I188" s="188">
        <v>5796</v>
      </c>
      <c r="J188" s="191">
        <v>523141</v>
      </c>
      <c r="K188" s="196">
        <v>123.3230769</v>
      </c>
      <c r="L188" s="186"/>
      <c r="M188" s="188">
        <v>182</v>
      </c>
      <c r="N188" s="188">
        <v>1304</v>
      </c>
      <c r="O188" s="191">
        <v>1062</v>
      </c>
      <c r="P188" s="191">
        <v>8</v>
      </c>
      <c r="Q188" s="188">
        <v>1052</v>
      </c>
      <c r="R188" s="189">
        <v>0.19</v>
      </c>
      <c r="S188" s="192">
        <v>96600</v>
      </c>
      <c r="T188" s="188">
        <v>76095</v>
      </c>
      <c r="U188" s="188">
        <f>SUM($S$7:S188)</f>
        <v>6180600</v>
      </c>
      <c r="V188" s="188">
        <v>344</v>
      </c>
      <c r="W188" s="191">
        <v>51</v>
      </c>
      <c r="X188" s="188"/>
      <c r="Y188" s="188">
        <f t="shared" si="7"/>
        <v>95400</v>
      </c>
      <c r="Z188" s="194">
        <f t="shared" si="8"/>
        <v>90.6844106463878</v>
      </c>
    </row>
    <row r="189" ht="17.25" spans="2:26">
      <c r="B189" s="188">
        <v>183</v>
      </c>
      <c r="C189" s="197"/>
      <c r="D189" s="198">
        <v>65</v>
      </c>
      <c r="E189" s="188">
        <v>56</v>
      </c>
      <c r="F189" s="188">
        <v>41860</v>
      </c>
      <c r="G189" s="190">
        <v>4186</v>
      </c>
      <c r="H189" s="195">
        <v>0.011</v>
      </c>
      <c r="I189" s="188">
        <v>5850</v>
      </c>
      <c r="J189" s="191">
        <v>530389</v>
      </c>
      <c r="K189" s="196">
        <v>124.3076923</v>
      </c>
      <c r="L189" s="186"/>
      <c r="M189" s="188">
        <v>183</v>
      </c>
      <c r="N189" s="188">
        <v>1304</v>
      </c>
      <c r="O189" s="191">
        <v>1062</v>
      </c>
      <c r="P189" s="191">
        <v>8</v>
      </c>
      <c r="Q189" s="188">
        <v>1060</v>
      </c>
      <c r="R189" s="189">
        <v>0.19</v>
      </c>
      <c r="S189" s="192">
        <v>97400</v>
      </c>
      <c r="T189" s="188">
        <v>77155</v>
      </c>
      <c r="U189" s="188">
        <f>SUM($S$7:S189)</f>
        <v>6278000</v>
      </c>
      <c r="V189" s="188">
        <v>349</v>
      </c>
      <c r="W189" s="191">
        <v>51</v>
      </c>
      <c r="X189" s="188"/>
      <c r="Y189" s="188">
        <f t="shared" si="7"/>
        <v>96200</v>
      </c>
      <c r="Z189" s="194">
        <f t="shared" si="8"/>
        <v>90.7547169811321</v>
      </c>
    </row>
    <row r="190" ht="17.25" spans="2:26">
      <c r="B190" s="188">
        <v>184</v>
      </c>
      <c r="C190" s="197"/>
      <c r="D190" s="198">
        <v>65</v>
      </c>
      <c r="E190" s="188">
        <v>56</v>
      </c>
      <c r="F190" s="188">
        <v>42420</v>
      </c>
      <c r="G190" s="190">
        <v>4242</v>
      </c>
      <c r="H190" s="195">
        <v>0.011</v>
      </c>
      <c r="I190" s="188">
        <v>5874</v>
      </c>
      <c r="J190" s="191">
        <v>534950</v>
      </c>
      <c r="K190" s="196">
        <v>125.2923077</v>
      </c>
      <c r="L190" s="186"/>
      <c r="M190" s="188">
        <v>184</v>
      </c>
      <c r="N190" s="188">
        <v>1304</v>
      </c>
      <c r="O190" s="191">
        <v>1062</v>
      </c>
      <c r="P190" s="191">
        <v>8</v>
      </c>
      <c r="Q190" s="188">
        <v>1068</v>
      </c>
      <c r="R190" s="189">
        <v>0.18</v>
      </c>
      <c r="S190" s="192">
        <v>98200</v>
      </c>
      <c r="T190" s="188">
        <v>78223</v>
      </c>
      <c r="U190" s="188">
        <f>SUM($S$7:S190)</f>
        <v>6376200</v>
      </c>
      <c r="V190" s="188">
        <v>354</v>
      </c>
      <c r="W190" s="191">
        <v>51</v>
      </c>
      <c r="X190" s="188"/>
      <c r="Y190" s="188">
        <f t="shared" si="7"/>
        <v>97000</v>
      </c>
      <c r="Z190" s="194">
        <f t="shared" si="8"/>
        <v>90.8239700374532</v>
      </c>
    </row>
    <row r="191" ht="17.25" spans="2:26">
      <c r="B191" s="188">
        <v>185</v>
      </c>
      <c r="C191" s="197"/>
      <c r="D191" s="198">
        <v>70</v>
      </c>
      <c r="E191" s="188">
        <v>56</v>
      </c>
      <c r="F191" s="188">
        <v>42980</v>
      </c>
      <c r="G191" s="190">
        <v>4298</v>
      </c>
      <c r="H191" s="195">
        <v>0.011</v>
      </c>
      <c r="I191" s="188">
        <v>5928</v>
      </c>
      <c r="J191" s="191">
        <v>542274</v>
      </c>
      <c r="K191" s="196">
        <v>117.2571429</v>
      </c>
      <c r="L191" s="186"/>
      <c r="M191" s="188">
        <v>185</v>
      </c>
      <c r="N191" s="188">
        <v>1304</v>
      </c>
      <c r="O191" s="191">
        <v>1062</v>
      </c>
      <c r="P191" s="191">
        <v>8</v>
      </c>
      <c r="Q191" s="188">
        <v>1076</v>
      </c>
      <c r="R191" s="189">
        <v>0.18</v>
      </c>
      <c r="S191" s="192">
        <v>99000</v>
      </c>
      <c r="T191" s="188">
        <v>79299</v>
      </c>
      <c r="U191" s="188">
        <f>SUM($S$7:S191)</f>
        <v>6475200</v>
      </c>
      <c r="V191" s="188">
        <v>359</v>
      </c>
      <c r="W191" s="191">
        <v>51</v>
      </c>
      <c r="X191" s="188"/>
      <c r="Y191" s="188">
        <f t="shared" si="7"/>
        <v>97800</v>
      </c>
      <c r="Z191" s="194">
        <f t="shared" si="8"/>
        <v>90.8921933085502</v>
      </c>
    </row>
    <row r="192" ht="17.25" spans="2:26">
      <c r="B192" s="188">
        <v>186</v>
      </c>
      <c r="C192" s="197"/>
      <c r="D192" s="198">
        <v>70</v>
      </c>
      <c r="E192" s="188">
        <v>56</v>
      </c>
      <c r="F192" s="188">
        <v>43540</v>
      </c>
      <c r="G192" s="190">
        <v>4354</v>
      </c>
      <c r="H192" s="195">
        <v>0.011</v>
      </c>
      <c r="I192" s="188">
        <v>5982</v>
      </c>
      <c r="J192" s="191">
        <v>549642</v>
      </c>
      <c r="K192" s="196">
        <v>118.1714286</v>
      </c>
      <c r="L192" s="186"/>
      <c r="M192" s="188">
        <v>186</v>
      </c>
      <c r="N192" s="188">
        <v>1304</v>
      </c>
      <c r="O192" s="191">
        <v>1062</v>
      </c>
      <c r="P192" s="191">
        <v>8</v>
      </c>
      <c r="Q192" s="188">
        <v>1084</v>
      </c>
      <c r="R192" s="189">
        <v>0.18</v>
      </c>
      <c r="S192" s="192">
        <v>99800</v>
      </c>
      <c r="T192" s="188">
        <v>80383</v>
      </c>
      <c r="U192" s="188">
        <f>SUM($S$7:S192)</f>
        <v>6575000</v>
      </c>
      <c r="V192" s="188">
        <v>364</v>
      </c>
      <c r="W192" s="191">
        <v>51</v>
      </c>
      <c r="X192" s="188"/>
      <c r="Y192" s="188">
        <f t="shared" si="7"/>
        <v>98600</v>
      </c>
      <c r="Z192" s="194">
        <f t="shared" si="8"/>
        <v>90.9594095940959</v>
      </c>
    </row>
    <row r="193" ht="17.25" spans="2:26">
      <c r="B193" s="188">
        <v>187</v>
      </c>
      <c r="C193" s="197"/>
      <c r="D193" s="198">
        <v>70</v>
      </c>
      <c r="E193" s="188">
        <v>56</v>
      </c>
      <c r="F193" s="188">
        <v>44100</v>
      </c>
      <c r="G193" s="190">
        <v>4410</v>
      </c>
      <c r="H193" s="195">
        <v>0.011</v>
      </c>
      <c r="I193" s="188">
        <v>6006</v>
      </c>
      <c r="J193" s="191">
        <v>554286</v>
      </c>
      <c r="K193" s="196">
        <v>119.0857143</v>
      </c>
      <c r="L193" s="186"/>
      <c r="M193" s="188">
        <v>187</v>
      </c>
      <c r="N193" s="188">
        <v>1304</v>
      </c>
      <c r="O193" s="191">
        <v>1062</v>
      </c>
      <c r="P193" s="191">
        <v>8</v>
      </c>
      <c r="Q193" s="188">
        <v>1092</v>
      </c>
      <c r="R193" s="189">
        <v>0.18</v>
      </c>
      <c r="S193" s="192">
        <v>100600</v>
      </c>
      <c r="T193" s="188">
        <v>81475</v>
      </c>
      <c r="U193" s="188">
        <f>SUM($S$7:S193)</f>
        <v>6675600</v>
      </c>
      <c r="V193" s="188">
        <v>369</v>
      </c>
      <c r="W193" s="191">
        <v>50</v>
      </c>
      <c r="X193" s="188"/>
      <c r="Y193" s="188">
        <f t="shared" si="7"/>
        <v>99400</v>
      </c>
      <c r="Z193" s="194">
        <f t="shared" si="8"/>
        <v>91.025641025641</v>
      </c>
    </row>
    <row r="194" ht="17.25" spans="2:26">
      <c r="B194" s="188">
        <v>188</v>
      </c>
      <c r="C194" s="197"/>
      <c r="D194" s="198">
        <v>70</v>
      </c>
      <c r="E194" s="188">
        <v>56</v>
      </c>
      <c r="F194" s="188">
        <v>44660</v>
      </c>
      <c r="G194" s="190">
        <v>4466</v>
      </c>
      <c r="H194" s="195">
        <v>0.011</v>
      </c>
      <c r="I194" s="188">
        <v>6060</v>
      </c>
      <c r="J194" s="191">
        <v>561729</v>
      </c>
      <c r="K194" s="196">
        <v>120</v>
      </c>
      <c r="L194" s="186"/>
      <c r="M194" s="188">
        <v>188</v>
      </c>
      <c r="N194" s="188">
        <v>1304</v>
      </c>
      <c r="O194" s="191">
        <v>1062</v>
      </c>
      <c r="P194" s="191">
        <v>8</v>
      </c>
      <c r="Q194" s="188">
        <v>1100</v>
      </c>
      <c r="R194" s="189">
        <v>0.18</v>
      </c>
      <c r="S194" s="192">
        <v>101400</v>
      </c>
      <c r="T194" s="188">
        <v>82575</v>
      </c>
      <c r="U194" s="188">
        <f>SUM($S$7:S194)</f>
        <v>6777000</v>
      </c>
      <c r="V194" s="188">
        <v>374</v>
      </c>
      <c r="W194" s="191">
        <v>50</v>
      </c>
      <c r="X194" s="188"/>
      <c r="Y194" s="188">
        <f t="shared" si="7"/>
        <v>100200</v>
      </c>
      <c r="Z194" s="194">
        <f t="shared" si="8"/>
        <v>91.0909090909091</v>
      </c>
    </row>
    <row r="195" ht="17.25" spans="2:26">
      <c r="B195" s="188">
        <v>189</v>
      </c>
      <c r="C195" s="197"/>
      <c r="D195" s="198">
        <v>70</v>
      </c>
      <c r="E195" s="188">
        <v>56</v>
      </c>
      <c r="F195" s="188">
        <v>45220</v>
      </c>
      <c r="G195" s="190">
        <v>4522</v>
      </c>
      <c r="H195" s="195">
        <v>0.011</v>
      </c>
      <c r="I195" s="188">
        <v>6114</v>
      </c>
      <c r="J195" s="191">
        <v>569217</v>
      </c>
      <c r="K195" s="196">
        <v>120.9142857</v>
      </c>
      <c r="L195" s="186"/>
      <c r="M195" s="188">
        <v>189</v>
      </c>
      <c r="N195" s="188">
        <v>1304</v>
      </c>
      <c r="O195" s="191">
        <v>1062</v>
      </c>
      <c r="P195" s="191">
        <v>8</v>
      </c>
      <c r="Q195" s="188">
        <v>1108</v>
      </c>
      <c r="R195" s="189">
        <v>0.17</v>
      </c>
      <c r="S195" s="192">
        <v>102200</v>
      </c>
      <c r="T195" s="188">
        <v>83683</v>
      </c>
      <c r="U195" s="188">
        <f>SUM($S$7:S195)</f>
        <v>6879200</v>
      </c>
      <c r="V195" s="188">
        <v>379</v>
      </c>
      <c r="W195" s="191">
        <v>50</v>
      </c>
      <c r="X195" s="188"/>
      <c r="Y195" s="188">
        <f t="shared" si="7"/>
        <v>101000</v>
      </c>
      <c r="Z195" s="194">
        <f t="shared" si="8"/>
        <v>91.1552346570397</v>
      </c>
    </row>
    <row r="196" ht="17.25" spans="2:26">
      <c r="B196" s="188">
        <v>190</v>
      </c>
      <c r="C196" s="197"/>
      <c r="D196" s="198">
        <v>70</v>
      </c>
      <c r="E196" s="188">
        <v>60</v>
      </c>
      <c r="F196" s="188">
        <v>45820</v>
      </c>
      <c r="G196" s="190">
        <v>4582</v>
      </c>
      <c r="H196" s="195">
        <v>0.01</v>
      </c>
      <c r="I196" s="188">
        <v>6138</v>
      </c>
      <c r="J196" s="191">
        <v>587716</v>
      </c>
      <c r="K196" s="196">
        <v>121.8285714</v>
      </c>
      <c r="L196" s="186"/>
      <c r="M196" s="188">
        <v>190</v>
      </c>
      <c r="N196" s="188">
        <v>1304</v>
      </c>
      <c r="O196" s="191">
        <v>1062</v>
      </c>
      <c r="P196" s="191">
        <v>8</v>
      </c>
      <c r="Q196" s="188">
        <v>1116</v>
      </c>
      <c r="R196" s="189">
        <v>0.17</v>
      </c>
      <c r="S196" s="192">
        <v>103000</v>
      </c>
      <c r="T196" s="188">
        <v>84799</v>
      </c>
      <c r="U196" s="188">
        <f>SUM($S$7:S196)</f>
        <v>6982200</v>
      </c>
      <c r="V196" s="188">
        <v>384</v>
      </c>
      <c r="W196" s="191">
        <v>50</v>
      </c>
      <c r="X196" s="188"/>
      <c r="Y196" s="188">
        <f t="shared" si="7"/>
        <v>101800</v>
      </c>
      <c r="Z196" s="194">
        <f t="shared" si="8"/>
        <v>91.2186379928315</v>
      </c>
    </row>
    <row r="197" ht="17.25" spans="2:26">
      <c r="B197" s="188">
        <v>191</v>
      </c>
      <c r="C197" s="197"/>
      <c r="D197" s="198">
        <v>70</v>
      </c>
      <c r="E197" s="188">
        <v>60</v>
      </c>
      <c r="F197" s="188">
        <v>46420</v>
      </c>
      <c r="G197" s="190">
        <v>4642</v>
      </c>
      <c r="H197" s="195">
        <v>0.01</v>
      </c>
      <c r="I197" s="188">
        <v>6192</v>
      </c>
      <c r="J197" s="191">
        <v>595400</v>
      </c>
      <c r="K197" s="196">
        <v>122.7428571</v>
      </c>
      <c r="L197" s="186"/>
      <c r="M197" s="188">
        <v>191</v>
      </c>
      <c r="N197" s="188">
        <v>1304</v>
      </c>
      <c r="O197" s="191">
        <v>1062</v>
      </c>
      <c r="P197" s="191">
        <v>8</v>
      </c>
      <c r="Q197" s="188">
        <v>1124</v>
      </c>
      <c r="R197" s="189">
        <v>0.17</v>
      </c>
      <c r="S197" s="192">
        <v>103800</v>
      </c>
      <c r="T197" s="188">
        <v>85923</v>
      </c>
      <c r="U197" s="188">
        <f>SUM($S$7:S197)</f>
        <v>7086000</v>
      </c>
      <c r="V197" s="188">
        <v>389</v>
      </c>
      <c r="W197" s="191">
        <v>50</v>
      </c>
      <c r="X197" s="188"/>
      <c r="Y197" s="188">
        <f t="shared" si="7"/>
        <v>102600</v>
      </c>
      <c r="Z197" s="194">
        <f t="shared" si="8"/>
        <v>91.2811387900356</v>
      </c>
    </row>
    <row r="198" ht="17.25" spans="2:26">
      <c r="B198" s="188">
        <v>192</v>
      </c>
      <c r="C198" s="197"/>
      <c r="D198" s="198">
        <v>70</v>
      </c>
      <c r="E198" s="188">
        <v>60</v>
      </c>
      <c r="F198" s="188">
        <v>47020</v>
      </c>
      <c r="G198" s="190">
        <v>4702</v>
      </c>
      <c r="H198" s="195">
        <v>0.01</v>
      </c>
      <c r="I198" s="188">
        <v>6246</v>
      </c>
      <c r="J198" s="191">
        <v>603128</v>
      </c>
      <c r="K198" s="196">
        <v>123.6571429</v>
      </c>
      <c r="L198" s="186"/>
      <c r="M198" s="188">
        <v>192</v>
      </c>
      <c r="N198" s="188">
        <v>1304</v>
      </c>
      <c r="O198" s="191">
        <v>1062</v>
      </c>
      <c r="P198" s="191">
        <v>8</v>
      </c>
      <c r="Q198" s="188">
        <v>1132</v>
      </c>
      <c r="R198" s="189">
        <v>0.17</v>
      </c>
      <c r="S198" s="192">
        <v>104600</v>
      </c>
      <c r="T198" s="188">
        <v>87055</v>
      </c>
      <c r="U198" s="188">
        <f>SUM($S$7:S198)</f>
        <v>7190600</v>
      </c>
      <c r="V198" s="188">
        <v>394</v>
      </c>
      <c r="W198" s="191">
        <v>50</v>
      </c>
      <c r="X198" s="188"/>
      <c r="Y198" s="188">
        <f t="shared" si="7"/>
        <v>103400</v>
      </c>
      <c r="Z198" s="194">
        <f t="shared" si="8"/>
        <v>91.3427561837456</v>
      </c>
    </row>
    <row r="199" ht="17.25" spans="2:26">
      <c r="B199" s="188">
        <v>193</v>
      </c>
      <c r="C199" s="197"/>
      <c r="D199" s="198">
        <v>70</v>
      </c>
      <c r="E199" s="188">
        <v>60</v>
      </c>
      <c r="F199" s="188">
        <v>47620</v>
      </c>
      <c r="G199" s="190">
        <v>4762</v>
      </c>
      <c r="H199" s="195">
        <v>0.01</v>
      </c>
      <c r="I199" s="188">
        <v>6270</v>
      </c>
      <c r="J199" s="191">
        <v>607991</v>
      </c>
      <c r="K199" s="196">
        <v>124.5714286</v>
      </c>
      <c r="L199" s="186"/>
      <c r="M199" s="188">
        <v>193</v>
      </c>
      <c r="N199" s="188">
        <v>1304</v>
      </c>
      <c r="O199" s="191">
        <v>1062</v>
      </c>
      <c r="P199" s="191">
        <v>8</v>
      </c>
      <c r="Q199" s="188">
        <v>1140</v>
      </c>
      <c r="R199" s="189">
        <v>0.16</v>
      </c>
      <c r="S199" s="192">
        <v>105400</v>
      </c>
      <c r="T199" s="188">
        <v>88195</v>
      </c>
      <c r="U199" s="188">
        <f>SUM($S$7:S199)</f>
        <v>7296000</v>
      </c>
      <c r="V199" s="188">
        <v>399</v>
      </c>
      <c r="W199" s="191">
        <v>50</v>
      </c>
      <c r="X199" s="188"/>
      <c r="Y199" s="188">
        <f t="shared" si="7"/>
        <v>104200</v>
      </c>
      <c r="Z199" s="194">
        <f t="shared" si="8"/>
        <v>91.4035087719298</v>
      </c>
    </row>
    <row r="200" ht="17.25" spans="2:26">
      <c r="B200" s="188">
        <v>194</v>
      </c>
      <c r="C200" s="197"/>
      <c r="D200" s="198">
        <v>70</v>
      </c>
      <c r="E200" s="188">
        <v>60</v>
      </c>
      <c r="F200" s="188">
        <v>48220</v>
      </c>
      <c r="G200" s="190">
        <v>4822</v>
      </c>
      <c r="H200" s="195">
        <v>0.01</v>
      </c>
      <c r="I200" s="188">
        <v>6324</v>
      </c>
      <c r="J200" s="191">
        <v>615794</v>
      </c>
      <c r="K200" s="196">
        <v>125.4857143</v>
      </c>
      <c r="L200" s="186"/>
      <c r="M200" s="188">
        <v>194</v>
      </c>
      <c r="N200" s="188">
        <v>1304</v>
      </c>
      <c r="O200" s="191">
        <v>1062</v>
      </c>
      <c r="P200" s="191">
        <v>8</v>
      </c>
      <c r="Q200" s="188">
        <v>1148</v>
      </c>
      <c r="R200" s="189">
        <v>0.16</v>
      </c>
      <c r="S200" s="192">
        <v>106200</v>
      </c>
      <c r="T200" s="188">
        <v>89343</v>
      </c>
      <c r="U200" s="188">
        <f>SUM($S$7:S200)</f>
        <v>7402200</v>
      </c>
      <c r="V200" s="188">
        <v>404</v>
      </c>
      <c r="W200" s="191">
        <v>50</v>
      </c>
      <c r="X200" s="188"/>
      <c r="Y200" s="188">
        <f t="shared" si="7"/>
        <v>105000</v>
      </c>
      <c r="Z200" s="194">
        <f t="shared" si="8"/>
        <v>91.4634146341463</v>
      </c>
    </row>
    <row r="201" ht="17.25" spans="2:26">
      <c r="B201" s="188">
        <v>195</v>
      </c>
      <c r="C201" s="197"/>
      <c r="D201" s="198">
        <v>75</v>
      </c>
      <c r="E201" s="188">
        <v>60</v>
      </c>
      <c r="F201" s="188">
        <v>48820</v>
      </c>
      <c r="G201" s="190">
        <v>4882</v>
      </c>
      <c r="H201" s="195">
        <v>0.01</v>
      </c>
      <c r="I201" s="188">
        <v>6378</v>
      </c>
      <c r="J201" s="191">
        <v>623642</v>
      </c>
      <c r="K201" s="196">
        <v>117.9733333</v>
      </c>
      <c r="L201" s="186"/>
      <c r="M201" s="188">
        <v>195</v>
      </c>
      <c r="N201" s="188">
        <v>1304</v>
      </c>
      <c r="O201" s="191">
        <v>1062</v>
      </c>
      <c r="P201" s="191">
        <v>8</v>
      </c>
      <c r="Q201" s="188">
        <v>1156</v>
      </c>
      <c r="R201" s="189">
        <v>0.16</v>
      </c>
      <c r="S201" s="192">
        <v>107000</v>
      </c>
      <c r="T201" s="188">
        <v>90499</v>
      </c>
      <c r="U201" s="188">
        <f>SUM($S$7:S201)</f>
        <v>7509200</v>
      </c>
      <c r="V201" s="188">
        <v>409</v>
      </c>
      <c r="W201" s="191">
        <v>50</v>
      </c>
      <c r="X201" s="188"/>
      <c r="Y201" s="188">
        <f t="shared" si="7"/>
        <v>105800</v>
      </c>
      <c r="Z201" s="194">
        <f t="shared" si="8"/>
        <v>91.522491349481</v>
      </c>
    </row>
    <row r="202" ht="17.25" spans="2:26">
      <c r="B202" s="188">
        <v>196</v>
      </c>
      <c r="C202" s="197"/>
      <c r="D202" s="198">
        <v>75</v>
      </c>
      <c r="E202" s="188">
        <v>60</v>
      </c>
      <c r="F202" s="188">
        <v>49420</v>
      </c>
      <c r="G202" s="190">
        <v>4942</v>
      </c>
      <c r="H202" s="195">
        <v>0.01</v>
      </c>
      <c r="I202" s="188">
        <v>6402</v>
      </c>
      <c r="J202" s="191">
        <v>628587</v>
      </c>
      <c r="K202" s="196">
        <v>118.8266667</v>
      </c>
      <c r="L202" s="186"/>
      <c r="M202" s="188">
        <v>196</v>
      </c>
      <c r="N202" s="188">
        <v>1304</v>
      </c>
      <c r="O202" s="191">
        <v>1062</v>
      </c>
      <c r="P202" s="191">
        <v>8</v>
      </c>
      <c r="Q202" s="188">
        <v>1164</v>
      </c>
      <c r="R202" s="189">
        <v>0.16</v>
      </c>
      <c r="S202" s="192">
        <v>107800</v>
      </c>
      <c r="T202" s="188">
        <v>91663</v>
      </c>
      <c r="U202" s="188">
        <f>SUM($S$7:S202)</f>
        <v>7617000</v>
      </c>
      <c r="V202" s="188">
        <v>415</v>
      </c>
      <c r="W202" s="191">
        <v>50</v>
      </c>
      <c r="X202" s="188"/>
      <c r="Y202" s="188">
        <f t="shared" si="7"/>
        <v>106600</v>
      </c>
      <c r="Z202" s="194">
        <f t="shared" si="8"/>
        <v>91.5807560137457</v>
      </c>
    </row>
    <row r="203" ht="17.25" spans="2:26">
      <c r="B203" s="188">
        <v>197</v>
      </c>
      <c r="C203" s="197"/>
      <c r="D203" s="198">
        <v>75</v>
      </c>
      <c r="E203" s="188">
        <v>60</v>
      </c>
      <c r="F203" s="188">
        <v>50020</v>
      </c>
      <c r="G203" s="190">
        <v>5002</v>
      </c>
      <c r="H203" s="195">
        <v>0.01</v>
      </c>
      <c r="I203" s="188">
        <v>6456</v>
      </c>
      <c r="J203" s="191">
        <v>636510</v>
      </c>
      <c r="K203" s="196">
        <v>119.68</v>
      </c>
      <c r="L203" s="186"/>
      <c r="M203" s="188">
        <v>197</v>
      </c>
      <c r="N203" s="188">
        <v>1304</v>
      </c>
      <c r="O203" s="191">
        <v>1062</v>
      </c>
      <c r="P203" s="191">
        <v>8</v>
      </c>
      <c r="Q203" s="188">
        <v>1172</v>
      </c>
      <c r="R203" s="189">
        <v>0.15</v>
      </c>
      <c r="S203" s="192">
        <v>108600</v>
      </c>
      <c r="T203" s="188">
        <v>92835</v>
      </c>
      <c r="U203" s="188">
        <f>SUM($S$7:S203)</f>
        <v>7725600</v>
      </c>
      <c r="V203" s="188">
        <v>420</v>
      </c>
      <c r="W203" s="191">
        <v>50</v>
      </c>
      <c r="X203" s="188"/>
      <c r="Y203" s="188">
        <f t="shared" si="7"/>
        <v>107400</v>
      </c>
      <c r="Z203" s="194">
        <f t="shared" si="8"/>
        <v>91.6382252559727</v>
      </c>
    </row>
    <row r="204" ht="17.25" spans="2:26">
      <c r="B204" s="188">
        <v>198</v>
      </c>
      <c r="C204" s="197"/>
      <c r="D204" s="198">
        <v>75</v>
      </c>
      <c r="E204" s="188">
        <v>60</v>
      </c>
      <c r="F204" s="188">
        <v>50620</v>
      </c>
      <c r="G204" s="190">
        <v>5062</v>
      </c>
      <c r="H204" s="195">
        <v>0.01</v>
      </c>
      <c r="I204" s="188">
        <v>6510</v>
      </c>
      <c r="J204" s="191">
        <v>644477</v>
      </c>
      <c r="K204" s="196">
        <v>120.5333333</v>
      </c>
      <c r="L204" s="186"/>
      <c r="M204" s="188">
        <v>198</v>
      </c>
      <c r="N204" s="188">
        <v>1304</v>
      </c>
      <c r="O204" s="191">
        <v>1062</v>
      </c>
      <c r="P204" s="191">
        <v>8</v>
      </c>
      <c r="Q204" s="188">
        <v>1180</v>
      </c>
      <c r="R204" s="189">
        <v>0.15</v>
      </c>
      <c r="S204" s="192">
        <v>109400</v>
      </c>
      <c r="T204" s="188">
        <v>94015</v>
      </c>
      <c r="U204" s="188">
        <f>SUM($S$7:S204)</f>
        <v>7835000</v>
      </c>
      <c r="V204" s="188">
        <v>425</v>
      </c>
      <c r="W204" s="191">
        <v>50</v>
      </c>
      <c r="X204" s="188"/>
      <c r="Y204" s="188">
        <f t="shared" si="7"/>
        <v>108200</v>
      </c>
      <c r="Z204" s="194">
        <f t="shared" si="8"/>
        <v>91.6949152542373</v>
      </c>
    </row>
    <row r="205" ht="17.25" spans="2:26">
      <c r="B205" s="188">
        <v>199</v>
      </c>
      <c r="C205" s="197"/>
      <c r="D205" s="198">
        <v>75</v>
      </c>
      <c r="E205" s="188">
        <v>60</v>
      </c>
      <c r="F205" s="188">
        <v>51220</v>
      </c>
      <c r="G205" s="190">
        <v>5122</v>
      </c>
      <c r="H205" s="195">
        <v>0.01</v>
      </c>
      <c r="I205" s="188">
        <v>6534</v>
      </c>
      <c r="J205" s="191">
        <v>649505</v>
      </c>
      <c r="K205" s="196">
        <v>121.3866667</v>
      </c>
      <c r="L205" s="186"/>
      <c r="M205" s="188">
        <v>199</v>
      </c>
      <c r="N205" s="188">
        <v>1304</v>
      </c>
      <c r="O205" s="191">
        <v>1062</v>
      </c>
      <c r="P205" s="191">
        <v>8</v>
      </c>
      <c r="Q205" s="188">
        <v>1188</v>
      </c>
      <c r="R205" s="189">
        <v>0.15</v>
      </c>
      <c r="S205" s="192">
        <v>110200</v>
      </c>
      <c r="T205" s="188">
        <v>95203</v>
      </c>
      <c r="U205" s="188">
        <f>SUM($S$7:S205)</f>
        <v>7945200</v>
      </c>
      <c r="V205" s="188">
        <v>431</v>
      </c>
      <c r="W205" s="191">
        <v>50</v>
      </c>
      <c r="X205" s="188"/>
      <c r="Y205" s="188">
        <f t="shared" si="7"/>
        <v>109000</v>
      </c>
      <c r="Z205" s="194">
        <f t="shared" si="8"/>
        <v>91.7508417508417</v>
      </c>
    </row>
    <row r="206" ht="17.25" spans="2:26">
      <c r="B206" s="188">
        <v>200</v>
      </c>
      <c r="C206" s="197"/>
      <c r="D206" s="198">
        <v>75</v>
      </c>
      <c r="E206" s="188">
        <v>64</v>
      </c>
      <c r="F206" s="188">
        <v>51860</v>
      </c>
      <c r="G206" s="190">
        <v>5186</v>
      </c>
      <c r="H206" s="195">
        <v>0.01</v>
      </c>
      <c r="I206" s="188">
        <v>6588</v>
      </c>
      <c r="J206" s="191">
        <v>676709</v>
      </c>
      <c r="K206" s="196">
        <v>122.24</v>
      </c>
      <c r="L206" s="186"/>
      <c r="M206" s="188">
        <v>200</v>
      </c>
      <c r="N206" s="188">
        <v>1304</v>
      </c>
      <c r="O206" s="191">
        <v>1062</v>
      </c>
      <c r="P206" s="191">
        <v>8</v>
      </c>
      <c r="Q206" s="188">
        <v>1196</v>
      </c>
      <c r="R206" s="189">
        <v>0.15</v>
      </c>
      <c r="S206" s="192">
        <v>111000</v>
      </c>
      <c r="T206" s="188">
        <v>96399</v>
      </c>
      <c r="U206" s="188">
        <f>SUM($S$7:S206)</f>
        <v>8056200</v>
      </c>
      <c r="V206" s="188">
        <v>436</v>
      </c>
      <c r="W206" s="191">
        <v>50</v>
      </c>
      <c r="X206" s="188"/>
      <c r="Y206" s="188">
        <f t="shared" si="7"/>
        <v>109800</v>
      </c>
      <c r="Z206" s="194">
        <f t="shared" si="8"/>
        <v>91.8060200668896</v>
      </c>
    </row>
    <row r="207" ht="17.25" spans="2:26">
      <c r="B207" s="188">
        <v>201</v>
      </c>
      <c r="C207" s="197"/>
      <c r="D207" s="198">
        <v>75</v>
      </c>
      <c r="E207" s="188">
        <v>64</v>
      </c>
      <c r="F207" s="188">
        <v>52500</v>
      </c>
      <c r="G207" s="190">
        <v>5250</v>
      </c>
      <c r="H207" s="195">
        <v>0.01</v>
      </c>
      <c r="I207" s="188">
        <v>6642</v>
      </c>
      <c r="J207" s="191">
        <v>684952</v>
      </c>
      <c r="K207" s="196">
        <v>123.0933333</v>
      </c>
      <c r="L207" s="186"/>
      <c r="M207" s="188">
        <v>201</v>
      </c>
      <c r="N207" s="188">
        <v>1304</v>
      </c>
      <c r="O207" s="191">
        <v>1062</v>
      </c>
      <c r="P207" s="191">
        <v>8</v>
      </c>
      <c r="Q207" s="188">
        <v>1204</v>
      </c>
      <c r="R207" s="189">
        <v>0.14</v>
      </c>
      <c r="S207" s="192">
        <v>111800</v>
      </c>
      <c r="T207" s="188">
        <v>97603</v>
      </c>
      <c r="U207" s="188">
        <f>SUM($S$7:S207)</f>
        <v>8168000</v>
      </c>
      <c r="V207" s="188">
        <v>442</v>
      </c>
      <c r="W207" s="191">
        <v>50</v>
      </c>
      <c r="X207" s="188"/>
      <c r="Y207" s="188">
        <f t="shared" si="7"/>
        <v>110600</v>
      </c>
      <c r="Z207" s="194">
        <f t="shared" si="8"/>
        <v>91.8604651162791</v>
      </c>
    </row>
    <row r="208" ht="17.25" spans="2:26">
      <c r="B208" s="188">
        <v>202</v>
      </c>
      <c r="C208" s="197"/>
      <c r="D208" s="198">
        <v>75</v>
      </c>
      <c r="E208" s="188">
        <v>64</v>
      </c>
      <c r="F208" s="188">
        <v>53140</v>
      </c>
      <c r="G208" s="190">
        <v>5314</v>
      </c>
      <c r="H208" s="195">
        <v>0.01</v>
      </c>
      <c r="I208" s="188">
        <v>6666</v>
      </c>
      <c r="J208" s="191">
        <v>690133</v>
      </c>
      <c r="K208" s="196">
        <v>123.9466667</v>
      </c>
      <c r="L208" s="186"/>
      <c r="M208" s="188">
        <v>202</v>
      </c>
      <c r="N208" s="188">
        <v>1304</v>
      </c>
      <c r="O208" s="191">
        <v>1062</v>
      </c>
      <c r="P208" s="191">
        <v>8</v>
      </c>
      <c r="Q208" s="188">
        <v>1212</v>
      </c>
      <c r="R208" s="189">
        <v>0.14</v>
      </c>
      <c r="S208" s="192">
        <v>112600</v>
      </c>
      <c r="T208" s="188">
        <v>98815</v>
      </c>
      <c r="U208" s="188">
        <f>SUM($S$7:S208)</f>
        <v>8280600</v>
      </c>
      <c r="V208" s="188">
        <v>447</v>
      </c>
      <c r="W208" s="191">
        <v>50</v>
      </c>
      <c r="X208" s="188"/>
      <c r="Y208" s="188">
        <f t="shared" si="7"/>
        <v>111400</v>
      </c>
      <c r="Z208" s="194">
        <f t="shared" si="8"/>
        <v>91.9141914191419</v>
      </c>
    </row>
    <row r="209" ht="17.25" spans="2:26">
      <c r="B209" s="188">
        <v>203</v>
      </c>
      <c r="C209" s="197"/>
      <c r="D209" s="198">
        <v>75</v>
      </c>
      <c r="E209" s="188">
        <v>64</v>
      </c>
      <c r="F209" s="188">
        <v>53780</v>
      </c>
      <c r="G209" s="190">
        <v>5378</v>
      </c>
      <c r="H209" s="195">
        <v>0.01</v>
      </c>
      <c r="I209" s="188">
        <v>6720</v>
      </c>
      <c r="J209" s="191">
        <v>698452</v>
      </c>
      <c r="K209" s="196">
        <v>124.8</v>
      </c>
      <c r="L209" s="186"/>
      <c r="M209" s="188">
        <v>203</v>
      </c>
      <c r="N209" s="188">
        <v>1304</v>
      </c>
      <c r="O209" s="191">
        <v>1062</v>
      </c>
      <c r="P209" s="191">
        <v>8</v>
      </c>
      <c r="Q209" s="188">
        <v>1220</v>
      </c>
      <c r="R209" s="189">
        <v>0.14</v>
      </c>
      <c r="S209" s="192">
        <v>113400</v>
      </c>
      <c r="T209" s="188">
        <v>100035</v>
      </c>
      <c r="U209" s="188">
        <f>SUM($S$7:S209)</f>
        <v>8394000</v>
      </c>
      <c r="V209" s="188">
        <v>453</v>
      </c>
      <c r="W209" s="191">
        <v>50</v>
      </c>
      <c r="X209" s="188"/>
      <c r="Y209" s="188">
        <f t="shared" si="7"/>
        <v>112200</v>
      </c>
      <c r="Z209" s="194">
        <f t="shared" si="8"/>
        <v>91.9672131147541</v>
      </c>
    </row>
    <row r="210" ht="17.25" spans="2:26">
      <c r="B210" s="188">
        <v>204</v>
      </c>
      <c r="C210" s="197"/>
      <c r="D210" s="198">
        <v>75</v>
      </c>
      <c r="E210" s="188">
        <v>64</v>
      </c>
      <c r="F210" s="188">
        <v>54420</v>
      </c>
      <c r="G210" s="190">
        <v>5442</v>
      </c>
      <c r="H210" s="195">
        <v>0.01</v>
      </c>
      <c r="I210" s="188">
        <v>6774</v>
      </c>
      <c r="J210" s="191">
        <v>706814</v>
      </c>
      <c r="K210" s="196">
        <v>125.6533333</v>
      </c>
      <c r="L210" s="186"/>
      <c r="M210" s="188">
        <v>204</v>
      </c>
      <c r="N210" s="188">
        <v>1304</v>
      </c>
      <c r="O210" s="191">
        <v>1062</v>
      </c>
      <c r="P210" s="191">
        <v>8</v>
      </c>
      <c r="Q210" s="188">
        <v>1228</v>
      </c>
      <c r="R210" s="189">
        <v>0.14</v>
      </c>
      <c r="S210" s="192">
        <v>114200</v>
      </c>
      <c r="T210" s="188">
        <v>101263</v>
      </c>
      <c r="U210" s="188">
        <f>SUM($S$7:S210)</f>
        <v>8508200</v>
      </c>
      <c r="V210" s="188">
        <v>458</v>
      </c>
      <c r="W210" s="191">
        <v>50</v>
      </c>
      <c r="X210" s="188"/>
      <c r="Y210" s="188">
        <f t="shared" si="7"/>
        <v>113000</v>
      </c>
      <c r="Z210" s="194">
        <f t="shared" si="8"/>
        <v>92.0195439739414</v>
      </c>
    </row>
    <row r="211" ht="17.25" spans="2:26">
      <c r="B211" s="188">
        <v>205</v>
      </c>
      <c r="C211" s="197"/>
      <c r="D211" s="198">
        <v>80</v>
      </c>
      <c r="E211" s="188">
        <v>64</v>
      </c>
      <c r="F211" s="188">
        <v>55060</v>
      </c>
      <c r="G211" s="190">
        <v>5506</v>
      </c>
      <c r="H211" s="195">
        <v>0.01</v>
      </c>
      <c r="I211" s="188">
        <v>6798</v>
      </c>
      <c r="J211" s="191">
        <v>712078</v>
      </c>
      <c r="K211" s="196">
        <v>118.6</v>
      </c>
      <c r="L211" s="186"/>
      <c r="M211" s="188">
        <v>205</v>
      </c>
      <c r="N211" s="188">
        <v>1304</v>
      </c>
      <c r="O211" s="191">
        <v>1062</v>
      </c>
      <c r="P211" s="191">
        <v>8</v>
      </c>
      <c r="Q211" s="188">
        <v>1236</v>
      </c>
      <c r="R211" s="189">
        <v>0.13</v>
      </c>
      <c r="S211" s="192">
        <v>115000</v>
      </c>
      <c r="T211" s="188">
        <v>102499</v>
      </c>
      <c r="U211" s="188">
        <f>SUM($S$7:S211)</f>
        <v>8623200</v>
      </c>
      <c r="V211" s="188">
        <v>464</v>
      </c>
      <c r="W211" s="191">
        <v>50</v>
      </c>
      <c r="X211" s="188"/>
      <c r="Y211" s="188">
        <f t="shared" si="7"/>
        <v>113800</v>
      </c>
      <c r="Z211" s="194">
        <f t="shared" si="8"/>
        <v>92.0711974110032</v>
      </c>
    </row>
    <row r="212" ht="17.25" spans="2:26">
      <c r="B212" s="188">
        <v>206</v>
      </c>
      <c r="C212" s="197"/>
      <c r="D212" s="198">
        <v>80</v>
      </c>
      <c r="E212" s="188">
        <v>64</v>
      </c>
      <c r="F212" s="188">
        <v>55700</v>
      </c>
      <c r="G212" s="190">
        <v>5570</v>
      </c>
      <c r="H212" s="195">
        <v>0.01</v>
      </c>
      <c r="I212" s="188">
        <v>6852</v>
      </c>
      <c r="J212" s="191">
        <v>720516</v>
      </c>
      <c r="K212" s="196">
        <v>119.4</v>
      </c>
      <c r="L212" s="186"/>
      <c r="M212" s="188">
        <v>206</v>
      </c>
      <c r="N212" s="188">
        <v>1304</v>
      </c>
      <c r="O212" s="191">
        <v>1062</v>
      </c>
      <c r="P212" s="191">
        <v>8</v>
      </c>
      <c r="Q212" s="188">
        <v>1244</v>
      </c>
      <c r="R212" s="189">
        <v>0.13</v>
      </c>
      <c r="S212" s="192">
        <v>115800</v>
      </c>
      <c r="T212" s="188">
        <v>103743</v>
      </c>
      <c r="U212" s="188">
        <f>SUM($S$7:S212)</f>
        <v>8739000</v>
      </c>
      <c r="V212" s="188">
        <v>469</v>
      </c>
      <c r="W212" s="191">
        <v>50</v>
      </c>
      <c r="X212" s="188"/>
      <c r="Y212" s="188">
        <f t="shared" si="7"/>
        <v>114600</v>
      </c>
      <c r="Z212" s="194">
        <f t="shared" si="8"/>
        <v>92.1221864951768</v>
      </c>
    </row>
    <row r="213" ht="17.25" spans="2:26">
      <c r="B213" s="188">
        <v>207</v>
      </c>
      <c r="C213" s="197"/>
      <c r="D213" s="198">
        <v>80</v>
      </c>
      <c r="E213" s="188">
        <v>64</v>
      </c>
      <c r="F213" s="188">
        <v>56340</v>
      </c>
      <c r="G213" s="190">
        <v>5634</v>
      </c>
      <c r="H213" s="195">
        <v>0.009</v>
      </c>
      <c r="I213" s="188">
        <v>6906</v>
      </c>
      <c r="J213" s="191">
        <v>728998</v>
      </c>
      <c r="K213" s="196">
        <v>120.2</v>
      </c>
      <c r="L213" s="186"/>
      <c r="M213" s="188">
        <v>207</v>
      </c>
      <c r="N213" s="188">
        <v>1304</v>
      </c>
      <c r="O213" s="191">
        <v>1062</v>
      </c>
      <c r="P213" s="191">
        <v>8</v>
      </c>
      <c r="Q213" s="188">
        <v>1252</v>
      </c>
      <c r="R213" s="189">
        <v>0.13</v>
      </c>
      <c r="S213" s="192">
        <v>116600</v>
      </c>
      <c r="T213" s="188">
        <v>104995</v>
      </c>
      <c r="U213" s="188">
        <f>SUM($S$7:S213)</f>
        <v>8855600</v>
      </c>
      <c r="V213" s="188">
        <v>475</v>
      </c>
      <c r="W213" s="191">
        <v>50</v>
      </c>
      <c r="X213" s="188"/>
      <c r="Y213" s="188">
        <f t="shared" si="7"/>
        <v>115400</v>
      </c>
      <c r="Z213" s="194">
        <f t="shared" si="8"/>
        <v>92.1725239616613</v>
      </c>
    </row>
    <row r="214" ht="17.25" spans="2:26">
      <c r="B214" s="188">
        <v>208</v>
      </c>
      <c r="C214" s="197"/>
      <c r="D214" s="198">
        <v>80</v>
      </c>
      <c r="E214" s="188">
        <v>64</v>
      </c>
      <c r="F214" s="188">
        <v>56980</v>
      </c>
      <c r="G214" s="190">
        <v>5698</v>
      </c>
      <c r="H214" s="195">
        <v>0.009</v>
      </c>
      <c r="I214" s="188">
        <v>6930</v>
      </c>
      <c r="J214" s="191">
        <v>734344</v>
      </c>
      <c r="K214" s="196">
        <v>121</v>
      </c>
      <c r="L214" s="186"/>
      <c r="M214" s="188">
        <v>208</v>
      </c>
      <c r="N214" s="188">
        <v>1304</v>
      </c>
      <c r="O214" s="191">
        <v>1062</v>
      </c>
      <c r="P214" s="191">
        <v>8</v>
      </c>
      <c r="Q214" s="188">
        <v>1260</v>
      </c>
      <c r="R214" s="189">
        <v>0.12</v>
      </c>
      <c r="S214" s="192">
        <v>117400</v>
      </c>
      <c r="T214" s="188">
        <v>106255</v>
      </c>
      <c r="U214" s="188">
        <f>SUM($S$7:S214)</f>
        <v>8973000</v>
      </c>
      <c r="V214" s="188">
        <v>481</v>
      </c>
      <c r="W214" s="191">
        <v>50</v>
      </c>
      <c r="X214" s="188"/>
      <c r="Y214" s="188">
        <f t="shared" si="7"/>
        <v>116200</v>
      </c>
      <c r="Z214" s="194">
        <f t="shared" si="8"/>
        <v>92.2222222222222</v>
      </c>
    </row>
    <row r="215" ht="17.25" spans="2:26">
      <c r="B215" s="188">
        <v>209</v>
      </c>
      <c r="C215" s="197"/>
      <c r="D215" s="198">
        <v>80</v>
      </c>
      <c r="E215" s="188">
        <v>64</v>
      </c>
      <c r="F215" s="188">
        <v>57620</v>
      </c>
      <c r="G215" s="190">
        <v>5762</v>
      </c>
      <c r="H215" s="195">
        <v>0.009</v>
      </c>
      <c r="I215" s="188">
        <v>6984</v>
      </c>
      <c r="J215" s="191">
        <v>742902</v>
      </c>
      <c r="K215" s="196">
        <v>121.8</v>
      </c>
      <c r="L215" s="186"/>
      <c r="M215" s="188">
        <v>209</v>
      </c>
      <c r="N215" s="188">
        <v>1304</v>
      </c>
      <c r="O215" s="191">
        <v>1062</v>
      </c>
      <c r="P215" s="191">
        <v>8</v>
      </c>
      <c r="Q215" s="188">
        <v>1268</v>
      </c>
      <c r="R215" s="189">
        <v>0.12</v>
      </c>
      <c r="S215" s="192">
        <v>118200</v>
      </c>
      <c r="T215" s="188">
        <v>107523</v>
      </c>
      <c r="U215" s="188">
        <f>SUM($S$7:S215)</f>
        <v>9091200</v>
      </c>
      <c r="V215" s="188">
        <v>486</v>
      </c>
      <c r="W215" s="191">
        <v>50</v>
      </c>
      <c r="X215" s="188"/>
      <c r="Y215" s="188">
        <f t="shared" ref="Y215:Y278" si="9">Y214+800</f>
        <v>117000</v>
      </c>
      <c r="Z215" s="194">
        <f t="shared" si="8"/>
        <v>92.2712933753943</v>
      </c>
    </row>
    <row r="216" ht="17.25" spans="2:26">
      <c r="B216" s="188">
        <v>210</v>
      </c>
      <c r="C216" s="197"/>
      <c r="D216" s="198">
        <v>80</v>
      </c>
      <c r="E216" s="188">
        <v>68</v>
      </c>
      <c r="F216" s="188">
        <v>58300</v>
      </c>
      <c r="G216" s="190">
        <v>5830</v>
      </c>
      <c r="H216" s="195">
        <v>0.009</v>
      </c>
      <c r="I216" s="188">
        <v>7038</v>
      </c>
      <c r="J216" s="191">
        <v>776959</v>
      </c>
      <c r="K216" s="196">
        <v>122.6</v>
      </c>
      <c r="L216" s="186"/>
      <c r="M216" s="188">
        <v>210</v>
      </c>
      <c r="N216" s="188">
        <v>1304</v>
      </c>
      <c r="O216" s="191">
        <v>1062</v>
      </c>
      <c r="P216" s="191">
        <v>8</v>
      </c>
      <c r="Q216" s="188">
        <v>1276</v>
      </c>
      <c r="R216" s="189">
        <v>0.12</v>
      </c>
      <c r="S216" s="192">
        <v>119000</v>
      </c>
      <c r="T216" s="188">
        <v>108799</v>
      </c>
      <c r="U216" s="188">
        <f>SUM($S$7:S216)</f>
        <v>9210200</v>
      </c>
      <c r="V216" s="188">
        <v>492</v>
      </c>
      <c r="W216" s="191">
        <v>50</v>
      </c>
      <c r="X216" s="188"/>
      <c r="Y216" s="188">
        <f t="shared" si="9"/>
        <v>117800</v>
      </c>
      <c r="Z216" s="194">
        <f t="shared" si="8"/>
        <v>92.3197492163009</v>
      </c>
    </row>
    <row r="217" ht="17.25" spans="2:26">
      <c r="B217" s="188">
        <v>211</v>
      </c>
      <c r="C217" s="197"/>
      <c r="D217" s="198">
        <v>80</v>
      </c>
      <c r="E217" s="188">
        <v>68</v>
      </c>
      <c r="F217" s="188">
        <v>58980</v>
      </c>
      <c r="G217" s="190">
        <v>5898</v>
      </c>
      <c r="H217" s="195">
        <v>0.009</v>
      </c>
      <c r="I217" s="188">
        <v>7062</v>
      </c>
      <c r="J217" s="191">
        <v>782476</v>
      </c>
      <c r="K217" s="196">
        <v>123.4</v>
      </c>
      <c r="L217" s="186"/>
      <c r="M217" s="188">
        <v>211</v>
      </c>
      <c r="N217" s="188">
        <v>1304</v>
      </c>
      <c r="O217" s="191">
        <v>1062</v>
      </c>
      <c r="P217" s="191">
        <v>8</v>
      </c>
      <c r="Q217" s="188">
        <v>1284</v>
      </c>
      <c r="R217" s="189">
        <v>0.12</v>
      </c>
      <c r="S217" s="192">
        <v>119800</v>
      </c>
      <c r="T217" s="188">
        <v>110083</v>
      </c>
      <c r="U217" s="188">
        <f>SUM($S$7:S217)</f>
        <v>9330000</v>
      </c>
      <c r="V217" s="188">
        <v>498</v>
      </c>
      <c r="W217" s="191">
        <v>50</v>
      </c>
      <c r="X217" s="188"/>
      <c r="Y217" s="188">
        <f t="shared" si="9"/>
        <v>118600</v>
      </c>
      <c r="Z217" s="194">
        <f t="shared" si="8"/>
        <v>92.3676012461059</v>
      </c>
    </row>
    <row r="218" ht="17.25" spans="2:26">
      <c r="B218" s="188">
        <v>212</v>
      </c>
      <c r="C218" s="197"/>
      <c r="D218" s="198">
        <v>80</v>
      </c>
      <c r="E218" s="188">
        <v>68</v>
      </c>
      <c r="F218" s="188">
        <v>59660</v>
      </c>
      <c r="G218" s="190">
        <v>5966</v>
      </c>
      <c r="H218" s="195">
        <v>0.009</v>
      </c>
      <c r="I218" s="188">
        <v>7116</v>
      </c>
      <c r="J218" s="191">
        <v>791348</v>
      </c>
      <c r="K218" s="196">
        <v>124.2</v>
      </c>
      <c r="L218" s="186"/>
      <c r="M218" s="188">
        <v>212</v>
      </c>
      <c r="N218" s="188">
        <v>1304</v>
      </c>
      <c r="O218" s="191">
        <v>1062</v>
      </c>
      <c r="P218" s="191">
        <v>8</v>
      </c>
      <c r="Q218" s="188">
        <v>1292</v>
      </c>
      <c r="R218" s="189">
        <v>0.11</v>
      </c>
      <c r="S218" s="192">
        <v>120600</v>
      </c>
      <c r="T218" s="188">
        <v>111375</v>
      </c>
      <c r="U218" s="188">
        <f>SUM($S$7:S218)</f>
        <v>9450600</v>
      </c>
      <c r="V218" s="188">
        <v>504</v>
      </c>
      <c r="W218" s="191">
        <v>50</v>
      </c>
      <c r="X218" s="188"/>
      <c r="Y218" s="188">
        <f t="shared" si="9"/>
        <v>119400</v>
      </c>
      <c r="Z218" s="194">
        <f t="shared" si="8"/>
        <v>92.4148606811145</v>
      </c>
    </row>
    <row r="219" ht="17.25" spans="2:26">
      <c r="B219" s="188">
        <v>213</v>
      </c>
      <c r="C219" s="197"/>
      <c r="D219" s="198">
        <v>80</v>
      </c>
      <c r="E219" s="188">
        <v>68</v>
      </c>
      <c r="F219" s="188">
        <v>60340</v>
      </c>
      <c r="G219" s="190">
        <v>6034</v>
      </c>
      <c r="H219" s="195">
        <v>0.009</v>
      </c>
      <c r="I219" s="188">
        <v>7170</v>
      </c>
      <c r="J219" s="191">
        <v>800264</v>
      </c>
      <c r="K219" s="196">
        <v>125</v>
      </c>
      <c r="L219" s="186"/>
      <c r="M219" s="188">
        <v>213</v>
      </c>
      <c r="N219" s="188">
        <v>1304</v>
      </c>
      <c r="O219" s="191">
        <v>1062</v>
      </c>
      <c r="P219" s="191">
        <v>8</v>
      </c>
      <c r="Q219" s="188">
        <v>1300</v>
      </c>
      <c r="R219" s="189">
        <v>0.11</v>
      </c>
      <c r="S219" s="192">
        <v>121400</v>
      </c>
      <c r="T219" s="188">
        <v>112675</v>
      </c>
      <c r="U219" s="188">
        <f>SUM($S$7:S219)</f>
        <v>9572000</v>
      </c>
      <c r="V219" s="188">
        <v>510</v>
      </c>
      <c r="W219" s="191">
        <v>50</v>
      </c>
      <c r="X219" s="188"/>
      <c r="Y219" s="188">
        <f t="shared" si="9"/>
        <v>120200</v>
      </c>
      <c r="Z219" s="194">
        <f t="shared" si="8"/>
        <v>92.4615384615385</v>
      </c>
    </row>
    <row r="220" ht="17.25" spans="2:26">
      <c r="B220" s="188">
        <v>214</v>
      </c>
      <c r="C220" s="197"/>
      <c r="D220" s="198">
        <v>80</v>
      </c>
      <c r="E220" s="188">
        <v>68</v>
      </c>
      <c r="F220" s="188">
        <v>61020</v>
      </c>
      <c r="G220" s="190">
        <v>6102</v>
      </c>
      <c r="H220" s="195">
        <v>0.009</v>
      </c>
      <c r="I220" s="188">
        <v>7194</v>
      </c>
      <c r="J220" s="191">
        <v>805863</v>
      </c>
      <c r="K220" s="196">
        <v>125.8</v>
      </c>
      <c r="L220" s="186"/>
      <c r="M220" s="188">
        <v>214</v>
      </c>
      <c r="N220" s="188">
        <v>1304</v>
      </c>
      <c r="O220" s="191">
        <v>1062</v>
      </c>
      <c r="P220" s="191">
        <v>8</v>
      </c>
      <c r="Q220" s="188">
        <v>1308</v>
      </c>
      <c r="R220" s="189">
        <v>0.11</v>
      </c>
      <c r="S220" s="192">
        <v>122200</v>
      </c>
      <c r="T220" s="188">
        <v>113983</v>
      </c>
      <c r="U220" s="188">
        <f>SUM($S$7:S220)</f>
        <v>9694200</v>
      </c>
      <c r="V220" s="188">
        <v>516</v>
      </c>
      <c r="W220" s="191">
        <v>50</v>
      </c>
      <c r="X220" s="188"/>
      <c r="Y220" s="188">
        <f t="shared" si="9"/>
        <v>121000</v>
      </c>
      <c r="Z220" s="194">
        <f t="shared" si="8"/>
        <v>92.5076452599388</v>
      </c>
    </row>
    <row r="221" ht="17.25" spans="2:26">
      <c r="B221" s="188">
        <v>215</v>
      </c>
      <c r="C221" s="197"/>
      <c r="D221" s="198">
        <v>85</v>
      </c>
      <c r="E221" s="188">
        <v>68</v>
      </c>
      <c r="F221" s="188">
        <v>61700</v>
      </c>
      <c r="G221" s="190">
        <v>6170</v>
      </c>
      <c r="H221" s="195">
        <v>0.009</v>
      </c>
      <c r="I221" s="188">
        <v>7248</v>
      </c>
      <c r="J221" s="191">
        <v>814854</v>
      </c>
      <c r="K221" s="196">
        <v>119.1529412</v>
      </c>
      <c r="L221" s="186"/>
      <c r="M221" s="188">
        <v>215</v>
      </c>
      <c r="N221" s="188">
        <v>1304</v>
      </c>
      <c r="O221" s="191">
        <v>1062</v>
      </c>
      <c r="P221" s="191">
        <v>8</v>
      </c>
      <c r="Q221" s="188">
        <v>1316</v>
      </c>
      <c r="R221" s="189">
        <v>0.1</v>
      </c>
      <c r="S221" s="192">
        <v>123000</v>
      </c>
      <c r="T221" s="188">
        <v>115299</v>
      </c>
      <c r="U221" s="188">
        <f>SUM($S$7:S221)</f>
        <v>9817200</v>
      </c>
      <c r="V221" s="188">
        <v>521</v>
      </c>
      <c r="W221" s="191">
        <v>50</v>
      </c>
      <c r="X221" s="188"/>
      <c r="Y221" s="188">
        <f t="shared" si="9"/>
        <v>121800</v>
      </c>
      <c r="Z221" s="194">
        <f t="shared" si="8"/>
        <v>92.5531914893617</v>
      </c>
    </row>
    <row r="222" ht="17.25" spans="2:26">
      <c r="B222" s="188">
        <v>216</v>
      </c>
      <c r="C222" s="197"/>
      <c r="D222" s="198">
        <v>85</v>
      </c>
      <c r="E222" s="188">
        <v>68</v>
      </c>
      <c r="F222" s="188">
        <v>62380</v>
      </c>
      <c r="G222" s="190">
        <v>6238</v>
      </c>
      <c r="H222" s="195">
        <v>0.009</v>
      </c>
      <c r="I222" s="188">
        <v>7302</v>
      </c>
      <c r="J222" s="191">
        <v>823889</v>
      </c>
      <c r="K222" s="196">
        <v>119.9058824</v>
      </c>
      <c r="L222" s="186"/>
      <c r="M222" s="188">
        <v>216</v>
      </c>
      <c r="N222" s="188">
        <v>1304</v>
      </c>
      <c r="O222" s="191">
        <v>1062</v>
      </c>
      <c r="P222" s="191">
        <v>8</v>
      </c>
      <c r="Q222" s="188">
        <v>1324</v>
      </c>
      <c r="R222" s="189">
        <v>0.1</v>
      </c>
      <c r="S222" s="192">
        <v>123800</v>
      </c>
      <c r="T222" s="188">
        <v>116623</v>
      </c>
      <c r="U222" s="188">
        <f>SUM($S$7:S222)</f>
        <v>9941000</v>
      </c>
      <c r="V222" s="188">
        <v>527</v>
      </c>
      <c r="W222" s="191">
        <v>50</v>
      </c>
      <c r="X222" s="188"/>
      <c r="Y222" s="188">
        <f t="shared" si="9"/>
        <v>122600</v>
      </c>
      <c r="Z222" s="194">
        <f t="shared" si="8"/>
        <v>92.5981873111783</v>
      </c>
    </row>
    <row r="223" ht="17.25" spans="2:26">
      <c r="B223" s="188">
        <v>217</v>
      </c>
      <c r="C223" s="197"/>
      <c r="D223" s="198">
        <v>85</v>
      </c>
      <c r="E223" s="188">
        <v>68</v>
      </c>
      <c r="F223" s="188">
        <v>63060</v>
      </c>
      <c r="G223" s="190">
        <v>6306</v>
      </c>
      <c r="H223" s="195">
        <v>0.009</v>
      </c>
      <c r="I223" s="188">
        <v>7326</v>
      </c>
      <c r="J223" s="191">
        <v>829571</v>
      </c>
      <c r="K223" s="196">
        <v>120.6588235</v>
      </c>
      <c r="L223" s="186"/>
      <c r="M223" s="188">
        <v>217</v>
      </c>
      <c r="N223" s="188">
        <v>1304</v>
      </c>
      <c r="O223" s="191">
        <v>1062</v>
      </c>
      <c r="P223" s="191">
        <v>8</v>
      </c>
      <c r="Q223" s="188">
        <v>1332</v>
      </c>
      <c r="R223" s="189">
        <v>0.1</v>
      </c>
      <c r="S223" s="192">
        <v>124600</v>
      </c>
      <c r="T223" s="188">
        <v>117955</v>
      </c>
      <c r="U223" s="188">
        <f>SUM($S$7:S223)</f>
        <v>10065600</v>
      </c>
      <c r="V223" s="188">
        <v>533</v>
      </c>
      <c r="W223" s="191">
        <v>50</v>
      </c>
      <c r="X223" s="188"/>
      <c r="Y223" s="188">
        <f t="shared" si="9"/>
        <v>123400</v>
      </c>
      <c r="Z223" s="194">
        <f t="shared" si="8"/>
        <v>92.6426426426426</v>
      </c>
    </row>
    <row r="224" ht="17.25" spans="2:26">
      <c r="B224" s="188">
        <v>218</v>
      </c>
      <c r="C224" s="197"/>
      <c r="D224" s="198">
        <v>85</v>
      </c>
      <c r="E224" s="188">
        <v>68</v>
      </c>
      <c r="F224" s="188">
        <v>63740</v>
      </c>
      <c r="G224" s="190">
        <v>6374</v>
      </c>
      <c r="H224" s="195">
        <v>0.009</v>
      </c>
      <c r="I224" s="188">
        <v>7380</v>
      </c>
      <c r="J224" s="191">
        <v>838682</v>
      </c>
      <c r="K224" s="196">
        <v>121.4117647</v>
      </c>
      <c r="L224" s="186"/>
      <c r="M224" s="188">
        <v>218</v>
      </c>
      <c r="N224" s="188">
        <v>1304</v>
      </c>
      <c r="O224" s="191">
        <v>1062</v>
      </c>
      <c r="P224" s="191">
        <v>8</v>
      </c>
      <c r="Q224" s="188">
        <v>1340</v>
      </c>
      <c r="R224" s="189">
        <v>0.1</v>
      </c>
      <c r="S224" s="192">
        <v>125400</v>
      </c>
      <c r="T224" s="188">
        <v>119295</v>
      </c>
      <c r="U224" s="188">
        <f>SUM($S$7:S224)</f>
        <v>10191000</v>
      </c>
      <c r="V224" s="188">
        <v>540</v>
      </c>
      <c r="W224" s="191">
        <v>50</v>
      </c>
      <c r="X224" s="188"/>
      <c r="Y224" s="188">
        <f t="shared" si="9"/>
        <v>124200</v>
      </c>
      <c r="Z224" s="194">
        <f t="shared" si="8"/>
        <v>92.6865671641791</v>
      </c>
    </row>
    <row r="225" ht="17.25" spans="2:26">
      <c r="B225" s="188">
        <v>219</v>
      </c>
      <c r="C225" s="197"/>
      <c r="D225" s="198">
        <v>85</v>
      </c>
      <c r="E225" s="188">
        <v>68</v>
      </c>
      <c r="F225" s="188">
        <v>64420</v>
      </c>
      <c r="G225" s="190">
        <v>6442</v>
      </c>
      <c r="H225" s="195">
        <v>0.009</v>
      </c>
      <c r="I225" s="188">
        <v>7434</v>
      </c>
      <c r="J225" s="191">
        <v>847836</v>
      </c>
      <c r="K225" s="196">
        <v>122.1647059</v>
      </c>
      <c r="L225" s="186"/>
      <c r="M225" s="188">
        <v>219</v>
      </c>
      <c r="N225" s="188">
        <v>1304</v>
      </c>
      <c r="O225" s="191">
        <v>1062</v>
      </c>
      <c r="P225" s="191">
        <v>8</v>
      </c>
      <c r="Q225" s="188">
        <v>1348</v>
      </c>
      <c r="R225" s="189">
        <v>0.09</v>
      </c>
      <c r="S225" s="192">
        <v>126200</v>
      </c>
      <c r="T225" s="188">
        <v>120643</v>
      </c>
      <c r="U225" s="188">
        <f>SUM($S$7:S225)</f>
        <v>10317200</v>
      </c>
      <c r="V225" s="188">
        <v>546</v>
      </c>
      <c r="W225" s="191">
        <v>50</v>
      </c>
      <c r="X225" s="188"/>
      <c r="Y225" s="188">
        <f t="shared" si="9"/>
        <v>125000</v>
      </c>
      <c r="Z225" s="194">
        <f t="shared" si="8"/>
        <v>92.7299703264095</v>
      </c>
    </row>
    <row r="226" ht="17.25" spans="2:26">
      <c r="B226" s="188">
        <v>220</v>
      </c>
      <c r="C226" s="197"/>
      <c r="D226" s="198">
        <v>85</v>
      </c>
      <c r="E226" s="188">
        <v>72</v>
      </c>
      <c r="F226" s="188">
        <v>65140</v>
      </c>
      <c r="G226" s="190">
        <v>6514</v>
      </c>
      <c r="H226" s="195">
        <v>0.008</v>
      </c>
      <c r="I226" s="188">
        <v>7458</v>
      </c>
      <c r="J226" s="191">
        <v>886242</v>
      </c>
      <c r="K226" s="196">
        <v>122.9176471</v>
      </c>
      <c r="L226" s="186"/>
      <c r="M226" s="188">
        <v>220</v>
      </c>
      <c r="N226" s="188">
        <v>1304</v>
      </c>
      <c r="O226" s="191">
        <v>1062</v>
      </c>
      <c r="P226" s="191">
        <v>8</v>
      </c>
      <c r="Q226" s="188">
        <v>1356</v>
      </c>
      <c r="R226" s="189">
        <v>0.09</v>
      </c>
      <c r="S226" s="192">
        <v>127000</v>
      </c>
      <c r="T226" s="188">
        <v>121999</v>
      </c>
      <c r="U226" s="188">
        <f>SUM($S$7:S226)</f>
        <v>10444200</v>
      </c>
      <c r="V226" s="188">
        <v>552</v>
      </c>
      <c r="W226" s="191">
        <v>50</v>
      </c>
      <c r="X226" s="188"/>
      <c r="Y226" s="188">
        <f t="shared" si="9"/>
        <v>125800</v>
      </c>
      <c r="Z226" s="194">
        <f t="shared" si="8"/>
        <v>92.7728613569322</v>
      </c>
    </row>
    <row r="227" ht="17.25" spans="2:26">
      <c r="B227" s="188">
        <v>221</v>
      </c>
      <c r="C227" s="197"/>
      <c r="D227" s="198">
        <v>85</v>
      </c>
      <c r="E227" s="188">
        <v>72</v>
      </c>
      <c r="F227" s="188">
        <v>65860</v>
      </c>
      <c r="G227" s="190">
        <v>6586</v>
      </c>
      <c r="H227" s="195">
        <v>0.008</v>
      </c>
      <c r="I227" s="188">
        <v>7512</v>
      </c>
      <c r="J227" s="191">
        <v>895708</v>
      </c>
      <c r="K227" s="196">
        <v>123.6705882</v>
      </c>
      <c r="L227" s="186"/>
      <c r="M227" s="188">
        <v>221</v>
      </c>
      <c r="N227" s="188">
        <v>1304</v>
      </c>
      <c r="O227" s="191">
        <v>1062</v>
      </c>
      <c r="P227" s="191">
        <v>8</v>
      </c>
      <c r="Q227" s="188">
        <v>1364</v>
      </c>
      <c r="R227" s="189">
        <v>0.09</v>
      </c>
      <c r="S227" s="192">
        <v>127800</v>
      </c>
      <c r="T227" s="188">
        <v>123363</v>
      </c>
      <c r="U227" s="188">
        <f>SUM($S$7:S227)</f>
        <v>10572000</v>
      </c>
      <c r="V227" s="188">
        <v>558</v>
      </c>
      <c r="W227" s="191">
        <v>50</v>
      </c>
      <c r="X227" s="188"/>
      <c r="Y227" s="188">
        <f t="shared" si="9"/>
        <v>126600</v>
      </c>
      <c r="Z227" s="194">
        <f t="shared" si="8"/>
        <v>92.8152492668622</v>
      </c>
    </row>
    <row r="228" ht="17.25" spans="2:26">
      <c r="B228" s="188">
        <v>222</v>
      </c>
      <c r="C228" s="197"/>
      <c r="D228" s="198">
        <v>85</v>
      </c>
      <c r="E228" s="188">
        <v>72</v>
      </c>
      <c r="F228" s="188">
        <v>66580</v>
      </c>
      <c r="G228" s="190">
        <v>6658</v>
      </c>
      <c r="H228" s="195">
        <v>0.008</v>
      </c>
      <c r="I228" s="188">
        <v>7566</v>
      </c>
      <c r="J228" s="191">
        <v>905218</v>
      </c>
      <c r="K228" s="196">
        <v>124.4235294</v>
      </c>
      <c r="L228" s="186"/>
      <c r="M228" s="188">
        <v>222</v>
      </c>
      <c r="N228" s="188">
        <v>1304</v>
      </c>
      <c r="O228" s="191">
        <v>1062</v>
      </c>
      <c r="P228" s="191">
        <v>8</v>
      </c>
      <c r="Q228" s="188">
        <v>1372</v>
      </c>
      <c r="R228" s="189">
        <v>0.08</v>
      </c>
      <c r="S228" s="192">
        <v>128600</v>
      </c>
      <c r="T228" s="188">
        <v>124735</v>
      </c>
      <c r="U228" s="188">
        <f>SUM($S$7:S228)</f>
        <v>10700600</v>
      </c>
      <c r="V228" s="188">
        <v>564</v>
      </c>
      <c r="W228" s="191">
        <v>50</v>
      </c>
      <c r="X228" s="188"/>
      <c r="Y228" s="188">
        <f t="shared" si="9"/>
        <v>127400</v>
      </c>
      <c r="Z228" s="194">
        <f t="shared" si="8"/>
        <v>92.8571428571429</v>
      </c>
    </row>
    <row r="229" ht="17.25" spans="2:26">
      <c r="B229" s="188">
        <v>223</v>
      </c>
      <c r="C229" s="197"/>
      <c r="D229" s="198">
        <v>85</v>
      </c>
      <c r="E229" s="188">
        <v>72</v>
      </c>
      <c r="F229" s="188">
        <v>67300</v>
      </c>
      <c r="G229" s="190">
        <v>6730</v>
      </c>
      <c r="H229" s="195">
        <v>0.008</v>
      </c>
      <c r="I229" s="188">
        <v>7590</v>
      </c>
      <c r="J229" s="191">
        <v>911171</v>
      </c>
      <c r="K229" s="196">
        <v>125.1764706</v>
      </c>
      <c r="L229" s="186"/>
      <c r="M229" s="188">
        <v>223</v>
      </c>
      <c r="N229" s="188">
        <v>1304</v>
      </c>
      <c r="O229" s="191">
        <v>1062</v>
      </c>
      <c r="P229" s="191">
        <v>8</v>
      </c>
      <c r="Q229" s="188">
        <v>1380</v>
      </c>
      <c r="R229" s="189">
        <v>0.08</v>
      </c>
      <c r="S229" s="192">
        <v>129400</v>
      </c>
      <c r="T229" s="188">
        <v>126115</v>
      </c>
      <c r="U229" s="188">
        <f>SUM($S$7:S229)</f>
        <v>10830000</v>
      </c>
      <c r="V229" s="188">
        <v>570</v>
      </c>
      <c r="W229" s="191">
        <v>50</v>
      </c>
      <c r="X229" s="188"/>
      <c r="Y229" s="188">
        <f t="shared" si="9"/>
        <v>128200</v>
      </c>
      <c r="Z229" s="194">
        <f t="shared" si="8"/>
        <v>92.8985507246377</v>
      </c>
    </row>
    <row r="230" ht="17.25" spans="2:26">
      <c r="B230" s="188">
        <v>224</v>
      </c>
      <c r="C230" s="197"/>
      <c r="D230" s="198">
        <v>85</v>
      </c>
      <c r="E230" s="188">
        <v>72</v>
      </c>
      <c r="F230" s="188">
        <v>68020</v>
      </c>
      <c r="G230" s="190">
        <v>6802</v>
      </c>
      <c r="H230" s="195">
        <v>0.008</v>
      </c>
      <c r="I230" s="188">
        <v>7644</v>
      </c>
      <c r="J230" s="191">
        <v>920757</v>
      </c>
      <c r="K230" s="196">
        <v>125.9294118</v>
      </c>
      <c r="L230" s="186"/>
      <c r="M230" s="188">
        <v>224</v>
      </c>
      <c r="N230" s="188">
        <v>1304</v>
      </c>
      <c r="O230" s="191">
        <v>1062</v>
      </c>
      <c r="P230" s="191">
        <v>8</v>
      </c>
      <c r="Q230" s="188">
        <v>1388</v>
      </c>
      <c r="R230" s="189">
        <v>0.08</v>
      </c>
      <c r="S230" s="192">
        <v>130200</v>
      </c>
      <c r="T230" s="188">
        <v>127503</v>
      </c>
      <c r="U230" s="188">
        <f>SUM($S$7:S230)</f>
        <v>10960200</v>
      </c>
      <c r="V230" s="188">
        <v>577</v>
      </c>
      <c r="W230" s="191">
        <v>50</v>
      </c>
      <c r="X230" s="188"/>
      <c r="Y230" s="188">
        <f t="shared" si="9"/>
        <v>129000</v>
      </c>
      <c r="Z230" s="194">
        <f t="shared" si="8"/>
        <v>92.9394812680115</v>
      </c>
    </row>
    <row r="231" ht="17.25" spans="2:26">
      <c r="B231" s="188">
        <v>225</v>
      </c>
      <c r="C231" s="197"/>
      <c r="D231" s="198">
        <v>90</v>
      </c>
      <c r="E231" s="188">
        <v>72</v>
      </c>
      <c r="F231" s="188">
        <v>68740</v>
      </c>
      <c r="G231" s="190">
        <v>6874</v>
      </c>
      <c r="H231" s="195">
        <v>0.008</v>
      </c>
      <c r="I231" s="188">
        <v>7698</v>
      </c>
      <c r="J231" s="191">
        <v>930386</v>
      </c>
      <c r="K231" s="196">
        <v>119.6444444</v>
      </c>
      <c r="L231" s="186"/>
      <c r="M231" s="188">
        <v>225</v>
      </c>
      <c r="N231" s="188">
        <v>1304</v>
      </c>
      <c r="O231" s="191">
        <v>1062</v>
      </c>
      <c r="P231" s="191">
        <v>8</v>
      </c>
      <c r="Q231" s="188">
        <v>1396</v>
      </c>
      <c r="R231" s="189">
        <v>0.08</v>
      </c>
      <c r="S231" s="192">
        <v>131000</v>
      </c>
      <c r="T231" s="188">
        <v>128899</v>
      </c>
      <c r="U231" s="188">
        <f>SUM($S$7:S231)</f>
        <v>11091200</v>
      </c>
      <c r="V231" s="188">
        <v>583</v>
      </c>
      <c r="W231" s="191">
        <v>50</v>
      </c>
      <c r="X231" s="188"/>
      <c r="Y231" s="188">
        <f t="shared" si="9"/>
        <v>129800</v>
      </c>
      <c r="Z231" s="194">
        <f t="shared" si="8"/>
        <v>92.9799426934097</v>
      </c>
    </row>
    <row r="232" ht="17.25" spans="2:26">
      <c r="B232" s="188">
        <v>226</v>
      </c>
      <c r="C232" s="197"/>
      <c r="D232" s="198">
        <v>90</v>
      </c>
      <c r="E232" s="188">
        <v>72</v>
      </c>
      <c r="F232" s="188">
        <v>69460</v>
      </c>
      <c r="G232" s="190">
        <v>6946</v>
      </c>
      <c r="H232" s="195">
        <v>0.008</v>
      </c>
      <c r="I232" s="188">
        <v>7722</v>
      </c>
      <c r="J232" s="191">
        <v>936422</v>
      </c>
      <c r="K232" s="196">
        <v>120.3555556</v>
      </c>
      <c r="L232" s="186"/>
      <c r="M232" s="188">
        <v>226</v>
      </c>
      <c r="N232" s="188">
        <v>1304</v>
      </c>
      <c r="O232" s="191">
        <v>1062</v>
      </c>
      <c r="P232" s="191">
        <v>8</v>
      </c>
      <c r="Q232" s="188">
        <v>1404</v>
      </c>
      <c r="R232" s="189">
        <v>0.07</v>
      </c>
      <c r="S232" s="192">
        <v>131800</v>
      </c>
      <c r="T232" s="188">
        <v>130303</v>
      </c>
      <c r="U232" s="188">
        <f>SUM($S$7:S232)</f>
        <v>11223000</v>
      </c>
      <c r="V232" s="188">
        <v>589</v>
      </c>
      <c r="W232" s="191">
        <v>50</v>
      </c>
      <c r="X232" s="188"/>
      <c r="Y232" s="188">
        <f t="shared" si="9"/>
        <v>130600</v>
      </c>
      <c r="Z232" s="194">
        <f t="shared" si="8"/>
        <v>93.019943019943</v>
      </c>
    </row>
    <row r="233" ht="17.25" spans="2:26">
      <c r="B233" s="188">
        <v>227</v>
      </c>
      <c r="C233" s="197"/>
      <c r="D233" s="198">
        <v>90</v>
      </c>
      <c r="E233" s="188">
        <v>72</v>
      </c>
      <c r="F233" s="188">
        <v>70180</v>
      </c>
      <c r="G233" s="190">
        <v>7018</v>
      </c>
      <c r="H233" s="195">
        <v>0.008</v>
      </c>
      <c r="I233" s="188">
        <v>7776</v>
      </c>
      <c r="J233" s="191">
        <v>946127</v>
      </c>
      <c r="K233" s="196">
        <v>121.0666667</v>
      </c>
      <c r="L233" s="186"/>
      <c r="M233" s="188">
        <v>227</v>
      </c>
      <c r="N233" s="188">
        <v>1304</v>
      </c>
      <c r="O233" s="191">
        <v>1062</v>
      </c>
      <c r="P233" s="191">
        <v>8</v>
      </c>
      <c r="Q233" s="188">
        <v>1412</v>
      </c>
      <c r="R233" s="189">
        <v>0.07</v>
      </c>
      <c r="S233" s="192">
        <v>132600</v>
      </c>
      <c r="T233" s="188">
        <v>131715</v>
      </c>
      <c r="U233" s="188">
        <f>SUM($S$7:S233)</f>
        <v>11355600</v>
      </c>
      <c r="V233" s="188">
        <v>596</v>
      </c>
      <c r="W233" s="191">
        <v>50</v>
      </c>
      <c r="X233" s="188"/>
      <c r="Y233" s="188">
        <f t="shared" si="9"/>
        <v>131400</v>
      </c>
      <c r="Z233" s="194">
        <f t="shared" si="8"/>
        <v>93.0594900849858</v>
      </c>
    </row>
    <row r="234" ht="17.25" spans="2:26">
      <c r="B234" s="188">
        <v>228</v>
      </c>
      <c r="C234" s="197"/>
      <c r="D234" s="198">
        <v>90</v>
      </c>
      <c r="E234" s="188">
        <v>72</v>
      </c>
      <c r="F234" s="188">
        <v>70900</v>
      </c>
      <c r="G234" s="190">
        <v>7090</v>
      </c>
      <c r="H234" s="195">
        <v>0.008</v>
      </c>
      <c r="I234" s="188">
        <v>7830</v>
      </c>
      <c r="J234" s="191">
        <v>955876</v>
      </c>
      <c r="K234" s="196">
        <v>121.7777778</v>
      </c>
      <c r="L234" s="186"/>
      <c r="M234" s="188">
        <v>228</v>
      </c>
      <c r="N234" s="188">
        <v>1304</v>
      </c>
      <c r="O234" s="191">
        <v>1062</v>
      </c>
      <c r="P234" s="191">
        <v>8</v>
      </c>
      <c r="Q234" s="188">
        <v>1420</v>
      </c>
      <c r="R234" s="189">
        <v>0.07</v>
      </c>
      <c r="S234" s="192">
        <v>133400</v>
      </c>
      <c r="T234" s="188">
        <v>133135</v>
      </c>
      <c r="U234" s="188">
        <f>SUM($S$7:S234)</f>
        <v>11489000</v>
      </c>
      <c r="V234" s="188">
        <v>602</v>
      </c>
      <c r="W234" s="191">
        <v>50</v>
      </c>
      <c r="X234" s="188"/>
      <c r="Y234" s="188">
        <f t="shared" si="9"/>
        <v>132200</v>
      </c>
      <c r="Z234" s="194">
        <f t="shared" si="8"/>
        <v>93.0985915492958</v>
      </c>
    </row>
    <row r="235" ht="17.25" spans="2:26">
      <c r="B235" s="188">
        <v>229</v>
      </c>
      <c r="C235" s="197"/>
      <c r="D235" s="198">
        <v>90</v>
      </c>
      <c r="E235" s="188">
        <v>72</v>
      </c>
      <c r="F235" s="188">
        <v>71620</v>
      </c>
      <c r="G235" s="190">
        <v>7162</v>
      </c>
      <c r="H235" s="195">
        <v>0.008</v>
      </c>
      <c r="I235" s="188">
        <v>7854</v>
      </c>
      <c r="J235" s="191">
        <v>961994</v>
      </c>
      <c r="K235" s="196">
        <v>122.4888889</v>
      </c>
      <c r="L235" s="186"/>
      <c r="M235" s="188">
        <v>229</v>
      </c>
      <c r="N235" s="188">
        <v>1304</v>
      </c>
      <c r="O235" s="191">
        <v>1062</v>
      </c>
      <c r="P235" s="191">
        <v>8</v>
      </c>
      <c r="Q235" s="188">
        <v>1428</v>
      </c>
      <c r="R235" s="189">
        <v>0.06</v>
      </c>
      <c r="S235" s="192">
        <v>134200</v>
      </c>
      <c r="T235" s="188">
        <v>134563</v>
      </c>
      <c r="U235" s="188">
        <f>SUM($S$7:S235)</f>
        <v>11623200</v>
      </c>
      <c r="V235" s="188">
        <v>609</v>
      </c>
      <c r="W235" s="191">
        <v>50</v>
      </c>
      <c r="X235" s="188"/>
      <c r="Y235" s="188">
        <f t="shared" si="9"/>
        <v>133000</v>
      </c>
      <c r="Z235" s="194">
        <f t="shared" si="8"/>
        <v>93.1372549019608</v>
      </c>
    </row>
    <row r="236" ht="17.25" spans="2:26">
      <c r="B236" s="188">
        <v>230</v>
      </c>
      <c r="C236" s="197"/>
      <c r="D236" s="198">
        <v>90</v>
      </c>
      <c r="E236" s="188">
        <v>76</v>
      </c>
      <c r="F236" s="188">
        <v>72380</v>
      </c>
      <c r="G236" s="190">
        <v>7238</v>
      </c>
      <c r="H236" s="195">
        <v>0.008</v>
      </c>
      <c r="I236" s="188">
        <v>7908</v>
      </c>
      <c r="J236" s="191">
        <v>1013134</v>
      </c>
      <c r="K236" s="196">
        <v>123.2</v>
      </c>
      <c r="L236" s="186"/>
      <c r="M236" s="188">
        <v>230</v>
      </c>
      <c r="N236" s="188">
        <v>1304</v>
      </c>
      <c r="O236" s="191">
        <v>1062</v>
      </c>
      <c r="P236" s="191">
        <v>8</v>
      </c>
      <c r="Q236" s="188">
        <v>1436</v>
      </c>
      <c r="R236" s="189">
        <v>0.06</v>
      </c>
      <c r="S236" s="192">
        <v>135000</v>
      </c>
      <c r="T236" s="188">
        <v>135999</v>
      </c>
      <c r="U236" s="188">
        <f>SUM($S$7:S236)</f>
        <v>11758200</v>
      </c>
      <c r="V236" s="188">
        <v>615</v>
      </c>
      <c r="W236" s="191">
        <v>50</v>
      </c>
      <c r="X236" s="188"/>
      <c r="Y236" s="188">
        <f t="shared" si="9"/>
        <v>133800</v>
      </c>
      <c r="Z236" s="194">
        <f t="shared" si="8"/>
        <v>93.1754874651811</v>
      </c>
    </row>
    <row r="237" ht="17.25" spans="2:26">
      <c r="B237" s="188">
        <v>231</v>
      </c>
      <c r="C237" s="197"/>
      <c r="D237" s="198">
        <v>90</v>
      </c>
      <c r="E237" s="188">
        <v>76</v>
      </c>
      <c r="F237" s="188">
        <v>73140</v>
      </c>
      <c r="G237" s="190">
        <v>7314</v>
      </c>
      <c r="H237" s="195">
        <v>0.008</v>
      </c>
      <c r="I237" s="188">
        <v>7962</v>
      </c>
      <c r="J237" s="191">
        <v>1023285</v>
      </c>
      <c r="K237" s="196">
        <v>123.9111111</v>
      </c>
      <c r="L237" s="186"/>
      <c r="M237" s="188">
        <v>231</v>
      </c>
      <c r="N237" s="188">
        <v>1304</v>
      </c>
      <c r="O237" s="191">
        <v>1062</v>
      </c>
      <c r="P237" s="191">
        <v>8</v>
      </c>
      <c r="Q237" s="188">
        <v>1444</v>
      </c>
      <c r="R237" s="189">
        <v>0.06</v>
      </c>
      <c r="S237" s="192">
        <v>135800</v>
      </c>
      <c r="T237" s="188">
        <v>137443</v>
      </c>
      <c r="U237" s="188">
        <f>SUM($S$7:S237)</f>
        <v>11894000</v>
      </c>
      <c r="V237" s="188">
        <v>622</v>
      </c>
      <c r="W237" s="191">
        <v>50</v>
      </c>
      <c r="X237" s="188"/>
      <c r="Y237" s="188">
        <f t="shared" si="9"/>
        <v>134600</v>
      </c>
      <c r="Z237" s="194">
        <f t="shared" si="8"/>
        <v>93.213296398892</v>
      </c>
    </row>
    <row r="238" ht="17.25" spans="2:26">
      <c r="B238" s="188">
        <v>232</v>
      </c>
      <c r="C238" s="197"/>
      <c r="D238" s="198">
        <v>90</v>
      </c>
      <c r="E238" s="188">
        <v>76</v>
      </c>
      <c r="F238" s="188">
        <v>73900</v>
      </c>
      <c r="G238" s="190">
        <v>7390</v>
      </c>
      <c r="H238" s="195">
        <v>0.008</v>
      </c>
      <c r="I238" s="188">
        <v>7986</v>
      </c>
      <c r="J238" s="191">
        <v>1029611</v>
      </c>
      <c r="K238" s="196">
        <v>124.6222222</v>
      </c>
      <c r="L238" s="186"/>
      <c r="M238" s="188">
        <v>232</v>
      </c>
      <c r="N238" s="188">
        <v>1304</v>
      </c>
      <c r="O238" s="191">
        <v>1062</v>
      </c>
      <c r="P238" s="191">
        <v>8</v>
      </c>
      <c r="Q238" s="188">
        <v>1452</v>
      </c>
      <c r="R238" s="189">
        <v>0.05</v>
      </c>
      <c r="S238" s="192">
        <v>136600</v>
      </c>
      <c r="T238" s="188">
        <v>138895</v>
      </c>
      <c r="U238" s="188">
        <f>SUM($S$7:S238)</f>
        <v>12030600</v>
      </c>
      <c r="V238" s="188">
        <v>628</v>
      </c>
      <c r="W238" s="191">
        <v>50</v>
      </c>
      <c r="X238" s="188"/>
      <c r="Y238" s="188">
        <f t="shared" si="9"/>
        <v>135400</v>
      </c>
      <c r="Z238" s="194">
        <f t="shared" si="8"/>
        <v>93.2506887052342</v>
      </c>
    </row>
    <row r="239" ht="17.25" spans="2:26">
      <c r="B239" s="188">
        <v>233</v>
      </c>
      <c r="C239" s="197"/>
      <c r="D239" s="198">
        <v>90</v>
      </c>
      <c r="E239" s="188">
        <v>76</v>
      </c>
      <c r="F239" s="188">
        <v>74660</v>
      </c>
      <c r="G239" s="190">
        <v>7466</v>
      </c>
      <c r="H239" s="195">
        <v>0.008</v>
      </c>
      <c r="I239" s="188">
        <v>8040</v>
      </c>
      <c r="J239" s="191">
        <v>1039837</v>
      </c>
      <c r="K239" s="196">
        <v>125.3333333</v>
      </c>
      <c r="L239" s="186"/>
      <c r="M239" s="188">
        <v>233</v>
      </c>
      <c r="N239" s="188">
        <v>1304</v>
      </c>
      <c r="O239" s="191">
        <v>1062</v>
      </c>
      <c r="P239" s="191">
        <v>8</v>
      </c>
      <c r="Q239" s="188">
        <v>1460</v>
      </c>
      <c r="R239" s="189">
        <v>0.05</v>
      </c>
      <c r="S239" s="192">
        <v>137400</v>
      </c>
      <c r="T239" s="188">
        <v>140355</v>
      </c>
      <c r="U239" s="188">
        <f>SUM($S$7:S239)</f>
        <v>12168000</v>
      </c>
      <c r="V239" s="188">
        <v>635</v>
      </c>
      <c r="W239" s="191">
        <v>50</v>
      </c>
      <c r="X239" s="188"/>
      <c r="Y239" s="188">
        <f t="shared" si="9"/>
        <v>136200</v>
      </c>
      <c r="Z239" s="194">
        <f t="shared" si="8"/>
        <v>93.2876712328767</v>
      </c>
    </row>
    <row r="240" ht="17.25" spans="2:26">
      <c r="B240" s="188">
        <v>234</v>
      </c>
      <c r="C240" s="197"/>
      <c r="D240" s="198">
        <v>90</v>
      </c>
      <c r="E240" s="188">
        <v>76</v>
      </c>
      <c r="F240" s="188">
        <v>75420</v>
      </c>
      <c r="G240" s="190">
        <v>7542</v>
      </c>
      <c r="H240" s="195">
        <v>0.008</v>
      </c>
      <c r="I240" s="188">
        <v>8094</v>
      </c>
      <c r="J240" s="191">
        <v>1050107</v>
      </c>
      <c r="K240" s="196">
        <v>126.0444444</v>
      </c>
      <c r="L240" s="186"/>
      <c r="M240" s="188">
        <v>234</v>
      </c>
      <c r="N240" s="188">
        <v>1304</v>
      </c>
      <c r="O240" s="191">
        <v>1062</v>
      </c>
      <c r="P240" s="191">
        <v>8</v>
      </c>
      <c r="Q240" s="188">
        <v>1468</v>
      </c>
      <c r="R240" s="189">
        <v>0.05</v>
      </c>
      <c r="S240" s="192">
        <v>138200</v>
      </c>
      <c r="T240" s="188">
        <v>141823</v>
      </c>
      <c r="U240" s="188">
        <f>SUM($S$7:S240)</f>
        <v>12306200</v>
      </c>
      <c r="V240" s="188">
        <v>641</v>
      </c>
      <c r="W240" s="191">
        <v>50</v>
      </c>
      <c r="X240" s="188"/>
      <c r="Y240" s="188">
        <f t="shared" si="9"/>
        <v>137000</v>
      </c>
      <c r="Z240" s="194">
        <f t="shared" si="8"/>
        <v>93.3242506811989</v>
      </c>
    </row>
    <row r="241" ht="17.25" spans="2:26">
      <c r="B241" s="188">
        <v>235</v>
      </c>
      <c r="C241" s="197"/>
      <c r="D241" s="198">
        <v>95</v>
      </c>
      <c r="E241" s="188">
        <v>76</v>
      </c>
      <c r="F241" s="188">
        <v>76180</v>
      </c>
      <c r="G241" s="190">
        <v>7618</v>
      </c>
      <c r="H241" s="195">
        <v>0.008</v>
      </c>
      <c r="I241" s="188">
        <v>8118</v>
      </c>
      <c r="J241" s="191">
        <v>1056516</v>
      </c>
      <c r="K241" s="196">
        <v>120.0842105</v>
      </c>
      <c r="L241" s="186"/>
      <c r="M241" s="188">
        <v>235</v>
      </c>
      <c r="N241" s="188">
        <v>1304</v>
      </c>
      <c r="O241" s="191">
        <v>1062</v>
      </c>
      <c r="P241" s="191">
        <v>8</v>
      </c>
      <c r="Q241" s="188">
        <v>1476</v>
      </c>
      <c r="R241" s="189">
        <v>0.05</v>
      </c>
      <c r="S241" s="192">
        <v>139000</v>
      </c>
      <c r="T241" s="188">
        <v>143299</v>
      </c>
      <c r="U241" s="188">
        <f>SUM($S$7:S241)</f>
        <v>12445200</v>
      </c>
      <c r="V241" s="188">
        <v>648</v>
      </c>
      <c r="W241" s="191">
        <v>50</v>
      </c>
      <c r="X241" s="188"/>
      <c r="Y241" s="188">
        <f t="shared" si="9"/>
        <v>137800</v>
      </c>
      <c r="Z241" s="194">
        <f t="shared" si="8"/>
        <v>93.360433604336</v>
      </c>
    </row>
    <row r="242" ht="17.25" spans="2:26">
      <c r="B242" s="188">
        <v>236</v>
      </c>
      <c r="C242" s="197"/>
      <c r="D242" s="198">
        <v>95</v>
      </c>
      <c r="E242" s="188">
        <v>76</v>
      </c>
      <c r="F242" s="188">
        <v>76940</v>
      </c>
      <c r="G242" s="190">
        <v>7694</v>
      </c>
      <c r="H242" s="195">
        <v>0.008</v>
      </c>
      <c r="I242" s="188">
        <v>8172</v>
      </c>
      <c r="J242" s="191">
        <v>1066861</v>
      </c>
      <c r="K242" s="196">
        <v>120.7578947</v>
      </c>
      <c r="L242" s="186"/>
      <c r="M242" s="188">
        <v>236</v>
      </c>
      <c r="N242" s="188">
        <v>1304</v>
      </c>
      <c r="O242" s="191">
        <v>1062</v>
      </c>
      <c r="P242" s="191">
        <v>8</v>
      </c>
      <c r="Q242" s="188">
        <v>1484</v>
      </c>
      <c r="R242" s="189">
        <v>0.04</v>
      </c>
      <c r="S242" s="192">
        <v>139800</v>
      </c>
      <c r="T242" s="188">
        <v>144783</v>
      </c>
      <c r="U242" s="188">
        <f>SUM($S$7:S242)</f>
        <v>12585000</v>
      </c>
      <c r="V242" s="188">
        <v>655</v>
      </c>
      <c r="W242" s="191">
        <v>50</v>
      </c>
      <c r="X242" s="188"/>
      <c r="Y242" s="188">
        <f t="shared" si="9"/>
        <v>138600</v>
      </c>
      <c r="Z242" s="194">
        <f t="shared" si="8"/>
        <v>93.3962264150943</v>
      </c>
    </row>
    <row r="243" ht="17.25" spans="2:26">
      <c r="B243" s="188">
        <v>237</v>
      </c>
      <c r="C243" s="197"/>
      <c r="D243" s="198">
        <v>95</v>
      </c>
      <c r="E243" s="188">
        <v>76</v>
      </c>
      <c r="F243" s="188">
        <v>77700</v>
      </c>
      <c r="G243" s="190">
        <v>7770</v>
      </c>
      <c r="H243" s="195">
        <v>0.008</v>
      </c>
      <c r="I243" s="188">
        <v>8226</v>
      </c>
      <c r="J243" s="191">
        <v>1077250</v>
      </c>
      <c r="K243" s="196">
        <v>121.4315789</v>
      </c>
      <c r="L243" s="186"/>
      <c r="M243" s="188">
        <v>237</v>
      </c>
      <c r="N243" s="188">
        <v>1304</v>
      </c>
      <c r="O243" s="191">
        <v>1062</v>
      </c>
      <c r="P243" s="191">
        <v>8</v>
      </c>
      <c r="Q243" s="188">
        <v>1492</v>
      </c>
      <c r="R243" s="189">
        <v>0.04</v>
      </c>
      <c r="S243" s="192">
        <v>140600</v>
      </c>
      <c r="T243" s="188">
        <v>146275</v>
      </c>
      <c r="U243" s="188">
        <f>SUM($S$7:S243)</f>
        <v>12725600</v>
      </c>
      <c r="V243" s="188">
        <v>661</v>
      </c>
      <c r="W243" s="191">
        <v>50</v>
      </c>
      <c r="X243" s="188"/>
      <c r="Y243" s="188">
        <f t="shared" si="9"/>
        <v>139400</v>
      </c>
      <c r="Z243" s="194">
        <f t="shared" si="8"/>
        <v>93.4316353887399</v>
      </c>
    </row>
    <row r="244" ht="17.25" spans="2:26">
      <c r="B244" s="188">
        <v>238</v>
      </c>
      <c r="C244" s="197"/>
      <c r="D244" s="198">
        <v>95</v>
      </c>
      <c r="E244" s="188">
        <v>76</v>
      </c>
      <c r="F244" s="188">
        <v>78460</v>
      </c>
      <c r="G244" s="190">
        <v>7846</v>
      </c>
      <c r="H244" s="195">
        <v>0.008</v>
      </c>
      <c r="I244" s="188">
        <v>8250</v>
      </c>
      <c r="J244" s="191">
        <v>1083742</v>
      </c>
      <c r="K244" s="196">
        <v>122.1052632</v>
      </c>
      <c r="L244" s="186"/>
      <c r="M244" s="188">
        <v>238</v>
      </c>
      <c r="N244" s="188">
        <v>1304</v>
      </c>
      <c r="O244" s="191">
        <v>1062</v>
      </c>
      <c r="P244" s="191">
        <v>8</v>
      </c>
      <c r="Q244" s="188">
        <v>1500</v>
      </c>
      <c r="R244" s="189">
        <v>0.04</v>
      </c>
      <c r="S244" s="192">
        <v>141400</v>
      </c>
      <c r="T244" s="188">
        <v>147775</v>
      </c>
      <c r="U244" s="188">
        <f>SUM($S$7:S244)</f>
        <v>12867000</v>
      </c>
      <c r="V244" s="188">
        <v>668</v>
      </c>
      <c r="W244" s="191">
        <v>50</v>
      </c>
      <c r="X244" s="188"/>
      <c r="Y244" s="188">
        <f t="shared" si="9"/>
        <v>140200</v>
      </c>
      <c r="Z244" s="194">
        <f t="shared" si="8"/>
        <v>93.4666666666667</v>
      </c>
    </row>
    <row r="245" ht="17.25" spans="2:26">
      <c r="B245" s="188">
        <v>239</v>
      </c>
      <c r="C245" s="197"/>
      <c r="D245" s="198">
        <v>95</v>
      </c>
      <c r="E245" s="188">
        <v>76</v>
      </c>
      <c r="F245" s="188">
        <v>79220</v>
      </c>
      <c r="G245" s="190">
        <v>7922</v>
      </c>
      <c r="H245" s="195">
        <v>0.008</v>
      </c>
      <c r="I245" s="188">
        <v>8304</v>
      </c>
      <c r="J245" s="191">
        <v>1094207</v>
      </c>
      <c r="K245" s="196">
        <v>122.7789474</v>
      </c>
      <c r="L245" s="186"/>
      <c r="M245" s="188">
        <v>239</v>
      </c>
      <c r="N245" s="188">
        <v>1304</v>
      </c>
      <c r="O245" s="191">
        <v>1062</v>
      </c>
      <c r="P245" s="191">
        <v>8</v>
      </c>
      <c r="Q245" s="188">
        <v>1508</v>
      </c>
      <c r="R245" s="189">
        <v>0.03</v>
      </c>
      <c r="S245" s="192">
        <v>142200</v>
      </c>
      <c r="T245" s="188">
        <v>149283</v>
      </c>
      <c r="U245" s="188">
        <f>SUM($S$7:S245)</f>
        <v>13009200</v>
      </c>
      <c r="V245" s="188">
        <v>675</v>
      </c>
      <c r="W245" s="191">
        <v>50</v>
      </c>
      <c r="X245" s="188"/>
      <c r="Y245" s="188">
        <f t="shared" si="9"/>
        <v>141000</v>
      </c>
      <c r="Z245" s="194">
        <f t="shared" si="8"/>
        <v>93.5013262599469</v>
      </c>
    </row>
    <row r="246" ht="17.25" spans="2:26">
      <c r="B246" s="188">
        <v>240</v>
      </c>
      <c r="C246" s="197"/>
      <c r="D246" s="198">
        <v>95</v>
      </c>
      <c r="E246" s="188">
        <v>80</v>
      </c>
      <c r="F246" s="188">
        <v>80020</v>
      </c>
      <c r="G246" s="190">
        <v>8002</v>
      </c>
      <c r="H246" s="195">
        <v>0.007</v>
      </c>
      <c r="I246" s="188">
        <v>8358</v>
      </c>
      <c r="J246" s="191">
        <v>1156315</v>
      </c>
      <c r="K246" s="196">
        <v>123.4526316</v>
      </c>
      <c r="L246" s="186"/>
      <c r="M246" s="188">
        <v>240</v>
      </c>
      <c r="N246" s="188">
        <v>1304</v>
      </c>
      <c r="O246" s="191">
        <v>1062</v>
      </c>
      <c r="P246" s="191">
        <v>8</v>
      </c>
      <c r="Q246" s="188">
        <v>1516</v>
      </c>
      <c r="R246" s="189">
        <v>0.03</v>
      </c>
      <c r="S246" s="192">
        <v>143000</v>
      </c>
      <c r="T246" s="188">
        <v>150799</v>
      </c>
      <c r="U246" s="188">
        <f>SUM($S$7:S246)</f>
        <v>13152200</v>
      </c>
      <c r="V246" s="188">
        <v>682</v>
      </c>
      <c r="W246" s="191">
        <v>50</v>
      </c>
      <c r="X246" s="188"/>
      <c r="Y246" s="188">
        <f t="shared" si="9"/>
        <v>141800</v>
      </c>
      <c r="Z246" s="194">
        <f t="shared" si="8"/>
        <v>93.5356200527705</v>
      </c>
    </row>
    <row r="247" ht="17.25" spans="2:26">
      <c r="B247" s="188">
        <v>241</v>
      </c>
      <c r="C247" s="197"/>
      <c r="D247" s="198">
        <v>95</v>
      </c>
      <c r="E247" s="188">
        <v>80</v>
      </c>
      <c r="F247" s="188">
        <v>80820</v>
      </c>
      <c r="G247" s="190">
        <v>8082</v>
      </c>
      <c r="H247" s="195">
        <v>0.007</v>
      </c>
      <c r="I247" s="188">
        <v>8382</v>
      </c>
      <c r="J247" s="191">
        <v>1163038</v>
      </c>
      <c r="K247" s="196">
        <v>124.1263158</v>
      </c>
      <c r="L247" s="186"/>
      <c r="M247" s="188">
        <v>241</v>
      </c>
      <c r="N247" s="188">
        <v>1304</v>
      </c>
      <c r="O247" s="191">
        <v>1062</v>
      </c>
      <c r="P247" s="191">
        <v>8</v>
      </c>
      <c r="Q247" s="188">
        <v>1524</v>
      </c>
      <c r="R247" s="189">
        <v>0.03</v>
      </c>
      <c r="S247" s="192">
        <v>143800</v>
      </c>
      <c r="T247" s="188">
        <v>152323</v>
      </c>
      <c r="U247" s="188">
        <f>SUM($S$7:S247)</f>
        <v>13296000</v>
      </c>
      <c r="V247" s="188">
        <v>689</v>
      </c>
      <c r="W247" s="191">
        <v>50</v>
      </c>
      <c r="X247" s="188"/>
      <c r="Y247" s="188">
        <f t="shared" si="9"/>
        <v>142600</v>
      </c>
      <c r="Z247" s="194">
        <f t="shared" si="8"/>
        <v>93.5695538057743</v>
      </c>
    </row>
    <row r="248" ht="17.25" spans="2:26">
      <c r="B248" s="188">
        <v>242</v>
      </c>
      <c r="C248" s="197"/>
      <c r="D248" s="198">
        <v>95</v>
      </c>
      <c r="E248" s="188">
        <v>80</v>
      </c>
      <c r="F248" s="188">
        <v>81620</v>
      </c>
      <c r="G248" s="190">
        <v>8162</v>
      </c>
      <c r="H248" s="195">
        <v>0.007</v>
      </c>
      <c r="I248" s="188">
        <v>8436</v>
      </c>
      <c r="J248" s="191">
        <v>1173956</v>
      </c>
      <c r="K248" s="196">
        <v>124.8</v>
      </c>
      <c r="L248" s="186"/>
      <c r="M248" s="188">
        <v>242</v>
      </c>
      <c r="N248" s="188">
        <v>1304</v>
      </c>
      <c r="O248" s="191">
        <v>1062</v>
      </c>
      <c r="P248" s="191">
        <v>8</v>
      </c>
      <c r="Q248" s="188">
        <v>1532</v>
      </c>
      <c r="R248" s="189">
        <v>0.02</v>
      </c>
      <c r="S248" s="192">
        <v>144600</v>
      </c>
      <c r="T248" s="188">
        <v>153855</v>
      </c>
      <c r="U248" s="188">
        <f>SUM($S$7:S248)</f>
        <v>13440600</v>
      </c>
      <c r="V248" s="188">
        <v>696</v>
      </c>
      <c r="W248" s="191">
        <v>50</v>
      </c>
      <c r="X248" s="188"/>
      <c r="Y248" s="188">
        <f t="shared" si="9"/>
        <v>143400</v>
      </c>
      <c r="Z248" s="194">
        <f t="shared" si="8"/>
        <v>93.6031331592689</v>
      </c>
    </row>
    <row r="249" ht="17.25" spans="2:26">
      <c r="B249" s="188">
        <v>243</v>
      </c>
      <c r="C249" s="197"/>
      <c r="D249" s="198">
        <v>95</v>
      </c>
      <c r="E249" s="188">
        <v>80</v>
      </c>
      <c r="F249" s="188">
        <v>82420</v>
      </c>
      <c r="G249" s="190">
        <v>8242</v>
      </c>
      <c r="H249" s="195">
        <v>0.007</v>
      </c>
      <c r="I249" s="188">
        <v>8490</v>
      </c>
      <c r="J249" s="191">
        <v>1184917</v>
      </c>
      <c r="K249" s="196">
        <v>125.4736842</v>
      </c>
      <c r="L249" s="186"/>
      <c r="M249" s="188">
        <v>243</v>
      </c>
      <c r="N249" s="188">
        <v>1304</v>
      </c>
      <c r="O249" s="191">
        <v>1062</v>
      </c>
      <c r="P249" s="191">
        <v>8</v>
      </c>
      <c r="Q249" s="188">
        <v>1540</v>
      </c>
      <c r="R249" s="189">
        <v>0.02</v>
      </c>
      <c r="S249" s="192">
        <v>145400</v>
      </c>
      <c r="T249" s="188">
        <v>155395</v>
      </c>
      <c r="U249" s="188">
        <f>SUM($S$7:S249)</f>
        <v>13586000</v>
      </c>
      <c r="V249" s="188">
        <v>703</v>
      </c>
      <c r="W249" s="191">
        <v>50</v>
      </c>
      <c r="X249" s="188"/>
      <c r="Y249" s="188">
        <f t="shared" si="9"/>
        <v>144200</v>
      </c>
      <c r="Z249" s="194">
        <f t="shared" ref="Z249:Z306" si="10">Y249/Q249</f>
        <v>93.6363636363636</v>
      </c>
    </row>
    <row r="250" ht="17.25" spans="2:26">
      <c r="B250" s="188">
        <v>244</v>
      </c>
      <c r="C250" s="197"/>
      <c r="D250" s="198">
        <v>95</v>
      </c>
      <c r="E250" s="188">
        <v>80</v>
      </c>
      <c r="F250" s="188">
        <v>83220</v>
      </c>
      <c r="G250" s="190">
        <v>8322</v>
      </c>
      <c r="H250" s="195">
        <v>0.007</v>
      </c>
      <c r="I250" s="188">
        <v>8514</v>
      </c>
      <c r="J250" s="191">
        <v>1191723</v>
      </c>
      <c r="K250" s="196">
        <v>126.1473684</v>
      </c>
      <c r="L250" s="186"/>
      <c r="M250" s="188">
        <v>244</v>
      </c>
      <c r="N250" s="188">
        <v>1304</v>
      </c>
      <c r="O250" s="191">
        <v>1062</v>
      </c>
      <c r="P250" s="191">
        <v>8</v>
      </c>
      <c r="Q250" s="188">
        <v>1548</v>
      </c>
      <c r="R250" s="189">
        <v>0.02</v>
      </c>
      <c r="S250" s="192">
        <v>146200</v>
      </c>
      <c r="T250" s="188">
        <v>156943</v>
      </c>
      <c r="U250" s="188">
        <f>SUM($S$7:S250)</f>
        <v>13732200</v>
      </c>
      <c r="V250" s="188">
        <v>710</v>
      </c>
      <c r="W250" s="191">
        <v>50</v>
      </c>
      <c r="X250" s="188"/>
      <c r="Y250" s="188">
        <f t="shared" si="9"/>
        <v>145000</v>
      </c>
      <c r="Z250" s="194">
        <f t="shared" si="10"/>
        <v>93.6692506459948</v>
      </c>
    </row>
    <row r="251" ht="17.25" spans="2:26">
      <c r="B251" s="188">
        <v>245</v>
      </c>
      <c r="C251" s="197"/>
      <c r="D251" s="198">
        <v>100</v>
      </c>
      <c r="E251" s="188">
        <v>80</v>
      </c>
      <c r="F251" s="188">
        <v>84020</v>
      </c>
      <c r="G251" s="190">
        <v>8402</v>
      </c>
      <c r="H251" s="195">
        <v>0.007</v>
      </c>
      <c r="I251" s="188">
        <v>8568</v>
      </c>
      <c r="J251" s="191">
        <v>1202759</v>
      </c>
      <c r="K251" s="196">
        <v>120.48</v>
      </c>
      <c r="L251" s="186"/>
      <c r="M251" s="188">
        <v>245</v>
      </c>
      <c r="N251" s="188">
        <v>1304</v>
      </c>
      <c r="O251" s="191">
        <v>1062</v>
      </c>
      <c r="P251" s="191">
        <v>8</v>
      </c>
      <c r="Q251" s="188">
        <v>1556</v>
      </c>
      <c r="R251" s="189">
        <v>0.01</v>
      </c>
      <c r="S251" s="192">
        <v>147000</v>
      </c>
      <c r="T251" s="188">
        <v>158499</v>
      </c>
      <c r="U251" s="188">
        <f>SUM($S$7:S251)</f>
        <v>13879200</v>
      </c>
      <c r="V251" s="188">
        <v>717</v>
      </c>
      <c r="W251" s="191">
        <v>50</v>
      </c>
      <c r="X251" s="188"/>
      <c r="Y251" s="188">
        <f t="shared" si="9"/>
        <v>145800</v>
      </c>
      <c r="Z251" s="194">
        <f t="shared" si="10"/>
        <v>93.7017994858612</v>
      </c>
    </row>
    <row r="252" ht="17.25" spans="2:26">
      <c r="B252" s="188">
        <v>246</v>
      </c>
      <c r="C252" s="197"/>
      <c r="D252" s="198">
        <v>100</v>
      </c>
      <c r="E252" s="188">
        <v>80</v>
      </c>
      <c r="F252" s="188">
        <v>84820</v>
      </c>
      <c r="G252" s="190">
        <v>8482</v>
      </c>
      <c r="H252" s="195">
        <v>0.007</v>
      </c>
      <c r="I252" s="188">
        <v>8622</v>
      </c>
      <c r="J252" s="191">
        <v>1213840</v>
      </c>
      <c r="K252" s="196">
        <v>121.12</v>
      </c>
      <c r="L252" s="186"/>
      <c r="M252" s="188">
        <v>246</v>
      </c>
      <c r="N252" s="188">
        <v>1304</v>
      </c>
      <c r="O252" s="191">
        <v>1062</v>
      </c>
      <c r="P252" s="191">
        <v>8</v>
      </c>
      <c r="Q252" s="188">
        <v>1564</v>
      </c>
      <c r="R252" s="189">
        <v>0.01</v>
      </c>
      <c r="S252" s="192">
        <v>147800</v>
      </c>
      <c r="T252" s="188">
        <v>160063</v>
      </c>
      <c r="U252" s="188">
        <f>SUM($S$7:S252)</f>
        <v>14027000</v>
      </c>
      <c r="V252" s="188">
        <v>724</v>
      </c>
      <c r="W252" s="191">
        <v>50</v>
      </c>
      <c r="X252" s="188"/>
      <c r="Y252" s="188">
        <f t="shared" si="9"/>
        <v>146600</v>
      </c>
      <c r="Z252" s="194">
        <f t="shared" si="10"/>
        <v>93.7340153452685</v>
      </c>
    </row>
    <row r="253" ht="17.25" spans="2:26">
      <c r="B253" s="188">
        <v>247</v>
      </c>
      <c r="C253" s="197"/>
      <c r="D253" s="198">
        <v>100</v>
      </c>
      <c r="E253" s="188">
        <v>80</v>
      </c>
      <c r="F253" s="188">
        <v>85620</v>
      </c>
      <c r="G253" s="190">
        <v>8562</v>
      </c>
      <c r="H253" s="195">
        <v>0.007</v>
      </c>
      <c r="I253" s="188">
        <v>8646</v>
      </c>
      <c r="J253" s="191">
        <v>1220728</v>
      </c>
      <c r="K253" s="196">
        <v>121.76</v>
      </c>
      <c r="L253" s="186"/>
      <c r="M253" s="188">
        <v>247</v>
      </c>
      <c r="N253" s="188">
        <v>1304</v>
      </c>
      <c r="O253" s="191">
        <v>1062</v>
      </c>
      <c r="P253" s="191">
        <v>8</v>
      </c>
      <c r="Q253" s="188">
        <v>1572</v>
      </c>
      <c r="R253" s="189">
        <v>0.01</v>
      </c>
      <c r="S253" s="192">
        <v>148600</v>
      </c>
      <c r="T253" s="188">
        <v>161635</v>
      </c>
      <c r="U253" s="188">
        <f>SUM($S$7:S253)</f>
        <v>14175600</v>
      </c>
      <c r="V253" s="188">
        <v>731</v>
      </c>
      <c r="W253" s="191">
        <v>50</v>
      </c>
      <c r="X253" s="188"/>
      <c r="Y253" s="188">
        <f t="shared" si="9"/>
        <v>147400</v>
      </c>
      <c r="Z253" s="194">
        <f t="shared" si="10"/>
        <v>93.765903307888</v>
      </c>
    </row>
    <row r="254" ht="17.25" spans="2:26">
      <c r="B254" s="188">
        <v>248</v>
      </c>
      <c r="C254" s="197"/>
      <c r="D254" s="198">
        <v>100</v>
      </c>
      <c r="E254" s="188">
        <v>80</v>
      </c>
      <c r="F254" s="188">
        <v>86420</v>
      </c>
      <c r="G254" s="190">
        <v>8642</v>
      </c>
      <c r="H254" s="195">
        <v>0.007</v>
      </c>
      <c r="I254" s="188">
        <v>8700</v>
      </c>
      <c r="J254" s="191">
        <v>1231885</v>
      </c>
      <c r="K254" s="196">
        <v>122.4</v>
      </c>
      <c r="L254" s="186"/>
      <c r="M254" s="188">
        <v>248</v>
      </c>
      <c r="N254" s="188">
        <v>1304</v>
      </c>
      <c r="O254" s="191">
        <v>1062</v>
      </c>
      <c r="P254" s="191">
        <v>8</v>
      </c>
      <c r="Q254" s="188">
        <v>1580</v>
      </c>
      <c r="R254" s="189">
        <v>0</v>
      </c>
      <c r="S254" s="192">
        <v>149400</v>
      </c>
      <c r="T254" s="188">
        <v>163215</v>
      </c>
      <c r="U254" s="188">
        <f>SUM($S$7:S254)</f>
        <v>14325000</v>
      </c>
      <c r="V254" s="188">
        <v>738</v>
      </c>
      <c r="W254" s="191">
        <v>50</v>
      </c>
      <c r="X254" s="188"/>
      <c r="Y254" s="188">
        <f t="shared" si="9"/>
        <v>148200</v>
      </c>
      <c r="Z254" s="194">
        <f t="shared" si="10"/>
        <v>93.7974683544304</v>
      </c>
    </row>
    <row r="255" ht="17.25" spans="2:26">
      <c r="B255" s="188">
        <v>249</v>
      </c>
      <c r="C255" s="197"/>
      <c r="D255" s="198">
        <v>100</v>
      </c>
      <c r="E255" s="188">
        <v>80</v>
      </c>
      <c r="F255" s="188">
        <v>87220</v>
      </c>
      <c r="G255" s="190">
        <v>8722</v>
      </c>
      <c r="H255" s="195">
        <v>0.007</v>
      </c>
      <c r="I255" s="188">
        <v>8754</v>
      </c>
      <c r="J255" s="191">
        <v>1243084</v>
      </c>
      <c r="K255" s="196">
        <v>123.04</v>
      </c>
      <c r="L255" s="186"/>
      <c r="M255" s="188">
        <v>249</v>
      </c>
      <c r="N255" s="188">
        <v>1304</v>
      </c>
      <c r="O255" s="191">
        <v>1062</v>
      </c>
      <c r="P255" s="191">
        <v>8</v>
      </c>
      <c r="Q255" s="188">
        <v>1588</v>
      </c>
      <c r="R255" s="189">
        <v>0</v>
      </c>
      <c r="S255" s="192">
        <v>150200</v>
      </c>
      <c r="T255" s="188">
        <v>164803</v>
      </c>
      <c r="U255" s="188">
        <f>SUM($S$7:S255)</f>
        <v>14475200</v>
      </c>
      <c r="V255" s="188">
        <v>745</v>
      </c>
      <c r="W255" s="191">
        <v>50</v>
      </c>
      <c r="X255" s="188"/>
      <c r="Y255" s="188">
        <f t="shared" si="9"/>
        <v>149000</v>
      </c>
      <c r="Z255" s="194">
        <f t="shared" si="10"/>
        <v>93.8287153652393</v>
      </c>
    </row>
    <row r="256" ht="17.25" spans="2:26">
      <c r="B256" s="188">
        <v>250</v>
      </c>
      <c r="C256" s="197"/>
      <c r="D256" s="198">
        <v>100</v>
      </c>
      <c r="E256" s="188">
        <v>84</v>
      </c>
      <c r="F256" s="188">
        <v>88060</v>
      </c>
      <c r="G256" s="190">
        <v>8806</v>
      </c>
      <c r="H256" s="195">
        <v>0.007</v>
      </c>
      <c r="I256" s="188">
        <v>8778</v>
      </c>
      <c r="J256" s="191">
        <v>1190614</v>
      </c>
      <c r="K256" s="196">
        <v>123.68</v>
      </c>
      <c r="L256" s="186"/>
      <c r="M256" s="188">
        <v>250</v>
      </c>
      <c r="N256" s="188">
        <v>1304</v>
      </c>
      <c r="O256" s="191">
        <v>1062</v>
      </c>
      <c r="P256" s="191">
        <v>8</v>
      </c>
      <c r="Q256" s="188">
        <v>1596</v>
      </c>
      <c r="R256" s="189">
        <v>0</v>
      </c>
      <c r="S256" s="192">
        <v>151000</v>
      </c>
      <c r="T256" s="188">
        <v>166399</v>
      </c>
      <c r="U256" s="188">
        <f>SUM($S$7:S256)</f>
        <v>14626200</v>
      </c>
      <c r="V256" s="188">
        <v>752</v>
      </c>
      <c r="W256" s="191">
        <v>50</v>
      </c>
      <c r="X256" s="188"/>
      <c r="Y256" s="188">
        <f t="shared" si="9"/>
        <v>149800</v>
      </c>
      <c r="Z256" s="194">
        <f t="shared" si="10"/>
        <v>93.859649122807</v>
      </c>
    </row>
    <row r="257" ht="17.25" spans="2:26">
      <c r="B257" s="188">
        <v>251</v>
      </c>
      <c r="C257" s="197"/>
      <c r="D257" s="198">
        <v>100</v>
      </c>
      <c r="E257" s="188">
        <v>84</v>
      </c>
      <c r="F257" s="188">
        <v>88900</v>
      </c>
      <c r="G257" s="190">
        <v>8890</v>
      </c>
      <c r="H257" s="195">
        <v>0.007</v>
      </c>
      <c r="I257" s="188">
        <v>8832</v>
      </c>
      <c r="J257" s="191">
        <v>1201524</v>
      </c>
      <c r="K257" s="196">
        <v>124.32</v>
      </c>
      <c r="L257" s="186"/>
      <c r="M257" s="188">
        <v>251</v>
      </c>
      <c r="N257" s="188">
        <v>1304</v>
      </c>
      <c r="O257" s="191">
        <v>1062</v>
      </c>
      <c r="P257" s="191">
        <v>8</v>
      </c>
      <c r="Q257" s="188">
        <v>1604</v>
      </c>
      <c r="R257" s="189">
        <v>-0.01</v>
      </c>
      <c r="S257" s="192">
        <v>151800</v>
      </c>
      <c r="T257" s="188">
        <v>168003</v>
      </c>
      <c r="U257" s="188">
        <f>SUM($S$7:S257)</f>
        <v>14778000</v>
      </c>
      <c r="V257" s="188">
        <v>760</v>
      </c>
      <c r="W257" s="191">
        <v>50</v>
      </c>
      <c r="X257" s="188"/>
      <c r="Y257" s="188">
        <f t="shared" si="9"/>
        <v>150600</v>
      </c>
      <c r="Z257" s="194">
        <f t="shared" si="10"/>
        <v>93.8902743142145</v>
      </c>
    </row>
    <row r="258" ht="17.25" spans="2:26">
      <c r="B258" s="188">
        <v>252</v>
      </c>
      <c r="C258" s="197"/>
      <c r="D258" s="198">
        <v>100</v>
      </c>
      <c r="E258" s="188">
        <v>84</v>
      </c>
      <c r="F258" s="188">
        <v>89740</v>
      </c>
      <c r="G258" s="190">
        <v>8974</v>
      </c>
      <c r="H258" s="195">
        <v>0.007</v>
      </c>
      <c r="I258" s="188">
        <v>8886</v>
      </c>
      <c r="J258" s="191">
        <v>1212477</v>
      </c>
      <c r="K258" s="196">
        <v>124.96</v>
      </c>
      <c r="L258" s="186"/>
      <c r="M258" s="188">
        <v>252</v>
      </c>
      <c r="N258" s="188">
        <v>1304</v>
      </c>
      <c r="O258" s="191">
        <v>1062</v>
      </c>
      <c r="P258" s="191">
        <v>8</v>
      </c>
      <c r="Q258" s="188">
        <v>1612</v>
      </c>
      <c r="R258" s="189">
        <v>-0.01</v>
      </c>
      <c r="S258" s="192">
        <v>152600</v>
      </c>
      <c r="T258" s="188">
        <v>169615</v>
      </c>
      <c r="U258" s="188">
        <f>SUM($S$7:S258)</f>
        <v>14930600</v>
      </c>
      <c r="V258" s="188">
        <v>767</v>
      </c>
      <c r="W258" s="191">
        <v>50</v>
      </c>
      <c r="X258" s="188"/>
      <c r="Y258" s="188">
        <f t="shared" si="9"/>
        <v>151400</v>
      </c>
      <c r="Z258" s="194">
        <f t="shared" si="10"/>
        <v>93.9205955334988</v>
      </c>
    </row>
    <row r="259" ht="17.25" spans="2:26">
      <c r="B259" s="188">
        <v>253</v>
      </c>
      <c r="C259" s="197"/>
      <c r="D259" s="198">
        <v>100</v>
      </c>
      <c r="E259" s="188">
        <v>84</v>
      </c>
      <c r="F259" s="188">
        <v>90580</v>
      </c>
      <c r="G259" s="190">
        <v>9058</v>
      </c>
      <c r="H259" s="195">
        <v>0.007</v>
      </c>
      <c r="I259" s="188">
        <v>8910</v>
      </c>
      <c r="J259" s="191">
        <v>1219369</v>
      </c>
      <c r="K259" s="196">
        <v>125.6</v>
      </c>
      <c r="L259" s="186"/>
      <c r="M259" s="188">
        <v>253</v>
      </c>
      <c r="N259" s="188">
        <v>1304</v>
      </c>
      <c r="O259" s="191">
        <v>1062</v>
      </c>
      <c r="P259" s="191">
        <v>8</v>
      </c>
      <c r="Q259" s="188">
        <v>1620</v>
      </c>
      <c r="R259" s="189">
        <v>-0.01</v>
      </c>
      <c r="S259" s="192">
        <v>153400</v>
      </c>
      <c r="T259" s="188">
        <v>171235</v>
      </c>
      <c r="U259" s="188">
        <f>SUM($S$7:S259)</f>
        <v>15084000</v>
      </c>
      <c r="V259" s="188">
        <v>774</v>
      </c>
      <c r="W259" s="191">
        <v>50</v>
      </c>
      <c r="X259" s="188"/>
      <c r="Y259" s="188">
        <f t="shared" si="9"/>
        <v>152200</v>
      </c>
      <c r="Z259" s="194">
        <f t="shared" si="10"/>
        <v>93.9506172839506</v>
      </c>
    </row>
    <row r="260" ht="17.25" spans="2:26">
      <c r="B260" s="188">
        <v>254</v>
      </c>
      <c r="C260" s="197"/>
      <c r="D260" s="198">
        <v>100</v>
      </c>
      <c r="E260" s="188">
        <v>84</v>
      </c>
      <c r="F260" s="188">
        <v>91420</v>
      </c>
      <c r="G260" s="190">
        <v>9142</v>
      </c>
      <c r="H260" s="195">
        <v>0.007</v>
      </c>
      <c r="I260" s="188">
        <v>8964</v>
      </c>
      <c r="J260" s="191">
        <v>1230398</v>
      </c>
      <c r="K260" s="196">
        <v>126.24</v>
      </c>
      <c r="L260" s="186"/>
      <c r="M260" s="188">
        <v>254</v>
      </c>
      <c r="N260" s="188">
        <v>1304</v>
      </c>
      <c r="O260" s="191">
        <v>1062</v>
      </c>
      <c r="P260" s="191">
        <v>8</v>
      </c>
      <c r="Q260" s="188">
        <v>1628</v>
      </c>
      <c r="R260" s="189">
        <v>-0.02</v>
      </c>
      <c r="S260" s="192">
        <v>154200</v>
      </c>
      <c r="T260" s="188">
        <v>172863</v>
      </c>
      <c r="U260" s="188">
        <f>SUM($S$7:S260)</f>
        <v>15238200</v>
      </c>
      <c r="V260" s="188">
        <v>782</v>
      </c>
      <c r="W260" s="191">
        <v>50</v>
      </c>
      <c r="X260" s="188"/>
      <c r="Y260" s="188">
        <f t="shared" si="9"/>
        <v>153000</v>
      </c>
      <c r="Z260" s="194">
        <f t="shared" si="10"/>
        <v>93.980343980344</v>
      </c>
    </row>
    <row r="261" ht="17.25" spans="2:26">
      <c r="B261" s="188">
        <v>255</v>
      </c>
      <c r="C261" s="197"/>
      <c r="D261" s="198">
        <v>105</v>
      </c>
      <c r="E261" s="188">
        <v>84</v>
      </c>
      <c r="F261" s="188">
        <v>92260</v>
      </c>
      <c r="G261" s="190">
        <v>9226</v>
      </c>
      <c r="H261" s="195">
        <v>0.007</v>
      </c>
      <c r="I261" s="188">
        <v>9018</v>
      </c>
      <c r="J261" s="191">
        <v>1241471</v>
      </c>
      <c r="K261" s="196">
        <v>120.8380952</v>
      </c>
      <c r="L261" s="186"/>
      <c r="M261" s="188">
        <v>255</v>
      </c>
      <c r="N261" s="188">
        <v>1304</v>
      </c>
      <c r="O261" s="191">
        <v>1062</v>
      </c>
      <c r="P261" s="191">
        <v>8</v>
      </c>
      <c r="Q261" s="188">
        <v>1636</v>
      </c>
      <c r="R261" s="189">
        <v>-0.02</v>
      </c>
      <c r="S261" s="192">
        <v>155000</v>
      </c>
      <c r="T261" s="188">
        <v>174499</v>
      </c>
      <c r="U261" s="188">
        <f>SUM($S$7:S261)</f>
        <v>15393200</v>
      </c>
      <c r="V261" s="188">
        <v>789</v>
      </c>
      <c r="W261" s="191">
        <v>50</v>
      </c>
      <c r="X261" s="188"/>
      <c r="Y261" s="188">
        <f t="shared" si="9"/>
        <v>153800</v>
      </c>
      <c r="Z261" s="194">
        <f t="shared" si="10"/>
        <v>94.0097799511002</v>
      </c>
    </row>
    <row r="262" ht="17.25" spans="2:26">
      <c r="B262" s="188">
        <v>256</v>
      </c>
      <c r="C262" s="197"/>
      <c r="D262" s="198">
        <v>105</v>
      </c>
      <c r="E262" s="188">
        <v>84</v>
      </c>
      <c r="F262" s="188">
        <v>93100</v>
      </c>
      <c r="G262" s="190">
        <v>9310</v>
      </c>
      <c r="H262" s="195">
        <v>0.007</v>
      </c>
      <c r="I262" s="188">
        <v>9042</v>
      </c>
      <c r="J262" s="191">
        <v>1248446</v>
      </c>
      <c r="K262" s="196">
        <v>121.447619</v>
      </c>
      <c r="L262" s="186"/>
      <c r="M262" s="188">
        <v>256</v>
      </c>
      <c r="N262" s="188">
        <v>1304</v>
      </c>
      <c r="O262" s="191">
        <v>1062</v>
      </c>
      <c r="P262" s="191">
        <v>8</v>
      </c>
      <c r="Q262" s="188">
        <v>1644</v>
      </c>
      <c r="R262" s="189">
        <v>-0.02</v>
      </c>
      <c r="S262" s="192">
        <v>155800</v>
      </c>
      <c r="T262" s="188">
        <v>176143</v>
      </c>
      <c r="U262" s="188">
        <f>SUM($S$7:S262)</f>
        <v>15549000</v>
      </c>
      <c r="V262" s="188">
        <v>796</v>
      </c>
      <c r="W262" s="191">
        <v>50</v>
      </c>
      <c r="X262" s="188"/>
      <c r="Y262" s="188">
        <f t="shared" si="9"/>
        <v>154600</v>
      </c>
      <c r="Z262" s="194">
        <f t="shared" si="10"/>
        <v>94.0389294403893</v>
      </c>
    </row>
    <row r="263" ht="17.25" spans="2:26">
      <c r="B263" s="188">
        <v>257</v>
      </c>
      <c r="C263" s="197"/>
      <c r="D263" s="198">
        <v>105</v>
      </c>
      <c r="E263" s="188">
        <v>84</v>
      </c>
      <c r="F263" s="188">
        <v>93940</v>
      </c>
      <c r="G263" s="190">
        <v>9394</v>
      </c>
      <c r="H263" s="195">
        <v>0.007</v>
      </c>
      <c r="I263" s="188">
        <v>9096</v>
      </c>
      <c r="J263" s="191">
        <v>1259594</v>
      </c>
      <c r="K263" s="196">
        <v>122.0571429</v>
      </c>
      <c r="L263" s="186"/>
      <c r="M263" s="188">
        <v>257</v>
      </c>
      <c r="N263" s="188">
        <v>1304</v>
      </c>
      <c r="O263" s="191">
        <v>1062</v>
      </c>
      <c r="P263" s="191">
        <v>8</v>
      </c>
      <c r="Q263" s="188">
        <v>1652</v>
      </c>
      <c r="R263" s="189">
        <v>-0.03</v>
      </c>
      <c r="S263" s="192">
        <v>156600</v>
      </c>
      <c r="T263" s="188">
        <v>177795</v>
      </c>
      <c r="U263" s="188">
        <f>SUM($S$7:S263)</f>
        <v>15705600</v>
      </c>
      <c r="V263" s="188">
        <v>804</v>
      </c>
      <c r="W263" s="191">
        <v>50</v>
      </c>
      <c r="X263" s="188"/>
      <c r="Y263" s="188">
        <f t="shared" si="9"/>
        <v>155400</v>
      </c>
      <c r="Z263" s="194">
        <f t="shared" si="10"/>
        <v>94.0677966101695</v>
      </c>
    </row>
    <row r="264" ht="17.25" spans="2:26">
      <c r="B264" s="188">
        <v>258</v>
      </c>
      <c r="C264" s="197"/>
      <c r="D264" s="198">
        <v>105</v>
      </c>
      <c r="E264" s="188">
        <v>84</v>
      </c>
      <c r="F264" s="188">
        <v>94780</v>
      </c>
      <c r="G264" s="190">
        <v>9478</v>
      </c>
      <c r="H264" s="195">
        <v>0.007</v>
      </c>
      <c r="I264" s="188">
        <v>9150</v>
      </c>
      <c r="J264" s="191">
        <v>1270787</v>
      </c>
      <c r="K264" s="196">
        <v>122.6666667</v>
      </c>
      <c r="L264" s="186"/>
      <c r="M264" s="188">
        <v>258</v>
      </c>
      <c r="N264" s="188">
        <v>1304</v>
      </c>
      <c r="O264" s="191">
        <v>1062</v>
      </c>
      <c r="P264" s="191">
        <v>8</v>
      </c>
      <c r="Q264" s="188">
        <v>1660</v>
      </c>
      <c r="R264" s="189">
        <v>-0.03</v>
      </c>
      <c r="S264" s="192">
        <v>157400</v>
      </c>
      <c r="T264" s="188">
        <v>179455</v>
      </c>
      <c r="U264" s="188">
        <f>SUM($S$7:S264)</f>
        <v>15863000</v>
      </c>
      <c r="V264" s="188">
        <v>811</v>
      </c>
      <c r="W264" s="191">
        <v>50</v>
      </c>
      <c r="X264" s="188"/>
      <c r="Y264" s="188">
        <f t="shared" si="9"/>
        <v>156200</v>
      </c>
      <c r="Z264" s="194">
        <f t="shared" si="10"/>
        <v>94.0963855421687</v>
      </c>
    </row>
    <row r="265" ht="17.25" spans="2:26">
      <c r="B265" s="188">
        <v>259</v>
      </c>
      <c r="C265" s="197"/>
      <c r="D265" s="198">
        <v>105</v>
      </c>
      <c r="E265" s="188">
        <v>84</v>
      </c>
      <c r="F265" s="188">
        <v>95620</v>
      </c>
      <c r="G265" s="190">
        <v>9562</v>
      </c>
      <c r="H265" s="195">
        <v>0.007</v>
      </c>
      <c r="I265" s="188">
        <v>9174</v>
      </c>
      <c r="J265" s="191">
        <v>1277844</v>
      </c>
      <c r="K265" s="196">
        <v>123.2761905</v>
      </c>
      <c r="L265" s="186"/>
      <c r="M265" s="188">
        <v>259</v>
      </c>
      <c r="N265" s="188">
        <v>1304</v>
      </c>
      <c r="O265" s="191">
        <v>1062</v>
      </c>
      <c r="P265" s="191">
        <v>8</v>
      </c>
      <c r="Q265" s="188">
        <v>1668</v>
      </c>
      <c r="R265" s="189">
        <v>-0.03</v>
      </c>
      <c r="S265" s="192">
        <v>158200</v>
      </c>
      <c r="T265" s="188">
        <v>181123</v>
      </c>
      <c r="U265" s="188">
        <f>SUM($S$7:S265)</f>
        <v>16021200</v>
      </c>
      <c r="V265" s="188">
        <v>819</v>
      </c>
      <c r="W265" s="191">
        <v>50</v>
      </c>
      <c r="X265" s="188"/>
      <c r="Y265" s="188">
        <f t="shared" si="9"/>
        <v>157000</v>
      </c>
      <c r="Z265" s="194">
        <f t="shared" si="10"/>
        <v>94.1247002398081</v>
      </c>
    </row>
    <row r="266" ht="17.25" spans="2:26">
      <c r="B266" s="188">
        <v>260</v>
      </c>
      <c r="C266" s="197"/>
      <c r="D266" s="198">
        <v>105</v>
      </c>
      <c r="E266" s="188">
        <v>88</v>
      </c>
      <c r="F266" s="188">
        <v>96500</v>
      </c>
      <c r="G266" s="190">
        <v>9650</v>
      </c>
      <c r="H266" s="195">
        <v>0.007</v>
      </c>
      <c r="I266" s="188">
        <v>9228</v>
      </c>
      <c r="J266" s="191">
        <v>1230601</v>
      </c>
      <c r="K266" s="196">
        <v>123.8857143</v>
      </c>
      <c r="L266" s="186"/>
      <c r="M266" s="188">
        <v>260</v>
      </c>
      <c r="N266" s="188">
        <v>1304</v>
      </c>
      <c r="O266" s="191">
        <v>1062</v>
      </c>
      <c r="P266" s="191">
        <v>8</v>
      </c>
      <c r="Q266" s="188">
        <v>1676</v>
      </c>
      <c r="R266" s="189">
        <v>-0.04</v>
      </c>
      <c r="S266" s="192">
        <v>159000</v>
      </c>
      <c r="T266" s="188">
        <v>182799</v>
      </c>
      <c r="U266" s="188">
        <f>SUM($S$7:S266)</f>
        <v>16180200</v>
      </c>
      <c r="V266" s="188">
        <v>826</v>
      </c>
      <c r="W266" s="191">
        <v>50</v>
      </c>
      <c r="X266" s="188"/>
      <c r="Y266" s="188">
        <f t="shared" si="9"/>
        <v>157800</v>
      </c>
      <c r="Z266" s="194">
        <f t="shared" si="10"/>
        <v>94.1527446300716</v>
      </c>
    </row>
    <row r="267" ht="17.25" spans="2:26">
      <c r="B267" s="188">
        <v>261</v>
      </c>
      <c r="C267" s="197"/>
      <c r="D267" s="198">
        <v>105</v>
      </c>
      <c r="E267" s="188">
        <v>88</v>
      </c>
      <c r="F267" s="188">
        <v>97380</v>
      </c>
      <c r="G267" s="190">
        <v>9738</v>
      </c>
      <c r="H267" s="195">
        <v>0.007</v>
      </c>
      <c r="I267" s="188">
        <v>9282</v>
      </c>
      <c r="J267" s="191">
        <v>1241570</v>
      </c>
      <c r="K267" s="196">
        <v>124.4952381</v>
      </c>
      <c r="L267" s="186"/>
      <c r="M267" s="188">
        <v>261</v>
      </c>
      <c r="N267" s="188">
        <v>1304</v>
      </c>
      <c r="O267" s="191">
        <v>1062</v>
      </c>
      <c r="P267" s="191">
        <v>8</v>
      </c>
      <c r="Q267" s="188">
        <v>1684</v>
      </c>
      <c r="R267" s="189">
        <v>-0.04</v>
      </c>
      <c r="S267" s="192">
        <v>159800</v>
      </c>
      <c r="T267" s="188">
        <v>184483</v>
      </c>
      <c r="U267" s="188">
        <f>SUM($S$7:S267)</f>
        <v>16340000</v>
      </c>
      <c r="V267" s="188">
        <v>834</v>
      </c>
      <c r="W267" s="191">
        <v>50</v>
      </c>
      <c r="X267" s="188"/>
      <c r="Y267" s="188">
        <f t="shared" si="9"/>
        <v>158600</v>
      </c>
      <c r="Z267" s="194">
        <f t="shared" si="10"/>
        <v>94.1805225653207</v>
      </c>
    </row>
    <row r="268" ht="17.25" spans="2:26">
      <c r="B268" s="188">
        <v>262</v>
      </c>
      <c r="C268" s="197"/>
      <c r="D268" s="198">
        <v>105</v>
      </c>
      <c r="E268" s="188">
        <v>88</v>
      </c>
      <c r="F268" s="188">
        <v>98260</v>
      </c>
      <c r="G268" s="190">
        <v>9826</v>
      </c>
      <c r="H268" s="195">
        <v>0.007</v>
      </c>
      <c r="I268" s="188">
        <v>9306</v>
      </c>
      <c r="J268" s="191">
        <v>1248558</v>
      </c>
      <c r="K268" s="196">
        <v>125.1047619</v>
      </c>
      <c r="L268" s="186"/>
      <c r="M268" s="188">
        <v>262</v>
      </c>
      <c r="N268" s="188">
        <v>1304</v>
      </c>
      <c r="O268" s="191">
        <v>1062</v>
      </c>
      <c r="P268" s="191">
        <v>8</v>
      </c>
      <c r="Q268" s="188">
        <v>1692</v>
      </c>
      <c r="R268" s="189">
        <v>-0.04</v>
      </c>
      <c r="S268" s="192">
        <v>160600</v>
      </c>
      <c r="T268" s="188">
        <v>186175</v>
      </c>
      <c r="U268" s="188">
        <f>SUM($S$7:S268)</f>
        <v>16500600</v>
      </c>
      <c r="V268" s="188">
        <v>842</v>
      </c>
      <c r="W268" s="191">
        <v>50</v>
      </c>
      <c r="X268" s="188"/>
      <c r="Y268" s="188">
        <f t="shared" si="9"/>
        <v>159400</v>
      </c>
      <c r="Z268" s="194">
        <f t="shared" si="10"/>
        <v>94.2080378250591</v>
      </c>
    </row>
    <row r="269" ht="17.25" spans="2:26">
      <c r="B269" s="188">
        <v>263</v>
      </c>
      <c r="C269" s="197"/>
      <c r="D269" s="198">
        <v>105</v>
      </c>
      <c r="E269" s="188">
        <v>88</v>
      </c>
      <c r="F269" s="188">
        <v>99140</v>
      </c>
      <c r="G269" s="190">
        <v>9914</v>
      </c>
      <c r="H269" s="195">
        <v>0.007</v>
      </c>
      <c r="I269" s="188">
        <v>9360</v>
      </c>
      <c r="J269" s="191">
        <v>1259603</v>
      </c>
      <c r="K269" s="196">
        <v>125.7142857</v>
      </c>
      <c r="L269" s="186"/>
      <c r="M269" s="188">
        <v>263</v>
      </c>
      <c r="N269" s="188">
        <v>1304</v>
      </c>
      <c r="O269" s="191">
        <v>1062</v>
      </c>
      <c r="P269" s="191">
        <v>8</v>
      </c>
      <c r="Q269" s="188">
        <v>1700</v>
      </c>
      <c r="R269" s="189">
        <v>-0.04</v>
      </c>
      <c r="S269" s="192">
        <v>161400</v>
      </c>
      <c r="T269" s="188">
        <v>187875</v>
      </c>
      <c r="U269" s="188">
        <f>SUM($S$7:S269)</f>
        <v>16662000</v>
      </c>
      <c r="V269" s="188">
        <v>849</v>
      </c>
      <c r="W269" s="191">
        <v>50</v>
      </c>
      <c r="X269" s="188"/>
      <c r="Y269" s="188">
        <f t="shared" si="9"/>
        <v>160200</v>
      </c>
      <c r="Z269" s="194">
        <f t="shared" si="10"/>
        <v>94.2352941176471</v>
      </c>
    </row>
    <row r="270" ht="17.25" spans="2:26">
      <c r="B270" s="188">
        <v>264</v>
      </c>
      <c r="C270" s="197"/>
      <c r="D270" s="198">
        <v>105</v>
      </c>
      <c r="E270" s="188">
        <v>88</v>
      </c>
      <c r="F270" s="188">
        <v>100020</v>
      </c>
      <c r="G270" s="190">
        <v>10002</v>
      </c>
      <c r="H270" s="195">
        <v>0.007</v>
      </c>
      <c r="I270" s="188">
        <v>9414</v>
      </c>
      <c r="J270" s="191">
        <v>1270691</v>
      </c>
      <c r="K270" s="196">
        <v>126.3238095</v>
      </c>
      <c r="L270" s="186"/>
      <c r="M270" s="188">
        <v>264</v>
      </c>
      <c r="N270" s="188">
        <v>1304</v>
      </c>
      <c r="O270" s="191">
        <v>1062</v>
      </c>
      <c r="P270" s="191">
        <v>8</v>
      </c>
      <c r="Q270" s="188">
        <v>1708</v>
      </c>
      <c r="R270" s="189">
        <v>-0.05</v>
      </c>
      <c r="S270" s="192">
        <v>162200</v>
      </c>
      <c r="T270" s="188">
        <v>189583</v>
      </c>
      <c r="U270" s="188">
        <f>SUM($S$7:S270)</f>
        <v>16824200</v>
      </c>
      <c r="V270" s="188">
        <v>857</v>
      </c>
      <c r="W270" s="191">
        <v>50</v>
      </c>
      <c r="X270" s="188"/>
      <c r="Y270" s="188">
        <f t="shared" si="9"/>
        <v>161000</v>
      </c>
      <c r="Z270" s="194">
        <f t="shared" si="10"/>
        <v>94.2622950819672</v>
      </c>
    </row>
    <row r="271" ht="17.25" spans="2:26">
      <c r="B271" s="188">
        <v>265</v>
      </c>
      <c r="C271" s="197"/>
      <c r="D271" s="198">
        <v>110</v>
      </c>
      <c r="E271" s="188">
        <v>88</v>
      </c>
      <c r="F271" s="188">
        <v>100900</v>
      </c>
      <c r="G271" s="190">
        <v>10090</v>
      </c>
      <c r="H271" s="195">
        <v>0.007</v>
      </c>
      <c r="I271" s="188">
        <v>9438</v>
      </c>
      <c r="J271" s="191">
        <v>1277762</v>
      </c>
      <c r="K271" s="196">
        <v>121.1636364</v>
      </c>
      <c r="L271" s="186"/>
      <c r="M271" s="188">
        <v>265</v>
      </c>
      <c r="N271" s="188">
        <v>1304</v>
      </c>
      <c r="O271" s="191">
        <v>1062</v>
      </c>
      <c r="P271" s="191">
        <v>8</v>
      </c>
      <c r="Q271" s="188">
        <v>1716</v>
      </c>
      <c r="R271" s="189">
        <v>-0.05</v>
      </c>
      <c r="S271" s="192">
        <v>163000</v>
      </c>
      <c r="T271" s="188">
        <v>191299</v>
      </c>
      <c r="U271" s="188">
        <f>SUM($S$7:S271)</f>
        <v>16987200</v>
      </c>
      <c r="V271" s="188">
        <v>865</v>
      </c>
      <c r="W271" s="191">
        <v>50</v>
      </c>
      <c r="X271" s="188"/>
      <c r="Y271" s="188">
        <f t="shared" si="9"/>
        <v>161800</v>
      </c>
      <c r="Z271" s="194">
        <f t="shared" si="10"/>
        <v>94.2890442890443</v>
      </c>
    </row>
    <row r="272" ht="17.25" spans="2:26">
      <c r="B272" s="188">
        <v>266</v>
      </c>
      <c r="C272" s="197"/>
      <c r="D272" s="198">
        <v>110</v>
      </c>
      <c r="E272" s="188">
        <v>88</v>
      </c>
      <c r="F272" s="188">
        <v>101780</v>
      </c>
      <c r="G272" s="190">
        <v>10178</v>
      </c>
      <c r="H272" s="195">
        <v>0.007</v>
      </c>
      <c r="I272" s="188">
        <v>9492</v>
      </c>
      <c r="J272" s="191">
        <v>1288926</v>
      </c>
      <c r="K272" s="196">
        <v>121.7454545</v>
      </c>
      <c r="L272" s="186"/>
      <c r="M272" s="188">
        <v>266</v>
      </c>
      <c r="N272" s="188">
        <v>1304</v>
      </c>
      <c r="O272" s="191">
        <v>1062</v>
      </c>
      <c r="P272" s="191">
        <v>8</v>
      </c>
      <c r="Q272" s="188">
        <v>1724</v>
      </c>
      <c r="R272" s="189">
        <v>-0.05</v>
      </c>
      <c r="S272" s="192">
        <v>163800</v>
      </c>
      <c r="T272" s="188">
        <v>193023</v>
      </c>
      <c r="U272" s="188">
        <f>SUM($S$7:S272)</f>
        <v>17151000</v>
      </c>
      <c r="V272" s="188">
        <v>873</v>
      </c>
      <c r="W272" s="191">
        <v>50</v>
      </c>
      <c r="X272" s="188"/>
      <c r="Y272" s="188">
        <f t="shared" si="9"/>
        <v>162600</v>
      </c>
      <c r="Z272" s="194">
        <f t="shared" si="10"/>
        <v>94.3155452436195</v>
      </c>
    </row>
    <row r="273" ht="17.25" spans="2:26">
      <c r="B273" s="188">
        <v>267</v>
      </c>
      <c r="C273" s="197"/>
      <c r="D273" s="198">
        <v>110</v>
      </c>
      <c r="E273" s="188">
        <v>88</v>
      </c>
      <c r="F273" s="188">
        <v>102660</v>
      </c>
      <c r="G273" s="190">
        <v>10266</v>
      </c>
      <c r="H273" s="195">
        <v>0.007</v>
      </c>
      <c r="I273" s="188">
        <v>9546</v>
      </c>
      <c r="J273" s="191">
        <v>1300134</v>
      </c>
      <c r="K273" s="196">
        <v>122.3272727</v>
      </c>
      <c r="L273" s="186"/>
      <c r="M273" s="188">
        <v>267</v>
      </c>
      <c r="N273" s="188">
        <v>1304</v>
      </c>
      <c r="O273" s="191">
        <v>1062</v>
      </c>
      <c r="P273" s="191">
        <v>8</v>
      </c>
      <c r="Q273" s="188">
        <v>1732</v>
      </c>
      <c r="R273" s="189">
        <v>-0.06</v>
      </c>
      <c r="S273" s="192">
        <v>164600</v>
      </c>
      <c r="T273" s="188">
        <v>194755</v>
      </c>
      <c r="U273" s="188">
        <f>SUM($S$7:S273)</f>
        <v>17315600</v>
      </c>
      <c r="V273" s="188">
        <v>881</v>
      </c>
      <c r="W273" s="191">
        <v>50</v>
      </c>
      <c r="X273" s="188"/>
      <c r="Y273" s="188">
        <f t="shared" si="9"/>
        <v>163400</v>
      </c>
      <c r="Z273" s="194">
        <f t="shared" si="10"/>
        <v>94.3418013856813</v>
      </c>
    </row>
    <row r="274" ht="17.25" spans="2:26">
      <c r="B274" s="188">
        <v>268</v>
      </c>
      <c r="C274" s="197"/>
      <c r="D274" s="198">
        <v>110</v>
      </c>
      <c r="E274" s="188">
        <v>88</v>
      </c>
      <c r="F274" s="188">
        <v>103540</v>
      </c>
      <c r="G274" s="190">
        <v>10354</v>
      </c>
      <c r="H274" s="195">
        <v>0.007</v>
      </c>
      <c r="I274" s="188">
        <v>9570</v>
      </c>
      <c r="J274" s="191">
        <v>1307288</v>
      </c>
      <c r="K274" s="196">
        <v>122.9090909</v>
      </c>
      <c r="L274" s="186"/>
      <c r="M274" s="188">
        <v>268</v>
      </c>
      <c r="N274" s="188">
        <v>1304</v>
      </c>
      <c r="O274" s="191">
        <v>1062</v>
      </c>
      <c r="P274" s="191">
        <v>8</v>
      </c>
      <c r="Q274" s="188">
        <v>1740</v>
      </c>
      <c r="R274" s="189">
        <v>-0.06</v>
      </c>
      <c r="S274" s="192">
        <v>165400</v>
      </c>
      <c r="T274" s="188">
        <v>196495</v>
      </c>
      <c r="U274" s="188">
        <f>SUM($S$7:S274)</f>
        <v>17481000</v>
      </c>
      <c r="V274" s="188">
        <v>888</v>
      </c>
      <c r="W274" s="191">
        <v>50</v>
      </c>
      <c r="X274" s="188"/>
      <c r="Y274" s="188">
        <f t="shared" si="9"/>
        <v>164200</v>
      </c>
      <c r="Z274" s="194">
        <f t="shared" si="10"/>
        <v>94.367816091954</v>
      </c>
    </row>
    <row r="275" ht="17.25" spans="2:26">
      <c r="B275" s="188">
        <v>269</v>
      </c>
      <c r="C275" s="197"/>
      <c r="D275" s="198">
        <v>110</v>
      </c>
      <c r="E275" s="188">
        <v>88</v>
      </c>
      <c r="F275" s="188">
        <v>104420</v>
      </c>
      <c r="G275" s="190">
        <v>10442</v>
      </c>
      <c r="H275" s="195">
        <v>0.007</v>
      </c>
      <c r="I275" s="188">
        <v>9624</v>
      </c>
      <c r="J275" s="191">
        <v>1318571</v>
      </c>
      <c r="K275" s="196">
        <v>123.4909091</v>
      </c>
      <c r="L275" s="186"/>
      <c r="M275" s="188">
        <v>269</v>
      </c>
      <c r="N275" s="188">
        <v>1304</v>
      </c>
      <c r="O275" s="191">
        <v>1062</v>
      </c>
      <c r="P275" s="191">
        <v>8</v>
      </c>
      <c r="Q275" s="188">
        <v>1748</v>
      </c>
      <c r="R275" s="189">
        <v>-0.06</v>
      </c>
      <c r="S275" s="192">
        <v>166200</v>
      </c>
      <c r="T275" s="188">
        <v>198243</v>
      </c>
      <c r="U275" s="188">
        <f>SUM($S$7:S275)</f>
        <v>17647200</v>
      </c>
      <c r="V275" s="188">
        <v>896</v>
      </c>
      <c r="W275" s="191">
        <v>50</v>
      </c>
      <c r="X275" s="188"/>
      <c r="Y275" s="188">
        <f t="shared" si="9"/>
        <v>165000</v>
      </c>
      <c r="Z275" s="194">
        <f t="shared" si="10"/>
        <v>94.3935926773455</v>
      </c>
    </row>
    <row r="276" ht="17.25" spans="2:26">
      <c r="B276" s="188">
        <v>270</v>
      </c>
      <c r="C276" s="197"/>
      <c r="D276" s="198">
        <v>110</v>
      </c>
      <c r="E276" s="188">
        <v>92</v>
      </c>
      <c r="F276" s="188">
        <v>105340</v>
      </c>
      <c r="G276" s="190">
        <v>10534</v>
      </c>
      <c r="H276" s="195">
        <v>0.008</v>
      </c>
      <c r="I276" s="188">
        <v>9678</v>
      </c>
      <c r="J276" s="191">
        <v>1272162</v>
      </c>
      <c r="K276" s="196">
        <v>124.0727273</v>
      </c>
      <c r="L276" s="186"/>
      <c r="M276" s="188">
        <v>270</v>
      </c>
      <c r="N276" s="188">
        <v>1304</v>
      </c>
      <c r="O276" s="191">
        <v>1062</v>
      </c>
      <c r="P276" s="191">
        <v>8</v>
      </c>
      <c r="Q276" s="188">
        <v>1756</v>
      </c>
      <c r="R276" s="189">
        <v>-0.07</v>
      </c>
      <c r="S276" s="192">
        <v>167000</v>
      </c>
      <c r="T276" s="188">
        <v>199999</v>
      </c>
      <c r="U276" s="188">
        <f>SUM($S$7:S276)</f>
        <v>17814200</v>
      </c>
      <c r="V276" s="188">
        <v>904</v>
      </c>
      <c r="W276" s="191">
        <v>50</v>
      </c>
      <c r="X276" s="188"/>
      <c r="Y276" s="188">
        <f t="shared" si="9"/>
        <v>165800</v>
      </c>
      <c r="Z276" s="194">
        <f t="shared" si="10"/>
        <v>94.4191343963553</v>
      </c>
    </row>
    <row r="277" ht="17.25" spans="2:26">
      <c r="B277" s="188">
        <v>271</v>
      </c>
      <c r="C277" s="197"/>
      <c r="D277" s="198">
        <v>110</v>
      </c>
      <c r="E277" s="188">
        <v>92</v>
      </c>
      <c r="F277" s="188">
        <v>106260</v>
      </c>
      <c r="G277" s="190">
        <v>10626</v>
      </c>
      <c r="H277" s="195">
        <v>0.008</v>
      </c>
      <c r="I277" s="188">
        <v>9702</v>
      </c>
      <c r="J277" s="191">
        <v>1279256</v>
      </c>
      <c r="K277" s="196">
        <v>124.6545455</v>
      </c>
      <c r="L277" s="186"/>
      <c r="M277" s="188">
        <v>271</v>
      </c>
      <c r="N277" s="188">
        <v>1304</v>
      </c>
      <c r="O277" s="191">
        <v>1062</v>
      </c>
      <c r="P277" s="191">
        <v>8</v>
      </c>
      <c r="Q277" s="188">
        <v>1764</v>
      </c>
      <c r="R277" s="189">
        <v>-0.07</v>
      </c>
      <c r="S277" s="192">
        <v>167800</v>
      </c>
      <c r="T277" s="188">
        <v>201763</v>
      </c>
      <c r="U277" s="188">
        <f>SUM($S$7:S277)</f>
        <v>17982000</v>
      </c>
      <c r="V277" s="188">
        <v>912</v>
      </c>
      <c r="W277" s="191">
        <v>50</v>
      </c>
      <c r="X277" s="188"/>
      <c r="Y277" s="188">
        <f t="shared" si="9"/>
        <v>166600</v>
      </c>
      <c r="Z277" s="194">
        <f t="shared" si="10"/>
        <v>94.4444444444444</v>
      </c>
    </row>
    <row r="278" ht="17.25" spans="2:26">
      <c r="B278" s="188">
        <v>272</v>
      </c>
      <c r="C278" s="197"/>
      <c r="D278" s="198">
        <v>110</v>
      </c>
      <c r="E278" s="188">
        <v>92</v>
      </c>
      <c r="F278" s="188">
        <v>107180</v>
      </c>
      <c r="G278" s="190">
        <v>10718</v>
      </c>
      <c r="H278" s="195">
        <v>0.008</v>
      </c>
      <c r="I278" s="188">
        <v>9756</v>
      </c>
      <c r="J278" s="191">
        <v>1290336</v>
      </c>
      <c r="K278" s="196">
        <v>125.2363636</v>
      </c>
      <c r="L278" s="186"/>
      <c r="M278" s="188">
        <v>272</v>
      </c>
      <c r="N278" s="188">
        <v>1304</v>
      </c>
      <c r="O278" s="191">
        <v>1062</v>
      </c>
      <c r="P278" s="191">
        <v>8</v>
      </c>
      <c r="Q278" s="188">
        <v>1772</v>
      </c>
      <c r="R278" s="189">
        <v>-0.07</v>
      </c>
      <c r="S278" s="192">
        <v>168600</v>
      </c>
      <c r="T278" s="188">
        <v>203535</v>
      </c>
      <c r="U278" s="188">
        <f>SUM($S$7:S278)</f>
        <v>18150600</v>
      </c>
      <c r="V278" s="188">
        <v>920</v>
      </c>
      <c r="W278" s="191">
        <v>50</v>
      </c>
      <c r="X278" s="188"/>
      <c r="Y278" s="188">
        <f t="shared" si="9"/>
        <v>167400</v>
      </c>
      <c r="Z278" s="194">
        <f t="shared" si="10"/>
        <v>94.4695259593679</v>
      </c>
    </row>
    <row r="279" ht="17.25" spans="2:26">
      <c r="B279" s="188">
        <v>273</v>
      </c>
      <c r="C279" s="197"/>
      <c r="D279" s="198">
        <v>110</v>
      </c>
      <c r="E279" s="188">
        <v>92</v>
      </c>
      <c r="F279" s="188">
        <v>108100</v>
      </c>
      <c r="G279" s="190">
        <v>10810</v>
      </c>
      <c r="H279" s="195">
        <v>0.008</v>
      </c>
      <c r="I279" s="188">
        <v>9810</v>
      </c>
      <c r="J279" s="191">
        <v>1301461</v>
      </c>
      <c r="K279" s="196">
        <v>125.8181818</v>
      </c>
      <c r="L279" s="186"/>
      <c r="M279" s="188">
        <v>273</v>
      </c>
      <c r="N279" s="188">
        <v>1304</v>
      </c>
      <c r="O279" s="191">
        <v>1062</v>
      </c>
      <c r="P279" s="191">
        <v>8</v>
      </c>
      <c r="Q279" s="188">
        <v>1780</v>
      </c>
      <c r="R279" s="189">
        <v>-0.08</v>
      </c>
      <c r="S279" s="192">
        <v>169400</v>
      </c>
      <c r="T279" s="188">
        <v>205315</v>
      </c>
      <c r="U279" s="188">
        <f>SUM($S$7:S279)</f>
        <v>18320000</v>
      </c>
      <c r="V279" s="188">
        <v>928</v>
      </c>
      <c r="W279" s="191">
        <v>50</v>
      </c>
      <c r="X279" s="188"/>
      <c r="Y279" s="188">
        <f t="shared" ref="Y279:Y306" si="11">Y278+800</f>
        <v>168200</v>
      </c>
      <c r="Z279" s="194">
        <f t="shared" si="10"/>
        <v>94.4943820224719</v>
      </c>
    </row>
    <row r="280" ht="17.25" spans="2:26">
      <c r="B280" s="188">
        <v>274</v>
      </c>
      <c r="C280" s="197"/>
      <c r="D280" s="198">
        <v>110</v>
      </c>
      <c r="E280" s="188">
        <v>92</v>
      </c>
      <c r="F280" s="188">
        <v>109020</v>
      </c>
      <c r="G280" s="190">
        <v>10902</v>
      </c>
      <c r="H280" s="195">
        <v>0.008</v>
      </c>
      <c r="I280" s="188">
        <v>9834</v>
      </c>
      <c r="J280" s="191">
        <v>1308637</v>
      </c>
      <c r="K280" s="196">
        <v>126.4</v>
      </c>
      <c r="L280" s="186"/>
      <c r="M280" s="188">
        <v>274</v>
      </c>
      <c r="N280" s="188">
        <v>1304</v>
      </c>
      <c r="O280" s="191">
        <v>1062</v>
      </c>
      <c r="P280" s="191">
        <v>8</v>
      </c>
      <c r="Q280" s="188">
        <v>1788</v>
      </c>
      <c r="R280" s="189">
        <v>-0.08</v>
      </c>
      <c r="S280" s="192">
        <v>170200</v>
      </c>
      <c r="T280" s="188">
        <v>207103</v>
      </c>
      <c r="U280" s="188">
        <f>SUM($S$7:S280)</f>
        <v>18490200</v>
      </c>
      <c r="V280" s="188">
        <v>936</v>
      </c>
      <c r="W280" s="191">
        <v>50</v>
      </c>
      <c r="X280" s="188"/>
      <c r="Y280" s="188">
        <f t="shared" si="11"/>
        <v>169000</v>
      </c>
      <c r="Z280" s="194">
        <f t="shared" si="10"/>
        <v>94.5190156599553</v>
      </c>
    </row>
    <row r="281" ht="17.25" spans="2:26">
      <c r="B281" s="188">
        <v>275</v>
      </c>
      <c r="C281" s="197"/>
      <c r="D281" s="198">
        <v>115</v>
      </c>
      <c r="E281" s="188">
        <v>92</v>
      </c>
      <c r="F281" s="188">
        <v>109940</v>
      </c>
      <c r="G281" s="190">
        <v>10994</v>
      </c>
      <c r="H281" s="195">
        <v>0.007</v>
      </c>
      <c r="I281" s="188">
        <v>9888</v>
      </c>
      <c r="J281" s="191">
        <v>1319837</v>
      </c>
      <c r="K281" s="196">
        <v>121.4608696</v>
      </c>
      <c r="L281" s="186"/>
      <c r="M281" s="188">
        <v>275</v>
      </c>
      <c r="N281" s="188">
        <v>1304</v>
      </c>
      <c r="O281" s="191">
        <v>1062</v>
      </c>
      <c r="P281" s="191">
        <v>8</v>
      </c>
      <c r="Q281" s="188">
        <v>1796</v>
      </c>
      <c r="R281" s="189">
        <v>-0.08</v>
      </c>
      <c r="S281" s="192">
        <v>171000</v>
      </c>
      <c r="T281" s="188">
        <v>208899</v>
      </c>
      <c r="U281" s="188">
        <f>SUM($S$7:S281)</f>
        <v>18661200</v>
      </c>
      <c r="V281" s="188">
        <v>944</v>
      </c>
      <c r="W281" s="191">
        <v>50</v>
      </c>
      <c r="X281" s="188"/>
      <c r="Y281" s="188">
        <f t="shared" si="11"/>
        <v>169800</v>
      </c>
      <c r="Z281" s="194">
        <f t="shared" si="10"/>
        <v>94.543429844098</v>
      </c>
    </row>
    <row r="282" ht="17.25" spans="2:26">
      <c r="B282" s="188">
        <v>276</v>
      </c>
      <c r="C282" s="197"/>
      <c r="D282" s="198">
        <v>115</v>
      </c>
      <c r="E282" s="188">
        <v>92</v>
      </c>
      <c r="F282" s="188">
        <v>110860</v>
      </c>
      <c r="G282" s="190">
        <v>11086</v>
      </c>
      <c r="H282" s="195">
        <v>0.007</v>
      </c>
      <c r="I282" s="188">
        <v>9942</v>
      </c>
      <c r="J282" s="191">
        <v>1331081</v>
      </c>
      <c r="K282" s="196">
        <v>122.0173913</v>
      </c>
      <c r="L282" s="186"/>
      <c r="M282" s="188">
        <v>276</v>
      </c>
      <c r="N282" s="188">
        <v>1304</v>
      </c>
      <c r="O282" s="191">
        <v>1062</v>
      </c>
      <c r="P282" s="191">
        <v>8</v>
      </c>
      <c r="Q282" s="188">
        <v>1804</v>
      </c>
      <c r="R282" s="189">
        <v>-0.09</v>
      </c>
      <c r="S282" s="192">
        <v>171800</v>
      </c>
      <c r="T282" s="188">
        <v>210703</v>
      </c>
      <c r="U282" s="188">
        <f>SUM($S$7:S282)</f>
        <v>18833000</v>
      </c>
      <c r="V282" s="188">
        <v>953</v>
      </c>
      <c r="W282" s="191">
        <v>50</v>
      </c>
      <c r="X282" s="188"/>
      <c r="Y282" s="188">
        <f t="shared" si="11"/>
        <v>170600</v>
      </c>
      <c r="Z282" s="194">
        <f t="shared" si="10"/>
        <v>94.5676274944568</v>
      </c>
    </row>
    <row r="283" ht="17.25" spans="2:26">
      <c r="B283" s="188">
        <v>277</v>
      </c>
      <c r="C283" s="197"/>
      <c r="D283" s="198">
        <v>115</v>
      </c>
      <c r="E283" s="188">
        <v>92</v>
      </c>
      <c r="F283" s="188">
        <v>111780</v>
      </c>
      <c r="G283" s="190">
        <v>11178</v>
      </c>
      <c r="H283" s="195">
        <v>0.007</v>
      </c>
      <c r="I283" s="188">
        <v>9966</v>
      </c>
      <c r="J283" s="191">
        <v>1338340</v>
      </c>
      <c r="K283" s="196">
        <v>122.573913</v>
      </c>
      <c r="L283" s="186"/>
      <c r="M283" s="188">
        <v>277</v>
      </c>
      <c r="N283" s="188">
        <v>1304</v>
      </c>
      <c r="O283" s="191">
        <v>1062</v>
      </c>
      <c r="P283" s="191">
        <v>8</v>
      </c>
      <c r="Q283" s="188">
        <v>1812</v>
      </c>
      <c r="R283" s="189">
        <v>-0.09</v>
      </c>
      <c r="S283" s="192">
        <v>172600</v>
      </c>
      <c r="T283" s="188">
        <v>212515</v>
      </c>
      <c r="U283" s="188">
        <f>SUM($S$7:S283)</f>
        <v>19005600</v>
      </c>
      <c r="V283" s="188">
        <v>961</v>
      </c>
      <c r="W283" s="191">
        <v>50</v>
      </c>
      <c r="X283" s="188"/>
      <c r="Y283" s="188">
        <f t="shared" si="11"/>
        <v>171400</v>
      </c>
      <c r="Z283" s="194">
        <f t="shared" si="10"/>
        <v>94.5916114790287</v>
      </c>
    </row>
    <row r="284" ht="17.25" spans="2:26">
      <c r="B284" s="188">
        <v>278</v>
      </c>
      <c r="C284" s="197"/>
      <c r="D284" s="198">
        <v>115</v>
      </c>
      <c r="E284" s="188">
        <v>92</v>
      </c>
      <c r="F284" s="188">
        <v>112700</v>
      </c>
      <c r="G284" s="190">
        <v>11270</v>
      </c>
      <c r="H284" s="195">
        <v>0.007</v>
      </c>
      <c r="I284" s="188">
        <v>10020</v>
      </c>
      <c r="J284" s="191">
        <v>1349659</v>
      </c>
      <c r="K284" s="196">
        <v>123.1304348</v>
      </c>
      <c r="L284" s="186"/>
      <c r="M284" s="188">
        <v>278</v>
      </c>
      <c r="N284" s="188">
        <v>1304</v>
      </c>
      <c r="O284" s="191">
        <v>1062</v>
      </c>
      <c r="P284" s="191">
        <v>8</v>
      </c>
      <c r="Q284" s="188">
        <v>1820</v>
      </c>
      <c r="R284" s="189">
        <v>-0.1</v>
      </c>
      <c r="S284" s="192">
        <v>173400</v>
      </c>
      <c r="T284" s="188">
        <v>214335</v>
      </c>
      <c r="U284" s="188">
        <f>SUM($S$7:S284)</f>
        <v>19179000</v>
      </c>
      <c r="V284" s="188">
        <v>969</v>
      </c>
      <c r="W284" s="191">
        <v>50</v>
      </c>
      <c r="X284" s="188"/>
      <c r="Y284" s="188">
        <f t="shared" si="11"/>
        <v>172200</v>
      </c>
      <c r="Z284" s="194">
        <f t="shared" si="10"/>
        <v>94.6153846153846</v>
      </c>
    </row>
    <row r="285" ht="17.25" spans="2:26">
      <c r="B285" s="188">
        <v>279</v>
      </c>
      <c r="C285" s="197"/>
      <c r="D285" s="198">
        <v>115</v>
      </c>
      <c r="E285" s="188">
        <v>92</v>
      </c>
      <c r="F285" s="188">
        <v>113620</v>
      </c>
      <c r="G285" s="190">
        <v>11362</v>
      </c>
      <c r="H285" s="195">
        <v>0.007</v>
      </c>
      <c r="I285" s="188">
        <v>10074</v>
      </c>
      <c r="J285" s="191">
        <v>1361022</v>
      </c>
      <c r="K285" s="196">
        <v>123.6869565</v>
      </c>
      <c r="L285" s="186"/>
      <c r="M285" s="188">
        <v>279</v>
      </c>
      <c r="N285" s="188">
        <v>1304</v>
      </c>
      <c r="O285" s="191">
        <v>1062</v>
      </c>
      <c r="P285" s="191">
        <v>8</v>
      </c>
      <c r="Q285" s="188">
        <v>1828</v>
      </c>
      <c r="R285" s="189">
        <v>-0.1</v>
      </c>
      <c r="S285" s="192">
        <v>174200</v>
      </c>
      <c r="T285" s="188">
        <v>216163</v>
      </c>
      <c r="U285" s="188">
        <f>SUM($S$7:S285)</f>
        <v>19353200</v>
      </c>
      <c r="V285" s="188">
        <v>977</v>
      </c>
      <c r="W285" s="191">
        <v>50</v>
      </c>
      <c r="X285" s="188"/>
      <c r="Y285" s="188">
        <f t="shared" si="11"/>
        <v>173000</v>
      </c>
      <c r="Z285" s="194">
        <f t="shared" si="10"/>
        <v>94.6389496717724</v>
      </c>
    </row>
    <row r="286" ht="17.25" spans="2:26">
      <c r="B286" s="188">
        <v>280</v>
      </c>
      <c r="C286" s="197"/>
      <c r="D286" s="198">
        <v>115</v>
      </c>
      <c r="E286" s="188">
        <v>96</v>
      </c>
      <c r="F286" s="188">
        <v>114580</v>
      </c>
      <c r="G286" s="190">
        <v>11458</v>
      </c>
      <c r="H286" s="195">
        <v>0.008</v>
      </c>
      <c r="I286" s="188">
        <v>10098</v>
      </c>
      <c r="J286" s="191">
        <v>1311434</v>
      </c>
      <c r="K286" s="196">
        <v>124.2434783</v>
      </c>
      <c r="L286" s="186"/>
      <c r="M286" s="188">
        <v>280</v>
      </c>
      <c r="N286" s="188">
        <v>1304</v>
      </c>
      <c r="O286" s="191">
        <v>1062</v>
      </c>
      <c r="P286" s="191">
        <v>8</v>
      </c>
      <c r="Q286" s="188">
        <v>1836</v>
      </c>
      <c r="R286" s="189">
        <v>-0.1</v>
      </c>
      <c r="S286" s="192">
        <v>175000</v>
      </c>
      <c r="T286" s="188">
        <v>217999</v>
      </c>
      <c r="U286" s="188">
        <f>SUM($S$7:S286)</f>
        <v>19528200</v>
      </c>
      <c r="V286" s="188">
        <v>986</v>
      </c>
      <c r="W286" s="191">
        <v>50</v>
      </c>
      <c r="X286" s="188"/>
      <c r="Y286" s="188">
        <f t="shared" si="11"/>
        <v>173800</v>
      </c>
      <c r="Z286" s="194">
        <f t="shared" si="10"/>
        <v>94.6623093681917</v>
      </c>
    </row>
    <row r="287" ht="17.25" spans="2:26">
      <c r="B287" s="188">
        <v>281</v>
      </c>
      <c r="C287" s="197"/>
      <c r="D287" s="198">
        <v>115</v>
      </c>
      <c r="E287" s="188">
        <v>96</v>
      </c>
      <c r="F287" s="188">
        <v>115540</v>
      </c>
      <c r="G287" s="190">
        <v>11554</v>
      </c>
      <c r="H287" s="195">
        <v>0.008</v>
      </c>
      <c r="I287" s="188">
        <v>10152</v>
      </c>
      <c r="J287" s="191">
        <v>1322568</v>
      </c>
      <c r="K287" s="196">
        <v>124.8</v>
      </c>
      <c r="L287" s="186"/>
      <c r="M287" s="188">
        <v>281</v>
      </c>
      <c r="N287" s="188">
        <v>1304</v>
      </c>
      <c r="O287" s="191">
        <v>1062</v>
      </c>
      <c r="P287" s="191">
        <v>8</v>
      </c>
      <c r="Q287" s="188">
        <v>1844</v>
      </c>
      <c r="R287" s="189">
        <v>-0.11</v>
      </c>
      <c r="S287" s="192">
        <v>175800</v>
      </c>
      <c r="T287" s="188">
        <v>219843</v>
      </c>
      <c r="U287" s="188">
        <f>SUM($S$7:S287)</f>
        <v>19704000</v>
      </c>
      <c r="V287" s="188">
        <v>994</v>
      </c>
      <c r="W287" s="191">
        <v>50</v>
      </c>
      <c r="X287" s="188"/>
      <c r="Y287" s="188">
        <f t="shared" si="11"/>
        <v>174600</v>
      </c>
      <c r="Z287" s="194">
        <f t="shared" si="10"/>
        <v>94.6854663774403</v>
      </c>
    </row>
    <row r="288" ht="17.25" spans="2:26">
      <c r="B288" s="188">
        <v>282</v>
      </c>
      <c r="C288" s="197"/>
      <c r="D288" s="198">
        <v>115</v>
      </c>
      <c r="E288" s="188">
        <v>96</v>
      </c>
      <c r="F288" s="188">
        <v>116500</v>
      </c>
      <c r="G288" s="190">
        <v>11650</v>
      </c>
      <c r="H288" s="195">
        <v>0.008</v>
      </c>
      <c r="I288" s="188">
        <v>10206</v>
      </c>
      <c r="J288" s="191">
        <v>1333746</v>
      </c>
      <c r="K288" s="196">
        <v>125.3565217</v>
      </c>
      <c r="L288" s="186"/>
      <c r="M288" s="188">
        <v>282</v>
      </c>
      <c r="N288" s="188">
        <v>1304</v>
      </c>
      <c r="O288" s="191">
        <v>1062</v>
      </c>
      <c r="P288" s="191">
        <v>8</v>
      </c>
      <c r="Q288" s="188">
        <v>1852</v>
      </c>
      <c r="R288" s="189">
        <v>-0.11</v>
      </c>
      <c r="S288" s="192">
        <v>176600</v>
      </c>
      <c r="T288" s="188">
        <v>221695</v>
      </c>
      <c r="U288" s="188">
        <f>SUM($S$7:S288)</f>
        <v>19880600</v>
      </c>
      <c r="V288" s="188">
        <v>1002</v>
      </c>
      <c r="W288" s="191">
        <v>50</v>
      </c>
      <c r="X288" s="188"/>
      <c r="Y288" s="188">
        <f t="shared" si="11"/>
        <v>175400</v>
      </c>
      <c r="Z288" s="194">
        <f t="shared" si="10"/>
        <v>94.7084233261339</v>
      </c>
    </row>
    <row r="289" ht="17.25" spans="2:26">
      <c r="B289" s="188">
        <v>283</v>
      </c>
      <c r="C289" s="197"/>
      <c r="D289" s="198">
        <v>115</v>
      </c>
      <c r="E289" s="188">
        <v>96</v>
      </c>
      <c r="F289" s="188">
        <v>117460</v>
      </c>
      <c r="G289" s="190">
        <v>11746</v>
      </c>
      <c r="H289" s="195">
        <v>0.008</v>
      </c>
      <c r="I289" s="188">
        <v>10230</v>
      </c>
      <c r="J289" s="191">
        <v>1341036</v>
      </c>
      <c r="K289" s="196">
        <v>125.9130435</v>
      </c>
      <c r="L289" s="186"/>
      <c r="M289" s="188">
        <v>283</v>
      </c>
      <c r="N289" s="188">
        <v>1304</v>
      </c>
      <c r="O289" s="191">
        <v>1062</v>
      </c>
      <c r="P289" s="191">
        <v>8</v>
      </c>
      <c r="Q289" s="188">
        <v>1860</v>
      </c>
      <c r="R289" s="189">
        <v>-0.11</v>
      </c>
      <c r="S289" s="192">
        <v>177400</v>
      </c>
      <c r="T289" s="188">
        <v>223555</v>
      </c>
      <c r="U289" s="188">
        <f>SUM($S$7:S289)</f>
        <v>20058000</v>
      </c>
      <c r="V289" s="188">
        <v>1011</v>
      </c>
      <c r="W289" s="191">
        <v>50</v>
      </c>
      <c r="X289" s="188"/>
      <c r="Y289" s="188">
        <f t="shared" si="11"/>
        <v>176200</v>
      </c>
      <c r="Z289" s="194">
        <f t="shared" si="10"/>
        <v>94.7311827956989</v>
      </c>
    </row>
    <row r="290" ht="17.25" spans="2:26">
      <c r="B290" s="188">
        <v>284</v>
      </c>
      <c r="C290" s="197"/>
      <c r="D290" s="198">
        <v>115</v>
      </c>
      <c r="E290" s="188">
        <v>96</v>
      </c>
      <c r="F290" s="188">
        <v>118420</v>
      </c>
      <c r="G290" s="190">
        <v>11842</v>
      </c>
      <c r="H290" s="195">
        <v>0.008</v>
      </c>
      <c r="I290" s="188">
        <v>10284</v>
      </c>
      <c r="J290" s="191">
        <v>1352289</v>
      </c>
      <c r="K290" s="196">
        <v>126.4695652</v>
      </c>
      <c r="L290" s="186"/>
      <c r="M290" s="188">
        <v>284</v>
      </c>
      <c r="N290" s="188">
        <v>1304</v>
      </c>
      <c r="O290" s="191">
        <v>1062</v>
      </c>
      <c r="P290" s="191">
        <v>8</v>
      </c>
      <c r="Q290" s="188">
        <v>1868</v>
      </c>
      <c r="R290" s="189">
        <v>-0.12</v>
      </c>
      <c r="S290" s="192">
        <v>178200</v>
      </c>
      <c r="T290" s="188">
        <v>225423</v>
      </c>
      <c r="U290" s="188">
        <f>SUM($S$7:S290)</f>
        <v>20236200</v>
      </c>
      <c r="V290" s="188">
        <v>1019</v>
      </c>
      <c r="W290" s="191">
        <v>50</v>
      </c>
      <c r="X290" s="188"/>
      <c r="Y290" s="188">
        <f t="shared" si="11"/>
        <v>177000</v>
      </c>
      <c r="Z290" s="194">
        <f t="shared" si="10"/>
        <v>94.7537473233405</v>
      </c>
    </row>
    <row r="291" ht="17.25" spans="2:26">
      <c r="B291" s="188">
        <v>285</v>
      </c>
      <c r="C291" s="197"/>
      <c r="D291" s="198">
        <v>120</v>
      </c>
      <c r="E291" s="188">
        <v>96</v>
      </c>
      <c r="F291" s="188">
        <v>119380</v>
      </c>
      <c r="G291" s="190">
        <v>11938</v>
      </c>
      <c r="H291" s="195">
        <v>0.008</v>
      </c>
      <c r="I291" s="188">
        <v>10338</v>
      </c>
      <c r="J291" s="191">
        <v>1363587</v>
      </c>
      <c r="K291" s="196">
        <v>121.7333333</v>
      </c>
      <c r="L291" s="186"/>
      <c r="M291" s="188">
        <v>285</v>
      </c>
      <c r="N291" s="188">
        <v>1304</v>
      </c>
      <c r="O291" s="191">
        <v>1062</v>
      </c>
      <c r="P291" s="191">
        <v>8</v>
      </c>
      <c r="Q291" s="188">
        <v>1876</v>
      </c>
      <c r="R291" s="189">
        <v>-0.12</v>
      </c>
      <c r="S291" s="192">
        <v>179000</v>
      </c>
      <c r="T291" s="188">
        <v>227299</v>
      </c>
      <c r="U291" s="188">
        <f>SUM($S$7:S291)</f>
        <v>20415200</v>
      </c>
      <c r="V291" s="188">
        <v>1028</v>
      </c>
      <c r="W291" s="191">
        <v>50</v>
      </c>
      <c r="X291" s="188"/>
      <c r="Y291" s="188">
        <f t="shared" si="11"/>
        <v>177800</v>
      </c>
      <c r="Z291" s="194">
        <f t="shared" si="10"/>
        <v>94.7761194029851</v>
      </c>
    </row>
    <row r="292" ht="17.25" spans="2:26">
      <c r="B292" s="188">
        <v>286</v>
      </c>
      <c r="C292" s="197"/>
      <c r="D292" s="198">
        <v>120</v>
      </c>
      <c r="E292" s="188">
        <v>96</v>
      </c>
      <c r="F292" s="188">
        <v>120340</v>
      </c>
      <c r="G292" s="190">
        <v>12034</v>
      </c>
      <c r="H292" s="195">
        <v>0.008</v>
      </c>
      <c r="I292" s="188">
        <v>10362</v>
      </c>
      <c r="J292" s="191">
        <v>1370959</v>
      </c>
      <c r="K292" s="196">
        <v>122.2666667</v>
      </c>
      <c r="L292" s="186"/>
      <c r="M292" s="188">
        <v>286</v>
      </c>
      <c r="N292" s="188">
        <v>1304</v>
      </c>
      <c r="O292" s="191">
        <v>1062</v>
      </c>
      <c r="P292" s="191">
        <v>8</v>
      </c>
      <c r="Q292" s="188">
        <v>1884</v>
      </c>
      <c r="R292" s="189">
        <v>-0.12</v>
      </c>
      <c r="S292" s="192">
        <v>179800</v>
      </c>
      <c r="T292" s="188">
        <v>229183</v>
      </c>
      <c r="U292" s="188">
        <f>SUM($S$7:S292)</f>
        <v>20595000</v>
      </c>
      <c r="V292" s="188">
        <v>1036</v>
      </c>
      <c r="W292" s="191">
        <v>50</v>
      </c>
      <c r="X292" s="188"/>
      <c r="Y292" s="188">
        <f t="shared" si="11"/>
        <v>178600</v>
      </c>
      <c r="Z292" s="194">
        <f t="shared" si="10"/>
        <v>94.7983014861996</v>
      </c>
    </row>
    <row r="293" ht="17.25" spans="2:26">
      <c r="B293" s="188">
        <v>287</v>
      </c>
      <c r="C293" s="197"/>
      <c r="D293" s="198">
        <v>120</v>
      </c>
      <c r="E293" s="188">
        <v>96</v>
      </c>
      <c r="F293" s="188">
        <v>121300</v>
      </c>
      <c r="G293" s="190">
        <v>12130</v>
      </c>
      <c r="H293" s="195">
        <v>0.008</v>
      </c>
      <c r="I293" s="188">
        <v>10416</v>
      </c>
      <c r="J293" s="191">
        <v>1382332</v>
      </c>
      <c r="K293" s="196">
        <v>122.8</v>
      </c>
      <c r="L293" s="186"/>
      <c r="M293" s="188">
        <v>287</v>
      </c>
      <c r="N293" s="188">
        <v>1304</v>
      </c>
      <c r="O293" s="191">
        <v>1062</v>
      </c>
      <c r="P293" s="191">
        <v>8</v>
      </c>
      <c r="Q293" s="188">
        <v>1892</v>
      </c>
      <c r="R293" s="189">
        <v>-0.13</v>
      </c>
      <c r="S293" s="192">
        <v>180600</v>
      </c>
      <c r="T293" s="188">
        <v>231075</v>
      </c>
      <c r="U293" s="188">
        <f>SUM($S$7:S293)</f>
        <v>20775600</v>
      </c>
      <c r="V293" s="188">
        <v>1045</v>
      </c>
      <c r="W293" s="191">
        <v>50</v>
      </c>
      <c r="X293" s="188"/>
      <c r="Y293" s="188">
        <f t="shared" si="11"/>
        <v>179400</v>
      </c>
      <c r="Z293" s="194">
        <f t="shared" si="10"/>
        <v>94.8202959830867</v>
      </c>
    </row>
    <row r="294" ht="17.25" spans="2:26">
      <c r="B294" s="188">
        <v>288</v>
      </c>
      <c r="C294" s="197"/>
      <c r="D294" s="198">
        <v>120</v>
      </c>
      <c r="E294" s="188">
        <v>96</v>
      </c>
      <c r="F294" s="188">
        <v>122260</v>
      </c>
      <c r="G294" s="190">
        <v>12226</v>
      </c>
      <c r="H294" s="195">
        <v>0.008</v>
      </c>
      <c r="I294" s="188">
        <v>10470</v>
      </c>
      <c r="J294" s="191">
        <v>1393748</v>
      </c>
      <c r="K294" s="196">
        <v>123.3333333</v>
      </c>
      <c r="L294" s="186"/>
      <c r="M294" s="188">
        <v>288</v>
      </c>
      <c r="N294" s="188">
        <v>1304</v>
      </c>
      <c r="O294" s="191">
        <v>1062</v>
      </c>
      <c r="P294" s="191">
        <v>8</v>
      </c>
      <c r="Q294" s="188">
        <v>1900</v>
      </c>
      <c r="R294" s="189">
        <v>-0.13</v>
      </c>
      <c r="S294" s="192">
        <v>181400</v>
      </c>
      <c r="T294" s="188">
        <v>232975</v>
      </c>
      <c r="U294" s="188">
        <f>SUM($S$7:S294)</f>
        <v>20957000</v>
      </c>
      <c r="V294" s="188">
        <v>1053</v>
      </c>
      <c r="W294" s="191">
        <v>50</v>
      </c>
      <c r="X294" s="188"/>
      <c r="Y294" s="188">
        <f t="shared" si="11"/>
        <v>180200</v>
      </c>
      <c r="Z294" s="194">
        <f t="shared" si="10"/>
        <v>94.8421052631579</v>
      </c>
    </row>
    <row r="295" ht="17.25" spans="2:26">
      <c r="B295" s="188">
        <v>289</v>
      </c>
      <c r="C295" s="197"/>
      <c r="D295" s="198">
        <v>120</v>
      </c>
      <c r="E295" s="188">
        <v>96</v>
      </c>
      <c r="F295" s="188">
        <v>123220</v>
      </c>
      <c r="G295" s="190">
        <v>12322</v>
      </c>
      <c r="H295" s="195">
        <v>0.007</v>
      </c>
      <c r="I295" s="188">
        <v>10494</v>
      </c>
      <c r="J295" s="191">
        <v>1401203</v>
      </c>
      <c r="K295" s="196">
        <v>123.8666667</v>
      </c>
      <c r="L295" s="186"/>
      <c r="M295" s="188">
        <v>289</v>
      </c>
      <c r="N295" s="188">
        <v>1304</v>
      </c>
      <c r="O295" s="191">
        <v>1062</v>
      </c>
      <c r="P295" s="191">
        <v>8</v>
      </c>
      <c r="Q295" s="188">
        <v>1908</v>
      </c>
      <c r="R295" s="189">
        <v>-0.13</v>
      </c>
      <c r="S295" s="192">
        <v>182200</v>
      </c>
      <c r="T295" s="188">
        <v>234883</v>
      </c>
      <c r="U295" s="188">
        <f>SUM($S$7:S295)</f>
        <v>21139200</v>
      </c>
      <c r="V295" s="188">
        <v>1062</v>
      </c>
      <c r="W295" s="191">
        <v>50</v>
      </c>
      <c r="X295" s="188"/>
      <c r="Y295" s="188">
        <f t="shared" si="11"/>
        <v>181000</v>
      </c>
      <c r="Z295" s="194">
        <f t="shared" si="10"/>
        <v>94.8637316561845</v>
      </c>
    </row>
    <row r="296" ht="17.25" spans="2:26">
      <c r="B296" s="188">
        <v>290</v>
      </c>
      <c r="C296" s="197"/>
      <c r="D296" s="198">
        <v>120</v>
      </c>
      <c r="E296" s="188">
        <v>100</v>
      </c>
      <c r="F296" s="188">
        <v>124220</v>
      </c>
      <c r="G296" s="190">
        <v>12422</v>
      </c>
      <c r="H296" s="195">
        <v>0.008</v>
      </c>
      <c r="I296" s="188">
        <v>10548</v>
      </c>
      <c r="J296" s="191">
        <v>1356273</v>
      </c>
      <c r="K296" s="196">
        <v>124.4</v>
      </c>
      <c r="L296" s="186"/>
      <c r="M296" s="188">
        <v>290</v>
      </c>
      <c r="N296" s="188">
        <v>1304</v>
      </c>
      <c r="O296" s="191">
        <v>1062</v>
      </c>
      <c r="P296" s="191">
        <v>8</v>
      </c>
      <c r="Q296" s="188">
        <v>1916</v>
      </c>
      <c r="R296" s="189">
        <v>-0.14</v>
      </c>
      <c r="S296" s="192">
        <v>183000</v>
      </c>
      <c r="T296" s="188">
        <v>236799</v>
      </c>
      <c r="U296" s="188">
        <f>SUM($S$7:S296)</f>
        <v>21322200</v>
      </c>
      <c r="V296" s="188">
        <v>1070</v>
      </c>
      <c r="W296" s="191">
        <v>50</v>
      </c>
      <c r="X296" s="188"/>
      <c r="Y296" s="188">
        <f t="shared" si="11"/>
        <v>181800</v>
      </c>
      <c r="Z296" s="194">
        <f t="shared" si="10"/>
        <v>94.8851774530271</v>
      </c>
    </row>
    <row r="297" ht="17.25" spans="2:26">
      <c r="B297" s="188">
        <v>291</v>
      </c>
      <c r="C297" s="197"/>
      <c r="D297" s="198">
        <v>120</v>
      </c>
      <c r="E297" s="188">
        <v>100</v>
      </c>
      <c r="F297" s="188">
        <v>125220</v>
      </c>
      <c r="G297" s="190">
        <v>12522</v>
      </c>
      <c r="H297" s="195">
        <v>0.008</v>
      </c>
      <c r="I297" s="188">
        <v>10602</v>
      </c>
      <c r="J297" s="191">
        <v>1367521</v>
      </c>
      <c r="K297" s="196">
        <v>124.9333333</v>
      </c>
      <c r="L297" s="186"/>
      <c r="M297" s="188">
        <v>291</v>
      </c>
      <c r="N297" s="188">
        <v>1304</v>
      </c>
      <c r="O297" s="191">
        <v>1062</v>
      </c>
      <c r="P297" s="191">
        <v>8</v>
      </c>
      <c r="Q297" s="188">
        <v>1924</v>
      </c>
      <c r="R297" s="189">
        <v>-0.14</v>
      </c>
      <c r="S297" s="192">
        <v>183800</v>
      </c>
      <c r="T297" s="188">
        <v>238723</v>
      </c>
      <c r="U297" s="188">
        <f>SUM($S$7:S297)</f>
        <v>21506000</v>
      </c>
      <c r="V297" s="188">
        <v>1079</v>
      </c>
      <c r="W297" s="191">
        <v>50</v>
      </c>
      <c r="X297" s="188"/>
      <c r="Y297" s="188">
        <f t="shared" si="11"/>
        <v>182600</v>
      </c>
      <c r="Z297" s="194">
        <f t="shared" si="10"/>
        <v>94.9064449064449</v>
      </c>
    </row>
    <row r="298" ht="17.25" spans="2:26">
      <c r="B298" s="188">
        <v>292</v>
      </c>
      <c r="C298" s="197"/>
      <c r="D298" s="198">
        <v>120</v>
      </c>
      <c r="E298" s="188">
        <v>100</v>
      </c>
      <c r="F298" s="188">
        <v>126220</v>
      </c>
      <c r="G298" s="190">
        <v>12622</v>
      </c>
      <c r="H298" s="195">
        <v>0.008</v>
      </c>
      <c r="I298" s="188">
        <v>10626</v>
      </c>
      <c r="J298" s="191">
        <v>1374930</v>
      </c>
      <c r="K298" s="196">
        <v>125.4666667</v>
      </c>
      <c r="L298" s="186"/>
      <c r="M298" s="188">
        <v>292</v>
      </c>
      <c r="N298" s="188">
        <v>1304</v>
      </c>
      <c r="O298" s="191">
        <v>1062</v>
      </c>
      <c r="P298" s="191">
        <v>8</v>
      </c>
      <c r="Q298" s="188">
        <v>1932</v>
      </c>
      <c r="R298" s="189">
        <v>-0.14</v>
      </c>
      <c r="S298" s="192">
        <v>184600</v>
      </c>
      <c r="T298" s="188">
        <v>240655</v>
      </c>
      <c r="U298" s="188">
        <f>SUM($S$7:S298)</f>
        <v>21690600</v>
      </c>
      <c r="V298" s="188">
        <v>1088</v>
      </c>
      <c r="W298" s="191">
        <v>50</v>
      </c>
      <c r="X298" s="188"/>
      <c r="Y298" s="188">
        <f t="shared" si="11"/>
        <v>183400</v>
      </c>
      <c r="Z298" s="194">
        <f t="shared" si="10"/>
        <v>94.9275362318841</v>
      </c>
    </row>
    <row r="299" ht="17.25" spans="2:26">
      <c r="B299" s="188">
        <v>293</v>
      </c>
      <c r="C299" s="197"/>
      <c r="D299" s="198">
        <v>120</v>
      </c>
      <c r="E299" s="188">
        <v>100</v>
      </c>
      <c r="F299" s="188">
        <v>127220</v>
      </c>
      <c r="G299" s="190">
        <v>12722</v>
      </c>
      <c r="H299" s="195">
        <v>0.008</v>
      </c>
      <c r="I299" s="188">
        <v>10680</v>
      </c>
      <c r="J299" s="191">
        <v>1386253</v>
      </c>
      <c r="K299" s="196">
        <v>126</v>
      </c>
      <c r="L299" s="186"/>
      <c r="M299" s="188">
        <v>293</v>
      </c>
      <c r="N299" s="188">
        <v>1304</v>
      </c>
      <c r="O299" s="191">
        <v>1062</v>
      </c>
      <c r="P299" s="191">
        <v>8</v>
      </c>
      <c r="Q299" s="188">
        <v>1940</v>
      </c>
      <c r="R299" s="189">
        <v>-0.15</v>
      </c>
      <c r="S299" s="192">
        <v>185400</v>
      </c>
      <c r="T299" s="188">
        <v>242595</v>
      </c>
      <c r="U299" s="188">
        <f>SUM($S$7:S299)</f>
        <v>21876000</v>
      </c>
      <c r="V299" s="188">
        <v>1097</v>
      </c>
      <c r="W299" s="191">
        <v>50</v>
      </c>
      <c r="X299" s="188"/>
      <c r="Y299" s="188">
        <f t="shared" si="11"/>
        <v>184200</v>
      </c>
      <c r="Z299" s="194">
        <f t="shared" si="10"/>
        <v>94.9484536082474</v>
      </c>
    </row>
    <row r="300" ht="17.25" spans="2:26">
      <c r="B300" s="188">
        <v>294</v>
      </c>
      <c r="C300" s="197"/>
      <c r="D300" s="198">
        <v>120</v>
      </c>
      <c r="E300" s="188">
        <v>100</v>
      </c>
      <c r="F300" s="188">
        <v>128220</v>
      </c>
      <c r="G300" s="190">
        <v>12822</v>
      </c>
      <c r="H300" s="195">
        <v>0.008</v>
      </c>
      <c r="I300" s="188">
        <v>10734</v>
      </c>
      <c r="J300" s="191">
        <v>1397619</v>
      </c>
      <c r="K300" s="196">
        <v>126.5333333</v>
      </c>
      <c r="L300" s="186"/>
      <c r="M300" s="188">
        <v>294</v>
      </c>
      <c r="N300" s="188">
        <v>1304</v>
      </c>
      <c r="O300" s="191">
        <v>1062</v>
      </c>
      <c r="P300" s="191">
        <v>8</v>
      </c>
      <c r="Q300" s="188">
        <v>1948</v>
      </c>
      <c r="R300" s="189">
        <v>-0.15</v>
      </c>
      <c r="S300" s="192">
        <v>186200</v>
      </c>
      <c r="T300" s="188">
        <v>244543</v>
      </c>
      <c r="U300" s="188">
        <f>SUM($S$7:S300)</f>
        <v>22062200</v>
      </c>
      <c r="V300" s="188">
        <v>1105</v>
      </c>
      <c r="W300" s="191">
        <v>50</v>
      </c>
      <c r="X300" s="188"/>
      <c r="Y300" s="188">
        <f t="shared" si="11"/>
        <v>185000</v>
      </c>
      <c r="Z300" s="194">
        <f t="shared" si="10"/>
        <v>94.9691991786448</v>
      </c>
    </row>
    <row r="301" ht="17.25" spans="2:26">
      <c r="B301" s="188">
        <v>295</v>
      </c>
      <c r="C301" s="197"/>
      <c r="D301" s="198">
        <v>125</v>
      </c>
      <c r="E301" s="188">
        <v>100</v>
      </c>
      <c r="F301" s="188">
        <v>129220</v>
      </c>
      <c r="G301" s="190">
        <v>12922</v>
      </c>
      <c r="H301" s="195">
        <v>0.008</v>
      </c>
      <c r="I301" s="188">
        <v>10758</v>
      </c>
      <c r="J301" s="191">
        <v>1405112</v>
      </c>
      <c r="K301" s="196">
        <v>121.984</v>
      </c>
      <c r="L301" s="186"/>
      <c r="M301" s="188">
        <v>295</v>
      </c>
      <c r="N301" s="188">
        <v>1304</v>
      </c>
      <c r="O301" s="191">
        <v>1062</v>
      </c>
      <c r="P301" s="191">
        <v>8</v>
      </c>
      <c r="Q301" s="188">
        <v>1956</v>
      </c>
      <c r="R301" s="189">
        <v>-0.15</v>
      </c>
      <c r="S301" s="192">
        <v>187000</v>
      </c>
      <c r="T301" s="188">
        <v>246499</v>
      </c>
      <c r="U301" s="188">
        <f>SUM($S$7:S301)</f>
        <v>22249200</v>
      </c>
      <c r="V301" s="188">
        <v>1114</v>
      </c>
      <c r="W301" s="191">
        <v>50</v>
      </c>
      <c r="X301" s="188"/>
      <c r="Y301" s="188">
        <f t="shared" si="11"/>
        <v>185800</v>
      </c>
      <c r="Z301" s="194">
        <f t="shared" si="10"/>
        <v>94.9897750511247</v>
      </c>
    </row>
    <row r="302" ht="17.25" spans="2:26">
      <c r="B302" s="188">
        <v>296</v>
      </c>
      <c r="C302" s="197"/>
      <c r="D302" s="198">
        <v>125</v>
      </c>
      <c r="E302" s="188">
        <v>100</v>
      </c>
      <c r="F302" s="188">
        <v>130220</v>
      </c>
      <c r="G302" s="190">
        <v>13022</v>
      </c>
      <c r="H302" s="195">
        <v>0.008</v>
      </c>
      <c r="I302" s="188">
        <v>10812</v>
      </c>
      <c r="J302" s="191">
        <v>1416554</v>
      </c>
      <c r="K302" s="196">
        <v>122.496</v>
      </c>
      <c r="L302" s="186"/>
      <c r="M302" s="188">
        <v>296</v>
      </c>
      <c r="N302" s="188">
        <v>1304</v>
      </c>
      <c r="O302" s="191">
        <v>1062</v>
      </c>
      <c r="P302" s="191">
        <v>8</v>
      </c>
      <c r="Q302" s="188">
        <v>1964</v>
      </c>
      <c r="R302" s="189">
        <v>-0.16</v>
      </c>
      <c r="S302" s="192">
        <v>187800</v>
      </c>
      <c r="T302" s="188">
        <v>248463</v>
      </c>
      <c r="U302" s="188">
        <f>SUM($S$7:S302)</f>
        <v>22437000</v>
      </c>
      <c r="V302" s="188">
        <v>1123</v>
      </c>
      <c r="W302" s="191">
        <v>50</v>
      </c>
      <c r="X302" s="188"/>
      <c r="Y302" s="188">
        <f t="shared" si="11"/>
        <v>186600</v>
      </c>
      <c r="Z302" s="194">
        <f t="shared" si="10"/>
        <v>95.010183299389</v>
      </c>
    </row>
    <row r="303" ht="17.25" spans="2:26">
      <c r="B303" s="188">
        <v>297</v>
      </c>
      <c r="C303" s="197"/>
      <c r="D303" s="198">
        <v>125</v>
      </c>
      <c r="E303" s="188">
        <v>100</v>
      </c>
      <c r="F303" s="188">
        <v>131220</v>
      </c>
      <c r="G303" s="190">
        <v>13122</v>
      </c>
      <c r="H303" s="195">
        <v>0.008</v>
      </c>
      <c r="I303" s="188">
        <v>10866</v>
      </c>
      <c r="J303" s="191">
        <v>1428040</v>
      </c>
      <c r="K303" s="196">
        <v>123.008</v>
      </c>
      <c r="L303" s="186"/>
      <c r="M303" s="188">
        <v>297</v>
      </c>
      <c r="N303" s="188">
        <v>1304</v>
      </c>
      <c r="O303" s="191">
        <v>1062</v>
      </c>
      <c r="P303" s="191">
        <v>8</v>
      </c>
      <c r="Q303" s="188">
        <v>1972</v>
      </c>
      <c r="R303" s="189">
        <v>-0.16</v>
      </c>
      <c r="S303" s="192">
        <v>188600</v>
      </c>
      <c r="T303" s="188">
        <v>250435</v>
      </c>
      <c r="U303" s="188">
        <f>SUM($S$7:S303)</f>
        <v>22625600</v>
      </c>
      <c r="V303" s="188">
        <v>1132</v>
      </c>
      <c r="W303" s="191">
        <v>50</v>
      </c>
      <c r="X303" s="188"/>
      <c r="Y303" s="188">
        <f t="shared" si="11"/>
        <v>187400</v>
      </c>
      <c r="Z303" s="194">
        <f t="shared" si="10"/>
        <v>95.0304259634888</v>
      </c>
    </row>
    <row r="304" ht="17.25" spans="2:26">
      <c r="B304" s="188">
        <v>298</v>
      </c>
      <c r="C304" s="197"/>
      <c r="D304" s="198">
        <v>125</v>
      </c>
      <c r="E304" s="188">
        <v>100</v>
      </c>
      <c r="F304" s="188">
        <v>132220</v>
      </c>
      <c r="G304" s="190">
        <v>13222</v>
      </c>
      <c r="H304" s="195">
        <v>0.008</v>
      </c>
      <c r="I304" s="188">
        <v>10890</v>
      </c>
      <c r="J304" s="191">
        <v>1435615</v>
      </c>
      <c r="K304" s="196">
        <v>123.52</v>
      </c>
      <c r="L304" s="186"/>
      <c r="M304" s="188">
        <v>298</v>
      </c>
      <c r="N304" s="188">
        <v>1304</v>
      </c>
      <c r="O304" s="191">
        <v>1062</v>
      </c>
      <c r="P304" s="191">
        <v>8</v>
      </c>
      <c r="Q304" s="188">
        <v>1980</v>
      </c>
      <c r="R304" s="189">
        <v>-0.16</v>
      </c>
      <c r="S304" s="192">
        <v>189400</v>
      </c>
      <c r="T304" s="188">
        <v>252415</v>
      </c>
      <c r="U304" s="188">
        <f>SUM($S$7:S304)</f>
        <v>22815000</v>
      </c>
      <c r="V304" s="188">
        <v>1141</v>
      </c>
      <c r="W304" s="191">
        <v>50</v>
      </c>
      <c r="X304" s="188"/>
      <c r="Y304" s="188">
        <f t="shared" si="11"/>
        <v>188200</v>
      </c>
      <c r="Z304" s="194">
        <f t="shared" si="10"/>
        <v>95.0505050505051</v>
      </c>
    </row>
    <row r="305" ht="17.25" spans="2:26">
      <c r="B305" s="188">
        <v>299</v>
      </c>
      <c r="C305" s="197"/>
      <c r="D305" s="198">
        <v>125</v>
      </c>
      <c r="E305" s="188">
        <v>100</v>
      </c>
      <c r="F305" s="188">
        <v>133220</v>
      </c>
      <c r="G305" s="190">
        <v>13322</v>
      </c>
      <c r="H305" s="195">
        <v>0.008</v>
      </c>
      <c r="I305" s="188">
        <v>10944</v>
      </c>
      <c r="J305" s="191">
        <v>1447176</v>
      </c>
      <c r="K305" s="196">
        <v>124.032</v>
      </c>
      <c r="L305" s="186"/>
      <c r="M305" s="188">
        <v>299</v>
      </c>
      <c r="N305" s="188">
        <v>1304</v>
      </c>
      <c r="O305" s="191">
        <v>1062</v>
      </c>
      <c r="P305" s="191">
        <v>8</v>
      </c>
      <c r="Q305" s="188">
        <v>1988</v>
      </c>
      <c r="R305" s="189">
        <v>-0.17</v>
      </c>
      <c r="S305" s="192">
        <v>190200</v>
      </c>
      <c r="T305" s="188">
        <v>254403</v>
      </c>
      <c r="U305" s="188">
        <f>SUM($S$7:S305)</f>
        <v>23005200</v>
      </c>
      <c r="V305" s="188">
        <v>1150</v>
      </c>
      <c r="W305" s="191">
        <v>50</v>
      </c>
      <c r="X305" s="188"/>
      <c r="Y305" s="188">
        <f t="shared" si="11"/>
        <v>189000</v>
      </c>
      <c r="Z305" s="194">
        <f t="shared" si="10"/>
        <v>95.0704225352113</v>
      </c>
    </row>
    <row r="306" ht="17.25" spans="2:26">
      <c r="B306" s="188">
        <v>300</v>
      </c>
      <c r="C306" s="197"/>
      <c r="D306" s="198">
        <v>125</v>
      </c>
      <c r="E306" s="188">
        <v>100</v>
      </c>
      <c r="F306" s="188">
        <v>134220</v>
      </c>
      <c r="G306" s="190">
        <v>13422</v>
      </c>
      <c r="H306" s="195">
        <v>0.008</v>
      </c>
      <c r="I306" s="188">
        <v>10998</v>
      </c>
      <c r="J306" s="191">
        <v>1458782</v>
      </c>
      <c r="K306" s="196">
        <v>124.544</v>
      </c>
      <c r="L306" s="186"/>
      <c r="M306" s="188">
        <v>300</v>
      </c>
      <c r="N306" s="188">
        <v>1304</v>
      </c>
      <c r="O306" s="191">
        <v>1062</v>
      </c>
      <c r="P306" s="191">
        <v>8</v>
      </c>
      <c r="Q306" s="188">
        <v>1996</v>
      </c>
      <c r="R306" s="189">
        <v>-0.17</v>
      </c>
      <c r="S306" s="192">
        <v>191000</v>
      </c>
      <c r="T306" s="188">
        <v>256399</v>
      </c>
      <c r="U306" s="188">
        <f>SUM($S$7:S306)</f>
        <v>23196200</v>
      </c>
      <c r="V306" s="188">
        <v>1159</v>
      </c>
      <c r="W306" s="191">
        <v>50</v>
      </c>
      <c r="X306" s="188"/>
      <c r="Y306" s="188">
        <f t="shared" si="11"/>
        <v>189800</v>
      </c>
      <c r="Z306" s="194">
        <f t="shared" si="10"/>
        <v>95.0901803607214</v>
      </c>
    </row>
  </sheetData>
  <mergeCells count="1">
    <mergeCell ref="P5:Q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theme="5"/>
  </sheetPr>
  <dimension ref="A1:AA379"/>
  <sheetViews>
    <sheetView workbookViewId="0">
      <selection activeCell="AG65" sqref="AG65"/>
    </sheetView>
  </sheetViews>
  <sheetFormatPr defaultColWidth="9" defaultRowHeight="16.5"/>
  <cols>
    <col min="1" max="2" width="9" style="132"/>
    <col min="3" max="3" width="9.375" style="132" customWidth="1"/>
    <col min="4" max="4" width="9.25" style="132"/>
    <col min="5" max="5" width="14.125" style="132"/>
    <col min="6" max="6" width="10.625" style="132" customWidth="1"/>
    <col min="7" max="12" width="9" style="132"/>
    <col min="13" max="13" width="9.125" style="132"/>
    <col min="14" max="15" width="9" style="132"/>
    <col min="16" max="16" width="9.125" style="132"/>
    <col min="17" max="17" width="9.25" style="132" customWidth="1"/>
    <col min="18" max="18" width="9.125" style="132"/>
    <col min="19" max="19" width="10.375" style="132" customWidth="1"/>
    <col min="20" max="27" width="9" style="132"/>
  </cols>
  <sheetData>
    <row r="1" spans="1:20">
      <c r="A1" s="83"/>
      <c r="B1" s="80"/>
      <c r="C1" s="80"/>
      <c r="D1" s="80"/>
      <c r="E1" s="80"/>
    </row>
    <row r="2" spans="1:20">
      <c r="A2" s="171"/>
      <c r="B2" s="80" t="s">
        <v>14</v>
      </c>
      <c r="C2" s="80">
        <v>60</v>
      </c>
      <c r="D2" s="80"/>
      <c r="E2" s="80"/>
    </row>
    <row r="3" spans="1:20">
      <c r="A3" s="171"/>
      <c r="B3" s="80" t="s">
        <v>15</v>
      </c>
      <c r="C3" s="172">
        <f ca="1">SUM(C7:C9)*5</f>
        <v>12011.25</v>
      </c>
      <c r="D3" s="80"/>
      <c r="E3" s="80"/>
    </row>
    <row r="4" spans="1:20">
      <c r="A4" s="171"/>
      <c r="B4" s="80"/>
      <c r="C4" s="172"/>
      <c r="D4" s="83"/>
      <c r="E4" s="80"/>
    </row>
    <row r="5" spans="1:20">
      <c r="A5" s="171"/>
      <c r="B5" s="80"/>
      <c r="C5" s="80"/>
      <c r="D5" s="80"/>
      <c r="E5" s="80"/>
    </row>
    <row r="6" spans="1:20">
      <c r="A6" s="171"/>
      <c r="B6" s="80" t="s">
        <v>16</v>
      </c>
      <c r="C6" s="80" t="s">
        <v>17</v>
      </c>
      <c r="D6" s="80" t="s">
        <v>18</v>
      </c>
      <c r="E6" s="80" t="s">
        <v>19</v>
      </c>
      <c r="F6" s="80" t="s">
        <v>100</v>
      </c>
    </row>
    <row r="7" spans="1:20">
      <c r="A7" s="171"/>
      <c r="B7" s="173" t="s">
        <v>72</v>
      </c>
      <c r="C7" s="80">
        <f ca="1">IF(D7="每日",SUMIF($B$20:$B$319,"&lt;="&amp;$C$2,OFFSET($C$20:$C$319,0,MATCH($B7,$D$19:$I$19,0))),SUMIF($B$20:$B$319,"="&amp;$C$2,OFFSET($C$20:$C$319,0,MATCH($B7,$D$19:$I$19,0))))</f>
        <v>464.249999999999</v>
      </c>
      <c r="D7" s="80" t="s">
        <v>31</v>
      </c>
      <c r="E7" s="174">
        <f ca="1">C7/SUM($C$7:$C$11)</f>
        <v>0.166621803499327</v>
      </c>
      <c r="F7" s="80">
        <f ca="1">C7*1.5</f>
        <v>696.374999999999</v>
      </c>
      <c r="G7" s="142" t="s">
        <v>101</v>
      </c>
    </row>
    <row r="8" spans="1:20">
      <c r="A8" s="171"/>
      <c r="B8" s="173" t="s">
        <v>39</v>
      </c>
      <c r="C8" s="80">
        <f ca="1">IF(D8="每日",SUMIF($B$20:$B$319,"&lt;="&amp;$C$2,OFFSET($C$20:$C$319,0,MATCH($B8,$D$19:$I$19,0))),SUMIF($B$20:$B$319,"="&amp;$C$2,OFFSET($C$20:$C$319,0,MATCH($B8,$D$19:$I$19,0))))</f>
        <v>720</v>
      </c>
      <c r="D8" s="80" t="s">
        <v>24</v>
      </c>
      <c r="E8" s="174">
        <f ca="1">C8/SUM($C$7:$C$11)</f>
        <v>0.258411843876178</v>
      </c>
      <c r="F8" s="80">
        <f ca="1">C8*1.5</f>
        <v>1080</v>
      </c>
    </row>
    <row r="9" spans="1:20">
      <c r="A9" s="171"/>
      <c r="B9" s="173" t="s">
        <v>62</v>
      </c>
      <c r="C9" s="80">
        <f ca="1">IF(D9="每日",SUMIF($B$20:$B$319,"&lt;="&amp;$C$2,OFFSET($C$20:$C$319,0,MATCH($B9,$D$19:$I$19,0))),SUMIF($B$20:$B$319,"="&amp;$C$2,OFFSET($C$20:$C$319,0,MATCH($B9,$D$19:$I$19,0))))</f>
        <v>1218</v>
      </c>
      <c r="D9" s="80" t="s">
        <v>24</v>
      </c>
      <c r="E9" s="174">
        <f ca="1">C9/SUM($C$7:$C$11)</f>
        <v>0.437146702557201</v>
      </c>
      <c r="F9" s="80"/>
      <c r="G9" s="142" t="s">
        <v>102</v>
      </c>
    </row>
    <row r="10" spans="1:20">
      <c r="A10" s="171"/>
      <c r="B10" s="173" t="s">
        <v>35</v>
      </c>
      <c r="C10" s="80">
        <f ca="1">IF(D10="每日",SUMIF($B$20:$B$319,"&lt;="&amp;$C$2,OFFSET($C$20:$C$319,0,MATCH($B10,$D$19:$I$19,0))),SUMIF($B$20:$B$319,"="&amp;$C$2,OFFSET($C$20:$C$319,0,MATCH($B10,$D$19:$I$19,0))))</f>
        <v>0</v>
      </c>
      <c r="D10" s="80" t="s">
        <v>24</v>
      </c>
      <c r="E10" s="174">
        <f ca="1">C10/SUM($C$7:$C$11)</f>
        <v>0</v>
      </c>
      <c r="F10" s="80"/>
      <c r="G10" s="142" t="s">
        <v>102</v>
      </c>
    </row>
    <row r="11" spans="1:20">
      <c r="A11" s="171"/>
      <c r="B11" s="173" t="s">
        <v>103</v>
      </c>
      <c r="C11" s="80">
        <f ca="1">IF(D11="每日",SUMIF($B$20:$B$319,"&lt;="&amp;$C$2,OFFSET($C$20:$C$319,0,MATCH($B11,$D$19:$I$19,0))),SUMIF($B$20:$B$319,"="&amp;$C$2,OFFSET($C$20:$C$319,0,MATCH($B11,$D$19:$I$19,0))))</f>
        <v>384</v>
      </c>
      <c r="D11" s="80" t="s">
        <v>24</v>
      </c>
      <c r="E11" s="174">
        <f ca="1">C11/SUM($C$7:$C$11)</f>
        <v>0.137819650067295</v>
      </c>
      <c r="G11" s="142" t="s">
        <v>102</v>
      </c>
    </row>
    <row r="12" spans="1:20">
      <c r="A12" s="171"/>
      <c r="B12" s="80" t="s">
        <v>104</v>
      </c>
      <c r="C12" s="83">
        <f ca="1">SUM(C7:C11)/60*10/60</f>
        <v>7.73958333333333</v>
      </c>
      <c r="D12" s="80"/>
      <c r="E12" s="174"/>
    </row>
    <row r="13" spans="1:20">
      <c r="A13" s="171"/>
      <c r="B13" s="80"/>
      <c r="C13" s="80"/>
      <c r="D13" s="80"/>
      <c r="E13" s="174"/>
    </row>
    <row r="14" spans="1:20">
      <c r="A14" s="171"/>
      <c r="B14" s="80"/>
      <c r="C14" s="80"/>
      <c r="D14" s="80"/>
      <c r="E14" s="174"/>
      <c r="T14" s="133">
        <v>20</v>
      </c>
    </row>
    <row r="15" spans="1:20">
      <c r="A15" s="171"/>
      <c r="B15" s="80"/>
      <c r="C15" s="80"/>
      <c r="D15" s="80"/>
      <c r="E15" s="174"/>
    </row>
    <row r="16" ht="18" spans="1:20">
      <c r="A16" s="171"/>
      <c r="B16" s="80"/>
      <c r="C16" s="80"/>
      <c r="D16" s="80"/>
      <c r="E16" s="174"/>
      <c r="Q16" s="175" t="s">
        <v>105</v>
      </c>
    </row>
    <row r="17" spans="1:27">
      <c r="A17" s="171"/>
      <c r="B17" s="80"/>
      <c r="E17" s="80"/>
      <c r="Q17" s="133">
        <f>30*60</f>
        <v>1800</v>
      </c>
    </row>
    <row r="18" spans="1:27">
      <c r="A18" s="171"/>
      <c r="B18" s="80" t="s">
        <v>106</v>
      </c>
      <c r="C18" s="80">
        <f>MATCH($B$18,产销汇总!$D$1:$G$1,0)</f>
        <v>3</v>
      </c>
      <c r="D18" s="80"/>
      <c r="E18" s="98" t="s">
        <v>107</v>
      </c>
    </row>
    <row r="19" ht="18" spans="1:27">
      <c r="A19" s="171"/>
      <c r="B19" s="80" t="s">
        <v>21</v>
      </c>
      <c r="C19" s="80" t="s">
        <v>52</v>
      </c>
      <c r="D19" s="173" t="s">
        <v>72</v>
      </c>
      <c r="E19" s="173" t="s">
        <v>39</v>
      </c>
      <c r="F19" s="173" t="s">
        <v>62</v>
      </c>
      <c r="G19" s="173" t="s">
        <v>35</v>
      </c>
      <c r="H19" s="173" t="s">
        <v>103</v>
      </c>
      <c r="L19" s="175" t="s">
        <v>108</v>
      </c>
      <c r="M19" s="175" t="s">
        <v>109</v>
      </c>
      <c r="N19" s="175"/>
      <c r="O19" s="175" t="s">
        <v>96</v>
      </c>
      <c r="P19" s="175" t="s">
        <v>110</v>
      </c>
      <c r="Q19" s="175" t="s">
        <v>111</v>
      </c>
      <c r="R19" s="175" t="s">
        <v>112</v>
      </c>
      <c r="S19" s="175" t="s">
        <v>113</v>
      </c>
      <c r="T19" s="176" t="s">
        <v>114</v>
      </c>
      <c r="U19" s="175" t="s">
        <v>115</v>
      </c>
      <c r="W19" s="177" t="s">
        <v>21</v>
      </c>
      <c r="X19" s="177" t="s">
        <v>116</v>
      </c>
      <c r="Y19" s="177" t="s">
        <v>117</v>
      </c>
      <c r="Z19" s="177" t="s">
        <v>117</v>
      </c>
      <c r="AA19" s="177" t="s">
        <v>53</v>
      </c>
    </row>
    <row r="20" ht="18" spans="1:27">
      <c r="A20" s="171"/>
      <c r="B20" s="80">
        <v>1</v>
      </c>
      <c r="C20" s="80">
        <f ca="1">OFFSET(产销汇总!$C$12,$B20,$C$18)</f>
        <v>20</v>
      </c>
      <c r="D20" s="80">
        <f ca="1" t="shared" ref="D20:D83" si="0">(C20-5)*5</f>
        <v>75</v>
      </c>
      <c r="E20" s="80">
        <f ca="1">OFFSET(产销汇总!$C$1,MATCH(E$19,产销汇总!$C$2:$C$9,0),$C$18)*2</f>
        <v>12</v>
      </c>
      <c r="F20" s="80"/>
      <c r="G20" s="178">
        <v>0</v>
      </c>
      <c r="H20" s="80">
        <f t="shared" ref="H20:H83" si="1">ROUND(5+10/7,1)</f>
        <v>6.4</v>
      </c>
      <c r="K20" s="132">
        <f t="shared" ref="K20:K83" si="2">CEILING(R20,300)</f>
        <v>300</v>
      </c>
      <c r="L20" s="179">
        <v>1</v>
      </c>
      <c r="M20" s="180">
        <v>0</v>
      </c>
      <c r="N20" s="181" t="s">
        <v>118</v>
      </c>
      <c r="O20" s="181" t="s">
        <v>118</v>
      </c>
      <c r="P20" s="180">
        <v>4</v>
      </c>
      <c r="Q20" s="180"/>
      <c r="R20" s="180">
        <f>P20*(1-Q20)</f>
        <v>4</v>
      </c>
      <c r="S20" s="182">
        <f ca="1">U20-SUM($P$20:P20)/86400/(24+$C$12)*24</f>
        <v>0.999964992889181</v>
      </c>
      <c r="T20" s="179">
        <f>MAX(R20-30*60-300,0)</f>
        <v>0</v>
      </c>
      <c r="U20" s="179">
        <f ca="1" t="shared" ref="U20:U83" si="3">IFERROR(MATCH(M20,$AA$20:$AA$319,1)+1,1)</f>
        <v>1</v>
      </c>
      <c r="W20" s="183">
        <v>1</v>
      </c>
      <c r="X20" s="183">
        <f ca="1" t="shared" ref="X20:X83" si="4">(C20-10)*30</f>
        <v>300</v>
      </c>
      <c r="Y20" s="183">
        <f ca="1">OFFSET(产销汇总!$C$1,MATCH("体力消耗",产销汇总!$C$2:$C$8,0),$C$18)/10*5*W20</f>
        <v>210</v>
      </c>
      <c r="Z20" s="183">
        <v>0</v>
      </c>
      <c r="AA20" s="183">
        <f ca="1" t="shared" ref="AA20:AA83" si="5">SUM(X20:Z20)</f>
        <v>510</v>
      </c>
    </row>
    <row r="21" ht="18" spans="1:27">
      <c r="A21" s="171"/>
      <c r="B21" s="80">
        <v>2</v>
      </c>
      <c r="C21" s="80">
        <f ca="1">OFFSET(产销汇总!$C$12,$B21,$C$18)</f>
        <v>25</v>
      </c>
      <c r="D21" s="80">
        <f ca="1" t="shared" si="0"/>
        <v>100</v>
      </c>
      <c r="E21" s="80">
        <f ca="1">OFFSET(产销汇总!$C$1,MATCH(E$19,产销汇总!$C$2:$C$9,0),$C$18)*2</f>
        <v>12</v>
      </c>
      <c r="F21" s="80"/>
      <c r="G21" s="80">
        <f t="shared" ref="G21:G84" si="6">G20</f>
        <v>0</v>
      </c>
      <c r="H21" s="80">
        <f t="shared" si="1"/>
        <v>6.4</v>
      </c>
      <c r="K21" s="132">
        <f t="shared" si="2"/>
        <v>300</v>
      </c>
      <c r="L21" s="184">
        <v>2</v>
      </c>
      <c r="M21" s="180">
        <f>SUM($N$20:N21)</f>
        <v>5</v>
      </c>
      <c r="N21" s="180">
        <v>5</v>
      </c>
      <c r="O21" s="180">
        <v>100</v>
      </c>
      <c r="P21" s="180">
        <v>30</v>
      </c>
      <c r="Q21" s="180"/>
      <c r="R21" s="180">
        <f>CEILING(P21*(1-Q21),2)</f>
        <v>30</v>
      </c>
      <c r="S21" s="182">
        <f ca="1">U21-SUM($P$20:P21)/86400/(24+$C$12)*24</f>
        <v>0.999702439558035</v>
      </c>
      <c r="T21" s="179">
        <f t="shared" ref="T21:T84" si="7">MAX(R21-30*60,0)</f>
        <v>0</v>
      </c>
      <c r="U21" s="179">
        <f ca="1" t="shared" si="3"/>
        <v>1</v>
      </c>
      <c r="W21" s="183">
        <v>2</v>
      </c>
      <c r="X21" s="183">
        <f ca="1" t="shared" si="4"/>
        <v>450</v>
      </c>
      <c r="Y21" s="183">
        <f ca="1">OFFSET(产销汇总!$C$1,MATCH("体力消耗",产销汇总!$C$2:$C$8,0),$C$18)/10*5*W21</f>
        <v>420</v>
      </c>
      <c r="Z21" s="183">
        <f t="shared" ref="Z21:Z84" si="8">$Z$20*W21</f>
        <v>0</v>
      </c>
      <c r="AA21" s="183">
        <f ca="1" t="shared" si="5"/>
        <v>870</v>
      </c>
    </row>
    <row r="22" ht="18" spans="1:27">
      <c r="A22" s="171"/>
      <c r="B22" s="80">
        <v>3</v>
      </c>
      <c r="C22" s="80">
        <f ca="1">OFFSET(产销汇总!$C$12,$B22,$C$18)</f>
        <v>30</v>
      </c>
      <c r="D22" s="80">
        <f ca="1" t="shared" si="0"/>
        <v>125</v>
      </c>
      <c r="E22" s="80">
        <f ca="1">OFFSET(产销汇总!$C$1,MATCH(E$19,产销汇总!$C$2:$C$9,0),$C$18)*2</f>
        <v>12</v>
      </c>
      <c r="F22" s="80">
        <f t="shared" ref="F22:F85" si="9">INT(13+10/7)*1.5</f>
        <v>21</v>
      </c>
      <c r="G22" s="80">
        <f t="shared" si="6"/>
        <v>0</v>
      </c>
      <c r="H22" s="80">
        <f t="shared" si="1"/>
        <v>6.4</v>
      </c>
      <c r="K22" s="132">
        <f t="shared" si="2"/>
        <v>300</v>
      </c>
      <c r="L22" s="184">
        <v>3</v>
      </c>
      <c r="M22" s="180">
        <f>SUM($N$20:N22)</f>
        <v>12</v>
      </c>
      <c r="N22" s="180">
        <v>7</v>
      </c>
      <c r="O22" s="180">
        <v>160</v>
      </c>
      <c r="P22" s="180">
        <v>180</v>
      </c>
      <c r="Q22" s="180"/>
      <c r="R22" s="180">
        <f>CEILING(P22*(1-Q22),2)</f>
        <v>180</v>
      </c>
      <c r="S22" s="182">
        <f ca="1">U22-SUM($P$20:P22)/86400/(24+$C$12)*24</f>
        <v>0.998127119571163</v>
      </c>
      <c r="T22" s="179">
        <f t="shared" si="7"/>
        <v>0</v>
      </c>
      <c r="U22" s="179">
        <f ca="1" t="shared" si="3"/>
        <v>1</v>
      </c>
      <c r="W22" s="183">
        <v>3</v>
      </c>
      <c r="X22" s="183">
        <f ca="1" t="shared" si="4"/>
        <v>600</v>
      </c>
      <c r="Y22" s="183">
        <f ca="1">OFFSET(产销汇总!$C$1,MATCH("体力消耗",产销汇总!$C$2:$C$8,0),$C$18)/10*5*W22</f>
        <v>630</v>
      </c>
      <c r="Z22" s="183">
        <f t="shared" si="8"/>
        <v>0</v>
      </c>
      <c r="AA22" s="183">
        <f ca="1" t="shared" si="5"/>
        <v>1230</v>
      </c>
    </row>
    <row r="23" ht="18" spans="1:27">
      <c r="A23" s="171"/>
      <c r="B23" s="80">
        <v>4</v>
      </c>
      <c r="C23" s="80">
        <f ca="1">OFFSET(产销汇总!$C$12,$B23,$C$18)</f>
        <v>35</v>
      </c>
      <c r="D23" s="80">
        <f ca="1" t="shared" si="0"/>
        <v>150</v>
      </c>
      <c r="E23" s="80">
        <f ca="1">OFFSET(产销汇总!$C$1,MATCH(E$19,产销汇总!$C$2:$C$9,0),$C$18)*2</f>
        <v>12</v>
      </c>
      <c r="F23" s="80">
        <f t="shared" si="9"/>
        <v>21</v>
      </c>
      <c r="G23" s="80">
        <f t="shared" si="6"/>
        <v>0</v>
      </c>
      <c r="H23" s="80">
        <f t="shared" si="1"/>
        <v>6.4</v>
      </c>
      <c r="K23" s="132">
        <f t="shared" si="2"/>
        <v>300</v>
      </c>
      <c r="L23" s="184">
        <v>4</v>
      </c>
      <c r="M23" s="180">
        <f>SUM($N$20:N23)</f>
        <v>22</v>
      </c>
      <c r="N23" s="180">
        <v>10</v>
      </c>
      <c r="O23" s="180">
        <v>230</v>
      </c>
      <c r="P23" s="180">
        <v>600</v>
      </c>
      <c r="Q23" s="180"/>
      <c r="R23" s="180">
        <v>300</v>
      </c>
      <c r="S23" s="182">
        <f ca="1">U23-SUM($P$20:P23)/86400/(24+$C$12)*24</f>
        <v>0.992876052948255</v>
      </c>
      <c r="T23" s="179">
        <f t="shared" si="7"/>
        <v>0</v>
      </c>
      <c r="U23" s="179">
        <f ca="1" t="shared" si="3"/>
        <v>1</v>
      </c>
      <c r="W23" s="183">
        <v>4</v>
      </c>
      <c r="X23" s="183">
        <f ca="1" t="shared" si="4"/>
        <v>750</v>
      </c>
      <c r="Y23" s="183">
        <f ca="1">OFFSET(产销汇总!$C$1,MATCH("体力消耗",产销汇总!$C$2:$C$8,0),$C$18)/10*5*W23</f>
        <v>840</v>
      </c>
      <c r="Z23" s="183">
        <f t="shared" si="8"/>
        <v>0</v>
      </c>
      <c r="AA23" s="183">
        <f ca="1" t="shared" si="5"/>
        <v>1590</v>
      </c>
    </row>
    <row r="24" ht="18" spans="1:27">
      <c r="A24" s="171"/>
      <c r="B24" s="80">
        <v>5</v>
      </c>
      <c r="C24" s="80">
        <f ca="1">OFFSET(产销汇总!$C$12,$B24,$C$18)</f>
        <v>40</v>
      </c>
      <c r="D24" s="80">
        <f ca="1" t="shared" si="0"/>
        <v>175</v>
      </c>
      <c r="E24" s="80">
        <f ca="1">OFFSET(产销汇总!$C$1,MATCH(E$19,产销汇总!$C$2:$C$9,0),$C$18)*2</f>
        <v>12</v>
      </c>
      <c r="F24" s="80">
        <f t="shared" si="9"/>
        <v>21</v>
      </c>
      <c r="G24" s="80">
        <f t="shared" si="6"/>
        <v>0</v>
      </c>
      <c r="H24" s="80">
        <f t="shared" si="1"/>
        <v>6.4</v>
      </c>
      <c r="K24" s="132">
        <f t="shared" si="2"/>
        <v>600</v>
      </c>
      <c r="L24" s="184">
        <v>5</v>
      </c>
      <c r="M24" s="180">
        <f>SUM($N$20:N24)</f>
        <v>34</v>
      </c>
      <c r="N24" s="180">
        <v>12</v>
      </c>
      <c r="O24" s="180">
        <v>300</v>
      </c>
      <c r="P24" s="180">
        <v>1200</v>
      </c>
      <c r="Q24" s="180">
        <v>0.25</v>
      </c>
      <c r="R24" s="180">
        <v>600</v>
      </c>
      <c r="S24" s="182">
        <f ca="1">U24-SUM($P$20:P24)/86400/(24+$C$12)*24</f>
        <v>0.98237391970244</v>
      </c>
      <c r="T24" s="179">
        <f t="shared" si="7"/>
        <v>0</v>
      </c>
      <c r="U24" s="179">
        <f ca="1" t="shared" si="3"/>
        <v>1</v>
      </c>
      <c r="W24" s="183">
        <v>5</v>
      </c>
      <c r="X24" s="183">
        <f ca="1" t="shared" si="4"/>
        <v>900</v>
      </c>
      <c r="Y24" s="183">
        <f ca="1">OFFSET(产销汇总!$C$1,MATCH("体力消耗",产销汇总!$C$2:$C$8,0),$C$18)/10*5*W24</f>
        <v>1050</v>
      </c>
      <c r="Z24" s="183">
        <f t="shared" si="8"/>
        <v>0</v>
      </c>
      <c r="AA24" s="183">
        <f ca="1" t="shared" si="5"/>
        <v>1950</v>
      </c>
    </row>
    <row r="25" ht="18" spans="1:27">
      <c r="A25" s="171"/>
      <c r="B25" s="80">
        <v>6</v>
      </c>
      <c r="C25" s="80">
        <f ca="1">OFFSET(产销汇总!$C$12,$B25,$C$18)</f>
        <v>46</v>
      </c>
      <c r="D25" s="80">
        <f ca="1" t="shared" si="0"/>
        <v>205</v>
      </c>
      <c r="E25" s="80">
        <f ca="1">OFFSET(产销汇总!$C$1,MATCH(E$19,产销汇总!$C$2:$C$9,0),$C$18)*2</f>
        <v>12</v>
      </c>
      <c r="F25" s="80">
        <f t="shared" si="9"/>
        <v>21</v>
      </c>
      <c r="G25" s="80">
        <f t="shared" si="6"/>
        <v>0</v>
      </c>
      <c r="H25" s="80">
        <f t="shared" si="1"/>
        <v>6.4</v>
      </c>
      <c r="K25" s="132">
        <f t="shared" si="2"/>
        <v>900</v>
      </c>
      <c r="L25" s="184">
        <v>6</v>
      </c>
      <c r="M25" s="180">
        <f>SUM($N$20:N25)</f>
        <v>49</v>
      </c>
      <c r="N25" s="180">
        <v>15</v>
      </c>
      <c r="O25" s="180">
        <v>370</v>
      </c>
      <c r="P25" s="180">
        <v>1800</v>
      </c>
      <c r="Q25" s="185">
        <f>1/3</f>
        <v>0.333333333333333</v>
      </c>
      <c r="R25" s="180">
        <v>900</v>
      </c>
      <c r="S25" s="182">
        <f ca="1">U25-SUM($P$20:P25)/86400/(24+$C$12)*24</f>
        <v>0.966620719833716</v>
      </c>
      <c r="T25" s="179">
        <f t="shared" si="7"/>
        <v>0</v>
      </c>
      <c r="U25" s="179">
        <f ca="1" t="shared" si="3"/>
        <v>1</v>
      </c>
      <c r="W25" s="183">
        <v>6</v>
      </c>
      <c r="X25" s="183">
        <f ca="1" t="shared" si="4"/>
        <v>1080</v>
      </c>
      <c r="Y25" s="183">
        <f ca="1">OFFSET(产销汇总!$C$1,MATCH("体力消耗",产销汇总!$C$2:$C$8,0),$C$18)/10*5*W25</f>
        <v>1260</v>
      </c>
      <c r="Z25" s="183">
        <f t="shared" si="8"/>
        <v>0</v>
      </c>
      <c r="AA25" s="183">
        <f ca="1" t="shared" si="5"/>
        <v>2340</v>
      </c>
    </row>
    <row r="26" ht="18" spans="1:27">
      <c r="A26" s="171"/>
      <c r="B26" s="80">
        <v>7</v>
      </c>
      <c r="C26" s="80">
        <f ca="1">OFFSET(产销汇总!$C$12,$B26,$C$18)</f>
        <v>55</v>
      </c>
      <c r="D26" s="80">
        <f ca="1" t="shared" si="0"/>
        <v>250</v>
      </c>
      <c r="E26" s="80">
        <f ca="1">OFFSET(产销汇总!$C$1,MATCH(E$19,产销汇总!$C$2:$C$9,0),$C$18)*2</f>
        <v>12</v>
      </c>
      <c r="F26" s="80">
        <f t="shared" si="9"/>
        <v>21</v>
      </c>
      <c r="G26" s="80">
        <f t="shared" si="6"/>
        <v>0</v>
      </c>
      <c r="H26" s="80">
        <f t="shared" si="1"/>
        <v>6.4</v>
      </c>
      <c r="K26" s="132">
        <f t="shared" si="2"/>
        <v>1200</v>
      </c>
      <c r="L26" s="184">
        <v>7</v>
      </c>
      <c r="M26" s="180">
        <f>SUM($N$20:N26)</f>
        <v>66</v>
      </c>
      <c r="N26" s="180">
        <v>17</v>
      </c>
      <c r="O26" s="180">
        <v>440</v>
      </c>
      <c r="P26" s="180">
        <v>2700</v>
      </c>
      <c r="Q26" s="180">
        <v>0.4</v>
      </c>
      <c r="R26" s="180">
        <v>1200</v>
      </c>
      <c r="S26" s="182">
        <f ca="1">U26-SUM($P$20:P26)/86400/(24+$C$12)*24</f>
        <v>0.942990920030631</v>
      </c>
      <c r="T26" s="179">
        <f t="shared" si="7"/>
        <v>0</v>
      </c>
      <c r="U26" s="179">
        <f ca="1" t="shared" si="3"/>
        <v>1</v>
      </c>
      <c r="W26" s="183">
        <v>7</v>
      </c>
      <c r="X26" s="183">
        <f ca="1" t="shared" si="4"/>
        <v>1350</v>
      </c>
      <c r="Y26" s="183">
        <f ca="1">OFFSET(产销汇总!$C$1,MATCH("体力消耗",产销汇总!$C$2:$C$8,0),$C$18)/10*5*W26</f>
        <v>1470</v>
      </c>
      <c r="Z26" s="183">
        <f t="shared" si="8"/>
        <v>0</v>
      </c>
      <c r="AA26" s="183">
        <f ca="1" t="shared" si="5"/>
        <v>2820</v>
      </c>
    </row>
    <row r="27" ht="18" spans="1:27">
      <c r="A27" s="171"/>
      <c r="B27" s="80">
        <v>8</v>
      </c>
      <c r="C27" s="80">
        <f ca="1">OFFSET(产销汇总!$C$12,$B27,$C$18)</f>
        <v>57</v>
      </c>
      <c r="D27" s="80">
        <f ca="1" t="shared" si="0"/>
        <v>260</v>
      </c>
      <c r="E27" s="80">
        <f ca="1">OFFSET(产销汇总!$C$1,MATCH(E$19,产销汇总!$C$2:$C$9,0),$C$18)*2</f>
        <v>12</v>
      </c>
      <c r="F27" s="80">
        <f t="shared" si="9"/>
        <v>21</v>
      </c>
      <c r="G27" s="80">
        <f t="shared" si="6"/>
        <v>0</v>
      </c>
      <c r="H27" s="80">
        <f t="shared" si="1"/>
        <v>6.4</v>
      </c>
      <c r="K27" s="132">
        <f t="shared" si="2"/>
        <v>1800</v>
      </c>
      <c r="L27" s="184">
        <v>8</v>
      </c>
      <c r="M27" s="180">
        <f>SUM($N$20:N27)</f>
        <v>86</v>
      </c>
      <c r="N27" s="180">
        <v>20</v>
      </c>
      <c r="O27" s="180">
        <v>510</v>
      </c>
      <c r="P27" s="180">
        <v>3600</v>
      </c>
      <c r="Q27" s="180">
        <v>0.5</v>
      </c>
      <c r="R27" s="180">
        <f t="shared" ref="R27:R90" si="10">CEILING(P27*(1-Q27),300)</f>
        <v>1800</v>
      </c>
      <c r="S27" s="182">
        <f ca="1">U27-SUM($P$20:P27)/86400/(24+$C$12)*24</f>
        <v>0.911484520293184</v>
      </c>
      <c r="T27" s="179">
        <f t="shared" si="7"/>
        <v>0</v>
      </c>
      <c r="U27" s="179">
        <f ca="1" t="shared" si="3"/>
        <v>1</v>
      </c>
      <c r="W27" s="183">
        <v>8</v>
      </c>
      <c r="X27" s="183">
        <f ca="1" t="shared" si="4"/>
        <v>1410</v>
      </c>
      <c r="Y27" s="183">
        <f ca="1">OFFSET(产销汇总!$C$1,MATCH("体力消耗",产销汇总!$C$2:$C$8,0),$C$18)/10*5*W27</f>
        <v>1680</v>
      </c>
      <c r="Z27" s="183">
        <f t="shared" si="8"/>
        <v>0</v>
      </c>
      <c r="AA27" s="183">
        <f ca="1" t="shared" si="5"/>
        <v>3090</v>
      </c>
    </row>
    <row r="28" ht="18" spans="1:27">
      <c r="A28" s="171"/>
      <c r="B28" s="80">
        <v>9</v>
      </c>
      <c r="C28" s="80">
        <f ca="1">OFFSET(产销汇总!$C$12,$B28,$C$18)</f>
        <v>60</v>
      </c>
      <c r="D28" s="80">
        <f ca="1" t="shared" si="0"/>
        <v>275</v>
      </c>
      <c r="E28" s="80">
        <f ca="1">OFFSET(产销汇总!$C$1,MATCH(E$19,产销汇总!$C$2:$C$9,0),$C$18)*2</f>
        <v>12</v>
      </c>
      <c r="F28" s="80">
        <f t="shared" si="9"/>
        <v>21</v>
      </c>
      <c r="G28" s="80">
        <f t="shared" si="6"/>
        <v>0</v>
      </c>
      <c r="H28" s="80">
        <f t="shared" si="1"/>
        <v>6.4</v>
      </c>
      <c r="K28" s="132">
        <f t="shared" si="2"/>
        <v>2100</v>
      </c>
      <c r="L28" s="184">
        <v>9</v>
      </c>
      <c r="M28" s="180">
        <f>SUM($N$20:N28)</f>
        <v>108</v>
      </c>
      <c r="N28" s="180">
        <v>22</v>
      </c>
      <c r="O28" s="180">
        <v>580</v>
      </c>
      <c r="P28" s="180">
        <v>4200</v>
      </c>
      <c r="Q28" s="180">
        <v>0.5</v>
      </c>
      <c r="R28" s="180">
        <f t="shared" si="10"/>
        <v>2100</v>
      </c>
      <c r="S28" s="182">
        <f ca="1">U28-SUM($P$20:P28)/86400/(24+$C$12)*24</f>
        <v>0.87472705393283</v>
      </c>
      <c r="T28" s="179">
        <f t="shared" si="7"/>
        <v>300</v>
      </c>
      <c r="U28" s="179">
        <f ca="1" t="shared" si="3"/>
        <v>1</v>
      </c>
      <c r="W28" s="183">
        <v>9</v>
      </c>
      <c r="X28" s="183">
        <f ca="1" t="shared" si="4"/>
        <v>1500</v>
      </c>
      <c r="Y28" s="183">
        <f ca="1">OFFSET(产销汇总!$C$1,MATCH("体力消耗",产销汇总!$C$2:$C$8,0),$C$18)/10*5*W28</f>
        <v>1890</v>
      </c>
      <c r="Z28" s="183">
        <f t="shared" si="8"/>
        <v>0</v>
      </c>
      <c r="AA28" s="183">
        <f ca="1" t="shared" si="5"/>
        <v>3390</v>
      </c>
    </row>
    <row r="29" ht="18" spans="1:27">
      <c r="A29" s="171"/>
      <c r="B29" s="80">
        <v>10</v>
      </c>
      <c r="C29" s="80">
        <f ca="1">OFFSET(产销汇总!$C$12,$B29,$C$18)</f>
        <v>63</v>
      </c>
      <c r="D29" s="80">
        <f ca="1" t="shared" si="0"/>
        <v>290</v>
      </c>
      <c r="E29" s="80">
        <f ca="1">OFFSET(产销汇总!$C$1,MATCH(E$19,产销汇总!$C$2:$C$9,0),$C$18)*2</f>
        <v>12</v>
      </c>
      <c r="F29" s="80">
        <f t="shared" si="9"/>
        <v>21</v>
      </c>
      <c r="G29" s="80">
        <f t="shared" si="6"/>
        <v>0</v>
      </c>
      <c r="H29" s="80">
        <f t="shared" si="1"/>
        <v>6.4</v>
      </c>
      <c r="K29" s="132">
        <f t="shared" si="2"/>
        <v>3600</v>
      </c>
      <c r="L29" s="184">
        <v>10</v>
      </c>
      <c r="M29" s="180">
        <f>SUM($N$20:N29)</f>
        <v>133</v>
      </c>
      <c r="N29" s="180">
        <v>25</v>
      </c>
      <c r="O29" s="180">
        <v>650</v>
      </c>
      <c r="P29" s="180">
        <v>6804</v>
      </c>
      <c r="Q29" s="180">
        <v>0.5</v>
      </c>
      <c r="R29" s="180">
        <f t="shared" si="10"/>
        <v>3600</v>
      </c>
      <c r="S29" s="182">
        <f ca="1">U29-SUM($P$20:P29)/86400/(24+$C$12)*24</f>
        <v>0.815179958429056</v>
      </c>
      <c r="T29" s="179">
        <f t="shared" si="7"/>
        <v>1800</v>
      </c>
      <c r="U29" s="179">
        <f ca="1" t="shared" si="3"/>
        <v>1</v>
      </c>
      <c r="W29" s="183">
        <v>10</v>
      </c>
      <c r="X29" s="183">
        <f ca="1" t="shared" si="4"/>
        <v>1590</v>
      </c>
      <c r="Y29" s="183">
        <f ca="1">OFFSET(产销汇总!$C$1,MATCH("体力消耗",产销汇总!$C$2:$C$8,0),$C$18)/10*5*W29</f>
        <v>2100</v>
      </c>
      <c r="Z29" s="183">
        <f t="shared" si="8"/>
        <v>0</v>
      </c>
      <c r="AA29" s="183">
        <f ca="1" t="shared" si="5"/>
        <v>3690</v>
      </c>
    </row>
    <row r="30" ht="18" spans="1:27">
      <c r="A30" s="171"/>
      <c r="B30" s="80">
        <v>11</v>
      </c>
      <c r="C30" s="80">
        <f ca="1">OFFSET(产销汇总!$C$12,$B30,$C$18)</f>
        <v>66</v>
      </c>
      <c r="D30" s="80">
        <f ca="1" t="shared" si="0"/>
        <v>305</v>
      </c>
      <c r="E30" s="80">
        <f ca="1">OFFSET(产销汇总!$C$1,MATCH(E$19,产销汇总!$C$2:$C$9,0),$C$18)*2</f>
        <v>12</v>
      </c>
      <c r="F30" s="80">
        <f t="shared" si="9"/>
        <v>21</v>
      </c>
      <c r="G30" s="80">
        <f t="shared" si="6"/>
        <v>0</v>
      </c>
      <c r="H30" s="80">
        <f t="shared" si="1"/>
        <v>6.4</v>
      </c>
      <c r="K30" s="132">
        <f t="shared" si="2"/>
        <v>3900</v>
      </c>
      <c r="L30" s="184">
        <v>11</v>
      </c>
      <c r="M30" s="180">
        <f>SUM($N$20:N30)</f>
        <v>160</v>
      </c>
      <c r="N30" s="180">
        <v>27</v>
      </c>
      <c r="O30" s="180">
        <v>720</v>
      </c>
      <c r="P30" s="180">
        <v>7560</v>
      </c>
      <c r="Q30" s="180">
        <v>0.5</v>
      </c>
      <c r="R30" s="180">
        <f t="shared" si="10"/>
        <v>3900</v>
      </c>
      <c r="S30" s="182">
        <f ca="1">U30-SUM($P$20:P30)/86400/(24+$C$12)*24</f>
        <v>0.749016518980418</v>
      </c>
      <c r="T30" s="179">
        <f t="shared" si="7"/>
        <v>2100</v>
      </c>
      <c r="U30" s="179">
        <f ca="1" t="shared" si="3"/>
        <v>1</v>
      </c>
      <c r="W30" s="183">
        <v>11</v>
      </c>
      <c r="X30" s="183">
        <f ca="1" t="shared" si="4"/>
        <v>1680</v>
      </c>
      <c r="Y30" s="183">
        <f ca="1">OFFSET(产销汇总!$C$1,MATCH("体力消耗",产销汇总!$C$2:$C$8,0),$C$18)/10*5*W30</f>
        <v>2310</v>
      </c>
      <c r="Z30" s="183">
        <f t="shared" si="8"/>
        <v>0</v>
      </c>
      <c r="AA30" s="183">
        <f ca="1" t="shared" si="5"/>
        <v>3990</v>
      </c>
    </row>
    <row r="31" ht="18" spans="1:27">
      <c r="A31" s="171"/>
      <c r="B31" s="80">
        <v>12</v>
      </c>
      <c r="C31" s="80">
        <f ca="1">OFFSET(产销汇总!$C$12,$B31,$C$18)</f>
        <v>69</v>
      </c>
      <c r="D31" s="80">
        <f ca="1" t="shared" si="0"/>
        <v>320</v>
      </c>
      <c r="E31" s="80">
        <f ca="1">OFFSET(产销汇总!$C$1,MATCH(E$19,产销汇总!$C$2:$C$9,0),$C$18)*2</f>
        <v>12</v>
      </c>
      <c r="F31" s="80">
        <f t="shared" si="9"/>
        <v>21</v>
      </c>
      <c r="G31" s="80">
        <f t="shared" si="6"/>
        <v>0</v>
      </c>
      <c r="H31" s="80">
        <f t="shared" si="1"/>
        <v>6.4</v>
      </c>
      <c r="K31" s="132">
        <f t="shared" si="2"/>
        <v>4200</v>
      </c>
      <c r="L31" s="184">
        <v>12</v>
      </c>
      <c r="M31" s="180">
        <f>SUM($N$20:N31)</f>
        <v>190</v>
      </c>
      <c r="N31" s="180">
        <v>30</v>
      </c>
      <c r="O31" s="180">
        <v>790</v>
      </c>
      <c r="P31" s="180">
        <v>8316</v>
      </c>
      <c r="Q31" s="180">
        <v>0.5</v>
      </c>
      <c r="R31" s="180">
        <f t="shared" si="10"/>
        <v>4200</v>
      </c>
      <c r="S31" s="182">
        <f ca="1">U31-SUM($P$20:P31)/86400/(24+$C$12)*24</f>
        <v>0.676236735586916</v>
      </c>
      <c r="T31" s="179">
        <f t="shared" si="7"/>
        <v>2400</v>
      </c>
      <c r="U31" s="179">
        <f ca="1" t="shared" si="3"/>
        <v>1</v>
      </c>
      <c r="W31" s="183">
        <v>12</v>
      </c>
      <c r="X31" s="183">
        <f ca="1" t="shared" si="4"/>
        <v>1770</v>
      </c>
      <c r="Y31" s="183">
        <f ca="1">OFFSET(产销汇总!$C$1,MATCH("体力消耗",产销汇总!$C$2:$C$8,0),$C$18)/10*5*W31</f>
        <v>2520</v>
      </c>
      <c r="Z31" s="183">
        <f t="shared" si="8"/>
        <v>0</v>
      </c>
      <c r="AA31" s="183">
        <f ca="1" t="shared" si="5"/>
        <v>4290</v>
      </c>
    </row>
    <row r="32" ht="18" spans="1:27">
      <c r="A32" s="171"/>
      <c r="B32" s="80">
        <v>13</v>
      </c>
      <c r="C32" s="80">
        <f ca="1">OFFSET(产销汇总!$C$12,$B32,$C$18)</f>
        <v>71</v>
      </c>
      <c r="D32" s="80">
        <f ca="1" t="shared" si="0"/>
        <v>330</v>
      </c>
      <c r="E32" s="80">
        <f ca="1">OFFSET(产销汇总!$C$1,MATCH(E$19,产销汇总!$C$2:$C$9,0),$C$18)*2</f>
        <v>12</v>
      </c>
      <c r="F32" s="80">
        <f t="shared" si="9"/>
        <v>21</v>
      </c>
      <c r="G32" s="80">
        <f t="shared" si="6"/>
        <v>0</v>
      </c>
      <c r="H32" s="80">
        <f t="shared" si="1"/>
        <v>6.4</v>
      </c>
      <c r="K32" s="132">
        <f t="shared" si="2"/>
        <v>4800</v>
      </c>
      <c r="L32" s="184">
        <v>13</v>
      </c>
      <c r="M32" s="180">
        <f>SUM($N$20:N32)</f>
        <v>222</v>
      </c>
      <c r="N32" s="180">
        <v>32</v>
      </c>
      <c r="O32" s="180">
        <v>860</v>
      </c>
      <c r="P32" s="180">
        <v>9072</v>
      </c>
      <c r="Q32" s="180">
        <v>0.5</v>
      </c>
      <c r="R32" s="180">
        <f t="shared" si="10"/>
        <v>4800</v>
      </c>
      <c r="S32" s="182">
        <f ca="1">U32-SUM($P$20:P32)/86400/(24+$C$12)*24</f>
        <v>0.59684060824855</v>
      </c>
      <c r="T32" s="179">
        <f t="shared" si="7"/>
        <v>3000</v>
      </c>
      <c r="U32" s="179">
        <f ca="1" t="shared" si="3"/>
        <v>1</v>
      </c>
      <c r="W32" s="183">
        <v>13</v>
      </c>
      <c r="X32" s="183">
        <f ca="1" t="shared" si="4"/>
        <v>1830</v>
      </c>
      <c r="Y32" s="183">
        <f ca="1">OFFSET(产销汇总!$C$1,MATCH("体力消耗",产销汇总!$C$2:$C$8,0),$C$18)/10*5*W32</f>
        <v>2730</v>
      </c>
      <c r="Z32" s="183">
        <f t="shared" si="8"/>
        <v>0</v>
      </c>
      <c r="AA32" s="183">
        <f ca="1" t="shared" si="5"/>
        <v>4560</v>
      </c>
    </row>
    <row r="33" ht="18" spans="1:27">
      <c r="A33" s="171"/>
      <c r="B33" s="80">
        <v>14</v>
      </c>
      <c r="C33" s="80">
        <f ca="1">OFFSET(产销汇总!$C$12,$B33,$C$18)</f>
        <v>73</v>
      </c>
      <c r="D33" s="80">
        <f ca="1" t="shared" si="0"/>
        <v>340</v>
      </c>
      <c r="E33" s="80">
        <f ca="1">OFFSET(产销汇总!$C$1,MATCH(E$19,产销汇总!$C$2:$C$9,0),$C$18)*2</f>
        <v>12</v>
      </c>
      <c r="F33" s="80">
        <f t="shared" si="9"/>
        <v>21</v>
      </c>
      <c r="G33" s="80">
        <f t="shared" si="6"/>
        <v>0</v>
      </c>
      <c r="H33" s="80">
        <f t="shared" si="1"/>
        <v>6.4</v>
      </c>
      <c r="K33" s="132">
        <f t="shared" si="2"/>
        <v>5100</v>
      </c>
      <c r="L33" s="184">
        <v>14</v>
      </c>
      <c r="M33" s="180">
        <f>SUM($N$20:N33)</f>
        <v>257</v>
      </c>
      <c r="N33" s="180">
        <v>35</v>
      </c>
      <c r="O33" s="180">
        <v>930</v>
      </c>
      <c r="P33" s="180">
        <v>9828</v>
      </c>
      <c r="Q33" s="180">
        <v>0.5</v>
      </c>
      <c r="R33" s="180">
        <f t="shared" si="10"/>
        <v>5100</v>
      </c>
      <c r="S33" s="182">
        <f ca="1">U33-SUM($P$20:P33)/86400/(24+$C$12)*24</f>
        <v>0.510828136965321</v>
      </c>
      <c r="T33" s="179">
        <f t="shared" si="7"/>
        <v>3300</v>
      </c>
      <c r="U33" s="179">
        <f ca="1" t="shared" si="3"/>
        <v>1</v>
      </c>
      <c r="W33" s="183">
        <v>14</v>
      </c>
      <c r="X33" s="183">
        <f ca="1" t="shared" si="4"/>
        <v>1890</v>
      </c>
      <c r="Y33" s="183">
        <f ca="1">OFFSET(产销汇总!$C$1,MATCH("体力消耗",产销汇总!$C$2:$C$8,0),$C$18)/10*5*W33</f>
        <v>2940</v>
      </c>
      <c r="Z33" s="183">
        <f t="shared" si="8"/>
        <v>0</v>
      </c>
      <c r="AA33" s="183">
        <f ca="1" t="shared" si="5"/>
        <v>4830</v>
      </c>
    </row>
    <row r="34" ht="18" spans="1:27">
      <c r="A34" s="171"/>
      <c r="B34" s="80">
        <v>15</v>
      </c>
      <c r="C34" s="80">
        <f ca="1">OFFSET(产销汇总!$C$12,$B34,$C$18)</f>
        <v>74</v>
      </c>
      <c r="D34" s="80">
        <f ca="1" t="shared" si="0"/>
        <v>345</v>
      </c>
      <c r="E34" s="80">
        <f ca="1">OFFSET(产销汇总!$C$1,MATCH(E$19,产销汇总!$C$2:$C$9,0),$C$18)*2</f>
        <v>12</v>
      </c>
      <c r="F34" s="80">
        <f t="shared" si="9"/>
        <v>21</v>
      </c>
      <c r="G34" s="80">
        <f t="shared" si="6"/>
        <v>0</v>
      </c>
      <c r="H34" s="80">
        <f t="shared" si="1"/>
        <v>6.4</v>
      </c>
      <c r="K34" s="132">
        <f t="shared" si="2"/>
        <v>5400</v>
      </c>
      <c r="L34" s="184">
        <v>15</v>
      </c>
      <c r="M34" s="180">
        <f>SUM($N$20:N34)</f>
        <v>294</v>
      </c>
      <c r="N34" s="180">
        <v>37</v>
      </c>
      <c r="O34" s="180">
        <v>1000</v>
      </c>
      <c r="P34" s="180">
        <v>10584</v>
      </c>
      <c r="Q34" s="180">
        <v>0.5</v>
      </c>
      <c r="R34" s="180">
        <f t="shared" si="10"/>
        <v>5400</v>
      </c>
      <c r="S34" s="182">
        <f ca="1">U34-SUM($P$20:P34)/86400/(24+$C$12)*24</f>
        <v>0.418199321737228</v>
      </c>
      <c r="T34" s="179">
        <f t="shared" si="7"/>
        <v>3600</v>
      </c>
      <c r="U34" s="179">
        <f ca="1" t="shared" si="3"/>
        <v>1</v>
      </c>
      <c r="W34" s="183">
        <v>15</v>
      </c>
      <c r="X34" s="183">
        <f ca="1" t="shared" si="4"/>
        <v>1920</v>
      </c>
      <c r="Y34" s="183">
        <f ca="1">OFFSET(产销汇总!$C$1,MATCH("体力消耗",产销汇总!$C$2:$C$8,0),$C$18)/10*5*W34</f>
        <v>3150</v>
      </c>
      <c r="Z34" s="183">
        <f t="shared" si="8"/>
        <v>0</v>
      </c>
      <c r="AA34" s="183">
        <f ca="1" t="shared" si="5"/>
        <v>5070</v>
      </c>
    </row>
    <row r="35" ht="18" spans="1:27">
      <c r="A35" s="171"/>
      <c r="B35" s="80">
        <v>16</v>
      </c>
      <c r="C35" s="80">
        <f ca="1">OFFSET(产销汇总!$C$12,$B35,$C$18)</f>
        <v>75</v>
      </c>
      <c r="D35" s="80">
        <f ca="1" t="shared" si="0"/>
        <v>350</v>
      </c>
      <c r="E35" s="80">
        <f ca="1">OFFSET(产销汇总!$C$1,MATCH(E$19,产销汇总!$C$2:$C$9,0),$C$18)*2</f>
        <v>12</v>
      </c>
      <c r="F35" s="80">
        <f t="shared" si="9"/>
        <v>21</v>
      </c>
      <c r="G35" s="80">
        <f t="shared" si="6"/>
        <v>0</v>
      </c>
      <c r="H35" s="80">
        <f t="shared" si="1"/>
        <v>6.4</v>
      </c>
      <c r="K35" s="132">
        <f t="shared" si="2"/>
        <v>5700</v>
      </c>
      <c r="L35" s="184">
        <v>16</v>
      </c>
      <c r="M35" s="180">
        <f>SUM($N$20:N35)</f>
        <v>334</v>
      </c>
      <c r="N35" s="180">
        <v>40</v>
      </c>
      <c r="O35" s="180">
        <v>1070</v>
      </c>
      <c r="P35" s="180">
        <v>11340</v>
      </c>
      <c r="Q35" s="180">
        <v>0.5</v>
      </c>
      <c r="R35" s="180">
        <f t="shared" si="10"/>
        <v>5700</v>
      </c>
      <c r="S35" s="182">
        <f ca="1">U35-SUM($P$20:P35)/86400/(24+$C$12)*24</f>
        <v>0.318954162564271</v>
      </c>
      <c r="T35" s="179">
        <f t="shared" si="7"/>
        <v>3900</v>
      </c>
      <c r="U35" s="179">
        <f ca="1" t="shared" si="3"/>
        <v>1</v>
      </c>
      <c r="W35" s="183">
        <v>16</v>
      </c>
      <c r="X35" s="183">
        <f ca="1" t="shared" si="4"/>
        <v>1950</v>
      </c>
      <c r="Y35" s="183">
        <f ca="1">OFFSET(产销汇总!$C$1,MATCH("体力消耗",产销汇总!$C$2:$C$8,0),$C$18)/10*5*W35</f>
        <v>3360</v>
      </c>
      <c r="Z35" s="183">
        <f t="shared" si="8"/>
        <v>0</v>
      </c>
      <c r="AA35" s="183">
        <f ca="1" t="shared" si="5"/>
        <v>5310</v>
      </c>
    </row>
    <row r="36" ht="18" spans="1:27">
      <c r="A36" s="171"/>
      <c r="B36" s="80">
        <v>17</v>
      </c>
      <c r="C36" s="80">
        <f ca="1">OFFSET(产销汇总!$C$12,$B36,$C$18)</f>
        <v>76</v>
      </c>
      <c r="D36" s="80">
        <f ca="1" t="shared" si="0"/>
        <v>355</v>
      </c>
      <c r="E36" s="80">
        <f ca="1">OFFSET(产销汇总!$C$1,MATCH(E$19,产销汇总!$C$2:$C$9,0),$C$18)*2</f>
        <v>12</v>
      </c>
      <c r="F36" s="80">
        <f t="shared" si="9"/>
        <v>21</v>
      </c>
      <c r="G36" s="80">
        <f t="shared" si="6"/>
        <v>0</v>
      </c>
      <c r="H36" s="80">
        <f t="shared" si="1"/>
        <v>6.4</v>
      </c>
      <c r="K36" s="132">
        <f t="shared" si="2"/>
        <v>6600</v>
      </c>
      <c r="L36" s="184">
        <v>17</v>
      </c>
      <c r="M36" s="180">
        <f>SUM($N$20:N36)</f>
        <v>376</v>
      </c>
      <c r="N36" s="180">
        <v>42</v>
      </c>
      <c r="O36" s="180">
        <v>1140</v>
      </c>
      <c r="P36" s="180">
        <v>12643</v>
      </c>
      <c r="Q36" s="180">
        <v>0.5</v>
      </c>
      <c r="R36" s="180">
        <f t="shared" si="10"/>
        <v>6600</v>
      </c>
      <c r="S36" s="182">
        <f ca="1">U36-SUM($P$20:P36)/86400/(24+$C$12)*24</f>
        <v>0.208305437041899</v>
      </c>
      <c r="T36" s="179">
        <f t="shared" si="7"/>
        <v>4800</v>
      </c>
      <c r="U36" s="179">
        <f ca="1" t="shared" si="3"/>
        <v>1</v>
      </c>
      <c r="W36" s="183">
        <v>17</v>
      </c>
      <c r="X36" s="183">
        <f ca="1" t="shared" si="4"/>
        <v>1980</v>
      </c>
      <c r="Y36" s="183">
        <f ca="1">OFFSET(产销汇总!$C$1,MATCH("体力消耗",产销汇总!$C$2:$C$8,0),$C$18)/10*5*W36</f>
        <v>3570</v>
      </c>
      <c r="Z36" s="183">
        <f t="shared" si="8"/>
        <v>0</v>
      </c>
      <c r="AA36" s="183">
        <f ca="1" t="shared" si="5"/>
        <v>5550</v>
      </c>
    </row>
    <row r="37" ht="18" spans="1:27">
      <c r="A37" s="171"/>
      <c r="B37" s="80">
        <v>18</v>
      </c>
      <c r="C37" s="80">
        <f ca="1">OFFSET(产销汇总!$C$12,$B37,$C$18)</f>
        <v>77</v>
      </c>
      <c r="D37" s="80">
        <f ca="1" t="shared" si="0"/>
        <v>360</v>
      </c>
      <c r="E37" s="80">
        <f ca="1">OFFSET(产销汇总!$C$1,MATCH(E$19,产销汇总!$C$2:$C$9,0),$C$18)*2</f>
        <v>12</v>
      </c>
      <c r="F37" s="80">
        <f t="shared" si="9"/>
        <v>21</v>
      </c>
      <c r="G37" s="80">
        <f t="shared" si="6"/>
        <v>0</v>
      </c>
      <c r="H37" s="80">
        <f t="shared" si="1"/>
        <v>6.4</v>
      </c>
      <c r="K37" s="132">
        <f t="shared" si="2"/>
        <v>6900</v>
      </c>
      <c r="L37" s="184">
        <v>18</v>
      </c>
      <c r="M37" s="180">
        <f>SUM($N$20:N37)</f>
        <v>421</v>
      </c>
      <c r="N37" s="180">
        <v>45</v>
      </c>
      <c r="O37" s="180">
        <v>1210</v>
      </c>
      <c r="P37" s="180">
        <v>13434</v>
      </c>
      <c r="Q37" s="180">
        <v>0.5</v>
      </c>
      <c r="R37" s="180">
        <f t="shared" si="10"/>
        <v>6900</v>
      </c>
      <c r="S37" s="182">
        <f ca="1">U37-SUM($P$20:P37)/86400/(24+$C$12)*24</f>
        <v>0.090734055354994</v>
      </c>
      <c r="T37" s="179">
        <f t="shared" si="7"/>
        <v>5100</v>
      </c>
      <c r="U37" s="179">
        <f ca="1" t="shared" si="3"/>
        <v>1</v>
      </c>
      <c r="W37" s="183">
        <v>18</v>
      </c>
      <c r="X37" s="183">
        <f ca="1" t="shared" si="4"/>
        <v>2010</v>
      </c>
      <c r="Y37" s="183">
        <f ca="1">OFFSET(产销汇总!$C$1,MATCH("体力消耗",产销汇总!$C$2:$C$8,0),$C$18)/10*5*W37</f>
        <v>3780</v>
      </c>
      <c r="Z37" s="183">
        <f t="shared" si="8"/>
        <v>0</v>
      </c>
      <c r="AA37" s="183">
        <f ca="1" t="shared" si="5"/>
        <v>5790</v>
      </c>
    </row>
    <row r="38" ht="18" spans="1:27">
      <c r="A38" s="171"/>
      <c r="B38" s="80">
        <v>19</v>
      </c>
      <c r="C38" s="80">
        <f ca="1">OFFSET(产销汇总!$C$12,$B38,$C$18)</f>
        <v>78</v>
      </c>
      <c r="D38" s="80">
        <f ca="1" t="shared" si="0"/>
        <v>365</v>
      </c>
      <c r="E38" s="80">
        <f ca="1">OFFSET(产销汇总!$C$1,MATCH(E$19,产销汇总!$C$2:$C$9,0),$C$18)*2</f>
        <v>12</v>
      </c>
      <c r="F38" s="80">
        <f t="shared" si="9"/>
        <v>21</v>
      </c>
      <c r="G38" s="80">
        <f t="shared" si="6"/>
        <v>0</v>
      </c>
      <c r="H38" s="80">
        <f t="shared" si="1"/>
        <v>6.4</v>
      </c>
      <c r="K38" s="132">
        <f t="shared" si="2"/>
        <v>7200</v>
      </c>
      <c r="L38" s="184">
        <v>19</v>
      </c>
      <c r="M38" s="180">
        <f>SUM($N$20:N38)</f>
        <v>468</v>
      </c>
      <c r="N38" s="180">
        <v>47</v>
      </c>
      <c r="O38" s="180">
        <v>1280</v>
      </c>
      <c r="P38" s="180">
        <v>14224</v>
      </c>
      <c r="Q38" s="180">
        <v>0.5</v>
      </c>
      <c r="R38" s="180">
        <f t="shared" si="10"/>
        <v>7200</v>
      </c>
      <c r="S38" s="182">
        <f ca="1">U38-SUM($P$20:P38)/86400/(24+$C$12)*24</f>
        <v>-0.0337512307187398</v>
      </c>
      <c r="T38" s="179">
        <f t="shared" si="7"/>
        <v>5400</v>
      </c>
      <c r="U38" s="179">
        <f ca="1" t="shared" si="3"/>
        <v>1</v>
      </c>
      <c r="W38" s="183">
        <v>19</v>
      </c>
      <c r="X38" s="183">
        <f ca="1" t="shared" si="4"/>
        <v>2040</v>
      </c>
      <c r="Y38" s="183">
        <f ca="1">OFFSET(产销汇总!$C$1,MATCH("体力消耗",产销汇总!$C$2:$C$8,0),$C$18)/10*5*W38</f>
        <v>3990</v>
      </c>
      <c r="Z38" s="183">
        <f t="shared" si="8"/>
        <v>0</v>
      </c>
      <c r="AA38" s="183">
        <f ca="1" t="shared" si="5"/>
        <v>6030</v>
      </c>
    </row>
    <row r="39" ht="18" spans="1:27">
      <c r="A39" s="171"/>
      <c r="B39" s="80">
        <v>20</v>
      </c>
      <c r="C39" s="80">
        <f ca="1">OFFSET(产销汇总!$C$12,$B39,$C$18)</f>
        <v>79</v>
      </c>
      <c r="D39" s="80">
        <f ca="1" t="shared" si="0"/>
        <v>370</v>
      </c>
      <c r="E39" s="80">
        <f ca="1">OFFSET(产销汇总!$C$1,MATCH(E$19,产销汇总!$C$2:$C$9,0),$C$18)*2</f>
        <v>12</v>
      </c>
      <c r="F39" s="80">
        <f t="shared" si="9"/>
        <v>21</v>
      </c>
      <c r="G39" s="80">
        <f t="shared" si="6"/>
        <v>0</v>
      </c>
      <c r="H39" s="80">
        <f t="shared" si="1"/>
        <v>6.4</v>
      </c>
      <c r="K39" s="132">
        <f t="shared" si="2"/>
        <v>7800</v>
      </c>
      <c r="L39" s="184">
        <v>20</v>
      </c>
      <c r="M39" s="180">
        <f>SUM($N$20:N39)</f>
        <v>518</v>
      </c>
      <c r="N39" s="180">
        <v>50</v>
      </c>
      <c r="O39" s="180">
        <v>1350</v>
      </c>
      <c r="P39" s="180">
        <v>15014</v>
      </c>
      <c r="Q39" s="180">
        <v>0.5</v>
      </c>
      <c r="R39" s="180">
        <f t="shared" si="10"/>
        <v>7800</v>
      </c>
      <c r="S39" s="182">
        <f ca="1">U39-SUM($P$20:P39)/86400/(24+$C$12)*24</f>
        <v>0.834849578820698</v>
      </c>
      <c r="T39" s="179">
        <f t="shared" si="7"/>
        <v>6000</v>
      </c>
      <c r="U39" s="179">
        <f ca="1" t="shared" si="3"/>
        <v>2</v>
      </c>
      <c r="W39" s="183">
        <v>20</v>
      </c>
      <c r="X39" s="183">
        <f ca="1" t="shared" si="4"/>
        <v>2070</v>
      </c>
      <c r="Y39" s="183">
        <f ca="1">OFFSET(产销汇总!$C$1,MATCH("体力消耗",产销汇总!$C$2:$C$8,0),$C$18)/10*5*W39</f>
        <v>4200</v>
      </c>
      <c r="Z39" s="183">
        <f t="shared" si="8"/>
        <v>0</v>
      </c>
      <c r="AA39" s="183">
        <f ca="1" t="shared" si="5"/>
        <v>6270</v>
      </c>
    </row>
    <row r="40" ht="18" spans="1:27">
      <c r="A40" s="171"/>
      <c r="B40" s="80">
        <v>21</v>
      </c>
      <c r="C40" s="80">
        <f ca="1">OFFSET(产销汇总!$C$12,$B40,$C$18)</f>
        <v>80</v>
      </c>
      <c r="D40" s="80">
        <f ca="1" t="shared" si="0"/>
        <v>375</v>
      </c>
      <c r="E40" s="80">
        <f ca="1">OFFSET(产销汇总!$C$1,MATCH(E$19,产销汇总!$C$2:$C$9,0),$C$18)*2</f>
        <v>12</v>
      </c>
      <c r="F40" s="80">
        <f t="shared" si="9"/>
        <v>21</v>
      </c>
      <c r="G40" s="80">
        <f t="shared" si="6"/>
        <v>0</v>
      </c>
      <c r="H40" s="80">
        <f t="shared" si="1"/>
        <v>6.4</v>
      </c>
      <c r="K40" s="132">
        <f t="shared" si="2"/>
        <v>8100</v>
      </c>
      <c r="L40" s="184">
        <v>21</v>
      </c>
      <c r="M40" s="180">
        <f>SUM($N$20:N40)</f>
        <v>573</v>
      </c>
      <c r="N40" s="180">
        <v>55</v>
      </c>
      <c r="O40" s="180">
        <v>1420</v>
      </c>
      <c r="P40" s="180">
        <v>15804</v>
      </c>
      <c r="Q40" s="180">
        <v>0.5</v>
      </c>
      <c r="R40" s="180">
        <f t="shared" si="10"/>
        <v>8100</v>
      </c>
      <c r="S40" s="182">
        <f ca="1">U40-SUM($P$20:P40)/86400/(24+$C$12)*24</f>
        <v>0.696536483973307</v>
      </c>
      <c r="T40" s="179">
        <f t="shared" si="7"/>
        <v>6300</v>
      </c>
      <c r="U40" s="179">
        <f ca="1" t="shared" si="3"/>
        <v>2</v>
      </c>
      <c r="W40" s="183">
        <v>21</v>
      </c>
      <c r="X40" s="183">
        <f ca="1" t="shared" si="4"/>
        <v>2100</v>
      </c>
      <c r="Y40" s="183">
        <f ca="1">OFFSET(产销汇总!$C$1,MATCH("体力消耗",产销汇总!$C$2:$C$8,0),$C$18)/10*5*W40</f>
        <v>4410</v>
      </c>
      <c r="Z40" s="183">
        <f t="shared" si="8"/>
        <v>0</v>
      </c>
      <c r="AA40" s="183">
        <f ca="1" t="shared" si="5"/>
        <v>6510</v>
      </c>
    </row>
    <row r="41" ht="18" spans="1:27">
      <c r="A41" s="171"/>
      <c r="B41" s="80">
        <v>22</v>
      </c>
      <c r="C41" s="80">
        <f ca="1">OFFSET(产销汇总!$C$12,$B41,$C$18)</f>
        <v>80.5</v>
      </c>
      <c r="D41" s="80">
        <f ca="1" t="shared" si="0"/>
        <v>377.5</v>
      </c>
      <c r="E41" s="80">
        <f ca="1">OFFSET(产销汇总!$C$1,MATCH(E$19,产销汇总!$C$2:$C$9,0),$C$18)*2</f>
        <v>12</v>
      </c>
      <c r="F41" s="80">
        <f t="shared" si="9"/>
        <v>21</v>
      </c>
      <c r="G41" s="80">
        <f t="shared" si="6"/>
        <v>0</v>
      </c>
      <c r="H41" s="80">
        <f t="shared" si="1"/>
        <v>6.4</v>
      </c>
      <c r="K41" s="132">
        <f t="shared" si="2"/>
        <v>8400</v>
      </c>
      <c r="L41" s="184">
        <v>22</v>
      </c>
      <c r="M41" s="180">
        <f>SUM($N$20:N41)</f>
        <v>633</v>
      </c>
      <c r="N41" s="180">
        <v>60</v>
      </c>
      <c r="O41" s="180">
        <v>1490</v>
      </c>
      <c r="P41" s="180">
        <v>16595</v>
      </c>
      <c r="Q41" s="180">
        <v>0.5</v>
      </c>
      <c r="R41" s="180">
        <f t="shared" si="10"/>
        <v>8400</v>
      </c>
      <c r="S41" s="182">
        <f ca="1">U41-SUM($P$20:P41)/86400/(24+$C$12)*24</f>
        <v>0.551300732961383</v>
      </c>
      <c r="T41" s="179">
        <f t="shared" si="7"/>
        <v>6600</v>
      </c>
      <c r="U41" s="179">
        <f ca="1" t="shared" si="3"/>
        <v>2</v>
      </c>
      <c r="W41" s="183">
        <v>22</v>
      </c>
      <c r="X41" s="183">
        <f ca="1" t="shared" si="4"/>
        <v>2115</v>
      </c>
      <c r="Y41" s="183">
        <f ca="1">OFFSET(产销汇总!$C$1,MATCH("体力消耗",产销汇总!$C$2:$C$8,0),$C$18)/10*5*W41</f>
        <v>4620</v>
      </c>
      <c r="Z41" s="183">
        <f t="shared" si="8"/>
        <v>0</v>
      </c>
      <c r="AA41" s="183">
        <f ca="1" t="shared" si="5"/>
        <v>6735</v>
      </c>
    </row>
    <row r="42" ht="18" spans="1:27">
      <c r="A42" s="171"/>
      <c r="B42" s="80">
        <v>23</v>
      </c>
      <c r="C42" s="80">
        <f ca="1">OFFSET(产销汇总!$C$12,$B42,$C$18)</f>
        <v>81</v>
      </c>
      <c r="D42" s="80">
        <f ca="1" t="shared" si="0"/>
        <v>380</v>
      </c>
      <c r="E42" s="80">
        <f ca="1">OFFSET(产销汇总!$C$1,MATCH(E$19,产销汇总!$C$2:$C$9,0),$C$18)*2</f>
        <v>12</v>
      </c>
      <c r="F42" s="80">
        <f t="shared" si="9"/>
        <v>21</v>
      </c>
      <c r="G42" s="80">
        <f t="shared" si="6"/>
        <v>0</v>
      </c>
      <c r="H42" s="80">
        <f t="shared" si="1"/>
        <v>6.4</v>
      </c>
      <c r="K42" s="132">
        <f t="shared" si="2"/>
        <v>8700</v>
      </c>
      <c r="L42" s="184">
        <v>23</v>
      </c>
      <c r="M42" s="180">
        <f>SUM($N$20:N42)</f>
        <v>698</v>
      </c>
      <c r="N42" s="180">
        <v>65</v>
      </c>
      <c r="O42" s="180">
        <v>1560</v>
      </c>
      <c r="P42" s="180">
        <v>17385</v>
      </c>
      <c r="Q42" s="180">
        <v>0.5</v>
      </c>
      <c r="R42" s="180">
        <f t="shared" si="10"/>
        <v>8700</v>
      </c>
      <c r="S42" s="182">
        <f ca="1">U42-SUM($P$20:P42)/86400/(24+$C$12)*24</f>
        <v>0.39915107756263</v>
      </c>
      <c r="T42" s="179">
        <f t="shared" si="7"/>
        <v>6900</v>
      </c>
      <c r="U42" s="179">
        <f ca="1" t="shared" si="3"/>
        <v>2</v>
      </c>
      <c r="W42" s="183">
        <v>23</v>
      </c>
      <c r="X42" s="183">
        <f ca="1" t="shared" si="4"/>
        <v>2130</v>
      </c>
      <c r="Y42" s="183">
        <f ca="1">OFFSET(产销汇总!$C$1,MATCH("体力消耗",产销汇总!$C$2:$C$8,0),$C$18)/10*5*W42</f>
        <v>4830</v>
      </c>
      <c r="Z42" s="183">
        <f t="shared" si="8"/>
        <v>0</v>
      </c>
      <c r="AA42" s="183">
        <f ca="1" t="shared" si="5"/>
        <v>6960</v>
      </c>
    </row>
    <row r="43" ht="18" spans="1:27">
      <c r="A43" s="171"/>
      <c r="B43" s="80">
        <v>24</v>
      </c>
      <c r="C43" s="80">
        <f ca="1">OFFSET(产销汇总!$C$12,$B43,$C$18)</f>
        <v>81.5</v>
      </c>
      <c r="D43" s="80">
        <f ca="1" t="shared" si="0"/>
        <v>382.5</v>
      </c>
      <c r="E43" s="80">
        <f ca="1">OFFSET(产销汇总!$C$1,MATCH(E$19,产销汇总!$C$2:$C$9,0),$C$18)*2</f>
        <v>12</v>
      </c>
      <c r="F43" s="80">
        <f t="shared" si="9"/>
        <v>21</v>
      </c>
      <c r="G43" s="80">
        <f t="shared" si="6"/>
        <v>0</v>
      </c>
      <c r="H43" s="80">
        <f t="shared" si="1"/>
        <v>6.4</v>
      </c>
      <c r="K43" s="132">
        <f t="shared" si="2"/>
        <v>9300</v>
      </c>
      <c r="L43" s="184">
        <v>24</v>
      </c>
      <c r="M43" s="180">
        <f>SUM($N$20:N43)</f>
        <v>768</v>
      </c>
      <c r="N43" s="180">
        <v>70</v>
      </c>
      <c r="O43" s="180">
        <v>1630</v>
      </c>
      <c r="P43" s="180">
        <v>18175</v>
      </c>
      <c r="Q43" s="180">
        <v>0.5</v>
      </c>
      <c r="R43" s="180">
        <f t="shared" si="10"/>
        <v>9300</v>
      </c>
      <c r="S43" s="182">
        <f ca="1">U43-SUM($P$20:P43)/86400/(24+$C$12)*24</f>
        <v>0.240087517777048</v>
      </c>
      <c r="T43" s="179">
        <f t="shared" si="7"/>
        <v>7500</v>
      </c>
      <c r="U43" s="179">
        <f ca="1" t="shared" si="3"/>
        <v>2</v>
      </c>
      <c r="W43" s="183">
        <v>24</v>
      </c>
      <c r="X43" s="183">
        <f ca="1" t="shared" si="4"/>
        <v>2145</v>
      </c>
      <c r="Y43" s="183">
        <f ca="1">OFFSET(产销汇总!$C$1,MATCH("体力消耗",产销汇总!$C$2:$C$8,0),$C$18)/10*5*W43</f>
        <v>5040</v>
      </c>
      <c r="Z43" s="183">
        <f t="shared" si="8"/>
        <v>0</v>
      </c>
      <c r="AA43" s="183">
        <f ca="1" t="shared" si="5"/>
        <v>7185</v>
      </c>
    </row>
    <row r="44" ht="18" spans="1:27">
      <c r="A44" s="171"/>
      <c r="B44" s="80">
        <v>25</v>
      </c>
      <c r="C44" s="80">
        <f ca="1">OFFSET(产销汇总!$C$12,$B44,$C$18)</f>
        <v>82</v>
      </c>
      <c r="D44" s="80">
        <f ca="1" t="shared" si="0"/>
        <v>385</v>
      </c>
      <c r="E44" s="80">
        <f ca="1">OFFSET(产销汇总!$C$1,MATCH(E$19,产销汇总!$C$2:$C$9,0),$C$18)*2</f>
        <v>12</v>
      </c>
      <c r="F44" s="80">
        <f t="shared" si="9"/>
        <v>21</v>
      </c>
      <c r="G44" s="80">
        <f t="shared" si="6"/>
        <v>0</v>
      </c>
      <c r="H44" s="80">
        <f t="shared" si="1"/>
        <v>6.4</v>
      </c>
      <c r="K44" s="132">
        <f t="shared" si="2"/>
        <v>9300</v>
      </c>
      <c r="L44" s="184">
        <v>25</v>
      </c>
      <c r="M44" s="180">
        <f>SUM($N$20:N44)</f>
        <v>843</v>
      </c>
      <c r="N44" s="180">
        <v>75</v>
      </c>
      <c r="O44" s="180">
        <v>1700</v>
      </c>
      <c r="P44" s="180">
        <v>18236</v>
      </c>
      <c r="Q44" s="180">
        <v>0.5</v>
      </c>
      <c r="R44" s="180">
        <f t="shared" si="10"/>
        <v>9300</v>
      </c>
      <c r="S44" s="182">
        <f ca="1">U44-SUM($P$20:P44)/86400/(24+$C$12)*24</f>
        <v>0.0804900995514712</v>
      </c>
      <c r="T44" s="179">
        <f t="shared" si="7"/>
        <v>7500</v>
      </c>
      <c r="U44" s="179">
        <f ca="1" t="shared" si="3"/>
        <v>2</v>
      </c>
      <c r="W44" s="183">
        <v>25</v>
      </c>
      <c r="X44" s="183">
        <f ca="1" t="shared" si="4"/>
        <v>2160</v>
      </c>
      <c r="Y44" s="183">
        <f ca="1">OFFSET(产销汇总!$C$1,MATCH("体力消耗",产销汇总!$C$2:$C$8,0),$C$18)/10*5*W44</f>
        <v>5250</v>
      </c>
      <c r="Z44" s="183">
        <f t="shared" si="8"/>
        <v>0</v>
      </c>
      <c r="AA44" s="183">
        <f ca="1" t="shared" si="5"/>
        <v>7410</v>
      </c>
    </row>
    <row r="45" ht="18" spans="1:27">
      <c r="A45" s="171"/>
      <c r="B45" s="80">
        <v>26</v>
      </c>
      <c r="C45" s="80">
        <f ca="1">OFFSET(产销汇总!$C$12,$B45,$C$18)</f>
        <v>82.5</v>
      </c>
      <c r="D45" s="80">
        <f ca="1" t="shared" si="0"/>
        <v>387.5</v>
      </c>
      <c r="E45" s="80">
        <f ca="1">OFFSET(产销汇总!$C$1,MATCH(E$19,产销汇总!$C$2:$C$9,0),$C$18)*2</f>
        <v>12</v>
      </c>
      <c r="F45" s="80">
        <f t="shared" si="9"/>
        <v>21</v>
      </c>
      <c r="G45" s="80">
        <f t="shared" si="6"/>
        <v>0</v>
      </c>
      <c r="H45" s="80">
        <f t="shared" si="1"/>
        <v>6.4</v>
      </c>
      <c r="K45" s="132">
        <f t="shared" si="2"/>
        <v>9600</v>
      </c>
      <c r="L45" s="184">
        <v>26</v>
      </c>
      <c r="M45" s="180">
        <f>SUM($N$20:N45)</f>
        <v>923</v>
      </c>
      <c r="N45" s="180">
        <v>80</v>
      </c>
      <c r="O45" s="180">
        <v>1770</v>
      </c>
      <c r="P45" s="180">
        <v>18947</v>
      </c>
      <c r="Q45" s="180">
        <v>0.5</v>
      </c>
      <c r="R45" s="180">
        <f t="shared" si="10"/>
        <v>9600</v>
      </c>
      <c r="S45" s="182">
        <f ca="1">U45-SUM($P$20:P45)/86400/(24+$C$12)*24</f>
        <v>0.914670167377749</v>
      </c>
      <c r="T45" s="179">
        <f t="shared" si="7"/>
        <v>7800</v>
      </c>
      <c r="U45" s="179">
        <f ca="1" t="shared" si="3"/>
        <v>3</v>
      </c>
      <c r="W45" s="183">
        <v>26</v>
      </c>
      <c r="X45" s="183">
        <f ca="1" t="shared" si="4"/>
        <v>2175</v>
      </c>
      <c r="Y45" s="183">
        <f ca="1">OFFSET(产销汇总!$C$1,MATCH("体力消耗",产销汇总!$C$2:$C$8,0),$C$18)/10*5*W45</f>
        <v>5460</v>
      </c>
      <c r="Z45" s="183">
        <f t="shared" si="8"/>
        <v>0</v>
      </c>
      <c r="AA45" s="183">
        <f ca="1" t="shared" si="5"/>
        <v>7635</v>
      </c>
    </row>
    <row r="46" ht="18" spans="1:27">
      <c r="A46" s="171"/>
      <c r="B46" s="80">
        <v>27</v>
      </c>
      <c r="C46" s="80">
        <f ca="1">OFFSET(产销汇总!$C$12,$B46,$C$18)</f>
        <v>83</v>
      </c>
      <c r="D46" s="80">
        <f ca="1" t="shared" si="0"/>
        <v>390</v>
      </c>
      <c r="E46" s="80">
        <f ca="1">OFFSET(产销汇总!$C$1,MATCH(E$19,产销汇总!$C$2:$C$9,0),$C$18)*2</f>
        <v>12</v>
      </c>
      <c r="F46" s="80">
        <f t="shared" si="9"/>
        <v>21</v>
      </c>
      <c r="G46" s="80">
        <f t="shared" si="6"/>
        <v>0</v>
      </c>
      <c r="H46" s="80">
        <f t="shared" si="1"/>
        <v>6.4</v>
      </c>
      <c r="K46" s="132">
        <f t="shared" si="2"/>
        <v>9900</v>
      </c>
      <c r="L46" s="184">
        <v>27</v>
      </c>
      <c r="M46" s="180">
        <f>SUM($N$20:N46)</f>
        <v>1008</v>
      </c>
      <c r="N46" s="180">
        <v>85</v>
      </c>
      <c r="O46" s="180">
        <v>1840</v>
      </c>
      <c r="P46" s="180">
        <v>19705</v>
      </c>
      <c r="Q46" s="180">
        <v>0.5</v>
      </c>
      <c r="R46" s="180">
        <f t="shared" si="10"/>
        <v>9900</v>
      </c>
      <c r="S46" s="182">
        <f ca="1">U46-SUM($P$20:P46)/86400/(24+$C$12)*24</f>
        <v>0.742216387703752</v>
      </c>
      <c r="T46" s="179">
        <f t="shared" si="7"/>
        <v>8100</v>
      </c>
      <c r="U46" s="179">
        <f ca="1" t="shared" si="3"/>
        <v>3</v>
      </c>
      <c r="W46" s="183">
        <v>27</v>
      </c>
      <c r="X46" s="183">
        <f ca="1" t="shared" si="4"/>
        <v>2190</v>
      </c>
      <c r="Y46" s="183">
        <f ca="1">OFFSET(产销汇总!$C$1,MATCH("体力消耗",产销汇总!$C$2:$C$8,0),$C$18)/10*5*W46</f>
        <v>5670</v>
      </c>
      <c r="Z46" s="183">
        <f t="shared" si="8"/>
        <v>0</v>
      </c>
      <c r="AA46" s="183">
        <f ca="1" t="shared" si="5"/>
        <v>7860</v>
      </c>
    </row>
    <row r="47" ht="18" spans="1:27">
      <c r="A47" s="171"/>
      <c r="B47" s="80">
        <v>28</v>
      </c>
      <c r="C47" s="80">
        <f ca="1">OFFSET(产销汇总!$C$12,$B47,$C$18)</f>
        <v>83.5</v>
      </c>
      <c r="D47" s="80">
        <f ca="1" t="shared" si="0"/>
        <v>392.5</v>
      </c>
      <c r="E47" s="80">
        <f ca="1">OFFSET(产销汇总!$C$1,MATCH(E$19,产销汇总!$C$2:$C$9,0),$C$18)*2</f>
        <v>12</v>
      </c>
      <c r="F47" s="80">
        <f t="shared" si="9"/>
        <v>21</v>
      </c>
      <c r="G47" s="80">
        <f t="shared" si="6"/>
        <v>0</v>
      </c>
      <c r="H47" s="80">
        <f t="shared" si="1"/>
        <v>6.4</v>
      </c>
      <c r="K47" s="132">
        <f t="shared" si="2"/>
        <v>10500</v>
      </c>
      <c r="L47" s="184">
        <v>28</v>
      </c>
      <c r="M47" s="180">
        <f>SUM($N$20:N47)</f>
        <v>1098</v>
      </c>
      <c r="N47" s="180">
        <v>90</v>
      </c>
      <c r="O47" s="180">
        <v>1910</v>
      </c>
      <c r="P47" s="180">
        <v>20463</v>
      </c>
      <c r="Q47" s="180">
        <v>0.5</v>
      </c>
      <c r="R47" s="180">
        <f t="shared" si="10"/>
        <v>10500</v>
      </c>
      <c r="S47" s="182">
        <f ca="1">U47-SUM($P$20:P47)/86400/(24+$C$12)*24</f>
        <v>0.563128760529482</v>
      </c>
      <c r="T47" s="179">
        <f t="shared" si="7"/>
        <v>8700</v>
      </c>
      <c r="U47" s="179">
        <f ca="1" t="shared" si="3"/>
        <v>3</v>
      </c>
      <c r="W47" s="183">
        <v>28</v>
      </c>
      <c r="X47" s="183">
        <f ca="1" t="shared" si="4"/>
        <v>2205</v>
      </c>
      <c r="Y47" s="183">
        <f ca="1">OFFSET(产销汇总!$C$1,MATCH("体力消耗",产销汇总!$C$2:$C$8,0),$C$18)/10*5*W47</f>
        <v>5880</v>
      </c>
      <c r="Z47" s="183">
        <f t="shared" si="8"/>
        <v>0</v>
      </c>
      <c r="AA47" s="183">
        <f ca="1" t="shared" si="5"/>
        <v>8085</v>
      </c>
    </row>
    <row r="48" ht="18" spans="1:27">
      <c r="A48" s="171"/>
      <c r="B48" s="80">
        <v>29</v>
      </c>
      <c r="C48" s="80">
        <f ca="1">OFFSET(产销汇总!$C$12,$B48,$C$18)</f>
        <v>84</v>
      </c>
      <c r="D48" s="80">
        <f ca="1" t="shared" si="0"/>
        <v>395</v>
      </c>
      <c r="E48" s="80">
        <f ca="1">OFFSET(产销汇总!$C$1,MATCH(E$19,产销汇总!$C$2:$C$9,0),$C$18)*2</f>
        <v>12</v>
      </c>
      <c r="F48" s="80">
        <f t="shared" si="9"/>
        <v>21</v>
      </c>
      <c r="G48" s="80">
        <f t="shared" si="6"/>
        <v>0</v>
      </c>
      <c r="H48" s="80">
        <f t="shared" si="1"/>
        <v>6.4</v>
      </c>
      <c r="K48" s="132">
        <f t="shared" si="2"/>
        <v>10800</v>
      </c>
      <c r="L48" s="184">
        <v>29</v>
      </c>
      <c r="M48" s="180">
        <f>SUM($N$20:N48)</f>
        <v>1193</v>
      </c>
      <c r="N48" s="180">
        <v>95</v>
      </c>
      <c r="O48" s="180">
        <v>1980</v>
      </c>
      <c r="P48" s="180">
        <v>21221</v>
      </c>
      <c r="Q48" s="180">
        <v>0.5</v>
      </c>
      <c r="R48" s="180">
        <f t="shared" si="10"/>
        <v>10800</v>
      </c>
      <c r="S48" s="182">
        <f ca="1">U48-SUM($P$20:P48)/86400/(24+$C$12)*24</f>
        <v>0.377407285854939</v>
      </c>
      <c r="T48" s="179">
        <f t="shared" si="7"/>
        <v>9000</v>
      </c>
      <c r="U48" s="179">
        <f ca="1" t="shared" si="3"/>
        <v>3</v>
      </c>
      <c r="W48" s="183">
        <v>29</v>
      </c>
      <c r="X48" s="183">
        <f ca="1" t="shared" si="4"/>
        <v>2220</v>
      </c>
      <c r="Y48" s="183">
        <f ca="1">OFFSET(产销汇总!$C$1,MATCH("体力消耗",产销汇总!$C$2:$C$8,0),$C$18)/10*5*W48</f>
        <v>6090</v>
      </c>
      <c r="Z48" s="183">
        <f t="shared" si="8"/>
        <v>0</v>
      </c>
      <c r="AA48" s="183">
        <f ca="1" t="shared" si="5"/>
        <v>8310</v>
      </c>
    </row>
    <row r="49" ht="18" spans="1:27">
      <c r="A49" s="171"/>
      <c r="B49" s="80">
        <v>30</v>
      </c>
      <c r="C49" s="80">
        <f ca="1">OFFSET(产销汇总!$C$12,$B49,$C$18)</f>
        <v>84.5</v>
      </c>
      <c r="D49" s="80">
        <f ca="1" t="shared" si="0"/>
        <v>397.5</v>
      </c>
      <c r="E49" s="80">
        <f ca="1">OFFSET(产销汇总!$C$1,MATCH(E$19,产销汇总!$C$2:$C$9,0),$C$18)*2</f>
        <v>12</v>
      </c>
      <c r="F49" s="80">
        <f t="shared" si="9"/>
        <v>21</v>
      </c>
      <c r="G49" s="80">
        <f t="shared" si="6"/>
        <v>0</v>
      </c>
      <c r="H49" s="80">
        <f t="shared" si="1"/>
        <v>6.4</v>
      </c>
      <c r="K49" s="132">
        <f t="shared" si="2"/>
        <v>11100</v>
      </c>
      <c r="L49" s="184">
        <v>30</v>
      </c>
      <c r="M49" s="180">
        <f>SUM($N$20:N49)</f>
        <v>1293</v>
      </c>
      <c r="N49" s="180">
        <v>100</v>
      </c>
      <c r="O49" s="180">
        <v>2050</v>
      </c>
      <c r="P49" s="180">
        <v>21978</v>
      </c>
      <c r="Q49" s="180">
        <v>0.5</v>
      </c>
      <c r="R49" s="180">
        <f t="shared" si="10"/>
        <v>11100</v>
      </c>
      <c r="S49" s="182">
        <f ca="1">U49-SUM($P$20:P49)/86400/(24+$C$12)*24</f>
        <v>1.18506071545783</v>
      </c>
      <c r="T49" s="179">
        <f t="shared" si="7"/>
        <v>9300</v>
      </c>
      <c r="U49" s="179">
        <f ca="1" t="shared" si="3"/>
        <v>4</v>
      </c>
      <c r="W49" s="183">
        <v>30</v>
      </c>
      <c r="X49" s="183">
        <f ca="1" t="shared" si="4"/>
        <v>2235</v>
      </c>
      <c r="Y49" s="183">
        <f ca="1">OFFSET(产销汇总!$C$1,MATCH("体力消耗",产销汇总!$C$2:$C$8,0),$C$18)/10*5*W49</f>
        <v>6300</v>
      </c>
      <c r="Z49" s="183">
        <f t="shared" si="8"/>
        <v>0</v>
      </c>
      <c r="AA49" s="183">
        <f ca="1" t="shared" si="5"/>
        <v>8535</v>
      </c>
    </row>
    <row r="50" ht="18" spans="1:27">
      <c r="A50" s="171"/>
      <c r="B50" s="80">
        <v>31</v>
      </c>
      <c r="C50" s="80">
        <f ca="1">OFFSET(产销汇总!$C$12,$B50,$C$18)</f>
        <v>85</v>
      </c>
      <c r="D50" s="80">
        <f ca="1" t="shared" si="0"/>
        <v>400</v>
      </c>
      <c r="E50" s="80">
        <f ca="1">OFFSET(产销汇总!$C$1,MATCH(E$19,产销汇总!$C$2:$C$9,0),$C$18)*2</f>
        <v>12</v>
      </c>
      <c r="F50" s="80">
        <f t="shared" si="9"/>
        <v>21</v>
      </c>
      <c r="G50" s="80">
        <f t="shared" si="6"/>
        <v>0</v>
      </c>
      <c r="H50" s="80">
        <f t="shared" si="1"/>
        <v>6.4</v>
      </c>
      <c r="K50" s="132">
        <f t="shared" si="2"/>
        <v>13800</v>
      </c>
      <c r="L50" s="184">
        <v>31</v>
      </c>
      <c r="M50" s="180">
        <f>SUM($N$20:N50)</f>
        <v>1398</v>
      </c>
      <c r="N50" s="180">
        <v>105</v>
      </c>
      <c r="O50" s="180">
        <v>2120</v>
      </c>
      <c r="P50" s="180">
        <v>22736</v>
      </c>
      <c r="Q50" s="180">
        <v>0.4</v>
      </c>
      <c r="R50" s="180">
        <f t="shared" si="10"/>
        <v>13800</v>
      </c>
      <c r="S50" s="182">
        <f ca="1">U50-SUM($P$20:P50)/86400/(24+$C$12)*24</f>
        <v>0.986080297560441</v>
      </c>
      <c r="T50" s="179">
        <f t="shared" si="7"/>
        <v>12000</v>
      </c>
      <c r="U50" s="179">
        <f ca="1" t="shared" si="3"/>
        <v>4</v>
      </c>
      <c r="W50" s="183">
        <v>31</v>
      </c>
      <c r="X50" s="183">
        <f ca="1" t="shared" si="4"/>
        <v>2250</v>
      </c>
      <c r="Y50" s="183">
        <f ca="1">OFFSET(产销汇总!$C$1,MATCH("体力消耗",产销汇总!$C$2:$C$8,0),$C$18)/10*5*W50</f>
        <v>6510</v>
      </c>
      <c r="Z50" s="183">
        <f t="shared" si="8"/>
        <v>0</v>
      </c>
      <c r="AA50" s="183">
        <f ca="1" t="shared" si="5"/>
        <v>8760</v>
      </c>
    </row>
    <row r="51" ht="18" spans="1:27">
      <c r="A51" s="171"/>
      <c r="B51" s="80">
        <v>32</v>
      </c>
      <c r="C51" s="80">
        <f ca="1">OFFSET(产销汇总!$C$12,$B51,$C$18)</f>
        <v>85.5</v>
      </c>
      <c r="D51" s="80">
        <f ca="1" t="shared" si="0"/>
        <v>402.5</v>
      </c>
      <c r="E51" s="80">
        <f ca="1">OFFSET(产销汇总!$C$1,MATCH(E$19,产销汇总!$C$2:$C$9,0),$C$18)*2</f>
        <v>12</v>
      </c>
      <c r="F51" s="80">
        <f t="shared" si="9"/>
        <v>21</v>
      </c>
      <c r="G51" s="80">
        <f t="shared" si="6"/>
        <v>0</v>
      </c>
      <c r="H51" s="80">
        <f t="shared" si="1"/>
        <v>6.4</v>
      </c>
      <c r="K51" s="132">
        <f t="shared" si="2"/>
        <v>16500</v>
      </c>
      <c r="L51" s="184">
        <v>32</v>
      </c>
      <c r="M51" s="180">
        <f>SUM($N$20:N51)</f>
        <v>1508</v>
      </c>
      <c r="N51" s="180">
        <v>110</v>
      </c>
      <c r="O51" s="180">
        <v>2190</v>
      </c>
      <c r="P51" s="180">
        <v>23494</v>
      </c>
      <c r="Q51" s="180">
        <v>0.3</v>
      </c>
      <c r="R51" s="180">
        <f t="shared" si="10"/>
        <v>16500</v>
      </c>
      <c r="S51" s="182">
        <f ca="1">U51-SUM($P$20:P51)/86400/(24+$C$12)*24</f>
        <v>0.780466032162782</v>
      </c>
      <c r="T51" s="179">
        <f t="shared" si="7"/>
        <v>14700</v>
      </c>
      <c r="U51" s="179">
        <f ca="1" t="shared" si="3"/>
        <v>4</v>
      </c>
      <c r="W51" s="183">
        <v>32</v>
      </c>
      <c r="X51" s="183">
        <f ca="1" t="shared" si="4"/>
        <v>2265</v>
      </c>
      <c r="Y51" s="183">
        <f ca="1">OFFSET(产销汇总!$C$1,MATCH("体力消耗",产销汇总!$C$2:$C$8,0),$C$18)/10*5*W51</f>
        <v>6720</v>
      </c>
      <c r="Z51" s="183">
        <f t="shared" si="8"/>
        <v>0</v>
      </c>
      <c r="AA51" s="183">
        <f ca="1" t="shared" si="5"/>
        <v>8985</v>
      </c>
    </row>
    <row r="52" ht="18" spans="1:27">
      <c r="A52" s="171"/>
      <c r="B52" s="80">
        <v>33</v>
      </c>
      <c r="C52" s="80">
        <f ca="1">OFFSET(产销汇总!$C$12,$B52,$C$18)</f>
        <v>86</v>
      </c>
      <c r="D52" s="80">
        <f ca="1" t="shared" si="0"/>
        <v>405</v>
      </c>
      <c r="E52" s="80">
        <f ca="1">OFFSET(产销汇总!$C$1,MATCH(E$19,产销汇总!$C$2:$C$9,0),$C$18)*2</f>
        <v>12</v>
      </c>
      <c r="F52" s="80">
        <f t="shared" si="9"/>
        <v>21</v>
      </c>
      <c r="G52" s="80">
        <f t="shared" si="6"/>
        <v>0</v>
      </c>
      <c r="H52" s="80">
        <f t="shared" si="1"/>
        <v>6.4</v>
      </c>
      <c r="K52" s="132">
        <f t="shared" si="2"/>
        <v>19200</v>
      </c>
      <c r="L52" s="184">
        <v>33</v>
      </c>
      <c r="M52" s="180">
        <f>SUM($N$20:N52)</f>
        <v>1623</v>
      </c>
      <c r="N52" s="180">
        <v>115</v>
      </c>
      <c r="O52" s="180">
        <v>2260</v>
      </c>
      <c r="P52" s="180">
        <v>23671</v>
      </c>
      <c r="Q52" s="180">
        <v>0.2</v>
      </c>
      <c r="R52" s="180">
        <f t="shared" si="10"/>
        <v>19200</v>
      </c>
      <c r="S52" s="182">
        <f ca="1">U52-SUM($P$20:P52)/86400/(24+$C$12)*24</f>
        <v>1.57330270211137</v>
      </c>
      <c r="T52" s="179">
        <f t="shared" si="7"/>
        <v>17400</v>
      </c>
      <c r="U52" s="179">
        <f ca="1" t="shared" si="3"/>
        <v>5</v>
      </c>
      <c r="W52" s="183">
        <v>33</v>
      </c>
      <c r="X52" s="183">
        <f ca="1" t="shared" si="4"/>
        <v>2280</v>
      </c>
      <c r="Y52" s="183">
        <f ca="1">OFFSET(产销汇总!$C$1,MATCH("体力消耗",产销汇总!$C$2:$C$8,0),$C$18)/10*5*W52</f>
        <v>6930</v>
      </c>
      <c r="Z52" s="183">
        <f t="shared" si="8"/>
        <v>0</v>
      </c>
      <c r="AA52" s="183">
        <f ca="1" t="shared" si="5"/>
        <v>9210</v>
      </c>
    </row>
    <row r="53" ht="18" spans="1:27">
      <c r="A53" s="171"/>
      <c r="B53" s="80">
        <v>34</v>
      </c>
      <c r="C53" s="80">
        <f ca="1">OFFSET(产销汇总!$C$12,$B53,$C$18)</f>
        <v>86.5</v>
      </c>
      <c r="D53" s="80">
        <f ca="1" t="shared" si="0"/>
        <v>407.5</v>
      </c>
      <c r="E53" s="80">
        <f ca="1">OFFSET(产销汇总!$C$1,MATCH(E$19,产销汇总!$C$2:$C$9,0),$C$18)*2</f>
        <v>12</v>
      </c>
      <c r="F53" s="80">
        <f t="shared" si="9"/>
        <v>21</v>
      </c>
      <c r="G53" s="80">
        <f t="shared" si="6"/>
        <v>0</v>
      </c>
      <c r="H53" s="80">
        <f t="shared" si="1"/>
        <v>6.4</v>
      </c>
      <c r="K53" s="132">
        <f t="shared" si="2"/>
        <v>22200</v>
      </c>
      <c r="L53" s="184">
        <v>34</v>
      </c>
      <c r="M53" s="180">
        <f>SUM($N$20:N53)</f>
        <v>1743</v>
      </c>
      <c r="N53" s="180">
        <v>120</v>
      </c>
      <c r="O53" s="180">
        <v>2330</v>
      </c>
      <c r="P53" s="180">
        <v>24410</v>
      </c>
      <c r="Q53" s="180">
        <v>0.1</v>
      </c>
      <c r="R53" s="180">
        <f t="shared" si="10"/>
        <v>22200</v>
      </c>
      <c r="S53" s="182">
        <f ca="1">U53-SUM($P$20:P53)/86400/(24+$C$12)*24</f>
        <v>1.35967180833607</v>
      </c>
      <c r="T53" s="179">
        <f t="shared" si="7"/>
        <v>20400</v>
      </c>
      <c r="U53" s="179">
        <f ca="1" t="shared" si="3"/>
        <v>5</v>
      </c>
      <c r="W53" s="183">
        <v>34</v>
      </c>
      <c r="X53" s="183">
        <f ca="1" t="shared" si="4"/>
        <v>2295</v>
      </c>
      <c r="Y53" s="183">
        <f ca="1">OFFSET(产销汇总!$C$1,MATCH("体力消耗",产销汇总!$C$2:$C$8,0),$C$18)/10*5*W53</f>
        <v>7140</v>
      </c>
      <c r="Z53" s="183">
        <f t="shared" si="8"/>
        <v>0</v>
      </c>
      <c r="AA53" s="183">
        <f ca="1" t="shared" si="5"/>
        <v>9435</v>
      </c>
    </row>
    <row r="54" ht="18" spans="1:27">
      <c r="A54" s="171"/>
      <c r="B54" s="80">
        <v>35</v>
      </c>
      <c r="C54" s="80">
        <f ca="1">OFFSET(产销汇总!$C$12,$B54,$C$18)</f>
        <v>87</v>
      </c>
      <c r="D54" s="80">
        <f ca="1" t="shared" si="0"/>
        <v>410</v>
      </c>
      <c r="E54" s="80">
        <f ca="1">OFFSET(产销汇总!$C$1,MATCH(E$19,产销汇总!$C$2:$C$9,0),$C$18)*2</f>
        <v>12</v>
      </c>
      <c r="F54" s="80">
        <f t="shared" si="9"/>
        <v>21</v>
      </c>
      <c r="G54" s="80">
        <f t="shared" si="6"/>
        <v>0</v>
      </c>
      <c r="H54" s="80">
        <f t="shared" si="1"/>
        <v>6.4</v>
      </c>
      <c r="K54" s="132">
        <f t="shared" si="2"/>
        <v>25200</v>
      </c>
      <c r="L54" s="184">
        <v>35</v>
      </c>
      <c r="M54" s="180">
        <f>SUM($N$20:N54)</f>
        <v>1868</v>
      </c>
      <c r="N54" s="180">
        <v>125</v>
      </c>
      <c r="O54" s="180">
        <v>2400</v>
      </c>
      <c r="P54" s="180">
        <v>25150</v>
      </c>
      <c r="Q54" s="180">
        <v>0</v>
      </c>
      <c r="R54" s="180">
        <f t="shared" si="10"/>
        <v>25200</v>
      </c>
      <c r="S54" s="182">
        <f ca="1">U54-SUM($P$20:P54)/86400/(24+$C$12)*24</f>
        <v>1.13956459905918</v>
      </c>
      <c r="T54" s="179">
        <f t="shared" si="7"/>
        <v>23400</v>
      </c>
      <c r="U54" s="179">
        <f ca="1" t="shared" si="3"/>
        <v>5</v>
      </c>
      <c r="W54" s="183">
        <v>35</v>
      </c>
      <c r="X54" s="183">
        <f ca="1" t="shared" si="4"/>
        <v>2310</v>
      </c>
      <c r="Y54" s="183">
        <f ca="1">OFFSET(产销汇总!$C$1,MATCH("体力消耗",产销汇总!$C$2:$C$8,0),$C$18)/10*5*W54</f>
        <v>7350</v>
      </c>
      <c r="Z54" s="183">
        <f t="shared" si="8"/>
        <v>0</v>
      </c>
      <c r="AA54" s="183">
        <f ca="1" t="shared" si="5"/>
        <v>9660</v>
      </c>
    </row>
    <row r="55" ht="18" spans="1:27">
      <c r="A55" s="171"/>
      <c r="B55" s="80">
        <v>36</v>
      </c>
      <c r="C55" s="80">
        <f ca="1">OFFSET(产销汇总!$C$12,$B55,$C$18)</f>
        <v>87.5</v>
      </c>
      <c r="D55" s="80">
        <f ca="1" t="shared" si="0"/>
        <v>412.5</v>
      </c>
      <c r="E55" s="80">
        <f ca="1">OFFSET(产销汇总!$C$1,MATCH(E$19,产销汇总!$C$2:$C$9,0),$C$18)*2</f>
        <v>12</v>
      </c>
      <c r="F55" s="80">
        <f t="shared" si="9"/>
        <v>21</v>
      </c>
      <c r="G55" s="80">
        <f t="shared" si="6"/>
        <v>0</v>
      </c>
      <c r="H55" s="80">
        <f t="shared" si="1"/>
        <v>6.4</v>
      </c>
      <c r="K55" s="132">
        <f t="shared" si="2"/>
        <v>26100</v>
      </c>
      <c r="L55" s="184">
        <v>36</v>
      </c>
      <c r="M55" s="180">
        <f>SUM($N$20:N55)</f>
        <v>1998</v>
      </c>
      <c r="N55" s="180">
        <v>130</v>
      </c>
      <c r="O55" s="180">
        <v>2470</v>
      </c>
      <c r="P55" s="180">
        <v>25890</v>
      </c>
      <c r="Q55" s="180">
        <v>0</v>
      </c>
      <c r="R55" s="180">
        <f t="shared" si="10"/>
        <v>26100</v>
      </c>
      <c r="S55" s="182">
        <f ca="1">U55-SUM($P$20:P55)/86400/(24+$C$12)*24</f>
        <v>1.91298107428071</v>
      </c>
      <c r="T55" s="179">
        <f t="shared" si="7"/>
        <v>24300</v>
      </c>
      <c r="U55" s="179">
        <f ca="1" t="shared" si="3"/>
        <v>6</v>
      </c>
      <c r="W55" s="183">
        <v>36</v>
      </c>
      <c r="X55" s="183">
        <f ca="1" t="shared" si="4"/>
        <v>2325</v>
      </c>
      <c r="Y55" s="183">
        <f ca="1">OFFSET(产销汇总!$C$1,MATCH("体力消耗",产销汇总!$C$2:$C$8,0),$C$18)/10*5*W55</f>
        <v>7560</v>
      </c>
      <c r="Z55" s="183">
        <f t="shared" si="8"/>
        <v>0</v>
      </c>
      <c r="AA55" s="183">
        <f ca="1" t="shared" si="5"/>
        <v>9885</v>
      </c>
    </row>
    <row r="56" ht="18" spans="1:27">
      <c r="A56" s="171"/>
      <c r="B56" s="80">
        <v>37</v>
      </c>
      <c r="C56" s="80">
        <f ca="1">OFFSET(产销汇总!$C$12,$B56,$C$18)</f>
        <v>88</v>
      </c>
      <c r="D56" s="80">
        <f ca="1" t="shared" si="0"/>
        <v>415</v>
      </c>
      <c r="E56" s="80">
        <f ca="1">OFFSET(产销汇总!$C$1,MATCH(E$19,产销汇总!$C$2:$C$9,0),$C$18)*2</f>
        <v>12</v>
      </c>
      <c r="F56" s="80">
        <f t="shared" si="9"/>
        <v>21</v>
      </c>
      <c r="G56" s="80">
        <f t="shared" si="6"/>
        <v>0</v>
      </c>
      <c r="H56" s="80">
        <f t="shared" si="1"/>
        <v>6.4</v>
      </c>
      <c r="K56" s="132">
        <f t="shared" si="2"/>
        <v>26700</v>
      </c>
      <c r="L56" s="184">
        <v>37</v>
      </c>
      <c r="M56" s="180">
        <f>SUM($N$20:N56)</f>
        <v>2133</v>
      </c>
      <c r="N56" s="180">
        <v>135</v>
      </c>
      <c r="O56" s="180">
        <v>2540</v>
      </c>
      <c r="P56" s="180">
        <v>26630</v>
      </c>
      <c r="Q56" s="180">
        <v>0</v>
      </c>
      <c r="R56" s="180">
        <f t="shared" si="10"/>
        <v>26700</v>
      </c>
      <c r="S56" s="182">
        <f ca="1">U56-SUM($P$20:P56)/86400/(24+$C$12)*24</f>
        <v>1.67992123400066</v>
      </c>
      <c r="T56" s="179">
        <f t="shared" si="7"/>
        <v>24900</v>
      </c>
      <c r="U56" s="179">
        <f ca="1" t="shared" si="3"/>
        <v>6</v>
      </c>
      <c r="W56" s="183">
        <v>37</v>
      </c>
      <c r="X56" s="183">
        <f ca="1" t="shared" si="4"/>
        <v>2340</v>
      </c>
      <c r="Y56" s="183">
        <f ca="1">OFFSET(产销汇总!$C$1,MATCH("体力消耗",产销汇总!$C$2:$C$8,0),$C$18)/10*5*W56</f>
        <v>7770</v>
      </c>
      <c r="Z56" s="183">
        <f t="shared" si="8"/>
        <v>0</v>
      </c>
      <c r="AA56" s="183">
        <f ca="1" t="shared" si="5"/>
        <v>10110</v>
      </c>
    </row>
    <row r="57" ht="18" spans="1:27">
      <c r="A57" s="171"/>
      <c r="B57" s="80">
        <v>38</v>
      </c>
      <c r="C57" s="80">
        <f ca="1">OFFSET(产销汇总!$C$12,$B57,$C$18)</f>
        <v>88.5</v>
      </c>
      <c r="D57" s="80">
        <f ca="1" t="shared" si="0"/>
        <v>417.5</v>
      </c>
      <c r="E57" s="80">
        <f ca="1">OFFSET(产销汇总!$C$1,MATCH(E$19,产销汇总!$C$2:$C$9,0),$C$18)*2</f>
        <v>12</v>
      </c>
      <c r="F57" s="80">
        <f t="shared" si="9"/>
        <v>21</v>
      </c>
      <c r="G57" s="80">
        <f t="shared" si="6"/>
        <v>0</v>
      </c>
      <c r="H57" s="80">
        <f t="shared" si="1"/>
        <v>6.4</v>
      </c>
      <c r="K57" s="132">
        <f t="shared" si="2"/>
        <v>27600</v>
      </c>
      <c r="L57" s="184">
        <v>38</v>
      </c>
      <c r="M57" s="180">
        <f>SUM($N$20:N57)</f>
        <v>2273</v>
      </c>
      <c r="N57" s="180">
        <v>140</v>
      </c>
      <c r="O57" s="180">
        <v>2610</v>
      </c>
      <c r="P57" s="180">
        <v>27369</v>
      </c>
      <c r="Q57" s="180">
        <v>0</v>
      </c>
      <c r="R57" s="180">
        <f t="shared" si="10"/>
        <v>27600</v>
      </c>
      <c r="S57" s="182">
        <f ca="1">U57-SUM($P$20:P57)/86400/(24+$C$12)*24</f>
        <v>1.44039382999672</v>
      </c>
      <c r="T57" s="179">
        <f t="shared" si="7"/>
        <v>25800</v>
      </c>
      <c r="U57" s="179">
        <f ca="1" t="shared" si="3"/>
        <v>6</v>
      </c>
      <c r="W57" s="183">
        <v>38</v>
      </c>
      <c r="X57" s="183">
        <f ca="1" t="shared" si="4"/>
        <v>2355</v>
      </c>
      <c r="Y57" s="183">
        <f ca="1">OFFSET(产销汇总!$C$1,MATCH("体力消耗",产销汇总!$C$2:$C$8,0),$C$18)/10*5*W57</f>
        <v>7980</v>
      </c>
      <c r="Z57" s="183">
        <f t="shared" si="8"/>
        <v>0</v>
      </c>
      <c r="AA57" s="183">
        <f ca="1" t="shared" si="5"/>
        <v>10335</v>
      </c>
    </row>
    <row r="58" ht="18" spans="1:27">
      <c r="A58" s="171"/>
      <c r="B58" s="80">
        <v>39</v>
      </c>
      <c r="C58" s="80">
        <f ca="1">OFFSET(产销汇总!$C$12,$B58,$C$18)</f>
        <v>89</v>
      </c>
      <c r="D58" s="80">
        <f ca="1" t="shared" si="0"/>
        <v>420</v>
      </c>
      <c r="E58" s="80">
        <f ca="1">OFFSET(产销汇总!$C$1,MATCH(E$19,产销汇总!$C$2:$C$9,0),$C$18)*2</f>
        <v>12</v>
      </c>
      <c r="F58" s="80">
        <f t="shared" si="9"/>
        <v>21</v>
      </c>
      <c r="G58" s="80">
        <f t="shared" si="6"/>
        <v>0</v>
      </c>
      <c r="H58" s="80">
        <f t="shared" si="1"/>
        <v>6.4</v>
      </c>
      <c r="K58" s="132">
        <f t="shared" si="2"/>
        <v>28200</v>
      </c>
      <c r="L58" s="184">
        <v>39</v>
      </c>
      <c r="M58" s="180">
        <f>SUM($N$20:N58)</f>
        <v>2418</v>
      </c>
      <c r="N58" s="180">
        <v>145</v>
      </c>
      <c r="O58" s="180">
        <v>2680</v>
      </c>
      <c r="P58" s="180">
        <v>28109</v>
      </c>
      <c r="Q58" s="180">
        <v>0</v>
      </c>
      <c r="R58" s="180">
        <f t="shared" si="10"/>
        <v>28200</v>
      </c>
      <c r="S58" s="182">
        <f ca="1">U58-SUM($P$20:P58)/86400/(24+$C$12)*24</f>
        <v>2.19439011049119</v>
      </c>
      <c r="T58" s="179">
        <f t="shared" si="7"/>
        <v>26400</v>
      </c>
      <c r="U58" s="179">
        <f ca="1" t="shared" si="3"/>
        <v>7</v>
      </c>
      <c r="W58" s="183">
        <v>39</v>
      </c>
      <c r="X58" s="183">
        <f ca="1" t="shared" si="4"/>
        <v>2370</v>
      </c>
      <c r="Y58" s="183">
        <f ca="1">OFFSET(产销汇总!$C$1,MATCH("体力消耗",产销汇总!$C$2:$C$8,0),$C$18)/10*5*W58</f>
        <v>8190</v>
      </c>
      <c r="Z58" s="183">
        <f t="shared" si="8"/>
        <v>0</v>
      </c>
      <c r="AA58" s="183">
        <f ca="1" t="shared" si="5"/>
        <v>10560</v>
      </c>
    </row>
    <row r="59" ht="18" spans="1:27">
      <c r="A59" s="171"/>
      <c r="B59" s="80">
        <v>40</v>
      </c>
      <c r="C59" s="80">
        <f ca="1">OFFSET(产销汇总!$C$12,$B59,$C$18)</f>
        <v>89.5</v>
      </c>
      <c r="D59" s="80">
        <f ca="1" t="shared" si="0"/>
        <v>422.5</v>
      </c>
      <c r="E59" s="80">
        <f ca="1">OFFSET(产销汇总!$C$1,MATCH(E$19,产销汇总!$C$2:$C$9,0),$C$18)*2</f>
        <v>12</v>
      </c>
      <c r="F59" s="80">
        <f t="shared" si="9"/>
        <v>21</v>
      </c>
      <c r="G59" s="80">
        <f t="shared" si="6"/>
        <v>0</v>
      </c>
      <c r="H59" s="80">
        <f t="shared" si="1"/>
        <v>6.4</v>
      </c>
      <c r="K59" s="132">
        <f t="shared" si="2"/>
        <v>29100</v>
      </c>
      <c r="L59" s="184">
        <v>40</v>
      </c>
      <c r="M59" s="180">
        <f>SUM($N$20:N59)</f>
        <v>2568</v>
      </c>
      <c r="N59" s="180">
        <v>150</v>
      </c>
      <c r="O59" s="180">
        <v>2750</v>
      </c>
      <c r="P59" s="180">
        <v>28849</v>
      </c>
      <c r="Q59" s="180">
        <v>0</v>
      </c>
      <c r="R59" s="180">
        <f t="shared" si="10"/>
        <v>29100</v>
      </c>
      <c r="S59" s="182">
        <f ca="1">U59-SUM($P$20:P59)/86400/(24+$C$12)*24</f>
        <v>1.94191007548408</v>
      </c>
      <c r="T59" s="179">
        <f t="shared" si="7"/>
        <v>27300</v>
      </c>
      <c r="U59" s="179">
        <f ca="1" t="shared" si="3"/>
        <v>7</v>
      </c>
      <c r="W59" s="183">
        <v>40</v>
      </c>
      <c r="X59" s="183">
        <f ca="1" t="shared" si="4"/>
        <v>2385</v>
      </c>
      <c r="Y59" s="183">
        <f ca="1">OFFSET(产销汇总!$C$1,MATCH("体力消耗",产销汇总!$C$2:$C$8,0),$C$18)/10*5*W59</f>
        <v>8400</v>
      </c>
      <c r="Z59" s="183">
        <f t="shared" si="8"/>
        <v>0</v>
      </c>
      <c r="AA59" s="183">
        <f ca="1" t="shared" si="5"/>
        <v>10785</v>
      </c>
    </row>
    <row r="60" ht="18" spans="1:27">
      <c r="A60" s="171"/>
      <c r="B60" s="80">
        <v>41</v>
      </c>
      <c r="C60" s="80">
        <f ca="1">OFFSET(产销汇总!$C$12,$B60,$C$18)</f>
        <v>90</v>
      </c>
      <c r="D60" s="80">
        <f ca="1" t="shared" si="0"/>
        <v>425</v>
      </c>
      <c r="E60" s="80">
        <f ca="1">OFFSET(产销汇总!$C$1,MATCH(E$19,产销汇总!$C$2:$C$9,0),$C$18)*2</f>
        <v>12</v>
      </c>
      <c r="F60" s="80">
        <f t="shared" si="9"/>
        <v>21</v>
      </c>
      <c r="G60" s="80">
        <f t="shared" si="6"/>
        <v>0</v>
      </c>
      <c r="H60" s="80">
        <f t="shared" si="1"/>
        <v>6.4</v>
      </c>
      <c r="K60" s="132">
        <f t="shared" si="2"/>
        <v>29400</v>
      </c>
      <c r="L60" s="184">
        <v>41</v>
      </c>
      <c r="M60" s="180">
        <f>SUM($N$20:N60)</f>
        <v>2723</v>
      </c>
      <c r="N60" s="180">
        <v>155</v>
      </c>
      <c r="O60" s="180">
        <v>2820</v>
      </c>
      <c r="P60" s="180">
        <v>29123</v>
      </c>
      <c r="Q60" s="180">
        <v>0</v>
      </c>
      <c r="R60" s="180">
        <f t="shared" si="10"/>
        <v>29400</v>
      </c>
      <c r="S60" s="182">
        <f ca="1">U60-SUM($P$20:P60)/86400/(24+$C$12)*24</f>
        <v>1.68703205338584</v>
      </c>
      <c r="T60" s="179">
        <f t="shared" si="7"/>
        <v>27600</v>
      </c>
      <c r="U60" s="179">
        <f ca="1" t="shared" si="3"/>
        <v>7</v>
      </c>
      <c r="W60" s="183">
        <v>41</v>
      </c>
      <c r="X60" s="183">
        <f ca="1" t="shared" si="4"/>
        <v>2400</v>
      </c>
      <c r="Y60" s="183">
        <f ca="1">OFFSET(产销汇总!$C$1,MATCH("体力消耗",产销汇总!$C$2:$C$8,0),$C$18)/10*5*W60</f>
        <v>8610</v>
      </c>
      <c r="Z60" s="183">
        <f t="shared" si="8"/>
        <v>0</v>
      </c>
      <c r="AA60" s="183">
        <f ca="1" t="shared" si="5"/>
        <v>11010</v>
      </c>
    </row>
    <row r="61" ht="18" spans="1:27">
      <c r="A61" s="171"/>
      <c r="B61" s="80">
        <v>42</v>
      </c>
      <c r="C61" s="80">
        <f ca="1">OFFSET(产销汇总!$C$12,$B61,$C$18)</f>
        <v>90.5</v>
      </c>
      <c r="D61" s="80">
        <f ca="1" t="shared" si="0"/>
        <v>427.5</v>
      </c>
      <c r="E61" s="80">
        <f ca="1">OFFSET(产销汇总!$C$1,MATCH(E$19,产销汇总!$C$2:$C$9,0),$C$18)*2</f>
        <v>12</v>
      </c>
      <c r="F61" s="80">
        <f t="shared" si="9"/>
        <v>21</v>
      </c>
      <c r="G61" s="80">
        <f t="shared" si="6"/>
        <v>0</v>
      </c>
      <c r="H61" s="80">
        <f t="shared" si="1"/>
        <v>6.4</v>
      </c>
      <c r="K61" s="132">
        <f t="shared" si="2"/>
        <v>30000</v>
      </c>
      <c r="L61" s="184">
        <v>42</v>
      </c>
      <c r="M61" s="180">
        <f>SUM($N$20:N61)</f>
        <v>2883</v>
      </c>
      <c r="N61" s="180">
        <v>160</v>
      </c>
      <c r="O61" s="180">
        <v>2890</v>
      </c>
      <c r="P61" s="180">
        <v>29851</v>
      </c>
      <c r="Q61" s="180">
        <v>0</v>
      </c>
      <c r="R61" s="180">
        <f t="shared" si="10"/>
        <v>30000</v>
      </c>
      <c r="S61" s="182">
        <f ca="1">U61-SUM($P$20:P61)/86400/(24+$C$12)*24</f>
        <v>2.42578273711848</v>
      </c>
      <c r="T61" s="179">
        <f t="shared" si="7"/>
        <v>28200</v>
      </c>
      <c r="U61" s="179">
        <f ca="1" t="shared" si="3"/>
        <v>8</v>
      </c>
      <c r="W61" s="183">
        <v>42</v>
      </c>
      <c r="X61" s="183">
        <f ca="1" t="shared" si="4"/>
        <v>2415</v>
      </c>
      <c r="Y61" s="183">
        <f ca="1">OFFSET(产销汇总!$C$1,MATCH("体力消耗",产销汇总!$C$2:$C$8,0),$C$18)/10*5*W61</f>
        <v>8820</v>
      </c>
      <c r="Z61" s="183">
        <f t="shared" si="8"/>
        <v>0</v>
      </c>
      <c r="AA61" s="183">
        <f ca="1" t="shared" si="5"/>
        <v>11235</v>
      </c>
    </row>
    <row r="62" ht="18" spans="1:27">
      <c r="A62" s="171"/>
      <c r="B62" s="80">
        <v>43</v>
      </c>
      <c r="C62" s="80">
        <f ca="1">OFFSET(产销汇总!$C$12,$B62,$C$18)</f>
        <v>91</v>
      </c>
      <c r="D62" s="80">
        <f ca="1" t="shared" si="0"/>
        <v>430</v>
      </c>
      <c r="E62" s="80">
        <f ca="1">OFFSET(产销汇总!$C$1,MATCH(E$19,产销汇总!$C$2:$C$9,0),$C$18)*2</f>
        <v>12</v>
      </c>
      <c r="F62" s="80">
        <f t="shared" si="9"/>
        <v>21</v>
      </c>
      <c r="G62" s="80">
        <f t="shared" si="6"/>
        <v>0</v>
      </c>
      <c r="H62" s="80">
        <f t="shared" si="1"/>
        <v>6.4</v>
      </c>
      <c r="K62" s="132">
        <f t="shared" si="2"/>
        <v>30600</v>
      </c>
      <c r="L62" s="184">
        <v>43</v>
      </c>
      <c r="M62" s="180">
        <f>SUM($N$20:N62)</f>
        <v>3048</v>
      </c>
      <c r="N62" s="180">
        <v>165</v>
      </c>
      <c r="O62" s="180">
        <v>2960</v>
      </c>
      <c r="P62" s="180">
        <v>30579</v>
      </c>
      <c r="Q62" s="180">
        <v>0</v>
      </c>
      <c r="R62" s="180">
        <f t="shared" si="10"/>
        <v>30600</v>
      </c>
      <c r="S62" s="182">
        <f ca="1">U62-SUM($P$20:P62)/86400/(24+$C$12)*24</f>
        <v>2.15816212668198</v>
      </c>
      <c r="T62" s="179">
        <f t="shared" si="7"/>
        <v>28800</v>
      </c>
      <c r="U62" s="179">
        <f ca="1" t="shared" si="3"/>
        <v>8</v>
      </c>
      <c r="W62" s="183">
        <v>43</v>
      </c>
      <c r="X62" s="183">
        <f ca="1" t="shared" si="4"/>
        <v>2430</v>
      </c>
      <c r="Y62" s="183">
        <f ca="1">OFFSET(产销汇总!$C$1,MATCH("体力消耗",产销汇总!$C$2:$C$8,0),$C$18)/10*5*W62</f>
        <v>9030</v>
      </c>
      <c r="Z62" s="183">
        <f t="shared" si="8"/>
        <v>0</v>
      </c>
      <c r="AA62" s="183">
        <f ca="1" t="shared" si="5"/>
        <v>11460</v>
      </c>
    </row>
    <row r="63" ht="18" spans="1:27">
      <c r="A63" s="171"/>
      <c r="B63" s="80">
        <v>44</v>
      </c>
      <c r="C63" s="80">
        <f ca="1">OFFSET(产销汇总!$C$12,$B63,$C$18)</f>
        <v>91.5</v>
      </c>
      <c r="D63" s="80">
        <f ca="1" t="shared" si="0"/>
        <v>432.5</v>
      </c>
      <c r="E63" s="80">
        <f ca="1">OFFSET(产销汇总!$C$1,MATCH(E$19,产销汇总!$C$2:$C$9,0),$C$18)*2</f>
        <v>12</v>
      </c>
      <c r="F63" s="80">
        <f t="shared" si="9"/>
        <v>21</v>
      </c>
      <c r="G63" s="80">
        <f t="shared" si="6"/>
        <v>0</v>
      </c>
      <c r="H63" s="80">
        <f t="shared" si="1"/>
        <v>6.4</v>
      </c>
      <c r="K63" s="132">
        <f t="shared" si="2"/>
        <v>31500</v>
      </c>
      <c r="L63" s="184">
        <v>44</v>
      </c>
      <c r="M63" s="180">
        <f>SUM($N$20:N63)</f>
        <v>3218</v>
      </c>
      <c r="N63" s="180">
        <v>170</v>
      </c>
      <c r="O63" s="180">
        <v>3030</v>
      </c>
      <c r="P63" s="180">
        <v>31307</v>
      </c>
      <c r="Q63" s="180">
        <v>0</v>
      </c>
      <c r="R63" s="180">
        <f t="shared" si="10"/>
        <v>31500</v>
      </c>
      <c r="S63" s="182">
        <f ca="1">U63-SUM($P$20:P63)/86400/(24+$C$12)*24</f>
        <v>2.88417022207636</v>
      </c>
      <c r="T63" s="179">
        <f t="shared" si="7"/>
        <v>29700</v>
      </c>
      <c r="U63" s="179">
        <f ca="1" t="shared" si="3"/>
        <v>9</v>
      </c>
      <c r="W63" s="183">
        <v>44</v>
      </c>
      <c r="X63" s="183">
        <f ca="1" t="shared" si="4"/>
        <v>2445</v>
      </c>
      <c r="Y63" s="183">
        <f ca="1">OFFSET(产销汇总!$C$1,MATCH("体力消耗",产销汇总!$C$2:$C$8,0),$C$18)/10*5*W63</f>
        <v>9240</v>
      </c>
      <c r="Z63" s="183">
        <f t="shared" si="8"/>
        <v>0</v>
      </c>
      <c r="AA63" s="183">
        <f ca="1" t="shared" si="5"/>
        <v>11685</v>
      </c>
    </row>
    <row r="64" ht="18" spans="1:27">
      <c r="A64" s="171"/>
      <c r="B64" s="80">
        <v>45</v>
      </c>
      <c r="C64" s="80">
        <f ca="1">OFFSET(产销汇总!$C$12,$B64,$C$18)</f>
        <v>92</v>
      </c>
      <c r="D64" s="80">
        <f ca="1" t="shared" si="0"/>
        <v>435</v>
      </c>
      <c r="E64" s="80">
        <f ca="1">OFFSET(产销汇总!$C$1,MATCH(E$19,产销汇总!$C$2:$C$9,0),$C$18)*2</f>
        <v>12</v>
      </c>
      <c r="F64" s="80">
        <f t="shared" si="9"/>
        <v>21</v>
      </c>
      <c r="G64" s="80">
        <f t="shared" si="6"/>
        <v>0</v>
      </c>
      <c r="H64" s="80">
        <f t="shared" si="1"/>
        <v>6.4</v>
      </c>
      <c r="K64" s="132">
        <f t="shared" si="2"/>
        <v>32100</v>
      </c>
      <c r="L64" s="184">
        <v>45</v>
      </c>
      <c r="M64" s="180">
        <f>SUM($N$20:N64)</f>
        <v>3393</v>
      </c>
      <c r="N64" s="180">
        <v>175</v>
      </c>
      <c r="O64" s="180">
        <v>3100</v>
      </c>
      <c r="P64" s="180">
        <v>32035</v>
      </c>
      <c r="Q64" s="180">
        <v>0</v>
      </c>
      <c r="R64" s="180">
        <f t="shared" si="10"/>
        <v>32100</v>
      </c>
      <c r="S64" s="182">
        <f ca="1">U64-SUM($P$20:P64)/86400/(24+$C$12)*24</f>
        <v>3.60380702330161</v>
      </c>
      <c r="T64" s="179">
        <f t="shared" si="7"/>
        <v>30300</v>
      </c>
      <c r="U64" s="179">
        <f ca="1" t="shared" si="3"/>
        <v>10</v>
      </c>
      <c r="W64" s="183">
        <v>45</v>
      </c>
      <c r="X64" s="183">
        <f ca="1" t="shared" si="4"/>
        <v>2460</v>
      </c>
      <c r="Y64" s="183">
        <f ca="1">OFFSET(产销汇总!$C$1,MATCH("体力消耗",产销汇总!$C$2:$C$8,0),$C$18)/10*5*W64</f>
        <v>9450</v>
      </c>
      <c r="Z64" s="183">
        <f t="shared" si="8"/>
        <v>0</v>
      </c>
      <c r="AA64" s="183">
        <f ca="1" t="shared" si="5"/>
        <v>11910</v>
      </c>
    </row>
    <row r="65" ht="18" spans="1:27">
      <c r="A65" s="171"/>
      <c r="B65" s="80">
        <v>46</v>
      </c>
      <c r="C65" s="80">
        <f ca="1">OFFSET(产销汇总!$C$12,$B65,$C$18)</f>
        <v>92.5</v>
      </c>
      <c r="D65" s="80">
        <f ca="1" t="shared" si="0"/>
        <v>437.5</v>
      </c>
      <c r="E65" s="80">
        <f ca="1">OFFSET(产销汇总!$C$1,MATCH(E$19,产销汇总!$C$2:$C$9,0),$C$18)*2</f>
        <v>12</v>
      </c>
      <c r="F65" s="80">
        <f t="shared" si="9"/>
        <v>21</v>
      </c>
      <c r="G65" s="80">
        <f t="shared" si="6"/>
        <v>0</v>
      </c>
      <c r="H65" s="80">
        <f t="shared" si="1"/>
        <v>6.4</v>
      </c>
      <c r="K65" s="132">
        <f t="shared" si="2"/>
        <v>33000</v>
      </c>
      <c r="L65" s="184">
        <v>46</v>
      </c>
      <c r="M65" s="180">
        <f>SUM($N$20:N65)</f>
        <v>3573</v>
      </c>
      <c r="N65" s="180">
        <v>180</v>
      </c>
      <c r="O65" s="180">
        <v>3170</v>
      </c>
      <c r="P65" s="180">
        <v>32764</v>
      </c>
      <c r="Q65" s="180">
        <v>0</v>
      </c>
      <c r="R65" s="180">
        <f t="shared" si="10"/>
        <v>33000</v>
      </c>
      <c r="S65" s="182">
        <f ca="1">U65-SUM($P$20:P65)/86400/(24+$C$12)*24</f>
        <v>3.31706377858002</v>
      </c>
      <c r="T65" s="179">
        <f t="shared" si="7"/>
        <v>31200</v>
      </c>
      <c r="U65" s="179">
        <f ca="1" t="shared" si="3"/>
        <v>10</v>
      </c>
      <c r="W65" s="183">
        <v>46</v>
      </c>
      <c r="X65" s="183">
        <f ca="1" t="shared" si="4"/>
        <v>2475</v>
      </c>
      <c r="Y65" s="183">
        <f ca="1">OFFSET(产销汇总!$C$1,MATCH("体力消耗",产销汇总!$C$2:$C$8,0),$C$18)/10*5*W65</f>
        <v>9660</v>
      </c>
      <c r="Z65" s="183">
        <f t="shared" si="8"/>
        <v>0</v>
      </c>
      <c r="AA65" s="183">
        <f ca="1" t="shared" si="5"/>
        <v>12135</v>
      </c>
    </row>
    <row r="66" ht="18" spans="1:27">
      <c r="A66" s="171"/>
      <c r="B66" s="80">
        <v>47</v>
      </c>
      <c r="C66" s="80">
        <f ca="1">OFFSET(产销汇总!$C$12,$B66,$C$18)</f>
        <v>93</v>
      </c>
      <c r="D66" s="80">
        <f ca="1" t="shared" si="0"/>
        <v>440</v>
      </c>
      <c r="E66" s="80">
        <f ca="1">OFFSET(产销汇总!$C$1,MATCH(E$19,产销汇总!$C$2:$C$9,0),$C$18)*2</f>
        <v>12</v>
      </c>
      <c r="F66" s="80">
        <f t="shared" si="9"/>
        <v>21</v>
      </c>
      <c r="G66" s="80">
        <f t="shared" si="6"/>
        <v>0</v>
      </c>
      <c r="H66" s="80">
        <f t="shared" si="1"/>
        <v>6.4</v>
      </c>
      <c r="K66" s="132">
        <f t="shared" si="2"/>
        <v>33600</v>
      </c>
      <c r="L66" s="184">
        <v>47</v>
      </c>
      <c r="M66" s="180">
        <f>SUM($N$20:N66)</f>
        <v>3758</v>
      </c>
      <c r="N66" s="180">
        <v>185</v>
      </c>
      <c r="O66" s="180">
        <v>3240</v>
      </c>
      <c r="P66" s="180">
        <v>33492</v>
      </c>
      <c r="Q66" s="180">
        <v>0</v>
      </c>
      <c r="R66" s="180">
        <f t="shared" si="10"/>
        <v>33600</v>
      </c>
      <c r="S66" s="182">
        <f ca="1">U66-SUM($P$20:P66)/86400/(24+$C$12)*24</f>
        <v>4.02394923968931</v>
      </c>
      <c r="T66" s="179">
        <f t="shared" si="7"/>
        <v>31800</v>
      </c>
      <c r="U66" s="179">
        <f ca="1" t="shared" si="3"/>
        <v>11</v>
      </c>
      <c r="W66" s="183">
        <v>47</v>
      </c>
      <c r="X66" s="183">
        <f ca="1" t="shared" si="4"/>
        <v>2490</v>
      </c>
      <c r="Y66" s="183">
        <f ca="1">OFFSET(产销汇总!$C$1,MATCH("体力消耗",产销汇总!$C$2:$C$8,0),$C$18)/10*5*W66</f>
        <v>9870</v>
      </c>
      <c r="Z66" s="183">
        <f t="shared" si="8"/>
        <v>0</v>
      </c>
      <c r="AA66" s="183">
        <f ca="1" t="shared" si="5"/>
        <v>12360</v>
      </c>
    </row>
    <row r="67" ht="18" spans="1:27">
      <c r="A67" s="171"/>
      <c r="B67" s="80">
        <v>48</v>
      </c>
      <c r="C67" s="80">
        <f ca="1">OFFSET(产销汇总!$C$12,$B67,$C$18)</f>
        <v>93.5</v>
      </c>
      <c r="D67" s="80">
        <f ca="1" t="shared" si="0"/>
        <v>442.5</v>
      </c>
      <c r="E67" s="80">
        <f ca="1">OFFSET(产销汇总!$C$1,MATCH(E$19,产销汇总!$C$2:$C$9,0),$C$18)*2</f>
        <v>12</v>
      </c>
      <c r="F67" s="80">
        <f t="shared" si="9"/>
        <v>21</v>
      </c>
      <c r="G67" s="80">
        <f t="shared" si="6"/>
        <v>0</v>
      </c>
      <c r="H67" s="80">
        <f t="shared" si="1"/>
        <v>6.4</v>
      </c>
      <c r="K67" s="132">
        <f t="shared" si="2"/>
        <v>34500</v>
      </c>
      <c r="L67" s="184">
        <v>48</v>
      </c>
      <c r="M67" s="180">
        <f>SUM($N$20:N67)</f>
        <v>3948</v>
      </c>
      <c r="N67" s="180">
        <v>190</v>
      </c>
      <c r="O67" s="180">
        <v>3310</v>
      </c>
      <c r="P67" s="180">
        <v>34220</v>
      </c>
      <c r="Q67" s="180">
        <v>0</v>
      </c>
      <c r="R67" s="180">
        <f t="shared" si="10"/>
        <v>34500</v>
      </c>
      <c r="S67" s="182">
        <f ca="1">U67-SUM($P$20:P67)/86400/(24+$C$12)*24</f>
        <v>3.72446340662947</v>
      </c>
      <c r="T67" s="179">
        <f t="shared" si="7"/>
        <v>32700</v>
      </c>
      <c r="U67" s="179">
        <f ca="1" t="shared" si="3"/>
        <v>11</v>
      </c>
      <c r="W67" s="183">
        <v>48</v>
      </c>
      <c r="X67" s="183">
        <f ca="1" t="shared" si="4"/>
        <v>2505</v>
      </c>
      <c r="Y67" s="183">
        <f ca="1">OFFSET(产销汇总!$C$1,MATCH("体力消耗",产销汇总!$C$2:$C$8,0),$C$18)/10*5*W67</f>
        <v>10080</v>
      </c>
      <c r="Z67" s="183">
        <f t="shared" si="8"/>
        <v>0</v>
      </c>
      <c r="AA67" s="183">
        <f ca="1" t="shared" si="5"/>
        <v>12585</v>
      </c>
    </row>
    <row r="68" ht="18" spans="1:27">
      <c r="A68" s="171"/>
      <c r="B68" s="80">
        <v>49</v>
      </c>
      <c r="C68" s="80">
        <f ca="1">OFFSET(产销汇总!$C$12,$B68,$C$18)</f>
        <v>94</v>
      </c>
      <c r="D68" s="80">
        <f ca="1" t="shared" si="0"/>
        <v>445</v>
      </c>
      <c r="E68" s="80">
        <f ca="1">OFFSET(产销汇总!$C$1,MATCH(E$19,产销汇总!$C$2:$C$9,0),$C$18)*2</f>
        <v>12</v>
      </c>
      <c r="F68" s="80">
        <f t="shared" si="9"/>
        <v>21</v>
      </c>
      <c r="G68" s="80">
        <f t="shared" si="6"/>
        <v>0</v>
      </c>
      <c r="H68" s="80">
        <f t="shared" si="1"/>
        <v>6.4</v>
      </c>
      <c r="K68" s="132">
        <f t="shared" si="2"/>
        <v>39600</v>
      </c>
      <c r="L68" s="184">
        <v>49</v>
      </c>
      <c r="M68" s="180">
        <f>SUM($N$20:N68)</f>
        <v>4143</v>
      </c>
      <c r="N68" s="180">
        <v>195</v>
      </c>
      <c r="O68" s="180">
        <v>3380</v>
      </c>
      <c r="P68" s="180">
        <v>39497</v>
      </c>
      <c r="Q68" s="180">
        <v>0</v>
      </c>
      <c r="R68" s="180">
        <f t="shared" si="10"/>
        <v>39600</v>
      </c>
      <c r="S68" s="182">
        <f ca="1">U68-SUM($P$20:P68)/86400/(24+$C$12)*24</f>
        <v>4.37879444262116</v>
      </c>
      <c r="T68" s="179">
        <f t="shared" si="7"/>
        <v>37800</v>
      </c>
      <c r="U68" s="179">
        <f ca="1" t="shared" si="3"/>
        <v>12</v>
      </c>
      <c r="W68" s="183">
        <v>49</v>
      </c>
      <c r="X68" s="183">
        <f ca="1" t="shared" si="4"/>
        <v>2520</v>
      </c>
      <c r="Y68" s="183">
        <f ca="1">OFFSET(产销汇总!$C$1,MATCH("体力消耗",产销汇总!$C$2:$C$8,0),$C$18)/10*5*W68</f>
        <v>10290</v>
      </c>
      <c r="Z68" s="183">
        <f t="shared" si="8"/>
        <v>0</v>
      </c>
      <c r="AA68" s="183">
        <f ca="1" t="shared" si="5"/>
        <v>12810</v>
      </c>
    </row>
    <row r="69" ht="18" spans="1:27">
      <c r="A69" s="171"/>
      <c r="B69" s="80">
        <v>50</v>
      </c>
      <c r="C69" s="80">
        <f ca="1">OFFSET(产销汇总!$C$12,$B69,$C$18)</f>
        <v>94.35</v>
      </c>
      <c r="D69" s="80">
        <f ca="1" t="shared" si="0"/>
        <v>446.75</v>
      </c>
      <c r="E69" s="80">
        <f ca="1">OFFSET(产销汇总!$C$1,MATCH(E$19,产销汇总!$C$2:$C$9,0),$C$18)*2</f>
        <v>12</v>
      </c>
      <c r="F69" s="80">
        <f t="shared" si="9"/>
        <v>21</v>
      </c>
      <c r="G69" s="80">
        <f t="shared" si="6"/>
        <v>0</v>
      </c>
      <c r="H69" s="80">
        <f t="shared" si="1"/>
        <v>6.4</v>
      </c>
      <c r="K69" s="132">
        <f t="shared" si="2"/>
        <v>40500</v>
      </c>
      <c r="L69" s="184">
        <v>50</v>
      </c>
      <c r="M69" s="180">
        <f>SUM($N$20:N69)</f>
        <v>4343</v>
      </c>
      <c r="N69" s="180">
        <v>200</v>
      </c>
      <c r="O69" s="180">
        <v>3450</v>
      </c>
      <c r="P69" s="180">
        <v>40320</v>
      </c>
      <c r="Q69" s="180">
        <v>0</v>
      </c>
      <c r="R69" s="180">
        <f t="shared" si="10"/>
        <v>40500</v>
      </c>
      <c r="S69" s="182">
        <f ca="1">U69-SUM($P$20:P69)/86400/(24+$C$12)*24</f>
        <v>5.02592276556175</v>
      </c>
      <c r="T69" s="179">
        <f t="shared" si="7"/>
        <v>38700</v>
      </c>
      <c r="U69" s="179">
        <f ca="1" t="shared" si="3"/>
        <v>13</v>
      </c>
      <c r="W69" s="183">
        <v>50</v>
      </c>
      <c r="X69" s="183">
        <f ca="1" t="shared" si="4"/>
        <v>2530.5</v>
      </c>
      <c r="Y69" s="183">
        <f ca="1">OFFSET(产销汇总!$C$1,MATCH("体力消耗",产销汇总!$C$2:$C$8,0),$C$18)/10*5*W69</f>
        <v>10500</v>
      </c>
      <c r="Z69" s="183">
        <f t="shared" si="8"/>
        <v>0</v>
      </c>
      <c r="AA69" s="183">
        <f ca="1" t="shared" si="5"/>
        <v>13030.5</v>
      </c>
    </row>
    <row r="70" ht="18" spans="1:27">
      <c r="A70" s="171"/>
      <c r="B70" s="80">
        <v>51</v>
      </c>
      <c r="C70" s="80">
        <f ca="1">OFFSET(产销汇总!$C$12,$B70,$C$18)</f>
        <v>94.7</v>
      </c>
      <c r="D70" s="80">
        <f ca="1" t="shared" si="0"/>
        <v>448.5</v>
      </c>
      <c r="E70" s="80">
        <f ca="1">OFFSET(产销汇总!$C$1,MATCH(E$19,产销汇总!$C$2:$C$9,0),$C$18)*2</f>
        <v>12</v>
      </c>
      <c r="F70" s="80">
        <f t="shared" si="9"/>
        <v>21</v>
      </c>
      <c r="G70" s="80">
        <f t="shared" si="6"/>
        <v>0</v>
      </c>
      <c r="H70" s="80">
        <f t="shared" si="1"/>
        <v>6.4</v>
      </c>
      <c r="K70" s="132">
        <f t="shared" si="2"/>
        <v>41400</v>
      </c>
      <c r="L70" s="184">
        <v>51</v>
      </c>
      <c r="M70" s="180">
        <f>SUM($N$20:N70)</f>
        <v>4548</v>
      </c>
      <c r="N70" s="180">
        <v>205</v>
      </c>
      <c r="O70" s="180">
        <v>3520</v>
      </c>
      <c r="P70" s="180">
        <v>41142</v>
      </c>
      <c r="Q70" s="180">
        <v>0</v>
      </c>
      <c r="R70" s="180">
        <f t="shared" si="10"/>
        <v>41400</v>
      </c>
      <c r="S70" s="182">
        <f ca="1">U70-SUM($P$20:P70)/86400/(24+$C$12)*24</f>
        <v>4.66585712722897</v>
      </c>
      <c r="T70" s="179">
        <f t="shared" si="7"/>
        <v>39600</v>
      </c>
      <c r="U70" s="179">
        <f ca="1" t="shared" si="3"/>
        <v>13</v>
      </c>
      <c r="W70" s="183">
        <v>51</v>
      </c>
      <c r="X70" s="183">
        <f ca="1" t="shared" si="4"/>
        <v>2541</v>
      </c>
      <c r="Y70" s="183">
        <f ca="1">OFFSET(产销汇总!$C$1,MATCH("体力消耗",产销汇总!$C$2:$C$8,0),$C$18)/10*5*W70</f>
        <v>10710</v>
      </c>
      <c r="Z70" s="183">
        <f t="shared" si="8"/>
        <v>0</v>
      </c>
      <c r="AA70" s="183">
        <f ca="1" t="shared" si="5"/>
        <v>13251</v>
      </c>
    </row>
    <row r="71" ht="18" spans="1:27">
      <c r="A71" s="171"/>
      <c r="B71" s="80">
        <v>52</v>
      </c>
      <c r="C71" s="80">
        <f ca="1">OFFSET(产销汇总!$C$12,$B71,$C$18)</f>
        <v>95.05</v>
      </c>
      <c r="D71" s="80">
        <f ca="1" t="shared" si="0"/>
        <v>450.25</v>
      </c>
      <c r="E71" s="80">
        <f ca="1">OFFSET(产销汇总!$C$1,MATCH(E$19,产销汇总!$C$2:$C$9,0),$C$18)*2</f>
        <v>12</v>
      </c>
      <c r="F71" s="80">
        <f t="shared" si="9"/>
        <v>21</v>
      </c>
      <c r="G71" s="80">
        <f t="shared" si="6"/>
        <v>0</v>
      </c>
      <c r="H71" s="80">
        <f t="shared" si="1"/>
        <v>6.4</v>
      </c>
      <c r="K71" s="132">
        <f t="shared" si="2"/>
        <v>42000</v>
      </c>
      <c r="L71" s="184">
        <v>52</v>
      </c>
      <c r="M71" s="180">
        <f>SUM($N$20:N71)</f>
        <v>4758</v>
      </c>
      <c r="N71" s="180">
        <v>210</v>
      </c>
      <c r="O71" s="180">
        <v>3590</v>
      </c>
      <c r="P71" s="180">
        <v>41965</v>
      </c>
      <c r="Q71" s="180">
        <v>0</v>
      </c>
      <c r="R71" s="180">
        <f t="shared" si="10"/>
        <v>42000</v>
      </c>
      <c r="S71" s="182">
        <f ca="1">U71-SUM($P$20:P71)/86400/(24+$C$12)*24</f>
        <v>5.29858877584509</v>
      </c>
      <c r="T71" s="179">
        <f t="shared" si="7"/>
        <v>40200</v>
      </c>
      <c r="U71" s="179">
        <f ca="1" t="shared" si="3"/>
        <v>14</v>
      </c>
      <c r="W71" s="183">
        <v>52</v>
      </c>
      <c r="X71" s="183">
        <f ca="1" t="shared" si="4"/>
        <v>2551.5</v>
      </c>
      <c r="Y71" s="183">
        <f ca="1">OFFSET(产销汇总!$C$1,MATCH("体力消耗",产销汇总!$C$2:$C$8,0),$C$18)/10*5*W71</f>
        <v>10920</v>
      </c>
      <c r="Z71" s="183">
        <f t="shared" si="8"/>
        <v>0</v>
      </c>
      <c r="AA71" s="183">
        <f ca="1" t="shared" si="5"/>
        <v>13471.5</v>
      </c>
    </row>
    <row r="72" ht="18" spans="1:27">
      <c r="A72" s="171"/>
      <c r="B72" s="80">
        <v>53</v>
      </c>
      <c r="C72" s="80">
        <f ca="1">OFFSET(产销汇总!$C$12,$B72,$C$18)</f>
        <v>95.4</v>
      </c>
      <c r="D72" s="80">
        <f ca="1" t="shared" si="0"/>
        <v>452</v>
      </c>
      <c r="E72" s="80">
        <f ca="1">OFFSET(产销汇总!$C$1,MATCH(E$19,产销汇总!$C$2:$C$9,0),$C$18)*2</f>
        <v>12</v>
      </c>
      <c r="F72" s="80">
        <f t="shared" si="9"/>
        <v>21</v>
      </c>
      <c r="G72" s="80">
        <f t="shared" si="6"/>
        <v>0</v>
      </c>
      <c r="H72" s="80">
        <f t="shared" si="1"/>
        <v>6.4</v>
      </c>
      <c r="K72" s="132">
        <f t="shared" si="2"/>
        <v>42900</v>
      </c>
      <c r="L72" s="184">
        <v>53</v>
      </c>
      <c r="M72" s="180">
        <f>SUM($N$20:N72)</f>
        <v>4973</v>
      </c>
      <c r="N72" s="180">
        <v>215</v>
      </c>
      <c r="O72" s="180">
        <v>3660</v>
      </c>
      <c r="P72" s="180">
        <v>42788</v>
      </c>
      <c r="Q72" s="180">
        <v>0</v>
      </c>
      <c r="R72" s="180">
        <f t="shared" si="10"/>
        <v>42900</v>
      </c>
      <c r="S72" s="182">
        <f ca="1">U72-SUM($P$20:P72)/86400/(24+$C$12)*24</f>
        <v>5.92411771141013</v>
      </c>
      <c r="T72" s="179">
        <f t="shared" si="7"/>
        <v>41100</v>
      </c>
      <c r="U72" s="179">
        <f ca="1" t="shared" si="3"/>
        <v>15</v>
      </c>
      <c r="W72" s="183">
        <v>53</v>
      </c>
      <c r="X72" s="183">
        <f ca="1" t="shared" si="4"/>
        <v>2562</v>
      </c>
      <c r="Y72" s="183">
        <f ca="1">OFFSET(产销汇总!$C$1,MATCH("体力消耗",产销汇总!$C$2:$C$8,0),$C$18)/10*5*W72</f>
        <v>11130</v>
      </c>
      <c r="Z72" s="183">
        <f t="shared" si="8"/>
        <v>0</v>
      </c>
      <c r="AA72" s="183">
        <f ca="1" t="shared" si="5"/>
        <v>13692</v>
      </c>
    </row>
    <row r="73" ht="18" spans="1:27">
      <c r="A73" s="171"/>
      <c r="B73" s="80">
        <v>54</v>
      </c>
      <c r="C73" s="80">
        <f ca="1">OFFSET(产销汇总!$C$12,$B73,$C$18)</f>
        <v>95.75</v>
      </c>
      <c r="D73" s="80">
        <f ca="1" t="shared" si="0"/>
        <v>453.75</v>
      </c>
      <c r="E73" s="80">
        <f ca="1">OFFSET(产销汇总!$C$1,MATCH(E$19,产销汇总!$C$2:$C$9,0),$C$18)*2</f>
        <v>12</v>
      </c>
      <c r="F73" s="80">
        <f t="shared" si="9"/>
        <v>21</v>
      </c>
      <c r="G73" s="80">
        <f t="shared" si="6"/>
        <v>0</v>
      </c>
      <c r="H73" s="80">
        <f t="shared" si="1"/>
        <v>6.4</v>
      </c>
      <c r="K73" s="132">
        <f t="shared" si="2"/>
        <v>43800</v>
      </c>
      <c r="L73" s="184">
        <v>54</v>
      </c>
      <c r="M73" s="180">
        <f>SUM($N$20:N73)</f>
        <v>5193</v>
      </c>
      <c r="N73" s="180">
        <v>220</v>
      </c>
      <c r="O73" s="180">
        <v>3730</v>
      </c>
      <c r="P73" s="180">
        <v>43611</v>
      </c>
      <c r="Q73" s="180">
        <v>0</v>
      </c>
      <c r="R73" s="180">
        <f t="shared" si="10"/>
        <v>43800</v>
      </c>
      <c r="S73" s="182">
        <f ca="1">U73-SUM($P$20:P73)/86400/(24+$C$12)*24</f>
        <v>6.54244393392408</v>
      </c>
      <c r="T73" s="179">
        <f t="shared" si="7"/>
        <v>42000</v>
      </c>
      <c r="U73" s="179">
        <f ca="1" t="shared" si="3"/>
        <v>16</v>
      </c>
      <c r="W73" s="183">
        <v>54</v>
      </c>
      <c r="X73" s="183">
        <f ca="1" t="shared" si="4"/>
        <v>2572.5</v>
      </c>
      <c r="Y73" s="183">
        <f ca="1">OFFSET(产销汇总!$C$1,MATCH("体力消耗",产销汇总!$C$2:$C$8,0),$C$18)/10*5*W73</f>
        <v>11340</v>
      </c>
      <c r="Z73" s="183">
        <f t="shared" si="8"/>
        <v>0</v>
      </c>
      <c r="AA73" s="183">
        <f ca="1" t="shared" si="5"/>
        <v>13912.5</v>
      </c>
    </row>
    <row r="74" ht="18" spans="1:27">
      <c r="A74" s="171"/>
      <c r="B74" s="80">
        <v>55</v>
      </c>
      <c r="C74" s="80">
        <f ca="1">OFFSET(产销汇总!$C$12,$B74,$C$18)</f>
        <v>96.1</v>
      </c>
      <c r="D74" s="80">
        <f ca="1" t="shared" si="0"/>
        <v>455.5</v>
      </c>
      <c r="E74" s="80">
        <f ca="1">OFFSET(产销汇总!$C$1,MATCH(E$19,产销汇总!$C$2:$C$9,0),$C$18)*2</f>
        <v>12</v>
      </c>
      <c r="F74" s="80">
        <f t="shared" si="9"/>
        <v>21</v>
      </c>
      <c r="G74" s="80">
        <f t="shared" si="6"/>
        <v>0</v>
      </c>
      <c r="H74" s="80">
        <f t="shared" si="1"/>
        <v>6.4</v>
      </c>
      <c r="K74" s="132">
        <f t="shared" si="2"/>
        <v>44700</v>
      </c>
      <c r="L74" s="184">
        <v>55</v>
      </c>
      <c r="M74" s="180">
        <f>SUM($N$20:N74)</f>
        <v>5418</v>
      </c>
      <c r="N74" s="180">
        <v>225</v>
      </c>
      <c r="O74" s="180">
        <v>3800</v>
      </c>
      <c r="P74" s="180">
        <v>44434</v>
      </c>
      <c r="Q74" s="180">
        <v>0</v>
      </c>
      <c r="R74" s="180">
        <f t="shared" si="10"/>
        <v>44700</v>
      </c>
      <c r="S74" s="182">
        <f ca="1">U74-SUM($P$20:P74)/86400/(24+$C$12)*24</f>
        <v>7.15356744338694</v>
      </c>
      <c r="T74" s="179">
        <f t="shared" si="7"/>
        <v>42900</v>
      </c>
      <c r="U74" s="179">
        <f ca="1" t="shared" si="3"/>
        <v>17</v>
      </c>
      <c r="W74" s="183">
        <v>55</v>
      </c>
      <c r="X74" s="183">
        <f ca="1" t="shared" si="4"/>
        <v>2583</v>
      </c>
      <c r="Y74" s="183">
        <f ca="1">OFFSET(产销汇总!$C$1,MATCH("体力消耗",产销汇总!$C$2:$C$8,0),$C$18)/10*5*W74</f>
        <v>11550</v>
      </c>
      <c r="Z74" s="183">
        <f t="shared" si="8"/>
        <v>0</v>
      </c>
      <c r="AA74" s="183">
        <f ca="1" t="shared" si="5"/>
        <v>14133</v>
      </c>
    </row>
    <row r="75" ht="18" spans="1:27">
      <c r="A75" s="171"/>
      <c r="B75" s="80">
        <v>56</v>
      </c>
      <c r="C75" s="80">
        <f ca="1">OFFSET(产销汇总!$C$12,$B75,$C$18)</f>
        <v>96.45</v>
      </c>
      <c r="D75" s="80">
        <f ca="1" t="shared" si="0"/>
        <v>457.25</v>
      </c>
      <c r="E75" s="80">
        <f ca="1">OFFSET(产销汇总!$C$1,MATCH(E$19,产销汇总!$C$2:$C$9,0),$C$18)*2</f>
        <v>12</v>
      </c>
      <c r="F75" s="80">
        <f t="shared" si="9"/>
        <v>21</v>
      </c>
      <c r="G75" s="80">
        <f t="shared" si="6"/>
        <v>0</v>
      </c>
      <c r="H75" s="80">
        <f t="shared" si="1"/>
        <v>6.4</v>
      </c>
      <c r="K75" s="132">
        <f t="shared" si="2"/>
        <v>45300</v>
      </c>
      <c r="L75" s="184">
        <v>56</v>
      </c>
      <c r="M75" s="180">
        <f>SUM($N$20:N75)</f>
        <v>5648</v>
      </c>
      <c r="N75" s="180">
        <v>230</v>
      </c>
      <c r="O75" s="180">
        <v>3870</v>
      </c>
      <c r="P75" s="180">
        <v>45257</v>
      </c>
      <c r="Q75" s="180">
        <v>0</v>
      </c>
      <c r="R75" s="180">
        <f t="shared" si="10"/>
        <v>45300</v>
      </c>
      <c r="S75" s="182">
        <f ca="1">U75-SUM($P$20:P75)/86400/(24+$C$12)*24</f>
        <v>7.75748823979871</v>
      </c>
      <c r="T75" s="179">
        <f t="shared" si="7"/>
        <v>43500</v>
      </c>
      <c r="U75" s="179">
        <f ca="1" t="shared" si="3"/>
        <v>18</v>
      </c>
      <c r="W75" s="183">
        <v>56</v>
      </c>
      <c r="X75" s="183">
        <f ca="1" t="shared" si="4"/>
        <v>2593.5</v>
      </c>
      <c r="Y75" s="183">
        <f ca="1">OFFSET(产销汇总!$C$1,MATCH("体力消耗",产销汇总!$C$2:$C$8,0),$C$18)/10*5*W75</f>
        <v>11760</v>
      </c>
      <c r="Z75" s="183">
        <f t="shared" si="8"/>
        <v>0</v>
      </c>
      <c r="AA75" s="183">
        <f ca="1" t="shared" si="5"/>
        <v>14353.5</v>
      </c>
    </row>
    <row r="76" ht="18" spans="1:27">
      <c r="A76" s="171"/>
      <c r="B76" s="80">
        <v>57</v>
      </c>
      <c r="C76" s="80">
        <f ca="1">OFFSET(产销汇总!$C$12,$B76,$C$18)</f>
        <v>96.8</v>
      </c>
      <c r="D76" s="80">
        <f ca="1" t="shared" si="0"/>
        <v>459</v>
      </c>
      <c r="E76" s="80">
        <f ca="1">OFFSET(产销汇总!$C$1,MATCH(E$19,产销汇总!$C$2:$C$9,0),$C$18)*2</f>
        <v>12</v>
      </c>
      <c r="F76" s="80">
        <f t="shared" si="9"/>
        <v>21</v>
      </c>
      <c r="G76" s="80">
        <f t="shared" si="6"/>
        <v>0</v>
      </c>
      <c r="H76" s="80">
        <f t="shared" si="1"/>
        <v>6.4</v>
      </c>
      <c r="K76" s="132">
        <f t="shared" si="2"/>
        <v>80100</v>
      </c>
      <c r="L76" s="184">
        <v>57</v>
      </c>
      <c r="M76" s="180">
        <f>SUM($N$20:N76)</f>
        <v>5883</v>
      </c>
      <c r="N76" s="180">
        <v>235</v>
      </c>
      <c r="O76" s="180">
        <v>3940</v>
      </c>
      <c r="P76" s="180">
        <v>79973</v>
      </c>
      <c r="Q76" s="180">
        <v>0</v>
      </c>
      <c r="R76" s="180">
        <f t="shared" si="10"/>
        <v>80100</v>
      </c>
      <c r="S76" s="182">
        <f ca="1">U76-SUM($P$20:P76)/86400/(24+$C$12)*24</f>
        <v>8.05758232140904</v>
      </c>
      <c r="T76" s="179">
        <f t="shared" si="7"/>
        <v>78300</v>
      </c>
      <c r="U76" s="179">
        <f ca="1" t="shared" si="3"/>
        <v>19</v>
      </c>
      <c r="W76" s="183">
        <v>57</v>
      </c>
      <c r="X76" s="183">
        <f ca="1" t="shared" si="4"/>
        <v>2604</v>
      </c>
      <c r="Y76" s="183">
        <f ca="1">OFFSET(产销汇总!$C$1,MATCH("体力消耗",产销汇总!$C$2:$C$8,0),$C$18)/10*5*W76</f>
        <v>11970</v>
      </c>
      <c r="Z76" s="183">
        <f t="shared" si="8"/>
        <v>0</v>
      </c>
      <c r="AA76" s="183">
        <f ca="1" t="shared" si="5"/>
        <v>14574</v>
      </c>
    </row>
    <row r="77" ht="18" spans="1:27">
      <c r="A77" s="171"/>
      <c r="B77" s="80">
        <v>58</v>
      </c>
      <c r="C77" s="80">
        <f ca="1">OFFSET(产销汇总!$C$12,$B77,$C$18)</f>
        <v>97.1499999999999</v>
      </c>
      <c r="D77" s="80">
        <f ca="1" t="shared" si="0"/>
        <v>460.75</v>
      </c>
      <c r="E77" s="80">
        <f ca="1">OFFSET(产销汇总!$C$1,MATCH(E$19,产销汇总!$C$2:$C$9,0),$C$18)*2</f>
        <v>12</v>
      </c>
      <c r="F77" s="80">
        <f t="shared" si="9"/>
        <v>21</v>
      </c>
      <c r="G77" s="80">
        <f t="shared" si="6"/>
        <v>0</v>
      </c>
      <c r="H77" s="80">
        <f t="shared" si="1"/>
        <v>6.4</v>
      </c>
      <c r="K77" s="132">
        <f t="shared" si="2"/>
        <v>81600</v>
      </c>
      <c r="L77" s="184">
        <v>58</v>
      </c>
      <c r="M77" s="180">
        <f>SUM($N$20:N77)</f>
        <v>6123</v>
      </c>
      <c r="N77" s="180">
        <v>240</v>
      </c>
      <c r="O77" s="180">
        <v>4010</v>
      </c>
      <c r="P77" s="180">
        <v>81401</v>
      </c>
      <c r="Q77" s="180">
        <v>0</v>
      </c>
      <c r="R77" s="180">
        <f t="shared" si="10"/>
        <v>81600</v>
      </c>
      <c r="S77" s="182">
        <f ca="1">U77-SUM($P$20:P77)/86400/(24+$C$12)*24</f>
        <v>8.34517886445684</v>
      </c>
      <c r="T77" s="179">
        <f t="shared" si="7"/>
        <v>79800</v>
      </c>
      <c r="U77" s="179">
        <f ca="1" t="shared" si="3"/>
        <v>20</v>
      </c>
      <c r="W77" s="183">
        <v>58</v>
      </c>
      <c r="X77" s="183">
        <f ca="1" t="shared" si="4"/>
        <v>2614.5</v>
      </c>
      <c r="Y77" s="183">
        <f ca="1">OFFSET(产销汇总!$C$1,MATCH("体力消耗",产销汇总!$C$2:$C$8,0),$C$18)/10*5*W77</f>
        <v>12180</v>
      </c>
      <c r="Z77" s="183">
        <f t="shared" si="8"/>
        <v>0</v>
      </c>
      <c r="AA77" s="183">
        <f ca="1" t="shared" si="5"/>
        <v>14794.5</v>
      </c>
    </row>
    <row r="78" ht="18" spans="1:27">
      <c r="A78" s="171"/>
      <c r="B78" s="80">
        <v>59</v>
      </c>
      <c r="C78" s="80">
        <f ca="1">OFFSET(产销汇总!$C$12,$B78,$C$18)</f>
        <v>97.4999999999999</v>
      </c>
      <c r="D78" s="80">
        <f ca="1" t="shared" si="0"/>
        <v>462.499999999999</v>
      </c>
      <c r="E78" s="80">
        <f ca="1">OFFSET(产销汇总!$C$1,MATCH(E$19,产销汇总!$C$2:$C$9,0),$C$18)*2</f>
        <v>12</v>
      </c>
      <c r="F78" s="80">
        <f t="shared" si="9"/>
        <v>21</v>
      </c>
      <c r="G78" s="80">
        <f t="shared" si="6"/>
        <v>0</v>
      </c>
      <c r="H78" s="80">
        <f t="shared" si="1"/>
        <v>6.4</v>
      </c>
      <c r="K78" s="132">
        <f t="shared" si="2"/>
        <v>83100</v>
      </c>
      <c r="L78" s="184">
        <v>59</v>
      </c>
      <c r="M78" s="180">
        <f>SUM($N$20:N78)</f>
        <v>6368</v>
      </c>
      <c r="N78" s="180">
        <v>245</v>
      </c>
      <c r="O78" s="180">
        <v>4080</v>
      </c>
      <c r="P78" s="180">
        <v>82829</v>
      </c>
      <c r="Q78" s="180">
        <v>0</v>
      </c>
      <c r="R78" s="180">
        <f t="shared" si="10"/>
        <v>83100</v>
      </c>
      <c r="S78" s="182">
        <f ca="1">U78-SUM($P$20:P78)/86400/(24+$C$12)*24</f>
        <v>8.62027786894213</v>
      </c>
      <c r="T78" s="179">
        <f t="shared" si="7"/>
        <v>81300</v>
      </c>
      <c r="U78" s="179">
        <f ca="1" t="shared" si="3"/>
        <v>21</v>
      </c>
      <c r="W78" s="183">
        <v>59</v>
      </c>
      <c r="X78" s="183">
        <f ca="1" t="shared" si="4"/>
        <v>2625</v>
      </c>
      <c r="Y78" s="183">
        <f ca="1">OFFSET(产销汇总!$C$1,MATCH("体力消耗",产销汇总!$C$2:$C$8,0),$C$18)/10*5*W78</f>
        <v>12390</v>
      </c>
      <c r="Z78" s="183">
        <f t="shared" si="8"/>
        <v>0</v>
      </c>
      <c r="AA78" s="183">
        <f ca="1" t="shared" si="5"/>
        <v>15015</v>
      </c>
    </row>
    <row r="79" ht="18" spans="1:27">
      <c r="A79" s="171"/>
      <c r="B79" s="80">
        <v>60</v>
      </c>
      <c r="C79" s="80">
        <f ca="1">OFFSET(产销汇总!$C$12,$B79,$C$18)</f>
        <v>97.8499999999999</v>
      </c>
      <c r="D79" s="80">
        <f ca="1" t="shared" si="0"/>
        <v>464.249999999999</v>
      </c>
      <c r="E79" s="80">
        <f ca="1">OFFSET(产销汇总!$C$1,MATCH(E$19,产销汇总!$C$2:$C$9,0),$C$18)*2</f>
        <v>12</v>
      </c>
      <c r="F79" s="80">
        <f t="shared" si="9"/>
        <v>21</v>
      </c>
      <c r="G79" s="80">
        <f t="shared" si="6"/>
        <v>0</v>
      </c>
      <c r="H79" s="80">
        <f t="shared" si="1"/>
        <v>6.4</v>
      </c>
      <c r="K79" s="132">
        <f t="shared" si="2"/>
        <v>84300</v>
      </c>
      <c r="L79" s="184">
        <v>60</v>
      </c>
      <c r="M79" s="180">
        <f>SUM($N$20:N79)</f>
        <v>6618</v>
      </c>
      <c r="N79" s="180">
        <v>250</v>
      </c>
      <c r="O79" s="180">
        <v>4150</v>
      </c>
      <c r="P79" s="180">
        <v>84257</v>
      </c>
      <c r="Q79" s="180">
        <v>0</v>
      </c>
      <c r="R79" s="180">
        <f t="shared" si="10"/>
        <v>84300</v>
      </c>
      <c r="S79" s="182">
        <f ca="1">U79-SUM($P$20:P79)/86400/(24+$C$12)*24</f>
        <v>8.88287933486489</v>
      </c>
      <c r="T79" s="179">
        <f t="shared" si="7"/>
        <v>82500</v>
      </c>
      <c r="U79" s="179">
        <f ca="1" t="shared" si="3"/>
        <v>22</v>
      </c>
      <c r="W79" s="183">
        <v>60</v>
      </c>
      <c r="X79" s="183">
        <f ca="1" t="shared" si="4"/>
        <v>2635.5</v>
      </c>
      <c r="Y79" s="183">
        <f ca="1">OFFSET(产销汇总!$C$1,MATCH("体力消耗",产销汇总!$C$2:$C$8,0),$C$18)/10*5*W79</f>
        <v>12600</v>
      </c>
      <c r="Z79" s="183">
        <f t="shared" si="8"/>
        <v>0</v>
      </c>
      <c r="AA79" s="183">
        <f ca="1" t="shared" si="5"/>
        <v>15235.5</v>
      </c>
    </row>
    <row r="80" ht="18" spans="1:27">
      <c r="A80" s="171"/>
      <c r="B80" s="80">
        <v>61</v>
      </c>
      <c r="C80" s="80">
        <f ca="1">OFFSET(产销汇总!$C$12,$B80,$C$18)</f>
        <v>98.1999999999999</v>
      </c>
      <c r="D80" s="80">
        <f ca="1" t="shared" si="0"/>
        <v>466</v>
      </c>
      <c r="E80" s="80">
        <f ca="1">OFFSET(产销汇总!$C$1,MATCH(E$19,产销汇总!$C$2:$C$9,0),$C$18)*2</f>
        <v>12</v>
      </c>
      <c r="F80" s="80">
        <f t="shared" si="9"/>
        <v>21</v>
      </c>
      <c r="G80" s="80">
        <f t="shared" si="6"/>
        <v>0</v>
      </c>
      <c r="H80" s="80">
        <f t="shared" si="1"/>
        <v>6.4</v>
      </c>
      <c r="K80" s="132">
        <f t="shared" si="2"/>
        <v>85800</v>
      </c>
      <c r="L80" s="184">
        <v>61</v>
      </c>
      <c r="M80" s="180">
        <f>SUM($N$20:N80)</f>
        <v>6873</v>
      </c>
      <c r="N80" s="180">
        <v>255</v>
      </c>
      <c r="O80" s="180">
        <v>4220</v>
      </c>
      <c r="P80" s="180">
        <v>85685</v>
      </c>
      <c r="Q80" s="180">
        <v>0</v>
      </c>
      <c r="R80" s="180">
        <f t="shared" si="10"/>
        <v>85800</v>
      </c>
      <c r="S80" s="182">
        <f ca="1">U80-SUM($P$20:P80)/86400/(24+$C$12)*24</f>
        <v>9.13298326222514</v>
      </c>
      <c r="T80" s="179">
        <f t="shared" si="7"/>
        <v>84000</v>
      </c>
      <c r="U80" s="179">
        <f ca="1" t="shared" si="3"/>
        <v>23</v>
      </c>
      <c r="W80" s="183">
        <v>61</v>
      </c>
      <c r="X80" s="183">
        <f ca="1" t="shared" si="4"/>
        <v>2646</v>
      </c>
      <c r="Y80" s="183">
        <f ca="1">OFFSET(产销汇总!$C$1,MATCH("体力消耗",产销汇总!$C$2:$C$8,0),$C$18)/10*5*W80</f>
        <v>12810</v>
      </c>
      <c r="Z80" s="183">
        <f t="shared" si="8"/>
        <v>0</v>
      </c>
      <c r="AA80" s="183">
        <f ca="1" t="shared" si="5"/>
        <v>15456</v>
      </c>
    </row>
    <row r="81" ht="18" spans="1:27">
      <c r="A81" s="171"/>
      <c r="B81" s="80">
        <v>62</v>
      </c>
      <c r="C81" s="80">
        <f ca="1">OFFSET(产销汇总!$C$12,$B81,$C$18)</f>
        <v>98.5499999999999</v>
      </c>
      <c r="D81" s="80">
        <f ca="1" t="shared" si="0"/>
        <v>467.749999999999</v>
      </c>
      <c r="E81" s="80">
        <f ca="1">OFFSET(产销汇总!$C$1,MATCH(E$19,产销汇总!$C$2:$C$9,0),$C$18)*2</f>
        <v>12</v>
      </c>
      <c r="F81" s="80">
        <f t="shared" si="9"/>
        <v>21</v>
      </c>
      <c r="G81" s="80">
        <f t="shared" si="6"/>
        <v>0</v>
      </c>
      <c r="H81" s="80">
        <f t="shared" si="1"/>
        <v>6.4</v>
      </c>
      <c r="K81" s="132">
        <f t="shared" si="2"/>
        <v>87300</v>
      </c>
      <c r="L81" s="184">
        <v>62</v>
      </c>
      <c r="M81" s="180">
        <f>SUM($N$20:N81)</f>
        <v>7133</v>
      </c>
      <c r="N81" s="180">
        <v>260</v>
      </c>
      <c r="O81" s="180">
        <v>4290</v>
      </c>
      <c r="P81" s="180">
        <v>87114</v>
      </c>
      <c r="Q81" s="180">
        <v>0</v>
      </c>
      <c r="R81" s="180">
        <f t="shared" si="10"/>
        <v>87300</v>
      </c>
      <c r="S81" s="182">
        <f ca="1">U81-SUM($P$20:P81)/86400/(24+$C$12)*24</f>
        <v>9.37058089924516</v>
      </c>
      <c r="T81" s="179">
        <f t="shared" si="7"/>
        <v>85500</v>
      </c>
      <c r="U81" s="179">
        <f ca="1" t="shared" si="3"/>
        <v>24</v>
      </c>
      <c r="W81" s="183">
        <v>62</v>
      </c>
      <c r="X81" s="183">
        <f ca="1" t="shared" si="4"/>
        <v>2656.5</v>
      </c>
      <c r="Y81" s="183">
        <f ca="1">OFFSET(产销汇总!$C$1,MATCH("体力消耗",产销汇总!$C$2:$C$8,0),$C$18)/10*5*W81</f>
        <v>13020</v>
      </c>
      <c r="Z81" s="183">
        <f t="shared" si="8"/>
        <v>0</v>
      </c>
      <c r="AA81" s="183">
        <f ca="1" t="shared" si="5"/>
        <v>15676.5</v>
      </c>
    </row>
    <row r="82" ht="18" spans="1:27">
      <c r="A82" s="171"/>
      <c r="B82" s="80">
        <v>63</v>
      </c>
      <c r="C82" s="80">
        <f ca="1">OFFSET(产销汇总!$C$12,$B82,$C$18)</f>
        <v>98.8999999999999</v>
      </c>
      <c r="D82" s="80">
        <f ca="1" t="shared" si="0"/>
        <v>469.5</v>
      </c>
      <c r="E82" s="80">
        <f ca="1">OFFSET(产销汇总!$C$1,MATCH(E$19,产销汇总!$C$2:$C$9,0),$C$18)*2</f>
        <v>12</v>
      </c>
      <c r="F82" s="80">
        <f t="shared" si="9"/>
        <v>21</v>
      </c>
      <c r="G82" s="80">
        <f t="shared" si="6"/>
        <v>0</v>
      </c>
      <c r="H82" s="80">
        <f t="shared" si="1"/>
        <v>6.4</v>
      </c>
      <c r="K82" s="132">
        <f t="shared" si="2"/>
        <v>88800</v>
      </c>
      <c r="L82" s="184">
        <v>63</v>
      </c>
      <c r="M82" s="180">
        <f>SUM($N$20:N82)</f>
        <v>7398</v>
      </c>
      <c r="N82" s="180">
        <v>265</v>
      </c>
      <c r="O82" s="180">
        <v>4360</v>
      </c>
      <c r="P82" s="180">
        <v>88542</v>
      </c>
      <c r="Q82" s="180">
        <v>0</v>
      </c>
      <c r="R82" s="180">
        <f t="shared" si="10"/>
        <v>88800</v>
      </c>
      <c r="S82" s="182">
        <f ca="1">U82-SUM($P$20:P82)/86400/(24+$C$12)*24</f>
        <v>9.59568099770266</v>
      </c>
      <c r="T82" s="179">
        <f t="shared" si="7"/>
        <v>87000</v>
      </c>
      <c r="U82" s="179">
        <f ca="1" t="shared" si="3"/>
        <v>25</v>
      </c>
      <c r="W82" s="183">
        <v>63</v>
      </c>
      <c r="X82" s="183">
        <f ca="1" t="shared" si="4"/>
        <v>2667</v>
      </c>
      <c r="Y82" s="183">
        <f ca="1">OFFSET(产销汇总!$C$1,MATCH("体力消耗",产销汇总!$C$2:$C$8,0),$C$18)/10*5*W82</f>
        <v>13230</v>
      </c>
      <c r="Z82" s="183">
        <f t="shared" si="8"/>
        <v>0</v>
      </c>
      <c r="AA82" s="183">
        <f ca="1" t="shared" si="5"/>
        <v>15897</v>
      </c>
    </row>
    <row r="83" ht="18" spans="1:27">
      <c r="A83" s="171"/>
      <c r="B83" s="80">
        <v>64</v>
      </c>
      <c r="C83" s="80">
        <f ca="1">OFFSET(产销汇总!$C$12,$B83,$C$18)</f>
        <v>99.2499999999999</v>
      </c>
      <c r="D83" s="80">
        <f ca="1" t="shared" si="0"/>
        <v>471.249999999999</v>
      </c>
      <c r="E83" s="80">
        <f ca="1">OFFSET(产销汇总!$C$1,MATCH(E$19,产销汇总!$C$2:$C$9,0),$C$18)*2</f>
        <v>12</v>
      </c>
      <c r="F83" s="80">
        <f t="shared" si="9"/>
        <v>21</v>
      </c>
      <c r="G83" s="80">
        <f t="shared" si="6"/>
        <v>0</v>
      </c>
      <c r="H83" s="80">
        <f t="shared" si="1"/>
        <v>6.4</v>
      </c>
      <c r="K83" s="132">
        <f t="shared" si="2"/>
        <v>90000</v>
      </c>
      <c r="L83" s="184">
        <v>64</v>
      </c>
      <c r="M83" s="180">
        <f>SUM($N$20:N83)</f>
        <v>7668</v>
      </c>
      <c r="N83" s="180">
        <v>270</v>
      </c>
      <c r="O83" s="180">
        <v>4430</v>
      </c>
      <c r="P83" s="180">
        <v>89970</v>
      </c>
      <c r="Q83" s="180">
        <v>0</v>
      </c>
      <c r="R83" s="180">
        <f t="shared" si="10"/>
        <v>90000</v>
      </c>
      <c r="S83" s="182">
        <f ca="1">U83-SUM($P$20:P83)/86400/(24+$C$12)*24</f>
        <v>10.8082835575976</v>
      </c>
      <c r="T83" s="179">
        <f t="shared" si="7"/>
        <v>88200</v>
      </c>
      <c r="U83" s="179">
        <f ca="1" t="shared" si="3"/>
        <v>27</v>
      </c>
      <c r="W83" s="183">
        <v>64</v>
      </c>
      <c r="X83" s="183">
        <f ca="1" t="shared" si="4"/>
        <v>2677.5</v>
      </c>
      <c r="Y83" s="183">
        <f ca="1">OFFSET(产销汇总!$C$1,MATCH("体力消耗",产销汇总!$C$2:$C$8,0),$C$18)/10*5*W83</f>
        <v>13440</v>
      </c>
      <c r="Z83" s="183">
        <f t="shared" si="8"/>
        <v>0</v>
      </c>
      <c r="AA83" s="183">
        <f ca="1" t="shared" si="5"/>
        <v>16117.5</v>
      </c>
    </row>
    <row r="84" ht="18" spans="1:27">
      <c r="A84" s="171"/>
      <c r="B84" s="80">
        <v>65</v>
      </c>
      <c r="C84" s="80">
        <f ca="1">OFFSET(产销汇总!$C$12,$B84,$C$18)</f>
        <v>99.5999999999999</v>
      </c>
      <c r="D84" s="80">
        <f ca="1" t="shared" ref="D84:D147" si="11">(C84-5)*5</f>
        <v>472.999999999999</v>
      </c>
      <c r="E84" s="80">
        <f ca="1">OFFSET(产销汇总!$C$1,MATCH(E$19,产销汇总!$C$2:$C$9,0),$C$18)*2</f>
        <v>12</v>
      </c>
      <c r="F84" s="80">
        <f t="shared" si="9"/>
        <v>21</v>
      </c>
      <c r="G84" s="80">
        <f t="shared" si="6"/>
        <v>0</v>
      </c>
      <c r="H84" s="80">
        <f t="shared" ref="H84:H147" si="12">ROUND(5+10/7,1)</f>
        <v>6.4</v>
      </c>
      <c r="K84" s="132">
        <f t="shared" ref="K84:K147" si="13">CEILING(R84,300)</f>
        <v>90300</v>
      </c>
      <c r="L84" s="184">
        <v>65</v>
      </c>
      <c r="M84" s="180">
        <f>SUM($N$20:N84)</f>
        <v>7943</v>
      </c>
      <c r="N84" s="180">
        <v>275</v>
      </c>
      <c r="O84" s="180">
        <v>4500</v>
      </c>
      <c r="P84" s="180">
        <v>90030</v>
      </c>
      <c r="Q84" s="180">
        <v>0</v>
      </c>
      <c r="R84" s="180">
        <f t="shared" si="10"/>
        <v>90300</v>
      </c>
      <c r="S84" s="182">
        <f ca="1">U84-SUM($P$20:P84)/86400/(24+$C$12)*24</f>
        <v>11.0203610108303</v>
      </c>
      <c r="T84" s="179">
        <f t="shared" si="7"/>
        <v>88500</v>
      </c>
      <c r="U84" s="179">
        <f ca="1" t="shared" ref="U84:U147" si="14">IFERROR(MATCH(M84,$AA$20:$AA$319,1)+1,1)</f>
        <v>28</v>
      </c>
      <c r="W84" s="183">
        <v>65</v>
      </c>
      <c r="X84" s="183">
        <f ca="1" t="shared" ref="X84:X147" si="15">(C84-10)*30</f>
        <v>2688</v>
      </c>
      <c r="Y84" s="183">
        <f ca="1">OFFSET(产销汇总!$C$1,MATCH("体力消耗",产销汇总!$C$2:$C$8,0),$C$18)/10*5*W84</f>
        <v>13650</v>
      </c>
      <c r="Z84" s="183">
        <f t="shared" si="8"/>
        <v>0</v>
      </c>
      <c r="AA84" s="183">
        <f ca="1" t="shared" ref="AA84:AA147" si="16">SUM(X84:Z84)</f>
        <v>16338</v>
      </c>
    </row>
    <row r="85" ht="18" spans="1:27">
      <c r="A85" s="171"/>
      <c r="B85" s="80">
        <v>66</v>
      </c>
      <c r="C85" s="80">
        <f ca="1">OFFSET(产销汇总!$C$12,$B85,$C$18)</f>
        <v>99.9499999999999</v>
      </c>
      <c r="D85" s="80">
        <f ca="1" t="shared" si="11"/>
        <v>474.75</v>
      </c>
      <c r="E85" s="80">
        <f ca="1">OFFSET(产销汇总!$C$1,MATCH(E$19,产销汇总!$C$2:$C$9,0),$C$18)*2</f>
        <v>12</v>
      </c>
      <c r="F85" s="80">
        <f t="shared" si="9"/>
        <v>21</v>
      </c>
      <c r="G85" s="80">
        <f t="shared" ref="G85:G148" si="17">G84</f>
        <v>0</v>
      </c>
      <c r="H85" s="80">
        <f t="shared" si="12"/>
        <v>6.4</v>
      </c>
      <c r="K85" s="132">
        <f t="shared" si="13"/>
        <v>90300</v>
      </c>
      <c r="L85" s="184">
        <v>66</v>
      </c>
      <c r="M85" s="180">
        <f>SUM($N$20:N85)</f>
        <v>8223</v>
      </c>
      <c r="N85" s="180">
        <v>280</v>
      </c>
      <c r="O85" s="180">
        <v>4570</v>
      </c>
      <c r="P85" s="180">
        <v>90091</v>
      </c>
      <c r="Q85" s="180">
        <v>0</v>
      </c>
      <c r="R85" s="180">
        <f t="shared" si="10"/>
        <v>90300</v>
      </c>
      <c r="S85" s="182">
        <f ca="1">U85-SUM($P$20:P85)/86400/(24+$C$12)*24</f>
        <v>11.231904605623</v>
      </c>
      <c r="T85" s="179">
        <f t="shared" ref="T85:T148" si="18">MAX(R85-30*60,0)</f>
        <v>88500</v>
      </c>
      <c r="U85" s="179">
        <f ca="1" t="shared" si="14"/>
        <v>29</v>
      </c>
      <c r="W85" s="183">
        <v>66</v>
      </c>
      <c r="X85" s="183">
        <f ca="1" t="shared" si="15"/>
        <v>2698.5</v>
      </c>
      <c r="Y85" s="183">
        <f ca="1">OFFSET(产销汇总!$C$1,MATCH("体力消耗",产销汇总!$C$2:$C$8,0),$C$18)/10*5*W85</f>
        <v>13860</v>
      </c>
      <c r="Z85" s="183">
        <f t="shared" ref="Z85:Z148" si="19">$Z$20*W85</f>
        <v>0</v>
      </c>
      <c r="AA85" s="183">
        <f ca="1" t="shared" si="16"/>
        <v>16558.5</v>
      </c>
    </row>
    <row r="86" ht="18" spans="1:27">
      <c r="A86" s="171"/>
      <c r="B86" s="80">
        <v>67</v>
      </c>
      <c r="C86" s="80">
        <f ca="1">OFFSET(产销汇总!$C$12,$B86,$C$18)</f>
        <v>100.3</v>
      </c>
      <c r="D86" s="80">
        <f ca="1" t="shared" si="11"/>
        <v>476.5</v>
      </c>
      <c r="E86" s="80">
        <f ca="1">OFFSET(产销汇总!$C$1,MATCH(E$19,产销汇总!$C$2:$C$9,0),$C$18)*2</f>
        <v>12</v>
      </c>
      <c r="F86" s="80">
        <f t="shared" ref="F86:F149" si="20">INT(13+10/7)*1.5</f>
        <v>21</v>
      </c>
      <c r="G86" s="80">
        <f t="shared" si="17"/>
        <v>0</v>
      </c>
      <c r="H86" s="80">
        <f t="shared" si="12"/>
        <v>6.4</v>
      </c>
      <c r="K86" s="132">
        <f t="shared" si="13"/>
        <v>90300</v>
      </c>
      <c r="L86" s="184">
        <v>67</v>
      </c>
      <c r="M86" s="180">
        <f>SUM($N$20:N86)</f>
        <v>8508</v>
      </c>
      <c r="N86" s="180">
        <v>285</v>
      </c>
      <c r="O86" s="180">
        <v>4640</v>
      </c>
      <c r="P86" s="180">
        <v>90151</v>
      </c>
      <c r="Q86" s="180">
        <v>0</v>
      </c>
      <c r="R86" s="180">
        <f t="shared" si="10"/>
        <v>90300</v>
      </c>
      <c r="S86" s="182">
        <f ca="1">U86-SUM($P$20:P86)/86400/(24+$C$12)*24</f>
        <v>11.4429230937534</v>
      </c>
      <c r="T86" s="179">
        <f t="shared" si="18"/>
        <v>88500</v>
      </c>
      <c r="U86" s="179">
        <f ca="1" t="shared" si="14"/>
        <v>30</v>
      </c>
      <c r="W86" s="183">
        <v>67</v>
      </c>
      <c r="X86" s="183">
        <f ca="1" t="shared" si="15"/>
        <v>2709</v>
      </c>
      <c r="Y86" s="183">
        <f ca="1">OFFSET(产销汇总!$C$1,MATCH("体力消耗",产销汇总!$C$2:$C$8,0),$C$18)/10*5*W86</f>
        <v>14070</v>
      </c>
      <c r="Z86" s="183">
        <f t="shared" si="19"/>
        <v>0</v>
      </c>
      <c r="AA86" s="183">
        <f ca="1" t="shared" si="16"/>
        <v>16779</v>
      </c>
    </row>
    <row r="87" ht="18" spans="1:27">
      <c r="A87" s="171"/>
      <c r="B87" s="80">
        <v>68</v>
      </c>
      <c r="C87" s="80">
        <f ca="1">OFFSET(产销汇总!$C$12,$B87,$C$18)</f>
        <v>100.65</v>
      </c>
      <c r="D87" s="80">
        <f ca="1" t="shared" si="11"/>
        <v>478.25</v>
      </c>
      <c r="E87" s="80">
        <f ca="1">OFFSET(产销汇总!$C$1,MATCH(E$19,产销汇总!$C$2:$C$9,0),$C$18)*2</f>
        <v>12</v>
      </c>
      <c r="F87" s="80">
        <f t="shared" si="20"/>
        <v>21</v>
      </c>
      <c r="G87" s="80">
        <f t="shared" si="17"/>
        <v>0</v>
      </c>
      <c r="H87" s="80">
        <f t="shared" si="12"/>
        <v>6.4</v>
      </c>
      <c r="K87" s="132">
        <f t="shared" si="13"/>
        <v>90300</v>
      </c>
      <c r="L87" s="184">
        <v>68</v>
      </c>
      <c r="M87" s="180">
        <f>SUM($N$20:N87)</f>
        <v>8798</v>
      </c>
      <c r="N87" s="180">
        <v>290</v>
      </c>
      <c r="O87" s="180">
        <v>4710</v>
      </c>
      <c r="P87" s="180">
        <v>90212</v>
      </c>
      <c r="Q87" s="180">
        <v>0</v>
      </c>
      <c r="R87" s="180">
        <f t="shared" si="10"/>
        <v>90300</v>
      </c>
      <c r="S87" s="182">
        <f ca="1">U87-SUM($P$20:P87)/86400/(24+$C$12)*24</f>
        <v>12.6534077234438</v>
      </c>
      <c r="T87" s="179">
        <f t="shared" si="18"/>
        <v>88500</v>
      </c>
      <c r="U87" s="179">
        <f ca="1" t="shared" si="14"/>
        <v>32</v>
      </c>
      <c r="W87" s="183">
        <v>68</v>
      </c>
      <c r="X87" s="183">
        <f ca="1" t="shared" si="15"/>
        <v>2719.5</v>
      </c>
      <c r="Y87" s="183">
        <f ca="1">OFFSET(产销汇总!$C$1,MATCH("体力消耗",产销汇总!$C$2:$C$8,0),$C$18)/10*5*W87</f>
        <v>14280</v>
      </c>
      <c r="Z87" s="183">
        <f t="shared" si="19"/>
        <v>0</v>
      </c>
      <c r="AA87" s="183">
        <f ca="1" t="shared" si="16"/>
        <v>16999.5</v>
      </c>
    </row>
    <row r="88" ht="18" spans="1:27">
      <c r="A88" s="171"/>
      <c r="B88" s="80">
        <v>69</v>
      </c>
      <c r="C88" s="80">
        <f ca="1">OFFSET(产销汇总!$C$12,$B88,$C$18)</f>
        <v>101</v>
      </c>
      <c r="D88" s="80">
        <f ca="1" t="shared" si="11"/>
        <v>480</v>
      </c>
      <c r="E88" s="80">
        <f ca="1">OFFSET(产销汇总!$C$1,MATCH(E$19,产销汇总!$C$2:$C$9,0),$C$18)*2</f>
        <v>12</v>
      </c>
      <c r="F88" s="80">
        <f t="shared" si="20"/>
        <v>21</v>
      </c>
      <c r="G88" s="80">
        <f t="shared" si="17"/>
        <v>0</v>
      </c>
      <c r="H88" s="80">
        <f t="shared" si="12"/>
        <v>6.4</v>
      </c>
      <c r="K88" s="132">
        <f t="shared" si="13"/>
        <v>90300</v>
      </c>
      <c r="L88" s="184">
        <v>69</v>
      </c>
      <c r="M88" s="180">
        <f>SUM($N$20:N88)</f>
        <v>9093</v>
      </c>
      <c r="N88" s="180">
        <v>295</v>
      </c>
      <c r="O88" s="180">
        <v>4780</v>
      </c>
      <c r="P88" s="180">
        <v>90272</v>
      </c>
      <c r="Q88" s="180">
        <v>0</v>
      </c>
      <c r="R88" s="180">
        <f t="shared" si="10"/>
        <v>90300</v>
      </c>
      <c r="S88" s="182">
        <f ca="1">U88-SUM($P$20:P88)/86400/(24+$C$12)*24</f>
        <v>12.8633672464719</v>
      </c>
      <c r="T88" s="179">
        <f t="shared" si="18"/>
        <v>88500</v>
      </c>
      <c r="U88" s="179">
        <f ca="1" t="shared" si="14"/>
        <v>33</v>
      </c>
      <c r="W88" s="183">
        <v>69</v>
      </c>
      <c r="X88" s="183">
        <f ca="1" t="shared" si="15"/>
        <v>2730</v>
      </c>
      <c r="Y88" s="183">
        <f ca="1">OFFSET(产销汇总!$C$1,MATCH("体力消耗",产销汇总!$C$2:$C$8,0),$C$18)/10*5*W88</f>
        <v>14490</v>
      </c>
      <c r="Z88" s="183">
        <f t="shared" si="19"/>
        <v>0</v>
      </c>
      <c r="AA88" s="183">
        <f ca="1" t="shared" si="16"/>
        <v>17220</v>
      </c>
    </row>
    <row r="89" ht="18" spans="1:27">
      <c r="A89" s="171"/>
      <c r="B89" s="80">
        <v>70</v>
      </c>
      <c r="C89" s="80">
        <f ca="1">OFFSET(产销汇总!$C$12,$B89,$C$18)</f>
        <v>101.35</v>
      </c>
      <c r="D89" s="80">
        <f ca="1" t="shared" si="11"/>
        <v>481.75</v>
      </c>
      <c r="E89" s="80">
        <f ca="1">OFFSET(产销汇总!$C$1,MATCH(E$19,产销汇总!$C$2:$C$9,0),$C$18)*2</f>
        <v>12</v>
      </c>
      <c r="F89" s="80">
        <f t="shared" si="20"/>
        <v>21</v>
      </c>
      <c r="G89" s="80">
        <f t="shared" si="17"/>
        <v>0</v>
      </c>
      <c r="H89" s="80">
        <f t="shared" si="12"/>
        <v>6.4</v>
      </c>
      <c r="K89" s="132">
        <f t="shared" si="13"/>
        <v>90600</v>
      </c>
      <c r="L89" s="184">
        <v>70</v>
      </c>
      <c r="M89" s="180">
        <f>SUM($N$20:N89)</f>
        <v>9393</v>
      </c>
      <c r="N89" s="180">
        <v>300</v>
      </c>
      <c r="O89" s="180">
        <v>4850</v>
      </c>
      <c r="P89" s="180">
        <v>90333</v>
      </c>
      <c r="Q89" s="180">
        <v>0</v>
      </c>
      <c r="R89" s="180">
        <f t="shared" si="10"/>
        <v>90600</v>
      </c>
      <c r="S89" s="182">
        <f ca="1">U89-SUM($P$20:P89)/86400/(24+$C$12)*24</f>
        <v>13.0727929110601</v>
      </c>
      <c r="T89" s="179">
        <f t="shared" si="18"/>
        <v>88800</v>
      </c>
      <c r="U89" s="179">
        <f ca="1" t="shared" si="14"/>
        <v>34</v>
      </c>
      <c r="W89" s="183">
        <v>70</v>
      </c>
      <c r="X89" s="183">
        <f ca="1" t="shared" si="15"/>
        <v>2740.5</v>
      </c>
      <c r="Y89" s="183">
        <f ca="1">OFFSET(产销汇总!$C$1,MATCH("体力消耗",产销汇总!$C$2:$C$8,0),$C$18)/10*5*W89</f>
        <v>14700</v>
      </c>
      <c r="Z89" s="183">
        <f t="shared" si="19"/>
        <v>0</v>
      </c>
      <c r="AA89" s="183">
        <f ca="1" t="shared" si="16"/>
        <v>17440.5</v>
      </c>
    </row>
    <row r="90" ht="18" spans="1:27">
      <c r="A90" s="171"/>
      <c r="B90" s="80">
        <v>71</v>
      </c>
      <c r="C90" s="80">
        <f ca="1">OFFSET(产销汇总!$C$12,$B90,$C$18)</f>
        <v>101.7</v>
      </c>
      <c r="D90" s="80">
        <f ca="1" t="shared" si="11"/>
        <v>483.5</v>
      </c>
      <c r="E90" s="80">
        <f ca="1">OFFSET(产销汇总!$C$1,MATCH(E$19,产销汇总!$C$2:$C$9,0),$C$18)*2</f>
        <v>12</v>
      </c>
      <c r="F90" s="80">
        <f t="shared" si="20"/>
        <v>21</v>
      </c>
      <c r="G90" s="80">
        <f t="shared" si="17"/>
        <v>0</v>
      </c>
      <c r="H90" s="80">
        <f t="shared" si="12"/>
        <v>6.4</v>
      </c>
      <c r="K90" s="132">
        <f t="shared" si="13"/>
        <v>90600</v>
      </c>
      <c r="L90" s="184">
        <v>71</v>
      </c>
      <c r="M90" s="180">
        <f>SUM($N$20:N90)</f>
        <v>9698</v>
      </c>
      <c r="N90" s="180">
        <v>305</v>
      </c>
      <c r="O90" s="180">
        <v>4920</v>
      </c>
      <c r="P90" s="180">
        <v>90393</v>
      </c>
      <c r="Q90" s="180">
        <v>0</v>
      </c>
      <c r="R90" s="180">
        <f t="shared" si="10"/>
        <v>90600</v>
      </c>
      <c r="S90" s="182">
        <f ca="1">U90-SUM($P$20:P90)/86400/(24+$C$12)*24</f>
        <v>14.2816934689859</v>
      </c>
      <c r="T90" s="179">
        <f t="shared" si="18"/>
        <v>88800</v>
      </c>
      <c r="U90" s="179">
        <f ca="1" t="shared" si="14"/>
        <v>36</v>
      </c>
      <c r="W90" s="183">
        <v>71</v>
      </c>
      <c r="X90" s="183">
        <f ca="1" t="shared" si="15"/>
        <v>2751</v>
      </c>
      <c r="Y90" s="183">
        <f ca="1">OFFSET(产销汇总!$C$1,MATCH("体力消耗",产销汇总!$C$2:$C$8,0),$C$18)/10*5*W90</f>
        <v>14910</v>
      </c>
      <c r="Z90" s="183">
        <f t="shared" si="19"/>
        <v>0</v>
      </c>
      <c r="AA90" s="183">
        <f ca="1" t="shared" si="16"/>
        <v>17661</v>
      </c>
    </row>
    <row r="91" ht="18" spans="1:27">
      <c r="A91" s="171"/>
      <c r="B91" s="80">
        <v>72</v>
      </c>
      <c r="C91" s="80">
        <f ca="1">OFFSET(产销汇总!$C$12,$B91,$C$18)</f>
        <v>102.05</v>
      </c>
      <c r="D91" s="80">
        <f ca="1" t="shared" si="11"/>
        <v>485.25</v>
      </c>
      <c r="E91" s="80">
        <f ca="1">OFFSET(产销汇总!$C$1,MATCH(E$19,产销汇总!$C$2:$C$9,0),$C$18)*2</f>
        <v>12</v>
      </c>
      <c r="F91" s="80">
        <f t="shared" si="20"/>
        <v>21</v>
      </c>
      <c r="G91" s="80">
        <f t="shared" si="17"/>
        <v>0</v>
      </c>
      <c r="H91" s="80">
        <f t="shared" si="12"/>
        <v>6.4</v>
      </c>
      <c r="K91" s="132">
        <f t="shared" si="13"/>
        <v>90600</v>
      </c>
      <c r="L91" s="184">
        <v>72</v>
      </c>
      <c r="M91" s="180">
        <f>SUM($N$20:N91)</f>
        <v>10008</v>
      </c>
      <c r="N91" s="180">
        <v>310</v>
      </c>
      <c r="O91" s="180">
        <v>4990</v>
      </c>
      <c r="P91" s="180">
        <v>90454</v>
      </c>
      <c r="Q91" s="180">
        <v>0</v>
      </c>
      <c r="R91" s="180">
        <f t="shared" ref="R91:R154" si="21">CEILING(P91*(1-Q91),300)</f>
        <v>90600</v>
      </c>
      <c r="S91" s="182">
        <f ca="1">U91-SUM($P$20:P91)/86400/(24+$C$12)*24</f>
        <v>14.4900601684717</v>
      </c>
      <c r="T91" s="179">
        <f t="shared" si="18"/>
        <v>88800</v>
      </c>
      <c r="U91" s="179">
        <f ca="1" t="shared" si="14"/>
        <v>37</v>
      </c>
      <c r="W91" s="183">
        <v>72</v>
      </c>
      <c r="X91" s="183">
        <f ca="1" t="shared" si="15"/>
        <v>2761.5</v>
      </c>
      <c r="Y91" s="183">
        <f ca="1">OFFSET(产销汇总!$C$1,MATCH("体力消耗",产销汇总!$C$2:$C$8,0),$C$18)/10*5*W91</f>
        <v>15120</v>
      </c>
      <c r="Z91" s="183">
        <f t="shared" si="19"/>
        <v>0</v>
      </c>
      <c r="AA91" s="183">
        <f ca="1" t="shared" si="16"/>
        <v>17881.5</v>
      </c>
    </row>
    <row r="92" ht="18" spans="1:27">
      <c r="A92" s="171"/>
      <c r="B92" s="80">
        <v>73</v>
      </c>
      <c r="C92" s="80">
        <f ca="1">OFFSET(产销汇总!$C$12,$B92,$C$18)</f>
        <v>102.4</v>
      </c>
      <c r="D92" s="80">
        <f ca="1" t="shared" si="11"/>
        <v>487</v>
      </c>
      <c r="E92" s="80">
        <f ca="1">OFFSET(产销汇总!$C$1,MATCH(E$19,产销汇总!$C$2:$C$9,0),$C$18)*2</f>
        <v>12</v>
      </c>
      <c r="F92" s="80">
        <f t="shared" si="20"/>
        <v>21</v>
      </c>
      <c r="G92" s="80">
        <f t="shared" si="17"/>
        <v>0</v>
      </c>
      <c r="H92" s="80">
        <f t="shared" si="12"/>
        <v>6.4</v>
      </c>
      <c r="K92" s="132">
        <f t="shared" si="13"/>
        <v>122100</v>
      </c>
      <c r="L92" s="184">
        <v>73</v>
      </c>
      <c r="M92" s="180">
        <f>SUM($N$20:N92)</f>
        <v>10323</v>
      </c>
      <c r="N92" s="180">
        <v>315</v>
      </c>
      <c r="O92" s="180">
        <v>5060</v>
      </c>
      <c r="P92" s="180">
        <v>121976</v>
      </c>
      <c r="Q92" s="180">
        <v>0</v>
      </c>
      <c r="R92" s="180">
        <f t="shared" si="21"/>
        <v>122100</v>
      </c>
      <c r="S92" s="182">
        <f ca="1">U92-SUM($P$20:P92)/86400/(24+$C$12)*24</f>
        <v>14.4225533311454</v>
      </c>
      <c r="T92" s="179">
        <f t="shared" si="18"/>
        <v>120300</v>
      </c>
      <c r="U92" s="179">
        <f ca="1" t="shared" si="14"/>
        <v>38</v>
      </c>
      <c r="W92" s="183">
        <v>73</v>
      </c>
      <c r="X92" s="183">
        <f ca="1" t="shared" si="15"/>
        <v>2772</v>
      </c>
      <c r="Y92" s="183">
        <f ca="1">OFFSET(产销汇总!$C$1,MATCH("体力消耗",产销汇总!$C$2:$C$8,0),$C$18)/10*5*W92</f>
        <v>15330</v>
      </c>
      <c r="Z92" s="183">
        <f t="shared" si="19"/>
        <v>0</v>
      </c>
      <c r="AA92" s="183">
        <f ca="1" t="shared" si="16"/>
        <v>18102</v>
      </c>
    </row>
    <row r="93" ht="18" spans="1:27">
      <c r="A93" s="171"/>
      <c r="B93" s="80">
        <v>74</v>
      </c>
      <c r="C93" s="80">
        <f ca="1">OFFSET(产销汇总!$C$12,$B93,$C$18)</f>
        <v>102.75</v>
      </c>
      <c r="D93" s="80">
        <f ca="1" t="shared" si="11"/>
        <v>488.75</v>
      </c>
      <c r="E93" s="80">
        <f ca="1">OFFSET(产销汇总!$C$1,MATCH(E$19,产销汇总!$C$2:$C$9,0),$C$18)*2</f>
        <v>12</v>
      </c>
      <c r="F93" s="80">
        <f t="shared" si="20"/>
        <v>21</v>
      </c>
      <c r="G93" s="80">
        <f t="shared" si="17"/>
        <v>0</v>
      </c>
      <c r="H93" s="80">
        <f t="shared" si="12"/>
        <v>6.4</v>
      </c>
      <c r="K93" s="132">
        <f t="shared" si="13"/>
        <v>123900</v>
      </c>
      <c r="L93" s="184">
        <v>74</v>
      </c>
      <c r="M93" s="180">
        <f>SUM($N$20:N93)</f>
        <v>10643</v>
      </c>
      <c r="N93" s="180">
        <v>320</v>
      </c>
      <c r="O93" s="180">
        <v>5130</v>
      </c>
      <c r="P93" s="180">
        <v>123670</v>
      </c>
      <c r="Q93" s="180">
        <v>0</v>
      </c>
      <c r="R93" s="180">
        <f t="shared" si="21"/>
        <v>123900</v>
      </c>
      <c r="S93" s="182">
        <f ca="1">U93-SUM($P$20:P93)/86400/(24+$C$12)*24</f>
        <v>15.340220982387</v>
      </c>
      <c r="T93" s="179">
        <f t="shared" si="18"/>
        <v>122100</v>
      </c>
      <c r="U93" s="179">
        <f ca="1" t="shared" si="14"/>
        <v>40</v>
      </c>
      <c r="W93" s="183">
        <v>74</v>
      </c>
      <c r="X93" s="183">
        <f ca="1" t="shared" si="15"/>
        <v>2782.5</v>
      </c>
      <c r="Y93" s="183">
        <f ca="1">OFFSET(产销汇总!$C$1,MATCH("体力消耗",产销汇总!$C$2:$C$8,0),$C$18)/10*5*W93</f>
        <v>15540</v>
      </c>
      <c r="Z93" s="183">
        <f t="shared" si="19"/>
        <v>0</v>
      </c>
      <c r="AA93" s="183">
        <f ca="1" t="shared" si="16"/>
        <v>18322.5</v>
      </c>
    </row>
    <row r="94" ht="18" spans="1:27">
      <c r="A94" s="171"/>
      <c r="B94" s="80">
        <v>75</v>
      </c>
      <c r="C94" s="80">
        <f ca="1">OFFSET(产销汇总!$C$12,$B94,$C$18)</f>
        <v>103.1</v>
      </c>
      <c r="D94" s="80">
        <f ca="1" t="shared" si="11"/>
        <v>490.5</v>
      </c>
      <c r="E94" s="80">
        <f ca="1">OFFSET(产销汇总!$C$1,MATCH(E$19,产销汇总!$C$2:$C$9,0),$C$18)*2</f>
        <v>12</v>
      </c>
      <c r="F94" s="80">
        <f t="shared" si="20"/>
        <v>21</v>
      </c>
      <c r="G94" s="80">
        <f t="shared" si="17"/>
        <v>0</v>
      </c>
      <c r="H94" s="80">
        <f t="shared" si="12"/>
        <v>6.4</v>
      </c>
      <c r="K94" s="132">
        <f t="shared" si="13"/>
        <v>125400</v>
      </c>
      <c r="L94" s="184">
        <v>75</v>
      </c>
      <c r="M94" s="180">
        <f>SUM($N$20:N94)</f>
        <v>10968</v>
      </c>
      <c r="N94" s="180">
        <v>325</v>
      </c>
      <c r="O94" s="180">
        <v>5200</v>
      </c>
      <c r="P94" s="180">
        <v>125364</v>
      </c>
      <c r="Q94" s="180">
        <v>0</v>
      </c>
      <c r="R94" s="180">
        <f t="shared" si="21"/>
        <v>125400</v>
      </c>
      <c r="S94" s="182">
        <f ca="1">U94-SUM($P$20:P94)/86400/(24+$C$12)*24</f>
        <v>15.2430631221967</v>
      </c>
      <c r="T94" s="179">
        <f t="shared" si="18"/>
        <v>123600</v>
      </c>
      <c r="U94" s="179">
        <f ca="1" t="shared" si="14"/>
        <v>41</v>
      </c>
      <c r="W94" s="183">
        <v>75</v>
      </c>
      <c r="X94" s="183">
        <f ca="1" t="shared" si="15"/>
        <v>2793</v>
      </c>
      <c r="Y94" s="183">
        <f ca="1">OFFSET(产销汇总!$C$1,MATCH("体力消耗",产销汇总!$C$2:$C$8,0),$C$18)/10*5*W94</f>
        <v>15750</v>
      </c>
      <c r="Z94" s="183">
        <f t="shared" si="19"/>
        <v>0</v>
      </c>
      <c r="AA94" s="183">
        <f ca="1" t="shared" si="16"/>
        <v>18543</v>
      </c>
    </row>
    <row r="95" ht="18" spans="1:27">
      <c r="A95" s="171"/>
      <c r="B95" s="80">
        <v>76</v>
      </c>
      <c r="C95" s="80">
        <f ca="1">OFFSET(产销汇总!$C$12,$B95,$C$18)</f>
        <v>103.45</v>
      </c>
      <c r="D95" s="80">
        <f ca="1" t="shared" si="11"/>
        <v>492.25</v>
      </c>
      <c r="E95" s="80">
        <f ca="1">OFFSET(产销汇总!$C$1,MATCH(E$19,产销汇总!$C$2:$C$9,0),$C$18)*2</f>
        <v>12</v>
      </c>
      <c r="F95" s="80">
        <f t="shared" si="20"/>
        <v>21</v>
      </c>
      <c r="G95" s="80">
        <f t="shared" si="17"/>
        <v>0</v>
      </c>
      <c r="H95" s="80">
        <f t="shared" si="12"/>
        <v>6.4</v>
      </c>
      <c r="K95" s="132">
        <f t="shared" si="13"/>
        <v>127200</v>
      </c>
      <c r="L95" s="184">
        <v>76</v>
      </c>
      <c r="M95" s="180">
        <f>SUM($N$20:N95)</f>
        <v>11298</v>
      </c>
      <c r="N95" s="180">
        <v>330</v>
      </c>
      <c r="O95" s="180">
        <v>5270</v>
      </c>
      <c r="P95" s="180">
        <v>127058</v>
      </c>
      <c r="Q95" s="180">
        <v>0</v>
      </c>
      <c r="R95" s="180">
        <f t="shared" si="21"/>
        <v>127200</v>
      </c>
      <c r="S95" s="182">
        <f ca="1">U95-SUM($P$20:P95)/86400/(24+$C$12)*24</f>
        <v>16.1310797505743</v>
      </c>
      <c r="T95" s="179">
        <f t="shared" si="18"/>
        <v>125400</v>
      </c>
      <c r="U95" s="179">
        <f ca="1" t="shared" si="14"/>
        <v>43</v>
      </c>
      <c r="W95" s="183">
        <v>76</v>
      </c>
      <c r="X95" s="183">
        <f ca="1" t="shared" si="15"/>
        <v>2803.5</v>
      </c>
      <c r="Y95" s="183">
        <f ca="1">OFFSET(产销汇总!$C$1,MATCH("体力消耗",产销汇总!$C$2:$C$8,0),$C$18)/10*5*W95</f>
        <v>15960</v>
      </c>
      <c r="Z95" s="183">
        <f t="shared" si="19"/>
        <v>0</v>
      </c>
      <c r="AA95" s="183">
        <f ca="1" t="shared" si="16"/>
        <v>18763.5</v>
      </c>
    </row>
    <row r="96" ht="18" spans="1:27">
      <c r="A96" s="171"/>
      <c r="B96" s="80">
        <v>77</v>
      </c>
      <c r="C96" s="80">
        <f ca="1">OFFSET(产销汇总!$C$12,$B96,$C$18)</f>
        <v>103.8</v>
      </c>
      <c r="D96" s="80">
        <f ca="1" t="shared" si="11"/>
        <v>494</v>
      </c>
      <c r="E96" s="80">
        <f ca="1">OFFSET(产销汇总!$C$1,MATCH(E$19,产销汇总!$C$2:$C$9,0),$C$18)*2</f>
        <v>12</v>
      </c>
      <c r="F96" s="80">
        <f t="shared" si="20"/>
        <v>21</v>
      </c>
      <c r="G96" s="80">
        <f t="shared" si="17"/>
        <v>0</v>
      </c>
      <c r="H96" s="80">
        <f t="shared" si="12"/>
        <v>6.4</v>
      </c>
      <c r="K96" s="132">
        <f t="shared" si="13"/>
        <v>129000</v>
      </c>
      <c r="L96" s="184">
        <v>77</v>
      </c>
      <c r="M96" s="180">
        <f>SUM($N$20:N96)</f>
        <v>11633</v>
      </c>
      <c r="N96" s="180">
        <v>335</v>
      </c>
      <c r="O96" s="180">
        <v>5340</v>
      </c>
      <c r="P96" s="180">
        <v>128752</v>
      </c>
      <c r="Q96" s="180">
        <v>0</v>
      </c>
      <c r="R96" s="180">
        <f t="shared" si="21"/>
        <v>129000</v>
      </c>
      <c r="S96" s="182">
        <f ca="1">U96-SUM($P$20:P96)/86400/(24+$C$12)*24</f>
        <v>16.00427086752</v>
      </c>
      <c r="T96" s="179">
        <f t="shared" si="18"/>
        <v>127200</v>
      </c>
      <c r="U96" s="179">
        <f ca="1" t="shared" si="14"/>
        <v>44</v>
      </c>
      <c r="W96" s="183">
        <v>77</v>
      </c>
      <c r="X96" s="183">
        <f ca="1" t="shared" si="15"/>
        <v>2814</v>
      </c>
      <c r="Y96" s="183">
        <f ca="1">OFFSET(产销汇总!$C$1,MATCH("体力消耗",产销汇总!$C$2:$C$8,0),$C$18)/10*5*W96</f>
        <v>16170</v>
      </c>
      <c r="Z96" s="183">
        <f t="shared" si="19"/>
        <v>0</v>
      </c>
      <c r="AA96" s="183">
        <f ca="1" t="shared" si="16"/>
        <v>18984</v>
      </c>
    </row>
    <row r="97" ht="18" spans="1:27">
      <c r="A97" s="171"/>
      <c r="B97" s="80">
        <v>78</v>
      </c>
      <c r="C97" s="80">
        <f ca="1">OFFSET(产销汇总!$C$12,$B97,$C$18)</f>
        <v>104.15</v>
      </c>
      <c r="D97" s="80">
        <f ca="1" t="shared" si="11"/>
        <v>495.75</v>
      </c>
      <c r="E97" s="80">
        <f ca="1">OFFSET(产销汇总!$C$1,MATCH(E$19,产销汇总!$C$2:$C$9,0),$C$18)*2</f>
        <v>12</v>
      </c>
      <c r="F97" s="80">
        <f t="shared" si="20"/>
        <v>21</v>
      </c>
      <c r="G97" s="80">
        <f t="shared" si="17"/>
        <v>0</v>
      </c>
      <c r="H97" s="80">
        <f t="shared" si="12"/>
        <v>6.4</v>
      </c>
      <c r="K97" s="132">
        <f t="shared" si="13"/>
        <v>130500</v>
      </c>
      <c r="L97" s="184">
        <v>78</v>
      </c>
      <c r="M97" s="180">
        <f>SUM($N$20:N97)</f>
        <v>11973</v>
      </c>
      <c r="N97" s="180">
        <v>340</v>
      </c>
      <c r="O97" s="180">
        <v>5410</v>
      </c>
      <c r="P97" s="180">
        <v>130447</v>
      </c>
      <c r="Q97" s="180">
        <v>0</v>
      </c>
      <c r="R97" s="180">
        <f t="shared" si="21"/>
        <v>130500</v>
      </c>
      <c r="S97" s="182">
        <f ca="1">U97-SUM($P$20:P97)/86400/(24+$C$12)*24</f>
        <v>16.8626277212559</v>
      </c>
      <c r="T97" s="179">
        <f t="shared" si="18"/>
        <v>128700</v>
      </c>
      <c r="U97" s="179">
        <f ca="1" t="shared" si="14"/>
        <v>46</v>
      </c>
      <c r="W97" s="183">
        <v>78</v>
      </c>
      <c r="X97" s="183">
        <f ca="1" t="shared" si="15"/>
        <v>2824.5</v>
      </c>
      <c r="Y97" s="183">
        <f ca="1">OFFSET(产销汇总!$C$1,MATCH("体力消耗",产销汇总!$C$2:$C$8,0),$C$18)/10*5*W97</f>
        <v>16380</v>
      </c>
      <c r="Z97" s="183">
        <f t="shared" si="19"/>
        <v>0</v>
      </c>
      <c r="AA97" s="183">
        <f ca="1" t="shared" si="16"/>
        <v>19204.5</v>
      </c>
    </row>
    <row r="98" ht="18" spans="1:27">
      <c r="A98" s="171"/>
      <c r="B98" s="80">
        <v>79</v>
      </c>
      <c r="C98" s="80">
        <f ca="1">OFFSET(产销汇总!$C$12,$B98,$C$18)</f>
        <v>104.5</v>
      </c>
      <c r="D98" s="80">
        <f ca="1" t="shared" si="11"/>
        <v>497.5</v>
      </c>
      <c r="E98" s="80">
        <f ca="1">OFFSET(产销汇总!$C$1,MATCH(E$19,产销汇总!$C$2:$C$9,0),$C$18)*2</f>
        <v>12</v>
      </c>
      <c r="F98" s="80">
        <f t="shared" si="20"/>
        <v>21</v>
      </c>
      <c r="G98" s="80">
        <f t="shared" si="17"/>
        <v>0</v>
      </c>
      <c r="H98" s="80">
        <f t="shared" si="12"/>
        <v>6.4</v>
      </c>
      <c r="K98" s="132">
        <f t="shared" si="13"/>
        <v>132300</v>
      </c>
      <c r="L98" s="184">
        <v>79</v>
      </c>
      <c r="M98" s="180">
        <f>SUM($N$20:N98)</f>
        <v>12318</v>
      </c>
      <c r="N98" s="180">
        <v>345</v>
      </c>
      <c r="O98" s="180">
        <v>5480</v>
      </c>
      <c r="P98" s="180">
        <v>132141</v>
      </c>
      <c r="Q98" s="180">
        <v>0</v>
      </c>
      <c r="R98" s="180">
        <f t="shared" si="21"/>
        <v>132300</v>
      </c>
      <c r="S98" s="182">
        <f ca="1">U98-SUM($P$20:P98)/86400/(24+$C$12)*24</f>
        <v>16.7061590635598</v>
      </c>
      <c r="T98" s="179">
        <f t="shared" si="18"/>
        <v>130500</v>
      </c>
      <c r="U98" s="179">
        <f ca="1" t="shared" si="14"/>
        <v>47</v>
      </c>
      <c r="W98" s="183">
        <v>79</v>
      </c>
      <c r="X98" s="183">
        <f ca="1" t="shared" si="15"/>
        <v>2835</v>
      </c>
      <c r="Y98" s="183">
        <f ca="1">OFFSET(产销汇总!$C$1,MATCH("体力消耗",产销汇总!$C$2:$C$8,0),$C$18)/10*5*W98</f>
        <v>16590</v>
      </c>
      <c r="Z98" s="183">
        <f t="shared" si="19"/>
        <v>0</v>
      </c>
      <c r="AA98" s="183">
        <f ca="1" t="shared" si="16"/>
        <v>19425</v>
      </c>
    </row>
    <row r="99" ht="18" spans="1:27">
      <c r="A99" s="171"/>
      <c r="B99" s="80">
        <v>80</v>
      </c>
      <c r="C99" s="80">
        <f ca="1">OFFSET(产销汇总!$C$12,$B99,$C$18)</f>
        <v>104.85</v>
      </c>
      <c r="D99" s="80">
        <f ca="1" t="shared" si="11"/>
        <v>499.25</v>
      </c>
      <c r="E99" s="80">
        <f ca="1">OFFSET(产销汇总!$C$1,MATCH(E$19,产销汇总!$C$2:$C$9,0),$C$18)*2</f>
        <v>12</v>
      </c>
      <c r="F99" s="80">
        <f t="shared" si="20"/>
        <v>21</v>
      </c>
      <c r="G99" s="80">
        <f t="shared" si="17"/>
        <v>0</v>
      </c>
      <c r="H99" s="80">
        <f t="shared" si="12"/>
        <v>6.4</v>
      </c>
      <c r="K99" s="132">
        <f t="shared" si="13"/>
        <v>134100</v>
      </c>
      <c r="L99" s="184">
        <v>80</v>
      </c>
      <c r="M99" s="180">
        <f>SUM($N$20:N99)</f>
        <v>12668</v>
      </c>
      <c r="N99" s="180">
        <v>350</v>
      </c>
      <c r="O99" s="180">
        <v>5550</v>
      </c>
      <c r="P99" s="180">
        <v>133835</v>
      </c>
      <c r="Q99" s="180">
        <v>0</v>
      </c>
      <c r="R99" s="180">
        <f t="shared" si="21"/>
        <v>134100</v>
      </c>
      <c r="S99" s="182">
        <f ca="1">U99-SUM($P$20:P99)/86400/(24+$C$12)*24</f>
        <v>17.5348648944317</v>
      </c>
      <c r="T99" s="179">
        <f t="shared" si="18"/>
        <v>132300</v>
      </c>
      <c r="U99" s="179">
        <f ca="1" t="shared" si="14"/>
        <v>49</v>
      </c>
      <c r="W99" s="183">
        <v>80</v>
      </c>
      <c r="X99" s="183">
        <f ca="1" t="shared" si="15"/>
        <v>2845.5</v>
      </c>
      <c r="Y99" s="183">
        <f ca="1">OFFSET(产销汇总!$C$1,MATCH("体力消耗",产销汇总!$C$2:$C$8,0),$C$18)/10*5*W99</f>
        <v>16800</v>
      </c>
      <c r="Z99" s="183">
        <f t="shared" si="19"/>
        <v>0</v>
      </c>
      <c r="AA99" s="183">
        <f ca="1" t="shared" si="16"/>
        <v>19645.5</v>
      </c>
    </row>
    <row r="100" ht="18" spans="1:27">
      <c r="A100" s="171"/>
      <c r="B100" s="80">
        <v>81</v>
      </c>
      <c r="C100" s="80">
        <f ca="1">OFFSET(产销汇总!$C$12,$B100,$C$18)</f>
        <v>105.2</v>
      </c>
      <c r="D100" s="80">
        <f ca="1" t="shared" si="11"/>
        <v>501</v>
      </c>
      <c r="E100" s="80">
        <f ca="1">OFFSET(产销汇总!$C$1,MATCH(E$19,产销汇总!$C$2:$C$9,0),$C$18)*2</f>
        <v>12</v>
      </c>
      <c r="F100" s="80">
        <f t="shared" si="20"/>
        <v>21</v>
      </c>
      <c r="G100" s="80">
        <f t="shared" si="17"/>
        <v>0</v>
      </c>
      <c r="H100" s="80">
        <f t="shared" si="12"/>
        <v>6.4</v>
      </c>
      <c r="K100" s="132">
        <f t="shared" si="13"/>
        <v>134100</v>
      </c>
      <c r="L100" s="184">
        <v>81</v>
      </c>
      <c r="M100" s="180">
        <f>SUM($N$20:N100)</f>
        <v>13023</v>
      </c>
      <c r="N100" s="180">
        <v>355</v>
      </c>
      <c r="O100" s="180">
        <v>5620</v>
      </c>
      <c r="P100" s="180">
        <v>133895</v>
      </c>
      <c r="Q100" s="180">
        <v>0</v>
      </c>
      <c r="R100" s="180">
        <f t="shared" si="21"/>
        <v>134100</v>
      </c>
      <c r="S100" s="182">
        <f ca="1">U100-SUM($P$20:P100)/86400/(24+$C$12)*24</f>
        <v>17.3630456186413</v>
      </c>
      <c r="T100" s="179">
        <f t="shared" si="18"/>
        <v>132300</v>
      </c>
      <c r="U100" s="179">
        <f ca="1" t="shared" si="14"/>
        <v>50</v>
      </c>
      <c r="W100" s="183">
        <v>81</v>
      </c>
      <c r="X100" s="183">
        <f ca="1" t="shared" si="15"/>
        <v>2856</v>
      </c>
      <c r="Y100" s="183">
        <f ca="1">OFFSET(产销汇总!$C$1,MATCH("体力消耗",产销汇总!$C$2:$C$8,0),$C$18)/10*5*W100</f>
        <v>17010</v>
      </c>
      <c r="Z100" s="183">
        <f t="shared" si="19"/>
        <v>0</v>
      </c>
      <c r="AA100" s="183">
        <f ca="1" t="shared" si="16"/>
        <v>19866</v>
      </c>
    </row>
    <row r="101" ht="18" spans="1:27">
      <c r="A101" s="171"/>
      <c r="B101" s="80">
        <v>82</v>
      </c>
      <c r="C101" s="80">
        <f ca="1">OFFSET(产销汇总!$C$12,$B101,$C$18)</f>
        <v>105.55</v>
      </c>
      <c r="D101" s="80">
        <f ca="1" t="shared" si="11"/>
        <v>502.75</v>
      </c>
      <c r="E101" s="80">
        <f ca="1">OFFSET(产销汇总!$C$1,MATCH(E$19,产销汇总!$C$2:$C$9,0),$C$18)*2</f>
        <v>12</v>
      </c>
      <c r="F101" s="80">
        <f t="shared" si="20"/>
        <v>21</v>
      </c>
      <c r="G101" s="80">
        <f t="shared" si="17"/>
        <v>0</v>
      </c>
      <c r="H101" s="80">
        <f t="shared" si="12"/>
        <v>6.4</v>
      </c>
      <c r="K101" s="132">
        <f t="shared" si="13"/>
        <v>134100</v>
      </c>
      <c r="L101" s="184">
        <v>82</v>
      </c>
      <c r="M101" s="180">
        <f>SUM($N$20:N101)</f>
        <v>13383</v>
      </c>
      <c r="N101" s="180">
        <v>360</v>
      </c>
      <c r="O101" s="180">
        <v>5690</v>
      </c>
      <c r="P101" s="180">
        <v>133956</v>
      </c>
      <c r="Q101" s="180">
        <v>0</v>
      </c>
      <c r="R101" s="180">
        <f t="shared" si="21"/>
        <v>134100</v>
      </c>
      <c r="S101" s="182">
        <f ca="1">U101-SUM($P$20:P101)/86400/(24+$C$12)*24</f>
        <v>18.1906924844109</v>
      </c>
      <c r="T101" s="179">
        <f t="shared" si="18"/>
        <v>132300</v>
      </c>
      <c r="U101" s="179">
        <f ca="1" t="shared" si="14"/>
        <v>52</v>
      </c>
      <c r="W101" s="183">
        <v>82</v>
      </c>
      <c r="X101" s="183">
        <f ca="1" t="shared" si="15"/>
        <v>2866.5</v>
      </c>
      <c r="Y101" s="183">
        <f ca="1">OFFSET(产销汇总!$C$1,MATCH("体力消耗",产销汇总!$C$2:$C$8,0),$C$18)/10*5*W101</f>
        <v>17220</v>
      </c>
      <c r="Z101" s="183">
        <f t="shared" si="19"/>
        <v>0</v>
      </c>
      <c r="AA101" s="183">
        <f ca="1" t="shared" si="16"/>
        <v>20086.5</v>
      </c>
    </row>
    <row r="102" ht="18" spans="1:27">
      <c r="A102" s="171"/>
      <c r="B102" s="80">
        <v>83</v>
      </c>
      <c r="C102" s="80">
        <f ca="1">OFFSET(产销汇总!$C$12,$B102,$C$18)</f>
        <v>105.9</v>
      </c>
      <c r="D102" s="80">
        <f ca="1" t="shared" si="11"/>
        <v>504.5</v>
      </c>
      <c r="E102" s="80">
        <f ca="1">OFFSET(产销汇总!$C$1,MATCH(E$19,产销汇总!$C$2:$C$9,0),$C$18)*2</f>
        <v>12</v>
      </c>
      <c r="F102" s="80">
        <f t="shared" si="20"/>
        <v>21</v>
      </c>
      <c r="G102" s="80">
        <f t="shared" si="17"/>
        <v>0</v>
      </c>
      <c r="H102" s="80">
        <f t="shared" si="12"/>
        <v>6.4</v>
      </c>
      <c r="K102" s="132">
        <f t="shared" si="13"/>
        <v>134100</v>
      </c>
      <c r="L102" s="184">
        <v>83</v>
      </c>
      <c r="M102" s="180">
        <f>SUM($N$20:N102)</f>
        <v>13748</v>
      </c>
      <c r="N102" s="180">
        <v>365</v>
      </c>
      <c r="O102" s="180">
        <v>5760</v>
      </c>
      <c r="P102" s="180">
        <v>134016</v>
      </c>
      <c r="Q102" s="180">
        <v>0</v>
      </c>
      <c r="R102" s="180">
        <f t="shared" si="21"/>
        <v>134100</v>
      </c>
      <c r="S102" s="182">
        <f ca="1">U102-SUM($P$20:P102)/86400/(24+$C$12)*24</f>
        <v>19.0178142435182</v>
      </c>
      <c r="T102" s="179">
        <f t="shared" si="18"/>
        <v>132300</v>
      </c>
      <c r="U102" s="179">
        <f ca="1" t="shared" si="14"/>
        <v>54</v>
      </c>
      <c r="W102" s="183">
        <v>83</v>
      </c>
      <c r="X102" s="183">
        <f ca="1" t="shared" si="15"/>
        <v>2877</v>
      </c>
      <c r="Y102" s="183">
        <f ca="1">OFFSET(产销汇总!$C$1,MATCH("体力消耗",产销汇总!$C$2:$C$8,0),$C$18)/10*5*W102</f>
        <v>17430</v>
      </c>
      <c r="Z102" s="183">
        <f t="shared" si="19"/>
        <v>0</v>
      </c>
      <c r="AA102" s="183">
        <f ca="1" t="shared" si="16"/>
        <v>20307</v>
      </c>
    </row>
    <row r="103" ht="18" spans="1:27">
      <c r="A103" s="171"/>
      <c r="B103" s="80">
        <v>84</v>
      </c>
      <c r="C103" s="80">
        <f ca="1">OFFSET(产销汇总!$C$12,$B103,$C$18)</f>
        <v>106.25</v>
      </c>
      <c r="D103" s="80">
        <f ca="1" t="shared" si="11"/>
        <v>506.25</v>
      </c>
      <c r="E103" s="80">
        <f ca="1">OFFSET(产销汇总!$C$1,MATCH(E$19,产销汇总!$C$2:$C$9,0),$C$18)*2</f>
        <v>12</v>
      </c>
      <c r="F103" s="80">
        <f t="shared" si="20"/>
        <v>21</v>
      </c>
      <c r="G103" s="80">
        <f t="shared" si="17"/>
        <v>0</v>
      </c>
      <c r="H103" s="80">
        <f t="shared" si="12"/>
        <v>6.4</v>
      </c>
      <c r="K103" s="132">
        <f t="shared" si="13"/>
        <v>134100</v>
      </c>
      <c r="L103" s="184">
        <v>84</v>
      </c>
      <c r="M103" s="180">
        <f>SUM($N$20:N103)</f>
        <v>14118</v>
      </c>
      <c r="N103" s="180">
        <v>370</v>
      </c>
      <c r="O103" s="180">
        <v>5830</v>
      </c>
      <c r="P103" s="180">
        <v>134077</v>
      </c>
      <c r="Q103" s="180">
        <v>0</v>
      </c>
      <c r="R103" s="180">
        <f t="shared" si="21"/>
        <v>134100</v>
      </c>
      <c r="S103" s="182">
        <f ca="1">U103-SUM($P$20:P103)/86400/(24+$C$12)*24</f>
        <v>18.8444021441855</v>
      </c>
      <c r="T103" s="179">
        <f t="shared" si="18"/>
        <v>132300</v>
      </c>
      <c r="U103" s="179">
        <f ca="1" t="shared" si="14"/>
        <v>55</v>
      </c>
      <c r="W103" s="183">
        <v>84</v>
      </c>
      <c r="X103" s="183">
        <f ca="1" t="shared" si="15"/>
        <v>2887.5</v>
      </c>
      <c r="Y103" s="183">
        <f ca="1">OFFSET(产销汇总!$C$1,MATCH("体力消耗",产销汇总!$C$2:$C$8,0),$C$18)/10*5*W103</f>
        <v>17640</v>
      </c>
      <c r="Z103" s="183">
        <f t="shared" si="19"/>
        <v>0</v>
      </c>
      <c r="AA103" s="183">
        <f ca="1" t="shared" si="16"/>
        <v>20527.5</v>
      </c>
    </row>
    <row r="104" ht="18" spans="1:27">
      <c r="A104" s="171"/>
      <c r="B104" s="80">
        <v>85</v>
      </c>
      <c r="C104" s="80">
        <f ca="1">OFFSET(产销汇总!$C$12,$B104,$C$18)</f>
        <v>106.6</v>
      </c>
      <c r="D104" s="80">
        <f ca="1" t="shared" si="11"/>
        <v>508</v>
      </c>
      <c r="E104" s="80">
        <f ca="1">OFFSET(产销汇总!$C$1,MATCH(E$19,产销汇总!$C$2:$C$9,0),$C$18)*2</f>
        <v>12</v>
      </c>
      <c r="F104" s="80">
        <f t="shared" si="20"/>
        <v>21</v>
      </c>
      <c r="G104" s="80">
        <f t="shared" si="17"/>
        <v>0</v>
      </c>
      <c r="H104" s="80">
        <f t="shared" si="12"/>
        <v>6.4</v>
      </c>
      <c r="K104" s="132">
        <f t="shared" si="13"/>
        <v>134400</v>
      </c>
      <c r="L104" s="184">
        <v>85</v>
      </c>
      <c r="M104" s="180">
        <f>SUM($N$20:N104)</f>
        <v>14493</v>
      </c>
      <c r="N104" s="180">
        <v>375</v>
      </c>
      <c r="O104" s="180">
        <v>5900</v>
      </c>
      <c r="P104" s="180">
        <v>134137</v>
      </c>
      <c r="Q104" s="180">
        <v>0</v>
      </c>
      <c r="R104" s="180">
        <f t="shared" si="21"/>
        <v>134400</v>
      </c>
      <c r="S104" s="182">
        <f ca="1">U104-SUM($P$20:P104)/86400/(24+$C$12)*24</f>
        <v>19.6704649381906</v>
      </c>
      <c r="T104" s="179">
        <f t="shared" si="18"/>
        <v>132600</v>
      </c>
      <c r="U104" s="179">
        <f ca="1" t="shared" si="14"/>
        <v>57</v>
      </c>
      <c r="W104" s="183">
        <v>85</v>
      </c>
      <c r="X104" s="183">
        <f ca="1" t="shared" si="15"/>
        <v>2898</v>
      </c>
      <c r="Y104" s="183">
        <f ca="1">OFFSET(产销汇总!$C$1,MATCH("体力消耗",产销汇总!$C$2:$C$8,0),$C$18)/10*5*W104</f>
        <v>17850</v>
      </c>
      <c r="Z104" s="183">
        <f t="shared" si="19"/>
        <v>0</v>
      </c>
      <c r="AA104" s="183">
        <f ca="1" t="shared" si="16"/>
        <v>20748</v>
      </c>
    </row>
    <row r="105" ht="18" spans="1:27">
      <c r="A105" s="171"/>
      <c r="B105" s="80">
        <v>86</v>
      </c>
      <c r="C105" s="80">
        <f ca="1">OFFSET(产销汇总!$C$12,$B105,$C$18)</f>
        <v>106.95</v>
      </c>
      <c r="D105" s="80">
        <f ca="1" t="shared" si="11"/>
        <v>509.75</v>
      </c>
      <c r="E105" s="80">
        <f ca="1">OFFSET(产销汇总!$C$1,MATCH(E$19,产销汇总!$C$2:$C$9,0),$C$18)*2</f>
        <v>12</v>
      </c>
      <c r="F105" s="80">
        <f t="shared" si="20"/>
        <v>21</v>
      </c>
      <c r="G105" s="80">
        <f t="shared" si="17"/>
        <v>0</v>
      </c>
      <c r="H105" s="80">
        <f t="shared" si="12"/>
        <v>6.4</v>
      </c>
      <c r="K105" s="132">
        <f t="shared" si="13"/>
        <v>134400</v>
      </c>
      <c r="L105" s="184">
        <v>86</v>
      </c>
      <c r="M105" s="180">
        <f>SUM($N$20:N105)</f>
        <v>14873</v>
      </c>
      <c r="N105" s="180">
        <v>380</v>
      </c>
      <c r="O105" s="180">
        <v>5970</v>
      </c>
      <c r="P105" s="180">
        <v>134198</v>
      </c>
      <c r="Q105" s="180">
        <v>0</v>
      </c>
      <c r="R105" s="180">
        <f t="shared" si="21"/>
        <v>134400</v>
      </c>
      <c r="S105" s="182">
        <f ca="1">U105-SUM($P$20:P105)/86400/(24+$C$12)*24</f>
        <v>20.4959938737556</v>
      </c>
      <c r="T105" s="179">
        <f t="shared" si="18"/>
        <v>132600</v>
      </c>
      <c r="U105" s="179">
        <f ca="1" t="shared" si="14"/>
        <v>59</v>
      </c>
      <c r="W105" s="183">
        <v>86</v>
      </c>
      <c r="X105" s="183">
        <f ca="1" t="shared" si="15"/>
        <v>2908.5</v>
      </c>
      <c r="Y105" s="183">
        <f ca="1">OFFSET(产销汇总!$C$1,MATCH("体力消耗",产销汇总!$C$2:$C$8,0),$C$18)/10*5*W105</f>
        <v>18060</v>
      </c>
      <c r="Z105" s="183">
        <f t="shared" si="19"/>
        <v>0</v>
      </c>
      <c r="AA105" s="183">
        <f ca="1" t="shared" si="16"/>
        <v>20968.5</v>
      </c>
    </row>
    <row r="106" ht="18" spans="1:27">
      <c r="A106" s="171"/>
      <c r="B106" s="80">
        <v>87</v>
      </c>
      <c r="C106" s="80">
        <f ca="1">OFFSET(产销汇总!$C$12,$B106,$C$18)</f>
        <v>107.3</v>
      </c>
      <c r="D106" s="80">
        <f ca="1" t="shared" si="11"/>
        <v>511.5</v>
      </c>
      <c r="E106" s="80">
        <f ca="1">OFFSET(产销汇总!$C$1,MATCH(E$19,产销汇总!$C$2:$C$9,0),$C$18)*2</f>
        <v>12</v>
      </c>
      <c r="F106" s="80">
        <f t="shared" si="20"/>
        <v>21</v>
      </c>
      <c r="G106" s="80">
        <f t="shared" si="17"/>
        <v>0</v>
      </c>
      <c r="H106" s="80">
        <f t="shared" si="12"/>
        <v>6.4</v>
      </c>
      <c r="K106" s="132">
        <f t="shared" si="13"/>
        <v>134400</v>
      </c>
      <c r="L106" s="184">
        <v>87</v>
      </c>
      <c r="M106" s="180">
        <f>SUM($N$20:N106)</f>
        <v>15258</v>
      </c>
      <c r="N106" s="180">
        <v>385</v>
      </c>
      <c r="O106" s="180">
        <v>6040</v>
      </c>
      <c r="P106" s="180">
        <v>134258</v>
      </c>
      <c r="Q106" s="180">
        <v>0</v>
      </c>
      <c r="R106" s="180">
        <f t="shared" si="21"/>
        <v>134400</v>
      </c>
      <c r="S106" s="182">
        <f ca="1">U106-SUM($P$20:P106)/86400/(24+$C$12)*24</f>
        <v>21.3209977026584</v>
      </c>
      <c r="T106" s="179">
        <f t="shared" si="18"/>
        <v>132600</v>
      </c>
      <c r="U106" s="179">
        <f ca="1" t="shared" si="14"/>
        <v>61</v>
      </c>
      <c r="W106" s="183">
        <v>87</v>
      </c>
      <c r="X106" s="183">
        <f ca="1" t="shared" si="15"/>
        <v>2919</v>
      </c>
      <c r="Y106" s="183">
        <f ca="1">OFFSET(产销汇总!$C$1,MATCH("体力消耗",产销汇总!$C$2:$C$8,0),$C$18)/10*5*W106</f>
        <v>18270</v>
      </c>
      <c r="Z106" s="183">
        <f t="shared" si="19"/>
        <v>0</v>
      </c>
      <c r="AA106" s="183">
        <f ca="1" t="shared" si="16"/>
        <v>21189</v>
      </c>
    </row>
    <row r="107" ht="18" spans="1:27">
      <c r="A107" s="171"/>
      <c r="B107" s="80">
        <v>88</v>
      </c>
      <c r="C107" s="80">
        <f ca="1">OFFSET(产销汇总!$C$12,$B107,$C$18)</f>
        <v>107.65</v>
      </c>
      <c r="D107" s="80">
        <f ca="1" t="shared" si="11"/>
        <v>513.25</v>
      </c>
      <c r="E107" s="80">
        <f ca="1">OFFSET(产销汇总!$C$1,MATCH(E$19,产销汇总!$C$2:$C$9,0),$C$18)*2</f>
        <v>12</v>
      </c>
      <c r="F107" s="80">
        <f t="shared" si="20"/>
        <v>21</v>
      </c>
      <c r="G107" s="80">
        <f t="shared" si="17"/>
        <v>0</v>
      </c>
      <c r="H107" s="80">
        <f t="shared" si="12"/>
        <v>6.4</v>
      </c>
      <c r="K107" s="132">
        <f t="shared" si="13"/>
        <v>134400</v>
      </c>
      <c r="L107" s="184">
        <v>88</v>
      </c>
      <c r="M107" s="180">
        <f>SUM($N$20:N107)</f>
        <v>15648</v>
      </c>
      <c r="N107" s="180">
        <v>390</v>
      </c>
      <c r="O107" s="180">
        <v>6110</v>
      </c>
      <c r="P107" s="180">
        <v>134319</v>
      </c>
      <c r="Q107" s="180">
        <v>0</v>
      </c>
      <c r="R107" s="180">
        <f t="shared" si="21"/>
        <v>134400</v>
      </c>
      <c r="S107" s="182">
        <f ca="1">U107-SUM($P$20:P107)/86400/(24+$C$12)*24</f>
        <v>21.1454676731211</v>
      </c>
      <c r="T107" s="179">
        <f t="shared" si="18"/>
        <v>132600</v>
      </c>
      <c r="U107" s="179">
        <f ca="1" t="shared" si="14"/>
        <v>62</v>
      </c>
      <c r="W107" s="183">
        <v>88</v>
      </c>
      <c r="X107" s="183">
        <f ca="1" t="shared" si="15"/>
        <v>2929.5</v>
      </c>
      <c r="Y107" s="183">
        <f ca="1">OFFSET(产销汇总!$C$1,MATCH("体力消耗",产销汇总!$C$2:$C$8,0),$C$18)/10*5*W107</f>
        <v>18480</v>
      </c>
      <c r="Z107" s="183">
        <f t="shared" si="19"/>
        <v>0</v>
      </c>
      <c r="AA107" s="183">
        <f ca="1" t="shared" si="16"/>
        <v>21409.5</v>
      </c>
    </row>
    <row r="108" ht="18" spans="1:27">
      <c r="A108" s="171"/>
      <c r="B108" s="80">
        <v>89</v>
      </c>
      <c r="C108" s="80">
        <f ca="1">OFFSET(产销汇总!$C$12,$B108,$C$18)</f>
        <v>108</v>
      </c>
      <c r="D108" s="80">
        <f ca="1" t="shared" si="11"/>
        <v>515</v>
      </c>
      <c r="E108" s="80">
        <f ca="1">OFFSET(产销汇总!$C$1,MATCH(E$19,产销汇总!$C$2:$C$9,0),$C$18)*2</f>
        <v>12</v>
      </c>
      <c r="F108" s="80">
        <f t="shared" si="20"/>
        <v>21</v>
      </c>
      <c r="G108" s="80">
        <f t="shared" si="17"/>
        <v>0</v>
      </c>
      <c r="H108" s="80">
        <f t="shared" si="12"/>
        <v>6.4</v>
      </c>
      <c r="K108" s="132">
        <f t="shared" si="13"/>
        <v>134400</v>
      </c>
      <c r="L108" s="184">
        <v>89</v>
      </c>
      <c r="M108" s="180">
        <f>SUM($N$20:N108)</f>
        <v>16043</v>
      </c>
      <c r="N108" s="180">
        <v>395</v>
      </c>
      <c r="O108" s="180">
        <v>6180</v>
      </c>
      <c r="P108" s="180">
        <v>134379</v>
      </c>
      <c r="Q108" s="180">
        <v>0</v>
      </c>
      <c r="R108" s="180">
        <f t="shared" si="21"/>
        <v>134400</v>
      </c>
      <c r="S108" s="182">
        <f ca="1">U108-SUM($P$20:P108)/86400/(24+$C$12)*24</f>
        <v>21.9694125369216</v>
      </c>
      <c r="T108" s="179">
        <f t="shared" si="18"/>
        <v>132600</v>
      </c>
      <c r="U108" s="179">
        <f ca="1" t="shared" si="14"/>
        <v>64</v>
      </c>
      <c r="W108" s="183">
        <v>89</v>
      </c>
      <c r="X108" s="183">
        <f ca="1" t="shared" si="15"/>
        <v>2940</v>
      </c>
      <c r="Y108" s="183">
        <f ca="1">OFFSET(产销汇总!$C$1,MATCH("体力消耗",产销汇总!$C$2:$C$8,0),$C$18)/10*5*W108</f>
        <v>18690</v>
      </c>
      <c r="Z108" s="183">
        <f t="shared" si="19"/>
        <v>0</v>
      </c>
      <c r="AA108" s="183">
        <f ca="1" t="shared" si="16"/>
        <v>21630</v>
      </c>
    </row>
    <row r="109" ht="18" spans="1:27">
      <c r="A109" s="171"/>
      <c r="B109" s="80">
        <v>90</v>
      </c>
      <c r="C109" s="80">
        <f ca="1">OFFSET(产销汇总!$C$12,$B109,$C$18)</f>
        <v>108.35</v>
      </c>
      <c r="D109" s="80">
        <f ca="1" t="shared" si="11"/>
        <v>516.75</v>
      </c>
      <c r="E109" s="80">
        <f ca="1">OFFSET(产销汇总!$C$1,MATCH(E$19,产销汇总!$C$2:$C$9,0),$C$18)*2</f>
        <v>12</v>
      </c>
      <c r="F109" s="80">
        <f t="shared" si="20"/>
        <v>21</v>
      </c>
      <c r="G109" s="80">
        <f t="shared" si="17"/>
        <v>0</v>
      </c>
      <c r="H109" s="80">
        <f t="shared" si="12"/>
        <v>6.4</v>
      </c>
      <c r="K109" s="132">
        <f t="shared" si="13"/>
        <v>135300</v>
      </c>
      <c r="L109" s="184">
        <v>90</v>
      </c>
      <c r="M109" s="180">
        <f>SUM($N$20:N109)</f>
        <v>16443</v>
      </c>
      <c r="N109" s="180">
        <v>400</v>
      </c>
      <c r="O109" s="180">
        <v>6250</v>
      </c>
      <c r="P109" s="180">
        <v>135087</v>
      </c>
      <c r="Q109" s="180">
        <v>0</v>
      </c>
      <c r="R109" s="180">
        <f t="shared" si="21"/>
        <v>135300</v>
      </c>
      <c r="S109" s="182">
        <f ca="1">U109-SUM($P$20:P109)/86400/(24+$C$12)*24</f>
        <v>22.787161142107</v>
      </c>
      <c r="T109" s="179">
        <f t="shared" si="18"/>
        <v>133500</v>
      </c>
      <c r="U109" s="179">
        <f ca="1" t="shared" si="14"/>
        <v>66</v>
      </c>
      <c r="W109" s="183">
        <v>90</v>
      </c>
      <c r="X109" s="183">
        <f ca="1" t="shared" si="15"/>
        <v>2950.5</v>
      </c>
      <c r="Y109" s="183">
        <f ca="1">OFFSET(产销汇总!$C$1,MATCH("体力消耗",产销汇总!$C$2:$C$8,0),$C$18)/10*5*W109</f>
        <v>18900</v>
      </c>
      <c r="Z109" s="183">
        <f t="shared" si="19"/>
        <v>0</v>
      </c>
      <c r="AA109" s="183">
        <f ca="1" t="shared" si="16"/>
        <v>21850.5</v>
      </c>
    </row>
    <row r="110" ht="18" spans="1:27">
      <c r="A110" s="171"/>
      <c r="B110" s="80">
        <v>91</v>
      </c>
      <c r="C110" s="80">
        <f ca="1">OFFSET(产销汇总!$C$12,$B110,$C$18)</f>
        <v>108.7</v>
      </c>
      <c r="D110" s="80">
        <f ca="1" t="shared" si="11"/>
        <v>518.5</v>
      </c>
      <c r="E110" s="80">
        <f ca="1">OFFSET(产销汇总!$C$1,MATCH(E$19,产销汇总!$C$2:$C$9,0),$C$18)*2</f>
        <v>12</v>
      </c>
      <c r="F110" s="80">
        <f t="shared" si="20"/>
        <v>21</v>
      </c>
      <c r="G110" s="80">
        <f t="shared" si="17"/>
        <v>0</v>
      </c>
      <c r="H110" s="80">
        <f t="shared" si="12"/>
        <v>6.4</v>
      </c>
      <c r="K110" s="132">
        <f t="shared" si="13"/>
        <v>136800</v>
      </c>
      <c r="L110" s="184">
        <v>91</v>
      </c>
      <c r="M110" s="180">
        <f>SUM($N$20:N110)</f>
        <v>16848</v>
      </c>
      <c r="N110" s="180">
        <v>405</v>
      </c>
      <c r="O110" s="180">
        <v>6320</v>
      </c>
      <c r="P110" s="180">
        <v>136605</v>
      </c>
      <c r="Q110" s="180">
        <v>0</v>
      </c>
      <c r="R110" s="180">
        <f t="shared" si="21"/>
        <v>136800</v>
      </c>
      <c r="S110" s="182">
        <f ca="1">U110-SUM($P$20:P110)/86400/(24+$C$12)*24</f>
        <v>23.5916245487365</v>
      </c>
      <c r="T110" s="179">
        <f t="shared" si="18"/>
        <v>135000</v>
      </c>
      <c r="U110" s="179">
        <f ca="1" t="shared" si="14"/>
        <v>68</v>
      </c>
      <c r="W110" s="183">
        <v>91</v>
      </c>
      <c r="X110" s="183">
        <f ca="1" t="shared" si="15"/>
        <v>2961</v>
      </c>
      <c r="Y110" s="183">
        <f ca="1">OFFSET(产销汇总!$C$1,MATCH("体力消耗",产销汇总!$C$2:$C$8,0),$C$18)/10*5*W110</f>
        <v>19110</v>
      </c>
      <c r="Z110" s="183">
        <f t="shared" si="19"/>
        <v>0</v>
      </c>
      <c r="AA110" s="183">
        <f ca="1" t="shared" si="16"/>
        <v>22071</v>
      </c>
    </row>
    <row r="111" ht="18" spans="1:27">
      <c r="A111" s="171"/>
      <c r="B111" s="80">
        <v>92</v>
      </c>
      <c r="C111" s="80">
        <f ca="1">OFFSET(产销汇总!$C$12,$B111,$C$18)</f>
        <v>109.05</v>
      </c>
      <c r="D111" s="80">
        <f ca="1" t="shared" si="11"/>
        <v>520.25</v>
      </c>
      <c r="E111" s="80">
        <f ca="1">OFFSET(产销汇总!$C$1,MATCH(E$19,产销汇总!$C$2:$C$9,0),$C$18)*2</f>
        <v>12</v>
      </c>
      <c r="F111" s="80">
        <f t="shared" si="20"/>
        <v>21</v>
      </c>
      <c r="G111" s="80">
        <f t="shared" si="17"/>
        <v>0</v>
      </c>
      <c r="H111" s="80">
        <f t="shared" si="12"/>
        <v>6.4</v>
      </c>
      <c r="K111" s="132">
        <f t="shared" si="13"/>
        <v>138300</v>
      </c>
      <c r="L111" s="184">
        <v>92</v>
      </c>
      <c r="M111" s="180">
        <f>SUM($N$20:N111)</f>
        <v>17258</v>
      </c>
      <c r="N111" s="180">
        <v>410</v>
      </c>
      <c r="O111" s="180">
        <v>6390</v>
      </c>
      <c r="P111" s="180">
        <v>138123</v>
      </c>
      <c r="Q111" s="180">
        <v>0</v>
      </c>
      <c r="R111" s="180">
        <f t="shared" si="21"/>
        <v>138300</v>
      </c>
      <c r="S111" s="182">
        <f ca="1">U111-SUM($P$20:P111)/86400/(24+$C$12)*24</f>
        <v>24.38280275681</v>
      </c>
      <c r="T111" s="179">
        <f t="shared" si="18"/>
        <v>136500</v>
      </c>
      <c r="U111" s="179">
        <f ca="1" t="shared" si="14"/>
        <v>70</v>
      </c>
      <c r="W111" s="183">
        <v>92</v>
      </c>
      <c r="X111" s="183">
        <f ca="1" t="shared" si="15"/>
        <v>2971.5</v>
      </c>
      <c r="Y111" s="183">
        <f ca="1">OFFSET(产销汇总!$C$1,MATCH("体力消耗",产销汇总!$C$2:$C$8,0),$C$18)/10*5*W111</f>
        <v>19320</v>
      </c>
      <c r="Z111" s="183">
        <f t="shared" si="19"/>
        <v>0</v>
      </c>
      <c r="AA111" s="183">
        <f ca="1" t="shared" si="16"/>
        <v>22291.5</v>
      </c>
    </row>
    <row r="112" ht="18" spans="1:27">
      <c r="A112" s="171"/>
      <c r="B112" s="80">
        <v>93</v>
      </c>
      <c r="C112" s="80">
        <f ca="1">OFFSET(产销汇总!$C$12,$B112,$C$18)</f>
        <v>109.4</v>
      </c>
      <c r="D112" s="80">
        <f ca="1" t="shared" si="11"/>
        <v>522</v>
      </c>
      <c r="E112" s="80">
        <f ca="1">OFFSET(产销汇总!$C$1,MATCH(E$19,产销汇总!$C$2:$C$9,0),$C$18)*2</f>
        <v>12</v>
      </c>
      <c r="F112" s="80">
        <f t="shared" si="20"/>
        <v>21</v>
      </c>
      <c r="G112" s="80">
        <f t="shared" si="17"/>
        <v>0</v>
      </c>
      <c r="H112" s="80">
        <f t="shared" si="12"/>
        <v>6.4</v>
      </c>
      <c r="K112" s="132">
        <f t="shared" si="13"/>
        <v>139800</v>
      </c>
      <c r="L112" s="184">
        <v>93</v>
      </c>
      <c r="M112" s="180">
        <f>SUM($N$20:N112)</f>
        <v>17673</v>
      </c>
      <c r="N112" s="180">
        <v>415</v>
      </c>
      <c r="O112" s="180">
        <v>6460</v>
      </c>
      <c r="P112" s="180">
        <v>139641</v>
      </c>
      <c r="Q112" s="180">
        <v>0</v>
      </c>
      <c r="R112" s="180">
        <f t="shared" si="21"/>
        <v>139800</v>
      </c>
      <c r="S112" s="182">
        <f ca="1">U112-SUM($P$20:P112)/86400/(24+$C$12)*24</f>
        <v>25.1606957663275</v>
      </c>
      <c r="T112" s="179">
        <f t="shared" si="18"/>
        <v>138000</v>
      </c>
      <c r="U112" s="179">
        <f ca="1" t="shared" si="14"/>
        <v>72</v>
      </c>
      <c r="W112" s="183">
        <v>93</v>
      </c>
      <c r="X112" s="183">
        <f ca="1" t="shared" si="15"/>
        <v>2982</v>
      </c>
      <c r="Y112" s="183">
        <f ca="1">OFFSET(产销汇总!$C$1,MATCH("体力消耗",产销汇总!$C$2:$C$8,0),$C$18)/10*5*W112</f>
        <v>19530</v>
      </c>
      <c r="Z112" s="183">
        <f t="shared" si="19"/>
        <v>0</v>
      </c>
      <c r="AA112" s="183">
        <f ca="1" t="shared" si="16"/>
        <v>22512</v>
      </c>
    </row>
    <row r="113" ht="18" spans="1:27">
      <c r="A113" s="171"/>
      <c r="B113" s="80">
        <v>94</v>
      </c>
      <c r="C113" s="80">
        <f ca="1">OFFSET(产销汇总!$C$12,$B113,$C$18)</f>
        <v>109.75</v>
      </c>
      <c r="D113" s="80">
        <f ca="1" t="shared" si="11"/>
        <v>523.75</v>
      </c>
      <c r="E113" s="80">
        <f ca="1">OFFSET(产销汇总!$C$1,MATCH(E$19,产销汇总!$C$2:$C$9,0),$C$18)*2</f>
        <v>12</v>
      </c>
      <c r="F113" s="80">
        <f t="shared" si="20"/>
        <v>21</v>
      </c>
      <c r="G113" s="80">
        <f t="shared" si="17"/>
        <v>0</v>
      </c>
      <c r="H113" s="80">
        <f t="shared" si="12"/>
        <v>6.4</v>
      </c>
      <c r="K113" s="132">
        <f t="shared" si="13"/>
        <v>141300</v>
      </c>
      <c r="L113" s="184">
        <v>94</v>
      </c>
      <c r="M113" s="180">
        <f>SUM($N$20:N113)</f>
        <v>18093</v>
      </c>
      <c r="N113" s="180">
        <v>420</v>
      </c>
      <c r="O113" s="180">
        <v>6530</v>
      </c>
      <c r="P113" s="180">
        <v>141158</v>
      </c>
      <c r="Q113" s="180">
        <v>0</v>
      </c>
      <c r="R113" s="180">
        <f t="shared" si="21"/>
        <v>141300</v>
      </c>
      <c r="S113" s="182">
        <f ca="1">U113-SUM($P$20:P113)/86400/(24+$C$12)*24</f>
        <v>24.9253123290668</v>
      </c>
      <c r="T113" s="179">
        <f t="shared" si="18"/>
        <v>139500</v>
      </c>
      <c r="U113" s="179">
        <f ca="1" t="shared" si="14"/>
        <v>73</v>
      </c>
      <c r="W113" s="183">
        <v>94</v>
      </c>
      <c r="X113" s="183">
        <f ca="1" t="shared" si="15"/>
        <v>2992.5</v>
      </c>
      <c r="Y113" s="183">
        <f ca="1">OFFSET(产销汇总!$C$1,MATCH("体力消耗",产销汇总!$C$2:$C$8,0),$C$18)/10*5*W113</f>
        <v>19740</v>
      </c>
      <c r="Z113" s="183">
        <f t="shared" si="19"/>
        <v>0</v>
      </c>
      <c r="AA113" s="183">
        <f ca="1" t="shared" si="16"/>
        <v>22732.5</v>
      </c>
    </row>
    <row r="114" ht="18" spans="1:27">
      <c r="A114" s="171"/>
      <c r="B114" s="80">
        <v>95</v>
      </c>
      <c r="C114" s="80">
        <f ca="1">OFFSET(产销汇总!$C$12,$B114,$C$18)</f>
        <v>110.1</v>
      </c>
      <c r="D114" s="80">
        <f ca="1" t="shared" si="11"/>
        <v>525.5</v>
      </c>
      <c r="E114" s="80">
        <f ca="1">OFFSET(产销汇总!$C$1,MATCH(E$19,产销汇总!$C$2:$C$9,0),$C$18)*2</f>
        <v>12</v>
      </c>
      <c r="F114" s="80">
        <f t="shared" si="20"/>
        <v>21</v>
      </c>
      <c r="G114" s="80">
        <f t="shared" si="17"/>
        <v>0</v>
      </c>
      <c r="H114" s="80">
        <f t="shared" si="12"/>
        <v>6.4</v>
      </c>
      <c r="K114" s="132">
        <f t="shared" si="13"/>
        <v>142800</v>
      </c>
      <c r="L114" s="184">
        <v>95</v>
      </c>
      <c r="M114" s="180">
        <f>SUM($N$20:N114)</f>
        <v>18518</v>
      </c>
      <c r="N114" s="180">
        <v>425</v>
      </c>
      <c r="O114" s="180">
        <v>6600</v>
      </c>
      <c r="P114" s="180">
        <v>142676</v>
      </c>
      <c r="Q114" s="180">
        <v>0</v>
      </c>
      <c r="R114" s="180">
        <f t="shared" si="21"/>
        <v>142800</v>
      </c>
      <c r="S114" s="182">
        <f ca="1">U114-SUM($P$20:P114)/86400/(24+$C$12)*24</f>
        <v>25.6766436932502</v>
      </c>
      <c r="T114" s="179">
        <f t="shared" si="18"/>
        <v>141000</v>
      </c>
      <c r="U114" s="179">
        <f ca="1" t="shared" si="14"/>
        <v>75</v>
      </c>
      <c r="W114" s="183">
        <v>95</v>
      </c>
      <c r="X114" s="183">
        <f ca="1" t="shared" si="15"/>
        <v>3003</v>
      </c>
      <c r="Y114" s="183">
        <f ca="1">OFFSET(产销汇总!$C$1,MATCH("体力消耗",产销汇总!$C$2:$C$8,0),$C$18)/10*5*W114</f>
        <v>19950</v>
      </c>
      <c r="Z114" s="183">
        <f t="shared" si="19"/>
        <v>0</v>
      </c>
      <c r="AA114" s="183">
        <f ca="1" t="shared" si="16"/>
        <v>22953</v>
      </c>
    </row>
    <row r="115" ht="18" spans="1:27">
      <c r="A115" s="171"/>
      <c r="B115" s="80">
        <v>96</v>
      </c>
      <c r="C115" s="80">
        <f ca="1">OFFSET(产销汇总!$C$12,$B115,$C$18)</f>
        <v>110.45</v>
      </c>
      <c r="D115" s="80">
        <f ca="1" t="shared" si="11"/>
        <v>527.25</v>
      </c>
      <c r="E115" s="80">
        <f ca="1">OFFSET(产销汇总!$C$1,MATCH(E$19,产销汇总!$C$2:$C$9,0),$C$18)*2</f>
        <v>12</v>
      </c>
      <c r="F115" s="80">
        <f t="shared" si="20"/>
        <v>21</v>
      </c>
      <c r="G115" s="80">
        <f t="shared" si="17"/>
        <v>0</v>
      </c>
      <c r="H115" s="80">
        <f t="shared" si="12"/>
        <v>6.4</v>
      </c>
      <c r="K115" s="132">
        <f t="shared" si="13"/>
        <v>144300</v>
      </c>
      <c r="L115" s="184">
        <v>96</v>
      </c>
      <c r="M115" s="180">
        <f>SUM($N$20:N115)</f>
        <v>18948</v>
      </c>
      <c r="N115" s="180">
        <v>430</v>
      </c>
      <c r="O115" s="180">
        <v>6670</v>
      </c>
      <c r="P115" s="180">
        <v>144194</v>
      </c>
      <c r="Q115" s="180">
        <v>0</v>
      </c>
      <c r="R115" s="180">
        <f t="shared" si="21"/>
        <v>144300</v>
      </c>
      <c r="S115" s="182">
        <f ca="1">U115-SUM($P$20:P115)/86400/(24+$C$12)*24</f>
        <v>26.4146898588776</v>
      </c>
      <c r="T115" s="179">
        <f t="shared" si="18"/>
        <v>142500</v>
      </c>
      <c r="U115" s="179">
        <f ca="1" t="shared" si="14"/>
        <v>77</v>
      </c>
      <c r="W115" s="183">
        <v>96</v>
      </c>
      <c r="X115" s="183">
        <f ca="1" t="shared" si="15"/>
        <v>3013.5</v>
      </c>
      <c r="Y115" s="183">
        <f ca="1">OFFSET(产销汇总!$C$1,MATCH("体力消耗",产销汇总!$C$2:$C$8,0),$C$18)/10*5*W115</f>
        <v>20160</v>
      </c>
      <c r="Z115" s="183">
        <f t="shared" si="19"/>
        <v>0</v>
      </c>
      <c r="AA115" s="183">
        <f ca="1" t="shared" si="16"/>
        <v>23173.5</v>
      </c>
    </row>
    <row r="116" ht="18" spans="1:27">
      <c r="A116" s="171"/>
      <c r="B116" s="80">
        <v>97</v>
      </c>
      <c r="C116" s="80">
        <f ca="1">OFFSET(产销汇总!$C$12,$B116,$C$18)</f>
        <v>110.8</v>
      </c>
      <c r="D116" s="80">
        <f ca="1" t="shared" si="11"/>
        <v>529</v>
      </c>
      <c r="E116" s="80">
        <f ca="1">OFFSET(产销汇总!$C$1,MATCH(E$19,产销汇总!$C$2:$C$9,0),$C$18)*2</f>
        <v>12</v>
      </c>
      <c r="F116" s="80">
        <f t="shared" si="20"/>
        <v>21</v>
      </c>
      <c r="G116" s="80">
        <f t="shared" si="17"/>
        <v>0</v>
      </c>
      <c r="H116" s="80">
        <f t="shared" si="12"/>
        <v>6.4</v>
      </c>
      <c r="K116" s="132">
        <f t="shared" si="13"/>
        <v>144600</v>
      </c>
      <c r="L116" s="184">
        <v>97</v>
      </c>
      <c r="M116" s="180">
        <f>SUM($N$20:N116)</f>
        <v>19383</v>
      </c>
      <c r="N116" s="180">
        <v>435</v>
      </c>
      <c r="O116" s="180">
        <v>6740</v>
      </c>
      <c r="P116" s="180">
        <v>144429</v>
      </c>
      <c r="Q116" s="180">
        <v>0</v>
      </c>
      <c r="R116" s="180">
        <f t="shared" si="21"/>
        <v>144600</v>
      </c>
      <c r="S116" s="182">
        <f ca="1">U116-SUM($P$20:P116)/86400/(24+$C$12)*24</f>
        <v>27.1506793567443</v>
      </c>
      <c r="T116" s="179">
        <f t="shared" si="18"/>
        <v>142800</v>
      </c>
      <c r="U116" s="179">
        <f ca="1" t="shared" si="14"/>
        <v>79</v>
      </c>
      <c r="W116" s="183">
        <v>97</v>
      </c>
      <c r="X116" s="183">
        <f ca="1" t="shared" si="15"/>
        <v>3024</v>
      </c>
      <c r="Y116" s="183">
        <f ca="1">OFFSET(产销汇总!$C$1,MATCH("体力消耗",产销汇总!$C$2:$C$8,0),$C$18)/10*5*W116</f>
        <v>20370</v>
      </c>
      <c r="Z116" s="183">
        <f t="shared" si="19"/>
        <v>0</v>
      </c>
      <c r="AA116" s="183">
        <f ca="1" t="shared" si="16"/>
        <v>23394</v>
      </c>
    </row>
    <row r="117" ht="18" spans="1:27">
      <c r="A117" s="171"/>
      <c r="B117" s="80">
        <v>98</v>
      </c>
      <c r="C117" s="80">
        <f ca="1">OFFSET(产销汇总!$C$12,$B117,$C$18)</f>
        <v>111.15</v>
      </c>
      <c r="D117" s="80">
        <f ca="1" t="shared" si="11"/>
        <v>530.75</v>
      </c>
      <c r="E117" s="80">
        <f ca="1">OFFSET(产销汇总!$C$1,MATCH(E$19,产销汇总!$C$2:$C$9,0),$C$18)*2</f>
        <v>12</v>
      </c>
      <c r="F117" s="80">
        <f t="shared" si="20"/>
        <v>21</v>
      </c>
      <c r="G117" s="80">
        <f t="shared" si="17"/>
        <v>0</v>
      </c>
      <c r="H117" s="80">
        <f t="shared" si="12"/>
        <v>6.4</v>
      </c>
      <c r="K117" s="132">
        <f t="shared" si="13"/>
        <v>146100</v>
      </c>
      <c r="L117" s="184">
        <v>98</v>
      </c>
      <c r="M117" s="180">
        <f>SUM($N$20:N117)</f>
        <v>19823</v>
      </c>
      <c r="N117" s="180">
        <v>440</v>
      </c>
      <c r="O117" s="180">
        <v>6810</v>
      </c>
      <c r="P117" s="180">
        <v>145934</v>
      </c>
      <c r="Q117" s="180">
        <v>0</v>
      </c>
      <c r="R117" s="180">
        <f t="shared" si="21"/>
        <v>146100</v>
      </c>
      <c r="S117" s="182">
        <f ca="1">U117-SUM($P$20:P117)/86400/(24+$C$12)*24</f>
        <v>27.8734974291653</v>
      </c>
      <c r="T117" s="179">
        <f t="shared" si="18"/>
        <v>144300</v>
      </c>
      <c r="U117" s="179">
        <f ca="1" t="shared" si="14"/>
        <v>81</v>
      </c>
      <c r="W117" s="183">
        <v>98</v>
      </c>
      <c r="X117" s="183">
        <f ca="1" t="shared" si="15"/>
        <v>3034.5</v>
      </c>
      <c r="Y117" s="183">
        <f ca="1">OFFSET(产销汇总!$C$1,MATCH("体力消耗",产销汇总!$C$2:$C$8,0),$C$18)/10*5*W117</f>
        <v>20580</v>
      </c>
      <c r="Z117" s="183">
        <f t="shared" si="19"/>
        <v>0</v>
      </c>
      <c r="AA117" s="183">
        <f ca="1" t="shared" si="16"/>
        <v>23614.5</v>
      </c>
    </row>
    <row r="118" ht="18" spans="1:27">
      <c r="A118" s="171"/>
      <c r="B118" s="80">
        <v>99</v>
      </c>
      <c r="C118" s="80">
        <f ca="1">OFFSET(产销汇总!$C$12,$B118,$C$18)</f>
        <v>111.5</v>
      </c>
      <c r="D118" s="80">
        <f ca="1" t="shared" si="11"/>
        <v>532.5</v>
      </c>
      <c r="E118" s="80">
        <f ca="1">OFFSET(产销汇总!$C$1,MATCH(E$19,产销汇总!$C$2:$C$9,0),$C$18)*2</f>
        <v>12</v>
      </c>
      <c r="F118" s="80">
        <f t="shared" si="20"/>
        <v>21</v>
      </c>
      <c r="G118" s="80">
        <f t="shared" si="17"/>
        <v>0</v>
      </c>
      <c r="H118" s="80">
        <f t="shared" si="12"/>
        <v>6.4</v>
      </c>
      <c r="K118" s="132">
        <f t="shared" si="13"/>
        <v>147600</v>
      </c>
      <c r="L118" s="184">
        <v>99</v>
      </c>
      <c r="M118" s="180">
        <f>SUM($N$20:N118)</f>
        <v>20268</v>
      </c>
      <c r="N118" s="180">
        <v>445</v>
      </c>
      <c r="O118" s="180">
        <v>6880</v>
      </c>
      <c r="P118" s="180">
        <v>147438</v>
      </c>
      <c r="Q118" s="180">
        <v>0</v>
      </c>
      <c r="R118" s="180">
        <f t="shared" si="21"/>
        <v>147600</v>
      </c>
      <c r="S118" s="182">
        <f ca="1">U118-SUM($P$20:P118)/86400/(24+$C$12)*24</f>
        <v>28.5831528279182</v>
      </c>
      <c r="T118" s="179">
        <f t="shared" si="18"/>
        <v>145800</v>
      </c>
      <c r="U118" s="179">
        <f ca="1" t="shared" si="14"/>
        <v>83</v>
      </c>
      <c r="W118" s="183">
        <v>99</v>
      </c>
      <c r="X118" s="183">
        <f ca="1" t="shared" si="15"/>
        <v>3045</v>
      </c>
      <c r="Y118" s="183">
        <f ca="1">OFFSET(产销汇总!$C$1,MATCH("体力消耗",产销汇总!$C$2:$C$8,0),$C$18)/10*5*W118</f>
        <v>20790</v>
      </c>
      <c r="Z118" s="183">
        <f t="shared" si="19"/>
        <v>0</v>
      </c>
      <c r="AA118" s="183">
        <f ca="1" t="shared" si="16"/>
        <v>23835</v>
      </c>
    </row>
    <row r="119" ht="18" spans="1:27">
      <c r="A119" s="171"/>
      <c r="B119" s="80">
        <v>100</v>
      </c>
      <c r="C119" s="80">
        <f ca="1">OFFSET(产销汇总!$C$12,$B119,$C$18)</f>
        <v>111.85</v>
      </c>
      <c r="D119" s="80">
        <f ca="1" t="shared" si="11"/>
        <v>534.25</v>
      </c>
      <c r="E119" s="80">
        <f ca="1">OFFSET(产销汇总!$C$1,MATCH(E$19,产销汇总!$C$2:$C$9,0),$C$18)*2</f>
        <v>12</v>
      </c>
      <c r="F119" s="80">
        <f t="shared" si="20"/>
        <v>21</v>
      </c>
      <c r="G119" s="80">
        <f t="shared" si="17"/>
        <v>0</v>
      </c>
      <c r="H119" s="80">
        <f t="shared" si="12"/>
        <v>6.4</v>
      </c>
      <c r="K119" s="132">
        <f t="shared" si="13"/>
        <v>149100</v>
      </c>
      <c r="L119" s="184">
        <v>100</v>
      </c>
      <c r="M119" s="180">
        <f>SUM($N$20:N119)</f>
        <v>20718</v>
      </c>
      <c r="N119" s="180">
        <v>450</v>
      </c>
      <c r="O119" s="180">
        <v>6950</v>
      </c>
      <c r="P119" s="180">
        <v>148943</v>
      </c>
      <c r="Q119" s="180">
        <v>0</v>
      </c>
      <c r="R119" s="180">
        <f t="shared" si="21"/>
        <v>149100</v>
      </c>
      <c r="S119" s="182">
        <f ca="1">U119-SUM($P$20:P119)/86400/(24+$C$12)*24</f>
        <v>29.2796368012252</v>
      </c>
      <c r="T119" s="179">
        <f t="shared" si="18"/>
        <v>147300</v>
      </c>
      <c r="U119" s="179">
        <f ca="1" t="shared" si="14"/>
        <v>85</v>
      </c>
      <c r="W119" s="183">
        <v>100</v>
      </c>
      <c r="X119" s="183">
        <f ca="1" t="shared" si="15"/>
        <v>3055.5</v>
      </c>
      <c r="Y119" s="183">
        <f ca="1">OFFSET(产销汇总!$C$1,MATCH("体力消耗",产销汇总!$C$2:$C$8,0),$C$18)/10*5*W119</f>
        <v>21000</v>
      </c>
      <c r="Z119" s="183">
        <f t="shared" si="19"/>
        <v>0</v>
      </c>
      <c r="AA119" s="183">
        <f ca="1" t="shared" si="16"/>
        <v>24055.5</v>
      </c>
    </row>
    <row r="120" ht="18" spans="1:27">
      <c r="A120" s="171"/>
      <c r="B120" s="80">
        <v>101</v>
      </c>
      <c r="C120" s="80">
        <f ca="1">OFFSET(产销汇总!$C$12,$B120,$C$18)</f>
        <v>112.2</v>
      </c>
      <c r="D120" s="80">
        <f ca="1" t="shared" si="11"/>
        <v>536</v>
      </c>
      <c r="E120" s="80">
        <f ca="1">OFFSET(产销汇总!$C$1,MATCH(E$19,产销汇总!$C$2:$C$9,0),$C$18)*2</f>
        <v>12</v>
      </c>
      <c r="F120" s="80">
        <f t="shared" si="20"/>
        <v>21</v>
      </c>
      <c r="G120" s="80">
        <f t="shared" si="17"/>
        <v>0</v>
      </c>
      <c r="H120" s="80">
        <f t="shared" si="12"/>
        <v>6.4</v>
      </c>
      <c r="K120" s="132">
        <f t="shared" si="13"/>
        <v>150600</v>
      </c>
      <c r="L120" s="184">
        <v>101</v>
      </c>
      <c r="M120" s="180">
        <f>SUM($N$20:N120)</f>
        <v>21173</v>
      </c>
      <c r="N120" s="180">
        <v>455</v>
      </c>
      <c r="O120" s="180">
        <v>7020</v>
      </c>
      <c r="P120" s="180">
        <v>150447</v>
      </c>
      <c r="Q120" s="180">
        <v>0</v>
      </c>
      <c r="R120" s="180">
        <f t="shared" si="21"/>
        <v>150600</v>
      </c>
      <c r="S120" s="182">
        <f ca="1">U120-SUM($P$20:P120)/86400/(24+$C$12)*24</f>
        <v>29.9629581008642</v>
      </c>
      <c r="T120" s="179">
        <f t="shared" si="18"/>
        <v>148800</v>
      </c>
      <c r="U120" s="179">
        <f ca="1" t="shared" si="14"/>
        <v>87</v>
      </c>
      <c r="W120" s="183">
        <v>101</v>
      </c>
      <c r="X120" s="183">
        <f ca="1" t="shared" si="15"/>
        <v>3066</v>
      </c>
      <c r="Y120" s="183">
        <f ca="1">OFFSET(产销汇总!$C$1,MATCH("体力消耗",产销汇总!$C$2:$C$8,0),$C$18)/10*5*W120</f>
        <v>21210</v>
      </c>
      <c r="Z120" s="183">
        <f t="shared" si="19"/>
        <v>0</v>
      </c>
      <c r="AA120" s="183">
        <f ca="1" t="shared" si="16"/>
        <v>24276</v>
      </c>
    </row>
    <row r="121" ht="18" spans="1:27">
      <c r="A121" s="171"/>
      <c r="B121" s="80">
        <v>102</v>
      </c>
      <c r="C121" s="80">
        <f ca="1">OFFSET(产销汇总!$C$12,$B121,$C$18)</f>
        <v>112.55</v>
      </c>
      <c r="D121" s="80">
        <f ca="1" t="shared" si="11"/>
        <v>537.75</v>
      </c>
      <c r="E121" s="80">
        <f ca="1">OFFSET(产销汇总!$C$1,MATCH(E$19,产销汇总!$C$2:$C$9,0),$C$18)*2</f>
        <v>12</v>
      </c>
      <c r="F121" s="80">
        <f t="shared" si="20"/>
        <v>21</v>
      </c>
      <c r="G121" s="80">
        <f t="shared" si="17"/>
        <v>0</v>
      </c>
      <c r="H121" s="80">
        <f t="shared" si="12"/>
        <v>6.4</v>
      </c>
      <c r="K121" s="132">
        <f t="shared" si="13"/>
        <v>152100</v>
      </c>
      <c r="L121" s="184">
        <v>102</v>
      </c>
      <c r="M121" s="180">
        <f>SUM($N$20:N121)</f>
        <v>21633</v>
      </c>
      <c r="N121" s="180">
        <v>460</v>
      </c>
      <c r="O121" s="180">
        <v>7090</v>
      </c>
      <c r="P121" s="180">
        <v>151952</v>
      </c>
      <c r="Q121" s="180">
        <v>0</v>
      </c>
      <c r="R121" s="180">
        <f t="shared" si="21"/>
        <v>152100</v>
      </c>
      <c r="S121" s="182">
        <f ca="1">U121-SUM($P$20:P121)/86400/(24+$C$12)*24</f>
        <v>31.6331079750574</v>
      </c>
      <c r="T121" s="179">
        <f t="shared" si="18"/>
        <v>150300</v>
      </c>
      <c r="U121" s="179">
        <f ca="1" t="shared" si="14"/>
        <v>90</v>
      </c>
      <c r="W121" s="183">
        <v>102</v>
      </c>
      <c r="X121" s="183">
        <f ca="1" t="shared" si="15"/>
        <v>3076.5</v>
      </c>
      <c r="Y121" s="183">
        <f ca="1">OFFSET(产销汇总!$C$1,MATCH("体力消耗",产销汇总!$C$2:$C$8,0),$C$18)/10*5*W121</f>
        <v>21420</v>
      </c>
      <c r="Z121" s="183">
        <f t="shared" si="19"/>
        <v>0</v>
      </c>
      <c r="AA121" s="183">
        <f ca="1" t="shared" si="16"/>
        <v>24496.5</v>
      </c>
    </row>
    <row r="122" ht="18" spans="1:27">
      <c r="A122" s="171"/>
      <c r="B122" s="80">
        <v>103</v>
      </c>
      <c r="C122" s="80">
        <f ca="1">OFFSET(产销汇总!$C$12,$B122,$C$18)</f>
        <v>112.9</v>
      </c>
      <c r="D122" s="80">
        <f ca="1" t="shared" si="11"/>
        <v>539.5</v>
      </c>
      <c r="E122" s="80">
        <f ca="1">OFFSET(产销汇总!$C$1,MATCH(E$19,产销汇总!$C$2:$C$9,0),$C$18)*2</f>
        <v>12</v>
      </c>
      <c r="F122" s="80">
        <f t="shared" si="20"/>
        <v>21</v>
      </c>
      <c r="G122" s="80">
        <f t="shared" si="17"/>
        <v>0</v>
      </c>
      <c r="H122" s="80">
        <f t="shared" si="12"/>
        <v>6.4</v>
      </c>
      <c r="K122" s="132">
        <f t="shared" si="13"/>
        <v>153600</v>
      </c>
      <c r="L122" s="184">
        <v>103</v>
      </c>
      <c r="M122" s="180">
        <f>SUM($N$20:N122)</f>
        <v>22098</v>
      </c>
      <c r="N122" s="180">
        <v>465</v>
      </c>
      <c r="O122" s="180">
        <v>7160</v>
      </c>
      <c r="P122" s="180">
        <v>153456</v>
      </c>
      <c r="Q122" s="180">
        <v>0</v>
      </c>
      <c r="R122" s="180">
        <f t="shared" si="21"/>
        <v>153600</v>
      </c>
      <c r="S122" s="182">
        <f ca="1">U122-SUM($P$20:P122)/86400/(24+$C$12)*24</f>
        <v>32.2900951755825</v>
      </c>
      <c r="T122" s="179">
        <f t="shared" si="18"/>
        <v>151800</v>
      </c>
      <c r="U122" s="179">
        <f ca="1" t="shared" si="14"/>
        <v>92</v>
      </c>
      <c r="W122" s="183">
        <v>103</v>
      </c>
      <c r="X122" s="183">
        <f ca="1" t="shared" si="15"/>
        <v>3087</v>
      </c>
      <c r="Y122" s="183">
        <f ca="1">OFFSET(产销汇总!$C$1,MATCH("体力消耗",产销汇总!$C$2:$C$8,0),$C$18)/10*5*W122</f>
        <v>21630</v>
      </c>
      <c r="Z122" s="183">
        <f t="shared" si="19"/>
        <v>0</v>
      </c>
      <c r="AA122" s="183">
        <f ca="1" t="shared" si="16"/>
        <v>24717</v>
      </c>
    </row>
    <row r="123" ht="18" spans="1:27">
      <c r="A123" s="171"/>
      <c r="B123" s="80">
        <v>104</v>
      </c>
      <c r="C123" s="80">
        <f ca="1">OFFSET(产销汇总!$C$12,$B123,$C$18)</f>
        <v>113.25</v>
      </c>
      <c r="D123" s="80">
        <f ca="1" t="shared" si="11"/>
        <v>541.25</v>
      </c>
      <c r="E123" s="80">
        <f ca="1">OFFSET(产销汇总!$C$1,MATCH(E$19,产销汇总!$C$2:$C$9,0),$C$18)*2</f>
        <v>12</v>
      </c>
      <c r="F123" s="80">
        <f t="shared" si="20"/>
        <v>21</v>
      </c>
      <c r="G123" s="80">
        <f t="shared" si="17"/>
        <v>0</v>
      </c>
      <c r="H123" s="80">
        <f t="shared" si="12"/>
        <v>6.4</v>
      </c>
      <c r="K123" s="132">
        <f t="shared" si="13"/>
        <v>155100</v>
      </c>
      <c r="L123" s="184">
        <v>104</v>
      </c>
      <c r="M123" s="180">
        <f>SUM($N$20:N123)</f>
        <v>22568</v>
      </c>
      <c r="N123" s="180">
        <v>470</v>
      </c>
      <c r="O123" s="180">
        <v>7230</v>
      </c>
      <c r="P123" s="180">
        <v>154961</v>
      </c>
      <c r="Q123" s="180">
        <v>0</v>
      </c>
      <c r="R123" s="180">
        <f t="shared" si="21"/>
        <v>155100</v>
      </c>
      <c r="S123" s="182">
        <f ca="1">U123-SUM($P$20:P123)/86400/(24+$C$12)*24</f>
        <v>32.9339109506619</v>
      </c>
      <c r="T123" s="179">
        <f t="shared" si="18"/>
        <v>153300</v>
      </c>
      <c r="U123" s="179">
        <f ca="1" t="shared" si="14"/>
        <v>94</v>
      </c>
      <c r="W123" s="183">
        <v>104</v>
      </c>
      <c r="X123" s="183">
        <f ca="1" t="shared" si="15"/>
        <v>3097.5</v>
      </c>
      <c r="Y123" s="183">
        <f ca="1">OFFSET(产销汇总!$C$1,MATCH("体力消耗",产销汇总!$C$2:$C$8,0),$C$18)/10*5*W123</f>
        <v>21840</v>
      </c>
      <c r="Z123" s="183">
        <f t="shared" si="19"/>
        <v>0</v>
      </c>
      <c r="AA123" s="183">
        <f ca="1" t="shared" si="16"/>
        <v>24937.5</v>
      </c>
    </row>
    <row r="124" ht="18" spans="1:27">
      <c r="A124" s="171"/>
      <c r="B124" s="80">
        <v>105</v>
      </c>
      <c r="C124" s="80">
        <f ca="1">OFFSET(产销汇总!$C$12,$B124,$C$18)</f>
        <v>113.6</v>
      </c>
      <c r="D124" s="80">
        <f ca="1" t="shared" si="11"/>
        <v>543</v>
      </c>
      <c r="E124" s="80">
        <f ca="1">OFFSET(产销汇总!$C$1,MATCH(E$19,产销汇总!$C$2:$C$9,0),$C$18)*2</f>
        <v>12</v>
      </c>
      <c r="F124" s="80">
        <f t="shared" si="20"/>
        <v>21</v>
      </c>
      <c r="G124" s="80">
        <f t="shared" si="17"/>
        <v>0</v>
      </c>
      <c r="H124" s="80">
        <f t="shared" si="12"/>
        <v>6.4</v>
      </c>
      <c r="K124" s="132">
        <f t="shared" si="13"/>
        <v>165900</v>
      </c>
      <c r="L124" s="184">
        <v>105</v>
      </c>
      <c r="M124" s="180">
        <f>SUM($N$20:N124)</f>
        <v>23043</v>
      </c>
      <c r="N124" s="180">
        <v>475</v>
      </c>
      <c r="O124" s="180">
        <v>7300</v>
      </c>
      <c r="P124" s="180">
        <v>165633</v>
      </c>
      <c r="Q124" s="180">
        <v>0</v>
      </c>
      <c r="R124" s="180">
        <f t="shared" si="21"/>
        <v>165900</v>
      </c>
      <c r="S124" s="182">
        <f ca="1">U124-SUM($P$20:P124)/86400/(24+$C$12)*24</f>
        <v>33.484327754075</v>
      </c>
      <c r="T124" s="179">
        <f t="shared" si="18"/>
        <v>164100</v>
      </c>
      <c r="U124" s="179">
        <f ca="1" t="shared" si="14"/>
        <v>96</v>
      </c>
      <c r="W124" s="183">
        <v>105</v>
      </c>
      <c r="X124" s="183">
        <f ca="1" t="shared" si="15"/>
        <v>3108</v>
      </c>
      <c r="Y124" s="183">
        <f ca="1">OFFSET(产销汇总!$C$1,MATCH("体力消耗",产销汇总!$C$2:$C$8,0),$C$18)/10*5*W124</f>
        <v>22050</v>
      </c>
      <c r="Z124" s="183">
        <f t="shared" si="19"/>
        <v>0</v>
      </c>
      <c r="AA124" s="183">
        <f ca="1" t="shared" si="16"/>
        <v>25158</v>
      </c>
    </row>
    <row r="125" ht="18" spans="1:27">
      <c r="A125" s="171"/>
      <c r="B125" s="80">
        <v>106</v>
      </c>
      <c r="C125" s="80">
        <f ca="1">OFFSET(产销汇总!$C$12,$B125,$C$18)</f>
        <v>113.95</v>
      </c>
      <c r="D125" s="80">
        <f ca="1" t="shared" si="11"/>
        <v>544.75</v>
      </c>
      <c r="E125" s="80">
        <f ca="1">OFFSET(产销汇总!$C$1,MATCH(E$19,产销汇总!$C$2:$C$9,0),$C$18)*2</f>
        <v>12</v>
      </c>
      <c r="F125" s="80">
        <f t="shared" si="20"/>
        <v>21</v>
      </c>
      <c r="G125" s="80">
        <f t="shared" si="17"/>
        <v>0</v>
      </c>
      <c r="H125" s="80">
        <f t="shared" si="12"/>
        <v>6.4</v>
      </c>
      <c r="K125" s="132">
        <f t="shared" si="13"/>
        <v>167400</v>
      </c>
      <c r="L125" s="184">
        <v>106</v>
      </c>
      <c r="M125" s="180">
        <f>SUM($N$20:N125)</f>
        <v>23523</v>
      </c>
      <c r="N125" s="180">
        <v>480</v>
      </c>
      <c r="O125" s="180">
        <v>7370</v>
      </c>
      <c r="P125" s="180">
        <v>167225</v>
      </c>
      <c r="Q125" s="180">
        <v>0</v>
      </c>
      <c r="R125" s="180">
        <f t="shared" si="21"/>
        <v>167400</v>
      </c>
      <c r="S125" s="182">
        <f ca="1">U125-SUM($P$20:P125)/86400/(24+$C$12)*24</f>
        <v>34.0208117273821</v>
      </c>
      <c r="T125" s="179">
        <f t="shared" si="18"/>
        <v>165600</v>
      </c>
      <c r="U125" s="179">
        <f ca="1" t="shared" si="14"/>
        <v>98</v>
      </c>
      <c r="W125" s="183">
        <v>106</v>
      </c>
      <c r="X125" s="183">
        <f ca="1" t="shared" si="15"/>
        <v>3118.5</v>
      </c>
      <c r="Y125" s="183">
        <f ca="1">OFFSET(产销汇总!$C$1,MATCH("体力消耗",产销汇总!$C$2:$C$8,0),$C$18)/10*5*W125</f>
        <v>22260</v>
      </c>
      <c r="Z125" s="183">
        <f t="shared" si="19"/>
        <v>0</v>
      </c>
      <c r="AA125" s="183">
        <f ca="1" t="shared" si="16"/>
        <v>25378.5</v>
      </c>
    </row>
    <row r="126" ht="18" spans="1:27">
      <c r="A126" s="171"/>
      <c r="B126" s="80">
        <v>107</v>
      </c>
      <c r="C126" s="80">
        <f ca="1">OFFSET(产销汇总!$C$12,$B126,$C$18)</f>
        <v>114.3</v>
      </c>
      <c r="D126" s="80">
        <f ca="1" t="shared" si="11"/>
        <v>546.5</v>
      </c>
      <c r="E126" s="80">
        <f ca="1">OFFSET(产销汇总!$C$1,MATCH(E$19,产销汇总!$C$2:$C$9,0),$C$18)*2</f>
        <v>12</v>
      </c>
      <c r="F126" s="80">
        <f t="shared" si="20"/>
        <v>21</v>
      </c>
      <c r="G126" s="80">
        <f t="shared" si="17"/>
        <v>0</v>
      </c>
      <c r="H126" s="80">
        <f t="shared" si="12"/>
        <v>6.4</v>
      </c>
      <c r="K126" s="132">
        <f t="shared" si="13"/>
        <v>168900</v>
      </c>
      <c r="L126" s="184">
        <v>107</v>
      </c>
      <c r="M126" s="180">
        <f>SUM($N$20:N126)</f>
        <v>24008</v>
      </c>
      <c r="N126" s="180">
        <v>485</v>
      </c>
      <c r="O126" s="180">
        <v>7440</v>
      </c>
      <c r="P126" s="180">
        <v>168818</v>
      </c>
      <c r="Q126" s="180">
        <v>0</v>
      </c>
      <c r="R126" s="180">
        <f t="shared" si="21"/>
        <v>168900</v>
      </c>
      <c r="S126" s="182">
        <f ca="1">U126-SUM($P$20:P126)/86400/(24+$C$12)*24</f>
        <v>34.5433541188054</v>
      </c>
      <c r="T126" s="179">
        <f t="shared" si="18"/>
        <v>167100</v>
      </c>
      <c r="U126" s="179">
        <f ca="1" t="shared" si="14"/>
        <v>100</v>
      </c>
      <c r="W126" s="183">
        <v>107</v>
      </c>
      <c r="X126" s="183">
        <f ca="1" t="shared" si="15"/>
        <v>3129</v>
      </c>
      <c r="Y126" s="183">
        <f ca="1">OFFSET(产销汇总!$C$1,MATCH("体力消耗",产销汇总!$C$2:$C$8,0),$C$18)/10*5*W126</f>
        <v>22470</v>
      </c>
      <c r="Z126" s="183">
        <f t="shared" si="19"/>
        <v>0</v>
      </c>
      <c r="AA126" s="183">
        <f ca="1" t="shared" si="16"/>
        <v>25599</v>
      </c>
    </row>
    <row r="127" ht="18" spans="1:27">
      <c r="A127" s="171"/>
      <c r="B127" s="80">
        <v>108</v>
      </c>
      <c r="C127" s="80">
        <f ca="1">OFFSET(产销汇总!$C$12,$B127,$C$18)</f>
        <v>114.65</v>
      </c>
      <c r="D127" s="80">
        <f ca="1" t="shared" si="11"/>
        <v>548.25</v>
      </c>
      <c r="E127" s="80">
        <f ca="1">OFFSET(产销汇总!$C$1,MATCH(E$19,产销汇总!$C$2:$C$9,0),$C$18)*2</f>
        <v>12</v>
      </c>
      <c r="F127" s="80">
        <f t="shared" si="20"/>
        <v>21</v>
      </c>
      <c r="G127" s="80">
        <f t="shared" si="17"/>
        <v>0</v>
      </c>
      <c r="H127" s="80">
        <f t="shared" si="12"/>
        <v>6.4</v>
      </c>
      <c r="K127" s="132">
        <f t="shared" si="13"/>
        <v>170700</v>
      </c>
      <c r="L127" s="184">
        <v>108</v>
      </c>
      <c r="M127" s="180">
        <f>SUM($N$20:N127)</f>
        <v>24498</v>
      </c>
      <c r="N127" s="180">
        <v>490</v>
      </c>
      <c r="O127" s="180">
        <v>7510</v>
      </c>
      <c r="P127" s="180">
        <v>170411</v>
      </c>
      <c r="Q127" s="180">
        <v>0</v>
      </c>
      <c r="R127" s="180">
        <f t="shared" si="21"/>
        <v>170700</v>
      </c>
      <c r="S127" s="182">
        <f ca="1">U127-SUM($P$20:P127)/86400/(24+$C$12)*24</f>
        <v>36.0519549283448</v>
      </c>
      <c r="T127" s="179">
        <f t="shared" si="18"/>
        <v>168900</v>
      </c>
      <c r="U127" s="179">
        <f ca="1" t="shared" si="14"/>
        <v>103</v>
      </c>
      <c r="W127" s="183">
        <v>108</v>
      </c>
      <c r="X127" s="183">
        <f ca="1" t="shared" si="15"/>
        <v>3139.5</v>
      </c>
      <c r="Y127" s="183">
        <f ca="1">OFFSET(产销汇总!$C$1,MATCH("体力消耗",产销汇总!$C$2:$C$8,0),$C$18)/10*5*W127</f>
        <v>22680</v>
      </c>
      <c r="Z127" s="183">
        <f t="shared" si="19"/>
        <v>0</v>
      </c>
      <c r="AA127" s="183">
        <f ca="1" t="shared" si="16"/>
        <v>25819.5</v>
      </c>
    </row>
    <row r="128" ht="18" spans="1:27">
      <c r="A128" s="171"/>
      <c r="B128" s="80">
        <v>109</v>
      </c>
      <c r="C128" s="80">
        <f ca="1">OFFSET(产销汇总!$C$12,$B128,$C$18)</f>
        <v>115</v>
      </c>
      <c r="D128" s="80">
        <f ca="1" t="shared" si="11"/>
        <v>550</v>
      </c>
      <c r="E128" s="80">
        <f ca="1">OFFSET(产销汇总!$C$1,MATCH(E$19,产销汇总!$C$2:$C$9,0),$C$18)*2</f>
        <v>12</v>
      </c>
      <c r="F128" s="80">
        <f t="shared" si="20"/>
        <v>21</v>
      </c>
      <c r="G128" s="80">
        <f t="shared" si="17"/>
        <v>0</v>
      </c>
      <c r="H128" s="80">
        <f t="shared" si="12"/>
        <v>6.4</v>
      </c>
      <c r="K128" s="132">
        <f t="shared" si="13"/>
        <v>172200</v>
      </c>
      <c r="L128" s="184">
        <v>109</v>
      </c>
      <c r="M128" s="180">
        <f>SUM($N$20:N128)</f>
        <v>24993</v>
      </c>
      <c r="N128" s="180">
        <v>495</v>
      </c>
      <c r="O128" s="180">
        <v>7580</v>
      </c>
      <c r="P128" s="180">
        <v>172003</v>
      </c>
      <c r="Q128" s="180">
        <v>0</v>
      </c>
      <c r="R128" s="180">
        <f t="shared" si="21"/>
        <v>172200</v>
      </c>
      <c r="S128" s="182">
        <f ca="1">U128-SUM($P$20:P128)/86400/(24+$C$12)*24</f>
        <v>36.5466229077781</v>
      </c>
      <c r="T128" s="179">
        <f t="shared" si="18"/>
        <v>170400</v>
      </c>
      <c r="U128" s="179">
        <f ca="1" t="shared" si="14"/>
        <v>105</v>
      </c>
      <c r="W128" s="183">
        <v>109</v>
      </c>
      <c r="X128" s="183">
        <f ca="1" t="shared" si="15"/>
        <v>3150</v>
      </c>
      <c r="Y128" s="183">
        <f ca="1">OFFSET(产销汇总!$C$1,MATCH("体力消耗",产销汇总!$C$2:$C$8,0),$C$18)/10*5*W128</f>
        <v>22890</v>
      </c>
      <c r="Z128" s="183">
        <f t="shared" si="19"/>
        <v>0</v>
      </c>
      <c r="AA128" s="183">
        <f ca="1" t="shared" si="16"/>
        <v>26040</v>
      </c>
    </row>
    <row r="129" ht="18" spans="1:27">
      <c r="A129" s="171"/>
      <c r="B129" s="80">
        <v>110</v>
      </c>
      <c r="C129" s="80">
        <f ca="1">OFFSET(产销汇总!$C$12,$B129,$C$18)</f>
        <v>115.35</v>
      </c>
      <c r="D129" s="80">
        <f ca="1" t="shared" si="11"/>
        <v>551.75</v>
      </c>
      <c r="E129" s="80">
        <f ca="1">OFFSET(产销汇总!$C$1,MATCH(E$19,产销汇总!$C$2:$C$9,0),$C$18)*2</f>
        <v>12</v>
      </c>
      <c r="F129" s="80">
        <f t="shared" si="20"/>
        <v>21</v>
      </c>
      <c r="G129" s="80">
        <f t="shared" si="17"/>
        <v>0</v>
      </c>
      <c r="H129" s="80">
        <f t="shared" si="12"/>
        <v>6.4</v>
      </c>
      <c r="K129" s="132">
        <f t="shared" si="13"/>
        <v>173700</v>
      </c>
      <c r="L129" s="184">
        <v>110</v>
      </c>
      <c r="M129" s="180">
        <f>SUM($N$20:N129)</f>
        <v>25493</v>
      </c>
      <c r="N129" s="180">
        <v>500</v>
      </c>
      <c r="O129" s="180">
        <v>7650</v>
      </c>
      <c r="P129" s="180">
        <v>173596</v>
      </c>
      <c r="Q129" s="180">
        <v>0</v>
      </c>
      <c r="R129" s="180">
        <f t="shared" si="21"/>
        <v>173700</v>
      </c>
      <c r="S129" s="182">
        <f ca="1">U129-SUM($P$20:P129)/86400/(24+$C$12)*24</f>
        <v>37.0273493053276</v>
      </c>
      <c r="T129" s="179">
        <f t="shared" si="18"/>
        <v>171900</v>
      </c>
      <c r="U129" s="179">
        <f ca="1" t="shared" si="14"/>
        <v>107</v>
      </c>
      <c r="W129" s="183">
        <v>110</v>
      </c>
      <c r="X129" s="183">
        <f ca="1" t="shared" si="15"/>
        <v>3160.5</v>
      </c>
      <c r="Y129" s="183">
        <f ca="1">OFFSET(产销汇总!$C$1,MATCH("体力消耗",产销汇总!$C$2:$C$8,0),$C$18)/10*5*W129</f>
        <v>23100</v>
      </c>
      <c r="Z129" s="183">
        <f t="shared" si="19"/>
        <v>0</v>
      </c>
      <c r="AA129" s="183">
        <f ca="1" t="shared" si="16"/>
        <v>26260.5</v>
      </c>
    </row>
    <row r="130" ht="18" spans="1:27">
      <c r="A130" s="171"/>
      <c r="B130" s="80">
        <v>111</v>
      </c>
      <c r="C130" s="80">
        <f ca="1">OFFSET(产销汇总!$C$12,$B130,$C$18)</f>
        <v>115.7</v>
      </c>
      <c r="D130" s="80">
        <f ca="1" t="shared" si="11"/>
        <v>553.5</v>
      </c>
      <c r="E130" s="80">
        <f ca="1">OFFSET(产销汇总!$C$1,MATCH(E$19,产销汇总!$C$2:$C$9,0),$C$18)*2</f>
        <v>12</v>
      </c>
      <c r="F130" s="80">
        <f t="shared" si="20"/>
        <v>21</v>
      </c>
      <c r="G130" s="80">
        <f t="shared" si="17"/>
        <v>0</v>
      </c>
      <c r="H130" s="80">
        <f t="shared" si="12"/>
        <v>6.4</v>
      </c>
      <c r="K130" s="132">
        <f t="shared" si="13"/>
        <v>175200</v>
      </c>
      <c r="L130" s="184">
        <v>111</v>
      </c>
      <c r="M130" s="180">
        <f>SUM($N$20:N130)</f>
        <v>25998</v>
      </c>
      <c r="N130" s="180">
        <v>505</v>
      </c>
      <c r="O130" s="180">
        <v>7720</v>
      </c>
      <c r="P130" s="180">
        <v>175188</v>
      </c>
      <c r="Q130" s="180">
        <v>0</v>
      </c>
      <c r="R130" s="180">
        <f t="shared" si="21"/>
        <v>175200</v>
      </c>
      <c r="S130" s="182">
        <f ca="1">U130-SUM($P$20:P130)/86400/(24+$C$12)*24</f>
        <v>37.494142872771</v>
      </c>
      <c r="T130" s="179">
        <f t="shared" si="18"/>
        <v>173400</v>
      </c>
      <c r="U130" s="179">
        <f ca="1" t="shared" si="14"/>
        <v>109</v>
      </c>
      <c r="W130" s="183">
        <v>111</v>
      </c>
      <c r="X130" s="183">
        <f ca="1" t="shared" si="15"/>
        <v>3171</v>
      </c>
      <c r="Y130" s="183">
        <f ca="1">OFFSET(产销汇总!$C$1,MATCH("体力消耗",产销汇总!$C$2:$C$8,0),$C$18)/10*5*W130</f>
        <v>23310</v>
      </c>
      <c r="Z130" s="183">
        <f t="shared" si="19"/>
        <v>0</v>
      </c>
      <c r="AA130" s="183">
        <f ca="1" t="shared" si="16"/>
        <v>26481</v>
      </c>
    </row>
    <row r="131" ht="18" spans="1:27">
      <c r="A131" s="171"/>
      <c r="B131" s="80">
        <v>112</v>
      </c>
      <c r="C131" s="80">
        <f ca="1">OFFSET(产销汇总!$C$12,$B131,$C$18)</f>
        <v>116.05</v>
      </c>
      <c r="D131" s="80">
        <f ca="1" t="shared" si="11"/>
        <v>555.25</v>
      </c>
      <c r="E131" s="80">
        <f ca="1">OFFSET(产销汇总!$C$1,MATCH(E$19,产销汇总!$C$2:$C$9,0),$C$18)*2</f>
        <v>12</v>
      </c>
      <c r="F131" s="80">
        <f t="shared" si="20"/>
        <v>21</v>
      </c>
      <c r="G131" s="80">
        <f t="shared" si="17"/>
        <v>0</v>
      </c>
      <c r="H131" s="80">
        <f t="shared" si="12"/>
        <v>6.4</v>
      </c>
      <c r="K131" s="132">
        <f t="shared" si="13"/>
        <v>177000</v>
      </c>
      <c r="L131" s="184">
        <v>112</v>
      </c>
      <c r="M131" s="180">
        <f>SUM($N$20:N131)</f>
        <v>26508</v>
      </c>
      <c r="N131" s="180">
        <v>510</v>
      </c>
      <c r="O131" s="180">
        <v>7790</v>
      </c>
      <c r="P131" s="180">
        <v>176781</v>
      </c>
      <c r="Q131" s="180">
        <v>0</v>
      </c>
      <c r="R131" s="180">
        <f t="shared" si="21"/>
        <v>177000</v>
      </c>
      <c r="S131" s="182">
        <f ca="1">U131-SUM($P$20:P131)/86400/(24+$C$12)*24</f>
        <v>38.9469948583306</v>
      </c>
      <c r="T131" s="179">
        <f t="shared" si="18"/>
        <v>175200</v>
      </c>
      <c r="U131" s="179">
        <f ca="1" t="shared" si="14"/>
        <v>112</v>
      </c>
      <c r="W131" s="183">
        <v>112</v>
      </c>
      <c r="X131" s="183">
        <f ca="1" t="shared" si="15"/>
        <v>3181.5</v>
      </c>
      <c r="Y131" s="183">
        <f ca="1">OFFSET(产销汇总!$C$1,MATCH("体力消耗",产销汇总!$C$2:$C$8,0),$C$18)/10*5*W131</f>
        <v>23520</v>
      </c>
      <c r="Z131" s="183">
        <f t="shared" si="19"/>
        <v>0</v>
      </c>
      <c r="AA131" s="183">
        <f ca="1" t="shared" si="16"/>
        <v>26701.5</v>
      </c>
    </row>
    <row r="132" ht="18" spans="1:27">
      <c r="A132" s="171"/>
      <c r="B132" s="80">
        <v>113</v>
      </c>
      <c r="C132" s="80">
        <f ca="1">OFFSET(产销汇总!$C$12,$B132,$C$18)</f>
        <v>116.4</v>
      </c>
      <c r="D132" s="80">
        <f ca="1" t="shared" si="11"/>
        <v>557</v>
      </c>
      <c r="E132" s="80">
        <f ca="1">OFFSET(产销汇总!$C$1,MATCH(E$19,产销汇总!$C$2:$C$9,0),$C$18)*2</f>
        <v>12</v>
      </c>
      <c r="F132" s="80">
        <f t="shared" si="20"/>
        <v>21</v>
      </c>
      <c r="G132" s="80">
        <f t="shared" si="17"/>
        <v>0</v>
      </c>
      <c r="H132" s="80">
        <f t="shared" si="12"/>
        <v>6.4</v>
      </c>
      <c r="K132" s="132">
        <f t="shared" si="13"/>
        <v>177000</v>
      </c>
      <c r="L132" s="184">
        <v>113</v>
      </c>
      <c r="M132" s="180">
        <f>SUM($N$20:N132)</f>
        <v>27023</v>
      </c>
      <c r="N132" s="180">
        <v>515</v>
      </c>
      <c r="O132" s="180">
        <v>7860</v>
      </c>
      <c r="P132" s="180">
        <v>176842</v>
      </c>
      <c r="Q132" s="180">
        <v>0</v>
      </c>
      <c r="R132" s="180">
        <f t="shared" si="21"/>
        <v>177000</v>
      </c>
      <c r="S132" s="182">
        <f ca="1">U132-SUM($P$20:P132)/86400/(24+$C$12)*24</f>
        <v>39.3993129854502</v>
      </c>
      <c r="T132" s="179">
        <f t="shared" si="18"/>
        <v>175200</v>
      </c>
      <c r="U132" s="179">
        <f ca="1" t="shared" si="14"/>
        <v>114</v>
      </c>
      <c r="W132" s="183">
        <v>113</v>
      </c>
      <c r="X132" s="183">
        <f ca="1" t="shared" si="15"/>
        <v>3192</v>
      </c>
      <c r="Y132" s="183">
        <f ca="1">OFFSET(产销汇总!$C$1,MATCH("体力消耗",产销汇总!$C$2:$C$8,0),$C$18)/10*5*W132</f>
        <v>23730</v>
      </c>
      <c r="Z132" s="183">
        <f t="shared" si="19"/>
        <v>0</v>
      </c>
      <c r="AA132" s="183">
        <f ca="1" t="shared" si="16"/>
        <v>26922</v>
      </c>
    </row>
    <row r="133" ht="18" spans="1:27">
      <c r="A133" s="171"/>
      <c r="B133" s="80">
        <v>114</v>
      </c>
      <c r="C133" s="80">
        <f ca="1">OFFSET(产销汇总!$C$12,$B133,$C$18)</f>
        <v>116.75</v>
      </c>
      <c r="D133" s="80">
        <f ca="1" t="shared" si="11"/>
        <v>558.75</v>
      </c>
      <c r="E133" s="80">
        <f ca="1">OFFSET(产销汇总!$C$1,MATCH(E$19,产销汇总!$C$2:$C$9,0),$C$18)*2</f>
        <v>12</v>
      </c>
      <c r="F133" s="80">
        <f t="shared" si="20"/>
        <v>21</v>
      </c>
      <c r="G133" s="80">
        <f t="shared" si="17"/>
        <v>0</v>
      </c>
      <c r="H133" s="80">
        <f t="shared" si="12"/>
        <v>6.4</v>
      </c>
      <c r="K133" s="132">
        <f t="shared" si="13"/>
        <v>177000</v>
      </c>
      <c r="L133" s="184">
        <v>114</v>
      </c>
      <c r="M133" s="180">
        <f>SUM($N$20:N133)</f>
        <v>27543</v>
      </c>
      <c r="N133" s="180">
        <v>520</v>
      </c>
      <c r="O133" s="180">
        <v>7930</v>
      </c>
      <c r="P133" s="180">
        <v>176902</v>
      </c>
      <c r="Q133" s="180">
        <v>0</v>
      </c>
      <c r="R133" s="180">
        <f t="shared" si="21"/>
        <v>177000</v>
      </c>
      <c r="S133" s="182">
        <f ca="1">U133-SUM($P$20:P133)/86400/(24+$C$12)*24</f>
        <v>39.8511060059074</v>
      </c>
      <c r="T133" s="179">
        <f t="shared" si="18"/>
        <v>175200</v>
      </c>
      <c r="U133" s="179">
        <f ca="1" t="shared" si="14"/>
        <v>116</v>
      </c>
      <c r="W133" s="183">
        <v>114</v>
      </c>
      <c r="X133" s="183">
        <f ca="1" t="shared" si="15"/>
        <v>3202.5</v>
      </c>
      <c r="Y133" s="183">
        <f ca="1">OFFSET(产销汇总!$C$1,MATCH("体力消耗",产销汇总!$C$2:$C$8,0),$C$18)/10*5*W133</f>
        <v>23940</v>
      </c>
      <c r="Z133" s="183">
        <f t="shared" si="19"/>
        <v>0</v>
      </c>
      <c r="AA133" s="183">
        <f ca="1" t="shared" si="16"/>
        <v>27142.5</v>
      </c>
    </row>
    <row r="134" ht="18" spans="1:27">
      <c r="A134" s="171"/>
      <c r="B134" s="80">
        <v>115</v>
      </c>
      <c r="C134" s="80">
        <f ca="1">OFFSET(产销汇总!$C$12,$B134,$C$18)</f>
        <v>117.1</v>
      </c>
      <c r="D134" s="80">
        <f ca="1" t="shared" si="11"/>
        <v>560.5</v>
      </c>
      <c r="E134" s="80">
        <f ca="1">OFFSET(产销汇总!$C$1,MATCH(E$19,产销汇总!$C$2:$C$9,0),$C$18)*2</f>
        <v>12</v>
      </c>
      <c r="F134" s="80">
        <f t="shared" si="20"/>
        <v>21</v>
      </c>
      <c r="G134" s="80">
        <f t="shared" si="17"/>
        <v>0</v>
      </c>
      <c r="H134" s="80">
        <f t="shared" si="12"/>
        <v>6.4</v>
      </c>
      <c r="K134" s="132">
        <f t="shared" si="13"/>
        <v>177000</v>
      </c>
      <c r="L134" s="184">
        <v>115</v>
      </c>
      <c r="M134" s="180">
        <f>SUM($N$20:N134)</f>
        <v>28068</v>
      </c>
      <c r="N134" s="180">
        <v>525</v>
      </c>
      <c r="O134" s="180">
        <v>8000</v>
      </c>
      <c r="P134" s="180">
        <v>176963</v>
      </c>
      <c r="Q134" s="180">
        <v>0</v>
      </c>
      <c r="R134" s="180">
        <f t="shared" si="21"/>
        <v>177000</v>
      </c>
      <c r="S134" s="182">
        <f ca="1">U134-SUM($P$20:P134)/86400/(24+$C$12)*24</f>
        <v>41.3023651679247</v>
      </c>
      <c r="T134" s="179">
        <f t="shared" si="18"/>
        <v>175200</v>
      </c>
      <c r="U134" s="179">
        <f ca="1" t="shared" si="14"/>
        <v>119</v>
      </c>
      <c r="W134" s="183">
        <v>115</v>
      </c>
      <c r="X134" s="183">
        <f ca="1" t="shared" si="15"/>
        <v>3213</v>
      </c>
      <c r="Y134" s="183">
        <f ca="1">OFFSET(产销汇总!$C$1,MATCH("体力消耗",产销汇总!$C$2:$C$8,0),$C$18)/10*5*W134</f>
        <v>24150</v>
      </c>
      <c r="Z134" s="183">
        <f t="shared" si="19"/>
        <v>0</v>
      </c>
      <c r="AA134" s="183">
        <f ca="1" t="shared" si="16"/>
        <v>27363</v>
      </c>
    </row>
    <row r="135" ht="18" spans="1:27">
      <c r="A135" s="171"/>
      <c r="B135" s="80">
        <v>116</v>
      </c>
      <c r="C135" s="80">
        <f ca="1">OFFSET(产销汇总!$C$12,$B135,$C$18)</f>
        <v>117.45</v>
      </c>
      <c r="D135" s="80">
        <f ca="1" t="shared" si="11"/>
        <v>562.25</v>
      </c>
      <c r="E135" s="80">
        <f ca="1">OFFSET(产销汇总!$C$1,MATCH(E$19,产销汇总!$C$2:$C$9,0),$C$18)*2</f>
        <v>12</v>
      </c>
      <c r="F135" s="80">
        <f t="shared" si="20"/>
        <v>21</v>
      </c>
      <c r="G135" s="80">
        <f t="shared" si="17"/>
        <v>0</v>
      </c>
      <c r="H135" s="80">
        <f t="shared" si="12"/>
        <v>6.4</v>
      </c>
      <c r="K135" s="132">
        <f t="shared" si="13"/>
        <v>177300</v>
      </c>
      <c r="L135" s="184">
        <v>116</v>
      </c>
      <c r="M135" s="180">
        <f>SUM($N$20:N135)</f>
        <v>28598</v>
      </c>
      <c r="N135" s="180">
        <v>530</v>
      </c>
      <c r="O135" s="180">
        <v>8070</v>
      </c>
      <c r="P135" s="180">
        <v>177023</v>
      </c>
      <c r="Q135" s="180">
        <v>0</v>
      </c>
      <c r="R135" s="180">
        <f t="shared" si="21"/>
        <v>177300</v>
      </c>
      <c r="S135" s="182">
        <f ca="1">U135-SUM($P$20:P135)/86400/(24+$C$12)*24</f>
        <v>41.7530992232797</v>
      </c>
      <c r="T135" s="179">
        <f t="shared" si="18"/>
        <v>175500</v>
      </c>
      <c r="U135" s="179">
        <f ca="1" t="shared" si="14"/>
        <v>121</v>
      </c>
      <c r="W135" s="183">
        <v>116</v>
      </c>
      <c r="X135" s="183">
        <f ca="1" t="shared" si="15"/>
        <v>3223.5</v>
      </c>
      <c r="Y135" s="183">
        <f ca="1">OFFSET(产销汇总!$C$1,MATCH("体力消耗",产销汇总!$C$2:$C$8,0),$C$18)/10*5*W135</f>
        <v>24360</v>
      </c>
      <c r="Z135" s="183">
        <f t="shared" si="19"/>
        <v>0</v>
      </c>
      <c r="AA135" s="183">
        <f ca="1" t="shared" si="16"/>
        <v>27583.5</v>
      </c>
    </row>
    <row r="136" ht="18" spans="1:27">
      <c r="A136" s="171"/>
      <c r="B136" s="80">
        <v>117</v>
      </c>
      <c r="C136" s="80">
        <f ca="1">OFFSET(产销汇总!$C$12,$B136,$C$18)</f>
        <v>117.8</v>
      </c>
      <c r="D136" s="80">
        <f ca="1" t="shared" si="11"/>
        <v>564</v>
      </c>
      <c r="E136" s="80">
        <f ca="1">OFFSET(产销汇总!$C$1,MATCH(E$19,产销汇总!$C$2:$C$9,0),$C$18)*2</f>
        <v>12</v>
      </c>
      <c r="F136" s="80">
        <f t="shared" si="20"/>
        <v>21</v>
      </c>
      <c r="G136" s="80">
        <f t="shared" si="17"/>
        <v>0</v>
      </c>
      <c r="H136" s="80">
        <f t="shared" si="12"/>
        <v>6.4</v>
      </c>
      <c r="K136" s="132">
        <f t="shared" si="13"/>
        <v>177300</v>
      </c>
      <c r="L136" s="184">
        <v>117</v>
      </c>
      <c r="M136" s="180">
        <f>SUM($N$20:N136)</f>
        <v>29133</v>
      </c>
      <c r="N136" s="180">
        <v>535</v>
      </c>
      <c r="O136" s="180">
        <v>8140</v>
      </c>
      <c r="P136" s="180">
        <v>177083</v>
      </c>
      <c r="Q136" s="180">
        <v>0</v>
      </c>
      <c r="R136" s="180">
        <f t="shared" si="21"/>
        <v>177300</v>
      </c>
      <c r="S136" s="182">
        <f ca="1">U136-SUM($P$20:P136)/86400/(24+$C$12)*24</f>
        <v>43.2033081719724</v>
      </c>
      <c r="T136" s="179">
        <f t="shared" si="18"/>
        <v>175500</v>
      </c>
      <c r="U136" s="179">
        <f ca="1" t="shared" si="14"/>
        <v>124</v>
      </c>
      <c r="W136" s="183">
        <v>117</v>
      </c>
      <c r="X136" s="183">
        <f ca="1" t="shared" si="15"/>
        <v>3234</v>
      </c>
      <c r="Y136" s="183">
        <f ca="1">OFFSET(产销汇总!$C$1,MATCH("体力消耗",产销汇总!$C$2:$C$8,0),$C$18)/10*5*W136</f>
        <v>24570</v>
      </c>
      <c r="Z136" s="183">
        <f t="shared" si="19"/>
        <v>0</v>
      </c>
      <c r="AA136" s="183">
        <f ca="1" t="shared" si="16"/>
        <v>27804</v>
      </c>
    </row>
    <row r="137" ht="18" spans="1:27">
      <c r="A137" s="171"/>
      <c r="B137" s="80">
        <v>118</v>
      </c>
      <c r="C137" s="80">
        <f ca="1">OFFSET(产销汇总!$C$12,$B137,$C$18)</f>
        <v>118.15</v>
      </c>
      <c r="D137" s="80">
        <f ca="1" t="shared" si="11"/>
        <v>565.75</v>
      </c>
      <c r="E137" s="80">
        <f ca="1">OFFSET(产销汇总!$C$1,MATCH(E$19,产销汇总!$C$2:$C$9,0),$C$18)*2</f>
        <v>12</v>
      </c>
      <c r="F137" s="80">
        <f t="shared" si="20"/>
        <v>21</v>
      </c>
      <c r="G137" s="80">
        <f t="shared" si="17"/>
        <v>0</v>
      </c>
      <c r="H137" s="80">
        <f t="shared" si="12"/>
        <v>6.4</v>
      </c>
      <c r="K137" s="132">
        <f t="shared" si="13"/>
        <v>177300</v>
      </c>
      <c r="L137" s="184">
        <v>118</v>
      </c>
      <c r="M137" s="180">
        <f>SUM($N$20:N137)</f>
        <v>29673</v>
      </c>
      <c r="N137" s="180">
        <v>540</v>
      </c>
      <c r="O137" s="180">
        <v>8210</v>
      </c>
      <c r="P137" s="180">
        <v>177144</v>
      </c>
      <c r="Q137" s="180">
        <v>0</v>
      </c>
      <c r="R137" s="180">
        <f t="shared" si="21"/>
        <v>177300</v>
      </c>
      <c r="S137" s="182">
        <f ca="1">U137-SUM($P$20:P137)/86400/(24+$C$12)*24</f>
        <v>43.6529832622251</v>
      </c>
      <c r="T137" s="179">
        <f t="shared" si="18"/>
        <v>175500</v>
      </c>
      <c r="U137" s="179">
        <f ca="1" t="shared" si="14"/>
        <v>126</v>
      </c>
      <c r="W137" s="183">
        <v>118</v>
      </c>
      <c r="X137" s="183">
        <f ca="1" t="shared" si="15"/>
        <v>3244.5</v>
      </c>
      <c r="Y137" s="183">
        <f ca="1">OFFSET(产销汇总!$C$1,MATCH("体力消耗",产销汇总!$C$2:$C$8,0),$C$18)/10*5*W137</f>
        <v>24780</v>
      </c>
      <c r="Z137" s="183">
        <f t="shared" si="19"/>
        <v>0</v>
      </c>
      <c r="AA137" s="183">
        <f ca="1" t="shared" si="16"/>
        <v>28024.5</v>
      </c>
    </row>
    <row r="138" ht="18" spans="1:27">
      <c r="A138" s="171"/>
      <c r="B138" s="80">
        <v>119</v>
      </c>
      <c r="C138" s="80">
        <f ca="1">OFFSET(产销汇总!$C$12,$B138,$C$18)</f>
        <v>118.5</v>
      </c>
      <c r="D138" s="80">
        <f ca="1" t="shared" si="11"/>
        <v>567.5</v>
      </c>
      <c r="E138" s="80">
        <f ca="1">OFFSET(产销汇总!$C$1,MATCH(E$19,产销汇总!$C$2:$C$9,0),$C$18)*2</f>
        <v>12</v>
      </c>
      <c r="F138" s="80">
        <f t="shared" si="20"/>
        <v>21</v>
      </c>
      <c r="G138" s="80">
        <f t="shared" si="17"/>
        <v>0</v>
      </c>
      <c r="H138" s="80">
        <f t="shared" si="12"/>
        <v>6.4</v>
      </c>
      <c r="K138" s="132">
        <f t="shared" si="13"/>
        <v>177300</v>
      </c>
      <c r="L138" s="184">
        <v>119</v>
      </c>
      <c r="M138" s="180">
        <f>SUM($N$20:N138)</f>
        <v>30218</v>
      </c>
      <c r="N138" s="180">
        <v>545</v>
      </c>
      <c r="O138" s="180">
        <v>8280</v>
      </c>
      <c r="P138" s="180">
        <v>177204</v>
      </c>
      <c r="Q138" s="180">
        <v>0</v>
      </c>
      <c r="R138" s="180">
        <f t="shared" si="21"/>
        <v>177300</v>
      </c>
      <c r="S138" s="182">
        <f ca="1">U138-SUM($P$20:P138)/86400/(24+$C$12)*24</f>
        <v>44.1021332458156</v>
      </c>
      <c r="T138" s="179">
        <f t="shared" si="18"/>
        <v>175500</v>
      </c>
      <c r="U138" s="179">
        <f ca="1" t="shared" si="14"/>
        <v>128</v>
      </c>
      <c r="W138" s="183">
        <v>119</v>
      </c>
      <c r="X138" s="183">
        <f ca="1" t="shared" si="15"/>
        <v>3255</v>
      </c>
      <c r="Y138" s="183">
        <f ca="1">OFFSET(产销汇总!$C$1,MATCH("体力消耗",产销汇总!$C$2:$C$8,0),$C$18)/10*5*W138</f>
        <v>24990</v>
      </c>
      <c r="Z138" s="183">
        <f t="shared" si="19"/>
        <v>0</v>
      </c>
      <c r="AA138" s="183">
        <f ca="1" t="shared" si="16"/>
        <v>28245</v>
      </c>
    </row>
    <row r="139" ht="18" spans="1:27">
      <c r="A139" s="171"/>
      <c r="B139" s="80">
        <v>120</v>
      </c>
      <c r="C139" s="80">
        <f ca="1">OFFSET(产销汇总!$C$12,$B139,$C$18)</f>
        <v>118.85</v>
      </c>
      <c r="D139" s="80">
        <f ca="1" t="shared" si="11"/>
        <v>569.25</v>
      </c>
      <c r="E139" s="80">
        <f ca="1">OFFSET(产销汇总!$C$1,MATCH(E$19,产销汇总!$C$2:$C$9,0),$C$18)*2</f>
        <v>12</v>
      </c>
      <c r="F139" s="80">
        <f t="shared" si="20"/>
        <v>21</v>
      </c>
      <c r="G139" s="80">
        <f t="shared" si="17"/>
        <v>0</v>
      </c>
      <c r="H139" s="80">
        <f t="shared" si="12"/>
        <v>6.4</v>
      </c>
      <c r="K139" s="132">
        <f t="shared" si="13"/>
        <v>177300</v>
      </c>
      <c r="L139" s="184">
        <v>120</v>
      </c>
      <c r="M139" s="180">
        <f>SUM($N$20:N139)</f>
        <v>30768</v>
      </c>
      <c r="N139" s="180">
        <v>550</v>
      </c>
      <c r="O139" s="180">
        <v>8350</v>
      </c>
      <c r="P139" s="180">
        <v>177265</v>
      </c>
      <c r="Q139" s="180">
        <v>0</v>
      </c>
      <c r="R139" s="180">
        <f t="shared" si="21"/>
        <v>177300</v>
      </c>
      <c r="S139" s="182">
        <f ca="1">U139-SUM($P$20:P139)/86400/(24+$C$12)*24</f>
        <v>45.550749370966</v>
      </c>
      <c r="T139" s="179">
        <f t="shared" si="18"/>
        <v>175500</v>
      </c>
      <c r="U139" s="179">
        <f ca="1" t="shared" si="14"/>
        <v>131</v>
      </c>
      <c r="W139" s="183">
        <v>120</v>
      </c>
      <c r="X139" s="183">
        <f ca="1" t="shared" si="15"/>
        <v>3265.5</v>
      </c>
      <c r="Y139" s="183">
        <f ca="1">OFFSET(产销汇总!$C$1,MATCH("体力消耗",产销汇总!$C$2:$C$8,0),$C$18)/10*5*W139</f>
        <v>25200</v>
      </c>
      <c r="Z139" s="183">
        <f t="shared" si="19"/>
        <v>0</v>
      </c>
      <c r="AA139" s="183">
        <f ca="1" t="shared" si="16"/>
        <v>28465.5</v>
      </c>
    </row>
    <row r="140" ht="18" spans="1:27">
      <c r="A140" s="171"/>
      <c r="B140" s="80">
        <v>121</v>
      </c>
      <c r="C140" s="80">
        <f ca="1">OFFSET(产销汇总!$C$12,$B140,$C$18)</f>
        <v>119.2</v>
      </c>
      <c r="D140" s="80">
        <f ca="1" t="shared" si="11"/>
        <v>571</v>
      </c>
      <c r="E140" s="80">
        <f ca="1">OFFSET(产销汇总!$C$1,MATCH(E$19,产销汇总!$C$2:$C$9,0),$C$18)*2</f>
        <v>12</v>
      </c>
      <c r="F140" s="80">
        <f t="shared" si="20"/>
        <v>21</v>
      </c>
      <c r="G140" s="80">
        <f t="shared" si="17"/>
        <v>0</v>
      </c>
      <c r="H140" s="80">
        <f t="shared" si="12"/>
        <v>6.4</v>
      </c>
      <c r="K140" s="132">
        <f t="shared" si="13"/>
        <v>177600</v>
      </c>
      <c r="L140" s="184">
        <v>121</v>
      </c>
      <c r="M140" s="180">
        <f>SUM($N$20:N140)</f>
        <v>31323</v>
      </c>
      <c r="N140" s="180">
        <v>555</v>
      </c>
      <c r="O140" s="180">
        <v>8420</v>
      </c>
      <c r="P140" s="180">
        <v>177325</v>
      </c>
      <c r="Q140" s="180">
        <v>0</v>
      </c>
      <c r="R140" s="180">
        <f t="shared" si="21"/>
        <v>177600</v>
      </c>
      <c r="S140" s="182">
        <f ca="1">U140-SUM($P$20:P140)/86400/(24+$C$12)*24</f>
        <v>45.9988403894541</v>
      </c>
      <c r="T140" s="179">
        <f t="shared" si="18"/>
        <v>175800</v>
      </c>
      <c r="U140" s="179">
        <f ca="1" t="shared" si="14"/>
        <v>133</v>
      </c>
      <c r="W140" s="183">
        <v>121</v>
      </c>
      <c r="X140" s="183">
        <f ca="1" t="shared" si="15"/>
        <v>3276</v>
      </c>
      <c r="Y140" s="183">
        <f ca="1">OFFSET(产销汇总!$C$1,MATCH("体力消耗",产销汇总!$C$2:$C$8,0),$C$18)/10*5*W140</f>
        <v>25410</v>
      </c>
      <c r="Z140" s="183">
        <f t="shared" si="19"/>
        <v>0</v>
      </c>
      <c r="AA140" s="183">
        <f ca="1" t="shared" si="16"/>
        <v>28686</v>
      </c>
    </row>
    <row r="141" ht="18" spans="1:27">
      <c r="A141" s="171"/>
      <c r="B141" s="80">
        <v>122</v>
      </c>
      <c r="C141" s="80">
        <f ca="1">OFFSET(产销汇总!$C$12,$B141,$C$18)</f>
        <v>119.55</v>
      </c>
      <c r="D141" s="80">
        <f ca="1" t="shared" si="11"/>
        <v>572.75</v>
      </c>
      <c r="E141" s="80">
        <f ca="1">OFFSET(产销汇总!$C$1,MATCH(E$19,产销汇总!$C$2:$C$9,0),$C$18)*2</f>
        <v>12</v>
      </c>
      <c r="F141" s="80">
        <f t="shared" si="20"/>
        <v>21</v>
      </c>
      <c r="G141" s="80">
        <f t="shared" si="17"/>
        <v>0</v>
      </c>
      <c r="H141" s="80">
        <f t="shared" si="12"/>
        <v>6.4</v>
      </c>
      <c r="K141" s="132">
        <f t="shared" si="13"/>
        <v>177600</v>
      </c>
      <c r="L141" s="184">
        <v>122</v>
      </c>
      <c r="M141" s="180">
        <f>SUM($N$20:N141)</f>
        <v>31883</v>
      </c>
      <c r="N141" s="180">
        <v>560</v>
      </c>
      <c r="O141" s="180">
        <v>8490</v>
      </c>
      <c r="P141" s="180">
        <v>177386</v>
      </c>
      <c r="Q141" s="180">
        <v>0</v>
      </c>
      <c r="R141" s="180">
        <f t="shared" si="21"/>
        <v>177600</v>
      </c>
      <c r="S141" s="182">
        <f ca="1">U141-SUM($P$20:P141)/86400/(24+$C$12)*24</f>
        <v>47.4463975495022</v>
      </c>
      <c r="T141" s="179">
        <f t="shared" si="18"/>
        <v>175800</v>
      </c>
      <c r="U141" s="179">
        <f ca="1" t="shared" si="14"/>
        <v>136</v>
      </c>
      <c r="W141" s="183">
        <v>122</v>
      </c>
      <c r="X141" s="183">
        <f ca="1" t="shared" si="15"/>
        <v>3286.5</v>
      </c>
      <c r="Y141" s="183">
        <f ca="1">OFFSET(产销汇总!$C$1,MATCH("体力消耗",产销汇总!$C$2:$C$8,0),$C$18)/10*5*W141</f>
        <v>25620</v>
      </c>
      <c r="Z141" s="183">
        <f t="shared" si="19"/>
        <v>0</v>
      </c>
      <c r="AA141" s="183">
        <f ca="1" t="shared" si="16"/>
        <v>28906.5</v>
      </c>
    </row>
    <row r="142" ht="18" spans="1:27">
      <c r="A142" s="171"/>
      <c r="B142" s="80">
        <v>123</v>
      </c>
      <c r="C142" s="80">
        <f ca="1">OFFSET(产销汇总!$C$12,$B142,$C$18)</f>
        <v>119.9</v>
      </c>
      <c r="D142" s="80">
        <f ca="1" t="shared" si="11"/>
        <v>574.5</v>
      </c>
      <c r="E142" s="80">
        <f ca="1">OFFSET(产销汇总!$C$1,MATCH(E$19,产销汇总!$C$2:$C$9,0),$C$18)*2</f>
        <v>12</v>
      </c>
      <c r="F142" s="80">
        <f t="shared" si="20"/>
        <v>21</v>
      </c>
      <c r="G142" s="80">
        <f t="shared" si="17"/>
        <v>0</v>
      </c>
      <c r="H142" s="80">
        <f t="shared" si="12"/>
        <v>6.4</v>
      </c>
      <c r="K142" s="132">
        <f t="shared" si="13"/>
        <v>177600</v>
      </c>
      <c r="L142" s="184">
        <v>123</v>
      </c>
      <c r="M142" s="180">
        <f>SUM($N$20:N142)</f>
        <v>32448</v>
      </c>
      <c r="N142" s="180">
        <v>565</v>
      </c>
      <c r="O142" s="180">
        <v>8560</v>
      </c>
      <c r="P142" s="180">
        <v>177446</v>
      </c>
      <c r="Q142" s="180">
        <v>0</v>
      </c>
      <c r="R142" s="180">
        <f t="shared" si="21"/>
        <v>177600</v>
      </c>
      <c r="S142" s="182">
        <f ca="1">U142-SUM($P$20:P142)/86400/(24+$C$12)*24</f>
        <v>48.8934296028881</v>
      </c>
      <c r="T142" s="179">
        <f t="shared" si="18"/>
        <v>175800</v>
      </c>
      <c r="U142" s="179">
        <f ca="1" t="shared" si="14"/>
        <v>139</v>
      </c>
      <c r="W142" s="183">
        <v>123</v>
      </c>
      <c r="X142" s="183">
        <f ca="1" t="shared" si="15"/>
        <v>3297</v>
      </c>
      <c r="Y142" s="183">
        <f ca="1">OFFSET(产销汇总!$C$1,MATCH("体力消耗",产销汇总!$C$2:$C$8,0),$C$18)/10*5*W142</f>
        <v>25830</v>
      </c>
      <c r="Z142" s="183">
        <f t="shared" si="19"/>
        <v>0</v>
      </c>
      <c r="AA142" s="183">
        <f ca="1" t="shared" si="16"/>
        <v>29127</v>
      </c>
    </row>
    <row r="143" ht="18" spans="1:27">
      <c r="A143" s="171"/>
      <c r="B143" s="80">
        <v>124</v>
      </c>
      <c r="C143" s="80">
        <f ca="1">OFFSET(产销汇总!$C$12,$B143,$C$18)</f>
        <v>120.25</v>
      </c>
      <c r="D143" s="80">
        <f ca="1" t="shared" si="11"/>
        <v>576.25</v>
      </c>
      <c r="E143" s="80">
        <f ca="1">OFFSET(产销汇总!$C$1,MATCH(E$19,产销汇总!$C$2:$C$9,0),$C$18)*2</f>
        <v>12</v>
      </c>
      <c r="F143" s="80">
        <f t="shared" si="20"/>
        <v>21</v>
      </c>
      <c r="G143" s="80">
        <f t="shared" si="17"/>
        <v>0</v>
      </c>
      <c r="H143" s="80">
        <f t="shared" si="12"/>
        <v>6.4</v>
      </c>
      <c r="K143" s="132">
        <f t="shared" si="13"/>
        <v>177600</v>
      </c>
      <c r="L143" s="184">
        <v>124</v>
      </c>
      <c r="M143" s="180">
        <f>SUM($N$20:N143)</f>
        <v>33018</v>
      </c>
      <c r="N143" s="180">
        <v>570</v>
      </c>
      <c r="O143" s="180">
        <v>8630</v>
      </c>
      <c r="P143" s="180">
        <v>177507</v>
      </c>
      <c r="Q143" s="180">
        <v>0</v>
      </c>
      <c r="R143" s="180">
        <f t="shared" si="21"/>
        <v>177600</v>
      </c>
      <c r="S143" s="182">
        <f ca="1">U143-SUM($P$20:P143)/86400/(24+$C$12)*24</f>
        <v>49.3399277978339</v>
      </c>
      <c r="T143" s="179">
        <f t="shared" si="18"/>
        <v>175800</v>
      </c>
      <c r="U143" s="179">
        <f ca="1" t="shared" si="14"/>
        <v>141</v>
      </c>
      <c r="W143" s="183">
        <v>124</v>
      </c>
      <c r="X143" s="183">
        <f ca="1" t="shared" si="15"/>
        <v>3307.5</v>
      </c>
      <c r="Y143" s="183">
        <f ca="1">OFFSET(产销汇总!$C$1,MATCH("体力消耗",产销汇总!$C$2:$C$8,0),$C$18)/10*5*W143</f>
        <v>26040</v>
      </c>
      <c r="Z143" s="183">
        <f t="shared" si="19"/>
        <v>0</v>
      </c>
      <c r="AA143" s="183">
        <f ca="1" t="shared" si="16"/>
        <v>29347.5</v>
      </c>
    </row>
    <row r="144" ht="18" spans="1:27">
      <c r="A144" s="171"/>
      <c r="B144" s="80">
        <v>125</v>
      </c>
      <c r="C144" s="80">
        <f ca="1">OFFSET(产销汇总!$C$12,$B144,$C$18)</f>
        <v>120.6</v>
      </c>
      <c r="D144" s="80">
        <f ca="1" t="shared" si="11"/>
        <v>578</v>
      </c>
      <c r="E144" s="80">
        <f ca="1">OFFSET(产销汇总!$C$1,MATCH(E$19,产销汇总!$C$2:$C$9,0),$C$18)*2</f>
        <v>12</v>
      </c>
      <c r="F144" s="80">
        <f t="shared" si="20"/>
        <v>21</v>
      </c>
      <c r="G144" s="80">
        <f t="shared" si="17"/>
        <v>0</v>
      </c>
      <c r="H144" s="80">
        <f t="shared" si="12"/>
        <v>6.4</v>
      </c>
      <c r="K144" s="132">
        <f t="shared" si="13"/>
        <v>177600</v>
      </c>
      <c r="L144" s="184">
        <v>125</v>
      </c>
      <c r="M144" s="180">
        <f>SUM($N$20:N144)</f>
        <v>33593</v>
      </c>
      <c r="N144" s="180">
        <v>575</v>
      </c>
      <c r="O144" s="180">
        <v>8700</v>
      </c>
      <c r="P144" s="180">
        <v>177567</v>
      </c>
      <c r="Q144" s="180">
        <v>0</v>
      </c>
      <c r="R144" s="180">
        <f t="shared" si="21"/>
        <v>177600</v>
      </c>
      <c r="S144" s="182">
        <f ca="1">U144-SUM($P$20:P144)/86400/(24+$C$12)*24</f>
        <v>50.7859008861175</v>
      </c>
      <c r="T144" s="179">
        <f t="shared" si="18"/>
        <v>175800</v>
      </c>
      <c r="U144" s="179">
        <f ca="1" t="shared" si="14"/>
        <v>144</v>
      </c>
      <c r="W144" s="183">
        <v>125</v>
      </c>
      <c r="X144" s="183">
        <f ca="1" t="shared" si="15"/>
        <v>3318</v>
      </c>
      <c r="Y144" s="183">
        <f ca="1">OFFSET(产销汇总!$C$1,MATCH("体力消耗",产销汇总!$C$2:$C$8,0),$C$18)/10*5*W144</f>
        <v>26250</v>
      </c>
      <c r="Z144" s="183">
        <f t="shared" si="19"/>
        <v>0</v>
      </c>
      <c r="AA144" s="183">
        <f ca="1" t="shared" si="16"/>
        <v>29568</v>
      </c>
    </row>
    <row r="145" ht="18" spans="1:27">
      <c r="A145" s="171"/>
      <c r="B145" s="80">
        <v>126</v>
      </c>
      <c r="C145" s="80">
        <f ca="1">OFFSET(产销汇总!$C$12,$B145,$C$18)</f>
        <v>120.95</v>
      </c>
      <c r="D145" s="80">
        <f ca="1" t="shared" si="11"/>
        <v>579.75</v>
      </c>
      <c r="E145" s="80">
        <f ca="1">OFFSET(产销汇总!$C$1,MATCH(E$19,产销汇总!$C$2:$C$9,0),$C$18)*2</f>
        <v>12</v>
      </c>
      <c r="F145" s="80">
        <f t="shared" si="20"/>
        <v>21</v>
      </c>
      <c r="G145" s="80">
        <f t="shared" si="17"/>
        <v>0</v>
      </c>
      <c r="H145" s="80">
        <f t="shared" si="12"/>
        <v>6.4</v>
      </c>
      <c r="K145" s="132">
        <f t="shared" si="13"/>
        <v>177900</v>
      </c>
      <c r="L145" s="184">
        <v>126</v>
      </c>
      <c r="M145" s="180">
        <f>SUM($N$20:N145)</f>
        <v>34173</v>
      </c>
      <c r="N145" s="180">
        <v>580</v>
      </c>
      <c r="O145" s="180">
        <v>8770</v>
      </c>
      <c r="P145" s="180">
        <v>177628</v>
      </c>
      <c r="Q145" s="180">
        <v>0</v>
      </c>
      <c r="R145" s="180">
        <f t="shared" si="21"/>
        <v>177900</v>
      </c>
      <c r="S145" s="182">
        <f ca="1">U145-SUM($P$20:P145)/86400/(24+$C$12)*24</f>
        <v>51.231340115961</v>
      </c>
      <c r="T145" s="179">
        <f t="shared" si="18"/>
        <v>176100</v>
      </c>
      <c r="U145" s="179">
        <f ca="1" t="shared" si="14"/>
        <v>146</v>
      </c>
      <c r="W145" s="183">
        <v>126</v>
      </c>
      <c r="X145" s="183">
        <f ca="1" t="shared" si="15"/>
        <v>3328.5</v>
      </c>
      <c r="Y145" s="183">
        <f ca="1">OFFSET(产销汇总!$C$1,MATCH("体力消耗",产销汇总!$C$2:$C$8,0),$C$18)/10*5*W145</f>
        <v>26460</v>
      </c>
      <c r="Z145" s="183">
        <f t="shared" si="19"/>
        <v>0</v>
      </c>
      <c r="AA145" s="183">
        <f ca="1" t="shared" si="16"/>
        <v>29788.5</v>
      </c>
    </row>
    <row r="146" ht="18" spans="1:27">
      <c r="A146" s="171"/>
      <c r="B146" s="80">
        <v>127</v>
      </c>
      <c r="C146" s="80">
        <f ca="1">OFFSET(产销汇总!$C$12,$B146,$C$18)</f>
        <v>121.3</v>
      </c>
      <c r="D146" s="80">
        <f ca="1" t="shared" si="11"/>
        <v>581.5</v>
      </c>
      <c r="E146" s="80">
        <f ca="1">OFFSET(产销汇总!$C$1,MATCH(E$19,产销汇总!$C$2:$C$9,0),$C$18)*2</f>
        <v>12</v>
      </c>
      <c r="F146" s="80">
        <f t="shared" si="20"/>
        <v>21</v>
      </c>
      <c r="G146" s="80">
        <f t="shared" si="17"/>
        <v>0</v>
      </c>
      <c r="H146" s="80">
        <f t="shared" si="12"/>
        <v>6.4</v>
      </c>
      <c r="K146" s="132">
        <f t="shared" si="13"/>
        <v>177900</v>
      </c>
      <c r="L146" s="184">
        <v>127</v>
      </c>
      <c r="M146" s="180">
        <f>SUM($N$20:N146)</f>
        <v>34758</v>
      </c>
      <c r="N146" s="180">
        <v>585</v>
      </c>
      <c r="O146" s="180">
        <v>8840</v>
      </c>
      <c r="P146" s="180">
        <v>177688</v>
      </c>
      <c r="Q146" s="180">
        <v>0</v>
      </c>
      <c r="R146" s="180">
        <f t="shared" si="21"/>
        <v>177900</v>
      </c>
      <c r="S146" s="182">
        <f ca="1">U146-SUM($P$20:P146)/86400/(24+$C$12)*24</f>
        <v>52.6762542391423</v>
      </c>
      <c r="T146" s="179">
        <f t="shared" si="18"/>
        <v>176100</v>
      </c>
      <c r="U146" s="179">
        <f ca="1" t="shared" si="14"/>
        <v>149</v>
      </c>
      <c r="W146" s="183">
        <v>127</v>
      </c>
      <c r="X146" s="183">
        <f ca="1" t="shared" si="15"/>
        <v>3339</v>
      </c>
      <c r="Y146" s="183">
        <f ca="1">OFFSET(产销汇总!$C$1,MATCH("体力消耗",产销汇总!$C$2:$C$8,0),$C$18)/10*5*W146</f>
        <v>26670</v>
      </c>
      <c r="Z146" s="183">
        <f t="shared" si="19"/>
        <v>0</v>
      </c>
      <c r="AA146" s="183">
        <f ca="1" t="shared" si="16"/>
        <v>30009</v>
      </c>
    </row>
    <row r="147" ht="18" spans="1:27">
      <c r="A147" s="171"/>
      <c r="B147" s="80">
        <v>128</v>
      </c>
      <c r="C147" s="80">
        <f ca="1">OFFSET(产销汇总!$C$12,$B147,$C$18)</f>
        <v>121.65</v>
      </c>
      <c r="D147" s="80">
        <f ca="1" t="shared" si="11"/>
        <v>583.25</v>
      </c>
      <c r="E147" s="80">
        <f ca="1">OFFSET(产销汇总!$C$1,MATCH(E$19,产销汇总!$C$2:$C$9,0),$C$18)*2</f>
        <v>12</v>
      </c>
      <c r="F147" s="80">
        <f t="shared" si="20"/>
        <v>21</v>
      </c>
      <c r="G147" s="80">
        <f t="shared" si="17"/>
        <v>0</v>
      </c>
      <c r="H147" s="80">
        <f t="shared" si="12"/>
        <v>6.4</v>
      </c>
      <c r="K147" s="132">
        <f t="shared" si="13"/>
        <v>177900</v>
      </c>
      <c r="L147" s="184">
        <v>128</v>
      </c>
      <c r="M147" s="180">
        <f>SUM($N$20:N147)</f>
        <v>35348</v>
      </c>
      <c r="N147" s="180">
        <v>590</v>
      </c>
      <c r="O147" s="180">
        <v>8910</v>
      </c>
      <c r="P147" s="180">
        <v>177749</v>
      </c>
      <c r="Q147" s="180">
        <v>0</v>
      </c>
      <c r="R147" s="180">
        <f t="shared" si="21"/>
        <v>177900</v>
      </c>
      <c r="S147" s="182">
        <f ca="1">U147-SUM($P$20:P147)/86400/(24+$C$12)*24</f>
        <v>54.1206345038836</v>
      </c>
      <c r="T147" s="179">
        <f t="shared" si="18"/>
        <v>176100</v>
      </c>
      <c r="U147" s="179">
        <f ca="1" t="shared" si="14"/>
        <v>152</v>
      </c>
      <c r="W147" s="183">
        <v>128</v>
      </c>
      <c r="X147" s="183">
        <f ca="1" t="shared" si="15"/>
        <v>3349.5</v>
      </c>
      <c r="Y147" s="183">
        <f ca="1">OFFSET(产销汇总!$C$1,MATCH("体力消耗",产销汇总!$C$2:$C$8,0),$C$18)/10*5*W147</f>
        <v>26880</v>
      </c>
      <c r="Z147" s="183">
        <f t="shared" si="19"/>
        <v>0</v>
      </c>
      <c r="AA147" s="183">
        <f ca="1" t="shared" si="16"/>
        <v>30229.5</v>
      </c>
    </row>
    <row r="148" ht="18" spans="1:27">
      <c r="A148" s="171"/>
      <c r="B148" s="80">
        <v>129</v>
      </c>
      <c r="C148" s="80">
        <f ca="1">OFFSET(产销汇总!$C$12,$B148,$C$18)</f>
        <v>122</v>
      </c>
      <c r="D148" s="80">
        <f ca="1" t="shared" ref="D148:D211" si="22">(C148-5)*5</f>
        <v>585</v>
      </c>
      <c r="E148" s="80">
        <f ca="1">OFFSET(产销汇总!$C$1,MATCH(E$19,产销汇总!$C$2:$C$9,0),$C$18)*2</f>
        <v>12</v>
      </c>
      <c r="F148" s="80">
        <f t="shared" si="20"/>
        <v>21</v>
      </c>
      <c r="G148" s="80">
        <f t="shared" si="17"/>
        <v>0</v>
      </c>
      <c r="H148" s="80">
        <f t="shared" ref="H148:H211" si="23">ROUND(5+10/7,1)</f>
        <v>6.4</v>
      </c>
      <c r="K148" s="132">
        <f t="shared" ref="K148:K211" si="24">CEILING(R148,300)</f>
        <v>177900</v>
      </c>
      <c r="L148" s="184">
        <v>129</v>
      </c>
      <c r="M148" s="180">
        <f>SUM($N$20:N148)</f>
        <v>35943</v>
      </c>
      <c r="N148" s="180">
        <v>595</v>
      </c>
      <c r="O148" s="180">
        <v>8980</v>
      </c>
      <c r="P148" s="180">
        <v>177809</v>
      </c>
      <c r="Q148" s="180">
        <v>0</v>
      </c>
      <c r="R148" s="180">
        <f t="shared" si="21"/>
        <v>177900</v>
      </c>
      <c r="S148" s="182">
        <f ca="1">U148-SUM($P$20:P148)/86400/(24+$C$12)*24</f>
        <v>54.5644896619626</v>
      </c>
      <c r="T148" s="179">
        <f t="shared" si="18"/>
        <v>176100</v>
      </c>
      <c r="U148" s="179">
        <f ca="1" t="shared" ref="U148:U211" si="25">IFERROR(MATCH(M148,$AA$20:$AA$319,1)+1,1)</f>
        <v>154</v>
      </c>
      <c r="W148" s="183">
        <v>129</v>
      </c>
      <c r="X148" s="183">
        <f ca="1" t="shared" ref="X148:X211" si="26">(C148-10)*30</f>
        <v>3360</v>
      </c>
      <c r="Y148" s="183">
        <f ca="1">OFFSET(产销汇总!$C$1,MATCH("体力消耗",产销汇总!$C$2:$C$8,0),$C$18)/10*5*W148</f>
        <v>27090</v>
      </c>
      <c r="Z148" s="183">
        <f t="shared" si="19"/>
        <v>0</v>
      </c>
      <c r="AA148" s="183">
        <f ca="1" t="shared" ref="AA148:AA211" si="27">SUM(X148:Z148)</f>
        <v>30450</v>
      </c>
    </row>
    <row r="149" ht="18" spans="1:27">
      <c r="A149" s="171"/>
      <c r="B149" s="80">
        <v>130</v>
      </c>
      <c r="C149" s="80">
        <f ca="1">OFFSET(产销汇总!$C$12,$B149,$C$18)</f>
        <v>122.35</v>
      </c>
      <c r="D149" s="80">
        <f ca="1" t="shared" si="22"/>
        <v>586.75</v>
      </c>
      <c r="E149" s="80">
        <f ca="1">OFFSET(产销汇总!$C$1,MATCH(E$19,产销汇总!$C$2:$C$9,0),$C$18)*2</f>
        <v>12</v>
      </c>
      <c r="F149" s="80">
        <f t="shared" si="20"/>
        <v>21</v>
      </c>
      <c r="G149" s="80">
        <f t="shared" ref="G149:G212" si="28">G148</f>
        <v>0</v>
      </c>
      <c r="H149" s="80">
        <f t="shared" si="23"/>
        <v>6.4</v>
      </c>
      <c r="K149" s="132">
        <f t="shared" si="24"/>
        <v>177900</v>
      </c>
      <c r="L149" s="184">
        <v>130</v>
      </c>
      <c r="M149" s="180">
        <f>SUM($N$20:N149)</f>
        <v>36543</v>
      </c>
      <c r="N149" s="180">
        <v>600</v>
      </c>
      <c r="O149" s="180">
        <v>9050</v>
      </c>
      <c r="P149" s="180">
        <v>177870</v>
      </c>
      <c r="Q149" s="180">
        <v>0</v>
      </c>
      <c r="R149" s="180">
        <f t="shared" si="21"/>
        <v>177900</v>
      </c>
      <c r="S149" s="182">
        <f ca="1">U149-SUM($P$20:P149)/86400/(24+$C$12)*24</f>
        <v>56.0078109616016</v>
      </c>
      <c r="T149" s="179">
        <f t="shared" ref="T149:T212" si="29">MAX(R149-30*60,0)</f>
        <v>176100</v>
      </c>
      <c r="U149" s="179">
        <f ca="1" t="shared" si="25"/>
        <v>157</v>
      </c>
      <c r="W149" s="183">
        <v>130</v>
      </c>
      <c r="X149" s="183">
        <f ca="1" t="shared" si="26"/>
        <v>3370.5</v>
      </c>
      <c r="Y149" s="183">
        <f ca="1">OFFSET(产销汇总!$C$1,MATCH("体力消耗",产销汇总!$C$2:$C$8,0),$C$18)/10*5*W149</f>
        <v>27300</v>
      </c>
      <c r="Z149" s="183">
        <f t="shared" ref="Z149:Z212" si="30">$Z$20*W149</f>
        <v>0</v>
      </c>
      <c r="AA149" s="183">
        <f ca="1" t="shared" si="27"/>
        <v>30670.5</v>
      </c>
    </row>
    <row r="150" ht="18" spans="1:27">
      <c r="A150" s="171"/>
      <c r="B150" s="80">
        <v>131</v>
      </c>
      <c r="C150" s="80">
        <f ca="1">OFFSET(产销汇总!$C$12,$B150,$C$18)</f>
        <v>122.7</v>
      </c>
      <c r="D150" s="80">
        <f ca="1" t="shared" si="22"/>
        <v>588.5</v>
      </c>
      <c r="E150" s="80">
        <f ca="1">OFFSET(产销汇总!$C$1,MATCH(E$19,产销汇总!$C$2:$C$9,0),$C$18)*2</f>
        <v>12</v>
      </c>
      <c r="F150" s="80">
        <f t="shared" ref="F150:F213" si="31">INT(13+10/7)*1.5</f>
        <v>21</v>
      </c>
      <c r="G150" s="80">
        <f t="shared" si="28"/>
        <v>0</v>
      </c>
      <c r="H150" s="80">
        <f t="shared" si="23"/>
        <v>6.4</v>
      </c>
      <c r="K150" s="132">
        <f t="shared" si="24"/>
        <v>178200</v>
      </c>
      <c r="L150" s="184">
        <v>131</v>
      </c>
      <c r="M150" s="180">
        <f>SUM($N$20:N150)</f>
        <v>37148</v>
      </c>
      <c r="N150" s="180">
        <v>605</v>
      </c>
      <c r="O150" s="180">
        <v>9120</v>
      </c>
      <c r="P150" s="180">
        <v>177930</v>
      </c>
      <c r="Q150" s="180">
        <v>0</v>
      </c>
      <c r="R150" s="180">
        <f t="shared" si="21"/>
        <v>178200</v>
      </c>
      <c r="S150" s="182">
        <f ca="1">U150-SUM($P$20:P150)/86400/(24+$C$12)*24</f>
        <v>57.4506071545783</v>
      </c>
      <c r="T150" s="179">
        <f t="shared" si="29"/>
        <v>176400</v>
      </c>
      <c r="U150" s="179">
        <f ca="1" t="shared" si="25"/>
        <v>160</v>
      </c>
      <c r="W150" s="183">
        <v>131</v>
      </c>
      <c r="X150" s="183">
        <f ca="1" t="shared" si="26"/>
        <v>3381</v>
      </c>
      <c r="Y150" s="183">
        <f ca="1">OFFSET(产销汇总!$C$1,MATCH("体力消耗",产销汇总!$C$2:$C$8,0),$C$18)/10*5*W150</f>
        <v>27510</v>
      </c>
      <c r="Z150" s="183">
        <f t="shared" si="30"/>
        <v>0</v>
      </c>
      <c r="AA150" s="183">
        <f ca="1" t="shared" si="27"/>
        <v>30891</v>
      </c>
    </row>
    <row r="151" ht="18" spans="1:27">
      <c r="A151" s="171"/>
      <c r="B151" s="80">
        <v>132</v>
      </c>
      <c r="C151" s="80">
        <f ca="1">OFFSET(产销汇总!$C$12,$B151,$C$18)</f>
        <v>123.05</v>
      </c>
      <c r="D151" s="80">
        <f ca="1" t="shared" si="22"/>
        <v>590.25</v>
      </c>
      <c r="E151" s="80">
        <f ca="1">OFFSET(产销汇总!$C$1,MATCH(E$19,产销汇总!$C$2:$C$9,0),$C$18)*2</f>
        <v>12</v>
      </c>
      <c r="F151" s="80">
        <f t="shared" si="31"/>
        <v>21</v>
      </c>
      <c r="G151" s="80">
        <f t="shared" si="28"/>
        <v>0</v>
      </c>
      <c r="H151" s="80">
        <f t="shared" si="23"/>
        <v>6.4</v>
      </c>
      <c r="K151" s="132">
        <f t="shared" si="24"/>
        <v>178200</v>
      </c>
      <c r="L151" s="184">
        <v>132</v>
      </c>
      <c r="M151" s="180">
        <f>SUM($N$20:N151)</f>
        <v>37758</v>
      </c>
      <c r="N151" s="180">
        <v>610</v>
      </c>
      <c r="O151" s="180">
        <v>9190</v>
      </c>
      <c r="P151" s="180">
        <v>177991</v>
      </c>
      <c r="Q151" s="180">
        <v>0</v>
      </c>
      <c r="R151" s="180">
        <f t="shared" si="21"/>
        <v>178200</v>
      </c>
      <c r="S151" s="182">
        <f ca="1">U151-SUM($P$20:P151)/86400/(24+$C$12)*24</f>
        <v>58.892869489115</v>
      </c>
      <c r="T151" s="179">
        <f t="shared" si="29"/>
        <v>176400</v>
      </c>
      <c r="U151" s="179">
        <f ca="1" t="shared" si="25"/>
        <v>163</v>
      </c>
      <c r="W151" s="183">
        <v>132</v>
      </c>
      <c r="X151" s="183">
        <f ca="1" t="shared" si="26"/>
        <v>3391.5</v>
      </c>
      <c r="Y151" s="183">
        <f ca="1">OFFSET(产销汇总!$C$1,MATCH("体力消耗",产销汇总!$C$2:$C$8,0),$C$18)/10*5*W151</f>
        <v>27720</v>
      </c>
      <c r="Z151" s="183">
        <f t="shared" si="30"/>
        <v>0</v>
      </c>
      <c r="AA151" s="183">
        <f ca="1" t="shared" si="27"/>
        <v>31111.5</v>
      </c>
    </row>
    <row r="152" ht="18" spans="1:27">
      <c r="A152" s="171"/>
      <c r="B152" s="80">
        <v>133</v>
      </c>
      <c r="C152" s="80">
        <f ca="1">OFFSET(产销汇总!$C$12,$B152,$C$18)</f>
        <v>123.4</v>
      </c>
      <c r="D152" s="80">
        <f ca="1" t="shared" si="22"/>
        <v>592</v>
      </c>
      <c r="E152" s="80">
        <f ca="1">OFFSET(产销汇总!$C$1,MATCH(E$19,产销汇总!$C$2:$C$9,0),$C$18)*2</f>
        <v>12</v>
      </c>
      <c r="F152" s="80">
        <f t="shared" si="31"/>
        <v>21</v>
      </c>
      <c r="G152" s="80">
        <f t="shared" si="28"/>
        <v>0</v>
      </c>
      <c r="H152" s="80">
        <f t="shared" si="23"/>
        <v>6.4</v>
      </c>
      <c r="K152" s="132">
        <f t="shared" si="24"/>
        <v>178200</v>
      </c>
      <c r="L152" s="184">
        <v>133</v>
      </c>
      <c r="M152" s="180">
        <f>SUM($N$20:N152)</f>
        <v>38373</v>
      </c>
      <c r="N152" s="180">
        <v>615</v>
      </c>
      <c r="O152" s="180">
        <v>9260</v>
      </c>
      <c r="P152" s="180">
        <v>178051</v>
      </c>
      <c r="Q152" s="180">
        <v>0</v>
      </c>
      <c r="R152" s="180">
        <f t="shared" si="21"/>
        <v>178200</v>
      </c>
      <c r="S152" s="182">
        <f ca="1">U152-SUM($P$20:P152)/86400/(24+$C$12)*24</f>
        <v>59.3346067169894</v>
      </c>
      <c r="T152" s="179">
        <f t="shared" si="29"/>
        <v>176400</v>
      </c>
      <c r="U152" s="179">
        <f ca="1" t="shared" si="25"/>
        <v>165</v>
      </c>
      <c r="W152" s="183">
        <v>133</v>
      </c>
      <c r="X152" s="183">
        <f ca="1" t="shared" si="26"/>
        <v>3402</v>
      </c>
      <c r="Y152" s="183">
        <f ca="1">OFFSET(产销汇总!$C$1,MATCH("体力消耗",产销汇总!$C$2:$C$8,0),$C$18)/10*5*W152</f>
        <v>27930</v>
      </c>
      <c r="Z152" s="183">
        <f t="shared" si="30"/>
        <v>0</v>
      </c>
      <c r="AA152" s="183">
        <f ca="1" t="shared" si="27"/>
        <v>31332</v>
      </c>
    </row>
    <row r="153" ht="18" spans="1:27">
      <c r="A153" s="171"/>
      <c r="B153" s="80">
        <v>134</v>
      </c>
      <c r="C153" s="80">
        <f ca="1">OFFSET(产销汇总!$C$12,$B153,$C$18)</f>
        <v>123.75</v>
      </c>
      <c r="D153" s="80">
        <f ca="1" t="shared" si="22"/>
        <v>593.75</v>
      </c>
      <c r="E153" s="80">
        <f ca="1">OFFSET(产销汇总!$C$1,MATCH(E$19,产销汇总!$C$2:$C$9,0),$C$18)*2</f>
        <v>12</v>
      </c>
      <c r="F153" s="80">
        <f t="shared" si="31"/>
        <v>21</v>
      </c>
      <c r="G153" s="80">
        <f t="shared" si="28"/>
        <v>0</v>
      </c>
      <c r="H153" s="80">
        <f t="shared" si="23"/>
        <v>6.4</v>
      </c>
      <c r="K153" s="132">
        <f t="shared" si="24"/>
        <v>179100</v>
      </c>
      <c r="L153" s="184">
        <v>134</v>
      </c>
      <c r="M153" s="180">
        <f>SUM($N$20:N153)</f>
        <v>38993</v>
      </c>
      <c r="N153" s="180">
        <v>620</v>
      </c>
      <c r="O153" s="180">
        <v>9330</v>
      </c>
      <c r="P153" s="180">
        <v>178851</v>
      </c>
      <c r="Q153" s="180">
        <v>0</v>
      </c>
      <c r="R153" s="180">
        <f t="shared" si="21"/>
        <v>179100</v>
      </c>
      <c r="S153" s="182">
        <f ca="1">U153-SUM($P$20:P153)/86400/(24+$C$12)*24</f>
        <v>60.7693425226999</v>
      </c>
      <c r="T153" s="179">
        <f t="shared" si="29"/>
        <v>177300</v>
      </c>
      <c r="U153" s="179">
        <f ca="1" t="shared" si="25"/>
        <v>168</v>
      </c>
      <c r="W153" s="183">
        <v>134</v>
      </c>
      <c r="X153" s="183">
        <f ca="1" t="shared" si="26"/>
        <v>3412.5</v>
      </c>
      <c r="Y153" s="183">
        <f ca="1">OFFSET(产销汇总!$C$1,MATCH("体力消耗",产销汇总!$C$2:$C$8,0),$C$18)/10*5*W153</f>
        <v>28140</v>
      </c>
      <c r="Z153" s="183">
        <f t="shared" si="30"/>
        <v>0</v>
      </c>
      <c r="AA153" s="183">
        <f ca="1" t="shared" si="27"/>
        <v>31552.5</v>
      </c>
    </row>
    <row r="154" ht="18" spans="1:27">
      <c r="A154" s="171"/>
      <c r="B154" s="80">
        <v>135</v>
      </c>
      <c r="C154" s="80">
        <f ca="1">OFFSET(产销汇总!$C$12,$B154,$C$18)</f>
        <v>124.1</v>
      </c>
      <c r="D154" s="80">
        <f ca="1" t="shared" si="22"/>
        <v>595.5</v>
      </c>
      <c r="E154" s="80">
        <f ca="1">OFFSET(产销汇总!$C$1,MATCH(E$19,产销汇总!$C$2:$C$9,0),$C$18)*2</f>
        <v>12</v>
      </c>
      <c r="F154" s="80">
        <f t="shared" si="31"/>
        <v>21</v>
      </c>
      <c r="G154" s="80">
        <f t="shared" si="28"/>
        <v>0</v>
      </c>
      <c r="H154" s="80">
        <f t="shared" si="23"/>
        <v>6.4</v>
      </c>
      <c r="K154" s="132">
        <f t="shared" si="24"/>
        <v>180300</v>
      </c>
      <c r="L154" s="184">
        <v>135</v>
      </c>
      <c r="M154" s="180">
        <f>SUM($N$20:N154)</f>
        <v>39618</v>
      </c>
      <c r="N154" s="180">
        <v>625</v>
      </c>
      <c r="O154" s="180">
        <v>9400</v>
      </c>
      <c r="P154" s="180">
        <v>180196</v>
      </c>
      <c r="Q154" s="180">
        <v>0</v>
      </c>
      <c r="R154" s="180">
        <f t="shared" si="21"/>
        <v>180300</v>
      </c>
      <c r="S154" s="182">
        <f ca="1">U154-SUM($P$20:P154)/86400/(24+$C$12)*24</f>
        <v>62.1923071873974</v>
      </c>
      <c r="T154" s="179">
        <f t="shared" si="29"/>
        <v>178500</v>
      </c>
      <c r="U154" s="179">
        <f ca="1" t="shared" si="25"/>
        <v>171</v>
      </c>
      <c r="W154" s="183">
        <v>135</v>
      </c>
      <c r="X154" s="183">
        <f ca="1" t="shared" si="26"/>
        <v>3423</v>
      </c>
      <c r="Y154" s="183">
        <f ca="1">OFFSET(产销汇总!$C$1,MATCH("体力消耗",产销汇总!$C$2:$C$8,0),$C$18)/10*5*W154</f>
        <v>28350</v>
      </c>
      <c r="Z154" s="183">
        <f t="shared" si="30"/>
        <v>0</v>
      </c>
      <c r="AA154" s="183">
        <f ca="1" t="shared" si="27"/>
        <v>31773</v>
      </c>
    </row>
    <row r="155" ht="18" spans="1:27">
      <c r="A155" s="171"/>
      <c r="B155" s="80">
        <v>136</v>
      </c>
      <c r="C155" s="80">
        <f ca="1">OFFSET(产销汇总!$C$12,$B155,$C$18)</f>
        <v>124.45</v>
      </c>
      <c r="D155" s="80">
        <f ca="1" t="shared" si="22"/>
        <v>597.25</v>
      </c>
      <c r="E155" s="80">
        <f ca="1">OFFSET(产销汇总!$C$1,MATCH(E$19,产销汇总!$C$2:$C$9,0),$C$18)*2</f>
        <v>12</v>
      </c>
      <c r="F155" s="80">
        <f t="shared" si="31"/>
        <v>21</v>
      </c>
      <c r="G155" s="80">
        <f t="shared" si="28"/>
        <v>0</v>
      </c>
      <c r="H155" s="80">
        <f t="shared" si="23"/>
        <v>6.4</v>
      </c>
      <c r="K155" s="132">
        <f t="shared" si="24"/>
        <v>181800</v>
      </c>
      <c r="L155" s="184">
        <v>136</v>
      </c>
      <c r="M155" s="180">
        <f>SUM($N$20:N155)</f>
        <v>40248</v>
      </c>
      <c r="N155" s="180">
        <v>630</v>
      </c>
      <c r="O155" s="180">
        <v>9470</v>
      </c>
      <c r="P155" s="180">
        <v>181540</v>
      </c>
      <c r="Q155" s="180">
        <v>0</v>
      </c>
      <c r="R155" s="180">
        <f t="shared" ref="R155:R218" si="32">CEILING(P155*(1-Q155),300)</f>
        <v>181800</v>
      </c>
      <c r="S155" s="182">
        <f ca="1">U155-SUM($P$20:P155)/86400/(24+$C$12)*24</f>
        <v>63.6035094628596</v>
      </c>
      <c r="T155" s="179">
        <f t="shared" si="29"/>
        <v>180000</v>
      </c>
      <c r="U155" s="179">
        <f ca="1" t="shared" si="25"/>
        <v>174</v>
      </c>
      <c r="W155" s="183">
        <v>136</v>
      </c>
      <c r="X155" s="183">
        <f ca="1" t="shared" si="26"/>
        <v>3433.5</v>
      </c>
      <c r="Y155" s="183">
        <f ca="1">OFFSET(产销汇总!$C$1,MATCH("体力消耗",产销汇总!$C$2:$C$8,0),$C$18)/10*5*W155</f>
        <v>28560</v>
      </c>
      <c r="Z155" s="183">
        <f t="shared" si="30"/>
        <v>0</v>
      </c>
      <c r="AA155" s="183">
        <f ca="1" t="shared" si="27"/>
        <v>31993.5</v>
      </c>
    </row>
    <row r="156" ht="18" spans="1:27">
      <c r="A156" s="171"/>
      <c r="B156" s="80">
        <v>137</v>
      </c>
      <c r="C156" s="80">
        <f ca="1">OFFSET(产销汇总!$C$12,$B156,$C$18)</f>
        <v>124.799999999999</v>
      </c>
      <c r="D156" s="80">
        <f ca="1" t="shared" si="22"/>
        <v>598.999999999995</v>
      </c>
      <c r="E156" s="80">
        <f ca="1">OFFSET(产销汇总!$C$1,MATCH(E$19,产销汇总!$C$2:$C$9,0),$C$18)*2</f>
        <v>12</v>
      </c>
      <c r="F156" s="80">
        <f t="shared" si="31"/>
        <v>21</v>
      </c>
      <c r="G156" s="80">
        <f t="shared" si="28"/>
        <v>0</v>
      </c>
      <c r="H156" s="80">
        <f t="shared" si="23"/>
        <v>6.4</v>
      </c>
      <c r="K156" s="132">
        <f t="shared" si="24"/>
        <v>181800</v>
      </c>
      <c r="L156" s="184">
        <v>137</v>
      </c>
      <c r="M156" s="180">
        <f>SUM($N$20:N156)</f>
        <v>40883</v>
      </c>
      <c r="N156" s="180">
        <v>635</v>
      </c>
      <c r="O156" s="180">
        <v>9540</v>
      </c>
      <c r="P156" s="180">
        <v>181601</v>
      </c>
      <c r="Q156" s="180">
        <v>0</v>
      </c>
      <c r="R156" s="180">
        <f t="shared" si="32"/>
        <v>181800</v>
      </c>
      <c r="S156" s="182">
        <f ca="1">U156-SUM($P$20:P156)/86400/(24+$C$12)*24</f>
        <v>65.0141778798818</v>
      </c>
      <c r="T156" s="179">
        <f t="shared" si="29"/>
        <v>180000</v>
      </c>
      <c r="U156" s="179">
        <f ca="1" t="shared" si="25"/>
        <v>177</v>
      </c>
      <c r="W156" s="183">
        <v>137</v>
      </c>
      <c r="X156" s="183">
        <f ca="1" t="shared" si="26"/>
        <v>3443.99999999997</v>
      </c>
      <c r="Y156" s="183">
        <f ca="1">OFFSET(产销汇总!$C$1,MATCH("体力消耗",产销汇总!$C$2:$C$8,0),$C$18)/10*5*W156</f>
        <v>28770</v>
      </c>
      <c r="Z156" s="183">
        <f t="shared" si="30"/>
        <v>0</v>
      </c>
      <c r="AA156" s="183">
        <f ca="1" t="shared" si="27"/>
        <v>32214</v>
      </c>
    </row>
    <row r="157" ht="18" spans="1:27">
      <c r="A157" s="171"/>
      <c r="B157" s="80">
        <v>138</v>
      </c>
      <c r="C157" s="80">
        <f ca="1">OFFSET(产销汇总!$C$12,$B157,$C$18)</f>
        <v>125.149999999999</v>
      </c>
      <c r="D157" s="80">
        <f ca="1" t="shared" si="22"/>
        <v>600.749999999995</v>
      </c>
      <c r="E157" s="80">
        <f ca="1">OFFSET(产销汇总!$C$1,MATCH(E$19,产销汇总!$C$2:$C$9,0),$C$18)*2</f>
        <v>12</v>
      </c>
      <c r="F157" s="80">
        <f t="shared" si="31"/>
        <v>21</v>
      </c>
      <c r="G157" s="80">
        <f t="shared" si="28"/>
        <v>0</v>
      </c>
      <c r="H157" s="80">
        <f t="shared" si="23"/>
        <v>6.4</v>
      </c>
      <c r="K157" s="132">
        <f t="shared" si="24"/>
        <v>181800</v>
      </c>
      <c r="L157" s="184">
        <v>138</v>
      </c>
      <c r="M157" s="180">
        <f>SUM($N$20:N157)</f>
        <v>41523</v>
      </c>
      <c r="N157" s="180">
        <v>640</v>
      </c>
      <c r="O157" s="180">
        <v>9610</v>
      </c>
      <c r="P157" s="180">
        <v>181661</v>
      </c>
      <c r="Q157" s="180">
        <v>0</v>
      </c>
      <c r="R157" s="180">
        <f t="shared" si="32"/>
        <v>181800</v>
      </c>
      <c r="S157" s="182">
        <f ca="1">U157-SUM($P$20:P157)/86400/(24+$C$12)*24</f>
        <v>66.4243211902418</v>
      </c>
      <c r="T157" s="179">
        <f t="shared" si="29"/>
        <v>180000</v>
      </c>
      <c r="U157" s="179">
        <f ca="1" t="shared" si="25"/>
        <v>180</v>
      </c>
      <c r="W157" s="183">
        <v>138</v>
      </c>
      <c r="X157" s="183">
        <f ca="1" t="shared" si="26"/>
        <v>3454.49999999997</v>
      </c>
      <c r="Y157" s="183">
        <f ca="1">OFFSET(产销汇总!$C$1,MATCH("体力消耗",产销汇总!$C$2:$C$8,0),$C$18)/10*5*W157</f>
        <v>28980</v>
      </c>
      <c r="Z157" s="183">
        <f t="shared" si="30"/>
        <v>0</v>
      </c>
      <c r="AA157" s="183">
        <f ca="1" t="shared" si="27"/>
        <v>32434.5</v>
      </c>
    </row>
    <row r="158" ht="18" spans="1:27">
      <c r="A158" s="171"/>
      <c r="B158" s="80">
        <v>139</v>
      </c>
      <c r="C158" s="80">
        <f ca="1">OFFSET(产销汇总!$C$12,$B158,$C$18)</f>
        <v>125.499999999999</v>
      </c>
      <c r="D158" s="80">
        <f ca="1" t="shared" si="22"/>
        <v>602.499999999995</v>
      </c>
      <c r="E158" s="80">
        <f ca="1">OFFSET(产销汇总!$C$1,MATCH(E$19,产销汇总!$C$2:$C$9,0),$C$18)*2</f>
        <v>12</v>
      </c>
      <c r="F158" s="80">
        <f t="shared" si="31"/>
        <v>21</v>
      </c>
      <c r="G158" s="80">
        <f t="shared" si="28"/>
        <v>0</v>
      </c>
      <c r="H158" s="80">
        <f t="shared" si="23"/>
        <v>6.4</v>
      </c>
      <c r="K158" s="132">
        <f t="shared" si="24"/>
        <v>181800</v>
      </c>
      <c r="L158" s="184">
        <v>139</v>
      </c>
      <c r="M158" s="180">
        <f>SUM($N$20:N158)</f>
        <v>42168</v>
      </c>
      <c r="N158" s="180">
        <v>645</v>
      </c>
      <c r="O158" s="180">
        <v>9680</v>
      </c>
      <c r="P158" s="180">
        <v>181722</v>
      </c>
      <c r="Q158" s="180">
        <v>0</v>
      </c>
      <c r="R158" s="180">
        <f t="shared" si="32"/>
        <v>181800</v>
      </c>
      <c r="S158" s="182">
        <f ca="1">U158-SUM($P$20:P158)/86400/(24+$C$12)*24</f>
        <v>67.8339306421617</v>
      </c>
      <c r="T158" s="179">
        <f t="shared" si="29"/>
        <v>180000</v>
      </c>
      <c r="U158" s="179">
        <f ca="1" t="shared" si="25"/>
        <v>183</v>
      </c>
      <c r="W158" s="183">
        <v>139</v>
      </c>
      <c r="X158" s="183">
        <f ca="1" t="shared" si="26"/>
        <v>3464.99999999997</v>
      </c>
      <c r="Y158" s="183">
        <f ca="1">OFFSET(产销汇总!$C$1,MATCH("体力消耗",产销汇总!$C$2:$C$8,0),$C$18)/10*5*W158</f>
        <v>29190</v>
      </c>
      <c r="Z158" s="183">
        <f t="shared" si="30"/>
        <v>0</v>
      </c>
      <c r="AA158" s="183">
        <f ca="1" t="shared" si="27"/>
        <v>32655</v>
      </c>
    </row>
    <row r="159" ht="18" spans="1:27">
      <c r="A159" s="171"/>
      <c r="B159" s="80">
        <v>140</v>
      </c>
      <c r="C159" s="80">
        <f ca="1">OFFSET(产销汇总!$C$12,$B159,$C$18)</f>
        <v>125.849999999999</v>
      </c>
      <c r="D159" s="80">
        <f ca="1" t="shared" si="22"/>
        <v>604.249999999995</v>
      </c>
      <c r="E159" s="80">
        <f ca="1">OFFSET(产销汇总!$C$1,MATCH(E$19,产销汇总!$C$2:$C$9,0),$C$18)*2</f>
        <v>12</v>
      </c>
      <c r="F159" s="80">
        <f t="shared" si="31"/>
        <v>21</v>
      </c>
      <c r="G159" s="80">
        <f t="shared" si="28"/>
        <v>0</v>
      </c>
      <c r="H159" s="80">
        <f t="shared" si="23"/>
        <v>6.4</v>
      </c>
      <c r="K159" s="132">
        <f t="shared" si="24"/>
        <v>181800</v>
      </c>
      <c r="L159" s="184">
        <v>140</v>
      </c>
      <c r="M159" s="180">
        <f>SUM($N$20:N159)</f>
        <v>42818</v>
      </c>
      <c r="N159" s="180">
        <v>650</v>
      </c>
      <c r="O159" s="180">
        <v>9750</v>
      </c>
      <c r="P159" s="180">
        <v>181782</v>
      </c>
      <c r="Q159" s="180">
        <v>0</v>
      </c>
      <c r="R159" s="180">
        <f t="shared" si="32"/>
        <v>181800</v>
      </c>
      <c r="S159" s="182">
        <f ca="1">U159-SUM($P$20:P159)/86400/(24+$C$12)*24</f>
        <v>69.2430149874193</v>
      </c>
      <c r="T159" s="179">
        <f t="shared" si="29"/>
        <v>180000</v>
      </c>
      <c r="U159" s="179">
        <f ca="1" t="shared" si="25"/>
        <v>186</v>
      </c>
      <c r="W159" s="183">
        <v>140</v>
      </c>
      <c r="X159" s="183">
        <f ca="1" t="shared" si="26"/>
        <v>3475.49999999997</v>
      </c>
      <c r="Y159" s="183">
        <f ca="1">OFFSET(产销汇总!$C$1,MATCH("体力消耗",产销汇总!$C$2:$C$8,0),$C$18)/10*5*W159</f>
        <v>29400</v>
      </c>
      <c r="Z159" s="183">
        <f t="shared" si="30"/>
        <v>0</v>
      </c>
      <c r="AA159" s="183">
        <f ca="1" t="shared" si="27"/>
        <v>32875.5</v>
      </c>
    </row>
    <row r="160" ht="18" spans="1:27">
      <c r="A160" s="171"/>
      <c r="B160" s="80">
        <v>141</v>
      </c>
      <c r="C160" s="80">
        <f ca="1">OFFSET(产销汇总!$C$12,$B160,$C$18)</f>
        <v>126.199999999999</v>
      </c>
      <c r="D160" s="80">
        <f ca="1" t="shared" si="22"/>
        <v>605.999999999995</v>
      </c>
      <c r="E160" s="80">
        <f ca="1">OFFSET(产销汇总!$C$1,MATCH(E$19,产销汇总!$C$2:$C$9,0),$C$18)*2</f>
        <v>12</v>
      </c>
      <c r="F160" s="80">
        <f t="shared" si="31"/>
        <v>21</v>
      </c>
      <c r="G160" s="80">
        <f t="shared" si="28"/>
        <v>0</v>
      </c>
      <c r="H160" s="80">
        <f t="shared" si="23"/>
        <v>6.4</v>
      </c>
      <c r="K160" s="132">
        <f t="shared" si="24"/>
        <v>182100</v>
      </c>
      <c r="L160" s="184">
        <v>141</v>
      </c>
      <c r="M160" s="180">
        <f>SUM($N$20:N160)</f>
        <v>43473</v>
      </c>
      <c r="N160" s="180">
        <v>655</v>
      </c>
      <c r="O160" s="180">
        <v>9820</v>
      </c>
      <c r="P160" s="180">
        <v>181843</v>
      </c>
      <c r="Q160" s="180">
        <v>0</v>
      </c>
      <c r="R160" s="180">
        <f t="shared" si="32"/>
        <v>182100</v>
      </c>
      <c r="S160" s="182">
        <f ca="1">U160-SUM($P$20:P160)/86400/(24+$C$12)*24</f>
        <v>70.6515654742369</v>
      </c>
      <c r="T160" s="179">
        <f t="shared" si="29"/>
        <v>180300</v>
      </c>
      <c r="U160" s="179">
        <f ca="1" t="shared" si="25"/>
        <v>189</v>
      </c>
      <c r="W160" s="183">
        <v>141</v>
      </c>
      <c r="X160" s="183">
        <f ca="1" t="shared" si="26"/>
        <v>3485.99999999997</v>
      </c>
      <c r="Y160" s="183">
        <f ca="1">OFFSET(产销汇总!$C$1,MATCH("体力消耗",产销汇总!$C$2:$C$8,0),$C$18)/10*5*W160</f>
        <v>29610</v>
      </c>
      <c r="Z160" s="183">
        <f t="shared" si="30"/>
        <v>0</v>
      </c>
      <c r="AA160" s="183">
        <f ca="1" t="shared" si="27"/>
        <v>33096</v>
      </c>
    </row>
    <row r="161" ht="18" spans="1:27">
      <c r="A161" s="171"/>
      <c r="B161" s="80">
        <v>142</v>
      </c>
      <c r="C161" s="80">
        <f ca="1">OFFSET(产销汇总!$C$12,$B161,$C$18)</f>
        <v>126.549999999999</v>
      </c>
      <c r="D161" s="80">
        <f ca="1" t="shared" si="22"/>
        <v>607.749999999995</v>
      </c>
      <c r="E161" s="80">
        <f ca="1">OFFSET(产销汇总!$C$1,MATCH(E$19,产销汇总!$C$2:$C$9,0),$C$18)*2</f>
        <v>12</v>
      </c>
      <c r="F161" s="80">
        <f t="shared" si="31"/>
        <v>21</v>
      </c>
      <c r="G161" s="80">
        <f t="shared" si="28"/>
        <v>0</v>
      </c>
      <c r="H161" s="80">
        <f t="shared" si="23"/>
        <v>6.4</v>
      </c>
      <c r="K161" s="132">
        <f t="shared" si="24"/>
        <v>182100</v>
      </c>
      <c r="L161" s="184">
        <v>142</v>
      </c>
      <c r="M161" s="180">
        <f>SUM($N$20:N161)</f>
        <v>44133</v>
      </c>
      <c r="N161" s="180">
        <v>660</v>
      </c>
      <c r="O161" s="180">
        <v>9890</v>
      </c>
      <c r="P161" s="180">
        <v>181903</v>
      </c>
      <c r="Q161" s="180">
        <v>0</v>
      </c>
      <c r="R161" s="180">
        <f t="shared" si="32"/>
        <v>182100</v>
      </c>
      <c r="S161" s="182">
        <f ca="1">U161-SUM($P$20:P161)/86400/(24+$C$12)*24</f>
        <v>72.0595908543923</v>
      </c>
      <c r="T161" s="179">
        <f t="shared" si="29"/>
        <v>180300</v>
      </c>
      <c r="U161" s="179">
        <f ca="1" t="shared" si="25"/>
        <v>192</v>
      </c>
      <c r="W161" s="183">
        <v>142</v>
      </c>
      <c r="X161" s="183">
        <f ca="1" t="shared" si="26"/>
        <v>3496.49999999997</v>
      </c>
      <c r="Y161" s="183">
        <f ca="1">OFFSET(产销汇总!$C$1,MATCH("体力消耗",产销汇总!$C$2:$C$8,0),$C$18)/10*5*W161</f>
        <v>29820</v>
      </c>
      <c r="Z161" s="183">
        <f t="shared" si="30"/>
        <v>0</v>
      </c>
      <c r="AA161" s="183">
        <f ca="1" t="shared" si="27"/>
        <v>33316.5</v>
      </c>
    </row>
    <row r="162" ht="18" spans="1:27">
      <c r="A162" s="171"/>
      <c r="B162" s="80">
        <v>143</v>
      </c>
      <c r="C162" s="80">
        <f ca="1">OFFSET(产销汇总!$C$12,$B162,$C$18)</f>
        <v>126.899999999999</v>
      </c>
      <c r="D162" s="80">
        <f ca="1" t="shared" si="22"/>
        <v>609.499999999995</v>
      </c>
      <c r="E162" s="80">
        <f ca="1">OFFSET(产销汇总!$C$1,MATCH(E$19,产销汇总!$C$2:$C$9,0),$C$18)*2</f>
        <v>12</v>
      </c>
      <c r="F162" s="80">
        <f t="shared" si="31"/>
        <v>21</v>
      </c>
      <c r="G162" s="80">
        <f t="shared" si="28"/>
        <v>0</v>
      </c>
      <c r="H162" s="80">
        <f t="shared" si="23"/>
        <v>6.4</v>
      </c>
      <c r="K162" s="132">
        <f t="shared" si="24"/>
        <v>182100</v>
      </c>
      <c r="L162" s="184">
        <v>143</v>
      </c>
      <c r="M162" s="180">
        <f>SUM($N$20:N162)</f>
        <v>44798</v>
      </c>
      <c r="N162" s="180">
        <v>665</v>
      </c>
      <c r="O162" s="180">
        <v>9960</v>
      </c>
      <c r="P162" s="180">
        <v>181964</v>
      </c>
      <c r="Q162" s="180">
        <v>0</v>
      </c>
      <c r="R162" s="180">
        <f t="shared" si="32"/>
        <v>182100</v>
      </c>
      <c r="S162" s="182">
        <f ca="1">U162-SUM($P$20:P162)/86400/(24+$C$12)*24</f>
        <v>73.4670823761077</v>
      </c>
      <c r="T162" s="179">
        <f t="shared" si="29"/>
        <v>180300</v>
      </c>
      <c r="U162" s="179">
        <f ca="1" t="shared" si="25"/>
        <v>195</v>
      </c>
      <c r="W162" s="183">
        <v>143</v>
      </c>
      <c r="X162" s="183">
        <f ca="1" t="shared" si="26"/>
        <v>3506.99999999997</v>
      </c>
      <c r="Y162" s="183">
        <f ca="1">OFFSET(产销汇总!$C$1,MATCH("体力消耗",产销汇总!$C$2:$C$8,0),$C$18)/10*5*W162</f>
        <v>30030</v>
      </c>
      <c r="Z162" s="183">
        <f t="shared" si="30"/>
        <v>0</v>
      </c>
      <c r="AA162" s="183">
        <f ca="1" t="shared" si="27"/>
        <v>33537</v>
      </c>
    </row>
    <row r="163" ht="18" spans="1:27">
      <c r="A163" s="171"/>
      <c r="B163" s="80">
        <v>144</v>
      </c>
      <c r="C163" s="80">
        <f ca="1">OFFSET(产销汇总!$C$12,$B163,$C$18)</f>
        <v>127.249999999999</v>
      </c>
      <c r="D163" s="80">
        <f ca="1" t="shared" si="22"/>
        <v>611.249999999995</v>
      </c>
      <c r="E163" s="80">
        <f ca="1">OFFSET(产销汇总!$C$1,MATCH(E$19,产销汇总!$C$2:$C$9,0),$C$18)*2</f>
        <v>12</v>
      </c>
      <c r="F163" s="80">
        <f t="shared" si="31"/>
        <v>21</v>
      </c>
      <c r="G163" s="80">
        <f t="shared" si="28"/>
        <v>0</v>
      </c>
      <c r="H163" s="80">
        <f t="shared" si="23"/>
        <v>6.4</v>
      </c>
      <c r="K163" s="132">
        <f t="shared" si="24"/>
        <v>182100</v>
      </c>
      <c r="L163" s="184">
        <v>144</v>
      </c>
      <c r="M163" s="180">
        <f>SUM($N$20:N163)</f>
        <v>45468</v>
      </c>
      <c r="N163" s="180">
        <v>670</v>
      </c>
      <c r="O163" s="180">
        <v>10030</v>
      </c>
      <c r="P163" s="180">
        <v>182024</v>
      </c>
      <c r="Q163" s="180">
        <v>0</v>
      </c>
      <c r="R163" s="180">
        <f t="shared" si="32"/>
        <v>182100</v>
      </c>
      <c r="S163" s="182">
        <f ca="1">U163-SUM($P$20:P163)/86400/(24+$C$12)*24</f>
        <v>74.8740487911607</v>
      </c>
      <c r="T163" s="179">
        <f t="shared" si="29"/>
        <v>180300</v>
      </c>
      <c r="U163" s="179">
        <f ca="1" t="shared" si="25"/>
        <v>198</v>
      </c>
      <c r="W163" s="183">
        <v>144</v>
      </c>
      <c r="X163" s="183">
        <f ca="1" t="shared" si="26"/>
        <v>3517.49999999997</v>
      </c>
      <c r="Y163" s="183">
        <f ca="1">OFFSET(产销汇总!$C$1,MATCH("体力消耗",产销汇总!$C$2:$C$8,0),$C$18)/10*5*W163</f>
        <v>30240</v>
      </c>
      <c r="Z163" s="183">
        <f t="shared" si="30"/>
        <v>0</v>
      </c>
      <c r="AA163" s="183">
        <f ca="1" t="shared" si="27"/>
        <v>33757.5</v>
      </c>
    </row>
    <row r="164" ht="18" spans="1:27">
      <c r="A164" s="171"/>
      <c r="B164" s="80">
        <v>145</v>
      </c>
      <c r="C164" s="80">
        <f ca="1">OFFSET(产销汇总!$C$12,$B164,$C$18)</f>
        <v>127.599999999999</v>
      </c>
      <c r="D164" s="80">
        <f ca="1" t="shared" si="22"/>
        <v>612.999999999995</v>
      </c>
      <c r="E164" s="80">
        <f ca="1">OFFSET(产销汇总!$C$1,MATCH(E$19,产销汇总!$C$2:$C$9,0),$C$18)*2</f>
        <v>12</v>
      </c>
      <c r="F164" s="80">
        <f t="shared" si="31"/>
        <v>21</v>
      </c>
      <c r="G164" s="80">
        <f t="shared" si="28"/>
        <v>0</v>
      </c>
      <c r="H164" s="80">
        <f t="shared" si="23"/>
        <v>6.4</v>
      </c>
      <c r="K164" s="132">
        <f t="shared" si="24"/>
        <v>182100</v>
      </c>
      <c r="L164" s="184">
        <v>145</v>
      </c>
      <c r="M164" s="180">
        <f>SUM($N$20:N164)</f>
        <v>46143</v>
      </c>
      <c r="N164" s="180">
        <v>675</v>
      </c>
      <c r="O164" s="180">
        <v>10100</v>
      </c>
      <c r="P164" s="180">
        <v>182085</v>
      </c>
      <c r="Q164" s="180">
        <v>0</v>
      </c>
      <c r="R164" s="180">
        <f t="shared" si="32"/>
        <v>182100</v>
      </c>
      <c r="S164" s="182">
        <f ca="1">U164-SUM($P$20:P164)/86400/(24+$C$12)*24</f>
        <v>76.2804813477738</v>
      </c>
      <c r="T164" s="179">
        <f t="shared" si="29"/>
        <v>180300</v>
      </c>
      <c r="U164" s="179">
        <f ca="1" t="shared" si="25"/>
        <v>201</v>
      </c>
      <c r="W164" s="183">
        <v>145</v>
      </c>
      <c r="X164" s="183">
        <f ca="1" t="shared" si="26"/>
        <v>3527.99999999997</v>
      </c>
      <c r="Y164" s="183">
        <f ca="1">OFFSET(产销汇总!$C$1,MATCH("体力消耗",产销汇总!$C$2:$C$8,0),$C$18)/10*5*W164</f>
        <v>30450</v>
      </c>
      <c r="Z164" s="183">
        <f t="shared" si="30"/>
        <v>0</v>
      </c>
      <c r="AA164" s="183">
        <f ca="1" t="shared" si="27"/>
        <v>33978</v>
      </c>
    </row>
    <row r="165" ht="18" spans="1:27">
      <c r="A165" s="171"/>
      <c r="B165" s="80">
        <v>146</v>
      </c>
      <c r="C165" s="80">
        <f ca="1">OFFSET(产销汇总!$C$12,$B165,$C$18)</f>
        <v>127.949999999999</v>
      </c>
      <c r="D165" s="80">
        <f ca="1" t="shared" si="22"/>
        <v>614.749999999995</v>
      </c>
      <c r="E165" s="80">
        <f ca="1">OFFSET(产销汇总!$C$1,MATCH(E$19,产销汇总!$C$2:$C$9,0),$C$18)*2</f>
        <v>12</v>
      </c>
      <c r="F165" s="80">
        <f t="shared" si="31"/>
        <v>21</v>
      </c>
      <c r="G165" s="80">
        <f t="shared" si="28"/>
        <v>0</v>
      </c>
      <c r="H165" s="80">
        <f t="shared" si="23"/>
        <v>6.4</v>
      </c>
      <c r="K165" s="132">
        <f t="shared" si="24"/>
        <v>182400</v>
      </c>
      <c r="L165" s="184">
        <v>146</v>
      </c>
      <c r="M165" s="180">
        <f>SUM($N$20:N165)</f>
        <v>46823</v>
      </c>
      <c r="N165" s="180">
        <v>680</v>
      </c>
      <c r="O165" s="180">
        <v>10170</v>
      </c>
      <c r="P165" s="180">
        <v>182145</v>
      </c>
      <c r="Q165" s="180">
        <v>0</v>
      </c>
      <c r="R165" s="180">
        <f t="shared" si="32"/>
        <v>182400</v>
      </c>
      <c r="S165" s="182">
        <f ca="1">U165-SUM($P$20:P165)/86400/(24+$C$12)*24</f>
        <v>77.6863887977245</v>
      </c>
      <c r="T165" s="179">
        <f t="shared" si="29"/>
        <v>180600</v>
      </c>
      <c r="U165" s="179">
        <f ca="1" t="shared" si="25"/>
        <v>204</v>
      </c>
      <c r="W165" s="183">
        <v>146</v>
      </c>
      <c r="X165" s="183">
        <f ca="1" t="shared" si="26"/>
        <v>3538.49999999997</v>
      </c>
      <c r="Y165" s="183">
        <f ca="1">OFFSET(产销汇总!$C$1,MATCH("体力消耗",产销汇总!$C$2:$C$8,0),$C$18)/10*5*W165</f>
        <v>30660</v>
      </c>
      <c r="Z165" s="183">
        <f t="shared" si="30"/>
        <v>0</v>
      </c>
      <c r="AA165" s="183">
        <f ca="1" t="shared" si="27"/>
        <v>34198.5</v>
      </c>
    </row>
    <row r="166" ht="18" spans="1:27">
      <c r="A166" s="171"/>
      <c r="B166" s="80">
        <v>147</v>
      </c>
      <c r="C166" s="80">
        <f ca="1">OFFSET(产销汇总!$C$12,$B166,$C$18)</f>
        <v>128.299999999999</v>
      </c>
      <c r="D166" s="80">
        <f ca="1" t="shared" si="22"/>
        <v>616.499999999995</v>
      </c>
      <c r="E166" s="80">
        <f ca="1">OFFSET(产销汇总!$C$1,MATCH(E$19,产销汇总!$C$2:$C$9,0),$C$18)*2</f>
        <v>12</v>
      </c>
      <c r="F166" s="80">
        <f t="shared" si="31"/>
        <v>21</v>
      </c>
      <c r="G166" s="80">
        <f t="shared" si="28"/>
        <v>0</v>
      </c>
      <c r="H166" s="80">
        <f t="shared" si="23"/>
        <v>6.4</v>
      </c>
      <c r="K166" s="132">
        <f t="shared" si="24"/>
        <v>182400</v>
      </c>
      <c r="L166" s="184">
        <v>147</v>
      </c>
      <c r="M166" s="180">
        <f>SUM($N$20:N166)</f>
        <v>47508</v>
      </c>
      <c r="N166" s="180">
        <v>685</v>
      </c>
      <c r="O166" s="180">
        <v>10240</v>
      </c>
      <c r="P166" s="180">
        <v>182206</v>
      </c>
      <c r="Q166" s="180">
        <v>0</v>
      </c>
      <c r="R166" s="180">
        <f t="shared" si="32"/>
        <v>182400</v>
      </c>
      <c r="S166" s="182">
        <f ca="1">U166-SUM($P$20:P166)/86400/(24+$C$12)*24</f>
        <v>79.0917623892353</v>
      </c>
      <c r="T166" s="179">
        <f t="shared" si="29"/>
        <v>180600</v>
      </c>
      <c r="U166" s="179">
        <f ca="1" t="shared" si="25"/>
        <v>207</v>
      </c>
      <c r="W166" s="183">
        <v>147</v>
      </c>
      <c r="X166" s="183">
        <f ca="1" t="shared" si="26"/>
        <v>3548.99999999997</v>
      </c>
      <c r="Y166" s="183">
        <f ca="1">OFFSET(产销汇总!$C$1,MATCH("体力消耗",产销汇总!$C$2:$C$8,0),$C$18)/10*5*W166</f>
        <v>30870</v>
      </c>
      <c r="Z166" s="183">
        <f t="shared" si="30"/>
        <v>0</v>
      </c>
      <c r="AA166" s="183">
        <f ca="1" t="shared" si="27"/>
        <v>34419</v>
      </c>
    </row>
    <row r="167" ht="18" spans="1:27">
      <c r="A167" s="171"/>
      <c r="B167" s="80">
        <v>148</v>
      </c>
      <c r="C167" s="80">
        <f ca="1">OFFSET(产销汇总!$C$12,$B167,$C$18)</f>
        <v>128.649999999999</v>
      </c>
      <c r="D167" s="80">
        <f ca="1" t="shared" si="22"/>
        <v>618.249999999995</v>
      </c>
      <c r="E167" s="80">
        <f ca="1">OFFSET(产销汇总!$C$1,MATCH(E$19,产销汇总!$C$2:$C$9,0),$C$18)*2</f>
        <v>12</v>
      </c>
      <c r="F167" s="80">
        <f t="shared" si="31"/>
        <v>21</v>
      </c>
      <c r="G167" s="80">
        <f t="shared" si="28"/>
        <v>0</v>
      </c>
      <c r="H167" s="80">
        <f t="shared" si="23"/>
        <v>6.4</v>
      </c>
      <c r="K167" s="132">
        <f t="shared" si="24"/>
        <v>182400</v>
      </c>
      <c r="L167" s="184">
        <v>148</v>
      </c>
      <c r="M167" s="180">
        <f>SUM($N$20:N167)</f>
        <v>48198</v>
      </c>
      <c r="N167" s="180">
        <v>690</v>
      </c>
      <c r="O167" s="180">
        <v>10310</v>
      </c>
      <c r="P167" s="180">
        <v>182266</v>
      </c>
      <c r="Q167" s="180">
        <v>0</v>
      </c>
      <c r="R167" s="180">
        <f t="shared" si="32"/>
        <v>182400</v>
      </c>
      <c r="S167" s="182">
        <f ca="1">U167-SUM($P$20:P167)/86400/(24+$C$12)*24</f>
        <v>80.4966108740838</v>
      </c>
      <c r="T167" s="179">
        <f t="shared" si="29"/>
        <v>180600</v>
      </c>
      <c r="U167" s="179">
        <f ca="1" t="shared" si="25"/>
        <v>210</v>
      </c>
      <c r="W167" s="183">
        <v>148</v>
      </c>
      <c r="X167" s="183">
        <f ca="1" t="shared" si="26"/>
        <v>3559.49999999997</v>
      </c>
      <c r="Y167" s="183">
        <f ca="1">OFFSET(产销汇总!$C$1,MATCH("体力消耗",产销汇总!$C$2:$C$8,0),$C$18)/10*5*W167</f>
        <v>31080</v>
      </c>
      <c r="Z167" s="183">
        <f t="shared" si="30"/>
        <v>0</v>
      </c>
      <c r="AA167" s="183">
        <f ca="1" t="shared" si="27"/>
        <v>34639.5</v>
      </c>
    </row>
    <row r="168" ht="18" spans="1:27">
      <c r="A168" s="171"/>
      <c r="B168" s="80">
        <v>149</v>
      </c>
      <c r="C168" s="80">
        <f ca="1">OFFSET(产销汇总!$C$12,$B168,$C$18)</f>
        <v>128.999999999999</v>
      </c>
      <c r="D168" s="80">
        <f ca="1" t="shared" si="22"/>
        <v>619.999999999995</v>
      </c>
      <c r="E168" s="80">
        <f ca="1">OFFSET(产销汇总!$C$1,MATCH(E$19,产销汇总!$C$2:$C$9,0),$C$18)*2</f>
        <v>12</v>
      </c>
      <c r="F168" s="80">
        <f t="shared" si="31"/>
        <v>21</v>
      </c>
      <c r="G168" s="80">
        <f t="shared" si="28"/>
        <v>0</v>
      </c>
      <c r="H168" s="80">
        <f t="shared" si="23"/>
        <v>6.4</v>
      </c>
      <c r="K168" s="132">
        <f t="shared" si="24"/>
        <v>182400</v>
      </c>
      <c r="L168" s="184">
        <v>149</v>
      </c>
      <c r="M168" s="180">
        <f>SUM($N$20:N168)</f>
        <v>48893</v>
      </c>
      <c r="N168" s="180">
        <v>695</v>
      </c>
      <c r="O168" s="180">
        <v>10380</v>
      </c>
      <c r="P168" s="180">
        <v>182327</v>
      </c>
      <c r="Q168" s="180">
        <v>0</v>
      </c>
      <c r="R168" s="180">
        <f t="shared" si="32"/>
        <v>182400</v>
      </c>
      <c r="S168" s="182">
        <f ca="1">U168-SUM($P$20:P168)/86400/(24+$C$12)*24</f>
        <v>81.9009255004923</v>
      </c>
      <c r="T168" s="179">
        <f t="shared" si="29"/>
        <v>180600</v>
      </c>
      <c r="U168" s="179">
        <f ca="1" t="shared" si="25"/>
        <v>213</v>
      </c>
      <c r="W168" s="183">
        <v>149</v>
      </c>
      <c r="X168" s="183">
        <f ca="1" t="shared" si="26"/>
        <v>3569.99999999997</v>
      </c>
      <c r="Y168" s="183">
        <f ca="1">OFFSET(产销汇总!$C$1,MATCH("体力消耗",产销汇总!$C$2:$C$8,0),$C$18)/10*5*W168</f>
        <v>31290</v>
      </c>
      <c r="Z168" s="183">
        <f t="shared" si="30"/>
        <v>0</v>
      </c>
      <c r="AA168" s="183">
        <f ca="1" t="shared" si="27"/>
        <v>34860</v>
      </c>
    </row>
    <row r="169" ht="18" spans="1:27">
      <c r="A169" s="171"/>
      <c r="B169" s="80">
        <v>150</v>
      </c>
      <c r="C169" s="80">
        <f ca="1">OFFSET(产销汇总!$C$12,$B169,$C$18)</f>
        <v>129.349999999999</v>
      </c>
      <c r="D169" s="80">
        <f ca="1" t="shared" si="22"/>
        <v>621.749999999995</v>
      </c>
      <c r="E169" s="80">
        <f ca="1">OFFSET(产销汇总!$C$1,MATCH(E$19,产销汇总!$C$2:$C$9,0),$C$18)*2</f>
        <v>12</v>
      </c>
      <c r="F169" s="80">
        <f t="shared" si="31"/>
        <v>21</v>
      </c>
      <c r="G169" s="80">
        <f t="shared" si="28"/>
        <v>0</v>
      </c>
      <c r="H169" s="80">
        <f t="shared" si="23"/>
        <v>6.4</v>
      </c>
      <c r="K169" s="132">
        <f t="shared" si="24"/>
        <v>182400</v>
      </c>
      <c r="L169" s="184">
        <v>150</v>
      </c>
      <c r="M169" s="180">
        <f>SUM($N$20:N169)</f>
        <v>49593</v>
      </c>
      <c r="N169" s="180">
        <v>700</v>
      </c>
      <c r="O169" s="180">
        <v>10450</v>
      </c>
      <c r="P169" s="180">
        <v>182387</v>
      </c>
      <c r="Q169" s="180">
        <v>0</v>
      </c>
      <c r="R169" s="180">
        <f t="shared" si="32"/>
        <v>182400</v>
      </c>
      <c r="S169" s="182">
        <f ca="1">U169-SUM($P$20:P169)/86400/(24+$C$12)*24</f>
        <v>83.3047150202385</v>
      </c>
      <c r="T169" s="179">
        <f t="shared" si="29"/>
        <v>180600</v>
      </c>
      <c r="U169" s="179">
        <f ca="1" t="shared" si="25"/>
        <v>216</v>
      </c>
      <c r="W169" s="183">
        <v>150</v>
      </c>
      <c r="X169" s="183">
        <f ca="1" t="shared" si="26"/>
        <v>3580.49999999997</v>
      </c>
      <c r="Y169" s="183">
        <f ca="1">OFFSET(产销汇总!$C$1,MATCH("体力消耗",产销汇总!$C$2:$C$8,0),$C$18)/10*5*W169</f>
        <v>31500</v>
      </c>
      <c r="Z169" s="183">
        <f t="shared" si="30"/>
        <v>0</v>
      </c>
      <c r="AA169" s="183">
        <f ca="1" t="shared" si="27"/>
        <v>35080.5</v>
      </c>
    </row>
    <row r="170" ht="18" spans="1:27">
      <c r="A170" s="171"/>
      <c r="B170" s="80">
        <v>151</v>
      </c>
      <c r="C170" s="80">
        <f ca="1">OFFSET(产销汇总!$C$12,$B170,$C$18)</f>
        <v>129.699999999999</v>
      </c>
      <c r="D170" s="80">
        <f ca="1" t="shared" si="22"/>
        <v>623.499999999995</v>
      </c>
      <c r="E170" s="80">
        <f ca="1">OFFSET(产销汇总!$C$1,MATCH(E$19,产销汇总!$C$2:$C$9,0),$C$18)*2</f>
        <v>12</v>
      </c>
      <c r="F170" s="80">
        <f t="shared" si="31"/>
        <v>21</v>
      </c>
      <c r="G170" s="80">
        <f t="shared" si="28"/>
        <v>0</v>
      </c>
      <c r="H170" s="80">
        <f t="shared" si="23"/>
        <v>6.4</v>
      </c>
      <c r="K170" s="132">
        <f t="shared" si="24"/>
        <v>182700</v>
      </c>
      <c r="L170" s="184">
        <v>151</v>
      </c>
      <c r="M170" s="180">
        <f>SUM($N$20:N170)</f>
        <v>50298</v>
      </c>
      <c r="N170" s="180">
        <v>705</v>
      </c>
      <c r="O170" s="180">
        <v>10520</v>
      </c>
      <c r="P170" s="180">
        <v>182448</v>
      </c>
      <c r="Q170" s="180">
        <v>0</v>
      </c>
      <c r="R170" s="180">
        <f t="shared" si="32"/>
        <v>182700</v>
      </c>
      <c r="S170" s="182">
        <f ca="1">U170-SUM($P$20:P170)/86400/(24+$C$12)*24</f>
        <v>85.7079706815447</v>
      </c>
      <c r="T170" s="179">
        <f t="shared" si="29"/>
        <v>180900</v>
      </c>
      <c r="U170" s="179">
        <f ca="1" t="shared" si="25"/>
        <v>220</v>
      </c>
      <c r="W170" s="183">
        <v>151</v>
      </c>
      <c r="X170" s="183">
        <f ca="1" t="shared" si="26"/>
        <v>3590.99999999997</v>
      </c>
      <c r="Y170" s="183">
        <f ca="1">OFFSET(产销汇总!$C$1,MATCH("体力消耗",产销汇总!$C$2:$C$8,0),$C$18)/10*5*W170</f>
        <v>31710</v>
      </c>
      <c r="Z170" s="183">
        <f t="shared" si="30"/>
        <v>0</v>
      </c>
      <c r="AA170" s="183">
        <f ca="1" t="shared" si="27"/>
        <v>35301</v>
      </c>
    </row>
    <row r="171" ht="18" spans="1:27">
      <c r="A171" s="171"/>
      <c r="B171" s="80">
        <v>152</v>
      </c>
      <c r="C171" s="80">
        <f ca="1">OFFSET(产销汇总!$C$12,$B171,$C$18)</f>
        <v>130.049999999999</v>
      </c>
      <c r="D171" s="80">
        <f ca="1" t="shared" si="22"/>
        <v>625.249999999995</v>
      </c>
      <c r="E171" s="80">
        <f ca="1">OFFSET(产销汇总!$C$1,MATCH(E$19,产销汇总!$C$2:$C$9,0),$C$18)*2</f>
        <v>12</v>
      </c>
      <c r="F171" s="80">
        <f t="shared" si="31"/>
        <v>21</v>
      </c>
      <c r="G171" s="80">
        <f t="shared" si="28"/>
        <v>0</v>
      </c>
      <c r="H171" s="80">
        <f t="shared" si="23"/>
        <v>6.4</v>
      </c>
      <c r="K171" s="132">
        <f t="shared" si="24"/>
        <v>182700</v>
      </c>
      <c r="L171" s="184">
        <v>152</v>
      </c>
      <c r="M171" s="180">
        <f>SUM($N$20:N171)</f>
        <v>51008</v>
      </c>
      <c r="N171" s="180">
        <v>710</v>
      </c>
      <c r="O171" s="180">
        <v>10590</v>
      </c>
      <c r="P171" s="180">
        <v>182508</v>
      </c>
      <c r="Q171" s="180">
        <v>0</v>
      </c>
      <c r="R171" s="180">
        <f t="shared" si="32"/>
        <v>182700</v>
      </c>
      <c r="S171" s="182">
        <f ca="1">U171-SUM($P$20:P171)/86400/(24+$C$12)*24</f>
        <v>87.1107012361886</v>
      </c>
      <c r="T171" s="179">
        <f t="shared" si="29"/>
        <v>180900</v>
      </c>
      <c r="U171" s="179">
        <f ca="1" t="shared" si="25"/>
        <v>223</v>
      </c>
      <c r="W171" s="183">
        <v>152</v>
      </c>
      <c r="X171" s="183">
        <f ca="1" t="shared" si="26"/>
        <v>3601.49999999997</v>
      </c>
      <c r="Y171" s="183">
        <f ca="1">OFFSET(产销汇总!$C$1,MATCH("体力消耗",产销汇总!$C$2:$C$8,0),$C$18)/10*5*W171</f>
        <v>31920</v>
      </c>
      <c r="Z171" s="183">
        <f t="shared" si="30"/>
        <v>0</v>
      </c>
      <c r="AA171" s="183">
        <f ca="1" t="shared" si="27"/>
        <v>35521.5</v>
      </c>
    </row>
    <row r="172" ht="18" spans="1:27">
      <c r="A172" s="171"/>
      <c r="B172" s="80">
        <v>153</v>
      </c>
      <c r="C172" s="80">
        <f ca="1">OFFSET(产销汇总!$C$12,$B172,$C$18)</f>
        <v>130.399999999999</v>
      </c>
      <c r="D172" s="80">
        <f ca="1" t="shared" si="22"/>
        <v>626.999999999995</v>
      </c>
      <c r="E172" s="80">
        <f ca="1">OFFSET(产销汇总!$C$1,MATCH(E$19,产销汇总!$C$2:$C$9,0),$C$18)*2</f>
        <v>12</v>
      </c>
      <c r="F172" s="80">
        <f t="shared" si="31"/>
        <v>21</v>
      </c>
      <c r="G172" s="80">
        <f t="shared" si="28"/>
        <v>0</v>
      </c>
      <c r="H172" s="80">
        <f t="shared" si="23"/>
        <v>6.4</v>
      </c>
      <c r="K172" s="132">
        <f t="shared" si="24"/>
        <v>184200</v>
      </c>
      <c r="L172" s="184">
        <v>153</v>
      </c>
      <c r="M172" s="180">
        <f>SUM($N$20:N172)</f>
        <v>51723</v>
      </c>
      <c r="N172" s="180">
        <v>715</v>
      </c>
      <c r="O172" s="180">
        <v>10660</v>
      </c>
      <c r="P172" s="180">
        <v>184104</v>
      </c>
      <c r="Q172" s="180">
        <v>0</v>
      </c>
      <c r="R172" s="180">
        <f t="shared" si="32"/>
        <v>184200</v>
      </c>
      <c r="S172" s="182">
        <f ca="1">U172-SUM($P$20:P172)/86400/(24+$C$12)*24</f>
        <v>88.4994639536156</v>
      </c>
      <c r="T172" s="179">
        <f t="shared" si="29"/>
        <v>182400</v>
      </c>
      <c r="U172" s="179">
        <f ca="1" t="shared" si="25"/>
        <v>226</v>
      </c>
      <c r="W172" s="183">
        <v>153</v>
      </c>
      <c r="X172" s="183">
        <f ca="1" t="shared" si="26"/>
        <v>3611.99999999997</v>
      </c>
      <c r="Y172" s="183">
        <f ca="1">OFFSET(产销汇总!$C$1,MATCH("体力消耗",产销汇总!$C$2:$C$8,0),$C$18)/10*5*W172</f>
        <v>32130</v>
      </c>
      <c r="Z172" s="183">
        <f t="shared" si="30"/>
        <v>0</v>
      </c>
      <c r="AA172" s="183">
        <f ca="1" t="shared" si="27"/>
        <v>35742</v>
      </c>
    </row>
    <row r="173" ht="18" spans="1:27">
      <c r="A173" s="171"/>
      <c r="B173" s="80">
        <v>154</v>
      </c>
      <c r="C173" s="80">
        <f ca="1">OFFSET(产销汇总!$C$12,$B173,$C$18)</f>
        <v>130.749999999999</v>
      </c>
      <c r="D173" s="80">
        <f ca="1" t="shared" si="22"/>
        <v>628.749999999995</v>
      </c>
      <c r="E173" s="80">
        <f ca="1">OFFSET(产销汇总!$C$1,MATCH(E$19,产销汇总!$C$2:$C$9,0),$C$18)*2</f>
        <v>12</v>
      </c>
      <c r="F173" s="80">
        <f t="shared" si="31"/>
        <v>21</v>
      </c>
      <c r="G173" s="80">
        <f t="shared" si="28"/>
        <v>0</v>
      </c>
      <c r="H173" s="80">
        <f t="shared" si="23"/>
        <v>6.4</v>
      </c>
      <c r="K173" s="132">
        <f t="shared" si="24"/>
        <v>185400</v>
      </c>
      <c r="L173" s="184">
        <v>154</v>
      </c>
      <c r="M173" s="180">
        <f>SUM($N$20:N173)</f>
        <v>52443</v>
      </c>
      <c r="N173" s="180">
        <v>720</v>
      </c>
      <c r="O173" s="180">
        <v>10730</v>
      </c>
      <c r="P173" s="180">
        <v>185315</v>
      </c>
      <c r="Q173" s="180">
        <v>0</v>
      </c>
      <c r="R173" s="180">
        <f t="shared" si="32"/>
        <v>185400</v>
      </c>
      <c r="S173" s="182">
        <f ca="1">U173-SUM($P$20:P173)/86400/(24+$C$12)*24</f>
        <v>89.877628268242</v>
      </c>
      <c r="T173" s="179">
        <f t="shared" si="29"/>
        <v>183600</v>
      </c>
      <c r="U173" s="179">
        <f ca="1" t="shared" si="25"/>
        <v>229</v>
      </c>
      <c r="W173" s="183">
        <v>154</v>
      </c>
      <c r="X173" s="183">
        <f ca="1" t="shared" si="26"/>
        <v>3622.49999999997</v>
      </c>
      <c r="Y173" s="183">
        <f ca="1">OFFSET(产销汇总!$C$1,MATCH("体力消耗",产销汇总!$C$2:$C$8,0),$C$18)/10*5*W173</f>
        <v>32340</v>
      </c>
      <c r="Z173" s="183">
        <f t="shared" si="30"/>
        <v>0</v>
      </c>
      <c r="AA173" s="183">
        <f ca="1" t="shared" si="27"/>
        <v>35962.5</v>
      </c>
    </row>
    <row r="174" ht="18" spans="1:27">
      <c r="A174" s="171"/>
      <c r="B174" s="80">
        <v>155</v>
      </c>
      <c r="C174" s="80">
        <f ca="1">OFFSET(产销汇总!$C$12,$B174,$C$18)</f>
        <v>131.099999999999</v>
      </c>
      <c r="D174" s="80">
        <f ca="1" t="shared" si="22"/>
        <v>630.499999999995</v>
      </c>
      <c r="E174" s="80">
        <f ca="1">OFFSET(产销汇总!$C$1,MATCH(E$19,产销汇总!$C$2:$C$9,0),$C$18)*2</f>
        <v>12</v>
      </c>
      <c r="F174" s="80">
        <f t="shared" si="31"/>
        <v>21</v>
      </c>
      <c r="G174" s="80">
        <f t="shared" si="28"/>
        <v>0</v>
      </c>
      <c r="H174" s="80">
        <f t="shared" si="23"/>
        <v>6.4</v>
      </c>
      <c r="K174" s="132">
        <f t="shared" si="24"/>
        <v>186600</v>
      </c>
      <c r="L174" s="184">
        <v>155</v>
      </c>
      <c r="M174" s="180">
        <f>SUM($N$20:N174)</f>
        <v>53168</v>
      </c>
      <c r="N174" s="180">
        <v>725</v>
      </c>
      <c r="O174" s="180">
        <v>10800</v>
      </c>
      <c r="P174" s="180">
        <v>186527</v>
      </c>
      <c r="Q174" s="180">
        <v>0</v>
      </c>
      <c r="R174" s="180">
        <f t="shared" si="32"/>
        <v>186600</v>
      </c>
      <c r="S174" s="182">
        <f ca="1">U174-SUM($P$20:P174)/86400/(24+$C$12)*24</f>
        <v>92.2451854282901</v>
      </c>
      <c r="T174" s="179">
        <f t="shared" si="29"/>
        <v>184800</v>
      </c>
      <c r="U174" s="179">
        <f ca="1" t="shared" si="25"/>
        <v>233</v>
      </c>
      <c r="W174" s="183">
        <v>155</v>
      </c>
      <c r="X174" s="183">
        <f ca="1" t="shared" si="26"/>
        <v>3632.99999999997</v>
      </c>
      <c r="Y174" s="183">
        <f ca="1">OFFSET(产销汇总!$C$1,MATCH("体力消耗",产销汇总!$C$2:$C$8,0),$C$18)/10*5*W174</f>
        <v>32550</v>
      </c>
      <c r="Z174" s="183">
        <f t="shared" si="30"/>
        <v>0</v>
      </c>
      <c r="AA174" s="183">
        <f ca="1" t="shared" si="27"/>
        <v>36183</v>
      </c>
    </row>
    <row r="175" ht="18" spans="1:27">
      <c r="A175" s="171"/>
      <c r="B175" s="80">
        <v>156</v>
      </c>
      <c r="C175" s="80">
        <f ca="1">OFFSET(产销汇总!$C$12,$B175,$C$18)</f>
        <v>131.449999999999</v>
      </c>
      <c r="D175" s="80">
        <f ca="1" t="shared" si="22"/>
        <v>632.249999999995</v>
      </c>
      <c r="E175" s="80">
        <f ca="1">OFFSET(产销汇总!$C$1,MATCH(E$19,产销汇总!$C$2:$C$9,0),$C$18)*2</f>
        <v>12</v>
      </c>
      <c r="F175" s="80">
        <f t="shared" si="31"/>
        <v>21</v>
      </c>
      <c r="G175" s="80">
        <f t="shared" si="28"/>
        <v>0</v>
      </c>
      <c r="H175" s="80">
        <f t="shared" si="23"/>
        <v>6.4</v>
      </c>
      <c r="K175" s="132">
        <f t="shared" si="24"/>
        <v>187800</v>
      </c>
      <c r="L175" s="184">
        <v>156</v>
      </c>
      <c r="M175" s="180">
        <f>SUM($N$20:N175)</f>
        <v>53898</v>
      </c>
      <c r="N175" s="180">
        <v>730</v>
      </c>
      <c r="O175" s="180">
        <v>10870</v>
      </c>
      <c r="P175" s="180">
        <v>187738</v>
      </c>
      <c r="Q175" s="180">
        <v>0</v>
      </c>
      <c r="R175" s="180">
        <f t="shared" si="32"/>
        <v>187800</v>
      </c>
      <c r="S175" s="182">
        <f ca="1">U175-SUM($P$20:P175)/86400/(24+$C$12)*24</f>
        <v>93.6021441855377</v>
      </c>
      <c r="T175" s="179">
        <f t="shared" si="29"/>
        <v>186000</v>
      </c>
      <c r="U175" s="179">
        <f ca="1" t="shared" si="25"/>
        <v>236</v>
      </c>
      <c r="W175" s="183">
        <v>156</v>
      </c>
      <c r="X175" s="183">
        <f ca="1" t="shared" si="26"/>
        <v>3643.49999999997</v>
      </c>
      <c r="Y175" s="183">
        <f ca="1">OFFSET(产销汇总!$C$1,MATCH("体力消耗",产销汇总!$C$2:$C$8,0),$C$18)/10*5*W175</f>
        <v>32760</v>
      </c>
      <c r="Z175" s="183">
        <f t="shared" si="30"/>
        <v>0</v>
      </c>
      <c r="AA175" s="183">
        <f ca="1" t="shared" si="27"/>
        <v>36403.5</v>
      </c>
    </row>
    <row r="176" ht="18" spans="1:27">
      <c r="A176" s="171"/>
      <c r="B176" s="80">
        <v>157</v>
      </c>
      <c r="C176" s="80">
        <f ca="1">OFFSET(产销汇总!$C$12,$B176,$C$18)</f>
        <v>131.799999999999</v>
      </c>
      <c r="D176" s="80">
        <f ca="1" t="shared" si="22"/>
        <v>633.999999999995</v>
      </c>
      <c r="E176" s="80">
        <f ca="1">OFFSET(产销汇总!$C$1,MATCH(E$19,产销汇总!$C$2:$C$9,0),$C$18)*2</f>
        <v>12</v>
      </c>
      <c r="F176" s="80">
        <f t="shared" si="31"/>
        <v>21</v>
      </c>
      <c r="G176" s="80">
        <f t="shared" si="28"/>
        <v>0</v>
      </c>
      <c r="H176" s="80">
        <f t="shared" si="23"/>
        <v>6.4</v>
      </c>
      <c r="K176" s="132">
        <f t="shared" si="24"/>
        <v>189000</v>
      </c>
      <c r="L176" s="184">
        <v>157</v>
      </c>
      <c r="M176" s="180">
        <f>SUM($N$20:N176)</f>
        <v>54633</v>
      </c>
      <c r="N176" s="180">
        <v>735</v>
      </c>
      <c r="O176" s="180">
        <v>10940</v>
      </c>
      <c r="P176" s="180">
        <v>188949</v>
      </c>
      <c r="Q176" s="180">
        <v>0</v>
      </c>
      <c r="R176" s="180">
        <f t="shared" si="32"/>
        <v>189000</v>
      </c>
      <c r="S176" s="182">
        <f ca="1">U176-SUM($P$20:P176)/86400/(24+$C$12)*24</f>
        <v>94.9485045399847</v>
      </c>
      <c r="T176" s="179">
        <f t="shared" si="29"/>
        <v>187200</v>
      </c>
      <c r="U176" s="179">
        <f ca="1" t="shared" si="25"/>
        <v>239</v>
      </c>
      <c r="W176" s="183">
        <v>157</v>
      </c>
      <c r="X176" s="183">
        <f ca="1" t="shared" si="26"/>
        <v>3653.99999999997</v>
      </c>
      <c r="Y176" s="183">
        <f ca="1">OFFSET(产销汇总!$C$1,MATCH("体力消耗",产销汇总!$C$2:$C$8,0),$C$18)/10*5*W176</f>
        <v>32970</v>
      </c>
      <c r="Z176" s="183">
        <f t="shared" si="30"/>
        <v>0</v>
      </c>
      <c r="AA176" s="183">
        <f ca="1" t="shared" si="27"/>
        <v>36624</v>
      </c>
    </row>
    <row r="177" ht="18" spans="1:27">
      <c r="A177" s="171"/>
      <c r="B177" s="80">
        <v>158</v>
      </c>
      <c r="C177" s="80">
        <f ca="1">OFFSET(产销汇总!$C$12,$B177,$C$18)</f>
        <v>132.149999999999</v>
      </c>
      <c r="D177" s="80">
        <f ca="1" t="shared" si="22"/>
        <v>635.749999999995</v>
      </c>
      <c r="E177" s="80">
        <f ca="1">OFFSET(产销汇总!$C$1,MATCH(E$19,产销汇总!$C$2:$C$9,0),$C$18)*2</f>
        <v>12</v>
      </c>
      <c r="F177" s="80">
        <f t="shared" si="31"/>
        <v>21</v>
      </c>
      <c r="G177" s="80">
        <f t="shared" si="28"/>
        <v>0</v>
      </c>
      <c r="H177" s="80">
        <f t="shared" si="23"/>
        <v>6.4</v>
      </c>
      <c r="K177" s="132">
        <f t="shared" si="24"/>
        <v>190200</v>
      </c>
      <c r="L177" s="184">
        <v>158</v>
      </c>
      <c r="M177" s="180">
        <f>SUM($N$20:N177)</f>
        <v>55373</v>
      </c>
      <c r="N177" s="180">
        <v>740</v>
      </c>
      <c r="O177" s="180">
        <v>11010</v>
      </c>
      <c r="P177" s="180">
        <v>190160</v>
      </c>
      <c r="Q177" s="180">
        <v>0</v>
      </c>
      <c r="R177" s="180">
        <f t="shared" si="32"/>
        <v>190200</v>
      </c>
      <c r="S177" s="182">
        <f ca="1">U177-SUM($P$20:P177)/86400/(24+$C$12)*24</f>
        <v>97.2842664916311</v>
      </c>
      <c r="T177" s="179">
        <f t="shared" si="29"/>
        <v>188400</v>
      </c>
      <c r="U177" s="179">
        <f ca="1" t="shared" si="25"/>
        <v>243</v>
      </c>
      <c r="W177" s="183">
        <v>158</v>
      </c>
      <c r="X177" s="183">
        <f ca="1" t="shared" si="26"/>
        <v>3664.49999999997</v>
      </c>
      <c r="Y177" s="183">
        <f ca="1">OFFSET(产销汇总!$C$1,MATCH("体力消耗",产销汇总!$C$2:$C$8,0),$C$18)/10*5*W177</f>
        <v>33180</v>
      </c>
      <c r="Z177" s="183">
        <f t="shared" si="30"/>
        <v>0</v>
      </c>
      <c r="AA177" s="183">
        <f ca="1" t="shared" si="27"/>
        <v>36844.5</v>
      </c>
    </row>
    <row r="178" ht="18" spans="1:27">
      <c r="A178" s="171"/>
      <c r="B178" s="80">
        <v>159</v>
      </c>
      <c r="C178" s="80">
        <f ca="1">OFFSET(产销汇总!$C$12,$B178,$C$18)</f>
        <v>132.499999999999</v>
      </c>
      <c r="D178" s="80">
        <f ca="1" t="shared" si="22"/>
        <v>637.499999999995</v>
      </c>
      <c r="E178" s="80">
        <f ca="1">OFFSET(产销汇总!$C$1,MATCH(E$19,产销汇总!$C$2:$C$9,0),$C$18)*2</f>
        <v>12</v>
      </c>
      <c r="F178" s="80">
        <f t="shared" si="31"/>
        <v>21</v>
      </c>
      <c r="G178" s="80">
        <f t="shared" si="28"/>
        <v>0</v>
      </c>
      <c r="H178" s="80">
        <f t="shared" si="23"/>
        <v>6.4</v>
      </c>
      <c r="K178" s="132">
        <f t="shared" si="24"/>
        <v>191400</v>
      </c>
      <c r="L178" s="184">
        <v>159</v>
      </c>
      <c r="M178" s="180">
        <f>SUM($N$20:N178)</f>
        <v>56118</v>
      </c>
      <c r="N178" s="180">
        <v>745</v>
      </c>
      <c r="O178" s="180">
        <v>11080</v>
      </c>
      <c r="P178" s="180">
        <v>191371</v>
      </c>
      <c r="Q178" s="180">
        <v>0</v>
      </c>
      <c r="R178" s="180">
        <f t="shared" si="32"/>
        <v>191400</v>
      </c>
      <c r="S178" s="182">
        <f ca="1">U178-SUM($P$20:P178)/86400/(24+$C$12)*24</f>
        <v>98.609430040477</v>
      </c>
      <c r="T178" s="179">
        <f t="shared" si="29"/>
        <v>189600</v>
      </c>
      <c r="U178" s="179">
        <f ca="1" t="shared" si="25"/>
        <v>246</v>
      </c>
      <c r="W178" s="183">
        <v>159</v>
      </c>
      <c r="X178" s="183">
        <f ca="1" t="shared" si="26"/>
        <v>3674.99999999997</v>
      </c>
      <c r="Y178" s="183">
        <f ca="1">OFFSET(产销汇总!$C$1,MATCH("体力消耗",产销汇总!$C$2:$C$8,0),$C$18)/10*5*W178</f>
        <v>33390</v>
      </c>
      <c r="Z178" s="183">
        <f t="shared" si="30"/>
        <v>0</v>
      </c>
      <c r="AA178" s="183">
        <f ca="1" t="shared" si="27"/>
        <v>37065</v>
      </c>
    </row>
    <row r="179" ht="18" spans="1:27">
      <c r="A179" s="171"/>
      <c r="B179" s="80">
        <v>160</v>
      </c>
      <c r="C179" s="80">
        <f ca="1">OFFSET(产销汇总!$C$12,$B179,$C$18)</f>
        <v>132.849999999999</v>
      </c>
      <c r="D179" s="80">
        <f ca="1" t="shared" si="22"/>
        <v>639.249999999995</v>
      </c>
      <c r="E179" s="80">
        <f ca="1">OFFSET(产销汇总!$C$1,MATCH(E$19,产销汇总!$C$2:$C$9,0),$C$18)*2</f>
        <v>12</v>
      </c>
      <c r="F179" s="80">
        <f t="shared" si="31"/>
        <v>21</v>
      </c>
      <c r="G179" s="80">
        <f t="shared" si="28"/>
        <v>0</v>
      </c>
      <c r="H179" s="80">
        <f t="shared" si="23"/>
        <v>6.4</v>
      </c>
      <c r="K179" s="132">
        <f t="shared" si="24"/>
        <v>192600</v>
      </c>
      <c r="L179" s="184">
        <v>160</v>
      </c>
      <c r="M179" s="180">
        <f>SUM($N$20:N179)</f>
        <v>56868</v>
      </c>
      <c r="N179" s="180">
        <v>750</v>
      </c>
      <c r="O179" s="180">
        <v>11150</v>
      </c>
      <c r="P179" s="180">
        <v>192583</v>
      </c>
      <c r="Q179" s="180">
        <v>0</v>
      </c>
      <c r="R179" s="180">
        <f t="shared" si="32"/>
        <v>192600</v>
      </c>
      <c r="S179" s="182">
        <f ca="1">U179-SUM($P$20:P179)/86400/(24+$C$12)*24</f>
        <v>99.9239864347446</v>
      </c>
      <c r="T179" s="179">
        <f t="shared" si="29"/>
        <v>190800</v>
      </c>
      <c r="U179" s="179">
        <f ca="1" t="shared" si="25"/>
        <v>249</v>
      </c>
      <c r="W179" s="183">
        <v>160</v>
      </c>
      <c r="X179" s="183">
        <f ca="1" t="shared" si="26"/>
        <v>3685.49999999997</v>
      </c>
      <c r="Y179" s="183">
        <f ca="1">OFFSET(产销汇总!$C$1,MATCH("体力消耗",产销汇总!$C$2:$C$8,0),$C$18)/10*5*W179</f>
        <v>33600</v>
      </c>
      <c r="Z179" s="183">
        <f t="shared" si="30"/>
        <v>0</v>
      </c>
      <c r="AA179" s="183">
        <f ca="1" t="shared" si="27"/>
        <v>37285.5</v>
      </c>
    </row>
    <row r="180" ht="18" spans="1:27">
      <c r="A180" s="171"/>
      <c r="B180" s="80">
        <v>161</v>
      </c>
      <c r="C180" s="80">
        <f ca="1">OFFSET(产销汇总!$C$12,$B180,$C$18)</f>
        <v>133.199999999999</v>
      </c>
      <c r="D180" s="80">
        <f ca="1" t="shared" si="22"/>
        <v>640.999999999995</v>
      </c>
      <c r="E180" s="80">
        <f ca="1">OFFSET(产销汇总!$C$1,MATCH(E$19,产销汇总!$C$2:$C$9,0),$C$18)*2</f>
        <v>12</v>
      </c>
      <c r="F180" s="80">
        <f t="shared" si="31"/>
        <v>21</v>
      </c>
      <c r="G180" s="80">
        <f t="shared" si="28"/>
        <v>0</v>
      </c>
      <c r="H180" s="80">
        <f t="shared" si="23"/>
        <v>6.4</v>
      </c>
      <c r="K180" s="132">
        <f t="shared" si="24"/>
        <v>193800</v>
      </c>
      <c r="L180" s="184">
        <v>161</v>
      </c>
      <c r="M180" s="180">
        <f>SUM($N$20:N180)</f>
        <v>57623</v>
      </c>
      <c r="N180" s="180">
        <v>755</v>
      </c>
      <c r="O180" s="180">
        <v>11220</v>
      </c>
      <c r="P180" s="180">
        <v>193794</v>
      </c>
      <c r="Q180" s="180">
        <v>0</v>
      </c>
      <c r="R180" s="180">
        <f t="shared" si="32"/>
        <v>193800</v>
      </c>
      <c r="S180" s="182">
        <f ca="1">U180-SUM($P$20:P180)/86400/(24+$C$12)*24</f>
        <v>102.227944426212</v>
      </c>
      <c r="T180" s="179">
        <f t="shared" si="29"/>
        <v>192000</v>
      </c>
      <c r="U180" s="179">
        <f ca="1" t="shared" si="25"/>
        <v>253</v>
      </c>
      <c r="W180" s="183">
        <v>161</v>
      </c>
      <c r="X180" s="183">
        <f ca="1" t="shared" si="26"/>
        <v>3695.99999999997</v>
      </c>
      <c r="Y180" s="183">
        <f ca="1">OFFSET(产销汇总!$C$1,MATCH("体力消耗",产销汇总!$C$2:$C$8,0),$C$18)/10*5*W180</f>
        <v>33810</v>
      </c>
      <c r="Z180" s="183">
        <f t="shared" si="30"/>
        <v>0</v>
      </c>
      <c r="AA180" s="183">
        <f ca="1" t="shared" si="27"/>
        <v>37506</v>
      </c>
    </row>
    <row r="181" ht="18" spans="1:27">
      <c r="A181" s="171"/>
      <c r="B181" s="80">
        <v>162</v>
      </c>
      <c r="C181" s="80">
        <f ca="1">OFFSET(产销汇总!$C$12,$B181,$C$18)</f>
        <v>133.549999999999</v>
      </c>
      <c r="D181" s="80">
        <f ca="1" t="shared" si="22"/>
        <v>642.749999999995</v>
      </c>
      <c r="E181" s="80">
        <f ca="1">OFFSET(产销汇总!$C$1,MATCH(E$19,产销汇总!$C$2:$C$9,0),$C$18)*2</f>
        <v>12</v>
      </c>
      <c r="F181" s="80">
        <f t="shared" si="31"/>
        <v>21</v>
      </c>
      <c r="G181" s="80">
        <f t="shared" si="28"/>
        <v>0</v>
      </c>
      <c r="H181" s="80">
        <f t="shared" si="23"/>
        <v>6.4</v>
      </c>
      <c r="K181" s="132">
        <f t="shared" si="24"/>
        <v>195300</v>
      </c>
      <c r="L181" s="184">
        <v>162</v>
      </c>
      <c r="M181" s="180">
        <f>SUM($N$20:N181)</f>
        <v>58383</v>
      </c>
      <c r="N181" s="180">
        <v>760</v>
      </c>
      <c r="O181" s="180">
        <v>11290</v>
      </c>
      <c r="P181" s="180">
        <v>195005</v>
      </c>
      <c r="Q181" s="180">
        <v>0</v>
      </c>
      <c r="R181" s="180">
        <f t="shared" si="32"/>
        <v>195300</v>
      </c>
      <c r="S181" s="182">
        <f ca="1">U181-SUM($P$20:P181)/86400/(24+$C$12)*24</f>
        <v>103.521304014878</v>
      </c>
      <c r="T181" s="179">
        <f t="shared" si="29"/>
        <v>193500</v>
      </c>
      <c r="U181" s="179">
        <f ca="1" t="shared" si="25"/>
        <v>256</v>
      </c>
      <c r="W181" s="183">
        <v>162</v>
      </c>
      <c r="X181" s="183">
        <f ca="1" t="shared" si="26"/>
        <v>3706.49999999997</v>
      </c>
      <c r="Y181" s="183">
        <f ca="1">OFFSET(产销汇总!$C$1,MATCH("体力消耗",产销汇总!$C$2:$C$8,0),$C$18)/10*5*W181</f>
        <v>34020</v>
      </c>
      <c r="Z181" s="183">
        <f t="shared" si="30"/>
        <v>0</v>
      </c>
      <c r="AA181" s="183">
        <f ca="1" t="shared" si="27"/>
        <v>37726.5</v>
      </c>
    </row>
    <row r="182" ht="18" spans="1:27">
      <c r="A182" s="171"/>
      <c r="B182" s="80">
        <v>163</v>
      </c>
      <c r="C182" s="80">
        <f ca="1">OFFSET(产销汇总!$C$12,$B182,$C$18)</f>
        <v>133.899999999999</v>
      </c>
      <c r="D182" s="80">
        <f ca="1" t="shared" si="22"/>
        <v>644.499999999995</v>
      </c>
      <c r="E182" s="80">
        <f ca="1">OFFSET(产销汇总!$C$1,MATCH(E$19,产销汇总!$C$2:$C$9,0),$C$18)*2</f>
        <v>12</v>
      </c>
      <c r="F182" s="80">
        <f t="shared" si="31"/>
        <v>21</v>
      </c>
      <c r="G182" s="80">
        <f t="shared" si="28"/>
        <v>0</v>
      </c>
      <c r="H182" s="80">
        <f t="shared" si="23"/>
        <v>6.4</v>
      </c>
      <c r="K182" s="132">
        <f t="shared" si="24"/>
        <v>196500</v>
      </c>
      <c r="L182" s="184">
        <v>163</v>
      </c>
      <c r="M182" s="180">
        <f>SUM($N$20:N182)</f>
        <v>59148</v>
      </c>
      <c r="N182" s="180">
        <v>765</v>
      </c>
      <c r="O182" s="180">
        <v>11360</v>
      </c>
      <c r="P182" s="180">
        <v>196216</v>
      </c>
      <c r="Q182" s="180">
        <v>0</v>
      </c>
      <c r="R182" s="180">
        <f t="shared" si="32"/>
        <v>196500</v>
      </c>
      <c r="S182" s="182">
        <f ca="1">U182-SUM($P$20:P182)/86400/(24+$C$12)*24</f>
        <v>105.804065200744</v>
      </c>
      <c r="T182" s="179">
        <f t="shared" si="29"/>
        <v>194700</v>
      </c>
      <c r="U182" s="179">
        <f ca="1" t="shared" si="25"/>
        <v>260</v>
      </c>
      <c r="W182" s="183">
        <v>163</v>
      </c>
      <c r="X182" s="183">
        <f ca="1" t="shared" si="26"/>
        <v>3716.99999999997</v>
      </c>
      <c r="Y182" s="183">
        <f ca="1">OFFSET(产销汇总!$C$1,MATCH("体力消耗",产销汇总!$C$2:$C$8,0),$C$18)/10*5*W182</f>
        <v>34230</v>
      </c>
      <c r="Z182" s="183">
        <f t="shared" si="30"/>
        <v>0</v>
      </c>
      <c r="AA182" s="183">
        <f ca="1" t="shared" si="27"/>
        <v>37947</v>
      </c>
    </row>
    <row r="183" ht="18" spans="1:27">
      <c r="A183" s="171"/>
      <c r="B183" s="80">
        <v>164</v>
      </c>
      <c r="C183" s="80">
        <f ca="1">OFFSET(产销汇总!$C$12,$B183,$C$18)</f>
        <v>134.249999999999</v>
      </c>
      <c r="D183" s="80">
        <f ca="1" t="shared" si="22"/>
        <v>646.249999999995</v>
      </c>
      <c r="E183" s="80">
        <f ca="1">OFFSET(产销汇总!$C$1,MATCH(E$19,产销汇总!$C$2:$C$9,0),$C$18)*2</f>
        <v>12</v>
      </c>
      <c r="F183" s="80">
        <f t="shared" si="31"/>
        <v>21</v>
      </c>
      <c r="G183" s="80">
        <f t="shared" si="28"/>
        <v>0</v>
      </c>
      <c r="H183" s="80">
        <f t="shared" si="23"/>
        <v>6.4</v>
      </c>
      <c r="K183" s="132">
        <f t="shared" si="24"/>
        <v>197700</v>
      </c>
      <c r="L183" s="184">
        <v>164</v>
      </c>
      <c r="M183" s="180">
        <f>SUM($N$20:N183)</f>
        <v>59918</v>
      </c>
      <c r="N183" s="180">
        <v>770</v>
      </c>
      <c r="O183" s="180">
        <v>11430</v>
      </c>
      <c r="P183" s="180">
        <v>197428</v>
      </c>
      <c r="Q183" s="180">
        <v>0</v>
      </c>
      <c r="R183" s="180">
        <f t="shared" si="32"/>
        <v>197700</v>
      </c>
      <c r="S183" s="182">
        <f ca="1">U183-SUM($P$20:P183)/86400/(24+$C$12)*24</f>
        <v>107.076219232031</v>
      </c>
      <c r="T183" s="179">
        <f t="shared" si="29"/>
        <v>195900</v>
      </c>
      <c r="U183" s="179">
        <f ca="1" t="shared" si="25"/>
        <v>263</v>
      </c>
      <c r="W183" s="183">
        <v>164</v>
      </c>
      <c r="X183" s="183">
        <f ca="1" t="shared" si="26"/>
        <v>3727.49999999997</v>
      </c>
      <c r="Y183" s="183">
        <f ca="1">OFFSET(产销汇总!$C$1,MATCH("体力消耗",产销汇总!$C$2:$C$8,0),$C$18)/10*5*W183</f>
        <v>34440</v>
      </c>
      <c r="Z183" s="183">
        <f t="shared" si="30"/>
        <v>0</v>
      </c>
      <c r="AA183" s="183">
        <f ca="1" t="shared" si="27"/>
        <v>38167.5</v>
      </c>
    </row>
    <row r="184" ht="18" spans="1:27">
      <c r="A184" s="171"/>
      <c r="B184" s="80">
        <v>165</v>
      </c>
      <c r="C184" s="80">
        <f ca="1">OFFSET(产销汇总!$C$12,$B184,$C$18)</f>
        <v>134.599999999999</v>
      </c>
      <c r="D184" s="80">
        <f ca="1" t="shared" si="22"/>
        <v>647.999999999995</v>
      </c>
      <c r="E184" s="80">
        <f ca="1">OFFSET(产销汇总!$C$1,MATCH(E$19,产销汇总!$C$2:$C$9,0),$C$18)*2</f>
        <v>12</v>
      </c>
      <c r="F184" s="80">
        <f t="shared" si="31"/>
        <v>21</v>
      </c>
      <c r="G184" s="80">
        <f t="shared" si="28"/>
        <v>0</v>
      </c>
      <c r="H184" s="80">
        <f t="shared" si="23"/>
        <v>6.4</v>
      </c>
      <c r="K184" s="132">
        <f t="shared" si="24"/>
        <v>198900</v>
      </c>
      <c r="L184" s="184">
        <v>165</v>
      </c>
      <c r="M184" s="180">
        <f>SUM($N$20:N184)</f>
        <v>60693</v>
      </c>
      <c r="N184" s="180">
        <v>775</v>
      </c>
      <c r="O184" s="180">
        <v>11500</v>
      </c>
      <c r="P184" s="180">
        <v>198639</v>
      </c>
      <c r="Q184" s="180">
        <v>0</v>
      </c>
      <c r="R184" s="180">
        <f t="shared" si="32"/>
        <v>198900</v>
      </c>
      <c r="S184" s="182">
        <f ca="1">U184-SUM($P$20:P184)/86400/(24+$C$12)*24</f>
        <v>109.337774860519</v>
      </c>
      <c r="T184" s="179">
        <f t="shared" si="29"/>
        <v>197100</v>
      </c>
      <c r="U184" s="179">
        <f ca="1" t="shared" si="25"/>
        <v>267</v>
      </c>
      <c r="W184" s="183">
        <v>165</v>
      </c>
      <c r="X184" s="183">
        <f ca="1" t="shared" si="26"/>
        <v>3737.99999999997</v>
      </c>
      <c r="Y184" s="183">
        <f ca="1">OFFSET(产销汇总!$C$1,MATCH("体力消耗",产销汇总!$C$2:$C$8,0),$C$18)/10*5*W184</f>
        <v>34650</v>
      </c>
      <c r="Z184" s="183">
        <f t="shared" si="30"/>
        <v>0</v>
      </c>
      <c r="AA184" s="183">
        <f ca="1" t="shared" si="27"/>
        <v>38388</v>
      </c>
    </row>
    <row r="185" ht="18" spans="1:27">
      <c r="A185" s="171"/>
      <c r="B185" s="80">
        <v>166</v>
      </c>
      <c r="C185" s="80">
        <f ca="1">OFFSET(产销汇总!$C$12,$B185,$C$18)</f>
        <v>134.949999999999</v>
      </c>
      <c r="D185" s="80">
        <f ca="1" t="shared" si="22"/>
        <v>649.749999999995</v>
      </c>
      <c r="E185" s="80">
        <f ca="1">OFFSET(产销汇总!$C$1,MATCH(E$19,产销汇总!$C$2:$C$9,0),$C$18)*2</f>
        <v>12</v>
      </c>
      <c r="F185" s="80">
        <f t="shared" si="31"/>
        <v>21</v>
      </c>
      <c r="G185" s="80">
        <f t="shared" si="28"/>
        <v>0</v>
      </c>
      <c r="H185" s="80">
        <f t="shared" si="23"/>
        <v>6.4</v>
      </c>
      <c r="K185" s="132">
        <f t="shared" si="24"/>
        <v>200100</v>
      </c>
      <c r="L185" s="184">
        <v>166</v>
      </c>
      <c r="M185" s="180">
        <f>SUM($N$20:N185)</f>
        <v>61473</v>
      </c>
      <c r="N185" s="180">
        <v>780</v>
      </c>
      <c r="O185" s="180">
        <v>11570</v>
      </c>
      <c r="P185" s="180">
        <v>199850</v>
      </c>
      <c r="Q185" s="180">
        <v>0</v>
      </c>
      <c r="R185" s="180">
        <f t="shared" si="32"/>
        <v>200100</v>
      </c>
      <c r="S185" s="182">
        <f ca="1">U185-SUM($P$20:P185)/86400/(24+$C$12)*24</f>
        <v>110.588732086205</v>
      </c>
      <c r="T185" s="179">
        <f t="shared" si="29"/>
        <v>198300</v>
      </c>
      <c r="U185" s="179">
        <f ca="1" t="shared" si="25"/>
        <v>270</v>
      </c>
      <c r="W185" s="183">
        <v>166</v>
      </c>
      <c r="X185" s="183">
        <f ca="1" t="shared" si="26"/>
        <v>3748.49999999997</v>
      </c>
      <c r="Y185" s="183">
        <f ca="1">OFFSET(产销汇总!$C$1,MATCH("体力消耗",产销汇总!$C$2:$C$8,0),$C$18)/10*5*W185</f>
        <v>34860</v>
      </c>
      <c r="Z185" s="183">
        <f t="shared" si="30"/>
        <v>0</v>
      </c>
      <c r="AA185" s="183">
        <f ca="1" t="shared" si="27"/>
        <v>38608.5</v>
      </c>
    </row>
    <row r="186" ht="18" spans="1:27">
      <c r="A186" s="171"/>
      <c r="B186" s="80">
        <v>167</v>
      </c>
      <c r="C186" s="80">
        <f ca="1">OFFSET(产销汇总!$C$12,$B186,$C$18)</f>
        <v>135.299999999999</v>
      </c>
      <c r="D186" s="80">
        <f ca="1" t="shared" si="22"/>
        <v>651.499999999995</v>
      </c>
      <c r="E186" s="80">
        <f ca="1">OFFSET(产销汇总!$C$1,MATCH(E$19,产销汇总!$C$2:$C$9,0),$C$18)*2</f>
        <v>12</v>
      </c>
      <c r="F186" s="80">
        <f t="shared" si="31"/>
        <v>21</v>
      </c>
      <c r="G186" s="80">
        <f t="shared" si="28"/>
        <v>0</v>
      </c>
      <c r="H186" s="80">
        <f t="shared" si="23"/>
        <v>6.4</v>
      </c>
      <c r="K186" s="132">
        <f t="shared" si="24"/>
        <v>201300</v>
      </c>
      <c r="L186" s="184">
        <v>167</v>
      </c>
      <c r="M186" s="180">
        <f>SUM($N$20:N186)</f>
        <v>62258</v>
      </c>
      <c r="N186" s="180">
        <v>785</v>
      </c>
      <c r="O186" s="180">
        <v>11640</v>
      </c>
      <c r="P186" s="180">
        <v>201061</v>
      </c>
      <c r="Q186" s="180">
        <v>0</v>
      </c>
      <c r="R186" s="180">
        <f t="shared" si="32"/>
        <v>201300</v>
      </c>
      <c r="S186" s="182">
        <f ca="1">U186-SUM($P$20:P186)/86400/(24+$C$12)*24</f>
        <v>112.829090909091</v>
      </c>
      <c r="T186" s="179">
        <f t="shared" si="29"/>
        <v>199500</v>
      </c>
      <c r="U186" s="179">
        <f ca="1" t="shared" si="25"/>
        <v>274</v>
      </c>
      <c r="W186" s="183">
        <v>167</v>
      </c>
      <c r="X186" s="183">
        <f ca="1" t="shared" si="26"/>
        <v>3758.99999999997</v>
      </c>
      <c r="Y186" s="183">
        <f ca="1">OFFSET(产销汇总!$C$1,MATCH("体力消耗",产销汇总!$C$2:$C$8,0),$C$18)/10*5*W186</f>
        <v>35070</v>
      </c>
      <c r="Z186" s="183">
        <f t="shared" si="30"/>
        <v>0</v>
      </c>
      <c r="AA186" s="183">
        <f ca="1" t="shared" si="27"/>
        <v>38829</v>
      </c>
    </row>
    <row r="187" ht="18" spans="1:27">
      <c r="A187" s="171"/>
      <c r="B187" s="80">
        <v>168</v>
      </c>
      <c r="C187" s="80">
        <f ca="1">OFFSET(产销汇总!$C$12,$B187,$C$18)</f>
        <v>135.649999999999</v>
      </c>
      <c r="D187" s="80">
        <f ca="1" t="shared" si="22"/>
        <v>653.249999999995</v>
      </c>
      <c r="E187" s="80">
        <f ca="1">OFFSET(产销汇总!$C$1,MATCH(E$19,产销汇总!$C$2:$C$9,0),$C$18)*2</f>
        <v>12</v>
      </c>
      <c r="F187" s="80">
        <f t="shared" si="31"/>
        <v>21</v>
      </c>
      <c r="G187" s="80">
        <f t="shared" si="28"/>
        <v>0</v>
      </c>
      <c r="H187" s="80">
        <f t="shared" si="23"/>
        <v>6.4</v>
      </c>
      <c r="K187" s="132">
        <f t="shared" si="24"/>
        <v>202500</v>
      </c>
      <c r="L187" s="184">
        <v>168</v>
      </c>
      <c r="M187" s="180">
        <f>SUM($N$20:N187)</f>
        <v>63048</v>
      </c>
      <c r="N187" s="180">
        <v>790</v>
      </c>
      <c r="O187" s="180">
        <v>11710</v>
      </c>
      <c r="P187" s="180">
        <v>202272</v>
      </c>
      <c r="Q187" s="180">
        <v>0</v>
      </c>
      <c r="R187" s="180">
        <f t="shared" si="32"/>
        <v>202500</v>
      </c>
      <c r="S187" s="182">
        <f ca="1">U187-SUM($P$20:P187)/86400/(24+$C$12)*24</f>
        <v>114.058851329176</v>
      </c>
      <c r="T187" s="179">
        <f t="shared" si="29"/>
        <v>200700</v>
      </c>
      <c r="U187" s="179">
        <f ca="1" t="shared" si="25"/>
        <v>277</v>
      </c>
      <c r="W187" s="183">
        <v>168</v>
      </c>
      <c r="X187" s="183">
        <f ca="1" t="shared" si="26"/>
        <v>3769.49999999997</v>
      </c>
      <c r="Y187" s="183">
        <f ca="1">OFFSET(产销汇总!$C$1,MATCH("体力消耗",产销汇总!$C$2:$C$8,0),$C$18)/10*5*W187</f>
        <v>35280</v>
      </c>
      <c r="Z187" s="183">
        <f t="shared" si="30"/>
        <v>0</v>
      </c>
      <c r="AA187" s="183">
        <f ca="1" t="shared" si="27"/>
        <v>39049.5</v>
      </c>
    </row>
    <row r="188" ht="18" spans="1:27">
      <c r="A188" s="171"/>
      <c r="B188" s="80">
        <v>169</v>
      </c>
      <c r="C188" s="80">
        <f ca="1">OFFSET(产销汇总!$C$12,$B188,$C$18)</f>
        <v>135.999999999999</v>
      </c>
      <c r="D188" s="80">
        <f ca="1" t="shared" si="22"/>
        <v>654.999999999995</v>
      </c>
      <c r="E188" s="80">
        <f ca="1">OFFSET(产销汇总!$C$1,MATCH(E$19,产销汇总!$C$2:$C$9,0),$C$18)*2</f>
        <v>12</v>
      </c>
      <c r="F188" s="80">
        <f t="shared" si="31"/>
        <v>21</v>
      </c>
      <c r="G188" s="80">
        <f t="shared" si="28"/>
        <v>0</v>
      </c>
      <c r="H188" s="80">
        <f t="shared" si="23"/>
        <v>6.4</v>
      </c>
      <c r="K188" s="132">
        <f t="shared" si="24"/>
        <v>246900</v>
      </c>
      <c r="L188" s="184">
        <v>169</v>
      </c>
      <c r="M188" s="180">
        <f>SUM($N$20:N188)</f>
        <v>63843</v>
      </c>
      <c r="N188" s="180">
        <v>795</v>
      </c>
      <c r="O188" s="180">
        <v>11780</v>
      </c>
      <c r="P188" s="180">
        <v>246717</v>
      </c>
      <c r="Q188" s="180">
        <v>0</v>
      </c>
      <c r="R188" s="180">
        <f t="shared" si="32"/>
        <v>246900</v>
      </c>
      <c r="S188" s="182">
        <f ca="1">U188-SUM($P$20:P188)/86400/(24+$C$12)*24</f>
        <v>115.89963898917</v>
      </c>
      <c r="T188" s="179">
        <f t="shared" si="29"/>
        <v>245100</v>
      </c>
      <c r="U188" s="179">
        <f ca="1" t="shared" si="25"/>
        <v>281</v>
      </c>
      <c r="W188" s="183">
        <v>169</v>
      </c>
      <c r="X188" s="183">
        <f ca="1" t="shared" si="26"/>
        <v>3779.99999999997</v>
      </c>
      <c r="Y188" s="183">
        <f ca="1">OFFSET(产销汇总!$C$1,MATCH("体力消耗",产销汇总!$C$2:$C$8,0),$C$18)/10*5*W188</f>
        <v>35490</v>
      </c>
      <c r="Z188" s="183">
        <f t="shared" si="30"/>
        <v>0</v>
      </c>
      <c r="AA188" s="183">
        <f ca="1" t="shared" si="27"/>
        <v>39270</v>
      </c>
    </row>
    <row r="189" ht="18" spans="1:27">
      <c r="A189" s="171"/>
      <c r="B189" s="80">
        <v>170</v>
      </c>
      <c r="C189" s="80">
        <f ca="1">OFFSET(产销汇总!$C$12,$B189,$C$18)</f>
        <v>136.349999999999</v>
      </c>
      <c r="D189" s="80">
        <f ca="1" t="shared" si="22"/>
        <v>656.749999999995</v>
      </c>
      <c r="E189" s="80">
        <f ca="1">OFFSET(产销汇总!$C$1,MATCH(E$19,产销汇总!$C$2:$C$9,0),$C$18)*2</f>
        <v>12</v>
      </c>
      <c r="F189" s="80">
        <f t="shared" si="31"/>
        <v>21</v>
      </c>
      <c r="G189" s="80">
        <f t="shared" si="28"/>
        <v>0</v>
      </c>
      <c r="H189" s="80">
        <f t="shared" si="23"/>
        <v>6.4</v>
      </c>
      <c r="K189" s="132">
        <f t="shared" si="24"/>
        <v>248400</v>
      </c>
      <c r="L189" s="184">
        <v>170</v>
      </c>
      <c r="M189" s="180">
        <f>SUM($N$20:N189)</f>
        <v>64643</v>
      </c>
      <c r="N189" s="180">
        <v>800</v>
      </c>
      <c r="O189" s="180">
        <v>11850</v>
      </c>
      <c r="P189" s="180">
        <v>248185</v>
      </c>
      <c r="Q189" s="180">
        <v>0</v>
      </c>
      <c r="R189" s="180">
        <f t="shared" si="32"/>
        <v>248400</v>
      </c>
      <c r="S189" s="182">
        <f ca="1">U189-SUM($P$20:P189)/86400/(24+$C$12)*24</f>
        <v>117.727579039492</v>
      </c>
      <c r="T189" s="179">
        <f t="shared" si="29"/>
        <v>246600</v>
      </c>
      <c r="U189" s="179">
        <f ca="1" t="shared" si="25"/>
        <v>285</v>
      </c>
      <c r="W189" s="183">
        <v>170</v>
      </c>
      <c r="X189" s="183">
        <f ca="1" t="shared" si="26"/>
        <v>3790.49999999997</v>
      </c>
      <c r="Y189" s="183">
        <f ca="1">OFFSET(产销汇总!$C$1,MATCH("体力消耗",产销汇总!$C$2:$C$8,0),$C$18)/10*5*W189</f>
        <v>35700</v>
      </c>
      <c r="Z189" s="183">
        <f t="shared" si="30"/>
        <v>0</v>
      </c>
      <c r="AA189" s="183">
        <f ca="1" t="shared" si="27"/>
        <v>39490.5</v>
      </c>
    </row>
    <row r="190" ht="18" spans="1:27">
      <c r="A190" s="171"/>
      <c r="B190" s="80">
        <v>171</v>
      </c>
      <c r="C190" s="80">
        <f ca="1">OFFSET(产销汇总!$C$12,$B190,$C$18)</f>
        <v>136.699999999999</v>
      </c>
      <c r="D190" s="80">
        <f ca="1" t="shared" si="22"/>
        <v>658.499999999995</v>
      </c>
      <c r="E190" s="80">
        <f ca="1">OFFSET(产销汇总!$C$1,MATCH(E$19,产销汇总!$C$2:$C$9,0),$C$18)*2</f>
        <v>12</v>
      </c>
      <c r="F190" s="80">
        <f t="shared" si="31"/>
        <v>21</v>
      </c>
      <c r="G190" s="80">
        <f t="shared" si="28"/>
        <v>0</v>
      </c>
      <c r="H190" s="80">
        <f t="shared" si="23"/>
        <v>6.4</v>
      </c>
      <c r="K190" s="132">
        <f t="shared" si="24"/>
        <v>249900</v>
      </c>
      <c r="L190" s="184">
        <v>171</v>
      </c>
      <c r="M190" s="180">
        <f>SUM($N$20:N190)</f>
        <v>65448</v>
      </c>
      <c r="N190" s="180">
        <v>805</v>
      </c>
      <c r="O190" s="180">
        <v>11920</v>
      </c>
      <c r="P190" s="180">
        <v>249654</v>
      </c>
      <c r="Q190" s="180">
        <v>0</v>
      </c>
      <c r="R190" s="180">
        <f t="shared" si="32"/>
        <v>249900</v>
      </c>
      <c r="S190" s="182">
        <f ca="1">U190-SUM($P$20:P190)/86400/(24+$C$12)*24</f>
        <v>118.542662728367</v>
      </c>
      <c r="T190" s="179">
        <f t="shared" si="29"/>
        <v>248100</v>
      </c>
      <c r="U190" s="179">
        <f ca="1" t="shared" si="25"/>
        <v>288</v>
      </c>
      <c r="W190" s="183">
        <v>171</v>
      </c>
      <c r="X190" s="183">
        <f ca="1" t="shared" si="26"/>
        <v>3800.99999999997</v>
      </c>
      <c r="Y190" s="183">
        <f ca="1">OFFSET(产销汇总!$C$1,MATCH("体力消耗",产销汇总!$C$2:$C$8,0),$C$18)/10*5*W190</f>
        <v>35910</v>
      </c>
      <c r="Z190" s="183">
        <f t="shared" si="30"/>
        <v>0</v>
      </c>
      <c r="AA190" s="183">
        <f ca="1" t="shared" si="27"/>
        <v>39711</v>
      </c>
    </row>
    <row r="191" ht="18" spans="1:27">
      <c r="A191" s="171"/>
      <c r="B191" s="80">
        <v>172</v>
      </c>
      <c r="C191" s="80">
        <f ca="1">OFFSET(产销汇总!$C$12,$B191,$C$18)</f>
        <v>137.049999999999</v>
      </c>
      <c r="D191" s="80">
        <f ca="1" t="shared" si="22"/>
        <v>660.249999999995</v>
      </c>
      <c r="E191" s="80">
        <f ca="1">OFFSET(产销汇总!$C$1,MATCH(E$19,产销汇总!$C$2:$C$9,0),$C$18)*2</f>
        <v>12</v>
      </c>
      <c r="F191" s="80">
        <f t="shared" si="31"/>
        <v>21</v>
      </c>
      <c r="G191" s="80">
        <f t="shared" si="28"/>
        <v>0</v>
      </c>
      <c r="H191" s="80">
        <f t="shared" si="23"/>
        <v>6.4</v>
      </c>
      <c r="K191" s="132">
        <f t="shared" si="24"/>
        <v>251400</v>
      </c>
      <c r="L191" s="184">
        <v>172</v>
      </c>
      <c r="M191" s="180">
        <f>SUM($N$20:N191)</f>
        <v>66258</v>
      </c>
      <c r="N191" s="180">
        <v>810</v>
      </c>
      <c r="O191" s="180">
        <v>11990</v>
      </c>
      <c r="P191" s="180">
        <v>251122</v>
      </c>
      <c r="Q191" s="180">
        <v>0</v>
      </c>
      <c r="R191" s="180">
        <f t="shared" si="32"/>
        <v>251400</v>
      </c>
      <c r="S191" s="182">
        <f ca="1">U191-SUM($P$20:P191)/86400/(24+$C$12)*24</f>
        <v>120.34489880757</v>
      </c>
      <c r="T191" s="179">
        <f t="shared" si="29"/>
        <v>249600</v>
      </c>
      <c r="U191" s="179">
        <f ca="1" t="shared" si="25"/>
        <v>292</v>
      </c>
      <c r="W191" s="183">
        <v>172</v>
      </c>
      <c r="X191" s="183">
        <f ca="1" t="shared" si="26"/>
        <v>3811.49999999997</v>
      </c>
      <c r="Y191" s="183">
        <f ca="1">OFFSET(产销汇总!$C$1,MATCH("体力消耗",产销汇总!$C$2:$C$8,0),$C$18)/10*5*W191</f>
        <v>36120</v>
      </c>
      <c r="Z191" s="183">
        <f t="shared" si="30"/>
        <v>0</v>
      </c>
      <c r="AA191" s="183">
        <f ca="1" t="shared" si="27"/>
        <v>39931.5</v>
      </c>
    </row>
    <row r="192" ht="18" spans="1:27">
      <c r="A192" s="171"/>
      <c r="B192" s="80">
        <v>173</v>
      </c>
      <c r="C192" s="80">
        <f ca="1">OFFSET(产销汇总!$C$12,$B192,$C$18)</f>
        <v>137.399999999999</v>
      </c>
      <c r="D192" s="80">
        <f ca="1" t="shared" si="22"/>
        <v>661.999999999995</v>
      </c>
      <c r="E192" s="80">
        <f ca="1">OFFSET(产销汇总!$C$1,MATCH(E$19,产销汇总!$C$2:$C$9,0),$C$18)*2</f>
        <v>12</v>
      </c>
      <c r="F192" s="80">
        <f t="shared" si="31"/>
        <v>21</v>
      </c>
      <c r="G192" s="80">
        <f t="shared" si="28"/>
        <v>0</v>
      </c>
      <c r="H192" s="80">
        <f t="shared" si="23"/>
        <v>6.4</v>
      </c>
      <c r="K192" s="132">
        <f t="shared" si="24"/>
        <v>252600</v>
      </c>
      <c r="L192" s="184">
        <v>173</v>
      </c>
      <c r="M192" s="180">
        <f>SUM($N$20:N192)</f>
        <v>67073</v>
      </c>
      <c r="N192" s="180">
        <v>815</v>
      </c>
      <c r="O192" s="180">
        <v>12060</v>
      </c>
      <c r="P192" s="180">
        <v>252591</v>
      </c>
      <c r="Q192" s="180">
        <v>0</v>
      </c>
      <c r="R192" s="180">
        <f t="shared" si="32"/>
        <v>252600</v>
      </c>
      <c r="S192" s="182">
        <f ca="1">U192-SUM($P$20:P192)/86400/(24+$C$12)*24</f>
        <v>122.134278525325</v>
      </c>
      <c r="T192" s="179">
        <f t="shared" si="29"/>
        <v>250800</v>
      </c>
      <c r="U192" s="179">
        <f ca="1" t="shared" si="25"/>
        <v>296</v>
      </c>
      <c r="W192" s="183">
        <v>173</v>
      </c>
      <c r="X192" s="183">
        <f ca="1" t="shared" si="26"/>
        <v>3821.99999999997</v>
      </c>
      <c r="Y192" s="183">
        <f ca="1">OFFSET(产销汇总!$C$1,MATCH("体力消耗",产销汇总!$C$2:$C$8,0),$C$18)/10*5*W192</f>
        <v>36330</v>
      </c>
      <c r="Z192" s="183">
        <f t="shared" si="30"/>
        <v>0</v>
      </c>
      <c r="AA192" s="183">
        <f ca="1" t="shared" si="27"/>
        <v>40152</v>
      </c>
    </row>
    <row r="193" ht="18" spans="1:27">
      <c r="A193" s="171"/>
      <c r="B193" s="80">
        <v>174</v>
      </c>
      <c r="C193" s="80">
        <f ca="1">OFFSET(产销汇总!$C$12,$B193,$C$18)</f>
        <v>137.749999999999</v>
      </c>
      <c r="D193" s="80">
        <f ca="1" t="shared" si="22"/>
        <v>663.749999999995</v>
      </c>
      <c r="E193" s="80">
        <f ca="1">OFFSET(产销汇总!$C$1,MATCH(E$19,产销汇总!$C$2:$C$9,0),$C$18)*2</f>
        <v>12</v>
      </c>
      <c r="F193" s="80">
        <f t="shared" si="31"/>
        <v>21</v>
      </c>
      <c r="G193" s="80">
        <f t="shared" si="28"/>
        <v>0</v>
      </c>
      <c r="H193" s="80">
        <f t="shared" si="23"/>
        <v>6.4</v>
      </c>
      <c r="K193" s="132">
        <f t="shared" si="24"/>
        <v>254100</v>
      </c>
      <c r="L193" s="184">
        <v>174</v>
      </c>
      <c r="M193" s="180">
        <f>SUM($N$20:N193)</f>
        <v>67893</v>
      </c>
      <c r="N193" s="180">
        <v>820</v>
      </c>
      <c r="O193" s="180">
        <v>12130</v>
      </c>
      <c r="P193" s="180">
        <v>254060</v>
      </c>
      <c r="Q193" s="180">
        <v>0</v>
      </c>
      <c r="R193" s="180">
        <f t="shared" si="32"/>
        <v>254100</v>
      </c>
      <c r="S193" s="182">
        <f ca="1">U193-SUM($P$20:P193)/86400/(24+$C$12)*24</f>
        <v>122.910801881632</v>
      </c>
      <c r="T193" s="179">
        <f t="shared" si="29"/>
        <v>252300</v>
      </c>
      <c r="U193" s="179">
        <f ca="1" t="shared" si="25"/>
        <v>299</v>
      </c>
      <c r="W193" s="183">
        <v>174</v>
      </c>
      <c r="X193" s="183">
        <f ca="1" t="shared" si="26"/>
        <v>3832.49999999997</v>
      </c>
      <c r="Y193" s="183">
        <f ca="1">OFFSET(产销汇总!$C$1,MATCH("体力消耗",产销汇总!$C$2:$C$8,0),$C$18)/10*5*W193</f>
        <v>36540</v>
      </c>
      <c r="Z193" s="183">
        <f t="shared" si="30"/>
        <v>0</v>
      </c>
      <c r="AA193" s="183">
        <f ca="1" t="shared" si="27"/>
        <v>40372.5</v>
      </c>
    </row>
    <row r="194" ht="18" spans="1:27">
      <c r="A194" s="171"/>
      <c r="B194" s="80">
        <v>175</v>
      </c>
      <c r="C194" s="80">
        <f ca="1">OFFSET(产销汇总!$C$12,$B194,$C$18)</f>
        <v>138.099999999999</v>
      </c>
      <c r="D194" s="80">
        <f ca="1" t="shared" si="22"/>
        <v>665.499999999995</v>
      </c>
      <c r="E194" s="80">
        <f ca="1">OFFSET(产销汇总!$C$1,MATCH(E$19,产销汇总!$C$2:$C$9,0),$C$18)*2</f>
        <v>12</v>
      </c>
      <c r="F194" s="80">
        <f t="shared" si="31"/>
        <v>21</v>
      </c>
      <c r="G194" s="80">
        <f t="shared" si="28"/>
        <v>0</v>
      </c>
      <c r="H194" s="80">
        <f t="shared" si="23"/>
        <v>6.4</v>
      </c>
      <c r="K194" s="132">
        <f t="shared" si="24"/>
        <v>255600</v>
      </c>
      <c r="L194" s="184">
        <v>175</v>
      </c>
      <c r="M194" s="180">
        <f>SUM($N$20:N194)</f>
        <v>68718</v>
      </c>
      <c r="N194" s="180">
        <v>825</v>
      </c>
      <c r="O194" s="180">
        <v>12200</v>
      </c>
      <c r="P194" s="180">
        <v>255528</v>
      </c>
      <c r="Q194" s="180">
        <v>0</v>
      </c>
      <c r="R194" s="180">
        <f t="shared" si="32"/>
        <v>255600</v>
      </c>
      <c r="S194" s="182">
        <f ca="1">U194-SUM($P$20:P194)/86400/(24+$C$12)*24</f>
        <v>122.674477628268</v>
      </c>
      <c r="T194" s="179">
        <f t="shared" si="29"/>
        <v>253800</v>
      </c>
      <c r="U194" s="179">
        <f ca="1" t="shared" si="25"/>
        <v>301</v>
      </c>
      <c r="W194" s="183">
        <v>175</v>
      </c>
      <c r="X194" s="183">
        <f ca="1" t="shared" si="26"/>
        <v>3842.99999999997</v>
      </c>
      <c r="Y194" s="183">
        <f ca="1">OFFSET(产销汇总!$C$1,MATCH("体力消耗",产销汇总!$C$2:$C$8,0),$C$18)/10*5*W194</f>
        <v>36750</v>
      </c>
      <c r="Z194" s="183">
        <f t="shared" si="30"/>
        <v>0</v>
      </c>
      <c r="AA194" s="183">
        <f ca="1" t="shared" si="27"/>
        <v>40593</v>
      </c>
    </row>
    <row r="195" ht="18" spans="1:27">
      <c r="A195" s="171"/>
      <c r="B195" s="80">
        <v>176</v>
      </c>
      <c r="C195" s="80">
        <f ca="1">OFFSET(产销汇总!$C$12,$B195,$C$18)</f>
        <v>138.449999999999</v>
      </c>
      <c r="D195" s="80">
        <f ca="1" t="shared" si="22"/>
        <v>667.249999999995</v>
      </c>
      <c r="E195" s="80">
        <f ca="1">OFFSET(产销汇总!$C$1,MATCH(E$19,产销汇总!$C$2:$C$9,0),$C$18)*2</f>
        <v>12</v>
      </c>
      <c r="F195" s="80">
        <f t="shared" si="31"/>
        <v>21</v>
      </c>
      <c r="G195" s="80">
        <f t="shared" si="28"/>
        <v>0</v>
      </c>
      <c r="H195" s="80">
        <f t="shared" si="23"/>
        <v>6.4</v>
      </c>
      <c r="K195" s="132">
        <f t="shared" si="24"/>
        <v>257100</v>
      </c>
      <c r="L195" s="184">
        <v>176</v>
      </c>
      <c r="M195" s="180">
        <f>SUM($N$20:N195)</f>
        <v>69548</v>
      </c>
      <c r="N195" s="180">
        <v>830</v>
      </c>
      <c r="O195" s="180">
        <v>12270</v>
      </c>
      <c r="P195" s="180">
        <v>256997</v>
      </c>
      <c r="Q195" s="180">
        <v>0</v>
      </c>
      <c r="R195" s="180">
        <f t="shared" si="32"/>
        <v>257100</v>
      </c>
      <c r="S195" s="182">
        <f ca="1">U195-SUM($P$20:P195)/86400/(24+$C$12)*24</f>
        <v>120.425297013456</v>
      </c>
      <c r="T195" s="179">
        <f t="shared" si="29"/>
        <v>255300</v>
      </c>
      <c r="U195" s="179">
        <f ca="1" t="shared" si="25"/>
        <v>301</v>
      </c>
      <c r="W195" s="183">
        <v>176</v>
      </c>
      <c r="X195" s="183">
        <f ca="1" t="shared" si="26"/>
        <v>3853.49999999997</v>
      </c>
      <c r="Y195" s="183">
        <f ca="1">OFFSET(产销汇总!$C$1,MATCH("体力消耗",产销汇总!$C$2:$C$8,0),$C$18)/10*5*W195</f>
        <v>36960</v>
      </c>
      <c r="Z195" s="183">
        <f t="shared" si="30"/>
        <v>0</v>
      </c>
      <c r="AA195" s="183">
        <f ca="1" t="shared" si="27"/>
        <v>40813.5</v>
      </c>
    </row>
    <row r="196" ht="18" spans="1:27">
      <c r="A196" s="171"/>
      <c r="B196" s="80">
        <v>177</v>
      </c>
      <c r="C196" s="80">
        <f ca="1">OFFSET(产销汇总!$C$12,$B196,$C$18)</f>
        <v>138.799999999999</v>
      </c>
      <c r="D196" s="80">
        <f ca="1" t="shared" si="22"/>
        <v>668.999999999995</v>
      </c>
      <c r="E196" s="80">
        <f ca="1">OFFSET(产销汇总!$C$1,MATCH(E$19,产销汇总!$C$2:$C$9,0),$C$18)*2</f>
        <v>12</v>
      </c>
      <c r="F196" s="80">
        <f t="shared" si="31"/>
        <v>21</v>
      </c>
      <c r="G196" s="80">
        <f t="shared" si="28"/>
        <v>0</v>
      </c>
      <c r="H196" s="80">
        <f t="shared" si="23"/>
        <v>6.4</v>
      </c>
      <c r="K196" s="132">
        <f t="shared" si="24"/>
        <v>258600</v>
      </c>
      <c r="L196" s="184">
        <v>177</v>
      </c>
      <c r="M196" s="180">
        <f>SUM($N$20:N196)</f>
        <v>70383</v>
      </c>
      <c r="N196" s="180">
        <v>835</v>
      </c>
      <c r="O196" s="180">
        <v>12340</v>
      </c>
      <c r="P196" s="180">
        <v>258465</v>
      </c>
      <c r="Q196" s="180">
        <v>0</v>
      </c>
      <c r="R196" s="180">
        <f t="shared" si="32"/>
        <v>258600</v>
      </c>
      <c r="S196" s="182">
        <f ca="1">U196-SUM($P$20:P196)/86400/(24+$C$12)*24</f>
        <v>118.163268788973</v>
      </c>
      <c r="T196" s="179">
        <f t="shared" si="29"/>
        <v>256800</v>
      </c>
      <c r="U196" s="179">
        <f ca="1" t="shared" si="25"/>
        <v>301</v>
      </c>
      <c r="W196" s="183">
        <v>177</v>
      </c>
      <c r="X196" s="183">
        <f ca="1" t="shared" si="26"/>
        <v>3863.99999999997</v>
      </c>
      <c r="Y196" s="183">
        <f ca="1">OFFSET(产销汇总!$C$1,MATCH("体力消耗",产销汇总!$C$2:$C$8,0),$C$18)/10*5*W196</f>
        <v>37170</v>
      </c>
      <c r="Z196" s="183">
        <f t="shared" si="30"/>
        <v>0</v>
      </c>
      <c r="AA196" s="183">
        <f ca="1" t="shared" si="27"/>
        <v>41034</v>
      </c>
    </row>
    <row r="197" ht="18" spans="1:27">
      <c r="A197" s="171"/>
      <c r="B197" s="80">
        <v>178</v>
      </c>
      <c r="C197" s="80">
        <f ca="1">OFFSET(产销汇总!$C$12,$B197,$C$18)</f>
        <v>139.149999999999</v>
      </c>
      <c r="D197" s="80">
        <f ca="1" t="shared" si="22"/>
        <v>670.749999999995</v>
      </c>
      <c r="E197" s="80">
        <f ca="1">OFFSET(产销汇总!$C$1,MATCH(E$19,产销汇总!$C$2:$C$9,0),$C$18)*2</f>
        <v>12</v>
      </c>
      <c r="F197" s="80">
        <f t="shared" si="31"/>
        <v>21</v>
      </c>
      <c r="G197" s="80">
        <f t="shared" si="28"/>
        <v>0</v>
      </c>
      <c r="H197" s="80">
        <f t="shared" si="23"/>
        <v>6.4</v>
      </c>
      <c r="K197" s="132">
        <f t="shared" si="24"/>
        <v>260100</v>
      </c>
      <c r="L197" s="184">
        <v>178</v>
      </c>
      <c r="M197" s="180">
        <f>SUM($N$20:N197)</f>
        <v>71223</v>
      </c>
      <c r="N197" s="180">
        <v>840</v>
      </c>
      <c r="O197" s="180">
        <v>12410</v>
      </c>
      <c r="P197" s="180">
        <v>259934</v>
      </c>
      <c r="Q197" s="180">
        <v>0</v>
      </c>
      <c r="R197" s="180">
        <f t="shared" si="32"/>
        <v>260100</v>
      </c>
      <c r="S197" s="182">
        <f ca="1">U197-SUM($P$20:P197)/86400/(24+$C$12)*24</f>
        <v>115.888384203041</v>
      </c>
      <c r="T197" s="179">
        <f t="shared" si="29"/>
        <v>258300</v>
      </c>
      <c r="U197" s="179">
        <f ca="1" t="shared" si="25"/>
        <v>301</v>
      </c>
      <c r="W197" s="183">
        <v>178</v>
      </c>
      <c r="X197" s="183">
        <f ca="1" t="shared" si="26"/>
        <v>3874.49999999997</v>
      </c>
      <c r="Y197" s="183">
        <f ca="1">OFFSET(产销汇总!$C$1,MATCH("体力消耗",产销汇总!$C$2:$C$8,0),$C$18)/10*5*W197</f>
        <v>37380</v>
      </c>
      <c r="Z197" s="183">
        <f t="shared" si="30"/>
        <v>0</v>
      </c>
      <c r="AA197" s="183">
        <f ca="1" t="shared" si="27"/>
        <v>41254.5</v>
      </c>
    </row>
    <row r="198" ht="18" spans="1:27">
      <c r="A198" s="171"/>
      <c r="B198" s="80">
        <v>179</v>
      </c>
      <c r="C198" s="80">
        <f ca="1">OFFSET(产销汇总!$C$12,$B198,$C$18)</f>
        <v>139.499999999999</v>
      </c>
      <c r="D198" s="80">
        <f ca="1" t="shared" si="22"/>
        <v>672.499999999995</v>
      </c>
      <c r="E198" s="80">
        <f ca="1">OFFSET(产销汇总!$C$1,MATCH(E$19,产销汇总!$C$2:$C$9,0),$C$18)*2</f>
        <v>12</v>
      </c>
      <c r="F198" s="80">
        <f t="shared" si="31"/>
        <v>21</v>
      </c>
      <c r="G198" s="80">
        <f t="shared" si="28"/>
        <v>0</v>
      </c>
      <c r="H198" s="80">
        <f t="shared" si="23"/>
        <v>6.4</v>
      </c>
      <c r="K198" s="132">
        <f t="shared" si="24"/>
        <v>261600</v>
      </c>
      <c r="L198" s="184">
        <v>179</v>
      </c>
      <c r="M198" s="180">
        <f>SUM($N$20:N198)</f>
        <v>72068</v>
      </c>
      <c r="N198" s="180">
        <v>845</v>
      </c>
      <c r="O198" s="180">
        <v>12480</v>
      </c>
      <c r="P198" s="180">
        <v>261402</v>
      </c>
      <c r="Q198" s="180">
        <v>0</v>
      </c>
      <c r="R198" s="180">
        <f t="shared" si="32"/>
        <v>261600</v>
      </c>
      <c r="S198" s="182">
        <f ca="1">U198-SUM($P$20:P198)/86400/(24+$C$12)*24</f>
        <v>113.600652007439</v>
      </c>
      <c r="T198" s="179">
        <f t="shared" si="29"/>
        <v>259800</v>
      </c>
      <c r="U198" s="179">
        <f ca="1" t="shared" si="25"/>
        <v>301</v>
      </c>
      <c r="W198" s="183">
        <v>179</v>
      </c>
      <c r="X198" s="183">
        <f ca="1" t="shared" si="26"/>
        <v>3884.99999999997</v>
      </c>
      <c r="Y198" s="183">
        <f ca="1">OFFSET(产销汇总!$C$1,MATCH("体力消耗",产销汇总!$C$2:$C$8,0),$C$18)/10*5*W198</f>
        <v>37590</v>
      </c>
      <c r="Z198" s="183">
        <f t="shared" si="30"/>
        <v>0</v>
      </c>
      <c r="AA198" s="183">
        <f ca="1" t="shared" si="27"/>
        <v>41475</v>
      </c>
    </row>
    <row r="199" ht="18" spans="1:27">
      <c r="A199" s="171"/>
      <c r="B199" s="80">
        <v>180</v>
      </c>
      <c r="C199" s="80">
        <f ca="1">OFFSET(产销汇总!$C$12,$B199,$C$18)</f>
        <v>139.849999999999</v>
      </c>
      <c r="D199" s="80">
        <f ca="1" t="shared" si="22"/>
        <v>674.249999999995</v>
      </c>
      <c r="E199" s="80">
        <f ca="1">OFFSET(产销汇总!$C$1,MATCH(E$19,产销汇总!$C$2:$C$9,0),$C$18)*2</f>
        <v>12</v>
      </c>
      <c r="F199" s="80">
        <f t="shared" si="31"/>
        <v>21</v>
      </c>
      <c r="G199" s="80">
        <f t="shared" si="28"/>
        <v>0</v>
      </c>
      <c r="H199" s="80">
        <f t="shared" si="23"/>
        <v>6.4</v>
      </c>
      <c r="K199" s="132">
        <f t="shared" si="24"/>
        <v>263100</v>
      </c>
      <c r="L199" s="184">
        <v>180</v>
      </c>
      <c r="M199" s="180">
        <f>SUM($N$20:N199)</f>
        <v>72918</v>
      </c>
      <c r="N199" s="180">
        <v>850</v>
      </c>
      <c r="O199" s="180">
        <v>12550</v>
      </c>
      <c r="P199" s="180">
        <v>262871</v>
      </c>
      <c r="Q199" s="180">
        <v>0</v>
      </c>
      <c r="R199" s="180">
        <f t="shared" si="32"/>
        <v>263100</v>
      </c>
      <c r="S199" s="182">
        <f ca="1">U199-SUM($P$20:P199)/86400/(24+$C$12)*24</f>
        <v>111.300063450388</v>
      </c>
      <c r="T199" s="179">
        <f t="shared" si="29"/>
        <v>261300</v>
      </c>
      <c r="U199" s="179">
        <f ca="1" t="shared" si="25"/>
        <v>301</v>
      </c>
      <c r="W199" s="183">
        <v>180</v>
      </c>
      <c r="X199" s="183">
        <f ca="1" t="shared" si="26"/>
        <v>3895.49999999997</v>
      </c>
      <c r="Y199" s="183">
        <f ca="1">OFFSET(产销汇总!$C$1,MATCH("体力消耗",产销汇总!$C$2:$C$8,0),$C$18)/10*5*W199</f>
        <v>37800</v>
      </c>
      <c r="Z199" s="183">
        <f t="shared" si="30"/>
        <v>0</v>
      </c>
      <c r="AA199" s="183">
        <f ca="1" t="shared" si="27"/>
        <v>41695.5</v>
      </c>
    </row>
    <row r="200" ht="18" spans="1:27">
      <c r="A200" s="171"/>
      <c r="B200" s="80">
        <v>181</v>
      </c>
      <c r="C200" s="80">
        <f ca="1">OFFSET(产销汇总!$C$12,$B200,$C$18)</f>
        <v>140.199999999999</v>
      </c>
      <c r="D200" s="80">
        <f ca="1" t="shared" si="22"/>
        <v>675.999999999995</v>
      </c>
      <c r="E200" s="80">
        <f ca="1">OFFSET(产销汇总!$C$1,MATCH(E$19,产销汇总!$C$2:$C$9,0),$C$18)*2</f>
        <v>12</v>
      </c>
      <c r="F200" s="80">
        <f t="shared" si="31"/>
        <v>21</v>
      </c>
      <c r="G200" s="80">
        <f t="shared" si="28"/>
        <v>0</v>
      </c>
      <c r="H200" s="80">
        <f t="shared" si="23"/>
        <v>6.4</v>
      </c>
      <c r="K200" s="132">
        <f t="shared" si="24"/>
        <v>264600</v>
      </c>
      <c r="L200" s="184">
        <v>181</v>
      </c>
      <c r="M200" s="180">
        <f>SUM($N$20:N200)</f>
        <v>73773</v>
      </c>
      <c r="N200" s="180">
        <v>855</v>
      </c>
      <c r="O200" s="180">
        <v>12620</v>
      </c>
      <c r="P200" s="180">
        <v>264339</v>
      </c>
      <c r="Q200" s="180">
        <v>0</v>
      </c>
      <c r="R200" s="180">
        <f t="shared" si="32"/>
        <v>264600</v>
      </c>
      <c r="S200" s="182">
        <f ca="1">U200-SUM($P$20:P200)/86400/(24+$C$12)*24</f>
        <v>108.986627283667</v>
      </c>
      <c r="T200" s="179">
        <f t="shared" si="29"/>
        <v>262800</v>
      </c>
      <c r="U200" s="179">
        <f ca="1" t="shared" si="25"/>
        <v>301</v>
      </c>
      <c r="W200" s="183">
        <v>181</v>
      </c>
      <c r="X200" s="183">
        <f ca="1" t="shared" si="26"/>
        <v>3905.99999999997</v>
      </c>
      <c r="Y200" s="183">
        <f ca="1">OFFSET(产销汇总!$C$1,MATCH("体力消耗",产销汇总!$C$2:$C$8,0),$C$18)/10*5*W200</f>
        <v>38010</v>
      </c>
      <c r="Z200" s="183">
        <f t="shared" si="30"/>
        <v>0</v>
      </c>
      <c r="AA200" s="183">
        <f ca="1" t="shared" si="27"/>
        <v>41916</v>
      </c>
    </row>
    <row r="201" ht="18" spans="1:27">
      <c r="A201" s="171"/>
      <c r="B201" s="80">
        <v>182</v>
      </c>
      <c r="C201" s="80">
        <f ca="1">OFFSET(产销汇总!$C$12,$B201,$C$18)</f>
        <v>140.549999999999</v>
      </c>
      <c r="D201" s="80">
        <f ca="1" t="shared" si="22"/>
        <v>677.749999999995</v>
      </c>
      <c r="E201" s="80">
        <f ca="1">OFFSET(产销汇总!$C$1,MATCH(E$19,产销汇总!$C$2:$C$9,0),$C$18)*2</f>
        <v>12</v>
      </c>
      <c r="F201" s="80">
        <f t="shared" si="31"/>
        <v>21</v>
      </c>
      <c r="G201" s="80">
        <f t="shared" si="28"/>
        <v>0</v>
      </c>
      <c r="H201" s="80">
        <f t="shared" si="23"/>
        <v>6.4</v>
      </c>
      <c r="K201" s="132">
        <f t="shared" si="24"/>
        <v>266100</v>
      </c>
      <c r="L201" s="184">
        <v>182</v>
      </c>
      <c r="M201" s="180">
        <f>SUM($N$20:N201)</f>
        <v>74633</v>
      </c>
      <c r="N201" s="180">
        <v>860</v>
      </c>
      <c r="O201" s="180">
        <v>12690</v>
      </c>
      <c r="P201" s="180">
        <v>265808</v>
      </c>
      <c r="Q201" s="180">
        <v>0</v>
      </c>
      <c r="R201" s="180">
        <f t="shared" si="32"/>
        <v>266100</v>
      </c>
      <c r="S201" s="182">
        <f ca="1">U201-SUM($P$20:P201)/86400/(24+$C$12)*24</f>
        <v>106.660334755497</v>
      </c>
      <c r="T201" s="179">
        <f t="shared" si="29"/>
        <v>264300</v>
      </c>
      <c r="U201" s="179">
        <f ca="1" t="shared" si="25"/>
        <v>301</v>
      </c>
      <c r="W201" s="183">
        <v>182</v>
      </c>
      <c r="X201" s="183">
        <f ca="1" t="shared" si="26"/>
        <v>3916.49999999997</v>
      </c>
      <c r="Y201" s="183">
        <f ca="1">OFFSET(产销汇总!$C$1,MATCH("体力消耗",产销汇总!$C$2:$C$8,0),$C$18)/10*5*W201</f>
        <v>38220</v>
      </c>
      <c r="Z201" s="183">
        <f t="shared" si="30"/>
        <v>0</v>
      </c>
      <c r="AA201" s="183">
        <f ca="1" t="shared" si="27"/>
        <v>42136.5</v>
      </c>
    </row>
    <row r="202" ht="18" spans="1:27">
      <c r="A202" s="171"/>
      <c r="B202" s="80">
        <v>183</v>
      </c>
      <c r="C202" s="80">
        <f ca="1">OFFSET(产销汇总!$C$12,$B202,$C$18)</f>
        <v>140.899999999999</v>
      </c>
      <c r="D202" s="80">
        <f ca="1" t="shared" si="22"/>
        <v>679.499999999995</v>
      </c>
      <c r="E202" s="80">
        <f ca="1">OFFSET(产销汇总!$C$1,MATCH(E$19,产销汇总!$C$2:$C$9,0),$C$18)*2</f>
        <v>12</v>
      </c>
      <c r="F202" s="80">
        <f t="shared" si="31"/>
        <v>21</v>
      </c>
      <c r="G202" s="80">
        <f t="shared" si="28"/>
        <v>0</v>
      </c>
      <c r="H202" s="80">
        <f t="shared" si="23"/>
        <v>6.4</v>
      </c>
      <c r="K202" s="132">
        <f t="shared" si="24"/>
        <v>267300</v>
      </c>
      <c r="L202" s="184">
        <v>183</v>
      </c>
      <c r="M202" s="180">
        <f>SUM($N$20:N202)</f>
        <v>75498</v>
      </c>
      <c r="N202" s="180">
        <v>865</v>
      </c>
      <c r="O202" s="180">
        <v>12760</v>
      </c>
      <c r="P202" s="180">
        <v>267277</v>
      </c>
      <c r="Q202" s="180">
        <v>0</v>
      </c>
      <c r="R202" s="180">
        <f t="shared" si="32"/>
        <v>267300</v>
      </c>
      <c r="S202" s="182">
        <f ca="1">U202-SUM($P$20:P202)/86400/(24+$C$12)*24</f>
        <v>104.321185865879</v>
      </c>
      <c r="T202" s="179">
        <f t="shared" si="29"/>
        <v>265500</v>
      </c>
      <c r="U202" s="179">
        <f ca="1" t="shared" si="25"/>
        <v>301</v>
      </c>
      <c r="W202" s="183">
        <v>183</v>
      </c>
      <c r="X202" s="183">
        <f ca="1" t="shared" si="26"/>
        <v>3926.99999999997</v>
      </c>
      <c r="Y202" s="183">
        <f ca="1">OFFSET(产销汇总!$C$1,MATCH("体力消耗",产销汇总!$C$2:$C$8,0),$C$18)/10*5*W202</f>
        <v>38430</v>
      </c>
      <c r="Z202" s="183">
        <f t="shared" si="30"/>
        <v>0</v>
      </c>
      <c r="AA202" s="183">
        <f ca="1" t="shared" si="27"/>
        <v>42357</v>
      </c>
    </row>
    <row r="203" ht="18" spans="1:27">
      <c r="A203" s="171"/>
      <c r="B203" s="80">
        <v>184</v>
      </c>
      <c r="C203" s="80">
        <f ca="1">OFFSET(产销汇总!$C$12,$B203,$C$18)</f>
        <v>141.249999999999</v>
      </c>
      <c r="D203" s="80">
        <f ca="1" t="shared" si="22"/>
        <v>681.249999999995</v>
      </c>
      <c r="E203" s="80">
        <f ca="1">OFFSET(产销汇总!$C$1,MATCH(E$19,产销汇总!$C$2:$C$9,0),$C$18)*2</f>
        <v>12</v>
      </c>
      <c r="F203" s="80">
        <f t="shared" si="31"/>
        <v>21</v>
      </c>
      <c r="G203" s="80">
        <f t="shared" si="28"/>
        <v>0</v>
      </c>
      <c r="H203" s="80">
        <f t="shared" si="23"/>
        <v>6.4</v>
      </c>
      <c r="K203" s="132">
        <f t="shared" si="24"/>
        <v>268800</v>
      </c>
      <c r="L203" s="184">
        <v>184</v>
      </c>
      <c r="M203" s="180">
        <f>SUM($N$20:N203)</f>
        <v>76368</v>
      </c>
      <c r="N203" s="180">
        <v>870</v>
      </c>
      <c r="O203" s="180">
        <v>12830</v>
      </c>
      <c r="P203" s="180">
        <v>268745</v>
      </c>
      <c r="Q203" s="180">
        <v>0</v>
      </c>
      <c r="R203" s="180">
        <f t="shared" si="32"/>
        <v>268800</v>
      </c>
      <c r="S203" s="182">
        <f ca="1">U203-SUM($P$20:P203)/86400/(24+$C$12)*24</f>
        <v>101.96918936659</v>
      </c>
      <c r="T203" s="179">
        <f t="shared" si="29"/>
        <v>267000</v>
      </c>
      <c r="U203" s="179">
        <f ca="1" t="shared" si="25"/>
        <v>301</v>
      </c>
      <c r="W203" s="183">
        <v>184</v>
      </c>
      <c r="X203" s="183">
        <f ca="1" t="shared" si="26"/>
        <v>3937.49999999997</v>
      </c>
      <c r="Y203" s="183">
        <f ca="1">OFFSET(产销汇总!$C$1,MATCH("体力消耗",产销汇总!$C$2:$C$8,0),$C$18)/10*5*W203</f>
        <v>38640</v>
      </c>
      <c r="Z203" s="183">
        <f t="shared" si="30"/>
        <v>0</v>
      </c>
      <c r="AA203" s="183">
        <f ca="1" t="shared" si="27"/>
        <v>42577.5</v>
      </c>
    </row>
    <row r="204" ht="18" spans="1:27">
      <c r="A204" s="171"/>
      <c r="B204" s="80">
        <v>185</v>
      </c>
      <c r="C204" s="80">
        <f ca="1">OFFSET(产销汇总!$C$12,$B204,$C$18)</f>
        <v>141.599999999999</v>
      </c>
      <c r="D204" s="80">
        <f ca="1" t="shared" si="22"/>
        <v>682.999999999995</v>
      </c>
      <c r="E204" s="80">
        <f ca="1">OFFSET(产销汇总!$C$1,MATCH(E$19,产销汇总!$C$2:$C$9,0),$C$18)*2</f>
        <v>12</v>
      </c>
      <c r="F204" s="80">
        <f t="shared" si="31"/>
        <v>21</v>
      </c>
      <c r="G204" s="80">
        <f t="shared" si="28"/>
        <v>0</v>
      </c>
      <c r="H204" s="80">
        <f t="shared" si="23"/>
        <v>6.4</v>
      </c>
      <c r="K204" s="132">
        <f t="shared" si="24"/>
        <v>269100</v>
      </c>
      <c r="L204" s="184">
        <v>185</v>
      </c>
      <c r="M204" s="180">
        <f>SUM($N$20:N204)</f>
        <v>77243</v>
      </c>
      <c r="N204" s="180">
        <v>875</v>
      </c>
      <c r="O204" s="180">
        <v>12900</v>
      </c>
      <c r="P204" s="180">
        <v>268806</v>
      </c>
      <c r="Q204" s="180">
        <v>0</v>
      </c>
      <c r="R204" s="180">
        <f t="shared" si="32"/>
        <v>269100</v>
      </c>
      <c r="S204" s="182">
        <f ca="1">U204-SUM($P$20:P204)/86400/(24+$C$12)*24</f>
        <v>99.6166590088612</v>
      </c>
      <c r="T204" s="179">
        <f t="shared" si="29"/>
        <v>267300</v>
      </c>
      <c r="U204" s="179">
        <f ca="1" t="shared" si="25"/>
        <v>301</v>
      </c>
      <c r="W204" s="183">
        <v>185</v>
      </c>
      <c r="X204" s="183">
        <f ca="1" t="shared" si="26"/>
        <v>3947.99999999997</v>
      </c>
      <c r="Y204" s="183">
        <f ca="1">OFFSET(产销汇总!$C$1,MATCH("体力消耗",产销汇总!$C$2:$C$8,0),$C$18)/10*5*W204</f>
        <v>38850</v>
      </c>
      <c r="Z204" s="183">
        <f t="shared" si="30"/>
        <v>0</v>
      </c>
      <c r="AA204" s="183">
        <f ca="1" t="shared" si="27"/>
        <v>42798</v>
      </c>
    </row>
    <row r="205" ht="18" spans="1:27">
      <c r="A205" s="171"/>
      <c r="B205" s="80">
        <v>186</v>
      </c>
      <c r="C205" s="80">
        <f ca="1">OFFSET(产销汇总!$C$12,$B205,$C$18)</f>
        <v>141.949999999999</v>
      </c>
      <c r="D205" s="80">
        <f ca="1" t="shared" si="22"/>
        <v>684.749999999995</v>
      </c>
      <c r="E205" s="80">
        <f ca="1">OFFSET(产销汇总!$C$1,MATCH(E$19,产销汇总!$C$2:$C$9,0),$C$18)*2</f>
        <v>12</v>
      </c>
      <c r="F205" s="80">
        <f t="shared" si="31"/>
        <v>21</v>
      </c>
      <c r="G205" s="80">
        <f t="shared" si="28"/>
        <v>0</v>
      </c>
      <c r="H205" s="80">
        <f t="shared" si="23"/>
        <v>6.4</v>
      </c>
      <c r="K205" s="132">
        <f t="shared" si="24"/>
        <v>269100</v>
      </c>
      <c r="L205" s="184">
        <v>186</v>
      </c>
      <c r="M205" s="180">
        <f>SUM($N$20:N205)</f>
        <v>78123</v>
      </c>
      <c r="N205" s="180">
        <v>880</v>
      </c>
      <c r="O205" s="180">
        <v>12970</v>
      </c>
      <c r="P205" s="180">
        <v>268866</v>
      </c>
      <c r="Q205" s="180">
        <v>0</v>
      </c>
      <c r="R205" s="180">
        <f t="shared" si="32"/>
        <v>269100</v>
      </c>
      <c r="S205" s="182">
        <f ca="1">U205-SUM($P$20:P205)/86400/(24+$C$12)*24</f>
        <v>97.26360354447</v>
      </c>
      <c r="T205" s="179">
        <f t="shared" si="29"/>
        <v>267300</v>
      </c>
      <c r="U205" s="179">
        <f ca="1" t="shared" si="25"/>
        <v>301</v>
      </c>
      <c r="W205" s="183">
        <v>186</v>
      </c>
      <c r="X205" s="183">
        <f ca="1" t="shared" si="26"/>
        <v>3958.49999999997</v>
      </c>
      <c r="Y205" s="183">
        <f ca="1">OFFSET(产销汇总!$C$1,MATCH("体力消耗",产销汇总!$C$2:$C$8,0),$C$18)/10*5*W205</f>
        <v>39060</v>
      </c>
      <c r="Z205" s="183">
        <f t="shared" si="30"/>
        <v>0</v>
      </c>
      <c r="AA205" s="183">
        <f ca="1" t="shared" si="27"/>
        <v>43018.5</v>
      </c>
    </row>
    <row r="206" ht="18" spans="1:27">
      <c r="A206" s="171"/>
      <c r="B206" s="80">
        <v>187</v>
      </c>
      <c r="C206" s="80">
        <f ca="1">OFFSET(产销汇总!$C$12,$B206,$C$18)</f>
        <v>142.299999999999</v>
      </c>
      <c r="D206" s="80">
        <f ca="1" t="shared" si="22"/>
        <v>686.499999999995</v>
      </c>
      <c r="E206" s="80">
        <f ca="1">OFFSET(产销汇总!$C$1,MATCH(E$19,产销汇总!$C$2:$C$9,0),$C$18)*2</f>
        <v>12</v>
      </c>
      <c r="F206" s="80">
        <f t="shared" si="31"/>
        <v>21</v>
      </c>
      <c r="G206" s="80">
        <f t="shared" si="28"/>
        <v>0</v>
      </c>
      <c r="H206" s="80">
        <f t="shared" si="23"/>
        <v>6.4</v>
      </c>
      <c r="K206" s="132">
        <f t="shared" si="24"/>
        <v>269100</v>
      </c>
      <c r="L206" s="184">
        <v>187</v>
      </c>
      <c r="M206" s="180">
        <f>SUM($N$20:N206)</f>
        <v>79008</v>
      </c>
      <c r="N206" s="180">
        <v>885</v>
      </c>
      <c r="O206" s="180">
        <v>13040</v>
      </c>
      <c r="P206" s="180">
        <v>268927</v>
      </c>
      <c r="Q206" s="180">
        <v>0</v>
      </c>
      <c r="R206" s="180">
        <f t="shared" si="32"/>
        <v>269100</v>
      </c>
      <c r="S206" s="182">
        <f ca="1">U206-SUM($P$20:P206)/86400/(24+$C$12)*24</f>
        <v>94.9100142216388</v>
      </c>
      <c r="T206" s="179">
        <f t="shared" si="29"/>
        <v>267300</v>
      </c>
      <c r="U206" s="179">
        <f ca="1" t="shared" si="25"/>
        <v>301</v>
      </c>
      <c r="W206" s="183">
        <v>187</v>
      </c>
      <c r="X206" s="183">
        <f ca="1" t="shared" si="26"/>
        <v>3968.99999999997</v>
      </c>
      <c r="Y206" s="183">
        <f ca="1">OFFSET(产销汇总!$C$1,MATCH("体力消耗",产销汇总!$C$2:$C$8,0),$C$18)/10*5*W206</f>
        <v>39270</v>
      </c>
      <c r="Z206" s="183">
        <f t="shared" si="30"/>
        <v>0</v>
      </c>
      <c r="AA206" s="183">
        <f ca="1" t="shared" si="27"/>
        <v>43239</v>
      </c>
    </row>
    <row r="207" ht="18" spans="1:27">
      <c r="A207" s="171"/>
      <c r="B207" s="80">
        <v>188</v>
      </c>
      <c r="C207" s="80">
        <f ca="1">OFFSET(产销汇总!$C$12,$B207,$C$18)</f>
        <v>142.649999999999</v>
      </c>
      <c r="D207" s="80">
        <f ca="1" t="shared" si="22"/>
        <v>688.249999999995</v>
      </c>
      <c r="E207" s="80">
        <f ca="1">OFFSET(产销汇总!$C$1,MATCH(E$19,产销汇总!$C$2:$C$9,0),$C$18)*2</f>
        <v>12</v>
      </c>
      <c r="F207" s="80">
        <f t="shared" si="31"/>
        <v>21</v>
      </c>
      <c r="G207" s="80">
        <f t="shared" si="28"/>
        <v>0</v>
      </c>
      <c r="H207" s="80">
        <f t="shared" si="23"/>
        <v>6.4</v>
      </c>
      <c r="K207" s="132">
        <f t="shared" si="24"/>
        <v>269100</v>
      </c>
      <c r="L207" s="184">
        <v>188</v>
      </c>
      <c r="M207" s="180">
        <f>SUM($N$20:N207)</f>
        <v>79898</v>
      </c>
      <c r="N207" s="180">
        <v>890</v>
      </c>
      <c r="O207" s="180">
        <v>13110</v>
      </c>
      <c r="P207" s="180">
        <v>268987</v>
      </c>
      <c r="Q207" s="180">
        <v>0</v>
      </c>
      <c r="R207" s="180">
        <f t="shared" si="32"/>
        <v>269100</v>
      </c>
      <c r="S207" s="182">
        <f ca="1">U207-SUM($P$20:P207)/86400/(24+$C$12)*24</f>
        <v>92.5558997921453</v>
      </c>
      <c r="T207" s="179">
        <f t="shared" si="29"/>
        <v>267300</v>
      </c>
      <c r="U207" s="179">
        <f ca="1" t="shared" si="25"/>
        <v>301</v>
      </c>
      <c r="W207" s="183">
        <v>188</v>
      </c>
      <c r="X207" s="183">
        <f ca="1" t="shared" si="26"/>
        <v>3979.49999999997</v>
      </c>
      <c r="Y207" s="183">
        <f ca="1">OFFSET(产销汇总!$C$1,MATCH("体力消耗",产销汇总!$C$2:$C$8,0),$C$18)/10*5*W207</f>
        <v>39480</v>
      </c>
      <c r="Z207" s="183">
        <f t="shared" si="30"/>
        <v>0</v>
      </c>
      <c r="AA207" s="183">
        <f ca="1" t="shared" si="27"/>
        <v>43459.5</v>
      </c>
    </row>
    <row r="208" ht="18" spans="1:27">
      <c r="A208" s="171"/>
      <c r="B208" s="80">
        <v>189</v>
      </c>
      <c r="C208" s="80">
        <f ca="1">OFFSET(产销汇总!$C$12,$B208,$C$18)</f>
        <v>142.999999999999</v>
      </c>
      <c r="D208" s="80">
        <f ca="1" t="shared" si="22"/>
        <v>689.999999999995</v>
      </c>
      <c r="E208" s="80">
        <f ca="1">OFFSET(产销汇总!$C$1,MATCH(E$19,产销汇总!$C$2:$C$9,0),$C$18)*2</f>
        <v>12</v>
      </c>
      <c r="F208" s="80">
        <f t="shared" si="31"/>
        <v>21</v>
      </c>
      <c r="G208" s="80">
        <f t="shared" si="28"/>
        <v>0</v>
      </c>
      <c r="H208" s="80">
        <f t="shared" si="23"/>
        <v>6.4</v>
      </c>
      <c r="K208" s="132">
        <f t="shared" si="24"/>
        <v>269100</v>
      </c>
      <c r="L208" s="184">
        <v>189</v>
      </c>
      <c r="M208" s="180">
        <f>SUM($N$20:N208)</f>
        <v>80793</v>
      </c>
      <c r="N208" s="180">
        <v>895</v>
      </c>
      <c r="O208" s="180">
        <v>13180</v>
      </c>
      <c r="P208" s="180">
        <v>269048</v>
      </c>
      <c r="Q208" s="180">
        <v>0</v>
      </c>
      <c r="R208" s="180">
        <f t="shared" si="32"/>
        <v>269100</v>
      </c>
      <c r="S208" s="182">
        <f ca="1">U208-SUM($P$20:P208)/86400/(24+$C$12)*24</f>
        <v>90.2012515042118</v>
      </c>
      <c r="T208" s="179">
        <f t="shared" si="29"/>
        <v>267300</v>
      </c>
      <c r="U208" s="179">
        <f ca="1" t="shared" si="25"/>
        <v>301</v>
      </c>
      <c r="W208" s="183">
        <v>189</v>
      </c>
      <c r="X208" s="183">
        <f ca="1" t="shared" si="26"/>
        <v>3989.99999999997</v>
      </c>
      <c r="Y208" s="183">
        <f ca="1">OFFSET(产销汇总!$C$1,MATCH("体力消耗",产销汇总!$C$2:$C$8,0),$C$18)/10*5*W208</f>
        <v>39690</v>
      </c>
      <c r="Z208" s="183">
        <f t="shared" si="30"/>
        <v>0</v>
      </c>
      <c r="AA208" s="183">
        <f ca="1" t="shared" si="27"/>
        <v>43680</v>
      </c>
    </row>
    <row r="209" ht="18" spans="1:27">
      <c r="A209" s="171"/>
      <c r="B209" s="80">
        <v>190</v>
      </c>
      <c r="C209" s="80">
        <f ca="1">OFFSET(产销汇总!$C$12,$B209,$C$18)</f>
        <v>143.349999999999</v>
      </c>
      <c r="D209" s="80">
        <f ca="1" t="shared" si="22"/>
        <v>691.749999999995</v>
      </c>
      <c r="E209" s="80">
        <f ca="1">OFFSET(产销汇总!$C$1,MATCH(E$19,产销汇总!$C$2:$C$9,0),$C$18)*2</f>
        <v>12</v>
      </c>
      <c r="F209" s="80">
        <f t="shared" si="31"/>
        <v>21</v>
      </c>
      <c r="G209" s="80">
        <f t="shared" si="28"/>
        <v>0</v>
      </c>
      <c r="H209" s="80">
        <f t="shared" si="23"/>
        <v>6.4</v>
      </c>
      <c r="K209" s="132">
        <f t="shared" si="24"/>
        <v>269400</v>
      </c>
      <c r="L209" s="184">
        <v>190</v>
      </c>
      <c r="M209" s="180">
        <f>SUM($N$20:N209)</f>
        <v>81693</v>
      </c>
      <c r="N209" s="180">
        <v>900</v>
      </c>
      <c r="O209" s="180">
        <v>13250</v>
      </c>
      <c r="P209" s="180">
        <v>269108</v>
      </c>
      <c r="Q209" s="180">
        <v>0</v>
      </c>
      <c r="R209" s="180">
        <f t="shared" si="32"/>
        <v>269400</v>
      </c>
      <c r="S209" s="182">
        <f ca="1">U209-SUM($P$20:P209)/86400/(24+$C$12)*24</f>
        <v>87.846078109616</v>
      </c>
      <c r="T209" s="179">
        <f t="shared" si="29"/>
        <v>267600</v>
      </c>
      <c r="U209" s="179">
        <f ca="1" t="shared" si="25"/>
        <v>301</v>
      </c>
      <c r="W209" s="183">
        <v>190</v>
      </c>
      <c r="X209" s="183">
        <f ca="1" t="shared" si="26"/>
        <v>4000.49999999997</v>
      </c>
      <c r="Y209" s="183">
        <f ca="1">OFFSET(产销汇总!$C$1,MATCH("体力消耗",产销汇总!$C$2:$C$8,0),$C$18)/10*5*W209</f>
        <v>39900</v>
      </c>
      <c r="Z209" s="183">
        <f t="shared" si="30"/>
        <v>0</v>
      </c>
      <c r="AA209" s="183">
        <f ca="1" t="shared" si="27"/>
        <v>43900.5</v>
      </c>
    </row>
    <row r="210" ht="18" spans="1:27">
      <c r="A210" s="171"/>
      <c r="B210" s="80">
        <v>191</v>
      </c>
      <c r="C210" s="80">
        <f ca="1">OFFSET(产销汇总!$C$12,$B210,$C$18)</f>
        <v>143.699999999999</v>
      </c>
      <c r="D210" s="80">
        <f ca="1" t="shared" si="22"/>
        <v>693.499999999995</v>
      </c>
      <c r="E210" s="80">
        <f ca="1">OFFSET(产销汇总!$C$1,MATCH(E$19,产销汇总!$C$2:$C$9,0),$C$18)*2</f>
        <v>12</v>
      </c>
      <c r="F210" s="80">
        <f t="shared" si="31"/>
        <v>21</v>
      </c>
      <c r="G210" s="80">
        <f t="shared" si="28"/>
        <v>0</v>
      </c>
      <c r="H210" s="80">
        <f t="shared" si="23"/>
        <v>6.4</v>
      </c>
      <c r="K210" s="132">
        <f t="shared" si="24"/>
        <v>269400</v>
      </c>
      <c r="L210" s="184">
        <v>191</v>
      </c>
      <c r="M210" s="180">
        <f>SUM($N$20:N210)</f>
        <v>82598</v>
      </c>
      <c r="N210" s="180">
        <v>905</v>
      </c>
      <c r="O210" s="180">
        <v>13320</v>
      </c>
      <c r="P210" s="180">
        <v>269168</v>
      </c>
      <c r="Q210" s="180">
        <v>0</v>
      </c>
      <c r="R210" s="180">
        <f t="shared" si="32"/>
        <v>269400</v>
      </c>
      <c r="S210" s="182">
        <f ca="1">U210-SUM($P$20:P210)/86400/(24+$C$12)*24</f>
        <v>85.490379608358</v>
      </c>
      <c r="T210" s="179">
        <f t="shared" si="29"/>
        <v>267600</v>
      </c>
      <c r="U210" s="179">
        <f ca="1" t="shared" si="25"/>
        <v>301</v>
      </c>
      <c r="W210" s="183">
        <v>191</v>
      </c>
      <c r="X210" s="183">
        <f ca="1" t="shared" si="26"/>
        <v>4010.99999999997</v>
      </c>
      <c r="Y210" s="183">
        <f ca="1">OFFSET(产销汇总!$C$1,MATCH("体力消耗",产销汇总!$C$2:$C$8,0),$C$18)/10*5*W210</f>
        <v>40110</v>
      </c>
      <c r="Z210" s="183">
        <f t="shared" si="30"/>
        <v>0</v>
      </c>
      <c r="AA210" s="183">
        <f ca="1" t="shared" si="27"/>
        <v>44121</v>
      </c>
    </row>
    <row r="211" ht="18" spans="1:27">
      <c r="A211" s="171"/>
      <c r="B211" s="80">
        <v>192</v>
      </c>
      <c r="C211" s="80">
        <f ca="1">OFFSET(产销汇总!$C$12,$B211,$C$18)</f>
        <v>144.049999999999</v>
      </c>
      <c r="D211" s="80">
        <f ca="1" t="shared" si="22"/>
        <v>695.249999999995</v>
      </c>
      <c r="E211" s="80">
        <f ca="1">OFFSET(产销汇总!$C$1,MATCH(E$19,产销汇总!$C$2:$C$9,0),$C$18)*2</f>
        <v>12</v>
      </c>
      <c r="F211" s="80">
        <f t="shared" si="31"/>
        <v>21</v>
      </c>
      <c r="G211" s="80">
        <f t="shared" si="28"/>
        <v>0</v>
      </c>
      <c r="H211" s="80">
        <f t="shared" si="23"/>
        <v>6.4</v>
      </c>
      <c r="K211" s="132">
        <f t="shared" si="24"/>
        <v>269400</v>
      </c>
      <c r="L211" s="184">
        <v>192</v>
      </c>
      <c r="M211" s="180">
        <f>SUM($N$20:N211)</f>
        <v>83508</v>
      </c>
      <c r="N211" s="180">
        <v>910</v>
      </c>
      <c r="O211" s="180">
        <v>13390</v>
      </c>
      <c r="P211" s="180">
        <v>269229</v>
      </c>
      <c r="Q211" s="180">
        <v>0</v>
      </c>
      <c r="R211" s="180">
        <f t="shared" si="32"/>
        <v>269400</v>
      </c>
      <c r="S211" s="182">
        <f ca="1">U211-SUM($P$20:P211)/86400/(24+$C$12)*24</f>
        <v>83.1341472486599</v>
      </c>
      <c r="T211" s="179">
        <f t="shared" si="29"/>
        <v>267600</v>
      </c>
      <c r="U211" s="179">
        <f ca="1" t="shared" si="25"/>
        <v>301</v>
      </c>
      <c r="W211" s="183">
        <v>192</v>
      </c>
      <c r="X211" s="183">
        <f ca="1" t="shared" si="26"/>
        <v>4021.49999999997</v>
      </c>
      <c r="Y211" s="183">
        <f ca="1">OFFSET(产销汇总!$C$1,MATCH("体力消耗",产销汇总!$C$2:$C$8,0),$C$18)/10*5*W211</f>
        <v>40320</v>
      </c>
      <c r="Z211" s="183">
        <f t="shared" si="30"/>
        <v>0</v>
      </c>
      <c r="AA211" s="183">
        <f ca="1" t="shared" si="27"/>
        <v>44341.5</v>
      </c>
    </row>
    <row r="212" ht="18" spans="1:27">
      <c r="A212" s="171"/>
      <c r="B212" s="80">
        <v>193</v>
      </c>
      <c r="C212" s="80">
        <f ca="1">OFFSET(产销汇总!$C$12,$B212,$C$18)</f>
        <v>144.399999999999</v>
      </c>
      <c r="D212" s="80">
        <f ca="1" t="shared" ref="D212:D275" si="33">(C212-5)*5</f>
        <v>696.999999999995</v>
      </c>
      <c r="E212" s="80">
        <f ca="1">OFFSET(产销汇总!$C$1,MATCH(E$19,产销汇总!$C$2:$C$9,0),$C$18)*2</f>
        <v>12</v>
      </c>
      <c r="F212" s="80">
        <f t="shared" si="31"/>
        <v>21</v>
      </c>
      <c r="G212" s="80">
        <f t="shared" si="28"/>
        <v>0</v>
      </c>
      <c r="H212" s="80">
        <f t="shared" ref="H212:H275" si="34">ROUND(5+10/7,1)</f>
        <v>6.4</v>
      </c>
      <c r="K212" s="132">
        <f t="shared" ref="K212:K275" si="35">CEILING(R212,300)</f>
        <v>269400</v>
      </c>
      <c r="L212" s="184">
        <v>193</v>
      </c>
      <c r="M212" s="180">
        <f>SUM($N$20:N212)</f>
        <v>84423</v>
      </c>
      <c r="N212" s="180">
        <v>915</v>
      </c>
      <c r="O212" s="180">
        <v>13460</v>
      </c>
      <c r="P212" s="180">
        <v>269289</v>
      </c>
      <c r="Q212" s="180">
        <v>0</v>
      </c>
      <c r="R212" s="180">
        <f t="shared" si="32"/>
        <v>269400</v>
      </c>
      <c r="S212" s="182">
        <f ca="1">U212-SUM($P$20:P212)/86400/(24+$C$12)*24</f>
        <v>80.7773897822995</v>
      </c>
      <c r="T212" s="179">
        <f t="shared" si="29"/>
        <v>267600</v>
      </c>
      <c r="U212" s="179">
        <f ca="1" t="shared" ref="U212:U275" si="36">IFERROR(MATCH(M212,$AA$20:$AA$319,1)+1,1)</f>
        <v>301</v>
      </c>
      <c r="W212" s="183">
        <v>193</v>
      </c>
      <c r="X212" s="183">
        <f ca="1" t="shared" ref="X212:X275" si="37">(C212-10)*30</f>
        <v>4031.99999999997</v>
      </c>
      <c r="Y212" s="183">
        <f ca="1">OFFSET(产销汇总!$C$1,MATCH("体力消耗",产销汇总!$C$2:$C$8,0),$C$18)/10*5*W212</f>
        <v>40530</v>
      </c>
      <c r="Z212" s="183">
        <f t="shared" si="30"/>
        <v>0</v>
      </c>
      <c r="AA212" s="183">
        <f ca="1" t="shared" ref="AA212:AA275" si="38">SUM(X212:Z212)</f>
        <v>44562</v>
      </c>
    </row>
    <row r="213" ht="18" spans="1:27">
      <c r="A213" s="171"/>
      <c r="B213" s="80">
        <v>194</v>
      </c>
      <c r="C213" s="80">
        <f ca="1">OFFSET(产销汇总!$C$12,$B213,$C$18)</f>
        <v>144.749999999999</v>
      </c>
      <c r="D213" s="80">
        <f ca="1" t="shared" si="33"/>
        <v>698.749999999995</v>
      </c>
      <c r="E213" s="80">
        <f ca="1">OFFSET(产销汇总!$C$1,MATCH(E$19,产销汇总!$C$2:$C$9,0),$C$18)*2</f>
        <v>12</v>
      </c>
      <c r="F213" s="80">
        <f t="shared" si="31"/>
        <v>21</v>
      </c>
      <c r="G213" s="80">
        <f t="shared" ref="G213:G276" si="39">G212</f>
        <v>0</v>
      </c>
      <c r="H213" s="80">
        <f t="shared" si="34"/>
        <v>6.4</v>
      </c>
      <c r="K213" s="132">
        <f t="shared" si="35"/>
        <v>269400</v>
      </c>
      <c r="L213" s="184">
        <v>194</v>
      </c>
      <c r="M213" s="180">
        <f>SUM($N$20:N213)</f>
        <v>85343</v>
      </c>
      <c r="N213" s="180">
        <v>920</v>
      </c>
      <c r="O213" s="180">
        <v>13530</v>
      </c>
      <c r="P213" s="180">
        <v>269350</v>
      </c>
      <c r="Q213" s="180">
        <v>0</v>
      </c>
      <c r="R213" s="180">
        <f t="shared" si="32"/>
        <v>269400</v>
      </c>
      <c r="S213" s="182">
        <f ca="1">U213-SUM($P$20:P213)/86400/(24+$C$12)*24</f>
        <v>78.4200984574992</v>
      </c>
      <c r="T213" s="179">
        <f t="shared" ref="T213:T276" si="40">MAX(R213-30*60,0)</f>
        <v>267600</v>
      </c>
      <c r="U213" s="179">
        <f ca="1" t="shared" si="36"/>
        <v>301</v>
      </c>
      <c r="W213" s="183">
        <v>194</v>
      </c>
      <c r="X213" s="183">
        <f ca="1" t="shared" si="37"/>
        <v>4042.49999999997</v>
      </c>
      <c r="Y213" s="183">
        <f ca="1">OFFSET(产销汇总!$C$1,MATCH("体力消耗",产销汇总!$C$2:$C$8,0),$C$18)/10*5*W213</f>
        <v>40740</v>
      </c>
      <c r="Z213" s="183">
        <f t="shared" ref="Z213:Z276" si="41">$Z$20*W213</f>
        <v>0</v>
      </c>
      <c r="AA213" s="183">
        <f ca="1" t="shared" si="38"/>
        <v>44782.5</v>
      </c>
    </row>
    <row r="214" ht="18" spans="1:27">
      <c r="A214" s="171"/>
      <c r="B214" s="80">
        <v>195</v>
      </c>
      <c r="C214" s="80">
        <f ca="1">OFFSET(产销汇总!$C$12,$B214,$C$18)</f>
        <v>145.099999999999</v>
      </c>
      <c r="D214" s="80">
        <f ca="1" t="shared" si="33"/>
        <v>700.499999999995</v>
      </c>
      <c r="E214" s="80">
        <f ca="1">OFFSET(产销汇总!$C$1,MATCH(E$19,产销汇总!$C$2:$C$9,0),$C$18)*2</f>
        <v>12</v>
      </c>
      <c r="F214" s="80">
        <f t="shared" ref="F214:F277" si="42">INT(13+10/7)*1.5</f>
        <v>21</v>
      </c>
      <c r="G214" s="80">
        <f t="shared" si="39"/>
        <v>0</v>
      </c>
      <c r="H214" s="80">
        <f t="shared" si="34"/>
        <v>6.4</v>
      </c>
      <c r="K214" s="132">
        <f t="shared" si="35"/>
        <v>269700</v>
      </c>
      <c r="L214" s="184">
        <v>195</v>
      </c>
      <c r="M214" s="180">
        <f>SUM($N$20:N214)</f>
        <v>86268</v>
      </c>
      <c r="N214" s="180">
        <v>925</v>
      </c>
      <c r="O214" s="180">
        <v>13600</v>
      </c>
      <c r="P214" s="180">
        <v>269410</v>
      </c>
      <c r="Q214" s="180">
        <v>0</v>
      </c>
      <c r="R214" s="180">
        <f t="shared" si="32"/>
        <v>269700</v>
      </c>
      <c r="S214" s="182">
        <f ca="1">U214-SUM($P$20:P214)/86400/(24+$C$12)*24</f>
        <v>76.0622820260365</v>
      </c>
      <c r="T214" s="179">
        <f t="shared" si="40"/>
        <v>267900</v>
      </c>
      <c r="U214" s="179">
        <f ca="1" t="shared" si="36"/>
        <v>301</v>
      </c>
      <c r="W214" s="183">
        <v>195</v>
      </c>
      <c r="X214" s="183">
        <f ca="1" t="shared" si="37"/>
        <v>4052.99999999997</v>
      </c>
      <c r="Y214" s="183">
        <f ca="1">OFFSET(产销汇总!$C$1,MATCH("体力消耗",产销汇总!$C$2:$C$8,0),$C$18)/10*5*W214</f>
        <v>40950</v>
      </c>
      <c r="Z214" s="183">
        <f t="shared" si="41"/>
        <v>0</v>
      </c>
      <c r="AA214" s="183">
        <f ca="1" t="shared" si="38"/>
        <v>45003</v>
      </c>
    </row>
    <row r="215" ht="18" spans="1:27">
      <c r="A215" s="171"/>
      <c r="B215" s="80">
        <v>196</v>
      </c>
      <c r="C215" s="80">
        <f ca="1">OFFSET(产销汇总!$C$12,$B215,$C$18)</f>
        <v>145.449999999999</v>
      </c>
      <c r="D215" s="80">
        <f ca="1" t="shared" si="33"/>
        <v>702.249999999995</v>
      </c>
      <c r="E215" s="80">
        <f ca="1">OFFSET(产销汇总!$C$1,MATCH(E$19,产销汇总!$C$2:$C$9,0),$C$18)*2</f>
        <v>12</v>
      </c>
      <c r="F215" s="80">
        <f t="shared" si="42"/>
        <v>21</v>
      </c>
      <c r="G215" s="80">
        <f t="shared" si="39"/>
        <v>0</v>
      </c>
      <c r="H215" s="80">
        <f t="shared" si="34"/>
        <v>6.4</v>
      </c>
      <c r="K215" s="132">
        <f t="shared" si="35"/>
        <v>269700</v>
      </c>
      <c r="L215" s="184">
        <v>196</v>
      </c>
      <c r="M215" s="180">
        <f>SUM($N$20:N215)</f>
        <v>87198</v>
      </c>
      <c r="N215" s="180">
        <v>930</v>
      </c>
      <c r="O215" s="180">
        <v>13670</v>
      </c>
      <c r="P215" s="180">
        <v>269471</v>
      </c>
      <c r="Q215" s="180">
        <v>0</v>
      </c>
      <c r="R215" s="180">
        <f t="shared" si="32"/>
        <v>269700</v>
      </c>
      <c r="S215" s="182">
        <f ca="1">U215-SUM($P$20:P215)/86400/(24+$C$12)*24</f>
        <v>73.7039317361339</v>
      </c>
      <c r="T215" s="179">
        <f t="shared" si="40"/>
        <v>267900</v>
      </c>
      <c r="U215" s="179">
        <f ca="1" t="shared" si="36"/>
        <v>301</v>
      </c>
      <c r="W215" s="183">
        <v>196</v>
      </c>
      <c r="X215" s="183">
        <f ca="1" t="shared" si="37"/>
        <v>4063.49999999997</v>
      </c>
      <c r="Y215" s="183">
        <f ca="1">OFFSET(产销汇总!$C$1,MATCH("体力消耗",产销汇总!$C$2:$C$8,0),$C$18)/10*5*W215</f>
        <v>41160</v>
      </c>
      <c r="Z215" s="183">
        <f t="shared" si="41"/>
        <v>0</v>
      </c>
      <c r="AA215" s="183">
        <f ca="1" t="shared" si="38"/>
        <v>45223.5</v>
      </c>
    </row>
    <row r="216" ht="18" spans="1:27">
      <c r="A216" s="171"/>
      <c r="B216" s="80">
        <v>197</v>
      </c>
      <c r="C216" s="80">
        <f ca="1">OFFSET(产销汇总!$C$12,$B216,$C$18)</f>
        <v>145.799999999999</v>
      </c>
      <c r="D216" s="80">
        <f ca="1" t="shared" si="33"/>
        <v>703.999999999995</v>
      </c>
      <c r="E216" s="80">
        <f ca="1">OFFSET(产销汇总!$C$1,MATCH(E$19,产销汇总!$C$2:$C$9,0),$C$18)*2</f>
        <v>12</v>
      </c>
      <c r="F216" s="80">
        <f t="shared" si="42"/>
        <v>21</v>
      </c>
      <c r="G216" s="80">
        <f t="shared" si="39"/>
        <v>0</v>
      </c>
      <c r="H216" s="80">
        <f t="shared" si="34"/>
        <v>6.4</v>
      </c>
      <c r="K216" s="132">
        <f t="shared" si="35"/>
        <v>269700</v>
      </c>
      <c r="L216" s="184">
        <v>197</v>
      </c>
      <c r="M216" s="180">
        <f>SUM($N$20:N216)</f>
        <v>88133</v>
      </c>
      <c r="N216" s="180">
        <v>935</v>
      </c>
      <c r="O216" s="180">
        <v>13740</v>
      </c>
      <c r="P216" s="180">
        <v>269531</v>
      </c>
      <c r="Q216" s="180">
        <v>0</v>
      </c>
      <c r="R216" s="180">
        <f t="shared" si="32"/>
        <v>269700</v>
      </c>
      <c r="S216" s="182">
        <f ca="1">U216-SUM($P$20:P216)/86400/(24+$C$12)*24</f>
        <v>71.345056339569</v>
      </c>
      <c r="T216" s="179">
        <f t="shared" si="40"/>
        <v>267900</v>
      </c>
      <c r="U216" s="179">
        <f ca="1" t="shared" si="36"/>
        <v>301</v>
      </c>
      <c r="W216" s="183">
        <v>197</v>
      </c>
      <c r="X216" s="183">
        <f ca="1" t="shared" si="37"/>
        <v>4073.99999999997</v>
      </c>
      <c r="Y216" s="183">
        <f ca="1">OFFSET(产销汇总!$C$1,MATCH("体力消耗",产销汇总!$C$2:$C$8,0),$C$18)/10*5*W216</f>
        <v>41370</v>
      </c>
      <c r="Z216" s="183">
        <f t="shared" si="41"/>
        <v>0</v>
      </c>
      <c r="AA216" s="183">
        <f ca="1" t="shared" si="38"/>
        <v>45444</v>
      </c>
    </row>
    <row r="217" ht="18" spans="1:27">
      <c r="A217" s="171"/>
      <c r="B217" s="80">
        <v>198</v>
      </c>
      <c r="C217" s="80">
        <f ca="1">OFFSET(产销汇总!$C$12,$B217,$C$18)</f>
        <v>146.149999999999</v>
      </c>
      <c r="D217" s="80">
        <f ca="1" t="shared" si="33"/>
        <v>705.749999999995</v>
      </c>
      <c r="E217" s="80">
        <f ca="1">OFFSET(产销汇总!$C$1,MATCH(E$19,产销汇总!$C$2:$C$9,0),$C$18)*2</f>
        <v>12</v>
      </c>
      <c r="F217" s="80">
        <f t="shared" si="42"/>
        <v>21</v>
      </c>
      <c r="G217" s="80">
        <f t="shared" si="39"/>
        <v>0</v>
      </c>
      <c r="H217" s="80">
        <f t="shared" si="34"/>
        <v>6.4</v>
      </c>
      <c r="K217" s="132">
        <f t="shared" si="35"/>
        <v>269700</v>
      </c>
      <c r="L217" s="184">
        <v>198</v>
      </c>
      <c r="M217" s="180">
        <f>SUM($N$20:N217)</f>
        <v>89073</v>
      </c>
      <c r="N217" s="180">
        <v>940</v>
      </c>
      <c r="O217" s="180">
        <v>13810</v>
      </c>
      <c r="P217" s="180">
        <v>269592</v>
      </c>
      <c r="Q217" s="180">
        <v>0</v>
      </c>
      <c r="R217" s="180">
        <f t="shared" si="32"/>
        <v>269700</v>
      </c>
      <c r="S217" s="182">
        <f ca="1">U217-SUM($P$20:P217)/86400/(24+$C$12)*24</f>
        <v>68.9856470845641</v>
      </c>
      <c r="T217" s="179">
        <f t="shared" si="40"/>
        <v>267900</v>
      </c>
      <c r="U217" s="179">
        <f ca="1" t="shared" si="36"/>
        <v>301</v>
      </c>
      <c r="W217" s="183">
        <v>198</v>
      </c>
      <c r="X217" s="183">
        <f ca="1" t="shared" si="37"/>
        <v>4084.49999999997</v>
      </c>
      <c r="Y217" s="183">
        <f ca="1">OFFSET(产销汇总!$C$1,MATCH("体力消耗",产销汇总!$C$2:$C$8,0),$C$18)/10*5*W217</f>
        <v>41580</v>
      </c>
      <c r="Z217" s="183">
        <f t="shared" si="41"/>
        <v>0</v>
      </c>
      <c r="AA217" s="183">
        <f ca="1" t="shared" si="38"/>
        <v>45664.5</v>
      </c>
    </row>
    <row r="218" ht="18" spans="1:27">
      <c r="A218" s="171"/>
      <c r="B218" s="80">
        <v>199</v>
      </c>
      <c r="C218" s="80">
        <f ca="1">OFFSET(产销汇总!$C$12,$B218,$C$18)</f>
        <v>146.499999999999</v>
      </c>
      <c r="D218" s="80">
        <f ca="1" t="shared" si="33"/>
        <v>707.499999999995</v>
      </c>
      <c r="E218" s="80">
        <f ca="1">OFFSET(产销汇总!$C$1,MATCH(E$19,产销汇总!$C$2:$C$9,0),$C$18)*2</f>
        <v>12</v>
      </c>
      <c r="F218" s="80">
        <f t="shared" si="42"/>
        <v>21</v>
      </c>
      <c r="G218" s="80">
        <f t="shared" si="39"/>
        <v>0</v>
      </c>
      <c r="H218" s="80">
        <f t="shared" si="34"/>
        <v>6.4</v>
      </c>
      <c r="K218" s="132">
        <f t="shared" si="35"/>
        <v>269700</v>
      </c>
      <c r="L218" s="184">
        <v>199</v>
      </c>
      <c r="M218" s="180">
        <f>SUM($N$20:N218)</f>
        <v>90018</v>
      </c>
      <c r="N218" s="180">
        <v>945</v>
      </c>
      <c r="O218" s="180">
        <v>13880</v>
      </c>
      <c r="P218" s="180">
        <v>269652</v>
      </c>
      <c r="Q218" s="180">
        <v>0</v>
      </c>
      <c r="R218" s="180">
        <f t="shared" si="32"/>
        <v>269700</v>
      </c>
      <c r="S218" s="182">
        <f ca="1">U218-SUM($P$20:P218)/86400/(24+$C$12)*24</f>
        <v>66.6257127228968</v>
      </c>
      <c r="T218" s="179">
        <f t="shared" si="40"/>
        <v>267900</v>
      </c>
      <c r="U218" s="179">
        <f ca="1" t="shared" si="36"/>
        <v>301</v>
      </c>
      <c r="W218" s="183">
        <v>199</v>
      </c>
      <c r="X218" s="183">
        <f ca="1" t="shared" si="37"/>
        <v>4094.99999999997</v>
      </c>
      <c r="Y218" s="183">
        <f ca="1">OFFSET(产销汇总!$C$1,MATCH("体力消耗",产销汇总!$C$2:$C$8,0),$C$18)/10*5*W218</f>
        <v>41790</v>
      </c>
      <c r="Z218" s="183">
        <f t="shared" si="41"/>
        <v>0</v>
      </c>
      <c r="AA218" s="183">
        <f ca="1" t="shared" si="38"/>
        <v>45885</v>
      </c>
    </row>
    <row r="219" ht="18" spans="1:27">
      <c r="A219" s="171"/>
      <c r="B219" s="80">
        <v>200</v>
      </c>
      <c r="C219" s="80">
        <f ca="1">OFFSET(产销汇总!$C$12,$B219,$C$18)</f>
        <v>146.849999999999</v>
      </c>
      <c r="D219" s="80">
        <f ca="1" t="shared" si="33"/>
        <v>709.249999999995</v>
      </c>
      <c r="E219" s="80">
        <f ca="1">OFFSET(产销汇总!$C$1,MATCH(E$19,产销汇总!$C$2:$C$9,0),$C$18)*2</f>
        <v>12</v>
      </c>
      <c r="F219" s="80">
        <f t="shared" si="42"/>
        <v>21</v>
      </c>
      <c r="G219" s="80">
        <f t="shared" si="39"/>
        <v>0</v>
      </c>
      <c r="H219" s="80">
        <f t="shared" si="34"/>
        <v>6.4</v>
      </c>
      <c r="K219" s="132">
        <f t="shared" si="35"/>
        <v>270000</v>
      </c>
      <c r="L219" s="184">
        <v>200</v>
      </c>
      <c r="M219" s="180">
        <f>SUM($N$20:N219)</f>
        <v>90968</v>
      </c>
      <c r="N219" s="180">
        <v>950</v>
      </c>
      <c r="O219" s="180">
        <v>13950</v>
      </c>
      <c r="P219" s="180">
        <v>269713</v>
      </c>
      <c r="Q219" s="180">
        <v>0</v>
      </c>
      <c r="R219" s="180">
        <f t="shared" ref="R219:R282" si="43">CEILING(P219*(1-Q219),300)</f>
        <v>270000</v>
      </c>
      <c r="S219" s="182">
        <f ca="1">U219-SUM($P$20:P219)/86400/(24+$C$12)*24</f>
        <v>64.2652445027896</v>
      </c>
      <c r="T219" s="179">
        <f t="shared" si="40"/>
        <v>268200</v>
      </c>
      <c r="U219" s="179">
        <f ca="1" t="shared" si="36"/>
        <v>301</v>
      </c>
      <c r="W219" s="183">
        <v>200</v>
      </c>
      <c r="X219" s="183">
        <f ca="1" t="shared" si="37"/>
        <v>4105.49999999997</v>
      </c>
      <c r="Y219" s="183">
        <f ca="1">OFFSET(产销汇总!$C$1,MATCH("体力消耗",产销汇总!$C$2:$C$8,0),$C$18)/10*5*W219</f>
        <v>42000</v>
      </c>
      <c r="Z219" s="183">
        <f t="shared" si="41"/>
        <v>0</v>
      </c>
      <c r="AA219" s="183">
        <f ca="1" t="shared" si="38"/>
        <v>46105.5</v>
      </c>
    </row>
    <row r="220" ht="18" spans="1:27">
      <c r="A220" s="171"/>
      <c r="B220" s="80">
        <v>201</v>
      </c>
      <c r="C220" s="80">
        <f ca="1">OFFSET(产销汇总!$C$12,$B220,$C$18)</f>
        <v>147.199999999999</v>
      </c>
      <c r="D220" s="80">
        <f ca="1" t="shared" si="33"/>
        <v>710.999999999995</v>
      </c>
      <c r="E220" s="80">
        <f ca="1">OFFSET(产销汇总!$C$1,MATCH(E$19,产销汇总!$C$2:$C$9,0),$C$18)*2</f>
        <v>12</v>
      </c>
      <c r="F220" s="80">
        <f t="shared" si="42"/>
        <v>21</v>
      </c>
      <c r="G220" s="80">
        <f t="shared" si="39"/>
        <v>0</v>
      </c>
      <c r="H220" s="80">
        <f t="shared" si="34"/>
        <v>6.4</v>
      </c>
      <c r="K220" s="132">
        <f t="shared" si="35"/>
        <v>270000</v>
      </c>
      <c r="L220" s="184">
        <v>201</v>
      </c>
      <c r="M220" s="180">
        <f>SUM($N$20:N220)</f>
        <v>91923</v>
      </c>
      <c r="N220" s="180">
        <v>955</v>
      </c>
      <c r="O220" s="180">
        <v>14020</v>
      </c>
      <c r="P220" s="180">
        <v>269773</v>
      </c>
      <c r="Q220" s="180">
        <v>0</v>
      </c>
      <c r="R220" s="180">
        <f t="shared" si="43"/>
        <v>270000</v>
      </c>
      <c r="S220" s="182">
        <f ca="1">U220-SUM($P$20:P220)/86400/(24+$C$12)*24</f>
        <v>61.9042511760201</v>
      </c>
      <c r="T220" s="179">
        <f t="shared" si="40"/>
        <v>268200</v>
      </c>
      <c r="U220" s="179">
        <f ca="1" t="shared" si="36"/>
        <v>301</v>
      </c>
      <c r="W220" s="183">
        <v>201</v>
      </c>
      <c r="X220" s="183">
        <f ca="1" t="shared" si="37"/>
        <v>4115.99999999997</v>
      </c>
      <c r="Y220" s="183">
        <f ca="1">OFFSET(产销汇总!$C$1,MATCH("体力消耗",产销汇总!$C$2:$C$8,0),$C$18)/10*5*W220</f>
        <v>42210</v>
      </c>
      <c r="Z220" s="183">
        <f t="shared" si="41"/>
        <v>0</v>
      </c>
      <c r="AA220" s="183">
        <f ca="1" t="shared" si="38"/>
        <v>46326</v>
      </c>
    </row>
    <row r="221" ht="18" spans="1:27">
      <c r="A221" s="171"/>
      <c r="B221" s="80">
        <v>202</v>
      </c>
      <c r="C221" s="80">
        <f ca="1">OFFSET(产销汇总!$C$12,$B221,$C$18)</f>
        <v>147.549999999999</v>
      </c>
      <c r="D221" s="80">
        <f ca="1" t="shared" si="33"/>
        <v>712.749999999995</v>
      </c>
      <c r="E221" s="80">
        <f ca="1">OFFSET(产销汇总!$C$1,MATCH(E$19,产销汇总!$C$2:$C$9,0),$C$18)*2</f>
        <v>12</v>
      </c>
      <c r="F221" s="80">
        <f t="shared" si="42"/>
        <v>21</v>
      </c>
      <c r="G221" s="80">
        <f t="shared" si="39"/>
        <v>0</v>
      </c>
      <c r="H221" s="80">
        <f t="shared" si="34"/>
        <v>6.4</v>
      </c>
      <c r="K221" s="132">
        <f t="shared" si="35"/>
        <v>270000</v>
      </c>
      <c r="L221" s="184">
        <v>202</v>
      </c>
      <c r="M221" s="180">
        <f>SUM($N$20:N221)</f>
        <v>92883</v>
      </c>
      <c r="N221" s="180">
        <v>960</v>
      </c>
      <c r="O221" s="180">
        <v>14090</v>
      </c>
      <c r="P221" s="180">
        <v>269834</v>
      </c>
      <c r="Q221" s="180">
        <v>0</v>
      </c>
      <c r="R221" s="180">
        <f t="shared" si="43"/>
        <v>270000</v>
      </c>
      <c r="S221" s="182">
        <f ca="1">U221-SUM($P$20:P221)/86400/(24+$C$12)*24</f>
        <v>59.5427239908106</v>
      </c>
      <c r="T221" s="179">
        <f t="shared" si="40"/>
        <v>268200</v>
      </c>
      <c r="U221" s="179">
        <f ca="1" t="shared" si="36"/>
        <v>301</v>
      </c>
      <c r="W221" s="183">
        <v>202</v>
      </c>
      <c r="X221" s="183">
        <f ca="1" t="shared" si="37"/>
        <v>4126.49999999997</v>
      </c>
      <c r="Y221" s="183">
        <f ca="1">OFFSET(产销汇总!$C$1,MATCH("体力消耗",产销汇总!$C$2:$C$8,0),$C$18)/10*5*W221</f>
        <v>42420</v>
      </c>
      <c r="Z221" s="183">
        <f t="shared" si="41"/>
        <v>0</v>
      </c>
      <c r="AA221" s="183">
        <f ca="1" t="shared" si="38"/>
        <v>46546.5</v>
      </c>
    </row>
    <row r="222" ht="18" spans="1:27">
      <c r="A222" s="171"/>
      <c r="B222" s="80">
        <v>203</v>
      </c>
      <c r="C222" s="80">
        <f ca="1">OFFSET(产销汇总!$C$12,$B222,$C$18)</f>
        <v>147.899999999999</v>
      </c>
      <c r="D222" s="80">
        <f ca="1" t="shared" si="33"/>
        <v>714.499999999995</v>
      </c>
      <c r="E222" s="80">
        <f ca="1">OFFSET(产销汇总!$C$1,MATCH(E$19,产销汇总!$C$2:$C$9,0),$C$18)*2</f>
        <v>12</v>
      </c>
      <c r="F222" s="80">
        <f t="shared" si="42"/>
        <v>21</v>
      </c>
      <c r="G222" s="80">
        <f t="shared" si="39"/>
        <v>0</v>
      </c>
      <c r="H222" s="80">
        <f t="shared" si="34"/>
        <v>6.4</v>
      </c>
      <c r="K222" s="132">
        <f t="shared" si="35"/>
        <v>270000</v>
      </c>
      <c r="L222" s="184">
        <v>203</v>
      </c>
      <c r="M222" s="180">
        <f>SUM($N$20:N222)</f>
        <v>93848</v>
      </c>
      <c r="N222" s="180">
        <v>965</v>
      </c>
      <c r="O222" s="180">
        <v>14160</v>
      </c>
      <c r="P222" s="180">
        <v>269894</v>
      </c>
      <c r="Q222" s="180">
        <v>0</v>
      </c>
      <c r="R222" s="180">
        <f t="shared" si="43"/>
        <v>270000</v>
      </c>
      <c r="S222" s="182">
        <f ca="1">U222-SUM($P$20:P222)/86400/(24+$C$12)*24</f>
        <v>57.1806716989389</v>
      </c>
      <c r="T222" s="179">
        <f t="shared" si="40"/>
        <v>268200</v>
      </c>
      <c r="U222" s="179">
        <f ca="1" t="shared" si="36"/>
        <v>301</v>
      </c>
      <c r="W222" s="183">
        <v>203</v>
      </c>
      <c r="X222" s="183">
        <f ca="1" t="shared" si="37"/>
        <v>4136.99999999997</v>
      </c>
      <c r="Y222" s="183">
        <f ca="1">OFFSET(产销汇总!$C$1,MATCH("体力消耗",产销汇总!$C$2:$C$8,0),$C$18)/10*5*W222</f>
        <v>42630</v>
      </c>
      <c r="Z222" s="183">
        <f t="shared" si="41"/>
        <v>0</v>
      </c>
      <c r="AA222" s="183">
        <f ca="1" t="shared" si="38"/>
        <v>46767</v>
      </c>
    </row>
    <row r="223" ht="18" spans="1:27">
      <c r="A223" s="171"/>
      <c r="B223" s="80">
        <v>204</v>
      </c>
      <c r="C223" s="80">
        <f ca="1">OFFSET(产销汇总!$C$12,$B223,$C$18)</f>
        <v>148.249999999999</v>
      </c>
      <c r="D223" s="80">
        <f ca="1" t="shared" si="33"/>
        <v>716.249999999995</v>
      </c>
      <c r="E223" s="80">
        <f ca="1">OFFSET(产销汇总!$C$1,MATCH(E$19,产销汇总!$C$2:$C$9,0),$C$18)*2</f>
        <v>12</v>
      </c>
      <c r="F223" s="80">
        <f t="shared" si="42"/>
        <v>21</v>
      </c>
      <c r="G223" s="80">
        <f t="shared" si="39"/>
        <v>0</v>
      </c>
      <c r="H223" s="80">
        <f t="shared" si="34"/>
        <v>6.4</v>
      </c>
      <c r="K223" s="132">
        <f t="shared" si="35"/>
        <v>270000</v>
      </c>
      <c r="L223" s="184">
        <v>204</v>
      </c>
      <c r="M223" s="180">
        <f>SUM($N$20:N223)</f>
        <v>94818</v>
      </c>
      <c r="N223" s="180">
        <v>970</v>
      </c>
      <c r="O223" s="180">
        <v>14230</v>
      </c>
      <c r="P223" s="180">
        <v>269955</v>
      </c>
      <c r="Q223" s="180">
        <v>0</v>
      </c>
      <c r="R223" s="180">
        <f t="shared" si="43"/>
        <v>270000</v>
      </c>
      <c r="S223" s="182">
        <f ca="1">U223-SUM($P$20:P223)/86400/(24+$C$12)*24</f>
        <v>54.818085548627</v>
      </c>
      <c r="T223" s="179">
        <f t="shared" si="40"/>
        <v>268200</v>
      </c>
      <c r="U223" s="179">
        <f ca="1" t="shared" si="36"/>
        <v>301</v>
      </c>
      <c r="W223" s="183">
        <v>204</v>
      </c>
      <c r="X223" s="183">
        <f ca="1" t="shared" si="37"/>
        <v>4147.49999999997</v>
      </c>
      <c r="Y223" s="183">
        <f ca="1">OFFSET(产销汇总!$C$1,MATCH("体力消耗",产销汇总!$C$2:$C$8,0),$C$18)/10*5*W223</f>
        <v>42840</v>
      </c>
      <c r="Z223" s="183">
        <f t="shared" si="41"/>
        <v>0</v>
      </c>
      <c r="AA223" s="183">
        <f ca="1" t="shared" si="38"/>
        <v>46987.5</v>
      </c>
    </row>
    <row r="224" ht="18" spans="1:27">
      <c r="A224" s="171"/>
      <c r="B224" s="80">
        <v>205</v>
      </c>
      <c r="C224" s="80">
        <f ca="1">OFFSET(产销汇总!$C$12,$B224,$C$18)</f>
        <v>148.599999999999</v>
      </c>
      <c r="D224" s="80">
        <f ca="1" t="shared" si="33"/>
        <v>717.999999999995</v>
      </c>
      <c r="E224" s="80">
        <f ca="1">OFFSET(产销汇总!$C$1,MATCH(E$19,产销汇总!$C$2:$C$9,0),$C$18)*2</f>
        <v>12</v>
      </c>
      <c r="F224" s="80">
        <f t="shared" si="42"/>
        <v>21</v>
      </c>
      <c r="G224" s="80">
        <f t="shared" si="39"/>
        <v>0</v>
      </c>
      <c r="H224" s="80">
        <f t="shared" si="34"/>
        <v>6.4</v>
      </c>
      <c r="K224" s="132">
        <f t="shared" si="35"/>
        <v>270300</v>
      </c>
      <c r="L224" s="184">
        <v>205</v>
      </c>
      <c r="M224" s="180">
        <f>SUM($N$20:N224)</f>
        <v>95793</v>
      </c>
      <c r="N224" s="180">
        <v>975</v>
      </c>
      <c r="O224" s="180">
        <v>14300</v>
      </c>
      <c r="P224" s="180">
        <v>270015</v>
      </c>
      <c r="Q224" s="180">
        <v>0</v>
      </c>
      <c r="R224" s="180">
        <f t="shared" si="43"/>
        <v>270300</v>
      </c>
      <c r="S224" s="182">
        <f ca="1">U224-SUM($P$20:P224)/86400/(24+$C$12)*24</f>
        <v>52.454974291653</v>
      </c>
      <c r="T224" s="179">
        <f t="shared" si="40"/>
        <v>268500</v>
      </c>
      <c r="U224" s="179">
        <f ca="1" t="shared" si="36"/>
        <v>301</v>
      </c>
      <c r="W224" s="183">
        <v>205</v>
      </c>
      <c r="X224" s="183">
        <f ca="1" t="shared" si="37"/>
        <v>4157.99999999997</v>
      </c>
      <c r="Y224" s="183">
        <f ca="1">OFFSET(产销汇总!$C$1,MATCH("体力消耗",产销汇总!$C$2:$C$8,0),$C$18)/10*5*W224</f>
        <v>43050</v>
      </c>
      <c r="Z224" s="183">
        <f t="shared" si="41"/>
        <v>0</v>
      </c>
      <c r="AA224" s="183">
        <f ca="1" t="shared" si="38"/>
        <v>47208</v>
      </c>
    </row>
    <row r="225" ht="18" spans="1:27">
      <c r="A225" s="171"/>
      <c r="B225" s="80">
        <v>206</v>
      </c>
      <c r="C225" s="80">
        <f ca="1">OFFSET(产销汇总!$C$12,$B225,$C$18)</f>
        <v>148.949999999999</v>
      </c>
      <c r="D225" s="80">
        <f ca="1" t="shared" si="33"/>
        <v>719.749999999995</v>
      </c>
      <c r="E225" s="80">
        <f ca="1">OFFSET(产销汇总!$C$1,MATCH(E$19,产销汇总!$C$2:$C$9,0),$C$18)*2</f>
        <v>12</v>
      </c>
      <c r="F225" s="80">
        <f t="shared" si="42"/>
        <v>21</v>
      </c>
      <c r="G225" s="80">
        <f t="shared" si="39"/>
        <v>0</v>
      </c>
      <c r="H225" s="80">
        <f t="shared" si="34"/>
        <v>6.4</v>
      </c>
      <c r="K225" s="132">
        <f t="shared" si="35"/>
        <v>270300</v>
      </c>
      <c r="L225" s="184">
        <v>206</v>
      </c>
      <c r="M225" s="180">
        <f>SUM($N$20:N225)</f>
        <v>96773</v>
      </c>
      <c r="N225" s="180">
        <v>980</v>
      </c>
      <c r="O225" s="180">
        <v>14370</v>
      </c>
      <c r="P225" s="180">
        <v>270076</v>
      </c>
      <c r="Q225" s="180">
        <v>0</v>
      </c>
      <c r="R225" s="180">
        <f t="shared" si="43"/>
        <v>270300</v>
      </c>
      <c r="S225" s="182">
        <f ca="1">U225-SUM($P$20:P225)/86400/(24+$C$12)*24</f>
        <v>50.0913291762389</v>
      </c>
      <c r="T225" s="179">
        <f t="shared" si="40"/>
        <v>268500</v>
      </c>
      <c r="U225" s="179">
        <f ca="1" t="shared" si="36"/>
        <v>301</v>
      </c>
      <c r="W225" s="183">
        <v>206</v>
      </c>
      <c r="X225" s="183">
        <f ca="1" t="shared" si="37"/>
        <v>4168.49999999997</v>
      </c>
      <c r="Y225" s="183">
        <f ca="1">OFFSET(产销汇总!$C$1,MATCH("体力消耗",产销汇总!$C$2:$C$8,0),$C$18)/10*5*W225</f>
        <v>43260</v>
      </c>
      <c r="Z225" s="183">
        <f t="shared" si="41"/>
        <v>0</v>
      </c>
      <c r="AA225" s="183">
        <f ca="1" t="shared" si="38"/>
        <v>47428.5</v>
      </c>
    </row>
    <row r="226" ht="18" spans="1:27">
      <c r="A226" s="171"/>
      <c r="B226" s="80">
        <v>207</v>
      </c>
      <c r="C226" s="80">
        <f ca="1">OFFSET(产销汇总!$C$12,$B226,$C$18)</f>
        <v>149.299999999999</v>
      </c>
      <c r="D226" s="80">
        <f ca="1" t="shared" si="33"/>
        <v>721.499999999995</v>
      </c>
      <c r="E226" s="80">
        <f ca="1">OFFSET(产销汇总!$C$1,MATCH(E$19,产销汇总!$C$2:$C$9,0),$C$18)*2</f>
        <v>12</v>
      </c>
      <c r="F226" s="80">
        <f t="shared" si="42"/>
        <v>21</v>
      </c>
      <c r="G226" s="80">
        <f t="shared" si="39"/>
        <v>0</v>
      </c>
      <c r="H226" s="80">
        <f t="shared" si="34"/>
        <v>6.4</v>
      </c>
      <c r="K226" s="132">
        <f t="shared" si="35"/>
        <v>270300</v>
      </c>
      <c r="L226" s="184">
        <v>207</v>
      </c>
      <c r="M226" s="180">
        <f>SUM($N$20:N226)</f>
        <v>97758</v>
      </c>
      <c r="N226" s="180">
        <v>985</v>
      </c>
      <c r="O226" s="180">
        <v>14440</v>
      </c>
      <c r="P226" s="180">
        <v>270136</v>
      </c>
      <c r="Q226" s="180">
        <v>0</v>
      </c>
      <c r="R226" s="180">
        <f t="shared" si="43"/>
        <v>270300</v>
      </c>
      <c r="S226" s="182">
        <f ca="1">U226-SUM($P$20:P226)/86400/(24+$C$12)*24</f>
        <v>47.7271589541625</v>
      </c>
      <c r="T226" s="179">
        <f t="shared" si="40"/>
        <v>268500</v>
      </c>
      <c r="U226" s="179">
        <f ca="1" t="shared" si="36"/>
        <v>301</v>
      </c>
      <c r="W226" s="183">
        <v>207</v>
      </c>
      <c r="X226" s="183">
        <f ca="1" t="shared" si="37"/>
        <v>4178.99999999997</v>
      </c>
      <c r="Y226" s="183">
        <f ca="1">OFFSET(产销汇总!$C$1,MATCH("体力消耗",产销汇总!$C$2:$C$8,0),$C$18)/10*5*W226</f>
        <v>43470</v>
      </c>
      <c r="Z226" s="183">
        <f t="shared" si="41"/>
        <v>0</v>
      </c>
      <c r="AA226" s="183">
        <f ca="1" t="shared" si="38"/>
        <v>47649</v>
      </c>
    </row>
    <row r="227" ht="18" spans="1:27">
      <c r="A227" s="171"/>
      <c r="B227" s="80">
        <v>208</v>
      </c>
      <c r="C227" s="80">
        <f ca="1">OFFSET(产销汇总!$C$12,$B227,$C$18)</f>
        <v>149.649999999999</v>
      </c>
      <c r="D227" s="80">
        <f ca="1" t="shared" si="33"/>
        <v>723.249999999995</v>
      </c>
      <c r="E227" s="80">
        <f ca="1">OFFSET(产销汇总!$C$1,MATCH(E$19,产销汇总!$C$2:$C$9,0),$C$18)*2</f>
        <v>12</v>
      </c>
      <c r="F227" s="80">
        <f t="shared" si="42"/>
        <v>21</v>
      </c>
      <c r="G227" s="80">
        <f t="shared" si="39"/>
        <v>0</v>
      </c>
      <c r="H227" s="80">
        <f t="shared" si="34"/>
        <v>6.4</v>
      </c>
      <c r="K227" s="132">
        <f t="shared" si="35"/>
        <v>270300</v>
      </c>
      <c r="L227" s="184">
        <v>208</v>
      </c>
      <c r="M227" s="180">
        <f>SUM($N$20:N227)</f>
        <v>98748</v>
      </c>
      <c r="N227" s="180">
        <v>990</v>
      </c>
      <c r="O227" s="180">
        <v>14510</v>
      </c>
      <c r="P227" s="180">
        <v>270197</v>
      </c>
      <c r="Q227" s="180">
        <v>0</v>
      </c>
      <c r="R227" s="180">
        <f t="shared" si="43"/>
        <v>270300</v>
      </c>
      <c r="S227" s="182">
        <f ca="1">U227-SUM($P$20:P227)/86400/(24+$C$12)*24</f>
        <v>45.3624548736462</v>
      </c>
      <c r="T227" s="179">
        <f t="shared" si="40"/>
        <v>268500</v>
      </c>
      <c r="U227" s="179">
        <f ca="1" t="shared" si="36"/>
        <v>301</v>
      </c>
      <c r="W227" s="183">
        <v>208</v>
      </c>
      <c r="X227" s="183">
        <f ca="1" t="shared" si="37"/>
        <v>4189.49999999997</v>
      </c>
      <c r="Y227" s="183">
        <f ca="1">OFFSET(产销汇总!$C$1,MATCH("体力消耗",产销汇总!$C$2:$C$8,0),$C$18)/10*5*W227</f>
        <v>43680</v>
      </c>
      <c r="Z227" s="183">
        <f t="shared" si="41"/>
        <v>0</v>
      </c>
      <c r="AA227" s="183">
        <f ca="1" t="shared" si="38"/>
        <v>47869.5</v>
      </c>
    </row>
    <row r="228" ht="18" spans="1:27">
      <c r="A228" s="171"/>
      <c r="B228" s="80">
        <v>209</v>
      </c>
      <c r="C228" s="80">
        <f ca="1">OFFSET(产销汇总!$C$12,$B228,$C$18)</f>
        <v>149.999999999999</v>
      </c>
      <c r="D228" s="80">
        <f ca="1" t="shared" si="33"/>
        <v>724.999999999995</v>
      </c>
      <c r="E228" s="80">
        <f ca="1">OFFSET(产销汇总!$C$1,MATCH(E$19,产销汇总!$C$2:$C$9,0),$C$18)*2</f>
        <v>12</v>
      </c>
      <c r="F228" s="80">
        <f t="shared" si="42"/>
        <v>21</v>
      </c>
      <c r="G228" s="80">
        <f t="shared" si="39"/>
        <v>0</v>
      </c>
      <c r="H228" s="80">
        <f t="shared" si="34"/>
        <v>6.4</v>
      </c>
      <c r="K228" s="132">
        <f t="shared" si="35"/>
        <v>270300</v>
      </c>
      <c r="L228" s="184">
        <v>209</v>
      </c>
      <c r="M228" s="180">
        <f>SUM($N$20:N228)</f>
        <v>99743</v>
      </c>
      <c r="N228" s="180">
        <v>995</v>
      </c>
      <c r="O228" s="180">
        <v>14580</v>
      </c>
      <c r="P228" s="180">
        <v>270257</v>
      </c>
      <c r="Q228" s="180">
        <v>0</v>
      </c>
      <c r="R228" s="180">
        <f t="shared" si="43"/>
        <v>270300</v>
      </c>
      <c r="S228" s="182">
        <f ca="1">U228-SUM($P$20:P228)/86400/(24+$C$12)*24</f>
        <v>42.9972256864676</v>
      </c>
      <c r="T228" s="179">
        <f t="shared" si="40"/>
        <v>268500</v>
      </c>
      <c r="U228" s="179">
        <f ca="1" t="shared" si="36"/>
        <v>301</v>
      </c>
      <c r="W228" s="183">
        <v>209</v>
      </c>
      <c r="X228" s="183">
        <f ca="1" t="shared" si="37"/>
        <v>4199.99999999997</v>
      </c>
      <c r="Y228" s="183">
        <f ca="1">OFFSET(产销汇总!$C$1,MATCH("体力消耗",产销汇总!$C$2:$C$8,0),$C$18)/10*5*W228</f>
        <v>43890</v>
      </c>
      <c r="Z228" s="183">
        <f t="shared" si="41"/>
        <v>0</v>
      </c>
      <c r="AA228" s="183">
        <f ca="1" t="shared" si="38"/>
        <v>48090</v>
      </c>
    </row>
    <row r="229" ht="18" spans="1:27">
      <c r="A229" s="171"/>
      <c r="B229" s="80">
        <v>210</v>
      </c>
      <c r="C229" s="80">
        <f ca="1">OFFSET(产销汇总!$C$12,$B229,$C$18)</f>
        <v>150.349999999999</v>
      </c>
      <c r="D229" s="80">
        <f ca="1" t="shared" si="33"/>
        <v>726.749999999995</v>
      </c>
      <c r="E229" s="80">
        <f ca="1">OFFSET(产销汇总!$C$1,MATCH(E$19,产销汇总!$C$2:$C$9,0),$C$18)*2</f>
        <v>12</v>
      </c>
      <c r="F229" s="80">
        <f t="shared" si="42"/>
        <v>21</v>
      </c>
      <c r="G229" s="80">
        <f t="shared" si="39"/>
        <v>0</v>
      </c>
      <c r="H229" s="80">
        <f t="shared" si="34"/>
        <v>6.4</v>
      </c>
      <c r="K229" s="132">
        <f t="shared" si="35"/>
        <v>270600</v>
      </c>
      <c r="L229" s="184">
        <v>210</v>
      </c>
      <c r="M229" s="180">
        <f>SUM($N$20:N229)</f>
        <v>100743</v>
      </c>
      <c r="N229" s="180">
        <v>1000</v>
      </c>
      <c r="O229" s="180">
        <v>14650</v>
      </c>
      <c r="P229" s="180">
        <v>270318</v>
      </c>
      <c r="Q229" s="180">
        <v>0</v>
      </c>
      <c r="R229" s="180">
        <f t="shared" si="43"/>
        <v>270600</v>
      </c>
      <c r="S229" s="182">
        <f ca="1">U229-SUM($P$20:P229)/86400/(24+$C$12)*24</f>
        <v>40.6314626408489</v>
      </c>
      <c r="T229" s="179">
        <f t="shared" si="40"/>
        <v>268800</v>
      </c>
      <c r="U229" s="179">
        <f ca="1" t="shared" si="36"/>
        <v>301</v>
      </c>
      <c r="W229" s="183">
        <v>210</v>
      </c>
      <c r="X229" s="183">
        <f ca="1" t="shared" si="37"/>
        <v>4210.49999999997</v>
      </c>
      <c r="Y229" s="183">
        <f ca="1">OFFSET(产销汇总!$C$1,MATCH("体力消耗",产销汇总!$C$2:$C$8,0),$C$18)/10*5*W229</f>
        <v>44100</v>
      </c>
      <c r="Z229" s="183">
        <f t="shared" si="41"/>
        <v>0</v>
      </c>
      <c r="AA229" s="183">
        <f ca="1" t="shared" si="38"/>
        <v>48310.5</v>
      </c>
    </row>
    <row r="230" ht="18" spans="1:27">
      <c r="A230" s="171"/>
      <c r="B230" s="80">
        <v>211</v>
      </c>
      <c r="C230" s="80">
        <f ca="1">OFFSET(产销汇总!$C$12,$B230,$C$18)</f>
        <v>150.699999999999</v>
      </c>
      <c r="D230" s="80">
        <f ca="1" t="shared" si="33"/>
        <v>728.499999999995</v>
      </c>
      <c r="E230" s="80">
        <f ca="1">OFFSET(产销汇总!$C$1,MATCH(E$19,产销汇总!$C$2:$C$9,0),$C$18)*2</f>
        <v>12</v>
      </c>
      <c r="F230" s="80">
        <f t="shared" si="42"/>
        <v>21</v>
      </c>
      <c r="G230" s="80">
        <f t="shared" si="39"/>
        <v>0</v>
      </c>
      <c r="H230" s="80">
        <f t="shared" si="34"/>
        <v>6.4</v>
      </c>
      <c r="K230" s="132">
        <f t="shared" si="35"/>
        <v>270600</v>
      </c>
      <c r="L230" s="184">
        <v>211</v>
      </c>
      <c r="M230" s="180">
        <f>SUM($N$20:N230)</f>
        <v>101748</v>
      </c>
      <c r="N230" s="180">
        <v>1005</v>
      </c>
      <c r="O230" s="180">
        <v>14720</v>
      </c>
      <c r="P230" s="180">
        <v>270378</v>
      </c>
      <c r="Q230" s="180">
        <v>0</v>
      </c>
      <c r="R230" s="180">
        <f t="shared" si="43"/>
        <v>270600</v>
      </c>
      <c r="S230" s="182">
        <f ca="1">U230-SUM($P$20:P230)/86400/(24+$C$12)*24</f>
        <v>38.265174488568</v>
      </c>
      <c r="T230" s="179">
        <f t="shared" si="40"/>
        <v>268800</v>
      </c>
      <c r="U230" s="179">
        <f ca="1" t="shared" si="36"/>
        <v>301</v>
      </c>
      <c r="W230" s="183">
        <v>211</v>
      </c>
      <c r="X230" s="183">
        <f ca="1" t="shared" si="37"/>
        <v>4220.99999999997</v>
      </c>
      <c r="Y230" s="183">
        <f ca="1">OFFSET(产销汇总!$C$1,MATCH("体力消耗",产销汇总!$C$2:$C$8,0),$C$18)/10*5*W230</f>
        <v>44310</v>
      </c>
      <c r="Z230" s="183">
        <f t="shared" si="41"/>
        <v>0</v>
      </c>
      <c r="AA230" s="183">
        <f ca="1" t="shared" si="38"/>
        <v>48531</v>
      </c>
    </row>
    <row r="231" ht="18" spans="1:27">
      <c r="A231" s="171"/>
      <c r="B231" s="80">
        <v>212</v>
      </c>
      <c r="C231" s="80">
        <f ca="1">OFFSET(产销汇总!$C$12,$B231,$C$18)</f>
        <v>151.049999999999</v>
      </c>
      <c r="D231" s="80">
        <f ca="1" t="shared" si="33"/>
        <v>730.249999999995</v>
      </c>
      <c r="E231" s="80">
        <f ca="1">OFFSET(产销汇总!$C$1,MATCH(E$19,产销汇总!$C$2:$C$9,0),$C$18)*2</f>
        <v>12</v>
      </c>
      <c r="F231" s="80">
        <f t="shared" si="42"/>
        <v>21</v>
      </c>
      <c r="G231" s="80">
        <f t="shared" si="39"/>
        <v>0</v>
      </c>
      <c r="H231" s="80">
        <f t="shared" si="34"/>
        <v>6.4</v>
      </c>
      <c r="K231" s="132">
        <f t="shared" si="35"/>
        <v>270600</v>
      </c>
      <c r="L231" s="184">
        <v>212</v>
      </c>
      <c r="M231" s="180">
        <f>SUM($N$20:N231)</f>
        <v>102758</v>
      </c>
      <c r="N231" s="180">
        <v>1010</v>
      </c>
      <c r="O231" s="180">
        <v>14790</v>
      </c>
      <c r="P231" s="180">
        <v>270439</v>
      </c>
      <c r="Q231" s="180">
        <v>0</v>
      </c>
      <c r="R231" s="180">
        <f t="shared" si="43"/>
        <v>270600</v>
      </c>
      <c r="S231" s="182">
        <f ca="1">U231-SUM($P$20:P231)/86400/(24+$C$12)*24</f>
        <v>35.8983524778471</v>
      </c>
      <c r="T231" s="179">
        <f t="shared" si="40"/>
        <v>268800</v>
      </c>
      <c r="U231" s="179">
        <f ca="1" t="shared" si="36"/>
        <v>301</v>
      </c>
      <c r="W231" s="183">
        <v>212</v>
      </c>
      <c r="X231" s="183">
        <f ca="1" t="shared" si="37"/>
        <v>4231.49999999997</v>
      </c>
      <c r="Y231" s="183">
        <f ca="1">OFFSET(产销汇总!$C$1,MATCH("体力消耗",产销汇总!$C$2:$C$8,0),$C$18)/10*5*W231</f>
        <v>44520</v>
      </c>
      <c r="Z231" s="183">
        <f t="shared" si="41"/>
        <v>0</v>
      </c>
      <c r="AA231" s="183">
        <f ca="1" t="shared" si="38"/>
        <v>48751.5</v>
      </c>
    </row>
    <row r="232" ht="18" spans="1:27">
      <c r="A232" s="171"/>
      <c r="B232" s="80">
        <v>213</v>
      </c>
      <c r="C232" s="80">
        <f ca="1">OFFSET(产销汇总!$C$12,$B232,$C$18)</f>
        <v>151.399999999999</v>
      </c>
      <c r="D232" s="80">
        <f ca="1" t="shared" si="33"/>
        <v>731.999999999995</v>
      </c>
      <c r="E232" s="80">
        <f ca="1">OFFSET(产销汇总!$C$1,MATCH(E$19,产销汇总!$C$2:$C$9,0),$C$18)*2</f>
        <v>12</v>
      </c>
      <c r="F232" s="80">
        <f t="shared" si="42"/>
        <v>21</v>
      </c>
      <c r="G232" s="80">
        <f t="shared" si="39"/>
        <v>0</v>
      </c>
      <c r="H232" s="80">
        <f t="shared" si="34"/>
        <v>6.4</v>
      </c>
      <c r="K232" s="132">
        <f t="shared" si="35"/>
        <v>270600</v>
      </c>
      <c r="L232" s="184">
        <v>213</v>
      </c>
      <c r="M232" s="180">
        <f>SUM($N$20:N232)</f>
        <v>103773</v>
      </c>
      <c r="N232" s="180">
        <v>1015</v>
      </c>
      <c r="O232" s="180">
        <v>14860</v>
      </c>
      <c r="P232" s="180">
        <v>270499</v>
      </c>
      <c r="Q232" s="180">
        <v>0</v>
      </c>
      <c r="R232" s="180">
        <f t="shared" si="43"/>
        <v>270600</v>
      </c>
      <c r="S232" s="182">
        <f ca="1">U232-SUM($P$20:P232)/86400/(24+$C$12)*24</f>
        <v>33.5310053604638</v>
      </c>
      <c r="T232" s="179">
        <f t="shared" si="40"/>
        <v>268800</v>
      </c>
      <c r="U232" s="179">
        <f ca="1" t="shared" si="36"/>
        <v>301</v>
      </c>
      <c r="W232" s="183">
        <v>213</v>
      </c>
      <c r="X232" s="183">
        <f ca="1" t="shared" si="37"/>
        <v>4241.99999999997</v>
      </c>
      <c r="Y232" s="183">
        <f ca="1">OFFSET(产销汇总!$C$1,MATCH("体力消耗",产销汇总!$C$2:$C$8,0),$C$18)/10*5*W232</f>
        <v>44730</v>
      </c>
      <c r="Z232" s="183">
        <f t="shared" si="41"/>
        <v>0</v>
      </c>
      <c r="AA232" s="183">
        <f ca="1" t="shared" si="38"/>
        <v>48972</v>
      </c>
    </row>
    <row r="233" ht="18" spans="1:27">
      <c r="A233" s="171"/>
      <c r="B233" s="80">
        <v>214</v>
      </c>
      <c r="C233" s="80">
        <f ca="1">OFFSET(产销汇总!$C$12,$B233,$C$18)</f>
        <v>151.749999999999</v>
      </c>
      <c r="D233" s="80">
        <f ca="1" t="shared" si="33"/>
        <v>733.749999999995</v>
      </c>
      <c r="E233" s="80">
        <f ca="1">OFFSET(产销汇总!$C$1,MATCH(E$19,产销汇总!$C$2:$C$9,0),$C$18)*2</f>
        <v>12</v>
      </c>
      <c r="F233" s="80">
        <f t="shared" si="42"/>
        <v>21</v>
      </c>
      <c r="G233" s="80">
        <f t="shared" si="39"/>
        <v>0</v>
      </c>
      <c r="H233" s="80">
        <f t="shared" si="34"/>
        <v>6.4</v>
      </c>
      <c r="K233" s="132">
        <f t="shared" si="35"/>
        <v>270600</v>
      </c>
      <c r="L233" s="184">
        <v>214</v>
      </c>
      <c r="M233" s="180">
        <f>SUM($N$20:N233)</f>
        <v>104793</v>
      </c>
      <c r="N233" s="180">
        <v>1020</v>
      </c>
      <c r="O233" s="180">
        <v>14930</v>
      </c>
      <c r="P233" s="180">
        <v>270560</v>
      </c>
      <c r="Q233" s="180">
        <v>0</v>
      </c>
      <c r="R233" s="180">
        <f t="shared" si="43"/>
        <v>270600</v>
      </c>
      <c r="S233" s="182">
        <f ca="1">U233-SUM($P$20:P233)/86400/(24+$C$12)*24</f>
        <v>31.1631243846406</v>
      </c>
      <c r="T233" s="179">
        <f t="shared" si="40"/>
        <v>268800</v>
      </c>
      <c r="U233" s="179">
        <f ca="1" t="shared" si="36"/>
        <v>301</v>
      </c>
      <c r="W233" s="183">
        <v>214</v>
      </c>
      <c r="X233" s="183">
        <f ca="1" t="shared" si="37"/>
        <v>4252.49999999997</v>
      </c>
      <c r="Y233" s="183">
        <f ca="1">OFFSET(产销汇总!$C$1,MATCH("体力消耗",产销汇总!$C$2:$C$8,0),$C$18)/10*5*W233</f>
        <v>44940</v>
      </c>
      <c r="Z233" s="183">
        <f t="shared" si="41"/>
        <v>0</v>
      </c>
      <c r="AA233" s="183">
        <f ca="1" t="shared" si="38"/>
        <v>49192.5</v>
      </c>
    </row>
    <row r="234" ht="18" spans="1:27">
      <c r="A234" s="171"/>
      <c r="B234" s="80">
        <v>215</v>
      </c>
      <c r="C234" s="80">
        <f ca="1">OFFSET(产销汇总!$C$12,$B234,$C$18)</f>
        <v>152.099999999999</v>
      </c>
      <c r="D234" s="80">
        <f ca="1" t="shared" si="33"/>
        <v>735.499999999995</v>
      </c>
      <c r="E234" s="80">
        <f ca="1">OFFSET(产销汇总!$C$1,MATCH(E$19,产销汇总!$C$2:$C$9,0),$C$18)*2</f>
        <v>12</v>
      </c>
      <c r="F234" s="80">
        <f t="shared" si="42"/>
        <v>21</v>
      </c>
      <c r="G234" s="80">
        <f t="shared" si="39"/>
        <v>0</v>
      </c>
      <c r="H234" s="80">
        <f t="shared" si="34"/>
        <v>6.4</v>
      </c>
      <c r="K234" s="132">
        <f t="shared" si="35"/>
        <v>270900</v>
      </c>
      <c r="L234" s="184">
        <v>215</v>
      </c>
      <c r="M234" s="180">
        <f>SUM($N$20:N234)</f>
        <v>105818</v>
      </c>
      <c r="N234" s="180">
        <v>1025</v>
      </c>
      <c r="O234" s="180">
        <v>15000</v>
      </c>
      <c r="P234" s="180">
        <v>270620</v>
      </c>
      <c r="Q234" s="180">
        <v>0</v>
      </c>
      <c r="R234" s="180">
        <f t="shared" si="43"/>
        <v>270900</v>
      </c>
      <c r="S234" s="182">
        <f ca="1">U234-SUM($P$20:P234)/86400/(24+$C$12)*24</f>
        <v>28.7947183021552</v>
      </c>
      <c r="T234" s="179">
        <f t="shared" si="40"/>
        <v>269100</v>
      </c>
      <c r="U234" s="179">
        <f ca="1" t="shared" si="36"/>
        <v>301</v>
      </c>
      <c r="W234" s="183">
        <v>215</v>
      </c>
      <c r="X234" s="183">
        <f ca="1" t="shared" si="37"/>
        <v>4262.99999999997</v>
      </c>
      <c r="Y234" s="183">
        <f ca="1">OFFSET(产销汇总!$C$1,MATCH("体力消耗",产销汇总!$C$2:$C$8,0),$C$18)/10*5*W234</f>
        <v>45150</v>
      </c>
      <c r="Z234" s="183">
        <f t="shared" si="41"/>
        <v>0</v>
      </c>
      <c r="AA234" s="183">
        <f ca="1" t="shared" si="38"/>
        <v>49413</v>
      </c>
    </row>
    <row r="235" ht="18" spans="1:27">
      <c r="A235" s="171"/>
      <c r="B235" s="80">
        <v>216</v>
      </c>
      <c r="C235" s="80">
        <f ca="1">OFFSET(产销汇总!$C$12,$B235,$C$18)</f>
        <v>152.449999999999</v>
      </c>
      <c r="D235" s="80">
        <f ca="1" t="shared" si="33"/>
        <v>737.249999999995</v>
      </c>
      <c r="E235" s="80">
        <f ca="1">OFFSET(产销汇总!$C$1,MATCH(E$19,产销汇总!$C$2:$C$9,0),$C$18)*2</f>
        <v>12</v>
      </c>
      <c r="F235" s="80">
        <f t="shared" si="42"/>
        <v>21</v>
      </c>
      <c r="G235" s="80">
        <f t="shared" si="39"/>
        <v>0</v>
      </c>
      <c r="H235" s="80">
        <f t="shared" si="34"/>
        <v>6.4</v>
      </c>
      <c r="K235" s="132">
        <f t="shared" si="35"/>
        <v>270900</v>
      </c>
      <c r="L235" s="184">
        <v>216</v>
      </c>
      <c r="M235" s="180">
        <f>SUM($N$20:N235)</f>
        <v>106848</v>
      </c>
      <c r="N235" s="180">
        <v>1030</v>
      </c>
      <c r="O235" s="180">
        <v>15070</v>
      </c>
      <c r="P235" s="180">
        <v>270680</v>
      </c>
      <c r="Q235" s="180">
        <v>0</v>
      </c>
      <c r="R235" s="180">
        <f t="shared" si="43"/>
        <v>270900</v>
      </c>
      <c r="S235" s="182">
        <f ca="1">U235-SUM($P$20:P235)/86400/(24+$C$12)*24</f>
        <v>26.4257871130073</v>
      </c>
      <c r="T235" s="179">
        <f t="shared" si="40"/>
        <v>269100</v>
      </c>
      <c r="U235" s="179">
        <f ca="1" t="shared" si="36"/>
        <v>301</v>
      </c>
      <c r="W235" s="183">
        <v>216</v>
      </c>
      <c r="X235" s="183">
        <f ca="1" t="shared" si="37"/>
        <v>4273.49999999997</v>
      </c>
      <c r="Y235" s="183">
        <f ca="1">OFFSET(产销汇总!$C$1,MATCH("体力消耗",产销汇总!$C$2:$C$8,0),$C$18)/10*5*W235</f>
        <v>45360</v>
      </c>
      <c r="Z235" s="183">
        <f t="shared" si="41"/>
        <v>0</v>
      </c>
      <c r="AA235" s="183">
        <f ca="1" t="shared" si="38"/>
        <v>49633.5</v>
      </c>
    </row>
    <row r="236" ht="18" spans="1:27">
      <c r="A236" s="171"/>
      <c r="B236" s="80">
        <v>217</v>
      </c>
      <c r="C236" s="80">
        <f ca="1">OFFSET(产销汇总!$C$12,$B236,$C$18)</f>
        <v>152.799999999999</v>
      </c>
      <c r="D236" s="80">
        <f ca="1" t="shared" si="33"/>
        <v>738.999999999995</v>
      </c>
      <c r="E236" s="80">
        <f ca="1">OFFSET(产销汇总!$C$1,MATCH(E$19,产销汇总!$C$2:$C$9,0),$C$18)*2</f>
        <v>12</v>
      </c>
      <c r="F236" s="80">
        <f t="shared" si="42"/>
        <v>21</v>
      </c>
      <c r="G236" s="80">
        <f t="shared" si="39"/>
        <v>0</v>
      </c>
      <c r="H236" s="80">
        <f t="shared" si="34"/>
        <v>6.4</v>
      </c>
      <c r="K236" s="132">
        <f t="shared" si="35"/>
        <v>270900</v>
      </c>
      <c r="L236" s="184">
        <v>217</v>
      </c>
      <c r="M236" s="180">
        <f>SUM($N$20:N236)</f>
        <v>107883</v>
      </c>
      <c r="N236" s="180">
        <v>1035</v>
      </c>
      <c r="O236" s="180">
        <v>15140</v>
      </c>
      <c r="P236" s="180">
        <v>270741</v>
      </c>
      <c r="Q236" s="180">
        <v>0</v>
      </c>
      <c r="R236" s="180">
        <f t="shared" si="43"/>
        <v>270900</v>
      </c>
      <c r="S236" s="182">
        <f ca="1">U236-SUM($P$20:P236)/86400/(24+$C$12)*24</f>
        <v>24.0563220654195</v>
      </c>
      <c r="T236" s="179">
        <f t="shared" si="40"/>
        <v>269100</v>
      </c>
      <c r="U236" s="179">
        <f ca="1" t="shared" si="36"/>
        <v>301</v>
      </c>
      <c r="W236" s="183">
        <v>217</v>
      </c>
      <c r="X236" s="183">
        <f ca="1" t="shared" si="37"/>
        <v>4283.99999999997</v>
      </c>
      <c r="Y236" s="183">
        <f ca="1">OFFSET(产销汇总!$C$1,MATCH("体力消耗",产销汇总!$C$2:$C$8,0),$C$18)/10*5*W236</f>
        <v>45570</v>
      </c>
      <c r="Z236" s="183">
        <f t="shared" si="41"/>
        <v>0</v>
      </c>
      <c r="AA236" s="183">
        <f ca="1" t="shared" si="38"/>
        <v>49854</v>
      </c>
    </row>
    <row r="237" ht="18" spans="1:27">
      <c r="A237" s="171"/>
      <c r="B237" s="80">
        <v>218</v>
      </c>
      <c r="C237" s="80">
        <f ca="1">OFFSET(产销汇总!$C$12,$B237,$C$18)</f>
        <v>153.149999999999</v>
      </c>
      <c r="D237" s="80">
        <f ca="1" t="shared" si="33"/>
        <v>740.749999999995</v>
      </c>
      <c r="E237" s="80">
        <f ca="1">OFFSET(产销汇总!$C$1,MATCH(E$19,产销汇总!$C$2:$C$9,0),$C$18)*2</f>
        <v>12</v>
      </c>
      <c r="F237" s="80">
        <f t="shared" si="42"/>
        <v>21</v>
      </c>
      <c r="G237" s="80">
        <f t="shared" si="39"/>
        <v>0</v>
      </c>
      <c r="H237" s="80">
        <f t="shared" si="34"/>
        <v>6.4</v>
      </c>
      <c r="K237" s="132">
        <f t="shared" si="35"/>
        <v>270900</v>
      </c>
      <c r="L237" s="184">
        <v>218</v>
      </c>
      <c r="M237" s="180">
        <f>SUM($N$20:N237)</f>
        <v>108923</v>
      </c>
      <c r="N237" s="180">
        <v>1040</v>
      </c>
      <c r="O237" s="180">
        <v>15210</v>
      </c>
      <c r="P237" s="180">
        <v>270801</v>
      </c>
      <c r="Q237" s="180">
        <v>0</v>
      </c>
      <c r="R237" s="180">
        <f t="shared" si="43"/>
        <v>270900</v>
      </c>
      <c r="S237" s="182">
        <f ca="1">U237-SUM($P$20:P237)/86400/(24+$C$12)*24</f>
        <v>21.6863319111695</v>
      </c>
      <c r="T237" s="179">
        <f t="shared" si="40"/>
        <v>269100</v>
      </c>
      <c r="U237" s="179">
        <f ca="1" t="shared" si="36"/>
        <v>301</v>
      </c>
      <c r="W237" s="183">
        <v>218</v>
      </c>
      <c r="X237" s="183">
        <f ca="1" t="shared" si="37"/>
        <v>4294.49999999997</v>
      </c>
      <c r="Y237" s="183">
        <f ca="1">OFFSET(产销汇总!$C$1,MATCH("体力消耗",产销汇总!$C$2:$C$8,0),$C$18)/10*5*W237</f>
        <v>45780</v>
      </c>
      <c r="Z237" s="183">
        <f t="shared" si="41"/>
        <v>0</v>
      </c>
      <c r="AA237" s="183">
        <f ca="1" t="shared" si="38"/>
        <v>50074.5</v>
      </c>
    </row>
    <row r="238" ht="18" spans="1:27">
      <c r="A238" s="171"/>
      <c r="B238" s="80">
        <v>219</v>
      </c>
      <c r="C238" s="80">
        <f ca="1">OFFSET(产销汇总!$C$12,$B238,$C$18)</f>
        <v>153.499999999999</v>
      </c>
      <c r="D238" s="80">
        <f ca="1" t="shared" si="33"/>
        <v>742.499999999995</v>
      </c>
      <c r="E238" s="80">
        <f ca="1">OFFSET(产销汇总!$C$1,MATCH(E$19,产销汇总!$C$2:$C$9,0),$C$18)*2</f>
        <v>12</v>
      </c>
      <c r="F238" s="80">
        <f t="shared" si="42"/>
        <v>21</v>
      </c>
      <c r="G238" s="80">
        <f t="shared" si="39"/>
        <v>0</v>
      </c>
      <c r="H238" s="80">
        <f t="shared" si="34"/>
        <v>6.4</v>
      </c>
      <c r="K238" s="132">
        <f t="shared" si="35"/>
        <v>270900</v>
      </c>
      <c r="L238" s="184">
        <v>219</v>
      </c>
      <c r="M238" s="180">
        <f>SUM($N$20:N238)</f>
        <v>109968</v>
      </c>
      <c r="N238" s="180">
        <v>1045</v>
      </c>
      <c r="O238" s="180">
        <v>15280</v>
      </c>
      <c r="P238" s="180">
        <v>270862</v>
      </c>
      <c r="Q238" s="180">
        <v>0</v>
      </c>
      <c r="R238" s="180">
        <f t="shared" si="43"/>
        <v>270900</v>
      </c>
      <c r="S238" s="182">
        <f ca="1">U238-SUM($P$20:P238)/86400/(24+$C$12)*24</f>
        <v>19.3158078984794</v>
      </c>
      <c r="T238" s="179">
        <f t="shared" si="40"/>
        <v>269100</v>
      </c>
      <c r="U238" s="179">
        <f ca="1" t="shared" si="36"/>
        <v>301</v>
      </c>
      <c r="W238" s="183">
        <v>219</v>
      </c>
      <c r="X238" s="183">
        <f ca="1" t="shared" si="37"/>
        <v>4304.99999999997</v>
      </c>
      <c r="Y238" s="183">
        <f ca="1">OFFSET(产销汇总!$C$1,MATCH("体力消耗",产销汇总!$C$2:$C$8,0),$C$18)/10*5*W238</f>
        <v>45990</v>
      </c>
      <c r="Z238" s="183">
        <f t="shared" si="41"/>
        <v>0</v>
      </c>
      <c r="AA238" s="183">
        <f ca="1" t="shared" si="38"/>
        <v>50295</v>
      </c>
    </row>
    <row r="239" ht="18" spans="1:27">
      <c r="A239" s="171"/>
      <c r="B239" s="80">
        <v>220</v>
      </c>
      <c r="C239" s="80">
        <f ca="1">OFFSET(产销汇总!$C$12,$B239,$C$18)</f>
        <v>153.849999999999</v>
      </c>
      <c r="D239" s="80">
        <f ca="1" t="shared" si="33"/>
        <v>744.249999999995</v>
      </c>
      <c r="E239" s="80">
        <f ca="1">OFFSET(产销汇总!$C$1,MATCH(E$19,产销汇总!$C$2:$C$9,0),$C$18)*2</f>
        <v>12</v>
      </c>
      <c r="F239" s="80">
        <f t="shared" si="42"/>
        <v>21</v>
      </c>
      <c r="G239" s="80">
        <f t="shared" si="39"/>
        <v>0</v>
      </c>
      <c r="H239" s="80">
        <f t="shared" si="34"/>
        <v>6.4</v>
      </c>
      <c r="K239" s="132">
        <f t="shared" si="35"/>
        <v>271200</v>
      </c>
      <c r="L239" s="184">
        <v>220</v>
      </c>
      <c r="M239" s="180">
        <f>SUM($N$20:N239)</f>
        <v>111018</v>
      </c>
      <c r="N239" s="180">
        <v>1050</v>
      </c>
      <c r="O239" s="180">
        <v>15350</v>
      </c>
      <c r="P239" s="180">
        <v>270922</v>
      </c>
      <c r="Q239" s="180">
        <v>0</v>
      </c>
      <c r="R239" s="180">
        <f t="shared" si="43"/>
        <v>271200</v>
      </c>
      <c r="S239" s="182">
        <f ca="1">U239-SUM($P$20:P239)/86400/(24+$C$12)*24</f>
        <v>16.944758779127</v>
      </c>
      <c r="T239" s="179">
        <f t="shared" si="40"/>
        <v>269400</v>
      </c>
      <c r="U239" s="179">
        <f ca="1" t="shared" si="36"/>
        <v>301</v>
      </c>
      <c r="W239" s="183">
        <v>220</v>
      </c>
      <c r="X239" s="183">
        <f ca="1" t="shared" si="37"/>
        <v>4315.49999999997</v>
      </c>
      <c r="Y239" s="183">
        <f ca="1">OFFSET(产销汇总!$C$1,MATCH("体力消耗",产销汇总!$C$2:$C$8,0),$C$18)/10*5*W239</f>
        <v>46200</v>
      </c>
      <c r="Z239" s="183">
        <f t="shared" si="41"/>
        <v>0</v>
      </c>
      <c r="AA239" s="183">
        <f ca="1" t="shared" si="38"/>
        <v>50515.5</v>
      </c>
    </row>
    <row r="240" ht="18" spans="1:27">
      <c r="A240" s="171"/>
      <c r="B240" s="80">
        <v>221</v>
      </c>
      <c r="C240" s="80">
        <f ca="1">OFFSET(产销汇总!$C$12,$B240,$C$18)</f>
        <v>154.199999999999</v>
      </c>
      <c r="D240" s="80">
        <f ca="1" t="shared" si="33"/>
        <v>745.999999999995</v>
      </c>
      <c r="E240" s="80">
        <f ca="1">OFFSET(产销汇总!$C$1,MATCH(E$19,产销汇总!$C$2:$C$9,0),$C$18)*2</f>
        <v>12</v>
      </c>
      <c r="F240" s="80">
        <f t="shared" si="42"/>
        <v>21</v>
      </c>
      <c r="G240" s="80">
        <f t="shared" si="39"/>
        <v>0</v>
      </c>
      <c r="H240" s="80">
        <f t="shared" si="34"/>
        <v>6.4</v>
      </c>
      <c r="K240" s="132">
        <f t="shared" si="35"/>
        <v>271200</v>
      </c>
      <c r="L240" s="184">
        <v>221</v>
      </c>
      <c r="M240" s="180">
        <f>SUM($N$20:N240)</f>
        <v>112073</v>
      </c>
      <c r="N240" s="180">
        <v>1055</v>
      </c>
      <c r="O240" s="180">
        <v>15420</v>
      </c>
      <c r="P240" s="180">
        <v>270983</v>
      </c>
      <c r="Q240" s="180">
        <v>0</v>
      </c>
      <c r="R240" s="180">
        <f t="shared" si="43"/>
        <v>271200</v>
      </c>
      <c r="S240" s="182">
        <f ca="1">U240-SUM($P$20:P240)/86400/(24+$C$12)*24</f>
        <v>14.5731758013346</v>
      </c>
      <c r="T240" s="179">
        <f t="shared" si="40"/>
        <v>269400</v>
      </c>
      <c r="U240" s="179">
        <f ca="1" t="shared" si="36"/>
        <v>301</v>
      </c>
      <c r="W240" s="183">
        <v>221</v>
      </c>
      <c r="X240" s="183">
        <f ca="1" t="shared" si="37"/>
        <v>4325.99999999997</v>
      </c>
      <c r="Y240" s="183">
        <f ca="1">OFFSET(产销汇总!$C$1,MATCH("体力消耗",产销汇总!$C$2:$C$8,0),$C$18)/10*5*W240</f>
        <v>46410</v>
      </c>
      <c r="Z240" s="183">
        <f t="shared" si="41"/>
        <v>0</v>
      </c>
      <c r="AA240" s="183">
        <f ca="1" t="shared" si="38"/>
        <v>50736</v>
      </c>
    </row>
    <row r="241" ht="18" spans="1:27">
      <c r="A241" s="171"/>
      <c r="B241" s="80">
        <v>222</v>
      </c>
      <c r="C241" s="80">
        <f ca="1">OFFSET(产销汇总!$C$12,$B241,$C$18)</f>
        <v>154.549999999999</v>
      </c>
      <c r="D241" s="80">
        <f ca="1" t="shared" si="33"/>
        <v>747.749999999995</v>
      </c>
      <c r="E241" s="80">
        <f ca="1">OFFSET(产销汇总!$C$1,MATCH(E$19,产销汇总!$C$2:$C$9,0),$C$18)*2</f>
        <v>12</v>
      </c>
      <c r="F241" s="80">
        <f t="shared" si="42"/>
        <v>21</v>
      </c>
      <c r="G241" s="80">
        <f t="shared" si="39"/>
        <v>0</v>
      </c>
      <c r="H241" s="80">
        <f t="shared" si="34"/>
        <v>6.4</v>
      </c>
      <c r="K241" s="132">
        <f t="shared" si="35"/>
        <v>271200</v>
      </c>
      <c r="L241" s="184">
        <v>222</v>
      </c>
      <c r="M241" s="180">
        <f>SUM($N$20:N241)</f>
        <v>113133</v>
      </c>
      <c r="N241" s="180">
        <v>1060</v>
      </c>
      <c r="O241" s="180">
        <v>15490</v>
      </c>
      <c r="P241" s="180">
        <v>271043</v>
      </c>
      <c r="Q241" s="180">
        <v>0</v>
      </c>
      <c r="R241" s="180">
        <f t="shared" si="43"/>
        <v>271200</v>
      </c>
      <c r="S241" s="182">
        <f ca="1">U241-SUM($P$20:P241)/86400/(24+$C$12)*24</f>
        <v>12.2010677168799</v>
      </c>
      <c r="T241" s="179">
        <f t="shared" si="40"/>
        <v>269400</v>
      </c>
      <c r="U241" s="179">
        <f ca="1" t="shared" si="36"/>
        <v>301</v>
      </c>
      <c r="W241" s="183">
        <v>222</v>
      </c>
      <c r="X241" s="183">
        <f ca="1" t="shared" si="37"/>
        <v>4336.49999999997</v>
      </c>
      <c r="Y241" s="183">
        <f ca="1">OFFSET(产销汇总!$C$1,MATCH("体力消耗",产销汇总!$C$2:$C$8,0),$C$18)/10*5*W241</f>
        <v>46620</v>
      </c>
      <c r="Z241" s="183">
        <f t="shared" si="41"/>
        <v>0</v>
      </c>
      <c r="AA241" s="183">
        <f ca="1" t="shared" si="38"/>
        <v>50956.5</v>
      </c>
    </row>
    <row r="242" ht="18" spans="1:27">
      <c r="A242" s="171"/>
      <c r="B242" s="80">
        <v>223</v>
      </c>
      <c r="C242" s="80">
        <f ca="1">OFFSET(产销汇总!$C$12,$B242,$C$18)</f>
        <v>154.899999999999</v>
      </c>
      <c r="D242" s="80">
        <f ca="1" t="shared" si="33"/>
        <v>749.499999999995</v>
      </c>
      <c r="E242" s="80">
        <f ca="1">OFFSET(产销汇总!$C$1,MATCH(E$19,产销汇总!$C$2:$C$9,0),$C$18)*2</f>
        <v>12</v>
      </c>
      <c r="F242" s="80">
        <f t="shared" si="42"/>
        <v>21</v>
      </c>
      <c r="G242" s="80">
        <f t="shared" si="39"/>
        <v>0</v>
      </c>
      <c r="H242" s="80">
        <f t="shared" si="34"/>
        <v>6.4</v>
      </c>
      <c r="K242" s="132">
        <f t="shared" si="35"/>
        <v>271200</v>
      </c>
      <c r="L242" s="184">
        <v>223</v>
      </c>
      <c r="M242" s="180">
        <f>SUM($N$20:N242)</f>
        <v>114198</v>
      </c>
      <c r="N242" s="180">
        <v>1065</v>
      </c>
      <c r="O242" s="180">
        <v>15560</v>
      </c>
      <c r="P242" s="180">
        <v>271104</v>
      </c>
      <c r="Q242" s="180">
        <v>0</v>
      </c>
      <c r="R242" s="180">
        <f t="shared" si="43"/>
        <v>271200</v>
      </c>
      <c r="S242" s="182">
        <f ca="1">U242-SUM($P$20:P242)/86400/(24+$C$12)*24</f>
        <v>9.82842577398532</v>
      </c>
      <c r="T242" s="179">
        <f t="shared" si="40"/>
        <v>269400</v>
      </c>
      <c r="U242" s="179">
        <f ca="1" t="shared" si="36"/>
        <v>301</v>
      </c>
      <c r="W242" s="183">
        <v>223</v>
      </c>
      <c r="X242" s="183">
        <f ca="1" t="shared" si="37"/>
        <v>4346.99999999997</v>
      </c>
      <c r="Y242" s="183">
        <f ca="1">OFFSET(产销汇总!$C$1,MATCH("体力消耗",产销汇总!$C$2:$C$8,0),$C$18)/10*5*W242</f>
        <v>46830</v>
      </c>
      <c r="Z242" s="183">
        <f t="shared" si="41"/>
        <v>0</v>
      </c>
      <c r="AA242" s="183">
        <f ca="1" t="shared" si="38"/>
        <v>51177</v>
      </c>
    </row>
    <row r="243" ht="18" spans="1:27">
      <c r="A243" s="171"/>
      <c r="B243" s="80">
        <v>224</v>
      </c>
      <c r="C243" s="80">
        <f ca="1">OFFSET(产销汇总!$C$12,$B243,$C$18)</f>
        <v>155.249999999999</v>
      </c>
      <c r="D243" s="80">
        <f ca="1" t="shared" si="33"/>
        <v>751.249999999995</v>
      </c>
      <c r="E243" s="80">
        <f ca="1">OFFSET(产销汇总!$C$1,MATCH(E$19,产销汇总!$C$2:$C$9,0),$C$18)*2</f>
        <v>12</v>
      </c>
      <c r="F243" s="80">
        <f t="shared" si="42"/>
        <v>21</v>
      </c>
      <c r="G243" s="80">
        <f t="shared" si="39"/>
        <v>0</v>
      </c>
      <c r="H243" s="80">
        <f t="shared" si="34"/>
        <v>6.4</v>
      </c>
      <c r="K243" s="132">
        <f t="shared" si="35"/>
        <v>271200</v>
      </c>
      <c r="L243" s="184">
        <v>224</v>
      </c>
      <c r="M243" s="180">
        <f>SUM($N$20:N243)</f>
        <v>115268</v>
      </c>
      <c r="N243" s="180">
        <v>1070</v>
      </c>
      <c r="O243" s="180">
        <v>15630</v>
      </c>
      <c r="P243" s="180">
        <v>271164</v>
      </c>
      <c r="Q243" s="180">
        <v>0</v>
      </c>
      <c r="R243" s="180">
        <f t="shared" si="43"/>
        <v>271200</v>
      </c>
      <c r="S243" s="182">
        <f ca="1">U243-SUM($P$20:P243)/86400/(24+$C$12)*24</f>
        <v>7.4552587244284</v>
      </c>
      <c r="T243" s="179">
        <f t="shared" si="40"/>
        <v>269400</v>
      </c>
      <c r="U243" s="179">
        <f ca="1" t="shared" si="36"/>
        <v>301</v>
      </c>
      <c r="W243" s="183">
        <v>224</v>
      </c>
      <c r="X243" s="183">
        <f ca="1" t="shared" si="37"/>
        <v>4357.49999999997</v>
      </c>
      <c r="Y243" s="183">
        <f ca="1">OFFSET(产销汇总!$C$1,MATCH("体力消耗",产销汇总!$C$2:$C$8,0),$C$18)/10*5*W243</f>
        <v>47040</v>
      </c>
      <c r="Z243" s="183">
        <f t="shared" si="41"/>
        <v>0</v>
      </c>
      <c r="AA243" s="183">
        <f ca="1" t="shared" si="38"/>
        <v>51397.5</v>
      </c>
    </row>
    <row r="244" ht="18" spans="1:27">
      <c r="A244" s="171"/>
      <c r="B244" s="80">
        <v>225</v>
      </c>
      <c r="C244" s="80">
        <f ca="1">OFFSET(产销汇总!$C$12,$B244,$C$18)</f>
        <v>155.599999999999</v>
      </c>
      <c r="D244" s="80">
        <f ca="1" t="shared" si="33"/>
        <v>752.999999999995</v>
      </c>
      <c r="E244" s="80">
        <f ca="1">OFFSET(产销汇总!$C$1,MATCH(E$19,产销汇总!$C$2:$C$9,0),$C$18)*2</f>
        <v>12</v>
      </c>
      <c r="F244" s="80">
        <f t="shared" si="42"/>
        <v>21</v>
      </c>
      <c r="G244" s="80">
        <f t="shared" si="39"/>
        <v>0</v>
      </c>
      <c r="H244" s="80">
        <f t="shared" si="34"/>
        <v>6.4</v>
      </c>
      <c r="K244" s="132">
        <f t="shared" si="35"/>
        <v>271500</v>
      </c>
      <c r="L244" s="184">
        <v>225</v>
      </c>
      <c r="M244" s="180">
        <f>SUM($N$20:N244)</f>
        <v>116343</v>
      </c>
      <c r="N244" s="180">
        <v>1075</v>
      </c>
      <c r="O244" s="180">
        <v>15700</v>
      </c>
      <c r="P244" s="180">
        <v>271225</v>
      </c>
      <c r="Q244" s="180">
        <v>0</v>
      </c>
      <c r="R244" s="180">
        <f t="shared" si="43"/>
        <v>271500</v>
      </c>
      <c r="S244" s="182">
        <f ca="1">U244-SUM($P$20:P244)/86400/(24+$C$12)*24</f>
        <v>5.08155781643143</v>
      </c>
      <c r="T244" s="179">
        <f t="shared" si="40"/>
        <v>269700</v>
      </c>
      <c r="U244" s="179">
        <f ca="1" t="shared" si="36"/>
        <v>301</v>
      </c>
      <c r="W244" s="183">
        <v>225</v>
      </c>
      <c r="X244" s="183">
        <f ca="1" t="shared" si="37"/>
        <v>4367.99999999997</v>
      </c>
      <c r="Y244" s="183">
        <f ca="1">OFFSET(产销汇总!$C$1,MATCH("体力消耗",产销汇总!$C$2:$C$8,0),$C$18)/10*5*W244</f>
        <v>47250</v>
      </c>
      <c r="Z244" s="183">
        <f t="shared" si="41"/>
        <v>0</v>
      </c>
      <c r="AA244" s="183">
        <f ca="1" t="shared" si="38"/>
        <v>51618</v>
      </c>
    </row>
    <row r="245" ht="18" spans="1:27">
      <c r="A245" s="171"/>
      <c r="B245" s="80">
        <v>226</v>
      </c>
      <c r="C245" s="80">
        <f ca="1">OFFSET(产销汇总!$C$12,$B245,$C$18)</f>
        <v>155.949999999999</v>
      </c>
      <c r="D245" s="80">
        <f ca="1" t="shared" si="33"/>
        <v>754.749999999995</v>
      </c>
      <c r="E245" s="80">
        <f ca="1">OFFSET(产销汇总!$C$1,MATCH(E$19,产销汇总!$C$2:$C$9,0),$C$18)*2</f>
        <v>12</v>
      </c>
      <c r="F245" s="80">
        <f t="shared" si="42"/>
        <v>21</v>
      </c>
      <c r="G245" s="80">
        <f t="shared" si="39"/>
        <v>0</v>
      </c>
      <c r="H245" s="80">
        <f t="shared" si="34"/>
        <v>6.4</v>
      </c>
      <c r="K245" s="132">
        <f t="shared" si="35"/>
        <v>271500</v>
      </c>
      <c r="L245" s="184">
        <v>226</v>
      </c>
      <c r="M245" s="180">
        <f>SUM($N$20:N245)</f>
        <v>117423</v>
      </c>
      <c r="N245" s="180">
        <v>1080</v>
      </c>
      <c r="O245" s="180">
        <v>15770</v>
      </c>
      <c r="P245" s="180">
        <v>271285</v>
      </c>
      <c r="Q245" s="180">
        <v>0</v>
      </c>
      <c r="R245" s="180">
        <f t="shared" si="43"/>
        <v>271500</v>
      </c>
      <c r="S245" s="182">
        <f ca="1">U245-SUM($P$20:P245)/86400/(24+$C$12)*24</f>
        <v>2.70733180177223</v>
      </c>
      <c r="T245" s="179">
        <f t="shared" si="40"/>
        <v>269700</v>
      </c>
      <c r="U245" s="179">
        <f ca="1" t="shared" si="36"/>
        <v>301</v>
      </c>
      <c r="W245" s="183">
        <v>226</v>
      </c>
      <c r="X245" s="183">
        <f ca="1" t="shared" si="37"/>
        <v>4378.49999999997</v>
      </c>
      <c r="Y245" s="183">
        <f ca="1">OFFSET(产销汇总!$C$1,MATCH("体力消耗",产销汇总!$C$2:$C$8,0),$C$18)/10*5*W245</f>
        <v>47460</v>
      </c>
      <c r="Z245" s="183">
        <f t="shared" si="41"/>
        <v>0</v>
      </c>
      <c r="AA245" s="183">
        <f ca="1" t="shared" si="38"/>
        <v>51838.5</v>
      </c>
    </row>
    <row r="246" ht="18" spans="1:27">
      <c r="A246" s="171"/>
      <c r="B246" s="80">
        <v>227</v>
      </c>
      <c r="C246" s="80">
        <f ca="1">OFFSET(产销汇总!$C$12,$B246,$C$18)</f>
        <v>156.299999999999</v>
      </c>
      <c r="D246" s="80">
        <f ca="1" t="shared" si="33"/>
        <v>756.499999999995</v>
      </c>
      <c r="E246" s="80">
        <f ca="1">OFFSET(产销汇总!$C$1,MATCH(E$19,产销汇总!$C$2:$C$9,0),$C$18)*2</f>
        <v>12</v>
      </c>
      <c r="F246" s="80">
        <f t="shared" si="42"/>
        <v>21</v>
      </c>
      <c r="G246" s="80">
        <f t="shared" si="39"/>
        <v>0</v>
      </c>
      <c r="H246" s="80">
        <f t="shared" si="34"/>
        <v>6.4</v>
      </c>
      <c r="K246" s="132">
        <f t="shared" si="35"/>
        <v>271500</v>
      </c>
      <c r="L246" s="184">
        <v>227</v>
      </c>
      <c r="M246" s="180">
        <f>SUM($N$20:N246)</f>
        <v>118508</v>
      </c>
      <c r="N246" s="180">
        <v>1085</v>
      </c>
      <c r="O246" s="180">
        <v>15840</v>
      </c>
      <c r="P246" s="180">
        <v>271346</v>
      </c>
      <c r="Q246" s="180">
        <v>0</v>
      </c>
      <c r="R246" s="180">
        <f t="shared" si="43"/>
        <v>271500</v>
      </c>
      <c r="S246" s="182">
        <f ca="1">U246-SUM($P$20:P246)/86400/(24+$C$12)*24</f>
        <v>0.332571928673019</v>
      </c>
      <c r="T246" s="179">
        <f t="shared" si="40"/>
        <v>269700</v>
      </c>
      <c r="U246" s="179">
        <f ca="1" t="shared" si="36"/>
        <v>301</v>
      </c>
      <c r="W246" s="183">
        <v>227</v>
      </c>
      <c r="X246" s="183">
        <f ca="1" t="shared" si="37"/>
        <v>4388.99999999997</v>
      </c>
      <c r="Y246" s="183">
        <f ca="1">OFFSET(产销汇总!$C$1,MATCH("体力消耗",产销汇总!$C$2:$C$8,0),$C$18)/10*5*W246</f>
        <v>47670</v>
      </c>
      <c r="Z246" s="183">
        <f t="shared" si="41"/>
        <v>0</v>
      </c>
      <c r="AA246" s="183">
        <f ca="1" t="shared" si="38"/>
        <v>52059</v>
      </c>
    </row>
    <row r="247" ht="18" spans="1:27">
      <c r="A247" s="171"/>
      <c r="B247" s="80">
        <v>228</v>
      </c>
      <c r="C247" s="80">
        <f ca="1">OFFSET(产销汇总!$C$12,$B247,$C$18)</f>
        <v>156.649999999999</v>
      </c>
      <c r="D247" s="80">
        <f ca="1" t="shared" si="33"/>
        <v>758.249999999995</v>
      </c>
      <c r="E247" s="80">
        <f ca="1">OFFSET(产销汇总!$C$1,MATCH(E$19,产销汇总!$C$2:$C$9,0),$C$18)*2</f>
        <v>12</v>
      </c>
      <c r="F247" s="80">
        <f t="shared" si="42"/>
        <v>21</v>
      </c>
      <c r="G247" s="80">
        <f t="shared" si="39"/>
        <v>0</v>
      </c>
      <c r="H247" s="80">
        <f t="shared" si="34"/>
        <v>6.4</v>
      </c>
      <c r="K247" s="132">
        <f t="shared" si="35"/>
        <v>271500</v>
      </c>
      <c r="L247" s="184">
        <v>228</v>
      </c>
      <c r="M247" s="180">
        <f>SUM($N$20:N247)</f>
        <v>119598</v>
      </c>
      <c r="N247" s="180">
        <v>1090</v>
      </c>
      <c r="O247" s="180">
        <v>15910</v>
      </c>
      <c r="P247" s="180">
        <v>271406</v>
      </c>
      <c r="Q247" s="180">
        <v>0</v>
      </c>
      <c r="R247" s="180">
        <f t="shared" si="43"/>
        <v>271500</v>
      </c>
      <c r="S247" s="182">
        <f ca="1">U247-SUM($P$20:P247)/86400/(24+$C$12)*24</f>
        <v>-2.04271305108853</v>
      </c>
      <c r="T247" s="179">
        <f t="shared" si="40"/>
        <v>269700</v>
      </c>
      <c r="U247" s="179">
        <f ca="1" t="shared" si="36"/>
        <v>301</v>
      </c>
      <c r="W247" s="183">
        <v>228</v>
      </c>
      <c r="X247" s="183">
        <f ca="1" t="shared" si="37"/>
        <v>4399.49999999997</v>
      </c>
      <c r="Y247" s="183">
        <f ca="1">OFFSET(产销汇总!$C$1,MATCH("体力消耗",产销汇总!$C$2:$C$8,0),$C$18)/10*5*W247</f>
        <v>47880</v>
      </c>
      <c r="Z247" s="183">
        <f t="shared" si="41"/>
        <v>0</v>
      </c>
      <c r="AA247" s="183">
        <f ca="1" t="shared" si="38"/>
        <v>52279.5</v>
      </c>
    </row>
    <row r="248" ht="18" spans="1:27">
      <c r="A248" s="171"/>
      <c r="B248" s="80">
        <v>229</v>
      </c>
      <c r="C248" s="80">
        <f ca="1">OFFSET(产销汇总!$C$12,$B248,$C$18)</f>
        <v>156.999999999999</v>
      </c>
      <c r="D248" s="80">
        <f ca="1" t="shared" si="33"/>
        <v>759.999999999995</v>
      </c>
      <c r="E248" s="80">
        <f ca="1">OFFSET(产销汇总!$C$1,MATCH(E$19,产销汇总!$C$2:$C$9,0),$C$18)*2</f>
        <v>12</v>
      </c>
      <c r="F248" s="80">
        <f t="shared" si="42"/>
        <v>21</v>
      </c>
      <c r="G248" s="80">
        <f t="shared" si="39"/>
        <v>0</v>
      </c>
      <c r="H248" s="80">
        <f t="shared" si="34"/>
        <v>6.4</v>
      </c>
      <c r="K248" s="132">
        <f t="shared" si="35"/>
        <v>271500</v>
      </c>
      <c r="L248" s="184">
        <v>229</v>
      </c>
      <c r="M248" s="180">
        <f>SUM($N$20:N248)</f>
        <v>120693</v>
      </c>
      <c r="N248" s="180">
        <v>1095</v>
      </c>
      <c r="O248" s="180">
        <v>15980</v>
      </c>
      <c r="P248" s="180">
        <v>271467</v>
      </c>
      <c r="Q248" s="180">
        <v>0</v>
      </c>
      <c r="R248" s="180">
        <f t="shared" si="43"/>
        <v>271500</v>
      </c>
      <c r="S248" s="182">
        <f ca="1">U248-SUM($P$20:P248)/86400/(24+$C$12)*24</f>
        <v>-4.41853188929002</v>
      </c>
      <c r="T248" s="179">
        <f t="shared" si="40"/>
        <v>269700</v>
      </c>
      <c r="U248" s="179">
        <f ca="1" t="shared" si="36"/>
        <v>301</v>
      </c>
      <c r="W248" s="183">
        <v>229</v>
      </c>
      <c r="X248" s="183">
        <f ca="1" t="shared" si="37"/>
        <v>4409.99999999997</v>
      </c>
      <c r="Y248" s="183">
        <f ca="1">OFFSET(产销汇总!$C$1,MATCH("体力消耗",产销汇总!$C$2:$C$8,0),$C$18)/10*5*W248</f>
        <v>48090</v>
      </c>
      <c r="Z248" s="183">
        <f t="shared" si="41"/>
        <v>0</v>
      </c>
      <c r="AA248" s="183">
        <f ca="1" t="shared" si="38"/>
        <v>52500</v>
      </c>
    </row>
    <row r="249" ht="18" spans="1:27">
      <c r="A249" s="171"/>
      <c r="B249" s="80">
        <v>230</v>
      </c>
      <c r="C249" s="80">
        <f ca="1">OFFSET(产销汇总!$C$12,$B249,$C$18)</f>
        <v>157.349999999999</v>
      </c>
      <c r="D249" s="80">
        <f ca="1" t="shared" si="33"/>
        <v>761.749999999995</v>
      </c>
      <c r="E249" s="80">
        <f ca="1">OFFSET(产销汇总!$C$1,MATCH(E$19,产销汇总!$C$2:$C$9,0),$C$18)*2</f>
        <v>12</v>
      </c>
      <c r="F249" s="80">
        <f t="shared" si="42"/>
        <v>21</v>
      </c>
      <c r="G249" s="80">
        <f t="shared" si="39"/>
        <v>0</v>
      </c>
      <c r="H249" s="80">
        <f t="shared" si="34"/>
        <v>6.4</v>
      </c>
      <c r="K249" s="132">
        <f t="shared" si="35"/>
        <v>271800</v>
      </c>
      <c r="L249" s="184">
        <v>230</v>
      </c>
      <c r="M249" s="180">
        <f>SUM($N$20:N249)</f>
        <v>121793</v>
      </c>
      <c r="N249" s="180">
        <v>1100</v>
      </c>
      <c r="O249" s="180">
        <v>16050</v>
      </c>
      <c r="P249" s="180">
        <v>271527</v>
      </c>
      <c r="Q249" s="180">
        <v>0</v>
      </c>
      <c r="R249" s="180">
        <f t="shared" si="43"/>
        <v>271800</v>
      </c>
      <c r="S249" s="182">
        <f ca="1">U249-SUM($P$20:P249)/86400/(24+$C$12)*24</f>
        <v>-6.7948758341538</v>
      </c>
      <c r="T249" s="179">
        <f t="shared" si="40"/>
        <v>270000</v>
      </c>
      <c r="U249" s="179">
        <f ca="1" t="shared" si="36"/>
        <v>301</v>
      </c>
      <c r="W249" s="183">
        <v>230</v>
      </c>
      <c r="X249" s="183">
        <f ca="1" t="shared" si="37"/>
        <v>4420.49999999997</v>
      </c>
      <c r="Y249" s="183">
        <f ca="1">OFFSET(产销汇总!$C$1,MATCH("体力消耗",产销汇总!$C$2:$C$8,0),$C$18)/10*5*W249</f>
        <v>48300</v>
      </c>
      <c r="Z249" s="183">
        <f t="shared" si="41"/>
        <v>0</v>
      </c>
      <c r="AA249" s="183">
        <f ca="1" t="shared" si="38"/>
        <v>52720.5</v>
      </c>
    </row>
    <row r="250" ht="18" spans="1:27">
      <c r="A250" s="171"/>
      <c r="B250" s="80">
        <v>231</v>
      </c>
      <c r="C250" s="80">
        <f ca="1">OFFSET(产销汇总!$C$12,$B250,$C$18)</f>
        <v>157.699999999999</v>
      </c>
      <c r="D250" s="80">
        <f ca="1" t="shared" si="33"/>
        <v>763.499999999995</v>
      </c>
      <c r="E250" s="80">
        <f ca="1">OFFSET(产销汇总!$C$1,MATCH(E$19,产销汇总!$C$2:$C$9,0),$C$18)*2</f>
        <v>12</v>
      </c>
      <c r="F250" s="80">
        <f t="shared" si="42"/>
        <v>21</v>
      </c>
      <c r="G250" s="80">
        <f t="shared" si="39"/>
        <v>0</v>
      </c>
      <c r="H250" s="80">
        <f t="shared" si="34"/>
        <v>6.4</v>
      </c>
      <c r="K250" s="132">
        <f t="shared" si="35"/>
        <v>271800</v>
      </c>
      <c r="L250" s="184">
        <v>231</v>
      </c>
      <c r="M250" s="180">
        <f>SUM($N$20:N250)</f>
        <v>122898</v>
      </c>
      <c r="N250" s="180">
        <v>1105</v>
      </c>
      <c r="O250" s="180">
        <v>16120</v>
      </c>
      <c r="P250" s="180">
        <v>271588</v>
      </c>
      <c r="Q250" s="180">
        <v>0</v>
      </c>
      <c r="R250" s="180">
        <f t="shared" si="43"/>
        <v>271800</v>
      </c>
      <c r="S250" s="182">
        <f ca="1">U250-SUM($P$20:P250)/86400/(24+$C$12)*24</f>
        <v>-9.17175363745758</v>
      </c>
      <c r="T250" s="179">
        <f t="shared" si="40"/>
        <v>270000</v>
      </c>
      <c r="U250" s="179">
        <f ca="1" t="shared" si="36"/>
        <v>301</v>
      </c>
      <c r="W250" s="183">
        <v>231</v>
      </c>
      <c r="X250" s="183">
        <f ca="1" t="shared" si="37"/>
        <v>4430.99999999997</v>
      </c>
      <c r="Y250" s="183">
        <f ca="1">OFFSET(产销汇总!$C$1,MATCH("体力消耗",产销汇总!$C$2:$C$8,0),$C$18)/10*5*W250</f>
        <v>48510</v>
      </c>
      <c r="Z250" s="183">
        <f t="shared" si="41"/>
        <v>0</v>
      </c>
      <c r="AA250" s="183">
        <f ca="1" t="shared" si="38"/>
        <v>52941</v>
      </c>
    </row>
    <row r="251" ht="18" spans="1:27">
      <c r="A251" s="171"/>
      <c r="B251" s="80">
        <v>232</v>
      </c>
      <c r="C251" s="80">
        <f ca="1">OFFSET(产销汇总!$C$12,$B251,$C$18)</f>
        <v>158.049999999999</v>
      </c>
      <c r="D251" s="80">
        <f ca="1" t="shared" si="33"/>
        <v>765.249999999995</v>
      </c>
      <c r="E251" s="80">
        <f ca="1">OFFSET(产销汇总!$C$1,MATCH(E$19,产销汇总!$C$2:$C$9,0),$C$18)*2</f>
        <v>12</v>
      </c>
      <c r="F251" s="80">
        <f t="shared" si="42"/>
        <v>21</v>
      </c>
      <c r="G251" s="80">
        <f t="shared" si="39"/>
        <v>0</v>
      </c>
      <c r="H251" s="80">
        <f t="shared" si="34"/>
        <v>6.4</v>
      </c>
      <c r="K251" s="132">
        <f t="shared" si="35"/>
        <v>271800</v>
      </c>
      <c r="L251" s="184">
        <v>232</v>
      </c>
      <c r="M251" s="180">
        <f>SUM($N$20:N251)</f>
        <v>124008</v>
      </c>
      <c r="N251" s="180">
        <v>1110</v>
      </c>
      <c r="O251" s="180">
        <v>16190</v>
      </c>
      <c r="P251" s="180">
        <v>271648</v>
      </c>
      <c r="Q251" s="180">
        <v>0</v>
      </c>
      <c r="R251" s="180">
        <f t="shared" si="43"/>
        <v>271800</v>
      </c>
      <c r="S251" s="182">
        <f ca="1">U251-SUM($P$20:P251)/86400/(24+$C$12)*24</f>
        <v>-11.5491565474237</v>
      </c>
      <c r="T251" s="179">
        <f t="shared" si="40"/>
        <v>270000</v>
      </c>
      <c r="U251" s="179">
        <f ca="1" t="shared" si="36"/>
        <v>301</v>
      </c>
      <c r="W251" s="183">
        <v>232</v>
      </c>
      <c r="X251" s="183">
        <f ca="1" t="shared" si="37"/>
        <v>4441.49999999997</v>
      </c>
      <c r="Y251" s="183">
        <f ca="1">OFFSET(产销汇总!$C$1,MATCH("体力消耗",产销汇总!$C$2:$C$8,0),$C$18)/10*5*W251</f>
        <v>48720</v>
      </c>
      <c r="Z251" s="183">
        <f t="shared" si="41"/>
        <v>0</v>
      </c>
      <c r="AA251" s="183">
        <f ca="1" t="shared" si="38"/>
        <v>53161.5</v>
      </c>
    </row>
    <row r="252" ht="18" spans="1:27">
      <c r="A252" s="171"/>
      <c r="B252" s="80">
        <v>233</v>
      </c>
      <c r="C252" s="80">
        <f ca="1">OFFSET(产销汇总!$C$12,$B252,$C$18)</f>
        <v>158.399999999999</v>
      </c>
      <c r="D252" s="80">
        <f ca="1" t="shared" si="33"/>
        <v>766.999999999995</v>
      </c>
      <c r="E252" s="80">
        <f ca="1">OFFSET(产销汇总!$C$1,MATCH(E$19,产销汇总!$C$2:$C$9,0),$C$18)*2</f>
        <v>12</v>
      </c>
      <c r="F252" s="80">
        <f t="shared" si="42"/>
        <v>21</v>
      </c>
      <c r="G252" s="80">
        <f t="shared" si="39"/>
        <v>0</v>
      </c>
      <c r="H252" s="80">
        <f t="shared" si="34"/>
        <v>6.4</v>
      </c>
      <c r="K252" s="132">
        <f t="shared" si="35"/>
        <v>271800</v>
      </c>
      <c r="L252" s="184">
        <v>233</v>
      </c>
      <c r="M252" s="180">
        <f>SUM($N$20:N252)</f>
        <v>125123</v>
      </c>
      <c r="N252" s="180">
        <v>1115</v>
      </c>
      <c r="O252" s="180">
        <v>16260</v>
      </c>
      <c r="P252" s="180">
        <v>271709</v>
      </c>
      <c r="Q252" s="180">
        <v>0</v>
      </c>
      <c r="R252" s="180">
        <f t="shared" si="43"/>
        <v>271800</v>
      </c>
      <c r="S252" s="182">
        <f ca="1">U252-SUM($P$20:P252)/86400/(24+$C$12)*24</f>
        <v>-13.9270933158298</v>
      </c>
      <c r="T252" s="179">
        <f t="shared" si="40"/>
        <v>270000</v>
      </c>
      <c r="U252" s="179">
        <f ca="1" t="shared" si="36"/>
        <v>301</v>
      </c>
      <c r="W252" s="183">
        <v>233</v>
      </c>
      <c r="X252" s="183">
        <f ca="1" t="shared" si="37"/>
        <v>4451.99999999997</v>
      </c>
      <c r="Y252" s="183">
        <f ca="1">OFFSET(产销汇总!$C$1,MATCH("体力消耗",产销汇总!$C$2:$C$8,0),$C$18)/10*5*W252</f>
        <v>48930</v>
      </c>
      <c r="Z252" s="183">
        <f t="shared" si="41"/>
        <v>0</v>
      </c>
      <c r="AA252" s="183">
        <f ca="1" t="shared" si="38"/>
        <v>53382</v>
      </c>
    </row>
    <row r="253" ht="18" spans="1:27">
      <c r="A253" s="171"/>
      <c r="B253" s="80">
        <v>234</v>
      </c>
      <c r="C253" s="80">
        <f ca="1">OFFSET(产销汇总!$C$12,$B253,$C$18)</f>
        <v>158.749999999999</v>
      </c>
      <c r="D253" s="80">
        <f ca="1" t="shared" si="33"/>
        <v>768.749999999995</v>
      </c>
      <c r="E253" s="80">
        <f ca="1">OFFSET(产销汇总!$C$1,MATCH(E$19,产销汇总!$C$2:$C$9,0),$C$18)*2</f>
        <v>12</v>
      </c>
      <c r="F253" s="80">
        <f t="shared" si="42"/>
        <v>21</v>
      </c>
      <c r="G253" s="80">
        <f t="shared" si="39"/>
        <v>0</v>
      </c>
      <c r="H253" s="80">
        <f t="shared" si="34"/>
        <v>6.4</v>
      </c>
      <c r="K253" s="132">
        <f t="shared" si="35"/>
        <v>271800</v>
      </c>
      <c r="L253" s="184">
        <v>234</v>
      </c>
      <c r="M253" s="180">
        <f>SUM($N$20:N253)</f>
        <v>126243</v>
      </c>
      <c r="N253" s="180">
        <v>1120</v>
      </c>
      <c r="O253" s="180">
        <v>16330</v>
      </c>
      <c r="P253" s="180">
        <v>271769</v>
      </c>
      <c r="Q253" s="180">
        <v>0</v>
      </c>
      <c r="R253" s="180">
        <f t="shared" si="43"/>
        <v>271800</v>
      </c>
      <c r="S253" s="182">
        <f ca="1">U253-SUM($P$20:P253)/86400/(24+$C$12)*24</f>
        <v>-16.3055551908982</v>
      </c>
      <c r="T253" s="179">
        <f t="shared" si="40"/>
        <v>270000</v>
      </c>
      <c r="U253" s="179">
        <f ca="1" t="shared" si="36"/>
        <v>301</v>
      </c>
      <c r="W253" s="183">
        <v>234</v>
      </c>
      <c r="X253" s="183">
        <f ca="1" t="shared" si="37"/>
        <v>4462.49999999997</v>
      </c>
      <c r="Y253" s="183">
        <f ca="1">OFFSET(产销汇总!$C$1,MATCH("体力消耗",产销汇总!$C$2:$C$8,0),$C$18)/10*5*W253</f>
        <v>49140</v>
      </c>
      <c r="Z253" s="183">
        <f t="shared" si="41"/>
        <v>0</v>
      </c>
      <c r="AA253" s="183">
        <f ca="1" t="shared" si="38"/>
        <v>53602.5</v>
      </c>
    </row>
    <row r="254" ht="18" spans="1:27">
      <c r="A254" s="171"/>
      <c r="B254" s="80">
        <v>235</v>
      </c>
      <c r="C254" s="80">
        <f ca="1">OFFSET(产销汇总!$C$12,$B254,$C$18)</f>
        <v>159.099999999999</v>
      </c>
      <c r="D254" s="80">
        <f ca="1" t="shared" si="33"/>
        <v>770.499999999995</v>
      </c>
      <c r="E254" s="80">
        <f ca="1">OFFSET(产销汇总!$C$1,MATCH(E$19,产销汇总!$C$2:$C$9,0),$C$18)*2</f>
        <v>12</v>
      </c>
      <c r="F254" s="80">
        <f t="shared" si="42"/>
        <v>21</v>
      </c>
      <c r="G254" s="80">
        <f t="shared" si="39"/>
        <v>0</v>
      </c>
      <c r="H254" s="80">
        <f t="shared" si="34"/>
        <v>6.4</v>
      </c>
      <c r="K254" s="132">
        <f t="shared" si="35"/>
        <v>272100</v>
      </c>
      <c r="L254" s="184">
        <v>235</v>
      </c>
      <c r="M254" s="180">
        <f>SUM($N$20:N254)</f>
        <v>127368</v>
      </c>
      <c r="N254" s="180">
        <v>1125</v>
      </c>
      <c r="O254" s="180">
        <v>16400</v>
      </c>
      <c r="P254" s="180">
        <v>271830</v>
      </c>
      <c r="Q254" s="180">
        <v>0</v>
      </c>
      <c r="R254" s="180">
        <f t="shared" si="43"/>
        <v>272100</v>
      </c>
      <c r="S254" s="182">
        <f ca="1">U254-SUM($P$20:P254)/86400/(24+$C$12)*24</f>
        <v>-18.6845509244065</v>
      </c>
      <c r="T254" s="179">
        <f t="shared" si="40"/>
        <v>270300</v>
      </c>
      <c r="U254" s="179">
        <f ca="1" t="shared" si="36"/>
        <v>301</v>
      </c>
      <c r="W254" s="183">
        <v>235</v>
      </c>
      <c r="X254" s="183">
        <f ca="1" t="shared" si="37"/>
        <v>4472.99999999997</v>
      </c>
      <c r="Y254" s="183">
        <f ca="1">OFFSET(产销汇总!$C$1,MATCH("体力消耗",产销汇总!$C$2:$C$8,0),$C$18)/10*5*W254</f>
        <v>49350</v>
      </c>
      <c r="Z254" s="183">
        <f t="shared" si="41"/>
        <v>0</v>
      </c>
      <c r="AA254" s="183">
        <f ca="1" t="shared" si="38"/>
        <v>53823</v>
      </c>
    </row>
    <row r="255" ht="18" spans="1:27">
      <c r="A255" s="171"/>
      <c r="B255" s="80">
        <v>236</v>
      </c>
      <c r="C255" s="80">
        <f ca="1">OFFSET(产销汇总!$C$12,$B255,$C$18)</f>
        <v>159.449999999999</v>
      </c>
      <c r="D255" s="80">
        <f ca="1" t="shared" si="33"/>
        <v>772.249999999995</v>
      </c>
      <c r="E255" s="80">
        <f ca="1">OFFSET(产销汇总!$C$1,MATCH(E$19,产销汇总!$C$2:$C$9,0),$C$18)*2</f>
        <v>12</v>
      </c>
      <c r="F255" s="80">
        <f t="shared" si="42"/>
        <v>21</v>
      </c>
      <c r="G255" s="80">
        <f t="shared" si="39"/>
        <v>0</v>
      </c>
      <c r="H255" s="80">
        <f t="shared" si="34"/>
        <v>6.4</v>
      </c>
      <c r="K255" s="132">
        <f t="shared" si="35"/>
        <v>272100</v>
      </c>
      <c r="L255" s="184">
        <v>236</v>
      </c>
      <c r="M255" s="180">
        <f>SUM($N$20:N255)</f>
        <v>128498</v>
      </c>
      <c r="N255" s="180">
        <v>1130</v>
      </c>
      <c r="O255" s="180">
        <v>16470</v>
      </c>
      <c r="P255" s="180">
        <v>271890</v>
      </c>
      <c r="Q255" s="180">
        <v>0</v>
      </c>
      <c r="R255" s="180">
        <f t="shared" si="43"/>
        <v>272100</v>
      </c>
      <c r="S255" s="182">
        <f ca="1">U255-SUM($P$20:P255)/86400/(24+$C$12)*24</f>
        <v>-21.0640717645772</v>
      </c>
      <c r="T255" s="179">
        <f t="shared" si="40"/>
        <v>270300</v>
      </c>
      <c r="U255" s="179">
        <f ca="1" t="shared" si="36"/>
        <v>301</v>
      </c>
      <c r="W255" s="183">
        <v>236</v>
      </c>
      <c r="X255" s="183">
        <f ca="1" t="shared" si="37"/>
        <v>4483.49999999997</v>
      </c>
      <c r="Y255" s="183">
        <f ca="1">OFFSET(产销汇总!$C$1,MATCH("体力消耗",产销汇总!$C$2:$C$8,0),$C$18)/10*5*W255</f>
        <v>49560</v>
      </c>
      <c r="Z255" s="183">
        <f t="shared" si="41"/>
        <v>0</v>
      </c>
      <c r="AA255" s="183">
        <f ca="1" t="shared" si="38"/>
        <v>54043.5</v>
      </c>
    </row>
    <row r="256" ht="18" spans="1:27">
      <c r="A256" s="171"/>
      <c r="B256" s="80">
        <v>237</v>
      </c>
      <c r="C256" s="80">
        <f ca="1">OFFSET(产销汇总!$C$12,$B256,$C$18)</f>
        <v>159.799999999999</v>
      </c>
      <c r="D256" s="80">
        <f ca="1" t="shared" si="33"/>
        <v>773.999999999995</v>
      </c>
      <c r="E256" s="80">
        <f ca="1">OFFSET(产销汇总!$C$1,MATCH(E$19,产销汇总!$C$2:$C$9,0),$C$18)*2</f>
        <v>12</v>
      </c>
      <c r="F256" s="80">
        <f t="shared" si="42"/>
        <v>21</v>
      </c>
      <c r="G256" s="80">
        <f t="shared" si="39"/>
        <v>0</v>
      </c>
      <c r="H256" s="80">
        <f t="shared" si="34"/>
        <v>6.4</v>
      </c>
      <c r="K256" s="132">
        <f t="shared" si="35"/>
        <v>272100</v>
      </c>
      <c r="L256" s="184">
        <v>237</v>
      </c>
      <c r="M256" s="180">
        <f>SUM($N$20:N256)</f>
        <v>129633</v>
      </c>
      <c r="N256" s="180">
        <v>1135</v>
      </c>
      <c r="O256" s="180">
        <v>16540</v>
      </c>
      <c r="P256" s="180">
        <v>271951</v>
      </c>
      <c r="Q256" s="180">
        <v>0</v>
      </c>
      <c r="R256" s="180">
        <f t="shared" si="43"/>
        <v>272100</v>
      </c>
      <c r="S256" s="182">
        <f ca="1">U256-SUM($P$20:P256)/86400/(24+$C$12)*24</f>
        <v>-23.4441264631878</v>
      </c>
      <c r="T256" s="179">
        <f t="shared" si="40"/>
        <v>270300</v>
      </c>
      <c r="U256" s="179">
        <f ca="1" t="shared" si="36"/>
        <v>301</v>
      </c>
      <c r="W256" s="183">
        <v>237</v>
      </c>
      <c r="X256" s="183">
        <f ca="1" t="shared" si="37"/>
        <v>4493.99999999997</v>
      </c>
      <c r="Y256" s="183">
        <f ca="1">OFFSET(产销汇总!$C$1,MATCH("体力消耗",产销汇总!$C$2:$C$8,0),$C$18)/10*5*W256</f>
        <v>49770</v>
      </c>
      <c r="Z256" s="183">
        <f t="shared" si="41"/>
        <v>0</v>
      </c>
      <c r="AA256" s="183">
        <f ca="1" t="shared" si="38"/>
        <v>54264</v>
      </c>
    </row>
    <row r="257" ht="18" spans="1:27">
      <c r="A257" s="171"/>
      <c r="B257" s="80">
        <v>238</v>
      </c>
      <c r="C257" s="80">
        <f ca="1">OFFSET(产销汇总!$C$12,$B257,$C$18)</f>
        <v>160.149999999999</v>
      </c>
      <c r="D257" s="80">
        <f ca="1" t="shared" si="33"/>
        <v>775.749999999995</v>
      </c>
      <c r="E257" s="80">
        <f ca="1">OFFSET(产销汇总!$C$1,MATCH(E$19,产销汇总!$C$2:$C$9,0),$C$18)*2</f>
        <v>12</v>
      </c>
      <c r="F257" s="80">
        <f t="shared" si="42"/>
        <v>21</v>
      </c>
      <c r="G257" s="80">
        <f t="shared" si="39"/>
        <v>0</v>
      </c>
      <c r="H257" s="80">
        <f t="shared" si="34"/>
        <v>6.4</v>
      </c>
      <c r="K257" s="132">
        <f t="shared" si="35"/>
        <v>272100</v>
      </c>
      <c r="L257" s="184">
        <v>238</v>
      </c>
      <c r="M257" s="180">
        <f>SUM($N$20:N257)</f>
        <v>130773</v>
      </c>
      <c r="N257" s="180">
        <v>1140</v>
      </c>
      <c r="O257" s="180">
        <v>16610</v>
      </c>
      <c r="P257" s="180">
        <v>272011</v>
      </c>
      <c r="Q257" s="180">
        <v>0</v>
      </c>
      <c r="R257" s="180">
        <f t="shared" si="43"/>
        <v>272100</v>
      </c>
      <c r="S257" s="182">
        <f ca="1">U257-SUM($P$20:P257)/86400/(24+$C$12)*24</f>
        <v>-25.8247062684608</v>
      </c>
      <c r="T257" s="179">
        <f t="shared" si="40"/>
        <v>270300</v>
      </c>
      <c r="U257" s="179">
        <f ca="1" t="shared" si="36"/>
        <v>301</v>
      </c>
      <c r="W257" s="183">
        <v>238</v>
      </c>
      <c r="X257" s="183">
        <f ca="1" t="shared" si="37"/>
        <v>4504.49999999997</v>
      </c>
      <c r="Y257" s="183">
        <f ca="1">OFFSET(产销汇总!$C$1,MATCH("体力消耗",产销汇总!$C$2:$C$8,0),$C$18)/10*5*W257</f>
        <v>49980</v>
      </c>
      <c r="Z257" s="183">
        <f t="shared" si="41"/>
        <v>0</v>
      </c>
      <c r="AA257" s="183">
        <f ca="1" t="shared" si="38"/>
        <v>54484.5</v>
      </c>
    </row>
    <row r="258" ht="18" spans="1:27">
      <c r="A258" s="171"/>
      <c r="B258" s="80">
        <v>239</v>
      </c>
      <c r="C258" s="80">
        <f ca="1">OFFSET(产销汇总!$C$12,$B258,$C$18)</f>
        <v>160.499999999999</v>
      </c>
      <c r="D258" s="80">
        <f ca="1" t="shared" si="33"/>
        <v>777.499999999995</v>
      </c>
      <c r="E258" s="80">
        <f ca="1">OFFSET(产销汇总!$C$1,MATCH(E$19,产销汇总!$C$2:$C$9,0),$C$18)*2</f>
        <v>12</v>
      </c>
      <c r="F258" s="80">
        <f t="shared" si="42"/>
        <v>21</v>
      </c>
      <c r="G258" s="80">
        <f t="shared" si="39"/>
        <v>0</v>
      </c>
      <c r="H258" s="80">
        <f t="shared" si="34"/>
        <v>6.4</v>
      </c>
      <c r="K258" s="132">
        <f t="shared" si="35"/>
        <v>272100</v>
      </c>
      <c r="L258" s="184">
        <v>239</v>
      </c>
      <c r="M258" s="180">
        <f>SUM($N$20:N258)</f>
        <v>131918</v>
      </c>
      <c r="N258" s="180">
        <v>1145</v>
      </c>
      <c r="O258" s="180">
        <v>16680</v>
      </c>
      <c r="P258" s="180">
        <v>272072</v>
      </c>
      <c r="Q258" s="180">
        <v>0</v>
      </c>
      <c r="R258" s="180">
        <f t="shared" si="43"/>
        <v>272100</v>
      </c>
      <c r="S258" s="182">
        <f ca="1">U258-SUM($P$20:P258)/86400/(24+$C$12)*24</f>
        <v>-28.2058199321737</v>
      </c>
      <c r="T258" s="179">
        <f t="shared" si="40"/>
        <v>270300</v>
      </c>
      <c r="U258" s="179">
        <f ca="1" t="shared" si="36"/>
        <v>301</v>
      </c>
      <c r="W258" s="183">
        <v>239</v>
      </c>
      <c r="X258" s="183">
        <f ca="1" t="shared" si="37"/>
        <v>4514.99999999997</v>
      </c>
      <c r="Y258" s="183">
        <f ca="1">OFFSET(产销汇总!$C$1,MATCH("体力消耗",产销汇总!$C$2:$C$8,0),$C$18)/10*5*W258</f>
        <v>50190</v>
      </c>
      <c r="Z258" s="183">
        <f t="shared" si="41"/>
        <v>0</v>
      </c>
      <c r="AA258" s="183">
        <f ca="1" t="shared" si="38"/>
        <v>54705</v>
      </c>
    </row>
    <row r="259" ht="18" spans="1:27">
      <c r="A259" s="171"/>
      <c r="B259" s="80">
        <v>240</v>
      </c>
      <c r="C259" s="80">
        <f ca="1">OFFSET(产销汇总!$C$12,$B259,$C$18)</f>
        <v>160.849999999999</v>
      </c>
      <c r="D259" s="80">
        <f ca="1" t="shared" si="33"/>
        <v>779.249999999995</v>
      </c>
      <c r="E259" s="80">
        <f ca="1">OFFSET(产销汇总!$C$1,MATCH(E$19,产销汇总!$C$2:$C$9,0),$C$18)*2</f>
        <v>12</v>
      </c>
      <c r="F259" s="80">
        <f t="shared" si="42"/>
        <v>21</v>
      </c>
      <c r="G259" s="80">
        <f t="shared" si="39"/>
        <v>0</v>
      </c>
      <c r="H259" s="80">
        <f t="shared" si="34"/>
        <v>6.4</v>
      </c>
      <c r="K259" s="132">
        <f t="shared" si="35"/>
        <v>272400</v>
      </c>
      <c r="L259" s="184">
        <v>240</v>
      </c>
      <c r="M259" s="180">
        <f>SUM($N$20:N259)</f>
        <v>133068</v>
      </c>
      <c r="N259" s="180">
        <v>1150</v>
      </c>
      <c r="O259" s="180">
        <v>16750</v>
      </c>
      <c r="P259" s="180">
        <v>272132</v>
      </c>
      <c r="Q259" s="180">
        <v>0</v>
      </c>
      <c r="R259" s="180">
        <f t="shared" si="43"/>
        <v>272400</v>
      </c>
      <c r="S259" s="182">
        <f ca="1">U259-SUM($P$20:P259)/86400/(24+$C$12)*24</f>
        <v>-30.587458702549</v>
      </c>
      <c r="T259" s="179">
        <f t="shared" si="40"/>
        <v>270600</v>
      </c>
      <c r="U259" s="179">
        <f ca="1" t="shared" si="36"/>
        <v>301</v>
      </c>
      <c r="W259" s="183">
        <v>240</v>
      </c>
      <c r="X259" s="183">
        <f ca="1" t="shared" si="37"/>
        <v>4525.49999999997</v>
      </c>
      <c r="Y259" s="183">
        <f ca="1">OFFSET(产销汇总!$C$1,MATCH("体力消耗",产销汇总!$C$2:$C$8,0),$C$18)/10*5*W259</f>
        <v>50400</v>
      </c>
      <c r="Z259" s="183">
        <f t="shared" si="41"/>
        <v>0</v>
      </c>
      <c r="AA259" s="183">
        <f ca="1" t="shared" si="38"/>
        <v>54925.5</v>
      </c>
    </row>
    <row r="260" ht="18" spans="1:27">
      <c r="A260" s="171"/>
      <c r="B260" s="80">
        <v>241</v>
      </c>
      <c r="C260" s="80">
        <f ca="1">OFFSET(产销汇总!$C$12,$B260,$C$18)</f>
        <v>161.199999999999</v>
      </c>
      <c r="D260" s="80">
        <f ca="1" t="shared" si="33"/>
        <v>780.999999999995</v>
      </c>
      <c r="E260" s="80">
        <f ca="1">OFFSET(产销汇总!$C$1,MATCH(E$19,产销汇总!$C$2:$C$9,0),$C$18)*2</f>
        <v>12</v>
      </c>
      <c r="F260" s="80">
        <f t="shared" si="42"/>
        <v>21</v>
      </c>
      <c r="G260" s="80">
        <f t="shared" si="39"/>
        <v>0</v>
      </c>
      <c r="H260" s="80">
        <f t="shared" si="34"/>
        <v>6.4</v>
      </c>
      <c r="K260" s="132">
        <f t="shared" si="35"/>
        <v>272400</v>
      </c>
      <c r="L260" s="184">
        <v>241</v>
      </c>
      <c r="M260" s="180">
        <f>SUM($N$20:N260)</f>
        <v>134223</v>
      </c>
      <c r="N260" s="180">
        <v>1155</v>
      </c>
      <c r="O260" s="180">
        <v>16820</v>
      </c>
      <c r="P260" s="180">
        <v>272192</v>
      </c>
      <c r="Q260" s="180">
        <v>0</v>
      </c>
      <c r="R260" s="180">
        <f t="shared" si="43"/>
        <v>272400</v>
      </c>
      <c r="S260" s="182">
        <f ca="1">U260-SUM($P$20:P260)/86400/(24+$C$12)*24</f>
        <v>-32.9696225795865</v>
      </c>
      <c r="T260" s="179">
        <f t="shared" si="40"/>
        <v>270600</v>
      </c>
      <c r="U260" s="179">
        <f ca="1" t="shared" si="36"/>
        <v>301</v>
      </c>
      <c r="W260" s="183">
        <v>241</v>
      </c>
      <c r="X260" s="183">
        <f ca="1" t="shared" si="37"/>
        <v>4535.99999999997</v>
      </c>
      <c r="Y260" s="183">
        <f ca="1">OFFSET(产销汇总!$C$1,MATCH("体力消耗",产销汇总!$C$2:$C$8,0),$C$18)/10*5*W260</f>
        <v>50610</v>
      </c>
      <c r="Z260" s="183">
        <f t="shared" si="41"/>
        <v>0</v>
      </c>
      <c r="AA260" s="183">
        <f ca="1" t="shared" si="38"/>
        <v>55146</v>
      </c>
    </row>
    <row r="261" ht="18" spans="1:27">
      <c r="A261" s="171"/>
      <c r="B261" s="80">
        <v>242</v>
      </c>
      <c r="C261" s="80">
        <f ca="1">OFFSET(产销汇总!$C$12,$B261,$C$18)</f>
        <v>161.549999999999</v>
      </c>
      <c r="D261" s="80">
        <f ca="1" t="shared" si="33"/>
        <v>782.749999999995</v>
      </c>
      <c r="E261" s="80">
        <f ca="1">OFFSET(产销汇总!$C$1,MATCH(E$19,产销汇总!$C$2:$C$9,0),$C$18)*2</f>
        <v>12</v>
      </c>
      <c r="F261" s="80">
        <f t="shared" si="42"/>
        <v>21</v>
      </c>
      <c r="G261" s="80">
        <f t="shared" si="39"/>
        <v>0</v>
      </c>
      <c r="H261" s="80">
        <f t="shared" si="34"/>
        <v>6.4</v>
      </c>
      <c r="K261" s="132">
        <f t="shared" si="35"/>
        <v>272400</v>
      </c>
      <c r="L261" s="184">
        <v>242</v>
      </c>
      <c r="M261" s="180">
        <f>SUM($N$20:N261)</f>
        <v>135383</v>
      </c>
      <c r="N261" s="180">
        <v>1160</v>
      </c>
      <c r="O261" s="180">
        <v>16890</v>
      </c>
      <c r="P261" s="180">
        <v>272253</v>
      </c>
      <c r="Q261" s="180">
        <v>0</v>
      </c>
      <c r="R261" s="180">
        <f t="shared" si="43"/>
        <v>272400</v>
      </c>
      <c r="S261" s="182">
        <f ca="1">U261-SUM($P$20:P261)/86400/(24+$C$12)*24</f>
        <v>-35.352320315064</v>
      </c>
      <c r="T261" s="179">
        <f t="shared" si="40"/>
        <v>270600</v>
      </c>
      <c r="U261" s="179">
        <f ca="1" t="shared" si="36"/>
        <v>301</v>
      </c>
      <c r="W261" s="183">
        <v>242</v>
      </c>
      <c r="X261" s="183">
        <f ca="1" t="shared" si="37"/>
        <v>4546.49999999997</v>
      </c>
      <c r="Y261" s="183">
        <f ca="1">OFFSET(产销汇总!$C$1,MATCH("体力消耗",产销汇总!$C$2:$C$8,0),$C$18)/10*5*W261</f>
        <v>50820</v>
      </c>
      <c r="Z261" s="183">
        <f t="shared" si="41"/>
        <v>0</v>
      </c>
      <c r="AA261" s="183">
        <f ca="1" t="shared" si="38"/>
        <v>55366.5</v>
      </c>
    </row>
    <row r="262" ht="18" spans="1:27">
      <c r="A262" s="171"/>
      <c r="B262" s="80">
        <v>243</v>
      </c>
      <c r="C262" s="80">
        <f ca="1">OFFSET(产销汇总!$C$12,$B262,$C$18)</f>
        <v>161.899999999999</v>
      </c>
      <c r="D262" s="80">
        <f ca="1" t="shared" si="33"/>
        <v>784.499999999995</v>
      </c>
      <c r="E262" s="80">
        <f ca="1">OFFSET(产销汇总!$C$1,MATCH(E$19,产销汇总!$C$2:$C$9,0),$C$18)*2</f>
        <v>12</v>
      </c>
      <c r="F262" s="80">
        <f t="shared" si="42"/>
        <v>21</v>
      </c>
      <c r="G262" s="80">
        <f t="shared" si="39"/>
        <v>0</v>
      </c>
      <c r="H262" s="80">
        <f t="shared" si="34"/>
        <v>6.4</v>
      </c>
      <c r="K262" s="132">
        <f t="shared" si="35"/>
        <v>272400</v>
      </c>
      <c r="L262" s="184">
        <v>243</v>
      </c>
      <c r="M262" s="180">
        <f>SUM($N$20:N262)</f>
        <v>136548</v>
      </c>
      <c r="N262" s="180">
        <v>1165</v>
      </c>
      <c r="O262" s="180">
        <v>16960</v>
      </c>
      <c r="P262" s="180">
        <v>272313</v>
      </c>
      <c r="Q262" s="180">
        <v>0</v>
      </c>
      <c r="R262" s="180">
        <f t="shared" si="43"/>
        <v>272400</v>
      </c>
      <c r="S262" s="182">
        <f ca="1">U262-SUM($P$20:P262)/86400/(24+$C$12)*24</f>
        <v>-37.7355431572038</v>
      </c>
      <c r="T262" s="179">
        <f t="shared" si="40"/>
        <v>270600</v>
      </c>
      <c r="U262" s="179">
        <f ca="1" t="shared" si="36"/>
        <v>301</v>
      </c>
      <c r="W262" s="183">
        <v>243</v>
      </c>
      <c r="X262" s="183">
        <f ca="1" t="shared" si="37"/>
        <v>4556.99999999997</v>
      </c>
      <c r="Y262" s="183">
        <f ca="1">OFFSET(产销汇总!$C$1,MATCH("体力消耗",产销汇总!$C$2:$C$8,0),$C$18)/10*5*W262</f>
        <v>51030</v>
      </c>
      <c r="Z262" s="183">
        <f t="shared" si="41"/>
        <v>0</v>
      </c>
      <c r="AA262" s="183">
        <f ca="1" t="shared" si="38"/>
        <v>55587</v>
      </c>
    </row>
    <row r="263" ht="18" spans="1:27">
      <c r="A263" s="171"/>
      <c r="B263" s="80">
        <v>244</v>
      </c>
      <c r="C263" s="80">
        <f ca="1">OFFSET(产销汇总!$C$12,$B263,$C$18)</f>
        <v>162.249999999999</v>
      </c>
      <c r="D263" s="80">
        <f ca="1" t="shared" si="33"/>
        <v>786.249999999995</v>
      </c>
      <c r="E263" s="80">
        <f ca="1">OFFSET(产销汇总!$C$1,MATCH(E$19,产销汇总!$C$2:$C$9,0),$C$18)*2</f>
        <v>12</v>
      </c>
      <c r="F263" s="80">
        <f t="shared" si="42"/>
        <v>21</v>
      </c>
      <c r="G263" s="80">
        <f t="shared" si="39"/>
        <v>0</v>
      </c>
      <c r="H263" s="80">
        <f t="shared" si="34"/>
        <v>6.4</v>
      </c>
      <c r="K263" s="132">
        <f t="shared" si="35"/>
        <v>272400</v>
      </c>
      <c r="L263" s="184">
        <v>244</v>
      </c>
      <c r="M263" s="180">
        <f>SUM($N$20:N263)</f>
        <v>137718</v>
      </c>
      <c r="N263" s="180">
        <v>1170</v>
      </c>
      <c r="O263" s="180">
        <v>17030</v>
      </c>
      <c r="P263" s="180">
        <v>272374</v>
      </c>
      <c r="Q263" s="180">
        <v>0</v>
      </c>
      <c r="R263" s="180">
        <f t="shared" si="43"/>
        <v>272400</v>
      </c>
      <c r="S263" s="182">
        <f ca="1">U263-SUM($P$20:P263)/86400/(24+$C$12)*24</f>
        <v>-40.1192998577836</v>
      </c>
      <c r="T263" s="179">
        <f t="shared" si="40"/>
        <v>270600</v>
      </c>
      <c r="U263" s="179">
        <f ca="1" t="shared" si="36"/>
        <v>301</v>
      </c>
      <c r="W263" s="183">
        <v>244</v>
      </c>
      <c r="X263" s="183">
        <f ca="1" t="shared" si="37"/>
        <v>4567.49999999997</v>
      </c>
      <c r="Y263" s="183">
        <f ca="1">OFFSET(产销汇总!$C$1,MATCH("体力消耗",产销汇总!$C$2:$C$8,0),$C$18)/10*5*W263</f>
        <v>51240</v>
      </c>
      <c r="Z263" s="183">
        <f t="shared" si="41"/>
        <v>0</v>
      </c>
      <c r="AA263" s="183">
        <f ca="1" t="shared" si="38"/>
        <v>55807.5</v>
      </c>
    </row>
    <row r="264" ht="18" spans="1:27">
      <c r="A264" s="171"/>
      <c r="B264" s="80">
        <v>245</v>
      </c>
      <c r="C264" s="80">
        <f ca="1">OFFSET(产销汇总!$C$12,$B264,$C$18)</f>
        <v>162.599999999999</v>
      </c>
      <c r="D264" s="80">
        <f ca="1" t="shared" si="33"/>
        <v>787.999999999995</v>
      </c>
      <c r="E264" s="80">
        <f ca="1">OFFSET(产销汇总!$C$1,MATCH(E$19,产销汇总!$C$2:$C$9,0),$C$18)*2</f>
        <v>12</v>
      </c>
      <c r="F264" s="80">
        <f t="shared" si="42"/>
        <v>21</v>
      </c>
      <c r="G264" s="80">
        <f t="shared" si="39"/>
        <v>0</v>
      </c>
      <c r="H264" s="80">
        <f t="shared" si="34"/>
        <v>6.4</v>
      </c>
      <c r="K264" s="132">
        <f t="shared" si="35"/>
        <v>272700</v>
      </c>
      <c r="L264" s="184">
        <v>245</v>
      </c>
      <c r="M264" s="180">
        <f>SUM($N$20:N264)</f>
        <v>138893</v>
      </c>
      <c r="N264" s="180">
        <v>1175</v>
      </c>
      <c r="O264" s="180">
        <v>17100</v>
      </c>
      <c r="P264" s="180">
        <v>272434</v>
      </c>
      <c r="Q264" s="180">
        <v>0</v>
      </c>
      <c r="R264" s="180">
        <f t="shared" si="43"/>
        <v>272700</v>
      </c>
      <c r="S264" s="182">
        <f ca="1">U264-SUM($P$20:P264)/86400/(24+$C$12)*24</f>
        <v>-42.5035816650257</v>
      </c>
      <c r="T264" s="179">
        <f t="shared" si="40"/>
        <v>270900</v>
      </c>
      <c r="U264" s="179">
        <f ca="1" t="shared" si="36"/>
        <v>301</v>
      </c>
      <c r="W264" s="183">
        <v>245</v>
      </c>
      <c r="X264" s="183">
        <f ca="1" t="shared" si="37"/>
        <v>4577.99999999997</v>
      </c>
      <c r="Y264" s="183">
        <f ca="1">OFFSET(产销汇总!$C$1,MATCH("体力消耗",产销汇总!$C$2:$C$8,0),$C$18)/10*5*W264</f>
        <v>51450</v>
      </c>
      <c r="Z264" s="183">
        <f t="shared" si="41"/>
        <v>0</v>
      </c>
      <c r="AA264" s="183">
        <f ca="1" t="shared" si="38"/>
        <v>56028</v>
      </c>
    </row>
    <row r="265" ht="18" spans="1:27">
      <c r="A265" s="171"/>
      <c r="B265" s="80">
        <v>246</v>
      </c>
      <c r="C265" s="80">
        <f ca="1">OFFSET(产销汇总!$C$12,$B265,$C$18)</f>
        <v>162.949999999999</v>
      </c>
      <c r="D265" s="80">
        <f ca="1" t="shared" si="33"/>
        <v>789.749999999995</v>
      </c>
      <c r="E265" s="80">
        <f ca="1">OFFSET(产销汇总!$C$1,MATCH(E$19,产销汇总!$C$2:$C$9,0),$C$18)*2</f>
        <v>12</v>
      </c>
      <c r="F265" s="80">
        <f t="shared" si="42"/>
        <v>21</v>
      </c>
      <c r="G265" s="80">
        <f t="shared" si="39"/>
        <v>0</v>
      </c>
      <c r="H265" s="80">
        <f t="shared" si="34"/>
        <v>6.4</v>
      </c>
      <c r="K265" s="132">
        <f t="shared" si="35"/>
        <v>272700</v>
      </c>
      <c r="L265" s="184">
        <v>246</v>
      </c>
      <c r="M265" s="180">
        <f>SUM($N$20:N265)</f>
        <v>140073</v>
      </c>
      <c r="N265" s="180">
        <v>1180</v>
      </c>
      <c r="O265" s="180">
        <v>17170</v>
      </c>
      <c r="P265" s="180">
        <v>272495</v>
      </c>
      <c r="Q265" s="180">
        <v>0</v>
      </c>
      <c r="R265" s="180">
        <f t="shared" si="43"/>
        <v>272700</v>
      </c>
      <c r="S265" s="182">
        <f ca="1">U265-SUM($P$20:P265)/86400/(24+$C$12)*24</f>
        <v>-44.8883973307078</v>
      </c>
      <c r="T265" s="179">
        <f t="shared" si="40"/>
        <v>270900</v>
      </c>
      <c r="U265" s="179">
        <f ca="1" t="shared" si="36"/>
        <v>301</v>
      </c>
      <c r="W265" s="183">
        <v>246</v>
      </c>
      <c r="X265" s="183">
        <f ca="1" t="shared" si="37"/>
        <v>4588.49999999997</v>
      </c>
      <c r="Y265" s="183">
        <f ca="1">OFFSET(产销汇总!$C$1,MATCH("体力消耗",产销汇总!$C$2:$C$8,0),$C$18)/10*5*W265</f>
        <v>51660</v>
      </c>
      <c r="Z265" s="183">
        <f t="shared" si="41"/>
        <v>0</v>
      </c>
      <c r="AA265" s="183">
        <f ca="1" t="shared" si="38"/>
        <v>56248.5</v>
      </c>
    </row>
    <row r="266" ht="18" spans="1:27">
      <c r="A266" s="171"/>
      <c r="B266" s="80">
        <v>247</v>
      </c>
      <c r="C266" s="80">
        <f ca="1">OFFSET(产销汇总!$C$12,$B266,$C$18)</f>
        <v>163.299999999999</v>
      </c>
      <c r="D266" s="80">
        <f ca="1" t="shared" si="33"/>
        <v>791.499999999995</v>
      </c>
      <c r="E266" s="80">
        <f ca="1">OFFSET(产销汇总!$C$1,MATCH(E$19,产销汇总!$C$2:$C$9,0),$C$18)*2</f>
        <v>12</v>
      </c>
      <c r="F266" s="80">
        <f t="shared" si="42"/>
        <v>21</v>
      </c>
      <c r="G266" s="80">
        <f t="shared" si="39"/>
        <v>0</v>
      </c>
      <c r="H266" s="80">
        <f t="shared" si="34"/>
        <v>6.4</v>
      </c>
      <c r="K266" s="132">
        <f t="shared" si="35"/>
        <v>272700</v>
      </c>
      <c r="L266" s="184">
        <v>247</v>
      </c>
      <c r="M266" s="180">
        <f>SUM($N$20:N266)</f>
        <v>141258</v>
      </c>
      <c r="N266" s="180">
        <v>1185</v>
      </c>
      <c r="O266" s="180">
        <v>17240</v>
      </c>
      <c r="P266" s="180">
        <v>272555</v>
      </c>
      <c r="Q266" s="180">
        <v>0</v>
      </c>
      <c r="R266" s="180">
        <f t="shared" si="43"/>
        <v>272700</v>
      </c>
      <c r="S266" s="182">
        <f ca="1">U266-SUM($P$20:P266)/86400/(24+$C$12)*24</f>
        <v>-47.2737381030522</v>
      </c>
      <c r="T266" s="179">
        <f t="shared" si="40"/>
        <v>270900</v>
      </c>
      <c r="U266" s="179">
        <f ca="1" t="shared" si="36"/>
        <v>301</v>
      </c>
      <c r="W266" s="183">
        <v>247</v>
      </c>
      <c r="X266" s="183">
        <f ca="1" t="shared" si="37"/>
        <v>4598.99999999997</v>
      </c>
      <c r="Y266" s="183">
        <f ca="1">OFFSET(产销汇总!$C$1,MATCH("体力消耗",产销汇总!$C$2:$C$8,0),$C$18)/10*5*W266</f>
        <v>51870</v>
      </c>
      <c r="Z266" s="183">
        <f t="shared" si="41"/>
        <v>0</v>
      </c>
      <c r="AA266" s="183">
        <f ca="1" t="shared" si="38"/>
        <v>56469</v>
      </c>
    </row>
    <row r="267" ht="18" spans="1:27">
      <c r="A267" s="171"/>
      <c r="B267" s="80">
        <v>248</v>
      </c>
      <c r="C267" s="80">
        <f ca="1">OFFSET(产销汇总!$C$12,$B267,$C$18)</f>
        <v>163.649999999999</v>
      </c>
      <c r="D267" s="80">
        <f ca="1" t="shared" si="33"/>
        <v>793.249999999995</v>
      </c>
      <c r="E267" s="80">
        <f ca="1">OFFSET(产销汇总!$C$1,MATCH(E$19,产销汇总!$C$2:$C$9,0),$C$18)*2</f>
        <v>12</v>
      </c>
      <c r="F267" s="80">
        <f t="shared" si="42"/>
        <v>21</v>
      </c>
      <c r="G267" s="80">
        <f t="shared" si="39"/>
        <v>0</v>
      </c>
      <c r="H267" s="80">
        <f t="shared" si="34"/>
        <v>6.4</v>
      </c>
      <c r="K267" s="132">
        <f t="shared" si="35"/>
        <v>272700</v>
      </c>
      <c r="L267" s="184">
        <v>248</v>
      </c>
      <c r="M267" s="180">
        <f>SUM($N$20:N267)</f>
        <v>142448</v>
      </c>
      <c r="N267" s="180">
        <v>1190</v>
      </c>
      <c r="O267" s="180">
        <v>17310</v>
      </c>
      <c r="P267" s="180">
        <v>272616</v>
      </c>
      <c r="Q267" s="180">
        <v>0</v>
      </c>
      <c r="R267" s="180">
        <f t="shared" si="43"/>
        <v>272700</v>
      </c>
      <c r="S267" s="182">
        <f ca="1">U267-SUM($P$20:P267)/86400/(24+$C$12)*24</f>
        <v>-49.6596127338365</v>
      </c>
      <c r="T267" s="179">
        <f t="shared" si="40"/>
        <v>270900</v>
      </c>
      <c r="U267" s="179">
        <f ca="1" t="shared" si="36"/>
        <v>301</v>
      </c>
      <c r="W267" s="183">
        <v>248</v>
      </c>
      <c r="X267" s="183">
        <f ca="1" t="shared" si="37"/>
        <v>4609.49999999997</v>
      </c>
      <c r="Y267" s="183">
        <f ca="1">OFFSET(产销汇总!$C$1,MATCH("体力消耗",产销汇总!$C$2:$C$8,0),$C$18)/10*5*W267</f>
        <v>52080</v>
      </c>
      <c r="Z267" s="183">
        <f t="shared" si="41"/>
        <v>0</v>
      </c>
      <c r="AA267" s="183">
        <f ca="1" t="shared" si="38"/>
        <v>56689.5</v>
      </c>
    </row>
    <row r="268" ht="18" spans="1:27">
      <c r="A268" s="171"/>
      <c r="B268" s="80">
        <v>249</v>
      </c>
      <c r="C268" s="80">
        <f ca="1">OFFSET(产销汇总!$C$12,$B268,$C$18)</f>
        <v>163.999999999999</v>
      </c>
      <c r="D268" s="80">
        <f ca="1" t="shared" si="33"/>
        <v>794.999999999995</v>
      </c>
      <c r="E268" s="80">
        <f ca="1">OFFSET(产销汇总!$C$1,MATCH(E$19,产销汇总!$C$2:$C$9,0),$C$18)*2</f>
        <v>12</v>
      </c>
      <c r="F268" s="80">
        <f t="shared" si="42"/>
        <v>21</v>
      </c>
      <c r="G268" s="80">
        <f t="shared" si="39"/>
        <v>0</v>
      </c>
      <c r="H268" s="80">
        <f t="shared" si="34"/>
        <v>6.4</v>
      </c>
      <c r="K268" s="132">
        <f t="shared" si="35"/>
        <v>272700</v>
      </c>
      <c r="L268" s="184">
        <v>249</v>
      </c>
      <c r="M268" s="180">
        <f>SUM($N$20:N268)</f>
        <v>143643</v>
      </c>
      <c r="N268" s="180">
        <v>1195</v>
      </c>
      <c r="O268" s="180">
        <v>17380</v>
      </c>
      <c r="P268" s="180">
        <v>272676</v>
      </c>
      <c r="Q268" s="180">
        <v>0</v>
      </c>
      <c r="R268" s="180">
        <f t="shared" si="43"/>
        <v>272700</v>
      </c>
      <c r="S268" s="182">
        <f ca="1">U268-SUM($P$20:P268)/86400/(24+$C$12)*24</f>
        <v>-52.0460124712833</v>
      </c>
      <c r="T268" s="179">
        <f t="shared" si="40"/>
        <v>270900</v>
      </c>
      <c r="U268" s="179">
        <f ca="1" t="shared" si="36"/>
        <v>301</v>
      </c>
      <c r="W268" s="183">
        <v>249</v>
      </c>
      <c r="X268" s="183">
        <f ca="1" t="shared" si="37"/>
        <v>4619.99999999997</v>
      </c>
      <c r="Y268" s="183">
        <f ca="1">OFFSET(产销汇总!$C$1,MATCH("体力消耗",产销汇总!$C$2:$C$8,0),$C$18)/10*5*W268</f>
        <v>52290</v>
      </c>
      <c r="Z268" s="183">
        <f t="shared" si="41"/>
        <v>0</v>
      </c>
      <c r="AA268" s="183">
        <f ca="1" t="shared" si="38"/>
        <v>56910</v>
      </c>
    </row>
    <row r="269" ht="18" spans="1:27">
      <c r="A269" s="171"/>
      <c r="B269" s="80">
        <v>250</v>
      </c>
      <c r="C269" s="80">
        <f ca="1">OFFSET(产销汇总!$C$12,$B269,$C$18)</f>
        <v>164.349999999999</v>
      </c>
      <c r="D269" s="80">
        <f ca="1" t="shared" si="33"/>
        <v>796.749999999995</v>
      </c>
      <c r="E269" s="80">
        <f ca="1">OFFSET(产销汇总!$C$1,MATCH(E$19,产销汇总!$C$2:$C$9,0),$C$18)*2</f>
        <v>12</v>
      </c>
      <c r="F269" s="80">
        <f t="shared" si="42"/>
        <v>21</v>
      </c>
      <c r="G269" s="80">
        <f t="shared" si="39"/>
        <v>0</v>
      </c>
      <c r="H269" s="80">
        <f t="shared" si="34"/>
        <v>6.4</v>
      </c>
      <c r="K269" s="132">
        <f t="shared" si="35"/>
        <v>273000</v>
      </c>
      <c r="L269" s="184">
        <v>250</v>
      </c>
      <c r="M269" s="180">
        <f>SUM($N$20:N269)</f>
        <v>144843</v>
      </c>
      <c r="N269" s="180">
        <v>1200</v>
      </c>
      <c r="O269" s="180">
        <v>17450</v>
      </c>
      <c r="P269" s="180">
        <v>272737</v>
      </c>
      <c r="Q269" s="180">
        <v>0</v>
      </c>
      <c r="R269" s="180">
        <f t="shared" si="43"/>
        <v>273000</v>
      </c>
      <c r="S269" s="182">
        <f ca="1">U269-SUM($P$20:P269)/86400/(24+$C$12)*24</f>
        <v>-54.4329460671699</v>
      </c>
      <c r="T269" s="179">
        <f t="shared" si="40"/>
        <v>271200</v>
      </c>
      <c r="U269" s="179">
        <f ca="1" t="shared" si="36"/>
        <v>301</v>
      </c>
      <c r="W269" s="183">
        <v>250</v>
      </c>
      <c r="X269" s="183">
        <f ca="1" t="shared" si="37"/>
        <v>4630.49999999997</v>
      </c>
      <c r="Y269" s="183">
        <f ca="1">OFFSET(产销汇总!$C$1,MATCH("体力消耗",产销汇总!$C$2:$C$8,0),$C$18)/10*5*W269</f>
        <v>52500</v>
      </c>
      <c r="Z269" s="183">
        <f t="shared" si="41"/>
        <v>0</v>
      </c>
      <c r="AA269" s="183">
        <f ca="1" t="shared" si="38"/>
        <v>57130.5</v>
      </c>
    </row>
    <row r="270" ht="18" spans="1:27">
      <c r="A270" s="171"/>
      <c r="B270" s="80">
        <v>251</v>
      </c>
      <c r="C270" s="80">
        <f ca="1">OFFSET(产销汇总!$C$12,$B270,$C$18)</f>
        <v>164.699999999999</v>
      </c>
      <c r="D270" s="80">
        <f ca="1" t="shared" si="33"/>
        <v>798.499999999995</v>
      </c>
      <c r="E270" s="80">
        <f ca="1">OFFSET(产销汇总!$C$1,MATCH(E$19,产销汇总!$C$2:$C$9,0),$C$18)*2</f>
        <v>12</v>
      </c>
      <c r="F270" s="80">
        <f t="shared" si="42"/>
        <v>21</v>
      </c>
      <c r="G270" s="80">
        <f t="shared" si="39"/>
        <v>0</v>
      </c>
      <c r="H270" s="80">
        <f t="shared" si="34"/>
        <v>6.4</v>
      </c>
      <c r="K270" s="132">
        <f t="shared" si="35"/>
        <v>273000</v>
      </c>
      <c r="L270" s="184">
        <v>251</v>
      </c>
      <c r="M270" s="180">
        <f>SUM($N$20:N270)</f>
        <v>146048</v>
      </c>
      <c r="N270" s="180">
        <v>1205</v>
      </c>
      <c r="O270" s="180">
        <v>17520</v>
      </c>
      <c r="P270" s="180">
        <v>272797</v>
      </c>
      <c r="Q270" s="180">
        <v>0</v>
      </c>
      <c r="R270" s="180">
        <f t="shared" si="43"/>
        <v>273000</v>
      </c>
      <c r="S270" s="182">
        <f ca="1">U270-SUM($P$20:P270)/86400/(24+$C$12)*24</f>
        <v>-56.8204047697188</v>
      </c>
      <c r="T270" s="179">
        <f t="shared" si="40"/>
        <v>271200</v>
      </c>
      <c r="U270" s="179">
        <f ca="1" t="shared" si="36"/>
        <v>301</v>
      </c>
      <c r="W270" s="183">
        <v>251</v>
      </c>
      <c r="X270" s="183">
        <f ca="1" t="shared" si="37"/>
        <v>4640.99999999997</v>
      </c>
      <c r="Y270" s="183">
        <f ca="1">OFFSET(产销汇总!$C$1,MATCH("体力消耗",产销汇总!$C$2:$C$8,0),$C$18)/10*5*W270</f>
        <v>52710</v>
      </c>
      <c r="Z270" s="183">
        <f t="shared" si="41"/>
        <v>0</v>
      </c>
      <c r="AA270" s="183">
        <f ca="1" t="shared" si="38"/>
        <v>57351</v>
      </c>
    </row>
    <row r="271" ht="18" spans="1:27">
      <c r="A271" s="171"/>
      <c r="B271" s="80">
        <v>252</v>
      </c>
      <c r="C271" s="80">
        <f ca="1">OFFSET(产销汇总!$C$12,$B271,$C$18)</f>
        <v>165.049999999999</v>
      </c>
      <c r="D271" s="80">
        <f ca="1" t="shared" si="33"/>
        <v>800.249999999995</v>
      </c>
      <c r="E271" s="80">
        <f ca="1">OFFSET(产销汇总!$C$1,MATCH(E$19,产销汇总!$C$2:$C$9,0),$C$18)*2</f>
        <v>12</v>
      </c>
      <c r="F271" s="80">
        <f t="shared" si="42"/>
        <v>21</v>
      </c>
      <c r="G271" s="80">
        <f t="shared" si="39"/>
        <v>0</v>
      </c>
      <c r="H271" s="80">
        <f t="shared" si="34"/>
        <v>6.4</v>
      </c>
      <c r="K271" s="132">
        <f t="shared" si="35"/>
        <v>273000</v>
      </c>
      <c r="L271" s="184">
        <v>252</v>
      </c>
      <c r="M271" s="180">
        <f>SUM($N$20:N271)</f>
        <v>147258</v>
      </c>
      <c r="N271" s="180">
        <v>1210</v>
      </c>
      <c r="O271" s="180">
        <v>17590</v>
      </c>
      <c r="P271" s="180">
        <v>272858</v>
      </c>
      <c r="Q271" s="180">
        <v>0</v>
      </c>
      <c r="R271" s="180">
        <f t="shared" si="43"/>
        <v>273000</v>
      </c>
      <c r="S271" s="182">
        <f ca="1">U271-SUM($P$20:P271)/86400/(24+$C$12)*24</f>
        <v>-59.2083973307078</v>
      </c>
      <c r="T271" s="179">
        <f t="shared" si="40"/>
        <v>271200</v>
      </c>
      <c r="U271" s="179">
        <f ca="1" t="shared" si="36"/>
        <v>301</v>
      </c>
      <c r="W271" s="183">
        <v>252</v>
      </c>
      <c r="X271" s="183">
        <f ca="1" t="shared" si="37"/>
        <v>4651.49999999997</v>
      </c>
      <c r="Y271" s="183">
        <f ca="1">OFFSET(产销汇总!$C$1,MATCH("体力消耗",产销汇总!$C$2:$C$8,0),$C$18)/10*5*W271</f>
        <v>52920</v>
      </c>
      <c r="Z271" s="183">
        <f t="shared" si="41"/>
        <v>0</v>
      </c>
      <c r="AA271" s="183">
        <f ca="1" t="shared" si="38"/>
        <v>57571.5</v>
      </c>
    </row>
    <row r="272" ht="18" spans="1:27">
      <c r="A272" s="171"/>
      <c r="B272" s="80">
        <v>253</v>
      </c>
      <c r="C272" s="80">
        <f ca="1">OFFSET(产销汇总!$C$12,$B272,$C$18)</f>
        <v>165.399999999999</v>
      </c>
      <c r="D272" s="80">
        <f ca="1" t="shared" si="33"/>
        <v>801.999999999995</v>
      </c>
      <c r="E272" s="80">
        <f ca="1">OFFSET(产销汇总!$C$1,MATCH(E$19,产销汇总!$C$2:$C$9,0),$C$18)*2</f>
        <v>12</v>
      </c>
      <c r="F272" s="80">
        <f t="shared" si="42"/>
        <v>21</v>
      </c>
      <c r="G272" s="80">
        <f t="shared" si="39"/>
        <v>0</v>
      </c>
      <c r="H272" s="80">
        <f t="shared" si="34"/>
        <v>6.4</v>
      </c>
      <c r="K272" s="132">
        <f t="shared" si="35"/>
        <v>273000</v>
      </c>
      <c r="L272" s="184">
        <v>253</v>
      </c>
      <c r="M272" s="180">
        <f>SUM($N$20:N272)</f>
        <v>148473</v>
      </c>
      <c r="N272" s="180">
        <v>1215</v>
      </c>
      <c r="O272" s="180">
        <v>17660</v>
      </c>
      <c r="P272" s="180">
        <v>272918</v>
      </c>
      <c r="Q272" s="180">
        <v>0</v>
      </c>
      <c r="R272" s="180">
        <f t="shared" si="43"/>
        <v>273000</v>
      </c>
      <c r="S272" s="182">
        <f ca="1">U272-SUM($P$20:P272)/86400/(24+$C$12)*24</f>
        <v>-61.596914998359</v>
      </c>
      <c r="T272" s="179">
        <f t="shared" si="40"/>
        <v>271200</v>
      </c>
      <c r="U272" s="179">
        <f ca="1" t="shared" si="36"/>
        <v>301</v>
      </c>
      <c r="W272" s="183">
        <v>253</v>
      </c>
      <c r="X272" s="183">
        <f ca="1" t="shared" si="37"/>
        <v>4661.99999999997</v>
      </c>
      <c r="Y272" s="183">
        <f ca="1">OFFSET(产销汇总!$C$1,MATCH("体力消耗",产销汇总!$C$2:$C$8,0),$C$18)/10*5*W272</f>
        <v>53130</v>
      </c>
      <c r="Z272" s="183">
        <f t="shared" si="41"/>
        <v>0</v>
      </c>
      <c r="AA272" s="183">
        <f ca="1" t="shared" si="38"/>
        <v>57792</v>
      </c>
    </row>
    <row r="273" ht="18" spans="1:27">
      <c r="A273" s="171"/>
      <c r="B273" s="80">
        <v>254</v>
      </c>
      <c r="C273" s="80">
        <f ca="1">OFFSET(产销汇总!$C$12,$B273,$C$18)</f>
        <v>165.749999999999</v>
      </c>
      <c r="D273" s="80">
        <f ca="1" t="shared" si="33"/>
        <v>803.749999999995</v>
      </c>
      <c r="E273" s="80">
        <f ca="1">OFFSET(产销汇总!$C$1,MATCH(E$19,产销汇总!$C$2:$C$9,0),$C$18)*2</f>
        <v>12</v>
      </c>
      <c r="F273" s="80">
        <f t="shared" si="42"/>
        <v>21</v>
      </c>
      <c r="G273" s="80">
        <f t="shared" si="39"/>
        <v>0</v>
      </c>
      <c r="H273" s="80">
        <f t="shared" si="34"/>
        <v>6.4</v>
      </c>
      <c r="K273" s="132">
        <f t="shared" si="35"/>
        <v>273000</v>
      </c>
      <c r="L273" s="184">
        <v>254</v>
      </c>
      <c r="M273" s="180">
        <f>SUM($N$20:N273)</f>
        <v>149693</v>
      </c>
      <c r="N273" s="180">
        <v>1220</v>
      </c>
      <c r="O273" s="180">
        <v>17730</v>
      </c>
      <c r="P273" s="180">
        <v>272979</v>
      </c>
      <c r="Q273" s="180">
        <v>0</v>
      </c>
      <c r="R273" s="180">
        <f t="shared" si="43"/>
        <v>273000</v>
      </c>
      <c r="S273" s="182">
        <f ca="1">U273-SUM($P$20:P273)/86400/(24+$C$12)*24</f>
        <v>-63.9859665244503</v>
      </c>
      <c r="T273" s="179">
        <f t="shared" si="40"/>
        <v>271200</v>
      </c>
      <c r="U273" s="179">
        <f ca="1" t="shared" si="36"/>
        <v>301</v>
      </c>
      <c r="W273" s="183">
        <v>254</v>
      </c>
      <c r="X273" s="183">
        <f ca="1" t="shared" si="37"/>
        <v>4672.49999999997</v>
      </c>
      <c r="Y273" s="183">
        <f ca="1">OFFSET(产销汇总!$C$1,MATCH("体力消耗",产销汇总!$C$2:$C$8,0),$C$18)/10*5*W273</f>
        <v>53340</v>
      </c>
      <c r="Z273" s="183">
        <f t="shared" si="41"/>
        <v>0</v>
      </c>
      <c r="AA273" s="183">
        <f ca="1" t="shared" si="38"/>
        <v>58012.5</v>
      </c>
    </row>
    <row r="274" ht="18" spans="1:27">
      <c r="A274" s="171"/>
      <c r="B274" s="80">
        <v>255</v>
      </c>
      <c r="C274" s="80">
        <f ca="1">OFFSET(产销汇总!$C$12,$B274,$C$18)</f>
        <v>166.099999999999</v>
      </c>
      <c r="D274" s="80">
        <f ca="1" t="shared" si="33"/>
        <v>805.499999999995</v>
      </c>
      <c r="E274" s="80">
        <f ca="1">OFFSET(产销汇总!$C$1,MATCH(E$19,产销汇总!$C$2:$C$9,0),$C$18)*2</f>
        <v>12</v>
      </c>
      <c r="F274" s="80">
        <f t="shared" si="42"/>
        <v>21</v>
      </c>
      <c r="G274" s="80">
        <f t="shared" si="39"/>
        <v>0</v>
      </c>
      <c r="H274" s="80">
        <f t="shared" si="34"/>
        <v>6.4</v>
      </c>
      <c r="K274" s="132">
        <f t="shared" si="35"/>
        <v>273300</v>
      </c>
      <c r="L274" s="184">
        <v>255</v>
      </c>
      <c r="M274" s="180">
        <f>SUM($N$20:N274)</f>
        <v>150918</v>
      </c>
      <c r="N274" s="180">
        <v>1225</v>
      </c>
      <c r="O274" s="180">
        <v>17800</v>
      </c>
      <c r="P274" s="180">
        <v>273039</v>
      </c>
      <c r="Q274" s="180">
        <v>0</v>
      </c>
      <c r="R274" s="180">
        <f t="shared" si="43"/>
        <v>273300</v>
      </c>
      <c r="S274" s="182">
        <f ca="1">U274-SUM($P$20:P274)/86400/(24+$C$12)*24</f>
        <v>-66.3755431572038</v>
      </c>
      <c r="T274" s="179">
        <f t="shared" si="40"/>
        <v>271500</v>
      </c>
      <c r="U274" s="179">
        <f ca="1" t="shared" si="36"/>
        <v>301</v>
      </c>
      <c r="W274" s="183">
        <v>255</v>
      </c>
      <c r="X274" s="183">
        <f ca="1" t="shared" si="37"/>
        <v>4682.99999999997</v>
      </c>
      <c r="Y274" s="183">
        <f ca="1">OFFSET(产销汇总!$C$1,MATCH("体力消耗",产销汇总!$C$2:$C$8,0),$C$18)/10*5*W274</f>
        <v>53550</v>
      </c>
      <c r="Z274" s="183">
        <f t="shared" si="41"/>
        <v>0</v>
      </c>
      <c r="AA274" s="183">
        <f ca="1" t="shared" si="38"/>
        <v>58233</v>
      </c>
    </row>
    <row r="275" ht="18" spans="1:27">
      <c r="A275" s="171"/>
      <c r="B275" s="80">
        <v>256</v>
      </c>
      <c r="C275" s="80">
        <f ca="1">OFFSET(产销汇总!$C$12,$B275,$C$18)</f>
        <v>166.449999999999</v>
      </c>
      <c r="D275" s="80">
        <f ca="1" t="shared" si="33"/>
        <v>807.249999999995</v>
      </c>
      <c r="E275" s="80">
        <f ca="1">OFFSET(产销汇总!$C$1,MATCH(E$19,产销汇总!$C$2:$C$9,0),$C$18)*2</f>
        <v>12</v>
      </c>
      <c r="F275" s="80">
        <f t="shared" si="42"/>
        <v>21</v>
      </c>
      <c r="G275" s="80">
        <f t="shared" si="39"/>
        <v>0</v>
      </c>
      <c r="H275" s="80">
        <f t="shared" si="34"/>
        <v>6.4</v>
      </c>
      <c r="K275" s="132">
        <f t="shared" si="35"/>
        <v>273300</v>
      </c>
      <c r="L275" s="184">
        <v>256</v>
      </c>
      <c r="M275" s="180">
        <f>SUM($N$20:N275)</f>
        <v>152148</v>
      </c>
      <c r="N275" s="180">
        <v>1230</v>
      </c>
      <c r="O275" s="180">
        <v>17870</v>
      </c>
      <c r="P275" s="180">
        <v>273100</v>
      </c>
      <c r="Q275" s="180">
        <v>0</v>
      </c>
      <c r="R275" s="180">
        <f t="shared" si="43"/>
        <v>273300</v>
      </c>
      <c r="S275" s="182">
        <f ca="1">U275-SUM($P$20:P275)/86400/(24+$C$12)*24</f>
        <v>-68.7656536483973</v>
      </c>
      <c r="T275" s="179">
        <f t="shared" si="40"/>
        <v>271500</v>
      </c>
      <c r="U275" s="179">
        <f ca="1" t="shared" si="36"/>
        <v>301</v>
      </c>
      <c r="W275" s="183">
        <v>256</v>
      </c>
      <c r="X275" s="183">
        <f ca="1" t="shared" si="37"/>
        <v>4693.49999999997</v>
      </c>
      <c r="Y275" s="183">
        <f ca="1">OFFSET(产销汇总!$C$1,MATCH("体力消耗",产销汇总!$C$2:$C$8,0),$C$18)/10*5*W275</f>
        <v>53760</v>
      </c>
      <c r="Z275" s="183">
        <f t="shared" si="41"/>
        <v>0</v>
      </c>
      <c r="AA275" s="183">
        <f ca="1" t="shared" si="38"/>
        <v>58453.5</v>
      </c>
    </row>
    <row r="276" ht="18" spans="1:27">
      <c r="A276" s="171"/>
      <c r="B276" s="80">
        <v>257</v>
      </c>
      <c r="C276" s="80">
        <f ca="1">OFFSET(产销汇总!$C$12,$B276,$C$18)</f>
        <v>166.799999999999</v>
      </c>
      <c r="D276" s="80">
        <f ca="1" t="shared" ref="D276:D319" si="44">(C276-5)*5</f>
        <v>808.999999999995</v>
      </c>
      <c r="E276" s="80">
        <f ca="1">OFFSET(产销汇总!$C$1,MATCH(E$19,产销汇总!$C$2:$C$9,0),$C$18)*2</f>
        <v>12</v>
      </c>
      <c r="F276" s="80">
        <f t="shared" si="42"/>
        <v>21</v>
      </c>
      <c r="G276" s="80">
        <f t="shared" si="39"/>
        <v>0</v>
      </c>
      <c r="H276" s="80">
        <f t="shared" ref="H276:H319" si="45">ROUND(5+10/7,1)</f>
        <v>6.4</v>
      </c>
      <c r="K276" s="132">
        <f t="shared" ref="K276:K339" si="46">CEILING(R276,300)</f>
        <v>273300</v>
      </c>
      <c r="L276" s="184">
        <v>257</v>
      </c>
      <c r="M276" s="180">
        <f>SUM($N$20:N276)</f>
        <v>153383</v>
      </c>
      <c r="N276" s="180">
        <v>1235</v>
      </c>
      <c r="O276" s="180">
        <v>17940</v>
      </c>
      <c r="P276" s="180">
        <v>273160</v>
      </c>
      <c r="Q276" s="180">
        <v>0</v>
      </c>
      <c r="R276" s="180">
        <f t="shared" si="43"/>
        <v>273300</v>
      </c>
      <c r="S276" s="182">
        <f ca="1">U276-SUM($P$20:P276)/86400/(24+$C$12)*24</f>
        <v>-71.1562892462532</v>
      </c>
      <c r="T276" s="179">
        <f t="shared" si="40"/>
        <v>271500</v>
      </c>
      <c r="U276" s="179">
        <f ca="1" t="shared" ref="U276:U339" si="47">IFERROR(MATCH(M276,$AA$20:$AA$319,1)+1,1)</f>
        <v>301</v>
      </c>
      <c r="W276" s="183">
        <v>257</v>
      </c>
      <c r="X276" s="183">
        <f ca="1" t="shared" ref="X276:X319" si="48">(C276-10)*30</f>
        <v>4703.99999999997</v>
      </c>
      <c r="Y276" s="183">
        <f ca="1">OFFSET(产销汇总!$C$1,MATCH("体力消耗",产销汇总!$C$2:$C$8,0),$C$18)/10*5*W276</f>
        <v>53970</v>
      </c>
      <c r="Z276" s="183">
        <f t="shared" si="41"/>
        <v>0</v>
      </c>
      <c r="AA276" s="183">
        <f ca="1" t="shared" ref="AA276:AA319" si="49">SUM(X276:Z276)</f>
        <v>58674</v>
      </c>
    </row>
    <row r="277" ht="18" spans="1:27">
      <c r="A277" s="171"/>
      <c r="B277" s="80">
        <v>258</v>
      </c>
      <c r="C277" s="80">
        <f ca="1">OFFSET(产销汇总!$C$12,$B277,$C$18)</f>
        <v>167.149999999999</v>
      </c>
      <c r="D277" s="80">
        <f ca="1" t="shared" si="44"/>
        <v>810.749999999995</v>
      </c>
      <c r="E277" s="80">
        <f ca="1">OFFSET(产销汇总!$C$1,MATCH(E$19,产销汇总!$C$2:$C$9,0),$C$18)*2</f>
        <v>12</v>
      </c>
      <c r="F277" s="80">
        <f t="shared" si="42"/>
        <v>21</v>
      </c>
      <c r="G277" s="80">
        <f t="shared" ref="G277:G319" si="50">G276</f>
        <v>0</v>
      </c>
      <c r="H277" s="80">
        <f t="shared" si="45"/>
        <v>6.4</v>
      </c>
      <c r="K277" s="132">
        <f t="shared" si="46"/>
        <v>273300</v>
      </c>
      <c r="L277" s="184">
        <v>258</v>
      </c>
      <c r="M277" s="180">
        <f>SUM($N$20:N277)</f>
        <v>154623</v>
      </c>
      <c r="N277" s="180">
        <v>1240</v>
      </c>
      <c r="O277" s="180">
        <v>18010</v>
      </c>
      <c r="P277" s="180">
        <v>273221</v>
      </c>
      <c r="Q277" s="180">
        <v>0</v>
      </c>
      <c r="R277" s="180">
        <f t="shared" si="43"/>
        <v>273300</v>
      </c>
      <c r="S277" s="182">
        <f ca="1">U277-SUM($P$20:P277)/86400/(24+$C$12)*24</f>
        <v>-73.547458702549</v>
      </c>
      <c r="T277" s="179">
        <f t="shared" ref="T277:T340" si="51">MAX(R277-30*60,0)</f>
        <v>271500</v>
      </c>
      <c r="U277" s="179">
        <f ca="1" t="shared" si="47"/>
        <v>301</v>
      </c>
      <c r="W277" s="183">
        <v>258</v>
      </c>
      <c r="X277" s="183">
        <f ca="1" t="shared" si="48"/>
        <v>4714.49999999997</v>
      </c>
      <c r="Y277" s="183">
        <f ca="1">OFFSET(产销汇总!$C$1,MATCH("体力消耗",产销汇总!$C$2:$C$8,0),$C$18)/10*5*W277</f>
        <v>54180</v>
      </c>
      <c r="Z277" s="183">
        <f t="shared" ref="Z277:Z319" si="52">$Z$20*W277</f>
        <v>0</v>
      </c>
      <c r="AA277" s="183">
        <f ca="1" t="shared" si="49"/>
        <v>58894.5</v>
      </c>
    </row>
    <row r="278" ht="18" spans="1:27">
      <c r="A278" s="171"/>
      <c r="B278" s="80">
        <v>259</v>
      </c>
      <c r="C278" s="80">
        <f ca="1">OFFSET(产销汇总!$C$12,$B278,$C$18)</f>
        <v>167.499999999999</v>
      </c>
      <c r="D278" s="80">
        <f ca="1" t="shared" si="44"/>
        <v>812.499999999995</v>
      </c>
      <c r="E278" s="80">
        <f ca="1">OFFSET(产销汇总!$C$1,MATCH(E$19,产销汇总!$C$2:$C$9,0),$C$18)*2</f>
        <v>12</v>
      </c>
      <c r="F278" s="80">
        <f t="shared" ref="F278:F319" si="53">INT(13+10/7)*1.5</f>
        <v>21</v>
      </c>
      <c r="G278" s="80">
        <f t="shared" si="50"/>
        <v>0</v>
      </c>
      <c r="H278" s="80">
        <f t="shared" si="45"/>
        <v>6.4</v>
      </c>
      <c r="K278" s="132">
        <f t="shared" si="46"/>
        <v>273300</v>
      </c>
      <c r="L278" s="184">
        <v>259</v>
      </c>
      <c r="M278" s="180">
        <f>SUM($N$20:N278)</f>
        <v>155868</v>
      </c>
      <c r="N278" s="180">
        <v>1245</v>
      </c>
      <c r="O278" s="180">
        <v>18080</v>
      </c>
      <c r="P278" s="180">
        <v>273281</v>
      </c>
      <c r="Q278" s="180">
        <v>0</v>
      </c>
      <c r="R278" s="180">
        <f t="shared" si="43"/>
        <v>273300</v>
      </c>
      <c r="S278" s="182">
        <f ca="1">U278-SUM($P$20:P278)/86400/(24+$C$12)*24</f>
        <v>-75.9391532655071</v>
      </c>
      <c r="T278" s="179">
        <f t="shared" si="51"/>
        <v>271500</v>
      </c>
      <c r="U278" s="179">
        <f ca="1" t="shared" si="47"/>
        <v>301</v>
      </c>
      <c r="W278" s="183">
        <v>259</v>
      </c>
      <c r="X278" s="183">
        <f ca="1" t="shared" si="48"/>
        <v>4724.99999999997</v>
      </c>
      <c r="Y278" s="183">
        <f ca="1">OFFSET(产销汇总!$C$1,MATCH("体力消耗",产销汇总!$C$2:$C$8,0),$C$18)/10*5*W278</f>
        <v>54390</v>
      </c>
      <c r="Z278" s="183">
        <f t="shared" si="52"/>
        <v>0</v>
      </c>
      <c r="AA278" s="183">
        <f ca="1" t="shared" si="49"/>
        <v>59115</v>
      </c>
    </row>
    <row r="279" ht="18" spans="1:27">
      <c r="A279" s="171"/>
      <c r="B279" s="80">
        <v>260</v>
      </c>
      <c r="C279" s="80">
        <f ca="1">OFFSET(产销汇总!$C$12,$B279,$C$18)</f>
        <v>167.849999999999</v>
      </c>
      <c r="D279" s="80">
        <f ca="1" t="shared" si="44"/>
        <v>814.249999999995</v>
      </c>
      <c r="E279" s="80">
        <f ca="1">OFFSET(产销汇总!$C$1,MATCH(E$19,产销汇总!$C$2:$C$9,0),$C$18)*2</f>
        <v>12</v>
      </c>
      <c r="F279" s="80">
        <f t="shared" si="53"/>
        <v>21</v>
      </c>
      <c r="G279" s="80">
        <f t="shared" si="50"/>
        <v>0</v>
      </c>
      <c r="H279" s="80">
        <f t="shared" si="45"/>
        <v>6.4</v>
      </c>
      <c r="K279" s="132">
        <f t="shared" si="46"/>
        <v>273600</v>
      </c>
      <c r="L279" s="184">
        <v>260</v>
      </c>
      <c r="M279" s="180">
        <f>SUM($N$20:N279)</f>
        <v>157118</v>
      </c>
      <c r="N279" s="180">
        <v>1250</v>
      </c>
      <c r="O279" s="180">
        <v>18150</v>
      </c>
      <c r="P279" s="180">
        <v>273342</v>
      </c>
      <c r="Q279" s="180">
        <v>0</v>
      </c>
      <c r="R279" s="180">
        <f t="shared" si="43"/>
        <v>273600</v>
      </c>
      <c r="S279" s="182">
        <f ca="1">U279-SUM($P$20:P279)/86400/(24+$C$12)*24</f>
        <v>-78.3313816869052</v>
      </c>
      <c r="T279" s="179">
        <f t="shared" si="51"/>
        <v>271800</v>
      </c>
      <c r="U279" s="179">
        <f ca="1" t="shared" si="47"/>
        <v>301</v>
      </c>
      <c r="W279" s="183">
        <v>260</v>
      </c>
      <c r="X279" s="183">
        <f ca="1" t="shared" si="48"/>
        <v>4735.49999999997</v>
      </c>
      <c r="Y279" s="183">
        <f ca="1">OFFSET(产销汇总!$C$1,MATCH("体力消耗",产销汇总!$C$2:$C$8,0),$C$18)/10*5*W279</f>
        <v>54600</v>
      </c>
      <c r="Z279" s="183">
        <f t="shared" si="52"/>
        <v>0</v>
      </c>
      <c r="AA279" s="183">
        <f ca="1" t="shared" si="49"/>
        <v>59335.5</v>
      </c>
    </row>
    <row r="280" ht="18" spans="1:27">
      <c r="A280" s="171"/>
      <c r="B280" s="80">
        <v>261</v>
      </c>
      <c r="C280" s="80">
        <f ca="1">OFFSET(产销汇总!$C$12,$B280,$C$18)</f>
        <v>168.199999999999</v>
      </c>
      <c r="D280" s="80">
        <f ca="1" t="shared" si="44"/>
        <v>815.999999999995</v>
      </c>
      <c r="E280" s="80">
        <f ca="1">OFFSET(产销汇总!$C$1,MATCH(E$19,产销汇总!$C$2:$C$9,0),$C$18)*2</f>
        <v>12</v>
      </c>
      <c r="F280" s="80">
        <f t="shared" si="53"/>
        <v>21</v>
      </c>
      <c r="G280" s="80">
        <f t="shared" si="50"/>
        <v>0</v>
      </c>
      <c r="H280" s="80">
        <f t="shared" si="45"/>
        <v>6.4</v>
      </c>
      <c r="K280" s="132">
        <f t="shared" si="46"/>
        <v>273600</v>
      </c>
      <c r="L280" s="184">
        <v>261</v>
      </c>
      <c r="M280" s="180">
        <f>SUM($N$20:N280)</f>
        <v>158373</v>
      </c>
      <c r="N280" s="180">
        <v>1255</v>
      </c>
      <c r="O280" s="180">
        <v>18220</v>
      </c>
      <c r="P280" s="180">
        <v>273402</v>
      </c>
      <c r="Q280" s="180">
        <v>0</v>
      </c>
      <c r="R280" s="180">
        <f t="shared" si="43"/>
        <v>273600</v>
      </c>
      <c r="S280" s="182">
        <f ca="1">U280-SUM($P$20:P280)/86400/(24+$C$12)*24</f>
        <v>-80.7241352149655</v>
      </c>
      <c r="T280" s="179">
        <f t="shared" si="51"/>
        <v>271800</v>
      </c>
      <c r="U280" s="179">
        <f ca="1" t="shared" si="47"/>
        <v>301</v>
      </c>
      <c r="W280" s="183">
        <v>261</v>
      </c>
      <c r="X280" s="183">
        <f ca="1" t="shared" si="48"/>
        <v>4745.99999999997</v>
      </c>
      <c r="Y280" s="183">
        <f ca="1">OFFSET(产销汇总!$C$1,MATCH("体力消耗",产销汇总!$C$2:$C$8,0),$C$18)/10*5*W280</f>
        <v>54810</v>
      </c>
      <c r="Z280" s="183">
        <f t="shared" si="52"/>
        <v>0</v>
      </c>
      <c r="AA280" s="183">
        <f ca="1" t="shared" si="49"/>
        <v>59556</v>
      </c>
    </row>
    <row r="281" ht="18" spans="1:27">
      <c r="A281" s="171"/>
      <c r="B281" s="80">
        <v>262</v>
      </c>
      <c r="C281" s="80">
        <f ca="1">OFFSET(产销汇总!$C$12,$B281,$C$18)</f>
        <v>168.549999999999</v>
      </c>
      <c r="D281" s="80">
        <f ca="1" t="shared" si="44"/>
        <v>817.749999999995</v>
      </c>
      <c r="E281" s="80">
        <f ca="1">OFFSET(产销汇总!$C$1,MATCH(E$19,产销汇总!$C$2:$C$9,0),$C$18)*2</f>
        <v>12</v>
      </c>
      <c r="F281" s="80">
        <f t="shared" si="53"/>
        <v>21</v>
      </c>
      <c r="G281" s="80">
        <f t="shared" si="50"/>
        <v>0</v>
      </c>
      <c r="H281" s="80">
        <f t="shared" si="45"/>
        <v>6.4</v>
      </c>
      <c r="K281" s="132">
        <f t="shared" si="46"/>
        <v>273600</v>
      </c>
      <c r="L281" s="184">
        <v>262</v>
      </c>
      <c r="M281" s="180">
        <f>SUM($N$20:N281)</f>
        <v>159633</v>
      </c>
      <c r="N281" s="180">
        <v>1260</v>
      </c>
      <c r="O281" s="180">
        <v>18290</v>
      </c>
      <c r="P281" s="180">
        <v>273463</v>
      </c>
      <c r="Q281" s="180">
        <v>0</v>
      </c>
      <c r="R281" s="180">
        <f t="shared" si="43"/>
        <v>273600</v>
      </c>
      <c r="S281" s="182">
        <f ca="1">U281-SUM($P$20:P281)/86400/(24+$C$12)*24</f>
        <v>-83.1174226014659</v>
      </c>
      <c r="T281" s="179">
        <f t="shared" si="51"/>
        <v>271800</v>
      </c>
      <c r="U281" s="179">
        <f ca="1" t="shared" si="47"/>
        <v>301</v>
      </c>
      <c r="W281" s="183">
        <v>262</v>
      </c>
      <c r="X281" s="183">
        <f ca="1" t="shared" si="48"/>
        <v>4756.49999999997</v>
      </c>
      <c r="Y281" s="183">
        <f ca="1">OFFSET(产销汇总!$C$1,MATCH("体力消耗",产销汇总!$C$2:$C$8,0),$C$18)/10*5*W281</f>
        <v>55020</v>
      </c>
      <c r="Z281" s="183">
        <f t="shared" si="52"/>
        <v>0</v>
      </c>
      <c r="AA281" s="183">
        <f ca="1" t="shared" si="49"/>
        <v>59776.5</v>
      </c>
    </row>
    <row r="282" ht="18" spans="1:27">
      <c r="A282" s="171"/>
      <c r="B282" s="80">
        <v>263</v>
      </c>
      <c r="C282" s="80">
        <f ca="1">OFFSET(产销汇总!$C$12,$B282,$C$18)</f>
        <v>168.899999999999</v>
      </c>
      <c r="D282" s="80">
        <f ca="1" t="shared" si="44"/>
        <v>819.499999999995</v>
      </c>
      <c r="E282" s="80">
        <f ca="1">OFFSET(产销汇总!$C$1,MATCH(E$19,产销汇总!$C$2:$C$9,0),$C$18)*2</f>
        <v>12</v>
      </c>
      <c r="F282" s="80">
        <f t="shared" si="53"/>
        <v>21</v>
      </c>
      <c r="G282" s="80">
        <f t="shared" si="50"/>
        <v>0</v>
      </c>
      <c r="H282" s="80">
        <f t="shared" si="45"/>
        <v>6.4</v>
      </c>
      <c r="K282" s="132">
        <f t="shared" si="46"/>
        <v>273600</v>
      </c>
      <c r="L282" s="184">
        <v>263</v>
      </c>
      <c r="M282" s="180">
        <f>SUM($N$20:N282)</f>
        <v>160898</v>
      </c>
      <c r="N282" s="180">
        <v>1265</v>
      </c>
      <c r="O282" s="180">
        <v>18360</v>
      </c>
      <c r="P282" s="180">
        <v>273523</v>
      </c>
      <c r="Q282" s="180">
        <v>0</v>
      </c>
      <c r="R282" s="180">
        <f t="shared" si="43"/>
        <v>273600</v>
      </c>
      <c r="S282" s="182">
        <f ca="1">U282-SUM($P$20:P282)/86400/(24+$C$12)*24</f>
        <v>-85.5112350946287</v>
      </c>
      <c r="T282" s="179">
        <f t="shared" si="51"/>
        <v>271800</v>
      </c>
      <c r="U282" s="179">
        <f ca="1" t="shared" si="47"/>
        <v>301</v>
      </c>
      <c r="W282" s="183">
        <v>263</v>
      </c>
      <c r="X282" s="183">
        <f ca="1" t="shared" si="48"/>
        <v>4766.99999999997</v>
      </c>
      <c r="Y282" s="183">
        <f ca="1">OFFSET(产销汇总!$C$1,MATCH("体力消耗",产销汇总!$C$2:$C$8,0),$C$18)/10*5*W282</f>
        <v>55230</v>
      </c>
      <c r="Z282" s="183">
        <f t="shared" si="52"/>
        <v>0</v>
      </c>
      <c r="AA282" s="183">
        <f ca="1" t="shared" si="49"/>
        <v>59997</v>
      </c>
    </row>
    <row r="283" ht="18" spans="1:27">
      <c r="A283" s="171"/>
      <c r="B283" s="80">
        <v>264</v>
      </c>
      <c r="C283" s="80">
        <f ca="1">OFFSET(产销汇总!$C$12,$B283,$C$18)</f>
        <v>169.249999999999</v>
      </c>
      <c r="D283" s="80">
        <f ca="1" t="shared" si="44"/>
        <v>821.249999999995</v>
      </c>
      <c r="E283" s="80">
        <f ca="1">OFFSET(产销汇总!$C$1,MATCH(E$19,产销汇总!$C$2:$C$9,0),$C$18)*2</f>
        <v>12</v>
      </c>
      <c r="F283" s="80">
        <f t="shared" si="53"/>
        <v>21</v>
      </c>
      <c r="G283" s="80">
        <f t="shared" si="50"/>
        <v>0</v>
      </c>
      <c r="H283" s="80">
        <f t="shared" si="45"/>
        <v>6.4</v>
      </c>
      <c r="K283" s="132">
        <f t="shared" si="46"/>
        <v>273600</v>
      </c>
      <c r="L283" s="184">
        <v>264</v>
      </c>
      <c r="M283" s="180">
        <f>SUM($N$20:N283)</f>
        <v>162168</v>
      </c>
      <c r="N283" s="180">
        <v>1270</v>
      </c>
      <c r="O283" s="180">
        <v>18430</v>
      </c>
      <c r="P283" s="180">
        <v>273584</v>
      </c>
      <c r="Q283" s="180">
        <v>0</v>
      </c>
      <c r="R283" s="180">
        <f t="shared" ref="R283:R346" si="54">CEILING(P283*(1-Q283),300)</f>
        <v>273600</v>
      </c>
      <c r="S283" s="182">
        <f ca="1">U283-SUM($P$20:P283)/86400/(24+$C$12)*24</f>
        <v>-87.9055814462313</v>
      </c>
      <c r="T283" s="179">
        <f t="shared" si="51"/>
        <v>271800</v>
      </c>
      <c r="U283" s="179">
        <f ca="1" t="shared" si="47"/>
        <v>301</v>
      </c>
      <c r="W283" s="183">
        <v>264</v>
      </c>
      <c r="X283" s="183">
        <f ca="1" t="shared" si="48"/>
        <v>4777.49999999997</v>
      </c>
      <c r="Y283" s="183">
        <f ca="1">OFFSET(产销汇总!$C$1,MATCH("体力消耗",产销汇总!$C$2:$C$8,0),$C$18)/10*5*W283</f>
        <v>55440</v>
      </c>
      <c r="Z283" s="183">
        <f t="shared" si="52"/>
        <v>0</v>
      </c>
      <c r="AA283" s="183">
        <f ca="1" t="shared" si="49"/>
        <v>60217.5</v>
      </c>
    </row>
    <row r="284" ht="18" spans="1:27">
      <c r="A284" s="171"/>
      <c r="B284" s="80">
        <v>265</v>
      </c>
      <c r="C284" s="80">
        <f ca="1">OFFSET(产销汇总!$C$12,$B284,$C$18)</f>
        <v>169.599999999999</v>
      </c>
      <c r="D284" s="80">
        <f ca="1" t="shared" si="44"/>
        <v>822.999999999995</v>
      </c>
      <c r="E284" s="80">
        <f ca="1">OFFSET(产销汇总!$C$1,MATCH(E$19,产销汇总!$C$2:$C$9,0),$C$18)*2</f>
        <v>12</v>
      </c>
      <c r="F284" s="80">
        <f t="shared" si="53"/>
        <v>21</v>
      </c>
      <c r="G284" s="80">
        <f t="shared" si="50"/>
        <v>0</v>
      </c>
      <c r="H284" s="80">
        <f t="shared" si="45"/>
        <v>6.4</v>
      </c>
      <c r="K284" s="132">
        <f t="shared" si="46"/>
        <v>273900</v>
      </c>
      <c r="L284" s="184">
        <v>265</v>
      </c>
      <c r="M284" s="180">
        <f>SUM($N$20:N284)</f>
        <v>163443</v>
      </c>
      <c r="N284" s="180">
        <v>1275</v>
      </c>
      <c r="O284" s="180">
        <v>18500</v>
      </c>
      <c r="P284" s="180">
        <v>273644</v>
      </c>
      <c r="Q284" s="180">
        <v>0</v>
      </c>
      <c r="R284" s="180">
        <f t="shared" si="54"/>
        <v>273900</v>
      </c>
      <c r="S284" s="182">
        <f ca="1">U284-SUM($P$20:P284)/86400/(24+$C$12)*24</f>
        <v>-90.3004529044962</v>
      </c>
      <c r="T284" s="179">
        <f t="shared" si="51"/>
        <v>272100</v>
      </c>
      <c r="U284" s="179">
        <f ca="1" t="shared" si="47"/>
        <v>301</v>
      </c>
      <c r="W284" s="183">
        <v>265</v>
      </c>
      <c r="X284" s="183">
        <f ca="1" t="shared" si="48"/>
        <v>4787.99999999997</v>
      </c>
      <c r="Y284" s="183">
        <f ca="1">OFFSET(产销汇总!$C$1,MATCH("体力消耗",产销汇总!$C$2:$C$8,0),$C$18)/10*5*W284</f>
        <v>55650</v>
      </c>
      <c r="Z284" s="183">
        <f t="shared" si="52"/>
        <v>0</v>
      </c>
      <c r="AA284" s="183">
        <f ca="1" t="shared" si="49"/>
        <v>60438</v>
      </c>
    </row>
    <row r="285" ht="18" spans="1:27">
      <c r="A285" s="171"/>
      <c r="B285" s="80">
        <v>266</v>
      </c>
      <c r="C285" s="80">
        <f ca="1">OFFSET(产销汇总!$C$12,$B285,$C$18)</f>
        <v>169.949999999999</v>
      </c>
      <c r="D285" s="80">
        <f ca="1" t="shared" si="44"/>
        <v>824.749999999995</v>
      </c>
      <c r="E285" s="80">
        <f ca="1">OFFSET(产销汇总!$C$1,MATCH(E$19,产销汇总!$C$2:$C$9,0),$C$18)*2</f>
        <v>12</v>
      </c>
      <c r="F285" s="80">
        <f t="shared" si="53"/>
        <v>21</v>
      </c>
      <c r="G285" s="80">
        <f t="shared" si="50"/>
        <v>0</v>
      </c>
      <c r="H285" s="80">
        <f t="shared" si="45"/>
        <v>6.4</v>
      </c>
      <c r="K285" s="132">
        <f t="shared" si="46"/>
        <v>273900</v>
      </c>
      <c r="L285" s="184">
        <v>266</v>
      </c>
      <c r="M285" s="180">
        <f>SUM($N$20:N285)</f>
        <v>164723</v>
      </c>
      <c r="N285" s="180">
        <v>1280</v>
      </c>
      <c r="O285" s="180">
        <v>18570</v>
      </c>
      <c r="P285" s="180">
        <v>273704</v>
      </c>
      <c r="Q285" s="180">
        <v>0</v>
      </c>
      <c r="R285" s="180">
        <f t="shared" si="54"/>
        <v>273900</v>
      </c>
      <c r="S285" s="182">
        <f ca="1">U285-SUM($P$20:P285)/86400/(24+$C$12)*24</f>
        <v>-92.6958494694235</v>
      </c>
      <c r="T285" s="179">
        <f t="shared" si="51"/>
        <v>272100</v>
      </c>
      <c r="U285" s="179">
        <f ca="1" t="shared" si="47"/>
        <v>301</v>
      </c>
      <c r="W285" s="183">
        <v>266</v>
      </c>
      <c r="X285" s="183">
        <f ca="1" t="shared" si="48"/>
        <v>4798.49999999997</v>
      </c>
      <c r="Y285" s="183">
        <f ca="1">OFFSET(产销汇总!$C$1,MATCH("体力消耗",产销汇总!$C$2:$C$8,0),$C$18)/10*5*W285</f>
        <v>55860</v>
      </c>
      <c r="Z285" s="183">
        <f t="shared" si="52"/>
        <v>0</v>
      </c>
      <c r="AA285" s="183">
        <f ca="1" t="shared" si="49"/>
        <v>60658.5</v>
      </c>
    </row>
    <row r="286" ht="18" spans="1:27">
      <c r="A286" s="171"/>
      <c r="B286" s="80">
        <v>267</v>
      </c>
      <c r="C286" s="80">
        <f ca="1">OFFSET(产销汇总!$C$12,$B286,$C$18)</f>
        <v>170.299999999999</v>
      </c>
      <c r="D286" s="80">
        <f ca="1" t="shared" si="44"/>
        <v>826.499999999995</v>
      </c>
      <c r="E286" s="80">
        <f ca="1">OFFSET(产销汇总!$C$1,MATCH(E$19,产销汇总!$C$2:$C$9,0),$C$18)*2</f>
        <v>12</v>
      </c>
      <c r="F286" s="80">
        <f t="shared" si="53"/>
        <v>21</v>
      </c>
      <c r="G286" s="80">
        <f t="shared" si="50"/>
        <v>0</v>
      </c>
      <c r="H286" s="80">
        <f t="shared" si="45"/>
        <v>6.4</v>
      </c>
      <c r="K286" s="132">
        <f t="shared" si="46"/>
        <v>273900</v>
      </c>
      <c r="L286" s="184">
        <v>267</v>
      </c>
      <c r="M286" s="180">
        <f>SUM($N$20:N286)</f>
        <v>166008</v>
      </c>
      <c r="N286" s="180">
        <v>1285</v>
      </c>
      <c r="O286" s="180">
        <v>18640</v>
      </c>
      <c r="P286" s="180">
        <v>273765</v>
      </c>
      <c r="Q286" s="180">
        <v>0</v>
      </c>
      <c r="R286" s="180">
        <f t="shared" si="54"/>
        <v>273900</v>
      </c>
      <c r="S286" s="182">
        <f ca="1">U286-SUM($P$20:P286)/86400/(24+$C$12)*24</f>
        <v>-95.0917798927907</v>
      </c>
      <c r="T286" s="179">
        <f t="shared" si="51"/>
        <v>272100</v>
      </c>
      <c r="U286" s="179">
        <f ca="1" t="shared" si="47"/>
        <v>301</v>
      </c>
      <c r="W286" s="183">
        <v>267</v>
      </c>
      <c r="X286" s="183">
        <f ca="1" t="shared" si="48"/>
        <v>4808.99999999997</v>
      </c>
      <c r="Y286" s="183">
        <f ca="1">OFFSET(产销汇总!$C$1,MATCH("体力消耗",产销汇总!$C$2:$C$8,0),$C$18)/10*5*W286</f>
        <v>56070</v>
      </c>
      <c r="Z286" s="183">
        <f t="shared" si="52"/>
        <v>0</v>
      </c>
      <c r="AA286" s="183">
        <f ca="1" t="shared" si="49"/>
        <v>60879</v>
      </c>
    </row>
    <row r="287" ht="18" spans="1:27">
      <c r="A287" s="171"/>
      <c r="B287" s="80">
        <v>268</v>
      </c>
      <c r="C287" s="80">
        <f ca="1">OFFSET(产销汇总!$C$12,$B287,$C$18)</f>
        <v>170.649999999999</v>
      </c>
      <c r="D287" s="80">
        <f ca="1" t="shared" si="44"/>
        <v>828.249999999995</v>
      </c>
      <c r="E287" s="80">
        <f ca="1">OFFSET(产销汇总!$C$1,MATCH(E$19,产销汇总!$C$2:$C$9,0),$C$18)*2</f>
        <v>12</v>
      </c>
      <c r="F287" s="80">
        <f t="shared" si="53"/>
        <v>21</v>
      </c>
      <c r="G287" s="80">
        <f t="shared" si="50"/>
        <v>0</v>
      </c>
      <c r="H287" s="80">
        <f t="shared" si="45"/>
        <v>6.4</v>
      </c>
      <c r="K287" s="132">
        <f t="shared" si="46"/>
        <v>273900</v>
      </c>
      <c r="L287" s="184">
        <v>268</v>
      </c>
      <c r="M287" s="180">
        <f>SUM($N$20:N287)</f>
        <v>167298</v>
      </c>
      <c r="N287" s="180">
        <v>1290</v>
      </c>
      <c r="O287" s="180">
        <v>18710</v>
      </c>
      <c r="P287" s="180">
        <v>273825</v>
      </c>
      <c r="Q287" s="180">
        <v>0</v>
      </c>
      <c r="R287" s="180">
        <f t="shared" si="54"/>
        <v>273900</v>
      </c>
      <c r="S287" s="182">
        <f ca="1">U287-SUM($P$20:P287)/86400/(24+$C$12)*24</f>
        <v>-97.4882354228203</v>
      </c>
      <c r="T287" s="179">
        <f t="shared" si="51"/>
        <v>272100</v>
      </c>
      <c r="U287" s="179">
        <f ca="1" t="shared" si="47"/>
        <v>301</v>
      </c>
      <c r="W287" s="183">
        <v>268</v>
      </c>
      <c r="X287" s="183">
        <f ca="1" t="shared" si="48"/>
        <v>4819.49999999997</v>
      </c>
      <c r="Y287" s="183">
        <f ca="1">OFFSET(产销汇总!$C$1,MATCH("体力消耗",产销汇总!$C$2:$C$8,0),$C$18)/10*5*W287</f>
        <v>56280</v>
      </c>
      <c r="Z287" s="183">
        <f t="shared" si="52"/>
        <v>0</v>
      </c>
      <c r="AA287" s="183">
        <f ca="1" t="shared" si="49"/>
        <v>61099.5</v>
      </c>
    </row>
    <row r="288" ht="18" spans="1:27">
      <c r="A288" s="171"/>
      <c r="B288" s="80">
        <v>269</v>
      </c>
      <c r="C288" s="80">
        <f ca="1">OFFSET(产销汇总!$C$12,$B288,$C$18)</f>
        <v>170.999999999999</v>
      </c>
      <c r="D288" s="80">
        <f ca="1" t="shared" si="44"/>
        <v>829.999999999995</v>
      </c>
      <c r="E288" s="80">
        <f ca="1">OFFSET(产销汇总!$C$1,MATCH(E$19,产销汇总!$C$2:$C$9,0),$C$18)*2</f>
        <v>12</v>
      </c>
      <c r="F288" s="80">
        <f t="shared" si="53"/>
        <v>21</v>
      </c>
      <c r="G288" s="80">
        <f t="shared" si="50"/>
        <v>0</v>
      </c>
      <c r="H288" s="80">
        <f t="shared" si="45"/>
        <v>6.4</v>
      </c>
      <c r="K288" s="132">
        <f t="shared" si="46"/>
        <v>273900</v>
      </c>
      <c r="L288" s="184">
        <v>269</v>
      </c>
      <c r="M288" s="180">
        <f>SUM($N$20:N288)</f>
        <v>168593</v>
      </c>
      <c r="N288" s="180">
        <v>1295</v>
      </c>
      <c r="O288" s="180">
        <v>18780</v>
      </c>
      <c r="P288" s="180">
        <v>273886</v>
      </c>
      <c r="Q288" s="180">
        <v>0</v>
      </c>
      <c r="R288" s="180">
        <f t="shared" si="54"/>
        <v>273900</v>
      </c>
      <c r="S288" s="182">
        <f ca="1">U288-SUM($P$20:P288)/86400/(24+$C$12)*24</f>
        <v>-99.8852248112898</v>
      </c>
      <c r="T288" s="179">
        <f t="shared" si="51"/>
        <v>272100</v>
      </c>
      <c r="U288" s="179">
        <f ca="1" t="shared" si="47"/>
        <v>301</v>
      </c>
      <c r="W288" s="183">
        <v>269</v>
      </c>
      <c r="X288" s="183">
        <f ca="1" t="shared" si="48"/>
        <v>4829.99999999997</v>
      </c>
      <c r="Y288" s="183">
        <f ca="1">OFFSET(产销汇总!$C$1,MATCH("体力消耗",产销汇总!$C$2:$C$8,0),$C$18)/10*5*W288</f>
        <v>56490</v>
      </c>
      <c r="Z288" s="183">
        <f t="shared" si="52"/>
        <v>0</v>
      </c>
      <c r="AA288" s="183">
        <f ca="1" t="shared" si="49"/>
        <v>61320</v>
      </c>
    </row>
    <row r="289" ht="18" spans="1:27">
      <c r="A289" s="171"/>
      <c r="B289" s="80">
        <v>270</v>
      </c>
      <c r="C289" s="80">
        <f ca="1">OFFSET(产销汇总!$C$12,$B289,$C$18)</f>
        <v>171.349999999999</v>
      </c>
      <c r="D289" s="80">
        <f ca="1" t="shared" si="44"/>
        <v>831.749999999995</v>
      </c>
      <c r="E289" s="80">
        <f ca="1">OFFSET(产销汇总!$C$1,MATCH(E$19,产销汇总!$C$2:$C$9,0),$C$18)*2</f>
        <v>12</v>
      </c>
      <c r="F289" s="80">
        <f t="shared" si="53"/>
        <v>21</v>
      </c>
      <c r="G289" s="80">
        <f t="shared" si="50"/>
        <v>0</v>
      </c>
      <c r="H289" s="80">
        <f t="shared" si="45"/>
        <v>6.4</v>
      </c>
      <c r="K289" s="132">
        <f t="shared" si="46"/>
        <v>274200</v>
      </c>
      <c r="L289" s="184">
        <v>270</v>
      </c>
      <c r="M289" s="180">
        <f>SUM($N$20:N289)</f>
        <v>169893</v>
      </c>
      <c r="N289" s="180">
        <v>1300</v>
      </c>
      <c r="O289" s="180">
        <v>18850</v>
      </c>
      <c r="P289" s="180">
        <v>273946</v>
      </c>
      <c r="Q289" s="180">
        <v>0</v>
      </c>
      <c r="R289" s="180">
        <f t="shared" si="54"/>
        <v>274200</v>
      </c>
      <c r="S289" s="182">
        <f ca="1">U289-SUM($P$20:P289)/86400/(24+$C$12)*24</f>
        <v>-102.282739306422</v>
      </c>
      <c r="T289" s="179">
        <f t="shared" si="51"/>
        <v>272400</v>
      </c>
      <c r="U289" s="179">
        <f ca="1" t="shared" si="47"/>
        <v>301</v>
      </c>
      <c r="W289" s="183">
        <v>270</v>
      </c>
      <c r="X289" s="183">
        <f ca="1" t="shared" si="48"/>
        <v>4840.49999999997</v>
      </c>
      <c r="Y289" s="183">
        <f ca="1">OFFSET(产销汇总!$C$1,MATCH("体力消耗",产销汇总!$C$2:$C$8,0),$C$18)/10*5*W289</f>
        <v>56700</v>
      </c>
      <c r="Z289" s="183">
        <f t="shared" si="52"/>
        <v>0</v>
      </c>
      <c r="AA289" s="183">
        <f ca="1" t="shared" si="49"/>
        <v>61540.5</v>
      </c>
    </row>
    <row r="290" ht="18" spans="1:27">
      <c r="A290" s="171"/>
      <c r="B290" s="80">
        <v>271</v>
      </c>
      <c r="C290" s="80">
        <f ca="1">OFFSET(产销汇总!$C$12,$B290,$C$18)</f>
        <v>171.699999999999</v>
      </c>
      <c r="D290" s="80">
        <f ca="1" t="shared" si="44"/>
        <v>833.499999999995</v>
      </c>
      <c r="E290" s="80">
        <f ca="1">OFFSET(产销汇总!$C$1,MATCH(E$19,产销汇总!$C$2:$C$9,0),$C$18)*2</f>
        <v>12</v>
      </c>
      <c r="F290" s="80">
        <f t="shared" si="53"/>
        <v>21</v>
      </c>
      <c r="G290" s="80">
        <f t="shared" si="50"/>
        <v>0</v>
      </c>
      <c r="H290" s="80">
        <f t="shared" si="45"/>
        <v>6.4</v>
      </c>
      <c r="K290" s="132">
        <f t="shared" si="46"/>
        <v>274200</v>
      </c>
      <c r="L290" s="184">
        <v>271</v>
      </c>
      <c r="M290" s="180">
        <f>SUM($N$20:N290)</f>
        <v>171198</v>
      </c>
      <c r="N290" s="180">
        <v>1305</v>
      </c>
      <c r="O290" s="180">
        <v>18920</v>
      </c>
      <c r="P290" s="180">
        <v>274007</v>
      </c>
      <c r="Q290" s="180">
        <v>0</v>
      </c>
      <c r="R290" s="180">
        <f t="shared" si="54"/>
        <v>274200</v>
      </c>
      <c r="S290" s="182">
        <f ca="1">U290-SUM($P$20:P290)/86400/(24+$C$12)*24</f>
        <v>-104.680787659993</v>
      </c>
      <c r="T290" s="179">
        <f t="shared" si="51"/>
        <v>272400</v>
      </c>
      <c r="U290" s="179">
        <f ca="1" t="shared" si="47"/>
        <v>301</v>
      </c>
      <c r="W290" s="183">
        <v>271</v>
      </c>
      <c r="X290" s="183">
        <f ca="1" t="shared" si="48"/>
        <v>4850.99999999997</v>
      </c>
      <c r="Y290" s="183">
        <f ca="1">OFFSET(产销汇总!$C$1,MATCH("体力消耗",产销汇总!$C$2:$C$8,0),$C$18)/10*5*W290</f>
        <v>56910</v>
      </c>
      <c r="Z290" s="183">
        <f t="shared" si="52"/>
        <v>0</v>
      </c>
      <c r="AA290" s="183">
        <f ca="1" t="shared" si="49"/>
        <v>61761</v>
      </c>
    </row>
    <row r="291" ht="18" spans="1:27">
      <c r="A291" s="171"/>
      <c r="B291" s="80">
        <v>272</v>
      </c>
      <c r="C291" s="80">
        <f ca="1">OFFSET(产销汇总!$C$12,$B291,$C$18)</f>
        <v>172.049999999999</v>
      </c>
      <c r="D291" s="80">
        <f ca="1" t="shared" si="44"/>
        <v>835.249999999995</v>
      </c>
      <c r="E291" s="80">
        <f ca="1">OFFSET(产销汇总!$C$1,MATCH(E$19,产销汇总!$C$2:$C$9,0),$C$18)*2</f>
        <v>12</v>
      </c>
      <c r="F291" s="80">
        <f t="shared" si="53"/>
        <v>21</v>
      </c>
      <c r="G291" s="80">
        <f t="shared" si="50"/>
        <v>0</v>
      </c>
      <c r="H291" s="80">
        <f t="shared" si="45"/>
        <v>6.4</v>
      </c>
      <c r="K291" s="132">
        <f t="shared" si="46"/>
        <v>274200</v>
      </c>
      <c r="L291" s="184">
        <v>272</v>
      </c>
      <c r="M291" s="180">
        <f>SUM($N$20:N291)</f>
        <v>172508</v>
      </c>
      <c r="N291" s="180">
        <v>1310</v>
      </c>
      <c r="O291" s="180">
        <v>18990</v>
      </c>
      <c r="P291" s="180">
        <v>274067</v>
      </c>
      <c r="Q291" s="180">
        <v>0</v>
      </c>
      <c r="R291" s="180">
        <f t="shared" si="54"/>
        <v>274200</v>
      </c>
      <c r="S291" s="182">
        <f ca="1">U291-SUM($P$20:P291)/86400/(24+$C$12)*24</f>
        <v>-107.079361120228</v>
      </c>
      <c r="T291" s="179">
        <f t="shared" si="51"/>
        <v>272400</v>
      </c>
      <c r="U291" s="179">
        <f ca="1" t="shared" si="47"/>
        <v>301</v>
      </c>
      <c r="W291" s="183">
        <v>272</v>
      </c>
      <c r="X291" s="183">
        <f ca="1" t="shared" si="48"/>
        <v>4861.49999999997</v>
      </c>
      <c r="Y291" s="183">
        <f ca="1">OFFSET(产销汇总!$C$1,MATCH("体力消耗",产销汇总!$C$2:$C$8,0),$C$18)/10*5*W291</f>
        <v>57120</v>
      </c>
      <c r="Z291" s="183">
        <f t="shared" si="52"/>
        <v>0</v>
      </c>
      <c r="AA291" s="183">
        <f ca="1" t="shared" si="49"/>
        <v>61981.5</v>
      </c>
    </row>
    <row r="292" ht="18" spans="1:27">
      <c r="A292" s="171"/>
      <c r="B292" s="80">
        <v>273</v>
      </c>
      <c r="C292" s="80">
        <f ca="1">OFFSET(产销汇总!$C$12,$B292,$C$18)</f>
        <v>172.399999999999</v>
      </c>
      <c r="D292" s="80">
        <f ca="1" t="shared" si="44"/>
        <v>836.999999999995</v>
      </c>
      <c r="E292" s="80">
        <f ca="1">OFFSET(产销汇总!$C$1,MATCH(E$19,产销汇总!$C$2:$C$9,0),$C$18)*2</f>
        <v>12</v>
      </c>
      <c r="F292" s="80">
        <f t="shared" si="53"/>
        <v>21</v>
      </c>
      <c r="G292" s="80">
        <f t="shared" si="50"/>
        <v>0</v>
      </c>
      <c r="H292" s="80">
        <f t="shared" si="45"/>
        <v>6.4</v>
      </c>
      <c r="K292" s="132">
        <f t="shared" si="46"/>
        <v>274200</v>
      </c>
      <c r="L292" s="184">
        <v>273</v>
      </c>
      <c r="M292" s="180">
        <f>SUM($N$20:N292)</f>
        <v>173823</v>
      </c>
      <c r="N292" s="180">
        <v>1315</v>
      </c>
      <c r="O292" s="180">
        <v>19060</v>
      </c>
      <c r="P292" s="180">
        <v>274128</v>
      </c>
      <c r="Q292" s="180">
        <v>0</v>
      </c>
      <c r="R292" s="180">
        <f t="shared" si="54"/>
        <v>274200</v>
      </c>
      <c r="S292" s="182">
        <f ca="1">U292-SUM($P$20:P292)/86400/(24+$C$12)*24</f>
        <v>-109.478468438902</v>
      </c>
      <c r="T292" s="179">
        <f t="shared" si="51"/>
        <v>272400</v>
      </c>
      <c r="U292" s="179">
        <f ca="1" t="shared" si="47"/>
        <v>301</v>
      </c>
      <c r="W292" s="183">
        <v>273</v>
      </c>
      <c r="X292" s="183">
        <f ca="1" t="shared" si="48"/>
        <v>4871.99999999997</v>
      </c>
      <c r="Y292" s="183">
        <f ca="1">OFFSET(产销汇总!$C$1,MATCH("体力消耗",产销汇总!$C$2:$C$8,0),$C$18)/10*5*W292</f>
        <v>57330</v>
      </c>
      <c r="Z292" s="183">
        <f t="shared" si="52"/>
        <v>0</v>
      </c>
      <c r="AA292" s="183">
        <f ca="1" t="shared" si="49"/>
        <v>62202</v>
      </c>
    </row>
    <row r="293" ht="18" spans="1:27">
      <c r="A293" s="171"/>
      <c r="B293" s="80">
        <v>274</v>
      </c>
      <c r="C293" s="80">
        <f ca="1">OFFSET(产销汇总!$C$12,$B293,$C$18)</f>
        <v>172.749999999999</v>
      </c>
      <c r="D293" s="80">
        <f ca="1" t="shared" si="44"/>
        <v>838.749999999995</v>
      </c>
      <c r="E293" s="80">
        <f ca="1">OFFSET(产销汇总!$C$1,MATCH(E$19,产销汇总!$C$2:$C$9,0),$C$18)*2</f>
        <v>12</v>
      </c>
      <c r="F293" s="80">
        <f t="shared" si="53"/>
        <v>21</v>
      </c>
      <c r="G293" s="80">
        <f t="shared" si="50"/>
        <v>0</v>
      </c>
      <c r="H293" s="80">
        <f t="shared" si="45"/>
        <v>6.4</v>
      </c>
      <c r="K293" s="132">
        <f t="shared" si="46"/>
        <v>274200</v>
      </c>
      <c r="L293" s="184">
        <v>274</v>
      </c>
      <c r="M293" s="180">
        <f>SUM($N$20:N293)</f>
        <v>175143</v>
      </c>
      <c r="N293" s="180">
        <v>1320</v>
      </c>
      <c r="O293" s="180">
        <v>19130</v>
      </c>
      <c r="P293" s="180">
        <v>274188</v>
      </c>
      <c r="Q293" s="180">
        <v>0</v>
      </c>
      <c r="R293" s="180">
        <f t="shared" si="54"/>
        <v>274200</v>
      </c>
      <c r="S293" s="182">
        <f ca="1">U293-SUM($P$20:P293)/86400/(24+$C$12)*24</f>
        <v>-111.878100864238</v>
      </c>
      <c r="T293" s="179">
        <f t="shared" si="51"/>
        <v>272400</v>
      </c>
      <c r="U293" s="179">
        <f ca="1" t="shared" si="47"/>
        <v>301</v>
      </c>
      <c r="W293" s="183">
        <v>274</v>
      </c>
      <c r="X293" s="183">
        <f ca="1" t="shared" si="48"/>
        <v>4882.49999999997</v>
      </c>
      <c r="Y293" s="183">
        <f ca="1">OFFSET(产销汇总!$C$1,MATCH("体力消耗",产销汇总!$C$2:$C$8,0),$C$18)/10*5*W293</f>
        <v>57540</v>
      </c>
      <c r="Z293" s="183">
        <f t="shared" si="52"/>
        <v>0</v>
      </c>
      <c r="AA293" s="183">
        <f ca="1" t="shared" si="49"/>
        <v>62422.5</v>
      </c>
    </row>
    <row r="294" ht="18" spans="1:27">
      <c r="A294" s="171"/>
      <c r="B294" s="80">
        <v>275</v>
      </c>
      <c r="C294" s="80">
        <f ca="1">OFFSET(产销汇总!$C$12,$B294,$C$18)</f>
        <v>173.099999999999</v>
      </c>
      <c r="D294" s="80">
        <f ca="1" t="shared" si="44"/>
        <v>840.499999999995</v>
      </c>
      <c r="E294" s="80">
        <f ca="1">OFFSET(产销汇总!$C$1,MATCH(E$19,产销汇总!$C$2:$C$9,0),$C$18)*2</f>
        <v>12</v>
      </c>
      <c r="F294" s="80">
        <f t="shared" si="53"/>
        <v>21</v>
      </c>
      <c r="G294" s="80">
        <f t="shared" si="50"/>
        <v>0</v>
      </c>
      <c r="H294" s="80">
        <f t="shared" si="45"/>
        <v>6.4</v>
      </c>
      <c r="K294" s="132">
        <f t="shared" si="46"/>
        <v>274500</v>
      </c>
      <c r="L294" s="184">
        <v>275</v>
      </c>
      <c r="M294" s="180">
        <f>SUM($N$20:N294)</f>
        <v>176468</v>
      </c>
      <c r="N294" s="180">
        <v>1325</v>
      </c>
      <c r="O294" s="180">
        <v>19200</v>
      </c>
      <c r="P294" s="180">
        <v>274249</v>
      </c>
      <c r="Q294" s="180">
        <v>0</v>
      </c>
      <c r="R294" s="180">
        <f t="shared" si="54"/>
        <v>274500</v>
      </c>
      <c r="S294" s="182">
        <f ca="1">U294-SUM($P$20:P294)/86400/(24+$C$12)*24</f>
        <v>-114.278267148014</v>
      </c>
      <c r="T294" s="179">
        <f t="shared" si="51"/>
        <v>272700</v>
      </c>
      <c r="U294" s="179">
        <f ca="1" t="shared" si="47"/>
        <v>301</v>
      </c>
      <c r="W294" s="183">
        <v>275</v>
      </c>
      <c r="X294" s="183">
        <f ca="1" t="shared" si="48"/>
        <v>4892.99999999997</v>
      </c>
      <c r="Y294" s="183">
        <f ca="1">OFFSET(产销汇总!$C$1,MATCH("体力消耗",产销汇总!$C$2:$C$8,0),$C$18)/10*5*W294</f>
        <v>57750</v>
      </c>
      <c r="Z294" s="183">
        <f t="shared" si="52"/>
        <v>0</v>
      </c>
      <c r="AA294" s="183">
        <f ca="1" t="shared" si="49"/>
        <v>62643</v>
      </c>
    </row>
    <row r="295" ht="18" spans="1:27">
      <c r="A295" s="171"/>
      <c r="B295" s="80">
        <v>276</v>
      </c>
      <c r="C295" s="80">
        <f ca="1">OFFSET(产销汇总!$C$12,$B295,$C$18)</f>
        <v>173.449999999999</v>
      </c>
      <c r="D295" s="80">
        <f ca="1" t="shared" si="44"/>
        <v>842.249999999995</v>
      </c>
      <c r="E295" s="80">
        <f ca="1">OFFSET(产销汇总!$C$1,MATCH(E$19,产销汇总!$C$2:$C$9,0),$C$18)*2</f>
        <v>12</v>
      </c>
      <c r="F295" s="80">
        <f t="shared" si="53"/>
        <v>21</v>
      </c>
      <c r="G295" s="80">
        <f t="shared" si="50"/>
        <v>0</v>
      </c>
      <c r="H295" s="80">
        <f t="shared" si="45"/>
        <v>6.4</v>
      </c>
      <c r="K295" s="132">
        <f t="shared" si="46"/>
        <v>274500</v>
      </c>
      <c r="L295" s="184">
        <v>276</v>
      </c>
      <c r="M295" s="180">
        <f>SUM($N$20:N295)</f>
        <v>177798</v>
      </c>
      <c r="N295" s="180">
        <v>1330</v>
      </c>
      <c r="O295" s="180">
        <v>19270</v>
      </c>
      <c r="P295" s="180">
        <v>274309</v>
      </c>
      <c r="Q295" s="180">
        <v>0</v>
      </c>
      <c r="R295" s="180">
        <f t="shared" si="54"/>
        <v>274500</v>
      </c>
      <c r="S295" s="182">
        <f ca="1">U295-SUM($P$20:P295)/86400/(24+$C$12)*24</f>
        <v>-116.678958538453</v>
      </c>
      <c r="T295" s="179">
        <f t="shared" si="51"/>
        <v>272700</v>
      </c>
      <c r="U295" s="179">
        <f ca="1" t="shared" si="47"/>
        <v>301</v>
      </c>
      <c r="W295" s="183">
        <v>276</v>
      </c>
      <c r="X295" s="183">
        <f ca="1" t="shared" si="48"/>
        <v>4903.49999999997</v>
      </c>
      <c r="Y295" s="183">
        <f ca="1">OFFSET(产销汇总!$C$1,MATCH("体力消耗",产销汇总!$C$2:$C$8,0),$C$18)/10*5*W295</f>
        <v>57960</v>
      </c>
      <c r="Z295" s="183">
        <f t="shared" si="52"/>
        <v>0</v>
      </c>
      <c r="AA295" s="183">
        <f ca="1" t="shared" si="49"/>
        <v>62863.5</v>
      </c>
    </row>
    <row r="296" ht="18" spans="1:27">
      <c r="A296" s="171"/>
      <c r="B296" s="80">
        <v>277</v>
      </c>
      <c r="C296" s="80">
        <f ca="1">OFFSET(产销汇总!$C$12,$B296,$C$18)</f>
        <v>173.799999999999</v>
      </c>
      <c r="D296" s="80">
        <f ca="1" t="shared" si="44"/>
        <v>843.999999999995</v>
      </c>
      <c r="E296" s="80">
        <f ca="1">OFFSET(产销汇总!$C$1,MATCH(E$19,产销汇总!$C$2:$C$9,0),$C$18)*2</f>
        <v>12</v>
      </c>
      <c r="F296" s="80">
        <f t="shared" si="53"/>
        <v>21</v>
      </c>
      <c r="G296" s="80">
        <f t="shared" si="50"/>
        <v>0</v>
      </c>
      <c r="H296" s="80">
        <f t="shared" si="45"/>
        <v>6.4</v>
      </c>
      <c r="K296" s="132">
        <f t="shared" si="46"/>
        <v>274500</v>
      </c>
      <c r="L296" s="184">
        <v>277</v>
      </c>
      <c r="M296" s="180">
        <f>SUM($N$20:N296)</f>
        <v>179133</v>
      </c>
      <c r="N296" s="180">
        <v>1335</v>
      </c>
      <c r="O296" s="180">
        <v>19340</v>
      </c>
      <c r="P296" s="180">
        <v>274370</v>
      </c>
      <c r="Q296" s="180">
        <v>0</v>
      </c>
      <c r="R296" s="180">
        <f t="shared" si="54"/>
        <v>274500</v>
      </c>
      <c r="S296" s="182">
        <f ca="1">U296-SUM($P$20:P296)/86400/(24+$C$12)*24</f>
        <v>-119.080183787332</v>
      </c>
      <c r="T296" s="179">
        <f t="shared" si="51"/>
        <v>272700</v>
      </c>
      <c r="U296" s="179">
        <f ca="1" t="shared" si="47"/>
        <v>301</v>
      </c>
      <c r="W296" s="183">
        <v>277</v>
      </c>
      <c r="X296" s="183">
        <f ca="1" t="shared" si="48"/>
        <v>4913.99999999997</v>
      </c>
      <c r="Y296" s="183">
        <f ca="1">OFFSET(产销汇总!$C$1,MATCH("体力消耗",产销汇总!$C$2:$C$8,0),$C$18)/10*5*W296</f>
        <v>58170</v>
      </c>
      <c r="Z296" s="183">
        <f t="shared" si="52"/>
        <v>0</v>
      </c>
      <c r="AA296" s="183">
        <f ca="1" t="shared" si="49"/>
        <v>63084</v>
      </c>
    </row>
    <row r="297" ht="18" spans="1:27">
      <c r="A297" s="171"/>
      <c r="B297" s="80">
        <v>278</v>
      </c>
      <c r="C297" s="80">
        <f ca="1">OFFSET(产销汇总!$C$12,$B297,$C$18)</f>
        <v>174.149999999999</v>
      </c>
      <c r="D297" s="80">
        <f ca="1" t="shared" si="44"/>
        <v>845.749999999995</v>
      </c>
      <c r="E297" s="80">
        <f ca="1">OFFSET(产销汇总!$C$1,MATCH(E$19,产销汇总!$C$2:$C$9,0),$C$18)*2</f>
        <v>12</v>
      </c>
      <c r="F297" s="80">
        <f t="shared" si="53"/>
        <v>21</v>
      </c>
      <c r="G297" s="80">
        <f t="shared" si="50"/>
        <v>0</v>
      </c>
      <c r="H297" s="80">
        <f t="shared" si="45"/>
        <v>6.4</v>
      </c>
      <c r="K297" s="132">
        <f t="shared" si="46"/>
        <v>274500</v>
      </c>
      <c r="L297" s="184">
        <v>278</v>
      </c>
      <c r="M297" s="180">
        <f>SUM($N$20:N297)</f>
        <v>180473</v>
      </c>
      <c r="N297" s="180">
        <v>1340</v>
      </c>
      <c r="O297" s="180">
        <v>19410</v>
      </c>
      <c r="P297" s="180">
        <v>274430</v>
      </c>
      <c r="Q297" s="180">
        <v>0</v>
      </c>
      <c r="R297" s="180">
        <f t="shared" si="54"/>
        <v>274500</v>
      </c>
      <c r="S297" s="182">
        <f ca="1">U297-SUM($P$20:P297)/86400/(24+$C$12)*24</f>
        <v>-121.481934142873</v>
      </c>
      <c r="T297" s="179">
        <f t="shared" si="51"/>
        <v>272700</v>
      </c>
      <c r="U297" s="179">
        <f ca="1" t="shared" si="47"/>
        <v>301</v>
      </c>
      <c r="W297" s="183">
        <v>278</v>
      </c>
      <c r="X297" s="183">
        <f ca="1" t="shared" si="48"/>
        <v>4924.49999999997</v>
      </c>
      <c r="Y297" s="183">
        <f ca="1">OFFSET(产销汇总!$C$1,MATCH("体力消耗",产销汇总!$C$2:$C$8,0),$C$18)/10*5*W297</f>
        <v>58380</v>
      </c>
      <c r="Z297" s="183">
        <f t="shared" si="52"/>
        <v>0</v>
      </c>
      <c r="AA297" s="183">
        <f ca="1" t="shared" si="49"/>
        <v>63304.5</v>
      </c>
    </row>
    <row r="298" ht="18" spans="1:27">
      <c r="A298" s="171"/>
      <c r="B298" s="80">
        <v>279</v>
      </c>
      <c r="C298" s="80">
        <f ca="1">OFFSET(产销汇总!$C$12,$B298,$C$18)</f>
        <v>174.499999999999</v>
      </c>
      <c r="D298" s="80">
        <f ca="1" t="shared" si="44"/>
        <v>847.499999999995</v>
      </c>
      <c r="E298" s="80">
        <f ca="1">OFFSET(产销汇总!$C$1,MATCH(E$19,产销汇总!$C$2:$C$9,0),$C$18)*2</f>
        <v>12</v>
      </c>
      <c r="F298" s="80">
        <f t="shared" si="53"/>
        <v>21</v>
      </c>
      <c r="G298" s="80">
        <f t="shared" si="50"/>
        <v>0</v>
      </c>
      <c r="H298" s="80">
        <f t="shared" si="45"/>
        <v>6.4</v>
      </c>
      <c r="K298" s="132">
        <f t="shared" si="46"/>
        <v>274500</v>
      </c>
      <c r="L298" s="184">
        <v>279</v>
      </c>
      <c r="M298" s="180">
        <f>SUM($N$20:N298)</f>
        <v>181818</v>
      </c>
      <c r="N298" s="180">
        <v>1345</v>
      </c>
      <c r="O298" s="180">
        <v>19480</v>
      </c>
      <c r="P298" s="180">
        <v>274491</v>
      </c>
      <c r="Q298" s="180">
        <v>0</v>
      </c>
      <c r="R298" s="180">
        <f t="shared" si="54"/>
        <v>274500</v>
      </c>
      <c r="S298" s="182">
        <f ca="1">U298-SUM($P$20:P298)/86400/(24+$C$12)*24</f>
        <v>-123.884218356854</v>
      </c>
      <c r="T298" s="179">
        <f t="shared" si="51"/>
        <v>272700</v>
      </c>
      <c r="U298" s="179">
        <f ca="1" t="shared" si="47"/>
        <v>301</v>
      </c>
      <c r="W298" s="183">
        <v>279</v>
      </c>
      <c r="X298" s="183">
        <f ca="1" t="shared" si="48"/>
        <v>4934.99999999997</v>
      </c>
      <c r="Y298" s="183">
        <f ca="1">OFFSET(产销汇总!$C$1,MATCH("体力消耗",产销汇总!$C$2:$C$8,0),$C$18)/10*5*W298</f>
        <v>58590</v>
      </c>
      <c r="Z298" s="183">
        <f t="shared" si="52"/>
        <v>0</v>
      </c>
      <c r="AA298" s="183">
        <f ca="1" t="shared" si="49"/>
        <v>63525</v>
      </c>
    </row>
    <row r="299" ht="18" spans="1:27">
      <c r="A299" s="171"/>
      <c r="B299" s="80">
        <v>280</v>
      </c>
      <c r="C299" s="80">
        <f ca="1">OFFSET(产销汇总!$C$12,$B299,$C$18)</f>
        <v>174.849999999999</v>
      </c>
      <c r="D299" s="80">
        <f ca="1" t="shared" si="44"/>
        <v>849.249999999995</v>
      </c>
      <c r="E299" s="80">
        <f ca="1">OFFSET(产销汇总!$C$1,MATCH(E$19,产销汇总!$C$2:$C$9,0),$C$18)*2</f>
        <v>12</v>
      </c>
      <c r="F299" s="80">
        <f t="shared" si="53"/>
        <v>21</v>
      </c>
      <c r="G299" s="80">
        <f t="shared" si="50"/>
        <v>0</v>
      </c>
      <c r="H299" s="80">
        <f t="shared" si="45"/>
        <v>6.4</v>
      </c>
      <c r="K299" s="132">
        <f t="shared" si="46"/>
        <v>274800</v>
      </c>
      <c r="L299" s="184">
        <v>280</v>
      </c>
      <c r="M299" s="180">
        <f>SUM($N$20:N299)</f>
        <v>183168</v>
      </c>
      <c r="N299" s="180">
        <v>1350</v>
      </c>
      <c r="O299" s="180">
        <v>19550</v>
      </c>
      <c r="P299" s="180">
        <v>274551</v>
      </c>
      <c r="Q299" s="180">
        <v>0</v>
      </c>
      <c r="R299" s="180">
        <f t="shared" si="54"/>
        <v>274800</v>
      </c>
      <c r="S299" s="182">
        <f ca="1">U299-SUM($P$20:P299)/86400/(24+$C$12)*24</f>
        <v>-126.287027677497</v>
      </c>
      <c r="T299" s="179">
        <f t="shared" si="51"/>
        <v>273000</v>
      </c>
      <c r="U299" s="179">
        <f ca="1" t="shared" si="47"/>
        <v>301</v>
      </c>
      <c r="W299" s="183">
        <v>280</v>
      </c>
      <c r="X299" s="183">
        <f ca="1" t="shared" si="48"/>
        <v>4945.49999999997</v>
      </c>
      <c r="Y299" s="183">
        <f ca="1">OFFSET(产销汇总!$C$1,MATCH("体力消耗",产销汇总!$C$2:$C$8,0),$C$18)/10*5*W299</f>
        <v>58800</v>
      </c>
      <c r="Z299" s="183">
        <f t="shared" si="52"/>
        <v>0</v>
      </c>
      <c r="AA299" s="183">
        <f ca="1" t="shared" si="49"/>
        <v>63745.5</v>
      </c>
    </row>
    <row r="300" ht="18" spans="1:27">
      <c r="A300" s="171"/>
      <c r="B300" s="80">
        <v>281</v>
      </c>
      <c r="C300" s="80">
        <f ca="1">OFFSET(产销汇总!$C$12,$B300,$C$18)</f>
        <v>175.199999999999</v>
      </c>
      <c r="D300" s="80">
        <f ca="1" t="shared" si="44"/>
        <v>850.999999999995</v>
      </c>
      <c r="E300" s="80">
        <f ca="1">OFFSET(产销汇总!$C$1,MATCH(E$19,产销汇总!$C$2:$C$9,0),$C$18)*2</f>
        <v>12</v>
      </c>
      <c r="F300" s="80">
        <f t="shared" si="53"/>
        <v>21</v>
      </c>
      <c r="G300" s="80">
        <f t="shared" si="50"/>
        <v>0</v>
      </c>
      <c r="H300" s="80">
        <f t="shared" si="45"/>
        <v>6.4</v>
      </c>
      <c r="K300" s="132">
        <f t="shared" si="46"/>
        <v>274800</v>
      </c>
      <c r="L300" s="184">
        <v>281</v>
      </c>
      <c r="M300" s="180">
        <f>SUM($N$20:N300)</f>
        <v>184523</v>
      </c>
      <c r="N300" s="180">
        <v>1355</v>
      </c>
      <c r="O300" s="180">
        <v>19620</v>
      </c>
      <c r="P300" s="180">
        <v>274612</v>
      </c>
      <c r="Q300" s="180">
        <v>0</v>
      </c>
      <c r="R300" s="180">
        <f t="shared" si="54"/>
        <v>274800</v>
      </c>
      <c r="S300" s="182">
        <f ca="1">U300-SUM($P$20:P300)/86400/(24+$C$12)*24</f>
        <v>-128.69037085658</v>
      </c>
      <c r="T300" s="179">
        <f t="shared" si="51"/>
        <v>273000</v>
      </c>
      <c r="U300" s="179">
        <f ca="1" t="shared" si="47"/>
        <v>301</v>
      </c>
      <c r="W300" s="183">
        <v>281</v>
      </c>
      <c r="X300" s="183">
        <f ca="1" t="shared" si="48"/>
        <v>4955.99999999997</v>
      </c>
      <c r="Y300" s="183">
        <f ca="1">OFFSET(产销汇总!$C$1,MATCH("体力消耗",产销汇总!$C$2:$C$8,0),$C$18)/10*5*W300</f>
        <v>59010</v>
      </c>
      <c r="Z300" s="183">
        <f t="shared" si="52"/>
        <v>0</v>
      </c>
      <c r="AA300" s="183">
        <f ca="1" t="shared" si="49"/>
        <v>63966</v>
      </c>
    </row>
    <row r="301" ht="18" spans="1:27">
      <c r="A301" s="171"/>
      <c r="B301" s="80">
        <v>282</v>
      </c>
      <c r="C301" s="80">
        <f ca="1">OFFSET(产销汇总!$C$12,$B301,$C$18)</f>
        <v>175.549999999999</v>
      </c>
      <c r="D301" s="80">
        <f ca="1" t="shared" si="44"/>
        <v>852.749999999995</v>
      </c>
      <c r="E301" s="80">
        <f ca="1">OFFSET(产销汇总!$C$1,MATCH(E$19,产销汇总!$C$2:$C$9,0),$C$18)*2</f>
        <v>12</v>
      </c>
      <c r="F301" s="80">
        <f t="shared" si="53"/>
        <v>21</v>
      </c>
      <c r="G301" s="80">
        <f t="shared" si="50"/>
        <v>0</v>
      </c>
      <c r="H301" s="80">
        <f t="shared" si="45"/>
        <v>6.4</v>
      </c>
      <c r="K301" s="132">
        <f t="shared" si="46"/>
        <v>274800</v>
      </c>
      <c r="L301" s="184">
        <v>282</v>
      </c>
      <c r="M301" s="180">
        <f>SUM($N$20:N301)</f>
        <v>185883</v>
      </c>
      <c r="N301" s="180">
        <v>1360</v>
      </c>
      <c r="O301" s="180">
        <v>19690</v>
      </c>
      <c r="P301" s="180">
        <v>274672</v>
      </c>
      <c r="Q301" s="180">
        <v>0</v>
      </c>
      <c r="R301" s="180">
        <f t="shared" si="54"/>
        <v>274800</v>
      </c>
      <c r="S301" s="182">
        <f ca="1">U301-SUM($P$20:P301)/86400/(24+$C$12)*24</f>
        <v>-131.094239142326</v>
      </c>
      <c r="T301" s="179">
        <f t="shared" si="51"/>
        <v>273000</v>
      </c>
      <c r="U301" s="179">
        <f ca="1" t="shared" si="47"/>
        <v>301</v>
      </c>
      <c r="W301" s="183">
        <v>282</v>
      </c>
      <c r="X301" s="183">
        <f ca="1" t="shared" si="48"/>
        <v>4966.49999999997</v>
      </c>
      <c r="Y301" s="183">
        <f ca="1">OFFSET(产销汇总!$C$1,MATCH("体力消耗",产销汇总!$C$2:$C$8,0),$C$18)/10*5*W301</f>
        <v>59220</v>
      </c>
      <c r="Z301" s="183">
        <f t="shared" si="52"/>
        <v>0</v>
      </c>
      <c r="AA301" s="183">
        <f ca="1" t="shared" si="49"/>
        <v>64186.5</v>
      </c>
    </row>
    <row r="302" ht="18" spans="1:27">
      <c r="A302" s="171"/>
      <c r="B302" s="80">
        <v>283</v>
      </c>
      <c r="C302" s="80">
        <f ca="1">OFFSET(产销汇总!$C$12,$B302,$C$18)</f>
        <v>175.899999999999</v>
      </c>
      <c r="D302" s="80">
        <f ca="1" t="shared" si="44"/>
        <v>854.499999999995</v>
      </c>
      <c r="E302" s="80">
        <f ca="1">OFFSET(产销汇总!$C$1,MATCH(E$19,产销汇总!$C$2:$C$9,0),$C$18)*2</f>
        <v>12</v>
      </c>
      <c r="F302" s="80">
        <f t="shared" si="53"/>
        <v>21</v>
      </c>
      <c r="G302" s="80">
        <f t="shared" si="50"/>
        <v>0</v>
      </c>
      <c r="H302" s="80">
        <f t="shared" si="45"/>
        <v>6.4</v>
      </c>
      <c r="K302" s="132">
        <f t="shared" si="46"/>
        <v>274800</v>
      </c>
      <c r="L302" s="184">
        <v>283</v>
      </c>
      <c r="M302" s="180">
        <f>SUM($N$20:N302)</f>
        <v>187248</v>
      </c>
      <c r="N302" s="180">
        <v>1365</v>
      </c>
      <c r="O302" s="180">
        <v>19760</v>
      </c>
      <c r="P302" s="180">
        <v>274733</v>
      </c>
      <c r="Q302" s="180">
        <v>0</v>
      </c>
      <c r="R302" s="180">
        <f t="shared" si="54"/>
        <v>274800</v>
      </c>
      <c r="S302" s="182">
        <f ca="1">U302-SUM($P$20:P302)/86400/(24+$C$12)*24</f>
        <v>-133.498641286511</v>
      </c>
      <c r="T302" s="179">
        <f t="shared" si="51"/>
        <v>273000</v>
      </c>
      <c r="U302" s="179">
        <f ca="1" t="shared" si="47"/>
        <v>301</v>
      </c>
      <c r="W302" s="183">
        <v>283</v>
      </c>
      <c r="X302" s="183">
        <f ca="1" t="shared" si="48"/>
        <v>4976.99999999997</v>
      </c>
      <c r="Y302" s="183">
        <f ca="1">OFFSET(产销汇总!$C$1,MATCH("体力消耗",产销汇总!$C$2:$C$8,0),$C$18)/10*5*W302</f>
        <v>59430</v>
      </c>
      <c r="Z302" s="183">
        <f t="shared" si="52"/>
        <v>0</v>
      </c>
      <c r="AA302" s="183">
        <f ca="1" t="shared" si="49"/>
        <v>64407</v>
      </c>
    </row>
    <row r="303" ht="18" spans="1:27">
      <c r="A303" s="171"/>
      <c r="B303" s="80">
        <v>284</v>
      </c>
      <c r="C303" s="80">
        <f ca="1">OFFSET(产销汇总!$C$12,$B303,$C$18)</f>
        <v>176.249999999999</v>
      </c>
      <c r="D303" s="80">
        <f ca="1" t="shared" si="44"/>
        <v>856.249999999995</v>
      </c>
      <c r="E303" s="80">
        <f ca="1">OFFSET(产销汇总!$C$1,MATCH(E$19,产销汇总!$C$2:$C$9,0),$C$18)*2</f>
        <v>12</v>
      </c>
      <c r="F303" s="80">
        <f t="shared" si="53"/>
        <v>21</v>
      </c>
      <c r="G303" s="80">
        <f t="shared" si="50"/>
        <v>0</v>
      </c>
      <c r="H303" s="80">
        <f t="shared" si="45"/>
        <v>6.4</v>
      </c>
      <c r="K303" s="132">
        <f t="shared" si="46"/>
        <v>274800</v>
      </c>
      <c r="L303" s="184">
        <v>284</v>
      </c>
      <c r="M303" s="180">
        <f>SUM($N$20:N303)</f>
        <v>188618</v>
      </c>
      <c r="N303" s="180">
        <v>1370</v>
      </c>
      <c r="O303" s="180">
        <v>19830</v>
      </c>
      <c r="P303" s="180">
        <v>274793</v>
      </c>
      <c r="Q303" s="180">
        <v>0</v>
      </c>
      <c r="R303" s="180">
        <f t="shared" si="54"/>
        <v>274800</v>
      </c>
      <c r="S303" s="182">
        <f ca="1">U303-SUM($P$20:P303)/86400/(24+$C$12)*24</f>
        <v>-135.903568537359</v>
      </c>
      <c r="T303" s="179">
        <f t="shared" si="51"/>
        <v>273000</v>
      </c>
      <c r="U303" s="179">
        <f ca="1" t="shared" si="47"/>
        <v>301</v>
      </c>
      <c r="W303" s="183">
        <v>284</v>
      </c>
      <c r="X303" s="183">
        <f ca="1" t="shared" si="48"/>
        <v>4987.49999999997</v>
      </c>
      <c r="Y303" s="183">
        <f ca="1">OFFSET(产销汇总!$C$1,MATCH("体力消耗",产销汇总!$C$2:$C$8,0),$C$18)/10*5*W303</f>
        <v>59640</v>
      </c>
      <c r="Z303" s="183">
        <f t="shared" si="52"/>
        <v>0</v>
      </c>
      <c r="AA303" s="183">
        <f ca="1" t="shared" si="49"/>
        <v>64627.5</v>
      </c>
    </row>
    <row r="304" ht="18" spans="1:27">
      <c r="A304" s="171"/>
      <c r="B304" s="80">
        <v>285</v>
      </c>
      <c r="C304" s="80">
        <f ca="1">OFFSET(产销汇总!$C$12,$B304,$C$18)</f>
        <v>176.599999999999</v>
      </c>
      <c r="D304" s="80">
        <f ca="1" t="shared" si="44"/>
        <v>857.999999999995</v>
      </c>
      <c r="E304" s="80">
        <f ca="1">OFFSET(产销汇总!$C$1,MATCH(E$19,产销汇总!$C$2:$C$9,0),$C$18)*2</f>
        <v>12</v>
      </c>
      <c r="F304" s="80">
        <f t="shared" si="53"/>
        <v>21</v>
      </c>
      <c r="G304" s="80">
        <f t="shared" si="50"/>
        <v>0</v>
      </c>
      <c r="H304" s="80">
        <f t="shared" si="45"/>
        <v>6.4</v>
      </c>
      <c r="K304" s="132">
        <f t="shared" si="46"/>
        <v>275100</v>
      </c>
      <c r="L304" s="184">
        <v>285</v>
      </c>
      <c r="M304" s="180">
        <f>SUM($N$20:N304)</f>
        <v>189993</v>
      </c>
      <c r="N304" s="180">
        <v>1375</v>
      </c>
      <c r="O304" s="180">
        <v>19900</v>
      </c>
      <c r="P304" s="180">
        <v>274854</v>
      </c>
      <c r="Q304" s="180">
        <v>0</v>
      </c>
      <c r="R304" s="180">
        <f t="shared" si="54"/>
        <v>275100</v>
      </c>
      <c r="S304" s="182">
        <f ca="1">U304-SUM($P$20:P304)/86400/(24+$C$12)*24</f>
        <v>-138.309029646647</v>
      </c>
      <c r="T304" s="179">
        <f t="shared" si="51"/>
        <v>273300</v>
      </c>
      <c r="U304" s="179">
        <f ca="1" t="shared" si="47"/>
        <v>301</v>
      </c>
      <c r="W304" s="183">
        <v>285</v>
      </c>
      <c r="X304" s="183">
        <f ca="1" t="shared" si="48"/>
        <v>4997.99999999997</v>
      </c>
      <c r="Y304" s="183">
        <f ca="1">OFFSET(产销汇总!$C$1,MATCH("体力消耗",产销汇总!$C$2:$C$8,0),$C$18)/10*5*W304</f>
        <v>59850</v>
      </c>
      <c r="Z304" s="183">
        <f t="shared" si="52"/>
        <v>0</v>
      </c>
      <c r="AA304" s="183">
        <f ca="1" t="shared" si="49"/>
        <v>64848</v>
      </c>
    </row>
    <row r="305" ht="18" spans="1:27">
      <c r="A305" s="171"/>
      <c r="B305" s="80">
        <v>286</v>
      </c>
      <c r="C305" s="80">
        <f ca="1">OFFSET(产销汇总!$C$12,$B305,$C$18)</f>
        <v>176.949999999999</v>
      </c>
      <c r="D305" s="80">
        <f ca="1" t="shared" si="44"/>
        <v>859.749999999995</v>
      </c>
      <c r="E305" s="80">
        <f ca="1">OFFSET(产销汇总!$C$1,MATCH(E$19,产销汇总!$C$2:$C$9,0),$C$18)*2</f>
        <v>12</v>
      </c>
      <c r="F305" s="80">
        <f t="shared" si="53"/>
        <v>21</v>
      </c>
      <c r="G305" s="80">
        <f t="shared" si="50"/>
        <v>0</v>
      </c>
      <c r="H305" s="80">
        <f t="shared" si="45"/>
        <v>6.4</v>
      </c>
      <c r="K305" s="132">
        <f t="shared" si="46"/>
        <v>275100</v>
      </c>
      <c r="L305" s="184">
        <v>286</v>
      </c>
      <c r="M305" s="180">
        <f>SUM($N$20:N305)</f>
        <v>191373</v>
      </c>
      <c r="N305" s="180">
        <v>1380</v>
      </c>
      <c r="O305" s="180">
        <v>19970</v>
      </c>
      <c r="P305" s="180">
        <v>274914</v>
      </c>
      <c r="Q305" s="180">
        <v>0</v>
      </c>
      <c r="R305" s="180">
        <f t="shared" si="54"/>
        <v>275100</v>
      </c>
      <c r="S305" s="182">
        <f ca="1">U305-SUM($P$20:P305)/86400/(24+$C$12)*24</f>
        <v>-140.715015862597</v>
      </c>
      <c r="T305" s="179">
        <f t="shared" si="51"/>
        <v>273300</v>
      </c>
      <c r="U305" s="179">
        <f ca="1" t="shared" si="47"/>
        <v>301</v>
      </c>
      <c r="W305" s="183">
        <v>286</v>
      </c>
      <c r="X305" s="183">
        <f ca="1" t="shared" si="48"/>
        <v>5008.49999999997</v>
      </c>
      <c r="Y305" s="183">
        <f ca="1">OFFSET(产销汇总!$C$1,MATCH("体力消耗",产销汇总!$C$2:$C$8,0),$C$18)/10*5*W305</f>
        <v>60060</v>
      </c>
      <c r="Z305" s="183">
        <f t="shared" si="52"/>
        <v>0</v>
      </c>
      <c r="AA305" s="183">
        <f ca="1" t="shared" si="49"/>
        <v>65068.5</v>
      </c>
    </row>
    <row r="306" ht="18" spans="1:27">
      <c r="A306" s="171"/>
      <c r="B306" s="80">
        <v>287</v>
      </c>
      <c r="C306" s="80">
        <f ca="1">OFFSET(产销汇总!$C$12,$B306,$C$18)</f>
        <v>177.299999999999</v>
      </c>
      <c r="D306" s="80">
        <f ca="1" t="shared" si="44"/>
        <v>861.499999999995</v>
      </c>
      <c r="E306" s="80">
        <f ca="1">OFFSET(产销汇总!$C$1,MATCH(E$19,产销汇总!$C$2:$C$9,0),$C$18)*2</f>
        <v>12</v>
      </c>
      <c r="F306" s="80">
        <f t="shared" si="53"/>
        <v>21</v>
      </c>
      <c r="G306" s="80">
        <f t="shared" si="50"/>
        <v>0</v>
      </c>
      <c r="H306" s="80">
        <f t="shared" si="45"/>
        <v>6.4</v>
      </c>
      <c r="K306" s="132">
        <f t="shared" si="46"/>
        <v>275100</v>
      </c>
      <c r="L306" s="184">
        <v>287</v>
      </c>
      <c r="M306" s="180">
        <f>SUM($N$20:N306)</f>
        <v>192758</v>
      </c>
      <c r="N306" s="180">
        <v>1385</v>
      </c>
      <c r="O306" s="180">
        <v>20040</v>
      </c>
      <c r="P306" s="180">
        <v>274975</v>
      </c>
      <c r="Q306" s="180">
        <v>0</v>
      </c>
      <c r="R306" s="180">
        <f t="shared" si="54"/>
        <v>275100</v>
      </c>
      <c r="S306" s="182">
        <f ca="1">U306-SUM($P$20:P306)/86400/(24+$C$12)*24</f>
        <v>-143.121535936987</v>
      </c>
      <c r="T306" s="179">
        <f t="shared" si="51"/>
        <v>273300</v>
      </c>
      <c r="U306" s="179">
        <f ca="1" t="shared" si="47"/>
        <v>301</v>
      </c>
      <c r="W306" s="183">
        <v>287</v>
      </c>
      <c r="X306" s="183">
        <f ca="1" t="shared" si="48"/>
        <v>5018.99999999997</v>
      </c>
      <c r="Y306" s="183">
        <f ca="1">OFFSET(产销汇总!$C$1,MATCH("体力消耗",产销汇总!$C$2:$C$8,0),$C$18)/10*5*W306</f>
        <v>60270</v>
      </c>
      <c r="Z306" s="183">
        <f t="shared" si="52"/>
        <v>0</v>
      </c>
      <c r="AA306" s="183">
        <f ca="1" t="shared" si="49"/>
        <v>65289</v>
      </c>
    </row>
    <row r="307" ht="18" spans="1:27">
      <c r="A307" s="171"/>
      <c r="B307" s="80">
        <v>288</v>
      </c>
      <c r="C307" s="80">
        <f ca="1">OFFSET(产销汇总!$C$12,$B307,$C$18)</f>
        <v>177.649999999999</v>
      </c>
      <c r="D307" s="80">
        <f ca="1" t="shared" si="44"/>
        <v>863.249999999995</v>
      </c>
      <c r="E307" s="80">
        <f ca="1">OFFSET(产销汇总!$C$1,MATCH(E$19,产销汇总!$C$2:$C$9,0),$C$18)*2</f>
        <v>12</v>
      </c>
      <c r="F307" s="80">
        <f t="shared" si="53"/>
        <v>21</v>
      </c>
      <c r="G307" s="80">
        <f t="shared" si="50"/>
        <v>0</v>
      </c>
      <c r="H307" s="80">
        <f t="shared" si="45"/>
        <v>6.4</v>
      </c>
      <c r="K307" s="132">
        <f t="shared" si="46"/>
        <v>275100</v>
      </c>
      <c r="L307" s="184">
        <v>288</v>
      </c>
      <c r="M307" s="180">
        <f>SUM($N$20:N307)</f>
        <v>194148</v>
      </c>
      <c r="N307" s="180">
        <v>1390</v>
      </c>
      <c r="O307" s="180">
        <v>20110</v>
      </c>
      <c r="P307" s="180">
        <v>275035</v>
      </c>
      <c r="Q307" s="180">
        <v>0</v>
      </c>
      <c r="R307" s="180">
        <f t="shared" si="54"/>
        <v>275100</v>
      </c>
      <c r="S307" s="182">
        <f ca="1">U307-SUM($P$20:P307)/86400/(24+$C$12)*24</f>
        <v>-145.52858111804</v>
      </c>
      <c r="T307" s="179">
        <f t="shared" si="51"/>
        <v>273300</v>
      </c>
      <c r="U307" s="179">
        <f ca="1" t="shared" si="47"/>
        <v>301</v>
      </c>
      <c r="W307" s="183">
        <v>288</v>
      </c>
      <c r="X307" s="183">
        <f ca="1" t="shared" si="48"/>
        <v>5029.49999999997</v>
      </c>
      <c r="Y307" s="183">
        <f ca="1">OFFSET(产销汇总!$C$1,MATCH("体力消耗",产销汇总!$C$2:$C$8,0),$C$18)/10*5*W307</f>
        <v>60480</v>
      </c>
      <c r="Z307" s="183">
        <f t="shared" si="52"/>
        <v>0</v>
      </c>
      <c r="AA307" s="183">
        <f ca="1" t="shared" si="49"/>
        <v>65509.5</v>
      </c>
    </row>
    <row r="308" ht="18" spans="1:27">
      <c r="A308" s="171"/>
      <c r="B308" s="80">
        <v>289</v>
      </c>
      <c r="C308" s="80">
        <f ca="1">OFFSET(产销汇总!$C$12,$B308,$C$18)</f>
        <v>177.999999999999</v>
      </c>
      <c r="D308" s="80">
        <f ca="1" t="shared" si="44"/>
        <v>864.999999999995</v>
      </c>
      <c r="E308" s="80">
        <f ca="1">OFFSET(产销汇总!$C$1,MATCH(E$19,产销汇总!$C$2:$C$9,0),$C$18)*2</f>
        <v>12</v>
      </c>
      <c r="F308" s="80">
        <f t="shared" si="53"/>
        <v>21</v>
      </c>
      <c r="G308" s="80">
        <f t="shared" si="50"/>
        <v>0</v>
      </c>
      <c r="H308" s="80">
        <f t="shared" si="45"/>
        <v>6.4</v>
      </c>
      <c r="K308" s="132">
        <f t="shared" si="46"/>
        <v>275100</v>
      </c>
      <c r="L308" s="184">
        <v>289</v>
      </c>
      <c r="M308" s="180">
        <f>SUM($N$20:N308)</f>
        <v>195543</v>
      </c>
      <c r="N308" s="180">
        <v>1395</v>
      </c>
      <c r="O308" s="180">
        <v>20180</v>
      </c>
      <c r="P308" s="180">
        <v>275096</v>
      </c>
      <c r="Q308" s="180">
        <v>0</v>
      </c>
      <c r="R308" s="180">
        <f t="shared" si="54"/>
        <v>275100</v>
      </c>
      <c r="S308" s="182">
        <f ca="1">U308-SUM($P$20:P308)/86400/(24+$C$12)*24</f>
        <v>-147.936160157532</v>
      </c>
      <c r="T308" s="179">
        <f t="shared" si="51"/>
        <v>273300</v>
      </c>
      <c r="U308" s="179">
        <f ca="1" t="shared" si="47"/>
        <v>301</v>
      </c>
      <c r="W308" s="183">
        <v>289</v>
      </c>
      <c r="X308" s="183">
        <f ca="1" t="shared" si="48"/>
        <v>5039.99999999997</v>
      </c>
      <c r="Y308" s="183">
        <f ca="1">OFFSET(产销汇总!$C$1,MATCH("体力消耗",产销汇总!$C$2:$C$8,0),$C$18)/10*5*W308</f>
        <v>60690</v>
      </c>
      <c r="Z308" s="183">
        <f t="shared" si="52"/>
        <v>0</v>
      </c>
      <c r="AA308" s="183">
        <f ca="1" t="shared" si="49"/>
        <v>65730</v>
      </c>
    </row>
    <row r="309" ht="18" spans="1:27">
      <c r="A309" s="171"/>
      <c r="B309" s="80">
        <v>290</v>
      </c>
      <c r="C309" s="80">
        <f ca="1">OFFSET(产销汇总!$C$12,$B309,$C$18)</f>
        <v>178.349999999999</v>
      </c>
      <c r="D309" s="80">
        <f ca="1" t="shared" si="44"/>
        <v>866.749999999995</v>
      </c>
      <c r="E309" s="80">
        <f ca="1">OFFSET(产销汇总!$C$1,MATCH(E$19,产销汇总!$C$2:$C$9,0),$C$18)*2</f>
        <v>12</v>
      </c>
      <c r="F309" s="80">
        <f t="shared" si="53"/>
        <v>21</v>
      </c>
      <c r="G309" s="80">
        <f t="shared" si="50"/>
        <v>0</v>
      </c>
      <c r="H309" s="80">
        <f t="shared" si="45"/>
        <v>6.4</v>
      </c>
      <c r="K309" s="132">
        <f t="shared" si="46"/>
        <v>275400</v>
      </c>
      <c r="L309" s="184">
        <v>290</v>
      </c>
      <c r="M309" s="180">
        <f>SUM($N$20:N309)</f>
        <v>196943</v>
      </c>
      <c r="N309" s="180">
        <v>1400</v>
      </c>
      <c r="O309" s="180">
        <v>20250</v>
      </c>
      <c r="P309" s="180">
        <v>275156</v>
      </c>
      <c r="Q309" s="180">
        <v>0</v>
      </c>
      <c r="R309" s="180">
        <f t="shared" si="54"/>
        <v>275400</v>
      </c>
      <c r="S309" s="182">
        <f ca="1">U309-SUM($P$20:P309)/86400/(24+$C$12)*24</f>
        <v>-150.344264303687</v>
      </c>
      <c r="T309" s="179">
        <f t="shared" si="51"/>
        <v>273600</v>
      </c>
      <c r="U309" s="179">
        <f ca="1" t="shared" si="47"/>
        <v>301</v>
      </c>
      <c r="W309" s="183">
        <v>290</v>
      </c>
      <c r="X309" s="183">
        <f ca="1" t="shared" si="48"/>
        <v>5050.49999999997</v>
      </c>
      <c r="Y309" s="183">
        <f ca="1">OFFSET(产销汇总!$C$1,MATCH("体力消耗",产销汇总!$C$2:$C$8,0),$C$18)/10*5*W309</f>
        <v>60900</v>
      </c>
      <c r="Z309" s="183">
        <f t="shared" si="52"/>
        <v>0</v>
      </c>
      <c r="AA309" s="183">
        <f ca="1" t="shared" si="49"/>
        <v>65950.5</v>
      </c>
    </row>
    <row r="310" ht="18" spans="1:27">
      <c r="A310" s="171"/>
      <c r="B310" s="80">
        <v>291</v>
      </c>
      <c r="C310" s="80">
        <f ca="1">OFFSET(产销汇总!$C$12,$B310,$C$18)</f>
        <v>178.699999999999</v>
      </c>
      <c r="D310" s="80">
        <f ca="1" t="shared" si="44"/>
        <v>868.499999999995</v>
      </c>
      <c r="E310" s="80">
        <f ca="1">OFFSET(产销汇总!$C$1,MATCH(E$19,产销汇总!$C$2:$C$9,0),$C$18)*2</f>
        <v>12</v>
      </c>
      <c r="F310" s="80">
        <f t="shared" si="53"/>
        <v>21</v>
      </c>
      <c r="G310" s="80">
        <f t="shared" si="50"/>
        <v>0</v>
      </c>
      <c r="H310" s="80">
        <f t="shared" si="45"/>
        <v>6.4</v>
      </c>
      <c r="K310" s="132">
        <f t="shared" si="46"/>
        <v>275400</v>
      </c>
      <c r="L310" s="184">
        <v>291</v>
      </c>
      <c r="M310" s="180">
        <f>SUM($N$20:N310)</f>
        <v>198348</v>
      </c>
      <c r="N310" s="180">
        <v>1405</v>
      </c>
      <c r="O310" s="180">
        <v>20320</v>
      </c>
      <c r="P310" s="180">
        <v>275216</v>
      </c>
      <c r="Q310" s="180">
        <v>0</v>
      </c>
      <c r="R310" s="180">
        <f t="shared" si="54"/>
        <v>275400</v>
      </c>
      <c r="S310" s="182">
        <f ca="1">U310-SUM($P$20:P310)/86400/(24+$C$12)*24</f>
        <v>-152.752893556504</v>
      </c>
      <c r="T310" s="179">
        <f t="shared" si="51"/>
        <v>273600</v>
      </c>
      <c r="U310" s="179">
        <f ca="1" t="shared" si="47"/>
        <v>301</v>
      </c>
      <c r="W310" s="183">
        <v>291</v>
      </c>
      <c r="X310" s="183">
        <f ca="1" t="shared" si="48"/>
        <v>5060.99999999997</v>
      </c>
      <c r="Y310" s="183">
        <f ca="1">OFFSET(产销汇总!$C$1,MATCH("体力消耗",产销汇总!$C$2:$C$8,0),$C$18)/10*5*W310</f>
        <v>61110</v>
      </c>
      <c r="Z310" s="183">
        <f t="shared" si="52"/>
        <v>0</v>
      </c>
      <c r="AA310" s="183">
        <f ca="1" t="shared" si="49"/>
        <v>66171</v>
      </c>
    </row>
    <row r="311" ht="18" spans="1:27">
      <c r="A311" s="171"/>
      <c r="B311" s="80">
        <v>292</v>
      </c>
      <c r="C311" s="80">
        <f ca="1">OFFSET(产销汇总!$C$12,$B311,$C$18)</f>
        <v>179.049999999999</v>
      </c>
      <c r="D311" s="80">
        <f ca="1" t="shared" si="44"/>
        <v>870.249999999995</v>
      </c>
      <c r="E311" s="80">
        <f ca="1">OFFSET(产销汇总!$C$1,MATCH(E$19,产销汇总!$C$2:$C$9,0),$C$18)*2</f>
        <v>12</v>
      </c>
      <c r="F311" s="80">
        <f t="shared" si="53"/>
        <v>21</v>
      </c>
      <c r="G311" s="80">
        <f t="shared" si="50"/>
        <v>0</v>
      </c>
      <c r="H311" s="80">
        <f t="shared" si="45"/>
        <v>6.4</v>
      </c>
      <c r="K311" s="132">
        <f t="shared" si="46"/>
        <v>275400</v>
      </c>
      <c r="L311" s="184">
        <v>292</v>
      </c>
      <c r="M311" s="180">
        <f>SUM($N$20:N311)</f>
        <v>199758</v>
      </c>
      <c r="N311" s="180">
        <v>1410</v>
      </c>
      <c r="O311" s="180">
        <v>20390</v>
      </c>
      <c r="P311" s="180">
        <v>275277</v>
      </c>
      <c r="Q311" s="180">
        <v>0</v>
      </c>
      <c r="R311" s="180">
        <f t="shared" si="54"/>
        <v>275400</v>
      </c>
      <c r="S311" s="182">
        <f ca="1">U311-SUM($P$20:P311)/86400/(24+$C$12)*24</f>
        <v>-155.162056667761</v>
      </c>
      <c r="T311" s="179">
        <f t="shared" si="51"/>
        <v>273600</v>
      </c>
      <c r="U311" s="179">
        <f ca="1" t="shared" si="47"/>
        <v>301</v>
      </c>
      <c r="W311" s="183">
        <v>292</v>
      </c>
      <c r="X311" s="183">
        <f ca="1" t="shared" si="48"/>
        <v>5071.49999999997</v>
      </c>
      <c r="Y311" s="183">
        <f ca="1">OFFSET(产销汇总!$C$1,MATCH("体力消耗",产销汇总!$C$2:$C$8,0),$C$18)/10*5*W311</f>
        <v>61320</v>
      </c>
      <c r="Z311" s="183">
        <f t="shared" si="52"/>
        <v>0</v>
      </c>
      <c r="AA311" s="183">
        <f ca="1" t="shared" si="49"/>
        <v>66391.5</v>
      </c>
    </row>
    <row r="312" ht="18" spans="1:27">
      <c r="A312" s="171"/>
      <c r="B312" s="80">
        <v>293</v>
      </c>
      <c r="C312" s="80">
        <f ca="1">OFFSET(产销汇总!$C$12,$B312,$C$18)</f>
        <v>179.399999999999</v>
      </c>
      <c r="D312" s="80">
        <f ca="1" t="shared" si="44"/>
        <v>871.999999999995</v>
      </c>
      <c r="E312" s="80">
        <f ca="1">OFFSET(产销汇总!$C$1,MATCH(E$19,产销汇总!$C$2:$C$9,0),$C$18)*2</f>
        <v>12</v>
      </c>
      <c r="F312" s="80">
        <f t="shared" si="53"/>
        <v>21</v>
      </c>
      <c r="G312" s="80">
        <f t="shared" si="50"/>
        <v>0</v>
      </c>
      <c r="H312" s="80">
        <f t="shared" si="45"/>
        <v>6.4</v>
      </c>
      <c r="K312" s="132">
        <f t="shared" si="46"/>
        <v>275400</v>
      </c>
      <c r="L312" s="184">
        <v>293</v>
      </c>
      <c r="M312" s="180">
        <f>SUM($N$20:N312)</f>
        <v>201173</v>
      </c>
      <c r="N312" s="180">
        <v>1415</v>
      </c>
      <c r="O312" s="180">
        <v>20460</v>
      </c>
      <c r="P312" s="180">
        <v>275337</v>
      </c>
      <c r="Q312" s="180">
        <v>0</v>
      </c>
      <c r="R312" s="180">
        <f t="shared" si="54"/>
        <v>275400</v>
      </c>
      <c r="S312" s="182">
        <f ca="1">U312-SUM($P$20:P312)/86400/(24+$C$12)*24</f>
        <v>-157.57174488568</v>
      </c>
      <c r="T312" s="179">
        <f t="shared" si="51"/>
        <v>273600</v>
      </c>
      <c r="U312" s="179">
        <f ca="1" t="shared" si="47"/>
        <v>301</v>
      </c>
      <c r="W312" s="183">
        <v>293</v>
      </c>
      <c r="X312" s="183">
        <f ca="1" t="shared" si="48"/>
        <v>5081.99999999997</v>
      </c>
      <c r="Y312" s="183">
        <f ca="1">OFFSET(产销汇总!$C$1,MATCH("体力消耗",产销汇总!$C$2:$C$8,0),$C$18)/10*5*W312</f>
        <v>61530</v>
      </c>
      <c r="Z312" s="183">
        <f t="shared" si="52"/>
        <v>0</v>
      </c>
      <c r="AA312" s="183">
        <f ca="1" t="shared" si="49"/>
        <v>66612</v>
      </c>
    </row>
    <row r="313" ht="18" spans="1:27">
      <c r="A313" s="171"/>
      <c r="B313" s="80">
        <v>294</v>
      </c>
      <c r="C313" s="80">
        <f ca="1">OFFSET(产销汇总!$C$12,$B313,$C$18)</f>
        <v>179.749999999999</v>
      </c>
      <c r="D313" s="80">
        <f ca="1" t="shared" si="44"/>
        <v>873.749999999995</v>
      </c>
      <c r="E313" s="80">
        <f ca="1">OFFSET(产销汇总!$C$1,MATCH(E$19,产销汇总!$C$2:$C$9,0),$C$18)*2</f>
        <v>12</v>
      </c>
      <c r="F313" s="80">
        <f t="shared" si="53"/>
        <v>21</v>
      </c>
      <c r="G313" s="80">
        <f t="shared" si="50"/>
        <v>0</v>
      </c>
      <c r="H313" s="80">
        <f t="shared" si="45"/>
        <v>6.4</v>
      </c>
      <c r="K313" s="132">
        <f t="shared" si="46"/>
        <v>275400</v>
      </c>
      <c r="L313" s="184">
        <v>294</v>
      </c>
      <c r="M313" s="180">
        <f>SUM($N$20:N313)</f>
        <v>202593</v>
      </c>
      <c r="N313" s="180">
        <v>1420</v>
      </c>
      <c r="O313" s="180">
        <v>20530</v>
      </c>
      <c r="P313" s="180">
        <v>275398</v>
      </c>
      <c r="Q313" s="180">
        <v>0</v>
      </c>
      <c r="R313" s="180">
        <f t="shared" si="54"/>
        <v>275400</v>
      </c>
      <c r="S313" s="182">
        <f ca="1">U313-SUM($P$20:P313)/86400/(24+$C$12)*24</f>
        <v>-159.981966962039</v>
      </c>
      <c r="T313" s="179">
        <f t="shared" si="51"/>
        <v>273600</v>
      </c>
      <c r="U313" s="179">
        <f ca="1" t="shared" si="47"/>
        <v>301</v>
      </c>
      <c r="W313" s="183">
        <v>294</v>
      </c>
      <c r="X313" s="183">
        <f ca="1" t="shared" si="48"/>
        <v>5092.49999999997</v>
      </c>
      <c r="Y313" s="183">
        <f ca="1">OFFSET(产销汇总!$C$1,MATCH("体力消耗",产销汇总!$C$2:$C$8,0),$C$18)/10*5*W313</f>
        <v>61740</v>
      </c>
      <c r="Z313" s="183">
        <f t="shared" si="52"/>
        <v>0</v>
      </c>
      <c r="AA313" s="183">
        <f ca="1" t="shared" si="49"/>
        <v>66832.5</v>
      </c>
    </row>
    <row r="314" ht="18" spans="1:27">
      <c r="A314" s="171"/>
      <c r="B314" s="80">
        <v>295</v>
      </c>
      <c r="C314" s="80">
        <f ca="1">OFFSET(产销汇总!$C$12,$B314,$C$18)</f>
        <v>180.099999999999</v>
      </c>
      <c r="D314" s="80">
        <f ca="1" t="shared" si="44"/>
        <v>875.499999999995</v>
      </c>
      <c r="E314" s="80">
        <f ca="1">OFFSET(产销汇总!$C$1,MATCH(E$19,产销汇总!$C$2:$C$9,0),$C$18)*2</f>
        <v>12</v>
      </c>
      <c r="F314" s="80">
        <f t="shared" si="53"/>
        <v>21</v>
      </c>
      <c r="G314" s="80">
        <f t="shared" si="50"/>
        <v>0</v>
      </c>
      <c r="H314" s="80">
        <f t="shared" si="45"/>
        <v>6.4</v>
      </c>
      <c r="K314" s="132">
        <f t="shared" si="46"/>
        <v>275700</v>
      </c>
      <c r="L314" s="184">
        <v>295</v>
      </c>
      <c r="M314" s="180">
        <f>SUM($N$20:N314)</f>
        <v>204018</v>
      </c>
      <c r="N314" s="180">
        <v>1425</v>
      </c>
      <c r="O314" s="180">
        <v>20600</v>
      </c>
      <c r="P314" s="180">
        <v>275458</v>
      </c>
      <c r="Q314" s="180">
        <v>0</v>
      </c>
      <c r="R314" s="180">
        <f t="shared" si="54"/>
        <v>275700</v>
      </c>
      <c r="S314" s="182">
        <f ca="1">U314-SUM($P$20:P314)/86400/(24+$C$12)*24</f>
        <v>-162.392714145061</v>
      </c>
      <c r="T314" s="179">
        <f t="shared" si="51"/>
        <v>273900</v>
      </c>
      <c r="U314" s="179">
        <f ca="1" t="shared" si="47"/>
        <v>301</v>
      </c>
      <c r="W314" s="183">
        <v>295</v>
      </c>
      <c r="X314" s="183">
        <f ca="1" t="shared" si="48"/>
        <v>5102.99999999997</v>
      </c>
      <c r="Y314" s="183">
        <f ca="1">OFFSET(产销汇总!$C$1,MATCH("体力消耗",产销汇总!$C$2:$C$8,0),$C$18)/10*5*W314</f>
        <v>61950</v>
      </c>
      <c r="Z314" s="183">
        <f t="shared" si="52"/>
        <v>0</v>
      </c>
      <c r="AA314" s="183">
        <f ca="1" t="shared" si="49"/>
        <v>67053</v>
      </c>
    </row>
    <row r="315" ht="18" spans="1:27">
      <c r="A315" s="171"/>
      <c r="B315" s="80">
        <v>296</v>
      </c>
      <c r="C315" s="80">
        <f ca="1">OFFSET(产销汇总!$C$12,$B315,$C$18)</f>
        <v>180.449999999999</v>
      </c>
      <c r="D315" s="80">
        <f ca="1" t="shared" si="44"/>
        <v>877.249999999995</v>
      </c>
      <c r="E315" s="80">
        <f ca="1">OFFSET(产销汇总!$C$1,MATCH(E$19,产销汇总!$C$2:$C$9,0),$C$18)*2</f>
        <v>12</v>
      </c>
      <c r="F315" s="80">
        <f t="shared" si="53"/>
        <v>21</v>
      </c>
      <c r="G315" s="80">
        <f t="shared" si="50"/>
        <v>0</v>
      </c>
      <c r="H315" s="80">
        <f t="shared" si="45"/>
        <v>6.4</v>
      </c>
      <c r="K315" s="132">
        <f t="shared" si="46"/>
        <v>275700</v>
      </c>
      <c r="L315" s="184">
        <v>296</v>
      </c>
      <c r="M315" s="180">
        <f>SUM($N$20:N315)</f>
        <v>205448</v>
      </c>
      <c r="N315" s="180">
        <v>1430</v>
      </c>
      <c r="O315" s="180">
        <v>20670</v>
      </c>
      <c r="P315" s="180">
        <v>275519</v>
      </c>
      <c r="Q315" s="180">
        <v>0</v>
      </c>
      <c r="R315" s="180">
        <f t="shared" si="54"/>
        <v>275700</v>
      </c>
      <c r="S315" s="182">
        <f ca="1">U315-SUM($P$20:P315)/86400/(24+$C$12)*24</f>
        <v>-164.803995186522</v>
      </c>
      <c r="T315" s="179">
        <f t="shared" si="51"/>
        <v>273900</v>
      </c>
      <c r="U315" s="179">
        <f ca="1" t="shared" si="47"/>
        <v>301</v>
      </c>
      <c r="W315" s="183">
        <v>296</v>
      </c>
      <c r="X315" s="183">
        <f ca="1" t="shared" si="48"/>
        <v>5113.49999999997</v>
      </c>
      <c r="Y315" s="183">
        <f ca="1">OFFSET(产销汇总!$C$1,MATCH("体力消耗",产销汇总!$C$2:$C$8,0),$C$18)/10*5*W315</f>
        <v>62160</v>
      </c>
      <c r="Z315" s="183">
        <f t="shared" si="52"/>
        <v>0</v>
      </c>
      <c r="AA315" s="183">
        <f ca="1" t="shared" si="49"/>
        <v>67273.5</v>
      </c>
    </row>
    <row r="316" ht="18" spans="1:27">
      <c r="A316" s="171"/>
      <c r="B316" s="80">
        <v>297</v>
      </c>
      <c r="C316" s="80">
        <f ca="1">OFFSET(产销汇总!$C$12,$B316,$C$18)</f>
        <v>180.799999999999</v>
      </c>
      <c r="D316" s="80">
        <f ca="1" t="shared" si="44"/>
        <v>878.999999999995</v>
      </c>
      <c r="E316" s="80">
        <f ca="1">OFFSET(产销汇总!$C$1,MATCH(E$19,产销汇总!$C$2:$C$9,0),$C$18)*2</f>
        <v>12</v>
      </c>
      <c r="F316" s="80">
        <f t="shared" si="53"/>
        <v>21</v>
      </c>
      <c r="G316" s="80">
        <f t="shared" si="50"/>
        <v>0</v>
      </c>
      <c r="H316" s="80">
        <f t="shared" si="45"/>
        <v>6.4</v>
      </c>
      <c r="K316" s="132">
        <f t="shared" si="46"/>
        <v>275700</v>
      </c>
      <c r="L316" s="184">
        <v>297</v>
      </c>
      <c r="M316" s="180">
        <f>SUM($N$20:N316)</f>
        <v>206883</v>
      </c>
      <c r="N316" s="180">
        <v>1435</v>
      </c>
      <c r="O316" s="180">
        <v>20740</v>
      </c>
      <c r="P316" s="180">
        <v>275579</v>
      </c>
      <c r="Q316" s="180">
        <v>0</v>
      </c>
      <c r="R316" s="180">
        <f t="shared" si="54"/>
        <v>275700</v>
      </c>
      <c r="S316" s="182">
        <f ca="1">U316-SUM($P$20:P316)/86400/(24+$C$12)*24</f>
        <v>-167.215801334646</v>
      </c>
      <c r="T316" s="179">
        <f t="shared" si="51"/>
        <v>273900</v>
      </c>
      <c r="U316" s="179">
        <f ca="1" t="shared" si="47"/>
        <v>301</v>
      </c>
      <c r="W316" s="183">
        <v>297</v>
      </c>
      <c r="X316" s="183">
        <f ca="1" t="shared" si="48"/>
        <v>5123.99999999997</v>
      </c>
      <c r="Y316" s="183">
        <f ca="1">OFFSET(产销汇总!$C$1,MATCH("体力消耗",产销汇总!$C$2:$C$8,0),$C$18)/10*5*W316</f>
        <v>62370</v>
      </c>
      <c r="Z316" s="183">
        <f t="shared" si="52"/>
        <v>0</v>
      </c>
      <c r="AA316" s="183">
        <f ca="1" t="shared" si="49"/>
        <v>67494</v>
      </c>
    </row>
    <row r="317" ht="18" spans="1:27">
      <c r="A317" s="171"/>
      <c r="B317" s="80">
        <v>298</v>
      </c>
      <c r="C317" s="80">
        <f ca="1">OFFSET(产销汇总!$C$12,$B317,$C$18)</f>
        <v>181.149999999999</v>
      </c>
      <c r="D317" s="80">
        <f ca="1" t="shared" si="44"/>
        <v>880.749999999995</v>
      </c>
      <c r="E317" s="80">
        <f ca="1">OFFSET(产销汇总!$C$1,MATCH(E$19,产销汇总!$C$2:$C$9,0),$C$18)*2</f>
        <v>12</v>
      </c>
      <c r="F317" s="80">
        <f t="shared" si="53"/>
        <v>21</v>
      </c>
      <c r="G317" s="80">
        <f t="shared" si="50"/>
        <v>0</v>
      </c>
      <c r="H317" s="80">
        <f t="shared" si="45"/>
        <v>6.4</v>
      </c>
      <c r="K317" s="132">
        <f t="shared" si="46"/>
        <v>275700</v>
      </c>
      <c r="L317" s="184">
        <v>298</v>
      </c>
      <c r="M317" s="180">
        <f>SUM($N$20:N317)</f>
        <v>208323</v>
      </c>
      <c r="N317" s="180">
        <v>1440</v>
      </c>
      <c r="O317" s="180">
        <v>20810</v>
      </c>
      <c r="P317" s="180">
        <v>275640</v>
      </c>
      <c r="Q317" s="180">
        <v>0</v>
      </c>
      <c r="R317" s="180">
        <f t="shared" si="54"/>
        <v>275700</v>
      </c>
      <c r="S317" s="182">
        <f ca="1">U317-SUM($P$20:P317)/86400/(24+$C$12)*24</f>
        <v>-169.62814134121</v>
      </c>
      <c r="T317" s="179">
        <f t="shared" si="51"/>
        <v>273900</v>
      </c>
      <c r="U317" s="179">
        <f ca="1" t="shared" si="47"/>
        <v>301</v>
      </c>
      <c r="W317" s="183">
        <v>298</v>
      </c>
      <c r="X317" s="183">
        <f ca="1" t="shared" si="48"/>
        <v>5134.49999999997</v>
      </c>
      <c r="Y317" s="183">
        <f ca="1">OFFSET(产销汇总!$C$1,MATCH("体力消耗",产销汇总!$C$2:$C$8,0),$C$18)/10*5*W317</f>
        <v>62580</v>
      </c>
      <c r="Z317" s="183">
        <f t="shared" si="52"/>
        <v>0</v>
      </c>
      <c r="AA317" s="183">
        <f ca="1" t="shared" si="49"/>
        <v>67714.5</v>
      </c>
    </row>
    <row r="318" ht="18" spans="1:27">
      <c r="A318" s="171"/>
      <c r="B318" s="80">
        <v>299</v>
      </c>
      <c r="C318" s="80">
        <f ca="1">OFFSET(产销汇总!$C$12,$B318,$C$18)</f>
        <v>181.499999999999</v>
      </c>
      <c r="D318" s="80">
        <f ca="1" t="shared" si="44"/>
        <v>882.499999999995</v>
      </c>
      <c r="E318" s="80">
        <f ca="1">OFFSET(产销汇总!$C$1,MATCH(E$19,产销汇总!$C$2:$C$9,0),$C$18)*2</f>
        <v>12</v>
      </c>
      <c r="F318" s="80">
        <f t="shared" si="53"/>
        <v>21</v>
      </c>
      <c r="G318" s="80">
        <f t="shared" si="50"/>
        <v>0</v>
      </c>
      <c r="H318" s="80">
        <f t="shared" si="45"/>
        <v>6.4</v>
      </c>
      <c r="K318" s="132">
        <f t="shared" si="46"/>
        <v>275700</v>
      </c>
      <c r="L318" s="184">
        <v>299</v>
      </c>
      <c r="M318" s="180">
        <f>SUM($N$20:N318)</f>
        <v>209768</v>
      </c>
      <c r="N318" s="180">
        <v>1445</v>
      </c>
      <c r="O318" s="180">
        <v>20880</v>
      </c>
      <c r="P318" s="180">
        <v>275700</v>
      </c>
      <c r="Q318" s="180">
        <v>0</v>
      </c>
      <c r="R318" s="180">
        <f t="shared" si="54"/>
        <v>275700</v>
      </c>
      <c r="S318" s="182">
        <f ca="1">U318-SUM($P$20:P318)/86400/(24+$C$12)*24</f>
        <v>-172.041006454436</v>
      </c>
      <c r="T318" s="179">
        <f t="shared" si="51"/>
        <v>273900</v>
      </c>
      <c r="U318" s="179">
        <f ca="1" t="shared" si="47"/>
        <v>301</v>
      </c>
      <c r="W318" s="183">
        <v>299</v>
      </c>
      <c r="X318" s="183">
        <f ca="1" t="shared" si="48"/>
        <v>5144.99999999997</v>
      </c>
      <c r="Y318" s="183">
        <f ca="1">OFFSET(产销汇总!$C$1,MATCH("体力消耗",产销汇总!$C$2:$C$8,0),$C$18)/10*5*W318</f>
        <v>62790</v>
      </c>
      <c r="Z318" s="183">
        <f t="shared" si="52"/>
        <v>0</v>
      </c>
      <c r="AA318" s="183">
        <f ca="1" t="shared" si="49"/>
        <v>67935</v>
      </c>
    </row>
    <row r="319" ht="18" spans="1:27">
      <c r="A319" s="171"/>
      <c r="B319" s="80">
        <v>300</v>
      </c>
      <c r="C319" s="80">
        <f ca="1">OFFSET(产销汇总!$C$12,$B319,$C$18)</f>
        <v>181.849999999999</v>
      </c>
      <c r="D319" s="80">
        <f ca="1" t="shared" si="44"/>
        <v>884.249999999995</v>
      </c>
      <c r="E319" s="80">
        <f ca="1">OFFSET(产销汇总!$C$1,MATCH(E$19,产销汇总!$C$2:$C$9,0),$C$18)*2</f>
        <v>12</v>
      </c>
      <c r="F319" s="80">
        <f t="shared" si="53"/>
        <v>21</v>
      </c>
      <c r="G319" s="80">
        <f t="shared" si="50"/>
        <v>0</v>
      </c>
      <c r="H319" s="80">
        <f t="shared" si="45"/>
        <v>6.4</v>
      </c>
      <c r="K319" s="132">
        <f t="shared" si="46"/>
        <v>276000</v>
      </c>
      <c r="L319" s="184">
        <v>300</v>
      </c>
      <c r="M319" s="180">
        <f>SUM($N$20:N319)</f>
        <v>211218</v>
      </c>
      <c r="N319" s="180">
        <v>1450</v>
      </c>
      <c r="O319" s="180">
        <v>20950</v>
      </c>
      <c r="P319" s="180">
        <v>275761</v>
      </c>
      <c r="Q319" s="180">
        <v>0</v>
      </c>
      <c r="R319" s="180">
        <f t="shared" si="54"/>
        <v>276000</v>
      </c>
      <c r="S319" s="182">
        <f ca="1">U319-SUM($P$20:P319)/86400/(24+$C$12)*24</f>
        <v>-174.454405426102</v>
      </c>
      <c r="T319" s="179">
        <f t="shared" si="51"/>
        <v>274200</v>
      </c>
      <c r="U319" s="179">
        <f ca="1" t="shared" si="47"/>
        <v>301</v>
      </c>
      <c r="W319" s="183">
        <v>300</v>
      </c>
      <c r="X319" s="183">
        <f ca="1" t="shared" si="48"/>
        <v>5155.49999999997</v>
      </c>
      <c r="Y319" s="183">
        <f ca="1">OFFSET(产销汇总!$C$1,MATCH("体力消耗",产销汇总!$C$2:$C$8,0),$C$18)/10*5*W319</f>
        <v>63000</v>
      </c>
      <c r="Z319" s="183">
        <f t="shared" si="52"/>
        <v>0</v>
      </c>
      <c r="AA319" s="183">
        <f ca="1" t="shared" si="49"/>
        <v>68155.5</v>
      </c>
    </row>
    <row r="320" ht="18" spans="1:27">
      <c r="K320" s="132">
        <f t="shared" si="46"/>
        <v>276000</v>
      </c>
      <c r="L320" s="184">
        <v>301</v>
      </c>
      <c r="M320" s="180">
        <f>SUM($N$20:N320)</f>
        <v>212673</v>
      </c>
      <c r="N320" s="180">
        <v>1455</v>
      </c>
      <c r="O320" s="180">
        <v>21020</v>
      </c>
      <c r="P320" s="180">
        <v>275821</v>
      </c>
      <c r="Q320" s="180">
        <v>0</v>
      </c>
      <c r="R320" s="180">
        <f t="shared" si="54"/>
        <v>276000</v>
      </c>
      <c r="S320" s="182">
        <f ca="1">U320-SUM($P$20:P320)/86400/(24+$C$12)*24</f>
        <v>-176.868329504431</v>
      </c>
      <c r="T320" s="179">
        <f t="shared" si="51"/>
        <v>274200</v>
      </c>
      <c r="U320" s="179">
        <f ca="1" t="shared" si="47"/>
        <v>301</v>
      </c>
    </row>
    <row r="321" ht="18" spans="2:21">
      <c r="K321" s="132">
        <f t="shared" si="46"/>
        <v>276000</v>
      </c>
      <c r="L321" s="184">
        <v>302</v>
      </c>
      <c r="M321" s="180">
        <f>SUM($N$20:N321)</f>
        <v>214133</v>
      </c>
      <c r="N321" s="180">
        <v>1460</v>
      </c>
      <c r="O321" s="180">
        <v>21090</v>
      </c>
      <c r="P321" s="180">
        <v>275882</v>
      </c>
      <c r="Q321" s="180">
        <v>0</v>
      </c>
      <c r="R321" s="180">
        <f t="shared" si="54"/>
        <v>276000</v>
      </c>
      <c r="S321" s="182">
        <f ca="1">U321-SUM($P$20:P321)/86400/(24+$C$12)*24</f>
        <v>-179.282787441199</v>
      </c>
      <c r="T321" s="179">
        <f t="shared" si="51"/>
        <v>274200</v>
      </c>
      <c r="U321" s="179">
        <f ca="1" t="shared" si="47"/>
        <v>301</v>
      </c>
    </row>
    <row r="322" ht="18" spans="2:21">
      <c r="K322" s="132">
        <f t="shared" si="46"/>
        <v>276000</v>
      </c>
      <c r="L322" s="184">
        <v>303</v>
      </c>
      <c r="M322" s="180">
        <f>SUM($N$20:N322)</f>
        <v>215598</v>
      </c>
      <c r="N322" s="180">
        <v>1465</v>
      </c>
      <c r="O322" s="180">
        <v>21160</v>
      </c>
      <c r="P322" s="180">
        <v>275942</v>
      </c>
      <c r="Q322" s="180">
        <v>0</v>
      </c>
      <c r="R322" s="180">
        <f t="shared" si="54"/>
        <v>276000</v>
      </c>
      <c r="S322" s="182">
        <f ca="1">U322-SUM($P$20:P322)/86400/(24+$C$12)*24</f>
        <v>-181.69777048463</v>
      </c>
      <c r="T322" s="179">
        <f t="shared" si="51"/>
        <v>274200</v>
      </c>
      <c r="U322" s="179">
        <f ca="1" t="shared" si="47"/>
        <v>301</v>
      </c>
    </row>
    <row r="323" ht="18" spans="2:21">
      <c r="K323" s="132">
        <f t="shared" si="46"/>
        <v>276300</v>
      </c>
      <c r="L323" s="184">
        <v>304</v>
      </c>
      <c r="M323" s="180">
        <f>SUM($N$20:N323)</f>
        <v>217068</v>
      </c>
      <c r="N323" s="180">
        <v>1470</v>
      </c>
      <c r="O323" s="180">
        <v>21230</v>
      </c>
      <c r="P323" s="180">
        <v>276003</v>
      </c>
      <c r="Q323" s="180">
        <v>0</v>
      </c>
      <c r="R323" s="180">
        <f t="shared" si="54"/>
        <v>276300</v>
      </c>
      <c r="S323" s="182">
        <f ca="1">U323-SUM($P$20:P323)/86400/(24+$C$12)*24</f>
        <v>-184.1132873865</v>
      </c>
      <c r="T323" s="179">
        <f t="shared" si="51"/>
        <v>274500</v>
      </c>
      <c r="U323" s="179">
        <f ca="1" t="shared" si="47"/>
        <v>301</v>
      </c>
    </row>
    <row r="324" ht="18" spans="2:21">
      <c r="B324" s="47"/>
      <c r="C324" s="47"/>
      <c r="D324" s="52"/>
      <c r="E324" s="52"/>
      <c r="K324" s="132">
        <f t="shared" si="46"/>
        <v>276300</v>
      </c>
      <c r="L324" s="184">
        <v>305</v>
      </c>
      <c r="M324" s="180">
        <f>SUM($N$20:N324)</f>
        <v>218543</v>
      </c>
      <c r="N324" s="180">
        <v>1475</v>
      </c>
      <c r="O324" s="180">
        <v>21300</v>
      </c>
      <c r="P324" s="180">
        <v>276063</v>
      </c>
      <c r="Q324" s="180">
        <v>0</v>
      </c>
      <c r="R324" s="180">
        <f t="shared" si="54"/>
        <v>276300</v>
      </c>
      <c r="S324" s="182">
        <f ca="1">U324-SUM($P$20:P324)/86400/(24+$C$12)*24</f>
        <v>-186.529329395033</v>
      </c>
      <c r="T324" s="179">
        <f t="shared" si="51"/>
        <v>274500</v>
      </c>
      <c r="U324" s="179">
        <f ca="1" t="shared" si="47"/>
        <v>301</v>
      </c>
    </row>
    <row r="325" ht="18" spans="2:21">
      <c r="B325" s="49"/>
      <c r="C325" s="12"/>
      <c r="D325" s="52"/>
      <c r="E325" s="52"/>
      <c r="K325" s="132">
        <f t="shared" si="46"/>
        <v>276300</v>
      </c>
      <c r="L325" s="184">
        <v>306</v>
      </c>
      <c r="M325" s="180">
        <f>SUM($N$20:N325)</f>
        <v>220023</v>
      </c>
      <c r="N325" s="180">
        <v>1480</v>
      </c>
      <c r="O325" s="180">
        <v>21370</v>
      </c>
      <c r="P325" s="180">
        <v>276124</v>
      </c>
      <c r="Q325" s="180">
        <v>0</v>
      </c>
      <c r="R325" s="180">
        <f t="shared" si="54"/>
        <v>276300</v>
      </c>
      <c r="S325" s="182">
        <f ca="1">U325-SUM($P$20:P325)/86400/(24+$C$12)*24</f>
        <v>-188.945905262006</v>
      </c>
      <c r="T325" s="179">
        <f t="shared" si="51"/>
        <v>274500</v>
      </c>
      <c r="U325" s="179">
        <f ca="1" t="shared" si="47"/>
        <v>301</v>
      </c>
    </row>
    <row r="326" ht="18" spans="2:21">
      <c r="B326" s="49"/>
      <c r="C326" s="12"/>
      <c r="D326" s="52"/>
      <c r="E326" s="52"/>
      <c r="K326" s="132">
        <f t="shared" si="46"/>
        <v>276300</v>
      </c>
      <c r="L326" s="184">
        <v>307</v>
      </c>
      <c r="M326" s="180">
        <f>SUM($N$20:N326)</f>
        <v>221508</v>
      </c>
      <c r="N326" s="180">
        <v>1485</v>
      </c>
      <c r="O326" s="180">
        <v>21440</v>
      </c>
      <c r="P326" s="180">
        <v>276184</v>
      </c>
      <c r="Q326" s="180">
        <v>0</v>
      </c>
      <c r="R326" s="180">
        <f t="shared" si="54"/>
        <v>276300</v>
      </c>
      <c r="S326" s="182">
        <f ca="1">U326-SUM($P$20:P326)/86400/(24+$C$12)*24</f>
        <v>-191.363006235642</v>
      </c>
      <c r="T326" s="179">
        <f t="shared" si="51"/>
        <v>274500</v>
      </c>
      <c r="U326" s="179">
        <f ca="1" t="shared" si="47"/>
        <v>301</v>
      </c>
    </row>
    <row r="327" ht="18" spans="2:21">
      <c r="B327" s="49"/>
      <c r="C327" s="12"/>
      <c r="D327" s="52"/>
      <c r="E327" s="52"/>
      <c r="K327" s="132">
        <f t="shared" si="46"/>
        <v>276300</v>
      </c>
      <c r="L327" s="184">
        <v>308</v>
      </c>
      <c r="M327" s="180">
        <f>SUM($N$20:N327)</f>
        <v>222998</v>
      </c>
      <c r="N327" s="180">
        <v>1490</v>
      </c>
      <c r="O327" s="180">
        <v>21510</v>
      </c>
      <c r="P327" s="180">
        <v>276245</v>
      </c>
      <c r="Q327" s="180">
        <v>0</v>
      </c>
      <c r="R327" s="180">
        <f t="shared" si="54"/>
        <v>276300</v>
      </c>
      <c r="S327" s="182">
        <f ca="1">U327-SUM($P$20:P327)/86400/(24+$C$12)*24</f>
        <v>-193.780641067717</v>
      </c>
      <c r="T327" s="179">
        <f t="shared" si="51"/>
        <v>274500</v>
      </c>
      <c r="U327" s="179">
        <f ca="1" t="shared" si="47"/>
        <v>301</v>
      </c>
    </row>
    <row r="328" ht="18" spans="2:21">
      <c r="B328" s="49"/>
      <c r="C328" s="12"/>
      <c r="D328" s="52"/>
      <c r="E328" s="52"/>
      <c r="K328" s="132">
        <f t="shared" si="46"/>
        <v>276600</v>
      </c>
      <c r="L328" s="184">
        <v>309</v>
      </c>
      <c r="M328" s="180">
        <f>SUM($N$20:N328)</f>
        <v>224493</v>
      </c>
      <c r="N328" s="180">
        <v>1495</v>
      </c>
      <c r="O328" s="180">
        <v>21580</v>
      </c>
      <c r="P328" s="180">
        <v>276305</v>
      </c>
      <c r="Q328" s="180">
        <v>0</v>
      </c>
      <c r="R328" s="180">
        <f t="shared" si="54"/>
        <v>276600</v>
      </c>
      <c r="S328" s="182">
        <f ca="1">U328-SUM($P$20:P328)/86400/(24+$C$12)*24</f>
        <v>-196.198801006454</v>
      </c>
      <c r="T328" s="179">
        <f t="shared" si="51"/>
        <v>274800</v>
      </c>
      <c r="U328" s="179">
        <f ca="1" t="shared" si="47"/>
        <v>301</v>
      </c>
    </row>
    <row r="329" ht="18" spans="2:21">
      <c r="B329" s="49"/>
      <c r="C329" s="12"/>
      <c r="D329" s="52"/>
      <c r="E329" s="52"/>
      <c r="K329" s="132">
        <f t="shared" si="46"/>
        <v>276600</v>
      </c>
      <c r="L329" s="184">
        <v>310</v>
      </c>
      <c r="M329" s="180">
        <f>SUM($N$20:N329)</f>
        <v>225993</v>
      </c>
      <c r="N329" s="180">
        <v>1500</v>
      </c>
      <c r="O329" s="180">
        <v>21650</v>
      </c>
      <c r="P329" s="180">
        <v>276366</v>
      </c>
      <c r="Q329" s="180">
        <v>0</v>
      </c>
      <c r="R329" s="180">
        <f t="shared" si="54"/>
        <v>276600</v>
      </c>
      <c r="S329" s="182">
        <f ca="1">U329-SUM($P$20:P329)/86400/(24+$C$12)*24</f>
        <v>-198.617494803632</v>
      </c>
      <c r="T329" s="179">
        <f t="shared" si="51"/>
        <v>274800</v>
      </c>
      <c r="U329" s="179">
        <f ca="1" t="shared" si="47"/>
        <v>301</v>
      </c>
    </row>
    <row r="330" ht="18" spans="2:21">
      <c r="B330" s="49"/>
      <c r="C330" s="12"/>
      <c r="D330" s="52"/>
      <c r="E330" s="52"/>
      <c r="K330" s="132">
        <f t="shared" si="46"/>
        <v>276600</v>
      </c>
      <c r="L330" s="184">
        <v>311</v>
      </c>
      <c r="M330" s="180">
        <f>SUM($N$20:N330)</f>
        <v>227498</v>
      </c>
      <c r="N330" s="180">
        <v>1505</v>
      </c>
      <c r="O330" s="180">
        <v>21720</v>
      </c>
      <c r="P330" s="180">
        <v>276426</v>
      </c>
      <c r="Q330" s="180">
        <v>0</v>
      </c>
      <c r="R330" s="180">
        <f t="shared" si="54"/>
        <v>276600</v>
      </c>
      <c r="S330" s="182">
        <f ca="1">U330-SUM($P$20:P330)/86400/(24+$C$12)*24</f>
        <v>-201.036713707472</v>
      </c>
      <c r="T330" s="179">
        <f t="shared" si="51"/>
        <v>274800</v>
      </c>
      <c r="U330" s="179">
        <f ca="1" t="shared" si="47"/>
        <v>301</v>
      </c>
    </row>
    <row r="331" ht="18" spans="2:21">
      <c r="B331" s="49"/>
      <c r="C331" s="12"/>
      <c r="D331" s="52"/>
      <c r="E331" s="52"/>
      <c r="K331" s="132">
        <f t="shared" si="46"/>
        <v>276600</v>
      </c>
      <c r="L331" s="184">
        <v>312</v>
      </c>
      <c r="M331" s="180">
        <f>SUM($N$20:N331)</f>
        <v>229008</v>
      </c>
      <c r="N331" s="180">
        <v>1510</v>
      </c>
      <c r="O331" s="180">
        <v>21790</v>
      </c>
      <c r="P331" s="180">
        <v>276487</v>
      </c>
      <c r="Q331" s="180">
        <v>0</v>
      </c>
      <c r="R331" s="180">
        <f t="shared" si="54"/>
        <v>276600</v>
      </c>
      <c r="S331" s="182">
        <f ca="1">U331-SUM($P$20:P331)/86400/(24+$C$12)*24</f>
        <v>-203.456466469752</v>
      </c>
      <c r="T331" s="179">
        <f t="shared" si="51"/>
        <v>274800</v>
      </c>
      <c r="U331" s="179">
        <f ca="1" t="shared" si="47"/>
        <v>301</v>
      </c>
    </row>
    <row r="332" ht="18" spans="2:21">
      <c r="B332" s="49"/>
      <c r="C332" s="12"/>
      <c r="D332" s="52"/>
      <c r="E332" s="52"/>
      <c r="K332" s="132">
        <f t="shared" si="46"/>
        <v>276600</v>
      </c>
      <c r="L332" s="184">
        <v>313</v>
      </c>
      <c r="M332" s="180">
        <f>SUM($N$20:N332)</f>
        <v>230523</v>
      </c>
      <c r="N332" s="180">
        <v>1515</v>
      </c>
      <c r="O332" s="180">
        <v>21860</v>
      </c>
      <c r="P332" s="180">
        <v>276547</v>
      </c>
      <c r="Q332" s="180">
        <v>0</v>
      </c>
      <c r="R332" s="180">
        <f t="shared" si="54"/>
        <v>276600</v>
      </c>
      <c r="S332" s="182">
        <f ca="1">U332-SUM($P$20:P332)/86400/(24+$C$12)*24</f>
        <v>-205.876744338694</v>
      </c>
      <c r="T332" s="179">
        <f t="shared" si="51"/>
        <v>274800</v>
      </c>
      <c r="U332" s="179">
        <f ca="1" t="shared" si="47"/>
        <v>301</v>
      </c>
    </row>
    <row r="333" ht="18" spans="2:21">
      <c r="B333" s="49"/>
      <c r="C333" s="12"/>
      <c r="D333" s="52"/>
      <c r="E333" s="52"/>
      <c r="K333" s="132">
        <f t="shared" si="46"/>
        <v>276900</v>
      </c>
      <c r="L333" s="184">
        <v>314</v>
      </c>
      <c r="M333" s="180">
        <f>SUM($N$20:N333)</f>
        <v>232043</v>
      </c>
      <c r="N333" s="180">
        <v>1520</v>
      </c>
      <c r="O333" s="180">
        <v>21930</v>
      </c>
      <c r="P333" s="180">
        <v>276608</v>
      </c>
      <c r="Q333" s="180">
        <v>0</v>
      </c>
      <c r="R333" s="180">
        <f t="shared" si="54"/>
        <v>276900</v>
      </c>
      <c r="S333" s="182">
        <f ca="1">U333-SUM($P$20:P333)/86400/(24+$C$12)*24</f>
        <v>-208.297556066076</v>
      </c>
      <c r="T333" s="179">
        <f t="shared" si="51"/>
        <v>275100</v>
      </c>
      <c r="U333" s="179">
        <f ca="1" t="shared" si="47"/>
        <v>301</v>
      </c>
    </row>
    <row r="334" ht="18" spans="2:21">
      <c r="B334" s="49"/>
      <c r="C334" s="12"/>
      <c r="K334" s="132">
        <f t="shared" si="46"/>
        <v>276900</v>
      </c>
      <c r="L334" s="184">
        <v>315</v>
      </c>
      <c r="M334" s="180">
        <f>SUM($N$20:N334)</f>
        <v>233568</v>
      </c>
      <c r="N334" s="180">
        <v>1525</v>
      </c>
      <c r="O334" s="180">
        <v>22000</v>
      </c>
      <c r="P334" s="180">
        <v>276668</v>
      </c>
      <c r="Q334" s="180">
        <v>0</v>
      </c>
      <c r="R334" s="180">
        <f t="shared" si="54"/>
        <v>276900</v>
      </c>
      <c r="S334" s="182">
        <f ca="1">U334-SUM($P$20:P334)/86400/(24+$C$12)*24</f>
        <v>-210.71889290012</v>
      </c>
      <c r="T334" s="179">
        <f t="shared" si="51"/>
        <v>275100</v>
      </c>
      <c r="U334" s="179">
        <f ca="1" t="shared" si="47"/>
        <v>301</v>
      </c>
    </row>
    <row r="335" ht="18" spans="2:21">
      <c r="B335" s="49"/>
      <c r="C335" s="12"/>
      <c r="K335" s="132">
        <f t="shared" si="46"/>
        <v>276900</v>
      </c>
      <c r="L335" s="184">
        <v>316</v>
      </c>
      <c r="M335" s="180">
        <f>SUM($N$20:N335)</f>
        <v>235098</v>
      </c>
      <c r="N335" s="180">
        <v>1530</v>
      </c>
      <c r="O335" s="180">
        <v>22070</v>
      </c>
      <c r="P335" s="180">
        <v>276728</v>
      </c>
      <c r="Q335" s="180">
        <v>0</v>
      </c>
      <c r="R335" s="180">
        <f t="shared" si="54"/>
        <v>276900</v>
      </c>
      <c r="S335" s="182">
        <f ca="1">U335-SUM($P$20:P335)/86400/(24+$C$12)*24</f>
        <v>-213.140754840827</v>
      </c>
      <c r="T335" s="179">
        <f t="shared" si="51"/>
        <v>275100</v>
      </c>
      <c r="U335" s="179">
        <f ca="1" t="shared" si="47"/>
        <v>301</v>
      </c>
    </row>
    <row r="336" ht="18" spans="2:21">
      <c r="B336" s="49"/>
      <c r="C336" s="12"/>
      <c r="K336" s="132">
        <f t="shared" si="46"/>
        <v>276900</v>
      </c>
      <c r="L336" s="184">
        <v>317</v>
      </c>
      <c r="M336" s="180">
        <f>SUM($N$20:N336)</f>
        <v>236633</v>
      </c>
      <c r="N336" s="180">
        <v>1535</v>
      </c>
      <c r="O336" s="180">
        <v>22140</v>
      </c>
      <c r="P336" s="180">
        <v>276789</v>
      </c>
      <c r="Q336" s="180">
        <v>0</v>
      </c>
      <c r="R336" s="180">
        <f t="shared" si="54"/>
        <v>276900</v>
      </c>
      <c r="S336" s="182">
        <f ca="1">U336-SUM($P$20:P336)/86400/(24+$C$12)*24</f>
        <v>-215.563150639974</v>
      </c>
      <c r="T336" s="179">
        <f t="shared" si="51"/>
        <v>275100</v>
      </c>
      <c r="U336" s="179">
        <f ca="1" t="shared" si="47"/>
        <v>301</v>
      </c>
    </row>
    <row r="337" ht="18" spans="2:21">
      <c r="B337" s="49"/>
      <c r="C337" s="12"/>
      <c r="K337" s="132">
        <f t="shared" si="46"/>
        <v>276900</v>
      </c>
      <c r="L337" s="184">
        <v>318</v>
      </c>
      <c r="M337" s="180">
        <f>SUM($N$20:N337)</f>
        <v>238173</v>
      </c>
      <c r="N337" s="180">
        <v>1540</v>
      </c>
      <c r="O337" s="180">
        <v>22210</v>
      </c>
      <c r="P337" s="180">
        <v>276849</v>
      </c>
      <c r="Q337" s="180">
        <v>0</v>
      </c>
      <c r="R337" s="180">
        <f t="shared" si="54"/>
        <v>276900</v>
      </c>
      <c r="S337" s="182">
        <f ca="1">U337-SUM($P$20:P337)/86400/(24+$C$12)*24</f>
        <v>-217.986071545783</v>
      </c>
      <c r="T337" s="179">
        <f t="shared" si="51"/>
        <v>275100</v>
      </c>
      <c r="U337" s="179">
        <f ca="1" t="shared" si="47"/>
        <v>301</v>
      </c>
    </row>
    <row r="338" ht="18" spans="2:21">
      <c r="B338" s="49"/>
      <c r="C338" s="12"/>
      <c r="K338" s="132">
        <f t="shared" si="46"/>
        <v>277200</v>
      </c>
      <c r="L338" s="184">
        <v>319</v>
      </c>
      <c r="M338" s="180">
        <f>SUM($N$20:N338)</f>
        <v>239718</v>
      </c>
      <c r="N338" s="180">
        <v>1545</v>
      </c>
      <c r="O338" s="180">
        <v>22280</v>
      </c>
      <c r="P338" s="180">
        <v>276910</v>
      </c>
      <c r="Q338" s="180">
        <v>0</v>
      </c>
      <c r="R338" s="180">
        <f t="shared" si="54"/>
        <v>277200</v>
      </c>
      <c r="S338" s="182">
        <f ca="1">U338-SUM($P$20:P338)/86400/(24+$C$12)*24</f>
        <v>-220.409526310032</v>
      </c>
      <c r="T338" s="179">
        <f t="shared" si="51"/>
        <v>275400</v>
      </c>
      <c r="U338" s="179">
        <f ca="1" t="shared" si="47"/>
        <v>301</v>
      </c>
    </row>
    <row r="339" ht="18" spans="2:21">
      <c r="B339" s="49"/>
      <c r="C339" s="12"/>
      <c r="K339" s="132">
        <f t="shared" si="46"/>
        <v>277200</v>
      </c>
      <c r="L339" s="184">
        <v>320</v>
      </c>
      <c r="M339" s="180">
        <f>SUM($N$20:N339)</f>
        <v>241268</v>
      </c>
      <c r="N339" s="180">
        <v>1550</v>
      </c>
      <c r="O339" s="180">
        <v>22350</v>
      </c>
      <c r="P339" s="180">
        <v>276970</v>
      </c>
      <c r="Q339" s="180">
        <v>0</v>
      </c>
      <c r="R339" s="180">
        <f t="shared" si="54"/>
        <v>277200</v>
      </c>
      <c r="S339" s="182">
        <f ca="1">U339-SUM($P$20:P339)/86400/(24+$C$12)*24</f>
        <v>-222.833506180943</v>
      </c>
      <c r="T339" s="179">
        <f t="shared" si="51"/>
        <v>275400</v>
      </c>
      <c r="U339" s="179">
        <f ca="1" t="shared" si="47"/>
        <v>301</v>
      </c>
    </row>
    <row r="340" ht="18" spans="2:21">
      <c r="B340" s="49"/>
      <c r="C340" s="12"/>
      <c r="K340" s="132">
        <f t="shared" ref="K340:K379" si="55">CEILING(R340,300)</f>
        <v>277200</v>
      </c>
      <c r="L340" s="184">
        <v>321</v>
      </c>
      <c r="M340" s="180">
        <f>SUM($N$20:N340)</f>
        <v>242823</v>
      </c>
      <c r="N340" s="180">
        <v>1555</v>
      </c>
      <c r="O340" s="180">
        <v>22420</v>
      </c>
      <c r="P340" s="180">
        <v>277031</v>
      </c>
      <c r="Q340" s="180">
        <v>0</v>
      </c>
      <c r="R340" s="180">
        <f t="shared" si="54"/>
        <v>277200</v>
      </c>
      <c r="S340" s="182">
        <f ca="1">U340-SUM($P$20:P340)/86400/(24+$C$12)*24</f>
        <v>-225.258019910294</v>
      </c>
      <c r="T340" s="179">
        <f t="shared" si="51"/>
        <v>275400</v>
      </c>
      <c r="U340" s="179">
        <f ca="1" t="shared" ref="U340:U379" si="56">IFERROR(MATCH(M340,$AA$20:$AA$319,1)+1,1)</f>
        <v>301</v>
      </c>
    </row>
    <row r="341" ht="18" spans="2:21">
      <c r="B341" s="49"/>
      <c r="C341" s="12"/>
      <c r="K341" s="132">
        <f t="shared" si="55"/>
        <v>277200</v>
      </c>
      <c r="L341" s="184">
        <v>322</v>
      </c>
      <c r="M341" s="180">
        <f>SUM($N$20:N341)</f>
        <v>244383</v>
      </c>
      <c r="N341" s="180">
        <v>1560</v>
      </c>
      <c r="O341" s="180">
        <v>22490</v>
      </c>
      <c r="P341" s="180">
        <v>277091</v>
      </c>
      <c r="Q341" s="180">
        <v>0</v>
      </c>
      <c r="R341" s="180">
        <f t="shared" si="54"/>
        <v>277200</v>
      </c>
      <c r="S341" s="182">
        <f ca="1">U341-SUM($P$20:P341)/86400/(24+$C$12)*24</f>
        <v>-227.683058746308</v>
      </c>
      <c r="T341" s="179">
        <f t="shared" ref="T341:T379" si="57">MAX(R341-30*60,0)</f>
        <v>275400</v>
      </c>
      <c r="U341" s="179">
        <f ca="1" t="shared" si="56"/>
        <v>301</v>
      </c>
    </row>
    <row r="342" ht="18" spans="2:21">
      <c r="B342" s="49"/>
      <c r="C342" s="12"/>
      <c r="K342" s="132">
        <f t="shared" si="55"/>
        <v>277200</v>
      </c>
      <c r="L342" s="184">
        <v>323</v>
      </c>
      <c r="M342" s="180">
        <f>SUM($N$20:N342)</f>
        <v>245948</v>
      </c>
      <c r="N342" s="180">
        <v>1565</v>
      </c>
      <c r="O342" s="180">
        <v>22560</v>
      </c>
      <c r="P342" s="180">
        <v>277152</v>
      </c>
      <c r="Q342" s="180">
        <v>0</v>
      </c>
      <c r="R342" s="180">
        <f t="shared" si="54"/>
        <v>277200</v>
      </c>
      <c r="S342" s="182">
        <f ca="1">U342-SUM($P$20:P342)/86400/(24+$C$12)*24</f>
        <v>-230.108631440761</v>
      </c>
      <c r="T342" s="179">
        <f t="shared" si="57"/>
        <v>275400</v>
      </c>
      <c r="U342" s="179">
        <f ca="1" t="shared" si="56"/>
        <v>301</v>
      </c>
    </row>
    <row r="343" ht="18" spans="2:21">
      <c r="B343" s="49"/>
      <c r="C343" s="12"/>
      <c r="K343" s="132">
        <f t="shared" si="55"/>
        <v>277500</v>
      </c>
      <c r="L343" s="184">
        <v>324</v>
      </c>
      <c r="M343" s="180">
        <f>SUM($N$20:N343)</f>
        <v>247518</v>
      </c>
      <c r="N343" s="180">
        <v>1570</v>
      </c>
      <c r="O343" s="180">
        <v>22630</v>
      </c>
      <c r="P343" s="180">
        <v>277212</v>
      </c>
      <c r="Q343" s="180">
        <v>0</v>
      </c>
      <c r="R343" s="180">
        <f t="shared" si="54"/>
        <v>277500</v>
      </c>
      <c r="S343" s="182">
        <f ca="1">U343-SUM($P$20:P343)/86400/(24+$C$12)*24</f>
        <v>-232.534729241877</v>
      </c>
      <c r="T343" s="179">
        <f t="shared" si="57"/>
        <v>275700</v>
      </c>
      <c r="U343" s="179">
        <f ca="1" t="shared" si="56"/>
        <v>301</v>
      </c>
    </row>
    <row r="344" ht="18" spans="2:21">
      <c r="B344" s="49"/>
      <c r="C344" s="12"/>
      <c r="K344" s="132">
        <f t="shared" si="55"/>
        <v>277500</v>
      </c>
      <c r="L344" s="184">
        <v>325</v>
      </c>
      <c r="M344" s="180">
        <f>SUM($N$20:N344)</f>
        <v>249093</v>
      </c>
      <c r="N344" s="180">
        <v>1575</v>
      </c>
      <c r="O344" s="180">
        <v>22700</v>
      </c>
      <c r="P344" s="180">
        <v>277273</v>
      </c>
      <c r="Q344" s="180">
        <v>0</v>
      </c>
      <c r="R344" s="180">
        <f t="shared" si="54"/>
        <v>277500</v>
      </c>
      <c r="S344" s="182">
        <f ca="1">U344-SUM($P$20:P344)/86400/(24+$C$12)*24</f>
        <v>-234.961360901433</v>
      </c>
      <c r="T344" s="179">
        <f t="shared" si="57"/>
        <v>275700</v>
      </c>
      <c r="U344" s="179">
        <f ca="1" t="shared" si="56"/>
        <v>301</v>
      </c>
    </row>
    <row r="345" ht="18" spans="2:21">
      <c r="B345" s="49"/>
      <c r="C345" s="12"/>
      <c r="K345" s="132">
        <f t="shared" si="55"/>
        <v>277500</v>
      </c>
      <c r="L345" s="184">
        <v>326</v>
      </c>
      <c r="M345" s="180">
        <f>SUM($N$20:N345)</f>
        <v>250673</v>
      </c>
      <c r="N345" s="180">
        <v>1580</v>
      </c>
      <c r="O345" s="180">
        <v>22770</v>
      </c>
      <c r="P345" s="180">
        <v>277333</v>
      </c>
      <c r="Q345" s="180">
        <v>0</v>
      </c>
      <c r="R345" s="180">
        <f t="shared" si="54"/>
        <v>277500</v>
      </c>
      <c r="S345" s="182">
        <f ca="1">U345-SUM($P$20:P345)/86400/(24+$C$12)*24</f>
        <v>-237.388517667651</v>
      </c>
      <c r="T345" s="179">
        <f t="shared" si="57"/>
        <v>275700</v>
      </c>
      <c r="U345" s="179">
        <f ca="1" t="shared" si="56"/>
        <v>301</v>
      </c>
    </row>
    <row r="346" ht="18" spans="2:21">
      <c r="B346" s="49"/>
      <c r="C346" s="12"/>
      <c r="K346" s="132">
        <f t="shared" si="55"/>
        <v>277500</v>
      </c>
      <c r="L346" s="184">
        <v>327</v>
      </c>
      <c r="M346" s="180">
        <f>SUM($N$20:N346)</f>
        <v>252258</v>
      </c>
      <c r="N346" s="180">
        <v>1585</v>
      </c>
      <c r="O346" s="180">
        <v>22840</v>
      </c>
      <c r="P346" s="180">
        <v>277394</v>
      </c>
      <c r="Q346" s="180">
        <v>0</v>
      </c>
      <c r="R346" s="180">
        <f t="shared" si="54"/>
        <v>277500</v>
      </c>
      <c r="S346" s="182">
        <f ca="1">U346-SUM($P$20:P346)/86400/(24+$C$12)*24</f>
        <v>-239.81620829231</v>
      </c>
      <c r="T346" s="179">
        <f t="shared" si="57"/>
        <v>275700</v>
      </c>
      <c r="U346" s="179">
        <f ca="1" t="shared" si="56"/>
        <v>301</v>
      </c>
    </row>
    <row r="347" ht="18" spans="2:21">
      <c r="B347" s="49"/>
      <c r="C347" s="12"/>
      <c r="K347" s="132">
        <f t="shared" si="55"/>
        <v>277500</v>
      </c>
      <c r="L347" s="184">
        <v>328</v>
      </c>
      <c r="M347" s="180">
        <f>SUM($N$20:N347)</f>
        <v>253848</v>
      </c>
      <c r="N347" s="180">
        <v>1590</v>
      </c>
      <c r="O347" s="180">
        <v>22910</v>
      </c>
      <c r="P347" s="180">
        <v>277454</v>
      </c>
      <c r="Q347" s="180">
        <v>0</v>
      </c>
      <c r="R347" s="180">
        <f t="shared" ref="R347:R379" si="58">CEILING(P347*(1-Q347),300)</f>
        <v>277500</v>
      </c>
      <c r="S347" s="182">
        <f ca="1">U347-SUM($P$20:P347)/86400/(24+$C$12)*24</f>
        <v>-242.24442402363</v>
      </c>
      <c r="T347" s="179">
        <f t="shared" si="57"/>
        <v>275700</v>
      </c>
      <c r="U347" s="179">
        <f ca="1" t="shared" si="56"/>
        <v>301</v>
      </c>
    </row>
    <row r="348" ht="18" spans="2:21">
      <c r="B348" s="49"/>
      <c r="C348" s="12"/>
      <c r="K348" s="132">
        <f t="shared" si="55"/>
        <v>277800</v>
      </c>
      <c r="L348" s="184">
        <v>329</v>
      </c>
      <c r="M348" s="180">
        <f>SUM($N$20:N348)</f>
        <v>255443</v>
      </c>
      <c r="N348" s="180">
        <v>1595</v>
      </c>
      <c r="O348" s="180">
        <v>22980</v>
      </c>
      <c r="P348" s="180">
        <v>277515</v>
      </c>
      <c r="Q348" s="180">
        <v>0</v>
      </c>
      <c r="R348" s="180">
        <f t="shared" si="58"/>
        <v>277800</v>
      </c>
      <c r="S348" s="182">
        <f ca="1">U348-SUM($P$20:P348)/86400/(24+$C$12)*24</f>
        <v>-244.67317361339</v>
      </c>
      <c r="T348" s="179">
        <f t="shared" si="57"/>
        <v>276000</v>
      </c>
      <c r="U348" s="179">
        <f ca="1" t="shared" si="56"/>
        <v>301</v>
      </c>
    </row>
    <row r="349" ht="18" spans="2:21">
      <c r="B349" s="49"/>
      <c r="C349" s="12"/>
      <c r="K349" s="132">
        <f t="shared" si="55"/>
        <v>277800</v>
      </c>
      <c r="L349" s="184">
        <v>330</v>
      </c>
      <c r="M349" s="180">
        <f>SUM($N$20:N349)</f>
        <v>257043</v>
      </c>
      <c r="N349" s="180">
        <v>1600</v>
      </c>
      <c r="O349" s="180">
        <v>23050</v>
      </c>
      <c r="P349" s="180">
        <v>277575</v>
      </c>
      <c r="Q349" s="180">
        <v>0</v>
      </c>
      <c r="R349" s="180">
        <f t="shared" si="58"/>
        <v>277800</v>
      </c>
      <c r="S349" s="182">
        <f ca="1">U349-SUM($P$20:P349)/86400/(24+$C$12)*24</f>
        <v>-247.102448309813</v>
      </c>
      <c r="T349" s="179">
        <f t="shared" si="57"/>
        <v>276000</v>
      </c>
      <c r="U349" s="179">
        <f ca="1" t="shared" si="56"/>
        <v>301</v>
      </c>
    </row>
    <row r="350" ht="18" spans="2:21">
      <c r="K350" s="132">
        <f t="shared" si="55"/>
        <v>277800</v>
      </c>
      <c r="L350" s="184">
        <v>331</v>
      </c>
      <c r="M350" s="180">
        <f>SUM($N$20:N350)</f>
        <v>258648</v>
      </c>
      <c r="N350" s="180">
        <v>1605</v>
      </c>
      <c r="O350" s="180">
        <v>23120</v>
      </c>
      <c r="P350" s="180">
        <v>277636</v>
      </c>
      <c r="Q350" s="180">
        <v>0</v>
      </c>
      <c r="R350" s="180">
        <f t="shared" si="58"/>
        <v>277800</v>
      </c>
      <c r="S350" s="182">
        <f ca="1">U350-SUM($P$20:P350)/86400/(24+$C$12)*24</f>
        <v>-249.532256864676</v>
      </c>
      <c r="T350" s="179">
        <f t="shared" si="57"/>
        <v>276000</v>
      </c>
      <c r="U350" s="179">
        <f ca="1" t="shared" si="56"/>
        <v>301</v>
      </c>
    </row>
    <row r="351" ht="18" spans="2:21">
      <c r="K351" s="132">
        <f t="shared" si="55"/>
        <v>277800</v>
      </c>
      <c r="L351" s="184">
        <v>332</v>
      </c>
      <c r="M351" s="180">
        <f>SUM($N$20:N351)</f>
        <v>260258</v>
      </c>
      <c r="N351" s="180">
        <v>1610</v>
      </c>
      <c r="O351" s="180">
        <v>23190</v>
      </c>
      <c r="P351" s="180">
        <v>277696</v>
      </c>
      <c r="Q351" s="180">
        <v>0</v>
      </c>
      <c r="R351" s="180">
        <f t="shared" si="58"/>
        <v>277800</v>
      </c>
      <c r="S351" s="182">
        <f ca="1">U351-SUM($P$20:P351)/86400/(24+$C$12)*24</f>
        <v>-251.962590526201</v>
      </c>
      <c r="T351" s="179">
        <f t="shared" si="57"/>
        <v>276000</v>
      </c>
      <c r="U351" s="179">
        <f ca="1" t="shared" si="56"/>
        <v>301</v>
      </c>
    </row>
    <row r="352" ht="18" spans="2:21">
      <c r="K352" s="132">
        <f t="shared" si="55"/>
        <v>277800</v>
      </c>
      <c r="L352" s="184">
        <v>333</v>
      </c>
      <c r="M352" s="180">
        <f>SUM($N$20:N352)</f>
        <v>261873</v>
      </c>
      <c r="N352" s="180">
        <v>1615</v>
      </c>
      <c r="O352" s="180">
        <v>23260</v>
      </c>
      <c r="P352" s="180">
        <v>277757</v>
      </c>
      <c r="Q352" s="180">
        <v>0</v>
      </c>
      <c r="R352" s="180">
        <f t="shared" si="58"/>
        <v>277800</v>
      </c>
      <c r="S352" s="182">
        <f ca="1">U352-SUM($P$20:P352)/86400/(24+$C$12)*24</f>
        <v>-254.393458046166</v>
      </c>
      <c r="T352" s="179">
        <f t="shared" si="57"/>
        <v>276000</v>
      </c>
      <c r="U352" s="179">
        <f ca="1" t="shared" si="56"/>
        <v>301</v>
      </c>
    </row>
    <row r="353" ht="18" spans="11:21">
      <c r="K353" s="132">
        <f t="shared" si="55"/>
        <v>278100</v>
      </c>
      <c r="L353" s="184">
        <v>334</v>
      </c>
      <c r="M353" s="180">
        <f>SUM($N$20:N353)</f>
        <v>263493</v>
      </c>
      <c r="N353" s="180">
        <v>1620</v>
      </c>
      <c r="O353" s="180">
        <v>23330</v>
      </c>
      <c r="P353" s="180">
        <v>277817</v>
      </c>
      <c r="Q353" s="180">
        <v>0</v>
      </c>
      <c r="R353" s="180">
        <f t="shared" si="58"/>
        <v>278100</v>
      </c>
      <c r="S353" s="182">
        <f ca="1">U353-SUM($P$20:P353)/86400/(24+$C$12)*24</f>
        <v>-256.824850672793</v>
      </c>
      <c r="T353" s="179">
        <f t="shared" si="57"/>
        <v>276300</v>
      </c>
      <c r="U353" s="179">
        <f ca="1" t="shared" si="56"/>
        <v>301</v>
      </c>
    </row>
    <row r="354" ht="18" spans="11:21">
      <c r="K354" s="132">
        <f t="shared" si="55"/>
        <v>278100</v>
      </c>
      <c r="L354" s="184">
        <v>335</v>
      </c>
      <c r="M354" s="180">
        <f>SUM($N$20:N354)</f>
        <v>265118</v>
      </c>
      <c r="N354" s="180">
        <v>1625</v>
      </c>
      <c r="O354" s="180">
        <v>23400</v>
      </c>
      <c r="P354" s="180">
        <v>277878</v>
      </c>
      <c r="Q354" s="180">
        <v>0</v>
      </c>
      <c r="R354" s="180">
        <f t="shared" si="58"/>
        <v>278100</v>
      </c>
      <c r="S354" s="182">
        <f ca="1">U354-SUM($P$20:P354)/86400/(24+$C$12)*24</f>
        <v>-259.25677715786</v>
      </c>
      <c r="T354" s="179">
        <f t="shared" si="57"/>
        <v>276300</v>
      </c>
      <c r="U354" s="179">
        <f ca="1" t="shared" si="56"/>
        <v>301</v>
      </c>
    </row>
    <row r="355" ht="18" spans="11:21">
      <c r="K355" s="132">
        <f t="shared" si="55"/>
        <v>278100</v>
      </c>
      <c r="L355" s="184">
        <v>336</v>
      </c>
      <c r="M355" s="180">
        <f>SUM($N$20:N355)</f>
        <v>266748</v>
      </c>
      <c r="N355" s="180">
        <v>1630</v>
      </c>
      <c r="O355" s="180">
        <v>23470</v>
      </c>
      <c r="P355" s="180">
        <v>277938</v>
      </c>
      <c r="Q355" s="180">
        <v>0</v>
      </c>
      <c r="R355" s="180">
        <f t="shared" si="58"/>
        <v>278100</v>
      </c>
      <c r="S355" s="182">
        <f ca="1">U355-SUM($P$20:P355)/86400/(24+$C$12)*24</f>
        <v>-261.68922874959</v>
      </c>
      <c r="T355" s="179">
        <f t="shared" si="57"/>
        <v>276300</v>
      </c>
      <c r="U355" s="179">
        <f ca="1" t="shared" si="56"/>
        <v>301</v>
      </c>
    </row>
    <row r="356" ht="18" spans="11:21">
      <c r="K356" s="132">
        <f t="shared" si="55"/>
        <v>278100</v>
      </c>
      <c r="L356" s="184">
        <v>337</v>
      </c>
      <c r="M356" s="180">
        <f>SUM($N$20:N356)</f>
        <v>268383</v>
      </c>
      <c r="N356" s="180">
        <v>1635</v>
      </c>
      <c r="O356" s="180">
        <v>23540</v>
      </c>
      <c r="P356" s="180">
        <v>277999</v>
      </c>
      <c r="Q356" s="180">
        <v>0</v>
      </c>
      <c r="R356" s="180">
        <f t="shared" si="58"/>
        <v>278100</v>
      </c>
      <c r="S356" s="182">
        <f ca="1">U356-SUM($P$20:P356)/86400/(24+$C$12)*24</f>
        <v>-264.122214199759</v>
      </c>
      <c r="T356" s="179">
        <f t="shared" si="57"/>
        <v>276300</v>
      </c>
      <c r="U356" s="179">
        <f ca="1" t="shared" si="56"/>
        <v>301</v>
      </c>
    </row>
    <row r="357" ht="18" spans="11:21">
      <c r="K357" s="132">
        <f t="shared" si="55"/>
        <v>278100</v>
      </c>
      <c r="L357" s="184">
        <v>338</v>
      </c>
      <c r="M357" s="180">
        <f>SUM($N$20:N357)</f>
        <v>270023</v>
      </c>
      <c r="N357" s="180">
        <v>1640</v>
      </c>
      <c r="O357" s="180">
        <v>23610</v>
      </c>
      <c r="P357" s="180">
        <v>278059</v>
      </c>
      <c r="Q357" s="180">
        <v>0</v>
      </c>
      <c r="R357" s="180">
        <f t="shared" si="58"/>
        <v>278100</v>
      </c>
      <c r="S357" s="182">
        <f ca="1">U357-SUM($P$20:P357)/86400/(24+$C$12)*24</f>
        <v>-266.555724756591</v>
      </c>
      <c r="T357" s="179">
        <f t="shared" si="57"/>
        <v>276300</v>
      </c>
      <c r="U357" s="179">
        <f ca="1" t="shared" si="56"/>
        <v>301</v>
      </c>
    </row>
    <row r="358" ht="18" spans="11:21">
      <c r="K358" s="132">
        <f t="shared" si="55"/>
        <v>278400</v>
      </c>
      <c r="L358" s="184">
        <v>339</v>
      </c>
      <c r="M358" s="180">
        <f>SUM($N$20:N358)</f>
        <v>271668</v>
      </c>
      <c r="N358" s="180">
        <v>1645</v>
      </c>
      <c r="O358" s="180">
        <v>23680</v>
      </c>
      <c r="P358" s="180">
        <v>278120</v>
      </c>
      <c r="Q358" s="180">
        <v>0</v>
      </c>
      <c r="R358" s="180">
        <f t="shared" si="58"/>
        <v>278400</v>
      </c>
      <c r="S358" s="182">
        <f ca="1">U358-SUM($P$20:P358)/86400/(24+$C$12)*24</f>
        <v>-268.989769171863</v>
      </c>
      <c r="T358" s="179">
        <f t="shared" si="57"/>
        <v>276600</v>
      </c>
      <c r="U358" s="179">
        <f ca="1" t="shared" si="56"/>
        <v>301</v>
      </c>
    </row>
    <row r="359" ht="18" spans="11:21">
      <c r="K359" s="132">
        <f t="shared" si="55"/>
        <v>278400</v>
      </c>
      <c r="L359" s="184">
        <v>340</v>
      </c>
      <c r="M359" s="180">
        <f>SUM($N$20:N359)</f>
        <v>273318</v>
      </c>
      <c r="N359" s="180">
        <v>1650</v>
      </c>
      <c r="O359" s="180">
        <v>23750</v>
      </c>
      <c r="P359" s="180">
        <v>278180</v>
      </c>
      <c r="Q359" s="180">
        <v>0</v>
      </c>
      <c r="R359" s="180">
        <f t="shared" si="58"/>
        <v>278400</v>
      </c>
      <c r="S359" s="182">
        <f ca="1">U359-SUM($P$20:P359)/86400/(24+$C$12)*24</f>
        <v>-271.424338693797</v>
      </c>
      <c r="T359" s="179">
        <f t="shared" si="57"/>
        <v>276600</v>
      </c>
      <c r="U359" s="179">
        <f ca="1" t="shared" si="56"/>
        <v>301</v>
      </c>
    </row>
    <row r="360" ht="18" spans="11:21">
      <c r="K360" s="132">
        <f t="shared" si="55"/>
        <v>278400</v>
      </c>
      <c r="L360" s="184">
        <v>341</v>
      </c>
      <c r="M360" s="180">
        <f>SUM($N$20:N360)</f>
        <v>274973</v>
      </c>
      <c r="N360" s="180">
        <v>1655</v>
      </c>
      <c r="O360" s="180">
        <v>23820</v>
      </c>
      <c r="P360" s="180">
        <v>278240</v>
      </c>
      <c r="Q360" s="180">
        <v>0</v>
      </c>
      <c r="R360" s="180">
        <f t="shared" si="58"/>
        <v>278400</v>
      </c>
      <c r="S360" s="182">
        <f ca="1">U360-SUM($P$20:P360)/86400/(24+$C$12)*24</f>
        <v>-273.859433322394</v>
      </c>
      <c r="T360" s="179">
        <f t="shared" si="57"/>
        <v>276600</v>
      </c>
      <c r="U360" s="179">
        <f ca="1" t="shared" si="56"/>
        <v>301</v>
      </c>
    </row>
    <row r="361" ht="18" spans="11:21">
      <c r="K361" s="132">
        <f t="shared" si="55"/>
        <v>278400</v>
      </c>
      <c r="L361" s="184">
        <v>342</v>
      </c>
      <c r="M361" s="180">
        <f>SUM($N$20:N361)</f>
        <v>276633</v>
      </c>
      <c r="N361" s="180">
        <v>1660</v>
      </c>
      <c r="O361" s="180">
        <v>23890</v>
      </c>
      <c r="P361" s="180">
        <v>278301</v>
      </c>
      <c r="Q361" s="180">
        <v>0</v>
      </c>
      <c r="R361" s="180">
        <f t="shared" si="58"/>
        <v>278400</v>
      </c>
      <c r="S361" s="182">
        <f ca="1">U361-SUM($P$20:P361)/86400/(24+$C$12)*24</f>
        <v>-276.29506180943</v>
      </c>
      <c r="T361" s="179">
        <f t="shared" si="57"/>
        <v>276600</v>
      </c>
      <c r="U361" s="179">
        <f ca="1" t="shared" si="56"/>
        <v>301</v>
      </c>
    </row>
    <row r="362" ht="18" spans="11:21">
      <c r="K362" s="132">
        <f t="shared" si="55"/>
        <v>278400</v>
      </c>
      <c r="L362" s="184">
        <v>343</v>
      </c>
      <c r="M362" s="180">
        <f>SUM($N$20:N362)</f>
        <v>278298</v>
      </c>
      <c r="N362" s="180">
        <v>1665</v>
      </c>
      <c r="O362" s="180">
        <v>23960</v>
      </c>
      <c r="P362" s="180">
        <v>278361</v>
      </c>
      <c r="Q362" s="180">
        <v>0</v>
      </c>
      <c r="R362" s="180">
        <f t="shared" si="58"/>
        <v>278400</v>
      </c>
      <c r="S362" s="182">
        <f ca="1">U362-SUM($P$20:P362)/86400/(24+$C$12)*24</f>
        <v>-278.731215403129</v>
      </c>
      <c r="T362" s="179">
        <f t="shared" si="57"/>
        <v>276600</v>
      </c>
      <c r="U362" s="179">
        <f ca="1" t="shared" si="56"/>
        <v>301</v>
      </c>
    </row>
    <row r="363" ht="18" spans="11:21">
      <c r="K363" s="132">
        <f t="shared" si="55"/>
        <v>278700</v>
      </c>
      <c r="L363" s="184">
        <v>344</v>
      </c>
      <c r="M363" s="180">
        <f>SUM($N$20:N363)</f>
        <v>279968</v>
      </c>
      <c r="N363" s="180">
        <v>1670</v>
      </c>
      <c r="O363" s="180">
        <v>24030</v>
      </c>
      <c r="P363" s="180">
        <v>278422</v>
      </c>
      <c r="Q363" s="180">
        <v>0</v>
      </c>
      <c r="R363" s="180">
        <f t="shared" si="58"/>
        <v>278700</v>
      </c>
      <c r="S363" s="182">
        <f ca="1">U363-SUM($P$20:P363)/86400/(24+$C$12)*24</f>
        <v>-281.167902855267</v>
      </c>
      <c r="T363" s="179">
        <f t="shared" si="57"/>
        <v>276900</v>
      </c>
      <c r="U363" s="179">
        <f ca="1" t="shared" si="56"/>
        <v>301</v>
      </c>
    </row>
    <row r="364" ht="18" spans="11:21">
      <c r="K364" s="132">
        <f t="shared" si="55"/>
        <v>278700</v>
      </c>
      <c r="L364" s="184">
        <v>345</v>
      </c>
      <c r="M364" s="180">
        <f>SUM($N$20:N364)</f>
        <v>281643</v>
      </c>
      <c r="N364" s="180">
        <v>1675</v>
      </c>
      <c r="O364" s="180">
        <v>24100</v>
      </c>
      <c r="P364" s="180">
        <v>278482</v>
      </c>
      <c r="Q364" s="180">
        <v>0</v>
      </c>
      <c r="R364" s="180">
        <f t="shared" si="58"/>
        <v>278700</v>
      </c>
      <c r="S364" s="182">
        <f ca="1">U364-SUM($P$20:P364)/86400/(24+$C$12)*24</f>
        <v>-283.605115414068</v>
      </c>
      <c r="T364" s="179">
        <f t="shared" si="57"/>
        <v>276900</v>
      </c>
      <c r="U364" s="179">
        <f ca="1" t="shared" si="56"/>
        <v>301</v>
      </c>
    </row>
    <row r="365" ht="18" spans="11:21">
      <c r="K365" s="132">
        <f t="shared" si="55"/>
        <v>278700</v>
      </c>
      <c r="L365" s="184">
        <v>346</v>
      </c>
      <c r="M365" s="180">
        <f>SUM($N$20:N365)</f>
        <v>283323</v>
      </c>
      <c r="N365" s="180">
        <v>1680</v>
      </c>
      <c r="O365" s="180">
        <v>24170</v>
      </c>
      <c r="P365" s="180">
        <v>278543</v>
      </c>
      <c r="Q365" s="180">
        <v>0</v>
      </c>
      <c r="R365" s="180">
        <f t="shared" si="58"/>
        <v>278700</v>
      </c>
      <c r="S365" s="182">
        <f ca="1">U365-SUM($P$20:P365)/86400/(24+$C$12)*24</f>
        <v>-286.042861831309</v>
      </c>
      <c r="T365" s="179">
        <f t="shared" si="57"/>
        <v>276900</v>
      </c>
      <c r="U365" s="179">
        <f ca="1" t="shared" si="56"/>
        <v>301</v>
      </c>
    </row>
    <row r="366" ht="18" spans="11:21">
      <c r="K366" s="132">
        <f t="shared" si="55"/>
        <v>278700</v>
      </c>
      <c r="L366" s="184">
        <v>347</v>
      </c>
      <c r="M366" s="180">
        <f>SUM($N$20:N366)</f>
        <v>285008</v>
      </c>
      <c r="N366" s="180">
        <v>1685</v>
      </c>
      <c r="O366" s="180">
        <v>24240</v>
      </c>
      <c r="P366" s="180">
        <v>278603</v>
      </c>
      <c r="Q366" s="180">
        <v>0</v>
      </c>
      <c r="R366" s="180">
        <f t="shared" si="58"/>
        <v>278700</v>
      </c>
      <c r="S366" s="182">
        <f ca="1">U366-SUM($P$20:P366)/86400/(24+$C$12)*24</f>
        <v>-288.481133355213</v>
      </c>
      <c r="T366" s="179">
        <f t="shared" si="57"/>
        <v>276900</v>
      </c>
      <c r="U366" s="179">
        <f ca="1" t="shared" si="56"/>
        <v>301</v>
      </c>
    </row>
    <row r="367" ht="18" spans="11:21">
      <c r="K367" s="132">
        <f t="shared" si="55"/>
        <v>278700</v>
      </c>
      <c r="L367" s="184">
        <v>348</v>
      </c>
      <c r="M367" s="180">
        <f>SUM($N$20:N367)</f>
        <v>286698</v>
      </c>
      <c r="N367" s="180">
        <v>1690</v>
      </c>
      <c r="O367" s="180">
        <v>24310</v>
      </c>
      <c r="P367" s="180">
        <v>278664</v>
      </c>
      <c r="Q367" s="180">
        <v>0</v>
      </c>
      <c r="R367" s="180">
        <f t="shared" si="58"/>
        <v>278700</v>
      </c>
      <c r="S367" s="182">
        <f ca="1">U367-SUM($P$20:P367)/86400/(24+$C$12)*24</f>
        <v>-290.919938737556</v>
      </c>
      <c r="T367" s="179">
        <f t="shared" si="57"/>
        <v>276900</v>
      </c>
      <c r="U367" s="179">
        <f ca="1" t="shared" si="56"/>
        <v>301</v>
      </c>
    </row>
    <row r="368" ht="18" spans="11:21">
      <c r="K368" s="132">
        <f t="shared" si="55"/>
        <v>279000</v>
      </c>
      <c r="L368" s="184">
        <v>349</v>
      </c>
      <c r="M368" s="180">
        <f>SUM($N$20:N368)</f>
        <v>288393</v>
      </c>
      <c r="N368" s="180">
        <v>1695</v>
      </c>
      <c r="O368" s="180">
        <v>24380</v>
      </c>
      <c r="P368" s="180">
        <v>278724</v>
      </c>
      <c r="Q368" s="180">
        <v>0</v>
      </c>
      <c r="R368" s="180">
        <f t="shared" si="58"/>
        <v>279000</v>
      </c>
      <c r="S368" s="182">
        <f ca="1">U368-SUM($P$20:P368)/86400/(24+$C$12)*24</f>
        <v>-293.359269226562</v>
      </c>
      <c r="T368" s="179">
        <f t="shared" si="57"/>
        <v>277200</v>
      </c>
      <c r="U368" s="179">
        <f ca="1" t="shared" si="56"/>
        <v>301</v>
      </c>
    </row>
    <row r="369" ht="18" spans="11:21">
      <c r="K369" s="132">
        <f t="shared" si="55"/>
        <v>279000</v>
      </c>
      <c r="L369" s="184">
        <v>350</v>
      </c>
      <c r="M369" s="180">
        <f>SUM($N$20:N369)</f>
        <v>290093</v>
      </c>
      <c r="N369" s="180">
        <v>1700</v>
      </c>
      <c r="O369" s="180">
        <v>24450</v>
      </c>
      <c r="P369" s="180">
        <v>278785</v>
      </c>
      <c r="Q369" s="180">
        <v>0</v>
      </c>
      <c r="R369" s="180">
        <f t="shared" si="58"/>
        <v>279000</v>
      </c>
      <c r="S369" s="182">
        <f ca="1">U369-SUM($P$20:P369)/86400/(24+$C$12)*24</f>
        <v>-295.799133574007</v>
      </c>
      <c r="T369" s="179">
        <f t="shared" si="57"/>
        <v>277200</v>
      </c>
      <c r="U369" s="179">
        <f ca="1" t="shared" si="56"/>
        <v>301</v>
      </c>
    </row>
    <row r="370" ht="18" spans="11:21">
      <c r="K370" s="132">
        <f t="shared" si="55"/>
        <v>279000</v>
      </c>
      <c r="L370" s="184">
        <v>351</v>
      </c>
      <c r="M370" s="180">
        <f>SUM($N$20:N370)</f>
        <v>291798</v>
      </c>
      <c r="N370" s="180">
        <v>1705</v>
      </c>
      <c r="O370" s="180">
        <v>24520</v>
      </c>
      <c r="P370" s="180">
        <v>278845</v>
      </c>
      <c r="Q370" s="180">
        <v>0</v>
      </c>
      <c r="R370" s="180">
        <f t="shared" si="58"/>
        <v>279000</v>
      </c>
      <c r="S370" s="182">
        <f ca="1">U370-SUM($P$20:P370)/86400/(24+$C$12)*24</f>
        <v>-298.239523028115</v>
      </c>
      <c r="T370" s="179">
        <f t="shared" si="57"/>
        <v>277200</v>
      </c>
      <c r="U370" s="179">
        <f ca="1" t="shared" si="56"/>
        <v>301</v>
      </c>
    </row>
    <row r="371" ht="18" spans="11:21">
      <c r="K371" s="132">
        <f t="shared" si="55"/>
        <v>279000</v>
      </c>
      <c r="L371" s="184">
        <v>352</v>
      </c>
      <c r="M371" s="180">
        <f>SUM($N$20:N371)</f>
        <v>293508</v>
      </c>
      <c r="N371" s="180">
        <v>1710</v>
      </c>
      <c r="O371" s="180">
        <v>24590</v>
      </c>
      <c r="P371" s="180">
        <v>278906</v>
      </c>
      <c r="Q371" s="180">
        <v>0</v>
      </c>
      <c r="R371" s="180">
        <f t="shared" si="58"/>
        <v>279000</v>
      </c>
      <c r="S371" s="182">
        <f ca="1">U371-SUM($P$20:P371)/86400/(24+$C$12)*24</f>
        <v>-300.680446340663</v>
      </c>
      <c r="T371" s="179">
        <f t="shared" si="57"/>
        <v>277200</v>
      </c>
      <c r="U371" s="179">
        <f ca="1" t="shared" si="56"/>
        <v>301</v>
      </c>
    </row>
    <row r="372" ht="18" spans="11:21">
      <c r="K372" s="132">
        <f t="shared" si="55"/>
        <v>279000</v>
      </c>
      <c r="L372" s="184">
        <v>353</v>
      </c>
      <c r="M372" s="180">
        <f>SUM($N$20:N372)</f>
        <v>295223</v>
      </c>
      <c r="N372" s="180">
        <v>1715</v>
      </c>
      <c r="O372" s="180">
        <v>24660</v>
      </c>
      <c r="P372" s="180">
        <v>278966</v>
      </c>
      <c r="Q372" s="180">
        <v>0</v>
      </c>
      <c r="R372" s="180">
        <f t="shared" si="58"/>
        <v>279000</v>
      </c>
      <c r="S372" s="182">
        <f ca="1">U372-SUM($P$20:P372)/86400/(24+$C$12)*24</f>
        <v>-303.121894759873</v>
      </c>
      <c r="T372" s="179">
        <f t="shared" si="57"/>
        <v>277200</v>
      </c>
      <c r="U372" s="179">
        <f ca="1" t="shared" si="56"/>
        <v>301</v>
      </c>
    </row>
    <row r="373" ht="18" spans="11:21">
      <c r="K373" s="132">
        <f t="shared" si="55"/>
        <v>279300</v>
      </c>
      <c r="L373" s="184">
        <v>354</v>
      </c>
      <c r="M373" s="180">
        <f>SUM($N$20:N373)</f>
        <v>296943</v>
      </c>
      <c r="N373" s="180">
        <v>1720</v>
      </c>
      <c r="O373" s="180">
        <v>24730</v>
      </c>
      <c r="P373" s="180">
        <v>279027</v>
      </c>
      <c r="Q373" s="180">
        <v>0</v>
      </c>
      <c r="R373" s="180">
        <f t="shared" si="58"/>
        <v>279300</v>
      </c>
      <c r="S373" s="182">
        <f ca="1">U373-SUM($P$20:P373)/86400/(24+$C$12)*24</f>
        <v>-305.563877037523</v>
      </c>
      <c r="T373" s="179">
        <f t="shared" si="57"/>
        <v>277500</v>
      </c>
      <c r="U373" s="179">
        <f ca="1" t="shared" si="56"/>
        <v>301</v>
      </c>
    </row>
    <row r="374" ht="18" spans="11:21">
      <c r="K374" s="132">
        <f t="shared" si="55"/>
        <v>279300</v>
      </c>
      <c r="L374" s="184">
        <v>355</v>
      </c>
      <c r="M374" s="180">
        <f>SUM($N$20:N374)</f>
        <v>298668</v>
      </c>
      <c r="N374" s="180">
        <v>1725</v>
      </c>
      <c r="O374" s="180">
        <v>24800</v>
      </c>
      <c r="P374" s="180">
        <v>279087</v>
      </c>
      <c r="Q374" s="180">
        <v>0</v>
      </c>
      <c r="R374" s="180">
        <f t="shared" si="58"/>
        <v>279300</v>
      </c>
      <c r="S374" s="182">
        <f ca="1">U374-SUM($P$20:P374)/86400/(24+$C$12)*24</f>
        <v>-308.006384421836</v>
      </c>
      <c r="T374" s="179">
        <f t="shared" si="57"/>
        <v>277500</v>
      </c>
      <c r="U374" s="179">
        <f ca="1" t="shared" si="56"/>
        <v>301</v>
      </c>
    </row>
    <row r="375" ht="18" spans="11:21">
      <c r="K375" s="132">
        <f t="shared" si="55"/>
        <v>279300</v>
      </c>
      <c r="L375" s="184">
        <v>356</v>
      </c>
      <c r="M375" s="180">
        <f>SUM($N$20:N375)</f>
        <v>300398</v>
      </c>
      <c r="N375" s="180">
        <v>1730</v>
      </c>
      <c r="O375" s="180">
        <v>24870</v>
      </c>
      <c r="P375" s="180">
        <v>279148</v>
      </c>
      <c r="Q375" s="180">
        <v>0</v>
      </c>
      <c r="R375" s="180">
        <f t="shared" si="58"/>
        <v>279300</v>
      </c>
      <c r="S375" s="182">
        <f ca="1">U375-SUM($P$20:P375)/86400/(24+$C$12)*24</f>
        <v>-310.449425664588</v>
      </c>
      <c r="T375" s="179">
        <f t="shared" si="57"/>
        <v>277500</v>
      </c>
      <c r="U375" s="179">
        <f ca="1" t="shared" si="56"/>
        <v>301</v>
      </c>
    </row>
    <row r="376" ht="18" spans="11:21">
      <c r="K376" s="132">
        <f t="shared" si="55"/>
        <v>279300</v>
      </c>
      <c r="L376" s="184">
        <v>357</v>
      </c>
      <c r="M376" s="180">
        <f>SUM($N$20:N376)</f>
        <v>302133</v>
      </c>
      <c r="N376" s="180">
        <v>1735</v>
      </c>
      <c r="O376" s="180">
        <v>24940</v>
      </c>
      <c r="P376" s="180">
        <v>279208</v>
      </c>
      <c r="Q376" s="180">
        <v>0</v>
      </c>
      <c r="R376" s="180">
        <f t="shared" si="58"/>
        <v>279300</v>
      </c>
      <c r="S376" s="182">
        <f ca="1">U376-SUM($P$20:P376)/86400/(24+$C$12)*24</f>
        <v>-312.892992014003</v>
      </c>
      <c r="T376" s="179">
        <f t="shared" si="57"/>
        <v>277500</v>
      </c>
      <c r="U376" s="179">
        <f ca="1" t="shared" si="56"/>
        <v>301</v>
      </c>
    </row>
    <row r="377" ht="18" spans="11:21">
      <c r="K377" s="132">
        <f t="shared" si="55"/>
        <v>279300</v>
      </c>
      <c r="L377" s="184">
        <v>358</v>
      </c>
      <c r="M377" s="180">
        <f>SUM($N$20:N377)</f>
        <v>303873</v>
      </c>
      <c r="N377" s="180">
        <v>1740</v>
      </c>
      <c r="O377" s="180">
        <v>25010</v>
      </c>
      <c r="P377" s="180">
        <v>279269</v>
      </c>
      <c r="Q377" s="180">
        <v>0</v>
      </c>
      <c r="R377" s="180">
        <f t="shared" si="58"/>
        <v>279300</v>
      </c>
      <c r="S377" s="182">
        <f ca="1">U377-SUM($P$20:P377)/86400/(24+$C$12)*24</f>
        <v>-315.337092221858</v>
      </c>
      <c r="T377" s="179">
        <f t="shared" si="57"/>
        <v>277500</v>
      </c>
      <c r="U377" s="179">
        <f ca="1" t="shared" si="56"/>
        <v>301</v>
      </c>
    </row>
    <row r="378" ht="18" spans="11:21">
      <c r="K378" s="132">
        <f t="shared" si="55"/>
        <v>279600</v>
      </c>
      <c r="L378" s="184">
        <v>359</v>
      </c>
      <c r="M378" s="180">
        <f>SUM($N$20:N378)</f>
        <v>305618</v>
      </c>
      <c r="N378" s="180">
        <v>1745</v>
      </c>
      <c r="O378" s="180">
        <v>25080</v>
      </c>
      <c r="P378" s="180">
        <v>279329</v>
      </c>
      <c r="Q378" s="180">
        <v>0</v>
      </c>
      <c r="R378" s="180">
        <f t="shared" si="58"/>
        <v>279600</v>
      </c>
      <c r="S378" s="182">
        <f ca="1">U378-SUM($P$20:P378)/86400/(24+$C$12)*24</f>
        <v>-317.781717536375</v>
      </c>
      <c r="T378" s="179">
        <f t="shared" si="57"/>
        <v>277800</v>
      </c>
      <c r="U378" s="179">
        <f ca="1" t="shared" si="56"/>
        <v>301</v>
      </c>
    </row>
    <row r="379" ht="18" spans="11:21">
      <c r="K379" s="132">
        <f t="shared" si="55"/>
        <v>279600</v>
      </c>
      <c r="L379" s="184">
        <v>360</v>
      </c>
      <c r="M379" s="180">
        <f>SUM($N$20:N379)</f>
        <v>307368</v>
      </c>
      <c r="N379" s="180">
        <v>1750</v>
      </c>
      <c r="O379" s="180">
        <v>25150</v>
      </c>
      <c r="P379" s="180">
        <v>279390</v>
      </c>
      <c r="Q379" s="180">
        <v>0</v>
      </c>
      <c r="R379" s="180">
        <f t="shared" si="58"/>
        <v>279600</v>
      </c>
      <c r="S379" s="182">
        <f ca="1">U379-SUM($P$20:P379)/86400/(24+$C$12)*24</f>
        <v>-320.226876709332</v>
      </c>
      <c r="T379" s="179">
        <f t="shared" si="57"/>
        <v>277800</v>
      </c>
      <c r="U379" s="179">
        <f ca="1" t="shared" si="56"/>
        <v>301</v>
      </c>
    </row>
  </sheetData>
  <conditionalFormatting sqref="E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{b50aeb14-c06e-49bd-aeaf-e68882706133}</x14:id>
        </ext>
      </extLst>
    </cfRule>
  </conditionalFormatting>
  <conditionalFormatting sqref="E7:E10 E12:E1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{863f6d60-d4db-43e3-8034-43f3b7542177}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0aeb14-c06e-49bd-aeaf-e68882706133}">
            <x14:dataBar minLength="0" maxLength="100" border="1" negativeBarBorderColorSameAsPositive="0">
              <x14:cfvo type="min"/>
              <x14:cfvo type="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E11</xm:sqref>
        </x14:conditionalFormatting>
        <x14:conditionalFormatting xmlns:xm="http://schemas.microsoft.com/office/excel/2006/main">
          <x14:cfRule type="dataBar" id="{863f6d60-d4db-43e3-8034-43f3b7542177}">
            <x14:dataBar minLength="0" maxLength="100" border="1" negativeBarBorderColorSameAsPositive="0">
              <x14:cfvo type="min"/>
              <x14:cfvo type="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E7:E10 E12:E16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theme="4"/>
  </sheetPr>
  <dimension ref="A1:AQ313"/>
  <sheetViews>
    <sheetView tabSelected="1" zoomScale="130" zoomScaleNormal="130" topLeftCell="A8" workbookViewId="0">
      <selection activeCell="H25" sqref="H25"/>
    </sheetView>
  </sheetViews>
  <sheetFormatPr defaultColWidth="9" defaultRowHeight="13.5"/>
  <cols>
    <col min="1" max="6" width="9" style="19"/>
    <col min="7" max="7" width="11.125" style="19"/>
    <col min="8" max="9" width="9" style="19"/>
    <col min="10" max="10" width="9.375" style="19"/>
    <col min="11" max="11" width="9" style="19"/>
    <col min="12" max="12" width="10.375" style="19"/>
    <col min="13" max="13" width="12.625" style="19"/>
    <col min="14" max="15" width="9" style="19"/>
    <col min="16" max="17" width="12.625" style="19"/>
    <col min="18" max="19" width="9" style="19"/>
    <col min="20" max="21" width="10.375" style="19"/>
    <col min="22" max="22" width="9.375" style="19"/>
    <col min="23" max="25" width="9" style="19"/>
    <col min="26" max="27" width="12.625" style="19"/>
    <col min="28" max="29" width="9" style="19"/>
    <col min="30" max="30" width="10.375" style="19"/>
    <col min="31" max="35" width="9" style="19"/>
    <col min="36" max="36" width="12.625" style="19"/>
    <col min="37" max="43" width="9" style="19"/>
  </cols>
  <sheetData>
    <row r="1" spans="1:43">
      <c r="D1" s="155" t="s">
        <v>119</v>
      </c>
      <c r="E1" s="155" t="s">
        <v>120</v>
      </c>
      <c r="F1" s="155" t="s">
        <v>106</v>
      </c>
      <c r="G1" s="155" t="s">
        <v>121</v>
      </c>
    </row>
    <row r="2" spans="1:43">
      <c r="C2" s="23" t="s">
        <v>37</v>
      </c>
      <c r="D2" s="23">
        <v>10</v>
      </c>
      <c r="E2" s="23">
        <v>10</v>
      </c>
      <c r="F2" s="23">
        <v>15</v>
      </c>
      <c r="G2" s="23">
        <v>22</v>
      </c>
      <c r="U2" s="156" t="s">
        <v>37</v>
      </c>
      <c r="V2" s="19" t="e">
        <f ca="1" t="shared" ref="V2:V9" si="0">SUM(OFFSET($S$13:$S$312,0,MATCH(U2,$T$12:$AA$12,0)))</f>
        <v>#N/A</v>
      </c>
    </row>
    <row r="3" spans="1:43">
      <c r="C3" s="23" t="s">
        <v>38</v>
      </c>
      <c r="D3" s="23">
        <v>5</v>
      </c>
      <c r="E3" s="23">
        <v>10</v>
      </c>
      <c r="F3" s="23">
        <v>15</v>
      </c>
      <c r="G3" s="23">
        <v>0</v>
      </c>
      <c r="U3" s="156" t="s">
        <v>38</v>
      </c>
      <c r="V3" s="19" t="e">
        <f ca="1" t="shared" si="0"/>
        <v>#N/A</v>
      </c>
    </row>
    <row r="4" spans="1:43">
      <c r="C4" s="23" t="s">
        <v>39</v>
      </c>
      <c r="D4" s="23">
        <v>3</v>
      </c>
      <c r="E4" s="23">
        <v>4</v>
      </c>
      <c r="F4" s="23">
        <v>6</v>
      </c>
      <c r="G4" s="23">
        <v>6</v>
      </c>
      <c r="U4" s="156" t="s">
        <v>39</v>
      </c>
      <c r="V4" s="19" t="e">
        <f ca="1" t="shared" si="0"/>
        <v>#N/A</v>
      </c>
    </row>
    <row r="5" spans="1:43">
      <c r="C5" s="23" t="s">
        <v>35</v>
      </c>
      <c r="D5" s="23">
        <v>24</v>
      </c>
      <c r="E5" s="23">
        <v>24</v>
      </c>
      <c r="F5" s="23">
        <f>24*1.3</f>
        <v>31.2</v>
      </c>
      <c r="G5" s="23">
        <f>F5</f>
        <v>31.2</v>
      </c>
      <c r="U5" s="156" t="s">
        <v>65</v>
      </c>
      <c r="V5" s="19">
        <f ca="1" t="shared" si="0"/>
        <v>630000</v>
      </c>
    </row>
    <row r="6" spans="1:43">
      <c r="C6" s="23" t="s">
        <v>74</v>
      </c>
      <c r="D6" s="23">
        <f>D2*10+D3*10+D4*20</f>
        <v>210</v>
      </c>
      <c r="E6" s="23">
        <f>E2*10+E3*10+E4*20</f>
        <v>280</v>
      </c>
      <c r="F6" s="23">
        <f>F2*10+F3*10+F4*20</f>
        <v>420</v>
      </c>
      <c r="G6" s="23">
        <f>G2*10+G3*10+G4*20</f>
        <v>340</v>
      </c>
      <c r="U6" s="156" t="s">
        <v>122</v>
      </c>
      <c r="V6" s="19">
        <f ca="1" t="shared" si="0"/>
        <v>129428.571428571</v>
      </c>
    </row>
    <row r="7" spans="1:43">
      <c r="C7" s="23" t="s">
        <v>65</v>
      </c>
      <c r="D7" s="23">
        <v>3</v>
      </c>
      <c r="E7" s="23">
        <v>4</v>
      </c>
      <c r="F7" s="23">
        <v>6</v>
      </c>
      <c r="G7" s="23">
        <v>9</v>
      </c>
      <c r="U7" s="156" t="s">
        <v>48</v>
      </c>
      <c r="V7" s="19">
        <f ca="1" t="shared" si="0"/>
        <v>362160</v>
      </c>
    </row>
    <row r="8" spans="1:43">
      <c r="C8" s="23" t="s">
        <v>122</v>
      </c>
      <c r="D8" s="23">
        <v>50</v>
      </c>
      <c r="E8" s="23">
        <v>20</v>
      </c>
      <c r="F8" s="23">
        <v>10</v>
      </c>
      <c r="G8" s="23">
        <v>3</v>
      </c>
      <c r="U8" s="156" t="s">
        <v>62</v>
      </c>
      <c r="V8" s="19">
        <f ca="1" t="shared" si="0"/>
        <v>829988.571428575</v>
      </c>
    </row>
    <row r="9" spans="1:43">
      <c r="D9" s="19">
        <f>D4*20+D2*10</f>
        <v>160</v>
      </c>
      <c r="E9" s="19">
        <f>E4*20+E2*10</f>
        <v>180</v>
      </c>
      <c r="F9" s="19">
        <f>F4*20+F2*10</f>
        <v>270</v>
      </c>
      <c r="G9" s="19">
        <f>G4*20+G2*10</f>
        <v>340</v>
      </c>
      <c r="U9" s="157" t="s">
        <v>35</v>
      </c>
      <c r="V9" s="19" t="e">
        <f ca="1" t="shared" si="0"/>
        <v>#N/A</v>
      </c>
    </row>
    <row r="10" spans="1:43">
      <c r="A10"/>
      <c r="B10"/>
      <c r="C10"/>
      <c r="D10"/>
      <c r="E10"/>
      <c r="F10"/>
      <c r="G10"/>
      <c r="H10"/>
      <c r="I10"/>
      <c r="J10"/>
      <c r="K10"/>
      <c r="L10"/>
      <c r="M10"/>
      <c r="N10"/>
    </row>
    <row r="11" spans="1:43">
      <c r="C11" s="23" t="s">
        <v>123</v>
      </c>
      <c r="I11" s="23" t="s">
        <v>124</v>
      </c>
      <c r="J11" s="155" t="s">
        <v>119</v>
      </c>
      <c r="S11" s="23" t="s">
        <v>124</v>
      </c>
      <c r="T11" s="155" t="s">
        <v>106</v>
      </c>
      <c r="AC11" s="23" t="s">
        <v>124</v>
      </c>
      <c r="AD11" s="155" t="s">
        <v>121</v>
      </c>
    </row>
    <row r="12" ht="16.5" spans="1:43">
      <c r="C12" s="155" t="s">
        <v>21</v>
      </c>
      <c r="D12" s="155" t="s">
        <v>119</v>
      </c>
      <c r="E12" s="155" t="s">
        <v>120</v>
      </c>
      <c r="F12" s="155" t="s">
        <v>106</v>
      </c>
      <c r="G12" s="155" t="s">
        <v>121</v>
      </c>
      <c r="I12" s="155" t="s">
        <v>21</v>
      </c>
      <c r="J12" s="155" t="s">
        <v>37</v>
      </c>
      <c r="K12" s="155" t="s">
        <v>38</v>
      </c>
      <c r="L12" s="155" t="s">
        <v>39</v>
      </c>
      <c r="M12" s="155" t="s">
        <v>65</v>
      </c>
      <c r="N12" s="155" t="s">
        <v>122</v>
      </c>
      <c r="O12" s="155" t="s">
        <v>48</v>
      </c>
      <c r="P12" s="155" t="s">
        <v>62</v>
      </c>
      <c r="Q12" s="158" t="s">
        <v>35</v>
      </c>
      <c r="S12" s="155" t="s">
        <v>21</v>
      </c>
      <c r="T12" s="155" t="s">
        <v>37</v>
      </c>
      <c r="U12" s="155" t="s">
        <v>38</v>
      </c>
      <c r="V12" s="155" t="s">
        <v>39</v>
      </c>
      <c r="W12" s="155" t="s">
        <v>65</v>
      </c>
      <c r="X12" s="155" t="s">
        <v>122</v>
      </c>
      <c r="Y12" s="155" t="s">
        <v>48</v>
      </c>
      <c r="Z12" s="155" t="s">
        <v>62</v>
      </c>
      <c r="AA12" s="158" t="s">
        <v>35</v>
      </c>
      <c r="AC12" s="155" t="s">
        <v>21</v>
      </c>
      <c r="AD12" s="155" t="s">
        <v>37</v>
      </c>
      <c r="AE12" s="155" t="s">
        <v>38</v>
      </c>
      <c r="AF12" s="155" t="s">
        <v>39</v>
      </c>
      <c r="AG12" s="155" t="s">
        <v>65</v>
      </c>
      <c r="AH12" s="155" t="s">
        <v>122</v>
      </c>
      <c r="AI12" s="155" t="s">
        <v>48</v>
      </c>
      <c r="AJ12" s="155" t="s">
        <v>62</v>
      </c>
      <c r="AK12" s="158" t="s">
        <v>35</v>
      </c>
      <c r="AM12" s="159" t="s">
        <v>125</v>
      </c>
      <c r="AN12" s="159" t="s">
        <v>119</v>
      </c>
      <c r="AO12" s="159" t="s">
        <v>120</v>
      </c>
      <c r="AP12" s="159" t="s">
        <v>106</v>
      </c>
      <c r="AQ12" s="159" t="s">
        <v>121</v>
      </c>
    </row>
    <row r="13" spans="1:43">
      <c r="C13" s="160">
        <v>1</v>
      </c>
      <c r="D13" s="161">
        <v>10</v>
      </c>
      <c r="E13" s="162">
        <v>15</v>
      </c>
      <c r="F13" s="163">
        <f>E14</f>
        <v>20</v>
      </c>
      <c r="G13" s="163">
        <f t="shared" ref="G13:G19" si="1">F15</f>
        <v>30</v>
      </c>
      <c r="I13" s="160">
        <v>1</v>
      </c>
      <c r="J13" s="163">
        <f ca="1">_xlfn.XLOOKUP(OFFSET($C$12,$I13,MATCH($J$11,$D$12:$G$12,0)),主线推图!$B$313:$B$612,主线推图!$P$313:$P$612)*OFFSET($C$1,MATCH(J$12,$C$2:$C$7,0),MATCH($J$11,$D$12:$G$12,0))</f>
        <v>1349</v>
      </c>
      <c r="K13" s="163">
        <f ca="1">_xlfn.XLOOKUP(OFFSET($C$12,$I13,MATCH($J$11,$D$12:$G$12,0)),巡逻产出!$B$311:$B$610,巡逻产出!$R$311:$R$610)*OFFSET($C$1,MATCH(K$12,$C$2:$C$7,0),MATCH($J$11,$D$12:$G$12,0))</f>
        <v>607.25</v>
      </c>
      <c r="L13" s="163">
        <f ca="1">_xlfn.XLOOKUP(MAX(INT((OFFSET($C$12,$I13,MATCH($J$11,$D$12:$G$12,0))-6)/10),1),组队产出!$B$25:$B$39,组队产出!$P$25:$P$39)*OFFSET($C$1,MATCH(L$12,$C$2:$C$7,0),MATCH($J$11,$D$12:$G$12,0))</f>
        <v>1076.4</v>
      </c>
      <c r="M13" s="163">
        <f ca="1">竞技场!$G$3*OFFSET($C$1,MATCH(M$12,$C$2:$C$7,0),MATCH($J$11,$D$12:$G$12,0))</f>
        <v>1050</v>
      </c>
      <c r="N1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" s="23">
        <f>任务!$G$6+任务!$G$9+IF(MOD(I13,7)=0,任务!$N$9+任务!$O$6,0)</f>
        <v>895</v>
      </c>
      <c r="P13" s="25">
        <f>公会!$U$11</f>
        <v>2766.62857142857</v>
      </c>
      <c r="Q13" s="163">
        <f ca="1">_xlfn.XLOOKUP(OFFSET($C$12,$I13,MATCH($J$11,$D$12:$G$12,0)),巡逻产出!$B$311:$B$610,巡逻产出!$Q$311:$Q$610)*OFFSET($C$1,MATCH(Q$12,$C$2:$C$7,0),MATCH($J$11,$D$12:$G$12,0))</f>
        <v>1752.96</v>
      </c>
      <c r="S13" s="160">
        <v>1</v>
      </c>
      <c r="T13" s="163">
        <f ca="1">_xlfn.XLOOKUP(OFFSET($C$12,$I13,MATCH($T$11,$D$12:$G$12,0)),主线推图!$B$313:$B$612,主线推图!$P$313:$P$612)*OFFSET($C$1,MATCH(T$12,$C$2:$C$7,0),MATCH($T$11,$D$12:$G$12,0))</f>
        <v>2038.5</v>
      </c>
      <c r="U13" s="163">
        <f ca="1">_xlfn.XLOOKUP(OFFSET($C$12,$I13,MATCH($T$11,$D$12:$G$12,0)),巡逻产出!$B$311:$B$610,巡逻产出!$R$311:$R$610)*OFFSET($C$1,MATCH(U$12,$C$2:$C$7,0),MATCH($T$11,$D$12:$G$12,0))</f>
        <v>1829.25</v>
      </c>
      <c r="V13" s="163">
        <f ca="1">_xlfn.XLOOKUP(MAX(INT((OFFSET($C$12,$I13,MATCH($T$11,$D$12:$G$12,0))-6)/10),1),组队产出!$B$25:$B$39,组队产出!$P$25:$P$39)*OFFSET($C$1,MATCH(V$12,$C$2:$C$7,0),MATCH($T$11,$D$12:$G$12,0))</f>
        <v>2152.8</v>
      </c>
      <c r="W13" s="163">
        <f ca="1">竞技场!$G$3*OFFSET($C$1,MATCH(W$12,$C$2:$C$7,0),MATCH($T$11,$D$12:$G$12,0))</f>
        <v>2100</v>
      </c>
      <c r="X1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" s="23">
        <f>任务!$G$6+任务!$G$9+IF(MOD(S13,7)=0,任务!$N$9+任务!$O$6,0)</f>
        <v>895</v>
      </c>
      <c r="Z13" s="25">
        <f>公会!$U$11</f>
        <v>2766.62857142857</v>
      </c>
      <c r="AA13" s="163">
        <f ca="1">_xlfn.XLOOKUP(OFFSET($C$12,$I13,MATCH($T$11,$D$12:$G$12,0)),巡逻产出!$B$311:$B$610,巡逻产出!$Q$311:$Q$610)*OFFSET($C$1,MATCH(AA$12,$C$2:$C$7,0),MATCH($T$11,$D$12:$G$12,0))</f>
        <v>2062.008</v>
      </c>
      <c r="AC13" s="160">
        <v>1</v>
      </c>
      <c r="AD13" s="163">
        <f ca="1">_xlfn.XLOOKUP(OFFSET($C$12,$I13,MATCH($AD$11,$D$12:$G$12,0)),主线推图!$B$313:$B$612,主线推图!$P$313:$P$612)*OFFSET($C$1,MATCH(AD$12,$C$2:$C$7,0),MATCH($AD$11,$D$12:$G$12,0))</f>
        <v>3011.8</v>
      </c>
      <c r="AE13" s="163">
        <f ca="1">_xlfn.XLOOKUP(OFFSET($C$12,$I13,MATCH($AD$11,$D$12:$G$12,0)),巡逻产出!$B$311:$B$610,巡逻产出!$R$311:$R$610)*OFFSET($C$1,MATCH(AE$12,$C$2:$C$7,0),MATCH($AD$11,$D$12:$G$12,0))</f>
        <v>0</v>
      </c>
      <c r="AF13" s="163">
        <f ca="1">_xlfn.XLOOKUP(MAX(INT((OFFSET($C$12,$I13,MATCH($AD$11,$D$12:$G$12,0))-6)/10),1),组队产出!$B$25:$B$39,组队产出!$P$25:$P$39)*OFFSET($C$1,MATCH(AF$12,$C$2:$C$7,0),MATCH($AD$11,$D$12:$G$12,0))</f>
        <v>2164.8</v>
      </c>
      <c r="AG13" s="163">
        <f ca="1">竞技场!$G$3*OFFSET($C$1,MATCH(AG$12,$C$2:$C$7,0),MATCH($AD$11,$D$12:$G$12,0))</f>
        <v>3150</v>
      </c>
      <c r="AH1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" s="23">
        <f>任务!$G$6+任务!$G$9+IF(MOD(AC13,7)=0,任务!$N$9+任务!$O$6,0)</f>
        <v>895</v>
      </c>
      <c r="AJ13" s="25">
        <f>公会!$U$11</f>
        <v>2766.62857142857</v>
      </c>
      <c r="AK13" s="163">
        <f ca="1">_xlfn.XLOOKUP(OFFSET($C$12,$I13,MATCH($AD$11,$D$12:$G$12,0)),巡逻产出!$B$311:$B$610,巡逻产出!$Q$311:$Q$610)*OFFSET($C$1,MATCH(AK$12,$C$2:$C$7,0),MATCH($AD$11,$D$12:$G$12,0))</f>
        <v>2077.608</v>
      </c>
      <c r="AM13" s="164">
        <v>1</v>
      </c>
      <c r="AN13" s="165">
        <v>223</v>
      </c>
      <c r="AO13" s="165">
        <v>300</v>
      </c>
      <c r="AP13" s="165">
        <v>429</v>
      </c>
      <c r="AQ13" s="165">
        <v>503</v>
      </c>
    </row>
    <row r="14" spans="1:43">
      <c r="C14" s="160">
        <v>2</v>
      </c>
      <c r="D14" s="161">
        <v>15</v>
      </c>
      <c r="E14" s="162">
        <v>20</v>
      </c>
      <c r="F14" s="163">
        <f t="shared" ref="F14:F19" si="2">E15</f>
        <v>25</v>
      </c>
      <c r="G14" s="163">
        <f t="shared" si="1"/>
        <v>35</v>
      </c>
      <c r="I14" s="160">
        <v>2</v>
      </c>
      <c r="J14" s="163">
        <f ca="1">_xlfn.XLOOKUP(OFFSET($C$12,$I14,MATCH($J$11,$D$12:$G$12,0)),主线推图!$B$313:$B$612,主线推图!$P$313:$P$612)*OFFSET($C$1,MATCH(J$12,$C$2:$C$7,0),MATCH($J$11,$D$12:$G$12,0))</f>
        <v>1354</v>
      </c>
      <c r="K14" s="163">
        <f ca="1">_xlfn.XLOOKUP(OFFSET($C$12,$I14,MATCH($J$11,$D$12:$G$12,0)),巡逻产出!$B$311:$B$610,巡逻产出!$R$311:$R$610)*OFFSET($C$1,MATCH(K$12,$C$2:$C$7,0),MATCH($J$11,$D$12:$G$12,0))</f>
        <v>608.5</v>
      </c>
      <c r="L14" s="163">
        <f ca="1">_xlfn.XLOOKUP(MAX(INT((OFFSET($C$12,$I14,MATCH($J$11,$D$12:$G$12,0))-6)/10),1),组队产出!$B$25:$B$39,组队产出!$P$25:$P$39)*OFFSET($C$1,MATCH(L$12,$C$2:$C$7,0),MATCH($J$11,$D$12:$G$12,0))</f>
        <v>1076.4</v>
      </c>
      <c r="M14" s="163">
        <f ca="1">竞技场!$G$3*OFFSET($C$1,MATCH(M$12,$C$2:$C$7,0),MATCH($J$11,$D$12:$G$12,0))</f>
        <v>1050</v>
      </c>
      <c r="N1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" s="23">
        <f>任务!$G$6+任务!$G$9+IF(MOD(I14,7)=0,任务!$N$9+任务!$O$6,0)</f>
        <v>895</v>
      </c>
      <c r="P14" s="25">
        <f>公会!$U$11</f>
        <v>2766.62857142857</v>
      </c>
      <c r="Q14" s="163">
        <f ca="1">_xlfn.XLOOKUP(OFFSET($C$12,$I14,MATCH($J$11,$D$12:$G$12,0)),巡逻产出!$B$311:$B$610,巡逻产出!$Q$311:$Q$610)*OFFSET($C$1,MATCH(Q$12,$C$2:$C$7,0),MATCH($J$11,$D$12:$G$12,0))</f>
        <v>1580.16</v>
      </c>
      <c r="S14" s="160">
        <v>2</v>
      </c>
      <c r="T14" s="163">
        <f ca="1">_xlfn.XLOOKUP(OFFSET($C$12,$I14,MATCH($T$11,$D$12:$G$12,0)),主线推图!$B$313:$B$612,主线推图!$P$313:$P$612)*OFFSET($C$1,MATCH(T$12,$C$2:$C$7,0),MATCH($T$11,$D$12:$G$12,0))</f>
        <v>2046</v>
      </c>
      <c r="U14" s="163">
        <f ca="1">_xlfn.XLOOKUP(OFFSET($C$12,$I14,MATCH($T$11,$D$12:$G$12,0)),巡逻产出!$B$311:$B$610,巡逻产出!$R$311:$R$610)*OFFSET($C$1,MATCH(U$12,$C$2:$C$7,0),MATCH($T$11,$D$12:$G$12,0))</f>
        <v>1833</v>
      </c>
      <c r="V14" s="163">
        <f ca="1">_xlfn.XLOOKUP(MAX(INT((OFFSET($C$12,$I14,MATCH($T$11,$D$12:$G$12,0))-6)/10),1),组队产出!$B$25:$B$39,组队产出!$P$25:$P$39)*OFFSET($C$1,MATCH(V$12,$C$2:$C$7,0),MATCH($T$11,$D$12:$G$12,0))</f>
        <v>2152.8</v>
      </c>
      <c r="W14" s="163">
        <f ca="1">竞技场!$G$3*OFFSET($C$1,MATCH(W$12,$C$2:$C$7,0),MATCH($T$11,$D$12:$G$12,0))</f>
        <v>2100</v>
      </c>
      <c r="X1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" s="23">
        <f>任务!$G$6+任务!$G$9+IF(MOD(S14,7)=0,任务!$N$9+任务!$O$6,0)</f>
        <v>895</v>
      </c>
      <c r="Z14" s="25">
        <f>公会!$U$11</f>
        <v>2766.62857142857</v>
      </c>
      <c r="AA14" s="163">
        <f ca="1">_xlfn.XLOOKUP(OFFSET($C$12,$I14,MATCH($T$11,$D$12:$G$12,0)),巡逻产出!$B$311:$B$610,巡逻产出!$Q$311:$Q$610)*OFFSET($C$1,MATCH(AA$12,$C$2:$C$7,0),MATCH($T$11,$D$12:$G$12,0))</f>
        <v>2069.808</v>
      </c>
      <c r="AC14" s="160">
        <v>2</v>
      </c>
      <c r="AD14" s="163">
        <f ca="1">_xlfn.XLOOKUP(OFFSET($C$12,$I14,MATCH($AD$11,$D$12:$G$12,0)),主线推图!$B$313:$B$612,主线推图!$P$313:$P$612)*OFFSET($C$1,MATCH(AD$12,$C$2:$C$7,0),MATCH($AD$11,$D$12:$G$12,0))</f>
        <v>3022.8</v>
      </c>
      <c r="AE14" s="163">
        <f ca="1">_xlfn.XLOOKUP(OFFSET($C$12,$I14,MATCH($AD$11,$D$12:$G$12,0)),巡逻产出!$B$311:$B$610,巡逻产出!$R$311:$R$610)*OFFSET($C$1,MATCH(AE$12,$C$2:$C$7,0),MATCH($AD$11,$D$12:$G$12,0))</f>
        <v>0</v>
      </c>
      <c r="AF14" s="163">
        <f ca="1">_xlfn.XLOOKUP(MAX(INT((OFFSET($C$12,$I14,MATCH($AD$11,$D$12:$G$12,0))-6)/10),1),组队产出!$B$25:$B$39,组队产出!$P$25:$P$39)*OFFSET($C$1,MATCH(AF$12,$C$2:$C$7,0),MATCH($AD$11,$D$12:$G$12,0))</f>
        <v>2164.8</v>
      </c>
      <c r="AG14" s="163">
        <f ca="1">竞技场!$G$3*OFFSET($C$1,MATCH(AG$12,$C$2:$C$7,0),MATCH($AD$11,$D$12:$G$12,0))</f>
        <v>3150</v>
      </c>
      <c r="AH1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" s="23">
        <f>任务!$G$6+任务!$G$9+IF(MOD(AC14,7)=0,任务!$N$9+任务!$O$6,0)</f>
        <v>895</v>
      </c>
      <c r="AJ14" s="25">
        <f>公会!$U$11</f>
        <v>2766.62857142857</v>
      </c>
      <c r="AK14" s="163">
        <f ca="1">_xlfn.XLOOKUP(OFFSET($C$12,$I14,MATCH($AD$11,$D$12:$G$12,0)),巡逻产出!$B$311:$B$610,巡逻产出!$Q$311:$Q$610)*OFFSET($C$1,MATCH(AK$12,$C$2:$C$7,0),MATCH($AD$11,$D$12:$G$12,0))</f>
        <v>2085.408</v>
      </c>
      <c r="AM14" s="164">
        <v>2</v>
      </c>
      <c r="AN14" s="165">
        <v>396</v>
      </c>
      <c r="AO14" s="165">
        <v>564</v>
      </c>
      <c r="AP14" s="165">
        <v>801</v>
      </c>
      <c r="AQ14" s="165">
        <v>948</v>
      </c>
    </row>
    <row r="15" spans="1:43">
      <c r="C15" s="160">
        <v>3</v>
      </c>
      <c r="D15" s="161">
        <v>27</v>
      </c>
      <c r="E15" s="162">
        <v>25</v>
      </c>
      <c r="F15" s="163">
        <f t="shared" si="2"/>
        <v>30</v>
      </c>
      <c r="G15" s="163">
        <f t="shared" si="1"/>
        <v>40</v>
      </c>
      <c r="I15" s="160">
        <v>3</v>
      </c>
      <c r="J15" s="163">
        <f ca="1">_xlfn.XLOOKUP(OFFSET($C$12,$I15,MATCH($J$11,$D$12:$G$12,0)),主线推图!$B$313:$B$612,主线推图!$P$313:$P$612)*OFFSET($C$1,MATCH(J$12,$C$2:$C$7,0),MATCH($J$11,$D$12:$G$12,0))</f>
        <v>1359</v>
      </c>
      <c r="K15" s="163">
        <f ca="1">_xlfn.XLOOKUP(OFFSET($C$12,$I15,MATCH($J$11,$D$12:$G$12,0)),巡逻产出!$B$311:$B$610,巡逻产出!$R$311:$R$610)*OFFSET($C$1,MATCH(K$12,$C$2:$C$7,0),MATCH($J$11,$D$12:$G$12,0))</f>
        <v>609.75</v>
      </c>
      <c r="L15" s="163">
        <f ca="1">_xlfn.XLOOKUP(MAX(INT((OFFSET($C$12,$I15,MATCH($J$11,$D$12:$G$12,0))-6)/10),1),组队产出!$B$25:$B$39,组队产出!$P$25:$P$39)*OFFSET($C$1,MATCH(L$12,$C$2:$C$7,0),MATCH($J$11,$D$12:$G$12,0))</f>
        <v>1076.4</v>
      </c>
      <c r="M15" s="163">
        <f ca="1">竞技场!$G$3*OFFSET($C$1,MATCH(M$12,$C$2:$C$7,0),MATCH($J$11,$D$12:$G$12,0))</f>
        <v>1050</v>
      </c>
      <c r="N1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" s="23">
        <f>任务!$G$6+任务!$G$9+IF(MOD(I15,7)=0,任务!$N$9+任务!$O$6,0)</f>
        <v>895</v>
      </c>
      <c r="P15" s="25">
        <f>公会!$U$11</f>
        <v>2766.62857142857</v>
      </c>
      <c r="Q15" s="163">
        <f ca="1">_xlfn.XLOOKUP(OFFSET($C$12,$I15,MATCH($J$11,$D$12:$G$12,0)),巡逻产出!$B$311:$B$610,巡逻产出!$Q$311:$Q$610)*OFFSET($C$1,MATCH(Q$12,$C$2:$C$7,0),MATCH($J$11,$D$12:$G$12,0))</f>
        <v>1586.16</v>
      </c>
      <c r="S15" s="160">
        <v>3</v>
      </c>
      <c r="T15" s="163">
        <f ca="1">_xlfn.XLOOKUP(OFFSET($C$12,$I15,MATCH($T$11,$D$12:$G$12,0)),主线推图!$B$313:$B$612,主线推图!$P$313:$P$612)*OFFSET($C$1,MATCH(T$12,$C$2:$C$7,0),MATCH($T$11,$D$12:$G$12,0))</f>
        <v>2053.5</v>
      </c>
      <c r="U15" s="163">
        <f ca="1">_xlfn.XLOOKUP(OFFSET($C$12,$I15,MATCH($T$11,$D$12:$G$12,0)),巡逻产出!$B$311:$B$610,巡逻产出!$R$311:$R$610)*OFFSET($C$1,MATCH(U$12,$C$2:$C$7,0),MATCH($T$11,$D$12:$G$12,0))</f>
        <v>1836.75</v>
      </c>
      <c r="V15" s="163">
        <f ca="1">_xlfn.XLOOKUP(MAX(INT((OFFSET($C$12,$I15,MATCH($T$11,$D$12:$G$12,0))-6)/10),1),组队产出!$B$25:$B$39,组队产出!$P$25:$P$39)*OFFSET($C$1,MATCH(V$12,$C$2:$C$7,0),MATCH($T$11,$D$12:$G$12,0))</f>
        <v>2164.8</v>
      </c>
      <c r="W15" s="163">
        <f ca="1">竞技场!$G$3*OFFSET($C$1,MATCH(W$12,$C$2:$C$7,0),MATCH($T$11,$D$12:$G$12,0))</f>
        <v>2100</v>
      </c>
      <c r="X1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" s="23">
        <f>任务!$G$6+任务!$G$9+IF(MOD(S15,7)=0,任务!$N$9+任务!$O$6,0)</f>
        <v>895</v>
      </c>
      <c r="Z15" s="25">
        <f>公会!$U$11</f>
        <v>2766.62857142857</v>
      </c>
      <c r="AA15" s="163">
        <f ca="1">_xlfn.XLOOKUP(OFFSET($C$12,$I15,MATCH($T$11,$D$12:$G$12,0)),巡逻产出!$B$311:$B$610,巡逻产出!$Q$311:$Q$610)*OFFSET($C$1,MATCH(AA$12,$C$2:$C$7,0),MATCH($T$11,$D$12:$G$12,0))</f>
        <v>2077.608</v>
      </c>
      <c r="AC15" s="160">
        <v>3</v>
      </c>
      <c r="AD15" s="163">
        <f ca="1">_xlfn.XLOOKUP(OFFSET($C$12,$I15,MATCH($AD$11,$D$12:$G$12,0)),主线推图!$B$313:$B$612,主线推图!$P$313:$P$612)*OFFSET($C$1,MATCH(AD$12,$C$2:$C$7,0),MATCH($AD$11,$D$12:$G$12,0))</f>
        <v>3033.8</v>
      </c>
      <c r="AE15" s="163">
        <f ca="1">_xlfn.XLOOKUP(OFFSET($C$12,$I15,MATCH($AD$11,$D$12:$G$12,0)),巡逻产出!$B$311:$B$610,巡逻产出!$R$311:$R$610)*OFFSET($C$1,MATCH(AE$12,$C$2:$C$7,0),MATCH($AD$11,$D$12:$G$12,0))</f>
        <v>0</v>
      </c>
      <c r="AF15" s="163">
        <f ca="1">_xlfn.XLOOKUP(MAX(INT((OFFSET($C$12,$I15,MATCH($AD$11,$D$12:$G$12,0))-6)/10),1),组队产出!$B$25:$B$39,组队产出!$P$25:$P$39)*OFFSET($C$1,MATCH(AF$12,$C$2:$C$7,0),MATCH($AD$11,$D$12:$G$12,0))</f>
        <v>2176.8</v>
      </c>
      <c r="AG15" s="163">
        <f ca="1">竞技场!$G$3*OFFSET($C$1,MATCH(AG$12,$C$2:$C$7,0),MATCH($AD$11,$D$12:$G$12,0))</f>
        <v>3150</v>
      </c>
      <c r="AH1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" s="23">
        <f>任务!$G$6+任务!$G$9+IF(MOD(AC15,7)=0,任务!$N$9+任务!$O$6,0)</f>
        <v>895</v>
      </c>
      <c r="AJ15" s="25">
        <f>公会!$U$11</f>
        <v>2766.62857142857</v>
      </c>
      <c r="AK15" s="163">
        <f ca="1">_xlfn.XLOOKUP(OFFSET($C$12,$I15,MATCH($AD$11,$D$12:$G$12,0)),巡逻产出!$B$311:$B$610,巡逻产出!$Q$311:$Q$610)*OFFSET($C$1,MATCH(AK$12,$C$2:$C$7,0),MATCH($AD$11,$D$12:$G$12,0))</f>
        <v>2093.208</v>
      </c>
      <c r="AM15" s="164">
        <v>3</v>
      </c>
      <c r="AN15" s="165">
        <v>625</v>
      </c>
      <c r="AO15" s="165">
        <v>768</v>
      </c>
      <c r="AP15" s="165">
        <v>1090</v>
      </c>
      <c r="AQ15" s="165">
        <v>1311</v>
      </c>
    </row>
    <row r="16" spans="1:43">
      <c r="C16" s="160">
        <v>4</v>
      </c>
      <c r="D16" s="161">
        <v>35</v>
      </c>
      <c r="E16" s="162">
        <v>30</v>
      </c>
      <c r="F16" s="163">
        <f t="shared" si="2"/>
        <v>35</v>
      </c>
      <c r="G16" s="163">
        <f t="shared" si="1"/>
        <v>46</v>
      </c>
      <c r="I16" s="160">
        <v>4</v>
      </c>
      <c r="J16" s="163">
        <f ca="1">_xlfn.XLOOKUP(OFFSET($C$12,$I16,MATCH($J$11,$D$12:$G$12,0)),主线推图!$B$313:$B$612,主线推图!$P$313:$P$612)*OFFSET($C$1,MATCH(J$12,$C$2:$C$7,0),MATCH($J$11,$D$12:$G$12,0))</f>
        <v>1364</v>
      </c>
      <c r="K16" s="163">
        <f ca="1">_xlfn.XLOOKUP(OFFSET($C$12,$I16,MATCH($J$11,$D$12:$G$12,0)),巡逻产出!$B$311:$B$610,巡逻产出!$R$311:$R$610)*OFFSET($C$1,MATCH(K$12,$C$2:$C$7,0),MATCH($J$11,$D$12:$G$12,0))</f>
        <v>611</v>
      </c>
      <c r="L16" s="163">
        <f ca="1">_xlfn.XLOOKUP(MAX(INT((OFFSET($C$12,$I16,MATCH($J$11,$D$12:$G$12,0))-6)/10),1),组队产出!$B$25:$B$39,组队产出!$P$25:$P$39)*OFFSET($C$1,MATCH(L$12,$C$2:$C$7,0),MATCH($J$11,$D$12:$G$12,0))</f>
        <v>1076.4</v>
      </c>
      <c r="M16" s="163">
        <f ca="1">竞技场!$G$3*OFFSET($C$1,MATCH(M$12,$C$2:$C$7,0),MATCH($J$11,$D$12:$G$12,0))</f>
        <v>1050</v>
      </c>
      <c r="N1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" s="23">
        <f>任务!$G$6+任务!$G$9+IF(MOD(I16,7)=0,任务!$N$9+任务!$O$6,0)</f>
        <v>895</v>
      </c>
      <c r="P16" s="25">
        <f>公会!$U$11</f>
        <v>2766.62857142857</v>
      </c>
      <c r="Q16" s="163">
        <f ca="1">_xlfn.XLOOKUP(OFFSET($C$12,$I16,MATCH($J$11,$D$12:$G$12,0)),巡逻产出!$B$311:$B$610,巡逻产出!$Q$311:$Q$610)*OFFSET($C$1,MATCH(Q$12,$C$2:$C$7,0),MATCH($J$11,$D$12:$G$12,0))</f>
        <v>1592.16</v>
      </c>
      <c r="S16" s="160">
        <v>4</v>
      </c>
      <c r="T16" s="163">
        <f ca="1">_xlfn.XLOOKUP(OFFSET($C$12,$I16,MATCH($T$11,$D$12:$G$12,0)),主线推图!$B$313:$B$612,主线推图!$P$313:$P$612)*OFFSET($C$1,MATCH(T$12,$C$2:$C$7,0),MATCH($T$11,$D$12:$G$12,0))</f>
        <v>2061</v>
      </c>
      <c r="U16" s="163">
        <f ca="1">_xlfn.XLOOKUP(OFFSET($C$12,$I16,MATCH($T$11,$D$12:$G$12,0)),巡逻产出!$B$311:$B$610,巡逻产出!$R$311:$R$610)*OFFSET($C$1,MATCH(U$12,$C$2:$C$7,0),MATCH($T$11,$D$12:$G$12,0))</f>
        <v>1840.5</v>
      </c>
      <c r="V16" s="163">
        <f ca="1">_xlfn.XLOOKUP(MAX(INT((OFFSET($C$12,$I16,MATCH($T$11,$D$12:$G$12,0))-6)/10),1),组队产出!$B$25:$B$39,组队产出!$P$25:$P$39)*OFFSET($C$1,MATCH(V$12,$C$2:$C$7,0),MATCH($T$11,$D$12:$G$12,0))</f>
        <v>2164.8</v>
      </c>
      <c r="W16" s="163">
        <f ca="1">竞技场!$G$3*OFFSET($C$1,MATCH(W$12,$C$2:$C$7,0),MATCH($T$11,$D$12:$G$12,0))</f>
        <v>2100</v>
      </c>
      <c r="X1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" s="23">
        <f>任务!$G$6+任务!$G$9+IF(MOD(S16,7)=0,任务!$N$9+任务!$O$6,0)</f>
        <v>895</v>
      </c>
      <c r="Z16" s="25">
        <f>公会!$U$11</f>
        <v>2766.62857142857</v>
      </c>
      <c r="AA16" s="163">
        <f ca="1">_xlfn.XLOOKUP(OFFSET($C$12,$I16,MATCH($T$11,$D$12:$G$12,0)),巡逻产出!$B$311:$B$610,巡逻产出!$Q$311:$Q$610)*OFFSET($C$1,MATCH(AA$12,$C$2:$C$7,0),MATCH($T$11,$D$12:$G$12,0))</f>
        <v>2085.408</v>
      </c>
      <c r="AC16" s="160">
        <v>4</v>
      </c>
      <c r="AD16" s="163">
        <f ca="1">_xlfn.XLOOKUP(OFFSET($C$12,$I16,MATCH($AD$11,$D$12:$G$12,0)),主线推图!$B$313:$B$612,主线推图!$P$313:$P$612)*OFFSET($C$1,MATCH(AD$12,$C$2:$C$7,0),MATCH($AD$11,$D$12:$G$12,0))</f>
        <v>3047</v>
      </c>
      <c r="AE16" s="163">
        <f ca="1">_xlfn.XLOOKUP(OFFSET($C$12,$I16,MATCH($AD$11,$D$12:$G$12,0)),巡逻产出!$B$311:$B$610,巡逻产出!$R$311:$R$610)*OFFSET($C$1,MATCH(AE$12,$C$2:$C$7,0),MATCH($AD$11,$D$12:$G$12,0))</f>
        <v>0</v>
      </c>
      <c r="AF16" s="163">
        <f ca="1">_xlfn.XLOOKUP(MAX(INT((OFFSET($C$12,$I16,MATCH($AD$11,$D$12:$G$12,0))-6)/10),1),组队产出!$B$25:$B$39,组队产出!$P$25:$P$39)*OFFSET($C$1,MATCH(AF$12,$C$2:$C$7,0),MATCH($AD$11,$D$12:$G$12,0))</f>
        <v>2188.8</v>
      </c>
      <c r="AG16" s="163">
        <f ca="1">竞技场!$G$3*OFFSET($C$1,MATCH(AG$12,$C$2:$C$7,0),MATCH($AD$11,$D$12:$G$12,0))</f>
        <v>3150</v>
      </c>
      <c r="AH1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" s="23">
        <f>任务!$G$6+任务!$G$9+IF(MOD(AC16,7)=0,任务!$N$9+任务!$O$6,0)</f>
        <v>895</v>
      </c>
      <c r="AJ16" s="25">
        <f>公会!$U$11</f>
        <v>2766.62857142857</v>
      </c>
      <c r="AK16" s="163">
        <f ca="1">_xlfn.XLOOKUP(OFFSET($C$12,$I16,MATCH($AD$11,$D$12:$G$12,0)),巡逻产出!$B$311:$B$610,巡逻产出!$Q$311:$Q$610)*OFFSET($C$1,MATCH(AK$12,$C$2:$C$7,0),MATCH($AD$11,$D$12:$G$12,0))</f>
        <v>2102.568</v>
      </c>
      <c r="AM16" s="164">
        <v>4</v>
      </c>
      <c r="AN16" s="165">
        <v>882</v>
      </c>
      <c r="AO16" s="165">
        <v>1054</v>
      </c>
      <c r="AP16" s="165">
        <v>1478</v>
      </c>
      <c r="AQ16" s="165">
        <v>1772</v>
      </c>
    </row>
    <row r="17" spans="3:43">
      <c r="C17" s="160">
        <v>5</v>
      </c>
      <c r="D17" s="161">
        <v>39</v>
      </c>
      <c r="E17" s="162">
        <v>35</v>
      </c>
      <c r="F17" s="163">
        <f t="shared" si="2"/>
        <v>40</v>
      </c>
      <c r="G17" s="163">
        <f t="shared" si="1"/>
        <v>55</v>
      </c>
      <c r="I17" s="160">
        <v>5</v>
      </c>
      <c r="J17" s="163">
        <f ca="1">_xlfn.XLOOKUP(OFFSET($C$12,$I17,MATCH($J$11,$D$12:$G$12,0)),主线推图!$B$313:$B$612,主线推图!$P$313:$P$612)*OFFSET($C$1,MATCH(J$12,$C$2:$C$7,0),MATCH($J$11,$D$12:$G$12,0))</f>
        <v>1369</v>
      </c>
      <c r="K17" s="163">
        <f ca="1">_xlfn.XLOOKUP(OFFSET($C$12,$I17,MATCH($J$11,$D$12:$G$12,0)),巡逻产出!$B$311:$B$610,巡逻产出!$R$311:$R$610)*OFFSET($C$1,MATCH(K$12,$C$2:$C$7,0),MATCH($J$11,$D$12:$G$12,0))</f>
        <v>612.25</v>
      </c>
      <c r="L17" s="163">
        <f ca="1">_xlfn.XLOOKUP(MAX(INT((OFFSET($C$12,$I17,MATCH($J$11,$D$12:$G$12,0))-6)/10),1),组队产出!$B$25:$B$39,组队产出!$P$25:$P$39)*OFFSET($C$1,MATCH(L$12,$C$2:$C$7,0),MATCH($J$11,$D$12:$G$12,0))</f>
        <v>1082.4</v>
      </c>
      <c r="M17" s="163">
        <f ca="1">竞技场!$G$3*OFFSET($C$1,MATCH(M$12,$C$2:$C$7,0),MATCH($J$11,$D$12:$G$12,0))</f>
        <v>1050</v>
      </c>
      <c r="N1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" s="23">
        <f>任务!$G$6+任务!$G$9+IF(MOD(I17,7)=0,任务!$N$9+任务!$O$6,0)</f>
        <v>895</v>
      </c>
      <c r="P17" s="25">
        <f>公会!$U$11</f>
        <v>2766.62857142857</v>
      </c>
      <c r="Q17" s="163">
        <f ca="1">_xlfn.XLOOKUP(OFFSET($C$12,$I17,MATCH($J$11,$D$12:$G$12,0)),巡逻产出!$B$311:$B$610,巡逻产出!$Q$311:$Q$610)*OFFSET($C$1,MATCH(Q$12,$C$2:$C$7,0),MATCH($J$11,$D$12:$G$12,0))</f>
        <v>1598.16</v>
      </c>
      <c r="S17" s="160">
        <v>5</v>
      </c>
      <c r="T17" s="163">
        <f ca="1">_xlfn.XLOOKUP(OFFSET($C$12,$I17,MATCH($T$11,$D$12:$G$12,0)),主线推图!$B$313:$B$612,主线推图!$P$313:$P$612)*OFFSET($C$1,MATCH(T$12,$C$2:$C$7,0),MATCH($T$11,$D$12:$G$12,0))</f>
        <v>2068.5</v>
      </c>
      <c r="U17" s="163">
        <f ca="1">_xlfn.XLOOKUP(OFFSET($C$12,$I17,MATCH($T$11,$D$12:$G$12,0)),巡逻产出!$B$311:$B$610,巡逻产出!$R$311:$R$610)*OFFSET($C$1,MATCH(U$12,$C$2:$C$7,0),MATCH($T$11,$D$12:$G$12,0))</f>
        <v>1844.25</v>
      </c>
      <c r="V17" s="163">
        <f ca="1">_xlfn.XLOOKUP(MAX(INT((OFFSET($C$12,$I17,MATCH($T$11,$D$12:$G$12,0))-6)/10),1),组队产出!$B$25:$B$39,组队产出!$P$25:$P$39)*OFFSET($C$1,MATCH(V$12,$C$2:$C$7,0),MATCH($T$11,$D$12:$G$12,0))</f>
        <v>2176.8</v>
      </c>
      <c r="W17" s="163">
        <f ca="1">竞技场!$G$3*OFFSET($C$1,MATCH(W$12,$C$2:$C$7,0),MATCH($T$11,$D$12:$G$12,0))</f>
        <v>2100</v>
      </c>
      <c r="X1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" s="23">
        <f>任务!$G$6+任务!$G$9+IF(MOD(S17,7)=0,任务!$N$9+任务!$O$6,0)</f>
        <v>895</v>
      </c>
      <c r="Z17" s="25">
        <f>公会!$U$11</f>
        <v>2766.62857142857</v>
      </c>
      <c r="AA17" s="163">
        <f ca="1">_xlfn.XLOOKUP(OFFSET($C$12,$I17,MATCH($T$11,$D$12:$G$12,0)),巡逻产出!$B$311:$B$610,巡逻产出!$Q$311:$Q$610)*OFFSET($C$1,MATCH(AA$12,$C$2:$C$7,0),MATCH($T$11,$D$12:$G$12,0))</f>
        <v>2093.208</v>
      </c>
      <c r="AC17" s="160">
        <v>5</v>
      </c>
      <c r="AD17" s="163">
        <f ca="1">_xlfn.XLOOKUP(OFFSET($C$12,$I17,MATCH($AD$11,$D$12:$G$12,0)),主线推图!$B$313:$B$612,主线推图!$P$313:$P$612)*OFFSET($C$1,MATCH(AD$12,$C$2:$C$7,0),MATCH($AD$11,$D$12:$G$12,0))</f>
        <v>3066.8</v>
      </c>
      <c r="AE17" s="163">
        <f ca="1">_xlfn.XLOOKUP(OFFSET($C$12,$I17,MATCH($AD$11,$D$12:$G$12,0)),巡逻产出!$B$311:$B$610,巡逻产出!$R$311:$R$610)*OFFSET($C$1,MATCH(AE$12,$C$2:$C$7,0),MATCH($AD$11,$D$12:$G$12,0))</f>
        <v>0</v>
      </c>
      <c r="AF17" s="163">
        <f ca="1">_xlfn.XLOOKUP(MAX(INT((OFFSET($C$12,$I17,MATCH($AD$11,$D$12:$G$12,0))-6)/10),1),组队产出!$B$25:$B$39,组队产出!$P$25:$P$39)*OFFSET($C$1,MATCH(AF$12,$C$2:$C$7,0),MATCH($AD$11,$D$12:$G$12,0))</f>
        <v>2188.8</v>
      </c>
      <c r="AG17" s="163">
        <f ca="1">竞技场!$G$3*OFFSET($C$1,MATCH(AG$12,$C$2:$C$7,0),MATCH($AD$11,$D$12:$G$12,0))</f>
        <v>3150</v>
      </c>
      <c r="AH1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" s="23">
        <f>任务!$G$6+任务!$G$9+IF(MOD(AC17,7)=0,任务!$N$9+任务!$O$6,0)</f>
        <v>895</v>
      </c>
      <c r="AJ17" s="25">
        <f>公会!$U$11</f>
        <v>2766.62857142857</v>
      </c>
      <c r="AK17" s="163">
        <f ca="1">_xlfn.XLOOKUP(OFFSET($C$12,$I17,MATCH($AD$11,$D$12:$G$12,0)),巡逻产出!$B$311:$B$610,巡逻产出!$Q$311:$Q$610)*OFFSET($C$1,MATCH(AK$12,$C$2:$C$7,0),MATCH($AD$11,$D$12:$G$12,0))</f>
        <v>2116.608</v>
      </c>
      <c r="AM17" s="164">
        <v>5</v>
      </c>
      <c r="AN17" s="165">
        <v>1045</v>
      </c>
      <c r="AO17" s="165">
        <v>1247</v>
      </c>
      <c r="AP17" s="165">
        <v>1761</v>
      </c>
      <c r="AQ17" s="165">
        <v>2130</v>
      </c>
    </row>
    <row r="18" spans="3:43">
      <c r="C18" s="160">
        <v>6</v>
      </c>
      <c r="D18" s="161">
        <v>40</v>
      </c>
      <c r="E18" s="162">
        <v>40</v>
      </c>
      <c r="F18" s="163">
        <f t="shared" si="2"/>
        <v>46</v>
      </c>
      <c r="G18" s="163">
        <f t="shared" si="1"/>
        <v>57</v>
      </c>
      <c r="I18" s="160">
        <v>6</v>
      </c>
      <c r="J18" s="163">
        <f ca="1">_xlfn.XLOOKUP(OFFSET($C$12,$I18,MATCH($J$11,$D$12:$G$12,0)),主线推图!$B$313:$B$612,主线推图!$P$313:$P$612)*OFFSET($C$1,MATCH(J$12,$C$2:$C$7,0),MATCH($J$11,$D$12:$G$12,0))</f>
        <v>1374</v>
      </c>
      <c r="K18" s="163">
        <f ca="1">_xlfn.XLOOKUP(OFFSET($C$12,$I18,MATCH($J$11,$D$12:$G$12,0)),巡逻产出!$B$311:$B$610,巡逻产出!$R$311:$R$610)*OFFSET($C$1,MATCH(K$12,$C$2:$C$7,0),MATCH($J$11,$D$12:$G$12,0))</f>
        <v>613.5</v>
      </c>
      <c r="L18" s="163">
        <f ca="1">_xlfn.XLOOKUP(MAX(INT((OFFSET($C$12,$I18,MATCH($J$11,$D$12:$G$12,0))-6)/10),1),组队产出!$B$25:$B$39,组队产出!$P$25:$P$39)*OFFSET($C$1,MATCH(L$12,$C$2:$C$7,0),MATCH($J$11,$D$12:$G$12,0))</f>
        <v>1082.4</v>
      </c>
      <c r="M18" s="163">
        <f ca="1">竞技场!$G$3*OFFSET($C$1,MATCH(M$12,$C$2:$C$7,0),MATCH($J$11,$D$12:$G$12,0))</f>
        <v>1050</v>
      </c>
      <c r="N1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" s="23">
        <f>任务!$G$6+任务!$G$9+IF(MOD(I18,7)=0,任务!$N$9+任务!$O$6,0)</f>
        <v>895</v>
      </c>
      <c r="P18" s="25">
        <f>公会!$U$11</f>
        <v>2766.62857142857</v>
      </c>
      <c r="Q18" s="163">
        <f ca="1">_xlfn.XLOOKUP(OFFSET($C$12,$I18,MATCH($J$11,$D$12:$G$12,0)),巡逻产出!$B$311:$B$610,巡逻产出!$Q$311:$Q$610)*OFFSET($C$1,MATCH(Q$12,$C$2:$C$7,0),MATCH($J$11,$D$12:$G$12,0))</f>
        <v>1604.16</v>
      </c>
      <c r="S18" s="160">
        <v>6</v>
      </c>
      <c r="T18" s="163">
        <f ca="1">_xlfn.XLOOKUP(OFFSET($C$12,$I18,MATCH($T$11,$D$12:$G$12,0)),主线推图!$B$313:$B$612,主线推图!$P$313:$P$612)*OFFSET($C$1,MATCH(T$12,$C$2:$C$7,0),MATCH($T$11,$D$12:$G$12,0))</f>
        <v>2077.5</v>
      </c>
      <c r="U18" s="163">
        <f ca="1">_xlfn.XLOOKUP(OFFSET($C$12,$I18,MATCH($T$11,$D$12:$G$12,0)),巡逻产出!$B$311:$B$610,巡逻产出!$R$311:$R$610)*OFFSET($C$1,MATCH(U$12,$C$2:$C$7,0),MATCH($T$11,$D$12:$G$12,0))</f>
        <v>1848.75</v>
      </c>
      <c r="V18" s="163">
        <f ca="1">_xlfn.XLOOKUP(MAX(INT((OFFSET($C$12,$I18,MATCH($T$11,$D$12:$G$12,0))-6)/10),1),组队产出!$B$25:$B$39,组队产出!$P$25:$P$39)*OFFSET($C$1,MATCH(V$12,$C$2:$C$7,0),MATCH($T$11,$D$12:$G$12,0))</f>
        <v>2188.8</v>
      </c>
      <c r="W18" s="163">
        <f ca="1">竞技场!$G$3*OFFSET($C$1,MATCH(W$12,$C$2:$C$7,0),MATCH($T$11,$D$12:$G$12,0))</f>
        <v>2100</v>
      </c>
      <c r="X1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" s="23">
        <f>任务!$G$6+任务!$G$9+IF(MOD(S18,7)=0,任务!$N$9+任务!$O$6,0)</f>
        <v>895</v>
      </c>
      <c r="Z18" s="25">
        <f>公会!$U$11</f>
        <v>2766.62857142857</v>
      </c>
      <c r="AA18" s="163">
        <f ca="1">_xlfn.XLOOKUP(OFFSET($C$12,$I18,MATCH($T$11,$D$12:$G$12,0)),巡逻产出!$B$311:$B$610,巡逻产出!$Q$311:$Q$610)*OFFSET($C$1,MATCH(AA$12,$C$2:$C$7,0),MATCH($T$11,$D$12:$G$12,0))</f>
        <v>2102.568</v>
      </c>
      <c r="AC18" s="160">
        <v>6</v>
      </c>
      <c r="AD18" s="163">
        <f ca="1">_xlfn.XLOOKUP(OFFSET($C$12,$I18,MATCH($AD$11,$D$12:$G$12,0)),主线推图!$B$313:$B$612,主线推图!$P$313:$P$612)*OFFSET($C$1,MATCH(AD$12,$C$2:$C$7,0),MATCH($AD$11,$D$12:$G$12,0))</f>
        <v>3071.2</v>
      </c>
      <c r="AE18" s="163">
        <f ca="1">_xlfn.XLOOKUP(OFFSET($C$12,$I18,MATCH($AD$11,$D$12:$G$12,0)),巡逻产出!$B$311:$B$610,巡逻产出!$R$311:$R$610)*OFFSET($C$1,MATCH(AE$12,$C$2:$C$7,0),MATCH($AD$11,$D$12:$G$12,0))</f>
        <v>0</v>
      </c>
      <c r="AF18" s="163">
        <f ca="1">_xlfn.XLOOKUP(MAX(INT((OFFSET($C$12,$I18,MATCH($AD$11,$D$12:$G$12,0))-6)/10),1),组队产出!$B$25:$B$39,组队产出!$P$25:$P$39)*OFFSET($C$1,MATCH(AF$12,$C$2:$C$7,0),MATCH($AD$11,$D$12:$G$12,0))</f>
        <v>2200.8</v>
      </c>
      <c r="AG18" s="163">
        <f ca="1">竞技场!$G$3*OFFSET($C$1,MATCH(AG$12,$C$2:$C$7,0),MATCH($AD$11,$D$12:$G$12,0))</f>
        <v>3150</v>
      </c>
      <c r="AH1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" s="23">
        <f>任务!$G$6+任务!$G$9+IF(MOD(AC18,7)=0,任务!$N$9+任务!$O$6,0)</f>
        <v>895</v>
      </c>
      <c r="AJ18" s="25">
        <f>公会!$U$11</f>
        <v>2766.62857142857</v>
      </c>
      <c r="AK18" s="163">
        <f ca="1">_xlfn.XLOOKUP(OFFSET($C$12,$I18,MATCH($AD$11,$D$12:$G$12,0)),巡逻产出!$B$311:$B$610,巡逻产出!$Q$311:$Q$610)*OFFSET($C$1,MATCH(AK$12,$C$2:$C$7,0),MATCH($AD$11,$D$12:$G$12,0))</f>
        <v>2119.728</v>
      </c>
      <c r="AM18" s="164">
        <v>6</v>
      </c>
      <c r="AN18" s="165">
        <v>1208</v>
      </c>
      <c r="AO18" s="165">
        <v>1439</v>
      </c>
      <c r="AP18" s="165">
        <v>2039</v>
      </c>
      <c r="AQ18" s="165">
        <v>2481</v>
      </c>
    </row>
    <row r="19" spans="3:43">
      <c r="C19" s="160">
        <v>7</v>
      </c>
      <c r="D19" s="161">
        <v>44</v>
      </c>
      <c r="E19" s="162">
        <v>46</v>
      </c>
      <c r="F19" s="163">
        <v>55</v>
      </c>
      <c r="G19" s="163">
        <f t="shared" si="1"/>
        <v>60</v>
      </c>
      <c r="I19" s="160">
        <v>7</v>
      </c>
      <c r="J19" s="163">
        <f ca="1">_xlfn.XLOOKUP(OFFSET($C$12,$I19,MATCH($J$11,$D$12:$G$12,0)),主线推图!$B$313:$B$612,主线推图!$P$313:$P$612)*OFFSET($C$1,MATCH(J$12,$C$2:$C$7,0),MATCH($J$11,$D$12:$G$12,0))</f>
        <v>1379</v>
      </c>
      <c r="K19" s="163">
        <f ca="1">_xlfn.XLOOKUP(OFFSET($C$12,$I19,MATCH($J$11,$D$12:$G$12,0)),巡逻产出!$B$311:$B$610,巡逻产出!$R$311:$R$610)*OFFSET($C$1,MATCH(K$12,$C$2:$C$7,0),MATCH($J$11,$D$12:$G$12,0))</f>
        <v>614.75</v>
      </c>
      <c r="L19" s="163">
        <f ca="1">_xlfn.XLOOKUP(MAX(INT((OFFSET($C$12,$I19,MATCH($J$11,$D$12:$G$12,0))-6)/10),1),组队产出!$B$25:$B$39,组队产出!$P$25:$P$39)*OFFSET($C$1,MATCH(L$12,$C$2:$C$7,0),MATCH($J$11,$D$12:$G$12,0))</f>
        <v>1088.4</v>
      </c>
      <c r="M19" s="163">
        <f ca="1">竞技场!$G$3*OFFSET($C$1,MATCH(M$12,$C$2:$C$7,0),MATCH($J$11,$D$12:$G$12,0))</f>
        <v>1050</v>
      </c>
      <c r="N1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" s="23">
        <f>任务!$G$6+任务!$G$9+IF(MOD(I19,7)=0,任务!$N$9+任务!$O$6,0)</f>
        <v>3125</v>
      </c>
      <c r="P19" s="25">
        <f>公会!$U$11</f>
        <v>2766.62857142857</v>
      </c>
      <c r="Q19" s="163">
        <f ca="1">_xlfn.XLOOKUP(OFFSET($C$12,$I19,MATCH($J$11,$D$12:$G$12,0)),巡逻产出!$B$311:$B$610,巡逻产出!$Q$311:$Q$610)*OFFSET($C$1,MATCH(Q$12,$C$2:$C$7,0),MATCH($J$11,$D$12:$G$12,0))</f>
        <v>1610.16</v>
      </c>
      <c r="S19" s="160">
        <v>7</v>
      </c>
      <c r="T19" s="163">
        <f ca="1">_xlfn.XLOOKUP(OFFSET($C$12,$I19,MATCH($T$11,$D$12:$G$12,0)),主线推图!$B$313:$B$612,主线推图!$P$313:$P$612)*OFFSET($C$1,MATCH(T$12,$C$2:$C$7,0),MATCH($T$11,$D$12:$G$12,0))</f>
        <v>2091</v>
      </c>
      <c r="U19" s="163">
        <f ca="1">_xlfn.XLOOKUP(OFFSET($C$12,$I19,MATCH($T$11,$D$12:$G$12,0)),巡逻产出!$B$311:$B$610,巡逻产出!$R$311:$R$610)*OFFSET($C$1,MATCH(U$12,$C$2:$C$7,0),MATCH($T$11,$D$12:$G$12,0))</f>
        <v>1855.5</v>
      </c>
      <c r="V19" s="163">
        <f ca="1">_xlfn.XLOOKUP(MAX(INT((OFFSET($C$12,$I19,MATCH($T$11,$D$12:$G$12,0))-6)/10),1),组队产出!$B$25:$B$39,组队产出!$P$25:$P$39)*OFFSET($C$1,MATCH(V$12,$C$2:$C$7,0),MATCH($T$11,$D$12:$G$12,0))</f>
        <v>2188.8</v>
      </c>
      <c r="W19" s="163">
        <f ca="1">竞技场!$G$3*OFFSET($C$1,MATCH(W$12,$C$2:$C$7,0),MATCH($T$11,$D$12:$G$12,0))</f>
        <v>2100</v>
      </c>
      <c r="X1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" s="23">
        <f>任务!$G$6+任务!$G$9+IF(MOD(S19,7)=0,任务!$N$9+任务!$O$6,0)</f>
        <v>3125</v>
      </c>
      <c r="Z19" s="25">
        <f>公会!$U$11</f>
        <v>2766.62857142857</v>
      </c>
      <c r="AA19" s="163">
        <f ca="1">_xlfn.XLOOKUP(OFFSET($C$12,$I19,MATCH($T$11,$D$12:$G$12,0)),巡逻产出!$B$311:$B$610,巡逻产出!$Q$311:$Q$610)*OFFSET($C$1,MATCH(AA$12,$C$2:$C$7,0),MATCH($T$11,$D$12:$G$12,0))</f>
        <v>2116.608</v>
      </c>
      <c r="AC19" s="160">
        <v>7</v>
      </c>
      <c r="AD19" s="163">
        <f ca="1">_xlfn.XLOOKUP(OFFSET($C$12,$I19,MATCH($AD$11,$D$12:$G$12,0)),主线推图!$B$313:$B$612,主线推图!$P$313:$P$612)*OFFSET($C$1,MATCH(AD$12,$C$2:$C$7,0),MATCH($AD$11,$D$12:$G$12,0))</f>
        <v>3077.8</v>
      </c>
      <c r="AE19" s="163">
        <f ca="1">_xlfn.XLOOKUP(OFFSET($C$12,$I19,MATCH($AD$11,$D$12:$G$12,0)),巡逻产出!$B$311:$B$610,巡逻产出!$R$311:$R$610)*OFFSET($C$1,MATCH(AE$12,$C$2:$C$7,0),MATCH($AD$11,$D$12:$G$12,0))</f>
        <v>0</v>
      </c>
      <c r="AF19" s="163">
        <f ca="1">_xlfn.XLOOKUP(MAX(INT((OFFSET($C$12,$I19,MATCH($AD$11,$D$12:$G$12,0))-6)/10),1),组队产出!$B$25:$B$39,组队产出!$P$25:$P$39)*OFFSET($C$1,MATCH(AF$12,$C$2:$C$7,0),MATCH($AD$11,$D$12:$G$12,0))</f>
        <v>2200.8</v>
      </c>
      <c r="AG19" s="163">
        <f ca="1">竞技场!$G$3*OFFSET($C$1,MATCH(AG$12,$C$2:$C$7,0),MATCH($AD$11,$D$12:$G$12,0))</f>
        <v>3150</v>
      </c>
      <c r="AH1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" s="23">
        <f>任务!$G$6+任务!$G$9+IF(MOD(AC19,7)=0,任务!$N$9+任务!$O$6,0)</f>
        <v>3125</v>
      </c>
      <c r="AJ19" s="25">
        <f>公会!$U$11</f>
        <v>2766.62857142857</v>
      </c>
      <c r="AK19" s="163">
        <f ca="1">_xlfn.XLOOKUP(OFFSET($C$12,$I19,MATCH($AD$11,$D$12:$G$12,0)),巡逻产出!$B$311:$B$610,巡逻产出!$Q$311:$Q$610)*OFFSET($C$1,MATCH(AK$12,$C$2:$C$7,0),MATCH($AD$11,$D$12:$G$12,0))</f>
        <v>2124.408</v>
      </c>
      <c r="AM19" s="164">
        <v>7</v>
      </c>
      <c r="AN19" s="165">
        <v>1481</v>
      </c>
      <c r="AO19" s="165">
        <v>1742</v>
      </c>
      <c r="AP19" s="165">
        <v>2427</v>
      </c>
      <c r="AQ19" s="165">
        <v>2943</v>
      </c>
    </row>
    <row r="20" spans="3:43">
      <c r="C20" s="160">
        <v>8</v>
      </c>
      <c r="D20" s="166">
        <v>46</v>
      </c>
      <c r="E20" s="167">
        <f>F19</f>
        <v>55</v>
      </c>
      <c r="F20" s="167">
        <v>57</v>
      </c>
      <c r="G20" s="167">
        <v>63</v>
      </c>
      <c r="I20" s="160">
        <v>8</v>
      </c>
      <c r="J20" s="163">
        <f ca="1">_xlfn.XLOOKUP(OFFSET($C$12,$I20,MATCH($J$11,$D$12:$G$12,0)),主线推图!$B$313:$B$612,主线推图!$P$313:$P$612)*OFFSET($C$1,MATCH(J$12,$C$2:$C$7,0),MATCH($J$11,$D$12:$G$12,0))</f>
        <v>1384</v>
      </c>
      <c r="K20" s="163">
        <f ca="1">_xlfn.XLOOKUP(OFFSET($C$12,$I20,MATCH($J$11,$D$12:$G$12,0)),巡逻产出!$B$311:$B$610,巡逻产出!$R$311:$R$610)*OFFSET($C$1,MATCH(K$12,$C$2:$C$7,0),MATCH($J$11,$D$12:$G$12,0))</f>
        <v>616</v>
      </c>
      <c r="L20" s="163">
        <f ca="1">_xlfn.XLOOKUP(MAX(INT((OFFSET($C$12,$I20,MATCH($J$11,$D$12:$G$12,0))-6)/10),1),组队产出!$B$25:$B$39,组队产出!$P$25:$P$39)*OFFSET($C$1,MATCH(L$12,$C$2:$C$7,0),MATCH($J$11,$D$12:$G$12,0))</f>
        <v>1088.4</v>
      </c>
      <c r="M20" s="163">
        <f ca="1">竞技场!$G$3*OFFSET($C$1,MATCH(M$12,$C$2:$C$7,0),MATCH($J$11,$D$12:$G$12,0))</f>
        <v>1050</v>
      </c>
      <c r="N2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" s="23">
        <f>任务!$G$6+任务!$G$9+IF(MOD(I20,7)=0,任务!$N$9+任务!$O$6,0)</f>
        <v>895</v>
      </c>
      <c r="P20" s="25">
        <f>公会!$U$11</f>
        <v>2766.62857142857</v>
      </c>
      <c r="Q20" s="163">
        <f ca="1">_xlfn.XLOOKUP(OFFSET($C$12,$I20,MATCH($J$11,$D$12:$G$12,0)),巡逻产出!$B$311:$B$610,巡逻产出!$Q$311:$Q$610)*OFFSET($C$1,MATCH(Q$12,$C$2:$C$7,0),MATCH($J$11,$D$12:$G$12,0))</f>
        <v>1616.16</v>
      </c>
      <c r="S20" s="160">
        <v>8</v>
      </c>
      <c r="T20" s="163">
        <f ca="1">_xlfn.XLOOKUP(OFFSET($C$12,$I20,MATCH($T$11,$D$12:$G$12,0)),主线推图!$B$313:$B$612,主线推图!$P$313:$P$612)*OFFSET($C$1,MATCH(T$12,$C$2:$C$7,0),MATCH($T$11,$D$12:$G$12,0))</f>
        <v>2094</v>
      </c>
      <c r="U20" s="163">
        <f ca="1">_xlfn.XLOOKUP(OFFSET($C$12,$I20,MATCH($T$11,$D$12:$G$12,0)),巡逻产出!$B$311:$B$610,巡逻产出!$R$311:$R$610)*OFFSET($C$1,MATCH(U$12,$C$2:$C$7,0),MATCH($T$11,$D$12:$G$12,0))</f>
        <v>1857</v>
      </c>
      <c r="V20" s="163">
        <f ca="1">_xlfn.XLOOKUP(MAX(INT((OFFSET($C$12,$I20,MATCH($T$11,$D$12:$G$12,0))-6)/10),1),组队产出!$B$25:$B$39,组队产出!$P$25:$P$39)*OFFSET($C$1,MATCH(V$12,$C$2:$C$7,0),MATCH($T$11,$D$12:$G$12,0))</f>
        <v>2200.8</v>
      </c>
      <c r="W20" s="163">
        <f ca="1">竞技场!$G$3*OFFSET($C$1,MATCH(W$12,$C$2:$C$7,0),MATCH($T$11,$D$12:$G$12,0))</f>
        <v>2100</v>
      </c>
      <c r="X2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" s="23">
        <f>任务!$G$6+任务!$G$9+IF(MOD(S20,7)=0,任务!$N$9+任务!$O$6,0)</f>
        <v>895</v>
      </c>
      <c r="Z20" s="25">
        <f>公会!$U$11</f>
        <v>2766.62857142857</v>
      </c>
      <c r="AA20" s="163">
        <f ca="1">_xlfn.XLOOKUP(OFFSET($C$12,$I20,MATCH($T$11,$D$12:$G$12,0)),巡逻产出!$B$311:$B$610,巡逻产出!$Q$311:$Q$610)*OFFSET($C$1,MATCH(AA$12,$C$2:$C$7,0),MATCH($T$11,$D$12:$G$12,0))</f>
        <v>2119.728</v>
      </c>
      <c r="AC20" s="160">
        <v>8</v>
      </c>
      <c r="AD20" s="163">
        <f ca="1">_xlfn.XLOOKUP(OFFSET($C$12,$I20,MATCH($AD$11,$D$12:$G$12,0)),主线推图!$B$313:$B$612,主线推图!$P$313:$P$612)*OFFSET($C$1,MATCH(AD$12,$C$2:$C$7,0),MATCH($AD$11,$D$12:$G$12,0))</f>
        <v>3084.4</v>
      </c>
      <c r="AE20" s="163">
        <f ca="1">_xlfn.XLOOKUP(OFFSET($C$12,$I20,MATCH($AD$11,$D$12:$G$12,0)),巡逻产出!$B$311:$B$610,巡逻产出!$R$311:$R$610)*OFFSET($C$1,MATCH(AE$12,$C$2:$C$7,0),MATCH($AD$11,$D$12:$G$12,0))</f>
        <v>0</v>
      </c>
      <c r="AF20" s="163">
        <f ca="1">_xlfn.XLOOKUP(MAX(INT((OFFSET($C$12,$I20,MATCH($AD$11,$D$12:$G$12,0))-6)/10),1),组队产出!$B$25:$B$39,组队产出!$P$25:$P$39)*OFFSET($C$1,MATCH(AF$12,$C$2:$C$7,0),MATCH($AD$11,$D$12:$G$12,0))</f>
        <v>2200.8</v>
      </c>
      <c r="AG20" s="163">
        <f ca="1">竞技场!$G$3*OFFSET($C$1,MATCH(AG$12,$C$2:$C$7,0),MATCH($AD$11,$D$12:$G$12,0))</f>
        <v>3150</v>
      </c>
      <c r="AH2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" s="23">
        <f>任务!$G$6+任务!$G$9+IF(MOD(AC20,7)=0,任务!$N$9+任务!$O$6,0)</f>
        <v>895</v>
      </c>
      <c r="AJ20" s="25">
        <f>公会!$U$11</f>
        <v>2766.62857142857</v>
      </c>
      <c r="AK20" s="163">
        <f ca="1">_xlfn.XLOOKUP(OFFSET($C$12,$I20,MATCH($AD$11,$D$12:$G$12,0)),巡逻产出!$B$311:$B$610,巡逻产出!$Q$311:$Q$610)*OFFSET($C$1,MATCH(AK$12,$C$2:$C$7,0),MATCH($AD$11,$D$12:$G$12,0))</f>
        <v>2129.088</v>
      </c>
      <c r="AM20" s="164">
        <v>8</v>
      </c>
      <c r="AN20" s="165">
        <v>1595</v>
      </c>
      <c r="AO20" s="165">
        <v>1885</v>
      </c>
      <c r="AP20" s="165">
        <v>2656</v>
      </c>
      <c r="AQ20" s="165">
        <v>3245</v>
      </c>
    </row>
    <row r="21" spans="3:43">
      <c r="C21" s="160">
        <v>9</v>
      </c>
      <c r="D21" s="166">
        <v>47</v>
      </c>
      <c r="E21" s="167">
        <f t="shared" ref="E21:E26" si="3">E20+2</f>
        <v>57</v>
      </c>
      <c r="F21" s="167">
        <v>60</v>
      </c>
      <c r="G21" s="167">
        <v>66</v>
      </c>
      <c r="I21" s="160">
        <v>9</v>
      </c>
      <c r="J21" s="163">
        <f ca="1">_xlfn.XLOOKUP(OFFSET($C$12,$I21,MATCH($J$11,$D$12:$G$12,0)),主线推图!$B$313:$B$612,主线推图!$P$313:$P$612)*OFFSET($C$1,MATCH(J$12,$C$2:$C$7,0),MATCH($J$11,$D$12:$G$12,0))</f>
        <v>1387</v>
      </c>
      <c r="K21" s="163">
        <f ca="1">_xlfn.XLOOKUP(OFFSET($C$12,$I21,MATCH($J$11,$D$12:$G$12,0)),巡逻产出!$B$311:$B$610,巡逻产出!$R$311:$R$610)*OFFSET($C$1,MATCH(K$12,$C$2:$C$7,0),MATCH($J$11,$D$12:$G$12,0))</f>
        <v>616.75</v>
      </c>
      <c r="L21" s="163">
        <f ca="1">_xlfn.XLOOKUP(MAX(INT((OFFSET($C$12,$I21,MATCH($J$11,$D$12:$G$12,0))-6)/10),1),组队产出!$B$25:$B$39,组队产出!$P$25:$P$39)*OFFSET($C$1,MATCH(L$12,$C$2:$C$7,0),MATCH($J$11,$D$12:$G$12,0))</f>
        <v>1094.4</v>
      </c>
      <c r="M21" s="163">
        <f ca="1">竞技场!$G$3*OFFSET($C$1,MATCH(M$12,$C$2:$C$7,0),MATCH($J$11,$D$12:$G$12,0))</f>
        <v>1050</v>
      </c>
      <c r="N2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" s="23">
        <f>任务!$G$6+任务!$G$9+IF(MOD(I21,7)=0,任务!$N$9+任务!$O$6,0)</f>
        <v>895</v>
      </c>
      <c r="P21" s="25">
        <f>公会!$U$11</f>
        <v>2766.62857142857</v>
      </c>
      <c r="Q21" s="163">
        <f ca="1">_xlfn.XLOOKUP(OFFSET($C$12,$I21,MATCH($J$11,$D$12:$G$12,0)),巡逻产出!$B$311:$B$610,巡逻产出!$Q$311:$Q$610)*OFFSET($C$1,MATCH(Q$12,$C$2:$C$7,0),MATCH($J$11,$D$12:$G$12,0))</f>
        <v>1619.76</v>
      </c>
      <c r="S21" s="160">
        <v>9</v>
      </c>
      <c r="T21" s="163">
        <f ca="1">_xlfn.XLOOKUP(OFFSET($C$12,$I21,MATCH($T$11,$D$12:$G$12,0)),主线推图!$B$313:$B$612,主线推图!$P$313:$P$612)*OFFSET($C$1,MATCH(T$12,$C$2:$C$7,0),MATCH($T$11,$D$12:$G$12,0))</f>
        <v>2098.5</v>
      </c>
      <c r="U21" s="163">
        <f ca="1">_xlfn.XLOOKUP(OFFSET($C$12,$I21,MATCH($T$11,$D$12:$G$12,0)),巡逻产出!$B$311:$B$610,巡逻产出!$R$311:$R$610)*OFFSET($C$1,MATCH(U$12,$C$2:$C$7,0),MATCH($T$11,$D$12:$G$12,0))</f>
        <v>1859.25</v>
      </c>
      <c r="V21" s="163">
        <f ca="1">_xlfn.XLOOKUP(MAX(INT((OFFSET($C$12,$I21,MATCH($T$11,$D$12:$G$12,0))-6)/10),1),组队产出!$B$25:$B$39,组队产出!$P$25:$P$39)*OFFSET($C$1,MATCH(V$12,$C$2:$C$7,0),MATCH($T$11,$D$12:$G$12,0))</f>
        <v>2200.8</v>
      </c>
      <c r="W21" s="163">
        <f ca="1">竞技场!$G$3*OFFSET($C$1,MATCH(W$12,$C$2:$C$7,0),MATCH($T$11,$D$12:$G$12,0))</f>
        <v>2100</v>
      </c>
      <c r="X2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" s="23">
        <f>任务!$G$6+任务!$G$9+IF(MOD(S21,7)=0,任务!$N$9+任务!$O$6,0)</f>
        <v>895</v>
      </c>
      <c r="Z21" s="25">
        <f>公会!$U$11</f>
        <v>2766.62857142857</v>
      </c>
      <c r="AA21" s="163">
        <f ca="1">_xlfn.XLOOKUP(OFFSET($C$12,$I21,MATCH($T$11,$D$12:$G$12,0)),巡逻产出!$B$311:$B$610,巡逻产出!$Q$311:$Q$610)*OFFSET($C$1,MATCH(AA$12,$C$2:$C$7,0),MATCH($T$11,$D$12:$G$12,0))</f>
        <v>2124.408</v>
      </c>
      <c r="AC21" s="160">
        <v>9</v>
      </c>
      <c r="AD21" s="163">
        <f ca="1">_xlfn.XLOOKUP(OFFSET($C$12,$I21,MATCH($AD$11,$D$12:$G$12,0)),主线推图!$B$313:$B$612,主线推图!$P$313:$P$612)*OFFSET($C$1,MATCH(AD$12,$C$2:$C$7,0),MATCH($AD$11,$D$12:$G$12,0))</f>
        <v>3091</v>
      </c>
      <c r="AE21" s="163">
        <f ca="1">_xlfn.XLOOKUP(OFFSET($C$12,$I21,MATCH($AD$11,$D$12:$G$12,0)),巡逻产出!$B$311:$B$610,巡逻产出!$R$311:$R$610)*OFFSET($C$1,MATCH(AE$12,$C$2:$C$7,0),MATCH($AD$11,$D$12:$G$12,0))</f>
        <v>0</v>
      </c>
      <c r="AF21" s="163">
        <f ca="1">_xlfn.XLOOKUP(MAX(INT((OFFSET($C$12,$I21,MATCH($AD$11,$D$12:$G$12,0))-6)/10),1),组队产出!$B$25:$B$39,组队产出!$P$25:$P$39)*OFFSET($C$1,MATCH(AF$12,$C$2:$C$7,0),MATCH($AD$11,$D$12:$G$12,0))</f>
        <v>2212.8</v>
      </c>
      <c r="AG21" s="163">
        <f ca="1">竞技场!$G$3*OFFSET($C$1,MATCH(AG$12,$C$2:$C$7,0),MATCH($AD$11,$D$12:$G$12,0))</f>
        <v>3150</v>
      </c>
      <c r="AH2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" s="23">
        <f>任务!$G$6+任务!$G$9+IF(MOD(AC21,7)=0,任务!$N$9+任务!$O$6,0)</f>
        <v>895</v>
      </c>
      <c r="AJ21" s="25">
        <f>公会!$U$11</f>
        <v>2766.62857142857</v>
      </c>
      <c r="AK21" s="163">
        <f ca="1">_xlfn.XLOOKUP(OFFSET($C$12,$I21,MATCH($AD$11,$D$12:$G$12,0)),巡逻产出!$B$311:$B$610,巡逻产出!$Q$311:$Q$610)*OFFSET($C$1,MATCH(AK$12,$C$2:$C$7,0),MATCH($AD$11,$D$12:$G$12,0))</f>
        <v>2133.768</v>
      </c>
      <c r="AM21" s="164">
        <v>9</v>
      </c>
      <c r="AN21" s="165">
        <v>1709</v>
      </c>
      <c r="AO21" s="165">
        <v>2028</v>
      </c>
      <c r="AP21" s="165">
        <v>2884</v>
      </c>
      <c r="AQ21" s="165">
        <v>3547</v>
      </c>
    </row>
    <row r="22" spans="3:43">
      <c r="C22" s="160">
        <v>10</v>
      </c>
      <c r="D22" s="166">
        <v>48</v>
      </c>
      <c r="E22" s="167">
        <f t="shared" si="3"/>
        <v>59</v>
      </c>
      <c r="F22" s="167">
        <v>63</v>
      </c>
      <c r="G22" s="167">
        <v>69</v>
      </c>
      <c r="I22" s="160">
        <v>10</v>
      </c>
      <c r="J22" s="163">
        <f ca="1">_xlfn.XLOOKUP(OFFSET($C$12,$I22,MATCH($J$11,$D$12:$G$12,0)),主线推图!$B$313:$B$612,主线推图!$P$313:$P$612)*OFFSET($C$1,MATCH(J$12,$C$2:$C$7,0),MATCH($J$11,$D$12:$G$12,0))</f>
        <v>1390</v>
      </c>
      <c r="K22" s="163">
        <f ca="1">_xlfn.XLOOKUP(OFFSET($C$12,$I22,MATCH($J$11,$D$12:$G$12,0)),巡逻产出!$B$311:$B$610,巡逻产出!$R$311:$R$610)*OFFSET($C$1,MATCH(K$12,$C$2:$C$7,0),MATCH($J$11,$D$12:$G$12,0))</f>
        <v>617.5</v>
      </c>
      <c r="L22" s="163">
        <f ca="1">_xlfn.XLOOKUP(MAX(INT((OFFSET($C$12,$I22,MATCH($J$11,$D$12:$G$12,0))-6)/10),1),组队产出!$B$25:$B$39,组队产出!$P$25:$P$39)*OFFSET($C$1,MATCH(L$12,$C$2:$C$7,0),MATCH($J$11,$D$12:$G$12,0))</f>
        <v>1094.4</v>
      </c>
      <c r="M22" s="163">
        <f ca="1">竞技场!$G$3*OFFSET($C$1,MATCH(M$12,$C$2:$C$7,0),MATCH($J$11,$D$12:$G$12,0))</f>
        <v>1050</v>
      </c>
      <c r="N2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" s="23">
        <f>任务!$G$6+任务!$G$9+IF(MOD(I22,7)=0,任务!$N$9+任务!$O$6,0)</f>
        <v>895</v>
      </c>
      <c r="P22" s="25">
        <f>公会!$U$11</f>
        <v>2766.62857142857</v>
      </c>
      <c r="Q22" s="163">
        <f ca="1">_xlfn.XLOOKUP(OFFSET($C$12,$I22,MATCH($J$11,$D$12:$G$12,0)),巡逻产出!$B$311:$B$610,巡逻产出!$Q$311:$Q$610)*OFFSET($C$1,MATCH(Q$12,$C$2:$C$7,0),MATCH($J$11,$D$12:$G$12,0))</f>
        <v>1623.36</v>
      </c>
      <c r="S22" s="160">
        <v>10</v>
      </c>
      <c r="T22" s="163">
        <f ca="1">_xlfn.XLOOKUP(OFFSET($C$12,$I22,MATCH($T$11,$D$12:$G$12,0)),主线推图!$B$313:$B$612,主线推图!$P$313:$P$612)*OFFSET($C$1,MATCH(T$12,$C$2:$C$7,0),MATCH($T$11,$D$12:$G$12,0))</f>
        <v>2103</v>
      </c>
      <c r="U22" s="163">
        <f ca="1">_xlfn.XLOOKUP(OFFSET($C$12,$I22,MATCH($T$11,$D$12:$G$12,0)),巡逻产出!$B$311:$B$610,巡逻产出!$R$311:$R$610)*OFFSET($C$1,MATCH(U$12,$C$2:$C$7,0),MATCH($T$11,$D$12:$G$12,0))</f>
        <v>1861.5</v>
      </c>
      <c r="V22" s="163">
        <f ca="1">_xlfn.XLOOKUP(MAX(INT((OFFSET($C$12,$I22,MATCH($T$11,$D$12:$G$12,0))-6)/10),1),组队产出!$B$25:$B$39,组队产出!$P$25:$P$39)*OFFSET($C$1,MATCH(V$12,$C$2:$C$7,0),MATCH($T$11,$D$12:$G$12,0))</f>
        <v>2200.8</v>
      </c>
      <c r="W22" s="163">
        <f ca="1">竞技场!$G$3*OFFSET($C$1,MATCH(W$12,$C$2:$C$7,0),MATCH($T$11,$D$12:$G$12,0))</f>
        <v>2100</v>
      </c>
      <c r="X2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" s="23">
        <f>任务!$G$6+任务!$G$9+IF(MOD(S22,7)=0,任务!$N$9+任务!$O$6,0)</f>
        <v>895</v>
      </c>
      <c r="Z22" s="25">
        <f>公会!$U$11</f>
        <v>2766.62857142857</v>
      </c>
      <c r="AA22" s="163">
        <f ca="1">_xlfn.XLOOKUP(OFFSET($C$12,$I22,MATCH($T$11,$D$12:$G$12,0)),巡逻产出!$B$311:$B$610,巡逻产出!$Q$311:$Q$610)*OFFSET($C$1,MATCH(AA$12,$C$2:$C$7,0),MATCH($T$11,$D$12:$G$12,0))</f>
        <v>2129.088</v>
      </c>
      <c r="AC22" s="160">
        <v>10</v>
      </c>
      <c r="AD22" s="163">
        <f ca="1">_xlfn.XLOOKUP(OFFSET($C$12,$I22,MATCH($AD$11,$D$12:$G$12,0)),主线推图!$B$313:$B$612,主线推图!$P$313:$P$612)*OFFSET($C$1,MATCH(AD$12,$C$2:$C$7,0),MATCH($AD$11,$D$12:$G$12,0))</f>
        <v>3097.6</v>
      </c>
      <c r="AE22" s="163">
        <f ca="1">_xlfn.XLOOKUP(OFFSET($C$12,$I22,MATCH($AD$11,$D$12:$G$12,0)),巡逻产出!$B$311:$B$610,巡逻产出!$R$311:$R$610)*OFFSET($C$1,MATCH(AE$12,$C$2:$C$7,0),MATCH($AD$11,$D$12:$G$12,0))</f>
        <v>0</v>
      </c>
      <c r="AF22" s="163">
        <f ca="1">_xlfn.XLOOKUP(MAX(INT((OFFSET($C$12,$I22,MATCH($AD$11,$D$12:$G$12,0))-6)/10),1),组队产出!$B$25:$B$39,组队产出!$P$25:$P$39)*OFFSET($C$1,MATCH(AF$12,$C$2:$C$7,0),MATCH($AD$11,$D$12:$G$12,0))</f>
        <v>2212.8</v>
      </c>
      <c r="AG22" s="163">
        <f ca="1">竞技场!$G$3*OFFSET($C$1,MATCH(AG$12,$C$2:$C$7,0),MATCH($AD$11,$D$12:$G$12,0))</f>
        <v>3150</v>
      </c>
      <c r="AH2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" s="23">
        <f>任务!$G$6+任务!$G$9+IF(MOD(AC22,7)=0,任务!$N$9+任务!$O$6,0)</f>
        <v>895</v>
      </c>
      <c r="AJ22" s="25">
        <f>公会!$U$11</f>
        <v>2766.62857142857</v>
      </c>
      <c r="AK22" s="163">
        <f ca="1">_xlfn.XLOOKUP(OFFSET($C$12,$I22,MATCH($AD$11,$D$12:$G$12,0)),巡逻产出!$B$311:$B$610,巡逻产出!$Q$311:$Q$610)*OFFSET($C$1,MATCH(AK$12,$C$2:$C$7,0),MATCH($AD$11,$D$12:$G$12,0))</f>
        <v>2138.448</v>
      </c>
      <c r="AM22" s="164">
        <v>10</v>
      </c>
      <c r="AN22" s="165">
        <v>1823</v>
      </c>
      <c r="AO22" s="165">
        <v>2171</v>
      </c>
      <c r="AP22" s="165">
        <v>3113</v>
      </c>
      <c r="AQ22" s="165">
        <v>3849</v>
      </c>
    </row>
    <row r="23" spans="3:43">
      <c r="C23" s="160">
        <v>11</v>
      </c>
      <c r="D23" s="166">
        <v>50</v>
      </c>
      <c r="E23" s="167">
        <f t="shared" si="3"/>
        <v>61</v>
      </c>
      <c r="F23" s="167">
        <v>66</v>
      </c>
      <c r="G23" s="167">
        <v>73</v>
      </c>
      <c r="I23" s="160">
        <v>11</v>
      </c>
      <c r="J23" s="163">
        <f ca="1">_xlfn.XLOOKUP(OFFSET($C$12,$I23,MATCH($J$11,$D$12:$G$12,0)),主线推图!$B$313:$B$612,主线推图!$P$313:$P$612)*OFFSET($C$1,MATCH(J$12,$C$2:$C$7,0),MATCH($J$11,$D$12:$G$12,0))</f>
        <v>1393</v>
      </c>
      <c r="K23" s="163">
        <f ca="1">_xlfn.XLOOKUP(OFFSET($C$12,$I23,MATCH($J$11,$D$12:$G$12,0)),巡逻产出!$B$311:$B$610,巡逻产出!$R$311:$R$610)*OFFSET($C$1,MATCH(K$12,$C$2:$C$7,0),MATCH($J$11,$D$12:$G$12,0))</f>
        <v>618.25</v>
      </c>
      <c r="L23" s="163">
        <f ca="1">_xlfn.XLOOKUP(MAX(INT((OFFSET($C$12,$I23,MATCH($J$11,$D$12:$G$12,0))-6)/10),1),组队产出!$B$25:$B$39,组队产出!$P$25:$P$39)*OFFSET($C$1,MATCH(L$12,$C$2:$C$7,0),MATCH($J$11,$D$12:$G$12,0))</f>
        <v>1094.4</v>
      </c>
      <c r="M23" s="163">
        <f ca="1">竞技场!$G$3*OFFSET($C$1,MATCH(M$12,$C$2:$C$7,0),MATCH($J$11,$D$12:$G$12,0))</f>
        <v>1050</v>
      </c>
      <c r="N2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" s="23">
        <f>任务!$G$6+任务!$G$9+IF(MOD(I23,7)=0,任务!$N$9+任务!$O$6,0)</f>
        <v>895</v>
      </c>
      <c r="P23" s="25">
        <f>公会!$U$11</f>
        <v>2766.62857142857</v>
      </c>
      <c r="Q23" s="163">
        <f ca="1">_xlfn.XLOOKUP(OFFSET($C$12,$I23,MATCH($J$11,$D$12:$G$12,0)),巡逻产出!$B$311:$B$610,巡逻产出!$Q$311:$Q$610)*OFFSET($C$1,MATCH(Q$12,$C$2:$C$7,0),MATCH($J$11,$D$12:$G$12,0))</f>
        <v>1626.96</v>
      </c>
      <c r="S23" s="160">
        <v>11</v>
      </c>
      <c r="T23" s="163">
        <f ca="1">_xlfn.XLOOKUP(OFFSET($C$12,$I23,MATCH($T$11,$D$12:$G$12,0)),主线推图!$B$313:$B$612,主线推图!$P$313:$P$612)*OFFSET($C$1,MATCH(T$12,$C$2:$C$7,0),MATCH($T$11,$D$12:$G$12,0))</f>
        <v>2107.5</v>
      </c>
      <c r="U23" s="163">
        <f ca="1">_xlfn.XLOOKUP(OFFSET($C$12,$I23,MATCH($T$11,$D$12:$G$12,0)),巡逻产出!$B$311:$B$610,巡逻产出!$R$311:$R$610)*OFFSET($C$1,MATCH(U$12,$C$2:$C$7,0),MATCH($T$11,$D$12:$G$12,0))</f>
        <v>1863.75</v>
      </c>
      <c r="V23" s="163">
        <f ca="1">_xlfn.XLOOKUP(MAX(INT((OFFSET($C$12,$I23,MATCH($T$11,$D$12:$G$12,0))-6)/10),1),组队产出!$B$25:$B$39,组队产出!$P$25:$P$39)*OFFSET($C$1,MATCH(V$12,$C$2:$C$7,0),MATCH($T$11,$D$12:$G$12,0))</f>
        <v>2212.8</v>
      </c>
      <c r="W23" s="163">
        <f ca="1">竞技场!$G$3*OFFSET($C$1,MATCH(W$12,$C$2:$C$7,0),MATCH($T$11,$D$12:$G$12,0))</f>
        <v>2100</v>
      </c>
      <c r="X2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" s="23">
        <f>任务!$G$6+任务!$G$9+IF(MOD(S23,7)=0,任务!$N$9+任务!$O$6,0)</f>
        <v>895</v>
      </c>
      <c r="Z23" s="25">
        <f>公会!$U$11</f>
        <v>2766.62857142857</v>
      </c>
      <c r="AA23" s="163">
        <f ca="1">_xlfn.XLOOKUP(OFFSET($C$12,$I23,MATCH($T$11,$D$12:$G$12,0)),巡逻产出!$B$311:$B$610,巡逻产出!$Q$311:$Q$610)*OFFSET($C$1,MATCH(AA$12,$C$2:$C$7,0),MATCH($T$11,$D$12:$G$12,0))</f>
        <v>2133.768</v>
      </c>
      <c r="AC23" s="160">
        <v>11</v>
      </c>
      <c r="AD23" s="163">
        <f ca="1">_xlfn.XLOOKUP(OFFSET($C$12,$I23,MATCH($AD$11,$D$12:$G$12,0)),主线推图!$B$313:$B$612,主线推图!$P$313:$P$612)*OFFSET($C$1,MATCH(AD$12,$C$2:$C$7,0),MATCH($AD$11,$D$12:$G$12,0))</f>
        <v>3106.4</v>
      </c>
      <c r="AE23" s="163">
        <f ca="1">_xlfn.XLOOKUP(OFFSET($C$12,$I23,MATCH($AD$11,$D$12:$G$12,0)),巡逻产出!$B$311:$B$610,巡逻产出!$R$311:$R$610)*OFFSET($C$1,MATCH(AE$12,$C$2:$C$7,0),MATCH($AD$11,$D$12:$G$12,0))</f>
        <v>0</v>
      </c>
      <c r="AF23" s="163">
        <f ca="1">_xlfn.XLOOKUP(MAX(INT((OFFSET($C$12,$I23,MATCH($AD$11,$D$12:$G$12,0))-6)/10),1),组队产出!$B$25:$B$39,组队产出!$P$25:$P$39)*OFFSET($C$1,MATCH(AF$12,$C$2:$C$7,0),MATCH($AD$11,$D$12:$G$12,0))</f>
        <v>2212.8</v>
      </c>
      <c r="AG23" s="163">
        <f ca="1">竞技场!$G$3*OFFSET($C$1,MATCH(AG$12,$C$2:$C$7,0),MATCH($AD$11,$D$12:$G$12,0))</f>
        <v>3150</v>
      </c>
      <c r="AH2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" s="23">
        <f>任务!$G$6+任务!$G$9+IF(MOD(AC23,7)=0,任务!$N$9+任务!$O$6,0)</f>
        <v>895</v>
      </c>
      <c r="AJ23" s="25">
        <f>公会!$U$11</f>
        <v>2766.62857142857</v>
      </c>
      <c r="AK23" s="163">
        <f ca="1">_xlfn.XLOOKUP(OFFSET($C$12,$I23,MATCH($AD$11,$D$12:$G$12,0)),巡逻产出!$B$311:$B$610,巡逻产出!$Q$311:$Q$610)*OFFSET($C$1,MATCH(AK$12,$C$2:$C$7,0),MATCH($AD$11,$D$12:$G$12,0))</f>
        <v>2144.688</v>
      </c>
      <c r="AM23" s="164">
        <v>11</v>
      </c>
      <c r="AN23" s="165">
        <v>1936</v>
      </c>
      <c r="AO23" s="165">
        <v>2314</v>
      </c>
      <c r="AP23" s="165">
        <v>3341</v>
      </c>
      <c r="AQ23" s="165">
        <v>4151</v>
      </c>
    </row>
    <row r="24" spans="3:43">
      <c r="C24" s="160">
        <v>12</v>
      </c>
      <c r="D24" s="166">
        <v>52</v>
      </c>
      <c r="E24" s="167">
        <f t="shared" si="3"/>
        <v>63</v>
      </c>
      <c r="F24" s="167">
        <v>69</v>
      </c>
      <c r="G24" s="167">
        <v>75</v>
      </c>
      <c r="I24" s="160">
        <v>12</v>
      </c>
      <c r="J24" s="163">
        <f ca="1">_xlfn.XLOOKUP(OFFSET($C$12,$I24,MATCH($J$11,$D$12:$G$12,0)),主线推图!$B$313:$B$612,主线推图!$P$313:$P$612)*OFFSET($C$1,MATCH(J$12,$C$2:$C$7,0),MATCH($J$11,$D$12:$G$12,0))</f>
        <v>1396</v>
      </c>
      <c r="K24" s="163">
        <f ca="1">_xlfn.XLOOKUP(OFFSET($C$12,$I24,MATCH($J$11,$D$12:$G$12,0)),巡逻产出!$B$311:$B$610,巡逻产出!$R$311:$R$610)*OFFSET($C$1,MATCH(K$12,$C$2:$C$7,0),MATCH($J$11,$D$12:$G$12,0))</f>
        <v>619</v>
      </c>
      <c r="L24" s="163">
        <f ca="1">_xlfn.XLOOKUP(MAX(INT((OFFSET($C$12,$I24,MATCH($J$11,$D$12:$G$12,0))-6)/10),1),组队产出!$B$25:$B$39,组队产出!$P$25:$P$39)*OFFSET($C$1,MATCH(L$12,$C$2:$C$7,0),MATCH($J$11,$D$12:$G$12,0))</f>
        <v>1100.4</v>
      </c>
      <c r="M24" s="163">
        <f ca="1">竞技场!$G$3*OFFSET($C$1,MATCH(M$12,$C$2:$C$7,0),MATCH($J$11,$D$12:$G$12,0))</f>
        <v>1050</v>
      </c>
      <c r="N2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" s="23">
        <f>任务!$G$6+任务!$G$9+IF(MOD(I24,7)=0,任务!$N$9+任务!$O$6,0)</f>
        <v>895</v>
      </c>
      <c r="P24" s="25">
        <f>公会!$U$11</f>
        <v>2766.62857142857</v>
      </c>
      <c r="Q24" s="163">
        <f ca="1">_xlfn.XLOOKUP(OFFSET($C$12,$I24,MATCH($J$11,$D$12:$G$12,0)),巡逻产出!$B$311:$B$610,巡逻产出!$Q$311:$Q$610)*OFFSET($C$1,MATCH(Q$12,$C$2:$C$7,0),MATCH($J$11,$D$12:$G$12,0))</f>
        <v>1630.56</v>
      </c>
      <c r="S24" s="160">
        <v>12</v>
      </c>
      <c r="T24" s="163">
        <f ca="1">_xlfn.XLOOKUP(OFFSET($C$12,$I24,MATCH($T$11,$D$12:$G$12,0)),主线推图!$B$313:$B$612,主线推图!$P$313:$P$612)*OFFSET($C$1,MATCH(T$12,$C$2:$C$7,0),MATCH($T$11,$D$12:$G$12,0))</f>
        <v>2112</v>
      </c>
      <c r="U24" s="163">
        <f ca="1">_xlfn.XLOOKUP(OFFSET($C$12,$I24,MATCH($T$11,$D$12:$G$12,0)),巡逻产出!$B$311:$B$610,巡逻产出!$R$311:$R$610)*OFFSET($C$1,MATCH(U$12,$C$2:$C$7,0),MATCH($T$11,$D$12:$G$12,0))</f>
        <v>1866</v>
      </c>
      <c r="V24" s="163">
        <f ca="1">_xlfn.XLOOKUP(MAX(INT((OFFSET($C$12,$I24,MATCH($T$11,$D$12:$G$12,0))-6)/10),1),组队产出!$B$25:$B$39,组队产出!$P$25:$P$39)*OFFSET($C$1,MATCH(V$12,$C$2:$C$7,0),MATCH($T$11,$D$12:$G$12,0))</f>
        <v>2212.8</v>
      </c>
      <c r="W24" s="163">
        <f ca="1">竞技场!$G$3*OFFSET($C$1,MATCH(W$12,$C$2:$C$7,0),MATCH($T$11,$D$12:$G$12,0))</f>
        <v>2100</v>
      </c>
      <c r="X2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" s="23">
        <f>任务!$G$6+任务!$G$9+IF(MOD(S24,7)=0,任务!$N$9+任务!$O$6,0)</f>
        <v>895</v>
      </c>
      <c r="Z24" s="25">
        <f>公会!$U$11</f>
        <v>2766.62857142857</v>
      </c>
      <c r="AA24" s="163">
        <f ca="1">_xlfn.XLOOKUP(OFFSET($C$12,$I24,MATCH($T$11,$D$12:$G$12,0)),巡逻产出!$B$311:$B$610,巡逻产出!$Q$311:$Q$610)*OFFSET($C$1,MATCH(AA$12,$C$2:$C$7,0),MATCH($T$11,$D$12:$G$12,0))</f>
        <v>2138.448</v>
      </c>
      <c r="AC24" s="160">
        <v>12</v>
      </c>
      <c r="AD24" s="163">
        <f ca="1">_xlfn.XLOOKUP(OFFSET($C$12,$I24,MATCH($AD$11,$D$12:$G$12,0)),主线推图!$B$313:$B$612,主线推图!$P$313:$P$612)*OFFSET($C$1,MATCH(AD$12,$C$2:$C$7,0),MATCH($AD$11,$D$12:$G$12,0))</f>
        <v>3110.8</v>
      </c>
      <c r="AE24" s="163">
        <f ca="1">_xlfn.XLOOKUP(OFFSET($C$12,$I24,MATCH($AD$11,$D$12:$G$12,0)),巡逻产出!$B$311:$B$610,巡逻产出!$R$311:$R$610)*OFFSET($C$1,MATCH(AE$12,$C$2:$C$7,0),MATCH($AD$11,$D$12:$G$12,0))</f>
        <v>0</v>
      </c>
      <c r="AF24" s="163">
        <f ca="1">_xlfn.XLOOKUP(MAX(INT((OFFSET($C$12,$I24,MATCH($AD$11,$D$12:$G$12,0))-6)/10),1),组队产出!$B$25:$B$39,组队产出!$P$25:$P$39)*OFFSET($C$1,MATCH(AF$12,$C$2:$C$7,0),MATCH($AD$11,$D$12:$G$12,0))</f>
        <v>2212.8</v>
      </c>
      <c r="AG24" s="163">
        <f ca="1">竞技场!$G$3*OFFSET($C$1,MATCH(AG$12,$C$2:$C$7,0),MATCH($AD$11,$D$12:$G$12,0))</f>
        <v>3150</v>
      </c>
      <c r="AH2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" s="23">
        <f>任务!$G$6+任务!$G$9+IF(MOD(AC24,7)=0,任务!$N$9+任务!$O$6,0)</f>
        <v>895</v>
      </c>
      <c r="AJ24" s="25">
        <f>公会!$U$11</f>
        <v>2766.62857142857</v>
      </c>
      <c r="AK24" s="163">
        <f ca="1">_xlfn.XLOOKUP(OFFSET($C$12,$I24,MATCH($AD$11,$D$12:$G$12,0)),巡逻产出!$B$311:$B$610,巡逻产出!$Q$311:$Q$610)*OFFSET($C$1,MATCH(AK$12,$C$2:$C$7,0),MATCH($AD$11,$D$12:$G$12,0))</f>
        <v>2147.808</v>
      </c>
      <c r="AM24" s="164">
        <v>12</v>
      </c>
      <c r="AN24" s="165">
        <v>2050</v>
      </c>
      <c r="AO24" s="165">
        <v>2457</v>
      </c>
      <c r="AP24" s="165">
        <v>3570</v>
      </c>
      <c r="AQ24" s="165">
        <v>4453</v>
      </c>
    </row>
    <row r="25" spans="3:43">
      <c r="C25" s="160">
        <v>13</v>
      </c>
      <c r="D25" s="166">
        <v>53</v>
      </c>
      <c r="E25" s="167">
        <f t="shared" si="3"/>
        <v>65</v>
      </c>
      <c r="F25" s="167">
        <v>71</v>
      </c>
      <c r="G25" s="167">
        <v>77</v>
      </c>
      <c r="I25" s="160">
        <v>13</v>
      </c>
      <c r="J25" s="163">
        <f ca="1">_xlfn.XLOOKUP(OFFSET($C$12,$I25,MATCH($J$11,$D$12:$G$12,0)),主线推图!$B$313:$B$612,主线推图!$P$313:$P$612)*OFFSET($C$1,MATCH(J$12,$C$2:$C$7,0),MATCH($J$11,$D$12:$G$12,0))</f>
        <v>1399</v>
      </c>
      <c r="K25" s="163">
        <f ca="1">_xlfn.XLOOKUP(OFFSET($C$12,$I25,MATCH($J$11,$D$12:$G$12,0)),巡逻产出!$B$311:$B$610,巡逻产出!$R$311:$R$610)*OFFSET($C$1,MATCH(K$12,$C$2:$C$7,0),MATCH($J$11,$D$12:$G$12,0))</f>
        <v>619.75</v>
      </c>
      <c r="L25" s="163">
        <f ca="1">_xlfn.XLOOKUP(MAX(INT((OFFSET($C$12,$I25,MATCH($J$11,$D$12:$G$12,0))-6)/10),1),组队产出!$B$25:$B$39,组队产出!$P$25:$P$39)*OFFSET($C$1,MATCH(L$12,$C$2:$C$7,0),MATCH($J$11,$D$12:$G$12,0))</f>
        <v>1100.4</v>
      </c>
      <c r="M25" s="163">
        <f ca="1">竞技场!$G$3*OFFSET($C$1,MATCH(M$12,$C$2:$C$7,0),MATCH($J$11,$D$12:$G$12,0))</f>
        <v>1050</v>
      </c>
      <c r="N2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" s="23">
        <f>任务!$G$6+任务!$G$9+IF(MOD(I25,7)=0,任务!$N$9+任务!$O$6,0)</f>
        <v>895</v>
      </c>
      <c r="P25" s="25">
        <f>公会!$U$11</f>
        <v>2766.62857142857</v>
      </c>
      <c r="Q25" s="163">
        <f ca="1">_xlfn.XLOOKUP(OFFSET($C$12,$I25,MATCH($J$11,$D$12:$G$12,0)),巡逻产出!$B$311:$B$610,巡逻产出!$Q$311:$Q$610)*OFFSET($C$1,MATCH(Q$12,$C$2:$C$7,0),MATCH($J$11,$D$12:$G$12,0))</f>
        <v>1634.16</v>
      </c>
      <c r="S25" s="160">
        <v>13</v>
      </c>
      <c r="T25" s="163">
        <f ca="1">_xlfn.XLOOKUP(OFFSET($C$12,$I25,MATCH($T$11,$D$12:$G$12,0)),主线推图!$B$313:$B$612,主线推图!$P$313:$P$612)*OFFSET($C$1,MATCH(T$12,$C$2:$C$7,0),MATCH($T$11,$D$12:$G$12,0))</f>
        <v>2115</v>
      </c>
      <c r="U25" s="163">
        <f ca="1">_xlfn.XLOOKUP(OFFSET($C$12,$I25,MATCH($T$11,$D$12:$G$12,0)),巡逻产出!$B$311:$B$610,巡逻产出!$R$311:$R$610)*OFFSET($C$1,MATCH(U$12,$C$2:$C$7,0),MATCH($T$11,$D$12:$G$12,0))</f>
        <v>1867.5</v>
      </c>
      <c r="V25" s="163">
        <f ca="1">_xlfn.XLOOKUP(MAX(INT((OFFSET($C$12,$I25,MATCH($T$11,$D$12:$G$12,0))-6)/10),1),组队产出!$B$25:$B$39,组队产出!$P$25:$P$39)*OFFSET($C$1,MATCH(V$12,$C$2:$C$7,0),MATCH($T$11,$D$12:$G$12,0))</f>
        <v>2212.8</v>
      </c>
      <c r="W25" s="163">
        <f ca="1">竞技场!$G$3*OFFSET($C$1,MATCH(W$12,$C$2:$C$7,0),MATCH($T$11,$D$12:$G$12,0))</f>
        <v>2100</v>
      </c>
      <c r="X2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" s="23">
        <f>任务!$G$6+任务!$G$9+IF(MOD(S25,7)=0,任务!$N$9+任务!$O$6,0)</f>
        <v>895</v>
      </c>
      <c r="Z25" s="25">
        <f>公会!$U$11</f>
        <v>2766.62857142857</v>
      </c>
      <c r="AA25" s="163">
        <f ca="1">_xlfn.XLOOKUP(OFFSET($C$12,$I25,MATCH($T$11,$D$12:$G$12,0)),巡逻产出!$B$311:$B$610,巡逻产出!$Q$311:$Q$610)*OFFSET($C$1,MATCH(AA$12,$C$2:$C$7,0),MATCH($T$11,$D$12:$G$12,0))</f>
        <v>2141.568</v>
      </c>
      <c r="AC25" s="160">
        <v>13</v>
      </c>
      <c r="AD25" s="163">
        <f ca="1">_xlfn.XLOOKUP(OFFSET($C$12,$I25,MATCH($AD$11,$D$12:$G$12,0)),主线推图!$B$313:$B$612,主线推图!$P$313:$P$612)*OFFSET($C$1,MATCH(AD$12,$C$2:$C$7,0),MATCH($AD$11,$D$12:$G$12,0))</f>
        <v>3115.2</v>
      </c>
      <c r="AE25" s="163">
        <f ca="1">_xlfn.XLOOKUP(OFFSET($C$12,$I25,MATCH($AD$11,$D$12:$G$12,0)),巡逻产出!$B$311:$B$610,巡逻产出!$R$311:$R$610)*OFFSET($C$1,MATCH(AE$12,$C$2:$C$7,0),MATCH($AD$11,$D$12:$G$12,0))</f>
        <v>0</v>
      </c>
      <c r="AF25" s="163">
        <f ca="1">_xlfn.XLOOKUP(MAX(INT((OFFSET($C$12,$I25,MATCH($AD$11,$D$12:$G$12,0))-6)/10),1),组队产出!$B$25:$B$39,组队产出!$P$25:$P$39)*OFFSET($C$1,MATCH(AF$12,$C$2:$C$7,0),MATCH($AD$11,$D$12:$G$12,0))</f>
        <v>2224.8</v>
      </c>
      <c r="AG25" s="163">
        <f ca="1">竞技场!$G$3*OFFSET($C$1,MATCH(AG$12,$C$2:$C$7,0),MATCH($AD$11,$D$12:$G$12,0))</f>
        <v>3150</v>
      </c>
      <c r="AH2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" s="23">
        <f>任务!$G$6+任务!$G$9+IF(MOD(AC25,7)=0,任务!$N$9+任务!$O$6,0)</f>
        <v>895</v>
      </c>
      <c r="AJ25" s="25">
        <f>公会!$U$11</f>
        <v>2766.62857142857</v>
      </c>
      <c r="AK25" s="163">
        <f ca="1">_xlfn.XLOOKUP(OFFSET($C$12,$I25,MATCH($AD$11,$D$12:$G$12,0)),巡逻产出!$B$311:$B$610,巡逻产出!$Q$311:$Q$610)*OFFSET($C$1,MATCH(AK$12,$C$2:$C$7,0),MATCH($AD$11,$D$12:$G$12,0))</f>
        <v>2150.928</v>
      </c>
      <c r="AM25" s="164">
        <v>13</v>
      </c>
      <c r="AN25" s="165">
        <v>2164</v>
      </c>
      <c r="AO25" s="165">
        <v>2600</v>
      </c>
      <c r="AP25" s="165">
        <v>3798</v>
      </c>
      <c r="AQ25" s="165">
        <v>4755</v>
      </c>
    </row>
    <row r="26" spans="3:43">
      <c r="C26" s="160">
        <v>14</v>
      </c>
      <c r="D26" s="166">
        <v>56</v>
      </c>
      <c r="E26" s="167">
        <f t="shared" si="3"/>
        <v>67</v>
      </c>
      <c r="F26" s="167">
        <v>73</v>
      </c>
      <c r="G26" s="167">
        <v>80</v>
      </c>
      <c r="I26" s="160">
        <v>14</v>
      </c>
      <c r="J26" s="163">
        <f ca="1">_xlfn.XLOOKUP(OFFSET($C$12,$I26,MATCH($J$11,$D$12:$G$12,0)),主线推图!$B$313:$B$612,主线推图!$P$313:$P$612)*OFFSET($C$1,MATCH(J$12,$C$2:$C$7,0),MATCH($J$11,$D$12:$G$12,0))</f>
        <v>1402</v>
      </c>
      <c r="K26" s="163">
        <f ca="1">_xlfn.XLOOKUP(OFFSET($C$12,$I26,MATCH($J$11,$D$12:$G$12,0)),巡逻产出!$B$311:$B$610,巡逻产出!$R$311:$R$610)*OFFSET($C$1,MATCH(K$12,$C$2:$C$7,0),MATCH($J$11,$D$12:$G$12,0))</f>
        <v>620.5</v>
      </c>
      <c r="L26" s="163">
        <f ca="1">_xlfn.XLOOKUP(MAX(INT((OFFSET($C$12,$I26,MATCH($J$11,$D$12:$G$12,0))-6)/10),1),组队产出!$B$25:$B$39,组队产出!$P$25:$P$39)*OFFSET($C$1,MATCH(L$12,$C$2:$C$7,0),MATCH($J$11,$D$12:$G$12,0))</f>
        <v>1100.4</v>
      </c>
      <c r="M26" s="163">
        <f ca="1">竞技场!$G$3*OFFSET($C$1,MATCH(M$12,$C$2:$C$7,0),MATCH($J$11,$D$12:$G$12,0))</f>
        <v>1050</v>
      </c>
      <c r="N2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" s="23">
        <f>任务!$G$6+任务!$G$9+IF(MOD(I26,7)=0,任务!$N$9+任务!$O$6,0)</f>
        <v>3125</v>
      </c>
      <c r="P26" s="25">
        <f>公会!$U$11</f>
        <v>2766.62857142857</v>
      </c>
      <c r="Q26" s="163">
        <f ca="1">_xlfn.XLOOKUP(OFFSET($C$12,$I26,MATCH($J$11,$D$12:$G$12,0)),巡逻产出!$B$311:$B$610,巡逻产出!$Q$311:$Q$610)*OFFSET($C$1,MATCH(Q$12,$C$2:$C$7,0),MATCH($J$11,$D$12:$G$12,0))</f>
        <v>1637.76</v>
      </c>
      <c r="S26" s="160">
        <v>14</v>
      </c>
      <c r="T26" s="163">
        <f ca="1">_xlfn.XLOOKUP(OFFSET($C$12,$I26,MATCH($T$11,$D$12:$G$12,0)),主线推图!$B$313:$B$612,主线推图!$P$313:$P$612)*OFFSET($C$1,MATCH(T$12,$C$2:$C$7,0),MATCH($T$11,$D$12:$G$12,0))</f>
        <v>2118</v>
      </c>
      <c r="U26" s="163">
        <f ca="1">_xlfn.XLOOKUP(OFFSET($C$12,$I26,MATCH($T$11,$D$12:$G$12,0)),巡逻产出!$B$311:$B$610,巡逻产出!$R$311:$R$610)*OFFSET($C$1,MATCH(U$12,$C$2:$C$7,0),MATCH($T$11,$D$12:$G$12,0))</f>
        <v>1869</v>
      </c>
      <c r="V26" s="163">
        <f ca="1">_xlfn.XLOOKUP(MAX(INT((OFFSET($C$12,$I26,MATCH($T$11,$D$12:$G$12,0))-6)/10),1),组队产出!$B$25:$B$39,组队产出!$P$25:$P$39)*OFFSET($C$1,MATCH(V$12,$C$2:$C$7,0),MATCH($T$11,$D$12:$G$12,0))</f>
        <v>2212.8</v>
      </c>
      <c r="W26" s="163">
        <f ca="1">竞技场!$G$3*OFFSET($C$1,MATCH(W$12,$C$2:$C$7,0),MATCH($T$11,$D$12:$G$12,0))</f>
        <v>2100</v>
      </c>
      <c r="X2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" s="23">
        <f>任务!$G$6+任务!$G$9+IF(MOD(S26,7)=0,任务!$N$9+任务!$O$6,0)</f>
        <v>3125</v>
      </c>
      <c r="Z26" s="25">
        <f>公会!$U$11</f>
        <v>2766.62857142857</v>
      </c>
      <c r="AA26" s="163">
        <f ca="1">_xlfn.XLOOKUP(OFFSET($C$12,$I26,MATCH($T$11,$D$12:$G$12,0)),巡逻产出!$B$311:$B$610,巡逻产出!$Q$311:$Q$610)*OFFSET($C$1,MATCH(AA$12,$C$2:$C$7,0),MATCH($T$11,$D$12:$G$12,0))</f>
        <v>2144.688</v>
      </c>
      <c r="AC26" s="160">
        <v>14</v>
      </c>
      <c r="AD26" s="163">
        <f ca="1">_xlfn.XLOOKUP(OFFSET($C$12,$I26,MATCH($AD$11,$D$12:$G$12,0)),主线推图!$B$313:$B$612,主线推图!$P$313:$P$612)*OFFSET($C$1,MATCH(AD$12,$C$2:$C$7,0),MATCH($AD$11,$D$12:$G$12,0))</f>
        <v>3121.8</v>
      </c>
      <c r="AE26" s="163">
        <f ca="1">_xlfn.XLOOKUP(OFFSET($C$12,$I26,MATCH($AD$11,$D$12:$G$12,0)),巡逻产出!$B$311:$B$610,巡逻产出!$R$311:$R$610)*OFFSET($C$1,MATCH(AE$12,$C$2:$C$7,0),MATCH($AD$11,$D$12:$G$12,0))</f>
        <v>0</v>
      </c>
      <c r="AF26" s="163">
        <f ca="1">_xlfn.XLOOKUP(MAX(INT((OFFSET($C$12,$I26,MATCH($AD$11,$D$12:$G$12,0))-6)/10),1),组队产出!$B$25:$B$39,组队产出!$P$25:$P$39)*OFFSET($C$1,MATCH(AF$12,$C$2:$C$7,0),MATCH($AD$11,$D$12:$G$12,0))</f>
        <v>2224.8</v>
      </c>
      <c r="AG26" s="163">
        <f ca="1">竞技场!$G$3*OFFSET($C$1,MATCH(AG$12,$C$2:$C$7,0),MATCH($AD$11,$D$12:$G$12,0))</f>
        <v>3150</v>
      </c>
      <c r="AH2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" s="23">
        <f>任务!$G$6+任务!$G$9+IF(MOD(AC26,7)=0,任务!$N$9+任务!$O$6,0)</f>
        <v>3125</v>
      </c>
      <c r="AJ26" s="25">
        <f>公会!$U$11</f>
        <v>2766.62857142857</v>
      </c>
      <c r="AK26" s="163">
        <f ca="1">_xlfn.XLOOKUP(OFFSET($C$12,$I26,MATCH($AD$11,$D$12:$G$12,0)),巡逻产出!$B$311:$B$610,巡逻产出!$Q$311:$Q$610)*OFFSET($C$1,MATCH(AK$12,$C$2:$C$7,0),MATCH($AD$11,$D$12:$G$12,0))</f>
        <v>2155.608</v>
      </c>
      <c r="AM26" s="164">
        <v>14</v>
      </c>
      <c r="AN26" s="165">
        <v>2278</v>
      </c>
      <c r="AO26" s="165">
        <v>2743</v>
      </c>
      <c r="AP26" s="165">
        <v>4027</v>
      </c>
      <c r="AQ26" s="165">
        <v>5058</v>
      </c>
    </row>
    <row r="27" spans="3:43">
      <c r="C27" s="160">
        <v>15</v>
      </c>
      <c r="D27" s="163">
        <v>61</v>
      </c>
      <c r="E27" s="163">
        <f>E26+1</f>
        <v>68</v>
      </c>
      <c r="F27" s="163">
        <f>F26+1</f>
        <v>74</v>
      </c>
      <c r="G27" s="163">
        <v>81.5</v>
      </c>
      <c r="I27" s="160">
        <v>15</v>
      </c>
      <c r="J27" s="163">
        <f ca="1">_xlfn.XLOOKUP(OFFSET($C$12,$I27,MATCH($J$11,$D$12:$G$12,0)),主线推图!$B$313:$B$612,主线推图!$P$313:$P$612)*OFFSET($C$1,MATCH(J$12,$C$2:$C$7,0),MATCH($J$11,$D$12:$G$12,0))</f>
        <v>1404</v>
      </c>
      <c r="K27" s="163">
        <f ca="1">_xlfn.XLOOKUP(OFFSET($C$12,$I27,MATCH($J$11,$D$12:$G$12,0)),巡逻产出!$B$311:$B$610,巡逻产出!$R$311:$R$610)*OFFSET($C$1,MATCH(K$12,$C$2:$C$7,0),MATCH($J$11,$D$12:$G$12,0))</f>
        <v>621</v>
      </c>
      <c r="L27" s="163">
        <f ca="1">_xlfn.XLOOKUP(MAX(INT((OFFSET($C$12,$I27,MATCH($J$11,$D$12:$G$12,0))-6)/10),1),组队产出!$B$25:$B$39,组队产出!$P$25:$P$39)*OFFSET($C$1,MATCH(L$12,$C$2:$C$7,0),MATCH($J$11,$D$12:$G$12,0))</f>
        <v>1100.4</v>
      </c>
      <c r="M27" s="163">
        <f ca="1">竞技场!$G$3*OFFSET($C$1,MATCH(M$12,$C$2:$C$7,0),MATCH($J$11,$D$12:$G$12,0))</f>
        <v>1050</v>
      </c>
      <c r="N2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" s="23">
        <f>任务!$G$6+任务!$G$9+IF(MOD(I27,7)=0,任务!$N$9+任务!$O$6,0)</f>
        <v>895</v>
      </c>
      <c r="P27" s="25">
        <f>公会!$U$11</f>
        <v>2766.62857142857</v>
      </c>
      <c r="Q27" s="163">
        <f ca="1">_xlfn.XLOOKUP(OFFSET($C$12,$I27,MATCH($J$11,$D$12:$G$12,0)),巡逻产出!$B$311:$B$610,巡逻产出!$Q$311:$Q$610)*OFFSET($C$1,MATCH(Q$12,$C$2:$C$7,0),MATCH($J$11,$D$12:$G$12,0))</f>
        <v>1640.16</v>
      </c>
      <c r="S27" s="160">
        <v>15</v>
      </c>
      <c r="T27" s="163">
        <f ca="1">_xlfn.XLOOKUP(OFFSET($C$12,$I27,MATCH($T$11,$D$12:$G$12,0)),主线推图!$B$313:$B$612,主线推图!$P$313:$P$612)*OFFSET($C$1,MATCH(T$12,$C$2:$C$7,0),MATCH($T$11,$D$12:$G$12,0))</f>
        <v>2119.5</v>
      </c>
      <c r="U27" s="163">
        <f ca="1">_xlfn.XLOOKUP(OFFSET($C$12,$I27,MATCH($T$11,$D$12:$G$12,0)),巡逻产出!$B$311:$B$610,巡逻产出!$R$311:$R$610)*OFFSET($C$1,MATCH(U$12,$C$2:$C$7,0),MATCH($T$11,$D$12:$G$12,0))</f>
        <v>1869.75</v>
      </c>
      <c r="V27" s="163">
        <f ca="1">_xlfn.XLOOKUP(MAX(INT((OFFSET($C$12,$I27,MATCH($T$11,$D$12:$G$12,0))-6)/10),1),组队产出!$B$25:$B$39,组队产出!$P$25:$P$39)*OFFSET($C$1,MATCH(V$12,$C$2:$C$7,0),MATCH($T$11,$D$12:$G$12,0))</f>
        <v>2212.8</v>
      </c>
      <c r="W27" s="163">
        <f ca="1">竞技场!$G$3*OFFSET($C$1,MATCH(W$12,$C$2:$C$7,0),MATCH($T$11,$D$12:$G$12,0))</f>
        <v>2100</v>
      </c>
      <c r="X2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" s="23">
        <f>任务!$G$6+任务!$G$9+IF(MOD(S27,7)=0,任务!$N$9+任务!$O$6,0)</f>
        <v>895</v>
      </c>
      <c r="Z27" s="25">
        <f>公会!$U$11</f>
        <v>2766.62857142857</v>
      </c>
      <c r="AA27" s="163">
        <f ca="1">_xlfn.XLOOKUP(OFFSET($C$12,$I27,MATCH($T$11,$D$12:$G$12,0)),巡逻产出!$B$311:$B$610,巡逻产出!$Q$311:$Q$610)*OFFSET($C$1,MATCH(AA$12,$C$2:$C$7,0),MATCH($T$11,$D$12:$G$12,0))</f>
        <v>2146.248</v>
      </c>
      <c r="AC27" s="160">
        <v>15</v>
      </c>
      <c r="AD27" s="163" t="e">
        <f ca="1">_xlfn.XLOOKUP(OFFSET($C$12,$I27,MATCH($AD$11,$D$12:$G$12,0)),主线推图!$B$313:$B$612,主线推图!$P$313:$P$612)*OFFSET($C$1,MATCH(AD$12,$C$2:$C$7,0),MATCH($AD$11,$D$12:$G$12,0))</f>
        <v>#N/A</v>
      </c>
      <c r="AE27" s="163" t="e">
        <f ca="1">_xlfn.XLOOKUP(OFFSET($C$12,$I27,MATCH($AD$11,$D$12:$G$12,0)),巡逻产出!$B$311:$B$610,巡逻产出!$R$311:$R$610)*OFFSET($C$1,MATCH(AE$12,$C$2:$C$7,0),MATCH($AD$11,$D$12:$G$12,0))</f>
        <v>#N/A</v>
      </c>
      <c r="AF27" s="163">
        <f ca="1">_xlfn.XLOOKUP(MAX(INT((OFFSET($C$12,$I27,MATCH($AD$11,$D$12:$G$12,0))-6)/10),1),组队产出!$B$25:$B$39,组队产出!$P$25:$P$39)*OFFSET($C$1,MATCH(AF$12,$C$2:$C$7,0),MATCH($AD$11,$D$12:$G$12,0))</f>
        <v>2224.8</v>
      </c>
      <c r="AG27" s="163">
        <f ca="1">竞技场!$G$3*OFFSET($C$1,MATCH(AG$12,$C$2:$C$7,0),MATCH($AD$11,$D$12:$G$12,0))</f>
        <v>3150</v>
      </c>
      <c r="AH2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" s="23">
        <f>任务!$G$6+任务!$G$9+IF(MOD(AC27,7)=0,任务!$N$9+任务!$O$6,0)</f>
        <v>895</v>
      </c>
      <c r="AJ27" s="25">
        <f>公会!$U$11</f>
        <v>2766.62857142857</v>
      </c>
      <c r="AK27" s="163" t="e">
        <f ca="1">_xlfn.XLOOKUP(OFFSET($C$12,$I27,MATCH($AD$11,$D$12:$G$12,0)),巡逻产出!$B$311:$B$610,巡逻产出!$Q$311:$Q$610)*OFFSET($C$1,MATCH(AK$12,$C$2:$C$7,0),MATCH($AD$11,$D$12:$G$12,0))</f>
        <v>#N/A</v>
      </c>
      <c r="AM27" s="164">
        <v>15</v>
      </c>
      <c r="AN27" s="165">
        <v>2392</v>
      </c>
      <c r="AO27" s="165">
        <v>2887</v>
      </c>
      <c r="AP27" s="165">
        <v>4255</v>
      </c>
      <c r="AQ27" s="165">
        <v>5360</v>
      </c>
    </row>
    <row r="28" spans="3:43">
      <c r="C28" s="160">
        <v>16</v>
      </c>
      <c r="D28" s="161">
        <v>64</v>
      </c>
      <c r="E28" s="163">
        <f>E27+1</f>
        <v>69</v>
      </c>
      <c r="F28" s="163">
        <f t="shared" ref="F28:F33" si="4">F27+1</f>
        <v>75</v>
      </c>
      <c r="G28" s="163">
        <v>83</v>
      </c>
      <c r="I28" s="160">
        <v>16</v>
      </c>
      <c r="J28" s="163">
        <f ca="1">_xlfn.XLOOKUP(OFFSET($C$12,$I28,MATCH($J$11,$D$12:$G$12,0)),主线推图!$B$313:$B$612,主线推图!$P$313:$P$612)*OFFSET($C$1,MATCH(J$12,$C$2:$C$7,0),MATCH($J$11,$D$12:$G$12,0))</f>
        <v>1405</v>
      </c>
      <c r="K28" s="163">
        <f ca="1">_xlfn.XLOOKUP(OFFSET($C$12,$I28,MATCH($J$11,$D$12:$G$12,0)),巡逻产出!$B$311:$B$610,巡逻产出!$R$311:$R$610)*OFFSET($C$1,MATCH(K$12,$C$2:$C$7,0),MATCH($J$11,$D$12:$G$12,0))</f>
        <v>621.25</v>
      </c>
      <c r="L28" s="163">
        <f ca="1">_xlfn.XLOOKUP(MAX(INT((OFFSET($C$12,$I28,MATCH($J$11,$D$12:$G$12,0))-6)/10),1),组队产出!$B$25:$B$39,组队产出!$P$25:$P$39)*OFFSET($C$1,MATCH(L$12,$C$2:$C$7,0),MATCH($J$11,$D$12:$G$12,0))</f>
        <v>1106.4</v>
      </c>
      <c r="M28" s="163">
        <f ca="1">竞技场!$G$3*OFFSET($C$1,MATCH(M$12,$C$2:$C$7,0),MATCH($J$11,$D$12:$G$12,0))</f>
        <v>1050</v>
      </c>
      <c r="N2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" s="23">
        <f>任务!$G$6+任务!$G$9+IF(MOD(I28,7)=0,任务!$N$9+任务!$O$6,0)</f>
        <v>895</v>
      </c>
      <c r="P28" s="25">
        <f>公会!$U$11</f>
        <v>2766.62857142857</v>
      </c>
      <c r="Q28" s="163">
        <f ca="1">_xlfn.XLOOKUP(OFFSET($C$12,$I28,MATCH($J$11,$D$12:$G$12,0)),巡逻产出!$B$311:$B$610,巡逻产出!$Q$311:$Q$610)*OFFSET($C$1,MATCH(Q$12,$C$2:$C$7,0),MATCH($J$11,$D$12:$G$12,0))</f>
        <v>1641.36</v>
      </c>
      <c r="S28" s="160">
        <v>16</v>
      </c>
      <c r="T28" s="163">
        <f ca="1">_xlfn.XLOOKUP(OFFSET($C$12,$I28,MATCH($T$11,$D$12:$G$12,0)),主线推图!$B$313:$B$612,主线推图!$P$313:$P$612)*OFFSET($C$1,MATCH(T$12,$C$2:$C$7,0),MATCH($T$11,$D$12:$G$12,0))</f>
        <v>2121</v>
      </c>
      <c r="U28" s="163">
        <f ca="1">_xlfn.XLOOKUP(OFFSET($C$12,$I28,MATCH($T$11,$D$12:$G$12,0)),巡逻产出!$B$311:$B$610,巡逻产出!$R$311:$R$610)*OFFSET($C$1,MATCH(U$12,$C$2:$C$7,0),MATCH($T$11,$D$12:$G$12,0))</f>
        <v>1870.5</v>
      </c>
      <c r="V28" s="163">
        <f ca="1">_xlfn.XLOOKUP(MAX(INT((OFFSET($C$12,$I28,MATCH($T$11,$D$12:$G$12,0))-6)/10),1),组队产出!$B$25:$B$39,组队产出!$P$25:$P$39)*OFFSET($C$1,MATCH(V$12,$C$2:$C$7,0),MATCH($T$11,$D$12:$G$12,0))</f>
        <v>2212.8</v>
      </c>
      <c r="W28" s="163">
        <f ca="1">竞技场!$G$3*OFFSET($C$1,MATCH(W$12,$C$2:$C$7,0),MATCH($T$11,$D$12:$G$12,0))</f>
        <v>2100</v>
      </c>
      <c r="X2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" s="23">
        <f>任务!$G$6+任务!$G$9+IF(MOD(S28,7)=0,任务!$N$9+任务!$O$6,0)</f>
        <v>895</v>
      </c>
      <c r="Z28" s="25">
        <f>公会!$U$11</f>
        <v>2766.62857142857</v>
      </c>
      <c r="AA28" s="163">
        <f ca="1">_xlfn.XLOOKUP(OFFSET($C$12,$I28,MATCH($T$11,$D$12:$G$12,0)),巡逻产出!$B$311:$B$610,巡逻产出!$Q$311:$Q$610)*OFFSET($C$1,MATCH(AA$12,$C$2:$C$7,0),MATCH($T$11,$D$12:$G$12,0))</f>
        <v>2147.808</v>
      </c>
      <c r="AC28" s="160">
        <v>16</v>
      </c>
      <c r="AD28" s="163">
        <f ca="1">_xlfn.XLOOKUP(OFFSET($C$12,$I28,MATCH($AD$11,$D$12:$G$12,0)),主线推图!$B$313:$B$612,主线推图!$P$313:$P$612)*OFFSET($C$1,MATCH(AD$12,$C$2:$C$7,0),MATCH($AD$11,$D$12:$G$12,0))</f>
        <v>3128.4</v>
      </c>
      <c r="AE28" s="163">
        <f ca="1">_xlfn.XLOOKUP(OFFSET($C$12,$I28,MATCH($AD$11,$D$12:$G$12,0)),巡逻产出!$B$311:$B$610,巡逻产出!$R$311:$R$610)*OFFSET($C$1,MATCH(AE$12,$C$2:$C$7,0),MATCH($AD$11,$D$12:$G$12,0))</f>
        <v>0</v>
      </c>
      <c r="AF28" s="163">
        <f ca="1">_xlfn.XLOOKUP(MAX(INT((OFFSET($C$12,$I28,MATCH($AD$11,$D$12:$G$12,0))-6)/10),1),组队产出!$B$25:$B$39,组队产出!$P$25:$P$39)*OFFSET($C$1,MATCH(AF$12,$C$2:$C$7,0),MATCH($AD$11,$D$12:$G$12,0))</f>
        <v>2224.8</v>
      </c>
      <c r="AG28" s="163">
        <f ca="1">竞技场!$G$3*OFFSET($C$1,MATCH(AG$12,$C$2:$C$7,0),MATCH($AD$11,$D$12:$G$12,0))</f>
        <v>3150</v>
      </c>
      <c r="AH2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" s="23">
        <f>任务!$G$6+任务!$G$9+IF(MOD(AC28,7)=0,任务!$N$9+任务!$O$6,0)</f>
        <v>895</v>
      </c>
      <c r="AJ28" s="25">
        <f>公会!$U$11</f>
        <v>2766.62857142857</v>
      </c>
      <c r="AK28" s="163">
        <f ca="1">_xlfn.XLOOKUP(OFFSET($C$12,$I28,MATCH($AD$11,$D$12:$G$12,0)),巡逻产出!$B$311:$B$610,巡逻产出!$Q$311:$Q$610)*OFFSET($C$1,MATCH(AK$12,$C$2:$C$7,0),MATCH($AD$11,$D$12:$G$12,0))</f>
        <v>2160.288</v>
      </c>
      <c r="AM28" s="164">
        <v>16</v>
      </c>
      <c r="AN28" s="165">
        <v>2505</v>
      </c>
      <c r="AO28" s="165">
        <v>3030</v>
      </c>
      <c r="AP28" s="165">
        <v>4484</v>
      </c>
      <c r="AQ28" s="165">
        <v>5662</v>
      </c>
    </row>
    <row r="29" spans="3:43">
      <c r="C29" s="160">
        <v>17</v>
      </c>
      <c r="D29" s="163">
        <v>65</v>
      </c>
      <c r="E29" s="163">
        <f>E28+1</f>
        <v>70</v>
      </c>
      <c r="F29" s="163">
        <f t="shared" si="4"/>
        <v>76</v>
      </c>
      <c r="G29" s="163">
        <v>84.5</v>
      </c>
      <c r="I29" s="160">
        <v>17</v>
      </c>
      <c r="J29" s="163">
        <f ca="1">_xlfn.XLOOKUP(OFFSET($C$12,$I29,MATCH($J$11,$D$12:$G$12,0)),主线推图!$B$313:$B$612,主线推图!$P$313:$P$612)*OFFSET($C$1,MATCH(J$12,$C$2:$C$7,0),MATCH($J$11,$D$12:$G$12,0))</f>
        <v>1406</v>
      </c>
      <c r="K29" s="163">
        <f ca="1">_xlfn.XLOOKUP(OFFSET($C$12,$I29,MATCH($J$11,$D$12:$G$12,0)),巡逻产出!$B$311:$B$610,巡逻产出!$R$311:$R$610)*OFFSET($C$1,MATCH(K$12,$C$2:$C$7,0),MATCH($J$11,$D$12:$G$12,0))</f>
        <v>621.5</v>
      </c>
      <c r="L29" s="163">
        <f ca="1">_xlfn.XLOOKUP(MAX(INT((OFFSET($C$12,$I29,MATCH($J$11,$D$12:$G$12,0))-6)/10),1),组队产出!$B$25:$B$39,组队产出!$P$25:$P$39)*OFFSET($C$1,MATCH(L$12,$C$2:$C$7,0),MATCH($J$11,$D$12:$G$12,0))</f>
        <v>1106.4</v>
      </c>
      <c r="M29" s="163">
        <f ca="1">竞技场!$G$3*OFFSET($C$1,MATCH(M$12,$C$2:$C$7,0),MATCH($J$11,$D$12:$G$12,0))</f>
        <v>1050</v>
      </c>
      <c r="N2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" s="23">
        <f>任务!$G$6+任务!$G$9+IF(MOD(I29,7)=0,任务!$N$9+任务!$O$6,0)</f>
        <v>895</v>
      </c>
      <c r="P29" s="25">
        <f>公会!$U$11</f>
        <v>2766.62857142857</v>
      </c>
      <c r="Q29" s="163">
        <f ca="1">_xlfn.XLOOKUP(OFFSET($C$12,$I29,MATCH($J$11,$D$12:$G$12,0)),巡逻产出!$B$311:$B$610,巡逻产出!$Q$311:$Q$610)*OFFSET($C$1,MATCH(Q$12,$C$2:$C$7,0),MATCH($J$11,$D$12:$G$12,0))</f>
        <v>1642.56</v>
      </c>
      <c r="S29" s="160">
        <v>17</v>
      </c>
      <c r="T29" s="163">
        <f ca="1">_xlfn.XLOOKUP(OFFSET($C$12,$I29,MATCH($T$11,$D$12:$G$12,0)),主线推图!$B$313:$B$612,主线推图!$P$313:$P$612)*OFFSET($C$1,MATCH(T$12,$C$2:$C$7,0),MATCH($T$11,$D$12:$G$12,0))</f>
        <v>2122.5</v>
      </c>
      <c r="U29" s="163">
        <f ca="1">_xlfn.XLOOKUP(OFFSET($C$12,$I29,MATCH($T$11,$D$12:$G$12,0)),巡逻产出!$B$311:$B$610,巡逻产出!$R$311:$R$610)*OFFSET($C$1,MATCH(U$12,$C$2:$C$7,0),MATCH($T$11,$D$12:$G$12,0))</f>
        <v>1871.25</v>
      </c>
      <c r="V29" s="163">
        <f ca="1">_xlfn.XLOOKUP(MAX(INT((OFFSET($C$12,$I29,MATCH($T$11,$D$12:$G$12,0))-6)/10),1),组队产出!$B$25:$B$39,组队产出!$P$25:$P$39)*OFFSET($C$1,MATCH(V$12,$C$2:$C$7,0),MATCH($T$11,$D$12:$G$12,0))</f>
        <v>2224.8</v>
      </c>
      <c r="W29" s="163">
        <f ca="1">竞技场!$G$3*OFFSET($C$1,MATCH(W$12,$C$2:$C$7,0),MATCH($T$11,$D$12:$G$12,0))</f>
        <v>2100</v>
      </c>
      <c r="X2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" s="23">
        <f>任务!$G$6+任务!$G$9+IF(MOD(S29,7)=0,任务!$N$9+任务!$O$6,0)</f>
        <v>895</v>
      </c>
      <c r="Z29" s="25">
        <f>公会!$U$11</f>
        <v>2766.62857142857</v>
      </c>
      <c r="AA29" s="163">
        <f ca="1">_xlfn.XLOOKUP(OFFSET($C$12,$I29,MATCH($T$11,$D$12:$G$12,0)),巡逻产出!$B$311:$B$610,巡逻产出!$Q$311:$Q$610)*OFFSET($C$1,MATCH(AA$12,$C$2:$C$7,0),MATCH($T$11,$D$12:$G$12,0))</f>
        <v>2149.368</v>
      </c>
      <c r="AC29" s="160">
        <v>17</v>
      </c>
      <c r="AD29" s="163" t="e">
        <f ca="1">_xlfn.XLOOKUP(OFFSET($C$12,$I29,MATCH($AD$11,$D$12:$G$12,0)),主线推图!$B$313:$B$612,主线推图!$P$313:$P$612)*OFFSET($C$1,MATCH(AD$12,$C$2:$C$7,0),MATCH($AD$11,$D$12:$G$12,0))</f>
        <v>#N/A</v>
      </c>
      <c r="AE29" s="163" t="e">
        <f ca="1">_xlfn.XLOOKUP(OFFSET($C$12,$I29,MATCH($AD$11,$D$12:$G$12,0)),巡逻产出!$B$311:$B$610,巡逻产出!$R$311:$R$610)*OFFSET($C$1,MATCH(AE$12,$C$2:$C$7,0),MATCH($AD$11,$D$12:$G$12,0))</f>
        <v>#N/A</v>
      </c>
      <c r="AF29" s="163">
        <f ca="1">_xlfn.XLOOKUP(MAX(INT((OFFSET($C$12,$I29,MATCH($AD$11,$D$12:$G$12,0))-6)/10),1),组队产出!$B$25:$B$39,组队产出!$P$25:$P$39)*OFFSET($C$1,MATCH(AF$12,$C$2:$C$7,0),MATCH($AD$11,$D$12:$G$12,0))</f>
        <v>2224.8</v>
      </c>
      <c r="AG29" s="163">
        <f ca="1">竞技场!$G$3*OFFSET($C$1,MATCH(AG$12,$C$2:$C$7,0),MATCH($AD$11,$D$12:$G$12,0))</f>
        <v>3150</v>
      </c>
      <c r="AH2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" s="23">
        <f>任务!$G$6+任务!$G$9+IF(MOD(AC29,7)=0,任务!$N$9+任务!$O$6,0)</f>
        <v>895</v>
      </c>
      <c r="AJ29" s="25">
        <f>公会!$U$11</f>
        <v>2766.62857142857</v>
      </c>
      <c r="AK29" s="163" t="e">
        <f ca="1">_xlfn.XLOOKUP(OFFSET($C$12,$I29,MATCH($AD$11,$D$12:$G$12,0)),巡逻产出!$B$311:$B$610,巡逻产出!$Q$311:$Q$610)*OFFSET($C$1,MATCH(AK$12,$C$2:$C$7,0),MATCH($AD$11,$D$12:$G$12,0))</f>
        <v>#N/A</v>
      </c>
      <c r="AM29" s="164">
        <v>17</v>
      </c>
      <c r="AN29" s="165">
        <v>2619</v>
      </c>
      <c r="AO29" s="165">
        <v>3173</v>
      </c>
      <c r="AP29" s="165">
        <v>4712</v>
      </c>
      <c r="AQ29" s="165">
        <v>5964</v>
      </c>
    </row>
    <row r="30" spans="3:43">
      <c r="C30" s="160">
        <v>18</v>
      </c>
      <c r="D30" s="161">
        <v>67</v>
      </c>
      <c r="E30" s="163">
        <f>E29+1</f>
        <v>71</v>
      </c>
      <c r="F30" s="163">
        <f t="shared" si="4"/>
        <v>77</v>
      </c>
      <c r="G30" s="163">
        <v>86</v>
      </c>
      <c r="I30" s="160">
        <v>18</v>
      </c>
      <c r="J30" s="163">
        <f ca="1">_xlfn.XLOOKUP(OFFSET($C$12,$I30,MATCH($J$11,$D$12:$G$12,0)),主线推图!$B$313:$B$612,主线推图!$P$313:$P$612)*OFFSET($C$1,MATCH(J$12,$C$2:$C$7,0),MATCH($J$11,$D$12:$G$12,0))</f>
        <v>1407</v>
      </c>
      <c r="K30" s="163">
        <f ca="1">_xlfn.XLOOKUP(OFFSET($C$12,$I30,MATCH($J$11,$D$12:$G$12,0)),巡逻产出!$B$311:$B$610,巡逻产出!$R$311:$R$610)*OFFSET($C$1,MATCH(K$12,$C$2:$C$7,0),MATCH($J$11,$D$12:$G$12,0))</f>
        <v>621.75</v>
      </c>
      <c r="L30" s="163">
        <f ca="1">_xlfn.XLOOKUP(MAX(INT((OFFSET($C$12,$I30,MATCH($J$11,$D$12:$G$12,0))-6)/10),1),组队产出!$B$25:$B$39,组队产出!$P$25:$P$39)*OFFSET($C$1,MATCH(L$12,$C$2:$C$7,0),MATCH($J$11,$D$12:$G$12,0))</f>
        <v>1106.4</v>
      </c>
      <c r="M30" s="163">
        <f ca="1">竞技场!$G$3*OFFSET($C$1,MATCH(M$12,$C$2:$C$7,0),MATCH($J$11,$D$12:$G$12,0))</f>
        <v>1050</v>
      </c>
      <c r="N3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" s="23">
        <f>任务!$G$6+任务!$G$9+IF(MOD(I30,7)=0,任务!$N$9+任务!$O$6,0)</f>
        <v>895</v>
      </c>
      <c r="P30" s="25">
        <f>公会!$U$11</f>
        <v>2766.62857142857</v>
      </c>
      <c r="Q30" s="163">
        <f ca="1">_xlfn.XLOOKUP(OFFSET($C$12,$I30,MATCH($J$11,$D$12:$G$12,0)),巡逻产出!$B$311:$B$610,巡逻产出!$Q$311:$Q$610)*OFFSET($C$1,MATCH(Q$12,$C$2:$C$7,0),MATCH($J$11,$D$12:$G$12,0))</f>
        <v>1643.76</v>
      </c>
      <c r="S30" s="160">
        <v>18</v>
      </c>
      <c r="T30" s="163">
        <f ca="1">_xlfn.XLOOKUP(OFFSET($C$12,$I30,MATCH($T$11,$D$12:$G$12,0)),主线推图!$B$313:$B$612,主线推图!$P$313:$P$612)*OFFSET($C$1,MATCH(T$12,$C$2:$C$7,0),MATCH($T$11,$D$12:$G$12,0))</f>
        <v>2124</v>
      </c>
      <c r="U30" s="163">
        <f ca="1">_xlfn.XLOOKUP(OFFSET($C$12,$I30,MATCH($T$11,$D$12:$G$12,0)),巡逻产出!$B$311:$B$610,巡逻产出!$R$311:$R$610)*OFFSET($C$1,MATCH(U$12,$C$2:$C$7,0),MATCH($T$11,$D$12:$G$12,0))</f>
        <v>1872</v>
      </c>
      <c r="V30" s="163">
        <f ca="1">_xlfn.XLOOKUP(MAX(INT((OFFSET($C$12,$I30,MATCH($T$11,$D$12:$G$12,0))-6)/10),1),组队产出!$B$25:$B$39,组队产出!$P$25:$P$39)*OFFSET($C$1,MATCH(V$12,$C$2:$C$7,0),MATCH($T$11,$D$12:$G$12,0))</f>
        <v>2224.8</v>
      </c>
      <c r="W30" s="163">
        <f ca="1">竞技场!$G$3*OFFSET($C$1,MATCH(W$12,$C$2:$C$7,0),MATCH($T$11,$D$12:$G$12,0))</f>
        <v>2100</v>
      </c>
      <c r="X3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" s="23">
        <f>任务!$G$6+任务!$G$9+IF(MOD(S30,7)=0,任务!$N$9+任务!$O$6,0)</f>
        <v>895</v>
      </c>
      <c r="Z30" s="25">
        <f>公会!$U$11</f>
        <v>2766.62857142857</v>
      </c>
      <c r="AA30" s="163">
        <f ca="1">_xlfn.XLOOKUP(OFFSET($C$12,$I30,MATCH($T$11,$D$12:$G$12,0)),巡逻产出!$B$311:$B$610,巡逻产出!$Q$311:$Q$610)*OFFSET($C$1,MATCH(AA$12,$C$2:$C$7,0),MATCH($T$11,$D$12:$G$12,0))</f>
        <v>2150.928</v>
      </c>
      <c r="AC30" s="160">
        <v>18</v>
      </c>
      <c r="AD30" s="163">
        <f ca="1">_xlfn.XLOOKUP(OFFSET($C$12,$I30,MATCH($AD$11,$D$12:$G$12,0)),主线推图!$B$313:$B$612,主线推图!$P$313:$P$612)*OFFSET($C$1,MATCH(AD$12,$C$2:$C$7,0),MATCH($AD$11,$D$12:$G$12,0))</f>
        <v>3135</v>
      </c>
      <c r="AE30" s="163">
        <f ca="1">_xlfn.XLOOKUP(OFFSET($C$12,$I30,MATCH($AD$11,$D$12:$G$12,0)),巡逻产出!$B$311:$B$610,巡逻产出!$R$311:$R$610)*OFFSET($C$1,MATCH(AE$12,$C$2:$C$7,0),MATCH($AD$11,$D$12:$G$12,0))</f>
        <v>0</v>
      </c>
      <c r="AF30" s="163">
        <f ca="1">_xlfn.XLOOKUP(MAX(INT((OFFSET($C$12,$I30,MATCH($AD$11,$D$12:$G$12,0))-6)/10),1),组队产出!$B$25:$B$39,组队产出!$P$25:$P$39)*OFFSET($C$1,MATCH(AF$12,$C$2:$C$7,0),MATCH($AD$11,$D$12:$G$12,0))</f>
        <v>2236.8</v>
      </c>
      <c r="AG30" s="163">
        <f ca="1">竞技场!$G$3*OFFSET($C$1,MATCH(AG$12,$C$2:$C$7,0),MATCH($AD$11,$D$12:$G$12,0))</f>
        <v>3150</v>
      </c>
      <c r="AH3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" s="23">
        <f>任务!$G$6+任务!$G$9+IF(MOD(AC30,7)=0,任务!$N$9+任务!$O$6,0)</f>
        <v>895</v>
      </c>
      <c r="AJ30" s="25">
        <f>公会!$U$11</f>
        <v>2766.62857142857</v>
      </c>
      <c r="AK30" s="163">
        <f ca="1">_xlfn.XLOOKUP(OFFSET($C$12,$I30,MATCH($AD$11,$D$12:$G$12,0)),巡逻产出!$B$311:$B$610,巡逻产出!$Q$311:$Q$610)*OFFSET($C$1,MATCH(AK$12,$C$2:$C$7,0),MATCH($AD$11,$D$12:$G$12,0))</f>
        <v>2164.968</v>
      </c>
      <c r="AM30" s="164">
        <v>18</v>
      </c>
      <c r="AN30" s="165">
        <v>2733</v>
      </c>
      <c r="AO30" s="165">
        <v>3316</v>
      </c>
      <c r="AP30" s="165">
        <v>4941</v>
      </c>
      <c r="AQ30" s="165">
        <v>6266</v>
      </c>
    </row>
    <row r="31" spans="3:43">
      <c r="C31" s="160">
        <v>19</v>
      </c>
      <c r="D31" s="163">
        <v>69</v>
      </c>
      <c r="E31" s="163">
        <f>E30+1</f>
        <v>72</v>
      </c>
      <c r="F31" s="163">
        <f t="shared" si="4"/>
        <v>78</v>
      </c>
      <c r="G31" s="163">
        <v>87.5</v>
      </c>
      <c r="I31" s="160">
        <v>19</v>
      </c>
      <c r="J31" s="163">
        <f ca="1">_xlfn.XLOOKUP(OFFSET($C$12,$I31,MATCH($J$11,$D$12:$G$12,0)),主线推图!$B$313:$B$612,主线推图!$P$313:$P$612)*OFFSET($C$1,MATCH(J$12,$C$2:$C$7,0),MATCH($J$11,$D$12:$G$12,0))</f>
        <v>1408</v>
      </c>
      <c r="K31" s="163">
        <f ca="1">_xlfn.XLOOKUP(OFFSET($C$12,$I31,MATCH($J$11,$D$12:$G$12,0)),巡逻产出!$B$311:$B$610,巡逻产出!$R$311:$R$610)*OFFSET($C$1,MATCH(K$12,$C$2:$C$7,0),MATCH($J$11,$D$12:$G$12,0))</f>
        <v>622</v>
      </c>
      <c r="L31" s="163">
        <f ca="1">_xlfn.XLOOKUP(MAX(INT((OFFSET($C$12,$I31,MATCH($J$11,$D$12:$G$12,0))-6)/10),1),组队产出!$B$25:$B$39,组队产出!$P$25:$P$39)*OFFSET($C$1,MATCH(L$12,$C$2:$C$7,0),MATCH($J$11,$D$12:$G$12,0))</f>
        <v>1106.4</v>
      </c>
      <c r="M31" s="163">
        <f ca="1">竞技场!$G$3*OFFSET($C$1,MATCH(M$12,$C$2:$C$7,0),MATCH($J$11,$D$12:$G$12,0))</f>
        <v>1050</v>
      </c>
      <c r="N3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1" s="23">
        <f>任务!$G$6+任务!$G$9+IF(MOD(I31,7)=0,任务!$N$9+任务!$O$6,0)</f>
        <v>895</v>
      </c>
      <c r="P31" s="25">
        <f>公会!$U$11</f>
        <v>2766.62857142857</v>
      </c>
      <c r="Q31" s="163">
        <f ca="1">_xlfn.XLOOKUP(OFFSET($C$12,$I31,MATCH($J$11,$D$12:$G$12,0)),巡逻产出!$B$311:$B$610,巡逻产出!$Q$311:$Q$610)*OFFSET($C$1,MATCH(Q$12,$C$2:$C$7,0),MATCH($J$11,$D$12:$G$12,0))</f>
        <v>1644.96</v>
      </c>
      <c r="S31" s="160">
        <v>19</v>
      </c>
      <c r="T31" s="163">
        <f ca="1">_xlfn.XLOOKUP(OFFSET($C$12,$I31,MATCH($T$11,$D$12:$G$12,0)),主线推图!$B$313:$B$612,主线推图!$P$313:$P$612)*OFFSET($C$1,MATCH(T$12,$C$2:$C$7,0),MATCH($T$11,$D$12:$G$12,0))</f>
        <v>2125.5</v>
      </c>
      <c r="U31" s="163">
        <f ca="1">_xlfn.XLOOKUP(OFFSET($C$12,$I31,MATCH($T$11,$D$12:$G$12,0)),巡逻产出!$B$311:$B$610,巡逻产出!$R$311:$R$610)*OFFSET($C$1,MATCH(U$12,$C$2:$C$7,0),MATCH($T$11,$D$12:$G$12,0))</f>
        <v>1872.75</v>
      </c>
      <c r="V31" s="163">
        <f ca="1">_xlfn.XLOOKUP(MAX(INT((OFFSET($C$12,$I31,MATCH($T$11,$D$12:$G$12,0))-6)/10),1),组队产出!$B$25:$B$39,组队产出!$P$25:$P$39)*OFFSET($C$1,MATCH(V$12,$C$2:$C$7,0),MATCH($T$11,$D$12:$G$12,0))</f>
        <v>2224.8</v>
      </c>
      <c r="W31" s="163">
        <f ca="1">竞技场!$G$3*OFFSET($C$1,MATCH(W$12,$C$2:$C$7,0),MATCH($T$11,$D$12:$G$12,0))</f>
        <v>2100</v>
      </c>
      <c r="X3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1" s="23">
        <f>任务!$G$6+任务!$G$9+IF(MOD(S31,7)=0,任务!$N$9+任务!$O$6,0)</f>
        <v>895</v>
      </c>
      <c r="Z31" s="25">
        <f>公会!$U$11</f>
        <v>2766.62857142857</v>
      </c>
      <c r="AA31" s="163">
        <f ca="1">_xlfn.XLOOKUP(OFFSET($C$12,$I31,MATCH($T$11,$D$12:$G$12,0)),巡逻产出!$B$311:$B$610,巡逻产出!$Q$311:$Q$610)*OFFSET($C$1,MATCH(AA$12,$C$2:$C$7,0),MATCH($T$11,$D$12:$G$12,0))</f>
        <v>2152.488</v>
      </c>
      <c r="AC31" s="160">
        <v>19</v>
      </c>
      <c r="AD31" s="163" t="e">
        <f ca="1">_xlfn.XLOOKUP(OFFSET($C$12,$I31,MATCH($AD$11,$D$12:$G$12,0)),主线推图!$B$313:$B$612,主线推图!$P$313:$P$612)*OFFSET($C$1,MATCH(AD$12,$C$2:$C$7,0),MATCH($AD$11,$D$12:$G$12,0))</f>
        <v>#N/A</v>
      </c>
      <c r="AE31" s="163" t="e">
        <f ca="1">_xlfn.XLOOKUP(OFFSET($C$12,$I31,MATCH($AD$11,$D$12:$G$12,0)),巡逻产出!$B$311:$B$610,巡逻产出!$R$311:$R$610)*OFFSET($C$1,MATCH(AE$12,$C$2:$C$7,0),MATCH($AD$11,$D$12:$G$12,0))</f>
        <v>#N/A</v>
      </c>
      <c r="AF31" s="163">
        <f ca="1">_xlfn.XLOOKUP(MAX(INT((OFFSET($C$12,$I31,MATCH($AD$11,$D$12:$G$12,0))-6)/10),1),组队产出!$B$25:$B$39,组队产出!$P$25:$P$39)*OFFSET($C$1,MATCH(AF$12,$C$2:$C$7,0),MATCH($AD$11,$D$12:$G$12,0))</f>
        <v>2236.8</v>
      </c>
      <c r="AG31" s="163">
        <f ca="1">竞技场!$G$3*OFFSET($C$1,MATCH(AG$12,$C$2:$C$7,0),MATCH($AD$11,$D$12:$G$12,0))</f>
        <v>3150</v>
      </c>
      <c r="AH3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1" s="23">
        <f>任务!$G$6+任务!$G$9+IF(MOD(AC31,7)=0,任务!$N$9+任务!$O$6,0)</f>
        <v>895</v>
      </c>
      <c r="AJ31" s="25">
        <f>公会!$U$11</f>
        <v>2766.62857142857</v>
      </c>
      <c r="AK31" s="163" t="e">
        <f ca="1">_xlfn.XLOOKUP(OFFSET($C$12,$I31,MATCH($AD$11,$D$12:$G$12,0)),巡逻产出!$B$311:$B$610,巡逻产出!$Q$311:$Q$610)*OFFSET($C$1,MATCH(AK$12,$C$2:$C$7,0),MATCH($AD$11,$D$12:$G$12,0))</f>
        <v>#N/A</v>
      </c>
      <c r="AM31" s="164">
        <v>19</v>
      </c>
      <c r="AN31" s="165">
        <v>2847</v>
      </c>
      <c r="AO31" s="165">
        <v>3459</v>
      </c>
      <c r="AP31" s="165">
        <v>5169</v>
      </c>
      <c r="AQ31" s="165">
        <v>6568</v>
      </c>
    </row>
    <row r="32" spans="3:43">
      <c r="C32" s="160">
        <v>20</v>
      </c>
      <c r="D32" s="161">
        <v>71</v>
      </c>
      <c r="E32" s="167">
        <f>E31+0.5</f>
        <v>72.5</v>
      </c>
      <c r="F32" s="167">
        <f t="shared" si="4"/>
        <v>79</v>
      </c>
      <c r="G32" s="163">
        <v>89</v>
      </c>
      <c r="I32" s="160">
        <v>20</v>
      </c>
      <c r="J32" s="163">
        <f ca="1">_xlfn.XLOOKUP(OFFSET($C$12,$I32,MATCH($J$11,$D$12:$G$12,0)),主线推图!$B$313:$B$612,主线推图!$P$313:$P$612)*OFFSET($C$1,MATCH(J$12,$C$2:$C$7,0),MATCH($J$11,$D$12:$G$12,0))</f>
        <v>1409</v>
      </c>
      <c r="K32" s="163">
        <f ca="1">_xlfn.XLOOKUP(OFFSET($C$12,$I32,MATCH($J$11,$D$12:$G$12,0)),巡逻产出!$B$311:$B$610,巡逻产出!$R$311:$R$610)*OFFSET($C$1,MATCH(K$12,$C$2:$C$7,0),MATCH($J$11,$D$12:$G$12,0))</f>
        <v>622.25</v>
      </c>
      <c r="L32" s="163">
        <f ca="1">_xlfn.XLOOKUP(MAX(INT((OFFSET($C$12,$I32,MATCH($J$11,$D$12:$G$12,0))-6)/10),1),组队产出!$B$25:$B$39,组队产出!$P$25:$P$39)*OFFSET($C$1,MATCH(L$12,$C$2:$C$7,0),MATCH($J$11,$D$12:$G$12,0))</f>
        <v>1106.4</v>
      </c>
      <c r="M32" s="163">
        <f ca="1">竞技场!$G$3*OFFSET($C$1,MATCH(M$12,$C$2:$C$7,0),MATCH($J$11,$D$12:$G$12,0))</f>
        <v>1050</v>
      </c>
      <c r="N3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2" s="23">
        <f>任务!$G$6+任务!$G$9+IF(MOD(I32,7)=0,任务!$N$9+任务!$O$6,0)</f>
        <v>895</v>
      </c>
      <c r="P32" s="25">
        <f>公会!$U$11</f>
        <v>2766.62857142857</v>
      </c>
      <c r="Q32" s="163">
        <f ca="1">_xlfn.XLOOKUP(OFFSET($C$12,$I32,MATCH($J$11,$D$12:$G$12,0)),巡逻产出!$B$311:$B$610,巡逻产出!$Q$311:$Q$610)*OFFSET($C$1,MATCH(Q$12,$C$2:$C$7,0),MATCH($J$11,$D$12:$G$12,0))</f>
        <v>1646.16</v>
      </c>
      <c r="S32" s="160">
        <v>20</v>
      </c>
      <c r="T32" s="163">
        <f ca="1">_xlfn.XLOOKUP(OFFSET($C$12,$I32,MATCH($T$11,$D$12:$G$12,0)),主线推图!$B$313:$B$612,主线推图!$P$313:$P$612)*OFFSET($C$1,MATCH(T$12,$C$2:$C$7,0),MATCH($T$11,$D$12:$G$12,0))</f>
        <v>2127</v>
      </c>
      <c r="U32" s="163">
        <f ca="1">_xlfn.XLOOKUP(OFFSET($C$12,$I32,MATCH($T$11,$D$12:$G$12,0)),巡逻产出!$B$311:$B$610,巡逻产出!$R$311:$R$610)*OFFSET($C$1,MATCH(U$12,$C$2:$C$7,0),MATCH($T$11,$D$12:$G$12,0))</f>
        <v>1873.5</v>
      </c>
      <c r="V32" s="163">
        <f ca="1">_xlfn.XLOOKUP(MAX(INT((OFFSET($C$12,$I32,MATCH($T$11,$D$12:$G$12,0))-6)/10),1),组队产出!$B$25:$B$39,组队产出!$P$25:$P$39)*OFFSET($C$1,MATCH(V$12,$C$2:$C$7,0),MATCH($T$11,$D$12:$G$12,0))</f>
        <v>2224.8</v>
      </c>
      <c r="W32" s="163">
        <f ca="1">竞技场!$G$3*OFFSET($C$1,MATCH(W$12,$C$2:$C$7,0),MATCH($T$11,$D$12:$G$12,0))</f>
        <v>2100</v>
      </c>
      <c r="X3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2" s="23">
        <f>任务!$G$6+任务!$G$9+IF(MOD(S32,7)=0,任务!$N$9+任务!$O$6,0)</f>
        <v>895</v>
      </c>
      <c r="Z32" s="25">
        <f>公会!$U$11</f>
        <v>2766.62857142857</v>
      </c>
      <c r="AA32" s="163">
        <f ca="1">_xlfn.XLOOKUP(OFFSET($C$12,$I32,MATCH($T$11,$D$12:$G$12,0)),巡逻产出!$B$311:$B$610,巡逻产出!$Q$311:$Q$610)*OFFSET($C$1,MATCH(AA$12,$C$2:$C$7,0),MATCH($T$11,$D$12:$G$12,0))</f>
        <v>2154.048</v>
      </c>
      <c r="AC32" s="160">
        <v>20</v>
      </c>
      <c r="AD32" s="163">
        <f ca="1">_xlfn.XLOOKUP(OFFSET($C$12,$I32,MATCH($AD$11,$D$12:$G$12,0)),主线推图!$B$313:$B$612,主线推图!$P$313:$P$612)*OFFSET($C$1,MATCH(AD$12,$C$2:$C$7,0),MATCH($AD$11,$D$12:$G$12,0))</f>
        <v>3141.6</v>
      </c>
      <c r="AE32" s="163">
        <f ca="1">_xlfn.XLOOKUP(OFFSET($C$12,$I32,MATCH($AD$11,$D$12:$G$12,0)),巡逻产出!$B$311:$B$610,巡逻产出!$R$311:$R$610)*OFFSET($C$1,MATCH(AE$12,$C$2:$C$7,0),MATCH($AD$11,$D$12:$G$12,0))</f>
        <v>0</v>
      </c>
      <c r="AF32" s="163">
        <f ca="1">_xlfn.XLOOKUP(MAX(INT((OFFSET($C$12,$I32,MATCH($AD$11,$D$12:$G$12,0))-6)/10),1),组队产出!$B$25:$B$39,组队产出!$P$25:$P$39)*OFFSET($C$1,MATCH(AF$12,$C$2:$C$7,0),MATCH($AD$11,$D$12:$G$12,0))</f>
        <v>2236.8</v>
      </c>
      <c r="AG32" s="163">
        <f ca="1">竞技场!$G$3*OFFSET($C$1,MATCH(AG$12,$C$2:$C$7,0),MATCH($AD$11,$D$12:$G$12,0))</f>
        <v>3150</v>
      </c>
      <c r="AH3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2" s="23">
        <f>任务!$G$6+任务!$G$9+IF(MOD(AC32,7)=0,任务!$N$9+任务!$O$6,0)</f>
        <v>895</v>
      </c>
      <c r="AJ32" s="25">
        <f>公会!$U$11</f>
        <v>2766.62857142857</v>
      </c>
      <c r="AK32" s="163">
        <f ca="1">_xlfn.XLOOKUP(OFFSET($C$12,$I32,MATCH($AD$11,$D$12:$G$12,0)),巡逻产出!$B$311:$B$610,巡逻产出!$Q$311:$Q$610)*OFFSET($C$1,MATCH(AK$12,$C$2:$C$7,0),MATCH($AD$11,$D$12:$G$12,0))</f>
        <v>2169.648</v>
      </c>
      <c r="AM32" s="164">
        <v>20</v>
      </c>
      <c r="AN32" s="165">
        <v>2960</v>
      </c>
      <c r="AO32" s="165">
        <v>3602</v>
      </c>
      <c r="AP32" s="165">
        <v>5398</v>
      </c>
      <c r="AQ32" s="165">
        <v>6870</v>
      </c>
    </row>
    <row r="33" spans="3:43">
      <c r="C33" s="160">
        <v>21</v>
      </c>
      <c r="D33" s="163">
        <v>73</v>
      </c>
      <c r="E33" s="167">
        <f t="shared" ref="E33:E61" si="5">E32+0.5</f>
        <v>73</v>
      </c>
      <c r="F33" s="167">
        <f t="shared" si="4"/>
        <v>80</v>
      </c>
      <c r="G33" s="168">
        <v>90</v>
      </c>
      <c r="I33" s="160">
        <v>21</v>
      </c>
      <c r="J33" s="163">
        <f ca="1">_xlfn.XLOOKUP(OFFSET($C$12,$I33,MATCH($J$11,$D$12:$G$12,0)),主线推图!$B$313:$B$612,主线推图!$P$313:$P$612)*OFFSET($C$1,MATCH(J$12,$C$2:$C$7,0),MATCH($J$11,$D$12:$G$12,0))</f>
        <v>1410</v>
      </c>
      <c r="K33" s="163">
        <f ca="1">_xlfn.XLOOKUP(OFFSET($C$12,$I33,MATCH($J$11,$D$12:$G$12,0)),巡逻产出!$B$311:$B$610,巡逻产出!$R$311:$R$610)*OFFSET($C$1,MATCH(K$12,$C$2:$C$7,0),MATCH($J$11,$D$12:$G$12,0))</f>
        <v>622.5</v>
      </c>
      <c r="L33" s="163">
        <f ca="1">_xlfn.XLOOKUP(MAX(INT((OFFSET($C$12,$I33,MATCH($J$11,$D$12:$G$12,0))-6)/10),1),组队产出!$B$25:$B$39,组队产出!$P$25:$P$39)*OFFSET($C$1,MATCH(L$12,$C$2:$C$7,0),MATCH($J$11,$D$12:$G$12,0))</f>
        <v>1106.4</v>
      </c>
      <c r="M33" s="163">
        <f ca="1">竞技场!$G$3*OFFSET($C$1,MATCH(M$12,$C$2:$C$7,0),MATCH($J$11,$D$12:$G$12,0))</f>
        <v>1050</v>
      </c>
      <c r="N3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3" s="23">
        <f>任务!$G$6+任务!$G$9+IF(MOD(I33,7)=0,任务!$N$9+任务!$O$6,0)</f>
        <v>3125</v>
      </c>
      <c r="P33" s="25">
        <f>公会!$U$11</f>
        <v>2766.62857142857</v>
      </c>
      <c r="Q33" s="163">
        <f ca="1">_xlfn.XLOOKUP(OFFSET($C$12,$I33,MATCH($J$11,$D$12:$G$12,0)),巡逻产出!$B$311:$B$610,巡逻产出!$Q$311:$Q$610)*OFFSET($C$1,MATCH(Q$12,$C$2:$C$7,0),MATCH($J$11,$D$12:$G$12,0))</f>
        <v>1647.36</v>
      </c>
      <c r="S33" s="160">
        <v>21</v>
      </c>
      <c r="T33" s="163">
        <f ca="1">_xlfn.XLOOKUP(OFFSET($C$12,$I33,MATCH($T$11,$D$12:$G$12,0)),主线推图!$B$313:$B$612,主线推图!$P$313:$P$612)*OFFSET($C$1,MATCH(T$12,$C$2:$C$7,0),MATCH($T$11,$D$12:$G$12,0))</f>
        <v>2128.5</v>
      </c>
      <c r="U33" s="163">
        <f ca="1">_xlfn.XLOOKUP(OFFSET($C$12,$I33,MATCH($T$11,$D$12:$G$12,0)),巡逻产出!$B$311:$B$610,巡逻产出!$R$311:$R$610)*OFFSET($C$1,MATCH(U$12,$C$2:$C$7,0),MATCH($T$11,$D$12:$G$12,0))</f>
        <v>1874.25</v>
      </c>
      <c r="V33" s="163">
        <f ca="1">_xlfn.XLOOKUP(MAX(INT((OFFSET($C$12,$I33,MATCH($T$11,$D$12:$G$12,0))-6)/10),1),组队产出!$B$25:$B$39,组队产出!$P$25:$P$39)*OFFSET($C$1,MATCH(V$12,$C$2:$C$7,0),MATCH($T$11,$D$12:$G$12,0))</f>
        <v>2224.8</v>
      </c>
      <c r="W33" s="163">
        <f ca="1">竞技场!$G$3*OFFSET($C$1,MATCH(W$12,$C$2:$C$7,0),MATCH($T$11,$D$12:$G$12,0))</f>
        <v>2100</v>
      </c>
      <c r="X3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3" s="23">
        <f>任务!$G$6+任务!$G$9+IF(MOD(S33,7)=0,任务!$N$9+任务!$O$6,0)</f>
        <v>3125</v>
      </c>
      <c r="Z33" s="25">
        <f>公会!$U$11</f>
        <v>2766.62857142857</v>
      </c>
      <c r="AA33" s="163">
        <f ca="1">_xlfn.XLOOKUP(OFFSET($C$12,$I33,MATCH($T$11,$D$12:$G$12,0)),巡逻产出!$B$311:$B$610,巡逻产出!$Q$311:$Q$610)*OFFSET($C$1,MATCH(AA$12,$C$2:$C$7,0),MATCH($T$11,$D$12:$G$12,0))</f>
        <v>2155.608</v>
      </c>
      <c r="AC33" s="160">
        <v>21</v>
      </c>
      <c r="AD33" s="163">
        <f ca="1">_xlfn.XLOOKUP(OFFSET($C$12,$I33,MATCH($AD$11,$D$12:$G$12,0)),主线推图!$B$313:$B$612,主线推图!$P$313:$P$612)*OFFSET($C$1,MATCH(AD$12,$C$2:$C$7,0),MATCH($AD$11,$D$12:$G$12,0))</f>
        <v>3143.8</v>
      </c>
      <c r="AE33" s="163">
        <f ca="1">_xlfn.XLOOKUP(OFFSET($C$12,$I33,MATCH($AD$11,$D$12:$G$12,0)),巡逻产出!$B$311:$B$610,巡逻产出!$R$311:$R$610)*OFFSET($C$1,MATCH(AE$12,$C$2:$C$7,0),MATCH($AD$11,$D$12:$G$12,0))</f>
        <v>0</v>
      </c>
      <c r="AF33" s="163">
        <f ca="1">_xlfn.XLOOKUP(MAX(INT((OFFSET($C$12,$I33,MATCH($AD$11,$D$12:$G$12,0))-6)/10),1),组队产出!$B$25:$B$39,组队产出!$P$25:$P$39)*OFFSET($C$1,MATCH(AF$12,$C$2:$C$7,0),MATCH($AD$11,$D$12:$G$12,0))</f>
        <v>2236.8</v>
      </c>
      <c r="AG33" s="163">
        <f ca="1">竞技场!$G$3*OFFSET($C$1,MATCH(AG$12,$C$2:$C$7,0),MATCH($AD$11,$D$12:$G$12,0))</f>
        <v>3150</v>
      </c>
      <c r="AH3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3" s="23">
        <f>任务!$G$6+任务!$G$9+IF(MOD(AC33,7)=0,任务!$N$9+任务!$O$6,0)</f>
        <v>3125</v>
      </c>
      <c r="AJ33" s="25">
        <f>公会!$U$11</f>
        <v>2766.62857142857</v>
      </c>
      <c r="AK33" s="163">
        <f ca="1">_xlfn.XLOOKUP(OFFSET($C$12,$I33,MATCH($AD$11,$D$12:$G$12,0)),巡逻产出!$B$311:$B$610,巡逻产出!$Q$311:$Q$610)*OFFSET($C$1,MATCH(AK$12,$C$2:$C$7,0),MATCH($AD$11,$D$12:$G$12,0))</f>
        <v>2171.208</v>
      </c>
      <c r="AM33" s="164">
        <v>21</v>
      </c>
      <c r="AN33" s="165">
        <v>3074</v>
      </c>
      <c r="AO33" s="165">
        <v>3745</v>
      </c>
      <c r="AP33" s="165">
        <v>5626</v>
      </c>
      <c r="AQ33" s="165">
        <v>7172</v>
      </c>
    </row>
    <row r="34" spans="3:43">
      <c r="C34" s="160">
        <v>22</v>
      </c>
      <c r="D34" s="167">
        <v>74</v>
      </c>
      <c r="E34" s="167">
        <f t="shared" si="5"/>
        <v>73.5</v>
      </c>
      <c r="F34" s="167">
        <f>F33+0.5</f>
        <v>80.5</v>
      </c>
      <c r="G34" s="168">
        <v>91.5714285714286</v>
      </c>
      <c r="I34" s="160">
        <v>22</v>
      </c>
      <c r="J34" s="163" t="e">
        <f ca="1">_xlfn.XLOOKUP(OFFSET($C$12,$I34,MATCH($J$11,$D$12:$G$12,0)),主线推图!$B$313:$B$612,主线推图!$P$313:$P$612)*OFFSET($C$1,MATCH(J$12,$C$2:$C$7,0),MATCH($J$11,$D$12:$G$12,0))</f>
        <v>#N/A</v>
      </c>
      <c r="K34" s="163" t="e">
        <f ca="1">_xlfn.XLOOKUP(OFFSET($C$12,$I34,MATCH($J$11,$D$12:$G$12,0)),巡逻产出!$B$311:$B$610,巡逻产出!$R$311:$R$610)*OFFSET($C$1,MATCH(K$12,$C$2:$C$7,0),MATCH($J$11,$D$12:$G$12,0))</f>
        <v>#N/A</v>
      </c>
      <c r="L34" s="163">
        <f ca="1">_xlfn.XLOOKUP(MAX(INT((OFFSET($C$12,$I34,MATCH($J$11,$D$12:$G$12,0))-6)/10),1),组队产出!$B$25:$B$39,组队产出!$P$25:$P$39)*OFFSET($C$1,MATCH(L$12,$C$2:$C$7,0),MATCH($J$11,$D$12:$G$12,0))</f>
        <v>1106.4</v>
      </c>
      <c r="M34" s="163">
        <f ca="1">竞技场!$G$3*OFFSET($C$1,MATCH(M$12,$C$2:$C$7,0),MATCH($J$11,$D$12:$G$12,0))</f>
        <v>1050</v>
      </c>
      <c r="N3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4" s="23">
        <f>任务!$G$6+任务!$G$9+IF(MOD(I34,7)=0,任务!$N$9+任务!$O$6,0)</f>
        <v>895</v>
      </c>
      <c r="P34" s="25">
        <f>公会!$U$11</f>
        <v>2766.62857142857</v>
      </c>
      <c r="Q34" s="163" t="e">
        <f ca="1">_xlfn.XLOOKUP(OFFSET($C$12,$I34,MATCH($J$11,$D$12:$G$12,0)),巡逻产出!$B$311:$B$610,巡逻产出!$Q$311:$Q$610)*OFFSET($C$1,MATCH(Q$12,$C$2:$C$7,0),MATCH($J$11,$D$12:$G$12,0))</f>
        <v>#N/A</v>
      </c>
      <c r="S34" s="160">
        <v>22</v>
      </c>
      <c r="T34" s="163" t="e">
        <f ca="1">_xlfn.XLOOKUP(OFFSET($C$12,$I34,MATCH($T$11,$D$12:$G$12,0)),主线推图!$B$313:$B$612,主线推图!$P$313:$P$612)*OFFSET($C$1,MATCH(T$12,$C$2:$C$7,0),MATCH($T$11,$D$12:$G$12,0))</f>
        <v>#N/A</v>
      </c>
      <c r="U34" s="163" t="e">
        <f ca="1">_xlfn.XLOOKUP(OFFSET($C$12,$I34,MATCH($T$11,$D$12:$G$12,0)),巡逻产出!$B$311:$B$610,巡逻产出!$R$311:$R$610)*OFFSET($C$1,MATCH(U$12,$C$2:$C$7,0),MATCH($T$11,$D$12:$G$12,0))</f>
        <v>#N/A</v>
      </c>
      <c r="V34" s="163">
        <f ca="1">_xlfn.XLOOKUP(MAX(INT((OFFSET($C$12,$I34,MATCH($T$11,$D$12:$G$12,0))-6)/10),1),组队产出!$B$25:$B$39,组队产出!$P$25:$P$39)*OFFSET($C$1,MATCH(V$12,$C$2:$C$7,0),MATCH($T$11,$D$12:$G$12,0))</f>
        <v>2224.8</v>
      </c>
      <c r="W34" s="163">
        <f ca="1">竞技场!$G$3*OFFSET($C$1,MATCH(W$12,$C$2:$C$7,0),MATCH($T$11,$D$12:$G$12,0))</f>
        <v>2100</v>
      </c>
      <c r="X3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4" s="23">
        <f>任务!$G$6+任务!$G$9+IF(MOD(S34,7)=0,任务!$N$9+任务!$O$6,0)</f>
        <v>895</v>
      </c>
      <c r="Z34" s="25">
        <f>公会!$U$11</f>
        <v>2766.62857142857</v>
      </c>
      <c r="AA34" s="163" t="e">
        <f ca="1">_xlfn.XLOOKUP(OFFSET($C$12,$I34,MATCH($T$11,$D$12:$G$12,0)),巡逻产出!$B$311:$B$610,巡逻产出!$Q$311:$Q$610)*OFFSET($C$1,MATCH(AA$12,$C$2:$C$7,0),MATCH($T$11,$D$12:$G$12,0))</f>
        <v>#N/A</v>
      </c>
      <c r="AC34" s="160">
        <v>22</v>
      </c>
      <c r="AD34" s="163" t="e">
        <f ca="1">_xlfn.XLOOKUP(OFFSET($C$12,$I34,MATCH($AD$11,$D$12:$G$12,0)),主线推图!$B$313:$B$612,主线推图!$P$313:$P$612)*OFFSET($C$1,MATCH(AD$12,$C$2:$C$7,0),MATCH($AD$11,$D$12:$G$12,0))</f>
        <v>#N/A</v>
      </c>
      <c r="AE34" s="163" t="e">
        <f ca="1">_xlfn.XLOOKUP(OFFSET($C$12,$I34,MATCH($AD$11,$D$12:$G$12,0)),巡逻产出!$B$311:$B$610,巡逻产出!$R$311:$R$610)*OFFSET($C$1,MATCH(AE$12,$C$2:$C$7,0),MATCH($AD$11,$D$12:$G$12,0))</f>
        <v>#N/A</v>
      </c>
      <c r="AF34" s="163">
        <f ca="1">_xlfn.XLOOKUP(MAX(INT((OFFSET($C$12,$I34,MATCH($AD$11,$D$12:$G$12,0))-6)/10),1),组队产出!$B$25:$B$39,组队产出!$P$25:$P$39)*OFFSET($C$1,MATCH(AF$12,$C$2:$C$7,0),MATCH($AD$11,$D$12:$G$12,0))</f>
        <v>2236.8</v>
      </c>
      <c r="AG34" s="163">
        <f ca="1">竞技场!$G$3*OFFSET($C$1,MATCH(AG$12,$C$2:$C$7,0),MATCH($AD$11,$D$12:$G$12,0))</f>
        <v>3150</v>
      </c>
      <c r="AH3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4" s="23">
        <f>任务!$G$6+任务!$G$9+IF(MOD(AC34,7)=0,任务!$N$9+任务!$O$6,0)</f>
        <v>895</v>
      </c>
      <c r="AJ34" s="25">
        <f>公会!$U$11</f>
        <v>2766.62857142857</v>
      </c>
      <c r="AK34" s="163" t="e">
        <f ca="1">_xlfn.XLOOKUP(OFFSET($C$12,$I34,MATCH($AD$11,$D$12:$G$12,0)),巡逻产出!$B$311:$B$610,巡逻产出!$Q$311:$Q$610)*OFFSET($C$1,MATCH(AK$12,$C$2:$C$7,0),MATCH($AD$11,$D$12:$G$12,0))</f>
        <v>#N/A</v>
      </c>
      <c r="AM34" s="164">
        <v>22</v>
      </c>
      <c r="AN34" s="165">
        <v>3188</v>
      </c>
      <c r="AO34" s="165">
        <v>3888</v>
      </c>
      <c r="AP34" s="165">
        <v>5855</v>
      </c>
      <c r="AQ34" s="165">
        <v>7474</v>
      </c>
    </row>
    <row r="35" spans="3:43">
      <c r="C35" s="160">
        <v>23</v>
      </c>
      <c r="D35" s="167">
        <v>75</v>
      </c>
      <c r="E35" s="167">
        <f t="shared" si="5"/>
        <v>74</v>
      </c>
      <c r="F35" s="167">
        <f t="shared" ref="F35:F61" si="7">F34+0.5</f>
        <v>81</v>
      </c>
      <c r="G35" s="168">
        <v>93.1428571428571</v>
      </c>
      <c r="I35" s="160">
        <v>23</v>
      </c>
      <c r="J35" s="163" t="e">
        <f ca="1">_xlfn.XLOOKUP(OFFSET($C$12,$I35,MATCH($J$11,$D$12:$G$12,0)),主线推图!$B$313:$B$612,主线推图!$P$313:$P$612)*OFFSET($C$1,MATCH(J$12,$C$2:$C$7,0),MATCH($J$11,$D$12:$G$12,0))</f>
        <v>#N/A</v>
      </c>
      <c r="K35" s="163" t="e">
        <f ca="1">_xlfn.XLOOKUP(OFFSET($C$12,$I35,MATCH($J$11,$D$12:$G$12,0)),巡逻产出!$B$311:$B$610,巡逻产出!$R$311:$R$610)*OFFSET($C$1,MATCH(K$12,$C$2:$C$7,0),MATCH($J$11,$D$12:$G$12,0))</f>
        <v>#N/A</v>
      </c>
      <c r="L35" s="163">
        <f ca="1">_xlfn.XLOOKUP(MAX(INT((OFFSET($C$12,$I35,MATCH($J$11,$D$12:$G$12,0))-6)/10),1),组队产出!$B$25:$B$39,组队产出!$P$25:$P$39)*OFFSET($C$1,MATCH(L$12,$C$2:$C$7,0),MATCH($J$11,$D$12:$G$12,0))</f>
        <v>1106.4</v>
      </c>
      <c r="M35" s="163">
        <f ca="1">竞技场!$G$3*OFFSET($C$1,MATCH(M$12,$C$2:$C$7,0),MATCH($J$11,$D$12:$G$12,0))</f>
        <v>1050</v>
      </c>
      <c r="N3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5" s="23">
        <f>任务!$G$6+任务!$G$9+IF(MOD(I35,7)=0,任务!$N$9+任务!$O$6,0)</f>
        <v>895</v>
      </c>
      <c r="P35" s="25">
        <f>公会!$U$11</f>
        <v>2766.62857142857</v>
      </c>
      <c r="Q35" s="163" t="e">
        <f ca="1">_xlfn.XLOOKUP(OFFSET($C$12,$I35,MATCH($J$11,$D$12:$G$12,0)),巡逻产出!$B$311:$B$610,巡逻产出!$Q$311:$Q$610)*OFFSET($C$1,MATCH(Q$12,$C$2:$C$7,0),MATCH($J$11,$D$12:$G$12,0))</f>
        <v>#N/A</v>
      </c>
      <c r="S35" s="160">
        <v>23</v>
      </c>
      <c r="T35" s="163">
        <f ca="1">_xlfn.XLOOKUP(OFFSET($C$12,$I35,MATCH($T$11,$D$12:$G$12,0)),主线推图!$B$313:$B$612,主线推图!$P$313:$P$612)*OFFSET($C$1,MATCH(T$12,$C$2:$C$7,0),MATCH($T$11,$D$12:$G$12,0))</f>
        <v>2130</v>
      </c>
      <c r="U35" s="163">
        <f ca="1">_xlfn.XLOOKUP(OFFSET($C$12,$I35,MATCH($T$11,$D$12:$G$12,0)),巡逻产出!$B$311:$B$610,巡逻产出!$R$311:$R$610)*OFFSET($C$1,MATCH(U$12,$C$2:$C$7,0),MATCH($T$11,$D$12:$G$12,0))</f>
        <v>1875</v>
      </c>
      <c r="V35" s="163">
        <f ca="1">_xlfn.XLOOKUP(MAX(INT((OFFSET($C$12,$I35,MATCH($T$11,$D$12:$G$12,0))-6)/10),1),组队产出!$B$25:$B$39,组队产出!$P$25:$P$39)*OFFSET($C$1,MATCH(V$12,$C$2:$C$7,0),MATCH($T$11,$D$12:$G$12,0))</f>
        <v>2224.8</v>
      </c>
      <c r="W35" s="163">
        <f ca="1">竞技场!$G$3*OFFSET($C$1,MATCH(W$12,$C$2:$C$7,0),MATCH($T$11,$D$12:$G$12,0))</f>
        <v>2100</v>
      </c>
      <c r="X3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5" s="23">
        <f>任务!$G$6+任务!$G$9+IF(MOD(S35,7)=0,任务!$N$9+任务!$O$6,0)</f>
        <v>895</v>
      </c>
      <c r="Z35" s="25">
        <f>公会!$U$11</f>
        <v>2766.62857142857</v>
      </c>
      <c r="AA35" s="163">
        <f ca="1">_xlfn.XLOOKUP(OFFSET($C$12,$I35,MATCH($T$11,$D$12:$G$12,0)),巡逻产出!$B$311:$B$610,巡逻产出!$Q$311:$Q$610)*OFFSET($C$1,MATCH(AA$12,$C$2:$C$7,0),MATCH($T$11,$D$12:$G$12,0))</f>
        <v>2157.168</v>
      </c>
      <c r="AC35" s="160">
        <v>23</v>
      </c>
      <c r="AD35" s="163" t="e">
        <f ca="1">_xlfn.XLOOKUP(OFFSET($C$12,$I35,MATCH($AD$11,$D$12:$G$12,0)),主线推图!$B$313:$B$612,主线推图!$P$313:$P$612)*OFFSET($C$1,MATCH(AD$12,$C$2:$C$7,0),MATCH($AD$11,$D$12:$G$12,0))</f>
        <v>#N/A</v>
      </c>
      <c r="AE35" s="163" t="e">
        <f ca="1">_xlfn.XLOOKUP(OFFSET($C$12,$I35,MATCH($AD$11,$D$12:$G$12,0)),巡逻产出!$B$311:$B$610,巡逻产出!$R$311:$R$610)*OFFSET($C$1,MATCH(AE$12,$C$2:$C$7,0),MATCH($AD$11,$D$12:$G$12,0))</f>
        <v>#N/A</v>
      </c>
      <c r="AF35" s="163">
        <f ca="1">_xlfn.XLOOKUP(MAX(INT((OFFSET($C$12,$I35,MATCH($AD$11,$D$12:$G$12,0))-6)/10),1),组队产出!$B$25:$B$39,组队产出!$P$25:$P$39)*OFFSET($C$1,MATCH(AF$12,$C$2:$C$7,0),MATCH($AD$11,$D$12:$G$12,0))</f>
        <v>2236.8</v>
      </c>
      <c r="AG35" s="163">
        <f ca="1">竞技场!$G$3*OFFSET($C$1,MATCH(AG$12,$C$2:$C$7,0),MATCH($AD$11,$D$12:$G$12,0))</f>
        <v>3150</v>
      </c>
      <c r="AH3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5" s="23">
        <f>任务!$G$6+任务!$G$9+IF(MOD(AC35,7)=0,任务!$N$9+任务!$O$6,0)</f>
        <v>895</v>
      </c>
      <c r="AJ35" s="25">
        <f>公会!$U$11</f>
        <v>2766.62857142857</v>
      </c>
      <c r="AK35" s="163" t="e">
        <f ca="1">_xlfn.XLOOKUP(OFFSET($C$12,$I35,MATCH($AD$11,$D$12:$G$12,0)),巡逻产出!$B$311:$B$610,巡逻产出!$Q$311:$Q$610)*OFFSET($C$1,MATCH(AK$12,$C$2:$C$7,0),MATCH($AD$11,$D$12:$G$12,0))</f>
        <v>#N/A</v>
      </c>
      <c r="AM35" s="164">
        <v>23</v>
      </c>
      <c r="AN35" s="165">
        <v>3302</v>
      </c>
      <c r="AO35" s="165">
        <v>4031</v>
      </c>
      <c r="AP35" s="165">
        <v>6083</v>
      </c>
      <c r="AQ35" s="165">
        <v>7776</v>
      </c>
    </row>
    <row r="36" spans="3:43">
      <c r="C36" s="160">
        <v>24</v>
      </c>
      <c r="D36" s="167">
        <v>77</v>
      </c>
      <c r="E36" s="167">
        <f t="shared" si="5"/>
        <v>74.5</v>
      </c>
      <c r="F36" s="167">
        <f t="shared" si="7"/>
        <v>81.5</v>
      </c>
      <c r="G36" s="168">
        <v>94.7142857142857</v>
      </c>
      <c r="I36" s="160">
        <v>24</v>
      </c>
      <c r="J36" s="163" t="e">
        <f ca="1">_xlfn.XLOOKUP(OFFSET($C$12,$I36,MATCH($J$11,$D$12:$G$12,0)),主线推图!$B$313:$B$612,主线推图!$P$313:$P$612)*OFFSET($C$1,MATCH(J$12,$C$2:$C$7,0),MATCH($J$11,$D$12:$G$12,0))</f>
        <v>#N/A</v>
      </c>
      <c r="K36" s="163" t="e">
        <f ca="1">_xlfn.XLOOKUP(OFFSET($C$12,$I36,MATCH($J$11,$D$12:$G$12,0)),巡逻产出!$B$311:$B$610,巡逻产出!$R$311:$R$610)*OFFSET($C$1,MATCH(K$12,$C$2:$C$7,0),MATCH($J$11,$D$12:$G$12,0))</f>
        <v>#N/A</v>
      </c>
      <c r="L36" s="163">
        <f ca="1">_xlfn.XLOOKUP(MAX(INT((OFFSET($C$12,$I36,MATCH($J$11,$D$12:$G$12,0))-6)/10),1),组队产出!$B$25:$B$39,组队产出!$P$25:$P$39)*OFFSET($C$1,MATCH(L$12,$C$2:$C$7,0),MATCH($J$11,$D$12:$G$12,0))</f>
        <v>1106.4</v>
      </c>
      <c r="M36" s="163">
        <f ca="1">竞技场!$G$3*OFFSET($C$1,MATCH(M$12,$C$2:$C$7,0),MATCH($J$11,$D$12:$G$12,0))</f>
        <v>1050</v>
      </c>
      <c r="N3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6" s="23">
        <f>任务!$G$6+任务!$G$9+IF(MOD(I36,7)=0,任务!$N$9+任务!$O$6,0)</f>
        <v>895</v>
      </c>
      <c r="P36" s="25">
        <f>公会!$U$11</f>
        <v>2766.62857142857</v>
      </c>
      <c r="Q36" s="163" t="e">
        <f ca="1">_xlfn.XLOOKUP(OFFSET($C$12,$I36,MATCH($J$11,$D$12:$G$12,0)),巡逻产出!$B$311:$B$610,巡逻产出!$Q$311:$Q$610)*OFFSET($C$1,MATCH(Q$12,$C$2:$C$7,0),MATCH($J$11,$D$12:$G$12,0))</f>
        <v>#N/A</v>
      </c>
      <c r="S36" s="160">
        <v>24</v>
      </c>
      <c r="T36" s="163" t="e">
        <f ca="1">_xlfn.XLOOKUP(OFFSET($C$12,$I36,MATCH($T$11,$D$12:$G$12,0)),主线推图!$B$313:$B$612,主线推图!$P$313:$P$612)*OFFSET($C$1,MATCH(T$12,$C$2:$C$7,0),MATCH($T$11,$D$12:$G$12,0))</f>
        <v>#N/A</v>
      </c>
      <c r="U36" s="163" t="e">
        <f ca="1">_xlfn.XLOOKUP(OFFSET($C$12,$I36,MATCH($T$11,$D$12:$G$12,0)),巡逻产出!$B$311:$B$610,巡逻产出!$R$311:$R$610)*OFFSET($C$1,MATCH(U$12,$C$2:$C$7,0),MATCH($T$11,$D$12:$G$12,0))</f>
        <v>#N/A</v>
      </c>
      <c r="V36" s="163">
        <f ca="1">_xlfn.XLOOKUP(MAX(INT((OFFSET($C$12,$I36,MATCH($T$11,$D$12:$G$12,0))-6)/10),1),组队产出!$B$25:$B$39,组队产出!$P$25:$P$39)*OFFSET($C$1,MATCH(V$12,$C$2:$C$7,0),MATCH($T$11,$D$12:$G$12,0))</f>
        <v>2224.8</v>
      </c>
      <c r="W36" s="163">
        <f ca="1">竞技场!$G$3*OFFSET($C$1,MATCH(W$12,$C$2:$C$7,0),MATCH($T$11,$D$12:$G$12,0))</f>
        <v>2100</v>
      </c>
      <c r="X3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6" s="23">
        <f>任务!$G$6+任务!$G$9+IF(MOD(S36,7)=0,任务!$N$9+任务!$O$6,0)</f>
        <v>895</v>
      </c>
      <c r="Z36" s="25">
        <f>公会!$U$11</f>
        <v>2766.62857142857</v>
      </c>
      <c r="AA36" s="163" t="e">
        <f ca="1">_xlfn.XLOOKUP(OFFSET($C$12,$I36,MATCH($T$11,$D$12:$G$12,0)),巡逻产出!$B$311:$B$610,巡逻产出!$Q$311:$Q$610)*OFFSET($C$1,MATCH(AA$12,$C$2:$C$7,0),MATCH($T$11,$D$12:$G$12,0))</f>
        <v>#N/A</v>
      </c>
      <c r="AC36" s="160">
        <v>24</v>
      </c>
      <c r="AD36" s="163" t="e">
        <f ca="1">_xlfn.XLOOKUP(OFFSET($C$12,$I36,MATCH($AD$11,$D$12:$G$12,0)),主线推图!$B$313:$B$612,主线推图!$P$313:$P$612)*OFFSET($C$1,MATCH(AD$12,$C$2:$C$7,0),MATCH($AD$11,$D$12:$G$12,0))</f>
        <v>#N/A</v>
      </c>
      <c r="AE36" s="163" t="e">
        <f ca="1">_xlfn.XLOOKUP(OFFSET($C$12,$I36,MATCH($AD$11,$D$12:$G$12,0)),巡逻产出!$B$311:$B$610,巡逻产出!$R$311:$R$610)*OFFSET($C$1,MATCH(AE$12,$C$2:$C$7,0),MATCH($AD$11,$D$12:$G$12,0))</f>
        <v>#N/A</v>
      </c>
      <c r="AF36" s="163">
        <f ca="1">_xlfn.XLOOKUP(MAX(INT((OFFSET($C$12,$I36,MATCH($AD$11,$D$12:$G$12,0))-6)/10),1),组队产出!$B$25:$B$39,组队产出!$P$25:$P$39)*OFFSET($C$1,MATCH(AF$12,$C$2:$C$7,0),MATCH($AD$11,$D$12:$G$12,0))</f>
        <v>2236.8</v>
      </c>
      <c r="AG36" s="163">
        <f ca="1">竞技场!$G$3*OFFSET($C$1,MATCH(AG$12,$C$2:$C$7,0),MATCH($AD$11,$D$12:$G$12,0))</f>
        <v>3150</v>
      </c>
      <c r="AH3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6" s="23">
        <f>任务!$G$6+任务!$G$9+IF(MOD(AC36,7)=0,任务!$N$9+任务!$O$6,0)</f>
        <v>895</v>
      </c>
      <c r="AJ36" s="25">
        <f>公会!$U$11</f>
        <v>2766.62857142857</v>
      </c>
      <c r="AK36" s="163" t="e">
        <f ca="1">_xlfn.XLOOKUP(OFFSET($C$12,$I36,MATCH($AD$11,$D$12:$G$12,0)),巡逻产出!$B$311:$B$610,巡逻产出!$Q$311:$Q$610)*OFFSET($C$1,MATCH(AK$12,$C$2:$C$7,0),MATCH($AD$11,$D$12:$G$12,0))</f>
        <v>#N/A</v>
      </c>
      <c r="AM36" s="164">
        <v>24</v>
      </c>
      <c r="AN36" s="165">
        <v>3416</v>
      </c>
      <c r="AO36" s="165">
        <v>4175</v>
      </c>
      <c r="AP36" s="165">
        <v>6312</v>
      </c>
      <c r="AQ36" s="165">
        <v>8079</v>
      </c>
    </row>
    <row r="37" spans="3:43">
      <c r="C37" s="160">
        <v>25</v>
      </c>
      <c r="D37" s="167">
        <v>78</v>
      </c>
      <c r="E37" s="167">
        <f t="shared" si="5"/>
        <v>75</v>
      </c>
      <c r="F37" s="167">
        <f t="shared" si="7"/>
        <v>82</v>
      </c>
      <c r="G37" s="168">
        <v>96.2857142857143</v>
      </c>
      <c r="I37" s="160">
        <v>25</v>
      </c>
      <c r="J37" s="163">
        <f ca="1">_xlfn.XLOOKUP(OFFSET($C$12,$I37,MATCH($J$11,$D$12:$G$12,0)),主线推图!$B$313:$B$612,主线推图!$P$313:$P$612)*OFFSET($C$1,MATCH(J$12,$C$2:$C$7,0),MATCH($J$11,$D$12:$G$12,0))</f>
        <v>1411</v>
      </c>
      <c r="K37" s="163">
        <f ca="1">_xlfn.XLOOKUP(OFFSET($C$12,$I37,MATCH($J$11,$D$12:$G$12,0)),巡逻产出!$B$311:$B$610,巡逻产出!$R$311:$R$610)*OFFSET($C$1,MATCH(K$12,$C$2:$C$7,0),MATCH($J$11,$D$12:$G$12,0))</f>
        <v>622.75</v>
      </c>
      <c r="L37" s="163">
        <f ca="1">_xlfn.XLOOKUP(MAX(INT((OFFSET($C$12,$I37,MATCH($J$11,$D$12:$G$12,0))-6)/10),1),组队产出!$B$25:$B$39,组队产出!$P$25:$P$39)*OFFSET($C$1,MATCH(L$12,$C$2:$C$7,0),MATCH($J$11,$D$12:$G$12,0))</f>
        <v>1106.4</v>
      </c>
      <c r="M37" s="163">
        <f ca="1">竞技场!$G$3*OFFSET($C$1,MATCH(M$12,$C$2:$C$7,0),MATCH($J$11,$D$12:$G$12,0))</f>
        <v>1050</v>
      </c>
      <c r="N3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7" s="23">
        <f>任务!$G$6+任务!$G$9+IF(MOD(I37,7)=0,任务!$N$9+任务!$O$6,0)</f>
        <v>895</v>
      </c>
      <c r="P37" s="25">
        <f>公会!$U$11</f>
        <v>2766.62857142857</v>
      </c>
      <c r="Q37" s="163">
        <f ca="1">_xlfn.XLOOKUP(OFFSET($C$12,$I37,MATCH($J$11,$D$12:$G$12,0)),巡逻产出!$B$311:$B$610,巡逻产出!$Q$311:$Q$610)*OFFSET($C$1,MATCH(Q$12,$C$2:$C$7,0),MATCH($J$11,$D$12:$G$12,0))</f>
        <v>1648.56</v>
      </c>
      <c r="S37" s="160">
        <v>25</v>
      </c>
      <c r="T37" s="163">
        <f ca="1">_xlfn.XLOOKUP(OFFSET($C$12,$I37,MATCH($T$11,$D$12:$G$12,0)),主线推图!$B$313:$B$612,主线推图!$P$313:$P$612)*OFFSET($C$1,MATCH(T$12,$C$2:$C$7,0),MATCH($T$11,$D$12:$G$12,0))</f>
        <v>2131.5</v>
      </c>
      <c r="U37" s="163">
        <f ca="1">_xlfn.XLOOKUP(OFFSET($C$12,$I37,MATCH($T$11,$D$12:$G$12,0)),巡逻产出!$B$311:$B$610,巡逻产出!$R$311:$R$610)*OFFSET($C$1,MATCH(U$12,$C$2:$C$7,0),MATCH($T$11,$D$12:$G$12,0))</f>
        <v>1875.75</v>
      </c>
      <c r="V37" s="163">
        <f ca="1">_xlfn.XLOOKUP(MAX(INT((OFFSET($C$12,$I37,MATCH($T$11,$D$12:$G$12,0))-6)/10),1),组队产出!$B$25:$B$39,组队产出!$P$25:$P$39)*OFFSET($C$1,MATCH(V$12,$C$2:$C$7,0),MATCH($T$11,$D$12:$G$12,0))</f>
        <v>2224.8</v>
      </c>
      <c r="W37" s="163">
        <f ca="1">竞技场!$G$3*OFFSET($C$1,MATCH(W$12,$C$2:$C$7,0),MATCH($T$11,$D$12:$G$12,0))</f>
        <v>2100</v>
      </c>
      <c r="X3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7" s="23">
        <f>任务!$G$6+任务!$G$9+IF(MOD(S37,7)=0,任务!$N$9+任务!$O$6,0)</f>
        <v>895</v>
      </c>
      <c r="Z37" s="25">
        <f>公会!$U$11</f>
        <v>2766.62857142857</v>
      </c>
      <c r="AA37" s="163">
        <f ca="1">_xlfn.XLOOKUP(OFFSET($C$12,$I37,MATCH($T$11,$D$12:$G$12,0)),巡逻产出!$B$311:$B$610,巡逻产出!$Q$311:$Q$610)*OFFSET($C$1,MATCH(AA$12,$C$2:$C$7,0),MATCH($T$11,$D$12:$G$12,0))</f>
        <v>2158.728</v>
      </c>
      <c r="AC37" s="160">
        <v>25</v>
      </c>
      <c r="AD37" s="163" t="e">
        <f ca="1">_xlfn.XLOOKUP(OFFSET($C$12,$I37,MATCH($AD$11,$D$12:$G$12,0)),主线推图!$B$313:$B$612,主线推图!$P$313:$P$612)*OFFSET($C$1,MATCH(AD$12,$C$2:$C$7,0),MATCH($AD$11,$D$12:$G$12,0))</f>
        <v>#N/A</v>
      </c>
      <c r="AE37" s="163" t="e">
        <f ca="1">_xlfn.XLOOKUP(OFFSET($C$12,$I37,MATCH($AD$11,$D$12:$G$12,0)),巡逻产出!$B$311:$B$610,巡逻产出!$R$311:$R$610)*OFFSET($C$1,MATCH(AE$12,$C$2:$C$7,0),MATCH($AD$11,$D$12:$G$12,0))</f>
        <v>#N/A</v>
      </c>
      <c r="AF37" s="163">
        <f ca="1">_xlfn.XLOOKUP(MAX(INT((OFFSET($C$12,$I37,MATCH($AD$11,$D$12:$G$12,0))-6)/10),1),组队产出!$B$25:$B$39,组队产出!$P$25:$P$39)*OFFSET($C$1,MATCH(AF$12,$C$2:$C$7,0),MATCH($AD$11,$D$12:$G$12,0))</f>
        <v>2248.8</v>
      </c>
      <c r="AG37" s="163">
        <f ca="1">竞技场!$G$3*OFFSET($C$1,MATCH(AG$12,$C$2:$C$7,0),MATCH($AD$11,$D$12:$G$12,0))</f>
        <v>3150</v>
      </c>
      <c r="AH3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7" s="23">
        <f>任务!$G$6+任务!$G$9+IF(MOD(AC37,7)=0,任务!$N$9+任务!$O$6,0)</f>
        <v>895</v>
      </c>
      <c r="AJ37" s="25">
        <f>公会!$U$11</f>
        <v>2766.62857142857</v>
      </c>
      <c r="AK37" s="163" t="e">
        <f ca="1">_xlfn.XLOOKUP(OFFSET($C$12,$I37,MATCH($AD$11,$D$12:$G$12,0)),巡逻产出!$B$311:$B$610,巡逻产出!$Q$311:$Q$610)*OFFSET($C$1,MATCH(AK$12,$C$2:$C$7,0),MATCH($AD$11,$D$12:$G$12,0))</f>
        <v>#N/A</v>
      </c>
      <c r="AM37" s="164">
        <v>25</v>
      </c>
      <c r="AN37" s="165">
        <v>3529</v>
      </c>
      <c r="AO37" s="165">
        <v>4318</v>
      </c>
      <c r="AP37" s="165">
        <v>6540</v>
      </c>
      <c r="AQ37" s="165">
        <v>8381</v>
      </c>
    </row>
    <row r="38" spans="3:43">
      <c r="C38" s="160">
        <v>26</v>
      </c>
      <c r="D38" s="167">
        <v>79</v>
      </c>
      <c r="E38" s="167">
        <f t="shared" si="5"/>
        <v>75.5</v>
      </c>
      <c r="F38" s="167">
        <f t="shared" si="7"/>
        <v>82.5</v>
      </c>
      <c r="G38" s="168">
        <v>97.8571428571429</v>
      </c>
      <c r="I38" s="160">
        <v>26</v>
      </c>
      <c r="J38" s="163" t="e">
        <f ca="1">_xlfn.XLOOKUP(OFFSET($C$12,$I38,MATCH($J$11,$D$12:$G$12,0)),主线推图!$B$313:$B$612,主线推图!$P$313:$P$612)*OFFSET($C$1,MATCH(J$12,$C$2:$C$7,0),MATCH($J$11,$D$12:$G$12,0))</f>
        <v>#N/A</v>
      </c>
      <c r="K38" s="163" t="e">
        <f ca="1">_xlfn.XLOOKUP(OFFSET($C$12,$I38,MATCH($J$11,$D$12:$G$12,0)),巡逻产出!$B$311:$B$610,巡逻产出!$R$311:$R$610)*OFFSET($C$1,MATCH(K$12,$C$2:$C$7,0),MATCH($J$11,$D$12:$G$12,0))</f>
        <v>#N/A</v>
      </c>
      <c r="L38" s="163">
        <f ca="1">_xlfn.XLOOKUP(MAX(INT((OFFSET($C$12,$I38,MATCH($J$11,$D$12:$G$12,0))-6)/10),1),组队产出!$B$25:$B$39,组队产出!$P$25:$P$39)*OFFSET($C$1,MATCH(L$12,$C$2:$C$7,0),MATCH($J$11,$D$12:$G$12,0))</f>
        <v>1106.4</v>
      </c>
      <c r="M38" s="163">
        <f ca="1">竞技场!$G$3*OFFSET($C$1,MATCH(M$12,$C$2:$C$7,0),MATCH($J$11,$D$12:$G$12,0))</f>
        <v>1050</v>
      </c>
      <c r="N3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8" s="23">
        <f>任务!$G$6+任务!$G$9+IF(MOD(I38,7)=0,任务!$N$9+任务!$O$6,0)</f>
        <v>895</v>
      </c>
      <c r="P38" s="25">
        <f>公会!$U$11</f>
        <v>2766.62857142857</v>
      </c>
      <c r="Q38" s="163" t="e">
        <f ca="1">_xlfn.XLOOKUP(OFFSET($C$12,$I38,MATCH($J$11,$D$12:$G$12,0)),巡逻产出!$B$311:$B$610,巡逻产出!$Q$311:$Q$610)*OFFSET($C$1,MATCH(Q$12,$C$2:$C$7,0),MATCH($J$11,$D$12:$G$12,0))</f>
        <v>#N/A</v>
      </c>
      <c r="S38" s="160">
        <v>26</v>
      </c>
      <c r="T38" s="163" t="e">
        <f ca="1">_xlfn.XLOOKUP(OFFSET($C$12,$I38,MATCH($T$11,$D$12:$G$12,0)),主线推图!$B$313:$B$612,主线推图!$P$313:$P$612)*OFFSET($C$1,MATCH(T$12,$C$2:$C$7,0),MATCH($T$11,$D$12:$G$12,0))</f>
        <v>#N/A</v>
      </c>
      <c r="U38" s="163" t="e">
        <f ca="1">_xlfn.XLOOKUP(OFFSET($C$12,$I38,MATCH($T$11,$D$12:$G$12,0)),巡逻产出!$B$311:$B$610,巡逻产出!$R$311:$R$610)*OFFSET($C$1,MATCH(U$12,$C$2:$C$7,0),MATCH($T$11,$D$12:$G$12,0))</f>
        <v>#N/A</v>
      </c>
      <c r="V38" s="163">
        <f ca="1">_xlfn.XLOOKUP(MAX(INT((OFFSET($C$12,$I38,MATCH($T$11,$D$12:$G$12,0))-6)/10),1),组队产出!$B$25:$B$39,组队产出!$P$25:$P$39)*OFFSET($C$1,MATCH(V$12,$C$2:$C$7,0),MATCH($T$11,$D$12:$G$12,0))</f>
        <v>2224.8</v>
      </c>
      <c r="W38" s="163">
        <f ca="1">竞技场!$G$3*OFFSET($C$1,MATCH(W$12,$C$2:$C$7,0),MATCH($T$11,$D$12:$G$12,0))</f>
        <v>2100</v>
      </c>
      <c r="X3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8" s="23">
        <f>任务!$G$6+任务!$G$9+IF(MOD(S38,7)=0,任务!$N$9+任务!$O$6,0)</f>
        <v>895</v>
      </c>
      <c r="Z38" s="25">
        <f>公会!$U$11</f>
        <v>2766.62857142857</v>
      </c>
      <c r="AA38" s="163" t="e">
        <f ca="1">_xlfn.XLOOKUP(OFFSET($C$12,$I38,MATCH($T$11,$D$12:$G$12,0)),巡逻产出!$B$311:$B$610,巡逻产出!$Q$311:$Q$610)*OFFSET($C$1,MATCH(AA$12,$C$2:$C$7,0),MATCH($T$11,$D$12:$G$12,0))</f>
        <v>#N/A</v>
      </c>
      <c r="AC38" s="160">
        <v>26</v>
      </c>
      <c r="AD38" s="163" t="e">
        <f ca="1">_xlfn.XLOOKUP(OFFSET($C$12,$I38,MATCH($AD$11,$D$12:$G$12,0)),主线推图!$B$313:$B$612,主线推图!$P$313:$P$612)*OFFSET($C$1,MATCH(AD$12,$C$2:$C$7,0),MATCH($AD$11,$D$12:$G$12,0))</f>
        <v>#N/A</v>
      </c>
      <c r="AE38" s="163" t="e">
        <f ca="1">_xlfn.XLOOKUP(OFFSET($C$12,$I38,MATCH($AD$11,$D$12:$G$12,0)),巡逻产出!$B$311:$B$610,巡逻产出!$R$311:$R$610)*OFFSET($C$1,MATCH(AE$12,$C$2:$C$7,0),MATCH($AD$11,$D$12:$G$12,0))</f>
        <v>#N/A</v>
      </c>
      <c r="AF38" s="163">
        <f ca="1">_xlfn.XLOOKUP(MAX(INT((OFFSET($C$12,$I38,MATCH($AD$11,$D$12:$G$12,0))-6)/10),1),组队产出!$B$25:$B$39,组队产出!$P$25:$P$39)*OFFSET($C$1,MATCH(AF$12,$C$2:$C$7,0),MATCH($AD$11,$D$12:$G$12,0))</f>
        <v>2248.8</v>
      </c>
      <c r="AG38" s="163">
        <f ca="1">竞技场!$G$3*OFFSET($C$1,MATCH(AG$12,$C$2:$C$7,0),MATCH($AD$11,$D$12:$G$12,0))</f>
        <v>3150</v>
      </c>
      <c r="AH3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8" s="23">
        <f>任务!$G$6+任务!$G$9+IF(MOD(AC38,7)=0,任务!$N$9+任务!$O$6,0)</f>
        <v>895</v>
      </c>
      <c r="AJ38" s="25">
        <f>公会!$U$11</f>
        <v>2766.62857142857</v>
      </c>
      <c r="AK38" s="163" t="e">
        <f ca="1">_xlfn.XLOOKUP(OFFSET($C$12,$I38,MATCH($AD$11,$D$12:$G$12,0)),巡逻产出!$B$311:$B$610,巡逻产出!$Q$311:$Q$610)*OFFSET($C$1,MATCH(AK$12,$C$2:$C$7,0),MATCH($AD$11,$D$12:$G$12,0))</f>
        <v>#N/A</v>
      </c>
      <c r="AM38" s="164">
        <v>26</v>
      </c>
      <c r="AN38" s="165">
        <v>3643</v>
      </c>
      <c r="AO38" s="165">
        <v>4461</v>
      </c>
      <c r="AP38" s="165">
        <v>6769</v>
      </c>
      <c r="AQ38" s="165">
        <v>8683</v>
      </c>
    </row>
    <row r="39" spans="3:43">
      <c r="C39" s="160">
        <v>27</v>
      </c>
      <c r="D39" s="167">
        <v>80</v>
      </c>
      <c r="E39" s="167">
        <f t="shared" si="5"/>
        <v>76</v>
      </c>
      <c r="F39" s="167">
        <f t="shared" si="7"/>
        <v>83</v>
      </c>
      <c r="G39" s="168">
        <v>99.4285714285714</v>
      </c>
      <c r="I39" s="160">
        <v>27</v>
      </c>
      <c r="J39" s="163" t="e">
        <f ca="1">_xlfn.XLOOKUP(OFFSET($C$12,$I39,MATCH($J$11,$D$12:$G$12,0)),主线推图!$B$313:$B$612,主线推图!$P$313:$P$612)*OFFSET($C$1,MATCH(J$12,$C$2:$C$7,0),MATCH($J$11,$D$12:$G$12,0))</f>
        <v>#N/A</v>
      </c>
      <c r="K39" s="163" t="e">
        <f ca="1">_xlfn.XLOOKUP(OFFSET($C$12,$I39,MATCH($J$11,$D$12:$G$12,0)),巡逻产出!$B$311:$B$610,巡逻产出!$R$311:$R$610)*OFFSET($C$1,MATCH(K$12,$C$2:$C$7,0),MATCH($J$11,$D$12:$G$12,0))</f>
        <v>#N/A</v>
      </c>
      <c r="L39" s="163">
        <f ca="1">_xlfn.XLOOKUP(MAX(INT((OFFSET($C$12,$I39,MATCH($J$11,$D$12:$G$12,0))-6)/10),1),组队产出!$B$25:$B$39,组队产出!$P$25:$P$39)*OFFSET($C$1,MATCH(L$12,$C$2:$C$7,0),MATCH($J$11,$D$12:$G$12,0))</f>
        <v>1106.4</v>
      </c>
      <c r="M39" s="163">
        <f ca="1">竞技场!$G$3*OFFSET($C$1,MATCH(M$12,$C$2:$C$7,0),MATCH($J$11,$D$12:$G$12,0))</f>
        <v>1050</v>
      </c>
      <c r="N3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9" s="23">
        <f>任务!$G$6+任务!$G$9+IF(MOD(I39,7)=0,任务!$N$9+任务!$O$6,0)</f>
        <v>895</v>
      </c>
      <c r="P39" s="25">
        <f>公会!$U$11</f>
        <v>2766.62857142857</v>
      </c>
      <c r="Q39" s="163" t="e">
        <f ca="1">_xlfn.XLOOKUP(OFFSET($C$12,$I39,MATCH($J$11,$D$12:$G$12,0)),巡逻产出!$B$311:$B$610,巡逻产出!$Q$311:$Q$610)*OFFSET($C$1,MATCH(Q$12,$C$2:$C$7,0),MATCH($J$11,$D$12:$G$12,0))</f>
        <v>#N/A</v>
      </c>
      <c r="S39" s="160">
        <v>27</v>
      </c>
      <c r="T39" s="163">
        <f ca="1">_xlfn.XLOOKUP(OFFSET($C$12,$I39,MATCH($T$11,$D$12:$G$12,0)),主线推图!$B$313:$B$612,主线推图!$P$313:$P$612)*OFFSET($C$1,MATCH(T$12,$C$2:$C$7,0),MATCH($T$11,$D$12:$G$12,0))</f>
        <v>2133</v>
      </c>
      <c r="U39" s="163">
        <f ca="1">_xlfn.XLOOKUP(OFFSET($C$12,$I39,MATCH($T$11,$D$12:$G$12,0)),巡逻产出!$B$311:$B$610,巡逻产出!$R$311:$R$610)*OFFSET($C$1,MATCH(U$12,$C$2:$C$7,0),MATCH($T$11,$D$12:$G$12,0))</f>
        <v>1876.5</v>
      </c>
      <c r="V39" s="163">
        <f ca="1">_xlfn.XLOOKUP(MAX(INT((OFFSET($C$12,$I39,MATCH($T$11,$D$12:$G$12,0))-6)/10),1),组队产出!$B$25:$B$39,组队产出!$P$25:$P$39)*OFFSET($C$1,MATCH(V$12,$C$2:$C$7,0),MATCH($T$11,$D$12:$G$12,0))</f>
        <v>2224.8</v>
      </c>
      <c r="W39" s="163">
        <f ca="1">竞技场!$G$3*OFFSET($C$1,MATCH(W$12,$C$2:$C$7,0),MATCH($T$11,$D$12:$G$12,0))</f>
        <v>2100</v>
      </c>
      <c r="X3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9" s="23">
        <f>任务!$G$6+任务!$G$9+IF(MOD(S39,7)=0,任务!$N$9+任务!$O$6,0)</f>
        <v>895</v>
      </c>
      <c r="Z39" s="25">
        <f>公会!$U$11</f>
        <v>2766.62857142857</v>
      </c>
      <c r="AA39" s="163">
        <f ca="1">_xlfn.XLOOKUP(OFFSET($C$12,$I39,MATCH($T$11,$D$12:$G$12,0)),巡逻产出!$B$311:$B$610,巡逻产出!$Q$311:$Q$610)*OFFSET($C$1,MATCH(AA$12,$C$2:$C$7,0),MATCH($T$11,$D$12:$G$12,0))</f>
        <v>2160.288</v>
      </c>
      <c r="AC39" s="160">
        <v>27</v>
      </c>
      <c r="AD39" s="163" t="e">
        <f ca="1">_xlfn.XLOOKUP(OFFSET($C$12,$I39,MATCH($AD$11,$D$12:$G$12,0)),主线推图!$B$313:$B$612,主线推图!$P$313:$P$612)*OFFSET($C$1,MATCH(AD$12,$C$2:$C$7,0),MATCH($AD$11,$D$12:$G$12,0))</f>
        <v>#N/A</v>
      </c>
      <c r="AE39" s="163" t="e">
        <f ca="1">_xlfn.XLOOKUP(OFFSET($C$12,$I39,MATCH($AD$11,$D$12:$G$12,0)),巡逻产出!$B$311:$B$610,巡逻产出!$R$311:$R$610)*OFFSET($C$1,MATCH(AE$12,$C$2:$C$7,0),MATCH($AD$11,$D$12:$G$12,0))</f>
        <v>#N/A</v>
      </c>
      <c r="AF39" s="163">
        <f ca="1">_xlfn.XLOOKUP(MAX(INT((OFFSET($C$12,$I39,MATCH($AD$11,$D$12:$G$12,0))-6)/10),1),组队产出!$B$25:$B$39,组队产出!$P$25:$P$39)*OFFSET($C$1,MATCH(AF$12,$C$2:$C$7,0),MATCH($AD$11,$D$12:$G$12,0))</f>
        <v>2248.8</v>
      </c>
      <c r="AG39" s="163">
        <f ca="1">竞技场!$G$3*OFFSET($C$1,MATCH(AG$12,$C$2:$C$7,0),MATCH($AD$11,$D$12:$G$12,0))</f>
        <v>3150</v>
      </c>
      <c r="AH3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9" s="23">
        <f>任务!$G$6+任务!$G$9+IF(MOD(AC39,7)=0,任务!$N$9+任务!$O$6,0)</f>
        <v>895</v>
      </c>
      <c r="AJ39" s="25">
        <f>公会!$U$11</f>
        <v>2766.62857142857</v>
      </c>
      <c r="AK39" s="163" t="e">
        <f ca="1">_xlfn.XLOOKUP(OFFSET($C$12,$I39,MATCH($AD$11,$D$12:$G$12,0)),巡逻产出!$B$311:$B$610,巡逻产出!$Q$311:$Q$610)*OFFSET($C$1,MATCH(AK$12,$C$2:$C$7,0),MATCH($AD$11,$D$12:$G$12,0))</f>
        <v>#N/A</v>
      </c>
      <c r="AM39" s="164">
        <v>27</v>
      </c>
      <c r="AN39" s="165">
        <v>3757</v>
      </c>
      <c r="AO39" s="165">
        <v>4604</v>
      </c>
      <c r="AP39" s="165">
        <v>6997</v>
      </c>
      <c r="AQ39" s="165">
        <v>8985</v>
      </c>
    </row>
    <row r="40" spans="3:43">
      <c r="C40" s="160">
        <v>28</v>
      </c>
      <c r="D40" s="167">
        <v>81</v>
      </c>
      <c r="E40" s="167">
        <f t="shared" si="5"/>
        <v>76.5</v>
      </c>
      <c r="F40" s="167">
        <f t="shared" si="7"/>
        <v>83.5</v>
      </c>
      <c r="G40" s="168">
        <v>101</v>
      </c>
      <c r="I40" s="160">
        <v>28</v>
      </c>
      <c r="J40" s="163" t="e">
        <f ca="1">_xlfn.XLOOKUP(OFFSET($C$12,$I40,MATCH($J$11,$D$12:$G$12,0)),主线推图!$B$313:$B$612,主线推图!$P$313:$P$612)*OFFSET($C$1,MATCH(J$12,$C$2:$C$7,0),MATCH($J$11,$D$12:$G$12,0))</f>
        <v>#N/A</v>
      </c>
      <c r="K40" s="163" t="e">
        <f ca="1">_xlfn.XLOOKUP(OFFSET($C$12,$I40,MATCH($J$11,$D$12:$G$12,0)),巡逻产出!$B$311:$B$610,巡逻产出!$R$311:$R$610)*OFFSET($C$1,MATCH(K$12,$C$2:$C$7,0),MATCH($J$11,$D$12:$G$12,0))</f>
        <v>#N/A</v>
      </c>
      <c r="L40" s="163">
        <f ca="1">_xlfn.XLOOKUP(MAX(INT((OFFSET($C$12,$I40,MATCH($J$11,$D$12:$G$12,0))-6)/10),1),组队产出!$B$25:$B$39,组队产出!$P$25:$P$39)*OFFSET($C$1,MATCH(L$12,$C$2:$C$7,0),MATCH($J$11,$D$12:$G$12,0))</f>
        <v>1106.4</v>
      </c>
      <c r="M40" s="163">
        <f ca="1">竞技场!$G$3*OFFSET($C$1,MATCH(M$12,$C$2:$C$7,0),MATCH($J$11,$D$12:$G$12,0))</f>
        <v>1050</v>
      </c>
      <c r="N4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40" s="23">
        <f>任务!$G$6+任务!$G$9+IF(MOD(I40,7)=0,任务!$N$9+任务!$O$6,0)</f>
        <v>3125</v>
      </c>
      <c r="P40" s="25">
        <f>公会!$U$11</f>
        <v>2766.62857142857</v>
      </c>
      <c r="Q40" s="163" t="e">
        <f ca="1">_xlfn.XLOOKUP(OFFSET($C$12,$I40,MATCH($J$11,$D$12:$G$12,0)),巡逻产出!$B$311:$B$610,巡逻产出!$Q$311:$Q$610)*OFFSET($C$1,MATCH(Q$12,$C$2:$C$7,0),MATCH($J$11,$D$12:$G$12,0))</f>
        <v>#N/A</v>
      </c>
      <c r="S40" s="160">
        <v>28</v>
      </c>
      <c r="T40" s="163" t="e">
        <f ca="1">_xlfn.XLOOKUP(OFFSET($C$12,$I40,MATCH($T$11,$D$12:$G$12,0)),主线推图!$B$313:$B$612,主线推图!$P$313:$P$612)*OFFSET($C$1,MATCH(T$12,$C$2:$C$7,0),MATCH($T$11,$D$12:$G$12,0))</f>
        <v>#N/A</v>
      </c>
      <c r="U40" s="163" t="e">
        <f ca="1">_xlfn.XLOOKUP(OFFSET($C$12,$I40,MATCH($T$11,$D$12:$G$12,0)),巡逻产出!$B$311:$B$610,巡逻产出!$R$311:$R$610)*OFFSET($C$1,MATCH(U$12,$C$2:$C$7,0),MATCH($T$11,$D$12:$G$12,0))</f>
        <v>#N/A</v>
      </c>
      <c r="V40" s="163">
        <f ca="1">_xlfn.XLOOKUP(MAX(INT((OFFSET($C$12,$I40,MATCH($T$11,$D$12:$G$12,0))-6)/10),1),组队产出!$B$25:$B$39,组队产出!$P$25:$P$39)*OFFSET($C$1,MATCH(V$12,$C$2:$C$7,0),MATCH($T$11,$D$12:$G$12,0))</f>
        <v>2224.8</v>
      </c>
      <c r="W40" s="163">
        <f ca="1">竞技场!$G$3*OFFSET($C$1,MATCH(W$12,$C$2:$C$7,0),MATCH($T$11,$D$12:$G$12,0))</f>
        <v>2100</v>
      </c>
      <c r="X4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40" s="23">
        <f>任务!$G$6+任务!$G$9+IF(MOD(S40,7)=0,任务!$N$9+任务!$O$6,0)</f>
        <v>3125</v>
      </c>
      <c r="Z40" s="25">
        <f>公会!$U$11</f>
        <v>2766.62857142857</v>
      </c>
      <c r="AA40" s="163" t="e">
        <f ca="1">_xlfn.XLOOKUP(OFFSET($C$12,$I40,MATCH($T$11,$D$12:$G$12,0)),巡逻产出!$B$311:$B$610,巡逻产出!$Q$311:$Q$610)*OFFSET($C$1,MATCH(AA$12,$C$2:$C$7,0),MATCH($T$11,$D$12:$G$12,0))</f>
        <v>#N/A</v>
      </c>
      <c r="AC40" s="160">
        <v>28</v>
      </c>
      <c r="AD40" s="163">
        <f ca="1">_xlfn.XLOOKUP(OFFSET($C$12,$I40,MATCH($AD$11,$D$12:$G$12,0)),主线推图!$B$313:$B$612,主线推图!$P$313:$P$612)*OFFSET($C$1,MATCH(AD$12,$C$2:$C$7,0),MATCH($AD$11,$D$12:$G$12,0))</f>
        <v>3168</v>
      </c>
      <c r="AE40" s="163">
        <f ca="1">_xlfn.XLOOKUP(OFFSET($C$12,$I40,MATCH($AD$11,$D$12:$G$12,0)),巡逻产出!$B$311:$B$610,巡逻产出!$R$311:$R$610)*OFFSET($C$1,MATCH(AE$12,$C$2:$C$7,0),MATCH($AD$11,$D$12:$G$12,0))</f>
        <v>0</v>
      </c>
      <c r="AF40" s="163">
        <f ca="1">_xlfn.XLOOKUP(MAX(INT((OFFSET($C$12,$I40,MATCH($AD$11,$D$12:$G$12,0))-6)/10),1),组队产出!$B$25:$B$39,组队产出!$P$25:$P$39)*OFFSET($C$1,MATCH(AF$12,$C$2:$C$7,0),MATCH($AD$11,$D$12:$G$12,0))</f>
        <v>2248.8</v>
      </c>
      <c r="AG40" s="163">
        <f ca="1">竞技场!$G$3*OFFSET($C$1,MATCH(AG$12,$C$2:$C$7,0),MATCH($AD$11,$D$12:$G$12,0))</f>
        <v>3150</v>
      </c>
      <c r="AH4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40" s="23">
        <f>任务!$G$6+任务!$G$9+IF(MOD(AC40,7)=0,任务!$N$9+任务!$O$6,0)</f>
        <v>3125</v>
      </c>
      <c r="AJ40" s="25">
        <f>公会!$U$11</f>
        <v>2766.62857142857</v>
      </c>
      <c r="AK40" s="163">
        <f ca="1">_xlfn.XLOOKUP(OFFSET($C$12,$I40,MATCH($AD$11,$D$12:$G$12,0)),巡逻产出!$B$311:$B$610,巡逻产出!$Q$311:$Q$610)*OFFSET($C$1,MATCH(AK$12,$C$2:$C$7,0),MATCH($AD$11,$D$12:$G$12,0))</f>
        <v>2188.368</v>
      </c>
      <c r="AM40" s="164">
        <v>28</v>
      </c>
      <c r="AN40" s="165">
        <v>3871</v>
      </c>
      <c r="AO40" s="165">
        <v>4747</v>
      </c>
      <c r="AP40" s="165">
        <v>7226</v>
      </c>
      <c r="AQ40" s="165">
        <v>9287</v>
      </c>
    </row>
    <row r="41" spans="3:43">
      <c r="C41" s="160">
        <v>29</v>
      </c>
      <c r="D41" s="167">
        <v>82</v>
      </c>
      <c r="E41" s="167">
        <f t="shared" si="5"/>
        <v>77</v>
      </c>
      <c r="F41" s="167">
        <f t="shared" si="7"/>
        <v>84</v>
      </c>
      <c r="G41" s="168">
        <v>102</v>
      </c>
      <c r="I41" s="160">
        <v>29</v>
      </c>
      <c r="J41" s="163">
        <f ca="1">_xlfn.XLOOKUP(OFFSET($C$12,$I41,MATCH($J$11,$D$12:$G$12,0)),主线推图!$B$313:$B$612,主线推图!$P$313:$P$612)*OFFSET($C$1,MATCH(J$12,$C$2:$C$7,0),MATCH($J$11,$D$12:$G$12,0))</f>
        <v>1412</v>
      </c>
      <c r="K41" s="163">
        <f ca="1">_xlfn.XLOOKUP(OFFSET($C$12,$I41,MATCH($J$11,$D$12:$G$12,0)),巡逻产出!$B$311:$B$610,巡逻产出!$R$311:$R$610)*OFFSET($C$1,MATCH(K$12,$C$2:$C$7,0),MATCH($J$11,$D$12:$G$12,0))</f>
        <v>623</v>
      </c>
      <c r="L41" s="163">
        <f ca="1">_xlfn.XLOOKUP(MAX(INT((OFFSET($C$12,$I41,MATCH($J$11,$D$12:$G$12,0))-6)/10),1),组队产出!$B$25:$B$39,组队产出!$P$25:$P$39)*OFFSET($C$1,MATCH(L$12,$C$2:$C$7,0),MATCH($J$11,$D$12:$G$12,0))</f>
        <v>1106.4</v>
      </c>
      <c r="M41" s="163">
        <f ca="1">竞技场!$G$3*OFFSET($C$1,MATCH(M$12,$C$2:$C$7,0),MATCH($J$11,$D$12:$G$12,0))</f>
        <v>1050</v>
      </c>
      <c r="N4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41" s="23">
        <f>任务!$G$6+任务!$G$9+IF(MOD(I41,7)=0,任务!$N$9+任务!$O$6,0)</f>
        <v>895</v>
      </c>
      <c r="P41" s="25">
        <f>公会!$U$11</f>
        <v>2766.62857142857</v>
      </c>
      <c r="Q41" s="163">
        <f ca="1">_xlfn.XLOOKUP(OFFSET($C$12,$I41,MATCH($J$11,$D$12:$G$12,0)),巡逻产出!$B$311:$B$610,巡逻产出!$Q$311:$Q$610)*OFFSET($C$1,MATCH(Q$12,$C$2:$C$7,0),MATCH($J$11,$D$12:$G$12,0))</f>
        <v>1649.76</v>
      </c>
      <c r="S41" s="160">
        <v>29</v>
      </c>
      <c r="T41" s="163">
        <f ca="1">_xlfn.XLOOKUP(OFFSET($C$12,$I41,MATCH($T$11,$D$12:$G$12,0)),主线推图!$B$313:$B$612,主线推图!$P$313:$P$612)*OFFSET($C$1,MATCH(T$12,$C$2:$C$7,0),MATCH($T$11,$D$12:$G$12,0))</f>
        <v>2134.5</v>
      </c>
      <c r="U41" s="163">
        <f ca="1">_xlfn.XLOOKUP(OFFSET($C$12,$I41,MATCH($T$11,$D$12:$G$12,0)),巡逻产出!$B$311:$B$610,巡逻产出!$R$311:$R$610)*OFFSET($C$1,MATCH(U$12,$C$2:$C$7,0),MATCH($T$11,$D$12:$G$12,0))</f>
        <v>1877.25</v>
      </c>
      <c r="V41" s="163">
        <f ca="1">_xlfn.XLOOKUP(MAX(INT((OFFSET($C$12,$I41,MATCH($T$11,$D$12:$G$12,0))-6)/10),1),组队产出!$B$25:$B$39,组队产出!$P$25:$P$39)*OFFSET($C$1,MATCH(V$12,$C$2:$C$7,0),MATCH($T$11,$D$12:$G$12,0))</f>
        <v>2224.8</v>
      </c>
      <c r="W41" s="163">
        <f ca="1">竞技场!$G$3*OFFSET($C$1,MATCH(W$12,$C$2:$C$7,0),MATCH($T$11,$D$12:$G$12,0))</f>
        <v>2100</v>
      </c>
      <c r="X4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41" s="23">
        <f>任务!$G$6+任务!$G$9+IF(MOD(S41,7)=0,任务!$N$9+任务!$O$6,0)</f>
        <v>895</v>
      </c>
      <c r="Z41" s="25">
        <f>公会!$U$11</f>
        <v>2766.62857142857</v>
      </c>
      <c r="AA41" s="163">
        <f ca="1">_xlfn.XLOOKUP(OFFSET($C$12,$I41,MATCH($T$11,$D$12:$G$12,0)),巡逻产出!$B$311:$B$610,巡逻产出!$Q$311:$Q$610)*OFFSET($C$1,MATCH(AA$12,$C$2:$C$7,0),MATCH($T$11,$D$12:$G$12,0))</f>
        <v>2161.848</v>
      </c>
      <c r="AC41" s="160">
        <v>29</v>
      </c>
      <c r="AD41" s="163">
        <f ca="1">_xlfn.XLOOKUP(OFFSET($C$12,$I41,MATCH($AD$11,$D$12:$G$12,0)),主线推图!$B$313:$B$612,主线推图!$P$313:$P$612)*OFFSET($C$1,MATCH(AD$12,$C$2:$C$7,0),MATCH($AD$11,$D$12:$G$12,0))</f>
        <v>3170.2</v>
      </c>
      <c r="AE41" s="163">
        <f ca="1">_xlfn.XLOOKUP(OFFSET($C$12,$I41,MATCH($AD$11,$D$12:$G$12,0)),巡逻产出!$B$311:$B$610,巡逻产出!$R$311:$R$610)*OFFSET($C$1,MATCH(AE$12,$C$2:$C$7,0),MATCH($AD$11,$D$12:$G$12,0))</f>
        <v>0</v>
      </c>
      <c r="AF41" s="163">
        <f ca="1">_xlfn.XLOOKUP(MAX(INT((OFFSET($C$12,$I41,MATCH($AD$11,$D$12:$G$12,0))-6)/10),1),组队产出!$B$25:$B$39,组队产出!$P$25:$P$39)*OFFSET($C$1,MATCH(AF$12,$C$2:$C$7,0),MATCH($AD$11,$D$12:$G$12,0))</f>
        <v>2248.8</v>
      </c>
      <c r="AG41" s="163">
        <f ca="1">竞技场!$G$3*OFFSET($C$1,MATCH(AG$12,$C$2:$C$7,0),MATCH($AD$11,$D$12:$G$12,0))</f>
        <v>3150</v>
      </c>
      <c r="AH4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41" s="23">
        <f>任务!$G$6+任务!$G$9+IF(MOD(AC41,7)=0,任务!$N$9+任务!$O$6,0)</f>
        <v>895</v>
      </c>
      <c r="AJ41" s="25">
        <f>公会!$U$11</f>
        <v>2766.62857142857</v>
      </c>
      <c r="AK41" s="163">
        <f ca="1">_xlfn.XLOOKUP(OFFSET($C$12,$I41,MATCH($AD$11,$D$12:$G$12,0)),巡逻产出!$B$311:$B$610,巡逻产出!$Q$311:$Q$610)*OFFSET($C$1,MATCH(AK$12,$C$2:$C$7,0),MATCH($AD$11,$D$12:$G$12,0))</f>
        <v>2189.928</v>
      </c>
      <c r="AM41" s="164">
        <v>29</v>
      </c>
      <c r="AN41" s="165">
        <v>3984</v>
      </c>
      <c r="AO41" s="165">
        <v>4890</v>
      </c>
      <c r="AP41" s="165">
        <v>7454</v>
      </c>
      <c r="AQ41" s="165">
        <v>9589</v>
      </c>
    </row>
    <row r="42" spans="3:43">
      <c r="C42" s="160">
        <v>30</v>
      </c>
      <c r="D42" s="167">
        <v>82</v>
      </c>
      <c r="E42" s="167">
        <f t="shared" si="5"/>
        <v>77.5</v>
      </c>
      <c r="F42" s="167">
        <f t="shared" si="7"/>
        <v>84.5</v>
      </c>
      <c r="G42" s="168">
        <v>103</v>
      </c>
      <c r="I42" s="160">
        <v>30</v>
      </c>
      <c r="J42" s="163" t="e">
        <f ca="1">_xlfn.XLOOKUP(OFFSET($C$12,$I42,MATCH($J$11,$D$12:$G$12,0)),主线推图!$B$313:$B$612,主线推图!$P$313:$P$612)*OFFSET($C$1,MATCH(J$12,$C$2:$C$7,0),MATCH($J$11,$D$12:$G$12,0))</f>
        <v>#N/A</v>
      </c>
      <c r="K42" s="163" t="e">
        <f ca="1">_xlfn.XLOOKUP(OFFSET($C$12,$I42,MATCH($J$11,$D$12:$G$12,0)),巡逻产出!$B$311:$B$610,巡逻产出!$R$311:$R$610)*OFFSET($C$1,MATCH(K$12,$C$2:$C$7,0),MATCH($J$11,$D$12:$G$12,0))</f>
        <v>#N/A</v>
      </c>
      <c r="L42" s="163">
        <f ca="1">_xlfn.XLOOKUP(MAX(INT((OFFSET($C$12,$I42,MATCH($J$11,$D$12:$G$12,0))-6)/10),1),组队产出!$B$25:$B$39,组队产出!$P$25:$P$39)*OFFSET($C$1,MATCH(L$12,$C$2:$C$7,0),MATCH($J$11,$D$12:$G$12,0))</f>
        <v>1106.4</v>
      </c>
      <c r="M42" s="163">
        <f ca="1">竞技场!$G$3*OFFSET($C$1,MATCH(M$12,$C$2:$C$7,0),MATCH($J$11,$D$12:$G$12,0))</f>
        <v>1050</v>
      </c>
      <c r="N4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42" s="23">
        <f>任务!$G$6+任务!$G$9+IF(MOD(I42,7)=0,任务!$N$9+任务!$O$6,0)</f>
        <v>895</v>
      </c>
      <c r="P42" s="25">
        <f>公会!$U$11</f>
        <v>2766.62857142857</v>
      </c>
      <c r="Q42" s="163" t="e">
        <f ca="1">_xlfn.XLOOKUP(OFFSET($C$12,$I42,MATCH($J$11,$D$12:$G$12,0)),巡逻产出!$B$311:$B$610,巡逻产出!$Q$311:$Q$610)*OFFSET($C$1,MATCH(Q$12,$C$2:$C$7,0),MATCH($J$11,$D$12:$G$12,0))</f>
        <v>#N/A</v>
      </c>
      <c r="S42" s="160">
        <v>30</v>
      </c>
      <c r="T42" s="163" t="e">
        <f ca="1">_xlfn.XLOOKUP(OFFSET($C$12,$I42,MATCH($T$11,$D$12:$G$12,0)),主线推图!$B$313:$B$612,主线推图!$P$313:$P$612)*OFFSET($C$1,MATCH(T$12,$C$2:$C$7,0),MATCH($T$11,$D$12:$G$12,0))</f>
        <v>#N/A</v>
      </c>
      <c r="U42" s="163" t="e">
        <f ca="1">_xlfn.XLOOKUP(OFFSET($C$12,$I42,MATCH($T$11,$D$12:$G$12,0)),巡逻产出!$B$311:$B$610,巡逻产出!$R$311:$R$610)*OFFSET($C$1,MATCH(U$12,$C$2:$C$7,0),MATCH($T$11,$D$12:$G$12,0))</f>
        <v>#N/A</v>
      </c>
      <c r="V42" s="163">
        <f ca="1">_xlfn.XLOOKUP(MAX(INT((OFFSET($C$12,$I42,MATCH($T$11,$D$12:$G$12,0))-6)/10),1),组队产出!$B$25:$B$39,组队产出!$P$25:$P$39)*OFFSET($C$1,MATCH(V$12,$C$2:$C$7,0),MATCH($T$11,$D$12:$G$12,0))</f>
        <v>2224.8</v>
      </c>
      <c r="W42" s="163">
        <f ca="1">竞技场!$G$3*OFFSET($C$1,MATCH(W$12,$C$2:$C$7,0),MATCH($T$11,$D$12:$G$12,0))</f>
        <v>2100</v>
      </c>
      <c r="X4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42" s="23">
        <f>任务!$G$6+任务!$G$9+IF(MOD(S42,7)=0,任务!$N$9+任务!$O$6,0)</f>
        <v>895</v>
      </c>
      <c r="Z42" s="25">
        <f>公会!$U$11</f>
        <v>2766.62857142857</v>
      </c>
      <c r="AA42" s="163" t="e">
        <f ca="1">_xlfn.XLOOKUP(OFFSET($C$12,$I42,MATCH($T$11,$D$12:$G$12,0)),巡逻产出!$B$311:$B$610,巡逻产出!$Q$311:$Q$610)*OFFSET($C$1,MATCH(AA$12,$C$2:$C$7,0),MATCH($T$11,$D$12:$G$12,0))</f>
        <v>#N/A</v>
      </c>
      <c r="AC42" s="160">
        <v>30</v>
      </c>
      <c r="AD42" s="163">
        <f ca="1">_xlfn.XLOOKUP(OFFSET($C$12,$I42,MATCH($AD$11,$D$12:$G$12,0)),主线推图!$B$313:$B$612,主线推图!$P$313:$P$612)*OFFSET($C$1,MATCH(AD$12,$C$2:$C$7,0),MATCH($AD$11,$D$12:$G$12,0))</f>
        <v>3172.4</v>
      </c>
      <c r="AE42" s="163">
        <f ca="1">_xlfn.XLOOKUP(OFFSET($C$12,$I42,MATCH($AD$11,$D$12:$G$12,0)),巡逻产出!$B$311:$B$610,巡逻产出!$R$311:$R$610)*OFFSET($C$1,MATCH(AE$12,$C$2:$C$7,0),MATCH($AD$11,$D$12:$G$12,0))</f>
        <v>0</v>
      </c>
      <c r="AF42" s="163">
        <f ca="1">_xlfn.XLOOKUP(MAX(INT((OFFSET($C$12,$I42,MATCH($AD$11,$D$12:$G$12,0))-6)/10),1),组队产出!$B$25:$B$39,组队产出!$P$25:$P$39)*OFFSET($C$1,MATCH(AF$12,$C$2:$C$7,0),MATCH($AD$11,$D$12:$G$12,0))</f>
        <v>2248.8</v>
      </c>
      <c r="AG42" s="163">
        <f ca="1">竞技场!$G$3*OFFSET($C$1,MATCH(AG$12,$C$2:$C$7,0),MATCH($AD$11,$D$12:$G$12,0))</f>
        <v>3150</v>
      </c>
      <c r="AH4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42" s="23">
        <f>任务!$G$6+任务!$G$9+IF(MOD(AC42,7)=0,任务!$N$9+任务!$O$6,0)</f>
        <v>895</v>
      </c>
      <c r="AJ42" s="25">
        <f>公会!$U$11</f>
        <v>2766.62857142857</v>
      </c>
      <c r="AK42" s="163">
        <f ca="1">_xlfn.XLOOKUP(OFFSET($C$12,$I42,MATCH($AD$11,$D$12:$G$12,0)),巡逻产出!$B$311:$B$610,巡逻产出!$Q$311:$Q$610)*OFFSET($C$1,MATCH(AK$12,$C$2:$C$7,0),MATCH($AD$11,$D$12:$G$12,0))</f>
        <v>2191.488</v>
      </c>
      <c r="AM42" s="164">
        <v>30</v>
      </c>
      <c r="AN42" s="165">
        <v>4098</v>
      </c>
      <c r="AO42" s="165">
        <v>5033</v>
      </c>
      <c r="AP42" s="165">
        <v>7683</v>
      </c>
      <c r="AQ42" s="165">
        <v>9891</v>
      </c>
    </row>
    <row r="43" spans="3:43">
      <c r="C43" s="160">
        <v>31</v>
      </c>
      <c r="D43" s="167">
        <v>83</v>
      </c>
      <c r="E43" s="167">
        <f t="shared" si="5"/>
        <v>78</v>
      </c>
      <c r="F43" s="167">
        <f t="shared" si="7"/>
        <v>85</v>
      </c>
      <c r="G43" s="168">
        <v>104</v>
      </c>
      <c r="I43" s="160">
        <v>31</v>
      </c>
      <c r="J43" s="163" t="e">
        <f ca="1">_xlfn.XLOOKUP(OFFSET($C$12,$I43,MATCH($J$11,$D$12:$G$12,0)),主线推图!$B$313:$B$612,主线推图!$P$313:$P$612)*OFFSET($C$1,MATCH(J$12,$C$2:$C$7,0),MATCH($J$11,$D$12:$G$12,0))</f>
        <v>#N/A</v>
      </c>
      <c r="K43" s="163" t="e">
        <f ca="1">_xlfn.XLOOKUP(OFFSET($C$12,$I43,MATCH($J$11,$D$12:$G$12,0)),巡逻产出!$B$311:$B$610,巡逻产出!$R$311:$R$610)*OFFSET($C$1,MATCH(K$12,$C$2:$C$7,0),MATCH($J$11,$D$12:$G$12,0))</f>
        <v>#N/A</v>
      </c>
      <c r="L43" s="163">
        <f ca="1">_xlfn.XLOOKUP(MAX(INT((OFFSET($C$12,$I43,MATCH($J$11,$D$12:$G$12,0))-6)/10),1),组队产出!$B$25:$B$39,组队产出!$P$25:$P$39)*OFFSET($C$1,MATCH(L$12,$C$2:$C$7,0),MATCH($J$11,$D$12:$G$12,0))</f>
        <v>1106.4</v>
      </c>
      <c r="M43" s="163">
        <f ca="1">竞技场!$G$3*OFFSET($C$1,MATCH(M$12,$C$2:$C$7,0),MATCH($J$11,$D$12:$G$12,0))</f>
        <v>1050</v>
      </c>
      <c r="N4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43" s="23">
        <f>任务!$G$6+任务!$G$9+IF(MOD(I43,7)=0,任务!$N$9+任务!$O$6,0)</f>
        <v>895</v>
      </c>
      <c r="P43" s="25">
        <f>公会!$U$11</f>
        <v>2766.62857142857</v>
      </c>
      <c r="Q43" s="163" t="e">
        <f ca="1">_xlfn.XLOOKUP(OFFSET($C$12,$I43,MATCH($J$11,$D$12:$G$12,0)),巡逻产出!$B$311:$B$610,巡逻产出!$Q$311:$Q$610)*OFFSET($C$1,MATCH(Q$12,$C$2:$C$7,0),MATCH($J$11,$D$12:$G$12,0))</f>
        <v>#N/A</v>
      </c>
      <c r="S43" s="160">
        <v>31</v>
      </c>
      <c r="T43" s="163">
        <f ca="1">_xlfn.XLOOKUP(OFFSET($C$12,$I43,MATCH($T$11,$D$12:$G$12,0)),主线推图!$B$313:$B$612,主线推图!$P$313:$P$612)*OFFSET($C$1,MATCH(T$12,$C$2:$C$7,0),MATCH($T$11,$D$12:$G$12,0))</f>
        <v>2136</v>
      </c>
      <c r="U43" s="163">
        <f ca="1">_xlfn.XLOOKUP(OFFSET($C$12,$I43,MATCH($T$11,$D$12:$G$12,0)),巡逻产出!$B$311:$B$610,巡逻产出!$R$311:$R$610)*OFFSET($C$1,MATCH(U$12,$C$2:$C$7,0),MATCH($T$11,$D$12:$G$12,0))</f>
        <v>1878</v>
      </c>
      <c r="V43" s="163">
        <f ca="1">_xlfn.XLOOKUP(MAX(INT((OFFSET($C$12,$I43,MATCH($T$11,$D$12:$G$12,0))-6)/10),1),组队产出!$B$25:$B$39,组队产出!$P$25:$P$39)*OFFSET($C$1,MATCH(V$12,$C$2:$C$7,0),MATCH($T$11,$D$12:$G$12,0))</f>
        <v>2224.8</v>
      </c>
      <c r="W43" s="163">
        <f ca="1">竞技场!$G$3*OFFSET($C$1,MATCH(W$12,$C$2:$C$7,0),MATCH($T$11,$D$12:$G$12,0))</f>
        <v>2100</v>
      </c>
      <c r="X4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43" s="23">
        <f>任务!$G$6+任务!$G$9+IF(MOD(S43,7)=0,任务!$N$9+任务!$O$6,0)</f>
        <v>895</v>
      </c>
      <c r="Z43" s="25">
        <f>公会!$U$11</f>
        <v>2766.62857142857</v>
      </c>
      <c r="AA43" s="163">
        <f ca="1">_xlfn.XLOOKUP(OFFSET($C$12,$I43,MATCH($T$11,$D$12:$G$12,0)),巡逻产出!$B$311:$B$610,巡逻产出!$Q$311:$Q$610)*OFFSET($C$1,MATCH(AA$12,$C$2:$C$7,0),MATCH($T$11,$D$12:$G$12,0))</f>
        <v>2163.408</v>
      </c>
      <c r="AC43" s="160">
        <v>31</v>
      </c>
      <c r="AD43" s="163">
        <f ca="1">_xlfn.XLOOKUP(OFFSET($C$12,$I43,MATCH($AD$11,$D$12:$G$12,0)),主线推图!$B$313:$B$612,主线推图!$P$313:$P$612)*OFFSET($C$1,MATCH(AD$12,$C$2:$C$7,0),MATCH($AD$11,$D$12:$G$12,0))</f>
        <v>3174.6</v>
      </c>
      <c r="AE43" s="163">
        <f ca="1">_xlfn.XLOOKUP(OFFSET($C$12,$I43,MATCH($AD$11,$D$12:$G$12,0)),巡逻产出!$B$311:$B$610,巡逻产出!$R$311:$R$610)*OFFSET($C$1,MATCH(AE$12,$C$2:$C$7,0),MATCH($AD$11,$D$12:$G$12,0))</f>
        <v>0</v>
      </c>
      <c r="AF43" s="163">
        <f ca="1">_xlfn.XLOOKUP(MAX(INT((OFFSET($C$12,$I43,MATCH($AD$11,$D$12:$G$12,0))-6)/10),1),组队产出!$B$25:$B$39,组队产出!$P$25:$P$39)*OFFSET($C$1,MATCH(AF$12,$C$2:$C$7,0),MATCH($AD$11,$D$12:$G$12,0))</f>
        <v>2248.8</v>
      </c>
      <c r="AG43" s="163">
        <f ca="1">竞技场!$G$3*OFFSET($C$1,MATCH(AG$12,$C$2:$C$7,0),MATCH($AD$11,$D$12:$G$12,0))</f>
        <v>3150</v>
      </c>
      <c r="AH4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43" s="23">
        <f>任务!$G$6+任务!$G$9+IF(MOD(AC43,7)=0,任务!$N$9+任务!$O$6,0)</f>
        <v>895</v>
      </c>
      <c r="AJ43" s="25">
        <f>公会!$U$11</f>
        <v>2766.62857142857</v>
      </c>
      <c r="AK43" s="163">
        <f ca="1">_xlfn.XLOOKUP(OFFSET($C$12,$I43,MATCH($AD$11,$D$12:$G$12,0)),巡逻产出!$B$311:$B$610,巡逻产出!$Q$311:$Q$610)*OFFSET($C$1,MATCH(AK$12,$C$2:$C$7,0),MATCH($AD$11,$D$12:$G$12,0))</f>
        <v>2193.048</v>
      </c>
      <c r="AM43" s="164">
        <v>31</v>
      </c>
      <c r="AN43" s="165">
        <v>4212</v>
      </c>
      <c r="AO43" s="165">
        <v>5176</v>
      </c>
      <c r="AP43" s="165">
        <v>7911</v>
      </c>
      <c r="AQ43" s="165">
        <v>10193</v>
      </c>
    </row>
    <row r="44" spans="3:43">
      <c r="C44" s="160">
        <v>32</v>
      </c>
      <c r="D44" s="167">
        <v>83</v>
      </c>
      <c r="E44" s="167">
        <f t="shared" si="5"/>
        <v>78.5</v>
      </c>
      <c r="F44" s="167">
        <f t="shared" si="7"/>
        <v>85.5</v>
      </c>
      <c r="G44" s="168">
        <v>105</v>
      </c>
      <c r="I44" s="160">
        <v>32</v>
      </c>
      <c r="J44" s="163" t="e">
        <f ca="1">_xlfn.XLOOKUP(OFFSET($C$12,$I44,MATCH($J$11,$D$12:$G$12,0)),主线推图!$B$313:$B$612,主线推图!$P$313:$P$612)*OFFSET($C$1,MATCH(J$12,$C$2:$C$7,0),MATCH($J$11,$D$12:$G$12,0))</f>
        <v>#N/A</v>
      </c>
      <c r="K44" s="163" t="e">
        <f ca="1">_xlfn.XLOOKUP(OFFSET($C$12,$I44,MATCH($J$11,$D$12:$G$12,0)),巡逻产出!$B$311:$B$610,巡逻产出!$R$311:$R$610)*OFFSET($C$1,MATCH(K$12,$C$2:$C$7,0),MATCH($J$11,$D$12:$G$12,0))</f>
        <v>#N/A</v>
      </c>
      <c r="L44" s="163">
        <f ca="1">_xlfn.XLOOKUP(MAX(INT((OFFSET($C$12,$I44,MATCH($J$11,$D$12:$G$12,0))-6)/10),1),组队产出!$B$25:$B$39,组队产出!$P$25:$P$39)*OFFSET($C$1,MATCH(L$12,$C$2:$C$7,0),MATCH($J$11,$D$12:$G$12,0))</f>
        <v>1106.4</v>
      </c>
      <c r="M44" s="163">
        <f ca="1">竞技场!$G$3*OFFSET($C$1,MATCH(M$12,$C$2:$C$7,0),MATCH($J$11,$D$12:$G$12,0))</f>
        <v>1050</v>
      </c>
      <c r="N4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44" s="23">
        <f>任务!$G$6+任务!$G$9+IF(MOD(I44,7)=0,任务!$N$9+任务!$O$6,0)</f>
        <v>895</v>
      </c>
      <c r="P44" s="25">
        <f>公会!$U$11</f>
        <v>2766.62857142857</v>
      </c>
      <c r="Q44" s="163" t="e">
        <f ca="1">_xlfn.XLOOKUP(OFFSET($C$12,$I44,MATCH($J$11,$D$12:$G$12,0)),巡逻产出!$B$311:$B$610,巡逻产出!$Q$311:$Q$610)*OFFSET($C$1,MATCH(Q$12,$C$2:$C$7,0),MATCH($J$11,$D$12:$G$12,0))</f>
        <v>#N/A</v>
      </c>
      <c r="S44" s="160">
        <v>32</v>
      </c>
      <c r="T44" s="163" t="e">
        <f ca="1">_xlfn.XLOOKUP(OFFSET($C$12,$I44,MATCH($T$11,$D$12:$G$12,0)),主线推图!$B$313:$B$612,主线推图!$P$313:$P$612)*OFFSET($C$1,MATCH(T$12,$C$2:$C$7,0),MATCH($T$11,$D$12:$G$12,0))</f>
        <v>#N/A</v>
      </c>
      <c r="U44" s="163" t="e">
        <f ca="1">_xlfn.XLOOKUP(OFFSET($C$12,$I44,MATCH($T$11,$D$12:$G$12,0)),巡逻产出!$B$311:$B$610,巡逻产出!$R$311:$R$610)*OFFSET($C$1,MATCH(U$12,$C$2:$C$7,0),MATCH($T$11,$D$12:$G$12,0))</f>
        <v>#N/A</v>
      </c>
      <c r="V44" s="163">
        <f ca="1">_xlfn.XLOOKUP(MAX(INT((OFFSET($C$12,$I44,MATCH($T$11,$D$12:$G$12,0))-6)/10),1),组队产出!$B$25:$B$39,组队产出!$P$25:$P$39)*OFFSET($C$1,MATCH(V$12,$C$2:$C$7,0),MATCH($T$11,$D$12:$G$12,0))</f>
        <v>2224.8</v>
      </c>
      <c r="W44" s="163">
        <f ca="1">竞技场!$G$3*OFFSET($C$1,MATCH(W$12,$C$2:$C$7,0),MATCH($T$11,$D$12:$G$12,0))</f>
        <v>2100</v>
      </c>
      <c r="X4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44" s="23">
        <f>任务!$G$6+任务!$G$9+IF(MOD(S44,7)=0,任务!$N$9+任务!$O$6,0)</f>
        <v>895</v>
      </c>
      <c r="Z44" s="25">
        <f>公会!$U$11</f>
        <v>2766.62857142857</v>
      </c>
      <c r="AA44" s="163" t="e">
        <f ca="1">_xlfn.XLOOKUP(OFFSET($C$12,$I44,MATCH($T$11,$D$12:$G$12,0)),巡逻产出!$B$311:$B$610,巡逻产出!$Q$311:$Q$610)*OFFSET($C$1,MATCH(AA$12,$C$2:$C$7,0),MATCH($T$11,$D$12:$G$12,0))</f>
        <v>#N/A</v>
      </c>
      <c r="AC44" s="160">
        <v>32</v>
      </c>
      <c r="AD44" s="163">
        <f ca="1">_xlfn.XLOOKUP(OFFSET($C$12,$I44,MATCH($AD$11,$D$12:$G$12,0)),主线推图!$B$313:$B$612,主线推图!$P$313:$P$612)*OFFSET($C$1,MATCH(AD$12,$C$2:$C$7,0),MATCH($AD$11,$D$12:$G$12,0))</f>
        <v>3176.8</v>
      </c>
      <c r="AE44" s="163">
        <f ca="1">_xlfn.XLOOKUP(OFFSET($C$12,$I44,MATCH($AD$11,$D$12:$G$12,0)),巡逻产出!$B$311:$B$610,巡逻产出!$R$311:$R$610)*OFFSET($C$1,MATCH(AE$12,$C$2:$C$7,0),MATCH($AD$11,$D$12:$G$12,0))</f>
        <v>0</v>
      </c>
      <c r="AF44" s="163">
        <f ca="1">_xlfn.XLOOKUP(MAX(INT((OFFSET($C$12,$I44,MATCH($AD$11,$D$12:$G$12,0))-6)/10),1),组队产出!$B$25:$B$39,组队产出!$P$25:$P$39)*OFFSET($C$1,MATCH(AF$12,$C$2:$C$7,0),MATCH($AD$11,$D$12:$G$12,0))</f>
        <v>2248.8</v>
      </c>
      <c r="AG44" s="163">
        <f ca="1">竞技场!$G$3*OFFSET($C$1,MATCH(AG$12,$C$2:$C$7,0),MATCH($AD$11,$D$12:$G$12,0))</f>
        <v>3150</v>
      </c>
      <c r="AH4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44" s="23">
        <f>任务!$G$6+任务!$G$9+IF(MOD(AC44,7)=0,任务!$N$9+任务!$O$6,0)</f>
        <v>895</v>
      </c>
      <c r="AJ44" s="25">
        <f>公会!$U$11</f>
        <v>2766.62857142857</v>
      </c>
      <c r="AK44" s="163">
        <f ca="1">_xlfn.XLOOKUP(OFFSET($C$12,$I44,MATCH($AD$11,$D$12:$G$12,0)),巡逻产出!$B$311:$B$610,巡逻产出!$Q$311:$Q$610)*OFFSET($C$1,MATCH(AK$12,$C$2:$C$7,0),MATCH($AD$11,$D$12:$G$12,0))</f>
        <v>2194.608</v>
      </c>
      <c r="AM44" s="164">
        <v>32</v>
      </c>
      <c r="AN44" s="165">
        <v>4326</v>
      </c>
      <c r="AO44" s="165">
        <v>5319</v>
      </c>
      <c r="AP44" s="165">
        <v>8140</v>
      </c>
      <c r="AQ44" s="165">
        <v>10495</v>
      </c>
    </row>
    <row r="45" spans="3:43">
      <c r="C45" s="160">
        <v>33</v>
      </c>
      <c r="D45" s="167">
        <v>85</v>
      </c>
      <c r="E45" s="167">
        <f t="shared" si="5"/>
        <v>79</v>
      </c>
      <c r="F45" s="167">
        <f t="shared" si="7"/>
        <v>86</v>
      </c>
      <c r="G45" s="168">
        <v>106</v>
      </c>
      <c r="I45" s="160">
        <v>33</v>
      </c>
      <c r="J45" s="163">
        <f ca="1">_xlfn.XLOOKUP(OFFSET($C$12,$I45,MATCH($J$11,$D$12:$G$12,0)),主线推图!$B$313:$B$612,主线推图!$P$313:$P$612)*OFFSET($C$1,MATCH(J$12,$C$2:$C$7,0),MATCH($J$11,$D$12:$G$12,0))</f>
        <v>1413</v>
      </c>
      <c r="K45" s="163">
        <f ca="1">_xlfn.XLOOKUP(OFFSET($C$12,$I45,MATCH($J$11,$D$12:$G$12,0)),巡逻产出!$B$311:$B$610,巡逻产出!$R$311:$R$610)*OFFSET($C$1,MATCH(K$12,$C$2:$C$7,0),MATCH($J$11,$D$12:$G$12,0))</f>
        <v>623.25</v>
      </c>
      <c r="L45" s="163">
        <f ca="1">_xlfn.XLOOKUP(MAX(INT((OFFSET($C$12,$I45,MATCH($J$11,$D$12:$G$12,0))-6)/10),1),组队产出!$B$25:$B$39,组队产出!$P$25:$P$39)*OFFSET($C$1,MATCH(L$12,$C$2:$C$7,0),MATCH($J$11,$D$12:$G$12,0))</f>
        <v>1106.4</v>
      </c>
      <c r="M45" s="163">
        <f ca="1">竞技场!$G$3*OFFSET($C$1,MATCH(M$12,$C$2:$C$7,0),MATCH($J$11,$D$12:$G$12,0))</f>
        <v>1050</v>
      </c>
      <c r="N4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45" s="23">
        <f>任务!$G$6+任务!$G$9+IF(MOD(I45,7)=0,任务!$N$9+任务!$O$6,0)</f>
        <v>895</v>
      </c>
      <c r="P45" s="25">
        <f>公会!$U$11</f>
        <v>2766.62857142857</v>
      </c>
      <c r="Q45" s="163">
        <f ca="1">_xlfn.XLOOKUP(OFFSET($C$12,$I45,MATCH($J$11,$D$12:$G$12,0)),巡逻产出!$B$311:$B$610,巡逻产出!$Q$311:$Q$610)*OFFSET($C$1,MATCH(Q$12,$C$2:$C$7,0),MATCH($J$11,$D$12:$G$12,0))</f>
        <v>1650.96</v>
      </c>
      <c r="S45" s="160">
        <v>33</v>
      </c>
      <c r="T45" s="163">
        <f ca="1">_xlfn.XLOOKUP(OFFSET($C$12,$I45,MATCH($T$11,$D$12:$G$12,0)),主线推图!$B$313:$B$612,主线推图!$P$313:$P$612)*OFFSET($C$1,MATCH(T$12,$C$2:$C$7,0),MATCH($T$11,$D$12:$G$12,0))</f>
        <v>2137.5</v>
      </c>
      <c r="U45" s="163">
        <f ca="1">_xlfn.XLOOKUP(OFFSET($C$12,$I45,MATCH($T$11,$D$12:$G$12,0)),巡逻产出!$B$311:$B$610,巡逻产出!$R$311:$R$610)*OFFSET($C$1,MATCH(U$12,$C$2:$C$7,0),MATCH($T$11,$D$12:$G$12,0))</f>
        <v>1878.75</v>
      </c>
      <c r="V45" s="163">
        <f ca="1">_xlfn.XLOOKUP(MAX(INT((OFFSET($C$12,$I45,MATCH($T$11,$D$12:$G$12,0))-6)/10),1),组队产出!$B$25:$B$39,组队产出!$P$25:$P$39)*OFFSET($C$1,MATCH(V$12,$C$2:$C$7,0),MATCH($T$11,$D$12:$G$12,0))</f>
        <v>2236.8</v>
      </c>
      <c r="W45" s="163">
        <f ca="1">竞技场!$G$3*OFFSET($C$1,MATCH(W$12,$C$2:$C$7,0),MATCH($T$11,$D$12:$G$12,0))</f>
        <v>2100</v>
      </c>
      <c r="X4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45" s="23">
        <f>任务!$G$6+任务!$G$9+IF(MOD(S45,7)=0,任务!$N$9+任务!$O$6,0)</f>
        <v>895</v>
      </c>
      <c r="Z45" s="25">
        <f>公会!$U$11</f>
        <v>2766.62857142857</v>
      </c>
      <c r="AA45" s="163">
        <f ca="1">_xlfn.XLOOKUP(OFFSET($C$12,$I45,MATCH($T$11,$D$12:$G$12,0)),巡逻产出!$B$311:$B$610,巡逻产出!$Q$311:$Q$610)*OFFSET($C$1,MATCH(AA$12,$C$2:$C$7,0),MATCH($T$11,$D$12:$G$12,0))</f>
        <v>2164.968</v>
      </c>
      <c r="AC45" s="160">
        <v>33</v>
      </c>
      <c r="AD45" s="163">
        <f ca="1">_xlfn.XLOOKUP(OFFSET($C$12,$I45,MATCH($AD$11,$D$12:$G$12,0)),主线推图!$B$313:$B$612,主线推图!$P$313:$P$612)*OFFSET($C$1,MATCH(AD$12,$C$2:$C$7,0),MATCH($AD$11,$D$12:$G$12,0))</f>
        <v>3179</v>
      </c>
      <c r="AE45" s="163">
        <f ca="1">_xlfn.XLOOKUP(OFFSET($C$12,$I45,MATCH($AD$11,$D$12:$G$12,0)),巡逻产出!$B$311:$B$610,巡逻产出!$R$311:$R$610)*OFFSET($C$1,MATCH(AE$12,$C$2:$C$7,0),MATCH($AD$11,$D$12:$G$12,0))</f>
        <v>0</v>
      </c>
      <c r="AF45" s="163">
        <f ca="1">_xlfn.XLOOKUP(MAX(INT((OFFSET($C$12,$I45,MATCH($AD$11,$D$12:$G$12,0))-6)/10),1),组队产出!$B$25:$B$39,组队产出!$P$25:$P$39)*OFFSET($C$1,MATCH(AF$12,$C$2:$C$7,0),MATCH($AD$11,$D$12:$G$12,0))</f>
        <v>2260.8</v>
      </c>
      <c r="AG45" s="163">
        <f ca="1">竞技场!$G$3*OFFSET($C$1,MATCH(AG$12,$C$2:$C$7,0),MATCH($AD$11,$D$12:$G$12,0))</f>
        <v>3150</v>
      </c>
      <c r="AH4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45" s="23">
        <f>任务!$G$6+任务!$G$9+IF(MOD(AC45,7)=0,任务!$N$9+任务!$O$6,0)</f>
        <v>895</v>
      </c>
      <c r="AJ45" s="25">
        <f>公会!$U$11</f>
        <v>2766.62857142857</v>
      </c>
      <c r="AK45" s="163">
        <f ca="1">_xlfn.XLOOKUP(OFFSET($C$12,$I45,MATCH($AD$11,$D$12:$G$12,0)),巡逻产出!$B$311:$B$610,巡逻产出!$Q$311:$Q$610)*OFFSET($C$1,MATCH(AK$12,$C$2:$C$7,0),MATCH($AD$11,$D$12:$G$12,0))</f>
        <v>2196.168</v>
      </c>
      <c r="AM45" s="164">
        <v>33</v>
      </c>
      <c r="AN45" s="165">
        <v>4439</v>
      </c>
      <c r="AO45" s="165">
        <v>5462</v>
      </c>
      <c r="AP45" s="165">
        <v>8368</v>
      </c>
      <c r="AQ45" s="165">
        <v>10798</v>
      </c>
    </row>
    <row r="46" spans="3:43">
      <c r="C46" s="160">
        <v>34</v>
      </c>
      <c r="D46" s="167">
        <v>85</v>
      </c>
      <c r="E46" s="167">
        <f t="shared" si="5"/>
        <v>79.5</v>
      </c>
      <c r="F46" s="167">
        <f t="shared" si="7"/>
        <v>86.5</v>
      </c>
      <c r="G46" s="168">
        <v>107</v>
      </c>
      <c r="I46" s="160">
        <v>34</v>
      </c>
      <c r="J46" s="163" t="e">
        <f ca="1">_xlfn.XLOOKUP(OFFSET($C$12,$I46,MATCH($J$11,$D$12:$G$12,0)),主线推图!$B$313:$B$612,主线推图!$P$313:$P$612)*OFFSET($C$1,MATCH(J$12,$C$2:$C$7,0),MATCH($J$11,$D$12:$G$12,0))</f>
        <v>#N/A</v>
      </c>
      <c r="K46" s="163" t="e">
        <f ca="1">_xlfn.XLOOKUP(OFFSET($C$12,$I46,MATCH($J$11,$D$12:$G$12,0)),巡逻产出!$B$311:$B$610,巡逻产出!$R$311:$R$610)*OFFSET($C$1,MATCH(K$12,$C$2:$C$7,0),MATCH($J$11,$D$12:$G$12,0))</f>
        <v>#N/A</v>
      </c>
      <c r="L46" s="163">
        <f ca="1">_xlfn.XLOOKUP(MAX(INT((OFFSET($C$12,$I46,MATCH($J$11,$D$12:$G$12,0))-6)/10),1),组队产出!$B$25:$B$39,组队产出!$P$25:$P$39)*OFFSET($C$1,MATCH(L$12,$C$2:$C$7,0),MATCH($J$11,$D$12:$G$12,0))</f>
        <v>1106.4</v>
      </c>
      <c r="M46" s="163">
        <f ca="1">竞技场!$G$3*OFFSET($C$1,MATCH(M$12,$C$2:$C$7,0),MATCH($J$11,$D$12:$G$12,0))</f>
        <v>1050</v>
      </c>
      <c r="N4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46" s="23">
        <f>任务!$G$6+任务!$G$9+IF(MOD(I46,7)=0,任务!$N$9+任务!$O$6,0)</f>
        <v>895</v>
      </c>
      <c r="P46" s="25">
        <f>公会!$U$11</f>
        <v>2766.62857142857</v>
      </c>
      <c r="Q46" s="163" t="e">
        <f ca="1">_xlfn.XLOOKUP(OFFSET($C$12,$I46,MATCH($J$11,$D$12:$G$12,0)),巡逻产出!$B$311:$B$610,巡逻产出!$Q$311:$Q$610)*OFFSET($C$1,MATCH(Q$12,$C$2:$C$7,0),MATCH($J$11,$D$12:$G$12,0))</f>
        <v>#N/A</v>
      </c>
      <c r="S46" s="160">
        <v>34</v>
      </c>
      <c r="T46" s="163" t="e">
        <f ca="1">_xlfn.XLOOKUP(OFFSET($C$12,$I46,MATCH($T$11,$D$12:$G$12,0)),主线推图!$B$313:$B$612,主线推图!$P$313:$P$612)*OFFSET($C$1,MATCH(T$12,$C$2:$C$7,0),MATCH($T$11,$D$12:$G$12,0))</f>
        <v>#N/A</v>
      </c>
      <c r="U46" s="163" t="e">
        <f ca="1">_xlfn.XLOOKUP(OFFSET($C$12,$I46,MATCH($T$11,$D$12:$G$12,0)),巡逻产出!$B$311:$B$610,巡逻产出!$R$311:$R$610)*OFFSET($C$1,MATCH(U$12,$C$2:$C$7,0),MATCH($T$11,$D$12:$G$12,0))</f>
        <v>#N/A</v>
      </c>
      <c r="V46" s="163">
        <f ca="1">_xlfn.XLOOKUP(MAX(INT((OFFSET($C$12,$I46,MATCH($T$11,$D$12:$G$12,0))-6)/10),1),组队产出!$B$25:$B$39,组队产出!$P$25:$P$39)*OFFSET($C$1,MATCH(V$12,$C$2:$C$7,0),MATCH($T$11,$D$12:$G$12,0))</f>
        <v>2236.8</v>
      </c>
      <c r="W46" s="163">
        <f ca="1">竞技场!$G$3*OFFSET($C$1,MATCH(W$12,$C$2:$C$7,0),MATCH($T$11,$D$12:$G$12,0))</f>
        <v>2100</v>
      </c>
      <c r="X4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46" s="23">
        <f>任务!$G$6+任务!$G$9+IF(MOD(S46,7)=0,任务!$N$9+任务!$O$6,0)</f>
        <v>895</v>
      </c>
      <c r="Z46" s="25">
        <f>公会!$U$11</f>
        <v>2766.62857142857</v>
      </c>
      <c r="AA46" s="163" t="e">
        <f ca="1">_xlfn.XLOOKUP(OFFSET($C$12,$I46,MATCH($T$11,$D$12:$G$12,0)),巡逻产出!$B$311:$B$610,巡逻产出!$Q$311:$Q$610)*OFFSET($C$1,MATCH(AA$12,$C$2:$C$7,0),MATCH($T$11,$D$12:$G$12,0))</f>
        <v>#N/A</v>
      </c>
      <c r="AC46" s="160">
        <v>34</v>
      </c>
      <c r="AD46" s="163">
        <f ca="1">_xlfn.XLOOKUP(OFFSET($C$12,$I46,MATCH($AD$11,$D$12:$G$12,0)),主线推图!$B$313:$B$612,主线推图!$P$313:$P$612)*OFFSET($C$1,MATCH(AD$12,$C$2:$C$7,0),MATCH($AD$11,$D$12:$G$12,0))</f>
        <v>3181.2</v>
      </c>
      <c r="AE46" s="163">
        <f ca="1">_xlfn.XLOOKUP(OFFSET($C$12,$I46,MATCH($AD$11,$D$12:$G$12,0)),巡逻产出!$B$311:$B$610,巡逻产出!$R$311:$R$610)*OFFSET($C$1,MATCH(AE$12,$C$2:$C$7,0),MATCH($AD$11,$D$12:$G$12,0))</f>
        <v>0</v>
      </c>
      <c r="AF46" s="163">
        <f ca="1">_xlfn.XLOOKUP(MAX(INT((OFFSET($C$12,$I46,MATCH($AD$11,$D$12:$G$12,0))-6)/10),1),组队产出!$B$25:$B$39,组队产出!$P$25:$P$39)*OFFSET($C$1,MATCH(AF$12,$C$2:$C$7,0),MATCH($AD$11,$D$12:$G$12,0))</f>
        <v>2260.8</v>
      </c>
      <c r="AG46" s="163">
        <f ca="1">竞技场!$G$3*OFFSET($C$1,MATCH(AG$12,$C$2:$C$7,0),MATCH($AD$11,$D$12:$G$12,0))</f>
        <v>3150</v>
      </c>
      <c r="AH4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46" s="23">
        <f>任务!$G$6+任务!$G$9+IF(MOD(AC46,7)=0,任务!$N$9+任务!$O$6,0)</f>
        <v>895</v>
      </c>
      <c r="AJ46" s="25">
        <f>公会!$U$11</f>
        <v>2766.62857142857</v>
      </c>
      <c r="AK46" s="163">
        <f ca="1">_xlfn.XLOOKUP(OFFSET($C$12,$I46,MATCH($AD$11,$D$12:$G$12,0)),巡逻产出!$B$311:$B$610,巡逻产出!$Q$311:$Q$610)*OFFSET($C$1,MATCH(AK$12,$C$2:$C$7,0),MATCH($AD$11,$D$12:$G$12,0))</f>
        <v>2197.728</v>
      </c>
      <c r="AM46" s="164">
        <v>34</v>
      </c>
      <c r="AN46" s="165">
        <v>4553</v>
      </c>
      <c r="AO46" s="165">
        <v>5606</v>
      </c>
      <c r="AP46" s="165">
        <v>8597</v>
      </c>
      <c r="AQ46" s="165">
        <v>11100</v>
      </c>
    </row>
    <row r="47" spans="3:43">
      <c r="C47" s="160">
        <v>35</v>
      </c>
      <c r="D47" s="167">
        <v>86</v>
      </c>
      <c r="E47" s="167">
        <f t="shared" si="5"/>
        <v>80</v>
      </c>
      <c r="F47" s="167">
        <f t="shared" si="7"/>
        <v>87</v>
      </c>
      <c r="G47" s="168">
        <v>108</v>
      </c>
      <c r="I47" s="160">
        <v>35</v>
      </c>
      <c r="J47" s="163" t="e">
        <f ca="1">_xlfn.XLOOKUP(OFFSET($C$12,$I47,MATCH($J$11,$D$12:$G$12,0)),主线推图!$B$313:$B$612,主线推图!$P$313:$P$612)*OFFSET($C$1,MATCH(J$12,$C$2:$C$7,0),MATCH($J$11,$D$12:$G$12,0))</f>
        <v>#N/A</v>
      </c>
      <c r="K47" s="163" t="e">
        <f ca="1">_xlfn.XLOOKUP(OFFSET($C$12,$I47,MATCH($J$11,$D$12:$G$12,0)),巡逻产出!$B$311:$B$610,巡逻产出!$R$311:$R$610)*OFFSET($C$1,MATCH(K$12,$C$2:$C$7,0),MATCH($J$11,$D$12:$G$12,0))</f>
        <v>#N/A</v>
      </c>
      <c r="L47" s="163">
        <f ca="1">_xlfn.XLOOKUP(MAX(INT((OFFSET($C$12,$I47,MATCH($J$11,$D$12:$G$12,0))-6)/10),1),组队产出!$B$25:$B$39,组队产出!$P$25:$P$39)*OFFSET($C$1,MATCH(L$12,$C$2:$C$7,0),MATCH($J$11,$D$12:$G$12,0))</f>
        <v>1106.4</v>
      </c>
      <c r="M47" s="163">
        <f ca="1">竞技场!$G$3*OFFSET($C$1,MATCH(M$12,$C$2:$C$7,0),MATCH($J$11,$D$12:$G$12,0))</f>
        <v>1050</v>
      </c>
      <c r="N4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47" s="23">
        <f>任务!$G$6+任务!$G$9+IF(MOD(I47,7)=0,任务!$N$9+任务!$O$6,0)</f>
        <v>3125</v>
      </c>
      <c r="P47" s="25">
        <f>公会!$U$11</f>
        <v>2766.62857142857</v>
      </c>
      <c r="Q47" s="163" t="e">
        <f ca="1">_xlfn.XLOOKUP(OFFSET($C$12,$I47,MATCH($J$11,$D$12:$G$12,0)),巡逻产出!$B$311:$B$610,巡逻产出!$Q$311:$Q$610)*OFFSET($C$1,MATCH(Q$12,$C$2:$C$7,0),MATCH($J$11,$D$12:$G$12,0))</f>
        <v>#N/A</v>
      </c>
      <c r="S47" s="160">
        <v>35</v>
      </c>
      <c r="T47" s="163">
        <f ca="1">_xlfn.XLOOKUP(OFFSET($C$12,$I47,MATCH($T$11,$D$12:$G$12,0)),主线推图!$B$313:$B$612,主线推图!$P$313:$P$612)*OFFSET($C$1,MATCH(T$12,$C$2:$C$7,0),MATCH($T$11,$D$12:$G$12,0))</f>
        <v>2139</v>
      </c>
      <c r="U47" s="163">
        <f ca="1">_xlfn.XLOOKUP(OFFSET($C$12,$I47,MATCH($T$11,$D$12:$G$12,0)),巡逻产出!$B$311:$B$610,巡逻产出!$R$311:$R$610)*OFFSET($C$1,MATCH(U$12,$C$2:$C$7,0),MATCH($T$11,$D$12:$G$12,0))</f>
        <v>1879.5</v>
      </c>
      <c r="V47" s="163">
        <f ca="1">_xlfn.XLOOKUP(MAX(INT((OFFSET($C$12,$I47,MATCH($T$11,$D$12:$G$12,0))-6)/10),1),组队产出!$B$25:$B$39,组队产出!$P$25:$P$39)*OFFSET($C$1,MATCH(V$12,$C$2:$C$7,0),MATCH($T$11,$D$12:$G$12,0))</f>
        <v>2236.8</v>
      </c>
      <c r="W47" s="163">
        <f ca="1">竞技场!$G$3*OFFSET($C$1,MATCH(W$12,$C$2:$C$7,0),MATCH($T$11,$D$12:$G$12,0))</f>
        <v>2100</v>
      </c>
      <c r="X4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47" s="23">
        <f>任务!$G$6+任务!$G$9+IF(MOD(S47,7)=0,任务!$N$9+任务!$O$6,0)</f>
        <v>3125</v>
      </c>
      <c r="Z47" s="25">
        <f>公会!$U$11</f>
        <v>2766.62857142857</v>
      </c>
      <c r="AA47" s="163">
        <f ca="1">_xlfn.XLOOKUP(OFFSET($C$12,$I47,MATCH($T$11,$D$12:$G$12,0)),巡逻产出!$B$311:$B$610,巡逻产出!$Q$311:$Q$610)*OFFSET($C$1,MATCH(AA$12,$C$2:$C$7,0),MATCH($T$11,$D$12:$G$12,0))</f>
        <v>2166.528</v>
      </c>
      <c r="AC47" s="160">
        <v>35</v>
      </c>
      <c r="AD47" s="163">
        <f ca="1">_xlfn.XLOOKUP(OFFSET($C$12,$I47,MATCH($AD$11,$D$12:$G$12,0)),主线推图!$B$313:$B$612,主线推图!$P$313:$P$612)*OFFSET($C$1,MATCH(AD$12,$C$2:$C$7,0),MATCH($AD$11,$D$12:$G$12,0))</f>
        <v>3183.4</v>
      </c>
      <c r="AE47" s="163">
        <f ca="1">_xlfn.XLOOKUP(OFFSET($C$12,$I47,MATCH($AD$11,$D$12:$G$12,0)),巡逻产出!$B$311:$B$610,巡逻产出!$R$311:$R$610)*OFFSET($C$1,MATCH(AE$12,$C$2:$C$7,0),MATCH($AD$11,$D$12:$G$12,0))</f>
        <v>0</v>
      </c>
      <c r="AF47" s="163">
        <f ca="1">_xlfn.XLOOKUP(MAX(INT((OFFSET($C$12,$I47,MATCH($AD$11,$D$12:$G$12,0))-6)/10),1),组队产出!$B$25:$B$39,组队产出!$P$25:$P$39)*OFFSET($C$1,MATCH(AF$12,$C$2:$C$7,0),MATCH($AD$11,$D$12:$G$12,0))</f>
        <v>2260.8</v>
      </c>
      <c r="AG47" s="163">
        <f ca="1">竞技场!$G$3*OFFSET($C$1,MATCH(AG$12,$C$2:$C$7,0),MATCH($AD$11,$D$12:$G$12,0))</f>
        <v>3150</v>
      </c>
      <c r="AH4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47" s="23">
        <f>任务!$G$6+任务!$G$9+IF(MOD(AC47,7)=0,任务!$N$9+任务!$O$6,0)</f>
        <v>3125</v>
      </c>
      <c r="AJ47" s="25">
        <f>公会!$U$11</f>
        <v>2766.62857142857</v>
      </c>
      <c r="AK47" s="163">
        <f ca="1">_xlfn.XLOOKUP(OFFSET($C$12,$I47,MATCH($AD$11,$D$12:$G$12,0)),巡逻产出!$B$311:$B$610,巡逻产出!$Q$311:$Q$610)*OFFSET($C$1,MATCH(AK$12,$C$2:$C$7,0),MATCH($AD$11,$D$12:$G$12,0))</f>
        <v>2199.288</v>
      </c>
      <c r="AM47" s="164">
        <v>35</v>
      </c>
      <c r="AN47" s="165">
        <v>4667</v>
      </c>
      <c r="AO47" s="165">
        <v>5749</v>
      </c>
      <c r="AP47" s="165">
        <v>8825</v>
      </c>
      <c r="AQ47" s="165">
        <v>11402</v>
      </c>
    </row>
    <row r="48" spans="3:43">
      <c r="C48" s="160">
        <v>36</v>
      </c>
      <c r="D48" s="167">
        <v>86</v>
      </c>
      <c r="E48" s="167">
        <f t="shared" si="5"/>
        <v>80.5</v>
      </c>
      <c r="F48" s="167">
        <f t="shared" si="7"/>
        <v>87.5</v>
      </c>
      <c r="G48" s="168">
        <v>109</v>
      </c>
      <c r="I48" s="160">
        <v>36</v>
      </c>
      <c r="J48" s="163" t="e">
        <f ca="1">_xlfn.XLOOKUP(OFFSET($C$12,$I48,MATCH($J$11,$D$12:$G$12,0)),主线推图!$B$313:$B$612,主线推图!$P$313:$P$612)*OFFSET($C$1,MATCH(J$12,$C$2:$C$7,0),MATCH($J$11,$D$12:$G$12,0))</f>
        <v>#N/A</v>
      </c>
      <c r="K48" s="163" t="e">
        <f ca="1">_xlfn.XLOOKUP(OFFSET($C$12,$I48,MATCH($J$11,$D$12:$G$12,0)),巡逻产出!$B$311:$B$610,巡逻产出!$R$311:$R$610)*OFFSET($C$1,MATCH(K$12,$C$2:$C$7,0),MATCH($J$11,$D$12:$G$12,0))</f>
        <v>#N/A</v>
      </c>
      <c r="L48" s="163">
        <f ca="1">_xlfn.XLOOKUP(MAX(INT((OFFSET($C$12,$I48,MATCH($J$11,$D$12:$G$12,0))-6)/10),1),组队产出!$B$25:$B$39,组队产出!$P$25:$P$39)*OFFSET($C$1,MATCH(L$12,$C$2:$C$7,0),MATCH($J$11,$D$12:$G$12,0))</f>
        <v>1106.4</v>
      </c>
      <c r="M48" s="163">
        <f ca="1">竞技场!$G$3*OFFSET($C$1,MATCH(M$12,$C$2:$C$7,0),MATCH($J$11,$D$12:$G$12,0))</f>
        <v>1050</v>
      </c>
      <c r="N4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48" s="23">
        <f>任务!$G$6+任务!$G$9+IF(MOD(I48,7)=0,任务!$N$9+任务!$O$6,0)</f>
        <v>895</v>
      </c>
      <c r="P48" s="25">
        <f>公会!$U$11</f>
        <v>2766.62857142857</v>
      </c>
      <c r="Q48" s="163" t="e">
        <f ca="1">_xlfn.XLOOKUP(OFFSET($C$12,$I48,MATCH($J$11,$D$12:$G$12,0)),巡逻产出!$B$311:$B$610,巡逻产出!$Q$311:$Q$610)*OFFSET($C$1,MATCH(Q$12,$C$2:$C$7,0),MATCH($J$11,$D$12:$G$12,0))</f>
        <v>#N/A</v>
      </c>
      <c r="S48" s="160">
        <v>36</v>
      </c>
      <c r="T48" s="163" t="e">
        <f ca="1">_xlfn.XLOOKUP(OFFSET($C$12,$I48,MATCH($T$11,$D$12:$G$12,0)),主线推图!$B$313:$B$612,主线推图!$P$313:$P$612)*OFFSET($C$1,MATCH(T$12,$C$2:$C$7,0),MATCH($T$11,$D$12:$G$12,0))</f>
        <v>#N/A</v>
      </c>
      <c r="U48" s="163" t="e">
        <f ca="1">_xlfn.XLOOKUP(OFFSET($C$12,$I48,MATCH($T$11,$D$12:$G$12,0)),巡逻产出!$B$311:$B$610,巡逻产出!$R$311:$R$610)*OFFSET($C$1,MATCH(U$12,$C$2:$C$7,0),MATCH($T$11,$D$12:$G$12,0))</f>
        <v>#N/A</v>
      </c>
      <c r="V48" s="163">
        <f ca="1">_xlfn.XLOOKUP(MAX(INT((OFFSET($C$12,$I48,MATCH($T$11,$D$12:$G$12,0))-6)/10),1),组队产出!$B$25:$B$39,组队产出!$P$25:$P$39)*OFFSET($C$1,MATCH(V$12,$C$2:$C$7,0),MATCH($T$11,$D$12:$G$12,0))</f>
        <v>2236.8</v>
      </c>
      <c r="W48" s="163">
        <f ca="1">竞技场!$G$3*OFFSET($C$1,MATCH(W$12,$C$2:$C$7,0),MATCH($T$11,$D$12:$G$12,0))</f>
        <v>2100</v>
      </c>
      <c r="X4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48" s="23">
        <f>任务!$G$6+任务!$G$9+IF(MOD(S48,7)=0,任务!$N$9+任务!$O$6,0)</f>
        <v>895</v>
      </c>
      <c r="Z48" s="25">
        <f>公会!$U$11</f>
        <v>2766.62857142857</v>
      </c>
      <c r="AA48" s="163" t="e">
        <f ca="1">_xlfn.XLOOKUP(OFFSET($C$12,$I48,MATCH($T$11,$D$12:$G$12,0)),巡逻产出!$B$311:$B$610,巡逻产出!$Q$311:$Q$610)*OFFSET($C$1,MATCH(AA$12,$C$2:$C$7,0),MATCH($T$11,$D$12:$G$12,0))</f>
        <v>#N/A</v>
      </c>
      <c r="AC48" s="160">
        <v>36</v>
      </c>
      <c r="AD48" s="163">
        <f ca="1">_xlfn.XLOOKUP(OFFSET($C$12,$I48,MATCH($AD$11,$D$12:$G$12,0)),主线推图!$B$313:$B$612,主线推图!$P$313:$P$612)*OFFSET($C$1,MATCH(AD$12,$C$2:$C$7,0),MATCH($AD$11,$D$12:$G$12,0))</f>
        <v>3185.6</v>
      </c>
      <c r="AE48" s="163">
        <f ca="1">_xlfn.XLOOKUP(OFFSET($C$12,$I48,MATCH($AD$11,$D$12:$G$12,0)),巡逻产出!$B$311:$B$610,巡逻产出!$R$311:$R$610)*OFFSET($C$1,MATCH(AE$12,$C$2:$C$7,0),MATCH($AD$11,$D$12:$G$12,0))</f>
        <v>0</v>
      </c>
      <c r="AF48" s="163">
        <f ca="1">_xlfn.XLOOKUP(MAX(INT((OFFSET($C$12,$I48,MATCH($AD$11,$D$12:$G$12,0))-6)/10),1),组队产出!$B$25:$B$39,组队产出!$P$25:$P$39)*OFFSET($C$1,MATCH(AF$12,$C$2:$C$7,0),MATCH($AD$11,$D$12:$G$12,0))</f>
        <v>2260.8</v>
      </c>
      <c r="AG48" s="163">
        <f ca="1">竞技场!$G$3*OFFSET($C$1,MATCH(AG$12,$C$2:$C$7,0),MATCH($AD$11,$D$12:$G$12,0))</f>
        <v>3150</v>
      </c>
      <c r="AH4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48" s="23">
        <f>任务!$G$6+任务!$G$9+IF(MOD(AC48,7)=0,任务!$N$9+任务!$O$6,0)</f>
        <v>895</v>
      </c>
      <c r="AJ48" s="25">
        <f>公会!$U$11</f>
        <v>2766.62857142857</v>
      </c>
      <c r="AK48" s="163">
        <f ca="1">_xlfn.XLOOKUP(OFFSET($C$12,$I48,MATCH($AD$11,$D$12:$G$12,0)),巡逻产出!$B$311:$B$610,巡逻产出!$Q$311:$Q$610)*OFFSET($C$1,MATCH(AK$12,$C$2:$C$7,0),MATCH($AD$11,$D$12:$G$12,0))</f>
        <v>2200.848</v>
      </c>
      <c r="AM48" s="164">
        <v>36</v>
      </c>
      <c r="AN48" s="165">
        <v>4781</v>
      </c>
      <c r="AO48" s="165">
        <v>5892</v>
      </c>
      <c r="AP48" s="165">
        <v>9053</v>
      </c>
      <c r="AQ48" s="165">
        <v>11704</v>
      </c>
    </row>
    <row r="49" spans="3:43">
      <c r="C49" s="160">
        <v>37</v>
      </c>
      <c r="D49" s="167">
        <v>86</v>
      </c>
      <c r="E49" s="167">
        <f t="shared" si="5"/>
        <v>81</v>
      </c>
      <c r="F49" s="167">
        <f t="shared" si="7"/>
        <v>88</v>
      </c>
      <c r="G49" s="168">
        <v>110</v>
      </c>
      <c r="I49" s="160">
        <v>37</v>
      </c>
      <c r="J49" s="163">
        <f ca="1">_xlfn.XLOOKUP(OFFSET($C$12,$I49,MATCH($J$11,$D$12:$G$12,0)),主线推图!$B$313:$B$612,主线推图!$P$313:$P$612)*OFFSET($C$1,MATCH(J$12,$C$2:$C$7,0),MATCH($J$11,$D$12:$G$12,0))</f>
        <v>1414</v>
      </c>
      <c r="K49" s="163">
        <f ca="1">_xlfn.XLOOKUP(OFFSET($C$12,$I49,MATCH($J$11,$D$12:$G$12,0)),巡逻产出!$B$311:$B$610,巡逻产出!$R$311:$R$610)*OFFSET($C$1,MATCH(K$12,$C$2:$C$7,0),MATCH($J$11,$D$12:$G$12,0))</f>
        <v>623.5</v>
      </c>
      <c r="L49" s="163">
        <f ca="1">_xlfn.XLOOKUP(MAX(INT((OFFSET($C$12,$I49,MATCH($J$11,$D$12:$G$12,0))-6)/10),1),组队产出!$B$25:$B$39,组队产出!$P$25:$P$39)*OFFSET($C$1,MATCH(L$12,$C$2:$C$7,0),MATCH($J$11,$D$12:$G$12,0))</f>
        <v>1106.4</v>
      </c>
      <c r="M49" s="163">
        <f ca="1">竞技场!$G$3*OFFSET($C$1,MATCH(M$12,$C$2:$C$7,0),MATCH($J$11,$D$12:$G$12,0))</f>
        <v>1050</v>
      </c>
      <c r="N4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49" s="23">
        <f>任务!$G$6+任务!$G$9+IF(MOD(I49,7)=0,任务!$N$9+任务!$O$6,0)</f>
        <v>895</v>
      </c>
      <c r="P49" s="25">
        <f>公会!$U$11</f>
        <v>2766.62857142857</v>
      </c>
      <c r="Q49" s="163">
        <f ca="1">_xlfn.XLOOKUP(OFFSET($C$12,$I49,MATCH($J$11,$D$12:$G$12,0)),巡逻产出!$B$311:$B$610,巡逻产出!$Q$311:$Q$610)*OFFSET($C$1,MATCH(Q$12,$C$2:$C$7,0),MATCH($J$11,$D$12:$G$12,0))</f>
        <v>1652.16</v>
      </c>
      <c r="S49" s="160">
        <v>37</v>
      </c>
      <c r="T49" s="163">
        <f ca="1">_xlfn.XLOOKUP(OFFSET($C$12,$I49,MATCH($T$11,$D$12:$G$12,0)),主线推图!$B$313:$B$612,主线推图!$P$313:$P$612)*OFFSET($C$1,MATCH(T$12,$C$2:$C$7,0),MATCH($T$11,$D$12:$G$12,0))</f>
        <v>2140.5</v>
      </c>
      <c r="U49" s="163">
        <f ca="1">_xlfn.XLOOKUP(OFFSET($C$12,$I49,MATCH($T$11,$D$12:$G$12,0)),巡逻产出!$B$311:$B$610,巡逻产出!$R$311:$R$610)*OFFSET($C$1,MATCH(U$12,$C$2:$C$7,0),MATCH($T$11,$D$12:$G$12,0))</f>
        <v>1880.25</v>
      </c>
      <c r="V49" s="163">
        <f ca="1">_xlfn.XLOOKUP(MAX(INT((OFFSET($C$12,$I49,MATCH($T$11,$D$12:$G$12,0))-6)/10),1),组队产出!$B$25:$B$39,组队产出!$P$25:$P$39)*OFFSET($C$1,MATCH(V$12,$C$2:$C$7,0),MATCH($T$11,$D$12:$G$12,0))</f>
        <v>2236.8</v>
      </c>
      <c r="W49" s="163">
        <f ca="1">竞技场!$G$3*OFFSET($C$1,MATCH(W$12,$C$2:$C$7,0),MATCH($T$11,$D$12:$G$12,0))</f>
        <v>2100</v>
      </c>
      <c r="X4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49" s="23">
        <f>任务!$G$6+任务!$G$9+IF(MOD(S49,7)=0,任务!$N$9+任务!$O$6,0)</f>
        <v>895</v>
      </c>
      <c r="Z49" s="25">
        <f>公会!$U$11</f>
        <v>2766.62857142857</v>
      </c>
      <c r="AA49" s="163">
        <f ca="1">_xlfn.XLOOKUP(OFFSET($C$12,$I49,MATCH($T$11,$D$12:$G$12,0)),巡逻产出!$B$311:$B$610,巡逻产出!$Q$311:$Q$610)*OFFSET($C$1,MATCH(AA$12,$C$2:$C$7,0),MATCH($T$11,$D$12:$G$12,0))</f>
        <v>2168.088</v>
      </c>
      <c r="AC49" s="160">
        <v>37</v>
      </c>
      <c r="AD49" s="163">
        <f ca="1">_xlfn.XLOOKUP(OFFSET($C$12,$I49,MATCH($AD$11,$D$12:$G$12,0)),主线推图!$B$313:$B$612,主线推图!$P$313:$P$612)*OFFSET($C$1,MATCH(AD$12,$C$2:$C$7,0),MATCH($AD$11,$D$12:$G$12,0))</f>
        <v>3187.8</v>
      </c>
      <c r="AE49" s="163">
        <f ca="1">_xlfn.XLOOKUP(OFFSET($C$12,$I49,MATCH($AD$11,$D$12:$G$12,0)),巡逻产出!$B$311:$B$610,巡逻产出!$R$311:$R$610)*OFFSET($C$1,MATCH(AE$12,$C$2:$C$7,0),MATCH($AD$11,$D$12:$G$12,0))</f>
        <v>0</v>
      </c>
      <c r="AF49" s="163">
        <f ca="1">_xlfn.XLOOKUP(MAX(INT((OFFSET($C$12,$I49,MATCH($AD$11,$D$12:$G$12,0))-6)/10),1),组队产出!$B$25:$B$39,组队产出!$P$25:$P$39)*OFFSET($C$1,MATCH(AF$12,$C$2:$C$7,0),MATCH($AD$11,$D$12:$G$12,0))</f>
        <v>2260.8</v>
      </c>
      <c r="AG49" s="163">
        <f ca="1">竞技场!$G$3*OFFSET($C$1,MATCH(AG$12,$C$2:$C$7,0),MATCH($AD$11,$D$12:$G$12,0))</f>
        <v>3150</v>
      </c>
      <c r="AH4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49" s="23">
        <f>任务!$G$6+任务!$G$9+IF(MOD(AC49,7)=0,任务!$N$9+任务!$O$6,0)</f>
        <v>895</v>
      </c>
      <c r="AJ49" s="25">
        <f>公会!$U$11</f>
        <v>2766.62857142857</v>
      </c>
      <c r="AK49" s="163">
        <f ca="1">_xlfn.XLOOKUP(OFFSET($C$12,$I49,MATCH($AD$11,$D$12:$G$12,0)),巡逻产出!$B$311:$B$610,巡逻产出!$Q$311:$Q$610)*OFFSET($C$1,MATCH(AK$12,$C$2:$C$7,0),MATCH($AD$11,$D$12:$G$12,0))</f>
        <v>2202.408</v>
      </c>
      <c r="AM49" s="164">
        <v>37</v>
      </c>
      <c r="AN49" s="165">
        <v>4895</v>
      </c>
      <c r="AO49" s="165">
        <v>6035</v>
      </c>
      <c r="AP49" s="165">
        <v>9282</v>
      </c>
      <c r="AQ49" s="165">
        <v>12006</v>
      </c>
    </row>
    <row r="50" spans="3:43">
      <c r="C50" s="160">
        <v>38</v>
      </c>
      <c r="D50" s="167">
        <v>87</v>
      </c>
      <c r="E50" s="167">
        <f t="shared" si="5"/>
        <v>81.5</v>
      </c>
      <c r="F50" s="167">
        <f t="shared" si="7"/>
        <v>88.5</v>
      </c>
      <c r="G50" s="168">
        <v>111</v>
      </c>
      <c r="I50" s="160">
        <v>38</v>
      </c>
      <c r="J50" s="163" t="e">
        <f ca="1">_xlfn.XLOOKUP(OFFSET($C$12,$I50,MATCH($J$11,$D$12:$G$12,0)),主线推图!$B$313:$B$612,主线推图!$P$313:$P$612)*OFFSET($C$1,MATCH(J$12,$C$2:$C$7,0),MATCH($J$11,$D$12:$G$12,0))</f>
        <v>#N/A</v>
      </c>
      <c r="K50" s="163" t="e">
        <f ca="1">_xlfn.XLOOKUP(OFFSET($C$12,$I50,MATCH($J$11,$D$12:$G$12,0)),巡逻产出!$B$311:$B$610,巡逻产出!$R$311:$R$610)*OFFSET($C$1,MATCH(K$12,$C$2:$C$7,0),MATCH($J$11,$D$12:$G$12,0))</f>
        <v>#N/A</v>
      </c>
      <c r="L50" s="163">
        <f ca="1">_xlfn.XLOOKUP(MAX(INT((OFFSET($C$12,$I50,MATCH($J$11,$D$12:$G$12,0))-6)/10),1),组队产出!$B$25:$B$39,组队产出!$P$25:$P$39)*OFFSET($C$1,MATCH(L$12,$C$2:$C$7,0),MATCH($J$11,$D$12:$G$12,0))</f>
        <v>1106.4</v>
      </c>
      <c r="M50" s="163">
        <f ca="1">竞技场!$G$3*OFFSET($C$1,MATCH(M$12,$C$2:$C$7,0),MATCH($J$11,$D$12:$G$12,0))</f>
        <v>1050</v>
      </c>
      <c r="N5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50" s="23">
        <f>任务!$G$6+任务!$G$9+IF(MOD(I50,7)=0,任务!$N$9+任务!$O$6,0)</f>
        <v>895</v>
      </c>
      <c r="P50" s="25">
        <f>公会!$U$11</f>
        <v>2766.62857142857</v>
      </c>
      <c r="Q50" s="163" t="e">
        <f ca="1">_xlfn.XLOOKUP(OFFSET($C$12,$I50,MATCH($J$11,$D$12:$G$12,0)),巡逻产出!$B$311:$B$610,巡逻产出!$Q$311:$Q$610)*OFFSET($C$1,MATCH(Q$12,$C$2:$C$7,0),MATCH($J$11,$D$12:$G$12,0))</f>
        <v>#N/A</v>
      </c>
      <c r="S50" s="160">
        <v>38</v>
      </c>
      <c r="T50" s="163" t="e">
        <f ca="1">_xlfn.XLOOKUP(OFFSET($C$12,$I50,MATCH($T$11,$D$12:$G$12,0)),主线推图!$B$313:$B$612,主线推图!$P$313:$P$612)*OFFSET($C$1,MATCH(T$12,$C$2:$C$7,0),MATCH($T$11,$D$12:$G$12,0))</f>
        <v>#N/A</v>
      </c>
      <c r="U50" s="163" t="e">
        <f ca="1">_xlfn.XLOOKUP(OFFSET($C$12,$I50,MATCH($T$11,$D$12:$G$12,0)),巡逻产出!$B$311:$B$610,巡逻产出!$R$311:$R$610)*OFFSET($C$1,MATCH(U$12,$C$2:$C$7,0),MATCH($T$11,$D$12:$G$12,0))</f>
        <v>#N/A</v>
      </c>
      <c r="V50" s="163">
        <f ca="1">_xlfn.XLOOKUP(MAX(INT((OFFSET($C$12,$I50,MATCH($T$11,$D$12:$G$12,0))-6)/10),1),组队产出!$B$25:$B$39,组队产出!$P$25:$P$39)*OFFSET($C$1,MATCH(V$12,$C$2:$C$7,0),MATCH($T$11,$D$12:$G$12,0))</f>
        <v>2236.8</v>
      </c>
      <c r="W50" s="163">
        <f ca="1">竞技场!$G$3*OFFSET($C$1,MATCH(W$12,$C$2:$C$7,0),MATCH($T$11,$D$12:$G$12,0))</f>
        <v>2100</v>
      </c>
      <c r="X5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50" s="23">
        <f>任务!$G$6+任务!$G$9+IF(MOD(S50,7)=0,任务!$N$9+任务!$O$6,0)</f>
        <v>895</v>
      </c>
      <c r="Z50" s="25">
        <f>公会!$U$11</f>
        <v>2766.62857142857</v>
      </c>
      <c r="AA50" s="163" t="e">
        <f ca="1">_xlfn.XLOOKUP(OFFSET($C$12,$I50,MATCH($T$11,$D$12:$G$12,0)),巡逻产出!$B$311:$B$610,巡逻产出!$Q$311:$Q$610)*OFFSET($C$1,MATCH(AA$12,$C$2:$C$7,0),MATCH($T$11,$D$12:$G$12,0))</f>
        <v>#N/A</v>
      </c>
      <c r="AC50" s="160">
        <v>38</v>
      </c>
      <c r="AD50" s="163">
        <f ca="1">_xlfn.XLOOKUP(OFFSET($C$12,$I50,MATCH($AD$11,$D$12:$G$12,0)),主线推图!$B$313:$B$612,主线推图!$P$313:$P$612)*OFFSET($C$1,MATCH(AD$12,$C$2:$C$7,0),MATCH($AD$11,$D$12:$G$12,0))</f>
        <v>3190</v>
      </c>
      <c r="AE50" s="163">
        <f ca="1">_xlfn.XLOOKUP(OFFSET($C$12,$I50,MATCH($AD$11,$D$12:$G$12,0)),巡逻产出!$B$311:$B$610,巡逻产出!$R$311:$R$610)*OFFSET($C$1,MATCH(AE$12,$C$2:$C$7,0),MATCH($AD$11,$D$12:$G$12,0))</f>
        <v>0</v>
      </c>
      <c r="AF50" s="163">
        <f ca="1">_xlfn.XLOOKUP(MAX(INT((OFFSET($C$12,$I50,MATCH($AD$11,$D$12:$G$12,0))-6)/10),1),组队产出!$B$25:$B$39,组队产出!$P$25:$P$39)*OFFSET($C$1,MATCH(AF$12,$C$2:$C$7,0),MATCH($AD$11,$D$12:$G$12,0))</f>
        <v>2260.8</v>
      </c>
      <c r="AG50" s="163">
        <f ca="1">竞技场!$G$3*OFFSET($C$1,MATCH(AG$12,$C$2:$C$7,0),MATCH($AD$11,$D$12:$G$12,0))</f>
        <v>3150</v>
      </c>
      <c r="AH5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50" s="23">
        <f>任务!$G$6+任务!$G$9+IF(MOD(AC50,7)=0,任务!$N$9+任务!$O$6,0)</f>
        <v>895</v>
      </c>
      <c r="AJ50" s="25">
        <f>公会!$U$11</f>
        <v>2766.62857142857</v>
      </c>
      <c r="AK50" s="163">
        <f ca="1">_xlfn.XLOOKUP(OFFSET($C$12,$I50,MATCH($AD$11,$D$12:$G$12,0)),巡逻产出!$B$311:$B$610,巡逻产出!$Q$311:$Q$610)*OFFSET($C$1,MATCH(AK$12,$C$2:$C$7,0),MATCH($AD$11,$D$12:$G$12,0))</f>
        <v>2203.968</v>
      </c>
      <c r="AM50" s="164">
        <v>38</v>
      </c>
      <c r="AN50" s="165">
        <v>5008</v>
      </c>
      <c r="AO50" s="165">
        <v>6178</v>
      </c>
      <c r="AP50" s="165">
        <v>9510</v>
      </c>
      <c r="AQ50" s="165">
        <v>12308</v>
      </c>
    </row>
    <row r="51" spans="3:43">
      <c r="C51" s="160">
        <v>39</v>
      </c>
      <c r="D51" s="167">
        <v>88</v>
      </c>
      <c r="E51" s="167">
        <f t="shared" si="5"/>
        <v>82</v>
      </c>
      <c r="F51" s="167">
        <f t="shared" si="7"/>
        <v>89</v>
      </c>
      <c r="G51" s="168">
        <v>112</v>
      </c>
      <c r="I51" s="160">
        <v>39</v>
      </c>
      <c r="J51" s="163" t="e">
        <f ca="1">_xlfn.XLOOKUP(OFFSET($C$12,$I51,MATCH($J$11,$D$12:$G$12,0)),主线推图!$B$313:$B$612,主线推图!$P$313:$P$612)*OFFSET($C$1,MATCH(J$12,$C$2:$C$7,0),MATCH($J$11,$D$12:$G$12,0))</f>
        <v>#N/A</v>
      </c>
      <c r="K51" s="163" t="e">
        <f ca="1">_xlfn.XLOOKUP(OFFSET($C$12,$I51,MATCH($J$11,$D$12:$G$12,0)),巡逻产出!$B$311:$B$610,巡逻产出!$R$311:$R$610)*OFFSET($C$1,MATCH(K$12,$C$2:$C$7,0),MATCH($J$11,$D$12:$G$12,0))</f>
        <v>#N/A</v>
      </c>
      <c r="L51" s="163">
        <f ca="1">_xlfn.XLOOKUP(MAX(INT((OFFSET($C$12,$I51,MATCH($J$11,$D$12:$G$12,0))-6)/10),1),组队产出!$B$25:$B$39,组队产出!$P$25:$P$39)*OFFSET($C$1,MATCH(L$12,$C$2:$C$7,0),MATCH($J$11,$D$12:$G$12,0))</f>
        <v>1106.4</v>
      </c>
      <c r="M51" s="163">
        <f ca="1">竞技场!$G$3*OFFSET($C$1,MATCH(M$12,$C$2:$C$7,0),MATCH($J$11,$D$12:$G$12,0))</f>
        <v>1050</v>
      </c>
      <c r="N5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51" s="23">
        <f>任务!$G$6+任务!$G$9+IF(MOD(I51,7)=0,任务!$N$9+任务!$O$6,0)</f>
        <v>895</v>
      </c>
      <c r="P51" s="25">
        <f>公会!$U$11</f>
        <v>2766.62857142857</v>
      </c>
      <c r="Q51" s="163" t="e">
        <f ca="1">_xlfn.XLOOKUP(OFFSET($C$12,$I51,MATCH($J$11,$D$12:$G$12,0)),巡逻产出!$B$311:$B$610,巡逻产出!$Q$311:$Q$610)*OFFSET($C$1,MATCH(Q$12,$C$2:$C$7,0),MATCH($J$11,$D$12:$G$12,0))</f>
        <v>#N/A</v>
      </c>
      <c r="S51" s="160">
        <v>39</v>
      </c>
      <c r="T51" s="163">
        <f ca="1">_xlfn.XLOOKUP(OFFSET($C$12,$I51,MATCH($T$11,$D$12:$G$12,0)),主线推图!$B$313:$B$612,主线推图!$P$313:$P$612)*OFFSET($C$1,MATCH(T$12,$C$2:$C$7,0),MATCH($T$11,$D$12:$G$12,0))</f>
        <v>2142</v>
      </c>
      <c r="U51" s="163">
        <f ca="1">_xlfn.XLOOKUP(OFFSET($C$12,$I51,MATCH($T$11,$D$12:$G$12,0)),巡逻产出!$B$311:$B$610,巡逻产出!$R$311:$R$610)*OFFSET($C$1,MATCH(U$12,$C$2:$C$7,0),MATCH($T$11,$D$12:$G$12,0))</f>
        <v>1881</v>
      </c>
      <c r="V51" s="163">
        <f ca="1">_xlfn.XLOOKUP(MAX(INT((OFFSET($C$12,$I51,MATCH($T$11,$D$12:$G$12,0))-6)/10),1),组队产出!$B$25:$B$39,组队产出!$P$25:$P$39)*OFFSET($C$1,MATCH(V$12,$C$2:$C$7,0),MATCH($T$11,$D$12:$G$12,0))</f>
        <v>2236.8</v>
      </c>
      <c r="W51" s="163">
        <f ca="1">竞技场!$G$3*OFFSET($C$1,MATCH(W$12,$C$2:$C$7,0),MATCH($T$11,$D$12:$G$12,0))</f>
        <v>2100</v>
      </c>
      <c r="X5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51" s="23">
        <f>任务!$G$6+任务!$G$9+IF(MOD(S51,7)=0,任务!$N$9+任务!$O$6,0)</f>
        <v>895</v>
      </c>
      <c r="Z51" s="25">
        <f>公会!$U$11</f>
        <v>2766.62857142857</v>
      </c>
      <c r="AA51" s="163">
        <f ca="1">_xlfn.XLOOKUP(OFFSET($C$12,$I51,MATCH($T$11,$D$12:$G$12,0)),巡逻产出!$B$311:$B$610,巡逻产出!$Q$311:$Q$610)*OFFSET($C$1,MATCH(AA$12,$C$2:$C$7,0),MATCH($T$11,$D$12:$G$12,0))</f>
        <v>2169.648</v>
      </c>
      <c r="AC51" s="160">
        <v>39</v>
      </c>
      <c r="AD51" s="163">
        <f ca="1">_xlfn.XLOOKUP(OFFSET($C$12,$I51,MATCH($AD$11,$D$12:$G$12,0)),主线推图!$B$313:$B$612,主线推图!$P$313:$P$612)*OFFSET($C$1,MATCH(AD$12,$C$2:$C$7,0),MATCH($AD$11,$D$12:$G$12,0))</f>
        <v>3192.2</v>
      </c>
      <c r="AE51" s="163">
        <f ca="1">_xlfn.XLOOKUP(OFFSET($C$12,$I51,MATCH($AD$11,$D$12:$G$12,0)),巡逻产出!$B$311:$B$610,巡逻产出!$R$311:$R$610)*OFFSET($C$1,MATCH(AE$12,$C$2:$C$7,0),MATCH($AD$11,$D$12:$G$12,0))</f>
        <v>0</v>
      </c>
      <c r="AF51" s="163">
        <f ca="1">_xlfn.XLOOKUP(MAX(INT((OFFSET($C$12,$I51,MATCH($AD$11,$D$12:$G$12,0))-6)/10),1),组队产出!$B$25:$B$39,组队产出!$P$25:$P$39)*OFFSET($C$1,MATCH(AF$12,$C$2:$C$7,0),MATCH($AD$11,$D$12:$G$12,0))</f>
        <v>2260.8</v>
      </c>
      <c r="AG51" s="163">
        <f ca="1">竞技场!$G$3*OFFSET($C$1,MATCH(AG$12,$C$2:$C$7,0),MATCH($AD$11,$D$12:$G$12,0))</f>
        <v>3150</v>
      </c>
      <c r="AH5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51" s="23">
        <f>任务!$G$6+任务!$G$9+IF(MOD(AC51,7)=0,任务!$N$9+任务!$O$6,0)</f>
        <v>895</v>
      </c>
      <c r="AJ51" s="25">
        <f>公会!$U$11</f>
        <v>2766.62857142857</v>
      </c>
      <c r="AK51" s="163">
        <f ca="1">_xlfn.XLOOKUP(OFFSET($C$12,$I51,MATCH($AD$11,$D$12:$G$12,0)),巡逻产出!$B$311:$B$610,巡逻产出!$Q$311:$Q$610)*OFFSET($C$1,MATCH(AK$12,$C$2:$C$7,0),MATCH($AD$11,$D$12:$G$12,0))</f>
        <v>2205.528</v>
      </c>
      <c r="AM51" s="164">
        <v>39</v>
      </c>
      <c r="AN51" s="165">
        <v>5122</v>
      </c>
      <c r="AO51" s="165">
        <v>6321</v>
      </c>
      <c r="AP51" s="165">
        <v>9739</v>
      </c>
      <c r="AQ51" s="165">
        <v>12610</v>
      </c>
    </row>
    <row r="52" spans="3:43">
      <c r="C52" s="160">
        <v>40</v>
      </c>
      <c r="D52" s="167">
        <v>90</v>
      </c>
      <c r="E52" s="167">
        <f t="shared" si="5"/>
        <v>82.5</v>
      </c>
      <c r="F52" s="167">
        <f t="shared" si="7"/>
        <v>89.5</v>
      </c>
      <c r="G52" s="168">
        <v>113</v>
      </c>
      <c r="I52" s="160">
        <v>40</v>
      </c>
      <c r="J52" s="163" t="e">
        <f ca="1">_xlfn.XLOOKUP(OFFSET($C$12,$I52,MATCH($J$11,$D$12:$G$12,0)),主线推图!$B$313:$B$612,主线推图!$P$313:$P$612)*OFFSET($C$1,MATCH(J$12,$C$2:$C$7,0),MATCH($J$11,$D$12:$G$12,0))</f>
        <v>#N/A</v>
      </c>
      <c r="K52" s="163" t="e">
        <f ca="1">_xlfn.XLOOKUP(OFFSET($C$12,$I52,MATCH($J$11,$D$12:$G$12,0)),巡逻产出!$B$311:$B$610,巡逻产出!$R$311:$R$610)*OFFSET($C$1,MATCH(K$12,$C$2:$C$7,0),MATCH($J$11,$D$12:$G$12,0))</f>
        <v>#N/A</v>
      </c>
      <c r="L52" s="163">
        <f ca="1">_xlfn.XLOOKUP(MAX(INT((OFFSET($C$12,$I52,MATCH($J$11,$D$12:$G$12,0))-6)/10),1),组队产出!$B$25:$B$39,组队产出!$P$25:$P$39)*OFFSET($C$1,MATCH(L$12,$C$2:$C$7,0),MATCH($J$11,$D$12:$G$12,0))</f>
        <v>1106.4</v>
      </c>
      <c r="M52" s="163">
        <f ca="1">竞技场!$G$3*OFFSET($C$1,MATCH(M$12,$C$2:$C$7,0),MATCH($J$11,$D$12:$G$12,0))</f>
        <v>1050</v>
      </c>
      <c r="N5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52" s="23">
        <f>任务!$G$6+任务!$G$9+IF(MOD(I52,7)=0,任务!$N$9+任务!$O$6,0)</f>
        <v>895</v>
      </c>
      <c r="P52" s="25">
        <f>公会!$U$11</f>
        <v>2766.62857142857</v>
      </c>
      <c r="Q52" s="163" t="e">
        <f ca="1">_xlfn.XLOOKUP(OFFSET($C$12,$I52,MATCH($J$11,$D$12:$G$12,0)),巡逻产出!$B$311:$B$610,巡逻产出!$Q$311:$Q$610)*OFFSET($C$1,MATCH(Q$12,$C$2:$C$7,0),MATCH($J$11,$D$12:$G$12,0))</f>
        <v>#N/A</v>
      </c>
      <c r="S52" s="160">
        <v>40</v>
      </c>
      <c r="T52" s="163" t="e">
        <f ca="1">_xlfn.XLOOKUP(OFFSET($C$12,$I52,MATCH($T$11,$D$12:$G$12,0)),主线推图!$B$313:$B$612,主线推图!$P$313:$P$612)*OFFSET($C$1,MATCH(T$12,$C$2:$C$7,0),MATCH($T$11,$D$12:$G$12,0))</f>
        <v>#N/A</v>
      </c>
      <c r="U52" s="163" t="e">
        <f ca="1">_xlfn.XLOOKUP(OFFSET($C$12,$I52,MATCH($T$11,$D$12:$G$12,0)),巡逻产出!$B$311:$B$610,巡逻产出!$R$311:$R$610)*OFFSET($C$1,MATCH(U$12,$C$2:$C$7,0),MATCH($T$11,$D$12:$G$12,0))</f>
        <v>#N/A</v>
      </c>
      <c r="V52" s="163">
        <f ca="1">_xlfn.XLOOKUP(MAX(INT((OFFSET($C$12,$I52,MATCH($T$11,$D$12:$G$12,0))-6)/10),1),组队产出!$B$25:$B$39,组队产出!$P$25:$P$39)*OFFSET($C$1,MATCH(V$12,$C$2:$C$7,0),MATCH($T$11,$D$12:$G$12,0))</f>
        <v>2236.8</v>
      </c>
      <c r="W52" s="163">
        <f ca="1">竞技场!$G$3*OFFSET($C$1,MATCH(W$12,$C$2:$C$7,0),MATCH($T$11,$D$12:$G$12,0))</f>
        <v>2100</v>
      </c>
      <c r="X5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52" s="23">
        <f>任务!$G$6+任务!$G$9+IF(MOD(S52,7)=0,任务!$N$9+任务!$O$6,0)</f>
        <v>895</v>
      </c>
      <c r="Z52" s="25">
        <f>公会!$U$11</f>
        <v>2766.62857142857</v>
      </c>
      <c r="AA52" s="163" t="e">
        <f ca="1">_xlfn.XLOOKUP(OFFSET($C$12,$I52,MATCH($T$11,$D$12:$G$12,0)),巡逻产出!$B$311:$B$610,巡逻产出!$Q$311:$Q$610)*OFFSET($C$1,MATCH(AA$12,$C$2:$C$7,0),MATCH($T$11,$D$12:$G$12,0))</f>
        <v>#N/A</v>
      </c>
      <c r="AC52" s="160">
        <v>40</v>
      </c>
      <c r="AD52" s="163">
        <f ca="1">_xlfn.XLOOKUP(OFFSET($C$12,$I52,MATCH($AD$11,$D$12:$G$12,0)),主线推图!$B$313:$B$612,主线推图!$P$313:$P$612)*OFFSET($C$1,MATCH(AD$12,$C$2:$C$7,0),MATCH($AD$11,$D$12:$G$12,0))</f>
        <v>3194.4</v>
      </c>
      <c r="AE52" s="163">
        <f ca="1">_xlfn.XLOOKUP(OFFSET($C$12,$I52,MATCH($AD$11,$D$12:$G$12,0)),巡逻产出!$B$311:$B$610,巡逻产出!$R$311:$R$610)*OFFSET($C$1,MATCH(AE$12,$C$2:$C$7,0),MATCH($AD$11,$D$12:$G$12,0))</f>
        <v>0</v>
      </c>
      <c r="AF52" s="163">
        <f ca="1">_xlfn.XLOOKUP(MAX(INT((OFFSET($C$12,$I52,MATCH($AD$11,$D$12:$G$12,0))-6)/10),1),组队产出!$B$25:$B$39,组队产出!$P$25:$P$39)*OFFSET($C$1,MATCH(AF$12,$C$2:$C$7,0),MATCH($AD$11,$D$12:$G$12,0))</f>
        <v>2260.8</v>
      </c>
      <c r="AG52" s="163">
        <f ca="1">竞技场!$G$3*OFFSET($C$1,MATCH(AG$12,$C$2:$C$7,0),MATCH($AD$11,$D$12:$G$12,0))</f>
        <v>3150</v>
      </c>
      <c r="AH5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52" s="23">
        <f>任务!$G$6+任务!$G$9+IF(MOD(AC52,7)=0,任务!$N$9+任务!$O$6,0)</f>
        <v>895</v>
      </c>
      <c r="AJ52" s="25">
        <f>公会!$U$11</f>
        <v>2766.62857142857</v>
      </c>
      <c r="AK52" s="163">
        <f ca="1">_xlfn.XLOOKUP(OFFSET($C$12,$I52,MATCH($AD$11,$D$12:$G$12,0)),巡逻产出!$B$311:$B$610,巡逻产出!$Q$311:$Q$610)*OFFSET($C$1,MATCH(AK$12,$C$2:$C$7,0),MATCH($AD$11,$D$12:$G$12,0))</f>
        <v>2207.088</v>
      </c>
      <c r="AM52" s="164">
        <v>40</v>
      </c>
      <c r="AN52" s="165">
        <v>5236</v>
      </c>
      <c r="AO52" s="165">
        <v>6464</v>
      </c>
      <c r="AP52" s="165">
        <v>9967</v>
      </c>
      <c r="AQ52" s="165">
        <v>12912</v>
      </c>
    </row>
    <row r="53" spans="3:43">
      <c r="C53" s="160">
        <v>41</v>
      </c>
      <c r="D53" s="167">
        <v>91</v>
      </c>
      <c r="E53" s="167">
        <f t="shared" si="5"/>
        <v>83</v>
      </c>
      <c r="F53" s="167">
        <f t="shared" si="7"/>
        <v>90</v>
      </c>
      <c r="G53" s="168">
        <v>114</v>
      </c>
      <c r="I53" s="160">
        <v>41</v>
      </c>
      <c r="J53" s="163">
        <f ca="1">_xlfn.XLOOKUP(OFFSET($C$12,$I53,MATCH($J$11,$D$12:$G$12,0)),主线推图!$B$313:$B$612,主线推图!$P$313:$P$612)*OFFSET($C$1,MATCH(J$12,$C$2:$C$7,0),MATCH($J$11,$D$12:$G$12,0))</f>
        <v>1415</v>
      </c>
      <c r="K53" s="163">
        <f ca="1">_xlfn.XLOOKUP(OFFSET($C$12,$I53,MATCH($J$11,$D$12:$G$12,0)),巡逻产出!$B$311:$B$610,巡逻产出!$R$311:$R$610)*OFFSET($C$1,MATCH(K$12,$C$2:$C$7,0),MATCH($J$11,$D$12:$G$12,0))</f>
        <v>623.75</v>
      </c>
      <c r="L53" s="163">
        <f ca="1">_xlfn.XLOOKUP(MAX(INT((OFFSET($C$12,$I53,MATCH($J$11,$D$12:$G$12,0))-6)/10),1),组队产出!$B$25:$B$39,组队产出!$P$25:$P$39)*OFFSET($C$1,MATCH(L$12,$C$2:$C$7,0),MATCH($J$11,$D$12:$G$12,0))</f>
        <v>1112.4</v>
      </c>
      <c r="M53" s="163">
        <f ca="1">竞技场!$G$3*OFFSET($C$1,MATCH(M$12,$C$2:$C$7,0),MATCH($J$11,$D$12:$G$12,0))</f>
        <v>1050</v>
      </c>
      <c r="N5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53" s="23">
        <f>任务!$G$6+任务!$G$9+IF(MOD(I53,7)=0,任务!$N$9+任务!$O$6,0)</f>
        <v>895</v>
      </c>
      <c r="P53" s="25">
        <f>公会!$U$11</f>
        <v>2766.62857142857</v>
      </c>
      <c r="Q53" s="163">
        <f ca="1">_xlfn.XLOOKUP(OFFSET($C$12,$I53,MATCH($J$11,$D$12:$G$12,0)),巡逻产出!$B$311:$B$610,巡逻产出!$Q$311:$Q$610)*OFFSET($C$1,MATCH(Q$12,$C$2:$C$7,0),MATCH($J$11,$D$12:$G$12,0))</f>
        <v>1653.36</v>
      </c>
      <c r="S53" s="160">
        <v>41</v>
      </c>
      <c r="T53" s="163">
        <f ca="1">_xlfn.XLOOKUP(OFFSET($C$12,$I53,MATCH($T$11,$D$12:$G$12,0)),主线推图!$B$313:$B$612,主线推图!$P$313:$P$612)*OFFSET($C$1,MATCH(T$12,$C$2:$C$7,0),MATCH($T$11,$D$12:$G$12,0))</f>
        <v>2143.5</v>
      </c>
      <c r="U53" s="163">
        <f ca="1">_xlfn.XLOOKUP(OFFSET($C$12,$I53,MATCH($T$11,$D$12:$G$12,0)),巡逻产出!$B$311:$B$610,巡逻产出!$R$311:$R$610)*OFFSET($C$1,MATCH(U$12,$C$2:$C$7,0),MATCH($T$11,$D$12:$G$12,0))</f>
        <v>1881.75</v>
      </c>
      <c r="V53" s="163">
        <f ca="1">_xlfn.XLOOKUP(MAX(INT((OFFSET($C$12,$I53,MATCH($T$11,$D$12:$G$12,0))-6)/10),1),组队产出!$B$25:$B$39,组队产出!$P$25:$P$39)*OFFSET($C$1,MATCH(V$12,$C$2:$C$7,0),MATCH($T$11,$D$12:$G$12,0))</f>
        <v>2236.8</v>
      </c>
      <c r="W53" s="163">
        <f ca="1">竞技场!$G$3*OFFSET($C$1,MATCH(W$12,$C$2:$C$7,0),MATCH($T$11,$D$12:$G$12,0))</f>
        <v>2100</v>
      </c>
      <c r="X5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53" s="23">
        <f>任务!$G$6+任务!$G$9+IF(MOD(S53,7)=0,任务!$N$9+任务!$O$6,0)</f>
        <v>895</v>
      </c>
      <c r="Z53" s="25">
        <f>公会!$U$11</f>
        <v>2766.62857142857</v>
      </c>
      <c r="AA53" s="163">
        <f ca="1">_xlfn.XLOOKUP(OFFSET($C$12,$I53,MATCH($T$11,$D$12:$G$12,0)),巡逻产出!$B$311:$B$610,巡逻产出!$Q$311:$Q$610)*OFFSET($C$1,MATCH(AA$12,$C$2:$C$7,0),MATCH($T$11,$D$12:$G$12,0))</f>
        <v>2171.208</v>
      </c>
      <c r="AC53" s="160">
        <v>41</v>
      </c>
      <c r="AD53" s="163">
        <f ca="1">_xlfn.XLOOKUP(OFFSET($C$12,$I53,MATCH($AD$11,$D$12:$G$12,0)),主线推图!$B$313:$B$612,主线推图!$P$313:$P$612)*OFFSET($C$1,MATCH(AD$12,$C$2:$C$7,0),MATCH($AD$11,$D$12:$G$12,0))</f>
        <v>3196.6</v>
      </c>
      <c r="AE53" s="163">
        <f ca="1">_xlfn.XLOOKUP(OFFSET($C$12,$I53,MATCH($AD$11,$D$12:$G$12,0)),巡逻产出!$B$311:$B$610,巡逻产出!$R$311:$R$610)*OFFSET($C$1,MATCH(AE$12,$C$2:$C$7,0),MATCH($AD$11,$D$12:$G$12,0))</f>
        <v>0</v>
      </c>
      <c r="AF53" s="163">
        <f ca="1">_xlfn.XLOOKUP(MAX(INT((OFFSET($C$12,$I53,MATCH($AD$11,$D$12:$G$12,0))-6)/10),1),组队产出!$B$25:$B$39,组队产出!$P$25:$P$39)*OFFSET($C$1,MATCH(AF$12,$C$2:$C$7,0),MATCH($AD$11,$D$12:$G$12,0))</f>
        <v>2260.8</v>
      </c>
      <c r="AG53" s="163">
        <f ca="1">竞技场!$G$3*OFFSET($C$1,MATCH(AG$12,$C$2:$C$7,0),MATCH($AD$11,$D$12:$G$12,0))</f>
        <v>3150</v>
      </c>
      <c r="AH5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53" s="23">
        <f>任务!$G$6+任务!$G$9+IF(MOD(AC53,7)=0,任务!$N$9+任务!$O$6,0)</f>
        <v>895</v>
      </c>
      <c r="AJ53" s="25">
        <f>公会!$U$11</f>
        <v>2766.62857142857</v>
      </c>
      <c r="AK53" s="163">
        <f ca="1">_xlfn.XLOOKUP(OFFSET($C$12,$I53,MATCH($AD$11,$D$12:$G$12,0)),巡逻产出!$B$311:$B$610,巡逻产出!$Q$311:$Q$610)*OFFSET($C$1,MATCH(AK$12,$C$2:$C$7,0),MATCH($AD$11,$D$12:$G$12,0))</f>
        <v>2208.648</v>
      </c>
      <c r="AM53" s="164">
        <v>41</v>
      </c>
      <c r="AN53" s="165">
        <v>5350</v>
      </c>
      <c r="AO53" s="165">
        <v>6607</v>
      </c>
      <c r="AP53" s="165">
        <v>10196</v>
      </c>
      <c r="AQ53" s="165">
        <v>13214</v>
      </c>
    </row>
    <row r="54" spans="3:43">
      <c r="C54" s="160">
        <v>42</v>
      </c>
      <c r="D54" s="167">
        <v>91</v>
      </c>
      <c r="E54" s="167">
        <f t="shared" si="5"/>
        <v>83.5</v>
      </c>
      <c r="F54" s="167">
        <f t="shared" si="7"/>
        <v>90.5</v>
      </c>
      <c r="G54" s="168">
        <v>115</v>
      </c>
      <c r="I54" s="160">
        <v>42</v>
      </c>
      <c r="J54" s="163" t="e">
        <f ca="1">_xlfn.XLOOKUP(OFFSET($C$12,$I54,MATCH($J$11,$D$12:$G$12,0)),主线推图!$B$313:$B$612,主线推图!$P$313:$P$612)*OFFSET($C$1,MATCH(J$12,$C$2:$C$7,0),MATCH($J$11,$D$12:$G$12,0))</f>
        <v>#N/A</v>
      </c>
      <c r="K54" s="163" t="e">
        <f ca="1">_xlfn.XLOOKUP(OFFSET($C$12,$I54,MATCH($J$11,$D$12:$G$12,0)),巡逻产出!$B$311:$B$610,巡逻产出!$R$311:$R$610)*OFFSET($C$1,MATCH(K$12,$C$2:$C$7,0),MATCH($J$11,$D$12:$G$12,0))</f>
        <v>#N/A</v>
      </c>
      <c r="L54" s="163">
        <f ca="1">_xlfn.XLOOKUP(MAX(INT((OFFSET($C$12,$I54,MATCH($J$11,$D$12:$G$12,0))-6)/10),1),组队产出!$B$25:$B$39,组队产出!$P$25:$P$39)*OFFSET($C$1,MATCH(L$12,$C$2:$C$7,0),MATCH($J$11,$D$12:$G$12,0))</f>
        <v>1112.4</v>
      </c>
      <c r="M54" s="163">
        <f ca="1">竞技场!$G$3*OFFSET($C$1,MATCH(M$12,$C$2:$C$7,0),MATCH($J$11,$D$12:$G$12,0))</f>
        <v>1050</v>
      </c>
      <c r="N5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54" s="23">
        <f>任务!$G$6+任务!$G$9+IF(MOD(I54,7)=0,任务!$N$9+任务!$O$6,0)</f>
        <v>3125</v>
      </c>
      <c r="P54" s="25">
        <f>公会!$U$11</f>
        <v>2766.62857142857</v>
      </c>
      <c r="Q54" s="163" t="e">
        <f ca="1">_xlfn.XLOOKUP(OFFSET($C$12,$I54,MATCH($J$11,$D$12:$G$12,0)),巡逻产出!$B$311:$B$610,巡逻产出!$Q$311:$Q$610)*OFFSET($C$1,MATCH(Q$12,$C$2:$C$7,0),MATCH($J$11,$D$12:$G$12,0))</f>
        <v>#N/A</v>
      </c>
      <c r="S54" s="160">
        <v>42</v>
      </c>
      <c r="T54" s="163" t="e">
        <f ca="1">_xlfn.XLOOKUP(OFFSET($C$12,$I54,MATCH($T$11,$D$12:$G$12,0)),主线推图!$B$313:$B$612,主线推图!$P$313:$P$612)*OFFSET($C$1,MATCH(T$12,$C$2:$C$7,0),MATCH($T$11,$D$12:$G$12,0))</f>
        <v>#N/A</v>
      </c>
      <c r="U54" s="163" t="e">
        <f ca="1">_xlfn.XLOOKUP(OFFSET($C$12,$I54,MATCH($T$11,$D$12:$G$12,0)),巡逻产出!$B$311:$B$610,巡逻产出!$R$311:$R$610)*OFFSET($C$1,MATCH(U$12,$C$2:$C$7,0),MATCH($T$11,$D$12:$G$12,0))</f>
        <v>#N/A</v>
      </c>
      <c r="V54" s="163">
        <f ca="1">_xlfn.XLOOKUP(MAX(INT((OFFSET($C$12,$I54,MATCH($T$11,$D$12:$G$12,0))-6)/10),1),组队产出!$B$25:$B$39,组队产出!$P$25:$P$39)*OFFSET($C$1,MATCH(V$12,$C$2:$C$7,0),MATCH($T$11,$D$12:$G$12,0))</f>
        <v>2236.8</v>
      </c>
      <c r="W54" s="163">
        <f ca="1">竞技场!$G$3*OFFSET($C$1,MATCH(W$12,$C$2:$C$7,0),MATCH($T$11,$D$12:$G$12,0))</f>
        <v>2100</v>
      </c>
      <c r="X5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54" s="23">
        <f>任务!$G$6+任务!$G$9+IF(MOD(S54,7)=0,任务!$N$9+任务!$O$6,0)</f>
        <v>3125</v>
      </c>
      <c r="Z54" s="25">
        <f>公会!$U$11</f>
        <v>2766.62857142857</v>
      </c>
      <c r="AA54" s="163" t="e">
        <f ca="1">_xlfn.XLOOKUP(OFFSET($C$12,$I54,MATCH($T$11,$D$12:$G$12,0)),巡逻产出!$B$311:$B$610,巡逻产出!$Q$311:$Q$610)*OFFSET($C$1,MATCH(AA$12,$C$2:$C$7,0),MATCH($T$11,$D$12:$G$12,0))</f>
        <v>#N/A</v>
      </c>
      <c r="AC54" s="160">
        <v>42</v>
      </c>
      <c r="AD54" s="163">
        <f ca="1">_xlfn.XLOOKUP(OFFSET($C$12,$I54,MATCH($AD$11,$D$12:$G$12,0)),主线推图!$B$313:$B$612,主线推图!$P$313:$P$612)*OFFSET($C$1,MATCH(AD$12,$C$2:$C$7,0),MATCH($AD$11,$D$12:$G$12,0))</f>
        <v>3198.8</v>
      </c>
      <c r="AE54" s="163">
        <f ca="1">_xlfn.XLOOKUP(OFFSET($C$12,$I54,MATCH($AD$11,$D$12:$G$12,0)),巡逻产出!$B$311:$B$610,巡逻产出!$R$311:$R$610)*OFFSET($C$1,MATCH(AE$12,$C$2:$C$7,0),MATCH($AD$11,$D$12:$G$12,0))</f>
        <v>0</v>
      </c>
      <c r="AF54" s="163">
        <f ca="1">_xlfn.XLOOKUP(MAX(INT((OFFSET($C$12,$I54,MATCH($AD$11,$D$12:$G$12,0))-6)/10),1),组队产出!$B$25:$B$39,组队产出!$P$25:$P$39)*OFFSET($C$1,MATCH(AF$12,$C$2:$C$7,0),MATCH($AD$11,$D$12:$G$12,0))</f>
        <v>2260.8</v>
      </c>
      <c r="AG54" s="163">
        <f ca="1">竞技场!$G$3*OFFSET($C$1,MATCH(AG$12,$C$2:$C$7,0),MATCH($AD$11,$D$12:$G$12,0))</f>
        <v>3150</v>
      </c>
      <c r="AH5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54" s="23">
        <f>任务!$G$6+任务!$G$9+IF(MOD(AC54,7)=0,任务!$N$9+任务!$O$6,0)</f>
        <v>3125</v>
      </c>
      <c r="AJ54" s="25">
        <f>公会!$U$11</f>
        <v>2766.62857142857</v>
      </c>
      <c r="AK54" s="163">
        <f ca="1">_xlfn.XLOOKUP(OFFSET($C$12,$I54,MATCH($AD$11,$D$12:$G$12,0)),巡逻产出!$B$311:$B$610,巡逻产出!$Q$311:$Q$610)*OFFSET($C$1,MATCH(AK$12,$C$2:$C$7,0),MATCH($AD$11,$D$12:$G$12,0))</f>
        <v>2210.208</v>
      </c>
      <c r="AM54" s="164">
        <v>42</v>
      </c>
      <c r="AN54" s="165">
        <v>5463</v>
      </c>
      <c r="AO54" s="165">
        <v>6750</v>
      </c>
      <c r="AP54" s="165">
        <v>10424</v>
      </c>
      <c r="AQ54" s="165">
        <v>13517</v>
      </c>
    </row>
    <row r="55" spans="3:43">
      <c r="C55" s="160">
        <v>43</v>
      </c>
      <c r="D55" s="167">
        <v>101</v>
      </c>
      <c r="E55" s="167">
        <f t="shared" si="5"/>
        <v>84</v>
      </c>
      <c r="F55" s="167">
        <f t="shared" si="7"/>
        <v>91</v>
      </c>
      <c r="G55" s="168">
        <v>116</v>
      </c>
      <c r="I55" s="160">
        <v>43</v>
      </c>
      <c r="J55" s="163" t="e">
        <f ca="1">_xlfn.XLOOKUP(OFFSET($C$12,$I55,MATCH($J$11,$D$12:$G$12,0)),主线推图!$B$313:$B$612,主线推图!$P$313:$P$612)*OFFSET($C$1,MATCH(J$12,$C$2:$C$7,0),MATCH($J$11,$D$12:$G$12,0))</f>
        <v>#N/A</v>
      </c>
      <c r="K55" s="163" t="e">
        <f ca="1">_xlfn.XLOOKUP(OFFSET($C$12,$I55,MATCH($J$11,$D$12:$G$12,0)),巡逻产出!$B$311:$B$610,巡逻产出!$R$311:$R$610)*OFFSET($C$1,MATCH(K$12,$C$2:$C$7,0),MATCH($J$11,$D$12:$G$12,0))</f>
        <v>#N/A</v>
      </c>
      <c r="L55" s="163">
        <f ca="1">_xlfn.XLOOKUP(MAX(INT((OFFSET($C$12,$I55,MATCH($J$11,$D$12:$G$12,0))-6)/10),1),组队产出!$B$25:$B$39,组队产出!$P$25:$P$39)*OFFSET($C$1,MATCH(L$12,$C$2:$C$7,0),MATCH($J$11,$D$12:$G$12,0))</f>
        <v>1112.4</v>
      </c>
      <c r="M55" s="163">
        <f ca="1">竞技场!$G$3*OFFSET($C$1,MATCH(M$12,$C$2:$C$7,0),MATCH($J$11,$D$12:$G$12,0))</f>
        <v>1050</v>
      </c>
      <c r="N5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55" s="23">
        <f>任务!$G$6+任务!$G$9+IF(MOD(I55,7)=0,任务!$N$9+任务!$O$6,0)</f>
        <v>895</v>
      </c>
      <c r="P55" s="25">
        <f>公会!$U$11</f>
        <v>2766.62857142857</v>
      </c>
      <c r="Q55" s="163" t="e">
        <f ca="1">_xlfn.XLOOKUP(OFFSET($C$12,$I55,MATCH($J$11,$D$12:$G$12,0)),巡逻产出!$B$311:$B$610,巡逻产出!$Q$311:$Q$610)*OFFSET($C$1,MATCH(Q$12,$C$2:$C$7,0),MATCH($J$11,$D$12:$G$12,0))</f>
        <v>#N/A</v>
      </c>
      <c r="S55" s="160">
        <v>43</v>
      </c>
      <c r="T55" s="163">
        <f ca="1">_xlfn.XLOOKUP(OFFSET($C$12,$I55,MATCH($T$11,$D$12:$G$12,0)),主线推图!$B$313:$B$612,主线推图!$P$313:$P$612)*OFFSET($C$1,MATCH(T$12,$C$2:$C$7,0),MATCH($T$11,$D$12:$G$12,0))</f>
        <v>2145</v>
      </c>
      <c r="U55" s="163">
        <f ca="1">_xlfn.XLOOKUP(OFFSET($C$12,$I55,MATCH($T$11,$D$12:$G$12,0)),巡逻产出!$B$311:$B$610,巡逻产出!$R$311:$R$610)*OFFSET($C$1,MATCH(U$12,$C$2:$C$7,0),MATCH($T$11,$D$12:$G$12,0))</f>
        <v>1882.5</v>
      </c>
      <c r="V55" s="163">
        <f ca="1">_xlfn.XLOOKUP(MAX(INT((OFFSET($C$12,$I55,MATCH($T$11,$D$12:$G$12,0))-6)/10),1),组队产出!$B$25:$B$39,组队产出!$P$25:$P$39)*OFFSET($C$1,MATCH(V$12,$C$2:$C$7,0),MATCH($T$11,$D$12:$G$12,0))</f>
        <v>2236.8</v>
      </c>
      <c r="W55" s="163">
        <f ca="1">竞技场!$G$3*OFFSET($C$1,MATCH(W$12,$C$2:$C$7,0),MATCH($T$11,$D$12:$G$12,0))</f>
        <v>2100</v>
      </c>
      <c r="X5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55" s="23">
        <f>任务!$G$6+任务!$G$9+IF(MOD(S55,7)=0,任务!$N$9+任务!$O$6,0)</f>
        <v>895</v>
      </c>
      <c r="Z55" s="25">
        <f>公会!$U$11</f>
        <v>2766.62857142857</v>
      </c>
      <c r="AA55" s="163">
        <f ca="1">_xlfn.XLOOKUP(OFFSET($C$12,$I55,MATCH($T$11,$D$12:$G$12,0)),巡逻产出!$B$311:$B$610,巡逻产出!$Q$311:$Q$610)*OFFSET($C$1,MATCH(AA$12,$C$2:$C$7,0),MATCH($T$11,$D$12:$G$12,0))</f>
        <v>2172.768</v>
      </c>
      <c r="AC55" s="160">
        <v>43</v>
      </c>
      <c r="AD55" s="163">
        <f ca="1">_xlfn.XLOOKUP(OFFSET($C$12,$I55,MATCH($AD$11,$D$12:$G$12,0)),主线推图!$B$313:$B$612,主线推图!$P$313:$P$612)*OFFSET($C$1,MATCH(AD$12,$C$2:$C$7,0),MATCH($AD$11,$D$12:$G$12,0))</f>
        <v>3201</v>
      </c>
      <c r="AE55" s="163">
        <f ca="1">_xlfn.XLOOKUP(OFFSET($C$12,$I55,MATCH($AD$11,$D$12:$G$12,0)),巡逻产出!$B$311:$B$610,巡逻产出!$R$311:$R$610)*OFFSET($C$1,MATCH(AE$12,$C$2:$C$7,0),MATCH($AD$11,$D$12:$G$12,0))</f>
        <v>0</v>
      </c>
      <c r="AF55" s="163">
        <f ca="1">_xlfn.XLOOKUP(MAX(INT((OFFSET($C$12,$I55,MATCH($AD$11,$D$12:$G$12,0))-6)/10),1),组队产出!$B$25:$B$39,组队产出!$P$25:$P$39)*OFFSET($C$1,MATCH(AF$12,$C$2:$C$7,0),MATCH($AD$11,$D$12:$G$12,0))</f>
        <v>2272.8</v>
      </c>
      <c r="AG55" s="163">
        <f ca="1">竞技场!$G$3*OFFSET($C$1,MATCH(AG$12,$C$2:$C$7,0),MATCH($AD$11,$D$12:$G$12,0))</f>
        <v>3150</v>
      </c>
      <c r="AH5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55" s="23">
        <f>任务!$G$6+任务!$G$9+IF(MOD(AC55,7)=0,任务!$N$9+任务!$O$6,0)</f>
        <v>895</v>
      </c>
      <c r="AJ55" s="25">
        <f>公会!$U$11</f>
        <v>2766.62857142857</v>
      </c>
      <c r="AK55" s="163">
        <f ca="1">_xlfn.XLOOKUP(OFFSET($C$12,$I55,MATCH($AD$11,$D$12:$G$12,0)),巡逻产出!$B$311:$B$610,巡逻产出!$Q$311:$Q$610)*OFFSET($C$1,MATCH(AK$12,$C$2:$C$7,0),MATCH($AD$11,$D$12:$G$12,0))</f>
        <v>2211.768</v>
      </c>
      <c r="AM55" s="164">
        <v>43</v>
      </c>
      <c r="AN55" s="165">
        <v>5577</v>
      </c>
      <c r="AO55" s="165">
        <v>6894</v>
      </c>
      <c r="AP55" s="165">
        <v>10653</v>
      </c>
      <c r="AQ55" s="165">
        <v>13819</v>
      </c>
    </row>
    <row r="56" spans="3:43">
      <c r="C56" s="160">
        <v>44</v>
      </c>
      <c r="D56" s="167">
        <v>101</v>
      </c>
      <c r="E56" s="167">
        <f t="shared" si="5"/>
        <v>84.5</v>
      </c>
      <c r="F56" s="167">
        <f t="shared" si="7"/>
        <v>91.5</v>
      </c>
      <c r="G56" s="168">
        <v>117</v>
      </c>
      <c r="I56" s="160">
        <v>44</v>
      </c>
      <c r="J56" s="163" t="e">
        <f ca="1">_xlfn.XLOOKUP(OFFSET($C$12,$I56,MATCH($J$11,$D$12:$G$12,0)),主线推图!$B$313:$B$612,主线推图!$P$313:$P$612)*OFFSET($C$1,MATCH(J$12,$C$2:$C$7,0),MATCH($J$11,$D$12:$G$12,0))</f>
        <v>#N/A</v>
      </c>
      <c r="K56" s="163" t="e">
        <f ca="1">_xlfn.XLOOKUP(OFFSET($C$12,$I56,MATCH($J$11,$D$12:$G$12,0)),巡逻产出!$B$311:$B$610,巡逻产出!$R$311:$R$610)*OFFSET($C$1,MATCH(K$12,$C$2:$C$7,0),MATCH($J$11,$D$12:$G$12,0))</f>
        <v>#N/A</v>
      </c>
      <c r="L56" s="163">
        <f ca="1">_xlfn.XLOOKUP(MAX(INT((OFFSET($C$12,$I56,MATCH($J$11,$D$12:$G$12,0))-6)/10),1),组队产出!$B$25:$B$39,组队产出!$P$25:$P$39)*OFFSET($C$1,MATCH(L$12,$C$2:$C$7,0),MATCH($J$11,$D$12:$G$12,0))</f>
        <v>1112.4</v>
      </c>
      <c r="M56" s="163">
        <f ca="1">竞技场!$G$3*OFFSET($C$1,MATCH(M$12,$C$2:$C$7,0),MATCH($J$11,$D$12:$G$12,0))</f>
        <v>1050</v>
      </c>
      <c r="N5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56" s="23">
        <f>任务!$G$6+任务!$G$9+IF(MOD(I56,7)=0,任务!$N$9+任务!$O$6,0)</f>
        <v>895</v>
      </c>
      <c r="P56" s="25">
        <f>公会!$U$11</f>
        <v>2766.62857142857</v>
      </c>
      <c r="Q56" s="163" t="e">
        <f ca="1">_xlfn.XLOOKUP(OFFSET($C$12,$I56,MATCH($J$11,$D$12:$G$12,0)),巡逻产出!$B$311:$B$610,巡逻产出!$Q$311:$Q$610)*OFFSET($C$1,MATCH(Q$12,$C$2:$C$7,0),MATCH($J$11,$D$12:$G$12,0))</f>
        <v>#N/A</v>
      </c>
      <c r="S56" s="160">
        <v>44</v>
      </c>
      <c r="T56" s="163" t="e">
        <f ca="1">_xlfn.XLOOKUP(OFFSET($C$12,$I56,MATCH($T$11,$D$12:$G$12,0)),主线推图!$B$313:$B$612,主线推图!$P$313:$P$612)*OFFSET($C$1,MATCH(T$12,$C$2:$C$7,0),MATCH($T$11,$D$12:$G$12,0))</f>
        <v>#N/A</v>
      </c>
      <c r="U56" s="163" t="e">
        <f ca="1">_xlfn.XLOOKUP(OFFSET($C$12,$I56,MATCH($T$11,$D$12:$G$12,0)),巡逻产出!$B$311:$B$610,巡逻产出!$R$311:$R$610)*OFFSET($C$1,MATCH(U$12,$C$2:$C$7,0),MATCH($T$11,$D$12:$G$12,0))</f>
        <v>#N/A</v>
      </c>
      <c r="V56" s="163">
        <f ca="1">_xlfn.XLOOKUP(MAX(INT((OFFSET($C$12,$I56,MATCH($T$11,$D$12:$G$12,0))-6)/10),1),组队产出!$B$25:$B$39,组队产出!$P$25:$P$39)*OFFSET($C$1,MATCH(V$12,$C$2:$C$7,0),MATCH($T$11,$D$12:$G$12,0))</f>
        <v>2236.8</v>
      </c>
      <c r="W56" s="163">
        <f ca="1">竞技场!$G$3*OFFSET($C$1,MATCH(W$12,$C$2:$C$7,0),MATCH($T$11,$D$12:$G$12,0))</f>
        <v>2100</v>
      </c>
      <c r="X5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56" s="23">
        <f>任务!$G$6+任务!$G$9+IF(MOD(S56,7)=0,任务!$N$9+任务!$O$6,0)</f>
        <v>895</v>
      </c>
      <c r="Z56" s="25">
        <f>公会!$U$11</f>
        <v>2766.62857142857</v>
      </c>
      <c r="AA56" s="163" t="e">
        <f ca="1">_xlfn.XLOOKUP(OFFSET($C$12,$I56,MATCH($T$11,$D$12:$G$12,0)),巡逻产出!$B$311:$B$610,巡逻产出!$Q$311:$Q$610)*OFFSET($C$1,MATCH(AA$12,$C$2:$C$7,0),MATCH($T$11,$D$12:$G$12,0))</f>
        <v>#N/A</v>
      </c>
      <c r="AC56" s="160">
        <v>44</v>
      </c>
      <c r="AD56" s="163">
        <f ca="1">_xlfn.XLOOKUP(OFFSET($C$12,$I56,MATCH($AD$11,$D$12:$G$12,0)),主线推图!$B$313:$B$612,主线推图!$P$313:$P$612)*OFFSET($C$1,MATCH(AD$12,$C$2:$C$7,0),MATCH($AD$11,$D$12:$G$12,0))</f>
        <v>3203.2</v>
      </c>
      <c r="AE56" s="163">
        <f ca="1">_xlfn.XLOOKUP(OFFSET($C$12,$I56,MATCH($AD$11,$D$12:$G$12,0)),巡逻产出!$B$311:$B$610,巡逻产出!$R$311:$R$610)*OFFSET($C$1,MATCH(AE$12,$C$2:$C$7,0),MATCH($AD$11,$D$12:$G$12,0))</f>
        <v>0</v>
      </c>
      <c r="AF56" s="163">
        <f ca="1">_xlfn.XLOOKUP(MAX(INT((OFFSET($C$12,$I56,MATCH($AD$11,$D$12:$G$12,0))-6)/10),1),组队产出!$B$25:$B$39,组队产出!$P$25:$P$39)*OFFSET($C$1,MATCH(AF$12,$C$2:$C$7,0),MATCH($AD$11,$D$12:$G$12,0))</f>
        <v>2272.8</v>
      </c>
      <c r="AG56" s="163">
        <f ca="1">竞技场!$G$3*OFFSET($C$1,MATCH(AG$12,$C$2:$C$7,0),MATCH($AD$11,$D$12:$G$12,0))</f>
        <v>3150</v>
      </c>
      <c r="AH5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56" s="23">
        <f>任务!$G$6+任务!$G$9+IF(MOD(AC56,7)=0,任务!$N$9+任务!$O$6,0)</f>
        <v>895</v>
      </c>
      <c r="AJ56" s="25">
        <f>公会!$U$11</f>
        <v>2766.62857142857</v>
      </c>
      <c r="AK56" s="163">
        <f ca="1">_xlfn.XLOOKUP(OFFSET($C$12,$I56,MATCH($AD$11,$D$12:$G$12,0)),巡逻产出!$B$311:$B$610,巡逻产出!$Q$311:$Q$610)*OFFSET($C$1,MATCH(AK$12,$C$2:$C$7,0),MATCH($AD$11,$D$12:$G$12,0))</f>
        <v>2213.328</v>
      </c>
      <c r="AM56" s="164">
        <v>44</v>
      </c>
      <c r="AN56" s="165">
        <v>5691</v>
      </c>
      <c r="AO56" s="165">
        <v>7037</v>
      </c>
      <c r="AP56" s="165">
        <v>10881</v>
      </c>
      <c r="AQ56" s="165">
        <v>14121</v>
      </c>
    </row>
    <row r="57" spans="3:43">
      <c r="C57" s="160">
        <v>45</v>
      </c>
      <c r="D57" s="167">
        <v>102</v>
      </c>
      <c r="E57" s="167">
        <f t="shared" si="5"/>
        <v>85</v>
      </c>
      <c r="F57" s="167">
        <f t="shared" si="7"/>
        <v>92</v>
      </c>
      <c r="G57" s="168">
        <v>118</v>
      </c>
      <c r="I57" s="160">
        <v>45</v>
      </c>
      <c r="J57" s="163">
        <f ca="1">_xlfn.XLOOKUP(OFFSET($C$12,$I57,MATCH($J$11,$D$12:$G$12,0)),主线推图!$B$313:$B$612,主线推图!$P$313:$P$612)*OFFSET($C$1,MATCH(J$12,$C$2:$C$7,0),MATCH($J$11,$D$12:$G$12,0))</f>
        <v>1416</v>
      </c>
      <c r="K57" s="163">
        <f ca="1">_xlfn.XLOOKUP(OFFSET($C$12,$I57,MATCH($J$11,$D$12:$G$12,0)),巡逻产出!$B$311:$B$610,巡逻产出!$R$311:$R$610)*OFFSET($C$1,MATCH(K$12,$C$2:$C$7,0),MATCH($J$11,$D$12:$G$12,0))</f>
        <v>624</v>
      </c>
      <c r="L57" s="163">
        <f ca="1">_xlfn.XLOOKUP(MAX(INT((OFFSET($C$12,$I57,MATCH($J$11,$D$12:$G$12,0))-6)/10),1),组队产出!$B$25:$B$39,组队产出!$P$25:$P$39)*OFFSET($C$1,MATCH(L$12,$C$2:$C$7,0),MATCH($J$11,$D$12:$G$12,0))</f>
        <v>1112.4</v>
      </c>
      <c r="M57" s="163">
        <f ca="1">竞技场!$G$3*OFFSET($C$1,MATCH(M$12,$C$2:$C$7,0),MATCH($J$11,$D$12:$G$12,0))</f>
        <v>1050</v>
      </c>
      <c r="N5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57" s="23">
        <f>任务!$G$6+任务!$G$9+IF(MOD(I57,7)=0,任务!$N$9+任务!$O$6,0)</f>
        <v>895</v>
      </c>
      <c r="P57" s="25">
        <f>公会!$U$11</f>
        <v>2766.62857142857</v>
      </c>
      <c r="Q57" s="163">
        <f ca="1">_xlfn.XLOOKUP(OFFSET($C$12,$I57,MATCH($J$11,$D$12:$G$12,0)),巡逻产出!$B$311:$B$610,巡逻产出!$Q$311:$Q$610)*OFFSET($C$1,MATCH(Q$12,$C$2:$C$7,0),MATCH($J$11,$D$12:$G$12,0))</f>
        <v>1654.56</v>
      </c>
      <c r="S57" s="160">
        <v>45</v>
      </c>
      <c r="T57" s="163">
        <f ca="1">_xlfn.XLOOKUP(OFFSET($C$12,$I57,MATCH($T$11,$D$12:$G$12,0)),主线推图!$B$313:$B$612,主线推图!$P$313:$P$612)*OFFSET($C$1,MATCH(T$12,$C$2:$C$7,0),MATCH($T$11,$D$12:$G$12,0))</f>
        <v>2146.5</v>
      </c>
      <c r="U57" s="163">
        <f ca="1">_xlfn.XLOOKUP(OFFSET($C$12,$I57,MATCH($T$11,$D$12:$G$12,0)),巡逻产出!$B$311:$B$610,巡逻产出!$R$311:$R$610)*OFFSET($C$1,MATCH(U$12,$C$2:$C$7,0),MATCH($T$11,$D$12:$G$12,0))</f>
        <v>1883.25</v>
      </c>
      <c r="V57" s="163">
        <f ca="1">_xlfn.XLOOKUP(MAX(INT((OFFSET($C$12,$I57,MATCH($T$11,$D$12:$G$12,0))-6)/10),1),组队产出!$B$25:$B$39,组队产出!$P$25:$P$39)*OFFSET($C$1,MATCH(V$12,$C$2:$C$7,0),MATCH($T$11,$D$12:$G$12,0))</f>
        <v>2236.8</v>
      </c>
      <c r="W57" s="163">
        <f ca="1">竞技场!$G$3*OFFSET($C$1,MATCH(W$12,$C$2:$C$7,0),MATCH($T$11,$D$12:$G$12,0))</f>
        <v>2100</v>
      </c>
      <c r="X5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57" s="23">
        <f>任务!$G$6+任务!$G$9+IF(MOD(S57,7)=0,任务!$N$9+任务!$O$6,0)</f>
        <v>895</v>
      </c>
      <c r="Z57" s="25">
        <f>公会!$U$11</f>
        <v>2766.62857142857</v>
      </c>
      <c r="AA57" s="163">
        <f ca="1">_xlfn.XLOOKUP(OFFSET($C$12,$I57,MATCH($T$11,$D$12:$G$12,0)),巡逻产出!$B$311:$B$610,巡逻产出!$Q$311:$Q$610)*OFFSET($C$1,MATCH(AA$12,$C$2:$C$7,0),MATCH($T$11,$D$12:$G$12,0))</f>
        <v>2174.328</v>
      </c>
      <c r="AC57" s="160">
        <v>45</v>
      </c>
      <c r="AD57" s="163">
        <f ca="1">_xlfn.XLOOKUP(OFFSET($C$12,$I57,MATCH($AD$11,$D$12:$G$12,0)),主线推图!$B$313:$B$612,主线推图!$P$313:$P$612)*OFFSET($C$1,MATCH(AD$12,$C$2:$C$7,0),MATCH($AD$11,$D$12:$G$12,0))</f>
        <v>3205.4</v>
      </c>
      <c r="AE57" s="163">
        <f ca="1">_xlfn.XLOOKUP(OFFSET($C$12,$I57,MATCH($AD$11,$D$12:$G$12,0)),巡逻产出!$B$311:$B$610,巡逻产出!$R$311:$R$610)*OFFSET($C$1,MATCH(AE$12,$C$2:$C$7,0),MATCH($AD$11,$D$12:$G$12,0))</f>
        <v>0</v>
      </c>
      <c r="AF57" s="163">
        <f ca="1">_xlfn.XLOOKUP(MAX(INT((OFFSET($C$12,$I57,MATCH($AD$11,$D$12:$G$12,0))-6)/10),1),组队产出!$B$25:$B$39,组队产出!$P$25:$P$39)*OFFSET($C$1,MATCH(AF$12,$C$2:$C$7,0),MATCH($AD$11,$D$12:$G$12,0))</f>
        <v>2272.8</v>
      </c>
      <c r="AG57" s="163">
        <f ca="1">竞技场!$G$3*OFFSET($C$1,MATCH(AG$12,$C$2:$C$7,0),MATCH($AD$11,$D$12:$G$12,0))</f>
        <v>3150</v>
      </c>
      <c r="AH5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57" s="23">
        <f>任务!$G$6+任务!$G$9+IF(MOD(AC57,7)=0,任务!$N$9+任务!$O$6,0)</f>
        <v>895</v>
      </c>
      <c r="AJ57" s="25">
        <f>公会!$U$11</f>
        <v>2766.62857142857</v>
      </c>
      <c r="AK57" s="163">
        <f ca="1">_xlfn.XLOOKUP(OFFSET($C$12,$I57,MATCH($AD$11,$D$12:$G$12,0)),巡逻产出!$B$311:$B$610,巡逻产出!$Q$311:$Q$610)*OFFSET($C$1,MATCH(AK$12,$C$2:$C$7,0),MATCH($AD$11,$D$12:$G$12,0))</f>
        <v>2214.888</v>
      </c>
      <c r="AM57" s="164">
        <v>45</v>
      </c>
      <c r="AN57" s="165">
        <v>5805</v>
      </c>
      <c r="AO57" s="165">
        <v>7180</v>
      </c>
      <c r="AP57" s="165">
        <v>11110</v>
      </c>
      <c r="AQ57" s="165">
        <v>14423</v>
      </c>
    </row>
    <row r="58" spans="3:43">
      <c r="C58" s="160">
        <v>46</v>
      </c>
      <c r="D58" s="167">
        <v>102</v>
      </c>
      <c r="E58" s="167">
        <f t="shared" si="5"/>
        <v>85.5</v>
      </c>
      <c r="F58" s="167">
        <f t="shared" si="7"/>
        <v>92.5</v>
      </c>
      <c r="G58" s="168">
        <v>119</v>
      </c>
      <c r="I58" s="160">
        <v>46</v>
      </c>
      <c r="J58" s="163" t="e">
        <f ca="1">_xlfn.XLOOKUP(OFFSET($C$12,$I58,MATCH($J$11,$D$12:$G$12,0)),主线推图!$B$313:$B$612,主线推图!$P$313:$P$612)*OFFSET($C$1,MATCH(J$12,$C$2:$C$7,0),MATCH($J$11,$D$12:$G$12,0))</f>
        <v>#N/A</v>
      </c>
      <c r="K58" s="163" t="e">
        <f ca="1">_xlfn.XLOOKUP(OFFSET($C$12,$I58,MATCH($J$11,$D$12:$G$12,0)),巡逻产出!$B$311:$B$610,巡逻产出!$R$311:$R$610)*OFFSET($C$1,MATCH(K$12,$C$2:$C$7,0),MATCH($J$11,$D$12:$G$12,0))</f>
        <v>#N/A</v>
      </c>
      <c r="L58" s="163">
        <f ca="1">_xlfn.XLOOKUP(MAX(INT((OFFSET($C$12,$I58,MATCH($J$11,$D$12:$G$12,0))-6)/10),1),组队产出!$B$25:$B$39,组队产出!$P$25:$P$39)*OFFSET($C$1,MATCH(L$12,$C$2:$C$7,0),MATCH($J$11,$D$12:$G$12,0))</f>
        <v>1112.4</v>
      </c>
      <c r="M58" s="163">
        <f ca="1">竞技场!$G$3*OFFSET($C$1,MATCH(M$12,$C$2:$C$7,0),MATCH($J$11,$D$12:$G$12,0))</f>
        <v>1050</v>
      </c>
      <c r="N5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58" s="23">
        <f>任务!$G$6+任务!$G$9+IF(MOD(I58,7)=0,任务!$N$9+任务!$O$6,0)</f>
        <v>895</v>
      </c>
      <c r="P58" s="25">
        <f>公会!$U$11</f>
        <v>2766.62857142857</v>
      </c>
      <c r="Q58" s="163" t="e">
        <f ca="1">_xlfn.XLOOKUP(OFFSET($C$12,$I58,MATCH($J$11,$D$12:$G$12,0)),巡逻产出!$B$311:$B$610,巡逻产出!$Q$311:$Q$610)*OFFSET($C$1,MATCH(Q$12,$C$2:$C$7,0),MATCH($J$11,$D$12:$G$12,0))</f>
        <v>#N/A</v>
      </c>
      <c r="S58" s="160">
        <v>46</v>
      </c>
      <c r="T58" s="163" t="e">
        <f ca="1">_xlfn.XLOOKUP(OFFSET($C$12,$I58,MATCH($T$11,$D$12:$G$12,0)),主线推图!$B$313:$B$612,主线推图!$P$313:$P$612)*OFFSET($C$1,MATCH(T$12,$C$2:$C$7,0),MATCH($T$11,$D$12:$G$12,0))</f>
        <v>#N/A</v>
      </c>
      <c r="U58" s="163" t="e">
        <f ca="1">_xlfn.XLOOKUP(OFFSET($C$12,$I58,MATCH($T$11,$D$12:$G$12,0)),巡逻产出!$B$311:$B$610,巡逻产出!$R$311:$R$610)*OFFSET($C$1,MATCH(U$12,$C$2:$C$7,0),MATCH($T$11,$D$12:$G$12,0))</f>
        <v>#N/A</v>
      </c>
      <c r="V58" s="163">
        <f ca="1">_xlfn.XLOOKUP(MAX(INT((OFFSET($C$12,$I58,MATCH($T$11,$D$12:$G$12,0))-6)/10),1),组队产出!$B$25:$B$39,组队产出!$P$25:$P$39)*OFFSET($C$1,MATCH(V$12,$C$2:$C$7,0),MATCH($T$11,$D$12:$G$12,0))</f>
        <v>2236.8</v>
      </c>
      <c r="W58" s="163">
        <f ca="1">竞技场!$G$3*OFFSET($C$1,MATCH(W$12,$C$2:$C$7,0),MATCH($T$11,$D$12:$G$12,0))</f>
        <v>2100</v>
      </c>
      <c r="X5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58" s="23">
        <f>任务!$G$6+任务!$G$9+IF(MOD(S58,7)=0,任务!$N$9+任务!$O$6,0)</f>
        <v>895</v>
      </c>
      <c r="Z58" s="25">
        <f>公会!$U$11</f>
        <v>2766.62857142857</v>
      </c>
      <c r="AA58" s="163" t="e">
        <f ca="1">_xlfn.XLOOKUP(OFFSET($C$12,$I58,MATCH($T$11,$D$12:$G$12,0)),巡逻产出!$B$311:$B$610,巡逻产出!$Q$311:$Q$610)*OFFSET($C$1,MATCH(AA$12,$C$2:$C$7,0),MATCH($T$11,$D$12:$G$12,0))</f>
        <v>#N/A</v>
      </c>
      <c r="AC58" s="160">
        <v>46</v>
      </c>
      <c r="AD58" s="163">
        <f ca="1">_xlfn.XLOOKUP(OFFSET($C$12,$I58,MATCH($AD$11,$D$12:$G$12,0)),主线推图!$B$313:$B$612,主线推图!$P$313:$P$612)*OFFSET($C$1,MATCH(AD$12,$C$2:$C$7,0),MATCH($AD$11,$D$12:$G$12,0))</f>
        <v>3207.6</v>
      </c>
      <c r="AE58" s="163">
        <f ca="1">_xlfn.XLOOKUP(OFFSET($C$12,$I58,MATCH($AD$11,$D$12:$G$12,0)),巡逻产出!$B$311:$B$610,巡逻产出!$R$311:$R$610)*OFFSET($C$1,MATCH(AE$12,$C$2:$C$7,0),MATCH($AD$11,$D$12:$G$12,0))</f>
        <v>0</v>
      </c>
      <c r="AF58" s="163">
        <f ca="1">_xlfn.XLOOKUP(MAX(INT((OFFSET($C$12,$I58,MATCH($AD$11,$D$12:$G$12,0))-6)/10),1),组队产出!$B$25:$B$39,组队产出!$P$25:$P$39)*OFFSET($C$1,MATCH(AF$12,$C$2:$C$7,0),MATCH($AD$11,$D$12:$G$12,0))</f>
        <v>2272.8</v>
      </c>
      <c r="AG58" s="163">
        <f ca="1">竞技场!$G$3*OFFSET($C$1,MATCH(AG$12,$C$2:$C$7,0),MATCH($AD$11,$D$12:$G$12,0))</f>
        <v>3150</v>
      </c>
      <c r="AH5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58" s="23">
        <f>任务!$G$6+任务!$G$9+IF(MOD(AC58,7)=0,任务!$N$9+任务!$O$6,0)</f>
        <v>895</v>
      </c>
      <c r="AJ58" s="25">
        <f>公会!$U$11</f>
        <v>2766.62857142857</v>
      </c>
      <c r="AK58" s="163">
        <f ca="1">_xlfn.XLOOKUP(OFFSET($C$12,$I58,MATCH($AD$11,$D$12:$G$12,0)),巡逻产出!$B$311:$B$610,巡逻产出!$Q$311:$Q$610)*OFFSET($C$1,MATCH(AK$12,$C$2:$C$7,0),MATCH($AD$11,$D$12:$G$12,0))</f>
        <v>2216.448</v>
      </c>
      <c r="AM58" s="164">
        <v>46</v>
      </c>
      <c r="AN58" s="165">
        <v>5918</v>
      </c>
      <c r="AO58" s="165">
        <v>7323</v>
      </c>
      <c r="AP58" s="165">
        <v>11338</v>
      </c>
      <c r="AQ58" s="165">
        <v>14725</v>
      </c>
    </row>
    <row r="59" spans="3:43">
      <c r="C59" s="160">
        <v>47</v>
      </c>
      <c r="D59" s="167">
        <v>103</v>
      </c>
      <c r="E59" s="167">
        <f t="shared" si="5"/>
        <v>86</v>
      </c>
      <c r="F59" s="167">
        <f t="shared" si="7"/>
        <v>93</v>
      </c>
      <c r="G59" s="168">
        <v>120</v>
      </c>
      <c r="I59" s="160">
        <v>47</v>
      </c>
      <c r="J59" s="163" t="e">
        <f ca="1">_xlfn.XLOOKUP(OFFSET($C$12,$I59,MATCH($J$11,$D$12:$G$12,0)),主线推图!$B$313:$B$612,主线推图!$P$313:$P$612)*OFFSET($C$1,MATCH(J$12,$C$2:$C$7,0),MATCH($J$11,$D$12:$G$12,0))</f>
        <v>#N/A</v>
      </c>
      <c r="K59" s="163" t="e">
        <f ca="1">_xlfn.XLOOKUP(OFFSET($C$12,$I59,MATCH($J$11,$D$12:$G$12,0)),巡逻产出!$B$311:$B$610,巡逻产出!$R$311:$R$610)*OFFSET($C$1,MATCH(K$12,$C$2:$C$7,0),MATCH($J$11,$D$12:$G$12,0))</f>
        <v>#N/A</v>
      </c>
      <c r="L59" s="163">
        <f ca="1">_xlfn.XLOOKUP(MAX(INT((OFFSET($C$12,$I59,MATCH($J$11,$D$12:$G$12,0))-6)/10),1),组队产出!$B$25:$B$39,组队产出!$P$25:$P$39)*OFFSET($C$1,MATCH(L$12,$C$2:$C$7,0),MATCH($J$11,$D$12:$G$12,0))</f>
        <v>1112.4</v>
      </c>
      <c r="M59" s="163">
        <f ca="1">竞技场!$G$3*OFFSET($C$1,MATCH(M$12,$C$2:$C$7,0),MATCH($J$11,$D$12:$G$12,0))</f>
        <v>1050</v>
      </c>
      <c r="N5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59" s="23">
        <f>任务!$G$6+任务!$G$9+IF(MOD(I59,7)=0,任务!$N$9+任务!$O$6,0)</f>
        <v>895</v>
      </c>
      <c r="P59" s="25">
        <f>公会!$U$11</f>
        <v>2766.62857142857</v>
      </c>
      <c r="Q59" s="163" t="e">
        <f ca="1">_xlfn.XLOOKUP(OFFSET($C$12,$I59,MATCH($J$11,$D$12:$G$12,0)),巡逻产出!$B$311:$B$610,巡逻产出!$Q$311:$Q$610)*OFFSET($C$1,MATCH(Q$12,$C$2:$C$7,0),MATCH($J$11,$D$12:$G$12,0))</f>
        <v>#N/A</v>
      </c>
      <c r="S59" s="160">
        <v>47</v>
      </c>
      <c r="T59" s="163">
        <f ca="1">_xlfn.XLOOKUP(OFFSET($C$12,$I59,MATCH($T$11,$D$12:$G$12,0)),主线推图!$B$313:$B$612,主线推图!$P$313:$P$612)*OFFSET($C$1,MATCH(T$12,$C$2:$C$7,0),MATCH($T$11,$D$12:$G$12,0))</f>
        <v>2148</v>
      </c>
      <c r="U59" s="163">
        <f ca="1">_xlfn.XLOOKUP(OFFSET($C$12,$I59,MATCH($T$11,$D$12:$G$12,0)),巡逻产出!$B$311:$B$610,巡逻产出!$R$311:$R$610)*OFFSET($C$1,MATCH(U$12,$C$2:$C$7,0),MATCH($T$11,$D$12:$G$12,0))</f>
        <v>1884</v>
      </c>
      <c r="V59" s="163">
        <f ca="1">_xlfn.XLOOKUP(MAX(INT((OFFSET($C$12,$I59,MATCH($T$11,$D$12:$G$12,0))-6)/10),1),组队产出!$B$25:$B$39,组队产出!$P$25:$P$39)*OFFSET($C$1,MATCH(V$12,$C$2:$C$7,0),MATCH($T$11,$D$12:$G$12,0))</f>
        <v>2236.8</v>
      </c>
      <c r="W59" s="163">
        <f ca="1">竞技场!$G$3*OFFSET($C$1,MATCH(W$12,$C$2:$C$7,0),MATCH($T$11,$D$12:$G$12,0))</f>
        <v>2100</v>
      </c>
      <c r="X5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59" s="23">
        <f>任务!$G$6+任务!$G$9+IF(MOD(S59,7)=0,任务!$N$9+任务!$O$6,0)</f>
        <v>895</v>
      </c>
      <c r="Z59" s="25">
        <f>公会!$U$11</f>
        <v>2766.62857142857</v>
      </c>
      <c r="AA59" s="163">
        <f ca="1">_xlfn.XLOOKUP(OFFSET($C$12,$I59,MATCH($T$11,$D$12:$G$12,0)),巡逻产出!$B$311:$B$610,巡逻产出!$Q$311:$Q$610)*OFFSET($C$1,MATCH(AA$12,$C$2:$C$7,0),MATCH($T$11,$D$12:$G$12,0))</f>
        <v>2175.888</v>
      </c>
      <c r="AC59" s="160">
        <v>47</v>
      </c>
      <c r="AD59" s="163">
        <f ca="1">_xlfn.XLOOKUP(OFFSET($C$12,$I59,MATCH($AD$11,$D$12:$G$12,0)),主线推图!$B$313:$B$612,主线推图!$P$313:$P$612)*OFFSET($C$1,MATCH(AD$12,$C$2:$C$7,0),MATCH($AD$11,$D$12:$G$12,0))</f>
        <v>3209.8</v>
      </c>
      <c r="AE59" s="163">
        <f ca="1">_xlfn.XLOOKUP(OFFSET($C$12,$I59,MATCH($AD$11,$D$12:$G$12,0)),巡逻产出!$B$311:$B$610,巡逻产出!$R$311:$R$610)*OFFSET($C$1,MATCH(AE$12,$C$2:$C$7,0),MATCH($AD$11,$D$12:$G$12,0))</f>
        <v>0</v>
      </c>
      <c r="AF59" s="163">
        <f ca="1">_xlfn.XLOOKUP(MAX(INT((OFFSET($C$12,$I59,MATCH($AD$11,$D$12:$G$12,0))-6)/10),1),组队产出!$B$25:$B$39,组队产出!$P$25:$P$39)*OFFSET($C$1,MATCH(AF$12,$C$2:$C$7,0),MATCH($AD$11,$D$12:$G$12,0))</f>
        <v>2272.8</v>
      </c>
      <c r="AG59" s="163">
        <f ca="1">竞技场!$G$3*OFFSET($C$1,MATCH(AG$12,$C$2:$C$7,0),MATCH($AD$11,$D$12:$G$12,0))</f>
        <v>3150</v>
      </c>
      <c r="AH5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59" s="23">
        <f>任务!$G$6+任务!$G$9+IF(MOD(AC59,7)=0,任务!$N$9+任务!$O$6,0)</f>
        <v>895</v>
      </c>
      <c r="AJ59" s="25">
        <f>公会!$U$11</f>
        <v>2766.62857142857</v>
      </c>
      <c r="AK59" s="163">
        <f ca="1">_xlfn.XLOOKUP(OFFSET($C$12,$I59,MATCH($AD$11,$D$12:$G$12,0)),巡逻产出!$B$311:$B$610,巡逻产出!$Q$311:$Q$610)*OFFSET($C$1,MATCH(AK$12,$C$2:$C$7,0),MATCH($AD$11,$D$12:$G$12,0))</f>
        <v>2218.008</v>
      </c>
      <c r="AM59" s="164">
        <v>47</v>
      </c>
      <c r="AN59" s="165">
        <v>6032</v>
      </c>
      <c r="AO59" s="165">
        <v>7466</v>
      </c>
      <c r="AP59" s="165">
        <v>11567</v>
      </c>
      <c r="AQ59" s="165">
        <v>15027</v>
      </c>
    </row>
    <row r="60" spans="3:43">
      <c r="C60" s="160">
        <v>48</v>
      </c>
      <c r="D60" s="167">
        <v>103</v>
      </c>
      <c r="E60" s="167">
        <f t="shared" si="5"/>
        <v>86.5</v>
      </c>
      <c r="F60" s="167">
        <f t="shared" si="7"/>
        <v>93.5</v>
      </c>
      <c r="G60" s="168">
        <v>121</v>
      </c>
      <c r="I60" s="160">
        <v>48</v>
      </c>
      <c r="J60" s="163" t="e">
        <f ca="1">_xlfn.XLOOKUP(OFFSET($C$12,$I60,MATCH($J$11,$D$12:$G$12,0)),主线推图!$B$313:$B$612,主线推图!$P$313:$P$612)*OFFSET($C$1,MATCH(J$12,$C$2:$C$7,0),MATCH($J$11,$D$12:$G$12,0))</f>
        <v>#N/A</v>
      </c>
      <c r="K60" s="163" t="e">
        <f ca="1">_xlfn.XLOOKUP(OFFSET($C$12,$I60,MATCH($J$11,$D$12:$G$12,0)),巡逻产出!$B$311:$B$610,巡逻产出!$R$311:$R$610)*OFFSET($C$1,MATCH(K$12,$C$2:$C$7,0),MATCH($J$11,$D$12:$G$12,0))</f>
        <v>#N/A</v>
      </c>
      <c r="L60" s="163">
        <f ca="1">_xlfn.XLOOKUP(MAX(INT((OFFSET($C$12,$I60,MATCH($J$11,$D$12:$G$12,0))-6)/10),1),组队产出!$B$25:$B$39,组队产出!$P$25:$P$39)*OFFSET($C$1,MATCH(L$12,$C$2:$C$7,0),MATCH($J$11,$D$12:$G$12,0))</f>
        <v>1112.4</v>
      </c>
      <c r="M60" s="163">
        <f ca="1">竞技场!$G$3*OFFSET($C$1,MATCH(M$12,$C$2:$C$7,0),MATCH($J$11,$D$12:$G$12,0))</f>
        <v>1050</v>
      </c>
      <c r="N6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60" s="23">
        <f>任务!$G$6+任务!$G$9+IF(MOD(I60,7)=0,任务!$N$9+任务!$O$6,0)</f>
        <v>895</v>
      </c>
      <c r="P60" s="25">
        <f>公会!$U$11</f>
        <v>2766.62857142857</v>
      </c>
      <c r="Q60" s="163" t="e">
        <f ca="1">_xlfn.XLOOKUP(OFFSET($C$12,$I60,MATCH($J$11,$D$12:$G$12,0)),巡逻产出!$B$311:$B$610,巡逻产出!$Q$311:$Q$610)*OFFSET($C$1,MATCH(Q$12,$C$2:$C$7,0),MATCH($J$11,$D$12:$G$12,0))</f>
        <v>#N/A</v>
      </c>
      <c r="S60" s="160">
        <v>48</v>
      </c>
      <c r="T60" s="163" t="e">
        <f ca="1">_xlfn.XLOOKUP(OFFSET($C$12,$I60,MATCH($T$11,$D$12:$G$12,0)),主线推图!$B$313:$B$612,主线推图!$P$313:$P$612)*OFFSET($C$1,MATCH(T$12,$C$2:$C$7,0),MATCH($T$11,$D$12:$G$12,0))</f>
        <v>#N/A</v>
      </c>
      <c r="U60" s="163" t="e">
        <f ca="1">_xlfn.XLOOKUP(OFFSET($C$12,$I60,MATCH($T$11,$D$12:$G$12,0)),巡逻产出!$B$311:$B$610,巡逻产出!$R$311:$R$610)*OFFSET($C$1,MATCH(U$12,$C$2:$C$7,0),MATCH($T$11,$D$12:$G$12,0))</f>
        <v>#N/A</v>
      </c>
      <c r="V60" s="163">
        <f ca="1">_xlfn.XLOOKUP(MAX(INT((OFFSET($C$12,$I60,MATCH($T$11,$D$12:$G$12,0))-6)/10),1),组队产出!$B$25:$B$39,组队产出!$P$25:$P$39)*OFFSET($C$1,MATCH(V$12,$C$2:$C$7,0),MATCH($T$11,$D$12:$G$12,0))</f>
        <v>2236.8</v>
      </c>
      <c r="W60" s="163">
        <f ca="1">竞技场!$G$3*OFFSET($C$1,MATCH(W$12,$C$2:$C$7,0),MATCH($T$11,$D$12:$G$12,0))</f>
        <v>2100</v>
      </c>
      <c r="X6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60" s="23">
        <f>任务!$G$6+任务!$G$9+IF(MOD(S60,7)=0,任务!$N$9+任务!$O$6,0)</f>
        <v>895</v>
      </c>
      <c r="Z60" s="25">
        <f>公会!$U$11</f>
        <v>2766.62857142857</v>
      </c>
      <c r="AA60" s="163" t="e">
        <f ca="1">_xlfn.XLOOKUP(OFFSET($C$12,$I60,MATCH($T$11,$D$12:$G$12,0)),巡逻产出!$B$311:$B$610,巡逻产出!$Q$311:$Q$610)*OFFSET($C$1,MATCH(AA$12,$C$2:$C$7,0),MATCH($T$11,$D$12:$G$12,0))</f>
        <v>#N/A</v>
      </c>
      <c r="AC60" s="160">
        <v>48</v>
      </c>
      <c r="AD60" s="163">
        <f ca="1">_xlfn.XLOOKUP(OFFSET($C$12,$I60,MATCH($AD$11,$D$12:$G$12,0)),主线推图!$B$313:$B$612,主线推图!$P$313:$P$612)*OFFSET($C$1,MATCH(AD$12,$C$2:$C$7,0),MATCH($AD$11,$D$12:$G$12,0))</f>
        <v>3212</v>
      </c>
      <c r="AE60" s="163">
        <f ca="1">_xlfn.XLOOKUP(OFFSET($C$12,$I60,MATCH($AD$11,$D$12:$G$12,0)),巡逻产出!$B$311:$B$610,巡逻产出!$R$311:$R$610)*OFFSET($C$1,MATCH(AE$12,$C$2:$C$7,0),MATCH($AD$11,$D$12:$G$12,0))</f>
        <v>0</v>
      </c>
      <c r="AF60" s="163">
        <f ca="1">_xlfn.XLOOKUP(MAX(INT((OFFSET($C$12,$I60,MATCH($AD$11,$D$12:$G$12,0))-6)/10),1),组队产出!$B$25:$B$39,组队产出!$P$25:$P$39)*OFFSET($C$1,MATCH(AF$12,$C$2:$C$7,0),MATCH($AD$11,$D$12:$G$12,0))</f>
        <v>2272.8</v>
      </c>
      <c r="AG60" s="163">
        <f ca="1">竞技场!$G$3*OFFSET($C$1,MATCH(AG$12,$C$2:$C$7,0),MATCH($AD$11,$D$12:$G$12,0))</f>
        <v>3150</v>
      </c>
      <c r="AH6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60" s="23">
        <f>任务!$G$6+任务!$G$9+IF(MOD(AC60,7)=0,任务!$N$9+任务!$O$6,0)</f>
        <v>895</v>
      </c>
      <c r="AJ60" s="25">
        <f>公会!$U$11</f>
        <v>2766.62857142857</v>
      </c>
      <c r="AK60" s="163">
        <f ca="1">_xlfn.XLOOKUP(OFFSET($C$12,$I60,MATCH($AD$11,$D$12:$G$12,0)),巡逻产出!$B$311:$B$610,巡逻产出!$Q$311:$Q$610)*OFFSET($C$1,MATCH(AK$12,$C$2:$C$7,0),MATCH($AD$11,$D$12:$G$12,0))</f>
        <v>2219.568</v>
      </c>
      <c r="AM60" s="164">
        <v>48</v>
      </c>
      <c r="AN60" s="165">
        <v>6146</v>
      </c>
      <c r="AO60" s="165">
        <v>7609</v>
      </c>
      <c r="AP60" s="165">
        <v>11795</v>
      </c>
      <c r="AQ60" s="165">
        <v>15329</v>
      </c>
    </row>
    <row r="61" spans="3:43">
      <c r="C61" s="160">
        <v>49</v>
      </c>
      <c r="D61" s="167">
        <v>103</v>
      </c>
      <c r="E61" s="167">
        <f t="shared" si="5"/>
        <v>87</v>
      </c>
      <c r="F61" s="167">
        <f t="shared" si="7"/>
        <v>94</v>
      </c>
      <c r="G61" s="168">
        <v>122</v>
      </c>
      <c r="I61" s="160">
        <v>49</v>
      </c>
      <c r="J61" s="163">
        <f ca="1">_xlfn.XLOOKUP(OFFSET($C$12,$I61,MATCH($J$11,$D$12:$G$12,0)),主线推图!$B$313:$B$612,主线推图!$P$313:$P$612)*OFFSET($C$1,MATCH(J$12,$C$2:$C$7,0),MATCH($J$11,$D$12:$G$12,0))</f>
        <v>1417</v>
      </c>
      <c r="K61" s="163">
        <f ca="1">_xlfn.XLOOKUP(OFFSET($C$12,$I61,MATCH($J$11,$D$12:$G$12,0)),巡逻产出!$B$311:$B$610,巡逻产出!$R$311:$R$610)*OFFSET($C$1,MATCH(K$12,$C$2:$C$7,0),MATCH($J$11,$D$12:$G$12,0))</f>
        <v>624.25</v>
      </c>
      <c r="L61" s="163">
        <f ca="1">_xlfn.XLOOKUP(MAX(INT((OFFSET($C$12,$I61,MATCH($J$11,$D$12:$G$12,0))-6)/10),1),组队产出!$B$25:$B$39,组队产出!$P$25:$P$39)*OFFSET($C$1,MATCH(L$12,$C$2:$C$7,0),MATCH($J$11,$D$12:$G$12,0))</f>
        <v>1112.4</v>
      </c>
      <c r="M61" s="163">
        <f ca="1">竞技场!$G$3*OFFSET($C$1,MATCH(M$12,$C$2:$C$7,0),MATCH($J$11,$D$12:$G$12,0))</f>
        <v>1050</v>
      </c>
      <c r="N6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61" s="23">
        <f>任务!$G$6+任务!$G$9+IF(MOD(I61,7)=0,任务!$N$9+任务!$O$6,0)</f>
        <v>3125</v>
      </c>
      <c r="P61" s="25">
        <f>公会!$U$11</f>
        <v>2766.62857142857</v>
      </c>
      <c r="Q61" s="163">
        <f ca="1">_xlfn.XLOOKUP(OFFSET($C$12,$I61,MATCH($J$11,$D$12:$G$12,0)),巡逻产出!$B$311:$B$610,巡逻产出!$Q$311:$Q$610)*OFFSET($C$1,MATCH(Q$12,$C$2:$C$7,0),MATCH($J$11,$D$12:$G$12,0))</f>
        <v>1655.76</v>
      </c>
      <c r="S61" s="160">
        <v>49</v>
      </c>
      <c r="T61" s="163">
        <f ca="1">_xlfn.XLOOKUP(OFFSET($C$12,$I61,MATCH($T$11,$D$12:$G$12,0)),主线推图!$B$313:$B$612,主线推图!$P$313:$P$612)*OFFSET($C$1,MATCH(T$12,$C$2:$C$7,0),MATCH($T$11,$D$12:$G$12,0))</f>
        <v>2149.5</v>
      </c>
      <c r="U61" s="163">
        <f ca="1">_xlfn.XLOOKUP(OFFSET($C$12,$I61,MATCH($T$11,$D$12:$G$12,0)),巡逻产出!$B$311:$B$610,巡逻产出!$R$311:$R$610)*OFFSET($C$1,MATCH(U$12,$C$2:$C$7,0),MATCH($T$11,$D$12:$G$12,0))</f>
        <v>1884.75</v>
      </c>
      <c r="V61" s="163">
        <f ca="1">_xlfn.XLOOKUP(MAX(INT((OFFSET($C$12,$I61,MATCH($T$11,$D$12:$G$12,0))-6)/10),1),组队产出!$B$25:$B$39,组队产出!$P$25:$P$39)*OFFSET($C$1,MATCH(V$12,$C$2:$C$7,0),MATCH($T$11,$D$12:$G$12,0))</f>
        <v>2236.8</v>
      </c>
      <c r="W61" s="163">
        <f ca="1">竞技场!$G$3*OFFSET($C$1,MATCH(W$12,$C$2:$C$7,0),MATCH($T$11,$D$12:$G$12,0))</f>
        <v>2100</v>
      </c>
      <c r="X6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61" s="23">
        <f>任务!$G$6+任务!$G$9+IF(MOD(S61,7)=0,任务!$N$9+任务!$O$6,0)</f>
        <v>3125</v>
      </c>
      <c r="Z61" s="25">
        <f>公会!$U$11</f>
        <v>2766.62857142857</v>
      </c>
      <c r="AA61" s="163">
        <f ca="1">_xlfn.XLOOKUP(OFFSET($C$12,$I61,MATCH($T$11,$D$12:$G$12,0)),巡逻产出!$B$311:$B$610,巡逻产出!$Q$311:$Q$610)*OFFSET($C$1,MATCH(AA$12,$C$2:$C$7,0),MATCH($T$11,$D$12:$G$12,0))</f>
        <v>2177.448</v>
      </c>
      <c r="AC61" s="160">
        <v>49</v>
      </c>
      <c r="AD61" s="163">
        <f ca="1">_xlfn.XLOOKUP(OFFSET($C$12,$I61,MATCH($AD$11,$D$12:$G$12,0)),主线推图!$B$313:$B$612,主线推图!$P$313:$P$612)*OFFSET($C$1,MATCH(AD$12,$C$2:$C$7,0),MATCH($AD$11,$D$12:$G$12,0))</f>
        <v>3214.2</v>
      </c>
      <c r="AE61" s="163">
        <f ca="1">_xlfn.XLOOKUP(OFFSET($C$12,$I61,MATCH($AD$11,$D$12:$G$12,0)),巡逻产出!$B$311:$B$610,巡逻产出!$R$311:$R$610)*OFFSET($C$1,MATCH(AE$12,$C$2:$C$7,0),MATCH($AD$11,$D$12:$G$12,0))</f>
        <v>0</v>
      </c>
      <c r="AF61" s="163">
        <f ca="1">_xlfn.XLOOKUP(MAX(INT((OFFSET($C$12,$I61,MATCH($AD$11,$D$12:$G$12,0))-6)/10),1),组队产出!$B$25:$B$39,组队产出!$P$25:$P$39)*OFFSET($C$1,MATCH(AF$12,$C$2:$C$7,0),MATCH($AD$11,$D$12:$G$12,0))</f>
        <v>2272.8</v>
      </c>
      <c r="AG61" s="163">
        <f ca="1">竞技场!$G$3*OFFSET($C$1,MATCH(AG$12,$C$2:$C$7,0),MATCH($AD$11,$D$12:$G$12,0))</f>
        <v>3150</v>
      </c>
      <c r="AH6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61" s="23">
        <f>任务!$G$6+任务!$G$9+IF(MOD(AC61,7)=0,任务!$N$9+任务!$O$6,0)</f>
        <v>3125</v>
      </c>
      <c r="AJ61" s="25">
        <f>公会!$U$11</f>
        <v>2766.62857142857</v>
      </c>
      <c r="AK61" s="163">
        <f ca="1">_xlfn.XLOOKUP(OFFSET($C$12,$I61,MATCH($AD$11,$D$12:$G$12,0)),巡逻产出!$B$311:$B$610,巡逻产出!$Q$311:$Q$610)*OFFSET($C$1,MATCH(AK$12,$C$2:$C$7,0),MATCH($AD$11,$D$12:$G$12,0))</f>
        <v>2221.128</v>
      </c>
      <c r="AM61" s="164">
        <v>49</v>
      </c>
      <c r="AN61" s="165">
        <v>6260</v>
      </c>
      <c r="AO61" s="165">
        <v>7752</v>
      </c>
      <c r="AP61" s="165">
        <v>12024</v>
      </c>
      <c r="AQ61" s="165">
        <v>15631</v>
      </c>
    </row>
    <row r="62" spans="3:43">
      <c r="C62" s="160">
        <v>50</v>
      </c>
      <c r="D62" s="169">
        <v>104</v>
      </c>
      <c r="E62" s="170">
        <f>E61+0.25</f>
        <v>87.25</v>
      </c>
      <c r="F62" s="169">
        <f>F61+0.35</f>
        <v>94.35</v>
      </c>
      <c r="G62" s="168">
        <v>123</v>
      </c>
      <c r="I62" s="160">
        <v>50</v>
      </c>
      <c r="J62" s="163" t="e">
        <f ca="1">_xlfn.XLOOKUP(OFFSET($C$12,$I62,MATCH($J$11,$D$12:$G$12,0)),主线推图!$B$313:$B$612,主线推图!$P$313:$P$612)*OFFSET($C$1,MATCH(J$12,$C$2:$C$7,0),MATCH($J$11,$D$12:$G$12,0))</f>
        <v>#N/A</v>
      </c>
      <c r="K62" s="163" t="e">
        <f ca="1">_xlfn.XLOOKUP(OFFSET($C$12,$I62,MATCH($J$11,$D$12:$G$12,0)),巡逻产出!$B$311:$B$610,巡逻产出!$R$311:$R$610)*OFFSET($C$1,MATCH(K$12,$C$2:$C$7,0),MATCH($J$11,$D$12:$G$12,0))</f>
        <v>#N/A</v>
      </c>
      <c r="L62" s="163">
        <f ca="1">_xlfn.XLOOKUP(MAX(INT((OFFSET($C$12,$I62,MATCH($J$11,$D$12:$G$12,0))-6)/10),1),组队产出!$B$25:$B$39,组队产出!$P$25:$P$39)*OFFSET($C$1,MATCH(L$12,$C$2:$C$7,0),MATCH($J$11,$D$12:$G$12,0))</f>
        <v>1112.4</v>
      </c>
      <c r="M62" s="163">
        <f ca="1">竞技场!$G$3*OFFSET($C$1,MATCH(M$12,$C$2:$C$7,0),MATCH($J$11,$D$12:$G$12,0))</f>
        <v>1050</v>
      </c>
      <c r="N6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62" s="23">
        <f>任务!$G$6+任务!$G$9+IF(MOD(I62,7)=0,任务!$N$9+任务!$O$6,0)</f>
        <v>895</v>
      </c>
      <c r="P62" s="25">
        <f>公会!$U$11</f>
        <v>2766.62857142857</v>
      </c>
      <c r="Q62" s="163" t="e">
        <f ca="1">_xlfn.XLOOKUP(OFFSET($C$12,$I62,MATCH($J$11,$D$12:$G$12,0)),巡逻产出!$B$311:$B$610,巡逻产出!$Q$311:$Q$610)*OFFSET($C$1,MATCH(Q$12,$C$2:$C$7,0),MATCH($J$11,$D$12:$G$12,0))</f>
        <v>#N/A</v>
      </c>
      <c r="S62" s="160">
        <v>50</v>
      </c>
      <c r="T62" s="163" t="e">
        <f ca="1">_xlfn.XLOOKUP(OFFSET($C$12,$I62,MATCH($T$11,$D$12:$G$12,0)),主线推图!$B$313:$B$612,主线推图!$P$313:$P$612)*OFFSET($C$1,MATCH(T$12,$C$2:$C$7,0),MATCH($T$11,$D$12:$G$12,0))</f>
        <v>#N/A</v>
      </c>
      <c r="U62" s="163" t="e">
        <f ca="1">_xlfn.XLOOKUP(OFFSET($C$12,$I62,MATCH($T$11,$D$12:$G$12,0)),巡逻产出!$B$311:$B$610,巡逻产出!$R$311:$R$610)*OFFSET($C$1,MATCH(U$12,$C$2:$C$7,0),MATCH($T$11,$D$12:$G$12,0))</f>
        <v>#N/A</v>
      </c>
      <c r="V62" s="163">
        <f ca="1">_xlfn.XLOOKUP(MAX(INT((OFFSET($C$12,$I62,MATCH($T$11,$D$12:$G$12,0))-6)/10),1),组队产出!$B$25:$B$39,组队产出!$P$25:$P$39)*OFFSET($C$1,MATCH(V$12,$C$2:$C$7,0),MATCH($T$11,$D$12:$G$12,0))</f>
        <v>2236.8</v>
      </c>
      <c r="W62" s="163">
        <f ca="1">竞技场!$G$3*OFFSET($C$1,MATCH(W$12,$C$2:$C$7,0),MATCH($T$11,$D$12:$G$12,0))</f>
        <v>2100</v>
      </c>
      <c r="X6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62" s="23">
        <f>任务!$G$6+任务!$G$9+IF(MOD(S62,7)=0,任务!$N$9+任务!$O$6,0)</f>
        <v>895</v>
      </c>
      <c r="Z62" s="25">
        <f>公会!$U$11</f>
        <v>2766.62857142857</v>
      </c>
      <c r="AA62" s="163" t="e">
        <f ca="1">_xlfn.XLOOKUP(OFFSET($C$12,$I62,MATCH($T$11,$D$12:$G$12,0)),巡逻产出!$B$311:$B$610,巡逻产出!$Q$311:$Q$610)*OFFSET($C$1,MATCH(AA$12,$C$2:$C$7,0),MATCH($T$11,$D$12:$G$12,0))</f>
        <v>#N/A</v>
      </c>
      <c r="AC62" s="160">
        <v>50</v>
      </c>
      <c r="AD62" s="163">
        <f ca="1">_xlfn.XLOOKUP(OFFSET($C$12,$I62,MATCH($AD$11,$D$12:$G$12,0)),主线推图!$B$313:$B$612,主线推图!$P$313:$P$612)*OFFSET($C$1,MATCH(AD$12,$C$2:$C$7,0),MATCH($AD$11,$D$12:$G$12,0))</f>
        <v>3216.4</v>
      </c>
      <c r="AE62" s="163">
        <f ca="1">_xlfn.XLOOKUP(OFFSET($C$12,$I62,MATCH($AD$11,$D$12:$G$12,0)),巡逻产出!$B$311:$B$610,巡逻产出!$R$311:$R$610)*OFFSET($C$1,MATCH(AE$12,$C$2:$C$7,0),MATCH($AD$11,$D$12:$G$12,0))</f>
        <v>0</v>
      </c>
      <c r="AF62" s="163">
        <f ca="1">_xlfn.XLOOKUP(MAX(INT((OFFSET($C$12,$I62,MATCH($AD$11,$D$12:$G$12,0))-6)/10),1),组队产出!$B$25:$B$39,组队产出!$P$25:$P$39)*OFFSET($C$1,MATCH(AF$12,$C$2:$C$7,0),MATCH($AD$11,$D$12:$G$12,0))</f>
        <v>2272.8</v>
      </c>
      <c r="AG62" s="163">
        <f ca="1">竞技场!$G$3*OFFSET($C$1,MATCH(AG$12,$C$2:$C$7,0),MATCH($AD$11,$D$12:$G$12,0))</f>
        <v>3150</v>
      </c>
      <c r="AH6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62" s="23">
        <f>任务!$G$6+任务!$G$9+IF(MOD(AC62,7)=0,任务!$N$9+任务!$O$6,0)</f>
        <v>895</v>
      </c>
      <c r="AJ62" s="25">
        <f>公会!$U$11</f>
        <v>2766.62857142857</v>
      </c>
      <c r="AK62" s="163">
        <f ca="1">_xlfn.XLOOKUP(OFFSET($C$12,$I62,MATCH($AD$11,$D$12:$G$12,0)),巡逻产出!$B$311:$B$610,巡逻产出!$Q$311:$Q$610)*OFFSET($C$1,MATCH(AK$12,$C$2:$C$7,0),MATCH($AD$11,$D$12:$G$12,0))</f>
        <v>2222.688</v>
      </c>
      <c r="AM62" s="164">
        <v>50</v>
      </c>
      <c r="AN62" s="165">
        <v>6374</v>
      </c>
      <c r="AO62" s="165">
        <v>7895</v>
      </c>
      <c r="AP62" s="165">
        <v>12252</v>
      </c>
      <c r="AQ62" s="165">
        <v>15933</v>
      </c>
    </row>
    <row r="63" spans="3:43">
      <c r="C63" s="160">
        <v>51</v>
      </c>
      <c r="D63" s="169">
        <v>104</v>
      </c>
      <c r="E63" s="170">
        <f t="shared" ref="E63:E126" si="9">E62+0.25</f>
        <v>87.5</v>
      </c>
      <c r="F63" s="169">
        <f t="shared" ref="F63:F126" si="10">F62+0.35</f>
        <v>94.7</v>
      </c>
      <c r="G63" s="168">
        <v>124</v>
      </c>
      <c r="I63" s="160">
        <v>51</v>
      </c>
      <c r="J63" s="163" t="e">
        <f ca="1">_xlfn.XLOOKUP(OFFSET($C$12,$I63,MATCH($J$11,$D$12:$G$12,0)),主线推图!$B$313:$B$612,主线推图!$P$313:$P$612)*OFFSET($C$1,MATCH(J$12,$C$2:$C$7,0),MATCH($J$11,$D$12:$G$12,0))</f>
        <v>#N/A</v>
      </c>
      <c r="K63" s="163" t="e">
        <f ca="1">_xlfn.XLOOKUP(OFFSET($C$12,$I63,MATCH($J$11,$D$12:$G$12,0)),巡逻产出!$B$311:$B$610,巡逻产出!$R$311:$R$610)*OFFSET($C$1,MATCH(K$12,$C$2:$C$7,0),MATCH($J$11,$D$12:$G$12,0))</f>
        <v>#N/A</v>
      </c>
      <c r="L63" s="163">
        <f ca="1">_xlfn.XLOOKUP(MAX(INT((OFFSET($C$12,$I63,MATCH($J$11,$D$12:$G$12,0))-6)/10),1),组队产出!$B$25:$B$39,组队产出!$P$25:$P$39)*OFFSET($C$1,MATCH(L$12,$C$2:$C$7,0),MATCH($J$11,$D$12:$G$12,0))</f>
        <v>1112.4</v>
      </c>
      <c r="M63" s="163">
        <f ca="1">竞技场!$G$3*OFFSET($C$1,MATCH(M$12,$C$2:$C$7,0),MATCH($J$11,$D$12:$G$12,0))</f>
        <v>1050</v>
      </c>
      <c r="N6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63" s="23">
        <f>任务!$G$6+任务!$G$9+IF(MOD(I63,7)=0,任务!$N$9+任务!$O$6,0)</f>
        <v>895</v>
      </c>
      <c r="P63" s="25">
        <f>公会!$U$11</f>
        <v>2766.62857142857</v>
      </c>
      <c r="Q63" s="163" t="e">
        <f ca="1">_xlfn.XLOOKUP(OFFSET($C$12,$I63,MATCH($J$11,$D$12:$G$12,0)),巡逻产出!$B$311:$B$610,巡逻产出!$Q$311:$Q$610)*OFFSET($C$1,MATCH(Q$12,$C$2:$C$7,0),MATCH($J$11,$D$12:$G$12,0))</f>
        <v>#N/A</v>
      </c>
      <c r="S63" s="160">
        <v>51</v>
      </c>
      <c r="T63" s="163" t="e">
        <f ca="1">_xlfn.XLOOKUP(OFFSET($C$12,$I63,MATCH($T$11,$D$12:$G$12,0)),主线推图!$B$313:$B$612,主线推图!$P$313:$P$612)*OFFSET($C$1,MATCH(T$12,$C$2:$C$7,0),MATCH($T$11,$D$12:$G$12,0))</f>
        <v>#N/A</v>
      </c>
      <c r="U63" s="163" t="e">
        <f ca="1">_xlfn.XLOOKUP(OFFSET($C$12,$I63,MATCH($T$11,$D$12:$G$12,0)),巡逻产出!$B$311:$B$610,巡逻产出!$R$311:$R$610)*OFFSET($C$1,MATCH(U$12,$C$2:$C$7,0),MATCH($T$11,$D$12:$G$12,0))</f>
        <v>#N/A</v>
      </c>
      <c r="V63" s="163">
        <f ca="1">_xlfn.XLOOKUP(MAX(INT((OFFSET($C$12,$I63,MATCH($T$11,$D$12:$G$12,0))-6)/10),1),组队产出!$B$25:$B$39,组队产出!$P$25:$P$39)*OFFSET($C$1,MATCH(V$12,$C$2:$C$7,0),MATCH($T$11,$D$12:$G$12,0))</f>
        <v>2236.8</v>
      </c>
      <c r="W63" s="163">
        <f ca="1">竞技场!$G$3*OFFSET($C$1,MATCH(W$12,$C$2:$C$7,0),MATCH($T$11,$D$12:$G$12,0))</f>
        <v>2100</v>
      </c>
      <c r="X6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63" s="23">
        <f>任务!$G$6+任务!$G$9+IF(MOD(S63,7)=0,任务!$N$9+任务!$O$6,0)</f>
        <v>895</v>
      </c>
      <c r="Z63" s="25">
        <f>公会!$U$11</f>
        <v>2766.62857142857</v>
      </c>
      <c r="AA63" s="163" t="e">
        <f ca="1">_xlfn.XLOOKUP(OFFSET($C$12,$I63,MATCH($T$11,$D$12:$G$12,0)),巡逻产出!$B$311:$B$610,巡逻产出!$Q$311:$Q$610)*OFFSET($C$1,MATCH(AA$12,$C$2:$C$7,0),MATCH($T$11,$D$12:$G$12,0))</f>
        <v>#N/A</v>
      </c>
      <c r="AC63" s="160">
        <v>51</v>
      </c>
      <c r="AD63" s="163">
        <f ca="1">_xlfn.XLOOKUP(OFFSET($C$12,$I63,MATCH($AD$11,$D$12:$G$12,0)),主线推图!$B$313:$B$612,主线推图!$P$313:$P$612)*OFFSET($C$1,MATCH(AD$12,$C$2:$C$7,0),MATCH($AD$11,$D$12:$G$12,0))</f>
        <v>3218.6</v>
      </c>
      <c r="AE63" s="163">
        <f ca="1">_xlfn.XLOOKUP(OFFSET($C$12,$I63,MATCH($AD$11,$D$12:$G$12,0)),巡逻产出!$B$311:$B$610,巡逻产出!$R$311:$R$610)*OFFSET($C$1,MATCH(AE$12,$C$2:$C$7,0),MATCH($AD$11,$D$12:$G$12,0))</f>
        <v>0</v>
      </c>
      <c r="AF63" s="163">
        <f ca="1">_xlfn.XLOOKUP(MAX(INT((OFFSET($C$12,$I63,MATCH($AD$11,$D$12:$G$12,0))-6)/10),1),组队产出!$B$25:$B$39,组队产出!$P$25:$P$39)*OFFSET($C$1,MATCH(AF$12,$C$2:$C$7,0),MATCH($AD$11,$D$12:$G$12,0))</f>
        <v>2272.8</v>
      </c>
      <c r="AG63" s="163">
        <f ca="1">竞技场!$G$3*OFFSET($C$1,MATCH(AG$12,$C$2:$C$7,0),MATCH($AD$11,$D$12:$G$12,0))</f>
        <v>3150</v>
      </c>
      <c r="AH6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63" s="23">
        <f>任务!$G$6+任务!$G$9+IF(MOD(AC63,7)=0,任务!$N$9+任务!$O$6,0)</f>
        <v>895</v>
      </c>
      <c r="AJ63" s="25">
        <f>公会!$U$11</f>
        <v>2766.62857142857</v>
      </c>
      <c r="AK63" s="163">
        <f ca="1">_xlfn.XLOOKUP(OFFSET($C$12,$I63,MATCH($AD$11,$D$12:$G$12,0)),巡逻产出!$B$311:$B$610,巡逻产出!$Q$311:$Q$610)*OFFSET($C$1,MATCH(AK$12,$C$2:$C$7,0),MATCH($AD$11,$D$12:$G$12,0))</f>
        <v>2224.248</v>
      </c>
      <c r="AM63" s="164">
        <v>51</v>
      </c>
      <c r="AN63" s="165">
        <v>6487</v>
      </c>
      <c r="AO63" s="165">
        <v>8038</v>
      </c>
      <c r="AP63" s="165">
        <v>12481</v>
      </c>
      <c r="AQ63" s="165">
        <v>16235</v>
      </c>
    </row>
    <row r="64" spans="3:43">
      <c r="C64" s="160">
        <v>52</v>
      </c>
      <c r="D64" s="169">
        <v>105</v>
      </c>
      <c r="E64" s="170">
        <f t="shared" si="9"/>
        <v>87.75</v>
      </c>
      <c r="F64" s="169">
        <f t="shared" si="10"/>
        <v>95.05</v>
      </c>
      <c r="G64" s="168">
        <v>125</v>
      </c>
      <c r="I64" s="160">
        <v>52</v>
      </c>
      <c r="J64" s="163" t="e">
        <f ca="1">_xlfn.XLOOKUP(OFFSET($C$12,$I64,MATCH($J$11,$D$12:$G$12,0)),主线推图!$B$313:$B$612,主线推图!$P$313:$P$612)*OFFSET($C$1,MATCH(J$12,$C$2:$C$7,0),MATCH($J$11,$D$12:$G$12,0))</f>
        <v>#N/A</v>
      </c>
      <c r="K64" s="163" t="e">
        <f ca="1">_xlfn.XLOOKUP(OFFSET($C$12,$I64,MATCH($J$11,$D$12:$G$12,0)),巡逻产出!$B$311:$B$610,巡逻产出!$R$311:$R$610)*OFFSET($C$1,MATCH(K$12,$C$2:$C$7,0),MATCH($J$11,$D$12:$G$12,0))</f>
        <v>#N/A</v>
      </c>
      <c r="L64" s="163">
        <f ca="1">_xlfn.XLOOKUP(MAX(INT((OFFSET($C$12,$I64,MATCH($J$11,$D$12:$G$12,0))-6)/10),1),组队产出!$B$25:$B$39,组队产出!$P$25:$P$39)*OFFSET($C$1,MATCH(L$12,$C$2:$C$7,0),MATCH($J$11,$D$12:$G$12,0))</f>
        <v>1112.4</v>
      </c>
      <c r="M64" s="163">
        <f ca="1">竞技场!$G$3*OFFSET($C$1,MATCH(M$12,$C$2:$C$7,0),MATCH($J$11,$D$12:$G$12,0))</f>
        <v>1050</v>
      </c>
      <c r="N6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64" s="23">
        <f>任务!$G$6+任务!$G$9+IF(MOD(I64,7)=0,任务!$N$9+任务!$O$6,0)</f>
        <v>895</v>
      </c>
      <c r="P64" s="25">
        <f>公会!$U$11</f>
        <v>2766.62857142857</v>
      </c>
      <c r="Q64" s="163" t="e">
        <f ca="1">_xlfn.XLOOKUP(OFFSET($C$12,$I64,MATCH($J$11,$D$12:$G$12,0)),巡逻产出!$B$311:$B$610,巡逻产出!$Q$311:$Q$610)*OFFSET($C$1,MATCH(Q$12,$C$2:$C$7,0),MATCH($J$11,$D$12:$G$12,0))</f>
        <v>#N/A</v>
      </c>
      <c r="S64" s="160">
        <v>52</v>
      </c>
      <c r="T64" s="163" t="e">
        <f ca="1">_xlfn.XLOOKUP(OFFSET($C$12,$I64,MATCH($T$11,$D$12:$G$12,0)),主线推图!$B$313:$B$612,主线推图!$P$313:$P$612)*OFFSET($C$1,MATCH(T$12,$C$2:$C$7,0),MATCH($T$11,$D$12:$G$12,0))</f>
        <v>#N/A</v>
      </c>
      <c r="U64" s="163" t="e">
        <f ca="1">_xlfn.XLOOKUP(OFFSET($C$12,$I64,MATCH($T$11,$D$12:$G$12,0)),巡逻产出!$B$311:$B$610,巡逻产出!$R$311:$R$610)*OFFSET($C$1,MATCH(U$12,$C$2:$C$7,0),MATCH($T$11,$D$12:$G$12,0))</f>
        <v>#N/A</v>
      </c>
      <c r="V64" s="163">
        <f ca="1">_xlfn.XLOOKUP(MAX(INT((OFFSET($C$12,$I64,MATCH($T$11,$D$12:$G$12,0))-6)/10),1),组队产出!$B$25:$B$39,组队产出!$P$25:$P$39)*OFFSET($C$1,MATCH(V$12,$C$2:$C$7,0),MATCH($T$11,$D$12:$G$12,0))</f>
        <v>2236.8</v>
      </c>
      <c r="W64" s="163">
        <f ca="1">竞技场!$G$3*OFFSET($C$1,MATCH(W$12,$C$2:$C$7,0),MATCH($T$11,$D$12:$G$12,0))</f>
        <v>2100</v>
      </c>
      <c r="X6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64" s="23">
        <f>任务!$G$6+任务!$G$9+IF(MOD(S64,7)=0,任务!$N$9+任务!$O$6,0)</f>
        <v>895</v>
      </c>
      <c r="Z64" s="25">
        <f>公会!$U$11</f>
        <v>2766.62857142857</v>
      </c>
      <c r="AA64" s="163" t="e">
        <f ca="1">_xlfn.XLOOKUP(OFFSET($C$12,$I64,MATCH($T$11,$D$12:$G$12,0)),巡逻产出!$B$311:$B$610,巡逻产出!$Q$311:$Q$610)*OFFSET($C$1,MATCH(AA$12,$C$2:$C$7,0),MATCH($T$11,$D$12:$G$12,0))</f>
        <v>#N/A</v>
      </c>
      <c r="AC64" s="160">
        <v>52</v>
      </c>
      <c r="AD64" s="163">
        <f ca="1">_xlfn.XLOOKUP(OFFSET($C$12,$I64,MATCH($AD$11,$D$12:$G$12,0)),主线推图!$B$313:$B$612,主线推图!$P$313:$P$612)*OFFSET($C$1,MATCH(AD$12,$C$2:$C$7,0),MATCH($AD$11,$D$12:$G$12,0))</f>
        <v>3220.8</v>
      </c>
      <c r="AE64" s="163">
        <f ca="1">_xlfn.XLOOKUP(OFFSET($C$12,$I64,MATCH($AD$11,$D$12:$G$12,0)),巡逻产出!$B$311:$B$610,巡逻产出!$R$311:$R$610)*OFFSET($C$1,MATCH(AE$12,$C$2:$C$7,0),MATCH($AD$11,$D$12:$G$12,0))</f>
        <v>0</v>
      </c>
      <c r="AF64" s="163">
        <f ca="1">_xlfn.XLOOKUP(MAX(INT((OFFSET($C$12,$I64,MATCH($AD$11,$D$12:$G$12,0))-6)/10),1),组队产出!$B$25:$B$39,组队产出!$P$25:$P$39)*OFFSET($C$1,MATCH(AF$12,$C$2:$C$7,0),MATCH($AD$11,$D$12:$G$12,0))</f>
        <v>2272.8</v>
      </c>
      <c r="AG64" s="163">
        <f ca="1">竞技场!$G$3*OFFSET($C$1,MATCH(AG$12,$C$2:$C$7,0),MATCH($AD$11,$D$12:$G$12,0))</f>
        <v>3150</v>
      </c>
      <c r="AH6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64" s="23">
        <f>任务!$G$6+任务!$G$9+IF(MOD(AC64,7)=0,任务!$N$9+任务!$O$6,0)</f>
        <v>895</v>
      </c>
      <c r="AJ64" s="25">
        <f>公会!$U$11</f>
        <v>2766.62857142857</v>
      </c>
      <c r="AK64" s="163">
        <f ca="1">_xlfn.XLOOKUP(OFFSET($C$12,$I64,MATCH($AD$11,$D$12:$G$12,0)),巡逻产出!$B$311:$B$610,巡逻产出!$Q$311:$Q$610)*OFFSET($C$1,MATCH(AK$12,$C$2:$C$7,0),MATCH($AD$11,$D$12:$G$12,0))</f>
        <v>2225.808</v>
      </c>
      <c r="AM64" s="164">
        <v>52</v>
      </c>
      <c r="AN64" s="165">
        <v>6601</v>
      </c>
      <c r="AO64" s="165">
        <v>8181</v>
      </c>
      <c r="AP64" s="165">
        <v>12709</v>
      </c>
      <c r="AQ64" s="165">
        <v>16538</v>
      </c>
    </row>
    <row r="65" spans="3:43">
      <c r="C65" s="160">
        <v>53</v>
      </c>
      <c r="D65" s="169">
        <v>105</v>
      </c>
      <c r="E65" s="170">
        <f t="shared" si="9"/>
        <v>88</v>
      </c>
      <c r="F65" s="169">
        <f t="shared" si="10"/>
        <v>95.4</v>
      </c>
      <c r="G65" s="168">
        <v>126</v>
      </c>
      <c r="I65" s="160">
        <v>53</v>
      </c>
      <c r="J65" s="163" t="e">
        <f ca="1">_xlfn.XLOOKUP(OFFSET($C$12,$I65,MATCH($J$11,$D$12:$G$12,0)),主线推图!$B$313:$B$612,主线推图!$P$313:$P$612)*OFFSET($C$1,MATCH(J$12,$C$2:$C$7,0),MATCH($J$11,$D$12:$G$12,0))</f>
        <v>#N/A</v>
      </c>
      <c r="K65" s="163" t="e">
        <f ca="1">_xlfn.XLOOKUP(OFFSET($C$12,$I65,MATCH($J$11,$D$12:$G$12,0)),巡逻产出!$B$311:$B$610,巡逻产出!$R$311:$R$610)*OFFSET($C$1,MATCH(K$12,$C$2:$C$7,0),MATCH($J$11,$D$12:$G$12,0))</f>
        <v>#N/A</v>
      </c>
      <c r="L65" s="163">
        <f ca="1">_xlfn.XLOOKUP(MAX(INT((OFFSET($C$12,$I65,MATCH($J$11,$D$12:$G$12,0))-6)/10),1),组队产出!$B$25:$B$39,组队产出!$P$25:$P$39)*OFFSET($C$1,MATCH(L$12,$C$2:$C$7,0),MATCH($J$11,$D$12:$G$12,0))</f>
        <v>1112.4</v>
      </c>
      <c r="M65" s="163">
        <f ca="1">竞技场!$G$3*OFFSET($C$1,MATCH(M$12,$C$2:$C$7,0),MATCH($J$11,$D$12:$G$12,0))</f>
        <v>1050</v>
      </c>
      <c r="N6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65" s="23">
        <f>任务!$G$6+任务!$G$9+IF(MOD(I65,7)=0,任务!$N$9+任务!$O$6,0)</f>
        <v>895</v>
      </c>
      <c r="P65" s="25">
        <f>公会!$U$11</f>
        <v>2766.62857142857</v>
      </c>
      <c r="Q65" s="163" t="e">
        <f ca="1">_xlfn.XLOOKUP(OFFSET($C$12,$I65,MATCH($J$11,$D$12:$G$12,0)),巡逻产出!$B$311:$B$610,巡逻产出!$Q$311:$Q$610)*OFFSET($C$1,MATCH(Q$12,$C$2:$C$7,0),MATCH($J$11,$D$12:$G$12,0))</f>
        <v>#N/A</v>
      </c>
      <c r="S65" s="160">
        <v>53</v>
      </c>
      <c r="T65" s="163" t="e">
        <f ca="1">_xlfn.XLOOKUP(OFFSET($C$12,$I65,MATCH($T$11,$D$12:$G$12,0)),主线推图!$B$313:$B$612,主线推图!$P$313:$P$612)*OFFSET($C$1,MATCH(T$12,$C$2:$C$7,0),MATCH($T$11,$D$12:$G$12,0))</f>
        <v>#N/A</v>
      </c>
      <c r="U65" s="163" t="e">
        <f ca="1">_xlfn.XLOOKUP(OFFSET($C$12,$I65,MATCH($T$11,$D$12:$G$12,0)),巡逻产出!$B$311:$B$610,巡逻产出!$R$311:$R$610)*OFFSET($C$1,MATCH(U$12,$C$2:$C$7,0),MATCH($T$11,$D$12:$G$12,0))</f>
        <v>#N/A</v>
      </c>
      <c r="V65" s="163">
        <f ca="1">_xlfn.XLOOKUP(MAX(INT((OFFSET($C$12,$I65,MATCH($T$11,$D$12:$G$12,0))-6)/10),1),组队产出!$B$25:$B$39,组队产出!$P$25:$P$39)*OFFSET($C$1,MATCH(V$12,$C$2:$C$7,0),MATCH($T$11,$D$12:$G$12,0))</f>
        <v>2236.8</v>
      </c>
      <c r="W65" s="163">
        <f ca="1">竞技场!$G$3*OFFSET($C$1,MATCH(W$12,$C$2:$C$7,0),MATCH($T$11,$D$12:$G$12,0))</f>
        <v>2100</v>
      </c>
      <c r="X6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65" s="23">
        <f>任务!$G$6+任务!$G$9+IF(MOD(S65,7)=0,任务!$N$9+任务!$O$6,0)</f>
        <v>895</v>
      </c>
      <c r="Z65" s="25">
        <f>公会!$U$11</f>
        <v>2766.62857142857</v>
      </c>
      <c r="AA65" s="163" t="e">
        <f ca="1">_xlfn.XLOOKUP(OFFSET($C$12,$I65,MATCH($T$11,$D$12:$G$12,0)),巡逻产出!$B$311:$B$610,巡逻产出!$Q$311:$Q$610)*OFFSET($C$1,MATCH(AA$12,$C$2:$C$7,0),MATCH($T$11,$D$12:$G$12,0))</f>
        <v>#N/A</v>
      </c>
      <c r="AC65" s="160">
        <v>53</v>
      </c>
      <c r="AD65" s="163">
        <f ca="1">_xlfn.XLOOKUP(OFFSET($C$12,$I65,MATCH($AD$11,$D$12:$G$12,0)),主线推图!$B$313:$B$612,主线推图!$P$313:$P$612)*OFFSET($C$1,MATCH(AD$12,$C$2:$C$7,0),MATCH($AD$11,$D$12:$G$12,0))</f>
        <v>3223</v>
      </c>
      <c r="AE65" s="163">
        <f ca="1">_xlfn.XLOOKUP(OFFSET($C$12,$I65,MATCH($AD$11,$D$12:$G$12,0)),巡逻产出!$B$311:$B$610,巡逻产出!$R$311:$R$610)*OFFSET($C$1,MATCH(AE$12,$C$2:$C$7,0),MATCH($AD$11,$D$12:$G$12,0))</f>
        <v>0</v>
      </c>
      <c r="AF65" s="163">
        <f ca="1">_xlfn.XLOOKUP(MAX(INT((OFFSET($C$12,$I65,MATCH($AD$11,$D$12:$G$12,0))-6)/10),1),组队产出!$B$25:$B$39,组队产出!$P$25:$P$39)*OFFSET($C$1,MATCH(AF$12,$C$2:$C$7,0),MATCH($AD$11,$D$12:$G$12,0))</f>
        <v>2284.8</v>
      </c>
      <c r="AG65" s="163">
        <f ca="1">竞技场!$G$3*OFFSET($C$1,MATCH(AG$12,$C$2:$C$7,0),MATCH($AD$11,$D$12:$G$12,0))</f>
        <v>3150</v>
      </c>
      <c r="AH6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65" s="23">
        <f>任务!$G$6+任务!$G$9+IF(MOD(AC65,7)=0,任务!$N$9+任务!$O$6,0)</f>
        <v>895</v>
      </c>
      <c r="AJ65" s="25">
        <f>公会!$U$11</f>
        <v>2766.62857142857</v>
      </c>
      <c r="AK65" s="163">
        <f ca="1">_xlfn.XLOOKUP(OFFSET($C$12,$I65,MATCH($AD$11,$D$12:$G$12,0)),巡逻产出!$B$311:$B$610,巡逻产出!$Q$311:$Q$610)*OFFSET($C$1,MATCH(AK$12,$C$2:$C$7,0),MATCH($AD$11,$D$12:$G$12,0))</f>
        <v>2227.368</v>
      </c>
      <c r="AM65" s="164">
        <v>53</v>
      </c>
      <c r="AN65" s="165">
        <v>6715</v>
      </c>
      <c r="AO65" s="165">
        <v>8325</v>
      </c>
      <c r="AP65" s="165">
        <v>12938</v>
      </c>
      <c r="AQ65" s="165">
        <v>16840</v>
      </c>
    </row>
    <row r="66" spans="3:43">
      <c r="C66" s="160">
        <v>54</v>
      </c>
      <c r="D66" s="169">
        <v>105</v>
      </c>
      <c r="E66" s="170">
        <f t="shared" si="9"/>
        <v>88.25</v>
      </c>
      <c r="F66" s="169">
        <f t="shared" si="10"/>
        <v>95.75</v>
      </c>
      <c r="G66" s="168">
        <v>127</v>
      </c>
      <c r="I66" s="160">
        <v>54</v>
      </c>
      <c r="J66" s="163" t="e">
        <f ca="1">_xlfn.XLOOKUP(OFFSET($C$12,$I66,MATCH($J$11,$D$12:$G$12,0)),主线推图!$B$313:$B$612,主线推图!$P$313:$P$612)*OFFSET($C$1,MATCH(J$12,$C$2:$C$7,0),MATCH($J$11,$D$12:$G$12,0))</f>
        <v>#N/A</v>
      </c>
      <c r="K66" s="163" t="e">
        <f ca="1">_xlfn.XLOOKUP(OFFSET($C$12,$I66,MATCH($J$11,$D$12:$G$12,0)),巡逻产出!$B$311:$B$610,巡逻产出!$R$311:$R$610)*OFFSET($C$1,MATCH(K$12,$C$2:$C$7,0),MATCH($J$11,$D$12:$G$12,0))</f>
        <v>#N/A</v>
      </c>
      <c r="L66" s="163">
        <f ca="1">_xlfn.XLOOKUP(MAX(INT((OFFSET($C$12,$I66,MATCH($J$11,$D$12:$G$12,0))-6)/10),1),组队产出!$B$25:$B$39,组队产出!$P$25:$P$39)*OFFSET($C$1,MATCH(L$12,$C$2:$C$7,0),MATCH($J$11,$D$12:$G$12,0))</f>
        <v>1112.4</v>
      </c>
      <c r="M66" s="163">
        <f ca="1">竞技场!$G$3*OFFSET($C$1,MATCH(M$12,$C$2:$C$7,0),MATCH($J$11,$D$12:$G$12,0))</f>
        <v>1050</v>
      </c>
      <c r="N6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66" s="23">
        <f>任务!$G$6+任务!$G$9+IF(MOD(I66,7)=0,任务!$N$9+任务!$O$6,0)</f>
        <v>895</v>
      </c>
      <c r="P66" s="25">
        <f>公会!$U$11</f>
        <v>2766.62857142857</v>
      </c>
      <c r="Q66" s="163" t="e">
        <f ca="1">_xlfn.XLOOKUP(OFFSET($C$12,$I66,MATCH($J$11,$D$12:$G$12,0)),巡逻产出!$B$311:$B$610,巡逻产出!$Q$311:$Q$610)*OFFSET($C$1,MATCH(Q$12,$C$2:$C$7,0),MATCH($J$11,$D$12:$G$12,0))</f>
        <v>#N/A</v>
      </c>
      <c r="S66" s="160">
        <v>54</v>
      </c>
      <c r="T66" s="163" t="e">
        <f ca="1">_xlfn.XLOOKUP(OFFSET($C$12,$I66,MATCH($T$11,$D$12:$G$12,0)),主线推图!$B$313:$B$612,主线推图!$P$313:$P$612)*OFFSET($C$1,MATCH(T$12,$C$2:$C$7,0),MATCH($T$11,$D$12:$G$12,0))</f>
        <v>#N/A</v>
      </c>
      <c r="U66" s="163" t="e">
        <f ca="1">_xlfn.XLOOKUP(OFFSET($C$12,$I66,MATCH($T$11,$D$12:$G$12,0)),巡逻产出!$B$311:$B$610,巡逻产出!$R$311:$R$610)*OFFSET($C$1,MATCH(U$12,$C$2:$C$7,0),MATCH($T$11,$D$12:$G$12,0))</f>
        <v>#N/A</v>
      </c>
      <c r="V66" s="163">
        <f ca="1">_xlfn.XLOOKUP(MAX(INT((OFFSET($C$12,$I66,MATCH($T$11,$D$12:$G$12,0))-6)/10),1),组队产出!$B$25:$B$39,组队产出!$P$25:$P$39)*OFFSET($C$1,MATCH(V$12,$C$2:$C$7,0),MATCH($T$11,$D$12:$G$12,0))</f>
        <v>2236.8</v>
      </c>
      <c r="W66" s="163">
        <f ca="1">竞技场!$G$3*OFFSET($C$1,MATCH(W$12,$C$2:$C$7,0),MATCH($T$11,$D$12:$G$12,0))</f>
        <v>2100</v>
      </c>
      <c r="X6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66" s="23">
        <f>任务!$G$6+任务!$G$9+IF(MOD(S66,7)=0,任务!$N$9+任务!$O$6,0)</f>
        <v>895</v>
      </c>
      <c r="Z66" s="25">
        <f>公会!$U$11</f>
        <v>2766.62857142857</v>
      </c>
      <c r="AA66" s="163" t="e">
        <f ca="1">_xlfn.XLOOKUP(OFFSET($C$12,$I66,MATCH($T$11,$D$12:$G$12,0)),巡逻产出!$B$311:$B$610,巡逻产出!$Q$311:$Q$610)*OFFSET($C$1,MATCH(AA$12,$C$2:$C$7,0),MATCH($T$11,$D$12:$G$12,0))</f>
        <v>#N/A</v>
      </c>
      <c r="AC66" s="160">
        <v>54</v>
      </c>
      <c r="AD66" s="163">
        <f ca="1">_xlfn.XLOOKUP(OFFSET($C$12,$I66,MATCH($AD$11,$D$12:$G$12,0)),主线推图!$B$313:$B$612,主线推图!$P$313:$P$612)*OFFSET($C$1,MATCH(AD$12,$C$2:$C$7,0),MATCH($AD$11,$D$12:$G$12,0))</f>
        <v>3225.2</v>
      </c>
      <c r="AE66" s="163">
        <f ca="1">_xlfn.XLOOKUP(OFFSET($C$12,$I66,MATCH($AD$11,$D$12:$G$12,0)),巡逻产出!$B$311:$B$610,巡逻产出!$R$311:$R$610)*OFFSET($C$1,MATCH(AE$12,$C$2:$C$7,0),MATCH($AD$11,$D$12:$G$12,0))</f>
        <v>0</v>
      </c>
      <c r="AF66" s="163">
        <f ca="1">_xlfn.XLOOKUP(MAX(INT((OFFSET($C$12,$I66,MATCH($AD$11,$D$12:$G$12,0))-6)/10),1),组队产出!$B$25:$B$39,组队产出!$P$25:$P$39)*OFFSET($C$1,MATCH(AF$12,$C$2:$C$7,0),MATCH($AD$11,$D$12:$G$12,0))</f>
        <v>2284.8</v>
      </c>
      <c r="AG66" s="163">
        <f ca="1">竞技场!$G$3*OFFSET($C$1,MATCH(AG$12,$C$2:$C$7,0),MATCH($AD$11,$D$12:$G$12,0))</f>
        <v>3150</v>
      </c>
      <c r="AH6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66" s="23">
        <f>任务!$G$6+任务!$G$9+IF(MOD(AC66,7)=0,任务!$N$9+任务!$O$6,0)</f>
        <v>895</v>
      </c>
      <c r="AJ66" s="25">
        <f>公会!$U$11</f>
        <v>2766.62857142857</v>
      </c>
      <c r="AK66" s="163">
        <f ca="1">_xlfn.XLOOKUP(OFFSET($C$12,$I66,MATCH($AD$11,$D$12:$G$12,0)),巡逻产出!$B$311:$B$610,巡逻产出!$Q$311:$Q$610)*OFFSET($C$1,MATCH(AK$12,$C$2:$C$7,0),MATCH($AD$11,$D$12:$G$12,0))</f>
        <v>2228.928</v>
      </c>
      <c r="AM66" s="164">
        <v>54</v>
      </c>
      <c r="AN66" s="165">
        <v>6829</v>
      </c>
      <c r="AO66" s="165">
        <v>8468</v>
      </c>
      <c r="AP66" s="165">
        <v>13166</v>
      </c>
      <c r="AQ66" s="165">
        <v>17142</v>
      </c>
    </row>
    <row r="67" spans="3:43">
      <c r="C67" s="160">
        <v>55</v>
      </c>
      <c r="D67" s="169">
        <v>106</v>
      </c>
      <c r="E67" s="170">
        <f t="shared" si="9"/>
        <v>88.5</v>
      </c>
      <c r="F67" s="169">
        <f t="shared" si="10"/>
        <v>96.1</v>
      </c>
      <c r="G67" s="168">
        <v>128</v>
      </c>
      <c r="I67" s="160">
        <v>55</v>
      </c>
      <c r="J67" s="163" t="e">
        <f ca="1">_xlfn.XLOOKUP(OFFSET($C$12,$I67,MATCH($J$11,$D$12:$G$12,0)),主线推图!$B$313:$B$612,主线推图!$P$313:$P$612)*OFFSET($C$1,MATCH(J$12,$C$2:$C$7,0),MATCH($J$11,$D$12:$G$12,0))</f>
        <v>#N/A</v>
      </c>
      <c r="K67" s="163" t="e">
        <f ca="1">_xlfn.XLOOKUP(OFFSET($C$12,$I67,MATCH($J$11,$D$12:$G$12,0)),巡逻产出!$B$311:$B$610,巡逻产出!$R$311:$R$610)*OFFSET($C$1,MATCH(K$12,$C$2:$C$7,0),MATCH($J$11,$D$12:$G$12,0))</f>
        <v>#N/A</v>
      </c>
      <c r="L67" s="163">
        <f ca="1">_xlfn.XLOOKUP(MAX(INT((OFFSET($C$12,$I67,MATCH($J$11,$D$12:$G$12,0))-6)/10),1),组队产出!$B$25:$B$39,组队产出!$P$25:$P$39)*OFFSET($C$1,MATCH(L$12,$C$2:$C$7,0),MATCH($J$11,$D$12:$G$12,0))</f>
        <v>1112.4</v>
      </c>
      <c r="M67" s="163">
        <f ca="1">竞技场!$G$3*OFFSET($C$1,MATCH(M$12,$C$2:$C$7,0),MATCH($J$11,$D$12:$G$12,0))</f>
        <v>1050</v>
      </c>
      <c r="N6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67" s="23">
        <f>任务!$G$6+任务!$G$9+IF(MOD(I67,7)=0,任务!$N$9+任务!$O$6,0)</f>
        <v>895</v>
      </c>
      <c r="P67" s="25">
        <f>公会!$U$11</f>
        <v>2766.62857142857</v>
      </c>
      <c r="Q67" s="163" t="e">
        <f ca="1">_xlfn.XLOOKUP(OFFSET($C$12,$I67,MATCH($J$11,$D$12:$G$12,0)),巡逻产出!$B$311:$B$610,巡逻产出!$Q$311:$Q$610)*OFFSET($C$1,MATCH(Q$12,$C$2:$C$7,0),MATCH($J$11,$D$12:$G$12,0))</f>
        <v>#N/A</v>
      </c>
      <c r="S67" s="160">
        <v>55</v>
      </c>
      <c r="T67" s="163" t="e">
        <f ca="1">_xlfn.XLOOKUP(OFFSET($C$12,$I67,MATCH($T$11,$D$12:$G$12,0)),主线推图!$B$313:$B$612,主线推图!$P$313:$P$612)*OFFSET($C$1,MATCH(T$12,$C$2:$C$7,0),MATCH($T$11,$D$12:$G$12,0))</f>
        <v>#N/A</v>
      </c>
      <c r="U67" s="163" t="e">
        <f ca="1">_xlfn.XLOOKUP(OFFSET($C$12,$I67,MATCH($T$11,$D$12:$G$12,0)),巡逻产出!$B$311:$B$610,巡逻产出!$R$311:$R$610)*OFFSET($C$1,MATCH(U$12,$C$2:$C$7,0),MATCH($T$11,$D$12:$G$12,0))</f>
        <v>#N/A</v>
      </c>
      <c r="V67" s="163">
        <f ca="1">_xlfn.XLOOKUP(MAX(INT((OFFSET($C$12,$I67,MATCH($T$11,$D$12:$G$12,0))-6)/10),1),组队产出!$B$25:$B$39,组队产出!$P$25:$P$39)*OFFSET($C$1,MATCH(V$12,$C$2:$C$7,0),MATCH($T$11,$D$12:$G$12,0))</f>
        <v>2248.8</v>
      </c>
      <c r="W67" s="163">
        <f ca="1">竞技场!$G$3*OFFSET($C$1,MATCH(W$12,$C$2:$C$7,0),MATCH($T$11,$D$12:$G$12,0))</f>
        <v>2100</v>
      </c>
      <c r="X6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67" s="23">
        <f>任务!$G$6+任务!$G$9+IF(MOD(S67,7)=0,任务!$N$9+任务!$O$6,0)</f>
        <v>895</v>
      </c>
      <c r="Z67" s="25">
        <f>公会!$U$11</f>
        <v>2766.62857142857</v>
      </c>
      <c r="AA67" s="163" t="e">
        <f ca="1">_xlfn.XLOOKUP(OFFSET($C$12,$I67,MATCH($T$11,$D$12:$G$12,0)),巡逻产出!$B$311:$B$610,巡逻产出!$Q$311:$Q$610)*OFFSET($C$1,MATCH(AA$12,$C$2:$C$7,0),MATCH($T$11,$D$12:$G$12,0))</f>
        <v>#N/A</v>
      </c>
      <c r="AC67" s="160">
        <v>55</v>
      </c>
      <c r="AD67" s="163">
        <f ca="1">_xlfn.XLOOKUP(OFFSET($C$12,$I67,MATCH($AD$11,$D$12:$G$12,0)),主线推图!$B$313:$B$612,主线推图!$P$313:$P$612)*OFFSET($C$1,MATCH(AD$12,$C$2:$C$7,0),MATCH($AD$11,$D$12:$G$12,0))</f>
        <v>3227.4</v>
      </c>
      <c r="AE67" s="163">
        <f ca="1">_xlfn.XLOOKUP(OFFSET($C$12,$I67,MATCH($AD$11,$D$12:$G$12,0)),巡逻产出!$B$311:$B$610,巡逻产出!$R$311:$R$610)*OFFSET($C$1,MATCH(AE$12,$C$2:$C$7,0),MATCH($AD$11,$D$12:$G$12,0))</f>
        <v>0</v>
      </c>
      <c r="AF67" s="163">
        <f ca="1">_xlfn.XLOOKUP(MAX(INT((OFFSET($C$12,$I67,MATCH($AD$11,$D$12:$G$12,0))-6)/10),1),组队产出!$B$25:$B$39,组队产出!$P$25:$P$39)*OFFSET($C$1,MATCH(AF$12,$C$2:$C$7,0),MATCH($AD$11,$D$12:$G$12,0))</f>
        <v>2284.8</v>
      </c>
      <c r="AG67" s="163">
        <f ca="1">竞技场!$G$3*OFFSET($C$1,MATCH(AG$12,$C$2:$C$7,0),MATCH($AD$11,$D$12:$G$12,0))</f>
        <v>3150</v>
      </c>
      <c r="AH6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67" s="23">
        <f>任务!$G$6+任务!$G$9+IF(MOD(AC67,7)=0,任务!$N$9+任务!$O$6,0)</f>
        <v>895</v>
      </c>
      <c r="AJ67" s="25">
        <f>公会!$U$11</f>
        <v>2766.62857142857</v>
      </c>
      <c r="AK67" s="163">
        <f ca="1">_xlfn.XLOOKUP(OFFSET($C$12,$I67,MATCH($AD$11,$D$12:$G$12,0)),巡逻产出!$B$311:$B$610,巡逻产出!$Q$311:$Q$610)*OFFSET($C$1,MATCH(AK$12,$C$2:$C$7,0),MATCH($AD$11,$D$12:$G$12,0))</f>
        <v>2230.488</v>
      </c>
      <c r="AM67" s="164">
        <v>55</v>
      </c>
      <c r="AN67" s="165">
        <v>6942</v>
      </c>
      <c r="AO67" s="165">
        <v>8611</v>
      </c>
      <c r="AP67" s="165">
        <v>13395</v>
      </c>
      <c r="AQ67" s="165">
        <v>17444</v>
      </c>
    </row>
    <row r="68" spans="3:43">
      <c r="C68" s="160">
        <v>56</v>
      </c>
      <c r="D68" s="169">
        <v>107</v>
      </c>
      <c r="E68" s="170">
        <f t="shared" si="9"/>
        <v>88.75</v>
      </c>
      <c r="F68" s="169">
        <f t="shared" si="10"/>
        <v>96.45</v>
      </c>
      <c r="G68" s="168">
        <v>129</v>
      </c>
      <c r="I68" s="160">
        <v>56</v>
      </c>
      <c r="J68" s="163" t="e">
        <f ca="1">_xlfn.XLOOKUP(OFFSET($C$12,$I68,MATCH($J$11,$D$12:$G$12,0)),主线推图!$B$313:$B$612,主线推图!$P$313:$P$612)*OFFSET($C$1,MATCH(J$12,$C$2:$C$7,0),MATCH($J$11,$D$12:$G$12,0))</f>
        <v>#N/A</v>
      </c>
      <c r="K68" s="163" t="e">
        <f ca="1">_xlfn.XLOOKUP(OFFSET($C$12,$I68,MATCH($J$11,$D$12:$G$12,0)),巡逻产出!$B$311:$B$610,巡逻产出!$R$311:$R$610)*OFFSET($C$1,MATCH(K$12,$C$2:$C$7,0),MATCH($J$11,$D$12:$G$12,0))</f>
        <v>#N/A</v>
      </c>
      <c r="L68" s="163">
        <f ca="1">_xlfn.XLOOKUP(MAX(INT((OFFSET($C$12,$I68,MATCH($J$11,$D$12:$G$12,0))-6)/10),1),组队产出!$B$25:$B$39,组队产出!$P$25:$P$39)*OFFSET($C$1,MATCH(L$12,$C$2:$C$7,0),MATCH($J$11,$D$12:$G$12,0))</f>
        <v>1112.4</v>
      </c>
      <c r="M68" s="163">
        <f ca="1">竞技场!$G$3*OFFSET($C$1,MATCH(M$12,$C$2:$C$7,0),MATCH($J$11,$D$12:$G$12,0))</f>
        <v>1050</v>
      </c>
      <c r="N6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68" s="23">
        <f>任务!$G$6+任务!$G$9+IF(MOD(I68,7)=0,任务!$N$9+任务!$O$6,0)</f>
        <v>3125</v>
      </c>
      <c r="P68" s="25">
        <f>公会!$U$11</f>
        <v>2766.62857142857</v>
      </c>
      <c r="Q68" s="163" t="e">
        <f ca="1">_xlfn.XLOOKUP(OFFSET($C$12,$I68,MATCH($J$11,$D$12:$G$12,0)),巡逻产出!$B$311:$B$610,巡逻产出!$Q$311:$Q$610)*OFFSET($C$1,MATCH(Q$12,$C$2:$C$7,0),MATCH($J$11,$D$12:$G$12,0))</f>
        <v>#N/A</v>
      </c>
      <c r="S68" s="160">
        <v>56</v>
      </c>
      <c r="T68" s="163" t="e">
        <f ca="1">_xlfn.XLOOKUP(OFFSET($C$12,$I68,MATCH($T$11,$D$12:$G$12,0)),主线推图!$B$313:$B$612,主线推图!$P$313:$P$612)*OFFSET($C$1,MATCH(T$12,$C$2:$C$7,0),MATCH($T$11,$D$12:$G$12,0))</f>
        <v>#N/A</v>
      </c>
      <c r="U68" s="163" t="e">
        <f ca="1">_xlfn.XLOOKUP(OFFSET($C$12,$I68,MATCH($T$11,$D$12:$G$12,0)),巡逻产出!$B$311:$B$610,巡逻产出!$R$311:$R$610)*OFFSET($C$1,MATCH(U$12,$C$2:$C$7,0),MATCH($T$11,$D$12:$G$12,0))</f>
        <v>#N/A</v>
      </c>
      <c r="V68" s="163">
        <f ca="1">_xlfn.XLOOKUP(MAX(INT((OFFSET($C$12,$I68,MATCH($T$11,$D$12:$G$12,0))-6)/10),1),组队产出!$B$25:$B$39,组队产出!$P$25:$P$39)*OFFSET($C$1,MATCH(V$12,$C$2:$C$7,0),MATCH($T$11,$D$12:$G$12,0))</f>
        <v>2248.8</v>
      </c>
      <c r="W68" s="163">
        <f ca="1">竞技场!$G$3*OFFSET($C$1,MATCH(W$12,$C$2:$C$7,0),MATCH($T$11,$D$12:$G$12,0))</f>
        <v>2100</v>
      </c>
      <c r="X6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68" s="23">
        <f>任务!$G$6+任务!$G$9+IF(MOD(S68,7)=0,任务!$N$9+任务!$O$6,0)</f>
        <v>3125</v>
      </c>
      <c r="Z68" s="25">
        <f>公会!$U$11</f>
        <v>2766.62857142857</v>
      </c>
      <c r="AA68" s="163" t="e">
        <f ca="1">_xlfn.XLOOKUP(OFFSET($C$12,$I68,MATCH($T$11,$D$12:$G$12,0)),巡逻产出!$B$311:$B$610,巡逻产出!$Q$311:$Q$610)*OFFSET($C$1,MATCH(AA$12,$C$2:$C$7,0),MATCH($T$11,$D$12:$G$12,0))</f>
        <v>#N/A</v>
      </c>
      <c r="AC68" s="160">
        <v>56</v>
      </c>
      <c r="AD68" s="163">
        <f ca="1">_xlfn.XLOOKUP(OFFSET($C$12,$I68,MATCH($AD$11,$D$12:$G$12,0)),主线推图!$B$313:$B$612,主线推图!$P$313:$P$612)*OFFSET($C$1,MATCH(AD$12,$C$2:$C$7,0),MATCH($AD$11,$D$12:$G$12,0))</f>
        <v>3229.6</v>
      </c>
      <c r="AE68" s="163">
        <f ca="1">_xlfn.XLOOKUP(OFFSET($C$12,$I68,MATCH($AD$11,$D$12:$G$12,0)),巡逻产出!$B$311:$B$610,巡逻产出!$R$311:$R$610)*OFFSET($C$1,MATCH(AE$12,$C$2:$C$7,0),MATCH($AD$11,$D$12:$G$12,0))</f>
        <v>0</v>
      </c>
      <c r="AF68" s="163">
        <f ca="1">_xlfn.XLOOKUP(MAX(INT((OFFSET($C$12,$I68,MATCH($AD$11,$D$12:$G$12,0))-6)/10),1),组队产出!$B$25:$B$39,组队产出!$P$25:$P$39)*OFFSET($C$1,MATCH(AF$12,$C$2:$C$7,0),MATCH($AD$11,$D$12:$G$12,0))</f>
        <v>2284.8</v>
      </c>
      <c r="AG68" s="163">
        <f ca="1">竞技场!$G$3*OFFSET($C$1,MATCH(AG$12,$C$2:$C$7,0),MATCH($AD$11,$D$12:$G$12,0))</f>
        <v>3150</v>
      </c>
      <c r="AH6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68" s="23">
        <f>任务!$G$6+任务!$G$9+IF(MOD(AC68,7)=0,任务!$N$9+任务!$O$6,0)</f>
        <v>3125</v>
      </c>
      <c r="AJ68" s="25">
        <f>公会!$U$11</f>
        <v>2766.62857142857</v>
      </c>
      <c r="AK68" s="163">
        <f ca="1">_xlfn.XLOOKUP(OFFSET($C$12,$I68,MATCH($AD$11,$D$12:$G$12,0)),巡逻产出!$B$311:$B$610,巡逻产出!$Q$311:$Q$610)*OFFSET($C$1,MATCH(AK$12,$C$2:$C$7,0),MATCH($AD$11,$D$12:$G$12,0))</f>
        <v>2232.048</v>
      </c>
      <c r="AM68" s="164">
        <v>56</v>
      </c>
      <c r="AN68" s="165">
        <v>7056</v>
      </c>
      <c r="AO68" s="165">
        <v>8754</v>
      </c>
      <c r="AP68" s="165">
        <v>13623</v>
      </c>
      <c r="AQ68" s="165">
        <v>17746</v>
      </c>
    </row>
    <row r="69" spans="3:43">
      <c r="C69" s="160">
        <v>57</v>
      </c>
      <c r="D69" s="169">
        <v>107</v>
      </c>
      <c r="E69" s="170">
        <f t="shared" si="9"/>
        <v>89</v>
      </c>
      <c r="F69" s="169">
        <f t="shared" si="10"/>
        <v>96.8</v>
      </c>
      <c r="G69" s="168">
        <v>130</v>
      </c>
      <c r="I69" s="160">
        <v>57</v>
      </c>
      <c r="J69" s="163" t="e">
        <f ca="1">_xlfn.XLOOKUP(OFFSET($C$12,$I69,MATCH($J$11,$D$12:$G$12,0)),主线推图!$B$313:$B$612,主线推图!$P$313:$P$612)*OFFSET($C$1,MATCH(J$12,$C$2:$C$7,0),MATCH($J$11,$D$12:$G$12,0))</f>
        <v>#N/A</v>
      </c>
      <c r="K69" s="163" t="e">
        <f ca="1">_xlfn.XLOOKUP(OFFSET($C$12,$I69,MATCH($J$11,$D$12:$G$12,0)),巡逻产出!$B$311:$B$610,巡逻产出!$R$311:$R$610)*OFFSET($C$1,MATCH(K$12,$C$2:$C$7,0),MATCH($J$11,$D$12:$G$12,0))</f>
        <v>#N/A</v>
      </c>
      <c r="L69" s="163">
        <f ca="1">_xlfn.XLOOKUP(MAX(INT((OFFSET($C$12,$I69,MATCH($J$11,$D$12:$G$12,0))-6)/10),1),组队产出!$B$25:$B$39,组队产出!$P$25:$P$39)*OFFSET($C$1,MATCH(L$12,$C$2:$C$7,0),MATCH($J$11,$D$12:$G$12,0))</f>
        <v>1112.4</v>
      </c>
      <c r="M69" s="163">
        <f ca="1">竞技场!$G$3*OFFSET($C$1,MATCH(M$12,$C$2:$C$7,0),MATCH($J$11,$D$12:$G$12,0))</f>
        <v>1050</v>
      </c>
      <c r="N6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69" s="23">
        <f>任务!$G$6+任务!$G$9+IF(MOD(I69,7)=0,任务!$N$9+任务!$O$6,0)</f>
        <v>895</v>
      </c>
      <c r="P69" s="25">
        <f>公会!$U$11</f>
        <v>2766.62857142857</v>
      </c>
      <c r="Q69" s="163" t="e">
        <f ca="1">_xlfn.XLOOKUP(OFFSET($C$12,$I69,MATCH($J$11,$D$12:$G$12,0)),巡逻产出!$B$311:$B$610,巡逻产出!$Q$311:$Q$610)*OFFSET($C$1,MATCH(Q$12,$C$2:$C$7,0),MATCH($J$11,$D$12:$G$12,0))</f>
        <v>#N/A</v>
      </c>
      <c r="S69" s="160">
        <v>57</v>
      </c>
      <c r="T69" s="163" t="e">
        <f ca="1">_xlfn.XLOOKUP(OFFSET($C$12,$I69,MATCH($T$11,$D$12:$G$12,0)),主线推图!$B$313:$B$612,主线推图!$P$313:$P$612)*OFFSET($C$1,MATCH(T$12,$C$2:$C$7,0),MATCH($T$11,$D$12:$G$12,0))</f>
        <v>#N/A</v>
      </c>
      <c r="U69" s="163" t="e">
        <f ca="1">_xlfn.XLOOKUP(OFFSET($C$12,$I69,MATCH($T$11,$D$12:$G$12,0)),巡逻产出!$B$311:$B$610,巡逻产出!$R$311:$R$610)*OFFSET($C$1,MATCH(U$12,$C$2:$C$7,0),MATCH($T$11,$D$12:$G$12,0))</f>
        <v>#N/A</v>
      </c>
      <c r="V69" s="163">
        <f ca="1">_xlfn.XLOOKUP(MAX(INT((OFFSET($C$12,$I69,MATCH($T$11,$D$12:$G$12,0))-6)/10),1),组队产出!$B$25:$B$39,组队产出!$P$25:$P$39)*OFFSET($C$1,MATCH(V$12,$C$2:$C$7,0),MATCH($T$11,$D$12:$G$12,0))</f>
        <v>2248.8</v>
      </c>
      <c r="W69" s="163">
        <f ca="1">竞技场!$G$3*OFFSET($C$1,MATCH(W$12,$C$2:$C$7,0),MATCH($T$11,$D$12:$G$12,0))</f>
        <v>2100</v>
      </c>
      <c r="X6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69" s="23">
        <f>任务!$G$6+任务!$G$9+IF(MOD(S69,7)=0,任务!$N$9+任务!$O$6,0)</f>
        <v>895</v>
      </c>
      <c r="Z69" s="25">
        <f>公会!$U$11</f>
        <v>2766.62857142857</v>
      </c>
      <c r="AA69" s="163" t="e">
        <f ca="1">_xlfn.XLOOKUP(OFFSET($C$12,$I69,MATCH($T$11,$D$12:$G$12,0)),巡逻产出!$B$311:$B$610,巡逻产出!$Q$311:$Q$610)*OFFSET($C$1,MATCH(AA$12,$C$2:$C$7,0),MATCH($T$11,$D$12:$G$12,0))</f>
        <v>#N/A</v>
      </c>
      <c r="AC69" s="160">
        <v>57</v>
      </c>
      <c r="AD69" s="163">
        <f ca="1">_xlfn.XLOOKUP(OFFSET($C$12,$I69,MATCH($AD$11,$D$12:$G$12,0)),主线推图!$B$313:$B$612,主线推图!$P$313:$P$612)*OFFSET($C$1,MATCH(AD$12,$C$2:$C$7,0),MATCH($AD$11,$D$12:$G$12,0))</f>
        <v>3231.8</v>
      </c>
      <c r="AE69" s="163">
        <f ca="1">_xlfn.XLOOKUP(OFFSET($C$12,$I69,MATCH($AD$11,$D$12:$G$12,0)),巡逻产出!$B$311:$B$610,巡逻产出!$R$311:$R$610)*OFFSET($C$1,MATCH(AE$12,$C$2:$C$7,0),MATCH($AD$11,$D$12:$G$12,0))</f>
        <v>0</v>
      </c>
      <c r="AF69" s="163">
        <f ca="1">_xlfn.XLOOKUP(MAX(INT((OFFSET($C$12,$I69,MATCH($AD$11,$D$12:$G$12,0))-6)/10),1),组队产出!$B$25:$B$39,组队产出!$P$25:$P$39)*OFFSET($C$1,MATCH(AF$12,$C$2:$C$7,0),MATCH($AD$11,$D$12:$G$12,0))</f>
        <v>2284.8</v>
      </c>
      <c r="AG69" s="163">
        <f ca="1">竞技场!$G$3*OFFSET($C$1,MATCH(AG$12,$C$2:$C$7,0),MATCH($AD$11,$D$12:$G$12,0))</f>
        <v>3150</v>
      </c>
      <c r="AH6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69" s="23">
        <f>任务!$G$6+任务!$G$9+IF(MOD(AC69,7)=0,任务!$N$9+任务!$O$6,0)</f>
        <v>895</v>
      </c>
      <c r="AJ69" s="25">
        <f>公会!$U$11</f>
        <v>2766.62857142857</v>
      </c>
      <c r="AK69" s="163">
        <f ca="1">_xlfn.XLOOKUP(OFFSET($C$12,$I69,MATCH($AD$11,$D$12:$G$12,0)),巡逻产出!$B$311:$B$610,巡逻产出!$Q$311:$Q$610)*OFFSET($C$1,MATCH(AK$12,$C$2:$C$7,0),MATCH($AD$11,$D$12:$G$12,0))</f>
        <v>2233.608</v>
      </c>
      <c r="AM69" s="164">
        <v>57</v>
      </c>
      <c r="AN69" s="165">
        <v>7170</v>
      </c>
      <c r="AO69" s="165">
        <v>8897</v>
      </c>
      <c r="AP69" s="165">
        <v>13852</v>
      </c>
      <c r="AQ69" s="165">
        <v>18048</v>
      </c>
    </row>
    <row r="70" spans="3:43">
      <c r="C70" s="160">
        <v>58</v>
      </c>
      <c r="D70" s="169">
        <v>107</v>
      </c>
      <c r="E70" s="170">
        <f t="shared" si="9"/>
        <v>89.25</v>
      </c>
      <c r="F70" s="169">
        <f t="shared" si="10"/>
        <v>97.1499999999999</v>
      </c>
      <c r="G70" s="168">
        <v>131</v>
      </c>
      <c r="I70" s="160">
        <v>58</v>
      </c>
      <c r="J70" s="163" t="e">
        <f ca="1">_xlfn.XLOOKUP(OFFSET($C$12,$I70,MATCH($J$11,$D$12:$G$12,0)),主线推图!$B$313:$B$612,主线推图!$P$313:$P$612)*OFFSET($C$1,MATCH(J$12,$C$2:$C$7,0),MATCH($J$11,$D$12:$G$12,0))</f>
        <v>#N/A</v>
      </c>
      <c r="K70" s="163" t="e">
        <f ca="1">_xlfn.XLOOKUP(OFFSET($C$12,$I70,MATCH($J$11,$D$12:$G$12,0)),巡逻产出!$B$311:$B$610,巡逻产出!$R$311:$R$610)*OFFSET($C$1,MATCH(K$12,$C$2:$C$7,0),MATCH($J$11,$D$12:$G$12,0))</f>
        <v>#N/A</v>
      </c>
      <c r="L70" s="163">
        <f ca="1">_xlfn.XLOOKUP(MAX(INT((OFFSET($C$12,$I70,MATCH($J$11,$D$12:$G$12,0))-6)/10),1),组队产出!$B$25:$B$39,组队产出!$P$25:$P$39)*OFFSET($C$1,MATCH(L$12,$C$2:$C$7,0),MATCH($J$11,$D$12:$G$12,0))</f>
        <v>1112.4</v>
      </c>
      <c r="M70" s="163">
        <f ca="1">竞技场!$G$3*OFFSET($C$1,MATCH(M$12,$C$2:$C$7,0),MATCH($J$11,$D$12:$G$12,0))</f>
        <v>1050</v>
      </c>
      <c r="N7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70" s="23">
        <f>任务!$G$6+任务!$G$9+IF(MOD(I70,7)=0,任务!$N$9+任务!$O$6,0)</f>
        <v>895</v>
      </c>
      <c r="P70" s="25">
        <f>公会!$U$11</f>
        <v>2766.62857142857</v>
      </c>
      <c r="Q70" s="163" t="e">
        <f ca="1">_xlfn.XLOOKUP(OFFSET($C$12,$I70,MATCH($J$11,$D$12:$G$12,0)),巡逻产出!$B$311:$B$610,巡逻产出!$Q$311:$Q$610)*OFFSET($C$1,MATCH(Q$12,$C$2:$C$7,0),MATCH($J$11,$D$12:$G$12,0))</f>
        <v>#N/A</v>
      </c>
      <c r="S70" s="160">
        <v>58</v>
      </c>
      <c r="T70" s="163" t="e">
        <f ca="1">_xlfn.XLOOKUP(OFFSET($C$12,$I70,MATCH($T$11,$D$12:$G$12,0)),主线推图!$B$313:$B$612,主线推图!$P$313:$P$612)*OFFSET($C$1,MATCH(T$12,$C$2:$C$7,0),MATCH($T$11,$D$12:$G$12,0))</f>
        <v>#N/A</v>
      </c>
      <c r="U70" s="163" t="e">
        <f ca="1">_xlfn.XLOOKUP(OFFSET($C$12,$I70,MATCH($T$11,$D$12:$G$12,0)),巡逻产出!$B$311:$B$610,巡逻产出!$R$311:$R$610)*OFFSET($C$1,MATCH(U$12,$C$2:$C$7,0),MATCH($T$11,$D$12:$G$12,0))</f>
        <v>#N/A</v>
      </c>
      <c r="V70" s="163">
        <f ca="1">_xlfn.XLOOKUP(MAX(INT((OFFSET($C$12,$I70,MATCH($T$11,$D$12:$G$12,0))-6)/10),1),组队产出!$B$25:$B$39,组队产出!$P$25:$P$39)*OFFSET($C$1,MATCH(V$12,$C$2:$C$7,0),MATCH($T$11,$D$12:$G$12,0))</f>
        <v>2248.8</v>
      </c>
      <c r="W70" s="163">
        <f ca="1">竞技场!$G$3*OFFSET($C$1,MATCH(W$12,$C$2:$C$7,0),MATCH($T$11,$D$12:$G$12,0))</f>
        <v>2100</v>
      </c>
      <c r="X7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70" s="23">
        <f>任务!$G$6+任务!$G$9+IF(MOD(S70,7)=0,任务!$N$9+任务!$O$6,0)</f>
        <v>895</v>
      </c>
      <c r="Z70" s="25">
        <f>公会!$U$11</f>
        <v>2766.62857142857</v>
      </c>
      <c r="AA70" s="163" t="e">
        <f ca="1">_xlfn.XLOOKUP(OFFSET($C$12,$I70,MATCH($T$11,$D$12:$G$12,0)),巡逻产出!$B$311:$B$610,巡逻产出!$Q$311:$Q$610)*OFFSET($C$1,MATCH(AA$12,$C$2:$C$7,0),MATCH($T$11,$D$12:$G$12,0))</f>
        <v>#N/A</v>
      </c>
      <c r="AC70" s="160">
        <v>58</v>
      </c>
      <c r="AD70" s="163">
        <f ca="1">_xlfn.XLOOKUP(OFFSET($C$12,$I70,MATCH($AD$11,$D$12:$G$12,0)),主线推图!$B$313:$B$612,主线推图!$P$313:$P$612)*OFFSET($C$1,MATCH(AD$12,$C$2:$C$7,0),MATCH($AD$11,$D$12:$G$12,0))</f>
        <v>3234</v>
      </c>
      <c r="AE70" s="163">
        <f ca="1">_xlfn.XLOOKUP(OFFSET($C$12,$I70,MATCH($AD$11,$D$12:$G$12,0)),巡逻产出!$B$311:$B$610,巡逻产出!$R$311:$R$610)*OFFSET($C$1,MATCH(AE$12,$C$2:$C$7,0),MATCH($AD$11,$D$12:$G$12,0))</f>
        <v>0</v>
      </c>
      <c r="AF70" s="163">
        <f ca="1">_xlfn.XLOOKUP(MAX(INT((OFFSET($C$12,$I70,MATCH($AD$11,$D$12:$G$12,0))-6)/10),1),组队产出!$B$25:$B$39,组队产出!$P$25:$P$39)*OFFSET($C$1,MATCH(AF$12,$C$2:$C$7,0),MATCH($AD$11,$D$12:$G$12,0))</f>
        <v>2284.8</v>
      </c>
      <c r="AG70" s="163">
        <f ca="1">竞技场!$G$3*OFFSET($C$1,MATCH(AG$12,$C$2:$C$7,0),MATCH($AD$11,$D$12:$G$12,0))</f>
        <v>3150</v>
      </c>
      <c r="AH7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70" s="23">
        <f>任务!$G$6+任务!$G$9+IF(MOD(AC70,7)=0,任务!$N$9+任务!$O$6,0)</f>
        <v>895</v>
      </c>
      <c r="AJ70" s="25">
        <f>公会!$U$11</f>
        <v>2766.62857142857</v>
      </c>
      <c r="AK70" s="163">
        <f ca="1">_xlfn.XLOOKUP(OFFSET($C$12,$I70,MATCH($AD$11,$D$12:$G$12,0)),巡逻产出!$B$311:$B$610,巡逻产出!$Q$311:$Q$610)*OFFSET($C$1,MATCH(AK$12,$C$2:$C$7,0),MATCH($AD$11,$D$12:$G$12,0))</f>
        <v>2235.168</v>
      </c>
      <c r="AM70" s="164">
        <v>58</v>
      </c>
      <c r="AN70" s="165">
        <v>7284</v>
      </c>
      <c r="AO70" s="165">
        <v>9040</v>
      </c>
      <c r="AP70" s="165">
        <v>14080</v>
      </c>
      <c r="AQ70" s="165">
        <v>18350</v>
      </c>
    </row>
    <row r="71" spans="3:43">
      <c r="C71" s="160">
        <v>59</v>
      </c>
      <c r="D71" s="169">
        <v>108</v>
      </c>
      <c r="E71" s="170">
        <f t="shared" si="9"/>
        <v>89.5</v>
      </c>
      <c r="F71" s="169">
        <f t="shared" si="10"/>
        <v>97.4999999999999</v>
      </c>
      <c r="G71" s="168">
        <v>132</v>
      </c>
      <c r="I71" s="160">
        <v>59</v>
      </c>
      <c r="J71" s="163" t="e">
        <f ca="1">_xlfn.XLOOKUP(OFFSET($C$12,$I71,MATCH($J$11,$D$12:$G$12,0)),主线推图!$B$313:$B$612,主线推图!$P$313:$P$612)*OFFSET($C$1,MATCH(J$12,$C$2:$C$7,0),MATCH($J$11,$D$12:$G$12,0))</f>
        <v>#N/A</v>
      </c>
      <c r="K71" s="163" t="e">
        <f ca="1">_xlfn.XLOOKUP(OFFSET($C$12,$I71,MATCH($J$11,$D$12:$G$12,0)),巡逻产出!$B$311:$B$610,巡逻产出!$R$311:$R$610)*OFFSET($C$1,MATCH(K$12,$C$2:$C$7,0),MATCH($J$11,$D$12:$G$12,0))</f>
        <v>#N/A</v>
      </c>
      <c r="L71" s="163">
        <f ca="1">_xlfn.XLOOKUP(MAX(INT((OFFSET($C$12,$I71,MATCH($J$11,$D$12:$G$12,0))-6)/10),1),组队产出!$B$25:$B$39,组队产出!$P$25:$P$39)*OFFSET($C$1,MATCH(L$12,$C$2:$C$7,0),MATCH($J$11,$D$12:$G$12,0))</f>
        <v>1112.4</v>
      </c>
      <c r="M71" s="163">
        <f ca="1">竞技场!$G$3*OFFSET($C$1,MATCH(M$12,$C$2:$C$7,0),MATCH($J$11,$D$12:$G$12,0))</f>
        <v>1050</v>
      </c>
      <c r="N7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71" s="23">
        <f>任务!$G$6+任务!$G$9+IF(MOD(I71,7)=0,任务!$N$9+任务!$O$6,0)</f>
        <v>895</v>
      </c>
      <c r="P71" s="25">
        <f>公会!$U$11</f>
        <v>2766.62857142857</v>
      </c>
      <c r="Q71" s="163" t="e">
        <f ca="1">_xlfn.XLOOKUP(OFFSET($C$12,$I71,MATCH($J$11,$D$12:$G$12,0)),巡逻产出!$B$311:$B$610,巡逻产出!$Q$311:$Q$610)*OFFSET($C$1,MATCH(Q$12,$C$2:$C$7,0),MATCH($J$11,$D$12:$G$12,0))</f>
        <v>#N/A</v>
      </c>
      <c r="S71" s="160">
        <v>59</v>
      </c>
      <c r="T71" s="163" t="e">
        <f ca="1">_xlfn.XLOOKUP(OFFSET($C$12,$I71,MATCH($T$11,$D$12:$G$12,0)),主线推图!$B$313:$B$612,主线推图!$P$313:$P$612)*OFFSET($C$1,MATCH(T$12,$C$2:$C$7,0),MATCH($T$11,$D$12:$G$12,0))</f>
        <v>#N/A</v>
      </c>
      <c r="U71" s="163" t="e">
        <f ca="1">_xlfn.XLOOKUP(OFFSET($C$12,$I71,MATCH($T$11,$D$12:$G$12,0)),巡逻产出!$B$311:$B$610,巡逻产出!$R$311:$R$610)*OFFSET($C$1,MATCH(U$12,$C$2:$C$7,0),MATCH($T$11,$D$12:$G$12,0))</f>
        <v>#N/A</v>
      </c>
      <c r="V71" s="163">
        <f ca="1">_xlfn.XLOOKUP(MAX(INT((OFFSET($C$12,$I71,MATCH($T$11,$D$12:$G$12,0))-6)/10),1),组队产出!$B$25:$B$39,组队产出!$P$25:$P$39)*OFFSET($C$1,MATCH(V$12,$C$2:$C$7,0),MATCH($T$11,$D$12:$G$12,0))</f>
        <v>2248.8</v>
      </c>
      <c r="W71" s="163">
        <f ca="1">竞技场!$G$3*OFFSET($C$1,MATCH(W$12,$C$2:$C$7,0),MATCH($T$11,$D$12:$G$12,0))</f>
        <v>2100</v>
      </c>
      <c r="X7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71" s="23">
        <f>任务!$G$6+任务!$G$9+IF(MOD(S71,7)=0,任务!$N$9+任务!$O$6,0)</f>
        <v>895</v>
      </c>
      <c r="Z71" s="25">
        <f>公会!$U$11</f>
        <v>2766.62857142857</v>
      </c>
      <c r="AA71" s="163" t="e">
        <f ca="1">_xlfn.XLOOKUP(OFFSET($C$12,$I71,MATCH($T$11,$D$12:$G$12,0)),巡逻产出!$B$311:$B$610,巡逻产出!$Q$311:$Q$610)*OFFSET($C$1,MATCH(AA$12,$C$2:$C$7,0),MATCH($T$11,$D$12:$G$12,0))</f>
        <v>#N/A</v>
      </c>
      <c r="AC71" s="160">
        <v>59</v>
      </c>
      <c r="AD71" s="163">
        <f ca="1">_xlfn.XLOOKUP(OFFSET($C$12,$I71,MATCH($AD$11,$D$12:$G$12,0)),主线推图!$B$313:$B$612,主线推图!$P$313:$P$612)*OFFSET($C$1,MATCH(AD$12,$C$2:$C$7,0),MATCH($AD$11,$D$12:$G$12,0))</f>
        <v>3236.2</v>
      </c>
      <c r="AE71" s="163">
        <f ca="1">_xlfn.XLOOKUP(OFFSET($C$12,$I71,MATCH($AD$11,$D$12:$G$12,0)),巡逻产出!$B$311:$B$610,巡逻产出!$R$311:$R$610)*OFFSET($C$1,MATCH(AE$12,$C$2:$C$7,0),MATCH($AD$11,$D$12:$G$12,0))</f>
        <v>0</v>
      </c>
      <c r="AF71" s="163">
        <f ca="1">_xlfn.XLOOKUP(MAX(INT((OFFSET($C$12,$I71,MATCH($AD$11,$D$12:$G$12,0))-6)/10),1),组队产出!$B$25:$B$39,组队产出!$P$25:$P$39)*OFFSET($C$1,MATCH(AF$12,$C$2:$C$7,0),MATCH($AD$11,$D$12:$G$12,0))</f>
        <v>2284.8</v>
      </c>
      <c r="AG71" s="163">
        <f ca="1">竞技场!$G$3*OFFSET($C$1,MATCH(AG$12,$C$2:$C$7,0),MATCH($AD$11,$D$12:$G$12,0))</f>
        <v>3150</v>
      </c>
      <c r="AH7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71" s="23">
        <f>任务!$G$6+任务!$G$9+IF(MOD(AC71,7)=0,任务!$N$9+任务!$O$6,0)</f>
        <v>895</v>
      </c>
      <c r="AJ71" s="25">
        <f>公会!$U$11</f>
        <v>2766.62857142857</v>
      </c>
      <c r="AK71" s="163">
        <f ca="1">_xlfn.XLOOKUP(OFFSET($C$12,$I71,MATCH($AD$11,$D$12:$G$12,0)),巡逻产出!$B$311:$B$610,巡逻产出!$Q$311:$Q$610)*OFFSET($C$1,MATCH(AK$12,$C$2:$C$7,0),MATCH($AD$11,$D$12:$G$12,0))</f>
        <v>2236.728</v>
      </c>
      <c r="AM71" s="164">
        <v>59</v>
      </c>
      <c r="AN71" s="165">
        <v>7398</v>
      </c>
      <c r="AO71" s="165">
        <v>9183</v>
      </c>
      <c r="AP71" s="165">
        <v>14309</v>
      </c>
      <c r="AQ71" s="165">
        <v>18652</v>
      </c>
    </row>
    <row r="72" spans="3:43">
      <c r="C72" s="160">
        <v>60</v>
      </c>
      <c r="D72" s="169">
        <v>110</v>
      </c>
      <c r="E72" s="170">
        <f t="shared" si="9"/>
        <v>89.75</v>
      </c>
      <c r="F72" s="169">
        <f t="shared" si="10"/>
        <v>97.8499999999999</v>
      </c>
      <c r="G72" s="168">
        <v>133</v>
      </c>
      <c r="I72" s="160">
        <v>60</v>
      </c>
      <c r="J72" s="163" t="e">
        <f ca="1">_xlfn.XLOOKUP(OFFSET($C$12,$I72,MATCH($J$11,$D$12:$G$12,0)),主线推图!$B$313:$B$612,主线推图!$P$313:$P$612)*OFFSET($C$1,MATCH(J$12,$C$2:$C$7,0),MATCH($J$11,$D$12:$G$12,0))</f>
        <v>#N/A</v>
      </c>
      <c r="K72" s="163" t="e">
        <f ca="1">_xlfn.XLOOKUP(OFFSET($C$12,$I72,MATCH($J$11,$D$12:$G$12,0)),巡逻产出!$B$311:$B$610,巡逻产出!$R$311:$R$610)*OFFSET($C$1,MATCH(K$12,$C$2:$C$7,0),MATCH($J$11,$D$12:$G$12,0))</f>
        <v>#N/A</v>
      </c>
      <c r="L72" s="163">
        <f ca="1">_xlfn.XLOOKUP(MAX(INT((OFFSET($C$12,$I72,MATCH($J$11,$D$12:$G$12,0))-6)/10),1),组队产出!$B$25:$B$39,组队产出!$P$25:$P$39)*OFFSET($C$1,MATCH(L$12,$C$2:$C$7,0),MATCH($J$11,$D$12:$G$12,0))</f>
        <v>1112.4</v>
      </c>
      <c r="M72" s="163">
        <f ca="1">竞技场!$G$3*OFFSET($C$1,MATCH(M$12,$C$2:$C$7,0),MATCH($J$11,$D$12:$G$12,0))</f>
        <v>1050</v>
      </c>
      <c r="N7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72" s="23">
        <f>任务!$G$6+任务!$G$9+IF(MOD(I72,7)=0,任务!$N$9+任务!$O$6,0)</f>
        <v>895</v>
      </c>
      <c r="P72" s="25">
        <f>公会!$U$11</f>
        <v>2766.62857142857</v>
      </c>
      <c r="Q72" s="163" t="e">
        <f ca="1">_xlfn.XLOOKUP(OFFSET($C$12,$I72,MATCH($J$11,$D$12:$G$12,0)),巡逻产出!$B$311:$B$610,巡逻产出!$Q$311:$Q$610)*OFFSET($C$1,MATCH(Q$12,$C$2:$C$7,0),MATCH($J$11,$D$12:$G$12,0))</f>
        <v>#N/A</v>
      </c>
      <c r="S72" s="160">
        <v>60</v>
      </c>
      <c r="T72" s="163" t="e">
        <f ca="1">_xlfn.XLOOKUP(OFFSET($C$12,$I72,MATCH($T$11,$D$12:$G$12,0)),主线推图!$B$313:$B$612,主线推图!$P$313:$P$612)*OFFSET($C$1,MATCH(T$12,$C$2:$C$7,0),MATCH($T$11,$D$12:$G$12,0))</f>
        <v>#N/A</v>
      </c>
      <c r="U72" s="163" t="e">
        <f ca="1">_xlfn.XLOOKUP(OFFSET($C$12,$I72,MATCH($T$11,$D$12:$G$12,0)),巡逻产出!$B$311:$B$610,巡逻产出!$R$311:$R$610)*OFFSET($C$1,MATCH(U$12,$C$2:$C$7,0),MATCH($T$11,$D$12:$G$12,0))</f>
        <v>#N/A</v>
      </c>
      <c r="V72" s="163">
        <f ca="1">_xlfn.XLOOKUP(MAX(INT((OFFSET($C$12,$I72,MATCH($T$11,$D$12:$G$12,0))-6)/10),1),组队产出!$B$25:$B$39,组队产出!$P$25:$P$39)*OFFSET($C$1,MATCH(V$12,$C$2:$C$7,0),MATCH($T$11,$D$12:$G$12,0))</f>
        <v>2248.8</v>
      </c>
      <c r="W72" s="163">
        <f ca="1">竞技场!$G$3*OFFSET($C$1,MATCH(W$12,$C$2:$C$7,0),MATCH($T$11,$D$12:$G$12,0))</f>
        <v>2100</v>
      </c>
      <c r="X7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72" s="23">
        <f>任务!$G$6+任务!$G$9+IF(MOD(S72,7)=0,任务!$N$9+任务!$O$6,0)</f>
        <v>895</v>
      </c>
      <c r="Z72" s="25">
        <f>公会!$U$11</f>
        <v>2766.62857142857</v>
      </c>
      <c r="AA72" s="163" t="e">
        <f ca="1">_xlfn.XLOOKUP(OFFSET($C$12,$I72,MATCH($T$11,$D$12:$G$12,0)),巡逻产出!$B$311:$B$610,巡逻产出!$Q$311:$Q$610)*OFFSET($C$1,MATCH(AA$12,$C$2:$C$7,0),MATCH($T$11,$D$12:$G$12,0))</f>
        <v>#N/A</v>
      </c>
      <c r="AC72" s="160">
        <v>60</v>
      </c>
      <c r="AD72" s="163">
        <f ca="1">_xlfn.XLOOKUP(OFFSET($C$12,$I72,MATCH($AD$11,$D$12:$G$12,0)),主线推图!$B$313:$B$612,主线推图!$P$313:$P$612)*OFFSET($C$1,MATCH(AD$12,$C$2:$C$7,0),MATCH($AD$11,$D$12:$G$12,0))</f>
        <v>3238.4</v>
      </c>
      <c r="AE72" s="163">
        <f ca="1">_xlfn.XLOOKUP(OFFSET($C$12,$I72,MATCH($AD$11,$D$12:$G$12,0)),巡逻产出!$B$311:$B$610,巡逻产出!$R$311:$R$610)*OFFSET($C$1,MATCH(AE$12,$C$2:$C$7,0),MATCH($AD$11,$D$12:$G$12,0))</f>
        <v>0</v>
      </c>
      <c r="AF72" s="163">
        <f ca="1">_xlfn.XLOOKUP(MAX(INT((OFFSET($C$12,$I72,MATCH($AD$11,$D$12:$G$12,0))-6)/10),1),组队产出!$B$25:$B$39,组队产出!$P$25:$P$39)*OFFSET($C$1,MATCH(AF$12,$C$2:$C$7,0),MATCH($AD$11,$D$12:$G$12,0))</f>
        <v>2284.8</v>
      </c>
      <c r="AG72" s="163">
        <f ca="1">竞技场!$G$3*OFFSET($C$1,MATCH(AG$12,$C$2:$C$7,0),MATCH($AD$11,$D$12:$G$12,0))</f>
        <v>3150</v>
      </c>
      <c r="AH7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72" s="23">
        <f>任务!$G$6+任务!$G$9+IF(MOD(AC72,7)=0,任务!$N$9+任务!$O$6,0)</f>
        <v>895</v>
      </c>
      <c r="AJ72" s="25">
        <f>公会!$U$11</f>
        <v>2766.62857142857</v>
      </c>
      <c r="AK72" s="163">
        <f ca="1">_xlfn.XLOOKUP(OFFSET($C$12,$I72,MATCH($AD$11,$D$12:$G$12,0)),巡逻产出!$B$311:$B$610,巡逻产出!$Q$311:$Q$610)*OFFSET($C$1,MATCH(AK$12,$C$2:$C$7,0),MATCH($AD$11,$D$12:$G$12,0))</f>
        <v>2238.288</v>
      </c>
      <c r="AM72" s="164">
        <v>60</v>
      </c>
      <c r="AN72" s="165">
        <v>7511</v>
      </c>
      <c r="AO72" s="165">
        <v>9326</v>
      </c>
      <c r="AP72" s="165">
        <v>14537</v>
      </c>
      <c r="AQ72" s="165">
        <v>18954</v>
      </c>
    </row>
    <row r="73" spans="3:43">
      <c r="C73" s="160">
        <v>61</v>
      </c>
      <c r="D73" s="169">
        <v>110</v>
      </c>
      <c r="E73" s="170">
        <f t="shared" si="9"/>
        <v>90</v>
      </c>
      <c r="F73" s="169">
        <f t="shared" si="10"/>
        <v>98.1999999999999</v>
      </c>
      <c r="G73" s="168">
        <v>134</v>
      </c>
      <c r="I73" s="160">
        <v>61</v>
      </c>
      <c r="J73" s="163" t="e">
        <f ca="1">_xlfn.XLOOKUP(OFFSET($C$12,$I73,MATCH($J$11,$D$12:$G$12,0)),主线推图!$B$313:$B$612,主线推图!$P$313:$P$612)*OFFSET($C$1,MATCH(J$12,$C$2:$C$7,0),MATCH($J$11,$D$12:$G$12,0))</f>
        <v>#N/A</v>
      </c>
      <c r="K73" s="163" t="e">
        <f ca="1">_xlfn.XLOOKUP(OFFSET($C$12,$I73,MATCH($J$11,$D$12:$G$12,0)),巡逻产出!$B$311:$B$610,巡逻产出!$R$311:$R$610)*OFFSET($C$1,MATCH(K$12,$C$2:$C$7,0),MATCH($J$11,$D$12:$G$12,0))</f>
        <v>#N/A</v>
      </c>
      <c r="L73" s="163">
        <f ca="1">_xlfn.XLOOKUP(MAX(INT((OFFSET($C$12,$I73,MATCH($J$11,$D$12:$G$12,0))-6)/10),1),组队产出!$B$25:$B$39,组队产出!$P$25:$P$39)*OFFSET($C$1,MATCH(L$12,$C$2:$C$7,0),MATCH($J$11,$D$12:$G$12,0))</f>
        <v>1112.4</v>
      </c>
      <c r="M73" s="163">
        <f ca="1">竞技场!$G$3*OFFSET($C$1,MATCH(M$12,$C$2:$C$7,0),MATCH($J$11,$D$12:$G$12,0))</f>
        <v>1050</v>
      </c>
      <c r="N7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73" s="23">
        <f>任务!$G$6+任务!$G$9+IF(MOD(I73,7)=0,任务!$N$9+任务!$O$6,0)</f>
        <v>895</v>
      </c>
      <c r="P73" s="25">
        <f>公会!$U$11</f>
        <v>2766.62857142857</v>
      </c>
      <c r="Q73" s="163" t="e">
        <f ca="1">_xlfn.XLOOKUP(OFFSET($C$12,$I73,MATCH($J$11,$D$12:$G$12,0)),巡逻产出!$B$311:$B$610,巡逻产出!$Q$311:$Q$610)*OFFSET($C$1,MATCH(Q$12,$C$2:$C$7,0),MATCH($J$11,$D$12:$G$12,0))</f>
        <v>#N/A</v>
      </c>
      <c r="S73" s="160">
        <v>61</v>
      </c>
      <c r="T73" s="163" t="e">
        <f ca="1">_xlfn.XLOOKUP(OFFSET($C$12,$I73,MATCH($T$11,$D$12:$G$12,0)),主线推图!$B$313:$B$612,主线推图!$P$313:$P$612)*OFFSET($C$1,MATCH(T$12,$C$2:$C$7,0),MATCH($T$11,$D$12:$G$12,0))</f>
        <v>#N/A</v>
      </c>
      <c r="U73" s="163" t="e">
        <f ca="1">_xlfn.XLOOKUP(OFFSET($C$12,$I73,MATCH($T$11,$D$12:$G$12,0)),巡逻产出!$B$311:$B$610,巡逻产出!$R$311:$R$610)*OFFSET($C$1,MATCH(U$12,$C$2:$C$7,0),MATCH($T$11,$D$12:$G$12,0))</f>
        <v>#N/A</v>
      </c>
      <c r="V73" s="163">
        <f ca="1">_xlfn.XLOOKUP(MAX(INT((OFFSET($C$12,$I73,MATCH($T$11,$D$12:$G$12,0))-6)/10),1),组队产出!$B$25:$B$39,组队产出!$P$25:$P$39)*OFFSET($C$1,MATCH(V$12,$C$2:$C$7,0),MATCH($T$11,$D$12:$G$12,0))</f>
        <v>2248.8</v>
      </c>
      <c r="W73" s="163">
        <f ca="1">竞技场!$G$3*OFFSET($C$1,MATCH(W$12,$C$2:$C$7,0),MATCH($T$11,$D$12:$G$12,0))</f>
        <v>2100</v>
      </c>
      <c r="X7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73" s="23">
        <f>任务!$G$6+任务!$G$9+IF(MOD(S73,7)=0,任务!$N$9+任务!$O$6,0)</f>
        <v>895</v>
      </c>
      <c r="Z73" s="25">
        <f>公会!$U$11</f>
        <v>2766.62857142857</v>
      </c>
      <c r="AA73" s="163" t="e">
        <f ca="1">_xlfn.XLOOKUP(OFFSET($C$12,$I73,MATCH($T$11,$D$12:$G$12,0)),巡逻产出!$B$311:$B$610,巡逻产出!$Q$311:$Q$610)*OFFSET($C$1,MATCH(AA$12,$C$2:$C$7,0),MATCH($T$11,$D$12:$G$12,0))</f>
        <v>#N/A</v>
      </c>
      <c r="AC73" s="160">
        <v>61</v>
      </c>
      <c r="AD73" s="163">
        <f ca="1">_xlfn.XLOOKUP(OFFSET($C$12,$I73,MATCH($AD$11,$D$12:$G$12,0)),主线推图!$B$313:$B$612,主线推图!$P$313:$P$612)*OFFSET($C$1,MATCH(AD$12,$C$2:$C$7,0),MATCH($AD$11,$D$12:$G$12,0))</f>
        <v>3240.6</v>
      </c>
      <c r="AE73" s="163">
        <f ca="1">_xlfn.XLOOKUP(OFFSET($C$12,$I73,MATCH($AD$11,$D$12:$G$12,0)),巡逻产出!$B$311:$B$610,巡逻产出!$R$311:$R$610)*OFFSET($C$1,MATCH(AE$12,$C$2:$C$7,0),MATCH($AD$11,$D$12:$G$12,0))</f>
        <v>0</v>
      </c>
      <c r="AF73" s="163">
        <f ca="1">_xlfn.XLOOKUP(MAX(INT((OFFSET($C$12,$I73,MATCH($AD$11,$D$12:$G$12,0))-6)/10),1),组队产出!$B$25:$B$39,组队产出!$P$25:$P$39)*OFFSET($C$1,MATCH(AF$12,$C$2:$C$7,0),MATCH($AD$11,$D$12:$G$12,0))</f>
        <v>2284.8</v>
      </c>
      <c r="AG73" s="163">
        <f ca="1">竞技场!$G$3*OFFSET($C$1,MATCH(AG$12,$C$2:$C$7,0),MATCH($AD$11,$D$12:$G$12,0))</f>
        <v>3150</v>
      </c>
      <c r="AH7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73" s="23">
        <f>任务!$G$6+任务!$G$9+IF(MOD(AC73,7)=0,任务!$N$9+任务!$O$6,0)</f>
        <v>895</v>
      </c>
      <c r="AJ73" s="25">
        <f>公会!$U$11</f>
        <v>2766.62857142857</v>
      </c>
      <c r="AK73" s="163">
        <f ca="1">_xlfn.XLOOKUP(OFFSET($C$12,$I73,MATCH($AD$11,$D$12:$G$12,0)),巡逻产出!$B$311:$B$610,巡逻产出!$Q$311:$Q$610)*OFFSET($C$1,MATCH(AK$12,$C$2:$C$7,0),MATCH($AD$11,$D$12:$G$12,0))</f>
        <v>2239.848</v>
      </c>
      <c r="AM73" s="164">
        <v>61</v>
      </c>
      <c r="AN73" s="165">
        <f t="shared" ref="AN73:AN136" si="11">AN72+AN71-AN70</f>
        <v>7625</v>
      </c>
      <c r="AO73" s="165">
        <f t="shared" ref="AO73:AO136" si="12">AO72+AO71-AO70</f>
        <v>9469</v>
      </c>
      <c r="AP73" s="165">
        <f t="shared" ref="AP73:AP136" si="13">AP72+AP71-AP70</f>
        <v>14766</v>
      </c>
      <c r="AQ73" s="165">
        <f t="shared" ref="AQ73:AQ136" si="14">AQ72+AQ71-AQ70</f>
        <v>19256</v>
      </c>
    </row>
    <row r="74" spans="3:43">
      <c r="C74" s="160">
        <v>62</v>
      </c>
      <c r="D74" s="169">
        <v>112</v>
      </c>
      <c r="E74" s="170">
        <f t="shared" si="9"/>
        <v>90.25</v>
      </c>
      <c r="F74" s="169">
        <f t="shared" si="10"/>
        <v>98.5499999999999</v>
      </c>
      <c r="G74" s="168">
        <v>135</v>
      </c>
      <c r="I74" s="160">
        <v>62</v>
      </c>
      <c r="J74" s="163" t="e">
        <f ca="1">_xlfn.XLOOKUP(OFFSET($C$12,$I74,MATCH($J$11,$D$12:$G$12,0)),主线推图!$B$313:$B$612,主线推图!$P$313:$P$612)*OFFSET($C$1,MATCH(J$12,$C$2:$C$7,0),MATCH($J$11,$D$12:$G$12,0))</f>
        <v>#N/A</v>
      </c>
      <c r="K74" s="163" t="e">
        <f ca="1">_xlfn.XLOOKUP(OFFSET($C$12,$I74,MATCH($J$11,$D$12:$G$12,0)),巡逻产出!$B$311:$B$610,巡逻产出!$R$311:$R$610)*OFFSET($C$1,MATCH(K$12,$C$2:$C$7,0),MATCH($J$11,$D$12:$G$12,0))</f>
        <v>#N/A</v>
      </c>
      <c r="L74" s="163">
        <f ca="1">_xlfn.XLOOKUP(MAX(INT((OFFSET($C$12,$I74,MATCH($J$11,$D$12:$G$12,0))-6)/10),1),组队产出!$B$25:$B$39,组队产出!$P$25:$P$39)*OFFSET($C$1,MATCH(L$12,$C$2:$C$7,0),MATCH($J$11,$D$12:$G$12,0))</f>
        <v>1112.4</v>
      </c>
      <c r="M74" s="163">
        <f ca="1">竞技场!$G$3*OFFSET($C$1,MATCH(M$12,$C$2:$C$7,0),MATCH($J$11,$D$12:$G$12,0))</f>
        <v>1050</v>
      </c>
      <c r="N7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74" s="23">
        <f>任务!$G$6+任务!$G$9+IF(MOD(I74,7)=0,任务!$N$9+任务!$O$6,0)</f>
        <v>895</v>
      </c>
      <c r="P74" s="25">
        <f>公会!$U$11</f>
        <v>2766.62857142857</v>
      </c>
      <c r="Q74" s="163" t="e">
        <f ca="1">_xlfn.XLOOKUP(OFFSET($C$12,$I74,MATCH($J$11,$D$12:$G$12,0)),巡逻产出!$B$311:$B$610,巡逻产出!$Q$311:$Q$610)*OFFSET($C$1,MATCH(Q$12,$C$2:$C$7,0),MATCH($J$11,$D$12:$G$12,0))</f>
        <v>#N/A</v>
      </c>
      <c r="S74" s="160">
        <v>62</v>
      </c>
      <c r="T74" s="163" t="e">
        <f ca="1">_xlfn.XLOOKUP(OFFSET($C$12,$I74,MATCH($T$11,$D$12:$G$12,0)),主线推图!$B$313:$B$612,主线推图!$P$313:$P$612)*OFFSET($C$1,MATCH(T$12,$C$2:$C$7,0),MATCH($T$11,$D$12:$G$12,0))</f>
        <v>#N/A</v>
      </c>
      <c r="U74" s="163" t="e">
        <f ca="1">_xlfn.XLOOKUP(OFFSET($C$12,$I74,MATCH($T$11,$D$12:$G$12,0)),巡逻产出!$B$311:$B$610,巡逻产出!$R$311:$R$610)*OFFSET($C$1,MATCH(U$12,$C$2:$C$7,0),MATCH($T$11,$D$12:$G$12,0))</f>
        <v>#N/A</v>
      </c>
      <c r="V74" s="163">
        <f ca="1">_xlfn.XLOOKUP(MAX(INT((OFFSET($C$12,$I74,MATCH($T$11,$D$12:$G$12,0))-6)/10),1),组队产出!$B$25:$B$39,组队产出!$P$25:$P$39)*OFFSET($C$1,MATCH(V$12,$C$2:$C$7,0),MATCH($T$11,$D$12:$G$12,0))</f>
        <v>2248.8</v>
      </c>
      <c r="W74" s="163">
        <f ca="1">竞技场!$G$3*OFFSET($C$1,MATCH(W$12,$C$2:$C$7,0),MATCH($T$11,$D$12:$G$12,0))</f>
        <v>2100</v>
      </c>
      <c r="X7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74" s="23">
        <f>任务!$G$6+任务!$G$9+IF(MOD(S74,7)=0,任务!$N$9+任务!$O$6,0)</f>
        <v>895</v>
      </c>
      <c r="Z74" s="25">
        <f>公会!$U$11</f>
        <v>2766.62857142857</v>
      </c>
      <c r="AA74" s="163" t="e">
        <f ca="1">_xlfn.XLOOKUP(OFFSET($C$12,$I74,MATCH($T$11,$D$12:$G$12,0)),巡逻产出!$B$311:$B$610,巡逻产出!$Q$311:$Q$610)*OFFSET($C$1,MATCH(AA$12,$C$2:$C$7,0),MATCH($T$11,$D$12:$G$12,0))</f>
        <v>#N/A</v>
      </c>
      <c r="AC74" s="160">
        <v>62</v>
      </c>
      <c r="AD74" s="163">
        <f ca="1">_xlfn.XLOOKUP(OFFSET($C$12,$I74,MATCH($AD$11,$D$12:$G$12,0)),主线推图!$B$313:$B$612,主线推图!$P$313:$P$612)*OFFSET($C$1,MATCH(AD$12,$C$2:$C$7,0),MATCH($AD$11,$D$12:$G$12,0))</f>
        <v>3242.8</v>
      </c>
      <c r="AE74" s="163">
        <f ca="1">_xlfn.XLOOKUP(OFFSET($C$12,$I74,MATCH($AD$11,$D$12:$G$12,0)),巡逻产出!$B$311:$B$610,巡逻产出!$R$311:$R$610)*OFFSET($C$1,MATCH(AE$12,$C$2:$C$7,0),MATCH($AD$11,$D$12:$G$12,0))</f>
        <v>0</v>
      </c>
      <c r="AF74" s="163">
        <f ca="1">_xlfn.XLOOKUP(MAX(INT((OFFSET($C$12,$I74,MATCH($AD$11,$D$12:$G$12,0))-6)/10),1),组队产出!$B$25:$B$39,组队产出!$P$25:$P$39)*OFFSET($C$1,MATCH(AF$12,$C$2:$C$7,0),MATCH($AD$11,$D$12:$G$12,0))</f>
        <v>2284.8</v>
      </c>
      <c r="AG74" s="163">
        <f ca="1">竞技场!$G$3*OFFSET($C$1,MATCH(AG$12,$C$2:$C$7,0),MATCH($AD$11,$D$12:$G$12,0))</f>
        <v>3150</v>
      </c>
      <c r="AH7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74" s="23">
        <f>任务!$G$6+任务!$G$9+IF(MOD(AC74,7)=0,任务!$N$9+任务!$O$6,0)</f>
        <v>895</v>
      </c>
      <c r="AJ74" s="25">
        <f>公会!$U$11</f>
        <v>2766.62857142857</v>
      </c>
      <c r="AK74" s="163">
        <f ca="1">_xlfn.XLOOKUP(OFFSET($C$12,$I74,MATCH($AD$11,$D$12:$G$12,0)),巡逻产出!$B$311:$B$610,巡逻产出!$Q$311:$Q$610)*OFFSET($C$1,MATCH(AK$12,$C$2:$C$7,0),MATCH($AD$11,$D$12:$G$12,0))</f>
        <v>2241.408</v>
      </c>
      <c r="AM74" s="164">
        <v>62</v>
      </c>
      <c r="AN74" s="165">
        <f t="shared" si="11"/>
        <v>7738</v>
      </c>
      <c r="AO74" s="165">
        <f t="shared" si="12"/>
        <v>9612</v>
      </c>
      <c r="AP74" s="165">
        <f t="shared" si="13"/>
        <v>14994</v>
      </c>
      <c r="AQ74" s="165">
        <f t="shared" si="14"/>
        <v>19558</v>
      </c>
    </row>
    <row r="75" spans="3:43">
      <c r="C75" s="160">
        <v>63</v>
      </c>
      <c r="D75" s="169">
        <v>112</v>
      </c>
      <c r="E75" s="170">
        <f t="shared" si="9"/>
        <v>90.5</v>
      </c>
      <c r="F75" s="169">
        <f t="shared" si="10"/>
        <v>98.8999999999999</v>
      </c>
      <c r="G75" s="168">
        <v>136</v>
      </c>
      <c r="I75" s="160">
        <v>63</v>
      </c>
      <c r="J75" s="163" t="e">
        <f ca="1">_xlfn.XLOOKUP(OFFSET($C$12,$I75,MATCH($J$11,$D$12:$G$12,0)),主线推图!$B$313:$B$612,主线推图!$P$313:$P$612)*OFFSET($C$1,MATCH(J$12,$C$2:$C$7,0),MATCH($J$11,$D$12:$G$12,0))</f>
        <v>#N/A</v>
      </c>
      <c r="K75" s="163" t="e">
        <f ca="1">_xlfn.XLOOKUP(OFFSET($C$12,$I75,MATCH($J$11,$D$12:$G$12,0)),巡逻产出!$B$311:$B$610,巡逻产出!$R$311:$R$610)*OFFSET($C$1,MATCH(K$12,$C$2:$C$7,0),MATCH($J$11,$D$12:$G$12,0))</f>
        <v>#N/A</v>
      </c>
      <c r="L75" s="163">
        <f ca="1">_xlfn.XLOOKUP(MAX(INT((OFFSET($C$12,$I75,MATCH($J$11,$D$12:$G$12,0))-6)/10),1),组队产出!$B$25:$B$39,组队产出!$P$25:$P$39)*OFFSET($C$1,MATCH(L$12,$C$2:$C$7,0),MATCH($J$11,$D$12:$G$12,0))</f>
        <v>1112.4</v>
      </c>
      <c r="M75" s="163">
        <f ca="1">竞技场!$G$3*OFFSET($C$1,MATCH(M$12,$C$2:$C$7,0),MATCH($J$11,$D$12:$G$12,0))</f>
        <v>1050</v>
      </c>
      <c r="N7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75" s="23">
        <f>任务!$G$6+任务!$G$9+IF(MOD(I75,7)=0,任务!$N$9+任务!$O$6,0)</f>
        <v>3125</v>
      </c>
      <c r="P75" s="25">
        <f>公会!$U$11</f>
        <v>2766.62857142857</v>
      </c>
      <c r="Q75" s="163" t="e">
        <f ca="1">_xlfn.XLOOKUP(OFFSET($C$12,$I75,MATCH($J$11,$D$12:$G$12,0)),巡逻产出!$B$311:$B$610,巡逻产出!$Q$311:$Q$610)*OFFSET($C$1,MATCH(Q$12,$C$2:$C$7,0),MATCH($J$11,$D$12:$G$12,0))</f>
        <v>#N/A</v>
      </c>
      <c r="S75" s="160">
        <v>63</v>
      </c>
      <c r="T75" s="163" t="e">
        <f ca="1">_xlfn.XLOOKUP(OFFSET($C$12,$I75,MATCH($T$11,$D$12:$G$12,0)),主线推图!$B$313:$B$612,主线推图!$P$313:$P$612)*OFFSET($C$1,MATCH(T$12,$C$2:$C$7,0),MATCH($T$11,$D$12:$G$12,0))</f>
        <v>#N/A</v>
      </c>
      <c r="U75" s="163" t="e">
        <f ca="1">_xlfn.XLOOKUP(OFFSET($C$12,$I75,MATCH($T$11,$D$12:$G$12,0)),巡逻产出!$B$311:$B$610,巡逻产出!$R$311:$R$610)*OFFSET($C$1,MATCH(U$12,$C$2:$C$7,0),MATCH($T$11,$D$12:$G$12,0))</f>
        <v>#N/A</v>
      </c>
      <c r="V75" s="163">
        <f ca="1">_xlfn.XLOOKUP(MAX(INT((OFFSET($C$12,$I75,MATCH($T$11,$D$12:$G$12,0))-6)/10),1),组队产出!$B$25:$B$39,组队产出!$P$25:$P$39)*OFFSET($C$1,MATCH(V$12,$C$2:$C$7,0),MATCH($T$11,$D$12:$G$12,0))</f>
        <v>2248.8</v>
      </c>
      <c r="W75" s="163">
        <f ca="1">竞技场!$G$3*OFFSET($C$1,MATCH(W$12,$C$2:$C$7,0),MATCH($T$11,$D$12:$G$12,0))</f>
        <v>2100</v>
      </c>
      <c r="X7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75" s="23">
        <f>任务!$G$6+任务!$G$9+IF(MOD(S75,7)=0,任务!$N$9+任务!$O$6,0)</f>
        <v>3125</v>
      </c>
      <c r="Z75" s="25">
        <f>公会!$U$11</f>
        <v>2766.62857142857</v>
      </c>
      <c r="AA75" s="163" t="e">
        <f ca="1">_xlfn.XLOOKUP(OFFSET($C$12,$I75,MATCH($T$11,$D$12:$G$12,0)),巡逻产出!$B$311:$B$610,巡逻产出!$Q$311:$Q$610)*OFFSET($C$1,MATCH(AA$12,$C$2:$C$7,0),MATCH($T$11,$D$12:$G$12,0))</f>
        <v>#N/A</v>
      </c>
      <c r="AC75" s="160">
        <v>63</v>
      </c>
      <c r="AD75" s="163">
        <f ca="1">_xlfn.XLOOKUP(OFFSET($C$12,$I75,MATCH($AD$11,$D$12:$G$12,0)),主线推图!$B$313:$B$612,主线推图!$P$313:$P$612)*OFFSET($C$1,MATCH(AD$12,$C$2:$C$7,0),MATCH($AD$11,$D$12:$G$12,0))</f>
        <v>3245</v>
      </c>
      <c r="AE75" s="163">
        <f ca="1">_xlfn.XLOOKUP(OFFSET($C$12,$I75,MATCH($AD$11,$D$12:$G$12,0)),巡逻产出!$B$311:$B$610,巡逻产出!$R$311:$R$610)*OFFSET($C$1,MATCH(AE$12,$C$2:$C$7,0),MATCH($AD$11,$D$12:$G$12,0))</f>
        <v>0</v>
      </c>
      <c r="AF75" s="163">
        <f ca="1">_xlfn.XLOOKUP(MAX(INT((OFFSET($C$12,$I75,MATCH($AD$11,$D$12:$G$12,0))-6)/10),1),组队产出!$B$25:$B$39,组队产出!$P$25:$P$39)*OFFSET($C$1,MATCH(AF$12,$C$2:$C$7,0),MATCH($AD$11,$D$12:$G$12,0))</f>
        <v>2296.8</v>
      </c>
      <c r="AG75" s="163">
        <f ca="1">竞技场!$G$3*OFFSET($C$1,MATCH(AG$12,$C$2:$C$7,0),MATCH($AD$11,$D$12:$G$12,0))</f>
        <v>3150</v>
      </c>
      <c r="AH7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75" s="23">
        <f>任务!$G$6+任务!$G$9+IF(MOD(AC75,7)=0,任务!$N$9+任务!$O$6,0)</f>
        <v>3125</v>
      </c>
      <c r="AJ75" s="25">
        <f>公会!$U$11</f>
        <v>2766.62857142857</v>
      </c>
      <c r="AK75" s="163">
        <f ca="1">_xlfn.XLOOKUP(OFFSET($C$12,$I75,MATCH($AD$11,$D$12:$G$12,0)),巡逻产出!$B$311:$B$610,巡逻产出!$Q$311:$Q$610)*OFFSET($C$1,MATCH(AK$12,$C$2:$C$7,0),MATCH($AD$11,$D$12:$G$12,0))</f>
        <v>2242.968</v>
      </c>
      <c r="AM75" s="164">
        <v>63</v>
      </c>
      <c r="AN75" s="165">
        <f t="shared" si="11"/>
        <v>7852</v>
      </c>
      <c r="AO75" s="165">
        <f t="shared" si="12"/>
        <v>9755</v>
      </c>
      <c r="AP75" s="165">
        <f t="shared" si="13"/>
        <v>15223</v>
      </c>
      <c r="AQ75" s="165">
        <f t="shared" si="14"/>
        <v>19860</v>
      </c>
    </row>
    <row r="76" spans="3:43">
      <c r="C76" s="160">
        <v>64</v>
      </c>
      <c r="D76" s="169">
        <v>113</v>
      </c>
      <c r="E76" s="170">
        <f t="shared" si="9"/>
        <v>90.75</v>
      </c>
      <c r="F76" s="169">
        <f t="shared" si="10"/>
        <v>99.2499999999999</v>
      </c>
      <c r="G76" s="168">
        <v>137</v>
      </c>
      <c r="I76" s="160">
        <v>64</v>
      </c>
      <c r="J76" s="163" t="e">
        <f ca="1">_xlfn.XLOOKUP(OFFSET($C$12,$I76,MATCH($J$11,$D$12:$G$12,0)),主线推图!$B$313:$B$612,主线推图!$P$313:$P$612)*OFFSET($C$1,MATCH(J$12,$C$2:$C$7,0),MATCH($J$11,$D$12:$G$12,0))</f>
        <v>#N/A</v>
      </c>
      <c r="K76" s="163" t="e">
        <f ca="1">_xlfn.XLOOKUP(OFFSET($C$12,$I76,MATCH($J$11,$D$12:$G$12,0)),巡逻产出!$B$311:$B$610,巡逻产出!$R$311:$R$610)*OFFSET($C$1,MATCH(K$12,$C$2:$C$7,0),MATCH($J$11,$D$12:$G$12,0))</f>
        <v>#N/A</v>
      </c>
      <c r="L76" s="163">
        <f ca="1">_xlfn.XLOOKUP(MAX(INT((OFFSET($C$12,$I76,MATCH($J$11,$D$12:$G$12,0))-6)/10),1),组队产出!$B$25:$B$39,组队产出!$P$25:$P$39)*OFFSET($C$1,MATCH(L$12,$C$2:$C$7,0),MATCH($J$11,$D$12:$G$12,0))</f>
        <v>1112.4</v>
      </c>
      <c r="M76" s="163">
        <f ca="1">竞技场!$G$3*OFFSET($C$1,MATCH(M$12,$C$2:$C$7,0),MATCH($J$11,$D$12:$G$12,0))</f>
        <v>1050</v>
      </c>
      <c r="N7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76" s="23">
        <f>任务!$G$6+任务!$G$9+IF(MOD(I76,7)=0,任务!$N$9+任务!$O$6,0)</f>
        <v>895</v>
      </c>
      <c r="P76" s="25">
        <f>公会!$U$11</f>
        <v>2766.62857142857</v>
      </c>
      <c r="Q76" s="163" t="e">
        <f ca="1">_xlfn.XLOOKUP(OFFSET($C$12,$I76,MATCH($J$11,$D$12:$G$12,0)),巡逻产出!$B$311:$B$610,巡逻产出!$Q$311:$Q$610)*OFFSET($C$1,MATCH(Q$12,$C$2:$C$7,0),MATCH($J$11,$D$12:$G$12,0))</f>
        <v>#N/A</v>
      </c>
      <c r="S76" s="160">
        <v>64</v>
      </c>
      <c r="T76" s="163" t="e">
        <f ca="1">_xlfn.XLOOKUP(OFFSET($C$12,$I76,MATCH($T$11,$D$12:$G$12,0)),主线推图!$B$313:$B$612,主线推图!$P$313:$P$612)*OFFSET($C$1,MATCH(T$12,$C$2:$C$7,0),MATCH($T$11,$D$12:$G$12,0))</f>
        <v>#N/A</v>
      </c>
      <c r="U76" s="163" t="e">
        <f ca="1">_xlfn.XLOOKUP(OFFSET($C$12,$I76,MATCH($T$11,$D$12:$G$12,0)),巡逻产出!$B$311:$B$610,巡逻产出!$R$311:$R$610)*OFFSET($C$1,MATCH(U$12,$C$2:$C$7,0),MATCH($T$11,$D$12:$G$12,0))</f>
        <v>#N/A</v>
      </c>
      <c r="V76" s="163">
        <f ca="1">_xlfn.XLOOKUP(MAX(INT((OFFSET($C$12,$I76,MATCH($T$11,$D$12:$G$12,0))-6)/10),1),组队产出!$B$25:$B$39,组队产出!$P$25:$P$39)*OFFSET($C$1,MATCH(V$12,$C$2:$C$7,0),MATCH($T$11,$D$12:$G$12,0))</f>
        <v>2248.8</v>
      </c>
      <c r="W76" s="163">
        <f ca="1">竞技场!$G$3*OFFSET($C$1,MATCH(W$12,$C$2:$C$7,0),MATCH($T$11,$D$12:$G$12,0))</f>
        <v>2100</v>
      </c>
      <c r="X7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76" s="23">
        <f>任务!$G$6+任务!$G$9+IF(MOD(S76,7)=0,任务!$N$9+任务!$O$6,0)</f>
        <v>895</v>
      </c>
      <c r="Z76" s="25">
        <f>公会!$U$11</f>
        <v>2766.62857142857</v>
      </c>
      <c r="AA76" s="163" t="e">
        <f ca="1">_xlfn.XLOOKUP(OFFSET($C$12,$I76,MATCH($T$11,$D$12:$G$12,0)),巡逻产出!$B$311:$B$610,巡逻产出!$Q$311:$Q$610)*OFFSET($C$1,MATCH(AA$12,$C$2:$C$7,0),MATCH($T$11,$D$12:$G$12,0))</f>
        <v>#N/A</v>
      </c>
      <c r="AC76" s="160">
        <v>64</v>
      </c>
      <c r="AD76" s="163">
        <f ca="1">_xlfn.XLOOKUP(OFFSET($C$12,$I76,MATCH($AD$11,$D$12:$G$12,0)),主线推图!$B$313:$B$612,主线推图!$P$313:$P$612)*OFFSET($C$1,MATCH(AD$12,$C$2:$C$7,0),MATCH($AD$11,$D$12:$G$12,0))</f>
        <v>3247.2</v>
      </c>
      <c r="AE76" s="163">
        <f ca="1">_xlfn.XLOOKUP(OFFSET($C$12,$I76,MATCH($AD$11,$D$12:$G$12,0)),巡逻产出!$B$311:$B$610,巡逻产出!$R$311:$R$610)*OFFSET($C$1,MATCH(AE$12,$C$2:$C$7,0),MATCH($AD$11,$D$12:$G$12,0))</f>
        <v>0</v>
      </c>
      <c r="AF76" s="163">
        <f ca="1">_xlfn.XLOOKUP(MAX(INT((OFFSET($C$12,$I76,MATCH($AD$11,$D$12:$G$12,0))-6)/10),1),组队产出!$B$25:$B$39,组队产出!$P$25:$P$39)*OFFSET($C$1,MATCH(AF$12,$C$2:$C$7,0),MATCH($AD$11,$D$12:$G$12,0))</f>
        <v>2296.8</v>
      </c>
      <c r="AG76" s="163">
        <f ca="1">竞技场!$G$3*OFFSET($C$1,MATCH(AG$12,$C$2:$C$7,0),MATCH($AD$11,$D$12:$G$12,0))</f>
        <v>3150</v>
      </c>
      <c r="AH7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76" s="23">
        <f>任务!$G$6+任务!$G$9+IF(MOD(AC76,7)=0,任务!$N$9+任务!$O$6,0)</f>
        <v>895</v>
      </c>
      <c r="AJ76" s="25">
        <f>公会!$U$11</f>
        <v>2766.62857142857</v>
      </c>
      <c r="AK76" s="163">
        <f ca="1">_xlfn.XLOOKUP(OFFSET($C$12,$I76,MATCH($AD$11,$D$12:$G$12,0)),巡逻产出!$B$311:$B$610,巡逻产出!$Q$311:$Q$610)*OFFSET($C$1,MATCH(AK$12,$C$2:$C$7,0),MATCH($AD$11,$D$12:$G$12,0))</f>
        <v>2244.528</v>
      </c>
      <c r="AM76" s="164">
        <v>64</v>
      </c>
      <c r="AN76" s="165">
        <f t="shared" si="11"/>
        <v>7965</v>
      </c>
      <c r="AO76" s="165">
        <f t="shared" si="12"/>
        <v>9898</v>
      </c>
      <c r="AP76" s="165">
        <f t="shared" si="13"/>
        <v>15451</v>
      </c>
      <c r="AQ76" s="165">
        <f t="shared" si="14"/>
        <v>20162</v>
      </c>
    </row>
    <row r="77" spans="3:43">
      <c r="C77" s="160">
        <v>65</v>
      </c>
      <c r="D77" s="169">
        <v>113</v>
      </c>
      <c r="E77" s="170">
        <f t="shared" si="9"/>
        <v>91</v>
      </c>
      <c r="F77" s="169">
        <f t="shared" si="10"/>
        <v>99.5999999999999</v>
      </c>
      <c r="G77" s="168">
        <v>138</v>
      </c>
      <c r="I77" s="160">
        <v>65</v>
      </c>
      <c r="J77" s="163" t="e">
        <f ca="1">_xlfn.XLOOKUP(OFFSET($C$12,$I77,MATCH($J$11,$D$12:$G$12,0)),主线推图!$B$313:$B$612,主线推图!$P$313:$P$612)*OFFSET($C$1,MATCH(J$12,$C$2:$C$7,0),MATCH($J$11,$D$12:$G$12,0))</f>
        <v>#N/A</v>
      </c>
      <c r="K77" s="163" t="e">
        <f ca="1">_xlfn.XLOOKUP(OFFSET($C$12,$I77,MATCH($J$11,$D$12:$G$12,0)),巡逻产出!$B$311:$B$610,巡逻产出!$R$311:$R$610)*OFFSET($C$1,MATCH(K$12,$C$2:$C$7,0),MATCH($J$11,$D$12:$G$12,0))</f>
        <v>#N/A</v>
      </c>
      <c r="L77" s="163">
        <f ca="1">_xlfn.XLOOKUP(MAX(INT((OFFSET($C$12,$I77,MATCH($J$11,$D$12:$G$12,0))-6)/10),1),组队产出!$B$25:$B$39,组队产出!$P$25:$P$39)*OFFSET($C$1,MATCH(L$12,$C$2:$C$7,0),MATCH($J$11,$D$12:$G$12,0))</f>
        <v>1112.4</v>
      </c>
      <c r="M77" s="163">
        <f ca="1">竞技场!$G$3*OFFSET($C$1,MATCH(M$12,$C$2:$C$7,0),MATCH($J$11,$D$12:$G$12,0))</f>
        <v>1050</v>
      </c>
      <c r="N7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77" s="23">
        <f>任务!$G$6+任务!$G$9+IF(MOD(I77,7)=0,任务!$N$9+任务!$O$6,0)</f>
        <v>895</v>
      </c>
      <c r="P77" s="25">
        <f>公会!$U$11</f>
        <v>2766.62857142857</v>
      </c>
      <c r="Q77" s="163" t="e">
        <f ca="1">_xlfn.XLOOKUP(OFFSET($C$12,$I77,MATCH($J$11,$D$12:$G$12,0)),巡逻产出!$B$311:$B$610,巡逻产出!$Q$311:$Q$610)*OFFSET($C$1,MATCH(Q$12,$C$2:$C$7,0),MATCH($J$11,$D$12:$G$12,0))</f>
        <v>#N/A</v>
      </c>
      <c r="S77" s="160">
        <v>65</v>
      </c>
      <c r="T77" s="163" t="e">
        <f ca="1">_xlfn.XLOOKUP(OFFSET($C$12,$I77,MATCH($T$11,$D$12:$G$12,0)),主线推图!$B$313:$B$612,主线推图!$P$313:$P$612)*OFFSET($C$1,MATCH(T$12,$C$2:$C$7,0),MATCH($T$11,$D$12:$G$12,0))</f>
        <v>#N/A</v>
      </c>
      <c r="U77" s="163" t="e">
        <f ca="1">_xlfn.XLOOKUP(OFFSET($C$12,$I77,MATCH($T$11,$D$12:$G$12,0)),巡逻产出!$B$311:$B$610,巡逻产出!$R$311:$R$610)*OFFSET($C$1,MATCH(U$12,$C$2:$C$7,0),MATCH($T$11,$D$12:$G$12,0))</f>
        <v>#N/A</v>
      </c>
      <c r="V77" s="163">
        <f ca="1">_xlfn.XLOOKUP(MAX(INT((OFFSET($C$12,$I77,MATCH($T$11,$D$12:$G$12,0))-6)/10),1),组队产出!$B$25:$B$39,组队产出!$P$25:$P$39)*OFFSET($C$1,MATCH(V$12,$C$2:$C$7,0),MATCH($T$11,$D$12:$G$12,0))</f>
        <v>2248.8</v>
      </c>
      <c r="W77" s="163">
        <f ca="1">竞技场!$G$3*OFFSET($C$1,MATCH(W$12,$C$2:$C$7,0),MATCH($T$11,$D$12:$G$12,0))</f>
        <v>2100</v>
      </c>
      <c r="X7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77" s="23">
        <f>任务!$G$6+任务!$G$9+IF(MOD(S77,7)=0,任务!$N$9+任务!$O$6,0)</f>
        <v>895</v>
      </c>
      <c r="Z77" s="25">
        <f>公会!$U$11</f>
        <v>2766.62857142857</v>
      </c>
      <c r="AA77" s="163" t="e">
        <f ca="1">_xlfn.XLOOKUP(OFFSET($C$12,$I77,MATCH($T$11,$D$12:$G$12,0)),巡逻产出!$B$311:$B$610,巡逻产出!$Q$311:$Q$610)*OFFSET($C$1,MATCH(AA$12,$C$2:$C$7,0),MATCH($T$11,$D$12:$G$12,0))</f>
        <v>#N/A</v>
      </c>
      <c r="AC77" s="160">
        <v>65</v>
      </c>
      <c r="AD77" s="163">
        <f ca="1">_xlfn.XLOOKUP(OFFSET($C$12,$I77,MATCH($AD$11,$D$12:$G$12,0)),主线推图!$B$313:$B$612,主线推图!$P$313:$P$612)*OFFSET($C$1,MATCH(AD$12,$C$2:$C$7,0),MATCH($AD$11,$D$12:$G$12,0))</f>
        <v>3249.4</v>
      </c>
      <c r="AE77" s="163">
        <f ca="1">_xlfn.XLOOKUP(OFFSET($C$12,$I77,MATCH($AD$11,$D$12:$G$12,0)),巡逻产出!$B$311:$B$610,巡逻产出!$R$311:$R$610)*OFFSET($C$1,MATCH(AE$12,$C$2:$C$7,0),MATCH($AD$11,$D$12:$G$12,0))</f>
        <v>0</v>
      </c>
      <c r="AF77" s="163">
        <f ca="1">_xlfn.XLOOKUP(MAX(INT((OFFSET($C$12,$I77,MATCH($AD$11,$D$12:$G$12,0))-6)/10),1),组队产出!$B$25:$B$39,组队产出!$P$25:$P$39)*OFFSET($C$1,MATCH(AF$12,$C$2:$C$7,0),MATCH($AD$11,$D$12:$G$12,0))</f>
        <v>2296.8</v>
      </c>
      <c r="AG77" s="163">
        <f ca="1">竞技场!$G$3*OFFSET($C$1,MATCH(AG$12,$C$2:$C$7,0),MATCH($AD$11,$D$12:$G$12,0))</f>
        <v>3150</v>
      </c>
      <c r="AH7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77" s="23">
        <f>任务!$G$6+任务!$G$9+IF(MOD(AC77,7)=0,任务!$N$9+任务!$O$6,0)</f>
        <v>895</v>
      </c>
      <c r="AJ77" s="25">
        <f>公会!$U$11</f>
        <v>2766.62857142857</v>
      </c>
      <c r="AK77" s="163">
        <f ca="1">_xlfn.XLOOKUP(OFFSET($C$12,$I77,MATCH($AD$11,$D$12:$G$12,0)),巡逻产出!$B$311:$B$610,巡逻产出!$Q$311:$Q$610)*OFFSET($C$1,MATCH(AK$12,$C$2:$C$7,0),MATCH($AD$11,$D$12:$G$12,0))</f>
        <v>2246.088</v>
      </c>
      <c r="AM77" s="164">
        <v>65</v>
      </c>
      <c r="AN77" s="165">
        <f t="shared" si="11"/>
        <v>8079</v>
      </c>
      <c r="AO77" s="165">
        <f t="shared" si="12"/>
        <v>10041</v>
      </c>
      <c r="AP77" s="165">
        <f t="shared" si="13"/>
        <v>15680</v>
      </c>
      <c r="AQ77" s="165">
        <f t="shared" si="14"/>
        <v>20464</v>
      </c>
    </row>
    <row r="78" spans="3:43">
      <c r="C78" s="160">
        <v>66</v>
      </c>
      <c r="D78" s="169">
        <v>113</v>
      </c>
      <c r="E78" s="170">
        <f t="shared" si="9"/>
        <v>91.25</v>
      </c>
      <c r="F78" s="169">
        <f t="shared" si="10"/>
        <v>99.9499999999999</v>
      </c>
      <c r="G78" s="168">
        <v>139</v>
      </c>
      <c r="I78" s="160">
        <v>66</v>
      </c>
      <c r="J78" s="163" t="e">
        <f ca="1">_xlfn.XLOOKUP(OFFSET($C$12,$I78,MATCH($J$11,$D$12:$G$12,0)),主线推图!$B$313:$B$612,主线推图!$P$313:$P$612)*OFFSET($C$1,MATCH(J$12,$C$2:$C$7,0),MATCH($J$11,$D$12:$G$12,0))</f>
        <v>#N/A</v>
      </c>
      <c r="K78" s="163" t="e">
        <f ca="1">_xlfn.XLOOKUP(OFFSET($C$12,$I78,MATCH($J$11,$D$12:$G$12,0)),巡逻产出!$B$311:$B$610,巡逻产出!$R$311:$R$610)*OFFSET($C$1,MATCH(K$12,$C$2:$C$7,0),MATCH($J$11,$D$12:$G$12,0))</f>
        <v>#N/A</v>
      </c>
      <c r="L78" s="163">
        <f ca="1">_xlfn.XLOOKUP(MAX(INT((OFFSET($C$12,$I78,MATCH($J$11,$D$12:$G$12,0))-6)/10),1),组队产出!$B$25:$B$39,组队产出!$P$25:$P$39)*OFFSET($C$1,MATCH(L$12,$C$2:$C$7,0),MATCH($J$11,$D$12:$G$12,0))</f>
        <v>1112.4</v>
      </c>
      <c r="M78" s="163">
        <f ca="1">竞技场!$G$3*OFFSET($C$1,MATCH(M$12,$C$2:$C$7,0),MATCH($J$11,$D$12:$G$12,0))</f>
        <v>1050</v>
      </c>
      <c r="N7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78" s="23">
        <f>任务!$G$6+任务!$G$9+IF(MOD(I78,7)=0,任务!$N$9+任务!$O$6,0)</f>
        <v>895</v>
      </c>
      <c r="P78" s="25">
        <f>公会!$U$11</f>
        <v>2766.62857142857</v>
      </c>
      <c r="Q78" s="163" t="e">
        <f ca="1">_xlfn.XLOOKUP(OFFSET($C$12,$I78,MATCH($J$11,$D$12:$G$12,0)),巡逻产出!$B$311:$B$610,巡逻产出!$Q$311:$Q$610)*OFFSET($C$1,MATCH(Q$12,$C$2:$C$7,0),MATCH($J$11,$D$12:$G$12,0))</f>
        <v>#N/A</v>
      </c>
      <c r="S78" s="160">
        <v>66</v>
      </c>
      <c r="T78" s="163" t="e">
        <f ca="1">_xlfn.XLOOKUP(OFFSET($C$12,$I78,MATCH($T$11,$D$12:$G$12,0)),主线推图!$B$313:$B$612,主线推图!$P$313:$P$612)*OFFSET($C$1,MATCH(T$12,$C$2:$C$7,0),MATCH($T$11,$D$12:$G$12,0))</f>
        <v>#N/A</v>
      </c>
      <c r="U78" s="163" t="e">
        <f ca="1">_xlfn.XLOOKUP(OFFSET($C$12,$I78,MATCH($T$11,$D$12:$G$12,0)),巡逻产出!$B$311:$B$610,巡逻产出!$R$311:$R$610)*OFFSET($C$1,MATCH(U$12,$C$2:$C$7,0),MATCH($T$11,$D$12:$G$12,0))</f>
        <v>#N/A</v>
      </c>
      <c r="V78" s="163">
        <f ca="1">_xlfn.XLOOKUP(MAX(INT((OFFSET($C$12,$I78,MATCH($T$11,$D$12:$G$12,0))-6)/10),1),组队产出!$B$25:$B$39,组队产出!$P$25:$P$39)*OFFSET($C$1,MATCH(V$12,$C$2:$C$7,0),MATCH($T$11,$D$12:$G$12,0))</f>
        <v>2248.8</v>
      </c>
      <c r="W78" s="163">
        <f ca="1">竞技场!$G$3*OFFSET($C$1,MATCH(W$12,$C$2:$C$7,0),MATCH($T$11,$D$12:$G$12,0))</f>
        <v>2100</v>
      </c>
      <c r="X7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78" s="23">
        <f>任务!$G$6+任务!$G$9+IF(MOD(S78,7)=0,任务!$N$9+任务!$O$6,0)</f>
        <v>895</v>
      </c>
      <c r="Z78" s="25">
        <f>公会!$U$11</f>
        <v>2766.62857142857</v>
      </c>
      <c r="AA78" s="163" t="e">
        <f ca="1">_xlfn.XLOOKUP(OFFSET($C$12,$I78,MATCH($T$11,$D$12:$G$12,0)),巡逻产出!$B$311:$B$610,巡逻产出!$Q$311:$Q$610)*OFFSET($C$1,MATCH(AA$12,$C$2:$C$7,0),MATCH($T$11,$D$12:$G$12,0))</f>
        <v>#N/A</v>
      </c>
      <c r="AC78" s="160">
        <v>66</v>
      </c>
      <c r="AD78" s="163">
        <f ca="1">_xlfn.XLOOKUP(OFFSET($C$12,$I78,MATCH($AD$11,$D$12:$G$12,0)),主线推图!$B$313:$B$612,主线推图!$P$313:$P$612)*OFFSET($C$1,MATCH(AD$12,$C$2:$C$7,0),MATCH($AD$11,$D$12:$G$12,0))</f>
        <v>3251.6</v>
      </c>
      <c r="AE78" s="163">
        <f ca="1">_xlfn.XLOOKUP(OFFSET($C$12,$I78,MATCH($AD$11,$D$12:$G$12,0)),巡逻产出!$B$311:$B$610,巡逻产出!$R$311:$R$610)*OFFSET($C$1,MATCH(AE$12,$C$2:$C$7,0),MATCH($AD$11,$D$12:$G$12,0))</f>
        <v>0</v>
      </c>
      <c r="AF78" s="163">
        <f ca="1">_xlfn.XLOOKUP(MAX(INT((OFFSET($C$12,$I78,MATCH($AD$11,$D$12:$G$12,0))-6)/10),1),组队产出!$B$25:$B$39,组队产出!$P$25:$P$39)*OFFSET($C$1,MATCH(AF$12,$C$2:$C$7,0),MATCH($AD$11,$D$12:$G$12,0))</f>
        <v>2296.8</v>
      </c>
      <c r="AG78" s="163">
        <f ca="1">竞技场!$G$3*OFFSET($C$1,MATCH(AG$12,$C$2:$C$7,0),MATCH($AD$11,$D$12:$G$12,0))</f>
        <v>3150</v>
      </c>
      <c r="AH7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78" s="23">
        <f>任务!$G$6+任务!$G$9+IF(MOD(AC78,7)=0,任务!$N$9+任务!$O$6,0)</f>
        <v>895</v>
      </c>
      <c r="AJ78" s="25">
        <f>公会!$U$11</f>
        <v>2766.62857142857</v>
      </c>
      <c r="AK78" s="163">
        <f ca="1">_xlfn.XLOOKUP(OFFSET($C$12,$I78,MATCH($AD$11,$D$12:$G$12,0)),巡逻产出!$B$311:$B$610,巡逻产出!$Q$311:$Q$610)*OFFSET($C$1,MATCH(AK$12,$C$2:$C$7,0),MATCH($AD$11,$D$12:$G$12,0))</f>
        <v>2247.648</v>
      </c>
      <c r="AM78" s="164">
        <v>66</v>
      </c>
      <c r="AN78" s="165">
        <f t="shared" si="11"/>
        <v>8192</v>
      </c>
      <c r="AO78" s="165">
        <f t="shared" si="12"/>
        <v>10184</v>
      </c>
      <c r="AP78" s="165">
        <f t="shared" si="13"/>
        <v>15908</v>
      </c>
      <c r="AQ78" s="165">
        <f t="shared" si="14"/>
        <v>20766</v>
      </c>
    </row>
    <row r="79" spans="3:43">
      <c r="C79" s="160">
        <v>67</v>
      </c>
      <c r="D79" s="169">
        <v>114</v>
      </c>
      <c r="E79" s="170">
        <f t="shared" si="9"/>
        <v>91.5</v>
      </c>
      <c r="F79" s="169">
        <f t="shared" si="10"/>
        <v>100.3</v>
      </c>
      <c r="G79" s="168">
        <v>140</v>
      </c>
      <c r="I79" s="160">
        <v>67</v>
      </c>
      <c r="J79" s="163" t="e">
        <f ca="1">_xlfn.XLOOKUP(OFFSET($C$12,$I79,MATCH($J$11,$D$12:$G$12,0)),主线推图!$B$313:$B$612,主线推图!$P$313:$P$612)*OFFSET($C$1,MATCH(J$12,$C$2:$C$7,0),MATCH($J$11,$D$12:$G$12,0))</f>
        <v>#N/A</v>
      </c>
      <c r="K79" s="163" t="e">
        <f ca="1">_xlfn.XLOOKUP(OFFSET($C$12,$I79,MATCH($J$11,$D$12:$G$12,0)),巡逻产出!$B$311:$B$610,巡逻产出!$R$311:$R$610)*OFFSET($C$1,MATCH(K$12,$C$2:$C$7,0),MATCH($J$11,$D$12:$G$12,0))</f>
        <v>#N/A</v>
      </c>
      <c r="L79" s="163">
        <f ca="1">_xlfn.XLOOKUP(MAX(INT((OFFSET($C$12,$I79,MATCH($J$11,$D$12:$G$12,0))-6)/10),1),组队产出!$B$25:$B$39,组队产出!$P$25:$P$39)*OFFSET($C$1,MATCH(L$12,$C$2:$C$7,0),MATCH($J$11,$D$12:$G$12,0))</f>
        <v>1112.4</v>
      </c>
      <c r="M79" s="163">
        <f ca="1">竞技场!$G$3*OFFSET($C$1,MATCH(M$12,$C$2:$C$7,0),MATCH($J$11,$D$12:$G$12,0))</f>
        <v>1050</v>
      </c>
      <c r="N7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79" s="23">
        <f>任务!$G$6+任务!$G$9+IF(MOD(I79,7)=0,任务!$N$9+任务!$O$6,0)</f>
        <v>895</v>
      </c>
      <c r="P79" s="25">
        <f>公会!$U$11</f>
        <v>2766.62857142857</v>
      </c>
      <c r="Q79" s="163" t="e">
        <f ca="1">_xlfn.XLOOKUP(OFFSET($C$12,$I79,MATCH($J$11,$D$12:$G$12,0)),巡逻产出!$B$311:$B$610,巡逻产出!$Q$311:$Q$610)*OFFSET($C$1,MATCH(Q$12,$C$2:$C$7,0),MATCH($J$11,$D$12:$G$12,0))</f>
        <v>#N/A</v>
      </c>
      <c r="S79" s="160">
        <v>67</v>
      </c>
      <c r="T79" s="163" t="e">
        <f ca="1">_xlfn.XLOOKUP(OFFSET($C$12,$I79,MATCH($T$11,$D$12:$G$12,0)),主线推图!$B$313:$B$612,主线推图!$P$313:$P$612)*OFFSET($C$1,MATCH(T$12,$C$2:$C$7,0),MATCH($T$11,$D$12:$G$12,0))</f>
        <v>#N/A</v>
      </c>
      <c r="U79" s="163" t="e">
        <f ca="1">_xlfn.XLOOKUP(OFFSET($C$12,$I79,MATCH($T$11,$D$12:$G$12,0)),巡逻产出!$B$311:$B$610,巡逻产出!$R$311:$R$610)*OFFSET($C$1,MATCH(U$12,$C$2:$C$7,0),MATCH($T$11,$D$12:$G$12,0))</f>
        <v>#N/A</v>
      </c>
      <c r="V79" s="163">
        <f ca="1">_xlfn.XLOOKUP(MAX(INT((OFFSET($C$12,$I79,MATCH($T$11,$D$12:$G$12,0))-6)/10),1),组队产出!$B$25:$B$39,组队产出!$P$25:$P$39)*OFFSET($C$1,MATCH(V$12,$C$2:$C$7,0),MATCH($T$11,$D$12:$G$12,0))</f>
        <v>2248.8</v>
      </c>
      <c r="W79" s="163">
        <f ca="1">竞技场!$G$3*OFFSET($C$1,MATCH(W$12,$C$2:$C$7,0),MATCH($T$11,$D$12:$G$12,0))</f>
        <v>2100</v>
      </c>
      <c r="X7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79" s="23">
        <f>任务!$G$6+任务!$G$9+IF(MOD(S79,7)=0,任务!$N$9+任务!$O$6,0)</f>
        <v>895</v>
      </c>
      <c r="Z79" s="25">
        <f>公会!$U$11</f>
        <v>2766.62857142857</v>
      </c>
      <c r="AA79" s="163" t="e">
        <f ca="1">_xlfn.XLOOKUP(OFFSET($C$12,$I79,MATCH($T$11,$D$12:$G$12,0)),巡逻产出!$B$311:$B$610,巡逻产出!$Q$311:$Q$610)*OFFSET($C$1,MATCH(AA$12,$C$2:$C$7,0),MATCH($T$11,$D$12:$G$12,0))</f>
        <v>#N/A</v>
      </c>
      <c r="AC79" s="160">
        <v>67</v>
      </c>
      <c r="AD79" s="163">
        <f ca="1">_xlfn.XLOOKUP(OFFSET($C$12,$I79,MATCH($AD$11,$D$12:$G$12,0)),主线推图!$B$313:$B$612,主线推图!$P$313:$P$612)*OFFSET($C$1,MATCH(AD$12,$C$2:$C$7,0),MATCH($AD$11,$D$12:$G$12,0))</f>
        <v>3253.8</v>
      </c>
      <c r="AE79" s="163">
        <f ca="1">_xlfn.XLOOKUP(OFFSET($C$12,$I79,MATCH($AD$11,$D$12:$G$12,0)),巡逻产出!$B$311:$B$610,巡逻产出!$R$311:$R$610)*OFFSET($C$1,MATCH(AE$12,$C$2:$C$7,0),MATCH($AD$11,$D$12:$G$12,0))</f>
        <v>0</v>
      </c>
      <c r="AF79" s="163">
        <f ca="1">_xlfn.XLOOKUP(MAX(INT((OFFSET($C$12,$I79,MATCH($AD$11,$D$12:$G$12,0))-6)/10),1),组队产出!$B$25:$B$39,组队产出!$P$25:$P$39)*OFFSET($C$1,MATCH(AF$12,$C$2:$C$7,0),MATCH($AD$11,$D$12:$G$12,0))</f>
        <v>2296.8</v>
      </c>
      <c r="AG79" s="163">
        <f ca="1">竞技场!$G$3*OFFSET($C$1,MATCH(AG$12,$C$2:$C$7,0),MATCH($AD$11,$D$12:$G$12,0))</f>
        <v>3150</v>
      </c>
      <c r="AH7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79" s="23">
        <f>任务!$G$6+任务!$G$9+IF(MOD(AC79,7)=0,任务!$N$9+任务!$O$6,0)</f>
        <v>895</v>
      </c>
      <c r="AJ79" s="25">
        <f>公会!$U$11</f>
        <v>2766.62857142857</v>
      </c>
      <c r="AK79" s="163">
        <f ca="1">_xlfn.XLOOKUP(OFFSET($C$12,$I79,MATCH($AD$11,$D$12:$G$12,0)),巡逻产出!$B$311:$B$610,巡逻产出!$Q$311:$Q$610)*OFFSET($C$1,MATCH(AK$12,$C$2:$C$7,0),MATCH($AD$11,$D$12:$G$12,0))</f>
        <v>2249.208</v>
      </c>
      <c r="AM79" s="164">
        <v>67</v>
      </c>
      <c r="AN79" s="165">
        <f t="shared" si="11"/>
        <v>8306</v>
      </c>
      <c r="AO79" s="165">
        <f t="shared" si="12"/>
        <v>10327</v>
      </c>
      <c r="AP79" s="165">
        <f t="shared" si="13"/>
        <v>16137</v>
      </c>
      <c r="AQ79" s="165">
        <f t="shared" si="14"/>
        <v>21068</v>
      </c>
    </row>
    <row r="80" spans="3:43">
      <c r="C80" s="160">
        <v>68</v>
      </c>
      <c r="D80" s="169">
        <v>118</v>
      </c>
      <c r="E80" s="170">
        <f t="shared" si="9"/>
        <v>91.75</v>
      </c>
      <c r="F80" s="169">
        <f t="shared" si="10"/>
        <v>100.65</v>
      </c>
      <c r="G80" s="168">
        <v>141</v>
      </c>
      <c r="I80" s="160">
        <v>68</v>
      </c>
      <c r="J80" s="163" t="e">
        <f ca="1">_xlfn.XLOOKUP(OFFSET($C$12,$I80,MATCH($J$11,$D$12:$G$12,0)),主线推图!$B$313:$B$612,主线推图!$P$313:$P$612)*OFFSET($C$1,MATCH(J$12,$C$2:$C$7,0),MATCH($J$11,$D$12:$G$12,0))</f>
        <v>#N/A</v>
      </c>
      <c r="K80" s="163" t="e">
        <f ca="1">_xlfn.XLOOKUP(OFFSET($C$12,$I80,MATCH($J$11,$D$12:$G$12,0)),巡逻产出!$B$311:$B$610,巡逻产出!$R$311:$R$610)*OFFSET($C$1,MATCH(K$12,$C$2:$C$7,0),MATCH($J$11,$D$12:$G$12,0))</f>
        <v>#N/A</v>
      </c>
      <c r="L80" s="163">
        <f ca="1">_xlfn.XLOOKUP(MAX(INT((OFFSET($C$12,$I80,MATCH($J$11,$D$12:$G$12,0))-6)/10),1),组队产出!$B$25:$B$39,组队产出!$P$25:$P$39)*OFFSET($C$1,MATCH(L$12,$C$2:$C$7,0),MATCH($J$11,$D$12:$G$12,0))</f>
        <v>1112.4</v>
      </c>
      <c r="M80" s="163">
        <f ca="1">竞技场!$G$3*OFFSET($C$1,MATCH(M$12,$C$2:$C$7,0),MATCH($J$11,$D$12:$G$12,0))</f>
        <v>1050</v>
      </c>
      <c r="N8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80" s="23">
        <f>任务!$G$6+任务!$G$9+IF(MOD(I80,7)=0,任务!$N$9+任务!$O$6,0)</f>
        <v>895</v>
      </c>
      <c r="P80" s="25">
        <f>公会!$U$11</f>
        <v>2766.62857142857</v>
      </c>
      <c r="Q80" s="163" t="e">
        <f ca="1">_xlfn.XLOOKUP(OFFSET($C$12,$I80,MATCH($J$11,$D$12:$G$12,0)),巡逻产出!$B$311:$B$610,巡逻产出!$Q$311:$Q$610)*OFFSET($C$1,MATCH(Q$12,$C$2:$C$7,0),MATCH($J$11,$D$12:$G$12,0))</f>
        <v>#N/A</v>
      </c>
      <c r="S80" s="160">
        <v>68</v>
      </c>
      <c r="T80" s="163" t="e">
        <f ca="1">_xlfn.XLOOKUP(OFFSET($C$12,$I80,MATCH($T$11,$D$12:$G$12,0)),主线推图!$B$313:$B$612,主线推图!$P$313:$P$612)*OFFSET($C$1,MATCH(T$12,$C$2:$C$7,0),MATCH($T$11,$D$12:$G$12,0))</f>
        <v>#N/A</v>
      </c>
      <c r="U80" s="163" t="e">
        <f ca="1">_xlfn.XLOOKUP(OFFSET($C$12,$I80,MATCH($T$11,$D$12:$G$12,0)),巡逻产出!$B$311:$B$610,巡逻产出!$R$311:$R$610)*OFFSET($C$1,MATCH(U$12,$C$2:$C$7,0),MATCH($T$11,$D$12:$G$12,0))</f>
        <v>#N/A</v>
      </c>
      <c r="V80" s="163">
        <f ca="1">_xlfn.XLOOKUP(MAX(INT((OFFSET($C$12,$I80,MATCH($T$11,$D$12:$G$12,0))-6)/10),1),组队产出!$B$25:$B$39,组队产出!$P$25:$P$39)*OFFSET($C$1,MATCH(V$12,$C$2:$C$7,0),MATCH($T$11,$D$12:$G$12,0))</f>
        <v>2248.8</v>
      </c>
      <c r="W80" s="163">
        <f ca="1">竞技场!$G$3*OFFSET($C$1,MATCH(W$12,$C$2:$C$7,0),MATCH($T$11,$D$12:$G$12,0))</f>
        <v>2100</v>
      </c>
      <c r="X8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80" s="23">
        <f>任务!$G$6+任务!$G$9+IF(MOD(S80,7)=0,任务!$N$9+任务!$O$6,0)</f>
        <v>895</v>
      </c>
      <c r="Z80" s="25">
        <f>公会!$U$11</f>
        <v>2766.62857142857</v>
      </c>
      <c r="AA80" s="163" t="e">
        <f ca="1">_xlfn.XLOOKUP(OFFSET($C$12,$I80,MATCH($T$11,$D$12:$G$12,0)),巡逻产出!$B$311:$B$610,巡逻产出!$Q$311:$Q$610)*OFFSET($C$1,MATCH(AA$12,$C$2:$C$7,0),MATCH($T$11,$D$12:$G$12,0))</f>
        <v>#N/A</v>
      </c>
      <c r="AC80" s="160">
        <v>68</v>
      </c>
      <c r="AD80" s="163">
        <f ca="1">_xlfn.XLOOKUP(OFFSET($C$12,$I80,MATCH($AD$11,$D$12:$G$12,0)),主线推图!$B$313:$B$612,主线推图!$P$313:$P$612)*OFFSET($C$1,MATCH(AD$12,$C$2:$C$7,0),MATCH($AD$11,$D$12:$G$12,0))</f>
        <v>3256</v>
      </c>
      <c r="AE80" s="163">
        <f ca="1">_xlfn.XLOOKUP(OFFSET($C$12,$I80,MATCH($AD$11,$D$12:$G$12,0)),巡逻产出!$B$311:$B$610,巡逻产出!$R$311:$R$610)*OFFSET($C$1,MATCH(AE$12,$C$2:$C$7,0),MATCH($AD$11,$D$12:$G$12,0))</f>
        <v>0</v>
      </c>
      <c r="AF80" s="163">
        <f ca="1">_xlfn.XLOOKUP(MAX(INT((OFFSET($C$12,$I80,MATCH($AD$11,$D$12:$G$12,0))-6)/10),1),组队产出!$B$25:$B$39,组队产出!$P$25:$P$39)*OFFSET($C$1,MATCH(AF$12,$C$2:$C$7,0),MATCH($AD$11,$D$12:$G$12,0))</f>
        <v>2296.8</v>
      </c>
      <c r="AG80" s="163">
        <f ca="1">竞技场!$G$3*OFFSET($C$1,MATCH(AG$12,$C$2:$C$7,0),MATCH($AD$11,$D$12:$G$12,0))</f>
        <v>3150</v>
      </c>
      <c r="AH8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80" s="23">
        <f>任务!$G$6+任务!$G$9+IF(MOD(AC80,7)=0,任务!$N$9+任务!$O$6,0)</f>
        <v>895</v>
      </c>
      <c r="AJ80" s="25">
        <f>公会!$U$11</f>
        <v>2766.62857142857</v>
      </c>
      <c r="AK80" s="163">
        <f ca="1">_xlfn.XLOOKUP(OFFSET($C$12,$I80,MATCH($AD$11,$D$12:$G$12,0)),巡逻产出!$B$311:$B$610,巡逻产出!$Q$311:$Q$610)*OFFSET($C$1,MATCH(AK$12,$C$2:$C$7,0),MATCH($AD$11,$D$12:$G$12,0))</f>
        <v>2250.768</v>
      </c>
      <c r="AM80" s="164">
        <v>68</v>
      </c>
      <c r="AN80" s="165">
        <f t="shared" si="11"/>
        <v>8419</v>
      </c>
      <c r="AO80" s="165">
        <f t="shared" si="12"/>
        <v>10470</v>
      </c>
      <c r="AP80" s="165">
        <f t="shared" si="13"/>
        <v>16365</v>
      </c>
      <c r="AQ80" s="165">
        <f t="shared" si="14"/>
        <v>21370</v>
      </c>
    </row>
    <row r="81" spans="3:43">
      <c r="C81" s="160">
        <v>69</v>
      </c>
      <c r="D81" s="169">
        <v>118</v>
      </c>
      <c r="E81" s="170">
        <f t="shared" si="9"/>
        <v>92</v>
      </c>
      <c r="F81" s="169">
        <f t="shared" si="10"/>
        <v>101</v>
      </c>
      <c r="G81" s="168">
        <v>142</v>
      </c>
      <c r="I81" s="160">
        <v>69</v>
      </c>
      <c r="J81" s="163" t="e">
        <f ca="1">_xlfn.XLOOKUP(OFFSET($C$12,$I81,MATCH($J$11,$D$12:$G$12,0)),主线推图!$B$313:$B$612,主线推图!$P$313:$P$612)*OFFSET($C$1,MATCH(J$12,$C$2:$C$7,0),MATCH($J$11,$D$12:$G$12,0))</f>
        <v>#N/A</v>
      </c>
      <c r="K81" s="163" t="e">
        <f ca="1">_xlfn.XLOOKUP(OFFSET($C$12,$I81,MATCH($J$11,$D$12:$G$12,0)),巡逻产出!$B$311:$B$610,巡逻产出!$R$311:$R$610)*OFFSET($C$1,MATCH(K$12,$C$2:$C$7,0),MATCH($J$11,$D$12:$G$12,0))</f>
        <v>#N/A</v>
      </c>
      <c r="L81" s="163">
        <f ca="1">_xlfn.XLOOKUP(MAX(INT((OFFSET($C$12,$I81,MATCH($J$11,$D$12:$G$12,0))-6)/10),1),组队产出!$B$25:$B$39,组队产出!$P$25:$P$39)*OFFSET($C$1,MATCH(L$12,$C$2:$C$7,0),MATCH($J$11,$D$12:$G$12,0))</f>
        <v>1112.4</v>
      </c>
      <c r="M81" s="163">
        <f ca="1">竞技场!$G$3*OFFSET($C$1,MATCH(M$12,$C$2:$C$7,0),MATCH($J$11,$D$12:$G$12,0))</f>
        <v>1050</v>
      </c>
      <c r="N8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81" s="23">
        <f>任务!$G$6+任务!$G$9+IF(MOD(I81,7)=0,任务!$N$9+任务!$O$6,0)</f>
        <v>895</v>
      </c>
      <c r="P81" s="25">
        <f>公会!$U$11</f>
        <v>2766.62857142857</v>
      </c>
      <c r="Q81" s="163" t="e">
        <f ca="1">_xlfn.XLOOKUP(OFFSET($C$12,$I81,MATCH($J$11,$D$12:$G$12,0)),巡逻产出!$B$311:$B$610,巡逻产出!$Q$311:$Q$610)*OFFSET($C$1,MATCH(Q$12,$C$2:$C$7,0),MATCH($J$11,$D$12:$G$12,0))</f>
        <v>#N/A</v>
      </c>
      <c r="S81" s="160">
        <v>69</v>
      </c>
      <c r="T81" s="163">
        <f ca="1">_xlfn.XLOOKUP(OFFSET($C$12,$I81,MATCH($T$11,$D$12:$G$12,0)),主线推图!$B$313:$B$612,主线推图!$P$313:$P$612)*OFFSET($C$1,MATCH(T$12,$C$2:$C$7,0),MATCH($T$11,$D$12:$G$12,0))</f>
        <v>2160</v>
      </c>
      <c r="U81" s="163">
        <f ca="1">_xlfn.XLOOKUP(OFFSET($C$12,$I81,MATCH($T$11,$D$12:$G$12,0)),巡逻产出!$B$311:$B$610,巡逻产出!$R$311:$R$610)*OFFSET($C$1,MATCH(U$12,$C$2:$C$7,0),MATCH($T$11,$D$12:$G$12,0))</f>
        <v>1890</v>
      </c>
      <c r="V81" s="163">
        <f ca="1">_xlfn.XLOOKUP(MAX(INT((OFFSET($C$12,$I81,MATCH($T$11,$D$12:$G$12,0))-6)/10),1),组队产出!$B$25:$B$39,组队产出!$P$25:$P$39)*OFFSET($C$1,MATCH(V$12,$C$2:$C$7,0),MATCH($T$11,$D$12:$G$12,0))</f>
        <v>2248.8</v>
      </c>
      <c r="W81" s="163">
        <f ca="1">竞技场!$G$3*OFFSET($C$1,MATCH(W$12,$C$2:$C$7,0),MATCH($T$11,$D$12:$G$12,0))</f>
        <v>2100</v>
      </c>
      <c r="X8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81" s="23">
        <f>任务!$G$6+任务!$G$9+IF(MOD(S81,7)=0,任务!$N$9+任务!$O$6,0)</f>
        <v>895</v>
      </c>
      <c r="Z81" s="25">
        <f>公会!$U$11</f>
        <v>2766.62857142857</v>
      </c>
      <c r="AA81" s="163">
        <f ca="1">_xlfn.XLOOKUP(OFFSET($C$12,$I81,MATCH($T$11,$D$12:$G$12,0)),巡逻产出!$B$311:$B$610,巡逻产出!$Q$311:$Q$610)*OFFSET($C$1,MATCH(AA$12,$C$2:$C$7,0),MATCH($T$11,$D$12:$G$12,0))</f>
        <v>2188.368</v>
      </c>
      <c r="AC81" s="160">
        <v>69</v>
      </c>
      <c r="AD81" s="163">
        <f ca="1">_xlfn.XLOOKUP(OFFSET($C$12,$I81,MATCH($AD$11,$D$12:$G$12,0)),主线推图!$B$313:$B$612,主线推图!$P$313:$P$612)*OFFSET($C$1,MATCH(AD$12,$C$2:$C$7,0),MATCH($AD$11,$D$12:$G$12,0))</f>
        <v>3258.2</v>
      </c>
      <c r="AE81" s="163">
        <f ca="1">_xlfn.XLOOKUP(OFFSET($C$12,$I81,MATCH($AD$11,$D$12:$G$12,0)),巡逻产出!$B$311:$B$610,巡逻产出!$R$311:$R$610)*OFFSET($C$1,MATCH(AE$12,$C$2:$C$7,0),MATCH($AD$11,$D$12:$G$12,0))</f>
        <v>0</v>
      </c>
      <c r="AF81" s="163">
        <f ca="1">_xlfn.XLOOKUP(MAX(INT((OFFSET($C$12,$I81,MATCH($AD$11,$D$12:$G$12,0))-6)/10),1),组队产出!$B$25:$B$39,组队产出!$P$25:$P$39)*OFFSET($C$1,MATCH(AF$12,$C$2:$C$7,0),MATCH($AD$11,$D$12:$G$12,0))</f>
        <v>2296.8</v>
      </c>
      <c r="AG81" s="163">
        <f ca="1">竞技场!$G$3*OFFSET($C$1,MATCH(AG$12,$C$2:$C$7,0),MATCH($AD$11,$D$12:$G$12,0))</f>
        <v>3150</v>
      </c>
      <c r="AH8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81" s="23">
        <f>任务!$G$6+任务!$G$9+IF(MOD(AC81,7)=0,任务!$N$9+任务!$O$6,0)</f>
        <v>895</v>
      </c>
      <c r="AJ81" s="25">
        <f>公会!$U$11</f>
        <v>2766.62857142857</v>
      </c>
      <c r="AK81" s="163">
        <f ca="1">_xlfn.XLOOKUP(OFFSET($C$12,$I81,MATCH($AD$11,$D$12:$G$12,0)),巡逻产出!$B$311:$B$610,巡逻产出!$Q$311:$Q$610)*OFFSET($C$1,MATCH(AK$12,$C$2:$C$7,0),MATCH($AD$11,$D$12:$G$12,0))</f>
        <v>2252.328</v>
      </c>
      <c r="AM81" s="164">
        <v>69</v>
      </c>
      <c r="AN81" s="165">
        <f t="shared" si="11"/>
        <v>8533</v>
      </c>
      <c r="AO81" s="165">
        <f t="shared" si="12"/>
        <v>10613</v>
      </c>
      <c r="AP81" s="165">
        <f t="shared" si="13"/>
        <v>16594</v>
      </c>
      <c r="AQ81" s="165">
        <f t="shared" si="14"/>
        <v>21672</v>
      </c>
    </row>
    <row r="82" spans="3:43">
      <c r="C82" s="160">
        <v>70</v>
      </c>
      <c r="D82" s="169">
        <v>119</v>
      </c>
      <c r="E82" s="170">
        <f t="shared" si="9"/>
        <v>92.25</v>
      </c>
      <c r="F82" s="169">
        <f t="shared" si="10"/>
        <v>101.35</v>
      </c>
      <c r="G82" s="168">
        <v>143</v>
      </c>
      <c r="I82" s="160">
        <v>70</v>
      </c>
      <c r="J82" s="163" t="e">
        <f ca="1">_xlfn.XLOOKUP(OFFSET($C$12,$I82,MATCH($J$11,$D$12:$G$12,0)),主线推图!$B$313:$B$612,主线推图!$P$313:$P$612)*OFFSET($C$1,MATCH(J$12,$C$2:$C$7,0),MATCH($J$11,$D$12:$G$12,0))</f>
        <v>#N/A</v>
      </c>
      <c r="K82" s="163" t="e">
        <f ca="1">_xlfn.XLOOKUP(OFFSET($C$12,$I82,MATCH($J$11,$D$12:$G$12,0)),巡逻产出!$B$311:$B$610,巡逻产出!$R$311:$R$610)*OFFSET($C$1,MATCH(K$12,$C$2:$C$7,0),MATCH($J$11,$D$12:$G$12,0))</f>
        <v>#N/A</v>
      </c>
      <c r="L82" s="163">
        <f ca="1">_xlfn.XLOOKUP(MAX(INT((OFFSET($C$12,$I82,MATCH($J$11,$D$12:$G$12,0))-6)/10),1),组队产出!$B$25:$B$39,组队产出!$P$25:$P$39)*OFFSET($C$1,MATCH(L$12,$C$2:$C$7,0),MATCH($J$11,$D$12:$G$12,0))</f>
        <v>1112.4</v>
      </c>
      <c r="M82" s="163">
        <f ca="1">竞技场!$G$3*OFFSET($C$1,MATCH(M$12,$C$2:$C$7,0),MATCH($J$11,$D$12:$G$12,0))</f>
        <v>1050</v>
      </c>
      <c r="N8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82" s="23">
        <f>任务!$G$6+任务!$G$9+IF(MOD(I82,7)=0,任务!$N$9+任务!$O$6,0)</f>
        <v>3125</v>
      </c>
      <c r="P82" s="25">
        <f>公会!$U$11</f>
        <v>2766.62857142857</v>
      </c>
      <c r="Q82" s="163" t="e">
        <f ca="1">_xlfn.XLOOKUP(OFFSET($C$12,$I82,MATCH($J$11,$D$12:$G$12,0)),巡逻产出!$B$311:$B$610,巡逻产出!$Q$311:$Q$610)*OFFSET($C$1,MATCH(Q$12,$C$2:$C$7,0),MATCH($J$11,$D$12:$G$12,0))</f>
        <v>#N/A</v>
      </c>
      <c r="S82" s="160">
        <v>70</v>
      </c>
      <c r="T82" s="163" t="e">
        <f ca="1">_xlfn.XLOOKUP(OFFSET($C$12,$I82,MATCH($T$11,$D$12:$G$12,0)),主线推图!$B$313:$B$612,主线推图!$P$313:$P$612)*OFFSET($C$1,MATCH(T$12,$C$2:$C$7,0),MATCH($T$11,$D$12:$G$12,0))</f>
        <v>#N/A</v>
      </c>
      <c r="U82" s="163" t="e">
        <f ca="1">_xlfn.XLOOKUP(OFFSET($C$12,$I82,MATCH($T$11,$D$12:$G$12,0)),巡逻产出!$B$311:$B$610,巡逻产出!$R$311:$R$610)*OFFSET($C$1,MATCH(U$12,$C$2:$C$7,0),MATCH($T$11,$D$12:$G$12,0))</f>
        <v>#N/A</v>
      </c>
      <c r="V82" s="163">
        <f ca="1">_xlfn.XLOOKUP(MAX(INT((OFFSET($C$12,$I82,MATCH($T$11,$D$12:$G$12,0))-6)/10),1),组队产出!$B$25:$B$39,组队产出!$P$25:$P$39)*OFFSET($C$1,MATCH(V$12,$C$2:$C$7,0),MATCH($T$11,$D$12:$G$12,0))</f>
        <v>2248.8</v>
      </c>
      <c r="W82" s="163">
        <f ca="1">竞技场!$G$3*OFFSET($C$1,MATCH(W$12,$C$2:$C$7,0),MATCH($T$11,$D$12:$G$12,0))</f>
        <v>2100</v>
      </c>
      <c r="X8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82" s="23">
        <f>任务!$G$6+任务!$G$9+IF(MOD(S82,7)=0,任务!$N$9+任务!$O$6,0)</f>
        <v>3125</v>
      </c>
      <c r="Z82" s="25">
        <f>公会!$U$11</f>
        <v>2766.62857142857</v>
      </c>
      <c r="AA82" s="163" t="e">
        <f ca="1">_xlfn.XLOOKUP(OFFSET($C$12,$I82,MATCH($T$11,$D$12:$G$12,0)),巡逻产出!$B$311:$B$610,巡逻产出!$Q$311:$Q$610)*OFFSET($C$1,MATCH(AA$12,$C$2:$C$7,0),MATCH($T$11,$D$12:$G$12,0))</f>
        <v>#N/A</v>
      </c>
      <c r="AC82" s="160">
        <v>70</v>
      </c>
      <c r="AD82" s="163">
        <f ca="1">_xlfn.XLOOKUP(OFFSET($C$12,$I82,MATCH($AD$11,$D$12:$G$12,0)),主线推图!$B$313:$B$612,主线推图!$P$313:$P$612)*OFFSET($C$1,MATCH(AD$12,$C$2:$C$7,0),MATCH($AD$11,$D$12:$G$12,0))</f>
        <v>3260.4</v>
      </c>
      <c r="AE82" s="163">
        <f ca="1">_xlfn.XLOOKUP(OFFSET($C$12,$I82,MATCH($AD$11,$D$12:$G$12,0)),巡逻产出!$B$311:$B$610,巡逻产出!$R$311:$R$610)*OFFSET($C$1,MATCH(AE$12,$C$2:$C$7,0),MATCH($AD$11,$D$12:$G$12,0))</f>
        <v>0</v>
      </c>
      <c r="AF82" s="163">
        <f ca="1">_xlfn.XLOOKUP(MAX(INT((OFFSET($C$12,$I82,MATCH($AD$11,$D$12:$G$12,0))-6)/10),1),组队产出!$B$25:$B$39,组队产出!$P$25:$P$39)*OFFSET($C$1,MATCH(AF$12,$C$2:$C$7,0),MATCH($AD$11,$D$12:$G$12,0))</f>
        <v>2296.8</v>
      </c>
      <c r="AG82" s="163">
        <f ca="1">竞技场!$G$3*OFFSET($C$1,MATCH(AG$12,$C$2:$C$7,0),MATCH($AD$11,$D$12:$G$12,0))</f>
        <v>3150</v>
      </c>
      <c r="AH8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82" s="23">
        <f>任务!$G$6+任务!$G$9+IF(MOD(AC82,7)=0,任务!$N$9+任务!$O$6,0)</f>
        <v>3125</v>
      </c>
      <c r="AJ82" s="25">
        <f>公会!$U$11</f>
        <v>2766.62857142857</v>
      </c>
      <c r="AK82" s="163">
        <f ca="1">_xlfn.XLOOKUP(OFFSET($C$12,$I82,MATCH($AD$11,$D$12:$G$12,0)),巡逻产出!$B$311:$B$610,巡逻产出!$Q$311:$Q$610)*OFFSET($C$1,MATCH(AK$12,$C$2:$C$7,0),MATCH($AD$11,$D$12:$G$12,0))</f>
        <v>2253.888</v>
      </c>
      <c r="AM82" s="164">
        <v>70</v>
      </c>
      <c r="AN82" s="165">
        <f t="shared" si="11"/>
        <v>8646</v>
      </c>
      <c r="AO82" s="165">
        <f t="shared" si="12"/>
        <v>10756</v>
      </c>
      <c r="AP82" s="165">
        <f t="shared" si="13"/>
        <v>16822</v>
      </c>
      <c r="AQ82" s="165">
        <f t="shared" si="14"/>
        <v>21974</v>
      </c>
    </row>
    <row r="83" spans="3:43">
      <c r="C83" s="160">
        <v>71</v>
      </c>
      <c r="D83" s="169">
        <v>119</v>
      </c>
      <c r="E83" s="170">
        <f t="shared" si="9"/>
        <v>92.5</v>
      </c>
      <c r="F83" s="169">
        <f t="shared" si="10"/>
        <v>101.7</v>
      </c>
      <c r="G83" s="168">
        <v>144</v>
      </c>
      <c r="I83" s="160">
        <v>71</v>
      </c>
      <c r="J83" s="163" t="e">
        <f ca="1">_xlfn.XLOOKUP(OFFSET($C$12,$I83,MATCH($J$11,$D$12:$G$12,0)),主线推图!$B$313:$B$612,主线推图!$P$313:$P$612)*OFFSET($C$1,MATCH(J$12,$C$2:$C$7,0),MATCH($J$11,$D$12:$G$12,0))</f>
        <v>#N/A</v>
      </c>
      <c r="K83" s="163" t="e">
        <f ca="1">_xlfn.XLOOKUP(OFFSET($C$12,$I83,MATCH($J$11,$D$12:$G$12,0)),巡逻产出!$B$311:$B$610,巡逻产出!$R$311:$R$610)*OFFSET($C$1,MATCH(K$12,$C$2:$C$7,0),MATCH($J$11,$D$12:$G$12,0))</f>
        <v>#N/A</v>
      </c>
      <c r="L83" s="163">
        <f ca="1">_xlfn.XLOOKUP(MAX(INT((OFFSET($C$12,$I83,MATCH($J$11,$D$12:$G$12,0))-6)/10),1),组队产出!$B$25:$B$39,组队产出!$P$25:$P$39)*OFFSET($C$1,MATCH(L$12,$C$2:$C$7,0),MATCH($J$11,$D$12:$G$12,0))</f>
        <v>1112.4</v>
      </c>
      <c r="M83" s="163">
        <f ca="1">竞技场!$G$3*OFFSET($C$1,MATCH(M$12,$C$2:$C$7,0),MATCH($J$11,$D$12:$G$12,0))</f>
        <v>1050</v>
      </c>
      <c r="N8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83" s="23">
        <f>任务!$G$6+任务!$G$9+IF(MOD(I83,7)=0,任务!$N$9+任务!$O$6,0)</f>
        <v>895</v>
      </c>
      <c r="P83" s="25">
        <f>公会!$U$11</f>
        <v>2766.62857142857</v>
      </c>
      <c r="Q83" s="163" t="e">
        <f ca="1">_xlfn.XLOOKUP(OFFSET($C$12,$I83,MATCH($J$11,$D$12:$G$12,0)),巡逻产出!$B$311:$B$610,巡逻产出!$Q$311:$Q$610)*OFFSET($C$1,MATCH(Q$12,$C$2:$C$7,0),MATCH($J$11,$D$12:$G$12,0))</f>
        <v>#N/A</v>
      </c>
      <c r="S83" s="160">
        <v>71</v>
      </c>
      <c r="T83" s="163" t="e">
        <f ca="1">_xlfn.XLOOKUP(OFFSET($C$12,$I83,MATCH($T$11,$D$12:$G$12,0)),主线推图!$B$313:$B$612,主线推图!$P$313:$P$612)*OFFSET($C$1,MATCH(T$12,$C$2:$C$7,0),MATCH($T$11,$D$12:$G$12,0))</f>
        <v>#N/A</v>
      </c>
      <c r="U83" s="163" t="e">
        <f ca="1">_xlfn.XLOOKUP(OFFSET($C$12,$I83,MATCH($T$11,$D$12:$G$12,0)),巡逻产出!$B$311:$B$610,巡逻产出!$R$311:$R$610)*OFFSET($C$1,MATCH(U$12,$C$2:$C$7,0),MATCH($T$11,$D$12:$G$12,0))</f>
        <v>#N/A</v>
      </c>
      <c r="V83" s="163">
        <f ca="1">_xlfn.XLOOKUP(MAX(INT((OFFSET($C$12,$I83,MATCH($T$11,$D$12:$G$12,0))-6)/10),1),组队产出!$B$25:$B$39,组队产出!$P$25:$P$39)*OFFSET($C$1,MATCH(V$12,$C$2:$C$7,0),MATCH($T$11,$D$12:$G$12,0))</f>
        <v>2248.8</v>
      </c>
      <c r="W83" s="163">
        <f ca="1">竞技场!$G$3*OFFSET($C$1,MATCH(W$12,$C$2:$C$7,0),MATCH($T$11,$D$12:$G$12,0))</f>
        <v>2100</v>
      </c>
      <c r="X8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83" s="23">
        <f>任务!$G$6+任务!$G$9+IF(MOD(S83,7)=0,任务!$N$9+任务!$O$6,0)</f>
        <v>895</v>
      </c>
      <c r="Z83" s="25">
        <f>公会!$U$11</f>
        <v>2766.62857142857</v>
      </c>
      <c r="AA83" s="163" t="e">
        <f ca="1">_xlfn.XLOOKUP(OFFSET($C$12,$I83,MATCH($T$11,$D$12:$G$12,0)),巡逻产出!$B$311:$B$610,巡逻产出!$Q$311:$Q$610)*OFFSET($C$1,MATCH(AA$12,$C$2:$C$7,0),MATCH($T$11,$D$12:$G$12,0))</f>
        <v>#N/A</v>
      </c>
      <c r="AC83" s="160">
        <v>71</v>
      </c>
      <c r="AD83" s="163">
        <f ca="1">_xlfn.XLOOKUP(OFFSET($C$12,$I83,MATCH($AD$11,$D$12:$G$12,0)),主线推图!$B$313:$B$612,主线推图!$P$313:$P$612)*OFFSET($C$1,MATCH(AD$12,$C$2:$C$7,0),MATCH($AD$11,$D$12:$G$12,0))</f>
        <v>3262.6</v>
      </c>
      <c r="AE83" s="163">
        <f ca="1">_xlfn.XLOOKUP(OFFSET($C$12,$I83,MATCH($AD$11,$D$12:$G$12,0)),巡逻产出!$B$311:$B$610,巡逻产出!$R$311:$R$610)*OFFSET($C$1,MATCH(AE$12,$C$2:$C$7,0),MATCH($AD$11,$D$12:$G$12,0))</f>
        <v>0</v>
      </c>
      <c r="AF83" s="163">
        <f ca="1">_xlfn.XLOOKUP(MAX(INT((OFFSET($C$12,$I83,MATCH($AD$11,$D$12:$G$12,0))-6)/10),1),组队产出!$B$25:$B$39,组队产出!$P$25:$P$39)*OFFSET($C$1,MATCH(AF$12,$C$2:$C$7,0),MATCH($AD$11,$D$12:$G$12,0))</f>
        <v>2296.8</v>
      </c>
      <c r="AG83" s="163">
        <f ca="1">竞技场!$G$3*OFFSET($C$1,MATCH(AG$12,$C$2:$C$7,0),MATCH($AD$11,$D$12:$G$12,0))</f>
        <v>3150</v>
      </c>
      <c r="AH8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83" s="23">
        <f>任务!$G$6+任务!$G$9+IF(MOD(AC83,7)=0,任务!$N$9+任务!$O$6,0)</f>
        <v>895</v>
      </c>
      <c r="AJ83" s="25">
        <f>公会!$U$11</f>
        <v>2766.62857142857</v>
      </c>
      <c r="AK83" s="163">
        <f ca="1">_xlfn.XLOOKUP(OFFSET($C$12,$I83,MATCH($AD$11,$D$12:$G$12,0)),巡逻产出!$B$311:$B$610,巡逻产出!$Q$311:$Q$610)*OFFSET($C$1,MATCH(AK$12,$C$2:$C$7,0),MATCH($AD$11,$D$12:$G$12,0))</f>
        <v>2255.448</v>
      </c>
      <c r="AM83" s="164">
        <v>71</v>
      </c>
      <c r="AN83" s="165">
        <f t="shared" si="11"/>
        <v>8760</v>
      </c>
      <c r="AO83" s="165">
        <f t="shared" si="12"/>
        <v>10899</v>
      </c>
      <c r="AP83" s="165">
        <f t="shared" si="13"/>
        <v>17051</v>
      </c>
      <c r="AQ83" s="165">
        <f t="shared" si="14"/>
        <v>22276</v>
      </c>
    </row>
    <row r="84" spans="3:43">
      <c r="C84" s="160">
        <v>72</v>
      </c>
      <c r="D84" s="169">
        <v>120</v>
      </c>
      <c r="E84" s="170">
        <f t="shared" si="9"/>
        <v>92.75</v>
      </c>
      <c r="F84" s="169">
        <f t="shared" si="10"/>
        <v>102.05</v>
      </c>
      <c r="G84" s="168">
        <v>145</v>
      </c>
      <c r="I84" s="160">
        <v>72</v>
      </c>
      <c r="J84" s="163" t="e">
        <f ca="1">_xlfn.XLOOKUP(OFFSET($C$12,$I84,MATCH($J$11,$D$12:$G$12,0)),主线推图!$B$313:$B$612,主线推图!$P$313:$P$612)*OFFSET($C$1,MATCH(J$12,$C$2:$C$7,0),MATCH($J$11,$D$12:$G$12,0))</f>
        <v>#N/A</v>
      </c>
      <c r="K84" s="163" t="e">
        <f ca="1">_xlfn.XLOOKUP(OFFSET($C$12,$I84,MATCH($J$11,$D$12:$G$12,0)),巡逻产出!$B$311:$B$610,巡逻产出!$R$311:$R$610)*OFFSET($C$1,MATCH(K$12,$C$2:$C$7,0),MATCH($J$11,$D$12:$G$12,0))</f>
        <v>#N/A</v>
      </c>
      <c r="L84" s="163">
        <f ca="1">_xlfn.XLOOKUP(MAX(INT((OFFSET($C$12,$I84,MATCH($J$11,$D$12:$G$12,0))-6)/10),1),组队产出!$B$25:$B$39,组队产出!$P$25:$P$39)*OFFSET($C$1,MATCH(L$12,$C$2:$C$7,0),MATCH($J$11,$D$12:$G$12,0))</f>
        <v>1112.4</v>
      </c>
      <c r="M84" s="163">
        <f ca="1">竞技场!$G$3*OFFSET($C$1,MATCH(M$12,$C$2:$C$7,0),MATCH($J$11,$D$12:$G$12,0))</f>
        <v>1050</v>
      </c>
      <c r="N8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84" s="23">
        <f>任务!$G$6+任务!$G$9+IF(MOD(I84,7)=0,任务!$N$9+任务!$O$6,0)</f>
        <v>895</v>
      </c>
      <c r="P84" s="25">
        <f>公会!$U$11</f>
        <v>2766.62857142857</v>
      </c>
      <c r="Q84" s="163" t="e">
        <f ca="1">_xlfn.XLOOKUP(OFFSET($C$12,$I84,MATCH($J$11,$D$12:$G$12,0)),巡逻产出!$B$311:$B$610,巡逻产出!$Q$311:$Q$610)*OFFSET($C$1,MATCH(Q$12,$C$2:$C$7,0),MATCH($J$11,$D$12:$G$12,0))</f>
        <v>#N/A</v>
      </c>
      <c r="S84" s="160">
        <v>72</v>
      </c>
      <c r="T84" s="163" t="e">
        <f ca="1">_xlfn.XLOOKUP(OFFSET($C$12,$I84,MATCH($T$11,$D$12:$G$12,0)),主线推图!$B$313:$B$612,主线推图!$P$313:$P$612)*OFFSET($C$1,MATCH(T$12,$C$2:$C$7,0),MATCH($T$11,$D$12:$G$12,0))</f>
        <v>#N/A</v>
      </c>
      <c r="U84" s="163" t="e">
        <f ca="1">_xlfn.XLOOKUP(OFFSET($C$12,$I84,MATCH($T$11,$D$12:$G$12,0)),巡逻产出!$B$311:$B$610,巡逻产出!$R$311:$R$610)*OFFSET($C$1,MATCH(U$12,$C$2:$C$7,0),MATCH($T$11,$D$12:$G$12,0))</f>
        <v>#N/A</v>
      </c>
      <c r="V84" s="163">
        <f ca="1">_xlfn.XLOOKUP(MAX(INT((OFFSET($C$12,$I84,MATCH($T$11,$D$12:$G$12,0))-6)/10),1),组队产出!$B$25:$B$39,组队产出!$P$25:$P$39)*OFFSET($C$1,MATCH(V$12,$C$2:$C$7,0),MATCH($T$11,$D$12:$G$12,0))</f>
        <v>2248.8</v>
      </c>
      <c r="W84" s="163">
        <f ca="1">竞技场!$G$3*OFFSET($C$1,MATCH(W$12,$C$2:$C$7,0),MATCH($T$11,$D$12:$G$12,0))</f>
        <v>2100</v>
      </c>
      <c r="X8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84" s="23">
        <f>任务!$G$6+任务!$G$9+IF(MOD(S84,7)=0,任务!$N$9+任务!$O$6,0)</f>
        <v>895</v>
      </c>
      <c r="Z84" s="25">
        <f>公会!$U$11</f>
        <v>2766.62857142857</v>
      </c>
      <c r="AA84" s="163" t="e">
        <f ca="1">_xlfn.XLOOKUP(OFFSET($C$12,$I84,MATCH($T$11,$D$12:$G$12,0)),巡逻产出!$B$311:$B$610,巡逻产出!$Q$311:$Q$610)*OFFSET($C$1,MATCH(AA$12,$C$2:$C$7,0),MATCH($T$11,$D$12:$G$12,0))</f>
        <v>#N/A</v>
      </c>
      <c r="AC84" s="160">
        <v>72</v>
      </c>
      <c r="AD84" s="163">
        <f ca="1">_xlfn.XLOOKUP(OFFSET($C$12,$I84,MATCH($AD$11,$D$12:$G$12,0)),主线推图!$B$313:$B$612,主线推图!$P$313:$P$612)*OFFSET($C$1,MATCH(AD$12,$C$2:$C$7,0),MATCH($AD$11,$D$12:$G$12,0))</f>
        <v>3264.8</v>
      </c>
      <c r="AE84" s="163">
        <f ca="1">_xlfn.XLOOKUP(OFFSET($C$12,$I84,MATCH($AD$11,$D$12:$G$12,0)),巡逻产出!$B$311:$B$610,巡逻产出!$R$311:$R$610)*OFFSET($C$1,MATCH(AE$12,$C$2:$C$7,0),MATCH($AD$11,$D$12:$G$12,0))</f>
        <v>0</v>
      </c>
      <c r="AF84" s="163">
        <f ca="1">_xlfn.XLOOKUP(MAX(INT((OFFSET($C$12,$I84,MATCH($AD$11,$D$12:$G$12,0))-6)/10),1),组队产出!$B$25:$B$39,组队产出!$P$25:$P$39)*OFFSET($C$1,MATCH(AF$12,$C$2:$C$7,0),MATCH($AD$11,$D$12:$G$12,0))</f>
        <v>2296.8</v>
      </c>
      <c r="AG84" s="163">
        <f ca="1">竞技场!$G$3*OFFSET($C$1,MATCH(AG$12,$C$2:$C$7,0),MATCH($AD$11,$D$12:$G$12,0))</f>
        <v>3150</v>
      </c>
      <c r="AH8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84" s="23">
        <f>任务!$G$6+任务!$G$9+IF(MOD(AC84,7)=0,任务!$N$9+任务!$O$6,0)</f>
        <v>895</v>
      </c>
      <c r="AJ84" s="25">
        <f>公会!$U$11</f>
        <v>2766.62857142857</v>
      </c>
      <c r="AK84" s="163">
        <f ca="1">_xlfn.XLOOKUP(OFFSET($C$12,$I84,MATCH($AD$11,$D$12:$G$12,0)),巡逻产出!$B$311:$B$610,巡逻产出!$Q$311:$Q$610)*OFFSET($C$1,MATCH(AK$12,$C$2:$C$7,0),MATCH($AD$11,$D$12:$G$12,0))</f>
        <v>2257.008</v>
      </c>
      <c r="AM84" s="164">
        <v>72</v>
      </c>
      <c r="AN84" s="165">
        <f t="shared" si="11"/>
        <v>8873</v>
      </c>
      <c r="AO84" s="165">
        <f t="shared" si="12"/>
        <v>11042</v>
      </c>
      <c r="AP84" s="165">
        <f t="shared" si="13"/>
        <v>17279</v>
      </c>
      <c r="AQ84" s="165">
        <f t="shared" si="14"/>
        <v>22578</v>
      </c>
    </row>
    <row r="85" spans="3:43">
      <c r="C85" s="160">
        <v>73</v>
      </c>
      <c r="D85" s="169">
        <v>120</v>
      </c>
      <c r="E85" s="170">
        <f t="shared" si="9"/>
        <v>93</v>
      </c>
      <c r="F85" s="169">
        <f t="shared" si="10"/>
        <v>102.4</v>
      </c>
      <c r="G85" s="168">
        <v>146</v>
      </c>
      <c r="I85" s="160">
        <v>73</v>
      </c>
      <c r="J85" s="163" t="e">
        <f ca="1">_xlfn.XLOOKUP(OFFSET($C$12,$I85,MATCH($J$11,$D$12:$G$12,0)),主线推图!$B$313:$B$612,主线推图!$P$313:$P$612)*OFFSET($C$1,MATCH(J$12,$C$2:$C$7,0),MATCH($J$11,$D$12:$G$12,0))</f>
        <v>#N/A</v>
      </c>
      <c r="K85" s="163" t="e">
        <f ca="1">_xlfn.XLOOKUP(OFFSET($C$12,$I85,MATCH($J$11,$D$12:$G$12,0)),巡逻产出!$B$311:$B$610,巡逻产出!$R$311:$R$610)*OFFSET($C$1,MATCH(K$12,$C$2:$C$7,0),MATCH($J$11,$D$12:$G$12,0))</f>
        <v>#N/A</v>
      </c>
      <c r="L85" s="163">
        <f ca="1">_xlfn.XLOOKUP(MAX(INT((OFFSET($C$12,$I85,MATCH($J$11,$D$12:$G$12,0))-6)/10),1),组队产出!$B$25:$B$39,组队产出!$P$25:$P$39)*OFFSET($C$1,MATCH(L$12,$C$2:$C$7,0),MATCH($J$11,$D$12:$G$12,0))</f>
        <v>1112.4</v>
      </c>
      <c r="M85" s="163">
        <f ca="1">竞技场!$G$3*OFFSET($C$1,MATCH(M$12,$C$2:$C$7,0),MATCH($J$11,$D$12:$G$12,0))</f>
        <v>1050</v>
      </c>
      <c r="N8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85" s="23">
        <f>任务!$G$6+任务!$G$9+IF(MOD(I85,7)=0,任务!$N$9+任务!$O$6,0)</f>
        <v>895</v>
      </c>
      <c r="P85" s="25">
        <f>公会!$U$11</f>
        <v>2766.62857142857</v>
      </c>
      <c r="Q85" s="163" t="e">
        <f ca="1">_xlfn.XLOOKUP(OFFSET($C$12,$I85,MATCH($J$11,$D$12:$G$12,0)),巡逻产出!$B$311:$B$610,巡逻产出!$Q$311:$Q$610)*OFFSET($C$1,MATCH(Q$12,$C$2:$C$7,0),MATCH($J$11,$D$12:$G$12,0))</f>
        <v>#N/A</v>
      </c>
      <c r="S85" s="160">
        <v>73</v>
      </c>
      <c r="T85" s="163" t="e">
        <f ca="1">_xlfn.XLOOKUP(OFFSET($C$12,$I85,MATCH($T$11,$D$12:$G$12,0)),主线推图!$B$313:$B$612,主线推图!$P$313:$P$612)*OFFSET($C$1,MATCH(T$12,$C$2:$C$7,0),MATCH($T$11,$D$12:$G$12,0))</f>
        <v>#N/A</v>
      </c>
      <c r="U85" s="163" t="e">
        <f ca="1">_xlfn.XLOOKUP(OFFSET($C$12,$I85,MATCH($T$11,$D$12:$G$12,0)),巡逻产出!$B$311:$B$610,巡逻产出!$R$311:$R$610)*OFFSET($C$1,MATCH(U$12,$C$2:$C$7,0),MATCH($T$11,$D$12:$G$12,0))</f>
        <v>#N/A</v>
      </c>
      <c r="V85" s="163">
        <f ca="1">_xlfn.XLOOKUP(MAX(INT((OFFSET($C$12,$I85,MATCH($T$11,$D$12:$G$12,0))-6)/10),1),组队产出!$B$25:$B$39,组队产出!$P$25:$P$39)*OFFSET($C$1,MATCH(V$12,$C$2:$C$7,0),MATCH($T$11,$D$12:$G$12,0))</f>
        <v>2248.8</v>
      </c>
      <c r="W85" s="163">
        <f ca="1">竞技场!$G$3*OFFSET($C$1,MATCH(W$12,$C$2:$C$7,0),MATCH($T$11,$D$12:$G$12,0))</f>
        <v>2100</v>
      </c>
      <c r="X8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85" s="23">
        <f>任务!$G$6+任务!$G$9+IF(MOD(S85,7)=0,任务!$N$9+任务!$O$6,0)</f>
        <v>895</v>
      </c>
      <c r="Z85" s="25">
        <f>公会!$U$11</f>
        <v>2766.62857142857</v>
      </c>
      <c r="AA85" s="163" t="e">
        <f ca="1">_xlfn.XLOOKUP(OFFSET($C$12,$I85,MATCH($T$11,$D$12:$G$12,0)),巡逻产出!$B$311:$B$610,巡逻产出!$Q$311:$Q$610)*OFFSET($C$1,MATCH(AA$12,$C$2:$C$7,0),MATCH($T$11,$D$12:$G$12,0))</f>
        <v>#N/A</v>
      </c>
      <c r="AC85" s="160">
        <v>73</v>
      </c>
      <c r="AD85" s="163">
        <f ca="1">_xlfn.XLOOKUP(OFFSET($C$12,$I85,MATCH($AD$11,$D$12:$G$12,0)),主线推图!$B$313:$B$612,主线推图!$P$313:$P$612)*OFFSET($C$1,MATCH(AD$12,$C$2:$C$7,0),MATCH($AD$11,$D$12:$G$12,0))</f>
        <v>3267</v>
      </c>
      <c r="AE85" s="163">
        <f ca="1">_xlfn.XLOOKUP(OFFSET($C$12,$I85,MATCH($AD$11,$D$12:$G$12,0)),巡逻产出!$B$311:$B$610,巡逻产出!$R$311:$R$610)*OFFSET($C$1,MATCH(AE$12,$C$2:$C$7,0),MATCH($AD$11,$D$12:$G$12,0))</f>
        <v>0</v>
      </c>
      <c r="AF85" s="163">
        <f ca="1">_xlfn.XLOOKUP(MAX(INT((OFFSET($C$12,$I85,MATCH($AD$11,$D$12:$G$12,0))-6)/10),1),组队产出!$B$25:$B$39,组队产出!$P$25:$P$39)*OFFSET($C$1,MATCH(AF$12,$C$2:$C$7,0),MATCH($AD$11,$D$12:$G$12,0))</f>
        <v>2308.8</v>
      </c>
      <c r="AG85" s="163">
        <f ca="1">竞技场!$G$3*OFFSET($C$1,MATCH(AG$12,$C$2:$C$7,0),MATCH($AD$11,$D$12:$G$12,0))</f>
        <v>3150</v>
      </c>
      <c r="AH8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85" s="23">
        <f>任务!$G$6+任务!$G$9+IF(MOD(AC85,7)=0,任务!$N$9+任务!$O$6,0)</f>
        <v>895</v>
      </c>
      <c r="AJ85" s="25">
        <f>公会!$U$11</f>
        <v>2766.62857142857</v>
      </c>
      <c r="AK85" s="163">
        <f ca="1">_xlfn.XLOOKUP(OFFSET($C$12,$I85,MATCH($AD$11,$D$12:$G$12,0)),巡逻产出!$B$311:$B$610,巡逻产出!$Q$311:$Q$610)*OFFSET($C$1,MATCH(AK$12,$C$2:$C$7,0),MATCH($AD$11,$D$12:$G$12,0))</f>
        <v>2258.568</v>
      </c>
      <c r="AM85" s="164">
        <v>73</v>
      </c>
      <c r="AN85" s="165">
        <f t="shared" si="11"/>
        <v>8987</v>
      </c>
      <c r="AO85" s="165">
        <f t="shared" si="12"/>
        <v>11185</v>
      </c>
      <c r="AP85" s="165">
        <f t="shared" si="13"/>
        <v>17508</v>
      </c>
      <c r="AQ85" s="165">
        <f t="shared" si="14"/>
        <v>22880</v>
      </c>
    </row>
    <row r="86" spans="3:43">
      <c r="C86" s="160">
        <v>74</v>
      </c>
      <c r="D86" s="169">
        <v>121</v>
      </c>
      <c r="E86" s="170">
        <f t="shared" si="9"/>
        <v>93.25</v>
      </c>
      <c r="F86" s="169">
        <f t="shared" si="10"/>
        <v>102.75</v>
      </c>
      <c r="G86" s="168">
        <v>147</v>
      </c>
      <c r="I86" s="160">
        <v>74</v>
      </c>
      <c r="J86" s="163" t="e">
        <f ca="1">_xlfn.XLOOKUP(OFFSET($C$12,$I86,MATCH($J$11,$D$12:$G$12,0)),主线推图!$B$313:$B$612,主线推图!$P$313:$P$612)*OFFSET($C$1,MATCH(J$12,$C$2:$C$7,0),MATCH($J$11,$D$12:$G$12,0))</f>
        <v>#N/A</v>
      </c>
      <c r="K86" s="163" t="e">
        <f ca="1">_xlfn.XLOOKUP(OFFSET($C$12,$I86,MATCH($J$11,$D$12:$G$12,0)),巡逻产出!$B$311:$B$610,巡逻产出!$R$311:$R$610)*OFFSET($C$1,MATCH(K$12,$C$2:$C$7,0),MATCH($J$11,$D$12:$G$12,0))</f>
        <v>#N/A</v>
      </c>
      <c r="L86" s="163">
        <f ca="1">_xlfn.XLOOKUP(MAX(INT((OFFSET($C$12,$I86,MATCH($J$11,$D$12:$G$12,0))-6)/10),1),组队产出!$B$25:$B$39,组队产出!$P$25:$P$39)*OFFSET($C$1,MATCH(L$12,$C$2:$C$7,0),MATCH($J$11,$D$12:$G$12,0))</f>
        <v>1112.4</v>
      </c>
      <c r="M86" s="163">
        <f ca="1">竞技场!$G$3*OFFSET($C$1,MATCH(M$12,$C$2:$C$7,0),MATCH($J$11,$D$12:$G$12,0))</f>
        <v>1050</v>
      </c>
      <c r="N8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86" s="23">
        <f>任务!$G$6+任务!$G$9+IF(MOD(I86,7)=0,任务!$N$9+任务!$O$6,0)</f>
        <v>895</v>
      </c>
      <c r="P86" s="25">
        <f>公会!$U$11</f>
        <v>2766.62857142857</v>
      </c>
      <c r="Q86" s="163" t="e">
        <f ca="1">_xlfn.XLOOKUP(OFFSET($C$12,$I86,MATCH($J$11,$D$12:$G$12,0)),巡逻产出!$B$311:$B$610,巡逻产出!$Q$311:$Q$610)*OFFSET($C$1,MATCH(Q$12,$C$2:$C$7,0),MATCH($J$11,$D$12:$G$12,0))</f>
        <v>#N/A</v>
      </c>
      <c r="S86" s="160">
        <v>74</v>
      </c>
      <c r="T86" s="163" t="e">
        <f ca="1">_xlfn.XLOOKUP(OFFSET($C$12,$I86,MATCH($T$11,$D$12:$G$12,0)),主线推图!$B$313:$B$612,主线推图!$P$313:$P$612)*OFFSET($C$1,MATCH(T$12,$C$2:$C$7,0),MATCH($T$11,$D$12:$G$12,0))</f>
        <v>#N/A</v>
      </c>
      <c r="U86" s="163" t="e">
        <f ca="1">_xlfn.XLOOKUP(OFFSET($C$12,$I86,MATCH($T$11,$D$12:$G$12,0)),巡逻产出!$B$311:$B$610,巡逻产出!$R$311:$R$610)*OFFSET($C$1,MATCH(U$12,$C$2:$C$7,0),MATCH($T$11,$D$12:$G$12,0))</f>
        <v>#N/A</v>
      </c>
      <c r="V86" s="163">
        <f ca="1">_xlfn.XLOOKUP(MAX(INT((OFFSET($C$12,$I86,MATCH($T$11,$D$12:$G$12,0))-6)/10),1),组队产出!$B$25:$B$39,组队产出!$P$25:$P$39)*OFFSET($C$1,MATCH(V$12,$C$2:$C$7,0),MATCH($T$11,$D$12:$G$12,0))</f>
        <v>2248.8</v>
      </c>
      <c r="W86" s="163">
        <f ca="1">竞技场!$G$3*OFFSET($C$1,MATCH(W$12,$C$2:$C$7,0),MATCH($T$11,$D$12:$G$12,0))</f>
        <v>2100</v>
      </c>
      <c r="X8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86" s="23">
        <f>任务!$G$6+任务!$G$9+IF(MOD(S86,7)=0,任务!$N$9+任务!$O$6,0)</f>
        <v>895</v>
      </c>
      <c r="Z86" s="25">
        <f>公会!$U$11</f>
        <v>2766.62857142857</v>
      </c>
      <c r="AA86" s="163" t="e">
        <f ca="1">_xlfn.XLOOKUP(OFFSET($C$12,$I86,MATCH($T$11,$D$12:$G$12,0)),巡逻产出!$B$311:$B$610,巡逻产出!$Q$311:$Q$610)*OFFSET($C$1,MATCH(AA$12,$C$2:$C$7,0),MATCH($T$11,$D$12:$G$12,0))</f>
        <v>#N/A</v>
      </c>
      <c r="AC86" s="160">
        <v>74</v>
      </c>
      <c r="AD86" s="163">
        <f ca="1">_xlfn.XLOOKUP(OFFSET($C$12,$I86,MATCH($AD$11,$D$12:$G$12,0)),主线推图!$B$313:$B$612,主线推图!$P$313:$P$612)*OFFSET($C$1,MATCH(AD$12,$C$2:$C$7,0),MATCH($AD$11,$D$12:$G$12,0))</f>
        <v>3269.2</v>
      </c>
      <c r="AE86" s="163">
        <f ca="1">_xlfn.XLOOKUP(OFFSET($C$12,$I86,MATCH($AD$11,$D$12:$G$12,0)),巡逻产出!$B$311:$B$610,巡逻产出!$R$311:$R$610)*OFFSET($C$1,MATCH(AE$12,$C$2:$C$7,0),MATCH($AD$11,$D$12:$G$12,0))</f>
        <v>0</v>
      </c>
      <c r="AF86" s="163">
        <f ca="1">_xlfn.XLOOKUP(MAX(INT((OFFSET($C$12,$I86,MATCH($AD$11,$D$12:$G$12,0))-6)/10),1),组队产出!$B$25:$B$39,组队产出!$P$25:$P$39)*OFFSET($C$1,MATCH(AF$12,$C$2:$C$7,0),MATCH($AD$11,$D$12:$G$12,0))</f>
        <v>2308.8</v>
      </c>
      <c r="AG86" s="163">
        <f ca="1">竞技场!$G$3*OFFSET($C$1,MATCH(AG$12,$C$2:$C$7,0),MATCH($AD$11,$D$12:$G$12,0))</f>
        <v>3150</v>
      </c>
      <c r="AH8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86" s="23">
        <f>任务!$G$6+任务!$G$9+IF(MOD(AC86,7)=0,任务!$N$9+任务!$O$6,0)</f>
        <v>895</v>
      </c>
      <c r="AJ86" s="25">
        <f>公会!$U$11</f>
        <v>2766.62857142857</v>
      </c>
      <c r="AK86" s="163">
        <f ca="1">_xlfn.XLOOKUP(OFFSET($C$12,$I86,MATCH($AD$11,$D$12:$G$12,0)),巡逻产出!$B$311:$B$610,巡逻产出!$Q$311:$Q$610)*OFFSET($C$1,MATCH(AK$12,$C$2:$C$7,0),MATCH($AD$11,$D$12:$G$12,0))</f>
        <v>2260.128</v>
      </c>
      <c r="AM86" s="164">
        <v>74</v>
      </c>
      <c r="AN86" s="165">
        <f t="shared" si="11"/>
        <v>9100</v>
      </c>
      <c r="AO86" s="165">
        <f t="shared" si="12"/>
        <v>11328</v>
      </c>
      <c r="AP86" s="165">
        <f t="shared" si="13"/>
        <v>17736</v>
      </c>
      <c r="AQ86" s="165">
        <f t="shared" si="14"/>
        <v>23182</v>
      </c>
    </row>
    <row r="87" spans="3:43">
      <c r="C87" s="160">
        <v>75</v>
      </c>
      <c r="D87" s="169">
        <v>121</v>
      </c>
      <c r="E87" s="170">
        <f t="shared" si="9"/>
        <v>93.5</v>
      </c>
      <c r="F87" s="169">
        <f t="shared" si="10"/>
        <v>103.1</v>
      </c>
      <c r="G87" s="168">
        <v>148</v>
      </c>
      <c r="I87" s="160">
        <v>75</v>
      </c>
      <c r="J87" s="163" t="e">
        <f ca="1">_xlfn.XLOOKUP(OFFSET($C$12,$I87,MATCH($J$11,$D$12:$G$12,0)),主线推图!$B$313:$B$612,主线推图!$P$313:$P$612)*OFFSET($C$1,MATCH(J$12,$C$2:$C$7,0),MATCH($J$11,$D$12:$G$12,0))</f>
        <v>#N/A</v>
      </c>
      <c r="K87" s="163" t="e">
        <f ca="1">_xlfn.XLOOKUP(OFFSET($C$12,$I87,MATCH($J$11,$D$12:$G$12,0)),巡逻产出!$B$311:$B$610,巡逻产出!$R$311:$R$610)*OFFSET($C$1,MATCH(K$12,$C$2:$C$7,0),MATCH($J$11,$D$12:$G$12,0))</f>
        <v>#N/A</v>
      </c>
      <c r="L87" s="163">
        <f ca="1">_xlfn.XLOOKUP(MAX(INT((OFFSET($C$12,$I87,MATCH($J$11,$D$12:$G$12,0))-6)/10),1),组队产出!$B$25:$B$39,组队产出!$P$25:$P$39)*OFFSET($C$1,MATCH(L$12,$C$2:$C$7,0),MATCH($J$11,$D$12:$G$12,0))</f>
        <v>1112.4</v>
      </c>
      <c r="M87" s="163">
        <f ca="1">竞技场!$G$3*OFFSET($C$1,MATCH(M$12,$C$2:$C$7,0),MATCH($J$11,$D$12:$G$12,0))</f>
        <v>1050</v>
      </c>
      <c r="N8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87" s="23">
        <f>任务!$G$6+任务!$G$9+IF(MOD(I87,7)=0,任务!$N$9+任务!$O$6,0)</f>
        <v>895</v>
      </c>
      <c r="P87" s="25">
        <f>公会!$U$11</f>
        <v>2766.62857142857</v>
      </c>
      <c r="Q87" s="163" t="e">
        <f ca="1">_xlfn.XLOOKUP(OFFSET($C$12,$I87,MATCH($J$11,$D$12:$G$12,0)),巡逻产出!$B$311:$B$610,巡逻产出!$Q$311:$Q$610)*OFFSET($C$1,MATCH(Q$12,$C$2:$C$7,0),MATCH($J$11,$D$12:$G$12,0))</f>
        <v>#N/A</v>
      </c>
      <c r="S87" s="160">
        <v>75</v>
      </c>
      <c r="T87" s="163" t="e">
        <f ca="1">_xlfn.XLOOKUP(OFFSET($C$12,$I87,MATCH($T$11,$D$12:$G$12,0)),主线推图!$B$313:$B$612,主线推图!$P$313:$P$612)*OFFSET($C$1,MATCH(T$12,$C$2:$C$7,0),MATCH($T$11,$D$12:$G$12,0))</f>
        <v>#N/A</v>
      </c>
      <c r="U87" s="163" t="e">
        <f ca="1">_xlfn.XLOOKUP(OFFSET($C$12,$I87,MATCH($T$11,$D$12:$G$12,0)),巡逻产出!$B$311:$B$610,巡逻产出!$R$311:$R$610)*OFFSET($C$1,MATCH(U$12,$C$2:$C$7,0),MATCH($T$11,$D$12:$G$12,0))</f>
        <v>#N/A</v>
      </c>
      <c r="V87" s="163">
        <f ca="1">_xlfn.XLOOKUP(MAX(INT((OFFSET($C$12,$I87,MATCH($T$11,$D$12:$G$12,0))-6)/10),1),组队产出!$B$25:$B$39,组队产出!$P$25:$P$39)*OFFSET($C$1,MATCH(V$12,$C$2:$C$7,0),MATCH($T$11,$D$12:$G$12,0))</f>
        <v>2248.8</v>
      </c>
      <c r="W87" s="163">
        <f ca="1">竞技场!$G$3*OFFSET($C$1,MATCH(W$12,$C$2:$C$7,0),MATCH($T$11,$D$12:$G$12,0))</f>
        <v>2100</v>
      </c>
      <c r="X8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87" s="23">
        <f>任务!$G$6+任务!$G$9+IF(MOD(S87,7)=0,任务!$N$9+任务!$O$6,0)</f>
        <v>895</v>
      </c>
      <c r="Z87" s="25">
        <f>公会!$U$11</f>
        <v>2766.62857142857</v>
      </c>
      <c r="AA87" s="163" t="e">
        <f ca="1">_xlfn.XLOOKUP(OFFSET($C$12,$I87,MATCH($T$11,$D$12:$G$12,0)),巡逻产出!$B$311:$B$610,巡逻产出!$Q$311:$Q$610)*OFFSET($C$1,MATCH(AA$12,$C$2:$C$7,0),MATCH($T$11,$D$12:$G$12,0))</f>
        <v>#N/A</v>
      </c>
      <c r="AC87" s="160">
        <v>75</v>
      </c>
      <c r="AD87" s="163">
        <f ca="1">_xlfn.XLOOKUP(OFFSET($C$12,$I87,MATCH($AD$11,$D$12:$G$12,0)),主线推图!$B$313:$B$612,主线推图!$P$313:$P$612)*OFFSET($C$1,MATCH(AD$12,$C$2:$C$7,0),MATCH($AD$11,$D$12:$G$12,0))</f>
        <v>3271.4</v>
      </c>
      <c r="AE87" s="163">
        <f ca="1">_xlfn.XLOOKUP(OFFSET($C$12,$I87,MATCH($AD$11,$D$12:$G$12,0)),巡逻产出!$B$311:$B$610,巡逻产出!$R$311:$R$610)*OFFSET($C$1,MATCH(AE$12,$C$2:$C$7,0),MATCH($AD$11,$D$12:$G$12,0))</f>
        <v>0</v>
      </c>
      <c r="AF87" s="163">
        <f ca="1">_xlfn.XLOOKUP(MAX(INT((OFFSET($C$12,$I87,MATCH($AD$11,$D$12:$G$12,0))-6)/10),1),组队产出!$B$25:$B$39,组队产出!$P$25:$P$39)*OFFSET($C$1,MATCH(AF$12,$C$2:$C$7,0),MATCH($AD$11,$D$12:$G$12,0))</f>
        <v>2308.8</v>
      </c>
      <c r="AG87" s="163">
        <f ca="1">竞技场!$G$3*OFFSET($C$1,MATCH(AG$12,$C$2:$C$7,0),MATCH($AD$11,$D$12:$G$12,0))</f>
        <v>3150</v>
      </c>
      <c r="AH8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87" s="23">
        <f>任务!$G$6+任务!$G$9+IF(MOD(AC87,7)=0,任务!$N$9+任务!$O$6,0)</f>
        <v>895</v>
      </c>
      <c r="AJ87" s="25">
        <f>公会!$U$11</f>
        <v>2766.62857142857</v>
      </c>
      <c r="AK87" s="163">
        <f ca="1">_xlfn.XLOOKUP(OFFSET($C$12,$I87,MATCH($AD$11,$D$12:$G$12,0)),巡逻产出!$B$311:$B$610,巡逻产出!$Q$311:$Q$610)*OFFSET($C$1,MATCH(AK$12,$C$2:$C$7,0),MATCH($AD$11,$D$12:$G$12,0))</f>
        <v>2261.688</v>
      </c>
      <c r="AM87" s="164">
        <v>75</v>
      </c>
      <c r="AN87" s="165">
        <f t="shared" si="11"/>
        <v>9214</v>
      </c>
      <c r="AO87" s="165">
        <f t="shared" si="12"/>
        <v>11471</v>
      </c>
      <c r="AP87" s="165">
        <f t="shared" si="13"/>
        <v>17965</v>
      </c>
      <c r="AQ87" s="165">
        <f t="shared" si="14"/>
        <v>23484</v>
      </c>
    </row>
    <row r="88" spans="3:43">
      <c r="C88" s="160">
        <v>76</v>
      </c>
      <c r="D88" s="169">
        <v>122</v>
      </c>
      <c r="E88" s="170">
        <f t="shared" si="9"/>
        <v>93.75</v>
      </c>
      <c r="F88" s="169">
        <f t="shared" si="10"/>
        <v>103.45</v>
      </c>
      <c r="G88" s="168">
        <v>149</v>
      </c>
      <c r="I88" s="160">
        <v>76</v>
      </c>
      <c r="J88" s="163" t="e">
        <f ca="1">_xlfn.XLOOKUP(OFFSET($C$12,$I88,MATCH($J$11,$D$12:$G$12,0)),主线推图!$B$313:$B$612,主线推图!$P$313:$P$612)*OFFSET($C$1,MATCH(J$12,$C$2:$C$7,0),MATCH($J$11,$D$12:$G$12,0))</f>
        <v>#N/A</v>
      </c>
      <c r="K88" s="163" t="e">
        <f ca="1">_xlfn.XLOOKUP(OFFSET($C$12,$I88,MATCH($J$11,$D$12:$G$12,0)),巡逻产出!$B$311:$B$610,巡逻产出!$R$311:$R$610)*OFFSET($C$1,MATCH(K$12,$C$2:$C$7,0),MATCH($J$11,$D$12:$G$12,0))</f>
        <v>#N/A</v>
      </c>
      <c r="L88" s="163">
        <f ca="1">_xlfn.XLOOKUP(MAX(INT((OFFSET($C$12,$I88,MATCH($J$11,$D$12:$G$12,0))-6)/10),1),组队产出!$B$25:$B$39,组队产出!$P$25:$P$39)*OFFSET($C$1,MATCH(L$12,$C$2:$C$7,0),MATCH($J$11,$D$12:$G$12,0))</f>
        <v>1112.4</v>
      </c>
      <c r="M88" s="163">
        <f ca="1">竞技场!$G$3*OFFSET($C$1,MATCH(M$12,$C$2:$C$7,0),MATCH($J$11,$D$12:$G$12,0))</f>
        <v>1050</v>
      </c>
      <c r="N8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88" s="23">
        <f>任务!$G$6+任务!$G$9+IF(MOD(I88,7)=0,任务!$N$9+任务!$O$6,0)</f>
        <v>895</v>
      </c>
      <c r="P88" s="25">
        <f>公会!$U$11</f>
        <v>2766.62857142857</v>
      </c>
      <c r="Q88" s="163" t="e">
        <f ca="1">_xlfn.XLOOKUP(OFFSET($C$12,$I88,MATCH($J$11,$D$12:$G$12,0)),巡逻产出!$B$311:$B$610,巡逻产出!$Q$311:$Q$610)*OFFSET($C$1,MATCH(Q$12,$C$2:$C$7,0),MATCH($J$11,$D$12:$G$12,0))</f>
        <v>#N/A</v>
      </c>
      <c r="S88" s="160">
        <v>76</v>
      </c>
      <c r="T88" s="163" t="e">
        <f ca="1">_xlfn.XLOOKUP(OFFSET($C$12,$I88,MATCH($T$11,$D$12:$G$12,0)),主线推图!$B$313:$B$612,主线推图!$P$313:$P$612)*OFFSET($C$1,MATCH(T$12,$C$2:$C$7,0),MATCH($T$11,$D$12:$G$12,0))</f>
        <v>#N/A</v>
      </c>
      <c r="U88" s="163" t="e">
        <f ca="1">_xlfn.XLOOKUP(OFFSET($C$12,$I88,MATCH($T$11,$D$12:$G$12,0)),巡逻产出!$B$311:$B$610,巡逻产出!$R$311:$R$610)*OFFSET($C$1,MATCH(U$12,$C$2:$C$7,0),MATCH($T$11,$D$12:$G$12,0))</f>
        <v>#N/A</v>
      </c>
      <c r="V88" s="163">
        <f ca="1">_xlfn.XLOOKUP(MAX(INT((OFFSET($C$12,$I88,MATCH($T$11,$D$12:$G$12,0))-6)/10),1),组队产出!$B$25:$B$39,组队产出!$P$25:$P$39)*OFFSET($C$1,MATCH(V$12,$C$2:$C$7,0),MATCH($T$11,$D$12:$G$12,0))</f>
        <v>2248.8</v>
      </c>
      <c r="W88" s="163">
        <f ca="1">竞技场!$G$3*OFFSET($C$1,MATCH(W$12,$C$2:$C$7,0),MATCH($T$11,$D$12:$G$12,0))</f>
        <v>2100</v>
      </c>
      <c r="X8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88" s="23">
        <f>任务!$G$6+任务!$G$9+IF(MOD(S88,7)=0,任务!$N$9+任务!$O$6,0)</f>
        <v>895</v>
      </c>
      <c r="Z88" s="25">
        <f>公会!$U$11</f>
        <v>2766.62857142857</v>
      </c>
      <c r="AA88" s="163" t="e">
        <f ca="1">_xlfn.XLOOKUP(OFFSET($C$12,$I88,MATCH($T$11,$D$12:$G$12,0)),巡逻产出!$B$311:$B$610,巡逻产出!$Q$311:$Q$610)*OFFSET($C$1,MATCH(AA$12,$C$2:$C$7,0),MATCH($T$11,$D$12:$G$12,0))</f>
        <v>#N/A</v>
      </c>
      <c r="AC88" s="160">
        <v>76</v>
      </c>
      <c r="AD88" s="163">
        <f ca="1">_xlfn.XLOOKUP(OFFSET($C$12,$I88,MATCH($AD$11,$D$12:$G$12,0)),主线推图!$B$313:$B$612,主线推图!$P$313:$P$612)*OFFSET($C$1,MATCH(AD$12,$C$2:$C$7,0),MATCH($AD$11,$D$12:$G$12,0))</f>
        <v>3273.6</v>
      </c>
      <c r="AE88" s="163">
        <f ca="1">_xlfn.XLOOKUP(OFFSET($C$12,$I88,MATCH($AD$11,$D$12:$G$12,0)),巡逻产出!$B$311:$B$610,巡逻产出!$R$311:$R$610)*OFFSET($C$1,MATCH(AE$12,$C$2:$C$7,0),MATCH($AD$11,$D$12:$G$12,0))</f>
        <v>0</v>
      </c>
      <c r="AF88" s="163">
        <f ca="1">_xlfn.XLOOKUP(MAX(INT((OFFSET($C$12,$I88,MATCH($AD$11,$D$12:$G$12,0))-6)/10),1),组队产出!$B$25:$B$39,组队产出!$P$25:$P$39)*OFFSET($C$1,MATCH(AF$12,$C$2:$C$7,0),MATCH($AD$11,$D$12:$G$12,0))</f>
        <v>2308.8</v>
      </c>
      <c r="AG88" s="163">
        <f ca="1">竞技场!$G$3*OFFSET($C$1,MATCH(AG$12,$C$2:$C$7,0),MATCH($AD$11,$D$12:$G$12,0))</f>
        <v>3150</v>
      </c>
      <c r="AH8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88" s="23">
        <f>任务!$G$6+任务!$G$9+IF(MOD(AC88,7)=0,任务!$N$9+任务!$O$6,0)</f>
        <v>895</v>
      </c>
      <c r="AJ88" s="25">
        <f>公会!$U$11</f>
        <v>2766.62857142857</v>
      </c>
      <c r="AK88" s="163">
        <f ca="1">_xlfn.XLOOKUP(OFFSET($C$12,$I88,MATCH($AD$11,$D$12:$G$12,0)),巡逻产出!$B$311:$B$610,巡逻产出!$Q$311:$Q$610)*OFFSET($C$1,MATCH(AK$12,$C$2:$C$7,0),MATCH($AD$11,$D$12:$G$12,0))</f>
        <v>2263.248</v>
      </c>
      <c r="AM88" s="164">
        <v>76</v>
      </c>
      <c r="AN88" s="165">
        <f t="shared" si="11"/>
        <v>9327</v>
      </c>
      <c r="AO88" s="165">
        <f t="shared" si="12"/>
        <v>11614</v>
      </c>
      <c r="AP88" s="165">
        <f t="shared" si="13"/>
        <v>18193</v>
      </c>
      <c r="AQ88" s="165">
        <f t="shared" si="14"/>
        <v>23786</v>
      </c>
    </row>
    <row r="89" spans="3:43">
      <c r="C89" s="160">
        <v>77</v>
      </c>
      <c r="D89" s="169">
        <v>122</v>
      </c>
      <c r="E89" s="170">
        <f t="shared" si="9"/>
        <v>94</v>
      </c>
      <c r="F89" s="169">
        <f t="shared" si="10"/>
        <v>103.8</v>
      </c>
      <c r="G89" s="168">
        <v>150</v>
      </c>
      <c r="I89" s="160">
        <v>77</v>
      </c>
      <c r="J89" s="163" t="e">
        <f ca="1">_xlfn.XLOOKUP(OFFSET($C$12,$I89,MATCH($J$11,$D$12:$G$12,0)),主线推图!$B$313:$B$612,主线推图!$P$313:$P$612)*OFFSET($C$1,MATCH(J$12,$C$2:$C$7,0),MATCH($J$11,$D$12:$G$12,0))</f>
        <v>#N/A</v>
      </c>
      <c r="K89" s="163" t="e">
        <f ca="1">_xlfn.XLOOKUP(OFFSET($C$12,$I89,MATCH($J$11,$D$12:$G$12,0)),巡逻产出!$B$311:$B$610,巡逻产出!$R$311:$R$610)*OFFSET($C$1,MATCH(K$12,$C$2:$C$7,0),MATCH($J$11,$D$12:$G$12,0))</f>
        <v>#N/A</v>
      </c>
      <c r="L89" s="163">
        <f ca="1">_xlfn.XLOOKUP(MAX(INT((OFFSET($C$12,$I89,MATCH($J$11,$D$12:$G$12,0))-6)/10),1),组队产出!$B$25:$B$39,组队产出!$P$25:$P$39)*OFFSET($C$1,MATCH(L$12,$C$2:$C$7,0),MATCH($J$11,$D$12:$G$12,0))</f>
        <v>1112.4</v>
      </c>
      <c r="M89" s="163">
        <f ca="1">竞技场!$G$3*OFFSET($C$1,MATCH(M$12,$C$2:$C$7,0),MATCH($J$11,$D$12:$G$12,0))</f>
        <v>1050</v>
      </c>
      <c r="N8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89" s="23">
        <f>任务!$G$6+任务!$G$9+IF(MOD(I89,7)=0,任务!$N$9+任务!$O$6,0)</f>
        <v>3125</v>
      </c>
      <c r="P89" s="25">
        <f>公会!$U$11</f>
        <v>2766.62857142857</v>
      </c>
      <c r="Q89" s="163" t="e">
        <f ca="1">_xlfn.XLOOKUP(OFFSET($C$12,$I89,MATCH($J$11,$D$12:$G$12,0)),巡逻产出!$B$311:$B$610,巡逻产出!$Q$311:$Q$610)*OFFSET($C$1,MATCH(Q$12,$C$2:$C$7,0),MATCH($J$11,$D$12:$G$12,0))</f>
        <v>#N/A</v>
      </c>
      <c r="S89" s="160">
        <v>77</v>
      </c>
      <c r="T89" s="163" t="e">
        <f ca="1">_xlfn.XLOOKUP(OFFSET($C$12,$I89,MATCH($T$11,$D$12:$G$12,0)),主线推图!$B$313:$B$612,主线推图!$P$313:$P$612)*OFFSET($C$1,MATCH(T$12,$C$2:$C$7,0),MATCH($T$11,$D$12:$G$12,0))</f>
        <v>#N/A</v>
      </c>
      <c r="U89" s="163" t="e">
        <f ca="1">_xlfn.XLOOKUP(OFFSET($C$12,$I89,MATCH($T$11,$D$12:$G$12,0)),巡逻产出!$B$311:$B$610,巡逻产出!$R$311:$R$610)*OFFSET($C$1,MATCH(U$12,$C$2:$C$7,0),MATCH($T$11,$D$12:$G$12,0))</f>
        <v>#N/A</v>
      </c>
      <c r="V89" s="163">
        <f ca="1">_xlfn.XLOOKUP(MAX(INT((OFFSET($C$12,$I89,MATCH($T$11,$D$12:$G$12,0))-6)/10),1),组队产出!$B$25:$B$39,组队产出!$P$25:$P$39)*OFFSET($C$1,MATCH(V$12,$C$2:$C$7,0),MATCH($T$11,$D$12:$G$12,0))</f>
        <v>2248.8</v>
      </c>
      <c r="W89" s="163">
        <f ca="1">竞技场!$G$3*OFFSET($C$1,MATCH(W$12,$C$2:$C$7,0),MATCH($T$11,$D$12:$G$12,0))</f>
        <v>2100</v>
      </c>
      <c r="X8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89" s="23">
        <f>任务!$G$6+任务!$G$9+IF(MOD(S89,7)=0,任务!$N$9+任务!$O$6,0)</f>
        <v>3125</v>
      </c>
      <c r="Z89" s="25">
        <f>公会!$U$11</f>
        <v>2766.62857142857</v>
      </c>
      <c r="AA89" s="163" t="e">
        <f ca="1">_xlfn.XLOOKUP(OFFSET($C$12,$I89,MATCH($T$11,$D$12:$G$12,0)),巡逻产出!$B$311:$B$610,巡逻产出!$Q$311:$Q$610)*OFFSET($C$1,MATCH(AA$12,$C$2:$C$7,0),MATCH($T$11,$D$12:$G$12,0))</f>
        <v>#N/A</v>
      </c>
      <c r="AC89" s="160">
        <v>77</v>
      </c>
      <c r="AD89" s="163">
        <f ca="1">_xlfn.XLOOKUP(OFFSET($C$12,$I89,MATCH($AD$11,$D$12:$G$12,0)),主线推图!$B$313:$B$612,主线推图!$P$313:$P$612)*OFFSET($C$1,MATCH(AD$12,$C$2:$C$7,0),MATCH($AD$11,$D$12:$G$12,0))</f>
        <v>3275.8</v>
      </c>
      <c r="AE89" s="163">
        <f ca="1">_xlfn.XLOOKUP(OFFSET($C$12,$I89,MATCH($AD$11,$D$12:$G$12,0)),巡逻产出!$B$311:$B$610,巡逻产出!$R$311:$R$610)*OFFSET($C$1,MATCH(AE$12,$C$2:$C$7,0),MATCH($AD$11,$D$12:$G$12,0))</f>
        <v>0</v>
      </c>
      <c r="AF89" s="163">
        <f ca="1">_xlfn.XLOOKUP(MAX(INT((OFFSET($C$12,$I89,MATCH($AD$11,$D$12:$G$12,0))-6)/10),1),组队产出!$B$25:$B$39,组队产出!$P$25:$P$39)*OFFSET($C$1,MATCH(AF$12,$C$2:$C$7,0),MATCH($AD$11,$D$12:$G$12,0))</f>
        <v>2308.8</v>
      </c>
      <c r="AG89" s="163">
        <f ca="1">竞技场!$G$3*OFFSET($C$1,MATCH(AG$12,$C$2:$C$7,0),MATCH($AD$11,$D$12:$G$12,0))</f>
        <v>3150</v>
      </c>
      <c r="AH8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89" s="23">
        <f>任务!$G$6+任务!$G$9+IF(MOD(AC89,7)=0,任务!$N$9+任务!$O$6,0)</f>
        <v>3125</v>
      </c>
      <c r="AJ89" s="25">
        <f>公会!$U$11</f>
        <v>2766.62857142857</v>
      </c>
      <c r="AK89" s="163">
        <f ca="1">_xlfn.XLOOKUP(OFFSET($C$12,$I89,MATCH($AD$11,$D$12:$G$12,0)),巡逻产出!$B$311:$B$610,巡逻产出!$Q$311:$Q$610)*OFFSET($C$1,MATCH(AK$12,$C$2:$C$7,0),MATCH($AD$11,$D$12:$G$12,0))</f>
        <v>2264.808</v>
      </c>
      <c r="AM89" s="164">
        <v>77</v>
      </c>
      <c r="AN89" s="165">
        <f t="shared" si="11"/>
        <v>9441</v>
      </c>
      <c r="AO89" s="165">
        <f t="shared" si="12"/>
        <v>11757</v>
      </c>
      <c r="AP89" s="165">
        <f t="shared" si="13"/>
        <v>18422</v>
      </c>
      <c r="AQ89" s="165">
        <f t="shared" si="14"/>
        <v>24088</v>
      </c>
    </row>
    <row r="90" spans="3:43">
      <c r="C90" s="160">
        <v>78</v>
      </c>
      <c r="D90" s="169">
        <v>123</v>
      </c>
      <c r="E90" s="170">
        <f t="shared" si="9"/>
        <v>94.25</v>
      </c>
      <c r="F90" s="169">
        <f t="shared" si="10"/>
        <v>104.15</v>
      </c>
      <c r="G90" s="163">
        <f t="shared" ref="G90:G112" si="15">G89+1</f>
        <v>151</v>
      </c>
      <c r="I90" s="160">
        <v>78</v>
      </c>
      <c r="J90" s="163" t="e">
        <f ca="1">_xlfn.XLOOKUP(OFFSET($C$12,$I90,MATCH($J$11,$D$12:$G$12,0)),主线推图!$B$313:$B$612,主线推图!$P$313:$P$612)*OFFSET($C$1,MATCH(J$12,$C$2:$C$7,0),MATCH($J$11,$D$12:$G$12,0))</f>
        <v>#N/A</v>
      </c>
      <c r="K90" s="163" t="e">
        <f ca="1">_xlfn.XLOOKUP(OFFSET($C$12,$I90,MATCH($J$11,$D$12:$G$12,0)),巡逻产出!$B$311:$B$610,巡逻产出!$R$311:$R$610)*OFFSET($C$1,MATCH(K$12,$C$2:$C$7,0),MATCH($J$11,$D$12:$G$12,0))</f>
        <v>#N/A</v>
      </c>
      <c r="L90" s="163">
        <f ca="1">_xlfn.XLOOKUP(MAX(INT((OFFSET($C$12,$I90,MATCH($J$11,$D$12:$G$12,0))-6)/10),1),组队产出!$B$25:$B$39,组队产出!$P$25:$P$39)*OFFSET($C$1,MATCH(L$12,$C$2:$C$7,0),MATCH($J$11,$D$12:$G$12,0))</f>
        <v>1112.4</v>
      </c>
      <c r="M90" s="163">
        <f ca="1">竞技场!$G$3*OFFSET($C$1,MATCH(M$12,$C$2:$C$7,0),MATCH($J$11,$D$12:$G$12,0))</f>
        <v>1050</v>
      </c>
      <c r="N9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90" s="23">
        <f>任务!$G$6+任务!$G$9+IF(MOD(I90,7)=0,任务!$N$9+任务!$O$6,0)</f>
        <v>895</v>
      </c>
      <c r="P90" s="25">
        <f>公会!$U$11</f>
        <v>2766.62857142857</v>
      </c>
      <c r="Q90" s="163" t="e">
        <f ca="1">_xlfn.XLOOKUP(OFFSET($C$12,$I90,MATCH($J$11,$D$12:$G$12,0)),巡逻产出!$B$311:$B$610,巡逻产出!$Q$311:$Q$610)*OFFSET($C$1,MATCH(Q$12,$C$2:$C$7,0),MATCH($J$11,$D$12:$G$12,0))</f>
        <v>#N/A</v>
      </c>
      <c r="S90" s="160">
        <v>78</v>
      </c>
      <c r="T90" s="163" t="e">
        <f ca="1">_xlfn.XLOOKUP(OFFSET($C$12,$I90,MATCH($T$11,$D$12:$G$12,0)),主线推图!$B$313:$B$612,主线推图!$P$313:$P$612)*OFFSET($C$1,MATCH(T$12,$C$2:$C$7,0),MATCH($T$11,$D$12:$G$12,0))</f>
        <v>#N/A</v>
      </c>
      <c r="U90" s="163" t="e">
        <f ca="1">_xlfn.XLOOKUP(OFFSET($C$12,$I90,MATCH($T$11,$D$12:$G$12,0)),巡逻产出!$B$311:$B$610,巡逻产出!$R$311:$R$610)*OFFSET($C$1,MATCH(U$12,$C$2:$C$7,0),MATCH($T$11,$D$12:$G$12,0))</f>
        <v>#N/A</v>
      </c>
      <c r="V90" s="163">
        <f ca="1">_xlfn.XLOOKUP(MAX(INT((OFFSET($C$12,$I90,MATCH($T$11,$D$12:$G$12,0))-6)/10),1),组队产出!$B$25:$B$39,组队产出!$P$25:$P$39)*OFFSET($C$1,MATCH(V$12,$C$2:$C$7,0),MATCH($T$11,$D$12:$G$12,0))</f>
        <v>2248.8</v>
      </c>
      <c r="W90" s="163">
        <f ca="1">竞技场!$G$3*OFFSET($C$1,MATCH(W$12,$C$2:$C$7,0),MATCH($T$11,$D$12:$G$12,0))</f>
        <v>2100</v>
      </c>
      <c r="X9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90" s="23">
        <f>任务!$G$6+任务!$G$9+IF(MOD(S90,7)=0,任务!$N$9+任务!$O$6,0)</f>
        <v>895</v>
      </c>
      <c r="Z90" s="25">
        <f>公会!$U$11</f>
        <v>2766.62857142857</v>
      </c>
      <c r="AA90" s="163" t="e">
        <f ca="1">_xlfn.XLOOKUP(OFFSET($C$12,$I90,MATCH($T$11,$D$12:$G$12,0)),巡逻产出!$B$311:$B$610,巡逻产出!$Q$311:$Q$610)*OFFSET($C$1,MATCH(AA$12,$C$2:$C$7,0),MATCH($T$11,$D$12:$G$12,0))</f>
        <v>#N/A</v>
      </c>
      <c r="AC90" s="160">
        <v>78</v>
      </c>
      <c r="AD90" s="163">
        <f ca="1">_xlfn.XLOOKUP(OFFSET($C$12,$I90,MATCH($AD$11,$D$12:$G$12,0)),主线推图!$B$313:$B$612,主线推图!$P$313:$P$612)*OFFSET($C$1,MATCH(AD$12,$C$2:$C$7,0),MATCH($AD$11,$D$12:$G$12,0))</f>
        <v>3278</v>
      </c>
      <c r="AE90" s="163">
        <f ca="1">_xlfn.XLOOKUP(OFFSET($C$12,$I90,MATCH($AD$11,$D$12:$G$12,0)),巡逻产出!$B$311:$B$610,巡逻产出!$R$311:$R$610)*OFFSET($C$1,MATCH(AE$12,$C$2:$C$7,0),MATCH($AD$11,$D$12:$G$12,0))</f>
        <v>0</v>
      </c>
      <c r="AF90" s="163">
        <f ca="1">_xlfn.XLOOKUP(MAX(INT((OFFSET($C$12,$I90,MATCH($AD$11,$D$12:$G$12,0))-6)/10),1),组队产出!$B$25:$B$39,组队产出!$P$25:$P$39)*OFFSET($C$1,MATCH(AF$12,$C$2:$C$7,0),MATCH($AD$11,$D$12:$G$12,0))</f>
        <v>2308.8</v>
      </c>
      <c r="AG90" s="163">
        <f ca="1">竞技场!$G$3*OFFSET($C$1,MATCH(AG$12,$C$2:$C$7,0),MATCH($AD$11,$D$12:$G$12,0))</f>
        <v>3150</v>
      </c>
      <c r="AH9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90" s="23">
        <f>任务!$G$6+任务!$G$9+IF(MOD(AC90,7)=0,任务!$N$9+任务!$O$6,0)</f>
        <v>895</v>
      </c>
      <c r="AJ90" s="25">
        <f>公会!$U$11</f>
        <v>2766.62857142857</v>
      </c>
      <c r="AK90" s="163">
        <f ca="1">_xlfn.XLOOKUP(OFFSET($C$12,$I90,MATCH($AD$11,$D$12:$G$12,0)),巡逻产出!$B$311:$B$610,巡逻产出!$Q$311:$Q$610)*OFFSET($C$1,MATCH(AK$12,$C$2:$C$7,0),MATCH($AD$11,$D$12:$G$12,0))</f>
        <v>2266.368</v>
      </c>
      <c r="AM90" s="164">
        <v>78</v>
      </c>
      <c r="AN90" s="165">
        <f t="shared" si="11"/>
        <v>9554</v>
      </c>
      <c r="AO90" s="165">
        <f t="shared" si="12"/>
        <v>11900</v>
      </c>
      <c r="AP90" s="165">
        <f t="shared" si="13"/>
        <v>18650</v>
      </c>
      <c r="AQ90" s="165">
        <f t="shared" si="14"/>
        <v>24390</v>
      </c>
    </row>
    <row r="91" spans="3:43">
      <c r="C91" s="160">
        <v>79</v>
      </c>
      <c r="D91" s="169">
        <v>124</v>
      </c>
      <c r="E91" s="170">
        <f t="shared" si="9"/>
        <v>94.5</v>
      </c>
      <c r="F91" s="169">
        <f t="shared" si="10"/>
        <v>104.5</v>
      </c>
      <c r="G91" s="163">
        <f t="shared" si="15"/>
        <v>152</v>
      </c>
      <c r="I91" s="160">
        <v>79</v>
      </c>
      <c r="J91" s="163" t="e">
        <f ca="1">_xlfn.XLOOKUP(OFFSET($C$12,$I91,MATCH($J$11,$D$12:$G$12,0)),主线推图!$B$313:$B$612,主线推图!$P$313:$P$612)*OFFSET($C$1,MATCH(J$12,$C$2:$C$7,0),MATCH($J$11,$D$12:$G$12,0))</f>
        <v>#N/A</v>
      </c>
      <c r="K91" s="163" t="e">
        <f ca="1">_xlfn.XLOOKUP(OFFSET($C$12,$I91,MATCH($J$11,$D$12:$G$12,0)),巡逻产出!$B$311:$B$610,巡逻产出!$R$311:$R$610)*OFFSET($C$1,MATCH(K$12,$C$2:$C$7,0),MATCH($J$11,$D$12:$G$12,0))</f>
        <v>#N/A</v>
      </c>
      <c r="L91" s="163">
        <f ca="1">_xlfn.XLOOKUP(MAX(INT((OFFSET($C$12,$I91,MATCH($J$11,$D$12:$G$12,0))-6)/10),1),组队产出!$B$25:$B$39,组队产出!$P$25:$P$39)*OFFSET($C$1,MATCH(L$12,$C$2:$C$7,0),MATCH($J$11,$D$12:$G$12,0))</f>
        <v>1112.4</v>
      </c>
      <c r="M91" s="163">
        <f ca="1">竞技场!$G$3*OFFSET($C$1,MATCH(M$12,$C$2:$C$7,0),MATCH($J$11,$D$12:$G$12,0))</f>
        <v>1050</v>
      </c>
      <c r="N9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91" s="23">
        <f>任务!$G$6+任务!$G$9+IF(MOD(I91,7)=0,任务!$N$9+任务!$O$6,0)</f>
        <v>895</v>
      </c>
      <c r="P91" s="25">
        <f>公会!$U$11</f>
        <v>2766.62857142857</v>
      </c>
      <c r="Q91" s="163" t="e">
        <f ca="1">_xlfn.XLOOKUP(OFFSET($C$12,$I91,MATCH($J$11,$D$12:$G$12,0)),巡逻产出!$B$311:$B$610,巡逻产出!$Q$311:$Q$610)*OFFSET($C$1,MATCH(Q$12,$C$2:$C$7,0),MATCH($J$11,$D$12:$G$12,0))</f>
        <v>#N/A</v>
      </c>
      <c r="S91" s="160">
        <v>79</v>
      </c>
      <c r="T91" s="163" t="e">
        <f ca="1">_xlfn.XLOOKUP(OFFSET($C$12,$I91,MATCH($T$11,$D$12:$G$12,0)),主线推图!$B$313:$B$612,主线推图!$P$313:$P$612)*OFFSET($C$1,MATCH(T$12,$C$2:$C$7,0),MATCH($T$11,$D$12:$G$12,0))</f>
        <v>#N/A</v>
      </c>
      <c r="U91" s="163" t="e">
        <f ca="1">_xlfn.XLOOKUP(OFFSET($C$12,$I91,MATCH($T$11,$D$12:$G$12,0)),巡逻产出!$B$311:$B$610,巡逻产出!$R$311:$R$610)*OFFSET($C$1,MATCH(U$12,$C$2:$C$7,0),MATCH($T$11,$D$12:$G$12,0))</f>
        <v>#N/A</v>
      </c>
      <c r="V91" s="163">
        <f ca="1">_xlfn.XLOOKUP(MAX(INT((OFFSET($C$12,$I91,MATCH($T$11,$D$12:$G$12,0))-6)/10),1),组队产出!$B$25:$B$39,组队产出!$P$25:$P$39)*OFFSET($C$1,MATCH(V$12,$C$2:$C$7,0),MATCH($T$11,$D$12:$G$12,0))</f>
        <v>2248.8</v>
      </c>
      <c r="W91" s="163">
        <f ca="1">竞技场!$G$3*OFFSET($C$1,MATCH(W$12,$C$2:$C$7,0),MATCH($T$11,$D$12:$G$12,0))</f>
        <v>2100</v>
      </c>
      <c r="X9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91" s="23">
        <f>任务!$G$6+任务!$G$9+IF(MOD(S91,7)=0,任务!$N$9+任务!$O$6,0)</f>
        <v>895</v>
      </c>
      <c r="Z91" s="25">
        <f>公会!$U$11</f>
        <v>2766.62857142857</v>
      </c>
      <c r="AA91" s="163" t="e">
        <f ca="1">_xlfn.XLOOKUP(OFFSET($C$12,$I91,MATCH($T$11,$D$12:$G$12,0)),巡逻产出!$B$311:$B$610,巡逻产出!$Q$311:$Q$610)*OFFSET($C$1,MATCH(AA$12,$C$2:$C$7,0),MATCH($T$11,$D$12:$G$12,0))</f>
        <v>#N/A</v>
      </c>
      <c r="AC91" s="160">
        <v>79</v>
      </c>
      <c r="AD91" s="163">
        <f ca="1">_xlfn.XLOOKUP(OFFSET($C$12,$I91,MATCH($AD$11,$D$12:$G$12,0)),主线推图!$B$313:$B$612,主线推图!$P$313:$P$612)*OFFSET($C$1,MATCH(AD$12,$C$2:$C$7,0),MATCH($AD$11,$D$12:$G$12,0))</f>
        <v>3280.2</v>
      </c>
      <c r="AE91" s="163">
        <f ca="1">_xlfn.XLOOKUP(OFFSET($C$12,$I91,MATCH($AD$11,$D$12:$G$12,0)),巡逻产出!$B$311:$B$610,巡逻产出!$R$311:$R$610)*OFFSET($C$1,MATCH(AE$12,$C$2:$C$7,0),MATCH($AD$11,$D$12:$G$12,0))</f>
        <v>0</v>
      </c>
      <c r="AF91" s="163">
        <f ca="1">_xlfn.XLOOKUP(MAX(INT((OFFSET($C$12,$I91,MATCH($AD$11,$D$12:$G$12,0))-6)/10),1),组队产出!$B$25:$B$39,组队产出!$P$25:$P$39)*OFFSET($C$1,MATCH(AF$12,$C$2:$C$7,0),MATCH($AD$11,$D$12:$G$12,0))</f>
        <v>2308.8</v>
      </c>
      <c r="AG91" s="163">
        <f ca="1">竞技场!$G$3*OFFSET($C$1,MATCH(AG$12,$C$2:$C$7,0),MATCH($AD$11,$D$12:$G$12,0))</f>
        <v>3150</v>
      </c>
      <c r="AH9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91" s="23">
        <f>任务!$G$6+任务!$G$9+IF(MOD(AC91,7)=0,任务!$N$9+任务!$O$6,0)</f>
        <v>895</v>
      </c>
      <c r="AJ91" s="25">
        <f>公会!$U$11</f>
        <v>2766.62857142857</v>
      </c>
      <c r="AK91" s="163">
        <f ca="1">_xlfn.XLOOKUP(OFFSET($C$12,$I91,MATCH($AD$11,$D$12:$G$12,0)),巡逻产出!$B$311:$B$610,巡逻产出!$Q$311:$Q$610)*OFFSET($C$1,MATCH(AK$12,$C$2:$C$7,0),MATCH($AD$11,$D$12:$G$12,0))</f>
        <v>2267.928</v>
      </c>
      <c r="AM91" s="164">
        <v>79</v>
      </c>
      <c r="AN91" s="165">
        <f t="shared" si="11"/>
        <v>9668</v>
      </c>
      <c r="AO91" s="165">
        <f t="shared" si="12"/>
        <v>12043</v>
      </c>
      <c r="AP91" s="165">
        <f t="shared" si="13"/>
        <v>18879</v>
      </c>
      <c r="AQ91" s="165">
        <f t="shared" si="14"/>
        <v>24692</v>
      </c>
    </row>
    <row r="92" spans="3:43">
      <c r="C92" s="160">
        <v>80</v>
      </c>
      <c r="D92" s="169">
        <v>125</v>
      </c>
      <c r="E92" s="170">
        <f t="shared" si="9"/>
        <v>94.75</v>
      </c>
      <c r="F92" s="169">
        <f t="shared" si="10"/>
        <v>104.85</v>
      </c>
      <c r="G92" s="163">
        <f t="shared" si="15"/>
        <v>153</v>
      </c>
      <c r="I92" s="160">
        <v>80</v>
      </c>
      <c r="J92" s="163" t="e">
        <f ca="1">_xlfn.XLOOKUP(OFFSET($C$12,$I92,MATCH($J$11,$D$12:$G$12,0)),主线推图!$B$313:$B$612,主线推图!$P$313:$P$612)*OFFSET($C$1,MATCH(J$12,$C$2:$C$7,0),MATCH($J$11,$D$12:$G$12,0))</f>
        <v>#N/A</v>
      </c>
      <c r="K92" s="163" t="e">
        <f ca="1">_xlfn.XLOOKUP(OFFSET($C$12,$I92,MATCH($J$11,$D$12:$G$12,0)),巡逻产出!$B$311:$B$610,巡逻产出!$R$311:$R$610)*OFFSET($C$1,MATCH(K$12,$C$2:$C$7,0),MATCH($J$11,$D$12:$G$12,0))</f>
        <v>#N/A</v>
      </c>
      <c r="L92" s="163">
        <f ca="1">_xlfn.XLOOKUP(MAX(INT((OFFSET($C$12,$I92,MATCH($J$11,$D$12:$G$12,0))-6)/10),1),组队产出!$B$25:$B$39,组队产出!$P$25:$P$39)*OFFSET($C$1,MATCH(L$12,$C$2:$C$7,0),MATCH($J$11,$D$12:$G$12,0))</f>
        <v>1112.4</v>
      </c>
      <c r="M92" s="163">
        <f ca="1">竞技场!$G$3*OFFSET($C$1,MATCH(M$12,$C$2:$C$7,0),MATCH($J$11,$D$12:$G$12,0))</f>
        <v>1050</v>
      </c>
      <c r="N9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92" s="23">
        <f>任务!$G$6+任务!$G$9+IF(MOD(I92,7)=0,任务!$N$9+任务!$O$6,0)</f>
        <v>895</v>
      </c>
      <c r="P92" s="25">
        <f>公会!$U$11</f>
        <v>2766.62857142857</v>
      </c>
      <c r="Q92" s="163" t="e">
        <f ca="1">_xlfn.XLOOKUP(OFFSET($C$12,$I92,MATCH($J$11,$D$12:$G$12,0)),巡逻产出!$B$311:$B$610,巡逻产出!$Q$311:$Q$610)*OFFSET($C$1,MATCH(Q$12,$C$2:$C$7,0),MATCH($J$11,$D$12:$G$12,0))</f>
        <v>#N/A</v>
      </c>
      <c r="S92" s="160">
        <v>80</v>
      </c>
      <c r="T92" s="163" t="e">
        <f ca="1">_xlfn.XLOOKUP(OFFSET($C$12,$I92,MATCH($T$11,$D$12:$G$12,0)),主线推图!$B$313:$B$612,主线推图!$P$313:$P$612)*OFFSET($C$1,MATCH(T$12,$C$2:$C$7,0),MATCH($T$11,$D$12:$G$12,0))</f>
        <v>#N/A</v>
      </c>
      <c r="U92" s="163" t="e">
        <f ca="1">_xlfn.XLOOKUP(OFFSET($C$12,$I92,MATCH($T$11,$D$12:$G$12,0)),巡逻产出!$B$311:$B$610,巡逻产出!$R$311:$R$610)*OFFSET($C$1,MATCH(U$12,$C$2:$C$7,0),MATCH($T$11,$D$12:$G$12,0))</f>
        <v>#N/A</v>
      </c>
      <c r="V92" s="163">
        <f ca="1">_xlfn.XLOOKUP(MAX(INT((OFFSET($C$12,$I92,MATCH($T$11,$D$12:$G$12,0))-6)/10),1),组队产出!$B$25:$B$39,组队产出!$P$25:$P$39)*OFFSET($C$1,MATCH(V$12,$C$2:$C$7,0),MATCH($T$11,$D$12:$G$12,0))</f>
        <v>2248.8</v>
      </c>
      <c r="W92" s="163">
        <f ca="1">竞技场!$G$3*OFFSET($C$1,MATCH(W$12,$C$2:$C$7,0),MATCH($T$11,$D$12:$G$12,0))</f>
        <v>2100</v>
      </c>
      <c r="X9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92" s="23">
        <f>任务!$G$6+任务!$G$9+IF(MOD(S92,7)=0,任务!$N$9+任务!$O$6,0)</f>
        <v>895</v>
      </c>
      <c r="Z92" s="25">
        <f>公会!$U$11</f>
        <v>2766.62857142857</v>
      </c>
      <c r="AA92" s="163" t="e">
        <f ca="1">_xlfn.XLOOKUP(OFFSET($C$12,$I92,MATCH($T$11,$D$12:$G$12,0)),巡逻产出!$B$311:$B$610,巡逻产出!$Q$311:$Q$610)*OFFSET($C$1,MATCH(AA$12,$C$2:$C$7,0),MATCH($T$11,$D$12:$G$12,0))</f>
        <v>#N/A</v>
      </c>
      <c r="AC92" s="160">
        <v>80</v>
      </c>
      <c r="AD92" s="163">
        <f ca="1">_xlfn.XLOOKUP(OFFSET($C$12,$I92,MATCH($AD$11,$D$12:$G$12,0)),主线推图!$B$313:$B$612,主线推图!$P$313:$P$612)*OFFSET($C$1,MATCH(AD$12,$C$2:$C$7,0),MATCH($AD$11,$D$12:$G$12,0))</f>
        <v>3282.4</v>
      </c>
      <c r="AE92" s="163">
        <f ca="1">_xlfn.XLOOKUP(OFFSET($C$12,$I92,MATCH($AD$11,$D$12:$G$12,0)),巡逻产出!$B$311:$B$610,巡逻产出!$R$311:$R$610)*OFFSET($C$1,MATCH(AE$12,$C$2:$C$7,0),MATCH($AD$11,$D$12:$G$12,0))</f>
        <v>0</v>
      </c>
      <c r="AF92" s="163">
        <f ca="1">_xlfn.XLOOKUP(MAX(INT((OFFSET($C$12,$I92,MATCH($AD$11,$D$12:$G$12,0))-6)/10),1),组队产出!$B$25:$B$39,组队产出!$P$25:$P$39)*OFFSET($C$1,MATCH(AF$12,$C$2:$C$7,0),MATCH($AD$11,$D$12:$G$12,0))</f>
        <v>2308.8</v>
      </c>
      <c r="AG92" s="163">
        <f ca="1">竞技场!$G$3*OFFSET($C$1,MATCH(AG$12,$C$2:$C$7,0),MATCH($AD$11,$D$12:$G$12,0))</f>
        <v>3150</v>
      </c>
      <c r="AH9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92" s="23">
        <f>任务!$G$6+任务!$G$9+IF(MOD(AC92,7)=0,任务!$N$9+任务!$O$6,0)</f>
        <v>895</v>
      </c>
      <c r="AJ92" s="25">
        <f>公会!$U$11</f>
        <v>2766.62857142857</v>
      </c>
      <c r="AK92" s="163">
        <f ca="1">_xlfn.XLOOKUP(OFFSET($C$12,$I92,MATCH($AD$11,$D$12:$G$12,0)),巡逻产出!$B$311:$B$610,巡逻产出!$Q$311:$Q$610)*OFFSET($C$1,MATCH(AK$12,$C$2:$C$7,0),MATCH($AD$11,$D$12:$G$12,0))</f>
        <v>2269.488</v>
      </c>
      <c r="AM92" s="164">
        <v>80</v>
      </c>
      <c r="AN92" s="165">
        <f t="shared" si="11"/>
        <v>9781</v>
      </c>
      <c r="AO92" s="165">
        <f t="shared" si="12"/>
        <v>12186</v>
      </c>
      <c r="AP92" s="165">
        <f t="shared" si="13"/>
        <v>19107</v>
      </c>
      <c r="AQ92" s="165">
        <f t="shared" si="14"/>
        <v>24994</v>
      </c>
    </row>
    <row r="93" spans="3:43">
      <c r="C93" s="160">
        <v>81</v>
      </c>
      <c r="D93" s="169">
        <v>126</v>
      </c>
      <c r="E93" s="170">
        <f t="shared" si="9"/>
        <v>95</v>
      </c>
      <c r="F93" s="169">
        <f t="shared" si="10"/>
        <v>105.2</v>
      </c>
      <c r="G93" s="163">
        <f t="shared" si="15"/>
        <v>154</v>
      </c>
      <c r="I93" s="160">
        <v>81</v>
      </c>
      <c r="J93" s="163" t="e">
        <f ca="1">_xlfn.XLOOKUP(OFFSET($C$12,$I93,MATCH($J$11,$D$12:$G$12,0)),主线推图!$B$313:$B$612,主线推图!$P$313:$P$612)*OFFSET($C$1,MATCH(J$12,$C$2:$C$7,0),MATCH($J$11,$D$12:$G$12,0))</f>
        <v>#N/A</v>
      </c>
      <c r="K93" s="163" t="e">
        <f ca="1">_xlfn.XLOOKUP(OFFSET($C$12,$I93,MATCH($J$11,$D$12:$G$12,0)),巡逻产出!$B$311:$B$610,巡逻产出!$R$311:$R$610)*OFFSET($C$1,MATCH(K$12,$C$2:$C$7,0),MATCH($J$11,$D$12:$G$12,0))</f>
        <v>#N/A</v>
      </c>
      <c r="L93" s="163">
        <f ca="1">_xlfn.XLOOKUP(MAX(INT((OFFSET($C$12,$I93,MATCH($J$11,$D$12:$G$12,0))-6)/10),1),组队产出!$B$25:$B$39,组队产出!$P$25:$P$39)*OFFSET($C$1,MATCH(L$12,$C$2:$C$7,0),MATCH($J$11,$D$12:$G$12,0))</f>
        <v>1112.4</v>
      </c>
      <c r="M93" s="163">
        <f ca="1">竞技场!$G$3*OFFSET($C$1,MATCH(M$12,$C$2:$C$7,0),MATCH($J$11,$D$12:$G$12,0))</f>
        <v>1050</v>
      </c>
      <c r="N9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93" s="23">
        <f>任务!$G$6+任务!$G$9+IF(MOD(I93,7)=0,任务!$N$9+任务!$O$6,0)</f>
        <v>895</v>
      </c>
      <c r="P93" s="25">
        <f>公会!$U$11</f>
        <v>2766.62857142857</v>
      </c>
      <c r="Q93" s="163" t="e">
        <f ca="1">_xlfn.XLOOKUP(OFFSET($C$12,$I93,MATCH($J$11,$D$12:$G$12,0)),巡逻产出!$B$311:$B$610,巡逻产出!$Q$311:$Q$610)*OFFSET($C$1,MATCH(Q$12,$C$2:$C$7,0),MATCH($J$11,$D$12:$G$12,0))</f>
        <v>#N/A</v>
      </c>
      <c r="S93" s="160">
        <v>81</v>
      </c>
      <c r="T93" s="163" t="e">
        <f ca="1">_xlfn.XLOOKUP(OFFSET($C$12,$I93,MATCH($T$11,$D$12:$G$12,0)),主线推图!$B$313:$B$612,主线推图!$P$313:$P$612)*OFFSET($C$1,MATCH(T$12,$C$2:$C$7,0),MATCH($T$11,$D$12:$G$12,0))</f>
        <v>#N/A</v>
      </c>
      <c r="U93" s="163" t="e">
        <f ca="1">_xlfn.XLOOKUP(OFFSET($C$12,$I93,MATCH($T$11,$D$12:$G$12,0)),巡逻产出!$B$311:$B$610,巡逻产出!$R$311:$R$610)*OFFSET($C$1,MATCH(U$12,$C$2:$C$7,0),MATCH($T$11,$D$12:$G$12,0))</f>
        <v>#N/A</v>
      </c>
      <c r="V93" s="163">
        <f ca="1">_xlfn.XLOOKUP(MAX(INT((OFFSET($C$12,$I93,MATCH($T$11,$D$12:$G$12,0))-6)/10),1),组队产出!$B$25:$B$39,组队产出!$P$25:$P$39)*OFFSET($C$1,MATCH(V$12,$C$2:$C$7,0),MATCH($T$11,$D$12:$G$12,0))</f>
        <v>2248.8</v>
      </c>
      <c r="W93" s="163">
        <f ca="1">竞技场!$G$3*OFFSET($C$1,MATCH(W$12,$C$2:$C$7,0),MATCH($T$11,$D$12:$G$12,0))</f>
        <v>2100</v>
      </c>
      <c r="X9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93" s="23">
        <f>任务!$G$6+任务!$G$9+IF(MOD(S93,7)=0,任务!$N$9+任务!$O$6,0)</f>
        <v>895</v>
      </c>
      <c r="Z93" s="25">
        <f>公会!$U$11</f>
        <v>2766.62857142857</v>
      </c>
      <c r="AA93" s="163" t="e">
        <f ca="1">_xlfn.XLOOKUP(OFFSET($C$12,$I93,MATCH($T$11,$D$12:$G$12,0)),巡逻产出!$B$311:$B$610,巡逻产出!$Q$311:$Q$610)*OFFSET($C$1,MATCH(AA$12,$C$2:$C$7,0),MATCH($T$11,$D$12:$G$12,0))</f>
        <v>#N/A</v>
      </c>
      <c r="AC93" s="160">
        <v>81</v>
      </c>
      <c r="AD93" s="163">
        <f ca="1">_xlfn.XLOOKUP(OFFSET($C$12,$I93,MATCH($AD$11,$D$12:$G$12,0)),主线推图!$B$313:$B$612,主线推图!$P$313:$P$612)*OFFSET($C$1,MATCH(AD$12,$C$2:$C$7,0),MATCH($AD$11,$D$12:$G$12,0))</f>
        <v>3284.6</v>
      </c>
      <c r="AE93" s="163">
        <f ca="1">_xlfn.XLOOKUP(OFFSET($C$12,$I93,MATCH($AD$11,$D$12:$G$12,0)),巡逻产出!$B$311:$B$610,巡逻产出!$R$311:$R$610)*OFFSET($C$1,MATCH(AE$12,$C$2:$C$7,0),MATCH($AD$11,$D$12:$G$12,0))</f>
        <v>0</v>
      </c>
      <c r="AF93" s="163">
        <f ca="1">_xlfn.XLOOKUP(MAX(INT((OFFSET($C$12,$I93,MATCH($AD$11,$D$12:$G$12,0))-6)/10),1),组队产出!$B$25:$B$39,组队产出!$P$25:$P$39)*OFFSET($C$1,MATCH(AF$12,$C$2:$C$7,0),MATCH($AD$11,$D$12:$G$12,0))</f>
        <v>2308.8</v>
      </c>
      <c r="AG93" s="163">
        <f ca="1">竞技场!$G$3*OFFSET($C$1,MATCH(AG$12,$C$2:$C$7,0),MATCH($AD$11,$D$12:$G$12,0))</f>
        <v>3150</v>
      </c>
      <c r="AH9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93" s="23">
        <f>任务!$G$6+任务!$G$9+IF(MOD(AC93,7)=0,任务!$N$9+任务!$O$6,0)</f>
        <v>895</v>
      </c>
      <c r="AJ93" s="25">
        <f>公会!$U$11</f>
        <v>2766.62857142857</v>
      </c>
      <c r="AK93" s="163">
        <f ca="1">_xlfn.XLOOKUP(OFFSET($C$12,$I93,MATCH($AD$11,$D$12:$G$12,0)),巡逻产出!$B$311:$B$610,巡逻产出!$Q$311:$Q$610)*OFFSET($C$1,MATCH(AK$12,$C$2:$C$7,0),MATCH($AD$11,$D$12:$G$12,0))</f>
        <v>2271.048</v>
      </c>
      <c r="AM93" s="164">
        <v>81</v>
      </c>
      <c r="AN93" s="165">
        <f t="shared" si="11"/>
        <v>9895</v>
      </c>
      <c r="AO93" s="165">
        <f t="shared" si="12"/>
        <v>12329</v>
      </c>
      <c r="AP93" s="165">
        <f t="shared" si="13"/>
        <v>19336</v>
      </c>
      <c r="AQ93" s="165">
        <f t="shared" si="14"/>
        <v>25296</v>
      </c>
    </row>
    <row r="94" spans="3:43">
      <c r="C94" s="160">
        <v>82</v>
      </c>
      <c r="D94" s="169">
        <v>131</v>
      </c>
      <c r="E94" s="170">
        <f t="shared" si="9"/>
        <v>95.25</v>
      </c>
      <c r="F94" s="169">
        <f t="shared" si="10"/>
        <v>105.55</v>
      </c>
      <c r="G94" s="163">
        <f t="shared" si="15"/>
        <v>155</v>
      </c>
      <c r="I94" s="160">
        <v>82</v>
      </c>
      <c r="J94" s="163" t="e">
        <f ca="1">_xlfn.XLOOKUP(OFFSET($C$12,$I94,MATCH($J$11,$D$12:$G$12,0)),主线推图!$B$313:$B$612,主线推图!$P$313:$P$612)*OFFSET($C$1,MATCH(J$12,$C$2:$C$7,0),MATCH($J$11,$D$12:$G$12,0))</f>
        <v>#N/A</v>
      </c>
      <c r="K94" s="163" t="e">
        <f ca="1">_xlfn.XLOOKUP(OFFSET($C$12,$I94,MATCH($J$11,$D$12:$G$12,0)),巡逻产出!$B$311:$B$610,巡逻产出!$R$311:$R$610)*OFFSET($C$1,MATCH(K$12,$C$2:$C$7,0),MATCH($J$11,$D$12:$G$12,0))</f>
        <v>#N/A</v>
      </c>
      <c r="L94" s="163">
        <f ca="1">_xlfn.XLOOKUP(MAX(INT((OFFSET($C$12,$I94,MATCH($J$11,$D$12:$G$12,0))-6)/10),1),组队产出!$B$25:$B$39,组队产出!$P$25:$P$39)*OFFSET($C$1,MATCH(L$12,$C$2:$C$7,0),MATCH($J$11,$D$12:$G$12,0))</f>
        <v>1112.4</v>
      </c>
      <c r="M94" s="163">
        <f ca="1">竞技场!$G$3*OFFSET($C$1,MATCH(M$12,$C$2:$C$7,0),MATCH($J$11,$D$12:$G$12,0))</f>
        <v>1050</v>
      </c>
      <c r="N9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94" s="23">
        <f>任务!$G$6+任务!$G$9+IF(MOD(I94,7)=0,任务!$N$9+任务!$O$6,0)</f>
        <v>895</v>
      </c>
      <c r="P94" s="25">
        <f>公会!$U$11</f>
        <v>2766.62857142857</v>
      </c>
      <c r="Q94" s="163" t="e">
        <f ca="1">_xlfn.XLOOKUP(OFFSET($C$12,$I94,MATCH($J$11,$D$12:$G$12,0)),巡逻产出!$B$311:$B$610,巡逻产出!$Q$311:$Q$610)*OFFSET($C$1,MATCH(Q$12,$C$2:$C$7,0),MATCH($J$11,$D$12:$G$12,0))</f>
        <v>#N/A</v>
      </c>
      <c r="S94" s="160">
        <v>82</v>
      </c>
      <c r="T94" s="163" t="e">
        <f ca="1">_xlfn.XLOOKUP(OFFSET($C$12,$I94,MATCH($T$11,$D$12:$G$12,0)),主线推图!$B$313:$B$612,主线推图!$P$313:$P$612)*OFFSET($C$1,MATCH(T$12,$C$2:$C$7,0),MATCH($T$11,$D$12:$G$12,0))</f>
        <v>#N/A</v>
      </c>
      <c r="U94" s="163" t="e">
        <f ca="1">_xlfn.XLOOKUP(OFFSET($C$12,$I94,MATCH($T$11,$D$12:$G$12,0)),巡逻产出!$B$311:$B$610,巡逻产出!$R$311:$R$610)*OFFSET($C$1,MATCH(U$12,$C$2:$C$7,0),MATCH($T$11,$D$12:$G$12,0))</f>
        <v>#N/A</v>
      </c>
      <c r="V94" s="163">
        <f ca="1">_xlfn.XLOOKUP(MAX(INT((OFFSET($C$12,$I94,MATCH($T$11,$D$12:$G$12,0))-6)/10),1),组队产出!$B$25:$B$39,组队产出!$P$25:$P$39)*OFFSET($C$1,MATCH(V$12,$C$2:$C$7,0),MATCH($T$11,$D$12:$G$12,0))</f>
        <v>2248.8</v>
      </c>
      <c r="W94" s="163">
        <f ca="1">竞技场!$G$3*OFFSET($C$1,MATCH(W$12,$C$2:$C$7,0),MATCH($T$11,$D$12:$G$12,0))</f>
        <v>2100</v>
      </c>
      <c r="X9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94" s="23">
        <f>任务!$G$6+任务!$G$9+IF(MOD(S94,7)=0,任务!$N$9+任务!$O$6,0)</f>
        <v>895</v>
      </c>
      <c r="Z94" s="25">
        <f>公会!$U$11</f>
        <v>2766.62857142857</v>
      </c>
      <c r="AA94" s="163" t="e">
        <f ca="1">_xlfn.XLOOKUP(OFFSET($C$12,$I94,MATCH($T$11,$D$12:$G$12,0)),巡逻产出!$B$311:$B$610,巡逻产出!$Q$311:$Q$610)*OFFSET($C$1,MATCH(AA$12,$C$2:$C$7,0),MATCH($T$11,$D$12:$G$12,0))</f>
        <v>#N/A</v>
      </c>
      <c r="AC94" s="160">
        <v>82</v>
      </c>
      <c r="AD94" s="163">
        <f ca="1">_xlfn.XLOOKUP(OFFSET($C$12,$I94,MATCH($AD$11,$D$12:$G$12,0)),主线推图!$B$313:$B$612,主线推图!$P$313:$P$612)*OFFSET($C$1,MATCH(AD$12,$C$2:$C$7,0),MATCH($AD$11,$D$12:$G$12,0))</f>
        <v>3286.8</v>
      </c>
      <c r="AE94" s="163">
        <f ca="1">_xlfn.XLOOKUP(OFFSET($C$12,$I94,MATCH($AD$11,$D$12:$G$12,0)),巡逻产出!$B$311:$B$610,巡逻产出!$R$311:$R$610)*OFFSET($C$1,MATCH(AE$12,$C$2:$C$7,0),MATCH($AD$11,$D$12:$G$12,0))</f>
        <v>0</v>
      </c>
      <c r="AF94" s="163">
        <f ca="1">_xlfn.XLOOKUP(MAX(INT((OFFSET($C$12,$I94,MATCH($AD$11,$D$12:$G$12,0))-6)/10),1),组队产出!$B$25:$B$39,组队产出!$P$25:$P$39)*OFFSET($C$1,MATCH(AF$12,$C$2:$C$7,0),MATCH($AD$11,$D$12:$G$12,0))</f>
        <v>2308.8</v>
      </c>
      <c r="AG94" s="163">
        <f ca="1">竞技场!$G$3*OFFSET($C$1,MATCH(AG$12,$C$2:$C$7,0),MATCH($AD$11,$D$12:$G$12,0))</f>
        <v>3150</v>
      </c>
      <c r="AH9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94" s="23">
        <f>任务!$G$6+任务!$G$9+IF(MOD(AC94,7)=0,任务!$N$9+任务!$O$6,0)</f>
        <v>895</v>
      </c>
      <c r="AJ94" s="25">
        <f>公会!$U$11</f>
        <v>2766.62857142857</v>
      </c>
      <c r="AK94" s="163">
        <f ca="1">_xlfn.XLOOKUP(OFFSET($C$12,$I94,MATCH($AD$11,$D$12:$G$12,0)),巡逻产出!$B$311:$B$610,巡逻产出!$Q$311:$Q$610)*OFFSET($C$1,MATCH(AK$12,$C$2:$C$7,0),MATCH($AD$11,$D$12:$G$12,0))</f>
        <v>2272.608</v>
      </c>
      <c r="AM94" s="164">
        <v>82</v>
      </c>
      <c r="AN94" s="165">
        <f t="shared" si="11"/>
        <v>10008</v>
      </c>
      <c r="AO94" s="165">
        <f t="shared" si="12"/>
        <v>12472</v>
      </c>
      <c r="AP94" s="165">
        <f t="shared" si="13"/>
        <v>19564</v>
      </c>
      <c r="AQ94" s="165">
        <f t="shared" si="14"/>
        <v>25598</v>
      </c>
    </row>
    <row r="95" spans="3:43">
      <c r="C95" s="160">
        <v>83</v>
      </c>
      <c r="D95" s="169">
        <v>132</v>
      </c>
      <c r="E95" s="170">
        <f t="shared" si="9"/>
        <v>95.5</v>
      </c>
      <c r="F95" s="169">
        <f t="shared" si="10"/>
        <v>105.9</v>
      </c>
      <c r="G95" s="163">
        <f t="shared" si="15"/>
        <v>156</v>
      </c>
      <c r="I95" s="160">
        <v>83</v>
      </c>
      <c r="J95" s="163" t="e">
        <f ca="1">_xlfn.XLOOKUP(OFFSET($C$12,$I95,MATCH($J$11,$D$12:$G$12,0)),主线推图!$B$313:$B$612,主线推图!$P$313:$P$612)*OFFSET($C$1,MATCH(J$12,$C$2:$C$7,0),MATCH($J$11,$D$12:$G$12,0))</f>
        <v>#N/A</v>
      </c>
      <c r="K95" s="163" t="e">
        <f ca="1">_xlfn.XLOOKUP(OFFSET($C$12,$I95,MATCH($J$11,$D$12:$G$12,0)),巡逻产出!$B$311:$B$610,巡逻产出!$R$311:$R$610)*OFFSET($C$1,MATCH(K$12,$C$2:$C$7,0),MATCH($J$11,$D$12:$G$12,0))</f>
        <v>#N/A</v>
      </c>
      <c r="L95" s="163">
        <f ca="1">_xlfn.XLOOKUP(MAX(INT((OFFSET($C$12,$I95,MATCH($J$11,$D$12:$G$12,0))-6)/10),1),组队产出!$B$25:$B$39,组队产出!$P$25:$P$39)*OFFSET($C$1,MATCH(L$12,$C$2:$C$7,0),MATCH($J$11,$D$12:$G$12,0))</f>
        <v>1112.4</v>
      </c>
      <c r="M95" s="163">
        <f ca="1">竞技场!$G$3*OFFSET($C$1,MATCH(M$12,$C$2:$C$7,0),MATCH($J$11,$D$12:$G$12,0))</f>
        <v>1050</v>
      </c>
      <c r="N9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95" s="23">
        <f>任务!$G$6+任务!$G$9+IF(MOD(I95,7)=0,任务!$N$9+任务!$O$6,0)</f>
        <v>895</v>
      </c>
      <c r="P95" s="25">
        <f>公会!$U$11</f>
        <v>2766.62857142857</v>
      </c>
      <c r="Q95" s="163" t="e">
        <f ca="1">_xlfn.XLOOKUP(OFFSET($C$12,$I95,MATCH($J$11,$D$12:$G$12,0)),巡逻产出!$B$311:$B$610,巡逻产出!$Q$311:$Q$610)*OFFSET($C$1,MATCH(Q$12,$C$2:$C$7,0),MATCH($J$11,$D$12:$G$12,0))</f>
        <v>#N/A</v>
      </c>
      <c r="S95" s="160">
        <v>83</v>
      </c>
      <c r="T95" s="163" t="e">
        <f ca="1">_xlfn.XLOOKUP(OFFSET($C$12,$I95,MATCH($T$11,$D$12:$G$12,0)),主线推图!$B$313:$B$612,主线推图!$P$313:$P$612)*OFFSET($C$1,MATCH(T$12,$C$2:$C$7,0),MATCH($T$11,$D$12:$G$12,0))</f>
        <v>#N/A</v>
      </c>
      <c r="U95" s="163" t="e">
        <f ca="1">_xlfn.XLOOKUP(OFFSET($C$12,$I95,MATCH($T$11,$D$12:$G$12,0)),巡逻产出!$B$311:$B$610,巡逻产出!$R$311:$R$610)*OFFSET($C$1,MATCH(U$12,$C$2:$C$7,0),MATCH($T$11,$D$12:$G$12,0))</f>
        <v>#N/A</v>
      </c>
      <c r="V95" s="163">
        <f ca="1">_xlfn.XLOOKUP(MAX(INT((OFFSET($C$12,$I95,MATCH($T$11,$D$12:$G$12,0))-6)/10),1),组队产出!$B$25:$B$39,组队产出!$P$25:$P$39)*OFFSET($C$1,MATCH(V$12,$C$2:$C$7,0),MATCH($T$11,$D$12:$G$12,0))</f>
        <v>2248.8</v>
      </c>
      <c r="W95" s="163">
        <f ca="1">竞技场!$G$3*OFFSET($C$1,MATCH(W$12,$C$2:$C$7,0),MATCH($T$11,$D$12:$G$12,0))</f>
        <v>2100</v>
      </c>
      <c r="X9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95" s="23">
        <f>任务!$G$6+任务!$G$9+IF(MOD(S95,7)=0,任务!$N$9+任务!$O$6,0)</f>
        <v>895</v>
      </c>
      <c r="Z95" s="25">
        <f>公会!$U$11</f>
        <v>2766.62857142857</v>
      </c>
      <c r="AA95" s="163" t="e">
        <f ca="1">_xlfn.XLOOKUP(OFFSET($C$12,$I95,MATCH($T$11,$D$12:$G$12,0)),巡逻产出!$B$311:$B$610,巡逻产出!$Q$311:$Q$610)*OFFSET($C$1,MATCH(AA$12,$C$2:$C$7,0),MATCH($T$11,$D$12:$G$12,0))</f>
        <v>#N/A</v>
      </c>
      <c r="AC95" s="160">
        <v>83</v>
      </c>
      <c r="AD95" s="163">
        <f ca="1">_xlfn.XLOOKUP(OFFSET($C$12,$I95,MATCH($AD$11,$D$12:$G$12,0)),主线推图!$B$313:$B$612,主线推图!$P$313:$P$612)*OFFSET($C$1,MATCH(AD$12,$C$2:$C$7,0),MATCH($AD$11,$D$12:$G$12,0))</f>
        <v>3289</v>
      </c>
      <c r="AE95" s="163">
        <f ca="1">_xlfn.XLOOKUP(OFFSET($C$12,$I95,MATCH($AD$11,$D$12:$G$12,0)),巡逻产出!$B$311:$B$610,巡逻产出!$R$311:$R$610)*OFFSET($C$1,MATCH(AE$12,$C$2:$C$7,0),MATCH($AD$11,$D$12:$G$12,0))</f>
        <v>0</v>
      </c>
      <c r="AF95" s="163">
        <f ca="1">_xlfn.XLOOKUP(MAX(INT((OFFSET($C$12,$I95,MATCH($AD$11,$D$12:$G$12,0))-6)/10),1),组队产出!$B$25:$B$39,组队产出!$P$25:$P$39)*OFFSET($C$1,MATCH(AF$12,$C$2:$C$7,0),MATCH($AD$11,$D$12:$G$12,0))</f>
        <v>2320.8</v>
      </c>
      <c r="AG95" s="163">
        <f ca="1">竞技场!$G$3*OFFSET($C$1,MATCH(AG$12,$C$2:$C$7,0),MATCH($AD$11,$D$12:$G$12,0))</f>
        <v>3150</v>
      </c>
      <c r="AH9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95" s="23">
        <f>任务!$G$6+任务!$G$9+IF(MOD(AC95,7)=0,任务!$N$9+任务!$O$6,0)</f>
        <v>895</v>
      </c>
      <c r="AJ95" s="25">
        <f>公会!$U$11</f>
        <v>2766.62857142857</v>
      </c>
      <c r="AK95" s="163">
        <f ca="1">_xlfn.XLOOKUP(OFFSET($C$12,$I95,MATCH($AD$11,$D$12:$G$12,0)),巡逻产出!$B$311:$B$610,巡逻产出!$Q$311:$Q$610)*OFFSET($C$1,MATCH(AK$12,$C$2:$C$7,0),MATCH($AD$11,$D$12:$G$12,0))</f>
        <v>2274.168</v>
      </c>
      <c r="AM95" s="164">
        <v>83</v>
      </c>
      <c r="AN95" s="165">
        <f t="shared" si="11"/>
        <v>10122</v>
      </c>
      <c r="AO95" s="165">
        <f t="shared" si="12"/>
        <v>12615</v>
      </c>
      <c r="AP95" s="165">
        <f t="shared" si="13"/>
        <v>19793</v>
      </c>
      <c r="AQ95" s="165">
        <f t="shared" si="14"/>
        <v>25900</v>
      </c>
    </row>
    <row r="96" spans="3:43">
      <c r="C96" s="160">
        <v>84</v>
      </c>
      <c r="D96" s="169">
        <v>133</v>
      </c>
      <c r="E96" s="170">
        <f t="shared" si="9"/>
        <v>95.75</v>
      </c>
      <c r="F96" s="169">
        <f t="shared" si="10"/>
        <v>106.25</v>
      </c>
      <c r="G96" s="163">
        <f t="shared" si="15"/>
        <v>157</v>
      </c>
      <c r="I96" s="160">
        <v>84</v>
      </c>
      <c r="J96" s="163" t="e">
        <f ca="1">_xlfn.XLOOKUP(OFFSET($C$12,$I96,MATCH($J$11,$D$12:$G$12,0)),主线推图!$B$313:$B$612,主线推图!$P$313:$P$612)*OFFSET($C$1,MATCH(J$12,$C$2:$C$7,0),MATCH($J$11,$D$12:$G$12,0))</f>
        <v>#N/A</v>
      </c>
      <c r="K96" s="163" t="e">
        <f ca="1">_xlfn.XLOOKUP(OFFSET($C$12,$I96,MATCH($J$11,$D$12:$G$12,0)),巡逻产出!$B$311:$B$610,巡逻产出!$R$311:$R$610)*OFFSET($C$1,MATCH(K$12,$C$2:$C$7,0),MATCH($J$11,$D$12:$G$12,0))</f>
        <v>#N/A</v>
      </c>
      <c r="L96" s="163">
        <f ca="1">_xlfn.XLOOKUP(MAX(INT((OFFSET($C$12,$I96,MATCH($J$11,$D$12:$G$12,0))-6)/10),1),组队产出!$B$25:$B$39,组队产出!$P$25:$P$39)*OFFSET($C$1,MATCH(L$12,$C$2:$C$7,0),MATCH($J$11,$D$12:$G$12,0))</f>
        <v>1112.4</v>
      </c>
      <c r="M96" s="163">
        <f ca="1">竞技场!$G$3*OFFSET($C$1,MATCH(M$12,$C$2:$C$7,0),MATCH($J$11,$D$12:$G$12,0))</f>
        <v>1050</v>
      </c>
      <c r="N9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96" s="23">
        <f>任务!$G$6+任务!$G$9+IF(MOD(I96,7)=0,任务!$N$9+任务!$O$6,0)</f>
        <v>3125</v>
      </c>
      <c r="P96" s="25">
        <f>公会!$U$11</f>
        <v>2766.62857142857</v>
      </c>
      <c r="Q96" s="163" t="e">
        <f ca="1">_xlfn.XLOOKUP(OFFSET($C$12,$I96,MATCH($J$11,$D$12:$G$12,0)),巡逻产出!$B$311:$B$610,巡逻产出!$Q$311:$Q$610)*OFFSET($C$1,MATCH(Q$12,$C$2:$C$7,0),MATCH($J$11,$D$12:$G$12,0))</f>
        <v>#N/A</v>
      </c>
      <c r="S96" s="160">
        <v>84</v>
      </c>
      <c r="T96" s="163" t="e">
        <f ca="1">_xlfn.XLOOKUP(OFFSET($C$12,$I96,MATCH($T$11,$D$12:$G$12,0)),主线推图!$B$313:$B$612,主线推图!$P$313:$P$612)*OFFSET($C$1,MATCH(T$12,$C$2:$C$7,0),MATCH($T$11,$D$12:$G$12,0))</f>
        <v>#N/A</v>
      </c>
      <c r="U96" s="163" t="e">
        <f ca="1">_xlfn.XLOOKUP(OFFSET($C$12,$I96,MATCH($T$11,$D$12:$G$12,0)),巡逻产出!$B$311:$B$610,巡逻产出!$R$311:$R$610)*OFFSET($C$1,MATCH(U$12,$C$2:$C$7,0),MATCH($T$11,$D$12:$G$12,0))</f>
        <v>#N/A</v>
      </c>
      <c r="V96" s="163">
        <f ca="1">_xlfn.XLOOKUP(MAX(INT((OFFSET($C$12,$I96,MATCH($T$11,$D$12:$G$12,0))-6)/10),1),组队产出!$B$25:$B$39,组队产出!$P$25:$P$39)*OFFSET($C$1,MATCH(V$12,$C$2:$C$7,0),MATCH($T$11,$D$12:$G$12,0))</f>
        <v>2260.8</v>
      </c>
      <c r="W96" s="163">
        <f ca="1">竞技场!$G$3*OFFSET($C$1,MATCH(W$12,$C$2:$C$7,0),MATCH($T$11,$D$12:$G$12,0))</f>
        <v>2100</v>
      </c>
      <c r="X9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96" s="23">
        <f>任务!$G$6+任务!$G$9+IF(MOD(S96,7)=0,任务!$N$9+任务!$O$6,0)</f>
        <v>3125</v>
      </c>
      <c r="Z96" s="25">
        <f>公会!$U$11</f>
        <v>2766.62857142857</v>
      </c>
      <c r="AA96" s="163" t="e">
        <f ca="1">_xlfn.XLOOKUP(OFFSET($C$12,$I96,MATCH($T$11,$D$12:$G$12,0)),巡逻产出!$B$311:$B$610,巡逻产出!$Q$311:$Q$610)*OFFSET($C$1,MATCH(AA$12,$C$2:$C$7,0),MATCH($T$11,$D$12:$G$12,0))</f>
        <v>#N/A</v>
      </c>
      <c r="AC96" s="160">
        <v>84</v>
      </c>
      <c r="AD96" s="163">
        <f ca="1">_xlfn.XLOOKUP(OFFSET($C$12,$I96,MATCH($AD$11,$D$12:$G$12,0)),主线推图!$B$313:$B$612,主线推图!$P$313:$P$612)*OFFSET($C$1,MATCH(AD$12,$C$2:$C$7,0),MATCH($AD$11,$D$12:$G$12,0))</f>
        <v>3291.2</v>
      </c>
      <c r="AE96" s="163">
        <f ca="1">_xlfn.XLOOKUP(OFFSET($C$12,$I96,MATCH($AD$11,$D$12:$G$12,0)),巡逻产出!$B$311:$B$610,巡逻产出!$R$311:$R$610)*OFFSET($C$1,MATCH(AE$12,$C$2:$C$7,0),MATCH($AD$11,$D$12:$G$12,0))</f>
        <v>0</v>
      </c>
      <c r="AF96" s="163">
        <f ca="1">_xlfn.XLOOKUP(MAX(INT((OFFSET($C$12,$I96,MATCH($AD$11,$D$12:$G$12,0))-6)/10),1),组队产出!$B$25:$B$39,组队产出!$P$25:$P$39)*OFFSET($C$1,MATCH(AF$12,$C$2:$C$7,0),MATCH($AD$11,$D$12:$G$12,0))</f>
        <v>2320.8</v>
      </c>
      <c r="AG96" s="163">
        <f ca="1">竞技场!$G$3*OFFSET($C$1,MATCH(AG$12,$C$2:$C$7,0),MATCH($AD$11,$D$12:$G$12,0))</f>
        <v>3150</v>
      </c>
      <c r="AH9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96" s="23">
        <f>任务!$G$6+任务!$G$9+IF(MOD(AC96,7)=0,任务!$N$9+任务!$O$6,0)</f>
        <v>3125</v>
      </c>
      <c r="AJ96" s="25">
        <f>公会!$U$11</f>
        <v>2766.62857142857</v>
      </c>
      <c r="AK96" s="163">
        <f ca="1">_xlfn.XLOOKUP(OFFSET($C$12,$I96,MATCH($AD$11,$D$12:$G$12,0)),巡逻产出!$B$311:$B$610,巡逻产出!$Q$311:$Q$610)*OFFSET($C$1,MATCH(AK$12,$C$2:$C$7,0),MATCH($AD$11,$D$12:$G$12,0))</f>
        <v>2275.728</v>
      </c>
      <c r="AM96" s="164">
        <v>84</v>
      </c>
      <c r="AN96" s="165">
        <f t="shared" si="11"/>
        <v>10235</v>
      </c>
      <c r="AO96" s="165">
        <f t="shared" si="12"/>
        <v>12758</v>
      </c>
      <c r="AP96" s="165">
        <f t="shared" si="13"/>
        <v>20021</v>
      </c>
      <c r="AQ96" s="165">
        <f t="shared" si="14"/>
        <v>26202</v>
      </c>
    </row>
    <row r="97" spans="3:43">
      <c r="C97" s="160">
        <v>85</v>
      </c>
      <c r="D97" s="169">
        <v>133</v>
      </c>
      <c r="E97" s="170">
        <f t="shared" si="9"/>
        <v>96</v>
      </c>
      <c r="F97" s="169">
        <f t="shared" si="10"/>
        <v>106.6</v>
      </c>
      <c r="G97" s="163">
        <f t="shared" si="15"/>
        <v>158</v>
      </c>
      <c r="I97" s="160">
        <v>85</v>
      </c>
      <c r="J97" s="163" t="e">
        <f ca="1">_xlfn.XLOOKUP(OFFSET($C$12,$I97,MATCH($J$11,$D$12:$G$12,0)),主线推图!$B$313:$B$612,主线推图!$P$313:$P$612)*OFFSET($C$1,MATCH(J$12,$C$2:$C$7,0),MATCH($J$11,$D$12:$G$12,0))</f>
        <v>#N/A</v>
      </c>
      <c r="K97" s="163" t="e">
        <f ca="1">_xlfn.XLOOKUP(OFFSET($C$12,$I97,MATCH($J$11,$D$12:$G$12,0)),巡逻产出!$B$311:$B$610,巡逻产出!$R$311:$R$610)*OFFSET($C$1,MATCH(K$12,$C$2:$C$7,0),MATCH($J$11,$D$12:$G$12,0))</f>
        <v>#N/A</v>
      </c>
      <c r="L97" s="163">
        <f ca="1">_xlfn.XLOOKUP(MAX(INT((OFFSET($C$12,$I97,MATCH($J$11,$D$12:$G$12,0))-6)/10),1),组队产出!$B$25:$B$39,组队产出!$P$25:$P$39)*OFFSET($C$1,MATCH(L$12,$C$2:$C$7,0),MATCH($J$11,$D$12:$G$12,0))</f>
        <v>1112.4</v>
      </c>
      <c r="M97" s="163">
        <f ca="1">竞技场!$G$3*OFFSET($C$1,MATCH(M$12,$C$2:$C$7,0),MATCH($J$11,$D$12:$G$12,0))</f>
        <v>1050</v>
      </c>
      <c r="N9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97" s="23">
        <f>任务!$G$6+任务!$G$9+IF(MOD(I97,7)=0,任务!$N$9+任务!$O$6,0)</f>
        <v>895</v>
      </c>
      <c r="P97" s="25">
        <f>公会!$U$11</f>
        <v>2766.62857142857</v>
      </c>
      <c r="Q97" s="163" t="e">
        <f ca="1">_xlfn.XLOOKUP(OFFSET($C$12,$I97,MATCH($J$11,$D$12:$G$12,0)),巡逻产出!$B$311:$B$610,巡逻产出!$Q$311:$Q$610)*OFFSET($C$1,MATCH(Q$12,$C$2:$C$7,0),MATCH($J$11,$D$12:$G$12,0))</f>
        <v>#N/A</v>
      </c>
      <c r="S97" s="160">
        <v>85</v>
      </c>
      <c r="T97" s="163" t="e">
        <f ca="1">_xlfn.XLOOKUP(OFFSET($C$12,$I97,MATCH($T$11,$D$12:$G$12,0)),主线推图!$B$313:$B$612,主线推图!$P$313:$P$612)*OFFSET($C$1,MATCH(T$12,$C$2:$C$7,0),MATCH($T$11,$D$12:$G$12,0))</f>
        <v>#N/A</v>
      </c>
      <c r="U97" s="163" t="e">
        <f ca="1">_xlfn.XLOOKUP(OFFSET($C$12,$I97,MATCH($T$11,$D$12:$G$12,0)),巡逻产出!$B$311:$B$610,巡逻产出!$R$311:$R$610)*OFFSET($C$1,MATCH(U$12,$C$2:$C$7,0),MATCH($T$11,$D$12:$G$12,0))</f>
        <v>#N/A</v>
      </c>
      <c r="V97" s="163">
        <f ca="1">_xlfn.XLOOKUP(MAX(INT((OFFSET($C$12,$I97,MATCH($T$11,$D$12:$G$12,0))-6)/10),1),组队产出!$B$25:$B$39,组队产出!$P$25:$P$39)*OFFSET($C$1,MATCH(V$12,$C$2:$C$7,0),MATCH($T$11,$D$12:$G$12,0))</f>
        <v>2260.8</v>
      </c>
      <c r="W97" s="163">
        <f ca="1">竞技场!$G$3*OFFSET($C$1,MATCH(W$12,$C$2:$C$7,0),MATCH($T$11,$D$12:$G$12,0))</f>
        <v>2100</v>
      </c>
      <c r="X9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97" s="23">
        <f>任务!$G$6+任务!$G$9+IF(MOD(S97,7)=0,任务!$N$9+任务!$O$6,0)</f>
        <v>895</v>
      </c>
      <c r="Z97" s="25">
        <f>公会!$U$11</f>
        <v>2766.62857142857</v>
      </c>
      <c r="AA97" s="163" t="e">
        <f ca="1">_xlfn.XLOOKUP(OFFSET($C$12,$I97,MATCH($T$11,$D$12:$G$12,0)),巡逻产出!$B$311:$B$610,巡逻产出!$Q$311:$Q$610)*OFFSET($C$1,MATCH(AA$12,$C$2:$C$7,0),MATCH($T$11,$D$12:$G$12,0))</f>
        <v>#N/A</v>
      </c>
      <c r="AC97" s="160">
        <v>85</v>
      </c>
      <c r="AD97" s="163">
        <f ca="1">_xlfn.XLOOKUP(OFFSET($C$12,$I97,MATCH($AD$11,$D$12:$G$12,0)),主线推图!$B$313:$B$612,主线推图!$P$313:$P$612)*OFFSET($C$1,MATCH(AD$12,$C$2:$C$7,0),MATCH($AD$11,$D$12:$G$12,0))</f>
        <v>3293.4</v>
      </c>
      <c r="AE97" s="163">
        <f ca="1">_xlfn.XLOOKUP(OFFSET($C$12,$I97,MATCH($AD$11,$D$12:$G$12,0)),巡逻产出!$B$311:$B$610,巡逻产出!$R$311:$R$610)*OFFSET($C$1,MATCH(AE$12,$C$2:$C$7,0),MATCH($AD$11,$D$12:$G$12,0))</f>
        <v>0</v>
      </c>
      <c r="AF97" s="163">
        <f ca="1">_xlfn.XLOOKUP(MAX(INT((OFFSET($C$12,$I97,MATCH($AD$11,$D$12:$G$12,0))-6)/10),1),组队产出!$B$25:$B$39,组队产出!$P$25:$P$39)*OFFSET($C$1,MATCH(AF$12,$C$2:$C$7,0),MATCH($AD$11,$D$12:$G$12,0))</f>
        <v>2320.8</v>
      </c>
      <c r="AG97" s="163">
        <f ca="1">竞技场!$G$3*OFFSET($C$1,MATCH(AG$12,$C$2:$C$7,0),MATCH($AD$11,$D$12:$G$12,0))</f>
        <v>3150</v>
      </c>
      <c r="AH9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97" s="23">
        <f>任务!$G$6+任务!$G$9+IF(MOD(AC97,7)=0,任务!$N$9+任务!$O$6,0)</f>
        <v>895</v>
      </c>
      <c r="AJ97" s="25">
        <f>公会!$U$11</f>
        <v>2766.62857142857</v>
      </c>
      <c r="AK97" s="163">
        <f ca="1">_xlfn.XLOOKUP(OFFSET($C$12,$I97,MATCH($AD$11,$D$12:$G$12,0)),巡逻产出!$B$311:$B$610,巡逻产出!$Q$311:$Q$610)*OFFSET($C$1,MATCH(AK$12,$C$2:$C$7,0),MATCH($AD$11,$D$12:$G$12,0))</f>
        <v>2277.288</v>
      </c>
      <c r="AM97" s="164">
        <v>85</v>
      </c>
      <c r="AN97" s="165">
        <f t="shared" si="11"/>
        <v>10349</v>
      </c>
      <c r="AO97" s="165">
        <f t="shared" si="12"/>
        <v>12901</v>
      </c>
      <c r="AP97" s="165">
        <f t="shared" si="13"/>
        <v>20250</v>
      </c>
      <c r="AQ97" s="165">
        <f t="shared" si="14"/>
        <v>26504</v>
      </c>
    </row>
    <row r="98" spans="3:43">
      <c r="C98" s="160">
        <v>86</v>
      </c>
      <c r="D98" s="169">
        <v>133</v>
      </c>
      <c r="E98" s="170">
        <f t="shared" si="9"/>
        <v>96.25</v>
      </c>
      <c r="F98" s="169">
        <f t="shared" si="10"/>
        <v>106.95</v>
      </c>
      <c r="G98" s="163">
        <f t="shared" si="15"/>
        <v>159</v>
      </c>
      <c r="I98" s="160">
        <v>86</v>
      </c>
      <c r="J98" s="163" t="e">
        <f ca="1">_xlfn.XLOOKUP(OFFSET($C$12,$I98,MATCH($J$11,$D$12:$G$12,0)),主线推图!$B$313:$B$612,主线推图!$P$313:$P$612)*OFFSET($C$1,MATCH(J$12,$C$2:$C$7,0),MATCH($J$11,$D$12:$G$12,0))</f>
        <v>#N/A</v>
      </c>
      <c r="K98" s="163" t="e">
        <f ca="1">_xlfn.XLOOKUP(OFFSET($C$12,$I98,MATCH($J$11,$D$12:$G$12,0)),巡逻产出!$B$311:$B$610,巡逻产出!$R$311:$R$610)*OFFSET($C$1,MATCH(K$12,$C$2:$C$7,0),MATCH($J$11,$D$12:$G$12,0))</f>
        <v>#N/A</v>
      </c>
      <c r="L98" s="163">
        <f ca="1">_xlfn.XLOOKUP(MAX(INT((OFFSET($C$12,$I98,MATCH($J$11,$D$12:$G$12,0))-6)/10),1),组队产出!$B$25:$B$39,组队产出!$P$25:$P$39)*OFFSET($C$1,MATCH(L$12,$C$2:$C$7,0),MATCH($J$11,$D$12:$G$12,0))</f>
        <v>1112.4</v>
      </c>
      <c r="M98" s="163">
        <f ca="1">竞技场!$G$3*OFFSET($C$1,MATCH(M$12,$C$2:$C$7,0),MATCH($J$11,$D$12:$G$12,0))</f>
        <v>1050</v>
      </c>
      <c r="N9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98" s="23">
        <f>任务!$G$6+任务!$G$9+IF(MOD(I98,7)=0,任务!$N$9+任务!$O$6,0)</f>
        <v>895</v>
      </c>
      <c r="P98" s="25">
        <f>公会!$U$11</f>
        <v>2766.62857142857</v>
      </c>
      <c r="Q98" s="163" t="e">
        <f ca="1">_xlfn.XLOOKUP(OFFSET($C$12,$I98,MATCH($J$11,$D$12:$G$12,0)),巡逻产出!$B$311:$B$610,巡逻产出!$Q$311:$Q$610)*OFFSET($C$1,MATCH(Q$12,$C$2:$C$7,0),MATCH($J$11,$D$12:$G$12,0))</f>
        <v>#N/A</v>
      </c>
      <c r="S98" s="160">
        <v>86</v>
      </c>
      <c r="T98" s="163" t="e">
        <f ca="1">_xlfn.XLOOKUP(OFFSET($C$12,$I98,MATCH($T$11,$D$12:$G$12,0)),主线推图!$B$313:$B$612,主线推图!$P$313:$P$612)*OFFSET($C$1,MATCH(T$12,$C$2:$C$7,0),MATCH($T$11,$D$12:$G$12,0))</f>
        <v>#N/A</v>
      </c>
      <c r="U98" s="163" t="e">
        <f ca="1">_xlfn.XLOOKUP(OFFSET($C$12,$I98,MATCH($T$11,$D$12:$G$12,0)),巡逻产出!$B$311:$B$610,巡逻产出!$R$311:$R$610)*OFFSET($C$1,MATCH(U$12,$C$2:$C$7,0),MATCH($T$11,$D$12:$G$12,0))</f>
        <v>#N/A</v>
      </c>
      <c r="V98" s="163">
        <f ca="1">_xlfn.XLOOKUP(MAX(INT((OFFSET($C$12,$I98,MATCH($T$11,$D$12:$G$12,0))-6)/10),1),组队产出!$B$25:$B$39,组队产出!$P$25:$P$39)*OFFSET($C$1,MATCH(V$12,$C$2:$C$7,0),MATCH($T$11,$D$12:$G$12,0))</f>
        <v>2260.8</v>
      </c>
      <c r="W98" s="163">
        <f ca="1">竞技场!$G$3*OFFSET($C$1,MATCH(W$12,$C$2:$C$7,0),MATCH($T$11,$D$12:$G$12,0))</f>
        <v>2100</v>
      </c>
      <c r="X9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98" s="23">
        <f>任务!$G$6+任务!$G$9+IF(MOD(S98,7)=0,任务!$N$9+任务!$O$6,0)</f>
        <v>895</v>
      </c>
      <c r="Z98" s="25">
        <f>公会!$U$11</f>
        <v>2766.62857142857</v>
      </c>
      <c r="AA98" s="163" t="e">
        <f ca="1">_xlfn.XLOOKUP(OFFSET($C$12,$I98,MATCH($T$11,$D$12:$G$12,0)),巡逻产出!$B$311:$B$610,巡逻产出!$Q$311:$Q$610)*OFFSET($C$1,MATCH(AA$12,$C$2:$C$7,0),MATCH($T$11,$D$12:$G$12,0))</f>
        <v>#N/A</v>
      </c>
      <c r="AC98" s="160">
        <v>86</v>
      </c>
      <c r="AD98" s="163">
        <f ca="1">_xlfn.XLOOKUP(OFFSET($C$12,$I98,MATCH($AD$11,$D$12:$G$12,0)),主线推图!$B$313:$B$612,主线推图!$P$313:$P$612)*OFFSET($C$1,MATCH(AD$12,$C$2:$C$7,0),MATCH($AD$11,$D$12:$G$12,0))</f>
        <v>3295.6</v>
      </c>
      <c r="AE98" s="163">
        <f ca="1">_xlfn.XLOOKUP(OFFSET($C$12,$I98,MATCH($AD$11,$D$12:$G$12,0)),巡逻产出!$B$311:$B$610,巡逻产出!$R$311:$R$610)*OFFSET($C$1,MATCH(AE$12,$C$2:$C$7,0),MATCH($AD$11,$D$12:$G$12,0))</f>
        <v>0</v>
      </c>
      <c r="AF98" s="163">
        <f ca="1">_xlfn.XLOOKUP(MAX(INT((OFFSET($C$12,$I98,MATCH($AD$11,$D$12:$G$12,0))-6)/10),1),组队产出!$B$25:$B$39,组队产出!$P$25:$P$39)*OFFSET($C$1,MATCH(AF$12,$C$2:$C$7,0),MATCH($AD$11,$D$12:$G$12,0))</f>
        <v>2320.8</v>
      </c>
      <c r="AG98" s="163">
        <f ca="1">竞技场!$G$3*OFFSET($C$1,MATCH(AG$12,$C$2:$C$7,0),MATCH($AD$11,$D$12:$G$12,0))</f>
        <v>3150</v>
      </c>
      <c r="AH9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98" s="23">
        <f>任务!$G$6+任务!$G$9+IF(MOD(AC98,7)=0,任务!$N$9+任务!$O$6,0)</f>
        <v>895</v>
      </c>
      <c r="AJ98" s="25">
        <f>公会!$U$11</f>
        <v>2766.62857142857</v>
      </c>
      <c r="AK98" s="163">
        <f ca="1">_xlfn.XLOOKUP(OFFSET($C$12,$I98,MATCH($AD$11,$D$12:$G$12,0)),巡逻产出!$B$311:$B$610,巡逻产出!$Q$311:$Q$610)*OFFSET($C$1,MATCH(AK$12,$C$2:$C$7,0),MATCH($AD$11,$D$12:$G$12,0))</f>
        <v>2278.848</v>
      </c>
      <c r="AM98" s="164">
        <v>86</v>
      </c>
      <c r="AN98" s="165">
        <f t="shared" si="11"/>
        <v>10462</v>
      </c>
      <c r="AO98" s="165">
        <f t="shared" si="12"/>
        <v>13044</v>
      </c>
      <c r="AP98" s="165">
        <f t="shared" si="13"/>
        <v>20478</v>
      </c>
      <c r="AQ98" s="165">
        <f t="shared" si="14"/>
        <v>26806</v>
      </c>
    </row>
    <row r="99" spans="3:43">
      <c r="C99" s="160">
        <v>87</v>
      </c>
      <c r="D99" s="169">
        <v>133</v>
      </c>
      <c r="E99" s="170">
        <f t="shared" si="9"/>
        <v>96.5</v>
      </c>
      <c r="F99" s="169">
        <f t="shared" si="10"/>
        <v>107.3</v>
      </c>
      <c r="G99" s="163">
        <f t="shared" si="15"/>
        <v>160</v>
      </c>
      <c r="I99" s="160">
        <v>87</v>
      </c>
      <c r="J99" s="163" t="e">
        <f ca="1">_xlfn.XLOOKUP(OFFSET($C$12,$I99,MATCH($J$11,$D$12:$G$12,0)),主线推图!$B$313:$B$612,主线推图!$P$313:$P$612)*OFFSET($C$1,MATCH(J$12,$C$2:$C$7,0),MATCH($J$11,$D$12:$G$12,0))</f>
        <v>#N/A</v>
      </c>
      <c r="K99" s="163" t="e">
        <f ca="1">_xlfn.XLOOKUP(OFFSET($C$12,$I99,MATCH($J$11,$D$12:$G$12,0)),巡逻产出!$B$311:$B$610,巡逻产出!$R$311:$R$610)*OFFSET($C$1,MATCH(K$12,$C$2:$C$7,0),MATCH($J$11,$D$12:$G$12,0))</f>
        <v>#N/A</v>
      </c>
      <c r="L99" s="163">
        <f ca="1">_xlfn.XLOOKUP(MAX(INT((OFFSET($C$12,$I99,MATCH($J$11,$D$12:$G$12,0))-6)/10),1),组队产出!$B$25:$B$39,组队产出!$P$25:$P$39)*OFFSET($C$1,MATCH(L$12,$C$2:$C$7,0),MATCH($J$11,$D$12:$G$12,0))</f>
        <v>1112.4</v>
      </c>
      <c r="M99" s="163">
        <f ca="1">竞技场!$G$3*OFFSET($C$1,MATCH(M$12,$C$2:$C$7,0),MATCH($J$11,$D$12:$G$12,0))</f>
        <v>1050</v>
      </c>
      <c r="N9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99" s="23">
        <f>任务!$G$6+任务!$G$9+IF(MOD(I99,7)=0,任务!$N$9+任务!$O$6,0)</f>
        <v>895</v>
      </c>
      <c r="P99" s="25">
        <f>公会!$U$11</f>
        <v>2766.62857142857</v>
      </c>
      <c r="Q99" s="163" t="e">
        <f ca="1">_xlfn.XLOOKUP(OFFSET($C$12,$I99,MATCH($J$11,$D$12:$G$12,0)),巡逻产出!$B$311:$B$610,巡逻产出!$Q$311:$Q$610)*OFFSET($C$1,MATCH(Q$12,$C$2:$C$7,0),MATCH($J$11,$D$12:$G$12,0))</f>
        <v>#N/A</v>
      </c>
      <c r="S99" s="160">
        <v>87</v>
      </c>
      <c r="T99" s="163" t="e">
        <f ca="1">_xlfn.XLOOKUP(OFFSET($C$12,$I99,MATCH($T$11,$D$12:$G$12,0)),主线推图!$B$313:$B$612,主线推图!$P$313:$P$612)*OFFSET($C$1,MATCH(T$12,$C$2:$C$7,0),MATCH($T$11,$D$12:$G$12,0))</f>
        <v>#N/A</v>
      </c>
      <c r="U99" s="163" t="e">
        <f ca="1">_xlfn.XLOOKUP(OFFSET($C$12,$I99,MATCH($T$11,$D$12:$G$12,0)),巡逻产出!$B$311:$B$610,巡逻产出!$R$311:$R$610)*OFFSET($C$1,MATCH(U$12,$C$2:$C$7,0),MATCH($T$11,$D$12:$G$12,0))</f>
        <v>#N/A</v>
      </c>
      <c r="V99" s="163">
        <f ca="1">_xlfn.XLOOKUP(MAX(INT((OFFSET($C$12,$I99,MATCH($T$11,$D$12:$G$12,0))-6)/10),1),组队产出!$B$25:$B$39,组队产出!$P$25:$P$39)*OFFSET($C$1,MATCH(V$12,$C$2:$C$7,0),MATCH($T$11,$D$12:$G$12,0))</f>
        <v>2260.8</v>
      </c>
      <c r="W99" s="163">
        <f ca="1">竞技场!$G$3*OFFSET($C$1,MATCH(W$12,$C$2:$C$7,0),MATCH($T$11,$D$12:$G$12,0))</f>
        <v>2100</v>
      </c>
      <c r="X9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99" s="23">
        <f>任务!$G$6+任务!$G$9+IF(MOD(S99,7)=0,任务!$N$9+任务!$O$6,0)</f>
        <v>895</v>
      </c>
      <c r="Z99" s="25">
        <f>公会!$U$11</f>
        <v>2766.62857142857</v>
      </c>
      <c r="AA99" s="163" t="e">
        <f ca="1">_xlfn.XLOOKUP(OFFSET($C$12,$I99,MATCH($T$11,$D$12:$G$12,0)),巡逻产出!$B$311:$B$610,巡逻产出!$Q$311:$Q$610)*OFFSET($C$1,MATCH(AA$12,$C$2:$C$7,0),MATCH($T$11,$D$12:$G$12,0))</f>
        <v>#N/A</v>
      </c>
      <c r="AC99" s="160">
        <v>87</v>
      </c>
      <c r="AD99" s="163">
        <f ca="1">_xlfn.XLOOKUP(OFFSET($C$12,$I99,MATCH($AD$11,$D$12:$G$12,0)),主线推图!$B$313:$B$612,主线推图!$P$313:$P$612)*OFFSET($C$1,MATCH(AD$12,$C$2:$C$7,0),MATCH($AD$11,$D$12:$G$12,0))</f>
        <v>3297.8</v>
      </c>
      <c r="AE99" s="163">
        <f ca="1">_xlfn.XLOOKUP(OFFSET($C$12,$I99,MATCH($AD$11,$D$12:$G$12,0)),巡逻产出!$B$311:$B$610,巡逻产出!$R$311:$R$610)*OFFSET($C$1,MATCH(AE$12,$C$2:$C$7,0),MATCH($AD$11,$D$12:$G$12,0))</f>
        <v>0</v>
      </c>
      <c r="AF99" s="163">
        <f ca="1">_xlfn.XLOOKUP(MAX(INT((OFFSET($C$12,$I99,MATCH($AD$11,$D$12:$G$12,0))-6)/10),1),组队产出!$B$25:$B$39,组队产出!$P$25:$P$39)*OFFSET($C$1,MATCH(AF$12,$C$2:$C$7,0),MATCH($AD$11,$D$12:$G$12,0))</f>
        <v>2320.8</v>
      </c>
      <c r="AG99" s="163">
        <f ca="1">竞技场!$G$3*OFFSET($C$1,MATCH(AG$12,$C$2:$C$7,0),MATCH($AD$11,$D$12:$G$12,0))</f>
        <v>3150</v>
      </c>
      <c r="AH9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99" s="23">
        <f>任务!$G$6+任务!$G$9+IF(MOD(AC99,7)=0,任务!$N$9+任务!$O$6,0)</f>
        <v>895</v>
      </c>
      <c r="AJ99" s="25">
        <f>公会!$U$11</f>
        <v>2766.62857142857</v>
      </c>
      <c r="AK99" s="163">
        <f ca="1">_xlfn.XLOOKUP(OFFSET($C$12,$I99,MATCH($AD$11,$D$12:$G$12,0)),巡逻产出!$B$311:$B$610,巡逻产出!$Q$311:$Q$610)*OFFSET($C$1,MATCH(AK$12,$C$2:$C$7,0),MATCH($AD$11,$D$12:$G$12,0))</f>
        <v>2280.408</v>
      </c>
      <c r="AM99" s="164">
        <v>87</v>
      </c>
      <c r="AN99" s="165">
        <f t="shared" si="11"/>
        <v>10576</v>
      </c>
      <c r="AO99" s="165">
        <f t="shared" si="12"/>
        <v>13187</v>
      </c>
      <c r="AP99" s="165">
        <f t="shared" si="13"/>
        <v>20707</v>
      </c>
      <c r="AQ99" s="165">
        <f t="shared" si="14"/>
        <v>27108</v>
      </c>
    </row>
    <row r="100" spans="3:43">
      <c r="C100" s="160">
        <v>88</v>
      </c>
      <c r="D100" s="169">
        <v>134</v>
      </c>
      <c r="E100" s="170">
        <f t="shared" si="9"/>
        <v>96.75</v>
      </c>
      <c r="F100" s="169">
        <f t="shared" si="10"/>
        <v>107.65</v>
      </c>
      <c r="G100" s="163">
        <f t="shared" si="15"/>
        <v>161</v>
      </c>
      <c r="I100" s="160">
        <v>88</v>
      </c>
      <c r="J100" s="163" t="e">
        <f ca="1">_xlfn.XLOOKUP(OFFSET($C$12,$I100,MATCH($J$11,$D$12:$G$12,0)),主线推图!$B$313:$B$612,主线推图!$P$313:$P$612)*OFFSET($C$1,MATCH(J$12,$C$2:$C$7,0),MATCH($J$11,$D$12:$G$12,0))</f>
        <v>#N/A</v>
      </c>
      <c r="K100" s="163" t="e">
        <f ca="1">_xlfn.XLOOKUP(OFFSET($C$12,$I100,MATCH($J$11,$D$12:$G$12,0)),巡逻产出!$B$311:$B$610,巡逻产出!$R$311:$R$610)*OFFSET($C$1,MATCH(K$12,$C$2:$C$7,0),MATCH($J$11,$D$12:$G$12,0))</f>
        <v>#N/A</v>
      </c>
      <c r="L100" s="163">
        <f ca="1">_xlfn.XLOOKUP(MAX(INT((OFFSET($C$12,$I100,MATCH($J$11,$D$12:$G$12,0))-6)/10),1),组队产出!$B$25:$B$39,组队产出!$P$25:$P$39)*OFFSET($C$1,MATCH(L$12,$C$2:$C$7,0),MATCH($J$11,$D$12:$G$12,0))</f>
        <v>1112.4</v>
      </c>
      <c r="M100" s="163">
        <f ca="1">竞技场!$G$3*OFFSET($C$1,MATCH(M$12,$C$2:$C$7,0),MATCH($J$11,$D$12:$G$12,0))</f>
        <v>1050</v>
      </c>
      <c r="N10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00" s="23">
        <f>任务!$G$6+任务!$G$9+IF(MOD(I100,7)=0,任务!$N$9+任务!$O$6,0)</f>
        <v>895</v>
      </c>
      <c r="P100" s="25">
        <f>公会!$U$11</f>
        <v>2766.62857142857</v>
      </c>
      <c r="Q100" s="163" t="e">
        <f ca="1">_xlfn.XLOOKUP(OFFSET($C$12,$I100,MATCH($J$11,$D$12:$G$12,0)),巡逻产出!$B$311:$B$610,巡逻产出!$Q$311:$Q$610)*OFFSET($C$1,MATCH(Q$12,$C$2:$C$7,0),MATCH($J$11,$D$12:$G$12,0))</f>
        <v>#N/A</v>
      </c>
      <c r="S100" s="160">
        <v>88</v>
      </c>
      <c r="T100" s="163" t="e">
        <f ca="1">_xlfn.XLOOKUP(OFFSET($C$12,$I100,MATCH($T$11,$D$12:$G$12,0)),主线推图!$B$313:$B$612,主线推图!$P$313:$P$612)*OFFSET($C$1,MATCH(T$12,$C$2:$C$7,0),MATCH($T$11,$D$12:$G$12,0))</f>
        <v>#N/A</v>
      </c>
      <c r="U100" s="163" t="e">
        <f ca="1">_xlfn.XLOOKUP(OFFSET($C$12,$I100,MATCH($T$11,$D$12:$G$12,0)),巡逻产出!$B$311:$B$610,巡逻产出!$R$311:$R$610)*OFFSET($C$1,MATCH(U$12,$C$2:$C$7,0),MATCH($T$11,$D$12:$G$12,0))</f>
        <v>#N/A</v>
      </c>
      <c r="V100" s="163">
        <f ca="1">_xlfn.XLOOKUP(MAX(INT((OFFSET($C$12,$I100,MATCH($T$11,$D$12:$G$12,0))-6)/10),1),组队产出!$B$25:$B$39,组队产出!$P$25:$P$39)*OFFSET($C$1,MATCH(V$12,$C$2:$C$7,0),MATCH($T$11,$D$12:$G$12,0))</f>
        <v>2260.8</v>
      </c>
      <c r="W100" s="163">
        <f ca="1">竞技场!$G$3*OFFSET($C$1,MATCH(W$12,$C$2:$C$7,0),MATCH($T$11,$D$12:$G$12,0))</f>
        <v>2100</v>
      </c>
      <c r="X10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00" s="23">
        <f>任务!$G$6+任务!$G$9+IF(MOD(S100,7)=0,任务!$N$9+任务!$O$6,0)</f>
        <v>895</v>
      </c>
      <c r="Z100" s="25">
        <f>公会!$U$11</f>
        <v>2766.62857142857</v>
      </c>
      <c r="AA100" s="163" t="e">
        <f ca="1">_xlfn.XLOOKUP(OFFSET($C$12,$I100,MATCH($T$11,$D$12:$G$12,0)),巡逻产出!$B$311:$B$610,巡逻产出!$Q$311:$Q$610)*OFFSET($C$1,MATCH(AA$12,$C$2:$C$7,0),MATCH($T$11,$D$12:$G$12,0))</f>
        <v>#N/A</v>
      </c>
      <c r="AC100" s="160">
        <v>88</v>
      </c>
      <c r="AD100" s="163">
        <f ca="1">_xlfn.XLOOKUP(OFFSET($C$12,$I100,MATCH($AD$11,$D$12:$G$12,0)),主线推图!$B$313:$B$612,主线推图!$P$313:$P$612)*OFFSET($C$1,MATCH(AD$12,$C$2:$C$7,0),MATCH($AD$11,$D$12:$G$12,0))</f>
        <v>3300</v>
      </c>
      <c r="AE100" s="163">
        <f ca="1">_xlfn.XLOOKUP(OFFSET($C$12,$I100,MATCH($AD$11,$D$12:$G$12,0)),巡逻产出!$B$311:$B$610,巡逻产出!$R$311:$R$610)*OFFSET($C$1,MATCH(AE$12,$C$2:$C$7,0),MATCH($AD$11,$D$12:$G$12,0))</f>
        <v>0</v>
      </c>
      <c r="AF100" s="163">
        <f ca="1">_xlfn.XLOOKUP(MAX(INT((OFFSET($C$12,$I100,MATCH($AD$11,$D$12:$G$12,0))-6)/10),1),组队产出!$B$25:$B$39,组队产出!$P$25:$P$39)*OFFSET($C$1,MATCH(AF$12,$C$2:$C$7,0),MATCH($AD$11,$D$12:$G$12,0))</f>
        <v>2320.8</v>
      </c>
      <c r="AG100" s="163">
        <f ca="1">竞技场!$G$3*OFFSET($C$1,MATCH(AG$12,$C$2:$C$7,0),MATCH($AD$11,$D$12:$G$12,0))</f>
        <v>3150</v>
      </c>
      <c r="AH10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00" s="23">
        <f>任务!$G$6+任务!$G$9+IF(MOD(AC100,7)=0,任务!$N$9+任务!$O$6,0)</f>
        <v>895</v>
      </c>
      <c r="AJ100" s="25">
        <f>公会!$U$11</f>
        <v>2766.62857142857</v>
      </c>
      <c r="AK100" s="163">
        <f ca="1">_xlfn.XLOOKUP(OFFSET($C$12,$I100,MATCH($AD$11,$D$12:$G$12,0)),巡逻产出!$B$311:$B$610,巡逻产出!$Q$311:$Q$610)*OFFSET($C$1,MATCH(AK$12,$C$2:$C$7,0),MATCH($AD$11,$D$12:$G$12,0))</f>
        <v>2281.968</v>
      </c>
      <c r="AM100" s="164">
        <v>88</v>
      </c>
      <c r="AN100" s="165">
        <f t="shared" si="11"/>
        <v>10689</v>
      </c>
      <c r="AO100" s="165">
        <f t="shared" si="12"/>
        <v>13330</v>
      </c>
      <c r="AP100" s="165">
        <f t="shared" si="13"/>
        <v>20935</v>
      </c>
      <c r="AQ100" s="165">
        <f t="shared" si="14"/>
        <v>27410</v>
      </c>
    </row>
    <row r="101" spans="3:43">
      <c r="C101" s="160">
        <v>89</v>
      </c>
      <c r="D101" s="169">
        <v>134</v>
      </c>
      <c r="E101" s="170">
        <f t="shared" si="9"/>
        <v>97</v>
      </c>
      <c r="F101" s="169">
        <f t="shared" si="10"/>
        <v>108</v>
      </c>
      <c r="G101" s="163">
        <f t="shared" si="15"/>
        <v>162</v>
      </c>
      <c r="I101" s="160">
        <v>89</v>
      </c>
      <c r="J101" s="163" t="e">
        <f ca="1">_xlfn.XLOOKUP(OFFSET($C$12,$I101,MATCH($J$11,$D$12:$G$12,0)),主线推图!$B$313:$B$612,主线推图!$P$313:$P$612)*OFFSET($C$1,MATCH(J$12,$C$2:$C$7,0),MATCH($J$11,$D$12:$G$12,0))</f>
        <v>#N/A</v>
      </c>
      <c r="K101" s="163" t="e">
        <f ca="1">_xlfn.XLOOKUP(OFFSET($C$12,$I101,MATCH($J$11,$D$12:$G$12,0)),巡逻产出!$B$311:$B$610,巡逻产出!$R$311:$R$610)*OFFSET($C$1,MATCH(K$12,$C$2:$C$7,0),MATCH($J$11,$D$12:$G$12,0))</f>
        <v>#N/A</v>
      </c>
      <c r="L101" s="163">
        <f ca="1">_xlfn.XLOOKUP(MAX(INT((OFFSET($C$12,$I101,MATCH($J$11,$D$12:$G$12,0))-6)/10),1),组队产出!$B$25:$B$39,组队产出!$P$25:$P$39)*OFFSET($C$1,MATCH(L$12,$C$2:$C$7,0),MATCH($J$11,$D$12:$G$12,0))</f>
        <v>1112.4</v>
      </c>
      <c r="M101" s="163">
        <f ca="1">竞技场!$G$3*OFFSET($C$1,MATCH(M$12,$C$2:$C$7,0),MATCH($J$11,$D$12:$G$12,0))</f>
        <v>1050</v>
      </c>
      <c r="N10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01" s="23">
        <f>任务!$G$6+任务!$G$9+IF(MOD(I101,7)=0,任务!$N$9+任务!$O$6,0)</f>
        <v>895</v>
      </c>
      <c r="P101" s="25">
        <f>公会!$U$11</f>
        <v>2766.62857142857</v>
      </c>
      <c r="Q101" s="163" t="e">
        <f ca="1">_xlfn.XLOOKUP(OFFSET($C$12,$I101,MATCH($J$11,$D$12:$G$12,0)),巡逻产出!$B$311:$B$610,巡逻产出!$Q$311:$Q$610)*OFFSET($C$1,MATCH(Q$12,$C$2:$C$7,0),MATCH($J$11,$D$12:$G$12,0))</f>
        <v>#N/A</v>
      </c>
      <c r="S101" s="160">
        <v>89</v>
      </c>
      <c r="T101" s="163">
        <f ca="1">_xlfn.XLOOKUP(OFFSET($C$12,$I101,MATCH($T$11,$D$12:$G$12,0)),主线推图!$B$313:$B$612,主线推图!$P$313:$P$612)*OFFSET($C$1,MATCH(T$12,$C$2:$C$7,0),MATCH($T$11,$D$12:$G$12,0))</f>
        <v>2170.5</v>
      </c>
      <c r="U101" s="163">
        <f ca="1">_xlfn.XLOOKUP(OFFSET($C$12,$I101,MATCH($T$11,$D$12:$G$12,0)),巡逻产出!$B$311:$B$610,巡逻产出!$R$311:$R$610)*OFFSET($C$1,MATCH(U$12,$C$2:$C$7,0),MATCH($T$11,$D$12:$G$12,0))</f>
        <v>1895.25</v>
      </c>
      <c r="V101" s="163">
        <f ca="1">_xlfn.XLOOKUP(MAX(INT((OFFSET($C$12,$I101,MATCH($T$11,$D$12:$G$12,0))-6)/10),1),组队产出!$B$25:$B$39,组队产出!$P$25:$P$39)*OFFSET($C$1,MATCH(V$12,$C$2:$C$7,0),MATCH($T$11,$D$12:$G$12,0))</f>
        <v>2260.8</v>
      </c>
      <c r="W101" s="163">
        <f ca="1">竞技场!$G$3*OFFSET($C$1,MATCH(W$12,$C$2:$C$7,0),MATCH($T$11,$D$12:$G$12,0))</f>
        <v>2100</v>
      </c>
      <c r="X10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01" s="23">
        <f>任务!$G$6+任务!$G$9+IF(MOD(S101,7)=0,任务!$N$9+任务!$O$6,0)</f>
        <v>895</v>
      </c>
      <c r="Z101" s="25">
        <f>公会!$U$11</f>
        <v>2766.62857142857</v>
      </c>
      <c r="AA101" s="163">
        <f ca="1">_xlfn.XLOOKUP(OFFSET($C$12,$I101,MATCH($T$11,$D$12:$G$12,0)),巡逻产出!$B$311:$B$610,巡逻产出!$Q$311:$Q$610)*OFFSET($C$1,MATCH(AA$12,$C$2:$C$7,0),MATCH($T$11,$D$12:$G$12,0))</f>
        <v>2199.288</v>
      </c>
      <c r="AC101" s="160">
        <v>89</v>
      </c>
      <c r="AD101" s="163">
        <f ca="1">_xlfn.XLOOKUP(OFFSET($C$12,$I101,MATCH($AD$11,$D$12:$G$12,0)),主线推图!$B$313:$B$612,主线推图!$P$313:$P$612)*OFFSET($C$1,MATCH(AD$12,$C$2:$C$7,0),MATCH($AD$11,$D$12:$G$12,0))</f>
        <v>3302.2</v>
      </c>
      <c r="AE101" s="163">
        <f ca="1">_xlfn.XLOOKUP(OFFSET($C$12,$I101,MATCH($AD$11,$D$12:$G$12,0)),巡逻产出!$B$311:$B$610,巡逻产出!$R$311:$R$610)*OFFSET($C$1,MATCH(AE$12,$C$2:$C$7,0),MATCH($AD$11,$D$12:$G$12,0))</f>
        <v>0</v>
      </c>
      <c r="AF101" s="163">
        <f ca="1">_xlfn.XLOOKUP(MAX(INT((OFFSET($C$12,$I101,MATCH($AD$11,$D$12:$G$12,0))-6)/10),1),组队产出!$B$25:$B$39,组队产出!$P$25:$P$39)*OFFSET($C$1,MATCH(AF$12,$C$2:$C$7,0),MATCH($AD$11,$D$12:$G$12,0))</f>
        <v>2320.8</v>
      </c>
      <c r="AG101" s="163">
        <f ca="1">竞技场!$G$3*OFFSET($C$1,MATCH(AG$12,$C$2:$C$7,0),MATCH($AD$11,$D$12:$G$12,0))</f>
        <v>3150</v>
      </c>
      <c r="AH10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01" s="23">
        <f>任务!$G$6+任务!$G$9+IF(MOD(AC101,7)=0,任务!$N$9+任务!$O$6,0)</f>
        <v>895</v>
      </c>
      <c r="AJ101" s="25">
        <f>公会!$U$11</f>
        <v>2766.62857142857</v>
      </c>
      <c r="AK101" s="163">
        <f ca="1">_xlfn.XLOOKUP(OFFSET($C$12,$I101,MATCH($AD$11,$D$12:$G$12,0)),巡逻产出!$B$311:$B$610,巡逻产出!$Q$311:$Q$610)*OFFSET($C$1,MATCH(AK$12,$C$2:$C$7,0),MATCH($AD$11,$D$12:$G$12,0))</f>
        <v>2283.528</v>
      </c>
      <c r="AM101" s="164">
        <v>89</v>
      </c>
      <c r="AN101" s="165">
        <f t="shared" si="11"/>
        <v>10803</v>
      </c>
      <c r="AO101" s="165">
        <f t="shared" si="12"/>
        <v>13473</v>
      </c>
      <c r="AP101" s="165">
        <f t="shared" si="13"/>
        <v>21164</v>
      </c>
      <c r="AQ101" s="165">
        <f t="shared" si="14"/>
        <v>27712</v>
      </c>
    </row>
    <row r="102" spans="3:43">
      <c r="C102" s="160">
        <v>90</v>
      </c>
      <c r="D102" s="169">
        <v>139</v>
      </c>
      <c r="E102" s="170">
        <f t="shared" si="9"/>
        <v>97.25</v>
      </c>
      <c r="F102" s="169">
        <f t="shared" si="10"/>
        <v>108.35</v>
      </c>
      <c r="G102" s="163">
        <f t="shared" si="15"/>
        <v>163</v>
      </c>
      <c r="I102" s="160">
        <v>90</v>
      </c>
      <c r="J102" s="163" t="e">
        <f ca="1">_xlfn.XLOOKUP(OFFSET($C$12,$I102,MATCH($J$11,$D$12:$G$12,0)),主线推图!$B$313:$B$612,主线推图!$P$313:$P$612)*OFFSET($C$1,MATCH(J$12,$C$2:$C$7,0),MATCH($J$11,$D$12:$G$12,0))</f>
        <v>#N/A</v>
      </c>
      <c r="K102" s="163" t="e">
        <f ca="1">_xlfn.XLOOKUP(OFFSET($C$12,$I102,MATCH($J$11,$D$12:$G$12,0)),巡逻产出!$B$311:$B$610,巡逻产出!$R$311:$R$610)*OFFSET($C$1,MATCH(K$12,$C$2:$C$7,0),MATCH($J$11,$D$12:$G$12,0))</f>
        <v>#N/A</v>
      </c>
      <c r="L102" s="163">
        <f ca="1">_xlfn.XLOOKUP(MAX(INT((OFFSET($C$12,$I102,MATCH($J$11,$D$12:$G$12,0))-6)/10),1),组队产出!$B$25:$B$39,组队产出!$P$25:$P$39)*OFFSET($C$1,MATCH(L$12,$C$2:$C$7,0),MATCH($J$11,$D$12:$G$12,0))</f>
        <v>1112.4</v>
      </c>
      <c r="M102" s="163">
        <f ca="1">竞技场!$G$3*OFFSET($C$1,MATCH(M$12,$C$2:$C$7,0),MATCH($J$11,$D$12:$G$12,0))</f>
        <v>1050</v>
      </c>
      <c r="N10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02" s="23">
        <f>任务!$G$6+任务!$G$9+IF(MOD(I102,7)=0,任务!$N$9+任务!$O$6,0)</f>
        <v>895</v>
      </c>
      <c r="P102" s="25">
        <f>公会!$U$11</f>
        <v>2766.62857142857</v>
      </c>
      <c r="Q102" s="163" t="e">
        <f ca="1">_xlfn.XLOOKUP(OFFSET($C$12,$I102,MATCH($J$11,$D$12:$G$12,0)),巡逻产出!$B$311:$B$610,巡逻产出!$Q$311:$Q$610)*OFFSET($C$1,MATCH(Q$12,$C$2:$C$7,0),MATCH($J$11,$D$12:$G$12,0))</f>
        <v>#N/A</v>
      </c>
      <c r="S102" s="160">
        <v>90</v>
      </c>
      <c r="T102" s="163" t="e">
        <f ca="1">_xlfn.XLOOKUP(OFFSET($C$12,$I102,MATCH($T$11,$D$12:$G$12,0)),主线推图!$B$313:$B$612,主线推图!$P$313:$P$612)*OFFSET($C$1,MATCH(T$12,$C$2:$C$7,0),MATCH($T$11,$D$12:$G$12,0))</f>
        <v>#N/A</v>
      </c>
      <c r="U102" s="163" t="e">
        <f ca="1">_xlfn.XLOOKUP(OFFSET($C$12,$I102,MATCH($T$11,$D$12:$G$12,0)),巡逻产出!$B$311:$B$610,巡逻产出!$R$311:$R$610)*OFFSET($C$1,MATCH(U$12,$C$2:$C$7,0),MATCH($T$11,$D$12:$G$12,0))</f>
        <v>#N/A</v>
      </c>
      <c r="V102" s="163">
        <f ca="1">_xlfn.XLOOKUP(MAX(INT((OFFSET($C$12,$I102,MATCH($T$11,$D$12:$G$12,0))-6)/10),1),组队产出!$B$25:$B$39,组队产出!$P$25:$P$39)*OFFSET($C$1,MATCH(V$12,$C$2:$C$7,0),MATCH($T$11,$D$12:$G$12,0))</f>
        <v>2260.8</v>
      </c>
      <c r="W102" s="163">
        <f ca="1">竞技场!$G$3*OFFSET($C$1,MATCH(W$12,$C$2:$C$7,0),MATCH($T$11,$D$12:$G$12,0))</f>
        <v>2100</v>
      </c>
      <c r="X10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02" s="23">
        <f>任务!$G$6+任务!$G$9+IF(MOD(S102,7)=0,任务!$N$9+任务!$O$6,0)</f>
        <v>895</v>
      </c>
      <c r="Z102" s="25">
        <f>公会!$U$11</f>
        <v>2766.62857142857</v>
      </c>
      <c r="AA102" s="163" t="e">
        <f ca="1">_xlfn.XLOOKUP(OFFSET($C$12,$I102,MATCH($T$11,$D$12:$G$12,0)),巡逻产出!$B$311:$B$610,巡逻产出!$Q$311:$Q$610)*OFFSET($C$1,MATCH(AA$12,$C$2:$C$7,0),MATCH($T$11,$D$12:$G$12,0))</f>
        <v>#N/A</v>
      </c>
      <c r="AC102" s="160">
        <v>90</v>
      </c>
      <c r="AD102" s="163">
        <f ca="1">_xlfn.XLOOKUP(OFFSET($C$12,$I102,MATCH($AD$11,$D$12:$G$12,0)),主线推图!$B$313:$B$612,主线推图!$P$313:$P$612)*OFFSET($C$1,MATCH(AD$12,$C$2:$C$7,0),MATCH($AD$11,$D$12:$G$12,0))</f>
        <v>3304.4</v>
      </c>
      <c r="AE102" s="163">
        <f ca="1">_xlfn.XLOOKUP(OFFSET($C$12,$I102,MATCH($AD$11,$D$12:$G$12,0)),巡逻产出!$B$311:$B$610,巡逻产出!$R$311:$R$610)*OFFSET($C$1,MATCH(AE$12,$C$2:$C$7,0),MATCH($AD$11,$D$12:$G$12,0))</f>
        <v>0</v>
      </c>
      <c r="AF102" s="163">
        <f ca="1">_xlfn.XLOOKUP(MAX(INT((OFFSET($C$12,$I102,MATCH($AD$11,$D$12:$G$12,0))-6)/10),1),组队产出!$B$25:$B$39,组队产出!$P$25:$P$39)*OFFSET($C$1,MATCH(AF$12,$C$2:$C$7,0),MATCH($AD$11,$D$12:$G$12,0))</f>
        <v>2320.8</v>
      </c>
      <c r="AG102" s="163">
        <f ca="1">竞技场!$G$3*OFFSET($C$1,MATCH(AG$12,$C$2:$C$7,0),MATCH($AD$11,$D$12:$G$12,0))</f>
        <v>3150</v>
      </c>
      <c r="AH10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02" s="23">
        <f>任务!$G$6+任务!$G$9+IF(MOD(AC102,7)=0,任务!$N$9+任务!$O$6,0)</f>
        <v>895</v>
      </c>
      <c r="AJ102" s="25">
        <f>公会!$U$11</f>
        <v>2766.62857142857</v>
      </c>
      <c r="AK102" s="163">
        <f ca="1">_xlfn.XLOOKUP(OFFSET($C$12,$I102,MATCH($AD$11,$D$12:$G$12,0)),巡逻产出!$B$311:$B$610,巡逻产出!$Q$311:$Q$610)*OFFSET($C$1,MATCH(AK$12,$C$2:$C$7,0),MATCH($AD$11,$D$12:$G$12,0))</f>
        <v>2285.088</v>
      </c>
      <c r="AM102" s="164">
        <v>90</v>
      </c>
      <c r="AN102" s="165">
        <f t="shared" si="11"/>
        <v>10916</v>
      </c>
      <c r="AO102" s="165">
        <f t="shared" si="12"/>
        <v>13616</v>
      </c>
      <c r="AP102" s="165">
        <f t="shared" si="13"/>
        <v>21392</v>
      </c>
      <c r="AQ102" s="165">
        <f t="shared" si="14"/>
        <v>28014</v>
      </c>
    </row>
    <row r="103" spans="3:43">
      <c r="C103" s="160">
        <v>91</v>
      </c>
      <c r="D103" s="169">
        <v>139</v>
      </c>
      <c r="E103" s="170">
        <f t="shared" si="9"/>
        <v>97.5</v>
      </c>
      <c r="F103" s="169">
        <f t="shared" si="10"/>
        <v>108.7</v>
      </c>
      <c r="G103" s="163">
        <f t="shared" si="15"/>
        <v>164</v>
      </c>
      <c r="I103" s="160">
        <v>91</v>
      </c>
      <c r="J103" s="163" t="e">
        <f ca="1">_xlfn.XLOOKUP(OFFSET($C$12,$I103,MATCH($J$11,$D$12:$G$12,0)),主线推图!$B$313:$B$612,主线推图!$P$313:$P$612)*OFFSET($C$1,MATCH(J$12,$C$2:$C$7,0),MATCH($J$11,$D$12:$G$12,0))</f>
        <v>#N/A</v>
      </c>
      <c r="K103" s="163" t="e">
        <f ca="1">_xlfn.XLOOKUP(OFFSET($C$12,$I103,MATCH($J$11,$D$12:$G$12,0)),巡逻产出!$B$311:$B$610,巡逻产出!$R$311:$R$610)*OFFSET($C$1,MATCH(K$12,$C$2:$C$7,0),MATCH($J$11,$D$12:$G$12,0))</f>
        <v>#N/A</v>
      </c>
      <c r="L103" s="163">
        <f ca="1">_xlfn.XLOOKUP(MAX(INT((OFFSET($C$12,$I103,MATCH($J$11,$D$12:$G$12,0))-6)/10),1),组队产出!$B$25:$B$39,组队产出!$P$25:$P$39)*OFFSET($C$1,MATCH(L$12,$C$2:$C$7,0),MATCH($J$11,$D$12:$G$12,0))</f>
        <v>1112.4</v>
      </c>
      <c r="M103" s="163">
        <f ca="1">竞技场!$G$3*OFFSET($C$1,MATCH(M$12,$C$2:$C$7,0),MATCH($J$11,$D$12:$G$12,0))</f>
        <v>1050</v>
      </c>
      <c r="N10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03" s="23">
        <f>任务!$G$6+任务!$G$9+IF(MOD(I103,7)=0,任务!$N$9+任务!$O$6,0)</f>
        <v>3125</v>
      </c>
      <c r="P103" s="25">
        <f>公会!$U$11</f>
        <v>2766.62857142857</v>
      </c>
      <c r="Q103" s="163" t="e">
        <f ca="1">_xlfn.XLOOKUP(OFFSET($C$12,$I103,MATCH($J$11,$D$12:$G$12,0)),巡逻产出!$B$311:$B$610,巡逻产出!$Q$311:$Q$610)*OFFSET($C$1,MATCH(Q$12,$C$2:$C$7,0),MATCH($J$11,$D$12:$G$12,0))</f>
        <v>#N/A</v>
      </c>
      <c r="S103" s="160">
        <v>91</v>
      </c>
      <c r="T103" s="163" t="e">
        <f ca="1">_xlfn.XLOOKUP(OFFSET($C$12,$I103,MATCH($T$11,$D$12:$G$12,0)),主线推图!$B$313:$B$612,主线推图!$P$313:$P$612)*OFFSET($C$1,MATCH(T$12,$C$2:$C$7,0),MATCH($T$11,$D$12:$G$12,0))</f>
        <v>#N/A</v>
      </c>
      <c r="U103" s="163" t="e">
        <f ca="1">_xlfn.XLOOKUP(OFFSET($C$12,$I103,MATCH($T$11,$D$12:$G$12,0)),巡逻产出!$B$311:$B$610,巡逻产出!$R$311:$R$610)*OFFSET($C$1,MATCH(U$12,$C$2:$C$7,0),MATCH($T$11,$D$12:$G$12,0))</f>
        <v>#N/A</v>
      </c>
      <c r="V103" s="163">
        <f ca="1">_xlfn.XLOOKUP(MAX(INT((OFFSET($C$12,$I103,MATCH($T$11,$D$12:$G$12,0))-6)/10),1),组队产出!$B$25:$B$39,组队产出!$P$25:$P$39)*OFFSET($C$1,MATCH(V$12,$C$2:$C$7,0),MATCH($T$11,$D$12:$G$12,0))</f>
        <v>2260.8</v>
      </c>
      <c r="W103" s="163">
        <f ca="1">竞技场!$G$3*OFFSET($C$1,MATCH(W$12,$C$2:$C$7,0),MATCH($T$11,$D$12:$G$12,0))</f>
        <v>2100</v>
      </c>
      <c r="X10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03" s="23">
        <f>任务!$G$6+任务!$G$9+IF(MOD(S103,7)=0,任务!$N$9+任务!$O$6,0)</f>
        <v>3125</v>
      </c>
      <c r="Z103" s="25">
        <f>公会!$U$11</f>
        <v>2766.62857142857</v>
      </c>
      <c r="AA103" s="163" t="e">
        <f ca="1">_xlfn.XLOOKUP(OFFSET($C$12,$I103,MATCH($T$11,$D$12:$G$12,0)),巡逻产出!$B$311:$B$610,巡逻产出!$Q$311:$Q$610)*OFFSET($C$1,MATCH(AA$12,$C$2:$C$7,0),MATCH($T$11,$D$12:$G$12,0))</f>
        <v>#N/A</v>
      </c>
      <c r="AC103" s="160">
        <v>91</v>
      </c>
      <c r="AD103" s="163">
        <f ca="1">_xlfn.XLOOKUP(OFFSET($C$12,$I103,MATCH($AD$11,$D$12:$G$12,0)),主线推图!$B$313:$B$612,主线推图!$P$313:$P$612)*OFFSET($C$1,MATCH(AD$12,$C$2:$C$7,0),MATCH($AD$11,$D$12:$G$12,0))</f>
        <v>3306.6</v>
      </c>
      <c r="AE103" s="163">
        <f ca="1">_xlfn.XLOOKUP(OFFSET($C$12,$I103,MATCH($AD$11,$D$12:$G$12,0)),巡逻产出!$B$311:$B$610,巡逻产出!$R$311:$R$610)*OFFSET($C$1,MATCH(AE$12,$C$2:$C$7,0),MATCH($AD$11,$D$12:$G$12,0))</f>
        <v>0</v>
      </c>
      <c r="AF103" s="163">
        <f ca="1">_xlfn.XLOOKUP(MAX(INT((OFFSET($C$12,$I103,MATCH($AD$11,$D$12:$G$12,0))-6)/10),1),组队产出!$B$25:$B$39,组队产出!$P$25:$P$39)*OFFSET($C$1,MATCH(AF$12,$C$2:$C$7,0),MATCH($AD$11,$D$12:$G$12,0))</f>
        <v>2320.8</v>
      </c>
      <c r="AG103" s="163">
        <f ca="1">竞技场!$G$3*OFFSET($C$1,MATCH(AG$12,$C$2:$C$7,0),MATCH($AD$11,$D$12:$G$12,0))</f>
        <v>3150</v>
      </c>
      <c r="AH10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03" s="23">
        <f>任务!$G$6+任务!$G$9+IF(MOD(AC103,7)=0,任务!$N$9+任务!$O$6,0)</f>
        <v>3125</v>
      </c>
      <c r="AJ103" s="25">
        <f>公会!$U$11</f>
        <v>2766.62857142857</v>
      </c>
      <c r="AK103" s="163">
        <f ca="1">_xlfn.XLOOKUP(OFFSET($C$12,$I103,MATCH($AD$11,$D$12:$G$12,0)),巡逻产出!$B$311:$B$610,巡逻产出!$Q$311:$Q$610)*OFFSET($C$1,MATCH(AK$12,$C$2:$C$7,0),MATCH($AD$11,$D$12:$G$12,0))</f>
        <v>2286.648</v>
      </c>
      <c r="AM103" s="164">
        <v>91</v>
      </c>
      <c r="AN103" s="165">
        <f t="shared" si="11"/>
        <v>11030</v>
      </c>
      <c r="AO103" s="165">
        <f t="shared" si="12"/>
        <v>13759</v>
      </c>
      <c r="AP103" s="165">
        <f t="shared" si="13"/>
        <v>21621</v>
      </c>
      <c r="AQ103" s="165">
        <f t="shared" si="14"/>
        <v>28316</v>
      </c>
    </row>
    <row r="104" spans="3:43">
      <c r="C104" s="160">
        <v>92</v>
      </c>
      <c r="D104" s="169">
        <v>140</v>
      </c>
      <c r="E104" s="170">
        <f t="shared" si="9"/>
        <v>97.75</v>
      </c>
      <c r="F104" s="169">
        <f t="shared" si="10"/>
        <v>109.05</v>
      </c>
      <c r="G104" s="163">
        <f t="shared" si="15"/>
        <v>165</v>
      </c>
      <c r="I104" s="160">
        <v>92</v>
      </c>
      <c r="J104" s="163" t="e">
        <f ca="1">_xlfn.XLOOKUP(OFFSET($C$12,$I104,MATCH($J$11,$D$12:$G$12,0)),主线推图!$B$313:$B$612,主线推图!$P$313:$P$612)*OFFSET($C$1,MATCH(J$12,$C$2:$C$7,0),MATCH($J$11,$D$12:$G$12,0))</f>
        <v>#N/A</v>
      </c>
      <c r="K104" s="163" t="e">
        <f ca="1">_xlfn.XLOOKUP(OFFSET($C$12,$I104,MATCH($J$11,$D$12:$G$12,0)),巡逻产出!$B$311:$B$610,巡逻产出!$R$311:$R$610)*OFFSET($C$1,MATCH(K$12,$C$2:$C$7,0),MATCH($J$11,$D$12:$G$12,0))</f>
        <v>#N/A</v>
      </c>
      <c r="L104" s="163">
        <f ca="1">_xlfn.XLOOKUP(MAX(INT((OFFSET($C$12,$I104,MATCH($J$11,$D$12:$G$12,0))-6)/10),1),组队产出!$B$25:$B$39,组队产出!$P$25:$P$39)*OFFSET($C$1,MATCH(L$12,$C$2:$C$7,0),MATCH($J$11,$D$12:$G$12,0))</f>
        <v>1112.4</v>
      </c>
      <c r="M104" s="163">
        <f ca="1">竞技场!$G$3*OFFSET($C$1,MATCH(M$12,$C$2:$C$7,0),MATCH($J$11,$D$12:$G$12,0))</f>
        <v>1050</v>
      </c>
      <c r="N10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04" s="23">
        <f>任务!$G$6+任务!$G$9+IF(MOD(I104,7)=0,任务!$N$9+任务!$O$6,0)</f>
        <v>895</v>
      </c>
      <c r="P104" s="25">
        <f>公会!$U$11</f>
        <v>2766.62857142857</v>
      </c>
      <c r="Q104" s="163" t="e">
        <f ca="1">_xlfn.XLOOKUP(OFFSET($C$12,$I104,MATCH($J$11,$D$12:$G$12,0)),巡逻产出!$B$311:$B$610,巡逻产出!$Q$311:$Q$610)*OFFSET($C$1,MATCH(Q$12,$C$2:$C$7,0),MATCH($J$11,$D$12:$G$12,0))</f>
        <v>#N/A</v>
      </c>
      <c r="S104" s="160">
        <v>92</v>
      </c>
      <c r="T104" s="163" t="e">
        <f ca="1">_xlfn.XLOOKUP(OFFSET($C$12,$I104,MATCH($T$11,$D$12:$G$12,0)),主线推图!$B$313:$B$612,主线推图!$P$313:$P$612)*OFFSET($C$1,MATCH(T$12,$C$2:$C$7,0),MATCH($T$11,$D$12:$G$12,0))</f>
        <v>#N/A</v>
      </c>
      <c r="U104" s="163" t="e">
        <f ca="1">_xlfn.XLOOKUP(OFFSET($C$12,$I104,MATCH($T$11,$D$12:$G$12,0)),巡逻产出!$B$311:$B$610,巡逻产出!$R$311:$R$610)*OFFSET($C$1,MATCH(U$12,$C$2:$C$7,0),MATCH($T$11,$D$12:$G$12,0))</f>
        <v>#N/A</v>
      </c>
      <c r="V104" s="163">
        <f ca="1">_xlfn.XLOOKUP(MAX(INT((OFFSET($C$12,$I104,MATCH($T$11,$D$12:$G$12,0))-6)/10),1),组队产出!$B$25:$B$39,组队产出!$P$25:$P$39)*OFFSET($C$1,MATCH(V$12,$C$2:$C$7,0),MATCH($T$11,$D$12:$G$12,0))</f>
        <v>2260.8</v>
      </c>
      <c r="W104" s="163">
        <f ca="1">竞技场!$G$3*OFFSET($C$1,MATCH(W$12,$C$2:$C$7,0),MATCH($T$11,$D$12:$G$12,0))</f>
        <v>2100</v>
      </c>
      <c r="X10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04" s="23">
        <f>任务!$G$6+任务!$G$9+IF(MOD(S104,7)=0,任务!$N$9+任务!$O$6,0)</f>
        <v>895</v>
      </c>
      <c r="Z104" s="25">
        <f>公会!$U$11</f>
        <v>2766.62857142857</v>
      </c>
      <c r="AA104" s="163" t="e">
        <f ca="1">_xlfn.XLOOKUP(OFFSET($C$12,$I104,MATCH($T$11,$D$12:$G$12,0)),巡逻产出!$B$311:$B$610,巡逻产出!$Q$311:$Q$610)*OFFSET($C$1,MATCH(AA$12,$C$2:$C$7,0),MATCH($T$11,$D$12:$G$12,0))</f>
        <v>#N/A</v>
      </c>
      <c r="AC104" s="160">
        <v>92</v>
      </c>
      <c r="AD104" s="163">
        <f ca="1">_xlfn.XLOOKUP(OFFSET($C$12,$I104,MATCH($AD$11,$D$12:$G$12,0)),主线推图!$B$313:$B$612,主线推图!$P$313:$P$612)*OFFSET($C$1,MATCH(AD$12,$C$2:$C$7,0),MATCH($AD$11,$D$12:$G$12,0))</f>
        <v>3308.8</v>
      </c>
      <c r="AE104" s="163">
        <f ca="1">_xlfn.XLOOKUP(OFFSET($C$12,$I104,MATCH($AD$11,$D$12:$G$12,0)),巡逻产出!$B$311:$B$610,巡逻产出!$R$311:$R$610)*OFFSET($C$1,MATCH(AE$12,$C$2:$C$7,0),MATCH($AD$11,$D$12:$G$12,0))</f>
        <v>0</v>
      </c>
      <c r="AF104" s="163">
        <f ca="1">_xlfn.XLOOKUP(MAX(INT((OFFSET($C$12,$I104,MATCH($AD$11,$D$12:$G$12,0))-6)/10),1),组队产出!$B$25:$B$39,组队产出!$P$25:$P$39)*OFFSET($C$1,MATCH(AF$12,$C$2:$C$7,0),MATCH($AD$11,$D$12:$G$12,0))</f>
        <v>2320.8</v>
      </c>
      <c r="AG104" s="163">
        <f ca="1">竞技场!$G$3*OFFSET($C$1,MATCH(AG$12,$C$2:$C$7,0),MATCH($AD$11,$D$12:$G$12,0))</f>
        <v>3150</v>
      </c>
      <c r="AH10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04" s="23">
        <f>任务!$G$6+任务!$G$9+IF(MOD(AC104,7)=0,任务!$N$9+任务!$O$6,0)</f>
        <v>895</v>
      </c>
      <c r="AJ104" s="25">
        <f>公会!$U$11</f>
        <v>2766.62857142857</v>
      </c>
      <c r="AK104" s="163">
        <f ca="1">_xlfn.XLOOKUP(OFFSET($C$12,$I104,MATCH($AD$11,$D$12:$G$12,0)),巡逻产出!$B$311:$B$610,巡逻产出!$Q$311:$Q$610)*OFFSET($C$1,MATCH(AK$12,$C$2:$C$7,0),MATCH($AD$11,$D$12:$G$12,0))</f>
        <v>2288.208</v>
      </c>
      <c r="AM104" s="164">
        <v>92</v>
      </c>
      <c r="AN104" s="165">
        <f t="shared" si="11"/>
        <v>11143</v>
      </c>
      <c r="AO104" s="165">
        <f t="shared" si="12"/>
        <v>13902</v>
      </c>
      <c r="AP104" s="165">
        <f t="shared" si="13"/>
        <v>21849</v>
      </c>
      <c r="AQ104" s="165">
        <f t="shared" si="14"/>
        <v>28618</v>
      </c>
    </row>
    <row r="105" spans="3:43">
      <c r="C105" s="160">
        <v>93</v>
      </c>
      <c r="D105" s="169">
        <v>140</v>
      </c>
      <c r="E105" s="170">
        <f t="shared" si="9"/>
        <v>98</v>
      </c>
      <c r="F105" s="169">
        <f t="shared" si="10"/>
        <v>109.4</v>
      </c>
      <c r="G105" s="163">
        <f t="shared" si="15"/>
        <v>166</v>
      </c>
      <c r="I105" s="160">
        <v>93</v>
      </c>
      <c r="J105" s="163" t="e">
        <f ca="1">_xlfn.XLOOKUP(OFFSET($C$12,$I105,MATCH($J$11,$D$12:$G$12,0)),主线推图!$B$313:$B$612,主线推图!$P$313:$P$612)*OFFSET($C$1,MATCH(J$12,$C$2:$C$7,0),MATCH($J$11,$D$12:$G$12,0))</f>
        <v>#N/A</v>
      </c>
      <c r="K105" s="163" t="e">
        <f ca="1">_xlfn.XLOOKUP(OFFSET($C$12,$I105,MATCH($J$11,$D$12:$G$12,0)),巡逻产出!$B$311:$B$610,巡逻产出!$R$311:$R$610)*OFFSET($C$1,MATCH(K$12,$C$2:$C$7,0),MATCH($J$11,$D$12:$G$12,0))</f>
        <v>#N/A</v>
      </c>
      <c r="L105" s="163">
        <f ca="1">_xlfn.XLOOKUP(MAX(INT((OFFSET($C$12,$I105,MATCH($J$11,$D$12:$G$12,0))-6)/10),1),组队产出!$B$25:$B$39,组队产出!$P$25:$P$39)*OFFSET($C$1,MATCH(L$12,$C$2:$C$7,0),MATCH($J$11,$D$12:$G$12,0))</f>
        <v>1112.4</v>
      </c>
      <c r="M105" s="163">
        <f ca="1">竞技场!$G$3*OFFSET($C$1,MATCH(M$12,$C$2:$C$7,0),MATCH($J$11,$D$12:$G$12,0))</f>
        <v>1050</v>
      </c>
      <c r="N10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05" s="23">
        <f>任务!$G$6+任务!$G$9+IF(MOD(I105,7)=0,任务!$N$9+任务!$O$6,0)</f>
        <v>895</v>
      </c>
      <c r="P105" s="25">
        <f>公会!$U$11</f>
        <v>2766.62857142857</v>
      </c>
      <c r="Q105" s="163" t="e">
        <f ca="1">_xlfn.XLOOKUP(OFFSET($C$12,$I105,MATCH($J$11,$D$12:$G$12,0)),巡逻产出!$B$311:$B$610,巡逻产出!$Q$311:$Q$610)*OFFSET($C$1,MATCH(Q$12,$C$2:$C$7,0),MATCH($J$11,$D$12:$G$12,0))</f>
        <v>#N/A</v>
      </c>
      <c r="S105" s="160">
        <v>93</v>
      </c>
      <c r="T105" s="163" t="e">
        <f ca="1">_xlfn.XLOOKUP(OFFSET($C$12,$I105,MATCH($T$11,$D$12:$G$12,0)),主线推图!$B$313:$B$612,主线推图!$P$313:$P$612)*OFFSET($C$1,MATCH(T$12,$C$2:$C$7,0),MATCH($T$11,$D$12:$G$12,0))</f>
        <v>#N/A</v>
      </c>
      <c r="U105" s="163" t="e">
        <f ca="1">_xlfn.XLOOKUP(OFFSET($C$12,$I105,MATCH($T$11,$D$12:$G$12,0)),巡逻产出!$B$311:$B$610,巡逻产出!$R$311:$R$610)*OFFSET($C$1,MATCH(U$12,$C$2:$C$7,0),MATCH($T$11,$D$12:$G$12,0))</f>
        <v>#N/A</v>
      </c>
      <c r="V105" s="163">
        <f ca="1">_xlfn.XLOOKUP(MAX(INT((OFFSET($C$12,$I105,MATCH($T$11,$D$12:$G$12,0))-6)/10),1),组队产出!$B$25:$B$39,组队产出!$P$25:$P$39)*OFFSET($C$1,MATCH(V$12,$C$2:$C$7,0),MATCH($T$11,$D$12:$G$12,0))</f>
        <v>2260.8</v>
      </c>
      <c r="W105" s="163">
        <f ca="1">竞技场!$G$3*OFFSET($C$1,MATCH(W$12,$C$2:$C$7,0),MATCH($T$11,$D$12:$G$12,0))</f>
        <v>2100</v>
      </c>
      <c r="X10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05" s="23">
        <f>任务!$G$6+任务!$G$9+IF(MOD(S105,7)=0,任务!$N$9+任务!$O$6,0)</f>
        <v>895</v>
      </c>
      <c r="Z105" s="25">
        <f>公会!$U$11</f>
        <v>2766.62857142857</v>
      </c>
      <c r="AA105" s="163" t="e">
        <f ca="1">_xlfn.XLOOKUP(OFFSET($C$12,$I105,MATCH($T$11,$D$12:$G$12,0)),巡逻产出!$B$311:$B$610,巡逻产出!$Q$311:$Q$610)*OFFSET($C$1,MATCH(AA$12,$C$2:$C$7,0),MATCH($T$11,$D$12:$G$12,0))</f>
        <v>#N/A</v>
      </c>
      <c r="AC105" s="160">
        <v>93</v>
      </c>
      <c r="AD105" s="163">
        <f ca="1">_xlfn.XLOOKUP(OFFSET($C$12,$I105,MATCH($AD$11,$D$12:$G$12,0)),主线推图!$B$313:$B$612,主线推图!$P$313:$P$612)*OFFSET($C$1,MATCH(AD$12,$C$2:$C$7,0),MATCH($AD$11,$D$12:$G$12,0))</f>
        <v>3311</v>
      </c>
      <c r="AE105" s="163">
        <f ca="1">_xlfn.XLOOKUP(OFFSET($C$12,$I105,MATCH($AD$11,$D$12:$G$12,0)),巡逻产出!$B$311:$B$610,巡逻产出!$R$311:$R$610)*OFFSET($C$1,MATCH(AE$12,$C$2:$C$7,0),MATCH($AD$11,$D$12:$G$12,0))</f>
        <v>0</v>
      </c>
      <c r="AF105" s="163" t="e">
        <f ca="1">_xlfn.XLOOKUP(MAX(INT((OFFSET($C$12,$I105,MATCH($AD$11,$D$12:$G$12,0))-6)/10),1),组队产出!$B$25:$B$39,组队产出!$P$25:$P$39)*OFFSET($C$1,MATCH(AF$12,$C$2:$C$7,0),MATCH($AD$11,$D$12:$G$12,0))</f>
        <v>#N/A</v>
      </c>
      <c r="AG105" s="163">
        <f ca="1">竞技场!$G$3*OFFSET($C$1,MATCH(AG$12,$C$2:$C$7,0),MATCH($AD$11,$D$12:$G$12,0))</f>
        <v>3150</v>
      </c>
      <c r="AH10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05" s="23">
        <f>任务!$G$6+任务!$G$9+IF(MOD(AC105,7)=0,任务!$N$9+任务!$O$6,0)</f>
        <v>895</v>
      </c>
      <c r="AJ105" s="25">
        <f>公会!$U$11</f>
        <v>2766.62857142857</v>
      </c>
      <c r="AK105" s="163">
        <f ca="1">_xlfn.XLOOKUP(OFFSET($C$12,$I105,MATCH($AD$11,$D$12:$G$12,0)),巡逻产出!$B$311:$B$610,巡逻产出!$Q$311:$Q$610)*OFFSET($C$1,MATCH(AK$12,$C$2:$C$7,0),MATCH($AD$11,$D$12:$G$12,0))</f>
        <v>2289.768</v>
      </c>
      <c r="AM105" s="164">
        <v>93</v>
      </c>
      <c r="AN105" s="165">
        <f t="shared" si="11"/>
        <v>11257</v>
      </c>
      <c r="AO105" s="165">
        <f t="shared" si="12"/>
        <v>14045</v>
      </c>
      <c r="AP105" s="165">
        <f t="shared" si="13"/>
        <v>22078</v>
      </c>
      <c r="AQ105" s="165">
        <f t="shared" si="14"/>
        <v>28920</v>
      </c>
    </row>
    <row r="106" spans="3:43">
      <c r="C106" s="160">
        <v>94</v>
      </c>
      <c r="D106" s="169">
        <v>141</v>
      </c>
      <c r="E106" s="170">
        <f t="shared" si="9"/>
        <v>98.25</v>
      </c>
      <c r="F106" s="169">
        <f t="shared" si="10"/>
        <v>109.75</v>
      </c>
      <c r="G106" s="163">
        <f t="shared" si="15"/>
        <v>167</v>
      </c>
      <c r="I106" s="160">
        <v>94</v>
      </c>
      <c r="J106" s="163" t="e">
        <f ca="1">_xlfn.XLOOKUP(OFFSET($C$12,$I106,MATCH($J$11,$D$12:$G$12,0)),主线推图!$B$313:$B$612,主线推图!$P$313:$P$612)*OFFSET($C$1,MATCH(J$12,$C$2:$C$7,0),MATCH($J$11,$D$12:$G$12,0))</f>
        <v>#N/A</v>
      </c>
      <c r="K106" s="163" t="e">
        <f ca="1">_xlfn.XLOOKUP(OFFSET($C$12,$I106,MATCH($J$11,$D$12:$G$12,0)),巡逻产出!$B$311:$B$610,巡逻产出!$R$311:$R$610)*OFFSET($C$1,MATCH(K$12,$C$2:$C$7,0),MATCH($J$11,$D$12:$G$12,0))</f>
        <v>#N/A</v>
      </c>
      <c r="L106" s="163">
        <f ca="1">_xlfn.XLOOKUP(MAX(INT((OFFSET($C$12,$I106,MATCH($J$11,$D$12:$G$12,0))-6)/10),1),组队产出!$B$25:$B$39,组队产出!$P$25:$P$39)*OFFSET($C$1,MATCH(L$12,$C$2:$C$7,0),MATCH($J$11,$D$12:$G$12,0))</f>
        <v>1112.4</v>
      </c>
      <c r="M106" s="163">
        <f ca="1">竞技场!$G$3*OFFSET($C$1,MATCH(M$12,$C$2:$C$7,0),MATCH($J$11,$D$12:$G$12,0))</f>
        <v>1050</v>
      </c>
      <c r="N10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06" s="23">
        <f>任务!$G$6+任务!$G$9+IF(MOD(I106,7)=0,任务!$N$9+任务!$O$6,0)</f>
        <v>895</v>
      </c>
      <c r="P106" s="25">
        <f>公会!$U$11</f>
        <v>2766.62857142857</v>
      </c>
      <c r="Q106" s="163" t="e">
        <f ca="1">_xlfn.XLOOKUP(OFFSET($C$12,$I106,MATCH($J$11,$D$12:$G$12,0)),巡逻产出!$B$311:$B$610,巡逻产出!$Q$311:$Q$610)*OFFSET($C$1,MATCH(Q$12,$C$2:$C$7,0),MATCH($J$11,$D$12:$G$12,0))</f>
        <v>#N/A</v>
      </c>
      <c r="S106" s="160">
        <v>94</v>
      </c>
      <c r="T106" s="163" t="e">
        <f ca="1">_xlfn.XLOOKUP(OFFSET($C$12,$I106,MATCH($T$11,$D$12:$G$12,0)),主线推图!$B$313:$B$612,主线推图!$P$313:$P$612)*OFFSET($C$1,MATCH(T$12,$C$2:$C$7,0),MATCH($T$11,$D$12:$G$12,0))</f>
        <v>#N/A</v>
      </c>
      <c r="U106" s="163" t="e">
        <f ca="1">_xlfn.XLOOKUP(OFFSET($C$12,$I106,MATCH($T$11,$D$12:$G$12,0)),巡逻产出!$B$311:$B$610,巡逻产出!$R$311:$R$610)*OFFSET($C$1,MATCH(U$12,$C$2:$C$7,0),MATCH($T$11,$D$12:$G$12,0))</f>
        <v>#N/A</v>
      </c>
      <c r="V106" s="163">
        <f ca="1">_xlfn.XLOOKUP(MAX(INT((OFFSET($C$12,$I106,MATCH($T$11,$D$12:$G$12,0))-6)/10),1),组队产出!$B$25:$B$39,组队产出!$P$25:$P$39)*OFFSET($C$1,MATCH(V$12,$C$2:$C$7,0),MATCH($T$11,$D$12:$G$12,0))</f>
        <v>2260.8</v>
      </c>
      <c r="W106" s="163">
        <f ca="1">竞技场!$G$3*OFFSET($C$1,MATCH(W$12,$C$2:$C$7,0),MATCH($T$11,$D$12:$G$12,0))</f>
        <v>2100</v>
      </c>
      <c r="X10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06" s="23">
        <f>任务!$G$6+任务!$G$9+IF(MOD(S106,7)=0,任务!$N$9+任务!$O$6,0)</f>
        <v>895</v>
      </c>
      <c r="Z106" s="25">
        <f>公会!$U$11</f>
        <v>2766.62857142857</v>
      </c>
      <c r="AA106" s="163" t="e">
        <f ca="1">_xlfn.XLOOKUP(OFFSET($C$12,$I106,MATCH($T$11,$D$12:$G$12,0)),巡逻产出!$B$311:$B$610,巡逻产出!$Q$311:$Q$610)*OFFSET($C$1,MATCH(AA$12,$C$2:$C$7,0),MATCH($T$11,$D$12:$G$12,0))</f>
        <v>#N/A</v>
      </c>
      <c r="AC106" s="160">
        <v>94</v>
      </c>
      <c r="AD106" s="163">
        <f ca="1">_xlfn.XLOOKUP(OFFSET($C$12,$I106,MATCH($AD$11,$D$12:$G$12,0)),主线推图!$B$313:$B$612,主线推图!$P$313:$P$612)*OFFSET($C$1,MATCH(AD$12,$C$2:$C$7,0),MATCH($AD$11,$D$12:$G$12,0))</f>
        <v>3313.2</v>
      </c>
      <c r="AE106" s="163">
        <f ca="1">_xlfn.XLOOKUP(OFFSET($C$12,$I106,MATCH($AD$11,$D$12:$G$12,0)),巡逻产出!$B$311:$B$610,巡逻产出!$R$311:$R$610)*OFFSET($C$1,MATCH(AE$12,$C$2:$C$7,0),MATCH($AD$11,$D$12:$G$12,0))</f>
        <v>0</v>
      </c>
      <c r="AF106" s="163" t="e">
        <f ca="1">_xlfn.XLOOKUP(MAX(INT((OFFSET($C$12,$I106,MATCH($AD$11,$D$12:$G$12,0))-6)/10),1),组队产出!$B$25:$B$39,组队产出!$P$25:$P$39)*OFFSET($C$1,MATCH(AF$12,$C$2:$C$7,0),MATCH($AD$11,$D$12:$G$12,0))</f>
        <v>#N/A</v>
      </c>
      <c r="AG106" s="163">
        <f ca="1">竞技场!$G$3*OFFSET($C$1,MATCH(AG$12,$C$2:$C$7,0),MATCH($AD$11,$D$12:$G$12,0))</f>
        <v>3150</v>
      </c>
      <c r="AH10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06" s="23">
        <f>任务!$G$6+任务!$G$9+IF(MOD(AC106,7)=0,任务!$N$9+任务!$O$6,0)</f>
        <v>895</v>
      </c>
      <c r="AJ106" s="25">
        <f>公会!$U$11</f>
        <v>2766.62857142857</v>
      </c>
      <c r="AK106" s="163">
        <f ca="1">_xlfn.XLOOKUP(OFFSET($C$12,$I106,MATCH($AD$11,$D$12:$G$12,0)),巡逻产出!$B$311:$B$610,巡逻产出!$Q$311:$Q$610)*OFFSET($C$1,MATCH(AK$12,$C$2:$C$7,0),MATCH($AD$11,$D$12:$G$12,0))</f>
        <v>2291.328</v>
      </c>
      <c r="AM106" s="164">
        <v>94</v>
      </c>
      <c r="AN106" s="165">
        <f t="shared" si="11"/>
        <v>11370</v>
      </c>
      <c r="AO106" s="165">
        <f t="shared" si="12"/>
        <v>14188</v>
      </c>
      <c r="AP106" s="165">
        <f t="shared" si="13"/>
        <v>22306</v>
      </c>
      <c r="AQ106" s="165">
        <f t="shared" si="14"/>
        <v>29222</v>
      </c>
    </row>
    <row r="107" spans="3:43">
      <c r="C107" s="160">
        <v>95</v>
      </c>
      <c r="D107" s="169">
        <v>141</v>
      </c>
      <c r="E107" s="170">
        <f t="shared" si="9"/>
        <v>98.5</v>
      </c>
      <c r="F107" s="169">
        <f t="shared" si="10"/>
        <v>110.1</v>
      </c>
      <c r="G107" s="163">
        <f t="shared" si="15"/>
        <v>168</v>
      </c>
      <c r="I107" s="160">
        <v>95</v>
      </c>
      <c r="J107" s="163" t="e">
        <f ca="1">_xlfn.XLOOKUP(OFFSET($C$12,$I107,MATCH($J$11,$D$12:$G$12,0)),主线推图!$B$313:$B$612,主线推图!$P$313:$P$612)*OFFSET($C$1,MATCH(J$12,$C$2:$C$7,0),MATCH($J$11,$D$12:$G$12,0))</f>
        <v>#N/A</v>
      </c>
      <c r="K107" s="163" t="e">
        <f ca="1">_xlfn.XLOOKUP(OFFSET($C$12,$I107,MATCH($J$11,$D$12:$G$12,0)),巡逻产出!$B$311:$B$610,巡逻产出!$R$311:$R$610)*OFFSET($C$1,MATCH(K$12,$C$2:$C$7,0),MATCH($J$11,$D$12:$G$12,0))</f>
        <v>#N/A</v>
      </c>
      <c r="L107" s="163">
        <f ca="1">_xlfn.XLOOKUP(MAX(INT((OFFSET($C$12,$I107,MATCH($J$11,$D$12:$G$12,0))-6)/10),1),组队产出!$B$25:$B$39,组队产出!$P$25:$P$39)*OFFSET($C$1,MATCH(L$12,$C$2:$C$7,0),MATCH($J$11,$D$12:$G$12,0))</f>
        <v>1112.4</v>
      </c>
      <c r="M107" s="163">
        <f ca="1">竞技场!$G$3*OFFSET($C$1,MATCH(M$12,$C$2:$C$7,0),MATCH($J$11,$D$12:$G$12,0))</f>
        <v>1050</v>
      </c>
      <c r="N10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07" s="23">
        <f>任务!$G$6+任务!$G$9+IF(MOD(I107,7)=0,任务!$N$9+任务!$O$6,0)</f>
        <v>895</v>
      </c>
      <c r="P107" s="25">
        <f>公会!$U$11</f>
        <v>2766.62857142857</v>
      </c>
      <c r="Q107" s="163" t="e">
        <f ca="1">_xlfn.XLOOKUP(OFFSET($C$12,$I107,MATCH($J$11,$D$12:$G$12,0)),巡逻产出!$B$311:$B$610,巡逻产出!$Q$311:$Q$610)*OFFSET($C$1,MATCH(Q$12,$C$2:$C$7,0),MATCH($J$11,$D$12:$G$12,0))</f>
        <v>#N/A</v>
      </c>
      <c r="S107" s="160">
        <v>95</v>
      </c>
      <c r="T107" s="163" t="e">
        <f ca="1">_xlfn.XLOOKUP(OFFSET($C$12,$I107,MATCH($T$11,$D$12:$G$12,0)),主线推图!$B$313:$B$612,主线推图!$P$313:$P$612)*OFFSET($C$1,MATCH(T$12,$C$2:$C$7,0),MATCH($T$11,$D$12:$G$12,0))</f>
        <v>#N/A</v>
      </c>
      <c r="U107" s="163" t="e">
        <f ca="1">_xlfn.XLOOKUP(OFFSET($C$12,$I107,MATCH($T$11,$D$12:$G$12,0)),巡逻产出!$B$311:$B$610,巡逻产出!$R$311:$R$610)*OFFSET($C$1,MATCH(U$12,$C$2:$C$7,0),MATCH($T$11,$D$12:$G$12,0))</f>
        <v>#N/A</v>
      </c>
      <c r="V107" s="163">
        <f ca="1">_xlfn.XLOOKUP(MAX(INT((OFFSET($C$12,$I107,MATCH($T$11,$D$12:$G$12,0))-6)/10),1),组队产出!$B$25:$B$39,组队产出!$P$25:$P$39)*OFFSET($C$1,MATCH(V$12,$C$2:$C$7,0),MATCH($T$11,$D$12:$G$12,0))</f>
        <v>2260.8</v>
      </c>
      <c r="W107" s="163">
        <f ca="1">竞技场!$G$3*OFFSET($C$1,MATCH(W$12,$C$2:$C$7,0),MATCH($T$11,$D$12:$G$12,0))</f>
        <v>2100</v>
      </c>
      <c r="X10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07" s="23">
        <f>任务!$G$6+任务!$G$9+IF(MOD(S107,7)=0,任务!$N$9+任务!$O$6,0)</f>
        <v>895</v>
      </c>
      <c r="Z107" s="25">
        <f>公会!$U$11</f>
        <v>2766.62857142857</v>
      </c>
      <c r="AA107" s="163" t="e">
        <f ca="1">_xlfn.XLOOKUP(OFFSET($C$12,$I107,MATCH($T$11,$D$12:$G$12,0)),巡逻产出!$B$311:$B$610,巡逻产出!$Q$311:$Q$610)*OFFSET($C$1,MATCH(AA$12,$C$2:$C$7,0),MATCH($T$11,$D$12:$G$12,0))</f>
        <v>#N/A</v>
      </c>
      <c r="AC107" s="160">
        <v>95</v>
      </c>
      <c r="AD107" s="163">
        <f ca="1">_xlfn.XLOOKUP(OFFSET($C$12,$I107,MATCH($AD$11,$D$12:$G$12,0)),主线推图!$B$313:$B$612,主线推图!$P$313:$P$612)*OFFSET($C$1,MATCH(AD$12,$C$2:$C$7,0),MATCH($AD$11,$D$12:$G$12,0))</f>
        <v>3315.4</v>
      </c>
      <c r="AE107" s="163">
        <f ca="1">_xlfn.XLOOKUP(OFFSET($C$12,$I107,MATCH($AD$11,$D$12:$G$12,0)),巡逻产出!$B$311:$B$610,巡逻产出!$R$311:$R$610)*OFFSET($C$1,MATCH(AE$12,$C$2:$C$7,0),MATCH($AD$11,$D$12:$G$12,0))</f>
        <v>0</v>
      </c>
      <c r="AF107" s="163" t="e">
        <f ca="1">_xlfn.XLOOKUP(MAX(INT((OFFSET($C$12,$I107,MATCH($AD$11,$D$12:$G$12,0))-6)/10),1),组队产出!$B$25:$B$39,组队产出!$P$25:$P$39)*OFFSET($C$1,MATCH(AF$12,$C$2:$C$7,0),MATCH($AD$11,$D$12:$G$12,0))</f>
        <v>#N/A</v>
      </c>
      <c r="AG107" s="163">
        <f ca="1">竞技场!$G$3*OFFSET($C$1,MATCH(AG$12,$C$2:$C$7,0),MATCH($AD$11,$D$12:$G$12,0))</f>
        <v>3150</v>
      </c>
      <c r="AH10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07" s="23">
        <f>任务!$G$6+任务!$G$9+IF(MOD(AC107,7)=0,任务!$N$9+任务!$O$6,0)</f>
        <v>895</v>
      </c>
      <c r="AJ107" s="25">
        <f>公会!$U$11</f>
        <v>2766.62857142857</v>
      </c>
      <c r="AK107" s="163">
        <f ca="1">_xlfn.XLOOKUP(OFFSET($C$12,$I107,MATCH($AD$11,$D$12:$G$12,0)),巡逻产出!$B$311:$B$610,巡逻产出!$Q$311:$Q$610)*OFFSET($C$1,MATCH(AK$12,$C$2:$C$7,0),MATCH($AD$11,$D$12:$G$12,0))</f>
        <v>2292.888</v>
      </c>
      <c r="AM107" s="164">
        <v>95</v>
      </c>
      <c r="AN107" s="165">
        <f t="shared" si="11"/>
        <v>11484</v>
      </c>
      <c r="AO107" s="165">
        <f t="shared" si="12"/>
        <v>14331</v>
      </c>
      <c r="AP107" s="165">
        <f t="shared" si="13"/>
        <v>22535</v>
      </c>
      <c r="AQ107" s="165">
        <f t="shared" si="14"/>
        <v>29524</v>
      </c>
    </row>
    <row r="108" spans="3:43">
      <c r="C108" s="160">
        <v>96</v>
      </c>
      <c r="D108" s="169">
        <v>142</v>
      </c>
      <c r="E108" s="170">
        <f t="shared" si="9"/>
        <v>98.75</v>
      </c>
      <c r="F108" s="169">
        <f t="shared" si="10"/>
        <v>110.45</v>
      </c>
      <c r="G108" s="163">
        <f t="shared" si="15"/>
        <v>169</v>
      </c>
      <c r="I108" s="160">
        <v>96</v>
      </c>
      <c r="J108" s="163" t="e">
        <f ca="1">_xlfn.XLOOKUP(OFFSET($C$12,$I108,MATCH($J$11,$D$12:$G$12,0)),主线推图!$B$313:$B$612,主线推图!$P$313:$P$612)*OFFSET($C$1,MATCH(J$12,$C$2:$C$7,0),MATCH($J$11,$D$12:$G$12,0))</f>
        <v>#N/A</v>
      </c>
      <c r="K108" s="163" t="e">
        <f ca="1">_xlfn.XLOOKUP(OFFSET($C$12,$I108,MATCH($J$11,$D$12:$G$12,0)),巡逻产出!$B$311:$B$610,巡逻产出!$R$311:$R$610)*OFFSET($C$1,MATCH(K$12,$C$2:$C$7,0),MATCH($J$11,$D$12:$G$12,0))</f>
        <v>#N/A</v>
      </c>
      <c r="L108" s="163">
        <f ca="1">_xlfn.XLOOKUP(MAX(INT((OFFSET($C$12,$I108,MATCH($J$11,$D$12:$G$12,0))-6)/10),1),组队产出!$B$25:$B$39,组队产出!$P$25:$P$39)*OFFSET($C$1,MATCH(L$12,$C$2:$C$7,0),MATCH($J$11,$D$12:$G$12,0))</f>
        <v>1112.4</v>
      </c>
      <c r="M108" s="163">
        <f ca="1">竞技场!$G$3*OFFSET($C$1,MATCH(M$12,$C$2:$C$7,0),MATCH($J$11,$D$12:$G$12,0))</f>
        <v>1050</v>
      </c>
      <c r="N10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08" s="23">
        <f>任务!$G$6+任务!$G$9+IF(MOD(I108,7)=0,任务!$N$9+任务!$O$6,0)</f>
        <v>895</v>
      </c>
      <c r="P108" s="25">
        <f>公会!$U$11</f>
        <v>2766.62857142857</v>
      </c>
      <c r="Q108" s="163" t="e">
        <f ca="1">_xlfn.XLOOKUP(OFFSET($C$12,$I108,MATCH($J$11,$D$12:$G$12,0)),巡逻产出!$B$311:$B$610,巡逻产出!$Q$311:$Q$610)*OFFSET($C$1,MATCH(Q$12,$C$2:$C$7,0),MATCH($J$11,$D$12:$G$12,0))</f>
        <v>#N/A</v>
      </c>
      <c r="S108" s="160">
        <v>96</v>
      </c>
      <c r="T108" s="163" t="e">
        <f ca="1">_xlfn.XLOOKUP(OFFSET($C$12,$I108,MATCH($T$11,$D$12:$G$12,0)),主线推图!$B$313:$B$612,主线推图!$P$313:$P$612)*OFFSET($C$1,MATCH(T$12,$C$2:$C$7,0),MATCH($T$11,$D$12:$G$12,0))</f>
        <v>#N/A</v>
      </c>
      <c r="U108" s="163" t="e">
        <f ca="1">_xlfn.XLOOKUP(OFFSET($C$12,$I108,MATCH($T$11,$D$12:$G$12,0)),巡逻产出!$B$311:$B$610,巡逻产出!$R$311:$R$610)*OFFSET($C$1,MATCH(U$12,$C$2:$C$7,0),MATCH($T$11,$D$12:$G$12,0))</f>
        <v>#N/A</v>
      </c>
      <c r="V108" s="163">
        <f ca="1">_xlfn.XLOOKUP(MAX(INT((OFFSET($C$12,$I108,MATCH($T$11,$D$12:$G$12,0))-6)/10),1),组队产出!$B$25:$B$39,组队产出!$P$25:$P$39)*OFFSET($C$1,MATCH(V$12,$C$2:$C$7,0),MATCH($T$11,$D$12:$G$12,0))</f>
        <v>2260.8</v>
      </c>
      <c r="W108" s="163">
        <f ca="1">竞技场!$G$3*OFFSET($C$1,MATCH(W$12,$C$2:$C$7,0),MATCH($T$11,$D$12:$G$12,0))</f>
        <v>2100</v>
      </c>
      <c r="X10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08" s="23">
        <f>任务!$G$6+任务!$G$9+IF(MOD(S108,7)=0,任务!$N$9+任务!$O$6,0)</f>
        <v>895</v>
      </c>
      <c r="Z108" s="25">
        <f>公会!$U$11</f>
        <v>2766.62857142857</v>
      </c>
      <c r="AA108" s="163" t="e">
        <f ca="1">_xlfn.XLOOKUP(OFFSET($C$12,$I108,MATCH($T$11,$D$12:$G$12,0)),巡逻产出!$B$311:$B$610,巡逻产出!$Q$311:$Q$610)*OFFSET($C$1,MATCH(AA$12,$C$2:$C$7,0),MATCH($T$11,$D$12:$G$12,0))</f>
        <v>#N/A</v>
      </c>
      <c r="AC108" s="160">
        <v>96</v>
      </c>
      <c r="AD108" s="163">
        <f ca="1">_xlfn.XLOOKUP(OFFSET($C$12,$I108,MATCH($AD$11,$D$12:$G$12,0)),主线推图!$B$313:$B$612,主线推图!$P$313:$P$612)*OFFSET($C$1,MATCH(AD$12,$C$2:$C$7,0),MATCH($AD$11,$D$12:$G$12,0))</f>
        <v>3317.6</v>
      </c>
      <c r="AE108" s="163">
        <f ca="1">_xlfn.XLOOKUP(OFFSET($C$12,$I108,MATCH($AD$11,$D$12:$G$12,0)),巡逻产出!$B$311:$B$610,巡逻产出!$R$311:$R$610)*OFFSET($C$1,MATCH(AE$12,$C$2:$C$7,0),MATCH($AD$11,$D$12:$G$12,0))</f>
        <v>0</v>
      </c>
      <c r="AF108" s="163" t="e">
        <f ca="1">_xlfn.XLOOKUP(MAX(INT((OFFSET($C$12,$I108,MATCH($AD$11,$D$12:$G$12,0))-6)/10),1),组队产出!$B$25:$B$39,组队产出!$P$25:$P$39)*OFFSET($C$1,MATCH(AF$12,$C$2:$C$7,0),MATCH($AD$11,$D$12:$G$12,0))</f>
        <v>#N/A</v>
      </c>
      <c r="AG108" s="163">
        <f ca="1">竞技场!$G$3*OFFSET($C$1,MATCH(AG$12,$C$2:$C$7,0),MATCH($AD$11,$D$12:$G$12,0))</f>
        <v>3150</v>
      </c>
      <c r="AH10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08" s="23">
        <f>任务!$G$6+任务!$G$9+IF(MOD(AC108,7)=0,任务!$N$9+任务!$O$6,0)</f>
        <v>895</v>
      </c>
      <c r="AJ108" s="25">
        <f>公会!$U$11</f>
        <v>2766.62857142857</v>
      </c>
      <c r="AK108" s="163">
        <f ca="1">_xlfn.XLOOKUP(OFFSET($C$12,$I108,MATCH($AD$11,$D$12:$G$12,0)),巡逻产出!$B$311:$B$610,巡逻产出!$Q$311:$Q$610)*OFFSET($C$1,MATCH(AK$12,$C$2:$C$7,0),MATCH($AD$11,$D$12:$G$12,0))</f>
        <v>2294.448</v>
      </c>
      <c r="AM108" s="164">
        <v>96</v>
      </c>
      <c r="AN108" s="165">
        <f t="shared" si="11"/>
        <v>11597</v>
      </c>
      <c r="AO108" s="165">
        <f t="shared" si="12"/>
        <v>14474</v>
      </c>
      <c r="AP108" s="165">
        <f t="shared" si="13"/>
        <v>22763</v>
      </c>
      <c r="AQ108" s="165">
        <f t="shared" si="14"/>
        <v>29826</v>
      </c>
    </row>
    <row r="109" spans="3:43">
      <c r="C109" s="160">
        <v>97</v>
      </c>
      <c r="D109" s="169">
        <v>143</v>
      </c>
      <c r="E109" s="170">
        <f t="shared" si="9"/>
        <v>99</v>
      </c>
      <c r="F109" s="169">
        <f t="shared" si="10"/>
        <v>110.8</v>
      </c>
      <c r="G109" s="163">
        <f t="shared" si="15"/>
        <v>170</v>
      </c>
      <c r="I109" s="160">
        <v>97</v>
      </c>
      <c r="J109" s="163" t="e">
        <f ca="1">_xlfn.XLOOKUP(OFFSET($C$12,$I109,MATCH($J$11,$D$12:$G$12,0)),主线推图!$B$313:$B$612,主线推图!$P$313:$P$612)*OFFSET($C$1,MATCH(J$12,$C$2:$C$7,0),MATCH($J$11,$D$12:$G$12,0))</f>
        <v>#N/A</v>
      </c>
      <c r="K109" s="163" t="e">
        <f ca="1">_xlfn.XLOOKUP(OFFSET($C$12,$I109,MATCH($J$11,$D$12:$G$12,0)),巡逻产出!$B$311:$B$610,巡逻产出!$R$311:$R$610)*OFFSET($C$1,MATCH(K$12,$C$2:$C$7,0),MATCH($J$11,$D$12:$G$12,0))</f>
        <v>#N/A</v>
      </c>
      <c r="L109" s="163">
        <f ca="1">_xlfn.XLOOKUP(MAX(INT((OFFSET($C$12,$I109,MATCH($J$11,$D$12:$G$12,0))-6)/10),1),组队产出!$B$25:$B$39,组队产出!$P$25:$P$39)*OFFSET($C$1,MATCH(L$12,$C$2:$C$7,0),MATCH($J$11,$D$12:$G$12,0))</f>
        <v>1112.4</v>
      </c>
      <c r="M109" s="163">
        <f ca="1">竞技场!$G$3*OFFSET($C$1,MATCH(M$12,$C$2:$C$7,0),MATCH($J$11,$D$12:$G$12,0))</f>
        <v>1050</v>
      </c>
      <c r="N10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09" s="23">
        <f>任务!$G$6+任务!$G$9+IF(MOD(I109,7)=0,任务!$N$9+任务!$O$6,0)</f>
        <v>895</v>
      </c>
      <c r="P109" s="25">
        <f>公会!$U$11</f>
        <v>2766.62857142857</v>
      </c>
      <c r="Q109" s="163" t="e">
        <f ca="1">_xlfn.XLOOKUP(OFFSET($C$12,$I109,MATCH($J$11,$D$12:$G$12,0)),巡逻产出!$B$311:$B$610,巡逻产出!$Q$311:$Q$610)*OFFSET($C$1,MATCH(Q$12,$C$2:$C$7,0),MATCH($J$11,$D$12:$G$12,0))</f>
        <v>#N/A</v>
      </c>
      <c r="S109" s="160">
        <v>97</v>
      </c>
      <c r="T109" s="163" t="e">
        <f ca="1">_xlfn.XLOOKUP(OFFSET($C$12,$I109,MATCH($T$11,$D$12:$G$12,0)),主线推图!$B$313:$B$612,主线推图!$P$313:$P$612)*OFFSET($C$1,MATCH(T$12,$C$2:$C$7,0),MATCH($T$11,$D$12:$G$12,0))</f>
        <v>#N/A</v>
      </c>
      <c r="U109" s="163" t="e">
        <f ca="1">_xlfn.XLOOKUP(OFFSET($C$12,$I109,MATCH($T$11,$D$12:$G$12,0)),巡逻产出!$B$311:$B$610,巡逻产出!$R$311:$R$610)*OFFSET($C$1,MATCH(U$12,$C$2:$C$7,0),MATCH($T$11,$D$12:$G$12,0))</f>
        <v>#N/A</v>
      </c>
      <c r="V109" s="163">
        <f ca="1">_xlfn.XLOOKUP(MAX(INT((OFFSET($C$12,$I109,MATCH($T$11,$D$12:$G$12,0))-6)/10),1),组队产出!$B$25:$B$39,组队产出!$P$25:$P$39)*OFFSET($C$1,MATCH(V$12,$C$2:$C$7,0),MATCH($T$11,$D$12:$G$12,0))</f>
        <v>2260.8</v>
      </c>
      <c r="W109" s="163">
        <f ca="1">竞技场!$G$3*OFFSET($C$1,MATCH(W$12,$C$2:$C$7,0),MATCH($T$11,$D$12:$G$12,0))</f>
        <v>2100</v>
      </c>
      <c r="X10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09" s="23">
        <f>任务!$G$6+任务!$G$9+IF(MOD(S109,7)=0,任务!$N$9+任务!$O$6,0)</f>
        <v>895</v>
      </c>
      <c r="Z109" s="25">
        <f>公会!$U$11</f>
        <v>2766.62857142857</v>
      </c>
      <c r="AA109" s="163" t="e">
        <f ca="1">_xlfn.XLOOKUP(OFFSET($C$12,$I109,MATCH($T$11,$D$12:$G$12,0)),巡逻产出!$B$311:$B$610,巡逻产出!$Q$311:$Q$610)*OFFSET($C$1,MATCH(AA$12,$C$2:$C$7,0),MATCH($T$11,$D$12:$G$12,0))</f>
        <v>#N/A</v>
      </c>
      <c r="AC109" s="160">
        <v>97</v>
      </c>
      <c r="AD109" s="163">
        <f ca="1">_xlfn.XLOOKUP(OFFSET($C$12,$I109,MATCH($AD$11,$D$12:$G$12,0)),主线推图!$B$313:$B$612,主线推图!$P$313:$P$612)*OFFSET($C$1,MATCH(AD$12,$C$2:$C$7,0),MATCH($AD$11,$D$12:$G$12,0))</f>
        <v>3319.8</v>
      </c>
      <c r="AE109" s="163">
        <f ca="1">_xlfn.XLOOKUP(OFFSET($C$12,$I109,MATCH($AD$11,$D$12:$G$12,0)),巡逻产出!$B$311:$B$610,巡逻产出!$R$311:$R$610)*OFFSET($C$1,MATCH(AE$12,$C$2:$C$7,0),MATCH($AD$11,$D$12:$G$12,0))</f>
        <v>0</v>
      </c>
      <c r="AF109" s="163" t="e">
        <f ca="1">_xlfn.XLOOKUP(MAX(INT((OFFSET($C$12,$I109,MATCH($AD$11,$D$12:$G$12,0))-6)/10),1),组队产出!$B$25:$B$39,组队产出!$P$25:$P$39)*OFFSET($C$1,MATCH(AF$12,$C$2:$C$7,0),MATCH($AD$11,$D$12:$G$12,0))</f>
        <v>#N/A</v>
      </c>
      <c r="AG109" s="163">
        <f ca="1">竞技场!$G$3*OFFSET($C$1,MATCH(AG$12,$C$2:$C$7,0),MATCH($AD$11,$D$12:$G$12,0))</f>
        <v>3150</v>
      </c>
      <c r="AH10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09" s="23">
        <f>任务!$G$6+任务!$G$9+IF(MOD(AC109,7)=0,任务!$N$9+任务!$O$6,0)</f>
        <v>895</v>
      </c>
      <c r="AJ109" s="25">
        <f>公会!$U$11</f>
        <v>2766.62857142857</v>
      </c>
      <c r="AK109" s="163">
        <f ca="1">_xlfn.XLOOKUP(OFFSET($C$12,$I109,MATCH($AD$11,$D$12:$G$12,0)),巡逻产出!$B$311:$B$610,巡逻产出!$Q$311:$Q$610)*OFFSET($C$1,MATCH(AK$12,$C$2:$C$7,0),MATCH($AD$11,$D$12:$G$12,0))</f>
        <v>2296.008</v>
      </c>
      <c r="AM109" s="164">
        <v>97</v>
      </c>
      <c r="AN109" s="165">
        <f t="shared" si="11"/>
        <v>11711</v>
      </c>
      <c r="AO109" s="165">
        <f t="shared" si="12"/>
        <v>14617</v>
      </c>
      <c r="AP109" s="165">
        <f t="shared" si="13"/>
        <v>22992</v>
      </c>
      <c r="AQ109" s="165">
        <f t="shared" si="14"/>
        <v>30128</v>
      </c>
    </row>
    <row r="110" spans="3:43">
      <c r="C110" s="160">
        <v>98</v>
      </c>
      <c r="D110" s="169">
        <v>143</v>
      </c>
      <c r="E110" s="170">
        <f t="shared" si="9"/>
        <v>99.25</v>
      </c>
      <c r="F110" s="169">
        <f t="shared" si="10"/>
        <v>111.15</v>
      </c>
      <c r="G110" s="163">
        <f t="shared" si="15"/>
        <v>171</v>
      </c>
      <c r="I110" s="160">
        <v>98</v>
      </c>
      <c r="J110" s="163" t="e">
        <f ca="1">_xlfn.XLOOKUP(OFFSET($C$12,$I110,MATCH($J$11,$D$12:$G$12,0)),主线推图!$B$313:$B$612,主线推图!$P$313:$P$612)*OFFSET($C$1,MATCH(J$12,$C$2:$C$7,0),MATCH($J$11,$D$12:$G$12,0))</f>
        <v>#N/A</v>
      </c>
      <c r="K110" s="163" t="e">
        <f ca="1">_xlfn.XLOOKUP(OFFSET($C$12,$I110,MATCH($J$11,$D$12:$G$12,0)),巡逻产出!$B$311:$B$610,巡逻产出!$R$311:$R$610)*OFFSET($C$1,MATCH(K$12,$C$2:$C$7,0),MATCH($J$11,$D$12:$G$12,0))</f>
        <v>#N/A</v>
      </c>
      <c r="L110" s="163">
        <f ca="1">_xlfn.XLOOKUP(MAX(INT((OFFSET($C$12,$I110,MATCH($J$11,$D$12:$G$12,0))-6)/10),1),组队产出!$B$25:$B$39,组队产出!$P$25:$P$39)*OFFSET($C$1,MATCH(L$12,$C$2:$C$7,0),MATCH($J$11,$D$12:$G$12,0))</f>
        <v>1112.4</v>
      </c>
      <c r="M110" s="163">
        <f ca="1">竞技场!$G$3*OFFSET($C$1,MATCH(M$12,$C$2:$C$7,0),MATCH($J$11,$D$12:$G$12,0))</f>
        <v>1050</v>
      </c>
      <c r="N11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10" s="23">
        <f>任务!$G$6+任务!$G$9+IF(MOD(I110,7)=0,任务!$N$9+任务!$O$6,0)</f>
        <v>3125</v>
      </c>
      <c r="P110" s="25">
        <f>公会!$U$11</f>
        <v>2766.62857142857</v>
      </c>
      <c r="Q110" s="163" t="e">
        <f ca="1">_xlfn.XLOOKUP(OFFSET($C$12,$I110,MATCH($J$11,$D$12:$G$12,0)),巡逻产出!$B$311:$B$610,巡逻产出!$Q$311:$Q$610)*OFFSET($C$1,MATCH(Q$12,$C$2:$C$7,0),MATCH($J$11,$D$12:$G$12,0))</f>
        <v>#N/A</v>
      </c>
      <c r="S110" s="160">
        <v>98</v>
      </c>
      <c r="T110" s="163" t="e">
        <f ca="1">_xlfn.XLOOKUP(OFFSET($C$12,$I110,MATCH($T$11,$D$12:$G$12,0)),主线推图!$B$313:$B$612,主线推图!$P$313:$P$612)*OFFSET($C$1,MATCH(T$12,$C$2:$C$7,0),MATCH($T$11,$D$12:$G$12,0))</f>
        <v>#N/A</v>
      </c>
      <c r="U110" s="163" t="e">
        <f ca="1">_xlfn.XLOOKUP(OFFSET($C$12,$I110,MATCH($T$11,$D$12:$G$12,0)),巡逻产出!$B$311:$B$610,巡逻产出!$R$311:$R$610)*OFFSET($C$1,MATCH(U$12,$C$2:$C$7,0),MATCH($T$11,$D$12:$G$12,0))</f>
        <v>#N/A</v>
      </c>
      <c r="V110" s="163">
        <f ca="1">_xlfn.XLOOKUP(MAX(INT((OFFSET($C$12,$I110,MATCH($T$11,$D$12:$G$12,0))-6)/10),1),组队产出!$B$25:$B$39,组队产出!$P$25:$P$39)*OFFSET($C$1,MATCH(V$12,$C$2:$C$7,0),MATCH($T$11,$D$12:$G$12,0))</f>
        <v>2260.8</v>
      </c>
      <c r="W110" s="163">
        <f ca="1">竞技场!$G$3*OFFSET($C$1,MATCH(W$12,$C$2:$C$7,0),MATCH($T$11,$D$12:$G$12,0))</f>
        <v>2100</v>
      </c>
      <c r="X11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10" s="23">
        <f>任务!$G$6+任务!$G$9+IF(MOD(S110,7)=0,任务!$N$9+任务!$O$6,0)</f>
        <v>3125</v>
      </c>
      <c r="Z110" s="25">
        <f>公会!$U$11</f>
        <v>2766.62857142857</v>
      </c>
      <c r="AA110" s="163" t="e">
        <f ca="1">_xlfn.XLOOKUP(OFFSET($C$12,$I110,MATCH($T$11,$D$12:$G$12,0)),巡逻产出!$B$311:$B$610,巡逻产出!$Q$311:$Q$610)*OFFSET($C$1,MATCH(AA$12,$C$2:$C$7,0),MATCH($T$11,$D$12:$G$12,0))</f>
        <v>#N/A</v>
      </c>
      <c r="AC110" s="160">
        <v>98</v>
      </c>
      <c r="AD110" s="163">
        <f ca="1">_xlfn.XLOOKUP(OFFSET($C$12,$I110,MATCH($AD$11,$D$12:$G$12,0)),主线推图!$B$313:$B$612,主线推图!$P$313:$P$612)*OFFSET($C$1,MATCH(AD$12,$C$2:$C$7,0),MATCH($AD$11,$D$12:$G$12,0))</f>
        <v>3322</v>
      </c>
      <c r="AE110" s="163">
        <f ca="1">_xlfn.XLOOKUP(OFFSET($C$12,$I110,MATCH($AD$11,$D$12:$G$12,0)),巡逻产出!$B$311:$B$610,巡逻产出!$R$311:$R$610)*OFFSET($C$1,MATCH(AE$12,$C$2:$C$7,0),MATCH($AD$11,$D$12:$G$12,0))</f>
        <v>0</v>
      </c>
      <c r="AF110" s="163" t="e">
        <f ca="1">_xlfn.XLOOKUP(MAX(INT((OFFSET($C$12,$I110,MATCH($AD$11,$D$12:$G$12,0))-6)/10),1),组队产出!$B$25:$B$39,组队产出!$P$25:$P$39)*OFFSET($C$1,MATCH(AF$12,$C$2:$C$7,0),MATCH($AD$11,$D$12:$G$12,0))</f>
        <v>#N/A</v>
      </c>
      <c r="AG110" s="163">
        <f ca="1">竞技场!$G$3*OFFSET($C$1,MATCH(AG$12,$C$2:$C$7,0),MATCH($AD$11,$D$12:$G$12,0))</f>
        <v>3150</v>
      </c>
      <c r="AH11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10" s="23">
        <f>任务!$G$6+任务!$G$9+IF(MOD(AC110,7)=0,任务!$N$9+任务!$O$6,0)</f>
        <v>3125</v>
      </c>
      <c r="AJ110" s="25">
        <f>公会!$U$11</f>
        <v>2766.62857142857</v>
      </c>
      <c r="AK110" s="163">
        <f ca="1">_xlfn.XLOOKUP(OFFSET($C$12,$I110,MATCH($AD$11,$D$12:$G$12,0)),巡逻产出!$B$311:$B$610,巡逻产出!$Q$311:$Q$610)*OFFSET($C$1,MATCH(AK$12,$C$2:$C$7,0),MATCH($AD$11,$D$12:$G$12,0))</f>
        <v>2297.568</v>
      </c>
      <c r="AM110" s="164">
        <v>98</v>
      </c>
      <c r="AN110" s="165">
        <f t="shared" si="11"/>
        <v>11824</v>
      </c>
      <c r="AO110" s="165">
        <f t="shared" si="12"/>
        <v>14760</v>
      </c>
      <c r="AP110" s="165">
        <f t="shared" si="13"/>
        <v>23220</v>
      </c>
      <c r="AQ110" s="165">
        <f t="shared" si="14"/>
        <v>30430</v>
      </c>
    </row>
    <row r="111" spans="3:43">
      <c r="C111" s="160">
        <v>99</v>
      </c>
      <c r="D111" s="169">
        <v>143</v>
      </c>
      <c r="E111" s="170">
        <f t="shared" si="9"/>
        <v>99.5</v>
      </c>
      <c r="F111" s="169">
        <f t="shared" si="10"/>
        <v>111.5</v>
      </c>
      <c r="G111" s="163">
        <f t="shared" si="15"/>
        <v>172</v>
      </c>
      <c r="I111" s="160">
        <v>99</v>
      </c>
      <c r="J111" s="163" t="e">
        <f ca="1">_xlfn.XLOOKUP(OFFSET($C$12,$I111,MATCH($J$11,$D$12:$G$12,0)),主线推图!$B$313:$B$612,主线推图!$P$313:$P$612)*OFFSET($C$1,MATCH(J$12,$C$2:$C$7,0),MATCH($J$11,$D$12:$G$12,0))</f>
        <v>#N/A</v>
      </c>
      <c r="K111" s="163" t="e">
        <f ca="1">_xlfn.XLOOKUP(OFFSET($C$12,$I111,MATCH($J$11,$D$12:$G$12,0)),巡逻产出!$B$311:$B$610,巡逻产出!$R$311:$R$610)*OFFSET($C$1,MATCH(K$12,$C$2:$C$7,0),MATCH($J$11,$D$12:$G$12,0))</f>
        <v>#N/A</v>
      </c>
      <c r="L111" s="163">
        <f ca="1">_xlfn.XLOOKUP(MAX(INT((OFFSET($C$12,$I111,MATCH($J$11,$D$12:$G$12,0))-6)/10),1),组队产出!$B$25:$B$39,组队产出!$P$25:$P$39)*OFFSET($C$1,MATCH(L$12,$C$2:$C$7,0),MATCH($J$11,$D$12:$G$12,0))</f>
        <v>1112.4</v>
      </c>
      <c r="M111" s="163">
        <f ca="1">竞技场!$G$3*OFFSET($C$1,MATCH(M$12,$C$2:$C$7,0),MATCH($J$11,$D$12:$G$12,0))</f>
        <v>1050</v>
      </c>
      <c r="N11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11" s="23">
        <f>任务!$G$6+任务!$G$9+IF(MOD(I111,7)=0,任务!$N$9+任务!$O$6,0)</f>
        <v>895</v>
      </c>
      <c r="P111" s="25">
        <f>公会!$U$11</f>
        <v>2766.62857142857</v>
      </c>
      <c r="Q111" s="163" t="e">
        <f ca="1">_xlfn.XLOOKUP(OFFSET($C$12,$I111,MATCH($J$11,$D$12:$G$12,0)),巡逻产出!$B$311:$B$610,巡逻产出!$Q$311:$Q$610)*OFFSET($C$1,MATCH(Q$12,$C$2:$C$7,0),MATCH($J$11,$D$12:$G$12,0))</f>
        <v>#N/A</v>
      </c>
      <c r="S111" s="160">
        <v>99</v>
      </c>
      <c r="T111" s="163" t="e">
        <f ca="1">_xlfn.XLOOKUP(OFFSET($C$12,$I111,MATCH($T$11,$D$12:$G$12,0)),主线推图!$B$313:$B$612,主线推图!$P$313:$P$612)*OFFSET($C$1,MATCH(T$12,$C$2:$C$7,0),MATCH($T$11,$D$12:$G$12,0))</f>
        <v>#N/A</v>
      </c>
      <c r="U111" s="163" t="e">
        <f ca="1">_xlfn.XLOOKUP(OFFSET($C$12,$I111,MATCH($T$11,$D$12:$G$12,0)),巡逻产出!$B$311:$B$610,巡逻产出!$R$311:$R$610)*OFFSET($C$1,MATCH(U$12,$C$2:$C$7,0),MATCH($T$11,$D$12:$G$12,0))</f>
        <v>#N/A</v>
      </c>
      <c r="V111" s="163">
        <f ca="1">_xlfn.XLOOKUP(MAX(INT((OFFSET($C$12,$I111,MATCH($T$11,$D$12:$G$12,0))-6)/10),1),组队产出!$B$25:$B$39,组队产出!$P$25:$P$39)*OFFSET($C$1,MATCH(V$12,$C$2:$C$7,0),MATCH($T$11,$D$12:$G$12,0))</f>
        <v>2260.8</v>
      </c>
      <c r="W111" s="163">
        <f ca="1">竞技场!$G$3*OFFSET($C$1,MATCH(W$12,$C$2:$C$7,0),MATCH($T$11,$D$12:$G$12,0))</f>
        <v>2100</v>
      </c>
      <c r="X11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11" s="23">
        <f>任务!$G$6+任务!$G$9+IF(MOD(S111,7)=0,任务!$N$9+任务!$O$6,0)</f>
        <v>895</v>
      </c>
      <c r="Z111" s="25">
        <f>公会!$U$11</f>
        <v>2766.62857142857</v>
      </c>
      <c r="AA111" s="163" t="e">
        <f ca="1">_xlfn.XLOOKUP(OFFSET($C$12,$I111,MATCH($T$11,$D$12:$G$12,0)),巡逻产出!$B$311:$B$610,巡逻产出!$Q$311:$Q$610)*OFFSET($C$1,MATCH(AA$12,$C$2:$C$7,0),MATCH($T$11,$D$12:$G$12,0))</f>
        <v>#N/A</v>
      </c>
      <c r="AC111" s="160">
        <v>99</v>
      </c>
      <c r="AD111" s="163">
        <f ca="1">_xlfn.XLOOKUP(OFFSET($C$12,$I111,MATCH($AD$11,$D$12:$G$12,0)),主线推图!$B$313:$B$612,主线推图!$P$313:$P$612)*OFFSET($C$1,MATCH(AD$12,$C$2:$C$7,0),MATCH($AD$11,$D$12:$G$12,0))</f>
        <v>3324.2</v>
      </c>
      <c r="AE111" s="163">
        <f ca="1">_xlfn.XLOOKUP(OFFSET($C$12,$I111,MATCH($AD$11,$D$12:$G$12,0)),巡逻产出!$B$311:$B$610,巡逻产出!$R$311:$R$610)*OFFSET($C$1,MATCH(AE$12,$C$2:$C$7,0),MATCH($AD$11,$D$12:$G$12,0))</f>
        <v>0</v>
      </c>
      <c r="AF111" s="163" t="e">
        <f ca="1">_xlfn.XLOOKUP(MAX(INT((OFFSET($C$12,$I111,MATCH($AD$11,$D$12:$G$12,0))-6)/10),1),组队产出!$B$25:$B$39,组队产出!$P$25:$P$39)*OFFSET($C$1,MATCH(AF$12,$C$2:$C$7,0),MATCH($AD$11,$D$12:$G$12,0))</f>
        <v>#N/A</v>
      </c>
      <c r="AG111" s="163">
        <f ca="1">竞技场!$G$3*OFFSET($C$1,MATCH(AG$12,$C$2:$C$7,0),MATCH($AD$11,$D$12:$G$12,0))</f>
        <v>3150</v>
      </c>
      <c r="AH11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11" s="23">
        <f>任务!$G$6+任务!$G$9+IF(MOD(AC111,7)=0,任务!$N$9+任务!$O$6,0)</f>
        <v>895</v>
      </c>
      <c r="AJ111" s="25">
        <f>公会!$U$11</f>
        <v>2766.62857142857</v>
      </c>
      <c r="AK111" s="163">
        <f ca="1">_xlfn.XLOOKUP(OFFSET($C$12,$I111,MATCH($AD$11,$D$12:$G$12,0)),巡逻产出!$B$311:$B$610,巡逻产出!$Q$311:$Q$610)*OFFSET($C$1,MATCH(AK$12,$C$2:$C$7,0),MATCH($AD$11,$D$12:$G$12,0))</f>
        <v>2299.128</v>
      </c>
      <c r="AM111" s="164">
        <v>99</v>
      </c>
      <c r="AN111" s="165">
        <f t="shared" si="11"/>
        <v>11938</v>
      </c>
      <c r="AO111" s="165">
        <f t="shared" si="12"/>
        <v>14903</v>
      </c>
      <c r="AP111" s="165">
        <f t="shared" si="13"/>
        <v>23449</v>
      </c>
      <c r="AQ111" s="165">
        <f t="shared" si="14"/>
        <v>30732</v>
      </c>
    </row>
    <row r="112" spans="3:43">
      <c r="C112" s="160">
        <v>100</v>
      </c>
      <c r="D112" s="169">
        <v>143</v>
      </c>
      <c r="E112" s="170">
        <f t="shared" si="9"/>
        <v>99.75</v>
      </c>
      <c r="F112" s="169">
        <f t="shared" si="10"/>
        <v>111.85</v>
      </c>
      <c r="G112" s="163">
        <f t="shared" si="15"/>
        <v>173</v>
      </c>
      <c r="I112" s="160">
        <v>100</v>
      </c>
      <c r="J112" s="163" t="e">
        <f ca="1">_xlfn.XLOOKUP(OFFSET($C$12,$I112,MATCH($J$11,$D$12:$G$12,0)),主线推图!$B$313:$B$612,主线推图!$P$313:$P$612)*OFFSET($C$1,MATCH(J$12,$C$2:$C$7,0),MATCH($J$11,$D$12:$G$12,0))</f>
        <v>#N/A</v>
      </c>
      <c r="K112" s="163" t="e">
        <f ca="1">_xlfn.XLOOKUP(OFFSET($C$12,$I112,MATCH($J$11,$D$12:$G$12,0)),巡逻产出!$B$311:$B$610,巡逻产出!$R$311:$R$610)*OFFSET($C$1,MATCH(K$12,$C$2:$C$7,0),MATCH($J$11,$D$12:$G$12,0))</f>
        <v>#N/A</v>
      </c>
      <c r="L112" s="163">
        <f ca="1">_xlfn.XLOOKUP(MAX(INT((OFFSET($C$12,$I112,MATCH($J$11,$D$12:$G$12,0))-6)/10),1),组队产出!$B$25:$B$39,组队产出!$P$25:$P$39)*OFFSET($C$1,MATCH(L$12,$C$2:$C$7,0),MATCH($J$11,$D$12:$G$12,0))</f>
        <v>1112.4</v>
      </c>
      <c r="M112" s="163">
        <f ca="1">竞技场!$G$3*OFFSET($C$1,MATCH(M$12,$C$2:$C$7,0),MATCH($J$11,$D$12:$G$12,0))</f>
        <v>1050</v>
      </c>
      <c r="N11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12" s="23">
        <f>任务!$G$6+任务!$G$9+IF(MOD(I112,7)=0,任务!$N$9+任务!$O$6,0)</f>
        <v>895</v>
      </c>
      <c r="P112" s="25">
        <f>公会!$U$11</f>
        <v>2766.62857142857</v>
      </c>
      <c r="Q112" s="163" t="e">
        <f ca="1">_xlfn.XLOOKUP(OFFSET($C$12,$I112,MATCH($J$11,$D$12:$G$12,0)),巡逻产出!$B$311:$B$610,巡逻产出!$Q$311:$Q$610)*OFFSET($C$1,MATCH(Q$12,$C$2:$C$7,0),MATCH($J$11,$D$12:$G$12,0))</f>
        <v>#N/A</v>
      </c>
      <c r="S112" s="160">
        <v>100</v>
      </c>
      <c r="T112" s="163" t="e">
        <f ca="1">_xlfn.XLOOKUP(OFFSET($C$12,$I112,MATCH($T$11,$D$12:$G$12,0)),主线推图!$B$313:$B$612,主线推图!$P$313:$P$612)*OFFSET($C$1,MATCH(T$12,$C$2:$C$7,0),MATCH($T$11,$D$12:$G$12,0))</f>
        <v>#N/A</v>
      </c>
      <c r="U112" s="163" t="e">
        <f ca="1">_xlfn.XLOOKUP(OFFSET($C$12,$I112,MATCH($T$11,$D$12:$G$12,0)),巡逻产出!$B$311:$B$610,巡逻产出!$R$311:$R$610)*OFFSET($C$1,MATCH(U$12,$C$2:$C$7,0),MATCH($T$11,$D$12:$G$12,0))</f>
        <v>#N/A</v>
      </c>
      <c r="V112" s="163">
        <f ca="1">_xlfn.XLOOKUP(MAX(INT((OFFSET($C$12,$I112,MATCH($T$11,$D$12:$G$12,0))-6)/10),1),组队产出!$B$25:$B$39,组队产出!$P$25:$P$39)*OFFSET($C$1,MATCH(V$12,$C$2:$C$7,0),MATCH($T$11,$D$12:$G$12,0))</f>
        <v>2260.8</v>
      </c>
      <c r="W112" s="163">
        <f ca="1">竞技场!$G$3*OFFSET($C$1,MATCH(W$12,$C$2:$C$7,0),MATCH($T$11,$D$12:$G$12,0))</f>
        <v>2100</v>
      </c>
      <c r="X11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12" s="23">
        <f>任务!$G$6+任务!$G$9+IF(MOD(S112,7)=0,任务!$N$9+任务!$O$6,0)</f>
        <v>895</v>
      </c>
      <c r="Z112" s="25">
        <f>公会!$U$11</f>
        <v>2766.62857142857</v>
      </c>
      <c r="AA112" s="163" t="e">
        <f ca="1">_xlfn.XLOOKUP(OFFSET($C$12,$I112,MATCH($T$11,$D$12:$G$12,0)),巡逻产出!$B$311:$B$610,巡逻产出!$Q$311:$Q$610)*OFFSET($C$1,MATCH(AA$12,$C$2:$C$7,0),MATCH($T$11,$D$12:$G$12,0))</f>
        <v>#N/A</v>
      </c>
      <c r="AC112" s="160">
        <v>100</v>
      </c>
      <c r="AD112" s="163">
        <f ca="1">_xlfn.XLOOKUP(OFFSET($C$12,$I112,MATCH($AD$11,$D$12:$G$12,0)),主线推图!$B$313:$B$612,主线推图!$P$313:$P$612)*OFFSET($C$1,MATCH(AD$12,$C$2:$C$7,0),MATCH($AD$11,$D$12:$G$12,0))</f>
        <v>3326.4</v>
      </c>
      <c r="AE112" s="163">
        <f ca="1">_xlfn.XLOOKUP(OFFSET($C$12,$I112,MATCH($AD$11,$D$12:$G$12,0)),巡逻产出!$B$311:$B$610,巡逻产出!$R$311:$R$610)*OFFSET($C$1,MATCH(AE$12,$C$2:$C$7,0),MATCH($AD$11,$D$12:$G$12,0))</f>
        <v>0</v>
      </c>
      <c r="AF112" s="163" t="e">
        <f ca="1">_xlfn.XLOOKUP(MAX(INT((OFFSET($C$12,$I112,MATCH($AD$11,$D$12:$G$12,0))-6)/10),1),组队产出!$B$25:$B$39,组队产出!$P$25:$P$39)*OFFSET($C$1,MATCH(AF$12,$C$2:$C$7,0),MATCH($AD$11,$D$12:$G$12,0))</f>
        <v>#N/A</v>
      </c>
      <c r="AG112" s="163">
        <f ca="1">竞技场!$G$3*OFFSET($C$1,MATCH(AG$12,$C$2:$C$7,0),MATCH($AD$11,$D$12:$G$12,0))</f>
        <v>3150</v>
      </c>
      <c r="AH11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12" s="23">
        <f>任务!$G$6+任务!$G$9+IF(MOD(AC112,7)=0,任务!$N$9+任务!$O$6,0)</f>
        <v>895</v>
      </c>
      <c r="AJ112" s="25">
        <f>公会!$U$11</f>
        <v>2766.62857142857</v>
      </c>
      <c r="AK112" s="163">
        <f ca="1">_xlfn.XLOOKUP(OFFSET($C$12,$I112,MATCH($AD$11,$D$12:$G$12,0)),巡逻产出!$B$311:$B$610,巡逻产出!$Q$311:$Q$610)*OFFSET($C$1,MATCH(AK$12,$C$2:$C$7,0),MATCH($AD$11,$D$12:$G$12,0))</f>
        <v>2300.688</v>
      </c>
      <c r="AM112" s="164">
        <v>100</v>
      </c>
      <c r="AN112" s="165">
        <f t="shared" si="11"/>
        <v>12051</v>
      </c>
      <c r="AO112" s="165">
        <f t="shared" si="12"/>
        <v>15046</v>
      </c>
      <c r="AP112" s="165">
        <f t="shared" si="13"/>
        <v>23677</v>
      </c>
      <c r="AQ112" s="165">
        <f t="shared" si="14"/>
        <v>31034</v>
      </c>
    </row>
    <row r="113" spans="3:43">
      <c r="C113" s="160">
        <v>101</v>
      </c>
      <c r="D113" s="169">
        <v>144</v>
      </c>
      <c r="E113" s="170">
        <f t="shared" si="9"/>
        <v>100</v>
      </c>
      <c r="F113" s="169">
        <f t="shared" si="10"/>
        <v>112.2</v>
      </c>
      <c r="G113" s="163">
        <f>G112+0.5</f>
        <v>173.5</v>
      </c>
      <c r="I113" s="160">
        <v>101</v>
      </c>
      <c r="J113" s="163" t="e">
        <f ca="1">_xlfn.XLOOKUP(OFFSET($C$12,$I113,MATCH($J$11,$D$12:$G$12,0)),主线推图!$B$313:$B$612,主线推图!$P$313:$P$612)*OFFSET($C$1,MATCH(J$12,$C$2:$C$7,0),MATCH($J$11,$D$12:$G$12,0))</f>
        <v>#N/A</v>
      </c>
      <c r="K113" s="163" t="e">
        <f ca="1">_xlfn.XLOOKUP(OFFSET($C$12,$I113,MATCH($J$11,$D$12:$G$12,0)),巡逻产出!$B$311:$B$610,巡逻产出!$R$311:$R$610)*OFFSET($C$1,MATCH(K$12,$C$2:$C$7,0),MATCH($J$11,$D$12:$G$12,0))</f>
        <v>#N/A</v>
      </c>
      <c r="L113" s="163">
        <f ca="1">_xlfn.XLOOKUP(MAX(INT((OFFSET($C$12,$I113,MATCH($J$11,$D$12:$G$12,0))-6)/10),1),组队产出!$B$25:$B$39,组队产出!$P$25:$P$39)*OFFSET($C$1,MATCH(L$12,$C$2:$C$7,0),MATCH($J$11,$D$12:$G$12,0))</f>
        <v>1112.4</v>
      </c>
      <c r="M113" s="163">
        <f ca="1">竞技场!$G$3*OFFSET($C$1,MATCH(M$12,$C$2:$C$7,0),MATCH($J$11,$D$12:$G$12,0))</f>
        <v>1050</v>
      </c>
      <c r="N11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13" s="23">
        <f>任务!$G$6+任务!$G$9+IF(MOD(I113,7)=0,任务!$N$9+任务!$O$6,0)</f>
        <v>895</v>
      </c>
      <c r="P113" s="25">
        <f>公会!$U$11</f>
        <v>2766.62857142857</v>
      </c>
      <c r="Q113" s="163" t="e">
        <f ca="1">_xlfn.XLOOKUP(OFFSET($C$12,$I113,MATCH($J$11,$D$12:$G$12,0)),巡逻产出!$B$311:$B$610,巡逻产出!$Q$311:$Q$610)*OFFSET($C$1,MATCH(Q$12,$C$2:$C$7,0),MATCH($J$11,$D$12:$G$12,0))</f>
        <v>#N/A</v>
      </c>
      <c r="S113" s="160">
        <v>101</v>
      </c>
      <c r="T113" s="163" t="e">
        <f ca="1">_xlfn.XLOOKUP(OFFSET($C$12,$I113,MATCH($T$11,$D$12:$G$12,0)),主线推图!$B$313:$B$612,主线推图!$P$313:$P$612)*OFFSET($C$1,MATCH(T$12,$C$2:$C$7,0),MATCH($T$11,$D$12:$G$12,0))</f>
        <v>#N/A</v>
      </c>
      <c r="U113" s="163" t="e">
        <f ca="1">_xlfn.XLOOKUP(OFFSET($C$12,$I113,MATCH($T$11,$D$12:$G$12,0)),巡逻产出!$B$311:$B$610,巡逻产出!$R$311:$R$610)*OFFSET($C$1,MATCH(U$12,$C$2:$C$7,0),MATCH($T$11,$D$12:$G$12,0))</f>
        <v>#N/A</v>
      </c>
      <c r="V113" s="163">
        <f ca="1">_xlfn.XLOOKUP(MAX(INT((OFFSET($C$12,$I113,MATCH($T$11,$D$12:$G$12,0))-6)/10),1),组队产出!$B$25:$B$39,组队产出!$P$25:$P$39)*OFFSET($C$1,MATCH(V$12,$C$2:$C$7,0),MATCH($T$11,$D$12:$G$12,0))</f>
        <v>2260.8</v>
      </c>
      <c r="W113" s="163">
        <f ca="1">竞技场!$G$3*OFFSET($C$1,MATCH(W$12,$C$2:$C$7,0),MATCH($T$11,$D$12:$G$12,0))</f>
        <v>2100</v>
      </c>
      <c r="X11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13" s="23">
        <f>任务!$G$6+任务!$G$9+IF(MOD(S113,7)=0,任务!$N$9+任务!$O$6,0)</f>
        <v>895</v>
      </c>
      <c r="Z113" s="25">
        <f>公会!$U$11</f>
        <v>2766.62857142857</v>
      </c>
      <c r="AA113" s="163" t="e">
        <f ca="1">_xlfn.XLOOKUP(OFFSET($C$12,$I113,MATCH($T$11,$D$12:$G$12,0)),巡逻产出!$B$311:$B$610,巡逻产出!$Q$311:$Q$610)*OFFSET($C$1,MATCH(AA$12,$C$2:$C$7,0),MATCH($T$11,$D$12:$G$12,0))</f>
        <v>#N/A</v>
      </c>
      <c r="AC113" s="160">
        <v>101</v>
      </c>
      <c r="AD113" s="163" t="e">
        <f ca="1">_xlfn.XLOOKUP(OFFSET($C$12,$I113,MATCH($AD$11,$D$12:$G$12,0)),主线推图!$B$313:$B$612,主线推图!$P$313:$P$612)*OFFSET($C$1,MATCH(AD$12,$C$2:$C$7,0),MATCH($AD$11,$D$12:$G$12,0))</f>
        <v>#N/A</v>
      </c>
      <c r="AE113" s="163" t="e">
        <f ca="1">_xlfn.XLOOKUP(OFFSET($C$12,$I113,MATCH($AD$11,$D$12:$G$12,0)),巡逻产出!$B$311:$B$610,巡逻产出!$R$311:$R$610)*OFFSET($C$1,MATCH(AE$12,$C$2:$C$7,0),MATCH($AD$11,$D$12:$G$12,0))</f>
        <v>#N/A</v>
      </c>
      <c r="AF113" s="163" t="e">
        <f ca="1">_xlfn.XLOOKUP(MAX(INT((OFFSET($C$12,$I113,MATCH($AD$11,$D$12:$G$12,0))-6)/10),1),组队产出!$B$25:$B$39,组队产出!$P$25:$P$39)*OFFSET($C$1,MATCH(AF$12,$C$2:$C$7,0),MATCH($AD$11,$D$12:$G$12,0))</f>
        <v>#N/A</v>
      </c>
      <c r="AG113" s="163">
        <f ca="1">竞技场!$G$3*OFFSET($C$1,MATCH(AG$12,$C$2:$C$7,0),MATCH($AD$11,$D$12:$G$12,0))</f>
        <v>3150</v>
      </c>
      <c r="AH11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13" s="23">
        <f>任务!$G$6+任务!$G$9+IF(MOD(AC113,7)=0,任务!$N$9+任务!$O$6,0)</f>
        <v>895</v>
      </c>
      <c r="AJ113" s="25">
        <f>公会!$U$11</f>
        <v>2766.62857142857</v>
      </c>
      <c r="AK113" s="163" t="e">
        <f ca="1">_xlfn.XLOOKUP(OFFSET($C$12,$I113,MATCH($AD$11,$D$12:$G$12,0)),巡逻产出!$B$311:$B$610,巡逻产出!$Q$311:$Q$610)*OFFSET($C$1,MATCH(AK$12,$C$2:$C$7,0),MATCH($AD$11,$D$12:$G$12,0))</f>
        <v>#N/A</v>
      </c>
      <c r="AM113" s="164">
        <v>101</v>
      </c>
      <c r="AN113" s="165">
        <f t="shared" si="11"/>
        <v>12165</v>
      </c>
      <c r="AO113" s="165">
        <f t="shared" si="12"/>
        <v>15189</v>
      </c>
      <c r="AP113" s="165">
        <f t="shared" si="13"/>
        <v>23906</v>
      </c>
      <c r="AQ113" s="165">
        <f t="shared" si="14"/>
        <v>31336</v>
      </c>
    </row>
    <row r="114" spans="3:43">
      <c r="C114" s="160">
        <v>102</v>
      </c>
      <c r="D114" s="169">
        <v>144</v>
      </c>
      <c r="E114" s="170">
        <f t="shared" si="9"/>
        <v>100.25</v>
      </c>
      <c r="F114" s="169">
        <f t="shared" si="10"/>
        <v>112.55</v>
      </c>
      <c r="G114" s="163">
        <f t="shared" ref="G114:G145" si="16">G113+0.5</f>
        <v>174</v>
      </c>
      <c r="I114" s="160">
        <v>102</v>
      </c>
      <c r="J114" s="163" t="e">
        <f ca="1">_xlfn.XLOOKUP(OFFSET($C$12,$I114,MATCH($J$11,$D$12:$G$12,0)),主线推图!$B$313:$B$612,主线推图!$P$313:$P$612)*OFFSET($C$1,MATCH(J$12,$C$2:$C$7,0),MATCH($J$11,$D$12:$G$12,0))</f>
        <v>#N/A</v>
      </c>
      <c r="K114" s="163" t="e">
        <f ca="1">_xlfn.XLOOKUP(OFFSET($C$12,$I114,MATCH($J$11,$D$12:$G$12,0)),巡逻产出!$B$311:$B$610,巡逻产出!$R$311:$R$610)*OFFSET($C$1,MATCH(K$12,$C$2:$C$7,0),MATCH($J$11,$D$12:$G$12,0))</f>
        <v>#N/A</v>
      </c>
      <c r="L114" s="163">
        <f ca="1">_xlfn.XLOOKUP(MAX(INT((OFFSET($C$12,$I114,MATCH($J$11,$D$12:$G$12,0))-6)/10),1),组队产出!$B$25:$B$39,组队产出!$P$25:$P$39)*OFFSET($C$1,MATCH(L$12,$C$2:$C$7,0),MATCH($J$11,$D$12:$G$12,0))</f>
        <v>1112.4</v>
      </c>
      <c r="M114" s="163">
        <f ca="1">竞技场!$G$3*OFFSET($C$1,MATCH(M$12,$C$2:$C$7,0),MATCH($J$11,$D$12:$G$12,0))</f>
        <v>1050</v>
      </c>
      <c r="N11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14" s="23">
        <f>任务!$G$6+任务!$G$9+IF(MOD(I114,7)=0,任务!$N$9+任务!$O$6,0)</f>
        <v>895</v>
      </c>
      <c r="P114" s="25">
        <f>公会!$U$11</f>
        <v>2766.62857142857</v>
      </c>
      <c r="Q114" s="163" t="e">
        <f ca="1">_xlfn.XLOOKUP(OFFSET($C$12,$I114,MATCH($J$11,$D$12:$G$12,0)),巡逻产出!$B$311:$B$610,巡逻产出!$Q$311:$Q$610)*OFFSET($C$1,MATCH(Q$12,$C$2:$C$7,0),MATCH($J$11,$D$12:$G$12,0))</f>
        <v>#N/A</v>
      </c>
      <c r="S114" s="160">
        <v>102</v>
      </c>
      <c r="T114" s="163" t="e">
        <f ca="1">_xlfn.XLOOKUP(OFFSET($C$12,$I114,MATCH($T$11,$D$12:$G$12,0)),主线推图!$B$313:$B$612,主线推图!$P$313:$P$612)*OFFSET($C$1,MATCH(T$12,$C$2:$C$7,0),MATCH($T$11,$D$12:$G$12,0))</f>
        <v>#N/A</v>
      </c>
      <c r="U114" s="163" t="e">
        <f ca="1">_xlfn.XLOOKUP(OFFSET($C$12,$I114,MATCH($T$11,$D$12:$G$12,0)),巡逻产出!$B$311:$B$610,巡逻产出!$R$311:$R$610)*OFFSET($C$1,MATCH(U$12,$C$2:$C$7,0),MATCH($T$11,$D$12:$G$12,0))</f>
        <v>#N/A</v>
      </c>
      <c r="V114" s="163">
        <f ca="1">_xlfn.XLOOKUP(MAX(INT((OFFSET($C$12,$I114,MATCH($T$11,$D$12:$G$12,0))-6)/10),1),组队产出!$B$25:$B$39,组队产出!$P$25:$P$39)*OFFSET($C$1,MATCH(V$12,$C$2:$C$7,0),MATCH($T$11,$D$12:$G$12,0))</f>
        <v>2260.8</v>
      </c>
      <c r="W114" s="163">
        <f ca="1">竞技场!$G$3*OFFSET($C$1,MATCH(W$12,$C$2:$C$7,0),MATCH($T$11,$D$12:$G$12,0))</f>
        <v>2100</v>
      </c>
      <c r="X11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14" s="23">
        <f>任务!$G$6+任务!$G$9+IF(MOD(S114,7)=0,任务!$N$9+任务!$O$6,0)</f>
        <v>895</v>
      </c>
      <c r="Z114" s="25">
        <f>公会!$U$11</f>
        <v>2766.62857142857</v>
      </c>
      <c r="AA114" s="163" t="e">
        <f ca="1">_xlfn.XLOOKUP(OFFSET($C$12,$I114,MATCH($T$11,$D$12:$G$12,0)),巡逻产出!$B$311:$B$610,巡逻产出!$Q$311:$Q$610)*OFFSET($C$1,MATCH(AA$12,$C$2:$C$7,0),MATCH($T$11,$D$12:$G$12,0))</f>
        <v>#N/A</v>
      </c>
      <c r="AC114" s="160">
        <v>102</v>
      </c>
      <c r="AD114" s="163">
        <f ca="1">_xlfn.XLOOKUP(OFFSET($C$12,$I114,MATCH($AD$11,$D$12:$G$12,0)),主线推图!$B$313:$B$612,主线推图!$P$313:$P$612)*OFFSET($C$1,MATCH(AD$12,$C$2:$C$7,0),MATCH($AD$11,$D$12:$G$12,0))</f>
        <v>3328.6</v>
      </c>
      <c r="AE114" s="163">
        <f ca="1">_xlfn.XLOOKUP(OFFSET($C$12,$I114,MATCH($AD$11,$D$12:$G$12,0)),巡逻产出!$B$311:$B$610,巡逻产出!$R$311:$R$610)*OFFSET($C$1,MATCH(AE$12,$C$2:$C$7,0),MATCH($AD$11,$D$12:$G$12,0))</f>
        <v>0</v>
      </c>
      <c r="AF114" s="163" t="e">
        <f ca="1">_xlfn.XLOOKUP(MAX(INT((OFFSET($C$12,$I114,MATCH($AD$11,$D$12:$G$12,0))-6)/10),1),组队产出!$B$25:$B$39,组队产出!$P$25:$P$39)*OFFSET($C$1,MATCH(AF$12,$C$2:$C$7,0),MATCH($AD$11,$D$12:$G$12,0))</f>
        <v>#N/A</v>
      </c>
      <c r="AG114" s="163">
        <f ca="1">竞技场!$G$3*OFFSET($C$1,MATCH(AG$12,$C$2:$C$7,0),MATCH($AD$11,$D$12:$G$12,0))</f>
        <v>3150</v>
      </c>
      <c r="AH11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14" s="23">
        <f>任务!$G$6+任务!$G$9+IF(MOD(AC114,7)=0,任务!$N$9+任务!$O$6,0)</f>
        <v>895</v>
      </c>
      <c r="AJ114" s="25">
        <f>公会!$U$11</f>
        <v>2766.62857142857</v>
      </c>
      <c r="AK114" s="163">
        <f ca="1">_xlfn.XLOOKUP(OFFSET($C$12,$I114,MATCH($AD$11,$D$12:$G$12,0)),巡逻产出!$B$311:$B$610,巡逻产出!$Q$311:$Q$610)*OFFSET($C$1,MATCH(AK$12,$C$2:$C$7,0),MATCH($AD$11,$D$12:$G$12,0))</f>
        <v>2302.248</v>
      </c>
      <c r="AM114" s="164">
        <v>102</v>
      </c>
      <c r="AN114" s="165">
        <f t="shared" si="11"/>
        <v>12278</v>
      </c>
      <c r="AO114" s="165">
        <f t="shared" si="12"/>
        <v>15332</v>
      </c>
      <c r="AP114" s="165">
        <f t="shared" si="13"/>
        <v>24134</v>
      </c>
      <c r="AQ114" s="165">
        <f t="shared" si="14"/>
        <v>31638</v>
      </c>
    </row>
    <row r="115" spans="3:43">
      <c r="C115" s="160">
        <v>103</v>
      </c>
      <c r="D115" s="169">
        <v>144</v>
      </c>
      <c r="E115" s="170">
        <f t="shared" si="9"/>
        <v>100.5</v>
      </c>
      <c r="F115" s="169">
        <f t="shared" si="10"/>
        <v>112.9</v>
      </c>
      <c r="G115" s="163">
        <f t="shared" si="16"/>
        <v>174.5</v>
      </c>
      <c r="I115" s="160">
        <v>103</v>
      </c>
      <c r="J115" s="163" t="e">
        <f ca="1">_xlfn.XLOOKUP(OFFSET($C$12,$I115,MATCH($J$11,$D$12:$G$12,0)),主线推图!$B$313:$B$612,主线推图!$P$313:$P$612)*OFFSET($C$1,MATCH(J$12,$C$2:$C$7,0),MATCH($J$11,$D$12:$G$12,0))</f>
        <v>#N/A</v>
      </c>
      <c r="K115" s="163" t="e">
        <f ca="1">_xlfn.XLOOKUP(OFFSET($C$12,$I115,MATCH($J$11,$D$12:$G$12,0)),巡逻产出!$B$311:$B$610,巡逻产出!$R$311:$R$610)*OFFSET($C$1,MATCH(K$12,$C$2:$C$7,0),MATCH($J$11,$D$12:$G$12,0))</f>
        <v>#N/A</v>
      </c>
      <c r="L115" s="163">
        <f ca="1">_xlfn.XLOOKUP(MAX(INT((OFFSET($C$12,$I115,MATCH($J$11,$D$12:$G$12,0))-6)/10),1),组队产出!$B$25:$B$39,组队产出!$P$25:$P$39)*OFFSET($C$1,MATCH(L$12,$C$2:$C$7,0),MATCH($J$11,$D$12:$G$12,0))</f>
        <v>1118.4</v>
      </c>
      <c r="M115" s="163">
        <f ca="1">竞技场!$G$3*OFFSET($C$1,MATCH(M$12,$C$2:$C$7,0),MATCH($J$11,$D$12:$G$12,0))</f>
        <v>1050</v>
      </c>
      <c r="N11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15" s="23">
        <f>任务!$G$6+任务!$G$9+IF(MOD(I115,7)=0,任务!$N$9+任务!$O$6,0)</f>
        <v>895</v>
      </c>
      <c r="P115" s="25">
        <f>公会!$U$11</f>
        <v>2766.62857142857</v>
      </c>
      <c r="Q115" s="163" t="e">
        <f ca="1">_xlfn.XLOOKUP(OFFSET($C$12,$I115,MATCH($J$11,$D$12:$G$12,0)),巡逻产出!$B$311:$B$610,巡逻产出!$Q$311:$Q$610)*OFFSET($C$1,MATCH(Q$12,$C$2:$C$7,0),MATCH($J$11,$D$12:$G$12,0))</f>
        <v>#N/A</v>
      </c>
      <c r="S115" s="160">
        <v>103</v>
      </c>
      <c r="T115" s="163" t="e">
        <f ca="1">_xlfn.XLOOKUP(OFFSET($C$12,$I115,MATCH($T$11,$D$12:$G$12,0)),主线推图!$B$313:$B$612,主线推图!$P$313:$P$612)*OFFSET($C$1,MATCH(T$12,$C$2:$C$7,0),MATCH($T$11,$D$12:$G$12,0))</f>
        <v>#N/A</v>
      </c>
      <c r="U115" s="163" t="e">
        <f ca="1">_xlfn.XLOOKUP(OFFSET($C$12,$I115,MATCH($T$11,$D$12:$G$12,0)),巡逻产出!$B$311:$B$610,巡逻产出!$R$311:$R$610)*OFFSET($C$1,MATCH(U$12,$C$2:$C$7,0),MATCH($T$11,$D$12:$G$12,0))</f>
        <v>#N/A</v>
      </c>
      <c r="V115" s="163">
        <f ca="1">_xlfn.XLOOKUP(MAX(INT((OFFSET($C$12,$I115,MATCH($T$11,$D$12:$G$12,0))-6)/10),1),组队产出!$B$25:$B$39,组队产出!$P$25:$P$39)*OFFSET($C$1,MATCH(V$12,$C$2:$C$7,0),MATCH($T$11,$D$12:$G$12,0))</f>
        <v>2260.8</v>
      </c>
      <c r="W115" s="163">
        <f ca="1">竞技场!$G$3*OFFSET($C$1,MATCH(W$12,$C$2:$C$7,0),MATCH($T$11,$D$12:$G$12,0))</f>
        <v>2100</v>
      </c>
      <c r="X11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15" s="23">
        <f>任务!$G$6+任务!$G$9+IF(MOD(S115,7)=0,任务!$N$9+任务!$O$6,0)</f>
        <v>895</v>
      </c>
      <c r="Z115" s="25">
        <f>公会!$U$11</f>
        <v>2766.62857142857</v>
      </c>
      <c r="AA115" s="163" t="e">
        <f ca="1">_xlfn.XLOOKUP(OFFSET($C$12,$I115,MATCH($T$11,$D$12:$G$12,0)),巡逻产出!$B$311:$B$610,巡逻产出!$Q$311:$Q$610)*OFFSET($C$1,MATCH(AA$12,$C$2:$C$7,0),MATCH($T$11,$D$12:$G$12,0))</f>
        <v>#N/A</v>
      </c>
      <c r="AC115" s="160">
        <v>103</v>
      </c>
      <c r="AD115" s="163" t="e">
        <f ca="1">_xlfn.XLOOKUP(OFFSET($C$12,$I115,MATCH($AD$11,$D$12:$G$12,0)),主线推图!$B$313:$B$612,主线推图!$P$313:$P$612)*OFFSET($C$1,MATCH(AD$12,$C$2:$C$7,0),MATCH($AD$11,$D$12:$G$12,0))</f>
        <v>#N/A</v>
      </c>
      <c r="AE115" s="163" t="e">
        <f ca="1">_xlfn.XLOOKUP(OFFSET($C$12,$I115,MATCH($AD$11,$D$12:$G$12,0)),巡逻产出!$B$311:$B$610,巡逻产出!$R$311:$R$610)*OFFSET($C$1,MATCH(AE$12,$C$2:$C$7,0),MATCH($AD$11,$D$12:$G$12,0))</f>
        <v>#N/A</v>
      </c>
      <c r="AF115" s="163" t="e">
        <f ca="1">_xlfn.XLOOKUP(MAX(INT((OFFSET($C$12,$I115,MATCH($AD$11,$D$12:$G$12,0))-6)/10),1),组队产出!$B$25:$B$39,组队产出!$P$25:$P$39)*OFFSET($C$1,MATCH(AF$12,$C$2:$C$7,0),MATCH($AD$11,$D$12:$G$12,0))</f>
        <v>#N/A</v>
      </c>
      <c r="AG115" s="163">
        <f ca="1">竞技场!$G$3*OFFSET($C$1,MATCH(AG$12,$C$2:$C$7,0),MATCH($AD$11,$D$12:$G$12,0))</f>
        <v>3150</v>
      </c>
      <c r="AH11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15" s="23">
        <f>任务!$G$6+任务!$G$9+IF(MOD(AC115,7)=0,任务!$N$9+任务!$O$6,0)</f>
        <v>895</v>
      </c>
      <c r="AJ115" s="25">
        <f>公会!$U$11</f>
        <v>2766.62857142857</v>
      </c>
      <c r="AK115" s="163" t="e">
        <f ca="1">_xlfn.XLOOKUP(OFFSET($C$12,$I115,MATCH($AD$11,$D$12:$G$12,0)),巡逻产出!$B$311:$B$610,巡逻产出!$Q$311:$Q$610)*OFFSET($C$1,MATCH(AK$12,$C$2:$C$7,0),MATCH($AD$11,$D$12:$G$12,0))</f>
        <v>#N/A</v>
      </c>
      <c r="AM115" s="164">
        <v>103</v>
      </c>
      <c r="AN115" s="165">
        <f t="shared" si="11"/>
        <v>12392</v>
      </c>
      <c r="AO115" s="165">
        <f t="shared" si="12"/>
        <v>15475</v>
      </c>
      <c r="AP115" s="165">
        <f t="shared" si="13"/>
        <v>24363</v>
      </c>
      <c r="AQ115" s="165">
        <f t="shared" si="14"/>
        <v>31940</v>
      </c>
    </row>
    <row r="116" spans="3:43">
      <c r="C116" s="160">
        <v>104</v>
      </c>
      <c r="D116" s="169">
        <v>145</v>
      </c>
      <c r="E116" s="170">
        <f t="shared" si="9"/>
        <v>100.75</v>
      </c>
      <c r="F116" s="169">
        <f t="shared" si="10"/>
        <v>113.25</v>
      </c>
      <c r="G116" s="163">
        <f t="shared" si="16"/>
        <v>175</v>
      </c>
      <c r="I116" s="160">
        <v>104</v>
      </c>
      <c r="J116" s="163" t="e">
        <f ca="1">_xlfn.XLOOKUP(OFFSET($C$12,$I116,MATCH($J$11,$D$12:$G$12,0)),主线推图!$B$313:$B$612,主线推图!$P$313:$P$612)*OFFSET($C$1,MATCH(J$12,$C$2:$C$7,0),MATCH($J$11,$D$12:$G$12,0))</f>
        <v>#N/A</v>
      </c>
      <c r="K116" s="163" t="e">
        <f ca="1">_xlfn.XLOOKUP(OFFSET($C$12,$I116,MATCH($J$11,$D$12:$G$12,0)),巡逻产出!$B$311:$B$610,巡逻产出!$R$311:$R$610)*OFFSET($C$1,MATCH(K$12,$C$2:$C$7,0),MATCH($J$11,$D$12:$G$12,0))</f>
        <v>#N/A</v>
      </c>
      <c r="L116" s="163">
        <f ca="1">_xlfn.XLOOKUP(MAX(INT((OFFSET($C$12,$I116,MATCH($J$11,$D$12:$G$12,0))-6)/10),1),组队产出!$B$25:$B$39,组队产出!$P$25:$P$39)*OFFSET($C$1,MATCH(L$12,$C$2:$C$7,0),MATCH($J$11,$D$12:$G$12,0))</f>
        <v>1118.4</v>
      </c>
      <c r="M116" s="163">
        <f ca="1">竞技场!$G$3*OFFSET($C$1,MATCH(M$12,$C$2:$C$7,0),MATCH($J$11,$D$12:$G$12,0))</f>
        <v>1050</v>
      </c>
      <c r="N11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16" s="23">
        <f>任务!$G$6+任务!$G$9+IF(MOD(I116,7)=0,任务!$N$9+任务!$O$6,0)</f>
        <v>895</v>
      </c>
      <c r="P116" s="25">
        <f>公会!$U$11</f>
        <v>2766.62857142857</v>
      </c>
      <c r="Q116" s="163" t="e">
        <f ca="1">_xlfn.XLOOKUP(OFFSET($C$12,$I116,MATCH($J$11,$D$12:$G$12,0)),巡逻产出!$B$311:$B$610,巡逻产出!$Q$311:$Q$610)*OFFSET($C$1,MATCH(Q$12,$C$2:$C$7,0),MATCH($J$11,$D$12:$G$12,0))</f>
        <v>#N/A</v>
      </c>
      <c r="S116" s="160">
        <v>104</v>
      </c>
      <c r="T116" s="163" t="e">
        <f ca="1">_xlfn.XLOOKUP(OFFSET($C$12,$I116,MATCH($T$11,$D$12:$G$12,0)),主线推图!$B$313:$B$612,主线推图!$P$313:$P$612)*OFFSET($C$1,MATCH(T$12,$C$2:$C$7,0),MATCH($T$11,$D$12:$G$12,0))</f>
        <v>#N/A</v>
      </c>
      <c r="U116" s="163" t="e">
        <f ca="1">_xlfn.XLOOKUP(OFFSET($C$12,$I116,MATCH($T$11,$D$12:$G$12,0)),巡逻产出!$B$311:$B$610,巡逻产出!$R$311:$R$610)*OFFSET($C$1,MATCH(U$12,$C$2:$C$7,0),MATCH($T$11,$D$12:$G$12,0))</f>
        <v>#N/A</v>
      </c>
      <c r="V116" s="163">
        <f ca="1">_xlfn.XLOOKUP(MAX(INT((OFFSET($C$12,$I116,MATCH($T$11,$D$12:$G$12,0))-6)/10),1),组队产出!$B$25:$B$39,组队产出!$P$25:$P$39)*OFFSET($C$1,MATCH(V$12,$C$2:$C$7,0),MATCH($T$11,$D$12:$G$12,0))</f>
        <v>2260.8</v>
      </c>
      <c r="W116" s="163">
        <f ca="1">竞技场!$G$3*OFFSET($C$1,MATCH(W$12,$C$2:$C$7,0),MATCH($T$11,$D$12:$G$12,0))</f>
        <v>2100</v>
      </c>
      <c r="X11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16" s="23">
        <f>任务!$G$6+任务!$G$9+IF(MOD(S116,7)=0,任务!$N$9+任务!$O$6,0)</f>
        <v>895</v>
      </c>
      <c r="Z116" s="25">
        <f>公会!$U$11</f>
        <v>2766.62857142857</v>
      </c>
      <c r="AA116" s="163" t="e">
        <f ca="1">_xlfn.XLOOKUP(OFFSET($C$12,$I116,MATCH($T$11,$D$12:$G$12,0)),巡逻产出!$B$311:$B$610,巡逻产出!$Q$311:$Q$610)*OFFSET($C$1,MATCH(AA$12,$C$2:$C$7,0),MATCH($T$11,$D$12:$G$12,0))</f>
        <v>#N/A</v>
      </c>
      <c r="AC116" s="160">
        <v>104</v>
      </c>
      <c r="AD116" s="163">
        <f ca="1">_xlfn.XLOOKUP(OFFSET($C$12,$I116,MATCH($AD$11,$D$12:$G$12,0)),主线推图!$B$313:$B$612,主线推图!$P$313:$P$612)*OFFSET($C$1,MATCH(AD$12,$C$2:$C$7,0),MATCH($AD$11,$D$12:$G$12,0))</f>
        <v>3330.8</v>
      </c>
      <c r="AE116" s="163">
        <f ca="1">_xlfn.XLOOKUP(OFFSET($C$12,$I116,MATCH($AD$11,$D$12:$G$12,0)),巡逻产出!$B$311:$B$610,巡逻产出!$R$311:$R$610)*OFFSET($C$1,MATCH(AE$12,$C$2:$C$7,0),MATCH($AD$11,$D$12:$G$12,0))</f>
        <v>0</v>
      </c>
      <c r="AF116" s="163" t="e">
        <f ca="1">_xlfn.XLOOKUP(MAX(INT((OFFSET($C$12,$I116,MATCH($AD$11,$D$12:$G$12,0))-6)/10),1),组队产出!$B$25:$B$39,组队产出!$P$25:$P$39)*OFFSET($C$1,MATCH(AF$12,$C$2:$C$7,0),MATCH($AD$11,$D$12:$G$12,0))</f>
        <v>#N/A</v>
      </c>
      <c r="AG116" s="163">
        <f ca="1">竞技场!$G$3*OFFSET($C$1,MATCH(AG$12,$C$2:$C$7,0),MATCH($AD$11,$D$12:$G$12,0))</f>
        <v>3150</v>
      </c>
      <c r="AH11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16" s="23">
        <f>任务!$G$6+任务!$G$9+IF(MOD(AC116,7)=0,任务!$N$9+任务!$O$6,0)</f>
        <v>895</v>
      </c>
      <c r="AJ116" s="25">
        <f>公会!$U$11</f>
        <v>2766.62857142857</v>
      </c>
      <c r="AK116" s="163">
        <f ca="1">_xlfn.XLOOKUP(OFFSET($C$12,$I116,MATCH($AD$11,$D$12:$G$12,0)),巡逻产出!$B$311:$B$610,巡逻产出!$Q$311:$Q$610)*OFFSET($C$1,MATCH(AK$12,$C$2:$C$7,0),MATCH($AD$11,$D$12:$G$12,0))</f>
        <v>2303.808</v>
      </c>
      <c r="AM116" s="164">
        <v>104</v>
      </c>
      <c r="AN116" s="165">
        <f t="shared" si="11"/>
        <v>12505</v>
      </c>
      <c r="AO116" s="165">
        <f t="shared" si="12"/>
        <v>15618</v>
      </c>
      <c r="AP116" s="165">
        <f t="shared" si="13"/>
        <v>24591</v>
      </c>
      <c r="AQ116" s="165">
        <f t="shared" si="14"/>
        <v>32242</v>
      </c>
    </row>
    <row r="117" spans="3:43">
      <c r="C117" s="160">
        <v>105</v>
      </c>
      <c r="D117" s="169">
        <v>145</v>
      </c>
      <c r="E117" s="170">
        <f t="shared" si="9"/>
        <v>101</v>
      </c>
      <c r="F117" s="169">
        <f t="shared" si="10"/>
        <v>113.6</v>
      </c>
      <c r="G117" s="163">
        <f t="shared" si="16"/>
        <v>175.5</v>
      </c>
      <c r="I117" s="160">
        <v>105</v>
      </c>
      <c r="J117" s="163" t="e">
        <f ca="1">_xlfn.XLOOKUP(OFFSET($C$12,$I117,MATCH($J$11,$D$12:$G$12,0)),主线推图!$B$313:$B$612,主线推图!$P$313:$P$612)*OFFSET($C$1,MATCH(J$12,$C$2:$C$7,0),MATCH($J$11,$D$12:$G$12,0))</f>
        <v>#N/A</v>
      </c>
      <c r="K117" s="163" t="e">
        <f ca="1">_xlfn.XLOOKUP(OFFSET($C$12,$I117,MATCH($J$11,$D$12:$G$12,0)),巡逻产出!$B$311:$B$610,巡逻产出!$R$311:$R$610)*OFFSET($C$1,MATCH(K$12,$C$2:$C$7,0),MATCH($J$11,$D$12:$G$12,0))</f>
        <v>#N/A</v>
      </c>
      <c r="L117" s="163">
        <f ca="1">_xlfn.XLOOKUP(MAX(INT((OFFSET($C$12,$I117,MATCH($J$11,$D$12:$G$12,0))-6)/10),1),组队产出!$B$25:$B$39,组队产出!$P$25:$P$39)*OFFSET($C$1,MATCH(L$12,$C$2:$C$7,0),MATCH($J$11,$D$12:$G$12,0))</f>
        <v>1118.4</v>
      </c>
      <c r="M117" s="163">
        <f ca="1">竞技场!$G$3*OFFSET($C$1,MATCH(M$12,$C$2:$C$7,0),MATCH($J$11,$D$12:$G$12,0))</f>
        <v>1050</v>
      </c>
      <c r="N11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17" s="23">
        <f>任务!$G$6+任务!$G$9+IF(MOD(I117,7)=0,任务!$N$9+任务!$O$6,0)</f>
        <v>3125</v>
      </c>
      <c r="P117" s="25">
        <f>公会!$U$11</f>
        <v>2766.62857142857</v>
      </c>
      <c r="Q117" s="163" t="e">
        <f ca="1">_xlfn.XLOOKUP(OFFSET($C$12,$I117,MATCH($J$11,$D$12:$G$12,0)),巡逻产出!$B$311:$B$610,巡逻产出!$Q$311:$Q$610)*OFFSET($C$1,MATCH(Q$12,$C$2:$C$7,0),MATCH($J$11,$D$12:$G$12,0))</f>
        <v>#N/A</v>
      </c>
      <c r="S117" s="160">
        <v>105</v>
      </c>
      <c r="T117" s="163" t="e">
        <f ca="1">_xlfn.XLOOKUP(OFFSET($C$12,$I117,MATCH($T$11,$D$12:$G$12,0)),主线推图!$B$313:$B$612,主线推图!$P$313:$P$612)*OFFSET($C$1,MATCH(T$12,$C$2:$C$7,0),MATCH($T$11,$D$12:$G$12,0))</f>
        <v>#N/A</v>
      </c>
      <c r="U117" s="163" t="e">
        <f ca="1">_xlfn.XLOOKUP(OFFSET($C$12,$I117,MATCH($T$11,$D$12:$G$12,0)),巡逻产出!$B$311:$B$610,巡逻产出!$R$311:$R$610)*OFFSET($C$1,MATCH(U$12,$C$2:$C$7,0),MATCH($T$11,$D$12:$G$12,0))</f>
        <v>#N/A</v>
      </c>
      <c r="V117" s="163">
        <f ca="1">_xlfn.XLOOKUP(MAX(INT((OFFSET($C$12,$I117,MATCH($T$11,$D$12:$G$12,0))-6)/10),1),组队产出!$B$25:$B$39,组队产出!$P$25:$P$39)*OFFSET($C$1,MATCH(V$12,$C$2:$C$7,0),MATCH($T$11,$D$12:$G$12,0))</f>
        <v>2260.8</v>
      </c>
      <c r="W117" s="163">
        <f ca="1">竞技场!$G$3*OFFSET($C$1,MATCH(W$12,$C$2:$C$7,0),MATCH($T$11,$D$12:$G$12,0))</f>
        <v>2100</v>
      </c>
      <c r="X11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17" s="23">
        <f>任务!$G$6+任务!$G$9+IF(MOD(S117,7)=0,任务!$N$9+任务!$O$6,0)</f>
        <v>3125</v>
      </c>
      <c r="Z117" s="25">
        <f>公会!$U$11</f>
        <v>2766.62857142857</v>
      </c>
      <c r="AA117" s="163" t="e">
        <f ca="1">_xlfn.XLOOKUP(OFFSET($C$12,$I117,MATCH($T$11,$D$12:$G$12,0)),巡逻产出!$B$311:$B$610,巡逻产出!$Q$311:$Q$610)*OFFSET($C$1,MATCH(AA$12,$C$2:$C$7,0),MATCH($T$11,$D$12:$G$12,0))</f>
        <v>#N/A</v>
      </c>
      <c r="AC117" s="160">
        <v>105</v>
      </c>
      <c r="AD117" s="163" t="e">
        <f ca="1">_xlfn.XLOOKUP(OFFSET($C$12,$I117,MATCH($AD$11,$D$12:$G$12,0)),主线推图!$B$313:$B$612,主线推图!$P$313:$P$612)*OFFSET($C$1,MATCH(AD$12,$C$2:$C$7,0),MATCH($AD$11,$D$12:$G$12,0))</f>
        <v>#N/A</v>
      </c>
      <c r="AE117" s="163" t="e">
        <f ca="1">_xlfn.XLOOKUP(OFFSET($C$12,$I117,MATCH($AD$11,$D$12:$G$12,0)),巡逻产出!$B$311:$B$610,巡逻产出!$R$311:$R$610)*OFFSET($C$1,MATCH(AE$12,$C$2:$C$7,0),MATCH($AD$11,$D$12:$G$12,0))</f>
        <v>#N/A</v>
      </c>
      <c r="AF117" s="163" t="e">
        <f ca="1">_xlfn.XLOOKUP(MAX(INT((OFFSET($C$12,$I117,MATCH($AD$11,$D$12:$G$12,0))-6)/10),1),组队产出!$B$25:$B$39,组队产出!$P$25:$P$39)*OFFSET($C$1,MATCH(AF$12,$C$2:$C$7,0),MATCH($AD$11,$D$12:$G$12,0))</f>
        <v>#N/A</v>
      </c>
      <c r="AG117" s="163">
        <f ca="1">竞技场!$G$3*OFFSET($C$1,MATCH(AG$12,$C$2:$C$7,0),MATCH($AD$11,$D$12:$G$12,0))</f>
        <v>3150</v>
      </c>
      <c r="AH11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17" s="23">
        <f>任务!$G$6+任务!$G$9+IF(MOD(AC117,7)=0,任务!$N$9+任务!$O$6,0)</f>
        <v>3125</v>
      </c>
      <c r="AJ117" s="25">
        <f>公会!$U$11</f>
        <v>2766.62857142857</v>
      </c>
      <c r="AK117" s="163" t="e">
        <f ca="1">_xlfn.XLOOKUP(OFFSET($C$12,$I117,MATCH($AD$11,$D$12:$G$12,0)),巡逻产出!$B$311:$B$610,巡逻产出!$Q$311:$Q$610)*OFFSET($C$1,MATCH(AK$12,$C$2:$C$7,0),MATCH($AD$11,$D$12:$G$12,0))</f>
        <v>#N/A</v>
      </c>
      <c r="AM117" s="164">
        <v>105</v>
      </c>
      <c r="AN117" s="165">
        <f t="shared" si="11"/>
        <v>12619</v>
      </c>
      <c r="AO117" s="165">
        <f t="shared" si="12"/>
        <v>15761</v>
      </c>
      <c r="AP117" s="165">
        <f t="shared" si="13"/>
        <v>24820</v>
      </c>
      <c r="AQ117" s="165">
        <f t="shared" si="14"/>
        <v>32544</v>
      </c>
    </row>
    <row r="118" spans="3:43">
      <c r="C118" s="160">
        <v>106</v>
      </c>
      <c r="D118" s="169">
        <v>145</v>
      </c>
      <c r="E118" s="170">
        <f t="shared" si="9"/>
        <v>101.25</v>
      </c>
      <c r="F118" s="169">
        <f t="shared" si="10"/>
        <v>113.95</v>
      </c>
      <c r="G118" s="163">
        <f t="shared" si="16"/>
        <v>176</v>
      </c>
      <c r="I118" s="160">
        <v>106</v>
      </c>
      <c r="J118" s="163" t="e">
        <f ca="1">_xlfn.XLOOKUP(OFFSET($C$12,$I118,MATCH($J$11,$D$12:$G$12,0)),主线推图!$B$313:$B$612,主线推图!$P$313:$P$612)*OFFSET($C$1,MATCH(J$12,$C$2:$C$7,0),MATCH($J$11,$D$12:$G$12,0))</f>
        <v>#N/A</v>
      </c>
      <c r="K118" s="163" t="e">
        <f ca="1">_xlfn.XLOOKUP(OFFSET($C$12,$I118,MATCH($J$11,$D$12:$G$12,0)),巡逻产出!$B$311:$B$610,巡逻产出!$R$311:$R$610)*OFFSET($C$1,MATCH(K$12,$C$2:$C$7,0),MATCH($J$11,$D$12:$G$12,0))</f>
        <v>#N/A</v>
      </c>
      <c r="L118" s="163">
        <f ca="1">_xlfn.XLOOKUP(MAX(INT((OFFSET($C$12,$I118,MATCH($J$11,$D$12:$G$12,0))-6)/10),1),组队产出!$B$25:$B$39,组队产出!$P$25:$P$39)*OFFSET($C$1,MATCH(L$12,$C$2:$C$7,0),MATCH($J$11,$D$12:$G$12,0))</f>
        <v>1118.4</v>
      </c>
      <c r="M118" s="163">
        <f ca="1">竞技场!$G$3*OFFSET($C$1,MATCH(M$12,$C$2:$C$7,0),MATCH($J$11,$D$12:$G$12,0))</f>
        <v>1050</v>
      </c>
      <c r="N11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18" s="23">
        <f>任务!$G$6+任务!$G$9+IF(MOD(I118,7)=0,任务!$N$9+任务!$O$6,0)</f>
        <v>895</v>
      </c>
      <c r="P118" s="25">
        <f>公会!$U$11</f>
        <v>2766.62857142857</v>
      </c>
      <c r="Q118" s="163" t="e">
        <f ca="1">_xlfn.XLOOKUP(OFFSET($C$12,$I118,MATCH($J$11,$D$12:$G$12,0)),巡逻产出!$B$311:$B$610,巡逻产出!$Q$311:$Q$610)*OFFSET($C$1,MATCH(Q$12,$C$2:$C$7,0),MATCH($J$11,$D$12:$G$12,0))</f>
        <v>#N/A</v>
      </c>
      <c r="S118" s="160">
        <v>106</v>
      </c>
      <c r="T118" s="163" t="e">
        <f ca="1">_xlfn.XLOOKUP(OFFSET($C$12,$I118,MATCH($T$11,$D$12:$G$12,0)),主线推图!$B$313:$B$612,主线推图!$P$313:$P$612)*OFFSET($C$1,MATCH(T$12,$C$2:$C$7,0),MATCH($T$11,$D$12:$G$12,0))</f>
        <v>#N/A</v>
      </c>
      <c r="U118" s="163" t="e">
        <f ca="1">_xlfn.XLOOKUP(OFFSET($C$12,$I118,MATCH($T$11,$D$12:$G$12,0)),巡逻产出!$B$311:$B$610,巡逻产出!$R$311:$R$610)*OFFSET($C$1,MATCH(U$12,$C$2:$C$7,0),MATCH($T$11,$D$12:$G$12,0))</f>
        <v>#N/A</v>
      </c>
      <c r="V118" s="163">
        <f ca="1">_xlfn.XLOOKUP(MAX(INT((OFFSET($C$12,$I118,MATCH($T$11,$D$12:$G$12,0))-6)/10),1),组队产出!$B$25:$B$39,组队产出!$P$25:$P$39)*OFFSET($C$1,MATCH(V$12,$C$2:$C$7,0),MATCH($T$11,$D$12:$G$12,0))</f>
        <v>2260.8</v>
      </c>
      <c r="W118" s="163">
        <f ca="1">竞技场!$G$3*OFFSET($C$1,MATCH(W$12,$C$2:$C$7,0),MATCH($T$11,$D$12:$G$12,0))</f>
        <v>2100</v>
      </c>
      <c r="X11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18" s="23">
        <f>任务!$G$6+任务!$G$9+IF(MOD(S118,7)=0,任务!$N$9+任务!$O$6,0)</f>
        <v>895</v>
      </c>
      <c r="Z118" s="25">
        <f>公会!$U$11</f>
        <v>2766.62857142857</v>
      </c>
      <c r="AA118" s="163" t="e">
        <f ca="1">_xlfn.XLOOKUP(OFFSET($C$12,$I118,MATCH($T$11,$D$12:$G$12,0)),巡逻产出!$B$311:$B$610,巡逻产出!$Q$311:$Q$610)*OFFSET($C$1,MATCH(AA$12,$C$2:$C$7,0),MATCH($T$11,$D$12:$G$12,0))</f>
        <v>#N/A</v>
      </c>
      <c r="AC118" s="160">
        <v>106</v>
      </c>
      <c r="AD118" s="163">
        <f ca="1">_xlfn.XLOOKUP(OFFSET($C$12,$I118,MATCH($AD$11,$D$12:$G$12,0)),主线推图!$B$313:$B$612,主线推图!$P$313:$P$612)*OFFSET($C$1,MATCH(AD$12,$C$2:$C$7,0),MATCH($AD$11,$D$12:$G$12,0))</f>
        <v>3333</v>
      </c>
      <c r="AE118" s="163">
        <f ca="1">_xlfn.XLOOKUP(OFFSET($C$12,$I118,MATCH($AD$11,$D$12:$G$12,0)),巡逻产出!$B$311:$B$610,巡逻产出!$R$311:$R$610)*OFFSET($C$1,MATCH(AE$12,$C$2:$C$7,0),MATCH($AD$11,$D$12:$G$12,0))</f>
        <v>0</v>
      </c>
      <c r="AF118" s="163" t="e">
        <f ca="1">_xlfn.XLOOKUP(MAX(INT((OFFSET($C$12,$I118,MATCH($AD$11,$D$12:$G$12,0))-6)/10),1),组队产出!$B$25:$B$39,组队产出!$P$25:$P$39)*OFFSET($C$1,MATCH(AF$12,$C$2:$C$7,0),MATCH($AD$11,$D$12:$G$12,0))</f>
        <v>#N/A</v>
      </c>
      <c r="AG118" s="163">
        <f ca="1">竞技场!$G$3*OFFSET($C$1,MATCH(AG$12,$C$2:$C$7,0),MATCH($AD$11,$D$12:$G$12,0))</f>
        <v>3150</v>
      </c>
      <c r="AH11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18" s="23">
        <f>任务!$G$6+任务!$G$9+IF(MOD(AC118,7)=0,任务!$N$9+任务!$O$6,0)</f>
        <v>895</v>
      </c>
      <c r="AJ118" s="25">
        <f>公会!$U$11</f>
        <v>2766.62857142857</v>
      </c>
      <c r="AK118" s="163">
        <f ca="1">_xlfn.XLOOKUP(OFFSET($C$12,$I118,MATCH($AD$11,$D$12:$G$12,0)),巡逻产出!$B$311:$B$610,巡逻产出!$Q$311:$Q$610)*OFFSET($C$1,MATCH(AK$12,$C$2:$C$7,0),MATCH($AD$11,$D$12:$G$12,0))</f>
        <v>2305.368</v>
      </c>
      <c r="AM118" s="164">
        <v>106</v>
      </c>
      <c r="AN118" s="165">
        <f t="shared" si="11"/>
        <v>12732</v>
      </c>
      <c r="AO118" s="165">
        <f t="shared" si="12"/>
        <v>15904</v>
      </c>
      <c r="AP118" s="165">
        <f t="shared" si="13"/>
        <v>25048</v>
      </c>
      <c r="AQ118" s="165">
        <f t="shared" si="14"/>
        <v>32846</v>
      </c>
    </row>
    <row r="119" spans="3:43">
      <c r="C119" s="160">
        <v>107</v>
      </c>
      <c r="D119" s="169">
        <v>146</v>
      </c>
      <c r="E119" s="170">
        <f t="shared" si="9"/>
        <v>101.5</v>
      </c>
      <c r="F119" s="169">
        <f t="shared" si="10"/>
        <v>114.3</v>
      </c>
      <c r="G119" s="163">
        <f t="shared" si="16"/>
        <v>176.5</v>
      </c>
      <c r="I119" s="160">
        <v>107</v>
      </c>
      <c r="J119" s="163" t="e">
        <f ca="1">_xlfn.XLOOKUP(OFFSET($C$12,$I119,MATCH($J$11,$D$12:$G$12,0)),主线推图!$B$313:$B$612,主线推图!$P$313:$P$612)*OFFSET($C$1,MATCH(J$12,$C$2:$C$7,0),MATCH($J$11,$D$12:$G$12,0))</f>
        <v>#N/A</v>
      </c>
      <c r="K119" s="163" t="e">
        <f ca="1">_xlfn.XLOOKUP(OFFSET($C$12,$I119,MATCH($J$11,$D$12:$G$12,0)),巡逻产出!$B$311:$B$610,巡逻产出!$R$311:$R$610)*OFFSET($C$1,MATCH(K$12,$C$2:$C$7,0),MATCH($J$11,$D$12:$G$12,0))</f>
        <v>#N/A</v>
      </c>
      <c r="L119" s="163">
        <f ca="1">_xlfn.XLOOKUP(MAX(INT((OFFSET($C$12,$I119,MATCH($J$11,$D$12:$G$12,0))-6)/10),1),组队产出!$B$25:$B$39,组队产出!$P$25:$P$39)*OFFSET($C$1,MATCH(L$12,$C$2:$C$7,0),MATCH($J$11,$D$12:$G$12,0))</f>
        <v>1118.4</v>
      </c>
      <c r="M119" s="163">
        <f ca="1">竞技场!$G$3*OFFSET($C$1,MATCH(M$12,$C$2:$C$7,0),MATCH($J$11,$D$12:$G$12,0))</f>
        <v>1050</v>
      </c>
      <c r="N11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19" s="23">
        <f>任务!$G$6+任务!$G$9+IF(MOD(I119,7)=0,任务!$N$9+任务!$O$6,0)</f>
        <v>895</v>
      </c>
      <c r="P119" s="25">
        <f>公会!$U$11</f>
        <v>2766.62857142857</v>
      </c>
      <c r="Q119" s="163" t="e">
        <f ca="1">_xlfn.XLOOKUP(OFFSET($C$12,$I119,MATCH($J$11,$D$12:$G$12,0)),巡逻产出!$B$311:$B$610,巡逻产出!$Q$311:$Q$610)*OFFSET($C$1,MATCH(Q$12,$C$2:$C$7,0),MATCH($J$11,$D$12:$G$12,0))</f>
        <v>#N/A</v>
      </c>
      <c r="S119" s="160">
        <v>107</v>
      </c>
      <c r="T119" s="163" t="e">
        <f ca="1">_xlfn.XLOOKUP(OFFSET($C$12,$I119,MATCH($T$11,$D$12:$G$12,0)),主线推图!$B$313:$B$612,主线推图!$P$313:$P$612)*OFFSET($C$1,MATCH(T$12,$C$2:$C$7,0),MATCH($T$11,$D$12:$G$12,0))</f>
        <v>#N/A</v>
      </c>
      <c r="U119" s="163" t="e">
        <f ca="1">_xlfn.XLOOKUP(OFFSET($C$12,$I119,MATCH($T$11,$D$12:$G$12,0)),巡逻产出!$B$311:$B$610,巡逻产出!$R$311:$R$610)*OFFSET($C$1,MATCH(U$12,$C$2:$C$7,0),MATCH($T$11,$D$12:$G$12,0))</f>
        <v>#N/A</v>
      </c>
      <c r="V119" s="163">
        <f ca="1">_xlfn.XLOOKUP(MAX(INT((OFFSET($C$12,$I119,MATCH($T$11,$D$12:$G$12,0))-6)/10),1),组队产出!$B$25:$B$39,组队产出!$P$25:$P$39)*OFFSET($C$1,MATCH(V$12,$C$2:$C$7,0),MATCH($T$11,$D$12:$G$12,0))</f>
        <v>2260.8</v>
      </c>
      <c r="W119" s="163">
        <f ca="1">竞技场!$G$3*OFFSET($C$1,MATCH(W$12,$C$2:$C$7,0),MATCH($T$11,$D$12:$G$12,0))</f>
        <v>2100</v>
      </c>
      <c r="X11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19" s="23">
        <f>任务!$G$6+任务!$G$9+IF(MOD(S119,7)=0,任务!$N$9+任务!$O$6,0)</f>
        <v>895</v>
      </c>
      <c r="Z119" s="25">
        <f>公会!$U$11</f>
        <v>2766.62857142857</v>
      </c>
      <c r="AA119" s="163" t="e">
        <f ca="1">_xlfn.XLOOKUP(OFFSET($C$12,$I119,MATCH($T$11,$D$12:$G$12,0)),巡逻产出!$B$311:$B$610,巡逻产出!$Q$311:$Q$610)*OFFSET($C$1,MATCH(AA$12,$C$2:$C$7,0),MATCH($T$11,$D$12:$G$12,0))</f>
        <v>#N/A</v>
      </c>
      <c r="AC119" s="160">
        <v>107</v>
      </c>
      <c r="AD119" s="163" t="e">
        <f ca="1">_xlfn.XLOOKUP(OFFSET($C$12,$I119,MATCH($AD$11,$D$12:$G$12,0)),主线推图!$B$313:$B$612,主线推图!$P$313:$P$612)*OFFSET($C$1,MATCH(AD$12,$C$2:$C$7,0),MATCH($AD$11,$D$12:$G$12,0))</f>
        <v>#N/A</v>
      </c>
      <c r="AE119" s="163" t="e">
        <f ca="1">_xlfn.XLOOKUP(OFFSET($C$12,$I119,MATCH($AD$11,$D$12:$G$12,0)),巡逻产出!$B$311:$B$610,巡逻产出!$R$311:$R$610)*OFFSET($C$1,MATCH(AE$12,$C$2:$C$7,0),MATCH($AD$11,$D$12:$G$12,0))</f>
        <v>#N/A</v>
      </c>
      <c r="AF119" s="163" t="e">
        <f ca="1">_xlfn.XLOOKUP(MAX(INT((OFFSET($C$12,$I119,MATCH($AD$11,$D$12:$G$12,0))-6)/10),1),组队产出!$B$25:$B$39,组队产出!$P$25:$P$39)*OFFSET($C$1,MATCH(AF$12,$C$2:$C$7,0),MATCH($AD$11,$D$12:$G$12,0))</f>
        <v>#N/A</v>
      </c>
      <c r="AG119" s="163">
        <f ca="1">竞技场!$G$3*OFFSET($C$1,MATCH(AG$12,$C$2:$C$7,0),MATCH($AD$11,$D$12:$G$12,0))</f>
        <v>3150</v>
      </c>
      <c r="AH11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19" s="23">
        <f>任务!$G$6+任务!$G$9+IF(MOD(AC119,7)=0,任务!$N$9+任务!$O$6,0)</f>
        <v>895</v>
      </c>
      <c r="AJ119" s="25">
        <f>公会!$U$11</f>
        <v>2766.62857142857</v>
      </c>
      <c r="AK119" s="163" t="e">
        <f ca="1">_xlfn.XLOOKUP(OFFSET($C$12,$I119,MATCH($AD$11,$D$12:$G$12,0)),巡逻产出!$B$311:$B$610,巡逻产出!$Q$311:$Q$610)*OFFSET($C$1,MATCH(AK$12,$C$2:$C$7,0),MATCH($AD$11,$D$12:$G$12,0))</f>
        <v>#N/A</v>
      </c>
      <c r="AM119" s="164">
        <v>107</v>
      </c>
      <c r="AN119" s="165">
        <f t="shared" si="11"/>
        <v>12846</v>
      </c>
      <c r="AO119" s="165">
        <f t="shared" si="12"/>
        <v>16047</v>
      </c>
      <c r="AP119" s="165">
        <f t="shared" si="13"/>
        <v>25277</v>
      </c>
      <c r="AQ119" s="165">
        <f t="shared" si="14"/>
        <v>33148</v>
      </c>
    </row>
    <row r="120" spans="3:43">
      <c r="C120" s="160">
        <v>108</v>
      </c>
      <c r="D120" s="169">
        <v>146</v>
      </c>
      <c r="E120" s="170">
        <f t="shared" si="9"/>
        <v>101.75</v>
      </c>
      <c r="F120" s="169">
        <f t="shared" si="10"/>
        <v>114.65</v>
      </c>
      <c r="G120" s="163">
        <f t="shared" si="16"/>
        <v>177</v>
      </c>
      <c r="I120" s="160">
        <v>108</v>
      </c>
      <c r="J120" s="163" t="e">
        <f ca="1">_xlfn.XLOOKUP(OFFSET($C$12,$I120,MATCH($J$11,$D$12:$G$12,0)),主线推图!$B$313:$B$612,主线推图!$P$313:$P$612)*OFFSET($C$1,MATCH(J$12,$C$2:$C$7,0),MATCH($J$11,$D$12:$G$12,0))</f>
        <v>#N/A</v>
      </c>
      <c r="K120" s="163" t="e">
        <f ca="1">_xlfn.XLOOKUP(OFFSET($C$12,$I120,MATCH($J$11,$D$12:$G$12,0)),巡逻产出!$B$311:$B$610,巡逻产出!$R$311:$R$610)*OFFSET($C$1,MATCH(K$12,$C$2:$C$7,0),MATCH($J$11,$D$12:$G$12,0))</f>
        <v>#N/A</v>
      </c>
      <c r="L120" s="163">
        <f ca="1">_xlfn.XLOOKUP(MAX(INT((OFFSET($C$12,$I120,MATCH($J$11,$D$12:$G$12,0))-6)/10),1),组队产出!$B$25:$B$39,组队产出!$P$25:$P$39)*OFFSET($C$1,MATCH(L$12,$C$2:$C$7,0),MATCH($J$11,$D$12:$G$12,0))</f>
        <v>1118.4</v>
      </c>
      <c r="M120" s="163">
        <f ca="1">竞技场!$G$3*OFFSET($C$1,MATCH(M$12,$C$2:$C$7,0),MATCH($J$11,$D$12:$G$12,0))</f>
        <v>1050</v>
      </c>
      <c r="N12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20" s="23">
        <f>任务!$G$6+任务!$G$9+IF(MOD(I120,7)=0,任务!$N$9+任务!$O$6,0)</f>
        <v>895</v>
      </c>
      <c r="P120" s="25">
        <f>公会!$U$11</f>
        <v>2766.62857142857</v>
      </c>
      <c r="Q120" s="163" t="e">
        <f ca="1">_xlfn.XLOOKUP(OFFSET($C$12,$I120,MATCH($J$11,$D$12:$G$12,0)),巡逻产出!$B$311:$B$610,巡逻产出!$Q$311:$Q$610)*OFFSET($C$1,MATCH(Q$12,$C$2:$C$7,0),MATCH($J$11,$D$12:$G$12,0))</f>
        <v>#N/A</v>
      </c>
      <c r="S120" s="160">
        <v>108</v>
      </c>
      <c r="T120" s="163" t="e">
        <f ca="1">_xlfn.XLOOKUP(OFFSET($C$12,$I120,MATCH($T$11,$D$12:$G$12,0)),主线推图!$B$313:$B$612,主线推图!$P$313:$P$612)*OFFSET($C$1,MATCH(T$12,$C$2:$C$7,0),MATCH($T$11,$D$12:$G$12,0))</f>
        <v>#N/A</v>
      </c>
      <c r="U120" s="163" t="e">
        <f ca="1">_xlfn.XLOOKUP(OFFSET($C$12,$I120,MATCH($T$11,$D$12:$G$12,0)),巡逻产出!$B$311:$B$610,巡逻产出!$R$311:$R$610)*OFFSET($C$1,MATCH(U$12,$C$2:$C$7,0),MATCH($T$11,$D$12:$G$12,0))</f>
        <v>#N/A</v>
      </c>
      <c r="V120" s="163">
        <f ca="1">_xlfn.XLOOKUP(MAX(INT((OFFSET($C$12,$I120,MATCH($T$11,$D$12:$G$12,0))-6)/10),1),组队产出!$B$25:$B$39,组队产出!$P$25:$P$39)*OFFSET($C$1,MATCH(V$12,$C$2:$C$7,0),MATCH($T$11,$D$12:$G$12,0))</f>
        <v>2260.8</v>
      </c>
      <c r="W120" s="163">
        <f ca="1">竞技场!$G$3*OFFSET($C$1,MATCH(W$12,$C$2:$C$7,0),MATCH($T$11,$D$12:$G$12,0))</f>
        <v>2100</v>
      </c>
      <c r="X12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20" s="23">
        <f>任务!$G$6+任务!$G$9+IF(MOD(S120,7)=0,任务!$N$9+任务!$O$6,0)</f>
        <v>895</v>
      </c>
      <c r="Z120" s="25">
        <f>公会!$U$11</f>
        <v>2766.62857142857</v>
      </c>
      <c r="AA120" s="163" t="e">
        <f ca="1">_xlfn.XLOOKUP(OFFSET($C$12,$I120,MATCH($T$11,$D$12:$G$12,0)),巡逻产出!$B$311:$B$610,巡逻产出!$Q$311:$Q$610)*OFFSET($C$1,MATCH(AA$12,$C$2:$C$7,0),MATCH($T$11,$D$12:$G$12,0))</f>
        <v>#N/A</v>
      </c>
      <c r="AC120" s="160">
        <v>108</v>
      </c>
      <c r="AD120" s="163">
        <f ca="1">_xlfn.XLOOKUP(OFFSET($C$12,$I120,MATCH($AD$11,$D$12:$G$12,0)),主线推图!$B$313:$B$612,主线推图!$P$313:$P$612)*OFFSET($C$1,MATCH(AD$12,$C$2:$C$7,0),MATCH($AD$11,$D$12:$G$12,0))</f>
        <v>3335.2</v>
      </c>
      <c r="AE120" s="163">
        <f ca="1">_xlfn.XLOOKUP(OFFSET($C$12,$I120,MATCH($AD$11,$D$12:$G$12,0)),巡逻产出!$B$311:$B$610,巡逻产出!$R$311:$R$610)*OFFSET($C$1,MATCH(AE$12,$C$2:$C$7,0),MATCH($AD$11,$D$12:$G$12,0))</f>
        <v>0</v>
      </c>
      <c r="AF120" s="163" t="e">
        <f ca="1">_xlfn.XLOOKUP(MAX(INT((OFFSET($C$12,$I120,MATCH($AD$11,$D$12:$G$12,0))-6)/10),1),组队产出!$B$25:$B$39,组队产出!$P$25:$P$39)*OFFSET($C$1,MATCH(AF$12,$C$2:$C$7,0),MATCH($AD$11,$D$12:$G$12,0))</f>
        <v>#N/A</v>
      </c>
      <c r="AG120" s="163">
        <f ca="1">竞技场!$G$3*OFFSET($C$1,MATCH(AG$12,$C$2:$C$7,0),MATCH($AD$11,$D$12:$G$12,0))</f>
        <v>3150</v>
      </c>
      <c r="AH12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20" s="23">
        <f>任务!$G$6+任务!$G$9+IF(MOD(AC120,7)=0,任务!$N$9+任务!$O$6,0)</f>
        <v>895</v>
      </c>
      <c r="AJ120" s="25">
        <f>公会!$U$11</f>
        <v>2766.62857142857</v>
      </c>
      <c r="AK120" s="163">
        <f ca="1">_xlfn.XLOOKUP(OFFSET($C$12,$I120,MATCH($AD$11,$D$12:$G$12,0)),巡逻产出!$B$311:$B$610,巡逻产出!$Q$311:$Q$610)*OFFSET($C$1,MATCH(AK$12,$C$2:$C$7,0),MATCH($AD$11,$D$12:$G$12,0))</f>
        <v>2306.928</v>
      </c>
      <c r="AM120" s="164">
        <v>108</v>
      </c>
      <c r="AN120" s="165">
        <f t="shared" si="11"/>
        <v>12959</v>
      </c>
      <c r="AO120" s="165">
        <f t="shared" si="12"/>
        <v>16190</v>
      </c>
      <c r="AP120" s="165">
        <f t="shared" si="13"/>
        <v>25505</v>
      </c>
      <c r="AQ120" s="165">
        <f t="shared" si="14"/>
        <v>33450</v>
      </c>
    </row>
    <row r="121" spans="3:43">
      <c r="C121" s="160">
        <v>109</v>
      </c>
      <c r="D121" s="169">
        <v>147</v>
      </c>
      <c r="E121" s="170">
        <f t="shared" si="9"/>
        <v>102</v>
      </c>
      <c r="F121" s="169">
        <f t="shared" si="10"/>
        <v>115</v>
      </c>
      <c r="G121" s="163">
        <f t="shared" si="16"/>
        <v>177.5</v>
      </c>
      <c r="I121" s="160">
        <v>109</v>
      </c>
      <c r="J121" s="163" t="e">
        <f ca="1">_xlfn.XLOOKUP(OFFSET($C$12,$I121,MATCH($J$11,$D$12:$G$12,0)),主线推图!$B$313:$B$612,主线推图!$P$313:$P$612)*OFFSET($C$1,MATCH(J$12,$C$2:$C$7,0),MATCH($J$11,$D$12:$G$12,0))</f>
        <v>#N/A</v>
      </c>
      <c r="K121" s="163" t="e">
        <f ca="1">_xlfn.XLOOKUP(OFFSET($C$12,$I121,MATCH($J$11,$D$12:$G$12,0)),巡逻产出!$B$311:$B$610,巡逻产出!$R$311:$R$610)*OFFSET($C$1,MATCH(K$12,$C$2:$C$7,0),MATCH($J$11,$D$12:$G$12,0))</f>
        <v>#N/A</v>
      </c>
      <c r="L121" s="163">
        <f ca="1">_xlfn.XLOOKUP(MAX(INT((OFFSET($C$12,$I121,MATCH($J$11,$D$12:$G$12,0))-6)/10),1),组队产出!$B$25:$B$39,组队产出!$P$25:$P$39)*OFFSET($C$1,MATCH(L$12,$C$2:$C$7,0),MATCH($J$11,$D$12:$G$12,0))</f>
        <v>1118.4</v>
      </c>
      <c r="M121" s="163">
        <f ca="1">竞技场!$G$3*OFFSET($C$1,MATCH(M$12,$C$2:$C$7,0),MATCH($J$11,$D$12:$G$12,0))</f>
        <v>1050</v>
      </c>
      <c r="N12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21" s="23">
        <f>任务!$G$6+任务!$G$9+IF(MOD(I121,7)=0,任务!$N$9+任务!$O$6,0)</f>
        <v>895</v>
      </c>
      <c r="P121" s="25">
        <f>公会!$U$11</f>
        <v>2766.62857142857</v>
      </c>
      <c r="Q121" s="163" t="e">
        <f ca="1">_xlfn.XLOOKUP(OFFSET($C$12,$I121,MATCH($J$11,$D$12:$G$12,0)),巡逻产出!$B$311:$B$610,巡逻产出!$Q$311:$Q$610)*OFFSET($C$1,MATCH(Q$12,$C$2:$C$7,0),MATCH($J$11,$D$12:$G$12,0))</f>
        <v>#N/A</v>
      </c>
      <c r="S121" s="160">
        <v>109</v>
      </c>
      <c r="T121" s="163">
        <f ca="1">_xlfn.XLOOKUP(OFFSET($C$12,$I121,MATCH($T$11,$D$12:$G$12,0)),主线推图!$B$313:$B$612,主线推图!$P$313:$P$612)*OFFSET($C$1,MATCH(T$12,$C$2:$C$7,0),MATCH($T$11,$D$12:$G$12,0))</f>
        <v>2181</v>
      </c>
      <c r="U121" s="163">
        <f ca="1">_xlfn.XLOOKUP(OFFSET($C$12,$I121,MATCH($T$11,$D$12:$G$12,0)),巡逻产出!$B$311:$B$610,巡逻产出!$R$311:$R$610)*OFFSET($C$1,MATCH(U$12,$C$2:$C$7,0),MATCH($T$11,$D$12:$G$12,0))</f>
        <v>1900.5</v>
      </c>
      <c r="V121" s="163">
        <f ca="1">_xlfn.XLOOKUP(MAX(INT((OFFSET($C$12,$I121,MATCH($T$11,$D$12:$G$12,0))-6)/10),1),组队产出!$B$25:$B$39,组队产出!$P$25:$P$39)*OFFSET($C$1,MATCH(V$12,$C$2:$C$7,0),MATCH($T$11,$D$12:$G$12,0))</f>
        <v>2260.8</v>
      </c>
      <c r="W121" s="163">
        <f ca="1">竞技场!$G$3*OFFSET($C$1,MATCH(W$12,$C$2:$C$7,0),MATCH($T$11,$D$12:$G$12,0))</f>
        <v>2100</v>
      </c>
      <c r="X12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21" s="23">
        <f>任务!$G$6+任务!$G$9+IF(MOD(S121,7)=0,任务!$N$9+任务!$O$6,0)</f>
        <v>895</v>
      </c>
      <c r="Z121" s="25">
        <f>公会!$U$11</f>
        <v>2766.62857142857</v>
      </c>
      <c r="AA121" s="163">
        <f ca="1">_xlfn.XLOOKUP(OFFSET($C$12,$I121,MATCH($T$11,$D$12:$G$12,0)),巡逻产出!$B$311:$B$610,巡逻产出!$Q$311:$Q$610)*OFFSET($C$1,MATCH(AA$12,$C$2:$C$7,0),MATCH($T$11,$D$12:$G$12,0))</f>
        <v>2210.208</v>
      </c>
      <c r="AC121" s="160">
        <v>109</v>
      </c>
      <c r="AD121" s="163" t="e">
        <f ca="1">_xlfn.XLOOKUP(OFFSET($C$12,$I121,MATCH($AD$11,$D$12:$G$12,0)),主线推图!$B$313:$B$612,主线推图!$P$313:$P$612)*OFFSET($C$1,MATCH(AD$12,$C$2:$C$7,0),MATCH($AD$11,$D$12:$G$12,0))</f>
        <v>#N/A</v>
      </c>
      <c r="AE121" s="163" t="e">
        <f ca="1">_xlfn.XLOOKUP(OFFSET($C$12,$I121,MATCH($AD$11,$D$12:$G$12,0)),巡逻产出!$B$311:$B$610,巡逻产出!$R$311:$R$610)*OFFSET($C$1,MATCH(AE$12,$C$2:$C$7,0),MATCH($AD$11,$D$12:$G$12,0))</f>
        <v>#N/A</v>
      </c>
      <c r="AF121" s="163" t="e">
        <f ca="1">_xlfn.XLOOKUP(MAX(INT((OFFSET($C$12,$I121,MATCH($AD$11,$D$12:$G$12,0))-6)/10),1),组队产出!$B$25:$B$39,组队产出!$P$25:$P$39)*OFFSET($C$1,MATCH(AF$12,$C$2:$C$7,0),MATCH($AD$11,$D$12:$G$12,0))</f>
        <v>#N/A</v>
      </c>
      <c r="AG121" s="163">
        <f ca="1">竞技场!$G$3*OFFSET($C$1,MATCH(AG$12,$C$2:$C$7,0),MATCH($AD$11,$D$12:$G$12,0))</f>
        <v>3150</v>
      </c>
      <c r="AH12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21" s="23">
        <f>任务!$G$6+任务!$G$9+IF(MOD(AC121,7)=0,任务!$N$9+任务!$O$6,0)</f>
        <v>895</v>
      </c>
      <c r="AJ121" s="25">
        <f>公会!$U$11</f>
        <v>2766.62857142857</v>
      </c>
      <c r="AK121" s="163" t="e">
        <f ca="1">_xlfn.XLOOKUP(OFFSET($C$12,$I121,MATCH($AD$11,$D$12:$G$12,0)),巡逻产出!$B$311:$B$610,巡逻产出!$Q$311:$Q$610)*OFFSET($C$1,MATCH(AK$12,$C$2:$C$7,0),MATCH($AD$11,$D$12:$G$12,0))</f>
        <v>#N/A</v>
      </c>
      <c r="AM121" s="164">
        <v>109</v>
      </c>
      <c r="AN121" s="165">
        <f t="shared" si="11"/>
        <v>13073</v>
      </c>
      <c r="AO121" s="165">
        <f t="shared" si="12"/>
        <v>16333</v>
      </c>
      <c r="AP121" s="165">
        <f t="shared" si="13"/>
        <v>25734</v>
      </c>
      <c r="AQ121" s="165">
        <f t="shared" si="14"/>
        <v>33752</v>
      </c>
    </row>
    <row r="122" spans="3:43">
      <c r="C122" s="160">
        <v>110</v>
      </c>
      <c r="D122" s="169">
        <v>147</v>
      </c>
      <c r="E122" s="170">
        <f t="shared" si="9"/>
        <v>102.25</v>
      </c>
      <c r="F122" s="169">
        <f t="shared" si="10"/>
        <v>115.35</v>
      </c>
      <c r="G122" s="163">
        <f t="shared" si="16"/>
        <v>178</v>
      </c>
      <c r="I122" s="160">
        <v>110</v>
      </c>
      <c r="J122" s="163" t="e">
        <f ca="1">_xlfn.XLOOKUP(OFFSET($C$12,$I122,MATCH($J$11,$D$12:$G$12,0)),主线推图!$B$313:$B$612,主线推图!$P$313:$P$612)*OFFSET($C$1,MATCH(J$12,$C$2:$C$7,0),MATCH($J$11,$D$12:$G$12,0))</f>
        <v>#N/A</v>
      </c>
      <c r="K122" s="163" t="e">
        <f ca="1">_xlfn.XLOOKUP(OFFSET($C$12,$I122,MATCH($J$11,$D$12:$G$12,0)),巡逻产出!$B$311:$B$610,巡逻产出!$R$311:$R$610)*OFFSET($C$1,MATCH(K$12,$C$2:$C$7,0),MATCH($J$11,$D$12:$G$12,0))</f>
        <v>#N/A</v>
      </c>
      <c r="L122" s="163">
        <f ca="1">_xlfn.XLOOKUP(MAX(INT((OFFSET($C$12,$I122,MATCH($J$11,$D$12:$G$12,0))-6)/10),1),组队产出!$B$25:$B$39,组队产出!$P$25:$P$39)*OFFSET($C$1,MATCH(L$12,$C$2:$C$7,0),MATCH($J$11,$D$12:$G$12,0))</f>
        <v>1118.4</v>
      </c>
      <c r="M122" s="163">
        <f ca="1">竞技场!$G$3*OFFSET($C$1,MATCH(M$12,$C$2:$C$7,0),MATCH($J$11,$D$12:$G$12,0))</f>
        <v>1050</v>
      </c>
      <c r="N12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22" s="23">
        <f>任务!$G$6+任务!$G$9+IF(MOD(I122,7)=0,任务!$N$9+任务!$O$6,0)</f>
        <v>895</v>
      </c>
      <c r="P122" s="25">
        <f>公会!$U$11</f>
        <v>2766.62857142857</v>
      </c>
      <c r="Q122" s="163" t="e">
        <f ca="1">_xlfn.XLOOKUP(OFFSET($C$12,$I122,MATCH($J$11,$D$12:$G$12,0)),巡逻产出!$B$311:$B$610,巡逻产出!$Q$311:$Q$610)*OFFSET($C$1,MATCH(Q$12,$C$2:$C$7,0),MATCH($J$11,$D$12:$G$12,0))</f>
        <v>#N/A</v>
      </c>
      <c r="S122" s="160">
        <v>110</v>
      </c>
      <c r="T122" s="163" t="e">
        <f ca="1">_xlfn.XLOOKUP(OFFSET($C$12,$I122,MATCH($T$11,$D$12:$G$12,0)),主线推图!$B$313:$B$612,主线推图!$P$313:$P$612)*OFFSET($C$1,MATCH(T$12,$C$2:$C$7,0),MATCH($T$11,$D$12:$G$12,0))</f>
        <v>#N/A</v>
      </c>
      <c r="U122" s="163" t="e">
        <f ca="1">_xlfn.XLOOKUP(OFFSET($C$12,$I122,MATCH($T$11,$D$12:$G$12,0)),巡逻产出!$B$311:$B$610,巡逻产出!$R$311:$R$610)*OFFSET($C$1,MATCH(U$12,$C$2:$C$7,0),MATCH($T$11,$D$12:$G$12,0))</f>
        <v>#N/A</v>
      </c>
      <c r="V122" s="163">
        <f ca="1">_xlfn.XLOOKUP(MAX(INT((OFFSET($C$12,$I122,MATCH($T$11,$D$12:$G$12,0))-6)/10),1),组队产出!$B$25:$B$39,组队产出!$P$25:$P$39)*OFFSET($C$1,MATCH(V$12,$C$2:$C$7,0),MATCH($T$11,$D$12:$G$12,0))</f>
        <v>2260.8</v>
      </c>
      <c r="W122" s="163">
        <f ca="1">竞技场!$G$3*OFFSET($C$1,MATCH(W$12,$C$2:$C$7,0),MATCH($T$11,$D$12:$G$12,0))</f>
        <v>2100</v>
      </c>
      <c r="X12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22" s="23">
        <f>任务!$G$6+任务!$G$9+IF(MOD(S122,7)=0,任务!$N$9+任务!$O$6,0)</f>
        <v>895</v>
      </c>
      <c r="Z122" s="25">
        <f>公会!$U$11</f>
        <v>2766.62857142857</v>
      </c>
      <c r="AA122" s="163" t="e">
        <f ca="1">_xlfn.XLOOKUP(OFFSET($C$12,$I122,MATCH($T$11,$D$12:$G$12,0)),巡逻产出!$B$311:$B$610,巡逻产出!$Q$311:$Q$610)*OFFSET($C$1,MATCH(AA$12,$C$2:$C$7,0),MATCH($T$11,$D$12:$G$12,0))</f>
        <v>#N/A</v>
      </c>
      <c r="AC122" s="160">
        <v>110</v>
      </c>
      <c r="AD122" s="163">
        <f ca="1">_xlfn.XLOOKUP(OFFSET($C$12,$I122,MATCH($AD$11,$D$12:$G$12,0)),主线推图!$B$313:$B$612,主线推图!$P$313:$P$612)*OFFSET($C$1,MATCH(AD$12,$C$2:$C$7,0),MATCH($AD$11,$D$12:$G$12,0))</f>
        <v>3337.4</v>
      </c>
      <c r="AE122" s="163">
        <f ca="1">_xlfn.XLOOKUP(OFFSET($C$12,$I122,MATCH($AD$11,$D$12:$G$12,0)),巡逻产出!$B$311:$B$610,巡逻产出!$R$311:$R$610)*OFFSET($C$1,MATCH(AE$12,$C$2:$C$7,0),MATCH($AD$11,$D$12:$G$12,0))</f>
        <v>0</v>
      </c>
      <c r="AF122" s="163" t="e">
        <f ca="1">_xlfn.XLOOKUP(MAX(INT((OFFSET($C$12,$I122,MATCH($AD$11,$D$12:$G$12,0))-6)/10),1),组队产出!$B$25:$B$39,组队产出!$P$25:$P$39)*OFFSET($C$1,MATCH(AF$12,$C$2:$C$7,0),MATCH($AD$11,$D$12:$G$12,0))</f>
        <v>#N/A</v>
      </c>
      <c r="AG122" s="163">
        <f ca="1">竞技场!$G$3*OFFSET($C$1,MATCH(AG$12,$C$2:$C$7,0),MATCH($AD$11,$D$12:$G$12,0))</f>
        <v>3150</v>
      </c>
      <c r="AH12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22" s="23">
        <f>任务!$G$6+任务!$G$9+IF(MOD(AC122,7)=0,任务!$N$9+任务!$O$6,0)</f>
        <v>895</v>
      </c>
      <c r="AJ122" s="25">
        <f>公会!$U$11</f>
        <v>2766.62857142857</v>
      </c>
      <c r="AK122" s="163">
        <f ca="1">_xlfn.XLOOKUP(OFFSET($C$12,$I122,MATCH($AD$11,$D$12:$G$12,0)),巡逻产出!$B$311:$B$610,巡逻产出!$Q$311:$Q$610)*OFFSET($C$1,MATCH(AK$12,$C$2:$C$7,0),MATCH($AD$11,$D$12:$G$12,0))</f>
        <v>2308.488</v>
      </c>
      <c r="AM122" s="164">
        <v>110</v>
      </c>
      <c r="AN122" s="165">
        <f t="shared" si="11"/>
        <v>13186</v>
      </c>
      <c r="AO122" s="165">
        <f t="shared" si="12"/>
        <v>16476</v>
      </c>
      <c r="AP122" s="165">
        <f t="shared" si="13"/>
        <v>25962</v>
      </c>
      <c r="AQ122" s="165">
        <f t="shared" si="14"/>
        <v>34054</v>
      </c>
    </row>
    <row r="123" spans="3:43">
      <c r="C123" s="160">
        <v>111</v>
      </c>
      <c r="D123" s="169">
        <v>154</v>
      </c>
      <c r="E123" s="170">
        <f t="shared" si="9"/>
        <v>102.5</v>
      </c>
      <c r="F123" s="169">
        <f t="shared" si="10"/>
        <v>115.7</v>
      </c>
      <c r="G123" s="163">
        <f t="shared" si="16"/>
        <v>178.5</v>
      </c>
      <c r="I123" s="160">
        <v>111</v>
      </c>
      <c r="J123" s="163" t="e">
        <f ca="1">_xlfn.XLOOKUP(OFFSET($C$12,$I123,MATCH($J$11,$D$12:$G$12,0)),主线推图!$B$313:$B$612,主线推图!$P$313:$P$612)*OFFSET($C$1,MATCH(J$12,$C$2:$C$7,0),MATCH($J$11,$D$12:$G$12,0))</f>
        <v>#N/A</v>
      </c>
      <c r="K123" s="163" t="e">
        <f ca="1">_xlfn.XLOOKUP(OFFSET($C$12,$I123,MATCH($J$11,$D$12:$G$12,0)),巡逻产出!$B$311:$B$610,巡逻产出!$R$311:$R$610)*OFFSET($C$1,MATCH(K$12,$C$2:$C$7,0),MATCH($J$11,$D$12:$G$12,0))</f>
        <v>#N/A</v>
      </c>
      <c r="L123" s="163">
        <f ca="1">_xlfn.XLOOKUP(MAX(INT((OFFSET($C$12,$I123,MATCH($J$11,$D$12:$G$12,0))-6)/10),1),组队产出!$B$25:$B$39,组队产出!$P$25:$P$39)*OFFSET($C$1,MATCH(L$12,$C$2:$C$7,0),MATCH($J$11,$D$12:$G$12,0))</f>
        <v>1118.4</v>
      </c>
      <c r="M123" s="163">
        <f ca="1">竞技场!$G$3*OFFSET($C$1,MATCH(M$12,$C$2:$C$7,0),MATCH($J$11,$D$12:$G$12,0))</f>
        <v>1050</v>
      </c>
      <c r="N12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23" s="23">
        <f>任务!$G$6+任务!$G$9+IF(MOD(I123,7)=0,任务!$N$9+任务!$O$6,0)</f>
        <v>895</v>
      </c>
      <c r="P123" s="25">
        <f>公会!$U$11</f>
        <v>2766.62857142857</v>
      </c>
      <c r="Q123" s="163" t="e">
        <f ca="1">_xlfn.XLOOKUP(OFFSET($C$12,$I123,MATCH($J$11,$D$12:$G$12,0)),巡逻产出!$B$311:$B$610,巡逻产出!$Q$311:$Q$610)*OFFSET($C$1,MATCH(Q$12,$C$2:$C$7,0),MATCH($J$11,$D$12:$G$12,0))</f>
        <v>#N/A</v>
      </c>
      <c r="S123" s="160">
        <v>111</v>
      </c>
      <c r="T123" s="163" t="e">
        <f ca="1">_xlfn.XLOOKUP(OFFSET($C$12,$I123,MATCH($T$11,$D$12:$G$12,0)),主线推图!$B$313:$B$612,主线推图!$P$313:$P$612)*OFFSET($C$1,MATCH(T$12,$C$2:$C$7,0),MATCH($T$11,$D$12:$G$12,0))</f>
        <v>#N/A</v>
      </c>
      <c r="U123" s="163" t="e">
        <f ca="1">_xlfn.XLOOKUP(OFFSET($C$12,$I123,MATCH($T$11,$D$12:$G$12,0)),巡逻产出!$B$311:$B$610,巡逻产出!$R$311:$R$610)*OFFSET($C$1,MATCH(U$12,$C$2:$C$7,0),MATCH($T$11,$D$12:$G$12,0))</f>
        <v>#N/A</v>
      </c>
      <c r="V123" s="163">
        <f ca="1">_xlfn.XLOOKUP(MAX(INT((OFFSET($C$12,$I123,MATCH($T$11,$D$12:$G$12,0))-6)/10),1),组队产出!$B$25:$B$39,组队产出!$P$25:$P$39)*OFFSET($C$1,MATCH(V$12,$C$2:$C$7,0),MATCH($T$11,$D$12:$G$12,0))</f>
        <v>2260.8</v>
      </c>
      <c r="W123" s="163">
        <f ca="1">竞技场!$G$3*OFFSET($C$1,MATCH(W$12,$C$2:$C$7,0),MATCH($T$11,$D$12:$G$12,0))</f>
        <v>2100</v>
      </c>
      <c r="X12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23" s="23">
        <f>任务!$G$6+任务!$G$9+IF(MOD(S123,7)=0,任务!$N$9+任务!$O$6,0)</f>
        <v>895</v>
      </c>
      <c r="Z123" s="25">
        <f>公会!$U$11</f>
        <v>2766.62857142857</v>
      </c>
      <c r="AA123" s="163" t="e">
        <f ca="1">_xlfn.XLOOKUP(OFFSET($C$12,$I123,MATCH($T$11,$D$12:$G$12,0)),巡逻产出!$B$311:$B$610,巡逻产出!$Q$311:$Q$610)*OFFSET($C$1,MATCH(AA$12,$C$2:$C$7,0),MATCH($T$11,$D$12:$G$12,0))</f>
        <v>#N/A</v>
      </c>
      <c r="AC123" s="160">
        <v>111</v>
      </c>
      <c r="AD123" s="163" t="e">
        <f ca="1">_xlfn.XLOOKUP(OFFSET($C$12,$I123,MATCH($AD$11,$D$12:$G$12,0)),主线推图!$B$313:$B$612,主线推图!$P$313:$P$612)*OFFSET($C$1,MATCH(AD$12,$C$2:$C$7,0),MATCH($AD$11,$D$12:$G$12,0))</f>
        <v>#N/A</v>
      </c>
      <c r="AE123" s="163" t="e">
        <f ca="1">_xlfn.XLOOKUP(OFFSET($C$12,$I123,MATCH($AD$11,$D$12:$G$12,0)),巡逻产出!$B$311:$B$610,巡逻产出!$R$311:$R$610)*OFFSET($C$1,MATCH(AE$12,$C$2:$C$7,0),MATCH($AD$11,$D$12:$G$12,0))</f>
        <v>#N/A</v>
      </c>
      <c r="AF123" s="163" t="e">
        <f ca="1">_xlfn.XLOOKUP(MAX(INT((OFFSET($C$12,$I123,MATCH($AD$11,$D$12:$G$12,0))-6)/10),1),组队产出!$B$25:$B$39,组队产出!$P$25:$P$39)*OFFSET($C$1,MATCH(AF$12,$C$2:$C$7,0),MATCH($AD$11,$D$12:$G$12,0))</f>
        <v>#N/A</v>
      </c>
      <c r="AG123" s="163">
        <f ca="1">竞技场!$G$3*OFFSET($C$1,MATCH(AG$12,$C$2:$C$7,0),MATCH($AD$11,$D$12:$G$12,0))</f>
        <v>3150</v>
      </c>
      <c r="AH12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23" s="23">
        <f>任务!$G$6+任务!$G$9+IF(MOD(AC123,7)=0,任务!$N$9+任务!$O$6,0)</f>
        <v>895</v>
      </c>
      <c r="AJ123" s="25">
        <f>公会!$U$11</f>
        <v>2766.62857142857</v>
      </c>
      <c r="AK123" s="163" t="e">
        <f ca="1">_xlfn.XLOOKUP(OFFSET($C$12,$I123,MATCH($AD$11,$D$12:$G$12,0)),巡逻产出!$B$311:$B$610,巡逻产出!$Q$311:$Q$610)*OFFSET($C$1,MATCH(AK$12,$C$2:$C$7,0),MATCH($AD$11,$D$12:$G$12,0))</f>
        <v>#N/A</v>
      </c>
      <c r="AM123" s="164">
        <v>111</v>
      </c>
      <c r="AN123" s="165">
        <f t="shared" si="11"/>
        <v>13300</v>
      </c>
      <c r="AO123" s="165">
        <f t="shared" si="12"/>
        <v>16619</v>
      </c>
      <c r="AP123" s="165">
        <f t="shared" si="13"/>
        <v>26191</v>
      </c>
      <c r="AQ123" s="165">
        <f t="shared" si="14"/>
        <v>34356</v>
      </c>
    </row>
    <row r="124" spans="3:43">
      <c r="C124" s="160">
        <v>112</v>
      </c>
      <c r="D124" s="169">
        <v>154</v>
      </c>
      <c r="E124" s="170">
        <f t="shared" si="9"/>
        <v>102.75</v>
      </c>
      <c r="F124" s="169">
        <f t="shared" si="10"/>
        <v>116.05</v>
      </c>
      <c r="G124" s="163">
        <f t="shared" si="16"/>
        <v>179</v>
      </c>
      <c r="I124" s="160">
        <v>112</v>
      </c>
      <c r="J124" s="163" t="e">
        <f ca="1">_xlfn.XLOOKUP(OFFSET($C$12,$I124,MATCH($J$11,$D$12:$G$12,0)),主线推图!$B$313:$B$612,主线推图!$P$313:$P$612)*OFFSET($C$1,MATCH(J$12,$C$2:$C$7,0),MATCH($J$11,$D$12:$G$12,0))</f>
        <v>#N/A</v>
      </c>
      <c r="K124" s="163" t="e">
        <f ca="1">_xlfn.XLOOKUP(OFFSET($C$12,$I124,MATCH($J$11,$D$12:$G$12,0)),巡逻产出!$B$311:$B$610,巡逻产出!$R$311:$R$610)*OFFSET($C$1,MATCH(K$12,$C$2:$C$7,0),MATCH($J$11,$D$12:$G$12,0))</f>
        <v>#N/A</v>
      </c>
      <c r="L124" s="163">
        <f ca="1">_xlfn.XLOOKUP(MAX(INT((OFFSET($C$12,$I124,MATCH($J$11,$D$12:$G$12,0))-6)/10),1),组队产出!$B$25:$B$39,组队产出!$P$25:$P$39)*OFFSET($C$1,MATCH(L$12,$C$2:$C$7,0),MATCH($J$11,$D$12:$G$12,0))</f>
        <v>1118.4</v>
      </c>
      <c r="M124" s="163">
        <f ca="1">竞技场!$G$3*OFFSET($C$1,MATCH(M$12,$C$2:$C$7,0),MATCH($J$11,$D$12:$G$12,0))</f>
        <v>1050</v>
      </c>
      <c r="N12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24" s="23">
        <f>任务!$G$6+任务!$G$9+IF(MOD(I124,7)=0,任务!$N$9+任务!$O$6,0)</f>
        <v>3125</v>
      </c>
      <c r="P124" s="25">
        <f>公会!$U$11</f>
        <v>2766.62857142857</v>
      </c>
      <c r="Q124" s="163" t="e">
        <f ca="1">_xlfn.XLOOKUP(OFFSET($C$12,$I124,MATCH($J$11,$D$12:$G$12,0)),巡逻产出!$B$311:$B$610,巡逻产出!$Q$311:$Q$610)*OFFSET($C$1,MATCH(Q$12,$C$2:$C$7,0),MATCH($J$11,$D$12:$G$12,0))</f>
        <v>#N/A</v>
      </c>
      <c r="S124" s="160">
        <v>112</v>
      </c>
      <c r="T124" s="163" t="e">
        <f ca="1">_xlfn.XLOOKUP(OFFSET($C$12,$I124,MATCH($T$11,$D$12:$G$12,0)),主线推图!$B$313:$B$612,主线推图!$P$313:$P$612)*OFFSET($C$1,MATCH(T$12,$C$2:$C$7,0),MATCH($T$11,$D$12:$G$12,0))</f>
        <v>#N/A</v>
      </c>
      <c r="U124" s="163" t="e">
        <f ca="1">_xlfn.XLOOKUP(OFFSET($C$12,$I124,MATCH($T$11,$D$12:$G$12,0)),巡逻产出!$B$311:$B$610,巡逻产出!$R$311:$R$610)*OFFSET($C$1,MATCH(U$12,$C$2:$C$7,0),MATCH($T$11,$D$12:$G$12,0))</f>
        <v>#N/A</v>
      </c>
      <c r="V124" s="163">
        <f ca="1">_xlfn.XLOOKUP(MAX(INT((OFFSET($C$12,$I124,MATCH($T$11,$D$12:$G$12,0))-6)/10),1),组队产出!$B$25:$B$39,组队产出!$P$25:$P$39)*OFFSET($C$1,MATCH(V$12,$C$2:$C$7,0),MATCH($T$11,$D$12:$G$12,0))</f>
        <v>2272.8</v>
      </c>
      <c r="W124" s="163">
        <f ca="1">竞技场!$G$3*OFFSET($C$1,MATCH(W$12,$C$2:$C$7,0),MATCH($T$11,$D$12:$G$12,0))</f>
        <v>2100</v>
      </c>
      <c r="X12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24" s="23">
        <f>任务!$G$6+任务!$G$9+IF(MOD(S124,7)=0,任务!$N$9+任务!$O$6,0)</f>
        <v>3125</v>
      </c>
      <c r="Z124" s="25">
        <f>公会!$U$11</f>
        <v>2766.62857142857</v>
      </c>
      <c r="AA124" s="163" t="e">
        <f ca="1">_xlfn.XLOOKUP(OFFSET($C$12,$I124,MATCH($T$11,$D$12:$G$12,0)),巡逻产出!$B$311:$B$610,巡逻产出!$Q$311:$Q$610)*OFFSET($C$1,MATCH(AA$12,$C$2:$C$7,0),MATCH($T$11,$D$12:$G$12,0))</f>
        <v>#N/A</v>
      </c>
      <c r="AC124" s="160">
        <v>112</v>
      </c>
      <c r="AD124" s="163">
        <f ca="1">_xlfn.XLOOKUP(OFFSET($C$12,$I124,MATCH($AD$11,$D$12:$G$12,0)),主线推图!$B$313:$B$612,主线推图!$P$313:$P$612)*OFFSET($C$1,MATCH(AD$12,$C$2:$C$7,0),MATCH($AD$11,$D$12:$G$12,0))</f>
        <v>3339.6</v>
      </c>
      <c r="AE124" s="163">
        <f ca="1">_xlfn.XLOOKUP(OFFSET($C$12,$I124,MATCH($AD$11,$D$12:$G$12,0)),巡逻产出!$B$311:$B$610,巡逻产出!$R$311:$R$610)*OFFSET($C$1,MATCH(AE$12,$C$2:$C$7,0),MATCH($AD$11,$D$12:$G$12,0))</f>
        <v>0</v>
      </c>
      <c r="AF124" s="163" t="e">
        <f ca="1">_xlfn.XLOOKUP(MAX(INT((OFFSET($C$12,$I124,MATCH($AD$11,$D$12:$G$12,0))-6)/10),1),组队产出!$B$25:$B$39,组队产出!$P$25:$P$39)*OFFSET($C$1,MATCH(AF$12,$C$2:$C$7,0),MATCH($AD$11,$D$12:$G$12,0))</f>
        <v>#N/A</v>
      </c>
      <c r="AG124" s="163">
        <f ca="1">竞技场!$G$3*OFFSET($C$1,MATCH(AG$12,$C$2:$C$7,0),MATCH($AD$11,$D$12:$G$12,0))</f>
        <v>3150</v>
      </c>
      <c r="AH12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24" s="23">
        <f>任务!$G$6+任务!$G$9+IF(MOD(AC124,7)=0,任务!$N$9+任务!$O$6,0)</f>
        <v>3125</v>
      </c>
      <c r="AJ124" s="25">
        <f>公会!$U$11</f>
        <v>2766.62857142857</v>
      </c>
      <c r="AK124" s="163">
        <f ca="1">_xlfn.XLOOKUP(OFFSET($C$12,$I124,MATCH($AD$11,$D$12:$G$12,0)),巡逻产出!$B$311:$B$610,巡逻产出!$Q$311:$Q$610)*OFFSET($C$1,MATCH(AK$12,$C$2:$C$7,0),MATCH($AD$11,$D$12:$G$12,0))</f>
        <v>2310.048</v>
      </c>
      <c r="AM124" s="164">
        <v>112</v>
      </c>
      <c r="AN124" s="165">
        <f t="shared" si="11"/>
        <v>13413</v>
      </c>
      <c r="AO124" s="165">
        <f t="shared" si="12"/>
        <v>16762</v>
      </c>
      <c r="AP124" s="165">
        <f t="shared" si="13"/>
        <v>26419</v>
      </c>
      <c r="AQ124" s="165">
        <f t="shared" si="14"/>
        <v>34658</v>
      </c>
    </row>
    <row r="125" spans="3:43">
      <c r="C125" s="160">
        <v>113</v>
      </c>
      <c r="D125" s="169">
        <v>154</v>
      </c>
      <c r="E125" s="170">
        <f t="shared" si="9"/>
        <v>103</v>
      </c>
      <c r="F125" s="169">
        <f t="shared" si="10"/>
        <v>116.4</v>
      </c>
      <c r="G125" s="163">
        <f t="shared" si="16"/>
        <v>179.5</v>
      </c>
      <c r="I125" s="160">
        <v>113</v>
      </c>
      <c r="J125" s="163" t="e">
        <f ca="1">_xlfn.XLOOKUP(OFFSET($C$12,$I125,MATCH($J$11,$D$12:$G$12,0)),主线推图!$B$313:$B$612,主线推图!$P$313:$P$612)*OFFSET($C$1,MATCH(J$12,$C$2:$C$7,0),MATCH($J$11,$D$12:$G$12,0))</f>
        <v>#N/A</v>
      </c>
      <c r="K125" s="163" t="e">
        <f ca="1">_xlfn.XLOOKUP(OFFSET($C$12,$I125,MATCH($J$11,$D$12:$G$12,0)),巡逻产出!$B$311:$B$610,巡逻产出!$R$311:$R$610)*OFFSET($C$1,MATCH(K$12,$C$2:$C$7,0),MATCH($J$11,$D$12:$G$12,0))</f>
        <v>#N/A</v>
      </c>
      <c r="L125" s="163">
        <f ca="1">_xlfn.XLOOKUP(MAX(INT((OFFSET($C$12,$I125,MATCH($J$11,$D$12:$G$12,0))-6)/10),1),组队产出!$B$25:$B$39,组队产出!$P$25:$P$39)*OFFSET($C$1,MATCH(L$12,$C$2:$C$7,0),MATCH($J$11,$D$12:$G$12,0))</f>
        <v>1118.4</v>
      </c>
      <c r="M125" s="163">
        <f ca="1">竞技场!$G$3*OFFSET($C$1,MATCH(M$12,$C$2:$C$7,0),MATCH($J$11,$D$12:$G$12,0))</f>
        <v>1050</v>
      </c>
      <c r="N12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25" s="23">
        <f>任务!$G$6+任务!$G$9+IF(MOD(I125,7)=0,任务!$N$9+任务!$O$6,0)</f>
        <v>895</v>
      </c>
      <c r="P125" s="25">
        <f>公会!$U$11</f>
        <v>2766.62857142857</v>
      </c>
      <c r="Q125" s="163" t="e">
        <f ca="1">_xlfn.XLOOKUP(OFFSET($C$12,$I125,MATCH($J$11,$D$12:$G$12,0)),巡逻产出!$B$311:$B$610,巡逻产出!$Q$311:$Q$610)*OFFSET($C$1,MATCH(Q$12,$C$2:$C$7,0),MATCH($J$11,$D$12:$G$12,0))</f>
        <v>#N/A</v>
      </c>
      <c r="S125" s="160">
        <v>113</v>
      </c>
      <c r="T125" s="163" t="e">
        <f ca="1">_xlfn.XLOOKUP(OFFSET($C$12,$I125,MATCH($T$11,$D$12:$G$12,0)),主线推图!$B$313:$B$612,主线推图!$P$313:$P$612)*OFFSET($C$1,MATCH(T$12,$C$2:$C$7,0),MATCH($T$11,$D$12:$G$12,0))</f>
        <v>#N/A</v>
      </c>
      <c r="U125" s="163" t="e">
        <f ca="1">_xlfn.XLOOKUP(OFFSET($C$12,$I125,MATCH($T$11,$D$12:$G$12,0)),巡逻产出!$B$311:$B$610,巡逻产出!$R$311:$R$610)*OFFSET($C$1,MATCH(U$12,$C$2:$C$7,0),MATCH($T$11,$D$12:$G$12,0))</f>
        <v>#N/A</v>
      </c>
      <c r="V125" s="163">
        <f ca="1">_xlfn.XLOOKUP(MAX(INT((OFFSET($C$12,$I125,MATCH($T$11,$D$12:$G$12,0))-6)/10),1),组队产出!$B$25:$B$39,组队产出!$P$25:$P$39)*OFFSET($C$1,MATCH(V$12,$C$2:$C$7,0),MATCH($T$11,$D$12:$G$12,0))</f>
        <v>2272.8</v>
      </c>
      <c r="W125" s="163">
        <f ca="1">竞技场!$G$3*OFFSET($C$1,MATCH(W$12,$C$2:$C$7,0),MATCH($T$11,$D$12:$G$12,0))</f>
        <v>2100</v>
      </c>
      <c r="X12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25" s="23">
        <f>任务!$G$6+任务!$G$9+IF(MOD(S125,7)=0,任务!$N$9+任务!$O$6,0)</f>
        <v>895</v>
      </c>
      <c r="Z125" s="25">
        <f>公会!$U$11</f>
        <v>2766.62857142857</v>
      </c>
      <c r="AA125" s="163" t="e">
        <f ca="1">_xlfn.XLOOKUP(OFFSET($C$12,$I125,MATCH($T$11,$D$12:$G$12,0)),巡逻产出!$B$311:$B$610,巡逻产出!$Q$311:$Q$610)*OFFSET($C$1,MATCH(AA$12,$C$2:$C$7,0),MATCH($T$11,$D$12:$G$12,0))</f>
        <v>#N/A</v>
      </c>
      <c r="AC125" s="160">
        <v>113</v>
      </c>
      <c r="AD125" s="163" t="e">
        <f ca="1">_xlfn.XLOOKUP(OFFSET($C$12,$I125,MATCH($AD$11,$D$12:$G$12,0)),主线推图!$B$313:$B$612,主线推图!$P$313:$P$612)*OFFSET($C$1,MATCH(AD$12,$C$2:$C$7,0),MATCH($AD$11,$D$12:$G$12,0))</f>
        <v>#N/A</v>
      </c>
      <c r="AE125" s="163" t="e">
        <f ca="1">_xlfn.XLOOKUP(OFFSET($C$12,$I125,MATCH($AD$11,$D$12:$G$12,0)),巡逻产出!$B$311:$B$610,巡逻产出!$R$311:$R$610)*OFFSET($C$1,MATCH(AE$12,$C$2:$C$7,0),MATCH($AD$11,$D$12:$G$12,0))</f>
        <v>#N/A</v>
      </c>
      <c r="AF125" s="163" t="e">
        <f ca="1">_xlfn.XLOOKUP(MAX(INT((OFFSET($C$12,$I125,MATCH($AD$11,$D$12:$G$12,0))-6)/10),1),组队产出!$B$25:$B$39,组队产出!$P$25:$P$39)*OFFSET($C$1,MATCH(AF$12,$C$2:$C$7,0),MATCH($AD$11,$D$12:$G$12,0))</f>
        <v>#N/A</v>
      </c>
      <c r="AG125" s="163">
        <f ca="1">竞技场!$G$3*OFFSET($C$1,MATCH(AG$12,$C$2:$C$7,0),MATCH($AD$11,$D$12:$G$12,0))</f>
        <v>3150</v>
      </c>
      <c r="AH12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25" s="23">
        <f>任务!$G$6+任务!$G$9+IF(MOD(AC125,7)=0,任务!$N$9+任务!$O$6,0)</f>
        <v>895</v>
      </c>
      <c r="AJ125" s="25">
        <f>公会!$U$11</f>
        <v>2766.62857142857</v>
      </c>
      <c r="AK125" s="163" t="e">
        <f ca="1">_xlfn.XLOOKUP(OFFSET($C$12,$I125,MATCH($AD$11,$D$12:$G$12,0)),巡逻产出!$B$311:$B$610,巡逻产出!$Q$311:$Q$610)*OFFSET($C$1,MATCH(AK$12,$C$2:$C$7,0),MATCH($AD$11,$D$12:$G$12,0))</f>
        <v>#N/A</v>
      </c>
      <c r="AM125" s="164">
        <v>113</v>
      </c>
      <c r="AN125" s="165">
        <f t="shared" si="11"/>
        <v>13527</v>
      </c>
      <c r="AO125" s="165">
        <f t="shared" si="12"/>
        <v>16905</v>
      </c>
      <c r="AP125" s="165">
        <f t="shared" si="13"/>
        <v>26648</v>
      </c>
      <c r="AQ125" s="165">
        <f t="shared" si="14"/>
        <v>34960</v>
      </c>
    </row>
    <row r="126" spans="3:43">
      <c r="C126" s="160">
        <v>114</v>
      </c>
      <c r="D126" s="169">
        <v>155</v>
      </c>
      <c r="E126" s="170">
        <f t="shared" si="9"/>
        <v>103.25</v>
      </c>
      <c r="F126" s="169">
        <f t="shared" si="10"/>
        <v>116.75</v>
      </c>
      <c r="G126" s="163">
        <f t="shared" si="16"/>
        <v>180</v>
      </c>
      <c r="I126" s="160">
        <v>114</v>
      </c>
      <c r="J126" s="163" t="e">
        <f ca="1">_xlfn.XLOOKUP(OFFSET($C$12,$I126,MATCH($J$11,$D$12:$G$12,0)),主线推图!$B$313:$B$612,主线推图!$P$313:$P$612)*OFFSET($C$1,MATCH(J$12,$C$2:$C$7,0),MATCH($J$11,$D$12:$G$12,0))</f>
        <v>#N/A</v>
      </c>
      <c r="K126" s="163" t="e">
        <f ca="1">_xlfn.XLOOKUP(OFFSET($C$12,$I126,MATCH($J$11,$D$12:$G$12,0)),巡逻产出!$B$311:$B$610,巡逻产出!$R$311:$R$610)*OFFSET($C$1,MATCH(K$12,$C$2:$C$7,0),MATCH($J$11,$D$12:$G$12,0))</f>
        <v>#N/A</v>
      </c>
      <c r="L126" s="163">
        <f ca="1">_xlfn.XLOOKUP(MAX(INT((OFFSET($C$12,$I126,MATCH($J$11,$D$12:$G$12,0))-6)/10),1),组队产出!$B$25:$B$39,组队产出!$P$25:$P$39)*OFFSET($C$1,MATCH(L$12,$C$2:$C$7,0),MATCH($J$11,$D$12:$G$12,0))</f>
        <v>1118.4</v>
      </c>
      <c r="M126" s="163">
        <f ca="1">竞技场!$G$3*OFFSET($C$1,MATCH(M$12,$C$2:$C$7,0),MATCH($J$11,$D$12:$G$12,0))</f>
        <v>1050</v>
      </c>
      <c r="N12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26" s="23">
        <f>任务!$G$6+任务!$G$9+IF(MOD(I126,7)=0,任务!$N$9+任务!$O$6,0)</f>
        <v>895</v>
      </c>
      <c r="P126" s="25">
        <f>公会!$U$11</f>
        <v>2766.62857142857</v>
      </c>
      <c r="Q126" s="163" t="e">
        <f ca="1">_xlfn.XLOOKUP(OFFSET($C$12,$I126,MATCH($J$11,$D$12:$G$12,0)),巡逻产出!$B$311:$B$610,巡逻产出!$Q$311:$Q$610)*OFFSET($C$1,MATCH(Q$12,$C$2:$C$7,0),MATCH($J$11,$D$12:$G$12,0))</f>
        <v>#N/A</v>
      </c>
      <c r="S126" s="160">
        <v>114</v>
      </c>
      <c r="T126" s="163" t="e">
        <f ca="1">_xlfn.XLOOKUP(OFFSET($C$12,$I126,MATCH($T$11,$D$12:$G$12,0)),主线推图!$B$313:$B$612,主线推图!$P$313:$P$612)*OFFSET($C$1,MATCH(T$12,$C$2:$C$7,0),MATCH($T$11,$D$12:$G$12,0))</f>
        <v>#N/A</v>
      </c>
      <c r="U126" s="163" t="e">
        <f ca="1">_xlfn.XLOOKUP(OFFSET($C$12,$I126,MATCH($T$11,$D$12:$G$12,0)),巡逻产出!$B$311:$B$610,巡逻产出!$R$311:$R$610)*OFFSET($C$1,MATCH(U$12,$C$2:$C$7,0),MATCH($T$11,$D$12:$G$12,0))</f>
        <v>#N/A</v>
      </c>
      <c r="V126" s="163">
        <f ca="1">_xlfn.XLOOKUP(MAX(INT((OFFSET($C$12,$I126,MATCH($T$11,$D$12:$G$12,0))-6)/10),1),组队产出!$B$25:$B$39,组队产出!$P$25:$P$39)*OFFSET($C$1,MATCH(V$12,$C$2:$C$7,0),MATCH($T$11,$D$12:$G$12,0))</f>
        <v>2272.8</v>
      </c>
      <c r="W126" s="163">
        <f ca="1">竞技场!$G$3*OFFSET($C$1,MATCH(W$12,$C$2:$C$7,0),MATCH($T$11,$D$12:$G$12,0))</f>
        <v>2100</v>
      </c>
      <c r="X12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26" s="23">
        <f>任务!$G$6+任务!$G$9+IF(MOD(S126,7)=0,任务!$N$9+任务!$O$6,0)</f>
        <v>895</v>
      </c>
      <c r="Z126" s="25">
        <f>公会!$U$11</f>
        <v>2766.62857142857</v>
      </c>
      <c r="AA126" s="163" t="e">
        <f ca="1">_xlfn.XLOOKUP(OFFSET($C$12,$I126,MATCH($T$11,$D$12:$G$12,0)),巡逻产出!$B$311:$B$610,巡逻产出!$Q$311:$Q$610)*OFFSET($C$1,MATCH(AA$12,$C$2:$C$7,0),MATCH($T$11,$D$12:$G$12,0))</f>
        <v>#N/A</v>
      </c>
      <c r="AC126" s="160">
        <v>114</v>
      </c>
      <c r="AD126" s="163">
        <f ca="1">_xlfn.XLOOKUP(OFFSET($C$12,$I126,MATCH($AD$11,$D$12:$G$12,0)),主线推图!$B$313:$B$612,主线推图!$P$313:$P$612)*OFFSET($C$1,MATCH(AD$12,$C$2:$C$7,0),MATCH($AD$11,$D$12:$G$12,0))</f>
        <v>3341.8</v>
      </c>
      <c r="AE126" s="163">
        <f ca="1">_xlfn.XLOOKUP(OFFSET($C$12,$I126,MATCH($AD$11,$D$12:$G$12,0)),巡逻产出!$B$311:$B$610,巡逻产出!$R$311:$R$610)*OFFSET($C$1,MATCH(AE$12,$C$2:$C$7,0),MATCH($AD$11,$D$12:$G$12,0))</f>
        <v>0</v>
      </c>
      <c r="AF126" s="163" t="e">
        <f ca="1">_xlfn.XLOOKUP(MAX(INT((OFFSET($C$12,$I126,MATCH($AD$11,$D$12:$G$12,0))-6)/10),1),组队产出!$B$25:$B$39,组队产出!$P$25:$P$39)*OFFSET($C$1,MATCH(AF$12,$C$2:$C$7,0),MATCH($AD$11,$D$12:$G$12,0))</f>
        <v>#N/A</v>
      </c>
      <c r="AG126" s="163">
        <f ca="1">竞技场!$G$3*OFFSET($C$1,MATCH(AG$12,$C$2:$C$7,0),MATCH($AD$11,$D$12:$G$12,0))</f>
        <v>3150</v>
      </c>
      <c r="AH12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26" s="23">
        <f>任务!$G$6+任务!$G$9+IF(MOD(AC126,7)=0,任务!$N$9+任务!$O$6,0)</f>
        <v>895</v>
      </c>
      <c r="AJ126" s="25">
        <f>公会!$U$11</f>
        <v>2766.62857142857</v>
      </c>
      <c r="AK126" s="163">
        <f ca="1">_xlfn.XLOOKUP(OFFSET($C$12,$I126,MATCH($AD$11,$D$12:$G$12,0)),巡逻产出!$B$311:$B$610,巡逻产出!$Q$311:$Q$610)*OFFSET($C$1,MATCH(AK$12,$C$2:$C$7,0),MATCH($AD$11,$D$12:$G$12,0))</f>
        <v>2311.608</v>
      </c>
      <c r="AM126" s="164">
        <v>114</v>
      </c>
      <c r="AN126" s="165">
        <f t="shared" si="11"/>
        <v>13640</v>
      </c>
      <c r="AO126" s="165">
        <f t="shared" si="12"/>
        <v>17048</v>
      </c>
      <c r="AP126" s="165">
        <f t="shared" si="13"/>
        <v>26876</v>
      </c>
      <c r="AQ126" s="165">
        <f t="shared" si="14"/>
        <v>35262</v>
      </c>
    </row>
    <row r="127" spans="3:43">
      <c r="C127" s="160">
        <v>115</v>
      </c>
      <c r="D127" s="169">
        <v>155</v>
      </c>
      <c r="E127" s="170">
        <f t="shared" ref="E127:E190" si="18">E126+0.25</f>
        <v>103.5</v>
      </c>
      <c r="F127" s="169">
        <f t="shared" ref="F127:F190" si="19">F126+0.35</f>
        <v>117.1</v>
      </c>
      <c r="G127" s="163">
        <f t="shared" si="16"/>
        <v>180.5</v>
      </c>
      <c r="I127" s="160">
        <v>115</v>
      </c>
      <c r="J127" s="163" t="e">
        <f ca="1">_xlfn.XLOOKUP(OFFSET($C$12,$I127,MATCH($J$11,$D$12:$G$12,0)),主线推图!$B$313:$B$612,主线推图!$P$313:$P$612)*OFFSET($C$1,MATCH(J$12,$C$2:$C$7,0),MATCH($J$11,$D$12:$G$12,0))</f>
        <v>#N/A</v>
      </c>
      <c r="K127" s="163" t="e">
        <f ca="1">_xlfn.XLOOKUP(OFFSET($C$12,$I127,MATCH($J$11,$D$12:$G$12,0)),巡逻产出!$B$311:$B$610,巡逻产出!$R$311:$R$610)*OFFSET($C$1,MATCH(K$12,$C$2:$C$7,0),MATCH($J$11,$D$12:$G$12,0))</f>
        <v>#N/A</v>
      </c>
      <c r="L127" s="163">
        <f ca="1">_xlfn.XLOOKUP(MAX(INT((OFFSET($C$12,$I127,MATCH($J$11,$D$12:$G$12,0))-6)/10),1),组队产出!$B$25:$B$39,组队产出!$P$25:$P$39)*OFFSET($C$1,MATCH(L$12,$C$2:$C$7,0),MATCH($J$11,$D$12:$G$12,0))</f>
        <v>1118.4</v>
      </c>
      <c r="M127" s="163">
        <f ca="1">竞技场!$G$3*OFFSET($C$1,MATCH(M$12,$C$2:$C$7,0),MATCH($J$11,$D$12:$G$12,0))</f>
        <v>1050</v>
      </c>
      <c r="N12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27" s="23">
        <f>任务!$G$6+任务!$G$9+IF(MOD(I127,7)=0,任务!$N$9+任务!$O$6,0)</f>
        <v>895</v>
      </c>
      <c r="P127" s="25">
        <f>公会!$U$11</f>
        <v>2766.62857142857</v>
      </c>
      <c r="Q127" s="163" t="e">
        <f ca="1">_xlfn.XLOOKUP(OFFSET($C$12,$I127,MATCH($J$11,$D$12:$G$12,0)),巡逻产出!$B$311:$B$610,巡逻产出!$Q$311:$Q$610)*OFFSET($C$1,MATCH(Q$12,$C$2:$C$7,0),MATCH($J$11,$D$12:$G$12,0))</f>
        <v>#N/A</v>
      </c>
      <c r="S127" s="160">
        <v>115</v>
      </c>
      <c r="T127" s="163" t="e">
        <f ca="1">_xlfn.XLOOKUP(OFFSET($C$12,$I127,MATCH($T$11,$D$12:$G$12,0)),主线推图!$B$313:$B$612,主线推图!$P$313:$P$612)*OFFSET($C$1,MATCH(T$12,$C$2:$C$7,0),MATCH($T$11,$D$12:$G$12,0))</f>
        <v>#N/A</v>
      </c>
      <c r="U127" s="163" t="e">
        <f ca="1">_xlfn.XLOOKUP(OFFSET($C$12,$I127,MATCH($T$11,$D$12:$G$12,0)),巡逻产出!$B$311:$B$610,巡逻产出!$R$311:$R$610)*OFFSET($C$1,MATCH(U$12,$C$2:$C$7,0),MATCH($T$11,$D$12:$G$12,0))</f>
        <v>#N/A</v>
      </c>
      <c r="V127" s="163">
        <f ca="1">_xlfn.XLOOKUP(MAX(INT((OFFSET($C$12,$I127,MATCH($T$11,$D$12:$G$12,0))-6)/10),1),组队产出!$B$25:$B$39,组队产出!$P$25:$P$39)*OFFSET($C$1,MATCH(V$12,$C$2:$C$7,0),MATCH($T$11,$D$12:$G$12,0))</f>
        <v>2272.8</v>
      </c>
      <c r="W127" s="163">
        <f ca="1">竞技场!$G$3*OFFSET($C$1,MATCH(W$12,$C$2:$C$7,0),MATCH($T$11,$D$12:$G$12,0))</f>
        <v>2100</v>
      </c>
      <c r="X12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27" s="23">
        <f>任务!$G$6+任务!$G$9+IF(MOD(S127,7)=0,任务!$N$9+任务!$O$6,0)</f>
        <v>895</v>
      </c>
      <c r="Z127" s="25">
        <f>公会!$U$11</f>
        <v>2766.62857142857</v>
      </c>
      <c r="AA127" s="163" t="e">
        <f ca="1">_xlfn.XLOOKUP(OFFSET($C$12,$I127,MATCH($T$11,$D$12:$G$12,0)),巡逻产出!$B$311:$B$610,巡逻产出!$Q$311:$Q$610)*OFFSET($C$1,MATCH(AA$12,$C$2:$C$7,0),MATCH($T$11,$D$12:$G$12,0))</f>
        <v>#N/A</v>
      </c>
      <c r="AC127" s="160">
        <v>115</v>
      </c>
      <c r="AD127" s="163" t="e">
        <f ca="1">_xlfn.XLOOKUP(OFFSET($C$12,$I127,MATCH($AD$11,$D$12:$G$12,0)),主线推图!$B$313:$B$612,主线推图!$P$313:$P$612)*OFFSET($C$1,MATCH(AD$12,$C$2:$C$7,0),MATCH($AD$11,$D$12:$G$12,0))</f>
        <v>#N/A</v>
      </c>
      <c r="AE127" s="163" t="e">
        <f ca="1">_xlfn.XLOOKUP(OFFSET($C$12,$I127,MATCH($AD$11,$D$12:$G$12,0)),巡逻产出!$B$311:$B$610,巡逻产出!$R$311:$R$610)*OFFSET($C$1,MATCH(AE$12,$C$2:$C$7,0),MATCH($AD$11,$D$12:$G$12,0))</f>
        <v>#N/A</v>
      </c>
      <c r="AF127" s="163" t="e">
        <f ca="1">_xlfn.XLOOKUP(MAX(INT((OFFSET($C$12,$I127,MATCH($AD$11,$D$12:$G$12,0))-6)/10),1),组队产出!$B$25:$B$39,组队产出!$P$25:$P$39)*OFFSET($C$1,MATCH(AF$12,$C$2:$C$7,0),MATCH($AD$11,$D$12:$G$12,0))</f>
        <v>#N/A</v>
      </c>
      <c r="AG127" s="163">
        <f ca="1">竞技场!$G$3*OFFSET($C$1,MATCH(AG$12,$C$2:$C$7,0),MATCH($AD$11,$D$12:$G$12,0))</f>
        <v>3150</v>
      </c>
      <c r="AH12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27" s="23">
        <f>任务!$G$6+任务!$G$9+IF(MOD(AC127,7)=0,任务!$N$9+任务!$O$6,0)</f>
        <v>895</v>
      </c>
      <c r="AJ127" s="25">
        <f>公会!$U$11</f>
        <v>2766.62857142857</v>
      </c>
      <c r="AK127" s="163" t="e">
        <f ca="1">_xlfn.XLOOKUP(OFFSET($C$12,$I127,MATCH($AD$11,$D$12:$G$12,0)),巡逻产出!$B$311:$B$610,巡逻产出!$Q$311:$Q$610)*OFFSET($C$1,MATCH(AK$12,$C$2:$C$7,0),MATCH($AD$11,$D$12:$G$12,0))</f>
        <v>#N/A</v>
      </c>
      <c r="AM127" s="164">
        <v>115</v>
      </c>
      <c r="AN127" s="165">
        <f t="shared" si="11"/>
        <v>13754</v>
      </c>
      <c r="AO127" s="165">
        <f t="shared" si="12"/>
        <v>17191</v>
      </c>
      <c r="AP127" s="165">
        <f t="shared" si="13"/>
        <v>27105</v>
      </c>
      <c r="AQ127" s="165">
        <f t="shared" si="14"/>
        <v>35564</v>
      </c>
    </row>
    <row r="128" spans="3:43">
      <c r="C128" s="160">
        <v>116</v>
      </c>
      <c r="D128" s="169">
        <v>155</v>
      </c>
      <c r="E128" s="170">
        <f t="shared" si="18"/>
        <v>103.75</v>
      </c>
      <c r="F128" s="169">
        <f t="shared" si="19"/>
        <v>117.45</v>
      </c>
      <c r="G128" s="163">
        <f t="shared" si="16"/>
        <v>181</v>
      </c>
      <c r="I128" s="160">
        <v>116</v>
      </c>
      <c r="J128" s="163" t="e">
        <f ca="1">_xlfn.XLOOKUP(OFFSET($C$12,$I128,MATCH($J$11,$D$12:$G$12,0)),主线推图!$B$313:$B$612,主线推图!$P$313:$P$612)*OFFSET($C$1,MATCH(J$12,$C$2:$C$7,0),MATCH($J$11,$D$12:$G$12,0))</f>
        <v>#N/A</v>
      </c>
      <c r="K128" s="163" t="e">
        <f ca="1">_xlfn.XLOOKUP(OFFSET($C$12,$I128,MATCH($J$11,$D$12:$G$12,0)),巡逻产出!$B$311:$B$610,巡逻产出!$R$311:$R$610)*OFFSET($C$1,MATCH(K$12,$C$2:$C$7,0),MATCH($J$11,$D$12:$G$12,0))</f>
        <v>#N/A</v>
      </c>
      <c r="L128" s="163">
        <f ca="1">_xlfn.XLOOKUP(MAX(INT((OFFSET($C$12,$I128,MATCH($J$11,$D$12:$G$12,0))-6)/10),1),组队产出!$B$25:$B$39,组队产出!$P$25:$P$39)*OFFSET($C$1,MATCH(L$12,$C$2:$C$7,0),MATCH($J$11,$D$12:$G$12,0))</f>
        <v>1118.4</v>
      </c>
      <c r="M128" s="163">
        <f ca="1">竞技场!$G$3*OFFSET($C$1,MATCH(M$12,$C$2:$C$7,0),MATCH($J$11,$D$12:$G$12,0))</f>
        <v>1050</v>
      </c>
      <c r="N12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28" s="23">
        <f>任务!$G$6+任务!$G$9+IF(MOD(I128,7)=0,任务!$N$9+任务!$O$6,0)</f>
        <v>895</v>
      </c>
      <c r="P128" s="25">
        <f>公会!$U$11</f>
        <v>2766.62857142857</v>
      </c>
      <c r="Q128" s="163" t="e">
        <f ca="1">_xlfn.XLOOKUP(OFFSET($C$12,$I128,MATCH($J$11,$D$12:$G$12,0)),巡逻产出!$B$311:$B$610,巡逻产出!$Q$311:$Q$610)*OFFSET($C$1,MATCH(Q$12,$C$2:$C$7,0),MATCH($J$11,$D$12:$G$12,0))</f>
        <v>#N/A</v>
      </c>
      <c r="S128" s="160">
        <v>116</v>
      </c>
      <c r="T128" s="163" t="e">
        <f ca="1">_xlfn.XLOOKUP(OFFSET($C$12,$I128,MATCH($T$11,$D$12:$G$12,0)),主线推图!$B$313:$B$612,主线推图!$P$313:$P$612)*OFFSET($C$1,MATCH(T$12,$C$2:$C$7,0),MATCH($T$11,$D$12:$G$12,0))</f>
        <v>#N/A</v>
      </c>
      <c r="U128" s="163" t="e">
        <f ca="1">_xlfn.XLOOKUP(OFFSET($C$12,$I128,MATCH($T$11,$D$12:$G$12,0)),巡逻产出!$B$311:$B$610,巡逻产出!$R$311:$R$610)*OFFSET($C$1,MATCH(U$12,$C$2:$C$7,0),MATCH($T$11,$D$12:$G$12,0))</f>
        <v>#N/A</v>
      </c>
      <c r="V128" s="163">
        <f ca="1">_xlfn.XLOOKUP(MAX(INT((OFFSET($C$12,$I128,MATCH($T$11,$D$12:$G$12,0))-6)/10),1),组队产出!$B$25:$B$39,组队产出!$P$25:$P$39)*OFFSET($C$1,MATCH(V$12,$C$2:$C$7,0),MATCH($T$11,$D$12:$G$12,0))</f>
        <v>2272.8</v>
      </c>
      <c r="W128" s="163">
        <f ca="1">竞技场!$G$3*OFFSET($C$1,MATCH(W$12,$C$2:$C$7,0),MATCH($T$11,$D$12:$G$12,0))</f>
        <v>2100</v>
      </c>
      <c r="X12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28" s="23">
        <f>任务!$G$6+任务!$G$9+IF(MOD(S128,7)=0,任务!$N$9+任务!$O$6,0)</f>
        <v>895</v>
      </c>
      <c r="Z128" s="25">
        <f>公会!$U$11</f>
        <v>2766.62857142857</v>
      </c>
      <c r="AA128" s="163" t="e">
        <f ca="1">_xlfn.XLOOKUP(OFFSET($C$12,$I128,MATCH($T$11,$D$12:$G$12,0)),巡逻产出!$B$311:$B$610,巡逻产出!$Q$311:$Q$610)*OFFSET($C$1,MATCH(AA$12,$C$2:$C$7,0),MATCH($T$11,$D$12:$G$12,0))</f>
        <v>#N/A</v>
      </c>
      <c r="AC128" s="160">
        <v>116</v>
      </c>
      <c r="AD128" s="163">
        <f ca="1">_xlfn.XLOOKUP(OFFSET($C$12,$I128,MATCH($AD$11,$D$12:$G$12,0)),主线推图!$B$313:$B$612,主线推图!$P$313:$P$612)*OFFSET($C$1,MATCH(AD$12,$C$2:$C$7,0),MATCH($AD$11,$D$12:$G$12,0))</f>
        <v>3344</v>
      </c>
      <c r="AE128" s="163">
        <f ca="1">_xlfn.XLOOKUP(OFFSET($C$12,$I128,MATCH($AD$11,$D$12:$G$12,0)),巡逻产出!$B$311:$B$610,巡逻产出!$R$311:$R$610)*OFFSET($C$1,MATCH(AE$12,$C$2:$C$7,0),MATCH($AD$11,$D$12:$G$12,0))</f>
        <v>0</v>
      </c>
      <c r="AF128" s="163" t="e">
        <f ca="1">_xlfn.XLOOKUP(MAX(INT((OFFSET($C$12,$I128,MATCH($AD$11,$D$12:$G$12,0))-6)/10),1),组队产出!$B$25:$B$39,组队产出!$P$25:$P$39)*OFFSET($C$1,MATCH(AF$12,$C$2:$C$7,0),MATCH($AD$11,$D$12:$G$12,0))</f>
        <v>#N/A</v>
      </c>
      <c r="AG128" s="163">
        <f ca="1">竞技场!$G$3*OFFSET($C$1,MATCH(AG$12,$C$2:$C$7,0),MATCH($AD$11,$D$12:$G$12,0))</f>
        <v>3150</v>
      </c>
      <c r="AH12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28" s="23">
        <f>任务!$G$6+任务!$G$9+IF(MOD(AC128,7)=0,任务!$N$9+任务!$O$6,0)</f>
        <v>895</v>
      </c>
      <c r="AJ128" s="25">
        <f>公会!$U$11</f>
        <v>2766.62857142857</v>
      </c>
      <c r="AK128" s="163">
        <f ca="1">_xlfn.XLOOKUP(OFFSET($C$12,$I128,MATCH($AD$11,$D$12:$G$12,0)),巡逻产出!$B$311:$B$610,巡逻产出!$Q$311:$Q$610)*OFFSET($C$1,MATCH(AK$12,$C$2:$C$7,0),MATCH($AD$11,$D$12:$G$12,0))</f>
        <v>2313.168</v>
      </c>
      <c r="AM128" s="164">
        <v>116</v>
      </c>
      <c r="AN128" s="165">
        <f t="shared" si="11"/>
        <v>13867</v>
      </c>
      <c r="AO128" s="165">
        <f t="shared" si="12"/>
        <v>17334</v>
      </c>
      <c r="AP128" s="165">
        <f t="shared" si="13"/>
        <v>27333</v>
      </c>
      <c r="AQ128" s="165">
        <f t="shared" si="14"/>
        <v>35866</v>
      </c>
    </row>
    <row r="129" spans="3:43">
      <c r="C129" s="160">
        <v>117</v>
      </c>
      <c r="D129" s="169">
        <v>156</v>
      </c>
      <c r="E129" s="170">
        <f t="shared" si="18"/>
        <v>104</v>
      </c>
      <c r="F129" s="169">
        <f t="shared" si="19"/>
        <v>117.8</v>
      </c>
      <c r="G129" s="163">
        <f t="shared" si="16"/>
        <v>181.5</v>
      </c>
      <c r="I129" s="160">
        <v>117</v>
      </c>
      <c r="J129" s="163" t="e">
        <f ca="1">_xlfn.XLOOKUP(OFFSET($C$12,$I129,MATCH($J$11,$D$12:$G$12,0)),主线推图!$B$313:$B$612,主线推图!$P$313:$P$612)*OFFSET($C$1,MATCH(J$12,$C$2:$C$7,0),MATCH($J$11,$D$12:$G$12,0))</f>
        <v>#N/A</v>
      </c>
      <c r="K129" s="163" t="e">
        <f ca="1">_xlfn.XLOOKUP(OFFSET($C$12,$I129,MATCH($J$11,$D$12:$G$12,0)),巡逻产出!$B$311:$B$610,巡逻产出!$R$311:$R$610)*OFFSET($C$1,MATCH(K$12,$C$2:$C$7,0),MATCH($J$11,$D$12:$G$12,0))</f>
        <v>#N/A</v>
      </c>
      <c r="L129" s="163">
        <f ca="1">_xlfn.XLOOKUP(MAX(INT((OFFSET($C$12,$I129,MATCH($J$11,$D$12:$G$12,0))-6)/10),1),组队产出!$B$25:$B$39,组队产出!$P$25:$P$39)*OFFSET($C$1,MATCH(L$12,$C$2:$C$7,0),MATCH($J$11,$D$12:$G$12,0))</f>
        <v>1118.4</v>
      </c>
      <c r="M129" s="163">
        <f ca="1">竞技场!$G$3*OFFSET($C$1,MATCH(M$12,$C$2:$C$7,0),MATCH($J$11,$D$12:$G$12,0))</f>
        <v>1050</v>
      </c>
      <c r="N12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29" s="23">
        <f>任务!$G$6+任务!$G$9+IF(MOD(I129,7)=0,任务!$N$9+任务!$O$6,0)</f>
        <v>895</v>
      </c>
      <c r="P129" s="25">
        <f>公会!$U$11</f>
        <v>2766.62857142857</v>
      </c>
      <c r="Q129" s="163" t="e">
        <f ca="1">_xlfn.XLOOKUP(OFFSET($C$12,$I129,MATCH($J$11,$D$12:$G$12,0)),巡逻产出!$B$311:$B$610,巡逻产出!$Q$311:$Q$610)*OFFSET($C$1,MATCH(Q$12,$C$2:$C$7,0),MATCH($J$11,$D$12:$G$12,0))</f>
        <v>#N/A</v>
      </c>
      <c r="S129" s="160">
        <v>117</v>
      </c>
      <c r="T129" s="163" t="e">
        <f ca="1">_xlfn.XLOOKUP(OFFSET($C$12,$I129,MATCH($T$11,$D$12:$G$12,0)),主线推图!$B$313:$B$612,主线推图!$P$313:$P$612)*OFFSET($C$1,MATCH(T$12,$C$2:$C$7,0),MATCH($T$11,$D$12:$G$12,0))</f>
        <v>#N/A</v>
      </c>
      <c r="U129" s="163" t="e">
        <f ca="1">_xlfn.XLOOKUP(OFFSET($C$12,$I129,MATCH($T$11,$D$12:$G$12,0)),巡逻产出!$B$311:$B$610,巡逻产出!$R$311:$R$610)*OFFSET($C$1,MATCH(U$12,$C$2:$C$7,0),MATCH($T$11,$D$12:$G$12,0))</f>
        <v>#N/A</v>
      </c>
      <c r="V129" s="163">
        <f ca="1">_xlfn.XLOOKUP(MAX(INT((OFFSET($C$12,$I129,MATCH($T$11,$D$12:$G$12,0))-6)/10),1),组队产出!$B$25:$B$39,组队产出!$P$25:$P$39)*OFFSET($C$1,MATCH(V$12,$C$2:$C$7,0),MATCH($T$11,$D$12:$G$12,0))</f>
        <v>2272.8</v>
      </c>
      <c r="W129" s="163">
        <f ca="1">竞技场!$G$3*OFFSET($C$1,MATCH(W$12,$C$2:$C$7,0),MATCH($T$11,$D$12:$G$12,0))</f>
        <v>2100</v>
      </c>
      <c r="X12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29" s="23">
        <f>任务!$G$6+任务!$G$9+IF(MOD(S129,7)=0,任务!$N$9+任务!$O$6,0)</f>
        <v>895</v>
      </c>
      <c r="Z129" s="25">
        <f>公会!$U$11</f>
        <v>2766.62857142857</v>
      </c>
      <c r="AA129" s="163" t="e">
        <f ca="1">_xlfn.XLOOKUP(OFFSET($C$12,$I129,MATCH($T$11,$D$12:$G$12,0)),巡逻产出!$B$311:$B$610,巡逻产出!$Q$311:$Q$610)*OFFSET($C$1,MATCH(AA$12,$C$2:$C$7,0),MATCH($T$11,$D$12:$G$12,0))</f>
        <v>#N/A</v>
      </c>
      <c r="AC129" s="160">
        <v>117</v>
      </c>
      <c r="AD129" s="163" t="e">
        <f ca="1">_xlfn.XLOOKUP(OFFSET($C$12,$I129,MATCH($AD$11,$D$12:$G$12,0)),主线推图!$B$313:$B$612,主线推图!$P$313:$P$612)*OFFSET($C$1,MATCH(AD$12,$C$2:$C$7,0),MATCH($AD$11,$D$12:$G$12,0))</f>
        <v>#N/A</v>
      </c>
      <c r="AE129" s="163" t="e">
        <f ca="1">_xlfn.XLOOKUP(OFFSET($C$12,$I129,MATCH($AD$11,$D$12:$G$12,0)),巡逻产出!$B$311:$B$610,巡逻产出!$R$311:$R$610)*OFFSET($C$1,MATCH(AE$12,$C$2:$C$7,0),MATCH($AD$11,$D$12:$G$12,0))</f>
        <v>#N/A</v>
      </c>
      <c r="AF129" s="163" t="e">
        <f ca="1">_xlfn.XLOOKUP(MAX(INT((OFFSET($C$12,$I129,MATCH($AD$11,$D$12:$G$12,0))-6)/10),1),组队产出!$B$25:$B$39,组队产出!$P$25:$P$39)*OFFSET($C$1,MATCH(AF$12,$C$2:$C$7,0),MATCH($AD$11,$D$12:$G$12,0))</f>
        <v>#N/A</v>
      </c>
      <c r="AG129" s="163">
        <f ca="1">竞技场!$G$3*OFFSET($C$1,MATCH(AG$12,$C$2:$C$7,0),MATCH($AD$11,$D$12:$G$12,0))</f>
        <v>3150</v>
      </c>
      <c r="AH12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29" s="23">
        <f>任务!$G$6+任务!$G$9+IF(MOD(AC129,7)=0,任务!$N$9+任务!$O$6,0)</f>
        <v>895</v>
      </c>
      <c r="AJ129" s="25">
        <f>公会!$U$11</f>
        <v>2766.62857142857</v>
      </c>
      <c r="AK129" s="163" t="e">
        <f ca="1">_xlfn.XLOOKUP(OFFSET($C$12,$I129,MATCH($AD$11,$D$12:$G$12,0)),巡逻产出!$B$311:$B$610,巡逻产出!$Q$311:$Q$610)*OFFSET($C$1,MATCH(AK$12,$C$2:$C$7,0),MATCH($AD$11,$D$12:$G$12,0))</f>
        <v>#N/A</v>
      </c>
      <c r="AM129" s="164">
        <v>117</v>
      </c>
      <c r="AN129" s="165">
        <f t="shared" si="11"/>
        <v>13981</v>
      </c>
      <c r="AO129" s="165">
        <f t="shared" si="12"/>
        <v>17477</v>
      </c>
      <c r="AP129" s="165">
        <f t="shared" si="13"/>
        <v>27562</v>
      </c>
      <c r="AQ129" s="165">
        <f t="shared" si="14"/>
        <v>36168</v>
      </c>
    </row>
    <row r="130" spans="3:43">
      <c r="C130" s="160">
        <v>118</v>
      </c>
      <c r="D130" s="169">
        <v>156</v>
      </c>
      <c r="E130" s="170">
        <f t="shared" si="18"/>
        <v>104.25</v>
      </c>
      <c r="F130" s="169">
        <f t="shared" si="19"/>
        <v>118.15</v>
      </c>
      <c r="G130" s="163">
        <f t="shared" si="16"/>
        <v>182</v>
      </c>
      <c r="I130" s="160">
        <v>118</v>
      </c>
      <c r="J130" s="163" t="e">
        <f ca="1">_xlfn.XLOOKUP(OFFSET($C$12,$I130,MATCH($J$11,$D$12:$G$12,0)),主线推图!$B$313:$B$612,主线推图!$P$313:$P$612)*OFFSET($C$1,MATCH(J$12,$C$2:$C$7,0),MATCH($J$11,$D$12:$G$12,0))</f>
        <v>#N/A</v>
      </c>
      <c r="K130" s="163" t="e">
        <f ca="1">_xlfn.XLOOKUP(OFFSET($C$12,$I130,MATCH($J$11,$D$12:$G$12,0)),巡逻产出!$B$311:$B$610,巡逻产出!$R$311:$R$610)*OFFSET($C$1,MATCH(K$12,$C$2:$C$7,0),MATCH($J$11,$D$12:$G$12,0))</f>
        <v>#N/A</v>
      </c>
      <c r="L130" s="163">
        <f ca="1">_xlfn.XLOOKUP(MAX(INT((OFFSET($C$12,$I130,MATCH($J$11,$D$12:$G$12,0))-6)/10),1),组队产出!$B$25:$B$39,组队产出!$P$25:$P$39)*OFFSET($C$1,MATCH(L$12,$C$2:$C$7,0),MATCH($J$11,$D$12:$G$12,0))</f>
        <v>1118.4</v>
      </c>
      <c r="M130" s="163">
        <f ca="1">竞技场!$G$3*OFFSET($C$1,MATCH(M$12,$C$2:$C$7,0),MATCH($J$11,$D$12:$G$12,0))</f>
        <v>1050</v>
      </c>
      <c r="N13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0" s="23">
        <f>任务!$G$6+任务!$G$9+IF(MOD(I130,7)=0,任务!$N$9+任务!$O$6,0)</f>
        <v>895</v>
      </c>
      <c r="P130" s="25">
        <f>公会!$U$11</f>
        <v>2766.62857142857</v>
      </c>
      <c r="Q130" s="163" t="e">
        <f ca="1">_xlfn.XLOOKUP(OFFSET($C$12,$I130,MATCH($J$11,$D$12:$G$12,0)),巡逻产出!$B$311:$B$610,巡逻产出!$Q$311:$Q$610)*OFFSET($C$1,MATCH(Q$12,$C$2:$C$7,0),MATCH($J$11,$D$12:$G$12,0))</f>
        <v>#N/A</v>
      </c>
      <c r="S130" s="160">
        <v>118</v>
      </c>
      <c r="T130" s="163" t="e">
        <f ca="1">_xlfn.XLOOKUP(OFFSET($C$12,$I130,MATCH($T$11,$D$12:$G$12,0)),主线推图!$B$313:$B$612,主线推图!$P$313:$P$612)*OFFSET($C$1,MATCH(T$12,$C$2:$C$7,0),MATCH($T$11,$D$12:$G$12,0))</f>
        <v>#N/A</v>
      </c>
      <c r="U130" s="163" t="e">
        <f ca="1">_xlfn.XLOOKUP(OFFSET($C$12,$I130,MATCH($T$11,$D$12:$G$12,0)),巡逻产出!$B$311:$B$610,巡逻产出!$R$311:$R$610)*OFFSET($C$1,MATCH(U$12,$C$2:$C$7,0),MATCH($T$11,$D$12:$G$12,0))</f>
        <v>#N/A</v>
      </c>
      <c r="V130" s="163">
        <f ca="1">_xlfn.XLOOKUP(MAX(INT((OFFSET($C$12,$I130,MATCH($T$11,$D$12:$G$12,0))-6)/10),1),组队产出!$B$25:$B$39,组队产出!$P$25:$P$39)*OFFSET($C$1,MATCH(V$12,$C$2:$C$7,0),MATCH($T$11,$D$12:$G$12,0))</f>
        <v>2272.8</v>
      </c>
      <c r="W130" s="163">
        <f ca="1">竞技场!$G$3*OFFSET($C$1,MATCH(W$12,$C$2:$C$7,0),MATCH($T$11,$D$12:$G$12,0))</f>
        <v>2100</v>
      </c>
      <c r="X13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0" s="23">
        <f>任务!$G$6+任务!$G$9+IF(MOD(S130,7)=0,任务!$N$9+任务!$O$6,0)</f>
        <v>895</v>
      </c>
      <c r="Z130" s="25">
        <f>公会!$U$11</f>
        <v>2766.62857142857</v>
      </c>
      <c r="AA130" s="163" t="e">
        <f ca="1">_xlfn.XLOOKUP(OFFSET($C$12,$I130,MATCH($T$11,$D$12:$G$12,0)),巡逻产出!$B$311:$B$610,巡逻产出!$Q$311:$Q$610)*OFFSET($C$1,MATCH(AA$12,$C$2:$C$7,0),MATCH($T$11,$D$12:$G$12,0))</f>
        <v>#N/A</v>
      </c>
      <c r="AC130" s="160">
        <v>118</v>
      </c>
      <c r="AD130" s="163">
        <f ca="1">_xlfn.XLOOKUP(OFFSET($C$12,$I130,MATCH($AD$11,$D$12:$G$12,0)),主线推图!$B$313:$B$612,主线推图!$P$313:$P$612)*OFFSET($C$1,MATCH(AD$12,$C$2:$C$7,0),MATCH($AD$11,$D$12:$G$12,0))</f>
        <v>3346.2</v>
      </c>
      <c r="AE130" s="163">
        <f ca="1">_xlfn.XLOOKUP(OFFSET($C$12,$I130,MATCH($AD$11,$D$12:$G$12,0)),巡逻产出!$B$311:$B$610,巡逻产出!$R$311:$R$610)*OFFSET($C$1,MATCH(AE$12,$C$2:$C$7,0),MATCH($AD$11,$D$12:$G$12,0))</f>
        <v>0</v>
      </c>
      <c r="AF130" s="163" t="e">
        <f ca="1">_xlfn.XLOOKUP(MAX(INT((OFFSET($C$12,$I130,MATCH($AD$11,$D$12:$G$12,0))-6)/10),1),组队产出!$B$25:$B$39,组队产出!$P$25:$P$39)*OFFSET($C$1,MATCH(AF$12,$C$2:$C$7,0),MATCH($AD$11,$D$12:$G$12,0))</f>
        <v>#N/A</v>
      </c>
      <c r="AG130" s="163">
        <f ca="1">竞技场!$G$3*OFFSET($C$1,MATCH(AG$12,$C$2:$C$7,0),MATCH($AD$11,$D$12:$G$12,0))</f>
        <v>3150</v>
      </c>
      <c r="AH13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0" s="23">
        <f>任务!$G$6+任务!$G$9+IF(MOD(AC130,7)=0,任务!$N$9+任务!$O$6,0)</f>
        <v>895</v>
      </c>
      <c r="AJ130" s="25">
        <f>公会!$U$11</f>
        <v>2766.62857142857</v>
      </c>
      <c r="AK130" s="163">
        <f ca="1">_xlfn.XLOOKUP(OFFSET($C$12,$I130,MATCH($AD$11,$D$12:$G$12,0)),巡逻产出!$B$311:$B$610,巡逻产出!$Q$311:$Q$610)*OFFSET($C$1,MATCH(AK$12,$C$2:$C$7,0),MATCH($AD$11,$D$12:$G$12,0))</f>
        <v>2314.728</v>
      </c>
      <c r="AM130" s="164">
        <v>118</v>
      </c>
      <c r="AN130" s="165">
        <f t="shared" si="11"/>
        <v>14094</v>
      </c>
      <c r="AO130" s="165">
        <f t="shared" si="12"/>
        <v>17620</v>
      </c>
      <c r="AP130" s="165">
        <f t="shared" si="13"/>
        <v>27790</v>
      </c>
      <c r="AQ130" s="165">
        <f t="shared" si="14"/>
        <v>36470</v>
      </c>
    </row>
    <row r="131" spans="3:43">
      <c r="C131" s="160">
        <v>119</v>
      </c>
      <c r="D131" s="169">
        <v>157</v>
      </c>
      <c r="E131" s="170">
        <f t="shared" si="18"/>
        <v>104.5</v>
      </c>
      <c r="F131" s="169">
        <f t="shared" si="19"/>
        <v>118.5</v>
      </c>
      <c r="G131" s="163">
        <f t="shared" si="16"/>
        <v>182.5</v>
      </c>
      <c r="I131" s="160">
        <v>119</v>
      </c>
      <c r="J131" s="163" t="e">
        <f ca="1">_xlfn.XLOOKUP(OFFSET($C$12,$I131,MATCH($J$11,$D$12:$G$12,0)),主线推图!$B$313:$B$612,主线推图!$P$313:$P$612)*OFFSET($C$1,MATCH(J$12,$C$2:$C$7,0),MATCH($J$11,$D$12:$G$12,0))</f>
        <v>#N/A</v>
      </c>
      <c r="K131" s="163" t="e">
        <f ca="1">_xlfn.XLOOKUP(OFFSET($C$12,$I131,MATCH($J$11,$D$12:$G$12,0)),巡逻产出!$B$311:$B$610,巡逻产出!$R$311:$R$610)*OFFSET($C$1,MATCH(K$12,$C$2:$C$7,0),MATCH($J$11,$D$12:$G$12,0))</f>
        <v>#N/A</v>
      </c>
      <c r="L131" s="163">
        <f ca="1">_xlfn.XLOOKUP(MAX(INT((OFFSET($C$12,$I131,MATCH($J$11,$D$12:$G$12,0))-6)/10),1),组队产出!$B$25:$B$39,组队产出!$P$25:$P$39)*OFFSET($C$1,MATCH(L$12,$C$2:$C$7,0),MATCH($J$11,$D$12:$G$12,0))</f>
        <v>1118.4</v>
      </c>
      <c r="M131" s="163">
        <f ca="1">竞技场!$G$3*OFFSET($C$1,MATCH(M$12,$C$2:$C$7,0),MATCH($J$11,$D$12:$G$12,0))</f>
        <v>1050</v>
      </c>
      <c r="N13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1" s="23">
        <f>任务!$G$6+任务!$G$9+IF(MOD(I131,7)=0,任务!$N$9+任务!$O$6,0)</f>
        <v>3125</v>
      </c>
      <c r="P131" s="25">
        <f>公会!$U$11</f>
        <v>2766.62857142857</v>
      </c>
      <c r="Q131" s="163" t="e">
        <f ca="1">_xlfn.XLOOKUP(OFFSET($C$12,$I131,MATCH($J$11,$D$12:$G$12,0)),巡逻产出!$B$311:$B$610,巡逻产出!$Q$311:$Q$610)*OFFSET($C$1,MATCH(Q$12,$C$2:$C$7,0),MATCH($J$11,$D$12:$G$12,0))</f>
        <v>#N/A</v>
      </c>
      <c r="S131" s="160">
        <v>119</v>
      </c>
      <c r="T131" s="163" t="e">
        <f ca="1">_xlfn.XLOOKUP(OFFSET($C$12,$I131,MATCH($T$11,$D$12:$G$12,0)),主线推图!$B$313:$B$612,主线推图!$P$313:$P$612)*OFFSET($C$1,MATCH(T$12,$C$2:$C$7,0),MATCH($T$11,$D$12:$G$12,0))</f>
        <v>#N/A</v>
      </c>
      <c r="U131" s="163" t="e">
        <f ca="1">_xlfn.XLOOKUP(OFFSET($C$12,$I131,MATCH($T$11,$D$12:$G$12,0)),巡逻产出!$B$311:$B$610,巡逻产出!$R$311:$R$610)*OFFSET($C$1,MATCH(U$12,$C$2:$C$7,0),MATCH($T$11,$D$12:$G$12,0))</f>
        <v>#N/A</v>
      </c>
      <c r="V131" s="163">
        <f ca="1">_xlfn.XLOOKUP(MAX(INT((OFFSET($C$12,$I131,MATCH($T$11,$D$12:$G$12,0))-6)/10),1),组队产出!$B$25:$B$39,组队产出!$P$25:$P$39)*OFFSET($C$1,MATCH(V$12,$C$2:$C$7,0),MATCH($T$11,$D$12:$G$12,0))</f>
        <v>2272.8</v>
      </c>
      <c r="W131" s="163">
        <f ca="1">竞技场!$G$3*OFFSET($C$1,MATCH(W$12,$C$2:$C$7,0),MATCH($T$11,$D$12:$G$12,0))</f>
        <v>2100</v>
      </c>
      <c r="X13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1" s="23">
        <f>任务!$G$6+任务!$G$9+IF(MOD(S131,7)=0,任务!$N$9+任务!$O$6,0)</f>
        <v>3125</v>
      </c>
      <c r="Z131" s="25">
        <f>公会!$U$11</f>
        <v>2766.62857142857</v>
      </c>
      <c r="AA131" s="163" t="e">
        <f ca="1">_xlfn.XLOOKUP(OFFSET($C$12,$I131,MATCH($T$11,$D$12:$G$12,0)),巡逻产出!$B$311:$B$610,巡逻产出!$Q$311:$Q$610)*OFFSET($C$1,MATCH(AA$12,$C$2:$C$7,0),MATCH($T$11,$D$12:$G$12,0))</f>
        <v>#N/A</v>
      </c>
      <c r="AC131" s="160">
        <v>119</v>
      </c>
      <c r="AD131" s="163" t="e">
        <f ca="1">_xlfn.XLOOKUP(OFFSET($C$12,$I131,MATCH($AD$11,$D$12:$G$12,0)),主线推图!$B$313:$B$612,主线推图!$P$313:$P$612)*OFFSET($C$1,MATCH(AD$12,$C$2:$C$7,0),MATCH($AD$11,$D$12:$G$12,0))</f>
        <v>#N/A</v>
      </c>
      <c r="AE131" s="163" t="e">
        <f ca="1">_xlfn.XLOOKUP(OFFSET($C$12,$I131,MATCH($AD$11,$D$12:$G$12,0)),巡逻产出!$B$311:$B$610,巡逻产出!$R$311:$R$610)*OFFSET($C$1,MATCH(AE$12,$C$2:$C$7,0),MATCH($AD$11,$D$12:$G$12,0))</f>
        <v>#N/A</v>
      </c>
      <c r="AF131" s="163" t="e">
        <f ca="1">_xlfn.XLOOKUP(MAX(INT((OFFSET($C$12,$I131,MATCH($AD$11,$D$12:$G$12,0))-6)/10),1),组队产出!$B$25:$B$39,组队产出!$P$25:$P$39)*OFFSET($C$1,MATCH(AF$12,$C$2:$C$7,0),MATCH($AD$11,$D$12:$G$12,0))</f>
        <v>#N/A</v>
      </c>
      <c r="AG131" s="163">
        <f ca="1">竞技场!$G$3*OFFSET($C$1,MATCH(AG$12,$C$2:$C$7,0),MATCH($AD$11,$D$12:$G$12,0))</f>
        <v>3150</v>
      </c>
      <c r="AH13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1" s="23">
        <f>任务!$G$6+任务!$G$9+IF(MOD(AC131,7)=0,任务!$N$9+任务!$O$6,0)</f>
        <v>3125</v>
      </c>
      <c r="AJ131" s="25">
        <f>公会!$U$11</f>
        <v>2766.62857142857</v>
      </c>
      <c r="AK131" s="163" t="e">
        <f ca="1">_xlfn.XLOOKUP(OFFSET($C$12,$I131,MATCH($AD$11,$D$12:$G$12,0)),巡逻产出!$B$311:$B$610,巡逻产出!$Q$311:$Q$610)*OFFSET($C$1,MATCH(AK$12,$C$2:$C$7,0),MATCH($AD$11,$D$12:$G$12,0))</f>
        <v>#N/A</v>
      </c>
      <c r="AM131" s="164">
        <v>119</v>
      </c>
      <c r="AN131" s="165">
        <f t="shared" si="11"/>
        <v>14208</v>
      </c>
      <c r="AO131" s="165">
        <f t="shared" si="12"/>
        <v>17763</v>
      </c>
      <c r="AP131" s="165">
        <f t="shared" si="13"/>
        <v>28019</v>
      </c>
      <c r="AQ131" s="165">
        <f t="shared" si="14"/>
        <v>36772</v>
      </c>
    </row>
    <row r="132" spans="3:43">
      <c r="C132" s="160">
        <v>120</v>
      </c>
      <c r="D132" s="169">
        <v>157</v>
      </c>
      <c r="E132" s="170">
        <f t="shared" si="18"/>
        <v>104.75</v>
      </c>
      <c r="F132" s="169">
        <f t="shared" si="19"/>
        <v>118.85</v>
      </c>
      <c r="G132" s="163">
        <f t="shared" si="16"/>
        <v>183</v>
      </c>
      <c r="I132" s="160">
        <v>120</v>
      </c>
      <c r="J132" s="163" t="e">
        <f ca="1">_xlfn.XLOOKUP(OFFSET($C$12,$I132,MATCH($J$11,$D$12:$G$12,0)),主线推图!$B$313:$B$612,主线推图!$P$313:$P$612)*OFFSET($C$1,MATCH(J$12,$C$2:$C$7,0),MATCH($J$11,$D$12:$G$12,0))</f>
        <v>#N/A</v>
      </c>
      <c r="K132" s="163" t="e">
        <f ca="1">_xlfn.XLOOKUP(OFFSET($C$12,$I132,MATCH($J$11,$D$12:$G$12,0)),巡逻产出!$B$311:$B$610,巡逻产出!$R$311:$R$610)*OFFSET($C$1,MATCH(K$12,$C$2:$C$7,0),MATCH($J$11,$D$12:$G$12,0))</f>
        <v>#N/A</v>
      </c>
      <c r="L132" s="163">
        <f ca="1">_xlfn.XLOOKUP(MAX(INT((OFFSET($C$12,$I132,MATCH($J$11,$D$12:$G$12,0))-6)/10),1),组队产出!$B$25:$B$39,组队产出!$P$25:$P$39)*OFFSET($C$1,MATCH(L$12,$C$2:$C$7,0),MATCH($J$11,$D$12:$G$12,0))</f>
        <v>1118.4</v>
      </c>
      <c r="M132" s="163">
        <f ca="1">竞技场!$G$3*OFFSET($C$1,MATCH(M$12,$C$2:$C$7,0),MATCH($J$11,$D$12:$G$12,0))</f>
        <v>1050</v>
      </c>
      <c r="N13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2" s="23">
        <f>任务!$G$6+任务!$G$9+IF(MOD(I132,7)=0,任务!$N$9+任务!$O$6,0)</f>
        <v>895</v>
      </c>
      <c r="P132" s="25">
        <f>公会!$U$11</f>
        <v>2766.62857142857</v>
      </c>
      <c r="Q132" s="163" t="e">
        <f ca="1">_xlfn.XLOOKUP(OFFSET($C$12,$I132,MATCH($J$11,$D$12:$G$12,0)),巡逻产出!$B$311:$B$610,巡逻产出!$Q$311:$Q$610)*OFFSET($C$1,MATCH(Q$12,$C$2:$C$7,0),MATCH($J$11,$D$12:$G$12,0))</f>
        <v>#N/A</v>
      </c>
      <c r="S132" s="160">
        <v>120</v>
      </c>
      <c r="T132" s="163" t="e">
        <f ca="1">_xlfn.XLOOKUP(OFFSET($C$12,$I132,MATCH($T$11,$D$12:$G$12,0)),主线推图!$B$313:$B$612,主线推图!$P$313:$P$612)*OFFSET($C$1,MATCH(T$12,$C$2:$C$7,0),MATCH($T$11,$D$12:$G$12,0))</f>
        <v>#N/A</v>
      </c>
      <c r="U132" s="163" t="e">
        <f ca="1">_xlfn.XLOOKUP(OFFSET($C$12,$I132,MATCH($T$11,$D$12:$G$12,0)),巡逻产出!$B$311:$B$610,巡逻产出!$R$311:$R$610)*OFFSET($C$1,MATCH(U$12,$C$2:$C$7,0),MATCH($T$11,$D$12:$G$12,0))</f>
        <v>#N/A</v>
      </c>
      <c r="V132" s="163">
        <f ca="1">_xlfn.XLOOKUP(MAX(INT((OFFSET($C$12,$I132,MATCH($T$11,$D$12:$G$12,0))-6)/10),1),组队产出!$B$25:$B$39,组队产出!$P$25:$P$39)*OFFSET($C$1,MATCH(V$12,$C$2:$C$7,0),MATCH($T$11,$D$12:$G$12,0))</f>
        <v>2272.8</v>
      </c>
      <c r="W132" s="163">
        <f ca="1">竞技场!$G$3*OFFSET($C$1,MATCH(W$12,$C$2:$C$7,0),MATCH($T$11,$D$12:$G$12,0))</f>
        <v>2100</v>
      </c>
      <c r="X13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2" s="23">
        <f>任务!$G$6+任务!$G$9+IF(MOD(S132,7)=0,任务!$N$9+任务!$O$6,0)</f>
        <v>895</v>
      </c>
      <c r="Z132" s="25">
        <f>公会!$U$11</f>
        <v>2766.62857142857</v>
      </c>
      <c r="AA132" s="163" t="e">
        <f ca="1">_xlfn.XLOOKUP(OFFSET($C$12,$I132,MATCH($T$11,$D$12:$G$12,0)),巡逻产出!$B$311:$B$610,巡逻产出!$Q$311:$Q$610)*OFFSET($C$1,MATCH(AA$12,$C$2:$C$7,0),MATCH($T$11,$D$12:$G$12,0))</f>
        <v>#N/A</v>
      </c>
      <c r="AC132" s="160">
        <v>120</v>
      </c>
      <c r="AD132" s="163">
        <f ca="1">_xlfn.XLOOKUP(OFFSET($C$12,$I132,MATCH($AD$11,$D$12:$G$12,0)),主线推图!$B$313:$B$612,主线推图!$P$313:$P$612)*OFFSET($C$1,MATCH(AD$12,$C$2:$C$7,0),MATCH($AD$11,$D$12:$G$12,0))</f>
        <v>3348.4</v>
      </c>
      <c r="AE132" s="163">
        <f ca="1">_xlfn.XLOOKUP(OFFSET($C$12,$I132,MATCH($AD$11,$D$12:$G$12,0)),巡逻产出!$B$311:$B$610,巡逻产出!$R$311:$R$610)*OFFSET($C$1,MATCH(AE$12,$C$2:$C$7,0),MATCH($AD$11,$D$12:$G$12,0))</f>
        <v>0</v>
      </c>
      <c r="AF132" s="163" t="e">
        <f ca="1">_xlfn.XLOOKUP(MAX(INT((OFFSET($C$12,$I132,MATCH($AD$11,$D$12:$G$12,0))-6)/10),1),组队产出!$B$25:$B$39,组队产出!$P$25:$P$39)*OFFSET($C$1,MATCH(AF$12,$C$2:$C$7,0),MATCH($AD$11,$D$12:$G$12,0))</f>
        <v>#N/A</v>
      </c>
      <c r="AG132" s="163">
        <f ca="1">竞技场!$G$3*OFFSET($C$1,MATCH(AG$12,$C$2:$C$7,0),MATCH($AD$11,$D$12:$G$12,0))</f>
        <v>3150</v>
      </c>
      <c r="AH13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2" s="23">
        <f>任务!$G$6+任务!$G$9+IF(MOD(AC132,7)=0,任务!$N$9+任务!$O$6,0)</f>
        <v>895</v>
      </c>
      <c r="AJ132" s="25">
        <f>公会!$U$11</f>
        <v>2766.62857142857</v>
      </c>
      <c r="AK132" s="163">
        <f ca="1">_xlfn.XLOOKUP(OFFSET($C$12,$I132,MATCH($AD$11,$D$12:$G$12,0)),巡逻产出!$B$311:$B$610,巡逻产出!$Q$311:$Q$610)*OFFSET($C$1,MATCH(AK$12,$C$2:$C$7,0),MATCH($AD$11,$D$12:$G$12,0))</f>
        <v>2316.288</v>
      </c>
      <c r="AM132" s="164">
        <v>120</v>
      </c>
      <c r="AN132" s="165">
        <f t="shared" si="11"/>
        <v>14321</v>
      </c>
      <c r="AO132" s="165">
        <f t="shared" si="12"/>
        <v>17906</v>
      </c>
      <c r="AP132" s="165">
        <f t="shared" si="13"/>
        <v>28247</v>
      </c>
      <c r="AQ132" s="165">
        <f t="shared" si="14"/>
        <v>37074</v>
      </c>
    </row>
    <row r="133" spans="3:43">
      <c r="C133" s="160">
        <v>121</v>
      </c>
      <c r="D133" s="169">
        <v>157</v>
      </c>
      <c r="E133" s="170">
        <f t="shared" si="18"/>
        <v>105</v>
      </c>
      <c r="F133" s="169">
        <f t="shared" si="19"/>
        <v>119.2</v>
      </c>
      <c r="G133" s="163">
        <f t="shared" si="16"/>
        <v>183.5</v>
      </c>
      <c r="I133" s="160">
        <v>121</v>
      </c>
      <c r="J133" s="163" t="e">
        <f ca="1">_xlfn.XLOOKUP(OFFSET($C$12,$I133,MATCH($J$11,$D$12:$G$12,0)),主线推图!$B$313:$B$612,主线推图!$P$313:$P$612)*OFFSET($C$1,MATCH(J$12,$C$2:$C$7,0),MATCH($J$11,$D$12:$G$12,0))</f>
        <v>#N/A</v>
      </c>
      <c r="K133" s="163" t="e">
        <f ca="1">_xlfn.XLOOKUP(OFFSET($C$12,$I133,MATCH($J$11,$D$12:$G$12,0)),巡逻产出!$B$311:$B$610,巡逻产出!$R$311:$R$610)*OFFSET($C$1,MATCH(K$12,$C$2:$C$7,0),MATCH($J$11,$D$12:$G$12,0))</f>
        <v>#N/A</v>
      </c>
      <c r="L133" s="163">
        <f ca="1">_xlfn.XLOOKUP(MAX(INT((OFFSET($C$12,$I133,MATCH($J$11,$D$12:$G$12,0))-6)/10),1),组队产出!$B$25:$B$39,组队产出!$P$25:$P$39)*OFFSET($C$1,MATCH(L$12,$C$2:$C$7,0),MATCH($J$11,$D$12:$G$12,0))</f>
        <v>1118.4</v>
      </c>
      <c r="M133" s="163">
        <f ca="1">竞技场!$G$3*OFFSET($C$1,MATCH(M$12,$C$2:$C$7,0),MATCH($J$11,$D$12:$G$12,0))</f>
        <v>1050</v>
      </c>
      <c r="N13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3" s="23">
        <f>任务!$G$6+任务!$G$9+IF(MOD(I133,7)=0,任务!$N$9+任务!$O$6,0)</f>
        <v>895</v>
      </c>
      <c r="P133" s="25">
        <f>公会!$U$11</f>
        <v>2766.62857142857</v>
      </c>
      <c r="Q133" s="163" t="e">
        <f ca="1">_xlfn.XLOOKUP(OFFSET($C$12,$I133,MATCH($J$11,$D$12:$G$12,0)),巡逻产出!$B$311:$B$610,巡逻产出!$Q$311:$Q$610)*OFFSET($C$1,MATCH(Q$12,$C$2:$C$7,0),MATCH($J$11,$D$12:$G$12,0))</f>
        <v>#N/A</v>
      </c>
      <c r="S133" s="160">
        <v>121</v>
      </c>
      <c r="T133" s="163" t="e">
        <f ca="1">_xlfn.XLOOKUP(OFFSET($C$12,$I133,MATCH($T$11,$D$12:$G$12,0)),主线推图!$B$313:$B$612,主线推图!$P$313:$P$612)*OFFSET($C$1,MATCH(T$12,$C$2:$C$7,0),MATCH($T$11,$D$12:$G$12,0))</f>
        <v>#N/A</v>
      </c>
      <c r="U133" s="163" t="e">
        <f ca="1">_xlfn.XLOOKUP(OFFSET($C$12,$I133,MATCH($T$11,$D$12:$G$12,0)),巡逻产出!$B$311:$B$610,巡逻产出!$R$311:$R$610)*OFFSET($C$1,MATCH(U$12,$C$2:$C$7,0),MATCH($T$11,$D$12:$G$12,0))</f>
        <v>#N/A</v>
      </c>
      <c r="V133" s="163">
        <f ca="1">_xlfn.XLOOKUP(MAX(INT((OFFSET($C$12,$I133,MATCH($T$11,$D$12:$G$12,0))-6)/10),1),组队产出!$B$25:$B$39,组队产出!$P$25:$P$39)*OFFSET($C$1,MATCH(V$12,$C$2:$C$7,0),MATCH($T$11,$D$12:$G$12,0))</f>
        <v>2272.8</v>
      </c>
      <c r="W133" s="163">
        <f ca="1">竞技场!$G$3*OFFSET($C$1,MATCH(W$12,$C$2:$C$7,0),MATCH($T$11,$D$12:$G$12,0))</f>
        <v>2100</v>
      </c>
      <c r="X13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3" s="23">
        <f>任务!$G$6+任务!$G$9+IF(MOD(S133,7)=0,任务!$N$9+任务!$O$6,0)</f>
        <v>895</v>
      </c>
      <c r="Z133" s="25">
        <f>公会!$U$11</f>
        <v>2766.62857142857</v>
      </c>
      <c r="AA133" s="163" t="e">
        <f ca="1">_xlfn.XLOOKUP(OFFSET($C$12,$I133,MATCH($T$11,$D$12:$G$12,0)),巡逻产出!$B$311:$B$610,巡逻产出!$Q$311:$Q$610)*OFFSET($C$1,MATCH(AA$12,$C$2:$C$7,0),MATCH($T$11,$D$12:$G$12,0))</f>
        <v>#N/A</v>
      </c>
      <c r="AC133" s="160">
        <v>121</v>
      </c>
      <c r="AD133" s="163" t="e">
        <f ca="1">_xlfn.XLOOKUP(OFFSET($C$12,$I133,MATCH($AD$11,$D$12:$G$12,0)),主线推图!$B$313:$B$612,主线推图!$P$313:$P$612)*OFFSET($C$1,MATCH(AD$12,$C$2:$C$7,0),MATCH($AD$11,$D$12:$G$12,0))</f>
        <v>#N/A</v>
      </c>
      <c r="AE133" s="163" t="e">
        <f ca="1">_xlfn.XLOOKUP(OFFSET($C$12,$I133,MATCH($AD$11,$D$12:$G$12,0)),巡逻产出!$B$311:$B$610,巡逻产出!$R$311:$R$610)*OFFSET($C$1,MATCH(AE$12,$C$2:$C$7,0),MATCH($AD$11,$D$12:$G$12,0))</f>
        <v>#N/A</v>
      </c>
      <c r="AF133" s="163" t="e">
        <f ca="1">_xlfn.XLOOKUP(MAX(INT((OFFSET($C$12,$I133,MATCH($AD$11,$D$12:$G$12,0))-6)/10),1),组队产出!$B$25:$B$39,组队产出!$P$25:$P$39)*OFFSET($C$1,MATCH(AF$12,$C$2:$C$7,0),MATCH($AD$11,$D$12:$G$12,0))</f>
        <v>#N/A</v>
      </c>
      <c r="AG133" s="163">
        <f ca="1">竞技场!$G$3*OFFSET($C$1,MATCH(AG$12,$C$2:$C$7,0),MATCH($AD$11,$D$12:$G$12,0))</f>
        <v>3150</v>
      </c>
      <c r="AH13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3" s="23">
        <f>任务!$G$6+任务!$G$9+IF(MOD(AC133,7)=0,任务!$N$9+任务!$O$6,0)</f>
        <v>895</v>
      </c>
      <c r="AJ133" s="25">
        <f>公会!$U$11</f>
        <v>2766.62857142857</v>
      </c>
      <c r="AK133" s="163" t="e">
        <f ca="1">_xlfn.XLOOKUP(OFFSET($C$12,$I133,MATCH($AD$11,$D$12:$G$12,0)),巡逻产出!$B$311:$B$610,巡逻产出!$Q$311:$Q$610)*OFFSET($C$1,MATCH(AK$12,$C$2:$C$7,0),MATCH($AD$11,$D$12:$G$12,0))</f>
        <v>#N/A</v>
      </c>
      <c r="AM133" s="164">
        <v>121</v>
      </c>
      <c r="AN133" s="165">
        <f t="shared" si="11"/>
        <v>14435</v>
      </c>
      <c r="AO133" s="165">
        <f t="shared" si="12"/>
        <v>18049</v>
      </c>
      <c r="AP133" s="165">
        <f t="shared" si="13"/>
        <v>28476</v>
      </c>
      <c r="AQ133" s="165">
        <f t="shared" si="14"/>
        <v>37376</v>
      </c>
    </row>
    <row r="134" spans="3:43">
      <c r="C134" s="160">
        <v>122</v>
      </c>
      <c r="D134" s="169">
        <v>157</v>
      </c>
      <c r="E134" s="170">
        <f t="shared" si="18"/>
        <v>105.25</v>
      </c>
      <c r="F134" s="169">
        <f t="shared" si="19"/>
        <v>119.55</v>
      </c>
      <c r="G134" s="163">
        <f t="shared" si="16"/>
        <v>184</v>
      </c>
      <c r="I134" s="160">
        <v>122</v>
      </c>
      <c r="J134" s="163" t="e">
        <f ca="1">_xlfn.XLOOKUP(OFFSET($C$12,$I134,MATCH($J$11,$D$12:$G$12,0)),主线推图!$B$313:$B$612,主线推图!$P$313:$P$612)*OFFSET($C$1,MATCH(J$12,$C$2:$C$7,0),MATCH($J$11,$D$12:$G$12,0))</f>
        <v>#N/A</v>
      </c>
      <c r="K134" s="163" t="e">
        <f ca="1">_xlfn.XLOOKUP(OFFSET($C$12,$I134,MATCH($J$11,$D$12:$G$12,0)),巡逻产出!$B$311:$B$610,巡逻产出!$R$311:$R$610)*OFFSET($C$1,MATCH(K$12,$C$2:$C$7,0),MATCH($J$11,$D$12:$G$12,0))</f>
        <v>#N/A</v>
      </c>
      <c r="L134" s="163">
        <f ca="1">_xlfn.XLOOKUP(MAX(INT((OFFSET($C$12,$I134,MATCH($J$11,$D$12:$G$12,0))-6)/10),1),组队产出!$B$25:$B$39,组队产出!$P$25:$P$39)*OFFSET($C$1,MATCH(L$12,$C$2:$C$7,0),MATCH($J$11,$D$12:$G$12,0))</f>
        <v>1118.4</v>
      </c>
      <c r="M134" s="163">
        <f ca="1">竞技场!$G$3*OFFSET($C$1,MATCH(M$12,$C$2:$C$7,0),MATCH($J$11,$D$12:$G$12,0))</f>
        <v>1050</v>
      </c>
      <c r="N13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4" s="23">
        <f>任务!$G$6+任务!$G$9+IF(MOD(I134,7)=0,任务!$N$9+任务!$O$6,0)</f>
        <v>895</v>
      </c>
      <c r="P134" s="25">
        <f>公会!$U$11</f>
        <v>2766.62857142857</v>
      </c>
      <c r="Q134" s="163" t="e">
        <f ca="1">_xlfn.XLOOKUP(OFFSET($C$12,$I134,MATCH($J$11,$D$12:$G$12,0)),巡逻产出!$B$311:$B$610,巡逻产出!$Q$311:$Q$610)*OFFSET($C$1,MATCH(Q$12,$C$2:$C$7,0),MATCH($J$11,$D$12:$G$12,0))</f>
        <v>#N/A</v>
      </c>
      <c r="S134" s="160">
        <v>122</v>
      </c>
      <c r="T134" s="163" t="e">
        <f ca="1">_xlfn.XLOOKUP(OFFSET($C$12,$I134,MATCH($T$11,$D$12:$G$12,0)),主线推图!$B$313:$B$612,主线推图!$P$313:$P$612)*OFFSET($C$1,MATCH(T$12,$C$2:$C$7,0),MATCH($T$11,$D$12:$G$12,0))</f>
        <v>#N/A</v>
      </c>
      <c r="U134" s="163" t="e">
        <f ca="1">_xlfn.XLOOKUP(OFFSET($C$12,$I134,MATCH($T$11,$D$12:$G$12,0)),巡逻产出!$B$311:$B$610,巡逻产出!$R$311:$R$610)*OFFSET($C$1,MATCH(U$12,$C$2:$C$7,0),MATCH($T$11,$D$12:$G$12,0))</f>
        <v>#N/A</v>
      </c>
      <c r="V134" s="163">
        <f ca="1">_xlfn.XLOOKUP(MAX(INT((OFFSET($C$12,$I134,MATCH($T$11,$D$12:$G$12,0))-6)/10),1),组队产出!$B$25:$B$39,组队产出!$P$25:$P$39)*OFFSET($C$1,MATCH(V$12,$C$2:$C$7,0),MATCH($T$11,$D$12:$G$12,0))</f>
        <v>2272.8</v>
      </c>
      <c r="W134" s="163">
        <f ca="1">竞技场!$G$3*OFFSET($C$1,MATCH(W$12,$C$2:$C$7,0),MATCH($T$11,$D$12:$G$12,0))</f>
        <v>2100</v>
      </c>
      <c r="X13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4" s="23">
        <f>任务!$G$6+任务!$G$9+IF(MOD(S134,7)=0,任务!$N$9+任务!$O$6,0)</f>
        <v>895</v>
      </c>
      <c r="Z134" s="25">
        <f>公会!$U$11</f>
        <v>2766.62857142857</v>
      </c>
      <c r="AA134" s="163" t="e">
        <f ca="1">_xlfn.XLOOKUP(OFFSET($C$12,$I134,MATCH($T$11,$D$12:$G$12,0)),巡逻产出!$B$311:$B$610,巡逻产出!$Q$311:$Q$610)*OFFSET($C$1,MATCH(AA$12,$C$2:$C$7,0),MATCH($T$11,$D$12:$G$12,0))</f>
        <v>#N/A</v>
      </c>
      <c r="AC134" s="160">
        <v>122</v>
      </c>
      <c r="AD134" s="163">
        <f ca="1">_xlfn.XLOOKUP(OFFSET($C$12,$I134,MATCH($AD$11,$D$12:$G$12,0)),主线推图!$B$313:$B$612,主线推图!$P$313:$P$612)*OFFSET($C$1,MATCH(AD$12,$C$2:$C$7,0),MATCH($AD$11,$D$12:$G$12,0))</f>
        <v>3350.6</v>
      </c>
      <c r="AE134" s="163">
        <f ca="1">_xlfn.XLOOKUP(OFFSET($C$12,$I134,MATCH($AD$11,$D$12:$G$12,0)),巡逻产出!$B$311:$B$610,巡逻产出!$R$311:$R$610)*OFFSET($C$1,MATCH(AE$12,$C$2:$C$7,0),MATCH($AD$11,$D$12:$G$12,0))</f>
        <v>0</v>
      </c>
      <c r="AF134" s="163" t="e">
        <f ca="1">_xlfn.XLOOKUP(MAX(INT((OFFSET($C$12,$I134,MATCH($AD$11,$D$12:$G$12,0))-6)/10),1),组队产出!$B$25:$B$39,组队产出!$P$25:$P$39)*OFFSET($C$1,MATCH(AF$12,$C$2:$C$7,0),MATCH($AD$11,$D$12:$G$12,0))</f>
        <v>#N/A</v>
      </c>
      <c r="AG134" s="163">
        <f ca="1">竞技场!$G$3*OFFSET($C$1,MATCH(AG$12,$C$2:$C$7,0),MATCH($AD$11,$D$12:$G$12,0))</f>
        <v>3150</v>
      </c>
      <c r="AH13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4" s="23">
        <f>任务!$G$6+任务!$G$9+IF(MOD(AC134,7)=0,任务!$N$9+任务!$O$6,0)</f>
        <v>895</v>
      </c>
      <c r="AJ134" s="25">
        <f>公会!$U$11</f>
        <v>2766.62857142857</v>
      </c>
      <c r="AK134" s="163">
        <f ca="1">_xlfn.XLOOKUP(OFFSET($C$12,$I134,MATCH($AD$11,$D$12:$G$12,0)),巡逻产出!$B$311:$B$610,巡逻产出!$Q$311:$Q$610)*OFFSET($C$1,MATCH(AK$12,$C$2:$C$7,0),MATCH($AD$11,$D$12:$G$12,0))</f>
        <v>2317.848</v>
      </c>
      <c r="AM134" s="164">
        <v>122</v>
      </c>
      <c r="AN134" s="165">
        <f t="shared" si="11"/>
        <v>14548</v>
      </c>
      <c r="AO134" s="165">
        <f t="shared" si="12"/>
        <v>18192</v>
      </c>
      <c r="AP134" s="165">
        <f t="shared" si="13"/>
        <v>28704</v>
      </c>
      <c r="AQ134" s="165">
        <f t="shared" si="14"/>
        <v>37678</v>
      </c>
    </row>
    <row r="135" spans="3:43">
      <c r="C135" s="160">
        <v>123</v>
      </c>
      <c r="D135" s="169">
        <v>158</v>
      </c>
      <c r="E135" s="170">
        <f t="shared" si="18"/>
        <v>105.5</v>
      </c>
      <c r="F135" s="169">
        <f t="shared" si="19"/>
        <v>119.9</v>
      </c>
      <c r="G135" s="163">
        <f t="shared" si="16"/>
        <v>184.5</v>
      </c>
      <c r="I135" s="160">
        <v>123</v>
      </c>
      <c r="J135" s="163" t="e">
        <f ca="1">_xlfn.XLOOKUP(OFFSET($C$12,$I135,MATCH($J$11,$D$12:$G$12,0)),主线推图!$B$313:$B$612,主线推图!$P$313:$P$612)*OFFSET($C$1,MATCH(J$12,$C$2:$C$7,0),MATCH($J$11,$D$12:$G$12,0))</f>
        <v>#N/A</v>
      </c>
      <c r="K135" s="163" t="e">
        <f ca="1">_xlfn.XLOOKUP(OFFSET($C$12,$I135,MATCH($J$11,$D$12:$G$12,0)),巡逻产出!$B$311:$B$610,巡逻产出!$R$311:$R$610)*OFFSET($C$1,MATCH(K$12,$C$2:$C$7,0),MATCH($J$11,$D$12:$G$12,0))</f>
        <v>#N/A</v>
      </c>
      <c r="L135" s="163">
        <f ca="1">_xlfn.XLOOKUP(MAX(INT((OFFSET($C$12,$I135,MATCH($J$11,$D$12:$G$12,0))-6)/10),1),组队产出!$B$25:$B$39,组队产出!$P$25:$P$39)*OFFSET($C$1,MATCH(L$12,$C$2:$C$7,0),MATCH($J$11,$D$12:$G$12,0))</f>
        <v>1118.4</v>
      </c>
      <c r="M135" s="163">
        <f ca="1">竞技场!$G$3*OFFSET($C$1,MATCH(M$12,$C$2:$C$7,0),MATCH($J$11,$D$12:$G$12,0))</f>
        <v>1050</v>
      </c>
      <c r="N13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5" s="23">
        <f>任务!$G$6+任务!$G$9+IF(MOD(I135,7)=0,任务!$N$9+任务!$O$6,0)</f>
        <v>895</v>
      </c>
      <c r="P135" s="25">
        <f>公会!$U$11</f>
        <v>2766.62857142857</v>
      </c>
      <c r="Q135" s="163" t="e">
        <f ca="1">_xlfn.XLOOKUP(OFFSET($C$12,$I135,MATCH($J$11,$D$12:$G$12,0)),巡逻产出!$B$311:$B$610,巡逻产出!$Q$311:$Q$610)*OFFSET($C$1,MATCH(Q$12,$C$2:$C$7,0),MATCH($J$11,$D$12:$G$12,0))</f>
        <v>#N/A</v>
      </c>
      <c r="S135" s="160">
        <v>123</v>
      </c>
      <c r="T135" s="163" t="e">
        <f ca="1">_xlfn.XLOOKUP(OFFSET($C$12,$I135,MATCH($T$11,$D$12:$G$12,0)),主线推图!$B$313:$B$612,主线推图!$P$313:$P$612)*OFFSET($C$1,MATCH(T$12,$C$2:$C$7,0),MATCH($T$11,$D$12:$G$12,0))</f>
        <v>#N/A</v>
      </c>
      <c r="U135" s="163" t="e">
        <f ca="1">_xlfn.XLOOKUP(OFFSET($C$12,$I135,MATCH($T$11,$D$12:$G$12,0)),巡逻产出!$B$311:$B$610,巡逻产出!$R$311:$R$610)*OFFSET($C$1,MATCH(U$12,$C$2:$C$7,0),MATCH($T$11,$D$12:$G$12,0))</f>
        <v>#N/A</v>
      </c>
      <c r="V135" s="163">
        <f ca="1">_xlfn.XLOOKUP(MAX(INT((OFFSET($C$12,$I135,MATCH($T$11,$D$12:$G$12,0))-6)/10),1),组队产出!$B$25:$B$39,组队产出!$P$25:$P$39)*OFFSET($C$1,MATCH(V$12,$C$2:$C$7,0),MATCH($T$11,$D$12:$G$12,0))</f>
        <v>2272.8</v>
      </c>
      <c r="W135" s="163">
        <f ca="1">竞技场!$G$3*OFFSET($C$1,MATCH(W$12,$C$2:$C$7,0),MATCH($T$11,$D$12:$G$12,0))</f>
        <v>2100</v>
      </c>
      <c r="X13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5" s="23">
        <f>任务!$G$6+任务!$G$9+IF(MOD(S135,7)=0,任务!$N$9+任务!$O$6,0)</f>
        <v>895</v>
      </c>
      <c r="Z135" s="25">
        <f>公会!$U$11</f>
        <v>2766.62857142857</v>
      </c>
      <c r="AA135" s="163" t="e">
        <f ca="1">_xlfn.XLOOKUP(OFFSET($C$12,$I135,MATCH($T$11,$D$12:$G$12,0)),巡逻产出!$B$311:$B$610,巡逻产出!$Q$311:$Q$610)*OFFSET($C$1,MATCH(AA$12,$C$2:$C$7,0),MATCH($T$11,$D$12:$G$12,0))</f>
        <v>#N/A</v>
      </c>
      <c r="AC135" s="160">
        <v>123</v>
      </c>
      <c r="AD135" s="163" t="e">
        <f ca="1">_xlfn.XLOOKUP(OFFSET($C$12,$I135,MATCH($AD$11,$D$12:$G$12,0)),主线推图!$B$313:$B$612,主线推图!$P$313:$P$612)*OFFSET($C$1,MATCH(AD$12,$C$2:$C$7,0),MATCH($AD$11,$D$12:$G$12,0))</f>
        <v>#N/A</v>
      </c>
      <c r="AE135" s="163" t="e">
        <f ca="1">_xlfn.XLOOKUP(OFFSET($C$12,$I135,MATCH($AD$11,$D$12:$G$12,0)),巡逻产出!$B$311:$B$610,巡逻产出!$R$311:$R$610)*OFFSET($C$1,MATCH(AE$12,$C$2:$C$7,0),MATCH($AD$11,$D$12:$G$12,0))</f>
        <v>#N/A</v>
      </c>
      <c r="AF135" s="163" t="e">
        <f ca="1">_xlfn.XLOOKUP(MAX(INT((OFFSET($C$12,$I135,MATCH($AD$11,$D$12:$G$12,0))-6)/10),1),组队产出!$B$25:$B$39,组队产出!$P$25:$P$39)*OFFSET($C$1,MATCH(AF$12,$C$2:$C$7,0),MATCH($AD$11,$D$12:$G$12,0))</f>
        <v>#N/A</v>
      </c>
      <c r="AG135" s="163">
        <f ca="1">竞技场!$G$3*OFFSET($C$1,MATCH(AG$12,$C$2:$C$7,0),MATCH($AD$11,$D$12:$G$12,0))</f>
        <v>3150</v>
      </c>
      <c r="AH13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5" s="23">
        <f>任务!$G$6+任务!$G$9+IF(MOD(AC135,7)=0,任务!$N$9+任务!$O$6,0)</f>
        <v>895</v>
      </c>
      <c r="AJ135" s="25">
        <f>公会!$U$11</f>
        <v>2766.62857142857</v>
      </c>
      <c r="AK135" s="163" t="e">
        <f ca="1">_xlfn.XLOOKUP(OFFSET($C$12,$I135,MATCH($AD$11,$D$12:$G$12,0)),巡逻产出!$B$311:$B$610,巡逻产出!$Q$311:$Q$610)*OFFSET($C$1,MATCH(AK$12,$C$2:$C$7,0),MATCH($AD$11,$D$12:$G$12,0))</f>
        <v>#N/A</v>
      </c>
      <c r="AM135" s="164">
        <v>123</v>
      </c>
      <c r="AN135" s="165">
        <f t="shared" si="11"/>
        <v>14662</v>
      </c>
      <c r="AO135" s="165">
        <f t="shared" si="12"/>
        <v>18335</v>
      </c>
      <c r="AP135" s="165">
        <f t="shared" si="13"/>
        <v>28933</v>
      </c>
      <c r="AQ135" s="165">
        <f t="shared" si="14"/>
        <v>37980</v>
      </c>
    </row>
    <row r="136" spans="3:43">
      <c r="C136" s="160">
        <v>124</v>
      </c>
      <c r="D136" s="169">
        <v>158</v>
      </c>
      <c r="E136" s="170">
        <f t="shared" si="18"/>
        <v>105.75</v>
      </c>
      <c r="F136" s="169">
        <f t="shared" si="19"/>
        <v>120.25</v>
      </c>
      <c r="G136" s="163">
        <f t="shared" si="16"/>
        <v>185</v>
      </c>
      <c r="I136" s="160">
        <v>124</v>
      </c>
      <c r="J136" s="163" t="e">
        <f ca="1">_xlfn.XLOOKUP(OFFSET($C$12,$I136,MATCH($J$11,$D$12:$G$12,0)),主线推图!$B$313:$B$612,主线推图!$P$313:$P$612)*OFFSET($C$1,MATCH(J$12,$C$2:$C$7,0),MATCH($J$11,$D$12:$G$12,0))</f>
        <v>#N/A</v>
      </c>
      <c r="K136" s="163" t="e">
        <f ca="1">_xlfn.XLOOKUP(OFFSET($C$12,$I136,MATCH($J$11,$D$12:$G$12,0)),巡逻产出!$B$311:$B$610,巡逻产出!$R$311:$R$610)*OFFSET($C$1,MATCH(K$12,$C$2:$C$7,0),MATCH($J$11,$D$12:$G$12,0))</f>
        <v>#N/A</v>
      </c>
      <c r="L136" s="163">
        <f ca="1">_xlfn.XLOOKUP(MAX(INT((OFFSET($C$12,$I136,MATCH($J$11,$D$12:$G$12,0))-6)/10),1),组队产出!$B$25:$B$39,组队产出!$P$25:$P$39)*OFFSET($C$1,MATCH(L$12,$C$2:$C$7,0),MATCH($J$11,$D$12:$G$12,0))</f>
        <v>1118.4</v>
      </c>
      <c r="M136" s="163">
        <f ca="1">竞技场!$G$3*OFFSET($C$1,MATCH(M$12,$C$2:$C$7,0),MATCH($J$11,$D$12:$G$12,0))</f>
        <v>1050</v>
      </c>
      <c r="N13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6" s="23">
        <f>任务!$G$6+任务!$G$9+IF(MOD(I136,7)=0,任务!$N$9+任务!$O$6,0)</f>
        <v>895</v>
      </c>
      <c r="P136" s="25">
        <f>公会!$U$11</f>
        <v>2766.62857142857</v>
      </c>
      <c r="Q136" s="163" t="e">
        <f ca="1">_xlfn.XLOOKUP(OFFSET($C$12,$I136,MATCH($J$11,$D$12:$G$12,0)),巡逻产出!$B$311:$B$610,巡逻产出!$Q$311:$Q$610)*OFFSET($C$1,MATCH(Q$12,$C$2:$C$7,0),MATCH($J$11,$D$12:$G$12,0))</f>
        <v>#N/A</v>
      </c>
      <c r="S136" s="160">
        <v>124</v>
      </c>
      <c r="T136" s="163" t="e">
        <f ca="1">_xlfn.XLOOKUP(OFFSET($C$12,$I136,MATCH($T$11,$D$12:$G$12,0)),主线推图!$B$313:$B$612,主线推图!$P$313:$P$612)*OFFSET($C$1,MATCH(T$12,$C$2:$C$7,0),MATCH($T$11,$D$12:$G$12,0))</f>
        <v>#N/A</v>
      </c>
      <c r="U136" s="163" t="e">
        <f ca="1">_xlfn.XLOOKUP(OFFSET($C$12,$I136,MATCH($T$11,$D$12:$G$12,0)),巡逻产出!$B$311:$B$610,巡逻产出!$R$311:$R$610)*OFFSET($C$1,MATCH(U$12,$C$2:$C$7,0),MATCH($T$11,$D$12:$G$12,0))</f>
        <v>#N/A</v>
      </c>
      <c r="V136" s="163">
        <f ca="1">_xlfn.XLOOKUP(MAX(INT((OFFSET($C$12,$I136,MATCH($T$11,$D$12:$G$12,0))-6)/10),1),组队产出!$B$25:$B$39,组队产出!$P$25:$P$39)*OFFSET($C$1,MATCH(V$12,$C$2:$C$7,0),MATCH($T$11,$D$12:$G$12,0))</f>
        <v>2272.8</v>
      </c>
      <c r="W136" s="163">
        <f ca="1">竞技场!$G$3*OFFSET($C$1,MATCH(W$12,$C$2:$C$7,0),MATCH($T$11,$D$12:$G$12,0))</f>
        <v>2100</v>
      </c>
      <c r="X13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6" s="23">
        <f>任务!$G$6+任务!$G$9+IF(MOD(S136,7)=0,任务!$N$9+任务!$O$6,0)</f>
        <v>895</v>
      </c>
      <c r="Z136" s="25">
        <f>公会!$U$11</f>
        <v>2766.62857142857</v>
      </c>
      <c r="AA136" s="163" t="e">
        <f ca="1">_xlfn.XLOOKUP(OFFSET($C$12,$I136,MATCH($T$11,$D$12:$G$12,0)),巡逻产出!$B$311:$B$610,巡逻产出!$Q$311:$Q$610)*OFFSET($C$1,MATCH(AA$12,$C$2:$C$7,0),MATCH($T$11,$D$12:$G$12,0))</f>
        <v>#N/A</v>
      </c>
      <c r="AC136" s="160">
        <v>124</v>
      </c>
      <c r="AD136" s="163">
        <f ca="1">_xlfn.XLOOKUP(OFFSET($C$12,$I136,MATCH($AD$11,$D$12:$G$12,0)),主线推图!$B$313:$B$612,主线推图!$P$313:$P$612)*OFFSET($C$1,MATCH(AD$12,$C$2:$C$7,0),MATCH($AD$11,$D$12:$G$12,0))</f>
        <v>3352.8</v>
      </c>
      <c r="AE136" s="163">
        <f ca="1">_xlfn.XLOOKUP(OFFSET($C$12,$I136,MATCH($AD$11,$D$12:$G$12,0)),巡逻产出!$B$311:$B$610,巡逻产出!$R$311:$R$610)*OFFSET($C$1,MATCH(AE$12,$C$2:$C$7,0),MATCH($AD$11,$D$12:$G$12,0))</f>
        <v>0</v>
      </c>
      <c r="AF136" s="163" t="e">
        <f ca="1">_xlfn.XLOOKUP(MAX(INT((OFFSET($C$12,$I136,MATCH($AD$11,$D$12:$G$12,0))-6)/10),1),组队产出!$B$25:$B$39,组队产出!$P$25:$P$39)*OFFSET($C$1,MATCH(AF$12,$C$2:$C$7,0),MATCH($AD$11,$D$12:$G$12,0))</f>
        <v>#N/A</v>
      </c>
      <c r="AG136" s="163">
        <f ca="1">竞技场!$G$3*OFFSET($C$1,MATCH(AG$12,$C$2:$C$7,0),MATCH($AD$11,$D$12:$G$12,0))</f>
        <v>3150</v>
      </c>
      <c r="AH13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6" s="23">
        <f>任务!$G$6+任务!$G$9+IF(MOD(AC136,7)=0,任务!$N$9+任务!$O$6,0)</f>
        <v>895</v>
      </c>
      <c r="AJ136" s="25">
        <f>公会!$U$11</f>
        <v>2766.62857142857</v>
      </c>
      <c r="AK136" s="163">
        <f ca="1">_xlfn.XLOOKUP(OFFSET($C$12,$I136,MATCH($AD$11,$D$12:$G$12,0)),巡逻产出!$B$311:$B$610,巡逻产出!$Q$311:$Q$610)*OFFSET($C$1,MATCH(AK$12,$C$2:$C$7,0),MATCH($AD$11,$D$12:$G$12,0))</f>
        <v>2319.408</v>
      </c>
      <c r="AM136" s="164">
        <v>124</v>
      </c>
      <c r="AN136" s="165">
        <f t="shared" si="11"/>
        <v>14775</v>
      </c>
      <c r="AO136" s="165">
        <f t="shared" si="12"/>
        <v>18478</v>
      </c>
      <c r="AP136" s="165">
        <f t="shared" si="13"/>
        <v>29161</v>
      </c>
      <c r="AQ136" s="165">
        <f t="shared" si="14"/>
        <v>38282</v>
      </c>
    </row>
    <row r="137" spans="3:43">
      <c r="C137" s="160">
        <v>125</v>
      </c>
      <c r="D137" s="169">
        <v>158</v>
      </c>
      <c r="E137" s="170">
        <f t="shared" si="18"/>
        <v>106</v>
      </c>
      <c r="F137" s="169">
        <f t="shared" si="19"/>
        <v>120.6</v>
      </c>
      <c r="G137" s="163">
        <f t="shared" si="16"/>
        <v>185.5</v>
      </c>
      <c r="I137" s="160">
        <v>125</v>
      </c>
      <c r="J137" s="163" t="e">
        <f ca="1">_xlfn.XLOOKUP(OFFSET($C$12,$I137,MATCH($J$11,$D$12:$G$12,0)),主线推图!$B$313:$B$612,主线推图!$P$313:$P$612)*OFFSET($C$1,MATCH(J$12,$C$2:$C$7,0),MATCH($J$11,$D$12:$G$12,0))</f>
        <v>#N/A</v>
      </c>
      <c r="K137" s="163" t="e">
        <f ca="1">_xlfn.XLOOKUP(OFFSET($C$12,$I137,MATCH($J$11,$D$12:$G$12,0)),巡逻产出!$B$311:$B$610,巡逻产出!$R$311:$R$610)*OFFSET($C$1,MATCH(K$12,$C$2:$C$7,0),MATCH($J$11,$D$12:$G$12,0))</f>
        <v>#N/A</v>
      </c>
      <c r="L137" s="163">
        <f ca="1">_xlfn.XLOOKUP(MAX(INT((OFFSET($C$12,$I137,MATCH($J$11,$D$12:$G$12,0))-6)/10),1),组队产出!$B$25:$B$39,组队产出!$P$25:$P$39)*OFFSET($C$1,MATCH(L$12,$C$2:$C$7,0),MATCH($J$11,$D$12:$G$12,0))</f>
        <v>1118.4</v>
      </c>
      <c r="M137" s="163">
        <f ca="1">竞技场!$G$3*OFFSET($C$1,MATCH(M$12,$C$2:$C$7,0),MATCH($J$11,$D$12:$G$12,0))</f>
        <v>1050</v>
      </c>
      <c r="N13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7" s="23">
        <f>任务!$G$6+任务!$G$9+IF(MOD(I137,7)=0,任务!$N$9+任务!$O$6,0)</f>
        <v>895</v>
      </c>
      <c r="P137" s="25">
        <f>公会!$U$11</f>
        <v>2766.62857142857</v>
      </c>
      <c r="Q137" s="163" t="e">
        <f ca="1">_xlfn.XLOOKUP(OFFSET($C$12,$I137,MATCH($J$11,$D$12:$G$12,0)),巡逻产出!$B$311:$B$610,巡逻产出!$Q$311:$Q$610)*OFFSET($C$1,MATCH(Q$12,$C$2:$C$7,0),MATCH($J$11,$D$12:$G$12,0))</f>
        <v>#N/A</v>
      </c>
      <c r="S137" s="160">
        <v>125</v>
      </c>
      <c r="T137" s="163" t="e">
        <f ca="1">_xlfn.XLOOKUP(OFFSET($C$12,$I137,MATCH($T$11,$D$12:$G$12,0)),主线推图!$B$313:$B$612,主线推图!$P$313:$P$612)*OFFSET($C$1,MATCH(T$12,$C$2:$C$7,0),MATCH($T$11,$D$12:$G$12,0))</f>
        <v>#N/A</v>
      </c>
      <c r="U137" s="163" t="e">
        <f ca="1">_xlfn.XLOOKUP(OFFSET($C$12,$I137,MATCH($T$11,$D$12:$G$12,0)),巡逻产出!$B$311:$B$610,巡逻产出!$R$311:$R$610)*OFFSET($C$1,MATCH(U$12,$C$2:$C$7,0),MATCH($T$11,$D$12:$G$12,0))</f>
        <v>#N/A</v>
      </c>
      <c r="V137" s="163">
        <f ca="1">_xlfn.XLOOKUP(MAX(INT((OFFSET($C$12,$I137,MATCH($T$11,$D$12:$G$12,0))-6)/10),1),组队产出!$B$25:$B$39,组队产出!$P$25:$P$39)*OFFSET($C$1,MATCH(V$12,$C$2:$C$7,0),MATCH($T$11,$D$12:$G$12,0))</f>
        <v>2272.8</v>
      </c>
      <c r="W137" s="163">
        <f ca="1">竞技场!$G$3*OFFSET($C$1,MATCH(W$12,$C$2:$C$7,0),MATCH($T$11,$D$12:$G$12,0))</f>
        <v>2100</v>
      </c>
      <c r="X13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7" s="23">
        <f>任务!$G$6+任务!$G$9+IF(MOD(S137,7)=0,任务!$N$9+任务!$O$6,0)</f>
        <v>895</v>
      </c>
      <c r="Z137" s="25">
        <f>公会!$U$11</f>
        <v>2766.62857142857</v>
      </c>
      <c r="AA137" s="163" t="e">
        <f ca="1">_xlfn.XLOOKUP(OFFSET($C$12,$I137,MATCH($T$11,$D$12:$G$12,0)),巡逻产出!$B$311:$B$610,巡逻产出!$Q$311:$Q$610)*OFFSET($C$1,MATCH(AA$12,$C$2:$C$7,0),MATCH($T$11,$D$12:$G$12,0))</f>
        <v>#N/A</v>
      </c>
      <c r="AC137" s="160">
        <v>125</v>
      </c>
      <c r="AD137" s="163" t="e">
        <f ca="1">_xlfn.XLOOKUP(OFFSET($C$12,$I137,MATCH($AD$11,$D$12:$G$12,0)),主线推图!$B$313:$B$612,主线推图!$P$313:$P$612)*OFFSET($C$1,MATCH(AD$12,$C$2:$C$7,0),MATCH($AD$11,$D$12:$G$12,0))</f>
        <v>#N/A</v>
      </c>
      <c r="AE137" s="163" t="e">
        <f ca="1">_xlfn.XLOOKUP(OFFSET($C$12,$I137,MATCH($AD$11,$D$12:$G$12,0)),巡逻产出!$B$311:$B$610,巡逻产出!$R$311:$R$610)*OFFSET($C$1,MATCH(AE$12,$C$2:$C$7,0),MATCH($AD$11,$D$12:$G$12,0))</f>
        <v>#N/A</v>
      </c>
      <c r="AF137" s="163" t="e">
        <f ca="1">_xlfn.XLOOKUP(MAX(INT((OFFSET($C$12,$I137,MATCH($AD$11,$D$12:$G$12,0))-6)/10),1),组队产出!$B$25:$B$39,组队产出!$P$25:$P$39)*OFFSET($C$1,MATCH(AF$12,$C$2:$C$7,0),MATCH($AD$11,$D$12:$G$12,0))</f>
        <v>#N/A</v>
      </c>
      <c r="AG137" s="163">
        <f ca="1">竞技场!$G$3*OFFSET($C$1,MATCH(AG$12,$C$2:$C$7,0),MATCH($AD$11,$D$12:$G$12,0))</f>
        <v>3150</v>
      </c>
      <c r="AH13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7" s="23">
        <f>任务!$G$6+任务!$G$9+IF(MOD(AC137,7)=0,任务!$N$9+任务!$O$6,0)</f>
        <v>895</v>
      </c>
      <c r="AJ137" s="25">
        <f>公会!$U$11</f>
        <v>2766.62857142857</v>
      </c>
      <c r="AK137" s="163" t="e">
        <f ca="1">_xlfn.XLOOKUP(OFFSET($C$12,$I137,MATCH($AD$11,$D$12:$G$12,0)),巡逻产出!$B$311:$B$610,巡逻产出!$Q$311:$Q$610)*OFFSET($C$1,MATCH(AK$12,$C$2:$C$7,0),MATCH($AD$11,$D$12:$G$12,0))</f>
        <v>#N/A</v>
      </c>
      <c r="AM137" s="164">
        <v>125</v>
      </c>
      <c r="AN137" s="165">
        <f t="shared" ref="AN137:AN200" si="20">AN136+AN135-AN134</f>
        <v>14889</v>
      </c>
      <c r="AO137" s="165">
        <f t="shared" ref="AO137:AO200" si="21">AO136+AO135-AO134</f>
        <v>18621</v>
      </c>
      <c r="AP137" s="165">
        <f t="shared" ref="AP137:AP200" si="22">AP136+AP135-AP134</f>
        <v>29390</v>
      </c>
      <c r="AQ137" s="165">
        <f t="shared" ref="AQ137:AQ200" si="23">AQ136+AQ135-AQ134</f>
        <v>38584</v>
      </c>
    </row>
    <row r="138" spans="3:43">
      <c r="C138" s="160">
        <v>126</v>
      </c>
      <c r="D138" s="169">
        <v>159</v>
      </c>
      <c r="E138" s="170">
        <f t="shared" si="18"/>
        <v>106.25</v>
      </c>
      <c r="F138" s="169">
        <f t="shared" si="19"/>
        <v>120.95</v>
      </c>
      <c r="G138" s="163">
        <f t="shared" si="16"/>
        <v>186</v>
      </c>
      <c r="I138" s="160">
        <v>126</v>
      </c>
      <c r="J138" s="163" t="e">
        <f ca="1">_xlfn.XLOOKUP(OFFSET($C$12,$I138,MATCH($J$11,$D$12:$G$12,0)),主线推图!$B$313:$B$612,主线推图!$P$313:$P$612)*OFFSET($C$1,MATCH(J$12,$C$2:$C$7,0),MATCH($J$11,$D$12:$G$12,0))</f>
        <v>#N/A</v>
      </c>
      <c r="K138" s="163" t="e">
        <f ca="1">_xlfn.XLOOKUP(OFFSET($C$12,$I138,MATCH($J$11,$D$12:$G$12,0)),巡逻产出!$B$311:$B$610,巡逻产出!$R$311:$R$610)*OFFSET($C$1,MATCH(K$12,$C$2:$C$7,0),MATCH($J$11,$D$12:$G$12,0))</f>
        <v>#N/A</v>
      </c>
      <c r="L138" s="163">
        <f ca="1">_xlfn.XLOOKUP(MAX(INT((OFFSET($C$12,$I138,MATCH($J$11,$D$12:$G$12,0))-6)/10),1),组队产出!$B$25:$B$39,组队产出!$P$25:$P$39)*OFFSET($C$1,MATCH(L$12,$C$2:$C$7,0),MATCH($J$11,$D$12:$G$12,0))</f>
        <v>1118.4</v>
      </c>
      <c r="M138" s="163">
        <f ca="1">竞技场!$G$3*OFFSET($C$1,MATCH(M$12,$C$2:$C$7,0),MATCH($J$11,$D$12:$G$12,0))</f>
        <v>1050</v>
      </c>
      <c r="N13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8" s="23">
        <f>任务!$G$6+任务!$G$9+IF(MOD(I138,7)=0,任务!$N$9+任务!$O$6,0)</f>
        <v>3125</v>
      </c>
      <c r="P138" s="25">
        <f>公会!$U$11</f>
        <v>2766.62857142857</v>
      </c>
      <c r="Q138" s="163" t="e">
        <f ca="1">_xlfn.XLOOKUP(OFFSET($C$12,$I138,MATCH($J$11,$D$12:$G$12,0)),巡逻产出!$B$311:$B$610,巡逻产出!$Q$311:$Q$610)*OFFSET($C$1,MATCH(Q$12,$C$2:$C$7,0),MATCH($J$11,$D$12:$G$12,0))</f>
        <v>#N/A</v>
      </c>
      <c r="S138" s="160">
        <v>126</v>
      </c>
      <c r="T138" s="163" t="e">
        <f ca="1">_xlfn.XLOOKUP(OFFSET($C$12,$I138,MATCH($T$11,$D$12:$G$12,0)),主线推图!$B$313:$B$612,主线推图!$P$313:$P$612)*OFFSET($C$1,MATCH(T$12,$C$2:$C$7,0),MATCH($T$11,$D$12:$G$12,0))</f>
        <v>#N/A</v>
      </c>
      <c r="U138" s="163" t="e">
        <f ca="1">_xlfn.XLOOKUP(OFFSET($C$12,$I138,MATCH($T$11,$D$12:$G$12,0)),巡逻产出!$B$311:$B$610,巡逻产出!$R$311:$R$610)*OFFSET($C$1,MATCH(U$12,$C$2:$C$7,0),MATCH($T$11,$D$12:$G$12,0))</f>
        <v>#N/A</v>
      </c>
      <c r="V138" s="163">
        <f ca="1">_xlfn.XLOOKUP(MAX(INT((OFFSET($C$12,$I138,MATCH($T$11,$D$12:$G$12,0))-6)/10),1),组队产出!$B$25:$B$39,组队产出!$P$25:$P$39)*OFFSET($C$1,MATCH(V$12,$C$2:$C$7,0),MATCH($T$11,$D$12:$G$12,0))</f>
        <v>2272.8</v>
      </c>
      <c r="W138" s="163">
        <f ca="1">竞技场!$G$3*OFFSET($C$1,MATCH(W$12,$C$2:$C$7,0),MATCH($T$11,$D$12:$G$12,0))</f>
        <v>2100</v>
      </c>
      <c r="X13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8" s="23">
        <f>任务!$G$6+任务!$G$9+IF(MOD(S138,7)=0,任务!$N$9+任务!$O$6,0)</f>
        <v>3125</v>
      </c>
      <c r="Z138" s="25">
        <f>公会!$U$11</f>
        <v>2766.62857142857</v>
      </c>
      <c r="AA138" s="163" t="e">
        <f ca="1">_xlfn.XLOOKUP(OFFSET($C$12,$I138,MATCH($T$11,$D$12:$G$12,0)),巡逻产出!$B$311:$B$610,巡逻产出!$Q$311:$Q$610)*OFFSET($C$1,MATCH(AA$12,$C$2:$C$7,0),MATCH($T$11,$D$12:$G$12,0))</f>
        <v>#N/A</v>
      </c>
      <c r="AC138" s="160">
        <v>126</v>
      </c>
      <c r="AD138" s="163">
        <f ca="1">_xlfn.XLOOKUP(OFFSET($C$12,$I138,MATCH($AD$11,$D$12:$G$12,0)),主线推图!$B$313:$B$612,主线推图!$P$313:$P$612)*OFFSET($C$1,MATCH(AD$12,$C$2:$C$7,0),MATCH($AD$11,$D$12:$G$12,0))</f>
        <v>3355</v>
      </c>
      <c r="AE138" s="163">
        <f ca="1">_xlfn.XLOOKUP(OFFSET($C$12,$I138,MATCH($AD$11,$D$12:$G$12,0)),巡逻产出!$B$311:$B$610,巡逻产出!$R$311:$R$610)*OFFSET($C$1,MATCH(AE$12,$C$2:$C$7,0),MATCH($AD$11,$D$12:$G$12,0))</f>
        <v>0</v>
      </c>
      <c r="AF138" s="163" t="e">
        <f ca="1">_xlfn.XLOOKUP(MAX(INT((OFFSET($C$12,$I138,MATCH($AD$11,$D$12:$G$12,0))-6)/10),1),组队产出!$B$25:$B$39,组队产出!$P$25:$P$39)*OFFSET($C$1,MATCH(AF$12,$C$2:$C$7,0),MATCH($AD$11,$D$12:$G$12,0))</f>
        <v>#N/A</v>
      </c>
      <c r="AG138" s="163">
        <f ca="1">竞技场!$G$3*OFFSET($C$1,MATCH(AG$12,$C$2:$C$7,0),MATCH($AD$11,$D$12:$G$12,0))</f>
        <v>3150</v>
      </c>
      <c r="AH13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8" s="23">
        <f>任务!$G$6+任务!$G$9+IF(MOD(AC138,7)=0,任务!$N$9+任务!$O$6,0)</f>
        <v>3125</v>
      </c>
      <c r="AJ138" s="25">
        <f>公会!$U$11</f>
        <v>2766.62857142857</v>
      </c>
      <c r="AK138" s="163">
        <f ca="1">_xlfn.XLOOKUP(OFFSET($C$12,$I138,MATCH($AD$11,$D$12:$G$12,0)),巡逻产出!$B$311:$B$610,巡逻产出!$Q$311:$Q$610)*OFFSET($C$1,MATCH(AK$12,$C$2:$C$7,0),MATCH($AD$11,$D$12:$G$12,0))</f>
        <v>2320.968</v>
      </c>
      <c r="AM138" s="164">
        <v>126</v>
      </c>
      <c r="AN138" s="165">
        <f t="shared" si="20"/>
        <v>15002</v>
      </c>
      <c r="AO138" s="165">
        <f t="shared" si="21"/>
        <v>18764</v>
      </c>
      <c r="AP138" s="165">
        <f t="shared" si="22"/>
        <v>29618</v>
      </c>
      <c r="AQ138" s="165">
        <f t="shared" si="23"/>
        <v>38886</v>
      </c>
    </row>
    <row r="139" spans="3:43">
      <c r="C139" s="160">
        <v>127</v>
      </c>
      <c r="D139" s="169">
        <v>159</v>
      </c>
      <c r="E139" s="170">
        <f t="shared" si="18"/>
        <v>106.5</v>
      </c>
      <c r="F139" s="169">
        <f t="shared" si="19"/>
        <v>121.3</v>
      </c>
      <c r="G139" s="163">
        <f t="shared" si="16"/>
        <v>186.5</v>
      </c>
      <c r="I139" s="160">
        <v>127</v>
      </c>
      <c r="J139" s="163" t="e">
        <f ca="1">_xlfn.XLOOKUP(OFFSET($C$12,$I139,MATCH($J$11,$D$12:$G$12,0)),主线推图!$B$313:$B$612,主线推图!$P$313:$P$612)*OFFSET($C$1,MATCH(J$12,$C$2:$C$7,0),MATCH($J$11,$D$12:$G$12,0))</f>
        <v>#N/A</v>
      </c>
      <c r="K139" s="163" t="e">
        <f ca="1">_xlfn.XLOOKUP(OFFSET($C$12,$I139,MATCH($J$11,$D$12:$G$12,0)),巡逻产出!$B$311:$B$610,巡逻产出!$R$311:$R$610)*OFFSET($C$1,MATCH(K$12,$C$2:$C$7,0),MATCH($J$11,$D$12:$G$12,0))</f>
        <v>#N/A</v>
      </c>
      <c r="L139" s="163">
        <f ca="1">_xlfn.XLOOKUP(MAX(INT((OFFSET($C$12,$I139,MATCH($J$11,$D$12:$G$12,0))-6)/10),1),组队产出!$B$25:$B$39,组队产出!$P$25:$P$39)*OFFSET($C$1,MATCH(L$12,$C$2:$C$7,0),MATCH($J$11,$D$12:$G$12,0))</f>
        <v>1118.4</v>
      </c>
      <c r="M139" s="163">
        <f ca="1">竞技场!$G$3*OFFSET($C$1,MATCH(M$12,$C$2:$C$7,0),MATCH($J$11,$D$12:$G$12,0))</f>
        <v>1050</v>
      </c>
      <c r="N13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9" s="23">
        <f>任务!$G$6+任务!$G$9+IF(MOD(I139,7)=0,任务!$N$9+任务!$O$6,0)</f>
        <v>895</v>
      </c>
      <c r="P139" s="25">
        <f>公会!$U$11</f>
        <v>2766.62857142857</v>
      </c>
      <c r="Q139" s="163" t="e">
        <f ca="1">_xlfn.XLOOKUP(OFFSET($C$12,$I139,MATCH($J$11,$D$12:$G$12,0)),巡逻产出!$B$311:$B$610,巡逻产出!$Q$311:$Q$610)*OFFSET($C$1,MATCH(Q$12,$C$2:$C$7,0),MATCH($J$11,$D$12:$G$12,0))</f>
        <v>#N/A</v>
      </c>
      <c r="S139" s="160">
        <v>127</v>
      </c>
      <c r="T139" s="163" t="e">
        <f ca="1">_xlfn.XLOOKUP(OFFSET($C$12,$I139,MATCH($T$11,$D$12:$G$12,0)),主线推图!$B$313:$B$612,主线推图!$P$313:$P$612)*OFFSET($C$1,MATCH(T$12,$C$2:$C$7,0),MATCH($T$11,$D$12:$G$12,0))</f>
        <v>#N/A</v>
      </c>
      <c r="U139" s="163" t="e">
        <f ca="1">_xlfn.XLOOKUP(OFFSET($C$12,$I139,MATCH($T$11,$D$12:$G$12,0)),巡逻产出!$B$311:$B$610,巡逻产出!$R$311:$R$610)*OFFSET($C$1,MATCH(U$12,$C$2:$C$7,0),MATCH($T$11,$D$12:$G$12,0))</f>
        <v>#N/A</v>
      </c>
      <c r="V139" s="163">
        <f ca="1">_xlfn.XLOOKUP(MAX(INT((OFFSET($C$12,$I139,MATCH($T$11,$D$12:$G$12,0))-6)/10),1),组队产出!$B$25:$B$39,组队产出!$P$25:$P$39)*OFFSET($C$1,MATCH(V$12,$C$2:$C$7,0),MATCH($T$11,$D$12:$G$12,0))</f>
        <v>2272.8</v>
      </c>
      <c r="W139" s="163">
        <f ca="1">竞技场!$G$3*OFFSET($C$1,MATCH(W$12,$C$2:$C$7,0),MATCH($T$11,$D$12:$G$12,0))</f>
        <v>2100</v>
      </c>
      <c r="X13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9" s="23">
        <f>任务!$G$6+任务!$G$9+IF(MOD(S139,7)=0,任务!$N$9+任务!$O$6,0)</f>
        <v>895</v>
      </c>
      <c r="Z139" s="25">
        <f>公会!$U$11</f>
        <v>2766.62857142857</v>
      </c>
      <c r="AA139" s="163" t="e">
        <f ca="1">_xlfn.XLOOKUP(OFFSET($C$12,$I139,MATCH($T$11,$D$12:$G$12,0)),巡逻产出!$B$311:$B$610,巡逻产出!$Q$311:$Q$610)*OFFSET($C$1,MATCH(AA$12,$C$2:$C$7,0),MATCH($T$11,$D$12:$G$12,0))</f>
        <v>#N/A</v>
      </c>
      <c r="AC139" s="160">
        <v>127</v>
      </c>
      <c r="AD139" s="163" t="e">
        <f ca="1">_xlfn.XLOOKUP(OFFSET($C$12,$I139,MATCH($AD$11,$D$12:$G$12,0)),主线推图!$B$313:$B$612,主线推图!$P$313:$P$612)*OFFSET($C$1,MATCH(AD$12,$C$2:$C$7,0),MATCH($AD$11,$D$12:$G$12,0))</f>
        <v>#N/A</v>
      </c>
      <c r="AE139" s="163" t="e">
        <f ca="1">_xlfn.XLOOKUP(OFFSET($C$12,$I139,MATCH($AD$11,$D$12:$G$12,0)),巡逻产出!$B$311:$B$610,巡逻产出!$R$311:$R$610)*OFFSET($C$1,MATCH(AE$12,$C$2:$C$7,0),MATCH($AD$11,$D$12:$G$12,0))</f>
        <v>#N/A</v>
      </c>
      <c r="AF139" s="163" t="e">
        <f ca="1">_xlfn.XLOOKUP(MAX(INT((OFFSET($C$12,$I139,MATCH($AD$11,$D$12:$G$12,0))-6)/10),1),组队产出!$B$25:$B$39,组队产出!$P$25:$P$39)*OFFSET($C$1,MATCH(AF$12,$C$2:$C$7,0),MATCH($AD$11,$D$12:$G$12,0))</f>
        <v>#N/A</v>
      </c>
      <c r="AG139" s="163">
        <f ca="1">竞技场!$G$3*OFFSET($C$1,MATCH(AG$12,$C$2:$C$7,0),MATCH($AD$11,$D$12:$G$12,0))</f>
        <v>3150</v>
      </c>
      <c r="AH13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9" s="23">
        <f>任务!$G$6+任务!$G$9+IF(MOD(AC139,7)=0,任务!$N$9+任务!$O$6,0)</f>
        <v>895</v>
      </c>
      <c r="AJ139" s="25">
        <f>公会!$U$11</f>
        <v>2766.62857142857</v>
      </c>
      <c r="AK139" s="163" t="e">
        <f ca="1">_xlfn.XLOOKUP(OFFSET($C$12,$I139,MATCH($AD$11,$D$12:$G$12,0)),巡逻产出!$B$311:$B$610,巡逻产出!$Q$311:$Q$610)*OFFSET($C$1,MATCH(AK$12,$C$2:$C$7,0),MATCH($AD$11,$D$12:$G$12,0))</f>
        <v>#N/A</v>
      </c>
      <c r="AM139" s="164">
        <v>127</v>
      </c>
      <c r="AN139" s="165">
        <f t="shared" si="20"/>
        <v>15116</v>
      </c>
      <c r="AO139" s="165">
        <f t="shared" si="21"/>
        <v>18907</v>
      </c>
      <c r="AP139" s="165">
        <f t="shared" si="22"/>
        <v>29847</v>
      </c>
      <c r="AQ139" s="165">
        <f t="shared" si="23"/>
        <v>39188</v>
      </c>
    </row>
    <row r="140" spans="3:43">
      <c r="C140" s="160">
        <v>128</v>
      </c>
      <c r="D140" s="169">
        <v>159</v>
      </c>
      <c r="E140" s="170">
        <f t="shared" si="18"/>
        <v>106.75</v>
      </c>
      <c r="F140" s="169">
        <f t="shared" si="19"/>
        <v>121.65</v>
      </c>
      <c r="G140" s="163">
        <f t="shared" si="16"/>
        <v>187</v>
      </c>
      <c r="I140" s="160">
        <v>128</v>
      </c>
      <c r="J140" s="163" t="e">
        <f ca="1">_xlfn.XLOOKUP(OFFSET($C$12,$I140,MATCH($J$11,$D$12:$G$12,0)),主线推图!$B$313:$B$612,主线推图!$P$313:$P$612)*OFFSET($C$1,MATCH(J$12,$C$2:$C$7,0),MATCH($J$11,$D$12:$G$12,0))</f>
        <v>#N/A</v>
      </c>
      <c r="K140" s="163" t="e">
        <f ca="1">_xlfn.XLOOKUP(OFFSET($C$12,$I140,MATCH($J$11,$D$12:$G$12,0)),巡逻产出!$B$311:$B$610,巡逻产出!$R$311:$R$610)*OFFSET($C$1,MATCH(K$12,$C$2:$C$7,0),MATCH($J$11,$D$12:$G$12,0))</f>
        <v>#N/A</v>
      </c>
      <c r="L140" s="163">
        <f ca="1">_xlfn.XLOOKUP(MAX(INT((OFFSET($C$12,$I140,MATCH($J$11,$D$12:$G$12,0))-6)/10),1),组队产出!$B$25:$B$39,组队产出!$P$25:$P$39)*OFFSET($C$1,MATCH(L$12,$C$2:$C$7,0),MATCH($J$11,$D$12:$G$12,0))</f>
        <v>1118.4</v>
      </c>
      <c r="M140" s="163">
        <f ca="1">竞技场!$G$3*OFFSET($C$1,MATCH(M$12,$C$2:$C$7,0),MATCH($J$11,$D$12:$G$12,0))</f>
        <v>1050</v>
      </c>
      <c r="N14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0" s="23">
        <f>任务!$G$6+任务!$G$9+IF(MOD(I140,7)=0,任务!$N$9+任务!$O$6,0)</f>
        <v>895</v>
      </c>
      <c r="P140" s="25">
        <f>公会!$U$11</f>
        <v>2766.62857142857</v>
      </c>
      <c r="Q140" s="163" t="e">
        <f ca="1">_xlfn.XLOOKUP(OFFSET($C$12,$I140,MATCH($J$11,$D$12:$G$12,0)),巡逻产出!$B$311:$B$610,巡逻产出!$Q$311:$Q$610)*OFFSET($C$1,MATCH(Q$12,$C$2:$C$7,0),MATCH($J$11,$D$12:$G$12,0))</f>
        <v>#N/A</v>
      </c>
      <c r="S140" s="160">
        <v>128</v>
      </c>
      <c r="T140" s="163" t="e">
        <f ca="1">_xlfn.XLOOKUP(OFFSET($C$12,$I140,MATCH($T$11,$D$12:$G$12,0)),主线推图!$B$313:$B$612,主线推图!$P$313:$P$612)*OFFSET($C$1,MATCH(T$12,$C$2:$C$7,0),MATCH($T$11,$D$12:$G$12,0))</f>
        <v>#N/A</v>
      </c>
      <c r="U140" s="163" t="e">
        <f ca="1">_xlfn.XLOOKUP(OFFSET($C$12,$I140,MATCH($T$11,$D$12:$G$12,0)),巡逻产出!$B$311:$B$610,巡逻产出!$R$311:$R$610)*OFFSET($C$1,MATCH(U$12,$C$2:$C$7,0),MATCH($T$11,$D$12:$G$12,0))</f>
        <v>#N/A</v>
      </c>
      <c r="V140" s="163">
        <f ca="1">_xlfn.XLOOKUP(MAX(INT((OFFSET($C$12,$I140,MATCH($T$11,$D$12:$G$12,0))-6)/10),1),组队产出!$B$25:$B$39,组队产出!$P$25:$P$39)*OFFSET($C$1,MATCH(V$12,$C$2:$C$7,0),MATCH($T$11,$D$12:$G$12,0))</f>
        <v>2272.8</v>
      </c>
      <c r="W140" s="163">
        <f ca="1">竞技场!$G$3*OFFSET($C$1,MATCH(W$12,$C$2:$C$7,0),MATCH($T$11,$D$12:$G$12,0))</f>
        <v>2100</v>
      </c>
      <c r="X14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0" s="23">
        <f>任务!$G$6+任务!$G$9+IF(MOD(S140,7)=0,任务!$N$9+任务!$O$6,0)</f>
        <v>895</v>
      </c>
      <c r="Z140" s="25">
        <f>公会!$U$11</f>
        <v>2766.62857142857</v>
      </c>
      <c r="AA140" s="163" t="e">
        <f ca="1">_xlfn.XLOOKUP(OFFSET($C$12,$I140,MATCH($T$11,$D$12:$G$12,0)),巡逻产出!$B$311:$B$610,巡逻产出!$Q$311:$Q$610)*OFFSET($C$1,MATCH(AA$12,$C$2:$C$7,0),MATCH($T$11,$D$12:$G$12,0))</f>
        <v>#N/A</v>
      </c>
      <c r="AC140" s="160">
        <v>128</v>
      </c>
      <c r="AD140" s="163">
        <f ca="1">_xlfn.XLOOKUP(OFFSET($C$12,$I140,MATCH($AD$11,$D$12:$G$12,0)),主线推图!$B$313:$B$612,主线推图!$P$313:$P$612)*OFFSET($C$1,MATCH(AD$12,$C$2:$C$7,0),MATCH($AD$11,$D$12:$G$12,0))</f>
        <v>3357.2</v>
      </c>
      <c r="AE140" s="163">
        <f ca="1">_xlfn.XLOOKUP(OFFSET($C$12,$I140,MATCH($AD$11,$D$12:$G$12,0)),巡逻产出!$B$311:$B$610,巡逻产出!$R$311:$R$610)*OFFSET($C$1,MATCH(AE$12,$C$2:$C$7,0),MATCH($AD$11,$D$12:$G$12,0))</f>
        <v>0</v>
      </c>
      <c r="AF140" s="163" t="e">
        <f ca="1">_xlfn.XLOOKUP(MAX(INT((OFFSET($C$12,$I140,MATCH($AD$11,$D$12:$G$12,0))-6)/10),1),组队产出!$B$25:$B$39,组队产出!$P$25:$P$39)*OFFSET($C$1,MATCH(AF$12,$C$2:$C$7,0),MATCH($AD$11,$D$12:$G$12,0))</f>
        <v>#N/A</v>
      </c>
      <c r="AG140" s="163">
        <f ca="1">竞技场!$G$3*OFFSET($C$1,MATCH(AG$12,$C$2:$C$7,0),MATCH($AD$11,$D$12:$G$12,0))</f>
        <v>3150</v>
      </c>
      <c r="AH14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0" s="23">
        <f>任务!$G$6+任务!$G$9+IF(MOD(AC140,7)=0,任务!$N$9+任务!$O$6,0)</f>
        <v>895</v>
      </c>
      <c r="AJ140" s="25">
        <f>公会!$U$11</f>
        <v>2766.62857142857</v>
      </c>
      <c r="AK140" s="163">
        <f ca="1">_xlfn.XLOOKUP(OFFSET($C$12,$I140,MATCH($AD$11,$D$12:$G$12,0)),巡逻产出!$B$311:$B$610,巡逻产出!$Q$311:$Q$610)*OFFSET($C$1,MATCH(AK$12,$C$2:$C$7,0),MATCH($AD$11,$D$12:$G$12,0))</f>
        <v>2322.528</v>
      </c>
      <c r="AM140" s="164">
        <v>128</v>
      </c>
      <c r="AN140" s="165">
        <f t="shared" si="20"/>
        <v>15229</v>
      </c>
      <c r="AO140" s="165">
        <f t="shared" si="21"/>
        <v>19050</v>
      </c>
      <c r="AP140" s="165">
        <f t="shared" si="22"/>
        <v>30075</v>
      </c>
      <c r="AQ140" s="165">
        <f t="shared" si="23"/>
        <v>39490</v>
      </c>
    </row>
    <row r="141" spans="3:43">
      <c r="C141" s="160">
        <v>129</v>
      </c>
      <c r="D141" s="169">
        <v>160</v>
      </c>
      <c r="E141" s="170">
        <f t="shared" si="18"/>
        <v>107</v>
      </c>
      <c r="F141" s="169">
        <f t="shared" si="19"/>
        <v>122</v>
      </c>
      <c r="G141" s="163">
        <f t="shared" si="16"/>
        <v>187.5</v>
      </c>
      <c r="I141" s="160">
        <v>129</v>
      </c>
      <c r="J141" s="163" t="e">
        <f ca="1">_xlfn.XLOOKUP(OFFSET($C$12,$I141,MATCH($J$11,$D$12:$G$12,0)),主线推图!$B$313:$B$612,主线推图!$P$313:$P$612)*OFFSET($C$1,MATCH(J$12,$C$2:$C$7,0),MATCH($J$11,$D$12:$G$12,0))</f>
        <v>#N/A</v>
      </c>
      <c r="K141" s="163" t="e">
        <f ca="1">_xlfn.XLOOKUP(OFFSET($C$12,$I141,MATCH($J$11,$D$12:$G$12,0)),巡逻产出!$B$311:$B$610,巡逻产出!$R$311:$R$610)*OFFSET($C$1,MATCH(K$12,$C$2:$C$7,0),MATCH($J$11,$D$12:$G$12,0))</f>
        <v>#N/A</v>
      </c>
      <c r="L141" s="163">
        <f ca="1">_xlfn.XLOOKUP(MAX(INT((OFFSET($C$12,$I141,MATCH($J$11,$D$12:$G$12,0))-6)/10),1),组队产出!$B$25:$B$39,组队产出!$P$25:$P$39)*OFFSET($C$1,MATCH(L$12,$C$2:$C$7,0),MATCH($J$11,$D$12:$G$12,0))</f>
        <v>1118.4</v>
      </c>
      <c r="M141" s="163">
        <f ca="1">竞技场!$G$3*OFFSET($C$1,MATCH(M$12,$C$2:$C$7,0),MATCH($J$11,$D$12:$G$12,0))</f>
        <v>1050</v>
      </c>
      <c r="N14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1" s="23">
        <f>任务!$G$6+任务!$G$9+IF(MOD(I141,7)=0,任务!$N$9+任务!$O$6,0)</f>
        <v>895</v>
      </c>
      <c r="P141" s="25">
        <f>公会!$U$11</f>
        <v>2766.62857142857</v>
      </c>
      <c r="Q141" s="163" t="e">
        <f ca="1">_xlfn.XLOOKUP(OFFSET($C$12,$I141,MATCH($J$11,$D$12:$G$12,0)),巡逻产出!$B$311:$B$610,巡逻产出!$Q$311:$Q$610)*OFFSET($C$1,MATCH(Q$12,$C$2:$C$7,0),MATCH($J$11,$D$12:$G$12,0))</f>
        <v>#N/A</v>
      </c>
      <c r="S141" s="160">
        <v>129</v>
      </c>
      <c r="T141" s="163">
        <f ca="1">_xlfn.XLOOKUP(OFFSET($C$12,$I141,MATCH($T$11,$D$12:$G$12,0)),主线推图!$B$313:$B$612,主线推图!$P$313:$P$612)*OFFSET($C$1,MATCH(T$12,$C$2:$C$7,0),MATCH($T$11,$D$12:$G$12,0))</f>
        <v>2191.5</v>
      </c>
      <c r="U141" s="163">
        <f ca="1">_xlfn.XLOOKUP(OFFSET($C$12,$I141,MATCH($T$11,$D$12:$G$12,0)),巡逻产出!$B$311:$B$610,巡逻产出!$R$311:$R$610)*OFFSET($C$1,MATCH(U$12,$C$2:$C$7,0),MATCH($T$11,$D$12:$G$12,0))</f>
        <v>1905.75</v>
      </c>
      <c r="V141" s="163">
        <f ca="1">_xlfn.XLOOKUP(MAX(INT((OFFSET($C$12,$I141,MATCH($T$11,$D$12:$G$12,0))-6)/10),1),组队产出!$B$25:$B$39,组队产出!$P$25:$P$39)*OFFSET($C$1,MATCH(V$12,$C$2:$C$7,0),MATCH($T$11,$D$12:$G$12,0))</f>
        <v>2272.8</v>
      </c>
      <c r="W141" s="163">
        <f ca="1">竞技场!$G$3*OFFSET($C$1,MATCH(W$12,$C$2:$C$7,0),MATCH($T$11,$D$12:$G$12,0))</f>
        <v>2100</v>
      </c>
      <c r="X14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1" s="23">
        <f>任务!$G$6+任务!$G$9+IF(MOD(S141,7)=0,任务!$N$9+任务!$O$6,0)</f>
        <v>895</v>
      </c>
      <c r="Z141" s="25">
        <f>公会!$U$11</f>
        <v>2766.62857142857</v>
      </c>
      <c r="AA141" s="163">
        <f ca="1">_xlfn.XLOOKUP(OFFSET($C$12,$I141,MATCH($T$11,$D$12:$G$12,0)),巡逻产出!$B$311:$B$610,巡逻产出!$Q$311:$Q$610)*OFFSET($C$1,MATCH(AA$12,$C$2:$C$7,0),MATCH($T$11,$D$12:$G$12,0))</f>
        <v>2221.128</v>
      </c>
      <c r="AC141" s="160">
        <v>129</v>
      </c>
      <c r="AD141" s="163" t="e">
        <f ca="1">_xlfn.XLOOKUP(OFFSET($C$12,$I141,MATCH($AD$11,$D$12:$G$12,0)),主线推图!$B$313:$B$612,主线推图!$P$313:$P$612)*OFFSET($C$1,MATCH(AD$12,$C$2:$C$7,0),MATCH($AD$11,$D$12:$G$12,0))</f>
        <v>#N/A</v>
      </c>
      <c r="AE141" s="163" t="e">
        <f ca="1">_xlfn.XLOOKUP(OFFSET($C$12,$I141,MATCH($AD$11,$D$12:$G$12,0)),巡逻产出!$B$311:$B$610,巡逻产出!$R$311:$R$610)*OFFSET($C$1,MATCH(AE$12,$C$2:$C$7,0),MATCH($AD$11,$D$12:$G$12,0))</f>
        <v>#N/A</v>
      </c>
      <c r="AF141" s="163" t="e">
        <f ca="1">_xlfn.XLOOKUP(MAX(INT((OFFSET($C$12,$I141,MATCH($AD$11,$D$12:$G$12,0))-6)/10),1),组队产出!$B$25:$B$39,组队产出!$P$25:$P$39)*OFFSET($C$1,MATCH(AF$12,$C$2:$C$7,0),MATCH($AD$11,$D$12:$G$12,0))</f>
        <v>#N/A</v>
      </c>
      <c r="AG141" s="163">
        <f ca="1">竞技场!$G$3*OFFSET($C$1,MATCH(AG$12,$C$2:$C$7,0),MATCH($AD$11,$D$12:$G$12,0))</f>
        <v>3150</v>
      </c>
      <c r="AH14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1" s="23">
        <f>任务!$G$6+任务!$G$9+IF(MOD(AC141,7)=0,任务!$N$9+任务!$O$6,0)</f>
        <v>895</v>
      </c>
      <c r="AJ141" s="25">
        <f>公会!$U$11</f>
        <v>2766.62857142857</v>
      </c>
      <c r="AK141" s="163" t="e">
        <f ca="1">_xlfn.XLOOKUP(OFFSET($C$12,$I141,MATCH($AD$11,$D$12:$G$12,0)),巡逻产出!$B$311:$B$610,巡逻产出!$Q$311:$Q$610)*OFFSET($C$1,MATCH(AK$12,$C$2:$C$7,0),MATCH($AD$11,$D$12:$G$12,0))</f>
        <v>#N/A</v>
      </c>
      <c r="AM141" s="164">
        <v>129</v>
      </c>
      <c r="AN141" s="165">
        <f t="shared" si="20"/>
        <v>15343</v>
      </c>
      <c r="AO141" s="165">
        <f t="shared" si="21"/>
        <v>19193</v>
      </c>
      <c r="AP141" s="165">
        <f t="shared" si="22"/>
        <v>30304</v>
      </c>
      <c r="AQ141" s="165">
        <f t="shared" si="23"/>
        <v>39792</v>
      </c>
    </row>
    <row r="142" spans="3:43">
      <c r="C142" s="160">
        <v>130</v>
      </c>
      <c r="D142" s="169">
        <v>160</v>
      </c>
      <c r="E142" s="170">
        <f t="shared" si="18"/>
        <v>107.25</v>
      </c>
      <c r="F142" s="169">
        <f t="shared" si="19"/>
        <v>122.35</v>
      </c>
      <c r="G142" s="163">
        <f t="shared" si="16"/>
        <v>188</v>
      </c>
      <c r="I142" s="160">
        <v>130</v>
      </c>
      <c r="J142" s="163" t="e">
        <f ca="1">_xlfn.XLOOKUP(OFFSET($C$12,$I142,MATCH($J$11,$D$12:$G$12,0)),主线推图!$B$313:$B$612,主线推图!$P$313:$P$612)*OFFSET($C$1,MATCH(J$12,$C$2:$C$7,0),MATCH($J$11,$D$12:$G$12,0))</f>
        <v>#N/A</v>
      </c>
      <c r="K142" s="163" t="e">
        <f ca="1">_xlfn.XLOOKUP(OFFSET($C$12,$I142,MATCH($J$11,$D$12:$G$12,0)),巡逻产出!$B$311:$B$610,巡逻产出!$R$311:$R$610)*OFFSET($C$1,MATCH(K$12,$C$2:$C$7,0),MATCH($J$11,$D$12:$G$12,0))</f>
        <v>#N/A</v>
      </c>
      <c r="L142" s="163">
        <f ca="1">_xlfn.XLOOKUP(MAX(INT((OFFSET($C$12,$I142,MATCH($J$11,$D$12:$G$12,0))-6)/10),1),组队产出!$B$25:$B$39,组队产出!$P$25:$P$39)*OFFSET($C$1,MATCH(L$12,$C$2:$C$7,0),MATCH($J$11,$D$12:$G$12,0))</f>
        <v>1118.4</v>
      </c>
      <c r="M142" s="163">
        <f ca="1">竞技场!$G$3*OFFSET($C$1,MATCH(M$12,$C$2:$C$7,0),MATCH($J$11,$D$12:$G$12,0))</f>
        <v>1050</v>
      </c>
      <c r="N14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2" s="23">
        <f>任务!$G$6+任务!$G$9+IF(MOD(I142,7)=0,任务!$N$9+任务!$O$6,0)</f>
        <v>895</v>
      </c>
      <c r="P142" s="25">
        <f>公会!$U$11</f>
        <v>2766.62857142857</v>
      </c>
      <c r="Q142" s="163" t="e">
        <f ca="1">_xlfn.XLOOKUP(OFFSET($C$12,$I142,MATCH($J$11,$D$12:$G$12,0)),巡逻产出!$B$311:$B$610,巡逻产出!$Q$311:$Q$610)*OFFSET($C$1,MATCH(Q$12,$C$2:$C$7,0),MATCH($J$11,$D$12:$G$12,0))</f>
        <v>#N/A</v>
      </c>
      <c r="S142" s="160">
        <v>130</v>
      </c>
      <c r="T142" s="163" t="e">
        <f ca="1">_xlfn.XLOOKUP(OFFSET($C$12,$I142,MATCH($T$11,$D$12:$G$12,0)),主线推图!$B$313:$B$612,主线推图!$P$313:$P$612)*OFFSET($C$1,MATCH(T$12,$C$2:$C$7,0),MATCH($T$11,$D$12:$G$12,0))</f>
        <v>#N/A</v>
      </c>
      <c r="U142" s="163" t="e">
        <f ca="1">_xlfn.XLOOKUP(OFFSET($C$12,$I142,MATCH($T$11,$D$12:$G$12,0)),巡逻产出!$B$311:$B$610,巡逻产出!$R$311:$R$610)*OFFSET($C$1,MATCH(U$12,$C$2:$C$7,0),MATCH($T$11,$D$12:$G$12,0))</f>
        <v>#N/A</v>
      </c>
      <c r="V142" s="163">
        <f ca="1">_xlfn.XLOOKUP(MAX(INT((OFFSET($C$12,$I142,MATCH($T$11,$D$12:$G$12,0))-6)/10),1),组队产出!$B$25:$B$39,组队产出!$P$25:$P$39)*OFFSET($C$1,MATCH(V$12,$C$2:$C$7,0),MATCH($T$11,$D$12:$G$12,0))</f>
        <v>2272.8</v>
      </c>
      <c r="W142" s="163">
        <f ca="1">竞技场!$G$3*OFFSET($C$1,MATCH(W$12,$C$2:$C$7,0),MATCH($T$11,$D$12:$G$12,0))</f>
        <v>2100</v>
      </c>
      <c r="X14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2" s="23">
        <f>任务!$G$6+任务!$G$9+IF(MOD(S142,7)=0,任务!$N$9+任务!$O$6,0)</f>
        <v>895</v>
      </c>
      <c r="Z142" s="25">
        <f>公会!$U$11</f>
        <v>2766.62857142857</v>
      </c>
      <c r="AA142" s="163" t="e">
        <f ca="1">_xlfn.XLOOKUP(OFFSET($C$12,$I142,MATCH($T$11,$D$12:$G$12,0)),巡逻产出!$B$311:$B$610,巡逻产出!$Q$311:$Q$610)*OFFSET($C$1,MATCH(AA$12,$C$2:$C$7,0),MATCH($T$11,$D$12:$G$12,0))</f>
        <v>#N/A</v>
      </c>
      <c r="AC142" s="160">
        <v>130</v>
      </c>
      <c r="AD142" s="163">
        <f ca="1">_xlfn.XLOOKUP(OFFSET($C$12,$I142,MATCH($AD$11,$D$12:$G$12,0)),主线推图!$B$313:$B$612,主线推图!$P$313:$P$612)*OFFSET($C$1,MATCH(AD$12,$C$2:$C$7,0),MATCH($AD$11,$D$12:$G$12,0))</f>
        <v>3359.4</v>
      </c>
      <c r="AE142" s="163">
        <f ca="1">_xlfn.XLOOKUP(OFFSET($C$12,$I142,MATCH($AD$11,$D$12:$G$12,0)),巡逻产出!$B$311:$B$610,巡逻产出!$R$311:$R$610)*OFFSET($C$1,MATCH(AE$12,$C$2:$C$7,0),MATCH($AD$11,$D$12:$G$12,0))</f>
        <v>0</v>
      </c>
      <c r="AF142" s="163" t="e">
        <f ca="1">_xlfn.XLOOKUP(MAX(INT((OFFSET($C$12,$I142,MATCH($AD$11,$D$12:$G$12,0))-6)/10),1),组队产出!$B$25:$B$39,组队产出!$P$25:$P$39)*OFFSET($C$1,MATCH(AF$12,$C$2:$C$7,0),MATCH($AD$11,$D$12:$G$12,0))</f>
        <v>#N/A</v>
      </c>
      <c r="AG142" s="163">
        <f ca="1">竞技场!$G$3*OFFSET($C$1,MATCH(AG$12,$C$2:$C$7,0),MATCH($AD$11,$D$12:$G$12,0))</f>
        <v>3150</v>
      </c>
      <c r="AH14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2" s="23">
        <f>任务!$G$6+任务!$G$9+IF(MOD(AC142,7)=0,任务!$N$9+任务!$O$6,0)</f>
        <v>895</v>
      </c>
      <c r="AJ142" s="25">
        <f>公会!$U$11</f>
        <v>2766.62857142857</v>
      </c>
      <c r="AK142" s="163">
        <f ca="1">_xlfn.XLOOKUP(OFFSET($C$12,$I142,MATCH($AD$11,$D$12:$G$12,0)),巡逻产出!$B$311:$B$610,巡逻产出!$Q$311:$Q$610)*OFFSET($C$1,MATCH(AK$12,$C$2:$C$7,0),MATCH($AD$11,$D$12:$G$12,0))</f>
        <v>2324.088</v>
      </c>
      <c r="AM142" s="164">
        <v>130</v>
      </c>
      <c r="AN142" s="165">
        <f t="shared" si="20"/>
        <v>15456</v>
      </c>
      <c r="AO142" s="165">
        <f t="shared" si="21"/>
        <v>19336</v>
      </c>
      <c r="AP142" s="165">
        <f t="shared" si="22"/>
        <v>30532</v>
      </c>
      <c r="AQ142" s="165">
        <f t="shared" si="23"/>
        <v>40094</v>
      </c>
    </row>
    <row r="143" spans="3:43">
      <c r="C143" s="160">
        <v>131</v>
      </c>
      <c r="D143" s="169">
        <v>160</v>
      </c>
      <c r="E143" s="170">
        <f t="shared" si="18"/>
        <v>107.5</v>
      </c>
      <c r="F143" s="169">
        <f t="shared" si="19"/>
        <v>122.7</v>
      </c>
      <c r="G143" s="163">
        <f t="shared" si="16"/>
        <v>188.5</v>
      </c>
      <c r="I143" s="160">
        <v>131</v>
      </c>
      <c r="J143" s="163" t="e">
        <f ca="1">_xlfn.XLOOKUP(OFFSET($C$12,$I143,MATCH($J$11,$D$12:$G$12,0)),主线推图!$B$313:$B$612,主线推图!$P$313:$P$612)*OFFSET($C$1,MATCH(J$12,$C$2:$C$7,0),MATCH($J$11,$D$12:$G$12,0))</f>
        <v>#N/A</v>
      </c>
      <c r="K143" s="163" t="e">
        <f ca="1">_xlfn.XLOOKUP(OFFSET($C$12,$I143,MATCH($J$11,$D$12:$G$12,0)),巡逻产出!$B$311:$B$610,巡逻产出!$R$311:$R$610)*OFFSET($C$1,MATCH(K$12,$C$2:$C$7,0),MATCH($J$11,$D$12:$G$12,0))</f>
        <v>#N/A</v>
      </c>
      <c r="L143" s="163">
        <f ca="1">_xlfn.XLOOKUP(MAX(INT((OFFSET($C$12,$I143,MATCH($J$11,$D$12:$G$12,0))-6)/10),1),组队产出!$B$25:$B$39,组队产出!$P$25:$P$39)*OFFSET($C$1,MATCH(L$12,$C$2:$C$7,0),MATCH($J$11,$D$12:$G$12,0))</f>
        <v>1118.4</v>
      </c>
      <c r="M143" s="163">
        <f ca="1">竞技场!$G$3*OFFSET($C$1,MATCH(M$12,$C$2:$C$7,0),MATCH($J$11,$D$12:$G$12,0))</f>
        <v>1050</v>
      </c>
      <c r="N14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3" s="23">
        <f>任务!$G$6+任务!$G$9+IF(MOD(I143,7)=0,任务!$N$9+任务!$O$6,0)</f>
        <v>895</v>
      </c>
      <c r="P143" s="25">
        <f>公会!$U$11</f>
        <v>2766.62857142857</v>
      </c>
      <c r="Q143" s="163" t="e">
        <f ca="1">_xlfn.XLOOKUP(OFFSET($C$12,$I143,MATCH($J$11,$D$12:$G$12,0)),巡逻产出!$B$311:$B$610,巡逻产出!$Q$311:$Q$610)*OFFSET($C$1,MATCH(Q$12,$C$2:$C$7,0),MATCH($J$11,$D$12:$G$12,0))</f>
        <v>#N/A</v>
      </c>
      <c r="S143" s="160">
        <v>131</v>
      </c>
      <c r="T143" s="163" t="e">
        <f ca="1">_xlfn.XLOOKUP(OFFSET($C$12,$I143,MATCH($T$11,$D$12:$G$12,0)),主线推图!$B$313:$B$612,主线推图!$P$313:$P$612)*OFFSET($C$1,MATCH(T$12,$C$2:$C$7,0),MATCH($T$11,$D$12:$G$12,0))</f>
        <v>#N/A</v>
      </c>
      <c r="U143" s="163" t="e">
        <f ca="1">_xlfn.XLOOKUP(OFFSET($C$12,$I143,MATCH($T$11,$D$12:$G$12,0)),巡逻产出!$B$311:$B$610,巡逻产出!$R$311:$R$610)*OFFSET($C$1,MATCH(U$12,$C$2:$C$7,0),MATCH($T$11,$D$12:$G$12,0))</f>
        <v>#N/A</v>
      </c>
      <c r="V143" s="163">
        <f ca="1">_xlfn.XLOOKUP(MAX(INT((OFFSET($C$12,$I143,MATCH($T$11,$D$12:$G$12,0))-6)/10),1),组队产出!$B$25:$B$39,组队产出!$P$25:$P$39)*OFFSET($C$1,MATCH(V$12,$C$2:$C$7,0),MATCH($T$11,$D$12:$G$12,0))</f>
        <v>2272.8</v>
      </c>
      <c r="W143" s="163">
        <f ca="1">竞技场!$G$3*OFFSET($C$1,MATCH(W$12,$C$2:$C$7,0),MATCH($T$11,$D$12:$G$12,0))</f>
        <v>2100</v>
      </c>
      <c r="X14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3" s="23">
        <f>任务!$G$6+任务!$G$9+IF(MOD(S143,7)=0,任务!$N$9+任务!$O$6,0)</f>
        <v>895</v>
      </c>
      <c r="Z143" s="25">
        <f>公会!$U$11</f>
        <v>2766.62857142857</v>
      </c>
      <c r="AA143" s="163" t="e">
        <f ca="1">_xlfn.XLOOKUP(OFFSET($C$12,$I143,MATCH($T$11,$D$12:$G$12,0)),巡逻产出!$B$311:$B$610,巡逻产出!$Q$311:$Q$610)*OFFSET($C$1,MATCH(AA$12,$C$2:$C$7,0),MATCH($T$11,$D$12:$G$12,0))</f>
        <v>#N/A</v>
      </c>
      <c r="AC143" s="160">
        <v>131</v>
      </c>
      <c r="AD143" s="163" t="e">
        <f ca="1">_xlfn.XLOOKUP(OFFSET($C$12,$I143,MATCH($AD$11,$D$12:$G$12,0)),主线推图!$B$313:$B$612,主线推图!$P$313:$P$612)*OFFSET($C$1,MATCH(AD$12,$C$2:$C$7,0),MATCH($AD$11,$D$12:$G$12,0))</f>
        <v>#N/A</v>
      </c>
      <c r="AE143" s="163" t="e">
        <f ca="1">_xlfn.XLOOKUP(OFFSET($C$12,$I143,MATCH($AD$11,$D$12:$G$12,0)),巡逻产出!$B$311:$B$610,巡逻产出!$R$311:$R$610)*OFFSET($C$1,MATCH(AE$12,$C$2:$C$7,0),MATCH($AD$11,$D$12:$G$12,0))</f>
        <v>#N/A</v>
      </c>
      <c r="AF143" s="163" t="e">
        <f ca="1">_xlfn.XLOOKUP(MAX(INT((OFFSET($C$12,$I143,MATCH($AD$11,$D$12:$G$12,0))-6)/10),1),组队产出!$B$25:$B$39,组队产出!$P$25:$P$39)*OFFSET($C$1,MATCH(AF$12,$C$2:$C$7,0),MATCH($AD$11,$D$12:$G$12,0))</f>
        <v>#N/A</v>
      </c>
      <c r="AG143" s="163">
        <f ca="1">竞技场!$G$3*OFFSET($C$1,MATCH(AG$12,$C$2:$C$7,0),MATCH($AD$11,$D$12:$G$12,0))</f>
        <v>3150</v>
      </c>
      <c r="AH14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3" s="23">
        <f>任务!$G$6+任务!$G$9+IF(MOD(AC143,7)=0,任务!$N$9+任务!$O$6,0)</f>
        <v>895</v>
      </c>
      <c r="AJ143" s="25">
        <f>公会!$U$11</f>
        <v>2766.62857142857</v>
      </c>
      <c r="AK143" s="163" t="e">
        <f ca="1">_xlfn.XLOOKUP(OFFSET($C$12,$I143,MATCH($AD$11,$D$12:$G$12,0)),巡逻产出!$B$311:$B$610,巡逻产出!$Q$311:$Q$610)*OFFSET($C$1,MATCH(AK$12,$C$2:$C$7,0),MATCH($AD$11,$D$12:$G$12,0))</f>
        <v>#N/A</v>
      </c>
      <c r="AM143" s="164">
        <v>131</v>
      </c>
      <c r="AN143" s="165">
        <f t="shared" si="20"/>
        <v>15570</v>
      </c>
      <c r="AO143" s="165">
        <f t="shared" si="21"/>
        <v>19479</v>
      </c>
      <c r="AP143" s="165">
        <f t="shared" si="22"/>
        <v>30761</v>
      </c>
      <c r="AQ143" s="165">
        <f t="shared" si="23"/>
        <v>40396</v>
      </c>
    </row>
    <row r="144" spans="3:43">
      <c r="C144" s="160">
        <v>132</v>
      </c>
      <c r="D144" s="169">
        <v>160</v>
      </c>
      <c r="E144" s="170">
        <f t="shared" si="18"/>
        <v>107.75</v>
      </c>
      <c r="F144" s="169">
        <f t="shared" si="19"/>
        <v>123.05</v>
      </c>
      <c r="G144" s="163">
        <f t="shared" si="16"/>
        <v>189</v>
      </c>
      <c r="I144" s="160">
        <v>132</v>
      </c>
      <c r="J144" s="163" t="e">
        <f ca="1">_xlfn.XLOOKUP(OFFSET($C$12,$I144,MATCH($J$11,$D$12:$G$12,0)),主线推图!$B$313:$B$612,主线推图!$P$313:$P$612)*OFFSET($C$1,MATCH(J$12,$C$2:$C$7,0),MATCH($J$11,$D$12:$G$12,0))</f>
        <v>#N/A</v>
      </c>
      <c r="K144" s="163" t="e">
        <f ca="1">_xlfn.XLOOKUP(OFFSET($C$12,$I144,MATCH($J$11,$D$12:$G$12,0)),巡逻产出!$B$311:$B$610,巡逻产出!$R$311:$R$610)*OFFSET($C$1,MATCH(K$12,$C$2:$C$7,0),MATCH($J$11,$D$12:$G$12,0))</f>
        <v>#N/A</v>
      </c>
      <c r="L144" s="163">
        <f ca="1">_xlfn.XLOOKUP(MAX(INT((OFFSET($C$12,$I144,MATCH($J$11,$D$12:$G$12,0))-6)/10),1),组队产出!$B$25:$B$39,组队产出!$P$25:$P$39)*OFFSET($C$1,MATCH(L$12,$C$2:$C$7,0),MATCH($J$11,$D$12:$G$12,0))</f>
        <v>1118.4</v>
      </c>
      <c r="M144" s="163">
        <f ca="1">竞技场!$G$3*OFFSET($C$1,MATCH(M$12,$C$2:$C$7,0),MATCH($J$11,$D$12:$G$12,0))</f>
        <v>1050</v>
      </c>
      <c r="N14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4" s="23">
        <f>任务!$G$6+任务!$G$9+IF(MOD(I144,7)=0,任务!$N$9+任务!$O$6,0)</f>
        <v>895</v>
      </c>
      <c r="P144" s="25">
        <f>公会!$U$11</f>
        <v>2766.62857142857</v>
      </c>
      <c r="Q144" s="163" t="e">
        <f ca="1">_xlfn.XLOOKUP(OFFSET($C$12,$I144,MATCH($J$11,$D$12:$G$12,0)),巡逻产出!$B$311:$B$610,巡逻产出!$Q$311:$Q$610)*OFFSET($C$1,MATCH(Q$12,$C$2:$C$7,0),MATCH($J$11,$D$12:$G$12,0))</f>
        <v>#N/A</v>
      </c>
      <c r="S144" s="160">
        <v>132</v>
      </c>
      <c r="T144" s="163" t="e">
        <f ca="1">_xlfn.XLOOKUP(OFFSET($C$12,$I144,MATCH($T$11,$D$12:$G$12,0)),主线推图!$B$313:$B$612,主线推图!$P$313:$P$612)*OFFSET($C$1,MATCH(T$12,$C$2:$C$7,0),MATCH($T$11,$D$12:$G$12,0))</f>
        <v>#N/A</v>
      </c>
      <c r="U144" s="163" t="e">
        <f ca="1">_xlfn.XLOOKUP(OFFSET($C$12,$I144,MATCH($T$11,$D$12:$G$12,0)),巡逻产出!$B$311:$B$610,巡逻产出!$R$311:$R$610)*OFFSET($C$1,MATCH(U$12,$C$2:$C$7,0),MATCH($T$11,$D$12:$G$12,0))</f>
        <v>#N/A</v>
      </c>
      <c r="V144" s="163">
        <f ca="1">_xlfn.XLOOKUP(MAX(INT((OFFSET($C$12,$I144,MATCH($T$11,$D$12:$G$12,0))-6)/10),1),组队产出!$B$25:$B$39,组队产出!$P$25:$P$39)*OFFSET($C$1,MATCH(V$12,$C$2:$C$7,0),MATCH($T$11,$D$12:$G$12,0))</f>
        <v>2272.8</v>
      </c>
      <c r="W144" s="163">
        <f ca="1">竞技场!$G$3*OFFSET($C$1,MATCH(W$12,$C$2:$C$7,0),MATCH($T$11,$D$12:$G$12,0))</f>
        <v>2100</v>
      </c>
      <c r="X14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4" s="23">
        <f>任务!$G$6+任务!$G$9+IF(MOD(S144,7)=0,任务!$N$9+任务!$O$6,0)</f>
        <v>895</v>
      </c>
      <c r="Z144" s="25">
        <f>公会!$U$11</f>
        <v>2766.62857142857</v>
      </c>
      <c r="AA144" s="163" t="e">
        <f ca="1">_xlfn.XLOOKUP(OFFSET($C$12,$I144,MATCH($T$11,$D$12:$G$12,0)),巡逻产出!$B$311:$B$610,巡逻产出!$Q$311:$Q$610)*OFFSET($C$1,MATCH(AA$12,$C$2:$C$7,0),MATCH($T$11,$D$12:$G$12,0))</f>
        <v>#N/A</v>
      </c>
      <c r="AC144" s="160">
        <v>132</v>
      </c>
      <c r="AD144" s="163">
        <f ca="1">_xlfn.XLOOKUP(OFFSET($C$12,$I144,MATCH($AD$11,$D$12:$G$12,0)),主线推图!$B$313:$B$612,主线推图!$P$313:$P$612)*OFFSET($C$1,MATCH(AD$12,$C$2:$C$7,0),MATCH($AD$11,$D$12:$G$12,0))</f>
        <v>3361.6</v>
      </c>
      <c r="AE144" s="163">
        <f ca="1">_xlfn.XLOOKUP(OFFSET($C$12,$I144,MATCH($AD$11,$D$12:$G$12,0)),巡逻产出!$B$311:$B$610,巡逻产出!$R$311:$R$610)*OFFSET($C$1,MATCH(AE$12,$C$2:$C$7,0),MATCH($AD$11,$D$12:$G$12,0))</f>
        <v>0</v>
      </c>
      <c r="AF144" s="163" t="e">
        <f ca="1">_xlfn.XLOOKUP(MAX(INT((OFFSET($C$12,$I144,MATCH($AD$11,$D$12:$G$12,0))-6)/10),1),组队产出!$B$25:$B$39,组队产出!$P$25:$P$39)*OFFSET($C$1,MATCH(AF$12,$C$2:$C$7,0),MATCH($AD$11,$D$12:$G$12,0))</f>
        <v>#N/A</v>
      </c>
      <c r="AG144" s="163">
        <f ca="1">竞技场!$G$3*OFFSET($C$1,MATCH(AG$12,$C$2:$C$7,0),MATCH($AD$11,$D$12:$G$12,0))</f>
        <v>3150</v>
      </c>
      <c r="AH14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4" s="23">
        <f>任务!$G$6+任务!$G$9+IF(MOD(AC144,7)=0,任务!$N$9+任务!$O$6,0)</f>
        <v>895</v>
      </c>
      <c r="AJ144" s="25">
        <f>公会!$U$11</f>
        <v>2766.62857142857</v>
      </c>
      <c r="AK144" s="163">
        <f ca="1">_xlfn.XLOOKUP(OFFSET($C$12,$I144,MATCH($AD$11,$D$12:$G$12,0)),巡逻产出!$B$311:$B$610,巡逻产出!$Q$311:$Q$610)*OFFSET($C$1,MATCH(AK$12,$C$2:$C$7,0),MATCH($AD$11,$D$12:$G$12,0))</f>
        <v>2325.648</v>
      </c>
      <c r="AM144" s="164">
        <v>132</v>
      </c>
      <c r="AN144" s="165">
        <f t="shared" si="20"/>
        <v>15683</v>
      </c>
      <c r="AO144" s="165">
        <f t="shared" si="21"/>
        <v>19622</v>
      </c>
      <c r="AP144" s="165">
        <f t="shared" si="22"/>
        <v>30989</v>
      </c>
      <c r="AQ144" s="165">
        <f t="shared" si="23"/>
        <v>40698</v>
      </c>
    </row>
    <row r="145" spans="3:43">
      <c r="C145" s="160">
        <v>133</v>
      </c>
      <c r="D145" s="169">
        <v>160</v>
      </c>
      <c r="E145" s="170">
        <f t="shared" si="18"/>
        <v>108</v>
      </c>
      <c r="F145" s="169">
        <f t="shared" si="19"/>
        <v>123.4</v>
      </c>
      <c r="G145" s="163">
        <f t="shared" si="16"/>
        <v>189.5</v>
      </c>
      <c r="I145" s="160">
        <v>133</v>
      </c>
      <c r="J145" s="163" t="e">
        <f ca="1">_xlfn.XLOOKUP(OFFSET($C$12,$I145,MATCH($J$11,$D$12:$G$12,0)),主线推图!$B$313:$B$612,主线推图!$P$313:$P$612)*OFFSET($C$1,MATCH(J$12,$C$2:$C$7,0),MATCH($J$11,$D$12:$G$12,0))</f>
        <v>#N/A</v>
      </c>
      <c r="K145" s="163" t="e">
        <f ca="1">_xlfn.XLOOKUP(OFFSET($C$12,$I145,MATCH($J$11,$D$12:$G$12,0)),巡逻产出!$B$311:$B$610,巡逻产出!$R$311:$R$610)*OFFSET($C$1,MATCH(K$12,$C$2:$C$7,0),MATCH($J$11,$D$12:$G$12,0))</f>
        <v>#N/A</v>
      </c>
      <c r="L145" s="163">
        <f ca="1">_xlfn.XLOOKUP(MAX(INT((OFFSET($C$12,$I145,MATCH($J$11,$D$12:$G$12,0))-6)/10),1),组队产出!$B$25:$B$39,组队产出!$P$25:$P$39)*OFFSET($C$1,MATCH(L$12,$C$2:$C$7,0),MATCH($J$11,$D$12:$G$12,0))</f>
        <v>1118.4</v>
      </c>
      <c r="M145" s="163">
        <f ca="1">竞技场!$G$3*OFFSET($C$1,MATCH(M$12,$C$2:$C$7,0),MATCH($J$11,$D$12:$G$12,0))</f>
        <v>1050</v>
      </c>
      <c r="N14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5" s="23">
        <f>任务!$G$6+任务!$G$9+IF(MOD(I145,7)=0,任务!$N$9+任务!$O$6,0)</f>
        <v>3125</v>
      </c>
      <c r="P145" s="25">
        <f>公会!$U$11</f>
        <v>2766.62857142857</v>
      </c>
      <c r="Q145" s="163" t="e">
        <f ca="1">_xlfn.XLOOKUP(OFFSET($C$12,$I145,MATCH($J$11,$D$12:$G$12,0)),巡逻产出!$B$311:$B$610,巡逻产出!$Q$311:$Q$610)*OFFSET($C$1,MATCH(Q$12,$C$2:$C$7,0),MATCH($J$11,$D$12:$G$12,0))</f>
        <v>#N/A</v>
      </c>
      <c r="S145" s="160">
        <v>133</v>
      </c>
      <c r="T145" s="163" t="e">
        <f ca="1">_xlfn.XLOOKUP(OFFSET($C$12,$I145,MATCH($T$11,$D$12:$G$12,0)),主线推图!$B$313:$B$612,主线推图!$P$313:$P$612)*OFFSET($C$1,MATCH(T$12,$C$2:$C$7,0),MATCH($T$11,$D$12:$G$12,0))</f>
        <v>#N/A</v>
      </c>
      <c r="U145" s="163" t="e">
        <f ca="1">_xlfn.XLOOKUP(OFFSET($C$12,$I145,MATCH($T$11,$D$12:$G$12,0)),巡逻产出!$B$311:$B$610,巡逻产出!$R$311:$R$610)*OFFSET($C$1,MATCH(U$12,$C$2:$C$7,0),MATCH($T$11,$D$12:$G$12,0))</f>
        <v>#N/A</v>
      </c>
      <c r="V145" s="163">
        <f ca="1">_xlfn.XLOOKUP(MAX(INT((OFFSET($C$12,$I145,MATCH($T$11,$D$12:$G$12,0))-6)/10),1),组队产出!$B$25:$B$39,组队产出!$P$25:$P$39)*OFFSET($C$1,MATCH(V$12,$C$2:$C$7,0),MATCH($T$11,$D$12:$G$12,0))</f>
        <v>2272.8</v>
      </c>
      <c r="W145" s="163">
        <f ca="1">竞技场!$G$3*OFFSET($C$1,MATCH(W$12,$C$2:$C$7,0),MATCH($T$11,$D$12:$G$12,0))</f>
        <v>2100</v>
      </c>
      <c r="X14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5" s="23">
        <f>任务!$G$6+任务!$G$9+IF(MOD(S145,7)=0,任务!$N$9+任务!$O$6,0)</f>
        <v>3125</v>
      </c>
      <c r="Z145" s="25">
        <f>公会!$U$11</f>
        <v>2766.62857142857</v>
      </c>
      <c r="AA145" s="163" t="e">
        <f ca="1">_xlfn.XLOOKUP(OFFSET($C$12,$I145,MATCH($T$11,$D$12:$G$12,0)),巡逻产出!$B$311:$B$610,巡逻产出!$Q$311:$Q$610)*OFFSET($C$1,MATCH(AA$12,$C$2:$C$7,0),MATCH($T$11,$D$12:$G$12,0))</f>
        <v>#N/A</v>
      </c>
      <c r="AC145" s="160">
        <v>133</v>
      </c>
      <c r="AD145" s="163" t="e">
        <f ca="1">_xlfn.XLOOKUP(OFFSET($C$12,$I145,MATCH($AD$11,$D$12:$G$12,0)),主线推图!$B$313:$B$612,主线推图!$P$313:$P$612)*OFFSET($C$1,MATCH(AD$12,$C$2:$C$7,0),MATCH($AD$11,$D$12:$G$12,0))</f>
        <v>#N/A</v>
      </c>
      <c r="AE145" s="163" t="e">
        <f ca="1">_xlfn.XLOOKUP(OFFSET($C$12,$I145,MATCH($AD$11,$D$12:$G$12,0)),巡逻产出!$B$311:$B$610,巡逻产出!$R$311:$R$610)*OFFSET($C$1,MATCH(AE$12,$C$2:$C$7,0),MATCH($AD$11,$D$12:$G$12,0))</f>
        <v>#N/A</v>
      </c>
      <c r="AF145" s="163" t="e">
        <f ca="1">_xlfn.XLOOKUP(MAX(INT((OFFSET($C$12,$I145,MATCH($AD$11,$D$12:$G$12,0))-6)/10),1),组队产出!$B$25:$B$39,组队产出!$P$25:$P$39)*OFFSET($C$1,MATCH(AF$12,$C$2:$C$7,0),MATCH($AD$11,$D$12:$G$12,0))</f>
        <v>#N/A</v>
      </c>
      <c r="AG145" s="163">
        <f ca="1">竞技场!$G$3*OFFSET($C$1,MATCH(AG$12,$C$2:$C$7,0),MATCH($AD$11,$D$12:$G$12,0))</f>
        <v>3150</v>
      </c>
      <c r="AH14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5" s="23">
        <f>任务!$G$6+任务!$G$9+IF(MOD(AC145,7)=0,任务!$N$9+任务!$O$6,0)</f>
        <v>3125</v>
      </c>
      <c r="AJ145" s="25">
        <f>公会!$U$11</f>
        <v>2766.62857142857</v>
      </c>
      <c r="AK145" s="163" t="e">
        <f ca="1">_xlfn.XLOOKUP(OFFSET($C$12,$I145,MATCH($AD$11,$D$12:$G$12,0)),巡逻产出!$B$311:$B$610,巡逻产出!$Q$311:$Q$610)*OFFSET($C$1,MATCH(AK$12,$C$2:$C$7,0),MATCH($AD$11,$D$12:$G$12,0))</f>
        <v>#N/A</v>
      </c>
      <c r="AM145" s="164">
        <v>133</v>
      </c>
      <c r="AN145" s="165">
        <f t="shared" si="20"/>
        <v>15797</v>
      </c>
      <c r="AO145" s="165">
        <f t="shared" si="21"/>
        <v>19765</v>
      </c>
      <c r="AP145" s="165">
        <f t="shared" si="22"/>
        <v>31218</v>
      </c>
      <c r="AQ145" s="165">
        <f t="shared" si="23"/>
        <v>41000</v>
      </c>
    </row>
    <row r="146" spans="3:43">
      <c r="C146" s="160">
        <v>134</v>
      </c>
      <c r="D146" s="169">
        <v>160</v>
      </c>
      <c r="E146" s="170">
        <f t="shared" si="18"/>
        <v>108.25</v>
      </c>
      <c r="F146" s="169">
        <f t="shared" si="19"/>
        <v>123.75</v>
      </c>
      <c r="G146" s="163">
        <f t="shared" ref="G146:G177" si="24">G145+0.5</f>
        <v>190</v>
      </c>
      <c r="I146" s="160">
        <v>134</v>
      </c>
      <c r="J146" s="163" t="e">
        <f ca="1">_xlfn.XLOOKUP(OFFSET($C$12,$I146,MATCH($J$11,$D$12:$G$12,0)),主线推图!$B$313:$B$612,主线推图!$P$313:$P$612)*OFFSET($C$1,MATCH(J$12,$C$2:$C$7,0),MATCH($J$11,$D$12:$G$12,0))</f>
        <v>#N/A</v>
      </c>
      <c r="K146" s="163" t="e">
        <f ca="1">_xlfn.XLOOKUP(OFFSET($C$12,$I146,MATCH($J$11,$D$12:$G$12,0)),巡逻产出!$B$311:$B$610,巡逻产出!$R$311:$R$610)*OFFSET($C$1,MATCH(K$12,$C$2:$C$7,0),MATCH($J$11,$D$12:$G$12,0))</f>
        <v>#N/A</v>
      </c>
      <c r="L146" s="163">
        <f ca="1">_xlfn.XLOOKUP(MAX(INT((OFFSET($C$12,$I146,MATCH($J$11,$D$12:$G$12,0))-6)/10),1),组队产出!$B$25:$B$39,组队产出!$P$25:$P$39)*OFFSET($C$1,MATCH(L$12,$C$2:$C$7,0),MATCH($J$11,$D$12:$G$12,0))</f>
        <v>1118.4</v>
      </c>
      <c r="M146" s="163">
        <f ca="1">竞技场!$G$3*OFFSET($C$1,MATCH(M$12,$C$2:$C$7,0),MATCH($J$11,$D$12:$G$12,0))</f>
        <v>1050</v>
      </c>
      <c r="N14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6" s="23">
        <f>任务!$G$6+任务!$G$9+IF(MOD(I146,7)=0,任务!$N$9+任务!$O$6,0)</f>
        <v>895</v>
      </c>
      <c r="P146" s="25">
        <f>公会!$U$11</f>
        <v>2766.62857142857</v>
      </c>
      <c r="Q146" s="163" t="e">
        <f ca="1">_xlfn.XLOOKUP(OFFSET($C$12,$I146,MATCH($J$11,$D$12:$G$12,0)),巡逻产出!$B$311:$B$610,巡逻产出!$Q$311:$Q$610)*OFFSET($C$1,MATCH(Q$12,$C$2:$C$7,0),MATCH($J$11,$D$12:$G$12,0))</f>
        <v>#N/A</v>
      </c>
      <c r="S146" s="160">
        <v>134</v>
      </c>
      <c r="T146" s="163" t="e">
        <f ca="1">_xlfn.XLOOKUP(OFFSET($C$12,$I146,MATCH($T$11,$D$12:$G$12,0)),主线推图!$B$313:$B$612,主线推图!$P$313:$P$612)*OFFSET($C$1,MATCH(T$12,$C$2:$C$7,0),MATCH($T$11,$D$12:$G$12,0))</f>
        <v>#N/A</v>
      </c>
      <c r="U146" s="163" t="e">
        <f ca="1">_xlfn.XLOOKUP(OFFSET($C$12,$I146,MATCH($T$11,$D$12:$G$12,0)),巡逻产出!$B$311:$B$610,巡逻产出!$R$311:$R$610)*OFFSET($C$1,MATCH(U$12,$C$2:$C$7,0),MATCH($T$11,$D$12:$G$12,0))</f>
        <v>#N/A</v>
      </c>
      <c r="V146" s="163">
        <f ca="1">_xlfn.XLOOKUP(MAX(INT((OFFSET($C$12,$I146,MATCH($T$11,$D$12:$G$12,0))-6)/10),1),组队产出!$B$25:$B$39,组队产出!$P$25:$P$39)*OFFSET($C$1,MATCH(V$12,$C$2:$C$7,0),MATCH($T$11,$D$12:$G$12,0))</f>
        <v>2272.8</v>
      </c>
      <c r="W146" s="163">
        <f ca="1">竞技场!$G$3*OFFSET($C$1,MATCH(W$12,$C$2:$C$7,0),MATCH($T$11,$D$12:$G$12,0))</f>
        <v>2100</v>
      </c>
      <c r="X14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6" s="23">
        <f>任务!$G$6+任务!$G$9+IF(MOD(S146,7)=0,任务!$N$9+任务!$O$6,0)</f>
        <v>895</v>
      </c>
      <c r="Z146" s="25">
        <f>公会!$U$11</f>
        <v>2766.62857142857</v>
      </c>
      <c r="AA146" s="163" t="e">
        <f ca="1">_xlfn.XLOOKUP(OFFSET($C$12,$I146,MATCH($T$11,$D$12:$G$12,0)),巡逻产出!$B$311:$B$610,巡逻产出!$Q$311:$Q$610)*OFFSET($C$1,MATCH(AA$12,$C$2:$C$7,0),MATCH($T$11,$D$12:$G$12,0))</f>
        <v>#N/A</v>
      </c>
      <c r="AC146" s="160">
        <v>134</v>
      </c>
      <c r="AD146" s="163">
        <f ca="1">_xlfn.XLOOKUP(OFFSET($C$12,$I146,MATCH($AD$11,$D$12:$G$12,0)),主线推图!$B$313:$B$612,主线推图!$P$313:$P$612)*OFFSET($C$1,MATCH(AD$12,$C$2:$C$7,0),MATCH($AD$11,$D$12:$G$12,0))</f>
        <v>3363.8</v>
      </c>
      <c r="AE146" s="163">
        <f ca="1">_xlfn.XLOOKUP(OFFSET($C$12,$I146,MATCH($AD$11,$D$12:$G$12,0)),巡逻产出!$B$311:$B$610,巡逻产出!$R$311:$R$610)*OFFSET($C$1,MATCH(AE$12,$C$2:$C$7,0),MATCH($AD$11,$D$12:$G$12,0))</f>
        <v>0</v>
      </c>
      <c r="AF146" s="163" t="e">
        <f ca="1">_xlfn.XLOOKUP(MAX(INT((OFFSET($C$12,$I146,MATCH($AD$11,$D$12:$G$12,0))-6)/10),1),组队产出!$B$25:$B$39,组队产出!$P$25:$P$39)*OFFSET($C$1,MATCH(AF$12,$C$2:$C$7,0),MATCH($AD$11,$D$12:$G$12,0))</f>
        <v>#N/A</v>
      </c>
      <c r="AG146" s="163">
        <f ca="1">竞技场!$G$3*OFFSET($C$1,MATCH(AG$12,$C$2:$C$7,0),MATCH($AD$11,$D$12:$G$12,0))</f>
        <v>3150</v>
      </c>
      <c r="AH14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6" s="23">
        <f>任务!$G$6+任务!$G$9+IF(MOD(AC146,7)=0,任务!$N$9+任务!$O$6,0)</f>
        <v>895</v>
      </c>
      <c r="AJ146" s="25">
        <f>公会!$U$11</f>
        <v>2766.62857142857</v>
      </c>
      <c r="AK146" s="163">
        <f ca="1">_xlfn.XLOOKUP(OFFSET($C$12,$I146,MATCH($AD$11,$D$12:$G$12,0)),巡逻产出!$B$311:$B$610,巡逻产出!$Q$311:$Q$610)*OFFSET($C$1,MATCH(AK$12,$C$2:$C$7,0),MATCH($AD$11,$D$12:$G$12,0))</f>
        <v>2327.208</v>
      </c>
      <c r="AM146" s="164">
        <v>134</v>
      </c>
      <c r="AN146" s="165">
        <f t="shared" si="20"/>
        <v>15910</v>
      </c>
      <c r="AO146" s="165">
        <f t="shared" si="21"/>
        <v>19908</v>
      </c>
      <c r="AP146" s="165">
        <f t="shared" si="22"/>
        <v>31446</v>
      </c>
      <c r="AQ146" s="165">
        <f t="shared" si="23"/>
        <v>41302</v>
      </c>
    </row>
    <row r="147" spans="3:43">
      <c r="C147" s="160">
        <v>135</v>
      </c>
      <c r="D147" s="169">
        <v>161</v>
      </c>
      <c r="E147" s="170">
        <f t="shared" si="18"/>
        <v>108.5</v>
      </c>
      <c r="F147" s="169">
        <f t="shared" si="19"/>
        <v>124.1</v>
      </c>
      <c r="G147" s="163">
        <f t="shared" si="24"/>
        <v>190.5</v>
      </c>
      <c r="I147" s="160">
        <v>135</v>
      </c>
      <c r="J147" s="163" t="e">
        <f ca="1">_xlfn.XLOOKUP(OFFSET($C$12,$I147,MATCH($J$11,$D$12:$G$12,0)),主线推图!$B$313:$B$612,主线推图!$P$313:$P$612)*OFFSET($C$1,MATCH(J$12,$C$2:$C$7,0),MATCH($J$11,$D$12:$G$12,0))</f>
        <v>#N/A</v>
      </c>
      <c r="K147" s="163" t="e">
        <f ca="1">_xlfn.XLOOKUP(OFFSET($C$12,$I147,MATCH($J$11,$D$12:$G$12,0)),巡逻产出!$B$311:$B$610,巡逻产出!$R$311:$R$610)*OFFSET($C$1,MATCH(K$12,$C$2:$C$7,0),MATCH($J$11,$D$12:$G$12,0))</f>
        <v>#N/A</v>
      </c>
      <c r="L147" s="163">
        <f ca="1">_xlfn.XLOOKUP(MAX(INT((OFFSET($C$12,$I147,MATCH($J$11,$D$12:$G$12,0))-6)/10),1),组队产出!$B$25:$B$39,组队产出!$P$25:$P$39)*OFFSET($C$1,MATCH(L$12,$C$2:$C$7,0),MATCH($J$11,$D$12:$G$12,0))</f>
        <v>1118.4</v>
      </c>
      <c r="M147" s="163">
        <f ca="1">竞技场!$G$3*OFFSET($C$1,MATCH(M$12,$C$2:$C$7,0),MATCH($J$11,$D$12:$G$12,0))</f>
        <v>1050</v>
      </c>
      <c r="N14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7" s="23">
        <f>任务!$G$6+任务!$G$9+IF(MOD(I147,7)=0,任务!$N$9+任务!$O$6,0)</f>
        <v>895</v>
      </c>
      <c r="P147" s="25">
        <f>公会!$U$11</f>
        <v>2766.62857142857</v>
      </c>
      <c r="Q147" s="163" t="e">
        <f ca="1">_xlfn.XLOOKUP(OFFSET($C$12,$I147,MATCH($J$11,$D$12:$G$12,0)),巡逻产出!$B$311:$B$610,巡逻产出!$Q$311:$Q$610)*OFFSET($C$1,MATCH(Q$12,$C$2:$C$7,0),MATCH($J$11,$D$12:$G$12,0))</f>
        <v>#N/A</v>
      </c>
      <c r="S147" s="160">
        <v>135</v>
      </c>
      <c r="T147" s="163" t="e">
        <f ca="1">_xlfn.XLOOKUP(OFFSET($C$12,$I147,MATCH($T$11,$D$12:$G$12,0)),主线推图!$B$313:$B$612,主线推图!$P$313:$P$612)*OFFSET($C$1,MATCH(T$12,$C$2:$C$7,0),MATCH($T$11,$D$12:$G$12,0))</f>
        <v>#N/A</v>
      </c>
      <c r="U147" s="163" t="e">
        <f ca="1">_xlfn.XLOOKUP(OFFSET($C$12,$I147,MATCH($T$11,$D$12:$G$12,0)),巡逻产出!$B$311:$B$610,巡逻产出!$R$311:$R$610)*OFFSET($C$1,MATCH(U$12,$C$2:$C$7,0),MATCH($T$11,$D$12:$G$12,0))</f>
        <v>#N/A</v>
      </c>
      <c r="V147" s="163">
        <f ca="1">_xlfn.XLOOKUP(MAX(INT((OFFSET($C$12,$I147,MATCH($T$11,$D$12:$G$12,0))-6)/10),1),组队产出!$B$25:$B$39,组队产出!$P$25:$P$39)*OFFSET($C$1,MATCH(V$12,$C$2:$C$7,0),MATCH($T$11,$D$12:$G$12,0))</f>
        <v>2272.8</v>
      </c>
      <c r="W147" s="163">
        <f ca="1">竞技场!$G$3*OFFSET($C$1,MATCH(W$12,$C$2:$C$7,0),MATCH($T$11,$D$12:$G$12,0))</f>
        <v>2100</v>
      </c>
      <c r="X14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7" s="23">
        <f>任务!$G$6+任务!$G$9+IF(MOD(S147,7)=0,任务!$N$9+任务!$O$6,0)</f>
        <v>895</v>
      </c>
      <c r="Z147" s="25">
        <f>公会!$U$11</f>
        <v>2766.62857142857</v>
      </c>
      <c r="AA147" s="163" t="e">
        <f ca="1">_xlfn.XLOOKUP(OFFSET($C$12,$I147,MATCH($T$11,$D$12:$G$12,0)),巡逻产出!$B$311:$B$610,巡逻产出!$Q$311:$Q$610)*OFFSET($C$1,MATCH(AA$12,$C$2:$C$7,0),MATCH($T$11,$D$12:$G$12,0))</f>
        <v>#N/A</v>
      </c>
      <c r="AC147" s="160">
        <v>135</v>
      </c>
      <c r="AD147" s="163" t="e">
        <f ca="1">_xlfn.XLOOKUP(OFFSET($C$12,$I147,MATCH($AD$11,$D$12:$G$12,0)),主线推图!$B$313:$B$612,主线推图!$P$313:$P$612)*OFFSET($C$1,MATCH(AD$12,$C$2:$C$7,0),MATCH($AD$11,$D$12:$G$12,0))</f>
        <v>#N/A</v>
      </c>
      <c r="AE147" s="163" t="e">
        <f ca="1">_xlfn.XLOOKUP(OFFSET($C$12,$I147,MATCH($AD$11,$D$12:$G$12,0)),巡逻产出!$B$311:$B$610,巡逻产出!$R$311:$R$610)*OFFSET($C$1,MATCH(AE$12,$C$2:$C$7,0),MATCH($AD$11,$D$12:$G$12,0))</f>
        <v>#N/A</v>
      </c>
      <c r="AF147" s="163" t="e">
        <f ca="1">_xlfn.XLOOKUP(MAX(INT((OFFSET($C$12,$I147,MATCH($AD$11,$D$12:$G$12,0))-6)/10),1),组队产出!$B$25:$B$39,组队产出!$P$25:$P$39)*OFFSET($C$1,MATCH(AF$12,$C$2:$C$7,0),MATCH($AD$11,$D$12:$G$12,0))</f>
        <v>#N/A</v>
      </c>
      <c r="AG147" s="163">
        <f ca="1">竞技场!$G$3*OFFSET($C$1,MATCH(AG$12,$C$2:$C$7,0),MATCH($AD$11,$D$12:$G$12,0))</f>
        <v>3150</v>
      </c>
      <c r="AH14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7" s="23">
        <f>任务!$G$6+任务!$G$9+IF(MOD(AC147,7)=0,任务!$N$9+任务!$O$6,0)</f>
        <v>895</v>
      </c>
      <c r="AJ147" s="25">
        <f>公会!$U$11</f>
        <v>2766.62857142857</v>
      </c>
      <c r="AK147" s="163" t="e">
        <f ca="1">_xlfn.XLOOKUP(OFFSET($C$12,$I147,MATCH($AD$11,$D$12:$G$12,0)),巡逻产出!$B$311:$B$610,巡逻产出!$Q$311:$Q$610)*OFFSET($C$1,MATCH(AK$12,$C$2:$C$7,0),MATCH($AD$11,$D$12:$G$12,0))</f>
        <v>#N/A</v>
      </c>
      <c r="AM147" s="164">
        <v>135</v>
      </c>
      <c r="AN147" s="165">
        <f t="shared" si="20"/>
        <v>16024</v>
      </c>
      <c r="AO147" s="165">
        <f t="shared" si="21"/>
        <v>20051</v>
      </c>
      <c r="AP147" s="165">
        <f t="shared" si="22"/>
        <v>31675</v>
      </c>
      <c r="AQ147" s="165">
        <f t="shared" si="23"/>
        <v>41604</v>
      </c>
    </row>
    <row r="148" spans="3:43">
      <c r="C148" s="160">
        <v>136</v>
      </c>
      <c r="D148" s="169">
        <v>161</v>
      </c>
      <c r="E148" s="170">
        <f t="shared" si="18"/>
        <v>108.75</v>
      </c>
      <c r="F148" s="169">
        <f t="shared" si="19"/>
        <v>124.45</v>
      </c>
      <c r="G148" s="163">
        <f t="shared" si="24"/>
        <v>191</v>
      </c>
      <c r="I148" s="160">
        <v>136</v>
      </c>
      <c r="J148" s="163" t="e">
        <f ca="1">_xlfn.XLOOKUP(OFFSET($C$12,$I148,MATCH($J$11,$D$12:$G$12,0)),主线推图!$B$313:$B$612,主线推图!$P$313:$P$612)*OFFSET($C$1,MATCH(J$12,$C$2:$C$7,0),MATCH($J$11,$D$12:$G$12,0))</f>
        <v>#N/A</v>
      </c>
      <c r="K148" s="163" t="e">
        <f ca="1">_xlfn.XLOOKUP(OFFSET($C$12,$I148,MATCH($J$11,$D$12:$G$12,0)),巡逻产出!$B$311:$B$610,巡逻产出!$R$311:$R$610)*OFFSET($C$1,MATCH(K$12,$C$2:$C$7,0),MATCH($J$11,$D$12:$G$12,0))</f>
        <v>#N/A</v>
      </c>
      <c r="L148" s="163">
        <f ca="1">_xlfn.XLOOKUP(MAX(INT((OFFSET($C$12,$I148,MATCH($J$11,$D$12:$G$12,0))-6)/10),1),组队产出!$B$25:$B$39,组队产出!$P$25:$P$39)*OFFSET($C$1,MATCH(L$12,$C$2:$C$7,0),MATCH($J$11,$D$12:$G$12,0))</f>
        <v>1118.4</v>
      </c>
      <c r="M148" s="163">
        <f ca="1">竞技场!$G$3*OFFSET($C$1,MATCH(M$12,$C$2:$C$7,0),MATCH($J$11,$D$12:$G$12,0))</f>
        <v>1050</v>
      </c>
      <c r="N14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8" s="23">
        <f>任务!$G$6+任务!$G$9+IF(MOD(I148,7)=0,任务!$N$9+任务!$O$6,0)</f>
        <v>895</v>
      </c>
      <c r="P148" s="25">
        <f>公会!$U$11</f>
        <v>2766.62857142857</v>
      </c>
      <c r="Q148" s="163" t="e">
        <f ca="1">_xlfn.XLOOKUP(OFFSET($C$12,$I148,MATCH($J$11,$D$12:$G$12,0)),巡逻产出!$B$311:$B$610,巡逻产出!$Q$311:$Q$610)*OFFSET($C$1,MATCH(Q$12,$C$2:$C$7,0),MATCH($J$11,$D$12:$G$12,0))</f>
        <v>#N/A</v>
      </c>
      <c r="S148" s="160">
        <v>136</v>
      </c>
      <c r="T148" s="163" t="e">
        <f ca="1">_xlfn.XLOOKUP(OFFSET($C$12,$I148,MATCH($T$11,$D$12:$G$12,0)),主线推图!$B$313:$B$612,主线推图!$P$313:$P$612)*OFFSET($C$1,MATCH(T$12,$C$2:$C$7,0),MATCH($T$11,$D$12:$G$12,0))</f>
        <v>#N/A</v>
      </c>
      <c r="U148" s="163" t="e">
        <f ca="1">_xlfn.XLOOKUP(OFFSET($C$12,$I148,MATCH($T$11,$D$12:$G$12,0)),巡逻产出!$B$311:$B$610,巡逻产出!$R$311:$R$610)*OFFSET($C$1,MATCH(U$12,$C$2:$C$7,0),MATCH($T$11,$D$12:$G$12,0))</f>
        <v>#N/A</v>
      </c>
      <c r="V148" s="163">
        <f ca="1">_xlfn.XLOOKUP(MAX(INT((OFFSET($C$12,$I148,MATCH($T$11,$D$12:$G$12,0))-6)/10),1),组队产出!$B$25:$B$39,组队产出!$P$25:$P$39)*OFFSET($C$1,MATCH(V$12,$C$2:$C$7,0),MATCH($T$11,$D$12:$G$12,0))</f>
        <v>2272.8</v>
      </c>
      <c r="W148" s="163">
        <f ca="1">竞技场!$G$3*OFFSET($C$1,MATCH(W$12,$C$2:$C$7,0),MATCH($T$11,$D$12:$G$12,0))</f>
        <v>2100</v>
      </c>
      <c r="X14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8" s="23">
        <f>任务!$G$6+任务!$G$9+IF(MOD(S148,7)=0,任务!$N$9+任务!$O$6,0)</f>
        <v>895</v>
      </c>
      <c r="Z148" s="25">
        <f>公会!$U$11</f>
        <v>2766.62857142857</v>
      </c>
      <c r="AA148" s="163" t="e">
        <f ca="1">_xlfn.XLOOKUP(OFFSET($C$12,$I148,MATCH($T$11,$D$12:$G$12,0)),巡逻产出!$B$311:$B$610,巡逻产出!$Q$311:$Q$610)*OFFSET($C$1,MATCH(AA$12,$C$2:$C$7,0),MATCH($T$11,$D$12:$G$12,0))</f>
        <v>#N/A</v>
      </c>
      <c r="AC148" s="160">
        <v>136</v>
      </c>
      <c r="AD148" s="163">
        <f ca="1">_xlfn.XLOOKUP(OFFSET($C$12,$I148,MATCH($AD$11,$D$12:$G$12,0)),主线推图!$B$313:$B$612,主线推图!$P$313:$P$612)*OFFSET($C$1,MATCH(AD$12,$C$2:$C$7,0),MATCH($AD$11,$D$12:$G$12,0))</f>
        <v>3366</v>
      </c>
      <c r="AE148" s="163">
        <f ca="1">_xlfn.XLOOKUP(OFFSET($C$12,$I148,MATCH($AD$11,$D$12:$G$12,0)),巡逻产出!$B$311:$B$610,巡逻产出!$R$311:$R$610)*OFFSET($C$1,MATCH(AE$12,$C$2:$C$7,0),MATCH($AD$11,$D$12:$G$12,0))</f>
        <v>0</v>
      </c>
      <c r="AF148" s="163" t="e">
        <f ca="1">_xlfn.XLOOKUP(MAX(INT((OFFSET($C$12,$I148,MATCH($AD$11,$D$12:$G$12,0))-6)/10),1),组队产出!$B$25:$B$39,组队产出!$P$25:$P$39)*OFFSET($C$1,MATCH(AF$12,$C$2:$C$7,0),MATCH($AD$11,$D$12:$G$12,0))</f>
        <v>#N/A</v>
      </c>
      <c r="AG148" s="163">
        <f ca="1">竞技场!$G$3*OFFSET($C$1,MATCH(AG$12,$C$2:$C$7,0),MATCH($AD$11,$D$12:$G$12,0))</f>
        <v>3150</v>
      </c>
      <c r="AH14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8" s="23">
        <f>任务!$G$6+任务!$G$9+IF(MOD(AC148,7)=0,任务!$N$9+任务!$O$6,0)</f>
        <v>895</v>
      </c>
      <c r="AJ148" s="25">
        <f>公会!$U$11</f>
        <v>2766.62857142857</v>
      </c>
      <c r="AK148" s="163">
        <f ca="1">_xlfn.XLOOKUP(OFFSET($C$12,$I148,MATCH($AD$11,$D$12:$G$12,0)),巡逻产出!$B$311:$B$610,巡逻产出!$Q$311:$Q$610)*OFFSET($C$1,MATCH(AK$12,$C$2:$C$7,0),MATCH($AD$11,$D$12:$G$12,0))</f>
        <v>2328.768</v>
      </c>
      <c r="AM148" s="164">
        <v>136</v>
      </c>
      <c r="AN148" s="165">
        <f t="shared" si="20"/>
        <v>16137</v>
      </c>
      <c r="AO148" s="165">
        <f t="shared" si="21"/>
        <v>20194</v>
      </c>
      <c r="AP148" s="165">
        <f t="shared" si="22"/>
        <v>31903</v>
      </c>
      <c r="AQ148" s="165">
        <f t="shared" si="23"/>
        <v>41906</v>
      </c>
    </row>
    <row r="149" spans="3:43">
      <c r="C149" s="160">
        <v>137</v>
      </c>
      <c r="D149" s="169">
        <v>161</v>
      </c>
      <c r="E149" s="170">
        <f t="shared" si="18"/>
        <v>109</v>
      </c>
      <c r="F149" s="169">
        <f t="shared" si="19"/>
        <v>124.799999999999</v>
      </c>
      <c r="G149" s="163">
        <f t="shared" si="24"/>
        <v>191.5</v>
      </c>
      <c r="I149" s="160">
        <v>137</v>
      </c>
      <c r="J149" s="163" t="e">
        <f ca="1">_xlfn.XLOOKUP(OFFSET($C$12,$I149,MATCH($J$11,$D$12:$G$12,0)),主线推图!$B$313:$B$612,主线推图!$P$313:$P$612)*OFFSET($C$1,MATCH(J$12,$C$2:$C$7,0),MATCH($J$11,$D$12:$G$12,0))</f>
        <v>#N/A</v>
      </c>
      <c r="K149" s="163" t="e">
        <f ca="1">_xlfn.XLOOKUP(OFFSET($C$12,$I149,MATCH($J$11,$D$12:$G$12,0)),巡逻产出!$B$311:$B$610,巡逻产出!$R$311:$R$610)*OFFSET($C$1,MATCH(K$12,$C$2:$C$7,0),MATCH($J$11,$D$12:$G$12,0))</f>
        <v>#N/A</v>
      </c>
      <c r="L149" s="163">
        <f ca="1">_xlfn.XLOOKUP(MAX(INT((OFFSET($C$12,$I149,MATCH($J$11,$D$12:$G$12,0))-6)/10),1),组队产出!$B$25:$B$39,组队产出!$P$25:$P$39)*OFFSET($C$1,MATCH(L$12,$C$2:$C$7,0),MATCH($J$11,$D$12:$G$12,0))</f>
        <v>1118.4</v>
      </c>
      <c r="M149" s="163">
        <f ca="1">竞技场!$G$3*OFFSET($C$1,MATCH(M$12,$C$2:$C$7,0),MATCH($J$11,$D$12:$G$12,0))</f>
        <v>1050</v>
      </c>
      <c r="N14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9" s="23">
        <f>任务!$G$6+任务!$G$9+IF(MOD(I149,7)=0,任务!$N$9+任务!$O$6,0)</f>
        <v>895</v>
      </c>
      <c r="P149" s="25">
        <f>公会!$U$11</f>
        <v>2766.62857142857</v>
      </c>
      <c r="Q149" s="163" t="e">
        <f ca="1">_xlfn.XLOOKUP(OFFSET($C$12,$I149,MATCH($J$11,$D$12:$G$12,0)),巡逻产出!$B$311:$B$610,巡逻产出!$Q$311:$Q$610)*OFFSET($C$1,MATCH(Q$12,$C$2:$C$7,0),MATCH($J$11,$D$12:$G$12,0))</f>
        <v>#N/A</v>
      </c>
      <c r="S149" s="160">
        <v>137</v>
      </c>
      <c r="T149" s="163" t="e">
        <f ca="1">_xlfn.XLOOKUP(OFFSET($C$12,$I149,MATCH($T$11,$D$12:$G$12,0)),主线推图!$B$313:$B$612,主线推图!$P$313:$P$612)*OFFSET($C$1,MATCH(T$12,$C$2:$C$7,0),MATCH($T$11,$D$12:$G$12,0))</f>
        <v>#N/A</v>
      </c>
      <c r="U149" s="163" t="e">
        <f ca="1">_xlfn.XLOOKUP(OFFSET($C$12,$I149,MATCH($T$11,$D$12:$G$12,0)),巡逻产出!$B$311:$B$610,巡逻产出!$R$311:$R$610)*OFFSET($C$1,MATCH(U$12,$C$2:$C$7,0),MATCH($T$11,$D$12:$G$12,0))</f>
        <v>#N/A</v>
      </c>
      <c r="V149" s="163">
        <f ca="1">_xlfn.XLOOKUP(MAX(INT((OFFSET($C$12,$I149,MATCH($T$11,$D$12:$G$12,0))-6)/10),1),组队产出!$B$25:$B$39,组队产出!$P$25:$P$39)*OFFSET($C$1,MATCH(V$12,$C$2:$C$7,0),MATCH($T$11,$D$12:$G$12,0))</f>
        <v>2272.8</v>
      </c>
      <c r="W149" s="163">
        <f ca="1">竞技场!$G$3*OFFSET($C$1,MATCH(W$12,$C$2:$C$7,0),MATCH($T$11,$D$12:$G$12,0))</f>
        <v>2100</v>
      </c>
      <c r="X14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9" s="23">
        <f>任务!$G$6+任务!$G$9+IF(MOD(S149,7)=0,任务!$N$9+任务!$O$6,0)</f>
        <v>895</v>
      </c>
      <c r="Z149" s="25">
        <f>公会!$U$11</f>
        <v>2766.62857142857</v>
      </c>
      <c r="AA149" s="163" t="e">
        <f ca="1">_xlfn.XLOOKUP(OFFSET($C$12,$I149,MATCH($T$11,$D$12:$G$12,0)),巡逻产出!$B$311:$B$610,巡逻产出!$Q$311:$Q$610)*OFFSET($C$1,MATCH(AA$12,$C$2:$C$7,0),MATCH($T$11,$D$12:$G$12,0))</f>
        <v>#N/A</v>
      </c>
      <c r="AC149" s="160">
        <v>137</v>
      </c>
      <c r="AD149" s="163" t="e">
        <f ca="1">_xlfn.XLOOKUP(OFFSET($C$12,$I149,MATCH($AD$11,$D$12:$G$12,0)),主线推图!$B$313:$B$612,主线推图!$P$313:$P$612)*OFFSET($C$1,MATCH(AD$12,$C$2:$C$7,0),MATCH($AD$11,$D$12:$G$12,0))</f>
        <v>#N/A</v>
      </c>
      <c r="AE149" s="163" t="e">
        <f ca="1">_xlfn.XLOOKUP(OFFSET($C$12,$I149,MATCH($AD$11,$D$12:$G$12,0)),巡逻产出!$B$311:$B$610,巡逻产出!$R$311:$R$610)*OFFSET($C$1,MATCH(AE$12,$C$2:$C$7,0),MATCH($AD$11,$D$12:$G$12,0))</f>
        <v>#N/A</v>
      </c>
      <c r="AF149" s="163" t="e">
        <f ca="1">_xlfn.XLOOKUP(MAX(INT((OFFSET($C$12,$I149,MATCH($AD$11,$D$12:$G$12,0))-6)/10),1),组队产出!$B$25:$B$39,组队产出!$P$25:$P$39)*OFFSET($C$1,MATCH(AF$12,$C$2:$C$7,0),MATCH($AD$11,$D$12:$G$12,0))</f>
        <v>#N/A</v>
      </c>
      <c r="AG149" s="163">
        <f ca="1">竞技场!$G$3*OFFSET($C$1,MATCH(AG$12,$C$2:$C$7,0),MATCH($AD$11,$D$12:$G$12,0))</f>
        <v>3150</v>
      </c>
      <c r="AH14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9" s="23">
        <f>任务!$G$6+任务!$G$9+IF(MOD(AC149,7)=0,任务!$N$9+任务!$O$6,0)</f>
        <v>895</v>
      </c>
      <c r="AJ149" s="25">
        <f>公会!$U$11</f>
        <v>2766.62857142857</v>
      </c>
      <c r="AK149" s="163" t="e">
        <f ca="1">_xlfn.XLOOKUP(OFFSET($C$12,$I149,MATCH($AD$11,$D$12:$G$12,0)),巡逻产出!$B$311:$B$610,巡逻产出!$Q$311:$Q$610)*OFFSET($C$1,MATCH(AK$12,$C$2:$C$7,0),MATCH($AD$11,$D$12:$G$12,0))</f>
        <v>#N/A</v>
      </c>
      <c r="AM149" s="164">
        <v>137</v>
      </c>
      <c r="AN149" s="165">
        <f t="shared" si="20"/>
        <v>16251</v>
      </c>
      <c r="AO149" s="165">
        <f t="shared" si="21"/>
        <v>20337</v>
      </c>
      <c r="AP149" s="165">
        <f t="shared" si="22"/>
        <v>32132</v>
      </c>
      <c r="AQ149" s="165">
        <f t="shared" si="23"/>
        <v>42208</v>
      </c>
    </row>
    <row r="150" spans="3:43">
      <c r="C150" s="160">
        <v>138</v>
      </c>
      <c r="D150" s="169">
        <v>161</v>
      </c>
      <c r="E150" s="170">
        <f t="shared" si="18"/>
        <v>109.25</v>
      </c>
      <c r="F150" s="169">
        <f t="shared" si="19"/>
        <v>125.149999999999</v>
      </c>
      <c r="G150" s="163">
        <f t="shared" si="24"/>
        <v>192</v>
      </c>
      <c r="I150" s="160">
        <v>138</v>
      </c>
      <c r="J150" s="163" t="e">
        <f ca="1">_xlfn.XLOOKUP(OFFSET($C$12,$I150,MATCH($J$11,$D$12:$G$12,0)),主线推图!$B$313:$B$612,主线推图!$P$313:$P$612)*OFFSET($C$1,MATCH(J$12,$C$2:$C$7,0),MATCH($J$11,$D$12:$G$12,0))</f>
        <v>#N/A</v>
      </c>
      <c r="K150" s="163" t="e">
        <f ca="1">_xlfn.XLOOKUP(OFFSET($C$12,$I150,MATCH($J$11,$D$12:$G$12,0)),巡逻产出!$B$311:$B$610,巡逻产出!$R$311:$R$610)*OFFSET($C$1,MATCH(K$12,$C$2:$C$7,0),MATCH($J$11,$D$12:$G$12,0))</f>
        <v>#N/A</v>
      </c>
      <c r="L150" s="163">
        <f ca="1">_xlfn.XLOOKUP(MAX(INT((OFFSET($C$12,$I150,MATCH($J$11,$D$12:$G$12,0))-6)/10),1),组队产出!$B$25:$B$39,组队产出!$P$25:$P$39)*OFFSET($C$1,MATCH(L$12,$C$2:$C$7,0),MATCH($J$11,$D$12:$G$12,0))</f>
        <v>1118.4</v>
      </c>
      <c r="M150" s="163">
        <f ca="1">竞技场!$G$3*OFFSET($C$1,MATCH(M$12,$C$2:$C$7,0),MATCH($J$11,$D$12:$G$12,0))</f>
        <v>1050</v>
      </c>
      <c r="N15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0" s="23">
        <f>任务!$G$6+任务!$G$9+IF(MOD(I150,7)=0,任务!$N$9+任务!$O$6,0)</f>
        <v>895</v>
      </c>
      <c r="P150" s="25">
        <f>公会!$U$11</f>
        <v>2766.62857142857</v>
      </c>
      <c r="Q150" s="163" t="e">
        <f ca="1">_xlfn.XLOOKUP(OFFSET($C$12,$I150,MATCH($J$11,$D$12:$G$12,0)),巡逻产出!$B$311:$B$610,巡逻产出!$Q$311:$Q$610)*OFFSET($C$1,MATCH(Q$12,$C$2:$C$7,0),MATCH($J$11,$D$12:$G$12,0))</f>
        <v>#N/A</v>
      </c>
      <c r="S150" s="160">
        <v>138</v>
      </c>
      <c r="T150" s="163" t="e">
        <f ca="1">_xlfn.XLOOKUP(OFFSET($C$12,$I150,MATCH($T$11,$D$12:$G$12,0)),主线推图!$B$313:$B$612,主线推图!$P$313:$P$612)*OFFSET($C$1,MATCH(T$12,$C$2:$C$7,0),MATCH($T$11,$D$12:$G$12,0))</f>
        <v>#N/A</v>
      </c>
      <c r="U150" s="163" t="e">
        <f ca="1">_xlfn.XLOOKUP(OFFSET($C$12,$I150,MATCH($T$11,$D$12:$G$12,0)),巡逻产出!$B$311:$B$610,巡逻产出!$R$311:$R$610)*OFFSET($C$1,MATCH(U$12,$C$2:$C$7,0),MATCH($T$11,$D$12:$G$12,0))</f>
        <v>#N/A</v>
      </c>
      <c r="V150" s="163">
        <f ca="1">_xlfn.XLOOKUP(MAX(INT((OFFSET($C$12,$I150,MATCH($T$11,$D$12:$G$12,0))-6)/10),1),组队产出!$B$25:$B$39,组队产出!$P$25:$P$39)*OFFSET($C$1,MATCH(V$12,$C$2:$C$7,0),MATCH($T$11,$D$12:$G$12,0))</f>
        <v>2272.8</v>
      </c>
      <c r="W150" s="163">
        <f ca="1">竞技场!$G$3*OFFSET($C$1,MATCH(W$12,$C$2:$C$7,0),MATCH($T$11,$D$12:$G$12,0))</f>
        <v>2100</v>
      </c>
      <c r="X15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0" s="23">
        <f>任务!$G$6+任务!$G$9+IF(MOD(S150,7)=0,任务!$N$9+任务!$O$6,0)</f>
        <v>895</v>
      </c>
      <c r="Z150" s="25">
        <f>公会!$U$11</f>
        <v>2766.62857142857</v>
      </c>
      <c r="AA150" s="163" t="e">
        <f ca="1">_xlfn.XLOOKUP(OFFSET($C$12,$I150,MATCH($T$11,$D$12:$G$12,0)),巡逻产出!$B$311:$B$610,巡逻产出!$Q$311:$Q$610)*OFFSET($C$1,MATCH(AA$12,$C$2:$C$7,0),MATCH($T$11,$D$12:$G$12,0))</f>
        <v>#N/A</v>
      </c>
      <c r="AC150" s="160">
        <v>138</v>
      </c>
      <c r="AD150" s="163">
        <f ca="1">_xlfn.XLOOKUP(OFFSET($C$12,$I150,MATCH($AD$11,$D$12:$G$12,0)),主线推图!$B$313:$B$612,主线推图!$P$313:$P$612)*OFFSET($C$1,MATCH(AD$12,$C$2:$C$7,0),MATCH($AD$11,$D$12:$G$12,0))</f>
        <v>3368.2</v>
      </c>
      <c r="AE150" s="163">
        <f ca="1">_xlfn.XLOOKUP(OFFSET($C$12,$I150,MATCH($AD$11,$D$12:$G$12,0)),巡逻产出!$B$311:$B$610,巡逻产出!$R$311:$R$610)*OFFSET($C$1,MATCH(AE$12,$C$2:$C$7,0),MATCH($AD$11,$D$12:$G$12,0))</f>
        <v>0</v>
      </c>
      <c r="AF150" s="163" t="e">
        <f ca="1">_xlfn.XLOOKUP(MAX(INT((OFFSET($C$12,$I150,MATCH($AD$11,$D$12:$G$12,0))-6)/10),1),组队产出!$B$25:$B$39,组队产出!$P$25:$P$39)*OFFSET($C$1,MATCH(AF$12,$C$2:$C$7,0),MATCH($AD$11,$D$12:$G$12,0))</f>
        <v>#N/A</v>
      </c>
      <c r="AG150" s="163">
        <f ca="1">竞技场!$G$3*OFFSET($C$1,MATCH(AG$12,$C$2:$C$7,0),MATCH($AD$11,$D$12:$G$12,0))</f>
        <v>3150</v>
      </c>
      <c r="AH15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0" s="23">
        <f>任务!$G$6+任务!$G$9+IF(MOD(AC150,7)=0,任务!$N$9+任务!$O$6,0)</f>
        <v>895</v>
      </c>
      <c r="AJ150" s="25">
        <f>公会!$U$11</f>
        <v>2766.62857142857</v>
      </c>
      <c r="AK150" s="163">
        <f ca="1">_xlfn.XLOOKUP(OFFSET($C$12,$I150,MATCH($AD$11,$D$12:$G$12,0)),巡逻产出!$B$311:$B$610,巡逻产出!$Q$311:$Q$610)*OFFSET($C$1,MATCH(AK$12,$C$2:$C$7,0),MATCH($AD$11,$D$12:$G$12,0))</f>
        <v>2330.328</v>
      </c>
      <c r="AM150" s="164">
        <v>138</v>
      </c>
      <c r="AN150" s="165">
        <f t="shared" si="20"/>
        <v>16364</v>
      </c>
      <c r="AO150" s="165">
        <f t="shared" si="21"/>
        <v>20480</v>
      </c>
      <c r="AP150" s="165">
        <f t="shared" si="22"/>
        <v>32360</v>
      </c>
      <c r="AQ150" s="165">
        <f t="shared" si="23"/>
        <v>42510</v>
      </c>
    </row>
    <row r="151" spans="3:43">
      <c r="C151" s="160">
        <v>139</v>
      </c>
      <c r="D151" s="169">
        <v>161</v>
      </c>
      <c r="E151" s="170">
        <f t="shared" si="18"/>
        <v>109.5</v>
      </c>
      <c r="F151" s="169">
        <f t="shared" si="19"/>
        <v>125.499999999999</v>
      </c>
      <c r="G151" s="163">
        <f t="shared" si="24"/>
        <v>192.5</v>
      </c>
      <c r="I151" s="160">
        <v>139</v>
      </c>
      <c r="J151" s="163" t="e">
        <f ca="1">_xlfn.XLOOKUP(OFFSET($C$12,$I151,MATCH($J$11,$D$12:$G$12,0)),主线推图!$B$313:$B$612,主线推图!$P$313:$P$612)*OFFSET($C$1,MATCH(J$12,$C$2:$C$7,0),MATCH($J$11,$D$12:$G$12,0))</f>
        <v>#N/A</v>
      </c>
      <c r="K151" s="163" t="e">
        <f ca="1">_xlfn.XLOOKUP(OFFSET($C$12,$I151,MATCH($J$11,$D$12:$G$12,0)),巡逻产出!$B$311:$B$610,巡逻产出!$R$311:$R$610)*OFFSET($C$1,MATCH(K$12,$C$2:$C$7,0),MATCH($J$11,$D$12:$G$12,0))</f>
        <v>#N/A</v>
      </c>
      <c r="L151" s="163">
        <f ca="1">_xlfn.XLOOKUP(MAX(INT((OFFSET($C$12,$I151,MATCH($J$11,$D$12:$G$12,0))-6)/10),1),组队产出!$B$25:$B$39,组队产出!$P$25:$P$39)*OFFSET($C$1,MATCH(L$12,$C$2:$C$7,0),MATCH($J$11,$D$12:$G$12,0))</f>
        <v>1118.4</v>
      </c>
      <c r="M151" s="163">
        <f ca="1">竞技场!$G$3*OFFSET($C$1,MATCH(M$12,$C$2:$C$7,0),MATCH($J$11,$D$12:$G$12,0))</f>
        <v>1050</v>
      </c>
      <c r="N15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1" s="23">
        <f>任务!$G$6+任务!$G$9+IF(MOD(I151,7)=0,任务!$N$9+任务!$O$6,0)</f>
        <v>895</v>
      </c>
      <c r="P151" s="25">
        <f>公会!$U$11</f>
        <v>2766.62857142857</v>
      </c>
      <c r="Q151" s="163" t="e">
        <f ca="1">_xlfn.XLOOKUP(OFFSET($C$12,$I151,MATCH($J$11,$D$12:$G$12,0)),巡逻产出!$B$311:$B$610,巡逻产出!$Q$311:$Q$610)*OFFSET($C$1,MATCH(Q$12,$C$2:$C$7,0),MATCH($J$11,$D$12:$G$12,0))</f>
        <v>#N/A</v>
      </c>
      <c r="S151" s="160">
        <v>139</v>
      </c>
      <c r="T151" s="163" t="e">
        <f ca="1">_xlfn.XLOOKUP(OFFSET($C$12,$I151,MATCH($T$11,$D$12:$G$12,0)),主线推图!$B$313:$B$612,主线推图!$P$313:$P$612)*OFFSET($C$1,MATCH(T$12,$C$2:$C$7,0),MATCH($T$11,$D$12:$G$12,0))</f>
        <v>#N/A</v>
      </c>
      <c r="U151" s="163" t="e">
        <f ca="1">_xlfn.XLOOKUP(OFFSET($C$12,$I151,MATCH($T$11,$D$12:$G$12,0)),巡逻产出!$B$311:$B$610,巡逻产出!$R$311:$R$610)*OFFSET($C$1,MATCH(U$12,$C$2:$C$7,0),MATCH($T$11,$D$12:$G$12,0))</f>
        <v>#N/A</v>
      </c>
      <c r="V151" s="163">
        <f ca="1">_xlfn.XLOOKUP(MAX(INT((OFFSET($C$12,$I151,MATCH($T$11,$D$12:$G$12,0))-6)/10),1),组队产出!$B$25:$B$39,组队产出!$P$25:$P$39)*OFFSET($C$1,MATCH(V$12,$C$2:$C$7,0),MATCH($T$11,$D$12:$G$12,0))</f>
        <v>2272.8</v>
      </c>
      <c r="W151" s="163">
        <f ca="1">竞技场!$G$3*OFFSET($C$1,MATCH(W$12,$C$2:$C$7,0),MATCH($T$11,$D$12:$G$12,0))</f>
        <v>2100</v>
      </c>
      <c r="X15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1" s="23">
        <f>任务!$G$6+任务!$G$9+IF(MOD(S151,7)=0,任务!$N$9+任务!$O$6,0)</f>
        <v>895</v>
      </c>
      <c r="Z151" s="25">
        <f>公会!$U$11</f>
        <v>2766.62857142857</v>
      </c>
      <c r="AA151" s="163" t="e">
        <f ca="1">_xlfn.XLOOKUP(OFFSET($C$12,$I151,MATCH($T$11,$D$12:$G$12,0)),巡逻产出!$B$311:$B$610,巡逻产出!$Q$311:$Q$610)*OFFSET($C$1,MATCH(AA$12,$C$2:$C$7,0),MATCH($T$11,$D$12:$G$12,0))</f>
        <v>#N/A</v>
      </c>
      <c r="AC151" s="160">
        <v>139</v>
      </c>
      <c r="AD151" s="163" t="e">
        <f ca="1">_xlfn.XLOOKUP(OFFSET($C$12,$I151,MATCH($AD$11,$D$12:$G$12,0)),主线推图!$B$313:$B$612,主线推图!$P$313:$P$612)*OFFSET($C$1,MATCH(AD$12,$C$2:$C$7,0),MATCH($AD$11,$D$12:$G$12,0))</f>
        <v>#N/A</v>
      </c>
      <c r="AE151" s="163" t="e">
        <f ca="1">_xlfn.XLOOKUP(OFFSET($C$12,$I151,MATCH($AD$11,$D$12:$G$12,0)),巡逻产出!$B$311:$B$610,巡逻产出!$R$311:$R$610)*OFFSET($C$1,MATCH(AE$12,$C$2:$C$7,0),MATCH($AD$11,$D$12:$G$12,0))</f>
        <v>#N/A</v>
      </c>
      <c r="AF151" s="163" t="e">
        <f ca="1">_xlfn.XLOOKUP(MAX(INT((OFFSET($C$12,$I151,MATCH($AD$11,$D$12:$G$12,0))-6)/10),1),组队产出!$B$25:$B$39,组队产出!$P$25:$P$39)*OFFSET($C$1,MATCH(AF$12,$C$2:$C$7,0),MATCH($AD$11,$D$12:$G$12,0))</f>
        <v>#N/A</v>
      </c>
      <c r="AG151" s="163">
        <f ca="1">竞技场!$G$3*OFFSET($C$1,MATCH(AG$12,$C$2:$C$7,0),MATCH($AD$11,$D$12:$G$12,0))</f>
        <v>3150</v>
      </c>
      <c r="AH15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1" s="23">
        <f>任务!$G$6+任务!$G$9+IF(MOD(AC151,7)=0,任务!$N$9+任务!$O$6,0)</f>
        <v>895</v>
      </c>
      <c r="AJ151" s="25">
        <f>公会!$U$11</f>
        <v>2766.62857142857</v>
      </c>
      <c r="AK151" s="163" t="e">
        <f ca="1">_xlfn.XLOOKUP(OFFSET($C$12,$I151,MATCH($AD$11,$D$12:$G$12,0)),巡逻产出!$B$311:$B$610,巡逻产出!$Q$311:$Q$610)*OFFSET($C$1,MATCH(AK$12,$C$2:$C$7,0),MATCH($AD$11,$D$12:$G$12,0))</f>
        <v>#N/A</v>
      </c>
      <c r="AM151" s="164">
        <v>139</v>
      </c>
      <c r="AN151" s="165">
        <f t="shared" si="20"/>
        <v>16478</v>
      </c>
      <c r="AO151" s="165">
        <f t="shared" si="21"/>
        <v>20623</v>
      </c>
      <c r="AP151" s="165">
        <f t="shared" si="22"/>
        <v>32589</v>
      </c>
      <c r="AQ151" s="165">
        <f t="shared" si="23"/>
        <v>42812</v>
      </c>
    </row>
    <row r="152" spans="3:43">
      <c r="C152" s="160">
        <v>140</v>
      </c>
      <c r="D152" s="169">
        <v>162</v>
      </c>
      <c r="E152" s="170">
        <f t="shared" si="18"/>
        <v>109.75</v>
      </c>
      <c r="F152" s="169">
        <f t="shared" si="19"/>
        <v>125.849999999999</v>
      </c>
      <c r="G152" s="163">
        <f t="shared" si="24"/>
        <v>193</v>
      </c>
      <c r="I152" s="160">
        <v>140</v>
      </c>
      <c r="J152" s="163" t="e">
        <f ca="1">_xlfn.XLOOKUP(OFFSET($C$12,$I152,MATCH($J$11,$D$12:$G$12,0)),主线推图!$B$313:$B$612,主线推图!$P$313:$P$612)*OFFSET($C$1,MATCH(J$12,$C$2:$C$7,0),MATCH($J$11,$D$12:$G$12,0))</f>
        <v>#N/A</v>
      </c>
      <c r="K152" s="163" t="e">
        <f ca="1">_xlfn.XLOOKUP(OFFSET($C$12,$I152,MATCH($J$11,$D$12:$G$12,0)),巡逻产出!$B$311:$B$610,巡逻产出!$R$311:$R$610)*OFFSET($C$1,MATCH(K$12,$C$2:$C$7,0),MATCH($J$11,$D$12:$G$12,0))</f>
        <v>#N/A</v>
      </c>
      <c r="L152" s="163">
        <f ca="1">_xlfn.XLOOKUP(MAX(INT((OFFSET($C$12,$I152,MATCH($J$11,$D$12:$G$12,0))-6)/10),1),组队产出!$B$25:$B$39,组队产出!$P$25:$P$39)*OFFSET($C$1,MATCH(L$12,$C$2:$C$7,0),MATCH($J$11,$D$12:$G$12,0))</f>
        <v>1118.4</v>
      </c>
      <c r="M152" s="163">
        <f ca="1">竞技场!$G$3*OFFSET($C$1,MATCH(M$12,$C$2:$C$7,0),MATCH($J$11,$D$12:$G$12,0))</f>
        <v>1050</v>
      </c>
      <c r="N15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2" s="23">
        <f>任务!$G$6+任务!$G$9+IF(MOD(I152,7)=0,任务!$N$9+任务!$O$6,0)</f>
        <v>3125</v>
      </c>
      <c r="P152" s="25">
        <f>公会!$U$11</f>
        <v>2766.62857142857</v>
      </c>
      <c r="Q152" s="163" t="e">
        <f ca="1">_xlfn.XLOOKUP(OFFSET($C$12,$I152,MATCH($J$11,$D$12:$G$12,0)),巡逻产出!$B$311:$B$610,巡逻产出!$Q$311:$Q$610)*OFFSET($C$1,MATCH(Q$12,$C$2:$C$7,0),MATCH($J$11,$D$12:$G$12,0))</f>
        <v>#N/A</v>
      </c>
      <c r="S152" s="160">
        <v>140</v>
      </c>
      <c r="T152" s="163" t="e">
        <f ca="1">_xlfn.XLOOKUP(OFFSET($C$12,$I152,MATCH($T$11,$D$12:$G$12,0)),主线推图!$B$313:$B$612,主线推图!$P$313:$P$612)*OFFSET($C$1,MATCH(T$12,$C$2:$C$7,0),MATCH($T$11,$D$12:$G$12,0))</f>
        <v>#N/A</v>
      </c>
      <c r="U152" s="163" t="e">
        <f ca="1">_xlfn.XLOOKUP(OFFSET($C$12,$I152,MATCH($T$11,$D$12:$G$12,0)),巡逻产出!$B$311:$B$610,巡逻产出!$R$311:$R$610)*OFFSET($C$1,MATCH(U$12,$C$2:$C$7,0),MATCH($T$11,$D$12:$G$12,0))</f>
        <v>#N/A</v>
      </c>
      <c r="V152" s="163">
        <f ca="1">_xlfn.XLOOKUP(MAX(INT((OFFSET($C$12,$I152,MATCH($T$11,$D$12:$G$12,0))-6)/10),1),组队产出!$B$25:$B$39,组队产出!$P$25:$P$39)*OFFSET($C$1,MATCH(V$12,$C$2:$C$7,0),MATCH($T$11,$D$12:$G$12,0))</f>
        <v>2272.8</v>
      </c>
      <c r="W152" s="163">
        <f ca="1">竞技场!$G$3*OFFSET($C$1,MATCH(W$12,$C$2:$C$7,0),MATCH($T$11,$D$12:$G$12,0))</f>
        <v>2100</v>
      </c>
      <c r="X15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2" s="23">
        <f>任务!$G$6+任务!$G$9+IF(MOD(S152,7)=0,任务!$N$9+任务!$O$6,0)</f>
        <v>3125</v>
      </c>
      <c r="Z152" s="25">
        <f>公会!$U$11</f>
        <v>2766.62857142857</v>
      </c>
      <c r="AA152" s="163" t="e">
        <f ca="1">_xlfn.XLOOKUP(OFFSET($C$12,$I152,MATCH($T$11,$D$12:$G$12,0)),巡逻产出!$B$311:$B$610,巡逻产出!$Q$311:$Q$610)*OFFSET($C$1,MATCH(AA$12,$C$2:$C$7,0),MATCH($T$11,$D$12:$G$12,0))</f>
        <v>#N/A</v>
      </c>
      <c r="AC152" s="160">
        <v>140</v>
      </c>
      <c r="AD152" s="163">
        <f ca="1">_xlfn.XLOOKUP(OFFSET($C$12,$I152,MATCH($AD$11,$D$12:$G$12,0)),主线推图!$B$313:$B$612,主线推图!$P$313:$P$612)*OFFSET($C$1,MATCH(AD$12,$C$2:$C$7,0),MATCH($AD$11,$D$12:$G$12,0))</f>
        <v>3370.4</v>
      </c>
      <c r="AE152" s="163">
        <f ca="1">_xlfn.XLOOKUP(OFFSET($C$12,$I152,MATCH($AD$11,$D$12:$G$12,0)),巡逻产出!$B$311:$B$610,巡逻产出!$R$311:$R$610)*OFFSET($C$1,MATCH(AE$12,$C$2:$C$7,0),MATCH($AD$11,$D$12:$G$12,0))</f>
        <v>0</v>
      </c>
      <c r="AF152" s="163" t="e">
        <f ca="1">_xlfn.XLOOKUP(MAX(INT((OFFSET($C$12,$I152,MATCH($AD$11,$D$12:$G$12,0))-6)/10),1),组队产出!$B$25:$B$39,组队产出!$P$25:$P$39)*OFFSET($C$1,MATCH(AF$12,$C$2:$C$7,0),MATCH($AD$11,$D$12:$G$12,0))</f>
        <v>#N/A</v>
      </c>
      <c r="AG152" s="163">
        <f ca="1">竞技场!$G$3*OFFSET($C$1,MATCH(AG$12,$C$2:$C$7,0),MATCH($AD$11,$D$12:$G$12,0))</f>
        <v>3150</v>
      </c>
      <c r="AH15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2" s="23">
        <f>任务!$G$6+任务!$G$9+IF(MOD(AC152,7)=0,任务!$N$9+任务!$O$6,0)</f>
        <v>3125</v>
      </c>
      <c r="AJ152" s="25">
        <f>公会!$U$11</f>
        <v>2766.62857142857</v>
      </c>
      <c r="AK152" s="163">
        <f ca="1">_xlfn.XLOOKUP(OFFSET($C$12,$I152,MATCH($AD$11,$D$12:$G$12,0)),巡逻产出!$B$311:$B$610,巡逻产出!$Q$311:$Q$610)*OFFSET($C$1,MATCH(AK$12,$C$2:$C$7,0),MATCH($AD$11,$D$12:$G$12,0))</f>
        <v>2331.888</v>
      </c>
      <c r="AM152" s="164">
        <v>140</v>
      </c>
      <c r="AN152" s="165">
        <f t="shared" si="20"/>
        <v>16591</v>
      </c>
      <c r="AO152" s="165">
        <f t="shared" si="21"/>
        <v>20766</v>
      </c>
      <c r="AP152" s="165">
        <f t="shared" si="22"/>
        <v>32817</v>
      </c>
      <c r="AQ152" s="165">
        <f t="shared" si="23"/>
        <v>43114</v>
      </c>
    </row>
    <row r="153" spans="3:43">
      <c r="C153" s="160">
        <v>141</v>
      </c>
      <c r="D153" s="169">
        <v>162</v>
      </c>
      <c r="E153" s="170">
        <f t="shared" si="18"/>
        <v>110</v>
      </c>
      <c r="F153" s="169">
        <f t="shared" si="19"/>
        <v>126.199999999999</v>
      </c>
      <c r="G153" s="163">
        <f t="shared" si="24"/>
        <v>193.5</v>
      </c>
      <c r="I153" s="160">
        <v>141</v>
      </c>
      <c r="J153" s="163" t="e">
        <f ca="1">_xlfn.XLOOKUP(OFFSET($C$12,$I153,MATCH($J$11,$D$12:$G$12,0)),主线推图!$B$313:$B$612,主线推图!$P$313:$P$612)*OFFSET($C$1,MATCH(J$12,$C$2:$C$7,0),MATCH($J$11,$D$12:$G$12,0))</f>
        <v>#N/A</v>
      </c>
      <c r="K153" s="163" t="e">
        <f ca="1">_xlfn.XLOOKUP(OFFSET($C$12,$I153,MATCH($J$11,$D$12:$G$12,0)),巡逻产出!$B$311:$B$610,巡逻产出!$R$311:$R$610)*OFFSET($C$1,MATCH(K$12,$C$2:$C$7,0),MATCH($J$11,$D$12:$G$12,0))</f>
        <v>#N/A</v>
      </c>
      <c r="L153" s="163">
        <f ca="1">_xlfn.XLOOKUP(MAX(INT((OFFSET($C$12,$I153,MATCH($J$11,$D$12:$G$12,0))-6)/10),1),组队产出!$B$25:$B$39,组队产出!$P$25:$P$39)*OFFSET($C$1,MATCH(L$12,$C$2:$C$7,0),MATCH($J$11,$D$12:$G$12,0))</f>
        <v>1118.4</v>
      </c>
      <c r="M153" s="163">
        <f ca="1">竞技场!$G$3*OFFSET($C$1,MATCH(M$12,$C$2:$C$7,0),MATCH($J$11,$D$12:$G$12,0))</f>
        <v>1050</v>
      </c>
      <c r="N15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3" s="23">
        <f>任务!$G$6+任务!$G$9+IF(MOD(I153,7)=0,任务!$N$9+任务!$O$6,0)</f>
        <v>895</v>
      </c>
      <c r="P153" s="25">
        <f>公会!$U$11</f>
        <v>2766.62857142857</v>
      </c>
      <c r="Q153" s="163" t="e">
        <f ca="1">_xlfn.XLOOKUP(OFFSET($C$12,$I153,MATCH($J$11,$D$12:$G$12,0)),巡逻产出!$B$311:$B$610,巡逻产出!$Q$311:$Q$610)*OFFSET($C$1,MATCH(Q$12,$C$2:$C$7,0),MATCH($J$11,$D$12:$G$12,0))</f>
        <v>#N/A</v>
      </c>
      <c r="S153" s="160">
        <v>141</v>
      </c>
      <c r="T153" s="163" t="e">
        <f ca="1">_xlfn.XLOOKUP(OFFSET($C$12,$I153,MATCH($T$11,$D$12:$G$12,0)),主线推图!$B$313:$B$612,主线推图!$P$313:$P$612)*OFFSET($C$1,MATCH(T$12,$C$2:$C$7,0),MATCH($T$11,$D$12:$G$12,0))</f>
        <v>#N/A</v>
      </c>
      <c r="U153" s="163" t="e">
        <f ca="1">_xlfn.XLOOKUP(OFFSET($C$12,$I153,MATCH($T$11,$D$12:$G$12,0)),巡逻产出!$B$311:$B$610,巡逻产出!$R$311:$R$610)*OFFSET($C$1,MATCH(U$12,$C$2:$C$7,0),MATCH($T$11,$D$12:$G$12,0))</f>
        <v>#N/A</v>
      </c>
      <c r="V153" s="163">
        <f ca="1">_xlfn.XLOOKUP(MAX(INT((OFFSET($C$12,$I153,MATCH($T$11,$D$12:$G$12,0))-6)/10),1),组队产出!$B$25:$B$39,组队产出!$P$25:$P$39)*OFFSET($C$1,MATCH(V$12,$C$2:$C$7,0),MATCH($T$11,$D$12:$G$12,0))</f>
        <v>2284.8</v>
      </c>
      <c r="W153" s="163">
        <f ca="1">竞技场!$G$3*OFFSET($C$1,MATCH(W$12,$C$2:$C$7,0),MATCH($T$11,$D$12:$G$12,0))</f>
        <v>2100</v>
      </c>
      <c r="X15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3" s="23">
        <f>任务!$G$6+任务!$G$9+IF(MOD(S153,7)=0,任务!$N$9+任务!$O$6,0)</f>
        <v>895</v>
      </c>
      <c r="Z153" s="25">
        <f>公会!$U$11</f>
        <v>2766.62857142857</v>
      </c>
      <c r="AA153" s="163" t="e">
        <f ca="1">_xlfn.XLOOKUP(OFFSET($C$12,$I153,MATCH($T$11,$D$12:$G$12,0)),巡逻产出!$B$311:$B$610,巡逻产出!$Q$311:$Q$610)*OFFSET($C$1,MATCH(AA$12,$C$2:$C$7,0),MATCH($T$11,$D$12:$G$12,0))</f>
        <v>#N/A</v>
      </c>
      <c r="AC153" s="160">
        <v>141</v>
      </c>
      <c r="AD153" s="163" t="e">
        <f ca="1">_xlfn.XLOOKUP(OFFSET($C$12,$I153,MATCH($AD$11,$D$12:$G$12,0)),主线推图!$B$313:$B$612,主线推图!$P$313:$P$612)*OFFSET($C$1,MATCH(AD$12,$C$2:$C$7,0),MATCH($AD$11,$D$12:$G$12,0))</f>
        <v>#N/A</v>
      </c>
      <c r="AE153" s="163" t="e">
        <f ca="1">_xlfn.XLOOKUP(OFFSET($C$12,$I153,MATCH($AD$11,$D$12:$G$12,0)),巡逻产出!$B$311:$B$610,巡逻产出!$R$311:$R$610)*OFFSET($C$1,MATCH(AE$12,$C$2:$C$7,0),MATCH($AD$11,$D$12:$G$12,0))</f>
        <v>#N/A</v>
      </c>
      <c r="AF153" s="163" t="e">
        <f ca="1">_xlfn.XLOOKUP(MAX(INT((OFFSET($C$12,$I153,MATCH($AD$11,$D$12:$G$12,0))-6)/10),1),组队产出!$B$25:$B$39,组队产出!$P$25:$P$39)*OFFSET($C$1,MATCH(AF$12,$C$2:$C$7,0),MATCH($AD$11,$D$12:$G$12,0))</f>
        <v>#N/A</v>
      </c>
      <c r="AG153" s="163">
        <f ca="1">竞技场!$G$3*OFFSET($C$1,MATCH(AG$12,$C$2:$C$7,0),MATCH($AD$11,$D$12:$G$12,0))</f>
        <v>3150</v>
      </c>
      <c r="AH15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3" s="23">
        <f>任务!$G$6+任务!$G$9+IF(MOD(AC153,7)=0,任务!$N$9+任务!$O$6,0)</f>
        <v>895</v>
      </c>
      <c r="AJ153" s="25">
        <f>公会!$U$11</f>
        <v>2766.62857142857</v>
      </c>
      <c r="AK153" s="163" t="e">
        <f ca="1">_xlfn.XLOOKUP(OFFSET($C$12,$I153,MATCH($AD$11,$D$12:$G$12,0)),巡逻产出!$B$311:$B$610,巡逻产出!$Q$311:$Q$610)*OFFSET($C$1,MATCH(AK$12,$C$2:$C$7,0),MATCH($AD$11,$D$12:$G$12,0))</f>
        <v>#N/A</v>
      </c>
      <c r="AM153" s="164">
        <v>141</v>
      </c>
      <c r="AN153" s="165">
        <f t="shared" si="20"/>
        <v>16705</v>
      </c>
      <c r="AO153" s="165">
        <f t="shared" si="21"/>
        <v>20909</v>
      </c>
      <c r="AP153" s="165">
        <f t="shared" si="22"/>
        <v>33046</v>
      </c>
      <c r="AQ153" s="165">
        <f t="shared" si="23"/>
        <v>43416</v>
      </c>
    </row>
    <row r="154" spans="3:43">
      <c r="C154" s="160">
        <v>142</v>
      </c>
      <c r="D154" s="169">
        <v>162</v>
      </c>
      <c r="E154" s="170">
        <f t="shared" si="18"/>
        <v>110.25</v>
      </c>
      <c r="F154" s="169">
        <f t="shared" si="19"/>
        <v>126.549999999999</v>
      </c>
      <c r="G154" s="163">
        <f t="shared" si="24"/>
        <v>194</v>
      </c>
      <c r="I154" s="160">
        <v>142</v>
      </c>
      <c r="J154" s="163" t="e">
        <f ca="1">_xlfn.XLOOKUP(OFFSET($C$12,$I154,MATCH($J$11,$D$12:$G$12,0)),主线推图!$B$313:$B$612,主线推图!$P$313:$P$612)*OFFSET($C$1,MATCH(J$12,$C$2:$C$7,0),MATCH($J$11,$D$12:$G$12,0))</f>
        <v>#N/A</v>
      </c>
      <c r="K154" s="163" t="e">
        <f ca="1">_xlfn.XLOOKUP(OFFSET($C$12,$I154,MATCH($J$11,$D$12:$G$12,0)),巡逻产出!$B$311:$B$610,巡逻产出!$R$311:$R$610)*OFFSET($C$1,MATCH(K$12,$C$2:$C$7,0),MATCH($J$11,$D$12:$G$12,0))</f>
        <v>#N/A</v>
      </c>
      <c r="L154" s="163">
        <f ca="1">_xlfn.XLOOKUP(MAX(INT((OFFSET($C$12,$I154,MATCH($J$11,$D$12:$G$12,0))-6)/10),1),组队产出!$B$25:$B$39,组队产出!$P$25:$P$39)*OFFSET($C$1,MATCH(L$12,$C$2:$C$7,0),MATCH($J$11,$D$12:$G$12,0))</f>
        <v>1118.4</v>
      </c>
      <c r="M154" s="163">
        <f ca="1">竞技场!$G$3*OFFSET($C$1,MATCH(M$12,$C$2:$C$7,0),MATCH($J$11,$D$12:$G$12,0))</f>
        <v>1050</v>
      </c>
      <c r="N15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4" s="23">
        <f>任务!$G$6+任务!$G$9+IF(MOD(I154,7)=0,任务!$N$9+任务!$O$6,0)</f>
        <v>895</v>
      </c>
      <c r="P154" s="25">
        <f>公会!$U$11</f>
        <v>2766.62857142857</v>
      </c>
      <c r="Q154" s="163" t="e">
        <f ca="1">_xlfn.XLOOKUP(OFFSET($C$12,$I154,MATCH($J$11,$D$12:$G$12,0)),巡逻产出!$B$311:$B$610,巡逻产出!$Q$311:$Q$610)*OFFSET($C$1,MATCH(Q$12,$C$2:$C$7,0),MATCH($J$11,$D$12:$G$12,0))</f>
        <v>#N/A</v>
      </c>
      <c r="S154" s="160">
        <v>142</v>
      </c>
      <c r="T154" s="163" t="e">
        <f ca="1">_xlfn.XLOOKUP(OFFSET($C$12,$I154,MATCH($T$11,$D$12:$G$12,0)),主线推图!$B$313:$B$612,主线推图!$P$313:$P$612)*OFFSET($C$1,MATCH(T$12,$C$2:$C$7,0),MATCH($T$11,$D$12:$G$12,0))</f>
        <v>#N/A</v>
      </c>
      <c r="U154" s="163" t="e">
        <f ca="1">_xlfn.XLOOKUP(OFFSET($C$12,$I154,MATCH($T$11,$D$12:$G$12,0)),巡逻产出!$B$311:$B$610,巡逻产出!$R$311:$R$610)*OFFSET($C$1,MATCH(U$12,$C$2:$C$7,0),MATCH($T$11,$D$12:$G$12,0))</f>
        <v>#N/A</v>
      </c>
      <c r="V154" s="163">
        <f ca="1">_xlfn.XLOOKUP(MAX(INT((OFFSET($C$12,$I154,MATCH($T$11,$D$12:$G$12,0))-6)/10),1),组队产出!$B$25:$B$39,组队产出!$P$25:$P$39)*OFFSET($C$1,MATCH(V$12,$C$2:$C$7,0),MATCH($T$11,$D$12:$G$12,0))</f>
        <v>2284.8</v>
      </c>
      <c r="W154" s="163">
        <f ca="1">竞技场!$G$3*OFFSET($C$1,MATCH(W$12,$C$2:$C$7,0),MATCH($T$11,$D$12:$G$12,0))</f>
        <v>2100</v>
      </c>
      <c r="X15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4" s="23">
        <f>任务!$G$6+任务!$G$9+IF(MOD(S154,7)=0,任务!$N$9+任务!$O$6,0)</f>
        <v>895</v>
      </c>
      <c r="Z154" s="25">
        <f>公会!$U$11</f>
        <v>2766.62857142857</v>
      </c>
      <c r="AA154" s="163" t="e">
        <f ca="1">_xlfn.XLOOKUP(OFFSET($C$12,$I154,MATCH($T$11,$D$12:$G$12,0)),巡逻产出!$B$311:$B$610,巡逻产出!$Q$311:$Q$610)*OFFSET($C$1,MATCH(AA$12,$C$2:$C$7,0),MATCH($T$11,$D$12:$G$12,0))</f>
        <v>#N/A</v>
      </c>
      <c r="AC154" s="160">
        <v>142</v>
      </c>
      <c r="AD154" s="163">
        <f ca="1">_xlfn.XLOOKUP(OFFSET($C$12,$I154,MATCH($AD$11,$D$12:$G$12,0)),主线推图!$B$313:$B$612,主线推图!$P$313:$P$612)*OFFSET($C$1,MATCH(AD$12,$C$2:$C$7,0),MATCH($AD$11,$D$12:$G$12,0))</f>
        <v>3372.6</v>
      </c>
      <c r="AE154" s="163">
        <f ca="1">_xlfn.XLOOKUP(OFFSET($C$12,$I154,MATCH($AD$11,$D$12:$G$12,0)),巡逻产出!$B$311:$B$610,巡逻产出!$R$311:$R$610)*OFFSET($C$1,MATCH(AE$12,$C$2:$C$7,0),MATCH($AD$11,$D$12:$G$12,0))</f>
        <v>0</v>
      </c>
      <c r="AF154" s="163" t="e">
        <f ca="1">_xlfn.XLOOKUP(MAX(INT((OFFSET($C$12,$I154,MATCH($AD$11,$D$12:$G$12,0))-6)/10),1),组队产出!$B$25:$B$39,组队产出!$P$25:$P$39)*OFFSET($C$1,MATCH(AF$12,$C$2:$C$7,0),MATCH($AD$11,$D$12:$G$12,0))</f>
        <v>#N/A</v>
      </c>
      <c r="AG154" s="163">
        <f ca="1">竞技场!$G$3*OFFSET($C$1,MATCH(AG$12,$C$2:$C$7,0),MATCH($AD$11,$D$12:$G$12,0))</f>
        <v>3150</v>
      </c>
      <c r="AH15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4" s="23">
        <f>任务!$G$6+任务!$G$9+IF(MOD(AC154,7)=0,任务!$N$9+任务!$O$6,0)</f>
        <v>895</v>
      </c>
      <c r="AJ154" s="25">
        <f>公会!$U$11</f>
        <v>2766.62857142857</v>
      </c>
      <c r="AK154" s="163">
        <f ca="1">_xlfn.XLOOKUP(OFFSET($C$12,$I154,MATCH($AD$11,$D$12:$G$12,0)),巡逻产出!$B$311:$B$610,巡逻产出!$Q$311:$Q$610)*OFFSET($C$1,MATCH(AK$12,$C$2:$C$7,0),MATCH($AD$11,$D$12:$G$12,0))</f>
        <v>2333.448</v>
      </c>
      <c r="AM154" s="164">
        <v>142</v>
      </c>
      <c r="AN154" s="165">
        <f t="shared" si="20"/>
        <v>16818</v>
      </c>
      <c r="AO154" s="165">
        <f t="shared" si="21"/>
        <v>21052</v>
      </c>
      <c r="AP154" s="165">
        <f t="shared" si="22"/>
        <v>33274</v>
      </c>
      <c r="AQ154" s="165">
        <f t="shared" si="23"/>
        <v>43718</v>
      </c>
    </row>
    <row r="155" spans="3:43">
      <c r="C155" s="160">
        <v>143</v>
      </c>
      <c r="D155" s="169">
        <v>162</v>
      </c>
      <c r="E155" s="170">
        <f t="shared" si="18"/>
        <v>110.5</v>
      </c>
      <c r="F155" s="169">
        <f t="shared" si="19"/>
        <v>126.899999999999</v>
      </c>
      <c r="G155" s="163">
        <f t="shared" si="24"/>
        <v>194.5</v>
      </c>
      <c r="I155" s="160">
        <v>143</v>
      </c>
      <c r="J155" s="163" t="e">
        <f ca="1">_xlfn.XLOOKUP(OFFSET($C$12,$I155,MATCH($J$11,$D$12:$G$12,0)),主线推图!$B$313:$B$612,主线推图!$P$313:$P$612)*OFFSET($C$1,MATCH(J$12,$C$2:$C$7,0),MATCH($J$11,$D$12:$G$12,0))</f>
        <v>#N/A</v>
      </c>
      <c r="K155" s="163" t="e">
        <f ca="1">_xlfn.XLOOKUP(OFFSET($C$12,$I155,MATCH($J$11,$D$12:$G$12,0)),巡逻产出!$B$311:$B$610,巡逻产出!$R$311:$R$610)*OFFSET($C$1,MATCH(K$12,$C$2:$C$7,0),MATCH($J$11,$D$12:$G$12,0))</f>
        <v>#N/A</v>
      </c>
      <c r="L155" s="163">
        <f ca="1">_xlfn.XLOOKUP(MAX(INT((OFFSET($C$12,$I155,MATCH($J$11,$D$12:$G$12,0))-6)/10),1),组队产出!$B$25:$B$39,组队产出!$P$25:$P$39)*OFFSET($C$1,MATCH(L$12,$C$2:$C$7,0),MATCH($J$11,$D$12:$G$12,0))</f>
        <v>1118.4</v>
      </c>
      <c r="M155" s="163">
        <f ca="1">竞技场!$G$3*OFFSET($C$1,MATCH(M$12,$C$2:$C$7,0),MATCH($J$11,$D$12:$G$12,0))</f>
        <v>1050</v>
      </c>
      <c r="N15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5" s="23">
        <f>任务!$G$6+任务!$G$9+IF(MOD(I155,7)=0,任务!$N$9+任务!$O$6,0)</f>
        <v>895</v>
      </c>
      <c r="P155" s="25">
        <f>公会!$U$11</f>
        <v>2766.62857142857</v>
      </c>
      <c r="Q155" s="163" t="e">
        <f ca="1">_xlfn.XLOOKUP(OFFSET($C$12,$I155,MATCH($J$11,$D$12:$G$12,0)),巡逻产出!$B$311:$B$610,巡逻产出!$Q$311:$Q$610)*OFFSET($C$1,MATCH(Q$12,$C$2:$C$7,0),MATCH($J$11,$D$12:$G$12,0))</f>
        <v>#N/A</v>
      </c>
      <c r="S155" s="160">
        <v>143</v>
      </c>
      <c r="T155" s="163" t="e">
        <f ca="1">_xlfn.XLOOKUP(OFFSET($C$12,$I155,MATCH($T$11,$D$12:$G$12,0)),主线推图!$B$313:$B$612,主线推图!$P$313:$P$612)*OFFSET($C$1,MATCH(T$12,$C$2:$C$7,0),MATCH($T$11,$D$12:$G$12,0))</f>
        <v>#N/A</v>
      </c>
      <c r="U155" s="163" t="e">
        <f ca="1">_xlfn.XLOOKUP(OFFSET($C$12,$I155,MATCH($T$11,$D$12:$G$12,0)),巡逻产出!$B$311:$B$610,巡逻产出!$R$311:$R$610)*OFFSET($C$1,MATCH(U$12,$C$2:$C$7,0),MATCH($T$11,$D$12:$G$12,0))</f>
        <v>#N/A</v>
      </c>
      <c r="V155" s="163">
        <f ca="1">_xlfn.XLOOKUP(MAX(INT((OFFSET($C$12,$I155,MATCH($T$11,$D$12:$G$12,0))-6)/10),1),组队产出!$B$25:$B$39,组队产出!$P$25:$P$39)*OFFSET($C$1,MATCH(V$12,$C$2:$C$7,0),MATCH($T$11,$D$12:$G$12,0))</f>
        <v>2284.8</v>
      </c>
      <c r="W155" s="163">
        <f ca="1">竞技场!$G$3*OFFSET($C$1,MATCH(W$12,$C$2:$C$7,0),MATCH($T$11,$D$12:$G$12,0))</f>
        <v>2100</v>
      </c>
      <c r="X15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5" s="23">
        <f>任务!$G$6+任务!$G$9+IF(MOD(S155,7)=0,任务!$N$9+任务!$O$6,0)</f>
        <v>895</v>
      </c>
      <c r="Z155" s="25">
        <f>公会!$U$11</f>
        <v>2766.62857142857</v>
      </c>
      <c r="AA155" s="163" t="e">
        <f ca="1">_xlfn.XLOOKUP(OFFSET($C$12,$I155,MATCH($T$11,$D$12:$G$12,0)),巡逻产出!$B$311:$B$610,巡逻产出!$Q$311:$Q$610)*OFFSET($C$1,MATCH(AA$12,$C$2:$C$7,0),MATCH($T$11,$D$12:$G$12,0))</f>
        <v>#N/A</v>
      </c>
      <c r="AC155" s="160">
        <v>143</v>
      </c>
      <c r="AD155" s="163" t="e">
        <f ca="1">_xlfn.XLOOKUP(OFFSET($C$12,$I155,MATCH($AD$11,$D$12:$G$12,0)),主线推图!$B$313:$B$612,主线推图!$P$313:$P$612)*OFFSET($C$1,MATCH(AD$12,$C$2:$C$7,0),MATCH($AD$11,$D$12:$G$12,0))</f>
        <v>#N/A</v>
      </c>
      <c r="AE155" s="163" t="e">
        <f ca="1">_xlfn.XLOOKUP(OFFSET($C$12,$I155,MATCH($AD$11,$D$12:$G$12,0)),巡逻产出!$B$311:$B$610,巡逻产出!$R$311:$R$610)*OFFSET($C$1,MATCH(AE$12,$C$2:$C$7,0),MATCH($AD$11,$D$12:$G$12,0))</f>
        <v>#N/A</v>
      </c>
      <c r="AF155" s="163" t="e">
        <f ca="1">_xlfn.XLOOKUP(MAX(INT((OFFSET($C$12,$I155,MATCH($AD$11,$D$12:$G$12,0))-6)/10),1),组队产出!$B$25:$B$39,组队产出!$P$25:$P$39)*OFFSET($C$1,MATCH(AF$12,$C$2:$C$7,0),MATCH($AD$11,$D$12:$G$12,0))</f>
        <v>#N/A</v>
      </c>
      <c r="AG155" s="163">
        <f ca="1">竞技场!$G$3*OFFSET($C$1,MATCH(AG$12,$C$2:$C$7,0),MATCH($AD$11,$D$12:$G$12,0))</f>
        <v>3150</v>
      </c>
      <c r="AH15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5" s="23">
        <f>任务!$G$6+任务!$G$9+IF(MOD(AC155,7)=0,任务!$N$9+任务!$O$6,0)</f>
        <v>895</v>
      </c>
      <c r="AJ155" s="25">
        <f>公会!$U$11</f>
        <v>2766.62857142857</v>
      </c>
      <c r="AK155" s="163" t="e">
        <f ca="1">_xlfn.XLOOKUP(OFFSET($C$12,$I155,MATCH($AD$11,$D$12:$G$12,0)),巡逻产出!$B$311:$B$610,巡逻产出!$Q$311:$Q$610)*OFFSET($C$1,MATCH(AK$12,$C$2:$C$7,0),MATCH($AD$11,$D$12:$G$12,0))</f>
        <v>#N/A</v>
      </c>
      <c r="AM155" s="164">
        <v>143</v>
      </c>
      <c r="AN155" s="165">
        <f t="shared" si="20"/>
        <v>16932</v>
      </c>
      <c r="AO155" s="165">
        <f t="shared" si="21"/>
        <v>21195</v>
      </c>
      <c r="AP155" s="165">
        <f t="shared" si="22"/>
        <v>33503</v>
      </c>
      <c r="AQ155" s="165">
        <f t="shared" si="23"/>
        <v>44020</v>
      </c>
    </row>
    <row r="156" spans="3:43">
      <c r="C156" s="160">
        <v>144</v>
      </c>
      <c r="D156" s="169">
        <v>162</v>
      </c>
      <c r="E156" s="170">
        <f t="shared" si="18"/>
        <v>110.75</v>
      </c>
      <c r="F156" s="169">
        <f t="shared" si="19"/>
        <v>127.249999999999</v>
      </c>
      <c r="G156" s="163">
        <f t="shared" si="24"/>
        <v>195</v>
      </c>
      <c r="I156" s="160">
        <v>144</v>
      </c>
      <c r="J156" s="163" t="e">
        <f ca="1">_xlfn.XLOOKUP(OFFSET($C$12,$I156,MATCH($J$11,$D$12:$G$12,0)),主线推图!$B$313:$B$612,主线推图!$P$313:$P$612)*OFFSET($C$1,MATCH(J$12,$C$2:$C$7,0),MATCH($J$11,$D$12:$G$12,0))</f>
        <v>#N/A</v>
      </c>
      <c r="K156" s="163" t="e">
        <f ca="1">_xlfn.XLOOKUP(OFFSET($C$12,$I156,MATCH($J$11,$D$12:$G$12,0)),巡逻产出!$B$311:$B$610,巡逻产出!$R$311:$R$610)*OFFSET($C$1,MATCH(K$12,$C$2:$C$7,0),MATCH($J$11,$D$12:$G$12,0))</f>
        <v>#N/A</v>
      </c>
      <c r="L156" s="163">
        <f ca="1">_xlfn.XLOOKUP(MAX(INT((OFFSET($C$12,$I156,MATCH($J$11,$D$12:$G$12,0))-6)/10),1),组队产出!$B$25:$B$39,组队产出!$P$25:$P$39)*OFFSET($C$1,MATCH(L$12,$C$2:$C$7,0),MATCH($J$11,$D$12:$G$12,0))</f>
        <v>1118.4</v>
      </c>
      <c r="M156" s="163">
        <f ca="1">竞技场!$G$3*OFFSET($C$1,MATCH(M$12,$C$2:$C$7,0),MATCH($J$11,$D$12:$G$12,0))</f>
        <v>1050</v>
      </c>
      <c r="N15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6" s="23">
        <f>任务!$G$6+任务!$G$9+IF(MOD(I156,7)=0,任务!$N$9+任务!$O$6,0)</f>
        <v>895</v>
      </c>
      <c r="P156" s="25">
        <f>公会!$U$11</f>
        <v>2766.62857142857</v>
      </c>
      <c r="Q156" s="163" t="e">
        <f ca="1">_xlfn.XLOOKUP(OFFSET($C$12,$I156,MATCH($J$11,$D$12:$G$12,0)),巡逻产出!$B$311:$B$610,巡逻产出!$Q$311:$Q$610)*OFFSET($C$1,MATCH(Q$12,$C$2:$C$7,0),MATCH($J$11,$D$12:$G$12,0))</f>
        <v>#N/A</v>
      </c>
      <c r="S156" s="160">
        <v>144</v>
      </c>
      <c r="T156" s="163" t="e">
        <f ca="1">_xlfn.XLOOKUP(OFFSET($C$12,$I156,MATCH($T$11,$D$12:$G$12,0)),主线推图!$B$313:$B$612,主线推图!$P$313:$P$612)*OFFSET($C$1,MATCH(T$12,$C$2:$C$7,0),MATCH($T$11,$D$12:$G$12,0))</f>
        <v>#N/A</v>
      </c>
      <c r="U156" s="163" t="e">
        <f ca="1">_xlfn.XLOOKUP(OFFSET($C$12,$I156,MATCH($T$11,$D$12:$G$12,0)),巡逻产出!$B$311:$B$610,巡逻产出!$R$311:$R$610)*OFFSET($C$1,MATCH(U$12,$C$2:$C$7,0),MATCH($T$11,$D$12:$G$12,0))</f>
        <v>#N/A</v>
      </c>
      <c r="V156" s="163">
        <f ca="1">_xlfn.XLOOKUP(MAX(INT((OFFSET($C$12,$I156,MATCH($T$11,$D$12:$G$12,0))-6)/10),1),组队产出!$B$25:$B$39,组队产出!$P$25:$P$39)*OFFSET($C$1,MATCH(V$12,$C$2:$C$7,0),MATCH($T$11,$D$12:$G$12,0))</f>
        <v>2284.8</v>
      </c>
      <c r="W156" s="163">
        <f ca="1">竞技场!$G$3*OFFSET($C$1,MATCH(W$12,$C$2:$C$7,0),MATCH($T$11,$D$12:$G$12,0))</f>
        <v>2100</v>
      </c>
      <c r="X15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6" s="23">
        <f>任务!$G$6+任务!$G$9+IF(MOD(S156,7)=0,任务!$N$9+任务!$O$6,0)</f>
        <v>895</v>
      </c>
      <c r="Z156" s="25">
        <f>公会!$U$11</f>
        <v>2766.62857142857</v>
      </c>
      <c r="AA156" s="163" t="e">
        <f ca="1">_xlfn.XLOOKUP(OFFSET($C$12,$I156,MATCH($T$11,$D$12:$G$12,0)),巡逻产出!$B$311:$B$610,巡逻产出!$Q$311:$Q$610)*OFFSET($C$1,MATCH(AA$12,$C$2:$C$7,0),MATCH($T$11,$D$12:$G$12,0))</f>
        <v>#N/A</v>
      </c>
      <c r="AC156" s="160">
        <v>144</v>
      </c>
      <c r="AD156" s="163">
        <f ca="1">_xlfn.XLOOKUP(OFFSET($C$12,$I156,MATCH($AD$11,$D$12:$G$12,0)),主线推图!$B$313:$B$612,主线推图!$P$313:$P$612)*OFFSET($C$1,MATCH(AD$12,$C$2:$C$7,0),MATCH($AD$11,$D$12:$G$12,0))</f>
        <v>3374.8</v>
      </c>
      <c r="AE156" s="163">
        <f ca="1">_xlfn.XLOOKUP(OFFSET($C$12,$I156,MATCH($AD$11,$D$12:$G$12,0)),巡逻产出!$B$311:$B$610,巡逻产出!$R$311:$R$610)*OFFSET($C$1,MATCH(AE$12,$C$2:$C$7,0),MATCH($AD$11,$D$12:$G$12,0))</f>
        <v>0</v>
      </c>
      <c r="AF156" s="163" t="e">
        <f ca="1">_xlfn.XLOOKUP(MAX(INT((OFFSET($C$12,$I156,MATCH($AD$11,$D$12:$G$12,0))-6)/10),1),组队产出!$B$25:$B$39,组队产出!$P$25:$P$39)*OFFSET($C$1,MATCH(AF$12,$C$2:$C$7,0),MATCH($AD$11,$D$12:$G$12,0))</f>
        <v>#N/A</v>
      </c>
      <c r="AG156" s="163">
        <f ca="1">竞技场!$G$3*OFFSET($C$1,MATCH(AG$12,$C$2:$C$7,0),MATCH($AD$11,$D$12:$G$12,0))</f>
        <v>3150</v>
      </c>
      <c r="AH15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6" s="23">
        <f>任务!$G$6+任务!$G$9+IF(MOD(AC156,7)=0,任务!$N$9+任务!$O$6,0)</f>
        <v>895</v>
      </c>
      <c r="AJ156" s="25">
        <f>公会!$U$11</f>
        <v>2766.62857142857</v>
      </c>
      <c r="AK156" s="163">
        <f ca="1">_xlfn.XLOOKUP(OFFSET($C$12,$I156,MATCH($AD$11,$D$12:$G$12,0)),巡逻产出!$B$311:$B$610,巡逻产出!$Q$311:$Q$610)*OFFSET($C$1,MATCH(AK$12,$C$2:$C$7,0),MATCH($AD$11,$D$12:$G$12,0))</f>
        <v>2335.008</v>
      </c>
      <c r="AM156" s="164">
        <v>144</v>
      </c>
      <c r="AN156" s="165">
        <f t="shared" si="20"/>
        <v>17045</v>
      </c>
      <c r="AO156" s="165">
        <f t="shared" si="21"/>
        <v>21338</v>
      </c>
      <c r="AP156" s="165">
        <f t="shared" si="22"/>
        <v>33731</v>
      </c>
      <c r="AQ156" s="165">
        <f t="shared" si="23"/>
        <v>44322</v>
      </c>
    </row>
    <row r="157" spans="3:43">
      <c r="C157" s="160">
        <v>145</v>
      </c>
      <c r="D157" s="169">
        <v>162</v>
      </c>
      <c r="E157" s="170">
        <f t="shared" si="18"/>
        <v>111</v>
      </c>
      <c r="F157" s="169">
        <f t="shared" si="19"/>
        <v>127.599999999999</v>
      </c>
      <c r="G157" s="163">
        <f t="shared" si="24"/>
        <v>195.5</v>
      </c>
      <c r="I157" s="160">
        <v>145</v>
      </c>
      <c r="J157" s="163" t="e">
        <f ca="1">_xlfn.XLOOKUP(OFFSET($C$12,$I157,MATCH($J$11,$D$12:$G$12,0)),主线推图!$B$313:$B$612,主线推图!$P$313:$P$612)*OFFSET($C$1,MATCH(J$12,$C$2:$C$7,0),MATCH($J$11,$D$12:$G$12,0))</f>
        <v>#N/A</v>
      </c>
      <c r="K157" s="163" t="e">
        <f ca="1">_xlfn.XLOOKUP(OFFSET($C$12,$I157,MATCH($J$11,$D$12:$G$12,0)),巡逻产出!$B$311:$B$610,巡逻产出!$R$311:$R$610)*OFFSET($C$1,MATCH(K$12,$C$2:$C$7,0),MATCH($J$11,$D$12:$G$12,0))</f>
        <v>#N/A</v>
      </c>
      <c r="L157" s="163">
        <f ca="1">_xlfn.XLOOKUP(MAX(INT((OFFSET($C$12,$I157,MATCH($J$11,$D$12:$G$12,0))-6)/10),1),组队产出!$B$25:$B$39,组队产出!$P$25:$P$39)*OFFSET($C$1,MATCH(L$12,$C$2:$C$7,0),MATCH($J$11,$D$12:$G$12,0))</f>
        <v>1118.4</v>
      </c>
      <c r="M157" s="163">
        <f ca="1">竞技场!$G$3*OFFSET($C$1,MATCH(M$12,$C$2:$C$7,0),MATCH($J$11,$D$12:$G$12,0))</f>
        <v>1050</v>
      </c>
      <c r="N15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7" s="23">
        <f>任务!$G$6+任务!$G$9+IF(MOD(I157,7)=0,任务!$N$9+任务!$O$6,0)</f>
        <v>895</v>
      </c>
      <c r="P157" s="25">
        <f>公会!$U$11</f>
        <v>2766.62857142857</v>
      </c>
      <c r="Q157" s="163" t="e">
        <f ca="1">_xlfn.XLOOKUP(OFFSET($C$12,$I157,MATCH($J$11,$D$12:$G$12,0)),巡逻产出!$B$311:$B$610,巡逻产出!$Q$311:$Q$610)*OFFSET($C$1,MATCH(Q$12,$C$2:$C$7,0),MATCH($J$11,$D$12:$G$12,0))</f>
        <v>#N/A</v>
      </c>
      <c r="S157" s="160">
        <v>145</v>
      </c>
      <c r="T157" s="163" t="e">
        <f ca="1">_xlfn.XLOOKUP(OFFSET($C$12,$I157,MATCH($T$11,$D$12:$G$12,0)),主线推图!$B$313:$B$612,主线推图!$P$313:$P$612)*OFFSET($C$1,MATCH(T$12,$C$2:$C$7,0),MATCH($T$11,$D$12:$G$12,0))</f>
        <v>#N/A</v>
      </c>
      <c r="U157" s="163" t="e">
        <f ca="1">_xlfn.XLOOKUP(OFFSET($C$12,$I157,MATCH($T$11,$D$12:$G$12,0)),巡逻产出!$B$311:$B$610,巡逻产出!$R$311:$R$610)*OFFSET($C$1,MATCH(U$12,$C$2:$C$7,0),MATCH($T$11,$D$12:$G$12,0))</f>
        <v>#N/A</v>
      </c>
      <c r="V157" s="163">
        <f ca="1">_xlfn.XLOOKUP(MAX(INT((OFFSET($C$12,$I157,MATCH($T$11,$D$12:$G$12,0))-6)/10),1),组队产出!$B$25:$B$39,组队产出!$P$25:$P$39)*OFFSET($C$1,MATCH(V$12,$C$2:$C$7,0),MATCH($T$11,$D$12:$G$12,0))</f>
        <v>2284.8</v>
      </c>
      <c r="W157" s="163">
        <f ca="1">竞技场!$G$3*OFFSET($C$1,MATCH(W$12,$C$2:$C$7,0),MATCH($T$11,$D$12:$G$12,0))</f>
        <v>2100</v>
      </c>
      <c r="X15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7" s="23">
        <f>任务!$G$6+任务!$G$9+IF(MOD(S157,7)=0,任务!$N$9+任务!$O$6,0)</f>
        <v>895</v>
      </c>
      <c r="Z157" s="25">
        <f>公会!$U$11</f>
        <v>2766.62857142857</v>
      </c>
      <c r="AA157" s="163" t="e">
        <f ca="1">_xlfn.XLOOKUP(OFFSET($C$12,$I157,MATCH($T$11,$D$12:$G$12,0)),巡逻产出!$B$311:$B$610,巡逻产出!$Q$311:$Q$610)*OFFSET($C$1,MATCH(AA$12,$C$2:$C$7,0),MATCH($T$11,$D$12:$G$12,0))</f>
        <v>#N/A</v>
      </c>
      <c r="AC157" s="160">
        <v>145</v>
      </c>
      <c r="AD157" s="163" t="e">
        <f ca="1">_xlfn.XLOOKUP(OFFSET($C$12,$I157,MATCH($AD$11,$D$12:$G$12,0)),主线推图!$B$313:$B$612,主线推图!$P$313:$P$612)*OFFSET($C$1,MATCH(AD$12,$C$2:$C$7,0),MATCH($AD$11,$D$12:$G$12,0))</f>
        <v>#N/A</v>
      </c>
      <c r="AE157" s="163" t="e">
        <f ca="1">_xlfn.XLOOKUP(OFFSET($C$12,$I157,MATCH($AD$11,$D$12:$G$12,0)),巡逻产出!$B$311:$B$610,巡逻产出!$R$311:$R$610)*OFFSET($C$1,MATCH(AE$12,$C$2:$C$7,0),MATCH($AD$11,$D$12:$G$12,0))</f>
        <v>#N/A</v>
      </c>
      <c r="AF157" s="163" t="e">
        <f ca="1">_xlfn.XLOOKUP(MAX(INT((OFFSET($C$12,$I157,MATCH($AD$11,$D$12:$G$12,0))-6)/10),1),组队产出!$B$25:$B$39,组队产出!$P$25:$P$39)*OFFSET($C$1,MATCH(AF$12,$C$2:$C$7,0),MATCH($AD$11,$D$12:$G$12,0))</f>
        <v>#N/A</v>
      </c>
      <c r="AG157" s="163">
        <f ca="1">竞技场!$G$3*OFFSET($C$1,MATCH(AG$12,$C$2:$C$7,0),MATCH($AD$11,$D$12:$G$12,0))</f>
        <v>3150</v>
      </c>
      <c r="AH15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7" s="23">
        <f>任务!$G$6+任务!$G$9+IF(MOD(AC157,7)=0,任务!$N$9+任务!$O$6,0)</f>
        <v>895</v>
      </c>
      <c r="AJ157" s="25">
        <f>公会!$U$11</f>
        <v>2766.62857142857</v>
      </c>
      <c r="AK157" s="163" t="e">
        <f ca="1">_xlfn.XLOOKUP(OFFSET($C$12,$I157,MATCH($AD$11,$D$12:$G$12,0)),巡逻产出!$B$311:$B$610,巡逻产出!$Q$311:$Q$610)*OFFSET($C$1,MATCH(AK$12,$C$2:$C$7,0),MATCH($AD$11,$D$12:$G$12,0))</f>
        <v>#N/A</v>
      </c>
      <c r="AM157" s="164">
        <v>145</v>
      </c>
      <c r="AN157" s="165">
        <f t="shared" si="20"/>
        <v>17159</v>
      </c>
      <c r="AO157" s="165">
        <f t="shared" si="21"/>
        <v>21481</v>
      </c>
      <c r="AP157" s="165">
        <f t="shared" si="22"/>
        <v>33960</v>
      </c>
      <c r="AQ157" s="165">
        <f t="shared" si="23"/>
        <v>44624</v>
      </c>
    </row>
    <row r="158" spans="3:43">
      <c r="C158" s="160">
        <v>146</v>
      </c>
      <c r="D158" s="169">
        <v>163</v>
      </c>
      <c r="E158" s="170">
        <f t="shared" si="18"/>
        <v>111.25</v>
      </c>
      <c r="F158" s="169">
        <f t="shared" si="19"/>
        <v>127.949999999999</v>
      </c>
      <c r="G158" s="163">
        <f t="shared" si="24"/>
        <v>196</v>
      </c>
      <c r="I158" s="160">
        <v>146</v>
      </c>
      <c r="J158" s="163" t="e">
        <f ca="1">_xlfn.XLOOKUP(OFFSET($C$12,$I158,MATCH($J$11,$D$12:$G$12,0)),主线推图!$B$313:$B$612,主线推图!$P$313:$P$612)*OFFSET($C$1,MATCH(J$12,$C$2:$C$7,0),MATCH($J$11,$D$12:$G$12,0))</f>
        <v>#N/A</v>
      </c>
      <c r="K158" s="163" t="e">
        <f ca="1">_xlfn.XLOOKUP(OFFSET($C$12,$I158,MATCH($J$11,$D$12:$G$12,0)),巡逻产出!$B$311:$B$610,巡逻产出!$R$311:$R$610)*OFFSET($C$1,MATCH(K$12,$C$2:$C$7,0),MATCH($J$11,$D$12:$G$12,0))</f>
        <v>#N/A</v>
      </c>
      <c r="L158" s="163">
        <f ca="1">_xlfn.XLOOKUP(MAX(INT((OFFSET($C$12,$I158,MATCH($J$11,$D$12:$G$12,0))-6)/10),1),组队产出!$B$25:$B$39,组队产出!$P$25:$P$39)*OFFSET($C$1,MATCH(L$12,$C$2:$C$7,0),MATCH($J$11,$D$12:$G$12,0))</f>
        <v>1118.4</v>
      </c>
      <c r="M158" s="163">
        <f ca="1">竞技场!$G$3*OFFSET($C$1,MATCH(M$12,$C$2:$C$7,0),MATCH($J$11,$D$12:$G$12,0))</f>
        <v>1050</v>
      </c>
      <c r="N15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8" s="23">
        <f>任务!$G$6+任务!$G$9+IF(MOD(I158,7)=0,任务!$N$9+任务!$O$6,0)</f>
        <v>895</v>
      </c>
      <c r="P158" s="25">
        <f>公会!$U$11</f>
        <v>2766.62857142857</v>
      </c>
      <c r="Q158" s="163" t="e">
        <f ca="1">_xlfn.XLOOKUP(OFFSET($C$12,$I158,MATCH($J$11,$D$12:$G$12,0)),巡逻产出!$B$311:$B$610,巡逻产出!$Q$311:$Q$610)*OFFSET($C$1,MATCH(Q$12,$C$2:$C$7,0),MATCH($J$11,$D$12:$G$12,0))</f>
        <v>#N/A</v>
      </c>
      <c r="S158" s="160">
        <v>146</v>
      </c>
      <c r="T158" s="163" t="e">
        <f ca="1">_xlfn.XLOOKUP(OFFSET($C$12,$I158,MATCH($T$11,$D$12:$G$12,0)),主线推图!$B$313:$B$612,主线推图!$P$313:$P$612)*OFFSET($C$1,MATCH(T$12,$C$2:$C$7,0),MATCH($T$11,$D$12:$G$12,0))</f>
        <v>#N/A</v>
      </c>
      <c r="U158" s="163" t="e">
        <f ca="1">_xlfn.XLOOKUP(OFFSET($C$12,$I158,MATCH($T$11,$D$12:$G$12,0)),巡逻产出!$B$311:$B$610,巡逻产出!$R$311:$R$610)*OFFSET($C$1,MATCH(U$12,$C$2:$C$7,0),MATCH($T$11,$D$12:$G$12,0))</f>
        <v>#N/A</v>
      </c>
      <c r="V158" s="163">
        <f ca="1">_xlfn.XLOOKUP(MAX(INT((OFFSET($C$12,$I158,MATCH($T$11,$D$12:$G$12,0))-6)/10),1),组队产出!$B$25:$B$39,组队产出!$P$25:$P$39)*OFFSET($C$1,MATCH(V$12,$C$2:$C$7,0),MATCH($T$11,$D$12:$G$12,0))</f>
        <v>2284.8</v>
      </c>
      <c r="W158" s="163">
        <f ca="1">竞技场!$G$3*OFFSET($C$1,MATCH(W$12,$C$2:$C$7,0),MATCH($T$11,$D$12:$G$12,0))</f>
        <v>2100</v>
      </c>
      <c r="X15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8" s="23">
        <f>任务!$G$6+任务!$G$9+IF(MOD(S158,7)=0,任务!$N$9+任务!$O$6,0)</f>
        <v>895</v>
      </c>
      <c r="Z158" s="25">
        <f>公会!$U$11</f>
        <v>2766.62857142857</v>
      </c>
      <c r="AA158" s="163" t="e">
        <f ca="1">_xlfn.XLOOKUP(OFFSET($C$12,$I158,MATCH($T$11,$D$12:$G$12,0)),巡逻产出!$B$311:$B$610,巡逻产出!$Q$311:$Q$610)*OFFSET($C$1,MATCH(AA$12,$C$2:$C$7,0),MATCH($T$11,$D$12:$G$12,0))</f>
        <v>#N/A</v>
      </c>
      <c r="AC158" s="160">
        <v>146</v>
      </c>
      <c r="AD158" s="163">
        <f ca="1">_xlfn.XLOOKUP(OFFSET($C$12,$I158,MATCH($AD$11,$D$12:$G$12,0)),主线推图!$B$313:$B$612,主线推图!$P$313:$P$612)*OFFSET($C$1,MATCH(AD$12,$C$2:$C$7,0),MATCH($AD$11,$D$12:$G$12,0))</f>
        <v>3377</v>
      </c>
      <c r="AE158" s="163">
        <f ca="1">_xlfn.XLOOKUP(OFFSET($C$12,$I158,MATCH($AD$11,$D$12:$G$12,0)),巡逻产出!$B$311:$B$610,巡逻产出!$R$311:$R$610)*OFFSET($C$1,MATCH(AE$12,$C$2:$C$7,0),MATCH($AD$11,$D$12:$G$12,0))</f>
        <v>0</v>
      </c>
      <c r="AF158" s="163" t="e">
        <f ca="1">_xlfn.XLOOKUP(MAX(INT((OFFSET($C$12,$I158,MATCH($AD$11,$D$12:$G$12,0))-6)/10),1),组队产出!$B$25:$B$39,组队产出!$P$25:$P$39)*OFFSET($C$1,MATCH(AF$12,$C$2:$C$7,0),MATCH($AD$11,$D$12:$G$12,0))</f>
        <v>#N/A</v>
      </c>
      <c r="AG158" s="163">
        <f ca="1">竞技场!$G$3*OFFSET($C$1,MATCH(AG$12,$C$2:$C$7,0),MATCH($AD$11,$D$12:$G$12,0))</f>
        <v>3150</v>
      </c>
      <c r="AH15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8" s="23">
        <f>任务!$G$6+任务!$G$9+IF(MOD(AC158,7)=0,任务!$N$9+任务!$O$6,0)</f>
        <v>895</v>
      </c>
      <c r="AJ158" s="25">
        <f>公会!$U$11</f>
        <v>2766.62857142857</v>
      </c>
      <c r="AK158" s="163">
        <f ca="1">_xlfn.XLOOKUP(OFFSET($C$12,$I158,MATCH($AD$11,$D$12:$G$12,0)),巡逻产出!$B$311:$B$610,巡逻产出!$Q$311:$Q$610)*OFFSET($C$1,MATCH(AK$12,$C$2:$C$7,0),MATCH($AD$11,$D$12:$G$12,0))</f>
        <v>2336.568</v>
      </c>
      <c r="AM158" s="164">
        <v>146</v>
      </c>
      <c r="AN158" s="165">
        <f t="shared" si="20"/>
        <v>17272</v>
      </c>
      <c r="AO158" s="165">
        <f t="shared" si="21"/>
        <v>21624</v>
      </c>
      <c r="AP158" s="165">
        <f t="shared" si="22"/>
        <v>34188</v>
      </c>
      <c r="AQ158" s="165">
        <f t="shared" si="23"/>
        <v>44926</v>
      </c>
    </row>
    <row r="159" spans="3:43">
      <c r="C159" s="160">
        <v>147</v>
      </c>
      <c r="D159" s="169">
        <v>163</v>
      </c>
      <c r="E159" s="170">
        <f t="shared" si="18"/>
        <v>111.5</v>
      </c>
      <c r="F159" s="169">
        <f t="shared" si="19"/>
        <v>128.299999999999</v>
      </c>
      <c r="G159" s="163">
        <f t="shared" si="24"/>
        <v>196.5</v>
      </c>
      <c r="I159" s="160">
        <v>147</v>
      </c>
      <c r="J159" s="163" t="e">
        <f ca="1">_xlfn.XLOOKUP(OFFSET($C$12,$I159,MATCH($J$11,$D$12:$G$12,0)),主线推图!$B$313:$B$612,主线推图!$P$313:$P$612)*OFFSET($C$1,MATCH(J$12,$C$2:$C$7,0),MATCH($J$11,$D$12:$G$12,0))</f>
        <v>#N/A</v>
      </c>
      <c r="K159" s="163" t="e">
        <f ca="1">_xlfn.XLOOKUP(OFFSET($C$12,$I159,MATCH($J$11,$D$12:$G$12,0)),巡逻产出!$B$311:$B$610,巡逻产出!$R$311:$R$610)*OFFSET($C$1,MATCH(K$12,$C$2:$C$7,0),MATCH($J$11,$D$12:$G$12,0))</f>
        <v>#N/A</v>
      </c>
      <c r="L159" s="163">
        <f ca="1">_xlfn.XLOOKUP(MAX(INT((OFFSET($C$12,$I159,MATCH($J$11,$D$12:$G$12,0))-6)/10),1),组队产出!$B$25:$B$39,组队产出!$P$25:$P$39)*OFFSET($C$1,MATCH(L$12,$C$2:$C$7,0),MATCH($J$11,$D$12:$G$12,0))</f>
        <v>1118.4</v>
      </c>
      <c r="M159" s="163">
        <f ca="1">竞技场!$G$3*OFFSET($C$1,MATCH(M$12,$C$2:$C$7,0),MATCH($J$11,$D$12:$G$12,0))</f>
        <v>1050</v>
      </c>
      <c r="N15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9" s="23">
        <f>任务!$G$6+任务!$G$9+IF(MOD(I159,7)=0,任务!$N$9+任务!$O$6,0)</f>
        <v>3125</v>
      </c>
      <c r="P159" s="25">
        <f>公会!$U$11</f>
        <v>2766.62857142857</v>
      </c>
      <c r="Q159" s="163" t="e">
        <f ca="1">_xlfn.XLOOKUP(OFFSET($C$12,$I159,MATCH($J$11,$D$12:$G$12,0)),巡逻产出!$B$311:$B$610,巡逻产出!$Q$311:$Q$610)*OFFSET($C$1,MATCH(Q$12,$C$2:$C$7,0),MATCH($J$11,$D$12:$G$12,0))</f>
        <v>#N/A</v>
      </c>
      <c r="S159" s="160">
        <v>147</v>
      </c>
      <c r="T159" s="163" t="e">
        <f ca="1">_xlfn.XLOOKUP(OFFSET($C$12,$I159,MATCH($T$11,$D$12:$G$12,0)),主线推图!$B$313:$B$612,主线推图!$P$313:$P$612)*OFFSET($C$1,MATCH(T$12,$C$2:$C$7,0),MATCH($T$11,$D$12:$G$12,0))</f>
        <v>#N/A</v>
      </c>
      <c r="U159" s="163" t="e">
        <f ca="1">_xlfn.XLOOKUP(OFFSET($C$12,$I159,MATCH($T$11,$D$12:$G$12,0)),巡逻产出!$B$311:$B$610,巡逻产出!$R$311:$R$610)*OFFSET($C$1,MATCH(U$12,$C$2:$C$7,0),MATCH($T$11,$D$12:$G$12,0))</f>
        <v>#N/A</v>
      </c>
      <c r="V159" s="163">
        <f ca="1">_xlfn.XLOOKUP(MAX(INT((OFFSET($C$12,$I159,MATCH($T$11,$D$12:$G$12,0))-6)/10),1),组队产出!$B$25:$B$39,组队产出!$P$25:$P$39)*OFFSET($C$1,MATCH(V$12,$C$2:$C$7,0),MATCH($T$11,$D$12:$G$12,0))</f>
        <v>2284.8</v>
      </c>
      <c r="W159" s="163">
        <f ca="1">竞技场!$G$3*OFFSET($C$1,MATCH(W$12,$C$2:$C$7,0),MATCH($T$11,$D$12:$G$12,0))</f>
        <v>2100</v>
      </c>
      <c r="X15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9" s="23">
        <f>任务!$G$6+任务!$G$9+IF(MOD(S159,7)=0,任务!$N$9+任务!$O$6,0)</f>
        <v>3125</v>
      </c>
      <c r="Z159" s="25">
        <f>公会!$U$11</f>
        <v>2766.62857142857</v>
      </c>
      <c r="AA159" s="163" t="e">
        <f ca="1">_xlfn.XLOOKUP(OFFSET($C$12,$I159,MATCH($T$11,$D$12:$G$12,0)),巡逻产出!$B$311:$B$610,巡逻产出!$Q$311:$Q$610)*OFFSET($C$1,MATCH(AA$12,$C$2:$C$7,0),MATCH($T$11,$D$12:$G$12,0))</f>
        <v>#N/A</v>
      </c>
      <c r="AC159" s="160">
        <v>147</v>
      </c>
      <c r="AD159" s="163" t="e">
        <f ca="1">_xlfn.XLOOKUP(OFFSET($C$12,$I159,MATCH($AD$11,$D$12:$G$12,0)),主线推图!$B$313:$B$612,主线推图!$P$313:$P$612)*OFFSET($C$1,MATCH(AD$12,$C$2:$C$7,0),MATCH($AD$11,$D$12:$G$12,0))</f>
        <v>#N/A</v>
      </c>
      <c r="AE159" s="163" t="e">
        <f ca="1">_xlfn.XLOOKUP(OFFSET($C$12,$I159,MATCH($AD$11,$D$12:$G$12,0)),巡逻产出!$B$311:$B$610,巡逻产出!$R$311:$R$610)*OFFSET($C$1,MATCH(AE$12,$C$2:$C$7,0),MATCH($AD$11,$D$12:$G$12,0))</f>
        <v>#N/A</v>
      </c>
      <c r="AF159" s="163" t="e">
        <f ca="1">_xlfn.XLOOKUP(MAX(INT((OFFSET($C$12,$I159,MATCH($AD$11,$D$12:$G$12,0))-6)/10),1),组队产出!$B$25:$B$39,组队产出!$P$25:$P$39)*OFFSET($C$1,MATCH(AF$12,$C$2:$C$7,0),MATCH($AD$11,$D$12:$G$12,0))</f>
        <v>#N/A</v>
      </c>
      <c r="AG159" s="163">
        <f ca="1">竞技场!$G$3*OFFSET($C$1,MATCH(AG$12,$C$2:$C$7,0),MATCH($AD$11,$D$12:$G$12,0))</f>
        <v>3150</v>
      </c>
      <c r="AH15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9" s="23">
        <f>任务!$G$6+任务!$G$9+IF(MOD(AC159,7)=0,任务!$N$9+任务!$O$6,0)</f>
        <v>3125</v>
      </c>
      <c r="AJ159" s="25">
        <f>公会!$U$11</f>
        <v>2766.62857142857</v>
      </c>
      <c r="AK159" s="163" t="e">
        <f ca="1">_xlfn.XLOOKUP(OFFSET($C$12,$I159,MATCH($AD$11,$D$12:$G$12,0)),巡逻产出!$B$311:$B$610,巡逻产出!$Q$311:$Q$610)*OFFSET($C$1,MATCH(AK$12,$C$2:$C$7,0),MATCH($AD$11,$D$12:$G$12,0))</f>
        <v>#N/A</v>
      </c>
      <c r="AM159" s="164">
        <v>147</v>
      </c>
      <c r="AN159" s="165">
        <f t="shared" si="20"/>
        <v>17386</v>
      </c>
      <c r="AO159" s="165">
        <f t="shared" si="21"/>
        <v>21767</v>
      </c>
      <c r="AP159" s="165">
        <f t="shared" si="22"/>
        <v>34417</v>
      </c>
      <c r="AQ159" s="165">
        <f t="shared" si="23"/>
        <v>45228</v>
      </c>
    </row>
    <row r="160" spans="3:43">
      <c r="C160" s="160">
        <v>148</v>
      </c>
      <c r="D160" s="169">
        <v>163</v>
      </c>
      <c r="E160" s="170">
        <f t="shared" si="18"/>
        <v>111.75</v>
      </c>
      <c r="F160" s="169">
        <f t="shared" si="19"/>
        <v>128.649999999999</v>
      </c>
      <c r="G160" s="163">
        <f t="shared" si="24"/>
        <v>197</v>
      </c>
      <c r="I160" s="160">
        <v>148</v>
      </c>
      <c r="J160" s="163" t="e">
        <f ca="1">_xlfn.XLOOKUP(OFFSET($C$12,$I160,MATCH($J$11,$D$12:$G$12,0)),主线推图!$B$313:$B$612,主线推图!$P$313:$P$612)*OFFSET($C$1,MATCH(J$12,$C$2:$C$7,0),MATCH($J$11,$D$12:$G$12,0))</f>
        <v>#N/A</v>
      </c>
      <c r="K160" s="163" t="e">
        <f ca="1">_xlfn.XLOOKUP(OFFSET($C$12,$I160,MATCH($J$11,$D$12:$G$12,0)),巡逻产出!$B$311:$B$610,巡逻产出!$R$311:$R$610)*OFFSET($C$1,MATCH(K$12,$C$2:$C$7,0),MATCH($J$11,$D$12:$G$12,0))</f>
        <v>#N/A</v>
      </c>
      <c r="L160" s="163">
        <f ca="1">_xlfn.XLOOKUP(MAX(INT((OFFSET($C$12,$I160,MATCH($J$11,$D$12:$G$12,0))-6)/10),1),组队产出!$B$25:$B$39,组队产出!$P$25:$P$39)*OFFSET($C$1,MATCH(L$12,$C$2:$C$7,0),MATCH($J$11,$D$12:$G$12,0))</f>
        <v>1118.4</v>
      </c>
      <c r="M160" s="163">
        <f ca="1">竞技场!$G$3*OFFSET($C$1,MATCH(M$12,$C$2:$C$7,0),MATCH($J$11,$D$12:$G$12,0))</f>
        <v>1050</v>
      </c>
      <c r="N16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0" s="23">
        <f>任务!$G$6+任务!$G$9+IF(MOD(I160,7)=0,任务!$N$9+任务!$O$6,0)</f>
        <v>895</v>
      </c>
      <c r="P160" s="25">
        <f>公会!$U$11</f>
        <v>2766.62857142857</v>
      </c>
      <c r="Q160" s="163" t="e">
        <f ca="1">_xlfn.XLOOKUP(OFFSET($C$12,$I160,MATCH($J$11,$D$12:$G$12,0)),巡逻产出!$B$311:$B$610,巡逻产出!$Q$311:$Q$610)*OFFSET($C$1,MATCH(Q$12,$C$2:$C$7,0),MATCH($J$11,$D$12:$G$12,0))</f>
        <v>#N/A</v>
      </c>
      <c r="S160" s="160">
        <v>148</v>
      </c>
      <c r="T160" s="163" t="e">
        <f ca="1">_xlfn.XLOOKUP(OFFSET($C$12,$I160,MATCH($T$11,$D$12:$G$12,0)),主线推图!$B$313:$B$612,主线推图!$P$313:$P$612)*OFFSET($C$1,MATCH(T$12,$C$2:$C$7,0),MATCH($T$11,$D$12:$G$12,0))</f>
        <v>#N/A</v>
      </c>
      <c r="U160" s="163" t="e">
        <f ca="1">_xlfn.XLOOKUP(OFFSET($C$12,$I160,MATCH($T$11,$D$12:$G$12,0)),巡逻产出!$B$311:$B$610,巡逻产出!$R$311:$R$610)*OFFSET($C$1,MATCH(U$12,$C$2:$C$7,0),MATCH($T$11,$D$12:$G$12,0))</f>
        <v>#N/A</v>
      </c>
      <c r="V160" s="163">
        <f ca="1">_xlfn.XLOOKUP(MAX(INT((OFFSET($C$12,$I160,MATCH($T$11,$D$12:$G$12,0))-6)/10),1),组队产出!$B$25:$B$39,组队产出!$P$25:$P$39)*OFFSET($C$1,MATCH(V$12,$C$2:$C$7,0),MATCH($T$11,$D$12:$G$12,0))</f>
        <v>2284.8</v>
      </c>
      <c r="W160" s="163">
        <f ca="1">竞技场!$G$3*OFFSET($C$1,MATCH(W$12,$C$2:$C$7,0),MATCH($T$11,$D$12:$G$12,0))</f>
        <v>2100</v>
      </c>
      <c r="X16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0" s="23">
        <f>任务!$G$6+任务!$G$9+IF(MOD(S160,7)=0,任务!$N$9+任务!$O$6,0)</f>
        <v>895</v>
      </c>
      <c r="Z160" s="25">
        <f>公会!$U$11</f>
        <v>2766.62857142857</v>
      </c>
      <c r="AA160" s="163" t="e">
        <f ca="1">_xlfn.XLOOKUP(OFFSET($C$12,$I160,MATCH($T$11,$D$12:$G$12,0)),巡逻产出!$B$311:$B$610,巡逻产出!$Q$311:$Q$610)*OFFSET($C$1,MATCH(AA$12,$C$2:$C$7,0),MATCH($T$11,$D$12:$G$12,0))</f>
        <v>#N/A</v>
      </c>
      <c r="AC160" s="160">
        <v>148</v>
      </c>
      <c r="AD160" s="163">
        <f ca="1">_xlfn.XLOOKUP(OFFSET($C$12,$I160,MATCH($AD$11,$D$12:$G$12,0)),主线推图!$B$313:$B$612,主线推图!$P$313:$P$612)*OFFSET($C$1,MATCH(AD$12,$C$2:$C$7,0),MATCH($AD$11,$D$12:$G$12,0))</f>
        <v>3379.2</v>
      </c>
      <c r="AE160" s="163">
        <f ca="1">_xlfn.XLOOKUP(OFFSET($C$12,$I160,MATCH($AD$11,$D$12:$G$12,0)),巡逻产出!$B$311:$B$610,巡逻产出!$R$311:$R$610)*OFFSET($C$1,MATCH(AE$12,$C$2:$C$7,0),MATCH($AD$11,$D$12:$G$12,0))</f>
        <v>0</v>
      </c>
      <c r="AF160" s="163" t="e">
        <f ca="1">_xlfn.XLOOKUP(MAX(INT((OFFSET($C$12,$I160,MATCH($AD$11,$D$12:$G$12,0))-6)/10),1),组队产出!$B$25:$B$39,组队产出!$P$25:$P$39)*OFFSET($C$1,MATCH(AF$12,$C$2:$C$7,0),MATCH($AD$11,$D$12:$G$12,0))</f>
        <v>#N/A</v>
      </c>
      <c r="AG160" s="163">
        <f ca="1">竞技场!$G$3*OFFSET($C$1,MATCH(AG$12,$C$2:$C$7,0),MATCH($AD$11,$D$12:$G$12,0))</f>
        <v>3150</v>
      </c>
      <c r="AH16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0" s="23">
        <f>任务!$G$6+任务!$G$9+IF(MOD(AC160,7)=0,任务!$N$9+任务!$O$6,0)</f>
        <v>895</v>
      </c>
      <c r="AJ160" s="25">
        <f>公会!$U$11</f>
        <v>2766.62857142857</v>
      </c>
      <c r="AK160" s="163">
        <f ca="1">_xlfn.XLOOKUP(OFFSET($C$12,$I160,MATCH($AD$11,$D$12:$G$12,0)),巡逻产出!$B$311:$B$610,巡逻产出!$Q$311:$Q$610)*OFFSET($C$1,MATCH(AK$12,$C$2:$C$7,0),MATCH($AD$11,$D$12:$G$12,0))</f>
        <v>2338.128</v>
      </c>
      <c r="AM160" s="164">
        <v>148</v>
      </c>
      <c r="AN160" s="165">
        <f t="shared" si="20"/>
        <v>17499</v>
      </c>
      <c r="AO160" s="165">
        <f t="shared" si="21"/>
        <v>21910</v>
      </c>
      <c r="AP160" s="165">
        <f t="shared" si="22"/>
        <v>34645</v>
      </c>
      <c r="AQ160" s="165">
        <f t="shared" si="23"/>
        <v>45530</v>
      </c>
    </row>
    <row r="161" spans="3:43">
      <c r="C161" s="160">
        <v>149</v>
      </c>
      <c r="D161" s="169">
        <v>163</v>
      </c>
      <c r="E161" s="170">
        <f t="shared" si="18"/>
        <v>112</v>
      </c>
      <c r="F161" s="169">
        <f t="shared" si="19"/>
        <v>128.999999999999</v>
      </c>
      <c r="G161" s="163">
        <f t="shared" si="24"/>
        <v>197.5</v>
      </c>
      <c r="I161" s="160">
        <v>149</v>
      </c>
      <c r="J161" s="163" t="e">
        <f ca="1">_xlfn.XLOOKUP(OFFSET($C$12,$I161,MATCH($J$11,$D$12:$G$12,0)),主线推图!$B$313:$B$612,主线推图!$P$313:$P$612)*OFFSET($C$1,MATCH(J$12,$C$2:$C$7,0),MATCH($J$11,$D$12:$G$12,0))</f>
        <v>#N/A</v>
      </c>
      <c r="K161" s="163" t="e">
        <f ca="1">_xlfn.XLOOKUP(OFFSET($C$12,$I161,MATCH($J$11,$D$12:$G$12,0)),巡逻产出!$B$311:$B$610,巡逻产出!$R$311:$R$610)*OFFSET($C$1,MATCH(K$12,$C$2:$C$7,0),MATCH($J$11,$D$12:$G$12,0))</f>
        <v>#N/A</v>
      </c>
      <c r="L161" s="163">
        <f ca="1">_xlfn.XLOOKUP(MAX(INT((OFFSET($C$12,$I161,MATCH($J$11,$D$12:$G$12,0))-6)/10),1),组队产出!$B$25:$B$39,组队产出!$P$25:$P$39)*OFFSET($C$1,MATCH(L$12,$C$2:$C$7,0),MATCH($J$11,$D$12:$G$12,0))</f>
        <v>1118.4</v>
      </c>
      <c r="M161" s="163">
        <f ca="1">竞技场!$G$3*OFFSET($C$1,MATCH(M$12,$C$2:$C$7,0),MATCH($J$11,$D$12:$G$12,0))</f>
        <v>1050</v>
      </c>
      <c r="N16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1" s="23">
        <f>任务!$G$6+任务!$G$9+IF(MOD(I161,7)=0,任务!$N$9+任务!$O$6,0)</f>
        <v>895</v>
      </c>
      <c r="P161" s="25">
        <f>公会!$U$11</f>
        <v>2766.62857142857</v>
      </c>
      <c r="Q161" s="163" t="e">
        <f ca="1">_xlfn.XLOOKUP(OFFSET($C$12,$I161,MATCH($J$11,$D$12:$G$12,0)),巡逻产出!$B$311:$B$610,巡逻产出!$Q$311:$Q$610)*OFFSET($C$1,MATCH(Q$12,$C$2:$C$7,0),MATCH($J$11,$D$12:$G$12,0))</f>
        <v>#N/A</v>
      </c>
      <c r="S161" s="160">
        <v>149</v>
      </c>
      <c r="T161" s="163" t="e">
        <f ca="1">_xlfn.XLOOKUP(OFFSET($C$12,$I161,MATCH($T$11,$D$12:$G$12,0)),主线推图!$B$313:$B$612,主线推图!$P$313:$P$612)*OFFSET($C$1,MATCH(T$12,$C$2:$C$7,0),MATCH($T$11,$D$12:$G$12,0))</f>
        <v>#N/A</v>
      </c>
      <c r="U161" s="163" t="e">
        <f ca="1">_xlfn.XLOOKUP(OFFSET($C$12,$I161,MATCH($T$11,$D$12:$G$12,0)),巡逻产出!$B$311:$B$610,巡逻产出!$R$311:$R$610)*OFFSET($C$1,MATCH(U$12,$C$2:$C$7,0),MATCH($T$11,$D$12:$G$12,0))</f>
        <v>#N/A</v>
      </c>
      <c r="V161" s="163">
        <f ca="1">_xlfn.XLOOKUP(MAX(INT((OFFSET($C$12,$I161,MATCH($T$11,$D$12:$G$12,0))-6)/10),1),组队产出!$B$25:$B$39,组队产出!$P$25:$P$39)*OFFSET($C$1,MATCH(V$12,$C$2:$C$7,0),MATCH($T$11,$D$12:$G$12,0))</f>
        <v>2284.8</v>
      </c>
      <c r="W161" s="163">
        <f ca="1">竞技场!$G$3*OFFSET($C$1,MATCH(W$12,$C$2:$C$7,0),MATCH($T$11,$D$12:$G$12,0))</f>
        <v>2100</v>
      </c>
      <c r="X16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1" s="23">
        <f>任务!$G$6+任务!$G$9+IF(MOD(S161,7)=0,任务!$N$9+任务!$O$6,0)</f>
        <v>895</v>
      </c>
      <c r="Z161" s="25">
        <f>公会!$U$11</f>
        <v>2766.62857142857</v>
      </c>
      <c r="AA161" s="163" t="e">
        <f ca="1">_xlfn.XLOOKUP(OFFSET($C$12,$I161,MATCH($T$11,$D$12:$G$12,0)),巡逻产出!$B$311:$B$610,巡逻产出!$Q$311:$Q$610)*OFFSET($C$1,MATCH(AA$12,$C$2:$C$7,0),MATCH($T$11,$D$12:$G$12,0))</f>
        <v>#N/A</v>
      </c>
      <c r="AC161" s="160">
        <v>149</v>
      </c>
      <c r="AD161" s="163" t="e">
        <f ca="1">_xlfn.XLOOKUP(OFFSET($C$12,$I161,MATCH($AD$11,$D$12:$G$12,0)),主线推图!$B$313:$B$612,主线推图!$P$313:$P$612)*OFFSET($C$1,MATCH(AD$12,$C$2:$C$7,0),MATCH($AD$11,$D$12:$G$12,0))</f>
        <v>#N/A</v>
      </c>
      <c r="AE161" s="163" t="e">
        <f ca="1">_xlfn.XLOOKUP(OFFSET($C$12,$I161,MATCH($AD$11,$D$12:$G$12,0)),巡逻产出!$B$311:$B$610,巡逻产出!$R$311:$R$610)*OFFSET($C$1,MATCH(AE$12,$C$2:$C$7,0),MATCH($AD$11,$D$12:$G$12,0))</f>
        <v>#N/A</v>
      </c>
      <c r="AF161" s="163" t="e">
        <f ca="1">_xlfn.XLOOKUP(MAX(INT((OFFSET($C$12,$I161,MATCH($AD$11,$D$12:$G$12,0))-6)/10),1),组队产出!$B$25:$B$39,组队产出!$P$25:$P$39)*OFFSET($C$1,MATCH(AF$12,$C$2:$C$7,0),MATCH($AD$11,$D$12:$G$12,0))</f>
        <v>#N/A</v>
      </c>
      <c r="AG161" s="163">
        <f ca="1">竞技场!$G$3*OFFSET($C$1,MATCH(AG$12,$C$2:$C$7,0),MATCH($AD$11,$D$12:$G$12,0))</f>
        <v>3150</v>
      </c>
      <c r="AH16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1" s="23">
        <f>任务!$G$6+任务!$G$9+IF(MOD(AC161,7)=0,任务!$N$9+任务!$O$6,0)</f>
        <v>895</v>
      </c>
      <c r="AJ161" s="25">
        <f>公会!$U$11</f>
        <v>2766.62857142857</v>
      </c>
      <c r="AK161" s="163" t="e">
        <f ca="1">_xlfn.XLOOKUP(OFFSET($C$12,$I161,MATCH($AD$11,$D$12:$G$12,0)),巡逻产出!$B$311:$B$610,巡逻产出!$Q$311:$Q$610)*OFFSET($C$1,MATCH(AK$12,$C$2:$C$7,0),MATCH($AD$11,$D$12:$G$12,0))</f>
        <v>#N/A</v>
      </c>
      <c r="AM161" s="164">
        <v>149</v>
      </c>
      <c r="AN161" s="165">
        <f t="shared" si="20"/>
        <v>17613</v>
      </c>
      <c r="AO161" s="165">
        <f t="shared" si="21"/>
        <v>22053</v>
      </c>
      <c r="AP161" s="165">
        <f t="shared" si="22"/>
        <v>34874</v>
      </c>
      <c r="AQ161" s="165">
        <f t="shared" si="23"/>
        <v>45832</v>
      </c>
    </row>
    <row r="162" spans="3:43">
      <c r="C162" s="160">
        <v>150</v>
      </c>
      <c r="D162" s="169">
        <v>163</v>
      </c>
      <c r="E162" s="170">
        <f t="shared" si="18"/>
        <v>112.25</v>
      </c>
      <c r="F162" s="169">
        <f t="shared" si="19"/>
        <v>129.349999999999</v>
      </c>
      <c r="G162" s="163">
        <f t="shared" si="24"/>
        <v>198</v>
      </c>
      <c r="I162" s="160">
        <v>150</v>
      </c>
      <c r="J162" s="163" t="e">
        <f ca="1">_xlfn.XLOOKUP(OFFSET($C$12,$I162,MATCH($J$11,$D$12:$G$12,0)),主线推图!$B$313:$B$612,主线推图!$P$313:$P$612)*OFFSET($C$1,MATCH(J$12,$C$2:$C$7,0),MATCH($J$11,$D$12:$G$12,0))</f>
        <v>#N/A</v>
      </c>
      <c r="K162" s="163" t="e">
        <f ca="1">_xlfn.XLOOKUP(OFFSET($C$12,$I162,MATCH($J$11,$D$12:$G$12,0)),巡逻产出!$B$311:$B$610,巡逻产出!$R$311:$R$610)*OFFSET($C$1,MATCH(K$12,$C$2:$C$7,0),MATCH($J$11,$D$12:$G$12,0))</f>
        <v>#N/A</v>
      </c>
      <c r="L162" s="163">
        <f ca="1">_xlfn.XLOOKUP(MAX(INT((OFFSET($C$12,$I162,MATCH($J$11,$D$12:$G$12,0))-6)/10),1),组队产出!$B$25:$B$39,组队产出!$P$25:$P$39)*OFFSET($C$1,MATCH(L$12,$C$2:$C$7,0),MATCH($J$11,$D$12:$G$12,0))</f>
        <v>1118.4</v>
      </c>
      <c r="M162" s="163">
        <f ca="1">竞技场!$G$3*OFFSET($C$1,MATCH(M$12,$C$2:$C$7,0),MATCH($J$11,$D$12:$G$12,0))</f>
        <v>1050</v>
      </c>
      <c r="N16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2" s="23">
        <f>任务!$G$6+任务!$G$9+IF(MOD(I162,7)=0,任务!$N$9+任务!$O$6,0)</f>
        <v>895</v>
      </c>
      <c r="P162" s="25">
        <f>公会!$U$11</f>
        <v>2766.62857142857</v>
      </c>
      <c r="Q162" s="163" t="e">
        <f ca="1">_xlfn.XLOOKUP(OFFSET($C$12,$I162,MATCH($J$11,$D$12:$G$12,0)),巡逻产出!$B$311:$B$610,巡逻产出!$Q$311:$Q$610)*OFFSET($C$1,MATCH(Q$12,$C$2:$C$7,0),MATCH($J$11,$D$12:$G$12,0))</f>
        <v>#N/A</v>
      </c>
      <c r="S162" s="160">
        <v>150</v>
      </c>
      <c r="T162" s="163" t="e">
        <f ca="1">_xlfn.XLOOKUP(OFFSET($C$12,$I162,MATCH($T$11,$D$12:$G$12,0)),主线推图!$B$313:$B$612,主线推图!$P$313:$P$612)*OFFSET($C$1,MATCH(T$12,$C$2:$C$7,0),MATCH($T$11,$D$12:$G$12,0))</f>
        <v>#N/A</v>
      </c>
      <c r="U162" s="163" t="e">
        <f ca="1">_xlfn.XLOOKUP(OFFSET($C$12,$I162,MATCH($T$11,$D$12:$G$12,0)),巡逻产出!$B$311:$B$610,巡逻产出!$R$311:$R$610)*OFFSET($C$1,MATCH(U$12,$C$2:$C$7,0),MATCH($T$11,$D$12:$G$12,0))</f>
        <v>#N/A</v>
      </c>
      <c r="V162" s="163">
        <f ca="1">_xlfn.XLOOKUP(MAX(INT((OFFSET($C$12,$I162,MATCH($T$11,$D$12:$G$12,0))-6)/10),1),组队产出!$B$25:$B$39,组队产出!$P$25:$P$39)*OFFSET($C$1,MATCH(V$12,$C$2:$C$7,0),MATCH($T$11,$D$12:$G$12,0))</f>
        <v>2284.8</v>
      </c>
      <c r="W162" s="163">
        <f ca="1">竞技场!$G$3*OFFSET($C$1,MATCH(W$12,$C$2:$C$7,0),MATCH($T$11,$D$12:$G$12,0))</f>
        <v>2100</v>
      </c>
      <c r="X16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2" s="23">
        <f>任务!$G$6+任务!$G$9+IF(MOD(S162,7)=0,任务!$N$9+任务!$O$6,0)</f>
        <v>895</v>
      </c>
      <c r="Z162" s="25">
        <f>公会!$U$11</f>
        <v>2766.62857142857</v>
      </c>
      <c r="AA162" s="163" t="e">
        <f ca="1">_xlfn.XLOOKUP(OFFSET($C$12,$I162,MATCH($T$11,$D$12:$G$12,0)),巡逻产出!$B$311:$B$610,巡逻产出!$Q$311:$Q$610)*OFFSET($C$1,MATCH(AA$12,$C$2:$C$7,0),MATCH($T$11,$D$12:$G$12,0))</f>
        <v>#N/A</v>
      </c>
      <c r="AC162" s="160">
        <v>150</v>
      </c>
      <c r="AD162" s="163">
        <f ca="1">_xlfn.XLOOKUP(OFFSET($C$12,$I162,MATCH($AD$11,$D$12:$G$12,0)),主线推图!$B$313:$B$612,主线推图!$P$313:$P$612)*OFFSET($C$1,MATCH(AD$12,$C$2:$C$7,0),MATCH($AD$11,$D$12:$G$12,0))</f>
        <v>3381.4</v>
      </c>
      <c r="AE162" s="163">
        <f ca="1">_xlfn.XLOOKUP(OFFSET($C$12,$I162,MATCH($AD$11,$D$12:$G$12,0)),巡逻产出!$B$311:$B$610,巡逻产出!$R$311:$R$610)*OFFSET($C$1,MATCH(AE$12,$C$2:$C$7,0),MATCH($AD$11,$D$12:$G$12,0))</f>
        <v>0</v>
      </c>
      <c r="AF162" s="163" t="e">
        <f ca="1">_xlfn.XLOOKUP(MAX(INT((OFFSET($C$12,$I162,MATCH($AD$11,$D$12:$G$12,0))-6)/10),1),组队产出!$B$25:$B$39,组队产出!$P$25:$P$39)*OFFSET($C$1,MATCH(AF$12,$C$2:$C$7,0),MATCH($AD$11,$D$12:$G$12,0))</f>
        <v>#N/A</v>
      </c>
      <c r="AG162" s="163">
        <f ca="1">竞技场!$G$3*OFFSET($C$1,MATCH(AG$12,$C$2:$C$7,0),MATCH($AD$11,$D$12:$G$12,0))</f>
        <v>3150</v>
      </c>
      <c r="AH16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2" s="23">
        <f>任务!$G$6+任务!$G$9+IF(MOD(AC162,7)=0,任务!$N$9+任务!$O$6,0)</f>
        <v>895</v>
      </c>
      <c r="AJ162" s="25">
        <f>公会!$U$11</f>
        <v>2766.62857142857</v>
      </c>
      <c r="AK162" s="163">
        <f ca="1">_xlfn.XLOOKUP(OFFSET($C$12,$I162,MATCH($AD$11,$D$12:$G$12,0)),巡逻产出!$B$311:$B$610,巡逻产出!$Q$311:$Q$610)*OFFSET($C$1,MATCH(AK$12,$C$2:$C$7,0),MATCH($AD$11,$D$12:$G$12,0))</f>
        <v>2339.688</v>
      </c>
      <c r="AM162" s="164">
        <v>150</v>
      </c>
      <c r="AN162" s="165">
        <f t="shared" si="20"/>
        <v>17726</v>
      </c>
      <c r="AO162" s="165">
        <f t="shared" si="21"/>
        <v>22196</v>
      </c>
      <c r="AP162" s="165">
        <f t="shared" si="22"/>
        <v>35102</v>
      </c>
      <c r="AQ162" s="165">
        <f t="shared" si="23"/>
        <v>46134</v>
      </c>
    </row>
    <row r="163" spans="3:43">
      <c r="C163" s="160">
        <v>151</v>
      </c>
      <c r="D163" s="169">
        <v>164</v>
      </c>
      <c r="E163" s="170">
        <f t="shared" si="18"/>
        <v>112.5</v>
      </c>
      <c r="F163" s="169">
        <f t="shared" si="19"/>
        <v>129.699999999999</v>
      </c>
      <c r="G163" s="163">
        <f t="shared" si="24"/>
        <v>198.5</v>
      </c>
      <c r="I163" s="160">
        <v>151</v>
      </c>
      <c r="J163" s="163" t="e">
        <f ca="1">_xlfn.XLOOKUP(OFFSET($C$12,$I163,MATCH($J$11,$D$12:$G$12,0)),主线推图!$B$313:$B$612,主线推图!$P$313:$P$612)*OFFSET($C$1,MATCH(J$12,$C$2:$C$7,0),MATCH($J$11,$D$12:$G$12,0))</f>
        <v>#N/A</v>
      </c>
      <c r="K163" s="163" t="e">
        <f ca="1">_xlfn.XLOOKUP(OFFSET($C$12,$I163,MATCH($J$11,$D$12:$G$12,0)),巡逻产出!$B$311:$B$610,巡逻产出!$R$311:$R$610)*OFFSET($C$1,MATCH(K$12,$C$2:$C$7,0),MATCH($J$11,$D$12:$G$12,0))</f>
        <v>#N/A</v>
      </c>
      <c r="L163" s="163">
        <f ca="1">_xlfn.XLOOKUP(MAX(INT((OFFSET($C$12,$I163,MATCH($J$11,$D$12:$G$12,0))-6)/10),1),组队产出!$B$25:$B$39,组队产出!$P$25:$P$39)*OFFSET($C$1,MATCH(L$12,$C$2:$C$7,0),MATCH($J$11,$D$12:$G$12,0))</f>
        <v>1118.4</v>
      </c>
      <c r="M163" s="163">
        <f ca="1">竞技场!$G$3*OFFSET($C$1,MATCH(M$12,$C$2:$C$7,0),MATCH($J$11,$D$12:$G$12,0))</f>
        <v>1050</v>
      </c>
      <c r="N16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3" s="23">
        <f>任务!$G$6+任务!$G$9+IF(MOD(I163,7)=0,任务!$N$9+任务!$O$6,0)</f>
        <v>895</v>
      </c>
      <c r="P163" s="25">
        <f>公会!$U$11</f>
        <v>2766.62857142857</v>
      </c>
      <c r="Q163" s="163" t="e">
        <f ca="1">_xlfn.XLOOKUP(OFFSET($C$12,$I163,MATCH($J$11,$D$12:$G$12,0)),巡逻产出!$B$311:$B$610,巡逻产出!$Q$311:$Q$610)*OFFSET($C$1,MATCH(Q$12,$C$2:$C$7,0),MATCH($J$11,$D$12:$G$12,0))</f>
        <v>#N/A</v>
      </c>
      <c r="S163" s="160">
        <v>151</v>
      </c>
      <c r="T163" s="163" t="e">
        <f ca="1">_xlfn.XLOOKUP(OFFSET($C$12,$I163,MATCH($T$11,$D$12:$G$12,0)),主线推图!$B$313:$B$612,主线推图!$P$313:$P$612)*OFFSET($C$1,MATCH(T$12,$C$2:$C$7,0),MATCH($T$11,$D$12:$G$12,0))</f>
        <v>#N/A</v>
      </c>
      <c r="U163" s="163" t="e">
        <f ca="1">_xlfn.XLOOKUP(OFFSET($C$12,$I163,MATCH($T$11,$D$12:$G$12,0)),巡逻产出!$B$311:$B$610,巡逻产出!$R$311:$R$610)*OFFSET($C$1,MATCH(U$12,$C$2:$C$7,0),MATCH($T$11,$D$12:$G$12,0))</f>
        <v>#N/A</v>
      </c>
      <c r="V163" s="163">
        <f ca="1">_xlfn.XLOOKUP(MAX(INT((OFFSET($C$12,$I163,MATCH($T$11,$D$12:$G$12,0))-6)/10),1),组队产出!$B$25:$B$39,组队产出!$P$25:$P$39)*OFFSET($C$1,MATCH(V$12,$C$2:$C$7,0),MATCH($T$11,$D$12:$G$12,0))</f>
        <v>2284.8</v>
      </c>
      <c r="W163" s="163">
        <f ca="1">竞技场!$G$3*OFFSET($C$1,MATCH(W$12,$C$2:$C$7,0),MATCH($T$11,$D$12:$G$12,0))</f>
        <v>2100</v>
      </c>
      <c r="X16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3" s="23">
        <f>任务!$G$6+任务!$G$9+IF(MOD(S163,7)=0,任务!$N$9+任务!$O$6,0)</f>
        <v>895</v>
      </c>
      <c r="Z163" s="25">
        <f>公会!$U$11</f>
        <v>2766.62857142857</v>
      </c>
      <c r="AA163" s="163" t="e">
        <f ca="1">_xlfn.XLOOKUP(OFFSET($C$12,$I163,MATCH($T$11,$D$12:$G$12,0)),巡逻产出!$B$311:$B$610,巡逻产出!$Q$311:$Q$610)*OFFSET($C$1,MATCH(AA$12,$C$2:$C$7,0),MATCH($T$11,$D$12:$G$12,0))</f>
        <v>#N/A</v>
      </c>
      <c r="AC163" s="160">
        <v>151</v>
      </c>
      <c r="AD163" s="163" t="e">
        <f ca="1">_xlfn.XLOOKUP(OFFSET($C$12,$I163,MATCH($AD$11,$D$12:$G$12,0)),主线推图!$B$313:$B$612,主线推图!$P$313:$P$612)*OFFSET($C$1,MATCH(AD$12,$C$2:$C$7,0),MATCH($AD$11,$D$12:$G$12,0))</f>
        <v>#N/A</v>
      </c>
      <c r="AE163" s="163" t="e">
        <f ca="1">_xlfn.XLOOKUP(OFFSET($C$12,$I163,MATCH($AD$11,$D$12:$G$12,0)),巡逻产出!$B$311:$B$610,巡逻产出!$R$311:$R$610)*OFFSET($C$1,MATCH(AE$12,$C$2:$C$7,0),MATCH($AD$11,$D$12:$G$12,0))</f>
        <v>#N/A</v>
      </c>
      <c r="AF163" s="163" t="e">
        <f ca="1">_xlfn.XLOOKUP(MAX(INT((OFFSET($C$12,$I163,MATCH($AD$11,$D$12:$G$12,0))-6)/10),1),组队产出!$B$25:$B$39,组队产出!$P$25:$P$39)*OFFSET($C$1,MATCH(AF$12,$C$2:$C$7,0),MATCH($AD$11,$D$12:$G$12,0))</f>
        <v>#N/A</v>
      </c>
      <c r="AG163" s="163">
        <f ca="1">竞技场!$G$3*OFFSET($C$1,MATCH(AG$12,$C$2:$C$7,0),MATCH($AD$11,$D$12:$G$12,0))</f>
        <v>3150</v>
      </c>
      <c r="AH16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3" s="23">
        <f>任务!$G$6+任务!$G$9+IF(MOD(AC163,7)=0,任务!$N$9+任务!$O$6,0)</f>
        <v>895</v>
      </c>
      <c r="AJ163" s="25">
        <f>公会!$U$11</f>
        <v>2766.62857142857</v>
      </c>
      <c r="AK163" s="163" t="e">
        <f ca="1">_xlfn.XLOOKUP(OFFSET($C$12,$I163,MATCH($AD$11,$D$12:$G$12,0)),巡逻产出!$B$311:$B$610,巡逻产出!$Q$311:$Q$610)*OFFSET($C$1,MATCH(AK$12,$C$2:$C$7,0),MATCH($AD$11,$D$12:$G$12,0))</f>
        <v>#N/A</v>
      </c>
      <c r="AM163" s="164">
        <v>151</v>
      </c>
      <c r="AN163" s="165">
        <f t="shared" si="20"/>
        <v>17840</v>
      </c>
      <c r="AO163" s="165">
        <f t="shared" si="21"/>
        <v>22339</v>
      </c>
      <c r="AP163" s="165">
        <f t="shared" si="22"/>
        <v>35331</v>
      </c>
      <c r="AQ163" s="165">
        <f t="shared" si="23"/>
        <v>46436</v>
      </c>
    </row>
    <row r="164" spans="3:43">
      <c r="C164" s="160">
        <v>152</v>
      </c>
      <c r="D164" s="169">
        <v>164</v>
      </c>
      <c r="E164" s="170">
        <f t="shared" si="18"/>
        <v>112.75</v>
      </c>
      <c r="F164" s="169">
        <f t="shared" si="19"/>
        <v>130.049999999999</v>
      </c>
      <c r="G164" s="163">
        <f t="shared" si="24"/>
        <v>199</v>
      </c>
      <c r="I164" s="160">
        <v>152</v>
      </c>
      <c r="J164" s="163" t="e">
        <f ca="1">_xlfn.XLOOKUP(OFFSET($C$12,$I164,MATCH($J$11,$D$12:$G$12,0)),主线推图!$B$313:$B$612,主线推图!$P$313:$P$612)*OFFSET($C$1,MATCH(J$12,$C$2:$C$7,0),MATCH($J$11,$D$12:$G$12,0))</f>
        <v>#N/A</v>
      </c>
      <c r="K164" s="163" t="e">
        <f ca="1">_xlfn.XLOOKUP(OFFSET($C$12,$I164,MATCH($J$11,$D$12:$G$12,0)),巡逻产出!$B$311:$B$610,巡逻产出!$R$311:$R$610)*OFFSET($C$1,MATCH(K$12,$C$2:$C$7,0),MATCH($J$11,$D$12:$G$12,0))</f>
        <v>#N/A</v>
      </c>
      <c r="L164" s="163">
        <f ca="1">_xlfn.XLOOKUP(MAX(INT((OFFSET($C$12,$I164,MATCH($J$11,$D$12:$G$12,0))-6)/10),1),组队产出!$B$25:$B$39,组队产出!$P$25:$P$39)*OFFSET($C$1,MATCH(L$12,$C$2:$C$7,0),MATCH($J$11,$D$12:$G$12,0))</f>
        <v>1118.4</v>
      </c>
      <c r="M164" s="163">
        <f ca="1">竞技场!$G$3*OFFSET($C$1,MATCH(M$12,$C$2:$C$7,0),MATCH($J$11,$D$12:$G$12,0))</f>
        <v>1050</v>
      </c>
      <c r="N16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4" s="23">
        <f>任务!$G$6+任务!$G$9+IF(MOD(I164,7)=0,任务!$N$9+任务!$O$6,0)</f>
        <v>895</v>
      </c>
      <c r="P164" s="25">
        <f>公会!$U$11</f>
        <v>2766.62857142857</v>
      </c>
      <c r="Q164" s="163" t="e">
        <f ca="1">_xlfn.XLOOKUP(OFFSET($C$12,$I164,MATCH($J$11,$D$12:$G$12,0)),巡逻产出!$B$311:$B$610,巡逻产出!$Q$311:$Q$610)*OFFSET($C$1,MATCH(Q$12,$C$2:$C$7,0),MATCH($J$11,$D$12:$G$12,0))</f>
        <v>#N/A</v>
      </c>
      <c r="S164" s="160">
        <v>152</v>
      </c>
      <c r="T164" s="163" t="e">
        <f ca="1">_xlfn.XLOOKUP(OFFSET($C$12,$I164,MATCH($T$11,$D$12:$G$12,0)),主线推图!$B$313:$B$612,主线推图!$P$313:$P$612)*OFFSET($C$1,MATCH(T$12,$C$2:$C$7,0),MATCH($T$11,$D$12:$G$12,0))</f>
        <v>#N/A</v>
      </c>
      <c r="U164" s="163" t="e">
        <f ca="1">_xlfn.XLOOKUP(OFFSET($C$12,$I164,MATCH($T$11,$D$12:$G$12,0)),巡逻产出!$B$311:$B$610,巡逻产出!$R$311:$R$610)*OFFSET($C$1,MATCH(U$12,$C$2:$C$7,0),MATCH($T$11,$D$12:$G$12,0))</f>
        <v>#N/A</v>
      </c>
      <c r="V164" s="163">
        <f ca="1">_xlfn.XLOOKUP(MAX(INT((OFFSET($C$12,$I164,MATCH($T$11,$D$12:$G$12,0))-6)/10),1),组队产出!$B$25:$B$39,组队产出!$P$25:$P$39)*OFFSET($C$1,MATCH(V$12,$C$2:$C$7,0),MATCH($T$11,$D$12:$G$12,0))</f>
        <v>2284.8</v>
      </c>
      <c r="W164" s="163">
        <f ca="1">竞技场!$G$3*OFFSET($C$1,MATCH(W$12,$C$2:$C$7,0),MATCH($T$11,$D$12:$G$12,0))</f>
        <v>2100</v>
      </c>
      <c r="X16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4" s="23">
        <f>任务!$G$6+任务!$G$9+IF(MOD(S164,7)=0,任务!$N$9+任务!$O$6,0)</f>
        <v>895</v>
      </c>
      <c r="Z164" s="25">
        <f>公会!$U$11</f>
        <v>2766.62857142857</v>
      </c>
      <c r="AA164" s="163" t="e">
        <f ca="1">_xlfn.XLOOKUP(OFFSET($C$12,$I164,MATCH($T$11,$D$12:$G$12,0)),巡逻产出!$B$311:$B$610,巡逻产出!$Q$311:$Q$610)*OFFSET($C$1,MATCH(AA$12,$C$2:$C$7,0),MATCH($T$11,$D$12:$G$12,0))</f>
        <v>#N/A</v>
      </c>
      <c r="AC164" s="160">
        <v>152</v>
      </c>
      <c r="AD164" s="163">
        <f ca="1">_xlfn.XLOOKUP(OFFSET($C$12,$I164,MATCH($AD$11,$D$12:$G$12,0)),主线推图!$B$313:$B$612,主线推图!$P$313:$P$612)*OFFSET($C$1,MATCH(AD$12,$C$2:$C$7,0),MATCH($AD$11,$D$12:$G$12,0))</f>
        <v>3383.6</v>
      </c>
      <c r="AE164" s="163">
        <f ca="1">_xlfn.XLOOKUP(OFFSET($C$12,$I164,MATCH($AD$11,$D$12:$G$12,0)),巡逻产出!$B$311:$B$610,巡逻产出!$R$311:$R$610)*OFFSET($C$1,MATCH(AE$12,$C$2:$C$7,0),MATCH($AD$11,$D$12:$G$12,0))</f>
        <v>0</v>
      </c>
      <c r="AF164" s="163" t="e">
        <f ca="1">_xlfn.XLOOKUP(MAX(INT((OFFSET($C$12,$I164,MATCH($AD$11,$D$12:$G$12,0))-6)/10),1),组队产出!$B$25:$B$39,组队产出!$P$25:$P$39)*OFFSET($C$1,MATCH(AF$12,$C$2:$C$7,0),MATCH($AD$11,$D$12:$G$12,0))</f>
        <v>#N/A</v>
      </c>
      <c r="AG164" s="163">
        <f ca="1">竞技场!$G$3*OFFSET($C$1,MATCH(AG$12,$C$2:$C$7,0),MATCH($AD$11,$D$12:$G$12,0))</f>
        <v>3150</v>
      </c>
      <c r="AH16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4" s="23">
        <f>任务!$G$6+任务!$G$9+IF(MOD(AC164,7)=0,任务!$N$9+任务!$O$6,0)</f>
        <v>895</v>
      </c>
      <c r="AJ164" s="25">
        <f>公会!$U$11</f>
        <v>2766.62857142857</v>
      </c>
      <c r="AK164" s="163">
        <f ca="1">_xlfn.XLOOKUP(OFFSET($C$12,$I164,MATCH($AD$11,$D$12:$G$12,0)),巡逻产出!$B$311:$B$610,巡逻产出!$Q$311:$Q$610)*OFFSET($C$1,MATCH(AK$12,$C$2:$C$7,0),MATCH($AD$11,$D$12:$G$12,0))</f>
        <v>2341.248</v>
      </c>
      <c r="AM164" s="164">
        <v>152</v>
      </c>
      <c r="AN164" s="165">
        <f t="shared" si="20"/>
        <v>17953</v>
      </c>
      <c r="AO164" s="165">
        <f t="shared" si="21"/>
        <v>22482</v>
      </c>
      <c r="AP164" s="165">
        <f t="shared" si="22"/>
        <v>35559</v>
      </c>
      <c r="AQ164" s="165">
        <f t="shared" si="23"/>
        <v>46738</v>
      </c>
    </row>
    <row r="165" spans="3:43">
      <c r="C165" s="160">
        <v>153</v>
      </c>
      <c r="D165" s="169">
        <v>164</v>
      </c>
      <c r="E165" s="170">
        <f t="shared" si="18"/>
        <v>113</v>
      </c>
      <c r="F165" s="169">
        <f t="shared" si="19"/>
        <v>130.399999999999</v>
      </c>
      <c r="G165" s="163">
        <f t="shared" si="24"/>
        <v>199.5</v>
      </c>
      <c r="I165" s="160">
        <v>153</v>
      </c>
      <c r="J165" s="163" t="e">
        <f ca="1">_xlfn.XLOOKUP(OFFSET($C$12,$I165,MATCH($J$11,$D$12:$G$12,0)),主线推图!$B$313:$B$612,主线推图!$P$313:$P$612)*OFFSET($C$1,MATCH(J$12,$C$2:$C$7,0),MATCH($J$11,$D$12:$G$12,0))</f>
        <v>#N/A</v>
      </c>
      <c r="K165" s="163" t="e">
        <f ca="1">_xlfn.XLOOKUP(OFFSET($C$12,$I165,MATCH($J$11,$D$12:$G$12,0)),巡逻产出!$B$311:$B$610,巡逻产出!$R$311:$R$610)*OFFSET($C$1,MATCH(K$12,$C$2:$C$7,0),MATCH($J$11,$D$12:$G$12,0))</f>
        <v>#N/A</v>
      </c>
      <c r="L165" s="163">
        <f ca="1">_xlfn.XLOOKUP(MAX(INT((OFFSET($C$12,$I165,MATCH($J$11,$D$12:$G$12,0))-6)/10),1),组队产出!$B$25:$B$39,组队产出!$P$25:$P$39)*OFFSET($C$1,MATCH(L$12,$C$2:$C$7,0),MATCH($J$11,$D$12:$G$12,0))</f>
        <v>1118.4</v>
      </c>
      <c r="M165" s="163">
        <f ca="1">竞技场!$G$3*OFFSET($C$1,MATCH(M$12,$C$2:$C$7,0),MATCH($J$11,$D$12:$G$12,0))</f>
        <v>1050</v>
      </c>
      <c r="N16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5" s="23">
        <f>任务!$G$6+任务!$G$9+IF(MOD(I165,7)=0,任务!$N$9+任务!$O$6,0)</f>
        <v>895</v>
      </c>
      <c r="P165" s="25">
        <f>公会!$U$11</f>
        <v>2766.62857142857</v>
      </c>
      <c r="Q165" s="163" t="e">
        <f ca="1">_xlfn.XLOOKUP(OFFSET($C$12,$I165,MATCH($J$11,$D$12:$G$12,0)),巡逻产出!$B$311:$B$610,巡逻产出!$Q$311:$Q$610)*OFFSET($C$1,MATCH(Q$12,$C$2:$C$7,0),MATCH($J$11,$D$12:$G$12,0))</f>
        <v>#N/A</v>
      </c>
      <c r="S165" s="160">
        <v>153</v>
      </c>
      <c r="T165" s="163" t="e">
        <f ca="1">_xlfn.XLOOKUP(OFFSET($C$12,$I165,MATCH($T$11,$D$12:$G$12,0)),主线推图!$B$313:$B$612,主线推图!$P$313:$P$612)*OFFSET($C$1,MATCH(T$12,$C$2:$C$7,0),MATCH($T$11,$D$12:$G$12,0))</f>
        <v>#N/A</v>
      </c>
      <c r="U165" s="163" t="e">
        <f ca="1">_xlfn.XLOOKUP(OFFSET($C$12,$I165,MATCH($T$11,$D$12:$G$12,0)),巡逻产出!$B$311:$B$610,巡逻产出!$R$311:$R$610)*OFFSET($C$1,MATCH(U$12,$C$2:$C$7,0),MATCH($T$11,$D$12:$G$12,0))</f>
        <v>#N/A</v>
      </c>
      <c r="V165" s="163">
        <f ca="1">_xlfn.XLOOKUP(MAX(INT((OFFSET($C$12,$I165,MATCH($T$11,$D$12:$G$12,0))-6)/10),1),组队产出!$B$25:$B$39,组队产出!$P$25:$P$39)*OFFSET($C$1,MATCH(V$12,$C$2:$C$7,0),MATCH($T$11,$D$12:$G$12,0))</f>
        <v>2284.8</v>
      </c>
      <c r="W165" s="163">
        <f ca="1">竞技场!$G$3*OFFSET($C$1,MATCH(W$12,$C$2:$C$7,0),MATCH($T$11,$D$12:$G$12,0))</f>
        <v>2100</v>
      </c>
      <c r="X16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5" s="23">
        <f>任务!$G$6+任务!$G$9+IF(MOD(S165,7)=0,任务!$N$9+任务!$O$6,0)</f>
        <v>895</v>
      </c>
      <c r="Z165" s="25">
        <f>公会!$U$11</f>
        <v>2766.62857142857</v>
      </c>
      <c r="AA165" s="163" t="e">
        <f ca="1">_xlfn.XLOOKUP(OFFSET($C$12,$I165,MATCH($T$11,$D$12:$G$12,0)),巡逻产出!$B$311:$B$610,巡逻产出!$Q$311:$Q$610)*OFFSET($C$1,MATCH(AA$12,$C$2:$C$7,0),MATCH($T$11,$D$12:$G$12,0))</f>
        <v>#N/A</v>
      </c>
      <c r="AC165" s="160">
        <v>153</v>
      </c>
      <c r="AD165" s="163" t="e">
        <f ca="1">_xlfn.XLOOKUP(OFFSET($C$12,$I165,MATCH($AD$11,$D$12:$G$12,0)),主线推图!$B$313:$B$612,主线推图!$P$313:$P$612)*OFFSET($C$1,MATCH(AD$12,$C$2:$C$7,0),MATCH($AD$11,$D$12:$G$12,0))</f>
        <v>#N/A</v>
      </c>
      <c r="AE165" s="163" t="e">
        <f ca="1">_xlfn.XLOOKUP(OFFSET($C$12,$I165,MATCH($AD$11,$D$12:$G$12,0)),巡逻产出!$B$311:$B$610,巡逻产出!$R$311:$R$610)*OFFSET($C$1,MATCH(AE$12,$C$2:$C$7,0),MATCH($AD$11,$D$12:$G$12,0))</f>
        <v>#N/A</v>
      </c>
      <c r="AF165" s="163" t="e">
        <f ca="1">_xlfn.XLOOKUP(MAX(INT((OFFSET($C$12,$I165,MATCH($AD$11,$D$12:$G$12,0))-6)/10),1),组队产出!$B$25:$B$39,组队产出!$P$25:$P$39)*OFFSET($C$1,MATCH(AF$12,$C$2:$C$7,0),MATCH($AD$11,$D$12:$G$12,0))</f>
        <v>#N/A</v>
      </c>
      <c r="AG165" s="163">
        <f ca="1">竞技场!$G$3*OFFSET($C$1,MATCH(AG$12,$C$2:$C$7,0),MATCH($AD$11,$D$12:$G$12,0))</f>
        <v>3150</v>
      </c>
      <c r="AH16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5" s="23">
        <f>任务!$G$6+任务!$G$9+IF(MOD(AC165,7)=0,任务!$N$9+任务!$O$6,0)</f>
        <v>895</v>
      </c>
      <c r="AJ165" s="25">
        <f>公会!$U$11</f>
        <v>2766.62857142857</v>
      </c>
      <c r="AK165" s="163" t="e">
        <f ca="1">_xlfn.XLOOKUP(OFFSET($C$12,$I165,MATCH($AD$11,$D$12:$G$12,0)),巡逻产出!$B$311:$B$610,巡逻产出!$Q$311:$Q$610)*OFFSET($C$1,MATCH(AK$12,$C$2:$C$7,0),MATCH($AD$11,$D$12:$G$12,0))</f>
        <v>#N/A</v>
      </c>
      <c r="AM165" s="164">
        <v>153</v>
      </c>
      <c r="AN165" s="165">
        <f t="shared" si="20"/>
        <v>18067</v>
      </c>
      <c r="AO165" s="165">
        <f t="shared" si="21"/>
        <v>22625</v>
      </c>
      <c r="AP165" s="165">
        <f t="shared" si="22"/>
        <v>35788</v>
      </c>
      <c r="AQ165" s="165">
        <f t="shared" si="23"/>
        <v>47040</v>
      </c>
    </row>
    <row r="166" spans="3:43">
      <c r="C166" s="160">
        <v>154</v>
      </c>
      <c r="D166" s="169">
        <v>164</v>
      </c>
      <c r="E166" s="170">
        <f t="shared" si="18"/>
        <v>113.25</v>
      </c>
      <c r="F166" s="169">
        <f t="shared" si="19"/>
        <v>130.749999999999</v>
      </c>
      <c r="G166" s="163">
        <f t="shared" si="24"/>
        <v>200</v>
      </c>
      <c r="I166" s="160">
        <v>154</v>
      </c>
      <c r="J166" s="163" t="e">
        <f ca="1">_xlfn.XLOOKUP(OFFSET($C$12,$I166,MATCH($J$11,$D$12:$G$12,0)),主线推图!$B$313:$B$612,主线推图!$P$313:$P$612)*OFFSET($C$1,MATCH(J$12,$C$2:$C$7,0),MATCH($J$11,$D$12:$G$12,0))</f>
        <v>#N/A</v>
      </c>
      <c r="K166" s="163" t="e">
        <f ca="1">_xlfn.XLOOKUP(OFFSET($C$12,$I166,MATCH($J$11,$D$12:$G$12,0)),巡逻产出!$B$311:$B$610,巡逻产出!$R$311:$R$610)*OFFSET($C$1,MATCH(K$12,$C$2:$C$7,0),MATCH($J$11,$D$12:$G$12,0))</f>
        <v>#N/A</v>
      </c>
      <c r="L166" s="163">
        <f ca="1">_xlfn.XLOOKUP(MAX(INT((OFFSET($C$12,$I166,MATCH($J$11,$D$12:$G$12,0))-6)/10),1),组队产出!$B$25:$B$39,组队产出!$P$25:$P$39)*OFFSET($C$1,MATCH(L$12,$C$2:$C$7,0),MATCH($J$11,$D$12:$G$12,0))</f>
        <v>1118.4</v>
      </c>
      <c r="M166" s="163">
        <f ca="1">竞技场!$G$3*OFFSET($C$1,MATCH(M$12,$C$2:$C$7,0),MATCH($J$11,$D$12:$G$12,0))</f>
        <v>1050</v>
      </c>
      <c r="N16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6" s="23">
        <f>任务!$G$6+任务!$G$9+IF(MOD(I166,7)=0,任务!$N$9+任务!$O$6,0)</f>
        <v>3125</v>
      </c>
      <c r="P166" s="25">
        <f>公会!$U$11</f>
        <v>2766.62857142857</v>
      </c>
      <c r="Q166" s="163" t="e">
        <f ca="1">_xlfn.XLOOKUP(OFFSET($C$12,$I166,MATCH($J$11,$D$12:$G$12,0)),巡逻产出!$B$311:$B$610,巡逻产出!$Q$311:$Q$610)*OFFSET($C$1,MATCH(Q$12,$C$2:$C$7,0),MATCH($J$11,$D$12:$G$12,0))</f>
        <v>#N/A</v>
      </c>
      <c r="S166" s="160">
        <v>154</v>
      </c>
      <c r="T166" s="163" t="e">
        <f ca="1">_xlfn.XLOOKUP(OFFSET($C$12,$I166,MATCH($T$11,$D$12:$G$12,0)),主线推图!$B$313:$B$612,主线推图!$P$313:$P$612)*OFFSET($C$1,MATCH(T$12,$C$2:$C$7,0),MATCH($T$11,$D$12:$G$12,0))</f>
        <v>#N/A</v>
      </c>
      <c r="U166" s="163" t="e">
        <f ca="1">_xlfn.XLOOKUP(OFFSET($C$12,$I166,MATCH($T$11,$D$12:$G$12,0)),巡逻产出!$B$311:$B$610,巡逻产出!$R$311:$R$610)*OFFSET($C$1,MATCH(U$12,$C$2:$C$7,0),MATCH($T$11,$D$12:$G$12,0))</f>
        <v>#N/A</v>
      </c>
      <c r="V166" s="163">
        <f ca="1">_xlfn.XLOOKUP(MAX(INT((OFFSET($C$12,$I166,MATCH($T$11,$D$12:$G$12,0))-6)/10),1),组队产出!$B$25:$B$39,组队产出!$P$25:$P$39)*OFFSET($C$1,MATCH(V$12,$C$2:$C$7,0),MATCH($T$11,$D$12:$G$12,0))</f>
        <v>2284.8</v>
      </c>
      <c r="W166" s="163">
        <f ca="1">竞技场!$G$3*OFFSET($C$1,MATCH(W$12,$C$2:$C$7,0),MATCH($T$11,$D$12:$G$12,0))</f>
        <v>2100</v>
      </c>
      <c r="X16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6" s="23">
        <f>任务!$G$6+任务!$G$9+IF(MOD(S166,7)=0,任务!$N$9+任务!$O$6,0)</f>
        <v>3125</v>
      </c>
      <c r="Z166" s="25">
        <f>公会!$U$11</f>
        <v>2766.62857142857</v>
      </c>
      <c r="AA166" s="163" t="e">
        <f ca="1">_xlfn.XLOOKUP(OFFSET($C$12,$I166,MATCH($T$11,$D$12:$G$12,0)),巡逻产出!$B$311:$B$610,巡逻产出!$Q$311:$Q$610)*OFFSET($C$1,MATCH(AA$12,$C$2:$C$7,0),MATCH($T$11,$D$12:$G$12,0))</f>
        <v>#N/A</v>
      </c>
      <c r="AC166" s="160">
        <v>154</v>
      </c>
      <c r="AD166" s="163">
        <f ca="1">_xlfn.XLOOKUP(OFFSET($C$12,$I166,MATCH($AD$11,$D$12:$G$12,0)),主线推图!$B$313:$B$612,主线推图!$P$313:$P$612)*OFFSET($C$1,MATCH(AD$12,$C$2:$C$7,0),MATCH($AD$11,$D$12:$G$12,0))</f>
        <v>3385.8</v>
      </c>
      <c r="AE166" s="163">
        <f ca="1">_xlfn.XLOOKUP(OFFSET($C$12,$I166,MATCH($AD$11,$D$12:$G$12,0)),巡逻产出!$B$311:$B$610,巡逻产出!$R$311:$R$610)*OFFSET($C$1,MATCH(AE$12,$C$2:$C$7,0),MATCH($AD$11,$D$12:$G$12,0))</f>
        <v>0</v>
      </c>
      <c r="AF166" s="163" t="e">
        <f ca="1">_xlfn.XLOOKUP(MAX(INT((OFFSET($C$12,$I166,MATCH($AD$11,$D$12:$G$12,0))-6)/10),1),组队产出!$B$25:$B$39,组队产出!$P$25:$P$39)*OFFSET($C$1,MATCH(AF$12,$C$2:$C$7,0),MATCH($AD$11,$D$12:$G$12,0))</f>
        <v>#N/A</v>
      </c>
      <c r="AG166" s="163">
        <f ca="1">竞技场!$G$3*OFFSET($C$1,MATCH(AG$12,$C$2:$C$7,0),MATCH($AD$11,$D$12:$G$12,0))</f>
        <v>3150</v>
      </c>
      <c r="AH16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6" s="23">
        <f>任务!$G$6+任务!$G$9+IF(MOD(AC166,7)=0,任务!$N$9+任务!$O$6,0)</f>
        <v>3125</v>
      </c>
      <c r="AJ166" s="25">
        <f>公会!$U$11</f>
        <v>2766.62857142857</v>
      </c>
      <c r="AK166" s="163">
        <f ca="1">_xlfn.XLOOKUP(OFFSET($C$12,$I166,MATCH($AD$11,$D$12:$G$12,0)),巡逻产出!$B$311:$B$610,巡逻产出!$Q$311:$Q$610)*OFFSET($C$1,MATCH(AK$12,$C$2:$C$7,0),MATCH($AD$11,$D$12:$G$12,0))</f>
        <v>2342.808</v>
      </c>
      <c r="AM166" s="164">
        <v>154</v>
      </c>
      <c r="AN166" s="165">
        <f t="shared" si="20"/>
        <v>18180</v>
      </c>
      <c r="AO166" s="165">
        <f t="shared" si="21"/>
        <v>22768</v>
      </c>
      <c r="AP166" s="165">
        <f t="shared" si="22"/>
        <v>36016</v>
      </c>
      <c r="AQ166" s="165">
        <f t="shared" si="23"/>
        <v>47342</v>
      </c>
    </row>
    <row r="167" spans="3:43">
      <c r="C167" s="160">
        <v>155</v>
      </c>
      <c r="D167" s="169">
        <v>164</v>
      </c>
      <c r="E167" s="170">
        <f t="shared" si="18"/>
        <v>113.5</v>
      </c>
      <c r="F167" s="169">
        <f t="shared" si="19"/>
        <v>131.099999999999</v>
      </c>
      <c r="G167" s="163">
        <f t="shared" si="24"/>
        <v>200.5</v>
      </c>
      <c r="I167" s="160">
        <v>155</v>
      </c>
      <c r="J167" s="163" t="e">
        <f ca="1">_xlfn.XLOOKUP(OFFSET($C$12,$I167,MATCH($J$11,$D$12:$G$12,0)),主线推图!$B$313:$B$612,主线推图!$P$313:$P$612)*OFFSET($C$1,MATCH(J$12,$C$2:$C$7,0),MATCH($J$11,$D$12:$G$12,0))</f>
        <v>#N/A</v>
      </c>
      <c r="K167" s="163" t="e">
        <f ca="1">_xlfn.XLOOKUP(OFFSET($C$12,$I167,MATCH($J$11,$D$12:$G$12,0)),巡逻产出!$B$311:$B$610,巡逻产出!$R$311:$R$610)*OFFSET($C$1,MATCH(K$12,$C$2:$C$7,0),MATCH($J$11,$D$12:$G$12,0))</f>
        <v>#N/A</v>
      </c>
      <c r="L167" s="163">
        <f ca="1">_xlfn.XLOOKUP(MAX(INT((OFFSET($C$12,$I167,MATCH($J$11,$D$12:$G$12,0))-6)/10),1),组队产出!$B$25:$B$39,组队产出!$P$25:$P$39)*OFFSET($C$1,MATCH(L$12,$C$2:$C$7,0),MATCH($J$11,$D$12:$G$12,0))</f>
        <v>1118.4</v>
      </c>
      <c r="M167" s="163">
        <f ca="1">竞技场!$G$3*OFFSET($C$1,MATCH(M$12,$C$2:$C$7,0),MATCH($J$11,$D$12:$G$12,0))</f>
        <v>1050</v>
      </c>
      <c r="N16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7" s="23">
        <f>任务!$G$6+任务!$G$9+IF(MOD(I167,7)=0,任务!$N$9+任务!$O$6,0)</f>
        <v>895</v>
      </c>
      <c r="P167" s="25">
        <f>公会!$U$11</f>
        <v>2766.62857142857</v>
      </c>
      <c r="Q167" s="163" t="e">
        <f ca="1">_xlfn.XLOOKUP(OFFSET($C$12,$I167,MATCH($J$11,$D$12:$G$12,0)),巡逻产出!$B$311:$B$610,巡逻产出!$Q$311:$Q$610)*OFFSET($C$1,MATCH(Q$12,$C$2:$C$7,0),MATCH($J$11,$D$12:$G$12,0))</f>
        <v>#N/A</v>
      </c>
      <c r="S167" s="160">
        <v>155</v>
      </c>
      <c r="T167" s="163" t="e">
        <f ca="1">_xlfn.XLOOKUP(OFFSET($C$12,$I167,MATCH($T$11,$D$12:$G$12,0)),主线推图!$B$313:$B$612,主线推图!$P$313:$P$612)*OFFSET($C$1,MATCH(T$12,$C$2:$C$7,0),MATCH($T$11,$D$12:$G$12,0))</f>
        <v>#N/A</v>
      </c>
      <c r="U167" s="163" t="e">
        <f ca="1">_xlfn.XLOOKUP(OFFSET($C$12,$I167,MATCH($T$11,$D$12:$G$12,0)),巡逻产出!$B$311:$B$610,巡逻产出!$R$311:$R$610)*OFFSET($C$1,MATCH(U$12,$C$2:$C$7,0),MATCH($T$11,$D$12:$G$12,0))</f>
        <v>#N/A</v>
      </c>
      <c r="V167" s="163">
        <f ca="1">_xlfn.XLOOKUP(MAX(INT((OFFSET($C$12,$I167,MATCH($T$11,$D$12:$G$12,0))-6)/10),1),组队产出!$B$25:$B$39,组队产出!$P$25:$P$39)*OFFSET($C$1,MATCH(V$12,$C$2:$C$7,0),MATCH($T$11,$D$12:$G$12,0))</f>
        <v>2284.8</v>
      </c>
      <c r="W167" s="163">
        <f ca="1">竞技场!$G$3*OFFSET($C$1,MATCH(W$12,$C$2:$C$7,0),MATCH($T$11,$D$12:$G$12,0))</f>
        <v>2100</v>
      </c>
      <c r="X16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7" s="23">
        <f>任务!$G$6+任务!$G$9+IF(MOD(S167,7)=0,任务!$N$9+任务!$O$6,0)</f>
        <v>895</v>
      </c>
      <c r="Z167" s="25">
        <f>公会!$U$11</f>
        <v>2766.62857142857</v>
      </c>
      <c r="AA167" s="163" t="e">
        <f ca="1">_xlfn.XLOOKUP(OFFSET($C$12,$I167,MATCH($T$11,$D$12:$G$12,0)),巡逻产出!$B$311:$B$610,巡逻产出!$Q$311:$Q$610)*OFFSET($C$1,MATCH(AA$12,$C$2:$C$7,0),MATCH($T$11,$D$12:$G$12,0))</f>
        <v>#N/A</v>
      </c>
      <c r="AC167" s="160">
        <v>155</v>
      </c>
      <c r="AD167" s="163" t="e">
        <f ca="1">_xlfn.XLOOKUP(OFFSET($C$12,$I167,MATCH($AD$11,$D$12:$G$12,0)),主线推图!$B$313:$B$612,主线推图!$P$313:$P$612)*OFFSET($C$1,MATCH(AD$12,$C$2:$C$7,0),MATCH($AD$11,$D$12:$G$12,0))</f>
        <v>#N/A</v>
      </c>
      <c r="AE167" s="163" t="e">
        <f ca="1">_xlfn.XLOOKUP(OFFSET($C$12,$I167,MATCH($AD$11,$D$12:$G$12,0)),巡逻产出!$B$311:$B$610,巡逻产出!$R$311:$R$610)*OFFSET($C$1,MATCH(AE$12,$C$2:$C$7,0),MATCH($AD$11,$D$12:$G$12,0))</f>
        <v>#N/A</v>
      </c>
      <c r="AF167" s="163" t="e">
        <f ca="1">_xlfn.XLOOKUP(MAX(INT((OFFSET($C$12,$I167,MATCH($AD$11,$D$12:$G$12,0))-6)/10),1),组队产出!$B$25:$B$39,组队产出!$P$25:$P$39)*OFFSET($C$1,MATCH(AF$12,$C$2:$C$7,0),MATCH($AD$11,$D$12:$G$12,0))</f>
        <v>#N/A</v>
      </c>
      <c r="AG167" s="163">
        <f ca="1">竞技场!$G$3*OFFSET($C$1,MATCH(AG$12,$C$2:$C$7,0),MATCH($AD$11,$D$12:$G$12,0))</f>
        <v>3150</v>
      </c>
      <c r="AH16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7" s="23">
        <f>任务!$G$6+任务!$G$9+IF(MOD(AC167,7)=0,任务!$N$9+任务!$O$6,0)</f>
        <v>895</v>
      </c>
      <c r="AJ167" s="25">
        <f>公会!$U$11</f>
        <v>2766.62857142857</v>
      </c>
      <c r="AK167" s="163" t="e">
        <f ca="1">_xlfn.XLOOKUP(OFFSET($C$12,$I167,MATCH($AD$11,$D$12:$G$12,0)),巡逻产出!$B$311:$B$610,巡逻产出!$Q$311:$Q$610)*OFFSET($C$1,MATCH(AK$12,$C$2:$C$7,0),MATCH($AD$11,$D$12:$G$12,0))</f>
        <v>#N/A</v>
      </c>
      <c r="AM167" s="164">
        <v>155</v>
      </c>
      <c r="AN167" s="165">
        <f t="shared" si="20"/>
        <v>18294</v>
      </c>
      <c r="AO167" s="165">
        <f t="shared" si="21"/>
        <v>22911</v>
      </c>
      <c r="AP167" s="165">
        <f t="shared" si="22"/>
        <v>36245</v>
      </c>
      <c r="AQ167" s="165">
        <f t="shared" si="23"/>
        <v>47644</v>
      </c>
    </row>
    <row r="168" spans="3:43">
      <c r="C168" s="160">
        <v>156</v>
      </c>
      <c r="D168" s="169">
        <v>165</v>
      </c>
      <c r="E168" s="170">
        <f t="shared" si="18"/>
        <v>113.75</v>
      </c>
      <c r="F168" s="169">
        <f t="shared" si="19"/>
        <v>131.449999999999</v>
      </c>
      <c r="G168" s="163">
        <f t="shared" si="24"/>
        <v>201</v>
      </c>
      <c r="I168" s="160">
        <v>156</v>
      </c>
      <c r="J168" s="163" t="e">
        <f ca="1">_xlfn.XLOOKUP(OFFSET($C$12,$I168,MATCH($J$11,$D$12:$G$12,0)),主线推图!$B$313:$B$612,主线推图!$P$313:$P$612)*OFFSET($C$1,MATCH(J$12,$C$2:$C$7,0),MATCH($J$11,$D$12:$G$12,0))</f>
        <v>#N/A</v>
      </c>
      <c r="K168" s="163" t="e">
        <f ca="1">_xlfn.XLOOKUP(OFFSET($C$12,$I168,MATCH($J$11,$D$12:$G$12,0)),巡逻产出!$B$311:$B$610,巡逻产出!$R$311:$R$610)*OFFSET($C$1,MATCH(K$12,$C$2:$C$7,0),MATCH($J$11,$D$12:$G$12,0))</f>
        <v>#N/A</v>
      </c>
      <c r="L168" s="163">
        <f ca="1">_xlfn.XLOOKUP(MAX(INT((OFFSET($C$12,$I168,MATCH($J$11,$D$12:$G$12,0))-6)/10),1),组队产出!$B$25:$B$39,组队产出!$P$25:$P$39)*OFFSET($C$1,MATCH(L$12,$C$2:$C$7,0),MATCH($J$11,$D$12:$G$12,0))</f>
        <v>1118.4</v>
      </c>
      <c r="M168" s="163">
        <f ca="1">竞技场!$G$3*OFFSET($C$1,MATCH(M$12,$C$2:$C$7,0),MATCH($J$11,$D$12:$G$12,0))</f>
        <v>1050</v>
      </c>
      <c r="N16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8" s="23">
        <f>任务!$G$6+任务!$G$9+IF(MOD(I168,7)=0,任务!$N$9+任务!$O$6,0)</f>
        <v>895</v>
      </c>
      <c r="P168" s="25">
        <f>公会!$U$11</f>
        <v>2766.62857142857</v>
      </c>
      <c r="Q168" s="163" t="e">
        <f ca="1">_xlfn.XLOOKUP(OFFSET($C$12,$I168,MATCH($J$11,$D$12:$G$12,0)),巡逻产出!$B$311:$B$610,巡逻产出!$Q$311:$Q$610)*OFFSET($C$1,MATCH(Q$12,$C$2:$C$7,0),MATCH($J$11,$D$12:$G$12,0))</f>
        <v>#N/A</v>
      </c>
      <c r="S168" s="160">
        <v>156</v>
      </c>
      <c r="T168" s="163" t="e">
        <f ca="1">_xlfn.XLOOKUP(OFFSET($C$12,$I168,MATCH($T$11,$D$12:$G$12,0)),主线推图!$B$313:$B$612,主线推图!$P$313:$P$612)*OFFSET($C$1,MATCH(T$12,$C$2:$C$7,0),MATCH($T$11,$D$12:$G$12,0))</f>
        <v>#N/A</v>
      </c>
      <c r="U168" s="163" t="e">
        <f ca="1">_xlfn.XLOOKUP(OFFSET($C$12,$I168,MATCH($T$11,$D$12:$G$12,0)),巡逻产出!$B$311:$B$610,巡逻产出!$R$311:$R$610)*OFFSET($C$1,MATCH(U$12,$C$2:$C$7,0),MATCH($T$11,$D$12:$G$12,0))</f>
        <v>#N/A</v>
      </c>
      <c r="V168" s="163">
        <f ca="1">_xlfn.XLOOKUP(MAX(INT((OFFSET($C$12,$I168,MATCH($T$11,$D$12:$G$12,0))-6)/10),1),组队产出!$B$25:$B$39,组队产出!$P$25:$P$39)*OFFSET($C$1,MATCH(V$12,$C$2:$C$7,0),MATCH($T$11,$D$12:$G$12,0))</f>
        <v>2284.8</v>
      </c>
      <c r="W168" s="163">
        <f ca="1">竞技场!$G$3*OFFSET($C$1,MATCH(W$12,$C$2:$C$7,0),MATCH($T$11,$D$12:$G$12,0))</f>
        <v>2100</v>
      </c>
      <c r="X16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8" s="23">
        <f>任务!$G$6+任务!$G$9+IF(MOD(S168,7)=0,任务!$N$9+任务!$O$6,0)</f>
        <v>895</v>
      </c>
      <c r="Z168" s="25">
        <f>公会!$U$11</f>
        <v>2766.62857142857</v>
      </c>
      <c r="AA168" s="163" t="e">
        <f ca="1">_xlfn.XLOOKUP(OFFSET($C$12,$I168,MATCH($T$11,$D$12:$G$12,0)),巡逻产出!$B$311:$B$610,巡逻产出!$Q$311:$Q$610)*OFFSET($C$1,MATCH(AA$12,$C$2:$C$7,0),MATCH($T$11,$D$12:$G$12,0))</f>
        <v>#N/A</v>
      </c>
      <c r="AC168" s="160">
        <v>156</v>
      </c>
      <c r="AD168" s="163">
        <f ca="1">_xlfn.XLOOKUP(OFFSET($C$12,$I168,MATCH($AD$11,$D$12:$G$12,0)),主线推图!$B$313:$B$612,主线推图!$P$313:$P$612)*OFFSET($C$1,MATCH(AD$12,$C$2:$C$7,0),MATCH($AD$11,$D$12:$G$12,0))</f>
        <v>3388</v>
      </c>
      <c r="AE168" s="163">
        <f ca="1">_xlfn.XLOOKUP(OFFSET($C$12,$I168,MATCH($AD$11,$D$12:$G$12,0)),巡逻产出!$B$311:$B$610,巡逻产出!$R$311:$R$610)*OFFSET($C$1,MATCH(AE$12,$C$2:$C$7,0),MATCH($AD$11,$D$12:$G$12,0))</f>
        <v>0</v>
      </c>
      <c r="AF168" s="163" t="e">
        <f ca="1">_xlfn.XLOOKUP(MAX(INT((OFFSET($C$12,$I168,MATCH($AD$11,$D$12:$G$12,0))-6)/10),1),组队产出!$B$25:$B$39,组队产出!$P$25:$P$39)*OFFSET($C$1,MATCH(AF$12,$C$2:$C$7,0),MATCH($AD$11,$D$12:$G$12,0))</f>
        <v>#N/A</v>
      </c>
      <c r="AG168" s="163">
        <f ca="1">竞技场!$G$3*OFFSET($C$1,MATCH(AG$12,$C$2:$C$7,0),MATCH($AD$11,$D$12:$G$12,0))</f>
        <v>3150</v>
      </c>
      <c r="AH16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8" s="23">
        <f>任务!$G$6+任务!$G$9+IF(MOD(AC168,7)=0,任务!$N$9+任务!$O$6,0)</f>
        <v>895</v>
      </c>
      <c r="AJ168" s="25">
        <f>公会!$U$11</f>
        <v>2766.62857142857</v>
      </c>
      <c r="AK168" s="163">
        <f ca="1">_xlfn.XLOOKUP(OFFSET($C$12,$I168,MATCH($AD$11,$D$12:$G$12,0)),巡逻产出!$B$311:$B$610,巡逻产出!$Q$311:$Q$610)*OFFSET($C$1,MATCH(AK$12,$C$2:$C$7,0),MATCH($AD$11,$D$12:$G$12,0))</f>
        <v>2344.368</v>
      </c>
      <c r="AM168" s="164">
        <v>156</v>
      </c>
      <c r="AN168" s="165">
        <f t="shared" si="20"/>
        <v>18407</v>
      </c>
      <c r="AO168" s="165">
        <f t="shared" si="21"/>
        <v>23054</v>
      </c>
      <c r="AP168" s="165">
        <f t="shared" si="22"/>
        <v>36473</v>
      </c>
      <c r="AQ168" s="165">
        <f t="shared" si="23"/>
        <v>47946</v>
      </c>
    </row>
    <row r="169" spans="3:43">
      <c r="C169" s="160">
        <v>157</v>
      </c>
      <c r="D169" s="169">
        <v>165</v>
      </c>
      <c r="E169" s="170">
        <f t="shared" si="18"/>
        <v>114</v>
      </c>
      <c r="F169" s="169">
        <f t="shared" si="19"/>
        <v>131.799999999999</v>
      </c>
      <c r="G169" s="163">
        <f t="shared" si="24"/>
        <v>201.5</v>
      </c>
      <c r="I169" s="160">
        <v>157</v>
      </c>
      <c r="J169" s="163" t="e">
        <f ca="1">_xlfn.XLOOKUP(OFFSET($C$12,$I169,MATCH($J$11,$D$12:$G$12,0)),主线推图!$B$313:$B$612,主线推图!$P$313:$P$612)*OFFSET($C$1,MATCH(J$12,$C$2:$C$7,0),MATCH($J$11,$D$12:$G$12,0))</f>
        <v>#N/A</v>
      </c>
      <c r="K169" s="163" t="e">
        <f ca="1">_xlfn.XLOOKUP(OFFSET($C$12,$I169,MATCH($J$11,$D$12:$G$12,0)),巡逻产出!$B$311:$B$610,巡逻产出!$R$311:$R$610)*OFFSET($C$1,MATCH(K$12,$C$2:$C$7,0),MATCH($J$11,$D$12:$G$12,0))</f>
        <v>#N/A</v>
      </c>
      <c r="L169" s="163">
        <f ca="1">_xlfn.XLOOKUP(MAX(INT((OFFSET($C$12,$I169,MATCH($J$11,$D$12:$G$12,0))-6)/10),1),组队产出!$B$25:$B$39,组队产出!$P$25:$P$39)*OFFSET($C$1,MATCH(L$12,$C$2:$C$7,0),MATCH($J$11,$D$12:$G$12,0))</f>
        <v>1118.4</v>
      </c>
      <c r="M169" s="163">
        <f ca="1">竞技场!$G$3*OFFSET($C$1,MATCH(M$12,$C$2:$C$7,0),MATCH($J$11,$D$12:$G$12,0))</f>
        <v>1050</v>
      </c>
      <c r="N16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9" s="23">
        <f>任务!$G$6+任务!$G$9+IF(MOD(I169,7)=0,任务!$N$9+任务!$O$6,0)</f>
        <v>895</v>
      </c>
      <c r="P169" s="25">
        <f>公会!$U$11</f>
        <v>2766.62857142857</v>
      </c>
      <c r="Q169" s="163" t="e">
        <f ca="1">_xlfn.XLOOKUP(OFFSET($C$12,$I169,MATCH($J$11,$D$12:$G$12,0)),巡逻产出!$B$311:$B$610,巡逻产出!$Q$311:$Q$610)*OFFSET($C$1,MATCH(Q$12,$C$2:$C$7,0),MATCH($J$11,$D$12:$G$12,0))</f>
        <v>#N/A</v>
      </c>
      <c r="S169" s="160">
        <v>157</v>
      </c>
      <c r="T169" s="163" t="e">
        <f ca="1">_xlfn.XLOOKUP(OFFSET($C$12,$I169,MATCH($T$11,$D$12:$G$12,0)),主线推图!$B$313:$B$612,主线推图!$P$313:$P$612)*OFFSET($C$1,MATCH(T$12,$C$2:$C$7,0),MATCH($T$11,$D$12:$G$12,0))</f>
        <v>#N/A</v>
      </c>
      <c r="U169" s="163" t="e">
        <f ca="1">_xlfn.XLOOKUP(OFFSET($C$12,$I169,MATCH($T$11,$D$12:$G$12,0)),巡逻产出!$B$311:$B$610,巡逻产出!$R$311:$R$610)*OFFSET($C$1,MATCH(U$12,$C$2:$C$7,0),MATCH($T$11,$D$12:$G$12,0))</f>
        <v>#N/A</v>
      </c>
      <c r="V169" s="163">
        <f ca="1">_xlfn.XLOOKUP(MAX(INT((OFFSET($C$12,$I169,MATCH($T$11,$D$12:$G$12,0))-6)/10),1),组队产出!$B$25:$B$39,组队产出!$P$25:$P$39)*OFFSET($C$1,MATCH(V$12,$C$2:$C$7,0),MATCH($T$11,$D$12:$G$12,0))</f>
        <v>2284.8</v>
      </c>
      <c r="W169" s="163">
        <f ca="1">竞技场!$G$3*OFFSET($C$1,MATCH(W$12,$C$2:$C$7,0),MATCH($T$11,$D$12:$G$12,0))</f>
        <v>2100</v>
      </c>
      <c r="X16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9" s="23">
        <f>任务!$G$6+任务!$G$9+IF(MOD(S169,7)=0,任务!$N$9+任务!$O$6,0)</f>
        <v>895</v>
      </c>
      <c r="Z169" s="25">
        <f>公会!$U$11</f>
        <v>2766.62857142857</v>
      </c>
      <c r="AA169" s="163" t="e">
        <f ca="1">_xlfn.XLOOKUP(OFFSET($C$12,$I169,MATCH($T$11,$D$12:$G$12,0)),巡逻产出!$B$311:$B$610,巡逻产出!$Q$311:$Q$610)*OFFSET($C$1,MATCH(AA$12,$C$2:$C$7,0),MATCH($T$11,$D$12:$G$12,0))</f>
        <v>#N/A</v>
      </c>
      <c r="AC169" s="160">
        <v>157</v>
      </c>
      <c r="AD169" s="163" t="e">
        <f ca="1">_xlfn.XLOOKUP(OFFSET($C$12,$I169,MATCH($AD$11,$D$12:$G$12,0)),主线推图!$B$313:$B$612,主线推图!$P$313:$P$612)*OFFSET($C$1,MATCH(AD$12,$C$2:$C$7,0),MATCH($AD$11,$D$12:$G$12,0))</f>
        <v>#N/A</v>
      </c>
      <c r="AE169" s="163" t="e">
        <f ca="1">_xlfn.XLOOKUP(OFFSET($C$12,$I169,MATCH($AD$11,$D$12:$G$12,0)),巡逻产出!$B$311:$B$610,巡逻产出!$R$311:$R$610)*OFFSET($C$1,MATCH(AE$12,$C$2:$C$7,0),MATCH($AD$11,$D$12:$G$12,0))</f>
        <v>#N/A</v>
      </c>
      <c r="AF169" s="163" t="e">
        <f ca="1">_xlfn.XLOOKUP(MAX(INT((OFFSET($C$12,$I169,MATCH($AD$11,$D$12:$G$12,0))-6)/10),1),组队产出!$B$25:$B$39,组队产出!$P$25:$P$39)*OFFSET($C$1,MATCH(AF$12,$C$2:$C$7,0),MATCH($AD$11,$D$12:$G$12,0))</f>
        <v>#N/A</v>
      </c>
      <c r="AG169" s="163">
        <f ca="1">竞技场!$G$3*OFFSET($C$1,MATCH(AG$12,$C$2:$C$7,0),MATCH($AD$11,$D$12:$G$12,0))</f>
        <v>3150</v>
      </c>
      <c r="AH16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9" s="23">
        <f>任务!$G$6+任务!$G$9+IF(MOD(AC169,7)=0,任务!$N$9+任务!$O$6,0)</f>
        <v>895</v>
      </c>
      <c r="AJ169" s="25">
        <f>公会!$U$11</f>
        <v>2766.62857142857</v>
      </c>
      <c r="AK169" s="163" t="e">
        <f ca="1">_xlfn.XLOOKUP(OFFSET($C$12,$I169,MATCH($AD$11,$D$12:$G$12,0)),巡逻产出!$B$311:$B$610,巡逻产出!$Q$311:$Q$610)*OFFSET($C$1,MATCH(AK$12,$C$2:$C$7,0),MATCH($AD$11,$D$12:$G$12,0))</f>
        <v>#N/A</v>
      </c>
      <c r="AM169" s="164">
        <v>157</v>
      </c>
      <c r="AN169" s="165">
        <f t="shared" si="20"/>
        <v>18521</v>
      </c>
      <c r="AO169" s="165">
        <f t="shared" si="21"/>
        <v>23197</v>
      </c>
      <c r="AP169" s="165">
        <f t="shared" si="22"/>
        <v>36702</v>
      </c>
      <c r="AQ169" s="165">
        <f t="shared" si="23"/>
        <v>48248</v>
      </c>
    </row>
    <row r="170" spans="3:43">
      <c r="C170" s="160">
        <v>158</v>
      </c>
      <c r="D170" s="169">
        <v>165</v>
      </c>
      <c r="E170" s="170">
        <f t="shared" si="18"/>
        <v>114.25</v>
      </c>
      <c r="F170" s="169">
        <f t="shared" si="19"/>
        <v>132.149999999999</v>
      </c>
      <c r="G170" s="163">
        <f t="shared" si="24"/>
        <v>202</v>
      </c>
      <c r="I170" s="160">
        <v>158</v>
      </c>
      <c r="J170" s="163" t="e">
        <f ca="1">_xlfn.XLOOKUP(OFFSET($C$12,$I170,MATCH($J$11,$D$12:$G$12,0)),主线推图!$B$313:$B$612,主线推图!$P$313:$P$612)*OFFSET($C$1,MATCH(J$12,$C$2:$C$7,0),MATCH($J$11,$D$12:$G$12,0))</f>
        <v>#N/A</v>
      </c>
      <c r="K170" s="163" t="e">
        <f ca="1">_xlfn.XLOOKUP(OFFSET($C$12,$I170,MATCH($J$11,$D$12:$G$12,0)),巡逻产出!$B$311:$B$610,巡逻产出!$R$311:$R$610)*OFFSET($C$1,MATCH(K$12,$C$2:$C$7,0),MATCH($J$11,$D$12:$G$12,0))</f>
        <v>#N/A</v>
      </c>
      <c r="L170" s="163">
        <f ca="1">_xlfn.XLOOKUP(MAX(INT((OFFSET($C$12,$I170,MATCH($J$11,$D$12:$G$12,0))-6)/10),1),组队产出!$B$25:$B$39,组队产出!$P$25:$P$39)*OFFSET($C$1,MATCH(L$12,$C$2:$C$7,0),MATCH($J$11,$D$12:$G$12,0))</f>
        <v>1118.4</v>
      </c>
      <c r="M170" s="163">
        <f ca="1">竞技场!$G$3*OFFSET($C$1,MATCH(M$12,$C$2:$C$7,0),MATCH($J$11,$D$12:$G$12,0))</f>
        <v>1050</v>
      </c>
      <c r="N17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0" s="23">
        <f>任务!$G$6+任务!$G$9+IF(MOD(I170,7)=0,任务!$N$9+任务!$O$6,0)</f>
        <v>895</v>
      </c>
      <c r="P170" s="25">
        <f>公会!$U$11</f>
        <v>2766.62857142857</v>
      </c>
      <c r="Q170" s="163" t="e">
        <f ca="1">_xlfn.XLOOKUP(OFFSET($C$12,$I170,MATCH($J$11,$D$12:$G$12,0)),巡逻产出!$B$311:$B$610,巡逻产出!$Q$311:$Q$610)*OFFSET($C$1,MATCH(Q$12,$C$2:$C$7,0),MATCH($J$11,$D$12:$G$12,0))</f>
        <v>#N/A</v>
      </c>
      <c r="S170" s="160">
        <v>158</v>
      </c>
      <c r="T170" s="163" t="e">
        <f ca="1">_xlfn.XLOOKUP(OFFSET($C$12,$I170,MATCH($T$11,$D$12:$G$12,0)),主线推图!$B$313:$B$612,主线推图!$P$313:$P$612)*OFFSET($C$1,MATCH(T$12,$C$2:$C$7,0),MATCH($T$11,$D$12:$G$12,0))</f>
        <v>#N/A</v>
      </c>
      <c r="U170" s="163" t="e">
        <f ca="1">_xlfn.XLOOKUP(OFFSET($C$12,$I170,MATCH($T$11,$D$12:$G$12,0)),巡逻产出!$B$311:$B$610,巡逻产出!$R$311:$R$610)*OFFSET($C$1,MATCH(U$12,$C$2:$C$7,0),MATCH($T$11,$D$12:$G$12,0))</f>
        <v>#N/A</v>
      </c>
      <c r="V170" s="163">
        <f ca="1">_xlfn.XLOOKUP(MAX(INT((OFFSET($C$12,$I170,MATCH($T$11,$D$12:$G$12,0))-6)/10),1),组队产出!$B$25:$B$39,组队产出!$P$25:$P$39)*OFFSET($C$1,MATCH(V$12,$C$2:$C$7,0),MATCH($T$11,$D$12:$G$12,0))</f>
        <v>2284.8</v>
      </c>
      <c r="W170" s="163">
        <f ca="1">竞技场!$G$3*OFFSET($C$1,MATCH(W$12,$C$2:$C$7,0),MATCH($T$11,$D$12:$G$12,0))</f>
        <v>2100</v>
      </c>
      <c r="X17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0" s="23">
        <f>任务!$G$6+任务!$G$9+IF(MOD(S170,7)=0,任务!$N$9+任务!$O$6,0)</f>
        <v>895</v>
      </c>
      <c r="Z170" s="25">
        <f>公会!$U$11</f>
        <v>2766.62857142857</v>
      </c>
      <c r="AA170" s="163" t="e">
        <f ca="1">_xlfn.XLOOKUP(OFFSET($C$12,$I170,MATCH($T$11,$D$12:$G$12,0)),巡逻产出!$B$311:$B$610,巡逻产出!$Q$311:$Q$610)*OFFSET($C$1,MATCH(AA$12,$C$2:$C$7,0),MATCH($T$11,$D$12:$G$12,0))</f>
        <v>#N/A</v>
      </c>
      <c r="AC170" s="160">
        <v>158</v>
      </c>
      <c r="AD170" s="163">
        <f ca="1">_xlfn.XLOOKUP(OFFSET($C$12,$I170,MATCH($AD$11,$D$12:$G$12,0)),主线推图!$B$313:$B$612,主线推图!$P$313:$P$612)*OFFSET($C$1,MATCH(AD$12,$C$2:$C$7,0),MATCH($AD$11,$D$12:$G$12,0))</f>
        <v>3390.2</v>
      </c>
      <c r="AE170" s="163">
        <f ca="1">_xlfn.XLOOKUP(OFFSET($C$12,$I170,MATCH($AD$11,$D$12:$G$12,0)),巡逻产出!$B$311:$B$610,巡逻产出!$R$311:$R$610)*OFFSET($C$1,MATCH(AE$12,$C$2:$C$7,0),MATCH($AD$11,$D$12:$G$12,0))</f>
        <v>0</v>
      </c>
      <c r="AF170" s="163" t="e">
        <f ca="1">_xlfn.XLOOKUP(MAX(INT((OFFSET($C$12,$I170,MATCH($AD$11,$D$12:$G$12,0))-6)/10),1),组队产出!$B$25:$B$39,组队产出!$P$25:$P$39)*OFFSET($C$1,MATCH(AF$12,$C$2:$C$7,0),MATCH($AD$11,$D$12:$G$12,0))</f>
        <v>#N/A</v>
      </c>
      <c r="AG170" s="163">
        <f ca="1">竞技场!$G$3*OFFSET($C$1,MATCH(AG$12,$C$2:$C$7,0),MATCH($AD$11,$D$12:$G$12,0))</f>
        <v>3150</v>
      </c>
      <c r="AH17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0" s="23">
        <f>任务!$G$6+任务!$G$9+IF(MOD(AC170,7)=0,任务!$N$9+任务!$O$6,0)</f>
        <v>895</v>
      </c>
      <c r="AJ170" s="25">
        <f>公会!$U$11</f>
        <v>2766.62857142857</v>
      </c>
      <c r="AK170" s="163">
        <f ca="1">_xlfn.XLOOKUP(OFFSET($C$12,$I170,MATCH($AD$11,$D$12:$G$12,0)),巡逻产出!$B$311:$B$610,巡逻产出!$Q$311:$Q$610)*OFFSET($C$1,MATCH(AK$12,$C$2:$C$7,0),MATCH($AD$11,$D$12:$G$12,0))</f>
        <v>2345.928</v>
      </c>
      <c r="AM170" s="164">
        <v>158</v>
      </c>
      <c r="AN170" s="165">
        <f t="shared" si="20"/>
        <v>18634</v>
      </c>
      <c r="AO170" s="165">
        <f t="shared" si="21"/>
        <v>23340</v>
      </c>
      <c r="AP170" s="165">
        <f t="shared" si="22"/>
        <v>36930</v>
      </c>
      <c r="AQ170" s="165">
        <f t="shared" si="23"/>
        <v>48550</v>
      </c>
    </row>
    <row r="171" spans="3:43">
      <c r="C171" s="160">
        <v>159</v>
      </c>
      <c r="D171" s="169">
        <v>165</v>
      </c>
      <c r="E171" s="170">
        <f t="shared" si="18"/>
        <v>114.5</v>
      </c>
      <c r="F171" s="169">
        <f t="shared" si="19"/>
        <v>132.499999999999</v>
      </c>
      <c r="G171" s="163">
        <f t="shared" si="24"/>
        <v>202.5</v>
      </c>
      <c r="I171" s="160">
        <v>159</v>
      </c>
      <c r="J171" s="163" t="e">
        <f ca="1">_xlfn.XLOOKUP(OFFSET($C$12,$I171,MATCH($J$11,$D$12:$G$12,0)),主线推图!$B$313:$B$612,主线推图!$P$313:$P$612)*OFFSET($C$1,MATCH(J$12,$C$2:$C$7,0),MATCH($J$11,$D$12:$G$12,0))</f>
        <v>#N/A</v>
      </c>
      <c r="K171" s="163" t="e">
        <f ca="1">_xlfn.XLOOKUP(OFFSET($C$12,$I171,MATCH($J$11,$D$12:$G$12,0)),巡逻产出!$B$311:$B$610,巡逻产出!$R$311:$R$610)*OFFSET($C$1,MATCH(K$12,$C$2:$C$7,0),MATCH($J$11,$D$12:$G$12,0))</f>
        <v>#N/A</v>
      </c>
      <c r="L171" s="163">
        <f ca="1">_xlfn.XLOOKUP(MAX(INT((OFFSET($C$12,$I171,MATCH($J$11,$D$12:$G$12,0))-6)/10),1),组队产出!$B$25:$B$39,组队产出!$P$25:$P$39)*OFFSET($C$1,MATCH(L$12,$C$2:$C$7,0),MATCH($J$11,$D$12:$G$12,0))</f>
        <v>1118.4</v>
      </c>
      <c r="M171" s="163">
        <f ca="1">竞技场!$G$3*OFFSET($C$1,MATCH(M$12,$C$2:$C$7,0),MATCH($J$11,$D$12:$G$12,0))</f>
        <v>1050</v>
      </c>
      <c r="N17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1" s="23">
        <f>任务!$G$6+任务!$G$9+IF(MOD(I171,7)=0,任务!$N$9+任务!$O$6,0)</f>
        <v>895</v>
      </c>
      <c r="P171" s="25">
        <f>公会!$U$11</f>
        <v>2766.62857142857</v>
      </c>
      <c r="Q171" s="163" t="e">
        <f ca="1">_xlfn.XLOOKUP(OFFSET($C$12,$I171,MATCH($J$11,$D$12:$G$12,0)),巡逻产出!$B$311:$B$610,巡逻产出!$Q$311:$Q$610)*OFFSET($C$1,MATCH(Q$12,$C$2:$C$7,0),MATCH($J$11,$D$12:$G$12,0))</f>
        <v>#N/A</v>
      </c>
      <c r="S171" s="160">
        <v>159</v>
      </c>
      <c r="T171" s="163" t="e">
        <f ca="1">_xlfn.XLOOKUP(OFFSET($C$12,$I171,MATCH($T$11,$D$12:$G$12,0)),主线推图!$B$313:$B$612,主线推图!$P$313:$P$612)*OFFSET($C$1,MATCH(T$12,$C$2:$C$7,0),MATCH($T$11,$D$12:$G$12,0))</f>
        <v>#N/A</v>
      </c>
      <c r="U171" s="163" t="e">
        <f ca="1">_xlfn.XLOOKUP(OFFSET($C$12,$I171,MATCH($T$11,$D$12:$G$12,0)),巡逻产出!$B$311:$B$610,巡逻产出!$R$311:$R$610)*OFFSET($C$1,MATCH(U$12,$C$2:$C$7,0),MATCH($T$11,$D$12:$G$12,0))</f>
        <v>#N/A</v>
      </c>
      <c r="V171" s="163">
        <f ca="1">_xlfn.XLOOKUP(MAX(INT((OFFSET($C$12,$I171,MATCH($T$11,$D$12:$G$12,0))-6)/10),1),组队产出!$B$25:$B$39,组队产出!$P$25:$P$39)*OFFSET($C$1,MATCH(V$12,$C$2:$C$7,0),MATCH($T$11,$D$12:$G$12,0))</f>
        <v>2284.8</v>
      </c>
      <c r="W171" s="163">
        <f ca="1">竞技场!$G$3*OFFSET($C$1,MATCH(W$12,$C$2:$C$7,0),MATCH($T$11,$D$12:$G$12,0))</f>
        <v>2100</v>
      </c>
      <c r="X17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1" s="23">
        <f>任务!$G$6+任务!$G$9+IF(MOD(S171,7)=0,任务!$N$9+任务!$O$6,0)</f>
        <v>895</v>
      </c>
      <c r="Z171" s="25">
        <f>公会!$U$11</f>
        <v>2766.62857142857</v>
      </c>
      <c r="AA171" s="163" t="e">
        <f ca="1">_xlfn.XLOOKUP(OFFSET($C$12,$I171,MATCH($T$11,$D$12:$G$12,0)),巡逻产出!$B$311:$B$610,巡逻产出!$Q$311:$Q$610)*OFFSET($C$1,MATCH(AA$12,$C$2:$C$7,0),MATCH($T$11,$D$12:$G$12,0))</f>
        <v>#N/A</v>
      </c>
      <c r="AC171" s="160">
        <v>159</v>
      </c>
      <c r="AD171" s="163" t="e">
        <f ca="1">_xlfn.XLOOKUP(OFFSET($C$12,$I171,MATCH($AD$11,$D$12:$G$12,0)),主线推图!$B$313:$B$612,主线推图!$P$313:$P$612)*OFFSET($C$1,MATCH(AD$12,$C$2:$C$7,0),MATCH($AD$11,$D$12:$G$12,0))</f>
        <v>#N/A</v>
      </c>
      <c r="AE171" s="163" t="e">
        <f ca="1">_xlfn.XLOOKUP(OFFSET($C$12,$I171,MATCH($AD$11,$D$12:$G$12,0)),巡逻产出!$B$311:$B$610,巡逻产出!$R$311:$R$610)*OFFSET($C$1,MATCH(AE$12,$C$2:$C$7,0),MATCH($AD$11,$D$12:$G$12,0))</f>
        <v>#N/A</v>
      </c>
      <c r="AF171" s="163" t="e">
        <f ca="1">_xlfn.XLOOKUP(MAX(INT((OFFSET($C$12,$I171,MATCH($AD$11,$D$12:$G$12,0))-6)/10),1),组队产出!$B$25:$B$39,组队产出!$P$25:$P$39)*OFFSET($C$1,MATCH(AF$12,$C$2:$C$7,0),MATCH($AD$11,$D$12:$G$12,0))</f>
        <v>#N/A</v>
      </c>
      <c r="AG171" s="163">
        <f ca="1">竞技场!$G$3*OFFSET($C$1,MATCH(AG$12,$C$2:$C$7,0),MATCH($AD$11,$D$12:$G$12,0))</f>
        <v>3150</v>
      </c>
      <c r="AH17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1" s="23">
        <f>任务!$G$6+任务!$G$9+IF(MOD(AC171,7)=0,任务!$N$9+任务!$O$6,0)</f>
        <v>895</v>
      </c>
      <c r="AJ171" s="25">
        <f>公会!$U$11</f>
        <v>2766.62857142857</v>
      </c>
      <c r="AK171" s="163" t="e">
        <f ca="1">_xlfn.XLOOKUP(OFFSET($C$12,$I171,MATCH($AD$11,$D$12:$G$12,0)),巡逻产出!$B$311:$B$610,巡逻产出!$Q$311:$Q$610)*OFFSET($C$1,MATCH(AK$12,$C$2:$C$7,0),MATCH($AD$11,$D$12:$G$12,0))</f>
        <v>#N/A</v>
      </c>
      <c r="AM171" s="164">
        <v>159</v>
      </c>
      <c r="AN171" s="165">
        <f t="shared" si="20"/>
        <v>18748</v>
      </c>
      <c r="AO171" s="165">
        <f t="shared" si="21"/>
        <v>23483</v>
      </c>
      <c r="AP171" s="165">
        <f t="shared" si="22"/>
        <v>37159</v>
      </c>
      <c r="AQ171" s="165">
        <f t="shared" si="23"/>
        <v>48852</v>
      </c>
    </row>
    <row r="172" spans="3:43">
      <c r="C172" s="160">
        <v>160</v>
      </c>
      <c r="D172" s="169">
        <v>165</v>
      </c>
      <c r="E172" s="170">
        <f t="shared" si="18"/>
        <v>114.75</v>
      </c>
      <c r="F172" s="169">
        <f t="shared" si="19"/>
        <v>132.849999999999</v>
      </c>
      <c r="G172" s="163">
        <f t="shared" si="24"/>
        <v>203</v>
      </c>
      <c r="I172" s="160">
        <v>160</v>
      </c>
      <c r="J172" s="163" t="e">
        <f ca="1">_xlfn.XLOOKUP(OFFSET($C$12,$I172,MATCH($J$11,$D$12:$G$12,0)),主线推图!$B$313:$B$612,主线推图!$P$313:$P$612)*OFFSET($C$1,MATCH(J$12,$C$2:$C$7,0),MATCH($J$11,$D$12:$G$12,0))</f>
        <v>#N/A</v>
      </c>
      <c r="K172" s="163" t="e">
        <f ca="1">_xlfn.XLOOKUP(OFFSET($C$12,$I172,MATCH($J$11,$D$12:$G$12,0)),巡逻产出!$B$311:$B$610,巡逻产出!$R$311:$R$610)*OFFSET($C$1,MATCH(K$12,$C$2:$C$7,0),MATCH($J$11,$D$12:$G$12,0))</f>
        <v>#N/A</v>
      </c>
      <c r="L172" s="163">
        <f ca="1">_xlfn.XLOOKUP(MAX(INT((OFFSET($C$12,$I172,MATCH($J$11,$D$12:$G$12,0))-6)/10),1),组队产出!$B$25:$B$39,组队产出!$P$25:$P$39)*OFFSET($C$1,MATCH(L$12,$C$2:$C$7,0),MATCH($J$11,$D$12:$G$12,0))</f>
        <v>1118.4</v>
      </c>
      <c r="M172" s="163">
        <f ca="1">竞技场!$G$3*OFFSET($C$1,MATCH(M$12,$C$2:$C$7,0),MATCH($J$11,$D$12:$G$12,0))</f>
        <v>1050</v>
      </c>
      <c r="N17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2" s="23">
        <f>任务!$G$6+任务!$G$9+IF(MOD(I172,7)=0,任务!$N$9+任务!$O$6,0)</f>
        <v>895</v>
      </c>
      <c r="P172" s="25">
        <f>公会!$U$11</f>
        <v>2766.62857142857</v>
      </c>
      <c r="Q172" s="163" t="e">
        <f ca="1">_xlfn.XLOOKUP(OFFSET($C$12,$I172,MATCH($J$11,$D$12:$G$12,0)),巡逻产出!$B$311:$B$610,巡逻产出!$Q$311:$Q$610)*OFFSET($C$1,MATCH(Q$12,$C$2:$C$7,0),MATCH($J$11,$D$12:$G$12,0))</f>
        <v>#N/A</v>
      </c>
      <c r="S172" s="160">
        <v>160</v>
      </c>
      <c r="T172" s="163" t="e">
        <f ca="1">_xlfn.XLOOKUP(OFFSET($C$12,$I172,MATCH($T$11,$D$12:$G$12,0)),主线推图!$B$313:$B$612,主线推图!$P$313:$P$612)*OFFSET($C$1,MATCH(T$12,$C$2:$C$7,0),MATCH($T$11,$D$12:$G$12,0))</f>
        <v>#N/A</v>
      </c>
      <c r="U172" s="163" t="e">
        <f ca="1">_xlfn.XLOOKUP(OFFSET($C$12,$I172,MATCH($T$11,$D$12:$G$12,0)),巡逻产出!$B$311:$B$610,巡逻产出!$R$311:$R$610)*OFFSET($C$1,MATCH(U$12,$C$2:$C$7,0),MATCH($T$11,$D$12:$G$12,0))</f>
        <v>#N/A</v>
      </c>
      <c r="V172" s="163">
        <f ca="1">_xlfn.XLOOKUP(MAX(INT((OFFSET($C$12,$I172,MATCH($T$11,$D$12:$G$12,0))-6)/10),1),组队产出!$B$25:$B$39,组队产出!$P$25:$P$39)*OFFSET($C$1,MATCH(V$12,$C$2:$C$7,0),MATCH($T$11,$D$12:$G$12,0))</f>
        <v>2284.8</v>
      </c>
      <c r="W172" s="163">
        <f ca="1">竞技场!$G$3*OFFSET($C$1,MATCH(W$12,$C$2:$C$7,0),MATCH($T$11,$D$12:$G$12,0))</f>
        <v>2100</v>
      </c>
      <c r="X17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2" s="23">
        <f>任务!$G$6+任务!$G$9+IF(MOD(S172,7)=0,任务!$N$9+任务!$O$6,0)</f>
        <v>895</v>
      </c>
      <c r="Z172" s="25">
        <f>公会!$U$11</f>
        <v>2766.62857142857</v>
      </c>
      <c r="AA172" s="163" t="e">
        <f ca="1">_xlfn.XLOOKUP(OFFSET($C$12,$I172,MATCH($T$11,$D$12:$G$12,0)),巡逻产出!$B$311:$B$610,巡逻产出!$Q$311:$Q$610)*OFFSET($C$1,MATCH(AA$12,$C$2:$C$7,0),MATCH($T$11,$D$12:$G$12,0))</f>
        <v>#N/A</v>
      </c>
      <c r="AC172" s="160">
        <v>160</v>
      </c>
      <c r="AD172" s="163">
        <f ca="1">_xlfn.XLOOKUP(OFFSET($C$12,$I172,MATCH($AD$11,$D$12:$G$12,0)),主线推图!$B$313:$B$612,主线推图!$P$313:$P$612)*OFFSET($C$1,MATCH(AD$12,$C$2:$C$7,0),MATCH($AD$11,$D$12:$G$12,0))</f>
        <v>3392.4</v>
      </c>
      <c r="AE172" s="163">
        <f ca="1">_xlfn.XLOOKUP(OFFSET($C$12,$I172,MATCH($AD$11,$D$12:$G$12,0)),巡逻产出!$B$311:$B$610,巡逻产出!$R$311:$R$610)*OFFSET($C$1,MATCH(AE$12,$C$2:$C$7,0),MATCH($AD$11,$D$12:$G$12,0))</f>
        <v>0</v>
      </c>
      <c r="AF172" s="163" t="e">
        <f ca="1">_xlfn.XLOOKUP(MAX(INT((OFFSET($C$12,$I172,MATCH($AD$11,$D$12:$G$12,0))-6)/10),1),组队产出!$B$25:$B$39,组队产出!$P$25:$P$39)*OFFSET($C$1,MATCH(AF$12,$C$2:$C$7,0),MATCH($AD$11,$D$12:$G$12,0))</f>
        <v>#N/A</v>
      </c>
      <c r="AG172" s="163">
        <f ca="1">竞技场!$G$3*OFFSET($C$1,MATCH(AG$12,$C$2:$C$7,0),MATCH($AD$11,$D$12:$G$12,0))</f>
        <v>3150</v>
      </c>
      <c r="AH17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2" s="23">
        <f>任务!$G$6+任务!$G$9+IF(MOD(AC172,7)=0,任务!$N$9+任务!$O$6,0)</f>
        <v>895</v>
      </c>
      <c r="AJ172" s="25">
        <f>公会!$U$11</f>
        <v>2766.62857142857</v>
      </c>
      <c r="AK172" s="163">
        <f ca="1">_xlfn.XLOOKUP(OFFSET($C$12,$I172,MATCH($AD$11,$D$12:$G$12,0)),巡逻产出!$B$311:$B$610,巡逻产出!$Q$311:$Q$610)*OFFSET($C$1,MATCH(AK$12,$C$2:$C$7,0),MATCH($AD$11,$D$12:$G$12,0))</f>
        <v>2347.488</v>
      </c>
      <c r="AM172" s="164">
        <v>160</v>
      </c>
      <c r="AN172" s="165">
        <f t="shared" si="20"/>
        <v>18861</v>
      </c>
      <c r="AO172" s="165">
        <f t="shared" si="21"/>
        <v>23626</v>
      </c>
      <c r="AP172" s="165">
        <f t="shared" si="22"/>
        <v>37387</v>
      </c>
      <c r="AQ172" s="165">
        <f t="shared" si="23"/>
        <v>49154</v>
      </c>
    </row>
    <row r="173" spans="3:43">
      <c r="C173" s="160">
        <v>161</v>
      </c>
      <c r="D173" s="169">
        <v>165</v>
      </c>
      <c r="E173" s="170">
        <f t="shared" si="18"/>
        <v>115</v>
      </c>
      <c r="F173" s="169">
        <f t="shared" si="19"/>
        <v>133.199999999999</v>
      </c>
      <c r="G173" s="163">
        <f t="shared" si="24"/>
        <v>203.5</v>
      </c>
      <c r="I173" s="160">
        <v>161</v>
      </c>
      <c r="J173" s="163" t="e">
        <f ca="1">_xlfn.XLOOKUP(OFFSET($C$12,$I173,MATCH($J$11,$D$12:$G$12,0)),主线推图!$B$313:$B$612,主线推图!$P$313:$P$612)*OFFSET($C$1,MATCH(J$12,$C$2:$C$7,0),MATCH($J$11,$D$12:$G$12,0))</f>
        <v>#N/A</v>
      </c>
      <c r="K173" s="163" t="e">
        <f ca="1">_xlfn.XLOOKUP(OFFSET($C$12,$I173,MATCH($J$11,$D$12:$G$12,0)),巡逻产出!$B$311:$B$610,巡逻产出!$R$311:$R$610)*OFFSET($C$1,MATCH(K$12,$C$2:$C$7,0),MATCH($J$11,$D$12:$G$12,0))</f>
        <v>#N/A</v>
      </c>
      <c r="L173" s="163">
        <f ca="1">_xlfn.XLOOKUP(MAX(INT((OFFSET($C$12,$I173,MATCH($J$11,$D$12:$G$12,0))-6)/10),1),组队产出!$B$25:$B$39,组队产出!$P$25:$P$39)*OFFSET($C$1,MATCH(L$12,$C$2:$C$7,0),MATCH($J$11,$D$12:$G$12,0))</f>
        <v>1118.4</v>
      </c>
      <c r="M173" s="163">
        <f ca="1">竞技场!$G$3*OFFSET($C$1,MATCH(M$12,$C$2:$C$7,0),MATCH($J$11,$D$12:$G$12,0))</f>
        <v>1050</v>
      </c>
      <c r="N17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3" s="23">
        <f>任务!$G$6+任务!$G$9+IF(MOD(I173,7)=0,任务!$N$9+任务!$O$6,0)</f>
        <v>3125</v>
      </c>
      <c r="P173" s="25">
        <f>公会!$U$11</f>
        <v>2766.62857142857</v>
      </c>
      <c r="Q173" s="163" t="e">
        <f ca="1">_xlfn.XLOOKUP(OFFSET($C$12,$I173,MATCH($J$11,$D$12:$G$12,0)),巡逻产出!$B$311:$B$610,巡逻产出!$Q$311:$Q$610)*OFFSET($C$1,MATCH(Q$12,$C$2:$C$7,0),MATCH($J$11,$D$12:$G$12,0))</f>
        <v>#N/A</v>
      </c>
      <c r="S173" s="160">
        <v>161</v>
      </c>
      <c r="T173" s="163" t="e">
        <f ca="1">_xlfn.XLOOKUP(OFFSET($C$12,$I173,MATCH($T$11,$D$12:$G$12,0)),主线推图!$B$313:$B$612,主线推图!$P$313:$P$612)*OFFSET($C$1,MATCH(T$12,$C$2:$C$7,0),MATCH($T$11,$D$12:$G$12,0))</f>
        <v>#N/A</v>
      </c>
      <c r="U173" s="163" t="e">
        <f ca="1">_xlfn.XLOOKUP(OFFSET($C$12,$I173,MATCH($T$11,$D$12:$G$12,0)),巡逻产出!$B$311:$B$610,巡逻产出!$R$311:$R$610)*OFFSET($C$1,MATCH(U$12,$C$2:$C$7,0),MATCH($T$11,$D$12:$G$12,0))</f>
        <v>#N/A</v>
      </c>
      <c r="V173" s="163">
        <f ca="1">_xlfn.XLOOKUP(MAX(INT((OFFSET($C$12,$I173,MATCH($T$11,$D$12:$G$12,0))-6)/10),1),组队产出!$B$25:$B$39,组队产出!$P$25:$P$39)*OFFSET($C$1,MATCH(V$12,$C$2:$C$7,0),MATCH($T$11,$D$12:$G$12,0))</f>
        <v>2284.8</v>
      </c>
      <c r="W173" s="163">
        <f ca="1">竞技场!$G$3*OFFSET($C$1,MATCH(W$12,$C$2:$C$7,0),MATCH($T$11,$D$12:$G$12,0))</f>
        <v>2100</v>
      </c>
      <c r="X17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3" s="23">
        <f>任务!$G$6+任务!$G$9+IF(MOD(S173,7)=0,任务!$N$9+任务!$O$6,0)</f>
        <v>3125</v>
      </c>
      <c r="Z173" s="25">
        <f>公会!$U$11</f>
        <v>2766.62857142857</v>
      </c>
      <c r="AA173" s="163" t="e">
        <f ca="1">_xlfn.XLOOKUP(OFFSET($C$12,$I173,MATCH($T$11,$D$12:$G$12,0)),巡逻产出!$B$311:$B$610,巡逻产出!$Q$311:$Q$610)*OFFSET($C$1,MATCH(AA$12,$C$2:$C$7,0),MATCH($T$11,$D$12:$G$12,0))</f>
        <v>#N/A</v>
      </c>
      <c r="AC173" s="160">
        <v>161</v>
      </c>
      <c r="AD173" s="163" t="e">
        <f ca="1">_xlfn.XLOOKUP(OFFSET($C$12,$I173,MATCH($AD$11,$D$12:$G$12,0)),主线推图!$B$313:$B$612,主线推图!$P$313:$P$612)*OFFSET($C$1,MATCH(AD$12,$C$2:$C$7,0),MATCH($AD$11,$D$12:$G$12,0))</f>
        <v>#N/A</v>
      </c>
      <c r="AE173" s="163" t="e">
        <f ca="1">_xlfn.XLOOKUP(OFFSET($C$12,$I173,MATCH($AD$11,$D$12:$G$12,0)),巡逻产出!$B$311:$B$610,巡逻产出!$R$311:$R$610)*OFFSET($C$1,MATCH(AE$12,$C$2:$C$7,0),MATCH($AD$11,$D$12:$G$12,0))</f>
        <v>#N/A</v>
      </c>
      <c r="AF173" s="163" t="e">
        <f ca="1">_xlfn.XLOOKUP(MAX(INT((OFFSET($C$12,$I173,MATCH($AD$11,$D$12:$G$12,0))-6)/10),1),组队产出!$B$25:$B$39,组队产出!$P$25:$P$39)*OFFSET($C$1,MATCH(AF$12,$C$2:$C$7,0),MATCH($AD$11,$D$12:$G$12,0))</f>
        <v>#N/A</v>
      </c>
      <c r="AG173" s="163">
        <f ca="1">竞技场!$G$3*OFFSET($C$1,MATCH(AG$12,$C$2:$C$7,0),MATCH($AD$11,$D$12:$G$12,0))</f>
        <v>3150</v>
      </c>
      <c r="AH17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3" s="23">
        <f>任务!$G$6+任务!$G$9+IF(MOD(AC173,7)=0,任务!$N$9+任务!$O$6,0)</f>
        <v>3125</v>
      </c>
      <c r="AJ173" s="25">
        <f>公会!$U$11</f>
        <v>2766.62857142857</v>
      </c>
      <c r="AK173" s="163" t="e">
        <f ca="1">_xlfn.XLOOKUP(OFFSET($C$12,$I173,MATCH($AD$11,$D$12:$G$12,0)),巡逻产出!$B$311:$B$610,巡逻产出!$Q$311:$Q$610)*OFFSET($C$1,MATCH(AK$12,$C$2:$C$7,0),MATCH($AD$11,$D$12:$G$12,0))</f>
        <v>#N/A</v>
      </c>
      <c r="AM173" s="164">
        <v>161</v>
      </c>
      <c r="AN173" s="165">
        <f t="shared" si="20"/>
        <v>18975</v>
      </c>
      <c r="AO173" s="165">
        <f t="shared" si="21"/>
        <v>23769</v>
      </c>
      <c r="AP173" s="165">
        <f t="shared" si="22"/>
        <v>37616</v>
      </c>
      <c r="AQ173" s="165">
        <f t="shared" si="23"/>
        <v>49456</v>
      </c>
    </row>
    <row r="174" spans="3:43">
      <c r="C174" s="160">
        <v>162</v>
      </c>
      <c r="D174" s="169">
        <v>165</v>
      </c>
      <c r="E174" s="170">
        <f t="shared" si="18"/>
        <v>115.25</v>
      </c>
      <c r="F174" s="169">
        <f t="shared" si="19"/>
        <v>133.549999999999</v>
      </c>
      <c r="G174" s="163">
        <f t="shared" si="24"/>
        <v>204</v>
      </c>
      <c r="I174" s="160">
        <v>162</v>
      </c>
      <c r="J174" s="163" t="e">
        <f ca="1">_xlfn.XLOOKUP(OFFSET($C$12,$I174,MATCH($J$11,$D$12:$G$12,0)),主线推图!$B$313:$B$612,主线推图!$P$313:$P$612)*OFFSET($C$1,MATCH(J$12,$C$2:$C$7,0),MATCH($J$11,$D$12:$G$12,0))</f>
        <v>#N/A</v>
      </c>
      <c r="K174" s="163" t="e">
        <f ca="1">_xlfn.XLOOKUP(OFFSET($C$12,$I174,MATCH($J$11,$D$12:$G$12,0)),巡逻产出!$B$311:$B$610,巡逻产出!$R$311:$R$610)*OFFSET($C$1,MATCH(K$12,$C$2:$C$7,0),MATCH($J$11,$D$12:$G$12,0))</f>
        <v>#N/A</v>
      </c>
      <c r="L174" s="163">
        <f ca="1">_xlfn.XLOOKUP(MAX(INT((OFFSET($C$12,$I174,MATCH($J$11,$D$12:$G$12,0))-6)/10),1),组队产出!$B$25:$B$39,组队产出!$P$25:$P$39)*OFFSET($C$1,MATCH(L$12,$C$2:$C$7,0),MATCH($J$11,$D$12:$G$12,0))</f>
        <v>1118.4</v>
      </c>
      <c r="M174" s="163">
        <f ca="1">竞技场!$G$3*OFFSET($C$1,MATCH(M$12,$C$2:$C$7,0),MATCH($J$11,$D$12:$G$12,0))</f>
        <v>1050</v>
      </c>
      <c r="N17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4" s="23">
        <f>任务!$G$6+任务!$G$9+IF(MOD(I174,7)=0,任务!$N$9+任务!$O$6,0)</f>
        <v>895</v>
      </c>
      <c r="P174" s="25">
        <f>公会!$U$11</f>
        <v>2766.62857142857</v>
      </c>
      <c r="Q174" s="163" t="e">
        <f ca="1">_xlfn.XLOOKUP(OFFSET($C$12,$I174,MATCH($J$11,$D$12:$G$12,0)),巡逻产出!$B$311:$B$610,巡逻产出!$Q$311:$Q$610)*OFFSET($C$1,MATCH(Q$12,$C$2:$C$7,0),MATCH($J$11,$D$12:$G$12,0))</f>
        <v>#N/A</v>
      </c>
      <c r="S174" s="160">
        <v>162</v>
      </c>
      <c r="T174" s="163" t="e">
        <f ca="1">_xlfn.XLOOKUP(OFFSET($C$12,$I174,MATCH($T$11,$D$12:$G$12,0)),主线推图!$B$313:$B$612,主线推图!$P$313:$P$612)*OFFSET($C$1,MATCH(T$12,$C$2:$C$7,0),MATCH($T$11,$D$12:$G$12,0))</f>
        <v>#N/A</v>
      </c>
      <c r="U174" s="163" t="e">
        <f ca="1">_xlfn.XLOOKUP(OFFSET($C$12,$I174,MATCH($T$11,$D$12:$G$12,0)),巡逻产出!$B$311:$B$610,巡逻产出!$R$311:$R$610)*OFFSET($C$1,MATCH(U$12,$C$2:$C$7,0),MATCH($T$11,$D$12:$G$12,0))</f>
        <v>#N/A</v>
      </c>
      <c r="V174" s="163">
        <f ca="1">_xlfn.XLOOKUP(MAX(INT((OFFSET($C$12,$I174,MATCH($T$11,$D$12:$G$12,0))-6)/10),1),组队产出!$B$25:$B$39,组队产出!$P$25:$P$39)*OFFSET($C$1,MATCH(V$12,$C$2:$C$7,0),MATCH($T$11,$D$12:$G$12,0))</f>
        <v>2284.8</v>
      </c>
      <c r="W174" s="163">
        <f ca="1">竞技场!$G$3*OFFSET($C$1,MATCH(W$12,$C$2:$C$7,0),MATCH($T$11,$D$12:$G$12,0))</f>
        <v>2100</v>
      </c>
      <c r="X17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4" s="23">
        <f>任务!$G$6+任务!$G$9+IF(MOD(S174,7)=0,任务!$N$9+任务!$O$6,0)</f>
        <v>895</v>
      </c>
      <c r="Z174" s="25">
        <f>公会!$U$11</f>
        <v>2766.62857142857</v>
      </c>
      <c r="AA174" s="163" t="e">
        <f ca="1">_xlfn.XLOOKUP(OFFSET($C$12,$I174,MATCH($T$11,$D$12:$G$12,0)),巡逻产出!$B$311:$B$610,巡逻产出!$Q$311:$Q$610)*OFFSET($C$1,MATCH(AA$12,$C$2:$C$7,0),MATCH($T$11,$D$12:$G$12,0))</f>
        <v>#N/A</v>
      </c>
      <c r="AC174" s="160">
        <v>162</v>
      </c>
      <c r="AD174" s="163">
        <f ca="1">_xlfn.XLOOKUP(OFFSET($C$12,$I174,MATCH($AD$11,$D$12:$G$12,0)),主线推图!$B$313:$B$612,主线推图!$P$313:$P$612)*OFFSET($C$1,MATCH(AD$12,$C$2:$C$7,0),MATCH($AD$11,$D$12:$G$12,0))</f>
        <v>3394.6</v>
      </c>
      <c r="AE174" s="163">
        <f ca="1">_xlfn.XLOOKUP(OFFSET($C$12,$I174,MATCH($AD$11,$D$12:$G$12,0)),巡逻产出!$B$311:$B$610,巡逻产出!$R$311:$R$610)*OFFSET($C$1,MATCH(AE$12,$C$2:$C$7,0),MATCH($AD$11,$D$12:$G$12,0))</f>
        <v>0</v>
      </c>
      <c r="AF174" s="163" t="e">
        <f ca="1">_xlfn.XLOOKUP(MAX(INT((OFFSET($C$12,$I174,MATCH($AD$11,$D$12:$G$12,0))-6)/10),1),组队产出!$B$25:$B$39,组队产出!$P$25:$P$39)*OFFSET($C$1,MATCH(AF$12,$C$2:$C$7,0),MATCH($AD$11,$D$12:$G$12,0))</f>
        <v>#N/A</v>
      </c>
      <c r="AG174" s="163">
        <f ca="1">竞技场!$G$3*OFFSET($C$1,MATCH(AG$12,$C$2:$C$7,0),MATCH($AD$11,$D$12:$G$12,0))</f>
        <v>3150</v>
      </c>
      <c r="AH17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4" s="23">
        <f>任务!$G$6+任务!$G$9+IF(MOD(AC174,7)=0,任务!$N$9+任务!$O$6,0)</f>
        <v>895</v>
      </c>
      <c r="AJ174" s="25">
        <f>公会!$U$11</f>
        <v>2766.62857142857</v>
      </c>
      <c r="AK174" s="163">
        <f ca="1">_xlfn.XLOOKUP(OFFSET($C$12,$I174,MATCH($AD$11,$D$12:$G$12,0)),巡逻产出!$B$311:$B$610,巡逻产出!$Q$311:$Q$610)*OFFSET($C$1,MATCH(AK$12,$C$2:$C$7,0),MATCH($AD$11,$D$12:$G$12,0))</f>
        <v>2349.048</v>
      </c>
      <c r="AM174" s="164">
        <v>162</v>
      </c>
      <c r="AN174" s="165">
        <f t="shared" si="20"/>
        <v>19088</v>
      </c>
      <c r="AO174" s="165">
        <f t="shared" si="21"/>
        <v>23912</v>
      </c>
      <c r="AP174" s="165">
        <f t="shared" si="22"/>
        <v>37844</v>
      </c>
      <c r="AQ174" s="165">
        <f t="shared" si="23"/>
        <v>49758</v>
      </c>
    </row>
    <row r="175" spans="3:43">
      <c r="C175" s="160">
        <v>163</v>
      </c>
      <c r="D175" s="169">
        <v>166</v>
      </c>
      <c r="E175" s="170">
        <f t="shared" si="18"/>
        <v>115.5</v>
      </c>
      <c r="F175" s="169">
        <f t="shared" si="19"/>
        <v>133.899999999999</v>
      </c>
      <c r="G175" s="163">
        <f t="shared" si="24"/>
        <v>204.5</v>
      </c>
      <c r="I175" s="160">
        <v>163</v>
      </c>
      <c r="J175" s="163" t="e">
        <f ca="1">_xlfn.XLOOKUP(OFFSET($C$12,$I175,MATCH($J$11,$D$12:$G$12,0)),主线推图!$B$313:$B$612,主线推图!$P$313:$P$612)*OFFSET($C$1,MATCH(J$12,$C$2:$C$7,0),MATCH($J$11,$D$12:$G$12,0))</f>
        <v>#N/A</v>
      </c>
      <c r="K175" s="163" t="e">
        <f ca="1">_xlfn.XLOOKUP(OFFSET($C$12,$I175,MATCH($J$11,$D$12:$G$12,0)),巡逻产出!$B$311:$B$610,巡逻产出!$R$311:$R$610)*OFFSET($C$1,MATCH(K$12,$C$2:$C$7,0),MATCH($J$11,$D$12:$G$12,0))</f>
        <v>#N/A</v>
      </c>
      <c r="L175" s="163">
        <f ca="1">_xlfn.XLOOKUP(MAX(INT((OFFSET($C$12,$I175,MATCH($J$11,$D$12:$G$12,0))-6)/10),1),组队产出!$B$25:$B$39,组队产出!$P$25:$P$39)*OFFSET($C$1,MATCH(L$12,$C$2:$C$7,0),MATCH($J$11,$D$12:$G$12,0))</f>
        <v>1118.4</v>
      </c>
      <c r="M175" s="163">
        <f ca="1">竞技场!$G$3*OFFSET($C$1,MATCH(M$12,$C$2:$C$7,0),MATCH($J$11,$D$12:$G$12,0))</f>
        <v>1050</v>
      </c>
      <c r="N17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5" s="23">
        <f>任务!$G$6+任务!$G$9+IF(MOD(I175,7)=0,任务!$N$9+任务!$O$6,0)</f>
        <v>895</v>
      </c>
      <c r="P175" s="25">
        <f>公会!$U$11</f>
        <v>2766.62857142857</v>
      </c>
      <c r="Q175" s="163" t="e">
        <f ca="1">_xlfn.XLOOKUP(OFFSET($C$12,$I175,MATCH($J$11,$D$12:$G$12,0)),巡逻产出!$B$311:$B$610,巡逻产出!$Q$311:$Q$610)*OFFSET($C$1,MATCH(Q$12,$C$2:$C$7,0),MATCH($J$11,$D$12:$G$12,0))</f>
        <v>#N/A</v>
      </c>
      <c r="S175" s="160">
        <v>163</v>
      </c>
      <c r="T175" s="163" t="e">
        <f ca="1">_xlfn.XLOOKUP(OFFSET($C$12,$I175,MATCH($T$11,$D$12:$G$12,0)),主线推图!$B$313:$B$612,主线推图!$P$313:$P$612)*OFFSET($C$1,MATCH(T$12,$C$2:$C$7,0),MATCH($T$11,$D$12:$G$12,0))</f>
        <v>#N/A</v>
      </c>
      <c r="U175" s="163" t="e">
        <f ca="1">_xlfn.XLOOKUP(OFFSET($C$12,$I175,MATCH($T$11,$D$12:$G$12,0)),巡逻产出!$B$311:$B$610,巡逻产出!$R$311:$R$610)*OFFSET($C$1,MATCH(U$12,$C$2:$C$7,0),MATCH($T$11,$D$12:$G$12,0))</f>
        <v>#N/A</v>
      </c>
      <c r="V175" s="163">
        <f ca="1">_xlfn.XLOOKUP(MAX(INT((OFFSET($C$12,$I175,MATCH($T$11,$D$12:$G$12,0))-6)/10),1),组队产出!$B$25:$B$39,组队产出!$P$25:$P$39)*OFFSET($C$1,MATCH(V$12,$C$2:$C$7,0),MATCH($T$11,$D$12:$G$12,0))</f>
        <v>2284.8</v>
      </c>
      <c r="W175" s="163">
        <f ca="1">竞技场!$G$3*OFFSET($C$1,MATCH(W$12,$C$2:$C$7,0),MATCH($T$11,$D$12:$G$12,0))</f>
        <v>2100</v>
      </c>
      <c r="X17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5" s="23">
        <f>任务!$G$6+任务!$G$9+IF(MOD(S175,7)=0,任务!$N$9+任务!$O$6,0)</f>
        <v>895</v>
      </c>
      <c r="Z175" s="25">
        <f>公会!$U$11</f>
        <v>2766.62857142857</v>
      </c>
      <c r="AA175" s="163" t="e">
        <f ca="1">_xlfn.XLOOKUP(OFFSET($C$12,$I175,MATCH($T$11,$D$12:$G$12,0)),巡逻产出!$B$311:$B$610,巡逻产出!$Q$311:$Q$610)*OFFSET($C$1,MATCH(AA$12,$C$2:$C$7,0),MATCH($T$11,$D$12:$G$12,0))</f>
        <v>#N/A</v>
      </c>
      <c r="AC175" s="160">
        <v>163</v>
      </c>
      <c r="AD175" s="163" t="e">
        <f ca="1">_xlfn.XLOOKUP(OFFSET($C$12,$I175,MATCH($AD$11,$D$12:$G$12,0)),主线推图!$B$313:$B$612,主线推图!$P$313:$P$612)*OFFSET($C$1,MATCH(AD$12,$C$2:$C$7,0),MATCH($AD$11,$D$12:$G$12,0))</f>
        <v>#N/A</v>
      </c>
      <c r="AE175" s="163" t="e">
        <f ca="1">_xlfn.XLOOKUP(OFFSET($C$12,$I175,MATCH($AD$11,$D$12:$G$12,0)),巡逻产出!$B$311:$B$610,巡逻产出!$R$311:$R$610)*OFFSET($C$1,MATCH(AE$12,$C$2:$C$7,0),MATCH($AD$11,$D$12:$G$12,0))</f>
        <v>#N/A</v>
      </c>
      <c r="AF175" s="163" t="e">
        <f ca="1">_xlfn.XLOOKUP(MAX(INT((OFFSET($C$12,$I175,MATCH($AD$11,$D$12:$G$12,0))-6)/10),1),组队产出!$B$25:$B$39,组队产出!$P$25:$P$39)*OFFSET($C$1,MATCH(AF$12,$C$2:$C$7,0),MATCH($AD$11,$D$12:$G$12,0))</f>
        <v>#N/A</v>
      </c>
      <c r="AG175" s="163">
        <f ca="1">竞技场!$G$3*OFFSET($C$1,MATCH(AG$12,$C$2:$C$7,0),MATCH($AD$11,$D$12:$G$12,0))</f>
        <v>3150</v>
      </c>
      <c r="AH17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5" s="23">
        <f>任务!$G$6+任务!$G$9+IF(MOD(AC175,7)=0,任务!$N$9+任务!$O$6,0)</f>
        <v>895</v>
      </c>
      <c r="AJ175" s="25">
        <f>公会!$U$11</f>
        <v>2766.62857142857</v>
      </c>
      <c r="AK175" s="163" t="e">
        <f ca="1">_xlfn.XLOOKUP(OFFSET($C$12,$I175,MATCH($AD$11,$D$12:$G$12,0)),巡逻产出!$B$311:$B$610,巡逻产出!$Q$311:$Q$610)*OFFSET($C$1,MATCH(AK$12,$C$2:$C$7,0),MATCH($AD$11,$D$12:$G$12,0))</f>
        <v>#N/A</v>
      </c>
      <c r="AM175" s="164">
        <v>163</v>
      </c>
      <c r="AN175" s="165">
        <f t="shared" si="20"/>
        <v>19202</v>
      </c>
      <c r="AO175" s="165">
        <f t="shared" si="21"/>
        <v>24055</v>
      </c>
      <c r="AP175" s="165">
        <f t="shared" si="22"/>
        <v>38073</v>
      </c>
      <c r="AQ175" s="165">
        <f t="shared" si="23"/>
        <v>50060</v>
      </c>
    </row>
    <row r="176" spans="3:43">
      <c r="C176" s="160">
        <v>164</v>
      </c>
      <c r="D176" s="169">
        <v>166</v>
      </c>
      <c r="E176" s="170">
        <f t="shared" si="18"/>
        <v>115.75</v>
      </c>
      <c r="F176" s="169">
        <f t="shared" si="19"/>
        <v>134.249999999999</v>
      </c>
      <c r="G176" s="163">
        <f t="shared" si="24"/>
        <v>205</v>
      </c>
      <c r="I176" s="160">
        <v>164</v>
      </c>
      <c r="J176" s="163" t="e">
        <f ca="1">_xlfn.XLOOKUP(OFFSET($C$12,$I176,MATCH($J$11,$D$12:$G$12,0)),主线推图!$B$313:$B$612,主线推图!$P$313:$P$612)*OFFSET($C$1,MATCH(J$12,$C$2:$C$7,0),MATCH($J$11,$D$12:$G$12,0))</f>
        <v>#N/A</v>
      </c>
      <c r="K176" s="163" t="e">
        <f ca="1">_xlfn.XLOOKUP(OFFSET($C$12,$I176,MATCH($J$11,$D$12:$G$12,0)),巡逻产出!$B$311:$B$610,巡逻产出!$R$311:$R$610)*OFFSET($C$1,MATCH(K$12,$C$2:$C$7,0),MATCH($J$11,$D$12:$G$12,0))</f>
        <v>#N/A</v>
      </c>
      <c r="L176" s="163">
        <f ca="1">_xlfn.XLOOKUP(MAX(INT((OFFSET($C$12,$I176,MATCH($J$11,$D$12:$G$12,0))-6)/10),1),组队产出!$B$25:$B$39,组队产出!$P$25:$P$39)*OFFSET($C$1,MATCH(L$12,$C$2:$C$7,0),MATCH($J$11,$D$12:$G$12,0))</f>
        <v>1118.4</v>
      </c>
      <c r="M176" s="163">
        <f ca="1">竞技场!$G$3*OFFSET($C$1,MATCH(M$12,$C$2:$C$7,0),MATCH($J$11,$D$12:$G$12,0))</f>
        <v>1050</v>
      </c>
      <c r="N17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6" s="23">
        <f>任务!$G$6+任务!$G$9+IF(MOD(I176,7)=0,任务!$N$9+任务!$O$6,0)</f>
        <v>895</v>
      </c>
      <c r="P176" s="25">
        <f>公会!$U$11</f>
        <v>2766.62857142857</v>
      </c>
      <c r="Q176" s="163" t="e">
        <f ca="1">_xlfn.XLOOKUP(OFFSET($C$12,$I176,MATCH($J$11,$D$12:$G$12,0)),巡逻产出!$B$311:$B$610,巡逻产出!$Q$311:$Q$610)*OFFSET($C$1,MATCH(Q$12,$C$2:$C$7,0),MATCH($J$11,$D$12:$G$12,0))</f>
        <v>#N/A</v>
      </c>
      <c r="S176" s="160">
        <v>164</v>
      </c>
      <c r="T176" s="163" t="e">
        <f ca="1">_xlfn.XLOOKUP(OFFSET($C$12,$I176,MATCH($T$11,$D$12:$G$12,0)),主线推图!$B$313:$B$612,主线推图!$P$313:$P$612)*OFFSET($C$1,MATCH(T$12,$C$2:$C$7,0),MATCH($T$11,$D$12:$G$12,0))</f>
        <v>#N/A</v>
      </c>
      <c r="U176" s="163" t="e">
        <f ca="1">_xlfn.XLOOKUP(OFFSET($C$12,$I176,MATCH($T$11,$D$12:$G$12,0)),巡逻产出!$B$311:$B$610,巡逻产出!$R$311:$R$610)*OFFSET($C$1,MATCH(U$12,$C$2:$C$7,0),MATCH($T$11,$D$12:$G$12,0))</f>
        <v>#N/A</v>
      </c>
      <c r="V176" s="163">
        <f ca="1">_xlfn.XLOOKUP(MAX(INT((OFFSET($C$12,$I176,MATCH($T$11,$D$12:$G$12,0))-6)/10),1),组队产出!$B$25:$B$39,组队产出!$P$25:$P$39)*OFFSET($C$1,MATCH(V$12,$C$2:$C$7,0),MATCH($T$11,$D$12:$G$12,0))</f>
        <v>2284.8</v>
      </c>
      <c r="W176" s="163">
        <f ca="1">竞技场!$G$3*OFFSET($C$1,MATCH(W$12,$C$2:$C$7,0),MATCH($T$11,$D$12:$G$12,0))</f>
        <v>2100</v>
      </c>
      <c r="X17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6" s="23">
        <f>任务!$G$6+任务!$G$9+IF(MOD(S176,7)=0,任务!$N$9+任务!$O$6,0)</f>
        <v>895</v>
      </c>
      <c r="Z176" s="25">
        <f>公会!$U$11</f>
        <v>2766.62857142857</v>
      </c>
      <c r="AA176" s="163" t="e">
        <f ca="1">_xlfn.XLOOKUP(OFFSET($C$12,$I176,MATCH($T$11,$D$12:$G$12,0)),巡逻产出!$B$311:$B$610,巡逻产出!$Q$311:$Q$610)*OFFSET($C$1,MATCH(AA$12,$C$2:$C$7,0),MATCH($T$11,$D$12:$G$12,0))</f>
        <v>#N/A</v>
      </c>
      <c r="AC176" s="160">
        <v>164</v>
      </c>
      <c r="AD176" s="163">
        <f ca="1">_xlfn.XLOOKUP(OFFSET($C$12,$I176,MATCH($AD$11,$D$12:$G$12,0)),主线推图!$B$313:$B$612,主线推图!$P$313:$P$612)*OFFSET($C$1,MATCH(AD$12,$C$2:$C$7,0),MATCH($AD$11,$D$12:$G$12,0))</f>
        <v>3396.8</v>
      </c>
      <c r="AE176" s="163">
        <f ca="1">_xlfn.XLOOKUP(OFFSET($C$12,$I176,MATCH($AD$11,$D$12:$G$12,0)),巡逻产出!$B$311:$B$610,巡逻产出!$R$311:$R$610)*OFFSET($C$1,MATCH(AE$12,$C$2:$C$7,0),MATCH($AD$11,$D$12:$G$12,0))</f>
        <v>0</v>
      </c>
      <c r="AF176" s="163" t="e">
        <f ca="1">_xlfn.XLOOKUP(MAX(INT((OFFSET($C$12,$I176,MATCH($AD$11,$D$12:$G$12,0))-6)/10),1),组队产出!$B$25:$B$39,组队产出!$P$25:$P$39)*OFFSET($C$1,MATCH(AF$12,$C$2:$C$7,0),MATCH($AD$11,$D$12:$G$12,0))</f>
        <v>#N/A</v>
      </c>
      <c r="AG176" s="163">
        <f ca="1">竞技场!$G$3*OFFSET($C$1,MATCH(AG$12,$C$2:$C$7,0),MATCH($AD$11,$D$12:$G$12,0))</f>
        <v>3150</v>
      </c>
      <c r="AH17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6" s="23">
        <f>任务!$G$6+任务!$G$9+IF(MOD(AC176,7)=0,任务!$N$9+任务!$O$6,0)</f>
        <v>895</v>
      </c>
      <c r="AJ176" s="25">
        <f>公会!$U$11</f>
        <v>2766.62857142857</v>
      </c>
      <c r="AK176" s="163">
        <f ca="1">_xlfn.XLOOKUP(OFFSET($C$12,$I176,MATCH($AD$11,$D$12:$G$12,0)),巡逻产出!$B$311:$B$610,巡逻产出!$Q$311:$Q$610)*OFFSET($C$1,MATCH(AK$12,$C$2:$C$7,0),MATCH($AD$11,$D$12:$G$12,0))</f>
        <v>2350.608</v>
      </c>
      <c r="AM176" s="164">
        <v>164</v>
      </c>
      <c r="AN176" s="165">
        <f t="shared" si="20"/>
        <v>19315</v>
      </c>
      <c r="AO176" s="165">
        <f t="shared" si="21"/>
        <v>24198</v>
      </c>
      <c r="AP176" s="165">
        <f t="shared" si="22"/>
        <v>38301</v>
      </c>
      <c r="AQ176" s="165">
        <f t="shared" si="23"/>
        <v>50362</v>
      </c>
    </row>
    <row r="177" spans="3:43">
      <c r="C177" s="160">
        <v>165</v>
      </c>
      <c r="D177" s="169">
        <v>166</v>
      </c>
      <c r="E177" s="170">
        <f t="shared" si="18"/>
        <v>116</v>
      </c>
      <c r="F177" s="169">
        <f t="shared" si="19"/>
        <v>134.599999999999</v>
      </c>
      <c r="G177" s="163">
        <f t="shared" si="24"/>
        <v>205.5</v>
      </c>
      <c r="I177" s="160">
        <v>165</v>
      </c>
      <c r="J177" s="163" t="e">
        <f ca="1">_xlfn.XLOOKUP(OFFSET($C$12,$I177,MATCH($J$11,$D$12:$G$12,0)),主线推图!$B$313:$B$612,主线推图!$P$313:$P$612)*OFFSET($C$1,MATCH(J$12,$C$2:$C$7,0),MATCH($J$11,$D$12:$G$12,0))</f>
        <v>#N/A</v>
      </c>
      <c r="K177" s="163" t="e">
        <f ca="1">_xlfn.XLOOKUP(OFFSET($C$12,$I177,MATCH($J$11,$D$12:$G$12,0)),巡逻产出!$B$311:$B$610,巡逻产出!$R$311:$R$610)*OFFSET($C$1,MATCH(K$12,$C$2:$C$7,0),MATCH($J$11,$D$12:$G$12,0))</f>
        <v>#N/A</v>
      </c>
      <c r="L177" s="163">
        <f ca="1">_xlfn.XLOOKUP(MAX(INT((OFFSET($C$12,$I177,MATCH($J$11,$D$12:$G$12,0))-6)/10),1),组队产出!$B$25:$B$39,组队产出!$P$25:$P$39)*OFFSET($C$1,MATCH(L$12,$C$2:$C$7,0),MATCH($J$11,$D$12:$G$12,0))</f>
        <v>1118.4</v>
      </c>
      <c r="M177" s="163">
        <f ca="1">竞技场!$G$3*OFFSET($C$1,MATCH(M$12,$C$2:$C$7,0),MATCH($J$11,$D$12:$G$12,0))</f>
        <v>1050</v>
      </c>
      <c r="N17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7" s="23">
        <f>任务!$G$6+任务!$G$9+IF(MOD(I177,7)=0,任务!$N$9+任务!$O$6,0)</f>
        <v>895</v>
      </c>
      <c r="P177" s="25">
        <f>公会!$U$11</f>
        <v>2766.62857142857</v>
      </c>
      <c r="Q177" s="163" t="e">
        <f ca="1">_xlfn.XLOOKUP(OFFSET($C$12,$I177,MATCH($J$11,$D$12:$G$12,0)),巡逻产出!$B$311:$B$610,巡逻产出!$Q$311:$Q$610)*OFFSET($C$1,MATCH(Q$12,$C$2:$C$7,0),MATCH($J$11,$D$12:$G$12,0))</f>
        <v>#N/A</v>
      </c>
      <c r="S177" s="160">
        <v>165</v>
      </c>
      <c r="T177" s="163" t="e">
        <f ca="1">_xlfn.XLOOKUP(OFFSET($C$12,$I177,MATCH($T$11,$D$12:$G$12,0)),主线推图!$B$313:$B$612,主线推图!$P$313:$P$612)*OFFSET($C$1,MATCH(T$12,$C$2:$C$7,0),MATCH($T$11,$D$12:$G$12,0))</f>
        <v>#N/A</v>
      </c>
      <c r="U177" s="163" t="e">
        <f ca="1">_xlfn.XLOOKUP(OFFSET($C$12,$I177,MATCH($T$11,$D$12:$G$12,0)),巡逻产出!$B$311:$B$610,巡逻产出!$R$311:$R$610)*OFFSET($C$1,MATCH(U$12,$C$2:$C$7,0),MATCH($T$11,$D$12:$G$12,0))</f>
        <v>#N/A</v>
      </c>
      <c r="V177" s="163">
        <f ca="1">_xlfn.XLOOKUP(MAX(INT((OFFSET($C$12,$I177,MATCH($T$11,$D$12:$G$12,0))-6)/10),1),组队产出!$B$25:$B$39,组队产出!$P$25:$P$39)*OFFSET($C$1,MATCH(V$12,$C$2:$C$7,0),MATCH($T$11,$D$12:$G$12,0))</f>
        <v>2284.8</v>
      </c>
      <c r="W177" s="163">
        <f ca="1">竞技场!$G$3*OFFSET($C$1,MATCH(W$12,$C$2:$C$7,0),MATCH($T$11,$D$12:$G$12,0))</f>
        <v>2100</v>
      </c>
      <c r="X17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7" s="23">
        <f>任务!$G$6+任务!$G$9+IF(MOD(S177,7)=0,任务!$N$9+任务!$O$6,0)</f>
        <v>895</v>
      </c>
      <c r="Z177" s="25">
        <f>公会!$U$11</f>
        <v>2766.62857142857</v>
      </c>
      <c r="AA177" s="163" t="e">
        <f ca="1">_xlfn.XLOOKUP(OFFSET($C$12,$I177,MATCH($T$11,$D$12:$G$12,0)),巡逻产出!$B$311:$B$610,巡逻产出!$Q$311:$Q$610)*OFFSET($C$1,MATCH(AA$12,$C$2:$C$7,0),MATCH($T$11,$D$12:$G$12,0))</f>
        <v>#N/A</v>
      </c>
      <c r="AC177" s="160">
        <v>165</v>
      </c>
      <c r="AD177" s="163" t="e">
        <f ca="1">_xlfn.XLOOKUP(OFFSET($C$12,$I177,MATCH($AD$11,$D$12:$G$12,0)),主线推图!$B$313:$B$612,主线推图!$P$313:$P$612)*OFFSET($C$1,MATCH(AD$12,$C$2:$C$7,0),MATCH($AD$11,$D$12:$G$12,0))</f>
        <v>#N/A</v>
      </c>
      <c r="AE177" s="163" t="e">
        <f ca="1">_xlfn.XLOOKUP(OFFSET($C$12,$I177,MATCH($AD$11,$D$12:$G$12,0)),巡逻产出!$B$311:$B$610,巡逻产出!$R$311:$R$610)*OFFSET($C$1,MATCH(AE$12,$C$2:$C$7,0),MATCH($AD$11,$D$12:$G$12,0))</f>
        <v>#N/A</v>
      </c>
      <c r="AF177" s="163" t="e">
        <f ca="1">_xlfn.XLOOKUP(MAX(INT((OFFSET($C$12,$I177,MATCH($AD$11,$D$12:$G$12,0))-6)/10),1),组队产出!$B$25:$B$39,组队产出!$P$25:$P$39)*OFFSET($C$1,MATCH(AF$12,$C$2:$C$7,0),MATCH($AD$11,$D$12:$G$12,0))</f>
        <v>#N/A</v>
      </c>
      <c r="AG177" s="163">
        <f ca="1">竞技场!$G$3*OFFSET($C$1,MATCH(AG$12,$C$2:$C$7,0),MATCH($AD$11,$D$12:$G$12,0))</f>
        <v>3150</v>
      </c>
      <c r="AH17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7" s="23">
        <f>任务!$G$6+任务!$G$9+IF(MOD(AC177,7)=0,任务!$N$9+任务!$O$6,0)</f>
        <v>895</v>
      </c>
      <c r="AJ177" s="25">
        <f>公会!$U$11</f>
        <v>2766.62857142857</v>
      </c>
      <c r="AK177" s="163" t="e">
        <f ca="1">_xlfn.XLOOKUP(OFFSET($C$12,$I177,MATCH($AD$11,$D$12:$G$12,0)),巡逻产出!$B$311:$B$610,巡逻产出!$Q$311:$Q$610)*OFFSET($C$1,MATCH(AK$12,$C$2:$C$7,0),MATCH($AD$11,$D$12:$G$12,0))</f>
        <v>#N/A</v>
      </c>
      <c r="AM177" s="164">
        <v>165</v>
      </c>
      <c r="AN177" s="165">
        <f t="shared" si="20"/>
        <v>19429</v>
      </c>
      <c r="AO177" s="165">
        <f t="shared" si="21"/>
        <v>24341</v>
      </c>
      <c r="AP177" s="165">
        <f t="shared" si="22"/>
        <v>38530</v>
      </c>
      <c r="AQ177" s="165">
        <f t="shared" si="23"/>
        <v>50664</v>
      </c>
    </row>
    <row r="178" spans="3:43">
      <c r="C178" s="160">
        <v>166</v>
      </c>
      <c r="D178" s="169">
        <v>166</v>
      </c>
      <c r="E178" s="170">
        <f t="shared" si="18"/>
        <v>116.25</v>
      </c>
      <c r="F178" s="169">
        <f t="shared" si="19"/>
        <v>134.949999999999</v>
      </c>
      <c r="G178" s="163">
        <f t="shared" ref="G178:G209" si="25">G177+0.5</f>
        <v>206</v>
      </c>
      <c r="I178" s="160">
        <v>166</v>
      </c>
      <c r="J178" s="163" t="e">
        <f ca="1">_xlfn.XLOOKUP(OFFSET($C$12,$I178,MATCH($J$11,$D$12:$G$12,0)),主线推图!$B$313:$B$612,主线推图!$P$313:$P$612)*OFFSET($C$1,MATCH(J$12,$C$2:$C$7,0),MATCH($J$11,$D$12:$G$12,0))</f>
        <v>#N/A</v>
      </c>
      <c r="K178" s="163" t="e">
        <f ca="1">_xlfn.XLOOKUP(OFFSET($C$12,$I178,MATCH($J$11,$D$12:$G$12,0)),巡逻产出!$B$311:$B$610,巡逻产出!$R$311:$R$610)*OFFSET($C$1,MATCH(K$12,$C$2:$C$7,0),MATCH($J$11,$D$12:$G$12,0))</f>
        <v>#N/A</v>
      </c>
      <c r="L178" s="163">
        <f ca="1">_xlfn.XLOOKUP(MAX(INT((OFFSET($C$12,$I178,MATCH($J$11,$D$12:$G$12,0))-6)/10),1),组队产出!$B$25:$B$39,组队产出!$P$25:$P$39)*OFFSET($C$1,MATCH(L$12,$C$2:$C$7,0),MATCH($J$11,$D$12:$G$12,0))</f>
        <v>1118.4</v>
      </c>
      <c r="M178" s="163">
        <f ca="1">竞技场!$G$3*OFFSET($C$1,MATCH(M$12,$C$2:$C$7,0),MATCH($J$11,$D$12:$G$12,0))</f>
        <v>1050</v>
      </c>
      <c r="N17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8" s="23">
        <f>任务!$G$6+任务!$G$9+IF(MOD(I178,7)=0,任务!$N$9+任务!$O$6,0)</f>
        <v>895</v>
      </c>
      <c r="P178" s="25">
        <f>公会!$U$11</f>
        <v>2766.62857142857</v>
      </c>
      <c r="Q178" s="163" t="e">
        <f ca="1">_xlfn.XLOOKUP(OFFSET($C$12,$I178,MATCH($J$11,$D$12:$G$12,0)),巡逻产出!$B$311:$B$610,巡逻产出!$Q$311:$Q$610)*OFFSET($C$1,MATCH(Q$12,$C$2:$C$7,0),MATCH($J$11,$D$12:$G$12,0))</f>
        <v>#N/A</v>
      </c>
      <c r="S178" s="160">
        <v>166</v>
      </c>
      <c r="T178" s="163" t="e">
        <f ca="1">_xlfn.XLOOKUP(OFFSET($C$12,$I178,MATCH($T$11,$D$12:$G$12,0)),主线推图!$B$313:$B$612,主线推图!$P$313:$P$612)*OFFSET($C$1,MATCH(T$12,$C$2:$C$7,0),MATCH($T$11,$D$12:$G$12,0))</f>
        <v>#N/A</v>
      </c>
      <c r="U178" s="163" t="e">
        <f ca="1">_xlfn.XLOOKUP(OFFSET($C$12,$I178,MATCH($T$11,$D$12:$G$12,0)),巡逻产出!$B$311:$B$610,巡逻产出!$R$311:$R$610)*OFFSET($C$1,MATCH(U$12,$C$2:$C$7,0),MATCH($T$11,$D$12:$G$12,0))</f>
        <v>#N/A</v>
      </c>
      <c r="V178" s="163">
        <f ca="1">_xlfn.XLOOKUP(MAX(INT((OFFSET($C$12,$I178,MATCH($T$11,$D$12:$G$12,0))-6)/10),1),组队产出!$B$25:$B$39,组队产出!$P$25:$P$39)*OFFSET($C$1,MATCH(V$12,$C$2:$C$7,0),MATCH($T$11,$D$12:$G$12,0))</f>
        <v>2284.8</v>
      </c>
      <c r="W178" s="163">
        <f ca="1">竞技场!$G$3*OFFSET($C$1,MATCH(W$12,$C$2:$C$7,0),MATCH($T$11,$D$12:$G$12,0))</f>
        <v>2100</v>
      </c>
      <c r="X17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8" s="23">
        <f>任务!$G$6+任务!$G$9+IF(MOD(S178,7)=0,任务!$N$9+任务!$O$6,0)</f>
        <v>895</v>
      </c>
      <c r="Z178" s="25">
        <f>公会!$U$11</f>
        <v>2766.62857142857</v>
      </c>
      <c r="AA178" s="163" t="e">
        <f ca="1">_xlfn.XLOOKUP(OFFSET($C$12,$I178,MATCH($T$11,$D$12:$G$12,0)),巡逻产出!$B$311:$B$610,巡逻产出!$Q$311:$Q$610)*OFFSET($C$1,MATCH(AA$12,$C$2:$C$7,0),MATCH($T$11,$D$12:$G$12,0))</f>
        <v>#N/A</v>
      </c>
      <c r="AC178" s="160">
        <v>166</v>
      </c>
      <c r="AD178" s="163">
        <f ca="1">_xlfn.XLOOKUP(OFFSET($C$12,$I178,MATCH($AD$11,$D$12:$G$12,0)),主线推图!$B$313:$B$612,主线推图!$P$313:$P$612)*OFFSET($C$1,MATCH(AD$12,$C$2:$C$7,0),MATCH($AD$11,$D$12:$G$12,0))</f>
        <v>3399</v>
      </c>
      <c r="AE178" s="163">
        <f ca="1">_xlfn.XLOOKUP(OFFSET($C$12,$I178,MATCH($AD$11,$D$12:$G$12,0)),巡逻产出!$B$311:$B$610,巡逻产出!$R$311:$R$610)*OFFSET($C$1,MATCH(AE$12,$C$2:$C$7,0),MATCH($AD$11,$D$12:$G$12,0))</f>
        <v>0</v>
      </c>
      <c r="AF178" s="163" t="e">
        <f ca="1">_xlfn.XLOOKUP(MAX(INT((OFFSET($C$12,$I178,MATCH($AD$11,$D$12:$G$12,0))-6)/10),1),组队产出!$B$25:$B$39,组队产出!$P$25:$P$39)*OFFSET($C$1,MATCH(AF$12,$C$2:$C$7,0),MATCH($AD$11,$D$12:$G$12,0))</f>
        <v>#N/A</v>
      </c>
      <c r="AG178" s="163">
        <f ca="1">竞技场!$G$3*OFFSET($C$1,MATCH(AG$12,$C$2:$C$7,0),MATCH($AD$11,$D$12:$G$12,0))</f>
        <v>3150</v>
      </c>
      <c r="AH17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8" s="23">
        <f>任务!$G$6+任务!$G$9+IF(MOD(AC178,7)=0,任务!$N$9+任务!$O$6,0)</f>
        <v>895</v>
      </c>
      <c r="AJ178" s="25">
        <f>公会!$U$11</f>
        <v>2766.62857142857</v>
      </c>
      <c r="AK178" s="163">
        <f ca="1">_xlfn.XLOOKUP(OFFSET($C$12,$I178,MATCH($AD$11,$D$12:$G$12,0)),巡逻产出!$B$311:$B$610,巡逻产出!$Q$311:$Q$610)*OFFSET($C$1,MATCH(AK$12,$C$2:$C$7,0),MATCH($AD$11,$D$12:$G$12,0))</f>
        <v>2352.168</v>
      </c>
      <c r="AM178" s="164">
        <v>166</v>
      </c>
      <c r="AN178" s="165">
        <f t="shared" si="20"/>
        <v>19542</v>
      </c>
      <c r="AO178" s="165">
        <f t="shared" si="21"/>
        <v>24484</v>
      </c>
      <c r="AP178" s="165">
        <f t="shared" si="22"/>
        <v>38758</v>
      </c>
      <c r="AQ178" s="165">
        <f t="shared" si="23"/>
        <v>50966</v>
      </c>
    </row>
    <row r="179" spans="3:43">
      <c r="C179" s="160">
        <v>167</v>
      </c>
      <c r="D179" s="169">
        <v>166</v>
      </c>
      <c r="E179" s="170">
        <f t="shared" si="18"/>
        <v>116.5</v>
      </c>
      <c r="F179" s="169">
        <f t="shared" si="19"/>
        <v>135.299999999999</v>
      </c>
      <c r="G179" s="163">
        <f t="shared" si="25"/>
        <v>206.5</v>
      </c>
      <c r="I179" s="160">
        <v>167</v>
      </c>
      <c r="J179" s="163" t="e">
        <f ca="1">_xlfn.XLOOKUP(OFFSET($C$12,$I179,MATCH($J$11,$D$12:$G$12,0)),主线推图!$B$313:$B$612,主线推图!$P$313:$P$612)*OFFSET($C$1,MATCH(J$12,$C$2:$C$7,0),MATCH($J$11,$D$12:$G$12,0))</f>
        <v>#N/A</v>
      </c>
      <c r="K179" s="163" t="e">
        <f ca="1">_xlfn.XLOOKUP(OFFSET($C$12,$I179,MATCH($J$11,$D$12:$G$12,0)),巡逻产出!$B$311:$B$610,巡逻产出!$R$311:$R$610)*OFFSET($C$1,MATCH(K$12,$C$2:$C$7,0),MATCH($J$11,$D$12:$G$12,0))</f>
        <v>#N/A</v>
      </c>
      <c r="L179" s="163">
        <f ca="1">_xlfn.XLOOKUP(MAX(INT((OFFSET($C$12,$I179,MATCH($J$11,$D$12:$G$12,0))-6)/10),1),组队产出!$B$25:$B$39,组队产出!$P$25:$P$39)*OFFSET($C$1,MATCH(L$12,$C$2:$C$7,0),MATCH($J$11,$D$12:$G$12,0))</f>
        <v>1118.4</v>
      </c>
      <c r="M179" s="163">
        <f ca="1">竞技场!$G$3*OFFSET($C$1,MATCH(M$12,$C$2:$C$7,0),MATCH($J$11,$D$12:$G$12,0))</f>
        <v>1050</v>
      </c>
      <c r="N17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9" s="23">
        <f>任务!$G$6+任务!$G$9+IF(MOD(I179,7)=0,任务!$N$9+任务!$O$6,0)</f>
        <v>895</v>
      </c>
      <c r="P179" s="25">
        <f>公会!$U$11</f>
        <v>2766.62857142857</v>
      </c>
      <c r="Q179" s="163" t="e">
        <f ca="1">_xlfn.XLOOKUP(OFFSET($C$12,$I179,MATCH($J$11,$D$12:$G$12,0)),巡逻产出!$B$311:$B$610,巡逻产出!$Q$311:$Q$610)*OFFSET($C$1,MATCH(Q$12,$C$2:$C$7,0),MATCH($J$11,$D$12:$G$12,0))</f>
        <v>#N/A</v>
      </c>
      <c r="S179" s="160">
        <v>167</v>
      </c>
      <c r="T179" s="163" t="e">
        <f ca="1">_xlfn.XLOOKUP(OFFSET($C$12,$I179,MATCH($T$11,$D$12:$G$12,0)),主线推图!$B$313:$B$612,主线推图!$P$313:$P$612)*OFFSET($C$1,MATCH(T$12,$C$2:$C$7,0),MATCH($T$11,$D$12:$G$12,0))</f>
        <v>#N/A</v>
      </c>
      <c r="U179" s="163" t="e">
        <f ca="1">_xlfn.XLOOKUP(OFFSET($C$12,$I179,MATCH($T$11,$D$12:$G$12,0)),巡逻产出!$B$311:$B$610,巡逻产出!$R$311:$R$610)*OFFSET($C$1,MATCH(U$12,$C$2:$C$7,0),MATCH($T$11,$D$12:$G$12,0))</f>
        <v>#N/A</v>
      </c>
      <c r="V179" s="163">
        <f ca="1">_xlfn.XLOOKUP(MAX(INT((OFFSET($C$12,$I179,MATCH($T$11,$D$12:$G$12,0))-6)/10),1),组队产出!$B$25:$B$39,组队产出!$P$25:$P$39)*OFFSET($C$1,MATCH(V$12,$C$2:$C$7,0),MATCH($T$11,$D$12:$G$12,0))</f>
        <v>2284.8</v>
      </c>
      <c r="W179" s="163">
        <f ca="1">竞技场!$G$3*OFFSET($C$1,MATCH(W$12,$C$2:$C$7,0),MATCH($T$11,$D$12:$G$12,0))</f>
        <v>2100</v>
      </c>
      <c r="X17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9" s="23">
        <f>任务!$G$6+任务!$G$9+IF(MOD(S179,7)=0,任务!$N$9+任务!$O$6,0)</f>
        <v>895</v>
      </c>
      <c r="Z179" s="25">
        <f>公会!$U$11</f>
        <v>2766.62857142857</v>
      </c>
      <c r="AA179" s="163" t="e">
        <f ca="1">_xlfn.XLOOKUP(OFFSET($C$12,$I179,MATCH($T$11,$D$12:$G$12,0)),巡逻产出!$B$311:$B$610,巡逻产出!$Q$311:$Q$610)*OFFSET($C$1,MATCH(AA$12,$C$2:$C$7,0),MATCH($T$11,$D$12:$G$12,0))</f>
        <v>#N/A</v>
      </c>
      <c r="AC179" s="160">
        <v>167</v>
      </c>
      <c r="AD179" s="163" t="e">
        <f ca="1">_xlfn.XLOOKUP(OFFSET($C$12,$I179,MATCH($AD$11,$D$12:$G$12,0)),主线推图!$B$313:$B$612,主线推图!$P$313:$P$612)*OFFSET($C$1,MATCH(AD$12,$C$2:$C$7,0),MATCH($AD$11,$D$12:$G$12,0))</f>
        <v>#N/A</v>
      </c>
      <c r="AE179" s="163" t="e">
        <f ca="1">_xlfn.XLOOKUP(OFFSET($C$12,$I179,MATCH($AD$11,$D$12:$G$12,0)),巡逻产出!$B$311:$B$610,巡逻产出!$R$311:$R$610)*OFFSET($C$1,MATCH(AE$12,$C$2:$C$7,0),MATCH($AD$11,$D$12:$G$12,0))</f>
        <v>#N/A</v>
      </c>
      <c r="AF179" s="163" t="e">
        <f ca="1">_xlfn.XLOOKUP(MAX(INT((OFFSET($C$12,$I179,MATCH($AD$11,$D$12:$G$12,0))-6)/10),1),组队产出!$B$25:$B$39,组队产出!$P$25:$P$39)*OFFSET($C$1,MATCH(AF$12,$C$2:$C$7,0),MATCH($AD$11,$D$12:$G$12,0))</f>
        <v>#N/A</v>
      </c>
      <c r="AG179" s="163">
        <f ca="1">竞技场!$G$3*OFFSET($C$1,MATCH(AG$12,$C$2:$C$7,0),MATCH($AD$11,$D$12:$G$12,0))</f>
        <v>3150</v>
      </c>
      <c r="AH17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9" s="23">
        <f>任务!$G$6+任务!$G$9+IF(MOD(AC179,7)=0,任务!$N$9+任务!$O$6,0)</f>
        <v>895</v>
      </c>
      <c r="AJ179" s="25">
        <f>公会!$U$11</f>
        <v>2766.62857142857</v>
      </c>
      <c r="AK179" s="163" t="e">
        <f ca="1">_xlfn.XLOOKUP(OFFSET($C$12,$I179,MATCH($AD$11,$D$12:$G$12,0)),巡逻产出!$B$311:$B$610,巡逻产出!$Q$311:$Q$610)*OFFSET($C$1,MATCH(AK$12,$C$2:$C$7,0),MATCH($AD$11,$D$12:$G$12,0))</f>
        <v>#N/A</v>
      </c>
      <c r="AM179" s="164">
        <v>167</v>
      </c>
      <c r="AN179" s="165">
        <f t="shared" si="20"/>
        <v>19656</v>
      </c>
      <c r="AO179" s="165">
        <f t="shared" si="21"/>
        <v>24627</v>
      </c>
      <c r="AP179" s="165">
        <f t="shared" si="22"/>
        <v>38987</v>
      </c>
      <c r="AQ179" s="165">
        <f t="shared" si="23"/>
        <v>51268</v>
      </c>
    </row>
    <row r="180" spans="3:43">
      <c r="C180" s="160">
        <v>168</v>
      </c>
      <c r="D180" s="169">
        <v>166</v>
      </c>
      <c r="E180" s="170">
        <f t="shared" si="18"/>
        <v>116.75</v>
      </c>
      <c r="F180" s="169">
        <f t="shared" si="19"/>
        <v>135.649999999999</v>
      </c>
      <c r="G180" s="163">
        <f t="shared" si="25"/>
        <v>207</v>
      </c>
      <c r="I180" s="160">
        <v>168</v>
      </c>
      <c r="J180" s="163" t="e">
        <f ca="1">_xlfn.XLOOKUP(OFFSET($C$12,$I180,MATCH($J$11,$D$12:$G$12,0)),主线推图!$B$313:$B$612,主线推图!$P$313:$P$612)*OFFSET($C$1,MATCH(J$12,$C$2:$C$7,0),MATCH($J$11,$D$12:$G$12,0))</f>
        <v>#N/A</v>
      </c>
      <c r="K180" s="163" t="e">
        <f ca="1">_xlfn.XLOOKUP(OFFSET($C$12,$I180,MATCH($J$11,$D$12:$G$12,0)),巡逻产出!$B$311:$B$610,巡逻产出!$R$311:$R$610)*OFFSET($C$1,MATCH(K$12,$C$2:$C$7,0),MATCH($J$11,$D$12:$G$12,0))</f>
        <v>#N/A</v>
      </c>
      <c r="L180" s="163">
        <f ca="1">_xlfn.XLOOKUP(MAX(INT((OFFSET($C$12,$I180,MATCH($J$11,$D$12:$G$12,0))-6)/10),1),组队产出!$B$25:$B$39,组队产出!$P$25:$P$39)*OFFSET($C$1,MATCH(L$12,$C$2:$C$7,0),MATCH($J$11,$D$12:$G$12,0))</f>
        <v>1118.4</v>
      </c>
      <c r="M180" s="163">
        <f ca="1">竞技场!$G$3*OFFSET($C$1,MATCH(M$12,$C$2:$C$7,0),MATCH($J$11,$D$12:$G$12,0))</f>
        <v>1050</v>
      </c>
      <c r="N18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0" s="23">
        <f>任务!$G$6+任务!$G$9+IF(MOD(I180,7)=0,任务!$N$9+任务!$O$6,0)</f>
        <v>3125</v>
      </c>
      <c r="P180" s="25">
        <f>公会!$U$11</f>
        <v>2766.62857142857</v>
      </c>
      <c r="Q180" s="163" t="e">
        <f ca="1">_xlfn.XLOOKUP(OFFSET($C$12,$I180,MATCH($J$11,$D$12:$G$12,0)),巡逻产出!$B$311:$B$610,巡逻产出!$Q$311:$Q$610)*OFFSET($C$1,MATCH(Q$12,$C$2:$C$7,0),MATCH($J$11,$D$12:$G$12,0))</f>
        <v>#N/A</v>
      </c>
      <c r="S180" s="160">
        <v>168</v>
      </c>
      <c r="T180" s="163" t="e">
        <f ca="1">_xlfn.XLOOKUP(OFFSET($C$12,$I180,MATCH($T$11,$D$12:$G$12,0)),主线推图!$B$313:$B$612,主线推图!$P$313:$P$612)*OFFSET($C$1,MATCH(T$12,$C$2:$C$7,0),MATCH($T$11,$D$12:$G$12,0))</f>
        <v>#N/A</v>
      </c>
      <c r="U180" s="163" t="e">
        <f ca="1">_xlfn.XLOOKUP(OFFSET($C$12,$I180,MATCH($T$11,$D$12:$G$12,0)),巡逻产出!$B$311:$B$610,巡逻产出!$R$311:$R$610)*OFFSET($C$1,MATCH(U$12,$C$2:$C$7,0),MATCH($T$11,$D$12:$G$12,0))</f>
        <v>#N/A</v>
      </c>
      <c r="V180" s="163">
        <f ca="1">_xlfn.XLOOKUP(MAX(INT((OFFSET($C$12,$I180,MATCH($T$11,$D$12:$G$12,0))-6)/10),1),组队产出!$B$25:$B$39,组队产出!$P$25:$P$39)*OFFSET($C$1,MATCH(V$12,$C$2:$C$7,0),MATCH($T$11,$D$12:$G$12,0))</f>
        <v>2284.8</v>
      </c>
      <c r="W180" s="163">
        <f ca="1">竞技场!$G$3*OFFSET($C$1,MATCH(W$12,$C$2:$C$7,0),MATCH($T$11,$D$12:$G$12,0))</f>
        <v>2100</v>
      </c>
      <c r="X18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0" s="23">
        <f>任务!$G$6+任务!$G$9+IF(MOD(S180,7)=0,任务!$N$9+任务!$O$6,0)</f>
        <v>3125</v>
      </c>
      <c r="Z180" s="25">
        <f>公会!$U$11</f>
        <v>2766.62857142857</v>
      </c>
      <c r="AA180" s="163" t="e">
        <f ca="1">_xlfn.XLOOKUP(OFFSET($C$12,$I180,MATCH($T$11,$D$12:$G$12,0)),巡逻产出!$B$311:$B$610,巡逻产出!$Q$311:$Q$610)*OFFSET($C$1,MATCH(AA$12,$C$2:$C$7,0),MATCH($T$11,$D$12:$G$12,0))</f>
        <v>#N/A</v>
      </c>
      <c r="AC180" s="160">
        <v>168</v>
      </c>
      <c r="AD180" s="163">
        <f ca="1">_xlfn.XLOOKUP(OFFSET($C$12,$I180,MATCH($AD$11,$D$12:$G$12,0)),主线推图!$B$313:$B$612,主线推图!$P$313:$P$612)*OFFSET($C$1,MATCH(AD$12,$C$2:$C$7,0),MATCH($AD$11,$D$12:$G$12,0))</f>
        <v>3401.2</v>
      </c>
      <c r="AE180" s="163">
        <f ca="1">_xlfn.XLOOKUP(OFFSET($C$12,$I180,MATCH($AD$11,$D$12:$G$12,0)),巡逻产出!$B$311:$B$610,巡逻产出!$R$311:$R$610)*OFFSET($C$1,MATCH(AE$12,$C$2:$C$7,0),MATCH($AD$11,$D$12:$G$12,0))</f>
        <v>0</v>
      </c>
      <c r="AF180" s="163" t="e">
        <f ca="1">_xlfn.XLOOKUP(MAX(INT((OFFSET($C$12,$I180,MATCH($AD$11,$D$12:$G$12,0))-6)/10),1),组队产出!$B$25:$B$39,组队产出!$P$25:$P$39)*OFFSET($C$1,MATCH(AF$12,$C$2:$C$7,0),MATCH($AD$11,$D$12:$G$12,0))</f>
        <v>#N/A</v>
      </c>
      <c r="AG180" s="163">
        <f ca="1">竞技场!$G$3*OFFSET($C$1,MATCH(AG$12,$C$2:$C$7,0),MATCH($AD$11,$D$12:$G$12,0))</f>
        <v>3150</v>
      </c>
      <c r="AH18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0" s="23">
        <f>任务!$G$6+任务!$G$9+IF(MOD(AC180,7)=0,任务!$N$9+任务!$O$6,0)</f>
        <v>3125</v>
      </c>
      <c r="AJ180" s="25">
        <f>公会!$U$11</f>
        <v>2766.62857142857</v>
      </c>
      <c r="AK180" s="163">
        <f ca="1">_xlfn.XLOOKUP(OFFSET($C$12,$I180,MATCH($AD$11,$D$12:$G$12,0)),巡逻产出!$B$311:$B$610,巡逻产出!$Q$311:$Q$610)*OFFSET($C$1,MATCH(AK$12,$C$2:$C$7,0),MATCH($AD$11,$D$12:$G$12,0))</f>
        <v>2353.728</v>
      </c>
      <c r="AM180" s="164">
        <v>168</v>
      </c>
      <c r="AN180" s="165">
        <f t="shared" si="20"/>
        <v>19769</v>
      </c>
      <c r="AO180" s="165">
        <f t="shared" si="21"/>
        <v>24770</v>
      </c>
      <c r="AP180" s="165">
        <f t="shared" si="22"/>
        <v>39215</v>
      </c>
      <c r="AQ180" s="165">
        <f t="shared" si="23"/>
        <v>51570</v>
      </c>
    </row>
    <row r="181" spans="3:43">
      <c r="C181" s="160">
        <v>169</v>
      </c>
      <c r="D181" s="169">
        <v>166</v>
      </c>
      <c r="E181" s="170">
        <f t="shared" si="18"/>
        <v>117</v>
      </c>
      <c r="F181" s="169">
        <f t="shared" si="19"/>
        <v>135.999999999999</v>
      </c>
      <c r="G181" s="163">
        <f t="shared" si="25"/>
        <v>207.5</v>
      </c>
      <c r="I181" s="160">
        <v>169</v>
      </c>
      <c r="J181" s="163" t="e">
        <f ca="1">_xlfn.XLOOKUP(OFFSET($C$12,$I181,MATCH($J$11,$D$12:$G$12,0)),主线推图!$B$313:$B$612,主线推图!$P$313:$P$612)*OFFSET($C$1,MATCH(J$12,$C$2:$C$7,0),MATCH($J$11,$D$12:$G$12,0))</f>
        <v>#N/A</v>
      </c>
      <c r="K181" s="163" t="e">
        <f ca="1">_xlfn.XLOOKUP(OFFSET($C$12,$I181,MATCH($J$11,$D$12:$G$12,0)),巡逻产出!$B$311:$B$610,巡逻产出!$R$311:$R$610)*OFFSET($C$1,MATCH(K$12,$C$2:$C$7,0),MATCH($J$11,$D$12:$G$12,0))</f>
        <v>#N/A</v>
      </c>
      <c r="L181" s="163">
        <f ca="1">_xlfn.XLOOKUP(MAX(INT((OFFSET($C$12,$I181,MATCH($J$11,$D$12:$G$12,0))-6)/10),1),组队产出!$B$25:$B$39,组队产出!$P$25:$P$39)*OFFSET($C$1,MATCH(L$12,$C$2:$C$7,0),MATCH($J$11,$D$12:$G$12,0))</f>
        <v>1124.4</v>
      </c>
      <c r="M181" s="163">
        <f ca="1">竞技场!$G$3*OFFSET($C$1,MATCH(M$12,$C$2:$C$7,0),MATCH($J$11,$D$12:$G$12,0))</f>
        <v>1050</v>
      </c>
      <c r="N18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1" s="23">
        <f>任务!$G$6+任务!$G$9+IF(MOD(I181,7)=0,任务!$N$9+任务!$O$6,0)</f>
        <v>895</v>
      </c>
      <c r="P181" s="25">
        <f>公会!$U$11</f>
        <v>2766.62857142857</v>
      </c>
      <c r="Q181" s="163" t="e">
        <f ca="1">_xlfn.XLOOKUP(OFFSET($C$12,$I181,MATCH($J$11,$D$12:$G$12,0)),巡逻产出!$B$311:$B$610,巡逻产出!$Q$311:$Q$610)*OFFSET($C$1,MATCH(Q$12,$C$2:$C$7,0),MATCH($J$11,$D$12:$G$12,0))</f>
        <v>#N/A</v>
      </c>
      <c r="S181" s="160">
        <v>169</v>
      </c>
      <c r="T181" s="163" t="e">
        <f ca="1">_xlfn.XLOOKUP(OFFSET($C$12,$I181,MATCH($T$11,$D$12:$G$12,0)),主线推图!$B$313:$B$612,主线推图!$P$313:$P$612)*OFFSET($C$1,MATCH(T$12,$C$2:$C$7,0),MATCH($T$11,$D$12:$G$12,0))</f>
        <v>#N/A</v>
      </c>
      <c r="U181" s="163" t="e">
        <f ca="1">_xlfn.XLOOKUP(OFFSET($C$12,$I181,MATCH($T$11,$D$12:$G$12,0)),巡逻产出!$B$311:$B$610,巡逻产出!$R$311:$R$610)*OFFSET($C$1,MATCH(U$12,$C$2:$C$7,0),MATCH($T$11,$D$12:$G$12,0))</f>
        <v>#N/A</v>
      </c>
      <c r="V181" s="163">
        <f ca="1">_xlfn.XLOOKUP(MAX(INT((OFFSET($C$12,$I181,MATCH($T$11,$D$12:$G$12,0))-6)/10),1),组队产出!$B$25:$B$39,组队产出!$P$25:$P$39)*OFFSET($C$1,MATCH(V$12,$C$2:$C$7,0),MATCH($T$11,$D$12:$G$12,0))</f>
        <v>2284.8</v>
      </c>
      <c r="W181" s="163">
        <f ca="1">竞技场!$G$3*OFFSET($C$1,MATCH(W$12,$C$2:$C$7,0),MATCH($T$11,$D$12:$G$12,0))</f>
        <v>2100</v>
      </c>
      <c r="X18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1" s="23">
        <f>任务!$G$6+任务!$G$9+IF(MOD(S181,7)=0,任务!$N$9+任务!$O$6,0)</f>
        <v>895</v>
      </c>
      <c r="Z181" s="25">
        <f>公会!$U$11</f>
        <v>2766.62857142857</v>
      </c>
      <c r="AA181" s="163" t="e">
        <f ca="1">_xlfn.XLOOKUP(OFFSET($C$12,$I181,MATCH($T$11,$D$12:$G$12,0)),巡逻产出!$B$311:$B$610,巡逻产出!$Q$311:$Q$610)*OFFSET($C$1,MATCH(AA$12,$C$2:$C$7,0),MATCH($T$11,$D$12:$G$12,0))</f>
        <v>#N/A</v>
      </c>
      <c r="AC181" s="160">
        <v>169</v>
      </c>
      <c r="AD181" s="163" t="e">
        <f ca="1">_xlfn.XLOOKUP(OFFSET($C$12,$I181,MATCH($AD$11,$D$12:$G$12,0)),主线推图!$B$313:$B$612,主线推图!$P$313:$P$612)*OFFSET($C$1,MATCH(AD$12,$C$2:$C$7,0),MATCH($AD$11,$D$12:$G$12,0))</f>
        <v>#N/A</v>
      </c>
      <c r="AE181" s="163" t="e">
        <f ca="1">_xlfn.XLOOKUP(OFFSET($C$12,$I181,MATCH($AD$11,$D$12:$G$12,0)),巡逻产出!$B$311:$B$610,巡逻产出!$R$311:$R$610)*OFFSET($C$1,MATCH(AE$12,$C$2:$C$7,0),MATCH($AD$11,$D$12:$G$12,0))</f>
        <v>#N/A</v>
      </c>
      <c r="AF181" s="163" t="e">
        <f ca="1">_xlfn.XLOOKUP(MAX(INT((OFFSET($C$12,$I181,MATCH($AD$11,$D$12:$G$12,0))-6)/10),1),组队产出!$B$25:$B$39,组队产出!$P$25:$P$39)*OFFSET($C$1,MATCH(AF$12,$C$2:$C$7,0),MATCH($AD$11,$D$12:$G$12,0))</f>
        <v>#N/A</v>
      </c>
      <c r="AG181" s="163">
        <f ca="1">竞技场!$G$3*OFFSET($C$1,MATCH(AG$12,$C$2:$C$7,0),MATCH($AD$11,$D$12:$G$12,0))</f>
        <v>3150</v>
      </c>
      <c r="AH18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1" s="23">
        <f>任务!$G$6+任务!$G$9+IF(MOD(AC181,7)=0,任务!$N$9+任务!$O$6,0)</f>
        <v>895</v>
      </c>
      <c r="AJ181" s="25">
        <f>公会!$U$11</f>
        <v>2766.62857142857</v>
      </c>
      <c r="AK181" s="163" t="e">
        <f ca="1">_xlfn.XLOOKUP(OFFSET($C$12,$I181,MATCH($AD$11,$D$12:$G$12,0)),巡逻产出!$B$311:$B$610,巡逻产出!$Q$311:$Q$610)*OFFSET($C$1,MATCH(AK$12,$C$2:$C$7,0),MATCH($AD$11,$D$12:$G$12,0))</f>
        <v>#N/A</v>
      </c>
      <c r="AM181" s="164">
        <v>169</v>
      </c>
      <c r="AN181" s="165">
        <f t="shared" si="20"/>
        <v>19883</v>
      </c>
      <c r="AO181" s="165">
        <f t="shared" si="21"/>
        <v>24913</v>
      </c>
      <c r="AP181" s="165">
        <f t="shared" si="22"/>
        <v>39444</v>
      </c>
      <c r="AQ181" s="165">
        <f t="shared" si="23"/>
        <v>51872</v>
      </c>
    </row>
    <row r="182" spans="3:43">
      <c r="C182" s="160">
        <v>170</v>
      </c>
      <c r="D182" s="169">
        <v>167</v>
      </c>
      <c r="E182" s="170">
        <f t="shared" si="18"/>
        <v>117.25</v>
      </c>
      <c r="F182" s="169">
        <f t="shared" si="19"/>
        <v>136.349999999999</v>
      </c>
      <c r="G182" s="163">
        <f t="shared" si="25"/>
        <v>208</v>
      </c>
      <c r="I182" s="160">
        <v>170</v>
      </c>
      <c r="J182" s="163" t="e">
        <f ca="1">_xlfn.XLOOKUP(OFFSET($C$12,$I182,MATCH($J$11,$D$12:$G$12,0)),主线推图!$B$313:$B$612,主线推图!$P$313:$P$612)*OFFSET($C$1,MATCH(J$12,$C$2:$C$7,0),MATCH($J$11,$D$12:$G$12,0))</f>
        <v>#N/A</v>
      </c>
      <c r="K182" s="163" t="e">
        <f ca="1">_xlfn.XLOOKUP(OFFSET($C$12,$I182,MATCH($J$11,$D$12:$G$12,0)),巡逻产出!$B$311:$B$610,巡逻产出!$R$311:$R$610)*OFFSET($C$1,MATCH(K$12,$C$2:$C$7,0),MATCH($J$11,$D$12:$G$12,0))</f>
        <v>#N/A</v>
      </c>
      <c r="L182" s="163">
        <f ca="1">_xlfn.XLOOKUP(MAX(INT((OFFSET($C$12,$I182,MATCH($J$11,$D$12:$G$12,0))-6)/10),1),组队产出!$B$25:$B$39,组队产出!$P$25:$P$39)*OFFSET($C$1,MATCH(L$12,$C$2:$C$7,0),MATCH($J$11,$D$12:$G$12,0))</f>
        <v>1124.4</v>
      </c>
      <c r="M182" s="163">
        <f ca="1">竞技场!$G$3*OFFSET($C$1,MATCH(M$12,$C$2:$C$7,0),MATCH($J$11,$D$12:$G$12,0))</f>
        <v>1050</v>
      </c>
      <c r="N18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2" s="23">
        <f>任务!$G$6+任务!$G$9+IF(MOD(I182,7)=0,任务!$N$9+任务!$O$6,0)</f>
        <v>895</v>
      </c>
      <c r="P182" s="25">
        <f>公会!$U$11</f>
        <v>2766.62857142857</v>
      </c>
      <c r="Q182" s="163" t="e">
        <f ca="1">_xlfn.XLOOKUP(OFFSET($C$12,$I182,MATCH($J$11,$D$12:$G$12,0)),巡逻产出!$B$311:$B$610,巡逻产出!$Q$311:$Q$610)*OFFSET($C$1,MATCH(Q$12,$C$2:$C$7,0),MATCH($J$11,$D$12:$G$12,0))</f>
        <v>#N/A</v>
      </c>
      <c r="S182" s="160">
        <v>170</v>
      </c>
      <c r="T182" s="163" t="e">
        <f ca="1">_xlfn.XLOOKUP(OFFSET($C$12,$I182,MATCH($T$11,$D$12:$G$12,0)),主线推图!$B$313:$B$612,主线推图!$P$313:$P$612)*OFFSET($C$1,MATCH(T$12,$C$2:$C$7,0),MATCH($T$11,$D$12:$G$12,0))</f>
        <v>#N/A</v>
      </c>
      <c r="U182" s="163" t="e">
        <f ca="1">_xlfn.XLOOKUP(OFFSET($C$12,$I182,MATCH($T$11,$D$12:$G$12,0)),巡逻产出!$B$311:$B$610,巡逻产出!$R$311:$R$610)*OFFSET($C$1,MATCH(U$12,$C$2:$C$7,0),MATCH($T$11,$D$12:$G$12,0))</f>
        <v>#N/A</v>
      </c>
      <c r="V182" s="163">
        <f ca="1">_xlfn.XLOOKUP(MAX(INT((OFFSET($C$12,$I182,MATCH($T$11,$D$12:$G$12,0))-6)/10),1),组队产出!$B$25:$B$39,组队产出!$P$25:$P$39)*OFFSET($C$1,MATCH(V$12,$C$2:$C$7,0),MATCH($T$11,$D$12:$G$12,0))</f>
        <v>2296.8</v>
      </c>
      <c r="W182" s="163">
        <f ca="1">竞技场!$G$3*OFFSET($C$1,MATCH(W$12,$C$2:$C$7,0),MATCH($T$11,$D$12:$G$12,0))</f>
        <v>2100</v>
      </c>
      <c r="X18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2" s="23">
        <f>任务!$G$6+任务!$G$9+IF(MOD(S182,7)=0,任务!$N$9+任务!$O$6,0)</f>
        <v>895</v>
      </c>
      <c r="Z182" s="25">
        <f>公会!$U$11</f>
        <v>2766.62857142857</v>
      </c>
      <c r="AA182" s="163" t="e">
        <f ca="1">_xlfn.XLOOKUP(OFFSET($C$12,$I182,MATCH($T$11,$D$12:$G$12,0)),巡逻产出!$B$311:$B$610,巡逻产出!$Q$311:$Q$610)*OFFSET($C$1,MATCH(AA$12,$C$2:$C$7,0),MATCH($T$11,$D$12:$G$12,0))</f>
        <v>#N/A</v>
      </c>
      <c r="AC182" s="160">
        <v>170</v>
      </c>
      <c r="AD182" s="163">
        <f ca="1">_xlfn.XLOOKUP(OFFSET($C$12,$I182,MATCH($AD$11,$D$12:$G$12,0)),主线推图!$B$313:$B$612,主线推图!$P$313:$P$612)*OFFSET($C$1,MATCH(AD$12,$C$2:$C$7,0),MATCH($AD$11,$D$12:$G$12,0))</f>
        <v>3403.4</v>
      </c>
      <c r="AE182" s="163">
        <f ca="1">_xlfn.XLOOKUP(OFFSET($C$12,$I182,MATCH($AD$11,$D$12:$G$12,0)),巡逻产出!$B$311:$B$610,巡逻产出!$R$311:$R$610)*OFFSET($C$1,MATCH(AE$12,$C$2:$C$7,0),MATCH($AD$11,$D$12:$G$12,0))</f>
        <v>0</v>
      </c>
      <c r="AF182" s="163" t="e">
        <f ca="1">_xlfn.XLOOKUP(MAX(INT((OFFSET($C$12,$I182,MATCH($AD$11,$D$12:$G$12,0))-6)/10),1),组队产出!$B$25:$B$39,组队产出!$P$25:$P$39)*OFFSET($C$1,MATCH(AF$12,$C$2:$C$7,0),MATCH($AD$11,$D$12:$G$12,0))</f>
        <v>#N/A</v>
      </c>
      <c r="AG182" s="163">
        <f ca="1">竞技场!$G$3*OFFSET($C$1,MATCH(AG$12,$C$2:$C$7,0),MATCH($AD$11,$D$12:$G$12,0))</f>
        <v>3150</v>
      </c>
      <c r="AH18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2" s="23">
        <f>任务!$G$6+任务!$G$9+IF(MOD(AC182,7)=0,任务!$N$9+任务!$O$6,0)</f>
        <v>895</v>
      </c>
      <c r="AJ182" s="25">
        <f>公会!$U$11</f>
        <v>2766.62857142857</v>
      </c>
      <c r="AK182" s="163">
        <f ca="1">_xlfn.XLOOKUP(OFFSET($C$12,$I182,MATCH($AD$11,$D$12:$G$12,0)),巡逻产出!$B$311:$B$610,巡逻产出!$Q$311:$Q$610)*OFFSET($C$1,MATCH(AK$12,$C$2:$C$7,0),MATCH($AD$11,$D$12:$G$12,0))</f>
        <v>2355.288</v>
      </c>
      <c r="AM182" s="164">
        <v>170</v>
      </c>
      <c r="AN182" s="165">
        <f t="shared" si="20"/>
        <v>19996</v>
      </c>
      <c r="AO182" s="165">
        <f t="shared" si="21"/>
        <v>25056</v>
      </c>
      <c r="AP182" s="165">
        <f t="shared" si="22"/>
        <v>39672</v>
      </c>
      <c r="AQ182" s="165">
        <f t="shared" si="23"/>
        <v>52174</v>
      </c>
    </row>
    <row r="183" spans="3:43">
      <c r="C183" s="160">
        <v>171</v>
      </c>
      <c r="D183" s="169">
        <v>167</v>
      </c>
      <c r="E183" s="170">
        <f t="shared" si="18"/>
        <v>117.5</v>
      </c>
      <c r="F183" s="169">
        <f t="shared" si="19"/>
        <v>136.699999999999</v>
      </c>
      <c r="G183" s="163">
        <f t="shared" si="25"/>
        <v>208.5</v>
      </c>
      <c r="I183" s="160">
        <v>171</v>
      </c>
      <c r="J183" s="163" t="e">
        <f ca="1">_xlfn.XLOOKUP(OFFSET($C$12,$I183,MATCH($J$11,$D$12:$G$12,0)),主线推图!$B$313:$B$612,主线推图!$P$313:$P$612)*OFFSET($C$1,MATCH(J$12,$C$2:$C$7,0),MATCH($J$11,$D$12:$G$12,0))</f>
        <v>#N/A</v>
      </c>
      <c r="K183" s="163" t="e">
        <f ca="1">_xlfn.XLOOKUP(OFFSET($C$12,$I183,MATCH($J$11,$D$12:$G$12,0)),巡逻产出!$B$311:$B$610,巡逻产出!$R$311:$R$610)*OFFSET($C$1,MATCH(K$12,$C$2:$C$7,0),MATCH($J$11,$D$12:$G$12,0))</f>
        <v>#N/A</v>
      </c>
      <c r="L183" s="163">
        <f ca="1">_xlfn.XLOOKUP(MAX(INT((OFFSET($C$12,$I183,MATCH($J$11,$D$12:$G$12,0))-6)/10),1),组队产出!$B$25:$B$39,组队产出!$P$25:$P$39)*OFFSET($C$1,MATCH(L$12,$C$2:$C$7,0),MATCH($J$11,$D$12:$G$12,0))</f>
        <v>1124.4</v>
      </c>
      <c r="M183" s="163">
        <f ca="1">竞技场!$G$3*OFFSET($C$1,MATCH(M$12,$C$2:$C$7,0),MATCH($J$11,$D$12:$G$12,0))</f>
        <v>1050</v>
      </c>
      <c r="N18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3" s="23">
        <f>任务!$G$6+任务!$G$9+IF(MOD(I183,7)=0,任务!$N$9+任务!$O$6,0)</f>
        <v>895</v>
      </c>
      <c r="P183" s="25">
        <f>公会!$U$11</f>
        <v>2766.62857142857</v>
      </c>
      <c r="Q183" s="163" t="e">
        <f ca="1">_xlfn.XLOOKUP(OFFSET($C$12,$I183,MATCH($J$11,$D$12:$G$12,0)),巡逻产出!$B$311:$B$610,巡逻产出!$Q$311:$Q$610)*OFFSET($C$1,MATCH(Q$12,$C$2:$C$7,0),MATCH($J$11,$D$12:$G$12,0))</f>
        <v>#N/A</v>
      </c>
      <c r="S183" s="160">
        <v>171</v>
      </c>
      <c r="T183" s="163" t="e">
        <f ca="1">_xlfn.XLOOKUP(OFFSET($C$12,$I183,MATCH($T$11,$D$12:$G$12,0)),主线推图!$B$313:$B$612,主线推图!$P$313:$P$612)*OFFSET($C$1,MATCH(T$12,$C$2:$C$7,0),MATCH($T$11,$D$12:$G$12,0))</f>
        <v>#N/A</v>
      </c>
      <c r="U183" s="163" t="e">
        <f ca="1">_xlfn.XLOOKUP(OFFSET($C$12,$I183,MATCH($T$11,$D$12:$G$12,0)),巡逻产出!$B$311:$B$610,巡逻产出!$R$311:$R$610)*OFFSET($C$1,MATCH(U$12,$C$2:$C$7,0),MATCH($T$11,$D$12:$G$12,0))</f>
        <v>#N/A</v>
      </c>
      <c r="V183" s="163">
        <f ca="1">_xlfn.XLOOKUP(MAX(INT((OFFSET($C$12,$I183,MATCH($T$11,$D$12:$G$12,0))-6)/10),1),组队产出!$B$25:$B$39,组队产出!$P$25:$P$39)*OFFSET($C$1,MATCH(V$12,$C$2:$C$7,0),MATCH($T$11,$D$12:$G$12,0))</f>
        <v>2296.8</v>
      </c>
      <c r="W183" s="163">
        <f ca="1">竞技场!$G$3*OFFSET($C$1,MATCH(W$12,$C$2:$C$7,0),MATCH($T$11,$D$12:$G$12,0))</f>
        <v>2100</v>
      </c>
      <c r="X18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3" s="23">
        <f>任务!$G$6+任务!$G$9+IF(MOD(S183,7)=0,任务!$N$9+任务!$O$6,0)</f>
        <v>895</v>
      </c>
      <c r="Z183" s="25">
        <f>公会!$U$11</f>
        <v>2766.62857142857</v>
      </c>
      <c r="AA183" s="163" t="e">
        <f ca="1">_xlfn.XLOOKUP(OFFSET($C$12,$I183,MATCH($T$11,$D$12:$G$12,0)),巡逻产出!$B$311:$B$610,巡逻产出!$Q$311:$Q$610)*OFFSET($C$1,MATCH(AA$12,$C$2:$C$7,0),MATCH($T$11,$D$12:$G$12,0))</f>
        <v>#N/A</v>
      </c>
      <c r="AC183" s="160">
        <v>171</v>
      </c>
      <c r="AD183" s="163" t="e">
        <f ca="1">_xlfn.XLOOKUP(OFFSET($C$12,$I183,MATCH($AD$11,$D$12:$G$12,0)),主线推图!$B$313:$B$612,主线推图!$P$313:$P$612)*OFFSET($C$1,MATCH(AD$12,$C$2:$C$7,0),MATCH($AD$11,$D$12:$G$12,0))</f>
        <v>#N/A</v>
      </c>
      <c r="AE183" s="163" t="e">
        <f ca="1">_xlfn.XLOOKUP(OFFSET($C$12,$I183,MATCH($AD$11,$D$12:$G$12,0)),巡逻产出!$B$311:$B$610,巡逻产出!$R$311:$R$610)*OFFSET($C$1,MATCH(AE$12,$C$2:$C$7,0),MATCH($AD$11,$D$12:$G$12,0))</f>
        <v>#N/A</v>
      </c>
      <c r="AF183" s="163" t="e">
        <f ca="1">_xlfn.XLOOKUP(MAX(INT((OFFSET($C$12,$I183,MATCH($AD$11,$D$12:$G$12,0))-6)/10),1),组队产出!$B$25:$B$39,组队产出!$P$25:$P$39)*OFFSET($C$1,MATCH(AF$12,$C$2:$C$7,0),MATCH($AD$11,$D$12:$G$12,0))</f>
        <v>#N/A</v>
      </c>
      <c r="AG183" s="163">
        <f ca="1">竞技场!$G$3*OFFSET($C$1,MATCH(AG$12,$C$2:$C$7,0),MATCH($AD$11,$D$12:$G$12,0))</f>
        <v>3150</v>
      </c>
      <c r="AH18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3" s="23">
        <f>任务!$G$6+任务!$G$9+IF(MOD(AC183,7)=0,任务!$N$9+任务!$O$6,0)</f>
        <v>895</v>
      </c>
      <c r="AJ183" s="25">
        <f>公会!$U$11</f>
        <v>2766.62857142857</v>
      </c>
      <c r="AK183" s="163" t="e">
        <f ca="1">_xlfn.XLOOKUP(OFFSET($C$12,$I183,MATCH($AD$11,$D$12:$G$12,0)),巡逻产出!$B$311:$B$610,巡逻产出!$Q$311:$Q$610)*OFFSET($C$1,MATCH(AK$12,$C$2:$C$7,0),MATCH($AD$11,$D$12:$G$12,0))</f>
        <v>#N/A</v>
      </c>
      <c r="AM183" s="164">
        <v>171</v>
      </c>
      <c r="AN183" s="165">
        <f t="shared" si="20"/>
        <v>20110</v>
      </c>
      <c r="AO183" s="165">
        <f t="shared" si="21"/>
        <v>25199</v>
      </c>
      <c r="AP183" s="165">
        <f t="shared" si="22"/>
        <v>39901</v>
      </c>
      <c r="AQ183" s="165">
        <f t="shared" si="23"/>
        <v>52476</v>
      </c>
    </row>
    <row r="184" spans="3:43">
      <c r="C184" s="160">
        <v>172</v>
      </c>
      <c r="D184" s="169">
        <v>167</v>
      </c>
      <c r="E184" s="170">
        <f t="shared" si="18"/>
        <v>117.75</v>
      </c>
      <c r="F184" s="169">
        <f t="shared" si="19"/>
        <v>137.049999999999</v>
      </c>
      <c r="G184" s="163">
        <f t="shared" si="25"/>
        <v>209</v>
      </c>
      <c r="I184" s="160">
        <v>172</v>
      </c>
      <c r="J184" s="163" t="e">
        <f ca="1">_xlfn.XLOOKUP(OFFSET($C$12,$I184,MATCH($J$11,$D$12:$G$12,0)),主线推图!$B$313:$B$612,主线推图!$P$313:$P$612)*OFFSET($C$1,MATCH(J$12,$C$2:$C$7,0),MATCH($J$11,$D$12:$G$12,0))</f>
        <v>#N/A</v>
      </c>
      <c r="K184" s="163" t="e">
        <f ca="1">_xlfn.XLOOKUP(OFFSET($C$12,$I184,MATCH($J$11,$D$12:$G$12,0)),巡逻产出!$B$311:$B$610,巡逻产出!$R$311:$R$610)*OFFSET($C$1,MATCH(K$12,$C$2:$C$7,0),MATCH($J$11,$D$12:$G$12,0))</f>
        <v>#N/A</v>
      </c>
      <c r="L184" s="163">
        <f ca="1">_xlfn.XLOOKUP(MAX(INT((OFFSET($C$12,$I184,MATCH($J$11,$D$12:$G$12,0))-6)/10),1),组队产出!$B$25:$B$39,组队产出!$P$25:$P$39)*OFFSET($C$1,MATCH(L$12,$C$2:$C$7,0),MATCH($J$11,$D$12:$G$12,0))</f>
        <v>1124.4</v>
      </c>
      <c r="M184" s="163">
        <f ca="1">竞技场!$G$3*OFFSET($C$1,MATCH(M$12,$C$2:$C$7,0),MATCH($J$11,$D$12:$G$12,0))</f>
        <v>1050</v>
      </c>
      <c r="N18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4" s="23">
        <f>任务!$G$6+任务!$G$9+IF(MOD(I184,7)=0,任务!$N$9+任务!$O$6,0)</f>
        <v>895</v>
      </c>
      <c r="P184" s="25">
        <f>公会!$U$11</f>
        <v>2766.62857142857</v>
      </c>
      <c r="Q184" s="163" t="e">
        <f ca="1">_xlfn.XLOOKUP(OFFSET($C$12,$I184,MATCH($J$11,$D$12:$G$12,0)),巡逻产出!$B$311:$B$610,巡逻产出!$Q$311:$Q$610)*OFFSET($C$1,MATCH(Q$12,$C$2:$C$7,0),MATCH($J$11,$D$12:$G$12,0))</f>
        <v>#N/A</v>
      </c>
      <c r="S184" s="160">
        <v>172</v>
      </c>
      <c r="T184" s="163" t="e">
        <f ca="1">_xlfn.XLOOKUP(OFFSET($C$12,$I184,MATCH($T$11,$D$12:$G$12,0)),主线推图!$B$313:$B$612,主线推图!$P$313:$P$612)*OFFSET($C$1,MATCH(T$12,$C$2:$C$7,0),MATCH($T$11,$D$12:$G$12,0))</f>
        <v>#N/A</v>
      </c>
      <c r="U184" s="163" t="e">
        <f ca="1">_xlfn.XLOOKUP(OFFSET($C$12,$I184,MATCH($T$11,$D$12:$G$12,0)),巡逻产出!$B$311:$B$610,巡逻产出!$R$311:$R$610)*OFFSET($C$1,MATCH(U$12,$C$2:$C$7,0),MATCH($T$11,$D$12:$G$12,0))</f>
        <v>#N/A</v>
      </c>
      <c r="V184" s="163">
        <f ca="1">_xlfn.XLOOKUP(MAX(INT((OFFSET($C$12,$I184,MATCH($T$11,$D$12:$G$12,0))-6)/10),1),组队产出!$B$25:$B$39,组队产出!$P$25:$P$39)*OFFSET($C$1,MATCH(V$12,$C$2:$C$7,0),MATCH($T$11,$D$12:$G$12,0))</f>
        <v>2296.8</v>
      </c>
      <c r="W184" s="163">
        <f ca="1">竞技场!$G$3*OFFSET($C$1,MATCH(W$12,$C$2:$C$7,0),MATCH($T$11,$D$12:$G$12,0))</f>
        <v>2100</v>
      </c>
      <c r="X18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4" s="23">
        <f>任务!$G$6+任务!$G$9+IF(MOD(S184,7)=0,任务!$N$9+任务!$O$6,0)</f>
        <v>895</v>
      </c>
      <c r="Z184" s="25">
        <f>公会!$U$11</f>
        <v>2766.62857142857</v>
      </c>
      <c r="AA184" s="163" t="e">
        <f ca="1">_xlfn.XLOOKUP(OFFSET($C$12,$I184,MATCH($T$11,$D$12:$G$12,0)),巡逻产出!$B$311:$B$610,巡逻产出!$Q$311:$Q$610)*OFFSET($C$1,MATCH(AA$12,$C$2:$C$7,0),MATCH($T$11,$D$12:$G$12,0))</f>
        <v>#N/A</v>
      </c>
      <c r="AC184" s="160">
        <v>172</v>
      </c>
      <c r="AD184" s="163">
        <f ca="1">_xlfn.XLOOKUP(OFFSET($C$12,$I184,MATCH($AD$11,$D$12:$G$12,0)),主线推图!$B$313:$B$612,主线推图!$P$313:$P$612)*OFFSET($C$1,MATCH(AD$12,$C$2:$C$7,0),MATCH($AD$11,$D$12:$G$12,0))</f>
        <v>3405.6</v>
      </c>
      <c r="AE184" s="163">
        <f ca="1">_xlfn.XLOOKUP(OFFSET($C$12,$I184,MATCH($AD$11,$D$12:$G$12,0)),巡逻产出!$B$311:$B$610,巡逻产出!$R$311:$R$610)*OFFSET($C$1,MATCH(AE$12,$C$2:$C$7,0),MATCH($AD$11,$D$12:$G$12,0))</f>
        <v>0</v>
      </c>
      <c r="AF184" s="163" t="e">
        <f ca="1">_xlfn.XLOOKUP(MAX(INT((OFFSET($C$12,$I184,MATCH($AD$11,$D$12:$G$12,0))-6)/10),1),组队产出!$B$25:$B$39,组队产出!$P$25:$P$39)*OFFSET($C$1,MATCH(AF$12,$C$2:$C$7,0),MATCH($AD$11,$D$12:$G$12,0))</f>
        <v>#N/A</v>
      </c>
      <c r="AG184" s="163">
        <f ca="1">竞技场!$G$3*OFFSET($C$1,MATCH(AG$12,$C$2:$C$7,0),MATCH($AD$11,$D$12:$G$12,0))</f>
        <v>3150</v>
      </c>
      <c r="AH18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4" s="23">
        <f>任务!$G$6+任务!$G$9+IF(MOD(AC184,7)=0,任务!$N$9+任务!$O$6,0)</f>
        <v>895</v>
      </c>
      <c r="AJ184" s="25">
        <f>公会!$U$11</f>
        <v>2766.62857142857</v>
      </c>
      <c r="AK184" s="163">
        <f ca="1">_xlfn.XLOOKUP(OFFSET($C$12,$I184,MATCH($AD$11,$D$12:$G$12,0)),巡逻产出!$B$311:$B$610,巡逻产出!$Q$311:$Q$610)*OFFSET($C$1,MATCH(AK$12,$C$2:$C$7,0),MATCH($AD$11,$D$12:$G$12,0))</f>
        <v>2356.848</v>
      </c>
      <c r="AM184" s="164">
        <v>172</v>
      </c>
      <c r="AN184" s="165">
        <f t="shared" si="20"/>
        <v>20223</v>
      </c>
      <c r="AO184" s="165">
        <f t="shared" si="21"/>
        <v>25342</v>
      </c>
      <c r="AP184" s="165">
        <f t="shared" si="22"/>
        <v>40129</v>
      </c>
      <c r="AQ184" s="165">
        <f t="shared" si="23"/>
        <v>52778</v>
      </c>
    </row>
    <row r="185" spans="3:43">
      <c r="C185" s="160">
        <v>173</v>
      </c>
      <c r="D185" s="169">
        <v>167</v>
      </c>
      <c r="E185" s="170">
        <f t="shared" si="18"/>
        <v>118</v>
      </c>
      <c r="F185" s="169">
        <f t="shared" si="19"/>
        <v>137.399999999999</v>
      </c>
      <c r="G185" s="163">
        <f t="shared" si="25"/>
        <v>209.5</v>
      </c>
      <c r="I185" s="160">
        <v>173</v>
      </c>
      <c r="J185" s="163" t="e">
        <f ca="1">_xlfn.XLOOKUP(OFFSET($C$12,$I185,MATCH($J$11,$D$12:$G$12,0)),主线推图!$B$313:$B$612,主线推图!$P$313:$P$612)*OFFSET($C$1,MATCH(J$12,$C$2:$C$7,0),MATCH($J$11,$D$12:$G$12,0))</f>
        <v>#N/A</v>
      </c>
      <c r="K185" s="163" t="e">
        <f ca="1">_xlfn.XLOOKUP(OFFSET($C$12,$I185,MATCH($J$11,$D$12:$G$12,0)),巡逻产出!$B$311:$B$610,巡逻产出!$R$311:$R$610)*OFFSET($C$1,MATCH(K$12,$C$2:$C$7,0),MATCH($J$11,$D$12:$G$12,0))</f>
        <v>#N/A</v>
      </c>
      <c r="L185" s="163">
        <f ca="1">_xlfn.XLOOKUP(MAX(INT((OFFSET($C$12,$I185,MATCH($J$11,$D$12:$G$12,0))-6)/10),1),组队产出!$B$25:$B$39,组队产出!$P$25:$P$39)*OFFSET($C$1,MATCH(L$12,$C$2:$C$7,0),MATCH($J$11,$D$12:$G$12,0))</f>
        <v>1124.4</v>
      </c>
      <c r="M185" s="163">
        <f ca="1">竞技场!$G$3*OFFSET($C$1,MATCH(M$12,$C$2:$C$7,0),MATCH($J$11,$D$12:$G$12,0))</f>
        <v>1050</v>
      </c>
      <c r="N18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5" s="23">
        <f>任务!$G$6+任务!$G$9+IF(MOD(I185,7)=0,任务!$N$9+任务!$O$6,0)</f>
        <v>895</v>
      </c>
      <c r="P185" s="25">
        <f>公会!$U$11</f>
        <v>2766.62857142857</v>
      </c>
      <c r="Q185" s="163" t="e">
        <f ca="1">_xlfn.XLOOKUP(OFFSET($C$12,$I185,MATCH($J$11,$D$12:$G$12,0)),巡逻产出!$B$311:$B$610,巡逻产出!$Q$311:$Q$610)*OFFSET($C$1,MATCH(Q$12,$C$2:$C$7,0),MATCH($J$11,$D$12:$G$12,0))</f>
        <v>#N/A</v>
      </c>
      <c r="S185" s="160">
        <v>173</v>
      </c>
      <c r="T185" s="163" t="e">
        <f ca="1">_xlfn.XLOOKUP(OFFSET($C$12,$I185,MATCH($T$11,$D$12:$G$12,0)),主线推图!$B$313:$B$612,主线推图!$P$313:$P$612)*OFFSET($C$1,MATCH(T$12,$C$2:$C$7,0),MATCH($T$11,$D$12:$G$12,0))</f>
        <v>#N/A</v>
      </c>
      <c r="U185" s="163" t="e">
        <f ca="1">_xlfn.XLOOKUP(OFFSET($C$12,$I185,MATCH($T$11,$D$12:$G$12,0)),巡逻产出!$B$311:$B$610,巡逻产出!$R$311:$R$610)*OFFSET($C$1,MATCH(U$12,$C$2:$C$7,0),MATCH($T$11,$D$12:$G$12,0))</f>
        <v>#N/A</v>
      </c>
      <c r="V185" s="163">
        <f ca="1">_xlfn.XLOOKUP(MAX(INT((OFFSET($C$12,$I185,MATCH($T$11,$D$12:$G$12,0))-6)/10),1),组队产出!$B$25:$B$39,组队产出!$P$25:$P$39)*OFFSET($C$1,MATCH(V$12,$C$2:$C$7,0),MATCH($T$11,$D$12:$G$12,0))</f>
        <v>2296.8</v>
      </c>
      <c r="W185" s="163">
        <f ca="1">竞技场!$G$3*OFFSET($C$1,MATCH(W$12,$C$2:$C$7,0),MATCH($T$11,$D$12:$G$12,0))</f>
        <v>2100</v>
      </c>
      <c r="X18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5" s="23">
        <f>任务!$G$6+任务!$G$9+IF(MOD(S185,7)=0,任务!$N$9+任务!$O$6,0)</f>
        <v>895</v>
      </c>
      <c r="Z185" s="25">
        <f>公会!$U$11</f>
        <v>2766.62857142857</v>
      </c>
      <c r="AA185" s="163" t="e">
        <f ca="1">_xlfn.XLOOKUP(OFFSET($C$12,$I185,MATCH($T$11,$D$12:$G$12,0)),巡逻产出!$B$311:$B$610,巡逻产出!$Q$311:$Q$610)*OFFSET($C$1,MATCH(AA$12,$C$2:$C$7,0),MATCH($T$11,$D$12:$G$12,0))</f>
        <v>#N/A</v>
      </c>
      <c r="AC185" s="160">
        <v>173</v>
      </c>
      <c r="AD185" s="163" t="e">
        <f ca="1">_xlfn.XLOOKUP(OFFSET($C$12,$I185,MATCH($AD$11,$D$12:$G$12,0)),主线推图!$B$313:$B$612,主线推图!$P$313:$P$612)*OFFSET($C$1,MATCH(AD$12,$C$2:$C$7,0),MATCH($AD$11,$D$12:$G$12,0))</f>
        <v>#N/A</v>
      </c>
      <c r="AE185" s="163" t="e">
        <f ca="1">_xlfn.XLOOKUP(OFFSET($C$12,$I185,MATCH($AD$11,$D$12:$G$12,0)),巡逻产出!$B$311:$B$610,巡逻产出!$R$311:$R$610)*OFFSET($C$1,MATCH(AE$12,$C$2:$C$7,0),MATCH($AD$11,$D$12:$G$12,0))</f>
        <v>#N/A</v>
      </c>
      <c r="AF185" s="163" t="e">
        <f ca="1">_xlfn.XLOOKUP(MAX(INT((OFFSET($C$12,$I185,MATCH($AD$11,$D$12:$G$12,0))-6)/10),1),组队产出!$B$25:$B$39,组队产出!$P$25:$P$39)*OFFSET($C$1,MATCH(AF$12,$C$2:$C$7,0),MATCH($AD$11,$D$12:$G$12,0))</f>
        <v>#N/A</v>
      </c>
      <c r="AG185" s="163">
        <f ca="1">竞技场!$G$3*OFFSET($C$1,MATCH(AG$12,$C$2:$C$7,0),MATCH($AD$11,$D$12:$G$12,0))</f>
        <v>3150</v>
      </c>
      <c r="AH18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5" s="23">
        <f>任务!$G$6+任务!$G$9+IF(MOD(AC185,7)=0,任务!$N$9+任务!$O$6,0)</f>
        <v>895</v>
      </c>
      <c r="AJ185" s="25">
        <f>公会!$U$11</f>
        <v>2766.62857142857</v>
      </c>
      <c r="AK185" s="163" t="e">
        <f ca="1">_xlfn.XLOOKUP(OFFSET($C$12,$I185,MATCH($AD$11,$D$12:$G$12,0)),巡逻产出!$B$311:$B$610,巡逻产出!$Q$311:$Q$610)*OFFSET($C$1,MATCH(AK$12,$C$2:$C$7,0),MATCH($AD$11,$D$12:$G$12,0))</f>
        <v>#N/A</v>
      </c>
      <c r="AM185" s="164">
        <v>173</v>
      </c>
      <c r="AN185" s="165">
        <f t="shared" si="20"/>
        <v>20337</v>
      </c>
      <c r="AO185" s="165">
        <f t="shared" si="21"/>
        <v>25485</v>
      </c>
      <c r="AP185" s="165">
        <f t="shared" si="22"/>
        <v>40358</v>
      </c>
      <c r="AQ185" s="165">
        <f t="shared" si="23"/>
        <v>53080</v>
      </c>
    </row>
    <row r="186" spans="3:43">
      <c r="C186" s="160">
        <v>174</v>
      </c>
      <c r="D186" s="169">
        <v>167</v>
      </c>
      <c r="E186" s="170">
        <f t="shared" si="18"/>
        <v>118.25</v>
      </c>
      <c r="F186" s="169">
        <f t="shared" si="19"/>
        <v>137.749999999999</v>
      </c>
      <c r="G186" s="163">
        <f t="shared" si="25"/>
        <v>210</v>
      </c>
      <c r="I186" s="160">
        <v>174</v>
      </c>
      <c r="J186" s="163" t="e">
        <f ca="1">_xlfn.XLOOKUP(OFFSET($C$12,$I186,MATCH($J$11,$D$12:$G$12,0)),主线推图!$B$313:$B$612,主线推图!$P$313:$P$612)*OFFSET($C$1,MATCH(J$12,$C$2:$C$7,0),MATCH($J$11,$D$12:$G$12,0))</f>
        <v>#N/A</v>
      </c>
      <c r="K186" s="163" t="e">
        <f ca="1">_xlfn.XLOOKUP(OFFSET($C$12,$I186,MATCH($J$11,$D$12:$G$12,0)),巡逻产出!$B$311:$B$610,巡逻产出!$R$311:$R$610)*OFFSET($C$1,MATCH(K$12,$C$2:$C$7,0),MATCH($J$11,$D$12:$G$12,0))</f>
        <v>#N/A</v>
      </c>
      <c r="L186" s="163">
        <f ca="1">_xlfn.XLOOKUP(MAX(INT((OFFSET($C$12,$I186,MATCH($J$11,$D$12:$G$12,0))-6)/10),1),组队产出!$B$25:$B$39,组队产出!$P$25:$P$39)*OFFSET($C$1,MATCH(L$12,$C$2:$C$7,0),MATCH($J$11,$D$12:$G$12,0))</f>
        <v>1124.4</v>
      </c>
      <c r="M186" s="163">
        <f ca="1">竞技场!$G$3*OFFSET($C$1,MATCH(M$12,$C$2:$C$7,0),MATCH($J$11,$D$12:$G$12,0))</f>
        <v>1050</v>
      </c>
      <c r="N18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6" s="23">
        <f>任务!$G$6+任务!$G$9+IF(MOD(I186,7)=0,任务!$N$9+任务!$O$6,0)</f>
        <v>895</v>
      </c>
      <c r="P186" s="25">
        <f>公会!$U$11</f>
        <v>2766.62857142857</v>
      </c>
      <c r="Q186" s="163" t="e">
        <f ca="1">_xlfn.XLOOKUP(OFFSET($C$12,$I186,MATCH($J$11,$D$12:$G$12,0)),巡逻产出!$B$311:$B$610,巡逻产出!$Q$311:$Q$610)*OFFSET($C$1,MATCH(Q$12,$C$2:$C$7,0),MATCH($J$11,$D$12:$G$12,0))</f>
        <v>#N/A</v>
      </c>
      <c r="S186" s="160">
        <v>174</v>
      </c>
      <c r="T186" s="163" t="e">
        <f ca="1">_xlfn.XLOOKUP(OFFSET($C$12,$I186,MATCH($T$11,$D$12:$G$12,0)),主线推图!$B$313:$B$612,主线推图!$P$313:$P$612)*OFFSET($C$1,MATCH(T$12,$C$2:$C$7,0),MATCH($T$11,$D$12:$G$12,0))</f>
        <v>#N/A</v>
      </c>
      <c r="U186" s="163" t="e">
        <f ca="1">_xlfn.XLOOKUP(OFFSET($C$12,$I186,MATCH($T$11,$D$12:$G$12,0)),巡逻产出!$B$311:$B$610,巡逻产出!$R$311:$R$610)*OFFSET($C$1,MATCH(U$12,$C$2:$C$7,0),MATCH($T$11,$D$12:$G$12,0))</f>
        <v>#N/A</v>
      </c>
      <c r="V186" s="163">
        <f ca="1">_xlfn.XLOOKUP(MAX(INT((OFFSET($C$12,$I186,MATCH($T$11,$D$12:$G$12,0))-6)/10),1),组队产出!$B$25:$B$39,组队产出!$P$25:$P$39)*OFFSET($C$1,MATCH(V$12,$C$2:$C$7,0),MATCH($T$11,$D$12:$G$12,0))</f>
        <v>2296.8</v>
      </c>
      <c r="W186" s="163">
        <f ca="1">竞技场!$G$3*OFFSET($C$1,MATCH(W$12,$C$2:$C$7,0),MATCH($T$11,$D$12:$G$12,0))</f>
        <v>2100</v>
      </c>
      <c r="X18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6" s="23">
        <f>任务!$G$6+任务!$G$9+IF(MOD(S186,7)=0,任务!$N$9+任务!$O$6,0)</f>
        <v>895</v>
      </c>
      <c r="Z186" s="25">
        <f>公会!$U$11</f>
        <v>2766.62857142857</v>
      </c>
      <c r="AA186" s="163" t="e">
        <f ca="1">_xlfn.XLOOKUP(OFFSET($C$12,$I186,MATCH($T$11,$D$12:$G$12,0)),巡逻产出!$B$311:$B$610,巡逻产出!$Q$311:$Q$610)*OFFSET($C$1,MATCH(AA$12,$C$2:$C$7,0),MATCH($T$11,$D$12:$G$12,0))</f>
        <v>#N/A</v>
      </c>
      <c r="AC186" s="160">
        <v>174</v>
      </c>
      <c r="AD186" s="163">
        <f ca="1">_xlfn.XLOOKUP(OFFSET($C$12,$I186,MATCH($AD$11,$D$12:$G$12,0)),主线推图!$B$313:$B$612,主线推图!$P$313:$P$612)*OFFSET($C$1,MATCH(AD$12,$C$2:$C$7,0),MATCH($AD$11,$D$12:$G$12,0))</f>
        <v>3407.8</v>
      </c>
      <c r="AE186" s="163">
        <f ca="1">_xlfn.XLOOKUP(OFFSET($C$12,$I186,MATCH($AD$11,$D$12:$G$12,0)),巡逻产出!$B$311:$B$610,巡逻产出!$R$311:$R$610)*OFFSET($C$1,MATCH(AE$12,$C$2:$C$7,0),MATCH($AD$11,$D$12:$G$12,0))</f>
        <v>0</v>
      </c>
      <c r="AF186" s="163" t="e">
        <f ca="1">_xlfn.XLOOKUP(MAX(INT((OFFSET($C$12,$I186,MATCH($AD$11,$D$12:$G$12,0))-6)/10),1),组队产出!$B$25:$B$39,组队产出!$P$25:$P$39)*OFFSET($C$1,MATCH(AF$12,$C$2:$C$7,0),MATCH($AD$11,$D$12:$G$12,0))</f>
        <v>#N/A</v>
      </c>
      <c r="AG186" s="163">
        <f ca="1">竞技场!$G$3*OFFSET($C$1,MATCH(AG$12,$C$2:$C$7,0),MATCH($AD$11,$D$12:$G$12,0))</f>
        <v>3150</v>
      </c>
      <c r="AH18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6" s="23">
        <f>任务!$G$6+任务!$G$9+IF(MOD(AC186,7)=0,任务!$N$9+任务!$O$6,0)</f>
        <v>895</v>
      </c>
      <c r="AJ186" s="25">
        <f>公会!$U$11</f>
        <v>2766.62857142857</v>
      </c>
      <c r="AK186" s="163">
        <f ca="1">_xlfn.XLOOKUP(OFFSET($C$12,$I186,MATCH($AD$11,$D$12:$G$12,0)),巡逻产出!$B$311:$B$610,巡逻产出!$Q$311:$Q$610)*OFFSET($C$1,MATCH(AK$12,$C$2:$C$7,0),MATCH($AD$11,$D$12:$G$12,0))</f>
        <v>2358.408</v>
      </c>
      <c r="AM186" s="164">
        <v>174</v>
      </c>
      <c r="AN186" s="165">
        <f t="shared" si="20"/>
        <v>20450</v>
      </c>
      <c r="AO186" s="165">
        <f t="shared" si="21"/>
        <v>25628</v>
      </c>
      <c r="AP186" s="165">
        <f t="shared" si="22"/>
        <v>40586</v>
      </c>
      <c r="AQ186" s="165">
        <f t="shared" si="23"/>
        <v>53382</v>
      </c>
    </row>
    <row r="187" spans="3:43">
      <c r="C187" s="160">
        <v>175</v>
      </c>
      <c r="D187" s="169">
        <v>167</v>
      </c>
      <c r="E187" s="170">
        <f t="shared" si="18"/>
        <v>118.5</v>
      </c>
      <c r="F187" s="169">
        <f t="shared" si="19"/>
        <v>138.099999999999</v>
      </c>
      <c r="G187" s="163">
        <f t="shared" si="25"/>
        <v>210.5</v>
      </c>
      <c r="I187" s="160">
        <v>175</v>
      </c>
      <c r="J187" s="163" t="e">
        <f ca="1">_xlfn.XLOOKUP(OFFSET($C$12,$I187,MATCH($J$11,$D$12:$G$12,0)),主线推图!$B$313:$B$612,主线推图!$P$313:$P$612)*OFFSET($C$1,MATCH(J$12,$C$2:$C$7,0),MATCH($J$11,$D$12:$G$12,0))</f>
        <v>#N/A</v>
      </c>
      <c r="K187" s="163" t="e">
        <f ca="1">_xlfn.XLOOKUP(OFFSET($C$12,$I187,MATCH($J$11,$D$12:$G$12,0)),巡逻产出!$B$311:$B$610,巡逻产出!$R$311:$R$610)*OFFSET($C$1,MATCH(K$12,$C$2:$C$7,0),MATCH($J$11,$D$12:$G$12,0))</f>
        <v>#N/A</v>
      </c>
      <c r="L187" s="163">
        <f ca="1">_xlfn.XLOOKUP(MAX(INT((OFFSET($C$12,$I187,MATCH($J$11,$D$12:$G$12,0))-6)/10),1),组队产出!$B$25:$B$39,组队产出!$P$25:$P$39)*OFFSET($C$1,MATCH(L$12,$C$2:$C$7,0),MATCH($J$11,$D$12:$G$12,0))</f>
        <v>1124.4</v>
      </c>
      <c r="M187" s="163">
        <f ca="1">竞技场!$G$3*OFFSET($C$1,MATCH(M$12,$C$2:$C$7,0),MATCH($J$11,$D$12:$G$12,0))</f>
        <v>1050</v>
      </c>
      <c r="N18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7" s="23">
        <f>任务!$G$6+任务!$G$9+IF(MOD(I187,7)=0,任务!$N$9+任务!$O$6,0)</f>
        <v>3125</v>
      </c>
      <c r="P187" s="25">
        <f>公会!$U$11</f>
        <v>2766.62857142857</v>
      </c>
      <c r="Q187" s="163" t="e">
        <f ca="1">_xlfn.XLOOKUP(OFFSET($C$12,$I187,MATCH($J$11,$D$12:$G$12,0)),巡逻产出!$B$311:$B$610,巡逻产出!$Q$311:$Q$610)*OFFSET($C$1,MATCH(Q$12,$C$2:$C$7,0),MATCH($J$11,$D$12:$G$12,0))</f>
        <v>#N/A</v>
      </c>
      <c r="S187" s="160">
        <v>175</v>
      </c>
      <c r="T187" s="163" t="e">
        <f ca="1">_xlfn.XLOOKUP(OFFSET($C$12,$I187,MATCH($T$11,$D$12:$G$12,0)),主线推图!$B$313:$B$612,主线推图!$P$313:$P$612)*OFFSET($C$1,MATCH(T$12,$C$2:$C$7,0),MATCH($T$11,$D$12:$G$12,0))</f>
        <v>#N/A</v>
      </c>
      <c r="U187" s="163" t="e">
        <f ca="1">_xlfn.XLOOKUP(OFFSET($C$12,$I187,MATCH($T$11,$D$12:$G$12,0)),巡逻产出!$B$311:$B$610,巡逻产出!$R$311:$R$610)*OFFSET($C$1,MATCH(U$12,$C$2:$C$7,0),MATCH($T$11,$D$12:$G$12,0))</f>
        <v>#N/A</v>
      </c>
      <c r="V187" s="163">
        <f ca="1">_xlfn.XLOOKUP(MAX(INT((OFFSET($C$12,$I187,MATCH($T$11,$D$12:$G$12,0))-6)/10),1),组队产出!$B$25:$B$39,组队产出!$P$25:$P$39)*OFFSET($C$1,MATCH(V$12,$C$2:$C$7,0),MATCH($T$11,$D$12:$G$12,0))</f>
        <v>2296.8</v>
      </c>
      <c r="W187" s="163">
        <f ca="1">竞技场!$G$3*OFFSET($C$1,MATCH(W$12,$C$2:$C$7,0),MATCH($T$11,$D$12:$G$12,0))</f>
        <v>2100</v>
      </c>
      <c r="X18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7" s="23">
        <f>任务!$G$6+任务!$G$9+IF(MOD(S187,7)=0,任务!$N$9+任务!$O$6,0)</f>
        <v>3125</v>
      </c>
      <c r="Z187" s="25">
        <f>公会!$U$11</f>
        <v>2766.62857142857</v>
      </c>
      <c r="AA187" s="163" t="e">
        <f ca="1">_xlfn.XLOOKUP(OFFSET($C$12,$I187,MATCH($T$11,$D$12:$G$12,0)),巡逻产出!$B$311:$B$610,巡逻产出!$Q$311:$Q$610)*OFFSET($C$1,MATCH(AA$12,$C$2:$C$7,0),MATCH($T$11,$D$12:$G$12,0))</f>
        <v>#N/A</v>
      </c>
      <c r="AC187" s="160">
        <v>175</v>
      </c>
      <c r="AD187" s="163" t="e">
        <f ca="1">_xlfn.XLOOKUP(OFFSET($C$12,$I187,MATCH($AD$11,$D$12:$G$12,0)),主线推图!$B$313:$B$612,主线推图!$P$313:$P$612)*OFFSET($C$1,MATCH(AD$12,$C$2:$C$7,0),MATCH($AD$11,$D$12:$G$12,0))</f>
        <v>#N/A</v>
      </c>
      <c r="AE187" s="163" t="e">
        <f ca="1">_xlfn.XLOOKUP(OFFSET($C$12,$I187,MATCH($AD$11,$D$12:$G$12,0)),巡逻产出!$B$311:$B$610,巡逻产出!$R$311:$R$610)*OFFSET($C$1,MATCH(AE$12,$C$2:$C$7,0),MATCH($AD$11,$D$12:$G$12,0))</f>
        <v>#N/A</v>
      </c>
      <c r="AF187" s="163" t="e">
        <f ca="1">_xlfn.XLOOKUP(MAX(INT((OFFSET($C$12,$I187,MATCH($AD$11,$D$12:$G$12,0))-6)/10),1),组队产出!$B$25:$B$39,组队产出!$P$25:$P$39)*OFFSET($C$1,MATCH(AF$12,$C$2:$C$7,0),MATCH($AD$11,$D$12:$G$12,0))</f>
        <v>#N/A</v>
      </c>
      <c r="AG187" s="163">
        <f ca="1">竞技场!$G$3*OFFSET($C$1,MATCH(AG$12,$C$2:$C$7,0),MATCH($AD$11,$D$12:$G$12,0))</f>
        <v>3150</v>
      </c>
      <c r="AH18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7" s="23">
        <f>任务!$G$6+任务!$G$9+IF(MOD(AC187,7)=0,任务!$N$9+任务!$O$6,0)</f>
        <v>3125</v>
      </c>
      <c r="AJ187" s="25">
        <f>公会!$U$11</f>
        <v>2766.62857142857</v>
      </c>
      <c r="AK187" s="163" t="e">
        <f ca="1">_xlfn.XLOOKUP(OFFSET($C$12,$I187,MATCH($AD$11,$D$12:$G$12,0)),巡逻产出!$B$311:$B$610,巡逻产出!$Q$311:$Q$610)*OFFSET($C$1,MATCH(AK$12,$C$2:$C$7,0),MATCH($AD$11,$D$12:$G$12,0))</f>
        <v>#N/A</v>
      </c>
      <c r="AM187" s="164">
        <v>175</v>
      </c>
      <c r="AN187" s="165">
        <f t="shared" si="20"/>
        <v>20564</v>
      </c>
      <c r="AO187" s="165">
        <f t="shared" si="21"/>
        <v>25771</v>
      </c>
      <c r="AP187" s="165">
        <f t="shared" si="22"/>
        <v>40815</v>
      </c>
      <c r="AQ187" s="165">
        <f t="shared" si="23"/>
        <v>53684</v>
      </c>
    </row>
    <row r="188" spans="3:43">
      <c r="C188" s="160">
        <v>176</v>
      </c>
      <c r="D188" s="169">
        <v>168</v>
      </c>
      <c r="E188" s="170">
        <f t="shared" si="18"/>
        <v>118.75</v>
      </c>
      <c r="F188" s="169">
        <f t="shared" si="19"/>
        <v>138.449999999999</v>
      </c>
      <c r="G188" s="163">
        <f t="shared" si="25"/>
        <v>211</v>
      </c>
      <c r="I188" s="160">
        <v>176</v>
      </c>
      <c r="J188" s="163" t="e">
        <f ca="1">_xlfn.XLOOKUP(OFFSET($C$12,$I188,MATCH($J$11,$D$12:$G$12,0)),主线推图!$B$313:$B$612,主线推图!$P$313:$P$612)*OFFSET($C$1,MATCH(J$12,$C$2:$C$7,0),MATCH($J$11,$D$12:$G$12,0))</f>
        <v>#N/A</v>
      </c>
      <c r="K188" s="163" t="e">
        <f ca="1">_xlfn.XLOOKUP(OFFSET($C$12,$I188,MATCH($J$11,$D$12:$G$12,0)),巡逻产出!$B$311:$B$610,巡逻产出!$R$311:$R$610)*OFFSET($C$1,MATCH(K$12,$C$2:$C$7,0),MATCH($J$11,$D$12:$G$12,0))</f>
        <v>#N/A</v>
      </c>
      <c r="L188" s="163">
        <f ca="1">_xlfn.XLOOKUP(MAX(INT((OFFSET($C$12,$I188,MATCH($J$11,$D$12:$G$12,0))-6)/10),1),组队产出!$B$25:$B$39,组队产出!$P$25:$P$39)*OFFSET($C$1,MATCH(L$12,$C$2:$C$7,0),MATCH($J$11,$D$12:$G$12,0))</f>
        <v>1124.4</v>
      </c>
      <c r="M188" s="163">
        <f ca="1">竞技场!$G$3*OFFSET($C$1,MATCH(M$12,$C$2:$C$7,0),MATCH($J$11,$D$12:$G$12,0))</f>
        <v>1050</v>
      </c>
      <c r="N18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8" s="23">
        <f>任务!$G$6+任务!$G$9+IF(MOD(I188,7)=0,任务!$N$9+任务!$O$6,0)</f>
        <v>895</v>
      </c>
      <c r="P188" s="25">
        <f>公会!$U$11</f>
        <v>2766.62857142857</v>
      </c>
      <c r="Q188" s="163" t="e">
        <f ca="1">_xlfn.XLOOKUP(OFFSET($C$12,$I188,MATCH($J$11,$D$12:$G$12,0)),巡逻产出!$B$311:$B$610,巡逻产出!$Q$311:$Q$610)*OFFSET($C$1,MATCH(Q$12,$C$2:$C$7,0),MATCH($J$11,$D$12:$G$12,0))</f>
        <v>#N/A</v>
      </c>
      <c r="S188" s="160">
        <v>176</v>
      </c>
      <c r="T188" s="163" t="e">
        <f ca="1">_xlfn.XLOOKUP(OFFSET($C$12,$I188,MATCH($T$11,$D$12:$G$12,0)),主线推图!$B$313:$B$612,主线推图!$P$313:$P$612)*OFFSET($C$1,MATCH(T$12,$C$2:$C$7,0),MATCH($T$11,$D$12:$G$12,0))</f>
        <v>#N/A</v>
      </c>
      <c r="U188" s="163" t="e">
        <f ca="1">_xlfn.XLOOKUP(OFFSET($C$12,$I188,MATCH($T$11,$D$12:$G$12,0)),巡逻产出!$B$311:$B$610,巡逻产出!$R$311:$R$610)*OFFSET($C$1,MATCH(U$12,$C$2:$C$7,0),MATCH($T$11,$D$12:$G$12,0))</f>
        <v>#N/A</v>
      </c>
      <c r="V188" s="163">
        <f ca="1">_xlfn.XLOOKUP(MAX(INT((OFFSET($C$12,$I188,MATCH($T$11,$D$12:$G$12,0))-6)/10),1),组队产出!$B$25:$B$39,组队产出!$P$25:$P$39)*OFFSET($C$1,MATCH(V$12,$C$2:$C$7,0),MATCH($T$11,$D$12:$G$12,0))</f>
        <v>2296.8</v>
      </c>
      <c r="W188" s="163">
        <f ca="1">竞技场!$G$3*OFFSET($C$1,MATCH(W$12,$C$2:$C$7,0),MATCH($T$11,$D$12:$G$12,0))</f>
        <v>2100</v>
      </c>
      <c r="X18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8" s="23">
        <f>任务!$G$6+任务!$G$9+IF(MOD(S188,7)=0,任务!$N$9+任务!$O$6,0)</f>
        <v>895</v>
      </c>
      <c r="Z188" s="25">
        <f>公会!$U$11</f>
        <v>2766.62857142857</v>
      </c>
      <c r="AA188" s="163" t="e">
        <f ca="1">_xlfn.XLOOKUP(OFFSET($C$12,$I188,MATCH($T$11,$D$12:$G$12,0)),巡逻产出!$B$311:$B$610,巡逻产出!$Q$311:$Q$610)*OFFSET($C$1,MATCH(AA$12,$C$2:$C$7,0),MATCH($T$11,$D$12:$G$12,0))</f>
        <v>#N/A</v>
      </c>
      <c r="AC188" s="160">
        <v>176</v>
      </c>
      <c r="AD188" s="163">
        <f ca="1">_xlfn.XLOOKUP(OFFSET($C$12,$I188,MATCH($AD$11,$D$12:$G$12,0)),主线推图!$B$313:$B$612,主线推图!$P$313:$P$612)*OFFSET($C$1,MATCH(AD$12,$C$2:$C$7,0),MATCH($AD$11,$D$12:$G$12,0))</f>
        <v>3410</v>
      </c>
      <c r="AE188" s="163">
        <f ca="1">_xlfn.XLOOKUP(OFFSET($C$12,$I188,MATCH($AD$11,$D$12:$G$12,0)),巡逻产出!$B$311:$B$610,巡逻产出!$R$311:$R$610)*OFFSET($C$1,MATCH(AE$12,$C$2:$C$7,0),MATCH($AD$11,$D$12:$G$12,0))</f>
        <v>0</v>
      </c>
      <c r="AF188" s="163" t="e">
        <f ca="1">_xlfn.XLOOKUP(MAX(INT((OFFSET($C$12,$I188,MATCH($AD$11,$D$12:$G$12,0))-6)/10),1),组队产出!$B$25:$B$39,组队产出!$P$25:$P$39)*OFFSET($C$1,MATCH(AF$12,$C$2:$C$7,0),MATCH($AD$11,$D$12:$G$12,0))</f>
        <v>#N/A</v>
      </c>
      <c r="AG188" s="163">
        <f ca="1">竞技场!$G$3*OFFSET($C$1,MATCH(AG$12,$C$2:$C$7,0),MATCH($AD$11,$D$12:$G$12,0))</f>
        <v>3150</v>
      </c>
      <c r="AH18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8" s="23">
        <f>任务!$G$6+任务!$G$9+IF(MOD(AC188,7)=0,任务!$N$9+任务!$O$6,0)</f>
        <v>895</v>
      </c>
      <c r="AJ188" s="25">
        <f>公会!$U$11</f>
        <v>2766.62857142857</v>
      </c>
      <c r="AK188" s="163">
        <f ca="1">_xlfn.XLOOKUP(OFFSET($C$12,$I188,MATCH($AD$11,$D$12:$G$12,0)),巡逻产出!$B$311:$B$610,巡逻产出!$Q$311:$Q$610)*OFFSET($C$1,MATCH(AK$12,$C$2:$C$7,0),MATCH($AD$11,$D$12:$G$12,0))</f>
        <v>2359.968</v>
      </c>
      <c r="AM188" s="164">
        <v>176</v>
      </c>
      <c r="AN188" s="165">
        <f t="shared" si="20"/>
        <v>20677</v>
      </c>
      <c r="AO188" s="165">
        <f t="shared" si="21"/>
        <v>25914</v>
      </c>
      <c r="AP188" s="165">
        <f t="shared" si="22"/>
        <v>41043</v>
      </c>
      <c r="AQ188" s="165">
        <f t="shared" si="23"/>
        <v>53986</v>
      </c>
    </row>
    <row r="189" spans="3:43">
      <c r="C189" s="160">
        <v>177</v>
      </c>
      <c r="D189" s="169">
        <v>168</v>
      </c>
      <c r="E189" s="170">
        <f t="shared" si="18"/>
        <v>119</v>
      </c>
      <c r="F189" s="169">
        <f t="shared" si="19"/>
        <v>138.799999999999</v>
      </c>
      <c r="G189" s="163">
        <f t="shared" si="25"/>
        <v>211.5</v>
      </c>
      <c r="I189" s="160">
        <v>177</v>
      </c>
      <c r="J189" s="163" t="e">
        <f ca="1">_xlfn.XLOOKUP(OFFSET($C$12,$I189,MATCH($J$11,$D$12:$G$12,0)),主线推图!$B$313:$B$612,主线推图!$P$313:$P$612)*OFFSET($C$1,MATCH(J$12,$C$2:$C$7,0),MATCH($J$11,$D$12:$G$12,0))</f>
        <v>#N/A</v>
      </c>
      <c r="K189" s="163" t="e">
        <f ca="1">_xlfn.XLOOKUP(OFFSET($C$12,$I189,MATCH($J$11,$D$12:$G$12,0)),巡逻产出!$B$311:$B$610,巡逻产出!$R$311:$R$610)*OFFSET($C$1,MATCH(K$12,$C$2:$C$7,0),MATCH($J$11,$D$12:$G$12,0))</f>
        <v>#N/A</v>
      </c>
      <c r="L189" s="163">
        <f ca="1">_xlfn.XLOOKUP(MAX(INT((OFFSET($C$12,$I189,MATCH($J$11,$D$12:$G$12,0))-6)/10),1),组队产出!$B$25:$B$39,组队产出!$P$25:$P$39)*OFFSET($C$1,MATCH(L$12,$C$2:$C$7,0),MATCH($J$11,$D$12:$G$12,0))</f>
        <v>1124.4</v>
      </c>
      <c r="M189" s="163">
        <f ca="1">竞技场!$G$3*OFFSET($C$1,MATCH(M$12,$C$2:$C$7,0),MATCH($J$11,$D$12:$G$12,0))</f>
        <v>1050</v>
      </c>
      <c r="N18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9" s="23">
        <f>任务!$G$6+任务!$G$9+IF(MOD(I189,7)=0,任务!$N$9+任务!$O$6,0)</f>
        <v>895</v>
      </c>
      <c r="P189" s="25">
        <f>公会!$U$11</f>
        <v>2766.62857142857</v>
      </c>
      <c r="Q189" s="163" t="e">
        <f ca="1">_xlfn.XLOOKUP(OFFSET($C$12,$I189,MATCH($J$11,$D$12:$G$12,0)),巡逻产出!$B$311:$B$610,巡逻产出!$Q$311:$Q$610)*OFFSET($C$1,MATCH(Q$12,$C$2:$C$7,0),MATCH($J$11,$D$12:$G$12,0))</f>
        <v>#N/A</v>
      </c>
      <c r="S189" s="160">
        <v>177</v>
      </c>
      <c r="T189" s="163" t="e">
        <f ca="1">_xlfn.XLOOKUP(OFFSET($C$12,$I189,MATCH($T$11,$D$12:$G$12,0)),主线推图!$B$313:$B$612,主线推图!$P$313:$P$612)*OFFSET($C$1,MATCH(T$12,$C$2:$C$7,0),MATCH($T$11,$D$12:$G$12,0))</f>
        <v>#N/A</v>
      </c>
      <c r="U189" s="163" t="e">
        <f ca="1">_xlfn.XLOOKUP(OFFSET($C$12,$I189,MATCH($T$11,$D$12:$G$12,0)),巡逻产出!$B$311:$B$610,巡逻产出!$R$311:$R$610)*OFFSET($C$1,MATCH(U$12,$C$2:$C$7,0),MATCH($T$11,$D$12:$G$12,0))</f>
        <v>#N/A</v>
      </c>
      <c r="V189" s="163">
        <f ca="1">_xlfn.XLOOKUP(MAX(INT((OFFSET($C$12,$I189,MATCH($T$11,$D$12:$G$12,0))-6)/10),1),组队产出!$B$25:$B$39,组队产出!$P$25:$P$39)*OFFSET($C$1,MATCH(V$12,$C$2:$C$7,0),MATCH($T$11,$D$12:$G$12,0))</f>
        <v>2296.8</v>
      </c>
      <c r="W189" s="163">
        <f ca="1">竞技场!$G$3*OFFSET($C$1,MATCH(W$12,$C$2:$C$7,0),MATCH($T$11,$D$12:$G$12,0))</f>
        <v>2100</v>
      </c>
      <c r="X18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9" s="23">
        <f>任务!$G$6+任务!$G$9+IF(MOD(S189,7)=0,任务!$N$9+任务!$O$6,0)</f>
        <v>895</v>
      </c>
      <c r="Z189" s="25">
        <f>公会!$U$11</f>
        <v>2766.62857142857</v>
      </c>
      <c r="AA189" s="163" t="e">
        <f ca="1">_xlfn.XLOOKUP(OFFSET($C$12,$I189,MATCH($T$11,$D$12:$G$12,0)),巡逻产出!$B$311:$B$610,巡逻产出!$Q$311:$Q$610)*OFFSET($C$1,MATCH(AA$12,$C$2:$C$7,0),MATCH($T$11,$D$12:$G$12,0))</f>
        <v>#N/A</v>
      </c>
      <c r="AC189" s="160">
        <v>177</v>
      </c>
      <c r="AD189" s="163" t="e">
        <f ca="1">_xlfn.XLOOKUP(OFFSET($C$12,$I189,MATCH($AD$11,$D$12:$G$12,0)),主线推图!$B$313:$B$612,主线推图!$P$313:$P$612)*OFFSET($C$1,MATCH(AD$12,$C$2:$C$7,0),MATCH($AD$11,$D$12:$G$12,0))</f>
        <v>#N/A</v>
      </c>
      <c r="AE189" s="163" t="e">
        <f ca="1">_xlfn.XLOOKUP(OFFSET($C$12,$I189,MATCH($AD$11,$D$12:$G$12,0)),巡逻产出!$B$311:$B$610,巡逻产出!$R$311:$R$610)*OFFSET($C$1,MATCH(AE$12,$C$2:$C$7,0),MATCH($AD$11,$D$12:$G$12,0))</f>
        <v>#N/A</v>
      </c>
      <c r="AF189" s="163" t="e">
        <f ca="1">_xlfn.XLOOKUP(MAX(INT((OFFSET($C$12,$I189,MATCH($AD$11,$D$12:$G$12,0))-6)/10),1),组队产出!$B$25:$B$39,组队产出!$P$25:$P$39)*OFFSET($C$1,MATCH(AF$12,$C$2:$C$7,0),MATCH($AD$11,$D$12:$G$12,0))</f>
        <v>#N/A</v>
      </c>
      <c r="AG189" s="163">
        <f ca="1">竞技场!$G$3*OFFSET($C$1,MATCH(AG$12,$C$2:$C$7,0),MATCH($AD$11,$D$12:$G$12,0))</f>
        <v>3150</v>
      </c>
      <c r="AH18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9" s="23">
        <f>任务!$G$6+任务!$G$9+IF(MOD(AC189,7)=0,任务!$N$9+任务!$O$6,0)</f>
        <v>895</v>
      </c>
      <c r="AJ189" s="25">
        <f>公会!$U$11</f>
        <v>2766.62857142857</v>
      </c>
      <c r="AK189" s="163" t="e">
        <f ca="1">_xlfn.XLOOKUP(OFFSET($C$12,$I189,MATCH($AD$11,$D$12:$G$12,0)),巡逻产出!$B$311:$B$610,巡逻产出!$Q$311:$Q$610)*OFFSET($C$1,MATCH(AK$12,$C$2:$C$7,0),MATCH($AD$11,$D$12:$G$12,0))</f>
        <v>#N/A</v>
      </c>
      <c r="AM189" s="164">
        <v>177</v>
      </c>
      <c r="AN189" s="165">
        <f t="shared" si="20"/>
        <v>20791</v>
      </c>
      <c r="AO189" s="165">
        <f t="shared" si="21"/>
        <v>26057</v>
      </c>
      <c r="AP189" s="165">
        <f t="shared" si="22"/>
        <v>41272</v>
      </c>
      <c r="AQ189" s="165">
        <f t="shared" si="23"/>
        <v>54288</v>
      </c>
    </row>
    <row r="190" spans="3:43">
      <c r="C190" s="160">
        <v>178</v>
      </c>
      <c r="D190" s="169">
        <v>168</v>
      </c>
      <c r="E190" s="170">
        <f t="shared" si="18"/>
        <v>119.25</v>
      </c>
      <c r="F190" s="169">
        <f t="shared" si="19"/>
        <v>139.149999999999</v>
      </c>
      <c r="G190" s="163">
        <f t="shared" si="25"/>
        <v>212</v>
      </c>
      <c r="I190" s="160">
        <v>178</v>
      </c>
      <c r="J190" s="163" t="e">
        <f ca="1">_xlfn.XLOOKUP(OFFSET($C$12,$I190,MATCH($J$11,$D$12:$G$12,0)),主线推图!$B$313:$B$612,主线推图!$P$313:$P$612)*OFFSET($C$1,MATCH(J$12,$C$2:$C$7,0),MATCH($J$11,$D$12:$G$12,0))</f>
        <v>#N/A</v>
      </c>
      <c r="K190" s="163" t="e">
        <f ca="1">_xlfn.XLOOKUP(OFFSET($C$12,$I190,MATCH($J$11,$D$12:$G$12,0)),巡逻产出!$B$311:$B$610,巡逻产出!$R$311:$R$610)*OFFSET($C$1,MATCH(K$12,$C$2:$C$7,0),MATCH($J$11,$D$12:$G$12,0))</f>
        <v>#N/A</v>
      </c>
      <c r="L190" s="163">
        <f ca="1">_xlfn.XLOOKUP(MAX(INT((OFFSET($C$12,$I190,MATCH($J$11,$D$12:$G$12,0))-6)/10),1),组队产出!$B$25:$B$39,组队产出!$P$25:$P$39)*OFFSET($C$1,MATCH(L$12,$C$2:$C$7,0),MATCH($J$11,$D$12:$G$12,0))</f>
        <v>1124.4</v>
      </c>
      <c r="M190" s="163">
        <f ca="1">竞技场!$G$3*OFFSET($C$1,MATCH(M$12,$C$2:$C$7,0),MATCH($J$11,$D$12:$G$12,0))</f>
        <v>1050</v>
      </c>
      <c r="N19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0" s="23">
        <f>任务!$G$6+任务!$G$9+IF(MOD(I190,7)=0,任务!$N$9+任务!$O$6,0)</f>
        <v>895</v>
      </c>
      <c r="P190" s="25">
        <f>公会!$U$11</f>
        <v>2766.62857142857</v>
      </c>
      <c r="Q190" s="163" t="e">
        <f ca="1">_xlfn.XLOOKUP(OFFSET($C$12,$I190,MATCH($J$11,$D$12:$G$12,0)),巡逻产出!$B$311:$B$610,巡逻产出!$Q$311:$Q$610)*OFFSET($C$1,MATCH(Q$12,$C$2:$C$7,0),MATCH($J$11,$D$12:$G$12,0))</f>
        <v>#N/A</v>
      </c>
      <c r="S190" s="160">
        <v>178</v>
      </c>
      <c r="T190" s="163" t="e">
        <f ca="1">_xlfn.XLOOKUP(OFFSET($C$12,$I190,MATCH($T$11,$D$12:$G$12,0)),主线推图!$B$313:$B$612,主线推图!$P$313:$P$612)*OFFSET($C$1,MATCH(T$12,$C$2:$C$7,0),MATCH($T$11,$D$12:$G$12,0))</f>
        <v>#N/A</v>
      </c>
      <c r="U190" s="163" t="e">
        <f ca="1">_xlfn.XLOOKUP(OFFSET($C$12,$I190,MATCH($T$11,$D$12:$G$12,0)),巡逻产出!$B$311:$B$610,巡逻产出!$R$311:$R$610)*OFFSET($C$1,MATCH(U$12,$C$2:$C$7,0),MATCH($T$11,$D$12:$G$12,0))</f>
        <v>#N/A</v>
      </c>
      <c r="V190" s="163">
        <f ca="1">_xlfn.XLOOKUP(MAX(INT((OFFSET($C$12,$I190,MATCH($T$11,$D$12:$G$12,0))-6)/10),1),组队产出!$B$25:$B$39,组队产出!$P$25:$P$39)*OFFSET($C$1,MATCH(V$12,$C$2:$C$7,0),MATCH($T$11,$D$12:$G$12,0))</f>
        <v>2296.8</v>
      </c>
      <c r="W190" s="163">
        <f ca="1">竞技场!$G$3*OFFSET($C$1,MATCH(W$12,$C$2:$C$7,0),MATCH($T$11,$D$12:$G$12,0))</f>
        <v>2100</v>
      </c>
      <c r="X19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0" s="23">
        <f>任务!$G$6+任务!$G$9+IF(MOD(S190,7)=0,任务!$N$9+任务!$O$6,0)</f>
        <v>895</v>
      </c>
      <c r="Z190" s="25">
        <f>公会!$U$11</f>
        <v>2766.62857142857</v>
      </c>
      <c r="AA190" s="163" t="e">
        <f ca="1">_xlfn.XLOOKUP(OFFSET($C$12,$I190,MATCH($T$11,$D$12:$G$12,0)),巡逻产出!$B$311:$B$610,巡逻产出!$Q$311:$Q$610)*OFFSET($C$1,MATCH(AA$12,$C$2:$C$7,0),MATCH($T$11,$D$12:$G$12,0))</f>
        <v>#N/A</v>
      </c>
      <c r="AC190" s="160">
        <v>178</v>
      </c>
      <c r="AD190" s="163">
        <f ca="1">_xlfn.XLOOKUP(OFFSET($C$12,$I190,MATCH($AD$11,$D$12:$G$12,0)),主线推图!$B$313:$B$612,主线推图!$P$313:$P$612)*OFFSET($C$1,MATCH(AD$12,$C$2:$C$7,0),MATCH($AD$11,$D$12:$G$12,0))</f>
        <v>3412.2</v>
      </c>
      <c r="AE190" s="163">
        <f ca="1">_xlfn.XLOOKUP(OFFSET($C$12,$I190,MATCH($AD$11,$D$12:$G$12,0)),巡逻产出!$B$311:$B$610,巡逻产出!$R$311:$R$610)*OFFSET($C$1,MATCH(AE$12,$C$2:$C$7,0),MATCH($AD$11,$D$12:$G$12,0))</f>
        <v>0</v>
      </c>
      <c r="AF190" s="163" t="e">
        <f ca="1">_xlfn.XLOOKUP(MAX(INT((OFFSET($C$12,$I190,MATCH($AD$11,$D$12:$G$12,0))-6)/10),1),组队产出!$B$25:$B$39,组队产出!$P$25:$P$39)*OFFSET($C$1,MATCH(AF$12,$C$2:$C$7,0),MATCH($AD$11,$D$12:$G$12,0))</f>
        <v>#N/A</v>
      </c>
      <c r="AG190" s="163">
        <f ca="1">竞技场!$G$3*OFFSET($C$1,MATCH(AG$12,$C$2:$C$7,0),MATCH($AD$11,$D$12:$G$12,0))</f>
        <v>3150</v>
      </c>
      <c r="AH19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0" s="23">
        <f>任务!$G$6+任务!$G$9+IF(MOD(AC190,7)=0,任务!$N$9+任务!$O$6,0)</f>
        <v>895</v>
      </c>
      <c r="AJ190" s="25">
        <f>公会!$U$11</f>
        <v>2766.62857142857</v>
      </c>
      <c r="AK190" s="163">
        <f ca="1">_xlfn.XLOOKUP(OFFSET($C$12,$I190,MATCH($AD$11,$D$12:$G$12,0)),巡逻产出!$B$311:$B$610,巡逻产出!$Q$311:$Q$610)*OFFSET($C$1,MATCH(AK$12,$C$2:$C$7,0),MATCH($AD$11,$D$12:$G$12,0))</f>
        <v>2361.528</v>
      </c>
      <c r="AM190" s="164">
        <v>178</v>
      </c>
      <c r="AN190" s="165">
        <f t="shared" si="20"/>
        <v>20904</v>
      </c>
      <c r="AO190" s="165">
        <f t="shared" si="21"/>
        <v>26200</v>
      </c>
      <c r="AP190" s="165">
        <f t="shared" si="22"/>
        <v>41500</v>
      </c>
      <c r="AQ190" s="165">
        <f t="shared" si="23"/>
        <v>54590</v>
      </c>
    </row>
    <row r="191" spans="3:43">
      <c r="C191" s="160">
        <v>179</v>
      </c>
      <c r="D191" s="169">
        <v>169</v>
      </c>
      <c r="E191" s="170">
        <f t="shared" ref="E191:E254" si="27">E190+0.25</f>
        <v>119.5</v>
      </c>
      <c r="F191" s="169">
        <f t="shared" ref="F191:F254" si="28">F190+0.35</f>
        <v>139.499999999999</v>
      </c>
      <c r="G191" s="163">
        <f t="shared" si="25"/>
        <v>212.5</v>
      </c>
      <c r="I191" s="160">
        <v>179</v>
      </c>
      <c r="J191" s="163" t="e">
        <f ca="1">_xlfn.XLOOKUP(OFFSET($C$12,$I191,MATCH($J$11,$D$12:$G$12,0)),主线推图!$B$313:$B$612,主线推图!$P$313:$P$612)*OFFSET($C$1,MATCH(J$12,$C$2:$C$7,0),MATCH($J$11,$D$12:$G$12,0))</f>
        <v>#N/A</v>
      </c>
      <c r="K191" s="163" t="e">
        <f ca="1">_xlfn.XLOOKUP(OFFSET($C$12,$I191,MATCH($J$11,$D$12:$G$12,0)),巡逻产出!$B$311:$B$610,巡逻产出!$R$311:$R$610)*OFFSET($C$1,MATCH(K$12,$C$2:$C$7,0),MATCH($J$11,$D$12:$G$12,0))</f>
        <v>#N/A</v>
      </c>
      <c r="L191" s="163">
        <f ca="1">_xlfn.XLOOKUP(MAX(INT((OFFSET($C$12,$I191,MATCH($J$11,$D$12:$G$12,0))-6)/10),1),组队产出!$B$25:$B$39,组队产出!$P$25:$P$39)*OFFSET($C$1,MATCH(L$12,$C$2:$C$7,0),MATCH($J$11,$D$12:$G$12,0))</f>
        <v>1124.4</v>
      </c>
      <c r="M191" s="163">
        <f ca="1">竞技场!$G$3*OFFSET($C$1,MATCH(M$12,$C$2:$C$7,0),MATCH($J$11,$D$12:$G$12,0))</f>
        <v>1050</v>
      </c>
      <c r="N19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1" s="23">
        <f>任务!$G$6+任务!$G$9+IF(MOD(I191,7)=0,任务!$N$9+任务!$O$6,0)</f>
        <v>895</v>
      </c>
      <c r="P191" s="25">
        <f>公会!$U$11</f>
        <v>2766.62857142857</v>
      </c>
      <c r="Q191" s="163" t="e">
        <f ca="1">_xlfn.XLOOKUP(OFFSET($C$12,$I191,MATCH($J$11,$D$12:$G$12,0)),巡逻产出!$B$311:$B$610,巡逻产出!$Q$311:$Q$610)*OFFSET($C$1,MATCH(Q$12,$C$2:$C$7,0),MATCH($J$11,$D$12:$G$12,0))</f>
        <v>#N/A</v>
      </c>
      <c r="S191" s="160">
        <v>179</v>
      </c>
      <c r="T191" s="163" t="e">
        <f ca="1">_xlfn.XLOOKUP(OFFSET($C$12,$I191,MATCH($T$11,$D$12:$G$12,0)),主线推图!$B$313:$B$612,主线推图!$P$313:$P$612)*OFFSET($C$1,MATCH(T$12,$C$2:$C$7,0),MATCH($T$11,$D$12:$G$12,0))</f>
        <v>#N/A</v>
      </c>
      <c r="U191" s="163" t="e">
        <f ca="1">_xlfn.XLOOKUP(OFFSET($C$12,$I191,MATCH($T$11,$D$12:$G$12,0)),巡逻产出!$B$311:$B$610,巡逻产出!$R$311:$R$610)*OFFSET($C$1,MATCH(U$12,$C$2:$C$7,0),MATCH($T$11,$D$12:$G$12,0))</f>
        <v>#N/A</v>
      </c>
      <c r="V191" s="163">
        <f ca="1">_xlfn.XLOOKUP(MAX(INT((OFFSET($C$12,$I191,MATCH($T$11,$D$12:$G$12,0))-6)/10),1),组队产出!$B$25:$B$39,组队产出!$P$25:$P$39)*OFFSET($C$1,MATCH(V$12,$C$2:$C$7,0),MATCH($T$11,$D$12:$G$12,0))</f>
        <v>2296.8</v>
      </c>
      <c r="W191" s="163">
        <f ca="1">竞技场!$G$3*OFFSET($C$1,MATCH(W$12,$C$2:$C$7,0),MATCH($T$11,$D$12:$G$12,0))</f>
        <v>2100</v>
      </c>
      <c r="X19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1" s="23">
        <f>任务!$G$6+任务!$G$9+IF(MOD(S191,7)=0,任务!$N$9+任务!$O$6,0)</f>
        <v>895</v>
      </c>
      <c r="Z191" s="25">
        <f>公会!$U$11</f>
        <v>2766.62857142857</v>
      </c>
      <c r="AA191" s="163" t="e">
        <f ca="1">_xlfn.XLOOKUP(OFFSET($C$12,$I191,MATCH($T$11,$D$12:$G$12,0)),巡逻产出!$B$311:$B$610,巡逻产出!$Q$311:$Q$610)*OFFSET($C$1,MATCH(AA$12,$C$2:$C$7,0),MATCH($T$11,$D$12:$G$12,0))</f>
        <v>#N/A</v>
      </c>
      <c r="AC191" s="160">
        <v>179</v>
      </c>
      <c r="AD191" s="163" t="e">
        <f ca="1">_xlfn.XLOOKUP(OFFSET($C$12,$I191,MATCH($AD$11,$D$12:$G$12,0)),主线推图!$B$313:$B$612,主线推图!$P$313:$P$612)*OFFSET($C$1,MATCH(AD$12,$C$2:$C$7,0),MATCH($AD$11,$D$12:$G$12,0))</f>
        <v>#N/A</v>
      </c>
      <c r="AE191" s="163" t="e">
        <f ca="1">_xlfn.XLOOKUP(OFFSET($C$12,$I191,MATCH($AD$11,$D$12:$G$12,0)),巡逻产出!$B$311:$B$610,巡逻产出!$R$311:$R$610)*OFFSET($C$1,MATCH(AE$12,$C$2:$C$7,0),MATCH($AD$11,$D$12:$G$12,0))</f>
        <v>#N/A</v>
      </c>
      <c r="AF191" s="163" t="e">
        <f ca="1">_xlfn.XLOOKUP(MAX(INT((OFFSET($C$12,$I191,MATCH($AD$11,$D$12:$G$12,0))-6)/10),1),组队产出!$B$25:$B$39,组队产出!$P$25:$P$39)*OFFSET($C$1,MATCH(AF$12,$C$2:$C$7,0),MATCH($AD$11,$D$12:$G$12,0))</f>
        <v>#N/A</v>
      </c>
      <c r="AG191" s="163">
        <f ca="1">竞技场!$G$3*OFFSET($C$1,MATCH(AG$12,$C$2:$C$7,0),MATCH($AD$11,$D$12:$G$12,0))</f>
        <v>3150</v>
      </c>
      <c r="AH19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1" s="23">
        <f>任务!$G$6+任务!$G$9+IF(MOD(AC191,7)=0,任务!$N$9+任务!$O$6,0)</f>
        <v>895</v>
      </c>
      <c r="AJ191" s="25">
        <f>公会!$U$11</f>
        <v>2766.62857142857</v>
      </c>
      <c r="AK191" s="163" t="e">
        <f ca="1">_xlfn.XLOOKUP(OFFSET($C$12,$I191,MATCH($AD$11,$D$12:$G$12,0)),巡逻产出!$B$311:$B$610,巡逻产出!$Q$311:$Q$610)*OFFSET($C$1,MATCH(AK$12,$C$2:$C$7,0),MATCH($AD$11,$D$12:$G$12,0))</f>
        <v>#N/A</v>
      </c>
      <c r="AM191" s="164">
        <v>179</v>
      </c>
      <c r="AN191" s="165">
        <f t="shared" si="20"/>
        <v>21018</v>
      </c>
      <c r="AO191" s="165">
        <f t="shared" si="21"/>
        <v>26343</v>
      </c>
      <c r="AP191" s="165">
        <f t="shared" si="22"/>
        <v>41729</v>
      </c>
      <c r="AQ191" s="165">
        <f t="shared" si="23"/>
        <v>54892</v>
      </c>
    </row>
    <row r="192" spans="3:43">
      <c r="C192" s="160">
        <v>180</v>
      </c>
      <c r="D192" s="169">
        <v>169</v>
      </c>
      <c r="E192" s="170">
        <f t="shared" si="27"/>
        <v>119.75</v>
      </c>
      <c r="F192" s="169">
        <f t="shared" si="28"/>
        <v>139.849999999999</v>
      </c>
      <c r="G192" s="163">
        <f t="shared" si="25"/>
        <v>213</v>
      </c>
      <c r="I192" s="160">
        <v>180</v>
      </c>
      <c r="J192" s="163" t="e">
        <f ca="1">_xlfn.XLOOKUP(OFFSET($C$12,$I192,MATCH($J$11,$D$12:$G$12,0)),主线推图!$B$313:$B$612,主线推图!$P$313:$P$612)*OFFSET($C$1,MATCH(J$12,$C$2:$C$7,0),MATCH($J$11,$D$12:$G$12,0))</f>
        <v>#N/A</v>
      </c>
      <c r="K192" s="163" t="e">
        <f ca="1">_xlfn.XLOOKUP(OFFSET($C$12,$I192,MATCH($J$11,$D$12:$G$12,0)),巡逻产出!$B$311:$B$610,巡逻产出!$R$311:$R$610)*OFFSET($C$1,MATCH(K$12,$C$2:$C$7,0),MATCH($J$11,$D$12:$G$12,0))</f>
        <v>#N/A</v>
      </c>
      <c r="L192" s="163">
        <f ca="1">_xlfn.XLOOKUP(MAX(INT((OFFSET($C$12,$I192,MATCH($J$11,$D$12:$G$12,0))-6)/10),1),组队产出!$B$25:$B$39,组队产出!$P$25:$P$39)*OFFSET($C$1,MATCH(L$12,$C$2:$C$7,0),MATCH($J$11,$D$12:$G$12,0))</f>
        <v>1124.4</v>
      </c>
      <c r="M192" s="163">
        <f ca="1">竞技场!$G$3*OFFSET($C$1,MATCH(M$12,$C$2:$C$7,0),MATCH($J$11,$D$12:$G$12,0))</f>
        <v>1050</v>
      </c>
      <c r="N19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2" s="23">
        <f>任务!$G$6+任务!$G$9+IF(MOD(I192,7)=0,任务!$N$9+任务!$O$6,0)</f>
        <v>895</v>
      </c>
      <c r="P192" s="25">
        <f>公会!$U$11</f>
        <v>2766.62857142857</v>
      </c>
      <c r="Q192" s="163" t="e">
        <f ca="1">_xlfn.XLOOKUP(OFFSET($C$12,$I192,MATCH($J$11,$D$12:$G$12,0)),巡逻产出!$B$311:$B$610,巡逻产出!$Q$311:$Q$610)*OFFSET($C$1,MATCH(Q$12,$C$2:$C$7,0),MATCH($J$11,$D$12:$G$12,0))</f>
        <v>#N/A</v>
      </c>
      <c r="S192" s="160">
        <v>180</v>
      </c>
      <c r="T192" s="163" t="e">
        <f ca="1">_xlfn.XLOOKUP(OFFSET($C$12,$I192,MATCH($T$11,$D$12:$G$12,0)),主线推图!$B$313:$B$612,主线推图!$P$313:$P$612)*OFFSET($C$1,MATCH(T$12,$C$2:$C$7,0),MATCH($T$11,$D$12:$G$12,0))</f>
        <v>#N/A</v>
      </c>
      <c r="U192" s="163" t="e">
        <f ca="1">_xlfn.XLOOKUP(OFFSET($C$12,$I192,MATCH($T$11,$D$12:$G$12,0)),巡逻产出!$B$311:$B$610,巡逻产出!$R$311:$R$610)*OFFSET($C$1,MATCH(U$12,$C$2:$C$7,0),MATCH($T$11,$D$12:$G$12,0))</f>
        <v>#N/A</v>
      </c>
      <c r="V192" s="163">
        <f ca="1">_xlfn.XLOOKUP(MAX(INT((OFFSET($C$12,$I192,MATCH($T$11,$D$12:$G$12,0))-6)/10),1),组队产出!$B$25:$B$39,组队产出!$P$25:$P$39)*OFFSET($C$1,MATCH(V$12,$C$2:$C$7,0),MATCH($T$11,$D$12:$G$12,0))</f>
        <v>2296.8</v>
      </c>
      <c r="W192" s="163">
        <f ca="1">竞技场!$G$3*OFFSET($C$1,MATCH(W$12,$C$2:$C$7,0),MATCH($T$11,$D$12:$G$12,0))</f>
        <v>2100</v>
      </c>
      <c r="X19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2" s="23">
        <f>任务!$G$6+任务!$G$9+IF(MOD(S192,7)=0,任务!$N$9+任务!$O$6,0)</f>
        <v>895</v>
      </c>
      <c r="Z192" s="25">
        <f>公会!$U$11</f>
        <v>2766.62857142857</v>
      </c>
      <c r="AA192" s="163" t="e">
        <f ca="1">_xlfn.XLOOKUP(OFFSET($C$12,$I192,MATCH($T$11,$D$12:$G$12,0)),巡逻产出!$B$311:$B$610,巡逻产出!$Q$311:$Q$610)*OFFSET($C$1,MATCH(AA$12,$C$2:$C$7,0),MATCH($T$11,$D$12:$G$12,0))</f>
        <v>#N/A</v>
      </c>
      <c r="AC192" s="160">
        <v>180</v>
      </c>
      <c r="AD192" s="163">
        <f ca="1">_xlfn.XLOOKUP(OFFSET($C$12,$I192,MATCH($AD$11,$D$12:$G$12,0)),主线推图!$B$313:$B$612,主线推图!$P$313:$P$612)*OFFSET($C$1,MATCH(AD$12,$C$2:$C$7,0),MATCH($AD$11,$D$12:$G$12,0))</f>
        <v>3414.4</v>
      </c>
      <c r="AE192" s="163">
        <f ca="1">_xlfn.XLOOKUP(OFFSET($C$12,$I192,MATCH($AD$11,$D$12:$G$12,0)),巡逻产出!$B$311:$B$610,巡逻产出!$R$311:$R$610)*OFFSET($C$1,MATCH(AE$12,$C$2:$C$7,0),MATCH($AD$11,$D$12:$G$12,0))</f>
        <v>0</v>
      </c>
      <c r="AF192" s="163" t="e">
        <f ca="1">_xlfn.XLOOKUP(MAX(INT((OFFSET($C$12,$I192,MATCH($AD$11,$D$12:$G$12,0))-6)/10),1),组队产出!$B$25:$B$39,组队产出!$P$25:$P$39)*OFFSET($C$1,MATCH(AF$12,$C$2:$C$7,0),MATCH($AD$11,$D$12:$G$12,0))</f>
        <v>#N/A</v>
      </c>
      <c r="AG192" s="163">
        <f ca="1">竞技场!$G$3*OFFSET($C$1,MATCH(AG$12,$C$2:$C$7,0),MATCH($AD$11,$D$12:$G$12,0))</f>
        <v>3150</v>
      </c>
      <c r="AH19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2" s="23">
        <f>任务!$G$6+任务!$G$9+IF(MOD(AC192,7)=0,任务!$N$9+任务!$O$6,0)</f>
        <v>895</v>
      </c>
      <c r="AJ192" s="25">
        <f>公会!$U$11</f>
        <v>2766.62857142857</v>
      </c>
      <c r="AK192" s="163">
        <f ca="1">_xlfn.XLOOKUP(OFFSET($C$12,$I192,MATCH($AD$11,$D$12:$G$12,0)),巡逻产出!$B$311:$B$610,巡逻产出!$Q$311:$Q$610)*OFFSET($C$1,MATCH(AK$12,$C$2:$C$7,0),MATCH($AD$11,$D$12:$G$12,0))</f>
        <v>2363.088</v>
      </c>
      <c r="AM192" s="164">
        <v>180</v>
      </c>
      <c r="AN192" s="165">
        <f t="shared" si="20"/>
        <v>21131</v>
      </c>
      <c r="AO192" s="165">
        <f t="shared" si="21"/>
        <v>26486</v>
      </c>
      <c r="AP192" s="165">
        <f t="shared" si="22"/>
        <v>41957</v>
      </c>
      <c r="AQ192" s="165">
        <f t="shared" si="23"/>
        <v>55194</v>
      </c>
    </row>
    <row r="193" spans="3:43">
      <c r="C193" s="160">
        <v>181</v>
      </c>
      <c r="D193" s="169">
        <v>169</v>
      </c>
      <c r="E193" s="170">
        <f t="shared" si="27"/>
        <v>120</v>
      </c>
      <c r="F193" s="169">
        <f t="shared" si="28"/>
        <v>140.199999999999</v>
      </c>
      <c r="G193" s="163">
        <f t="shared" si="25"/>
        <v>213.5</v>
      </c>
      <c r="I193" s="160">
        <v>181</v>
      </c>
      <c r="J193" s="163" t="e">
        <f ca="1">_xlfn.XLOOKUP(OFFSET($C$12,$I193,MATCH($J$11,$D$12:$G$12,0)),主线推图!$B$313:$B$612,主线推图!$P$313:$P$612)*OFFSET($C$1,MATCH(J$12,$C$2:$C$7,0),MATCH($J$11,$D$12:$G$12,0))</f>
        <v>#N/A</v>
      </c>
      <c r="K193" s="163" t="e">
        <f ca="1">_xlfn.XLOOKUP(OFFSET($C$12,$I193,MATCH($J$11,$D$12:$G$12,0)),巡逻产出!$B$311:$B$610,巡逻产出!$R$311:$R$610)*OFFSET($C$1,MATCH(K$12,$C$2:$C$7,0),MATCH($J$11,$D$12:$G$12,0))</f>
        <v>#N/A</v>
      </c>
      <c r="L193" s="163">
        <f ca="1">_xlfn.XLOOKUP(MAX(INT((OFFSET($C$12,$I193,MATCH($J$11,$D$12:$G$12,0))-6)/10),1),组队产出!$B$25:$B$39,组队产出!$P$25:$P$39)*OFFSET($C$1,MATCH(L$12,$C$2:$C$7,0),MATCH($J$11,$D$12:$G$12,0))</f>
        <v>1124.4</v>
      </c>
      <c r="M193" s="163">
        <f ca="1">竞技场!$G$3*OFFSET($C$1,MATCH(M$12,$C$2:$C$7,0),MATCH($J$11,$D$12:$G$12,0))</f>
        <v>1050</v>
      </c>
      <c r="N19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3" s="23">
        <f>任务!$G$6+任务!$G$9+IF(MOD(I193,7)=0,任务!$N$9+任务!$O$6,0)</f>
        <v>895</v>
      </c>
      <c r="P193" s="25">
        <f>公会!$U$11</f>
        <v>2766.62857142857</v>
      </c>
      <c r="Q193" s="163" t="e">
        <f ca="1">_xlfn.XLOOKUP(OFFSET($C$12,$I193,MATCH($J$11,$D$12:$G$12,0)),巡逻产出!$B$311:$B$610,巡逻产出!$Q$311:$Q$610)*OFFSET($C$1,MATCH(Q$12,$C$2:$C$7,0),MATCH($J$11,$D$12:$G$12,0))</f>
        <v>#N/A</v>
      </c>
      <c r="S193" s="160">
        <v>181</v>
      </c>
      <c r="T193" s="163" t="e">
        <f ca="1">_xlfn.XLOOKUP(OFFSET($C$12,$I193,MATCH($T$11,$D$12:$G$12,0)),主线推图!$B$313:$B$612,主线推图!$P$313:$P$612)*OFFSET($C$1,MATCH(T$12,$C$2:$C$7,0),MATCH($T$11,$D$12:$G$12,0))</f>
        <v>#N/A</v>
      </c>
      <c r="U193" s="163" t="e">
        <f ca="1">_xlfn.XLOOKUP(OFFSET($C$12,$I193,MATCH($T$11,$D$12:$G$12,0)),巡逻产出!$B$311:$B$610,巡逻产出!$R$311:$R$610)*OFFSET($C$1,MATCH(U$12,$C$2:$C$7,0),MATCH($T$11,$D$12:$G$12,0))</f>
        <v>#N/A</v>
      </c>
      <c r="V193" s="163">
        <f ca="1">_xlfn.XLOOKUP(MAX(INT((OFFSET($C$12,$I193,MATCH($T$11,$D$12:$G$12,0))-6)/10),1),组队产出!$B$25:$B$39,组队产出!$P$25:$P$39)*OFFSET($C$1,MATCH(V$12,$C$2:$C$7,0),MATCH($T$11,$D$12:$G$12,0))</f>
        <v>2296.8</v>
      </c>
      <c r="W193" s="163">
        <f ca="1">竞技场!$G$3*OFFSET($C$1,MATCH(W$12,$C$2:$C$7,0),MATCH($T$11,$D$12:$G$12,0))</f>
        <v>2100</v>
      </c>
      <c r="X19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3" s="23">
        <f>任务!$G$6+任务!$G$9+IF(MOD(S193,7)=0,任务!$N$9+任务!$O$6,0)</f>
        <v>895</v>
      </c>
      <c r="Z193" s="25">
        <f>公会!$U$11</f>
        <v>2766.62857142857</v>
      </c>
      <c r="AA193" s="163" t="e">
        <f ca="1">_xlfn.XLOOKUP(OFFSET($C$12,$I193,MATCH($T$11,$D$12:$G$12,0)),巡逻产出!$B$311:$B$610,巡逻产出!$Q$311:$Q$610)*OFFSET($C$1,MATCH(AA$12,$C$2:$C$7,0),MATCH($T$11,$D$12:$G$12,0))</f>
        <v>#N/A</v>
      </c>
      <c r="AC193" s="160">
        <v>181</v>
      </c>
      <c r="AD193" s="163" t="e">
        <f ca="1">_xlfn.XLOOKUP(OFFSET($C$12,$I193,MATCH($AD$11,$D$12:$G$12,0)),主线推图!$B$313:$B$612,主线推图!$P$313:$P$612)*OFFSET($C$1,MATCH(AD$12,$C$2:$C$7,0),MATCH($AD$11,$D$12:$G$12,0))</f>
        <v>#N/A</v>
      </c>
      <c r="AE193" s="163" t="e">
        <f ca="1">_xlfn.XLOOKUP(OFFSET($C$12,$I193,MATCH($AD$11,$D$12:$G$12,0)),巡逻产出!$B$311:$B$610,巡逻产出!$R$311:$R$610)*OFFSET($C$1,MATCH(AE$12,$C$2:$C$7,0),MATCH($AD$11,$D$12:$G$12,0))</f>
        <v>#N/A</v>
      </c>
      <c r="AF193" s="163" t="e">
        <f ca="1">_xlfn.XLOOKUP(MAX(INT((OFFSET($C$12,$I193,MATCH($AD$11,$D$12:$G$12,0))-6)/10),1),组队产出!$B$25:$B$39,组队产出!$P$25:$P$39)*OFFSET($C$1,MATCH(AF$12,$C$2:$C$7,0),MATCH($AD$11,$D$12:$G$12,0))</f>
        <v>#N/A</v>
      </c>
      <c r="AG193" s="163">
        <f ca="1">竞技场!$G$3*OFFSET($C$1,MATCH(AG$12,$C$2:$C$7,0),MATCH($AD$11,$D$12:$G$12,0))</f>
        <v>3150</v>
      </c>
      <c r="AH19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3" s="23">
        <f>任务!$G$6+任务!$G$9+IF(MOD(AC193,7)=0,任务!$N$9+任务!$O$6,0)</f>
        <v>895</v>
      </c>
      <c r="AJ193" s="25">
        <f>公会!$U$11</f>
        <v>2766.62857142857</v>
      </c>
      <c r="AK193" s="163" t="e">
        <f ca="1">_xlfn.XLOOKUP(OFFSET($C$12,$I193,MATCH($AD$11,$D$12:$G$12,0)),巡逻产出!$B$311:$B$610,巡逻产出!$Q$311:$Q$610)*OFFSET($C$1,MATCH(AK$12,$C$2:$C$7,0),MATCH($AD$11,$D$12:$G$12,0))</f>
        <v>#N/A</v>
      </c>
      <c r="AM193" s="164">
        <v>181</v>
      </c>
      <c r="AN193" s="165">
        <f t="shared" si="20"/>
        <v>21245</v>
      </c>
      <c r="AO193" s="165">
        <f t="shared" si="21"/>
        <v>26629</v>
      </c>
      <c r="AP193" s="165">
        <f t="shared" si="22"/>
        <v>42186</v>
      </c>
      <c r="AQ193" s="165">
        <f t="shared" si="23"/>
        <v>55496</v>
      </c>
    </row>
    <row r="194" spans="3:43">
      <c r="C194" s="160">
        <v>182</v>
      </c>
      <c r="D194" s="169">
        <v>169</v>
      </c>
      <c r="E194" s="170">
        <f t="shared" si="27"/>
        <v>120.25</v>
      </c>
      <c r="F194" s="169">
        <f t="shared" si="28"/>
        <v>140.549999999999</v>
      </c>
      <c r="G194" s="163">
        <f t="shared" si="25"/>
        <v>214</v>
      </c>
      <c r="I194" s="160">
        <v>182</v>
      </c>
      <c r="J194" s="163" t="e">
        <f ca="1">_xlfn.XLOOKUP(OFFSET($C$12,$I194,MATCH($J$11,$D$12:$G$12,0)),主线推图!$B$313:$B$612,主线推图!$P$313:$P$612)*OFFSET($C$1,MATCH(J$12,$C$2:$C$7,0),MATCH($J$11,$D$12:$G$12,0))</f>
        <v>#N/A</v>
      </c>
      <c r="K194" s="163" t="e">
        <f ca="1">_xlfn.XLOOKUP(OFFSET($C$12,$I194,MATCH($J$11,$D$12:$G$12,0)),巡逻产出!$B$311:$B$610,巡逻产出!$R$311:$R$610)*OFFSET($C$1,MATCH(K$12,$C$2:$C$7,0),MATCH($J$11,$D$12:$G$12,0))</f>
        <v>#N/A</v>
      </c>
      <c r="L194" s="163">
        <f ca="1">_xlfn.XLOOKUP(MAX(INT((OFFSET($C$12,$I194,MATCH($J$11,$D$12:$G$12,0))-6)/10),1),组队产出!$B$25:$B$39,组队产出!$P$25:$P$39)*OFFSET($C$1,MATCH(L$12,$C$2:$C$7,0),MATCH($J$11,$D$12:$G$12,0))</f>
        <v>1124.4</v>
      </c>
      <c r="M194" s="163">
        <f ca="1">竞技场!$G$3*OFFSET($C$1,MATCH(M$12,$C$2:$C$7,0),MATCH($J$11,$D$12:$G$12,0))</f>
        <v>1050</v>
      </c>
      <c r="N19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4" s="23">
        <f>任务!$G$6+任务!$G$9+IF(MOD(I194,7)=0,任务!$N$9+任务!$O$6,0)</f>
        <v>3125</v>
      </c>
      <c r="P194" s="25">
        <f>公会!$U$11</f>
        <v>2766.62857142857</v>
      </c>
      <c r="Q194" s="163" t="e">
        <f ca="1">_xlfn.XLOOKUP(OFFSET($C$12,$I194,MATCH($J$11,$D$12:$G$12,0)),巡逻产出!$B$311:$B$610,巡逻产出!$Q$311:$Q$610)*OFFSET($C$1,MATCH(Q$12,$C$2:$C$7,0),MATCH($J$11,$D$12:$G$12,0))</f>
        <v>#N/A</v>
      </c>
      <c r="S194" s="160">
        <v>182</v>
      </c>
      <c r="T194" s="163" t="e">
        <f ca="1">_xlfn.XLOOKUP(OFFSET($C$12,$I194,MATCH($T$11,$D$12:$G$12,0)),主线推图!$B$313:$B$612,主线推图!$P$313:$P$612)*OFFSET($C$1,MATCH(T$12,$C$2:$C$7,0),MATCH($T$11,$D$12:$G$12,0))</f>
        <v>#N/A</v>
      </c>
      <c r="U194" s="163" t="e">
        <f ca="1">_xlfn.XLOOKUP(OFFSET($C$12,$I194,MATCH($T$11,$D$12:$G$12,0)),巡逻产出!$B$311:$B$610,巡逻产出!$R$311:$R$610)*OFFSET($C$1,MATCH(U$12,$C$2:$C$7,0),MATCH($T$11,$D$12:$G$12,0))</f>
        <v>#N/A</v>
      </c>
      <c r="V194" s="163">
        <f ca="1">_xlfn.XLOOKUP(MAX(INT((OFFSET($C$12,$I194,MATCH($T$11,$D$12:$G$12,0))-6)/10),1),组队产出!$B$25:$B$39,组队产出!$P$25:$P$39)*OFFSET($C$1,MATCH(V$12,$C$2:$C$7,0),MATCH($T$11,$D$12:$G$12,0))</f>
        <v>2296.8</v>
      </c>
      <c r="W194" s="163">
        <f ca="1">竞技场!$G$3*OFFSET($C$1,MATCH(W$12,$C$2:$C$7,0),MATCH($T$11,$D$12:$G$12,0))</f>
        <v>2100</v>
      </c>
      <c r="X19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4" s="23">
        <f>任务!$G$6+任务!$G$9+IF(MOD(S194,7)=0,任务!$N$9+任务!$O$6,0)</f>
        <v>3125</v>
      </c>
      <c r="Z194" s="25">
        <f>公会!$U$11</f>
        <v>2766.62857142857</v>
      </c>
      <c r="AA194" s="163" t="e">
        <f ca="1">_xlfn.XLOOKUP(OFFSET($C$12,$I194,MATCH($T$11,$D$12:$G$12,0)),巡逻产出!$B$311:$B$610,巡逻产出!$Q$311:$Q$610)*OFFSET($C$1,MATCH(AA$12,$C$2:$C$7,0),MATCH($T$11,$D$12:$G$12,0))</f>
        <v>#N/A</v>
      </c>
      <c r="AC194" s="160">
        <v>182</v>
      </c>
      <c r="AD194" s="163">
        <f ca="1">_xlfn.XLOOKUP(OFFSET($C$12,$I194,MATCH($AD$11,$D$12:$G$12,0)),主线推图!$B$313:$B$612,主线推图!$P$313:$P$612)*OFFSET($C$1,MATCH(AD$12,$C$2:$C$7,0),MATCH($AD$11,$D$12:$G$12,0))</f>
        <v>3416.6</v>
      </c>
      <c r="AE194" s="163">
        <f ca="1">_xlfn.XLOOKUP(OFFSET($C$12,$I194,MATCH($AD$11,$D$12:$G$12,0)),巡逻产出!$B$311:$B$610,巡逻产出!$R$311:$R$610)*OFFSET($C$1,MATCH(AE$12,$C$2:$C$7,0),MATCH($AD$11,$D$12:$G$12,0))</f>
        <v>0</v>
      </c>
      <c r="AF194" s="163" t="e">
        <f ca="1">_xlfn.XLOOKUP(MAX(INT((OFFSET($C$12,$I194,MATCH($AD$11,$D$12:$G$12,0))-6)/10),1),组队产出!$B$25:$B$39,组队产出!$P$25:$P$39)*OFFSET($C$1,MATCH(AF$12,$C$2:$C$7,0),MATCH($AD$11,$D$12:$G$12,0))</f>
        <v>#N/A</v>
      </c>
      <c r="AG194" s="163">
        <f ca="1">竞技场!$G$3*OFFSET($C$1,MATCH(AG$12,$C$2:$C$7,0),MATCH($AD$11,$D$12:$G$12,0))</f>
        <v>3150</v>
      </c>
      <c r="AH19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4" s="23">
        <f>任务!$G$6+任务!$G$9+IF(MOD(AC194,7)=0,任务!$N$9+任务!$O$6,0)</f>
        <v>3125</v>
      </c>
      <c r="AJ194" s="25">
        <f>公会!$U$11</f>
        <v>2766.62857142857</v>
      </c>
      <c r="AK194" s="163">
        <f ca="1">_xlfn.XLOOKUP(OFFSET($C$12,$I194,MATCH($AD$11,$D$12:$G$12,0)),巡逻产出!$B$311:$B$610,巡逻产出!$Q$311:$Q$610)*OFFSET($C$1,MATCH(AK$12,$C$2:$C$7,0),MATCH($AD$11,$D$12:$G$12,0))</f>
        <v>2364.648</v>
      </c>
      <c r="AM194" s="164">
        <v>182</v>
      </c>
      <c r="AN194" s="165">
        <f t="shared" si="20"/>
        <v>21358</v>
      </c>
      <c r="AO194" s="165">
        <f t="shared" si="21"/>
        <v>26772</v>
      </c>
      <c r="AP194" s="165">
        <f t="shared" si="22"/>
        <v>42414</v>
      </c>
      <c r="AQ194" s="165">
        <f t="shared" si="23"/>
        <v>55798</v>
      </c>
    </row>
    <row r="195" spans="3:43">
      <c r="C195" s="160">
        <v>183</v>
      </c>
      <c r="D195" s="169">
        <v>169</v>
      </c>
      <c r="E195" s="170">
        <f t="shared" si="27"/>
        <v>120.5</v>
      </c>
      <c r="F195" s="169">
        <f t="shared" si="28"/>
        <v>140.899999999999</v>
      </c>
      <c r="G195" s="163">
        <f t="shared" si="25"/>
        <v>214.5</v>
      </c>
      <c r="I195" s="160">
        <v>183</v>
      </c>
      <c r="J195" s="163" t="e">
        <f ca="1">_xlfn.XLOOKUP(OFFSET($C$12,$I195,MATCH($J$11,$D$12:$G$12,0)),主线推图!$B$313:$B$612,主线推图!$P$313:$P$612)*OFFSET($C$1,MATCH(J$12,$C$2:$C$7,0),MATCH($J$11,$D$12:$G$12,0))</f>
        <v>#N/A</v>
      </c>
      <c r="K195" s="163" t="e">
        <f ca="1">_xlfn.XLOOKUP(OFFSET($C$12,$I195,MATCH($J$11,$D$12:$G$12,0)),巡逻产出!$B$311:$B$610,巡逻产出!$R$311:$R$610)*OFFSET($C$1,MATCH(K$12,$C$2:$C$7,0),MATCH($J$11,$D$12:$G$12,0))</f>
        <v>#N/A</v>
      </c>
      <c r="L195" s="163">
        <f ca="1">_xlfn.XLOOKUP(MAX(INT((OFFSET($C$12,$I195,MATCH($J$11,$D$12:$G$12,0))-6)/10),1),组队产出!$B$25:$B$39,组队产出!$P$25:$P$39)*OFFSET($C$1,MATCH(L$12,$C$2:$C$7,0),MATCH($J$11,$D$12:$G$12,0))</f>
        <v>1124.4</v>
      </c>
      <c r="M195" s="163">
        <f ca="1">竞技场!$G$3*OFFSET($C$1,MATCH(M$12,$C$2:$C$7,0),MATCH($J$11,$D$12:$G$12,0))</f>
        <v>1050</v>
      </c>
      <c r="N19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5" s="23">
        <f>任务!$G$6+任务!$G$9+IF(MOD(I195,7)=0,任务!$N$9+任务!$O$6,0)</f>
        <v>895</v>
      </c>
      <c r="P195" s="25">
        <f>公会!$U$11</f>
        <v>2766.62857142857</v>
      </c>
      <c r="Q195" s="163" t="e">
        <f ca="1">_xlfn.XLOOKUP(OFFSET($C$12,$I195,MATCH($J$11,$D$12:$G$12,0)),巡逻产出!$B$311:$B$610,巡逻产出!$Q$311:$Q$610)*OFFSET($C$1,MATCH(Q$12,$C$2:$C$7,0),MATCH($J$11,$D$12:$G$12,0))</f>
        <v>#N/A</v>
      </c>
      <c r="S195" s="160">
        <v>183</v>
      </c>
      <c r="T195" s="163" t="e">
        <f ca="1">_xlfn.XLOOKUP(OFFSET($C$12,$I195,MATCH($T$11,$D$12:$G$12,0)),主线推图!$B$313:$B$612,主线推图!$P$313:$P$612)*OFFSET($C$1,MATCH(T$12,$C$2:$C$7,0),MATCH($T$11,$D$12:$G$12,0))</f>
        <v>#N/A</v>
      </c>
      <c r="U195" s="163" t="e">
        <f ca="1">_xlfn.XLOOKUP(OFFSET($C$12,$I195,MATCH($T$11,$D$12:$G$12,0)),巡逻产出!$B$311:$B$610,巡逻产出!$R$311:$R$610)*OFFSET($C$1,MATCH(U$12,$C$2:$C$7,0),MATCH($T$11,$D$12:$G$12,0))</f>
        <v>#N/A</v>
      </c>
      <c r="V195" s="163">
        <f ca="1">_xlfn.XLOOKUP(MAX(INT((OFFSET($C$12,$I195,MATCH($T$11,$D$12:$G$12,0))-6)/10),1),组队产出!$B$25:$B$39,组队产出!$P$25:$P$39)*OFFSET($C$1,MATCH(V$12,$C$2:$C$7,0),MATCH($T$11,$D$12:$G$12,0))</f>
        <v>2296.8</v>
      </c>
      <c r="W195" s="163">
        <f ca="1">竞技场!$G$3*OFFSET($C$1,MATCH(W$12,$C$2:$C$7,0),MATCH($T$11,$D$12:$G$12,0))</f>
        <v>2100</v>
      </c>
      <c r="X19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5" s="23">
        <f>任务!$G$6+任务!$G$9+IF(MOD(S195,7)=0,任务!$N$9+任务!$O$6,0)</f>
        <v>895</v>
      </c>
      <c r="Z195" s="25">
        <f>公会!$U$11</f>
        <v>2766.62857142857</v>
      </c>
      <c r="AA195" s="163" t="e">
        <f ca="1">_xlfn.XLOOKUP(OFFSET($C$12,$I195,MATCH($T$11,$D$12:$G$12,0)),巡逻产出!$B$311:$B$610,巡逻产出!$Q$311:$Q$610)*OFFSET($C$1,MATCH(AA$12,$C$2:$C$7,0),MATCH($T$11,$D$12:$G$12,0))</f>
        <v>#N/A</v>
      </c>
      <c r="AC195" s="160">
        <v>183</v>
      </c>
      <c r="AD195" s="163" t="e">
        <f ca="1">_xlfn.XLOOKUP(OFFSET($C$12,$I195,MATCH($AD$11,$D$12:$G$12,0)),主线推图!$B$313:$B$612,主线推图!$P$313:$P$612)*OFFSET($C$1,MATCH(AD$12,$C$2:$C$7,0),MATCH($AD$11,$D$12:$G$12,0))</f>
        <v>#N/A</v>
      </c>
      <c r="AE195" s="163" t="e">
        <f ca="1">_xlfn.XLOOKUP(OFFSET($C$12,$I195,MATCH($AD$11,$D$12:$G$12,0)),巡逻产出!$B$311:$B$610,巡逻产出!$R$311:$R$610)*OFFSET($C$1,MATCH(AE$12,$C$2:$C$7,0),MATCH($AD$11,$D$12:$G$12,0))</f>
        <v>#N/A</v>
      </c>
      <c r="AF195" s="163" t="e">
        <f ca="1">_xlfn.XLOOKUP(MAX(INT((OFFSET($C$12,$I195,MATCH($AD$11,$D$12:$G$12,0))-6)/10),1),组队产出!$B$25:$B$39,组队产出!$P$25:$P$39)*OFFSET($C$1,MATCH(AF$12,$C$2:$C$7,0),MATCH($AD$11,$D$12:$G$12,0))</f>
        <v>#N/A</v>
      </c>
      <c r="AG195" s="163">
        <f ca="1">竞技场!$G$3*OFFSET($C$1,MATCH(AG$12,$C$2:$C$7,0),MATCH($AD$11,$D$12:$G$12,0))</f>
        <v>3150</v>
      </c>
      <c r="AH19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5" s="23">
        <f>任务!$G$6+任务!$G$9+IF(MOD(AC195,7)=0,任务!$N$9+任务!$O$6,0)</f>
        <v>895</v>
      </c>
      <c r="AJ195" s="25">
        <f>公会!$U$11</f>
        <v>2766.62857142857</v>
      </c>
      <c r="AK195" s="163" t="e">
        <f ca="1">_xlfn.XLOOKUP(OFFSET($C$12,$I195,MATCH($AD$11,$D$12:$G$12,0)),巡逻产出!$B$311:$B$610,巡逻产出!$Q$311:$Q$610)*OFFSET($C$1,MATCH(AK$12,$C$2:$C$7,0),MATCH($AD$11,$D$12:$G$12,0))</f>
        <v>#N/A</v>
      </c>
      <c r="AM195" s="164">
        <v>183</v>
      </c>
      <c r="AN195" s="165">
        <f t="shared" si="20"/>
        <v>21472</v>
      </c>
      <c r="AO195" s="165">
        <f t="shared" si="21"/>
        <v>26915</v>
      </c>
      <c r="AP195" s="165">
        <f t="shared" si="22"/>
        <v>42643</v>
      </c>
      <c r="AQ195" s="165">
        <f t="shared" si="23"/>
        <v>56100</v>
      </c>
    </row>
    <row r="196" spans="3:43">
      <c r="C196" s="160">
        <v>184</v>
      </c>
      <c r="D196" s="169">
        <v>169</v>
      </c>
      <c r="E196" s="170">
        <f t="shared" si="27"/>
        <v>120.75</v>
      </c>
      <c r="F196" s="169">
        <f t="shared" si="28"/>
        <v>141.249999999999</v>
      </c>
      <c r="G196" s="163">
        <f t="shared" si="25"/>
        <v>215</v>
      </c>
      <c r="I196" s="160">
        <v>184</v>
      </c>
      <c r="J196" s="163" t="e">
        <f ca="1">_xlfn.XLOOKUP(OFFSET($C$12,$I196,MATCH($J$11,$D$12:$G$12,0)),主线推图!$B$313:$B$612,主线推图!$P$313:$P$612)*OFFSET($C$1,MATCH(J$12,$C$2:$C$7,0),MATCH($J$11,$D$12:$G$12,0))</f>
        <v>#N/A</v>
      </c>
      <c r="K196" s="163" t="e">
        <f ca="1">_xlfn.XLOOKUP(OFFSET($C$12,$I196,MATCH($J$11,$D$12:$G$12,0)),巡逻产出!$B$311:$B$610,巡逻产出!$R$311:$R$610)*OFFSET($C$1,MATCH(K$12,$C$2:$C$7,0),MATCH($J$11,$D$12:$G$12,0))</f>
        <v>#N/A</v>
      </c>
      <c r="L196" s="163">
        <f ca="1">_xlfn.XLOOKUP(MAX(INT((OFFSET($C$12,$I196,MATCH($J$11,$D$12:$G$12,0))-6)/10),1),组队产出!$B$25:$B$39,组队产出!$P$25:$P$39)*OFFSET($C$1,MATCH(L$12,$C$2:$C$7,0),MATCH($J$11,$D$12:$G$12,0))</f>
        <v>1124.4</v>
      </c>
      <c r="M196" s="163">
        <f ca="1">竞技场!$G$3*OFFSET($C$1,MATCH(M$12,$C$2:$C$7,0),MATCH($J$11,$D$12:$G$12,0))</f>
        <v>1050</v>
      </c>
      <c r="N19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6" s="23">
        <f>任务!$G$6+任务!$G$9+IF(MOD(I196,7)=0,任务!$N$9+任务!$O$6,0)</f>
        <v>895</v>
      </c>
      <c r="P196" s="25">
        <f>公会!$U$11</f>
        <v>2766.62857142857</v>
      </c>
      <c r="Q196" s="163" t="e">
        <f ca="1">_xlfn.XLOOKUP(OFFSET($C$12,$I196,MATCH($J$11,$D$12:$G$12,0)),巡逻产出!$B$311:$B$610,巡逻产出!$Q$311:$Q$610)*OFFSET($C$1,MATCH(Q$12,$C$2:$C$7,0),MATCH($J$11,$D$12:$G$12,0))</f>
        <v>#N/A</v>
      </c>
      <c r="S196" s="160">
        <v>184</v>
      </c>
      <c r="T196" s="163" t="e">
        <f ca="1">_xlfn.XLOOKUP(OFFSET($C$12,$I196,MATCH($T$11,$D$12:$G$12,0)),主线推图!$B$313:$B$612,主线推图!$P$313:$P$612)*OFFSET($C$1,MATCH(T$12,$C$2:$C$7,0),MATCH($T$11,$D$12:$G$12,0))</f>
        <v>#N/A</v>
      </c>
      <c r="U196" s="163" t="e">
        <f ca="1">_xlfn.XLOOKUP(OFFSET($C$12,$I196,MATCH($T$11,$D$12:$G$12,0)),巡逻产出!$B$311:$B$610,巡逻产出!$R$311:$R$610)*OFFSET($C$1,MATCH(U$12,$C$2:$C$7,0),MATCH($T$11,$D$12:$G$12,0))</f>
        <v>#N/A</v>
      </c>
      <c r="V196" s="163">
        <f ca="1">_xlfn.XLOOKUP(MAX(INT((OFFSET($C$12,$I196,MATCH($T$11,$D$12:$G$12,0))-6)/10),1),组队产出!$B$25:$B$39,组队产出!$P$25:$P$39)*OFFSET($C$1,MATCH(V$12,$C$2:$C$7,0),MATCH($T$11,$D$12:$G$12,0))</f>
        <v>2296.8</v>
      </c>
      <c r="W196" s="163">
        <f ca="1">竞技场!$G$3*OFFSET($C$1,MATCH(W$12,$C$2:$C$7,0),MATCH($T$11,$D$12:$G$12,0))</f>
        <v>2100</v>
      </c>
      <c r="X19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6" s="23">
        <f>任务!$G$6+任务!$G$9+IF(MOD(S196,7)=0,任务!$N$9+任务!$O$6,0)</f>
        <v>895</v>
      </c>
      <c r="Z196" s="25">
        <f>公会!$U$11</f>
        <v>2766.62857142857</v>
      </c>
      <c r="AA196" s="163" t="e">
        <f ca="1">_xlfn.XLOOKUP(OFFSET($C$12,$I196,MATCH($T$11,$D$12:$G$12,0)),巡逻产出!$B$311:$B$610,巡逻产出!$Q$311:$Q$610)*OFFSET($C$1,MATCH(AA$12,$C$2:$C$7,0),MATCH($T$11,$D$12:$G$12,0))</f>
        <v>#N/A</v>
      </c>
      <c r="AC196" s="160">
        <v>184</v>
      </c>
      <c r="AD196" s="163">
        <f ca="1">_xlfn.XLOOKUP(OFFSET($C$12,$I196,MATCH($AD$11,$D$12:$G$12,0)),主线推图!$B$313:$B$612,主线推图!$P$313:$P$612)*OFFSET($C$1,MATCH(AD$12,$C$2:$C$7,0),MATCH($AD$11,$D$12:$G$12,0))</f>
        <v>3418.8</v>
      </c>
      <c r="AE196" s="163">
        <f ca="1">_xlfn.XLOOKUP(OFFSET($C$12,$I196,MATCH($AD$11,$D$12:$G$12,0)),巡逻产出!$B$311:$B$610,巡逻产出!$R$311:$R$610)*OFFSET($C$1,MATCH(AE$12,$C$2:$C$7,0),MATCH($AD$11,$D$12:$G$12,0))</f>
        <v>0</v>
      </c>
      <c r="AF196" s="163" t="e">
        <f ca="1">_xlfn.XLOOKUP(MAX(INT((OFFSET($C$12,$I196,MATCH($AD$11,$D$12:$G$12,0))-6)/10),1),组队产出!$B$25:$B$39,组队产出!$P$25:$P$39)*OFFSET($C$1,MATCH(AF$12,$C$2:$C$7,0),MATCH($AD$11,$D$12:$G$12,0))</f>
        <v>#N/A</v>
      </c>
      <c r="AG196" s="163">
        <f ca="1">竞技场!$G$3*OFFSET($C$1,MATCH(AG$12,$C$2:$C$7,0),MATCH($AD$11,$D$12:$G$12,0))</f>
        <v>3150</v>
      </c>
      <c r="AH19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6" s="23">
        <f>任务!$G$6+任务!$G$9+IF(MOD(AC196,7)=0,任务!$N$9+任务!$O$6,0)</f>
        <v>895</v>
      </c>
      <c r="AJ196" s="25">
        <f>公会!$U$11</f>
        <v>2766.62857142857</v>
      </c>
      <c r="AK196" s="163">
        <f ca="1">_xlfn.XLOOKUP(OFFSET($C$12,$I196,MATCH($AD$11,$D$12:$G$12,0)),巡逻产出!$B$311:$B$610,巡逻产出!$Q$311:$Q$610)*OFFSET($C$1,MATCH(AK$12,$C$2:$C$7,0),MATCH($AD$11,$D$12:$G$12,0))</f>
        <v>2366.208</v>
      </c>
      <c r="AM196" s="164">
        <v>184</v>
      </c>
      <c r="AN196" s="165">
        <f t="shared" si="20"/>
        <v>21585</v>
      </c>
      <c r="AO196" s="165">
        <f t="shared" si="21"/>
        <v>27058</v>
      </c>
      <c r="AP196" s="165">
        <f t="shared" si="22"/>
        <v>42871</v>
      </c>
      <c r="AQ196" s="165">
        <f t="shared" si="23"/>
        <v>56402</v>
      </c>
    </row>
    <row r="197" spans="3:43">
      <c r="C197" s="160">
        <v>185</v>
      </c>
      <c r="D197" s="169">
        <v>170</v>
      </c>
      <c r="E197" s="170">
        <f t="shared" si="27"/>
        <v>121</v>
      </c>
      <c r="F197" s="169">
        <f t="shared" si="28"/>
        <v>141.599999999999</v>
      </c>
      <c r="G197" s="163">
        <f t="shared" si="25"/>
        <v>215.5</v>
      </c>
      <c r="I197" s="160">
        <v>185</v>
      </c>
      <c r="J197" s="163" t="e">
        <f ca="1">_xlfn.XLOOKUP(OFFSET($C$12,$I197,MATCH($J$11,$D$12:$G$12,0)),主线推图!$B$313:$B$612,主线推图!$P$313:$P$612)*OFFSET($C$1,MATCH(J$12,$C$2:$C$7,0),MATCH($J$11,$D$12:$G$12,0))</f>
        <v>#N/A</v>
      </c>
      <c r="K197" s="163" t="e">
        <f ca="1">_xlfn.XLOOKUP(OFFSET($C$12,$I197,MATCH($J$11,$D$12:$G$12,0)),巡逻产出!$B$311:$B$610,巡逻产出!$R$311:$R$610)*OFFSET($C$1,MATCH(K$12,$C$2:$C$7,0),MATCH($J$11,$D$12:$G$12,0))</f>
        <v>#N/A</v>
      </c>
      <c r="L197" s="163">
        <f ca="1">_xlfn.XLOOKUP(MAX(INT((OFFSET($C$12,$I197,MATCH($J$11,$D$12:$G$12,0))-6)/10),1),组队产出!$B$25:$B$39,组队产出!$P$25:$P$39)*OFFSET($C$1,MATCH(L$12,$C$2:$C$7,0),MATCH($J$11,$D$12:$G$12,0))</f>
        <v>1124.4</v>
      </c>
      <c r="M197" s="163">
        <f ca="1">竞技场!$G$3*OFFSET($C$1,MATCH(M$12,$C$2:$C$7,0),MATCH($J$11,$D$12:$G$12,0))</f>
        <v>1050</v>
      </c>
      <c r="N19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7" s="23">
        <f>任务!$G$6+任务!$G$9+IF(MOD(I197,7)=0,任务!$N$9+任务!$O$6,0)</f>
        <v>895</v>
      </c>
      <c r="P197" s="25">
        <f>公会!$U$11</f>
        <v>2766.62857142857</v>
      </c>
      <c r="Q197" s="163" t="e">
        <f ca="1">_xlfn.XLOOKUP(OFFSET($C$12,$I197,MATCH($J$11,$D$12:$G$12,0)),巡逻产出!$B$311:$B$610,巡逻产出!$Q$311:$Q$610)*OFFSET($C$1,MATCH(Q$12,$C$2:$C$7,0),MATCH($J$11,$D$12:$G$12,0))</f>
        <v>#N/A</v>
      </c>
      <c r="S197" s="160">
        <v>185</v>
      </c>
      <c r="T197" s="163" t="e">
        <f ca="1">_xlfn.XLOOKUP(OFFSET($C$12,$I197,MATCH($T$11,$D$12:$G$12,0)),主线推图!$B$313:$B$612,主线推图!$P$313:$P$612)*OFFSET($C$1,MATCH(T$12,$C$2:$C$7,0),MATCH($T$11,$D$12:$G$12,0))</f>
        <v>#N/A</v>
      </c>
      <c r="U197" s="163" t="e">
        <f ca="1">_xlfn.XLOOKUP(OFFSET($C$12,$I197,MATCH($T$11,$D$12:$G$12,0)),巡逻产出!$B$311:$B$610,巡逻产出!$R$311:$R$610)*OFFSET($C$1,MATCH(U$12,$C$2:$C$7,0),MATCH($T$11,$D$12:$G$12,0))</f>
        <v>#N/A</v>
      </c>
      <c r="V197" s="163">
        <f ca="1">_xlfn.XLOOKUP(MAX(INT((OFFSET($C$12,$I197,MATCH($T$11,$D$12:$G$12,0))-6)/10),1),组队产出!$B$25:$B$39,组队产出!$P$25:$P$39)*OFFSET($C$1,MATCH(V$12,$C$2:$C$7,0),MATCH($T$11,$D$12:$G$12,0))</f>
        <v>2296.8</v>
      </c>
      <c r="W197" s="163">
        <f ca="1">竞技场!$G$3*OFFSET($C$1,MATCH(W$12,$C$2:$C$7,0),MATCH($T$11,$D$12:$G$12,0))</f>
        <v>2100</v>
      </c>
      <c r="X19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7" s="23">
        <f>任务!$G$6+任务!$G$9+IF(MOD(S197,7)=0,任务!$N$9+任务!$O$6,0)</f>
        <v>895</v>
      </c>
      <c r="Z197" s="25">
        <f>公会!$U$11</f>
        <v>2766.62857142857</v>
      </c>
      <c r="AA197" s="163" t="e">
        <f ca="1">_xlfn.XLOOKUP(OFFSET($C$12,$I197,MATCH($T$11,$D$12:$G$12,0)),巡逻产出!$B$311:$B$610,巡逻产出!$Q$311:$Q$610)*OFFSET($C$1,MATCH(AA$12,$C$2:$C$7,0),MATCH($T$11,$D$12:$G$12,0))</f>
        <v>#N/A</v>
      </c>
      <c r="AC197" s="160">
        <v>185</v>
      </c>
      <c r="AD197" s="163" t="e">
        <f ca="1">_xlfn.XLOOKUP(OFFSET($C$12,$I197,MATCH($AD$11,$D$12:$G$12,0)),主线推图!$B$313:$B$612,主线推图!$P$313:$P$612)*OFFSET($C$1,MATCH(AD$12,$C$2:$C$7,0),MATCH($AD$11,$D$12:$G$12,0))</f>
        <v>#N/A</v>
      </c>
      <c r="AE197" s="163" t="e">
        <f ca="1">_xlfn.XLOOKUP(OFFSET($C$12,$I197,MATCH($AD$11,$D$12:$G$12,0)),巡逻产出!$B$311:$B$610,巡逻产出!$R$311:$R$610)*OFFSET($C$1,MATCH(AE$12,$C$2:$C$7,0),MATCH($AD$11,$D$12:$G$12,0))</f>
        <v>#N/A</v>
      </c>
      <c r="AF197" s="163" t="e">
        <f ca="1">_xlfn.XLOOKUP(MAX(INT((OFFSET($C$12,$I197,MATCH($AD$11,$D$12:$G$12,0))-6)/10),1),组队产出!$B$25:$B$39,组队产出!$P$25:$P$39)*OFFSET($C$1,MATCH(AF$12,$C$2:$C$7,0),MATCH($AD$11,$D$12:$G$12,0))</f>
        <v>#N/A</v>
      </c>
      <c r="AG197" s="163">
        <f ca="1">竞技场!$G$3*OFFSET($C$1,MATCH(AG$12,$C$2:$C$7,0),MATCH($AD$11,$D$12:$G$12,0))</f>
        <v>3150</v>
      </c>
      <c r="AH19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7" s="23">
        <f>任务!$G$6+任务!$G$9+IF(MOD(AC197,7)=0,任务!$N$9+任务!$O$6,0)</f>
        <v>895</v>
      </c>
      <c r="AJ197" s="25">
        <f>公会!$U$11</f>
        <v>2766.62857142857</v>
      </c>
      <c r="AK197" s="163" t="e">
        <f ca="1">_xlfn.XLOOKUP(OFFSET($C$12,$I197,MATCH($AD$11,$D$12:$G$12,0)),巡逻产出!$B$311:$B$610,巡逻产出!$Q$311:$Q$610)*OFFSET($C$1,MATCH(AK$12,$C$2:$C$7,0),MATCH($AD$11,$D$12:$G$12,0))</f>
        <v>#N/A</v>
      </c>
      <c r="AM197" s="164">
        <v>185</v>
      </c>
      <c r="AN197" s="165">
        <f t="shared" si="20"/>
        <v>21699</v>
      </c>
      <c r="AO197" s="165">
        <f t="shared" si="21"/>
        <v>27201</v>
      </c>
      <c r="AP197" s="165">
        <f t="shared" si="22"/>
        <v>43100</v>
      </c>
      <c r="AQ197" s="165">
        <f t="shared" si="23"/>
        <v>56704</v>
      </c>
    </row>
    <row r="198" spans="3:43">
      <c r="C198" s="160">
        <v>186</v>
      </c>
      <c r="D198" s="169">
        <v>170</v>
      </c>
      <c r="E198" s="170">
        <f t="shared" si="27"/>
        <v>121.25</v>
      </c>
      <c r="F198" s="169">
        <f t="shared" si="28"/>
        <v>141.949999999999</v>
      </c>
      <c r="G198" s="163">
        <f t="shared" si="25"/>
        <v>216</v>
      </c>
      <c r="I198" s="160">
        <v>186</v>
      </c>
      <c r="J198" s="163" t="e">
        <f ca="1">_xlfn.XLOOKUP(OFFSET($C$12,$I198,MATCH($J$11,$D$12:$G$12,0)),主线推图!$B$313:$B$612,主线推图!$P$313:$P$612)*OFFSET($C$1,MATCH(J$12,$C$2:$C$7,0),MATCH($J$11,$D$12:$G$12,0))</f>
        <v>#N/A</v>
      </c>
      <c r="K198" s="163" t="e">
        <f ca="1">_xlfn.XLOOKUP(OFFSET($C$12,$I198,MATCH($J$11,$D$12:$G$12,0)),巡逻产出!$B$311:$B$610,巡逻产出!$R$311:$R$610)*OFFSET($C$1,MATCH(K$12,$C$2:$C$7,0),MATCH($J$11,$D$12:$G$12,0))</f>
        <v>#N/A</v>
      </c>
      <c r="L198" s="163">
        <f ca="1">_xlfn.XLOOKUP(MAX(INT((OFFSET($C$12,$I198,MATCH($J$11,$D$12:$G$12,0))-6)/10),1),组队产出!$B$25:$B$39,组队产出!$P$25:$P$39)*OFFSET($C$1,MATCH(L$12,$C$2:$C$7,0),MATCH($J$11,$D$12:$G$12,0))</f>
        <v>1124.4</v>
      </c>
      <c r="M198" s="163">
        <f ca="1">竞技场!$G$3*OFFSET($C$1,MATCH(M$12,$C$2:$C$7,0),MATCH($J$11,$D$12:$G$12,0))</f>
        <v>1050</v>
      </c>
      <c r="N19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8" s="23">
        <f>任务!$G$6+任务!$G$9+IF(MOD(I198,7)=0,任务!$N$9+任务!$O$6,0)</f>
        <v>895</v>
      </c>
      <c r="P198" s="25">
        <f>公会!$U$11</f>
        <v>2766.62857142857</v>
      </c>
      <c r="Q198" s="163" t="e">
        <f ca="1">_xlfn.XLOOKUP(OFFSET($C$12,$I198,MATCH($J$11,$D$12:$G$12,0)),巡逻产出!$B$311:$B$610,巡逻产出!$Q$311:$Q$610)*OFFSET($C$1,MATCH(Q$12,$C$2:$C$7,0),MATCH($J$11,$D$12:$G$12,0))</f>
        <v>#N/A</v>
      </c>
      <c r="S198" s="160">
        <v>186</v>
      </c>
      <c r="T198" s="163" t="e">
        <f ca="1">_xlfn.XLOOKUP(OFFSET($C$12,$I198,MATCH($T$11,$D$12:$G$12,0)),主线推图!$B$313:$B$612,主线推图!$P$313:$P$612)*OFFSET($C$1,MATCH(T$12,$C$2:$C$7,0),MATCH($T$11,$D$12:$G$12,0))</f>
        <v>#N/A</v>
      </c>
      <c r="U198" s="163" t="e">
        <f ca="1">_xlfn.XLOOKUP(OFFSET($C$12,$I198,MATCH($T$11,$D$12:$G$12,0)),巡逻产出!$B$311:$B$610,巡逻产出!$R$311:$R$610)*OFFSET($C$1,MATCH(U$12,$C$2:$C$7,0),MATCH($T$11,$D$12:$G$12,0))</f>
        <v>#N/A</v>
      </c>
      <c r="V198" s="163">
        <f ca="1">_xlfn.XLOOKUP(MAX(INT((OFFSET($C$12,$I198,MATCH($T$11,$D$12:$G$12,0))-6)/10),1),组队产出!$B$25:$B$39,组队产出!$P$25:$P$39)*OFFSET($C$1,MATCH(V$12,$C$2:$C$7,0),MATCH($T$11,$D$12:$G$12,0))</f>
        <v>2296.8</v>
      </c>
      <c r="W198" s="163">
        <f ca="1">竞技场!$G$3*OFFSET($C$1,MATCH(W$12,$C$2:$C$7,0),MATCH($T$11,$D$12:$G$12,0))</f>
        <v>2100</v>
      </c>
      <c r="X19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8" s="23">
        <f>任务!$G$6+任务!$G$9+IF(MOD(S198,7)=0,任务!$N$9+任务!$O$6,0)</f>
        <v>895</v>
      </c>
      <c r="Z198" s="25">
        <f>公会!$U$11</f>
        <v>2766.62857142857</v>
      </c>
      <c r="AA198" s="163" t="e">
        <f ca="1">_xlfn.XLOOKUP(OFFSET($C$12,$I198,MATCH($T$11,$D$12:$G$12,0)),巡逻产出!$B$311:$B$610,巡逻产出!$Q$311:$Q$610)*OFFSET($C$1,MATCH(AA$12,$C$2:$C$7,0),MATCH($T$11,$D$12:$G$12,0))</f>
        <v>#N/A</v>
      </c>
      <c r="AC198" s="160">
        <v>186</v>
      </c>
      <c r="AD198" s="163">
        <f ca="1">_xlfn.XLOOKUP(OFFSET($C$12,$I198,MATCH($AD$11,$D$12:$G$12,0)),主线推图!$B$313:$B$612,主线推图!$P$313:$P$612)*OFFSET($C$1,MATCH(AD$12,$C$2:$C$7,0),MATCH($AD$11,$D$12:$G$12,0))</f>
        <v>3421</v>
      </c>
      <c r="AE198" s="163">
        <f ca="1">_xlfn.XLOOKUP(OFFSET($C$12,$I198,MATCH($AD$11,$D$12:$G$12,0)),巡逻产出!$B$311:$B$610,巡逻产出!$R$311:$R$610)*OFFSET($C$1,MATCH(AE$12,$C$2:$C$7,0),MATCH($AD$11,$D$12:$G$12,0))</f>
        <v>0</v>
      </c>
      <c r="AF198" s="163" t="e">
        <f ca="1">_xlfn.XLOOKUP(MAX(INT((OFFSET($C$12,$I198,MATCH($AD$11,$D$12:$G$12,0))-6)/10),1),组队产出!$B$25:$B$39,组队产出!$P$25:$P$39)*OFFSET($C$1,MATCH(AF$12,$C$2:$C$7,0),MATCH($AD$11,$D$12:$G$12,0))</f>
        <v>#N/A</v>
      </c>
      <c r="AG198" s="163">
        <f ca="1">竞技场!$G$3*OFFSET($C$1,MATCH(AG$12,$C$2:$C$7,0),MATCH($AD$11,$D$12:$G$12,0))</f>
        <v>3150</v>
      </c>
      <c r="AH19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8" s="23">
        <f>任务!$G$6+任务!$G$9+IF(MOD(AC198,7)=0,任务!$N$9+任务!$O$6,0)</f>
        <v>895</v>
      </c>
      <c r="AJ198" s="25">
        <f>公会!$U$11</f>
        <v>2766.62857142857</v>
      </c>
      <c r="AK198" s="163">
        <f ca="1">_xlfn.XLOOKUP(OFFSET($C$12,$I198,MATCH($AD$11,$D$12:$G$12,0)),巡逻产出!$B$311:$B$610,巡逻产出!$Q$311:$Q$610)*OFFSET($C$1,MATCH(AK$12,$C$2:$C$7,0),MATCH($AD$11,$D$12:$G$12,0))</f>
        <v>2367.768</v>
      </c>
      <c r="AM198" s="164">
        <v>186</v>
      </c>
      <c r="AN198" s="165">
        <f t="shared" si="20"/>
        <v>21812</v>
      </c>
      <c r="AO198" s="165">
        <f t="shared" si="21"/>
        <v>27344</v>
      </c>
      <c r="AP198" s="165">
        <f t="shared" si="22"/>
        <v>43328</v>
      </c>
      <c r="AQ198" s="165">
        <f t="shared" si="23"/>
        <v>57006</v>
      </c>
    </row>
    <row r="199" spans="3:43">
      <c r="C199" s="160">
        <v>187</v>
      </c>
      <c r="D199" s="169">
        <v>170</v>
      </c>
      <c r="E199" s="170">
        <f t="shared" si="27"/>
        <v>121.5</v>
      </c>
      <c r="F199" s="169">
        <f t="shared" si="28"/>
        <v>142.299999999999</v>
      </c>
      <c r="G199" s="163">
        <f t="shared" si="25"/>
        <v>216.5</v>
      </c>
      <c r="I199" s="160">
        <v>187</v>
      </c>
      <c r="J199" s="163" t="e">
        <f ca="1">_xlfn.XLOOKUP(OFFSET($C$12,$I199,MATCH($J$11,$D$12:$G$12,0)),主线推图!$B$313:$B$612,主线推图!$P$313:$P$612)*OFFSET($C$1,MATCH(J$12,$C$2:$C$7,0),MATCH($J$11,$D$12:$G$12,0))</f>
        <v>#N/A</v>
      </c>
      <c r="K199" s="163" t="e">
        <f ca="1">_xlfn.XLOOKUP(OFFSET($C$12,$I199,MATCH($J$11,$D$12:$G$12,0)),巡逻产出!$B$311:$B$610,巡逻产出!$R$311:$R$610)*OFFSET($C$1,MATCH(K$12,$C$2:$C$7,0),MATCH($J$11,$D$12:$G$12,0))</f>
        <v>#N/A</v>
      </c>
      <c r="L199" s="163">
        <f ca="1">_xlfn.XLOOKUP(MAX(INT((OFFSET($C$12,$I199,MATCH($J$11,$D$12:$G$12,0))-6)/10),1),组队产出!$B$25:$B$39,组队产出!$P$25:$P$39)*OFFSET($C$1,MATCH(L$12,$C$2:$C$7,0),MATCH($J$11,$D$12:$G$12,0))</f>
        <v>1124.4</v>
      </c>
      <c r="M199" s="163">
        <f ca="1">竞技场!$G$3*OFFSET($C$1,MATCH(M$12,$C$2:$C$7,0),MATCH($J$11,$D$12:$G$12,0))</f>
        <v>1050</v>
      </c>
      <c r="N19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9" s="23">
        <f>任务!$G$6+任务!$G$9+IF(MOD(I199,7)=0,任务!$N$9+任务!$O$6,0)</f>
        <v>895</v>
      </c>
      <c r="P199" s="25">
        <f>公会!$U$11</f>
        <v>2766.62857142857</v>
      </c>
      <c r="Q199" s="163" t="e">
        <f ca="1">_xlfn.XLOOKUP(OFFSET($C$12,$I199,MATCH($J$11,$D$12:$G$12,0)),巡逻产出!$B$311:$B$610,巡逻产出!$Q$311:$Q$610)*OFFSET($C$1,MATCH(Q$12,$C$2:$C$7,0),MATCH($J$11,$D$12:$G$12,0))</f>
        <v>#N/A</v>
      </c>
      <c r="S199" s="160">
        <v>187</v>
      </c>
      <c r="T199" s="163" t="e">
        <f ca="1">_xlfn.XLOOKUP(OFFSET($C$12,$I199,MATCH($T$11,$D$12:$G$12,0)),主线推图!$B$313:$B$612,主线推图!$P$313:$P$612)*OFFSET($C$1,MATCH(T$12,$C$2:$C$7,0),MATCH($T$11,$D$12:$G$12,0))</f>
        <v>#N/A</v>
      </c>
      <c r="U199" s="163" t="e">
        <f ca="1">_xlfn.XLOOKUP(OFFSET($C$12,$I199,MATCH($T$11,$D$12:$G$12,0)),巡逻产出!$B$311:$B$610,巡逻产出!$R$311:$R$610)*OFFSET($C$1,MATCH(U$12,$C$2:$C$7,0),MATCH($T$11,$D$12:$G$12,0))</f>
        <v>#N/A</v>
      </c>
      <c r="V199" s="163">
        <f ca="1">_xlfn.XLOOKUP(MAX(INT((OFFSET($C$12,$I199,MATCH($T$11,$D$12:$G$12,0))-6)/10),1),组队产出!$B$25:$B$39,组队产出!$P$25:$P$39)*OFFSET($C$1,MATCH(V$12,$C$2:$C$7,0),MATCH($T$11,$D$12:$G$12,0))</f>
        <v>2296.8</v>
      </c>
      <c r="W199" s="163">
        <f ca="1">竞技场!$G$3*OFFSET($C$1,MATCH(W$12,$C$2:$C$7,0),MATCH($T$11,$D$12:$G$12,0))</f>
        <v>2100</v>
      </c>
      <c r="X19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9" s="23">
        <f>任务!$G$6+任务!$G$9+IF(MOD(S199,7)=0,任务!$N$9+任务!$O$6,0)</f>
        <v>895</v>
      </c>
      <c r="Z199" s="25">
        <f>公会!$U$11</f>
        <v>2766.62857142857</v>
      </c>
      <c r="AA199" s="163" t="e">
        <f ca="1">_xlfn.XLOOKUP(OFFSET($C$12,$I199,MATCH($T$11,$D$12:$G$12,0)),巡逻产出!$B$311:$B$610,巡逻产出!$Q$311:$Q$610)*OFFSET($C$1,MATCH(AA$12,$C$2:$C$7,0),MATCH($T$11,$D$12:$G$12,0))</f>
        <v>#N/A</v>
      </c>
      <c r="AC199" s="160">
        <v>187</v>
      </c>
      <c r="AD199" s="163" t="e">
        <f ca="1">_xlfn.XLOOKUP(OFFSET($C$12,$I199,MATCH($AD$11,$D$12:$G$12,0)),主线推图!$B$313:$B$612,主线推图!$P$313:$P$612)*OFFSET($C$1,MATCH(AD$12,$C$2:$C$7,0),MATCH($AD$11,$D$12:$G$12,0))</f>
        <v>#N/A</v>
      </c>
      <c r="AE199" s="163" t="e">
        <f ca="1">_xlfn.XLOOKUP(OFFSET($C$12,$I199,MATCH($AD$11,$D$12:$G$12,0)),巡逻产出!$B$311:$B$610,巡逻产出!$R$311:$R$610)*OFFSET($C$1,MATCH(AE$12,$C$2:$C$7,0),MATCH($AD$11,$D$12:$G$12,0))</f>
        <v>#N/A</v>
      </c>
      <c r="AF199" s="163" t="e">
        <f ca="1">_xlfn.XLOOKUP(MAX(INT((OFFSET($C$12,$I199,MATCH($AD$11,$D$12:$G$12,0))-6)/10),1),组队产出!$B$25:$B$39,组队产出!$P$25:$P$39)*OFFSET($C$1,MATCH(AF$12,$C$2:$C$7,0),MATCH($AD$11,$D$12:$G$12,0))</f>
        <v>#N/A</v>
      </c>
      <c r="AG199" s="163">
        <f ca="1">竞技场!$G$3*OFFSET($C$1,MATCH(AG$12,$C$2:$C$7,0),MATCH($AD$11,$D$12:$G$12,0))</f>
        <v>3150</v>
      </c>
      <c r="AH19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9" s="23">
        <f>任务!$G$6+任务!$G$9+IF(MOD(AC199,7)=0,任务!$N$9+任务!$O$6,0)</f>
        <v>895</v>
      </c>
      <c r="AJ199" s="25">
        <f>公会!$U$11</f>
        <v>2766.62857142857</v>
      </c>
      <c r="AK199" s="163" t="e">
        <f ca="1">_xlfn.XLOOKUP(OFFSET($C$12,$I199,MATCH($AD$11,$D$12:$G$12,0)),巡逻产出!$B$311:$B$610,巡逻产出!$Q$311:$Q$610)*OFFSET($C$1,MATCH(AK$12,$C$2:$C$7,0),MATCH($AD$11,$D$12:$G$12,0))</f>
        <v>#N/A</v>
      </c>
      <c r="AM199" s="164">
        <v>187</v>
      </c>
      <c r="AN199" s="165">
        <f t="shared" si="20"/>
        <v>21926</v>
      </c>
      <c r="AO199" s="165">
        <f t="shared" si="21"/>
        <v>27487</v>
      </c>
      <c r="AP199" s="165">
        <f t="shared" si="22"/>
        <v>43557</v>
      </c>
      <c r="AQ199" s="165">
        <f t="shared" si="23"/>
        <v>57308</v>
      </c>
    </row>
    <row r="200" spans="3:43">
      <c r="C200" s="160">
        <v>188</v>
      </c>
      <c r="D200" s="169">
        <v>170</v>
      </c>
      <c r="E200" s="170">
        <f t="shared" si="27"/>
        <v>121.75</v>
      </c>
      <c r="F200" s="169">
        <f t="shared" si="28"/>
        <v>142.649999999999</v>
      </c>
      <c r="G200" s="163">
        <f t="shared" si="25"/>
        <v>217</v>
      </c>
      <c r="I200" s="160">
        <v>188</v>
      </c>
      <c r="J200" s="163" t="e">
        <f ca="1">_xlfn.XLOOKUP(OFFSET($C$12,$I200,MATCH($J$11,$D$12:$G$12,0)),主线推图!$B$313:$B$612,主线推图!$P$313:$P$612)*OFFSET($C$1,MATCH(J$12,$C$2:$C$7,0),MATCH($J$11,$D$12:$G$12,0))</f>
        <v>#N/A</v>
      </c>
      <c r="K200" s="163" t="e">
        <f ca="1">_xlfn.XLOOKUP(OFFSET($C$12,$I200,MATCH($J$11,$D$12:$G$12,0)),巡逻产出!$B$311:$B$610,巡逻产出!$R$311:$R$610)*OFFSET($C$1,MATCH(K$12,$C$2:$C$7,0),MATCH($J$11,$D$12:$G$12,0))</f>
        <v>#N/A</v>
      </c>
      <c r="L200" s="163">
        <f ca="1">_xlfn.XLOOKUP(MAX(INT((OFFSET($C$12,$I200,MATCH($J$11,$D$12:$G$12,0))-6)/10),1),组队产出!$B$25:$B$39,组队产出!$P$25:$P$39)*OFFSET($C$1,MATCH(L$12,$C$2:$C$7,0),MATCH($J$11,$D$12:$G$12,0))</f>
        <v>1124.4</v>
      </c>
      <c r="M200" s="163">
        <f ca="1">竞技场!$G$3*OFFSET($C$1,MATCH(M$12,$C$2:$C$7,0),MATCH($J$11,$D$12:$G$12,0))</f>
        <v>1050</v>
      </c>
      <c r="N20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0" s="23">
        <f>任务!$G$6+任务!$G$9+IF(MOD(I200,7)=0,任务!$N$9+任务!$O$6,0)</f>
        <v>895</v>
      </c>
      <c r="P200" s="25">
        <f>公会!$U$11</f>
        <v>2766.62857142857</v>
      </c>
      <c r="Q200" s="163" t="e">
        <f ca="1">_xlfn.XLOOKUP(OFFSET($C$12,$I200,MATCH($J$11,$D$12:$G$12,0)),巡逻产出!$B$311:$B$610,巡逻产出!$Q$311:$Q$610)*OFFSET($C$1,MATCH(Q$12,$C$2:$C$7,0),MATCH($J$11,$D$12:$G$12,0))</f>
        <v>#N/A</v>
      </c>
      <c r="S200" s="160">
        <v>188</v>
      </c>
      <c r="T200" s="163" t="e">
        <f ca="1">_xlfn.XLOOKUP(OFFSET($C$12,$I200,MATCH($T$11,$D$12:$G$12,0)),主线推图!$B$313:$B$612,主线推图!$P$313:$P$612)*OFFSET($C$1,MATCH(T$12,$C$2:$C$7,0),MATCH($T$11,$D$12:$G$12,0))</f>
        <v>#N/A</v>
      </c>
      <c r="U200" s="163" t="e">
        <f ca="1">_xlfn.XLOOKUP(OFFSET($C$12,$I200,MATCH($T$11,$D$12:$G$12,0)),巡逻产出!$B$311:$B$610,巡逻产出!$R$311:$R$610)*OFFSET($C$1,MATCH(U$12,$C$2:$C$7,0),MATCH($T$11,$D$12:$G$12,0))</f>
        <v>#N/A</v>
      </c>
      <c r="V200" s="163">
        <f ca="1">_xlfn.XLOOKUP(MAX(INT((OFFSET($C$12,$I200,MATCH($T$11,$D$12:$G$12,0))-6)/10),1),组队产出!$B$25:$B$39,组队产出!$P$25:$P$39)*OFFSET($C$1,MATCH(V$12,$C$2:$C$7,0),MATCH($T$11,$D$12:$G$12,0))</f>
        <v>2296.8</v>
      </c>
      <c r="W200" s="163">
        <f ca="1">竞技场!$G$3*OFFSET($C$1,MATCH(W$12,$C$2:$C$7,0),MATCH($T$11,$D$12:$G$12,0))</f>
        <v>2100</v>
      </c>
      <c r="X20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0" s="23">
        <f>任务!$G$6+任务!$G$9+IF(MOD(S200,7)=0,任务!$N$9+任务!$O$6,0)</f>
        <v>895</v>
      </c>
      <c r="Z200" s="25">
        <f>公会!$U$11</f>
        <v>2766.62857142857</v>
      </c>
      <c r="AA200" s="163" t="e">
        <f ca="1">_xlfn.XLOOKUP(OFFSET($C$12,$I200,MATCH($T$11,$D$12:$G$12,0)),巡逻产出!$B$311:$B$610,巡逻产出!$Q$311:$Q$610)*OFFSET($C$1,MATCH(AA$12,$C$2:$C$7,0),MATCH($T$11,$D$12:$G$12,0))</f>
        <v>#N/A</v>
      </c>
      <c r="AC200" s="160">
        <v>188</v>
      </c>
      <c r="AD200" s="163">
        <f ca="1">_xlfn.XLOOKUP(OFFSET($C$12,$I200,MATCH($AD$11,$D$12:$G$12,0)),主线推图!$B$313:$B$612,主线推图!$P$313:$P$612)*OFFSET($C$1,MATCH(AD$12,$C$2:$C$7,0),MATCH($AD$11,$D$12:$G$12,0))</f>
        <v>3423.2</v>
      </c>
      <c r="AE200" s="163">
        <f ca="1">_xlfn.XLOOKUP(OFFSET($C$12,$I200,MATCH($AD$11,$D$12:$G$12,0)),巡逻产出!$B$311:$B$610,巡逻产出!$R$311:$R$610)*OFFSET($C$1,MATCH(AE$12,$C$2:$C$7,0),MATCH($AD$11,$D$12:$G$12,0))</f>
        <v>0</v>
      </c>
      <c r="AF200" s="163" t="e">
        <f ca="1">_xlfn.XLOOKUP(MAX(INT((OFFSET($C$12,$I200,MATCH($AD$11,$D$12:$G$12,0))-6)/10),1),组队产出!$B$25:$B$39,组队产出!$P$25:$P$39)*OFFSET($C$1,MATCH(AF$12,$C$2:$C$7,0),MATCH($AD$11,$D$12:$G$12,0))</f>
        <v>#N/A</v>
      </c>
      <c r="AG200" s="163">
        <f ca="1">竞技场!$G$3*OFFSET($C$1,MATCH(AG$12,$C$2:$C$7,0),MATCH($AD$11,$D$12:$G$12,0))</f>
        <v>3150</v>
      </c>
      <c r="AH20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0" s="23">
        <f>任务!$G$6+任务!$G$9+IF(MOD(AC200,7)=0,任务!$N$9+任务!$O$6,0)</f>
        <v>895</v>
      </c>
      <c r="AJ200" s="25">
        <f>公会!$U$11</f>
        <v>2766.62857142857</v>
      </c>
      <c r="AK200" s="163">
        <f ca="1">_xlfn.XLOOKUP(OFFSET($C$12,$I200,MATCH($AD$11,$D$12:$G$12,0)),巡逻产出!$B$311:$B$610,巡逻产出!$Q$311:$Q$610)*OFFSET($C$1,MATCH(AK$12,$C$2:$C$7,0),MATCH($AD$11,$D$12:$G$12,0))</f>
        <v>2369.328</v>
      </c>
      <c r="AM200" s="164">
        <v>188</v>
      </c>
      <c r="AN200" s="165">
        <f t="shared" si="20"/>
        <v>22039</v>
      </c>
      <c r="AO200" s="165">
        <f t="shared" si="21"/>
        <v>27630</v>
      </c>
      <c r="AP200" s="165">
        <f t="shared" si="22"/>
        <v>43785</v>
      </c>
      <c r="AQ200" s="165">
        <f t="shared" si="23"/>
        <v>57610</v>
      </c>
    </row>
    <row r="201" spans="3:43">
      <c r="C201" s="160">
        <v>189</v>
      </c>
      <c r="D201" s="169">
        <v>170</v>
      </c>
      <c r="E201" s="170">
        <f t="shared" si="27"/>
        <v>122</v>
      </c>
      <c r="F201" s="169">
        <f t="shared" si="28"/>
        <v>142.999999999999</v>
      </c>
      <c r="G201" s="163">
        <f t="shared" si="25"/>
        <v>217.5</v>
      </c>
      <c r="I201" s="160">
        <v>189</v>
      </c>
      <c r="J201" s="163" t="e">
        <f ca="1">_xlfn.XLOOKUP(OFFSET($C$12,$I201,MATCH($J$11,$D$12:$G$12,0)),主线推图!$B$313:$B$612,主线推图!$P$313:$P$612)*OFFSET($C$1,MATCH(J$12,$C$2:$C$7,0),MATCH($J$11,$D$12:$G$12,0))</f>
        <v>#N/A</v>
      </c>
      <c r="K201" s="163" t="e">
        <f ca="1">_xlfn.XLOOKUP(OFFSET($C$12,$I201,MATCH($J$11,$D$12:$G$12,0)),巡逻产出!$B$311:$B$610,巡逻产出!$R$311:$R$610)*OFFSET($C$1,MATCH(K$12,$C$2:$C$7,0),MATCH($J$11,$D$12:$G$12,0))</f>
        <v>#N/A</v>
      </c>
      <c r="L201" s="163">
        <f ca="1">_xlfn.XLOOKUP(MAX(INT((OFFSET($C$12,$I201,MATCH($J$11,$D$12:$G$12,0))-6)/10),1),组队产出!$B$25:$B$39,组队产出!$P$25:$P$39)*OFFSET($C$1,MATCH(L$12,$C$2:$C$7,0),MATCH($J$11,$D$12:$G$12,0))</f>
        <v>1124.4</v>
      </c>
      <c r="M201" s="163">
        <f ca="1">竞技场!$G$3*OFFSET($C$1,MATCH(M$12,$C$2:$C$7,0),MATCH($J$11,$D$12:$G$12,0))</f>
        <v>1050</v>
      </c>
      <c r="N20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1" s="23">
        <f>任务!$G$6+任务!$G$9+IF(MOD(I201,7)=0,任务!$N$9+任务!$O$6,0)</f>
        <v>3125</v>
      </c>
      <c r="P201" s="25">
        <f>公会!$U$11</f>
        <v>2766.62857142857</v>
      </c>
      <c r="Q201" s="163" t="e">
        <f ca="1">_xlfn.XLOOKUP(OFFSET($C$12,$I201,MATCH($J$11,$D$12:$G$12,0)),巡逻产出!$B$311:$B$610,巡逻产出!$Q$311:$Q$610)*OFFSET($C$1,MATCH(Q$12,$C$2:$C$7,0),MATCH($J$11,$D$12:$G$12,0))</f>
        <v>#N/A</v>
      </c>
      <c r="S201" s="160">
        <v>189</v>
      </c>
      <c r="T201" s="163" t="e">
        <f ca="1">_xlfn.XLOOKUP(OFFSET($C$12,$I201,MATCH($T$11,$D$12:$G$12,0)),主线推图!$B$313:$B$612,主线推图!$P$313:$P$612)*OFFSET($C$1,MATCH(T$12,$C$2:$C$7,0),MATCH($T$11,$D$12:$G$12,0))</f>
        <v>#N/A</v>
      </c>
      <c r="U201" s="163" t="e">
        <f ca="1">_xlfn.XLOOKUP(OFFSET($C$12,$I201,MATCH($T$11,$D$12:$G$12,0)),巡逻产出!$B$311:$B$610,巡逻产出!$R$311:$R$610)*OFFSET($C$1,MATCH(U$12,$C$2:$C$7,0),MATCH($T$11,$D$12:$G$12,0))</f>
        <v>#N/A</v>
      </c>
      <c r="V201" s="163">
        <f ca="1">_xlfn.XLOOKUP(MAX(INT((OFFSET($C$12,$I201,MATCH($T$11,$D$12:$G$12,0))-6)/10),1),组队产出!$B$25:$B$39,组队产出!$P$25:$P$39)*OFFSET($C$1,MATCH(V$12,$C$2:$C$7,0),MATCH($T$11,$D$12:$G$12,0))</f>
        <v>2296.8</v>
      </c>
      <c r="W201" s="163">
        <f ca="1">竞技场!$G$3*OFFSET($C$1,MATCH(W$12,$C$2:$C$7,0),MATCH($T$11,$D$12:$G$12,0))</f>
        <v>2100</v>
      </c>
      <c r="X20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1" s="23">
        <f>任务!$G$6+任务!$G$9+IF(MOD(S201,7)=0,任务!$N$9+任务!$O$6,0)</f>
        <v>3125</v>
      </c>
      <c r="Z201" s="25">
        <f>公会!$U$11</f>
        <v>2766.62857142857</v>
      </c>
      <c r="AA201" s="163" t="e">
        <f ca="1">_xlfn.XLOOKUP(OFFSET($C$12,$I201,MATCH($T$11,$D$12:$G$12,0)),巡逻产出!$B$311:$B$610,巡逻产出!$Q$311:$Q$610)*OFFSET($C$1,MATCH(AA$12,$C$2:$C$7,0),MATCH($T$11,$D$12:$G$12,0))</f>
        <v>#N/A</v>
      </c>
      <c r="AC201" s="160">
        <v>189</v>
      </c>
      <c r="AD201" s="163" t="e">
        <f ca="1">_xlfn.XLOOKUP(OFFSET($C$12,$I201,MATCH($AD$11,$D$12:$G$12,0)),主线推图!$B$313:$B$612,主线推图!$P$313:$P$612)*OFFSET($C$1,MATCH(AD$12,$C$2:$C$7,0),MATCH($AD$11,$D$12:$G$12,0))</f>
        <v>#N/A</v>
      </c>
      <c r="AE201" s="163" t="e">
        <f ca="1">_xlfn.XLOOKUP(OFFSET($C$12,$I201,MATCH($AD$11,$D$12:$G$12,0)),巡逻产出!$B$311:$B$610,巡逻产出!$R$311:$R$610)*OFFSET($C$1,MATCH(AE$12,$C$2:$C$7,0),MATCH($AD$11,$D$12:$G$12,0))</f>
        <v>#N/A</v>
      </c>
      <c r="AF201" s="163" t="e">
        <f ca="1">_xlfn.XLOOKUP(MAX(INT((OFFSET($C$12,$I201,MATCH($AD$11,$D$12:$G$12,0))-6)/10),1),组队产出!$B$25:$B$39,组队产出!$P$25:$P$39)*OFFSET($C$1,MATCH(AF$12,$C$2:$C$7,0),MATCH($AD$11,$D$12:$G$12,0))</f>
        <v>#N/A</v>
      </c>
      <c r="AG201" s="163">
        <f ca="1">竞技场!$G$3*OFFSET($C$1,MATCH(AG$12,$C$2:$C$7,0),MATCH($AD$11,$D$12:$G$12,0))</f>
        <v>3150</v>
      </c>
      <c r="AH20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1" s="23">
        <f>任务!$G$6+任务!$G$9+IF(MOD(AC201,7)=0,任务!$N$9+任务!$O$6,0)</f>
        <v>3125</v>
      </c>
      <c r="AJ201" s="25">
        <f>公会!$U$11</f>
        <v>2766.62857142857</v>
      </c>
      <c r="AK201" s="163" t="e">
        <f ca="1">_xlfn.XLOOKUP(OFFSET($C$12,$I201,MATCH($AD$11,$D$12:$G$12,0)),巡逻产出!$B$311:$B$610,巡逻产出!$Q$311:$Q$610)*OFFSET($C$1,MATCH(AK$12,$C$2:$C$7,0),MATCH($AD$11,$D$12:$G$12,0))</f>
        <v>#N/A</v>
      </c>
      <c r="AM201" s="164">
        <v>189</v>
      </c>
      <c r="AN201" s="165">
        <f t="shared" ref="AN201:AN264" si="29">AN200+AN199-AN198</f>
        <v>22153</v>
      </c>
      <c r="AO201" s="165">
        <f t="shared" ref="AO201:AO264" si="30">AO200+AO199-AO198</f>
        <v>27773</v>
      </c>
      <c r="AP201" s="165">
        <f t="shared" ref="AP201:AP264" si="31">AP200+AP199-AP198</f>
        <v>44014</v>
      </c>
      <c r="AQ201" s="165">
        <f t="shared" ref="AQ201:AQ264" si="32">AQ200+AQ199-AQ198</f>
        <v>57912</v>
      </c>
    </row>
    <row r="202" spans="3:43">
      <c r="C202" s="160">
        <v>190</v>
      </c>
      <c r="D202" s="169">
        <v>170</v>
      </c>
      <c r="E202" s="170">
        <f t="shared" si="27"/>
        <v>122.25</v>
      </c>
      <c r="F202" s="169">
        <f t="shared" si="28"/>
        <v>143.349999999999</v>
      </c>
      <c r="G202" s="163">
        <f t="shared" si="25"/>
        <v>218</v>
      </c>
      <c r="I202" s="160">
        <v>190</v>
      </c>
      <c r="J202" s="163" t="e">
        <f ca="1">_xlfn.XLOOKUP(OFFSET($C$12,$I202,MATCH($J$11,$D$12:$G$12,0)),主线推图!$B$313:$B$612,主线推图!$P$313:$P$612)*OFFSET($C$1,MATCH(J$12,$C$2:$C$7,0),MATCH($J$11,$D$12:$G$12,0))</f>
        <v>#N/A</v>
      </c>
      <c r="K202" s="163" t="e">
        <f ca="1">_xlfn.XLOOKUP(OFFSET($C$12,$I202,MATCH($J$11,$D$12:$G$12,0)),巡逻产出!$B$311:$B$610,巡逻产出!$R$311:$R$610)*OFFSET($C$1,MATCH(K$12,$C$2:$C$7,0),MATCH($J$11,$D$12:$G$12,0))</f>
        <v>#N/A</v>
      </c>
      <c r="L202" s="163">
        <f ca="1">_xlfn.XLOOKUP(MAX(INT((OFFSET($C$12,$I202,MATCH($J$11,$D$12:$G$12,0))-6)/10),1),组队产出!$B$25:$B$39,组队产出!$P$25:$P$39)*OFFSET($C$1,MATCH(L$12,$C$2:$C$7,0),MATCH($J$11,$D$12:$G$12,0))</f>
        <v>1124.4</v>
      </c>
      <c r="M202" s="163">
        <f ca="1">竞技场!$G$3*OFFSET($C$1,MATCH(M$12,$C$2:$C$7,0),MATCH($J$11,$D$12:$G$12,0))</f>
        <v>1050</v>
      </c>
      <c r="N20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2" s="23">
        <f>任务!$G$6+任务!$G$9+IF(MOD(I202,7)=0,任务!$N$9+任务!$O$6,0)</f>
        <v>895</v>
      </c>
      <c r="P202" s="25">
        <f>公会!$U$11</f>
        <v>2766.62857142857</v>
      </c>
      <c r="Q202" s="163" t="e">
        <f ca="1">_xlfn.XLOOKUP(OFFSET($C$12,$I202,MATCH($J$11,$D$12:$G$12,0)),巡逻产出!$B$311:$B$610,巡逻产出!$Q$311:$Q$610)*OFFSET($C$1,MATCH(Q$12,$C$2:$C$7,0),MATCH($J$11,$D$12:$G$12,0))</f>
        <v>#N/A</v>
      </c>
      <c r="S202" s="160">
        <v>190</v>
      </c>
      <c r="T202" s="163" t="e">
        <f ca="1">_xlfn.XLOOKUP(OFFSET($C$12,$I202,MATCH($T$11,$D$12:$G$12,0)),主线推图!$B$313:$B$612,主线推图!$P$313:$P$612)*OFFSET($C$1,MATCH(T$12,$C$2:$C$7,0),MATCH($T$11,$D$12:$G$12,0))</f>
        <v>#N/A</v>
      </c>
      <c r="U202" s="163" t="e">
        <f ca="1">_xlfn.XLOOKUP(OFFSET($C$12,$I202,MATCH($T$11,$D$12:$G$12,0)),巡逻产出!$B$311:$B$610,巡逻产出!$R$311:$R$610)*OFFSET($C$1,MATCH(U$12,$C$2:$C$7,0),MATCH($T$11,$D$12:$G$12,0))</f>
        <v>#N/A</v>
      </c>
      <c r="V202" s="163">
        <f ca="1">_xlfn.XLOOKUP(MAX(INT((OFFSET($C$12,$I202,MATCH($T$11,$D$12:$G$12,0))-6)/10),1),组队产出!$B$25:$B$39,组队产出!$P$25:$P$39)*OFFSET($C$1,MATCH(V$12,$C$2:$C$7,0),MATCH($T$11,$D$12:$G$12,0))</f>
        <v>2296.8</v>
      </c>
      <c r="W202" s="163">
        <f ca="1">竞技场!$G$3*OFFSET($C$1,MATCH(W$12,$C$2:$C$7,0),MATCH($T$11,$D$12:$G$12,0))</f>
        <v>2100</v>
      </c>
      <c r="X20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2" s="23">
        <f>任务!$G$6+任务!$G$9+IF(MOD(S202,7)=0,任务!$N$9+任务!$O$6,0)</f>
        <v>895</v>
      </c>
      <c r="Z202" s="25">
        <f>公会!$U$11</f>
        <v>2766.62857142857</v>
      </c>
      <c r="AA202" s="163" t="e">
        <f ca="1">_xlfn.XLOOKUP(OFFSET($C$12,$I202,MATCH($T$11,$D$12:$G$12,0)),巡逻产出!$B$311:$B$610,巡逻产出!$Q$311:$Q$610)*OFFSET($C$1,MATCH(AA$12,$C$2:$C$7,0),MATCH($T$11,$D$12:$G$12,0))</f>
        <v>#N/A</v>
      </c>
      <c r="AC202" s="160">
        <v>190</v>
      </c>
      <c r="AD202" s="163">
        <f ca="1">_xlfn.XLOOKUP(OFFSET($C$12,$I202,MATCH($AD$11,$D$12:$G$12,0)),主线推图!$B$313:$B$612,主线推图!$P$313:$P$612)*OFFSET($C$1,MATCH(AD$12,$C$2:$C$7,0),MATCH($AD$11,$D$12:$G$12,0))</f>
        <v>3425.4</v>
      </c>
      <c r="AE202" s="163">
        <f ca="1">_xlfn.XLOOKUP(OFFSET($C$12,$I202,MATCH($AD$11,$D$12:$G$12,0)),巡逻产出!$B$311:$B$610,巡逻产出!$R$311:$R$610)*OFFSET($C$1,MATCH(AE$12,$C$2:$C$7,0),MATCH($AD$11,$D$12:$G$12,0))</f>
        <v>0</v>
      </c>
      <c r="AF202" s="163" t="e">
        <f ca="1">_xlfn.XLOOKUP(MAX(INT((OFFSET($C$12,$I202,MATCH($AD$11,$D$12:$G$12,0))-6)/10),1),组队产出!$B$25:$B$39,组队产出!$P$25:$P$39)*OFFSET($C$1,MATCH(AF$12,$C$2:$C$7,0),MATCH($AD$11,$D$12:$G$12,0))</f>
        <v>#N/A</v>
      </c>
      <c r="AG202" s="163">
        <f ca="1">竞技场!$G$3*OFFSET($C$1,MATCH(AG$12,$C$2:$C$7,0),MATCH($AD$11,$D$12:$G$12,0))</f>
        <v>3150</v>
      </c>
      <c r="AH20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2" s="23">
        <f>任务!$G$6+任务!$G$9+IF(MOD(AC202,7)=0,任务!$N$9+任务!$O$6,0)</f>
        <v>895</v>
      </c>
      <c r="AJ202" s="25">
        <f>公会!$U$11</f>
        <v>2766.62857142857</v>
      </c>
      <c r="AK202" s="163">
        <f ca="1">_xlfn.XLOOKUP(OFFSET($C$12,$I202,MATCH($AD$11,$D$12:$G$12,0)),巡逻产出!$B$311:$B$610,巡逻产出!$Q$311:$Q$610)*OFFSET($C$1,MATCH(AK$12,$C$2:$C$7,0),MATCH($AD$11,$D$12:$G$12,0))</f>
        <v>2370.888</v>
      </c>
      <c r="AM202" s="164">
        <v>190</v>
      </c>
      <c r="AN202" s="165">
        <f t="shared" si="29"/>
        <v>22266</v>
      </c>
      <c r="AO202" s="165">
        <f t="shared" si="30"/>
        <v>27916</v>
      </c>
      <c r="AP202" s="165">
        <f t="shared" si="31"/>
        <v>44242</v>
      </c>
      <c r="AQ202" s="165">
        <f t="shared" si="32"/>
        <v>58214</v>
      </c>
    </row>
    <row r="203" spans="3:43">
      <c r="C203" s="160">
        <v>191</v>
      </c>
      <c r="D203" s="169">
        <v>170</v>
      </c>
      <c r="E203" s="170">
        <f t="shared" si="27"/>
        <v>122.5</v>
      </c>
      <c r="F203" s="169">
        <f t="shared" si="28"/>
        <v>143.699999999999</v>
      </c>
      <c r="G203" s="163">
        <f t="shared" si="25"/>
        <v>218.5</v>
      </c>
      <c r="I203" s="160">
        <v>191</v>
      </c>
      <c r="J203" s="163" t="e">
        <f ca="1">_xlfn.XLOOKUP(OFFSET($C$12,$I203,MATCH($J$11,$D$12:$G$12,0)),主线推图!$B$313:$B$612,主线推图!$P$313:$P$612)*OFFSET($C$1,MATCH(J$12,$C$2:$C$7,0),MATCH($J$11,$D$12:$G$12,0))</f>
        <v>#N/A</v>
      </c>
      <c r="K203" s="163" t="e">
        <f ca="1">_xlfn.XLOOKUP(OFFSET($C$12,$I203,MATCH($J$11,$D$12:$G$12,0)),巡逻产出!$B$311:$B$610,巡逻产出!$R$311:$R$610)*OFFSET($C$1,MATCH(K$12,$C$2:$C$7,0),MATCH($J$11,$D$12:$G$12,0))</f>
        <v>#N/A</v>
      </c>
      <c r="L203" s="163">
        <f ca="1">_xlfn.XLOOKUP(MAX(INT((OFFSET($C$12,$I203,MATCH($J$11,$D$12:$G$12,0))-6)/10),1),组队产出!$B$25:$B$39,组队产出!$P$25:$P$39)*OFFSET($C$1,MATCH(L$12,$C$2:$C$7,0),MATCH($J$11,$D$12:$G$12,0))</f>
        <v>1124.4</v>
      </c>
      <c r="M203" s="163">
        <f ca="1">竞技场!$G$3*OFFSET($C$1,MATCH(M$12,$C$2:$C$7,0),MATCH($J$11,$D$12:$G$12,0))</f>
        <v>1050</v>
      </c>
      <c r="N20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3" s="23">
        <f>任务!$G$6+任务!$G$9+IF(MOD(I203,7)=0,任务!$N$9+任务!$O$6,0)</f>
        <v>895</v>
      </c>
      <c r="P203" s="25">
        <f>公会!$U$11</f>
        <v>2766.62857142857</v>
      </c>
      <c r="Q203" s="163" t="e">
        <f ca="1">_xlfn.XLOOKUP(OFFSET($C$12,$I203,MATCH($J$11,$D$12:$G$12,0)),巡逻产出!$B$311:$B$610,巡逻产出!$Q$311:$Q$610)*OFFSET($C$1,MATCH(Q$12,$C$2:$C$7,0),MATCH($J$11,$D$12:$G$12,0))</f>
        <v>#N/A</v>
      </c>
      <c r="S203" s="160">
        <v>191</v>
      </c>
      <c r="T203" s="163" t="e">
        <f ca="1">_xlfn.XLOOKUP(OFFSET($C$12,$I203,MATCH($T$11,$D$12:$G$12,0)),主线推图!$B$313:$B$612,主线推图!$P$313:$P$612)*OFFSET($C$1,MATCH(T$12,$C$2:$C$7,0),MATCH($T$11,$D$12:$G$12,0))</f>
        <v>#N/A</v>
      </c>
      <c r="U203" s="163" t="e">
        <f ca="1">_xlfn.XLOOKUP(OFFSET($C$12,$I203,MATCH($T$11,$D$12:$G$12,0)),巡逻产出!$B$311:$B$610,巡逻产出!$R$311:$R$610)*OFFSET($C$1,MATCH(U$12,$C$2:$C$7,0),MATCH($T$11,$D$12:$G$12,0))</f>
        <v>#N/A</v>
      </c>
      <c r="V203" s="163">
        <f ca="1">_xlfn.XLOOKUP(MAX(INT((OFFSET($C$12,$I203,MATCH($T$11,$D$12:$G$12,0))-6)/10),1),组队产出!$B$25:$B$39,组队产出!$P$25:$P$39)*OFFSET($C$1,MATCH(V$12,$C$2:$C$7,0),MATCH($T$11,$D$12:$G$12,0))</f>
        <v>2296.8</v>
      </c>
      <c r="W203" s="163">
        <f ca="1">竞技场!$G$3*OFFSET($C$1,MATCH(W$12,$C$2:$C$7,0),MATCH($T$11,$D$12:$G$12,0))</f>
        <v>2100</v>
      </c>
      <c r="X20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3" s="23">
        <f>任务!$G$6+任务!$G$9+IF(MOD(S203,7)=0,任务!$N$9+任务!$O$6,0)</f>
        <v>895</v>
      </c>
      <c r="Z203" s="25">
        <f>公会!$U$11</f>
        <v>2766.62857142857</v>
      </c>
      <c r="AA203" s="163" t="e">
        <f ca="1">_xlfn.XLOOKUP(OFFSET($C$12,$I203,MATCH($T$11,$D$12:$G$12,0)),巡逻产出!$B$311:$B$610,巡逻产出!$Q$311:$Q$610)*OFFSET($C$1,MATCH(AA$12,$C$2:$C$7,0),MATCH($T$11,$D$12:$G$12,0))</f>
        <v>#N/A</v>
      </c>
      <c r="AC203" s="160">
        <v>191</v>
      </c>
      <c r="AD203" s="163" t="e">
        <f ca="1">_xlfn.XLOOKUP(OFFSET($C$12,$I203,MATCH($AD$11,$D$12:$G$12,0)),主线推图!$B$313:$B$612,主线推图!$P$313:$P$612)*OFFSET($C$1,MATCH(AD$12,$C$2:$C$7,0),MATCH($AD$11,$D$12:$G$12,0))</f>
        <v>#N/A</v>
      </c>
      <c r="AE203" s="163" t="e">
        <f ca="1">_xlfn.XLOOKUP(OFFSET($C$12,$I203,MATCH($AD$11,$D$12:$G$12,0)),巡逻产出!$B$311:$B$610,巡逻产出!$R$311:$R$610)*OFFSET($C$1,MATCH(AE$12,$C$2:$C$7,0),MATCH($AD$11,$D$12:$G$12,0))</f>
        <v>#N/A</v>
      </c>
      <c r="AF203" s="163" t="e">
        <f ca="1">_xlfn.XLOOKUP(MAX(INT((OFFSET($C$12,$I203,MATCH($AD$11,$D$12:$G$12,0))-6)/10),1),组队产出!$B$25:$B$39,组队产出!$P$25:$P$39)*OFFSET($C$1,MATCH(AF$12,$C$2:$C$7,0),MATCH($AD$11,$D$12:$G$12,0))</f>
        <v>#N/A</v>
      </c>
      <c r="AG203" s="163">
        <f ca="1">竞技场!$G$3*OFFSET($C$1,MATCH(AG$12,$C$2:$C$7,0),MATCH($AD$11,$D$12:$G$12,0))</f>
        <v>3150</v>
      </c>
      <c r="AH20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3" s="23">
        <f>任务!$G$6+任务!$G$9+IF(MOD(AC203,7)=0,任务!$N$9+任务!$O$6,0)</f>
        <v>895</v>
      </c>
      <c r="AJ203" s="25">
        <f>公会!$U$11</f>
        <v>2766.62857142857</v>
      </c>
      <c r="AK203" s="163" t="e">
        <f ca="1">_xlfn.XLOOKUP(OFFSET($C$12,$I203,MATCH($AD$11,$D$12:$G$12,0)),巡逻产出!$B$311:$B$610,巡逻产出!$Q$311:$Q$610)*OFFSET($C$1,MATCH(AK$12,$C$2:$C$7,0),MATCH($AD$11,$D$12:$G$12,0))</f>
        <v>#N/A</v>
      </c>
      <c r="AM203" s="164">
        <v>191</v>
      </c>
      <c r="AN203" s="165">
        <f t="shared" si="29"/>
        <v>22380</v>
      </c>
      <c r="AO203" s="165">
        <f t="shared" si="30"/>
        <v>28059</v>
      </c>
      <c r="AP203" s="165">
        <f t="shared" si="31"/>
        <v>44471</v>
      </c>
      <c r="AQ203" s="165">
        <f t="shared" si="32"/>
        <v>58516</v>
      </c>
    </row>
    <row r="204" spans="3:43">
      <c r="C204" s="160">
        <v>192</v>
      </c>
      <c r="D204" s="169">
        <v>171</v>
      </c>
      <c r="E204" s="170">
        <f t="shared" si="27"/>
        <v>122.75</v>
      </c>
      <c r="F204" s="169">
        <f t="shared" si="28"/>
        <v>144.049999999999</v>
      </c>
      <c r="G204" s="163">
        <f t="shared" si="25"/>
        <v>219</v>
      </c>
      <c r="I204" s="160">
        <v>192</v>
      </c>
      <c r="J204" s="163" t="e">
        <f ca="1">_xlfn.XLOOKUP(OFFSET($C$12,$I204,MATCH($J$11,$D$12:$G$12,0)),主线推图!$B$313:$B$612,主线推图!$P$313:$P$612)*OFFSET($C$1,MATCH(J$12,$C$2:$C$7,0),MATCH($J$11,$D$12:$G$12,0))</f>
        <v>#N/A</v>
      </c>
      <c r="K204" s="163" t="e">
        <f ca="1">_xlfn.XLOOKUP(OFFSET($C$12,$I204,MATCH($J$11,$D$12:$G$12,0)),巡逻产出!$B$311:$B$610,巡逻产出!$R$311:$R$610)*OFFSET($C$1,MATCH(K$12,$C$2:$C$7,0),MATCH($J$11,$D$12:$G$12,0))</f>
        <v>#N/A</v>
      </c>
      <c r="L204" s="163">
        <f ca="1">_xlfn.XLOOKUP(MAX(INT((OFFSET($C$12,$I204,MATCH($J$11,$D$12:$G$12,0))-6)/10),1),组队产出!$B$25:$B$39,组队产出!$P$25:$P$39)*OFFSET($C$1,MATCH(L$12,$C$2:$C$7,0),MATCH($J$11,$D$12:$G$12,0))</f>
        <v>1124.4</v>
      </c>
      <c r="M204" s="163">
        <f ca="1">竞技场!$G$3*OFFSET($C$1,MATCH(M$12,$C$2:$C$7,0),MATCH($J$11,$D$12:$G$12,0))</f>
        <v>1050</v>
      </c>
      <c r="N20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4" s="23">
        <f>任务!$G$6+任务!$G$9+IF(MOD(I204,7)=0,任务!$N$9+任务!$O$6,0)</f>
        <v>895</v>
      </c>
      <c r="P204" s="25">
        <f>公会!$U$11</f>
        <v>2766.62857142857</v>
      </c>
      <c r="Q204" s="163" t="e">
        <f ca="1">_xlfn.XLOOKUP(OFFSET($C$12,$I204,MATCH($J$11,$D$12:$G$12,0)),巡逻产出!$B$311:$B$610,巡逻产出!$Q$311:$Q$610)*OFFSET($C$1,MATCH(Q$12,$C$2:$C$7,0),MATCH($J$11,$D$12:$G$12,0))</f>
        <v>#N/A</v>
      </c>
      <c r="S204" s="160">
        <v>192</v>
      </c>
      <c r="T204" s="163" t="e">
        <f ca="1">_xlfn.XLOOKUP(OFFSET($C$12,$I204,MATCH($T$11,$D$12:$G$12,0)),主线推图!$B$313:$B$612,主线推图!$P$313:$P$612)*OFFSET($C$1,MATCH(T$12,$C$2:$C$7,0),MATCH($T$11,$D$12:$G$12,0))</f>
        <v>#N/A</v>
      </c>
      <c r="U204" s="163" t="e">
        <f ca="1">_xlfn.XLOOKUP(OFFSET($C$12,$I204,MATCH($T$11,$D$12:$G$12,0)),巡逻产出!$B$311:$B$610,巡逻产出!$R$311:$R$610)*OFFSET($C$1,MATCH(U$12,$C$2:$C$7,0),MATCH($T$11,$D$12:$G$12,0))</f>
        <v>#N/A</v>
      </c>
      <c r="V204" s="163">
        <f ca="1">_xlfn.XLOOKUP(MAX(INT((OFFSET($C$12,$I204,MATCH($T$11,$D$12:$G$12,0))-6)/10),1),组队产出!$B$25:$B$39,组队产出!$P$25:$P$39)*OFFSET($C$1,MATCH(V$12,$C$2:$C$7,0),MATCH($T$11,$D$12:$G$12,0))</f>
        <v>2296.8</v>
      </c>
      <c r="W204" s="163">
        <f ca="1">竞技场!$G$3*OFFSET($C$1,MATCH(W$12,$C$2:$C$7,0),MATCH($T$11,$D$12:$G$12,0))</f>
        <v>2100</v>
      </c>
      <c r="X20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4" s="23">
        <f>任务!$G$6+任务!$G$9+IF(MOD(S204,7)=0,任务!$N$9+任务!$O$6,0)</f>
        <v>895</v>
      </c>
      <c r="Z204" s="25">
        <f>公会!$U$11</f>
        <v>2766.62857142857</v>
      </c>
      <c r="AA204" s="163" t="e">
        <f ca="1">_xlfn.XLOOKUP(OFFSET($C$12,$I204,MATCH($T$11,$D$12:$G$12,0)),巡逻产出!$B$311:$B$610,巡逻产出!$Q$311:$Q$610)*OFFSET($C$1,MATCH(AA$12,$C$2:$C$7,0),MATCH($T$11,$D$12:$G$12,0))</f>
        <v>#N/A</v>
      </c>
      <c r="AC204" s="160">
        <v>192</v>
      </c>
      <c r="AD204" s="163">
        <f ca="1">_xlfn.XLOOKUP(OFFSET($C$12,$I204,MATCH($AD$11,$D$12:$G$12,0)),主线推图!$B$313:$B$612,主线推图!$P$313:$P$612)*OFFSET($C$1,MATCH(AD$12,$C$2:$C$7,0),MATCH($AD$11,$D$12:$G$12,0))</f>
        <v>3427.6</v>
      </c>
      <c r="AE204" s="163">
        <f ca="1">_xlfn.XLOOKUP(OFFSET($C$12,$I204,MATCH($AD$11,$D$12:$G$12,0)),巡逻产出!$B$311:$B$610,巡逻产出!$R$311:$R$610)*OFFSET($C$1,MATCH(AE$12,$C$2:$C$7,0),MATCH($AD$11,$D$12:$G$12,0))</f>
        <v>0</v>
      </c>
      <c r="AF204" s="163" t="e">
        <f ca="1">_xlfn.XLOOKUP(MAX(INT((OFFSET($C$12,$I204,MATCH($AD$11,$D$12:$G$12,0))-6)/10),1),组队产出!$B$25:$B$39,组队产出!$P$25:$P$39)*OFFSET($C$1,MATCH(AF$12,$C$2:$C$7,0),MATCH($AD$11,$D$12:$G$12,0))</f>
        <v>#N/A</v>
      </c>
      <c r="AG204" s="163">
        <f ca="1">竞技场!$G$3*OFFSET($C$1,MATCH(AG$12,$C$2:$C$7,0),MATCH($AD$11,$D$12:$G$12,0))</f>
        <v>3150</v>
      </c>
      <c r="AH20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4" s="23">
        <f>任务!$G$6+任务!$G$9+IF(MOD(AC204,7)=0,任务!$N$9+任务!$O$6,0)</f>
        <v>895</v>
      </c>
      <c r="AJ204" s="25">
        <f>公会!$U$11</f>
        <v>2766.62857142857</v>
      </c>
      <c r="AK204" s="163">
        <f ca="1">_xlfn.XLOOKUP(OFFSET($C$12,$I204,MATCH($AD$11,$D$12:$G$12,0)),巡逻产出!$B$311:$B$610,巡逻产出!$Q$311:$Q$610)*OFFSET($C$1,MATCH(AK$12,$C$2:$C$7,0),MATCH($AD$11,$D$12:$G$12,0))</f>
        <v>2372.448</v>
      </c>
      <c r="AM204" s="164">
        <v>192</v>
      </c>
      <c r="AN204" s="165">
        <f t="shared" si="29"/>
        <v>22493</v>
      </c>
      <c r="AO204" s="165">
        <f t="shared" si="30"/>
        <v>28202</v>
      </c>
      <c r="AP204" s="165">
        <f t="shared" si="31"/>
        <v>44699</v>
      </c>
      <c r="AQ204" s="165">
        <f t="shared" si="32"/>
        <v>58818</v>
      </c>
    </row>
    <row r="205" spans="3:43">
      <c r="C205" s="160">
        <v>193</v>
      </c>
      <c r="D205" s="169">
        <v>171</v>
      </c>
      <c r="E205" s="170">
        <f t="shared" si="27"/>
        <v>123</v>
      </c>
      <c r="F205" s="169">
        <f t="shared" si="28"/>
        <v>144.399999999999</v>
      </c>
      <c r="G205" s="163">
        <f t="shared" si="25"/>
        <v>219.5</v>
      </c>
      <c r="I205" s="160">
        <v>193</v>
      </c>
      <c r="J205" s="163" t="e">
        <f ca="1">_xlfn.XLOOKUP(OFFSET($C$12,$I205,MATCH($J$11,$D$12:$G$12,0)),主线推图!$B$313:$B$612,主线推图!$P$313:$P$612)*OFFSET($C$1,MATCH(J$12,$C$2:$C$7,0),MATCH($J$11,$D$12:$G$12,0))</f>
        <v>#N/A</v>
      </c>
      <c r="K205" s="163" t="e">
        <f ca="1">_xlfn.XLOOKUP(OFFSET($C$12,$I205,MATCH($J$11,$D$12:$G$12,0)),巡逻产出!$B$311:$B$610,巡逻产出!$R$311:$R$610)*OFFSET($C$1,MATCH(K$12,$C$2:$C$7,0),MATCH($J$11,$D$12:$G$12,0))</f>
        <v>#N/A</v>
      </c>
      <c r="L205" s="163">
        <f ca="1">_xlfn.XLOOKUP(MAX(INT((OFFSET($C$12,$I205,MATCH($J$11,$D$12:$G$12,0))-6)/10),1),组队产出!$B$25:$B$39,组队产出!$P$25:$P$39)*OFFSET($C$1,MATCH(L$12,$C$2:$C$7,0),MATCH($J$11,$D$12:$G$12,0))</f>
        <v>1124.4</v>
      </c>
      <c r="M205" s="163">
        <f ca="1">竞技场!$G$3*OFFSET($C$1,MATCH(M$12,$C$2:$C$7,0),MATCH($J$11,$D$12:$G$12,0))</f>
        <v>1050</v>
      </c>
      <c r="N20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5" s="23">
        <f>任务!$G$6+任务!$G$9+IF(MOD(I205,7)=0,任务!$N$9+任务!$O$6,0)</f>
        <v>895</v>
      </c>
      <c r="P205" s="25">
        <f>公会!$U$11</f>
        <v>2766.62857142857</v>
      </c>
      <c r="Q205" s="163" t="e">
        <f ca="1">_xlfn.XLOOKUP(OFFSET($C$12,$I205,MATCH($J$11,$D$12:$G$12,0)),巡逻产出!$B$311:$B$610,巡逻产出!$Q$311:$Q$610)*OFFSET($C$1,MATCH(Q$12,$C$2:$C$7,0),MATCH($J$11,$D$12:$G$12,0))</f>
        <v>#N/A</v>
      </c>
      <c r="S205" s="160">
        <v>193</v>
      </c>
      <c r="T205" s="163" t="e">
        <f ca="1">_xlfn.XLOOKUP(OFFSET($C$12,$I205,MATCH($T$11,$D$12:$G$12,0)),主线推图!$B$313:$B$612,主线推图!$P$313:$P$612)*OFFSET($C$1,MATCH(T$12,$C$2:$C$7,0),MATCH($T$11,$D$12:$G$12,0))</f>
        <v>#N/A</v>
      </c>
      <c r="U205" s="163" t="e">
        <f ca="1">_xlfn.XLOOKUP(OFFSET($C$12,$I205,MATCH($T$11,$D$12:$G$12,0)),巡逻产出!$B$311:$B$610,巡逻产出!$R$311:$R$610)*OFFSET($C$1,MATCH(U$12,$C$2:$C$7,0),MATCH($T$11,$D$12:$G$12,0))</f>
        <v>#N/A</v>
      </c>
      <c r="V205" s="163">
        <f ca="1">_xlfn.XLOOKUP(MAX(INT((OFFSET($C$12,$I205,MATCH($T$11,$D$12:$G$12,0))-6)/10),1),组队产出!$B$25:$B$39,组队产出!$P$25:$P$39)*OFFSET($C$1,MATCH(V$12,$C$2:$C$7,0),MATCH($T$11,$D$12:$G$12,0))</f>
        <v>2296.8</v>
      </c>
      <c r="W205" s="163">
        <f ca="1">竞技场!$G$3*OFFSET($C$1,MATCH(W$12,$C$2:$C$7,0),MATCH($T$11,$D$12:$G$12,0))</f>
        <v>2100</v>
      </c>
      <c r="X20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5" s="23">
        <f>任务!$G$6+任务!$G$9+IF(MOD(S205,7)=0,任务!$N$9+任务!$O$6,0)</f>
        <v>895</v>
      </c>
      <c r="Z205" s="25">
        <f>公会!$U$11</f>
        <v>2766.62857142857</v>
      </c>
      <c r="AA205" s="163" t="e">
        <f ca="1">_xlfn.XLOOKUP(OFFSET($C$12,$I205,MATCH($T$11,$D$12:$G$12,0)),巡逻产出!$B$311:$B$610,巡逻产出!$Q$311:$Q$610)*OFFSET($C$1,MATCH(AA$12,$C$2:$C$7,0),MATCH($T$11,$D$12:$G$12,0))</f>
        <v>#N/A</v>
      </c>
      <c r="AC205" s="160">
        <v>193</v>
      </c>
      <c r="AD205" s="163" t="e">
        <f ca="1">_xlfn.XLOOKUP(OFFSET($C$12,$I205,MATCH($AD$11,$D$12:$G$12,0)),主线推图!$B$313:$B$612,主线推图!$P$313:$P$612)*OFFSET($C$1,MATCH(AD$12,$C$2:$C$7,0),MATCH($AD$11,$D$12:$G$12,0))</f>
        <v>#N/A</v>
      </c>
      <c r="AE205" s="163" t="e">
        <f ca="1">_xlfn.XLOOKUP(OFFSET($C$12,$I205,MATCH($AD$11,$D$12:$G$12,0)),巡逻产出!$B$311:$B$610,巡逻产出!$R$311:$R$610)*OFFSET($C$1,MATCH(AE$12,$C$2:$C$7,0),MATCH($AD$11,$D$12:$G$12,0))</f>
        <v>#N/A</v>
      </c>
      <c r="AF205" s="163" t="e">
        <f ca="1">_xlfn.XLOOKUP(MAX(INT((OFFSET($C$12,$I205,MATCH($AD$11,$D$12:$G$12,0))-6)/10),1),组队产出!$B$25:$B$39,组队产出!$P$25:$P$39)*OFFSET($C$1,MATCH(AF$12,$C$2:$C$7,0),MATCH($AD$11,$D$12:$G$12,0))</f>
        <v>#N/A</v>
      </c>
      <c r="AG205" s="163">
        <f ca="1">竞技场!$G$3*OFFSET($C$1,MATCH(AG$12,$C$2:$C$7,0),MATCH($AD$11,$D$12:$G$12,0))</f>
        <v>3150</v>
      </c>
      <c r="AH20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5" s="23">
        <f>任务!$G$6+任务!$G$9+IF(MOD(AC205,7)=0,任务!$N$9+任务!$O$6,0)</f>
        <v>895</v>
      </c>
      <c r="AJ205" s="25">
        <f>公会!$U$11</f>
        <v>2766.62857142857</v>
      </c>
      <c r="AK205" s="163" t="e">
        <f ca="1">_xlfn.XLOOKUP(OFFSET($C$12,$I205,MATCH($AD$11,$D$12:$G$12,0)),巡逻产出!$B$311:$B$610,巡逻产出!$Q$311:$Q$610)*OFFSET($C$1,MATCH(AK$12,$C$2:$C$7,0),MATCH($AD$11,$D$12:$G$12,0))</f>
        <v>#N/A</v>
      </c>
      <c r="AM205" s="164">
        <v>193</v>
      </c>
      <c r="AN205" s="165">
        <f t="shared" si="29"/>
        <v>22607</v>
      </c>
      <c r="AO205" s="165">
        <f t="shared" si="30"/>
        <v>28345</v>
      </c>
      <c r="AP205" s="165">
        <f t="shared" si="31"/>
        <v>44928</v>
      </c>
      <c r="AQ205" s="165">
        <f t="shared" si="32"/>
        <v>59120</v>
      </c>
    </row>
    <row r="206" spans="3:43">
      <c r="C206" s="160">
        <v>194</v>
      </c>
      <c r="D206" s="169">
        <v>171</v>
      </c>
      <c r="E206" s="170">
        <f t="shared" si="27"/>
        <v>123.25</v>
      </c>
      <c r="F206" s="169">
        <f t="shared" si="28"/>
        <v>144.749999999999</v>
      </c>
      <c r="G206" s="163">
        <f t="shared" si="25"/>
        <v>220</v>
      </c>
      <c r="I206" s="160">
        <v>194</v>
      </c>
      <c r="J206" s="163" t="e">
        <f ca="1">_xlfn.XLOOKUP(OFFSET($C$12,$I206,MATCH($J$11,$D$12:$G$12,0)),主线推图!$B$313:$B$612,主线推图!$P$313:$P$612)*OFFSET($C$1,MATCH(J$12,$C$2:$C$7,0),MATCH($J$11,$D$12:$G$12,0))</f>
        <v>#N/A</v>
      </c>
      <c r="K206" s="163" t="e">
        <f ca="1">_xlfn.XLOOKUP(OFFSET($C$12,$I206,MATCH($J$11,$D$12:$G$12,0)),巡逻产出!$B$311:$B$610,巡逻产出!$R$311:$R$610)*OFFSET($C$1,MATCH(K$12,$C$2:$C$7,0),MATCH($J$11,$D$12:$G$12,0))</f>
        <v>#N/A</v>
      </c>
      <c r="L206" s="163">
        <f ca="1">_xlfn.XLOOKUP(MAX(INT((OFFSET($C$12,$I206,MATCH($J$11,$D$12:$G$12,0))-6)/10),1),组队产出!$B$25:$B$39,组队产出!$P$25:$P$39)*OFFSET($C$1,MATCH(L$12,$C$2:$C$7,0),MATCH($J$11,$D$12:$G$12,0))</f>
        <v>1124.4</v>
      </c>
      <c r="M206" s="163">
        <f ca="1">竞技场!$G$3*OFFSET($C$1,MATCH(M$12,$C$2:$C$7,0),MATCH($J$11,$D$12:$G$12,0))</f>
        <v>1050</v>
      </c>
      <c r="N20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6" s="23">
        <f>任务!$G$6+任务!$G$9+IF(MOD(I206,7)=0,任务!$N$9+任务!$O$6,0)</f>
        <v>895</v>
      </c>
      <c r="P206" s="25">
        <f>公会!$U$11</f>
        <v>2766.62857142857</v>
      </c>
      <c r="Q206" s="163" t="e">
        <f ca="1">_xlfn.XLOOKUP(OFFSET($C$12,$I206,MATCH($J$11,$D$12:$G$12,0)),巡逻产出!$B$311:$B$610,巡逻产出!$Q$311:$Q$610)*OFFSET($C$1,MATCH(Q$12,$C$2:$C$7,0),MATCH($J$11,$D$12:$G$12,0))</f>
        <v>#N/A</v>
      </c>
      <c r="S206" s="160">
        <v>194</v>
      </c>
      <c r="T206" s="163" t="e">
        <f ca="1">_xlfn.XLOOKUP(OFFSET($C$12,$I206,MATCH($T$11,$D$12:$G$12,0)),主线推图!$B$313:$B$612,主线推图!$P$313:$P$612)*OFFSET($C$1,MATCH(T$12,$C$2:$C$7,0),MATCH($T$11,$D$12:$G$12,0))</f>
        <v>#N/A</v>
      </c>
      <c r="U206" s="163" t="e">
        <f ca="1">_xlfn.XLOOKUP(OFFSET($C$12,$I206,MATCH($T$11,$D$12:$G$12,0)),巡逻产出!$B$311:$B$610,巡逻产出!$R$311:$R$610)*OFFSET($C$1,MATCH(U$12,$C$2:$C$7,0),MATCH($T$11,$D$12:$G$12,0))</f>
        <v>#N/A</v>
      </c>
      <c r="V206" s="163">
        <f ca="1">_xlfn.XLOOKUP(MAX(INT((OFFSET($C$12,$I206,MATCH($T$11,$D$12:$G$12,0))-6)/10),1),组队产出!$B$25:$B$39,组队产出!$P$25:$P$39)*OFFSET($C$1,MATCH(V$12,$C$2:$C$7,0),MATCH($T$11,$D$12:$G$12,0))</f>
        <v>2296.8</v>
      </c>
      <c r="W206" s="163">
        <f ca="1">竞技场!$G$3*OFFSET($C$1,MATCH(W$12,$C$2:$C$7,0),MATCH($T$11,$D$12:$G$12,0))</f>
        <v>2100</v>
      </c>
      <c r="X20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6" s="23">
        <f>任务!$G$6+任务!$G$9+IF(MOD(S206,7)=0,任务!$N$9+任务!$O$6,0)</f>
        <v>895</v>
      </c>
      <c r="Z206" s="25">
        <f>公会!$U$11</f>
        <v>2766.62857142857</v>
      </c>
      <c r="AA206" s="163" t="e">
        <f ca="1">_xlfn.XLOOKUP(OFFSET($C$12,$I206,MATCH($T$11,$D$12:$G$12,0)),巡逻产出!$B$311:$B$610,巡逻产出!$Q$311:$Q$610)*OFFSET($C$1,MATCH(AA$12,$C$2:$C$7,0),MATCH($T$11,$D$12:$G$12,0))</f>
        <v>#N/A</v>
      </c>
      <c r="AC206" s="160">
        <v>194</v>
      </c>
      <c r="AD206" s="163">
        <f ca="1">_xlfn.XLOOKUP(OFFSET($C$12,$I206,MATCH($AD$11,$D$12:$G$12,0)),主线推图!$B$313:$B$612,主线推图!$P$313:$P$612)*OFFSET($C$1,MATCH(AD$12,$C$2:$C$7,0),MATCH($AD$11,$D$12:$G$12,0))</f>
        <v>3429.8</v>
      </c>
      <c r="AE206" s="163">
        <f ca="1">_xlfn.XLOOKUP(OFFSET($C$12,$I206,MATCH($AD$11,$D$12:$G$12,0)),巡逻产出!$B$311:$B$610,巡逻产出!$R$311:$R$610)*OFFSET($C$1,MATCH(AE$12,$C$2:$C$7,0),MATCH($AD$11,$D$12:$G$12,0))</f>
        <v>0</v>
      </c>
      <c r="AF206" s="163" t="e">
        <f ca="1">_xlfn.XLOOKUP(MAX(INT((OFFSET($C$12,$I206,MATCH($AD$11,$D$12:$G$12,0))-6)/10),1),组队产出!$B$25:$B$39,组队产出!$P$25:$P$39)*OFFSET($C$1,MATCH(AF$12,$C$2:$C$7,0),MATCH($AD$11,$D$12:$G$12,0))</f>
        <v>#N/A</v>
      </c>
      <c r="AG206" s="163">
        <f ca="1">竞技场!$G$3*OFFSET($C$1,MATCH(AG$12,$C$2:$C$7,0),MATCH($AD$11,$D$12:$G$12,0))</f>
        <v>3150</v>
      </c>
      <c r="AH20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6" s="23">
        <f>任务!$G$6+任务!$G$9+IF(MOD(AC206,7)=0,任务!$N$9+任务!$O$6,0)</f>
        <v>895</v>
      </c>
      <c r="AJ206" s="25">
        <f>公会!$U$11</f>
        <v>2766.62857142857</v>
      </c>
      <c r="AK206" s="163">
        <f ca="1">_xlfn.XLOOKUP(OFFSET($C$12,$I206,MATCH($AD$11,$D$12:$G$12,0)),巡逻产出!$B$311:$B$610,巡逻产出!$Q$311:$Q$610)*OFFSET($C$1,MATCH(AK$12,$C$2:$C$7,0),MATCH($AD$11,$D$12:$G$12,0))</f>
        <v>2374.008</v>
      </c>
      <c r="AM206" s="164">
        <v>194</v>
      </c>
      <c r="AN206" s="165">
        <f t="shared" si="29"/>
        <v>22720</v>
      </c>
      <c r="AO206" s="165">
        <f t="shared" si="30"/>
        <v>28488</v>
      </c>
      <c r="AP206" s="165">
        <f t="shared" si="31"/>
        <v>45156</v>
      </c>
      <c r="AQ206" s="165">
        <f t="shared" si="32"/>
        <v>59422</v>
      </c>
    </row>
    <row r="207" spans="3:43">
      <c r="C207" s="160">
        <v>195</v>
      </c>
      <c r="D207" s="169">
        <v>171</v>
      </c>
      <c r="E207" s="170">
        <f t="shared" si="27"/>
        <v>123.5</v>
      </c>
      <c r="F207" s="169">
        <f t="shared" si="28"/>
        <v>145.099999999999</v>
      </c>
      <c r="G207" s="163">
        <f t="shared" si="25"/>
        <v>220.5</v>
      </c>
      <c r="I207" s="160">
        <v>195</v>
      </c>
      <c r="J207" s="163" t="e">
        <f ca="1">_xlfn.XLOOKUP(OFFSET($C$12,$I207,MATCH($J$11,$D$12:$G$12,0)),主线推图!$B$313:$B$612,主线推图!$P$313:$P$612)*OFFSET($C$1,MATCH(J$12,$C$2:$C$7,0),MATCH($J$11,$D$12:$G$12,0))</f>
        <v>#N/A</v>
      </c>
      <c r="K207" s="163" t="e">
        <f ca="1">_xlfn.XLOOKUP(OFFSET($C$12,$I207,MATCH($J$11,$D$12:$G$12,0)),巡逻产出!$B$311:$B$610,巡逻产出!$R$311:$R$610)*OFFSET($C$1,MATCH(K$12,$C$2:$C$7,0),MATCH($J$11,$D$12:$G$12,0))</f>
        <v>#N/A</v>
      </c>
      <c r="L207" s="163">
        <f ca="1">_xlfn.XLOOKUP(MAX(INT((OFFSET($C$12,$I207,MATCH($J$11,$D$12:$G$12,0))-6)/10),1),组队产出!$B$25:$B$39,组队产出!$P$25:$P$39)*OFFSET($C$1,MATCH(L$12,$C$2:$C$7,0),MATCH($J$11,$D$12:$G$12,0))</f>
        <v>1124.4</v>
      </c>
      <c r="M207" s="163">
        <f ca="1">竞技场!$G$3*OFFSET($C$1,MATCH(M$12,$C$2:$C$7,0),MATCH($J$11,$D$12:$G$12,0))</f>
        <v>1050</v>
      </c>
      <c r="N20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7" s="23">
        <f>任务!$G$6+任务!$G$9+IF(MOD(I207,7)=0,任务!$N$9+任务!$O$6,0)</f>
        <v>895</v>
      </c>
      <c r="P207" s="25">
        <f>公会!$U$11</f>
        <v>2766.62857142857</v>
      </c>
      <c r="Q207" s="163" t="e">
        <f ca="1">_xlfn.XLOOKUP(OFFSET($C$12,$I207,MATCH($J$11,$D$12:$G$12,0)),巡逻产出!$B$311:$B$610,巡逻产出!$Q$311:$Q$610)*OFFSET($C$1,MATCH(Q$12,$C$2:$C$7,0),MATCH($J$11,$D$12:$G$12,0))</f>
        <v>#N/A</v>
      </c>
      <c r="S207" s="160">
        <v>195</v>
      </c>
      <c r="T207" s="163" t="e">
        <f ca="1">_xlfn.XLOOKUP(OFFSET($C$12,$I207,MATCH($T$11,$D$12:$G$12,0)),主线推图!$B$313:$B$612,主线推图!$P$313:$P$612)*OFFSET($C$1,MATCH(T$12,$C$2:$C$7,0),MATCH($T$11,$D$12:$G$12,0))</f>
        <v>#N/A</v>
      </c>
      <c r="U207" s="163" t="e">
        <f ca="1">_xlfn.XLOOKUP(OFFSET($C$12,$I207,MATCH($T$11,$D$12:$G$12,0)),巡逻产出!$B$311:$B$610,巡逻产出!$R$311:$R$610)*OFFSET($C$1,MATCH(U$12,$C$2:$C$7,0),MATCH($T$11,$D$12:$G$12,0))</f>
        <v>#N/A</v>
      </c>
      <c r="V207" s="163">
        <f ca="1">_xlfn.XLOOKUP(MAX(INT((OFFSET($C$12,$I207,MATCH($T$11,$D$12:$G$12,0))-6)/10),1),组队产出!$B$25:$B$39,组队产出!$P$25:$P$39)*OFFSET($C$1,MATCH(V$12,$C$2:$C$7,0),MATCH($T$11,$D$12:$G$12,0))</f>
        <v>2296.8</v>
      </c>
      <c r="W207" s="163">
        <f ca="1">竞技场!$G$3*OFFSET($C$1,MATCH(W$12,$C$2:$C$7,0),MATCH($T$11,$D$12:$G$12,0))</f>
        <v>2100</v>
      </c>
      <c r="X20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7" s="23">
        <f>任务!$G$6+任务!$G$9+IF(MOD(S207,7)=0,任务!$N$9+任务!$O$6,0)</f>
        <v>895</v>
      </c>
      <c r="Z207" s="25">
        <f>公会!$U$11</f>
        <v>2766.62857142857</v>
      </c>
      <c r="AA207" s="163" t="e">
        <f ca="1">_xlfn.XLOOKUP(OFFSET($C$12,$I207,MATCH($T$11,$D$12:$G$12,0)),巡逻产出!$B$311:$B$610,巡逻产出!$Q$311:$Q$610)*OFFSET($C$1,MATCH(AA$12,$C$2:$C$7,0),MATCH($T$11,$D$12:$G$12,0))</f>
        <v>#N/A</v>
      </c>
      <c r="AC207" s="160">
        <v>195</v>
      </c>
      <c r="AD207" s="163" t="e">
        <f ca="1">_xlfn.XLOOKUP(OFFSET($C$12,$I207,MATCH($AD$11,$D$12:$G$12,0)),主线推图!$B$313:$B$612,主线推图!$P$313:$P$612)*OFFSET($C$1,MATCH(AD$12,$C$2:$C$7,0),MATCH($AD$11,$D$12:$G$12,0))</f>
        <v>#N/A</v>
      </c>
      <c r="AE207" s="163" t="e">
        <f ca="1">_xlfn.XLOOKUP(OFFSET($C$12,$I207,MATCH($AD$11,$D$12:$G$12,0)),巡逻产出!$B$311:$B$610,巡逻产出!$R$311:$R$610)*OFFSET($C$1,MATCH(AE$12,$C$2:$C$7,0),MATCH($AD$11,$D$12:$G$12,0))</f>
        <v>#N/A</v>
      </c>
      <c r="AF207" s="163" t="e">
        <f ca="1">_xlfn.XLOOKUP(MAX(INT((OFFSET($C$12,$I207,MATCH($AD$11,$D$12:$G$12,0))-6)/10),1),组队产出!$B$25:$B$39,组队产出!$P$25:$P$39)*OFFSET($C$1,MATCH(AF$12,$C$2:$C$7,0),MATCH($AD$11,$D$12:$G$12,0))</f>
        <v>#N/A</v>
      </c>
      <c r="AG207" s="163">
        <f ca="1">竞技场!$G$3*OFFSET($C$1,MATCH(AG$12,$C$2:$C$7,0),MATCH($AD$11,$D$12:$G$12,0))</f>
        <v>3150</v>
      </c>
      <c r="AH20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7" s="23">
        <f>任务!$G$6+任务!$G$9+IF(MOD(AC207,7)=0,任务!$N$9+任务!$O$6,0)</f>
        <v>895</v>
      </c>
      <c r="AJ207" s="25">
        <f>公会!$U$11</f>
        <v>2766.62857142857</v>
      </c>
      <c r="AK207" s="163" t="e">
        <f ca="1">_xlfn.XLOOKUP(OFFSET($C$12,$I207,MATCH($AD$11,$D$12:$G$12,0)),巡逻产出!$B$311:$B$610,巡逻产出!$Q$311:$Q$610)*OFFSET($C$1,MATCH(AK$12,$C$2:$C$7,0),MATCH($AD$11,$D$12:$G$12,0))</f>
        <v>#N/A</v>
      </c>
      <c r="AM207" s="164">
        <v>195</v>
      </c>
      <c r="AN207" s="165">
        <f t="shared" si="29"/>
        <v>22834</v>
      </c>
      <c r="AO207" s="165">
        <f t="shared" si="30"/>
        <v>28631</v>
      </c>
      <c r="AP207" s="165">
        <f t="shared" si="31"/>
        <v>45385</v>
      </c>
      <c r="AQ207" s="165">
        <f t="shared" si="32"/>
        <v>59724</v>
      </c>
    </row>
    <row r="208" spans="3:43">
      <c r="C208" s="160">
        <v>196</v>
      </c>
      <c r="D208" s="169">
        <v>171</v>
      </c>
      <c r="E208" s="170">
        <f t="shared" si="27"/>
        <v>123.75</v>
      </c>
      <c r="F208" s="169">
        <f t="shared" si="28"/>
        <v>145.449999999999</v>
      </c>
      <c r="G208" s="163">
        <f t="shared" si="25"/>
        <v>221</v>
      </c>
      <c r="I208" s="160">
        <v>196</v>
      </c>
      <c r="J208" s="163" t="e">
        <f ca="1">_xlfn.XLOOKUP(OFFSET($C$12,$I208,MATCH($J$11,$D$12:$G$12,0)),主线推图!$B$313:$B$612,主线推图!$P$313:$P$612)*OFFSET($C$1,MATCH(J$12,$C$2:$C$7,0),MATCH($J$11,$D$12:$G$12,0))</f>
        <v>#N/A</v>
      </c>
      <c r="K208" s="163" t="e">
        <f ca="1">_xlfn.XLOOKUP(OFFSET($C$12,$I208,MATCH($J$11,$D$12:$G$12,0)),巡逻产出!$B$311:$B$610,巡逻产出!$R$311:$R$610)*OFFSET($C$1,MATCH(K$12,$C$2:$C$7,0),MATCH($J$11,$D$12:$G$12,0))</f>
        <v>#N/A</v>
      </c>
      <c r="L208" s="163">
        <f ca="1">_xlfn.XLOOKUP(MAX(INT((OFFSET($C$12,$I208,MATCH($J$11,$D$12:$G$12,0))-6)/10),1),组队产出!$B$25:$B$39,组队产出!$P$25:$P$39)*OFFSET($C$1,MATCH(L$12,$C$2:$C$7,0),MATCH($J$11,$D$12:$G$12,0))</f>
        <v>1124.4</v>
      </c>
      <c r="M208" s="163">
        <f ca="1">竞技场!$G$3*OFFSET($C$1,MATCH(M$12,$C$2:$C$7,0),MATCH($J$11,$D$12:$G$12,0))</f>
        <v>1050</v>
      </c>
      <c r="N20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8" s="23">
        <f>任务!$G$6+任务!$G$9+IF(MOD(I208,7)=0,任务!$N$9+任务!$O$6,0)</f>
        <v>3125</v>
      </c>
      <c r="P208" s="25">
        <f>公会!$U$11</f>
        <v>2766.62857142857</v>
      </c>
      <c r="Q208" s="163" t="e">
        <f ca="1">_xlfn.XLOOKUP(OFFSET($C$12,$I208,MATCH($J$11,$D$12:$G$12,0)),巡逻产出!$B$311:$B$610,巡逻产出!$Q$311:$Q$610)*OFFSET($C$1,MATCH(Q$12,$C$2:$C$7,0),MATCH($J$11,$D$12:$G$12,0))</f>
        <v>#N/A</v>
      </c>
      <c r="S208" s="160">
        <v>196</v>
      </c>
      <c r="T208" s="163" t="e">
        <f ca="1">_xlfn.XLOOKUP(OFFSET($C$12,$I208,MATCH($T$11,$D$12:$G$12,0)),主线推图!$B$313:$B$612,主线推图!$P$313:$P$612)*OFFSET($C$1,MATCH(T$12,$C$2:$C$7,0),MATCH($T$11,$D$12:$G$12,0))</f>
        <v>#N/A</v>
      </c>
      <c r="U208" s="163" t="e">
        <f ca="1">_xlfn.XLOOKUP(OFFSET($C$12,$I208,MATCH($T$11,$D$12:$G$12,0)),巡逻产出!$B$311:$B$610,巡逻产出!$R$311:$R$610)*OFFSET($C$1,MATCH(U$12,$C$2:$C$7,0),MATCH($T$11,$D$12:$G$12,0))</f>
        <v>#N/A</v>
      </c>
      <c r="V208" s="163">
        <f ca="1">_xlfn.XLOOKUP(MAX(INT((OFFSET($C$12,$I208,MATCH($T$11,$D$12:$G$12,0))-6)/10),1),组队产出!$B$25:$B$39,组队产出!$P$25:$P$39)*OFFSET($C$1,MATCH(V$12,$C$2:$C$7,0),MATCH($T$11,$D$12:$G$12,0))</f>
        <v>2296.8</v>
      </c>
      <c r="W208" s="163">
        <f ca="1">竞技场!$G$3*OFFSET($C$1,MATCH(W$12,$C$2:$C$7,0),MATCH($T$11,$D$12:$G$12,0))</f>
        <v>2100</v>
      </c>
      <c r="X20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8" s="23">
        <f>任务!$G$6+任务!$G$9+IF(MOD(S208,7)=0,任务!$N$9+任务!$O$6,0)</f>
        <v>3125</v>
      </c>
      <c r="Z208" s="25">
        <f>公会!$U$11</f>
        <v>2766.62857142857</v>
      </c>
      <c r="AA208" s="163" t="e">
        <f ca="1">_xlfn.XLOOKUP(OFFSET($C$12,$I208,MATCH($T$11,$D$12:$G$12,0)),巡逻产出!$B$311:$B$610,巡逻产出!$Q$311:$Q$610)*OFFSET($C$1,MATCH(AA$12,$C$2:$C$7,0),MATCH($T$11,$D$12:$G$12,0))</f>
        <v>#N/A</v>
      </c>
      <c r="AC208" s="160">
        <v>196</v>
      </c>
      <c r="AD208" s="163">
        <f ca="1">_xlfn.XLOOKUP(OFFSET($C$12,$I208,MATCH($AD$11,$D$12:$G$12,0)),主线推图!$B$313:$B$612,主线推图!$P$313:$P$612)*OFFSET($C$1,MATCH(AD$12,$C$2:$C$7,0),MATCH($AD$11,$D$12:$G$12,0))</f>
        <v>3432</v>
      </c>
      <c r="AE208" s="163">
        <f ca="1">_xlfn.XLOOKUP(OFFSET($C$12,$I208,MATCH($AD$11,$D$12:$G$12,0)),巡逻产出!$B$311:$B$610,巡逻产出!$R$311:$R$610)*OFFSET($C$1,MATCH(AE$12,$C$2:$C$7,0),MATCH($AD$11,$D$12:$G$12,0))</f>
        <v>0</v>
      </c>
      <c r="AF208" s="163" t="e">
        <f ca="1">_xlfn.XLOOKUP(MAX(INT((OFFSET($C$12,$I208,MATCH($AD$11,$D$12:$G$12,0))-6)/10),1),组队产出!$B$25:$B$39,组队产出!$P$25:$P$39)*OFFSET($C$1,MATCH(AF$12,$C$2:$C$7,0),MATCH($AD$11,$D$12:$G$12,0))</f>
        <v>#N/A</v>
      </c>
      <c r="AG208" s="163">
        <f ca="1">竞技场!$G$3*OFFSET($C$1,MATCH(AG$12,$C$2:$C$7,0),MATCH($AD$11,$D$12:$G$12,0))</f>
        <v>3150</v>
      </c>
      <c r="AH20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8" s="23">
        <f>任务!$G$6+任务!$G$9+IF(MOD(AC208,7)=0,任务!$N$9+任务!$O$6,0)</f>
        <v>3125</v>
      </c>
      <c r="AJ208" s="25">
        <f>公会!$U$11</f>
        <v>2766.62857142857</v>
      </c>
      <c r="AK208" s="163">
        <f ca="1">_xlfn.XLOOKUP(OFFSET($C$12,$I208,MATCH($AD$11,$D$12:$G$12,0)),巡逻产出!$B$311:$B$610,巡逻产出!$Q$311:$Q$610)*OFFSET($C$1,MATCH(AK$12,$C$2:$C$7,0),MATCH($AD$11,$D$12:$G$12,0))</f>
        <v>2375.568</v>
      </c>
      <c r="AM208" s="164">
        <v>196</v>
      </c>
      <c r="AN208" s="165">
        <f t="shared" si="29"/>
        <v>22947</v>
      </c>
      <c r="AO208" s="165">
        <f t="shared" si="30"/>
        <v>28774</v>
      </c>
      <c r="AP208" s="165">
        <f t="shared" si="31"/>
        <v>45613</v>
      </c>
      <c r="AQ208" s="165">
        <f t="shared" si="32"/>
        <v>60026</v>
      </c>
    </row>
    <row r="209" spans="3:43">
      <c r="C209" s="160">
        <v>197</v>
      </c>
      <c r="D209" s="169">
        <v>171</v>
      </c>
      <c r="E209" s="170">
        <f t="shared" si="27"/>
        <v>124</v>
      </c>
      <c r="F209" s="169">
        <f t="shared" si="28"/>
        <v>145.799999999999</v>
      </c>
      <c r="G209" s="163">
        <f t="shared" si="25"/>
        <v>221.5</v>
      </c>
      <c r="I209" s="160">
        <v>197</v>
      </c>
      <c r="J209" s="163" t="e">
        <f ca="1">_xlfn.XLOOKUP(OFFSET($C$12,$I209,MATCH($J$11,$D$12:$G$12,0)),主线推图!$B$313:$B$612,主线推图!$P$313:$P$612)*OFFSET($C$1,MATCH(J$12,$C$2:$C$7,0),MATCH($J$11,$D$12:$G$12,0))</f>
        <v>#N/A</v>
      </c>
      <c r="K209" s="163" t="e">
        <f ca="1">_xlfn.XLOOKUP(OFFSET($C$12,$I209,MATCH($J$11,$D$12:$G$12,0)),巡逻产出!$B$311:$B$610,巡逻产出!$R$311:$R$610)*OFFSET($C$1,MATCH(K$12,$C$2:$C$7,0),MATCH($J$11,$D$12:$G$12,0))</f>
        <v>#N/A</v>
      </c>
      <c r="L209" s="163">
        <f ca="1">_xlfn.XLOOKUP(MAX(INT((OFFSET($C$12,$I209,MATCH($J$11,$D$12:$G$12,0))-6)/10),1),组队产出!$B$25:$B$39,组队产出!$P$25:$P$39)*OFFSET($C$1,MATCH(L$12,$C$2:$C$7,0),MATCH($J$11,$D$12:$G$12,0))</f>
        <v>1124.4</v>
      </c>
      <c r="M209" s="163">
        <f ca="1">竞技场!$G$3*OFFSET($C$1,MATCH(M$12,$C$2:$C$7,0),MATCH($J$11,$D$12:$G$12,0))</f>
        <v>1050</v>
      </c>
      <c r="N20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9" s="23">
        <f>任务!$G$6+任务!$G$9+IF(MOD(I209,7)=0,任务!$N$9+任务!$O$6,0)</f>
        <v>895</v>
      </c>
      <c r="P209" s="25">
        <f>公会!$U$11</f>
        <v>2766.62857142857</v>
      </c>
      <c r="Q209" s="163" t="e">
        <f ca="1">_xlfn.XLOOKUP(OFFSET($C$12,$I209,MATCH($J$11,$D$12:$G$12,0)),巡逻产出!$B$311:$B$610,巡逻产出!$Q$311:$Q$610)*OFFSET($C$1,MATCH(Q$12,$C$2:$C$7,0),MATCH($J$11,$D$12:$G$12,0))</f>
        <v>#N/A</v>
      </c>
      <c r="S209" s="160">
        <v>197</v>
      </c>
      <c r="T209" s="163" t="e">
        <f ca="1">_xlfn.XLOOKUP(OFFSET($C$12,$I209,MATCH($T$11,$D$12:$G$12,0)),主线推图!$B$313:$B$612,主线推图!$P$313:$P$612)*OFFSET($C$1,MATCH(T$12,$C$2:$C$7,0),MATCH($T$11,$D$12:$G$12,0))</f>
        <v>#N/A</v>
      </c>
      <c r="U209" s="163" t="e">
        <f ca="1">_xlfn.XLOOKUP(OFFSET($C$12,$I209,MATCH($T$11,$D$12:$G$12,0)),巡逻产出!$B$311:$B$610,巡逻产出!$R$311:$R$610)*OFFSET($C$1,MATCH(U$12,$C$2:$C$7,0),MATCH($T$11,$D$12:$G$12,0))</f>
        <v>#N/A</v>
      </c>
      <c r="V209" s="163">
        <f ca="1">_xlfn.XLOOKUP(MAX(INT((OFFSET($C$12,$I209,MATCH($T$11,$D$12:$G$12,0))-6)/10),1),组队产出!$B$25:$B$39,组队产出!$P$25:$P$39)*OFFSET($C$1,MATCH(V$12,$C$2:$C$7,0),MATCH($T$11,$D$12:$G$12,0))</f>
        <v>2296.8</v>
      </c>
      <c r="W209" s="163">
        <f ca="1">竞技场!$G$3*OFFSET($C$1,MATCH(W$12,$C$2:$C$7,0),MATCH($T$11,$D$12:$G$12,0))</f>
        <v>2100</v>
      </c>
      <c r="X20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9" s="23">
        <f>任务!$G$6+任务!$G$9+IF(MOD(S209,7)=0,任务!$N$9+任务!$O$6,0)</f>
        <v>895</v>
      </c>
      <c r="Z209" s="25">
        <f>公会!$U$11</f>
        <v>2766.62857142857</v>
      </c>
      <c r="AA209" s="163" t="e">
        <f ca="1">_xlfn.XLOOKUP(OFFSET($C$12,$I209,MATCH($T$11,$D$12:$G$12,0)),巡逻产出!$B$311:$B$610,巡逻产出!$Q$311:$Q$610)*OFFSET($C$1,MATCH(AA$12,$C$2:$C$7,0),MATCH($T$11,$D$12:$G$12,0))</f>
        <v>#N/A</v>
      </c>
      <c r="AC209" s="160">
        <v>197</v>
      </c>
      <c r="AD209" s="163" t="e">
        <f ca="1">_xlfn.XLOOKUP(OFFSET($C$12,$I209,MATCH($AD$11,$D$12:$G$12,0)),主线推图!$B$313:$B$612,主线推图!$P$313:$P$612)*OFFSET($C$1,MATCH(AD$12,$C$2:$C$7,0),MATCH($AD$11,$D$12:$G$12,0))</f>
        <v>#N/A</v>
      </c>
      <c r="AE209" s="163" t="e">
        <f ca="1">_xlfn.XLOOKUP(OFFSET($C$12,$I209,MATCH($AD$11,$D$12:$G$12,0)),巡逻产出!$B$311:$B$610,巡逻产出!$R$311:$R$610)*OFFSET($C$1,MATCH(AE$12,$C$2:$C$7,0),MATCH($AD$11,$D$12:$G$12,0))</f>
        <v>#N/A</v>
      </c>
      <c r="AF209" s="163" t="e">
        <f ca="1">_xlfn.XLOOKUP(MAX(INT((OFFSET($C$12,$I209,MATCH($AD$11,$D$12:$G$12,0))-6)/10),1),组队产出!$B$25:$B$39,组队产出!$P$25:$P$39)*OFFSET($C$1,MATCH(AF$12,$C$2:$C$7,0),MATCH($AD$11,$D$12:$G$12,0))</f>
        <v>#N/A</v>
      </c>
      <c r="AG209" s="163">
        <f ca="1">竞技场!$G$3*OFFSET($C$1,MATCH(AG$12,$C$2:$C$7,0),MATCH($AD$11,$D$12:$G$12,0))</f>
        <v>3150</v>
      </c>
      <c r="AH20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9" s="23">
        <f>任务!$G$6+任务!$G$9+IF(MOD(AC209,7)=0,任务!$N$9+任务!$O$6,0)</f>
        <v>895</v>
      </c>
      <c r="AJ209" s="25">
        <f>公会!$U$11</f>
        <v>2766.62857142857</v>
      </c>
      <c r="AK209" s="163" t="e">
        <f ca="1">_xlfn.XLOOKUP(OFFSET($C$12,$I209,MATCH($AD$11,$D$12:$G$12,0)),巡逻产出!$B$311:$B$610,巡逻产出!$Q$311:$Q$610)*OFFSET($C$1,MATCH(AK$12,$C$2:$C$7,0),MATCH($AD$11,$D$12:$G$12,0))</f>
        <v>#N/A</v>
      </c>
      <c r="AM209" s="164">
        <v>197</v>
      </c>
      <c r="AN209" s="165">
        <f t="shared" si="29"/>
        <v>23061</v>
      </c>
      <c r="AO209" s="165">
        <f t="shared" si="30"/>
        <v>28917</v>
      </c>
      <c r="AP209" s="165">
        <f t="shared" si="31"/>
        <v>45842</v>
      </c>
      <c r="AQ209" s="165">
        <f t="shared" si="32"/>
        <v>60328</v>
      </c>
    </row>
    <row r="210" spans="3:43">
      <c r="C210" s="160">
        <v>198</v>
      </c>
      <c r="D210" s="169">
        <v>171</v>
      </c>
      <c r="E210" s="170">
        <f t="shared" si="27"/>
        <v>124.25</v>
      </c>
      <c r="F210" s="169">
        <f t="shared" si="28"/>
        <v>146.149999999999</v>
      </c>
      <c r="G210" s="163">
        <f t="shared" ref="G210:G241" si="33">G209+0.5</f>
        <v>222</v>
      </c>
      <c r="I210" s="160">
        <v>198</v>
      </c>
      <c r="J210" s="163" t="e">
        <f ca="1">_xlfn.XLOOKUP(OFFSET($C$12,$I210,MATCH($J$11,$D$12:$G$12,0)),主线推图!$B$313:$B$612,主线推图!$P$313:$P$612)*OFFSET($C$1,MATCH(J$12,$C$2:$C$7,0),MATCH($J$11,$D$12:$G$12,0))</f>
        <v>#N/A</v>
      </c>
      <c r="K210" s="163" t="e">
        <f ca="1">_xlfn.XLOOKUP(OFFSET($C$12,$I210,MATCH($J$11,$D$12:$G$12,0)),巡逻产出!$B$311:$B$610,巡逻产出!$R$311:$R$610)*OFFSET($C$1,MATCH(K$12,$C$2:$C$7,0),MATCH($J$11,$D$12:$G$12,0))</f>
        <v>#N/A</v>
      </c>
      <c r="L210" s="163">
        <f ca="1">_xlfn.XLOOKUP(MAX(INT((OFFSET($C$12,$I210,MATCH($J$11,$D$12:$G$12,0))-6)/10),1),组队产出!$B$25:$B$39,组队产出!$P$25:$P$39)*OFFSET($C$1,MATCH(L$12,$C$2:$C$7,0),MATCH($J$11,$D$12:$G$12,0))</f>
        <v>1124.4</v>
      </c>
      <c r="M210" s="163">
        <f ca="1">竞技场!$G$3*OFFSET($C$1,MATCH(M$12,$C$2:$C$7,0),MATCH($J$11,$D$12:$G$12,0))</f>
        <v>1050</v>
      </c>
      <c r="N21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0" s="23">
        <f>任务!$G$6+任务!$G$9+IF(MOD(I210,7)=0,任务!$N$9+任务!$O$6,0)</f>
        <v>895</v>
      </c>
      <c r="P210" s="25">
        <f>公会!$U$11</f>
        <v>2766.62857142857</v>
      </c>
      <c r="Q210" s="163" t="e">
        <f ca="1">_xlfn.XLOOKUP(OFFSET($C$12,$I210,MATCH($J$11,$D$12:$G$12,0)),巡逻产出!$B$311:$B$610,巡逻产出!$Q$311:$Q$610)*OFFSET($C$1,MATCH(Q$12,$C$2:$C$7,0),MATCH($J$11,$D$12:$G$12,0))</f>
        <v>#N/A</v>
      </c>
      <c r="S210" s="160">
        <v>198</v>
      </c>
      <c r="T210" s="163" t="e">
        <f ca="1">_xlfn.XLOOKUP(OFFSET($C$12,$I210,MATCH($T$11,$D$12:$G$12,0)),主线推图!$B$313:$B$612,主线推图!$P$313:$P$612)*OFFSET($C$1,MATCH(T$12,$C$2:$C$7,0),MATCH($T$11,$D$12:$G$12,0))</f>
        <v>#N/A</v>
      </c>
      <c r="U210" s="163" t="e">
        <f ca="1">_xlfn.XLOOKUP(OFFSET($C$12,$I210,MATCH($T$11,$D$12:$G$12,0)),巡逻产出!$B$311:$B$610,巡逻产出!$R$311:$R$610)*OFFSET($C$1,MATCH(U$12,$C$2:$C$7,0),MATCH($T$11,$D$12:$G$12,0))</f>
        <v>#N/A</v>
      </c>
      <c r="V210" s="163">
        <f ca="1">_xlfn.XLOOKUP(MAX(INT((OFFSET($C$12,$I210,MATCH($T$11,$D$12:$G$12,0))-6)/10),1),组队产出!$B$25:$B$39,组队产出!$P$25:$P$39)*OFFSET($C$1,MATCH(V$12,$C$2:$C$7,0),MATCH($T$11,$D$12:$G$12,0))</f>
        <v>2308.8</v>
      </c>
      <c r="W210" s="163">
        <f ca="1">竞技场!$G$3*OFFSET($C$1,MATCH(W$12,$C$2:$C$7,0),MATCH($T$11,$D$12:$G$12,0))</f>
        <v>2100</v>
      </c>
      <c r="X21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0" s="23">
        <f>任务!$G$6+任务!$G$9+IF(MOD(S210,7)=0,任务!$N$9+任务!$O$6,0)</f>
        <v>895</v>
      </c>
      <c r="Z210" s="25">
        <f>公会!$U$11</f>
        <v>2766.62857142857</v>
      </c>
      <c r="AA210" s="163" t="e">
        <f ca="1">_xlfn.XLOOKUP(OFFSET($C$12,$I210,MATCH($T$11,$D$12:$G$12,0)),巡逻产出!$B$311:$B$610,巡逻产出!$Q$311:$Q$610)*OFFSET($C$1,MATCH(AA$12,$C$2:$C$7,0),MATCH($T$11,$D$12:$G$12,0))</f>
        <v>#N/A</v>
      </c>
      <c r="AC210" s="160">
        <v>198</v>
      </c>
      <c r="AD210" s="163">
        <f ca="1">_xlfn.XLOOKUP(OFFSET($C$12,$I210,MATCH($AD$11,$D$12:$G$12,0)),主线推图!$B$313:$B$612,主线推图!$P$313:$P$612)*OFFSET($C$1,MATCH(AD$12,$C$2:$C$7,0),MATCH($AD$11,$D$12:$G$12,0))</f>
        <v>3434.2</v>
      </c>
      <c r="AE210" s="163">
        <f ca="1">_xlfn.XLOOKUP(OFFSET($C$12,$I210,MATCH($AD$11,$D$12:$G$12,0)),巡逻产出!$B$311:$B$610,巡逻产出!$R$311:$R$610)*OFFSET($C$1,MATCH(AE$12,$C$2:$C$7,0),MATCH($AD$11,$D$12:$G$12,0))</f>
        <v>0</v>
      </c>
      <c r="AF210" s="163" t="e">
        <f ca="1">_xlfn.XLOOKUP(MAX(INT((OFFSET($C$12,$I210,MATCH($AD$11,$D$12:$G$12,0))-6)/10),1),组队产出!$B$25:$B$39,组队产出!$P$25:$P$39)*OFFSET($C$1,MATCH(AF$12,$C$2:$C$7,0),MATCH($AD$11,$D$12:$G$12,0))</f>
        <v>#N/A</v>
      </c>
      <c r="AG210" s="163">
        <f ca="1">竞技场!$G$3*OFFSET($C$1,MATCH(AG$12,$C$2:$C$7,0),MATCH($AD$11,$D$12:$G$12,0))</f>
        <v>3150</v>
      </c>
      <c r="AH21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0" s="23">
        <f>任务!$G$6+任务!$G$9+IF(MOD(AC210,7)=0,任务!$N$9+任务!$O$6,0)</f>
        <v>895</v>
      </c>
      <c r="AJ210" s="25">
        <f>公会!$U$11</f>
        <v>2766.62857142857</v>
      </c>
      <c r="AK210" s="163">
        <f ca="1">_xlfn.XLOOKUP(OFFSET($C$12,$I210,MATCH($AD$11,$D$12:$G$12,0)),巡逻产出!$B$311:$B$610,巡逻产出!$Q$311:$Q$610)*OFFSET($C$1,MATCH(AK$12,$C$2:$C$7,0),MATCH($AD$11,$D$12:$G$12,0))</f>
        <v>2377.128</v>
      </c>
      <c r="AM210" s="164">
        <v>198</v>
      </c>
      <c r="AN210" s="165">
        <f t="shared" si="29"/>
        <v>23174</v>
      </c>
      <c r="AO210" s="165">
        <f t="shared" si="30"/>
        <v>29060</v>
      </c>
      <c r="AP210" s="165">
        <f t="shared" si="31"/>
        <v>46070</v>
      </c>
      <c r="AQ210" s="165">
        <f t="shared" si="32"/>
        <v>60630</v>
      </c>
    </row>
    <row r="211" spans="3:43">
      <c r="C211" s="160">
        <v>199</v>
      </c>
      <c r="D211" s="169">
        <v>172</v>
      </c>
      <c r="E211" s="170">
        <f t="shared" si="27"/>
        <v>124.5</v>
      </c>
      <c r="F211" s="169">
        <f t="shared" si="28"/>
        <v>146.499999999999</v>
      </c>
      <c r="G211" s="163">
        <f t="shared" si="33"/>
        <v>222.5</v>
      </c>
      <c r="I211" s="160">
        <v>199</v>
      </c>
      <c r="J211" s="163" t="e">
        <f ca="1">_xlfn.XLOOKUP(OFFSET($C$12,$I211,MATCH($J$11,$D$12:$G$12,0)),主线推图!$B$313:$B$612,主线推图!$P$313:$P$612)*OFFSET($C$1,MATCH(J$12,$C$2:$C$7,0),MATCH($J$11,$D$12:$G$12,0))</f>
        <v>#N/A</v>
      </c>
      <c r="K211" s="163" t="e">
        <f ca="1">_xlfn.XLOOKUP(OFFSET($C$12,$I211,MATCH($J$11,$D$12:$G$12,0)),巡逻产出!$B$311:$B$610,巡逻产出!$R$311:$R$610)*OFFSET($C$1,MATCH(K$12,$C$2:$C$7,0),MATCH($J$11,$D$12:$G$12,0))</f>
        <v>#N/A</v>
      </c>
      <c r="L211" s="163">
        <f ca="1">_xlfn.XLOOKUP(MAX(INT((OFFSET($C$12,$I211,MATCH($J$11,$D$12:$G$12,0))-6)/10),1),组队产出!$B$25:$B$39,组队产出!$P$25:$P$39)*OFFSET($C$1,MATCH(L$12,$C$2:$C$7,0),MATCH($J$11,$D$12:$G$12,0))</f>
        <v>1124.4</v>
      </c>
      <c r="M211" s="163">
        <f ca="1">竞技场!$G$3*OFFSET($C$1,MATCH(M$12,$C$2:$C$7,0),MATCH($J$11,$D$12:$G$12,0))</f>
        <v>1050</v>
      </c>
      <c r="N21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1" s="23">
        <f>任务!$G$6+任务!$G$9+IF(MOD(I211,7)=0,任务!$N$9+任务!$O$6,0)</f>
        <v>895</v>
      </c>
      <c r="P211" s="25">
        <f>公会!$U$11</f>
        <v>2766.62857142857</v>
      </c>
      <c r="Q211" s="163" t="e">
        <f ca="1">_xlfn.XLOOKUP(OFFSET($C$12,$I211,MATCH($J$11,$D$12:$G$12,0)),巡逻产出!$B$311:$B$610,巡逻产出!$Q$311:$Q$610)*OFFSET($C$1,MATCH(Q$12,$C$2:$C$7,0),MATCH($J$11,$D$12:$G$12,0))</f>
        <v>#N/A</v>
      </c>
      <c r="S211" s="160">
        <v>199</v>
      </c>
      <c r="T211" s="163" t="e">
        <f ca="1">_xlfn.XLOOKUP(OFFSET($C$12,$I211,MATCH($T$11,$D$12:$G$12,0)),主线推图!$B$313:$B$612,主线推图!$P$313:$P$612)*OFFSET($C$1,MATCH(T$12,$C$2:$C$7,0),MATCH($T$11,$D$12:$G$12,0))</f>
        <v>#N/A</v>
      </c>
      <c r="U211" s="163" t="e">
        <f ca="1">_xlfn.XLOOKUP(OFFSET($C$12,$I211,MATCH($T$11,$D$12:$G$12,0)),巡逻产出!$B$311:$B$610,巡逻产出!$R$311:$R$610)*OFFSET($C$1,MATCH(U$12,$C$2:$C$7,0),MATCH($T$11,$D$12:$G$12,0))</f>
        <v>#N/A</v>
      </c>
      <c r="V211" s="163">
        <f ca="1">_xlfn.XLOOKUP(MAX(INT((OFFSET($C$12,$I211,MATCH($T$11,$D$12:$G$12,0))-6)/10),1),组队产出!$B$25:$B$39,组队产出!$P$25:$P$39)*OFFSET($C$1,MATCH(V$12,$C$2:$C$7,0),MATCH($T$11,$D$12:$G$12,0))</f>
        <v>2308.8</v>
      </c>
      <c r="W211" s="163">
        <f ca="1">竞技场!$G$3*OFFSET($C$1,MATCH(W$12,$C$2:$C$7,0),MATCH($T$11,$D$12:$G$12,0))</f>
        <v>2100</v>
      </c>
      <c r="X21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1" s="23">
        <f>任务!$G$6+任务!$G$9+IF(MOD(S211,7)=0,任务!$N$9+任务!$O$6,0)</f>
        <v>895</v>
      </c>
      <c r="Z211" s="25">
        <f>公会!$U$11</f>
        <v>2766.62857142857</v>
      </c>
      <c r="AA211" s="163" t="e">
        <f ca="1">_xlfn.XLOOKUP(OFFSET($C$12,$I211,MATCH($T$11,$D$12:$G$12,0)),巡逻产出!$B$311:$B$610,巡逻产出!$Q$311:$Q$610)*OFFSET($C$1,MATCH(AA$12,$C$2:$C$7,0),MATCH($T$11,$D$12:$G$12,0))</f>
        <v>#N/A</v>
      </c>
      <c r="AC211" s="160">
        <v>199</v>
      </c>
      <c r="AD211" s="163" t="e">
        <f ca="1">_xlfn.XLOOKUP(OFFSET($C$12,$I211,MATCH($AD$11,$D$12:$G$12,0)),主线推图!$B$313:$B$612,主线推图!$P$313:$P$612)*OFFSET($C$1,MATCH(AD$12,$C$2:$C$7,0),MATCH($AD$11,$D$12:$G$12,0))</f>
        <v>#N/A</v>
      </c>
      <c r="AE211" s="163" t="e">
        <f ca="1">_xlfn.XLOOKUP(OFFSET($C$12,$I211,MATCH($AD$11,$D$12:$G$12,0)),巡逻产出!$B$311:$B$610,巡逻产出!$R$311:$R$610)*OFFSET($C$1,MATCH(AE$12,$C$2:$C$7,0),MATCH($AD$11,$D$12:$G$12,0))</f>
        <v>#N/A</v>
      </c>
      <c r="AF211" s="163" t="e">
        <f ca="1">_xlfn.XLOOKUP(MAX(INT((OFFSET($C$12,$I211,MATCH($AD$11,$D$12:$G$12,0))-6)/10),1),组队产出!$B$25:$B$39,组队产出!$P$25:$P$39)*OFFSET($C$1,MATCH(AF$12,$C$2:$C$7,0),MATCH($AD$11,$D$12:$G$12,0))</f>
        <v>#N/A</v>
      </c>
      <c r="AG211" s="163">
        <f ca="1">竞技场!$G$3*OFFSET($C$1,MATCH(AG$12,$C$2:$C$7,0),MATCH($AD$11,$D$12:$G$12,0))</f>
        <v>3150</v>
      </c>
      <c r="AH21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1" s="23">
        <f>任务!$G$6+任务!$G$9+IF(MOD(AC211,7)=0,任务!$N$9+任务!$O$6,0)</f>
        <v>895</v>
      </c>
      <c r="AJ211" s="25">
        <f>公会!$U$11</f>
        <v>2766.62857142857</v>
      </c>
      <c r="AK211" s="163" t="e">
        <f ca="1">_xlfn.XLOOKUP(OFFSET($C$12,$I211,MATCH($AD$11,$D$12:$G$12,0)),巡逻产出!$B$311:$B$610,巡逻产出!$Q$311:$Q$610)*OFFSET($C$1,MATCH(AK$12,$C$2:$C$7,0),MATCH($AD$11,$D$12:$G$12,0))</f>
        <v>#N/A</v>
      </c>
      <c r="AM211" s="164">
        <v>199</v>
      </c>
      <c r="AN211" s="165">
        <f t="shared" si="29"/>
        <v>23288</v>
      </c>
      <c r="AO211" s="165">
        <f t="shared" si="30"/>
        <v>29203</v>
      </c>
      <c r="AP211" s="165">
        <f t="shared" si="31"/>
        <v>46299</v>
      </c>
      <c r="AQ211" s="165">
        <f t="shared" si="32"/>
        <v>60932</v>
      </c>
    </row>
    <row r="212" spans="3:43">
      <c r="C212" s="160">
        <v>200</v>
      </c>
      <c r="D212" s="169">
        <v>172</v>
      </c>
      <c r="E212" s="170">
        <f t="shared" si="27"/>
        <v>124.75</v>
      </c>
      <c r="F212" s="169">
        <f t="shared" si="28"/>
        <v>146.849999999999</v>
      </c>
      <c r="G212" s="163">
        <f t="shared" si="33"/>
        <v>223</v>
      </c>
      <c r="I212" s="160">
        <v>200</v>
      </c>
      <c r="J212" s="163" t="e">
        <f ca="1">_xlfn.XLOOKUP(OFFSET($C$12,$I212,MATCH($J$11,$D$12:$G$12,0)),主线推图!$B$313:$B$612,主线推图!$P$313:$P$612)*OFFSET($C$1,MATCH(J$12,$C$2:$C$7,0),MATCH($J$11,$D$12:$G$12,0))</f>
        <v>#N/A</v>
      </c>
      <c r="K212" s="163" t="e">
        <f ca="1">_xlfn.XLOOKUP(OFFSET($C$12,$I212,MATCH($J$11,$D$12:$G$12,0)),巡逻产出!$B$311:$B$610,巡逻产出!$R$311:$R$610)*OFFSET($C$1,MATCH(K$12,$C$2:$C$7,0),MATCH($J$11,$D$12:$G$12,0))</f>
        <v>#N/A</v>
      </c>
      <c r="L212" s="163">
        <f ca="1">_xlfn.XLOOKUP(MAX(INT((OFFSET($C$12,$I212,MATCH($J$11,$D$12:$G$12,0))-6)/10),1),组队产出!$B$25:$B$39,组队产出!$P$25:$P$39)*OFFSET($C$1,MATCH(L$12,$C$2:$C$7,0),MATCH($J$11,$D$12:$G$12,0))</f>
        <v>1124.4</v>
      </c>
      <c r="M212" s="163">
        <f ca="1">竞技场!$G$3*OFFSET($C$1,MATCH(M$12,$C$2:$C$7,0),MATCH($J$11,$D$12:$G$12,0))</f>
        <v>1050</v>
      </c>
      <c r="N21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2" s="23">
        <f>任务!$G$6+任务!$G$9+IF(MOD(I212,7)=0,任务!$N$9+任务!$O$6,0)</f>
        <v>895</v>
      </c>
      <c r="P212" s="25">
        <f>公会!$U$11</f>
        <v>2766.62857142857</v>
      </c>
      <c r="Q212" s="163" t="e">
        <f ca="1">_xlfn.XLOOKUP(OFFSET($C$12,$I212,MATCH($J$11,$D$12:$G$12,0)),巡逻产出!$B$311:$B$610,巡逻产出!$Q$311:$Q$610)*OFFSET($C$1,MATCH(Q$12,$C$2:$C$7,0),MATCH($J$11,$D$12:$G$12,0))</f>
        <v>#N/A</v>
      </c>
      <c r="S212" s="160">
        <v>200</v>
      </c>
      <c r="T212" s="163" t="e">
        <f ca="1">_xlfn.XLOOKUP(OFFSET($C$12,$I212,MATCH($T$11,$D$12:$G$12,0)),主线推图!$B$313:$B$612,主线推图!$P$313:$P$612)*OFFSET($C$1,MATCH(T$12,$C$2:$C$7,0),MATCH($T$11,$D$12:$G$12,0))</f>
        <v>#N/A</v>
      </c>
      <c r="U212" s="163" t="e">
        <f ca="1">_xlfn.XLOOKUP(OFFSET($C$12,$I212,MATCH($T$11,$D$12:$G$12,0)),巡逻产出!$B$311:$B$610,巡逻产出!$R$311:$R$610)*OFFSET($C$1,MATCH(U$12,$C$2:$C$7,0),MATCH($T$11,$D$12:$G$12,0))</f>
        <v>#N/A</v>
      </c>
      <c r="V212" s="163">
        <f ca="1">_xlfn.XLOOKUP(MAX(INT((OFFSET($C$12,$I212,MATCH($T$11,$D$12:$G$12,0))-6)/10),1),组队产出!$B$25:$B$39,组队产出!$P$25:$P$39)*OFFSET($C$1,MATCH(V$12,$C$2:$C$7,0),MATCH($T$11,$D$12:$G$12,0))</f>
        <v>2308.8</v>
      </c>
      <c r="W212" s="163">
        <f ca="1">竞技场!$G$3*OFFSET($C$1,MATCH(W$12,$C$2:$C$7,0),MATCH($T$11,$D$12:$G$12,0))</f>
        <v>2100</v>
      </c>
      <c r="X21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2" s="23">
        <f>任务!$G$6+任务!$G$9+IF(MOD(S212,7)=0,任务!$N$9+任务!$O$6,0)</f>
        <v>895</v>
      </c>
      <c r="Z212" s="25">
        <f>公会!$U$11</f>
        <v>2766.62857142857</v>
      </c>
      <c r="AA212" s="163" t="e">
        <f ca="1">_xlfn.XLOOKUP(OFFSET($C$12,$I212,MATCH($T$11,$D$12:$G$12,0)),巡逻产出!$B$311:$B$610,巡逻产出!$Q$311:$Q$610)*OFFSET($C$1,MATCH(AA$12,$C$2:$C$7,0),MATCH($T$11,$D$12:$G$12,0))</f>
        <v>#N/A</v>
      </c>
      <c r="AC212" s="160">
        <v>200</v>
      </c>
      <c r="AD212" s="163">
        <f ca="1">_xlfn.XLOOKUP(OFFSET($C$12,$I212,MATCH($AD$11,$D$12:$G$12,0)),主线推图!$B$313:$B$612,主线推图!$P$313:$P$612)*OFFSET($C$1,MATCH(AD$12,$C$2:$C$7,0),MATCH($AD$11,$D$12:$G$12,0))</f>
        <v>3436.4</v>
      </c>
      <c r="AE212" s="163">
        <f ca="1">_xlfn.XLOOKUP(OFFSET($C$12,$I212,MATCH($AD$11,$D$12:$G$12,0)),巡逻产出!$B$311:$B$610,巡逻产出!$R$311:$R$610)*OFFSET($C$1,MATCH(AE$12,$C$2:$C$7,0),MATCH($AD$11,$D$12:$G$12,0))</f>
        <v>0</v>
      </c>
      <c r="AF212" s="163" t="e">
        <f ca="1">_xlfn.XLOOKUP(MAX(INT((OFFSET($C$12,$I212,MATCH($AD$11,$D$12:$G$12,0))-6)/10),1),组队产出!$B$25:$B$39,组队产出!$P$25:$P$39)*OFFSET($C$1,MATCH(AF$12,$C$2:$C$7,0),MATCH($AD$11,$D$12:$G$12,0))</f>
        <v>#N/A</v>
      </c>
      <c r="AG212" s="163">
        <f ca="1">竞技场!$G$3*OFFSET($C$1,MATCH(AG$12,$C$2:$C$7,0),MATCH($AD$11,$D$12:$G$12,0))</f>
        <v>3150</v>
      </c>
      <c r="AH21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2" s="23">
        <f>任务!$G$6+任务!$G$9+IF(MOD(AC212,7)=0,任务!$N$9+任务!$O$6,0)</f>
        <v>895</v>
      </c>
      <c r="AJ212" s="25">
        <f>公会!$U$11</f>
        <v>2766.62857142857</v>
      </c>
      <c r="AK212" s="163">
        <f ca="1">_xlfn.XLOOKUP(OFFSET($C$12,$I212,MATCH($AD$11,$D$12:$G$12,0)),巡逻产出!$B$311:$B$610,巡逻产出!$Q$311:$Q$610)*OFFSET($C$1,MATCH(AK$12,$C$2:$C$7,0),MATCH($AD$11,$D$12:$G$12,0))</f>
        <v>2378.688</v>
      </c>
      <c r="AM212" s="164">
        <v>200</v>
      </c>
      <c r="AN212" s="165">
        <f t="shared" si="29"/>
        <v>23401</v>
      </c>
      <c r="AO212" s="165">
        <f t="shared" si="30"/>
        <v>29346</v>
      </c>
      <c r="AP212" s="165">
        <f t="shared" si="31"/>
        <v>46527</v>
      </c>
      <c r="AQ212" s="165">
        <f t="shared" si="32"/>
        <v>61234</v>
      </c>
    </row>
    <row r="213" spans="3:43">
      <c r="C213" s="160">
        <v>201</v>
      </c>
      <c r="D213" s="169">
        <v>172</v>
      </c>
      <c r="E213" s="170">
        <f t="shared" si="27"/>
        <v>125</v>
      </c>
      <c r="F213" s="169">
        <f t="shared" si="28"/>
        <v>147.199999999999</v>
      </c>
      <c r="G213" s="163">
        <f t="shared" si="33"/>
        <v>223.5</v>
      </c>
      <c r="I213" s="160">
        <v>201</v>
      </c>
      <c r="J213" s="163" t="e">
        <f ca="1">_xlfn.XLOOKUP(OFFSET($C$12,$I213,MATCH($J$11,$D$12:$G$12,0)),主线推图!$B$313:$B$612,主线推图!$P$313:$P$612)*OFFSET($C$1,MATCH(J$12,$C$2:$C$7,0),MATCH($J$11,$D$12:$G$12,0))</f>
        <v>#N/A</v>
      </c>
      <c r="K213" s="163" t="e">
        <f ca="1">_xlfn.XLOOKUP(OFFSET($C$12,$I213,MATCH($J$11,$D$12:$G$12,0)),巡逻产出!$B$311:$B$610,巡逻产出!$R$311:$R$610)*OFFSET($C$1,MATCH(K$12,$C$2:$C$7,0),MATCH($J$11,$D$12:$G$12,0))</f>
        <v>#N/A</v>
      </c>
      <c r="L213" s="163">
        <f ca="1">_xlfn.XLOOKUP(MAX(INT((OFFSET($C$12,$I213,MATCH($J$11,$D$12:$G$12,0))-6)/10),1),组队产出!$B$25:$B$39,组队产出!$P$25:$P$39)*OFFSET($C$1,MATCH(L$12,$C$2:$C$7,0),MATCH($J$11,$D$12:$G$12,0))</f>
        <v>1124.4</v>
      </c>
      <c r="M213" s="163">
        <f ca="1">竞技场!$G$3*OFFSET($C$1,MATCH(M$12,$C$2:$C$7,0),MATCH($J$11,$D$12:$G$12,0))</f>
        <v>1050</v>
      </c>
      <c r="N21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3" s="23">
        <f>任务!$G$6+任务!$G$9+IF(MOD(I213,7)=0,任务!$N$9+任务!$O$6,0)</f>
        <v>895</v>
      </c>
      <c r="P213" s="25">
        <f>公会!$U$11</f>
        <v>2766.62857142857</v>
      </c>
      <c r="Q213" s="163" t="e">
        <f ca="1">_xlfn.XLOOKUP(OFFSET($C$12,$I213,MATCH($J$11,$D$12:$G$12,0)),巡逻产出!$B$311:$B$610,巡逻产出!$Q$311:$Q$610)*OFFSET($C$1,MATCH(Q$12,$C$2:$C$7,0),MATCH($J$11,$D$12:$G$12,0))</f>
        <v>#N/A</v>
      </c>
      <c r="S213" s="160">
        <v>201</v>
      </c>
      <c r="T213" s="163" t="e">
        <f ca="1">_xlfn.XLOOKUP(OFFSET($C$12,$I213,MATCH($T$11,$D$12:$G$12,0)),主线推图!$B$313:$B$612,主线推图!$P$313:$P$612)*OFFSET($C$1,MATCH(T$12,$C$2:$C$7,0),MATCH($T$11,$D$12:$G$12,0))</f>
        <v>#N/A</v>
      </c>
      <c r="U213" s="163" t="e">
        <f ca="1">_xlfn.XLOOKUP(OFFSET($C$12,$I213,MATCH($T$11,$D$12:$G$12,0)),巡逻产出!$B$311:$B$610,巡逻产出!$R$311:$R$610)*OFFSET($C$1,MATCH(U$12,$C$2:$C$7,0),MATCH($T$11,$D$12:$G$12,0))</f>
        <v>#N/A</v>
      </c>
      <c r="V213" s="163">
        <f ca="1">_xlfn.XLOOKUP(MAX(INT((OFFSET($C$12,$I213,MATCH($T$11,$D$12:$G$12,0))-6)/10),1),组队产出!$B$25:$B$39,组队产出!$P$25:$P$39)*OFFSET($C$1,MATCH(V$12,$C$2:$C$7,0),MATCH($T$11,$D$12:$G$12,0))</f>
        <v>2308.8</v>
      </c>
      <c r="W213" s="163">
        <f ca="1">竞技场!$G$3*OFFSET($C$1,MATCH(W$12,$C$2:$C$7,0),MATCH($T$11,$D$12:$G$12,0))</f>
        <v>2100</v>
      </c>
      <c r="X21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3" s="23">
        <f>任务!$G$6+任务!$G$9+IF(MOD(S213,7)=0,任务!$N$9+任务!$O$6,0)</f>
        <v>895</v>
      </c>
      <c r="Z213" s="25">
        <f>公会!$U$11</f>
        <v>2766.62857142857</v>
      </c>
      <c r="AA213" s="163" t="e">
        <f ca="1">_xlfn.XLOOKUP(OFFSET($C$12,$I213,MATCH($T$11,$D$12:$G$12,0)),巡逻产出!$B$311:$B$610,巡逻产出!$Q$311:$Q$610)*OFFSET($C$1,MATCH(AA$12,$C$2:$C$7,0),MATCH($T$11,$D$12:$G$12,0))</f>
        <v>#N/A</v>
      </c>
      <c r="AC213" s="160">
        <v>201</v>
      </c>
      <c r="AD213" s="163" t="e">
        <f ca="1">_xlfn.XLOOKUP(OFFSET($C$12,$I213,MATCH($AD$11,$D$12:$G$12,0)),主线推图!$B$313:$B$612,主线推图!$P$313:$P$612)*OFFSET($C$1,MATCH(AD$12,$C$2:$C$7,0),MATCH($AD$11,$D$12:$G$12,0))</f>
        <v>#N/A</v>
      </c>
      <c r="AE213" s="163" t="e">
        <f ca="1">_xlfn.XLOOKUP(OFFSET($C$12,$I213,MATCH($AD$11,$D$12:$G$12,0)),巡逻产出!$B$311:$B$610,巡逻产出!$R$311:$R$610)*OFFSET($C$1,MATCH(AE$12,$C$2:$C$7,0),MATCH($AD$11,$D$12:$G$12,0))</f>
        <v>#N/A</v>
      </c>
      <c r="AF213" s="163" t="e">
        <f ca="1">_xlfn.XLOOKUP(MAX(INT((OFFSET($C$12,$I213,MATCH($AD$11,$D$12:$G$12,0))-6)/10),1),组队产出!$B$25:$B$39,组队产出!$P$25:$P$39)*OFFSET($C$1,MATCH(AF$12,$C$2:$C$7,0),MATCH($AD$11,$D$12:$G$12,0))</f>
        <v>#N/A</v>
      </c>
      <c r="AG213" s="163">
        <f ca="1">竞技场!$G$3*OFFSET($C$1,MATCH(AG$12,$C$2:$C$7,0),MATCH($AD$11,$D$12:$G$12,0))</f>
        <v>3150</v>
      </c>
      <c r="AH21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3" s="23">
        <f>任务!$G$6+任务!$G$9+IF(MOD(AC213,7)=0,任务!$N$9+任务!$O$6,0)</f>
        <v>895</v>
      </c>
      <c r="AJ213" s="25">
        <f>公会!$U$11</f>
        <v>2766.62857142857</v>
      </c>
      <c r="AK213" s="163" t="e">
        <f ca="1">_xlfn.XLOOKUP(OFFSET($C$12,$I213,MATCH($AD$11,$D$12:$G$12,0)),巡逻产出!$B$311:$B$610,巡逻产出!$Q$311:$Q$610)*OFFSET($C$1,MATCH(AK$12,$C$2:$C$7,0),MATCH($AD$11,$D$12:$G$12,0))</f>
        <v>#N/A</v>
      </c>
      <c r="AM213" s="164">
        <v>201</v>
      </c>
      <c r="AN213" s="165">
        <f t="shared" si="29"/>
        <v>23515</v>
      </c>
      <c r="AO213" s="165">
        <f t="shared" si="30"/>
        <v>29489</v>
      </c>
      <c r="AP213" s="165">
        <f t="shared" si="31"/>
        <v>46756</v>
      </c>
      <c r="AQ213" s="165">
        <f t="shared" si="32"/>
        <v>61536</v>
      </c>
    </row>
    <row r="214" spans="3:43">
      <c r="C214" s="160">
        <v>202</v>
      </c>
      <c r="D214" s="169">
        <v>172</v>
      </c>
      <c r="E214" s="170">
        <f t="shared" si="27"/>
        <v>125.25</v>
      </c>
      <c r="F214" s="169">
        <f t="shared" si="28"/>
        <v>147.549999999999</v>
      </c>
      <c r="G214" s="163">
        <f t="shared" si="33"/>
        <v>224</v>
      </c>
      <c r="I214" s="160">
        <v>202</v>
      </c>
      <c r="J214" s="163" t="e">
        <f ca="1">_xlfn.XLOOKUP(OFFSET($C$12,$I214,MATCH($J$11,$D$12:$G$12,0)),主线推图!$B$313:$B$612,主线推图!$P$313:$P$612)*OFFSET($C$1,MATCH(J$12,$C$2:$C$7,0),MATCH($J$11,$D$12:$G$12,0))</f>
        <v>#N/A</v>
      </c>
      <c r="K214" s="163" t="e">
        <f ca="1">_xlfn.XLOOKUP(OFFSET($C$12,$I214,MATCH($J$11,$D$12:$G$12,0)),巡逻产出!$B$311:$B$610,巡逻产出!$R$311:$R$610)*OFFSET($C$1,MATCH(K$12,$C$2:$C$7,0),MATCH($J$11,$D$12:$G$12,0))</f>
        <v>#N/A</v>
      </c>
      <c r="L214" s="163">
        <f ca="1">_xlfn.XLOOKUP(MAX(INT((OFFSET($C$12,$I214,MATCH($J$11,$D$12:$G$12,0))-6)/10),1),组队产出!$B$25:$B$39,组队产出!$P$25:$P$39)*OFFSET($C$1,MATCH(L$12,$C$2:$C$7,0),MATCH($J$11,$D$12:$G$12,0))</f>
        <v>1124.4</v>
      </c>
      <c r="M214" s="163">
        <f ca="1">竞技场!$G$3*OFFSET($C$1,MATCH(M$12,$C$2:$C$7,0),MATCH($J$11,$D$12:$G$12,0))</f>
        <v>1050</v>
      </c>
      <c r="N21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4" s="23">
        <f>任务!$G$6+任务!$G$9+IF(MOD(I214,7)=0,任务!$N$9+任务!$O$6,0)</f>
        <v>895</v>
      </c>
      <c r="P214" s="25">
        <f>公会!$U$11</f>
        <v>2766.62857142857</v>
      </c>
      <c r="Q214" s="163" t="e">
        <f ca="1">_xlfn.XLOOKUP(OFFSET($C$12,$I214,MATCH($J$11,$D$12:$G$12,0)),巡逻产出!$B$311:$B$610,巡逻产出!$Q$311:$Q$610)*OFFSET($C$1,MATCH(Q$12,$C$2:$C$7,0),MATCH($J$11,$D$12:$G$12,0))</f>
        <v>#N/A</v>
      </c>
      <c r="S214" s="160">
        <v>202</v>
      </c>
      <c r="T214" s="163" t="e">
        <f ca="1">_xlfn.XLOOKUP(OFFSET($C$12,$I214,MATCH($T$11,$D$12:$G$12,0)),主线推图!$B$313:$B$612,主线推图!$P$313:$P$612)*OFFSET($C$1,MATCH(T$12,$C$2:$C$7,0),MATCH($T$11,$D$12:$G$12,0))</f>
        <v>#N/A</v>
      </c>
      <c r="U214" s="163" t="e">
        <f ca="1">_xlfn.XLOOKUP(OFFSET($C$12,$I214,MATCH($T$11,$D$12:$G$12,0)),巡逻产出!$B$311:$B$610,巡逻产出!$R$311:$R$610)*OFFSET($C$1,MATCH(U$12,$C$2:$C$7,0),MATCH($T$11,$D$12:$G$12,0))</f>
        <v>#N/A</v>
      </c>
      <c r="V214" s="163">
        <f ca="1">_xlfn.XLOOKUP(MAX(INT((OFFSET($C$12,$I214,MATCH($T$11,$D$12:$G$12,0))-6)/10),1),组队产出!$B$25:$B$39,组队产出!$P$25:$P$39)*OFFSET($C$1,MATCH(V$12,$C$2:$C$7,0),MATCH($T$11,$D$12:$G$12,0))</f>
        <v>2308.8</v>
      </c>
      <c r="W214" s="163">
        <f ca="1">竞技场!$G$3*OFFSET($C$1,MATCH(W$12,$C$2:$C$7,0),MATCH($T$11,$D$12:$G$12,0))</f>
        <v>2100</v>
      </c>
      <c r="X21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4" s="23">
        <f>任务!$G$6+任务!$G$9+IF(MOD(S214,7)=0,任务!$N$9+任务!$O$6,0)</f>
        <v>895</v>
      </c>
      <c r="Z214" s="25">
        <f>公会!$U$11</f>
        <v>2766.62857142857</v>
      </c>
      <c r="AA214" s="163" t="e">
        <f ca="1">_xlfn.XLOOKUP(OFFSET($C$12,$I214,MATCH($T$11,$D$12:$G$12,0)),巡逻产出!$B$311:$B$610,巡逻产出!$Q$311:$Q$610)*OFFSET($C$1,MATCH(AA$12,$C$2:$C$7,0),MATCH($T$11,$D$12:$G$12,0))</f>
        <v>#N/A</v>
      </c>
      <c r="AC214" s="160">
        <v>202</v>
      </c>
      <c r="AD214" s="163">
        <f ca="1">_xlfn.XLOOKUP(OFFSET($C$12,$I214,MATCH($AD$11,$D$12:$G$12,0)),主线推图!$B$313:$B$612,主线推图!$P$313:$P$612)*OFFSET($C$1,MATCH(AD$12,$C$2:$C$7,0),MATCH($AD$11,$D$12:$G$12,0))</f>
        <v>3438.6</v>
      </c>
      <c r="AE214" s="163">
        <f ca="1">_xlfn.XLOOKUP(OFFSET($C$12,$I214,MATCH($AD$11,$D$12:$G$12,0)),巡逻产出!$B$311:$B$610,巡逻产出!$R$311:$R$610)*OFFSET($C$1,MATCH(AE$12,$C$2:$C$7,0),MATCH($AD$11,$D$12:$G$12,0))</f>
        <v>0</v>
      </c>
      <c r="AF214" s="163" t="e">
        <f ca="1">_xlfn.XLOOKUP(MAX(INT((OFFSET($C$12,$I214,MATCH($AD$11,$D$12:$G$12,0))-6)/10),1),组队产出!$B$25:$B$39,组队产出!$P$25:$P$39)*OFFSET($C$1,MATCH(AF$12,$C$2:$C$7,0),MATCH($AD$11,$D$12:$G$12,0))</f>
        <v>#N/A</v>
      </c>
      <c r="AG214" s="163">
        <f ca="1">竞技场!$G$3*OFFSET($C$1,MATCH(AG$12,$C$2:$C$7,0),MATCH($AD$11,$D$12:$G$12,0))</f>
        <v>3150</v>
      </c>
      <c r="AH21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4" s="23">
        <f>任务!$G$6+任务!$G$9+IF(MOD(AC214,7)=0,任务!$N$9+任务!$O$6,0)</f>
        <v>895</v>
      </c>
      <c r="AJ214" s="25">
        <f>公会!$U$11</f>
        <v>2766.62857142857</v>
      </c>
      <c r="AK214" s="163">
        <f ca="1">_xlfn.XLOOKUP(OFFSET($C$12,$I214,MATCH($AD$11,$D$12:$G$12,0)),巡逻产出!$B$311:$B$610,巡逻产出!$Q$311:$Q$610)*OFFSET($C$1,MATCH(AK$12,$C$2:$C$7,0),MATCH($AD$11,$D$12:$G$12,0))</f>
        <v>2380.248</v>
      </c>
      <c r="AM214" s="164">
        <v>202</v>
      </c>
      <c r="AN214" s="165">
        <f t="shared" si="29"/>
        <v>23628</v>
      </c>
      <c r="AO214" s="165">
        <f t="shared" si="30"/>
        <v>29632</v>
      </c>
      <c r="AP214" s="165">
        <f t="shared" si="31"/>
        <v>46984</v>
      </c>
      <c r="AQ214" s="165">
        <f t="shared" si="32"/>
        <v>61838</v>
      </c>
    </row>
    <row r="215" spans="3:43">
      <c r="C215" s="160">
        <v>203</v>
      </c>
      <c r="D215" s="169">
        <v>172</v>
      </c>
      <c r="E215" s="170">
        <f t="shared" si="27"/>
        <v>125.5</v>
      </c>
      <c r="F215" s="169">
        <f t="shared" si="28"/>
        <v>147.899999999999</v>
      </c>
      <c r="G215" s="163">
        <f t="shared" si="33"/>
        <v>224.5</v>
      </c>
      <c r="I215" s="160">
        <v>203</v>
      </c>
      <c r="J215" s="163" t="e">
        <f ca="1">_xlfn.XLOOKUP(OFFSET($C$12,$I215,MATCH($J$11,$D$12:$G$12,0)),主线推图!$B$313:$B$612,主线推图!$P$313:$P$612)*OFFSET($C$1,MATCH(J$12,$C$2:$C$7,0),MATCH($J$11,$D$12:$G$12,0))</f>
        <v>#N/A</v>
      </c>
      <c r="K215" s="163" t="e">
        <f ca="1">_xlfn.XLOOKUP(OFFSET($C$12,$I215,MATCH($J$11,$D$12:$G$12,0)),巡逻产出!$B$311:$B$610,巡逻产出!$R$311:$R$610)*OFFSET($C$1,MATCH(K$12,$C$2:$C$7,0),MATCH($J$11,$D$12:$G$12,0))</f>
        <v>#N/A</v>
      </c>
      <c r="L215" s="163">
        <f ca="1">_xlfn.XLOOKUP(MAX(INT((OFFSET($C$12,$I215,MATCH($J$11,$D$12:$G$12,0))-6)/10),1),组队产出!$B$25:$B$39,组队产出!$P$25:$P$39)*OFFSET($C$1,MATCH(L$12,$C$2:$C$7,0),MATCH($J$11,$D$12:$G$12,0))</f>
        <v>1124.4</v>
      </c>
      <c r="M215" s="163">
        <f ca="1">竞技场!$G$3*OFFSET($C$1,MATCH(M$12,$C$2:$C$7,0),MATCH($J$11,$D$12:$G$12,0))</f>
        <v>1050</v>
      </c>
      <c r="N21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5" s="23">
        <f>任务!$G$6+任务!$G$9+IF(MOD(I215,7)=0,任务!$N$9+任务!$O$6,0)</f>
        <v>3125</v>
      </c>
      <c r="P215" s="25">
        <f>公会!$U$11</f>
        <v>2766.62857142857</v>
      </c>
      <c r="Q215" s="163" t="e">
        <f ca="1">_xlfn.XLOOKUP(OFFSET($C$12,$I215,MATCH($J$11,$D$12:$G$12,0)),巡逻产出!$B$311:$B$610,巡逻产出!$Q$311:$Q$610)*OFFSET($C$1,MATCH(Q$12,$C$2:$C$7,0),MATCH($J$11,$D$12:$G$12,0))</f>
        <v>#N/A</v>
      </c>
      <c r="S215" s="160">
        <v>203</v>
      </c>
      <c r="T215" s="163" t="e">
        <f ca="1">_xlfn.XLOOKUP(OFFSET($C$12,$I215,MATCH($T$11,$D$12:$G$12,0)),主线推图!$B$313:$B$612,主线推图!$P$313:$P$612)*OFFSET($C$1,MATCH(T$12,$C$2:$C$7,0),MATCH($T$11,$D$12:$G$12,0))</f>
        <v>#N/A</v>
      </c>
      <c r="U215" s="163" t="e">
        <f ca="1">_xlfn.XLOOKUP(OFFSET($C$12,$I215,MATCH($T$11,$D$12:$G$12,0)),巡逻产出!$B$311:$B$610,巡逻产出!$R$311:$R$610)*OFFSET($C$1,MATCH(U$12,$C$2:$C$7,0),MATCH($T$11,$D$12:$G$12,0))</f>
        <v>#N/A</v>
      </c>
      <c r="V215" s="163">
        <f ca="1">_xlfn.XLOOKUP(MAX(INT((OFFSET($C$12,$I215,MATCH($T$11,$D$12:$G$12,0))-6)/10),1),组队产出!$B$25:$B$39,组队产出!$P$25:$P$39)*OFFSET($C$1,MATCH(V$12,$C$2:$C$7,0),MATCH($T$11,$D$12:$G$12,0))</f>
        <v>2308.8</v>
      </c>
      <c r="W215" s="163">
        <f ca="1">竞技场!$G$3*OFFSET($C$1,MATCH(W$12,$C$2:$C$7,0),MATCH($T$11,$D$12:$G$12,0))</f>
        <v>2100</v>
      </c>
      <c r="X21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5" s="23">
        <f>任务!$G$6+任务!$G$9+IF(MOD(S215,7)=0,任务!$N$9+任务!$O$6,0)</f>
        <v>3125</v>
      </c>
      <c r="Z215" s="25">
        <f>公会!$U$11</f>
        <v>2766.62857142857</v>
      </c>
      <c r="AA215" s="163" t="e">
        <f ca="1">_xlfn.XLOOKUP(OFFSET($C$12,$I215,MATCH($T$11,$D$12:$G$12,0)),巡逻产出!$B$311:$B$610,巡逻产出!$Q$311:$Q$610)*OFFSET($C$1,MATCH(AA$12,$C$2:$C$7,0),MATCH($T$11,$D$12:$G$12,0))</f>
        <v>#N/A</v>
      </c>
      <c r="AC215" s="160">
        <v>203</v>
      </c>
      <c r="AD215" s="163" t="e">
        <f ca="1">_xlfn.XLOOKUP(OFFSET($C$12,$I215,MATCH($AD$11,$D$12:$G$12,0)),主线推图!$B$313:$B$612,主线推图!$P$313:$P$612)*OFFSET($C$1,MATCH(AD$12,$C$2:$C$7,0),MATCH($AD$11,$D$12:$G$12,0))</f>
        <v>#N/A</v>
      </c>
      <c r="AE215" s="163" t="e">
        <f ca="1">_xlfn.XLOOKUP(OFFSET($C$12,$I215,MATCH($AD$11,$D$12:$G$12,0)),巡逻产出!$B$311:$B$610,巡逻产出!$R$311:$R$610)*OFFSET($C$1,MATCH(AE$12,$C$2:$C$7,0),MATCH($AD$11,$D$12:$G$12,0))</f>
        <v>#N/A</v>
      </c>
      <c r="AF215" s="163" t="e">
        <f ca="1">_xlfn.XLOOKUP(MAX(INT((OFFSET($C$12,$I215,MATCH($AD$11,$D$12:$G$12,0))-6)/10),1),组队产出!$B$25:$B$39,组队产出!$P$25:$P$39)*OFFSET($C$1,MATCH(AF$12,$C$2:$C$7,0),MATCH($AD$11,$D$12:$G$12,0))</f>
        <v>#N/A</v>
      </c>
      <c r="AG215" s="163">
        <f ca="1">竞技场!$G$3*OFFSET($C$1,MATCH(AG$12,$C$2:$C$7,0),MATCH($AD$11,$D$12:$G$12,0))</f>
        <v>3150</v>
      </c>
      <c r="AH21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5" s="23">
        <f>任务!$G$6+任务!$G$9+IF(MOD(AC215,7)=0,任务!$N$9+任务!$O$6,0)</f>
        <v>3125</v>
      </c>
      <c r="AJ215" s="25">
        <f>公会!$U$11</f>
        <v>2766.62857142857</v>
      </c>
      <c r="AK215" s="163" t="e">
        <f ca="1">_xlfn.XLOOKUP(OFFSET($C$12,$I215,MATCH($AD$11,$D$12:$G$12,0)),巡逻产出!$B$311:$B$610,巡逻产出!$Q$311:$Q$610)*OFFSET($C$1,MATCH(AK$12,$C$2:$C$7,0),MATCH($AD$11,$D$12:$G$12,0))</f>
        <v>#N/A</v>
      </c>
      <c r="AM215" s="164">
        <v>203</v>
      </c>
      <c r="AN215" s="165">
        <f t="shared" si="29"/>
        <v>23742</v>
      </c>
      <c r="AO215" s="165">
        <f t="shared" si="30"/>
        <v>29775</v>
      </c>
      <c r="AP215" s="165">
        <f t="shared" si="31"/>
        <v>47213</v>
      </c>
      <c r="AQ215" s="165">
        <f t="shared" si="32"/>
        <v>62140</v>
      </c>
    </row>
    <row r="216" spans="3:43">
      <c r="C216" s="160">
        <v>204</v>
      </c>
      <c r="D216" s="169">
        <v>172</v>
      </c>
      <c r="E216" s="170">
        <f t="shared" si="27"/>
        <v>125.75</v>
      </c>
      <c r="F216" s="169">
        <f t="shared" si="28"/>
        <v>148.249999999999</v>
      </c>
      <c r="G216" s="163">
        <f t="shared" si="33"/>
        <v>225</v>
      </c>
      <c r="I216" s="160">
        <v>204</v>
      </c>
      <c r="J216" s="163" t="e">
        <f ca="1">_xlfn.XLOOKUP(OFFSET($C$12,$I216,MATCH($J$11,$D$12:$G$12,0)),主线推图!$B$313:$B$612,主线推图!$P$313:$P$612)*OFFSET($C$1,MATCH(J$12,$C$2:$C$7,0),MATCH($J$11,$D$12:$G$12,0))</f>
        <v>#N/A</v>
      </c>
      <c r="K216" s="163" t="e">
        <f ca="1">_xlfn.XLOOKUP(OFFSET($C$12,$I216,MATCH($J$11,$D$12:$G$12,0)),巡逻产出!$B$311:$B$610,巡逻产出!$R$311:$R$610)*OFFSET($C$1,MATCH(K$12,$C$2:$C$7,0),MATCH($J$11,$D$12:$G$12,0))</f>
        <v>#N/A</v>
      </c>
      <c r="L216" s="163">
        <f ca="1">_xlfn.XLOOKUP(MAX(INT((OFFSET($C$12,$I216,MATCH($J$11,$D$12:$G$12,0))-6)/10),1),组队产出!$B$25:$B$39,组队产出!$P$25:$P$39)*OFFSET($C$1,MATCH(L$12,$C$2:$C$7,0),MATCH($J$11,$D$12:$G$12,0))</f>
        <v>1124.4</v>
      </c>
      <c r="M216" s="163">
        <f ca="1">竞技场!$G$3*OFFSET($C$1,MATCH(M$12,$C$2:$C$7,0),MATCH($J$11,$D$12:$G$12,0))</f>
        <v>1050</v>
      </c>
      <c r="N21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6" s="23">
        <f>任务!$G$6+任务!$G$9+IF(MOD(I216,7)=0,任务!$N$9+任务!$O$6,0)</f>
        <v>895</v>
      </c>
      <c r="P216" s="25">
        <f>公会!$U$11</f>
        <v>2766.62857142857</v>
      </c>
      <c r="Q216" s="163" t="e">
        <f ca="1">_xlfn.XLOOKUP(OFFSET($C$12,$I216,MATCH($J$11,$D$12:$G$12,0)),巡逻产出!$B$311:$B$610,巡逻产出!$Q$311:$Q$610)*OFFSET($C$1,MATCH(Q$12,$C$2:$C$7,0),MATCH($J$11,$D$12:$G$12,0))</f>
        <v>#N/A</v>
      </c>
      <c r="S216" s="160">
        <v>204</v>
      </c>
      <c r="T216" s="163" t="e">
        <f ca="1">_xlfn.XLOOKUP(OFFSET($C$12,$I216,MATCH($T$11,$D$12:$G$12,0)),主线推图!$B$313:$B$612,主线推图!$P$313:$P$612)*OFFSET($C$1,MATCH(T$12,$C$2:$C$7,0),MATCH($T$11,$D$12:$G$12,0))</f>
        <v>#N/A</v>
      </c>
      <c r="U216" s="163" t="e">
        <f ca="1">_xlfn.XLOOKUP(OFFSET($C$12,$I216,MATCH($T$11,$D$12:$G$12,0)),巡逻产出!$B$311:$B$610,巡逻产出!$R$311:$R$610)*OFFSET($C$1,MATCH(U$12,$C$2:$C$7,0),MATCH($T$11,$D$12:$G$12,0))</f>
        <v>#N/A</v>
      </c>
      <c r="V216" s="163">
        <f ca="1">_xlfn.XLOOKUP(MAX(INT((OFFSET($C$12,$I216,MATCH($T$11,$D$12:$G$12,0))-6)/10),1),组队产出!$B$25:$B$39,组队产出!$P$25:$P$39)*OFFSET($C$1,MATCH(V$12,$C$2:$C$7,0),MATCH($T$11,$D$12:$G$12,0))</f>
        <v>2308.8</v>
      </c>
      <c r="W216" s="163">
        <f ca="1">竞技场!$G$3*OFFSET($C$1,MATCH(W$12,$C$2:$C$7,0),MATCH($T$11,$D$12:$G$12,0))</f>
        <v>2100</v>
      </c>
      <c r="X21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6" s="23">
        <f>任务!$G$6+任务!$G$9+IF(MOD(S216,7)=0,任务!$N$9+任务!$O$6,0)</f>
        <v>895</v>
      </c>
      <c r="Z216" s="25">
        <f>公会!$U$11</f>
        <v>2766.62857142857</v>
      </c>
      <c r="AA216" s="163" t="e">
        <f ca="1">_xlfn.XLOOKUP(OFFSET($C$12,$I216,MATCH($T$11,$D$12:$G$12,0)),巡逻产出!$B$311:$B$610,巡逻产出!$Q$311:$Q$610)*OFFSET($C$1,MATCH(AA$12,$C$2:$C$7,0),MATCH($T$11,$D$12:$G$12,0))</f>
        <v>#N/A</v>
      </c>
      <c r="AC216" s="160">
        <v>204</v>
      </c>
      <c r="AD216" s="163">
        <f ca="1">_xlfn.XLOOKUP(OFFSET($C$12,$I216,MATCH($AD$11,$D$12:$G$12,0)),主线推图!$B$313:$B$612,主线推图!$P$313:$P$612)*OFFSET($C$1,MATCH(AD$12,$C$2:$C$7,0),MATCH($AD$11,$D$12:$G$12,0))</f>
        <v>3440.8</v>
      </c>
      <c r="AE216" s="163">
        <f ca="1">_xlfn.XLOOKUP(OFFSET($C$12,$I216,MATCH($AD$11,$D$12:$G$12,0)),巡逻产出!$B$311:$B$610,巡逻产出!$R$311:$R$610)*OFFSET($C$1,MATCH(AE$12,$C$2:$C$7,0),MATCH($AD$11,$D$12:$G$12,0))</f>
        <v>0</v>
      </c>
      <c r="AF216" s="163" t="e">
        <f ca="1">_xlfn.XLOOKUP(MAX(INT((OFFSET($C$12,$I216,MATCH($AD$11,$D$12:$G$12,0))-6)/10),1),组队产出!$B$25:$B$39,组队产出!$P$25:$P$39)*OFFSET($C$1,MATCH(AF$12,$C$2:$C$7,0),MATCH($AD$11,$D$12:$G$12,0))</f>
        <v>#N/A</v>
      </c>
      <c r="AG216" s="163">
        <f ca="1">竞技场!$G$3*OFFSET($C$1,MATCH(AG$12,$C$2:$C$7,0),MATCH($AD$11,$D$12:$G$12,0))</f>
        <v>3150</v>
      </c>
      <c r="AH21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6" s="23">
        <f>任务!$G$6+任务!$G$9+IF(MOD(AC216,7)=0,任务!$N$9+任务!$O$6,0)</f>
        <v>895</v>
      </c>
      <c r="AJ216" s="25">
        <f>公会!$U$11</f>
        <v>2766.62857142857</v>
      </c>
      <c r="AK216" s="163">
        <f ca="1">_xlfn.XLOOKUP(OFFSET($C$12,$I216,MATCH($AD$11,$D$12:$G$12,0)),巡逻产出!$B$311:$B$610,巡逻产出!$Q$311:$Q$610)*OFFSET($C$1,MATCH(AK$12,$C$2:$C$7,0),MATCH($AD$11,$D$12:$G$12,0))</f>
        <v>2381.808</v>
      </c>
      <c r="AM216" s="164">
        <v>204</v>
      </c>
      <c r="AN216" s="165">
        <f t="shared" si="29"/>
        <v>23855</v>
      </c>
      <c r="AO216" s="165">
        <f t="shared" si="30"/>
        <v>29918</v>
      </c>
      <c r="AP216" s="165">
        <f t="shared" si="31"/>
        <v>47441</v>
      </c>
      <c r="AQ216" s="165">
        <f t="shared" si="32"/>
        <v>62442</v>
      </c>
    </row>
    <row r="217" spans="3:43">
      <c r="C217" s="160">
        <v>205</v>
      </c>
      <c r="D217" s="169">
        <v>172</v>
      </c>
      <c r="E217" s="170">
        <f t="shared" si="27"/>
        <v>126</v>
      </c>
      <c r="F217" s="169">
        <f t="shared" si="28"/>
        <v>148.599999999999</v>
      </c>
      <c r="G217" s="163">
        <f t="shared" si="33"/>
        <v>225.5</v>
      </c>
      <c r="I217" s="160">
        <v>205</v>
      </c>
      <c r="J217" s="163" t="e">
        <f ca="1">_xlfn.XLOOKUP(OFFSET($C$12,$I217,MATCH($J$11,$D$12:$G$12,0)),主线推图!$B$313:$B$612,主线推图!$P$313:$P$612)*OFFSET($C$1,MATCH(J$12,$C$2:$C$7,0),MATCH($J$11,$D$12:$G$12,0))</f>
        <v>#N/A</v>
      </c>
      <c r="K217" s="163" t="e">
        <f ca="1">_xlfn.XLOOKUP(OFFSET($C$12,$I217,MATCH($J$11,$D$12:$G$12,0)),巡逻产出!$B$311:$B$610,巡逻产出!$R$311:$R$610)*OFFSET($C$1,MATCH(K$12,$C$2:$C$7,0),MATCH($J$11,$D$12:$G$12,0))</f>
        <v>#N/A</v>
      </c>
      <c r="L217" s="163">
        <f ca="1">_xlfn.XLOOKUP(MAX(INT((OFFSET($C$12,$I217,MATCH($J$11,$D$12:$G$12,0))-6)/10),1),组队产出!$B$25:$B$39,组队产出!$P$25:$P$39)*OFFSET($C$1,MATCH(L$12,$C$2:$C$7,0),MATCH($J$11,$D$12:$G$12,0))</f>
        <v>1124.4</v>
      </c>
      <c r="M217" s="163">
        <f ca="1">竞技场!$G$3*OFFSET($C$1,MATCH(M$12,$C$2:$C$7,0),MATCH($J$11,$D$12:$G$12,0))</f>
        <v>1050</v>
      </c>
      <c r="N21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7" s="23">
        <f>任务!$G$6+任务!$G$9+IF(MOD(I217,7)=0,任务!$N$9+任务!$O$6,0)</f>
        <v>895</v>
      </c>
      <c r="P217" s="25">
        <f>公会!$U$11</f>
        <v>2766.62857142857</v>
      </c>
      <c r="Q217" s="163" t="e">
        <f ca="1">_xlfn.XLOOKUP(OFFSET($C$12,$I217,MATCH($J$11,$D$12:$G$12,0)),巡逻产出!$B$311:$B$610,巡逻产出!$Q$311:$Q$610)*OFFSET($C$1,MATCH(Q$12,$C$2:$C$7,0),MATCH($J$11,$D$12:$G$12,0))</f>
        <v>#N/A</v>
      </c>
      <c r="S217" s="160">
        <v>205</v>
      </c>
      <c r="T217" s="163" t="e">
        <f ca="1">_xlfn.XLOOKUP(OFFSET($C$12,$I217,MATCH($T$11,$D$12:$G$12,0)),主线推图!$B$313:$B$612,主线推图!$P$313:$P$612)*OFFSET($C$1,MATCH(T$12,$C$2:$C$7,0),MATCH($T$11,$D$12:$G$12,0))</f>
        <v>#N/A</v>
      </c>
      <c r="U217" s="163" t="e">
        <f ca="1">_xlfn.XLOOKUP(OFFSET($C$12,$I217,MATCH($T$11,$D$12:$G$12,0)),巡逻产出!$B$311:$B$610,巡逻产出!$R$311:$R$610)*OFFSET($C$1,MATCH(U$12,$C$2:$C$7,0),MATCH($T$11,$D$12:$G$12,0))</f>
        <v>#N/A</v>
      </c>
      <c r="V217" s="163">
        <f ca="1">_xlfn.XLOOKUP(MAX(INT((OFFSET($C$12,$I217,MATCH($T$11,$D$12:$G$12,0))-6)/10),1),组队产出!$B$25:$B$39,组队产出!$P$25:$P$39)*OFFSET($C$1,MATCH(V$12,$C$2:$C$7,0),MATCH($T$11,$D$12:$G$12,0))</f>
        <v>2308.8</v>
      </c>
      <c r="W217" s="163">
        <f ca="1">竞技场!$G$3*OFFSET($C$1,MATCH(W$12,$C$2:$C$7,0),MATCH($T$11,$D$12:$G$12,0))</f>
        <v>2100</v>
      </c>
      <c r="X21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7" s="23">
        <f>任务!$G$6+任务!$G$9+IF(MOD(S217,7)=0,任务!$N$9+任务!$O$6,0)</f>
        <v>895</v>
      </c>
      <c r="Z217" s="25">
        <f>公会!$U$11</f>
        <v>2766.62857142857</v>
      </c>
      <c r="AA217" s="163" t="e">
        <f ca="1">_xlfn.XLOOKUP(OFFSET($C$12,$I217,MATCH($T$11,$D$12:$G$12,0)),巡逻产出!$B$311:$B$610,巡逻产出!$Q$311:$Q$610)*OFFSET($C$1,MATCH(AA$12,$C$2:$C$7,0),MATCH($T$11,$D$12:$G$12,0))</f>
        <v>#N/A</v>
      </c>
      <c r="AC217" s="160">
        <v>205</v>
      </c>
      <c r="AD217" s="163" t="e">
        <f ca="1">_xlfn.XLOOKUP(OFFSET($C$12,$I217,MATCH($AD$11,$D$12:$G$12,0)),主线推图!$B$313:$B$612,主线推图!$P$313:$P$612)*OFFSET($C$1,MATCH(AD$12,$C$2:$C$7,0),MATCH($AD$11,$D$12:$G$12,0))</f>
        <v>#N/A</v>
      </c>
      <c r="AE217" s="163" t="e">
        <f ca="1">_xlfn.XLOOKUP(OFFSET($C$12,$I217,MATCH($AD$11,$D$12:$G$12,0)),巡逻产出!$B$311:$B$610,巡逻产出!$R$311:$R$610)*OFFSET($C$1,MATCH(AE$12,$C$2:$C$7,0),MATCH($AD$11,$D$12:$G$12,0))</f>
        <v>#N/A</v>
      </c>
      <c r="AF217" s="163" t="e">
        <f ca="1">_xlfn.XLOOKUP(MAX(INT((OFFSET($C$12,$I217,MATCH($AD$11,$D$12:$G$12,0))-6)/10),1),组队产出!$B$25:$B$39,组队产出!$P$25:$P$39)*OFFSET($C$1,MATCH(AF$12,$C$2:$C$7,0),MATCH($AD$11,$D$12:$G$12,0))</f>
        <v>#N/A</v>
      </c>
      <c r="AG217" s="163">
        <f ca="1">竞技场!$G$3*OFFSET($C$1,MATCH(AG$12,$C$2:$C$7,0),MATCH($AD$11,$D$12:$G$12,0))</f>
        <v>3150</v>
      </c>
      <c r="AH21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7" s="23">
        <f>任务!$G$6+任务!$G$9+IF(MOD(AC217,7)=0,任务!$N$9+任务!$O$6,0)</f>
        <v>895</v>
      </c>
      <c r="AJ217" s="25">
        <f>公会!$U$11</f>
        <v>2766.62857142857</v>
      </c>
      <c r="AK217" s="163" t="e">
        <f ca="1">_xlfn.XLOOKUP(OFFSET($C$12,$I217,MATCH($AD$11,$D$12:$G$12,0)),巡逻产出!$B$311:$B$610,巡逻产出!$Q$311:$Q$610)*OFFSET($C$1,MATCH(AK$12,$C$2:$C$7,0),MATCH($AD$11,$D$12:$G$12,0))</f>
        <v>#N/A</v>
      </c>
      <c r="AM217" s="164">
        <v>205</v>
      </c>
      <c r="AN217" s="165">
        <f t="shared" si="29"/>
        <v>23969</v>
      </c>
      <c r="AO217" s="165">
        <f t="shared" si="30"/>
        <v>30061</v>
      </c>
      <c r="AP217" s="165">
        <f t="shared" si="31"/>
        <v>47670</v>
      </c>
      <c r="AQ217" s="165">
        <f t="shared" si="32"/>
        <v>62744</v>
      </c>
    </row>
    <row r="218" spans="3:43">
      <c r="C218" s="160">
        <v>206</v>
      </c>
      <c r="D218" s="169">
        <v>172</v>
      </c>
      <c r="E218" s="170">
        <f t="shared" si="27"/>
        <v>126.25</v>
      </c>
      <c r="F218" s="169">
        <f t="shared" si="28"/>
        <v>148.949999999999</v>
      </c>
      <c r="G218" s="163">
        <f t="shared" si="33"/>
        <v>226</v>
      </c>
      <c r="I218" s="160">
        <v>206</v>
      </c>
      <c r="J218" s="163" t="e">
        <f ca="1">_xlfn.XLOOKUP(OFFSET($C$12,$I218,MATCH($J$11,$D$12:$G$12,0)),主线推图!$B$313:$B$612,主线推图!$P$313:$P$612)*OFFSET($C$1,MATCH(J$12,$C$2:$C$7,0),MATCH($J$11,$D$12:$G$12,0))</f>
        <v>#N/A</v>
      </c>
      <c r="K218" s="163" t="e">
        <f ca="1">_xlfn.XLOOKUP(OFFSET($C$12,$I218,MATCH($J$11,$D$12:$G$12,0)),巡逻产出!$B$311:$B$610,巡逻产出!$R$311:$R$610)*OFFSET($C$1,MATCH(K$12,$C$2:$C$7,0),MATCH($J$11,$D$12:$G$12,0))</f>
        <v>#N/A</v>
      </c>
      <c r="L218" s="163">
        <f ca="1">_xlfn.XLOOKUP(MAX(INT((OFFSET($C$12,$I218,MATCH($J$11,$D$12:$G$12,0))-6)/10),1),组队产出!$B$25:$B$39,组队产出!$P$25:$P$39)*OFFSET($C$1,MATCH(L$12,$C$2:$C$7,0),MATCH($J$11,$D$12:$G$12,0))</f>
        <v>1124.4</v>
      </c>
      <c r="M218" s="163">
        <f ca="1">竞技场!$G$3*OFFSET($C$1,MATCH(M$12,$C$2:$C$7,0),MATCH($J$11,$D$12:$G$12,0))</f>
        <v>1050</v>
      </c>
      <c r="N21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8" s="23">
        <f>任务!$G$6+任务!$G$9+IF(MOD(I218,7)=0,任务!$N$9+任务!$O$6,0)</f>
        <v>895</v>
      </c>
      <c r="P218" s="25">
        <f>公会!$U$11</f>
        <v>2766.62857142857</v>
      </c>
      <c r="Q218" s="163" t="e">
        <f ca="1">_xlfn.XLOOKUP(OFFSET($C$12,$I218,MATCH($J$11,$D$12:$G$12,0)),巡逻产出!$B$311:$B$610,巡逻产出!$Q$311:$Q$610)*OFFSET($C$1,MATCH(Q$12,$C$2:$C$7,0),MATCH($J$11,$D$12:$G$12,0))</f>
        <v>#N/A</v>
      </c>
      <c r="S218" s="160">
        <v>206</v>
      </c>
      <c r="T218" s="163" t="e">
        <f ca="1">_xlfn.XLOOKUP(OFFSET($C$12,$I218,MATCH($T$11,$D$12:$G$12,0)),主线推图!$B$313:$B$612,主线推图!$P$313:$P$612)*OFFSET($C$1,MATCH(T$12,$C$2:$C$7,0),MATCH($T$11,$D$12:$G$12,0))</f>
        <v>#N/A</v>
      </c>
      <c r="U218" s="163" t="e">
        <f ca="1">_xlfn.XLOOKUP(OFFSET($C$12,$I218,MATCH($T$11,$D$12:$G$12,0)),巡逻产出!$B$311:$B$610,巡逻产出!$R$311:$R$610)*OFFSET($C$1,MATCH(U$12,$C$2:$C$7,0),MATCH($T$11,$D$12:$G$12,0))</f>
        <v>#N/A</v>
      </c>
      <c r="V218" s="163">
        <f ca="1">_xlfn.XLOOKUP(MAX(INT((OFFSET($C$12,$I218,MATCH($T$11,$D$12:$G$12,0))-6)/10),1),组队产出!$B$25:$B$39,组队产出!$P$25:$P$39)*OFFSET($C$1,MATCH(V$12,$C$2:$C$7,0),MATCH($T$11,$D$12:$G$12,0))</f>
        <v>2308.8</v>
      </c>
      <c r="W218" s="163">
        <f ca="1">竞技场!$G$3*OFFSET($C$1,MATCH(W$12,$C$2:$C$7,0),MATCH($T$11,$D$12:$G$12,0))</f>
        <v>2100</v>
      </c>
      <c r="X21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8" s="23">
        <f>任务!$G$6+任务!$G$9+IF(MOD(S218,7)=0,任务!$N$9+任务!$O$6,0)</f>
        <v>895</v>
      </c>
      <c r="Z218" s="25">
        <f>公会!$U$11</f>
        <v>2766.62857142857</v>
      </c>
      <c r="AA218" s="163" t="e">
        <f ca="1">_xlfn.XLOOKUP(OFFSET($C$12,$I218,MATCH($T$11,$D$12:$G$12,0)),巡逻产出!$B$311:$B$610,巡逻产出!$Q$311:$Q$610)*OFFSET($C$1,MATCH(AA$12,$C$2:$C$7,0),MATCH($T$11,$D$12:$G$12,0))</f>
        <v>#N/A</v>
      </c>
      <c r="AC218" s="160">
        <v>206</v>
      </c>
      <c r="AD218" s="163">
        <f ca="1">_xlfn.XLOOKUP(OFFSET($C$12,$I218,MATCH($AD$11,$D$12:$G$12,0)),主线推图!$B$313:$B$612,主线推图!$P$313:$P$612)*OFFSET($C$1,MATCH(AD$12,$C$2:$C$7,0),MATCH($AD$11,$D$12:$G$12,0))</f>
        <v>3443</v>
      </c>
      <c r="AE218" s="163">
        <f ca="1">_xlfn.XLOOKUP(OFFSET($C$12,$I218,MATCH($AD$11,$D$12:$G$12,0)),巡逻产出!$B$311:$B$610,巡逻产出!$R$311:$R$610)*OFFSET($C$1,MATCH(AE$12,$C$2:$C$7,0),MATCH($AD$11,$D$12:$G$12,0))</f>
        <v>0</v>
      </c>
      <c r="AF218" s="163" t="e">
        <f ca="1">_xlfn.XLOOKUP(MAX(INT((OFFSET($C$12,$I218,MATCH($AD$11,$D$12:$G$12,0))-6)/10),1),组队产出!$B$25:$B$39,组队产出!$P$25:$P$39)*OFFSET($C$1,MATCH(AF$12,$C$2:$C$7,0),MATCH($AD$11,$D$12:$G$12,0))</f>
        <v>#N/A</v>
      </c>
      <c r="AG218" s="163">
        <f ca="1">竞技场!$G$3*OFFSET($C$1,MATCH(AG$12,$C$2:$C$7,0),MATCH($AD$11,$D$12:$G$12,0))</f>
        <v>3150</v>
      </c>
      <c r="AH21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8" s="23">
        <f>任务!$G$6+任务!$G$9+IF(MOD(AC218,7)=0,任务!$N$9+任务!$O$6,0)</f>
        <v>895</v>
      </c>
      <c r="AJ218" s="25">
        <f>公会!$U$11</f>
        <v>2766.62857142857</v>
      </c>
      <c r="AK218" s="163">
        <f ca="1">_xlfn.XLOOKUP(OFFSET($C$12,$I218,MATCH($AD$11,$D$12:$G$12,0)),巡逻产出!$B$311:$B$610,巡逻产出!$Q$311:$Q$610)*OFFSET($C$1,MATCH(AK$12,$C$2:$C$7,0),MATCH($AD$11,$D$12:$G$12,0))</f>
        <v>2383.368</v>
      </c>
      <c r="AM218" s="164">
        <v>206</v>
      </c>
      <c r="AN218" s="165">
        <f t="shared" si="29"/>
        <v>24082</v>
      </c>
      <c r="AO218" s="165">
        <f t="shared" si="30"/>
        <v>30204</v>
      </c>
      <c r="AP218" s="165">
        <f t="shared" si="31"/>
        <v>47898</v>
      </c>
      <c r="AQ218" s="165">
        <f t="shared" si="32"/>
        <v>63046</v>
      </c>
    </row>
    <row r="219" spans="3:43">
      <c r="C219" s="160">
        <v>207</v>
      </c>
      <c r="D219" s="169">
        <v>172</v>
      </c>
      <c r="E219" s="170">
        <f t="shared" si="27"/>
        <v>126.5</v>
      </c>
      <c r="F219" s="169">
        <f t="shared" si="28"/>
        <v>149.299999999999</v>
      </c>
      <c r="G219" s="163">
        <f t="shared" si="33"/>
        <v>226.5</v>
      </c>
      <c r="I219" s="160">
        <v>207</v>
      </c>
      <c r="J219" s="163" t="e">
        <f ca="1">_xlfn.XLOOKUP(OFFSET($C$12,$I219,MATCH($J$11,$D$12:$G$12,0)),主线推图!$B$313:$B$612,主线推图!$P$313:$P$612)*OFFSET($C$1,MATCH(J$12,$C$2:$C$7,0),MATCH($J$11,$D$12:$G$12,0))</f>
        <v>#N/A</v>
      </c>
      <c r="K219" s="163" t="e">
        <f ca="1">_xlfn.XLOOKUP(OFFSET($C$12,$I219,MATCH($J$11,$D$12:$G$12,0)),巡逻产出!$B$311:$B$610,巡逻产出!$R$311:$R$610)*OFFSET($C$1,MATCH(K$12,$C$2:$C$7,0),MATCH($J$11,$D$12:$G$12,0))</f>
        <v>#N/A</v>
      </c>
      <c r="L219" s="163">
        <f ca="1">_xlfn.XLOOKUP(MAX(INT((OFFSET($C$12,$I219,MATCH($J$11,$D$12:$G$12,0))-6)/10),1),组队产出!$B$25:$B$39,组队产出!$P$25:$P$39)*OFFSET($C$1,MATCH(L$12,$C$2:$C$7,0),MATCH($J$11,$D$12:$G$12,0))</f>
        <v>1124.4</v>
      </c>
      <c r="M219" s="163">
        <f ca="1">竞技场!$G$3*OFFSET($C$1,MATCH(M$12,$C$2:$C$7,0),MATCH($J$11,$D$12:$G$12,0))</f>
        <v>1050</v>
      </c>
      <c r="N21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9" s="23">
        <f>任务!$G$6+任务!$G$9+IF(MOD(I219,7)=0,任务!$N$9+任务!$O$6,0)</f>
        <v>895</v>
      </c>
      <c r="P219" s="25">
        <f>公会!$U$11</f>
        <v>2766.62857142857</v>
      </c>
      <c r="Q219" s="163" t="e">
        <f ca="1">_xlfn.XLOOKUP(OFFSET($C$12,$I219,MATCH($J$11,$D$12:$G$12,0)),巡逻产出!$B$311:$B$610,巡逻产出!$Q$311:$Q$610)*OFFSET($C$1,MATCH(Q$12,$C$2:$C$7,0),MATCH($J$11,$D$12:$G$12,0))</f>
        <v>#N/A</v>
      </c>
      <c r="S219" s="160">
        <v>207</v>
      </c>
      <c r="T219" s="163" t="e">
        <f ca="1">_xlfn.XLOOKUP(OFFSET($C$12,$I219,MATCH($T$11,$D$12:$G$12,0)),主线推图!$B$313:$B$612,主线推图!$P$313:$P$612)*OFFSET($C$1,MATCH(T$12,$C$2:$C$7,0),MATCH($T$11,$D$12:$G$12,0))</f>
        <v>#N/A</v>
      </c>
      <c r="U219" s="163" t="e">
        <f ca="1">_xlfn.XLOOKUP(OFFSET($C$12,$I219,MATCH($T$11,$D$12:$G$12,0)),巡逻产出!$B$311:$B$610,巡逻产出!$R$311:$R$610)*OFFSET($C$1,MATCH(U$12,$C$2:$C$7,0),MATCH($T$11,$D$12:$G$12,0))</f>
        <v>#N/A</v>
      </c>
      <c r="V219" s="163">
        <f ca="1">_xlfn.XLOOKUP(MAX(INT((OFFSET($C$12,$I219,MATCH($T$11,$D$12:$G$12,0))-6)/10),1),组队产出!$B$25:$B$39,组队产出!$P$25:$P$39)*OFFSET($C$1,MATCH(V$12,$C$2:$C$7,0),MATCH($T$11,$D$12:$G$12,0))</f>
        <v>2308.8</v>
      </c>
      <c r="W219" s="163">
        <f ca="1">竞技场!$G$3*OFFSET($C$1,MATCH(W$12,$C$2:$C$7,0),MATCH($T$11,$D$12:$G$12,0))</f>
        <v>2100</v>
      </c>
      <c r="X21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9" s="23">
        <f>任务!$G$6+任务!$G$9+IF(MOD(S219,7)=0,任务!$N$9+任务!$O$6,0)</f>
        <v>895</v>
      </c>
      <c r="Z219" s="25">
        <f>公会!$U$11</f>
        <v>2766.62857142857</v>
      </c>
      <c r="AA219" s="163" t="e">
        <f ca="1">_xlfn.XLOOKUP(OFFSET($C$12,$I219,MATCH($T$11,$D$12:$G$12,0)),巡逻产出!$B$311:$B$610,巡逻产出!$Q$311:$Q$610)*OFFSET($C$1,MATCH(AA$12,$C$2:$C$7,0),MATCH($T$11,$D$12:$G$12,0))</f>
        <v>#N/A</v>
      </c>
      <c r="AC219" s="160">
        <v>207</v>
      </c>
      <c r="AD219" s="163" t="e">
        <f ca="1">_xlfn.XLOOKUP(OFFSET($C$12,$I219,MATCH($AD$11,$D$12:$G$12,0)),主线推图!$B$313:$B$612,主线推图!$P$313:$P$612)*OFFSET($C$1,MATCH(AD$12,$C$2:$C$7,0),MATCH($AD$11,$D$12:$G$12,0))</f>
        <v>#N/A</v>
      </c>
      <c r="AE219" s="163" t="e">
        <f ca="1">_xlfn.XLOOKUP(OFFSET($C$12,$I219,MATCH($AD$11,$D$12:$G$12,0)),巡逻产出!$B$311:$B$610,巡逻产出!$R$311:$R$610)*OFFSET($C$1,MATCH(AE$12,$C$2:$C$7,0),MATCH($AD$11,$D$12:$G$12,0))</f>
        <v>#N/A</v>
      </c>
      <c r="AF219" s="163" t="e">
        <f ca="1">_xlfn.XLOOKUP(MAX(INT((OFFSET($C$12,$I219,MATCH($AD$11,$D$12:$G$12,0))-6)/10),1),组队产出!$B$25:$B$39,组队产出!$P$25:$P$39)*OFFSET($C$1,MATCH(AF$12,$C$2:$C$7,0),MATCH($AD$11,$D$12:$G$12,0))</f>
        <v>#N/A</v>
      </c>
      <c r="AG219" s="163">
        <f ca="1">竞技场!$G$3*OFFSET($C$1,MATCH(AG$12,$C$2:$C$7,0),MATCH($AD$11,$D$12:$G$12,0))</f>
        <v>3150</v>
      </c>
      <c r="AH21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9" s="23">
        <f>任务!$G$6+任务!$G$9+IF(MOD(AC219,7)=0,任务!$N$9+任务!$O$6,0)</f>
        <v>895</v>
      </c>
      <c r="AJ219" s="25">
        <f>公会!$U$11</f>
        <v>2766.62857142857</v>
      </c>
      <c r="AK219" s="163" t="e">
        <f ca="1">_xlfn.XLOOKUP(OFFSET($C$12,$I219,MATCH($AD$11,$D$12:$G$12,0)),巡逻产出!$B$311:$B$610,巡逻产出!$Q$311:$Q$610)*OFFSET($C$1,MATCH(AK$12,$C$2:$C$7,0),MATCH($AD$11,$D$12:$G$12,0))</f>
        <v>#N/A</v>
      </c>
      <c r="AM219" s="164">
        <v>207</v>
      </c>
      <c r="AN219" s="165">
        <f t="shared" si="29"/>
        <v>24196</v>
      </c>
      <c r="AO219" s="165">
        <f t="shared" si="30"/>
        <v>30347</v>
      </c>
      <c r="AP219" s="165">
        <f t="shared" si="31"/>
        <v>48127</v>
      </c>
      <c r="AQ219" s="165">
        <f t="shared" si="32"/>
        <v>63348</v>
      </c>
    </row>
    <row r="220" spans="3:43">
      <c r="C220" s="160">
        <v>208</v>
      </c>
      <c r="D220" s="169">
        <v>173</v>
      </c>
      <c r="E220" s="170">
        <f t="shared" si="27"/>
        <v>126.75</v>
      </c>
      <c r="F220" s="169">
        <f t="shared" si="28"/>
        <v>149.649999999999</v>
      </c>
      <c r="G220" s="163">
        <f t="shared" si="33"/>
        <v>227</v>
      </c>
      <c r="I220" s="160">
        <v>208</v>
      </c>
      <c r="J220" s="163" t="e">
        <f ca="1">_xlfn.XLOOKUP(OFFSET($C$12,$I220,MATCH($J$11,$D$12:$G$12,0)),主线推图!$B$313:$B$612,主线推图!$P$313:$P$612)*OFFSET($C$1,MATCH(J$12,$C$2:$C$7,0),MATCH($J$11,$D$12:$G$12,0))</f>
        <v>#N/A</v>
      </c>
      <c r="K220" s="163" t="e">
        <f ca="1">_xlfn.XLOOKUP(OFFSET($C$12,$I220,MATCH($J$11,$D$12:$G$12,0)),巡逻产出!$B$311:$B$610,巡逻产出!$R$311:$R$610)*OFFSET($C$1,MATCH(K$12,$C$2:$C$7,0),MATCH($J$11,$D$12:$G$12,0))</f>
        <v>#N/A</v>
      </c>
      <c r="L220" s="163">
        <f ca="1">_xlfn.XLOOKUP(MAX(INT((OFFSET($C$12,$I220,MATCH($J$11,$D$12:$G$12,0))-6)/10),1),组队产出!$B$25:$B$39,组队产出!$P$25:$P$39)*OFFSET($C$1,MATCH(L$12,$C$2:$C$7,0),MATCH($J$11,$D$12:$G$12,0))</f>
        <v>1124.4</v>
      </c>
      <c r="M220" s="163">
        <f ca="1">竞技场!$G$3*OFFSET($C$1,MATCH(M$12,$C$2:$C$7,0),MATCH($J$11,$D$12:$G$12,0))</f>
        <v>1050</v>
      </c>
      <c r="N22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0" s="23">
        <f>任务!$G$6+任务!$G$9+IF(MOD(I220,7)=0,任务!$N$9+任务!$O$6,0)</f>
        <v>895</v>
      </c>
      <c r="P220" s="25">
        <f>公会!$U$11</f>
        <v>2766.62857142857</v>
      </c>
      <c r="Q220" s="163" t="e">
        <f ca="1">_xlfn.XLOOKUP(OFFSET($C$12,$I220,MATCH($J$11,$D$12:$G$12,0)),巡逻产出!$B$311:$B$610,巡逻产出!$Q$311:$Q$610)*OFFSET($C$1,MATCH(Q$12,$C$2:$C$7,0),MATCH($J$11,$D$12:$G$12,0))</f>
        <v>#N/A</v>
      </c>
      <c r="S220" s="160">
        <v>208</v>
      </c>
      <c r="T220" s="163" t="e">
        <f ca="1">_xlfn.XLOOKUP(OFFSET($C$12,$I220,MATCH($T$11,$D$12:$G$12,0)),主线推图!$B$313:$B$612,主线推图!$P$313:$P$612)*OFFSET($C$1,MATCH(T$12,$C$2:$C$7,0),MATCH($T$11,$D$12:$G$12,0))</f>
        <v>#N/A</v>
      </c>
      <c r="U220" s="163" t="e">
        <f ca="1">_xlfn.XLOOKUP(OFFSET($C$12,$I220,MATCH($T$11,$D$12:$G$12,0)),巡逻产出!$B$311:$B$610,巡逻产出!$R$311:$R$610)*OFFSET($C$1,MATCH(U$12,$C$2:$C$7,0),MATCH($T$11,$D$12:$G$12,0))</f>
        <v>#N/A</v>
      </c>
      <c r="V220" s="163">
        <f ca="1">_xlfn.XLOOKUP(MAX(INT((OFFSET($C$12,$I220,MATCH($T$11,$D$12:$G$12,0))-6)/10),1),组队产出!$B$25:$B$39,组队产出!$P$25:$P$39)*OFFSET($C$1,MATCH(V$12,$C$2:$C$7,0),MATCH($T$11,$D$12:$G$12,0))</f>
        <v>2308.8</v>
      </c>
      <c r="W220" s="163">
        <f ca="1">竞技场!$G$3*OFFSET($C$1,MATCH(W$12,$C$2:$C$7,0),MATCH($T$11,$D$12:$G$12,0))</f>
        <v>2100</v>
      </c>
      <c r="X22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0" s="23">
        <f>任务!$G$6+任务!$G$9+IF(MOD(S220,7)=0,任务!$N$9+任务!$O$6,0)</f>
        <v>895</v>
      </c>
      <c r="Z220" s="25">
        <f>公会!$U$11</f>
        <v>2766.62857142857</v>
      </c>
      <c r="AA220" s="163" t="e">
        <f ca="1">_xlfn.XLOOKUP(OFFSET($C$12,$I220,MATCH($T$11,$D$12:$G$12,0)),巡逻产出!$B$311:$B$610,巡逻产出!$Q$311:$Q$610)*OFFSET($C$1,MATCH(AA$12,$C$2:$C$7,0),MATCH($T$11,$D$12:$G$12,0))</f>
        <v>#N/A</v>
      </c>
      <c r="AC220" s="160">
        <v>208</v>
      </c>
      <c r="AD220" s="163">
        <f ca="1">_xlfn.XLOOKUP(OFFSET($C$12,$I220,MATCH($AD$11,$D$12:$G$12,0)),主线推图!$B$313:$B$612,主线推图!$P$313:$P$612)*OFFSET($C$1,MATCH(AD$12,$C$2:$C$7,0),MATCH($AD$11,$D$12:$G$12,0))</f>
        <v>3445.2</v>
      </c>
      <c r="AE220" s="163">
        <f ca="1">_xlfn.XLOOKUP(OFFSET($C$12,$I220,MATCH($AD$11,$D$12:$G$12,0)),巡逻产出!$B$311:$B$610,巡逻产出!$R$311:$R$610)*OFFSET($C$1,MATCH(AE$12,$C$2:$C$7,0),MATCH($AD$11,$D$12:$G$12,0))</f>
        <v>0</v>
      </c>
      <c r="AF220" s="163" t="e">
        <f ca="1">_xlfn.XLOOKUP(MAX(INT((OFFSET($C$12,$I220,MATCH($AD$11,$D$12:$G$12,0))-6)/10),1),组队产出!$B$25:$B$39,组队产出!$P$25:$P$39)*OFFSET($C$1,MATCH(AF$12,$C$2:$C$7,0),MATCH($AD$11,$D$12:$G$12,0))</f>
        <v>#N/A</v>
      </c>
      <c r="AG220" s="163">
        <f ca="1">竞技场!$G$3*OFFSET($C$1,MATCH(AG$12,$C$2:$C$7,0),MATCH($AD$11,$D$12:$G$12,0))</f>
        <v>3150</v>
      </c>
      <c r="AH22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0" s="23">
        <f>任务!$G$6+任务!$G$9+IF(MOD(AC220,7)=0,任务!$N$9+任务!$O$6,0)</f>
        <v>895</v>
      </c>
      <c r="AJ220" s="25">
        <f>公会!$U$11</f>
        <v>2766.62857142857</v>
      </c>
      <c r="AK220" s="163">
        <f ca="1">_xlfn.XLOOKUP(OFFSET($C$12,$I220,MATCH($AD$11,$D$12:$G$12,0)),巡逻产出!$B$311:$B$610,巡逻产出!$Q$311:$Q$610)*OFFSET($C$1,MATCH(AK$12,$C$2:$C$7,0),MATCH($AD$11,$D$12:$G$12,0))</f>
        <v>2384.928</v>
      </c>
      <c r="AM220" s="164">
        <v>208</v>
      </c>
      <c r="AN220" s="165">
        <f t="shared" si="29"/>
        <v>24309</v>
      </c>
      <c r="AO220" s="165">
        <f t="shared" si="30"/>
        <v>30490</v>
      </c>
      <c r="AP220" s="165">
        <f t="shared" si="31"/>
        <v>48355</v>
      </c>
      <c r="AQ220" s="165">
        <f t="shared" si="32"/>
        <v>63650</v>
      </c>
    </row>
    <row r="221" spans="3:43">
      <c r="C221" s="160">
        <v>209</v>
      </c>
      <c r="D221" s="169">
        <v>173</v>
      </c>
      <c r="E221" s="170">
        <f t="shared" si="27"/>
        <v>127</v>
      </c>
      <c r="F221" s="169">
        <f t="shared" si="28"/>
        <v>149.999999999999</v>
      </c>
      <c r="G221" s="163">
        <f t="shared" si="33"/>
        <v>227.5</v>
      </c>
      <c r="I221" s="160">
        <v>209</v>
      </c>
      <c r="J221" s="163" t="e">
        <f ca="1">_xlfn.XLOOKUP(OFFSET($C$12,$I221,MATCH($J$11,$D$12:$G$12,0)),主线推图!$B$313:$B$612,主线推图!$P$313:$P$612)*OFFSET($C$1,MATCH(J$12,$C$2:$C$7,0),MATCH($J$11,$D$12:$G$12,0))</f>
        <v>#N/A</v>
      </c>
      <c r="K221" s="163" t="e">
        <f ca="1">_xlfn.XLOOKUP(OFFSET($C$12,$I221,MATCH($J$11,$D$12:$G$12,0)),巡逻产出!$B$311:$B$610,巡逻产出!$R$311:$R$610)*OFFSET($C$1,MATCH(K$12,$C$2:$C$7,0),MATCH($J$11,$D$12:$G$12,0))</f>
        <v>#N/A</v>
      </c>
      <c r="L221" s="163">
        <f ca="1">_xlfn.XLOOKUP(MAX(INT((OFFSET($C$12,$I221,MATCH($J$11,$D$12:$G$12,0))-6)/10),1),组队产出!$B$25:$B$39,组队产出!$P$25:$P$39)*OFFSET($C$1,MATCH(L$12,$C$2:$C$7,0),MATCH($J$11,$D$12:$G$12,0))</f>
        <v>1124.4</v>
      </c>
      <c r="M221" s="163">
        <f ca="1">竞技场!$G$3*OFFSET($C$1,MATCH(M$12,$C$2:$C$7,0),MATCH($J$11,$D$12:$G$12,0))</f>
        <v>1050</v>
      </c>
      <c r="N22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1" s="23">
        <f>任务!$G$6+任务!$G$9+IF(MOD(I221,7)=0,任务!$N$9+任务!$O$6,0)</f>
        <v>895</v>
      </c>
      <c r="P221" s="25">
        <f>公会!$U$11</f>
        <v>2766.62857142857</v>
      </c>
      <c r="Q221" s="163" t="e">
        <f ca="1">_xlfn.XLOOKUP(OFFSET($C$12,$I221,MATCH($J$11,$D$12:$G$12,0)),巡逻产出!$B$311:$B$610,巡逻产出!$Q$311:$Q$610)*OFFSET($C$1,MATCH(Q$12,$C$2:$C$7,0),MATCH($J$11,$D$12:$G$12,0))</f>
        <v>#N/A</v>
      </c>
      <c r="S221" s="160">
        <v>209</v>
      </c>
      <c r="T221" s="163" t="e">
        <f ca="1">_xlfn.XLOOKUP(OFFSET($C$12,$I221,MATCH($T$11,$D$12:$G$12,0)),主线推图!$B$313:$B$612,主线推图!$P$313:$P$612)*OFFSET($C$1,MATCH(T$12,$C$2:$C$7,0),MATCH($T$11,$D$12:$G$12,0))</f>
        <v>#N/A</v>
      </c>
      <c r="U221" s="163" t="e">
        <f ca="1">_xlfn.XLOOKUP(OFFSET($C$12,$I221,MATCH($T$11,$D$12:$G$12,0)),巡逻产出!$B$311:$B$610,巡逻产出!$R$311:$R$610)*OFFSET($C$1,MATCH(U$12,$C$2:$C$7,0),MATCH($T$11,$D$12:$G$12,0))</f>
        <v>#N/A</v>
      </c>
      <c r="V221" s="163">
        <f ca="1">_xlfn.XLOOKUP(MAX(INT((OFFSET($C$12,$I221,MATCH($T$11,$D$12:$G$12,0))-6)/10),1),组队产出!$B$25:$B$39,组队产出!$P$25:$P$39)*OFFSET($C$1,MATCH(V$12,$C$2:$C$7,0),MATCH($T$11,$D$12:$G$12,0))</f>
        <v>2308.8</v>
      </c>
      <c r="W221" s="163">
        <f ca="1">竞技场!$G$3*OFFSET($C$1,MATCH(W$12,$C$2:$C$7,0),MATCH($T$11,$D$12:$G$12,0))</f>
        <v>2100</v>
      </c>
      <c r="X22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1" s="23">
        <f>任务!$G$6+任务!$G$9+IF(MOD(S221,7)=0,任务!$N$9+任务!$O$6,0)</f>
        <v>895</v>
      </c>
      <c r="Z221" s="25">
        <f>公会!$U$11</f>
        <v>2766.62857142857</v>
      </c>
      <c r="AA221" s="163" t="e">
        <f ca="1">_xlfn.XLOOKUP(OFFSET($C$12,$I221,MATCH($T$11,$D$12:$G$12,0)),巡逻产出!$B$311:$B$610,巡逻产出!$Q$311:$Q$610)*OFFSET($C$1,MATCH(AA$12,$C$2:$C$7,0),MATCH($T$11,$D$12:$G$12,0))</f>
        <v>#N/A</v>
      </c>
      <c r="AC221" s="160">
        <v>209</v>
      </c>
      <c r="AD221" s="163" t="e">
        <f ca="1">_xlfn.XLOOKUP(OFFSET($C$12,$I221,MATCH($AD$11,$D$12:$G$12,0)),主线推图!$B$313:$B$612,主线推图!$P$313:$P$612)*OFFSET($C$1,MATCH(AD$12,$C$2:$C$7,0),MATCH($AD$11,$D$12:$G$12,0))</f>
        <v>#N/A</v>
      </c>
      <c r="AE221" s="163" t="e">
        <f ca="1">_xlfn.XLOOKUP(OFFSET($C$12,$I221,MATCH($AD$11,$D$12:$G$12,0)),巡逻产出!$B$311:$B$610,巡逻产出!$R$311:$R$610)*OFFSET($C$1,MATCH(AE$12,$C$2:$C$7,0),MATCH($AD$11,$D$12:$G$12,0))</f>
        <v>#N/A</v>
      </c>
      <c r="AF221" s="163" t="e">
        <f ca="1">_xlfn.XLOOKUP(MAX(INT((OFFSET($C$12,$I221,MATCH($AD$11,$D$12:$G$12,0))-6)/10),1),组队产出!$B$25:$B$39,组队产出!$P$25:$P$39)*OFFSET($C$1,MATCH(AF$12,$C$2:$C$7,0),MATCH($AD$11,$D$12:$G$12,0))</f>
        <v>#N/A</v>
      </c>
      <c r="AG221" s="163">
        <f ca="1">竞技场!$G$3*OFFSET($C$1,MATCH(AG$12,$C$2:$C$7,0),MATCH($AD$11,$D$12:$G$12,0))</f>
        <v>3150</v>
      </c>
      <c r="AH22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1" s="23">
        <f>任务!$G$6+任务!$G$9+IF(MOD(AC221,7)=0,任务!$N$9+任务!$O$6,0)</f>
        <v>895</v>
      </c>
      <c r="AJ221" s="25">
        <f>公会!$U$11</f>
        <v>2766.62857142857</v>
      </c>
      <c r="AK221" s="163" t="e">
        <f ca="1">_xlfn.XLOOKUP(OFFSET($C$12,$I221,MATCH($AD$11,$D$12:$G$12,0)),巡逻产出!$B$311:$B$610,巡逻产出!$Q$311:$Q$610)*OFFSET($C$1,MATCH(AK$12,$C$2:$C$7,0),MATCH($AD$11,$D$12:$G$12,0))</f>
        <v>#N/A</v>
      </c>
      <c r="AM221" s="164">
        <v>209</v>
      </c>
      <c r="AN221" s="165">
        <f t="shared" si="29"/>
        <v>24423</v>
      </c>
      <c r="AO221" s="165">
        <f t="shared" si="30"/>
        <v>30633</v>
      </c>
      <c r="AP221" s="165">
        <f t="shared" si="31"/>
        <v>48584</v>
      </c>
      <c r="AQ221" s="165">
        <f t="shared" si="32"/>
        <v>63952</v>
      </c>
    </row>
    <row r="222" spans="3:43">
      <c r="C222" s="160">
        <v>210</v>
      </c>
      <c r="D222" s="169">
        <v>173</v>
      </c>
      <c r="E222" s="170">
        <f t="shared" si="27"/>
        <v>127.25</v>
      </c>
      <c r="F222" s="169">
        <f t="shared" si="28"/>
        <v>150.349999999999</v>
      </c>
      <c r="G222" s="163">
        <f t="shared" si="33"/>
        <v>228</v>
      </c>
      <c r="I222" s="160">
        <v>210</v>
      </c>
      <c r="J222" s="163" t="e">
        <f ca="1">_xlfn.XLOOKUP(OFFSET($C$12,$I222,MATCH($J$11,$D$12:$G$12,0)),主线推图!$B$313:$B$612,主线推图!$P$313:$P$612)*OFFSET($C$1,MATCH(J$12,$C$2:$C$7,0),MATCH($J$11,$D$12:$G$12,0))</f>
        <v>#N/A</v>
      </c>
      <c r="K222" s="163" t="e">
        <f ca="1">_xlfn.XLOOKUP(OFFSET($C$12,$I222,MATCH($J$11,$D$12:$G$12,0)),巡逻产出!$B$311:$B$610,巡逻产出!$R$311:$R$610)*OFFSET($C$1,MATCH(K$12,$C$2:$C$7,0),MATCH($J$11,$D$12:$G$12,0))</f>
        <v>#N/A</v>
      </c>
      <c r="L222" s="163">
        <f ca="1">_xlfn.XLOOKUP(MAX(INT((OFFSET($C$12,$I222,MATCH($J$11,$D$12:$G$12,0))-6)/10),1),组队产出!$B$25:$B$39,组队产出!$P$25:$P$39)*OFFSET($C$1,MATCH(L$12,$C$2:$C$7,0),MATCH($J$11,$D$12:$G$12,0))</f>
        <v>1124.4</v>
      </c>
      <c r="M222" s="163">
        <f ca="1">竞技场!$G$3*OFFSET($C$1,MATCH(M$12,$C$2:$C$7,0),MATCH($J$11,$D$12:$G$12,0))</f>
        <v>1050</v>
      </c>
      <c r="N22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2" s="23">
        <f>任务!$G$6+任务!$G$9+IF(MOD(I222,7)=0,任务!$N$9+任务!$O$6,0)</f>
        <v>3125</v>
      </c>
      <c r="P222" s="25">
        <f>公会!$U$11</f>
        <v>2766.62857142857</v>
      </c>
      <c r="Q222" s="163" t="e">
        <f ca="1">_xlfn.XLOOKUP(OFFSET($C$12,$I222,MATCH($J$11,$D$12:$G$12,0)),巡逻产出!$B$311:$B$610,巡逻产出!$Q$311:$Q$610)*OFFSET($C$1,MATCH(Q$12,$C$2:$C$7,0),MATCH($J$11,$D$12:$G$12,0))</f>
        <v>#N/A</v>
      </c>
      <c r="S222" s="160">
        <v>210</v>
      </c>
      <c r="T222" s="163" t="e">
        <f ca="1">_xlfn.XLOOKUP(OFFSET($C$12,$I222,MATCH($T$11,$D$12:$G$12,0)),主线推图!$B$313:$B$612,主线推图!$P$313:$P$612)*OFFSET($C$1,MATCH(T$12,$C$2:$C$7,0),MATCH($T$11,$D$12:$G$12,0))</f>
        <v>#N/A</v>
      </c>
      <c r="U222" s="163" t="e">
        <f ca="1">_xlfn.XLOOKUP(OFFSET($C$12,$I222,MATCH($T$11,$D$12:$G$12,0)),巡逻产出!$B$311:$B$610,巡逻产出!$R$311:$R$610)*OFFSET($C$1,MATCH(U$12,$C$2:$C$7,0),MATCH($T$11,$D$12:$G$12,0))</f>
        <v>#N/A</v>
      </c>
      <c r="V222" s="163">
        <f ca="1">_xlfn.XLOOKUP(MAX(INT((OFFSET($C$12,$I222,MATCH($T$11,$D$12:$G$12,0))-6)/10),1),组队产出!$B$25:$B$39,组队产出!$P$25:$P$39)*OFFSET($C$1,MATCH(V$12,$C$2:$C$7,0),MATCH($T$11,$D$12:$G$12,0))</f>
        <v>2308.8</v>
      </c>
      <c r="W222" s="163">
        <f ca="1">竞技场!$G$3*OFFSET($C$1,MATCH(W$12,$C$2:$C$7,0),MATCH($T$11,$D$12:$G$12,0))</f>
        <v>2100</v>
      </c>
      <c r="X22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2" s="23">
        <f>任务!$G$6+任务!$G$9+IF(MOD(S222,7)=0,任务!$N$9+任务!$O$6,0)</f>
        <v>3125</v>
      </c>
      <c r="Z222" s="25">
        <f>公会!$U$11</f>
        <v>2766.62857142857</v>
      </c>
      <c r="AA222" s="163" t="e">
        <f ca="1">_xlfn.XLOOKUP(OFFSET($C$12,$I222,MATCH($T$11,$D$12:$G$12,0)),巡逻产出!$B$311:$B$610,巡逻产出!$Q$311:$Q$610)*OFFSET($C$1,MATCH(AA$12,$C$2:$C$7,0),MATCH($T$11,$D$12:$G$12,0))</f>
        <v>#N/A</v>
      </c>
      <c r="AC222" s="160">
        <v>210</v>
      </c>
      <c r="AD222" s="163">
        <f ca="1">_xlfn.XLOOKUP(OFFSET($C$12,$I222,MATCH($AD$11,$D$12:$G$12,0)),主线推图!$B$313:$B$612,主线推图!$P$313:$P$612)*OFFSET($C$1,MATCH(AD$12,$C$2:$C$7,0),MATCH($AD$11,$D$12:$G$12,0))</f>
        <v>3447.4</v>
      </c>
      <c r="AE222" s="163">
        <f ca="1">_xlfn.XLOOKUP(OFFSET($C$12,$I222,MATCH($AD$11,$D$12:$G$12,0)),巡逻产出!$B$311:$B$610,巡逻产出!$R$311:$R$610)*OFFSET($C$1,MATCH(AE$12,$C$2:$C$7,0),MATCH($AD$11,$D$12:$G$12,0))</f>
        <v>0</v>
      </c>
      <c r="AF222" s="163" t="e">
        <f ca="1">_xlfn.XLOOKUP(MAX(INT((OFFSET($C$12,$I222,MATCH($AD$11,$D$12:$G$12,0))-6)/10),1),组队产出!$B$25:$B$39,组队产出!$P$25:$P$39)*OFFSET($C$1,MATCH(AF$12,$C$2:$C$7,0),MATCH($AD$11,$D$12:$G$12,0))</f>
        <v>#N/A</v>
      </c>
      <c r="AG222" s="163">
        <f ca="1">竞技场!$G$3*OFFSET($C$1,MATCH(AG$12,$C$2:$C$7,0),MATCH($AD$11,$D$12:$G$12,0))</f>
        <v>3150</v>
      </c>
      <c r="AH22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2" s="23">
        <f>任务!$G$6+任务!$G$9+IF(MOD(AC222,7)=0,任务!$N$9+任务!$O$6,0)</f>
        <v>3125</v>
      </c>
      <c r="AJ222" s="25">
        <f>公会!$U$11</f>
        <v>2766.62857142857</v>
      </c>
      <c r="AK222" s="163">
        <f ca="1">_xlfn.XLOOKUP(OFFSET($C$12,$I222,MATCH($AD$11,$D$12:$G$12,0)),巡逻产出!$B$311:$B$610,巡逻产出!$Q$311:$Q$610)*OFFSET($C$1,MATCH(AK$12,$C$2:$C$7,0),MATCH($AD$11,$D$12:$G$12,0))</f>
        <v>2386.488</v>
      </c>
      <c r="AM222" s="164">
        <v>210</v>
      </c>
      <c r="AN222" s="165">
        <f t="shared" si="29"/>
        <v>24536</v>
      </c>
      <c r="AO222" s="165">
        <f t="shared" si="30"/>
        <v>30776</v>
      </c>
      <c r="AP222" s="165">
        <f t="shared" si="31"/>
        <v>48812</v>
      </c>
      <c r="AQ222" s="165">
        <f t="shared" si="32"/>
        <v>64254</v>
      </c>
    </row>
    <row r="223" spans="3:43">
      <c r="C223" s="160">
        <v>211</v>
      </c>
      <c r="D223" s="169">
        <v>173</v>
      </c>
      <c r="E223" s="170">
        <f t="shared" si="27"/>
        <v>127.5</v>
      </c>
      <c r="F223" s="169">
        <f t="shared" si="28"/>
        <v>150.699999999999</v>
      </c>
      <c r="G223" s="163">
        <f t="shared" si="33"/>
        <v>228.5</v>
      </c>
      <c r="I223" s="160">
        <v>211</v>
      </c>
      <c r="J223" s="163" t="e">
        <f ca="1">_xlfn.XLOOKUP(OFFSET($C$12,$I223,MATCH($J$11,$D$12:$G$12,0)),主线推图!$B$313:$B$612,主线推图!$P$313:$P$612)*OFFSET($C$1,MATCH(J$12,$C$2:$C$7,0),MATCH($J$11,$D$12:$G$12,0))</f>
        <v>#N/A</v>
      </c>
      <c r="K223" s="163" t="e">
        <f ca="1">_xlfn.XLOOKUP(OFFSET($C$12,$I223,MATCH($J$11,$D$12:$G$12,0)),巡逻产出!$B$311:$B$610,巡逻产出!$R$311:$R$610)*OFFSET($C$1,MATCH(K$12,$C$2:$C$7,0),MATCH($J$11,$D$12:$G$12,0))</f>
        <v>#N/A</v>
      </c>
      <c r="L223" s="163">
        <f ca="1">_xlfn.XLOOKUP(MAX(INT((OFFSET($C$12,$I223,MATCH($J$11,$D$12:$G$12,0))-6)/10),1),组队产出!$B$25:$B$39,组队产出!$P$25:$P$39)*OFFSET($C$1,MATCH(L$12,$C$2:$C$7,0),MATCH($J$11,$D$12:$G$12,0))</f>
        <v>1124.4</v>
      </c>
      <c r="M223" s="163">
        <f ca="1">竞技场!$G$3*OFFSET($C$1,MATCH(M$12,$C$2:$C$7,0),MATCH($J$11,$D$12:$G$12,0))</f>
        <v>1050</v>
      </c>
      <c r="N22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3" s="23">
        <f>任务!$G$6+任务!$G$9+IF(MOD(I223,7)=0,任务!$N$9+任务!$O$6,0)</f>
        <v>895</v>
      </c>
      <c r="P223" s="25">
        <f>公会!$U$11</f>
        <v>2766.62857142857</v>
      </c>
      <c r="Q223" s="163" t="e">
        <f ca="1">_xlfn.XLOOKUP(OFFSET($C$12,$I223,MATCH($J$11,$D$12:$G$12,0)),巡逻产出!$B$311:$B$610,巡逻产出!$Q$311:$Q$610)*OFFSET($C$1,MATCH(Q$12,$C$2:$C$7,0),MATCH($J$11,$D$12:$G$12,0))</f>
        <v>#N/A</v>
      </c>
      <c r="S223" s="160">
        <v>211</v>
      </c>
      <c r="T223" s="163" t="e">
        <f ca="1">_xlfn.XLOOKUP(OFFSET($C$12,$I223,MATCH($T$11,$D$12:$G$12,0)),主线推图!$B$313:$B$612,主线推图!$P$313:$P$612)*OFFSET($C$1,MATCH(T$12,$C$2:$C$7,0),MATCH($T$11,$D$12:$G$12,0))</f>
        <v>#N/A</v>
      </c>
      <c r="U223" s="163" t="e">
        <f ca="1">_xlfn.XLOOKUP(OFFSET($C$12,$I223,MATCH($T$11,$D$12:$G$12,0)),巡逻产出!$B$311:$B$610,巡逻产出!$R$311:$R$610)*OFFSET($C$1,MATCH(U$12,$C$2:$C$7,0),MATCH($T$11,$D$12:$G$12,0))</f>
        <v>#N/A</v>
      </c>
      <c r="V223" s="163">
        <f ca="1">_xlfn.XLOOKUP(MAX(INT((OFFSET($C$12,$I223,MATCH($T$11,$D$12:$G$12,0))-6)/10),1),组队产出!$B$25:$B$39,组队产出!$P$25:$P$39)*OFFSET($C$1,MATCH(V$12,$C$2:$C$7,0),MATCH($T$11,$D$12:$G$12,0))</f>
        <v>2308.8</v>
      </c>
      <c r="W223" s="163">
        <f ca="1">竞技场!$G$3*OFFSET($C$1,MATCH(W$12,$C$2:$C$7,0),MATCH($T$11,$D$12:$G$12,0))</f>
        <v>2100</v>
      </c>
      <c r="X22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3" s="23">
        <f>任务!$G$6+任务!$G$9+IF(MOD(S223,7)=0,任务!$N$9+任务!$O$6,0)</f>
        <v>895</v>
      </c>
      <c r="Z223" s="25">
        <f>公会!$U$11</f>
        <v>2766.62857142857</v>
      </c>
      <c r="AA223" s="163" t="e">
        <f ca="1">_xlfn.XLOOKUP(OFFSET($C$12,$I223,MATCH($T$11,$D$12:$G$12,0)),巡逻产出!$B$311:$B$610,巡逻产出!$Q$311:$Q$610)*OFFSET($C$1,MATCH(AA$12,$C$2:$C$7,0),MATCH($T$11,$D$12:$G$12,0))</f>
        <v>#N/A</v>
      </c>
      <c r="AC223" s="160">
        <v>211</v>
      </c>
      <c r="AD223" s="163" t="e">
        <f ca="1">_xlfn.XLOOKUP(OFFSET($C$12,$I223,MATCH($AD$11,$D$12:$G$12,0)),主线推图!$B$313:$B$612,主线推图!$P$313:$P$612)*OFFSET($C$1,MATCH(AD$12,$C$2:$C$7,0),MATCH($AD$11,$D$12:$G$12,0))</f>
        <v>#N/A</v>
      </c>
      <c r="AE223" s="163" t="e">
        <f ca="1">_xlfn.XLOOKUP(OFFSET($C$12,$I223,MATCH($AD$11,$D$12:$G$12,0)),巡逻产出!$B$311:$B$610,巡逻产出!$R$311:$R$610)*OFFSET($C$1,MATCH(AE$12,$C$2:$C$7,0),MATCH($AD$11,$D$12:$G$12,0))</f>
        <v>#N/A</v>
      </c>
      <c r="AF223" s="163" t="e">
        <f ca="1">_xlfn.XLOOKUP(MAX(INT((OFFSET($C$12,$I223,MATCH($AD$11,$D$12:$G$12,0))-6)/10),1),组队产出!$B$25:$B$39,组队产出!$P$25:$P$39)*OFFSET($C$1,MATCH(AF$12,$C$2:$C$7,0),MATCH($AD$11,$D$12:$G$12,0))</f>
        <v>#N/A</v>
      </c>
      <c r="AG223" s="163">
        <f ca="1">竞技场!$G$3*OFFSET($C$1,MATCH(AG$12,$C$2:$C$7,0),MATCH($AD$11,$D$12:$G$12,0))</f>
        <v>3150</v>
      </c>
      <c r="AH22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3" s="23">
        <f>任务!$G$6+任务!$G$9+IF(MOD(AC223,7)=0,任务!$N$9+任务!$O$6,0)</f>
        <v>895</v>
      </c>
      <c r="AJ223" s="25">
        <f>公会!$U$11</f>
        <v>2766.62857142857</v>
      </c>
      <c r="AK223" s="163" t="e">
        <f ca="1">_xlfn.XLOOKUP(OFFSET($C$12,$I223,MATCH($AD$11,$D$12:$G$12,0)),巡逻产出!$B$311:$B$610,巡逻产出!$Q$311:$Q$610)*OFFSET($C$1,MATCH(AK$12,$C$2:$C$7,0),MATCH($AD$11,$D$12:$G$12,0))</f>
        <v>#N/A</v>
      </c>
      <c r="AM223" s="164">
        <v>211</v>
      </c>
      <c r="AN223" s="165">
        <f t="shared" si="29"/>
        <v>24650</v>
      </c>
      <c r="AO223" s="165">
        <f t="shared" si="30"/>
        <v>30919</v>
      </c>
      <c r="AP223" s="165">
        <f t="shared" si="31"/>
        <v>49041</v>
      </c>
      <c r="AQ223" s="165">
        <f t="shared" si="32"/>
        <v>64556</v>
      </c>
    </row>
    <row r="224" spans="3:43">
      <c r="C224" s="160">
        <v>212</v>
      </c>
      <c r="D224" s="169">
        <v>173</v>
      </c>
      <c r="E224" s="170">
        <f t="shared" si="27"/>
        <v>127.75</v>
      </c>
      <c r="F224" s="169">
        <f t="shared" si="28"/>
        <v>151.049999999999</v>
      </c>
      <c r="G224" s="163">
        <f t="shared" si="33"/>
        <v>229</v>
      </c>
      <c r="I224" s="160">
        <v>212</v>
      </c>
      <c r="J224" s="163" t="e">
        <f ca="1">_xlfn.XLOOKUP(OFFSET($C$12,$I224,MATCH($J$11,$D$12:$G$12,0)),主线推图!$B$313:$B$612,主线推图!$P$313:$P$612)*OFFSET($C$1,MATCH(J$12,$C$2:$C$7,0),MATCH($J$11,$D$12:$G$12,0))</f>
        <v>#N/A</v>
      </c>
      <c r="K224" s="163" t="e">
        <f ca="1">_xlfn.XLOOKUP(OFFSET($C$12,$I224,MATCH($J$11,$D$12:$G$12,0)),巡逻产出!$B$311:$B$610,巡逻产出!$R$311:$R$610)*OFFSET($C$1,MATCH(K$12,$C$2:$C$7,0),MATCH($J$11,$D$12:$G$12,0))</f>
        <v>#N/A</v>
      </c>
      <c r="L224" s="163">
        <f ca="1">_xlfn.XLOOKUP(MAX(INT((OFFSET($C$12,$I224,MATCH($J$11,$D$12:$G$12,0))-6)/10),1),组队产出!$B$25:$B$39,组队产出!$P$25:$P$39)*OFFSET($C$1,MATCH(L$12,$C$2:$C$7,0),MATCH($J$11,$D$12:$G$12,0))</f>
        <v>1124.4</v>
      </c>
      <c r="M224" s="163">
        <f ca="1">竞技场!$G$3*OFFSET($C$1,MATCH(M$12,$C$2:$C$7,0),MATCH($J$11,$D$12:$G$12,0))</f>
        <v>1050</v>
      </c>
      <c r="N22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4" s="23">
        <f>任务!$G$6+任务!$G$9+IF(MOD(I224,7)=0,任务!$N$9+任务!$O$6,0)</f>
        <v>895</v>
      </c>
      <c r="P224" s="25">
        <f>公会!$U$11</f>
        <v>2766.62857142857</v>
      </c>
      <c r="Q224" s="163" t="e">
        <f ca="1">_xlfn.XLOOKUP(OFFSET($C$12,$I224,MATCH($J$11,$D$12:$G$12,0)),巡逻产出!$B$311:$B$610,巡逻产出!$Q$311:$Q$610)*OFFSET($C$1,MATCH(Q$12,$C$2:$C$7,0),MATCH($J$11,$D$12:$G$12,0))</f>
        <v>#N/A</v>
      </c>
      <c r="S224" s="160">
        <v>212</v>
      </c>
      <c r="T224" s="163" t="e">
        <f ca="1">_xlfn.XLOOKUP(OFFSET($C$12,$I224,MATCH($T$11,$D$12:$G$12,0)),主线推图!$B$313:$B$612,主线推图!$P$313:$P$612)*OFFSET($C$1,MATCH(T$12,$C$2:$C$7,0),MATCH($T$11,$D$12:$G$12,0))</f>
        <v>#N/A</v>
      </c>
      <c r="U224" s="163" t="e">
        <f ca="1">_xlfn.XLOOKUP(OFFSET($C$12,$I224,MATCH($T$11,$D$12:$G$12,0)),巡逻产出!$B$311:$B$610,巡逻产出!$R$311:$R$610)*OFFSET($C$1,MATCH(U$12,$C$2:$C$7,0),MATCH($T$11,$D$12:$G$12,0))</f>
        <v>#N/A</v>
      </c>
      <c r="V224" s="163">
        <f ca="1">_xlfn.XLOOKUP(MAX(INT((OFFSET($C$12,$I224,MATCH($T$11,$D$12:$G$12,0))-6)/10),1),组队产出!$B$25:$B$39,组队产出!$P$25:$P$39)*OFFSET($C$1,MATCH(V$12,$C$2:$C$7,0),MATCH($T$11,$D$12:$G$12,0))</f>
        <v>2308.8</v>
      </c>
      <c r="W224" s="163">
        <f ca="1">竞技场!$G$3*OFFSET($C$1,MATCH(W$12,$C$2:$C$7,0),MATCH($T$11,$D$12:$G$12,0))</f>
        <v>2100</v>
      </c>
      <c r="X22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4" s="23">
        <f>任务!$G$6+任务!$G$9+IF(MOD(S224,7)=0,任务!$N$9+任务!$O$6,0)</f>
        <v>895</v>
      </c>
      <c r="Z224" s="25">
        <f>公会!$U$11</f>
        <v>2766.62857142857</v>
      </c>
      <c r="AA224" s="163" t="e">
        <f ca="1">_xlfn.XLOOKUP(OFFSET($C$12,$I224,MATCH($T$11,$D$12:$G$12,0)),巡逻产出!$B$311:$B$610,巡逻产出!$Q$311:$Q$610)*OFFSET($C$1,MATCH(AA$12,$C$2:$C$7,0),MATCH($T$11,$D$12:$G$12,0))</f>
        <v>#N/A</v>
      </c>
      <c r="AC224" s="160">
        <v>212</v>
      </c>
      <c r="AD224" s="163">
        <f ca="1">_xlfn.XLOOKUP(OFFSET($C$12,$I224,MATCH($AD$11,$D$12:$G$12,0)),主线推图!$B$313:$B$612,主线推图!$P$313:$P$612)*OFFSET($C$1,MATCH(AD$12,$C$2:$C$7,0),MATCH($AD$11,$D$12:$G$12,0))</f>
        <v>3449.6</v>
      </c>
      <c r="AE224" s="163">
        <f ca="1">_xlfn.XLOOKUP(OFFSET($C$12,$I224,MATCH($AD$11,$D$12:$G$12,0)),巡逻产出!$B$311:$B$610,巡逻产出!$R$311:$R$610)*OFFSET($C$1,MATCH(AE$12,$C$2:$C$7,0),MATCH($AD$11,$D$12:$G$12,0))</f>
        <v>0</v>
      </c>
      <c r="AF224" s="163" t="e">
        <f ca="1">_xlfn.XLOOKUP(MAX(INT((OFFSET($C$12,$I224,MATCH($AD$11,$D$12:$G$12,0))-6)/10),1),组队产出!$B$25:$B$39,组队产出!$P$25:$P$39)*OFFSET($C$1,MATCH(AF$12,$C$2:$C$7,0),MATCH($AD$11,$D$12:$G$12,0))</f>
        <v>#N/A</v>
      </c>
      <c r="AG224" s="163">
        <f ca="1">竞技场!$G$3*OFFSET($C$1,MATCH(AG$12,$C$2:$C$7,0),MATCH($AD$11,$D$12:$G$12,0))</f>
        <v>3150</v>
      </c>
      <c r="AH22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4" s="23">
        <f>任务!$G$6+任务!$G$9+IF(MOD(AC224,7)=0,任务!$N$9+任务!$O$6,0)</f>
        <v>895</v>
      </c>
      <c r="AJ224" s="25">
        <f>公会!$U$11</f>
        <v>2766.62857142857</v>
      </c>
      <c r="AK224" s="163">
        <f ca="1">_xlfn.XLOOKUP(OFFSET($C$12,$I224,MATCH($AD$11,$D$12:$G$12,0)),巡逻产出!$B$311:$B$610,巡逻产出!$Q$311:$Q$610)*OFFSET($C$1,MATCH(AK$12,$C$2:$C$7,0),MATCH($AD$11,$D$12:$G$12,0))</f>
        <v>2388.048</v>
      </c>
      <c r="AM224" s="164">
        <v>212</v>
      </c>
      <c r="AN224" s="165">
        <f t="shared" si="29"/>
        <v>24763</v>
      </c>
      <c r="AO224" s="165">
        <f t="shared" si="30"/>
        <v>31062</v>
      </c>
      <c r="AP224" s="165">
        <f t="shared" si="31"/>
        <v>49269</v>
      </c>
      <c r="AQ224" s="165">
        <f t="shared" si="32"/>
        <v>64858</v>
      </c>
    </row>
    <row r="225" spans="3:43">
      <c r="C225" s="160">
        <v>213</v>
      </c>
      <c r="D225" s="169">
        <v>173</v>
      </c>
      <c r="E225" s="170">
        <f t="shared" si="27"/>
        <v>128</v>
      </c>
      <c r="F225" s="169">
        <f t="shared" si="28"/>
        <v>151.399999999999</v>
      </c>
      <c r="G225" s="163">
        <f t="shared" si="33"/>
        <v>229.5</v>
      </c>
      <c r="I225" s="160">
        <v>213</v>
      </c>
      <c r="J225" s="163" t="e">
        <f ca="1">_xlfn.XLOOKUP(OFFSET($C$12,$I225,MATCH($J$11,$D$12:$G$12,0)),主线推图!$B$313:$B$612,主线推图!$P$313:$P$612)*OFFSET($C$1,MATCH(J$12,$C$2:$C$7,0),MATCH($J$11,$D$12:$G$12,0))</f>
        <v>#N/A</v>
      </c>
      <c r="K225" s="163" t="e">
        <f ca="1">_xlfn.XLOOKUP(OFFSET($C$12,$I225,MATCH($J$11,$D$12:$G$12,0)),巡逻产出!$B$311:$B$610,巡逻产出!$R$311:$R$610)*OFFSET($C$1,MATCH(K$12,$C$2:$C$7,0),MATCH($J$11,$D$12:$G$12,0))</f>
        <v>#N/A</v>
      </c>
      <c r="L225" s="163">
        <f ca="1">_xlfn.XLOOKUP(MAX(INT((OFFSET($C$12,$I225,MATCH($J$11,$D$12:$G$12,0))-6)/10),1),组队产出!$B$25:$B$39,组队产出!$P$25:$P$39)*OFFSET($C$1,MATCH(L$12,$C$2:$C$7,0),MATCH($J$11,$D$12:$G$12,0))</f>
        <v>1124.4</v>
      </c>
      <c r="M225" s="163">
        <f ca="1">竞技场!$G$3*OFFSET($C$1,MATCH(M$12,$C$2:$C$7,0),MATCH($J$11,$D$12:$G$12,0))</f>
        <v>1050</v>
      </c>
      <c r="N22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5" s="23">
        <f>任务!$G$6+任务!$G$9+IF(MOD(I225,7)=0,任务!$N$9+任务!$O$6,0)</f>
        <v>895</v>
      </c>
      <c r="P225" s="25">
        <f>公会!$U$11</f>
        <v>2766.62857142857</v>
      </c>
      <c r="Q225" s="163" t="e">
        <f ca="1">_xlfn.XLOOKUP(OFFSET($C$12,$I225,MATCH($J$11,$D$12:$G$12,0)),巡逻产出!$B$311:$B$610,巡逻产出!$Q$311:$Q$610)*OFFSET($C$1,MATCH(Q$12,$C$2:$C$7,0),MATCH($J$11,$D$12:$G$12,0))</f>
        <v>#N/A</v>
      </c>
      <c r="S225" s="160">
        <v>213</v>
      </c>
      <c r="T225" s="163" t="e">
        <f ca="1">_xlfn.XLOOKUP(OFFSET($C$12,$I225,MATCH($T$11,$D$12:$G$12,0)),主线推图!$B$313:$B$612,主线推图!$P$313:$P$612)*OFFSET($C$1,MATCH(T$12,$C$2:$C$7,0),MATCH($T$11,$D$12:$G$12,0))</f>
        <v>#N/A</v>
      </c>
      <c r="U225" s="163" t="e">
        <f ca="1">_xlfn.XLOOKUP(OFFSET($C$12,$I225,MATCH($T$11,$D$12:$G$12,0)),巡逻产出!$B$311:$B$610,巡逻产出!$R$311:$R$610)*OFFSET($C$1,MATCH(U$12,$C$2:$C$7,0),MATCH($T$11,$D$12:$G$12,0))</f>
        <v>#N/A</v>
      </c>
      <c r="V225" s="163">
        <f ca="1">_xlfn.XLOOKUP(MAX(INT((OFFSET($C$12,$I225,MATCH($T$11,$D$12:$G$12,0))-6)/10),1),组队产出!$B$25:$B$39,组队产出!$P$25:$P$39)*OFFSET($C$1,MATCH(V$12,$C$2:$C$7,0),MATCH($T$11,$D$12:$G$12,0))</f>
        <v>2308.8</v>
      </c>
      <c r="W225" s="163">
        <f ca="1">竞技场!$G$3*OFFSET($C$1,MATCH(W$12,$C$2:$C$7,0),MATCH($T$11,$D$12:$G$12,0))</f>
        <v>2100</v>
      </c>
      <c r="X22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5" s="23">
        <f>任务!$G$6+任务!$G$9+IF(MOD(S225,7)=0,任务!$N$9+任务!$O$6,0)</f>
        <v>895</v>
      </c>
      <c r="Z225" s="25">
        <f>公会!$U$11</f>
        <v>2766.62857142857</v>
      </c>
      <c r="AA225" s="163" t="e">
        <f ca="1">_xlfn.XLOOKUP(OFFSET($C$12,$I225,MATCH($T$11,$D$12:$G$12,0)),巡逻产出!$B$311:$B$610,巡逻产出!$Q$311:$Q$610)*OFFSET($C$1,MATCH(AA$12,$C$2:$C$7,0),MATCH($T$11,$D$12:$G$12,0))</f>
        <v>#N/A</v>
      </c>
      <c r="AC225" s="160">
        <v>213</v>
      </c>
      <c r="AD225" s="163" t="e">
        <f ca="1">_xlfn.XLOOKUP(OFFSET($C$12,$I225,MATCH($AD$11,$D$12:$G$12,0)),主线推图!$B$313:$B$612,主线推图!$P$313:$P$612)*OFFSET($C$1,MATCH(AD$12,$C$2:$C$7,0),MATCH($AD$11,$D$12:$G$12,0))</f>
        <v>#N/A</v>
      </c>
      <c r="AE225" s="163" t="e">
        <f ca="1">_xlfn.XLOOKUP(OFFSET($C$12,$I225,MATCH($AD$11,$D$12:$G$12,0)),巡逻产出!$B$311:$B$610,巡逻产出!$R$311:$R$610)*OFFSET($C$1,MATCH(AE$12,$C$2:$C$7,0),MATCH($AD$11,$D$12:$G$12,0))</f>
        <v>#N/A</v>
      </c>
      <c r="AF225" s="163" t="e">
        <f ca="1">_xlfn.XLOOKUP(MAX(INT((OFFSET($C$12,$I225,MATCH($AD$11,$D$12:$G$12,0))-6)/10),1),组队产出!$B$25:$B$39,组队产出!$P$25:$P$39)*OFFSET($C$1,MATCH(AF$12,$C$2:$C$7,0),MATCH($AD$11,$D$12:$G$12,0))</f>
        <v>#N/A</v>
      </c>
      <c r="AG225" s="163">
        <f ca="1">竞技场!$G$3*OFFSET($C$1,MATCH(AG$12,$C$2:$C$7,0),MATCH($AD$11,$D$12:$G$12,0))</f>
        <v>3150</v>
      </c>
      <c r="AH22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5" s="23">
        <f>任务!$G$6+任务!$G$9+IF(MOD(AC225,7)=0,任务!$N$9+任务!$O$6,0)</f>
        <v>895</v>
      </c>
      <c r="AJ225" s="25">
        <f>公会!$U$11</f>
        <v>2766.62857142857</v>
      </c>
      <c r="AK225" s="163" t="e">
        <f ca="1">_xlfn.XLOOKUP(OFFSET($C$12,$I225,MATCH($AD$11,$D$12:$G$12,0)),巡逻产出!$B$311:$B$610,巡逻产出!$Q$311:$Q$610)*OFFSET($C$1,MATCH(AK$12,$C$2:$C$7,0),MATCH($AD$11,$D$12:$G$12,0))</f>
        <v>#N/A</v>
      </c>
      <c r="AM225" s="164">
        <v>213</v>
      </c>
      <c r="AN225" s="165">
        <f t="shared" si="29"/>
        <v>24877</v>
      </c>
      <c r="AO225" s="165">
        <f t="shared" si="30"/>
        <v>31205</v>
      </c>
      <c r="AP225" s="165">
        <f t="shared" si="31"/>
        <v>49498</v>
      </c>
      <c r="AQ225" s="165">
        <f t="shared" si="32"/>
        <v>65160</v>
      </c>
    </row>
    <row r="226" spans="3:43">
      <c r="C226" s="160">
        <v>214</v>
      </c>
      <c r="D226" s="169">
        <v>173</v>
      </c>
      <c r="E226" s="170">
        <f t="shared" si="27"/>
        <v>128.25</v>
      </c>
      <c r="F226" s="169">
        <f t="shared" si="28"/>
        <v>151.749999999999</v>
      </c>
      <c r="G226" s="163">
        <f t="shared" si="33"/>
        <v>230</v>
      </c>
      <c r="I226" s="160">
        <v>214</v>
      </c>
      <c r="J226" s="163" t="e">
        <f ca="1">_xlfn.XLOOKUP(OFFSET($C$12,$I226,MATCH($J$11,$D$12:$G$12,0)),主线推图!$B$313:$B$612,主线推图!$P$313:$P$612)*OFFSET($C$1,MATCH(J$12,$C$2:$C$7,0),MATCH($J$11,$D$12:$G$12,0))</f>
        <v>#N/A</v>
      </c>
      <c r="K226" s="163" t="e">
        <f ca="1">_xlfn.XLOOKUP(OFFSET($C$12,$I226,MATCH($J$11,$D$12:$G$12,0)),巡逻产出!$B$311:$B$610,巡逻产出!$R$311:$R$610)*OFFSET($C$1,MATCH(K$12,$C$2:$C$7,0),MATCH($J$11,$D$12:$G$12,0))</f>
        <v>#N/A</v>
      </c>
      <c r="L226" s="163">
        <f ca="1">_xlfn.XLOOKUP(MAX(INT((OFFSET($C$12,$I226,MATCH($J$11,$D$12:$G$12,0))-6)/10),1),组队产出!$B$25:$B$39,组队产出!$P$25:$P$39)*OFFSET($C$1,MATCH(L$12,$C$2:$C$7,0),MATCH($J$11,$D$12:$G$12,0))</f>
        <v>1124.4</v>
      </c>
      <c r="M226" s="163">
        <f ca="1">竞技场!$G$3*OFFSET($C$1,MATCH(M$12,$C$2:$C$7,0),MATCH($J$11,$D$12:$G$12,0))</f>
        <v>1050</v>
      </c>
      <c r="N22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6" s="23">
        <f>任务!$G$6+任务!$G$9+IF(MOD(I226,7)=0,任务!$N$9+任务!$O$6,0)</f>
        <v>895</v>
      </c>
      <c r="P226" s="25">
        <f>公会!$U$11</f>
        <v>2766.62857142857</v>
      </c>
      <c r="Q226" s="163" t="e">
        <f ca="1">_xlfn.XLOOKUP(OFFSET($C$12,$I226,MATCH($J$11,$D$12:$G$12,0)),巡逻产出!$B$311:$B$610,巡逻产出!$Q$311:$Q$610)*OFFSET($C$1,MATCH(Q$12,$C$2:$C$7,0),MATCH($J$11,$D$12:$G$12,0))</f>
        <v>#N/A</v>
      </c>
      <c r="S226" s="160">
        <v>214</v>
      </c>
      <c r="T226" s="163" t="e">
        <f ca="1">_xlfn.XLOOKUP(OFFSET($C$12,$I226,MATCH($T$11,$D$12:$G$12,0)),主线推图!$B$313:$B$612,主线推图!$P$313:$P$612)*OFFSET($C$1,MATCH(T$12,$C$2:$C$7,0),MATCH($T$11,$D$12:$G$12,0))</f>
        <v>#N/A</v>
      </c>
      <c r="U226" s="163" t="e">
        <f ca="1">_xlfn.XLOOKUP(OFFSET($C$12,$I226,MATCH($T$11,$D$12:$G$12,0)),巡逻产出!$B$311:$B$610,巡逻产出!$R$311:$R$610)*OFFSET($C$1,MATCH(U$12,$C$2:$C$7,0),MATCH($T$11,$D$12:$G$12,0))</f>
        <v>#N/A</v>
      </c>
      <c r="V226" s="163">
        <f ca="1">_xlfn.XLOOKUP(MAX(INT((OFFSET($C$12,$I226,MATCH($T$11,$D$12:$G$12,0))-6)/10),1),组队产出!$B$25:$B$39,组队产出!$P$25:$P$39)*OFFSET($C$1,MATCH(V$12,$C$2:$C$7,0),MATCH($T$11,$D$12:$G$12,0))</f>
        <v>2308.8</v>
      </c>
      <c r="W226" s="163">
        <f ca="1">竞技场!$G$3*OFFSET($C$1,MATCH(W$12,$C$2:$C$7,0),MATCH($T$11,$D$12:$G$12,0))</f>
        <v>2100</v>
      </c>
      <c r="X22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6" s="23">
        <f>任务!$G$6+任务!$G$9+IF(MOD(S226,7)=0,任务!$N$9+任务!$O$6,0)</f>
        <v>895</v>
      </c>
      <c r="Z226" s="25">
        <f>公会!$U$11</f>
        <v>2766.62857142857</v>
      </c>
      <c r="AA226" s="163" t="e">
        <f ca="1">_xlfn.XLOOKUP(OFFSET($C$12,$I226,MATCH($T$11,$D$12:$G$12,0)),巡逻产出!$B$311:$B$610,巡逻产出!$Q$311:$Q$610)*OFFSET($C$1,MATCH(AA$12,$C$2:$C$7,0),MATCH($T$11,$D$12:$G$12,0))</f>
        <v>#N/A</v>
      </c>
      <c r="AC226" s="160">
        <v>214</v>
      </c>
      <c r="AD226" s="163">
        <f ca="1">_xlfn.XLOOKUP(OFFSET($C$12,$I226,MATCH($AD$11,$D$12:$G$12,0)),主线推图!$B$313:$B$612,主线推图!$P$313:$P$612)*OFFSET($C$1,MATCH(AD$12,$C$2:$C$7,0),MATCH($AD$11,$D$12:$G$12,0))</f>
        <v>3451.8</v>
      </c>
      <c r="AE226" s="163">
        <f ca="1">_xlfn.XLOOKUP(OFFSET($C$12,$I226,MATCH($AD$11,$D$12:$G$12,0)),巡逻产出!$B$311:$B$610,巡逻产出!$R$311:$R$610)*OFFSET($C$1,MATCH(AE$12,$C$2:$C$7,0),MATCH($AD$11,$D$12:$G$12,0))</f>
        <v>0</v>
      </c>
      <c r="AF226" s="163" t="e">
        <f ca="1">_xlfn.XLOOKUP(MAX(INT((OFFSET($C$12,$I226,MATCH($AD$11,$D$12:$G$12,0))-6)/10),1),组队产出!$B$25:$B$39,组队产出!$P$25:$P$39)*OFFSET($C$1,MATCH(AF$12,$C$2:$C$7,0),MATCH($AD$11,$D$12:$G$12,0))</f>
        <v>#N/A</v>
      </c>
      <c r="AG226" s="163">
        <f ca="1">竞技场!$G$3*OFFSET($C$1,MATCH(AG$12,$C$2:$C$7,0),MATCH($AD$11,$D$12:$G$12,0))</f>
        <v>3150</v>
      </c>
      <c r="AH22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6" s="23">
        <f>任务!$G$6+任务!$G$9+IF(MOD(AC226,7)=0,任务!$N$9+任务!$O$6,0)</f>
        <v>895</v>
      </c>
      <c r="AJ226" s="25">
        <f>公会!$U$11</f>
        <v>2766.62857142857</v>
      </c>
      <c r="AK226" s="163">
        <f ca="1">_xlfn.XLOOKUP(OFFSET($C$12,$I226,MATCH($AD$11,$D$12:$G$12,0)),巡逻产出!$B$311:$B$610,巡逻产出!$Q$311:$Q$610)*OFFSET($C$1,MATCH(AK$12,$C$2:$C$7,0),MATCH($AD$11,$D$12:$G$12,0))</f>
        <v>2389.608</v>
      </c>
      <c r="AM226" s="164">
        <v>214</v>
      </c>
      <c r="AN226" s="165">
        <f t="shared" si="29"/>
        <v>24990</v>
      </c>
      <c r="AO226" s="165">
        <f t="shared" si="30"/>
        <v>31348</v>
      </c>
      <c r="AP226" s="165">
        <f t="shared" si="31"/>
        <v>49726</v>
      </c>
      <c r="AQ226" s="165">
        <f t="shared" si="32"/>
        <v>65462</v>
      </c>
    </row>
    <row r="227" spans="3:43">
      <c r="C227" s="160">
        <v>215</v>
      </c>
      <c r="D227" s="169">
        <v>173</v>
      </c>
      <c r="E227" s="170">
        <f t="shared" si="27"/>
        <v>128.5</v>
      </c>
      <c r="F227" s="169">
        <f t="shared" si="28"/>
        <v>152.099999999999</v>
      </c>
      <c r="G227" s="163">
        <f t="shared" si="33"/>
        <v>230.5</v>
      </c>
      <c r="I227" s="160">
        <v>215</v>
      </c>
      <c r="J227" s="163" t="e">
        <f ca="1">_xlfn.XLOOKUP(OFFSET($C$12,$I227,MATCH($J$11,$D$12:$G$12,0)),主线推图!$B$313:$B$612,主线推图!$P$313:$P$612)*OFFSET($C$1,MATCH(J$12,$C$2:$C$7,0),MATCH($J$11,$D$12:$G$12,0))</f>
        <v>#N/A</v>
      </c>
      <c r="K227" s="163" t="e">
        <f ca="1">_xlfn.XLOOKUP(OFFSET($C$12,$I227,MATCH($J$11,$D$12:$G$12,0)),巡逻产出!$B$311:$B$610,巡逻产出!$R$311:$R$610)*OFFSET($C$1,MATCH(K$12,$C$2:$C$7,0),MATCH($J$11,$D$12:$G$12,0))</f>
        <v>#N/A</v>
      </c>
      <c r="L227" s="163">
        <f ca="1">_xlfn.XLOOKUP(MAX(INT((OFFSET($C$12,$I227,MATCH($J$11,$D$12:$G$12,0))-6)/10),1),组队产出!$B$25:$B$39,组队产出!$P$25:$P$39)*OFFSET($C$1,MATCH(L$12,$C$2:$C$7,0),MATCH($J$11,$D$12:$G$12,0))</f>
        <v>1124.4</v>
      </c>
      <c r="M227" s="163">
        <f ca="1">竞技场!$G$3*OFFSET($C$1,MATCH(M$12,$C$2:$C$7,0),MATCH($J$11,$D$12:$G$12,0))</f>
        <v>1050</v>
      </c>
      <c r="N22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7" s="23">
        <f>任务!$G$6+任务!$G$9+IF(MOD(I227,7)=0,任务!$N$9+任务!$O$6,0)</f>
        <v>895</v>
      </c>
      <c r="P227" s="25">
        <f>公会!$U$11</f>
        <v>2766.62857142857</v>
      </c>
      <c r="Q227" s="163" t="e">
        <f ca="1">_xlfn.XLOOKUP(OFFSET($C$12,$I227,MATCH($J$11,$D$12:$G$12,0)),巡逻产出!$B$311:$B$610,巡逻产出!$Q$311:$Q$610)*OFFSET($C$1,MATCH(Q$12,$C$2:$C$7,0),MATCH($J$11,$D$12:$G$12,0))</f>
        <v>#N/A</v>
      </c>
      <c r="S227" s="160">
        <v>215</v>
      </c>
      <c r="T227" s="163" t="e">
        <f ca="1">_xlfn.XLOOKUP(OFFSET($C$12,$I227,MATCH($T$11,$D$12:$G$12,0)),主线推图!$B$313:$B$612,主线推图!$P$313:$P$612)*OFFSET($C$1,MATCH(T$12,$C$2:$C$7,0),MATCH($T$11,$D$12:$G$12,0))</f>
        <v>#N/A</v>
      </c>
      <c r="U227" s="163" t="e">
        <f ca="1">_xlfn.XLOOKUP(OFFSET($C$12,$I227,MATCH($T$11,$D$12:$G$12,0)),巡逻产出!$B$311:$B$610,巡逻产出!$R$311:$R$610)*OFFSET($C$1,MATCH(U$12,$C$2:$C$7,0),MATCH($T$11,$D$12:$G$12,0))</f>
        <v>#N/A</v>
      </c>
      <c r="V227" s="163">
        <f ca="1">_xlfn.XLOOKUP(MAX(INT((OFFSET($C$12,$I227,MATCH($T$11,$D$12:$G$12,0))-6)/10),1),组队产出!$B$25:$B$39,组队产出!$P$25:$P$39)*OFFSET($C$1,MATCH(V$12,$C$2:$C$7,0),MATCH($T$11,$D$12:$G$12,0))</f>
        <v>2308.8</v>
      </c>
      <c r="W227" s="163">
        <f ca="1">竞技场!$G$3*OFFSET($C$1,MATCH(W$12,$C$2:$C$7,0),MATCH($T$11,$D$12:$G$12,0))</f>
        <v>2100</v>
      </c>
      <c r="X22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7" s="23">
        <f>任务!$G$6+任务!$G$9+IF(MOD(S227,7)=0,任务!$N$9+任务!$O$6,0)</f>
        <v>895</v>
      </c>
      <c r="Z227" s="25">
        <f>公会!$U$11</f>
        <v>2766.62857142857</v>
      </c>
      <c r="AA227" s="163" t="e">
        <f ca="1">_xlfn.XLOOKUP(OFFSET($C$12,$I227,MATCH($T$11,$D$12:$G$12,0)),巡逻产出!$B$311:$B$610,巡逻产出!$Q$311:$Q$610)*OFFSET($C$1,MATCH(AA$12,$C$2:$C$7,0),MATCH($T$11,$D$12:$G$12,0))</f>
        <v>#N/A</v>
      </c>
      <c r="AC227" s="160">
        <v>215</v>
      </c>
      <c r="AD227" s="163" t="e">
        <f ca="1">_xlfn.XLOOKUP(OFFSET($C$12,$I227,MATCH($AD$11,$D$12:$G$12,0)),主线推图!$B$313:$B$612,主线推图!$P$313:$P$612)*OFFSET($C$1,MATCH(AD$12,$C$2:$C$7,0),MATCH($AD$11,$D$12:$G$12,0))</f>
        <v>#N/A</v>
      </c>
      <c r="AE227" s="163" t="e">
        <f ca="1">_xlfn.XLOOKUP(OFFSET($C$12,$I227,MATCH($AD$11,$D$12:$G$12,0)),巡逻产出!$B$311:$B$610,巡逻产出!$R$311:$R$610)*OFFSET($C$1,MATCH(AE$12,$C$2:$C$7,0),MATCH($AD$11,$D$12:$G$12,0))</f>
        <v>#N/A</v>
      </c>
      <c r="AF227" s="163" t="e">
        <f ca="1">_xlfn.XLOOKUP(MAX(INT((OFFSET($C$12,$I227,MATCH($AD$11,$D$12:$G$12,0))-6)/10),1),组队产出!$B$25:$B$39,组队产出!$P$25:$P$39)*OFFSET($C$1,MATCH(AF$12,$C$2:$C$7,0),MATCH($AD$11,$D$12:$G$12,0))</f>
        <v>#N/A</v>
      </c>
      <c r="AG227" s="163">
        <f ca="1">竞技场!$G$3*OFFSET($C$1,MATCH(AG$12,$C$2:$C$7,0),MATCH($AD$11,$D$12:$G$12,0))</f>
        <v>3150</v>
      </c>
      <c r="AH22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7" s="23">
        <f>任务!$G$6+任务!$G$9+IF(MOD(AC227,7)=0,任务!$N$9+任务!$O$6,0)</f>
        <v>895</v>
      </c>
      <c r="AJ227" s="25">
        <f>公会!$U$11</f>
        <v>2766.62857142857</v>
      </c>
      <c r="AK227" s="163" t="e">
        <f ca="1">_xlfn.XLOOKUP(OFFSET($C$12,$I227,MATCH($AD$11,$D$12:$G$12,0)),巡逻产出!$B$311:$B$610,巡逻产出!$Q$311:$Q$610)*OFFSET($C$1,MATCH(AK$12,$C$2:$C$7,0),MATCH($AD$11,$D$12:$G$12,0))</f>
        <v>#N/A</v>
      </c>
      <c r="AM227" s="164">
        <v>215</v>
      </c>
      <c r="AN227" s="165">
        <f t="shared" si="29"/>
        <v>25104</v>
      </c>
      <c r="AO227" s="165">
        <f t="shared" si="30"/>
        <v>31491</v>
      </c>
      <c r="AP227" s="165">
        <f t="shared" si="31"/>
        <v>49955</v>
      </c>
      <c r="AQ227" s="165">
        <f t="shared" si="32"/>
        <v>65764</v>
      </c>
    </row>
    <row r="228" spans="3:43">
      <c r="C228" s="160">
        <v>216</v>
      </c>
      <c r="D228" s="169">
        <v>173</v>
      </c>
      <c r="E228" s="170">
        <f t="shared" si="27"/>
        <v>128.75</v>
      </c>
      <c r="F228" s="169">
        <f t="shared" si="28"/>
        <v>152.449999999999</v>
      </c>
      <c r="G228" s="163">
        <f t="shared" si="33"/>
        <v>231</v>
      </c>
      <c r="I228" s="160">
        <v>216</v>
      </c>
      <c r="J228" s="163" t="e">
        <f ca="1">_xlfn.XLOOKUP(OFFSET($C$12,$I228,MATCH($J$11,$D$12:$G$12,0)),主线推图!$B$313:$B$612,主线推图!$P$313:$P$612)*OFFSET($C$1,MATCH(J$12,$C$2:$C$7,0),MATCH($J$11,$D$12:$G$12,0))</f>
        <v>#N/A</v>
      </c>
      <c r="K228" s="163" t="e">
        <f ca="1">_xlfn.XLOOKUP(OFFSET($C$12,$I228,MATCH($J$11,$D$12:$G$12,0)),巡逻产出!$B$311:$B$610,巡逻产出!$R$311:$R$610)*OFFSET($C$1,MATCH(K$12,$C$2:$C$7,0),MATCH($J$11,$D$12:$G$12,0))</f>
        <v>#N/A</v>
      </c>
      <c r="L228" s="163">
        <f ca="1">_xlfn.XLOOKUP(MAX(INT((OFFSET($C$12,$I228,MATCH($J$11,$D$12:$G$12,0))-6)/10),1),组队产出!$B$25:$B$39,组队产出!$P$25:$P$39)*OFFSET($C$1,MATCH(L$12,$C$2:$C$7,0),MATCH($J$11,$D$12:$G$12,0))</f>
        <v>1124.4</v>
      </c>
      <c r="M228" s="163">
        <f ca="1">竞技场!$G$3*OFFSET($C$1,MATCH(M$12,$C$2:$C$7,0),MATCH($J$11,$D$12:$G$12,0))</f>
        <v>1050</v>
      </c>
      <c r="N22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8" s="23">
        <f>任务!$G$6+任务!$G$9+IF(MOD(I228,7)=0,任务!$N$9+任务!$O$6,0)</f>
        <v>895</v>
      </c>
      <c r="P228" s="25">
        <f>公会!$U$11</f>
        <v>2766.62857142857</v>
      </c>
      <c r="Q228" s="163" t="e">
        <f ca="1">_xlfn.XLOOKUP(OFFSET($C$12,$I228,MATCH($J$11,$D$12:$G$12,0)),巡逻产出!$B$311:$B$610,巡逻产出!$Q$311:$Q$610)*OFFSET($C$1,MATCH(Q$12,$C$2:$C$7,0),MATCH($J$11,$D$12:$G$12,0))</f>
        <v>#N/A</v>
      </c>
      <c r="S228" s="160">
        <v>216</v>
      </c>
      <c r="T228" s="163" t="e">
        <f ca="1">_xlfn.XLOOKUP(OFFSET($C$12,$I228,MATCH($T$11,$D$12:$G$12,0)),主线推图!$B$313:$B$612,主线推图!$P$313:$P$612)*OFFSET($C$1,MATCH(T$12,$C$2:$C$7,0),MATCH($T$11,$D$12:$G$12,0))</f>
        <v>#N/A</v>
      </c>
      <c r="U228" s="163" t="e">
        <f ca="1">_xlfn.XLOOKUP(OFFSET($C$12,$I228,MATCH($T$11,$D$12:$G$12,0)),巡逻产出!$B$311:$B$610,巡逻产出!$R$311:$R$610)*OFFSET($C$1,MATCH(U$12,$C$2:$C$7,0),MATCH($T$11,$D$12:$G$12,0))</f>
        <v>#N/A</v>
      </c>
      <c r="V228" s="163">
        <f ca="1">_xlfn.XLOOKUP(MAX(INT((OFFSET($C$12,$I228,MATCH($T$11,$D$12:$G$12,0))-6)/10),1),组队产出!$B$25:$B$39,组队产出!$P$25:$P$39)*OFFSET($C$1,MATCH(V$12,$C$2:$C$7,0),MATCH($T$11,$D$12:$G$12,0))</f>
        <v>2308.8</v>
      </c>
      <c r="W228" s="163">
        <f ca="1">竞技场!$G$3*OFFSET($C$1,MATCH(W$12,$C$2:$C$7,0),MATCH($T$11,$D$12:$G$12,0))</f>
        <v>2100</v>
      </c>
      <c r="X22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8" s="23">
        <f>任务!$G$6+任务!$G$9+IF(MOD(S228,7)=0,任务!$N$9+任务!$O$6,0)</f>
        <v>895</v>
      </c>
      <c r="Z228" s="25">
        <f>公会!$U$11</f>
        <v>2766.62857142857</v>
      </c>
      <c r="AA228" s="163" t="e">
        <f ca="1">_xlfn.XLOOKUP(OFFSET($C$12,$I228,MATCH($T$11,$D$12:$G$12,0)),巡逻产出!$B$311:$B$610,巡逻产出!$Q$311:$Q$610)*OFFSET($C$1,MATCH(AA$12,$C$2:$C$7,0),MATCH($T$11,$D$12:$G$12,0))</f>
        <v>#N/A</v>
      </c>
      <c r="AC228" s="160">
        <v>216</v>
      </c>
      <c r="AD228" s="163">
        <f ca="1">_xlfn.XLOOKUP(OFFSET($C$12,$I228,MATCH($AD$11,$D$12:$G$12,0)),主线推图!$B$313:$B$612,主线推图!$P$313:$P$612)*OFFSET($C$1,MATCH(AD$12,$C$2:$C$7,0),MATCH($AD$11,$D$12:$G$12,0))</f>
        <v>3454</v>
      </c>
      <c r="AE228" s="163">
        <f ca="1">_xlfn.XLOOKUP(OFFSET($C$12,$I228,MATCH($AD$11,$D$12:$G$12,0)),巡逻产出!$B$311:$B$610,巡逻产出!$R$311:$R$610)*OFFSET($C$1,MATCH(AE$12,$C$2:$C$7,0),MATCH($AD$11,$D$12:$G$12,0))</f>
        <v>0</v>
      </c>
      <c r="AF228" s="163" t="e">
        <f ca="1">_xlfn.XLOOKUP(MAX(INT((OFFSET($C$12,$I228,MATCH($AD$11,$D$12:$G$12,0))-6)/10),1),组队产出!$B$25:$B$39,组队产出!$P$25:$P$39)*OFFSET($C$1,MATCH(AF$12,$C$2:$C$7,0),MATCH($AD$11,$D$12:$G$12,0))</f>
        <v>#N/A</v>
      </c>
      <c r="AG228" s="163">
        <f ca="1">竞技场!$G$3*OFFSET($C$1,MATCH(AG$12,$C$2:$C$7,0),MATCH($AD$11,$D$12:$G$12,0))</f>
        <v>3150</v>
      </c>
      <c r="AH22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8" s="23">
        <f>任务!$G$6+任务!$G$9+IF(MOD(AC228,7)=0,任务!$N$9+任务!$O$6,0)</f>
        <v>895</v>
      </c>
      <c r="AJ228" s="25">
        <f>公会!$U$11</f>
        <v>2766.62857142857</v>
      </c>
      <c r="AK228" s="163">
        <f ca="1">_xlfn.XLOOKUP(OFFSET($C$12,$I228,MATCH($AD$11,$D$12:$G$12,0)),巡逻产出!$B$311:$B$610,巡逻产出!$Q$311:$Q$610)*OFFSET($C$1,MATCH(AK$12,$C$2:$C$7,0),MATCH($AD$11,$D$12:$G$12,0))</f>
        <v>2391.168</v>
      </c>
      <c r="AM228" s="164">
        <v>216</v>
      </c>
      <c r="AN228" s="165">
        <f t="shared" si="29"/>
        <v>25217</v>
      </c>
      <c r="AO228" s="165">
        <f t="shared" si="30"/>
        <v>31634</v>
      </c>
      <c r="AP228" s="165">
        <f t="shared" si="31"/>
        <v>50183</v>
      </c>
      <c r="AQ228" s="165">
        <f t="shared" si="32"/>
        <v>66066</v>
      </c>
    </row>
    <row r="229" spans="3:43">
      <c r="C229" s="160">
        <v>217</v>
      </c>
      <c r="D229" s="169">
        <v>173</v>
      </c>
      <c r="E229" s="170">
        <f t="shared" si="27"/>
        <v>129</v>
      </c>
      <c r="F229" s="169">
        <f t="shared" si="28"/>
        <v>152.799999999999</v>
      </c>
      <c r="G229" s="163">
        <f t="shared" si="33"/>
        <v>231.5</v>
      </c>
      <c r="I229" s="160">
        <v>217</v>
      </c>
      <c r="J229" s="163" t="e">
        <f ca="1">_xlfn.XLOOKUP(OFFSET($C$12,$I229,MATCH($J$11,$D$12:$G$12,0)),主线推图!$B$313:$B$612,主线推图!$P$313:$P$612)*OFFSET($C$1,MATCH(J$12,$C$2:$C$7,0),MATCH($J$11,$D$12:$G$12,0))</f>
        <v>#N/A</v>
      </c>
      <c r="K229" s="163" t="e">
        <f ca="1">_xlfn.XLOOKUP(OFFSET($C$12,$I229,MATCH($J$11,$D$12:$G$12,0)),巡逻产出!$B$311:$B$610,巡逻产出!$R$311:$R$610)*OFFSET($C$1,MATCH(K$12,$C$2:$C$7,0),MATCH($J$11,$D$12:$G$12,0))</f>
        <v>#N/A</v>
      </c>
      <c r="L229" s="163">
        <f ca="1">_xlfn.XLOOKUP(MAX(INT((OFFSET($C$12,$I229,MATCH($J$11,$D$12:$G$12,0))-6)/10),1),组队产出!$B$25:$B$39,组队产出!$P$25:$P$39)*OFFSET($C$1,MATCH(L$12,$C$2:$C$7,0),MATCH($J$11,$D$12:$G$12,0))</f>
        <v>1124.4</v>
      </c>
      <c r="M229" s="163">
        <f ca="1">竞技场!$G$3*OFFSET($C$1,MATCH(M$12,$C$2:$C$7,0),MATCH($J$11,$D$12:$G$12,0))</f>
        <v>1050</v>
      </c>
      <c r="N22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9" s="23">
        <f>任务!$G$6+任务!$G$9+IF(MOD(I229,7)=0,任务!$N$9+任务!$O$6,0)</f>
        <v>3125</v>
      </c>
      <c r="P229" s="25">
        <f>公会!$U$11</f>
        <v>2766.62857142857</v>
      </c>
      <c r="Q229" s="163" t="e">
        <f ca="1">_xlfn.XLOOKUP(OFFSET($C$12,$I229,MATCH($J$11,$D$12:$G$12,0)),巡逻产出!$B$311:$B$610,巡逻产出!$Q$311:$Q$610)*OFFSET($C$1,MATCH(Q$12,$C$2:$C$7,0),MATCH($J$11,$D$12:$G$12,0))</f>
        <v>#N/A</v>
      </c>
      <c r="S229" s="160">
        <v>217</v>
      </c>
      <c r="T229" s="163" t="e">
        <f ca="1">_xlfn.XLOOKUP(OFFSET($C$12,$I229,MATCH($T$11,$D$12:$G$12,0)),主线推图!$B$313:$B$612,主线推图!$P$313:$P$612)*OFFSET($C$1,MATCH(T$12,$C$2:$C$7,0),MATCH($T$11,$D$12:$G$12,0))</f>
        <v>#N/A</v>
      </c>
      <c r="U229" s="163" t="e">
        <f ca="1">_xlfn.XLOOKUP(OFFSET($C$12,$I229,MATCH($T$11,$D$12:$G$12,0)),巡逻产出!$B$311:$B$610,巡逻产出!$R$311:$R$610)*OFFSET($C$1,MATCH(U$12,$C$2:$C$7,0),MATCH($T$11,$D$12:$G$12,0))</f>
        <v>#N/A</v>
      </c>
      <c r="V229" s="163">
        <f ca="1">_xlfn.XLOOKUP(MAX(INT((OFFSET($C$12,$I229,MATCH($T$11,$D$12:$G$12,0))-6)/10),1),组队产出!$B$25:$B$39,组队产出!$P$25:$P$39)*OFFSET($C$1,MATCH(V$12,$C$2:$C$7,0),MATCH($T$11,$D$12:$G$12,0))</f>
        <v>2308.8</v>
      </c>
      <c r="W229" s="163">
        <f ca="1">竞技场!$G$3*OFFSET($C$1,MATCH(W$12,$C$2:$C$7,0),MATCH($T$11,$D$12:$G$12,0))</f>
        <v>2100</v>
      </c>
      <c r="X22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9" s="23">
        <f>任务!$G$6+任务!$G$9+IF(MOD(S229,7)=0,任务!$N$9+任务!$O$6,0)</f>
        <v>3125</v>
      </c>
      <c r="Z229" s="25">
        <f>公会!$U$11</f>
        <v>2766.62857142857</v>
      </c>
      <c r="AA229" s="163" t="e">
        <f ca="1">_xlfn.XLOOKUP(OFFSET($C$12,$I229,MATCH($T$11,$D$12:$G$12,0)),巡逻产出!$B$311:$B$610,巡逻产出!$Q$311:$Q$610)*OFFSET($C$1,MATCH(AA$12,$C$2:$C$7,0),MATCH($T$11,$D$12:$G$12,0))</f>
        <v>#N/A</v>
      </c>
      <c r="AC229" s="160">
        <v>217</v>
      </c>
      <c r="AD229" s="163" t="e">
        <f ca="1">_xlfn.XLOOKUP(OFFSET($C$12,$I229,MATCH($AD$11,$D$12:$G$12,0)),主线推图!$B$313:$B$612,主线推图!$P$313:$P$612)*OFFSET($C$1,MATCH(AD$12,$C$2:$C$7,0),MATCH($AD$11,$D$12:$G$12,0))</f>
        <v>#N/A</v>
      </c>
      <c r="AE229" s="163" t="e">
        <f ca="1">_xlfn.XLOOKUP(OFFSET($C$12,$I229,MATCH($AD$11,$D$12:$G$12,0)),巡逻产出!$B$311:$B$610,巡逻产出!$R$311:$R$610)*OFFSET($C$1,MATCH(AE$12,$C$2:$C$7,0),MATCH($AD$11,$D$12:$G$12,0))</f>
        <v>#N/A</v>
      </c>
      <c r="AF229" s="163" t="e">
        <f ca="1">_xlfn.XLOOKUP(MAX(INT((OFFSET($C$12,$I229,MATCH($AD$11,$D$12:$G$12,0))-6)/10),1),组队产出!$B$25:$B$39,组队产出!$P$25:$P$39)*OFFSET($C$1,MATCH(AF$12,$C$2:$C$7,0),MATCH($AD$11,$D$12:$G$12,0))</f>
        <v>#N/A</v>
      </c>
      <c r="AG229" s="163">
        <f ca="1">竞技场!$G$3*OFFSET($C$1,MATCH(AG$12,$C$2:$C$7,0),MATCH($AD$11,$D$12:$G$12,0))</f>
        <v>3150</v>
      </c>
      <c r="AH22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9" s="23">
        <f>任务!$G$6+任务!$G$9+IF(MOD(AC229,7)=0,任务!$N$9+任务!$O$6,0)</f>
        <v>3125</v>
      </c>
      <c r="AJ229" s="25">
        <f>公会!$U$11</f>
        <v>2766.62857142857</v>
      </c>
      <c r="AK229" s="163" t="e">
        <f ca="1">_xlfn.XLOOKUP(OFFSET($C$12,$I229,MATCH($AD$11,$D$12:$G$12,0)),巡逻产出!$B$311:$B$610,巡逻产出!$Q$311:$Q$610)*OFFSET($C$1,MATCH(AK$12,$C$2:$C$7,0),MATCH($AD$11,$D$12:$G$12,0))</f>
        <v>#N/A</v>
      </c>
      <c r="AM229" s="164">
        <v>217</v>
      </c>
      <c r="AN229" s="165">
        <f t="shared" si="29"/>
        <v>25331</v>
      </c>
      <c r="AO229" s="165">
        <f t="shared" si="30"/>
        <v>31777</v>
      </c>
      <c r="AP229" s="165">
        <f t="shared" si="31"/>
        <v>50412</v>
      </c>
      <c r="AQ229" s="165">
        <f t="shared" si="32"/>
        <v>66368</v>
      </c>
    </row>
    <row r="230" spans="3:43">
      <c r="C230" s="160">
        <v>218</v>
      </c>
      <c r="D230" s="169">
        <v>173</v>
      </c>
      <c r="E230" s="170">
        <f t="shared" si="27"/>
        <v>129.25</v>
      </c>
      <c r="F230" s="169">
        <f t="shared" si="28"/>
        <v>153.149999999999</v>
      </c>
      <c r="G230" s="163">
        <f t="shared" si="33"/>
        <v>232</v>
      </c>
      <c r="I230" s="160">
        <v>218</v>
      </c>
      <c r="J230" s="163" t="e">
        <f ca="1">_xlfn.XLOOKUP(OFFSET($C$12,$I230,MATCH($J$11,$D$12:$G$12,0)),主线推图!$B$313:$B$612,主线推图!$P$313:$P$612)*OFFSET($C$1,MATCH(J$12,$C$2:$C$7,0),MATCH($J$11,$D$12:$G$12,0))</f>
        <v>#N/A</v>
      </c>
      <c r="K230" s="163" t="e">
        <f ca="1">_xlfn.XLOOKUP(OFFSET($C$12,$I230,MATCH($J$11,$D$12:$G$12,0)),巡逻产出!$B$311:$B$610,巡逻产出!$R$311:$R$610)*OFFSET($C$1,MATCH(K$12,$C$2:$C$7,0),MATCH($J$11,$D$12:$G$12,0))</f>
        <v>#N/A</v>
      </c>
      <c r="L230" s="163">
        <f ca="1">_xlfn.XLOOKUP(MAX(INT((OFFSET($C$12,$I230,MATCH($J$11,$D$12:$G$12,0))-6)/10),1),组队产出!$B$25:$B$39,组队产出!$P$25:$P$39)*OFFSET($C$1,MATCH(L$12,$C$2:$C$7,0),MATCH($J$11,$D$12:$G$12,0))</f>
        <v>1124.4</v>
      </c>
      <c r="M230" s="163">
        <f ca="1">竞技场!$G$3*OFFSET($C$1,MATCH(M$12,$C$2:$C$7,0),MATCH($J$11,$D$12:$G$12,0))</f>
        <v>1050</v>
      </c>
      <c r="N23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0" s="23">
        <f>任务!$G$6+任务!$G$9+IF(MOD(I230,7)=0,任务!$N$9+任务!$O$6,0)</f>
        <v>895</v>
      </c>
      <c r="P230" s="25">
        <f>公会!$U$11</f>
        <v>2766.62857142857</v>
      </c>
      <c r="Q230" s="163" t="e">
        <f ca="1">_xlfn.XLOOKUP(OFFSET($C$12,$I230,MATCH($J$11,$D$12:$G$12,0)),巡逻产出!$B$311:$B$610,巡逻产出!$Q$311:$Q$610)*OFFSET($C$1,MATCH(Q$12,$C$2:$C$7,0),MATCH($J$11,$D$12:$G$12,0))</f>
        <v>#N/A</v>
      </c>
      <c r="S230" s="160">
        <v>218</v>
      </c>
      <c r="T230" s="163" t="e">
        <f ca="1">_xlfn.XLOOKUP(OFFSET($C$12,$I230,MATCH($T$11,$D$12:$G$12,0)),主线推图!$B$313:$B$612,主线推图!$P$313:$P$612)*OFFSET($C$1,MATCH(T$12,$C$2:$C$7,0),MATCH($T$11,$D$12:$G$12,0))</f>
        <v>#N/A</v>
      </c>
      <c r="U230" s="163" t="e">
        <f ca="1">_xlfn.XLOOKUP(OFFSET($C$12,$I230,MATCH($T$11,$D$12:$G$12,0)),巡逻产出!$B$311:$B$610,巡逻产出!$R$311:$R$610)*OFFSET($C$1,MATCH(U$12,$C$2:$C$7,0),MATCH($T$11,$D$12:$G$12,0))</f>
        <v>#N/A</v>
      </c>
      <c r="V230" s="163">
        <f ca="1">_xlfn.XLOOKUP(MAX(INT((OFFSET($C$12,$I230,MATCH($T$11,$D$12:$G$12,0))-6)/10),1),组队产出!$B$25:$B$39,组队产出!$P$25:$P$39)*OFFSET($C$1,MATCH(V$12,$C$2:$C$7,0),MATCH($T$11,$D$12:$G$12,0))</f>
        <v>2308.8</v>
      </c>
      <c r="W230" s="163">
        <f ca="1">竞技场!$G$3*OFFSET($C$1,MATCH(W$12,$C$2:$C$7,0),MATCH($T$11,$D$12:$G$12,0))</f>
        <v>2100</v>
      </c>
      <c r="X23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0" s="23">
        <f>任务!$G$6+任务!$G$9+IF(MOD(S230,7)=0,任务!$N$9+任务!$O$6,0)</f>
        <v>895</v>
      </c>
      <c r="Z230" s="25">
        <f>公会!$U$11</f>
        <v>2766.62857142857</v>
      </c>
      <c r="AA230" s="163" t="e">
        <f ca="1">_xlfn.XLOOKUP(OFFSET($C$12,$I230,MATCH($T$11,$D$12:$G$12,0)),巡逻产出!$B$311:$B$610,巡逻产出!$Q$311:$Q$610)*OFFSET($C$1,MATCH(AA$12,$C$2:$C$7,0),MATCH($T$11,$D$12:$G$12,0))</f>
        <v>#N/A</v>
      </c>
      <c r="AC230" s="160">
        <v>218</v>
      </c>
      <c r="AD230" s="163">
        <f ca="1">_xlfn.XLOOKUP(OFFSET($C$12,$I230,MATCH($AD$11,$D$12:$G$12,0)),主线推图!$B$313:$B$612,主线推图!$P$313:$P$612)*OFFSET($C$1,MATCH(AD$12,$C$2:$C$7,0),MATCH($AD$11,$D$12:$G$12,0))</f>
        <v>3456.2</v>
      </c>
      <c r="AE230" s="163">
        <f ca="1">_xlfn.XLOOKUP(OFFSET($C$12,$I230,MATCH($AD$11,$D$12:$G$12,0)),巡逻产出!$B$311:$B$610,巡逻产出!$R$311:$R$610)*OFFSET($C$1,MATCH(AE$12,$C$2:$C$7,0),MATCH($AD$11,$D$12:$G$12,0))</f>
        <v>0</v>
      </c>
      <c r="AF230" s="163" t="e">
        <f ca="1">_xlfn.XLOOKUP(MAX(INT((OFFSET($C$12,$I230,MATCH($AD$11,$D$12:$G$12,0))-6)/10),1),组队产出!$B$25:$B$39,组队产出!$P$25:$P$39)*OFFSET($C$1,MATCH(AF$12,$C$2:$C$7,0),MATCH($AD$11,$D$12:$G$12,0))</f>
        <v>#N/A</v>
      </c>
      <c r="AG230" s="163">
        <f ca="1">竞技场!$G$3*OFFSET($C$1,MATCH(AG$12,$C$2:$C$7,0),MATCH($AD$11,$D$12:$G$12,0))</f>
        <v>3150</v>
      </c>
      <c r="AH23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0" s="23">
        <f>任务!$G$6+任务!$G$9+IF(MOD(AC230,7)=0,任务!$N$9+任务!$O$6,0)</f>
        <v>895</v>
      </c>
      <c r="AJ230" s="25">
        <f>公会!$U$11</f>
        <v>2766.62857142857</v>
      </c>
      <c r="AK230" s="163">
        <f ca="1">_xlfn.XLOOKUP(OFFSET($C$12,$I230,MATCH($AD$11,$D$12:$G$12,0)),巡逻产出!$B$311:$B$610,巡逻产出!$Q$311:$Q$610)*OFFSET($C$1,MATCH(AK$12,$C$2:$C$7,0),MATCH($AD$11,$D$12:$G$12,0))</f>
        <v>2392.728</v>
      </c>
      <c r="AM230" s="164">
        <v>218</v>
      </c>
      <c r="AN230" s="165">
        <f t="shared" si="29"/>
        <v>25444</v>
      </c>
      <c r="AO230" s="165">
        <f t="shared" si="30"/>
        <v>31920</v>
      </c>
      <c r="AP230" s="165">
        <f t="shared" si="31"/>
        <v>50640</v>
      </c>
      <c r="AQ230" s="165">
        <f t="shared" si="32"/>
        <v>66670</v>
      </c>
    </row>
    <row r="231" spans="3:43">
      <c r="C231" s="160">
        <v>219</v>
      </c>
      <c r="D231" s="169">
        <v>173</v>
      </c>
      <c r="E231" s="170">
        <f t="shared" si="27"/>
        <v>129.5</v>
      </c>
      <c r="F231" s="169">
        <f t="shared" si="28"/>
        <v>153.499999999999</v>
      </c>
      <c r="G231" s="163">
        <f t="shared" si="33"/>
        <v>232.5</v>
      </c>
      <c r="I231" s="160">
        <v>219</v>
      </c>
      <c r="J231" s="163" t="e">
        <f ca="1">_xlfn.XLOOKUP(OFFSET($C$12,$I231,MATCH($J$11,$D$12:$G$12,0)),主线推图!$B$313:$B$612,主线推图!$P$313:$P$612)*OFFSET($C$1,MATCH(J$12,$C$2:$C$7,0),MATCH($J$11,$D$12:$G$12,0))</f>
        <v>#N/A</v>
      </c>
      <c r="K231" s="163" t="e">
        <f ca="1">_xlfn.XLOOKUP(OFFSET($C$12,$I231,MATCH($J$11,$D$12:$G$12,0)),巡逻产出!$B$311:$B$610,巡逻产出!$R$311:$R$610)*OFFSET($C$1,MATCH(K$12,$C$2:$C$7,0),MATCH($J$11,$D$12:$G$12,0))</f>
        <v>#N/A</v>
      </c>
      <c r="L231" s="163">
        <f ca="1">_xlfn.XLOOKUP(MAX(INT((OFFSET($C$12,$I231,MATCH($J$11,$D$12:$G$12,0))-6)/10),1),组队产出!$B$25:$B$39,组队产出!$P$25:$P$39)*OFFSET($C$1,MATCH(L$12,$C$2:$C$7,0),MATCH($J$11,$D$12:$G$12,0))</f>
        <v>1124.4</v>
      </c>
      <c r="M231" s="163">
        <f ca="1">竞技场!$G$3*OFFSET($C$1,MATCH(M$12,$C$2:$C$7,0),MATCH($J$11,$D$12:$G$12,0))</f>
        <v>1050</v>
      </c>
      <c r="N23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1" s="23">
        <f>任务!$G$6+任务!$G$9+IF(MOD(I231,7)=0,任务!$N$9+任务!$O$6,0)</f>
        <v>895</v>
      </c>
      <c r="P231" s="25">
        <f>公会!$U$11</f>
        <v>2766.62857142857</v>
      </c>
      <c r="Q231" s="163" t="e">
        <f ca="1">_xlfn.XLOOKUP(OFFSET($C$12,$I231,MATCH($J$11,$D$12:$G$12,0)),巡逻产出!$B$311:$B$610,巡逻产出!$Q$311:$Q$610)*OFFSET($C$1,MATCH(Q$12,$C$2:$C$7,0),MATCH($J$11,$D$12:$G$12,0))</f>
        <v>#N/A</v>
      </c>
      <c r="S231" s="160">
        <v>219</v>
      </c>
      <c r="T231" s="163" t="e">
        <f ca="1">_xlfn.XLOOKUP(OFFSET($C$12,$I231,MATCH($T$11,$D$12:$G$12,0)),主线推图!$B$313:$B$612,主线推图!$P$313:$P$612)*OFFSET($C$1,MATCH(T$12,$C$2:$C$7,0),MATCH($T$11,$D$12:$G$12,0))</f>
        <v>#N/A</v>
      </c>
      <c r="U231" s="163" t="e">
        <f ca="1">_xlfn.XLOOKUP(OFFSET($C$12,$I231,MATCH($T$11,$D$12:$G$12,0)),巡逻产出!$B$311:$B$610,巡逻产出!$R$311:$R$610)*OFFSET($C$1,MATCH(U$12,$C$2:$C$7,0),MATCH($T$11,$D$12:$G$12,0))</f>
        <v>#N/A</v>
      </c>
      <c r="V231" s="163">
        <f ca="1">_xlfn.XLOOKUP(MAX(INT((OFFSET($C$12,$I231,MATCH($T$11,$D$12:$G$12,0))-6)/10),1),组队产出!$B$25:$B$39,组队产出!$P$25:$P$39)*OFFSET($C$1,MATCH(V$12,$C$2:$C$7,0),MATCH($T$11,$D$12:$G$12,0))</f>
        <v>2308.8</v>
      </c>
      <c r="W231" s="163">
        <f ca="1">竞技场!$G$3*OFFSET($C$1,MATCH(W$12,$C$2:$C$7,0),MATCH($T$11,$D$12:$G$12,0))</f>
        <v>2100</v>
      </c>
      <c r="X23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1" s="23">
        <f>任务!$G$6+任务!$G$9+IF(MOD(S231,7)=0,任务!$N$9+任务!$O$6,0)</f>
        <v>895</v>
      </c>
      <c r="Z231" s="25">
        <f>公会!$U$11</f>
        <v>2766.62857142857</v>
      </c>
      <c r="AA231" s="163" t="e">
        <f ca="1">_xlfn.XLOOKUP(OFFSET($C$12,$I231,MATCH($T$11,$D$12:$G$12,0)),巡逻产出!$B$311:$B$610,巡逻产出!$Q$311:$Q$610)*OFFSET($C$1,MATCH(AA$12,$C$2:$C$7,0),MATCH($T$11,$D$12:$G$12,0))</f>
        <v>#N/A</v>
      </c>
      <c r="AC231" s="160">
        <v>219</v>
      </c>
      <c r="AD231" s="163" t="e">
        <f ca="1">_xlfn.XLOOKUP(OFFSET($C$12,$I231,MATCH($AD$11,$D$12:$G$12,0)),主线推图!$B$313:$B$612,主线推图!$P$313:$P$612)*OFFSET($C$1,MATCH(AD$12,$C$2:$C$7,0),MATCH($AD$11,$D$12:$G$12,0))</f>
        <v>#N/A</v>
      </c>
      <c r="AE231" s="163" t="e">
        <f ca="1">_xlfn.XLOOKUP(OFFSET($C$12,$I231,MATCH($AD$11,$D$12:$G$12,0)),巡逻产出!$B$311:$B$610,巡逻产出!$R$311:$R$610)*OFFSET($C$1,MATCH(AE$12,$C$2:$C$7,0),MATCH($AD$11,$D$12:$G$12,0))</f>
        <v>#N/A</v>
      </c>
      <c r="AF231" s="163" t="e">
        <f ca="1">_xlfn.XLOOKUP(MAX(INT((OFFSET($C$12,$I231,MATCH($AD$11,$D$12:$G$12,0))-6)/10),1),组队产出!$B$25:$B$39,组队产出!$P$25:$P$39)*OFFSET($C$1,MATCH(AF$12,$C$2:$C$7,0),MATCH($AD$11,$D$12:$G$12,0))</f>
        <v>#N/A</v>
      </c>
      <c r="AG231" s="163">
        <f ca="1">竞技场!$G$3*OFFSET($C$1,MATCH(AG$12,$C$2:$C$7,0),MATCH($AD$11,$D$12:$G$12,0))</f>
        <v>3150</v>
      </c>
      <c r="AH23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1" s="23">
        <f>任务!$G$6+任务!$G$9+IF(MOD(AC231,7)=0,任务!$N$9+任务!$O$6,0)</f>
        <v>895</v>
      </c>
      <c r="AJ231" s="25">
        <f>公会!$U$11</f>
        <v>2766.62857142857</v>
      </c>
      <c r="AK231" s="163" t="e">
        <f ca="1">_xlfn.XLOOKUP(OFFSET($C$12,$I231,MATCH($AD$11,$D$12:$G$12,0)),巡逻产出!$B$311:$B$610,巡逻产出!$Q$311:$Q$610)*OFFSET($C$1,MATCH(AK$12,$C$2:$C$7,0),MATCH($AD$11,$D$12:$G$12,0))</f>
        <v>#N/A</v>
      </c>
      <c r="AM231" s="164">
        <v>219</v>
      </c>
      <c r="AN231" s="165">
        <f t="shared" si="29"/>
        <v>25558</v>
      </c>
      <c r="AO231" s="165">
        <f t="shared" si="30"/>
        <v>32063</v>
      </c>
      <c r="AP231" s="165">
        <f t="shared" si="31"/>
        <v>50869</v>
      </c>
      <c r="AQ231" s="165">
        <f t="shared" si="32"/>
        <v>66972</v>
      </c>
    </row>
    <row r="232" spans="3:43">
      <c r="C232" s="160">
        <v>220</v>
      </c>
      <c r="D232" s="169">
        <v>174</v>
      </c>
      <c r="E232" s="170">
        <f t="shared" si="27"/>
        <v>129.75</v>
      </c>
      <c r="F232" s="169">
        <f t="shared" si="28"/>
        <v>153.849999999999</v>
      </c>
      <c r="G232" s="163">
        <f t="shared" si="33"/>
        <v>233</v>
      </c>
      <c r="I232" s="160">
        <v>220</v>
      </c>
      <c r="J232" s="163" t="e">
        <f ca="1">_xlfn.XLOOKUP(OFFSET($C$12,$I232,MATCH($J$11,$D$12:$G$12,0)),主线推图!$B$313:$B$612,主线推图!$P$313:$P$612)*OFFSET($C$1,MATCH(J$12,$C$2:$C$7,0),MATCH($J$11,$D$12:$G$12,0))</f>
        <v>#N/A</v>
      </c>
      <c r="K232" s="163" t="e">
        <f ca="1">_xlfn.XLOOKUP(OFFSET($C$12,$I232,MATCH($J$11,$D$12:$G$12,0)),巡逻产出!$B$311:$B$610,巡逻产出!$R$311:$R$610)*OFFSET($C$1,MATCH(K$12,$C$2:$C$7,0),MATCH($J$11,$D$12:$G$12,0))</f>
        <v>#N/A</v>
      </c>
      <c r="L232" s="163">
        <f ca="1">_xlfn.XLOOKUP(MAX(INT((OFFSET($C$12,$I232,MATCH($J$11,$D$12:$G$12,0))-6)/10),1),组队产出!$B$25:$B$39,组队产出!$P$25:$P$39)*OFFSET($C$1,MATCH(L$12,$C$2:$C$7,0),MATCH($J$11,$D$12:$G$12,0))</f>
        <v>1124.4</v>
      </c>
      <c r="M232" s="163">
        <f ca="1">竞技场!$G$3*OFFSET($C$1,MATCH(M$12,$C$2:$C$7,0),MATCH($J$11,$D$12:$G$12,0))</f>
        <v>1050</v>
      </c>
      <c r="N23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2" s="23">
        <f>任务!$G$6+任务!$G$9+IF(MOD(I232,7)=0,任务!$N$9+任务!$O$6,0)</f>
        <v>895</v>
      </c>
      <c r="P232" s="25">
        <f>公会!$U$11</f>
        <v>2766.62857142857</v>
      </c>
      <c r="Q232" s="163" t="e">
        <f ca="1">_xlfn.XLOOKUP(OFFSET($C$12,$I232,MATCH($J$11,$D$12:$G$12,0)),巡逻产出!$B$311:$B$610,巡逻产出!$Q$311:$Q$610)*OFFSET($C$1,MATCH(Q$12,$C$2:$C$7,0),MATCH($J$11,$D$12:$G$12,0))</f>
        <v>#N/A</v>
      </c>
      <c r="S232" s="160">
        <v>220</v>
      </c>
      <c r="T232" s="163" t="e">
        <f ca="1">_xlfn.XLOOKUP(OFFSET($C$12,$I232,MATCH($T$11,$D$12:$G$12,0)),主线推图!$B$313:$B$612,主线推图!$P$313:$P$612)*OFFSET($C$1,MATCH(T$12,$C$2:$C$7,0),MATCH($T$11,$D$12:$G$12,0))</f>
        <v>#N/A</v>
      </c>
      <c r="U232" s="163" t="e">
        <f ca="1">_xlfn.XLOOKUP(OFFSET($C$12,$I232,MATCH($T$11,$D$12:$G$12,0)),巡逻产出!$B$311:$B$610,巡逻产出!$R$311:$R$610)*OFFSET($C$1,MATCH(U$12,$C$2:$C$7,0),MATCH($T$11,$D$12:$G$12,0))</f>
        <v>#N/A</v>
      </c>
      <c r="V232" s="163">
        <f ca="1">_xlfn.XLOOKUP(MAX(INT((OFFSET($C$12,$I232,MATCH($T$11,$D$12:$G$12,0))-6)/10),1),组队产出!$B$25:$B$39,组队产出!$P$25:$P$39)*OFFSET($C$1,MATCH(V$12,$C$2:$C$7,0),MATCH($T$11,$D$12:$G$12,0))</f>
        <v>2308.8</v>
      </c>
      <c r="W232" s="163">
        <f ca="1">竞技场!$G$3*OFFSET($C$1,MATCH(W$12,$C$2:$C$7,0),MATCH($T$11,$D$12:$G$12,0))</f>
        <v>2100</v>
      </c>
      <c r="X23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2" s="23">
        <f>任务!$G$6+任务!$G$9+IF(MOD(S232,7)=0,任务!$N$9+任务!$O$6,0)</f>
        <v>895</v>
      </c>
      <c r="Z232" s="25">
        <f>公会!$U$11</f>
        <v>2766.62857142857</v>
      </c>
      <c r="AA232" s="163" t="e">
        <f ca="1">_xlfn.XLOOKUP(OFFSET($C$12,$I232,MATCH($T$11,$D$12:$G$12,0)),巡逻产出!$B$311:$B$610,巡逻产出!$Q$311:$Q$610)*OFFSET($C$1,MATCH(AA$12,$C$2:$C$7,0),MATCH($T$11,$D$12:$G$12,0))</f>
        <v>#N/A</v>
      </c>
      <c r="AC232" s="160">
        <v>220</v>
      </c>
      <c r="AD232" s="163">
        <f ca="1">_xlfn.XLOOKUP(OFFSET($C$12,$I232,MATCH($AD$11,$D$12:$G$12,0)),主线推图!$B$313:$B$612,主线推图!$P$313:$P$612)*OFFSET($C$1,MATCH(AD$12,$C$2:$C$7,0),MATCH($AD$11,$D$12:$G$12,0))</f>
        <v>3458.4</v>
      </c>
      <c r="AE232" s="163">
        <f ca="1">_xlfn.XLOOKUP(OFFSET($C$12,$I232,MATCH($AD$11,$D$12:$G$12,0)),巡逻产出!$B$311:$B$610,巡逻产出!$R$311:$R$610)*OFFSET($C$1,MATCH(AE$12,$C$2:$C$7,0),MATCH($AD$11,$D$12:$G$12,0))</f>
        <v>0</v>
      </c>
      <c r="AF232" s="163" t="e">
        <f ca="1">_xlfn.XLOOKUP(MAX(INT((OFFSET($C$12,$I232,MATCH($AD$11,$D$12:$G$12,0))-6)/10),1),组队产出!$B$25:$B$39,组队产出!$P$25:$P$39)*OFFSET($C$1,MATCH(AF$12,$C$2:$C$7,0),MATCH($AD$11,$D$12:$G$12,0))</f>
        <v>#N/A</v>
      </c>
      <c r="AG232" s="163">
        <f ca="1">竞技场!$G$3*OFFSET($C$1,MATCH(AG$12,$C$2:$C$7,0),MATCH($AD$11,$D$12:$G$12,0))</f>
        <v>3150</v>
      </c>
      <c r="AH23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2" s="23">
        <f>任务!$G$6+任务!$G$9+IF(MOD(AC232,7)=0,任务!$N$9+任务!$O$6,0)</f>
        <v>895</v>
      </c>
      <c r="AJ232" s="25">
        <f>公会!$U$11</f>
        <v>2766.62857142857</v>
      </c>
      <c r="AK232" s="163">
        <f ca="1">_xlfn.XLOOKUP(OFFSET($C$12,$I232,MATCH($AD$11,$D$12:$G$12,0)),巡逻产出!$B$311:$B$610,巡逻产出!$Q$311:$Q$610)*OFFSET($C$1,MATCH(AK$12,$C$2:$C$7,0),MATCH($AD$11,$D$12:$G$12,0))</f>
        <v>2394.288</v>
      </c>
      <c r="AM232" s="164">
        <v>220</v>
      </c>
      <c r="AN232" s="165">
        <f t="shared" si="29"/>
        <v>25671</v>
      </c>
      <c r="AO232" s="165">
        <f t="shared" si="30"/>
        <v>32206</v>
      </c>
      <c r="AP232" s="165">
        <f t="shared" si="31"/>
        <v>51097</v>
      </c>
      <c r="AQ232" s="165">
        <f t="shared" si="32"/>
        <v>67274</v>
      </c>
    </row>
    <row r="233" spans="3:43">
      <c r="C233" s="160">
        <v>221</v>
      </c>
      <c r="D233" s="169">
        <v>174</v>
      </c>
      <c r="E233" s="170">
        <f t="shared" si="27"/>
        <v>130</v>
      </c>
      <c r="F233" s="169">
        <f t="shared" si="28"/>
        <v>154.199999999999</v>
      </c>
      <c r="G233" s="163">
        <f t="shared" si="33"/>
        <v>233.5</v>
      </c>
      <c r="I233" s="160">
        <v>221</v>
      </c>
      <c r="J233" s="163" t="e">
        <f ca="1">_xlfn.XLOOKUP(OFFSET($C$12,$I233,MATCH($J$11,$D$12:$G$12,0)),主线推图!$B$313:$B$612,主线推图!$P$313:$P$612)*OFFSET($C$1,MATCH(J$12,$C$2:$C$7,0),MATCH($J$11,$D$12:$G$12,0))</f>
        <v>#N/A</v>
      </c>
      <c r="K233" s="163" t="e">
        <f ca="1">_xlfn.XLOOKUP(OFFSET($C$12,$I233,MATCH($J$11,$D$12:$G$12,0)),巡逻产出!$B$311:$B$610,巡逻产出!$R$311:$R$610)*OFFSET($C$1,MATCH(K$12,$C$2:$C$7,0),MATCH($J$11,$D$12:$G$12,0))</f>
        <v>#N/A</v>
      </c>
      <c r="L233" s="163">
        <f ca="1">_xlfn.XLOOKUP(MAX(INT((OFFSET($C$12,$I233,MATCH($J$11,$D$12:$G$12,0))-6)/10),1),组队产出!$B$25:$B$39,组队产出!$P$25:$P$39)*OFFSET($C$1,MATCH(L$12,$C$2:$C$7,0),MATCH($J$11,$D$12:$G$12,0))</f>
        <v>1124.4</v>
      </c>
      <c r="M233" s="163">
        <f ca="1">竞技场!$G$3*OFFSET($C$1,MATCH(M$12,$C$2:$C$7,0),MATCH($J$11,$D$12:$G$12,0))</f>
        <v>1050</v>
      </c>
      <c r="N23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3" s="23">
        <f>任务!$G$6+任务!$G$9+IF(MOD(I233,7)=0,任务!$N$9+任务!$O$6,0)</f>
        <v>895</v>
      </c>
      <c r="P233" s="25">
        <f>公会!$U$11</f>
        <v>2766.62857142857</v>
      </c>
      <c r="Q233" s="163" t="e">
        <f ca="1">_xlfn.XLOOKUP(OFFSET($C$12,$I233,MATCH($J$11,$D$12:$G$12,0)),巡逻产出!$B$311:$B$610,巡逻产出!$Q$311:$Q$610)*OFFSET($C$1,MATCH(Q$12,$C$2:$C$7,0),MATCH($J$11,$D$12:$G$12,0))</f>
        <v>#N/A</v>
      </c>
      <c r="S233" s="160">
        <v>221</v>
      </c>
      <c r="T233" s="163" t="e">
        <f ca="1">_xlfn.XLOOKUP(OFFSET($C$12,$I233,MATCH($T$11,$D$12:$G$12,0)),主线推图!$B$313:$B$612,主线推图!$P$313:$P$612)*OFFSET($C$1,MATCH(T$12,$C$2:$C$7,0),MATCH($T$11,$D$12:$G$12,0))</f>
        <v>#N/A</v>
      </c>
      <c r="U233" s="163" t="e">
        <f ca="1">_xlfn.XLOOKUP(OFFSET($C$12,$I233,MATCH($T$11,$D$12:$G$12,0)),巡逻产出!$B$311:$B$610,巡逻产出!$R$311:$R$610)*OFFSET($C$1,MATCH(U$12,$C$2:$C$7,0),MATCH($T$11,$D$12:$G$12,0))</f>
        <v>#N/A</v>
      </c>
      <c r="V233" s="163">
        <f ca="1">_xlfn.XLOOKUP(MAX(INT((OFFSET($C$12,$I233,MATCH($T$11,$D$12:$G$12,0))-6)/10),1),组队产出!$B$25:$B$39,组队产出!$P$25:$P$39)*OFFSET($C$1,MATCH(V$12,$C$2:$C$7,0),MATCH($T$11,$D$12:$G$12,0))</f>
        <v>2308.8</v>
      </c>
      <c r="W233" s="163">
        <f ca="1">竞技场!$G$3*OFFSET($C$1,MATCH(W$12,$C$2:$C$7,0),MATCH($T$11,$D$12:$G$12,0))</f>
        <v>2100</v>
      </c>
      <c r="X23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3" s="23">
        <f>任务!$G$6+任务!$G$9+IF(MOD(S233,7)=0,任务!$N$9+任务!$O$6,0)</f>
        <v>895</v>
      </c>
      <c r="Z233" s="25">
        <f>公会!$U$11</f>
        <v>2766.62857142857</v>
      </c>
      <c r="AA233" s="163" t="e">
        <f ca="1">_xlfn.XLOOKUP(OFFSET($C$12,$I233,MATCH($T$11,$D$12:$G$12,0)),巡逻产出!$B$311:$B$610,巡逻产出!$Q$311:$Q$610)*OFFSET($C$1,MATCH(AA$12,$C$2:$C$7,0),MATCH($T$11,$D$12:$G$12,0))</f>
        <v>#N/A</v>
      </c>
      <c r="AC233" s="160">
        <v>221</v>
      </c>
      <c r="AD233" s="163" t="e">
        <f ca="1">_xlfn.XLOOKUP(OFFSET($C$12,$I233,MATCH($AD$11,$D$12:$G$12,0)),主线推图!$B$313:$B$612,主线推图!$P$313:$P$612)*OFFSET($C$1,MATCH(AD$12,$C$2:$C$7,0),MATCH($AD$11,$D$12:$G$12,0))</f>
        <v>#N/A</v>
      </c>
      <c r="AE233" s="163" t="e">
        <f ca="1">_xlfn.XLOOKUP(OFFSET($C$12,$I233,MATCH($AD$11,$D$12:$G$12,0)),巡逻产出!$B$311:$B$610,巡逻产出!$R$311:$R$610)*OFFSET($C$1,MATCH(AE$12,$C$2:$C$7,0),MATCH($AD$11,$D$12:$G$12,0))</f>
        <v>#N/A</v>
      </c>
      <c r="AF233" s="163" t="e">
        <f ca="1">_xlfn.XLOOKUP(MAX(INT((OFFSET($C$12,$I233,MATCH($AD$11,$D$12:$G$12,0))-6)/10),1),组队产出!$B$25:$B$39,组队产出!$P$25:$P$39)*OFFSET($C$1,MATCH(AF$12,$C$2:$C$7,0),MATCH($AD$11,$D$12:$G$12,0))</f>
        <v>#N/A</v>
      </c>
      <c r="AG233" s="163">
        <f ca="1">竞技场!$G$3*OFFSET($C$1,MATCH(AG$12,$C$2:$C$7,0),MATCH($AD$11,$D$12:$G$12,0))</f>
        <v>3150</v>
      </c>
      <c r="AH23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3" s="23">
        <f>任务!$G$6+任务!$G$9+IF(MOD(AC233,7)=0,任务!$N$9+任务!$O$6,0)</f>
        <v>895</v>
      </c>
      <c r="AJ233" s="25">
        <f>公会!$U$11</f>
        <v>2766.62857142857</v>
      </c>
      <c r="AK233" s="163" t="e">
        <f ca="1">_xlfn.XLOOKUP(OFFSET($C$12,$I233,MATCH($AD$11,$D$12:$G$12,0)),巡逻产出!$B$311:$B$610,巡逻产出!$Q$311:$Q$610)*OFFSET($C$1,MATCH(AK$12,$C$2:$C$7,0),MATCH($AD$11,$D$12:$G$12,0))</f>
        <v>#N/A</v>
      </c>
      <c r="AM233" s="164">
        <v>221</v>
      </c>
      <c r="AN233" s="165">
        <f t="shared" si="29"/>
        <v>25785</v>
      </c>
      <c r="AO233" s="165">
        <f t="shared" si="30"/>
        <v>32349</v>
      </c>
      <c r="AP233" s="165">
        <f t="shared" si="31"/>
        <v>51326</v>
      </c>
      <c r="AQ233" s="165">
        <f t="shared" si="32"/>
        <v>67576</v>
      </c>
    </row>
    <row r="234" spans="3:43">
      <c r="C234" s="160">
        <v>222</v>
      </c>
      <c r="D234" s="169">
        <v>174</v>
      </c>
      <c r="E234" s="170">
        <f t="shared" si="27"/>
        <v>130.25</v>
      </c>
      <c r="F234" s="169">
        <f t="shared" si="28"/>
        <v>154.549999999999</v>
      </c>
      <c r="G234" s="163">
        <f t="shared" si="33"/>
        <v>234</v>
      </c>
      <c r="I234" s="160">
        <v>222</v>
      </c>
      <c r="J234" s="163" t="e">
        <f ca="1">_xlfn.XLOOKUP(OFFSET($C$12,$I234,MATCH($J$11,$D$12:$G$12,0)),主线推图!$B$313:$B$612,主线推图!$P$313:$P$612)*OFFSET($C$1,MATCH(J$12,$C$2:$C$7,0),MATCH($J$11,$D$12:$G$12,0))</f>
        <v>#N/A</v>
      </c>
      <c r="K234" s="163" t="e">
        <f ca="1">_xlfn.XLOOKUP(OFFSET($C$12,$I234,MATCH($J$11,$D$12:$G$12,0)),巡逻产出!$B$311:$B$610,巡逻产出!$R$311:$R$610)*OFFSET($C$1,MATCH(K$12,$C$2:$C$7,0),MATCH($J$11,$D$12:$G$12,0))</f>
        <v>#N/A</v>
      </c>
      <c r="L234" s="163">
        <f ca="1">_xlfn.XLOOKUP(MAX(INT((OFFSET($C$12,$I234,MATCH($J$11,$D$12:$G$12,0))-6)/10),1),组队产出!$B$25:$B$39,组队产出!$P$25:$P$39)*OFFSET($C$1,MATCH(L$12,$C$2:$C$7,0),MATCH($J$11,$D$12:$G$12,0))</f>
        <v>1124.4</v>
      </c>
      <c r="M234" s="163">
        <f ca="1">竞技场!$G$3*OFFSET($C$1,MATCH(M$12,$C$2:$C$7,0),MATCH($J$11,$D$12:$G$12,0))</f>
        <v>1050</v>
      </c>
      <c r="N23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4" s="23">
        <f>任务!$G$6+任务!$G$9+IF(MOD(I234,7)=0,任务!$N$9+任务!$O$6,0)</f>
        <v>895</v>
      </c>
      <c r="P234" s="25">
        <f>公会!$U$11</f>
        <v>2766.62857142857</v>
      </c>
      <c r="Q234" s="163" t="e">
        <f ca="1">_xlfn.XLOOKUP(OFFSET($C$12,$I234,MATCH($J$11,$D$12:$G$12,0)),巡逻产出!$B$311:$B$610,巡逻产出!$Q$311:$Q$610)*OFFSET($C$1,MATCH(Q$12,$C$2:$C$7,0),MATCH($J$11,$D$12:$G$12,0))</f>
        <v>#N/A</v>
      </c>
      <c r="S234" s="160">
        <v>222</v>
      </c>
      <c r="T234" s="163" t="e">
        <f ca="1">_xlfn.XLOOKUP(OFFSET($C$12,$I234,MATCH($T$11,$D$12:$G$12,0)),主线推图!$B$313:$B$612,主线推图!$P$313:$P$612)*OFFSET($C$1,MATCH(T$12,$C$2:$C$7,0),MATCH($T$11,$D$12:$G$12,0))</f>
        <v>#N/A</v>
      </c>
      <c r="U234" s="163" t="e">
        <f ca="1">_xlfn.XLOOKUP(OFFSET($C$12,$I234,MATCH($T$11,$D$12:$G$12,0)),巡逻产出!$B$311:$B$610,巡逻产出!$R$311:$R$610)*OFFSET($C$1,MATCH(U$12,$C$2:$C$7,0),MATCH($T$11,$D$12:$G$12,0))</f>
        <v>#N/A</v>
      </c>
      <c r="V234" s="163">
        <f ca="1">_xlfn.XLOOKUP(MAX(INT((OFFSET($C$12,$I234,MATCH($T$11,$D$12:$G$12,0))-6)/10),1),组队产出!$B$25:$B$39,组队产出!$P$25:$P$39)*OFFSET($C$1,MATCH(V$12,$C$2:$C$7,0),MATCH($T$11,$D$12:$G$12,0))</f>
        <v>2308.8</v>
      </c>
      <c r="W234" s="163">
        <f ca="1">竞技场!$G$3*OFFSET($C$1,MATCH(W$12,$C$2:$C$7,0),MATCH($T$11,$D$12:$G$12,0))</f>
        <v>2100</v>
      </c>
      <c r="X23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4" s="23">
        <f>任务!$G$6+任务!$G$9+IF(MOD(S234,7)=0,任务!$N$9+任务!$O$6,0)</f>
        <v>895</v>
      </c>
      <c r="Z234" s="25">
        <f>公会!$U$11</f>
        <v>2766.62857142857</v>
      </c>
      <c r="AA234" s="163" t="e">
        <f ca="1">_xlfn.XLOOKUP(OFFSET($C$12,$I234,MATCH($T$11,$D$12:$G$12,0)),巡逻产出!$B$311:$B$610,巡逻产出!$Q$311:$Q$610)*OFFSET($C$1,MATCH(AA$12,$C$2:$C$7,0),MATCH($T$11,$D$12:$G$12,0))</f>
        <v>#N/A</v>
      </c>
      <c r="AC234" s="160">
        <v>222</v>
      </c>
      <c r="AD234" s="163">
        <f ca="1">_xlfn.XLOOKUP(OFFSET($C$12,$I234,MATCH($AD$11,$D$12:$G$12,0)),主线推图!$B$313:$B$612,主线推图!$P$313:$P$612)*OFFSET($C$1,MATCH(AD$12,$C$2:$C$7,0),MATCH($AD$11,$D$12:$G$12,0))</f>
        <v>3460.6</v>
      </c>
      <c r="AE234" s="163">
        <f ca="1">_xlfn.XLOOKUP(OFFSET($C$12,$I234,MATCH($AD$11,$D$12:$G$12,0)),巡逻产出!$B$311:$B$610,巡逻产出!$R$311:$R$610)*OFFSET($C$1,MATCH(AE$12,$C$2:$C$7,0),MATCH($AD$11,$D$12:$G$12,0))</f>
        <v>0</v>
      </c>
      <c r="AF234" s="163" t="e">
        <f ca="1">_xlfn.XLOOKUP(MAX(INT((OFFSET($C$12,$I234,MATCH($AD$11,$D$12:$G$12,0))-6)/10),1),组队产出!$B$25:$B$39,组队产出!$P$25:$P$39)*OFFSET($C$1,MATCH(AF$12,$C$2:$C$7,0),MATCH($AD$11,$D$12:$G$12,0))</f>
        <v>#N/A</v>
      </c>
      <c r="AG234" s="163">
        <f ca="1">竞技场!$G$3*OFFSET($C$1,MATCH(AG$12,$C$2:$C$7,0),MATCH($AD$11,$D$12:$G$12,0))</f>
        <v>3150</v>
      </c>
      <c r="AH23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4" s="23">
        <f>任务!$G$6+任务!$G$9+IF(MOD(AC234,7)=0,任务!$N$9+任务!$O$6,0)</f>
        <v>895</v>
      </c>
      <c r="AJ234" s="25">
        <f>公会!$U$11</f>
        <v>2766.62857142857</v>
      </c>
      <c r="AK234" s="163">
        <f ca="1">_xlfn.XLOOKUP(OFFSET($C$12,$I234,MATCH($AD$11,$D$12:$G$12,0)),巡逻产出!$B$311:$B$610,巡逻产出!$Q$311:$Q$610)*OFFSET($C$1,MATCH(AK$12,$C$2:$C$7,0),MATCH($AD$11,$D$12:$G$12,0))</f>
        <v>2395.848</v>
      </c>
      <c r="AM234" s="164">
        <v>222</v>
      </c>
      <c r="AN234" s="165">
        <f t="shared" si="29"/>
        <v>25898</v>
      </c>
      <c r="AO234" s="165">
        <f t="shared" si="30"/>
        <v>32492</v>
      </c>
      <c r="AP234" s="165">
        <f t="shared" si="31"/>
        <v>51554</v>
      </c>
      <c r="AQ234" s="165">
        <f t="shared" si="32"/>
        <v>67878</v>
      </c>
    </row>
    <row r="235" spans="3:43">
      <c r="C235" s="160">
        <v>223</v>
      </c>
      <c r="D235" s="169">
        <v>174</v>
      </c>
      <c r="E235" s="170">
        <f t="shared" si="27"/>
        <v>130.5</v>
      </c>
      <c r="F235" s="169">
        <f t="shared" si="28"/>
        <v>154.899999999999</v>
      </c>
      <c r="G235" s="163">
        <f t="shared" si="33"/>
        <v>234.5</v>
      </c>
      <c r="I235" s="160">
        <v>223</v>
      </c>
      <c r="J235" s="163" t="e">
        <f ca="1">_xlfn.XLOOKUP(OFFSET($C$12,$I235,MATCH($J$11,$D$12:$G$12,0)),主线推图!$B$313:$B$612,主线推图!$P$313:$P$612)*OFFSET($C$1,MATCH(J$12,$C$2:$C$7,0),MATCH($J$11,$D$12:$G$12,0))</f>
        <v>#N/A</v>
      </c>
      <c r="K235" s="163" t="e">
        <f ca="1">_xlfn.XLOOKUP(OFFSET($C$12,$I235,MATCH($J$11,$D$12:$G$12,0)),巡逻产出!$B$311:$B$610,巡逻产出!$R$311:$R$610)*OFFSET($C$1,MATCH(K$12,$C$2:$C$7,0),MATCH($J$11,$D$12:$G$12,0))</f>
        <v>#N/A</v>
      </c>
      <c r="L235" s="163">
        <f ca="1">_xlfn.XLOOKUP(MAX(INT((OFFSET($C$12,$I235,MATCH($J$11,$D$12:$G$12,0))-6)/10),1),组队产出!$B$25:$B$39,组队产出!$P$25:$P$39)*OFFSET($C$1,MATCH(L$12,$C$2:$C$7,0),MATCH($J$11,$D$12:$G$12,0))</f>
        <v>1124.4</v>
      </c>
      <c r="M235" s="163">
        <f ca="1">竞技场!$G$3*OFFSET($C$1,MATCH(M$12,$C$2:$C$7,0),MATCH($J$11,$D$12:$G$12,0))</f>
        <v>1050</v>
      </c>
      <c r="N23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5" s="23">
        <f>任务!$G$6+任务!$G$9+IF(MOD(I235,7)=0,任务!$N$9+任务!$O$6,0)</f>
        <v>895</v>
      </c>
      <c r="P235" s="25">
        <f>公会!$U$11</f>
        <v>2766.62857142857</v>
      </c>
      <c r="Q235" s="163" t="e">
        <f ca="1">_xlfn.XLOOKUP(OFFSET($C$12,$I235,MATCH($J$11,$D$12:$G$12,0)),巡逻产出!$B$311:$B$610,巡逻产出!$Q$311:$Q$610)*OFFSET($C$1,MATCH(Q$12,$C$2:$C$7,0),MATCH($J$11,$D$12:$G$12,0))</f>
        <v>#N/A</v>
      </c>
      <c r="S235" s="160">
        <v>223</v>
      </c>
      <c r="T235" s="163" t="e">
        <f ca="1">_xlfn.XLOOKUP(OFFSET($C$12,$I235,MATCH($T$11,$D$12:$G$12,0)),主线推图!$B$313:$B$612,主线推图!$P$313:$P$612)*OFFSET($C$1,MATCH(T$12,$C$2:$C$7,0),MATCH($T$11,$D$12:$G$12,0))</f>
        <v>#N/A</v>
      </c>
      <c r="U235" s="163" t="e">
        <f ca="1">_xlfn.XLOOKUP(OFFSET($C$12,$I235,MATCH($T$11,$D$12:$G$12,0)),巡逻产出!$B$311:$B$610,巡逻产出!$R$311:$R$610)*OFFSET($C$1,MATCH(U$12,$C$2:$C$7,0),MATCH($T$11,$D$12:$G$12,0))</f>
        <v>#N/A</v>
      </c>
      <c r="V235" s="163">
        <f ca="1">_xlfn.XLOOKUP(MAX(INT((OFFSET($C$12,$I235,MATCH($T$11,$D$12:$G$12,0))-6)/10),1),组队产出!$B$25:$B$39,组队产出!$P$25:$P$39)*OFFSET($C$1,MATCH(V$12,$C$2:$C$7,0),MATCH($T$11,$D$12:$G$12,0))</f>
        <v>2308.8</v>
      </c>
      <c r="W235" s="163">
        <f ca="1">竞技场!$G$3*OFFSET($C$1,MATCH(W$12,$C$2:$C$7,0),MATCH($T$11,$D$12:$G$12,0))</f>
        <v>2100</v>
      </c>
      <c r="X23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5" s="23">
        <f>任务!$G$6+任务!$G$9+IF(MOD(S235,7)=0,任务!$N$9+任务!$O$6,0)</f>
        <v>895</v>
      </c>
      <c r="Z235" s="25">
        <f>公会!$U$11</f>
        <v>2766.62857142857</v>
      </c>
      <c r="AA235" s="163" t="e">
        <f ca="1">_xlfn.XLOOKUP(OFFSET($C$12,$I235,MATCH($T$11,$D$12:$G$12,0)),巡逻产出!$B$311:$B$610,巡逻产出!$Q$311:$Q$610)*OFFSET($C$1,MATCH(AA$12,$C$2:$C$7,0),MATCH($T$11,$D$12:$G$12,0))</f>
        <v>#N/A</v>
      </c>
      <c r="AC235" s="160">
        <v>223</v>
      </c>
      <c r="AD235" s="163" t="e">
        <f ca="1">_xlfn.XLOOKUP(OFFSET($C$12,$I235,MATCH($AD$11,$D$12:$G$12,0)),主线推图!$B$313:$B$612,主线推图!$P$313:$P$612)*OFFSET($C$1,MATCH(AD$12,$C$2:$C$7,0),MATCH($AD$11,$D$12:$G$12,0))</f>
        <v>#N/A</v>
      </c>
      <c r="AE235" s="163" t="e">
        <f ca="1">_xlfn.XLOOKUP(OFFSET($C$12,$I235,MATCH($AD$11,$D$12:$G$12,0)),巡逻产出!$B$311:$B$610,巡逻产出!$R$311:$R$610)*OFFSET($C$1,MATCH(AE$12,$C$2:$C$7,0),MATCH($AD$11,$D$12:$G$12,0))</f>
        <v>#N/A</v>
      </c>
      <c r="AF235" s="163" t="e">
        <f ca="1">_xlfn.XLOOKUP(MAX(INT((OFFSET($C$12,$I235,MATCH($AD$11,$D$12:$G$12,0))-6)/10),1),组队产出!$B$25:$B$39,组队产出!$P$25:$P$39)*OFFSET($C$1,MATCH(AF$12,$C$2:$C$7,0),MATCH($AD$11,$D$12:$G$12,0))</f>
        <v>#N/A</v>
      </c>
      <c r="AG235" s="163">
        <f ca="1">竞技场!$G$3*OFFSET($C$1,MATCH(AG$12,$C$2:$C$7,0),MATCH($AD$11,$D$12:$G$12,0))</f>
        <v>3150</v>
      </c>
      <c r="AH23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5" s="23">
        <f>任务!$G$6+任务!$G$9+IF(MOD(AC235,7)=0,任务!$N$9+任务!$O$6,0)</f>
        <v>895</v>
      </c>
      <c r="AJ235" s="25">
        <f>公会!$U$11</f>
        <v>2766.62857142857</v>
      </c>
      <c r="AK235" s="163" t="e">
        <f ca="1">_xlfn.XLOOKUP(OFFSET($C$12,$I235,MATCH($AD$11,$D$12:$G$12,0)),巡逻产出!$B$311:$B$610,巡逻产出!$Q$311:$Q$610)*OFFSET($C$1,MATCH(AK$12,$C$2:$C$7,0),MATCH($AD$11,$D$12:$G$12,0))</f>
        <v>#N/A</v>
      </c>
      <c r="AM235" s="164">
        <v>223</v>
      </c>
      <c r="AN235" s="165">
        <f t="shared" si="29"/>
        <v>26012</v>
      </c>
      <c r="AO235" s="165">
        <f t="shared" si="30"/>
        <v>32635</v>
      </c>
      <c r="AP235" s="165">
        <f t="shared" si="31"/>
        <v>51783</v>
      </c>
      <c r="AQ235" s="165">
        <f t="shared" si="32"/>
        <v>68180</v>
      </c>
    </row>
    <row r="236" spans="3:43">
      <c r="C236" s="160">
        <v>224</v>
      </c>
      <c r="D236" s="169">
        <v>174</v>
      </c>
      <c r="E236" s="170">
        <f t="shared" si="27"/>
        <v>130.75</v>
      </c>
      <c r="F236" s="169">
        <f t="shared" si="28"/>
        <v>155.249999999999</v>
      </c>
      <c r="G236" s="163">
        <f t="shared" si="33"/>
        <v>235</v>
      </c>
      <c r="I236" s="160">
        <v>224</v>
      </c>
      <c r="J236" s="163" t="e">
        <f ca="1">_xlfn.XLOOKUP(OFFSET($C$12,$I236,MATCH($J$11,$D$12:$G$12,0)),主线推图!$B$313:$B$612,主线推图!$P$313:$P$612)*OFFSET($C$1,MATCH(J$12,$C$2:$C$7,0),MATCH($J$11,$D$12:$G$12,0))</f>
        <v>#N/A</v>
      </c>
      <c r="K236" s="163" t="e">
        <f ca="1">_xlfn.XLOOKUP(OFFSET($C$12,$I236,MATCH($J$11,$D$12:$G$12,0)),巡逻产出!$B$311:$B$610,巡逻产出!$R$311:$R$610)*OFFSET($C$1,MATCH(K$12,$C$2:$C$7,0),MATCH($J$11,$D$12:$G$12,0))</f>
        <v>#N/A</v>
      </c>
      <c r="L236" s="163">
        <f ca="1">_xlfn.XLOOKUP(MAX(INT((OFFSET($C$12,$I236,MATCH($J$11,$D$12:$G$12,0))-6)/10),1),组队产出!$B$25:$B$39,组队产出!$P$25:$P$39)*OFFSET($C$1,MATCH(L$12,$C$2:$C$7,0),MATCH($J$11,$D$12:$G$12,0))</f>
        <v>1124.4</v>
      </c>
      <c r="M236" s="163">
        <f ca="1">竞技场!$G$3*OFFSET($C$1,MATCH(M$12,$C$2:$C$7,0),MATCH($J$11,$D$12:$G$12,0))</f>
        <v>1050</v>
      </c>
      <c r="N23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6" s="23">
        <f>任务!$G$6+任务!$G$9+IF(MOD(I236,7)=0,任务!$N$9+任务!$O$6,0)</f>
        <v>3125</v>
      </c>
      <c r="P236" s="25">
        <f>公会!$U$11</f>
        <v>2766.62857142857</v>
      </c>
      <c r="Q236" s="163" t="e">
        <f ca="1">_xlfn.XLOOKUP(OFFSET($C$12,$I236,MATCH($J$11,$D$12:$G$12,0)),巡逻产出!$B$311:$B$610,巡逻产出!$Q$311:$Q$610)*OFFSET($C$1,MATCH(Q$12,$C$2:$C$7,0),MATCH($J$11,$D$12:$G$12,0))</f>
        <v>#N/A</v>
      </c>
      <c r="S236" s="160">
        <v>224</v>
      </c>
      <c r="T236" s="163" t="e">
        <f ca="1">_xlfn.XLOOKUP(OFFSET($C$12,$I236,MATCH($T$11,$D$12:$G$12,0)),主线推图!$B$313:$B$612,主线推图!$P$313:$P$612)*OFFSET($C$1,MATCH(T$12,$C$2:$C$7,0),MATCH($T$11,$D$12:$G$12,0))</f>
        <v>#N/A</v>
      </c>
      <c r="U236" s="163" t="e">
        <f ca="1">_xlfn.XLOOKUP(OFFSET($C$12,$I236,MATCH($T$11,$D$12:$G$12,0)),巡逻产出!$B$311:$B$610,巡逻产出!$R$311:$R$610)*OFFSET($C$1,MATCH(U$12,$C$2:$C$7,0),MATCH($T$11,$D$12:$G$12,0))</f>
        <v>#N/A</v>
      </c>
      <c r="V236" s="163">
        <f ca="1">_xlfn.XLOOKUP(MAX(INT((OFFSET($C$12,$I236,MATCH($T$11,$D$12:$G$12,0))-6)/10),1),组队产出!$B$25:$B$39,组队产出!$P$25:$P$39)*OFFSET($C$1,MATCH(V$12,$C$2:$C$7,0),MATCH($T$11,$D$12:$G$12,0))</f>
        <v>2308.8</v>
      </c>
      <c r="W236" s="163">
        <f ca="1">竞技场!$G$3*OFFSET($C$1,MATCH(W$12,$C$2:$C$7,0),MATCH($T$11,$D$12:$G$12,0))</f>
        <v>2100</v>
      </c>
      <c r="X23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6" s="23">
        <f>任务!$G$6+任务!$G$9+IF(MOD(S236,7)=0,任务!$N$9+任务!$O$6,0)</f>
        <v>3125</v>
      </c>
      <c r="Z236" s="25">
        <f>公会!$U$11</f>
        <v>2766.62857142857</v>
      </c>
      <c r="AA236" s="163" t="e">
        <f ca="1">_xlfn.XLOOKUP(OFFSET($C$12,$I236,MATCH($T$11,$D$12:$G$12,0)),巡逻产出!$B$311:$B$610,巡逻产出!$Q$311:$Q$610)*OFFSET($C$1,MATCH(AA$12,$C$2:$C$7,0),MATCH($T$11,$D$12:$G$12,0))</f>
        <v>#N/A</v>
      </c>
      <c r="AC236" s="160">
        <v>224</v>
      </c>
      <c r="AD236" s="163">
        <f ca="1">_xlfn.XLOOKUP(OFFSET($C$12,$I236,MATCH($AD$11,$D$12:$G$12,0)),主线推图!$B$313:$B$612,主线推图!$P$313:$P$612)*OFFSET($C$1,MATCH(AD$12,$C$2:$C$7,0),MATCH($AD$11,$D$12:$G$12,0))</f>
        <v>3462.8</v>
      </c>
      <c r="AE236" s="163">
        <f ca="1">_xlfn.XLOOKUP(OFFSET($C$12,$I236,MATCH($AD$11,$D$12:$G$12,0)),巡逻产出!$B$311:$B$610,巡逻产出!$R$311:$R$610)*OFFSET($C$1,MATCH(AE$12,$C$2:$C$7,0),MATCH($AD$11,$D$12:$G$12,0))</f>
        <v>0</v>
      </c>
      <c r="AF236" s="163" t="e">
        <f ca="1">_xlfn.XLOOKUP(MAX(INT((OFFSET($C$12,$I236,MATCH($AD$11,$D$12:$G$12,0))-6)/10),1),组队产出!$B$25:$B$39,组队产出!$P$25:$P$39)*OFFSET($C$1,MATCH(AF$12,$C$2:$C$7,0),MATCH($AD$11,$D$12:$G$12,0))</f>
        <v>#N/A</v>
      </c>
      <c r="AG236" s="163">
        <f ca="1">竞技场!$G$3*OFFSET($C$1,MATCH(AG$12,$C$2:$C$7,0),MATCH($AD$11,$D$12:$G$12,0))</f>
        <v>3150</v>
      </c>
      <c r="AH23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6" s="23">
        <f>任务!$G$6+任务!$G$9+IF(MOD(AC236,7)=0,任务!$N$9+任务!$O$6,0)</f>
        <v>3125</v>
      </c>
      <c r="AJ236" s="25">
        <f>公会!$U$11</f>
        <v>2766.62857142857</v>
      </c>
      <c r="AK236" s="163">
        <f ca="1">_xlfn.XLOOKUP(OFFSET($C$12,$I236,MATCH($AD$11,$D$12:$G$12,0)),巡逻产出!$B$311:$B$610,巡逻产出!$Q$311:$Q$610)*OFFSET($C$1,MATCH(AK$12,$C$2:$C$7,0),MATCH($AD$11,$D$12:$G$12,0))</f>
        <v>2397.408</v>
      </c>
      <c r="AM236" s="164">
        <v>224</v>
      </c>
      <c r="AN236" s="165">
        <f t="shared" si="29"/>
        <v>26125</v>
      </c>
      <c r="AO236" s="165">
        <f t="shared" si="30"/>
        <v>32778</v>
      </c>
      <c r="AP236" s="165">
        <f t="shared" si="31"/>
        <v>52011</v>
      </c>
      <c r="AQ236" s="165">
        <f t="shared" si="32"/>
        <v>68482</v>
      </c>
    </row>
    <row r="237" spans="3:43">
      <c r="C237" s="160">
        <v>225</v>
      </c>
      <c r="D237" s="169">
        <v>174</v>
      </c>
      <c r="E237" s="170">
        <f t="shared" si="27"/>
        <v>131</v>
      </c>
      <c r="F237" s="169">
        <f t="shared" si="28"/>
        <v>155.599999999999</v>
      </c>
      <c r="G237" s="163">
        <f t="shared" si="33"/>
        <v>235.5</v>
      </c>
      <c r="I237" s="160">
        <v>225</v>
      </c>
      <c r="J237" s="163" t="e">
        <f ca="1">_xlfn.XLOOKUP(OFFSET($C$12,$I237,MATCH($J$11,$D$12:$G$12,0)),主线推图!$B$313:$B$612,主线推图!$P$313:$P$612)*OFFSET($C$1,MATCH(J$12,$C$2:$C$7,0),MATCH($J$11,$D$12:$G$12,0))</f>
        <v>#N/A</v>
      </c>
      <c r="K237" s="163" t="e">
        <f ca="1">_xlfn.XLOOKUP(OFFSET($C$12,$I237,MATCH($J$11,$D$12:$G$12,0)),巡逻产出!$B$311:$B$610,巡逻产出!$R$311:$R$610)*OFFSET($C$1,MATCH(K$12,$C$2:$C$7,0),MATCH($J$11,$D$12:$G$12,0))</f>
        <v>#N/A</v>
      </c>
      <c r="L237" s="163">
        <f ca="1">_xlfn.XLOOKUP(MAX(INT((OFFSET($C$12,$I237,MATCH($J$11,$D$12:$G$12,0))-6)/10),1),组队产出!$B$25:$B$39,组队产出!$P$25:$P$39)*OFFSET($C$1,MATCH(L$12,$C$2:$C$7,0),MATCH($J$11,$D$12:$G$12,0))</f>
        <v>1124.4</v>
      </c>
      <c r="M237" s="163">
        <f ca="1">竞技场!$G$3*OFFSET($C$1,MATCH(M$12,$C$2:$C$7,0),MATCH($J$11,$D$12:$G$12,0))</f>
        <v>1050</v>
      </c>
      <c r="N23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7" s="23">
        <f>任务!$G$6+任务!$G$9+IF(MOD(I237,7)=0,任务!$N$9+任务!$O$6,0)</f>
        <v>895</v>
      </c>
      <c r="P237" s="25">
        <f>公会!$U$11</f>
        <v>2766.62857142857</v>
      </c>
      <c r="Q237" s="163" t="e">
        <f ca="1">_xlfn.XLOOKUP(OFFSET($C$12,$I237,MATCH($J$11,$D$12:$G$12,0)),巡逻产出!$B$311:$B$610,巡逻产出!$Q$311:$Q$610)*OFFSET($C$1,MATCH(Q$12,$C$2:$C$7,0),MATCH($J$11,$D$12:$G$12,0))</f>
        <v>#N/A</v>
      </c>
      <c r="S237" s="160">
        <v>225</v>
      </c>
      <c r="T237" s="163" t="e">
        <f ca="1">_xlfn.XLOOKUP(OFFSET($C$12,$I237,MATCH($T$11,$D$12:$G$12,0)),主线推图!$B$313:$B$612,主线推图!$P$313:$P$612)*OFFSET($C$1,MATCH(T$12,$C$2:$C$7,0),MATCH($T$11,$D$12:$G$12,0))</f>
        <v>#N/A</v>
      </c>
      <c r="U237" s="163" t="e">
        <f ca="1">_xlfn.XLOOKUP(OFFSET($C$12,$I237,MATCH($T$11,$D$12:$G$12,0)),巡逻产出!$B$311:$B$610,巡逻产出!$R$311:$R$610)*OFFSET($C$1,MATCH(U$12,$C$2:$C$7,0),MATCH($T$11,$D$12:$G$12,0))</f>
        <v>#N/A</v>
      </c>
      <c r="V237" s="163">
        <f ca="1">_xlfn.XLOOKUP(MAX(INT((OFFSET($C$12,$I237,MATCH($T$11,$D$12:$G$12,0))-6)/10),1),组队产出!$B$25:$B$39,组队产出!$P$25:$P$39)*OFFSET($C$1,MATCH(V$12,$C$2:$C$7,0),MATCH($T$11,$D$12:$G$12,0))</f>
        <v>2308.8</v>
      </c>
      <c r="W237" s="163">
        <f ca="1">竞技场!$G$3*OFFSET($C$1,MATCH(W$12,$C$2:$C$7,0),MATCH($T$11,$D$12:$G$12,0))</f>
        <v>2100</v>
      </c>
      <c r="X23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7" s="23">
        <f>任务!$G$6+任务!$G$9+IF(MOD(S237,7)=0,任务!$N$9+任务!$O$6,0)</f>
        <v>895</v>
      </c>
      <c r="Z237" s="25">
        <f>公会!$U$11</f>
        <v>2766.62857142857</v>
      </c>
      <c r="AA237" s="163" t="e">
        <f ca="1">_xlfn.XLOOKUP(OFFSET($C$12,$I237,MATCH($T$11,$D$12:$G$12,0)),巡逻产出!$B$311:$B$610,巡逻产出!$Q$311:$Q$610)*OFFSET($C$1,MATCH(AA$12,$C$2:$C$7,0),MATCH($T$11,$D$12:$G$12,0))</f>
        <v>#N/A</v>
      </c>
      <c r="AC237" s="160">
        <v>225</v>
      </c>
      <c r="AD237" s="163" t="e">
        <f ca="1">_xlfn.XLOOKUP(OFFSET($C$12,$I237,MATCH($AD$11,$D$12:$G$12,0)),主线推图!$B$313:$B$612,主线推图!$P$313:$P$612)*OFFSET($C$1,MATCH(AD$12,$C$2:$C$7,0),MATCH($AD$11,$D$12:$G$12,0))</f>
        <v>#N/A</v>
      </c>
      <c r="AE237" s="163" t="e">
        <f ca="1">_xlfn.XLOOKUP(OFFSET($C$12,$I237,MATCH($AD$11,$D$12:$G$12,0)),巡逻产出!$B$311:$B$610,巡逻产出!$R$311:$R$610)*OFFSET($C$1,MATCH(AE$12,$C$2:$C$7,0),MATCH($AD$11,$D$12:$G$12,0))</f>
        <v>#N/A</v>
      </c>
      <c r="AF237" s="163" t="e">
        <f ca="1">_xlfn.XLOOKUP(MAX(INT((OFFSET($C$12,$I237,MATCH($AD$11,$D$12:$G$12,0))-6)/10),1),组队产出!$B$25:$B$39,组队产出!$P$25:$P$39)*OFFSET($C$1,MATCH(AF$12,$C$2:$C$7,0),MATCH($AD$11,$D$12:$G$12,0))</f>
        <v>#N/A</v>
      </c>
      <c r="AG237" s="163">
        <f ca="1">竞技场!$G$3*OFFSET($C$1,MATCH(AG$12,$C$2:$C$7,0),MATCH($AD$11,$D$12:$G$12,0))</f>
        <v>3150</v>
      </c>
      <c r="AH23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7" s="23">
        <f>任务!$G$6+任务!$G$9+IF(MOD(AC237,7)=0,任务!$N$9+任务!$O$6,0)</f>
        <v>895</v>
      </c>
      <c r="AJ237" s="25">
        <f>公会!$U$11</f>
        <v>2766.62857142857</v>
      </c>
      <c r="AK237" s="163" t="e">
        <f ca="1">_xlfn.XLOOKUP(OFFSET($C$12,$I237,MATCH($AD$11,$D$12:$G$12,0)),巡逻产出!$B$311:$B$610,巡逻产出!$Q$311:$Q$610)*OFFSET($C$1,MATCH(AK$12,$C$2:$C$7,0),MATCH($AD$11,$D$12:$G$12,0))</f>
        <v>#N/A</v>
      </c>
      <c r="AM237" s="164">
        <v>225</v>
      </c>
      <c r="AN237" s="165">
        <f t="shared" si="29"/>
        <v>26239</v>
      </c>
      <c r="AO237" s="165">
        <f t="shared" si="30"/>
        <v>32921</v>
      </c>
      <c r="AP237" s="165">
        <f t="shared" si="31"/>
        <v>52240</v>
      </c>
      <c r="AQ237" s="165">
        <f t="shared" si="32"/>
        <v>68784</v>
      </c>
    </row>
    <row r="238" spans="3:43">
      <c r="C238" s="160">
        <v>226</v>
      </c>
      <c r="D238" s="169">
        <v>174</v>
      </c>
      <c r="E238" s="170">
        <f t="shared" si="27"/>
        <v>131.25</v>
      </c>
      <c r="F238" s="169">
        <f t="shared" si="28"/>
        <v>155.949999999999</v>
      </c>
      <c r="G238" s="163">
        <f t="shared" si="33"/>
        <v>236</v>
      </c>
      <c r="I238" s="160">
        <v>226</v>
      </c>
      <c r="J238" s="163" t="e">
        <f ca="1">_xlfn.XLOOKUP(OFFSET($C$12,$I238,MATCH($J$11,$D$12:$G$12,0)),主线推图!$B$313:$B$612,主线推图!$P$313:$P$612)*OFFSET($C$1,MATCH(J$12,$C$2:$C$7,0),MATCH($J$11,$D$12:$G$12,0))</f>
        <v>#N/A</v>
      </c>
      <c r="K238" s="163" t="e">
        <f ca="1">_xlfn.XLOOKUP(OFFSET($C$12,$I238,MATCH($J$11,$D$12:$G$12,0)),巡逻产出!$B$311:$B$610,巡逻产出!$R$311:$R$610)*OFFSET($C$1,MATCH(K$12,$C$2:$C$7,0),MATCH($J$11,$D$12:$G$12,0))</f>
        <v>#N/A</v>
      </c>
      <c r="L238" s="163">
        <f ca="1">_xlfn.XLOOKUP(MAX(INT((OFFSET($C$12,$I238,MATCH($J$11,$D$12:$G$12,0))-6)/10),1),组队产出!$B$25:$B$39,组队产出!$P$25:$P$39)*OFFSET($C$1,MATCH(L$12,$C$2:$C$7,0),MATCH($J$11,$D$12:$G$12,0))</f>
        <v>1124.4</v>
      </c>
      <c r="M238" s="163">
        <f ca="1">竞技场!$G$3*OFFSET($C$1,MATCH(M$12,$C$2:$C$7,0),MATCH($J$11,$D$12:$G$12,0))</f>
        <v>1050</v>
      </c>
      <c r="N23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8" s="23">
        <f>任务!$G$6+任务!$G$9+IF(MOD(I238,7)=0,任务!$N$9+任务!$O$6,0)</f>
        <v>895</v>
      </c>
      <c r="P238" s="25">
        <f>公会!$U$11</f>
        <v>2766.62857142857</v>
      </c>
      <c r="Q238" s="163" t="e">
        <f ca="1">_xlfn.XLOOKUP(OFFSET($C$12,$I238,MATCH($J$11,$D$12:$G$12,0)),巡逻产出!$B$311:$B$610,巡逻产出!$Q$311:$Q$610)*OFFSET($C$1,MATCH(Q$12,$C$2:$C$7,0),MATCH($J$11,$D$12:$G$12,0))</f>
        <v>#N/A</v>
      </c>
      <c r="S238" s="160">
        <v>226</v>
      </c>
      <c r="T238" s="163" t="e">
        <f ca="1">_xlfn.XLOOKUP(OFFSET($C$12,$I238,MATCH($T$11,$D$12:$G$12,0)),主线推图!$B$313:$B$612,主线推图!$P$313:$P$612)*OFFSET($C$1,MATCH(T$12,$C$2:$C$7,0),MATCH($T$11,$D$12:$G$12,0))</f>
        <v>#N/A</v>
      </c>
      <c r="U238" s="163" t="e">
        <f ca="1">_xlfn.XLOOKUP(OFFSET($C$12,$I238,MATCH($T$11,$D$12:$G$12,0)),巡逻产出!$B$311:$B$610,巡逻产出!$R$311:$R$610)*OFFSET($C$1,MATCH(U$12,$C$2:$C$7,0),MATCH($T$11,$D$12:$G$12,0))</f>
        <v>#N/A</v>
      </c>
      <c r="V238" s="163">
        <f ca="1">_xlfn.XLOOKUP(MAX(INT((OFFSET($C$12,$I238,MATCH($T$11,$D$12:$G$12,0))-6)/10),1),组队产出!$B$25:$B$39,组队产出!$P$25:$P$39)*OFFSET($C$1,MATCH(V$12,$C$2:$C$7,0),MATCH($T$11,$D$12:$G$12,0))</f>
        <v>2308.8</v>
      </c>
      <c r="W238" s="163">
        <f ca="1">竞技场!$G$3*OFFSET($C$1,MATCH(W$12,$C$2:$C$7,0),MATCH($T$11,$D$12:$G$12,0))</f>
        <v>2100</v>
      </c>
      <c r="X23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8" s="23">
        <f>任务!$G$6+任务!$G$9+IF(MOD(S238,7)=0,任务!$N$9+任务!$O$6,0)</f>
        <v>895</v>
      </c>
      <c r="Z238" s="25">
        <f>公会!$U$11</f>
        <v>2766.62857142857</v>
      </c>
      <c r="AA238" s="163" t="e">
        <f ca="1">_xlfn.XLOOKUP(OFFSET($C$12,$I238,MATCH($T$11,$D$12:$G$12,0)),巡逻产出!$B$311:$B$610,巡逻产出!$Q$311:$Q$610)*OFFSET($C$1,MATCH(AA$12,$C$2:$C$7,0),MATCH($T$11,$D$12:$G$12,0))</f>
        <v>#N/A</v>
      </c>
      <c r="AC238" s="160">
        <v>226</v>
      </c>
      <c r="AD238" s="163">
        <f ca="1">_xlfn.XLOOKUP(OFFSET($C$12,$I238,MATCH($AD$11,$D$12:$G$12,0)),主线推图!$B$313:$B$612,主线推图!$P$313:$P$612)*OFFSET($C$1,MATCH(AD$12,$C$2:$C$7,0),MATCH($AD$11,$D$12:$G$12,0))</f>
        <v>3465</v>
      </c>
      <c r="AE238" s="163">
        <f ca="1">_xlfn.XLOOKUP(OFFSET($C$12,$I238,MATCH($AD$11,$D$12:$G$12,0)),巡逻产出!$B$311:$B$610,巡逻产出!$R$311:$R$610)*OFFSET($C$1,MATCH(AE$12,$C$2:$C$7,0),MATCH($AD$11,$D$12:$G$12,0))</f>
        <v>0</v>
      </c>
      <c r="AF238" s="163" t="e">
        <f ca="1">_xlfn.XLOOKUP(MAX(INT((OFFSET($C$12,$I238,MATCH($AD$11,$D$12:$G$12,0))-6)/10),1),组队产出!$B$25:$B$39,组队产出!$P$25:$P$39)*OFFSET($C$1,MATCH(AF$12,$C$2:$C$7,0),MATCH($AD$11,$D$12:$G$12,0))</f>
        <v>#N/A</v>
      </c>
      <c r="AG238" s="163">
        <f ca="1">竞技场!$G$3*OFFSET($C$1,MATCH(AG$12,$C$2:$C$7,0),MATCH($AD$11,$D$12:$G$12,0))</f>
        <v>3150</v>
      </c>
      <c r="AH23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8" s="23">
        <f>任务!$G$6+任务!$G$9+IF(MOD(AC238,7)=0,任务!$N$9+任务!$O$6,0)</f>
        <v>895</v>
      </c>
      <c r="AJ238" s="25">
        <f>公会!$U$11</f>
        <v>2766.62857142857</v>
      </c>
      <c r="AK238" s="163">
        <f ca="1">_xlfn.XLOOKUP(OFFSET($C$12,$I238,MATCH($AD$11,$D$12:$G$12,0)),巡逻产出!$B$311:$B$610,巡逻产出!$Q$311:$Q$610)*OFFSET($C$1,MATCH(AK$12,$C$2:$C$7,0),MATCH($AD$11,$D$12:$G$12,0))</f>
        <v>2398.968</v>
      </c>
      <c r="AM238" s="164">
        <v>226</v>
      </c>
      <c r="AN238" s="165">
        <f t="shared" si="29"/>
        <v>26352</v>
      </c>
      <c r="AO238" s="165">
        <f t="shared" si="30"/>
        <v>33064</v>
      </c>
      <c r="AP238" s="165">
        <f t="shared" si="31"/>
        <v>52468</v>
      </c>
      <c r="AQ238" s="165">
        <f t="shared" si="32"/>
        <v>69086</v>
      </c>
    </row>
    <row r="239" spans="3:43">
      <c r="C239" s="160">
        <v>227</v>
      </c>
      <c r="D239" s="169">
        <v>174</v>
      </c>
      <c r="E239" s="170">
        <f t="shared" si="27"/>
        <v>131.5</v>
      </c>
      <c r="F239" s="169">
        <f t="shared" si="28"/>
        <v>156.299999999999</v>
      </c>
      <c r="G239" s="163">
        <f t="shared" si="33"/>
        <v>236.5</v>
      </c>
      <c r="I239" s="160">
        <v>227</v>
      </c>
      <c r="J239" s="163" t="e">
        <f ca="1">_xlfn.XLOOKUP(OFFSET($C$12,$I239,MATCH($J$11,$D$12:$G$12,0)),主线推图!$B$313:$B$612,主线推图!$P$313:$P$612)*OFFSET($C$1,MATCH(J$12,$C$2:$C$7,0),MATCH($J$11,$D$12:$G$12,0))</f>
        <v>#N/A</v>
      </c>
      <c r="K239" s="163" t="e">
        <f ca="1">_xlfn.XLOOKUP(OFFSET($C$12,$I239,MATCH($J$11,$D$12:$G$12,0)),巡逻产出!$B$311:$B$610,巡逻产出!$R$311:$R$610)*OFFSET($C$1,MATCH(K$12,$C$2:$C$7,0),MATCH($J$11,$D$12:$G$12,0))</f>
        <v>#N/A</v>
      </c>
      <c r="L239" s="163">
        <f ca="1">_xlfn.XLOOKUP(MAX(INT((OFFSET($C$12,$I239,MATCH($J$11,$D$12:$G$12,0))-6)/10),1),组队产出!$B$25:$B$39,组队产出!$P$25:$P$39)*OFFSET($C$1,MATCH(L$12,$C$2:$C$7,0),MATCH($J$11,$D$12:$G$12,0))</f>
        <v>1124.4</v>
      </c>
      <c r="M239" s="163">
        <f ca="1">竞技场!$G$3*OFFSET($C$1,MATCH(M$12,$C$2:$C$7,0),MATCH($J$11,$D$12:$G$12,0))</f>
        <v>1050</v>
      </c>
      <c r="N23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9" s="23">
        <f>任务!$G$6+任务!$G$9+IF(MOD(I239,7)=0,任务!$N$9+任务!$O$6,0)</f>
        <v>895</v>
      </c>
      <c r="P239" s="25">
        <f>公会!$U$11</f>
        <v>2766.62857142857</v>
      </c>
      <c r="Q239" s="163" t="e">
        <f ca="1">_xlfn.XLOOKUP(OFFSET($C$12,$I239,MATCH($J$11,$D$12:$G$12,0)),巡逻产出!$B$311:$B$610,巡逻产出!$Q$311:$Q$610)*OFFSET($C$1,MATCH(Q$12,$C$2:$C$7,0),MATCH($J$11,$D$12:$G$12,0))</f>
        <v>#N/A</v>
      </c>
      <c r="S239" s="160">
        <v>227</v>
      </c>
      <c r="T239" s="163" t="e">
        <f ca="1">_xlfn.XLOOKUP(OFFSET($C$12,$I239,MATCH($T$11,$D$12:$G$12,0)),主线推图!$B$313:$B$612,主线推图!$P$313:$P$612)*OFFSET($C$1,MATCH(T$12,$C$2:$C$7,0),MATCH($T$11,$D$12:$G$12,0))</f>
        <v>#N/A</v>
      </c>
      <c r="U239" s="163" t="e">
        <f ca="1">_xlfn.XLOOKUP(OFFSET($C$12,$I239,MATCH($T$11,$D$12:$G$12,0)),巡逻产出!$B$311:$B$610,巡逻产出!$R$311:$R$610)*OFFSET($C$1,MATCH(U$12,$C$2:$C$7,0),MATCH($T$11,$D$12:$G$12,0))</f>
        <v>#N/A</v>
      </c>
      <c r="V239" s="163">
        <f ca="1">_xlfn.XLOOKUP(MAX(INT((OFFSET($C$12,$I239,MATCH($T$11,$D$12:$G$12,0))-6)/10),1),组队产出!$B$25:$B$39,组队产出!$P$25:$P$39)*OFFSET($C$1,MATCH(V$12,$C$2:$C$7,0),MATCH($T$11,$D$12:$G$12,0))</f>
        <v>2320.8</v>
      </c>
      <c r="W239" s="163">
        <f ca="1">竞技场!$G$3*OFFSET($C$1,MATCH(W$12,$C$2:$C$7,0),MATCH($T$11,$D$12:$G$12,0))</f>
        <v>2100</v>
      </c>
      <c r="X23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9" s="23">
        <f>任务!$G$6+任务!$G$9+IF(MOD(S239,7)=0,任务!$N$9+任务!$O$6,0)</f>
        <v>895</v>
      </c>
      <c r="Z239" s="25">
        <f>公会!$U$11</f>
        <v>2766.62857142857</v>
      </c>
      <c r="AA239" s="163" t="e">
        <f ca="1">_xlfn.XLOOKUP(OFFSET($C$12,$I239,MATCH($T$11,$D$12:$G$12,0)),巡逻产出!$B$311:$B$610,巡逻产出!$Q$311:$Q$610)*OFFSET($C$1,MATCH(AA$12,$C$2:$C$7,0),MATCH($T$11,$D$12:$G$12,0))</f>
        <v>#N/A</v>
      </c>
      <c r="AC239" s="160">
        <v>227</v>
      </c>
      <c r="AD239" s="163" t="e">
        <f ca="1">_xlfn.XLOOKUP(OFFSET($C$12,$I239,MATCH($AD$11,$D$12:$G$12,0)),主线推图!$B$313:$B$612,主线推图!$P$313:$P$612)*OFFSET($C$1,MATCH(AD$12,$C$2:$C$7,0),MATCH($AD$11,$D$12:$G$12,0))</f>
        <v>#N/A</v>
      </c>
      <c r="AE239" s="163" t="e">
        <f ca="1">_xlfn.XLOOKUP(OFFSET($C$12,$I239,MATCH($AD$11,$D$12:$G$12,0)),巡逻产出!$B$311:$B$610,巡逻产出!$R$311:$R$610)*OFFSET($C$1,MATCH(AE$12,$C$2:$C$7,0),MATCH($AD$11,$D$12:$G$12,0))</f>
        <v>#N/A</v>
      </c>
      <c r="AF239" s="163" t="e">
        <f ca="1">_xlfn.XLOOKUP(MAX(INT((OFFSET($C$12,$I239,MATCH($AD$11,$D$12:$G$12,0))-6)/10),1),组队产出!$B$25:$B$39,组队产出!$P$25:$P$39)*OFFSET($C$1,MATCH(AF$12,$C$2:$C$7,0),MATCH($AD$11,$D$12:$G$12,0))</f>
        <v>#N/A</v>
      </c>
      <c r="AG239" s="163">
        <f ca="1">竞技场!$G$3*OFFSET($C$1,MATCH(AG$12,$C$2:$C$7,0),MATCH($AD$11,$D$12:$G$12,0))</f>
        <v>3150</v>
      </c>
      <c r="AH23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9" s="23">
        <f>任务!$G$6+任务!$G$9+IF(MOD(AC239,7)=0,任务!$N$9+任务!$O$6,0)</f>
        <v>895</v>
      </c>
      <c r="AJ239" s="25">
        <f>公会!$U$11</f>
        <v>2766.62857142857</v>
      </c>
      <c r="AK239" s="163" t="e">
        <f ca="1">_xlfn.XLOOKUP(OFFSET($C$12,$I239,MATCH($AD$11,$D$12:$G$12,0)),巡逻产出!$B$311:$B$610,巡逻产出!$Q$311:$Q$610)*OFFSET($C$1,MATCH(AK$12,$C$2:$C$7,0),MATCH($AD$11,$D$12:$G$12,0))</f>
        <v>#N/A</v>
      </c>
      <c r="AM239" s="164">
        <v>227</v>
      </c>
      <c r="AN239" s="165">
        <f t="shared" si="29"/>
        <v>26466</v>
      </c>
      <c r="AO239" s="165">
        <f t="shared" si="30"/>
        <v>33207</v>
      </c>
      <c r="AP239" s="165">
        <f t="shared" si="31"/>
        <v>52697</v>
      </c>
      <c r="AQ239" s="165">
        <f t="shared" si="32"/>
        <v>69388</v>
      </c>
    </row>
    <row r="240" spans="3:43">
      <c r="C240" s="160">
        <v>228</v>
      </c>
      <c r="D240" s="169">
        <v>174</v>
      </c>
      <c r="E240" s="170">
        <f t="shared" si="27"/>
        <v>131.75</v>
      </c>
      <c r="F240" s="169">
        <f t="shared" si="28"/>
        <v>156.649999999999</v>
      </c>
      <c r="G240" s="163">
        <f t="shared" si="33"/>
        <v>237</v>
      </c>
      <c r="I240" s="160">
        <v>228</v>
      </c>
      <c r="J240" s="163" t="e">
        <f ca="1">_xlfn.XLOOKUP(OFFSET($C$12,$I240,MATCH($J$11,$D$12:$G$12,0)),主线推图!$B$313:$B$612,主线推图!$P$313:$P$612)*OFFSET($C$1,MATCH(J$12,$C$2:$C$7,0),MATCH($J$11,$D$12:$G$12,0))</f>
        <v>#N/A</v>
      </c>
      <c r="K240" s="163" t="e">
        <f ca="1">_xlfn.XLOOKUP(OFFSET($C$12,$I240,MATCH($J$11,$D$12:$G$12,0)),巡逻产出!$B$311:$B$610,巡逻产出!$R$311:$R$610)*OFFSET($C$1,MATCH(K$12,$C$2:$C$7,0),MATCH($J$11,$D$12:$G$12,0))</f>
        <v>#N/A</v>
      </c>
      <c r="L240" s="163">
        <f ca="1">_xlfn.XLOOKUP(MAX(INT((OFFSET($C$12,$I240,MATCH($J$11,$D$12:$G$12,0))-6)/10),1),组队产出!$B$25:$B$39,组队产出!$P$25:$P$39)*OFFSET($C$1,MATCH(L$12,$C$2:$C$7,0),MATCH($J$11,$D$12:$G$12,0))</f>
        <v>1124.4</v>
      </c>
      <c r="M240" s="163">
        <f ca="1">竞技场!$G$3*OFFSET($C$1,MATCH(M$12,$C$2:$C$7,0),MATCH($J$11,$D$12:$G$12,0))</f>
        <v>1050</v>
      </c>
      <c r="N24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0" s="23">
        <f>任务!$G$6+任务!$G$9+IF(MOD(I240,7)=0,任务!$N$9+任务!$O$6,0)</f>
        <v>895</v>
      </c>
      <c r="P240" s="25">
        <f>公会!$U$11</f>
        <v>2766.62857142857</v>
      </c>
      <c r="Q240" s="163" t="e">
        <f ca="1">_xlfn.XLOOKUP(OFFSET($C$12,$I240,MATCH($J$11,$D$12:$G$12,0)),巡逻产出!$B$311:$B$610,巡逻产出!$Q$311:$Q$610)*OFFSET($C$1,MATCH(Q$12,$C$2:$C$7,0),MATCH($J$11,$D$12:$G$12,0))</f>
        <v>#N/A</v>
      </c>
      <c r="S240" s="160">
        <v>228</v>
      </c>
      <c r="T240" s="163" t="e">
        <f ca="1">_xlfn.XLOOKUP(OFFSET($C$12,$I240,MATCH($T$11,$D$12:$G$12,0)),主线推图!$B$313:$B$612,主线推图!$P$313:$P$612)*OFFSET($C$1,MATCH(T$12,$C$2:$C$7,0),MATCH($T$11,$D$12:$G$12,0))</f>
        <v>#N/A</v>
      </c>
      <c r="U240" s="163" t="e">
        <f ca="1">_xlfn.XLOOKUP(OFFSET($C$12,$I240,MATCH($T$11,$D$12:$G$12,0)),巡逻产出!$B$311:$B$610,巡逻产出!$R$311:$R$610)*OFFSET($C$1,MATCH(U$12,$C$2:$C$7,0),MATCH($T$11,$D$12:$G$12,0))</f>
        <v>#N/A</v>
      </c>
      <c r="V240" s="163">
        <f ca="1">_xlfn.XLOOKUP(MAX(INT((OFFSET($C$12,$I240,MATCH($T$11,$D$12:$G$12,0))-6)/10),1),组队产出!$B$25:$B$39,组队产出!$P$25:$P$39)*OFFSET($C$1,MATCH(V$12,$C$2:$C$7,0),MATCH($T$11,$D$12:$G$12,0))</f>
        <v>2320.8</v>
      </c>
      <c r="W240" s="163">
        <f ca="1">竞技场!$G$3*OFFSET($C$1,MATCH(W$12,$C$2:$C$7,0),MATCH($T$11,$D$12:$G$12,0))</f>
        <v>2100</v>
      </c>
      <c r="X24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0" s="23">
        <f>任务!$G$6+任务!$G$9+IF(MOD(S240,7)=0,任务!$N$9+任务!$O$6,0)</f>
        <v>895</v>
      </c>
      <c r="Z240" s="25">
        <f>公会!$U$11</f>
        <v>2766.62857142857</v>
      </c>
      <c r="AA240" s="163" t="e">
        <f ca="1">_xlfn.XLOOKUP(OFFSET($C$12,$I240,MATCH($T$11,$D$12:$G$12,0)),巡逻产出!$B$311:$B$610,巡逻产出!$Q$311:$Q$610)*OFFSET($C$1,MATCH(AA$12,$C$2:$C$7,0),MATCH($T$11,$D$12:$G$12,0))</f>
        <v>#N/A</v>
      </c>
      <c r="AC240" s="160">
        <v>228</v>
      </c>
      <c r="AD240" s="163">
        <f ca="1">_xlfn.XLOOKUP(OFFSET($C$12,$I240,MATCH($AD$11,$D$12:$G$12,0)),主线推图!$B$313:$B$612,主线推图!$P$313:$P$612)*OFFSET($C$1,MATCH(AD$12,$C$2:$C$7,0),MATCH($AD$11,$D$12:$G$12,0))</f>
        <v>3467.2</v>
      </c>
      <c r="AE240" s="163">
        <f ca="1">_xlfn.XLOOKUP(OFFSET($C$12,$I240,MATCH($AD$11,$D$12:$G$12,0)),巡逻产出!$B$311:$B$610,巡逻产出!$R$311:$R$610)*OFFSET($C$1,MATCH(AE$12,$C$2:$C$7,0),MATCH($AD$11,$D$12:$G$12,0))</f>
        <v>0</v>
      </c>
      <c r="AF240" s="163" t="e">
        <f ca="1">_xlfn.XLOOKUP(MAX(INT((OFFSET($C$12,$I240,MATCH($AD$11,$D$12:$G$12,0))-6)/10),1),组队产出!$B$25:$B$39,组队产出!$P$25:$P$39)*OFFSET($C$1,MATCH(AF$12,$C$2:$C$7,0),MATCH($AD$11,$D$12:$G$12,0))</f>
        <v>#N/A</v>
      </c>
      <c r="AG240" s="163">
        <f ca="1">竞技场!$G$3*OFFSET($C$1,MATCH(AG$12,$C$2:$C$7,0),MATCH($AD$11,$D$12:$G$12,0))</f>
        <v>3150</v>
      </c>
      <c r="AH24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0" s="23">
        <f>任务!$G$6+任务!$G$9+IF(MOD(AC240,7)=0,任务!$N$9+任务!$O$6,0)</f>
        <v>895</v>
      </c>
      <c r="AJ240" s="25">
        <f>公会!$U$11</f>
        <v>2766.62857142857</v>
      </c>
      <c r="AK240" s="163">
        <f ca="1">_xlfn.XLOOKUP(OFFSET($C$12,$I240,MATCH($AD$11,$D$12:$G$12,0)),巡逻产出!$B$311:$B$610,巡逻产出!$Q$311:$Q$610)*OFFSET($C$1,MATCH(AK$12,$C$2:$C$7,0),MATCH($AD$11,$D$12:$G$12,0))</f>
        <v>2400.528</v>
      </c>
      <c r="AM240" s="164">
        <v>228</v>
      </c>
      <c r="AN240" s="165">
        <f t="shared" si="29"/>
        <v>26579</v>
      </c>
      <c r="AO240" s="165">
        <f t="shared" si="30"/>
        <v>33350</v>
      </c>
      <c r="AP240" s="165">
        <f t="shared" si="31"/>
        <v>52925</v>
      </c>
      <c r="AQ240" s="165">
        <f t="shared" si="32"/>
        <v>69690</v>
      </c>
    </row>
    <row r="241" spans="3:43">
      <c r="C241" s="160">
        <v>229</v>
      </c>
      <c r="D241" s="169">
        <v>174</v>
      </c>
      <c r="E241" s="170">
        <f t="shared" si="27"/>
        <v>132</v>
      </c>
      <c r="F241" s="169">
        <f t="shared" si="28"/>
        <v>156.999999999999</v>
      </c>
      <c r="G241" s="163">
        <f t="shared" si="33"/>
        <v>237.5</v>
      </c>
      <c r="I241" s="160">
        <v>229</v>
      </c>
      <c r="J241" s="163" t="e">
        <f ca="1">_xlfn.XLOOKUP(OFFSET($C$12,$I241,MATCH($J$11,$D$12:$G$12,0)),主线推图!$B$313:$B$612,主线推图!$P$313:$P$612)*OFFSET($C$1,MATCH(J$12,$C$2:$C$7,0),MATCH($J$11,$D$12:$G$12,0))</f>
        <v>#N/A</v>
      </c>
      <c r="K241" s="163" t="e">
        <f ca="1">_xlfn.XLOOKUP(OFFSET($C$12,$I241,MATCH($J$11,$D$12:$G$12,0)),巡逻产出!$B$311:$B$610,巡逻产出!$R$311:$R$610)*OFFSET($C$1,MATCH(K$12,$C$2:$C$7,0),MATCH($J$11,$D$12:$G$12,0))</f>
        <v>#N/A</v>
      </c>
      <c r="L241" s="163">
        <f ca="1">_xlfn.XLOOKUP(MAX(INT((OFFSET($C$12,$I241,MATCH($J$11,$D$12:$G$12,0))-6)/10),1),组队产出!$B$25:$B$39,组队产出!$P$25:$P$39)*OFFSET($C$1,MATCH(L$12,$C$2:$C$7,0),MATCH($J$11,$D$12:$G$12,0))</f>
        <v>1124.4</v>
      </c>
      <c r="M241" s="163">
        <f ca="1">竞技场!$G$3*OFFSET($C$1,MATCH(M$12,$C$2:$C$7,0),MATCH($J$11,$D$12:$G$12,0))</f>
        <v>1050</v>
      </c>
      <c r="N24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1" s="23">
        <f>任务!$G$6+任务!$G$9+IF(MOD(I241,7)=0,任务!$N$9+任务!$O$6,0)</f>
        <v>895</v>
      </c>
      <c r="P241" s="25">
        <f>公会!$U$11</f>
        <v>2766.62857142857</v>
      </c>
      <c r="Q241" s="163" t="e">
        <f ca="1">_xlfn.XLOOKUP(OFFSET($C$12,$I241,MATCH($J$11,$D$12:$G$12,0)),巡逻产出!$B$311:$B$610,巡逻产出!$Q$311:$Q$610)*OFFSET($C$1,MATCH(Q$12,$C$2:$C$7,0),MATCH($J$11,$D$12:$G$12,0))</f>
        <v>#N/A</v>
      </c>
      <c r="S241" s="160">
        <v>229</v>
      </c>
      <c r="T241" s="163" t="e">
        <f ca="1">_xlfn.XLOOKUP(OFFSET($C$12,$I241,MATCH($T$11,$D$12:$G$12,0)),主线推图!$B$313:$B$612,主线推图!$P$313:$P$612)*OFFSET($C$1,MATCH(T$12,$C$2:$C$7,0),MATCH($T$11,$D$12:$G$12,0))</f>
        <v>#N/A</v>
      </c>
      <c r="U241" s="163" t="e">
        <f ca="1">_xlfn.XLOOKUP(OFFSET($C$12,$I241,MATCH($T$11,$D$12:$G$12,0)),巡逻产出!$B$311:$B$610,巡逻产出!$R$311:$R$610)*OFFSET($C$1,MATCH(U$12,$C$2:$C$7,0),MATCH($T$11,$D$12:$G$12,0))</f>
        <v>#N/A</v>
      </c>
      <c r="V241" s="163">
        <f ca="1">_xlfn.XLOOKUP(MAX(INT((OFFSET($C$12,$I241,MATCH($T$11,$D$12:$G$12,0))-6)/10),1),组队产出!$B$25:$B$39,组队产出!$P$25:$P$39)*OFFSET($C$1,MATCH(V$12,$C$2:$C$7,0),MATCH($T$11,$D$12:$G$12,0))</f>
        <v>2320.8</v>
      </c>
      <c r="W241" s="163">
        <f ca="1">竞技场!$G$3*OFFSET($C$1,MATCH(W$12,$C$2:$C$7,0),MATCH($T$11,$D$12:$G$12,0))</f>
        <v>2100</v>
      </c>
      <c r="X24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1" s="23">
        <f>任务!$G$6+任务!$G$9+IF(MOD(S241,7)=0,任务!$N$9+任务!$O$6,0)</f>
        <v>895</v>
      </c>
      <c r="Z241" s="25">
        <f>公会!$U$11</f>
        <v>2766.62857142857</v>
      </c>
      <c r="AA241" s="163" t="e">
        <f ca="1">_xlfn.XLOOKUP(OFFSET($C$12,$I241,MATCH($T$11,$D$12:$G$12,0)),巡逻产出!$B$311:$B$610,巡逻产出!$Q$311:$Q$610)*OFFSET($C$1,MATCH(AA$12,$C$2:$C$7,0),MATCH($T$11,$D$12:$G$12,0))</f>
        <v>#N/A</v>
      </c>
      <c r="AC241" s="160">
        <v>229</v>
      </c>
      <c r="AD241" s="163" t="e">
        <f ca="1">_xlfn.XLOOKUP(OFFSET($C$12,$I241,MATCH($AD$11,$D$12:$G$12,0)),主线推图!$B$313:$B$612,主线推图!$P$313:$P$612)*OFFSET($C$1,MATCH(AD$12,$C$2:$C$7,0),MATCH($AD$11,$D$12:$G$12,0))</f>
        <v>#N/A</v>
      </c>
      <c r="AE241" s="163" t="e">
        <f ca="1">_xlfn.XLOOKUP(OFFSET($C$12,$I241,MATCH($AD$11,$D$12:$G$12,0)),巡逻产出!$B$311:$B$610,巡逻产出!$R$311:$R$610)*OFFSET($C$1,MATCH(AE$12,$C$2:$C$7,0),MATCH($AD$11,$D$12:$G$12,0))</f>
        <v>#N/A</v>
      </c>
      <c r="AF241" s="163" t="e">
        <f ca="1">_xlfn.XLOOKUP(MAX(INT((OFFSET($C$12,$I241,MATCH($AD$11,$D$12:$G$12,0))-6)/10),1),组队产出!$B$25:$B$39,组队产出!$P$25:$P$39)*OFFSET($C$1,MATCH(AF$12,$C$2:$C$7,0),MATCH($AD$11,$D$12:$G$12,0))</f>
        <v>#N/A</v>
      </c>
      <c r="AG241" s="163">
        <f ca="1">竞技场!$G$3*OFFSET($C$1,MATCH(AG$12,$C$2:$C$7,0),MATCH($AD$11,$D$12:$G$12,0))</f>
        <v>3150</v>
      </c>
      <c r="AH24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1" s="23">
        <f>任务!$G$6+任务!$G$9+IF(MOD(AC241,7)=0,任务!$N$9+任务!$O$6,0)</f>
        <v>895</v>
      </c>
      <c r="AJ241" s="25">
        <f>公会!$U$11</f>
        <v>2766.62857142857</v>
      </c>
      <c r="AK241" s="163" t="e">
        <f ca="1">_xlfn.XLOOKUP(OFFSET($C$12,$I241,MATCH($AD$11,$D$12:$G$12,0)),巡逻产出!$B$311:$B$610,巡逻产出!$Q$311:$Q$610)*OFFSET($C$1,MATCH(AK$12,$C$2:$C$7,0),MATCH($AD$11,$D$12:$G$12,0))</f>
        <v>#N/A</v>
      </c>
      <c r="AM241" s="164">
        <v>229</v>
      </c>
      <c r="AN241" s="165">
        <f t="shared" si="29"/>
        <v>26693</v>
      </c>
      <c r="AO241" s="165">
        <f t="shared" si="30"/>
        <v>33493</v>
      </c>
      <c r="AP241" s="165">
        <f t="shared" si="31"/>
        <v>53154</v>
      </c>
      <c r="AQ241" s="165">
        <f t="shared" si="32"/>
        <v>69992</v>
      </c>
    </row>
    <row r="242" spans="3:43">
      <c r="C242" s="160">
        <v>230</v>
      </c>
      <c r="D242" s="169">
        <v>174</v>
      </c>
      <c r="E242" s="170">
        <f t="shared" si="27"/>
        <v>132.25</v>
      </c>
      <c r="F242" s="169">
        <f t="shared" si="28"/>
        <v>157.349999999999</v>
      </c>
      <c r="G242" s="163">
        <f t="shared" ref="G242:G273" si="34">G241+0.5</f>
        <v>238</v>
      </c>
      <c r="I242" s="160">
        <v>230</v>
      </c>
      <c r="J242" s="163" t="e">
        <f ca="1">_xlfn.XLOOKUP(OFFSET($C$12,$I242,MATCH($J$11,$D$12:$G$12,0)),主线推图!$B$313:$B$612,主线推图!$P$313:$P$612)*OFFSET($C$1,MATCH(J$12,$C$2:$C$7,0),MATCH($J$11,$D$12:$G$12,0))</f>
        <v>#N/A</v>
      </c>
      <c r="K242" s="163" t="e">
        <f ca="1">_xlfn.XLOOKUP(OFFSET($C$12,$I242,MATCH($J$11,$D$12:$G$12,0)),巡逻产出!$B$311:$B$610,巡逻产出!$R$311:$R$610)*OFFSET($C$1,MATCH(K$12,$C$2:$C$7,0),MATCH($J$11,$D$12:$G$12,0))</f>
        <v>#N/A</v>
      </c>
      <c r="L242" s="163">
        <f ca="1">_xlfn.XLOOKUP(MAX(INT((OFFSET($C$12,$I242,MATCH($J$11,$D$12:$G$12,0))-6)/10),1),组队产出!$B$25:$B$39,组队产出!$P$25:$P$39)*OFFSET($C$1,MATCH(L$12,$C$2:$C$7,0),MATCH($J$11,$D$12:$G$12,0))</f>
        <v>1124.4</v>
      </c>
      <c r="M242" s="163">
        <f ca="1">竞技场!$G$3*OFFSET($C$1,MATCH(M$12,$C$2:$C$7,0),MATCH($J$11,$D$12:$G$12,0))</f>
        <v>1050</v>
      </c>
      <c r="N24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2" s="23">
        <f>任务!$G$6+任务!$G$9+IF(MOD(I242,7)=0,任务!$N$9+任务!$O$6,0)</f>
        <v>895</v>
      </c>
      <c r="P242" s="25">
        <f>公会!$U$11</f>
        <v>2766.62857142857</v>
      </c>
      <c r="Q242" s="163" t="e">
        <f ca="1">_xlfn.XLOOKUP(OFFSET($C$12,$I242,MATCH($J$11,$D$12:$G$12,0)),巡逻产出!$B$311:$B$610,巡逻产出!$Q$311:$Q$610)*OFFSET($C$1,MATCH(Q$12,$C$2:$C$7,0),MATCH($J$11,$D$12:$G$12,0))</f>
        <v>#N/A</v>
      </c>
      <c r="S242" s="160">
        <v>230</v>
      </c>
      <c r="T242" s="163" t="e">
        <f ca="1">_xlfn.XLOOKUP(OFFSET($C$12,$I242,MATCH($T$11,$D$12:$G$12,0)),主线推图!$B$313:$B$612,主线推图!$P$313:$P$612)*OFFSET($C$1,MATCH(T$12,$C$2:$C$7,0),MATCH($T$11,$D$12:$G$12,0))</f>
        <v>#N/A</v>
      </c>
      <c r="U242" s="163" t="e">
        <f ca="1">_xlfn.XLOOKUP(OFFSET($C$12,$I242,MATCH($T$11,$D$12:$G$12,0)),巡逻产出!$B$311:$B$610,巡逻产出!$R$311:$R$610)*OFFSET($C$1,MATCH(U$12,$C$2:$C$7,0),MATCH($T$11,$D$12:$G$12,0))</f>
        <v>#N/A</v>
      </c>
      <c r="V242" s="163">
        <f ca="1">_xlfn.XLOOKUP(MAX(INT((OFFSET($C$12,$I242,MATCH($T$11,$D$12:$G$12,0))-6)/10),1),组队产出!$B$25:$B$39,组队产出!$P$25:$P$39)*OFFSET($C$1,MATCH(V$12,$C$2:$C$7,0),MATCH($T$11,$D$12:$G$12,0))</f>
        <v>2320.8</v>
      </c>
      <c r="W242" s="163">
        <f ca="1">竞技场!$G$3*OFFSET($C$1,MATCH(W$12,$C$2:$C$7,0),MATCH($T$11,$D$12:$G$12,0))</f>
        <v>2100</v>
      </c>
      <c r="X24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2" s="23">
        <f>任务!$G$6+任务!$G$9+IF(MOD(S242,7)=0,任务!$N$9+任务!$O$6,0)</f>
        <v>895</v>
      </c>
      <c r="Z242" s="25">
        <f>公会!$U$11</f>
        <v>2766.62857142857</v>
      </c>
      <c r="AA242" s="163" t="e">
        <f ca="1">_xlfn.XLOOKUP(OFFSET($C$12,$I242,MATCH($T$11,$D$12:$G$12,0)),巡逻产出!$B$311:$B$610,巡逻产出!$Q$311:$Q$610)*OFFSET($C$1,MATCH(AA$12,$C$2:$C$7,0),MATCH($T$11,$D$12:$G$12,0))</f>
        <v>#N/A</v>
      </c>
      <c r="AC242" s="160">
        <v>230</v>
      </c>
      <c r="AD242" s="163">
        <f ca="1">_xlfn.XLOOKUP(OFFSET($C$12,$I242,MATCH($AD$11,$D$12:$G$12,0)),主线推图!$B$313:$B$612,主线推图!$P$313:$P$612)*OFFSET($C$1,MATCH(AD$12,$C$2:$C$7,0),MATCH($AD$11,$D$12:$G$12,0))</f>
        <v>3469.4</v>
      </c>
      <c r="AE242" s="163">
        <f ca="1">_xlfn.XLOOKUP(OFFSET($C$12,$I242,MATCH($AD$11,$D$12:$G$12,0)),巡逻产出!$B$311:$B$610,巡逻产出!$R$311:$R$610)*OFFSET($C$1,MATCH(AE$12,$C$2:$C$7,0),MATCH($AD$11,$D$12:$G$12,0))</f>
        <v>0</v>
      </c>
      <c r="AF242" s="163" t="e">
        <f ca="1">_xlfn.XLOOKUP(MAX(INT((OFFSET($C$12,$I242,MATCH($AD$11,$D$12:$G$12,0))-6)/10),1),组队产出!$B$25:$B$39,组队产出!$P$25:$P$39)*OFFSET($C$1,MATCH(AF$12,$C$2:$C$7,0),MATCH($AD$11,$D$12:$G$12,0))</f>
        <v>#N/A</v>
      </c>
      <c r="AG242" s="163">
        <f ca="1">竞技场!$G$3*OFFSET($C$1,MATCH(AG$12,$C$2:$C$7,0),MATCH($AD$11,$D$12:$G$12,0))</f>
        <v>3150</v>
      </c>
      <c r="AH24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2" s="23">
        <f>任务!$G$6+任务!$G$9+IF(MOD(AC242,7)=0,任务!$N$9+任务!$O$6,0)</f>
        <v>895</v>
      </c>
      <c r="AJ242" s="25">
        <f>公会!$U$11</f>
        <v>2766.62857142857</v>
      </c>
      <c r="AK242" s="163">
        <f ca="1">_xlfn.XLOOKUP(OFFSET($C$12,$I242,MATCH($AD$11,$D$12:$G$12,0)),巡逻产出!$B$311:$B$610,巡逻产出!$Q$311:$Q$610)*OFFSET($C$1,MATCH(AK$12,$C$2:$C$7,0),MATCH($AD$11,$D$12:$G$12,0))</f>
        <v>2402.088</v>
      </c>
      <c r="AM242" s="164">
        <v>230</v>
      </c>
      <c r="AN242" s="165">
        <f t="shared" si="29"/>
        <v>26806</v>
      </c>
      <c r="AO242" s="165">
        <f t="shared" si="30"/>
        <v>33636</v>
      </c>
      <c r="AP242" s="165">
        <f t="shared" si="31"/>
        <v>53382</v>
      </c>
      <c r="AQ242" s="165">
        <f t="shared" si="32"/>
        <v>70294</v>
      </c>
    </row>
    <row r="243" spans="3:43">
      <c r="C243" s="160">
        <v>231</v>
      </c>
      <c r="D243" s="169">
        <v>174</v>
      </c>
      <c r="E243" s="170">
        <f t="shared" si="27"/>
        <v>132.5</v>
      </c>
      <c r="F243" s="169">
        <f t="shared" si="28"/>
        <v>157.699999999999</v>
      </c>
      <c r="G243" s="163">
        <f t="shared" si="34"/>
        <v>238.5</v>
      </c>
      <c r="I243" s="160">
        <v>231</v>
      </c>
      <c r="J243" s="163" t="e">
        <f ca="1">_xlfn.XLOOKUP(OFFSET($C$12,$I243,MATCH($J$11,$D$12:$G$12,0)),主线推图!$B$313:$B$612,主线推图!$P$313:$P$612)*OFFSET($C$1,MATCH(J$12,$C$2:$C$7,0),MATCH($J$11,$D$12:$G$12,0))</f>
        <v>#N/A</v>
      </c>
      <c r="K243" s="163" t="e">
        <f ca="1">_xlfn.XLOOKUP(OFFSET($C$12,$I243,MATCH($J$11,$D$12:$G$12,0)),巡逻产出!$B$311:$B$610,巡逻产出!$R$311:$R$610)*OFFSET($C$1,MATCH(K$12,$C$2:$C$7,0),MATCH($J$11,$D$12:$G$12,0))</f>
        <v>#N/A</v>
      </c>
      <c r="L243" s="163">
        <f ca="1">_xlfn.XLOOKUP(MAX(INT((OFFSET($C$12,$I243,MATCH($J$11,$D$12:$G$12,0))-6)/10),1),组队产出!$B$25:$B$39,组队产出!$P$25:$P$39)*OFFSET($C$1,MATCH(L$12,$C$2:$C$7,0),MATCH($J$11,$D$12:$G$12,0))</f>
        <v>1124.4</v>
      </c>
      <c r="M243" s="163">
        <f ca="1">竞技场!$G$3*OFFSET($C$1,MATCH(M$12,$C$2:$C$7,0),MATCH($J$11,$D$12:$G$12,0))</f>
        <v>1050</v>
      </c>
      <c r="N24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3" s="23">
        <f>任务!$G$6+任务!$G$9+IF(MOD(I243,7)=0,任务!$N$9+任务!$O$6,0)</f>
        <v>3125</v>
      </c>
      <c r="P243" s="25">
        <f>公会!$U$11</f>
        <v>2766.62857142857</v>
      </c>
      <c r="Q243" s="163" t="e">
        <f ca="1">_xlfn.XLOOKUP(OFFSET($C$12,$I243,MATCH($J$11,$D$12:$G$12,0)),巡逻产出!$B$311:$B$610,巡逻产出!$Q$311:$Q$610)*OFFSET($C$1,MATCH(Q$12,$C$2:$C$7,0),MATCH($J$11,$D$12:$G$12,0))</f>
        <v>#N/A</v>
      </c>
      <c r="S243" s="160">
        <v>231</v>
      </c>
      <c r="T243" s="163" t="e">
        <f ca="1">_xlfn.XLOOKUP(OFFSET($C$12,$I243,MATCH($T$11,$D$12:$G$12,0)),主线推图!$B$313:$B$612,主线推图!$P$313:$P$612)*OFFSET($C$1,MATCH(T$12,$C$2:$C$7,0),MATCH($T$11,$D$12:$G$12,0))</f>
        <v>#N/A</v>
      </c>
      <c r="U243" s="163" t="e">
        <f ca="1">_xlfn.XLOOKUP(OFFSET($C$12,$I243,MATCH($T$11,$D$12:$G$12,0)),巡逻产出!$B$311:$B$610,巡逻产出!$R$311:$R$610)*OFFSET($C$1,MATCH(U$12,$C$2:$C$7,0),MATCH($T$11,$D$12:$G$12,0))</f>
        <v>#N/A</v>
      </c>
      <c r="V243" s="163">
        <f ca="1">_xlfn.XLOOKUP(MAX(INT((OFFSET($C$12,$I243,MATCH($T$11,$D$12:$G$12,0))-6)/10),1),组队产出!$B$25:$B$39,组队产出!$P$25:$P$39)*OFFSET($C$1,MATCH(V$12,$C$2:$C$7,0),MATCH($T$11,$D$12:$G$12,0))</f>
        <v>2320.8</v>
      </c>
      <c r="W243" s="163">
        <f ca="1">竞技场!$G$3*OFFSET($C$1,MATCH(W$12,$C$2:$C$7,0),MATCH($T$11,$D$12:$G$12,0))</f>
        <v>2100</v>
      </c>
      <c r="X24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3" s="23">
        <f>任务!$G$6+任务!$G$9+IF(MOD(S243,7)=0,任务!$N$9+任务!$O$6,0)</f>
        <v>3125</v>
      </c>
      <c r="Z243" s="25">
        <f>公会!$U$11</f>
        <v>2766.62857142857</v>
      </c>
      <c r="AA243" s="163" t="e">
        <f ca="1">_xlfn.XLOOKUP(OFFSET($C$12,$I243,MATCH($T$11,$D$12:$G$12,0)),巡逻产出!$B$311:$B$610,巡逻产出!$Q$311:$Q$610)*OFFSET($C$1,MATCH(AA$12,$C$2:$C$7,0),MATCH($T$11,$D$12:$G$12,0))</f>
        <v>#N/A</v>
      </c>
      <c r="AC243" s="160">
        <v>231</v>
      </c>
      <c r="AD243" s="163" t="e">
        <f ca="1">_xlfn.XLOOKUP(OFFSET($C$12,$I243,MATCH($AD$11,$D$12:$G$12,0)),主线推图!$B$313:$B$612,主线推图!$P$313:$P$612)*OFFSET($C$1,MATCH(AD$12,$C$2:$C$7,0),MATCH($AD$11,$D$12:$G$12,0))</f>
        <v>#N/A</v>
      </c>
      <c r="AE243" s="163" t="e">
        <f ca="1">_xlfn.XLOOKUP(OFFSET($C$12,$I243,MATCH($AD$11,$D$12:$G$12,0)),巡逻产出!$B$311:$B$610,巡逻产出!$R$311:$R$610)*OFFSET($C$1,MATCH(AE$12,$C$2:$C$7,0),MATCH($AD$11,$D$12:$G$12,0))</f>
        <v>#N/A</v>
      </c>
      <c r="AF243" s="163" t="e">
        <f ca="1">_xlfn.XLOOKUP(MAX(INT((OFFSET($C$12,$I243,MATCH($AD$11,$D$12:$G$12,0))-6)/10),1),组队产出!$B$25:$B$39,组队产出!$P$25:$P$39)*OFFSET($C$1,MATCH(AF$12,$C$2:$C$7,0),MATCH($AD$11,$D$12:$G$12,0))</f>
        <v>#N/A</v>
      </c>
      <c r="AG243" s="163">
        <f ca="1">竞技场!$G$3*OFFSET($C$1,MATCH(AG$12,$C$2:$C$7,0),MATCH($AD$11,$D$12:$G$12,0))</f>
        <v>3150</v>
      </c>
      <c r="AH24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3" s="23">
        <f>任务!$G$6+任务!$G$9+IF(MOD(AC243,7)=0,任务!$N$9+任务!$O$6,0)</f>
        <v>3125</v>
      </c>
      <c r="AJ243" s="25">
        <f>公会!$U$11</f>
        <v>2766.62857142857</v>
      </c>
      <c r="AK243" s="163" t="e">
        <f ca="1">_xlfn.XLOOKUP(OFFSET($C$12,$I243,MATCH($AD$11,$D$12:$G$12,0)),巡逻产出!$B$311:$B$610,巡逻产出!$Q$311:$Q$610)*OFFSET($C$1,MATCH(AK$12,$C$2:$C$7,0),MATCH($AD$11,$D$12:$G$12,0))</f>
        <v>#N/A</v>
      </c>
      <c r="AM243" s="164">
        <v>231</v>
      </c>
      <c r="AN243" s="165">
        <f t="shared" si="29"/>
        <v>26920</v>
      </c>
      <c r="AO243" s="165">
        <f t="shared" si="30"/>
        <v>33779</v>
      </c>
      <c r="AP243" s="165">
        <f t="shared" si="31"/>
        <v>53611</v>
      </c>
      <c r="AQ243" s="165">
        <f t="shared" si="32"/>
        <v>70596</v>
      </c>
    </row>
    <row r="244" spans="3:43">
      <c r="C244" s="160">
        <v>232</v>
      </c>
      <c r="D244" s="169">
        <v>175</v>
      </c>
      <c r="E244" s="170">
        <f t="shared" si="27"/>
        <v>132.75</v>
      </c>
      <c r="F244" s="169">
        <f t="shared" si="28"/>
        <v>158.049999999999</v>
      </c>
      <c r="G244" s="163">
        <f t="shared" si="34"/>
        <v>239</v>
      </c>
      <c r="I244" s="160">
        <v>232</v>
      </c>
      <c r="J244" s="163" t="e">
        <f ca="1">_xlfn.XLOOKUP(OFFSET($C$12,$I244,MATCH($J$11,$D$12:$G$12,0)),主线推图!$B$313:$B$612,主线推图!$P$313:$P$612)*OFFSET($C$1,MATCH(J$12,$C$2:$C$7,0),MATCH($J$11,$D$12:$G$12,0))</f>
        <v>#N/A</v>
      </c>
      <c r="K244" s="163" t="e">
        <f ca="1">_xlfn.XLOOKUP(OFFSET($C$12,$I244,MATCH($J$11,$D$12:$G$12,0)),巡逻产出!$B$311:$B$610,巡逻产出!$R$311:$R$610)*OFFSET($C$1,MATCH(K$12,$C$2:$C$7,0),MATCH($J$11,$D$12:$G$12,0))</f>
        <v>#N/A</v>
      </c>
      <c r="L244" s="163">
        <f ca="1">_xlfn.XLOOKUP(MAX(INT((OFFSET($C$12,$I244,MATCH($J$11,$D$12:$G$12,0))-6)/10),1),组队产出!$B$25:$B$39,组队产出!$P$25:$P$39)*OFFSET($C$1,MATCH(L$12,$C$2:$C$7,0),MATCH($J$11,$D$12:$G$12,0))</f>
        <v>1124.4</v>
      </c>
      <c r="M244" s="163">
        <f ca="1">竞技场!$G$3*OFFSET($C$1,MATCH(M$12,$C$2:$C$7,0),MATCH($J$11,$D$12:$G$12,0))</f>
        <v>1050</v>
      </c>
      <c r="N24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4" s="23">
        <f>任务!$G$6+任务!$G$9+IF(MOD(I244,7)=0,任务!$N$9+任务!$O$6,0)</f>
        <v>895</v>
      </c>
      <c r="P244" s="25">
        <f>公会!$U$11</f>
        <v>2766.62857142857</v>
      </c>
      <c r="Q244" s="163" t="e">
        <f ca="1">_xlfn.XLOOKUP(OFFSET($C$12,$I244,MATCH($J$11,$D$12:$G$12,0)),巡逻产出!$B$311:$B$610,巡逻产出!$Q$311:$Q$610)*OFFSET($C$1,MATCH(Q$12,$C$2:$C$7,0),MATCH($J$11,$D$12:$G$12,0))</f>
        <v>#N/A</v>
      </c>
      <c r="S244" s="160">
        <v>232</v>
      </c>
      <c r="T244" s="163" t="e">
        <f ca="1">_xlfn.XLOOKUP(OFFSET($C$12,$I244,MATCH($T$11,$D$12:$G$12,0)),主线推图!$B$313:$B$612,主线推图!$P$313:$P$612)*OFFSET($C$1,MATCH(T$12,$C$2:$C$7,0),MATCH($T$11,$D$12:$G$12,0))</f>
        <v>#N/A</v>
      </c>
      <c r="U244" s="163" t="e">
        <f ca="1">_xlfn.XLOOKUP(OFFSET($C$12,$I244,MATCH($T$11,$D$12:$G$12,0)),巡逻产出!$B$311:$B$610,巡逻产出!$R$311:$R$610)*OFFSET($C$1,MATCH(U$12,$C$2:$C$7,0),MATCH($T$11,$D$12:$G$12,0))</f>
        <v>#N/A</v>
      </c>
      <c r="V244" s="163">
        <f ca="1">_xlfn.XLOOKUP(MAX(INT((OFFSET($C$12,$I244,MATCH($T$11,$D$12:$G$12,0))-6)/10),1),组队产出!$B$25:$B$39,组队产出!$P$25:$P$39)*OFFSET($C$1,MATCH(V$12,$C$2:$C$7,0),MATCH($T$11,$D$12:$G$12,0))</f>
        <v>2320.8</v>
      </c>
      <c r="W244" s="163">
        <f ca="1">竞技场!$G$3*OFFSET($C$1,MATCH(W$12,$C$2:$C$7,0),MATCH($T$11,$D$12:$G$12,0))</f>
        <v>2100</v>
      </c>
      <c r="X24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4" s="23">
        <f>任务!$G$6+任务!$G$9+IF(MOD(S244,7)=0,任务!$N$9+任务!$O$6,0)</f>
        <v>895</v>
      </c>
      <c r="Z244" s="25">
        <f>公会!$U$11</f>
        <v>2766.62857142857</v>
      </c>
      <c r="AA244" s="163" t="e">
        <f ca="1">_xlfn.XLOOKUP(OFFSET($C$12,$I244,MATCH($T$11,$D$12:$G$12,0)),巡逻产出!$B$311:$B$610,巡逻产出!$Q$311:$Q$610)*OFFSET($C$1,MATCH(AA$12,$C$2:$C$7,0),MATCH($T$11,$D$12:$G$12,0))</f>
        <v>#N/A</v>
      </c>
      <c r="AC244" s="160">
        <v>232</v>
      </c>
      <c r="AD244" s="163">
        <f ca="1">_xlfn.XLOOKUP(OFFSET($C$12,$I244,MATCH($AD$11,$D$12:$G$12,0)),主线推图!$B$313:$B$612,主线推图!$P$313:$P$612)*OFFSET($C$1,MATCH(AD$12,$C$2:$C$7,0),MATCH($AD$11,$D$12:$G$12,0))</f>
        <v>3471.6</v>
      </c>
      <c r="AE244" s="163">
        <f ca="1">_xlfn.XLOOKUP(OFFSET($C$12,$I244,MATCH($AD$11,$D$12:$G$12,0)),巡逻产出!$B$311:$B$610,巡逻产出!$R$311:$R$610)*OFFSET($C$1,MATCH(AE$12,$C$2:$C$7,0),MATCH($AD$11,$D$12:$G$12,0))</f>
        <v>0</v>
      </c>
      <c r="AF244" s="163" t="e">
        <f ca="1">_xlfn.XLOOKUP(MAX(INT((OFFSET($C$12,$I244,MATCH($AD$11,$D$12:$G$12,0))-6)/10),1),组队产出!$B$25:$B$39,组队产出!$P$25:$P$39)*OFFSET($C$1,MATCH(AF$12,$C$2:$C$7,0),MATCH($AD$11,$D$12:$G$12,0))</f>
        <v>#N/A</v>
      </c>
      <c r="AG244" s="163">
        <f ca="1">竞技场!$G$3*OFFSET($C$1,MATCH(AG$12,$C$2:$C$7,0),MATCH($AD$11,$D$12:$G$12,0))</f>
        <v>3150</v>
      </c>
      <c r="AH24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4" s="23">
        <f>任务!$G$6+任务!$G$9+IF(MOD(AC244,7)=0,任务!$N$9+任务!$O$6,0)</f>
        <v>895</v>
      </c>
      <c r="AJ244" s="25">
        <f>公会!$U$11</f>
        <v>2766.62857142857</v>
      </c>
      <c r="AK244" s="163">
        <f ca="1">_xlfn.XLOOKUP(OFFSET($C$12,$I244,MATCH($AD$11,$D$12:$G$12,0)),巡逻产出!$B$311:$B$610,巡逻产出!$Q$311:$Q$610)*OFFSET($C$1,MATCH(AK$12,$C$2:$C$7,0),MATCH($AD$11,$D$12:$G$12,0))</f>
        <v>2403.648</v>
      </c>
      <c r="AM244" s="164">
        <v>232</v>
      </c>
      <c r="AN244" s="165">
        <f t="shared" si="29"/>
        <v>27033</v>
      </c>
      <c r="AO244" s="165">
        <f t="shared" si="30"/>
        <v>33922</v>
      </c>
      <c r="AP244" s="165">
        <f t="shared" si="31"/>
        <v>53839</v>
      </c>
      <c r="AQ244" s="165">
        <f t="shared" si="32"/>
        <v>70898</v>
      </c>
    </row>
    <row r="245" spans="3:43">
      <c r="C245" s="160">
        <v>233</v>
      </c>
      <c r="D245" s="169">
        <v>175</v>
      </c>
      <c r="E245" s="170">
        <f t="shared" si="27"/>
        <v>133</v>
      </c>
      <c r="F245" s="169">
        <f t="shared" si="28"/>
        <v>158.399999999999</v>
      </c>
      <c r="G245" s="163">
        <f t="shared" si="34"/>
        <v>239.5</v>
      </c>
      <c r="I245" s="160">
        <v>233</v>
      </c>
      <c r="J245" s="163" t="e">
        <f ca="1">_xlfn.XLOOKUP(OFFSET($C$12,$I245,MATCH($J$11,$D$12:$G$12,0)),主线推图!$B$313:$B$612,主线推图!$P$313:$P$612)*OFFSET($C$1,MATCH(J$12,$C$2:$C$7,0),MATCH($J$11,$D$12:$G$12,0))</f>
        <v>#N/A</v>
      </c>
      <c r="K245" s="163" t="e">
        <f ca="1">_xlfn.XLOOKUP(OFFSET($C$12,$I245,MATCH($J$11,$D$12:$G$12,0)),巡逻产出!$B$311:$B$610,巡逻产出!$R$311:$R$610)*OFFSET($C$1,MATCH(K$12,$C$2:$C$7,0),MATCH($J$11,$D$12:$G$12,0))</f>
        <v>#N/A</v>
      </c>
      <c r="L245" s="163">
        <f ca="1">_xlfn.XLOOKUP(MAX(INT((OFFSET($C$12,$I245,MATCH($J$11,$D$12:$G$12,0))-6)/10),1),组队产出!$B$25:$B$39,组队产出!$P$25:$P$39)*OFFSET($C$1,MATCH(L$12,$C$2:$C$7,0),MATCH($J$11,$D$12:$G$12,0))</f>
        <v>1124.4</v>
      </c>
      <c r="M245" s="163">
        <f ca="1">竞技场!$G$3*OFFSET($C$1,MATCH(M$12,$C$2:$C$7,0),MATCH($J$11,$D$12:$G$12,0))</f>
        <v>1050</v>
      </c>
      <c r="N24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5" s="23">
        <f>任务!$G$6+任务!$G$9+IF(MOD(I245,7)=0,任务!$N$9+任务!$O$6,0)</f>
        <v>895</v>
      </c>
      <c r="P245" s="25">
        <f>公会!$U$11</f>
        <v>2766.62857142857</v>
      </c>
      <c r="Q245" s="163" t="e">
        <f ca="1">_xlfn.XLOOKUP(OFFSET($C$12,$I245,MATCH($J$11,$D$12:$G$12,0)),巡逻产出!$B$311:$B$610,巡逻产出!$Q$311:$Q$610)*OFFSET($C$1,MATCH(Q$12,$C$2:$C$7,0),MATCH($J$11,$D$12:$G$12,0))</f>
        <v>#N/A</v>
      </c>
      <c r="S245" s="160">
        <v>233</v>
      </c>
      <c r="T245" s="163" t="e">
        <f ca="1">_xlfn.XLOOKUP(OFFSET($C$12,$I245,MATCH($T$11,$D$12:$G$12,0)),主线推图!$B$313:$B$612,主线推图!$P$313:$P$612)*OFFSET($C$1,MATCH(T$12,$C$2:$C$7,0),MATCH($T$11,$D$12:$G$12,0))</f>
        <v>#N/A</v>
      </c>
      <c r="U245" s="163" t="e">
        <f ca="1">_xlfn.XLOOKUP(OFFSET($C$12,$I245,MATCH($T$11,$D$12:$G$12,0)),巡逻产出!$B$311:$B$610,巡逻产出!$R$311:$R$610)*OFFSET($C$1,MATCH(U$12,$C$2:$C$7,0),MATCH($T$11,$D$12:$G$12,0))</f>
        <v>#N/A</v>
      </c>
      <c r="V245" s="163">
        <f ca="1">_xlfn.XLOOKUP(MAX(INT((OFFSET($C$12,$I245,MATCH($T$11,$D$12:$G$12,0))-6)/10),1),组队产出!$B$25:$B$39,组队产出!$P$25:$P$39)*OFFSET($C$1,MATCH(V$12,$C$2:$C$7,0),MATCH($T$11,$D$12:$G$12,0))</f>
        <v>2320.8</v>
      </c>
      <c r="W245" s="163">
        <f ca="1">竞技场!$G$3*OFFSET($C$1,MATCH(W$12,$C$2:$C$7,0),MATCH($T$11,$D$12:$G$12,0))</f>
        <v>2100</v>
      </c>
      <c r="X24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5" s="23">
        <f>任务!$G$6+任务!$G$9+IF(MOD(S245,7)=0,任务!$N$9+任务!$O$6,0)</f>
        <v>895</v>
      </c>
      <c r="Z245" s="25">
        <f>公会!$U$11</f>
        <v>2766.62857142857</v>
      </c>
      <c r="AA245" s="163" t="e">
        <f ca="1">_xlfn.XLOOKUP(OFFSET($C$12,$I245,MATCH($T$11,$D$12:$G$12,0)),巡逻产出!$B$311:$B$610,巡逻产出!$Q$311:$Q$610)*OFFSET($C$1,MATCH(AA$12,$C$2:$C$7,0),MATCH($T$11,$D$12:$G$12,0))</f>
        <v>#N/A</v>
      </c>
      <c r="AC245" s="160">
        <v>233</v>
      </c>
      <c r="AD245" s="163" t="e">
        <f ca="1">_xlfn.XLOOKUP(OFFSET($C$12,$I245,MATCH($AD$11,$D$12:$G$12,0)),主线推图!$B$313:$B$612,主线推图!$P$313:$P$612)*OFFSET($C$1,MATCH(AD$12,$C$2:$C$7,0),MATCH($AD$11,$D$12:$G$12,0))</f>
        <v>#N/A</v>
      </c>
      <c r="AE245" s="163" t="e">
        <f ca="1">_xlfn.XLOOKUP(OFFSET($C$12,$I245,MATCH($AD$11,$D$12:$G$12,0)),巡逻产出!$B$311:$B$610,巡逻产出!$R$311:$R$610)*OFFSET($C$1,MATCH(AE$12,$C$2:$C$7,0),MATCH($AD$11,$D$12:$G$12,0))</f>
        <v>#N/A</v>
      </c>
      <c r="AF245" s="163" t="e">
        <f ca="1">_xlfn.XLOOKUP(MAX(INT((OFFSET($C$12,$I245,MATCH($AD$11,$D$12:$G$12,0))-6)/10),1),组队产出!$B$25:$B$39,组队产出!$P$25:$P$39)*OFFSET($C$1,MATCH(AF$12,$C$2:$C$7,0),MATCH($AD$11,$D$12:$G$12,0))</f>
        <v>#N/A</v>
      </c>
      <c r="AG245" s="163">
        <f ca="1">竞技场!$G$3*OFFSET($C$1,MATCH(AG$12,$C$2:$C$7,0),MATCH($AD$11,$D$12:$G$12,0))</f>
        <v>3150</v>
      </c>
      <c r="AH24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5" s="23">
        <f>任务!$G$6+任务!$G$9+IF(MOD(AC245,7)=0,任务!$N$9+任务!$O$6,0)</f>
        <v>895</v>
      </c>
      <c r="AJ245" s="25">
        <f>公会!$U$11</f>
        <v>2766.62857142857</v>
      </c>
      <c r="AK245" s="163" t="e">
        <f ca="1">_xlfn.XLOOKUP(OFFSET($C$12,$I245,MATCH($AD$11,$D$12:$G$12,0)),巡逻产出!$B$311:$B$610,巡逻产出!$Q$311:$Q$610)*OFFSET($C$1,MATCH(AK$12,$C$2:$C$7,0),MATCH($AD$11,$D$12:$G$12,0))</f>
        <v>#N/A</v>
      </c>
      <c r="AM245" s="164">
        <v>233</v>
      </c>
      <c r="AN245" s="165">
        <f t="shared" si="29"/>
        <v>27147</v>
      </c>
      <c r="AO245" s="165">
        <f t="shared" si="30"/>
        <v>34065</v>
      </c>
      <c r="AP245" s="165">
        <f t="shared" si="31"/>
        <v>54068</v>
      </c>
      <c r="AQ245" s="165">
        <f t="shared" si="32"/>
        <v>71200</v>
      </c>
    </row>
    <row r="246" spans="3:43">
      <c r="C246" s="160">
        <v>234</v>
      </c>
      <c r="D246" s="169">
        <v>175</v>
      </c>
      <c r="E246" s="170">
        <f t="shared" si="27"/>
        <v>133.25</v>
      </c>
      <c r="F246" s="169">
        <f t="shared" si="28"/>
        <v>158.749999999999</v>
      </c>
      <c r="G246" s="163">
        <f t="shared" si="34"/>
        <v>240</v>
      </c>
      <c r="I246" s="160">
        <v>234</v>
      </c>
      <c r="J246" s="163" t="e">
        <f ca="1">_xlfn.XLOOKUP(OFFSET($C$12,$I246,MATCH($J$11,$D$12:$G$12,0)),主线推图!$B$313:$B$612,主线推图!$P$313:$P$612)*OFFSET($C$1,MATCH(J$12,$C$2:$C$7,0),MATCH($J$11,$D$12:$G$12,0))</f>
        <v>#N/A</v>
      </c>
      <c r="K246" s="163" t="e">
        <f ca="1">_xlfn.XLOOKUP(OFFSET($C$12,$I246,MATCH($J$11,$D$12:$G$12,0)),巡逻产出!$B$311:$B$610,巡逻产出!$R$311:$R$610)*OFFSET($C$1,MATCH(K$12,$C$2:$C$7,0),MATCH($J$11,$D$12:$G$12,0))</f>
        <v>#N/A</v>
      </c>
      <c r="L246" s="163">
        <f ca="1">_xlfn.XLOOKUP(MAX(INT((OFFSET($C$12,$I246,MATCH($J$11,$D$12:$G$12,0))-6)/10),1),组队产出!$B$25:$B$39,组队产出!$P$25:$P$39)*OFFSET($C$1,MATCH(L$12,$C$2:$C$7,0),MATCH($J$11,$D$12:$G$12,0))</f>
        <v>1124.4</v>
      </c>
      <c r="M246" s="163">
        <f ca="1">竞技场!$G$3*OFFSET($C$1,MATCH(M$12,$C$2:$C$7,0),MATCH($J$11,$D$12:$G$12,0))</f>
        <v>1050</v>
      </c>
      <c r="N24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6" s="23">
        <f>任务!$G$6+任务!$G$9+IF(MOD(I246,7)=0,任务!$N$9+任务!$O$6,0)</f>
        <v>895</v>
      </c>
      <c r="P246" s="25">
        <f>公会!$U$11</f>
        <v>2766.62857142857</v>
      </c>
      <c r="Q246" s="163" t="e">
        <f ca="1">_xlfn.XLOOKUP(OFFSET($C$12,$I246,MATCH($J$11,$D$12:$G$12,0)),巡逻产出!$B$311:$B$610,巡逻产出!$Q$311:$Q$610)*OFFSET($C$1,MATCH(Q$12,$C$2:$C$7,0),MATCH($J$11,$D$12:$G$12,0))</f>
        <v>#N/A</v>
      </c>
      <c r="S246" s="160">
        <v>234</v>
      </c>
      <c r="T246" s="163" t="e">
        <f ca="1">_xlfn.XLOOKUP(OFFSET($C$12,$I246,MATCH($T$11,$D$12:$G$12,0)),主线推图!$B$313:$B$612,主线推图!$P$313:$P$612)*OFFSET($C$1,MATCH(T$12,$C$2:$C$7,0),MATCH($T$11,$D$12:$G$12,0))</f>
        <v>#N/A</v>
      </c>
      <c r="U246" s="163" t="e">
        <f ca="1">_xlfn.XLOOKUP(OFFSET($C$12,$I246,MATCH($T$11,$D$12:$G$12,0)),巡逻产出!$B$311:$B$610,巡逻产出!$R$311:$R$610)*OFFSET($C$1,MATCH(U$12,$C$2:$C$7,0),MATCH($T$11,$D$12:$G$12,0))</f>
        <v>#N/A</v>
      </c>
      <c r="V246" s="163">
        <f ca="1">_xlfn.XLOOKUP(MAX(INT((OFFSET($C$12,$I246,MATCH($T$11,$D$12:$G$12,0))-6)/10),1),组队产出!$B$25:$B$39,组队产出!$P$25:$P$39)*OFFSET($C$1,MATCH(V$12,$C$2:$C$7,0),MATCH($T$11,$D$12:$G$12,0))</f>
        <v>2320.8</v>
      </c>
      <c r="W246" s="163">
        <f ca="1">竞技场!$G$3*OFFSET($C$1,MATCH(W$12,$C$2:$C$7,0),MATCH($T$11,$D$12:$G$12,0))</f>
        <v>2100</v>
      </c>
      <c r="X24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6" s="23">
        <f>任务!$G$6+任务!$G$9+IF(MOD(S246,7)=0,任务!$N$9+任务!$O$6,0)</f>
        <v>895</v>
      </c>
      <c r="Z246" s="25">
        <f>公会!$U$11</f>
        <v>2766.62857142857</v>
      </c>
      <c r="AA246" s="163" t="e">
        <f ca="1">_xlfn.XLOOKUP(OFFSET($C$12,$I246,MATCH($T$11,$D$12:$G$12,0)),巡逻产出!$B$311:$B$610,巡逻产出!$Q$311:$Q$610)*OFFSET($C$1,MATCH(AA$12,$C$2:$C$7,0),MATCH($T$11,$D$12:$G$12,0))</f>
        <v>#N/A</v>
      </c>
      <c r="AC246" s="160">
        <v>234</v>
      </c>
      <c r="AD246" s="163">
        <f ca="1">_xlfn.XLOOKUP(OFFSET($C$12,$I246,MATCH($AD$11,$D$12:$G$12,0)),主线推图!$B$313:$B$612,主线推图!$P$313:$P$612)*OFFSET($C$1,MATCH(AD$12,$C$2:$C$7,0),MATCH($AD$11,$D$12:$G$12,0))</f>
        <v>3473.8</v>
      </c>
      <c r="AE246" s="163">
        <f ca="1">_xlfn.XLOOKUP(OFFSET($C$12,$I246,MATCH($AD$11,$D$12:$G$12,0)),巡逻产出!$B$311:$B$610,巡逻产出!$R$311:$R$610)*OFFSET($C$1,MATCH(AE$12,$C$2:$C$7,0),MATCH($AD$11,$D$12:$G$12,0))</f>
        <v>0</v>
      </c>
      <c r="AF246" s="163" t="e">
        <f ca="1">_xlfn.XLOOKUP(MAX(INT((OFFSET($C$12,$I246,MATCH($AD$11,$D$12:$G$12,0))-6)/10),1),组队产出!$B$25:$B$39,组队产出!$P$25:$P$39)*OFFSET($C$1,MATCH(AF$12,$C$2:$C$7,0),MATCH($AD$11,$D$12:$G$12,0))</f>
        <v>#N/A</v>
      </c>
      <c r="AG246" s="163">
        <f ca="1">竞技场!$G$3*OFFSET($C$1,MATCH(AG$12,$C$2:$C$7,0),MATCH($AD$11,$D$12:$G$12,0))</f>
        <v>3150</v>
      </c>
      <c r="AH24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6" s="23">
        <f>任务!$G$6+任务!$G$9+IF(MOD(AC246,7)=0,任务!$N$9+任务!$O$6,0)</f>
        <v>895</v>
      </c>
      <c r="AJ246" s="25">
        <f>公会!$U$11</f>
        <v>2766.62857142857</v>
      </c>
      <c r="AK246" s="163">
        <f ca="1">_xlfn.XLOOKUP(OFFSET($C$12,$I246,MATCH($AD$11,$D$12:$G$12,0)),巡逻产出!$B$311:$B$610,巡逻产出!$Q$311:$Q$610)*OFFSET($C$1,MATCH(AK$12,$C$2:$C$7,0),MATCH($AD$11,$D$12:$G$12,0))</f>
        <v>2405.208</v>
      </c>
      <c r="AM246" s="164">
        <v>234</v>
      </c>
      <c r="AN246" s="165">
        <f t="shared" si="29"/>
        <v>27260</v>
      </c>
      <c r="AO246" s="165">
        <f t="shared" si="30"/>
        <v>34208</v>
      </c>
      <c r="AP246" s="165">
        <f t="shared" si="31"/>
        <v>54296</v>
      </c>
      <c r="AQ246" s="165">
        <f t="shared" si="32"/>
        <v>71502</v>
      </c>
    </row>
    <row r="247" spans="3:43">
      <c r="C247" s="160">
        <v>235</v>
      </c>
      <c r="D247" s="169">
        <v>175</v>
      </c>
      <c r="E247" s="170">
        <f t="shared" si="27"/>
        <v>133.5</v>
      </c>
      <c r="F247" s="169">
        <f t="shared" si="28"/>
        <v>159.099999999999</v>
      </c>
      <c r="G247" s="163">
        <f t="shared" si="34"/>
        <v>240.5</v>
      </c>
      <c r="I247" s="160">
        <v>235</v>
      </c>
      <c r="J247" s="163" t="e">
        <f ca="1">_xlfn.XLOOKUP(OFFSET($C$12,$I247,MATCH($J$11,$D$12:$G$12,0)),主线推图!$B$313:$B$612,主线推图!$P$313:$P$612)*OFFSET($C$1,MATCH(J$12,$C$2:$C$7,0),MATCH($J$11,$D$12:$G$12,0))</f>
        <v>#N/A</v>
      </c>
      <c r="K247" s="163" t="e">
        <f ca="1">_xlfn.XLOOKUP(OFFSET($C$12,$I247,MATCH($J$11,$D$12:$G$12,0)),巡逻产出!$B$311:$B$610,巡逻产出!$R$311:$R$610)*OFFSET($C$1,MATCH(K$12,$C$2:$C$7,0),MATCH($J$11,$D$12:$G$12,0))</f>
        <v>#N/A</v>
      </c>
      <c r="L247" s="163">
        <f ca="1">_xlfn.XLOOKUP(MAX(INT((OFFSET($C$12,$I247,MATCH($J$11,$D$12:$G$12,0))-6)/10),1),组队产出!$B$25:$B$39,组队产出!$P$25:$P$39)*OFFSET($C$1,MATCH(L$12,$C$2:$C$7,0),MATCH($J$11,$D$12:$G$12,0))</f>
        <v>1124.4</v>
      </c>
      <c r="M247" s="163">
        <f ca="1">竞技场!$G$3*OFFSET($C$1,MATCH(M$12,$C$2:$C$7,0),MATCH($J$11,$D$12:$G$12,0))</f>
        <v>1050</v>
      </c>
      <c r="N24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7" s="23">
        <f>任务!$G$6+任务!$G$9+IF(MOD(I247,7)=0,任务!$N$9+任务!$O$6,0)</f>
        <v>895</v>
      </c>
      <c r="P247" s="25">
        <f>公会!$U$11</f>
        <v>2766.62857142857</v>
      </c>
      <c r="Q247" s="163" t="e">
        <f ca="1">_xlfn.XLOOKUP(OFFSET($C$12,$I247,MATCH($J$11,$D$12:$G$12,0)),巡逻产出!$B$311:$B$610,巡逻产出!$Q$311:$Q$610)*OFFSET($C$1,MATCH(Q$12,$C$2:$C$7,0),MATCH($J$11,$D$12:$G$12,0))</f>
        <v>#N/A</v>
      </c>
      <c r="S247" s="160">
        <v>235</v>
      </c>
      <c r="T247" s="163" t="e">
        <f ca="1">_xlfn.XLOOKUP(OFFSET($C$12,$I247,MATCH($T$11,$D$12:$G$12,0)),主线推图!$B$313:$B$612,主线推图!$P$313:$P$612)*OFFSET($C$1,MATCH(T$12,$C$2:$C$7,0),MATCH($T$11,$D$12:$G$12,0))</f>
        <v>#N/A</v>
      </c>
      <c r="U247" s="163" t="e">
        <f ca="1">_xlfn.XLOOKUP(OFFSET($C$12,$I247,MATCH($T$11,$D$12:$G$12,0)),巡逻产出!$B$311:$B$610,巡逻产出!$R$311:$R$610)*OFFSET($C$1,MATCH(U$12,$C$2:$C$7,0),MATCH($T$11,$D$12:$G$12,0))</f>
        <v>#N/A</v>
      </c>
      <c r="V247" s="163">
        <f ca="1">_xlfn.XLOOKUP(MAX(INT((OFFSET($C$12,$I247,MATCH($T$11,$D$12:$G$12,0))-6)/10),1),组队产出!$B$25:$B$39,组队产出!$P$25:$P$39)*OFFSET($C$1,MATCH(V$12,$C$2:$C$7,0),MATCH($T$11,$D$12:$G$12,0))</f>
        <v>2320.8</v>
      </c>
      <c r="W247" s="163">
        <f ca="1">竞技场!$G$3*OFFSET($C$1,MATCH(W$12,$C$2:$C$7,0),MATCH($T$11,$D$12:$G$12,0))</f>
        <v>2100</v>
      </c>
      <c r="X24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7" s="23">
        <f>任务!$G$6+任务!$G$9+IF(MOD(S247,7)=0,任务!$N$9+任务!$O$6,0)</f>
        <v>895</v>
      </c>
      <c r="Z247" s="25">
        <f>公会!$U$11</f>
        <v>2766.62857142857</v>
      </c>
      <c r="AA247" s="163" t="e">
        <f ca="1">_xlfn.XLOOKUP(OFFSET($C$12,$I247,MATCH($T$11,$D$12:$G$12,0)),巡逻产出!$B$311:$B$610,巡逻产出!$Q$311:$Q$610)*OFFSET($C$1,MATCH(AA$12,$C$2:$C$7,0),MATCH($T$11,$D$12:$G$12,0))</f>
        <v>#N/A</v>
      </c>
      <c r="AC247" s="160">
        <v>235</v>
      </c>
      <c r="AD247" s="163" t="e">
        <f ca="1">_xlfn.XLOOKUP(OFFSET($C$12,$I247,MATCH($AD$11,$D$12:$G$12,0)),主线推图!$B$313:$B$612,主线推图!$P$313:$P$612)*OFFSET($C$1,MATCH(AD$12,$C$2:$C$7,0),MATCH($AD$11,$D$12:$G$12,0))</f>
        <v>#N/A</v>
      </c>
      <c r="AE247" s="163" t="e">
        <f ca="1">_xlfn.XLOOKUP(OFFSET($C$12,$I247,MATCH($AD$11,$D$12:$G$12,0)),巡逻产出!$B$311:$B$610,巡逻产出!$R$311:$R$610)*OFFSET($C$1,MATCH(AE$12,$C$2:$C$7,0),MATCH($AD$11,$D$12:$G$12,0))</f>
        <v>#N/A</v>
      </c>
      <c r="AF247" s="163" t="e">
        <f ca="1">_xlfn.XLOOKUP(MAX(INT((OFFSET($C$12,$I247,MATCH($AD$11,$D$12:$G$12,0))-6)/10),1),组队产出!$B$25:$B$39,组队产出!$P$25:$P$39)*OFFSET($C$1,MATCH(AF$12,$C$2:$C$7,0),MATCH($AD$11,$D$12:$G$12,0))</f>
        <v>#N/A</v>
      </c>
      <c r="AG247" s="163">
        <f ca="1">竞技场!$G$3*OFFSET($C$1,MATCH(AG$12,$C$2:$C$7,0),MATCH($AD$11,$D$12:$G$12,0))</f>
        <v>3150</v>
      </c>
      <c r="AH24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7" s="23">
        <f>任务!$G$6+任务!$G$9+IF(MOD(AC247,7)=0,任务!$N$9+任务!$O$6,0)</f>
        <v>895</v>
      </c>
      <c r="AJ247" s="25">
        <f>公会!$U$11</f>
        <v>2766.62857142857</v>
      </c>
      <c r="AK247" s="163" t="e">
        <f ca="1">_xlfn.XLOOKUP(OFFSET($C$12,$I247,MATCH($AD$11,$D$12:$G$12,0)),巡逻产出!$B$311:$B$610,巡逻产出!$Q$311:$Q$610)*OFFSET($C$1,MATCH(AK$12,$C$2:$C$7,0),MATCH($AD$11,$D$12:$G$12,0))</f>
        <v>#N/A</v>
      </c>
      <c r="AM247" s="164">
        <v>235</v>
      </c>
      <c r="AN247" s="165">
        <f t="shared" si="29"/>
        <v>27374</v>
      </c>
      <c r="AO247" s="165">
        <f t="shared" si="30"/>
        <v>34351</v>
      </c>
      <c r="AP247" s="165">
        <f t="shared" si="31"/>
        <v>54525</v>
      </c>
      <c r="AQ247" s="165">
        <f t="shared" si="32"/>
        <v>71804</v>
      </c>
    </row>
    <row r="248" spans="3:43">
      <c r="C248" s="160">
        <v>236</v>
      </c>
      <c r="D248" s="169">
        <v>175</v>
      </c>
      <c r="E248" s="170">
        <f t="shared" si="27"/>
        <v>133.75</v>
      </c>
      <c r="F248" s="169">
        <f t="shared" si="28"/>
        <v>159.449999999999</v>
      </c>
      <c r="G248" s="163">
        <f t="shared" si="34"/>
        <v>241</v>
      </c>
      <c r="I248" s="160">
        <v>236</v>
      </c>
      <c r="J248" s="163" t="e">
        <f ca="1">_xlfn.XLOOKUP(OFFSET($C$12,$I248,MATCH($J$11,$D$12:$G$12,0)),主线推图!$B$313:$B$612,主线推图!$P$313:$P$612)*OFFSET($C$1,MATCH(J$12,$C$2:$C$7,0),MATCH($J$11,$D$12:$G$12,0))</f>
        <v>#N/A</v>
      </c>
      <c r="K248" s="163" t="e">
        <f ca="1">_xlfn.XLOOKUP(OFFSET($C$12,$I248,MATCH($J$11,$D$12:$G$12,0)),巡逻产出!$B$311:$B$610,巡逻产出!$R$311:$R$610)*OFFSET($C$1,MATCH(K$12,$C$2:$C$7,0),MATCH($J$11,$D$12:$G$12,0))</f>
        <v>#N/A</v>
      </c>
      <c r="L248" s="163">
        <f ca="1">_xlfn.XLOOKUP(MAX(INT((OFFSET($C$12,$I248,MATCH($J$11,$D$12:$G$12,0))-6)/10),1),组队产出!$B$25:$B$39,组队产出!$P$25:$P$39)*OFFSET($C$1,MATCH(L$12,$C$2:$C$7,0),MATCH($J$11,$D$12:$G$12,0))</f>
        <v>1130.4</v>
      </c>
      <c r="M248" s="163">
        <f ca="1">竞技场!$G$3*OFFSET($C$1,MATCH(M$12,$C$2:$C$7,0),MATCH($J$11,$D$12:$G$12,0))</f>
        <v>1050</v>
      </c>
      <c r="N24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8" s="23">
        <f>任务!$G$6+任务!$G$9+IF(MOD(I248,7)=0,任务!$N$9+任务!$O$6,0)</f>
        <v>895</v>
      </c>
      <c r="P248" s="25">
        <f>公会!$U$11</f>
        <v>2766.62857142857</v>
      </c>
      <c r="Q248" s="163" t="e">
        <f ca="1">_xlfn.XLOOKUP(OFFSET($C$12,$I248,MATCH($J$11,$D$12:$G$12,0)),巡逻产出!$B$311:$B$610,巡逻产出!$Q$311:$Q$610)*OFFSET($C$1,MATCH(Q$12,$C$2:$C$7,0),MATCH($J$11,$D$12:$G$12,0))</f>
        <v>#N/A</v>
      </c>
      <c r="S248" s="160">
        <v>236</v>
      </c>
      <c r="T248" s="163" t="e">
        <f ca="1">_xlfn.XLOOKUP(OFFSET($C$12,$I248,MATCH($T$11,$D$12:$G$12,0)),主线推图!$B$313:$B$612,主线推图!$P$313:$P$612)*OFFSET($C$1,MATCH(T$12,$C$2:$C$7,0),MATCH($T$11,$D$12:$G$12,0))</f>
        <v>#N/A</v>
      </c>
      <c r="U248" s="163" t="e">
        <f ca="1">_xlfn.XLOOKUP(OFFSET($C$12,$I248,MATCH($T$11,$D$12:$G$12,0)),巡逻产出!$B$311:$B$610,巡逻产出!$R$311:$R$610)*OFFSET($C$1,MATCH(U$12,$C$2:$C$7,0),MATCH($T$11,$D$12:$G$12,0))</f>
        <v>#N/A</v>
      </c>
      <c r="V248" s="163">
        <f ca="1">_xlfn.XLOOKUP(MAX(INT((OFFSET($C$12,$I248,MATCH($T$11,$D$12:$G$12,0))-6)/10),1),组队产出!$B$25:$B$39,组队产出!$P$25:$P$39)*OFFSET($C$1,MATCH(V$12,$C$2:$C$7,0),MATCH($T$11,$D$12:$G$12,0))</f>
        <v>2320.8</v>
      </c>
      <c r="W248" s="163">
        <f ca="1">竞技场!$G$3*OFFSET($C$1,MATCH(W$12,$C$2:$C$7,0),MATCH($T$11,$D$12:$G$12,0))</f>
        <v>2100</v>
      </c>
      <c r="X24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8" s="23">
        <f>任务!$G$6+任务!$G$9+IF(MOD(S248,7)=0,任务!$N$9+任务!$O$6,0)</f>
        <v>895</v>
      </c>
      <c r="Z248" s="25">
        <f>公会!$U$11</f>
        <v>2766.62857142857</v>
      </c>
      <c r="AA248" s="163" t="e">
        <f ca="1">_xlfn.XLOOKUP(OFFSET($C$12,$I248,MATCH($T$11,$D$12:$G$12,0)),巡逻产出!$B$311:$B$610,巡逻产出!$Q$311:$Q$610)*OFFSET($C$1,MATCH(AA$12,$C$2:$C$7,0),MATCH($T$11,$D$12:$G$12,0))</f>
        <v>#N/A</v>
      </c>
      <c r="AC248" s="160">
        <v>236</v>
      </c>
      <c r="AD248" s="163">
        <f ca="1">_xlfn.XLOOKUP(OFFSET($C$12,$I248,MATCH($AD$11,$D$12:$G$12,0)),主线推图!$B$313:$B$612,主线推图!$P$313:$P$612)*OFFSET($C$1,MATCH(AD$12,$C$2:$C$7,0),MATCH($AD$11,$D$12:$G$12,0))</f>
        <v>3476</v>
      </c>
      <c r="AE248" s="163">
        <f ca="1">_xlfn.XLOOKUP(OFFSET($C$12,$I248,MATCH($AD$11,$D$12:$G$12,0)),巡逻产出!$B$311:$B$610,巡逻产出!$R$311:$R$610)*OFFSET($C$1,MATCH(AE$12,$C$2:$C$7,0),MATCH($AD$11,$D$12:$G$12,0))</f>
        <v>0</v>
      </c>
      <c r="AF248" s="163" t="e">
        <f ca="1">_xlfn.XLOOKUP(MAX(INT((OFFSET($C$12,$I248,MATCH($AD$11,$D$12:$G$12,0))-6)/10),1),组队产出!$B$25:$B$39,组队产出!$P$25:$P$39)*OFFSET($C$1,MATCH(AF$12,$C$2:$C$7,0),MATCH($AD$11,$D$12:$G$12,0))</f>
        <v>#N/A</v>
      </c>
      <c r="AG248" s="163">
        <f ca="1">竞技场!$G$3*OFFSET($C$1,MATCH(AG$12,$C$2:$C$7,0),MATCH($AD$11,$D$12:$G$12,0))</f>
        <v>3150</v>
      </c>
      <c r="AH24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8" s="23">
        <f>任务!$G$6+任务!$G$9+IF(MOD(AC248,7)=0,任务!$N$9+任务!$O$6,0)</f>
        <v>895</v>
      </c>
      <c r="AJ248" s="25">
        <f>公会!$U$11</f>
        <v>2766.62857142857</v>
      </c>
      <c r="AK248" s="163">
        <f ca="1">_xlfn.XLOOKUP(OFFSET($C$12,$I248,MATCH($AD$11,$D$12:$G$12,0)),巡逻产出!$B$311:$B$610,巡逻产出!$Q$311:$Q$610)*OFFSET($C$1,MATCH(AK$12,$C$2:$C$7,0),MATCH($AD$11,$D$12:$G$12,0))</f>
        <v>2406.768</v>
      </c>
      <c r="AM248" s="164">
        <v>236</v>
      </c>
      <c r="AN248" s="165">
        <f t="shared" si="29"/>
        <v>27487</v>
      </c>
      <c r="AO248" s="165">
        <f t="shared" si="30"/>
        <v>34494</v>
      </c>
      <c r="AP248" s="165">
        <f t="shared" si="31"/>
        <v>54753</v>
      </c>
      <c r="AQ248" s="165">
        <f t="shared" si="32"/>
        <v>72106</v>
      </c>
    </row>
    <row r="249" spans="3:43">
      <c r="C249" s="160">
        <v>237</v>
      </c>
      <c r="D249" s="169">
        <v>175</v>
      </c>
      <c r="E249" s="170">
        <f t="shared" si="27"/>
        <v>134</v>
      </c>
      <c r="F249" s="169">
        <f t="shared" si="28"/>
        <v>159.799999999999</v>
      </c>
      <c r="G249" s="163">
        <f t="shared" si="34"/>
        <v>241.5</v>
      </c>
      <c r="I249" s="160">
        <v>237</v>
      </c>
      <c r="J249" s="163" t="e">
        <f ca="1">_xlfn.XLOOKUP(OFFSET($C$12,$I249,MATCH($J$11,$D$12:$G$12,0)),主线推图!$B$313:$B$612,主线推图!$P$313:$P$612)*OFFSET($C$1,MATCH(J$12,$C$2:$C$7,0),MATCH($J$11,$D$12:$G$12,0))</f>
        <v>#N/A</v>
      </c>
      <c r="K249" s="163" t="e">
        <f ca="1">_xlfn.XLOOKUP(OFFSET($C$12,$I249,MATCH($J$11,$D$12:$G$12,0)),巡逻产出!$B$311:$B$610,巡逻产出!$R$311:$R$610)*OFFSET($C$1,MATCH(K$12,$C$2:$C$7,0),MATCH($J$11,$D$12:$G$12,0))</f>
        <v>#N/A</v>
      </c>
      <c r="L249" s="163">
        <f ca="1">_xlfn.XLOOKUP(MAX(INT((OFFSET($C$12,$I249,MATCH($J$11,$D$12:$G$12,0))-6)/10),1),组队产出!$B$25:$B$39,组队产出!$P$25:$P$39)*OFFSET($C$1,MATCH(L$12,$C$2:$C$7,0),MATCH($J$11,$D$12:$G$12,0))</f>
        <v>1130.4</v>
      </c>
      <c r="M249" s="163">
        <f ca="1">竞技场!$G$3*OFFSET($C$1,MATCH(M$12,$C$2:$C$7,0),MATCH($J$11,$D$12:$G$12,0))</f>
        <v>1050</v>
      </c>
      <c r="N24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9" s="23">
        <f>任务!$G$6+任务!$G$9+IF(MOD(I249,7)=0,任务!$N$9+任务!$O$6,0)</f>
        <v>895</v>
      </c>
      <c r="P249" s="25">
        <f>公会!$U$11</f>
        <v>2766.62857142857</v>
      </c>
      <c r="Q249" s="163" t="e">
        <f ca="1">_xlfn.XLOOKUP(OFFSET($C$12,$I249,MATCH($J$11,$D$12:$G$12,0)),巡逻产出!$B$311:$B$610,巡逻产出!$Q$311:$Q$610)*OFFSET($C$1,MATCH(Q$12,$C$2:$C$7,0),MATCH($J$11,$D$12:$G$12,0))</f>
        <v>#N/A</v>
      </c>
      <c r="S249" s="160">
        <v>237</v>
      </c>
      <c r="T249" s="163" t="e">
        <f ca="1">_xlfn.XLOOKUP(OFFSET($C$12,$I249,MATCH($T$11,$D$12:$G$12,0)),主线推图!$B$313:$B$612,主线推图!$P$313:$P$612)*OFFSET($C$1,MATCH(T$12,$C$2:$C$7,0),MATCH($T$11,$D$12:$G$12,0))</f>
        <v>#N/A</v>
      </c>
      <c r="U249" s="163" t="e">
        <f ca="1">_xlfn.XLOOKUP(OFFSET($C$12,$I249,MATCH($T$11,$D$12:$G$12,0)),巡逻产出!$B$311:$B$610,巡逻产出!$R$311:$R$610)*OFFSET($C$1,MATCH(U$12,$C$2:$C$7,0),MATCH($T$11,$D$12:$G$12,0))</f>
        <v>#N/A</v>
      </c>
      <c r="V249" s="163">
        <f ca="1">_xlfn.XLOOKUP(MAX(INT((OFFSET($C$12,$I249,MATCH($T$11,$D$12:$G$12,0))-6)/10),1),组队产出!$B$25:$B$39,组队产出!$P$25:$P$39)*OFFSET($C$1,MATCH(V$12,$C$2:$C$7,0),MATCH($T$11,$D$12:$G$12,0))</f>
        <v>2320.8</v>
      </c>
      <c r="W249" s="163">
        <f ca="1">竞技场!$G$3*OFFSET($C$1,MATCH(W$12,$C$2:$C$7,0),MATCH($T$11,$D$12:$G$12,0))</f>
        <v>2100</v>
      </c>
      <c r="X24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9" s="23">
        <f>任务!$G$6+任务!$G$9+IF(MOD(S249,7)=0,任务!$N$9+任务!$O$6,0)</f>
        <v>895</v>
      </c>
      <c r="Z249" s="25">
        <f>公会!$U$11</f>
        <v>2766.62857142857</v>
      </c>
      <c r="AA249" s="163" t="e">
        <f ca="1">_xlfn.XLOOKUP(OFFSET($C$12,$I249,MATCH($T$11,$D$12:$G$12,0)),巡逻产出!$B$311:$B$610,巡逻产出!$Q$311:$Q$610)*OFFSET($C$1,MATCH(AA$12,$C$2:$C$7,0),MATCH($T$11,$D$12:$G$12,0))</f>
        <v>#N/A</v>
      </c>
      <c r="AC249" s="160">
        <v>237</v>
      </c>
      <c r="AD249" s="163" t="e">
        <f ca="1">_xlfn.XLOOKUP(OFFSET($C$12,$I249,MATCH($AD$11,$D$12:$G$12,0)),主线推图!$B$313:$B$612,主线推图!$P$313:$P$612)*OFFSET($C$1,MATCH(AD$12,$C$2:$C$7,0),MATCH($AD$11,$D$12:$G$12,0))</f>
        <v>#N/A</v>
      </c>
      <c r="AE249" s="163" t="e">
        <f ca="1">_xlfn.XLOOKUP(OFFSET($C$12,$I249,MATCH($AD$11,$D$12:$G$12,0)),巡逻产出!$B$311:$B$610,巡逻产出!$R$311:$R$610)*OFFSET($C$1,MATCH(AE$12,$C$2:$C$7,0),MATCH($AD$11,$D$12:$G$12,0))</f>
        <v>#N/A</v>
      </c>
      <c r="AF249" s="163" t="e">
        <f ca="1">_xlfn.XLOOKUP(MAX(INT((OFFSET($C$12,$I249,MATCH($AD$11,$D$12:$G$12,0))-6)/10),1),组队产出!$B$25:$B$39,组队产出!$P$25:$P$39)*OFFSET($C$1,MATCH(AF$12,$C$2:$C$7,0),MATCH($AD$11,$D$12:$G$12,0))</f>
        <v>#N/A</v>
      </c>
      <c r="AG249" s="163">
        <f ca="1">竞技场!$G$3*OFFSET($C$1,MATCH(AG$12,$C$2:$C$7,0),MATCH($AD$11,$D$12:$G$12,0))</f>
        <v>3150</v>
      </c>
      <c r="AH24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9" s="23">
        <f>任务!$G$6+任务!$G$9+IF(MOD(AC249,7)=0,任务!$N$9+任务!$O$6,0)</f>
        <v>895</v>
      </c>
      <c r="AJ249" s="25">
        <f>公会!$U$11</f>
        <v>2766.62857142857</v>
      </c>
      <c r="AK249" s="163" t="e">
        <f ca="1">_xlfn.XLOOKUP(OFFSET($C$12,$I249,MATCH($AD$11,$D$12:$G$12,0)),巡逻产出!$B$311:$B$610,巡逻产出!$Q$311:$Q$610)*OFFSET($C$1,MATCH(AK$12,$C$2:$C$7,0),MATCH($AD$11,$D$12:$G$12,0))</f>
        <v>#N/A</v>
      </c>
      <c r="AM249" s="164">
        <v>237</v>
      </c>
      <c r="AN249" s="165">
        <f t="shared" si="29"/>
        <v>27601</v>
      </c>
      <c r="AO249" s="165">
        <f t="shared" si="30"/>
        <v>34637</v>
      </c>
      <c r="AP249" s="165">
        <f t="shared" si="31"/>
        <v>54982</v>
      </c>
      <c r="AQ249" s="165">
        <f t="shared" si="32"/>
        <v>72408</v>
      </c>
    </row>
    <row r="250" spans="3:43">
      <c r="C250" s="160">
        <v>238</v>
      </c>
      <c r="D250" s="169">
        <v>175</v>
      </c>
      <c r="E250" s="170">
        <f t="shared" si="27"/>
        <v>134.25</v>
      </c>
      <c r="F250" s="169">
        <f t="shared" si="28"/>
        <v>160.149999999999</v>
      </c>
      <c r="G250" s="163">
        <f t="shared" si="34"/>
        <v>242</v>
      </c>
      <c r="I250" s="160">
        <v>238</v>
      </c>
      <c r="J250" s="163" t="e">
        <f ca="1">_xlfn.XLOOKUP(OFFSET($C$12,$I250,MATCH($J$11,$D$12:$G$12,0)),主线推图!$B$313:$B$612,主线推图!$P$313:$P$612)*OFFSET($C$1,MATCH(J$12,$C$2:$C$7,0),MATCH($J$11,$D$12:$G$12,0))</f>
        <v>#N/A</v>
      </c>
      <c r="K250" s="163" t="e">
        <f ca="1">_xlfn.XLOOKUP(OFFSET($C$12,$I250,MATCH($J$11,$D$12:$G$12,0)),巡逻产出!$B$311:$B$610,巡逻产出!$R$311:$R$610)*OFFSET($C$1,MATCH(K$12,$C$2:$C$7,0),MATCH($J$11,$D$12:$G$12,0))</f>
        <v>#N/A</v>
      </c>
      <c r="L250" s="163">
        <f ca="1">_xlfn.XLOOKUP(MAX(INT((OFFSET($C$12,$I250,MATCH($J$11,$D$12:$G$12,0))-6)/10),1),组队产出!$B$25:$B$39,组队产出!$P$25:$P$39)*OFFSET($C$1,MATCH(L$12,$C$2:$C$7,0),MATCH($J$11,$D$12:$G$12,0))</f>
        <v>1130.4</v>
      </c>
      <c r="M250" s="163">
        <f ca="1">竞技场!$G$3*OFFSET($C$1,MATCH(M$12,$C$2:$C$7,0),MATCH($J$11,$D$12:$G$12,0))</f>
        <v>1050</v>
      </c>
      <c r="N25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0" s="23">
        <f>任务!$G$6+任务!$G$9+IF(MOD(I250,7)=0,任务!$N$9+任务!$O$6,0)</f>
        <v>3125</v>
      </c>
      <c r="P250" s="25">
        <f>公会!$U$11</f>
        <v>2766.62857142857</v>
      </c>
      <c r="Q250" s="163" t="e">
        <f ca="1">_xlfn.XLOOKUP(OFFSET($C$12,$I250,MATCH($J$11,$D$12:$G$12,0)),巡逻产出!$B$311:$B$610,巡逻产出!$Q$311:$Q$610)*OFFSET($C$1,MATCH(Q$12,$C$2:$C$7,0),MATCH($J$11,$D$12:$G$12,0))</f>
        <v>#N/A</v>
      </c>
      <c r="S250" s="160">
        <v>238</v>
      </c>
      <c r="T250" s="163" t="e">
        <f ca="1">_xlfn.XLOOKUP(OFFSET($C$12,$I250,MATCH($T$11,$D$12:$G$12,0)),主线推图!$B$313:$B$612,主线推图!$P$313:$P$612)*OFFSET($C$1,MATCH(T$12,$C$2:$C$7,0),MATCH($T$11,$D$12:$G$12,0))</f>
        <v>#N/A</v>
      </c>
      <c r="U250" s="163" t="e">
        <f ca="1">_xlfn.XLOOKUP(OFFSET($C$12,$I250,MATCH($T$11,$D$12:$G$12,0)),巡逻产出!$B$311:$B$610,巡逻产出!$R$311:$R$610)*OFFSET($C$1,MATCH(U$12,$C$2:$C$7,0),MATCH($T$11,$D$12:$G$12,0))</f>
        <v>#N/A</v>
      </c>
      <c r="V250" s="163">
        <f ca="1">_xlfn.XLOOKUP(MAX(INT((OFFSET($C$12,$I250,MATCH($T$11,$D$12:$G$12,0))-6)/10),1),组队产出!$B$25:$B$39,组队产出!$P$25:$P$39)*OFFSET($C$1,MATCH(V$12,$C$2:$C$7,0),MATCH($T$11,$D$12:$G$12,0))</f>
        <v>2320.8</v>
      </c>
      <c r="W250" s="163">
        <f ca="1">竞技场!$G$3*OFFSET($C$1,MATCH(W$12,$C$2:$C$7,0),MATCH($T$11,$D$12:$G$12,0))</f>
        <v>2100</v>
      </c>
      <c r="X25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0" s="23">
        <f>任务!$G$6+任务!$G$9+IF(MOD(S250,7)=0,任务!$N$9+任务!$O$6,0)</f>
        <v>3125</v>
      </c>
      <c r="Z250" s="25">
        <f>公会!$U$11</f>
        <v>2766.62857142857</v>
      </c>
      <c r="AA250" s="163" t="e">
        <f ca="1">_xlfn.XLOOKUP(OFFSET($C$12,$I250,MATCH($T$11,$D$12:$G$12,0)),巡逻产出!$B$311:$B$610,巡逻产出!$Q$311:$Q$610)*OFFSET($C$1,MATCH(AA$12,$C$2:$C$7,0),MATCH($T$11,$D$12:$G$12,0))</f>
        <v>#N/A</v>
      </c>
      <c r="AC250" s="160">
        <v>238</v>
      </c>
      <c r="AD250" s="163">
        <f ca="1">_xlfn.XLOOKUP(OFFSET($C$12,$I250,MATCH($AD$11,$D$12:$G$12,0)),主线推图!$B$313:$B$612,主线推图!$P$313:$P$612)*OFFSET($C$1,MATCH(AD$12,$C$2:$C$7,0),MATCH($AD$11,$D$12:$G$12,0))</f>
        <v>3478.2</v>
      </c>
      <c r="AE250" s="163">
        <f ca="1">_xlfn.XLOOKUP(OFFSET($C$12,$I250,MATCH($AD$11,$D$12:$G$12,0)),巡逻产出!$B$311:$B$610,巡逻产出!$R$311:$R$610)*OFFSET($C$1,MATCH(AE$12,$C$2:$C$7,0),MATCH($AD$11,$D$12:$G$12,0))</f>
        <v>0</v>
      </c>
      <c r="AF250" s="163" t="e">
        <f ca="1">_xlfn.XLOOKUP(MAX(INT((OFFSET($C$12,$I250,MATCH($AD$11,$D$12:$G$12,0))-6)/10),1),组队产出!$B$25:$B$39,组队产出!$P$25:$P$39)*OFFSET($C$1,MATCH(AF$12,$C$2:$C$7,0),MATCH($AD$11,$D$12:$G$12,0))</f>
        <v>#N/A</v>
      </c>
      <c r="AG250" s="163">
        <f ca="1">竞技场!$G$3*OFFSET($C$1,MATCH(AG$12,$C$2:$C$7,0),MATCH($AD$11,$D$12:$G$12,0))</f>
        <v>3150</v>
      </c>
      <c r="AH25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0" s="23">
        <f>任务!$G$6+任务!$G$9+IF(MOD(AC250,7)=0,任务!$N$9+任务!$O$6,0)</f>
        <v>3125</v>
      </c>
      <c r="AJ250" s="25">
        <f>公会!$U$11</f>
        <v>2766.62857142857</v>
      </c>
      <c r="AK250" s="163">
        <f ca="1">_xlfn.XLOOKUP(OFFSET($C$12,$I250,MATCH($AD$11,$D$12:$G$12,0)),巡逻产出!$B$311:$B$610,巡逻产出!$Q$311:$Q$610)*OFFSET($C$1,MATCH(AK$12,$C$2:$C$7,0),MATCH($AD$11,$D$12:$G$12,0))</f>
        <v>2408.328</v>
      </c>
      <c r="AM250" s="164">
        <v>238</v>
      </c>
      <c r="AN250" s="165">
        <f t="shared" si="29"/>
        <v>27714</v>
      </c>
      <c r="AO250" s="165">
        <f t="shared" si="30"/>
        <v>34780</v>
      </c>
      <c r="AP250" s="165">
        <f t="shared" si="31"/>
        <v>55210</v>
      </c>
      <c r="AQ250" s="165">
        <f t="shared" si="32"/>
        <v>72710</v>
      </c>
    </row>
    <row r="251" spans="3:43">
      <c r="C251" s="160">
        <v>239</v>
      </c>
      <c r="D251" s="169">
        <v>175</v>
      </c>
      <c r="E251" s="170">
        <f t="shared" si="27"/>
        <v>134.5</v>
      </c>
      <c r="F251" s="169">
        <f t="shared" si="28"/>
        <v>160.499999999999</v>
      </c>
      <c r="G251" s="163">
        <f t="shared" si="34"/>
        <v>242.5</v>
      </c>
      <c r="I251" s="160">
        <v>239</v>
      </c>
      <c r="J251" s="163" t="e">
        <f ca="1">_xlfn.XLOOKUP(OFFSET($C$12,$I251,MATCH($J$11,$D$12:$G$12,0)),主线推图!$B$313:$B$612,主线推图!$P$313:$P$612)*OFFSET($C$1,MATCH(J$12,$C$2:$C$7,0),MATCH($J$11,$D$12:$G$12,0))</f>
        <v>#N/A</v>
      </c>
      <c r="K251" s="163" t="e">
        <f ca="1">_xlfn.XLOOKUP(OFFSET($C$12,$I251,MATCH($J$11,$D$12:$G$12,0)),巡逻产出!$B$311:$B$610,巡逻产出!$R$311:$R$610)*OFFSET($C$1,MATCH(K$12,$C$2:$C$7,0),MATCH($J$11,$D$12:$G$12,0))</f>
        <v>#N/A</v>
      </c>
      <c r="L251" s="163">
        <f ca="1">_xlfn.XLOOKUP(MAX(INT((OFFSET($C$12,$I251,MATCH($J$11,$D$12:$G$12,0))-6)/10),1),组队产出!$B$25:$B$39,组队产出!$P$25:$P$39)*OFFSET($C$1,MATCH(L$12,$C$2:$C$7,0),MATCH($J$11,$D$12:$G$12,0))</f>
        <v>1130.4</v>
      </c>
      <c r="M251" s="163">
        <f ca="1">竞技场!$G$3*OFFSET($C$1,MATCH(M$12,$C$2:$C$7,0),MATCH($J$11,$D$12:$G$12,0))</f>
        <v>1050</v>
      </c>
      <c r="N25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1" s="23">
        <f>任务!$G$6+任务!$G$9+IF(MOD(I251,7)=0,任务!$N$9+任务!$O$6,0)</f>
        <v>895</v>
      </c>
      <c r="P251" s="25">
        <f>公会!$U$11</f>
        <v>2766.62857142857</v>
      </c>
      <c r="Q251" s="163" t="e">
        <f ca="1">_xlfn.XLOOKUP(OFFSET($C$12,$I251,MATCH($J$11,$D$12:$G$12,0)),巡逻产出!$B$311:$B$610,巡逻产出!$Q$311:$Q$610)*OFFSET($C$1,MATCH(Q$12,$C$2:$C$7,0),MATCH($J$11,$D$12:$G$12,0))</f>
        <v>#N/A</v>
      </c>
      <c r="S251" s="160">
        <v>239</v>
      </c>
      <c r="T251" s="163" t="e">
        <f ca="1">_xlfn.XLOOKUP(OFFSET($C$12,$I251,MATCH($T$11,$D$12:$G$12,0)),主线推图!$B$313:$B$612,主线推图!$P$313:$P$612)*OFFSET($C$1,MATCH(T$12,$C$2:$C$7,0),MATCH($T$11,$D$12:$G$12,0))</f>
        <v>#N/A</v>
      </c>
      <c r="U251" s="163" t="e">
        <f ca="1">_xlfn.XLOOKUP(OFFSET($C$12,$I251,MATCH($T$11,$D$12:$G$12,0)),巡逻产出!$B$311:$B$610,巡逻产出!$R$311:$R$610)*OFFSET($C$1,MATCH(U$12,$C$2:$C$7,0),MATCH($T$11,$D$12:$G$12,0))</f>
        <v>#N/A</v>
      </c>
      <c r="V251" s="163">
        <f ca="1">_xlfn.XLOOKUP(MAX(INT((OFFSET($C$12,$I251,MATCH($T$11,$D$12:$G$12,0))-6)/10),1),组队产出!$B$25:$B$39,组队产出!$P$25:$P$39)*OFFSET($C$1,MATCH(V$12,$C$2:$C$7,0),MATCH($T$11,$D$12:$G$12,0))</f>
        <v>2320.8</v>
      </c>
      <c r="W251" s="163">
        <f ca="1">竞技场!$G$3*OFFSET($C$1,MATCH(W$12,$C$2:$C$7,0),MATCH($T$11,$D$12:$G$12,0))</f>
        <v>2100</v>
      </c>
      <c r="X25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1" s="23">
        <f>任务!$G$6+任务!$G$9+IF(MOD(S251,7)=0,任务!$N$9+任务!$O$6,0)</f>
        <v>895</v>
      </c>
      <c r="Z251" s="25">
        <f>公会!$U$11</f>
        <v>2766.62857142857</v>
      </c>
      <c r="AA251" s="163" t="e">
        <f ca="1">_xlfn.XLOOKUP(OFFSET($C$12,$I251,MATCH($T$11,$D$12:$G$12,0)),巡逻产出!$B$311:$B$610,巡逻产出!$Q$311:$Q$610)*OFFSET($C$1,MATCH(AA$12,$C$2:$C$7,0),MATCH($T$11,$D$12:$G$12,0))</f>
        <v>#N/A</v>
      </c>
      <c r="AC251" s="160">
        <v>239</v>
      </c>
      <c r="AD251" s="163" t="e">
        <f ca="1">_xlfn.XLOOKUP(OFFSET($C$12,$I251,MATCH($AD$11,$D$12:$G$12,0)),主线推图!$B$313:$B$612,主线推图!$P$313:$P$612)*OFFSET($C$1,MATCH(AD$12,$C$2:$C$7,0),MATCH($AD$11,$D$12:$G$12,0))</f>
        <v>#N/A</v>
      </c>
      <c r="AE251" s="163" t="e">
        <f ca="1">_xlfn.XLOOKUP(OFFSET($C$12,$I251,MATCH($AD$11,$D$12:$G$12,0)),巡逻产出!$B$311:$B$610,巡逻产出!$R$311:$R$610)*OFFSET($C$1,MATCH(AE$12,$C$2:$C$7,0),MATCH($AD$11,$D$12:$G$12,0))</f>
        <v>#N/A</v>
      </c>
      <c r="AF251" s="163" t="e">
        <f ca="1">_xlfn.XLOOKUP(MAX(INT((OFFSET($C$12,$I251,MATCH($AD$11,$D$12:$G$12,0))-6)/10),1),组队产出!$B$25:$B$39,组队产出!$P$25:$P$39)*OFFSET($C$1,MATCH(AF$12,$C$2:$C$7,0),MATCH($AD$11,$D$12:$G$12,0))</f>
        <v>#N/A</v>
      </c>
      <c r="AG251" s="163">
        <f ca="1">竞技场!$G$3*OFFSET($C$1,MATCH(AG$12,$C$2:$C$7,0),MATCH($AD$11,$D$12:$G$12,0))</f>
        <v>3150</v>
      </c>
      <c r="AH25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1" s="23">
        <f>任务!$G$6+任务!$G$9+IF(MOD(AC251,7)=0,任务!$N$9+任务!$O$6,0)</f>
        <v>895</v>
      </c>
      <c r="AJ251" s="25">
        <f>公会!$U$11</f>
        <v>2766.62857142857</v>
      </c>
      <c r="AK251" s="163" t="e">
        <f ca="1">_xlfn.XLOOKUP(OFFSET($C$12,$I251,MATCH($AD$11,$D$12:$G$12,0)),巡逻产出!$B$311:$B$610,巡逻产出!$Q$311:$Q$610)*OFFSET($C$1,MATCH(AK$12,$C$2:$C$7,0),MATCH($AD$11,$D$12:$G$12,0))</f>
        <v>#N/A</v>
      </c>
      <c r="AM251" s="164">
        <v>239</v>
      </c>
      <c r="AN251" s="165">
        <f t="shared" si="29"/>
        <v>27828</v>
      </c>
      <c r="AO251" s="165">
        <f t="shared" si="30"/>
        <v>34923</v>
      </c>
      <c r="AP251" s="165">
        <f t="shared" si="31"/>
        <v>55439</v>
      </c>
      <c r="AQ251" s="165">
        <f t="shared" si="32"/>
        <v>73012</v>
      </c>
    </row>
    <row r="252" spans="3:43">
      <c r="C252" s="160">
        <v>240</v>
      </c>
      <c r="D252" s="169">
        <v>176</v>
      </c>
      <c r="E252" s="170">
        <f t="shared" si="27"/>
        <v>134.75</v>
      </c>
      <c r="F252" s="169">
        <f t="shared" si="28"/>
        <v>160.849999999999</v>
      </c>
      <c r="G252" s="163">
        <f t="shared" si="34"/>
        <v>243</v>
      </c>
      <c r="I252" s="160">
        <v>240</v>
      </c>
      <c r="J252" s="163" t="e">
        <f ca="1">_xlfn.XLOOKUP(OFFSET($C$12,$I252,MATCH($J$11,$D$12:$G$12,0)),主线推图!$B$313:$B$612,主线推图!$P$313:$P$612)*OFFSET($C$1,MATCH(J$12,$C$2:$C$7,0),MATCH($J$11,$D$12:$G$12,0))</f>
        <v>#N/A</v>
      </c>
      <c r="K252" s="163" t="e">
        <f ca="1">_xlfn.XLOOKUP(OFFSET($C$12,$I252,MATCH($J$11,$D$12:$G$12,0)),巡逻产出!$B$311:$B$610,巡逻产出!$R$311:$R$610)*OFFSET($C$1,MATCH(K$12,$C$2:$C$7,0),MATCH($J$11,$D$12:$G$12,0))</f>
        <v>#N/A</v>
      </c>
      <c r="L252" s="163">
        <f ca="1">_xlfn.XLOOKUP(MAX(INT((OFFSET($C$12,$I252,MATCH($J$11,$D$12:$G$12,0))-6)/10),1),组队产出!$B$25:$B$39,组队产出!$P$25:$P$39)*OFFSET($C$1,MATCH(L$12,$C$2:$C$7,0),MATCH($J$11,$D$12:$G$12,0))</f>
        <v>1130.4</v>
      </c>
      <c r="M252" s="163">
        <f ca="1">竞技场!$G$3*OFFSET($C$1,MATCH(M$12,$C$2:$C$7,0),MATCH($J$11,$D$12:$G$12,0))</f>
        <v>1050</v>
      </c>
      <c r="N25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2" s="23">
        <f>任务!$G$6+任务!$G$9+IF(MOD(I252,7)=0,任务!$N$9+任务!$O$6,0)</f>
        <v>895</v>
      </c>
      <c r="P252" s="25">
        <f>公会!$U$11</f>
        <v>2766.62857142857</v>
      </c>
      <c r="Q252" s="163" t="e">
        <f ca="1">_xlfn.XLOOKUP(OFFSET($C$12,$I252,MATCH($J$11,$D$12:$G$12,0)),巡逻产出!$B$311:$B$610,巡逻产出!$Q$311:$Q$610)*OFFSET($C$1,MATCH(Q$12,$C$2:$C$7,0),MATCH($J$11,$D$12:$G$12,0))</f>
        <v>#N/A</v>
      </c>
      <c r="S252" s="160">
        <v>240</v>
      </c>
      <c r="T252" s="163" t="e">
        <f ca="1">_xlfn.XLOOKUP(OFFSET($C$12,$I252,MATCH($T$11,$D$12:$G$12,0)),主线推图!$B$313:$B$612,主线推图!$P$313:$P$612)*OFFSET($C$1,MATCH(T$12,$C$2:$C$7,0),MATCH($T$11,$D$12:$G$12,0))</f>
        <v>#N/A</v>
      </c>
      <c r="U252" s="163" t="e">
        <f ca="1">_xlfn.XLOOKUP(OFFSET($C$12,$I252,MATCH($T$11,$D$12:$G$12,0)),巡逻产出!$B$311:$B$610,巡逻产出!$R$311:$R$610)*OFFSET($C$1,MATCH(U$12,$C$2:$C$7,0),MATCH($T$11,$D$12:$G$12,0))</f>
        <v>#N/A</v>
      </c>
      <c r="V252" s="163">
        <f ca="1">_xlfn.XLOOKUP(MAX(INT((OFFSET($C$12,$I252,MATCH($T$11,$D$12:$G$12,0))-6)/10),1),组队产出!$B$25:$B$39,组队产出!$P$25:$P$39)*OFFSET($C$1,MATCH(V$12,$C$2:$C$7,0),MATCH($T$11,$D$12:$G$12,0))</f>
        <v>2320.8</v>
      </c>
      <c r="W252" s="163">
        <f ca="1">竞技场!$G$3*OFFSET($C$1,MATCH(W$12,$C$2:$C$7,0),MATCH($T$11,$D$12:$G$12,0))</f>
        <v>2100</v>
      </c>
      <c r="X25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2" s="23">
        <f>任务!$G$6+任务!$G$9+IF(MOD(S252,7)=0,任务!$N$9+任务!$O$6,0)</f>
        <v>895</v>
      </c>
      <c r="Z252" s="25">
        <f>公会!$U$11</f>
        <v>2766.62857142857</v>
      </c>
      <c r="AA252" s="163" t="e">
        <f ca="1">_xlfn.XLOOKUP(OFFSET($C$12,$I252,MATCH($T$11,$D$12:$G$12,0)),巡逻产出!$B$311:$B$610,巡逻产出!$Q$311:$Q$610)*OFFSET($C$1,MATCH(AA$12,$C$2:$C$7,0),MATCH($T$11,$D$12:$G$12,0))</f>
        <v>#N/A</v>
      </c>
      <c r="AC252" s="160">
        <v>240</v>
      </c>
      <c r="AD252" s="163">
        <f ca="1">_xlfn.XLOOKUP(OFFSET($C$12,$I252,MATCH($AD$11,$D$12:$G$12,0)),主线推图!$B$313:$B$612,主线推图!$P$313:$P$612)*OFFSET($C$1,MATCH(AD$12,$C$2:$C$7,0),MATCH($AD$11,$D$12:$G$12,0))</f>
        <v>3480.4</v>
      </c>
      <c r="AE252" s="163">
        <f ca="1">_xlfn.XLOOKUP(OFFSET($C$12,$I252,MATCH($AD$11,$D$12:$G$12,0)),巡逻产出!$B$311:$B$610,巡逻产出!$R$311:$R$610)*OFFSET($C$1,MATCH(AE$12,$C$2:$C$7,0),MATCH($AD$11,$D$12:$G$12,0))</f>
        <v>0</v>
      </c>
      <c r="AF252" s="163" t="e">
        <f ca="1">_xlfn.XLOOKUP(MAX(INT((OFFSET($C$12,$I252,MATCH($AD$11,$D$12:$G$12,0))-6)/10),1),组队产出!$B$25:$B$39,组队产出!$P$25:$P$39)*OFFSET($C$1,MATCH(AF$12,$C$2:$C$7,0),MATCH($AD$11,$D$12:$G$12,0))</f>
        <v>#N/A</v>
      </c>
      <c r="AG252" s="163">
        <f ca="1">竞技场!$G$3*OFFSET($C$1,MATCH(AG$12,$C$2:$C$7,0),MATCH($AD$11,$D$12:$G$12,0))</f>
        <v>3150</v>
      </c>
      <c r="AH25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2" s="23">
        <f>任务!$G$6+任务!$G$9+IF(MOD(AC252,7)=0,任务!$N$9+任务!$O$6,0)</f>
        <v>895</v>
      </c>
      <c r="AJ252" s="25">
        <f>公会!$U$11</f>
        <v>2766.62857142857</v>
      </c>
      <c r="AK252" s="163">
        <f ca="1">_xlfn.XLOOKUP(OFFSET($C$12,$I252,MATCH($AD$11,$D$12:$G$12,0)),巡逻产出!$B$311:$B$610,巡逻产出!$Q$311:$Q$610)*OFFSET($C$1,MATCH(AK$12,$C$2:$C$7,0),MATCH($AD$11,$D$12:$G$12,0))</f>
        <v>2409.888</v>
      </c>
      <c r="AM252" s="164">
        <v>240</v>
      </c>
      <c r="AN252" s="165">
        <f t="shared" si="29"/>
        <v>27941</v>
      </c>
      <c r="AO252" s="165">
        <f t="shared" si="30"/>
        <v>35066</v>
      </c>
      <c r="AP252" s="165">
        <f t="shared" si="31"/>
        <v>55667</v>
      </c>
      <c r="AQ252" s="165">
        <f t="shared" si="32"/>
        <v>73314</v>
      </c>
    </row>
    <row r="253" spans="3:43">
      <c r="C253" s="160">
        <v>241</v>
      </c>
      <c r="D253" s="169">
        <v>176</v>
      </c>
      <c r="E253" s="170">
        <f t="shared" si="27"/>
        <v>135</v>
      </c>
      <c r="F253" s="169">
        <f t="shared" si="28"/>
        <v>161.199999999999</v>
      </c>
      <c r="G253" s="163">
        <f t="shared" si="34"/>
        <v>243.5</v>
      </c>
      <c r="I253" s="160">
        <v>241</v>
      </c>
      <c r="J253" s="163" t="e">
        <f ca="1">_xlfn.XLOOKUP(OFFSET($C$12,$I253,MATCH($J$11,$D$12:$G$12,0)),主线推图!$B$313:$B$612,主线推图!$P$313:$P$612)*OFFSET($C$1,MATCH(J$12,$C$2:$C$7,0),MATCH($J$11,$D$12:$G$12,0))</f>
        <v>#N/A</v>
      </c>
      <c r="K253" s="163" t="e">
        <f ca="1">_xlfn.XLOOKUP(OFFSET($C$12,$I253,MATCH($J$11,$D$12:$G$12,0)),巡逻产出!$B$311:$B$610,巡逻产出!$R$311:$R$610)*OFFSET($C$1,MATCH(K$12,$C$2:$C$7,0),MATCH($J$11,$D$12:$G$12,0))</f>
        <v>#N/A</v>
      </c>
      <c r="L253" s="163">
        <f ca="1">_xlfn.XLOOKUP(MAX(INT((OFFSET($C$12,$I253,MATCH($J$11,$D$12:$G$12,0))-6)/10),1),组队产出!$B$25:$B$39,组队产出!$P$25:$P$39)*OFFSET($C$1,MATCH(L$12,$C$2:$C$7,0),MATCH($J$11,$D$12:$G$12,0))</f>
        <v>1130.4</v>
      </c>
      <c r="M253" s="163">
        <f ca="1">竞技场!$G$3*OFFSET($C$1,MATCH(M$12,$C$2:$C$7,0),MATCH($J$11,$D$12:$G$12,0))</f>
        <v>1050</v>
      </c>
      <c r="N25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3" s="23">
        <f>任务!$G$6+任务!$G$9+IF(MOD(I253,7)=0,任务!$N$9+任务!$O$6,0)</f>
        <v>895</v>
      </c>
      <c r="P253" s="25">
        <f>公会!$U$11</f>
        <v>2766.62857142857</v>
      </c>
      <c r="Q253" s="163" t="e">
        <f ca="1">_xlfn.XLOOKUP(OFFSET($C$12,$I253,MATCH($J$11,$D$12:$G$12,0)),巡逻产出!$B$311:$B$610,巡逻产出!$Q$311:$Q$610)*OFFSET($C$1,MATCH(Q$12,$C$2:$C$7,0),MATCH($J$11,$D$12:$G$12,0))</f>
        <v>#N/A</v>
      </c>
      <c r="S253" s="160">
        <v>241</v>
      </c>
      <c r="T253" s="163" t="e">
        <f ca="1">_xlfn.XLOOKUP(OFFSET($C$12,$I253,MATCH($T$11,$D$12:$G$12,0)),主线推图!$B$313:$B$612,主线推图!$P$313:$P$612)*OFFSET($C$1,MATCH(T$12,$C$2:$C$7,0),MATCH($T$11,$D$12:$G$12,0))</f>
        <v>#N/A</v>
      </c>
      <c r="U253" s="163" t="e">
        <f ca="1">_xlfn.XLOOKUP(OFFSET($C$12,$I253,MATCH($T$11,$D$12:$G$12,0)),巡逻产出!$B$311:$B$610,巡逻产出!$R$311:$R$610)*OFFSET($C$1,MATCH(U$12,$C$2:$C$7,0),MATCH($T$11,$D$12:$G$12,0))</f>
        <v>#N/A</v>
      </c>
      <c r="V253" s="163">
        <f ca="1">_xlfn.XLOOKUP(MAX(INT((OFFSET($C$12,$I253,MATCH($T$11,$D$12:$G$12,0))-6)/10),1),组队产出!$B$25:$B$39,组队产出!$P$25:$P$39)*OFFSET($C$1,MATCH(V$12,$C$2:$C$7,0),MATCH($T$11,$D$12:$G$12,0))</f>
        <v>2320.8</v>
      </c>
      <c r="W253" s="163">
        <f ca="1">竞技场!$G$3*OFFSET($C$1,MATCH(W$12,$C$2:$C$7,0),MATCH($T$11,$D$12:$G$12,0))</f>
        <v>2100</v>
      </c>
      <c r="X25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3" s="23">
        <f>任务!$G$6+任务!$G$9+IF(MOD(S253,7)=0,任务!$N$9+任务!$O$6,0)</f>
        <v>895</v>
      </c>
      <c r="Z253" s="25">
        <f>公会!$U$11</f>
        <v>2766.62857142857</v>
      </c>
      <c r="AA253" s="163" t="e">
        <f ca="1">_xlfn.XLOOKUP(OFFSET($C$12,$I253,MATCH($T$11,$D$12:$G$12,0)),巡逻产出!$B$311:$B$610,巡逻产出!$Q$311:$Q$610)*OFFSET($C$1,MATCH(AA$12,$C$2:$C$7,0),MATCH($T$11,$D$12:$G$12,0))</f>
        <v>#N/A</v>
      </c>
      <c r="AC253" s="160">
        <v>241</v>
      </c>
      <c r="AD253" s="163" t="e">
        <f ca="1">_xlfn.XLOOKUP(OFFSET($C$12,$I253,MATCH($AD$11,$D$12:$G$12,0)),主线推图!$B$313:$B$612,主线推图!$P$313:$P$612)*OFFSET($C$1,MATCH(AD$12,$C$2:$C$7,0),MATCH($AD$11,$D$12:$G$12,0))</f>
        <v>#N/A</v>
      </c>
      <c r="AE253" s="163" t="e">
        <f ca="1">_xlfn.XLOOKUP(OFFSET($C$12,$I253,MATCH($AD$11,$D$12:$G$12,0)),巡逻产出!$B$311:$B$610,巡逻产出!$R$311:$R$610)*OFFSET($C$1,MATCH(AE$12,$C$2:$C$7,0),MATCH($AD$11,$D$12:$G$12,0))</f>
        <v>#N/A</v>
      </c>
      <c r="AF253" s="163" t="e">
        <f ca="1">_xlfn.XLOOKUP(MAX(INT((OFFSET($C$12,$I253,MATCH($AD$11,$D$12:$G$12,0))-6)/10),1),组队产出!$B$25:$B$39,组队产出!$P$25:$P$39)*OFFSET($C$1,MATCH(AF$12,$C$2:$C$7,0),MATCH($AD$11,$D$12:$G$12,0))</f>
        <v>#N/A</v>
      </c>
      <c r="AG253" s="163">
        <f ca="1">竞技场!$G$3*OFFSET($C$1,MATCH(AG$12,$C$2:$C$7,0),MATCH($AD$11,$D$12:$G$12,0))</f>
        <v>3150</v>
      </c>
      <c r="AH25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3" s="23">
        <f>任务!$G$6+任务!$G$9+IF(MOD(AC253,7)=0,任务!$N$9+任务!$O$6,0)</f>
        <v>895</v>
      </c>
      <c r="AJ253" s="25">
        <f>公会!$U$11</f>
        <v>2766.62857142857</v>
      </c>
      <c r="AK253" s="163" t="e">
        <f ca="1">_xlfn.XLOOKUP(OFFSET($C$12,$I253,MATCH($AD$11,$D$12:$G$12,0)),巡逻产出!$B$311:$B$610,巡逻产出!$Q$311:$Q$610)*OFFSET($C$1,MATCH(AK$12,$C$2:$C$7,0),MATCH($AD$11,$D$12:$G$12,0))</f>
        <v>#N/A</v>
      </c>
      <c r="AM253" s="164">
        <v>241</v>
      </c>
      <c r="AN253" s="165">
        <f t="shared" si="29"/>
        <v>28055</v>
      </c>
      <c r="AO253" s="165">
        <f t="shared" si="30"/>
        <v>35209</v>
      </c>
      <c r="AP253" s="165">
        <f t="shared" si="31"/>
        <v>55896</v>
      </c>
      <c r="AQ253" s="165">
        <f t="shared" si="32"/>
        <v>73616</v>
      </c>
    </row>
    <row r="254" spans="3:43">
      <c r="C254" s="160">
        <v>242</v>
      </c>
      <c r="D254" s="169">
        <v>176</v>
      </c>
      <c r="E254" s="170">
        <f t="shared" si="27"/>
        <v>135.25</v>
      </c>
      <c r="F254" s="169">
        <f t="shared" si="28"/>
        <v>161.549999999999</v>
      </c>
      <c r="G254" s="163">
        <f t="shared" si="34"/>
        <v>244</v>
      </c>
      <c r="I254" s="160">
        <v>242</v>
      </c>
      <c r="J254" s="163" t="e">
        <f ca="1">_xlfn.XLOOKUP(OFFSET($C$12,$I254,MATCH($J$11,$D$12:$G$12,0)),主线推图!$B$313:$B$612,主线推图!$P$313:$P$612)*OFFSET($C$1,MATCH(J$12,$C$2:$C$7,0),MATCH($J$11,$D$12:$G$12,0))</f>
        <v>#N/A</v>
      </c>
      <c r="K254" s="163" t="e">
        <f ca="1">_xlfn.XLOOKUP(OFFSET($C$12,$I254,MATCH($J$11,$D$12:$G$12,0)),巡逻产出!$B$311:$B$610,巡逻产出!$R$311:$R$610)*OFFSET($C$1,MATCH(K$12,$C$2:$C$7,0),MATCH($J$11,$D$12:$G$12,0))</f>
        <v>#N/A</v>
      </c>
      <c r="L254" s="163">
        <f ca="1">_xlfn.XLOOKUP(MAX(INT((OFFSET($C$12,$I254,MATCH($J$11,$D$12:$G$12,0))-6)/10),1),组队产出!$B$25:$B$39,组队产出!$P$25:$P$39)*OFFSET($C$1,MATCH(L$12,$C$2:$C$7,0),MATCH($J$11,$D$12:$G$12,0))</f>
        <v>1130.4</v>
      </c>
      <c r="M254" s="163">
        <f ca="1">竞技场!$G$3*OFFSET($C$1,MATCH(M$12,$C$2:$C$7,0),MATCH($J$11,$D$12:$G$12,0))</f>
        <v>1050</v>
      </c>
      <c r="N25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4" s="23">
        <f>任务!$G$6+任务!$G$9+IF(MOD(I254,7)=0,任务!$N$9+任务!$O$6,0)</f>
        <v>895</v>
      </c>
      <c r="P254" s="25">
        <f>公会!$U$11</f>
        <v>2766.62857142857</v>
      </c>
      <c r="Q254" s="163" t="e">
        <f ca="1">_xlfn.XLOOKUP(OFFSET($C$12,$I254,MATCH($J$11,$D$12:$G$12,0)),巡逻产出!$B$311:$B$610,巡逻产出!$Q$311:$Q$610)*OFFSET($C$1,MATCH(Q$12,$C$2:$C$7,0),MATCH($J$11,$D$12:$G$12,0))</f>
        <v>#N/A</v>
      </c>
      <c r="S254" s="160">
        <v>242</v>
      </c>
      <c r="T254" s="163" t="e">
        <f ca="1">_xlfn.XLOOKUP(OFFSET($C$12,$I254,MATCH($T$11,$D$12:$G$12,0)),主线推图!$B$313:$B$612,主线推图!$P$313:$P$612)*OFFSET($C$1,MATCH(T$12,$C$2:$C$7,0),MATCH($T$11,$D$12:$G$12,0))</f>
        <v>#N/A</v>
      </c>
      <c r="U254" s="163" t="e">
        <f ca="1">_xlfn.XLOOKUP(OFFSET($C$12,$I254,MATCH($T$11,$D$12:$G$12,0)),巡逻产出!$B$311:$B$610,巡逻产出!$R$311:$R$610)*OFFSET($C$1,MATCH(U$12,$C$2:$C$7,0),MATCH($T$11,$D$12:$G$12,0))</f>
        <v>#N/A</v>
      </c>
      <c r="V254" s="163">
        <f ca="1">_xlfn.XLOOKUP(MAX(INT((OFFSET($C$12,$I254,MATCH($T$11,$D$12:$G$12,0))-6)/10),1),组队产出!$B$25:$B$39,组队产出!$P$25:$P$39)*OFFSET($C$1,MATCH(V$12,$C$2:$C$7,0),MATCH($T$11,$D$12:$G$12,0))</f>
        <v>2320.8</v>
      </c>
      <c r="W254" s="163">
        <f ca="1">竞技场!$G$3*OFFSET($C$1,MATCH(W$12,$C$2:$C$7,0),MATCH($T$11,$D$12:$G$12,0))</f>
        <v>2100</v>
      </c>
      <c r="X25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4" s="23">
        <f>任务!$G$6+任务!$G$9+IF(MOD(S254,7)=0,任务!$N$9+任务!$O$6,0)</f>
        <v>895</v>
      </c>
      <c r="Z254" s="25">
        <f>公会!$U$11</f>
        <v>2766.62857142857</v>
      </c>
      <c r="AA254" s="163" t="e">
        <f ca="1">_xlfn.XLOOKUP(OFFSET($C$12,$I254,MATCH($T$11,$D$12:$G$12,0)),巡逻产出!$B$311:$B$610,巡逻产出!$Q$311:$Q$610)*OFFSET($C$1,MATCH(AA$12,$C$2:$C$7,0),MATCH($T$11,$D$12:$G$12,0))</f>
        <v>#N/A</v>
      </c>
      <c r="AC254" s="160">
        <v>242</v>
      </c>
      <c r="AD254" s="163">
        <f ca="1">_xlfn.XLOOKUP(OFFSET($C$12,$I254,MATCH($AD$11,$D$12:$G$12,0)),主线推图!$B$313:$B$612,主线推图!$P$313:$P$612)*OFFSET($C$1,MATCH(AD$12,$C$2:$C$7,0),MATCH($AD$11,$D$12:$G$12,0))</f>
        <v>3482.6</v>
      </c>
      <c r="AE254" s="163">
        <f ca="1">_xlfn.XLOOKUP(OFFSET($C$12,$I254,MATCH($AD$11,$D$12:$G$12,0)),巡逻产出!$B$311:$B$610,巡逻产出!$R$311:$R$610)*OFFSET($C$1,MATCH(AE$12,$C$2:$C$7,0),MATCH($AD$11,$D$12:$G$12,0))</f>
        <v>0</v>
      </c>
      <c r="AF254" s="163" t="e">
        <f ca="1">_xlfn.XLOOKUP(MAX(INT((OFFSET($C$12,$I254,MATCH($AD$11,$D$12:$G$12,0))-6)/10),1),组队产出!$B$25:$B$39,组队产出!$P$25:$P$39)*OFFSET($C$1,MATCH(AF$12,$C$2:$C$7,0),MATCH($AD$11,$D$12:$G$12,0))</f>
        <v>#N/A</v>
      </c>
      <c r="AG254" s="163">
        <f ca="1">竞技场!$G$3*OFFSET($C$1,MATCH(AG$12,$C$2:$C$7,0),MATCH($AD$11,$D$12:$G$12,0))</f>
        <v>3150</v>
      </c>
      <c r="AH25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4" s="23">
        <f>任务!$G$6+任务!$G$9+IF(MOD(AC254,7)=0,任务!$N$9+任务!$O$6,0)</f>
        <v>895</v>
      </c>
      <c r="AJ254" s="25">
        <f>公会!$U$11</f>
        <v>2766.62857142857</v>
      </c>
      <c r="AK254" s="163">
        <f ca="1">_xlfn.XLOOKUP(OFFSET($C$12,$I254,MATCH($AD$11,$D$12:$G$12,0)),巡逻产出!$B$311:$B$610,巡逻产出!$Q$311:$Q$610)*OFFSET($C$1,MATCH(AK$12,$C$2:$C$7,0),MATCH($AD$11,$D$12:$G$12,0))</f>
        <v>2411.448</v>
      </c>
      <c r="AM254" s="164">
        <v>242</v>
      </c>
      <c r="AN254" s="165">
        <f t="shared" si="29"/>
        <v>28168</v>
      </c>
      <c r="AO254" s="165">
        <f t="shared" si="30"/>
        <v>35352</v>
      </c>
      <c r="AP254" s="165">
        <f t="shared" si="31"/>
        <v>56124</v>
      </c>
      <c r="AQ254" s="165">
        <f t="shared" si="32"/>
        <v>73918</v>
      </c>
    </row>
    <row r="255" spans="3:43">
      <c r="C255" s="160">
        <v>243</v>
      </c>
      <c r="D255" s="169">
        <v>176</v>
      </c>
      <c r="E255" s="170">
        <f t="shared" ref="E255:E312" si="36">E254+0.25</f>
        <v>135.5</v>
      </c>
      <c r="F255" s="169">
        <f t="shared" ref="F255:F312" si="37">F254+0.35</f>
        <v>161.899999999999</v>
      </c>
      <c r="G255" s="163">
        <f t="shared" si="34"/>
        <v>244.5</v>
      </c>
      <c r="I255" s="160">
        <v>243</v>
      </c>
      <c r="J255" s="163" t="e">
        <f ca="1">_xlfn.XLOOKUP(OFFSET($C$12,$I255,MATCH($J$11,$D$12:$G$12,0)),主线推图!$B$313:$B$612,主线推图!$P$313:$P$612)*OFFSET($C$1,MATCH(J$12,$C$2:$C$7,0),MATCH($J$11,$D$12:$G$12,0))</f>
        <v>#N/A</v>
      </c>
      <c r="K255" s="163" t="e">
        <f ca="1">_xlfn.XLOOKUP(OFFSET($C$12,$I255,MATCH($J$11,$D$12:$G$12,0)),巡逻产出!$B$311:$B$610,巡逻产出!$R$311:$R$610)*OFFSET($C$1,MATCH(K$12,$C$2:$C$7,0),MATCH($J$11,$D$12:$G$12,0))</f>
        <v>#N/A</v>
      </c>
      <c r="L255" s="163">
        <f ca="1">_xlfn.XLOOKUP(MAX(INT((OFFSET($C$12,$I255,MATCH($J$11,$D$12:$G$12,0))-6)/10),1),组队产出!$B$25:$B$39,组队产出!$P$25:$P$39)*OFFSET($C$1,MATCH(L$12,$C$2:$C$7,0),MATCH($J$11,$D$12:$G$12,0))</f>
        <v>1130.4</v>
      </c>
      <c r="M255" s="163">
        <f ca="1">竞技场!$G$3*OFFSET($C$1,MATCH(M$12,$C$2:$C$7,0),MATCH($J$11,$D$12:$G$12,0))</f>
        <v>1050</v>
      </c>
      <c r="N25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5" s="23">
        <f>任务!$G$6+任务!$G$9+IF(MOD(I255,7)=0,任务!$N$9+任务!$O$6,0)</f>
        <v>895</v>
      </c>
      <c r="P255" s="25">
        <f>公会!$U$11</f>
        <v>2766.62857142857</v>
      </c>
      <c r="Q255" s="163" t="e">
        <f ca="1">_xlfn.XLOOKUP(OFFSET($C$12,$I255,MATCH($J$11,$D$12:$G$12,0)),巡逻产出!$B$311:$B$610,巡逻产出!$Q$311:$Q$610)*OFFSET($C$1,MATCH(Q$12,$C$2:$C$7,0),MATCH($J$11,$D$12:$G$12,0))</f>
        <v>#N/A</v>
      </c>
      <c r="S255" s="160">
        <v>243</v>
      </c>
      <c r="T255" s="163" t="e">
        <f ca="1">_xlfn.XLOOKUP(OFFSET($C$12,$I255,MATCH($T$11,$D$12:$G$12,0)),主线推图!$B$313:$B$612,主线推图!$P$313:$P$612)*OFFSET($C$1,MATCH(T$12,$C$2:$C$7,0),MATCH($T$11,$D$12:$G$12,0))</f>
        <v>#N/A</v>
      </c>
      <c r="U255" s="163" t="e">
        <f ca="1">_xlfn.XLOOKUP(OFFSET($C$12,$I255,MATCH($T$11,$D$12:$G$12,0)),巡逻产出!$B$311:$B$610,巡逻产出!$R$311:$R$610)*OFFSET($C$1,MATCH(U$12,$C$2:$C$7,0),MATCH($T$11,$D$12:$G$12,0))</f>
        <v>#N/A</v>
      </c>
      <c r="V255" s="163">
        <f ca="1">_xlfn.XLOOKUP(MAX(INT((OFFSET($C$12,$I255,MATCH($T$11,$D$12:$G$12,0))-6)/10),1),组队产出!$B$25:$B$39,组队产出!$P$25:$P$39)*OFFSET($C$1,MATCH(V$12,$C$2:$C$7,0),MATCH($T$11,$D$12:$G$12,0))</f>
        <v>2320.8</v>
      </c>
      <c r="W255" s="163">
        <f ca="1">竞技场!$G$3*OFFSET($C$1,MATCH(W$12,$C$2:$C$7,0),MATCH($T$11,$D$12:$G$12,0))</f>
        <v>2100</v>
      </c>
      <c r="X25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5" s="23">
        <f>任务!$G$6+任务!$G$9+IF(MOD(S255,7)=0,任务!$N$9+任务!$O$6,0)</f>
        <v>895</v>
      </c>
      <c r="Z255" s="25">
        <f>公会!$U$11</f>
        <v>2766.62857142857</v>
      </c>
      <c r="AA255" s="163" t="e">
        <f ca="1">_xlfn.XLOOKUP(OFFSET($C$12,$I255,MATCH($T$11,$D$12:$G$12,0)),巡逻产出!$B$311:$B$610,巡逻产出!$Q$311:$Q$610)*OFFSET($C$1,MATCH(AA$12,$C$2:$C$7,0),MATCH($T$11,$D$12:$G$12,0))</f>
        <v>#N/A</v>
      </c>
      <c r="AC255" s="160">
        <v>243</v>
      </c>
      <c r="AD255" s="163" t="e">
        <f ca="1">_xlfn.XLOOKUP(OFFSET($C$12,$I255,MATCH($AD$11,$D$12:$G$12,0)),主线推图!$B$313:$B$612,主线推图!$P$313:$P$612)*OFFSET($C$1,MATCH(AD$12,$C$2:$C$7,0),MATCH($AD$11,$D$12:$G$12,0))</f>
        <v>#N/A</v>
      </c>
      <c r="AE255" s="163" t="e">
        <f ca="1">_xlfn.XLOOKUP(OFFSET($C$12,$I255,MATCH($AD$11,$D$12:$G$12,0)),巡逻产出!$B$311:$B$610,巡逻产出!$R$311:$R$610)*OFFSET($C$1,MATCH(AE$12,$C$2:$C$7,0),MATCH($AD$11,$D$12:$G$12,0))</f>
        <v>#N/A</v>
      </c>
      <c r="AF255" s="163" t="e">
        <f ca="1">_xlfn.XLOOKUP(MAX(INT((OFFSET($C$12,$I255,MATCH($AD$11,$D$12:$G$12,0))-6)/10),1),组队产出!$B$25:$B$39,组队产出!$P$25:$P$39)*OFFSET($C$1,MATCH(AF$12,$C$2:$C$7,0),MATCH($AD$11,$D$12:$G$12,0))</f>
        <v>#N/A</v>
      </c>
      <c r="AG255" s="163">
        <f ca="1">竞技场!$G$3*OFFSET($C$1,MATCH(AG$12,$C$2:$C$7,0),MATCH($AD$11,$D$12:$G$12,0))</f>
        <v>3150</v>
      </c>
      <c r="AH25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5" s="23">
        <f>任务!$G$6+任务!$G$9+IF(MOD(AC255,7)=0,任务!$N$9+任务!$O$6,0)</f>
        <v>895</v>
      </c>
      <c r="AJ255" s="25">
        <f>公会!$U$11</f>
        <v>2766.62857142857</v>
      </c>
      <c r="AK255" s="163" t="e">
        <f ca="1">_xlfn.XLOOKUP(OFFSET($C$12,$I255,MATCH($AD$11,$D$12:$G$12,0)),巡逻产出!$B$311:$B$610,巡逻产出!$Q$311:$Q$610)*OFFSET($C$1,MATCH(AK$12,$C$2:$C$7,0),MATCH($AD$11,$D$12:$G$12,0))</f>
        <v>#N/A</v>
      </c>
      <c r="AM255" s="164">
        <v>243</v>
      </c>
      <c r="AN255" s="165">
        <f t="shared" si="29"/>
        <v>28282</v>
      </c>
      <c r="AO255" s="165">
        <f t="shared" si="30"/>
        <v>35495</v>
      </c>
      <c r="AP255" s="165">
        <f t="shared" si="31"/>
        <v>56353</v>
      </c>
      <c r="AQ255" s="165">
        <f t="shared" si="32"/>
        <v>74220</v>
      </c>
    </row>
    <row r="256" spans="3:43">
      <c r="C256" s="160">
        <v>244</v>
      </c>
      <c r="D256" s="169">
        <v>176</v>
      </c>
      <c r="E256" s="170">
        <f t="shared" si="36"/>
        <v>135.75</v>
      </c>
      <c r="F256" s="169">
        <f t="shared" si="37"/>
        <v>162.249999999999</v>
      </c>
      <c r="G256" s="163">
        <f t="shared" si="34"/>
        <v>245</v>
      </c>
      <c r="I256" s="160">
        <v>244</v>
      </c>
      <c r="J256" s="163" t="e">
        <f ca="1">_xlfn.XLOOKUP(OFFSET($C$12,$I256,MATCH($J$11,$D$12:$G$12,0)),主线推图!$B$313:$B$612,主线推图!$P$313:$P$612)*OFFSET($C$1,MATCH(J$12,$C$2:$C$7,0),MATCH($J$11,$D$12:$G$12,0))</f>
        <v>#N/A</v>
      </c>
      <c r="K256" s="163" t="e">
        <f ca="1">_xlfn.XLOOKUP(OFFSET($C$12,$I256,MATCH($J$11,$D$12:$G$12,0)),巡逻产出!$B$311:$B$610,巡逻产出!$R$311:$R$610)*OFFSET($C$1,MATCH(K$12,$C$2:$C$7,0),MATCH($J$11,$D$12:$G$12,0))</f>
        <v>#N/A</v>
      </c>
      <c r="L256" s="163">
        <f ca="1">_xlfn.XLOOKUP(MAX(INT((OFFSET($C$12,$I256,MATCH($J$11,$D$12:$G$12,0))-6)/10),1),组队产出!$B$25:$B$39,组队产出!$P$25:$P$39)*OFFSET($C$1,MATCH(L$12,$C$2:$C$7,0),MATCH($J$11,$D$12:$G$12,0))</f>
        <v>1130.4</v>
      </c>
      <c r="M256" s="163">
        <f ca="1">竞技场!$G$3*OFFSET($C$1,MATCH(M$12,$C$2:$C$7,0),MATCH($J$11,$D$12:$G$12,0))</f>
        <v>1050</v>
      </c>
      <c r="N25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6" s="23">
        <f>任务!$G$6+任务!$G$9+IF(MOD(I256,7)=0,任务!$N$9+任务!$O$6,0)</f>
        <v>895</v>
      </c>
      <c r="P256" s="25">
        <f>公会!$U$11</f>
        <v>2766.62857142857</v>
      </c>
      <c r="Q256" s="163" t="e">
        <f ca="1">_xlfn.XLOOKUP(OFFSET($C$12,$I256,MATCH($J$11,$D$12:$G$12,0)),巡逻产出!$B$311:$B$610,巡逻产出!$Q$311:$Q$610)*OFFSET($C$1,MATCH(Q$12,$C$2:$C$7,0),MATCH($J$11,$D$12:$G$12,0))</f>
        <v>#N/A</v>
      </c>
      <c r="S256" s="160">
        <v>244</v>
      </c>
      <c r="T256" s="163" t="e">
        <f ca="1">_xlfn.XLOOKUP(OFFSET($C$12,$I256,MATCH($T$11,$D$12:$G$12,0)),主线推图!$B$313:$B$612,主线推图!$P$313:$P$612)*OFFSET($C$1,MATCH(T$12,$C$2:$C$7,0),MATCH($T$11,$D$12:$G$12,0))</f>
        <v>#N/A</v>
      </c>
      <c r="U256" s="163" t="e">
        <f ca="1">_xlfn.XLOOKUP(OFFSET($C$12,$I256,MATCH($T$11,$D$12:$G$12,0)),巡逻产出!$B$311:$B$610,巡逻产出!$R$311:$R$610)*OFFSET($C$1,MATCH(U$12,$C$2:$C$7,0),MATCH($T$11,$D$12:$G$12,0))</f>
        <v>#N/A</v>
      </c>
      <c r="V256" s="163">
        <f ca="1">_xlfn.XLOOKUP(MAX(INT((OFFSET($C$12,$I256,MATCH($T$11,$D$12:$G$12,0))-6)/10),1),组队产出!$B$25:$B$39,组队产出!$P$25:$P$39)*OFFSET($C$1,MATCH(V$12,$C$2:$C$7,0),MATCH($T$11,$D$12:$G$12,0))</f>
        <v>2320.8</v>
      </c>
      <c r="W256" s="163">
        <f ca="1">竞技场!$G$3*OFFSET($C$1,MATCH(W$12,$C$2:$C$7,0),MATCH($T$11,$D$12:$G$12,0))</f>
        <v>2100</v>
      </c>
      <c r="X25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6" s="23">
        <f>任务!$G$6+任务!$G$9+IF(MOD(S256,7)=0,任务!$N$9+任务!$O$6,0)</f>
        <v>895</v>
      </c>
      <c r="Z256" s="25">
        <f>公会!$U$11</f>
        <v>2766.62857142857</v>
      </c>
      <c r="AA256" s="163" t="e">
        <f ca="1">_xlfn.XLOOKUP(OFFSET($C$12,$I256,MATCH($T$11,$D$12:$G$12,0)),巡逻产出!$B$311:$B$610,巡逻产出!$Q$311:$Q$610)*OFFSET($C$1,MATCH(AA$12,$C$2:$C$7,0),MATCH($T$11,$D$12:$G$12,0))</f>
        <v>#N/A</v>
      </c>
      <c r="AC256" s="160">
        <v>244</v>
      </c>
      <c r="AD256" s="163">
        <f ca="1">_xlfn.XLOOKUP(OFFSET($C$12,$I256,MATCH($AD$11,$D$12:$G$12,0)),主线推图!$B$313:$B$612,主线推图!$P$313:$P$612)*OFFSET($C$1,MATCH(AD$12,$C$2:$C$7,0),MATCH($AD$11,$D$12:$G$12,0))</f>
        <v>3484.8</v>
      </c>
      <c r="AE256" s="163">
        <f ca="1">_xlfn.XLOOKUP(OFFSET($C$12,$I256,MATCH($AD$11,$D$12:$G$12,0)),巡逻产出!$B$311:$B$610,巡逻产出!$R$311:$R$610)*OFFSET($C$1,MATCH(AE$12,$C$2:$C$7,0),MATCH($AD$11,$D$12:$G$12,0))</f>
        <v>0</v>
      </c>
      <c r="AF256" s="163" t="e">
        <f ca="1">_xlfn.XLOOKUP(MAX(INT((OFFSET($C$12,$I256,MATCH($AD$11,$D$12:$G$12,0))-6)/10),1),组队产出!$B$25:$B$39,组队产出!$P$25:$P$39)*OFFSET($C$1,MATCH(AF$12,$C$2:$C$7,0),MATCH($AD$11,$D$12:$G$12,0))</f>
        <v>#N/A</v>
      </c>
      <c r="AG256" s="163">
        <f ca="1">竞技场!$G$3*OFFSET($C$1,MATCH(AG$12,$C$2:$C$7,0),MATCH($AD$11,$D$12:$G$12,0))</f>
        <v>3150</v>
      </c>
      <c r="AH25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6" s="23">
        <f>任务!$G$6+任务!$G$9+IF(MOD(AC256,7)=0,任务!$N$9+任务!$O$6,0)</f>
        <v>895</v>
      </c>
      <c r="AJ256" s="25">
        <f>公会!$U$11</f>
        <v>2766.62857142857</v>
      </c>
      <c r="AK256" s="163">
        <f ca="1">_xlfn.XLOOKUP(OFFSET($C$12,$I256,MATCH($AD$11,$D$12:$G$12,0)),巡逻产出!$B$311:$B$610,巡逻产出!$Q$311:$Q$610)*OFFSET($C$1,MATCH(AK$12,$C$2:$C$7,0),MATCH($AD$11,$D$12:$G$12,0))</f>
        <v>2413.008</v>
      </c>
      <c r="AM256" s="164">
        <v>244</v>
      </c>
      <c r="AN256" s="165">
        <f t="shared" si="29"/>
        <v>28395</v>
      </c>
      <c r="AO256" s="165">
        <f t="shared" si="30"/>
        <v>35638</v>
      </c>
      <c r="AP256" s="165">
        <f t="shared" si="31"/>
        <v>56581</v>
      </c>
      <c r="AQ256" s="165">
        <f t="shared" si="32"/>
        <v>74522</v>
      </c>
    </row>
    <row r="257" spans="3:43">
      <c r="C257" s="160">
        <v>245</v>
      </c>
      <c r="D257" s="169">
        <v>176</v>
      </c>
      <c r="E257" s="170">
        <f t="shared" si="36"/>
        <v>136</v>
      </c>
      <c r="F257" s="169">
        <f t="shared" si="37"/>
        <v>162.599999999999</v>
      </c>
      <c r="G257" s="163">
        <f t="shared" si="34"/>
        <v>245.5</v>
      </c>
      <c r="I257" s="160">
        <v>245</v>
      </c>
      <c r="J257" s="163" t="e">
        <f ca="1">_xlfn.XLOOKUP(OFFSET($C$12,$I257,MATCH($J$11,$D$12:$G$12,0)),主线推图!$B$313:$B$612,主线推图!$P$313:$P$612)*OFFSET($C$1,MATCH(J$12,$C$2:$C$7,0),MATCH($J$11,$D$12:$G$12,0))</f>
        <v>#N/A</v>
      </c>
      <c r="K257" s="163" t="e">
        <f ca="1">_xlfn.XLOOKUP(OFFSET($C$12,$I257,MATCH($J$11,$D$12:$G$12,0)),巡逻产出!$B$311:$B$610,巡逻产出!$R$311:$R$610)*OFFSET($C$1,MATCH(K$12,$C$2:$C$7,0),MATCH($J$11,$D$12:$G$12,0))</f>
        <v>#N/A</v>
      </c>
      <c r="L257" s="163">
        <f ca="1">_xlfn.XLOOKUP(MAX(INT((OFFSET($C$12,$I257,MATCH($J$11,$D$12:$G$12,0))-6)/10),1),组队产出!$B$25:$B$39,组队产出!$P$25:$P$39)*OFFSET($C$1,MATCH(L$12,$C$2:$C$7,0),MATCH($J$11,$D$12:$G$12,0))</f>
        <v>1130.4</v>
      </c>
      <c r="M257" s="163">
        <f ca="1">竞技场!$G$3*OFFSET($C$1,MATCH(M$12,$C$2:$C$7,0),MATCH($J$11,$D$12:$G$12,0))</f>
        <v>1050</v>
      </c>
      <c r="N25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7" s="23">
        <f>任务!$G$6+任务!$G$9+IF(MOD(I257,7)=0,任务!$N$9+任务!$O$6,0)</f>
        <v>3125</v>
      </c>
      <c r="P257" s="25">
        <f>公会!$U$11</f>
        <v>2766.62857142857</v>
      </c>
      <c r="Q257" s="163" t="e">
        <f ca="1">_xlfn.XLOOKUP(OFFSET($C$12,$I257,MATCH($J$11,$D$12:$G$12,0)),巡逻产出!$B$311:$B$610,巡逻产出!$Q$311:$Q$610)*OFFSET($C$1,MATCH(Q$12,$C$2:$C$7,0),MATCH($J$11,$D$12:$G$12,0))</f>
        <v>#N/A</v>
      </c>
      <c r="S257" s="160">
        <v>245</v>
      </c>
      <c r="T257" s="163" t="e">
        <f ca="1">_xlfn.XLOOKUP(OFFSET($C$12,$I257,MATCH($T$11,$D$12:$G$12,0)),主线推图!$B$313:$B$612,主线推图!$P$313:$P$612)*OFFSET($C$1,MATCH(T$12,$C$2:$C$7,0),MATCH($T$11,$D$12:$G$12,0))</f>
        <v>#N/A</v>
      </c>
      <c r="U257" s="163" t="e">
        <f ca="1">_xlfn.XLOOKUP(OFFSET($C$12,$I257,MATCH($T$11,$D$12:$G$12,0)),巡逻产出!$B$311:$B$610,巡逻产出!$R$311:$R$610)*OFFSET($C$1,MATCH(U$12,$C$2:$C$7,0),MATCH($T$11,$D$12:$G$12,0))</f>
        <v>#N/A</v>
      </c>
      <c r="V257" s="163">
        <f ca="1">_xlfn.XLOOKUP(MAX(INT((OFFSET($C$12,$I257,MATCH($T$11,$D$12:$G$12,0))-6)/10),1),组队产出!$B$25:$B$39,组队产出!$P$25:$P$39)*OFFSET($C$1,MATCH(V$12,$C$2:$C$7,0),MATCH($T$11,$D$12:$G$12,0))</f>
        <v>2320.8</v>
      </c>
      <c r="W257" s="163">
        <f ca="1">竞技场!$G$3*OFFSET($C$1,MATCH(W$12,$C$2:$C$7,0),MATCH($T$11,$D$12:$G$12,0))</f>
        <v>2100</v>
      </c>
      <c r="X25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7" s="23">
        <f>任务!$G$6+任务!$G$9+IF(MOD(S257,7)=0,任务!$N$9+任务!$O$6,0)</f>
        <v>3125</v>
      </c>
      <c r="Z257" s="25">
        <f>公会!$U$11</f>
        <v>2766.62857142857</v>
      </c>
      <c r="AA257" s="163" t="e">
        <f ca="1">_xlfn.XLOOKUP(OFFSET($C$12,$I257,MATCH($T$11,$D$12:$G$12,0)),巡逻产出!$B$311:$B$610,巡逻产出!$Q$311:$Q$610)*OFFSET($C$1,MATCH(AA$12,$C$2:$C$7,0),MATCH($T$11,$D$12:$G$12,0))</f>
        <v>#N/A</v>
      </c>
      <c r="AC257" s="160">
        <v>245</v>
      </c>
      <c r="AD257" s="163" t="e">
        <f ca="1">_xlfn.XLOOKUP(OFFSET($C$12,$I257,MATCH($AD$11,$D$12:$G$12,0)),主线推图!$B$313:$B$612,主线推图!$P$313:$P$612)*OFFSET($C$1,MATCH(AD$12,$C$2:$C$7,0),MATCH($AD$11,$D$12:$G$12,0))</f>
        <v>#N/A</v>
      </c>
      <c r="AE257" s="163" t="e">
        <f ca="1">_xlfn.XLOOKUP(OFFSET($C$12,$I257,MATCH($AD$11,$D$12:$G$12,0)),巡逻产出!$B$311:$B$610,巡逻产出!$R$311:$R$610)*OFFSET($C$1,MATCH(AE$12,$C$2:$C$7,0),MATCH($AD$11,$D$12:$G$12,0))</f>
        <v>#N/A</v>
      </c>
      <c r="AF257" s="163" t="e">
        <f ca="1">_xlfn.XLOOKUP(MAX(INT((OFFSET($C$12,$I257,MATCH($AD$11,$D$12:$G$12,0))-6)/10),1),组队产出!$B$25:$B$39,组队产出!$P$25:$P$39)*OFFSET($C$1,MATCH(AF$12,$C$2:$C$7,0),MATCH($AD$11,$D$12:$G$12,0))</f>
        <v>#N/A</v>
      </c>
      <c r="AG257" s="163">
        <f ca="1">竞技场!$G$3*OFFSET($C$1,MATCH(AG$12,$C$2:$C$7,0),MATCH($AD$11,$D$12:$G$12,0))</f>
        <v>3150</v>
      </c>
      <c r="AH25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7" s="23">
        <f>任务!$G$6+任务!$G$9+IF(MOD(AC257,7)=0,任务!$N$9+任务!$O$6,0)</f>
        <v>3125</v>
      </c>
      <c r="AJ257" s="25">
        <f>公会!$U$11</f>
        <v>2766.62857142857</v>
      </c>
      <c r="AK257" s="163" t="e">
        <f ca="1">_xlfn.XLOOKUP(OFFSET($C$12,$I257,MATCH($AD$11,$D$12:$G$12,0)),巡逻产出!$B$311:$B$610,巡逻产出!$Q$311:$Q$610)*OFFSET($C$1,MATCH(AK$12,$C$2:$C$7,0),MATCH($AD$11,$D$12:$G$12,0))</f>
        <v>#N/A</v>
      </c>
      <c r="AM257" s="164">
        <v>245</v>
      </c>
      <c r="AN257" s="165">
        <f t="shared" si="29"/>
        <v>28509</v>
      </c>
      <c r="AO257" s="165">
        <f t="shared" si="30"/>
        <v>35781</v>
      </c>
      <c r="AP257" s="165">
        <f t="shared" si="31"/>
        <v>56810</v>
      </c>
      <c r="AQ257" s="165">
        <f t="shared" si="32"/>
        <v>74824</v>
      </c>
    </row>
    <row r="258" spans="3:43">
      <c r="C258" s="160">
        <v>246</v>
      </c>
      <c r="D258" s="169">
        <v>176</v>
      </c>
      <c r="E258" s="170">
        <f t="shared" si="36"/>
        <v>136.25</v>
      </c>
      <c r="F258" s="169">
        <f t="shared" si="37"/>
        <v>162.949999999999</v>
      </c>
      <c r="G258" s="163">
        <f t="shared" si="34"/>
        <v>246</v>
      </c>
      <c r="I258" s="160">
        <v>246</v>
      </c>
      <c r="J258" s="163" t="e">
        <f ca="1">_xlfn.XLOOKUP(OFFSET($C$12,$I258,MATCH($J$11,$D$12:$G$12,0)),主线推图!$B$313:$B$612,主线推图!$P$313:$P$612)*OFFSET($C$1,MATCH(J$12,$C$2:$C$7,0),MATCH($J$11,$D$12:$G$12,0))</f>
        <v>#N/A</v>
      </c>
      <c r="K258" s="163" t="e">
        <f ca="1">_xlfn.XLOOKUP(OFFSET($C$12,$I258,MATCH($J$11,$D$12:$G$12,0)),巡逻产出!$B$311:$B$610,巡逻产出!$R$311:$R$610)*OFFSET($C$1,MATCH(K$12,$C$2:$C$7,0),MATCH($J$11,$D$12:$G$12,0))</f>
        <v>#N/A</v>
      </c>
      <c r="L258" s="163">
        <f ca="1">_xlfn.XLOOKUP(MAX(INT((OFFSET($C$12,$I258,MATCH($J$11,$D$12:$G$12,0))-6)/10),1),组队产出!$B$25:$B$39,组队产出!$P$25:$P$39)*OFFSET($C$1,MATCH(L$12,$C$2:$C$7,0),MATCH($J$11,$D$12:$G$12,0))</f>
        <v>1130.4</v>
      </c>
      <c r="M258" s="163">
        <f ca="1">竞技场!$G$3*OFFSET($C$1,MATCH(M$12,$C$2:$C$7,0),MATCH($J$11,$D$12:$G$12,0))</f>
        <v>1050</v>
      </c>
      <c r="N25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8" s="23">
        <f>任务!$G$6+任务!$G$9+IF(MOD(I258,7)=0,任务!$N$9+任务!$O$6,0)</f>
        <v>895</v>
      </c>
      <c r="P258" s="25">
        <f>公会!$U$11</f>
        <v>2766.62857142857</v>
      </c>
      <c r="Q258" s="163" t="e">
        <f ca="1">_xlfn.XLOOKUP(OFFSET($C$12,$I258,MATCH($J$11,$D$12:$G$12,0)),巡逻产出!$B$311:$B$610,巡逻产出!$Q$311:$Q$610)*OFFSET($C$1,MATCH(Q$12,$C$2:$C$7,0),MATCH($J$11,$D$12:$G$12,0))</f>
        <v>#N/A</v>
      </c>
      <c r="S258" s="160">
        <v>246</v>
      </c>
      <c r="T258" s="163" t="e">
        <f ca="1">_xlfn.XLOOKUP(OFFSET($C$12,$I258,MATCH($T$11,$D$12:$G$12,0)),主线推图!$B$313:$B$612,主线推图!$P$313:$P$612)*OFFSET($C$1,MATCH(T$12,$C$2:$C$7,0),MATCH($T$11,$D$12:$G$12,0))</f>
        <v>#N/A</v>
      </c>
      <c r="U258" s="163" t="e">
        <f ca="1">_xlfn.XLOOKUP(OFFSET($C$12,$I258,MATCH($T$11,$D$12:$G$12,0)),巡逻产出!$B$311:$B$610,巡逻产出!$R$311:$R$610)*OFFSET($C$1,MATCH(U$12,$C$2:$C$7,0),MATCH($T$11,$D$12:$G$12,0))</f>
        <v>#N/A</v>
      </c>
      <c r="V258" s="163">
        <f ca="1">_xlfn.XLOOKUP(MAX(INT((OFFSET($C$12,$I258,MATCH($T$11,$D$12:$G$12,0))-6)/10),1),组队产出!$B$25:$B$39,组队产出!$P$25:$P$39)*OFFSET($C$1,MATCH(V$12,$C$2:$C$7,0),MATCH($T$11,$D$12:$G$12,0))</f>
        <v>2320.8</v>
      </c>
      <c r="W258" s="163">
        <f ca="1">竞技场!$G$3*OFFSET($C$1,MATCH(W$12,$C$2:$C$7,0),MATCH($T$11,$D$12:$G$12,0))</f>
        <v>2100</v>
      </c>
      <c r="X25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8" s="23">
        <f>任务!$G$6+任务!$G$9+IF(MOD(S258,7)=0,任务!$N$9+任务!$O$6,0)</f>
        <v>895</v>
      </c>
      <c r="Z258" s="25">
        <f>公会!$U$11</f>
        <v>2766.62857142857</v>
      </c>
      <c r="AA258" s="163" t="e">
        <f ca="1">_xlfn.XLOOKUP(OFFSET($C$12,$I258,MATCH($T$11,$D$12:$G$12,0)),巡逻产出!$B$311:$B$610,巡逻产出!$Q$311:$Q$610)*OFFSET($C$1,MATCH(AA$12,$C$2:$C$7,0),MATCH($T$11,$D$12:$G$12,0))</f>
        <v>#N/A</v>
      </c>
      <c r="AC258" s="160">
        <v>246</v>
      </c>
      <c r="AD258" s="163">
        <f ca="1">_xlfn.XLOOKUP(OFFSET($C$12,$I258,MATCH($AD$11,$D$12:$G$12,0)),主线推图!$B$313:$B$612,主线推图!$P$313:$P$612)*OFFSET($C$1,MATCH(AD$12,$C$2:$C$7,0),MATCH($AD$11,$D$12:$G$12,0))</f>
        <v>3487</v>
      </c>
      <c r="AE258" s="163">
        <f ca="1">_xlfn.XLOOKUP(OFFSET($C$12,$I258,MATCH($AD$11,$D$12:$G$12,0)),巡逻产出!$B$311:$B$610,巡逻产出!$R$311:$R$610)*OFFSET($C$1,MATCH(AE$12,$C$2:$C$7,0),MATCH($AD$11,$D$12:$G$12,0))</f>
        <v>0</v>
      </c>
      <c r="AF258" s="163" t="e">
        <f ca="1">_xlfn.XLOOKUP(MAX(INT((OFFSET($C$12,$I258,MATCH($AD$11,$D$12:$G$12,0))-6)/10),1),组队产出!$B$25:$B$39,组队产出!$P$25:$P$39)*OFFSET($C$1,MATCH(AF$12,$C$2:$C$7,0),MATCH($AD$11,$D$12:$G$12,0))</f>
        <v>#N/A</v>
      </c>
      <c r="AG258" s="163">
        <f ca="1">竞技场!$G$3*OFFSET($C$1,MATCH(AG$12,$C$2:$C$7,0),MATCH($AD$11,$D$12:$G$12,0))</f>
        <v>3150</v>
      </c>
      <c r="AH25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8" s="23">
        <f>任务!$G$6+任务!$G$9+IF(MOD(AC258,7)=0,任务!$N$9+任务!$O$6,0)</f>
        <v>895</v>
      </c>
      <c r="AJ258" s="25">
        <f>公会!$U$11</f>
        <v>2766.62857142857</v>
      </c>
      <c r="AK258" s="163">
        <f ca="1">_xlfn.XLOOKUP(OFFSET($C$12,$I258,MATCH($AD$11,$D$12:$G$12,0)),巡逻产出!$B$311:$B$610,巡逻产出!$Q$311:$Q$610)*OFFSET($C$1,MATCH(AK$12,$C$2:$C$7,0),MATCH($AD$11,$D$12:$G$12,0))</f>
        <v>2414.568</v>
      </c>
      <c r="AM258" s="164">
        <v>246</v>
      </c>
      <c r="AN258" s="165">
        <f t="shared" si="29"/>
        <v>28622</v>
      </c>
      <c r="AO258" s="165">
        <f t="shared" si="30"/>
        <v>35924</v>
      </c>
      <c r="AP258" s="165">
        <f t="shared" si="31"/>
        <v>57038</v>
      </c>
      <c r="AQ258" s="165">
        <f t="shared" si="32"/>
        <v>75126</v>
      </c>
    </row>
    <row r="259" spans="3:43">
      <c r="C259" s="160">
        <v>247</v>
      </c>
      <c r="D259" s="169">
        <v>176</v>
      </c>
      <c r="E259" s="170">
        <f t="shared" si="36"/>
        <v>136.5</v>
      </c>
      <c r="F259" s="169">
        <f t="shared" si="37"/>
        <v>163.299999999999</v>
      </c>
      <c r="G259" s="163">
        <f t="shared" si="34"/>
        <v>246.5</v>
      </c>
      <c r="I259" s="160">
        <v>247</v>
      </c>
      <c r="J259" s="163" t="e">
        <f ca="1">_xlfn.XLOOKUP(OFFSET($C$12,$I259,MATCH($J$11,$D$12:$G$12,0)),主线推图!$B$313:$B$612,主线推图!$P$313:$P$612)*OFFSET($C$1,MATCH(J$12,$C$2:$C$7,0),MATCH($J$11,$D$12:$G$12,0))</f>
        <v>#N/A</v>
      </c>
      <c r="K259" s="163" t="e">
        <f ca="1">_xlfn.XLOOKUP(OFFSET($C$12,$I259,MATCH($J$11,$D$12:$G$12,0)),巡逻产出!$B$311:$B$610,巡逻产出!$R$311:$R$610)*OFFSET($C$1,MATCH(K$12,$C$2:$C$7,0),MATCH($J$11,$D$12:$G$12,0))</f>
        <v>#N/A</v>
      </c>
      <c r="L259" s="163">
        <f ca="1">_xlfn.XLOOKUP(MAX(INT((OFFSET($C$12,$I259,MATCH($J$11,$D$12:$G$12,0))-6)/10),1),组队产出!$B$25:$B$39,组队产出!$P$25:$P$39)*OFFSET($C$1,MATCH(L$12,$C$2:$C$7,0),MATCH($J$11,$D$12:$G$12,0))</f>
        <v>1130.4</v>
      </c>
      <c r="M259" s="163">
        <f ca="1">竞技场!$G$3*OFFSET($C$1,MATCH(M$12,$C$2:$C$7,0),MATCH($J$11,$D$12:$G$12,0))</f>
        <v>1050</v>
      </c>
      <c r="N25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9" s="23">
        <f>任务!$G$6+任务!$G$9+IF(MOD(I259,7)=0,任务!$N$9+任务!$O$6,0)</f>
        <v>895</v>
      </c>
      <c r="P259" s="25">
        <f>公会!$U$11</f>
        <v>2766.62857142857</v>
      </c>
      <c r="Q259" s="163" t="e">
        <f ca="1">_xlfn.XLOOKUP(OFFSET($C$12,$I259,MATCH($J$11,$D$12:$G$12,0)),巡逻产出!$B$311:$B$610,巡逻产出!$Q$311:$Q$610)*OFFSET($C$1,MATCH(Q$12,$C$2:$C$7,0),MATCH($J$11,$D$12:$G$12,0))</f>
        <v>#N/A</v>
      </c>
      <c r="S259" s="160">
        <v>247</v>
      </c>
      <c r="T259" s="163" t="e">
        <f ca="1">_xlfn.XLOOKUP(OFFSET($C$12,$I259,MATCH($T$11,$D$12:$G$12,0)),主线推图!$B$313:$B$612,主线推图!$P$313:$P$612)*OFFSET($C$1,MATCH(T$12,$C$2:$C$7,0),MATCH($T$11,$D$12:$G$12,0))</f>
        <v>#N/A</v>
      </c>
      <c r="U259" s="163" t="e">
        <f ca="1">_xlfn.XLOOKUP(OFFSET($C$12,$I259,MATCH($T$11,$D$12:$G$12,0)),巡逻产出!$B$311:$B$610,巡逻产出!$R$311:$R$610)*OFFSET($C$1,MATCH(U$12,$C$2:$C$7,0),MATCH($T$11,$D$12:$G$12,0))</f>
        <v>#N/A</v>
      </c>
      <c r="V259" s="163">
        <f ca="1">_xlfn.XLOOKUP(MAX(INT((OFFSET($C$12,$I259,MATCH($T$11,$D$12:$G$12,0))-6)/10),1),组队产出!$B$25:$B$39,组队产出!$P$25:$P$39)*OFFSET($C$1,MATCH(V$12,$C$2:$C$7,0),MATCH($T$11,$D$12:$G$12,0))</f>
        <v>2320.8</v>
      </c>
      <c r="W259" s="163">
        <f ca="1">竞技场!$G$3*OFFSET($C$1,MATCH(W$12,$C$2:$C$7,0),MATCH($T$11,$D$12:$G$12,0))</f>
        <v>2100</v>
      </c>
      <c r="X25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9" s="23">
        <f>任务!$G$6+任务!$G$9+IF(MOD(S259,7)=0,任务!$N$9+任务!$O$6,0)</f>
        <v>895</v>
      </c>
      <c r="Z259" s="25">
        <f>公会!$U$11</f>
        <v>2766.62857142857</v>
      </c>
      <c r="AA259" s="163" t="e">
        <f ca="1">_xlfn.XLOOKUP(OFFSET($C$12,$I259,MATCH($T$11,$D$12:$G$12,0)),巡逻产出!$B$311:$B$610,巡逻产出!$Q$311:$Q$610)*OFFSET($C$1,MATCH(AA$12,$C$2:$C$7,0),MATCH($T$11,$D$12:$G$12,0))</f>
        <v>#N/A</v>
      </c>
      <c r="AC259" s="160">
        <v>247</v>
      </c>
      <c r="AD259" s="163" t="e">
        <f ca="1">_xlfn.XLOOKUP(OFFSET($C$12,$I259,MATCH($AD$11,$D$12:$G$12,0)),主线推图!$B$313:$B$612,主线推图!$P$313:$P$612)*OFFSET($C$1,MATCH(AD$12,$C$2:$C$7,0),MATCH($AD$11,$D$12:$G$12,0))</f>
        <v>#N/A</v>
      </c>
      <c r="AE259" s="163" t="e">
        <f ca="1">_xlfn.XLOOKUP(OFFSET($C$12,$I259,MATCH($AD$11,$D$12:$G$12,0)),巡逻产出!$B$311:$B$610,巡逻产出!$R$311:$R$610)*OFFSET($C$1,MATCH(AE$12,$C$2:$C$7,0),MATCH($AD$11,$D$12:$G$12,0))</f>
        <v>#N/A</v>
      </c>
      <c r="AF259" s="163" t="e">
        <f ca="1">_xlfn.XLOOKUP(MAX(INT((OFFSET($C$12,$I259,MATCH($AD$11,$D$12:$G$12,0))-6)/10),1),组队产出!$B$25:$B$39,组队产出!$P$25:$P$39)*OFFSET($C$1,MATCH(AF$12,$C$2:$C$7,0),MATCH($AD$11,$D$12:$G$12,0))</f>
        <v>#N/A</v>
      </c>
      <c r="AG259" s="163">
        <f ca="1">竞技场!$G$3*OFFSET($C$1,MATCH(AG$12,$C$2:$C$7,0),MATCH($AD$11,$D$12:$G$12,0))</f>
        <v>3150</v>
      </c>
      <c r="AH25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9" s="23">
        <f>任务!$G$6+任务!$G$9+IF(MOD(AC259,7)=0,任务!$N$9+任务!$O$6,0)</f>
        <v>895</v>
      </c>
      <c r="AJ259" s="25">
        <f>公会!$U$11</f>
        <v>2766.62857142857</v>
      </c>
      <c r="AK259" s="163" t="e">
        <f ca="1">_xlfn.XLOOKUP(OFFSET($C$12,$I259,MATCH($AD$11,$D$12:$G$12,0)),巡逻产出!$B$311:$B$610,巡逻产出!$Q$311:$Q$610)*OFFSET($C$1,MATCH(AK$12,$C$2:$C$7,0),MATCH($AD$11,$D$12:$G$12,0))</f>
        <v>#N/A</v>
      </c>
      <c r="AM259" s="164">
        <v>247</v>
      </c>
      <c r="AN259" s="165">
        <f t="shared" si="29"/>
        <v>28736</v>
      </c>
      <c r="AO259" s="165">
        <f t="shared" si="30"/>
        <v>36067</v>
      </c>
      <c r="AP259" s="165">
        <f t="shared" si="31"/>
        <v>57267</v>
      </c>
      <c r="AQ259" s="165">
        <f t="shared" si="32"/>
        <v>75428</v>
      </c>
    </row>
    <row r="260" spans="3:43">
      <c r="C260" s="160">
        <v>248</v>
      </c>
      <c r="D260" s="169">
        <v>176</v>
      </c>
      <c r="E260" s="170">
        <f t="shared" si="36"/>
        <v>136.75</v>
      </c>
      <c r="F260" s="169">
        <f t="shared" si="37"/>
        <v>163.649999999999</v>
      </c>
      <c r="G260" s="163">
        <f t="shared" si="34"/>
        <v>247</v>
      </c>
      <c r="I260" s="160">
        <v>248</v>
      </c>
      <c r="J260" s="163" t="e">
        <f ca="1">_xlfn.XLOOKUP(OFFSET($C$12,$I260,MATCH($J$11,$D$12:$G$12,0)),主线推图!$B$313:$B$612,主线推图!$P$313:$P$612)*OFFSET($C$1,MATCH(J$12,$C$2:$C$7,0),MATCH($J$11,$D$12:$G$12,0))</f>
        <v>#N/A</v>
      </c>
      <c r="K260" s="163" t="e">
        <f ca="1">_xlfn.XLOOKUP(OFFSET($C$12,$I260,MATCH($J$11,$D$12:$G$12,0)),巡逻产出!$B$311:$B$610,巡逻产出!$R$311:$R$610)*OFFSET($C$1,MATCH(K$12,$C$2:$C$7,0),MATCH($J$11,$D$12:$G$12,0))</f>
        <v>#N/A</v>
      </c>
      <c r="L260" s="163">
        <f ca="1">_xlfn.XLOOKUP(MAX(INT((OFFSET($C$12,$I260,MATCH($J$11,$D$12:$G$12,0))-6)/10),1),组队产出!$B$25:$B$39,组队产出!$P$25:$P$39)*OFFSET($C$1,MATCH(L$12,$C$2:$C$7,0),MATCH($J$11,$D$12:$G$12,0))</f>
        <v>1130.4</v>
      </c>
      <c r="M260" s="163">
        <f ca="1">竞技场!$G$3*OFFSET($C$1,MATCH(M$12,$C$2:$C$7,0),MATCH($J$11,$D$12:$G$12,0))</f>
        <v>1050</v>
      </c>
      <c r="N26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0" s="23">
        <f>任务!$G$6+任务!$G$9+IF(MOD(I260,7)=0,任务!$N$9+任务!$O$6,0)</f>
        <v>895</v>
      </c>
      <c r="P260" s="25">
        <f>公会!$U$11</f>
        <v>2766.62857142857</v>
      </c>
      <c r="Q260" s="163" t="e">
        <f ca="1">_xlfn.XLOOKUP(OFFSET($C$12,$I260,MATCH($J$11,$D$12:$G$12,0)),巡逻产出!$B$311:$B$610,巡逻产出!$Q$311:$Q$610)*OFFSET($C$1,MATCH(Q$12,$C$2:$C$7,0),MATCH($J$11,$D$12:$G$12,0))</f>
        <v>#N/A</v>
      </c>
      <c r="S260" s="160">
        <v>248</v>
      </c>
      <c r="T260" s="163" t="e">
        <f ca="1">_xlfn.XLOOKUP(OFFSET($C$12,$I260,MATCH($T$11,$D$12:$G$12,0)),主线推图!$B$313:$B$612,主线推图!$P$313:$P$612)*OFFSET($C$1,MATCH(T$12,$C$2:$C$7,0),MATCH($T$11,$D$12:$G$12,0))</f>
        <v>#N/A</v>
      </c>
      <c r="U260" s="163" t="e">
        <f ca="1">_xlfn.XLOOKUP(OFFSET($C$12,$I260,MATCH($T$11,$D$12:$G$12,0)),巡逻产出!$B$311:$B$610,巡逻产出!$R$311:$R$610)*OFFSET($C$1,MATCH(U$12,$C$2:$C$7,0),MATCH($T$11,$D$12:$G$12,0))</f>
        <v>#N/A</v>
      </c>
      <c r="V260" s="163">
        <f ca="1">_xlfn.XLOOKUP(MAX(INT((OFFSET($C$12,$I260,MATCH($T$11,$D$12:$G$12,0))-6)/10),1),组队产出!$B$25:$B$39,组队产出!$P$25:$P$39)*OFFSET($C$1,MATCH(V$12,$C$2:$C$7,0),MATCH($T$11,$D$12:$G$12,0))</f>
        <v>2320.8</v>
      </c>
      <c r="W260" s="163">
        <f ca="1">竞技场!$G$3*OFFSET($C$1,MATCH(W$12,$C$2:$C$7,0),MATCH($T$11,$D$12:$G$12,0))</f>
        <v>2100</v>
      </c>
      <c r="X26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0" s="23">
        <f>任务!$G$6+任务!$G$9+IF(MOD(S260,7)=0,任务!$N$9+任务!$O$6,0)</f>
        <v>895</v>
      </c>
      <c r="Z260" s="25">
        <f>公会!$U$11</f>
        <v>2766.62857142857</v>
      </c>
      <c r="AA260" s="163" t="e">
        <f ca="1">_xlfn.XLOOKUP(OFFSET($C$12,$I260,MATCH($T$11,$D$12:$G$12,0)),巡逻产出!$B$311:$B$610,巡逻产出!$Q$311:$Q$610)*OFFSET($C$1,MATCH(AA$12,$C$2:$C$7,0),MATCH($T$11,$D$12:$G$12,0))</f>
        <v>#N/A</v>
      </c>
      <c r="AC260" s="160">
        <v>248</v>
      </c>
      <c r="AD260" s="163">
        <f ca="1">_xlfn.XLOOKUP(OFFSET($C$12,$I260,MATCH($AD$11,$D$12:$G$12,0)),主线推图!$B$313:$B$612,主线推图!$P$313:$P$612)*OFFSET($C$1,MATCH(AD$12,$C$2:$C$7,0),MATCH($AD$11,$D$12:$G$12,0))</f>
        <v>3489.2</v>
      </c>
      <c r="AE260" s="163">
        <f ca="1">_xlfn.XLOOKUP(OFFSET($C$12,$I260,MATCH($AD$11,$D$12:$G$12,0)),巡逻产出!$B$311:$B$610,巡逻产出!$R$311:$R$610)*OFFSET($C$1,MATCH(AE$12,$C$2:$C$7,0),MATCH($AD$11,$D$12:$G$12,0))</f>
        <v>0</v>
      </c>
      <c r="AF260" s="163" t="e">
        <f ca="1">_xlfn.XLOOKUP(MAX(INT((OFFSET($C$12,$I260,MATCH($AD$11,$D$12:$G$12,0))-6)/10),1),组队产出!$B$25:$B$39,组队产出!$P$25:$P$39)*OFFSET($C$1,MATCH(AF$12,$C$2:$C$7,0),MATCH($AD$11,$D$12:$G$12,0))</f>
        <v>#N/A</v>
      </c>
      <c r="AG260" s="163">
        <f ca="1">竞技场!$G$3*OFFSET($C$1,MATCH(AG$12,$C$2:$C$7,0),MATCH($AD$11,$D$12:$G$12,0))</f>
        <v>3150</v>
      </c>
      <c r="AH26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0" s="23">
        <f>任务!$G$6+任务!$G$9+IF(MOD(AC260,7)=0,任务!$N$9+任务!$O$6,0)</f>
        <v>895</v>
      </c>
      <c r="AJ260" s="25">
        <f>公会!$U$11</f>
        <v>2766.62857142857</v>
      </c>
      <c r="AK260" s="163">
        <f ca="1">_xlfn.XLOOKUP(OFFSET($C$12,$I260,MATCH($AD$11,$D$12:$G$12,0)),巡逻产出!$B$311:$B$610,巡逻产出!$Q$311:$Q$610)*OFFSET($C$1,MATCH(AK$12,$C$2:$C$7,0),MATCH($AD$11,$D$12:$G$12,0))</f>
        <v>2416.128</v>
      </c>
      <c r="AM260" s="164">
        <v>248</v>
      </c>
      <c r="AN260" s="165">
        <f t="shared" si="29"/>
        <v>28849</v>
      </c>
      <c r="AO260" s="165">
        <f t="shared" si="30"/>
        <v>36210</v>
      </c>
      <c r="AP260" s="165">
        <f t="shared" si="31"/>
        <v>57495</v>
      </c>
      <c r="AQ260" s="165">
        <f t="shared" si="32"/>
        <v>75730</v>
      </c>
    </row>
    <row r="261" spans="3:43">
      <c r="C261" s="160">
        <v>249</v>
      </c>
      <c r="D261" s="169">
        <v>176</v>
      </c>
      <c r="E261" s="170">
        <f t="shared" si="36"/>
        <v>137</v>
      </c>
      <c r="F261" s="169">
        <f t="shared" si="37"/>
        <v>163.999999999999</v>
      </c>
      <c r="G261" s="163">
        <f t="shared" si="34"/>
        <v>247.5</v>
      </c>
      <c r="I261" s="160">
        <v>249</v>
      </c>
      <c r="J261" s="163" t="e">
        <f ca="1">_xlfn.XLOOKUP(OFFSET($C$12,$I261,MATCH($J$11,$D$12:$G$12,0)),主线推图!$B$313:$B$612,主线推图!$P$313:$P$612)*OFFSET($C$1,MATCH(J$12,$C$2:$C$7,0),MATCH($J$11,$D$12:$G$12,0))</f>
        <v>#N/A</v>
      </c>
      <c r="K261" s="163" t="e">
        <f ca="1">_xlfn.XLOOKUP(OFFSET($C$12,$I261,MATCH($J$11,$D$12:$G$12,0)),巡逻产出!$B$311:$B$610,巡逻产出!$R$311:$R$610)*OFFSET($C$1,MATCH(K$12,$C$2:$C$7,0),MATCH($J$11,$D$12:$G$12,0))</f>
        <v>#N/A</v>
      </c>
      <c r="L261" s="163">
        <f ca="1">_xlfn.XLOOKUP(MAX(INT((OFFSET($C$12,$I261,MATCH($J$11,$D$12:$G$12,0))-6)/10),1),组队产出!$B$25:$B$39,组队产出!$P$25:$P$39)*OFFSET($C$1,MATCH(L$12,$C$2:$C$7,0),MATCH($J$11,$D$12:$G$12,0))</f>
        <v>1130.4</v>
      </c>
      <c r="M261" s="163">
        <f ca="1">竞技场!$G$3*OFFSET($C$1,MATCH(M$12,$C$2:$C$7,0),MATCH($J$11,$D$12:$G$12,0))</f>
        <v>1050</v>
      </c>
      <c r="N26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1" s="23">
        <f>任务!$G$6+任务!$G$9+IF(MOD(I261,7)=0,任务!$N$9+任务!$O$6,0)</f>
        <v>895</v>
      </c>
      <c r="P261" s="25">
        <f>公会!$U$11</f>
        <v>2766.62857142857</v>
      </c>
      <c r="Q261" s="163" t="e">
        <f ca="1">_xlfn.XLOOKUP(OFFSET($C$12,$I261,MATCH($J$11,$D$12:$G$12,0)),巡逻产出!$B$311:$B$610,巡逻产出!$Q$311:$Q$610)*OFFSET($C$1,MATCH(Q$12,$C$2:$C$7,0),MATCH($J$11,$D$12:$G$12,0))</f>
        <v>#N/A</v>
      </c>
      <c r="S261" s="160">
        <v>249</v>
      </c>
      <c r="T261" s="163" t="e">
        <f ca="1">_xlfn.XLOOKUP(OFFSET($C$12,$I261,MATCH($T$11,$D$12:$G$12,0)),主线推图!$B$313:$B$612,主线推图!$P$313:$P$612)*OFFSET($C$1,MATCH(T$12,$C$2:$C$7,0),MATCH($T$11,$D$12:$G$12,0))</f>
        <v>#N/A</v>
      </c>
      <c r="U261" s="163" t="e">
        <f ca="1">_xlfn.XLOOKUP(OFFSET($C$12,$I261,MATCH($T$11,$D$12:$G$12,0)),巡逻产出!$B$311:$B$610,巡逻产出!$R$311:$R$610)*OFFSET($C$1,MATCH(U$12,$C$2:$C$7,0),MATCH($T$11,$D$12:$G$12,0))</f>
        <v>#N/A</v>
      </c>
      <c r="V261" s="163">
        <f ca="1">_xlfn.XLOOKUP(MAX(INT((OFFSET($C$12,$I261,MATCH($T$11,$D$12:$G$12,0))-6)/10),1),组队产出!$B$25:$B$39,组队产出!$P$25:$P$39)*OFFSET($C$1,MATCH(V$12,$C$2:$C$7,0),MATCH($T$11,$D$12:$G$12,0))</f>
        <v>2320.8</v>
      </c>
      <c r="W261" s="163">
        <f ca="1">竞技场!$G$3*OFFSET($C$1,MATCH(W$12,$C$2:$C$7,0),MATCH($T$11,$D$12:$G$12,0))</f>
        <v>2100</v>
      </c>
      <c r="X26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1" s="23">
        <f>任务!$G$6+任务!$G$9+IF(MOD(S261,7)=0,任务!$N$9+任务!$O$6,0)</f>
        <v>895</v>
      </c>
      <c r="Z261" s="25">
        <f>公会!$U$11</f>
        <v>2766.62857142857</v>
      </c>
      <c r="AA261" s="163" t="e">
        <f ca="1">_xlfn.XLOOKUP(OFFSET($C$12,$I261,MATCH($T$11,$D$12:$G$12,0)),巡逻产出!$B$311:$B$610,巡逻产出!$Q$311:$Q$610)*OFFSET($C$1,MATCH(AA$12,$C$2:$C$7,0),MATCH($T$11,$D$12:$G$12,0))</f>
        <v>#N/A</v>
      </c>
      <c r="AC261" s="160">
        <v>249</v>
      </c>
      <c r="AD261" s="163" t="e">
        <f ca="1">_xlfn.XLOOKUP(OFFSET($C$12,$I261,MATCH($AD$11,$D$12:$G$12,0)),主线推图!$B$313:$B$612,主线推图!$P$313:$P$612)*OFFSET($C$1,MATCH(AD$12,$C$2:$C$7,0),MATCH($AD$11,$D$12:$G$12,0))</f>
        <v>#N/A</v>
      </c>
      <c r="AE261" s="163" t="e">
        <f ca="1">_xlfn.XLOOKUP(OFFSET($C$12,$I261,MATCH($AD$11,$D$12:$G$12,0)),巡逻产出!$B$311:$B$610,巡逻产出!$R$311:$R$610)*OFFSET($C$1,MATCH(AE$12,$C$2:$C$7,0),MATCH($AD$11,$D$12:$G$12,0))</f>
        <v>#N/A</v>
      </c>
      <c r="AF261" s="163" t="e">
        <f ca="1">_xlfn.XLOOKUP(MAX(INT((OFFSET($C$12,$I261,MATCH($AD$11,$D$12:$G$12,0))-6)/10),1),组队产出!$B$25:$B$39,组队产出!$P$25:$P$39)*OFFSET($C$1,MATCH(AF$12,$C$2:$C$7,0),MATCH($AD$11,$D$12:$G$12,0))</f>
        <v>#N/A</v>
      </c>
      <c r="AG261" s="163">
        <f ca="1">竞技场!$G$3*OFFSET($C$1,MATCH(AG$12,$C$2:$C$7,0),MATCH($AD$11,$D$12:$G$12,0))</f>
        <v>3150</v>
      </c>
      <c r="AH26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1" s="23">
        <f>任务!$G$6+任务!$G$9+IF(MOD(AC261,7)=0,任务!$N$9+任务!$O$6,0)</f>
        <v>895</v>
      </c>
      <c r="AJ261" s="25">
        <f>公会!$U$11</f>
        <v>2766.62857142857</v>
      </c>
      <c r="AK261" s="163" t="e">
        <f ca="1">_xlfn.XLOOKUP(OFFSET($C$12,$I261,MATCH($AD$11,$D$12:$G$12,0)),巡逻产出!$B$311:$B$610,巡逻产出!$Q$311:$Q$610)*OFFSET($C$1,MATCH(AK$12,$C$2:$C$7,0),MATCH($AD$11,$D$12:$G$12,0))</f>
        <v>#N/A</v>
      </c>
      <c r="AM261" s="164">
        <v>249</v>
      </c>
      <c r="AN261" s="165">
        <f t="shared" si="29"/>
        <v>28963</v>
      </c>
      <c r="AO261" s="165">
        <f t="shared" si="30"/>
        <v>36353</v>
      </c>
      <c r="AP261" s="165">
        <f t="shared" si="31"/>
        <v>57724</v>
      </c>
      <c r="AQ261" s="165">
        <f t="shared" si="32"/>
        <v>76032</v>
      </c>
    </row>
    <row r="262" spans="3:43">
      <c r="C262" s="160">
        <v>250</v>
      </c>
      <c r="D262" s="169">
        <v>176</v>
      </c>
      <c r="E262" s="170">
        <f t="shared" si="36"/>
        <v>137.25</v>
      </c>
      <c r="F262" s="169">
        <f t="shared" si="37"/>
        <v>164.349999999999</v>
      </c>
      <c r="G262" s="163">
        <f t="shared" si="34"/>
        <v>248</v>
      </c>
      <c r="I262" s="160">
        <v>250</v>
      </c>
      <c r="J262" s="163" t="e">
        <f ca="1">_xlfn.XLOOKUP(OFFSET($C$12,$I262,MATCH($J$11,$D$12:$G$12,0)),主线推图!$B$313:$B$612,主线推图!$P$313:$P$612)*OFFSET($C$1,MATCH(J$12,$C$2:$C$7,0),MATCH($J$11,$D$12:$G$12,0))</f>
        <v>#N/A</v>
      </c>
      <c r="K262" s="163" t="e">
        <f ca="1">_xlfn.XLOOKUP(OFFSET($C$12,$I262,MATCH($J$11,$D$12:$G$12,0)),巡逻产出!$B$311:$B$610,巡逻产出!$R$311:$R$610)*OFFSET($C$1,MATCH(K$12,$C$2:$C$7,0),MATCH($J$11,$D$12:$G$12,0))</f>
        <v>#N/A</v>
      </c>
      <c r="L262" s="163">
        <f ca="1">_xlfn.XLOOKUP(MAX(INT((OFFSET($C$12,$I262,MATCH($J$11,$D$12:$G$12,0))-6)/10),1),组队产出!$B$25:$B$39,组队产出!$P$25:$P$39)*OFFSET($C$1,MATCH(L$12,$C$2:$C$7,0),MATCH($J$11,$D$12:$G$12,0))</f>
        <v>1130.4</v>
      </c>
      <c r="M262" s="163">
        <f ca="1">竞技场!$G$3*OFFSET($C$1,MATCH(M$12,$C$2:$C$7,0),MATCH($J$11,$D$12:$G$12,0))</f>
        <v>1050</v>
      </c>
      <c r="N26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2" s="23">
        <f>任务!$G$6+任务!$G$9+IF(MOD(I262,7)=0,任务!$N$9+任务!$O$6,0)</f>
        <v>895</v>
      </c>
      <c r="P262" s="25">
        <f>公会!$U$11</f>
        <v>2766.62857142857</v>
      </c>
      <c r="Q262" s="163" t="e">
        <f ca="1">_xlfn.XLOOKUP(OFFSET($C$12,$I262,MATCH($J$11,$D$12:$G$12,0)),巡逻产出!$B$311:$B$610,巡逻产出!$Q$311:$Q$610)*OFFSET($C$1,MATCH(Q$12,$C$2:$C$7,0),MATCH($J$11,$D$12:$G$12,0))</f>
        <v>#N/A</v>
      </c>
      <c r="S262" s="160">
        <v>250</v>
      </c>
      <c r="T262" s="163" t="e">
        <f ca="1">_xlfn.XLOOKUP(OFFSET($C$12,$I262,MATCH($T$11,$D$12:$G$12,0)),主线推图!$B$313:$B$612,主线推图!$P$313:$P$612)*OFFSET($C$1,MATCH(T$12,$C$2:$C$7,0),MATCH($T$11,$D$12:$G$12,0))</f>
        <v>#N/A</v>
      </c>
      <c r="U262" s="163" t="e">
        <f ca="1">_xlfn.XLOOKUP(OFFSET($C$12,$I262,MATCH($T$11,$D$12:$G$12,0)),巡逻产出!$B$311:$B$610,巡逻产出!$R$311:$R$610)*OFFSET($C$1,MATCH(U$12,$C$2:$C$7,0),MATCH($T$11,$D$12:$G$12,0))</f>
        <v>#N/A</v>
      </c>
      <c r="V262" s="163">
        <f ca="1">_xlfn.XLOOKUP(MAX(INT((OFFSET($C$12,$I262,MATCH($T$11,$D$12:$G$12,0))-6)/10),1),组队产出!$B$25:$B$39,组队产出!$P$25:$P$39)*OFFSET($C$1,MATCH(V$12,$C$2:$C$7,0),MATCH($T$11,$D$12:$G$12,0))</f>
        <v>2320.8</v>
      </c>
      <c r="W262" s="163">
        <f ca="1">竞技场!$G$3*OFFSET($C$1,MATCH(W$12,$C$2:$C$7,0),MATCH($T$11,$D$12:$G$12,0))</f>
        <v>2100</v>
      </c>
      <c r="X26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2" s="23">
        <f>任务!$G$6+任务!$G$9+IF(MOD(S262,7)=0,任务!$N$9+任务!$O$6,0)</f>
        <v>895</v>
      </c>
      <c r="Z262" s="25">
        <f>公会!$U$11</f>
        <v>2766.62857142857</v>
      </c>
      <c r="AA262" s="163" t="e">
        <f ca="1">_xlfn.XLOOKUP(OFFSET($C$12,$I262,MATCH($T$11,$D$12:$G$12,0)),巡逻产出!$B$311:$B$610,巡逻产出!$Q$311:$Q$610)*OFFSET($C$1,MATCH(AA$12,$C$2:$C$7,0),MATCH($T$11,$D$12:$G$12,0))</f>
        <v>#N/A</v>
      </c>
      <c r="AC262" s="160">
        <v>250</v>
      </c>
      <c r="AD262" s="163">
        <f ca="1">_xlfn.XLOOKUP(OFFSET($C$12,$I262,MATCH($AD$11,$D$12:$G$12,0)),主线推图!$B$313:$B$612,主线推图!$P$313:$P$612)*OFFSET($C$1,MATCH(AD$12,$C$2:$C$7,0),MATCH($AD$11,$D$12:$G$12,0))</f>
        <v>3491.4</v>
      </c>
      <c r="AE262" s="163">
        <f ca="1">_xlfn.XLOOKUP(OFFSET($C$12,$I262,MATCH($AD$11,$D$12:$G$12,0)),巡逻产出!$B$311:$B$610,巡逻产出!$R$311:$R$610)*OFFSET($C$1,MATCH(AE$12,$C$2:$C$7,0),MATCH($AD$11,$D$12:$G$12,0))</f>
        <v>0</v>
      </c>
      <c r="AF262" s="163" t="e">
        <f ca="1">_xlfn.XLOOKUP(MAX(INT((OFFSET($C$12,$I262,MATCH($AD$11,$D$12:$G$12,0))-6)/10),1),组队产出!$B$25:$B$39,组队产出!$P$25:$P$39)*OFFSET($C$1,MATCH(AF$12,$C$2:$C$7,0),MATCH($AD$11,$D$12:$G$12,0))</f>
        <v>#N/A</v>
      </c>
      <c r="AG262" s="163">
        <f ca="1">竞技场!$G$3*OFFSET($C$1,MATCH(AG$12,$C$2:$C$7,0),MATCH($AD$11,$D$12:$G$12,0))</f>
        <v>3150</v>
      </c>
      <c r="AH26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2" s="23">
        <f>任务!$G$6+任务!$G$9+IF(MOD(AC262,7)=0,任务!$N$9+任务!$O$6,0)</f>
        <v>895</v>
      </c>
      <c r="AJ262" s="25">
        <f>公会!$U$11</f>
        <v>2766.62857142857</v>
      </c>
      <c r="AK262" s="163">
        <f ca="1">_xlfn.XLOOKUP(OFFSET($C$12,$I262,MATCH($AD$11,$D$12:$G$12,0)),巡逻产出!$B$311:$B$610,巡逻产出!$Q$311:$Q$610)*OFFSET($C$1,MATCH(AK$12,$C$2:$C$7,0),MATCH($AD$11,$D$12:$G$12,0))</f>
        <v>2417.688</v>
      </c>
      <c r="AM262" s="164">
        <v>250</v>
      </c>
      <c r="AN262" s="165">
        <f t="shared" si="29"/>
        <v>29076</v>
      </c>
      <c r="AO262" s="165">
        <f t="shared" si="30"/>
        <v>36496</v>
      </c>
      <c r="AP262" s="165">
        <f t="shared" si="31"/>
        <v>57952</v>
      </c>
      <c r="AQ262" s="165">
        <f t="shared" si="32"/>
        <v>76334</v>
      </c>
    </row>
    <row r="263" spans="3:43">
      <c r="C263" s="160">
        <v>251</v>
      </c>
      <c r="D263" s="169">
        <v>176</v>
      </c>
      <c r="E263" s="170">
        <f t="shared" si="36"/>
        <v>137.5</v>
      </c>
      <c r="F263" s="169">
        <f t="shared" si="37"/>
        <v>164.699999999999</v>
      </c>
      <c r="G263" s="163">
        <f t="shared" si="34"/>
        <v>248.5</v>
      </c>
      <c r="I263" s="160">
        <v>251</v>
      </c>
      <c r="J263" s="163" t="e">
        <f ca="1">_xlfn.XLOOKUP(OFFSET($C$12,$I263,MATCH($J$11,$D$12:$G$12,0)),主线推图!$B$313:$B$612,主线推图!$P$313:$P$612)*OFFSET($C$1,MATCH(J$12,$C$2:$C$7,0),MATCH($J$11,$D$12:$G$12,0))</f>
        <v>#N/A</v>
      </c>
      <c r="K263" s="163" t="e">
        <f ca="1">_xlfn.XLOOKUP(OFFSET($C$12,$I263,MATCH($J$11,$D$12:$G$12,0)),巡逻产出!$B$311:$B$610,巡逻产出!$R$311:$R$610)*OFFSET($C$1,MATCH(K$12,$C$2:$C$7,0),MATCH($J$11,$D$12:$G$12,0))</f>
        <v>#N/A</v>
      </c>
      <c r="L263" s="163">
        <f ca="1">_xlfn.XLOOKUP(MAX(INT((OFFSET($C$12,$I263,MATCH($J$11,$D$12:$G$12,0))-6)/10),1),组队产出!$B$25:$B$39,组队产出!$P$25:$P$39)*OFFSET($C$1,MATCH(L$12,$C$2:$C$7,0),MATCH($J$11,$D$12:$G$12,0))</f>
        <v>1130.4</v>
      </c>
      <c r="M263" s="163">
        <f ca="1">竞技场!$G$3*OFFSET($C$1,MATCH(M$12,$C$2:$C$7,0),MATCH($J$11,$D$12:$G$12,0))</f>
        <v>1050</v>
      </c>
      <c r="N26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3" s="23">
        <f>任务!$G$6+任务!$G$9+IF(MOD(I263,7)=0,任务!$N$9+任务!$O$6,0)</f>
        <v>895</v>
      </c>
      <c r="P263" s="25">
        <f>公会!$U$11</f>
        <v>2766.62857142857</v>
      </c>
      <c r="Q263" s="163" t="e">
        <f ca="1">_xlfn.XLOOKUP(OFFSET($C$12,$I263,MATCH($J$11,$D$12:$G$12,0)),巡逻产出!$B$311:$B$610,巡逻产出!$Q$311:$Q$610)*OFFSET($C$1,MATCH(Q$12,$C$2:$C$7,0),MATCH($J$11,$D$12:$G$12,0))</f>
        <v>#N/A</v>
      </c>
      <c r="S263" s="160">
        <v>251</v>
      </c>
      <c r="T263" s="163" t="e">
        <f ca="1">_xlfn.XLOOKUP(OFFSET($C$12,$I263,MATCH($T$11,$D$12:$G$12,0)),主线推图!$B$313:$B$612,主线推图!$P$313:$P$612)*OFFSET($C$1,MATCH(T$12,$C$2:$C$7,0),MATCH($T$11,$D$12:$G$12,0))</f>
        <v>#N/A</v>
      </c>
      <c r="U263" s="163" t="e">
        <f ca="1">_xlfn.XLOOKUP(OFFSET($C$12,$I263,MATCH($T$11,$D$12:$G$12,0)),巡逻产出!$B$311:$B$610,巡逻产出!$R$311:$R$610)*OFFSET($C$1,MATCH(U$12,$C$2:$C$7,0),MATCH($T$11,$D$12:$G$12,0))</f>
        <v>#N/A</v>
      </c>
      <c r="V263" s="163">
        <f ca="1">_xlfn.XLOOKUP(MAX(INT((OFFSET($C$12,$I263,MATCH($T$11,$D$12:$G$12,0))-6)/10),1),组队产出!$B$25:$B$39,组队产出!$P$25:$P$39)*OFFSET($C$1,MATCH(V$12,$C$2:$C$7,0),MATCH($T$11,$D$12:$G$12,0))</f>
        <v>2320.8</v>
      </c>
      <c r="W263" s="163">
        <f ca="1">竞技场!$G$3*OFFSET($C$1,MATCH(W$12,$C$2:$C$7,0),MATCH($T$11,$D$12:$G$12,0))</f>
        <v>2100</v>
      </c>
      <c r="X26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3" s="23">
        <f>任务!$G$6+任务!$G$9+IF(MOD(S263,7)=0,任务!$N$9+任务!$O$6,0)</f>
        <v>895</v>
      </c>
      <c r="Z263" s="25">
        <f>公会!$U$11</f>
        <v>2766.62857142857</v>
      </c>
      <c r="AA263" s="163" t="e">
        <f ca="1">_xlfn.XLOOKUP(OFFSET($C$12,$I263,MATCH($T$11,$D$12:$G$12,0)),巡逻产出!$B$311:$B$610,巡逻产出!$Q$311:$Q$610)*OFFSET($C$1,MATCH(AA$12,$C$2:$C$7,0),MATCH($T$11,$D$12:$G$12,0))</f>
        <v>#N/A</v>
      </c>
      <c r="AC263" s="160">
        <v>251</v>
      </c>
      <c r="AD263" s="163" t="e">
        <f ca="1">_xlfn.XLOOKUP(OFFSET($C$12,$I263,MATCH($AD$11,$D$12:$G$12,0)),主线推图!$B$313:$B$612,主线推图!$P$313:$P$612)*OFFSET($C$1,MATCH(AD$12,$C$2:$C$7,0),MATCH($AD$11,$D$12:$G$12,0))</f>
        <v>#N/A</v>
      </c>
      <c r="AE263" s="163" t="e">
        <f ca="1">_xlfn.XLOOKUP(OFFSET($C$12,$I263,MATCH($AD$11,$D$12:$G$12,0)),巡逻产出!$B$311:$B$610,巡逻产出!$R$311:$R$610)*OFFSET($C$1,MATCH(AE$12,$C$2:$C$7,0),MATCH($AD$11,$D$12:$G$12,0))</f>
        <v>#N/A</v>
      </c>
      <c r="AF263" s="163" t="e">
        <f ca="1">_xlfn.XLOOKUP(MAX(INT((OFFSET($C$12,$I263,MATCH($AD$11,$D$12:$G$12,0))-6)/10),1),组队产出!$B$25:$B$39,组队产出!$P$25:$P$39)*OFFSET($C$1,MATCH(AF$12,$C$2:$C$7,0),MATCH($AD$11,$D$12:$G$12,0))</f>
        <v>#N/A</v>
      </c>
      <c r="AG263" s="163">
        <f ca="1">竞技场!$G$3*OFFSET($C$1,MATCH(AG$12,$C$2:$C$7,0),MATCH($AD$11,$D$12:$G$12,0))</f>
        <v>3150</v>
      </c>
      <c r="AH26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3" s="23">
        <f>任务!$G$6+任务!$G$9+IF(MOD(AC263,7)=0,任务!$N$9+任务!$O$6,0)</f>
        <v>895</v>
      </c>
      <c r="AJ263" s="25">
        <f>公会!$U$11</f>
        <v>2766.62857142857</v>
      </c>
      <c r="AK263" s="163" t="e">
        <f ca="1">_xlfn.XLOOKUP(OFFSET($C$12,$I263,MATCH($AD$11,$D$12:$G$12,0)),巡逻产出!$B$311:$B$610,巡逻产出!$Q$311:$Q$610)*OFFSET($C$1,MATCH(AK$12,$C$2:$C$7,0),MATCH($AD$11,$D$12:$G$12,0))</f>
        <v>#N/A</v>
      </c>
      <c r="AM263" s="164">
        <v>251</v>
      </c>
      <c r="AN263" s="165">
        <f t="shared" si="29"/>
        <v>29190</v>
      </c>
      <c r="AO263" s="165">
        <f t="shared" si="30"/>
        <v>36639</v>
      </c>
      <c r="AP263" s="165">
        <f t="shared" si="31"/>
        <v>58181</v>
      </c>
      <c r="AQ263" s="165">
        <f t="shared" si="32"/>
        <v>76636</v>
      </c>
    </row>
    <row r="264" spans="3:43">
      <c r="C264" s="160">
        <v>252</v>
      </c>
      <c r="D264" s="169">
        <v>176</v>
      </c>
      <c r="E264" s="170">
        <f t="shared" si="36"/>
        <v>137.75</v>
      </c>
      <c r="F264" s="169">
        <f t="shared" si="37"/>
        <v>165.049999999999</v>
      </c>
      <c r="G264" s="163">
        <f t="shared" si="34"/>
        <v>249</v>
      </c>
      <c r="I264" s="160">
        <v>252</v>
      </c>
      <c r="J264" s="163" t="e">
        <f ca="1">_xlfn.XLOOKUP(OFFSET($C$12,$I264,MATCH($J$11,$D$12:$G$12,0)),主线推图!$B$313:$B$612,主线推图!$P$313:$P$612)*OFFSET($C$1,MATCH(J$12,$C$2:$C$7,0),MATCH($J$11,$D$12:$G$12,0))</f>
        <v>#N/A</v>
      </c>
      <c r="K264" s="163" t="e">
        <f ca="1">_xlfn.XLOOKUP(OFFSET($C$12,$I264,MATCH($J$11,$D$12:$G$12,0)),巡逻产出!$B$311:$B$610,巡逻产出!$R$311:$R$610)*OFFSET($C$1,MATCH(K$12,$C$2:$C$7,0),MATCH($J$11,$D$12:$G$12,0))</f>
        <v>#N/A</v>
      </c>
      <c r="L264" s="163">
        <f ca="1">_xlfn.XLOOKUP(MAX(INT((OFFSET($C$12,$I264,MATCH($J$11,$D$12:$G$12,0))-6)/10),1),组队产出!$B$25:$B$39,组队产出!$P$25:$P$39)*OFFSET($C$1,MATCH(L$12,$C$2:$C$7,0),MATCH($J$11,$D$12:$G$12,0))</f>
        <v>1130.4</v>
      </c>
      <c r="M264" s="163">
        <f ca="1">竞技场!$G$3*OFFSET($C$1,MATCH(M$12,$C$2:$C$7,0),MATCH($J$11,$D$12:$G$12,0))</f>
        <v>1050</v>
      </c>
      <c r="N26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4" s="23">
        <f>任务!$G$6+任务!$G$9+IF(MOD(I264,7)=0,任务!$N$9+任务!$O$6,0)</f>
        <v>3125</v>
      </c>
      <c r="P264" s="25">
        <f>公会!$U$11</f>
        <v>2766.62857142857</v>
      </c>
      <c r="Q264" s="163" t="e">
        <f ca="1">_xlfn.XLOOKUP(OFFSET($C$12,$I264,MATCH($J$11,$D$12:$G$12,0)),巡逻产出!$B$311:$B$610,巡逻产出!$Q$311:$Q$610)*OFFSET($C$1,MATCH(Q$12,$C$2:$C$7,0),MATCH($J$11,$D$12:$G$12,0))</f>
        <v>#N/A</v>
      </c>
      <c r="S264" s="160">
        <v>252</v>
      </c>
      <c r="T264" s="163" t="e">
        <f ca="1">_xlfn.XLOOKUP(OFFSET($C$12,$I264,MATCH($T$11,$D$12:$G$12,0)),主线推图!$B$313:$B$612,主线推图!$P$313:$P$612)*OFFSET($C$1,MATCH(T$12,$C$2:$C$7,0),MATCH($T$11,$D$12:$G$12,0))</f>
        <v>#N/A</v>
      </c>
      <c r="U264" s="163" t="e">
        <f ca="1">_xlfn.XLOOKUP(OFFSET($C$12,$I264,MATCH($T$11,$D$12:$G$12,0)),巡逻产出!$B$311:$B$610,巡逻产出!$R$311:$R$610)*OFFSET($C$1,MATCH(U$12,$C$2:$C$7,0),MATCH($T$11,$D$12:$G$12,0))</f>
        <v>#N/A</v>
      </c>
      <c r="V264" s="163">
        <f ca="1">_xlfn.XLOOKUP(MAX(INT((OFFSET($C$12,$I264,MATCH($T$11,$D$12:$G$12,0))-6)/10),1),组队产出!$B$25:$B$39,组队产出!$P$25:$P$39)*OFFSET($C$1,MATCH(V$12,$C$2:$C$7,0),MATCH($T$11,$D$12:$G$12,0))</f>
        <v>2320.8</v>
      </c>
      <c r="W264" s="163">
        <f ca="1">竞技场!$G$3*OFFSET($C$1,MATCH(W$12,$C$2:$C$7,0),MATCH($T$11,$D$12:$G$12,0))</f>
        <v>2100</v>
      </c>
      <c r="X26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4" s="23">
        <f>任务!$G$6+任务!$G$9+IF(MOD(S264,7)=0,任务!$N$9+任务!$O$6,0)</f>
        <v>3125</v>
      </c>
      <c r="Z264" s="25">
        <f>公会!$U$11</f>
        <v>2766.62857142857</v>
      </c>
      <c r="AA264" s="163" t="e">
        <f ca="1">_xlfn.XLOOKUP(OFFSET($C$12,$I264,MATCH($T$11,$D$12:$G$12,0)),巡逻产出!$B$311:$B$610,巡逻产出!$Q$311:$Q$610)*OFFSET($C$1,MATCH(AA$12,$C$2:$C$7,0),MATCH($T$11,$D$12:$G$12,0))</f>
        <v>#N/A</v>
      </c>
      <c r="AC264" s="160">
        <v>252</v>
      </c>
      <c r="AD264" s="163">
        <f ca="1">_xlfn.XLOOKUP(OFFSET($C$12,$I264,MATCH($AD$11,$D$12:$G$12,0)),主线推图!$B$313:$B$612,主线推图!$P$313:$P$612)*OFFSET($C$1,MATCH(AD$12,$C$2:$C$7,0),MATCH($AD$11,$D$12:$G$12,0))</f>
        <v>3493.6</v>
      </c>
      <c r="AE264" s="163">
        <f ca="1">_xlfn.XLOOKUP(OFFSET($C$12,$I264,MATCH($AD$11,$D$12:$G$12,0)),巡逻产出!$B$311:$B$610,巡逻产出!$R$311:$R$610)*OFFSET($C$1,MATCH(AE$12,$C$2:$C$7,0),MATCH($AD$11,$D$12:$G$12,0))</f>
        <v>0</v>
      </c>
      <c r="AF264" s="163" t="e">
        <f ca="1">_xlfn.XLOOKUP(MAX(INT((OFFSET($C$12,$I264,MATCH($AD$11,$D$12:$G$12,0))-6)/10),1),组队产出!$B$25:$B$39,组队产出!$P$25:$P$39)*OFFSET($C$1,MATCH(AF$12,$C$2:$C$7,0),MATCH($AD$11,$D$12:$G$12,0))</f>
        <v>#N/A</v>
      </c>
      <c r="AG264" s="163">
        <f ca="1">竞技场!$G$3*OFFSET($C$1,MATCH(AG$12,$C$2:$C$7,0),MATCH($AD$11,$D$12:$G$12,0))</f>
        <v>3150</v>
      </c>
      <c r="AH26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4" s="23">
        <f>任务!$G$6+任务!$G$9+IF(MOD(AC264,7)=0,任务!$N$9+任务!$O$6,0)</f>
        <v>3125</v>
      </c>
      <c r="AJ264" s="25">
        <f>公会!$U$11</f>
        <v>2766.62857142857</v>
      </c>
      <c r="AK264" s="163">
        <f ca="1">_xlfn.XLOOKUP(OFFSET($C$12,$I264,MATCH($AD$11,$D$12:$G$12,0)),巡逻产出!$B$311:$B$610,巡逻产出!$Q$311:$Q$610)*OFFSET($C$1,MATCH(AK$12,$C$2:$C$7,0),MATCH($AD$11,$D$12:$G$12,0))</f>
        <v>2419.248</v>
      </c>
      <c r="AM264" s="164">
        <v>252</v>
      </c>
      <c r="AN264" s="165">
        <f t="shared" si="29"/>
        <v>29303</v>
      </c>
      <c r="AO264" s="165">
        <f t="shared" si="30"/>
        <v>36782</v>
      </c>
      <c r="AP264" s="165">
        <f t="shared" si="31"/>
        <v>58409</v>
      </c>
      <c r="AQ264" s="165">
        <f t="shared" si="32"/>
        <v>76938</v>
      </c>
    </row>
    <row r="265" spans="3:43">
      <c r="C265" s="160">
        <v>253</v>
      </c>
      <c r="D265" s="169">
        <v>176</v>
      </c>
      <c r="E265" s="170">
        <f t="shared" si="36"/>
        <v>138</v>
      </c>
      <c r="F265" s="169">
        <f t="shared" si="37"/>
        <v>165.399999999999</v>
      </c>
      <c r="G265" s="163">
        <f t="shared" si="34"/>
        <v>249.5</v>
      </c>
      <c r="I265" s="160">
        <v>253</v>
      </c>
      <c r="J265" s="163" t="e">
        <f ca="1">_xlfn.XLOOKUP(OFFSET($C$12,$I265,MATCH($J$11,$D$12:$G$12,0)),主线推图!$B$313:$B$612,主线推图!$P$313:$P$612)*OFFSET($C$1,MATCH(J$12,$C$2:$C$7,0),MATCH($J$11,$D$12:$G$12,0))</f>
        <v>#N/A</v>
      </c>
      <c r="K265" s="163" t="e">
        <f ca="1">_xlfn.XLOOKUP(OFFSET($C$12,$I265,MATCH($J$11,$D$12:$G$12,0)),巡逻产出!$B$311:$B$610,巡逻产出!$R$311:$R$610)*OFFSET($C$1,MATCH(K$12,$C$2:$C$7,0),MATCH($J$11,$D$12:$G$12,0))</f>
        <v>#N/A</v>
      </c>
      <c r="L265" s="163">
        <f ca="1">_xlfn.XLOOKUP(MAX(INT((OFFSET($C$12,$I265,MATCH($J$11,$D$12:$G$12,0))-6)/10),1),组队产出!$B$25:$B$39,组队产出!$P$25:$P$39)*OFFSET($C$1,MATCH(L$12,$C$2:$C$7,0),MATCH($J$11,$D$12:$G$12,0))</f>
        <v>1130.4</v>
      </c>
      <c r="M265" s="163">
        <f ca="1">竞技场!$G$3*OFFSET($C$1,MATCH(M$12,$C$2:$C$7,0),MATCH($J$11,$D$12:$G$12,0))</f>
        <v>1050</v>
      </c>
      <c r="N26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5" s="23">
        <f>任务!$G$6+任务!$G$9+IF(MOD(I265,7)=0,任务!$N$9+任务!$O$6,0)</f>
        <v>895</v>
      </c>
      <c r="P265" s="25">
        <f>公会!$U$11</f>
        <v>2766.62857142857</v>
      </c>
      <c r="Q265" s="163" t="e">
        <f ca="1">_xlfn.XLOOKUP(OFFSET($C$12,$I265,MATCH($J$11,$D$12:$G$12,0)),巡逻产出!$B$311:$B$610,巡逻产出!$Q$311:$Q$610)*OFFSET($C$1,MATCH(Q$12,$C$2:$C$7,0),MATCH($J$11,$D$12:$G$12,0))</f>
        <v>#N/A</v>
      </c>
      <c r="S265" s="160">
        <v>253</v>
      </c>
      <c r="T265" s="163" t="e">
        <f ca="1">_xlfn.XLOOKUP(OFFSET($C$12,$I265,MATCH($T$11,$D$12:$G$12,0)),主线推图!$B$313:$B$612,主线推图!$P$313:$P$612)*OFFSET($C$1,MATCH(T$12,$C$2:$C$7,0),MATCH($T$11,$D$12:$G$12,0))</f>
        <v>#N/A</v>
      </c>
      <c r="U265" s="163" t="e">
        <f ca="1">_xlfn.XLOOKUP(OFFSET($C$12,$I265,MATCH($T$11,$D$12:$G$12,0)),巡逻产出!$B$311:$B$610,巡逻产出!$R$311:$R$610)*OFFSET($C$1,MATCH(U$12,$C$2:$C$7,0),MATCH($T$11,$D$12:$G$12,0))</f>
        <v>#N/A</v>
      </c>
      <c r="V265" s="163">
        <f ca="1">_xlfn.XLOOKUP(MAX(INT((OFFSET($C$12,$I265,MATCH($T$11,$D$12:$G$12,0))-6)/10),1),组队产出!$B$25:$B$39,组队产出!$P$25:$P$39)*OFFSET($C$1,MATCH(V$12,$C$2:$C$7,0),MATCH($T$11,$D$12:$G$12,0))</f>
        <v>2320.8</v>
      </c>
      <c r="W265" s="163">
        <f ca="1">竞技场!$G$3*OFFSET($C$1,MATCH(W$12,$C$2:$C$7,0),MATCH($T$11,$D$12:$G$12,0))</f>
        <v>2100</v>
      </c>
      <c r="X26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5" s="23">
        <f>任务!$G$6+任务!$G$9+IF(MOD(S265,7)=0,任务!$N$9+任务!$O$6,0)</f>
        <v>895</v>
      </c>
      <c r="Z265" s="25">
        <f>公会!$U$11</f>
        <v>2766.62857142857</v>
      </c>
      <c r="AA265" s="163" t="e">
        <f ca="1">_xlfn.XLOOKUP(OFFSET($C$12,$I265,MATCH($T$11,$D$12:$G$12,0)),巡逻产出!$B$311:$B$610,巡逻产出!$Q$311:$Q$610)*OFFSET($C$1,MATCH(AA$12,$C$2:$C$7,0),MATCH($T$11,$D$12:$G$12,0))</f>
        <v>#N/A</v>
      </c>
      <c r="AC265" s="160">
        <v>253</v>
      </c>
      <c r="AD265" s="163" t="e">
        <f ca="1">_xlfn.XLOOKUP(OFFSET($C$12,$I265,MATCH($AD$11,$D$12:$G$12,0)),主线推图!$B$313:$B$612,主线推图!$P$313:$P$612)*OFFSET($C$1,MATCH(AD$12,$C$2:$C$7,0),MATCH($AD$11,$D$12:$G$12,0))</f>
        <v>#N/A</v>
      </c>
      <c r="AE265" s="163" t="e">
        <f ca="1">_xlfn.XLOOKUP(OFFSET($C$12,$I265,MATCH($AD$11,$D$12:$G$12,0)),巡逻产出!$B$311:$B$610,巡逻产出!$R$311:$R$610)*OFFSET($C$1,MATCH(AE$12,$C$2:$C$7,0),MATCH($AD$11,$D$12:$G$12,0))</f>
        <v>#N/A</v>
      </c>
      <c r="AF265" s="163" t="e">
        <f ca="1">_xlfn.XLOOKUP(MAX(INT((OFFSET($C$12,$I265,MATCH($AD$11,$D$12:$G$12,0))-6)/10),1),组队产出!$B$25:$B$39,组队产出!$P$25:$P$39)*OFFSET($C$1,MATCH(AF$12,$C$2:$C$7,0),MATCH($AD$11,$D$12:$G$12,0))</f>
        <v>#N/A</v>
      </c>
      <c r="AG265" s="163">
        <f ca="1">竞技场!$G$3*OFFSET($C$1,MATCH(AG$12,$C$2:$C$7,0),MATCH($AD$11,$D$12:$G$12,0))</f>
        <v>3150</v>
      </c>
      <c r="AH26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5" s="23">
        <f>任务!$G$6+任务!$G$9+IF(MOD(AC265,7)=0,任务!$N$9+任务!$O$6,0)</f>
        <v>895</v>
      </c>
      <c r="AJ265" s="25">
        <f>公会!$U$11</f>
        <v>2766.62857142857</v>
      </c>
      <c r="AK265" s="163" t="e">
        <f ca="1">_xlfn.XLOOKUP(OFFSET($C$12,$I265,MATCH($AD$11,$D$12:$G$12,0)),巡逻产出!$B$311:$B$610,巡逻产出!$Q$311:$Q$610)*OFFSET($C$1,MATCH(AK$12,$C$2:$C$7,0),MATCH($AD$11,$D$12:$G$12,0))</f>
        <v>#N/A</v>
      </c>
      <c r="AM265" s="164">
        <v>253</v>
      </c>
      <c r="AN265" s="165">
        <f t="shared" ref="AN265:AN312" si="38">AN264+AN263-AN262</f>
        <v>29417</v>
      </c>
      <c r="AO265" s="165">
        <f t="shared" ref="AO265:AO312" si="39">AO264+AO263-AO262</f>
        <v>36925</v>
      </c>
      <c r="AP265" s="165">
        <f t="shared" ref="AP265:AP312" si="40">AP264+AP263-AP262</f>
        <v>58638</v>
      </c>
      <c r="AQ265" s="165">
        <f t="shared" ref="AQ265:AQ312" si="41">AQ264+AQ263-AQ262</f>
        <v>77240</v>
      </c>
    </row>
    <row r="266" spans="3:43">
      <c r="C266" s="160">
        <v>254</v>
      </c>
      <c r="D266" s="169">
        <v>176</v>
      </c>
      <c r="E266" s="170">
        <f t="shared" si="36"/>
        <v>138.25</v>
      </c>
      <c r="F266" s="169">
        <f t="shared" si="37"/>
        <v>165.749999999999</v>
      </c>
      <c r="G266" s="163">
        <f t="shared" si="34"/>
        <v>250</v>
      </c>
      <c r="I266" s="160">
        <v>254</v>
      </c>
      <c r="J266" s="163" t="e">
        <f ca="1">_xlfn.XLOOKUP(OFFSET($C$12,$I266,MATCH($J$11,$D$12:$G$12,0)),主线推图!$B$313:$B$612,主线推图!$P$313:$P$612)*OFFSET($C$1,MATCH(J$12,$C$2:$C$7,0),MATCH($J$11,$D$12:$G$12,0))</f>
        <v>#N/A</v>
      </c>
      <c r="K266" s="163" t="e">
        <f ca="1">_xlfn.XLOOKUP(OFFSET($C$12,$I266,MATCH($J$11,$D$12:$G$12,0)),巡逻产出!$B$311:$B$610,巡逻产出!$R$311:$R$610)*OFFSET($C$1,MATCH(K$12,$C$2:$C$7,0),MATCH($J$11,$D$12:$G$12,0))</f>
        <v>#N/A</v>
      </c>
      <c r="L266" s="163">
        <f ca="1">_xlfn.XLOOKUP(MAX(INT((OFFSET($C$12,$I266,MATCH($J$11,$D$12:$G$12,0))-6)/10),1),组队产出!$B$25:$B$39,组队产出!$P$25:$P$39)*OFFSET($C$1,MATCH(L$12,$C$2:$C$7,0),MATCH($J$11,$D$12:$G$12,0))</f>
        <v>1130.4</v>
      </c>
      <c r="M266" s="163">
        <f ca="1">竞技场!$G$3*OFFSET($C$1,MATCH(M$12,$C$2:$C$7,0),MATCH($J$11,$D$12:$G$12,0))</f>
        <v>1050</v>
      </c>
      <c r="N26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6" s="23">
        <f>任务!$G$6+任务!$G$9+IF(MOD(I266,7)=0,任务!$N$9+任务!$O$6,0)</f>
        <v>895</v>
      </c>
      <c r="P266" s="25">
        <f>公会!$U$11</f>
        <v>2766.62857142857</v>
      </c>
      <c r="Q266" s="163" t="e">
        <f ca="1">_xlfn.XLOOKUP(OFFSET($C$12,$I266,MATCH($J$11,$D$12:$G$12,0)),巡逻产出!$B$311:$B$610,巡逻产出!$Q$311:$Q$610)*OFFSET($C$1,MATCH(Q$12,$C$2:$C$7,0),MATCH($J$11,$D$12:$G$12,0))</f>
        <v>#N/A</v>
      </c>
      <c r="S266" s="160">
        <v>254</v>
      </c>
      <c r="T266" s="163" t="e">
        <f ca="1">_xlfn.XLOOKUP(OFFSET($C$12,$I266,MATCH($T$11,$D$12:$G$12,0)),主线推图!$B$313:$B$612,主线推图!$P$313:$P$612)*OFFSET($C$1,MATCH(T$12,$C$2:$C$7,0),MATCH($T$11,$D$12:$G$12,0))</f>
        <v>#N/A</v>
      </c>
      <c r="U266" s="163" t="e">
        <f ca="1">_xlfn.XLOOKUP(OFFSET($C$12,$I266,MATCH($T$11,$D$12:$G$12,0)),巡逻产出!$B$311:$B$610,巡逻产出!$R$311:$R$610)*OFFSET($C$1,MATCH(U$12,$C$2:$C$7,0),MATCH($T$11,$D$12:$G$12,0))</f>
        <v>#N/A</v>
      </c>
      <c r="V266" s="163">
        <f ca="1">_xlfn.XLOOKUP(MAX(INT((OFFSET($C$12,$I266,MATCH($T$11,$D$12:$G$12,0))-6)/10),1),组队产出!$B$25:$B$39,组队产出!$P$25:$P$39)*OFFSET($C$1,MATCH(V$12,$C$2:$C$7,0),MATCH($T$11,$D$12:$G$12,0))</f>
        <v>2320.8</v>
      </c>
      <c r="W266" s="163">
        <f ca="1">竞技场!$G$3*OFFSET($C$1,MATCH(W$12,$C$2:$C$7,0),MATCH($T$11,$D$12:$G$12,0))</f>
        <v>2100</v>
      </c>
      <c r="X26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6" s="23">
        <f>任务!$G$6+任务!$G$9+IF(MOD(S266,7)=0,任务!$N$9+任务!$O$6,0)</f>
        <v>895</v>
      </c>
      <c r="Z266" s="25">
        <f>公会!$U$11</f>
        <v>2766.62857142857</v>
      </c>
      <c r="AA266" s="163" t="e">
        <f ca="1">_xlfn.XLOOKUP(OFFSET($C$12,$I266,MATCH($T$11,$D$12:$G$12,0)),巡逻产出!$B$311:$B$610,巡逻产出!$Q$311:$Q$610)*OFFSET($C$1,MATCH(AA$12,$C$2:$C$7,0),MATCH($T$11,$D$12:$G$12,0))</f>
        <v>#N/A</v>
      </c>
      <c r="AC266" s="160">
        <v>254</v>
      </c>
      <c r="AD266" s="163">
        <f ca="1">_xlfn.XLOOKUP(OFFSET($C$12,$I266,MATCH($AD$11,$D$12:$G$12,0)),主线推图!$B$313:$B$612,主线推图!$P$313:$P$612)*OFFSET($C$1,MATCH(AD$12,$C$2:$C$7,0),MATCH($AD$11,$D$12:$G$12,0))</f>
        <v>3495.8</v>
      </c>
      <c r="AE266" s="163">
        <f ca="1">_xlfn.XLOOKUP(OFFSET($C$12,$I266,MATCH($AD$11,$D$12:$G$12,0)),巡逻产出!$B$311:$B$610,巡逻产出!$R$311:$R$610)*OFFSET($C$1,MATCH(AE$12,$C$2:$C$7,0),MATCH($AD$11,$D$12:$G$12,0))</f>
        <v>0</v>
      </c>
      <c r="AF266" s="163" t="e">
        <f ca="1">_xlfn.XLOOKUP(MAX(INT((OFFSET($C$12,$I266,MATCH($AD$11,$D$12:$G$12,0))-6)/10),1),组队产出!$B$25:$B$39,组队产出!$P$25:$P$39)*OFFSET($C$1,MATCH(AF$12,$C$2:$C$7,0),MATCH($AD$11,$D$12:$G$12,0))</f>
        <v>#N/A</v>
      </c>
      <c r="AG266" s="163">
        <f ca="1">竞技场!$G$3*OFFSET($C$1,MATCH(AG$12,$C$2:$C$7,0),MATCH($AD$11,$D$12:$G$12,0))</f>
        <v>3150</v>
      </c>
      <c r="AH26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6" s="23">
        <f>任务!$G$6+任务!$G$9+IF(MOD(AC266,7)=0,任务!$N$9+任务!$O$6,0)</f>
        <v>895</v>
      </c>
      <c r="AJ266" s="25">
        <f>公会!$U$11</f>
        <v>2766.62857142857</v>
      </c>
      <c r="AK266" s="163">
        <f ca="1">_xlfn.XLOOKUP(OFFSET($C$12,$I266,MATCH($AD$11,$D$12:$G$12,0)),巡逻产出!$B$311:$B$610,巡逻产出!$Q$311:$Q$610)*OFFSET($C$1,MATCH(AK$12,$C$2:$C$7,0),MATCH($AD$11,$D$12:$G$12,0))</f>
        <v>2420.808</v>
      </c>
      <c r="AM266" s="164">
        <v>254</v>
      </c>
      <c r="AN266" s="165">
        <f t="shared" si="38"/>
        <v>29530</v>
      </c>
      <c r="AO266" s="165">
        <f t="shared" si="39"/>
        <v>37068</v>
      </c>
      <c r="AP266" s="165">
        <f t="shared" si="40"/>
        <v>58866</v>
      </c>
      <c r="AQ266" s="165">
        <f t="shared" si="41"/>
        <v>77542</v>
      </c>
    </row>
    <row r="267" spans="3:43">
      <c r="C267" s="160">
        <v>255</v>
      </c>
      <c r="D267" s="169">
        <v>177</v>
      </c>
      <c r="E267" s="170">
        <f t="shared" si="36"/>
        <v>138.5</v>
      </c>
      <c r="F267" s="169">
        <f t="shared" si="37"/>
        <v>166.099999999999</v>
      </c>
      <c r="G267" s="163">
        <f t="shared" si="34"/>
        <v>250.5</v>
      </c>
      <c r="I267" s="160">
        <v>255</v>
      </c>
      <c r="J267" s="163" t="e">
        <f ca="1">_xlfn.XLOOKUP(OFFSET($C$12,$I267,MATCH($J$11,$D$12:$G$12,0)),主线推图!$B$313:$B$612,主线推图!$P$313:$P$612)*OFFSET($C$1,MATCH(J$12,$C$2:$C$7,0),MATCH($J$11,$D$12:$G$12,0))</f>
        <v>#N/A</v>
      </c>
      <c r="K267" s="163" t="e">
        <f ca="1">_xlfn.XLOOKUP(OFFSET($C$12,$I267,MATCH($J$11,$D$12:$G$12,0)),巡逻产出!$B$311:$B$610,巡逻产出!$R$311:$R$610)*OFFSET($C$1,MATCH(K$12,$C$2:$C$7,0),MATCH($J$11,$D$12:$G$12,0))</f>
        <v>#N/A</v>
      </c>
      <c r="L267" s="163">
        <f ca="1">_xlfn.XLOOKUP(MAX(INT((OFFSET($C$12,$I267,MATCH($J$11,$D$12:$G$12,0))-6)/10),1),组队产出!$B$25:$B$39,组队产出!$P$25:$P$39)*OFFSET($C$1,MATCH(L$12,$C$2:$C$7,0),MATCH($J$11,$D$12:$G$12,0))</f>
        <v>1130.4</v>
      </c>
      <c r="M267" s="163">
        <f ca="1">竞技场!$G$3*OFFSET($C$1,MATCH(M$12,$C$2:$C$7,0),MATCH($J$11,$D$12:$G$12,0))</f>
        <v>1050</v>
      </c>
      <c r="N26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7" s="23">
        <f>任务!$G$6+任务!$G$9+IF(MOD(I267,7)=0,任务!$N$9+任务!$O$6,0)</f>
        <v>895</v>
      </c>
      <c r="P267" s="25">
        <f>公会!$U$11</f>
        <v>2766.62857142857</v>
      </c>
      <c r="Q267" s="163" t="e">
        <f ca="1">_xlfn.XLOOKUP(OFFSET($C$12,$I267,MATCH($J$11,$D$12:$G$12,0)),巡逻产出!$B$311:$B$610,巡逻产出!$Q$311:$Q$610)*OFFSET($C$1,MATCH(Q$12,$C$2:$C$7,0),MATCH($J$11,$D$12:$G$12,0))</f>
        <v>#N/A</v>
      </c>
      <c r="S267" s="160">
        <v>255</v>
      </c>
      <c r="T267" s="163" t="e">
        <f ca="1">_xlfn.XLOOKUP(OFFSET($C$12,$I267,MATCH($T$11,$D$12:$G$12,0)),主线推图!$B$313:$B$612,主线推图!$P$313:$P$612)*OFFSET($C$1,MATCH(T$12,$C$2:$C$7,0),MATCH($T$11,$D$12:$G$12,0))</f>
        <v>#N/A</v>
      </c>
      <c r="U267" s="163" t="e">
        <f ca="1">_xlfn.XLOOKUP(OFFSET($C$12,$I267,MATCH($T$11,$D$12:$G$12,0)),巡逻产出!$B$311:$B$610,巡逻产出!$R$311:$R$610)*OFFSET($C$1,MATCH(U$12,$C$2:$C$7,0),MATCH($T$11,$D$12:$G$12,0))</f>
        <v>#N/A</v>
      </c>
      <c r="V267" s="163" t="e">
        <f ca="1">_xlfn.XLOOKUP(MAX(INT((OFFSET($C$12,$I267,MATCH($T$11,$D$12:$G$12,0))-6)/10),1),组队产出!$B$25:$B$39,组队产出!$P$25:$P$39)*OFFSET($C$1,MATCH(V$12,$C$2:$C$7,0),MATCH($T$11,$D$12:$G$12,0))</f>
        <v>#N/A</v>
      </c>
      <c r="W267" s="163">
        <f ca="1">竞技场!$G$3*OFFSET($C$1,MATCH(W$12,$C$2:$C$7,0),MATCH($T$11,$D$12:$G$12,0))</f>
        <v>2100</v>
      </c>
      <c r="X26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7" s="23">
        <f>任务!$G$6+任务!$G$9+IF(MOD(S267,7)=0,任务!$N$9+任务!$O$6,0)</f>
        <v>895</v>
      </c>
      <c r="Z267" s="25">
        <f>公会!$U$11</f>
        <v>2766.62857142857</v>
      </c>
      <c r="AA267" s="163" t="e">
        <f ca="1">_xlfn.XLOOKUP(OFFSET($C$12,$I267,MATCH($T$11,$D$12:$G$12,0)),巡逻产出!$B$311:$B$610,巡逻产出!$Q$311:$Q$610)*OFFSET($C$1,MATCH(AA$12,$C$2:$C$7,0),MATCH($T$11,$D$12:$G$12,0))</f>
        <v>#N/A</v>
      </c>
      <c r="AC267" s="160">
        <v>255</v>
      </c>
      <c r="AD267" s="163" t="e">
        <f ca="1">_xlfn.XLOOKUP(OFFSET($C$12,$I267,MATCH($AD$11,$D$12:$G$12,0)),主线推图!$B$313:$B$612,主线推图!$P$313:$P$612)*OFFSET($C$1,MATCH(AD$12,$C$2:$C$7,0),MATCH($AD$11,$D$12:$G$12,0))</f>
        <v>#N/A</v>
      </c>
      <c r="AE267" s="163" t="e">
        <f ca="1">_xlfn.XLOOKUP(OFFSET($C$12,$I267,MATCH($AD$11,$D$12:$G$12,0)),巡逻产出!$B$311:$B$610,巡逻产出!$R$311:$R$610)*OFFSET($C$1,MATCH(AE$12,$C$2:$C$7,0),MATCH($AD$11,$D$12:$G$12,0))</f>
        <v>#N/A</v>
      </c>
      <c r="AF267" s="163" t="e">
        <f ca="1">_xlfn.XLOOKUP(MAX(INT((OFFSET($C$12,$I267,MATCH($AD$11,$D$12:$G$12,0))-6)/10),1),组队产出!$B$25:$B$39,组队产出!$P$25:$P$39)*OFFSET($C$1,MATCH(AF$12,$C$2:$C$7,0),MATCH($AD$11,$D$12:$G$12,0))</f>
        <v>#N/A</v>
      </c>
      <c r="AG267" s="163">
        <f ca="1">竞技场!$G$3*OFFSET($C$1,MATCH(AG$12,$C$2:$C$7,0),MATCH($AD$11,$D$12:$G$12,0))</f>
        <v>3150</v>
      </c>
      <c r="AH26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7" s="23">
        <f>任务!$G$6+任务!$G$9+IF(MOD(AC267,7)=0,任务!$N$9+任务!$O$6,0)</f>
        <v>895</v>
      </c>
      <c r="AJ267" s="25">
        <f>公会!$U$11</f>
        <v>2766.62857142857</v>
      </c>
      <c r="AK267" s="163" t="e">
        <f ca="1">_xlfn.XLOOKUP(OFFSET($C$12,$I267,MATCH($AD$11,$D$12:$G$12,0)),巡逻产出!$B$311:$B$610,巡逻产出!$Q$311:$Q$610)*OFFSET($C$1,MATCH(AK$12,$C$2:$C$7,0),MATCH($AD$11,$D$12:$G$12,0))</f>
        <v>#N/A</v>
      </c>
      <c r="AM267" s="164">
        <v>255</v>
      </c>
      <c r="AN267" s="165">
        <f t="shared" si="38"/>
        <v>29644</v>
      </c>
      <c r="AO267" s="165">
        <f t="shared" si="39"/>
        <v>37211</v>
      </c>
      <c r="AP267" s="165">
        <f t="shared" si="40"/>
        <v>59095</v>
      </c>
      <c r="AQ267" s="165">
        <f t="shared" si="41"/>
        <v>77844</v>
      </c>
    </row>
    <row r="268" spans="3:43">
      <c r="C268" s="160">
        <v>256</v>
      </c>
      <c r="D268" s="169">
        <v>177</v>
      </c>
      <c r="E268" s="170">
        <f t="shared" si="36"/>
        <v>138.75</v>
      </c>
      <c r="F268" s="169">
        <f t="shared" si="37"/>
        <v>166.449999999999</v>
      </c>
      <c r="G268" s="163">
        <f t="shared" si="34"/>
        <v>251</v>
      </c>
      <c r="I268" s="160">
        <v>256</v>
      </c>
      <c r="J268" s="163" t="e">
        <f ca="1">_xlfn.XLOOKUP(OFFSET($C$12,$I268,MATCH($J$11,$D$12:$G$12,0)),主线推图!$B$313:$B$612,主线推图!$P$313:$P$612)*OFFSET($C$1,MATCH(J$12,$C$2:$C$7,0),MATCH($J$11,$D$12:$G$12,0))</f>
        <v>#N/A</v>
      </c>
      <c r="K268" s="163" t="e">
        <f ca="1">_xlfn.XLOOKUP(OFFSET($C$12,$I268,MATCH($J$11,$D$12:$G$12,0)),巡逻产出!$B$311:$B$610,巡逻产出!$R$311:$R$610)*OFFSET($C$1,MATCH(K$12,$C$2:$C$7,0),MATCH($J$11,$D$12:$G$12,0))</f>
        <v>#N/A</v>
      </c>
      <c r="L268" s="163">
        <f ca="1">_xlfn.XLOOKUP(MAX(INT((OFFSET($C$12,$I268,MATCH($J$11,$D$12:$G$12,0))-6)/10),1),组队产出!$B$25:$B$39,组队产出!$P$25:$P$39)*OFFSET($C$1,MATCH(L$12,$C$2:$C$7,0),MATCH($J$11,$D$12:$G$12,0))</f>
        <v>1130.4</v>
      </c>
      <c r="M268" s="163">
        <f ca="1">竞技场!$G$3*OFFSET($C$1,MATCH(M$12,$C$2:$C$7,0),MATCH($J$11,$D$12:$G$12,0))</f>
        <v>1050</v>
      </c>
      <c r="N26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8" s="23">
        <f>任务!$G$6+任务!$G$9+IF(MOD(I268,7)=0,任务!$N$9+任务!$O$6,0)</f>
        <v>895</v>
      </c>
      <c r="P268" s="25">
        <f>公会!$U$11</f>
        <v>2766.62857142857</v>
      </c>
      <c r="Q268" s="163" t="e">
        <f ca="1">_xlfn.XLOOKUP(OFFSET($C$12,$I268,MATCH($J$11,$D$12:$G$12,0)),巡逻产出!$B$311:$B$610,巡逻产出!$Q$311:$Q$610)*OFFSET($C$1,MATCH(Q$12,$C$2:$C$7,0),MATCH($J$11,$D$12:$G$12,0))</f>
        <v>#N/A</v>
      </c>
      <c r="S268" s="160">
        <v>256</v>
      </c>
      <c r="T268" s="163" t="e">
        <f ca="1">_xlfn.XLOOKUP(OFFSET($C$12,$I268,MATCH($T$11,$D$12:$G$12,0)),主线推图!$B$313:$B$612,主线推图!$P$313:$P$612)*OFFSET($C$1,MATCH(T$12,$C$2:$C$7,0),MATCH($T$11,$D$12:$G$12,0))</f>
        <v>#N/A</v>
      </c>
      <c r="U268" s="163" t="e">
        <f ca="1">_xlfn.XLOOKUP(OFFSET($C$12,$I268,MATCH($T$11,$D$12:$G$12,0)),巡逻产出!$B$311:$B$610,巡逻产出!$R$311:$R$610)*OFFSET($C$1,MATCH(U$12,$C$2:$C$7,0),MATCH($T$11,$D$12:$G$12,0))</f>
        <v>#N/A</v>
      </c>
      <c r="V268" s="163" t="e">
        <f ca="1">_xlfn.XLOOKUP(MAX(INT((OFFSET($C$12,$I268,MATCH($T$11,$D$12:$G$12,0))-6)/10),1),组队产出!$B$25:$B$39,组队产出!$P$25:$P$39)*OFFSET($C$1,MATCH(V$12,$C$2:$C$7,0),MATCH($T$11,$D$12:$G$12,0))</f>
        <v>#N/A</v>
      </c>
      <c r="W268" s="163">
        <f ca="1">竞技场!$G$3*OFFSET($C$1,MATCH(W$12,$C$2:$C$7,0),MATCH($T$11,$D$12:$G$12,0))</f>
        <v>2100</v>
      </c>
      <c r="X26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8" s="23">
        <f>任务!$G$6+任务!$G$9+IF(MOD(S268,7)=0,任务!$N$9+任务!$O$6,0)</f>
        <v>895</v>
      </c>
      <c r="Z268" s="25">
        <f>公会!$U$11</f>
        <v>2766.62857142857</v>
      </c>
      <c r="AA268" s="163" t="e">
        <f ca="1">_xlfn.XLOOKUP(OFFSET($C$12,$I268,MATCH($T$11,$D$12:$G$12,0)),巡逻产出!$B$311:$B$610,巡逻产出!$Q$311:$Q$610)*OFFSET($C$1,MATCH(AA$12,$C$2:$C$7,0),MATCH($T$11,$D$12:$G$12,0))</f>
        <v>#N/A</v>
      </c>
      <c r="AC268" s="160">
        <v>256</v>
      </c>
      <c r="AD268" s="163">
        <f ca="1">_xlfn.XLOOKUP(OFFSET($C$12,$I268,MATCH($AD$11,$D$12:$G$12,0)),主线推图!$B$313:$B$612,主线推图!$P$313:$P$612)*OFFSET($C$1,MATCH(AD$12,$C$2:$C$7,0),MATCH($AD$11,$D$12:$G$12,0))</f>
        <v>3498</v>
      </c>
      <c r="AE268" s="163">
        <f ca="1">_xlfn.XLOOKUP(OFFSET($C$12,$I268,MATCH($AD$11,$D$12:$G$12,0)),巡逻产出!$B$311:$B$610,巡逻产出!$R$311:$R$610)*OFFSET($C$1,MATCH(AE$12,$C$2:$C$7,0),MATCH($AD$11,$D$12:$G$12,0))</f>
        <v>0</v>
      </c>
      <c r="AF268" s="163" t="e">
        <f ca="1">_xlfn.XLOOKUP(MAX(INT((OFFSET($C$12,$I268,MATCH($AD$11,$D$12:$G$12,0))-6)/10),1),组队产出!$B$25:$B$39,组队产出!$P$25:$P$39)*OFFSET($C$1,MATCH(AF$12,$C$2:$C$7,0),MATCH($AD$11,$D$12:$G$12,0))</f>
        <v>#N/A</v>
      </c>
      <c r="AG268" s="163">
        <f ca="1">竞技场!$G$3*OFFSET($C$1,MATCH(AG$12,$C$2:$C$7,0),MATCH($AD$11,$D$12:$G$12,0))</f>
        <v>3150</v>
      </c>
      <c r="AH26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8" s="23">
        <f>任务!$G$6+任务!$G$9+IF(MOD(AC268,7)=0,任务!$N$9+任务!$O$6,0)</f>
        <v>895</v>
      </c>
      <c r="AJ268" s="25">
        <f>公会!$U$11</f>
        <v>2766.62857142857</v>
      </c>
      <c r="AK268" s="163">
        <f ca="1">_xlfn.XLOOKUP(OFFSET($C$12,$I268,MATCH($AD$11,$D$12:$G$12,0)),巡逻产出!$B$311:$B$610,巡逻产出!$Q$311:$Q$610)*OFFSET($C$1,MATCH(AK$12,$C$2:$C$7,0),MATCH($AD$11,$D$12:$G$12,0))</f>
        <v>2422.368</v>
      </c>
      <c r="AM268" s="164">
        <v>256</v>
      </c>
      <c r="AN268" s="165">
        <f t="shared" si="38"/>
        <v>29757</v>
      </c>
      <c r="AO268" s="165">
        <f t="shared" si="39"/>
        <v>37354</v>
      </c>
      <c r="AP268" s="165">
        <f t="shared" si="40"/>
        <v>59323</v>
      </c>
      <c r="AQ268" s="165">
        <f t="shared" si="41"/>
        <v>78146</v>
      </c>
    </row>
    <row r="269" spans="3:43">
      <c r="C269" s="160">
        <v>257</v>
      </c>
      <c r="D269" s="169">
        <v>177</v>
      </c>
      <c r="E269" s="170">
        <f t="shared" si="36"/>
        <v>139</v>
      </c>
      <c r="F269" s="169">
        <f t="shared" si="37"/>
        <v>166.799999999999</v>
      </c>
      <c r="G269" s="163">
        <f t="shared" si="34"/>
        <v>251.5</v>
      </c>
      <c r="I269" s="160">
        <v>257</v>
      </c>
      <c r="J269" s="163" t="e">
        <f ca="1">_xlfn.XLOOKUP(OFFSET($C$12,$I269,MATCH($J$11,$D$12:$G$12,0)),主线推图!$B$313:$B$612,主线推图!$P$313:$P$612)*OFFSET($C$1,MATCH(J$12,$C$2:$C$7,0),MATCH($J$11,$D$12:$G$12,0))</f>
        <v>#N/A</v>
      </c>
      <c r="K269" s="163" t="e">
        <f ca="1">_xlfn.XLOOKUP(OFFSET($C$12,$I269,MATCH($J$11,$D$12:$G$12,0)),巡逻产出!$B$311:$B$610,巡逻产出!$R$311:$R$610)*OFFSET($C$1,MATCH(K$12,$C$2:$C$7,0),MATCH($J$11,$D$12:$G$12,0))</f>
        <v>#N/A</v>
      </c>
      <c r="L269" s="163">
        <f ca="1">_xlfn.XLOOKUP(MAX(INT((OFFSET($C$12,$I269,MATCH($J$11,$D$12:$G$12,0))-6)/10),1),组队产出!$B$25:$B$39,组队产出!$P$25:$P$39)*OFFSET($C$1,MATCH(L$12,$C$2:$C$7,0),MATCH($J$11,$D$12:$G$12,0))</f>
        <v>1130.4</v>
      </c>
      <c r="M269" s="163">
        <f ca="1">竞技场!$G$3*OFFSET($C$1,MATCH(M$12,$C$2:$C$7,0),MATCH($J$11,$D$12:$G$12,0))</f>
        <v>1050</v>
      </c>
      <c r="N26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9" s="23">
        <f>任务!$G$6+任务!$G$9+IF(MOD(I269,7)=0,任务!$N$9+任务!$O$6,0)</f>
        <v>895</v>
      </c>
      <c r="P269" s="25">
        <f>公会!$U$11</f>
        <v>2766.62857142857</v>
      </c>
      <c r="Q269" s="163" t="e">
        <f ca="1">_xlfn.XLOOKUP(OFFSET($C$12,$I269,MATCH($J$11,$D$12:$G$12,0)),巡逻产出!$B$311:$B$610,巡逻产出!$Q$311:$Q$610)*OFFSET($C$1,MATCH(Q$12,$C$2:$C$7,0),MATCH($J$11,$D$12:$G$12,0))</f>
        <v>#N/A</v>
      </c>
      <c r="S269" s="160">
        <v>257</v>
      </c>
      <c r="T269" s="163" t="e">
        <f ca="1">_xlfn.XLOOKUP(OFFSET($C$12,$I269,MATCH($T$11,$D$12:$G$12,0)),主线推图!$B$313:$B$612,主线推图!$P$313:$P$612)*OFFSET($C$1,MATCH(T$12,$C$2:$C$7,0),MATCH($T$11,$D$12:$G$12,0))</f>
        <v>#N/A</v>
      </c>
      <c r="U269" s="163" t="e">
        <f ca="1">_xlfn.XLOOKUP(OFFSET($C$12,$I269,MATCH($T$11,$D$12:$G$12,0)),巡逻产出!$B$311:$B$610,巡逻产出!$R$311:$R$610)*OFFSET($C$1,MATCH(U$12,$C$2:$C$7,0),MATCH($T$11,$D$12:$G$12,0))</f>
        <v>#N/A</v>
      </c>
      <c r="V269" s="163" t="e">
        <f ca="1">_xlfn.XLOOKUP(MAX(INT((OFFSET($C$12,$I269,MATCH($T$11,$D$12:$G$12,0))-6)/10),1),组队产出!$B$25:$B$39,组队产出!$P$25:$P$39)*OFFSET($C$1,MATCH(V$12,$C$2:$C$7,0),MATCH($T$11,$D$12:$G$12,0))</f>
        <v>#N/A</v>
      </c>
      <c r="W269" s="163">
        <f ca="1">竞技场!$G$3*OFFSET($C$1,MATCH(W$12,$C$2:$C$7,0),MATCH($T$11,$D$12:$G$12,0))</f>
        <v>2100</v>
      </c>
      <c r="X26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9" s="23">
        <f>任务!$G$6+任务!$G$9+IF(MOD(S269,7)=0,任务!$N$9+任务!$O$6,0)</f>
        <v>895</v>
      </c>
      <c r="Z269" s="25">
        <f>公会!$U$11</f>
        <v>2766.62857142857</v>
      </c>
      <c r="AA269" s="163" t="e">
        <f ca="1">_xlfn.XLOOKUP(OFFSET($C$12,$I269,MATCH($T$11,$D$12:$G$12,0)),巡逻产出!$B$311:$B$610,巡逻产出!$Q$311:$Q$610)*OFFSET($C$1,MATCH(AA$12,$C$2:$C$7,0),MATCH($T$11,$D$12:$G$12,0))</f>
        <v>#N/A</v>
      </c>
      <c r="AC269" s="160">
        <v>257</v>
      </c>
      <c r="AD269" s="163" t="e">
        <f ca="1">_xlfn.XLOOKUP(OFFSET($C$12,$I269,MATCH($AD$11,$D$12:$G$12,0)),主线推图!$B$313:$B$612,主线推图!$P$313:$P$612)*OFFSET($C$1,MATCH(AD$12,$C$2:$C$7,0),MATCH($AD$11,$D$12:$G$12,0))</f>
        <v>#N/A</v>
      </c>
      <c r="AE269" s="163" t="e">
        <f ca="1">_xlfn.XLOOKUP(OFFSET($C$12,$I269,MATCH($AD$11,$D$12:$G$12,0)),巡逻产出!$B$311:$B$610,巡逻产出!$R$311:$R$610)*OFFSET($C$1,MATCH(AE$12,$C$2:$C$7,0),MATCH($AD$11,$D$12:$G$12,0))</f>
        <v>#N/A</v>
      </c>
      <c r="AF269" s="163" t="e">
        <f ca="1">_xlfn.XLOOKUP(MAX(INT((OFFSET($C$12,$I269,MATCH($AD$11,$D$12:$G$12,0))-6)/10),1),组队产出!$B$25:$B$39,组队产出!$P$25:$P$39)*OFFSET($C$1,MATCH(AF$12,$C$2:$C$7,0),MATCH($AD$11,$D$12:$G$12,0))</f>
        <v>#N/A</v>
      </c>
      <c r="AG269" s="163">
        <f ca="1">竞技场!$G$3*OFFSET($C$1,MATCH(AG$12,$C$2:$C$7,0),MATCH($AD$11,$D$12:$G$12,0))</f>
        <v>3150</v>
      </c>
      <c r="AH26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9" s="23">
        <f>任务!$G$6+任务!$G$9+IF(MOD(AC269,7)=0,任务!$N$9+任务!$O$6,0)</f>
        <v>895</v>
      </c>
      <c r="AJ269" s="25">
        <f>公会!$U$11</f>
        <v>2766.62857142857</v>
      </c>
      <c r="AK269" s="163" t="e">
        <f ca="1">_xlfn.XLOOKUP(OFFSET($C$12,$I269,MATCH($AD$11,$D$12:$G$12,0)),巡逻产出!$B$311:$B$610,巡逻产出!$Q$311:$Q$610)*OFFSET($C$1,MATCH(AK$12,$C$2:$C$7,0),MATCH($AD$11,$D$12:$G$12,0))</f>
        <v>#N/A</v>
      </c>
      <c r="AM269" s="164">
        <v>257</v>
      </c>
      <c r="AN269" s="165">
        <f t="shared" si="38"/>
        <v>29871</v>
      </c>
      <c r="AO269" s="165">
        <f t="shared" si="39"/>
        <v>37497</v>
      </c>
      <c r="AP269" s="165">
        <f t="shared" si="40"/>
        <v>59552</v>
      </c>
      <c r="AQ269" s="165">
        <f t="shared" si="41"/>
        <v>78448</v>
      </c>
    </row>
    <row r="270" spans="3:43">
      <c r="C270" s="160">
        <v>258</v>
      </c>
      <c r="D270" s="169">
        <v>177</v>
      </c>
      <c r="E270" s="170">
        <f t="shared" si="36"/>
        <v>139.25</v>
      </c>
      <c r="F270" s="169">
        <f t="shared" si="37"/>
        <v>167.149999999999</v>
      </c>
      <c r="G270" s="163">
        <f t="shared" si="34"/>
        <v>252</v>
      </c>
      <c r="I270" s="160">
        <v>258</v>
      </c>
      <c r="J270" s="163" t="e">
        <f ca="1">_xlfn.XLOOKUP(OFFSET($C$12,$I270,MATCH($J$11,$D$12:$G$12,0)),主线推图!$B$313:$B$612,主线推图!$P$313:$P$612)*OFFSET($C$1,MATCH(J$12,$C$2:$C$7,0),MATCH($J$11,$D$12:$G$12,0))</f>
        <v>#N/A</v>
      </c>
      <c r="K270" s="163" t="e">
        <f ca="1">_xlfn.XLOOKUP(OFFSET($C$12,$I270,MATCH($J$11,$D$12:$G$12,0)),巡逻产出!$B$311:$B$610,巡逻产出!$R$311:$R$610)*OFFSET($C$1,MATCH(K$12,$C$2:$C$7,0),MATCH($J$11,$D$12:$G$12,0))</f>
        <v>#N/A</v>
      </c>
      <c r="L270" s="163">
        <f ca="1">_xlfn.XLOOKUP(MAX(INT((OFFSET($C$12,$I270,MATCH($J$11,$D$12:$G$12,0))-6)/10),1),组队产出!$B$25:$B$39,组队产出!$P$25:$P$39)*OFFSET($C$1,MATCH(L$12,$C$2:$C$7,0),MATCH($J$11,$D$12:$G$12,0))</f>
        <v>1130.4</v>
      </c>
      <c r="M270" s="163">
        <f ca="1">竞技场!$G$3*OFFSET($C$1,MATCH(M$12,$C$2:$C$7,0),MATCH($J$11,$D$12:$G$12,0))</f>
        <v>1050</v>
      </c>
      <c r="N27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0" s="23">
        <f>任务!$G$6+任务!$G$9+IF(MOD(I270,7)=0,任务!$N$9+任务!$O$6,0)</f>
        <v>895</v>
      </c>
      <c r="P270" s="25">
        <f>公会!$U$11</f>
        <v>2766.62857142857</v>
      </c>
      <c r="Q270" s="163" t="e">
        <f ca="1">_xlfn.XLOOKUP(OFFSET($C$12,$I270,MATCH($J$11,$D$12:$G$12,0)),巡逻产出!$B$311:$B$610,巡逻产出!$Q$311:$Q$610)*OFFSET($C$1,MATCH(Q$12,$C$2:$C$7,0),MATCH($J$11,$D$12:$G$12,0))</f>
        <v>#N/A</v>
      </c>
      <c r="S270" s="160">
        <v>258</v>
      </c>
      <c r="T270" s="163" t="e">
        <f ca="1">_xlfn.XLOOKUP(OFFSET($C$12,$I270,MATCH($T$11,$D$12:$G$12,0)),主线推图!$B$313:$B$612,主线推图!$P$313:$P$612)*OFFSET($C$1,MATCH(T$12,$C$2:$C$7,0),MATCH($T$11,$D$12:$G$12,0))</f>
        <v>#N/A</v>
      </c>
      <c r="U270" s="163" t="e">
        <f ca="1">_xlfn.XLOOKUP(OFFSET($C$12,$I270,MATCH($T$11,$D$12:$G$12,0)),巡逻产出!$B$311:$B$610,巡逻产出!$R$311:$R$610)*OFFSET($C$1,MATCH(U$12,$C$2:$C$7,0),MATCH($T$11,$D$12:$G$12,0))</f>
        <v>#N/A</v>
      </c>
      <c r="V270" s="163" t="e">
        <f ca="1">_xlfn.XLOOKUP(MAX(INT((OFFSET($C$12,$I270,MATCH($T$11,$D$12:$G$12,0))-6)/10),1),组队产出!$B$25:$B$39,组队产出!$P$25:$P$39)*OFFSET($C$1,MATCH(V$12,$C$2:$C$7,0),MATCH($T$11,$D$12:$G$12,0))</f>
        <v>#N/A</v>
      </c>
      <c r="W270" s="163">
        <f ca="1">竞技场!$G$3*OFFSET($C$1,MATCH(W$12,$C$2:$C$7,0),MATCH($T$11,$D$12:$G$12,0))</f>
        <v>2100</v>
      </c>
      <c r="X27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0" s="23">
        <f>任务!$G$6+任务!$G$9+IF(MOD(S270,7)=0,任务!$N$9+任务!$O$6,0)</f>
        <v>895</v>
      </c>
      <c r="Z270" s="25">
        <f>公会!$U$11</f>
        <v>2766.62857142857</v>
      </c>
      <c r="AA270" s="163" t="e">
        <f ca="1">_xlfn.XLOOKUP(OFFSET($C$12,$I270,MATCH($T$11,$D$12:$G$12,0)),巡逻产出!$B$311:$B$610,巡逻产出!$Q$311:$Q$610)*OFFSET($C$1,MATCH(AA$12,$C$2:$C$7,0),MATCH($T$11,$D$12:$G$12,0))</f>
        <v>#N/A</v>
      </c>
      <c r="AC270" s="160">
        <v>258</v>
      </c>
      <c r="AD270" s="163">
        <f ca="1">_xlfn.XLOOKUP(OFFSET($C$12,$I270,MATCH($AD$11,$D$12:$G$12,0)),主线推图!$B$313:$B$612,主线推图!$P$313:$P$612)*OFFSET($C$1,MATCH(AD$12,$C$2:$C$7,0),MATCH($AD$11,$D$12:$G$12,0))</f>
        <v>3500.2</v>
      </c>
      <c r="AE270" s="163">
        <f ca="1">_xlfn.XLOOKUP(OFFSET($C$12,$I270,MATCH($AD$11,$D$12:$G$12,0)),巡逻产出!$B$311:$B$610,巡逻产出!$R$311:$R$610)*OFFSET($C$1,MATCH(AE$12,$C$2:$C$7,0),MATCH($AD$11,$D$12:$G$12,0))</f>
        <v>0</v>
      </c>
      <c r="AF270" s="163" t="e">
        <f ca="1">_xlfn.XLOOKUP(MAX(INT((OFFSET($C$12,$I270,MATCH($AD$11,$D$12:$G$12,0))-6)/10),1),组队产出!$B$25:$B$39,组队产出!$P$25:$P$39)*OFFSET($C$1,MATCH(AF$12,$C$2:$C$7,0),MATCH($AD$11,$D$12:$G$12,0))</f>
        <v>#N/A</v>
      </c>
      <c r="AG270" s="163">
        <f ca="1">竞技场!$G$3*OFFSET($C$1,MATCH(AG$12,$C$2:$C$7,0),MATCH($AD$11,$D$12:$G$12,0))</f>
        <v>3150</v>
      </c>
      <c r="AH27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0" s="23">
        <f>任务!$G$6+任务!$G$9+IF(MOD(AC270,7)=0,任务!$N$9+任务!$O$6,0)</f>
        <v>895</v>
      </c>
      <c r="AJ270" s="25">
        <f>公会!$U$11</f>
        <v>2766.62857142857</v>
      </c>
      <c r="AK270" s="163">
        <f ca="1">_xlfn.XLOOKUP(OFFSET($C$12,$I270,MATCH($AD$11,$D$12:$G$12,0)),巡逻产出!$B$311:$B$610,巡逻产出!$Q$311:$Q$610)*OFFSET($C$1,MATCH(AK$12,$C$2:$C$7,0),MATCH($AD$11,$D$12:$G$12,0))</f>
        <v>2423.928</v>
      </c>
      <c r="AM270" s="164">
        <v>258</v>
      </c>
      <c r="AN270" s="165">
        <f t="shared" si="38"/>
        <v>29984</v>
      </c>
      <c r="AO270" s="165">
        <f t="shared" si="39"/>
        <v>37640</v>
      </c>
      <c r="AP270" s="165">
        <f t="shared" si="40"/>
        <v>59780</v>
      </c>
      <c r="AQ270" s="165">
        <f t="shared" si="41"/>
        <v>78750</v>
      </c>
    </row>
    <row r="271" spans="3:43">
      <c r="C271" s="160">
        <v>259</v>
      </c>
      <c r="D271" s="169">
        <v>177</v>
      </c>
      <c r="E271" s="170">
        <f t="shared" si="36"/>
        <v>139.5</v>
      </c>
      <c r="F271" s="169">
        <f t="shared" si="37"/>
        <v>167.499999999999</v>
      </c>
      <c r="G271" s="163">
        <f t="shared" si="34"/>
        <v>252.5</v>
      </c>
      <c r="I271" s="160">
        <v>259</v>
      </c>
      <c r="J271" s="163" t="e">
        <f ca="1">_xlfn.XLOOKUP(OFFSET($C$12,$I271,MATCH($J$11,$D$12:$G$12,0)),主线推图!$B$313:$B$612,主线推图!$P$313:$P$612)*OFFSET($C$1,MATCH(J$12,$C$2:$C$7,0),MATCH($J$11,$D$12:$G$12,0))</f>
        <v>#N/A</v>
      </c>
      <c r="K271" s="163" t="e">
        <f ca="1">_xlfn.XLOOKUP(OFFSET($C$12,$I271,MATCH($J$11,$D$12:$G$12,0)),巡逻产出!$B$311:$B$610,巡逻产出!$R$311:$R$610)*OFFSET($C$1,MATCH(K$12,$C$2:$C$7,0),MATCH($J$11,$D$12:$G$12,0))</f>
        <v>#N/A</v>
      </c>
      <c r="L271" s="163">
        <f ca="1">_xlfn.XLOOKUP(MAX(INT((OFFSET($C$12,$I271,MATCH($J$11,$D$12:$G$12,0))-6)/10),1),组队产出!$B$25:$B$39,组队产出!$P$25:$P$39)*OFFSET($C$1,MATCH(L$12,$C$2:$C$7,0),MATCH($J$11,$D$12:$G$12,0))</f>
        <v>1130.4</v>
      </c>
      <c r="M271" s="163">
        <f ca="1">竞技场!$G$3*OFFSET($C$1,MATCH(M$12,$C$2:$C$7,0),MATCH($J$11,$D$12:$G$12,0))</f>
        <v>1050</v>
      </c>
      <c r="N27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1" s="23">
        <f>任务!$G$6+任务!$G$9+IF(MOD(I271,7)=0,任务!$N$9+任务!$O$6,0)</f>
        <v>3125</v>
      </c>
      <c r="P271" s="25">
        <f>公会!$U$11</f>
        <v>2766.62857142857</v>
      </c>
      <c r="Q271" s="163" t="e">
        <f ca="1">_xlfn.XLOOKUP(OFFSET($C$12,$I271,MATCH($J$11,$D$12:$G$12,0)),巡逻产出!$B$311:$B$610,巡逻产出!$Q$311:$Q$610)*OFFSET($C$1,MATCH(Q$12,$C$2:$C$7,0),MATCH($J$11,$D$12:$G$12,0))</f>
        <v>#N/A</v>
      </c>
      <c r="S271" s="160">
        <v>259</v>
      </c>
      <c r="T271" s="163" t="e">
        <f ca="1">_xlfn.XLOOKUP(OFFSET($C$12,$I271,MATCH($T$11,$D$12:$G$12,0)),主线推图!$B$313:$B$612,主线推图!$P$313:$P$612)*OFFSET($C$1,MATCH(T$12,$C$2:$C$7,0),MATCH($T$11,$D$12:$G$12,0))</f>
        <v>#N/A</v>
      </c>
      <c r="U271" s="163" t="e">
        <f ca="1">_xlfn.XLOOKUP(OFFSET($C$12,$I271,MATCH($T$11,$D$12:$G$12,0)),巡逻产出!$B$311:$B$610,巡逻产出!$R$311:$R$610)*OFFSET($C$1,MATCH(U$12,$C$2:$C$7,0),MATCH($T$11,$D$12:$G$12,0))</f>
        <v>#N/A</v>
      </c>
      <c r="V271" s="163" t="e">
        <f ca="1">_xlfn.XLOOKUP(MAX(INT((OFFSET($C$12,$I271,MATCH($T$11,$D$12:$G$12,0))-6)/10),1),组队产出!$B$25:$B$39,组队产出!$P$25:$P$39)*OFFSET($C$1,MATCH(V$12,$C$2:$C$7,0),MATCH($T$11,$D$12:$G$12,0))</f>
        <v>#N/A</v>
      </c>
      <c r="W271" s="163">
        <f ca="1">竞技场!$G$3*OFFSET($C$1,MATCH(W$12,$C$2:$C$7,0),MATCH($T$11,$D$12:$G$12,0))</f>
        <v>2100</v>
      </c>
      <c r="X27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1" s="23">
        <f>任务!$G$6+任务!$G$9+IF(MOD(S271,7)=0,任务!$N$9+任务!$O$6,0)</f>
        <v>3125</v>
      </c>
      <c r="Z271" s="25">
        <f>公会!$U$11</f>
        <v>2766.62857142857</v>
      </c>
      <c r="AA271" s="163" t="e">
        <f ca="1">_xlfn.XLOOKUP(OFFSET($C$12,$I271,MATCH($T$11,$D$12:$G$12,0)),巡逻产出!$B$311:$B$610,巡逻产出!$Q$311:$Q$610)*OFFSET($C$1,MATCH(AA$12,$C$2:$C$7,0),MATCH($T$11,$D$12:$G$12,0))</f>
        <v>#N/A</v>
      </c>
      <c r="AC271" s="160">
        <v>259</v>
      </c>
      <c r="AD271" s="163" t="e">
        <f ca="1">_xlfn.XLOOKUP(OFFSET($C$12,$I271,MATCH($AD$11,$D$12:$G$12,0)),主线推图!$B$313:$B$612,主线推图!$P$313:$P$612)*OFFSET($C$1,MATCH(AD$12,$C$2:$C$7,0),MATCH($AD$11,$D$12:$G$12,0))</f>
        <v>#N/A</v>
      </c>
      <c r="AE271" s="163" t="e">
        <f ca="1">_xlfn.XLOOKUP(OFFSET($C$12,$I271,MATCH($AD$11,$D$12:$G$12,0)),巡逻产出!$B$311:$B$610,巡逻产出!$R$311:$R$610)*OFFSET($C$1,MATCH(AE$12,$C$2:$C$7,0),MATCH($AD$11,$D$12:$G$12,0))</f>
        <v>#N/A</v>
      </c>
      <c r="AF271" s="163" t="e">
        <f ca="1">_xlfn.XLOOKUP(MAX(INT((OFFSET($C$12,$I271,MATCH($AD$11,$D$12:$G$12,0))-6)/10),1),组队产出!$B$25:$B$39,组队产出!$P$25:$P$39)*OFFSET($C$1,MATCH(AF$12,$C$2:$C$7,0),MATCH($AD$11,$D$12:$G$12,0))</f>
        <v>#N/A</v>
      </c>
      <c r="AG271" s="163">
        <f ca="1">竞技场!$G$3*OFFSET($C$1,MATCH(AG$12,$C$2:$C$7,0),MATCH($AD$11,$D$12:$G$12,0))</f>
        <v>3150</v>
      </c>
      <c r="AH27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1" s="23">
        <f>任务!$G$6+任务!$G$9+IF(MOD(AC271,7)=0,任务!$N$9+任务!$O$6,0)</f>
        <v>3125</v>
      </c>
      <c r="AJ271" s="25">
        <f>公会!$U$11</f>
        <v>2766.62857142857</v>
      </c>
      <c r="AK271" s="163" t="e">
        <f ca="1">_xlfn.XLOOKUP(OFFSET($C$12,$I271,MATCH($AD$11,$D$12:$G$12,0)),巡逻产出!$B$311:$B$610,巡逻产出!$Q$311:$Q$610)*OFFSET($C$1,MATCH(AK$12,$C$2:$C$7,0),MATCH($AD$11,$D$12:$G$12,0))</f>
        <v>#N/A</v>
      </c>
      <c r="AM271" s="164">
        <v>259</v>
      </c>
      <c r="AN271" s="165">
        <f t="shared" si="38"/>
        <v>30098</v>
      </c>
      <c r="AO271" s="165">
        <f t="shared" si="39"/>
        <v>37783</v>
      </c>
      <c r="AP271" s="165">
        <f t="shared" si="40"/>
        <v>60009</v>
      </c>
      <c r="AQ271" s="165">
        <f t="shared" si="41"/>
        <v>79052</v>
      </c>
    </row>
    <row r="272" spans="3:43">
      <c r="C272" s="160">
        <v>260</v>
      </c>
      <c r="D272" s="169">
        <v>177</v>
      </c>
      <c r="E272" s="170">
        <f t="shared" si="36"/>
        <v>139.75</v>
      </c>
      <c r="F272" s="169">
        <f t="shared" si="37"/>
        <v>167.849999999999</v>
      </c>
      <c r="G272" s="163">
        <f t="shared" si="34"/>
        <v>253</v>
      </c>
      <c r="I272" s="160">
        <v>260</v>
      </c>
      <c r="J272" s="163" t="e">
        <f ca="1">_xlfn.XLOOKUP(OFFSET($C$12,$I272,MATCH($J$11,$D$12:$G$12,0)),主线推图!$B$313:$B$612,主线推图!$P$313:$P$612)*OFFSET($C$1,MATCH(J$12,$C$2:$C$7,0),MATCH($J$11,$D$12:$G$12,0))</f>
        <v>#N/A</v>
      </c>
      <c r="K272" s="163" t="e">
        <f ca="1">_xlfn.XLOOKUP(OFFSET($C$12,$I272,MATCH($J$11,$D$12:$G$12,0)),巡逻产出!$B$311:$B$610,巡逻产出!$R$311:$R$610)*OFFSET($C$1,MATCH(K$12,$C$2:$C$7,0),MATCH($J$11,$D$12:$G$12,0))</f>
        <v>#N/A</v>
      </c>
      <c r="L272" s="163">
        <f ca="1">_xlfn.XLOOKUP(MAX(INT((OFFSET($C$12,$I272,MATCH($J$11,$D$12:$G$12,0))-6)/10),1),组队产出!$B$25:$B$39,组队产出!$P$25:$P$39)*OFFSET($C$1,MATCH(L$12,$C$2:$C$7,0),MATCH($J$11,$D$12:$G$12,0))</f>
        <v>1130.4</v>
      </c>
      <c r="M272" s="163">
        <f ca="1">竞技场!$G$3*OFFSET($C$1,MATCH(M$12,$C$2:$C$7,0),MATCH($J$11,$D$12:$G$12,0))</f>
        <v>1050</v>
      </c>
      <c r="N27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2" s="23">
        <f>任务!$G$6+任务!$G$9+IF(MOD(I272,7)=0,任务!$N$9+任务!$O$6,0)</f>
        <v>895</v>
      </c>
      <c r="P272" s="25">
        <f>公会!$U$11</f>
        <v>2766.62857142857</v>
      </c>
      <c r="Q272" s="163" t="e">
        <f ca="1">_xlfn.XLOOKUP(OFFSET($C$12,$I272,MATCH($J$11,$D$12:$G$12,0)),巡逻产出!$B$311:$B$610,巡逻产出!$Q$311:$Q$610)*OFFSET($C$1,MATCH(Q$12,$C$2:$C$7,0),MATCH($J$11,$D$12:$G$12,0))</f>
        <v>#N/A</v>
      </c>
      <c r="S272" s="160">
        <v>260</v>
      </c>
      <c r="T272" s="163" t="e">
        <f ca="1">_xlfn.XLOOKUP(OFFSET($C$12,$I272,MATCH($T$11,$D$12:$G$12,0)),主线推图!$B$313:$B$612,主线推图!$P$313:$P$612)*OFFSET($C$1,MATCH(T$12,$C$2:$C$7,0),MATCH($T$11,$D$12:$G$12,0))</f>
        <v>#N/A</v>
      </c>
      <c r="U272" s="163" t="e">
        <f ca="1">_xlfn.XLOOKUP(OFFSET($C$12,$I272,MATCH($T$11,$D$12:$G$12,0)),巡逻产出!$B$311:$B$610,巡逻产出!$R$311:$R$610)*OFFSET($C$1,MATCH(U$12,$C$2:$C$7,0),MATCH($T$11,$D$12:$G$12,0))</f>
        <v>#N/A</v>
      </c>
      <c r="V272" s="163" t="e">
        <f ca="1">_xlfn.XLOOKUP(MAX(INT((OFFSET($C$12,$I272,MATCH($T$11,$D$12:$G$12,0))-6)/10),1),组队产出!$B$25:$B$39,组队产出!$P$25:$P$39)*OFFSET($C$1,MATCH(V$12,$C$2:$C$7,0),MATCH($T$11,$D$12:$G$12,0))</f>
        <v>#N/A</v>
      </c>
      <c r="W272" s="163">
        <f ca="1">竞技场!$G$3*OFFSET($C$1,MATCH(W$12,$C$2:$C$7,0),MATCH($T$11,$D$12:$G$12,0))</f>
        <v>2100</v>
      </c>
      <c r="X27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2" s="23">
        <f>任务!$G$6+任务!$G$9+IF(MOD(S272,7)=0,任务!$N$9+任务!$O$6,0)</f>
        <v>895</v>
      </c>
      <c r="Z272" s="25">
        <f>公会!$U$11</f>
        <v>2766.62857142857</v>
      </c>
      <c r="AA272" s="163" t="e">
        <f ca="1">_xlfn.XLOOKUP(OFFSET($C$12,$I272,MATCH($T$11,$D$12:$G$12,0)),巡逻产出!$B$311:$B$610,巡逻产出!$Q$311:$Q$610)*OFFSET($C$1,MATCH(AA$12,$C$2:$C$7,0),MATCH($T$11,$D$12:$G$12,0))</f>
        <v>#N/A</v>
      </c>
      <c r="AC272" s="160">
        <v>260</v>
      </c>
      <c r="AD272" s="163">
        <f ca="1">_xlfn.XLOOKUP(OFFSET($C$12,$I272,MATCH($AD$11,$D$12:$G$12,0)),主线推图!$B$313:$B$612,主线推图!$P$313:$P$612)*OFFSET($C$1,MATCH(AD$12,$C$2:$C$7,0),MATCH($AD$11,$D$12:$G$12,0))</f>
        <v>3502.4</v>
      </c>
      <c r="AE272" s="163">
        <f ca="1">_xlfn.XLOOKUP(OFFSET($C$12,$I272,MATCH($AD$11,$D$12:$G$12,0)),巡逻产出!$B$311:$B$610,巡逻产出!$R$311:$R$610)*OFFSET($C$1,MATCH(AE$12,$C$2:$C$7,0),MATCH($AD$11,$D$12:$G$12,0))</f>
        <v>0</v>
      </c>
      <c r="AF272" s="163" t="e">
        <f ca="1">_xlfn.XLOOKUP(MAX(INT((OFFSET($C$12,$I272,MATCH($AD$11,$D$12:$G$12,0))-6)/10),1),组队产出!$B$25:$B$39,组队产出!$P$25:$P$39)*OFFSET($C$1,MATCH(AF$12,$C$2:$C$7,0),MATCH($AD$11,$D$12:$G$12,0))</f>
        <v>#N/A</v>
      </c>
      <c r="AG272" s="163">
        <f ca="1">竞技场!$G$3*OFFSET($C$1,MATCH(AG$12,$C$2:$C$7,0),MATCH($AD$11,$D$12:$G$12,0))</f>
        <v>3150</v>
      </c>
      <c r="AH27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2" s="23">
        <f>任务!$G$6+任务!$G$9+IF(MOD(AC272,7)=0,任务!$N$9+任务!$O$6,0)</f>
        <v>895</v>
      </c>
      <c r="AJ272" s="25">
        <f>公会!$U$11</f>
        <v>2766.62857142857</v>
      </c>
      <c r="AK272" s="163">
        <f ca="1">_xlfn.XLOOKUP(OFFSET($C$12,$I272,MATCH($AD$11,$D$12:$G$12,0)),巡逻产出!$B$311:$B$610,巡逻产出!$Q$311:$Q$610)*OFFSET($C$1,MATCH(AK$12,$C$2:$C$7,0),MATCH($AD$11,$D$12:$G$12,0))</f>
        <v>2425.488</v>
      </c>
      <c r="AM272" s="164">
        <v>260</v>
      </c>
      <c r="AN272" s="165">
        <f t="shared" si="38"/>
        <v>30211</v>
      </c>
      <c r="AO272" s="165">
        <f t="shared" si="39"/>
        <v>37926</v>
      </c>
      <c r="AP272" s="165">
        <f t="shared" si="40"/>
        <v>60237</v>
      </c>
      <c r="AQ272" s="165">
        <f t="shared" si="41"/>
        <v>79354</v>
      </c>
    </row>
    <row r="273" spans="3:43">
      <c r="C273" s="160">
        <v>261</v>
      </c>
      <c r="D273" s="169">
        <v>177</v>
      </c>
      <c r="E273" s="170">
        <f t="shared" si="36"/>
        <v>140</v>
      </c>
      <c r="F273" s="169">
        <f t="shared" si="37"/>
        <v>168.199999999999</v>
      </c>
      <c r="G273" s="163">
        <f t="shared" si="34"/>
        <v>253.5</v>
      </c>
      <c r="I273" s="160">
        <v>261</v>
      </c>
      <c r="J273" s="163" t="e">
        <f ca="1">_xlfn.XLOOKUP(OFFSET($C$12,$I273,MATCH($J$11,$D$12:$G$12,0)),主线推图!$B$313:$B$612,主线推图!$P$313:$P$612)*OFFSET($C$1,MATCH(J$12,$C$2:$C$7,0),MATCH($J$11,$D$12:$G$12,0))</f>
        <v>#N/A</v>
      </c>
      <c r="K273" s="163" t="e">
        <f ca="1">_xlfn.XLOOKUP(OFFSET($C$12,$I273,MATCH($J$11,$D$12:$G$12,0)),巡逻产出!$B$311:$B$610,巡逻产出!$R$311:$R$610)*OFFSET($C$1,MATCH(K$12,$C$2:$C$7,0),MATCH($J$11,$D$12:$G$12,0))</f>
        <v>#N/A</v>
      </c>
      <c r="L273" s="163">
        <f ca="1">_xlfn.XLOOKUP(MAX(INT((OFFSET($C$12,$I273,MATCH($J$11,$D$12:$G$12,0))-6)/10),1),组队产出!$B$25:$B$39,组队产出!$P$25:$P$39)*OFFSET($C$1,MATCH(L$12,$C$2:$C$7,0),MATCH($J$11,$D$12:$G$12,0))</f>
        <v>1130.4</v>
      </c>
      <c r="M273" s="163">
        <f ca="1">竞技场!$G$3*OFFSET($C$1,MATCH(M$12,$C$2:$C$7,0),MATCH($J$11,$D$12:$G$12,0))</f>
        <v>1050</v>
      </c>
      <c r="N27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3" s="23">
        <f>任务!$G$6+任务!$G$9+IF(MOD(I273,7)=0,任务!$N$9+任务!$O$6,0)</f>
        <v>895</v>
      </c>
      <c r="P273" s="25">
        <f>公会!$U$11</f>
        <v>2766.62857142857</v>
      </c>
      <c r="Q273" s="163" t="e">
        <f ca="1">_xlfn.XLOOKUP(OFFSET($C$12,$I273,MATCH($J$11,$D$12:$G$12,0)),巡逻产出!$B$311:$B$610,巡逻产出!$Q$311:$Q$610)*OFFSET($C$1,MATCH(Q$12,$C$2:$C$7,0),MATCH($J$11,$D$12:$G$12,0))</f>
        <v>#N/A</v>
      </c>
      <c r="S273" s="160">
        <v>261</v>
      </c>
      <c r="T273" s="163" t="e">
        <f ca="1">_xlfn.XLOOKUP(OFFSET($C$12,$I273,MATCH($T$11,$D$12:$G$12,0)),主线推图!$B$313:$B$612,主线推图!$P$313:$P$612)*OFFSET($C$1,MATCH(T$12,$C$2:$C$7,0),MATCH($T$11,$D$12:$G$12,0))</f>
        <v>#N/A</v>
      </c>
      <c r="U273" s="163" t="e">
        <f ca="1">_xlfn.XLOOKUP(OFFSET($C$12,$I273,MATCH($T$11,$D$12:$G$12,0)),巡逻产出!$B$311:$B$610,巡逻产出!$R$311:$R$610)*OFFSET($C$1,MATCH(U$12,$C$2:$C$7,0),MATCH($T$11,$D$12:$G$12,0))</f>
        <v>#N/A</v>
      </c>
      <c r="V273" s="163" t="e">
        <f ca="1">_xlfn.XLOOKUP(MAX(INT((OFFSET($C$12,$I273,MATCH($T$11,$D$12:$G$12,0))-6)/10),1),组队产出!$B$25:$B$39,组队产出!$P$25:$P$39)*OFFSET($C$1,MATCH(V$12,$C$2:$C$7,0),MATCH($T$11,$D$12:$G$12,0))</f>
        <v>#N/A</v>
      </c>
      <c r="W273" s="163">
        <f ca="1">竞技场!$G$3*OFFSET($C$1,MATCH(W$12,$C$2:$C$7,0),MATCH($T$11,$D$12:$G$12,0))</f>
        <v>2100</v>
      </c>
      <c r="X27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3" s="23">
        <f>任务!$G$6+任务!$G$9+IF(MOD(S273,7)=0,任务!$N$9+任务!$O$6,0)</f>
        <v>895</v>
      </c>
      <c r="Z273" s="25">
        <f>公会!$U$11</f>
        <v>2766.62857142857</v>
      </c>
      <c r="AA273" s="163" t="e">
        <f ca="1">_xlfn.XLOOKUP(OFFSET($C$12,$I273,MATCH($T$11,$D$12:$G$12,0)),巡逻产出!$B$311:$B$610,巡逻产出!$Q$311:$Q$610)*OFFSET($C$1,MATCH(AA$12,$C$2:$C$7,0),MATCH($T$11,$D$12:$G$12,0))</f>
        <v>#N/A</v>
      </c>
      <c r="AC273" s="160">
        <v>261</v>
      </c>
      <c r="AD273" s="163" t="e">
        <f ca="1">_xlfn.XLOOKUP(OFFSET($C$12,$I273,MATCH($AD$11,$D$12:$G$12,0)),主线推图!$B$313:$B$612,主线推图!$P$313:$P$612)*OFFSET($C$1,MATCH(AD$12,$C$2:$C$7,0),MATCH($AD$11,$D$12:$G$12,0))</f>
        <v>#N/A</v>
      </c>
      <c r="AE273" s="163" t="e">
        <f ca="1">_xlfn.XLOOKUP(OFFSET($C$12,$I273,MATCH($AD$11,$D$12:$G$12,0)),巡逻产出!$B$311:$B$610,巡逻产出!$R$311:$R$610)*OFFSET($C$1,MATCH(AE$12,$C$2:$C$7,0),MATCH($AD$11,$D$12:$G$12,0))</f>
        <v>#N/A</v>
      </c>
      <c r="AF273" s="163" t="e">
        <f ca="1">_xlfn.XLOOKUP(MAX(INT((OFFSET($C$12,$I273,MATCH($AD$11,$D$12:$G$12,0))-6)/10),1),组队产出!$B$25:$B$39,组队产出!$P$25:$P$39)*OFFSET($C$1,MATCH(AF$12,$C$2:$C$7,0),MATCH($AD$11,$D$12:$G$12,0))</f>
        <v>#N/A</v>
      </c>
      <c r="AG273" s="163">
        <f ca="1">竞技场!$G$3*OFFSET($C$1,MATCH(AG$12,$C$2:$C$7,0),MATCH($AD$11,$D$12:$G$12,0))</f>
        <v>3150</v>
      </c>
      <c r="AH27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3" s="23">
        <f>任务!$G$6+任务!$G$9+IF(MOD(AC273,7)=0,任务!$N$9+任务!$O$6,0)</f>
        <v>895</v>
      </c>
      <c r="AJ273" s="25">
        <f>公会!$U$11</f>
        <v>2766.62857142857</v>
      </c>
      <c r="AK273" s="163" t="e">
        <f ca="1">_xlfn.XLOOKUP(OFFSET($C$12,$I273,MATCH($AD$11,$D$12:$G$12,0)),巡逻产出!$B$311:$B$610,巡逻产出!$Q$311:$Q$610)*OFFSET($C$1,MATCH(AK$12,$C$2:$C$7,0),MATCH($AD$11,$D$12:$G$12,0))</f>
        <v>#N/A</v>
      </c>
      <c r="AM273" s="164">
        <v>261</v>
      </c>
      <c r="AN273" s="165">
        <f t="shared" si="38"/>
        <v>30325</v>
      </c>
      <c r="AO273" s="165">
        <f t="shared" si="39"/>
        <v>38069</v>
      </c>
      <c r="AP273" s="165">
        <f t="shared" si="40"/>
        <v>60466</v>
      </c>
      <c r="AQ273" s="165">
        <f t="shared" si="41"/>
        <v>79656</v>
      </c>
    </row>
    <row r="274" spans="3:43">
      <c r="C274" s="160">
        <v>262</v>
      </c>
      <c r="D274" s="169">
        <v>177</v>
      </c>
      <c r="E274" s="170">
        <f t="shared" si="36"/>
        <v>140.25</v>
      </c>
      <c r="F274" s="169">
        <f t="shared" si="37"/>
        <v>168.549999999999</v>
      </c>
      <c r="G274" s="163">
        <f t="shared" ref="G274:G312" si="42">G273+0.5</f>
        <v>254</v>
      </c>
      <c r="I274" s="160">
        <v>262</v>
      </c>
      <c r="J274" s="163" t="e">
        <f ca="1">_xlfn.XLOOKUP(OFFSET($C$12,$I274,MATCH($J$11,$D$12:$G$12,0)),主线推图!$B$313:$B$612,主线推图!$P$313:$P$612)*OFFSET($C$1,MATCH(J$12,$C$2:$C$7,0),MATCH($J$11,$D$12:$G$12,0))</f>
        <v>#N/A</v>
      </c>
      <c r="K274" s="163" t="e">
        <f ca="1">_xlfn.XLOOKUP(OFFSET($C$12,$I274,MATCH($J$11,$D$12:$G$12,0)),巡逻产出!$B$311:$B$610,巡逻产出!$R$311:$R$610)*OFFSET($C$1,MATCH(K$12,$C$2:$C$7,0),MATCH($J$11,$D$12:$G$12,0))</f>
        <v>#N/A</v>
      </c>
      <c r="L274" s="163">
        <f ca="1">_xlfn.XLOOKUP(MAX(INT((OFFSET($C$12,$I274,MATCH($J$11,$D$12:$G$12,0))-6)/10),1),组队产出!$B$25:$B$39,组队产出!$P$25:$P$39)*OFFSET($C$1,MATCH(L$12,$C$2:$C$7,0),MATCH($J$11,$D$12:$G$12,0))</f>
        <v>1130.4</v>
      </c>
      <c r="M274" s="163">
        <f ca="1">竞技场!$G$3*OFFSET($C$1,MATCH(M$12,$C$2:$C$7,0),MATCH($J$11,$D$12:$G$12,0))</f>
        <v>1050</v>
      </c>
      <c r="N27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4" s="23">
        <f>任务!$G$6+任务!$G$9+IF(MOD(I274,7)=0,任务!$N$9+任务!$O$6,0)</f>
        <v>895</v>
      </c>
      <c r="P274" s="25">
        <f>公会!$U$11</f>
        <v>2766.62857142857</v>
      </c>
      <c r="Q274" s="163" t="e">
        <f ca="1">_xlfn.XLOOKUP(OFFSET($C$12,$I274,MATCH($J$11,$D$12:$G$12,0)),巡逻产出!$B$311:$B$610,巡逻产出!$Q$311:$Q$610)*OFFSET($C$1,MATCH(Q$12,$C$2:$C$7,0),MATCH($J$11,$D$12:$G$12,0))</f>
        <v>#N/A</v>
      </c>
      <c r="S274" s="160">
        <v>262</v>
      </c>
      <c r="T274" s="163" t="e">
        <f ca="1">_xlfn.XLOOKUP(OFFSET($C$12,$I274,MATCH($T$11,$D$12:$G$12,0)),主线推图!$B$313:$B$612,主线推图!$P$313:$P$612)*OFFSET($C$1,MATCH(T$12,$C$2:$C$7,0),MATCH($T$11,$D$12:$G$12,0))</f>
        <v>#N/A</v>
      </c>
      <c r="U274" s="163" t="e">
        <f ca="1">_xlfn.XLOOKUP(OFFSET($C$12,$I274,MATCH($T$11,$D$12:$G$12,0)),巡逻产出!$B$311:$B$610,巡逻产出!$R$311:$R$610)*OFFSET($C$1,MATCH(U$12,$C$2:$C$7,0),MATCH($T$11,$D$12:$G$12,0))</f>
        <v>#N/A</v>
      </c>
      <c r="V274" s="163" t="e">
        <f ca="1">_xlfn.XLOOKUP(MAX(INT((OFFSET($C$12,$I274,MATCH($T$11,$D$12:$G$12,0))-6)/10),1),组队产出!$B$25:$B$39,组队产出!$P$25:$P$39)*OFFSET($C$1,MATCH(V$12,$C$2:$C$7,0),MATCH($T$11,$D$12:$G$12,0))</f>
        <v>#N/A</v>
      </c>
      <c r="W274" s="163">
        <f ca="1">竞技场!$G$3*OFFSET($C$1,MATCH(W$12,$C$2:$C$7,0),MATCH($T$11,$D$12:$G$12,0))</f>
        <v>2100</v>
      </c>
      <c r="X27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4" s="23">
        <f>任务!$G$6+任务!$G$9+IF(MOD(S274,7)=0,任务!$N$9+任务!$O$6,0)</f>
        <v>895</v>
      </c>
      <c r="Z274" s="25">
        <f>公会!$U$11</f>
        <v>2766.62857142857</v>
      </c>
      <c r="AA274" s="163" t="e">
        <f ca="1">_xlfn.XLOOKUP(OFFSET($C$12,$I274,MATCH($T$11,$D$12:$G$12,0)),巡逻产出!$B$311:$B$610,巡逻产出!$Q$311:$Q$610)*OFFSET($C$1,MATCH(AA$12,$C$2:$C$7,0),MATCH($T$11,$D$12:$G$12,0))</f>
        <v>#N/A</v>
      </c>
      <c r="AC274" s="160">
        <v>262</v>
      </c>
      <c r="AD274" s="163">
        <f ca="1">_xlfn.XLOOKUP(OFFSET($C$12,$I274,MATCH($AD$11,$D$12:$G$12,0)),主线推图!$B$313:$B$612,主线推图!$P$313:$P$612)*OFFSET($C$1,MATCH(AD$12,$C$2:$C$7,0),MATCH($AD$11,$D$12:$G$12,0))</f>
        <v>3504.6</v>
      </c>
      <c r="AE274" s="163">
        <f ca="1">_xlfn.XLOOKUP(OFFSET($C$12,$I274,MATCH($AD$11,$D$12:$G$12,0)),巡逻产出!$B$311:$B$610,巡逻产出!$R$311:$R$610)*OFFSET($C$1,MATCH(AE$12,$C$2:$C$7,0),MATCH($AD$11,$D$12:$G$12,0))</f>
        <v>0</v>
      </c>
      <c r="AF274" s="163" t="e">
        <f ca="1">_xlfn.XLOOKUP(MAX(INT((OFFSET($C$12,$I274,MATCH($AD$11,$D$12:$G$12,0))-6)/10),1),组队产出!$B$25:$B$39,组队产出!$P$25:$P$39)*OFFSET($C$1,MATCH(AF$12,$C$2:$C$7,0),MATCH($AD$11,$D$12:$G$12,0))</f>
        <v>#N/A</v>
      </c>
      <c r="AG274" s="163">
        <f ca="1">竞技场!$G$3*OFFSET($C$1,MATCH(AG$12,$C$2:$C$7,0),MATCH($AD$11,$D$12:$G$12,0))</f>
        <v>3150</v>
      </c>
      <c r="AH27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4" s="23">
        <f>任务!$G$6+任务!$G$9+IF(MOD(AC274,7)=0,任务!$N$9+任务!$O$6,0)</f>
        <v>895</v>
      </c>
      <c r="AJ274" s="25">
        <f>公会!$U$11</f>
        <v>2766.62857142857</v>
      </c>
      <c r="AK274" s="163">
        <f ca="1">_xlfn.XLOOKUP(OFFSET($C$12,$I274,MATCH($AD$11,$D$12:$G$12,0)),巡逻产出!$B$311:$B$610,巡逻产出!$Q$311:$Q$610)*OFFSET($C$1,MATCH(AK$12,$C$2:$C$7,0),MATCH($AD$11,$D$12:$G$12,0))</f>
        <v>2427.048</v>
      </c>
      <c r="AM274" s="164">
        <v>262</v>
      </c>
      <c r="AN274" s="165">
        <f t="shared" si="38"/>
        <v>30438</v>
      </c>
      <c r="AO274" s="165">
        <f t="shared" si="39"/>
        <v>38212</v>
      </c>
      <c r="AP274" s="165">
        <f t="shared" si="40"/>
        <v>60694</v>
      </c>
      <c r="AQ274" s="165">
        <f t="shared" si="41"/>
        <v>79958</v>
      </c>
    </row>
    <row r="275" spans="3:43">
      <c r="C275" s="160">
        <v>263</v>
      </c>
      <c r="D275" s="169">
        <v>177</v>
      </c>
      <c r="E275" s="170">
        <f t="shared" si="36"/>
        <v>140.5</v>
      </c>
      <c r="F275" s="169">
        <f t="shared" si="37"/>
        <v>168.899999999999</v>
      </c>
      <c r="G275" s="163">
        <f t="shared" si="42"/>
        <v>254.5</v>
      </c>
      <c r="I275" s="160">
        <v>263</v>
      </c>
      <c r="J275" s="163" t="e">
        <f ca="1">_xlfn.XLOOKUP(OFFSET($C$12,$I275,MATCH($J$11,$D$12:$G$12,0)),主线推图!$B$313:$B$612,主线推图!$P$313:$P$612)*OFFSET($C$1,MATCH(J$12,$C$2:$C$7,0),MATCH($J$11,$D$12:$G$12,0))</f>
        <v>#N/A</v>
      </c>
      <c r="K275" s="163" t="e">
        <f ca="1">_xlfn.XLOOKUP(OFFSET($C$12,$I275,MATCH($J$11,$D$12:$G$12,0)),巡逻产出!$B$311:$B$610,巡逻产出!$R$311:$R$610)*OFFSET($C$1,MATCH(K$12,$C$2:$C$7,0),MATCH($J$11,$D$12:$G$12,0))</f>
        <v>#N/A</v>
      </c>
      <c r="L275" s="163">
        <f ca="1">_xlfn.XLOOKUP(MAX(INT((OFFSET($C$12,$I275,MATCH($J$11,$D$12:$G$12,0))-6)/10),1),组队产出!$B$25:$B$39,组队产出!$P$25:$P$39)*OFFSET($C$1,MATCH(L$12,$C$2:$C$7,0),MATCH($J$11,$D$12:$G$12,0))</f>
        <v>1130.4</v>
      </c>
      <c r="M275" s="163">
        <f ca="1">竞技场!$G$3*OFFSET($C$1,MATCH(M$12,$C$2:$C$7,0),MATCH($J$11,$D$12:$G$12,0))</f>
        <v>1050</v>
      </c>
      <c r="N27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5" s="23">
        <f>任务!$G$6+任务!$G$9+IF(MOD(I275,7)=0,任务!$N$9+任务!$O$6,0)</f>
        <v>895</v>
      </c>
      <c r="P275" s="25">
        <f>公会!$U$11</f>
        <v>2766.62857142857</v>
      </c>
      <c r="Q275" s="163" t="e">
        <f ca="1">_xlfn.XLOOKUP(OFFSET($C$12,$I275,MATCH($J$11,$D$12:$G$12,0)),巡逻产出!$B$311:$B$610,巡逻产出!$Q$311:$Q$610)*OFFSET($C$1,MATCH(Q$12,$C$2:$C$7,0),MATCH($J$11,$D$12:$G$12,0))</f>
        <v>#N/A</v>
      </c>
      <c r="S275" s="160">
        <v>263</v>
      </c>
      <c r="T275" s="163" t="e">
        <f ca="1">_xlfn.XLOOKUP(OFFSET($C$12,$I275,MATCH($T$11,$D$12:$G$12,0)),主线推图!$B$313:$B$612,主线推图!$P$313:$P$612)*OFFSET($C$1,MATCH(T$12,$C$2:$C$7,0),MATCH($T$11,$D$12:$G$12,0))</f>
        <v>#N/A</v>
      </c>
      <c r="U275" s="163" t="e">
        <f ca="1">_xlfn.XLOOKUP(OFFSET($C$12,$I275,MATCH($T$11,$D$12:$G$12,0)),巡逻产出!$B$311:$B$610,巡逻产出!$R$311:$R$610)*OFFSET($C$1,MATCH(U$12,$C$2:$C$7,0),MATCH($T$11,$D$12:$G$12,0))</f>
        <v>#N/A</v>
      </c>
      <c r="V275" s="163" t="e">
        <f ca="1">_xlfn.XLOOKUP(MAX(INT((OFFSET($C$12,$I275,MATCH($T$11,$D$12:$G$12,0))-6)/10),1),组队产出!$B$25:$B$39,组队产出!$P$25:$P$39)*OFFSET($C$1,MATCH(V$12,$C$2:$C$7,0),MATCH($T$11,$D$12:$G$12,0))</f>
        <v>#N/A</v>
      </c>
      <c r="W275" s="163">
        <f ca="1">竞技场!$G$3*OFFSET($C$1,MATCH(W$12,$C$2:$C$7,0),MATCH($T$11,$D$12:$G$12,0))</f>
        <v>2100</v>
      </c>
      <c r="X27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5" s="23">
        <f>任务!$G$6+任务!$G$9+IF(MOD(S275,7)=0,任务!$N$9+任务!$O$6,0)</f>
        <v>895</v>
      </c>
      <c r="Z275" s="25">
        <f>公会!$U$11</f>
        <v>2766.62857142857</v>
      </c>
      <c r="AA275" s="163" t="e">
        <f ca="1">_xlfn.XLOOKUP(OFFSET($C$12,$I275,MATCH($T$11,$D$12:$G$12,0)),巡逻产出!$B$311:$B$610,巡逻产出!$Q$311:$Q$610)*OFFSET($C$1,MATCH(AA$12,$C$2:$C$7,0),MATCH($T$11,$D$12:$G$12,0))</f>
        <v>#N/A</v>
      </c>
      <c r="AC275" s="160">
        <v>263</v>
      </c>
      <c r="AD275" s="163" t="e">
        <f ca="1">_xlfn.XLOOKUP(OFFSET($C$12,$I275,MATCH($AD$11,$D$12:$G$12,0)),主线推图!$B$313:$B$612,主线推图!$P$313:$P$612)*OFFSET($C$1,MATCH(AD$12,$C$2:$C$7,0),MATCH($AD$11,$D$12:$G$12,0))</f>
        <v>#N/A</v>
      </c>
      <c r="AE275" s="163" t="e">
        <f ca="1">_xlfn.XLOOKUP(OFFSET($C$12,$I275,MATCH($AD$11,$D$12:$G$12,0)),巡逻产出!$B$311:$B$610,巡逻产出!$R$311:$R$610)*OFFSET($C$1,MATCH(AE$12,$C$2:$C$7,0),MATCH($AD$11,$D$12:$G$12,0))</f>
        <v>#N/A</v>
      </c>
      <c r="AF275" s="163" t="e">
        <f ca="1">_xlfn.XLOOKUP(MAX(INT((OFFSET($C$12,$I275,MATCH($AD$11,$D$12:$G$12,0))-6)/10),1),组队产出!$B$25:$B$39,组队产出!$P$25:$P$39)*OFFSET($C$1,MATCH(AF$12,$C$2:$C$7,0),MATCH($AD$11,$D$12:$G$12,0))</f>
        <v>#N/A</v>
      </c>
      <c r="AG275" s="163">
        <f ca="1">竞技场!$G$3*OFFSET($C$1,MATCH(AG$12,$C$2:$C$7,0),MATCH($AD$11,$D$12:$G$12,0))</f>
        <v>3150</v>
      </c>
      <c r="AH27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5" s="23">
        <f>任务!$G$6+任务!$G$9+IF(MOD(AC275,7)=0,任务!$N$9+任务!$O$6,0)</f>
        <v>895</v>
      </c>
      <c r="AJ275" s="25">
        <f>公会!$U$11</f>
        <v>2766.62857142857</v>
      </c>
      <c r="AK275" s="163" t="e">
        <f ca="1">_xlfn.XLOOKUP(OFFSET($C$12,$I275,MATCH($AD$11,$D$12:$G$12,0)),巡逻产出!$B$311:$B$610,巡逻产出!$Q$311:$Q$610)*OFFSET($C$1,MATCH(AK$12,$C$2:$C$7,0),MATCH($AD$11,$D$12:$G$12,0))</f>
        <v>#N/A</v>
      </c>
      <c r="AM275" s="164">
        <v>263</v>
      </c>
      <c r="AN275" s="165">
        <f t="shared" si="38"/>
        <v>30552</v>
      </c>
      <c r="AO275" s="165">
        <f t="shared" si="39"/>
        <v>38355</v>
      </c>
      <c r="AP275" s="165">
        <f t="shared" si="40"/>
        <v>60923</v>
      </c>
      <c r="AQ275" s="165">
        <f t="shared" si="41"/>
        <v>80260</v>
      </c>
    </row>
    <row r="276" spans="3:43">
      <c r="C276" s="160">
        <v>264</v>
      </c>
      <c r="D276" s="169">
        <v>177</v>
      </c>
      <c r="E276" s="170">
        <f t="shared" si="36"/>
        <v>140.75</v>
      </c>
      <c r="F276" s="169">
        <f t="shared" si="37"/>
        <v>169.249999999999</v>
      </c>
      <c r="G276" s="163">
        <f t="shared" si="42"/>
        <v>255</v>
      </c>
      <c r="I276" s="160">
        <v>264</v>
      </c>
      <c r="J276" s="163" t="e">
        <f ca="1">_xlfn.XLOOKUP(OFFSET($C$12,$I276,MATCH($J$11,$D$12:$G$12,0)),主线推图!$B$313:$B$612,主线推图!$P$313:$P$612)*OFFSET($C$1,MATCH(J$12,$C$2:$C$7,0),MATCH($J$11,$D$12:$G$12,0))</f>
        <v>#N/A</v>
      </c>
      <c r="K276" s="163" t="e">
        <f ca="1">_xlfn.XLOOKUP(OFFSET($C$12,$I276,MATCH($J$11,$D$12:$G$12,0)),巡逻产出!$B$311:$B$610,巡逻产出!$R$311:$R$610)*OFFSET($C$1,MATCH(K$12,$C$2:$C$7,0),MATCH($J$11,$D$12:$G$12,0))</f>
        <v>#N/A</v>
      </c>
      <c r="L276" s="163">
        <f ca="1">_xlfn.XLOOKUP(MAX(INT((OFFSET($C$12,$I276,MATCH($J$11,$D$12:$G$12,0))-6)/10),1),组队产出!$B$25:$B$39,组队产出!$P$25:$P$39)*OFFSET($C$1,MATCH(L$12,$C$2:$C$7,0),MATCH($J$11,$D$12:$G$12,0))</f>
        <v>1130.4</v>
      </c>
      <c r="M276" s="163">
        <f ca="1">竞技场!$G$3*OFFSET($C$1,MATCH(M$12,$C$2:$C$7,0),MATCH($J$11,$D$12:$G$12,0))</f>
        <v>1050</v>
      </c>
      <c r="N27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6" s="23">
        <f>任务!$G$6+任务!$G$9+IF(MOD(I276,7)=0,任务!$N$9+任务!$O$6,0)</f>
        <v>895</v>
      </c>
      <c r="P276" s="25">
        <f>公会!$U$11</f>
        <v>2766.62857142857</v>
      </c>
      <c r="Q276" s="163" t="e">
        <f ca="1">_xlfn.XLOOKUP(OFFSET($C$12,$I276,MATCH($J$11,$D$12:$G$12,0)),巡逻产出!$B$311:$B$610,巡逻产出!$Q$311:$Q$610)*OFFSET($C$1,MATCH(Q$12,$C$2:$C$7,0),MATCH($J$11,$D$12:$G$12,0))</f>
        <v>#N/A</v>
      </c>
      <c r="S276" s="160">
        <v>264</v>
      </c>
      <c r="T276" s="163" t="e">
        <f ca="1">_xlfn.XLOOKUP(OFFSET($C$12,$I276,MATCH($T$11,$D$12:$G$12,0)),主线推图!$B$313:$B$612,主线推图!$P$313:$P$612)*OFFSET($C$1,MATCH(T$12,$C$2:$C$7,0),MATCH($T$11,$D$12:$G$12,0))</f>
        <v>#N/A</v>
      </c>
      <c r="U276" s="163" t="e">
        <f ca="1">_xlfn.XLOOKUP(OFFSET($C$12,$I276,MATCH($T$11,$D$12:$G$12,0)),巡逻产出!$B$311:$B$610,巡逻产出!$R$311:$R$610)*OFFSET($C$1,MATCH(U$12,$C$2:$C$7,0),MATCH($T$11,$D$12:$G$12,0))</f>
        <v>#N/A</v>
      </c>
      <c r="V276" s="163" t="e">
        <f ca="1">_xlfn.XLOOKUP(MAX(INT((OFFSET($C$12,$I276,MATCH($T$11,$D$12:$G$12,0))-6)/10),1),组队产出!$B$25:$B$39,组队产出!$P$25:$P$39)*OFFSET($C$1,MATCH(V$12,$C$2:$C$7,0),MATCH($T$11,$D$12:$G$12,0))</f>
        <v>#N/A</v>
      </c>
      <c r="W276" s="163">
        <f ca="1">竞技场!$G$3*OFFSET($C$1,MATCH(W$12,$C$2:$C$7,0),MATCH($T$11,$D$12:$G$12,0))</f>
        <v>2100</v>
      </c>
      <c r="X27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6" s="23">
        <f>任务!$G$6+任务!$G$9+IF(MOD(S276,7)=0,任务!$N$9+任务!$O$6,0)</f>
        <v>895</v>
      </c>
      <c r="Z276" s="25">
        <f>公会!$U$11</f>
        <v>2766.62857142857</v>
      </c>
      <c r="AA276" s="163" t="e">
        <f ca="1">_xlfn.XLOOKUP(OFFSET($C$12,$I276,MATCH($T$11,$D$12:$G$12,0)),巡逻产出!$B$311:$B$610,巡逻产出!$Q$311:$Q$610)*OFFSET($C$1,MATCH(AA$12,$C$2:$C$7,0),MATCH($T$11,$D$12:$G$12,0))</f>
        <v>#N/A</v>
      </c>
      <c r="AC276" s="160">
        <v>264</v>
      </c>
      <c r="AD276" s="163">
        <f ca="1">_xlfn.XLOOKUP(OFFSET($C$12,$I276,MATCH($AD$11,$D$12:$G$12,0)),主线推图!$B$313:$B$612,主线推图!$P$313:$P$612)*OFFSET($C$1,MATCH(AD$12,$C$2:$C$7,0),MATCH($AD$11,$D$12:$G$12,0))</f>
        <v>3506.8</v>
      </c>
      <c r="AE276" s="163">
        <f ca="1">_xlfn.XLOOKUP(OFFSET($C$12,$I276,MATCH($AD$11,$D$12:$G$12,0)),巡逻产出!$B$311:$B$610,巡逻产出!$R$311:$R$610)*OFFSET($C$1,MATCH(AE$12,$C$2:$C$7,0),MATCH($AD$11,$D$12:$G$12,0))</f>
        <v>0</v>
      </c>
      <c r="AF276" s="163" t="e">
        <f ca="1">_xlfn.XLOOKUP(MAX(INT((OFFSET($C$12,$I276,MATCH($AD$11,$D$12:$G$12,0))-6)/10),1),组队产出!$B$25:$B$39,组队产出!$P$25:$P$39)*OFFSET($C$1,MATCH(AF$12,$C$2:$C$7,0),MATCH($AD$11,$D$12:$G$12,0))</f>
        <v>#N/A</v>
      </c>
      <c r="AG276" s="163">
        <f ca="1">竞技场!$G$3*OFFSET($C$1,MATCH(AG$12,$C$2:$C$7,0),MATCH($AD$11,$D$12:$G$12,0))</f>
        <v>3150</v>
      </c>
      <c r="AH27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6" s="23">
        <f>任务!$G$6+任务!$G$9+IF(MOD(AC276,7)=0,任务!$N$9+任务!$O$6,0)</f>
        <v>895</v>
      </c>
      <c r="AJ276" s="25">
        <f>公会!$U$11</f>
        <v>2766.62857142857</v>
      </c>
      <c r="AK276" s="163">
        <f ca="1">_xlfn.XLOOKUP(OFFSET($C$12,$I276,MATCH($AD$11,$D$12:$G$12,0)),巡逻产出!$B$311:$B$610,巡逻产出!$Q$311:$Q$610)*OFFSET($C$1,MATCH(AK$12,$C$2:$C$7,0),MATCH($AD$11,$D$12:$G$12,0))</f>
        <v>2428.608</v>
      </c>
      <c r="AM276" s="164">
        <v>264</v>
      </c>
      <c r="AN276" s="165">
        <f t="shared" si="38"/>
        <v>30665</v>
      </c>
      <c r="AO276" s="165">
        <f t="shared" si="39"/>
        <v>38498</v>
      </c>
      <c r="AP276" s="165">
        <f t="shared" si="40"/>
        <v>61151</v>
      </c>
      <c r="AQ276" s="165">
        <f t="shared" si="41"/>
        <v>80562</v>
      </c>
    </row>
    <row r="277" spans="3:43">
      <c r="C277" s="160">
        <v>265</v>
      </c>
      <c r="D277" s="169">
        <v>177</v>
      </c>
      <c r="E277" s="170">
        <f t="shared" si="36"/>
        <v>141</v>
      </c>
      <c r="F277" s="169">
        <f t="shared" si="37"/>
        <v>169.599999999999</v>
      </c>
      <c r="G277" s="163">
        <f t="shared" si="42"/>
        <v>255.5</v>
      </c>
      <c r="I277" s="160">
        <v>265</v>
      </c>
      <c r="J277" s="163" t="e">
        <f ca="1">_xlfn.XLOOKUP(OFFSET($C$12,$I277,MATCH($J$11,$D$12:$G$12,0)),主线推图!$B$313:$B$612,主线推图!$P$313:$P$612)*OFFSET($C$1,MATCH(J$12,$C$2:$C$7,0),MATCH($J$11,$D$12:$G$12,0))</f>
        <v>#N/A</v>
      </c>
      <c r="K277" s="163" t="e">
        <f ca="1">_xlfn.XLOOKUP(OFFSET($C$12,$I277,MATCH($J$11,$D$12:$G$12,0)),巡逻产出!$B$311:$B$610,巡逻产出!$R$311:$R$610)*OFFSET($C$1,MATCH(K$12,$C$2:$C$7,0),MATCH($J$11,$D$12:$G$12,0))</f>
        <v>#N/A</v>
      </c>
      <c r="L277" s="163">
        <f ca="1">_xlfn.XLOOKUP(MAX(INT((OFFSET($C$12,$I277,MATCH($J$11,$D$12:$G$12,0))-6)/10),1),组队产出!$B$25:$B$39,组队产出!$P$25:$P$39)*OFFSET($C$1,MATCH(L$12,$C$2:$C$7,0),MATCH($J$11,$D$12:$G$12,0))</f>
        <v>1130.4</v>
      </c>
      <c r="M277" s="163">
        <f ca="1">竞技场!$G$3*OFFSET($C$1,MATCH(M$12,$C$2:$C$7,0),MATCH($J$11,$D$12:$G$12,0))</f>
        <v>1050</v>
      </c>
      <c r="N27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7" s="23">
        <f>任务!$G$6+任务!$G$9+IF(MOD(I277,7)=0,任务!$N$9+任务!$O$6,0)</f>
        <v>895</v>
      </c>
      <c r="P277" s="25">
        <f>公会!$U$11</f>
        <v>2766.62857142857</v>
      </c>
      <c r="Q277" s="163" t="e">
        <f ca="1">_xlfn.XLOOKUP(OFFSET($C$12,$I277,MATCH($J$11,$D$12:$G$12,0)),巡逻产出!$B$311:$B$610,巡逻产出!$Q$311:$Q$610)*OFFSET($C$1,MATCH(Q$12,$C$2:$C$7,0),MATCH($J$11,$D$12:$G$12,0))</f>
        <v>#N/A</v>
      </c>
      <c r="S277" s="160">
        <v>265</v>
      </c>
      <c r="T277" s="163" t="e">
        <f ca="1">_xlfn.XLOOKUP(OFFSET($C$12,$I277,MATCH($T$11,$D$12:$G$12,0)),主线推图!$B$313:$B$612,主线推图!$P$313:$P$612)*OFFSET($C$1,MATCH(T$12,$C$2:$C$7,0),MATCH($T$11,$D$12:$G$12,0))</f>
        <v>#N/A</v>
      </c>
      <c r="U277" s="163" t="e">
        <f ca="1">_xlfn.XLOOKUP(OFFSET($C$12,$I277,MATCH($T$11,$D$12:$G$12,0)),巡逻产出!$B$311:$B$610,巡逻产出!$R$311:$R$610)*OFFSET($C$1,MATCH(U$12,$C$2:$C$7,0),MATCH($T$11,$D$12:$G$12,0))</f>
        <v>#N/A</v>
      </c>
      <c r="V277" s="163" t="e">
        <f ca="1">_xlfn.XLOOKUP(MAX(INT((OFFSET($C$12,$I277,MATCH($T$11,$D$12:$G$12,0))-6)/10),1),组队产出!$B$25:$B$39,组队产出!$P$25:$P$39)*OFFSET($C$1,MATCH(V$12,$C$2:$C$7,0),MATCH($T$11,$D$12:$G$12,0))</f>
        <v>#N/A</v>
      </c>
      <c r="W277" s="163">
        <f ca="1">竞技场!$G$3*OFFSET($C$1,MATCH(W$12,$C$2:$C$7,0),MATCH($T$11,$D$12:$G$12,0))</f>
        <v>2100</v>
      </c>
      <c r="X27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7" s="23">
        <f>任务!$G$6+任务!$G$9+IF(MOD(S277,7)=0,任务!$N$9+任务!$O$6,0)</f>
        <v>895</v>
      </c>
      <c r="Z277" s="25">
        <f>公会!$U$11</f>
        <v>2766.62857142857</v>
      </c>
      <c r="AA277" s="163" t="e">
        <f ca="1">_xlfn.XLOOKUP(OFFSET($C$12,$I277,MATCH($T$11,$D$12:$G$12,0)),巡逻产出!$B$311:$B$610,巡逻产出!$Q$311:$Q$610)*OFFSET($C$1,MATCH(AA$12,$C$2:$C$7,0),MATCH($T$11,$D$12:$G$12,0))</f>
        <v>#N/A</v>
      </c>
      <c r="AC277" s="160">
        <v>265</v>
      </c>
      <c r="AD277" s="163" t="e">
        <f ca="1">_xlfn.XLOOKUP(OFFSET($C$12,$I277,MATCH($AD$11,$D$12:$G$12,0)),主线推图!$B$313:$B$612,主线推图!$P$313:$P$612)*OFFSET($C$1,MATCH(AD$12,$C$2:$C$7,0),MATCH($AD$11,$D$12:$G$12,0))</f>
        <v>#N/A</v>
      </c>
      <c r="AE277" s="163" t="e">
        <f ca="1">_xlfn.XLOOKUP(OFFSET($C$12,$I277,MATCH($AD$11,$D$12:$G$12,0)),巡逻产出!$B$311:$B$610,巡逻产出!$R$311:$R$610)*OFFSET($C$1,MATCH(AE$12,$C$2:$C$7,0),MATCH($AD$11,$D$12:$G$12,0))</f>
        <v>#N/A</v>
      </c>
      <c r="AF277" s="163" t="e">
        <f ca="1">_xlfn.XLOOKUP(MAX(INT((OFFSET($C$12,$I277,MATCH($AD$11,$D$12:$G$12,0))-6)/10),1),组队产出!$B$25:$B$39,组队产出!$P$25:$P$39)*OFFSET($C$1,MATCH(AF$12,$C$2:$C$7,0),MATCH($AD$11,$D$12:$G$12,0))</f>
        <v>#N/A</v>
      </c>
      <c r="AG277" s="163">
        <f ca="1">竞技场!$G$3*OFFSET($C$1,MATCH(AG$12,$C$2:$C$7,0),MATCH($AD$11,$D$12:$G$12,0))</f>
        <v>3150</v>
      </c>
      <c r="AH27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7" s="23">
        <f>任务!$G$6+任务!$G$9+IF(MOD(AC277,7)=0,任务!$N$9+任务!$O$6,0)</f>
        <v>895</v>
      </c>
      <c r="AJ277" s="25">
        <f>公会!$U$11</f>
        <v>2766.62857142857</v>
      </c>
      <c r="AK277" s="163" t="e">
        <f ca="1">_xlfn.XLOOKUP(OFFSET($C$12,$I277,MATCH($AD$11,$D$12:$G$12,0)),巡逻产出!$B$311:$B$610,巡逻产出!$Q$311:$Q$610)*OFFSET($C$1,MATCH(AK$12,$C$2:$C$7,0),MATCH($AD$11,$D$12:$G$12,0))</f>
        <v>#N/A</v>
      </c>
      <c r="AM277" s="164">
        <v>265</v>
      </c>
      <c r="AN277" s="165">
        <f t="shared" si="38"/>
        <v>30779</v>
      </c>
      <c r="AO277" s="165">
        <f t="shared" si="39"/>
        <v>38641</v>
      </c>
      <c r="AP277" s="165">
        <f t="shared" si="40"/>
        <v>61380</v>
      </c>
      <c r="AQ277" s="165">
        <f t="shared" si="41"/>
        <v>80864</v>
      </c>
    </row>
    <row r="278" spans="3:43">
      <c r="C278" s="160">
        <v>266</v>
      </c>
      <c r="D278" s="169">
        <v>178</v>
      </c>
      <c r="E278" s="170">
        <f t="shared" si="36"/>
        <v>141.25</v>
      </c>
      <c r="F278" s="169">
        <f t="shared" si="37"/>
        <v>169.949999999999</v>
      </c>
      <c r="G278" s="163">
        <f t="shared" si="42"/>
        <v>256</v>
      </c>
      <c r="I278" s="160">
        <v>266</v>
      </c>
      <c r="J278" s="163" t="e">
        <f ca="1">_xlfn.XLOOKUP(OFFSET($C$12,$I278,MATCH($J$11,$D$12:$G$12,0)),主线推图!$B$313:$B$612,主线推图!$P$313:$P$612)*OFFSET($C$1,MATCH(J$12,$C$2:$C$7,0),MATCH($J$11,$D$12:$G$12,0))</f>
        <v>#N/A</v>
      </c>
      <c r="K278" s="163" t="e">
        <f ca="1">_xlfn.XLOOKUP(OFFSET($C$12,$I278,MATCH($J$11,$D$12:$G$12,0)),巡逻产出!$B$311:$B$610,巡逻产出!$R$311:$R$610)*OFFSET($C$1,MATCH(K$12,$C$2:$C$7,0),MATCH($J$11,$D$12:$G$12,0))</f>
        <v>#N/A</v>
      </c>
      <c r="L278" s="163">
        <f ca="1">_xlfn.XLOOKUP(MAX(INT((OFFSET($C$12,$I278,MATCH($J$11,$D$12:$G$12,0))-6)/10),1),组队产出!$B$25:$B$39,组队产出!$P$25:$P$39)*OFFSET($C$1,MATCH(L$12,$C$2:$C$7,0),MATCH($J$11,$D$12:$G$12,0))</f>
        <v>1130.4</v>
      </c>
      <c r="M278" s="163">
        <f ca="1">竞技场!$G$3*OFFSET($C$1,MATCH(M$12,$C$2:$C$7,0),MATCH($J$11,$D$12:$G$12,0))</f>
        <v>1050</v>
      </c>
      <c r="N27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8" s="23">
        <f>任务!$G$6+任务!$G$9+IF(MOD(I278,7)=0,任务!$N$9+任务!$O$6,0)</f>
        <v>3125</v>
      </c>
      <c r="P278" s="25">
        <f>公会!$U$11</f>
        <v>2766.62857142857</v>
      </c>
      <c r="Q278" s="163" t="e">
        <f ca="1">_xlfn.XLOOKUP(OFFSET($C$12,$I278,MATCH($J$11,$D$12:$G$12,0)),巡逻产出!$B$311:$B$610,巡逻产出!$Q$311:$Q$610)*OFFSET($C$1,MATCH(Q$12,$C$2:$C$7,0),MATCH($J$11,$D$12:$G$12,0))</f>
        <v>#N/A</v>
      </c>
      <c r="S278" s="160">
        <v>266</v>
      </c>
      <c r="T278" s="163" t="e">
        <f ca="1">_xlfn.XLOOKUP(OFFSET($C$12,$I278,MATCH($T$11,$D$12:$G$12,0)),主线推图!$B$313:$B$612,主线推图!$P$313:$P$612)*OFFSET($C$1,MATCH(T$12,$C$2:$C$7,0),MATCH($T$11,$D$12:$G$12,0))</f>
        <v>#N/A</v>
      </c>
      <c r="U278" s="163" t="e">
        <f ca="1">_xlfn.XLOOKUP(OFFSET($C$12,$I278,MATCH($T$11,$D$12:$G$12,0)),巡逻产出!$B$311:$B$610,巡逻产出!$R$311:$R$610)*OFFSET($C$1,MATCH(U$12,$C$2:$C$7,0),MATCH($T$11,$D$12:$G$12,0))</f>
        <v>#N/A</v>
      </c>
      <c r="V278" s="163" t="e">
        <f ca="1">_xlfn.XLOOKUP(MAX(INT((OFFSET($C$12,$I278,MATCH($T$11,$D$12:$G$12,0))-6)/10),1),组队产出!$B$25:$B$39,组队产出!$P$25:$P$39)*OFFSET($C$1,MATCH(V$12,$C$2:$C$7,0),MATCH($T$11,$D$12:$G$12,0))</f>
        <v>#N/A</v>
      </c>
      <c r="W278" s="163">
        <f ca="1">竞技场!$G$3*OFFSET($C$1,MATCH(W$12,$C$2:$C$7,0),MATCH($T$11,$D$12:$G$12,0))</f>
        <v>2100</v>
      </c>
      <c r="X27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8" s="23">
        <f>任务!$G$6+任务!$G$9+IF(MOD(S278,7)=0,任务!$N$9+任务!$O$6,0)</f>
        <v>3125</v>
      </c>
      <c r="Z278" s="25">
        <f>公会!$U$11</f>
        <v>2766.62857142857</v>
      </c>
      <c r="AA278" s="163" t="e">
        <f ca="1">_xlfn.XLOOKUP(OFFSET($C$12,$I278,MATCH($T$11,$D$12:$G$12,0)),巡逻产出!$B$311:$B$610,巡逻产出!$Q$311:$Q$610)*OFFSET($C$1,MATCH(AA$12,$C$2:$C$7,0),MATCH($T$11,$D$12:$G$12,0))</f>
        <v>#N/A</v>
      </c>
      <c r="AC278" s="160">
        <v>266</v>
      </c>
      <c r="AD278" s="163">
        <f ca="1">_xlfn.XLOOKUP(OFFSET($C$12,$I278,MATCH($AD$11,$D$12:$G$12,0)),主线推图!$B$313:$B$612,主线推图!$P$313:$P$612)*OFFSET($C$1,MATCH(AD$12,$C$2:$C$7,0),MATCH($AD$11,$D$12:$G$12,0))</f>
        <v>3509</v>
      </c>
      <c r="AE278" s="163">
        <f ca="1">_xlfn.XLOOKUP(OFFSET($C$12,$I278,MATCH($AD$11,$D$12:$G$12,0)),巡逻产出!$B$311:$B$610,巡逻产出!$R$311:$R$610)*OFFSET($C$1,MATCH(AE$12,$C$2:$C$7,0),MATCH($AD$11,$D$12:$G$12,0))</f>
        <v>0</v>
      </c>
      <c r="AF278" s="163" t="e">
        <f ca="1">_xlfn.XLOOKUP(MAX(INT((OFFSET($C$12,$I278,MATCH($AD$11,$D$12:$G$12,0))-6)/10),1),组队产出!$B$25:$B$39,组队产出!$P$25:$P$39)*OFFSET($C$1,MATCH(AF$12,$C$2:$C$7,0),MATCH($AD$11,$D$12:$G$12,0))</f>
        <v>#N/A</v>
      </c>
      <c r="AG278" s="163">
        <f ca="1">竞技场!$G$3*OFFSET($C$1,MATCH(AG$12,$C$2:$C$7,0),MATCH($AD$11,$D$12:$G$12,0))</f>
        <v>3150</v>
      </c>
      <c r="AH27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8" s="23">
        <f>任务!$G$6+任务!$G$9+IF(MOD(AC278,7)=0,任务!$N$9+任务!$O$6,0)</f>
        <v>3125</v>
      </c>
      <c r="AJ278" s="25">
        <f>公会!$U$11</f>
        <v>2766.62857142857</v>
      </c>
      <c r="AK278" s="163">
        <f ca="1">_xlfn.XLOOKUP(OFFSET($C$12,$I278,MATCH($AD$11,$D$12:$G$12,0)),巡逻产出!$B$311:$B$610,巡逻产出!$Q$311:$Q$610)*OFFSET($C$1,MATCH(AK$12,$C$2:$C$7,0),MATCH($AD$11,$D$12:$G$12,0))</f>
        <v>2430.168</v>
      </c>
      <c r="AM278" s="164">
        <v>266</v>
      </c>
      <c r="AN278" s="165">
        <f t="shared" si="38"/>
        <v>30892</v>
      </c>
      <c r="AO278" s="165">
        <f t="shared" si="39"/>
        <v>38784</v>
      </c>
      <c r="AP278" s="165">
        <f t="shared" si="40"/>
        <v>61608</v>
      </c>
      <c r="AQ278" s="165">
        <f t="shared" si="41"/>
        <v>81166</v>
      </c>
    </row>
    <row r="279" spans="3:43">
      <c r="C279" s="160">
        <v>267</v>
      </c>
      <c r="D279" s="169">
        <v>178</v>
      </c>
      <c r="E279" s="170">
        <f t="shared" si="36"/>
        <v>141.5</v>
      </c>
      <c r="F279" s="169">
        <f t="shared" si="37"/>
        <v>170.299999999999</v>
      </c>
      <c r="G279" s="163">
        <f t="shared" si="42"/>
        <v>256.5</v>
      </c>
      <c r="I279" s="160">
        <v>267</v>
      </c>
      <c r="J279" s="163" t="e">
        <f ca="1">_xlfn.XLOOKUP(OFFSET($C$12,$I279,MATCH($J$11,$D$12:$G$12,0)),主线推图!$B$313:$B$612,主线推图!$P$313:$P$612)*OFFSET($C$1,MATCH(J$12,$C$2:$C$7,0),MATCH($J$11,$D$12:$G$12,0))</f>
        <v>#N/A</v>
      </c>
      <c r="K279" s="163" t="e">
        <f ca="1">_xlfn.XLOOKUP(OFFSET($C$12,$I279,MATCH($J$11,$D$12:$G$12,0)),巡逻产出!$B$311:$B$610,巡逻产出!$R$311:$R$610)*OFFSET($C$1,MATCH(K$12,$C$2:$C$7,0),MATCH($J$11,$D$12:$G$12,0))</f>
        <v>#N/A</v>
      </c>
      <c r="L279" s="163">
        <f ca="1">_xlfn.XLOOKUP(MAX(INT((OFFSET($C$12,$I279,MATCH($J$11,$D$12:$G$12,0))-6)/10),1),组队产出!$B$25:$B$39,组队产出!$P$25:$P$39)*OFFSET($C$1,MATCH(L$12,$C$2:$C$7,0),MATCH($J$11,$D$12:$G$12,0))</f>
        <v>1130.4</v>
      </c>
      <c r="M279" s="163">
        <f ca="1">竞技场!$G$3*OFFSET($C$1,MATCH(M$12,$C$2:$C$7,0),MATCH($J$11,$D$12:$G$12,0))</f>
        <v>1050</v>
      </c>
      <c r="N27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9" s="23">
        <f>任务!$G$6+任务!$G$9+IF(MOD(I279,7)=0,任务!$N$9+任务!$O$6,0)</f>
        <v>895</v>
      </c>
      <c r="P279" s="25">
        <f>公会!$U$11</f>
        <v>2766.62857142857</v>
      </c>
      <c r="Q279" s="163" t="e">
        <f ca="1">_xlfn.XLOOKUP(OFFSET($C$12,$I279,MATCH($J$11,$D$12:$G$12,0)),巡逻产出!$B$311:$B$610,巡逻产出!$Q$311:$Q$610)*OFFSET($C$1,MATCH(Q$12,$C$2:$C$7,0),MATCH($J$11,$D$12:$G$12,0))</f>
        <v>#N/A</v>
      </c>
      <c r="S279" s="160">
        <v>267</v>
      </c>
      <c r="T279" s="163" t="e">
        <f ca="1">_xlfn.XLOOKUP(OFFSET($C$12,$I279,MATCH($T$11,$D$12:$G$12,0)),主线推图!$B$313:$B$612,主线推图!$P$313:$P$612)*OFFSET($C$1,MATCH(T$12,$C$2:$C$7,0),MATCH($T$11,$D$12:$G$12,0))</f>
        <v>#N/A</v>
      </c>
      <c r="U279" s="163" t="e">
        <f ca="1">_xlfn.XLOOKUP(OFFSET($C$12,$I279,MATCH($T$11,$D$12:$G$12,0)),巡逻产出!$B$311:$B$610,巡逻产出!$R$311:$R$610)*OFFSET($C$1,MATCH(U$12,$C$2:$C$7,0),MATCH($T$11,$D$12:$G$12,0))</f>
        <v>#N/A</v>
      </c>
      <c r="V279" s="163" t="e">
        <f ca="1">_xlfn.XLOOKUP(MAX(INT((OFFSET($C$12,$I279,MATCH($T$11,$D$12:$G$12,0))-6)/10),1),组队产出!$B$25:$B$39,组队产出!$P$25:$P$39)*OFFSET($C$1,MATCH(V$12,$C$2:$C$7,0),MATCH($T$11,$D$12:$G$12,0))</f>
        <v>#N/A</v>
      </c>
      <c r="W279" s="163">
        <f ca="1">竞技场!$G$3*OFFSET($C$1,MATCH(W$12,$C$2:$C$7,0),MATCH($T$11,$D$12:$G$12,0))</f>
        <v>2100</v>
      </c>
      <c r="X27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9" s="23">
        <f>任务!$G$6+任务!$G$9+IF(MOD(S279,7)=0,任务!$N$9+任务!$O$6,0)</f>
        <v>895</v>
      </c>
      <c r="Z279" s="25">
        <f>公会!$U$11</f>
        <v>2766.62857142857</v>
      </c>
      <c r="AA279" s="163" t="e">
        <f ca="1">_xlfn.XLOOKUP(OFFSET($C$12,$I279,MATCH($T$11,$D$12:$G$12,0)),巡逻产出!$B$311:$B$610,巡逻产出!$Q$311:$Q$610)*OFFSET($C$1,MATCH(AA$12,$C$2:$C$7,0),MATCH($T$11,$D$12:$G$12,0))</f>
        <v>#N/A</v>
      </c>
      <c r="AC279" s="160">
        <v>267</v>
      </c>
      <c r="AD279" s="163" t="e">
        <f ca="1">_xlfn.XLOOKUP(OFFSET($C$12,$I279,MATCH($AD$11,$D$12:$G$12,0)),主线推图!$B$313:$B$612,主线推图!$P$313:$P$612)*OFFSET($C$1,MATCH(AD$12,$C$2:$C$7,0),MATCH($AD$11,$D$12:$G$12,0))</f>
        <v>#N/A</v>
      </c>
      <c r="AE279" s="163" t="e">
        <f ca="1">_xlfn.XLOOKUP(OFFSET($C$12,$I279,MATCH($AD$11,$D$12:$G$12,0)),巡逻产出!$B$311:$B$610,巡逻产出!$R$311:$R$610)*OFFSET($C$1,MATCH(AE$12,$C$2:$C$7,0),MATCH($AD$11,$D$12:$G$12,0))</f>
        <v>#N/A</v>
      </c>
      <c r="AF279" s="163" t="e">
        <f ca="1">_xlfn.XLOOKUP(MAX(INT((OFFSET($C$12,$I279,MATCH($AD$11,$D$12:$G$12,0))-6)/10),1),组队产出!$B$25:$B$39,组队产出!$P$25:$P$39)*OFFSET($C$1,MATCH(AF$12,$C$2:$C$7,0),MATCH($AD$11,$D$12:$G$12,0))</f>
        <v>#N/A</v>
      </c>
      <c r="AG279" s="163">
        <f ca="1">竞技场!$G$3*OFFSET($C$1,MATCH(AG$12,$C$2:$C$7,0),MATCH($AD$11,$D$12:$G$12,0))</f>
        <v>3150</v>
      </c>
      <c r="AH27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9" s="23">
        <f>任务!$G$6+任务!$G$9+IF(MOD(AC279,7)=0,任务!$N$9+任务!$O$6,0)</f>
        <v>895</v>
      </c>
      <c r="AJ279" s="25">
        <f>公会!$U$11</f>
        <v>2766.62857142857</v>
      </c>
      <c r="AK279" s="163" t="e">
        <f ca="1">_xlfn.XLOOKUP(OFFSET($C$12,$I279,MATCH($AD$11,$D$12:$G$12,0)),巡逻产出!$B$311:$B$610,巡逻产出!$Q$311:$Q$610)*OFFSET($C$1,MATCH(AK$12,$C$2:$C$7,0),MATCH($AD$11,$D$12:$G$12,0))</f>
        <v>#N/A</v>
      </c>
      <c r="AM279" s="164">
        <v>267</v>
      </c>
      <c r="AN279" s="165">
        <f t="shared" si="38"/>
        <v>31006</v>
      </c>
      <c r="AO279" s="165">
        <f t="shared" si="39"/>
        <v>38927</v>
      </c>
      <c r="AP279" s="165">
        <f t="shared" si="40"/>
        <v>61837</v>
      </c>
      <c r="AQ279" s="165">
        <f t="shared" si="41"/>
        <v>81468</v>
      </c>
    </row>
    <row r="280" spans="3:43">
      <c r="C280" s="160">
        <v>268</v>
      </c>
      <c r="D280" s="169">
        <v>178</v>
      </c>
      <c r="E280" s="170">
        <f t="shared" si="36"/>
        <v>141.75</v>
      </c>
      <c r="F280" s="169">
        <f t="shared" si="37"/>
        <v>170.649999999999</v>
      </c>
      <c r="G280" s="163">
        <f t="shared" si="42"/>
        <v>257</v>
      </c>
      <c r="I280" s="160">
        <v>268</v>
      </c>
      <c r="J280" s="163" t="e">
        <f ca="1">_xlfn.XLOOKUP(OFFSET($C$12,$I280,MATCH($J$11,$D$12:$G$12,0)),主线推图!$B$313:$B$612,主线推图!$P$313:$P$612)*OFFSET($C$1,MATCH(J$12,$C$2:$C$7,0),MATCH($J$11,$D$12:$G$12,0))</f>
        <v>#N/A</v>
      </c>
      <c r="K280" s="163" t="e">
        <f ca="1">_xlfn.XLOOKUP(OFFSET($C$12,$I280,MATCH($J$11,$D$12:$G$12,0)),巡逻产出!$B$311:$B$610,巡逻产出!$R$311:$R$610)*OFFSET($C$1,MATCH(K$12,$C$2:$C$7,0),MATCH($J$11,$D$12:$G$12,0))</f>
        <v>#N/A</v>
      </c>
      <c r="L280" s="163">
        <f ca="1">_xlfn.XLOOKUP(MAX(INT((OFFSET($C$12,$I280,MATCH($J$11,$D$12:$G$12,0))-6)/10),1),组队产出!$B$25:$B$39,组队产出!$P$25:$P$39)*OFFSET($C$1,MATCH(L$12,$C$2:$C$7,0),MATCH($J$11,$D$12:$G$12,0))</f>
        <v>1130.4</v>
      </c>
      <c r="M280" s="163">
        <f ca="1">竞技场!$G$3*OFFSET($C$1,MATCH(M$12,$C$2:$C$7,0),MATCH($J$11,$D$12:$G$12,0))</f>
        <v>1050</v>
      </c>
      <c r="N28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0" s="23">
        <f>任务!$G$6+任务!$G$9+IF(MOD(I280,7)=0,任务!$N$9+任务!$O$6,0)</f>
        <v>895</v>
      </c>
      <c r="P280" s="25">
        <f>公会!$U$11</f>
        <v>2766.62857142857</v>
      </c>
      <c r="Q280" s="163" t="e">
        <f ca="1">_xlfn.XLOOKUP(OFFSET($C$12,$I280,MATCH($J$11,$D$12:$G$12,0)),巡逻产出!$B$311:$B$610,巡逻产出!$Q$311:$Q$610)*OFFSET($C$1,MATCH(Q$12,$C$2:$C$7,0),MATCH($J$11,$D$12:$G$12,0))</f>
        <v>#N/A</v>
      </c>
      <c r="S280" s="160">
        <v>268</v>
      </c>
      <c r="T280" s="163" t="e">
        <f ca="1">_xlfn.XLOOKUP(OFFSET($C$12,$I280,MATCH($T$11,$D$12:$G$12,0)),主线推图!$B$313:$B$612,主线推图!$P$313:$P$612)*OFFSET($C$1,MATCH(T$12,$C$2:$C$7,0),MATCH($T$11,$D$12:$G$12,0))</f>
        <v>#N/A</v>
      </c>
      <c r="U280" s="163" t="e">
        <f ca="1">_xlfn.XLOOKUP(OFFSET($C$12,$I280,MATCH($T$11,$D$12:$G$12,0)),巡逻产出!$B$311:$B$610,巡逻产出!$R$311:$R$610)*OFFSET($C$1,MATCH(U$12,$C$2:$C$7,0),MATCH($T$11,$D$12:$G$12,0))</f>
        <v>#N/A</v>
      </c>
      <c r="V280" s="163" t="e">
        <f ca="1">_xlfn.XLOOKUP(MAX(INT((OFFSET($C$12,$I280,MATCH($T$11,$D$12:$G$12,0))-6)/10),1),组队产出!$B$25:$B$39,组队产出!$P$25:$P$39)*OFFSET($C$1,MATCH(V$12,$C$2:$C$7,0),MATCH($T$11,$D$12:$G$12,0))</f>
        <v>#N/A</v>
      </c>
      <c r="W280" s="163">
        <f ca="1">竞技场!$G$3*OFFSET($C$1,MATCH(W$12,$C$2:$C$7,0),MATCH($T$11,$D$12:$G$12,0))</f>
        <v>2100</v>
      </c>
      <c r="X28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0" s="23">
        <f>任务!$G$6+任务!$G$9+IF(MOD(S280,7)=0,任务!$N$9+任务!$O$6,0)</f>
        <v>895</v>
      </c>
      <c r="Z280" s="25">
        <f>公会!$U$11</f>
        <v>2766.62857142857</v>
      </c>
      <c r="AA280" s="163" t="e">
        <f ca="1">_xlfn.XLOOKUP(OFFSET($C$12,$I280,MATCH($T$11,$D$12:$G$12,0)),巡逻产出!$B$311:$B$610,巡逻产出!$Q$311:$Q$610)*OFFSET($C$1,MATCH(AA$12,$C$2:$C$7,0),MATCH($T$11,$D$12:$G$12,0))</f>
        <v>#N/A</v>
      </c>
      <c r="AC280" s="160">
        <v>268</v>
      </c>
      <c r="AD280" s="163">
        <f ca="1">_xlfn.XLOOKUP(OFFSET($C$12,$I280,MATCH($AD$11,$D$12:$G$12,0)),主线推图!$B$313:$B$612,主线推图!$P$313:$P$612)*OFFSET($C$1,MATCH(AD$12,$C$2:$C$7,0),MATCH($AD$11,$D$12:$G$12,0))</f>
        <v>3511.2</v>
      </c>
      <c r="AE280" s="163">
        <f ca="1">_xlfn.XLOOKUP(OFFSET($C$12,$I280,MATCH($AD$11,$D$12:$G$12,0)),巡逻产出!$B$311:$B$610,巡逻产出!$R$311:$R$610)*OFFSET($C$1,MATCH(AE$12,$C$2:$C$7,0),MATCH($AD$11,$D$12:$G$12,0))</f>
        <v>0</v>
      </c>
      <c r="AF280" s="163" t="e">
        <f ca="1">_xlfn.XLOOKUP(MAX(INT((OFFSET($C$12,$I280,MATCH($AD$11,$D$12:$G$12,0))-6)/10),1),组队产出!$B$25:$B$39,组队产出!$P$25:$P$39)*OFFSET($C$1,MATCH(AF$12,$C$2:$C$7,0),MATCH($AD$11,$D$12:$G$12,0))</f>
        <v>#N/A</v>
      </c>
      <c r="AG280" s="163">
        <f ca="1">竞技场!$G$3*OFFSET($C$1,MATCH(AG$12,$C$2:$C$7,0),MATCH($AD$11,$D$12:$G$12,0))</f>
        <v>3150</v>
      </c>
      <c r="AH28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0" s="23">
        <f>任务!$G$6+任务!$G$9+IF(MOD(AC280,7)=0,任务!$N$9+任务!$O$6,0)</f>
        <v>895</v>
      </c>
      <c r="AJ280" s="25">
        <f>公会!$U$11</f>
        <v>2766.62857142857</v>
      </c>
      <c r="AK280" s="163">
        <f ca="1">_xlfn.XLOOKUP(OFFSET($C$12,$I280,MATCH($AD$11,$D$12:$G$12,0)),巡逻产出!$B$311:$B$610,巡逻产出!$Q$311:$Q$610)*OFFSET($C$1,MATCH(AK$12,$C$2:$C$7,0),MATCH($AD$11,$D$12:$G$12,0))</f>
        <v>2431.728</v>
      </c>
      <c r="AM280" s="164">
        <v>268</v>
      </c>
      <c r="AN280" s="165">
        <f t="shared" si="38"/>
        <v>31119</v>
      </c>
      <c r="AO280" s="165">
        <f t="shared" si="39"/>
        <v>39070</v>
      </c>
      <c r="AP280" s="165">
        <f t="shared" si="40"/>
        <v>62065</v>
      </c>
      <c r="AQ280" s="165">
        <f t="shared" si="41"/>
        <v>81770</v>
      </c>
    </row>
    <row r="281" spans="3:43">
      <c r="C281" s="160">
        <v>269</v>
      </c>
      <c r="D281" s="169">
        <v>178</v>
      </c>
      <c r="E281" s="170">
        <f t="shared" si="36"/>
        <v>142</v>
      </c>
      <c r="F281" s="169">
        <f t="shared" si="37"/>
        <v>170.999999999999</v>
      </c>
      <c r="G281" s="163">
        <f t="shared" si="42"/>
        <v>257.5</v>
      </c>
      <c r="I281" s="160">
        <v>269</v>
      </c>
      <c r="J281" s="163" t="e">
        <f ca="1">_xlfn.XLOOKUP(OFFSET($C$12,$I281,MATCH($J$11,$D$12:$G$12,0)),主线推图!$B$313:$B$612,主线推图!$P$313:$P$612)*OFFSET($C$1,MATCH(J$12,$C$2:$C$7,0),MATCH($J$11,$D$12:$G$12,0))</f>
        <v>#N/A</v>
      </c>
      <c r="K281" s="163" t="e">
        <f ca="1">_xlfn.XLOOKUP(OFFSET($C$12,$I281,MATCH($J$11,$D$12:$G$12,0)),巡逻产出!$B$311:$B$610,巡逻产出!$R$311:$R$610)*OFFSET($C$1,MATCH(K$12,$C$2:$C$7,0),MATCH($J$11,$D$12:$G$12,0))</f>
        <v>#N/A</v>
      </c>
      <c r="L281" s="163">
        <f ca="1">_xlfn.XLOOKUP(MAX(INT((OFFSET($C$12,$I281,MATCH($J$11,$D$12:$G$12,0))-6)/10),1),组队产出!$B$25:$B$39,组队产出!$P$25:$P$39)*OFFSET($C$1,MATCH(L$12,$C$2:$C$7,0),MATCH($J$11,$D$12:$G$12,0))</f>
        <v>1130.4</v>
      </c>
      <c r="M281" s="163">
        <f ca="1">竞技场!$G$3*OFFSET($C$1,MATCH(M$12,$C$2:$C$7,0),MATCH($J$11,$D$12:$G$12,0))</f>
        <v>1050</v>
      </c>
      <c r="N28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1" s="23">
        <f>任务!$G$6+任务!$G$9+IF(MOD(I281,7)=0,任务!$N$9+任务!$O$6,0)</f>
        <v>895</v>
      </c>
      <c r="P281" s="25">
        <f>公会!$U$11</f>
        <v>2766.62857142857</v>
      </c>
      <c r="Q281" s="163" t="e">
        <f ca="1">_xlfn.XLOOKUP(OFFSET($C$12,$I281,MATCH($J$11,$D$12:$G$12,0)),巡逻产出!$B$311:$B$610,巡逻产出!$Q$311:$Q$610)*OFFSET($C$1,MATCH(Q$12,$C$2:$C$7,0),MATCH($J$11,$D$12:$G$12,0))</f>
        <v>#N/A</v>
      </c>
      <c r="S281" s="160">
        <v>269</v>
      </c>
      <c r="T281" s="163" t="e">
        <f ca="1">_xlfn.XLOOKUP(OFFSET($C$12,$I281,MATCH($T$11,$D$12:$G$12,0)),主线推图!$B$313:$B$612,主线推图!$P$313:$P$612)*OFFSET($C$1,MATCH(T$12,$C$2:$C$7,0),MATCH($T$11,$D$12:$G$12,0))</f>
        <v>#N/A</v>
      </c>
      <c r="U281" s="163" t="e">
        <f ca="1">_xlfn.XLOOKUP(OFFSET($C$12,$I281,MATCH($T$11,$D$12:$G$12,0)),巡逻产出!$B$311:$B$610,巡逻产出!$R$311:$R$610)*OFFSET($C$1,MATCH(U$12,$C$2:$C$7,0),MATCH($T$11,$D$12:$G$12,0))</f>
        <v>#N/A</v>
      </c>
      <c r="V281" s="163" t="e">
        <f ca="1">_xlfn.XLOOKUP(MAX(INT((OFFSET($C$12,$I281,MATCH($T$11,$D$12:$G$12,0))-6)/10),1),组队产出!$B$25:$B$39,组队产出!$P$25:$P$39)*OFFSET($C$1,MATCH(V$12,$C$2:$C$7,0),MATCH($T$11,$D$12:$G$12,0))</f>
        <v>#N/A</v>
      </c>
      <c r="W281" s="163">
        <f ca="1">竞技场!$G$3*OFFSET($C$1,MATCH(W$12,$C$2:$C$7,0),MATCH($T$11,$D$12:$G$12,0))</f>
        <v>2100</v>
      </c>
      <c r="X28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1" s="23">
        <f>任务!$G$6+任务!$G$9+IF(MOD(S281,7)=0,任务!$N$9+任务!$O$6,0)</f>
        <v>895</v>
      </c>
      <c r="Z281" s="25">
        <f>公会!$U$11</f>
        <v>2766.62857142857</v>
      </c>
      <c r="AA281" s="163" t="e">
        <f ca="1">_xlfn.XLOOKUP(OFFSET($C$12,$I281,MATCH($T$11,$D$12:$G$12,0)),巡逻产出!$B$311:$B$610,巡逻产出!$Q$311:$Q$610)*OFFSET($C$1,MATCH(AA$12,$C$2:$C$7,0),MATCH($T$11,$D$12:$G$12,0))</f>
        <v>#N/A</v>
      </c>
      <c r="AC281" s="160">
        <v>269</v>
      </c>
      <c r="AD281" s="163" t="e">
        <f ca="1">_xlfn.XLOOKUP(OFFSET($C$12,$I281,MATCH($AD$11,$D$12:$G$12,0)),主线推图!$B$313:$B$612,主线推图!$P$313:$P$612)*OFFSET($C$1,MATCH(AD$12,$C$2:$C$7,0),MATCH($AD$11,$D$12:$G$12,0))</f>
        <v>#N/A</v>
      </c>
      <c r="AE281" s="163" t="e">
        <f ca="1">_xlfn.XLOOKUP(OFFSET($C$12,$I281,MATCH($AD$11,$D$12:$G$12,0)),巡逻产出!$B$311:$B$610,巡逻产出!$R$311:$R$610)*OFFSET($C$1,MATCH(AE$12,$C$2:$C$7,0),MATCH($AD$11,$D$12:$G$12,0))</f>
        <v>#N/A</v>
      </c>
      <c r="AF281" s="163" t="e">
        <f ca="1">_xlfn.XLOOKUP(MAX(INT((OFFSET($C$12,$I281,MATCH($AD$11,$D$12:$G$12,0))-6)/10),1),组队产出!$B$25:$B$39,组队产出!$P$25:$P$39)*OFFSET($C$1,MATCH(AF$12,$C$2:$C$7,0),MATCH($AD$11,$D$12:$G$12,0))</f>
        <v>#N/A</v>
      </c>
      <c r="AG281" s="163">
        <f ca="1">竞技场!$G$3*OFFSET($C$1,MATCH(AG$12,$C$2:$C$7,0),MATCH($AD$11,$D$12:$G$12,0))</f>
        <v>3150</v>
      </c>
      <c r="AH28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1" s="23">
        <f>任务!$G$6+任务!$G$9+IF(MOD(AC281,7)=0,任务!$N$9+任务!$O$6,0)</f>
        <v>895</v>
      </c>
      <c r="AJ281" s="25">
        <f>公会!$U$11</f>
        <v>2766.62857142857</v>
      </c>
      <c r="AK281" s="163" t="e">
        <f ca="1">_xlfn.XLOOKUP(OFFSET($C$12,$I281,MATCH($AD$11,$D$12:$G$12,0)),巡逻产出!$B$311:$B$610,巡逻产出!$Q$311:$Q$610)*OFFSET($C$1,MATCH(AK$12,$C$2:$C$7,0),MATCH($AD$11,$D$12:$G$12,0))</f>
        <v>#N/A</v>
      </c>
      <c r="AM281" s="164">
        <v>269</v>
      </c>
      <c r="AN281" s="165">
        <f t="shared" si="38"/>
        <v>31233</v>
      </c>
      <c r="AO281" s="165">
        <f t="shared" si="39"/>
        <v>39213</v>
      </c>
      <c r="AP281" s="165">
        <f t="shared" si="40"/>
        <v>62294</v>
      </c>
      <c r="AQ281" s="165">
        <f t="shared" si="41"/>
        <v>82072</v>
      </c>
    </row>
    <row r="282" spans="3:43">
      <c r="C282" s="160">
        <v>270</v>
      </c>
      <c r="D282" s="169">
        <v>178</v>
      </c>
      <c r="E282" s="170">
        <f t="shared" si="36"/>
        <v>142.25</v>
      </c>
      <c r="F282" s="169">
        <f t="shared" si="37"/>
        <v>171.349999999999</v>
      </c>
      <c r="G282" s="163">
        <f t="shared" si="42"/>
        <v>258</v>
      </c>
      <c r="I282" s="160">
        <v>270</v>
      </c>
      <c r="J282" s="163" t="e">
        <f ca="1">_xlfn.XLOOKUP(OFFSET($C$12,$I282,MATCH($J$11,$D$12:$G$12,0)),主线推图!$B$313:$B$612,主线推图!$P$313:$P$612)*OFFSET($C$1,MATCH(J$12,$C$2:$C$7,0),MATCH($J$11,$D$12:$G$12,0))</f>
        <v>#N/A</v>
      </c>
      <c r="K282" s="163" t="e">
        <f ca="1">_xlfn.XLOOKUP(OFFSET($C$12,$I282,MATCH($J$11,$D$12:$G$12,0)),巡逻产出!$B$311:$B$610,巡逻产出!$R$311:$R$610)*OFFSET($C$1,MATCH(K$12,$C$2:$C$7,0),MATCH($J$11,$D$12:$G$12,0))</f>
        <v>#N/A</v>
      </c>
      <c r="L282" s="163">
        <f ca="1">_xlfn.XLOOKUP(MAX(INT((OFFSET($C$12,$I282,MATCH($J$11,$D$12:$G$12,0))-6)/10),1),组队产出!$B$25:$B$39,组队产出!$P$25:$P$39)*OFFSET($C$1,MATCH(L$12,$C$2:$C$7,0),MATCH($J$11,$D$12:$G$12,0))</f>
        <v>1130.4</v>
      </c>
      <c r="M282" s="163">
        <f ca="1">竞技场!$G$3*OFFSET($C$1,MATCH(M$12,$C$2:$C$7,0),MATCH($J$11,$D$12:$G$12,0))</f>
        <v>1050</v>
      </c>
      <c r="N28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2" s="23">
        <f>任务!$G$6+任务!$G$9+IF(MOD(I282,7)=0,任务!$N$9+任务!$O$6,0)</f>
        <v>895</v>
      </c>
      <c r="P282" s="25">
        <f>公会!$U$11</f>
        <v>2766.62857142857</v>
      </c>
      <c r="Q282" s="163" t="e">
        <f ca="1">_xlfn.XLOOKUP(OFFSET($C$12,$I282,MATCH($J$11,$D$12:$G$12,0)),巡逻产出!$B$311:$B$610,巡逻产出!$Q$311:$Q$610)*OFFSET($C$1,MATCH(Q$12,$C$2:$C$7,0),MATCH($J$11,$D$12:$G$12,0))</f>
        <v>#N/A</v>
      </c>
      <c r="S282" s="160">
        <v>270</v>
      </c>
      <c r="T282" s="163" t="e">
        <f ca="1">_xlfn.XLOOKUP(OFFSET($C$12,$I282,MATCH($T$11,$D$12:$G$12,0)),主线推图!$B$313:$B$612,主线推图!$P$313:$P$612)*OFFSET($C$1,MATCH(T$12,$C$2:$C$7,0),MATCH($T$11,$D$12:$G$12,0))</f>
        <v>#N/A</v>
      </c>
      <c r="U282" s="163" t="e">
        <f ca="1">_xlfn.XLOOKUP(OFFSET($C$12,$I282,MATCH($T$11,$D$12:$G$12,0)),巡逻产出!$B$311:$B$610,巡逻产出!$R$311:$R$610)*OFFSET($C$1,MATCH(U$12,$C$2:$C$7,0),MATCH($T$11,$D$12:$G$12,0))</f>
        <v>#N/A</v>
      </c>
      <c r="V282" s="163" t="e">
        <f ca="1">_xlfn.XLOOKUP(MAX(INT((OFFSET($C$12,$I282,MATCH($T$11,$D$12:$G$12,0))-6)/10),1),组队产出!$B$25:$B$39,组队产出!$P$25:$P$39)*OFFSET($C$1,MATCH(V$12,$C$2:$C$7,0),MATCH($T$11,$D$12:$G$12,0))</f>
        <v>#N/A</v>
      </c>
      <c r="W282" s="163">
        <f ca="1">竞技场!$G$3*OFFSET($C$1,MATCH(W$12,$C$2:$C$7,0),MATCH($T$11,$D$12:$G$12,0))</f>
        <v>2100</v>
      </c>
      <c r="X28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2" s="23">
        <f>任务!$G$6+任务!$G$9+IF(MOD(S282,7)=0,任务!$N$9+任务!$O$6,0)</f>
        <v>895</v>
      </c>
      <c r="Z282" s="25">
        <f>公会!$U$11</f>
        <v>2766.62857142857</v>
      </c>
      <c r="AA282" s="163" t="e">
        <f ca="1">_xlfn.XLOOKUP(OFFSET($C$12,$I282,MATCH($T$11,$D$12:$G$12,0)),巡逻产出!$B$311:$B$610,巡逻产出!$Q$311:$Q$610)*OFFSET($C$1,MATCH(AA$12,$C$2:$C$7,0),MATCH($T$11,$D$12:$G$12,0))</f>
        <v>#N/A</v>
      </c>
      <c r="AC282" s="160">
        <v>270</v>
      </c>
      <c r="AD282" s="163">
        <f ca="1">_xlfn.XLOOKUP(OFFSET($C$12,$I282,MATCH($AD$11,$D$12:$G$12,0)),主线推图!$B$313:$B$612,主线推图!$P$313:$P$612)*OFFSET($C$1,MATCH(AD$12,$C$2:$C$7,0),MATCH($AD$11,$D$12:$G$12,0))</f>
        <v>3513.4</v>
      </c>
      <c r="AE282" s="163">
        <f ca="1">_xlfn.XLOOKUP(OFFSET($C$12,$I282,MATCH($AD$11,$D$12:$G$12,0)),巡逻产出!$B$311:$B$610,巡逻产出!$R$311:$R$610)*OFFSET($C$1,MATCH(AE$12,$C$2:$C$7,0),MATCH($AD$11,$D$12:$G$12,0))</f>
        <v>0</v>
      </c>
      <c r="AF282" s="163" t="e">
        <f ca="1">_xlfn.XLOOKUP(MAX(INT((OFFSET($C$12,$I282,MATCH($AD$11,$D$12:$G$12,0))-6)/10),1),组队产出!$B$25:$B$39,组队产出!$P$25:$P$39)*OFFSET($C$1,MATCH(AF$12,$C$2:$C$7,0),MATCH($AD$11,$D$12:$G$12,0))</f>
        <v>#N/A</v>
      </c>
      <c r="AG282" s="163">
        <f ca="1">竞技场!$G$3*OFFSET($C$1,MATCH(AG$12,$C$2:$C$7,0),MATCH($AD$11,$D$12:$G$12,0))</f>
        <v>3150</v>
      </c>
      <c r="AH28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2" s="23">
        <f>任务!$G$6+任务!$G$9+IF(MOD(AC282,7)=0,任务!$N$9+任务!$O$6,0)</f>
        <v>895</v>
      </c>
      <c r="AJ282" s="25">
        <f>公会!$U$11</f>
        <v>2766.62857142857</v>
      </c>
      <c r="AK282" s="163">
        <f ca="1">_xlfn.XLOOKUP(OFFSET($C$12,$I282,MATCH($AD$11,$D$12:$G$12,0)),巡逻产出!$B$311:$B$610,巡逻产出!$Q$311:$Q$610)*OFFSET($C$1,MATCH(AK$12,$C$2:$C$7,0),MATCH($AD$11,$D$12:$G$12,0))</f>
        <v>2433.288</v>
      </c>
      <c r="AM282" s="164">
        <v>270</v>
      </c>
      <c r="AN282" s="165">
        <f t="shared" si="38"/>
        <v>31346</v>
      </c>
      <c r="AO282" s="165">
        <f t="shared" si="39"/>
        <v>39356</v>
      </c>
      <c r="AP282" s="165">
        <f t="shared" si="40"/>
        <v>62522</v>
      </c>
      <c r="AQ282" s="165">
        <f t="shared" si="41"/>
        <v>82374</v>
      </c>
    </row>
    <row r="283" spans="3:43">
      <c r="C283" s="160">
        <v>271</v>
      </c>
      <c r="D283" s="169">
        <v>178</v>
      </c>
      <c r="E283" s="170">
        <f t="shared" si="36"/>
        <v>142.5</v>
      </c>
      <c r="F283" s="169">
        <f t="shared" si="37"/>
        <v>171.699999999999</v>
      </c>
      <c r="G283" s="163">
        <f t="shared" si="42"/>
        <v>258.5</v>
      </c>
      <c r="I283" s="160">
        <v>271</v>
      </c>
      <c r="J283" s="163" t="e">
        <f ca="1">_xlfn.XLOOKUP(OFFSET($C$12,$I283,MATCH($J$11,$D$12:$G$12,0)),主线推图!$B$313:$B$612,主线推图!$P$313:$P$612)*OFFSET($C$1,MATCH(J$12,$C$2:$C$7,0),MATCH($J$11,$D$12:$G$12,0))</f>
        <v>#N/A</v>
      </c>
      <c r="K283" s="163" t="e">
        <f ca="1">_xlfn.XLOOKUP(OFFSET($C$12,$I283,MATCH($J$11,$D$12:$G$12,0)),巡逻产出!$B$311:$B$610,巡逻产出!$R$311:$R$610)*OFFSET($C$1,MATCH(K$12,$C$2:$C$7,0),MATCH($J$11,$D$12:$G$12,0))</f>
        <v>#N/A</v>
      </c>
      <c r="L283" s="163">
        <f ca="1">_xlfn.XLOOKUP(MAX(INT((OFFSET($C$12,$I283,MATCH($J$11,$D$12:$G$12,0))-6)/10),1),组队产出!$B$25:$B$39,组队产出!$P$25:$P$39)*OFFSET($C$1,MATCH(L$12,$C$2:$C$7,0),MATCH($J$11,$D$12:$G$12,0))</f>
        <v>1130.4</v>
      </c>
      <c r="M283" s="163">
        <f ca="1">竞技场!$G$3*OFFSET($C$1,MATCH(M$12,$C$2:$C$7,0),MATCH($J$11,$D$12:$G$12,0))</f>
        <v>1050</v>
      </c>
      <c r="N28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3" s="23">
        <f>任务!$G$6+任务!$G$9+IF(MOD(I283,7)=0,任务!$N$9+任务!$O$6,0)</f>
        <v>895</v>
      </c>
      <c r="P283" s="25">
        <f>公会!$U$11</f>
        <v>2766.62857142857</v>
      </c>
      <c r="Q283" s="163" t="e">
        <f ca="1">_xlfn.XLOOKUP(OFFSET($C$12,$I283,MATCH($J$11,$D$12:$G$12,0)),巡逻产出!$B$311:$B$610,巡逻产出!$Q$311:$Q$610)*OFFSET($C$1,MATCH(Q$12,$C$2:$C$7,0),MATCH($J$11,$D$12:$G$12,0))</f>
        <v>#N/A</v>
      </c>
      <c r="S283" s="160">
        <v>271</v>
      </c>
      <c r="T283" s="163" t="e">
        <f ca="1">_xlfn.XLOOKUP(OFFSET($C$12,$I283,MATCH($T$11,$D$12:$G$12,0)),主线推图!$B$313:$B$612,主线推图!$P$313:$P$612)*OFFSET($C$1,MATCH(T$12,$C$2:$C$7,0),MATCH($T$11,$D$12:$G$12,0))</f>
        <v>#N/A</v>
      </c>
      <c r="U283" s="163" t="e">
        <f ca="1">_xlfn.XLOOKUP(OFFSET($C$12,$I283,MATCH($T$11,$D$12:$G$12,0)),巡逻产出!$B$311:$B$610,巡逻产出!$R$311:$R$610)*OFFSET($C$1,MATCH(U$12,$C$2:$C$7,0),MATCH($T$11,$D$12:$G$12,0))</f>
        <v>#N/A</v>
      </c>
      <c r="V283" s="163" t="e">
        <f ca="1">_xlfn.XLOOKUP(MAX(INT((OFFSET($C$12,$I283,MATCH($T$11,$D$12:$G$12,0))-6)/10),1),组队产出!$B$25:$B$39,组队产出!$P$25:$P$39)*OFFSET($C$1,MATCH(V$12,$C$2:$C$7,0),MATCH($T$11,$D$12:$G$12,0))</f>
        <v>#N/A</v>
      </c>
      <c r="W283" s="163">
        <f ca="1">竞技场!$G$3*OFFSET($C$1,MATCH(W$12,$C$2:$C$7,0),MATCH($T$11,$D$12:$G$12,0))</f>
        <v>2100</v>
      </c>
      <c r="X28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3" s="23">
        <f>任务!$G$6+任务!$G$9+IF(MOD(S283,7)=0,任务!$N$9+任务!$O$6,0)</f>
        <v>895</v>
      </c>
      <c r="Z283" s="25">
        <f>公会!$U$11</f>
        <v>2766.62857142857</v>
      </c>
      <c r="AA283" s="163" t="e">
        <f ca="1">_xlfn.XLOOKUP(OFFSET($C$12,$I283,MATCH($T$11,$D$12:$G$12,0)),巡逻产出!$B$311:$B$610,巡逻产出!$Q$311:$Q$610)*OFFSET($C$1,MATCH(AA$12,$C$2:$C$7,0),MATCH($T$11,$D$12:$G$12,0))</f>
        <v>#N/A</v>
      </c>
      <c r="AC283" s="160">
        <v>271</v>
      </c>
      <c r="AD283" s="163" t="e">
        <f ca="1">_xlfn.XLOOKUP(OFFSET($C$12,$I283,MATCH($AD$11,$D$12:$G$12,0)),主线推图!$B$313:$B$612,主线推图!$P$313:$P$612)*OFFSET($C$1,MATCH(AD$12,$C$2:$C$7,0),MATCH($AD$11,$D$12:$G$12,0))</f>
        <v>#N/A</v>
      </c>
      <c r="AE283" s="163" t="e">
        <f ca="1">_xlfn.XLOOKUP(OFFSET($C$12,$I283,MATCH($AD$11,$D$12:$G$12,0)),巡逻产出!$B$311:$B$610,巡逻产出!$R$311:$R$610)*OFFSET($C$1,MATCH(AE$12,$C$2:$C$7,0),MATCH($AD$11,$D$12:$G$12,0))</f>
        <v>#N/A</v>
      </c>
      <c r="AF283" s="163" t="e">
        <f ca="1">_xlfn.XLOOKUP(MAX(INT((OFFSET($C$12,$I283,MATCH($AD$11,$D$12:$G$12,0))-6)/10),1),组队产出!$B$25:$B$39,组队产出!$P$25:$P$39)*OFFSET($C$1,MATCH(AF$12,$C$2:$C$7,0),MATCH($AD$11,$D$12:$G$12,0))</f>
        <v>#N/A</v>
      </c>
      <c r="AG283" s="163">
        <f ca="1">竞技场!$G$3*OFFSET($C$1,MATCH(AG$12,$C$2:$C$7,0),MATCH($AD$11,$D$12:$G$12,0))</f>
        <v>3150</v>
      </c>
      <c r="AH28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3" s="23">
        <f>任务!$G$6+任务!$G$9+IF(MOD(AC283,7)=0,任务!$N$9+任务!$O$6,0)</f>
        <v>895</v>
      </c>
      <c r="AJ283" s="25">
        <f>公会!$U$11</f>
        <v>2766.62857142857</v>
      </c>
      <c r="AK283" s="163" t="e">
        <f ca="1">_xlfn.XLOOKUP(OFFSET($C$12,$I283,MATCH($AD$11,$D$12:$G$12,0)),巡逻产出!$B$311:$B$610,巡逻产出!$Q$311:$Q$610)*OFFSET($C$1,MATCH(AK$12,$C$2:$C$7,0),MATCH($AD$11,$D$12:$G$12,0))</f>
        <v>#N/A</v>
      </c>
      <c r="AM283" s="164">
        <v>271</v>
      </c>
      <c r="AN283" s="165">
        <f t="shared" si="38"/>
        <v>31460</v>
      </c>
      <c r="AO283" s="165">
        <f t="shared" si="39"/>
        <v>39499</v>
      </c>
      <c r="AP283" s="165">
        <f t="shared" si="40"/>
        <v>62751</v>
      </c>
      <c r="AQ283" s="165">
        <f t="shared" si="41"/>
        <v>82676</v>
      </c>
    </row>
    <row r="284" spans="3:43">
      <c r="C284" s="160">
        <v>272</v>
      </c>
      <c r="D284" s="169">
        <v>178</v>
      </c>
      <c r="E284" s="170">
        <f t="shared" si="36"/>
        <v>142.75</v>
      </c>
      <c r="F284" s="169">
        <f t="shared" si="37"/>
        <v>172.049999999999</v>
      </c>
      <c r="G284" s="163">
        <f t="shared" si="42"/>
        <v>259</v>
      </c>
      <c r="I284" s="160">
        <v>272</v>
      </c>
      <c r="J284" s="163" t="e">
        <f ca="1">_xlfn.XLOOKUP(OFFSET($C$12,$I284,MATCH($J$11,$D$12:$G$12,0)),主线推图!$B$313:$B$612,主线推图!$P$313:$P$612)*OFFSET($C$1,MATCH(J$12,$C$2:$C$7,0),MATCH($J$11,$D$12:$G$12,0))</f>
        <v>#N/A</v>
      </c>
      <c r="K284" s="163" t="e">
        <f ca="1">_xlfn.XLOOKUP(OFFSET($C$12,$I284,MATCH($J$11,$D$12:$G$12,0)),巡逻产出!$B$311:$B$610,巡逻产出!$R$311:$R$610)*OFFSET($C$1,MATCH(K$12,$C$2:$C$7,0),MATCH($J$11,$D$12:$G$12,0))</f>
        <v>#N/A</v>
      </c>
      <c r="L284" s="163">
        <f ca="1">_xlfn.XLOOKUP(MAX(INT((OFFSET($C$12,$I284,MATCH($J$11,$D$12:$G$12,0))-6)/10),1),组队产出!$B$25:$B$39,组队产出!$P$25:$P$39)*OFFSET($C$1,MATCH(L$12,$C$2:$C$7,0),MATCH($J$11,$D$12:$G$12,0))</f>
        <v>1130.4</v>
      </c>
      <c r="M284" s="163">
        <f ca="1">竞技场!$G$3*OFFSET($C$1,MATCH(M$12,$C$2:$C$7,0),MATCH($J$11,$D$12:$G$12,0))</f>
        <v>1050</v>
      </c>
      <c r="N28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4" s="23">
        <f>任务!$G$6+任务!$G$9+IF(MOD(I284,7)=0,任务!$N$9+任务!$O$6,0)</f>
        <v>895</v>
      </c>
      <c r="P284" s="25">
        <f>公会!$U$11</f>
        <v>2766.62857142857</v>
      </c>
      <c r="Q284" s="163" t="e">
        <f ca="1">_xlfn.XLOOKUP(OFFSET($C$12,$I284,MATCH($J$11,$D$12:$G$12,0)),巡逻产出!$B$311:$B$610,巡逻产出!$Q$311:$Q$610)*OFFSET($C$1,MATCH(Q$12,$C$2:$C$7,0),MATCH($J$11,$D$12:$G$12,0))</f>
        <v>#N/A</v>
      </c>
      <c r="S284" s="160">
        <v>272</v>
      </c>
      <c r="T284" s="163" t="e">
        <f ca="1">_xlfn.XLOOKUP(OFFSET($C$12,$I284,MATCH($T$11,$D$12:$G$12,0)),主线推图!$B$313:$B$612,主线推图!$P$313:$P$612)*OFFSET($C$1,MATCH(T$12,$C$2:$C$7,0),MATCH($T$11,$D$12:$G$12,0))</f>
        <v>#N/A</v>
      </c>
      <c r="U284" s="163" t="e">
        <f ca="1">_xlfn.XLOOKUP(OFFSET($C$12,$I284,MATCH($T$11,$D$12:$G$12,0)),巡逻产出!$B$311:$B$610,巡逻产出!$R$311:$R$610)*OFFSET($C$1,MATCH(U$12,$C$2:$C$7,0),MATCH($T$11,$D$12:$G$12,0))</f>
        <v>#N/A</v>
      </c>
      <c r="V284" s="163" t="e">
        <f ca="1">_xlfn.XLOOKUP(MAX(INT((OFFSET($C$12,$I284,MATCH($T$11,$D$12:$G$12,0))-6)/10),1),组队产出!$B$25:$B$39,组队产出!$P$25:$P$39)*OFFSET($C$1,MATCH(V$12,$C$2:$C$7,0),MATCH($T$11,$D$12:$G$12,0))</f>
        <v>#N/A</v>
      </c>
      <c r="W284" s="163">
        <f ca="1">竞技场!$G$3*OFFSET($C$1,MATCH(W$12,$C$2:$C$7,0),MATCH($T$11,$D$12:$G$12,0))</f>
        <v>2100</v>
      </c>
      <c r="X28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4" s="23">
        <f>任务!$G$6+任务!$G$9+IF(MOD(S284,7)=0,任务!$N$9+任务!$O$6,0)</f>
        <v>895</v>
      </c>
      <c r="Z284" s="25">
        <f>公会!$U$11</f>
        <v>2766.62857142857</v>
      </c>
      <c r="AA284" s="163" t="e">
        <f ca="1">_xlfn.XLOOKUP(OFFSET($C$12,$I284,MATCH($T$11,$D$12:$G$12,0)),巡逻产出!$B$311:$B$610,巡逻产出!$Q$311:$Q$610)*OFFSET($C$1,MATCH(AA$12,$C$2:$C$7,0),MATCH($T$11,$D$12:$G$12,0))</f>
        <v>#N/A</v>
      </c>
      <c r="AC284" s="160">
        <v>272</v>
      </c>
      <c r="AD284" s="163">
        <f ca="1">_xlfn.XLOOKUP(OFFSET($C$12,$I284,MATCH($AD$11,$D$12:$G$12,0)),主线推图!$B$313:$B$612,主线推图!$P$313:$P$612)*OFFSET($C$1,MATCH(AD$12,$C$2:$C$7,0),MATCH($AD$11,$D$12:$G$12,0))</f>
        <v>3515.6</v>
      </c>
      <c r="AE284" s="163">
        <f ca="1">_xlfn.XLOOKUP(OFFSET($C$12,$I284,MATCH($AD$11,$D$12:$G$12,0)),巡逻产出!$B$311:$B$610,巡逻产出!$R$311:$R$610)*OFFSET($C$1,MATCH(AE$12,$C$2:$C$7,0),MATCH($AD$11,$D$12:$G$12,0))</f>
        <v>0</v>
      </c>
      <c r="AF284" s="163" t="e">
        <f ca="1">_xlfn.XLOOKUP(MAX(INT((OFFSET($C$12,$I284,MATCH($AD$11,$D$12:$G$12,0))-6)/10),1),组队产出!$B$25:$B$39,组队产出!$P$25:$P$39)*OFFSET($C$1,MATCH(AF$12,$C$2:$C$7,0),MATCH($AD$11,$D$12:$G$12,0))</f>
        <v>#N/A</v>
      </c>
      <c r="AG284" s="163">
        <f ca="1">竞技场!$G$3*OFFSET($C$1,MATCH(AG$12,$C$2:$C$7,0),MATCH($AD$11,$D$12:$G$12,0))</f>
        <v>3150</v>
      </c>
      <c r="AH28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4" s="23">
        <f>任务!$G$6+任务!$G$9+IF(MOD(AC284,7)=0,任务!$N$9+任务!$O$6,0)</f>
        <v>895</v>
      </c>
      <c r="AJ284" s="25">
        <f>公会!$U$11</f>
        <v>2766.62857142857</v>
      </c>
      <c r="AK284" s="163">
        <f ca="1">_xlfn.XLOOKUP(OFFSET($C$12,$I284,MATCH($AD$11,$D$12:$G$12,0)),巡逻产出!$B$311:$B$610,巡逻产出!$Q$311:$Q$610)*OFFSET($C$1,MATCH(AK$12,$C$2:$C$7,0),MATCH($AD$11,$D$12:$G$12,0))</f>
        <v>2434.848</v>
      </c>
      <c r="AM284" s="164">
        <v>272</v>
      </c>
      <c r="AN284" s="165">
        <f t="shared" si="38"/>
        <v>31573</v>
      </c>
      <c r="AO284" s="165">
        <f t="shared" si="39"/>
        <v>39642</v>
      </c>
      <c r="AP284" s="165">
        <f t="shared" si="40"/>
        <v>62979</v>
      </c>
      <c r="AQ284" s="165">
        <f t="shared" si="41"/>
        <v>82978</v>
      </c>
    </row>
    <row r="285" spans="3:43">
      <c r="C285" s="160">
        <v>273</v>
      </c>
      <c r="D285" s="169">
        <v>178</v>
      </c>
      <c r="E285" s="170">
        <f t="shared" si="36"/>
        <v>143</v>
      </c>
      <c r="F285" s="169">
        <f t="shared" si="37"/>
        <v>172.399999999999</v>
      </c>
      <c r="G285" s="163">
        <f t="shared" si="42"/>
        <v>259.5</v>
      </c>
      <c r="I285" s="160">
        <v>273</v>
      </c>
      <c r="J285" s="163" t="e">
        <f ca="1">_xlfn.XLOOKUP(OFFSET($C$12,$I285,MATCH($J$11,$D$12:$G$12,0)),主线推图!$B$313:$B$612,主线推图!$P$313:$P$612)*OFFSET($C$1,MATCH(J$12,$C$2:$C$7,0),MATCH($J$11,$D$12:$G$12,0))</f>
        <v>#N/A</v>
      </c>
      <c r="K285" s="163" t="e">
        <f ca="1">_xlfn.XLOOKUP(OFFSET($C$12,$I285,MATCH($J$11,$D$12:$G$12,0)),巡逻产出!$B$311:$B$610,巡逻产出!$R$311:$R$610)*OFFSET($C$1,MATCH(K$12,$C$2:$C$7,0),MATCH($J$11,$D$12:$G$12,0))</f>
        <v>#N/A</v>
      </c>
      <c r="L285" s="163">
        <f ca="1">_xlfn.XLOOKUP(MAX(INT((OFFSET($C$12,$I285,MATCH($J$11,$D$12:$G$12,0))-6)/10),1),组队产出!$B$25:$B$39,组队产出!$P$25:$P$39)*OFFSET($C$1,MATCH(L$12,$C$2:$C$7,0),MATCH($J$11,$D$12:$G$12,0))</f>
        <v>1130.4</v>
      </c>
      <c r="M285" s="163">
        <f ca="1">竞技场!$G$3*OFFSET($C$1,MATCH(M$12,$C$2:$C$7,0),MATCH($J$11,$D$12:$G$12,0))</f>
        <v>1050</v>
      </c>
      <c r="N28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5" s="23">
        <f>任务!$G$6+任务!$G$9+IF(MOD(I285,7)=0,任务!$N$9+任务!$O$6,0)</f>
        <v>3125</v>
      </c>
      <c r="P285" s="25">
        <f>公会!$U$11</f>
        <v>2766.62857142857</v>
      </c>
      <c r="Q285" s="163" t="e">
        <f ca="1">_xlfn.XLOOKUP(OFFSET($C$12,$I285,MATCH($J$11,$D$12:$G$12,0)),巡逻产出!$B$311:$B$610,巡逻产出!$Q$311:$Q$610)*OFFSET($C$1,MATCH(Q$12,$C$2:$C$7,0),MATCH($J$11,$D$12:$G$12,0))</f>
        <v>#N/A</v>
      </c>
      <c r="S285" s="160">
        <v>273</v>
      </c>
      <c r="T285" s="163" t="e">
        <f ca="1">_xlfn.XLOOKUP(OFFSET($C$12,$I285,MATCH($T$11,$D$12:$G$12,0)),主线推图!$B$313:$B$612,主线推图!$P$313:$P$612)*OFFSET($C$1,MATCH(T$12,$C$2:$C$7,0),MATCH($T$11,$D$12:$G$12,0))</f>
        <v>#N/A</v>
      </c>
      <c r="U285" s="163" t="e">
        <f ca="1">_xlfn.XLOOKUP(OFFSET($C$12,$I285,MATCH($T$11,$D$12:$G$12,0)),巡逻产出!$B$311:$B$610,巡逻产出!$R$311:$R$610)*OFFSET($C$1,MATCH(U$12,$C$2:$C$7,0),MATCH($T$11,$D$12:$G$12,0))</f>
        <v>#N/A</v>
      </c>
      <c r="V285" s="163" t="e">
        <f ca="1">_xlfn.XLOOKUP(MAX(INT((OFFSET($C$12,$I285,MATCH($T$11,$D$12:$G$12,0))-6)/10),1),组队产出!$B$25:$B$39,组队产出!$P$25:$P$39)*OFFSET($C$1,MATCH(V$12,$C$2:$C$7,0),MATCH($T$11,$D$12:$G$12,0))</f>
        <v>#N/A</v>
      </c>
      <c r="W285" s="163">
        <f ca="1">竞技场!$G$3*OFFSET($C$1,MATCH(W$12,$C$2:$C$7,0),MATCH($T$11,$D$12:$G$12,0))</f>
        <v>2100</v>
      </c>
      <c r="X28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5" s="23">
        <f>任务!$G$6+任务!$G$9+IF(MOD(S285,7)=0,任务!$N$9+任务!$O$6,0)</f>
        <v>3125</v>
      </c>
      <c r="Z285" s="25">
        <f>公会!$U$11</f>
        <v>2766.62857142857</v>
      </c>
      <c r="AA285" s="163" t="e">
        <f ca="1">_xlfn.XLOOKUP(OFFSET($C$12,$I285,MATCH($T$11,$D$12:$G$12,0)),巡逻产出!$B$311:$B$610,巡逻产出!$Q$311:$Q$610)*OFFSET($C$1,MATCH(AA$12,$C$2:$C$7,0),MATCH($T$11,$D$12:$G$12,0))</f>
        <v>#N/A</v>
      </c>
      <c r="AC285" s="160">
        <v>273</v>
      </c>
      <c r="AD285" s="163" t="e">
        <f ca="1">_xlfn.XLOOKUP(OFFSET($C$12,$I285,MATCH($AD$11,$D$12:$G$12,0)),主线推图!$B$313:$B$612,主线推图!$P$313:$P$612)*OFFSET($C$1,MATCH(AD$12,$C$2:$C$7,0),MATCH($AD$11,$D$12:$G$12,0))</f>
        <v>#N/A</v>
      </c>
      <c r="AE285" s="163" t="e">
        <f ca="1">_xlfn.XLOOKUP(OFFSET($C$12,$I285,MATCH($AD$11,$D$12:$G$12,0)),巡逻产出!$B$311:$B$610,巡逻产出!$R$311:$R$610)*OFFSET($C$1,MATCH(AE$12,$C$2:$C$7,0),MATCH($AD$11,$D$12:$G$12,0))</f>
        <v>#N/A</v>
      </c>
      <c r="AF285" s="163" t="e">
        <f ca="1">_xlfn.XLOOKUP(MAX(INT((OFFSET($C$12,$I285,MATCH($AD$11,$D$12:$G$12,0))-6)/10),1),组队产出!$B$25:$B$39,组队产出!$P$25:$P$39)*OFFSET($C$1,MATCH(AF$12,$C$2:$C$7,0),MATCH($AD$11,$D$12:$G$12,0))</f>
        <v>#N/A</v>
      </c>
      <c r="AG285" s="163">
        <f ca="1">竞技场!$G$3*OFFSET($C$1,MATCH(AG$12,$C$2:$C$7,0),MATCH($AD$11,$D$12:$G$12,0))</f>
        <v>3150</v>
      </c>
      <c r="AH28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5" s="23">
        <f>任务!$G$6+任务!$G$9+IF(MOD(AC285,7)=0,任务!$N$9+任务!$O$6,0)</f>
        <v>3125</v>
      </c>
      <c r="AJ285" s="25">
        <f>公会!$U$11</f>
        <v>2766.62857142857</v>
      </c>
      <c r="AK285" s="163" t="e">
        <f ca="1">_xlfn.XLOOKUP(OFFSET($C$12,$I285,MATCH($AD$11,$D$12:$G$12,0)),巡逻产出!$B$311:$B$610,巡逻产出!$Q$311:$Q$610)*OFFSET($C$1,MATCH(AK$12,$C$2:$C$7,0),MATCH($AD$11,$D$12:$G$12,0))</f>
        <v>#N/A</v>
      </c>
      <c r="AM285" s="164">
        <v>273</v>
      </c>
      <c r="AN285" s="165">
        <f t="shared" si="38"/>
        <v>31687</v>
      </c>
      <c r="AO285" s="165">
        <f t="shared" si="39"/>
        <v>39785</v>
      </c>
      <c r="AP285" s="165">
        <f t="shared" si="40"/>
        <v>63208</v>
      </c>
      <c r="AQ285" s="165">
        <f t="shared" si="41"/>
        <v>83280</v>
      </c>
    </row>
    <row r="286" spans="3:43">
      <c r="C286" s="160">
        <v>274</v>
      </c>
      <c r="D286" s="169">
        <v>178</v>
      </c>
      <c r="E286" s="170">
        <f t="shared" si="36"/>
        <v>143.25</v>
      </c>
      <c r="F286" s="169">
        <f t="shared" si="37"/>
        <v>172.749999999999</v>
      </c>
      <c r="G286" s="163">
        <f t="shared" si="42"/>
        <v>260</v>
      </c>
      <c r="I286" s="160">
        <v>274</v>
      </c>
      <c r="J286" s="163" t="e">
        <f ca="1">_xlfn.XLOOKUP(OFFSET($C$12,$I286,MATCH($J$11,$D$12:$G$12,0)),主线推图!$B$313:$B$612,主线推图!$P$313:$P$612)*OFFSET($C$1,MATCH(J$12,$C$2:$C$7,0),MATCH($J$11,$D$12:$G$12,0))</f>
        <v>#N/A</v>
      </c>
      <c r="K286" s="163" t="e">
        <f ca="1">_xlfn.XLOOKUP(OFFSET($C$12,$I286,MATCH($J$11,$D$12:$G$12,0)),巡逻产出!$B$311:$B$610,巡逻产出!$R$311:$R$610)*OFFSET($C$1,MATCH(K$12,$C$2:$C$7,0),MATCH($J$11,$D$12:$G$12,0))</f>
        <v>#N/A</v>
      </c>
      <c r="L286" s="163">
        <f ca="1">_xlfn.XLOOKUP(MAX(INT((OFFSET($C$12,$I286,MATCH($J$11,$D$12:$G$12,0))-6)/10),1),组队产出!$B$25:$B$39,组队产出!$P$25:$P$39)*OFFSET($C$1,MATCH(L$12,$C$2:$C$7,0),MATCH($J$11,$D$12:$G$12,0))</f>
        <v>1130.4</v>
      </c>
      <c r="M286" s="163">
        <f ca="1">竞技场!$G$3*OFFSET($C$1,MATCH(M$12,$C$2:$C$7,0),MATCH($J$11,$D$12:$G$12,0))</f>
        <v>1050</v>
      </c>
      <c r="N28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6" s="23">
        <f>任务!$G$6+任务!$G$9+IF(MOD(I286,7)=0,任务!$N$9+任务!$O$6,0)</f>
        <v>895</v>
      </c>
      <c r="P286" s="25">
        <f>公会!$U$11</f>
        <v>2766.62857142857</v>
      </c>
      <c r="Q286" s="163" t="e">
        <f ca="1">_xlfn.XLOOKUP(OFFSET($C$12,$I286,MATCH($J$11,$D$12:$G$12,0)),巡逻产出!$B$311:$B$610,巡逻产出!$Q$311:$Q$610)*OFFSET($C$1,MATCH(Q$12,$C$2:$C$7,0),MATCH($J$11,$D$12:$G$12,0))</f>
        <v>#N/A</v>
      </c>
      <c r="S286" s="160">
        <v>274</v>
      </c>
      <c r="T286" s="163" t="e">
        <f ca="1">_xlfn.XLOOKUP(OFFSET($C$12,$I286,MATCH($T$11,$D$12:$G$12,0)),主线推图!$B$313:$B$612,主线推图!$P$313:$P$612)*OFFSET($C$1,MATCH(T$12,$C$2:$C$7,0),MATCH($T$11,$D$12:$G$12,0))</f>
        <v>#N/A</v>
      </c>
      <c r="U286" s="163" t="e">
        <f ca="1">_xlfn.XLOOKUP(OFFSET($C$12,$I286,MATCH($T$11,$D$12:$G$12,0)),巡逻产出!$B$311:$B$610,巡逻产出!$R$311:$R$610)*OFFSET($C$1,MATCH(U$12,$C$2:$C$7,0),MATCH($T$11,$D$12:$G$12,0))</f>
        <v>#N/A</v>
      </c>
      <c r="V286" s="163" t="e">
        <f ca="1">_xlfn.XLOOKUP(MAX(INT((OFFSET($C$12,$I286,MATCH($T$11,$D$12:$G$12,0))-6)/10),1),组队产出!$B$25:$B$39,组队产出!$P$25:$P$39)*OFFSET($C$1,MATCH(V$12,$C$2:$C$7,0),MATCH($T$11,$D$12:$G$12,0))</f>
        <v>#N/A</v>
      </c>
      <c r="W286" s="163">
        <f ca="1">竞技场!$G$3*OFFSET($C$1,MATCH(W$12,$C$2:$C$7,0),MATCH($T$11,$D$12:$G$12,0))</f>
        <v>2100</v>
      </c>
      <c r="X28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6" s="23">
        <f>任务!$G$6+任务!$G$9+IF(MOD(S286,7)=0,任务!$N$9+任务!$O$6,0)</f>
        <v>895</v>
      </c>
      <c r="Z286" s="25">
        <f>公会!$U$11</f>
        <v>2766.62857142857</v>
      </c>
      <c r="AA286" s="163" t="e">
        <f ca="1">_xlfn.XLOOKUP(OFFSET($C$12,$I286,MATCH($T$11,$D$12:$G$12,0)),巡逻产出!$B$311:$B$610,巡逻产出!$Q$311:$Q$610)*OFFSET($C$1,MATCH(AA$12,$C$2:$C$7,0),MATCH($T$11,$D$12:$G$12,0))</f>
        <v>#N/A</v>
      </c>
      <c r="AC286" s="160">
        <v>274</v>
      </c>
      <c r="AD286" s="163">
        <f ca="1">_xlfn.XLOOKUP(OFFSET($C$12,$I286,MATCH($AD$11,$D$12:$G$12,0)),主线推图!$B$313:$B$612,主线推图!$P$313:$P$612)*OFFSET($C$1,MATCH(AD$12,$C$2:$C$7,0),MATCH($AD$11,$D$12:$G$12,0))</f>
        <v>3517.8</v>
      </c>
      <c r="AE286" s="163">
        <f ca="1">_xlfn.XLOOKUP(OFFSET($C$12,$I286,MATCH($AD$11,$D$12:$G$12,0)),巡逻产出!$B$311:$B$610,巡逻产出!$R$311:$R$610)*OFFSET($C$1,MATCH(AE$12,$C$2:$C$7,0),MATCH($AD$11,$D$12:$G$12,0))</f>
        <v>0</v>
      </c>
      <c r="AF286" s="163" t="e">
        <f ca="1">_xlfn.XLOOKUP(MAX(INT((OFFSET($C$12,$I286,MATCH($AD$11,$D$12:$G$12,0))-6)/10),1),组队产出!$B$25:$B$39,组队产出!$P$25:$P$39)*OFFSET($C$1,MATCH(AF$12,$C$2:$C$7,0),MATCH($AD$11,$D$12:$G$12,0))</f>
        <v>#N/A</v>
      </c>
      <c r="AG286" s="163">
        <f ca="1">竞技场!$G$3*OFFSET($C$1,MATCH(AG$12,$C$2:$C$7,0),MATCH($AD$11,$D$12:$G$12,0))</f>
        <v>3150</v>
      </c>
      <c r="AH28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6" s="23">
        <f>任务!$G$6+任务!$G$9+IF(MOD(AC286,7)=0,任务!$N$9+任务!$O$6,0)</f>
        <v>895</v>
      </c>
      <c r="AJ286" s="25">
        <f>公会!$U$11</f>
        <v>2766.62857142857</v>
      </c>
      <c r="AK286" s="163">
        <f ca="1">_xlfn.XLOOKUP(OFFSET($C$12,$I286,MATCH($AD$11,$D$12:$G$12,0)),巡逻产出!$B$311:$B$610,巡逻产出!$Q$311:$Q$610)*OFFSET($C$1,MATCH(AK$12,$C$2:$C$7,0),MATCH($AD$11,$D$12:$G$12,0))</f>
        <v>2436.408</v>
      </c>
      <c r="AM286" s="164">
        <v>274</v>
      </c>
      <c r="AN286" s="165">
        <f t="shared" si="38"/>
        <v>31800</v>
      </c>
      <c r="AO286" s="165">
        <f t="shared" si="39"/>
        <v>39928</v>
      </c>
      <c r="AP286" s="165">
        <f t="shared" si="40"/>
        <v>63436</v>
      </c>
      <c r="AQ286" s="165">
        <f t="shared" si="41"/>
        <v>83582</v>
      </c>
    </row>
    <row r="287" spans="3:43">
      <c r="C287" s="160">
        <v>275</v>
      </c>
      <c r="D287" s="169">
        <v>178</v>
      </c>
      <c r="E287" s="170">
        <f t="shared" si="36"/>
        <v>143.5</v>
      </c>
      <c r="F287" s="169">
        <f t="shared" si="37"/>
        <v>173.099999999999</v>
      </c>
      <c r="G287" s="163">
        <f t="shared" si="42"/>
        <v>260.5</v>
      </c>
      <c r="I287" s="160">
        <v>275</v>
      </c>
      <c r="J287" s="163" t="e">
        <f ca="1">_xlfn.XLOOKUP(OFFSET($C$12,$I287,MATCH($J$11,$D$12:$G$12,0)),主线推图!$B$313:$B$612,主线推图!$P$313:$P$612)*OFFSET($C$1,MATCH(J$12,$C$2:$C$7,0),MATCH($J$11,$D$12:$G$12,0))</f>
        <v>#N/A</v>
      </c>
      <c r="K287" s="163" t="e">
        <f ca="1">_xlfn.XLOOKUP(OFFSET($C$12,$I287,MATCH($J$11,$D$12:$G$12,0)),巡逻产出!$B$311:$B$610,巡逻产出!$R$311:$R$610)*OFFSET($C$1,MATCH(K$12,$C$2:$C$7,0),MATCH($J$11,$D$12:$G$12,0))</f>
        <v>#N/A</v>
      </c>
      <c r="L287" s="163">
        <f ca="1">_xlfn.XLOOKUP(MAX(INT((OFFSET($C$12,$I287,MATCH($J$11,$D$12:$G$12,0))-6)/10),1),组队产出!$B$25:$B$39,组队产出!$P$25:$P$39)*OFFSET($C$1,MATCH(L$12,$C$2:$C$7,0),MATCH($J$11,$D$12:$G$12,0))</f>
        <v>1130.4</v>
      </c>
      <c r="M287" s="163">
        <f ca="1">竞技场!$G$3*OFFSET($C$1,MATCH(M$12,$C$2:$C$7,0),MATCH($J$11,$D$12:$G$12,0))</f>
        <v>1050</v>
      </c>
      <c r="N28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7" s="23">
        <f>任务!$G$6+任务!$G$9+IF(MOD(I287,7)=0,任务!$N$9+任务!$O$6,0)</f>
        <v>895</v>
      </c>
      <c r="P287" s="25">
        <f>公会!$U$11</f>
        <v>2766.62857142857</v>
      </c>
      <c r="Q287" s="163" t="e">
        <f ca="1">_xlfn.XLOOKUP(OFFSET($C$12,$I287,MATCH($J$11,$D$12:$G$12,0)),巡逻产出!$B$311:$B$610,巡逻产出!$Q$311:$Q$610)*OFFSET($C$1,MATCH(Q$12,$C$2:$C$7,0),MATCH($J$11,$D$12:$G$12,0))</f>
        <v>#N/A</v>
      </c>
      <c r="S287" s="160">
        <v>275</v>
      </c>
      <c r="T287" s="163" t="e">
        <f ca="1">_xlfn.XLOOKUP(OFFSET($C$12,$I287,MATCH($T$11,$D$12:$G$12,0)),主线推图!$B$313:$B$612,主线推图!$P$313:$P$612)*OFFSET($C$1,MATCH(T$12,$C$2:$C$7,0),MATCH($T$11,$D$12:$G$12,0))</f>
        <v>#N/A</v>
      </c>
      <c r="U287" s="163" t="e">
        <f ca="1">_xlfn.XLOOKUP(OFFSET($C$12,$I287,MATCH($T$11,$D$12:$G$12,0)),巡逻产出!$B$311:$B$610,巡逻产出!$R$311:$R$610)*OFFSET($C$1,MATCH(U$12,$C$2:$C$7,0),MATCH($T$11,$D$12:$G$12,0))</f>
        <v>#N/A</v>
      </c>
      <c r="V287" s="163" t="e">
        <f ca="1">_xlfn.XLOOKUP(MAX(INT((OFFSET($C$12,$I287,MATCH($T$11,$D$12:$G$12,0))-6)/10),1),组队产出!$B$25:$B$39,组队产出!$P$25:$P$39)*OFFSET($C$1,MATCH(V$12,$C$2:$C$7,0),MATCH($T$11,$D$12:$G$12,0))</f>
        <v>#N/A</v>
      </c>
      <c r="W287" s="163">
        <f ca="1">竞技场!$G$3*OFFSET($C$1,MATCH(W$12,$C$2:$C$7,0),MATCH($T$11,$D$12:$G$12,0))</f>
        <v>2100</v>
      </c>
      <c r="X28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7" s="23">
        <f>任务!$G$6+任务!$G$9+IF(MOD(S287,7)=0,任务!$N$9+任务!$O$6,0)</f>
        <v>895</v>
      </c>
      <c r="Z287" s="25">
        <f>公会!$U$11</f>
        <v>2766.62857142857</v>
      </c>
      <c r="AA287" s="163" t="e">
        <f ca="1">_xlfn.XLOOKUP(OFFSET($C$12,$I287,MATCH($T$11,$D$12:$G$12,0)),巡逻产出!$B$311:$B$610,巡逻产出!$Q$311:$Q$610)*OFFSET($C$1,MATCH(AA$12,$C$2:$C$7,0),MATCH($T$11,$D$12:$G$12,0))</f>
        <v>#N/A</v>
      </c>
      <c r="AC287" s="160">
        <v>275</v>
      </c>
      <c r="AD287" s="163" t="e">
        <f ca="1">_xlfn.XLOOKUP(OFFSET($C$12,$I287,MATCH($AD$11,$D$12:$G$12,0)),主线推图!$B$313:$B$612,主线推图!$P$313:$P$612)*OFFSET($C$1,MATCH(AD$12,$C$2:$C$7,0),MATCH($AD$11,$D$12:$G$12,0))</f>
        <v>#N/A</v>
      </c>
      <c r="AE287" s="163" t="e">
        <f ca="1">_xlfn.XLOOKUP(OFFSET($C$12,$I287,MATCH($AD$11,$D$12:$G$12,0)),巡逻产出!$B$311:$B$610,巡逻产出!$R$311:$R$610)*OFFSET($C$1,MATCH(AE$12,$C$2:$C$7,0),MATCH($AD$11,$D$12:$G$12,0))</f>
        <v>#N/A</v>
      </c>
      <c r="AF287" s="163" t="e">
        <f ca="1">_xlfn.XLOOKUP(MAX(INT((OFFSET($C$12,$I287,MATCH($AD$11,$D$12:$G$12,0))-6)/10),1),组队产出!$B$25:$B$39,组队产出!$P$25:$P$39)*OFFSET($C$1,MATCH(AF$12,$C$2:$C$7,0),MATCH($AD$11,$D$12:$G$12,0))</f>
        <v>#N/A</v>
      </c>
      <c r="AG287" s="163">
        <f ca="1">竞技场!$G$3*OFFSET($C$1,MATCH(AG$12,$C$2:$C$7,0),MATCH($AD$11,$D$12:$G$12,0))</f>
        <v>3150</v>
      </c>
      <c r="AH28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7" s="23">
        <f>任务!$G$6+任务!$G$9+IF(MOD(AC287,7)=0,任务!$N$9+任务!$O$6,0)</f>
        <v>895</v>
      </c>
      <c r="AJ287" s="25">
        <f>公会!$U$11</f>
        <v>2766.62857142857</v>
      </c>
      <c r="AK287" s="163" t="e">
        <f ca="1">_xlfn.XLOOKUP(OFFSET($C$12,$I287,MATCH($AD$11,$D$12:$G$12,0)),巡逻产出!$B$311:$B$610,巡逻产出!$Q$311:$Q$610)*OFFSET($C$1,MATCH(AK$12,$C$2:$C$7,0),MATCH($AD$11,$D$12:$G$12,0))</f>
        <v>#N/A</v>
      </c>
      <c r="AM287" s="164">
        <v>275</v>
      </c>
      <c r="AN287" s="165">
        <f t="shared" si="38"/>
        <v>31914</v>
      </c>
      <c r="AO287" s="165">
        <f t="shared" si="39"/>
        <v>40071</v>
      </c>
      <c r="AP287" s="165">
        <f t="shared" si="40"/>
        <v>63665</v>
      </c>
      <c r="AQ287" s="165">
        <f t="shared" si="41"/>
        <v>83884</v>
      </c>
    </row>
    <row r="288" spans="3:43">
      <c r="C288" s="160">
        <v>276</v>
      </c>
      <c r="D288" s="169">
        <v>178</v>
      </c>
      <c r="E288" s="170">
        <f t="shared" si="36"/>
        <v>143.75</v>
      </c>
      <c r="F288" s="169">
        <f t="shared" si="37"/>
        <v>173.449999999999</v>
      </c>
      <c r="G288" s="163">
        <f t="shared" si="42"/>
        <v>261</v>
      </c>
      <c r="I288" s="160">
        <v>276</v>
      </c>
      <c r="J288" s="163" t="e">
        <f ca="1">_xlfn.XLOOKUP(OFFSET($C$12,$I288,MATCH($J$11,$D$12:$G$12,0)),主线推图!$B$313:$B$612,主线推图!$P$313:$P$612)*OFFSET($C$1,MATCH(J$12,$C$2:$C$7,0),MATCH($J$11,$D$12:$G$12,0))</f>
        <v>#N/A</v>
      </c>
      <c r="K288" s="163" t="e">
        <f ca="1">_xlfn.XLOOKUP(OFFSET($C$12,$I288,MATCH($J$11,$D$12:$G$12,0)),巡逻产出!$B$311:$B$610,巡逻产出!$R$311:$R$610)*OFFSET($C$1,MATCH(K$12,$C$2:$C$7,0),MATCH($J$11,$D$12:$G$12,0))</f>
        <v>#N/A</v>
      </c>
      <c r="L288" s="163">
        <f ca="1">_xlfn.XLOOKUP(MAX(INT((OFFSET($C$12,$I288,MATCH($J$11,$D$12:$G$12,0))-6)/10),1),组队产出!$B$25:$B$39,组队产出!$P$25:$P$39)*OFFSET($C$1,MATCH(L$12,$C$2:$C$7,0),MATCH($J$11,$D$12:$G$12,0))</f>
        <v>1130.4</v>
      </c>
      <c r="M288" s="163">
        <f ca="1">竞技场!$G$3*OFFSET($C$1,MATCH(M$12,$C$2:$C$7,0),MATCH($J$11,$D$12:$G$12,0))</f>
        <v>1050</v>
      </c>
      <c r="N28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8" s="23">
        <f>任务!$G$6+任务!$G$9+IF(MOD(I288,7)=0,任务!$N$9+任务!$O$6,0)</f>
        <v>895</v>
      </c>
      <c r="P288" s="25">
        <f>公会!$U$11</f>
        <v>2766.62857142857</v>
      </c>
      <c r="Q288" s="163" t="e">
        <f ca="1">_xlfn.XLOOKUP(OFFSET($C$12,$I288,MATCH($J$11,$D$12:$G$12,0)),巡逻产出!$B$311:$B$610,巡逻产出!$Q$311:$Q$610)*OFFSET($C$1,MATCH(Q$12,$C$2:$C$7,0),MATCH($J$11,$D$12:$G$12,0))</f>
        <v>#N/A</v>
      </c>
      <c r="S288" s="160">
        <v>276</v>
      </c>
      <c r="T288" s="163" t="e">
        <f ca="1">_xlfn.XLOOKUP(OFFSET($C$12,$I288,MATCH($T$11,$D$12:$G$12,0)),主线推图!$B$313:$B$612,主线推图!$P$313:$P$612)*OFFSET($C$1,MATCH(T$12,$C$2:$C$7,0),MATCH($T$11,$D$12:$G$12,0))</f>
        <v>#N/A</v>
      </c>
      <c r="U288" s="163" t="e">
        <f ca="1">_xlfn.XLOOKUP(OFFSET($C$12,$I288,MATCH($T$11,$D$12:$G$12,0)),巡逻产出!$B$311:$B$610,巡逻产出!$R$311:$R$610)*OFFSET($C$1,MATCH(U$12,$C$2:$C$7,0),MATCH($T$11,$D$12:$G$12,0))</f>
        <v>#N/A</v>
      </c>
      <c r="V288" s="163" t="e">
        <f ca="1">_xlfn.XLOOKUP(MAX(INT((OFFSET($C$12,$I288,MATCH($T$11,$D$12:$G$12,0))-6)/10),1),组队产出!$B$25:$B$39,组队产出!$P$25:$P$39)*OFFSET($C$1,MATCH(V$12,$C$2:$C$7,0),MATCH($T$11,$D$12:$G$12,0))</f>
        <v>#N/A</v>
      </c>
      <c r="W288" s="163">
        <f ca="1">竞技场!$G$3*OFFSET($C$1,MATCH(W$12,$C$2:$C$7,0),MATCH($T$11,$D$12:$G$12,0))</f>
        <v>2100</v>
      </c>
      <c r="X28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8" s="23">
        <f>任务!$G$6+任务!$G$9+IF(MOD(S288,7)=0,任务!$N$9+任务!$O$6,0)</f>
        <v>895</v>
      </c>
      <c r="Z288" s="25">
        <f>公会!$U$11</f>
        <v>2766.62857142857</v>
      </c>
      <c r="AA288" s="163" t="e">
        <f ca="1">_xlfn.XLOOKUP(OFFSET($C$12,$I288,MATCH($T$11,$D$12:$G$12,0)),巡逻产出!$B$311:$B$610,巡逻产出!$Q$311:$Q$610)*OFFSET($C$1,MATCH(AA$12,$C$2:$C$7,0),MATCH($T$11,$D$12:$G$12,0))</f>
        <v>#N/A</v>
      </c>
      <c r="AC288" s="160">
        <v>276</v>
      </c>
      <c r="AD288" s="163">
        <f ca="1">_xlfn.XLOOKUP(OFFSET($C$12,$I288,MATCH($AD$11,$D$12:$G$12,0)),主线推图!$B$313:$B$612,主线推图!$P$313:$P$612)*OFFSET($C$1,MATCH(AD$12,$C$2:$C$7,0),MATCH($AD$11,$D$12:$G$12,0))</f>
        <v>3520</v>
      </c>
      <c r="AE288" s="163">
        <f ca="1">_xlfn.XLOOKUP(OFFSET($C$12,$I288,MATCH($AD$11,$D$12:$G$12,0)),巡逻产出!$B$311:$B$610,巡逻产出!$R$311:$R$610)*OFFSET($C$1,MATCH(AE$12,$C$2:$C$7,0),MATCH($AD$11,$D$12:$G$12,0))</f>
        <v>0</v>
      </c>
      <c r="AF288" s="163" t="e">
        <f ca="1">_xlfn.XLOOKUP(MAX(INT((OFFSET($C$12,$I288,MATCH($AD$11,$D$12:$G$12,0))-6)/10),1),组队产出!$B$25:$B$39,组队产出!$P$25:$P$39)*OFFSET($C$1,MATCH(AF$12,$C$2:$C$7,0),MATCH($AD$11,$D$12:$G$12,0))</f>
        <v>#N/A</v>
      </c>
      <c r="AG288" s="163">
        <f ca="1">竞技场!$G$3*OFFSET($C$1,MATCH(AG$12,$C$2:$C$7,0),MATCH($AD$11,$D$12:$G$12,0))</f>
        <v>3150</v>
      </c>
      <c r="AH28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8" s="23">
        <f>任务!$G$6+任务!$G$9+IF(MOD(AC288,7)=0,任务!$N$9+任务!$O$6,0)</f>
        <v>895</v>
      </c>
      <c r="AJ288" s="25">
        <f>公会!$U$11</f>
        <v>2766.62857142857</v>
      </c>
      <c r="AK288" s="163">
        <f ca="1">_xlfn.XLOOKUP(OFFSET($C$12,$I288,MATCH($AD$11,$D$12:$G$12,0)),巡逻产出!$B$311:$B$610,巡逻产出!$Q$311:$Q$610)*OFFSET($C$1,MATCH(AK$12,$C$2:$C$7,0),MATCH($AD$11,$D$12:$G$12,0))</f>
        <v>2437.968</v>
      </c>
      <c r="AM288" s="164">
        <v>276</v>
      </c>
      <c r="AN288" s="165">
        <f t="shared" si="38"/>
        <v>32027</v>
      </c>
      <c r="AO288" s="165">
        <f t="shared" si="39"/>
        <v>40214</v>
      </c>
      <c r="AP288" s="165">
        <f t="shared" si="40"/>
        <v>63893</v>
      </c>
      <c r="AQ288" s="165">
        <f t="shared" si="41"/>
        <v>84186</v>
      </c>
    </row>
    <row r="289" spans="3:43">
      <c r="C289" s="160">
        <v>277</v>
      </c>
      <c r="D289" s="169">
        <v>178</v>
      </c>
      <c r="E289" s="170">
        <f t="shared" si="36"/>
        <v>144</v>
      </c>
      <c r="F289" s="169">
        <f t="shared" si="37"/>
        <v>173.799999999999</v>
      </c>
      <c r="G289" s="163">
        <f t="shared" si="42"/>
        <v>261.5</v>
      </c>
      <c r="I289" s="160">
        <v>277</v>
      </c>
      <c r="J289" s="163" t="e">
        <f ca="1">_xlfn.XLOOKUP(OFFSET($C$12,$I289,MATCH($J$11,$D$12:$G$12,0)),主线推图!$B$313:$B$612,主线推图!$P$313:$P$612)*OFFSET($C$1,MATCH(J$12,$C$2:$C$7,0),MATCH($J$11,$D$12:$G$12,0))</f>
        <v>#N/A</v>
      </c>
      <c r="K289" s="163" t="e">
        <f ca="1">_xlfn.XLOOKUP(OFFSET($C$12,$I289,MATCH($J$11,$D$12:$G$12,0)),巡逻产出!$B$311:$B$610,巡逻产出!$R$311:$R$610)*OFFSET($C$1,MATCH(K$12,$C$2:$C$7,0),MATCH($J$11,$D$12:$G$12,0))</f>
        <v>#N/A</v>
      </c>
      <c r="L289" s="163">
        <f ca="1">_xlfn.XLOOKUP(MAX(INT((OFFSET($C$12,$I289,MATCH($J$11,$D$12:$G$12,0))-6)/10),1),组队产出!$B$25:$B$39,组队产出!$P$25:$P$39)*OFFSET($C$1,MATCH(L$12,$C$2:$C$7,0),MATCH($J$11,$D$12:$G$12,0))</f>
        <v>1130.4</v>
      </c>
      <c r="M289" s="163">
        <f ca="1">竞技场!$G$3*OFFSET($C$1,MATCH(M$12,$C$2:$C$7,0),MATCH($J$11,$D$12:$G$12,0))</f>
        <v>1050</v>
      </c>
      <c r="N28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9" s="23">
        <f>任务!$G$6+任务!$G$9+IF(MOD(I289,7)=0,任务!$N$9+任务!$O$6,0)</f>
        <v>895</v>
      </c>
      <c r="P289" s="25">
        <f>公会!$U$11</f>
        <v>2766.62857142857</v>
      </c>
      <c r="Q289" s="163" t="e">
        <f ca="1">_xlfn.XLOOKUP(OFFSET($C$12,$I289,MATCH($J$11,$D$12:$G$12,0)),巡逻产出!$B$311:$B$610,巡逻产出!$Q$311:$Q$610)*OFFSET($C$1,MATCH(Q$12,$C$2:$C$7,0),MATCH($J$11,$D$12:$G$12,0))</f>
        <v>#N/A</v>
      </c>
      <c r="S289" s="160">
        <v>277</v>
      </c>
      <c r="T289" s="163" t="e">
        <f ca="1">_xlfn.XLOOKUP(OFFSET($C$12,$I289,MATCH($T$11,$D$12:$G$12,0)),主线推图!$B$313:$B$612,主线推图!$P$313:$P$612)*OFFSET($C$1,MATCH(T$12,$C$2:$C$7,0),MATCH($T$11,$D$12:$G$12,0))</f>
        <v>#N/A</v>
      </c>
      <c r="U289" s="163" t="e">
        <f ca="1">_xlfn.XLOOKUP(OFFSET($C$12,$I289,MATCH($T$11,$D$12:$G$12,0)),巡逻产出!$B$311:$B$610,巡逻产出!$R$311:$R$610)*OFFSET($C$1,MATCH(U$12,$C$2:$C$7,0),MATCH($T$11,$D$12:$G$12,0))</f>
        <v>#N/A</v>
      </c>
      <c r="V289" s="163" t="e">
        <f ca="1">_xlfn.XLOOKUP(MAX(INT((OFFSET($C$12,$I289,MATCH($T$11,$D$12:$G$12,0))-6)/10),1),组队产出!$B$25:$B$39,组队产出!$P$25:$P$39)*OFFSET($C$1,MATCH(V$12,$C$2:$C$7,0),MATCH($T$11,$D$12:$G$12,0))</f>
        <v>#N/A</v>
      </c>
      <c r="W289" s="163">
        <f ca="1">竞技场!$G$3*OFFSET($C$1,MATCH(W$12,$C$2:$C$7,0),MATCH($T$11,$D$12:$G$12,0))</f>
        <v>2100</v>
      </c>
      <c r="X28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9" s="23">
        <f>任务!$G$6+任务!$G$9+IF(MOD(S289,7)=0,任务!$N$9+任务!$O$6,0)</f>
        <v>895</v>
      </c>
      <c r="Z289" s="25">
        <f>公会!$U$11</f>
        <v>2766.62857142857</v>
      </c>
      <c r="AA289" s="163" t="e">
        <f ca="1">_xlfn.XLOOKUP(OFFSET($C$12,$I289,MATCH($T$11,$D$12:$G$12,0)),巡逻产出!$B$311:$B$610,巡逻产出!$Q$311:$Q$610)*OFFSET($C$1,MATCH(AA$12,$C$2:$C$7,0),MATCH($T$11,$D$12:$G$12,0))</f>
        <v>#N/A</v>
      </c>
      <c r="AC289" s="160">
        <v>277</v>
      </c>
      <c r="AD289" s="163" t="e">
        <f ca="1">_xlfn.XLOOKUP(OFFSET($C$12,$I289,MATCH($AD$11,$D$12:$G$12,0)),主线推图!$B$313:$B$612,主线推图!$P$313:$P$612)*OFFSET($C$1,MATCH(AD$12,$C$2:$C$7,0),MATCH($AD$11,$D$12:$G$12,0))</f>
        <v>#N/A</v>
      </c>
      <c r="AE289" s="163" t="e">
        <f ca="1">_xlfn.XLOOKUP(OFFSET($C$12,$I289,MATCH($AD$11,$D$12:$G$12,0)),巡逻产出!$B$311:$B$610,巡逻产出!$R$311:$R$610)*OFFSET($C$1,MATCH(AE$12,$C$2:$C$7,0),MATCH($AD$11,$D$12:$G$12,0))</f>
        <v>#N/A</v>
      </c>
      <c r="AF289" s="163" t="e">
        <f ca="1">_xlfn.XLOOKUP(MAX(INT((OFFSET($C$12,$I289,MATCH($AD$11,$D$12:$G$12,0))-6)/10),1),组队产出!$B$25:$B$39,组队产出!$P$25:$P$39)*OFFSET($C$1,MATCH(AF$12,$C$2:$C$7,0),MATCH($AD$11,$D$12:$G$12,0))</f>
        <v>#N/A</v>
      </c>
      <c r="AG289" s="163">
        <f ca="1">竞技场!$G$3*OFFSET($C$1,MATCH(AG$12,$C$2:$C$7,0),MATCH($AD$11,$D$12:$G$12,0))</f>
        <v>3150</v>
      </c>
      <c r="AH28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9" s="23">
        <f>任务!$G$6+任务!$G$9+IF(MOD(AC289,7)=0,任务!$N$9+任务!$O$6,0)</f>
        <v>895</v>
      </c>
      <c r="AJ289" s="25">
        <f>公会!$U$11</f>
        <v>2766.62857142857</v>
      </c>
      <c r="AK289" s="163" t="e">
        <f ca="1">_xlfn.XLOOKUP(OFFSET($C$12,$I289,MATCH($AD$11,$D$12:$G$12,0)),巡逻产出!$B$311:$B$610,巡逻产出!$Q$311:$Q$610)*OFFSET($C$1,MATCH(AK$12,$C$2:$C$7,0),MATCH($AD$11,$D$12:$G$12,0))</f>
        <v>#N/A</v>
      </c>
      <c r="AM289" s="164">
        <v>277</v>
      </c>
      <c r="AN289" s="165">
        <f t="shared" si="38"/>
        <v>32141</v>
      </c>
      <c r="AO289" s="165">
        <f t="shared" si="39"/>
        <v>40357</v>
      </c>
      <c r="AP289" s="165">
        <f t="shared" si="40"/>
        <v>64122</v>
      </c>
      <c r="AQ289" s="165">
        <f t="shared" si="41"/>
        <v>84488</v>
      </c>
    </row>
    <row r="290" spans="3:43">
      <c r="C290" s="160">
        <v>278</v>
      </c>
      <c r="D290" s="169">
        <v>178</v>
      </c>
      <c r="E290" s="170">
        <f t="shared" si="36"/>
        <v>144.25</v>
      </c>
      <c r="F290" s="169">
        <f t="shared" si="37"/>
        <v>174.149999999999</v>
      </c>
      <c r="G290" s="163">
        <f t="shared" si="42"/>
        <v>262</v>
      </c>
      <c r="I290" s="160">
        <v>278</v>
      </c>
      <c r="J290" s="163" t="e">
        <f ca="1">_xlfn.XLOOKUP(OFFSET($C$12,$I290,MATCH($J$11,$D$12:$G$12,0)),主线推图!$B$313:$B$612,主线推图!$P$313:$P$612)*OFFSET($C$1,MATCH(J$12,$C$2:$C$7,0),MATCH($J$11,$D$12:$G$12,0))</f>
        <v>#N/A</v>
      </c>
      <c r="K290" s="163" t="e">
        <f ca="1">_xlfn.XLOOKUP(OFFSET($C$12,$I290,MATCH($J$11,$D$12:$G$12,0)),巡逻产出!$B$311:$B$610,巡逻产出!$R$311:$R$610)*OFFSET($C$1,MATCH(K$12,$C$2:$C$7,0),MATCH($J$11,$D$12:$G$12,0))</f>
        <v>#N/A</v>
      </c>
      <c r="L290" s="163">
        <f ca="1">_xlfn.XLOOKUP(MAX(INT((OFFSET($C$12,$I290,MATCH($J$11,$D$12:$G$12,0))-6)/10),1),组队产出!$B$25:$B$39,组队产出!$P$25:$P$39)*OFFSET($C$1,MATCH(L$12,$C$2:$C$7,0),MATCH($J$11,$D$12:$G$12,0))</f>
        <v>1130.4</v>
      </c>
      <c r="M290" s="163">
        <f ca="1">竞技场!$G$3*OFFSET($C$1,MATCH(M$12,$C$2:$C$7,0),MATCH($J$11,$D$12:$G$12,0))</f>
        <v>1050</v>
      </c>
      <c r="N29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0" s="23">
        <f>任务!$G$6+任务!$G$9+IF(MOD(I290,7)=0,任务!$N$9+任务!$O$6,0)</f>
        <v>895</v>
      </c>
      <c r="P290" s="25">
        <f>公会!$U$11</f>
        <v>2766.62857142857</v>
      </c>
      <c r="Q290" s="163" t="e">
        <f ca="1">_xlfn.XLOOKUP(OFFSET($C$12,$I290,MATCH($J$11,$D$12:$G$12,0)),巡逻产出!$B$311:$B$610,巡逻产出!$Q$311:$Q$610)*OFFSET($C$1,MATCH(Q$12,$C$2:$C$7,0),MATCH($J$11,$D$12:$G$12,0))</f>
        <v>#N/A</v>
      </c>
      <c r="S290" s="160">
        <v>278</v>
      </c>
      <c r="T290" s="163" t="e">
        <f ca="1">_xlfn.XLOOKUP(OFFSET($C$12,$I290,MATCH($T$11,$D$12:$G$12,0)),主线推图!$B$313:$B$612,主线推图!$P$313:$P$612)*OFFSET($C$1,MATCH(T$12,$C$2:$C$7,0),MATCH($T$11,$D$12:$G$12,0))</f>
        <v>#N/A</v>
      </c>
      <c r="U290" s="163" t="e">
        <f ca="1">_xlfn.XLOOKUP(OFFSET($C$12,$I290,MATCH($T$11,$D$12:$G$12,0)),巡逻产出!$B$311:$B$610,巡逻产出!$R$311:$R$610)*OFFSET($C$1,MATCH(U$12,$C$2:$C$7,0),MATCH($T$11,$D$12:$G$12,0))</f>
        <v>#N/A</v>
      </c>
      <c r="V290" s="163" t="e">
        <f ca="1">_xlfn.XLOOKUP(MAX(INT((OFFSET($C$12,$I290,MATCH($T$11,$D$12:$G$12,0))-6)/10),1),组队产出!$B$25:$B$39,组队产出!$P$25:$P$39)*OFFSET($C$1,MATCH(V$12,$C$2:$C$7,0),MATCH($T$11,$D$12:$G$12,0))</f>
        <v>#N/A</v>
      </c>
      <c r="W290" s="163">
        <f ca="1">竞技场!$G$3*OFFSET($C$1,MATCH(W$12,$C$2:$C$7,0),MATCH($T$11,$D$12:$G$12,0))</f>
        <v>2100</v>
      </c>
      <c r="X29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0" s="23">
        <f>任务!$G$6+任务!$G$9+IF(MOD(S290,7)=0,任务!$N$9+任务!$O$6,0)</f>
        <v>895</v>
      </c>
      <c r="Z290" s="25">
        <f>公会!$U$11</f>
        <v>2766.62857142857</v>
      </c>
      <c r="AA290" s="163" t="e">
        <f ca="1">_xlfn.XLOOKUP(OFFSET($C$12,$I290,MATCH($T$11,$D$12:$G$12,0)),巡逻产出!$B$311:$B$610,巡逻产出!$Q$311:$Q$610)*OFFSET($C$1,MATCH(AA$12,$C$2:$C$7,0),MATCH($T$11,$D$12:$G$12,0))</f>
        <v>#N/A</v>
      </c>
      <c r="AC290" s="160">
        <v>278</v>
      </c>
      <c r="AD290" s="163">
        <f ca="1">_xlfn.XLOOKUP(OFFSET($C$12,$I290,MATCH($AD$11,$D$12:$G$12,0)),主线推图!$B$313:$B$612,主线推图!$P$313:$P$612)*OFFSET($C$1,MATCH(AD$12,$C$2:$C$7,0),MATCH($AD$11,$D$12:$G$12,0))</f>
        <v>3522.2</v>
      </c>
      <c r="AE290" s="163">
        <f ca="1">_xlfn.XLOOKUP(OFFSET($C$12,$I290,MATCH($AD$11,$D$12:$G$12,0)),巡逻产出!$B$311:$B$610,巡逻产出!$R$311:$R$610)*OFFSET($C$1,MATCH(AE$12,$C$2:$C$7,0),MATCH($AD$11,$D$12:$G$12,0))</f>
        <v>0</v>
      </c>
      <c r="AF290" s="163" t="e">
        <f ca="1">_xlfn.XLOOKUP(MAX(INT((OFFSET($C$12,$I290,MATCH($AD$11,$D$12:$G$12,0))-6)/10),1),组队产出!$B$25:$B$39,组队产出!$P$25:$P$39)*OFFSET($C$1,MATCH(AF$12,$C$2:$C$7,0),MATCH($AD$11,$D$12:$G$12,0))</f>
        <v>#N/A</v>
      </c>
      <c r="AG290" s="163">
        <f ca="1">竞技场!$G$3*OFFSET($C$1,MATCH(AG$12,$C$2:$C$7,0),MATCH($AD$11,$D$12:$G$12,0))</f>
        <v>3150</v>
      </c>
      <c r="AH29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0" s="23">
        <f>任务!$G$6+任务!$G$9+IF(MOD(AC290,7)=0,任务!$N$9+任务!$O$6,0)</f>
        <v>895</v>
      </c>
      <c r="AJ290" s="25">
        <f>公会!$U$11</f>
        <v>2766.62857142857</v>
      </c>
      <c r="AK290" s="163">
        <f ca="1">_xlfn.XLOOKUP(OFFSET($C$12,$I290,MATCH($AD$11,$D$12:$G$12,0)),巡逻产出!$B$311:$B$610,巡逻产出!$Q$311:$Q$610)*OFFSET($C$1,MATCH(AK$12,$C$2:$C$7,0),MATCH($AD$11,$D$12:$G$12,0))</f>
        <v>2439.528</v>
      </c>
      <c r="AM290" s="164">
        <v>278</v>
      </c>
      <c r="AN290" s="165">
        <f t="shared" si="38"/>
        <v>32254</v>
      </c>
      <c r="AO290" s="165">
        <f t="shared" si="39"/>
        <v>40500</v>
      </c>
      <c r="AP290" s="165">
        <f t="shared" si="40"/>
        <v>64350</v>
      </c>
      <c r="AQ290" s="165">
        <f t="shared" si="41"/>
        <v>84790</v>
      </c>
    </row>
    <row r="291" spans="3:43">
      <c r="C291" s="160">
        <v>279</v>
      </c>
      <c r="D291" s="169">
        <v>178</v>
      </c>
      <c r="E291" s="170">
        <f t="shared" si="36"/>
        <v>144.5</v>
      </c>
      <c r="F291" s="169">
        <f t="shared" si="37"/>
        <v>174.499999999999</v>
      </c>
      <c r="G291" s="163">
        <f t="shared" si="42"/>
        <v>262.5</v>
      </c>
      <c r="I291" s="160">
        <v>279</v>
      </c>
      <c r="J291" s="163" t="e">
        <f ca="1">_xlfn.XLOOKUP(OFFSET($C$12,$I291,MATCH($J$11,$D$12:$G$12,0)),主线推图!$B$313:$B$612,主线推图!$P$313:$P$612)*OFFSET($C$1,MATCH(J$12,$C$2:$C$7,0),MATCH($J$11,$D$12:$G$12,0))</f>
        <v>#N/A</v>
      </c>
      <c r="K291" s="163" t="e">
        <f ca="1">_xlfn.XLOOKUP(OFFSET($C$12,$I291,MATCH($J$11,$D$12:$G$12,0)),巡逻产出!$B$311:$B$610,巡逻产出!$R$311:$R$610)*OFFSET($C$1,MATCH(K$12,$C$2:$C$7,0),MATCH($J$11,$D$12:$G$12,0))</f>
        <v>#N/A</v>
      </c>
      <c r="L291" s="163">
        <f ca="1">_xlfn.XLOOKUP(MAX(INT((OFFSET($C$12,$I291,MATCH($J$11,$D$12:$G$12,0))-6)/10),1),组队产出!$B$25:$B$39,组队产出!$P$25:$P$39)*OFFSET($C$1,MATCH(L$12,$C$2:$C$7,0),MATCH($J$11,$D$12:$G$12,0))</f>
        <v>1130.4</v>
      </c>
      <c r="M291" s="163">
        <f ca="1">竞技场!$G$3*OFFSET($C$1,MATCH(M$12,$C$2:$C$7,0),MATCH($J$11,$D$12:$G$12,0))</f>
        <v>1050</v>
      </c>
      <c r="N29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1" s="23">
        <f>任务!$G$6+任务!$G$9+IF(MOD(I291,7)=0,任务!$N$9+任务!$O$6,0)</f>
        <v>895</v>
      </c>
      <c r="P291" s="25">
        <f>公会!$U$11</f>
        <v>2766.62857142857</v>
      </c>
      <c r="Q291" s="163" t="e">
        <f ca="1">_xlfn.XLOOKUP(OFFSET($C$12,$I291,MATCH($J$11,$D$12:$G$12,0)),巡逻产出!$B$311:$B$610,巡逻产出!$Q$311:$Q$610)*OFFSET($C$1,MATCH(Q$12,$C$2:$C$7,0),MATCH($J$11,$D$12:$G$12,0))</f>
        <v>#N/A</v>
      </c>
      <c r="S291" s="160">
        <v>279</v>
      </c>
      <c r="T291" s="163" t="e">
        <f ca="1">_xlfn.XLOOKUP(OFFSET($C$12,$I291,MATCH($T$11,$D$12:$G$12,0)),主线推图!$B$313:$B$612,主线推图!$P$313:$P$612)*OFFSET($C$1,MATCH(T$12,$C$2:$C$7,0),MATCH($T$11,$D$12:$G$12,0))</f>
        <v>#N/A</v>
      </c>
      <c r="U291" s="163" t="e">
        <f ca="1">_xlfn.XLOOKUP(OFFSET($C$12,$I291,MATCH($T$11,$D$12:$G$12,0)),巡逻产出!$B$311:$B$610,巡逻产出!$R$311:$R$610)*OFFSET($C$1,MATCH(U$12,$C$2:$C$7,0),MATCH($T$11,$D$12:$G$12,0))</f>
        <v>#N/A</v>
      </c>
      <c r="V291" s="163" t="e">
        <f ca="1">_xlfn.XLOOKUP(MAX(INT((OFFSET($C$12,$I291,MATCH($T$11,$D$12:$G$12,0))-6)/10),1),组队产出!$B$25:$B$39,组队产出!$P$25:$P$39)*OFFSET($C$1,MATCH(V$12,$C$2:$C$7,0),MATCH($T$11,$D$12:$G$12,0))</f>
        <v>#N/A</v>
      </c>
      <c r="W291" s="163">
        <f ca="1">竞技场!$G$3*OFFSET($C$1,MATCH(W$12,$C$2:$C$7,0),MATCH($T$11,$D$12:$G$12,0))</f>
        <v>2100</v>
      </c>
      <c r="X29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1" s="23">
        <f>任务!$G$6+任务!$G$9+IF(MOD(S291,7)=0,任务!$N$9+任务!$O$6,0)</f>
        <v>895</v>
      </c>
      <c r="Z291" s="25">
        <f>公会!$U$11</f>
        <v>2766.62857142857</v>
      </c>
      <c r="AA291" s="163" t="e">
        <f ca="1">_xlfn.XLOOKUP(OFFSET($C$12,$I291,MATCH($T$11,$D$12:$G$12,0)),巡逻产出!$B$311:$B$610,巡逻产出!$Q$311:$Q$610)*OFFSET($C$1,MATCH(AA$12,$C$2:$C$7,0),MATCH($T$11,$D$12:$G$12,0))</f>
        <v>#N/A</v>
      </c>
      <c r="AC291" s="160">
        <v>279</v>
      </c>
      <c r="AD291" s="163" t="e">
        <f ca="1">_xlfn.XLOOKUP(OFFSET($C$12,$I291,MATCH($AD$11,$D$12:$G$12,0)),主线推图!$B$313:$B$612,主线推图!$P$313:$P$612)*OFFSET($C$1,MATCH(AD$12,$C$2:$C$7,0),MATCH($AD$11,$D$12:$G$12,0))</f>
        <v>#N/A</v>
      </c>
      <c r="AE291" s="163" t="e">
        <f ca="1">_xlfn.XLOOKUP(OFFSET($C$12,$I291,MATCH($AD$11,$D$12:$G$12,0)),巡逻产出!$B$311:$B$610,巡逻产出!$R$311:$R$610)*OFFSET($C$1,MATCH(AE$12,$C$2:$C$7,0),MATCH($AD$11,$D$12:$G$12,0))</f>
        <v>#N/A</v>
      </c>
      <c r="AF291" s="163" t="e">
        <f ca="1">_xlfn.XLOOKUP(MAX(INT((OFFSET($C$12,$I291,MATCH($AD$11,$D$12:$G$12,0))-6)/10),1),组队产出!$B$25:$B$39,组队产出!$P$25:$P$39)*OFFSET($C$1,MATCH(AF$12,$C$2:$C$7,0),MATCH($AD$11,$D$12:$G$12,0))</f>
        <v>#N/A</v>
      </c>
      <c r="AG291" s="163">
        <f ca="1">竞技场!$G$3*OFFSET($C$1,MATCH(AG$12,$C$2:$C$7,0),MATCH($AD$11,$D$12:$G$12,0))</f>
        <v>3150</v>
      </c>
      <c r="AH29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1" s="23">
        <f>任务!$G$6+任务!$G$9+IF(MOD(AC291,7)=0,任务!$N$9+任务!$O$6,0)</f>
        <v>895</v>
      </c>
      <c r="AJ291" s="25">
        <f>公会!$U$11</f>
        <v>2766.62857142857</v>
      </c>
      <c r="AK291" s="163" t="e">
        <f ca="1">_xlfn.XLOOKUP(OFFSET($C$12,$I291,MATCH($AD$11,$D$12:$G$12,0)),巡逻产出!$B$311:$B$610,巡逻产出!$Q$311:$Q$610)*OFFSET($C$1,MATCH(AK$12,$C$2:$C$7,0),MATCH($AD$11,$D$12:$G$12,0))</f>
        <v>#N/A</v>
      </c>
      <c r="AM291" s="164">
        <v>279</v>
      </c>
      <c r="AN291" s="165">
        <f t="shared" si="38"/>
        <v>32368</v>
      </c>
      <c r="AO291" s="165">
        <f t="shared" si="39"/>
        <v>40643</v>
      </c>
      <c r="AP291" s="165">
        <f t="shared" si="40"/>
        <v>64579</v>
      </c>
      <c r="AQ291" s="165">
        <f t="shared" si="41"/>
        <v>85092</v>
      </c>
    </row>
    <row r="292" spans="3:43">
      <c r="C292" s="160">
        <v>280</v>
      </c>
      <c r="D292" s="169">
        <v>178</v>
      </c>
      <c r="E292" s="170">
        <f t="shared" si="36"/>
        <v>144.75</v>
      </c>
      <c r="F292" s="169">
        <f t="shared" si="37"/>
        <v>174.849999999999</v>
      </c>
      <c r="G292" s="163">
        <f t="shared" si="42"/>
        <v>263</v>
      </c>
      <c r="I292" s="160">
        <v>280</v>
      </c>
      <c r="J292" s="163" t="e">
        <f ca="1">_xlfn.XLOOKUP(OFFSET($C$12,$I292,MATCH($J$11,$D$12:$G$12,0)),主线推图!$B$313:$B$612,主线推图!$P$313:$P$612)*OFFSET($C$1,MATCH(J$12,$C$2:$C$7,0),MATCH($J$11,$D$12:$G$12,0))</f>
        <v>#N/A</v>
      </c>
      <c r="K292" s="163" t="e">
        <f ca="1">_xlfn.XLOOKUP(OFFSET($C$12,$I292,MATCH($J$11,$D$12:$G$12,0)),巡逻产出!$B$311:$B$610,巡逻产出!$R$311:$R$610)*OFFSET($C$1,MATCH(K$12,$C$2:$C$7,0),MATCH($J$11,$D$12:$G$12,0))</f>
        <v>#N/A</v>
      </c>
      <c r="L292" s="163">
        <f ca="1">_xlfn.XLOOKUP(MAX(INT((OFFSET($C$12,$I292,MATCH($J$11,$D$12:$G$12,0))-6)/10),1),组队产出!$B$25:$B$39,组队产出!$P$25:$P$39)*OFFSET($C$1,MATCH(L$12,$C$2:$C$7,0),MATCH($J$11,$D$12:$G$12,0))</f>
        <v>1130.4</v>
      </c>
      <c r="M292" s="163">
        <f ca="1">竞技场!$G$3*OFFSET($C$1,MATCH(M$12,$C$2:$C$7,0),MATCH($J$11,$D$12:$G$12,0))</f>
        <v>1050</v>
      </c>
      <c r="N29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2" s="23">
        <f>任务!$G$6+任务!$G$9+IF(MOD(I292,7)=0,任务!$N$9+任务!$O$6,0)</f>
        <v>3125</v>
      </c>
      <c r="P292" s="25">
        <f>公会!$U$11</f>
        <v>2766.62857142857</v>
      </c>
      <c r="Q292" s="163" t="e">
        <f ca="1">_xlfn.XLOOKUP(OFFSET($C$12,$I292,MATCH($J$11,$D$12:$G$12,0)),巡逻产出!$B$311:$B$610,巡逻产出!$Q$311:$Q$610)*OFFSET($C$1,MATCH(Q$12,$C$2:$C$7,0),MATCH($J$11,$D$12:$G$12,0))</f>
        <v>#N/A</v>
      </c>
      <c r="S292" s="160">
        <v>280</v>
      </c>
      <c r="T292" s="163" t="e">
        <f ca="1">_xlfn.XLOOKUP(OFFSET($C$12,$I292,MATCH($T$11,$D$12:$G$12,0)),主线推图!$B$313:$B$612,主线推图!$P$313:$P$612)*OFFSET($C$1,MATCH(T$12,$C$2:$C$7,0),MATCH($T$11,$D$12:$G$12,0))</f>
        <v>#N/A</v>
      </c>
      <c r="U292" s="163" t="e">
        <f ca="1">_xlfn.XLOOKUP(OFFSET($C$12,$I292,MATCH($T$11,$D$12:$G$12,0)),巡逻产出!$B$311:$B$610,巡逻产出!$R$311:$R$610)*OFFSET($C$1,MATCH(U$12,$C$2:$C$7,0),MATCH($T$11,$D$12:$G$12,0))</f>
        <v>#N/A</v>
      </c>
      <c r="V292" s="163" t="e">
        <f ca="1">_xlfn.XLOOKUP(MAX(INT((OFFSET($C$12,$I292,MATCH($T$11,$D$12:$G$12,0))-6)/10),1),组队产出!$B$25:$B$39,组队产出!$P$25:$P$39)*OFFSET($C$1,MATCH(V$12,$C$2:$C$7,0),MATCH($T$11,$D$12:$G$12,0))</f>
        <v>#N/A</v>
      </c>
      <c r="W292" s="163">
        <f ca="1">竞技场!$G$3*OFFSET($C$1,MATCH(W$12,$C$2:$C$7,0),MATCH($T$11,$D$12:$G$12,0))</f>
        <v>2100</v>
      </c>
      <c r="X29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2" s="23">
        <f>任务!$G$6+任务!$G$9+IF(MOD(S292,7)=0,任务!$N$9+任务!$O$6,0)</f>
        <v>3125</v>
      </c>
      <c r="Z292" s="25">
        <f>公会!$U$11</f>
        <v>2766.62857142857</v>
      </c>
      <c r="AA292" s="163" t="e">
        <f ca="1">_xlfn.XLOOKUP(OFFSET($C$12,$I292,MATCH($T$11,$D$12:$G$12,0)),巡逻产出!$B$311:$B$610,巡逻产出!$Q$311:$Q$610)*OFFSET($C$1,MATCH(AA$12,$C$2:$C$7,0),MATCH($T$11,$D$12:$G$12,0))</f>
        <v>#N/A</v>
      </c>
      <c r="AC292" s="160">
        <v>280</v>
      </c>
      <c r="AD292" s="163">
        <f ca="1">_xlfn.XLOOKUP(OFFSET($C$12,$I292,MATCH($AD$11,$D$12:$G$12,0)),主线推图!$B$313:$B$612,主线推图!$P$313:$P$612)*OFFSET($C$1,MATCH(AD$12,$C$2:$C$7,0),MATCH($AD$11,$D$12:$G$12,0))</f>
        <v>3524.4</v>
      </c>
      <c r="AE292" s="163">
        <f ca="1">_xlfn.XLOOKUP(OFFSET($C$12,$I292,MATCH($AD$11,$D$12:$G$12,0)),巡逻产出!$B$311:$B$610,巡逻产出!$R$311:$R$610)*OFFSET($C$1,MATCH(AE$12,$C$2:$C$7,0),MATCH($AD$11,$D$12:$G$12,0))</f>
        <v>0</v>
      </c>
      <c r="AF292" s="163" t="e">
        <f ca="1">_xlfn.XLOOKUP(MAX(INT((OFFSET($C$12,$I292,MATCH($AD$11,$D$12:$G$12,0))-6)/10),1),组队产出!$B$25:$B$39,组队产出!$P$25:$P$39)*OFFSET($C$1,MATCH(AF$12,$C$2:$C$7,0),MATCH($AD$11,$D$12:$G$12,0))</f>
        <v>#N/A</v>
      </c>
      <c r="AG292" s="163">
        <f ca="1">竞技场!$G$3*OFFSET($C$1,MATCH(AG$12,$C$2:$C$7,0),MATCH($AD$11,$D$12:$G$12,0))</f>
        <v>3150</v>
      </c>
      <c r="AH29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2" s="23">
        <f>任务!$G$6+任务!$G$9+IF(MOD(AC292,7)=0,任务!$N$9+任务!$O$6,0)</f>
        <v>3125</v>
      </c>
      <c r="AJ292" s="25">
        <f>公会!$U$11</f>
        <v>2766.62857142857</v>
      </c>
      <c r="AK292" s="163">
        <f ca="1">_xlfn.XLOOKUP(OFFSET($C$12,$I292,MATCH($AD$11,$D$12:$G$12,0)),巡逻产出!$B$311:$B$610,巡逻产出!$Q$311:$Q$610)*OFFSET($C$1,MATCH(AK$12,$C$2:$C$7,0),MATCH($AD$11,$D$12:$G$12,0))</f>
        <v>2441.088</v>
      </c>
      <c r="AM292" s="164">
        <v>280</v>
      </c>
      <c r="AN292" s="165">
        <f t="shared" si="38"/>
        <v>32481</v>
      </c>
      <c r="AO292" s="165">
        <f t="shared" si="39"/>
        <v>40786</v>
      </c>
      <c r="AP292" s="165">
        <f t="shared" si="40"/>
        <v>64807</v>
      </c>
      <c r="AQ292" s="165">
        <f t="shared" si="41"/>
        <v>85394</v>
      </c>
    </row>
    <row r="293" spans="3:43">
      <c r="C293" s="160">
        <v>281</v>
      </c>
      <c r="D293" s="169">
        <v>178</v>
      </c>
      <c r="E293" s="170">
        <f t="shared" si="36"/>
        <v>145</v>
      </c>
      <c r="F293" s="169">
        <f t="shared" si="37"/>
        <v>175.199999999999</v>
      </c>
      <c r="G293" s="163">
        <f t="shared" si="42"/>
        <v>263.5</v>
      </c>
      <c r="I293" s="160">
        <v>281</v>
      </c>
      <c r="J293" s="163" t="e">
        <f ca="1">_xlfn.XLOOKUP(OFFSET($C$12,$I293,MATCH($J$11,$D$12:$G$12,0)),主线推图!$B$313:$B$612,主线推图!$P$313:$P$612)*OFFSET($C$1,MATCH(J$12,$C$2:$C$7,0),MATCH($J$11,$D$12:$G$12,0))</f>
        <v>#N/A</v>
      </c>
      <c r="K293" s="163" t="e">
        <f ca="1">_xlfn.XLOOKUP(OFFSET($C$12,$I293,MATCH($J$11,$D$12:$G$12,0)),巡逻产出!$B$311:$B$610,巡逻产出!$R$311:$R$610)*OFFSET($C$1,MATCH(K$12,$C$2:$C$7,0),MATCH($J$11,$D$12:$G$12,0))</f>
        <v>#N/A</v>
      </c>
      <c r="L293" s="163">
        <f ca="1">_xlfn.XLOOKUP(MAX(INT((OFFSET($C$12,$I293,MATCH($J$11,$D$12:$G$12,0))-6)/10),1),组队产出!$B$25:$B$39,组队产出!$P$25:$P$39)*OFFSET($C$1,MATCH(L$12,$C$2:$C$7,0),MATCH($J$11,$D$12:$G$12,0))</f>
        <v>1130.4</v>
      </c>
      <c r="M293" s="163">
        <f ca="1">竞技场!$G$3*OFFSET($C$1,MATCH(M$12,$C$2:$C$7,0),MATCH($J$11,$D$12:$G$12,0))</f>
        <v>1050</v>
      </c>
      <c r="N29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3" s="23">
        <f>任务!$G$6+任务!$G$9+IF(MOD(I293,7)=0,任务!$N$9+任务!$O$6,0)</f>
        <v>895</v>
      </c>
      <c r="P293" s="25">
        <f>公会!$U$11</f>
        <v>2766.62857142857</v>
      </c>
      <c r="Q293" s="163" t="e">
        <f ca="1">_xlfn.XLOOKUP(OFFSET($C$12,$I293,MATCH($J$11,$D$12:$G$12,0)),巡逻产出!$B$311:$B$610,巡逻产出!$Q$311:$Q$610)*OFFSET($C$1,MATCH(Q$12,$C$2:$C$7,0),MATCH($J$11,$D$12:$G$12,0))</f>
        <v>#N/A</v>
      </c>
      <c r="S293" s="160">
        <v>281</v>
      </c>
      <c r="T293" s="163" t="e">
        <f ca="1">_xlfn.XLOOKUP(OFFSET($C$12,$I293,MATCH($T$11,$D$12:$G$12,0)),主线推图!$B$313:$B$612,主线推图!$P$313:$P$612)*OFFSET($C$1,MATCH(T$12,$C$2:$C$7,0),MATCH($T$11,$D$12:$G$12,0))</f>
        <v>#N/A</v>
      </c>
      <c r="U293" s="163" t="e">
        <f ca="1">_xlfn.XLOOKUP(OFFSET($C$12,$I293,MATCH($T$11,$D$12:$G$12,0)),巡逻产出!$B$311:$B$610,巡逻产出!$R$311:$R$610)*OFFSET($C$1,MATCH(U$12,$C$2:$C$7,0),MATCH($T$11,$D$12:$G$12,0))</f>
        <v>#N/A</v>
      </c>
      <c r="V293" s="163" t="e">
        <f ca="1">_xlfn.XLOOKUP(MAX(INT((OFFSET($C$12,$I293,MATCH($T$11,$D$12:$G$12,0))-6)/10),1),组队产出!$B$25:$B$39,组队产出!$P$25:$P$39)*OFFSET($C$1,MATCH(V$12,$C$2:$C$7,0),MATCH($T$11,$D$12:$G$12,0))</f>
        <v>#N/A</v>
      </c>
      <c r="W293" s="163">
        <f ca="1">竞技场!$G$3*OFFSET($C$1,MATCH(W$12,$C$2:$C$7,0),MATCH($T$11,$D$12:$G$12,0))</f>
        <v>2100</v>
      </c>
      <c r="X29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3" s="23">
        <f>任务!$G$6+任务!$G$9+IF(MOD(S293,7)=0,任务!$N$9+任务!$O$6,0)</f>
        <v>895</v>
      </c>
      <c r="Z293" s="25">
        <f>公会!$U$11</f>
        <v>2766.62857142857</v>
      </c>
      <c r="AA293" s="163" t="e">
        <f ca="1">_xlfn.XLOOKUP(OFFSET($C$12,$I293,MATCH($T$11,$D$12:$G$12,0)),巡逻产出!$B$311:$B$610,巡逻产出!$Q$311:$Q$610)*OFFSET($C$1,MATCH(AA$12,$C$2:$C$7,0),MATCH($T$11,$D$12:$G$12,0))</f>
        <v>#N/A</v>
      </c>
      <c r="AC293" s="160">
        <v>281</v>
      </c>
      <c r="AD293" s="163" t="e">
        <f ca="1">_xlfn.XLOOKUP(OFFSET($C$12,$I293,MATCH($AD$11,$D$12:$G$12,0)),主线推图!$B$313:$B$612,主线推图!$P$313:$P$612)*OFFSET($C$1,MATCH(AD$12,$C$2:$C$7,0),MATCH($AD$11,$D$12:$G$12,0))</f>
        <v>#N/A</v>
      </c>
      <c r="AE293" s="163" t="e">
        <f ca="1">_xlfn.XLOOKUP(OFFSET($C$12,$I293,MATCH($AD$11,$D$12:$G$12,0)),巡逻产出!$B$311:$B$610,巡逻产出!$R$311:$R$610)*OFFSET($C$1,MATCH(AE$12,$C$2:$C$7,0),MATCH($AD$11,$D$12:$G$12,0))</f>
        <v>#N/A</v>
      </c>
      <c r="AF293" s="163" t="e">
        <f ca="1">_xlfn.XLOOKUP(MAX(INT((OFFSET($C$12,$I293,MATCH($AD$11,$D$12:$G$12,0))-6)/10),1),组队产出!$B$25:$B$39,组队产出!$P$25:$P$39)*OFFSET($C$1,MATCH(AF$12,$C$2:$C$7,0),MATCH($AD$11,$D$12:$G$12,0))</f>
        <v>#N/A</v>
      </c>
      <c r="AG293" s="163">
        <f ca="1">竞技场!$G$3*OFFSET($C$1,MATCH(AG$12,$C$2:$C$7,0),MATCH($AD$11,$D$12:$G$12,0))</f>
        <v>3150</v>
      </c>
      <c r="AH29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3" s="23">
        <f>任务!$G$6+任务!$G$9+IF(MOD(AC293,7)=0,任务!$N$9+任务!$O$6,0)</f>
        <v>895</v>
      </c>
      <c r="AJ293" s="25">
        <f>公会!$U$11</f>
        <v>2766.62857142857</v>
      </c>
      <c r="AK293" s="163" t="e">
        <f ca="1">_xlfn.XLOOKUP(OFFSET($C$12,$I293,MATCH($AD$11,$D$12:$G$12,0)),巡逻产出!$B$311:$B$610,巡逻产出!$Q$311:$Q$610)*OFFSET($C$1,MATCH(AK$12,$C$2:$C$7,0),MATCH($AD$11,$D$12:$G$12,0))</f>
        <v>#N/A</v>
      </c>
      <c r="AM293" s="164">
        <v>281</v>
      </c>
      <c r="AN293" s="165">
        <f t="shared" si="38"/>
        <v>32595</v>
      </c>
      <c r="AO293" s="165">
        <f t="shared" si="39"/>
        <v>40929</v>
      </c>
      <c r="AP293" s="165">
        <f t="shared" si="40"/>
        <v>65036</v>
      </c>
      <c r="AQ293" s="165">
        <f t="shared" si="41"/>
        <v>85696</v>
      </c>
    </row>
    <row r="294" spans="3:43">
      <c r="C294" s="160">
        <v>282</v>
      </c>
      <c r="D294" s="169">
        <v>179</v>
      </c>
      <c r="E294" s="170">
        <f t="shared" si="36"/>
        <v>145.25</v>
      </c>
      <c r="F294" s="169">
        <f t="shared" si="37"/>
        <v>175.549999999999</v>
      </c>
      <c r="G294" s="163">
        <f t="shared" si="42"/>
        <v>264</v>
      </c>
      <c r="I294" s="160">
        <v>282</v>
      </c>
      <c r="J294" s="163" t="e">
        <f ca="1">_xlfn.XLOOKUP(OFFSET($C$12,$I294,MATCH($J$11,$D$12:$G$12,0)),主线推图!$B$313:$B$612,主线推图!$P$313:$P$612)*OFFSET($C$1,MATCH(J$12,$C$2:$C$7,0),MATCH($J$11,$D$12:$G$12,0))</f>
        <v>#N/A</v>
      </c>
      <c r="K294" s="163" t="e">
        <f ca="1">_xlfn.XLOOKUP(OFFSET($C$12,$I294,MATCH($J$11,$D$12:$G$12,0)),巡逻产出!$B$311:$B$610,巡逻产出!$R$311:$R$610)*OFFSET($C$1,MATCH(K$12,$C$2:$C$7,0),MATCH($J$11,$D$12:$G$12,0))</f>
        <v>#N/A</v>
      </c>
      <c r="L294" s="163">
        <f ca="1">_xlfn.XLOOKUP(MAX(INT((OFFSET($C$12,$I294,MATCH($J$11,$D$12:$G$12,0))-6)/10),1),组队产出!$B$25:$B$39,组队产出!$P$25:$P$39)*OFFSET($C$1,MATCH(L$12,$C$2:$C$7,0),MATCH($J$11,$D$12:$G$12,0))</f>
        <v>1130.4</v>
      </c>
      <c r="M294" s="163">
        <f ca="1">竞技场!$G$3*OFFSET($C$1,MATCH(M$12,$C$2:$C$7,0),MATCH($J$11,$D$12:$G$12,0))</f>
        <v>1050</v>
      </c>
      <c r="N29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4" s="23">
        <f>任务!$G$6+任务!$G$9+IF(MOD(I294,7)=0,任务!$N$9+任务!$O$6,0)</f>
        <v>895</v>
      </c>
      <c r="P294" s="25">
        <f>公会!$U$11</f>
        <v>2766.62857142857</v>
      </c>
      <c r="Q294" s="163" t="e">
        <f ca="1">_xlfn.XLOOKUP(OFFSET($C$12,$I294,MATCH($J$11,$D$12:$G$12,0)),巡逻产出!$B$311:$B$610,巡逻产出!$Q$311:$Q$610)*OFFSET($C$1,MATCH(Q$12,$C$2:$C$7,0),MATCH($J$11,$D$12:$G$12,0))</f>
        <v>#N/A</v>
      </c>
      <c r="S294" s="160">
        <v>282</v>
      </c>
      <c r="T294" s="163" t="e">
        <f ca="1">_xlfn.XLOOKUP(OFFSET($C$12,$I294,MATCH($T$11,$D$12:$G$12,0)),主线推图!$B$313:$B$612,主线推图!$P$313:$P$612)*OFFSET($C$1,MATCH(T$12,$C$2:$C$7,0),MATCH($T$11,$D$12:$G$12,0))</f>
        <v>#N/A</v>
      </c>
      <c r="U294" s="163" t="e">
        <f ca="1">_xlfn.XLOOKUP(OFFSET($C$12,$I294,MATCH($T$11,$D$12:$G$12,0)),巡逻产出!$B$311:$B$610,巡逻产出!$R$311:$R$610)*OFFSET($C$1,MATCH(U$12,$C$2:$C$7,0),MATCH($T$11,$D$12:$G$12,0))</f>
        <v>#N/A</v>
      </c>
      <c r="V294" s="163" t="e">
        <f ca="1">_xlfn.XLOOKUP(MAX(INT((OFFSET($C$12,$I294,MATCH($T$11,$D$12:$G$12,0))-6)/10),1),组队产出!$B$25:$B$39,组队产出!$P$25:$P$39)*OFFSET($C$1,MATCH(V$12,$C$2:$C$7,0),MATCH($T$11,$D$12:$G$12,0))</f>
        <v>#N/A</v>
      </c>
      <c r="W294" s="163">
        <f ca="1">竞技场!$G$3*OFFSET($C$1,MATCH(W$12,$C$2:$C$7,0),MATCH($T$11,$D$12:$G$12,0))</f>
        <v>2100</v>
      </c>
      <c r="X29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4" s="23">
        <f>任务!$G$6+任务!$G$9+IF(MOD(S294,7)=0,任务!$N$9+任务!$O$6,0)</f>
        <v>895</v>
      </c>
      <c r="Z294" s="25">
        <f>公会!$U$11</f>
        <v>2766.62857142857</v>
      </c>
      <c r="AA294" s="163" t="e">
        <f ca="1">_xlfn.XLOOKUP(OFFSET($C$12,$I294,MATCH($T$11,$D$12:$G$12,0)),巡逻产出!$B$311:$B$610,巡逻产出!$Q$311:$Q$610)*OFFSET($C$1,MATCH(AA$12,$C$2:$C$7,0),MATCH($T$11,$D$12:$G$12,0))</f>
        <v>#N/A</v>
      </c>
      <c r="AC294" s="160">
        <v>282</v>
      </c>
      <c r="AD294" s="163">
        <f ca="1">_xlfn.XLOOKUP(OFFSET($C$12,$I294,MATCH($AD$11,$D$12:$G$12,0)),主线推图!$B$313:$B$612,主线推图!$P$313:$P$612)*OFFSET($C$1,MATCH(AD$12,$C$2:$C$7,0),MATCH($AD$11,$D$12:$G$12,0))</f>
        <v>3526.6</v>
      </c>
      <c r="AE294" s="163">
        <f ca="1">_xlfn.XLOOKUP(OFFSET($C$12,$I294,MATCH($AD$11,$D$12:$G$12,0)),巡逻产出!$B$311:$B$610,巡逻产出!$R$311:$R$610)*OFFSET($C$1,MATCH(AE$12,$C$2:$C$7,0),MATCH($AD$11,$D$12:$G$12,0))</f>
        <v>0</v>
      </c>
      <c r="AF294" s="163" t="e">
        <f ca="1">_xlfn.XLOOKUP(MAX(INT((OFFSET($C$12,$I294,MATCH($AD$11,$D$12:$G$12,0))-6)/10),1),组队产出!$B$25:$B$39,组队产出!$P$25:$P$39)*OFFSET($C$1,MATCH(AF$12,$C$2:$C$7,0),MATCH($AD$11,$D$12:$G$12,0))</f>
        <v>#N/A</v>
      </c>
      <c r="AG294" s="163">
        <f ca="1">竞技场!$G$3*OFFSET($C$1,MATCH(AG$12,$C$2:$C$7,0),MATCH($AD$11,$D$12:$G$12,0))</f>
        <v>3150</v>
      </c>
      <c r="AH29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4" s="23">
        <f>任务!$G$6+任务!$G$9+IF(MOD(AC294,7)=0,任务!$N$9+任务!$O$6,0)</f>
        <v>895</v>
      </c>
      <c r="AJ294" s="25">
        <f>公会!$U$11</f>
        <v>2766.62857142857</v>
      </c>
      <c r="AK294" s="163">
        <f ca="1">_xlfn.XLOOKUP(OFFSET($C$12,$I294,MATCH($AD$11,$D$12:$G$12,0)),巡逻产出!$B$311:$B$610,巡逻产出!$Q$311:$Q$610)*OFFSET($C$1,MATCH(AK$12,$C$2:$C$7,0),MATCH($AD$11,$D$12:$G$12,0))</f>
        <v>2442.648</v>
      </c>
      <c r="AM294" s="164">
        <v>282</v>
      </c>
      <c r="AN294" s="165">
        <f t="shared" si="38"/>
        <v>32708</v>
      </c>
      <c r="AO294" s="165">
        <f t="shared" si="39"/>
        <v>41072</v>
      </c>
      <c r="AP294" s="165">
        <f t="shared" si="40"/>
        <v>65264</v>
      </c>
      <c r="AQ294" s="165">
        <f t="shared" si="41"/>
        <v>85998</v>
      </c>
    </row>
    <row r="295" spans="3:43">
      <c r="C295" s="160">
        <v>283</v>
      </c>
      <c r="D295" s="169">
        <v>179</v>
      </c>
      <c r="E295" s="170">
        <f t="shared" si="36"/>
        <v>145.5</v>
      </c>
      <c r="F295" s="169">
        <f t="shared" si="37"/>
        <v>175.899999999999</v>
      </c>
      <c r="G295" s="163">
        <f t="shared" si="42"/>
        <v>264.5</v>
      </c>
      <c r="I295" s="160">
        <v>283</v>
      </c>
      <c r="J295" s="163" t="e">
        <f ca="1">_xlfn.XLOOKUP(OFFSET($C$12,$I295,MATCH($J$11,$D$12:$G$12,0)),主线推图!$B$313:$B$612,主线推图!$P$313:$P$612)*OFFSET($C$1,MATCH(J$12,$C$2:$C$7,0),MATCH($J$11,$D$12:$G$12,0))</f>
        <v>#N/A</v>
      </c>
      <c r="K295" s="163" t="e">
        <f ca="1">_xlfn.XLOOKUP(OFFSET($C$12,$I295,MATCH($J$11,$D$12:$G$12,0)),巡逻产出!$B$311:$B$610,巡逻产出!$R$311:$R$610)*OFFSET($C$1,MATCH(K$12,$C$2:$C$7,0),MATCH($J$11,$D$12:$G$12,0))</f>
        <v>#N/A</v>
      </c>
      <c r="L295" s="163">
        <f ca="1">_xlfn.XLOOKUP(MAX(INT((OFFSET($C$12,$I295,MATCH($J$11,$D$12:$G$12,0))-6)/10),1),组队产出!$B$25:$B$39,组队产出!$P$25:$P$39)*OFFSET($C$1,MATCH(L$12,$C$2:$C$7,0),MATCH($J$11,$D$12:$G$12,0))</f>
        <v>1130.4</v>
      </c>
      <c r="M295" s="163">
        <f ca="1">竞技场!$G$3*OFFSET($C$1,MATCH(M$12,$C$2:$C$7,0),MATCH($J$11,$D$12:$G$12,0))</f>
        <v>1050</v>
      </c>
      <c r="N29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5" s="23">
        <f>任务!$G$6+任务!$G$9+IF(MOD(I295,7)=0,任务!$N$9+任务!$O$6,0)</f>
        <v>895</v>
      </c>
      <c r="P295" s="25">
        <f>公会!$U$11</f>
        <v>2766.62857142857</v>
      </c>
      <c r="Q295" s="163" t="e">
        <f ca="1">_xlfn.XLOOKUP(OFFSET($C$12,$I295,MATCH($J$11,$D$12:$G$12,0)),巡逻产出!$B$311:$B$610,巡逻产出!$Q$311:$Q$610)*OFFSET($C$1,MATCH(Q$12,$C$2:$C$7,0),MATCH($J$11,$D$12:$G$12,0))</f>
        <v>#N/A</v>
      </c>
      <c r="S295" s="160">
        <v>283</v>
      </c>
      <c r="T295" s="163" t="e">
        <f ca="1">_xlfn.XLOOKUP(OFFSET($C$12,$I295,MATCH($T$11,$D$12:$G$12,0)),主线推图!$B$313:$B$612,主线推图!$P$313:$P$612)*OFFSET($C$1,MATCH(T$12,$C$2:$C$7,0),MATCH($T$11,$D$12:$G$12,0))</f>
        <v>#N/A</v>
      </c>
      <c r="U295" s="163" t="e">
        <f ca="1">_xlfn.XLOOKUP(OFFSET($C$12,$I295,MATCH($T$11,$D$12:$G$12,0)),巡逻产出!$B$311:$B$610,巡逻产出!$R$311:$R$610)*OFFSET($C$1,MATCH(U$12,$C$2:$C$7,0),MATCH($T$11,$D$12:$G$12,0))</f>
        <v>#N/A</v>
      </c>
      <c r="V295" s="163" t="e">
        <f ca="1">_xlfn.XLOOKUP(MAX(INT((OFFSET($C$12,$I295,MATCH($T$11,$D$12:$G$12,0))-6)/10),1),组队产出!$B$25:$B$39,组队产出!$P$25:$P$39)*OFFSET($C$1,MATCH(V$12,$C$2:$C$7,0),MATCH($T$11,$D$12:$G$12,0))</f>
        <v>#N/A</v>
      </c>
      <c r="W295" s="163">
        <f ca="1">竞技场!$G$3*OFFSET($C$1,MATCH(W$12,$C$2:$C$7,0),MATCH($T$11,$D$12:$G$12,0))</f>
        <v>2100</v>
      </c>
      <c r="X29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5" s="23">
        <f>任务!$G$6+任务!$G$9+IF(MOD(S295,7)=0,任务!$N$9+任务!$O$6,0)</f>
        <v>895</v>
      </c>
      <c r="Z295" s="25">
        <f>公会!$U$11</f>
        <v>2766.62857142857</v>
      </c>
      <c r="AA295" s="163" t="e">
        <f ca="1">_xlfn.XLOOKUP(OFFSET($C$12,$I295,MATCH($T$11,$D$12:$G$12,0)),巡逻产出!$B$311:$B$610,巡逻产出!$Q$311:$Q$610)*OFFSET($C$1,MATCH(AA$12,$C$2:$C$7,0),MATCH($T$11,$D$12:$G$12,0))</f>
        <v>#N/A</v>
      </c>
      <c r="AC295" s="160">
        <v>283</v>
      </c>
      <c r="AD295" s="163" t="e">
        <f ca="1">_xlfn.XLOOKUP(OFFSET($C$12,$I295,MATCH($AD$11,$D$12:$G$12,0)),主线推图!$B$313:$B$612,主线推图!$P$313:$P$612)*OFFSET($C$1,MATCH(AD$12,$C$2:$C$7,0),MATCH($AD$11,$D$12:$G$12,0))</f>
        <v>#N/A</v>
      </c>
      <c r="AE295" s="163" t="e">
        <f ca="1">_xlfn.XLOOKUP(OFFSET($C$12,$I295,MATCH($AD$11,$D$12:$G$12,0)),巡逻产出!$B$311:$B$610,巡逻产出!$R$311:$R$610)*OFFSET($C$1,MATCH(AE$12,$C$2:$C$7,0),MATCH($AD$11,$D$12:$G$12,0))</f>
        <v>#N/A</v>
      </c>
      <c r="AF295" s="163" t="e">
        <f ca="1">_xlfn.XLOOKUP(MAX(INT((OFFSET($C$12,$I295,MATCH($AD$11,$D$12:$G$12,0))-6)/10),1),组队产出!$B$25:$B$39,组队产出!$P$25:$P$39)*OFFSET($C$1,MATCH(AF$12,$C$2:$C$7,0),MATCH($AD$11,$D$12:$G$12,0))</f>
        <v>#N/A</v>
      </c>
      <c r="AG295" s="163">
        <f ca="1">竞技场!$G$3*OFFSET($C$1,MATCH(AG$12,$C$2:$C$7,0),MATCH($AD$11,$D$12:$G$12,0))</f>
        <v>3150</v>
      </c>
      <c r="AH29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5" s="23">
        <f>任务!$G$6+任务!$G$9+IF(MOD(AC295,7)=0,任务!$N$9+任务!$O$6,0)</f>
        <v>895</v>
      </c>
      <c r="AJ295" s="25">
        <f>公会!$U$11</f>
        <v>2766.62857142857</v>
      </c>
      <c r="AK295" s="163" t="e">
        <f ca="1">_xlfn.XLOOKUP(OFFSET($C$12,$I295,MATCH($AD$11,$D$12:$G$12,0)),巡逻产出!$B$311:$B$610,巡逻产出!$Q$311:$Q$610)*OFFSET($C$1,MATCH(AK$12,$C$2:$C$7,0),MATCH($AD$11,$D$12:$G$12,0))</f>
        <v>#N/A</v>
      </c>
      <c r="AM295" s="164">
        <v>283</v>
      </c>
      <c r="AN295" s="165">
        <f t="shared" si="38"/>
        <v>32822</v>
      </c>
      <c r="AO295" s="165">
        <f t="shared" si="39"/>
        <v>41215</v>
      </c>
      <c r="AP295" s="165">
        <f t="shared" si="40"/>
        <v>65493</v>
      </c>
      <c r="AQ295" s="165">
        <f t="shared" si="41"/>
        <v>86300</v>
      </c>
    </row>
    <row r="296" spans="3:43">
      <c r="C296" s="160">
        <v>284</v>
      </c>
      <c r="D296" s="169">
        <v>179</v>
      </c>
      <c r="E296" s="170">
        <f t="shared" si="36"/>
        <v>145.75</v>
      </c>
      <c r="F296" s="169">
        <f t="shared" si="37"/>
        <v>176.249999999999</v>
      </c>
      <c r="G296" s="163">
        <f t="shared" si="42"/>
        <v>265</v>
      </c>
      <c r="I296" s="160">
        <v>284</v>
      </c>
      <c r="J296" s="163" t="e">
        <f ca="1">_xlfn.XLOOKUP(OFFSET($C$12,$I296,MATCH($J$11,$D$12:$G$12,0)),主线推图!$B$313:$B$612,主线推图!$P$313:$P$612)*OFFSET($C$1,MATCH(J$12,$C$2:$C$7,0),MATCH($J$11,$D$12:$G$12,0))</f>
        <v>#N/A</v>
      </c>
      <c r="K296" s="163" t="e">
        <f ca="1">_xlfn.XLOOKUP(OFFSET($C$12,$I296,MATCH($J$11,$D$12:$G$12,0)),巡逻产出!$B$311:$B$610,巡逻产出!$R$311:$R$610)*OFFSET($C$1,MATCH(K$12,$C$2:$C$7,0),MATCH($J$11,$D$12:$G$12,0))</f>
        <v>#N/A</v>
      </c>
      <c r="L296" s="163">
        <f ca="1">_xlfn.XLOOKUP(MAX(INT((OFFSET($C$12,$I296,MATCH($J$11,$D$12:$G$12,0))-6)/10),1),组队产出!$B$25:$B$39,组队产出!$P$25:$P$39)*OFFSET($C$1,MATCH(L$12,$C$2:$C$7,0),MATCH($J$11,$D$12:$G$12,0))</f>
        <v>1130.4</v>
      </c>
      <c r="M296" s="163">
        <f ca="1">竞技场!$G$3*OFFSET($C$1,MATCH(M$12,$C$2:$C$7,0),MATCH($J$11,$D$12:$G$12,0))</f>
        <v>1050</v>
      </c>
      <c r="N29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6" s="23">
        <f>任务!$G$6+任务!$G$9+IF(MOD(I296,7)=0,任务!$N$9+任务!$O$6,0)</f>
        <v>895</v>
      </c>
      <c r="P296" s="25">
        <f>公会!$U$11</f>
        <v>2766.62857142857</v>
      </c>
      <c r="Q296" s="163" t="e">
        <f ca="1">_xlfn.XLOOKUP(OFFSET($C$12,$I296,MATCH($J$11,$D$12:$G$12,0)),巡逻产出!$B$311:$B$610,巡逻产出!$Q$311:$Q$610)*OFFSET($C$1,MATCH(Q$12,$C$2:$C$7,0),MATCH($J$11,$D$12:$G$12,0))</f>
        <v>#N/A</v>
      </c>
      <c r="S296" s="160">
        <v>284</v>
      </c>
      <c r="T296" s="163" t="e">
        <f ca="1">_xlfn.XLOOKUP(OFFSET($C$12,$I296,MATCH($T$11,$D$12:$G$12,0)),主线推图!$B$313:$B$612,主线推图!$P$313:$P$612)*OFFSET($C$1,MATCH(T$12,$C$2:$C$7,0),MATCH($T$11,$D$12:$G$12,0))</f>
        <v>#N/A</v>
      </c>
      <c r="U296" s="163" t="e">
        <f ca="1">_xlfn.XLOOKUP(OFFSET($C$12,$I296,MATCH($T$11,$D$12:$G$12,0)),巡逻产出!$B$311:$B$610,巡逻产出!$R$311:$R$610)*OFFSET($C$1,MATCH(U$12,$C$2:$C$7,0),MATCH($T$11,$D$12:$G$12,0))</f>
        <v>#N/A</v>
      </c>
      <c r="V296" s="163" t="e">
        <f ca="1">_xlfn.XLOOKUP(MAX(INT((OFFSET($C$12,$I296,MATCH($T$11,$D$12:$G$12,0))-6)/10),1),组队产出!$B$25:$B$39,组队产出!$P$25:$P$39)*OFFSET($C$1,MATCH(V$12,$C$2:$C$7,0),MATCH($T$11,$D$12:$G$12,0))</f>
        <v>#N/A</v>
      </c>
      <c r="W296" s="163">
        <f ca="1">竞技场!$G$3*OFFSET($C$1,MATCH(W$12,$C$2:$C$7,0),MATCH($T$11,$D$12:$G$12,0))</f>
        <v>2100</v>
      </c>
      <c r="X29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6" s="23">
        <f>任务!$G$6+任务!$G$9+IF(MOD(S296,7)=0,任务!$N$9+任务!$O$6,0)</f>
        <v>895</v>
      </c>
      <c r="Z296" s="25">
        <f>公会!$U$11</f>
        <v>2766.62857142857</v>
      </c>
      <c r="AA296" s="163" t="e">
        <f ca="1">_xlfn.XLOOKUP(OFFSET($C$12,$I296,MATCH($T$11,$D$12:$G$12,0)),巡逻产出!$B$311:$B$610,巡逻产出!$Q$311:$Q$610)*OFFSET($C$1,MATCH(AA$12,$C$2:$C$7,0),MATCH($T$11,$D$12:$G$12,0))</f>
        <v>#N/A</v>
      </c>
      <c r="AC296" s="160">
        <v>284</v>
      </c>
      <c r="AD296" s="163">
        <f ca="1">_xlfn.XLOOKUP(OFFSET($C$12,$I296,MATCH($AD$11,$D$12:$G$12,0)),主线推图!$B$313:$B$612,主线推图!$P$313:$P$612)*OFFSET($C$1,MATCH(AD$12,$C$2:$C$7,0),MATCH($AD$11,$D$12:$G$12,0))</f>
        <v>3528.8</v>
      </c>
      <c r="AE296" s="163">
        <f ca="1">_xlfn.XLOOKUP(OFFSET($C$12,$I296,MATCH($AD$11,$D$12:$G$12,0)),巡逻产出!$B$311:$B$610,巡逻产出!$R$311:$R$610)*OFFSET($C$1,MATCH(AE$12,$C$2:$C$7,0),MATCH($AD$11,$D$12:$G$12,0))</f>
        <v>0</v>
      </c>
      <c r="AF296" s="163" t="e">
        <f ca="1">_xlfn.XLOOKUP(MAX(INT((OFFSET($C$12,$I296,MATCH($AD$11,$D$12:$G$12,0))-6)/10),1),组队产出!$B$25:$B$39,组队产出!$P$25:$P$39)*OFFSET($C$1,MATCH(AF$12,$C$2:$C$7,0),MATCH($AD$11,$D$12:$G$12,0))</f>
        <v>#N/A</v>
      </c>
      <c r="AG296" s="163">
        <f ca="1">竞技场!$G$3*OFFSET($C$1,MATCH(AG$12,$C$2:$C$7,0),MATCH($AD$11,$D$12:$G$12,0))</f>
        <v>3150</v>
      </c>
      <c r="AH29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6" s="23">
        <f>任务!$G$6+任务!$G$9+IF(MOD(AC296,7)=0,任务!$N$9+任务!$O$6,0)</f>
        <v>895</v>
      </c>
      <c r="AJ296" s="25">
        <f>公会!$U$11</f>
        <v>2766.62857142857</v>
      </c>
      <c r="AK296" s="163">
        <f ca="1">_xlfn.XLOOKUP(OFFSET($C$12,$I296,MATCH($AD$11,$D$12:$G$12,0)),巡逻产出!$B$311:$B$610,巡逻产出!$Q$311:$Q$610)*OFFSET($C$1,MATCH(AK$12,$C$2:$C$7,0),MATCH($AD$11,$D$12:$G$12,0))</f>
        <v>2444.208</v>
      </c>
      <c r="AM296" s="164">
        <v>284</v>
      </c>
      <c r="AN296" s="165">
        <f t="shared" si="38"/>
        <v>32935</v>
      </c>
      <c r="AO296" s="165">
        <f t="shared" si="39"/>
        <v>41358</v>
      </c>
      <c r="AP296" s="165">
        <f t="shared" si="40"/>
        <v>65721</v>
      </c>
      <c r="AQ296" s="165">
        <f t="shared" si="41"/>
        <v>86602</v>
      </c>
    </row>
    <row r="297" spans="3:43">
      <c r="C297" s="160">
        <v>285</v>
      </c>
      <c r="D297" s="169">
        <v>179</v>
      </c>
      <c r="E297" s="170">
        <f t="shared" si="36"/>
        <v>146</v>
      </c>
      <c r="F297" s="169">
        <f t="shared" si="37"/>
        <v>176.599999999999</v>
      </c>
      <c r="G297" s="163">
        <f t="shared" si="42"/>
        <v>265.5</v>
      </c>
      <c r="I297" s="160">
        <v>285</v>
      </c>
      <c r="J297" s="163" t="e">
        <f ca="1">_xlfn.XLOOKUP(OFFSET($C$12,$I297,MATCH($J$11,$D$12:$G$12,0)),主线推图!$B$313:$B$612,主线推图!$P$313:$P$612)*OFFSET($C$1,MATCH(J$12,$C$2:$C$7,0),MATCH($J$11,$D$12:$G$12,0))</f>
        <v>#N/A</v>
      </c>
      <c r="K297" s="163" t="e">
        <f ca="1">_xlfn.XLOOKUP(OFFSET($C$12,$I297,MATCH($J$11,$D$12:$G$12,0)),巡逻产出!$B$311:$B$610,巡逻产出!$R$311:$R$610)*OFFSET($C$1,MATCH(K$12,$C$2:$C$7,0),MATCH($J$11,$D$12:$G$12,0))</f>
        <v>#N/A</v>
      </c>
      <c r="L297" s="163">
        <f ca="1">_xlfn.XLOOKUP(MAX(INT((OFFSET($C$12,$I297,MATCH($J$11,$D$12:$G$12,0))-6)/10),1),组队产出!$B$25:$B$39,组队产出!$P$25:$P$39)*OFFSET($C$1,MATCH(L$12,$C$2:$C$7,0),MATCH($J$11,$D$12:$G$12,0))</f>
        <v>1130.4</v>
      </c>
      <c r="M297" s="163">
        <f ca="1">竞技场!$G$3*OFFSET($C$1,MATCH(M$12,$C$2:$C$7,0),MATCH($J$11,$D$12:$G$12,0))</f>
        <v>1050</v>
      </c>
      <c r="N29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7" s="23">
        <f>任务!$G$6+任务!$G$9+IF(MOD(I297,7)=0,任务!$N$9+任务!$O$6,0)</f>
        <v>895</v>
      </c>
      <c r="P297" s="25">
        <f>公会!$U$11</f>
        <v>2766.62857142857</v>
      </c>
      <c r="Q297" s="163" t="e">
        <f ca="1">_xlfn.XLOOKUP(OFFSET($C$12,$I297,MATCH($J$11,$D$12:$G$12,0)),巡逻产出!$B$311:$B$610,巡逻产出!$Q$311:$Q$610)*OFFSET($C$1,MATCH(Q$12,$C$2:$C$7,0),MATCH($J$11,$D$12:$G$12,0))</f>
        <v>#N/A</v>
      </c>
      <c r="S297" s="160">
        <v>285</v>
      </c>
      <c r="T297" s="163" t="e">
        <f ca="1">_xlfn.XLOOKUP(OFFSET($C$12,$I297,MATCH($T$11,$D$12:$G$12,0)),主线推图!$B$313:$B$612,主线推图!$P$313:$P$612)*OFFSET($C$1,MATCH(T$12,$C$2:$C$7,0),MATCH($T$11,$D$12:$G$12,0))</f>
        <v>#N/A</v>
      </c>
      <c r="U297" s="163" t="e">
        <f ca="1">_xlfn.XLOOKUP(OFFSET($C$12,$I297,MATCH($T$11,$D$12:$G$12,0)),巡逻产出!$B$311:$B$610,巡逻产出!$R$311:$R$610)*OFFSET($C$1,MATCH(U$12,$C$2:$C$7,0),MATCH($T$11,$D$12:$G$12,0))</f>
        <v>#N/A</v>
      </c>
      <c r="V297" s="163" t="e">
        <f ca="1">_xlfn.XLOOKUP(MAX(INT((OFFSET($C$12,$I297,MATCH($T$11,$D$12:$G$12,0))-6)/10),1),组队产出!$B$25:$B$39,组队产出!$P$25:$P$39)*OFFSET($C$1,MATCH(V$12,$C$2:$C$7,0),MATCH($T$11,$D$12:$G$12,0))</f>
        <v>#N/A</v>
      </c>
      <c r="W297" s="163">
        <f ca="1">竞技场!$G$3*OFFSET($C$1,MATCH(W$12,$C$2:$C$7,0),MATCH($T$11,$D$12:$G$12,0))</f>
        <v>2100</v>
      </c>
      <c r="X29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7" s="23">
        <f>任务!$G$6+任务!$G$9+IF(MOD(S297,7)=0,任务!$N$9+任务!$O$6,0)</f>
        <v>895</v>
      </c>
      <c r="Z297" s="25">
        <f>公会!$U$11</f>
        <v>2766.62857142857</v>
      </c>
      <c r="AA297" s="163" t="e">
        <f ca="1">_xlfn.XLOOKUP(OFFSET($C$12,$I297,MATCH($T$11,$D$12:$G$12,0)),巡逻产出!$B$311:$B$610,巡逻产出!$Q$311:$Q$610)*OFFSET($C$1,MATCH(AA$12,$C$2:$C$7,0),MATCH($T$11,$D$12:$G$12,0))</f>
        <v>#N/A</v>
      </c>
      <c r="AC297" s="160">
        <v>285</v>
      </c>
      <c r="AD297" s="163" t="e">
        <f ca="1">_xlfn.XLOOKUP(OFFSET($C$12,$I297,MATCH($AD$11,$D$12:$G$12,0)),主线推图!$B$313:$B$612,主线推图!$P$313:$P$612)*OFFSET($C$1,MATCH(AD$12,$C$2:$C$7,0),MATCH($AD$11,$D$12:$G$12,0))</f>
        <v>#N/A</v>
      </c>
      <c r="AE297" s="163" t="e">
        <f ca="1">_xlfn.XLOOKUP(OFFSET($C$12,$I297,MATCH($AD$11,$D$12:$G$12,0)),巡逻产出!$B$311:$B$610,巡逻产出!$R$311:$R$610)*OFFSET($C$1,MATCH(AE$12,$C$2:$C$7,0),MATCH($AD$11,$D$12:$G$12,0))</f>
        <v>#N/A</v>
      </c>
      <c r="AF297" s="163" t="e">
        <f ca="1">_xlfn.XLOOKUP(MAX(INT((OFFSET($C$12,$I297,MATCH($AD$11,$D$12:$G$12,0))-6)/10),1),组队产出!$B$25:$B$39,组队产出!$P$25:$P$39)*OFFSET($C$1,MATCH(AF$12,$C$2:$C$7,0),MATCH($AD$11,$D$12:$G$12,0))</f>
        <v>#N/A</v>
      </c>
      <c r="AG297" s="163">
        <f ca="1">竞技场!$G$3*OFFSET($C$1,MATCH(AG$12,$C$2:$C$7,0),MATCH($AD$11,$D$12:$G$12,0))</f>
        <v>3150</v>
      </c>
      <c r="AH29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7" s="23">
        <f>任务!$G$6+任务!$G$9+IF(MOD(AC297,7)=0,任务!$N$9+任务!$O$6,0)</f>
        <v>895</v>
      </c>
      <c r="AJ297" s="25">
        <f>公会!$U$11</f>
        <v>2766.62857142857</v>
      </c>
      <c r="AK297" s="163" t="e">
        <f ca="1">_xlfn.XLOOKUP(OFFSET($C$12,$I297,MATCH($AD$11,$D$12:$G$12,0)),巡逻产出!$B$311:$B$610,巡逻产出!$Q$311:$Q$610)*OFFSET($C$1,MATCH(AK$12,$C$2:$C$7,0),MATCH($AD$11,$D$12:$G$12,0))</f>
        <v>#N/A</v>
      </c>
      <c r="AM297" s="164">
        <v>285</v>
      </c>
      <c r="AN297" s="165">
        <f t="shared" si="38"/>
        <v>33049</v>
      </c>
      <c r="AO297" s="165">
        <f t="shared" si="39"/>
        <v>41501</v>
      </c>
      <c r="AP297" s="165">
        <f t="shared" si="40"/>
        <v>65950</v>
      </c>
      <c r="AQ297" s="165">
        <f t="shared" si="41"/>
        <v>86904</v>
      </c>
    </row>
    <row r="298" spans="3:43">
      <c r="C298" s="160">
        <v>286</v>
      </c>
      <c r="D298" s="169">
        <v>179</v>
      </c>
      <c r="E298" s="170">
        <f t="shared" si="36"/>
        <v>146.25</v>
      </c>
      <c r="F298" s="169">
        <f t="shared" si="37"/>
        <v>176.949999999999</v>
      </c>
      <c r="G298" s="163">
        <f t="shared" si="42"/>
        <v>266</v>
      </c>
      <c r="I298" s="160">
        <v>286</v>
      </c>
      <c r="J298" s="163" t="e">
        <f ca="1">_xlfn.XLOOKUP(OFFSET($C$12,$I298,MATCH($J$11,$D$12:$G$12,0)),主线推图!$B$313:$B$612,主线推图!$P$313:$P$612)*OFFSET($C$1,MATCH(J$12,$C$2:$C$7,0),MATCH($J$11,$D$12:$G$12,0))</f>
        <v>#N/A</v>
      </c>
      <c r="K298" s="163" t="e">
        <f ca="1">_xlfn.XLOOKUP(OFFSET($C$12,$I298,MATCH($J$11,$D$12:$G$12,0)),巡逻产出!$B$311:$B$610,巡逻产出!$R$311:$R$610)*OFFSET($C$1,MATCH(K$12,$C$2:$C$7,0),MATCH($J$11,$D$12:$G$12,0))</f>
        <v>#N/A</v>
      </c>
      <c r="L298" s="163">
        <f ca="1">_xlfn.XLOOKUP(MAX(INT((OFFSET($C$12,$I298,MATCH($J$11,$D$12:$G$12,0))-6)/10),1),组队产出!$B$25:$B$39,组队产出!$P$25:$P$39)*OFFSET($C$1,MATCH(L$12,$C$2:$C$7,0),MATCH($J$11,$D$12:$G$12,0))</f>
        <v>1130.4</v>
      </c>
      <c r="M298" s="163">
        <f ca="1">竞技场!$G$3*OFFSET($C$1,MATCH(M$12,$C$2:$C$7,0),MATCH($J$11,$D$12:$G$12,0))</f>
        <v>1050</v>
      </c>
      <c r="N29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8" s="23">
        <f>任务!$G$6+任务!$G$9+IF(MOD(I298,7)=0,任务!$N$9+任务!$O$6,0)</f>
        <v>895</v>
      </c>
      <c r="P298" s="25">
        <f>公会!$U$11</f>
        <v>2766.62857142857</v>
      </c>
      <c r="Q298" s="163" t="e">
        <f ca="1">_xlfn.XLOOKUP(OFFSET($C$12,$I298,MATCH($J$11,$D$12:$G$12,0)),巡逻产出!$B$311:$B$610,巡逻产出!$Q$311:$Q$610)*OFFSET($C$1,MATCH(Q$12,$C$2:$C$7,0),MATCH($J$11,$D$12:$G$12,0))</f>
        <v>#N/A</v>
      </c>
      <c r="S298" s="160">
        <v>286</v>
      </c>
      <c r="T298" s="163" t="e">
        <f ca="1">_xlfn.XLOOKUP(OFFSET($C$12,$I298,MATCH($T$11,$D$12:$G$12,0)),主线推图!$B$313:$B$612,主线推图!$P$313:$P$612)*OFFSET($C$1,MATCH(T$12,$C$2:$C$7,0),MATCH($T$11,$D$12:$G$12,0))</f>
        <v>#N/A</v>
      </c>
      <c r="U298" s="163" t="e">
        <f ca="1">_xlfn.XLOOKUP(OFFSET($C$12,$I298,MATCH($T$11,$D$12:$G$12,0)),巡逻产出!$B$311:$B$610,巡逻产出!$R$311:$R$610)*OFFSET($C$1,MATCH(U$12,$C$2:$C$7,0),MATCH($T$11,$D$12:$G$12,0))</f>
        <v>#N/A</v>
      </c>
      <c r="V298" s="163" t="e">
        <f ca="1">_xlfn.XLOOKUP(MAX(INT((OFFSET($C$12,$I298,MATCH($T$11,$D$12:$G$12,0))-6)/10),1),组队产出!$B$25:$B$39,组队产出!$P$25:$P$39)*OFFSET($C$1,MATCH(V$12,$C$2:$C$7,0),MATCH($T$11,$D$12:$G$12,0))</f>
        <v>#N/A</v>
      </c>
      <c r="W298" s="163">
        <f ca="1">竞技场!$G$3*OFFSET($C$1,MATCH(W$12,$C$2:$C$7,0),MATCH($T$11,$D$12:$G$12,0))</f>
        <v>2100</v>
      </c>
      <c r="X29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8" s="23">
        <f>任务!$G$6+任务!$G$9+IF(MOD(S298,7)=0,任务!$N$9+任务!$O$6,0)</f>
        <v>895</v>
      </c>
      <c r="Z298" s="25">
        <f>公会!$U$11</f>
        <v>2766.62857142857</v>
      </c>
      <c r="AA298" s="163" t="e">
        <f ca="1">_xlfn.XLOOKUP(OFFSET($C$12,$I298,MATCH($T$11,$D$12:$G$12,0)),巡逻产出!$B$311:$B$610,巡逻产出!$Q$311:$Q$610)*OFFSET($C$1,MATCH(AA$12,$C$2:$C$7,0),MATCH($T$11,$D$12:$G$12,0))</f>
        <v>#N/A</v>
      </c>
      <c r="AC298" s="160">
        <v>286</v>
      </c>
      <c r="AD298" s="163">
        <f ca="1">_xlfn.XLOOKUP(OFFSET($C$12,$I298,MATCH($AD$11,$D$12:$G$12,0)),主线推图!$B$313:$B$612,主线推图!$P$313:$P$612)*OFFSET($C$1,MATCH(AD$12,$C$2:$C$7,0),MATCH($AD$11,$D$12:$G$12,0))</f>
        <v>3531</v>
      </c>
      <c r="AE298" s="163">
        <f ca="1">_xlfn.XLOOKUP(OFFSET($C$12,$I298,MATCH($AD$11,$D$12:$G$12,0)),巡逻产出!$B$311:$B$610,巡逻产出!$R$311:$R$610)*OFFSET($C$1,MATCH(AE$12,$C$2:$C$7,0),MATCH($AD$11,$D$12:$G$12,0))</f>
        <v>0</v>
      </c>
      <c r="AF298" s="163" t="e">
        <f ca="1">_xlfn.XLOOKUP(MAX(INT((OFFSET($C$12,$I298,MATCH($AD$11,$D$12:$G$12,0))-6)/10),1),组队产出!$B$25:$B$39,组队产出!$P$25:$P$39)*OFFSET($C$1,MATCH(AF$12,$C$2:$C$7,0),MATCH($AD$11,$D$12:$G$12,0))</f>
        <v>#N/A</v>
      </c>
      <c r="AG298" s="163">
        <f ca="1">竞技场!$G$3*OFFSET($C$1,MATCH(AG$12,$C$2:$C$7,0),MATCH($AD$11,$D$12:$G$12,0))</f>
        <v>3150</v>
      </c>
      <c r="AH29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8" s="23">
        <f>任务!$G$6+任务!$G$9+IF(MOD(AC298,7)=0,任务!$N$9+任务!$O$6,0)</f>
        <v>895</v>
      </c>
      <c r="AJ298" s="25">
        <f>公会!$U$11</f>
        <v>2766.62857142857</v>
      </c>
      <c r="AK298" s="163">
        <f ca="1">_xlfn.XLOOKUP(OFFSET($C$12,$I298,MATCH($AD$11,$D$12:$G$12,0)),巡逻产出!$B$311:$B$610,巡逻产出!$Q$311:$Q$610)*OFFSET($C$1,MATCH(AK$12,$C$2:$C$7,0),MATCH($AD$11,$D$12:$G$12,0))</f>
        <v>2445.768</v>
      </c>
      <c r="AM298" s="164">
        <v>286</v>
      </c>
      <c r="AN298" s="165">
        <f t="shared" si="38"/>
        <v>33162</v>
      </c>
      <c r="AO298" s="165">
        <f t="shared" si="39"/>
        <v>41644</v>
      </c>
      <c r="AP298" s="165">
        <f t="shared" si="40"/>
        <v>66178</v>
      </c>
      <c r="AQ298" s="165">
        <f t="shared" si="41"/>
        <v>87206</v>
      </c>
    </row>
    <row r="299" spans="3:43">
      <c r="C299" s="160">
        <v>287</v>
      </c>
      <c r="D299" s="169">
        <v>179</v>
      </c>
      <c r="E299" s="170">
        <f t="shared" si="36"/>
        <v>146.5</v>
      </c>
      <c r="F299" s="169">
        <f t="shared" si="37"/>
        <v>177.299999999999</v>
      </c>
      <c r="G299" s="163">
        <f t="shared" si="42"/>
        <v>266.5</v>
      </c>
      <c r="I299" s="160">
        <v>287</v>
      </c>
      <c r="J299" s="163" t="e">
        <f ca="1">_xlfn.XLOOKUP(OFFSET($C$12,$I299,MATCH($J$11,$D$12:$G$12,0)),主线推图!$B$313:$B$612,主线推图!$P$313:$P$612)*OFFSET($C$1,MATCH(J$12,$C$2:$C$7,0),MATCH($J$11,$D$12:$G$12,0))</f>
        <v>#N/A</v>
      </c>
      <c r="K299" s="163" t="e">
        <f ca="1">_xlfn.XLOOKUP(OFFSET($C$12,$I299,MATCH($J$11,$D$12:$G$12,0)),巡逻产出!$B$311:$B$610,巡逻产出!$R$311:$R$610)*OFFSET($C$1,MATCH(K$12,$C$2:$C$7,0),MATCH($J$11,$D$12:$G$12,0))</f>
        <v>#N/A</v>
      </c>
      <c r="L299" s="163">
        <f ca="1">_xlfn.XLOOKUP(MAX(INT((OFFSET($C$12,$I299,MATCH($J$11,$D$12:$G$12,0))-6)/10),1),组队产出!$B$25:$B$39,组队产出!$P$25:$P$39)*OFFSET($C$1,MATCH(L$12,$C$2:$C$7,0),MATCH($J$11,$D$12:$G$12,0))</f>
        <v>1130.4</v>
      </c>
      <c r="M299" s="163">
        <f ca="1">竞技场!$G$3*OFFSET($C$1,MATCH(M$12,$C$2:$C$7,0),MATCH($J$11,$D$12:$G$12,0))</f>
        <v>1050</v>
      </c>
      <c r="N29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9" s="23">
        <f>任务!$G$6+任务!$G$9+IF(MOD(I299,7)=0,任务!$N$9+任务!$O$6,0)</f>
        <v>3125</v>
      </c>
      <c r="P299" s="25">
        <f>公会!$U$11</f>
        <v>2766.62857142857</v>
      </c>
      <c r="Q299" s="163" t="e">
        <f ca="1">_xlfn.XLOOKUP(OFFSET($C$12,$I299,MATCH($J$11,$D$12:$G$12,0)),巡逻产出!$B$311:$B$610,巡逻产出!$Q$311:$Q$610)*OFFSET($C$1,MATCH(Q$12,$C$2:$C$7,0),MATCH($J$11,$D$12:$G$12,0))</f>
        <v>#N/A</v>
      </c>
      <c r="S299" s="160">
        <v>287</v>
      </c>
      <c r="T299" s="163" t="e">
        <f ca="1">_xlfn.XLOOKUP(OFFSET($C$12,$I299,MATCH($T$11,$D$12:$G$12,0)),主线推图!$B$313:$B$612,主线推图!$P$313:$P$612)*OFFSET($C$1,MATCH(T$12,$C$2:$C$7,0),MATCH($T$11,$D$12:$G$12,0))</f>
        <v>#N/A</v>
      </c>
      <c r="U299" s="163" t="e">
        <f ca="1">_xlfn.XLOOKUP(OFFSET($C$12,$I299,MATCH($T$11,$D$12:$G$12,0)),巡逻产出!$B$311:$B$610,巡逻产出!$R$311:$R$610)*OFFSET($C$1,MATCH(U$12,$C$2:$C$7,0),MATCH($T$11,$D$12:$G$12,0))</f>
        <v>#N/A</v>
      </c>
      <c r="V299" s="163" t="e">
        <f ca="1">_xlfn.XLOOKUP(MAX(INT((OFFSET($C$12,$I299,MATCH($T$11,$D$12:$G$12,0))-6)/10),1),组队产出!$B$25:$B$39,组队产出!$P$25:$P$39)*OFFSET($C$1,MATCH(V$12,$C$2:$C$7,0),MATCH($T$11,$D$12:$G$12,0))</f>
        <v>#N/A</v>
      </c>
      <c r="W299" s="163">
        <f ca="1">竞技场!$G$3*OFFSET($C$1,MATCH(W$12,$C$2:$C$7,0),MATCH($T$11,$D$12:$G$12,0))</f>
        <v>2100</v>
      </c>
      <c r="X29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9" s="23">
        <f>任务!$G$6+任务!$G$9+IF(MOD(S299,7)=0,任务!$N$9+任务!$O$6,0)</f>
        <v>3125</v>
      </c>
      <c r="Z299" s="25">
        <f>公会!$U$11</f>
        <v>2766.62857142857</v>
      </c>
      <c r="AA299" s="163" t="e">
        <f ca="1">_xlfn.XLOOKUP(OFFSET($C$12,$I299,MATCH($T$11,$D$12:$G$12,0)),巡逻产出!$B$311:$B$610,巡逻产出!$Q$311:$Q$610)*OFFSET($C$1,MATCH(AA$12,$C$2:$C$7,0),MATCH($T$11,$D$12:$G$12,0))</f>
        <v>#N/A</v>
      </c>
      <c r="AC299" s="160">
        <v>287</v>
      </c>
      <c r="AD299" s="163" t="e">
        <f ca="1">_xlfn.XLOOKUP(OFFSET($C$12,$I299,MATCH($AD$11,$D$12:$G$12,0)),主线推图!$B$313:$B$612,主线推图!$P$313:$P$612)*OFFSET($C$1,MATCH(AD$12,$C$2:$C$7,0),MATCH($AD$11,$D$12:$G$12,0))</f>
        <v>#N/A</v>
      </c>
      <c r="AE299" s="163" t="e">
        <f ca="1">_xlfn.XLOOKUP(OFFSET($C$12,$I299,MATCH($AD$11,$D$12:$G$12,0)),巡逻产出!$B$311:$B$610,巡逻产出!$R$311:$R$610)*OFFSET($C$1,MATCH(AE$12,$C$2:$C$7,0),MATCH($AD$11,$D$12:$G$12,0))</f>
        <v>#N/A</v>
      </c>
      <c r="AF299" s="163" t="e">
        <f ca="1">_xlfn.XLOOKUP(MAX(INT((OFFSET($C$12,$I299,MATCH($AD$11,$D$12:$G$12,0))-6)/10),1),组队产出!$B$25:$B$39,组队产出!$P$25:$P$39)*OFFSET($C$1,MATCH(AF$12,$C$2:$C$7,0),MATCH($AD$11,$D$12:$G$12,0))</f>
        <v>#N/A</v>
      </c>
      <c r="AG299" s="163">
        <f ca="1">竞技场!$G$3*OFFSET($C$1,MATCH(AG$12,$C$2:$C$7,0),MATCH($AD$11,$D$12:$G$12,0))</f>
        <v>3150</v>
      </c>
      <c r="AH29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9" s="23">
        <f>任务!$G$6+任务!$G$9+IF(MOD(AC299,7)=0,任务!$N$9+任务!$O$6,0)</f>
        <v>3125</v>
      </c>
      <c r="AJ299" s="25">
        <f>公会!$U$11</f>
        <v>2766.62857142857</v>
      </c>
      <c r="AK299" s="163" t="e">
        <f ca="1">_xlfn.XLOOKUP(OFFSET($C$12,$I299,MATCH($AD$11,$D$12:$G$12,0)),巡逻产出!$B$311:$B$610,巡逻产出!$Q$311:$Q$610)*OFFSET($C$1,MATCH(AK$12,$C$2:$C$7,0),MATCH($AD$11,$D$12:$G$12,0))</f>
        <v>#N/A</v>
      </c>
      <c r="AM299" s="164">
        <v>287</v>
      </c>
      <c r="AN299" s="165">
        <f t="shared" si="38"/>
        <v>33276</v>
      </c>
      <c r="AO299" s="165">
        <f t="shared" si="39"/>
        <v>41787</v>
      </c>
      <c r="AP299" s="165">
        <f t="shared" si="40"/>
        <v>66407</v>
      </c>
      <c r="AQ299" s="165">
        <f t="shared" si="41"/>
        <v>87508</v>
      </c>
    </row>
    <row r="300" spans="3:43">
      <c r="C300" s="160">
        <v>288</v>
      </c>
      <c r="D300" s="169">
        <v>179</v>
      </c>
      <c r="E300" s="170">
        <f t="shared" si="36"/>
        <v>146.75</v>
      </c>
      <c r="F300" s="169">
        <f t="shared" si="37"/>
        <v>177.649999999999</v>
      </c>
      <c r="G300" s="163">
        <f t="shared" si="42"/>
        <v>267</v>
      </c>
      <c r="I300" s="160">
        <v>288</v>
      </c>
      <c r="J300" s="163" t="e">
        <f ca="1">_xlfn.XLOOKUP(OFFSET($C$12,$I300,MATCH($J$11,$D$12:$G$12,0)),主线推图!$B$313:$B$612,主线推图!$P$313:$P$612)*OFFSET($C$1,MATCH(J$12,$C$2:$C$7,0),MATCH($J$11,$D$12:$G$12,0))</f>
        <v>#N/A</v>
      </c>
      <c r="K300" s="163" t="e">
        <f ca="1">_xlfn.XLOOKUP(OFFSET($C$12,$I300,MATCH($J$11,$D$12:$G$12,0)),巡逻产出!$B$311:$B$610,巡逻产出!$R$311:$R$610)*OFFSET($C$1,MATCH(K$12,$C$2:$C$7,0),MATCH($J$11,$D$12:$G$12,0))</f>
        <v>#N/A</v>
      </c>
      <c r="L300" s="163">
        <f ca="1">_xlfn.XLOOKUP(MAX(INT((OFFSET($C$12,$I300,MATCH($J$11,$D$12:$G$12,0))-6)/10),1),组队产出!$B$25:$B$39,组队产出!$P$25:$P$39)*OFFSET($C$1,MATCH(L$12,$C$2:$C$7,0),MATCH($J$11,$D$12:$G$12,0))</f>
        <v>1130.4</v>
      </c>
      <c r="M300" s="163">
        <f ca="1">竞技场!$G$3*OFFSET($C$1,MATCH(M$12,$C$2:$C$7,0),MATCH($J$11,$D$12:$G$12,0))</f>
        <v>1050</v>
      </c>
      <c r="N30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0" s="23">
        <f>任务!$G$6+任务!$G$9+IF(MOD(I300,7)=0,任务!$N$9+任务!$O$6,0)</f>
        <v>895</v>
      </c>
      <c r="P300" s="25">
        <f>公会!$U$11</f>
        <v>2766.62857142857</v>
      </c>
      <c r="Q300" s="163" t="e">
        <f ca="1">_xlfn.XLOOKUP(OFFSET($C$12,$I300,MATCH($J$11,$D$12:$G$12,0)),巡逻产出!$B$311:$B$610,巡逻产出!$Q$311:$Q$610)*OFFSET($C$1,MATCH(Q$12,$C$2:$C$7,0),MATCH($J$11,$D$12:$G$12,0))</f>
        <v>#N/A</v>
      </c>
      <c r="S300" s="160">
        <v>288</v>
      </c>
      <c r="T300" s="163" t="e">
        <f ca="1">_xlfn.XLOOKUP(OFFSET($C$12,$I300,MATCH($T$11,$D$12:$G$12,0)),主线推图!$B$313:$B$612,主线推图!$P$313:$P$612)*OFFSET($C$1,MATCH(T$12,$C$2:$C$7,0),MATCH($T$11,$D$12:$G$12,0))</f>
        <v>#N/A</v>
      </c>
      <c r="U300" s="163" t="e">
        <f ca="1">_xlfn.XLOOKUP(OFFSET($C$12,$I300,MATCH($T$11,$D$12:$G$12,0)),巡逻产出!$B$311:$B$610,巡逻产出!$R$311:$R$610)*OFFSET($C$1,MATCH(U$12,$C$2:$C$7,0),MATCH($T$11,$D$12:$G$12,0))</f>
        <v>#N/A</v>
      </c>
      <c r="V300" s="163" t="e">
        <f ca="1">_xlfn.XLOOKUP(MAX(INT((OFFSET($C$12,$I300,MATCH($T$11,$D$12:$G$12,0))-6)/10),1),组队产出!$B$25:$B$39,组队产出!$P$25:$P$39)*OFFSET($C$1,MATCH(V$12,$C$2:$C$7,0),MATCH($T$11,$D$12:$G$12,0))</f>
        <v>#N/A</v>
      </c>
      <c r="W300" s="163">
        <f ca="1">竞技场!$G$3*OFFSET($C$1,MATCH(W$12,$C$2:$C$7,0),MATCH($T$11,$D$12:$G$12,0))</f>
        <v>2100</v>
      </c>
      <c r="X30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0" s="23">
        <f>任务!$G$6+任务!$G$9+IF(MOD(S300,7)=0,任务!$N$9+任务!$O$6,0)</f>
        <v>895</v>
      </c>
      <c r="Z300" s="25">
        <f>公会!$U$11</f>
        <v>2766.62857142857</v>
      </c>
      <c r="AA300" s="163" t="e">
        <f ca="1">_xlfn.XLOOKUP(OFFSET($C$12,$I300,MATCH($T$11,$D$12:$G$12,0)),巡逻产出!$B$311:$B$610,巡逻产出!$Q$311:$Q$610)*OFFSET($C$1,MATCH(AA$12,$C$2:$C$7,0),MATCH($T$11,$D$12:$G$12,0))</f>
        <v>#N/A</v>
      </c>
      <c r="AC300" s="160">
        <v>288</v>
      </c>
      <c r="AD300" s="163">
        <f ca="1">_xlfn.XLOOKUP(OFFSET($C$12,$I300,MATCH($AD$11,$D$12:$G$12,0)),主线推图!$B$313:$B$612,主线推图!$P$313:$P$612)*OFFSET($C$1,MATCH(AD$12,$C$2:$C$7,0),MATCH($AD$11,$D$12:$G$12,0))</f>
        <v>3533.2</v>
      </c>
      <c r="AE300" s="163">
        <f ca="1">_xlfn.XLOOKUP(OFFSET($C$12,$I300,MATCH($AD$11,$D$12:$G$12,0)),巡逻产出!$B$311:$B$610,巡逻产出!$R$311:$R$610)*OFFSET($C$1,MATCH(AE$12,$C$2:$C$7,0),MATCH($AD$11,$D$12:$G$12,0))</f>
        <v>0</v>
      </c>
      <c r="AF300" s="163" t="e">
        <f ca="1">_xlfn.XLOOKUP(MAX(INT((OFFSET($C$12,$I300,MATCH($AD$11,$D$12:$G$12,0))-6)/10),1),组队产出!$B$25:$B$39,组队产出!$P$25:$P$39)*OFFSET($C$1,MATCH(AF$12,$C$2:$C$7,0),MATCH($AD$11,$D$12:$G$12,0))</f>
        <v>#N/A</v>
      </c>
      <c r="AG300" s="163">
        <f ca="1">竞技场!$G$3*OFFSET($C$1,MATCH(AG$12,$C$2:$C$7,0),MATCH($AD$11,$D$12:$G$12,0))</f>
        <v>3150</v>
      </c>
      <c r="AH30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0" s="23">
        <f>任务!$G$6+任务!$G$9+IF(MOD(AC300,7)=0,任务!$N$9+任务!$O$6,0)</f>
        <v>895</v>
      </c>
      <c r="AJ300" s="25">
        <f>公会!$U$11</f>
        <v>2766.62857142857</v>
      </c>
      <c r="AK300" s="163">
        <f ca="1">_xlfn.XLOOKUP(OFFSET($C$12,$I300,MATCH($AD$11,$D$12:$G$12,0)),巡逻产出!$B$311:$B$610,巡逻产出!$Q$311:$Q$610)*OFFSET($C$1,MATCH(AK$12,$C$2:$C$7,0),MATCH($AD$11,$D$12:$G$12,0))</f>
        <v>2447.328</v>
      </c>
      <c r="AM300" s="164">
        <v>288</v>
      </c>
      <c r="AN300" s="165">
        <f t="shared" si="38"/>
        <v>33389</v>
      </c>
      <c r="AO300" s="165">
        <f t="shared" si="39"/>
        <v>41930</v>
      </c>
      <c r="AP300" s="165">
        <f t="shared" si="40"/>
        <v>66635</v>
      </c>
      <c r="AQ300" s="165">
        <f t="shared" si="41"/>
        <v>87810</v>
      </c>
    </row>
    <row r="301" spans="3:43">
      <c r="C301" s="160">
        <v>289</v>
      </c>
      <c r="D301" s="169">
        <v>179</v>
      </c>
      <c r="E301" s="170">
        <f t="shared" si="36"/>
        <v>147</v>
      </c>
      <c r="F301" s="169">
        <f t="shared" si="37"/>
        <v>177.999999999999</v>
      </c>
      <c r="G301" s="163">
        <f t="shared" si="42"/>
        <v>267.5</v>
      </c>
      <c r="I301" s="160">
        <v>289</v>
      </c>
      <c r="J301" s="163" t="e">
        <f ca="1">_xlfn.XLOOKUP(OFFSET($C$12,$I301,MATCH($J$11,$D$12:$G$12,0)),主线推图!$B$313:$B$612,主线推图!$P$313:$P$612)*OFFSET($C$1,MATCH(J$12,$C$2:$C$7,0),MATCH($J$11,$D$12:$G$12,0))</f>
        <v>#N/A</v>
      </c>
      <c r="K301" s="163" t="e">
        <f ca="1">_xlfn.XLOOKUP(OFFSET($C$12,$I301,MATCH($J$11,$D$12:$G$12,0)),巡逻产出!$B$311:$B$610,巡逻产出!$R$311:$R$610)*OFFSET($C$1,MATCH(K$12,$C$2:$C$7,0),MATCH($J$11,$D$12:$G$12,0))</f>
        <v>#N/A</v>
      </c>
      <c r="L301" s="163">
        <f ca="1">_xlfn.XLOOKUP(MAX(INT((OFFSET($C$12,$I301,MATCH($J$11,$D$12:$G$12,0))-6)/10),1),组队产出!$B$25:$B$39,组队产出!$P$25:$P$39)*OFFSET($C$1,MATCH(L$12,$C$2:$C$7,0),MATCH($J$11,$D$12:$G$12,0))</f>
        <v>1130.4</v>
      </c>
      <c r="M301" s="163">
        <f ca="1">竞技场!$G$3*OFFSET($C$1,MATCH(M$12,$C$2:$C$7,0),MATCH($J$11,$D$12:$G$12,0))</f>
        <v>1050</v>
      </c>
      <c r="N30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1" s="23">
        <f>任务!$G$6+任务!$G$9+IF(MOD(I301,7)=0,任务!$N$9+任务!$O$6,0)</f>
        <v>895</v>
      </c>
      <c r="P301" s="25">
        <f>公会!$U$11</f>
        <v>2766.62857142857</v>
      </c>
      <c r="Q301" s="163" t="e">
        <f ca="1">_xlfn.XLOOKUP(OFFSET($C$12,$I301,MATCH($J$11,$D$12:$G$12,0)),巡逻产出!$B$311:$B$610,巡逻产出!$Q$311:$Q$610)*OFFSET($C$1,MATCH(Q$12,$C$2:$C$7,0),MATCH($J$11,$D$12:$G$12,0))</f>
        <v>#N/A</v>
      </c>
      <c r="S301" s="160">
        <v>289</v>
      </c>
      <c r="T301" s="163" t="e">
        <f ca="1">_xlfn.XLOOKUP(OFFSET($C$12,$I301,MATCH($T$11,$D$12:$G$12,0)),主线推图!$B$313:$B$612,主线推图!$P$313:$P$612)*OFFSET($C$1,MATCH(T$12,$C$2:$C$7,0),MATCH($T$11,$D$12:$G$12,0))</f>
        <v>#N/A</v>
      </c>
      <c r="U301" s="163" t="e">
        <f ca="1">_xlfn.XLOOKUP(OFFSET($C$12,$I301,MATCH($T$11,$D$12:$G$12,0)),巡逻产出!$B$311:$B$610,巡逻产出!$R$311:$R$610)*OFFSET($C$1,MATCH(U$12,$C$2:$C$7,0),MATCH($T$11,$D$12:$G$12,0))</f>
        <v>#N/A</v>
      </c>
      <c r="V301" s="163" t="e">
        <f ca="1">_xlfn.XLOOKUP(MAX(INT((OFFSET($C$12,$I301,MATCH($T$11,$D$12:$G$12,0))-6)/10),1),组队产出!$B$25:$B$39,组队产出!$P$25:$P$39)*OFFSET($C$1,MATCH(V$12,$C$2:$C$7,0),MATCH($T$11,$D$12:$G$12,0))</f>
        <v>#N/A</v>
      </c>
      <c r="W301" s="163">
        <f ca="1">竞技场!$G$3*OFFSET($C$1,MATCH(W$12,$C$2:$C$7,0),MATCH($T$11,$D$12:$G$12,0))</f>
        <v>2100</v>
      </c>
      <c r="X30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1" s="23">
        <f>任务!$G$6+任务!$G$9+IF(MOD(S301,7)=0,任务!$N$9+任务!$O$6,0)</f>
        <v>895</v>
      </c>
      <c r="Z301" s="25">
        <f>公会!$U$11</f>
        <v>2766.62857142857</v>
      </c>
      <c r="AA301" s="163" t="e">
        <f ca="1">_xlfn.XLOOKUP(OFFSET($C$12,$I301,MATCH($T$11,$D$12:$G$12,0)),巡逻产出!$B$311:$B$610,巡逻产出!$Q$311:$Q$610)*OFFSET($C$1,MATCH(AA$12,$C$2:$C$7,0),MATCH($T$11,$D$12:$G$12,0))</f>
        <v>#N/A</v>
      </c>
      <c r="AC301" s="160">
        <v>289</v>
      </c>
      <c r="AD301" s="163" t="e">
        <f ca="1">_xlfn.XLOOKUP(OFFSET($C$12,$I301,MATCH($AD$11,$D$12:$G$12,0)),主线推图!$B$313:$B$612,主线推图!$P$313:$P$612)*OFFSET($C$1,MATCH(AD$12,$C$2:$C$7,0),MATCH($AD$11,$D$12:$G$12,0))</f>
        <v>#N/A</v>
      </c>
      <c r="AE301" s="163" t="e">
        <f ca="1">_xlfn.XLOOKUP(OFFSET($C$12,$I301,MATCH($AD$11,$D$12:$G$12,0)),巡逻产出!$B$311:$B$610,巡逻产出!$R$311:$R$610)*OFFSET($C$1,MATCH(AE$12,$C$2:$C$7,0),MATCH($AD$11,$D$12:$G$12,0))</f>
        <v>#N/A</v>
      </c>
      <c r="AF301" s="163" t="e">
        <f ca="1">_xlfn.XLOOKUP(MAX(INT((OFFSET($C$12,$I301,MATCH($AD$11,$D$12:$G$12,0))-6)/10),1),组队产出!$B$25:$B$39,组队产出!$P$25:$P$39)*OFFSET($C$1,MATCH(AF$12,$C$2:$C$7,0),MATCH($AD$11,$D$12:$G$12,0))</f>
        <v>#N/A</v>
      </c>
      <c r="AG301" s="163">
        <f ca="1">竞技场!$G$3*OFFSET($C$1,MATCH(AG$12,$C$2:$C$7,0),MATCH($AD$11,$D$12:$G$12,0))</f>
        <v>3150</v>
      </c>
      <c r="AH30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1" s="23">
        <f>任务!$G$6+任务!$G$9+IF(MOD(AC301,7)=0,任务!$N$9+任务!$O$6,0)</f>
        <v>895</v>
      </c>
      <c r="AJ301" s="25">
        <f>公会!$U$11</f>
        <v>2766.62857142857</v>
      </c>
      <c r="AK301" s="163" t="e">
        <f ca="1">_xlfn.XLOOKUP(OFFSET($C$12,$I301,MATCH($AD$11,$D$12:$G$12,0)),巡逻产出!$B$311:$B$610,巡逻产出!$Q$311:$Q$610)*OFFSET($C$1,MATCH(AK$12,$C$2:$C$7,0),MATCH($AD$11,$D$12:$G$12,0))</f>
        <v>#N/A</v>
      </c>
      <c r="AM301" s="164">
        <v>289</v>
      </c>
      <c r="AN301" s="165">
        <f t="shared" si="38"/>
        <v>33503</v>
      </c>
      <c r="AO301" s="165">
        <f t="shared" si="39"/>
        <v>42073</v>
      </c>
      <c r="AP301" s="165">
        <f t="shared" si="40"/>
        <v>66864</v>
      </c>
      <c r="AQ301" s="165">
        <f t="shared" si="41"/>
        <v>88112</v>
      </c>
    </row>
    <row r="302" spans="3:43">
      <c r="C302" s="160">
        <v>290</v>
      </c>
      <c r="D302" s="169">
        <v>179</v>
      </c>
      <c r="E302" s="170">
        <f t="shared" si="36"/>
        <v>147.25</v>
      </c>
      <c r="F302" s="169">
        <f t="shared" si="37"/>
        <v>178.349999999999</v>
      </c>
      <c r="G302" s="163">
        <f t="shared" si="42"/>
        <v>268</v>
      </c>
      <c r="I302" s="160">
        <v>290</v>
      </c>
      <c r="J302" s="163" t="e">
        <f ca="1">_xlfn.XLOOKUP(OFFSET($C$12,$I302,MATCH($J$11,$D$12:$G$12,0)),主线推图!$B$313:$B$612,主线推图!$P$313:$P$612)*OFFSET($C$1,MATCH(J$12,$C$2:$C$7,0),MATCH($J$11,$D$12:$G$12,0))</f>
        <v>#N/A</v>
      </c>
      <c r="K302" s="163" t="e">
        <f ca="1">_xlfn.XLOOKUP(OFFSET($C$12,$I302,MATCH($J$11,$D$12:$G$12,0)),巡逻产出!$B$311:$B$610,巡逻产出!$R$311:$R$610)*OFFSET($C$1,MATCH(K$12,$C$2:$C$7,0),MATCH($J$11,$D$12:$G$12,0))</f>
        <v>#N/A</v>
      </c>
      <c r="L302" s="163">
        <f ca="1">_xlfn.XLOOKUP(MAX(INT((OFFSET($C$12,$I302,MATCH($J$11,$D$12:$G$12,0))-6)/10),1),组队产出!$B$25:$B$39,组队产出!$P$25:$P$39)*OFFSET($C$1,MATCH(L$12,$C$2:$C$7,0),MATCH($J$11,$D$12:$G$12,0))</f>
        <v>1130.4</v>
      </c>
      <c r="M302" s="163">
        <f ca="1">竞技场!$G$3*OFFSET($C$1,MATCH(M$12,$C$2:$C$7,0),MATCH($J$11,$D$12:$G$12,0))</f>
        <v>1050</v>
      </c>
      <c r="N30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2" s="23">
        <f>任务!$G$6+任务!$G$9+IF(MOD(I302,7)=0,任务!$N$9+任务!$O$6,0)</f>
        <v>895</v>
      </c>
      <c r="P302" s="25">
        <f>公会!$U$11</f>
        <v>2766.62857142857</v>
      </c>
      <c r="Q302" s="163" t="e">
        <f ca="1">_xlfn.XLOOKUP(OFFSET($C$12,$I302,MATCH($J$11,$D$12:$G$12,0)),巡逻产出!$B$311:$B$610,巡逻产出!$Q$311:$Q$610)*OFFSET($C$1,MATCH(Q$12,$C$2:$C$7,0),MATCH($J$11,$D$12:$G$12,0))</f>
        <v>#N/A</v>
      </c>
      <c r="S302" s="160">
        <v>290</v>
      </c>
      <c r="T302" s="163" t="e">
        <f ca="1">_xlfn.XLOOKUP(OFFSET($C$12,$I302,MATCH($T$11,$D$12:$G$12,0)),主线推图!$B$313:$B$612,主线推图!$P$313:$P$612)*OFFSET($C$1,MATCH(T$12,$C$2:$C$7,0),MATCH($T$11,$D$12:$G$12,0))</f>
        <v>#N/A</v>
      </c>
      <c r="U302" s="163" t="e">
        <f ca="1">_xlfn.XLOOKUP(OFFSET($C$12,$I302,MATCH($T$11,$D$12:$G$12,0)),巡逻产出!$B$311:$B$610,巡逻产出!$R$311:$R$610)*OFFSET($C$1,MATCH(U$12,$C$2:$C$7,0),MATCH($T$11,$D$12:$G$12,0))</f>
        <v>#N/A</v>
      </c>
      <c r="V302" s="163" t="e">
        <f ca="1">_xlfn.XLOOKUP(MAX(INT((OFFSET($C$12,$I302,MATCH($T$11,$D$12:$G$12,0))-6)/10),1),组队产出!$B$25:$B$39,组队产出!$P$25:$P$39)*OFFSET($C$1,MATCH(V$12,$C$2:$C$7,0),MATCH($T$11,$D$12:$G$12,0))</f>
        <v>#N/A</v>
      </c>
      <c r="W302" s="163">
        <f ca="1">竞技场!$G$3*OFFSET($C$1,MATCH(W$12,$C$2:$C$7,0),MATCH($T$11,$D$12:$G$12,0))</f>
        <v>2100</v>
      </c>
      <c r="X30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2" s="23">
        <f>任务!$G$6+任务!$G$9+IF(MOD(S302,7)=0,任务!$N$9+任务!$O$6,0)</f>
        <v>895</v>
      </c>
      <c r="Z302" s="25">
        <f>公会!$U$11</f>
        <v>2766.62857142857</v>
      </c>
      <c r="AA302" s="163" t="e">
        <f ca="1">_xlfn.XLOOKUP(OFFSET($C$12,$I302,MATCH($T$11,$D$12:$G$12,0)),巡逻产出!$B$311:$B$610,巡逻产出!$Q$311:$Q$610)*OFFSET($C$1,MATCH(AA$12,$C$2:$C$7,0),MATCH($T$11,$D$12:$G$12,0))</f>
        <v>#N/A</v>
      </c>
      <c r="AC302" s="160">
        <v>290</v>
      </c>
      <c r="AD302" s="163">
        <f ca="1">_xlfn.XLOOKUP(OFFSET($C$12,$I302,MATCH($AD$11,$D$12:$G$12,0)),主线推图!$B$313:$B$612,主线推图!$P$313:$P$612)*OFFSET($C$1,MATCH(AD$12,$C$2:$C$7,0),MATCH($AD$11,$D$12:$G$12,0))</f>
        <v>3535.4</v>
      </c>
      <c r="AE302" s="163">
        <f ca="1">_xlfn.XLOOKUP(OFFSET($C$12,$I302,MATCH($AD$11,$D$12:$G$12,0)),巡逻产出!$B$311:$B$610,巡逻产出!$R$311:$R$610)*OFFSET($C$1,MATCH(AE$12,$C$2:$C$7,0),MATCH($AD$11,$D$12:$G$12,0))</f>
        <v>0</v>
      </c>
      <c r="AF302" s="163" t="e">
        <f ca="1">_xlfn.XLOOKUP(MAX(INT((OFFSET($C$12,$I302,MATCH($AD$11,$D$12:$G$12,0))-6)/10),1),组队产出!$B$25:$B$39,组队产出!$P$25:$P$39)*OFFSET($C$1,MATCH(AF$12,$C$2:$C$7,0),MATCH($AD$11,$D$12:$G$12,0))</f>
        <v>#N/A</v>
      </c>
      <c r="AG302" s="163">
        <f ca="1">竞技场!$G$3*OFFSET($C$1,MATCH(AG$12,$C$2:$C$7,0),MATCH($AD$11,$D$12:$G$12,0))</f>
        <v>3150</v>
      </c>
      <c r="AH30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2" s="23">
        <f>任务!$G$6+任务!$G$9+IF(MOD(AC302,7)=0,任务!$N$9+任务!$O$6,0)</f>
        <v>895</v>
      </c>
      <c r="AJ302" s="25">
        <f>公会!$U$11</f>
        <v>2766.62857142857</v>
      </c>
      <c r="AK302" s="163">
        <f ca="1">_xlfn.XLOOKUP(OFFSET($C$12,$I302,MATCH($AD$11,$D$12:$G$12,0)),巡逻产出!$B$311:$B$610,巡逻产出!$Q$311:$Q$610)*OFFSET($C$1,MATCH(AK$12,$C$2:$C$7,0),MATCH($AD$11,$D$12:$G$12,0))</f>
        <v>2448.888</v>
      </c>
      <c r="AM302" s="164">
        <v>290</v>
      </c>
      <c r="AN302" s="165">
        <f t="shared" si="38"/>
        <v>33616</v>
      </c>
      <c r="AO302" s="165">
        <f t="shared" si="39"/>
        <v>42216</v>
      </c>
      <c r="AP302" s="165">
        <f t="shared" si="40"/>
        <v>67092</v>
      </c>
      <c r="AQ302" s="165">
        <f t="shared" si="41"/>
        <v>88414</v>
      </c>
    </row>
    <row r="303" spans="3:43">
      <c r="C303" s="160">
        <v>291</v>
      </c>
      <c r="D303" s="169">
        <v>179</v>
      </c>
      <c r="E303" s="170">
        <f t="shared" si="36"/>
        <v>147.5</v>
      </c>
      <c r="F303" s="169">
        <f t="shared" si="37"/>
        <v>178.699999999999</v>
      </c>
      <c r="G303" s="163">
        <f t="shared" si="42"/>
        <v>268.5</v>
      </c>
      <c r="I303" s="160">
        <v>291</v>
      </c>
      <c r="J303" s="163" t="e">
        <f ca="1">_xlfn.XLOOKUP(OFFSET($C$12,$I303,MATCH($J$11,$D$12:$G$12,0)),主线推图!$B$313:$B$612,主线推图!$P$313:$P$612)*OFFSET($C$1,MATCH(J$12,$C$2:$C$7,0),MATCH($J$11,$D$12:$G$12,0))</f>
        <v>#N/A</v>
      </c>
      <c r="K303" s="163" t="e">
        <f ca="1">_xlfn.XLOOKUP(OFFSET($C$12,$I303,MATCH($J$11,$D$12:$G$12,0)),巡逻产出!$B$311:$B$610,巡逻产出!$R$311:$R$610)*OFFSET($C$1,MATCH(K$12,$C$2:$C$7,0),MATCH($J$11,$D$12:$G$12,0))</f>
        <v>#N/A</v>
      </c>
      <c r="L303" s="163">
        <f ca="1">_xlfn.XLOOKUP(MAX(INT((OFFSET($C$12,$I303,MATCH($J$11,$D$12:$G$12,0))-6)/10),1),组队产出!$B$25:$B$39,组队产出!$P$25:$P$39)*OFFSET($C$1,MATCH(L$12,$C$2:$C$7,0),MATCH($J$11,$D$12:$G$12,0))</f>
        <v>1130.4</v>
      </c>
      <c r="M303" s="163">
        <f ca="1">竞技场!$G$3*OFFSET($C$1,MATCH(M$12,$C$2:$C$7,0),MATCH($J$11,$D$12:$G$12,0))</f>
        <v>1050</v>
      </c>
      <c r="N30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3" s="23">
        <f>任务!$G$6+任务!$G$9+IF(MOD(I303,7)=0,任务!$N$9+任务!$O$6,0)</f>
        <v>895</v>
      </c>
      <c r="P303" s="25">
        <f>公会!$U$11</f>
        <v>2766.62857142857</v>
      </c>
      <c r="Q303" s="163" t="e">
        <f ca="1">_xlfn.XLOOKUP(OFFSET($C$12,$I303,MATCH($J$11,$D$12:$G$12,0)),巡逻产出!$B$311:$B$610,巡逻产出!$Q$311:$Q$610)*OFFSET($C$1,MATCH(Q$12,$C$2:$C$7,0),MATCH($J$11,$D$12:$G$12,0))</f>
        <v>#N/A</v>
      </c>
      <c r="S303" s="160">
        <v>291</v>
      </c>
      <c r="T303" s="163" t="e">
        <f ca="1">_xlfn.XLOOKUP(OFFSET($C$12,$I303,MATCH($T$11,$D$12:$G$12,0)),主线推图!$B$313:$B$612,主线推图!$P$313:$P$612)*OFFSET($C$1,MATCH(T$12,$C$2:$C$7,0),MATCH($T$11,$D$12:$G$12,0))</f>
        <v>#N/A</v>
      </c>
      <c r="U303" s="163" t="e">
        <f ca="1">_xlfn.XLOOKUP(OFFSET($C$12,$I303,MATCH($T$11,$D$12:$G$12,0)),巡逻产出!$B$311:$B$610,巡逻产出!$R$311:$R$610)*OFFSET($C$1,MATCH(U$12,$C$2:$C$7,0),MATCH($T$11,$D$12:$G$12,0))</f>
        <v>#N/A</v>
      </c>
      <c r="V303" s="163" t="e">
        <f ca="1">_xlfn.XLOOKUP(MAX(INT((OFFSET($C$12,$I303,MATCH($T$11,$D$12:$G$12,0))-6)/10),1),组队产出!$B$25:$B$39,组队产出!$P$25:$P$39)*OFFSET($C$1,MATCH(V$12,$C$2:$C$7,0),MATCH($T$11,$D$12:$G$12,0))</f>
        <v>#N/A</v>
      </c>
      <c r="W303" s="163">
        <f ca="1">竞技场!$G$3*OFFSET($C$1,MATCH(W$12,$C$2:$C$7,0),MATCH($T$11,$D$12:$G$12,0))</f>
        <v>2100</v>
      </c>
      <c r="X30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3" s="23">
        <f>任务!$G$6+任务!$G$9+IF(MOD(S303,7)=0,任务!$N$9+任务!$O$6,0)</f>
        <v>895</v>
      </c>
      <c r="Z303" s="25">
        <f>公会!$U$11</f>
        <v>2766.62857142857</v>
      </c>
      <c r="AA303" s="163" t="e">
        <f ca="1">_xlfn.XLOOKUP(OFFSET($C$12,$I303,MATCH($T$11,$D$12:$G$12,0)),巡逻产出!$B$311:$B$610,巡逻产出!$Q$311:$Q$610)*OFFSET($C$1,MATCH(AA$12,$C$2:$C$7,0),MATCH($T$11,$D$12:$G$12,0))</f>
        <v>#N/A</v>
      </c>
      <c r="AC303" s="160">
        <v>291</v>
      </c>
      <c r="AD303" s="163" t="e">
        <f ca="1">_xlfn.XLOOKUP(OFFSET($C$12,$I303,MATCH($AD$11,$D$12:$G$12,0)),主线推图!$B$313:$B$612,主线推图!$P$313:$P$612)*OFFSET($C$1,MATCH(AD$12,$C$2:$C$7,0),MATCH($AD$11,$D$12:$G$12,0))</f>
        <v>#N/A</v>
      </c>
      <c r="AE303" s="163" t="e">
        <f ca="1">_xlfn.XLOOKUP(OFFSET($C$12,$I303,MATCH($AD$11,$D$12:$G$12,0)),巡逻产出!$B$311:$B$610,巡逻产出!$R$311:$R$610)*OFFSET($C$1,MATCH(AE$12,$C$2:$C$7,0),MATCH($AD$11,$D$12:$G$12,0))</f>
        <v>#N/A</v>
      </c>
      <c r="AF303" s="163" t="e">
        <f ca="1">_xlfn.XLOOKUP(MAX(INT((OFFSET($C$12,$I303,MATCH($AD$11,$D$12:$G$12,0))-6)/10),1),组队产出!$B$25:$B$39,组队产出!$P$25:$P$39)*OFFSET($C$1,MATCH(AF$12,$C$2:$C$7,0),MATCH($AD$11,$D$12:$G$12,0))</f>
        <v>#N/A</v>
      </c>
      <c r="AG303" s="163">
        <f ca="1">竞技场!$G$3*OFFSET($C$1,MATCH(AG$12,$C$2:$C$7,0),MATCH($AD$11,$D$12:$G$12,0))</f>
        <v>3150</v>
      </c>
      <c r="AH30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3" s="23">
        <f>任务!$G$6+任务!$G$9+IF(MOD(AC303,7)=0,任务!$N$9+任务!$O$6,0)</f>
        <v>895</v>
      </c>
      <c r="AJ303" s="25">
        <f>公会!$U$11</f>
        <v>2766.62857142857</v>
      </c>
      <c r="AK303" s="163" t="e">
        <f ca="1">_xlfn.XLOOKUP(OFFSET($C$12,$I303,MATCH($AD$11,$D$12:$G$12,0)),巡逻产出!$B$311:$B$610,巡逻产出!$Q$311:$Q$610)*OFFSET($C$1,MATCH(AK$12,$C$2:$C$7,0),MATCH($AD$11,$D$12:$G$12,0))</f>
        <v>#N/A</v>
      </c>
      <c r="AM303" s="164">
        <v>291</v>
      </c>
      <c r="AN303" s="165">
        <f t="shared" si="38"/>
        <v>33730</v>
      </c>
      <c r="AO303" s="165">
        <f t="shared" si="39"/>
        <v>42359</v>
      </c>
      <c r="AP303" s="165">
        <f t="shared" si="40"/>
        <v>67321</v>
      </c>
      <c r="AQ303" s="165">
        <f t="shared" si="41"/>
        <v>88716</v>
      </c>
    </row>
    <row r="304" spans="3:43">
      <c r="C304" s="160">
        <v>292</v>
      </c>
      <c r="D304" s="169">
        <v>179</v>
      </c>
      <c r="E304" s="170">
        <f t="shared" si="36"/>
        <v>147.75</v>
      </c>
      <c r="F304" s="169">
        <f t="shared" si="37"/>
        <v>179.049999999999</v>
      </c>
      <c r="G304" s="163">
        <f t="shared" si="42"/>
        <v>269</v>
      </c>
      <c r="I304" s="160">
        <v>292</v>
      </c>
      <c r="J304" s="163" t="e">
        <f ca="1">_xlfn.XLOOKUP(OFFSET($C$12,$I304,MATCH($J$11,$D$12:$G$12,0)),主线推图!$B$313:$B$612,主线推图!$P$313:$P$612)*OFFSET($C$1,MATCH(J$12,$C$2:$C$7,0),MATCH($J$11,$D$12:$G$12,0))</f>
        <v>#N/A</v>
      </c>
      <c r="K304" s="163" t="e">
        <f ca="1">_xlfn.XLOOKUP(OFFSET($C$12,$I304,MATCH($J$11,$D$12:$G$12,0)),巡逻产出!$B$311:$B$610,巡逻产出!$R$311:$R$610)*OFFSET($C$1,MATCH(K$12,$C$2:$C$7,0),MATCH($J$11,$D$12:$G$12,0))</f>
        <v>#N/A</v>
      </c>
      <c r="L304" s="163">
        <f ca="1">_xlfn.XLOOKUP(MAX(INT((OFFSET($C$12,$I304,MATCH($J$11,$D$12:$G$12,0))-6)/10),1),组队产出!$B$25:$B$39,组队产出!$P$25:$P$39)*OFFSET($C$1,MATCH(L$12,$C$2:$C$7,0),MATCH($J$11,$D$12:$G$12,0))</f>
        <v>1130.4</v>
      </c>
      <c r="M304" s="163">
        <f ca="1">竞技场!$G$3*OFFSET($C$1,MATCH(M$12,$C$2:$C$7,0),MATCH($J$11,$D$12:$G$12,0))</f>
        <v>1050</v>
      </c>
      <c r="N30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4" s="23">
        <f>任务!$G$6+任务!$G$9+IF(MOD(I304,7)=0,任务!$N$9+任务!$O$6,0)</f>
        <v>895</v>
      </c>
      <c r="P304" s="25">
        <f>公会!$U$11</f>
        <v>2766.62857142857</v>
      </c>
      <c r="Q304" s="163" t="e">
        <f ca="1">_xlfn.XLOOKUP(OFFSET($C$12,$I304,MATCH($J$11,$D$12:$G$12,0)),巡逻产出!$B$311:$B$610,巡逻产出!$Q$311:$Q$610)*OFFSET($C$1,MATCH(Q$12,$C$2:$C$7,0),MATCH($J$11,$D$12:$G$12,0))</f>
        <v>#N/A</v>
      </c>
      <c r="S304" s="160">
        <v>292</v>
      </c>
      <c r="T304" s="163" t="e">
        <f ca="1">_xlfn.XLOOKUP(OFFSET($C$12,$I304,MATCH($T$11,$D$12:$G$12,0)),主线推图!$B$313:$B$612,主线推图!$P$313:$P$612)*OFFSET($C$1,MATCH(T$12,$C$2:$C$7,0),MATCH($T$11,$D$12:$G$12,0))</f>
        <v>#N/A</v>
      </c>
      <c r="U304" s="163" t="e">
        <f ca="1">_xlfn.XLOOKUP(OFFSET($C$12,$I304,MATCH($T$11,$D$12:$G$12,0)),巡逻产出!$B$311:$B$610,巡逻产出!$R$311:$R$610)*OFFSET($C$1,MATCH(U$12,$C$2:$C$7,0),MATCH($T$11,$D$12:$G$12,0))</f>
        <v>#N/A</v>
      </c>
      <c r="V304" s="163" t="e">
        <f ca="1">_xlfn.XLOOKUP(MAX(INT((OFFSET($C$12,$I304,MATCH($T$11,$D$12:$G$12,0))-6)/10),1),组队产出!$B$25:$B$39,组队产出!$P$25:$P$39)*OFFSET($C$1,MATCH(V$12,$C$2:$C$7,0),MATCH($T$11,$D$12:$G$12,0))</f>
        <v>#N/A</v>
      </c>
      <c r="W304" s="163">
        <f ca="1">竞技场!$G$3*OFFSET($C$1,MATCH(W$12,$C$2:$C$7,0),MATCH($T$11,$D$12:$G$12,0))</f>
        <v>2100</v>
      </c>
      <c r="X30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4" s="23">
        <f>任务!$G$6+任务!$G$9+IF(MOD(S304,7)=0,任务!$N$9+任务!$O$6,0)</f>
        <v>895</v>
      </c>
      <c r="Z304" s="25">
        <f>公会!$U$11</f>
        <v>2766.62857142857</v>
      </c>
      <c r="AA304" s="163" t="e">
        <f ca="1">_xlfn.XLOOKUP(OFFSET($C$12,$I304,MATCH($T$11,$D$12:$G$12,0)),巡逻产出!$B$311:$B$610,巡逻产出!$Q$311:$Q$610)*OFFSET($C$1,MATCH(AA$12,$C$2:$C$7,0),MATCH($T$11,$D$12:$G$12,0))</f>
        <v>#N/A</v>
      </c>
      <c r="AC304" s="160">
        <v>292</v>
      </c>
      <c r="AD304" s="163">
        <f ca="1">_xlfn.XLOOKUP(OFFSET($C$12,$I304,MATCH($AD$11,$D$12:$G$12,0)),主线推图!$B$313:$B$612,主线推图!$P$313:$P$612)*OFFSET($C$1,MATCH(AD$12,$C$2:$C$7,0),MATCH($AD$11,$D$12:$G$12,0))</f>
        <v>3537.6</v>
      </c>
      <c r="AE304" s="163">
        <f ca="1">_xlfn.XLOOKUP(OFFSET($C$12,$I304,MATCH($AD$11,$D$12:$G$12,0)),巡逻产出!$B$311:$B$610,巡逻产出!$R$311:$R$610)*OFFSET($C$1,MATCH(AE$12,$C$2:$C$7,0),MATCH($AD$11,$D$12:$G$12,0))</f>
        <v>0</v>
      </c>
      <c r="AF304" s="163" t="e">
        <f ca="1">_xlfn.XLOOKUP(MAX(INT((OFFSET($C$12,$I304,MATCH($AD$11,$D$12:$G$12,0))-6)/10),1),组队产出!$B$25:$B$39,组队产出!$P$25:$P$39)*OFFSET($C$1,MATCH(AF$12,$C$2:$C$7,0),MATCH($AD$11,$D$12:$G$12,0))</f>
        <v>#N/A</v>
      </c>
      <c r="AG304" s="163">
        <f ca="1">竞技场!$G$3*OFFSET($C$1,MATCH(AG$12,$C$2:$C$7,0),MATCH($AD$11,$D$12:$G$12,0))</f>
        <v>3150</v>
      </c>
      <c r="AH30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4" s="23">
        <f>任务!$G$6+任务!$G$9+IF(MOD(AC304,7)=0,任务!$N$9+任务!$O$6,0)</f>
        <v>895</v>
      </c>
      <c r="AJ304" s="25">
        <f>公会!$U$11</f>
        <v>2766.62857142857</v>
      </c>
      <c r="AK304" s="163">
        <f ca="1">_xlfn.XLOOKUP(OFFSET($C$12,$I304,MATCH($AD$11,$D$12:$G$12,0)),巡逻产出!$B$311:$B$610,巡逻产出!$Q$311:$Q$610)*OFFSET($C$1,MATCH(AK$12,$C$2:$C$7,0),MATCH($AD$11,$D$12:$G$12,0))</f>
        <v>2450.448</v>
      </c>
      <c r="AM304" s="164">
        <v>292</v>
      </c>
      <c r="AN304" s="165">
        <f t="shared" si="38"/>
        <v>33843</v>
      </c>
      <c r="AO304" s="165">
        <f t="shared" si="39"/>
        <v>42502</v>
      </c>
      <c r="AP304" s="165">
        <f t="shared" si="40"/>
        <v>67549</v>
      </c>
      <c r="AQ304" s="165">
        <f t="shared" si="41"/>
        <v>89018</v>
      </c>
    </row>
    <row r="305" spans="3:43">
      <c r="C305" s="160">
        <v>293</v>
      </c>
      <c r="D305" s="169">
        <v>179</v>
      </c>
      <c r="E305" s="170">
        <f t="shared" si="36"/>
        <v>148</v>
      </c>
      <c r="F305" s="169">
        <f t="shared" si="37"/>
        <v>179.399999999999</v>
      </c>
      <c r="G305" s="163">
        <f t="shared" si="42"/>
        <v>269.5</v>
      </c>
      <c r="I305" s="160">
        <v>293</v>
      </c>
      <c r="J305" s="163" t="e">
        <f ca="1">_xlfn.XLOOKUP(OFFSET($C$12,$I305,MATCH($J$11,$D$12:$G$12,0)),主线推图!$B$313:$B$612,主线推图!$P$313:$P$612)*OFFSET($C$1,MATCH(J$12,$C$2:$C$7,0),MATCH($J$11,$D$12:$G$12,0))</f>
        <v>#N/A</v>
      </c>
      <c r="K305" s="163" t="e">
        <f ca="1">_xlfn.XLOOKUP(OFFSET($C$12,$I305,MATCH($J$11,$D$12:$G$12,0)),巡逻产出!$B$311:$B$610,巡逻产出!$R$311:$R$610)*OFFSET($C$1,MATCH(K$12,$C$2:$C$7,0),MATCH($J$11,$D$12:$G$12,0))</f>
        <v>#N/A</v>
      </c>
      <c r="L305" s="163">
        <f ca="1">_xlfn.XLOOKUP(MAX(INT((OFFSET($C$12,$I305,MATCH($J$11,$D$12:$G$12,0))-6)/10),1),组队产出!$B$25:$B$39,组队产出!$P$25:$P$39)*OFFSET($C$1,MATCH(L$12,$C$2:$C$7,0),MATCH($J$11,$D$12:$G$12,0))</f>
        <v>1130.4</v>
      </c>
      <c r="M305" s="163">
        <f ca="1">竞技场!$G$3*OFFSET($C$1,MATCH(M$12,$C$2:$C$7,0),MATCH($J$11,$D$12:$G$12,0))</f>
        <v>1050</v>
      </c>
      <c r="N30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5" s="23">
        <f>任务!$G$6+任务!$G$9+IF(MOD(I305,7)=0,任务!$N$9+任务!$O$6,0)</f>
        <v>895</v>
      </c>
      <c r="P305" s="25">
        <f>公会!$U$11</f>
        <v>2766.62857142857</v>
      </c>
      <c r="Q305" s="163" t="e">
        <f ca="1">_xlfn.XLOOKUP(OFFSET($C$12,$I305,MATCH($J$11,$D$12:$G$12,0)),巡逻产出!$B$311:$B$610,巡逻产出!$Q$311:$Q$610)*OFFSET($C$1,MATCH(Q$12,$C$2:$C$7,0),MATCH($J$11,$D$12:$G$12,0))</f>
        <v>#N/A</v>
      </c>
      <c r="S305" s="160">
        <v>293</v>
      </c>
      <c r="T305" s="163" t="e">
        <f ca="1">_xlfn.XLOOKUP(OFFSET($C$12,$I305,MATCH($T$11,$D$12:$G$12,0)),主线推图!$B$313:$B$612,主线推图!$P$313:$P$612)*OFFSET($C$1,MATCH(T$12,$C$2:$C$7,0),MATCH($T$11,$D$12:$G$12,0))</f>
        <v>#N/A</v>
      </c>
      <c r="U305" s="163" t="e">
        <f ca="1">_xlfn.XLOOKUP(OFFSET($C$12,$I305,MATCH($T$11,$D$12:$G$12,0)),巡逻产出!$B$311:$B$610,巡逻产出!$R$311:$R$610)*OFFSET($C$1,MATCH(U$12,$C$2:$C$7,0),MATCH($T$11,$D$12:$G$12,0))</f>
        <v>#N/A</v>
      </c>
      <c r="V305" s="163" t="e">
        <f ca="1">_xlfn.XLOOKUP(MAX(INT((OFFSET($C$12,$I305,MATCH($T$11,$D$12:$G$12,0))-6)/10),1),组队产出!$B$25:$B$39,组队产出!$P$25:$P$39)*OFFSET($C$1,MATCH(V$12,$C$2:$C$7,0),MATCH($T$11,$D$12:$G$12,0))</f>
        <v>#N/A</v>
      </c>
      <c r="W305" s="163">
        <f ca="1">竞技场!$G$3*OFFSET($C$1,MATCH(W$12,$C$2:$C$7,0),MATCH($T$11,$D$12:$G$12,0))</f>
        <v>2100</v>
      </c>
      <c r="X30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5" s="23">
        <f>任务!$G$6+任务!$G$9+IF(MOD(S305,7)=0,任务!$N$9+任务!$O$6,0)</f>
        <v>895</v>
      </c>
      <c r="Z305" s="25">
        <f>公会!$U$11</f>
        <v>2766.62857142857</v>
      </c>
      <c r="AA305" s="163" t="e">
        <f ca="1">_xlfn.XLOOKUP(OFFSET($C$12,$I305,MATCH($T$11,$D$12:$G$12,0)),巡逻产出!$B$311:$B$610,巡逻产出!$Q$311:$Q$610)*OFFSET($C$1,MATCH(AA$12,$C$2:$C$7,0),MATCH($T$11,$D$12:$G$12,0))</f>
        <v>#N/A</v>
      </c>
      <c r="AC305" s="160">
        <v>293</v>
      </c>
      <c r="AD305" s="163" t="e">
        <f ca="1">_xlfn.XLOOKUP(OFFSET($C$12,$I305,MATCH($AD$11,$D$12:$G$12,0)),主线推图!$B$313:$B$612,主线推图!$P$313:$P$612)*OFFSET($C$1,MATCH(AD$12,$C$2:$C$7,0),MATCH($AD$11,$D$12:$G$12,0))</f>
        <v>#N/A</v>
      </c>
      <c r="AE305" s="163" t="e">
        <f ca="1">_xlfn.XLOOKUP(OFFSET($C$12,$I305,MATCH($AD$11,$D$12:$G$12,0)),巡逻产出!$B$311:$B$610,巡逻产出!$R$311:$R$610)*OFFSET($C$1,MATCH(AE$12,$C$2:$C$7,0),MATCH($AD$11,$D$12:$G$12,0))</f>
        <v>#N/A</v>
      </c>
      <c r="AF305" s="163" t="e">
        <f ca="1">_xlfn.XLOOKUP(MAX(INT((OFFSET($C$12,$I305,MATCH($AD$11,$D$12:$G$12,0))-6)/10),1),组队产出!$B$25:$B$39,组队产出!$P$25:$P$39)*OFFSET($C$1,MATCH(AF$12,$C$2:$C$7,0),MATCH($AD$11,$D$12:$G$12,0))</f>
        <v>#N/A</v>
      </c>
      <c r="AG305" s="163">
        <f ca="1">竞技场!$G$3*OFFSET($C$1,MATCH(AG$12,$C$2:$C$7,0),MATCH($AD$11,$D$12:$G$12,0))</f>
        <v>3150</v>
      </c>
      <c r="AH30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5" s="23">
        <f>任务!$G$6+任务!$G$9+IF(MOD(AC305,7)=0,任务!$N$9+任务!$O$6,0)</f>
        <v>895</v>
      </c>
      <c r="AJ305" s="25">
        <f>公会!$U$11</f>
        <v>2766.62857142857</v>
      </c>
      <c r="AK305" s="163" t="e">
        <f ca="1">_xlfn.XLOOKUP(OFFSET($C$12,$I305,MATCH($AD$11,$D$12:$G$12,0)),巡逻产出!$B$311:$B$610,巡逻产出!$Q$311:$Q$610)*OFFSET($C$1,MATCH(AK$12,$C$2:$C$7,0),MATCH($AD$11,$D$12:$G$12,0))</f>
        <v>#N/A</v>
      </c>
      <c r="AM305" s="164">
        <v>293</v>
      </c>
      <c r="AN305" s="165">
        <f t="shared" si="38"/>
        <v>33957</v>
      </c>
      <c r="AO305" s="165">
        <f t="shared" si="39"/>
        <v>42645</v>
      </c>
      <c r="AP305" s="165">
        <f t="shared" si="40"/>
        <v>67778</v>
      </c>
      <c r="AQ305" s="165">
        <f t="shared" si="41"/>
        <v>89320</v>
      </c>
    </row>
    <row r="306" spans="3:43">
      <c r="C306" s="160">
        <v>294</v>
      </c>
      <c r="D306" s="169">
        <v>179</v>
      </c>
      <c r="E306" s="170">
        <f t="shared" si="36"/>
        <v>148.25</v>
      </c>
      <c r="F306" s="169">
        <f t="shared" si="37"/>
        <v>179.749999999999</v>
      </c>
      <c r="G306" s="163">
        <f t="shared" si="42"/>
        <v>270</v>
      </c>
      <c r="I306" s="160">
        <v>294</v>
      </c>
      <c r="J306" s="163" t="e">
        <f ca="1">_xlfn.XLOOKUP(OFFSET($C$12,$I306,MATCH($J$11,$D$12:$G$12,0)),主线推图!$B$313:$B$612,主线推图!$P$313:$P$612)*OFFSET($C$1,MATCH(J$12,$C$2:$C$7,0),MATCH($J$11,$D$12:$G$12,0))</f>
        <v>#N/A</v>
      </c>
      <c r="K306" s="163" t="e">
        <f ca="1">_xlfn.XLOOKUP(OFFSET($C$12,$I306,MATCH($J$11,$D$12:$G$12,0)),巡逻产出!$B$311:$B$610,巡逻产出!$R$311:$R$610)*OFFSET($C$1,MATCH(K$12,$C$2:$C$7,0),MATCH($J$11,$D$12:$G$12,0))</f>
        <v>#N/A</v>
      </c>
      <c r="L306" s="163">
        <f ca="1">_xlfn.XLOOKUP(MAX(INT((OFFSET($C$12,$I306,MATCH($J$11,$D$12:$G$12,0))-6)/10),1),组队产出!$B$25:$B$39,组队产出!$P$25:$P$39)*OFFSET($C$1,MATCH(L$12,$C$2:$C$7,0),MATCH($J$11,$D$12:$G$12,0))</f>
        <v>1130.4</v>
      </c>
      <c r="M306" s="163">
        <f ca="1">竞技场!$G$3*OFFSET($C$1,MATCH(M$12,$C$2:$C$7,0),MATCH($J$11,$D$12:$G$12,0))</f>
        <v>1050</v>
      </c>
      <c r="N30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6" s="23">
        <f>任务!$G$6+任务!$G$9+IF(MOD(I306,7)=0,任务!$N$9+任务!$O$6,0)</f>
        <v>3125</v>
      </c>
      <c r="P306" s="25">
        <f>公会!$U$11</f>
        <v>2766.62857142857</v>
      </c>
      <c r="Q306" s="163" t="e">
        <f ca="1">_xlfn.XLOOKUP(OFFSET($C$12,$I306,MATCH($J$11,$D$12:$G$12,0)),巡逻产出!$B$311:$B$610,巡逻产出!$Q$311:$Q$610)*OFFSET($C$1,MATCH(Q$12,$C$2:$C$7,0),MATCH($J$11,$D$12:$G$12,0))</f>
        <v>#N/A</v>
      </c>
      <c r="S306" s="160">
        <v>294</v>
      </c>
      <c r="T306" s="163" t="e">
        <f ca="1">_xlfn.XLOOKUP(OFFSET($C$12,$I306,MATCH($T$11,$D$12:$G$12,0)),主线推图!$B$313:$B$612,主线推图!$P$313:$P$612)*OFFSET($C$1,MATCH(T$12,$C$2:$C$7,0),MATCH($T$11,$D$12:$G$12,0))</f>
        <v>#N/A</v>
      </c>
      <c r="U306" s="163" t="e">
        <f ca="1">_xlfn.XLOOKUP(OFFSET($C$12,$I306,MATCH($T$11,$D$12:$G$12,0)),巡逻产出!$B$311:$B$610,巡逻产出!$R$311:$R$610)*OFFSET($C$1,MATCH(U$12,$C$2:$C$7,0),MATCH($T$11,$D$12:$G$12,0))</f>
        <v>#N/A</v>
      </c>
      <c r="V306" s="163" t="e">
        <f ca="1">_xlfn.XLOOKUP(MAX(INT((OFFSET($C$12,$I306,MATCH($T$11,$D$12:$G$12,0))-6)/10),1),组队产出!$B$25:$B$39,组队产出!$P$25:$P$39)*OFFSET($C$1,MATCH(V$12,$C$2:$C$7,0),MATCH($T$11,$D$12:$G$12,0))</f>
        <v>#N/A</v>
      </c>
      <c r="W306" s="163">
        <f ca="1">竞技场!$G$3*OFFSET($C$1,MATCH(W$12,$C$2:$C$7,0),MATCH($T$11,$D$12:$G$12,0))</f>
        <v>2100</v>
      </c>
      <c r="X30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6" s="23">
        <f>任务!$G$6+任务!$G$9+IF(MOD(S306,7)=0,任务!$N$9+任务!$O$6,0)</f>
        <v>3125</v>
      </c>
      <c r="Z306" s="25">
        <f>公会!$U$11</f>
        <v>2766.62857142857</v>
      </c>
      <c r="AA306" s="163" t="e">
        <f ca="1">_xlfn.XLOOKUP(OFFSET($C$12,$I306,MATCH($T$11,$D$12:$G$12,0)),巡逻产出!$B$311:$B$610,巡逻产出!$Q$311:$Q$610)*OFFSET($C$1,MATCH(AA$12,$C$2:$C$7,0),MATCH($T$11,$D$12:$G$12,0))</f>
        <v>#N/A</v>
      </c>
      <c r="AC306" s="160">
        <v>294</v>
      </c>
      <c r="AD306" s="163">
        <f ca="1">_xlfn.XLOOKUP(OFFSET($C$12,$I306,MATCH($AD$11,$D$12:$G$12,0)),主线推图!$B$313:$B$612,主线推图!$P$313:$P$612)*OFFSET($C$1,MATCH(AD$12,$C$2:$C$7,0),MATCH($AD$11,$D$12:$G$12,0))</f>
        <v>3539.8</v>
      </c>
      <c r="AE306" s="163">
        <f ca="1">_xlfn.XLOOKUP(OFFSET($C$12,$I306,MATCH($AD$11,$D$12:$G$12,0)),巡逻产出!$B$311:$B$610,巡逻产出!$R$311:$R$610)*OFFSET($C$1,MATCH(AE$12,$C$2:$C$7,0),MATCH($AD$11,$D$12:$G$12,0))</f>
        <v>0</v>
      </c>
      <c r="AF306" s="163" t="e">
        <f ca="1">_xlfn.XLOOKUP(MAX(INT((OFFSET($C$12,$I306,MATCH($AD$11,$D$12:$G$12,0))-6)/10),1),组队产出!$B$25:$B$39,组队产出!$P$25:$P$39)*OFFSET($C$1,MATCH(AF$12,$C$2:$C$7,0),MATCH($AD$11,$D$12:$G$12,0))</f>
        <v>#N/A</v>
      </c>
      <c r="AG306" s="163">
        <f ca="1">竞技场!$G$3*OFFSET($C$1,MATCH(AG$12,$C$2:$C$7,0),MATCH($AD$11,$D$12:$G$12,0))</f>
        <v>3150</v>
      </c>
      <c r="AH30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6" s="23">
        <f>任务!$G$6+任务!$G$9+IF(MOD(AC306,7)=0,任务!$N$9+任务!$O$6,0)</f>
        <v>3125</v>
      </c>
      <c r="AJ306" s="25">
        <f>公会!$U$11</f>
        <v>2766.62857142857</v>
      </c>
      <c r="AK306" s="163">
        <f ca="1">_xlfn.XLOOKUP(OFFSET($C$12,$I306,MATCH($AD$11,$D$12:$G$12,0)),巡逻产出!$B$311:$B$610,巡逻产出!$Q$311:$Q$610)*OFFSET($C$1,MATCH(AK$12,$C$2:$C$7,0),MATCH($AD$11,$D$12:$G$12,0))</f>
        <v>2452.008</v>
      </c>
      <c r="AM306" s="164">
        <v>294</v>
      </c>
      <c r="AN306" s="165">
        <f t="shared" si="38"/>
        <v>34070</v>
      </c>
      <c r="AO306" s="165">
        <f t="shared" si="39"/>
        <v>42788</v>
      </c>
      <c r="AP306" s="165">
        <f t="shared" si="40"/>
        <v>68006</v>
      </c>
      <c r="AQ306" s="165">
        <f t="shared" si="41"/>
        <v>89622</v>
      </c>
    </row>
    <row r="307" spans="3:43">
      <c r="C307" s="160">
        <v>295</v>
      </c>
      <c r="D307" s="169">
        <v>179</v>
      </c>
      <c r="E307" s="170">
        <f t="shared" si="36"/>
        <v>148.5</v>
      </c>
      <c r="F307" s="169">
        <f t="shared" si="37"/>
        <v>180.099999999999</v>
      </c>
      <c r="G307" s="163">
        <f t="shared" si="42"/>
        <v>270.5</v>
      </c>
      <c r="I307" s="160">
        <v>295</v>
      </c>
      <c r="J307" s="163" t="e">
        <f ca="1">_xlfn.XLOOKUP(OFFSET($C$12,$I307,MATCH($J$11,$D$12:$G$12,0)),主线推图!$B$313:$B$612,主线推图!$P$313:$P$612)*OFFSET($C$1,MATCH(J$12,$C$2:$C$7,0),MATCH($J$11,$D$12:$G$12,0))</f>
        <v>#N/A</v>
      </c>
      <c r="K307" s="163" t="e">
        <f ca="1">_xlfn.XLOOKUP(OFFSET($C$12,$I307,MATCH($J$11,$D$12:$G$12,0)),巡逻产出!$B$311:$B$610,巡逻产出!$R$311:$R$610)*OFFSET($C$1,MATCH(K$12,$C$2:$C$7,0),MATCH($J$11,$D$12:$G$12,0))</f>
        <v>#N/A</v>
      </c>
      <c r="L307" s="163">
        <f ca="1">_xlfn.XLOOKUP(MAX(INT((OFFSET($C$12,$I307,MATCH($J$11,$D$12:$G$12,0))-6)/10),1),组队产出!$B$25:$B$39,组队产出!$P$25:$P$39)*OFFSET($C$1,MATCH(L$12,$C$2:$C$7,0),MATCH($J$11,$D$12:$G$12,0))</f>
        <v>1130.4</v>
      </c>
      <c r="M307" s="163">
        <f ca="1">竞技场!$G$3*OFFSET($C$1,MATCH(M$12,$C$2:$C$7,0),MATCH($J$11,$D$12:$G$12,0))</f>
        <v>1050</v>
      </c>
      <c r="N30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7" s="23">
        <f>任务!$G$6+任务!$G$9+IF(MOD(I307,7)=0,任务!$N$9+任务!$O$6,0)</f>
        <v>895</v>
      </c>
      <c r="P307" s="25">
        <f>公会!$U$11</f>
        <v>2766.62857142857</v>
      </c>
      <c r="Q307" s="163" t="e">
        <f ca="1">_xlfn.XLOOKUP(OFFSET($C$12,$I307,MATCH($J$11,$D$12:$G$12,0)),巡逻产出!$B$311:$B$610,巡逻产出!$Q$311:$Q$610)*OFFSET($C$1,MATCH(Q$12,$C$2:$C$7,0),MATCH($J$11,$D$12:$G$12,0))</f>
        <v>#N/A</v>
      </c>
      <c r="S307" s="160">
        <v>295</v>
      </c>
      <c r="T307" s="163" t="e">
        <f ca="1">_xlfn.XLOOKUP(OFFSET($C$12,$I307,MATCH($T$11,$D$12:$G$12,0)),主线推图!$B$313:$B$612,主线推图!$P$313:$P$612)*OFFSET($C$1,MATCH(T$12,$C$2:$C$7,0),MATCH($T$11,$D$12:$G$12,0))</f>
        <v>#N/A</v>
      </c>
      <c r="U307" s="163" t="e">
        <f ca="1">_xlfn.XLOOKUP(OFFSET($C$12,$I307,MATCH($T$11,$D$12:$G$12,0)),巡逻产出!$B$311:$B$610,巡逻产出!$R$311:$R$610)*OFFSET($C$1,MATCH(U$12,$C$2:$C$7,0),MATCH($T$11,$D$12:$G$12,0))</f>
        <v>#N/A</v>
      </c>
      <c r="V307" s="163" t="e">
        <f ca="1">_xlfn.XLOOKUP(MAX(INT((OFFSET($C$12,$I307,MATCH($T$11,$D$12:$G$12,0))-6)/10),1),组队产出!$B$25:$B$39,组队产出!$P$25:$P$39)*OFFSET($C$1,MATCH(V$12,$C$2:$C$7,0),MATCH($T$11,$D$12:$G$12,0))</f>
        <v>#N/A</v>
      </c>
      <c r="W307" s="163">
        <f ca="1">竞技场!$G$3*OFFSET($C$1,MATCH(W$12,$C$2:$C$7,0),MATCH($T$11,$D$12:$G$12,0))</f>
        <v>2100</v>
      </c>
      <c r="X30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7" s="23">
        <f>任务!$G$6+任务!$G$9+IF(MOD(S307,7)=0,任务!$N$9+任务!$O$6,0)</f>
        <v>895</v>
      </c>
      <c r="Z307" s="25">
        <f>公会!$U$11</f>
        <v>2766.62857142857</v>
      </c>
      <c r="AA307" s="163" t="e">
        <f ca="1">_xlfn.XLOOKUP(OFFSET($C$12,$I307,MATCH($T$11,$D$12:$G$12,0)),巡逻产出!$B$311:$B$610,巡逻产出!$Q$311:$Q$610)*OFFSET($C$1,MATCH(AA$12,$C$2:$C$7,0),MATCH($T$11,$D$12:$G$12,0))</f>
        <v>#N/A</v>
      </c>
      <c r="AC307" s="160">
        <v>295</v>
      </c>
      <c r="AD307" s="163" t="e">
        <f ca="1">_xlfn.XLOOKUP(OFFSET($C$12,$I307,MATCH($AD$11,$D$12:$G$12,0)),主线推图!$B$313:$B$612,主线推图!$P$313:$P$612)*OFFSET($C$1,MATCH(AD$12,$C$2:$C$7,0),MATCH($AD$11,$D$12:$G$12,0))</f>
        <v>#N/A</v>
      </c>
      <c r="AE307" s="163" t="e">
        <f ca="1">_xlfn.XLOOKUP(OFFSET($C$12,$I307,MATCH($AD$11,$D$12:$G$12,0)),巡逻产出!$B$311:$B$610,巡逻产出!$R$311:$R$610)*OFFSET($C$1,MATCH(AE$12,$C$2:$C$7,0),MATCH($AD$11,$D$12:$G$12,0))</f>
        <v>#N/A</v>
      </c>
      <c r="AF307" s="163" t="e">
        <f ca="1">_xlfn.XLOOKUP(MAX(INT((OFFSET($C$12,$I307,MATCH($AD$11,$D$12:$G$12,0))-6)/10),1),组队产出!$B$25:$B$39,组队产出!$P$25:$P$39)*OFFSET($C$1,MATCH(AF$12,$C$2:$C$7,0),MATCH($AD$11,$D$12:$G$12,0))</f>
        <v>#N/A</v>
      </c>
      <c r="AG307" s="163">
        <f ca="1">竞技场!$G$3*OFFSET($C$1,MATCH(AG$12,$C$2:$C$7,0),MATCH($AD$11,$D$12:$G$12,0))</f>
        <v>3150</v>
      </c>
      <c r="AH30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7" s="23">
        <f>任务!$G$6+任务!$G$9+IF(MOD(AC307,7)=0,任务!$N$9+任务!$O$6,0)</f>
        <v>895</v>
      </c>
      <c r="AJ307" s="25">
        <f>公会!$U$11</f>
        <v>2766.62857142857</v>
      </c>
      <c r="AK307" s="163" t="e">
        <f ca="1">_xlfn.XLOOKUP(OFFSET($C$12,$I307,MATCH($AD$11,$D$12:$G$12,0)),巡逻产出!$B$311:$B$610,巡逻产出!$Q$311:$Q$610)*OFFSET($C$1,MATCH(AK$12,$C$2:$C$7,0),MATCH($AD$11,$D$12:$G$12,0))</f>
        <v>#N/A</v>
      </c>
      <c r="AM307" s="164">
        <v>295</v>
      </c>
      <c r="AN307" s="165">
        <f t="shared" si="38"/>
        <v>34184</v>
      </c>
      <c r="AO307" s="165">
        <f t="shared" si="39"/>
        <v>42931</v>
      </c>
      <c r="AP307" s="165">
        <f t="shared" si="40"/>
        <v>68235</v>
      </c>
      <c r="AQ307" s="165">
        <f t="shared" si="41"/>
        <v>89924</v>
      </c>
    </row>
    <row r="308" spans="3:43">
      <c r="C308" s="160">
        <v>296</v>
      </c>
      <c r="D308" s="169">
        <v>179</v>
      </c>
      <c r="E308" s="170">
        <f t="shared" si="36"/>
        <v>148.75</v>
      </c>
      <c r="F308" s="169">
        <f t="shared" si="37"/>
        <v>180.449999999999</v>
      </c>
      <c r="G308" s="163">
        <f t="shared" si="42"/>
        <v>271</v>
      </c>
      <c r="I308" s="160">
        <v>296</v>
      </c>
      <c r="J308" s="163" t="e">
        <f ca="1">_xlfn.XLOOKUP(OFFSET($C$12,$I308,MATCH($J$11,$D$12:$G$12,0)),主线推图!$B$313:$B$612,主线推图!$P$313:$P$612)*OFFSET($C$1,MATCH(J$12,$C$2:$C$7,0),MATCH($J$11,$D$12:$G$12,0))</f>
        <v>#N/A</v>
      </c>
      <c r="K308" s="163" t="e">
        <f ca="1">_xlfn.XLOOKUP(OFFSET($C$12,$I308,MATCH($J$11,$D$12:$G$12,0)),巡逻产出!$B$311:$B$610,巡逻产出!$R$311:$R$610)*OFFSET($C$1,MATCH(K$12,$C$2:$C$7,0),MATCH($J$11,$D$12:$G$12,0))</f>
        <v>#N/A</v>
      </c>
      <c r="L308" s="163">
        <f ca="1">_xlfn.XLOOKUP(MAX(INT((OFFSET($C$12,$I308,MATCH($J$11,$D$12:$G$12,0))-6)/10),1),组队产出!$B$25:$B$39,组队产出!$P$25:$P$39)*OFFSET($C$1,MATCH(L$12,$C$2:$C$7,0),MATCH($J$11,$D$12:$G$12,0))</f>
        <v>1130.4</v>
      </c>
      <c r="M308" s="163">
        <f ca="1">竞技场!$G$3*OFFSET($C$1,MATCH(M$12,$C$2:$C$7,0),MATCH($J$11,$D$12:$G$12,0))</f>
        <v>1050</v>
      </c>
      <c r="N30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8" s="23">
        <f>任务!$G$6+任务!$G$9+IF(MOD(I308,7)=0,任务!$N$9+任务!$O$6,0)</f>
        <v>895</v>
      </c>
      <c r="P308" s="25">
        <f>公会!$U$11</f>
        <v>2766.62857142857</v>
      </c>
      <c r="Q308" s="163" t="e">
        <f ca="1">_xlfn.XLOOKUP(OFFSET($C$12,$I308,MATCH($J$11,$D$12:$G$12,0)),巡逻产出!$B$311:$B$610,巡逻产出!$Q$311:$Q$610)*OFFSET($C$1,MATCH(Q$12,$C$2:$C$7,0),MATCH($J$11,$D$12:$G$12,0))</f>
        <v>#N/A</v>
      </c>
      <c r="S308" s="160">
        <v>296</v>
      </c>
      <c r="T308" s="163" t="e">
        <f ca="1">_xlfn.XLOOKUP(OFFSET($C$12,$I308,MATCH($T$11,$D$12:$G$12,0)),主线推图!$B$313:$B$612,主线推图!$P$313:$P$612)*OFFSET($C$1,MATCH(T$12,$C$2:$C$7,0),MATCH($T$11,$D$12:$G$12,0))</f>
        <v>#N/A</v>
      </c>
      <c r="U308" s="163" t="e">
        <f ca="1">_xlfn.XLOOKUP(OFFSET($C$12,$I308,MATCH($T$11,$D$12:$G$12,0)),巡逻产出!$B$311:$B$610,巡逻产出!$R$311:$R$610)*OFFSET($C$1,MATCH(U$12,$C$2:$C$7,0),MATCH($T$11,$D$12:$G$12,0))</f>
        <v>#N/A</v>
      </c>
      <c r="V308" s="163" t="e">
        <f ca="1">_xlfn.XLOOKUP(MAX(INT((OFFSET($C$12,$I308,MATCH($T$11,$D$12:$G$12,0))-6)/10),1),组队产出!$B$25:$B$39,组队产出!$P$25:$P$39)*OFFSET($C$1,MATCH(V$12,$C$2:$C$7,0),MATCH($T$11,$D$12:$G$12,0))</f>
        <v>#N/A</v>
      </c>
      <c r="W308" s="163">
        <f ca="1">竞技场!$G$3*OFFSET($C$1,MATCH(W$12,$C$2:$C$7,0),MATCH($T$11,$D$12:$G$12,0))</f>
        <v>2100</v>
      </c>
      <c r="X30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8" s="23">
        <f>任务!$G$6+任务!$G$9+IF(MOD(S308,7)=0,任务!$N$9+任务!$O$6,0)</f>
        <v>895</v>
      </c>
      <c r="Z308" s="25">
        <f>公会!$U$11</f>
        <v>2766.62857142857</v>
      </c>
      <c r="AA308" s="163" t="e">
        <f ca="1">_xlfn.XLOOKUP(OFFSET($C$12,$I308,MATCH($T$11,$D$12:$G$12,0)),巡逻产出!$B$311:$B$610,巡逻产出!$Q$311:$Q$610)*OFFSET($C$1,MATCH(AA$12,$C$2:$C$7,0),MATCH($T$11,$D$12:$G$12,0))</f>
        <v>#N/A</v>
      </c>
      <c r="AC308" s="160">
        <v>296</v>
      </c>
      <c r="AD308" s="163">
        <f ca="1">_xlfn.XLOOKUP(OFFSET($C$12,$I308,MATCH($AD$11,$D$12:$G$12,0)),主线推图!$B$313:$B$612,主线推图!$P$313:$P$612)*OFFSET($C$1,MATCH(AD$12,$C$2:$C$7,0),MATCH($AD$11,$D$12:$G$12,0))</f>
        <v>3542</v>
      </c>
      <c r="AE308" s="163">
        <f ca="1">_xlfn.XLOOKUP(OFFSET($C$12,$I308,MATCH($AD$11,$D$12:$G$12,0)),巡逻产出!$B$311:$B$610,巡逻产出!$R$311:$R$610)*OFFSET($C$1,MATCH(AE$12,$C$2:$C$7,0),MATCH($AD$11,$D$12:$G$12,0))</f>
        <v>0</v>
      </c>
      <c r="AF308" s="163" t="e">
        <f ca="1">_xlfn.XLOOKUP(MAX(INT((OFFSET($C$12,$I308,MATCH($AD$11,$D$12:$G$12,0))-6)/10),1),组队产出!$B$25:$B$39,组队产出!$P$25:$P$39)*OFFSET($C$1,MATCH(AF$12,$C$2:$C$7,0),MATCH($AD$11,$D$12:$G$12,0))</f>
        <v>#N/A</v>
      </c>
      <c r="AG308" s="163">
        <f ca="1">竞技场!$G$3*OFFSET($C$1,MATCH(AG$12,$C$2:$C$7,0),MATCH($AD$11,$D$12:$G$12,0))</f>
        <v>3150</v>
      </c>
      <c r="AH30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8" s="23">
        <f>任务!$G$6+任务!$G$9+IF(MOD(AC308,7)=0,任务!$N$9+任务!$O$6,0)</f>
        <v>895</v>
      </c>
      <c r="AJ308" s="25">
        <f>公会!$U$11</f>
        <v>2766.62857142857</v>
      </c>
      <c r="AK308" s="163">
        <f ca="1">_xlfn.XLOOKUP(OFFSET($C$12,$I308,MATCH($AD$11,$D$12:$G$12,0)),巡逻产出!$B$311:$B$610,巡逻产出!$Q$311:$Q$610)*OFFSET($C$1,MATCH(AK$12,$C$2:$C$7,0),MATCH($AD$11,$D$12:$G$12,0))</f>
        <v>2453.568</v>
      </c>
      <c r="AM308" s="164">
        <v>296</v>
      </c>
      <c r="AN308" s="165">
        <f t="shared" si="38"/>
        <v>34297</v>
      </c>
      <c r="AO308" s="165">
        <f t="shared" si="39"/>
        <v>43074</v>
      </c>
      <c r="AP308" s="165">
        <f t="shared" si="40"/>
        <v>68463</v>
      </c>
      <c r="AQ308" s="165">
        <f t="shared" si="41"/>
        <v>90226</v>
      </c>
    </row>
    <row r="309" spans="3:43">
      <c r="C309" s="160">
        <v>297</v>
      </c>
      <c r="D309" s="169">
        <v>180</v>
      </c>
      <c r="E309" s="170">
        <f t="shared" si="36"/>
        <v>149</v>
      </c>
      <c r="F309" s="169">
        <f t="shared" si="37"/>
        <v>180.799999999999</v>
      </c>
      <c r="G309" s="163">
        <f t="shared" si="42"/>
        <v>271.5</v>
      </c>
      <c r="I309" s="160">
        <v>297</v>
      </c>
      <c r="J309" s="163" t="e">
        <f ca="1">_xlfn.XLOOKUP(OFFSET($C$12,$I309,MATCH($J$11,$D$12:$G$12,0)),主线推图!$B$313:$B$612,主线推图!$P$313:$P$612)*OFFSET($C$1,MATCH(J$12,$C$2:$C$7,0),MATCH($J$11,$D$12:$G$12,0))</f>
        <v>#N/A</v>
      </c>
      <c r="K309" s="163" t="e">
        <f ca="1">_xlfn.XLOOKUP(OFFSET($C$12,$I309,MATCH($J$11,$D$12:$G$12,0)),巡逻产出!$B$311:$B$610,巡逻产出!$R$311:$R$610)*OFFSET($C$1,MATCH(K$12,$C$2:$C$7,0),MATCH($J$11,$D$12:$G$12,0))</f>
        <v>#N/A</v>
      </c>
      <c r="L309" s="163">
        <f ca="1">_xlfn.XLOOKUP(MAX(INT((OFFSET($C$12,$I309,MATCH($J$11,$D$12:$G$12,0))-6)/10),1),组队产出!$B$25:$B$39,组队产出!$P$25:$P$39)*OFFSET($C$1,MATCH(L$12,$C$2:$C$7,0),MATCH($J$11,$D$12:$G$12,0))</f>
        <v>1130.4</v>
      </c>
      <c r="M309" s="163">
        <f ca="1">竞技场!$G$3*OFFSET($C$1,MATCH(M$12,$C$2:$C$7,0),MATCH($J$11,$D$12:$G$12,0))</f>
        <v>1050</v>
      </c>
      <c r="N30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9" s="23">
        <f>任务!$G$6+任务!$G$9+IF(MOD(I309,7)=0,任务!$N$9+任务!$O$6,0)</f>
        <v>895</v>
      </c>
      <c r="P309" s="25">
        <f>公会!$U$11</f>
        <v>2766.62857142857</v>
      </c>
      <c r="Q309" s="163" t="e">
        <f ca="1">_xlfn.XLOOKUP(OFFSET($C$12,$I309,MATCH($J$11,$D$12:$G$12,0)),巡逻产出!$B$311:$B$610,巡逻产出!$Q$311:$Q$610)*OFFSET($C$1,MATCH(Q$12,$C$2:$C$7,0),MATCH($J$11,$D$12:$G$12,0))</f>
        <v>#N/A</v>
      </c>
      <c r="S309" s="160">
        <v>297</v>
      </c>
      <c r="T309" s="163" t="e">
        <f ca="1">_xlfn.XLOOKUP(OFFSET($C$12,$I309,MATCH($T$11,$D$12:$G$12,0)),主线推图!$B$313:$B$612,主线推图!$P$313:$P$612)*OFFSET($C$1,MATCH(T$12,$C$2:$C$7,0),MATCH($T$11,$D$12:$G$12,0))</f>
        <v>#N/A</v>
      </c>
      <c r="U309" s="163" t="e">
        <f ca="1">_xlfn.XLOOKUP(OFFSET($C$12,$I309,MATCH($T$11,$D$12:$G$12,0)),巡逻产出!$B$311:$B$610,巡逻产出!$R$311:$R$610)*OFFSET($C$1,MATCH(U$12,$C$2:$C$7,0),MATCH($T$11,$D$12:$G$12,0))</f>
        <v>#N/A</v>
      </c>
      <c r="V309" s="163" t="e">
        <f ca="1">_xlfn.XLOOKUP(MAX(INT((OFFSET($C$12,$I309,MATCH($T$11,$D$12:$G$12,0))-6)/10),1),组队产出!$B$25:$B$39,组队产出!$P$25:$P$39)*OFFSET($C$1,MATCH(V$12,$C$2:$C$7,0),MATCH($T$11,$D$12:$G$12,0))</f>
        <v>#N/A</v>
      </c>
      <c r="W309" s="163">
        <f ca="1">竞技场!$G$3*OFFSET($C$1,MATCH(W$12,$C$2:$C$7,0),MATCH($T$11,$D$12:$G$12,0))</f>
        <v>2100</v>
      </c>
      <c r="X30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9" s="23">
        <f>任务!$G$6+任务!$G$9+IF(MOD(S309,7)=0,任务!$N$9+任务!$O$6,0)</f>
        <v>895</v>
      </c>
      <c r="Z309" s="25">
        <f>公会!$U$11</f>
        <v>2766.62857142857</v>
      </c>
      <c r="AA309" s="163" t="e">
        <f ca="1">_xlfn.XLOOKUP(OFFSET($C$12,$I309,MATCH($T$11,$D$12:$G$12,0)),巡逻产出!$B$311:$B$610,巡逻产出!$Q$311:$Q$610)*OFFSET($C$1,MATCH(AA$12,$C$2:$C$7,0),MATCH($T$11,$D$12:$G$12,0))</f>
        <v>#N/A</v>
      </c>
      <c r="AC309" s="160">
        <v>297</v>
      </c>
      <c r="AD309" s="163" t="e">
        <f ca="1">_xlfn.XLOOKUP(OFFSET($C$12,$I309,MATCH($AD$11,$D$12:$G$12,0)),主线推图!$B$313:$B$612,主线推图!$P$313:$P$612)*OFFSET($C$1,MATCH(AD$12,$C$2:$C$7,0),MATCH($AD$11,$D$12:$G$12,0))</f>
        <v>#N/A</v>
      </c>
      <c r="AE309" s="163" t="e">
        <f ca="1">_xlfn.XLOOKUP(OFFSET($C$12,$I309,MATCH($AD$11,$D$12:$G$12,0)),巡逻产出!$B$311:$B$610,巡逻产出!$R$311:$R$610)*OFFSET($C$1,MATCH(AE$12,$C$2:$C$7,0),MATCH($AD$11,$D$12:$G$12,0))</f>
        <v>#N/A</v>
      </c>
      <c r="AF309" s="163" t="e">
        <f ca="1">_xlfn.XLOOKUP(MAX(INT((OFFSET($C$12,$I309,MATCH($AD$11,$D$12:$G$12,0))-6)/10),1),组队产出!$B$25:$B$39,组队产出!$P$25:$P$39)*OFFSET($C$1,MATCH(AF$12,$C$2:$C$7,0),MATCH($AD$11,$D$12:$G$12,0))</f>
        <v>#N/A</v>
      </c>
      <c r="AG309" s="163">
        <f ca="1">竞技场!$G$3*OFFSET($C$1,MATCH(AG$12,$C$2:$C$7,0),MATCH($AD$11,$D$12:$G$12,0))</f>
        <v>3150</v>
      </c>
      <c r="AH30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9" s="23">
        <f>任务!$G$6+任务!$G$9+IF(MOD(AC309,7)=0,任务!$N$9+任务!$O$6,0)</f>
        <v>895</v>
      </c>
      <c r="AJ309" s="25">
        <f>公会!$U$11</f>
        <v>2766.62857142857</v>
      </c>
      <c r="AK309" s="163" t="e">
        <f ca="1">_xlfn.XLOOKUP(OFFSET($C$12,$I309,MATCH($AD$11,$D$12:$G$12,0)),巡逻产出!$B$311:$B$610,巡逻产出!$Q$311:$Q$610)*OFFSET($C$1,MATCH(AK$12,$C$2:$C$7,0),MATCH($AD$11,$D$12:$G$12,0))</f>
        <v>#N/A</v>
      </c>
      <c r="AM309" s="164">
        <v>297</v>
      </c>
      <c r="AN309" s="165">
        <f t="shared" si="38"/>
        <v>34411</v>
      </c>
      <c r="AO309" s="165">
        <f t="shared" si="39"/>
        <v>43217</v>
      </c>
      <c r="AP309" s="165">
        <f t="shared" si="40"/>
        <v>68692</v>
      </c>
      <c r="AQ309" s="165">
        <f t="shared" si="41"/>
        <v>90528</v>
      </c>
    </row>
    <row r="310" spans="3:43">
      <c r="C310" s="160">
        <v>298</v>
      </c>
      <c r="D310" s="169">
        <v>180</v>
      </c>
      <c r="E310" s="170">
        <f t="shared" si="36"/>
        <v>149.25</v>
      </c>
      <c r="F310" s="169">
        <f t="shared" si="37"/>
        <v>181.149999999999</v>
      </c>
      <c r="G310" s="163">
        <f t="shared" si="42"/>
        <v>272</v>
      </c>
      <c r="I310" s="160">
        <v>298</v>
      </c>
      <c r="J310" s="163" t="e">
        <f ca="1">_xlfn.XLOOKUP(OFFSET($C$12,$I310,MATCH($J$11,$D$12:$G$12,0)),主线推图!$B$313:$B$612,主线推图!$P$313:$P$612)*OFFSET($C$1,MATCH(J$12,$C$2:$C$7,0),MATCH($J$11,$D$12:$G$12,0))</f>
        <v>#N/A</v>
      </c>
      <c r="K310" s="163" t="e">
        <f ca="1">_xlfn.XLOOKUP(OFFSET($C$12,$I310,MATCH($J$11,$D$12:$G$12,0)),巡逻产出!$B$311:$B$610,巡逻产出!$R$311:$R$610)*OFFSET($C$1,MATCH(K$12,$C$2:$C$7,0),MATCH($J$11,$D$12:$G$12,0))</f>
        <v>#N/A</v>
      </c>
      <c r="L310" s="163">
        <f ca="1">_xlfn.XLOOKUP(MAX(INT((OFFSET($C$12,$I310,MATCH($J$11,$D$12:$G$12,0))-6)/10),1),组队产出!$B$25:$B$39,组队产出!$P$25:$P$39)*OFFSET($C$1,MATCH(L$12,$C$2:$C$7,0),MATCH($J$11,$D$12:$G$12,0))</f>
        <v>1130.4</v>
      </c>
      <c r="M310" s="163">
        <f ca="1">竞技场!$G$3*OFFSET($C$1,MATCH(M$12,$C$2:$C$7,0),MATCH($J$11,$D$12:$G$12,0))</f>
        <v>1050</v>
      </c>
      <c r="N31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10" s="23">
        <f>任务!$G$6+任务!$G$9+IF(MOD(I310,7)=0,任务!$N$9+任务!$O$6,0)</f>
        <v>895</v>
      </c>
      <c r="P310" s="25">
        <f>公会!$U$11</f>
        <v>2766.62857142857</v>
      </c>
      <c r="Q310" s="163" t="e">
        <f ca="1">_xlfn.XLOOKUP(OFFSET($C$12,$I310,MATCH($J$11,$D$12:$G$12,0)),巡逻产出!$B$311:$B$610,巡逻产出!$Q$311:$Q$610)*OFFSET($C$1,MATCH(Q$12,$C$2:$C$7,0),MATCH($J$11,$D$12:$G$12,0))</f>
        <v>#N/A</v>
      </c>
      <c r="S310" s="160">
        <v>298</v>
      </c>
      <c r="T310" s="163" t="e">
        <f ca="1">_xlfn.XLOOKUP(OFFSET($C$12,$I310,MATCH($T$11,$D$12:$G$12,0)),主线推图!$B$313:$B$612,主线推图!$P$313:$P$612)*OFFSET($C$1,MATCH(T$12,$C$2:$C$7,0),MATCH($T$11,$D$12:$G$12,0))</f>
        <v>#N/A</v>
      </c>
      <c r="U310" s="163" t="e">
        <f ca="1">_xlfn.XLOOKUP(OFFSET($C$12,$I310,MATCH($T$11,$D$12:$G$12,0)),巡逻产出!$B$311:$B$610,巡逻产出!$R$311:$R$610)*OFFSET($C$1,MATCH(U$12,$C$2:$C$7,0),MATCH($T$11,$D$12:$G$12,0))</f>
        <v>#N/A</v>
      </c>
      <c r="V310" s="163" t="e">
        <f ca="1">_xlfn.XLOOKUP(MAX(INT((OFFSET($C$12,$I310,MATCH($T$11,$D$12:$G$12,0))-6)/10),1),组队产出!$B$25:$B$39,组队产出!$P$25:$P$39)*OFFSET($C$1,MATCH(V$12,$C$2:$C$7,0),MATCH($T$11,$D$12:$G$12,0))</f>
        <v>#N/A</v>
      </c>
      <c r="W310" s="163">
        <f ca="1">竞技场!$G$3*OFFSET($C$1,MATCH(W$12,$C$2:$C$7,0),MATCH($T$11,$D$12:$G$12,0))</f>
        <v>2100</v>
      </c>
      <c r="X31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10" s="23">
        <f>任务!$G$6+任务!$G$9+IF(MOD(S310,7)=0,任务!$N$9+任务!$O$6,0)</f>
        <v>895</v>
      </c>
      <c r="Z310" s="25">
        <f>公会!$U$11</f>
        <v>2766.62857142857</v>
      </c>
      <c r="AA310" s="163" t="e">
        <f ca="1">_xlfn.XLOOKUP(OFFSET($C$12,$I310,MATCH($T$11,$D$12:$G$12,0)),巡逻产出!$B$311:$B$610,巡逻产出!$Q$311:$Q$610)*OFFSET($C$1,MATCH(AA$12,$C$2:$C$7,0),MATCH($T$11,$D$12:$G$12,0))</f>
        <v>#N/A</v>
      </c>
      <c r="AC310" s="160">
        <v>298</v>
      </c>
      <c r="AD310" s="163">
        <f ca="1">_xlfn.XLOOKUP(OFFSET($C$12,$I310,MATCH($AD$11,$D$12:$G$12,0)),主线推图!$B$313:$B$612,主线推图!$P$313:$P$612)*OFFSET($C$1,MATCH(AD$12,$C$2:$C$7,0),MATCH($AD$11,$D$12:$G$12,0))</f>
        <v>3544.2</v>
      </c>
      <c r="AE310" s="163">
        <f ca="1">_xlfn.XLOOKUP(OFFSET($C$12,$I310,MATCH($AD$11,$D$12:$G$12,0)),巡逻产出!$B$311:$B$610,巡逻产出!$R$311:$R$610)*OFFSET($C$1,MATCH(AE$12,$C$2:$C$7,0),MATCH($AD$11,$D$12:$G$12,0))</f>
        <v>0</v>
      </c>
      <c r="AF310" s="163" t="e">
        <f ca="1">_xlfn.XLOOKUP(MAX(INT((OFFSET($C$12,$I310,MATCH($AD$11,$D$12:$G$12,0))-6)/10),1),组队产出!$B$25:$B$39,组队产出!$P$25:$P$39)*OFFSET($C$1,MATCH(AF$12,$C$2:$C$7,0),MATCH($AD$11,$D$12:$G$12,0))</f>
        <v>#N/A</v>
      </c>
      <c r="AG310" s="163">
        <f ca="1">竞技场!$G$3*OFFSET($C$1,MATCH(AG$12,$C$2:$C$7,0),MATCH($AD$11,$D$12:$G$12,0))</f>
        <v>3150</v>
      </c>
      <c r="AH31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10" s="23">
        <f>任务!$G$6+任务!$G$9+IF(MOD(AC310,7)=0,任务!$N$9+任务!$O$6,0)</f>
        <v>895</v>
      </c>
      <c r="AJ310" s="25">
        <f>公会!$U$11</f>
        <v>2766.62857142857</v>
      </c>
      <c r="AK310" s="163">
        <f ca="1">_xlfn.XLOOKUP(OFFSET($C$12,$I310,MATCH($AD$11,$D$12:$G$12,0)),巡逻产出!$B$311:$B$610,巡逻产出!$Q$311:$Q$610)*OFFSET($C$1,MATCH(AK$12,$C$2:$C$7,0),MATCH($AD$11,$D$12:$G$12,0))</f>
        <v>2455.128</v>
      </c>
      <c r="AM310" s="164">
        <v>298</v>
      </c>
      <c r="AN310" s="165">
        <f t="shared" si="38"/>
        <v>34524</v>
      </c>
      <c r="AO310" s="165">
        <f t="shared" si="39"/>
        <v>43360</v>
      </c>
      <c r="AP310" s="165">
        <f t="shared" si="40"/>
        <v>68920</v>
      </c>
      <c r="AQ310" s="165">
        <f t="shared" si="41"/>
        <v>90830</v>
      </c>
    </row>
    <row r="311" spans="3:43">
      <c r="C311" s="160">
        <v>299</v>
      </c>
      <c r="D311" s="169">
        <v>180</v>
      </c>
      <c r="E311" s="170">
        <f t="shared" si="36"/>
        <v>149.5</v>
      </c>
      <c r="F311" s="169">
        <f t="shared" si="37"/>
        <v>181.499999999999</v>
      </c>
      <c r="G311" s="163">
        <f t="shared" si="42"/>
        <v>272.5</v>
      </c>
      <c r="I311" s="160">
        <v>299</v>
      </c>
      <c r="J311" s="163" t="e">
        <f ca="1">_xlfn.XLOOKUP(OFFSET($C$12,$I311,MATCH($J$11,$D$12:$G$12,0)),主线推图!$B$313:$B$612,主线推图!$P$313:$P$612)*OFFSET($C$1,MATCH(J$12,$C$2:$C$7,0),MATCH($J$11,$D$12:$G$12,0))</f>
        <v>#N/A</v>
      </c>
      <c r="K311" s="163" t="e">
        <f ca="1">_xlfn.XLOOKUP(OFFSET($C$12,$I311,MATCH($J$11,$D$12:$G$12,0)),巡逻产出!$B$311:$B$610,巡逻产出!$R$311:$R$610)*OFFSET($C$1,MATCH(K$12,$C$2:$C$7,0),MATCH($J$11,$D$12:$G$12,0))</f>
        <v>#N/A</v>
      </c>
      <c r="L311" s="163">
        <f ca="1">_xlfn.XLOOKUP(MAX(INT((OFFSET($C$12,$I311,MATCH($J$11,$D$12:$G$12,0))-6)/10),1),组队产出!$B$25:$B$39,组队产出!$P$25:$P$39)*OFFSET($C$1,MATCH(L$12,$C$2:$C$7,0),MATCH($J$11,$D$12:$G$12,0))</f>
        <v>1130.4</v>
      </c>
      <c r="M311" s="163">
        <f ca="1">竞技场!$G$3*OFFSET($C$1,MATCH(M$12,$C$2:$C$7,0),MATCH($J$11,$D$12:$G$12,0))</f>
        <v>1050</v>
      </c>
      <c r="N31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11" s="23">
        <f>任务!$G$6+任务!$G$9+IF(MOD(I311,7)=0,任务!$N$9+任务!$O$6,0)</f>
        <v>895</v>
      </c>
      <c r="P311" s="25">
        <f>公会!$U$11</f>
        <v>2766.62857142857</v>
      </c>
      <c r="Q311" s="163" t="e">
        <f ca="1">_xlfn.XLOOKUP(OFFSET($C$12,$I311,MATCH($J$11,$D$12:$G$12,0)),巡逻产出!$B$311:$B$610,巡逻产出!$Q$311:$Q$610)*OFFSET($C$1,MATCH(Q$12,$C$2:$C$7,0),MATCH($J$11,$D$12:$G$12,0))</f>
        <v>#N/A</v>
      </c>
      <c r="S311" s="160">
        <v>299</v>
      </c>
      <c r="T311" s="163" t="e">
        <f ca="1">_xlfn.XLOOKUP(OFFSET($C$12,$I311,MATCH($T$11,$D$12:$G$12,0)),主线推图!$B$313:$B$612,主线推图!$P$313:$P$612)*OFFSET($C$1,MATCH(T$12,$C$2:$C$7,0),MATCH($T$11,$D$12:$G$12,0))</f>
        <v>#N/A</v>
      </c>
      <c r="U311" s="163" t="e">
        <f ca="1">_xlfn.XLOOKUP(OFFSET($C$12,$I311,MATCH($T$11,$D$12:$G$12,0)),巡逻产出!$B$311:$B$610,巡逻产出!$R$311:$R$610)*OFFSET($C$1,MATCH(U$12,$C$2:$C$7,0),MATCH($T$11,$D$12:$G$12,0))</f>
        <v>#N/A</v>
      </c>
      <c r="V311" s="163" t="e">
        <f ca="1">_xlfn.XLOOKUP(MAX(INT((OFFSET($C$12,$I311,MATCH($T$11,$D$12:$G$12,0))-6)/10),1),组队产出!$B$25:$B$39,组队产出!$P$25:$P$39)*OFFSET($C$1,MATCH(V$12,$C$2:$C$7,0),MATCH($T$11,$D$12:$G$12,0))</f>
        <v>#N/A</v>
      </c>
      <c r="W311" s="163">
        <f ca="1">竞技场!$G$3*OFFSET($C$1,MATCH(W$12,$C$2:$C$7,0),MATCH($T$11,$D$12:$G$12,0))</f>
        <v>2100</v>
      </c>
      <c r="X31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11" s="23">
        <f>任务!$G$6+任务!$G$9+IF(MOD(S311,7)=0,任务!$N$9+任务!$O$6,0)</f>
        <v>895</v>
      </c>
      <c r="Z311" s="25">
        <f>公会!$U$11</f>
        <v>2766.62857142857</v>
      </c>
      <c r="AA311" s="163" t="e">
        <f ca="1">_xlfn.XLOOKUP(OFFSET($C$12,$I311,MATCH($T$11,$D$12:$G$12,0)),巡逻产出!$B$311:$B$610,巡逻产出!$Q$311:$Q$610)*OFFSET($C$1,MATCH(AA$12,$C$2:$C$7,0),MATCH($T$11,$D$12:$G$12,0))</f>
        <v>#N/A</v>
      </c>
      <c r="AC311" s="160">
        <v>299</v>
      </c>
      <c r="AD311" s="163" t="e">
        <f ca="1">_xlfn.XLOOKUP(OFFSET($C$12,$I311,MATCH($AD$11,$D$12:$G$12,0)),主线推图!$B$313:$B$612,主线推图!$P$313:$P$612)*OFFSET($C$1,MATCH(AD$12,$C$2:$C$7,0),MATCH($AD$11,$D$12:$G$12,0))</f>
        <v>#N/A</v>
      </c>
      <c r="AE311" s="163" t="e">
        <f ca="1">_xlfn.XLOOKUP(OFFSET($C$12,$I311,MATCH($AD$11,$D$12:$G$12,0)),巡逻产出!$B$311:$B$610,巡逻产出!$R$311:$R$610)*OFFSET($C$1,MATCH(AE$12,$C$2:$C$7,0),MATCH($AD$11,$D$12:$G$12,0))</f>
        <v>#N/A</v>
      </c>
      <c r="AF311" s="163" t="e">
        <f ca="1">_xlfn.XLOOKUP(MAX(INT((OFFSET($C$12,$I311,MATCH($AD$11,$D$12:$G$12,0))-6)/10),1),组队产出!$B$25:$B$39,组队产出!$P$25:$P$39)*OFFSET($C$1,MATCH(AF$12,$C$2:$C$7,0),MATCH($AD$11,$D$12:$G$12,0))</f>
        <v>#N/A</v>
      </c>
      <c r="AG311" s="163">
        <f ca="1">竞技场!$G$3*OFFSET($C$1,MATCH(AG$12,$C$2:$C$7,0),MATCH($AD$11,$D$12:$G$12,0))</f>
        <v>3150</v>
      </c>
      <c r="AH31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11" s="23">
        <f>任务!$G$6+任务!$G$9+IF(MOD(AC311,7)=0,任务!$N$9+任务!$O$6,0)</f>
        <v>895</v>
      </c>
      <c r="AJ311" s="25">
        <f>公会!$U$11</f>
        <v>2766.62857142857</v>
      </c>
      <c r="AK311" s="163" t="e">
        <f ca="1">_xlfn.XLOOKUP(OFFSET($C$12,$I311,MATCH($AD$11,$D$12:$G$12,0)),巡逻产出!$B$311:$B$610,巡逻产出!$Q$311:$Q$610)*OFFSET($C$1,MATCH(AK$12,$C$2:$C$7,0),MATCH($AD$11,$D$12:$G$12,0))</f>
        <v>#N/A</v>
      </c>
      <c r="AM311" s="164">
        <v>299</v>
      </c>
      <c r="AN311" s="165">
        <f t="shared" si="38"/>
        <v>34638</v>
      </c>
      <c r="AO311" s="165">
        <f t="shared" si="39"/>
        <v>43503</v>
      </c>
      <c r="AP311" s="165">
        <f t="shared" si="40"/>
        <v>69149</v>
      </c>
      <c r="AQ311" s="165">
        <f t="shared" si="41"/>
        <v>91132</v>
      </c>
    </row>
    <row r="312" spans="3:43">
      <c r="C312" s="160">
        <v>300</v>
      </c>
      <c r="D312" s="169">
        <v>180</v>
      </c>
      <c r="E312" s="170">
        <f t="shared" si="36"/>
        <v>149.75</v>
      </c>
      <c r="F312" s="169">
        <f t="shared" si="37"/>
        <v>181.849999999999</v>
      </c>
      <c r="G312" s="163">
        <f t="shared" si="42"/>
        <v>273</v>
      </c>
      <c r="I312" s="160">
        <v>300</v>
      </c>
      <c r="J312" s="163" t="e">
        <f ca="1">_xlfn.XLOOKUP(OFFSET($C$12,$I312,MATCH($J$11,$D$12:$G$12,0)),主线推图!$B$313:$B$612,主线推图!$P$313:$P$612)*OFFSET($C$1,MATCH(J$12,$C$2:$C$7,0),MATCH($J$11,$D$12:$G$12,0))</f>
        <v>#N/A</v>
      </c>
      <c r="K312" s="163" t="e">
        <f ca="1">_xlfn.XLOOKUP(OFFSET($C$12,$I312,MATCH($J$11,$D$12:$G$12,0)),巡逻产出!$B$311:$B$610,巡逻产出!$R$311:$R$610)*OFFSET($C$1,MATCH(K$12,$C$2:$C$7,0),MATCH($J$11,$D$12:$G$12,0))</f>
        <v>#N/A</v>
      </c>
      <c r="L312" s="163">
        <f ca="1">_xlfn.XLOOKUP(MAX(INT((OFFSET($C$12,$I312,MATCH($J$11,$D$12:$G$12,0))-6)/10),1),组队产出!$B$25:$B$39,组队产出!$P$25:$P$39)*OFFSET($C$1,MATCH(L$12,$C$2:$C$7,0),MATCH($J$11,$D$12:$G$12,0))</f>
        <v>1130.4</v>
      </c>
      <c r="M312" s="163">
        <f ca="1">竞技场!$G$3*OFFSET($C$1,MATCH(M$12,$C$2:$C$7,0),MATCH($J$11,$D$12:$G$12,0))</f>
        <v>1050</v>
      </c>
      <c r="N31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12" s="23">
        <f>任务!$G$6+任务!$G$9+IF(MOD(I312,7)=0,任务!$N$9+任务!$O$6,0)</f>
        <v>895</v>
      </c>
      <c r="P312" s="25">
        <f>公会!$U$11</f>
        <v>2766.62857142857</v>
      </c>
      <c r="Q312" s="163" t="e">
        <f ca="1">_xlfn.XLOOKUP(OFFSET($C$12,$I312,MATCH($J$11,$D$12:$G$12,0)),巡逻产出!$B$311:$B$610,巡逻产出!$Q$311:$Q$610)*OFFSET($C$1,MATCH(Q$12,$C$2:$C$7,0),MATCH($J$11,$D$12:$G$12,0))</f>
        <v>#N/A</v>
      </c>
      <c r="S312" s="160">
        <v>300</v>
      </c>
      <c r="T312" s="163" t="e">
        <f ca="1">_xlfn.XLOOKUP(OFFSET($C$12,$I312,MATCH($T$11,$D$12:$G$12,0)),主线推图!$B$313:$B$612,主线推图!$P$313:$P$612)*OFFSET($C$1,MATCH(T$12,$C$2:$C$7,0),MATCH($T$11,$D$12:$G$12,0))</f>
        <v>#N/A</v>
      </c>
      <c r="U312" s="163" t="e">
        <f ca="1">_xlfn.XLOOKUP(OFFSET($C$12,$I312,MATCH($T$11,$D$12:$G$12,0)),巡逻产出!$B$311:$B$610,巡逻产出!$R$311:$R$610)*OFFSET($C$1,MATCH(U$12,$C$2:$C$7,0),MATCH($T$11,$D$12:$G$12,0))</f>
        <v>#N/A</v>
      </c>
      <c r="V312" s="163" t="e">
        <f ca="1">_xlfn.XLOOKUP(MAX(INT((OFFSET($C$12,$I312,MATCH($T$11,$D$12:$G$12,0))-6)/10),1),组队产出!$B$25:$B$39,组队产出!$P$25:$P$39)*OFFSET($C$1,MATCH(V$12,$C$2:$C$7,0),MATCH($T$11,$D$12:$G$12,0))</f>
        <v>#N/A</v>
      </c>
      <c r="W312" s="163">
        <f ca="1">竞技场!$G$3*OFFSET($C$1,MATCH(W$12,$C$2:$C$7,0),MATCH($T$11,$D$12:$G$12,0))</f>
        <v>2100</v>
      </c>
      <c r="X31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12" s="23">
        <f>任务!$G$6+任务!$G$9+IF(MOD(S312,7)=0,任务!$N$9+任务!$O$6,0)</f>
        <v>895</v>
      </c>
      <c r="Z312" s="25">
        <f>公会!$U$11</f>
        <v>2766.62857142857</v>
      </c>
      <c r="AA312" s="163" t="e">
        <f ca="1">_xlfn.XLOOKUP(OFFSET($C$12,$I312,MATCH($T$11,$D$12:$G$12,0)),巡逻产出!$B$311:$B$610,巡逻产出!$Q$311:$Q$610)*OFFSET($C$1,MATCH(AA$12,$C$2:$C$7,0),MATCH($T$11,$D$12:$G$12,0))</f>
        <v>#N/A</v>
      </c>
      <c r="AC312" s="160">
        <v>300</v>
      </c>
      <c r="AD312" s="163">
        <f ca="1">_xlfn.XLOOKUP(OFFSET($C$12,$I312,MATCH($AD$11,$D$12:$G$12,0)),主线推图!$B$313:$B$612,主线推图!$P$313:$P$612)*OFFSET($C$1,MATCH(AD$12,$C$2:$C$7,0),MATCH($AD$11,$D$12:$G$12,0))</f>
        <v>3546.4</v>
      </c>
      <c r="AE312" s="163">
        <f ca="1">_xlfn.XLOOKUP(OFFSET($C$12,$I312,MATCH($AD$11,$D$12:$G$12,0)),巡逻产出!$B$311:$B$610,巡逻产出!$R$311:$R$610)*OFFSET($C$1,MATCH(AE$12,$C$2:$C$7,0),MATCH($AD$11,$D$12:$G$12,0))</f>
        <v>0</v>
      </c>
      <c r="AF312" s="163" t="e">
        <f ca="1">_xlfn.XLOOKUP(MAX(INT((OFFSET($C$12,$I312,MATCH($AD$11,$D$12:$G$12,0))-6)/10),1),组队产出!$B$25:$B$39,组队产出!$P$25:$P$39)*OFFSET($C$1,MATCH(AF$12,$C$2:$C$7,0),MATCH($AD$11,$D$12:$G$12,0))</f>
        <v>#N/A</v>
      </c>
      <c r="AG312" s="163">
        <f ca="1">竞技场!$G$3*OFFSET($C$1,MATCH(AG$12,$C$2:$C$7,0),MATCH($AD$11,$D$12:$G$12,0))</f>
        <v>3150</v>
      </c>
      <c r="AH31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12" s="23">
        <f>任务!$G$6+任务!$G$9+IF(MOD(AC312,7)=0,任务!$N$9+任务!$O$6,0)</f>
        <v>895</v>
      </c>
      <c r="AJ312" s="25">
        <f>公会!$U$11</f>
        <v>2766.62857142857</v>
      </c>
      <c r="AK312" s="163">
        <f ca="1">_xlfn.XLOOKUP(OFFSET($C$12,$I312,MATCH($AD$11,$D$12:$G$12,0)),巡逻产出!$B$311:$B$610,巡逻产出!$Q$311:$Q$610)*OFFSET($C$1,MATCH(AK$12,$C$2:$C$7,0),MATCH($AD$11,$D$12:$G$12,0))</f>
        <v>2456.688</v>
      </c>
      <c r="AM312" s="164">
        <v>300</v>
      </c>
      <c r="AN312" s="165">
        <f t="shared" si="38"/>
        <v>34751</v>
      </c>
      <c r="AO312" s="165">
        <f t="shared" si="39"/>
        <v>43646</v>
      </c>
      <c r="AP312" s="165">
        <f t="shared" si="40"/>
        <v>69377</v>
      </c>
      <c r="AQ312" s="165">
        <f t="shared" si="41"/>
        <v>91434</v>
      </c>
    </row>
    <row r="313" spans="3:43">
      <c r="J313" s="23"/>
      <c r="L313" s="23"/>
      <c r="M313" s="23"/>
      <c r="O313" s="23"/>
      <c r="P313" s="23"/>
      <c r="Q313" s="23"/>
      <c r="T313" s="23" t="e">
        <f ca="1">SUM(T13:U312)</f>
        <v>#N/A</v>
      </c>
      <c r="V313" s="23" t="e">
        <f ca="1">SUM(V13:V312)</f>
        <v>#N/A</v>
      </c>
      <c r="W313" s="23">
        <f ca="1">SUM(W13:W312)+SUM(X13:X312)</f>
        <v>759428.571428571</v>
      </c>
      <c r="Y313" s="23">
        <f>SUM(Y13:Y312)</f>
        <v>362160</v>
      </c>
      <c r="Z313" s="23">
        <f>SUM(Z13:Z312)</f>
        <v>829988.571428575</v>
      </c>
      <c r="AA313" s="23" t="e">
        <f ca="1">SUM(AA13:AB312)</f>
        <v>#N/A</v>
      </c>
      <c r="AD313" s="23" t="e">
        <f ca="1">SUM(AD13:AE312)</f>
        <v>#N/A</v>
      </c>
      <c r="AF313" s="23" t="e">
        <f ca="1">SUM(AF13:AF312)</f>
        <v>#N/A</v>
      </c>
      <c r="AG313" s="23">
        <f ca="1">SUM(AG13:AH312)</f>
        <v>1130571.42857143</v>
      </c>
      <c r="AI313" s="23">
        <f>SUM(AI13:AI312)</f>
        <v>362160</v>
      </c>
      <c r="AJ313" s="23">
        <f>SUM(AJ13:AJ312)</f>
        <v>829988.571428575</v>
      </c>
      <c r="AK313" s="23" t="e">
        <f ca="1">SUM(AK13:AL312)</f>
        <v>#N/A</v>
      </c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theme="4"/>
  </sheetPr>
  <dimension ref="A1:BB612"/>
  <sheetViews>
    <sheetView workbookViewId="0">
      <selection activeCell="B12" sqref="B12"/>
    </sheetView>
  </sheetViews>
  <sheetFormatPr defaultColWidth="9" defaultRowHeight="16.5"/>
  <cols>
    <col min="1" max="1" width="12.75" style="132" customWidth="1"/>
    <col min="2" max="2" width="9" style="132"/>
    <col min="3" max="4" width="9.875" style="132" customWidth="1"/>
    <col min="5" max="6" width="9.25" style="132"/>
    <col min="7" max="8" width="9" style="132"/>
    <col min="9" max="11" width="12.625" style="132"/>
    <col min="12" max="15" width="10.375" style="132"/>
    <col min="16" max="16" width="12.625" style="132"/>
    <col min="17" max="23" width="9" style="132"/>
    <col min="24" max="25" width="10.625" style="132" customWidth="1"/>
    <col min="26" max="27" width="9" style="132"/>
    <col min="28" max="28" width="21.625" style="132" customWidth="1"/>
    <col min="29" max="29" width="23.25" style="132" customWidth="1"/>
    <col min="30" max="30" width="9" style="132"/>
    <col min="31" max="31" width="21.625" style="132" customWidth="1"/>
    <col min="32" max="32" width="23" style="132" customWidth="1"/>
    <col min="33" max="39" width="9" style="132"/>
    <col min="40" max="40" width="16" style="132" customWidth="1"/>
    <col min="41" max="42" width="9" style="132"/>
    <col min="43" max="43" width="8.75" style="132" customWidth="1"/>
    <col min="44" max="44" width="20.875" style="132" customWidth="1"/>
    <col min="45" max="45" width="13.375" style="132" customWidth="1"/>
    <col min="46" max="46" width="26.25" style="132" customWidth="1"/>
    <col min="47" max="47" width="24.5" style="132" customWidth="1"/>
    <col min="48" max="48" width="22.75" style="132" customWidth="1"/>
    <col min="49" max="49" width="22.125" style="132" customWidth="1"/>
    <col min="50" max="50" width="22.375" style="132" customWidth="1"/>
    <col min="51" max="51" width="24.75" style="132" customWidth="1"/>
    <col min="52" max="54" width="9" style="132"/>
  </cols>
  <sheetData>
    <row r="1" spans="2:54"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</row>
    <row r="2" spans="2:54">
      <c r="B2" s="98" t="s">
        <v>126</v>
      </c>
      <c r="O2" s="141"/>
      <c r="P2" s="98"/>
    </row>
    <row r="3" spans="2:54">
      <c r="B3" s="130" t="s">
        <v>127</v>
      </c>
      <c r="C3" s="135" t="s">
        <v>96</v>
      </c>
      <c r="D3" s="135" t="s">
        <v>128</v>
      </c>
      <c r="E3" s="135" t="s">
        <v>129</v>
      </c>
      <c r="F3" s="135" t="s">
        <v>130</v>
      </c>
      <c r="G3" s="135" t="s">
        <v>131</v>
      </c>
      <c r="H3" s="135" t="s">
        <v>132</v>
      </c>
      <c r="I3" s="135" t="s">
        <v>133</v>
      </c>
      <c r="J3" s="135" t="s">
        <v>134</v>
      </c>
      <c r="K3" s="130" t="s">
        <v>135</v>
      </c>
      <c r="L3" s="130" t="s">
        <v>136</v>
      </c>
      <c r="M3" s="130" t="s">
        <v>137</v>
      </c>
      <c r="O3" s="141"/>
      <c r="P3" s="142"/>
      <c r="AY3"/>
      <c r="AZ3"/>
      <c r="BA3"/>
      <c r="BB3"/>
    </row>
    <row r="4" spans="2:54">
      <c r="B4" s="98">
        <v>1</v>
      </c>
      <c r="C4" s="126">
        <f>(C313+D313)</f>
        <v>280</v>
      </c>
      <c r="D4" s="98">
        <f>E313+F313</f>
        <v>40</v>
      </c>
      <c r="E4" s="98">
        <f>G313+H313</f>
        <v>8</v>
      </c>
      <c r="F4" s="98">
        <v>0.5</v>
      </c>
      <c r="G4" s="98">
        <f>J313+K313</f>
        <v>0</v>
      </c>
      <c r="H4" s="98">
        <f>L313</f>
        <v>0</v>
      </c>
      <c r="I4" s="98">
        <f>M313</f>
        <v>0</v>
      </c>
      <c r="J4" s="98">
        <f>N313</f>
        <v>0</v>
      </c>
      <c r="K4" s="126">
        <f>P313</f>
        <v>93</v>
      </c>
      <c r="L4" s="148">
        <f>Q313</f>
        <v>4.65</v>
      </c>
      <c r="M4" s="149">
        <f>IFERROR(--R313,0)</f>
        <v>600</v>
      </c>
      <c r="O4" s="141"/>
      <c r="P4" s="142"/>
      <c r="AV4" s="141"/>
      <c r="AW4" s="141"/>
      <c r="AY4"/>
      <c r="AZ4"/>
      <c r="BA4"/>
      <c r="BB4"/>
    </row>
    <row r="5" spans="2:54">
      <c r="B5" s="98">
        <v>2</v>
      </c>
      <c r="C5" s="126">
        <f t="shared" ref="C5:C68" si="0">(C314+D314)</f>
        <v>282</v>
      </c>
      <c r="D5" s="98">
        <f t="shared" ref="D5:D68" si="1">E314+F314</f>
        <v>40</v>
      </c>
      <c r="E5" s="98">
        <f t="shared" ref="E5:E68" si="2">G314+H314</f>
        <v>8</v>
      </c>
      <c r="F5" s="98">
        <v>0.5</v>
      </c>
      <c r="G5" s="98">
        <f t="shared" ref="G5:G13" si="3">J314+K314</f>
        <v>0</v>
      </c>
      <c r="H5" s="98">
        <f>L314</f>
        <v>0</v>
      </c>
      <c r="I5" s="98">
        <f>M314</f>
        <v>0</v>
      </c>
      <c r="J5" s="98">
        <f>N314</f>
        <v>0</v>
      </c>
      <c r="K5" s="126">
        <f t="shared" ref="K5:K68" si="4">P314</f>
        <v>93.1</v>
      </c>
      <c r="L5" s="148">
        <f t="shared" ref="L5:L68" si="5">Q314</f>
        <v>4.655</v>
      </c>
      <c r="M5" s="149">
        <f t="shared" ref="M5:M68" si="6">IFERROR(--R314,0)</f>
        <v>600</v>
      </c>
      <c r="O5" s="141"/>
      <c r="P5" s="142"/>
      <c r="AV5" s="141"/>
      <c r="AW5" s="141"/>
      <c r="AY5"/>
      <c r="AZ5"/>
      <c r="BA5"/>
      <c r="BB5"/>
    </row>
    <row r="6" spans="2:54">
      <c r="B6" s="98">
        <v>3</v>
      </c>
      <c r="C6" s="126">
        <f t="shared" si="0"/>
        <v>284</v>
      </c>
      <c r="D6" s="98">
        <f t="shared" si="1"/>
        <v>40</v>
      </c>
      <c r="E6" s="98">
        <f t="shared" si="2"/>
        <v>8</v>
      </c>
      <c r="F6" s="98">
        <v>0.5</v>
      </c>
      <c r="G6" s="98">
        <f t="shared" si="3"/>
        <v>0</v>
      </c>
      <c r="H6" s="98">
        <f>L315</f>
        <v>0</v>
      </c>
      <c r="I6" s="98">
        <f>M315</f>
        <v>0</v>
      </c>
      <c r="J6" s="98">
        <f>N315</f>
        <v>0</v>
      </c>
      <c r="K6" s="126">
        <f t="shared" si="4"/>
        <v>93.2</v>
      </c>
      <c r="L6" s="148">
        <f t="shared" si="5"/>
        <v>4.66</v>
      </c>
      <c r="M6" s="149">
        <f t="shared" si="6"/>
        <v>600</v>
      </c>
      <c r="O6" s="141"/>
      <c r="P6" s="142"/>
      <c r="AV6" s="141"/>
      <c r="AW6" s="141"/>
      <c r="AY6"/>
      <c r="AZ6"/>
      <c r="BA6"/>
      <c r="BB6"/>
    </row>
    <row r="7" spans="2:54">
      <c r="B7" s="98">
        <v>4</v>
      </c>
      <c r="C7" s="126">
        <f t="shared" si="0"/>
        <v>286</v>
      </c>
      <c r="D7" s="98">
        <f t="shared" si="1"/>
        <v>40</v>
      </c>
      <c r="E7" s="98">
        <f t="shared" si="2"/>
        <v>8</v>
      </c>
      <c r="F7" s="98">
        <v>0.5</v>
      </c>
      <c r="G7" s="98">
        <f t="shared" si="3"/>
        <v>0</v>
      </c>
      <c r="H7" s="98">
        <f>L316</f>
        <v>2</v>
      </c>
      <c r="I7" s="98">
        <f>M316</f>
        <v>1</v>
      </c>
      <c r="J7" s="98">
        <f>N316</f>
        <v>0</v>
      </c>
      <c r="K7" s="126">
        <f t="shared" si="4"/>
        <v>119.3</v>
      </c>
      <c r="L7" s="148">
        <f t="shared" si="5"/>
        <v>5.965</v>
      </c>
      <c r="M7" s="149">
        <f t="shared" si="6"/>
        <v>600</v>
      </c>
      <c r="O7" s="141"/>
      <c r="P7" s="142"/>
      <c r="AV7" s="141"/>
      <c r="AW7" s="141"/>
      <c r="AY7"/>
      <c r="AZ7"/>
      <c r="BA7"/>
      <c r="BB7"/>
    </row>
    <row r="8" spans="2:54">
      <c r="B8" s="98">
        <v>5</v>
      </c>
      <c r="C8" s="126">
        <f t="shared" si="0"/>
        <v>288</v>
      </c>
      <c r="D8" s="98">
        <f t="shared" si="1"/>
        <v>40</v>
      </c>
      <c r="E8" s="98">
        <f t="shared" si="2"/>
        <v>8</v>
      </c>
      <c r="F8" s="98">
        <v>0.5</v>
      </c>
      <c r="G8" s="98">
        <f t="shared" si="3"/>
        <v>0</v>
      </c>
      <c r="H8" s="98">
        <f t="shared" ref="H8:H71" si="7">L317</f>
        <v>2</v>
      </c>
      <c r="I8" s="98">
        <f>M317</f>
        <v>1</v>
      </c>
      <c r="J8" s="98">
        <f>N317</f>
        <v>0</v>
      </c>
      <c r="K8" s="126">
        <f t="shared" si="4"/>
        <v>119.4</v>
      </c>
      <c r="L8" s="148">
        <f t="shared" si="5"/>
        <v>5.97</v>
      </c>
      <c r="M8" s="149">
        <f t="shared" si="6"/>
        <v>600</v>
      </c>
      <c r="O8" s="141"/>
      <c r="P8" s="142"/>
      <c r="AV8" s="141"/>
      <c r="AW8" s="141"/>
      <c r="AY8"/>
      <c r="AZ8"/>
      <c r="BA8"/>
      <c r="BB8"/>
    </row>
    <row r="9" spans="2:54">
      <c r="B9" s="98">
        <v>6</v>
      </c>
      <c r="C9" s="126">
        <f t="shared" si="0"/>
        <v>290</v>
      </c>
      <c r="D9" s="98">
        <f t="shared" si="1"/>
        <v>40</v>
      </c>
      <c r="E9" s="98">
        <f t="shared" si="2"/>
        <v>8</v>
      </c>
      <c r="F9" s="98">
        <v>0.5</v>
      </c>
      <c r="G9" s="98">
        <f t="shared" si="3"/>
        <v>0</v>
      </c>
      <c r="H9" s="98">
        <f t="shared" si="7"/>
        <v>2</v>
      </c>
      <c r="I9" s="98">
        <f t="shared" ref="I9:I72" si="8">M318</f>
        <v>1</v>
      </c>
      <c r="J9" s="98">
        <f t="shared" ref="J9:J72" si="9">N318</f>
        <v>0</v>
      </c>
      <c r="K9" s="126">
        <f t="shared" si="4"/>
        <v>119.5</v>
      </c>
      <c r="L9" s="148">
        <f t="shared" si="5"/>
        <v>5.975</v>
      </c>
      <c r="M9" s="149">
        <f t="shared" si="6"/>
        <v>600</v>
      </c>
      <c r="O9" s="141"/>
      <c r="P9" s="142"/>
      <c r="AV9" s="141"/>
      <c r="AW9" s="141"/>
      <c r="AY9"/>
      <c r="AZ9"/>
      <c r="BA9"/>
      <c r="BB9"/>
    </row>
    <row r="10" spans="2:54">
      <c r="B10" s="98">
        <v>7</v>
      </c>
      <c r="C10" s="126">
        <f t="shared" si="0"/>
        <v>292</v>
      </c>
      <c r="D10" s="98">
        <f t="shared" si="1"/>
        <v>40</v>
      </c>
      <c r="E10" s="98">
        <f t="shared" si="2"/>
        <v>8</v>
      </c>
      <c r="F10" s="98">
        <v>0.5</v>
      </c>
      <c r="G10" s="98">
        <f t="shared" si="3"/>
        <v>5</v>
      </c>
      <c r="H10" s="98">
        <f t="shared" si="7"/>
        <v>2</v>
      </c>
      <c r="I10" s="98">
        <f t="shared" si="8"/>
        <v>1</v>
      </c>
      <c r="J10" s="98">
        <f t="shared" si="9"/>
        <v>0</v>
      </c>
      <c r="K10" s="126">
        <f t="shared" si="4"/>
        <v>134.6</v>
      </c>
      <c r="L10" s="148">
        <f t="shared" si="5"/>
        <v>6.73</v>
      </c>
      <c r="M10" s="149">
        <f t="shared" si="6"/>
        <v>600</v>
      </c>
      <c r="O10" s="141"/>
      <c r="P10" s="142"/>
      <c r="AV10" s="141"/>
      <c r="AW10" s="141"/>
      <c r="AY10"/>
      <c r="AZ10"/>
      <c r="BA10"/>
      <c r="BB10"/>
    </row>
    <row r="11" spans="2:54">
      <c r="B11" s="98">
        <v>8</v>
      </c>
      <c r="C11" s="126">
        <f t="shared" si="0"/>
        <v>294</v>
      </c>
      <c r="D11" s="98">
        <f t="shared" si="1"/>
        <v>40</v>
      </c>
      <c r="E11" s="98">
        <f t="shared" si="2"/>
        <v>8</v>
      </c>
      <c r="F11" s="98">
        <v>0.5</v>
      </c>
      <c r="G11" s="98">
        <f t="shared" si="3"/>
        <v>5</v>
      </c>
      <c r="H11" s="98">
        <f t="shared" si="7"/>
        <v>2</v>
      </c>
      <c r="I11" s="98">
        <f t="shared" si="8"/>
        <v>1</v>
      </c>
      <c r="J11" s="98">
        <f t="shared" si="9"/>
        <v>0</v>
      </c>
      <c r="K11" s="126">
        <f t="shared" si="4"/>
        <v>134.7</v>
      </c>
      <c r="L11" s="148">
        <f t="shared" si="5"/>
        <v>6.735</v>
      </c>
      <c r="M11" s="149">
        <f t="shared" si="6"/>
        <v>600</v>
      </c>
      <c r="O11" s="141"/>
      <c r="P11" s="142"/>
      <c r="Q11" s="132">
        <f>40+18+15+10+20</f>
        <v>103</v>
      </c>
      <c r="AV11" s="141"/>
      <c r="AW11" s="141"/>
      <c r="AY11"/>
      <c r="AZ11"/>
      <c r="BA11"/>
      <c r="BB11"/>
    </row>
    <row r="12" spans="2:54">
      <c r="B12" s="98">
        <v>9</v>
      </c>
      <c r="C12" s="126">
        <f t="shared" si="0"/>
        <v>296</v>
      </c>
      <c r="D12" s="98">
        <f t="shared" si="1"/>
        <v>40</v>
      </c>
      <c r="E12" s="98">
        <f t="shared" si="2"/>
        <v>8</v>
      </c>
      <c r="F12" s="98">
        <v>0.5</v>
      </c>
      <c r="G12" s="98">
        <f t="shared" si="3"/>
        <v>5</v>
      </c>
      <c r="H12" s="98">
        <f t="shared" si="7"/>
        <v>2</v>
      </c>
      <c r="I12" s="98">
        <f t="shared" si="8"/>
        <v>1</v>
      </c>
      <c r="J12" s="98">
        <f t="shared" si="9"/>
        <v>0</v>
      </c>
      <c r="K12" s="126">
        <f t="shared" si="4"/>
        <v>134.8</v>
      </c>
      <c r="L12" s="148">
        <f t="shared" si="5"/>
        <v>6.74</v>
      </c>
      <c r="M12" s="149">
        <f t="shared" si="6"/>
        <v>600</v>
      </c>
      <c r="O12" s="141"/>
      <c r="P12" s="142"/>
      <c r="AV12" s="141"/>
      <c r="AW12" s="141"/>
      <c r="AY12"/>
      <c r="AZ12"/>
      <c r="BA12"/>
      <c r="BB12"/>
    </row>
    <row r="13" spans="2:54">
      <c r="B13" s="98">
        <v>10</v>
      </c>
      <c r="C13" s="126">
        <f t="shared" si="0"/>
        <v>298</v>
      </c>
      <c r="D13" s="98">
        <f t="shared" si="1"/>
        <v>40</v>
      </c>
      <c r="E13" s="98">
        <f t="shared" si="2"/>
        <v>8</v>
      </c>
      <c r="F13" s="98">
        <v>0.5</v>
      </c>
      <c r="G13" s="98">
        <f t="shared" si="3"/>
        <v>5</v>
      </c>
      <c r="H13" s="98">
        <f t="shared" si="7"/>
        <v>2</v>
      </c>
      <c r="I13" s="98">
        <f t="shared" si="8"/>
        <v>1</v>
      </c>
      <c r="J13" s="98">
        <f t="shared" si="9"/>
        <v>0</v>
      </c>
      <c r="K13" s="126">
        <f t="shared" si="4"/>
        <v>134.9</v>
      </c>
      <c r="L13" s="148">
        <f t="shared" si="5"/>
        <v>6.745</v>
      </c>
      <c r="M13" s="149">
        <f t="shared" si="6"/>
        <v>600</v>
      </c>
      <c r="O13" s="141"/>
      <c r="P13" s="142"/>
      <c r="AV13" s="141"/>
      <c r="AW13" s="141"/>
      <c r="AY13"/>
      <c r="AZ13"/>
      <c r="BA13"/>
      <c r="BB13"/>
    </row>
    <row r="14" spans="2:54">
      <c r="B14" s="98">
        <v>11</v>
      </c>
      <c r="C14" s="126">
        <f t="shared" si="0"/>
        <v>300</v>
      </c>
      <c r="D14" s="98">
        <f t="shared" si="1"/>
        <v>40</v>
      </c>
      <c r="E14" s="98">
        <f t="shared" si="2"/>
        <v>8</v>
      </c>
      <c r="F14" s="98">
        <v>0.5</v>
      </c>
      <c r="G14" s="98">
        <f t="shared" ref="G14:G77" si="10">J323+K323</f>
        <v>5</v>
      </c>
      <c r="H14" s="98">
        <f t="shared" si="7"/>
        <v>2</v>
      </c>
      <c r="I14" s="98">
        <f t="shared" si="8"/>
        <v>1</v>
      </c>
      <c r="J14" s="98">
        <f t="shared" si="9"/>
        <v>0</v>
      </c>
      <c r="K14" s="126">
        <f t="shared" si="4"/>
        <v>135</v>
      </c>
      <c r="L14" s="148">
        <f t="shared" si="5"/>
        <v>6.75</v>
      </c>
      <c r="M14" s="149">
        <f t="shared" si="6"/>
        <v>600</v>
      </c>
      <c r="O14" s="141"/>
      <c r="P14" s="142"/>
      <c r="AV14" s="141"/>
      <c r="AW14" s="141"/>
      <c r="AY14"/>
      <c r="AZ14"/>
      <c r="BA14"/>
      <c r="BB14"/>
    </row>
    <row r="15" spans="2:54">
      <c r="B15" s="98">
        <v>12</v>
      </c>
      <c r="C15" s="126">
        <f t="shared" si="0"/>
        <v>302</v>
      </c>
      <c r="D15" s="98">
        <f t="shared" si="1"/>
        <v>40</v>
      </c>
      <c r="E15" s="98">
        <f t="shared" si="2"/>
        <v>8</v>
      </c>
      <c r="F15" s="98">
        <v>0.5</v>
      </c>
      <c r="G15" s="98">
        <f t="shared" si="10"/>
        <v>5</v>
      </c>
      <c r="H15" s="98">
        <f t="shared" si="7"/>
        <v>2</v>
      </c>
      <c r="I15" s="98">
        <f t="shared" si="8"/>
        <v>1</v>
      </c>
      <c r="J15" s="98">
        <f t="shared" si="9"/>
        <v>0</v>
      </c>
      <c r="K15" s="126">
        <f t="shared" si="4"/>
        <v>135.1</v>
      </c>
      <c r="L15" s="148">
        <f t="shared" si="5"/>
        <v>6.755</v>
      </c>
      <c r="M15" s="149">
        <f t="shared" si="6"/>
        <v>600</v>
      </c>
      <c r="O15" s="141"/>
      <c r="P15" s="142"/>
      <c r="AV15" s="141"/>
      <c r="AW15" s="141"/>
      <c r="AY15"/>
      <c r="AZ15"/>
      <c r="BA15"/>
      <c r="BB15"/>
    </row>
    <row r="16" spans="2:54">
      <c r="B16" s="98">
        <v>13</v>
      </c>
      <c r="C16" s="126">
        <f t="shared" si="0"/>
        <v>304</v>
      </c>
      <c r="D16" s="98">
        <f t="shared" si="1"/>
        <v>40</v>
      </c>
      <c r="E16" s="98">
        <f t="shared" si="2"/>
        <v>8</v>
      </c>
      <c r="F16" s="98">
        <v>0.5</v>
      </c>
      <c r="G16" s="98">
        <f t="shared" si="10"/>
        <v>5</v>
      </c>
      <c r="H16" s="98">
        <f t="shared" si="7"/>
        <v>2</v>
      </c>
      <c r="I16" s="98">
        <f t="shared" si="8"/>
        <v>1</v>
      </c>
      <c r="J16" s="98">
        <f t="shared" si="9"/>
        <v>0</v>
      </c>
      <c r="K16" s="126">
        <f t="shared" si="4"/>
        <v>135.2</v>
      </c>
      <c r="L16" s="148">
        <f t="shared" si="5"/>
        <v>6.76</v>
      </c>
      <c r="M16" s="149">
        <f t="shared" si="6"/>
        <v>600</v>
      </c>
      <c r="O16" s="141"/>
      <c r="P16" s="142"/>
      <c r="AV16" s="141"/>
      <c r="AW16" s="141"/>
      <c r="AY16"/>
      <c r="AZ16"/>
      <c r="BA16"/>
      <c r="BB16"/>
    </row>
    <row r="17" spans="2:54">
      <c r="B17" s="98">
        <v>14</v>
      </c>
      <c r="C17" s="126">
        <f t="shared" si="0"/>
        <v>306</v>
      </c>
      <c r="D17" s="98">
        <f t="shared" si="1"/>
        <v>40</v>
      </c>
      <c r="E17" s="98">
        <f t="shared" si="2"/>
        <v>8</v>
      </c>
      <c r="F17" s="98">
        <v>0.5</v>
      </c>
      <c r="G17" s="98">
        <f t="shared" si="10"/>
        <v>5</v>
      </c>
      <c r="H17" s="98">
        <f t="shared" si="7"/>
        <v>2</v>
      </c>
      <c r="I17" s="98">
        <f t="shared" si="8"/>
        <v>1</v>
      </c>
      <c r="J17" s="98">
        <f t="shared" si="9"/>
        <v>0</v>
      </c>
      <c r="K17" s="126">
        <f t="shared" si="4"/>
        <v>135.3</v>
      </c>
      <c r="L17" s="148">
        <f t="shared" si="5"/>
        <v>6.765</v>
      </c>
      <c r="M17" s="149">
        <f t="shared" si="6"/>
        <v>600</v>
      </c>
      <c r="O17" s="141"/>
      <c r="P17" s="142"/>
      <c r="AV17" s="141"/>
      <c r="AW17" s="141"/>
      <c r="AY17"/>
      <c r="AZ17"/>
      <c r="BA17"/>
      <c r="BB17"/>
    </row>
    <row r="18" spans="2:54">
      <c r="B18" s="98">
        <v>15</v>
      </c>
      <c r="C18" s="126">
        <f t="shared" si="0"/>
        <v>308</v>
      </c>
      <c r="D18" s="98">
        <f t="shared" si="1"/>
        <v>40</v>
      </c>
      <c r="E18" s="98">
        <f t="shared" si="2"/>
        <v>8</v>
      </c>
      <c r="F18" s="98">
        <v>0.5</v>
      </c>
      <c r="G18" s="98">
        <f t="shared" si="10"/>
        <v>5</v>
      </c>
      <c r="H18" s="98">
        <f t="shared" si="7"/>
        <v>2</v>
      </c>
      <c r="I18" s="98">
        <f t="shared" si="8"/>
        <v>1</v>
      </c>
      <c r="J18" s="98">
        <f t="shared" si="9"/>
        <v>0</v>
      </c>
      <c r="K18" s="126">
        <f t="shared" si="4"/>
        <v>135.4</v>
      </c>
      <c r="L18" s="148">
        <f t="shared" si="5"/>
        <v>6.77</v>
      </c>
      <c r="M18" s="149">
        <f t="shared" si="6"/>
        <v>600</v>
      </c>
      <c r="O18" s="141"/>
      <c r="P18" s="142"/>
      <c r="Q18" s="132">
        <f>40+24+15+10+20</f>
        <v>109</v>
      </c>
      <c r="AV18" s="141"/>
      <c r="AW18" s="141"/>
      <c r="AY18"/>
      <c r="AZ18"/>
      <c r="BA18"/>
      <c r="BB18"/>
    </row>
    <row r="19" spans="2:54">
      <c r="B19" s="98">
        <v>16</v>
      </c>
      <c r="C19" s="126">
        <f t="shared" si="0"/>
        <v>310</v>
      </c>
      <c r="D19" s="98">
        <f t="shared" si="1"/>
        <v>40</v>
      </c>
      <c r="E19" s="98">
        <f t="shared" si="2"/>
        <v>8</v>
      </c>
      <c r="F19" s="98">
        <v>0.5</v>
      </c>
      <c r="G19" s="98">
        <f t="shared" si="10"/>
        <v>5</v>
      </c>
      <c r="H19" s="98">
        <f t="shared" si="7"/>
        <v>2</v>
      </c>
      <c r="I19" s="98">
        <f t="shared" si="8"/>
        <v>1</v>
      </c>
      <c r="J19" s="98">
        <f t="shared" si="9"/>
        <v>0</v>
      </c>
      <c r="K19" s="126">
        <f t="shared" si="4"/>
        <v>135.5</v>
      </c>
      <c r="L19" s="148">
        <f t="shared" si="5"/>
        <v>6.775</v>
      </c>
      <c r="M19" s="149">
        <f t="shared" si="6"/>
        <v>600</v>
      </c>
      <c r="O19" s="141"/>
      <c r="P19" s="142"/>
      <c r="Q19" s="132">
        <f>109+15</f>
        <v>124</v>
      </c>
      <c r="AV19" s="141"/>
      <c r="AW19" s="141"/>
      <c r="AY19"/>
      <c r="AZ19"/>
      <c r="BA19"/>
      <c r="BB19"/>
    </row>
    <row r="20" spans="2:54">
      <c r="B20" s="98">
        <v>17</v>
      </c>
      <c r="C20" s="126">
        <f t="shared" si="0"/>
        <v>312</v>
      </c>
      <c r="D20" s="98">
        <f t="shared" si="1"/>
        <v>40</v>
      </c>
      <c r="E20" s="98">
        <f t="shared" si="2"/>
        <v>8</v>
      </c>
      <c r="F20" s="98">
        <v>0.5</v>
      </c>
      <c r="G20" s="98">
        <f t="shared" si="10"/>
        <v>5</v>
      </c>
      <c r="H20" s="98">
        <f t="shared" si="7"/>
        <v>2</v>
      </c>
      <c r="I20" s="98">
        <f t="shared" si="8"/>
        <v>1</v>
      </c>
      <c r="J20" s="98">
        <f t="shared" si="9"/>
        <v>0</v>
      </c>
      <c r="K20" s="126">
        <f t="shared" si="4"/>
        <v>135.6</v>
      </c>
      <c r="L20" s="148">
        <f t="shared" si="5"/>
        <v>6.78</v>
      </c>
      <c r="M20" s="149">
        <f t="shared" si="6"/>
        <v>600</v>
      </c>
      <c r="O20" s="141"/>
      <c r="P20" s="142"/>
      <c r="AV20" s="141"/>
      <c r="AW20" s="141"/>
      <c r="AY20"/>
      <c r="AZ20"/>
      <c r="BA20"/>
      <c r="BB20"/>
    </row>
    <row r="21" spans="2:54">
      <c r="B21" s="98">
        <v>18</v>
      </c>
      <c r="C21" s="126">
        <f t="shared" si="0"/>
        <v>314</v>
      </c>
      <c r="D21" s="98">
        <f t="shared" si="1"/>
        <v>40</v>
      </c>
      <c r="E21" s="98">
        <f t="shared" si="2"/>
        <v>8</v>
      </c>
      <c r="F21" s="98">
        <v>0.5</v>
      </c>
      <c r="G21" s="98">
        <f t="shared" si="10"/>
        <v>5</v>
      </c>
      <c r="H21" s="98">
        <f t="shared" si="7"/>
        <v>2</v>
      </c>
      <c r="I21" s="98">
        <f t="shared" si="8"/>
        <v>1</v>
      </c>
      <c r="J21" s="98">
        <f t="shared" si="9"/>
        <v>0</v>
      </c>
      <c r="K21" s="126">
        <f t="shared" si="4"/>
        <v>135.7</v>
      </c>
      <c r="L21" s="148">
        <f t="shared" si="5"/>
        <v>6.785</v>
      </c>
      <c r="M21" s="149">
        <f t="shared" si="6"/>
        <v>600</v>
      </c>
      <c r="O21" s="141"/>
      <c r="P21" s="142"/>
      <c r="AV21" s="141"/>
      <c r="AW21" s="141"/>
      <c r="AY21"/>
      <c r="AZ21"/>
      <c r="BA21"/>
      <c r="BB21"/>
    </row>
    <row r="22" spans="2:54">
      <c r="B22" s="98">
        <v>19</v>
      </c>
      <c r="C22" s="126">
        <f t="shared" si="0"/>
        <v>316</v>
      </c>
      <c r="D22" s="98">
        <f t="shared" si="1"/>
        <v>40</v>
      </c>
      <c r="E22" s="98">
        <f t="shared" si="2"/>
        <v>8</v>
      </c>
      <c r="F22" s="98">
        <v>0.5</v>
      </c>
      <c r="G22" s="98">
        <f t="shared" si="10"/>
        <v>5</v>
      </c>
      <c r="H22" s="98">
        <f t="shared" si="7"/>
        <v>2</v>
      </c>
      <c r="I22" s="98">
        <f t="shared" si="8"/>
        <v>1</v>
      </c>
      <c r="J22" s="98">
        <f t="shared" si="9"/>
        <v>0</v>
      </c>
      <c r="K22" s="126">
        <f t="shared" si="4"/>
        <v>135.8</v>
      </c>
      <c r="L22" s="148">
        <f t="shared" si="5"/>
        <v>6.79</v>
      </c>
      <c r="M22" s="149">
        <f t="shared" si="6"/>
        <v>600</v>
      </c>
      <c r="O22" s="141"/>
      <c r="P22" s="142"/>
      <c r="AV22" s="141"/>
      <c r="AW22" s="141"/>
      <c r="AY22"/>
      <c r="AZ22"/>
      <c r="BA22"/>
      <c r="BB22"/>
    </row>
    <row r="23" spans="2:54">
      <c r="B23" s="98">
        <v>20</v>
      </c>
      <c r="C23" s="126">
        <f t="shared" si="0"/>
        <v>318</v>
      </c>
      <c r="D23" s="98">
        <f t="shared" si="1"/>
        <v>40</v>
      </c>
      <c r="E23" s="98">
        <f t="shared" si="2"/>
        <v>8</v>
      </c>
      <c r="F23" s="98">
        <v>0.5</v>
      </c>
      <c r="G23" s="98">
        <f t="shared" si="10"/>
        <v>5</v>
      </c>
      <c r="H23" s="98">
        <f t="shared" si="7"/>
        <v>2</v>
      </c>
      <c r="I23" s="98">
        <f t="shared" si="8"/>
        <v>1</v>
      </c>
      <c r="J23" s="98">
        <f t="shared" si="9"/>
        <v>0</v>
      </c>
      <c r="K23" s="126">
        <f t="shared" si="4"/>
        <v>135.9</v>
      </c>
      <c r="L23" s="148">
        <f t="shared" si="5"/>
        <v>6.795</v>
      </c>
      <c r="M23" s="149">
        <f t="shared" si="6"/>
        <v>600</v>
      </c>
      <c r="O23" s="141"/>
      <c r="P23" s="142"/>
      <c r="AV23" s="141"/>
      <c r="AW23" s="141"/>
      <c r="AY23"/>
      <c r="AZ23"/>
      <c r="BA23"/>
      <c r="BB23"/>
    </row>
    <row r="24" spans="2:54">
      <c r="B24" s="98">
        <v>21</v>
      </c>
      <c r="C24" s="126">
        <f t="shared" si="0"/>
        <v>320</v>
      </c>
      <c r="D24" s="98">
        <f t="shared" si="1"/>
        <v>40</v>
      </c>
      <c r="E24" s="98">
        <f t="shared" si="2"/>
        <v>8</v>
      </c>
      <c r="F24" s="98">
        <v>0.5</v>
      </c>
      <c r="G24" s="98">
        <f t="shared" si="10"/>
        <v>5</v>
      </c>
      <c r="H24" s="98">
        <f t="shared" si="7"/>
        <v>2</v>
      </c>
      <c r="I24" s="98">
        <f t="shared" si="8"/>
        <v>1</v>
      </c>
      <c r="J24" s="98">
        <f t="shared" si="9"/>
        <v>0</v>
      </c>
      <c r="K24" s="126">
        <f t="shared" si="4"/>
        <v>136</v>
      </c>
      <c r="L24" s="148">
        <f t="shared" si="5"/>
        <v>6.8</v>
      </c>
      <c r="M24" s="149">
        <f t="shared" si="6"/>
        <v>600</v>
      </c>
      <c r="O24" s="141"/>
      <c r="P24" s="142"/>
      <c r="AV24" s="141"/>
      <c r="AW24" s="141"/>
      <c r="AY24"/>
      <c r="AZ24"/>
      <c r="BA24"/>
      <c r="BB24"/>
    </row>
    <row r="25" spans="2:54">
      <c r="B25" s="98">
        <v>22</v>
      </c>
      <c r="C25" s="126">
        <f t="shared" si="0"/>
        <v>322</v>
      </c>
      <c r="D25" s="98">
        <f t="shared" si="1"/>
        <v>40</v>
      </c>
      <c r="E25" s="98">
        <f t="shared" si="2"/>
        <v>8</v>
      </c>
      <c r="F25" s="98">
        <v>0.5</v>
      </c>
      <c r="G25" s="98">
        <f t="shared" si="10"/>
        <v>5</v>
      </c>
      <c r="H25" s="98">
        <f t="shared" si="7"/>
        <v>2</v>
      </c>
      <c r="I25" s="98">
        <f t="shared" si="8"/>
        <v>1</v>
      </c>
      <c r="J25" s="98">
        <f t="shared" si="9"/>
        <v>0</v>
      </c>
      <c r="K25" s="126">
        <f t="shared" si="4"/>
        <v>136.1</v>
      </c>
      <c r="L25" s="148">
        <f t="shared" si="5"/>
        <v>6.805</v>
      </c>
      <c r="M25" s="149">
        <f t="shared" si="6"/>
        <v>600</v>
      </c>
      <c r="O25" s="141"/>
      <c r="P25" s="142"/>
      <c r="AV25" s="141"/>
      <c r="AW25" s="141"/>
      <c r="AY25"/>
      <c r="AZ25"/>
      <c r="BA25"/>
      <c r="BB25"/>
    </row>
    <row r="26" spans="2:54">
      <c r="B26" s="98">
        <v>23</v>
      </c>
      <c r="C26" s="126">
        <f t="shared" si="0"/>
        <v>324</v>
      </c>
      <c r="D26" s="98">
        <f t="shared" si="1"/>
        <v>40</v>
      </c>
      <c r="E26" s="98">
        <f t="shared" si="2"/>
        <v>8</v>
      </c>
      <c r="F26" s="98">
        <v>0.5</v>
      </c>
      <c r="G26" s="98">
        <f t="shared" si="10"/>
        <v>5</v>
      </c>
      <c r="H26" s="98">
        <f t="shared" si="7"/>
        <v>2</v>
      </c>
      <c r="I26" s="98">
        <f t="shared" si="8"/>
        <v>1</v>
      </c>
      <c r="J26" s="98">
        <f t="shared" si="9"/>
        <v>0</v>
      </c>
      <c r="K26" s="126">
        <f t="shared" si="4"/>
        <v>136.2</v>
      </c>
      <c r="L26" s="148">
        <f t="shared" si="5"/>
        <v>6.81</v>
      </c>
      <c r="M26" s="149">
        <f t="shared" si="6"/>
        <v>600</v>
      </c>
      <c r="O26" s="141"/>
      <c r="P26" s="142"/>
      <c r="AV26" s="141"/>
      <c r="AW26" s="141"/>
      <c r="AY26"/>
      <c r="AZ26"/>
      <c r="BA26"/>
      <c r="BB26"/>
    </row>
    <row r="27" spans="2:54">
      <c r="B27" s="98">
        <v>24</v>
      </c>
      <c r="C27" s="126">
        <f t="shared" si="0"/>
        <v>326</v>
      </c>
      <c r="D27" s="98">
        <f t="shared" si="1"/>
        <v>40</v>
      </c>
      <c r="E27" s="98">
        <f t="shared" si="2"/>
        <v>8</v>
      </c>
      <c r="F27" s="98">
        <v>0.5</v>
      </c>
      <c r="G27" s="98">
        <f t="shared" si="10"/>
        <v>5</v>
      </c>
      <c r="H27" s="98">
        <f t="shared" si="7"/>
        <v>2</v>
      </c>
      <c r="I27" s="98">
        <f t="shared" si="8"/>
        <v>1</v>
      </c>
      <c r="J27" s="98">
        <f t="shared" si="9"/>
        <v>0</v>
      </c>
      <c r="K27" s="126">
        <f t="shared" si="4"/>
        <v>136.3</v>
      </c>
      <c r="L27" s="148">
        <f t="shared" si="5"/>
        <v>6.815</v>
      </c>
      <c r="M27" s="149">
        <f t="shared" si="6"/>
        <v>600</v>
      </c>
      <c r="O27" s="141"/>
      <c r="P27" s="142"/>
      <c r="AV27" s="141"/>
      <c r="AW27" s="141"/>
      <c r="AY27"/>
      <c r="AZ27"/>
      <c r="BA27"/>
      <c r="BB27"/>
    </row>
    <row r="28" spans="2:54">
      <c r="B28" s="98">
        <v>25</v>
      </c>
      <c r="C28" s="126">
        <f t="shared" si="0"/>
        <v>328</v>
      </c>
      <c r="D28" s="98">
        <f t="shared" si="1"/>
        <v>40</v>
      </c>
      <c r="E28" s="98">
        <f t="shared" si="2"/>
        <v>8</v>
      </c>
      <c r="F28" s="98">
        <v>0.5</v>
      </c>
      <c r="G28" s="98">
        <f t="shared" si="10"/>
        <v>5</v>
      </c>
      <c r="H28" s="98">
        <f t="shared" si="7"/>
        <v>2</v>
      </c>
      <c r="I28" s="98">
        <f t="shared" si="8"/>
        <v>1</v>
      </c>
      <c r="J28" s="98">
        <f t="shared" si="9"/>
        <v>0</v>
      </c>
      <c r="K28" s="126">
        <f t="shared" si="4"/>
        <v>136.4</v>
      </c>
      <c r="L28" s="148">
        <f t="shared" si="5"/>
        <v>6.82</v>
      </c>
      <c r="M28" s="149">
        <f t="shared" si="6"/>
        <v>600</v>
      </c>
      <c r="O28" s="141"/>
      <c r="P28" s="142"/>
      <c r="AV28" s="141"/>
      <c r="AW28" s="141"/>
      <c r="AY28"/>
      <c r="AZ28"/>
      <c r="BA28"/>
      <c r="BB28"/>
    </row>
    <row r="29" spans="2:54">
      <c r="B29" s="98">
        <v>26</v>
      </c>
      <c r="C29" s="126">
        <f t="shared" si="0"/>
        <v>330</v>
      </c>
      <c r="D29" s="98">
        <f t="shared" si="1"/>
        <v>40</v>
      </c>
      <c r="E29" s="98">
        <f t="shared" si="2"/>
        <v>8</v>
      </c>
      <c r="F29" s="98">
        <v>0.5</v>
      </c>
      <c r="G29" s="98">
        <f t="shared" si="10"/>
        <v>5</v>
      </c>
      <c r="H29" s="98">
        <f t="shared" si="7"/>
        <v>2</v>
      </c>
      <c r="I29" s="98">
        <f t="shared" si="8"/>
        <v>1</v>
      </c>
      <c r="J29" s="98">
        <f t="shared" si="9"/>
        <v>0</v>
      </c>
      <c r="K29" s="126">
        <f t="shared" si="4"/>
        <v>136.5</v>
      </c>
      <c r="L29" s="148">
        <f t="shared" si="5"/>
        <v>6.825</v>
      </c>
      <c r="M29" s="149">
        <f t="shared" si="6"/>
        <v>600</v>
      </c>
      <c r="O29" s="141"/>
      <c r="P29" s="142"/>
      <c r="AV29" s="141"/>
      <c r="AW29" s="141"/>
      <c r="AY29"/>
      <c r="AZ29"/>
      <c r="BA29"/>
      <c r="BB29"/>
    </row>
    <row r="30" spans="2:54">
      <c r="B30" s="98">
        <v>27</v>
      </c>
      <c r="C30" s="126">
        <f t="shared" si="0"/>
        <v>332</v>
      </c>
      <c r="D30" s="98">
        <f t="shared" si="1"/>
        <v>40</v>
      </c>
      <c r="E30" s="98">
        <f t="shared" si="2"/>
        <v>8</v>
      </c>
      <c r="F30" s="98">
        <v>0.5</v>
      </c>
      <c r="G30" s="98">
        <f t="shared" si="10"/>
        <v>5</v>
      </c>
      <c r="H30" s="98">
        <f t="shared" si="7"/>
        <v>2</v>
      </c>
      <c r="I30" s="98">
        <f t="shared" si="8"/>
        <v>1</v>
      </c>
      <c r="J30" s="98">
        <f t="shared" si="9"/>
        <v>0</v>
      </c>
      <c r="K30" s="126">
        <f t="shared" si="4"/>
        <v>136.6</v>
      </c>
      <c r="L30" s="148">
        <f t="shared" si="5"/>
        <v>6.83</v>
      </c>
      <c r="M30" s="149">
        <f t="shared" si="6"/>
        <v>600</v>
      </c>
      <c r="O30" s="141"/>
      <c r="P30" s="142"/>
      <c r="AV30" s="141"/>
      <c r="AW30" s="141"/>
      <c r="AY30"/>
      <c r="AZ30"/>
      <c r="BA30"/>
      <c r="BB30"/>
    </row>
    <row r="31" spans="2:54">
      <c r="B31" s="98">
        <v>28</v>
      </c>
      <c r="C31" s="126">
        <f t="shared" si="0"/>
        <v>334</v>
      </c>
      <c r="D31" s="98">
        <f t="shared" si="1"/>
        <v>40</v>
      </c>
      <c r="E31" s="98">
        <f t="shared" si="2"/>
        <v>8</v>
      </c>
      <c r="F31" s="98">
        <v>0.5</v>
      </c>
      <c r="G31" s="98">
        <f t="shared" si="10"/>
        <v>5</v>
      </c>
      <c r="H31" s="98">
        <f t="shared" si="7"/>
        <v>2</v>
      </c>
      <c r="I31" s="98">
        <f t="shared" si="8"/>
        <v>1</v>
      </c>
      <c r="J31" s="98">
        <f t="shared" si="9"/>
        <v>0</v>
      </c>
      <c r="K31" s="126">
        <f t="shared" si="4"/>
        <v>136.7</v>
      </c>
      <c r="L31" s="148">
        <f t="shared" si="5"/>
        <v>6.835</v>
      </c>
      <c r="M31" s="149">
        <f t="shared" si="6"/>
        <v>600</v>
      </c>
      <c r="O31" s="141"/>
      <c r="P31" s="142"/>
      <c r="AV31" s="141"/>
      <c r="AW31" s="141"/>
      <c r="AY31"/>
      <c r="AZ31"/>
      <c r="BA31"/>
      <c r="BB31"/>
    </row>
    <row r="32" spans="2:54">
      <c r="B32" s="98">
        <v>29</v>
      </c>
      <c r="C32" s="126">
        <f t="shared" si="0"/>
        <v>336</v>
      </c>
      <c r="D32" s="98">
        <f t="shared" si="1"/>
        <v>40</v>
      </c>
      <c r="E32" s="98">
        <f t="shared" si="2"/>
        <v>8</v>
      </c>
      <c r="F32" s="98">
        <v>0.5</v>
      </c>
      <c r="G32" s="98">
        <f t="shared" si="10"/>
        <v>5</v>
      </c>
      <c r="H32" s="98">
        <f t="shared" si="7"/>
        <v>2</v>
      </c>
      <c r="I32" s="98">
        <f t="shared" si="8"/>
        <v>1</v>
      </c>
      <c r="J32" s="98">
        <f t="shared" si="9"/>
        <v>0</v>
      </c>
      <c r="K32" s="126">
        <f t="shared" si="4"/>
        <v>136.8</v>
      </c>
      <c r="L32" s="148">
        <f t="shared" si="5"/>
        <v>6.84</v>
      </c>
      <c r="M32" s="149">
        <f t="shared" si="6"/>
        <v>600</v>
      </c>
      <c r="O32" s="141"/>
      <c r="P32" s="142"/>
      <c r="AV32" s="141"/>
      <c r="AW32" s="141"/>
      <c r="AY32"/>
      <c r="AZ32"/>
      <c r="BA32"/>
      <c r="BB32"/>
    </row>
    <row r="33" spans="2:54">
      <c r="B33" s="98">
        <v>30</v>
      </c>
      <c r="C33" s="126">
        <f t="shared" si="0"/>
        <v>338</v>
      </c>
      <c r="D33" s="98">
        <f t="shared" si="1"/>
        <v>40</v>
      </c>
      <c r="E33" s="98">
        <f t="shared" si="2"/>
        <v>8</v>
      </c>
      <c r="F33" s="98">
        <v>0.5</v>
      </c>
      <c r="G33" s="98">
        <f t="shared" si="10"/>
        <v>5</v>
      </c>
      <c r="H33" s="98">
        <f t="shared" si="7"/>
        <v>2</v>
      </c>
      <c r="I33" s="98">
        <f t="shared" si="8"/>
        <v>1</v>
      </c>
      <c r="J33" s="98">
        <f t="shared" si="9"/>
        <v>0</v>
      </c>
      <c r="K33" s="126">
        <f t="shared" si="4"/>
        <v>136.9</v>
      </c>
      <c r="L33" s="148">
        <f t="shared" si="5"/>
        <v>6.845</v>
      </c>
      <c r="M33" s="149">
        <f t="shared" si="6"/>
        <v>600</v>
      </c>
      <c r="O33" s="141"/>
      <c r="P33" s="142"/>
      <c r="AV33" s="141"/>
      <c r="AW33" s="141"/>
      <c r="AY33"/>
      <c r="AZ33"/>
      <c r="BA33"/>
      <c r="BB33"/>
    </row>
    <row r="34" spans="2:54">
      <c r="B34" s="98">
        <v>31</v>
      </c>
      <c r="C34" s="126">
        <f t="shared" si="0"/>
        <v>340</v>
      </c>
      <c r="D34" s="98">
        <f t="shared" si="1"/>
        <v>40</v>
      </c>
      <c r="E34" s="98">
        <f t="shared" si="2"/>
        <v>8</v>
      </c>
      <c r="F34" s="98">
        <v>0.5</v>
      </c>
      <c r="G34" s="98">
        <f t="shared" si="10"/>
        <v>5</v>
      </c>
      <c r="H34" s="98">
        <f t="shared" si="7"/>
        <v>2</v>
      </c>
      <c r="I34" s="98">
        <f t="shared" si="8"/>
        <v>1</v>
      </c>
      <c r="J34" s="98">
        <f t="shared" si="9"/>
        <v>0</v>
      </c>
      <c r="K34" s="126">
        <f t="shared" si="4"/>
        <v>137</v>
      </c>
      <c r="L34" s="148">
        <f t="shared" si="5"/>
        <v>6.85</v>
      </c>
      <c r="M34" s="149">
        <f t="shared" si="6"/>
        <v>600</v>
      </c>
      <c r="O34" s="141"/>
      <c r="P34" s="142"/>
      <c r="AV34" s="141"/>
      <c r="AW34" s="141"/>
      <c r="AY34"/>
      <c r="AZ34"/>
      <c r="BA34"/>
      <c r="BB34"/>
    </row>
    <row r="35" spans="2:54">
      <c r="B35" s="98">
        <v>32</v>
      </c>
      <c r="C35" s="126">
        <f t="shared" si="0"/>
        <v>342</v>
      </c>
      <c r="D35" s="98">
        <f t="shared" si="1"/>
        <v>40</v>
      </c>
      <c r="E35" s="98">
        <f t="shared" si="2"/>
        <v>8</v>
      </c>
      <c r="F35" s="98">
        <v>0.5</v>
      </c>
      <c r="G35" s="98">
        <f t="shared" si="10"/>
        <v>5</v>
      </c>
      <c r="H35" s="98">
        <f t="shared" si="7"/>
        <v>2</v>
      </c>
      <c r="I35" s="98">
        <f t="shared" si="8"/>
        <v>1</v>
      </c>
      <c r="J35" s="98">
        <f t="shared" si="9"/>
        <v>0</v>
      </c>
      <c r="K35" s="126">
        <f t="shared" si="4"/>
        <v>137.1</v>
      </c>
      <c r="L35" s="148">
        <f t="shared" si="5"/>
        <v>6.855</v>
      </c>
      <c r="M35" s="149">
        <f t="shared" si="6"/>
        <v>600</v>
      </c>
      <c r="O35" s="141"/>
      <c r="P35" s="142"/>
      <c r="AV35" s="141"/>
      <c r="AW35" s="141"/>
      <c r="AY35"/>
      <c r="AZ35"/>
      <c r="BA35"/>
      <c r="BB35"/>
    </row>
    <row r="36" spans="2:54">
      <c r="B36" s="98">
        <v>33</v>
      </c>
      <c r="C36" s="126">
        <f t="shared" si="0"/>
        <v>344</v>
      </c>
      <c r="D36" s="98">
        <f t="shared" si="1"/>
        <v>40</v>
      </c>
      <c r="E36" s="98">
        <f t="shared" si="2"/>
        <v>8</v>
      </c>
      <c r="F36" s="98">
        <v>0.5</v>
      </c>
      <c r="G36" s="98">
        <f t="shared" si="10"/>
        <v>5</v>
      </c>
      <c r="H36" s="98">
        <f t="shared" si="7"/>
        <v>2</v>
      </c>
      <c r="I36" s="98">
        <f t="shared" si="8"/>
        <v>1</v>
      </c>
      <c r="J36" s="98">
        <f t="shared" si="9"/>
        <v>0</v>
      </c>
      <c r="K36" s="126">
        <f t="shared" si="4"/>
        <v>137.2</v>
      </c>
      <c r="L36" s="148">
        <f t="shared" si="5"/>
        <v>6.86</v>
      </c>
      <c r="M36" s="149">
        <f t="shared" si="6"/>
        <v>600</v>
      </c>
      <c r="O36" s="141"/>
      <c r="P36" s="142"/>
      <c r="AV36" s="141"/>
      <c r="AW36" s="141"/>
      <c r="AY36"/>
      <c r="AZ36"/>
      <c r="BA36"/>
      <c r="BB36"/>
    </row>
    <row r="37" spans="2:54">
      <c r="B37" s="98">
        <v>34</v>
      </c>
      <c r="C37" s="126">
        <f t="shared" si="0"/>
        <v>346</v>
      </c>
      <c r="D37" s="98">
        <f t="shared" si="1"/>
        <v>40</v>
      </c>
      <c r="E37" s="98">
        <f t="shared" si="2"/>
        <v>8</v>
      </c>
      <c r="F37" s="98">
        <v>0.5</v>
      </c>
      <c r="G37" s="98">
        <f t="shared" si="10"/>
        <v>5</v>
      </c>
      <c r="H37" s="98">
        <f t="shared" si="7"/>
        <v>2</v>
      </c>
      <c r="I37" s="98">
        <f t="shared" si="8"/>
        <v>1</v>
      </c>
      <c r="J37" s="98">
        <f t="shared" si="9"/>
        <v>0</v>
      </c>
      <c r="K37" s="126">
        <f t="shared" si="4"/>
        <v>137.3</v>
      </c>
      <c r="L37" s="148">
        <f t="shared" si="5"/>
        <v>6.865</v>
      </c>
      <c r="M37" s="149">
        <f t="shared" si="6"/>
        <v>600</v>
      </c>
      <c r="O37" s="141"/>
      <c r="P37" s="142"/>
      <c r="AV37" s="141"/>
      <c r="AW37" s="141"/>
      <c r="AY37"/>
      <c r="AZ37"/>
      <c r="BA37"/>
      <c r="BB37"/>
    </row>
    <row r="38" spans="2:54">
      <c r="B38" s="98">
        <v>35</v>
      </c>
      <c r="C38" s="126">
        <f t="shared" si="0"/>
        <v>348</v>
      </c>
      <c r="D38" s="98">
        <f t="shared" si="1"/>
        <v>40</v>
      </c>
      <c r="E38" s="98">
        <f t="shared" si="2"/>
        <v>8</v>
      </c>
      <c r="F38" s="98">
        <v>0.5</v>
      </c>
      <c r="G38" s="98">
        <f t="shared" si="10"/>
        <v>5</v>
      </c>
      <c r="H38" s="98">
        <f t="shared" si="7"/>
        <v>2</v>
      </c>
      <c r="I38" s="98">
        <f t="shared" si="8"/>
        <v>1</v>
      </c>
      <c r="J38" s="98">
        <f t="shared" si="9"/>
        <v>0</v>
      </c>
      <c r="K38" s="126">
        <f t="shared" si="4"/>
        <v>137.4</v>
      </c>
      <c r="L38" s="148">
        <f t="shared" si="5"/>
        <v>6.87</v>
      </c>
      <c r="M38" s="149">
        <f t="shared" si="6"/>
        <v>600</v>
      </c>
      <c r="O38" s="141"/>
      <c r="P38" s="142"/>
      <c r="AV38" s="141"/>
      <c r="AW38" s="141"/>
      <c r="AY38"/>
      <c r="AZ38"/>
      <c r="BA38"/>
      <c r="BB38"/>
    </row>
    <row r="39" spans="2:54">
      <c r="B39" s="98">
        <v>36</v>
      </c>
      <c r="C39" s="126">
        <f t="shared" si="0"/>
        <v>350</v>
      </c>
      <c r="D39" s="98">
        <f t="shared" si="1"/>
        <v>40</v>
      </c>
      <c r="E39" s="98">
        <f t="shared" si="2"/>
        <v>8</v>
      </c>
      <c r="F39" s="98">
        <v>0.5</v>
      </c>
      <c r="G39" s="98">
        <f t="shared" si="10"/>
        <v>5</v>
      </c>
      <c r="H39" s="98">
        <f t="shared" si="7"/>
        <v>2</v>
      </c>
      <c r="I39" s="98">
        <f t="shared" si="8"/>
        <v>1</v>
      </c>
      <c r="J39" s="98">
        <f t="shared" si="9"/>
        <v>0</v>
      </c>
      <c r="K39" s="126">
        <f t="shared" si="4"/>
        <v>137.5</v>
      </c>
      <c r="L39" s="148">
        <f t="shared" si="5"/>
        <v>6.875</v>
      </c>
      <c r="M39" s="149">
        <f t="shared" si="6"/>
        <v>600</v>
      </c>
      <c r="O39" s="141"/>
      <c r="P39" s="142"/>
      <c r="AV39" s="141"/>
      <c r="AW39" s="141"/>
      <c r="AY39"/>
      <c r="AZ39"/>
      <c r="BA39"/>
      <c r="BB39"/>
    </row>
    <row r="40" spans="2:54">
      <c r="B40" s="98">
        <v>37</v>
      </c>
      <c r="C40" s="126">
        <f t="shared" si="0"/>
        <v>352</v>
      </c>
      <c r="D40" s="98">
        <f t="shared" si="1"/>
        <v>40</v>
      </c>
      <c r="E40" s="98">
        <f t="shared" si="2"/>
        <v>8</v>
      </c>
      <c r="F40" s="98">
        <v>0.5</v>
      </c>
      <c r="G40" s="98">
        <f t="shared" si="10"/>
        <v>5</v>
      </c>
      <c r="H40" s="98">
        <f t="shared" si="7"/>
        <v>2</v>
      </c>
      <c r="I40" s="98">
        <f t="shared" si="8"/>
        <v>1</v>
      </c>
      <c r="J40" s="98">
        <f t="shared" si="9"/>
        <v>0</v>
      </c>
      <c r="K40" s="126">
        <f t="shared" si="4"/>
        <v>137.6</v>
      </c>
      <c r="L40" s="148">
        <f t="shared" si="5"/>
        <v>6.88</v>
      </c>
      <c r="M40" s="149">
        <f t="shared" si="6"/>
        <v>600</v>
      </c>
      <c r="O40" s="141"/>
      <c r="P40" s="142"/>
      <c r="AV40" s="141"/>
      <c r="AW40" s="141"/>
      <c r="AY40"/>
      <c r="AZ40"/>
      <c r="BA40"/>
      <c r="BB40"/>
    </row>
    <row r="41" spans="2:54">
      <c r="B41" s="98">
        <v>38</v>
      </c>
      <c r="C41" s="126">
        <f t="shared" si="0"/>
        <v>354</v>
      </c>
      <c r="D41" s="98">
        <f t="shared" si="1"/>
        <v>40</v>
      </c>
      <c r="E41" s="98">
        <f t="shared" si="2"/>
        <v>8</v>
      </c>
      <c r="F41" s="98">
        <v>0.5</v>
      </c>
      <c r="G41" s="98">
        <f t="shared" si="10"/>
        <v>5</v>
      </c>
      <c r="H41" s="98">
        <f t="shared" si="7"/>
        <v>2</v>
      </c>
      <c r="I41" s="98">
        <f t="shared" si="8"/>
        <v>1</v>
      </c>
      <c r="J41" s="98">
        <f t="shared" si="9"/>
        <v>0</v>
      </c>
      <c r="K41" s="126">
        <f t="shared" si="4"/>
        <v>137.7</v>
      </c>
      <c r="L41" s="148">
        <f t="shared" si="5"/>
        <v>6.885</v>
      </c>
      <c r="M41" s="149">
        <f t="shared" si="6"/>
        <v>600</v>
      </c>
      <c r="O41" s="141"/>
      <c r="P41" s="142"/>
      <c r="AV41" s="141"/>
      <c r="AW41" s="141"/>
      <c r="AY41"/>
      <c r="AZ41"/>
      <c r="BA41"/>
      <c r="BB41"/>
    </row>
    <row r="42" spans="2:54">
      <c r="B42" s="98">
        <v>39</v>
      </c>
      <c r="C42" s="126">
        <f t="shared" si="0"/>
        <v>356</v>
      </c>
      <c r="D42" s="98">
        <f t="shared" si="1"/>
        <v>40</v>
      </c>
      <c r="E42" s="98">
        <f t="shared" si="2"/>
        <v>8</v>
      </c>
      <c r="F42" s="98">
        <v>0.5</v>
      </c>
      <c r="G42" s="98">
        <f t="shared" si="10"/>
        <v>5</v>
      </c>
      <c r="H42" s="98">
        <f t="shared" si="7"/>
        <v>2</v>
      </c>
      <c r="I42" s="98">
        <f t="shared" si="8"/>
        <v>1</v>
      </c>
      <c r="J42" s="98">
        <f t="shared" si="9"/>
        <v>0</v>
      </c>
      <c r="K42" s="126">
        <f t="shared" si="4"/>
        <v>137.8</v>
      </c>
      <c r="L42" s="148">
        <f t="shared" si="5"/>
        <v>6.89</v>
      </c>
      <c r="M42" s="149">
        <f t="shared" si="6"/>
        <v>600</v>
      </c>
      <c r="O42" s="141"/>
      <c r="P42" s="142"/>
      <c r="AV42" s="141"/>
      <c r="AW42" s="141"/>
      <c r="AY42"/>
      <c r="AZ42"/>
      <c r="BA42"/>
      <c r="BB42"/>
    </row>
    <row r="43" spans="2:54">
      <c r="B43" s="98">
        <v>40</v>
      </c>
      <c r="C43" s="126">
        <f t="shared" si="0"/>
        <v>358</v>
      </c>
      <c r="D43" s="98">
        <f t="shared" si="1"/>
        <v>40</v>
      </c>
      <c r="E43" s="98">
        <f t="shared" si="2"/>
        <v>8</v>
      </c>
      <c r="F43" s="98">
        <v>0.5</v>
      </c>
      <c r="G43" s="98">
        <f t="shared" si="10"/>
        <v>5</v>
      </c>
      <c r="H43" s="98">
        <f t="shared" si="7"/>
        <v>2</v>
      </c>
      <c r="I43" s="98">
        <f t="shared" si="8"/>
        <v>1</v>
      </c>
      <c r="J43" s="98">
        <f t="shared" si="9"/>
        <v>0</v>
      </c>
      <c r="K43" s="126">
        <f t="shared" si="4"/>
        <v>137.9</v>
      </c>
      <c r="L43" s="148">
        <f t="shared" si="5"/>
        <v>6.895</v>
      </c>
      <c r="M43" s="149">
        <f t="shared" si="6"/>
        <v>600</v>
      </c>
      <c r="O43" s="141"/>
      <c r="P43" s="142"/>
      <c r="AV43" s="141"/>
      <c r="AW43" s="141"/>
      <c r="AY43"/>
      <c r="AZ43"/>
      <c r="BA43"/>
      <c r="BB43"/>
    </row>
    <row r="44" spans="2:54">
      <c r="B44" s="98">
        <v>41</v>
      </c>
      <c r="C44" s="126">
        <f t="shared" si="0"/>
        <v>360</v>
      </c>
      <c r="D44" s="98">
        <f t="shared" si="1"/>
        <v>40</v>
      </c>
      <c r="E44" s="98">
        <f t="shared" si="2"/>
        <v>8</v>
      </c>
      <c r="F44" s="98">
        <v>0.5</v>
      </c>
      <c r="G44" s="98">
        <f t="shared" si="10"/>
        <v>5</v>
      </c>
      <c r="H44" s="98">
        <f t="shared" si="7"/>
        <v>2</v>
      </c>
      <c r="I44" s="98">
        <f t="shared" si="8"/>
        <v>1</v>
      </c>
      <c r="J44" s="98">
        <f t="shared" si="9"/>
        <v>0</v>
      </c>
      <c r="K44" s="126">
        <f t="shared" si="4"/>
        <v>138</v>
      </c>
      <c r="L44" s="148">
        <f t="shared" si="5"/>
        <v>6.9</v>
      </c>
      <c r="M44" s="149">
        <f t="shared" si="6"/>
        <v>600</v>
      </c>
      <c r="O44" s="141"/>
      <c r="P44" s="142"/>
      <c r="AV44" s="141"/>
      <c r="AW44" s="141"/>
      <c r="AY44"/>
      <c r="AZ44"/>
      <c r="BA44"/>
      <c r="BB44"/>
    </row>
    <row r="45" spans="2:54">
      <c r="B45" s="98">
        <v>42</v>
      </c>
      <c r="C45" s="126">
        <f t="shared" si="0"/>
        <v>362</v>
      </c>
      <c r="D45" s="98">
        <f t="shared" si="1"/>
        <v>40</v>
      </c>
      <c r="E45" s="98">
        <f t="shared" si="2"/>
        <v>8</v>
      </c>
      <c r="F45" s="98">
        <v>0.5</v>
      </c>
      <c r="G45" s="98">
        <f t="shared" si="10"/>
        <v>5</v>
      </c>
      <c r="H45" s="98">
        <f t="shared" si="7"/>
        <v>2</v>
      </c>
      <c r="I45" s="98">
        <f t="shared" si="8"/>
        <v>1</v>
      </c>
      <c r="J45" s="98">
        <f t="shared" si="9"/>
        <v>0</v>
      </c>
      <c r="K45" s="126">
        <f t="shared" si="4"/>
        <v>138.1</v>
      </c>
      <c r="L45" s="148">
        <f t="shared" si="5"/>
        <v>6.905</v>
      </c>
      <c r="M45" s="149">
        <f t="shared" si="6"/>
        <v>600</v>
      </c>
      <c r="O45" s="141"/>
      <c r="P45" s="142"/>
      <c r="AV45" s="141"/>
      <c r="AW45" s="141"/>
      <c r="AY45"/>
      <c r="AZ45"/>
      <c r="BA45"/>
      <c r="BB45"/>
    </row>
    <row r="46" spans="2:54">
      <c r="B46" s="98">
        <v>43</v>
      </c>
      <c r="C46" s="126">
        <f t="shared" si="0"/>
        <v>364</v>
      </c>
      <c r="D46" s="98">
        <f t="shared" si="1"/>
        <v>40</v>
      </c>
      <c r="E46" s="98">
        <f t="shared" si="2"/>
        <v>8</v>
      </c>
      <c r="F46" s="98">
        <v>0.5</v>
      </c>
      <c r="G46" s="98">
        <f t="shared" si="10"/>
        <v>5</v>
      </c>
      <c r="H46" s="98">
        <f t="shared" si="7"/>
        <v>2</v>
      </c>
      <c r="I46" s="98">
        <f t="shared" si="8"/>
        <v>1</v>
      </c>
      <c r="J46" s="98">
        <f t="shared" si="9"/>
        <v>0</v>
      </c>
      <c r="K46" s="126">
        <f t="shared" si="4"/>
        <v>138.2</v>
      </c>
      <c r="L46" s="148">
        <f t="shared" si="5"/>
        <v>6.91</v>
      </c>
      <c r="M46" s="149">
        <f t="shared" si="6"/>
        <v>600</v>
      </c>
      <c r="O46" s="141"/>
      <c r="P46" s="142"/>
      <c r="AV46" s="141"/>
      <c r="AW46" s="141"/>
      <c r="AY46"/>
      <c r="AZ46"/>
      <c r="BA46"/>
      <c r="BB46"/>
    </row>
    <row r="47" spans="2:54">
      <c r="B47" s="98">
        <v>44</v>
      </c>
      <c r="C47" s="126">
        <f t="shared" si="0"/>
        <v>366</v>
      </c>
      <c r="D47" s="98">
        <f t="shared" si="1"/>
        <v>40</v>
      </c>
      <c r="E47" s="98">
        <f t="shared" si="2"/>
        <v>8</v>
      </c>
      <c r="F47" s="98">
        <v>0.5</v>
      </c>
      <c r="G47" s="98">
        <f t="shared" si="10"/>
        <v>5</v>
      </c>
      <c r="H47" s="98">
        <f t="shared" si="7"/>
        <v>2</v>
      </c>
      <c r="I47" s="98">
        <f t="shared" si="8"/>
        <v>1</v>
      </c>
      <c r="J47" s="98">
        <f t="shared" si="9"/>
        <v>0</v>
      </c>
      <c r="K47" s="126">
        <f t="shared" si="4"/>
        <v>138.3</v>
      </c>
      <c r="L47" s="148">
        <f t="shared" si="5"/>
        <v>6.915</v>
      </c>
      <c r="M47" s="149">
        <f t="shared" si="6"/>
        <v>600</v>
      </c>
      <c r="O47" s="141"/>
      <c r="P47" s="142"/>
      <c r="AV47" s="141"/>
      <c r="AW47" s="141"/>
      <c r="AY47"/>
      <c r="AZ47"/>
      <c r="BA47"/>
      <c r="BB47"/>
    </row>
    <row r="48" spans="2:54">
      <c r="B48" s="98">
        <v>45</v>
      </c>
      <c r="C48" s="126">
        <f t="shared" si="0"/>
        <v>368</v>
      </c>
      <c r="D48" s="98">
        <f t="shared" si="1"/>
        <v>40</v>
      </c>
      <c r="E48" s="98">
        <f t="shared" si="2"/>
        <v>8</v>
      </c>
      <c r="F48" s="98">
        <v>0.5</v>
      </c>
      <c r="G48" s="98">
        <f t="shared" si="10"/>
        <v>5</v>
      </c>
      <c r="H48" s="98">
        <f t="shared" si="7"/>
        <v>2</v>
      </c>
      <c r="I48" s="98">
        <f t="shared" si="8"/>
        <v>1</v>
      </c>
      <c r="J48" s="98">
        <f t="shared" si="9"/>
        <v>0</v>
      </c>
      <c r="K48" s="126">
        <f t="shared" si="4"/>
        <v>138.4</v>
      </c>
      <c r="L48" s="148">
        <f t="shared" si="5"/>
        <v>6.92</v>
      </c>
      <c r="M48" s="149">
        <f t="shared" si="6"/>
        <v>600</v>
      </c>
      <c r="O48" s="141"/>
      <c r="P48" s="142"/>
      <c r="AV48" s="141"/>
      <c r="AW48" s="141"/>
      <c r="AY48"/>
      <c r="AZ48"/>
      <c r="BA48"/>
      <c r="BB48"/>
    </row>
    <row r="49" spans="2:54">
      <c r="B49" s="98">
        <v>46</v>
      </c>
      <c r="C49" s="126">
        <f t="shared" si="0"/>
        <v>370</v>
      </c>
      <c r="D49" s="98">
        <f t="shared" si="1"/>
        <v>40</v>
      </c>
      <c r="E49" s="98">
        <f t="shared" si="2"/>
        <v>8</v>
      </c>
      <c r="F49" s="98">
        <v>0.5</v>
      </c>
      <c r="G49" s="98">
        <f t="shared" si="10"/>
        <v>5</v>
      </c>
      <c r="H49" s="98">
        <f t="shared" si="7"/>
        <v>2</v>
      </c>
      <c r="I49" s="98">
        <f t="shared" si="8"/>
        <v>1</v>
      </c>
      <c r="J49" s="98">
        <f t="shared" si="9"/>
        <v>0</v>
      </c>
      <c r="K49" s="126">
        <f t="shared" si="4"/>
        <v>138.5</v>
      </c>
      <c r="L49" s="148">
        <f t="shared" si="5"/>
        <v>6.925</v>
      </c>
      <c r="M49" s="149">
        <f t="shared" si="6"/>
        <v>600</v>
      </c>
      <c r="O49" s="141"/>
      <c r="P49" s="142"/>
      <c r="AV49" s="141"/>
      <c r="AW49" s="141"/>
      <c r="AY49"/>
      <c r="AZ49"/>
      <c r="BA49"/>
      <c r="BB49"/>
    </row>
    <row r="50" spans="2:54">
      <c r="B50" s="98">
        <v>47</v>
      </c>
      <c r="C50" s="126">
        <f t="shared" si="0"/>
        <v>372</v>
      </c>
      <c r="D50" s="98">
        <f t="shared" si="1"/>
        <v>40</v>
      </c>
      <c r="E50" s="98">
        <f t="shared" si="2"/>
        <v>8</v>
      </c>
      <c r="F50" s="98">
        <v>0.5</v>
      </c>
      <c r="G50" s="98">
        <f t="shared" si="10"/>
        <v>5</v>
      </c>
      <c r="H50" s="98">
        <f t="shared" si="7"/>
        <v>2</v>
      </c>
      <c r="I50" s="98">
        <f t="shared" si="8"/>
        <v>1</v>
      </c>
      <c r="J50" s="98">
        <f t="shared" si="9"/>
        <v>0</v>
      </c>
      <c r="K50" s="126">
        <f t="shared" si="4"/>
        <v>138.6</v>
      </c>
      <c r="L50" s="148">
        <f t="shared" si="5"/>
        <v>6.93</v>
      </c>
      <c r="M50" s="149">
        <f t="shared" si="6"/>
        <v>600</v>
      </c>
      <c r="O50" s="141"/>
      <c r="P50" s="142"/>
      <c r="AV50" s="141"/>
      <c r="AW50" s="141"/>
      <c r="AY50"/>
      <c r="AZ50"/>
      <c r="BA50"/>
      <c r="BB50"/>
    </row>
    <row r="51" spans="2:54">
      <c r="B51" s="98">
        <v>48</v>
      </c>
      <c r="C51" s="126">
        <f t="shared" si="0"/>
        <v>374</v>
      </c>
      <c r="D51" s="98">
        <f t="shared" si="1"/>
        <v>40</v>
      </c>
      <c r="E51" s="98">
        <f t="shared" si="2"/>
        <v>8</v>
      </c>
      <c r="F51" s="98">
        <v>0.5</v>
      </c>
      <c r="G51" s="98">
        <f t="shared" si="10"/>
        <v>5</v>
      </c>
      <c r="H51" s="98">
        <f t="shared" si="7"/>
        <v>2</v>
      </c>
      <c r="I51" s="98">
        <f t="shared" si="8"/>
        <v>1</v>
      </c>
      <c r="J51" s="98">
        <f t="shared" si="9"/>
        <v>0</v>
      </c>
      <c r="K51" s="126">
        <f t="shared" si="4"/>
        <v>138.7</v>
      </c>
      <c r="L51" s="148">
        <f t="shared" si="5"/>
        <v>6.935</v>
      </c>
      <c r="M51" s="149">
        <f t="shared" si="6"/>
        <v>600</v>
      </c>
      <c r="O51" s="141"/>
      <c r="P51" s="142"/>
      <c r="AV51" s="141"/>
      <c r="AW51" s="141"/>
      <c r="AY51"/>
      <c r="AZ51"/>
      <c r="BA51"/>
      <c r="BB51"/>
    </row>
    <row r="52" spans="2:54">
      <c r="B52" s="98">
        <v>49</v>
      </c>
      <c r="C52" s="126">
        <f t="shared" si="0"/>
        <v>376</v>
      </c>
      <c r="D52" s="98">
        <f t="shared" si="1"/>
        <v>40</v>
      </c>
      <c r="E52" s="98">
        <f t="shared" si="2"/>
        <v>8</v>
      </c>
      <c r="F52" s="98">
        <v>0.5</v>
      </c>
      <c r="G52" s="98">
        <f t="shared" si="10"/>
        <v>5</v>
      </c>
      <c r="H52" s="98">
        <f t="shared" si="7"/>
        <v>2</v>
      </c>
      <c r="I52" s="98">
        <f t="shared" si="8"/>
        <v>1</v>
      </c>
      <c r="J52" s="98">
        <f t="shared" si="9"/>
        <v>0</v>
      </c>
      <c r="K52" s="126">
        <f t="shared" si="4"/>
        <v>138.8</v>
      </c>
      <c r="L52" s="148">
        <f t="shared" si="5"/>
        <v>6.94</v>
      </c>
      <c r="M52" s="149">
        <f t="shared" si="6"/>
        <v>600</v>
      </c>
      <c r="O52" s="141"/>
      <c r="P52" s="142"/>
      <c r="AV52" s="141"/>
      <c r="AW52" s="141"/>
      <c r="AY52"/>
      <c r="AZ52"/>
      <c r="BA52"/>
      <c r="BB52"/>
    </row>
    <row r="53" spans="2:54">
      <c r="B53" s="98">
        <v>50</v>
      </c>
      <c r="C53" s="126">
        <f t="shared" si="0"/>
        <v>378</v>
      </c>
      <c r="D53" s="98">
        <f t="shared" si="1"/>
        <v>40</v>
      </c>
      <c r="E53" s="98">
        <f t="shared" si="2"/>
        <v>8</v>
      </c>
      <c r="F53" s="98">
        <v>0.5</v>
      </c>
      <c r="G53" s="98">
        <f t="shared" si="10"/>
        <v>5</v>
      </c>
      <c r="H53" s="98">
        <f t="shared" si="7"/>
        <v>2</v>
      </c>
      <c r="I53" s="98">
        <f t="shared" si="8"/>
        <v>1</v>
      </c>
      <c r="J53" s="98">
        <f t="shared" si="9"/>
        <v>0</v>
      </c>
      <c r="K53" s="126">
        <f t="shared" si="4"/>
        <v>138.9</v>
      </c>
      <c r="L53" s="148">
        <f t="shared" si="5"/>
        <v>6.945</v>
      </c>
      <c r="M53" s="149">
        <f t="shared" si="6"/>
        <v>600</v>
      </c>
      <c r="O53" s="141"/>
      <c r="P53" s="142"/>
      <c r="AV53" s="141"/>
      <c r="AW53" s="141"/>
      <c r="AY53"/>
      <c r="AZ53"/>
      <c r="BA53"/>
      <c r="BB53"/>
    </row>
    <row r="54" spans="2:54">
      <c r="B54" s="98">
        <v>51</v>
      </c>
      <c r="C54" s="126">
        <f t="shared" si="0"/>
        <v>380</v>
      </c>
      <c r="D54" s="98">
        <f t="shared" si="1"/>
        <v>40</v>
      </c>
      <c r="E54" s="98">
        <f t="shared" si="2"/>
        <v>8</v>
      </c>
      <c r="F54" s="98">
        <v>0.5</v>
      </c>
      <c r="G54" s="98">
        <f t="shared" si="10"/>
        <v>5</v>
      </c>
      <c r="H54" s="98">
        <f t="shared" si="7"/>
        <v>2</v>
      </c>
      <c r="I54" s="98">
        <f t="shared" si="8"/>
        <v>1</v>
      </c>
      <c r="J54" s="98">
        <f t="shared" si="9"/>
        <v>0</v>
      </c>
      <c r="K54" s="126">
        <f t="shared" si="4"/>
        <v>139</v>
      </c>
      <c r="L54" s="148">
        <f t="shared" si="5"/>
        <v>6.95</v>
      </c>
      <c r="M54" s="149">
        <f t="shared" si="6"/>
        <v>600</v>
      </c>
      <c r="O54" s="141"/>
      <c r="P54" s="142"/>
      <c r="AV54" s="141"/>
      <c r="AW54" s="141"/>
      <c r="AY54"/>
      <c r="AZ54"/>
      <c r="BA54"/>
      <c r="BB54"/>
    </row>
    <row r="55" spans="2:54">
      <c r="B55" s="98">
        <v>52</v>
      </c>
      <c r="C55" s="126">
        <f t="shared" si="0"/>
        <v>382</v>
      </c>
      <c r="D55" s="98">
        <f t="shared" si="1"/>
        <v>40</v>
      </c>
      <c r="E55" s="98">
        <f t="shared" si="2"/>
        <v>8</v>
      </c>
      <c r="F55" s="98">
        <v>0.5</v>
      </c>
      <c r="G55" s="98">
        <f t="shared" si="10"/>
        <v>5</v>
      </c>
      <c r="H55" s="98">
        <f t="shared" si="7"/>
        <v>2</v>
      </c>
      <c r="I55" s="98">
        <f t="shared" si="8"/>
        <v>1</v>
      </c>
      <c r="J55" s="98">
        <f t="shared" si="9"/>
        <v>0</v>
      </c>
      <c r="K55" s="126">
        <f t="shared" si="4"/>
        <v>139.1</v>
      </c>
      <c r="L55" s="148">
        <f t="shared" si="5"/>
        <v>6.955</v>
      </c>
      <c r="M55" s="149">
        <f t="shared" si="6"/>
        <v>600</v>
      </c>
      <c r="O55" s="141"/>
      <c r="P55" s="142"/>
      <c r="AV55" s="141"/>
      <c r="AW55" s="141"/>
      <c r="AY55"/>
      <c r="AZ55"/>
      <c r="BA55"/>
      <c r="BB55"/>
    </row>
    <row r="56" spans="2:54">
      <c r="B56" s="98">
        <v>53</v>
      </c>
      <c r="C56" s="126">
        <f t="shared" si="0"/>
        <v>384</v>
      </c>
      <c r="D56" s="98">
        <f t="shared" si="1"/>
        <v>40</v>
      </c>
      <c r="E56" s="98">
        <f t="shared" si="2"/>
        <v>8</v>
      </c>
      <c r="F56" s="98">
        <v>0.5</v>
      </c>
      <c r="G56" s="98">
        <f t="shared" si="10"/>
        <v>5</v>
      </c>
      <c r="H56" s="98">
        <f t="shared" si="7"/>
        <v>2</v>
      </c>
      <c r="I56" s="98">
        <f t="shared" si="8"/>
        <v>1</v>
      </c>
      <c r="J56" s="98">
        <f t="shared" si="9"/>
        <v>0</v>
      </c>
      <c r="K56" s="126">
        <f t="shared" si="4"/>
        <v>139.2</v>
      </c>
      <c r="L56" s="148">
        <f t="shared" si="5"/>
        <v>6.96</v>
      </c>
      <c r="M56" s="149">
        <f t="shared" si="6"/>
        <v>600</v>
      </c>
      <c r="O56" s="141"/>
      <c r="P56" s="142"/>
      <c r="AV56" s="141"/>
      <c r="AW56" s="141"/>
      <c r="AY56"/>
      <c r="AZ56"/>
      <c r="BA56"/>
      <c r="BB56"/>
    </row>
    <row r="57" spans="2:54">
      <c r="B57" s="98">
        <v>54</v>
      </c>
      <c r="C57" s="126">
        <f t="shared" si="0"/>
        <v>386</v>
      </c>
      <c r="D57" s="98">
        <f t="shared" si="1"/>
        <v>40</v>
      </c>
      <c r="E57" s="98">
        <f t="shared" si="2"/>
        <v>8</v>
      </c>
      <c r="F57" s="98">
        <v>0.5</v>
      </c>
      <c r="G57" s="98">
        <f t="shared" si="10"/>
        <v>5</v>
      </c>
      <c r="H57" s="98">
        <f t="shared" si="7"/>
        <v>2</v>
      </c>
      <c r="I57" s="98">
        <f t="shared" si="8"/>
        <v>1</v>
      </c>
      <c r="J57" s="98">
        <f t="shared" si="9"/>
        <v>0</v>
      </c>
      <c r="K57" s="126">
        <f t="shared" si="4"/>
        <v>139.3</v>
      </c>
      <c r="L57" s="148">
        <f t="shared" si="5"/>
        <v>6.965</v>
      </c>
      <c r="M57" s="149">
        <f t="shared" si="6"/>
        <v>600</v>
      </c>
      <c r="O57" s="141"/>
      <c r="P57" s="142"/>
      <c r="AV57" s="141"/>
      <c r="AW57" s="141"/>
      <c r="AY57"/>
      <c r="AZ57"/>
      <c r="BA57"/>
      <c r="BB57"/>
    </row>
    <row r="58" spans="2:54">
      <c r="B58" s="98">
        <v>55</v>
      </c>
      <c r="C58" s="126">
        <f t="shared" si="0"/>
        <v>388</v>
      </c>
      <c r="D58" s="98">
        <f t="shared" si="1"/>
        <v>40</v>
      </c>
      <c r="E58" s="98">
        <f t="shared" si="2"/>
        <v>8</v>
      </c>
      <c r="F58" s="98">
        <v>0.5</v>
      </c>
      <c r="G58" s="98">
        <f t="shared" si="10"/>
        <v>5</v>
      </c>
      <c r="H58" s="98">
        <f t="shared" si="7"/>
        <v>2</v>
      </c>
      <c r="I58" s="98">
        <f t="shared" si="8"/>
        <v>1</v>
      </c>
      <c r="J58" s="98">
        <f t="shared" si="9"/>
        <v>0</v>
      </c>
      <c r="K58" s="126">
        <f t="shared" si="4"/>
        <v>139.4</v>
      </c>
      <c r="L58" s="148">
        <f t="shared" si="5"/>
        <v>6.97</v>
      </c>
      <c r="M58" s="149">
        <f t="shared" si="6"/>
        <v>600</v>
      </c>
      <c r="O58" s="141"/>
      <c r="P58" s="142"/>
      <c r="AV58" s="141"/>
      <c r="AW58" s="141"/>
      <c r="AY58"/>
      <c r="AZ58"/>
      <c r="BA58"/>
      <c r="BB58"/>
    </row>
    <row r="59" spans="2:54">
      <c r="B59" s="98">
        <v>56</v>
      </c>
      <c r="C59" s="126">
        <f t="shared" si="0"/>
        <v>390</v>
      </c>
      <c r="D59" s="98">
        <f t="shared" si="1"/>
        <v>40</v>
      </c>
      <c r="E59" s="98">
        <f t="shared" si="2"/>
        <v>8</v>
      </c>
      <c r="F59" s="98">
        <v>0.5</v>
      </c>
      <c r="G59" s="98">
        <f t="shared" si="10"/>
        <v>5</v>
      </c>
      <c r="H59" s="98">
        <f t="shared" si="7"/>
        <v>2</v>
      </c>
      <c r="I59" s="98">
        <f t="shared" si="8"/>
        <v>1</v>
      </c>
      <c r="J59" s="98">
        <f t="shared" si="9"/>
        <v>0</v>
      </c>
      <c r="K59" s="126">
        <f t="shared" si="4"/>
        <v>139.5</v>
      </c>
      <c r="L59" s="148">
        <f t="shared" si="5"/>
        <v>6.975</v>
      </c>
      <c r="M59" s="149">
        <f t="shared" si="6"/>
        <v>600</v>
      </c>
      <c r="O59" s="141"/>
      <c r="P59" s="142"/>
      <c r="AV59" s="141"/>
      <c r="AW59" s="141"/>
      <c r="AY59"/>
      <c r="AZ59"/>
      <c r="BA59"/>
      <c r="BB59"/>
    </row>
    <row r="60" spans="2:54">
      <c r="B60" s="98">
        <v>57</v>
      </c>
      <c r="C60" s="126">
        <f t="shared" si="0"/>
        <v>392</v>
      </c>
      <c r="D60" s="98">
        <f t="shared" si="1"/>
        <v>40</v>
      </c>
      <c r="E60" s="98">
        <f t="shared" si="2"/>
        <v>8</v>
      </c>
      <c r="F60" s="98">
        <v>0.5</v>
      </c>
      <c r="G60" s="98">
        <f t="shared" si="10"/>
        <v>5</v>
      </c>
      <c r="H60" s="98">
        <f t="shared" si="7"/>
        <v>2</v>
      </c>
      <c r="I60" s="98">
        <f t="shared" si="8"/>
        <v>1</v>
      </c>
      <c r="J60" s="98">
        <f t="shared" si="9"/>
        <v>0</v>
      </c>
      <c r="K60" s="126">
        <f t="shared" si="4"/>
        <v>139.6</v>
      </c>
      <c r="L60" s="148">
        <f t="shared" si="5"/>
        <v>6.98</v>
      </c>
      <c r="M60" s="149">
        <f t="shared" si="6"/>
        <v>600</v>
      </c>
      <c r="O60" s="141"/>
      <c r="P60" s="142"/>
      <c r="AV60" s="141"/>
      <c r="AW60" s="141"/>
      <c r="AY60"/>
      <c r="AZ60"/>
      <c r="BA60"/>
      <c r="BB60"/>
    </row>
    <row r="61" spans="2:54">
      <c r="B61" s="98">
        <v>58</v>
      </c>
      <c r="C61" s="126">
        <f t="shared" si="0"/>
        <v>394</v>
      </c>
      <c r="D61" s="98">
        <f t="shared" si="1"/>
        <v>40</v>
      </c>
      <c r="E61" s="98">
        <f t="shared" si="2"/>
        <v>8</v>
      </c>
      <c r="F61" s="98">
        <v>0.5</v>
      </c>
      <c r="G61" s="98">
        <f t="shared" si="10"/>
        <v>5</v>
      </c>
      <c r="H61" s="98">
        <f t="shared" si="7"/>
        <v>2</v>
      </c>
      <c r="I61" s="98">
        <f t="shared" si="8"/>
        <v>1</v>
      </c>
      <c r="J61" s="98">
        <f t="shared" si="9"/>
        <v>0</v>
      </c>
      <c r="K61" s="126">
        <f t="shared" si="4"/>
        <v>139.7</v>
      </c>
      <c r="L61" s="148">
        <f t="shared" si="5"/>
        <v>6.985</v>
      </c>
      <c r="M61" s="149">
        <f t="shared" si="6"/>
        <v>600</v>
      </c>
      <c r="O61" s="141"/>
      <c r="P61" s="142"/>
      <c r="AV61" s="141"/>
      <c r="AW61" s="141"/>
      <c r="AY61"/>
      <c r="AZ61"/>
      <c r="BA61"/>
      <c r="BB61"/>
    </row>
    <row r="62" spans="2:54">
      <c r="B62" s="98">
        <v>59</v>
      </c>
      <c r="C62" s="126">
        <f t="shared" si="0"/>
        <v>396</v>
      </c>
      <c r="D62" s="98">
        <f t="shared" si="1"/>
        <v>40</v>
      </c>
      <c r="E62" s="98">
        <f t="shared" si="2"/>
        <v>8</v>
      </c>
      <c r="F62" s="98">
        <v>0.5</v>
      </c>
      <c r="G62" s="98">
        <f t="shared" si="10"/>
        <v>5</v>
      </c>
      <c r="H62" s="98">
        <f t="shared" si="7"/>
        <v>2</v>
      </c>
      <c r="I62" s="98">
        <f t="shared" si="8"/>
        <v>1</v>
      </c>
      <c r="J62" s="98">
        <f t="shared" si="9"/>
        <v>0</v>
      </c>
      <c r="K62" s="126">
        <f t="shared" si="4"/>
        <v>139.8</v>
      </c>
      <c r="L62" s="148">
        <f t="shared" si="5"/>
        <v>6.99</v>
      </c>
      <c r="M62" s="149">
        <f t="shared" si="6"/>
        <v>600</v>
      </c>
      <c r="O62" s="141"/>
      <c r="P62" s="142"/>
      <c r="AV62" s="141"/>
      <c r="AW62" s="141"/>
      <c r="AY62"/>
      <c r="AZ62"/>
      <c r="BA62"/>
      <c r="BB62"/>
    </row>
    <row r="63" spans="2:54">
      <c r="B63" s="98">
        <v>60</v>
      </c>
      <c r="C63" s="126">
        <f t="shared" si="0"/>
        <v>398</v>
      </c>
      <c r="D63" s="98">
        <f t="shared" si="1"/>
        <v>40</v>
      </c>
      <c r="E63" s="98">
        <f t="shared" si="2"/>
        <v>8</v>
      </c>
      <c r="F63" s="98">
        <v>0.5</v>
      </c>
      <c r="G63" s="98">
        <f t="shared" si="10"/>
        <v>5</v>
      </c>
      <c r="H63" s="98">
        <f t="shared" si="7"/>
        <v>2</v>
      </c>
      <c r="I63" s="98">
        <f t="shared" si="8"/>
        <v>1</v>
      </c>
      <c r="J63" s="98">
        <f t="shared" si="9"/>
        <v>0</v>
      </c>
      <c r="K63" s="126">
        <f t="shared" si="4"/>
        <v>139.9</v>
      </c>
      <c r="L63" s="148">
        <f t="shared" si="5"/>
        <v>6.995</v>
      </c>
      <c r="M63" s="149">
        <f t="shared" si="6"/>
        <v>600</v>
      </c>
      <c r="O63" s="141"/>
      <c r="P63" s="142"/>
      <c r="AV63" s="141"/>
      <c r="AW63" s="141"/>
      <c r="AY63"/>
      <c r="AZ63"/>
      <c r="BA63"/>
      <c r="BB63"/>
    </row>
    <row r="64" spans="2:54">
      <c r="B64" s="98">
        <v>61</v>
      </c>
      <c r="C64" s="126">
        <f t="shared" si="0"/>
        <v>400</v>
      </c>
      <c r="D64" s="98">
        <f t="shared" si="1"/>
        <v>40</v>
      </c>
      <c r="E64" s="98">
        <f t="shared" si="2"/>
        <v>8</v>
      </c>
      <c r="F64" s="98">
        <v>0.5</v>
      </c>
      <c r="G64" s="98">
        <f t="shared" si="10"/>
        <v>5</v>
      </c>
      <c r="H64" s="98">
        <f t="shared" si="7"/>
        <v>2</v>
      </c>
      <c r="I64" s="98">
        <f t="shared" si="8"/>
        <v>1</v>
      </c>
      <c r="J64" s="98">
        <f t="shared" si="9"/>
        <v>0</v>
      </c>
      <c r="K64" s="126">
        <f t="shared" si="4"/>
        <v>140</v>
      </c>
      <c r="L64" s="148">
        <f t="shared" si="5"/>
        <v>7</v>
      </c>
      <c r="M64" s="149">
        <f t="shared" si="6"/>
        <v>600</v>
      </c>
      <c r="O64" s="141"/>
      <c r="P64" s="142"/>
      <c r="AV64" s="141"/>
      <c r="AW64" s="141"/>
      <c r="AY64"/>
      <c r="AZ64"/>
      <c r="BA64"/>
      <c r="BB64"/>
    </row>
    <row r="65" spans="2:54">
      <c r="B65" s="98">
        <v>62</v>
      </c>
      <c r="C65" s="126">
        <f t="shared" si="0"/>
        <v>402</v>
      </c>
      <c r="D65" s="98">
        <f t="shared" si="1"/>
        <v>40</v>
      </c>
      <c r="E65" s="98">
        <f t="shared" si="2"/>
        <v>8</v>
      </c>
      <c r="F65" s="98">
        <v>0.5</v>
      </c>
      <c r="G65" s="98">
        <f t="shared" si="10"/>
        <v>5</v>
      </c>
      <c r="H65" s="98">
        <f t="shared" si="7"/>
        <v>2</v>
      </c>
      <c r="I65" s="98">
        <f t="shared" si="8"/>
        <v>1</v>
      </c>
      <c r="J65" s="98">
        <f t="shared" si="9"/>
        <v>0</v>
      </c>
      <c r="K65" s="126">
        <f t="shared" si="4"/>
        <v>140.1</v>
      </c>
      <c r="L65" s="148">
        <f t="shared" si="5"/>
        <v>7.005</v>
      </c>
      <c r="M65" s="149">
        <f t="shared" si="6"/>
        <v>600</v>
      </c>
      <c r="O65" s="141"/>
      <c r="P65" s="142"/>
      <c r="AV65" s="141"/>
      <c r="AW65" s="141"/>
      <c r="AY65"/>
      <c r="AZ65"/>
      <c r="BA65"/>
      <c r="BB65"/>
    </row>
    <row r="66" spans="2:54">
      <c r="B66" s="98">
        <v>63</v>
      </c>
      <c r="C66" s="126">
        <f t="shared" si="0"/>
        <v>404</v>
      </c>
      <c r="D66" s="98">
        <f t="shared" si="1"/>
        <v>40</v>
      </c>
      <c r="E66" s="98">
        <f t="shared" si="2"/>
        <v>8</v>
      </c>
      <c r="F66" s="98">
        <v>0.5</v>
      </c>
      <c r="G66" s="98">
        <f t="shared" si="10"/>
        <v>5</v>
      </c>
      <c r="H66" s="98">
        <f t="shared" si="7"/>
        <v>2</v>
      </c>
      <c r="I66" s="98">
        <f t="shared" si="8"/>
        <v>1</v>
      </c>
      <c r="J66" s="98">
        <f t="shared" si="9"/>
        <v>0</v>
      </c>
      <c r="K66" s="126">
        <f t="shared" si="4"/>
        <v>140.2</v>
      </c>
      <c r="L66" s="148">
        <f t="shared" si="5"/>
        <v>7.01</v>
      </c>
      <c r="M66" s="149">
        <f t="shared" si="6"/>
        <v>600</v>
      </c>
      <c r="O66" s="141"/>
      <c r="P66" s="142"/>
      <c r="AV66" s="141"/>
      <c r="AW66" s="141"/>
      <c r="AY66"/>
      <c r="AZ66"/>
      <c r="BA66"/>
      <c r="BB66"/>
    </row>
    <row r="67" spans="2:54">
      <c r="B67" s="98">
        <v>64</v>
      </c>
      <c r="C67" s="126">
        <f t="shared" si="0"/>
        <v>406</v>
      </c>
      <c r="D67" s="98">
        <f t="shared" si="1"/>
        <v>40</v>
      </c>
      <c r="E67" s="98">
        <f t="shared" si="2"/>
        <v>8</v>
      </c>
      <c r="F67" s="98">
        <v>0.5</v>
      </c>
      <c r="G67" s="98">
        <f t="shared" si="10"/>
        <v>5</v>
      </c>
      <c r="H67" s="98">
        <f t="shared" si="7"/>
        <v>2</v>
      </c>
      <c r="I67" s="98">
        <f t="shared" si="8"/>
        <v>1</v>
      </c>
      <c r="J67" s="98">
        <f t="shared" si="9"/>
        <v>0</v>
      </c>
      <c r="K67" s="126">
        <f t="shared" si="4"/>
        <v>140.3</v>
      </c>
      <c r="L67" s="148">
        <f t="shared" si="5"/>
        <v>7.015</v>
      </c>
      <c r="M67" s="149">
        <f t="shared" si="6"/>
        <v>600</v>
      </c>
      <c r="O67" s="141"/>
      <c r="P67" s="142"/>
      <c r="AV67" s="141"/>
      <c r="AW67" s="141"/>
      <c r="AY67"/>
      <c r="AZ67"/>
      <c r="BA67"/>
      <c r="BB67"/>
    </row>
    <row r="68" spans="2:54">
      <c r="B68" s="98">
        <v>65</v>
      </c>
      <c r="C68" s="126">
        <f t="shared" si="0"/>
        <v>408</v>
      </c>
      <c r="D68" s="98">
        <f t="shared" si="1"/>
        <v>40</v>
      </c>
      <c r="E68" s="98">
        <f t="shared" si="2"/>
        <v>8</v>
      </c>
      <c r="F68" s="98">
        <v>0.5</v>
      </c>
      <c r="G68" s="98">
        <f t="shared" si="10"/>
        <v>5</v>
      </c>
      <c r="H68" s="98">
        <f t="shared" si="7"/>
        <v>2</v>
      </c>
      <c r="I68" s="98">
        <f t="shared" si="8"/>
        <v>1</v>
      </c>
      <c r="J68" s="98">
        <f t="shared" si="9"/>
        <v>0</v>
      </c>
      <c r="K68" s="126">
        <f t="shared" si="4"/>
        <v>140.4</v>
      </c>
      <c r="L68" s="148">
        <f t="shared" si="5"/>
        <v>7.02</v>
      </c>
      <c r="M68" s="149">
        <f t="shared" si="6"/>
        <v>600</v>
      </c>
      <c r="O68" s="141"/>
      <c r="P68" s="142"/>
      <c r="AV68" s="141"/>
      <c r="AW68" s="141"/>
      <c r="AY68"/>
      <c r="AZ68"/>
      <c r="BA68"/>
      <c r="BB68"/>
    </row>
    <row r="69" spans="2:54">
      <c r="B69" s="98">
        <v>66</v>
      </c>
      <c r="C69" s="126">
        <f t="shared" ref="C69:C132" si="11">(C378+D378)</f>
        <v>410</v>
      </c>
      <c r="D69" s="98">
        <f t="shared" ref="D69:D132" si="12">E378+F378</f>
        <v>40</v>
      </c>
      <c r="E69" s="98">
        <f t="shared" ref="E69:E132" si="13">G378+H378</f>
        <v>8</v>
      </c>
      <c r="F69" s="98">
        <v>0.5</v>
      </c>
      <c r="G69" s="98">
        <f t="shared" si="10"/>
        <v>5</v>
      </c>
      <c r="H69" s="98">
        <f t="shared" si="7"/>
        <v>2</v>
      </c>
      <c r="I69" s="98">
        <f t="shared" si="8"/>
        <v>1</v>
      </c>
      <c r="J69" s="98">
        <f t="shared" si="9"/>
        <v>0</v>
      </c>
      <c r="K69" s="126">
        <f t="shared" ref="K69:K132" si="14">P378</f>
        <v>140.5</v>
      </c>
      <c r="L69" s="148">
        <f t="shared" ref="L69:L132" si="15">Q378</f>
        <v>7.025</v>
      </c>
      <c r="M69" s="149">
        <f t="shared" ref="M69:M132" si="16">IFERROR(--R378,0)</f>
        <v>600</v>
      </c>
      <c r="O69" s="141"/>
      <c r="P69" s="142"/>
      <c r="AV69" s="141"/>
      <c r="AW69" s="141"/>
      <c r="AY69"/>
      <c r="AZ69"/>
      <c r="BA69"/>
      <c r="BB69"/>
    </row>
    <row r="70" spans="2:54">
      <c r="B70" s="98">
        <v>67</v>
      </c>
      <c r="C70" s="126">
        <f t="shared" si="11"/>
        <v>412</v>
      </c>
      <c r="D70" s="98">
        <f t="shared" si="12"/>
        <v>40</v>
      </c>
      <c r="E70" s="98">
        <f t="shared" si="13"/>
        <v>8</v>
      </c>
      <c r="F70" s="98">
        <v>0.5</v>
      </c>
      <c r="G70" s="98">
        <f t="shared" si="10"/>
        <v>5</v>
      </c>
      <c r="H70" s="98">
        <f t="shared" si="7"/>
        <v>2</v>
      </c>
      <c r="I70" s="98">
        <f t="shared" si="8"/>
        <v>1</v>
      </c>
      <c r="J70" s="98">
        <f t="shared" si="9"/>
        <v>0</v>
      </c>
      <c r="K70" s="126">
        <f t="shared" si="14"/>
        <v>140.6</v>
      </c>
      <c r="L70" s="148">
        <f t="shared" si="15"/>
        <v>7.03</v>
      </c>
      <c r="M70" s="149">
        <f t="shared" si="16"/>
        <v>600</v>
      </c>
      <c r="O70" s="141"/>
      <c r="P70" s="142"/>
      <c r="AV70" s="141"/>
      <c r="AW70" s="141"/>
      <c r="AY70"/>
      <c r="AZ70"/>
      <c r="BA70"/>
      <c r="BB70"/>
    </row>
    <row r="71" spans="2:54">
      <c r="B71" s="98">
        <v>68</v>
      </c>
      <c r="C71" s="126">
        <f t="shared" si="11"/>
        <v>414</v>
      </c>
      <c r="D71" s="98">
        <f t="shared" si="12"/>
        <v>40</v>
      </c>
      <c r="E71" s="98">
        <f t="shared" si="13"/>
        <v>8</v>
      </c>
      <c r="F71" s="98">
        <v>0.5</v>
      </c>
      <c r="G71" s="98">
        <f t="shared" si="10"/>
        <v>5</v>
      </c>
      <c r="H71" s="98">
        <f t="shared" si="7"/>
        <v>2</v>
      </c>
      <c r="I71" s="98">
        <f t="shared" si="8"/>
        <v>1</v>
      </c>
      <c r="J71" s="98">
        <f t="shared" si="9"/>
        <v>0</v>
      </c>
      <c r="K71" s="126">
        <f t="shared" si="14"/>
        <v>140.7</v>
      </c>
      <c r="L71" s="148">
        <f t="shared" si="15"/>
        <v>7.035</v>
      </c>
      <c r="M71" s="149">
        <f t="shared" si="16"/>
        <v>600</v>
      </c>
      <c r="O71" s="141"/>
      <c r="P71" s="142"/>
      <c r="AV71" s="141"/>
      <c r="AW71" s="141"/>
      <c r="AY71"/>
      <c r="AZ71"/>
      <c r="BA71"/>
      <c r="BB71"/>
    </row>
    <row r="72" spans="2:54">
      <c r="B72" s="98">
        <v>69</v>
      </c>
      <c r="C72" s="126">
        <f t="shared" si="11"/>
        <v>416</v>
      </c>
      <c r="D72" s="98">
        <f t="shared" si="12"/>
        <v>40</v>
      </c>
      <c r="E72" s="98">
        <f t="shared" si="13"/>
        <v>8</v>
      </c>
      <c r="F72" s="98">
        <v>0.5</v>
      </c>
      <c r="G72" s="98">
        <f t="shared" si="10"/>
        <v>5</v>
      </c>
      <c r="H72" s="98">
        <f t="shared" ref="H72:H135" si="17">L381</f>
        <v>2</v>
      </c>
      <c r="I72" s="98">
        <f t="shared" si="8"/>
        <v>1</v>
      </c>
      <c r="J72" s="98">
        <f t="shared" si="9"/>
        <v>0</v>
      </c>
      <c r="K72" s="126">
        <f t="shared" si="14"/>
        <v>140.8</v>
      </c>
      <c r="L72" s="148">
        <f t="shared" si="15"/>
        <v>7.04</v>
      </c>
      <c r="M72" s="149">
        <f t="shared" si="16"/>
        <v>600</v>
      </c>
      <c r="O72" s="141"/>
      <c r="P72" s="142"/>
      <c r="AV72" s="141"/>
      <c r="AW72" s="141"/>
      <c r="AY72"/>
      <c r="AZ72"/>
      <c r="BA72"/>
      <c r="BB72"/>
    </row>
    <row r="73" spans="2:54">
      <c r="B73" s="98">
        <v>70</v>
      </c>
      <c r="C73" s="126">
        <f t="shared" si="11"/>
        <v>418</v>
      </c>
      <c r="D73" s="98">
        <f t="shared" si="12"/>
        <v>40</v>
      </c>
      <c r="E73" s="98">
        <f t="shared" si="13"/>
        <v>8</v>
      </c>
      <c r="F73" s="98">
        <v>0.5</v>
      </c>
      <c r="G73" s="98">
        <f t="shared" si="10"/>
        <v>5</v>
      </c>
      <c r="H73" s="98">
        <f t="shared" si="17"/>
        <v>2</v>
      </c>
      <c r="I73" s="98">
        <f t="shared" ref="I73:I136" si="18">M382</f>
        <v>1</v>
      </c>
      <c r="J73" s="98">
        <f t="shared" ref="J73:J136" si="19">N382</f>
        <v>0</v>
      </c>
      <c r="K73" s="126">
        <f t="shared" si="14"/>
        <v>140.9</v>
      </c>
      <c r="L73" s="148">
        <f t="shared" si="15"/>
        <v>7.045</v>
      </c>
      <c r="M73" s="149">
        <f t="shared" si="16"/>
        <v>600</v>
      </c>
      <c r="O73" s="141"/>
      <c r="P73" s="142"/>
      <c r="AV73" s="141"/>
      <c r="AW73" s="141"/>
      <c r="AY73"/>
      <c r="AZ73"/>
      <c r="BA73"/>
      <c r="BB73"/>
    </row>
    <row r="74" spans="2:54">
      <c r="B74" s="98">
        <v>71</v>
      </c>
      <c r="C74" s="126">
        <f t="shared" si="11"/>
        <v>420</v>
      </c>
      <c r="D74" s="98">
        <f t="shared" si="12"/>
        <v>40</v>
      </c>
      <c r="E74" s="98">
        <f t="shared" si="13"/>
        <v>8</v>
      </c>
      <c r="F74" s="98">
        <v>0.5</v>
      </c>
      <c r="G74" s="98">
        <f t="shared" si="10"/>
        <v>5</v>
      </c>
      <c r="H74" s="98">
        <f t="shared" si="17"/>
        <v>2</v>
      </c>
      <c r="I74" s="98">
        <f t="shared" si="18"/>
        <v>1</v>
      </c>
      <c r="J74" s="98">
        <f t="shared" si="19"/>
        <v>0</v>
      </c>
      <c r="K74" s="126">
        <f t="shared" si="14"/>
        <v>141</v>
      </c>
      <c r="L74" s="148">
        <f t="shared" si="15"/>
        <v>7.05</v>
      </c>
      <c r="M74" s="149">
        <f t="shared" si="16"/>
        <v>600</v>
      </c>
      <c r="O74" s="141"/>
      <c r="P74" s="142"/>
      <c r="AV74" s="141"/>
      <c r="AW74" s="141"/>
      <c r="AY74"/>
      <c r="AZ74"/>
      <c r="BA74"/>
      <c r="BB74"/>
    </row>
    <row r="75" spans="2:54">
      <c r="B75" s="98">
        <v>72</v>
      </c>
      <c r="C75" s="126">
        <f t="shared" si="11"/>
        <v>422</v>
      </c>
      <c r="D75" s="98">
        <f t="shared" si="12"/>
        <v>40</v>
      </c>
      <c r="E75" s="98">
        <f t="shared" si="13"/>
        <v>8</v>
      </c>
      <c r="F75" s="98">
        <v>0.5</v>
      </c>
      <c r="G75" s="98">
        <f t="shared" si="10"/>
        <v>5</v>
      </c>
      <c r="H75" s="98">
        <f t="shared" si="17"/>
        <v>2</v>
      </c>
      <c r="I75" s="98">
        <f t="shared" si="18"/>
        <v>1</v>
      </c>
      <c r="J75" s="98">
        <f t="shared" si="19"/>
        <v>0</v>
      </c>
      <c r="K75" s="126">
        <f t="shared" si="14"/>
        <v>141.1</v>
      </c>
      <c r="L75" s="148">
        <f t="shared" si="15"/>
        <v>7.055</v>
      </c>
      <c r="M75" s="149">
        <f t="shared" si="16"/>
        <v>600</v>
      </c>
      <c r="O75" s="141"/>
      <c r="P75" s="142"/>
      <c r="AV75" s="141"/>
      <c r="AW75" s="141"/>
      <c r="AY75"/>
      <c r="AZ75"/>
      <c r="BA75"/>
      <c r="BB75"/>
    </row>
    <row r="76" spans="2:54">
      <c r="B76" s="98">
        <v>73</v>
      </c>
      <c r="C76" s="126">
        <f t="shared" si="11"/>
        <v>424</v>
      </c>
      <c r="D76" s="98">
        <f t="shared" si="12"/>
        <v>40</v>
      </c>
      <c r="E76" s="98">
        <f t="shared" si="13"/>
        <v>8</v>
      </c>
      <c r="F76" s="98">
        <v>0.5</v>
      </c>
      <c r="G76" s="98">
        <f t="shared" si="10"/>
        <v>5</v>
      </c>
      <c r="H76" s="98">
        <f t="shared" si="17"/>
        <v>2</v>
      </c>
      <c r="I76" s="98">
        <f t="shared" si="18"/>
        <v>1</v>
      </c>
      <c r="J76" s="98">
        <f t="shared" si="19"/>
        <v>0</v>
      </c>
      <c r="K76" s="126">
        <f t="shared" si="14"/>
        <v>141.2</v>
      </c>
      <c r="L76" s="148">
        <f t="shared" si="15"/>
        <v>7.06</v>
      </c>
      <c r="M76" s="149">
        <f t="shared" si="16"/>
        <v>600</v>
      </c>
      <c r="O76" s="141"/>
      <c r="P76" s="142"/>
      <c r="AV76" s="141"/>
      <c r="AW76" s="141"/>
      <c r="AY76"/>
      <c r="AZ76"/>
      <c r="BA76"/>
      <c r="BB76"/>
    </row>
    <row r="77" spans="2:54">
      <c r="B77" s="98">
        <v>74</v>
      </c>
      <c r="C77" s="126">
        <f t="shared" si="11"/>
        <v>426</v>
      </c>
      <c r="D77" s="98">
        <f t="shared" si="12"/>
        <v>40</v>
      </c>
      <c r="E77" s="98">
        <f t="shared" si="13"/>
        <v>8</v>
      </c>
      <c r="F77" s="98">
        <v>0.5</v>
      </c>
      <c r="G77" s="98">
        <f t="shared" si="10"/>
        <v>5</v>
      </c>
      <c r="H77" s="98">
        <f t="shared" si="17"/>
        <v>2</v>
      </c>
      <c r="I77" s="98">
        <f t="shared" si="18"/>
        <v>1</v>
      </c>
      <c r="J77" s="98">
        <f t="shared" si="19"/>
        <v>0</v>
      </c>
      <c r="K77" s="126">
        <f t="shared" si="14"/>
        <v>141.3</v>
      </c>
      <c r="L77" s="148">
        <f t="shared" si="15"/>
        <v>7.065</v>
      </c>
      <c r="M77" s="149">
        <f t="shared" si="16"/>
        <v>600</v>
      </c>
      <c r="O77" s="141"/>
      <c r="P77" s="142"/>
      <c r="V77" s="132">
        <f>40+18+15+20</f>
        <v>93</v>
      </c>
      <c r="AV77" s="141"/>
      <c r="AW77" s="141"/>
      <c r="AY77"/>
      <c r="AZ77"/>
      <c r="BA77"/>
      <c r="BB77"/>
    </row>
    <row r="78" spans="2:54">
      <c r="B78" s="98">
        <v>75</v>
      </c>
      <c r="C78" s="126">
        <f t="shared" si="11"/>
        <v>428</v>
      </c>
      <c r="D78" s="98">
        <f t="shared" si="12"/>
        <v>40</v>
      </c>
      <c r="E78" s="98">
        <f t="shared" si="13"/>
        <v>8</v>
      </c>
      <c r="F78" s="98">
        <v>0.5</v>
      </c>
      <c r="G78" s="98">
        <f t="shared" ref="G78:G141" si="20">J387+K387</f>
        <v>5</v>
      </c>
      <c r="H78" s="98">
        <f t="shared" si="17"/>
        <v>2</v>
      </c>
      <c r="I78" s="98">
        <f t="shared" si="18"/>
        <v>1</v>
      </c>
      <c r="J78" s="98">
        <f t="shared" si="19"/>
        <v>0</v>
      </c>
      <c r="K78" s="126">
        <f t="shared" si="14"/>
        <v>141.4</v>
      </c>
      <c r="L78" s="148">
        <f t="shared" si="15"/>
        <v>7.07</v>
      </c>
      <c r="M78" s="149">
        <f t="shared" si="16"/>
        <v>600</v>
      </c>
      <c r="O78" s="141"/>
      <c r="P78" s="142"/>
      <c r="V78" s="132">
        <f>V77+15</f>
        <v>108</v>
      </c>
      <c r="AV78" s="141"/>
      <c r="AW78" s="141"/>
      <c r="AY78"/>
      <c r="AZ78"/>
      <c r="BA78"/>
      <c r="BB78"/>
    </row>
    <row r="79" spans="2:54">
      <c r="B79" s="98">
        <v>76</v>
      </c>
      <c r="C79" s="126">
        <f t="shared" si="11"/>
        <v>430</v>
      </c>
      <c r="D79" s="98">
        <f t="shared" si="12"/>
        <v>40</v>
      </c>
      <c r="E79" s="98">
        <f t="shared" si="13"/>
        <v>8</v>
      </c>
      <c r="F79" s="98">
        <v>0.5</v>
      </c>
      <c r="G79" s="98">
        <f t="shared" si="20"/>
        <v>5</v>
      </c>
      <c r="H79" s="98">
        <f t="shared" si="17"/>
        <v>2</v>
      </c>
      <c r="I79" s="98">
        <f t="shared" si="18"/>
        <v>1</v>
      </c>
      <c r="J79" s="98">
        <f t="shared" si="19"/>
        <v>0</v>
      </c>
      <c r="K79" s="126">
        <f t="shared" si="14"/>
        <v>141.5</v>
      </c>
      <c r="L79" s="148">
        <f t="shared" si="15"/>
        <v>7.075</v>
      </c>
      <c r="M79" s="149">
        <f t="shared" si="16"/>
        <v>600</v>
      </c>
      <c r="O79" s="141"/>
      <c r="P79" s="142"/>
      <c r="AV79" s="141"/>
      <c r="AW79" s="141"/>
      <c r="AY79"/>
      <c r="AZ79"/>
      <c r="BA79"/>
      <c r="BB79"/>
    </row>
    <row r="80" spans="2:54">
      <c r="B80" s="98">
        <v>77</v>
      </c>
      <c r="C80" s="126">
        <f t="shared" si="11"/>
        <v>432</v>
      </c>
      <c r="D80" s="98">
        <f t="shared" si="12"/>
        <v>40</v>
      </c>
      <c r="E80" s="98">
        <f t="shared" si="13"/>
        <v>8</v>
      </c>
      <c r="F80" s="98">
        <v>0.5</v>
      </c>
      <c r="G80" s="98">
        <f t="shared" si="20"/>
        <v>5</v>
      </c>
      <c r="H80" s="98">
        <f t="shared" si="17"/>
        <v>2</v>
      </c>
      <c r="I80" s="98">
        <f t="shared" si="18"/>
        <v>1</v>
      </c>
      <c r="J80" s="98">
        <f t="shared" si="19"/>
        <v>0</v>
      </c>
      <c r="K80" s="126">
        <f t="shared" si="14"/>
        <v>141.6</v>
      </c>
      <c r="L80" s="148">
        <f t="shared" si="15"/>
        <v>7.08</v>
      </c>
      <c r="M80" s="149">
        <f t="shared" si="16"/>
        <v>600</v>
      </c>
      <c r="O80" s="141"/>
      <c r="P80" s="142"/>
      <c r="AV80" s="141"/>
      <c r="AW80" s="141"/>
      <c r="AY80"/>
      <c r="AZ80"/>
      <c r="BA80"/>
      <c r="BB80"/>
    </row>
    <row r="81" spans="2:54">
      <c r="B81" s="98">
        <v>78</v>
      </c>
      <c r="C81" s="126">
        <f t="shared" si="11"/>
        <v>434</v>
      </c>
      <c r="D81" s="98">
        <f t="shared" si="12"/>
        <v>40</v>
      </c>
      <c r="E81" s="98">
        <f t="shared" si="13"/>
        <v>8</v>
      </c>
      <c r="F81" s="98">
        <v>0.5</v>
      </c>
      <c r="G81" s="98">
        <f t="shared" si="20"/>
        <v>5</v>
      </c>
      <c r="H81" s="98">
        <f t="shared" si="17"/>
        <v>2</v>
      </c>
      <c r="I81" s="98">
        <f t="shared" si="18"/>
        <v>1</v>
      </c>
      <c r="J81" s="98">
        <f t="shared" si="19"/>
        <v>0</v>
      </c>
      <c r="K81" s="126">
        <f t="shared" si="14"/>
        <v>141.7</v>
      </c>
      <c r="L81" s="148">
        <f t="shared" si="15"/>
        <v>7.085</v>
      </c>
      <c r="M81" s="149">
        <f t="shared" si="16"/>
        <v>600</v>
      </c>
      <c r="O81" s="141"/>
      <c r="P81" s="142"/>
      <c r="AV81" s="141"/>
      <c r="AW81" s="141"/>
      <c r="AY81"/>
      <c r="AZ81"/>
      <c r="BA81"/>
      <c r="BB81"/>
    </row>
    <row r="82" spans="2:54">
      <c r="B82" s="98">
        <v>79</v>
      </c>
      <c r="C82" s="126">
        <f t="shared" si="11"/>
        <v>436</v>
      </c>
      <c r="D82" s="98">
        <f t="shared" si="12"/>
        <v>40</v>
      </c>
      <c r="E82" s="98">
        <f t="shared" si="13"/>
        <v>8</v>
      </c>
      <c r="F82" s="98">
        <v>0.5</v>
      </c>
      <c r="G82" s="98">
        <f t="shared" si="20"/>
        <v>5</v>
      </c>
      <c r="H82" s="98">
        <f t="shared" si="17"/>
        <v>2</v>
      </c>
      <c r="I82" s="98">
        <f t="shared" si="18"/>
        <v>1</v>
      </c>
      <c r="J82" s="98">
        <f t="shared" si="19"/>
        <v>0</v>
      </c>
      <c r="K82" s="126">
        <f t="shared" si="14"/>
        <v>141.8</v>
      </c>
      <c r="L82" s="148">
        <f t="shared" si="15"/>
        <v>7.09</v>
      </c>
      <c r="M82" s="149">
        <f t="shared" si="16"/>
        <v>600</v>
      </c>
      <c r="O82" s="141"/>
      <c r="P82" s="142"/>
      <c r="AV82" s="141"/>
      <c r="AW82" s="141"/>
      <c r="AY82"/>
      <c r="AZ82"/>
      <c r="BA82"/>
      <c r="BB82"/>
    </row>
    <row r="83" spans="2:54">
      <c r="B83" s="98">
        <v>80</v>
      </c>
      <c r="C83" s="126">
        <f t="shared" si="11"/>
        <v>438</v>
      </c>
      <c r="D83" s="98">
        <f t="shared" si="12"/>
        <v>40</v>
      </c>
      <c r="E83" s="98">
        <f t="shared" si="13"/>
        <v>8</v>
      </c>
      <c r="F83" s="98">
        <v>0.5</v>
      </c>
      <c r="G83" s="98">
        <f t="shared" si="20"/>
        <v>5</v>
      </c>
      <c r="H83" s="98">
        <f t="shared" si="17"/>
        <v>2</v>
      </c>
      <c r="I83" s="98">
        <f t="shared" si="18"/>
        <v>1</v>
      </c>
      <c r="J83" s="98">
        <f t="shared" si="19"/>
        <v>0</v>
      </c>
      <c r="K83" s="126">
        <f t="shared" si="14"/>
        <v>141.9</v>
      </c>
      <c r="L83" s="148">
        <f t="shared" si="15"/>
        <v>7.095</v>
      </c>
      <c r="M83" s="149">
        <f t="shared" si="16"/>
        <v>600</v>
      </c>
      <c r="O83" s="141"/>
      <c r="P83" s="142">
        <f>408*0.05</f>
        <v>20.4</v>
      </c>
      <c r="AV83" s="141"/>
      <c r="AW83" s="141"/>
      <c r="AY83"/>
      <c r="AZ83"/>
      <c r="BA83"/>
      <c r="BB83"/>
    </row>
    <row r="84" spans="2:54">
      <c r="B84" s="98">
        <v>81</v>
      </c>
      <c r="C84" s="126">
        <f t="shared" si="11"/>
        <v>440</v>
      </c>
      <c r="D84" s="98">
        <f t="shared" si="12"/>
        <v>40</v>
      </c>
      <c r="E84" s="98">
        <f t="shared" si="13"/>
        <v>8</v>
      </c>
      <c r="F84" s="98">
        <v>0.5</v>
      </c>
      <c r="G84" s="98">
        <f t="shared" si="20"/>
        <v>5</v>
      </c>
      <c r="H84" s="98">
        <f t="shared" si="17"/>
        <v>2</v>
      </c>
      <c r="I84" s="98">
        <f t="shared" si="18"/>
        <v>1</v>
      </c>
      <c r="J84" s="98">
        <f t="shared" si="19"/>
        <v>0</v>
      </c>
      <c r="K84" s="126">
        <f t="shared" si="14"/>
        <v>142</v>
      </c>
      <c r="L84" s="148">
        <f t="shared" si="15"/>
        <v>7.1</v>
      </c>
      <c r="M84" s="149">
        <f t="shared" si="16"/>
        <v>600</v>
      </c>
      <c r="O84" s="141"/>
      <c r="P84" s="142"/>
      <c r="AV84" s="141"/>
      <c r="AW84" s="141"/>
      <c r="AY84"/>
      <c r="AZ84"/>
      <c r="BA84"/>
      <c r="BB84"/>
    </row>
    <row r="85" spans="2:54">
      <c r="B85" s="98">
        <v>82</v>
      </c>
      <c r="C85" s="126">
        <f t="shared" si="11"/>
        <v>442</v>
      </c>
      <c r="D85" s="98">
        <f t="shared" si="12"/>
        <v>40</v>
      </c>
      <c r="E85" s="98">
        <f t="shared" si="13"/>
        <v>8</v>
      </c>
      <c r="F85" s="98">
        <v>0.5</v>
      </c>
      <c r="G85" s="98">
        <f t="shared" si="20"/>
        <v>5</v>
      </c>
      <c r="H85" s="98">
        <f t="shared" si="17"/>
        <v>2</v>
      </c>
      <c r="I85" s="98">
        <f t="shared" si="18"/>
        <v>1</v>
      </c>
      <c r="J85" s="98">
        <f t="shared" si="19"/>
        <v>0</v>
      </c>
      <c r="K85" s="126">
        <f t="shared" si="14"/>
        <v>142.1</v>
      </c>
      <c r="L85" s="148">
        <f t="shared" si="15"/>
        <v>7.105</v>
      </c>
      <c r="M85" s="149">
        <f t="shared" si="16"/>
        <v>600</v>
      </c>
      <c r="O85" s="141"/>
      <c r="P85" s="142"/>
      <c r="AV85" s="141"/>
      <c r="AW85" s="141"/>
      <c r="AY85"/>
      <c r="AZ85"/>
      <c r="BA85"/>
      <c r="BB85"/>
    </row>
    <row r="86" spans="2:54">
      <c r="B86" s="98">
        <v>83</v>
      </c>
      <c r="C86" s="126">
        <f t="shared" si="11"/>
        <v>444</v>
      </c>
      <c r="D86" s="98">
        <f t="shared" si="12"/>
        <v>40</v>
      </c>
      <c r="E86" s="98">
        <f t="shared" si="13"/>
        <v>8</v>
      </c>
      <c r="F86" s="98">
        <v>0.5</v>
      </c>
      <c r="G86" s="98">
        <f t="shared" si="20"/>
        <v>5</v>
      </c>
      <c r="H86" s="98">
        <f t="shared" si="17"/>
        <v>2</v>
      </c>
      <c r="I86" s="98">
        <f t="shared" si="18"/>
        <v>1</v>
      </c>
      <c r="J86" s="98">
        <f t="shared" si="19"/>
        <v>0</v>
      </c>
      <c r="K86" s="126">
        <f t="shared" si="14"/>
        <v>142.2</v>
      </c>
      <c r="L86" s="148">
        <f t="shared" si="15"/>
        <v>7.11</v>
      </c>
      <c r="M86" s="149">
        <f t="shared" si="16"/>
        <v>600</v>
      </c>
      <c r="O86" s="141"/>
      <c r="P86" s="142"/>
      <c r="AV86" s="141"/>
      <c r="AW86" s="141"/>
      <c r="AY86"/>
      <c r="AZ86"/>
      <c r="BA86"/>
      <c r="BB86"/>
    </row>
    <row r="87" spans="2:54">
      <c r="B87" s="98">
        <v>84</v>
      </c>
      <c r="C87" s="126">
        <f t="shared" si="11"/>
        <v>446</v>
      </c>
      <c r="D87" s="98">
        <f t="shared" si="12"/>
        <v>40</v>
      </c>
      <c r="E87" s="98">
        <f t="shared" si="13"/>
        <v>8</v>
      </c>
      <c r="F87" s="98">
        <v>0.5</v>
      </c>
      <c r="G87" s="98">
        <f t="shared" si="20"/>
        <v>5</v>
      </c>
      <c r="H87" s="98">
        <f t="shared" si="17"/>
        <v>2</v>
      </c>
      <c r="I87" s="98">
        <f t="shared" si="18"/>
        <v>1</v>
      </c>
      <c r="J87" s="98">
        <f t="shared" si="19"/>
        <v>0</v>
      </c>
      <c r="K87" s="126">
        <f t="shared" si="14"/>
        <v>142.3</v>
      </c>
      <c r="L87" s="148">
        <f t="shared" si="15"/>
        <v>7.115</v>
      </c>
      <c r="M87" s="149">
        <f t="shared" si="16"/>
        <v>600</v>
      </c>
      <c r="O87" s="141"/>
      <c r="P87" s="142"/>
      <c r="AV87" s="141"/>
      <c r="AW87" s="141"/>
      <c r="AY87"/>
      <c r="AZ87"/>
      <c r="BA87"/>
      <c r="BB87"/>
    </row>
    <row r="88" spans="2:54">
      <c r="B88" s="98">
        <v>85</v>
      </c>
      <c r="C88" s="126">
        <f t="shared" si="11"/>
        <v>448</v>
      </c>
      <c r="D88" s="98">
        <f t="shared" si="12"/>
        <v>40</v>
      </c>
      <c r="E88" s="98">
        <f t="shared" si="13"/>
        <v>8</v>
      </c>
      <c r="F88" s="98">
        <v>0.5</v>
      </c>
      <c r="G88" s="98">
        <f t="shared" si="20"/>
        <v>5</v>
      </c>
      <c r="H88" s="98">
        <f t="shared" si="17"/>
        <v>2</v>
      </c>
      <c r="I88" s="98">
        <f t="shared" si="18"/>
        <v>1</v>
      </c>
      <c r="J88" s="98">
        <f t="shared" si="19"/>
        <v>0</v>
      </c>
      <c r="K88" s="126">
        <f t="shared" si="14"/>
        <v>142.4</v>
      </c>
      <c r="L88" s="148">
        <f t="shared" si="15"/>
        <v>7.12</v>
      </c>
      <c r="M88" s="149">
        <f t="shared" si="16"/>
        <v>600</v>
      </c>
      <c r="O88" s="141"/>
      <c r="P88" s="142"/>
      <c r="AV88" s="141"/>
      <c r="AW88" s="141"/>
      <c r="AY88"/>
      <c r="AZ88"/>
      <c r="BA88"/>
      <c r="BB88"/>
    </row>
    <row r="89" spans="2:54">
      <c r="B89" s="98">
        <v>86</v>
      </c>
      <c r="C89" s="126">
        <f t="shared" si="11"/>
        <v>450</v>
      </c>
      <c r="D89" s="98">
        <f t="shared" si="12"/>
        <v>40</v>
      </c>
      <c r="E89" s="98">
        <f t="shared" si="13"/>
        <v>8</v>
      </c>
      <c r="F89" s="98">
        <v>0.5</v>
      </c>
      <c r="G89" s="98">
        <f t="shared" si="20"/>
        <v>5</v>
      </c>
      <c r="H89" s="98">
        <f t="shared" si="17"/>
        <v>2</v>
      </c>
      <c r="I89" s="98">
        <f t="shared" si="18"/>
        <v>1</v>
      </c>
      <c r="J89" s="98">
        <f t="shared" si="19"/>
        <v>0</v>
      </c>
      <c r="K89" s="126">
        <f t="shared" si="14"/>
        <v>142.5</v>
      </c>
      <c r="L89" s="148">
        <f t="shared" si="15"/>
        <v>7.125</v>
      </c>
      <c r="M89" s="149">
        <f t="shared" si="16"/>
        <v>600</v>
      </c>
      <c r="O89" s="141"/>
      <c r="P89" s="142"/>
      <c r="AV89" s="141"/>
      <c r="AW89" s="141"/>
      <c r="AY89"/>
      <c r="AZ89"/>
      <c r="BA89"/>
      <c r="BB89"/>
    </row>
    <row r="90" spans="2:54">
      <c r="B90" s="98">
        <v>87</v>
      </c>
      <c r="C90" s="126">
        <f t="shared" si="11"/>
        <v>452</v>
      </c>
      <c r="D90" s="98">
        <f t="shared" si="12"/>
        <v>40</v>
      </c>
      <c r="E90" s="98">
        <f t="shared" si="13"/>
        <v>8</v>
      </c>
      <c r="F90" s="98">
        <v>0.5</v>
      </c>
      <c r="G90" s="98">
        <f t="shared" si="20"/>
        <v>5</v>
      </c>
      <c r="H90" s="98">
        <f t="shared" si="17"/>
        <v>2</v>
      </c>
      <c r="I90" s="98">
        <f t="shared" si="18"/>
        <v>1</v>
      </c>
      <c r="J90" s="98">
        <f t="shared" si="19"/>
        <v>0</v>
      </c>
      <c r="K90" s="126">
        <f t="shared" si="14"/>
        <v>142.6</v>
      </c>
      <c r="L90" s="148">
        <f t="shared" si="15"/>
        <v>7.13</v>
      </c>
      <c r="M90" s="149">
        <f t="shared" si="16"/>
        <v>600</v>
      </c>
      <c r="O90" s="141"/>
      <c r="P90" s="142"/>
      <c r="AV90" s="141"/>
      <c r="AW90" s="141"/>
      <c r="AY90"/>
      <c r="AZ90"/>
      <c r="BA90"/>
      <c r="BB90"/>
    </row>
    <row r="91" spans="2:54">
      <c r="B91" s="98">
        <v>88</v>
      </c>
      <c r="C91" s="126">
        <f t="shared" si="11"/>
        <v>454</v>
      </c>
      <c r="D91" s="98">
        <f t="shared" si="12"/>
        <v>40</v>
      </c>
      <c r="E91" s="98">
        <f t="shared" si="13"/>
        <v>8</v>
      </c>
      <c r="F91" s="98">
        <v>0.5</v>
      </c>
      <c r="G91" s="98">
        <f t="shared" si="20"/>
        <v>5</v>
      </c>
      <c r="H91" s="98">
        <f t="shared" si="17"/>
        <v>2</v>
      </c>
      <c r="I91" s="98">
        <f t="shared" si="18"/>
        <v>1</v>
      </c>
      <c r="J91" s="98">
        <f t="shared" si="19"/>
        <v>0</v>
      </c>
      <c r="K91" s="126">
        <f t="shared" si="14"/>
        <v>142.7</v>
      </c>
      <c r="L91" s="148">
        <f t="shared" si="15"/>
        <v>7.135</v>
      </c>
      <c r="M91" s="149">
        <f t="shared" si="16"/>
        <v>600</v>
      </c>
      <c r="O91" s="141"/>
      <c r="P91" s="142"/>
      <c r="R91" s="150">
        <v>0.5</v>
      </c>
      <c r="S91" s="132">
        <v>50</v>
      </c>
      <c r="AV91" s="141"/>
      <c r="AW91" s="141"/>
      <c r="AY91"/>
      <c r="AZ91"/>
      <c r="BA91"/>
      <c r="BB91"/>
    </row>
    <row r="92" spans="2:54">
      <c r="B92" s="98">
        <v>89</v>
      </c>
      <c r="C92" s="126">
        <f t="shared" si="11"/>
        <v>456</v>
      </c>
      <c r="D92" s="98">
        <f t="shared" si="12"/>
        <v>40</v>
      </c>
      <c r="E92" s="98">
        <f t="shared" si="13"/>
        <v>8</v>
      </c>
      <c r="F92" s="98">
        <v>0.5</v>
      </c>
      <c r="G92" s="98">
        <f t="shared" si="20"/>
        <v>5</v>
      </c>
      <c r="H92" s="98">
        <f t="shared" si="17"/>
        <v>2</v>
      </c>
      <c r="I92" s="98">
        <f t="shared" si="18"/>
        <v>1</v>
      </c>
      <c r="J92" s="98">
        <f t="shared" si="19"/>
        <v>0</v>
      </c>
      <c r="K92" s="126">
        <f t="shared" si="14"/>
        <v>142.8</v>
      </c>
      <c r="L92" s="148">
        <f t="shared" si="15"/>
        <v>7.14</v>
      </c>
      <c r="M92" s="149">
        <f t="shared" si="16"/>
        <v>600</v>
      </c>
      <c r="O92" s="141"/>
      <c r="P92" s="142"/>
      <c r="R92" s="150">
        <v>0.2</v>
      </c>
      <c r="S92" s="132">
        <v>60</v>
      </c>
      <c r="AV92" s="141"/>
      <c r="AW92" s="141"/>
      <c r="AY92"/>
      <c r="AZ92"/>
      <c r="BA92"/>
      <c r="BB92"/>
    </row>
    <row r="93" spans="2:54">
      <c r="B93" s="98">
        <v>90</v>
      </c>
      <c r="C93" s="126">
        <f t="shared" si="11"/>
        <v>458</v>
      </c>
      <c r="D93" s="98">
        <f t="shared" si="12"/>
        <v>40</v>
      </c>
      <c r="E93" s="98">
        <f t="shared" si="13"/>
        <v>8</v>
      </c>
      <c r="F93" s="98">
        <v>0.5</v>
      </c>
      <c r="G93" s="98">
        <f t="shared" si="20"/>
        <v>5</v>
      </c>
      <c r="H93" s="98">
        <f t="shared" si="17"/>
        <v>2</v>
      </c>
      <c r="I93" s="98">
        <f t="shared" si="18"/>
        <v>1</v>
      </c>
      <c r="J93" s="98">
        <f t="shared" si="19"/>
        <v>0</v>
      </c>
      <c r="K93" s="126">
        <f t="shared" si="14"/>
        <v>142.9</v>
      </c>
      <c r="L93" s="148">
        <f t="shared" si="15"/>
        <v>7.145</v>
      </c>
      <c r="M93" s="149">
        <f t="shared" si="16"/>
        <v>600</v>
      </c>
      <c r="O93" s="141"/>
      <c r="P93" s="142"/>
      <c r="R93" s="150">
        <v>0.24</v>
      </c>
      <c r="S93" s="132">
        <v>50</v>
      </c>
      <c r="AV93" s="141"/>
      <c r="AW93" s="141"/>
      <c r="AY93"/>
      <c r="AZ93"/>
      <c r="BA93"/>
      <c r="BB93"/>
    </row>
    <row r="94" spans="2:54">
      <c r="B94" s="98">
        <v>91</v>
      </c>
      <c r="C94" s="126">
        <f t="shared" si="11"/>
        <v>460</v>
      </c>
      <c r="D94" s="98">
        <f t="shared" si="12"/>
        <v>40</v>
      </c>
      <c r="E94" s="98">
        <f t="shared" si="13"/>
        <v>8</v>
      </c>
      <c r="F94" s="98">
        <v>0.5</v>
      </c>
      <c r="G94" s="98">
        <f t="shared" si="20"/>
        <v>5</v>
      </c>
      <c r="H94" s="98">
        <f t="shared" si="17"/>
        <v>2</v>
      </c>
      <c r="I94" s="98">
        <f t="shared" si="18"/>
        <v>1</v>
      </c>
      <c r="J94" s="98">
        <f t="shared" si="19"/>
        <v>0</v>
      </c>
      <c r="K94" s="126">
        <f t="shared" si="14"/>
        <v>143</v>
      </c>
      <c r="L94" s="148">
        <f t="shared" si="15"/>
        <v>7.15</v>
      </c>
      <c r="M94" s="149">
        <f t="shared" si="16"/>
        <v>600</v>
      </c>
      <c r="O94" s="141"/>
      <c r="P94" s="142"/>
      <c r="R94" s="150">
        <v>0.06</v>
      </c>
      <c r="S94" s="132">
        <v>280</v>
      </c>
      <c r="AV94" s="141"/>
      <c r="AW94" s="141"/>
      <c r="AY94"/>
      <c r="AZ94"/>
      <c r="BA94"/>
      <c r="BB94"/>
    </row>
    <row r="95" spans="2:54">
      <c r="B95" s="98">
        <v>92</v>
      </c>
      <c r="C95" s="126">
        <f t="shared" si="11"/>
        <v>462</v>
      </c>
      <c r="D95" s="98">
        <f t="shared" si="12"/>
        <v>40</v>
      </c>
      <c r="E95" s="98">
        <f t="shared" si="13"/>
        <v>8</v>
      </c>
      <c r="F95" s="98">
        <v>0.5</v>
      </c>
      <c r="G95" s="98">
        <f t="shared" si="20"/>
        <v>5</v>
      </c>
      <c r="H95" s="98">
        <f t="shared" si="17"/>
        <v>2</v>
      </c>
      <c r="I95" s="98">
        <f t="shared" si="18"/>
        <v>1</v>
      </c>
      <c r="J95" s="98">
        <f t="shared" si="19"/>
        <v>0</v>
      </c>
      <c r="K95" s="126">
        <f t="shared" si="14"/>
        <v>143.1</v>
      </c>
      <c r="L95" s="148">
        <f t="shared" si="15"/>
        <v>7.155</v>
      </c>
      <c r="M95" s="149">
        <f t="shared" si="16"/>
        <v>600</v>
      </c>
      <c r="O95" s="141"/>
      <c r="P95" s="142"/>
      <c r="AV95" s="141"/>
      <c r="AW95" s="141"/>
      <c r="AY95"/>
      <c r="AZ95"/>
      <c r="BA95"/>
      <c r="BB95"/>
    </row>
    <row r="96" spans="2:54">
      <c r="B96" s="98">
        <v>93</v>
      </c>
      <c r="C96" s="126">
        <f t="shared" si="11"/>
        <v>464</v>
      </c>
      <c r="D96" s="98">
        <f t="shared" si="12"/>
        <v>40</v>
      </c>
      <c r="E96" s="98">
        <f t="shared" si="13"/>
        <v>8</v>
      </c>
      <c r="F96" s="98">
        <v>0.5</v>
      </c>
      <c r="G96" s="98">
        <f t="shared" si="20"/>
        <v>5</v>
      </c>
      <c r="H96" s="98">
        <f t="shared" si="17"/>
        <v>2</v>
      </c>
      <c r="I96" s="98">
        <f t="shared" si="18"/>
        <v>1</v>
      </c>
      <c r="J96" s="98">
        <f t="shared" si="19"/>
        <v>0</v>
      </c>
      <c r="K96" s="126">
        <f t="shared" si="14"/>
        <v>143.2</v>
      </c>
      <c r="L96" s="148">
        <f t="shared" si="15"/>
        <v>7.16</v>
      </c>
      <c r="M96" s="149">
        <f t="shared" si="16"/>
        <v>600</v>
      </c>
      <c r="O96" s="141"/>
      <c r="P96" s="142"/>
      <c r="S96" s="132" cm="1">
        <f t="array" ref="S96">SUMPRODUCT(R91:R94,S91:S94)</f>
        <v>65.8</v>
      </c>
      <c r="AV96" s="141"/>
      <c r="AW96" s="141"/>
      <c r="AY96"/>
      <c r="AZ96"/>
      <c r="BA96"/>
      <c r="BB96"/>
    </row>
    <row r="97" spans="2:54">
      <c r="B97" s="98">
        <v>94</v>
      </c>
      <c r="C97" s="126">
        <f t="shared" si="11"/>
        <v>466</v>
      </c>
      <c r="D97" s="98">
        <f t="shared" si="12"/>
        <v>40</v>
      </c>
      <c r="E97" s="98">
        <f t="shared" si="13"/>
        <v>8</v>
      </c>
      <c r="F97" s="98">
        <v>0.5</v>
      </c>
      <c r="G97" s="98">
        <f t="shared" si="20"/>
        <v>5</v>
      </c>
      <c r="H97" s="98">
        <f t="shared" si="17"/>
        <v>2</v>
      </c>
      <c r="I97" s="98">
        <f t="shared" si="18"/>
        <v>1</v>
      </c>
      <c r="J97" s="98">
        <f t="shared" si="19"/>
        <v>0</v>
      </c>
      <c r="K97" s="126">
        <f t="shared" si="14"/>
        <v>143.3</v>
      </c>
      <c r="L97" s="148">
        <f t="shared" si="15"/>
        <v>7.165</v>
      </c>
      <c r="M97" s="149">
        <f t="shared" si="16"/>
        <v>600</v>
      </c>
      <c r="O97" s="141"/>
      <c r="P97" s="142"/>
      <c r="AV97" s="141"/>
      <c r="AW97" s="141"/>
      <c r="AY97"/>
      <c r="AZ97"/>
      <c r="BA97"/>
      <c r="BB97"/>
    </row>
    <row r="98" spans="2:54">
      <c r="B98" s="98">
        <v>95</v>
      </c>
      <c r="C98" s="126">
        <f t="shared" si="11"/>
        <v>468</v>
      </c>
      <c r="D98" s="98">
        <f t="shared" si="12"/>
        <v>40</v>
      </c>
      <c r="E98" s="98">
        <f t="shared" si="13"/>
        <v>8</v>
      </c>
      <c r="F98" s="98">
        <v>0.5</v>
      </c>
      <c r="G98" s="98">
        <f t="shared" si="20"/>
        <v>5</v>
      </c>
      <c r="H98" s="98">
        <f t="shared" si="17"/>
        <v>2</v>
      </c>
      <c r="I98" s="98">
        <f t="shared" si="18"/>
        <v>1</v>
      </c>
      <c r="J98" s="98">
        <f t="shared" si="19"/>
        <v>0</v>
      </c>
      <c r="K98" s="126">
        <f t="shared" si="14"/>
        <v>143.4</v>
      </c>
      <c r="L98" s="148">
        <f t="shared" si="15"/>
        <v>7.17</v>
      </c>
      <c r="M98" s="149">
        <f t="shared" si="16"/>
        <v>600</v>
      </c>
      <c r="O98" s="141"/>
      <c r="P98" s="142"/>
      <c r="AV98" s="141"/>
      <c r="AW98" s="141"/>
      <c r="AY98"/>
      <c r="AZ98"/>
      <c r="BA98"/>
      <c r="BB98"/>
    </row>
    <row r="99" spans="2:54">
      <c r="B99" s="98">
        <v>96</v>
      </c>
      <c r="C99" s="126">
        <f t="shared" si="11"/>
        <v>470</v>
      </c>
      <c r="D99" s="98">
        <f t="shared" si="12"/>
        <v>40</v>
      </c>
      <c r="E99" s="98">
        <f t="shared" si="13"/>
        <v>8</v>
      </c>
      <c r="F99" s="98">
        <v>0.5</v>
      </c>
      <c r="G99" s="98">
        <f t="shared" si="20"/>
        <v>5</v>
      </c>
      <c r="H99" s="98">
        <f t="shared" si="17"/>
        <v>2</v>
      </c>
      <c r="I99" s="98">
        <f t="shared" si="18"/>
        <v>1</v>
      </c>
      <c r="J99" s="98">
        <f t="shared" si="19"/>
        <v>0</v>
      </c>
      <c r="K99" s="126">
        <f t="shared" si="14"/>
        <v>143.5</v>
      </c>
      <c r="L99" s="148">
        <f t="shared" si="15"/>
        <v>7.175</v>
      </c>
      <c r="M99" s="149">
        <f t="shared" si="16"/>
        <v>600</v>
      </c>
      <c r="O99" s="141"/>
      <c r="P99" s="142"/>
      <c r="AV99" s="141"/>
      <c r="AW99" s="141"/>
      <c r="AY99"/>
      <c r="AZ99"/>
      <c r="BA99"/>
      <c r="BB99"/>
    </row>
    <row r="100" spans="2:54">
      <c r="B100" s="98">
        <v>97</v>
      </c>
      <c r="C100" s="126">
        <f t="shared" si="11"/>
        <v>472</v>
      </c>
      <c r="D100" s="98">
        <f t="shared" si="12"/>
        <v>40</v>
      </c>
      <c r="E100" s="98">
        <f t="shared" si="13"/>
        <v>8</v>
      </c>
      <c r="F100" s="98">
        <v>0.5</v>
      </c>
      <c r="G100" s="98">
        <f t="shared" si="20"/>
        <v>5</v>
      </c>
      <c r="H100" s="98">
        <f t="shared" si="17"/>
        <v>2</v>
      </c>
      <c r="I100" s="98">
        <f t="shared" si="18"/>
        <v>1</v>
      </c>
      <c r="J100" s="98">
        <f t="shared" si="19"/>
        <v>0</v>
      </c>
      <c r="K100" s="126">
        <f t="shared" si="14"/>
        <v>143.6</v>
      </c>
      <c r="L100" s="148">
        <f t="shared" si="15"/>
        <v>7.18</v>
      </c>
      <c r="M100" s="149">
        <f t="shared" si="16"/>
        <v>600</v>
      </c>
      <c r="O100" s="141"/>
      <c r="P100" s="142"/>
      <c r="AV100" s="141"/>
      <c r="AW100" s="141"/>
      <c r="AY100"/>
      <c r="AZ100"/>
      <c r="BA100"/>
      <c r="BB100"/>
    </row>
    <row r="101" spans="2:54">
      <c r="B101" s="98">
        <v>98</v>
      </c>
      <c r="C101" s="126">
        <f t="shared" si="11"/>
        <v>474</v>
      </c>
      <c r="D101" s="98">
        <f t="shared" si="12"/>
        <v>40</v>
      </c>
      <c r="E101" s="98">
        <f t="shared" si="13"/>
        <v>8</v>
      </c>
      <c r="F101" s="98">
        <v>0.5</v>
      </c>
      <c r="G101" s="98">
        <f t="shared" si="20"/>
        <v>5</v>
      </c>
      <c r="H101" s="98">
        <f t="shared" si="17"/>
        <v>2</v>
      </c>
      <c r="I101" s="98">
        <f t="shared" si="18"/>
        <v>1</v>
      </c>
      <c r="J101" s="98">
        <f t="shared" si="19"/>
        <v>0</v>
      </c>
      <c r="K101" s="126">
        <f t="shared" si="14"/>
        <v>143.7</v>
      </c>
      <c r="L101" s="148">
        <f t="shared" si="15"/>
        <v>7.185</v>
      </c>
      <c r="M101" s="149">
        <f t="shared" si="16"/>
        <v>600</v>
      </c>
      <c r="O101" s="141"/>
      <c r="P101" s="142"/>
      <c r="AV101" s="141"/>
      <c r="AW101" s="141"/>
      <c r="AY101"/>
      <c r="AZ101"/>
      <c r="BA101"/>
      <c r="BB101"/>
    </row>
    <row r="102" spans="2:54">
      <c r="B102" s="98">
        <v>99</v>
      </c>
      <c r="C102" s="126">
        <f t="shared" si="11"/>
        <v>476</v>
      </c>
      <c r="D102" s="98">
        <f t="shared" si="12"/>
        <v>40</v>
      </c>
      <c r="E102" s="98">
        <f t="shared" si="13"/>
        <v>8</v>
      </c>
      <c r="F102" s="98">
        <v>0.5</v>
      </c>
      <c r="G102" s="98">
        <f t="shared" si="20"/>
        <v>5</v>
      </c>
      <c r="H102" s="98">
        <f t="shared" si="17"/>
        <v>2</v>
      </c>
      <c r="I102" s="98">
        <f t="shared" si="18"/>
        <v>1</v>
      </c>
      <c r="J102" s="98">
        <f t="shared" si="19"/>
        <v>0</v>
      </c>
      <c r="K102" s="126">
        <f t="shared" si="14"/>
        <v>143.8</v>
      </c>
      <c r="L102" s="148">
        <f t="shared" si="15"/>
        <v>7.19</v>
      </c>
      <c r="M102" s="149">
        <f t="shared" si="16"/>
        <v>600</v>
      </c>
      <c r="O102" s="141"/>
      <c r="P102" s="142"/>
      <c r="AV102" s="141"/>
      <c r="AW102" s="141"/>
      <c r="AY102"/>
      <c r="AZ102"/>
      <c r="BA102"/>
      <c r="BB102"/>
    </row>
    <row r="103" spans="2:54">
      <c r="B103" s="98">
        <v>100</v>
      </c>
      <c r="C103" s="126">
        <f t="shared" si="11"/>
        <v>478</v>
      </c>
      <c r="D103" s="98">
        <f t="shared" si="12"/>
        <v>40</v>
      </c>
      <c r="E103" s="98">
        <f t="shared" si="13"/>
        <v>8</v>
      </c>
      <c r="F103" s="98">
        <v>0.5</v>
      </c>
      <c r="G103" s="98">
        <f t="shared" si="20"/>
        <v>5</v>
      </c>
      <c r="H103" s="98">
        <f t="shared" si="17"/>
        <v>2</v>
      </c>
      <c r="I103" s="98">
        <f t="shared" si="18"/>
        <v>1</v>
      </c>
      <c r="J103" s="98">
        <f t="shared" si="19"/>
        <v>0</v>
      </c>
      <c r="K103" s="126">
        <f t="shared" si="14"/>
        <v>143.9</v>
      </c>
      <c r="L103" s="148">
        <f t="shared" si="15"/>
        <v>7.195</v>
      </c>
      <c r="M103" s="149">
        <f t="shared" si="16"/>
        <v>600</v>
      </c>
      <c r="O103" s="141"/>
      <c r="P103" s="142"/>
      <c r="AV103" s="141"/>
      <c r="AW103" s="141"/>
      <c r="AY103"/>
      <c r="AZ103"/>
      <c r="BA103"/>
      <c r="BB103"/>
    </row>
    <row r="104" spans="2:54">
      <c r="B104" s="98">
        <v>101</v>
      </c>
      <c r="C104" s="126">
        <f t="shared" si="11"/>
        <v>480</v>
      </c>
      <c r="D104" s="98">
        <f t="shared" si="12"/>
        <v>40</v>
      </c>
      <c r="E104" s="98">
        <f t="shared" si="13"/>
        <v>8</v>
      </c>
      <c r="F104" s="98">
        <v>0.5</v>
      </c>
      <c r="G104" s="98">
        <f t="shared" si="20"/>
        <v>5</v>
      </c>
      <c r="H104" s="98">
        <f t="shared" si="17"/>
        <v>2</v>
      </c>
      <c r="I104" s="98">
        <f t="shared" si="18"/>
        <v>1</v>
      </c>
      <c r="J104" s="98">
        <f t="shared" si="19"/>
        <v>0</v>
      </c>
      <c r="K104" s="126">
        <f t="shared" si="14"/>
        <v>144</v>
      </c>
      <c r="L104" s="148">
        <f t="shared" si="15"/>
        <v>7.2</v>
      </c>
      <c r="M104" s="149">
        <f t="shared" si="16"/>
        <v>600</v>
      </c>
      <c r="O104" s="141"/>
      <c r="P104" s="142"/>
      <c r="AV104" s="141"/>
      <c r="AW104" s="141"/>
      <c r="AY104"/>
      <c r="AZ104"/>
      <c r="BA104"/>
      <c r="BB104"/>
    </row>
    <row r="105" spans="2:54">
      <c r="B105" s="98">
        <v>102</v>
      </c>
      <c r="C105" s="126">
        <f t="shared" si="11"/>
        <v>482</v>
      </c>
      <c r="D105" s="98">
        <f t="shared" si="12"/>
        <v>40</v>
      </c>
      <c r="E105" s="98">
        <f t="shared" si="13"/>
        <v>8</v>
      </c>
      <c r="F105" s="98">
        <v>0.5</v>
      </c>
      <c r="G105" s="98">
        <f t="shared" si="20"/>
        <v>5</v>
      </c>
      <c r="H105" s="98">
        <f t="shared" si="17"/>
        <v>2</v>
      </c>
      <c r="I105" s="98">
        <f t="shared" si="18"/>
        <v>1</v>
      </c>
      <c r="J105" s="98">
        <f t="shared" si="19"/>
        <v>0</v>
      </c>
      <c r="K105" s="126">
        <f t="shared" si="14"/>
        <v>144.1</v>
      </c>
      <c r="L105" s="148">
        <f t="shared" si="15"/>
        <v>7.205</v>
      </c>
      <c r="M105" s="149">
        <f t="shared" si="16"/>
        <v>600</v>
      </c>
      <c r="O105" s="141"/>
      <c r="P105" s="142"/>
      <c r="AV105" s="141"/>
      <c r="AW105" s="141"/>
      <c r="AY105"/>
      <c r="AZ105"/>
      <c r="BA105"/>
      <c r="BB105"/>
    </row>
    <row r="106" spans="2:54">
      <c r="B106" s="98">
        <v>103</v>
      </c>
      <c r="C106" s="126">
        <f t="shared" si="11"/>
        <v>484</v>
      </c>
      <c r="D106" s="98">
        <f t="shared" si="12"/>
        <v>40</v>
      </c>
      <c r="E106" s="98">
        <f t="shared" si="13"/>
        <v>8</v>
      </c>
      <c r="F106" s="98">
        <v>0.5</v>
      </c>
      <c r="G106" s="98">
        <f t="shared" si="20"/>
        <v>5</v>
      </c>
      <c r="H106" s="98">
        <f t="shared" si="17"/>
        <v>2</v>
      </c>
      <c r="I106" s="98">
        <f t="shared" si="18"/>
        <v>1</v>
      </c>
      <c r="J106" s="98">
        <f t="shared" si="19"/>
        <v>0</v>
      </c>
      <c r="K106" s="126">
        <f t="shared" si="14"/>
        <v>144.2</v>
      </c>
      <c r="L106" s="148">
        <f t="shared" si="15"/>
        <v>7.21</v>
      </c>
      <c r="M106" s="149">
        <f t="shared" si="16"/>
        <v>600</v>
      </c>
      <c r="O106" s="141"/>
      <c r="P106" s="142"/>
      <c r="AV106" s="141"/>
      <c r="AW106" s="141"/>
      <c r="AY106"/>
      <c r="AZ106"/>
      <c r="BA106"/>
      <c r="BB106"/>
    </row>
    <row r="107" spans="2:54">
      <c r="B107" s="98">
        <v>104</v>
      </c>
      <c r="C107" s="126">
        <f t="shared" si="11"/>
        <v>486</v>
      </c>
      <c r="D107" s="98">
        <f t="shared" si="12"/>
        <v>40</v>
      </c>
      <c r="E107" s="98">
        <f t="shared" si="13"/>
        <v>8</v>
      </c>
      <c r="F107" s="98">
        <v>0.5</v>
      </c>
      <c r="G107" s="98">
        <f t="shared" si="20"/>
        <v>5</v>
      </c>
      <c r="H107" s="98">
        <f t="shared" si="17"/>
        <v>2</v>
      </c>
      <c r="I107" s="98">
        <f t="shared" si="18"/>
        <v>1</v>
      </c>
      <c r="J107" s="98">
        <f t="shared" si="19"/>
        <v>0</v>
      </c>
      <c r="K107" s="126">
        <f t="shared" si="14"/>
        <v>144.3</v>
      </c>
      <c r="L107" s="148">
        <f t="shared" si="15"/>
        <v>7.215</v>
      </c>
      <c r="M107" s="149">
        <f t="shared" si="16"/>
        <v>600</v>
      </c>
      <c r="O107" s="141"/>
      <c r="P107" s="142"/>
      <c r="AV107" s="141"/>
      <c r="AW107" s="141"/>
      <c r="AY107"/>
      <c r="AZ107"/>
      <c r="BA107"/>
      <c r="BB107"/>
    </row>
    <row r="108" spans="2:54">
      <c r="B108" s="98">
        <v>105</v>
      </c>
      <c r="C108" s="126">
        <f t="shared" si="11"/>
        <v>488</v>
      </c>
      <c r="D108" s="98">
        <f t="shared" si="12"/>
        <v>40</v>
      </c>
      <c r="E108" s="98">
        <f t="shared" si="13"/>
        <v>8</v>
      </c>
      <c r="F108" s="98">
        <v>0.5</v>
      </c>
      <c r="G108" s="98">
        <f t="shared" si="20"/>
        <v>5</v>
      </c>
      <c r="H108" s="98">
        <f t="shared" si="17"/>
        <v>2</v>
      </c>
      <c r="I108" s="98">
        <f t="shared" si="18"/>
        <v>1</v>
      </c>
      <c r="J108" s="98">
        <f t="shared" si="19"/>
        <v>0</v>
      </c>
      <c r="K108" s="126">
        <f t="shared" si="14"/>
        <v>144.4</v>
      </c>
      <c r="L108" s="148">
        <f t="shared" si="15"/>
        <v>7.22</v>
      </c>
      <c r="M108" s="149">
        <f t="shared" si="16"/>
        <v>600</v>
      </c>
      <c r="O108" s="141"/>
      <c r="P108" s="142"/>
      <c r="AV108" s="141"/>
      <c r="AW108" s="141"/>
      <c r="AY108"/>
      <c r="AZ108"/>
      <c r="BA108"/>
      <c r="BB108"/>
    </row>
    <row r="109" spans="2:54">
      <c r="B109" s="98">
        <v>106</v>
      </c>
      <c r="C109" s="126">
        <f t="shared" si="11"/>
        <v>490</v>
      </c>
      <c r="D109" s="98">
        <f t="shared" si="12"/>
        <v>40</v>
      </c>
      <c r="E109" s="98">
        <f t="shared" si="13"/>
        <v>8</v>
      </c>
      <c r="F109" s="98">
        <v>0.5</v>
      </c>
      <c r="G109" s="98">
        <f t="shared" si="20"/>
        <v>5</v>
      </c>
      <c r="H109" s="98">
        <f t="shared" si="17"/>
        <v>2</v>
      </c>
      <c r="I109" s="98">
        <f t="shared" si="18"/>
        <v>1</v>
      </c>
      <c r="J109" s="98">
        <f t="shared" si="19"/>
        <v>0</v>
      </c>
      <c r="K109" s="126">
        <f t="shared" si="14"/>
        <v>144.5</v>
      </c>
      <c r="L109" s="148">
        <f t="shared" si="15"/>
        <v>7.225</v>
      </c>
      <c r="M109" s="149">
        <f t="shared" si="16"/>
        <v>600</v>
      </c>
      <c r="O109" s="141"/>
      <c r="P109" s="142"/>
      <c r="AV109" s="141"/>
      <c r="AW109" s="141"/>
      <c r="AY109"/>
      <c r="AZ109"/>
      <c r="BA109"/>
      <c r="BB109"/>
    </row>
    <row r="110" spans="2:54">
      <c r="B110" s="98">
        <v>107</v>
      </c>
      <c r="C110" s="126">
        <f t="shared" si="11"/>
        <v>492</v>
      </c>
      <c r="D110" s="98">
        <f t="shared" si="12"/>
        <v>40</v>
      </c>
      <c r="E110" s="98">
        <f t="shared" si="13"/>
        <v>8</v>
      </c>
      <c r="F110" s="98">
        <v>0.5</v>
      </c>
      <c r="G110" s="98">
        <f t="shared" si="20"/>
        <v>5</v>
      </c>
      <c r="H110" s="98">
        <f t="shared" si="17"/>
        <v>2</v>
      </c>
      <c r="I110" s="98">
        <f t="shared" si="18"/>
        <v>1</v>
      </c>
      <c r="J110" s="98">
        <f t="shared" si="19"/>
        <v>0</v>
      </c>
      <c r="K110" s="126">
        <f t="shared" si="14"/>
        <v>144.6</v>
      </c>
      <c r="L110" s="148">
        <f t="shared" si="15"/>
        <v>7.23</v>
      </c>
      <c r="M110" s="149">
        <f t="shared" si="16"/>
        <v>600</v>
      </c>
      <c r="O110" s="141"/>
      <c r="P110" s="142"/>
      <c r="AV110" s="141"/>
      <c r="AW110" s="141"/>
      <c r="AY110"/>
      <c r="AZ110"/>
      <c r="BA110"/>
      <c r="BB110"/>
    </row>
    <row r="111" spans="2:54">
      <c r="B111" s="98">
        <v>108</v>
      </c>
      <c r="C111" s="126">
        <f t="shared" si="11"/>
        <v>494</v>
      </c>
      <c r="D111" s="98">
        <f t="shared" si="12"/>
        <v>40</v>
      </c>
      <c r="E111" s="98">
        <f t="shared" si="13"/>
        <v>8</v>
      </c>
      <c r="F111" s="98">
        <v>0.5</v>
      </c>
      <c r="G111" s="98">
        <f t="shared" si="20"/>
        <v>5</v>
      </c>
      <c r="H111" s="98">
        <f t="shared" si="17"/>
        <v>2</v>
      </c>
      <c r="I111" s="98">
        <f t="shared" si="18"/>
        <v>1</v>
      </c>
      <c r="J111" s="98">
        <f t="shared" si="19"/>
        <v>0</v>
      </c>
      <c r="K111" s="126">
        <f t="shared" si="14"/>
        <v>144.7</v>
      </c>
      <c r="L111" s="148">
        <f t="shared" si="15"/>
        <v>7.235</v>
      </c>
      <c r="M111" s="149">
        <f t="shared" si="16"/>
        <v>600</v>
      </c>
      <c r="O111" s="141"/>
      <c r="P111" s="142"/>
      <c r="AV111" s="141"/>
      <c r="AW111" s="141"/>
      <c r="AY111"/>
      <c r="AZ111"/>
      <c r="BA111"/>
      <c r="BB111"/>
    </row>
    <row r="112" spans="2:54">
      <c r="B112" s="98">
        <v>109</v>
      </c>
      <c r="C112" s="126">
        <f t="shared" si="11"/>
        <v>496</v>
      </c>
      <c r="D112" s="98">
        <f t="shared" si="12"/>
        <v>40</v>
      </c>
      <c r="E112" s="98">
        <f t="shared" si="13"/>
        <v>8</v>
      </c>
      <c r="F112" s="98">
        <v>0.5</v>
      </c>
      <c r="G112" s="98">
        <f t="shared" si="20"/>
        <v>5</v>
      </c>
      <c r="H112" s="98">
        <f t="shared" si="17"/>
        <v>2</v>
      </c>
      <c r="I112" s="98">
        <f t="shared" si="18"/>
        <v>1</v>
      </c>
      <c r="J112" s="98">
        <f t="shared" si="19"/>
        <v>0</v>
      </c>
      <c r="K112" s="126">
        <f t="shared" si="14"/>
        <v>144.8</v>
      </c>
      <c r="L112" s="148">
        <f t="shared" si="15"/>
        <v>7.24</v>
      </c>
      <c r="M112" s="149">
        <f t="shared" si="16"/>
        <v>600</v>
      </c>
      <c r="O112" s="141"/>
      <c r="P112" s="142"/>
      <c r="AV112" s="141"/>
      <c r="AW112" s="141"/>
      <c r="AY112"/>
      <c r="AZ112"/>
      <c r="BA112"/>
      <c r="BB112"/>
    </row>
    <row r="113" spans="2:54">
      <c r="B113" s="98">
        <v>110</v>
      </c>
      <c r="C113" s="126">
        <f t="shared" si="11"/>
        <v>498</v>
      </c>
      <c r="D113" s="98">
        <f t="shared" si="12"/>
        <v>40</v>
      </c>
      <c r="E113" s="98">
        <f t="shared" si="13"/>
        <v>8</v>
      </c>
      <c r="F113" s="98">
        <v>0.5</v>
      </c>
      <c r="G113" s="98">
        <f t="shared" si="20"/>
        <v>5</v>
      </c>
      <c r="H113" s="98">
        <f t="shared" si="17"/>
        <v>2</v>
      </c>
      <c r="I113" s="98">
        <f t="shared" si="18"/>
        <v>1</v>
      </c>
      <c r="J113" s="98">
        <f t="shared" si="19"/>
        <v>0</v>
      </c>
      <c r="K113" s="126">
        <f t="shared" si="14"/>
        <v>144.9</v>
      </c>
      <c r="L113" s="148">
        <f t="shared" si="15"/>
        <v>7.245</v>
      </c>
      <c r="M113" s="149">
        <f t="shared" si="16"/>
        <v>600</v>
      </c>
      <c r="O113" s="141"/>
      <c r="P113" s="142"/>
      <c r="AV113" s="141"/>
      <c r="AW113" s="141"/>
      <c r="AY113"/>
      <c r="AZ113"/>
      <c r="BA113"/>
      <c r="BB113"/>
    </row>
    <row r="114" spans="2:54">
      <c r="B114" s="98">
        <v>111</v>
      </c>
      <c r="C114" s="126">
        <f t="shared" si="11"/>
        <v>500</v>
      </c>
      <c r="D114" s="98">
        <f t="shared" si="12"/>
        <v>40</v>
      </c>
      <c r="E114" s="98">
        <f t="shared" si="13"/>
        <v>8</v>
      </c>
      <c r="F114" s="98">
        <v>0.5</v>
      </c>
      <c r="G114" s="98">
        <f t="shared" si="20"/>
        <v>5</v>
      </c>
      <c r="H114" s="98">
        <f t="shared" si="17"/>
        <v>2</v>
      </c>
      <c r="I114" s="98">
        <f t="shared" si="18"/>
        <v>1</v>
      </c>
      <c r="J114" s="98">
        <f t="shared" si="19"/>
        <v>0</v>
      </c>
      <c r="K114" s="126">
        <f t="shared" si="14"/>
        <v>145</v>
      </c>
      <c r="L114" s="148">
        <f t="shared" si="15"/>
        <v>7.25</v>
      </c>
      <c r="M114" s="149">
        <f t="shared" si="16"/>
        <v>600</v>
      </c>
      <c r="O114" s="141"/>
      <c r="P114" s="142"/>
      <c r="AV114" s="141"/>
      <c r="AW114" s="141"/>
      <c r="AY114"/>
      <c r="AZ114"/>
      <c r="BA114"/>
      <c r="BB114"/>
    </row>
    <row r="115" spans="2:54">
      <c r="B115" s="98">
        <v>112</v>
      </c>
      <c r="C115" s="126">
        <f t="shared" si="11"/>
        <v>502</v>
      </c>
      <c r="D115" s="98">
        <f t="shared" si="12"/>
        <v>40</v>
      </c>
      <c r="E115" s="98">
        <f t="shared" si="13"/>
        <v>8</v>
      </c>
      <c r="F115" s="98">
        <v>0.5</v>
      </c>
      <c r="G115" s="98">
        <f t="shared" si="20"/>
        <v>5</v>
      </c>
      <c r="H115" s="98">
        <f t="shared" si="17"/>
        <v>2</v>
      </c>
      <c r="I115" s="98">
        <f t="shared" si="18"/>
        <v>1</v>
      </c>
      <c r="J115" s="98">
        <f t="shared" si="19"/>
        <v>0</v>
      </c>
      <c r="K115" s="126">
        <f t="shared" si="14"/>
        <v>145.1</v>
      </c>
      <c r="L115" s="148">
        <f t="shared" si="15"/>
        <v>7.255</v>
      </c>
      <c r="M115" s="149">
        <f t="shared" si="16"/>
        <v>600</v>
      </c>
      <c r="O115" s="141"/>
      <c r="P115" s="142"/>
      <c r="AV115" s="141"/>
      <c r="AW115" s="141"/>
      <c r="AY115"/>
      <c r="AZ115"/>
      <c r="BA115"/>
      <c r="BB115"/>
    </row>
    <row r="116" spans="2:54">
      <c r="B116" s="98">
        <v>113</v>
      </c>
      <c r="C116" s="126">
        <f t="shared" si="11"/>
        <v>504</v>
      </c>
      <c r="D116" s="98">
        <f t="shared" si="12"/>
        <v>40</v>
      </c>
      <c r="E116" s="98">
        <f t="shared" si="13"/>
        <v>8</v>
      </c>
      <c r="F116" s="98">
        <v>0.5</v>
      </c>
      <c r="G116" s="98">
        <f t="shared" si="20"/>
        <v>5</v>
      </c>
      <c r="H116" s="98">
        <f t="shared" si="17"/>
        <v>2</v>
      </c>
      <c r="I116" s="98">
        <f t="shared" si="18"/>
        <v>1</v>
      </c>
      <c r="J116" s="98">
        <f t="shared" si="19"/>
        <v>0</v>
      </c>
      <c r="K116" s="126">
        <f t="shared" si="14"/>
        <v>145.2</v>
      </c>
      <c r="L116" s="148">
        <f t="shared" si="15"/>
        <v>7.26</v>
      </c>
      <c r="M116" s="149">
        <f t="shared" si="16"/>
        <v>600</v>
      </c>
      <c r="O116" s="141"/>
      <c r="P116" s="142"/>
      <c r="AV116" s="141"/>
      <c r="AW116" s="141"/>
      <c r="AY116"/>
      <c r="AZ116"/>
      <c r="BA116"/>
      <c r="BB116"/>
    </row>
    <row r="117" spans="2:54">
      <c r="B117" s="98">
        <v>114</v>
      </c>
      <c r="C117" s="126">
        <f t="shared" si="11"/>
        <v>506</v>
      </c>
      <c r="D117" s="98">
        <f t="shared" si="12"/>
        <v>40</v>
      </c>
      <c r="E117" s="98">
        <f t="shared" si="13"/>
        <v>8</v>
      </c>
      <c r="F117" s="98">
        <v>0.5</v>
      </c>
      <c r="G117" s="98">
        <f t="shared" si="20"/>
        <v>5</v>
      </c>
      <c r="H117" s="98">
        <f t="shared" si="17"/>
        <v>2</v>
      </c>
      <c r="I117" s="98">
        <f t="shared" si="18"/>
        <v>1</v>
      </c>
      <c r="J117" s="98">
        <f t="shared" si="19"/>
        <v>0</v>
      </c>
      <c r="K117" s="126">
        <f t="shared" si="14"/>
        <v>145.3</v>
      </c>
      <c r="L117" s="148">
        <f t="shared" si="15"/>
        <v>7.265</v>
      </c>
      <c r="M117" s="149">
        <f t="shared" si="16"/>
        <v>600</v>
      </c>
      <c r="O117" s="141"/>
      <c r="P117" s="142"/>
      <c r="AV117" s="141"/>
      <c r="AW117" s="141"/>
      <c r="AY117"/>
      <c r="AZ117"/>
      <c r="BA117"/>
      <c r="BB117"/>
    </row>
    <row r="118" spans="2:54">
      <c r="B118" s="98">
        <v>115</v>
      </c>
      <c r="C118" s="126">
        <f t="shared" si="11"/>
        <v>508</v>
      </c>
      <c r="D118" s="98">
        <f t="shared" si="12"/>
        <v>40</v>
      </c>
      <c r="E118" s="98">
        <f t="shared" si="13"/>
        <v>8</v>
      </c>
      <c r="F118" s="98">
        <v>0.5</v>
      </c>
      <c r="G118" s="98">
        <f t="shared" si="20"/>
        <v>5</v>
      </c>
      <c r="H118" s="98">
        <f t="shared" si="17"/>
        <v>2</v>
      </c>
      <c r="I118" s="98">
        <f t="shared" si="18"/>
        <v>1</v>
      </c>
      <c r="J118" s="98">
        <f t="shared" si="19"/>
        <v>0</v>
      </c>
      <c r="K118" s="126">
        <f t="shared" si="14"/>
        <v>145.4</v>
      </c>
      <c r="L118" s="148">
        <f t="shared" si="15"/>
        <v>7.27</v>
      </c>
      <c r="M118" s="149">
        <f t="shared" si="16"/>
        <v>600</v>
      </c>
      <c r="O118" s="141"/>
      <c r="P118" s="142"/>
      <c r="AV118" s="141"/>
      <c r="AW118" s="141"/>
      <c r="AY118"/>
      <c r="AZ118"/>
      <c r="BA118"/>
      <c r="BB118"/>
    </row>
    <row r="119" spans="2:54">
      <c r="B119" s="98">
        <v>116</v>
      </c>
      <c r="C119" s="126">
        <f t="shared" si="11"/>
        <v>510</v>
      </c>
      <c r="D119" s="98">
        <f t="shared" si="12"/>
        <v>40</v>
      </c>
      <c r="E119" s="98">
        <f t="shared" si="13"/>
        <v>8</v>
      </c>
      <c r="F119" s="98">
        <v>0.5</v>
      </c>
      <c r="G119" s="98">
        <f t="shared" si="20"/>
        <v>5</v>
      </c>
      <c r="H119" s="98">
        <f t="shared" si="17"/>
        <v>2</v>
      </c>
      <c r="I119" s="98">
        <f t="shared" si="18"/>
        <v>1</v>
      </c>
      <c r="J119" s="98">
        <f t="shared" si="19"/>
        <v>0</v>
      </c>
      <c r="K119" s="126">
        <f t="shared" si="14"/>
        <v>145.5</v>
      </c>
      <c r="L119" s="148">
        <f t="shared" si="15"/>
        <v>7.275</v>
      </c>
      <c r="M119" s="149">
        <f t="shared" si="16"/>
        <v>600</v>
      </c>
      <c r="O119" s="141"/>
      <c r="P119" s="142"/>
      <c r="AV119" s="141"/>
      <c r="AW119" s="141"/>
      <c r="AY119"/>
      <c r="AZ119"/>
      <c r="BA119"/>
      <c r="BB119"/>
    </row>
    <row r="120" spans="2:54">
      <c r="B120" s="98">
        <v>117</v>
      </c>
      <c r="C120" s="126">
        <f t="shared" si="11"/>
        <v>512</v>
      </c>
      <c r="D120" s="98">
        <f t="shared" si="12"/>
        <v>40</v>
      </c>
      <c r="E120" s="98">
        <f t="shared" si="13"/>
        <v>8</v>
      </c>
      <c r="F120" s="98">
        <v>0.5</v>
      </c>
      <c r="G120" s="98">
        <f t="shared" si="20"/>
        <v>5</v>
      </c>
      <c r="H120" s="98">
        <f t="shared" si="17"/>
        <v>2</v>
      </c>
      <c r="I120" s="98">
        <f t="shared" si="18"/>
        <v>1</v>
      </c>
      <c r="J120" s="98">
        <f t="shared" si="19"/>
        <v>0</v>
      </c>
      <c r="K120" s="126">
        <f t="shared" si="14"/>
        <v>145.6</v>
      </c>
      <c r="L120" s="148">
        <f t="shared" si="15"/>
        <v>7.28</v>
      </c>
      <c r="M120" s="149">
        <f t="shared" si="16"/>
        <v>600</v>
      </c>
      <c r="O120" s="141"/>
      <c r="P120" s="142"/>
      <c r="AV120" s="141"/>
      <c r="AW120" s="141"/>
      <c r="AY120"/>
      <c r="AZ120"/>
      <c r="BA120"/>
      <c r="BB120"/>
    </row>
    <row r="121" spans="2:54">
      <c r="B121" s="98">
        <v>118</v>
      </c>
      <c r="C121" s="126">
        <f t="shared" si="11"/>
        <v>514</v>
      </c>
      <c r="D121" s="98">
        <f t="shared" si="12"/>
        <v>40</v>
      </c>
      <c r="E121" s="98">
        <f t="shared" si="13"/>
        <v>8</v>
      </c>
      <c r="F121" s="98">
        <v>0.5</v>
      </c>
      <c r="G121" s="98">
        <f t="shared" si="20"/>
        <v>5</v>
      </c>
      <c r="H121" s="98">
        <f t="shared" si="17"/>
        <v>2</v>
      </c>
      <c r="I121" s="98">
        <f t="shared" si="18"/>
        <v>1</v>
      </c>
      <c r="J121" s="98">
        <f t="shared" si="19"/>
        <v>0</v>
      </c>
      <c r="K121" s="126">
        <f t="shared" si="14"/>
        <v>145.7</v>
      </c>
      <c r="L121" s="148">
        <f t="shared" si="15"/>
        <v>7.285</v>
      </c>
      <c r="M121" s="149">
        <f t="shared" si="16"/>
        <v>600</v>
      </c>
      <c r="O121" s="141"/>
      <c r="P121" s="142"/>
      <c r="AV121" s="141"/>
      <c r="AW121" s="141"/>
      <c r="AY121"/>
      <c r="AZ121"/>
      <c r="BA121"/>
      <c r="BB121"/>
    </row>
    <row r="122" spans="2:54">
      <c r="B122" s="98">
        <v>119</v>
      </c>
      <c r="C122" s="126">
        <f t="shared" si="11"/>
        <v>516</v>
      </c>
      <c r="D122" s="98">
        <f t="shared" si="12"/>
        <v>40</v>
      </c>
      <c r="E122" s="98">
        <f t="shared" si="13"/>
        <v>8</v>
      </c>
      <c r="F122" s="98">
        <v>0.5</v>
      </c>
      <c r="G122" s="98">
        <f t="shared" si="20"/>
        <v>5</v>
      </c>
      <c r="H122" s="98">
        <f t="shared" si="17"/>
        <v>2</v>
      </c>
      <c r="I122" s="98">
        <f t="shared" si="18"/>
        <v>1</v>
      </c>
      <c r="J122" s="98">
        <f t="shared" si="19"/>
        <v>0</v>
      </c>
      <c r="K122" s="126">
        <f t="shared" si="14"/>
        <v>145.8</v>
      </c>
      <c r="L122" s="148">
        <f t="shared" si="15"/>
        <v>7.29</v>
      </c>
      <c r="M122" s="149">
        <f t="shared" si="16"/>
        <v>600</v>
      </c>
      <c r="O122" s="141"/>
      <c r="P122" s="142"/>
      <c r="AV122" s="141"/>
      <c r="AW122" s="141"/>
      <c r="AY122"/>
      <c r="AZ122"/>
      <c r="BA122"/>
      <c r="BB122"/>
    </row>
    <row r="123" spans="2:54">
      <c r="B123" s="98">
        <v>120</v>
      </c>
      <c r="C123" s="126">
        <f t="shared" si="11"/>
        <v>518</v>
      </c>
      <c r="D123" s="98">
        <f t="shared" si="12"/>
        <v>40</v>
      </c>
      <c r="E123" s="98">
        <f t="shared" si="13"/>
        <v>8</v>
      </c>
      <c r="F123" s="98">
        <v>0.5</v>
      </c>
      <c r="G123" s="98">
        <f t="shared" si="20"/>
        <v>5</v>
      </c>
      <c r="H123" s="98">
        <f t="shared" si="17"/>
        <v>2</v>
      </c>
      <c r="I123" s="98">
        <f t="shared" si="18"/>
        <v>1</v>
      </c>
      <c r="J123" s="98">
        <f t="shared" si="19"/>
        <v>0</v>
      </c>
      <c r="K123" s="126">
        <f t="shared" si="14"/>
        <v>145.9</v>
      </c>
      <c r="L123" s="148">
        <f t="shared" si="15"/>
        <v>7.295</v>
      </c>
      <c r="M123" s="149">
        <f t="shared" si="16"/>
        <v>600</v>
      </c>
      <c r="O123" s="141"/>
      <c r="P123" s="142"/>
      <c r="AV123" s="141"/>
      <c r="AW123" s="141"/>
      <c r="AY123"/>
      <c r="AZ123"/>
      <c r="BA123"/>
      <c r="BB123"/>
    </row>
    <row r="124" spans="2:54">
      <c r="B124" s="98">
        <v>121</v>
      </c>
      <c r="C124" s="126">
        <f t="shared" si="11"/>
        <v>520</v>
      </c>
      <c r="D124" s="98">
        <f t="shared" si="12"/>
        <v>40</v>
      </c>
      <c r="E124" s="98">
        <f t="shared" si="13"/>
        <v>8</v>
      </c>
      <c r="F124" s="98">
        <v>0.5</v>
      </c>
      <c r="G124" s="98">
        <f t="shared" si="20"/>
        <v>5</v>
      </c>
      <c r="H124" s="98">
        <f t="shared" si="17"/>
        <v>2</v>
      </c>
      <c r="I124" s="98">
        <f t="shared" si="18"/>
        <v>1</v>
      </c>
      <c r="J124" s="98">
        <f t="shared" si="19"/>
        <v>0</v>
      </c>
      <c r="K124" s="126">
        <f t="shared" si="14"/>
        <v>146</v>
      </c>
      <c r="L124" s="148">
        <f t="shared" si="15"/>
        <v>7.3</v>
      </c>
      <c r="M124" s="149">
        <f t="shared" si="16"/>
        <v>600</v>
      </c>
      <c r="O124" s="141"/>
      <c r="P124" s="142"/>
      <c r="AV124" s="141"/>
      <c r="AW124" s="141"/>
      <c r="AY124"/>
      <c r="AZ124"/>
      <c r="BA124"/>
      <c r="BB124"/>
    </row>
    <row r="125" spans="2:54">
      <c r="B125" s="98">
        <v>122</v>
      </c>
      <c r="C125" s="126">
        <f t="shared" si="11"/>
        <v>522</v>
      </c>
      <c r="D125" s="98">
        <f t="shared" si="12"/>
        <v>40</v>
      </c>
      <c r="E125" s="98">
        <f t="shared" si="13"/>
        <v>8</v>
      </c>
      <c r="F125" s="98">
        <v>0.5</v>
      </c>
      <c r="G125" s="98">
        <f t="shared" si="20"/>
        <v>5</v>
      </c>
      <c r="H125" s="98">
        <f t="shared" si="17"/>
        <v>2</v>
      </c>
      <c r="I125" s="98">
        <f t="shared" si="18"/>
        <v>1</v>
      </c>
      <c r="J125" s="98">
        <f t="shared" si="19"/>
        <v>0</v>
      </c>
      <c r="K125" s="126">
        <f t="shared" si="14"/>
        <v>146.1</v>
      </c>
      <c r="L125" s="148">
        <f t="shared" si="15"/>
        <v>7.305</v>
      </c>
      <c r="M125" s="149">
        <f t="shared" si="16"/>
        <v>600</v>
      </c>
      <c r="O125" s="141"/>
      <c r="P125" s="142"/>
      <c r="AV125" s="141"/>
      <c r="AW125" s="141"/>
      <c r="AY125"/>
      <c r="AZ125"/>
      <c r="BA125"/>
      <c r="BB125"/>
    </row>
    <row r="126" spans="2:54">
      <c r="B126" s="98">
        <v>123</v>
      </c>
      <c r="C126" s="126">
        <f t="shared" si="11"/>
        <v>524</v>
      </c>
      <c r="D126" s="98">
        <f t="shared" si="12"/>
        <v>40</v>
      </c>
      <c r="E126" s="98">
        <f t="shared" si="13"/>
        <v>8</v>
      </c>
      <c r="F126" s="98">
        <v>0.5</v>
      </c>
      <c r="G126" s="98">
        <f t="shared" si="20"/>
        <v>5</v>
      </c>
      <c r="H126" s="98">
        <f t="shared" si="17"/>
        <v>2</v>
      </c>
      <c r="I126" s="98">
        <f t="shared" si="18"/>
        <v>1</v>
      </c>
      <c r="J126" s="98">
        <f t="shared" si="19"/>
        <v>0</v>
      </c>
      <c r="K126" s="126">
        <f t="shared" si="14"/>
        <v>146.2</v>
      </c>
      <c r="L126" s="148">
        <f t="shared" si="15"/>
        <v>7.31</v>
      </c>
      <c r="M126" s="149">
        <f t="shared" si="16"/>
        <v>600</v>
      </c>
      <c r="O126" s="141"/>
      <c r="P126" s="142"/>
      <c r="AV126" s="141"/>
      <c r="AW126" s="141"/>
      <c r="AY126"/>
      <c r="AZ126"/>
      <c r="BA126"/>
      <c r="BB126"/>
    </row>
    <row r="127" spans="2:54">
      <c r="B127" s="98">
        <v>124</v>
      </c>
      <c r="C127" s="126">
        <f t="shared" si="11"/>
        <v>526</v>
      </c>
      <c r="D127" s="98">
        <f t="shared" si="12"/>
        <v>40</v>
      </c>
      <c r="E127" s="98">
        <f t="shared" si="13"/>
        <v>8</v>
      </c>
      <c r="F127" s="98">
        <v>0.5</v>
      </c>
      <c r="G127" s="98">
        <f t="shared" si="20"/>
        <v>5</v>
      </c>
      <c r="H127" s="98">
        <f t="shared" si="17"/>
        <v>2</v>
      </c>
      <c r="I127" s="98">
        <f t="shared" si="18"/>
        <v>1</v>
      </c>
      <c r="J127" s="98">
        <f t="shared" si="19"/>
        <v>0</v>
      </c>
      <c r="K127" s="126">
        <f t="shared" si="14"/>
        <v>146.3</v>
      </c>
      <c r="L127" s="148">
        <f t="shared" si="15"/>
        <v>7.315</v>
      </c>
      <c r="M127" s="149">
        <f t="shared" si="16"/>
        <v>600</v>
      </c>
      <c r="O127" s="141"/>
      <c r="P127" s="142"/>
      <c r="AV127" s="141"/>
      <c r="AW127" s="141"/>
      <c r="AY127"/>
      <c r="AZ127"/>
      <c r="BA127"/>
      <c r="BB127"/>
    </row>
    <row r="128" spans="2:54">
      <c r="B128" s="98">
        <v>125</v>
      </c>
      <c r="C128" s="126">
        <f t="shared" si="11"/>
        <v>528</v>
      </c>
      <c r="D128" s="98">
        <f t="shared" si="12"/>
        <v>40</v>
      </c>
      <c r="E128" s="98">
        <f t="shared" si="13"/>
        <v>8</v>
      </c>
      <c r="F128" s="98">
        <v>0.5</v>
      </c>
      <c r="G128" s="98">
        <f t="shared" si="20"/>
        <v>5</v>
      </c>
      <c r="H128" s="98">
        <f t="shared" si="17"/>
        <v>2</v>
      </c>
      <c r="I128" s="98">
        <f t="shared" si="18"/>
        <v>1</v>
      </c>
      <c r="J128" s="98">
        <f t="shared" si="19"/>
        <v>0</v>
      </c>
      <c r="K128" s="126">
        <f t="shared" si="14"/>
        <v>146.4</v>
      </c>
      <c r="L128" s="148">
        <f t="shared" si="15"/>
        <v>7.32</v>
      </c>
      <c r="M128" s="149">
        <f t="shared" si="16"/>
        <v>600</v>
      </c>
      <c r="O128" s="141"/>
      <c r="P128" s="142"/>
      <c r="AV128" s="141"/>
      <c r="AW128" s="141"/>
      <c r="AY128"/>
      <c r="AZ128"/>
      <c r="BA128"/>
      <c r="BB128"/>
    </row>
    <row r="129" spans="2:54">
      <c r="B129" s="98">
        <v>126</v>
      </c>
      <c r="C129" s="126">
        <f t="shared" si="11"/>
        <v>530</v>
      </c>
      <c r="D129" s="98">
        <f t="shared" si="12"/>
        <v>40</v>
      </c>
      <c r="E129" s="98">
        <f t="shared" si="13"/>
        <v>8</v>
      </c>
      <c r="F129" s="98">
        <v>0.5</v>
      </c>
      <c r="G129" s="98">
        <f t="shared" si="20"/>
        <v>5</v>
      </c>
      <c r="H129" s="98">
        <f t="shared" si="17"/>
        <v>2</v>
      </c>
      <c r="I129" s="98">
        <f t="shared" si="18"/>
        <v>1</v>
      </c>
      <c r="J129" s="98">
        <f t="shared" si="19"/>
        <v>0</v>
      </c>
      <c r="K129" s="126">
        <f t="shared" si="14"/>
        <v>146.5</v>
      </c>
      <c r="L129" s="148">
        <f t="shared" si="15"/>
        <v>7.325</v>
      </c>
      <c r="M129" s="149">
        <f t="shared" si="16"/>
        <v>600</v>
      </c>
      <c r="O129" s="141"/>
      <c r="P129" s="142"/>
      <c r="AV129" s="141"/>
      <c r="AW129" s="141"/>
      <c r="AY129"/>
      <c r="AZ129"/>
      <c r="BA129"/>
      <c r="BB129"/>
    </row>
    <row r="130" spans="2:54">
      <c r="B130" s="98">
        <v>127</v>
      </c>
      <c r="C130" s="126">
        <f t="shared" si="11"/>
        <v>532</v>
      </c>
      <c r="D130" s="98">
        <f t="shared" si="12"/>
        <v>40</v>
      </c>
      <c r="E130" s="98">
        <f t="shared" si="13"/>
        <v>8</v>
      </c>
      <c r="F130" s="98">
        <v>0.5</v>
      </c>
      <c r="G130" s="98">
        <f t="shared" si="20"/>
        <v>5</v>
      </c>
      <c r="H130" s="98">
        <f t="shared" si="17"/>
        <v>2</v>
      </c>
      <c r="I130" s="98">
        <f t="shared" si="18"/>
        <v>1</v>
      </c>
      <c r="J130" s="98">
        <f t="shared" si="19"/>
        <v>0</v>
      </c>
      <c r="K130" s="126">
        <f t="shared" si="14"/>
        <v>146.6</v>
      </c>
      <c r="L130" s="148">
        <f t="shared" si="15"/>
        <v>7.33</v>
      </c>
      <c r="M130" s="149">
        <f t="shared" si="16"/>
        <v>600</v>
      </c>
      <c r="O130" s="141"/>
      <c r="P130" s="142"/>
      <c r="AV130" s="141"/>
      <c r="AW130" s="141"/>
      <c r="AY130"/>
      <c r="AZ130"/>
      <c r="BA130"/>
      <c r="BB130"/>
    </row>
    <row r="131" spans="2:54">
      <c r="B131" s="98">
        <v>128</v>
      </c>
      <c r="C131" s="126">
        <f t="shared" si="11"/>
        <v>534</v>
      </c>
      <c r="D131" s="98">
        <f t="shared" si="12"/>
        <v>40</v>
      </c>
      <c r="E131" s="98">
        <f t="shared" si="13"/>
        <v>8</v>
      </c>
      <c r="F131" s="98">
        <v>0.5</v>
      </c>
      <c r="G131" s="98">
        <f t="shared" si="20"/>
        <v>5</v>
      </c>
      <c r="H131" s="98">
        <f t="shared" si="17"/>
        <v>2</v>
      </c>
      <c r="I131" s="98">
        <f t="shared" si="18"/>
        <v>1</v>
      </c>
      <c r="J131" s="98">
        <f t="shared" si="19"/>
        <v>0</v>
      </c>
      <c r="K131" s="126">
        <f t="shared" si="14"/>
        <v>146.7</v>
      </c>
      <c r="L131" s="148">
        <f t="shared" si="15"/>
        <v>7.335</v>
      </c>
      <c r="M131" s="149">
        <f t="shared" si="16"/>
        <v>600</v>
      </c>
      <c r="O131" s="141"/>
      <c r="P131" s="142"/>
      <c r="AV131" s="141"/>
      <c r="AW131" s="141"/>
      <c r="AY131"/>
      <c r="AZ131"/>
      <c r="BA131"/>
      <c r="BB131"/>
    </row>
    <row r="132" spans="2:54">
      <c r="B132" s="98">
        <v>129</v>
      </c>
      <c r="C132" s="126">
        <f t="shared" si="11"/>
        <v>536</v>
      </c>
      <c r="D132" s="98">
        <f t="shared" si="12"/>
        <v>40</v>
      </c>
      <c r="E132" s="98">
        <f t="shared" si="13"/>
        <v>8</v>
      </c>
      <c r="F132" s="98">
        <v>0.5</v>
      </c>
      <c r="G132" s="98">
        <f t="shared" si="20"/>
        <v>5</v>
      </c>
      <c r="H132" s="98">
        <f t="shared" si="17"/>
        <v>2</v>
      </c>
      <c r="I132" s="98">
        <f t="shared" si="18"/>
        <v>1</v>
      </c>
      <c r="J132" s="98">
        <f t="shared" si="19"/>
        <v>0</v>
      </c>
      <c r="K132" s="126">
        <f t="shared" si="14"/>
        <v>146.8</v>
      </c>
      <c r="L132" s="148">
        <f t="shared" si="15"/>
        <v>7.34</v>
      </c>
      <c r="M132" s="149">
        <f t="shared" si="16"/>
        <v>600</v>
      </c>
      <c r="O132" s="141"/>
      <c r="P132" s="142"/>
      <c r="AV132" s="141"/>
      <c r="AW132" s="141"/>
      <c r="AY132"/>
      <c r="AZ132"/>
      <c r="BA132"/>
      <c r="BB132"/>
    </row>
    <row r="133" spans="2:54">
      <c r="B133" s="98">
        <v>130</v>
      </c>
      <c r="C133" s="126">
        <f t="shared" ref="C133:C196" si="21">(C442+D442)</f>
        <v>538</v>
      </c>
      <c r="D133" s="98">
        <f t="shared" ref="D133:D196" si="22">E442+F442</f>
        <v>40</v>
      </c>
      <c r="E133" s="98">
        <f t="shared" ref="E133:E196" si="23">G442+H442</f>
        <v>8</v>
      </c>
      <c r="F133" s="98">
        <v>0.5</v>
      </c>
      <c r="G133" s="98">
        <f t="shared" si="20"/>
        <v>5</v>
      </c>
      <c r="H133" s="98">
        <f t="shared" si="17"/>
        <v>2</v>
      </c>
      <c r="I133" s="98">
        <f t="shared" si="18"/>
        <v>1</v>
      </c>
      <c r="J133" s="98">
        <f t="shared" si="19"/>
        <v>0</v>
      </c>
      <c r="K133" s="126">
        <f t="shared" ref="K133:K196" si="24">P442</f>
        <v>146.9</v>
      </c>
      <c r="L133" s="148">
        <f t="shared" ref="L133:L196" si="25">Q442</f>
        <v>7.345</v>
      </c>
      <c r="M133" s="149">
        <f t="shared" ref="M133:M196" si="26">IFERROR(--R442,0)</f>
        <v>600</v>
      </c>
      <c r="O133" s="141"/>
      <c r="P133" s="142"/>
      <c r="AV133" s="141"/>
      <c r="AW133" s="141"/>
      <c r="AY133"/>
      <c r="AZ133"/>
      <c r="BA133"/>
      <c r="BB133"/>
    </row>
    <row r="134" spans="2:54">
      <c r="B134" s="98">
        <v>131</v>
      </c>
      <c r="C134" s="126">
        <f t="shared" si="21"/>
        <v>540</v>
      </c>
      <c r="D134" s="98">
        <f t="shared" si="22"/>
        <v>40</v>
      </c>
      <c r="E134" s="98">
        <f t="shared" si="23"/>
        <v>8</v>
      </c>
      <c r="F134" s="98">
        <v>0.5</v>
      </c>
      <c r="G134" s="98">
        <f t="shared" si="20"/>
        <v>5</v>
      </c>
      <c r="H134" s="98">
        <f t="shared" si="17"/>
        <v>2</v>
      </c>
      <c r="I134" s="98">
        <f t="shared" si="18"/>
        <v>1</v>
      </c>
      <c r="J134" s="98">
        <f t="shared" si="19"/>
        <v>0</v>
      </c>
      <c r="K134" s="126">
        <f t="shared" si="24"/>
        <v>147</v>
      </c>
      <c r="L134" s="148">
        <f t="shared" si="25"/>
        <v>7.35</v>
      </c>
      <c r="M134" s="149">
        <f t="shared" si="26"/>
        <v>600</v>
      </c>
      <c r="O134" s="141"/>
      <c r="P134" s="142"/>
      <c r="AV134" s="141"/>
      <c r="AW134" s="141"/>
      <c r="AY134"/>
      <c r="AZ134"/>
      <c r="BA134"/>
      <c r="BB134"/>
    </row>
    <row r="135" spans="2:54">
      <c r="B135" s="98">
        <v>132</v>
      </c>
      <c r="C135" s="126">
        <f t="shared" si="21"/>
        <v>542</v>
      </c>
      <c r="D135" s="98">
        <f t="shared" si="22"/>
        <v>40</v>
      </c>
      <c r="E135" s="98">
        <f t="shared" si="23"/>
        <v>8</v>
      </c>
      <c r="F135" s="98">
        <v>0.5</v>
      </c>
      <c r="G135" s="98">
        <f t="shared" si="20"/>
        <v>5</v>
      </c>
      <c r="H135" s="98">
        <f t="shared" si="17"/>
        <v>2</v>
      </c>
      <c r="I135" s="98">
        <f t="shared" si="18"/>
        <v>1</v>
      </c>
      <c r="J135" s="98">
        <f t="shared" si="19"/>
        <v>0</v>
      </c>
      <c r="K135" s="126">
        <f t="shared" si="24"/>
        <v>147.1</v>
      </c>
      <c r="L135" s="148">
        <f t="shared" si="25"/>
        <v>7.355</v>
      </c>
      <c r="M135" s="149">
        <f t="shared" si="26"/>
        <v>600</v>
      </c>
      <c r="O135" s="141"/>
      <c r="P135" s="142"/>
      <c r="AV135" s="141"/>
      <c r="AW135" s="141"/>
      <c r="AY135"/>
      <c r="AZ135"/>
      <c r="BA135"/>
      <c r="BB135"/>
    </row>
    <row r="136" spans="2:54">
      <c r="B136" s="98">
        <v>133</v>
      </c>
      <c r="C136" s="126">
        <f t="shared" si="21"/>
        <v>544</v>
      </c>
      <c r="D136" s="98">
        <f t="shared" si="22"/>
        <v>40</v>
      </c>
      <c r="E136" s="98">
        <f t="shared" si="23"/>
        <v>8</v>
      </c>
      <c r="F136" s="98">
        <v>0.5</v>
      </c>
      <c r="G136" s="98">
        <f t="shared" si="20"/>
        <v>5</v>
      </c>
      <c r="H136" s="98">
        <f t="shared" ref="H136:H199" si="27">L445</f>
        <v>2</v>
      </c>
      <c r="I136" s="98">
        <f t="shared" si="18"/>
        <v>1</v>
      </c>
      <c r="J136" s="98">
        <f t="shared" si="19"/>
        <v>0</v>
      </c>
      <c r="K136" s="126">
        <f t="shared" si="24"/>
        <v>147.2</v>
      </c>
      <c r="L136" s="148">
        <f t="shared" si="25"/>
        <v>7.36</v>
      </c>
      <c r="M136" s="149">
        <f t="shared" si="26"/>
        <v>600</v>
      </c>
      <c r="O136" s="141"/>
      <c r="P136" s="142"/>
      <c r="AV136" s="141"/>
      <c r="AW136" s="141"/>
      <c r="AY136"/>
      <c r="AZ136"/>
      <c r="BA136"/>
      <c r="BB136"/>
    </row>
    <row r="137" spans="2:54">
      <c r="B137" s="98">
        <v>134</v>
      </c>
      <c r="C137" s="126">
        <f t="shared" si="21"/>
        <v>546</v>
      </c>
      <c r="D137" s="98">
        <f t="shared" si="22"/>
        <v>40</v>
      </c>
      <c r="E137" s="98">
        <f t="shared" si="23"/>
        <v>8</v>
      </c>
      <c r="F137" s="98">
        <v>0.5</v>
      </c>
      <c r="G137" s="98">
        <f t="shared" si="20"/>
        <v>5</v>
      </c>
      <c r="H137" s="98">
        <f t="shared" si="27"/>
        <v>2</v>
      </c>
      <c r="I137" s="98">
        <f t="shared" ref="I137:I200" si="28">M446</f>
        <v>1</v>
      </c>
      <c r="J137" s="98">
        <f t="shared" ref="J137:J200" si="29">N446</f>
        <v>0</v>
      </c>
      <c r="K137" s="126">
        <f t="shared" si="24"/>
        <v>147.3</v>
      </c>
      <c r="L137" s="148">
        <f t="shared" si="25"/>
        <v>7.365</v>
      </c>
      <c r="M137" s="149">
        <f t="shared" si="26"/>
        <v>600</v>
      </c>
      <c r="O137" s="141"/>
      <c r="P137" s="142"/>
      <c r="AV137" s="141"/>
      <c r="AW137" s="141"/>
      <c r="AY137"/>
      <c r="AZ137"/>
      <c r="BA137"/>
      <c r="BB137"/>
    </row>
    <row r="138" spans="2:54">
      <c r="B138" s="98">
        <v>135</v>
      </c>
      <c r="C138" s="126">
        <f t="shared" si="21"/>
        <v>548</v>
      </c>
      <c r="D138" s="98">
        <f t="shared" si="22"/>
        <v>40</v>
      </c>
      <c r="E138" s="98">
        <f t="shared" si="23"/>
        <v>8</v>
      </c>
      <c r="F138" s="98">
        <v>0.5</v>
      </c>
      <c r="G138" s="98">
        <f t="shared" si="20"/>
        <v>5</v>
      </c>
      <c r="H138" s="98">
        <f t="shared" si="27"/>
        <v>2</v>
      </c>
      <c r="I138" s="98">
        <f t="shared" si="28"/>
        <v>1</v>
      </c>
      <c r="J138" s="98">
        <f t="shared" si="29"/>
        <v>0</v>
      </c>
      <c r="K138" s="126">
        <f t="shared" si="24"/>
        <v>147.4</v>
      </c>
      <c r="L138" s="148">
        <f t="shared" si="25"/>
        <v>7.37</v>
      </c>
      <c r="M138" s="149">
        <f t="shared" si="26"/>
        <v>600</v>
      </c>
      <c r="O138" s="141"/>
      <c r="P138" s="142"/>
      <c r="AV138" s="141"/>
      <c r="AW138" s="141"/>
      <c r="AY138"/>
      <c r="AZ138"/>
      <c r="BA138"/>
      <c r="BB138"/>
    </row>
    <row r="139" spans="2:54">
      <c r="B139" s="98">
        <v>136</v>
      </c>
      <c r="C139" s="126">
        <f t="shared" si="21"/>
        <v>550</v>
      </c>
      <c r="D139" s="98">
        <f t="shared" si="22"/>
        <v>40</v>
      </c>
      <c r="E139" s="98">
        <f t="shared" si="23"/>
        <v>8</v>
      </c>
      <c r="F139" s="98">
        <v>0.5</v>
      </c>
      <c r="G139" s="98">
        <f t="shared" si="20"/>
        <v>5</v>
      </c>
      <c r="H139" s="98">
        <f t="shared" si="27"/>
        <v>2</v>
      </c>
      <c r="I139" s="98">
        <f t="shared" si="28"/>
        <v>1</v>
      </c>
      <c r="J139" s="98">
        <f t="shared" si="29"/>
        <v>0</v>
      </c>
      <c r="K139" s="126">
        <f t="shared" si="24"/>
        <v>147.5</v>
      </c>
      <c r="L139" s="148">
        <f t="shared" si="25"/>
        <v>7.375</v>
      </c>
      <c r="M139" s="149">
        <f t="shared" si="26"/>
        <v>600</v>
      </c>
      <c r="O139" s="141"/>
      <c r="P139" s="142"/>
      <c r="AV139" s="141"/>
      <c r="AW139" s="141"/>
      <c r="AY139"/>
      <c r="AZ139"/>
      <c r="BA139"/>
      <c r="BB139"/>
    </row>
    <row r="140" spans="2:54">
      <c r="B140" s="98">
        <v>137</v>
      </c>
      <c r="C140" s="126">
        <f t="shared" si="21"/>
        <v>552</v>
      </c>
      <c r="D140" s="98">
        <f t="shared" si="22"/>
        <v>40</v>
      </c>
      <c r="E140" s="98">
        <f t="shared" si="23"/>
        <v>8</v>
      </c>
      <c r="F140" s="98">
        <v>0.5</v>
      </c>
      <c r="G140" s="98">
        <f t="shared" si="20"/>
        <v>5</v>
      </c>
      <c r="H140" s="98">
        <f t="shared" si="27"/>
        <v>2</v>
      </c>
      <c r="I140" s="98">
        <f t="shared" si="28"/>
        <v>1</v>
      </c>
      <c r="J140" s="98">
        <f t="shared" si="29"/>
        <v>0</v>
      </c>
      <c r="K140" s="126">
        <f t="shared" si="24"/>
        <v>147.6</v>
      </c>
      <c r="L140" s="148">
        <f t="shared" si="25"/>
        <v>7.38</v>
      </c>
      <c r="M140" s="149">
        <f t="shared" si="26"/>
        <v>600</v>
      </c>
      <c r="O140" s="141"/>
      <c r="P140" s="142"/>
      <c r="AV140" s="141"/>
      <c r="AW140" s="141"/>
      <c r="AY140"/>
      <c r="AZ140"/>
      <c r="BA140"/>
      <c r="BB140"/>
    </row>
    <row r="141" spans="2:54">
      <c r="B141" s="98">
        <v>138</v>
      </c>
      <c r="C141" s="126">
        <f t="shared" si="21"/>
        <v>554</v>
      </c>
      <c r="D141" s="98">
        <f t="shared" si="22"/>
        <v>40</v>
      </c>
      <c r="E141" s="98">
        <f t="shared" si="23"/>
        <v>8</v>
      </c>
      <c r="F141" s="98">
        <v>0.5</v>
      </c>
      <c r="G141" s="98">
        <f t="shared" si="20"/>
        <v>5</v>
      </c>
      <c r="H141" s="98">
        <f t="shared" si="27"/>
        <v>2</v>
      </c>
      <c r="I141" s="98">
        <f t="shared" si="28"/>
        <v>1</v>
      </c>
      <c r="J141" s="98">
        <f t="shared" si="29"/>
        <v>0</v>
      </c>
      <c r="K141" s="126">
        <f t="shared" si="24"/>
        <v>147.7</v>
      </c>
      <c r="L141" s="148">
        <f t="shared" si="25"/>
        <v>7.385</v>
      </c>
      <c r="M141" s="149">
        <f t="shared" si="26"/>
        <v>600</v>
      </c>
      <c r="O141" s="141"/>
      <c r="P141" s="142"/>
      <c r="AV141" s="141"/>
      <c r="AW141" s="141"/>
      <c r="AY141"/>
      <c r="AZ141"/>
      <c r="BA141"/>
      <c r="BB141"/>
    </row>
    <row r="142" spans="2:54">
      <c r="B142" s="98">
        <v>139</v>
      </c>
      <c r="C142" s="126">
        <f t="shared" si="21"/>
        <v>556</v>
      </c>
      <c r="D142" s="98">
        <f t="shared" si="22"/>
        <v>40</v>
      </c>
      <c r="E142" s="98">
        <f t="shared" si="23"/>
        <v>8</v>
      </c>
      <c r="F142" s="98">
        <v>0.5</v>
      </c>
      <c r="G142" s="98">
        <f t="shared" ref="G142:G205" si="30">J451+K451</f>
        <v>5</v>
      </c>
      <c r="H142" s="98">
        <f t="shared" si="27"/>
        <v>2</v>
      </c>
      <c r="I142" s="98">
        <f t="shared" si="28"/>
        <v>1</v>
      </c>
      <c r="J142" s="98">
        <f t="shared" si="29"/>
        <v>0</v>
      </c>
      <c r="K142" s="126">
        <f t="shared" si="24"/>
        <v>147.8</v>
      </c>
      <c r="L142" s="148">
        <f t="shared" si="25"/>
        <v>7.39</v>
      </c>
      <c r="M142" s="149">
        <f t="shared" si="26"/>
        <v>600</v>
      </c>
      <c r="O142" s="141"/>
      <c r="P142" s="142"/>
      <c r="AV142" s="141"/>
      <c r="AW142" s="141"/>
      <c r="AY142"/>
      <c r="AZ142"/>
      <c r="BA142"/>
      <c r="BB142"/>
    </row>
    <row r="143" spans="2:54">
      <c r="B143" s="98">
        <v>140</v>
      </c>
      <c r="C143" s="126">
        <f t="shared" si="21"/>
        <v>558</v>
      </c>
      <c r="D143" s="98">
        <f t="shared" si="22"/>
        <v>40</v>
      </c>
      <c r="E143" s="98">
        <f t="shared" si="23"/>
        <v>8</v>
      </c>
      <c r="F143" s="98">
        <v>0.5</v>
      </c>
      <c r="G143" s="98">
        <f t="shared" si="30"/>
        <v>5</v>
      </c>
      <c r="H143" s="98">
        <f t="shared" si="27"/>
        <v>2</v>
      </c>
      <c r="I143" s="98">
        <f t="shared" si="28"/>
        <v>1</v>
      </c>
      <c r="J143" s="98">
        <f t="shared" si="29"/>
        <v>0</v>
      </c>
      <c r="K143" s="126">
        <f t="shared" si="24"/>
        <v>147.9</v>
      </c>
      <c r="L143" s="148">
        <f t="shared" si="25"/>
        <v>7.395</v>
      </c>
      <c r="M143" s="149">
        <f t="shared" si="26"/>
        <v>600</v>
      </c>
      <c r="O143" s="141"/>
      <c r="P143" s="142"/>
      <c r="AV143" s="141"/>
      <c r="AW143" s="141"/>
      <c r="AY143"/>
      <c r="AZ143"/>
      <c r="BA143"/>
      <c r="BB143"/>
    </row>
    <row r="144" spans="2:54">
      <c r="B144" s="98">
        <v>141</v>
      </c>
      <c r="C144" s="126">
        <f t="shared" si="21"/>
        <v>560</v>
      </c>
      <c r="D144" s="98">
        <f t="shared" si="22"/>
        <v>40</v>
      </c>
      <c r="E144" s="98">
        <f t="shared" si="23"/>
        <v>8</v>
      </c>
      <c r="F144" s="98">
        <v>0.5</v>
      </c>
      <c r="G144" s="98">
        <f t="shared" si="30"/>
        <v>5</v>
      </c>
      <c r="H144" s="98">
        <f t="shared" si="27"/>
        <v>2</v>
      </c>
      <c r="I144" s="98">
        <f t="shared" si="28"/>
        <v>1</v>
      </c>
      <c r="J144" s="98">
        <f t="shared" si="29"/>
        <v>0</v>
      </c>
      <c r="K144" s="126">
        <f t="shared" si="24"/>
        <v>148</v>
      </c>
      <c r="L144" s="148">
        <f t="shared" si="25"/>
        <v>7.4</v>
      </c>
      <c r="M144" s="149">
        <f t="shared" si="26"/>
        <v>600</v>
      </c>
      <c r="O144" s="141"/>
      <c r="P144" s="142"/>
      <c r="AV144" s="141"/>
      <c r="AW144" s="141"/>
      <c r="AY144"/>
      <c r="AZ144"/>
      <c r="BA144"/>
      <c r="BB144"/>
    </row>
    <row r="145" spans="2:54">
      <c r="B145" s="98">
        <v>142</v>
      </c>
      <c r="C145" s="126">
        <f t="shared" si="21"/>
        <v>562</v>
      </c>
      <c r="D145" s="98">
        <f t="shared" si="22"/>
        <v>40</v>
      </c>
      <c r="E145" s="98">
        <f t="shared" si="23"/>
        <v>8</v>
      </c>
      <c r="F145" s="98">
        <v>0.5</v>
      </c>
      <c r="G145" s="98">
        <f t="shared" si="30"/>
        <v>5</v>
      </c>
      <c r="H145" s="98">
        <f t="shared" si="27"/>
        <v>2</v>
      </c>
      <c r="I145" s="98">
        <f t="shared" si="28"/>
        <v>1</v>
      </c>
      <c r="J145" s="98">
        <f t="shared" si="29"/>
        <v>0</v>
      </c>
      <c r="K145" s="126">
        <f t="shared" si="24"/>
        <v>148.1</v>
      </c>
      <c r="L145" s="148">
        <f t="shared" si="25"/>
        <v>7.405</v>
      </c>
      <c r="M145" s="149">
        <f t="shared" si="26"/>
        <v>600</v>
      </c>
      <c r="O145" s="141"/>
      <c r="P145" s="142"/>
      <c r="AV145" s="141"/>
      <c r="AW145" s="141"/>
      <c r="AY145"/>
      <c r="AZ145"/>
      <c r="BA145"/>
      <c r="BB145"/>
    </row>
    <row r="146" spans="2:54">
      <c r="B146" s="98">
        <v>143</v>
      </c>
      <c r="C146" s="126">
        <f t="shared" si="21"/>
        <v>564</v>
      </c>
      <c r="D146" s="98">
        <f t="shared" si="22"/>
        <v>40</v>
      </c>
      <c r="E146" s="98">
        <f t="shared" si="23"/>
        <v>8</v>
      </c>
      <c r="F146" s="98">
        <v>0.5</v>
      </c>
      <c r="G146" s="98">
        <f t="shared" si="30"/>
        <v>5</v>
      </c>
      <c r="H146" s="98">
        <f t="shared" si="27"/>
        <v>2</v>
      </c>
      <c r="I146" s="98">
        <f t="shared" si="28"/>
        <v>1</v>
      </c>
      <c r="J146" s="98">
        <f t="shared" si="29"/>
        <v>0</v>
      </c>
      <c r="K146" s="126">
        <f t="shared" si="24"/>
        <v>148.2</v>
      </c>
      <c r="L146" s="148">
        <f t="shared" si="25"/>
        <v>7.41</v>
      </c>
      <c r="M146" s="149">
        <f t="shared" si="26"/>
        <v>600</v>
      </c>
      <c r="O146" s="141"/>
      <c r="P146" s="142"/>
      <c r="AV146" s="141"/>
      <c r="AW146" s="141"/>
      <c r="AY146"/>
      <c r="AZ146"/>
      <c r="BA146"/>
      <c r="BB146"/>
    </row>
    <row r="147" spans="2:54">
      <c r="B147" s="98">
        <v>144</v>
      </c>
      <c r="C147" s="126">
        <f t="shared" si="21"/>
        <v>566</v>
      </c>
      <c r="D147" s="98">
        <f t="shared" si="22"/>
        <v>40</v>
      </c>
      <c r="E147" s="98">
        <f t="shared" si="23"/>
        <v>8</v>
      </c>
      <c r="F147" s="98">
        <v>0.5</v>
      </c>
      <c r="G147" s="98">
        <f t="shared" si="30"/>
        <v>5</v>
      </c>
      <c r="H147" s="98">
        <f t="shared" si="27"/>
        <v>2</v>
      </c>
      <c r="I147" s="98">
        <f t="shared" si="28"/>
        <v>1</v>
      </c>
      <c r="J147" s="98">
        <f t="shared" si="29"/>
        <v>0</v>
      </c>
      <c r="K147" s="126">
        <f t="shared" si="24"/>
        <v>148.3</v>
      </c>
      <c r="L147" s="148">
        <f t="shared" si="25"/>
        <v>7.415</v>
      </c>
      <c r="M147" s="149">
        <f t="shared" si="26"/>
        <v>600</v>
      </c>
      <c r="O147" s="141"/>
      <c r="P147" s="142"/>
      <c r="AV147" s="141"/>
      <c r="AW147" s="141"/>
      <c r="AY147"/>
      <c r="AZ147"/>
      <c r="BA147"/>
      <c r="BB147"/>
    </row>
    <row r="148" spans="2:54">
      <c r="B148" s="98">
        <v>145</v>
      </c>
      <c r="C148" s="126">
        <f t="shared" si="21"/>
        <v>568</v>
      </c>
      <c r="D148" s="98">
        <f t="shared" si="22"/>
        <v>40</v>
      </c>
      <c r="E148" s="98">
        <f t="shared" si="23"/>
        <v>8</v>
      </c>
      <c r="F148" s="98">
        <v>0.5</v>
      </c>
      <c r="G148" s="98">
        <f t="shared" si="30"/>
        <v>5</v>
      </c>
      <c r="H148" s="98">
        <f t="shared" si="27"/>
        <v>2</v>
      </c>
      <c r="I148" s="98">
        <f t="shared" si="28"/>
        <v>1</v>
      </c>
      <c r="J148" s="98">
        <f t="shared" si="29"/>
        <v>0</v>
      </c>
      <c r="K148" s="126">
        <f t="shared" si="24"/>
        <v>148.4</v>
      </c>
      <c r="L148" s="148">
        <f t="shared" si="25"/>
        <v>7.42</v>
      </c>
      <c r="M148" s="149">
        <f t="shared" si="26"/>
        <v>600</v>
      </c>
      <c r="O148" s="141"/>
      <c r="P148" s="142"/>
      <c r="AV148" s="141"/>
      <c r="AW148" s="141"/>
      <c r="AY148"/>
      <c r="AZ148"/>
      <c r="BA148"/>
      <c r="BB148"/>
    </row>
    <row r="149" spans="2:54">
      <c r="B149" s="98">
        <v>146</v>
      </c>
      <c r="C149" s="126">
        <f t="shared" si="21"/>
        <v>570</v>
      </c>
      <c r="D149" s="98">
        <f t="shared" si="22"/>
        <v>40</v>
      </c>
      <c r="E149" s="98">
        <f t="shared" si="23"/>
        <v>8</v>
      </c>
      <c r="F149" s="98">
        <v>0.5</v>
      </c>
      <c r="G149" s="98">
        <f t="shared" si="30"/>
        <v>5</v>
      </c>
      <c r="H149" s="98">
        <f t="shared" si="27"/>
        <v>2</v>
      </c>
      <c r="I149" s="98">
        <f t="shared" si="28"/>
        <v>1</v>
      </c>
      <c r="J149" s="98">
        <f t="shared" si="29"/>
        <v>0</v>
      </c>
      <c r="K149" s="126">
        <f t="shared" si="24"/>
        <v>148.5</v>
      </c>
      <c r="L149" s="148">
        <f t="shared" si="25"/>
        <v>7.425</v>
      </c>
      <c r="M149" s="149">
        <f t="shared" si="26"/>
        <v>600</v>
      </c>
      <c r="O149" s="141"/>
      <c r="P149" s="142"/>
      <c r="AV149" s="141"/>
      <c r="AW149" s="141"/>
      <c r="AY149"/>
      <c r="AZ149"/>
      <c r="BA149"/>
      <c r="BB149"/>
    </row>
    <row r="150" spans="2:54">
      <c r="B150" s="98">
        <v>147</v>
      </c>
      <c r="C150" s="126">
        <f t="shared" si="21"/>
        <v>572</v>
      </c>
      <c r="D150" s="98">
        <f t="shared" si="22"/>
        <v>40</v>
      </c>
      <c r="E150" s="98">
        <f t="shared" si="23"/>
        <v>8</v>
      </c>
      <c r="F150" s="98">
        <v>0.5</v>
      </c>
      <c r="G150" s="98">
        <f t="shared" si="30"/>
        <v>5</v>
      </c>
      <c r="H150" s="98">
        <f t="shared" si="27"/>
        <v>2</v>
      </c>
      <c r="I150" s="98">
        <f t="shared" si="28"/>
        <v>1</v>
      </c>
      <c r="J150" s="98">
        <f t="shared" si="29"/>
        <v>0</v>
      </c>
      <c r="K150" s="126">
        <f t="shared" si="24"/>
        <v>148.6</v>
      </c>
      <c r="L150" s="148">
        <f t="shared" si="25"/>
        <v>7.43</v>
      </c>
      <c r="M150" s="149">
        <f t="shared" si="26"/>
        <v>600</v>
      </c>
      <c r="O150" s="141"/>
      <c r="P150" s="142"/>
      <c r="AV150" s="141"/>
      <c r="AW150" s="141"/>
      <c r="AY150"/>
      <c r="AZ150"/>
      <c r="BA150"/>
      <c r="BB150"/>
    </row>
    <row r="151" spans="2:54">
      <c r="B151" s="98">
        <v>148</v>
      </c>
      <c r="C151" s="126">
        <f t="shared" si="21"/>
        <v>574</v>
      </c>
      <c r="D151" s="98">
        <f t="shared" si="22"/>
        <v>40</v>
      </c>
      <c r="E151" s="98">
        <f t="shared" si="23"/>
        <v>8</v>
      </c>
      <c r="F151" s="98">
        <v>0.5</v>
      </c>
      <c r="G151" s="98">
        <f t="shared" si="30"/>
        <v>5</v>
      </c>
      <c r="H151" s="98">
        <f t="shared" si="27"/>
        <v>2</v>
      </c>
      <c r="I151" s="98">
        <f t="shared" si="28"/>
        <v>1</v>
      </c>
      <c r="J151" s="98">
        <f t="shared" si="29"/>
        <v>0</v>
      </c>
      <c r="K151" s="126">
        <f t="shared" si="24"/>
        <v>148.7</v>
      </c>
      <c r="L151" s="148">
        <f t="shared" si="25"/>
        <v>7.435</v>
      </c>
      <c r="M151" s="149">
        <f t="shared" si="26"/>
        <v>600</v>
      </c>
      <c r="O151" s="141"/>
      <c r="P151" s="142"/>
      <c r="AV151" s="141"/>
      <c r="AW151" s="141"/>
      <c r="AY151"/>
      <c r="AZ151"/>
      <c r="BA151"/>
      <c r="BB151"/>
    </row>
    <row r="152" spans="2:54">
      <c r="B152" s="98">
        <v>149</v>
      </c>
      <c r="C152" s="126">
        <f t="shared" si="21"/>
        <v>576</v>
      </c>
      <c r="D152" s="98">
        <f t="shared" si="22"/>
        <v>40</v>
      </c>
      <c r="E152" s="98">
        <f t="shared" si="23"/>
        <v>8</v>
      </c>
      <c r="F152" s="98">
        <v>0.5</v>
      </c>
      <c r="G152" s="98">
        <f t="shared" si="30"/>
        <v>5</v>
      </c>
      <c r="H152" s="98">
        <f t="shared" si="27"/>
        <v>2</v>
      </c>
      <c r="I152" s="98">
        <f t="shared" si="28"/>
        <v>1</v>
      </c>
      <c r="J152" s="98">
        <f t="shared" si="29"/>
        <v>0</v>
      </c>
      <c r="K152" s="126">
        <f t="shared" si="24"/>
        <v>148.8</v>
      </c>
      <c r="L152" s="148">
        <f t="shared" si="25"/>
        <v>7.44</v>
      </c>
      <c r="M152" s="149">
        <f t="shared" si="26"/>
        <v>600</v>
      </c>
      <c r="O152" s="141"/>
      <c r="P152" s="142"/>
      <c r="AV152" s="141"/>
      <c r="AW152" s="141"/>
      <c r="AY152"/>
      <c r="AZ152"/>
      <c r="BA152"/>
      <c r="BB152"/>
    </row>
    <row r="153" spans="2:54">
      <c r="B153" s="98">
        <v>150</v>
      </c>
      <c r="C153" s="126">
        <f t="shared" si="21"/>
        <v>578</v>
      </c>
      <c r="D153" s="98">
        <f t="shared" si="22"/>
        <v>40</v>
      </c>
      <c r="E153" s="98">
        <f t="shared" si="23"/>
        <v>8</v>
      </c>
      <c r="F153" s="98">
        <v>0.5</v>
      </c>
      <c r="G153" s="98">
        <f t="shared" si="30"/>
        <v>5</v>
      </c>
      <c r="H153" s="98">
        <f t="shared" si="27"/>
        <v>2</v>
      </c>
      <c r="I153" s="98">
        <f t="shared" si="28"/>
        <v>1</v>
      </c>
      <c r="J153" s="98">
        <f t="shared" si="29"/>
        <v>0</v>
      </c>
      <c r="K153" s="126">
        <f t="shared" si="24"/>
        <v>148.9</v>
      </c>
      <c r="L153" s="148">
        <f t="shared" si="25"/>
        <v>7.445</v>
      </c>
      <c r="M153" s="149">
        <f t="shared" si="26"/>
        <v>600</v>
      </c>
      <c r="O153" s="141"/>
      <c r="P153" s="142"/>
      <c r="AV153" s="141"/>
      <c r="AW153" s="141"/>
      <c r="AY153"/>
      <c r="AZ153"/>
      <c r="BA153"/>
      <c r="BB153"/>
    </row>
    <row r="154" spans="2:54">
      <c r="B154" s="98">
        <v>151</v>
      </c>
      <c r="C154" s="126">
        <f t="shared" si="21"/>
        <v>580</v>
      </c>
      <c r="D154" s="98">
        <f t="shared" si="22"/>
        <v>40</v>
      </c>
      <c r="E154" s="98">
        <f t="shared" si="23"/>
        <v>8</v>
      </c>
      <c r="F154" s="98">
        <v>0.5</v>
      </c>
      <c r="G154" s="98">
        <f t="shared" si="30"/>
        <v>5</v>
      </c>
      <c r="H154" s="98">
        <f t="shared" si="27"/>
        <v>2</v>
      </c>
      <c r="I154" s="98">
        <f t="shared" si="28"/>
        <v>1</v>
      </c>
      <c r="J154" s="98">
        <f t="shared" si="29"/>
        <v>0</v>
      </c>
      <c r="K154" s="126">
        <f t="shared" si="24"/>
        <v>149</v>
      </c>
      <c r="L154" s="148">
        <f t="shared" si="25"/>
        <v>7.45</v>
      </c>
      <c r="M154" s="149">
        <f t="shared" si="26"/>
        <v>600</v>
      </c>
      <c r="O154" s="141"/>
      <c r="P154" s="142"/>
      <c r="AV154" s="141"/>
      <c r="AW154" s="141"/>
      <c r="AY154"/>
      <c r="AZ154"/>
      <c r="BA154"/>
      <c r="BB154"/>
    </row>
    <row r="155" spans="2:54">
      <c r="B155" s="98">
        <v>152</v>
      </c>
      <c r="C155" s="126">
        <f t="shared" si="21"/>
        <v>582</v>
      </c>
      <c r="D155" s="98">
        <f t="shared" si="22"/>
        <v>40</v>
      </c>
      <c r="E155" s="98">
        <f t="shared" si="23"/>
        <v>8</v>
      </c>
      <c r="F155" s="98">
        <v>0.5</v>
      </c>
      <c r="G155" s="98">
        <f t="shared" si="30"/>
        <v>5</v>
      </c>
      <c r="H155" s="98">
        <f t="shared" si="27"/>
        <v>2</v>
      </c>
      <c r="I155" s="98">
        <f t="shared" si="28"/>
        <v>1</v>
      </c>
      <c r="J155" s="98">
        <f t="shared" si="29"/>
        <v>0</v>
      </c>
      <c r="K155" s="126">
        <f t="shared" si="24"/>
        <v>149.1</v>
      </c>
      <c r="L155" s="148">
        <f t="shared" si="25"/>
        <v>7.455</v>
      </c>
      <c r="M155" s="149">
        <f t="shared" si="26"/>
        <v>600</v>
      </c>
      <c r="O155" s="141"/>
      <c r="P155" s="142"/>
      <c r="AV155" s="141"/>
      <c r="AW155" s="141"/>
      <c r="AY155"/>
      <c r="AZ155"/>
      <c r="BA155"/>
      <c r="BB155"/>
    </row>
    <row r="156" spans="2:54">
      <c r="B156" s="98">
        <v>153</v>
      </c>
      <c r="C156" s="126">
        <f t="shared" si="21"/>
        <v>584</v>
      </c>
      <c r="D156" s="98">
        <f t="shared" si="22"/>
        <v>40</v>
      </c>
      <c r="E156" s="98">
        <f t="shared" si="23"/>
        <v>8</v>
      </c>
      <c r="F156" s="98">
        <v>0.5</v>
      </c>
      <c r="G156" s="98">
        <f t="shared" si="30"/>
        <v>5</v>
      </c>
      <c r="H156" s="98">
        <f t="shared" si="27"/>
        <v>2</v>
      </c>
      <c r="I156" s="98">
        <f t="shared" si="28"/>
        <v>1</v>
      </c>
      <c r="J156" s="98">
        <f t="shared" si="29"/>
        <v>0</v>
      </c>
      <c r="K156" s="126">
        <f t="shared" si="24"/>
        <v>149.2</v>
      </c>
      <c r="L156" s="148">
        <f t="shared" si="25"/>
        <v>7.46</v>
      </c>
      <c r="M156" s="149">
        <f t="shared" si="26"/>
        <v>600</v>
      </c>
      <c r="O156" s="141"/>
      <c r="P156" s="142"/>
      <c r="AV156" s="141"/>
      <c r="AW156" s="141"/>
      <c r="AY156"/>
      <c r="AZ156"/>
      <c r="BA156"/>
      <c r="BB156"/>
    </row>
    <row r="157" spans="2:54">
      <c r="B157" s="98">
        <v>154</v>
      </c>
      <c r="C157" s="126">
        <f t="shared" si="21"/>
        <v>586</v>
      </c>
      <c r="D157" s="98">
        <f t="shared" si="22"/>
        <v>40</v>
      </c>
      <c r="E157" s="98">
        <f t="shared" si="23"/>
        <v>8</v>
      </c>
      <c r="F157" s="98">
        <v>0.5</v>
      </c>
      <c r="G157" s="98">
        <f t="shared" si="30"/>
        <v>5</v>
      </c>
      <c r="H157" s="98">
        <f t="shared" si="27"/>
        <v>2</v>
      </c>
      <c r="I157" s="98">
        <f t="shared" si="28"/>
        <v>1</v>
      </c>
      <c r="J157" s="98">
        <f t="shared" si="29"/>
        <v>0</v>
      </c>
      <c r="K157" s="126">
        <f t="shared" si="24"/>
        <v>149.3</v>
      </c>
      <c r="L157" s="148">
        <f t="shared" si="25"/>
        <v>7.465</v>
      </c>
      <c r="M157" s="149">
        <f t="shared" si="26"/>
        <v>600</v>
      </c>
      <c r="O157" s="141"/>
      <c r="P157" s="142"/>
      <c r="AV157" s="141"/>
      <c r="AW157" s="141"/>
      <c r="AY157"/>
      <c r="AZ157"/>
      <c r="BA157"/>
      <c r="BB157"/>
    </row>
    <row r="158" spans="2:54">
      <c r="B158" s="98">
        <v>155</v>
      </c>
      <c r="C158" s="126">
        <f t="shared" si="21"/>
        <v>588</v>
      </c>
      <c r="D158" s="98">
        <f t="shared" si="22"/>
        <v>40</v>
      </c>
      <c r="E158" s="98">
        <f t="shared" si="23"/>
        <v>8</v>
      </c>
      <c r="F158" s="98">
        <v>0.5</v>
      </c>
      <c r="G158" s="98">
        <f t="shared" si="30"/>
        <v>5</v>
      </c>
      <c r="H158" s="98">
        <f t="shared" si="27"/>
        <v>2</v>
      </c>
      <c r="I158" s="98">
        <f t="shared" si="28"/>
        <v>1</v>
      </c>
      <c r="J158" s="98">
        <f t="shared" si="29"/>
        <v>0</v>
      </c>
      <c r="K158" s="126">
        <f t="shared" si="24"/>
        <v>149.4</v>
      </c>
      <c r="L158" s="148">
        <f t="shared" si="25"/>
        <v>7.47</v>
      </c>
      <c r="M158" s="149">
        <f t="shared" si="26"/>
        <v>600</v>
      </c>
      <c r="O158" s="141"/>
      <c r="P158" s="142"/>
      <c r="AV158" s="141"/>
      <c r="AW158" s="141"/>
      <c r="AY158"/>
      <c r="AZ158"/>
      <c r="BA158"/>
      <c r="BB158"/>
    </row>
    <row r="159" spans="2:54">
      <c r="B159" s="98">
        <v>156</v>
      </c>
      <c r="C159" s="126">
        <f t="shared" si="21"/>
        <v>590</v>
      </c>
      <c r="D159" s="98">
        <f t="shared" si="22"/>
        <v>40</v>
      </c>
      <c r="E159" s="98">
        <f t="shared" si="23"/>
        <v>8</v>
      </c>
      <c r="F159" s="98">
        <v>0.5</v>
      </c>
      <c r="G159" s="98">
        <f t="shared" si="30"/>
        <v>5</v>
      </c>
      <c r="H159" s="98">
        <f t="shared" si="27"/>
        <v>2</v>
      </c>
      <c r="I159" s="98">
        <f t="shared" si="28"/>
        <v>1</v>
      </c>
      <c r="J159" s="98">
        <f t="shared" si="29"/>
        <v>0</v>
      </c>
      <c r="K159" s="126">
        <f t="shared" si="24"/>
        <v>149.5</v>
      </c>
      <c r="L159" s="148">
        <f t="shared" si="25"/>
        <v>7.475</v>
      </c>
      <c r="M159" s="149">
        <f t="shared" si="26"/>
        <v>600</v>
      </c>
      <c r="O159" s="141"/>
      <c r="P159" s="142"/>
      <c r="AV159" s="141"/>
      <c r="AW159" s="141"/>
      <c r="AY159"/>
      <c r="AZ159"/>
      <c r="BA159"/>
      <c r="BB159"/>
    </row>
    <row r="160" spans="2:54">
      <c r="B160" s="98">
        <v>157</v>
      </c>
      <c r="C160" s="126">
        <f t="shared" si="21"/>
        <v>592</v>
      </c>
      <c r="D160" s="98">
        <f t="shared" si="22"/>
        <v>40</v>
      </c>
      <c r="E160" s="98">
        <f t="shared" si="23"/>
        <v>8</v>
      </c>
      <c r="F160" s="98">
        <v>0.5</v>
      </c>
      <c r="G160" s="98">
        <f t="shared" si="30"/>
        <v>5</v>
      </c>
      <c r="H160" s="98">
        <f t="shared" si="27"/>
        <v>2</v>
      </c>
      <c r="I160" s="98">
        <f t="shared" si="28"/>
        <v>1</v>
      </c>
      <c r="J160" s="98">
        <f t="shared" si="29"/>
        <v>0</v>
      </c>
      <c r="K160" s="126">
        <f t="shared" si="24"/>
        <v>149.6</v>
      </c>
      <c r="L160" s="148">
        <f t="shared" si="25"/>
        <v>7.48</v>
      </c>
      <c r="M160" s="149">
        <f t="shared" si="26"/>
        <v>600</v>
      </c>
      <c r="O160" s="141"/>
      <c r="P160" s="142"/>
      <c r="AV160" s="141"/>
      <c r="AW160" s="141"/>
      <c r="AY160"/>
      <c r="AZ160"/>
      <c r="BA160"/>
      <c r="BB160"/>
    </row>
    <row r="161" spans="2:54">
      <c r="B161" s="98">
        <v>158</v>
      </c>
      <c r="C161" s="126">
        <f t="shared" si="21"/>
        <v>594</v>
      </c>
      <c r="D161" s="98">
        <f t="shared" si="22"/>
        <v>40</v>
      </c>
      <c r="E161" s="98">
        <f t="shared" si="23"/>
        <v>8</v>
      </c>
      <c r="F161" s="98">
        <v>0.5</v>
      </c>
      <c r="G161" s="98">
        <f t="shared" si="30"/>
        <v>5</v>
      </c>
      <c r="H161" s="98">
        <f t="shared" si="27"/>
        <v>2</v>
      </c>
      <c r="I161" s="98">
        <f t="shared" si="28"/>
        <v>1</v>
      </c>
      <c r="J161" s="98">
        <f t="shared" si="29"/>
        <v>0</v>
      </c>
      <c r="K161" s="126">
        <f t="shared" si="24"/>
        <v>149.7</v>
      </c>
      <c r="L161" s="148">
        <f t="shared" si="25"/>
        <v>7.485</v>
      </c>
      <c r="M161" s="149">
        <f t="shared" si="26"/>
        <v>600</v>
      </c>
      <c r="O161" s="141"/>
      <c r="P161" s="142"/>
      <c r="AV161" s="141"/>
      <c r="AW161" s="141"/>
      <c r="AY161"/>
      <c r="AZ161"/>
      <c r="BA161"/>
      <c r="BB161"/>
    </row>
    <row r="162" spans="2:54">
      <c r="B162" s="98">
        <v>159</v>
      </c>
      <c r="C162" s="126">
        <f t="shared" si="21"/>
        <v>596</v>
      </c>
      <c r="D162" s="98">
        <f t="shared" si="22"/>
        <v>40</v>
      </c>
      <c r="E162" s="98">
        <f t="shared" si="23"/>
        <v>8</v>
      </c>
      <c r="F162" s="98">
        <v>0.5</v>
      </c>
      <c r="G162" s="98">
        <f t="shared" si="30"/>
        <v>5</v>
      </c>
      <c r="H162" s="98">
        <f t="shared" si="27"/>
        <v>2</v>
      </c>
      <c r="I162" s="98">
        <f t="shared" si="28"/>
        <v>1</v>
      </c>
      <c r="J162" s="98">
        <f t="shared" si="29"/>
        <v>0</v>
      </c>
      <c r="K162" s="126">
        <f t="shared" si="24"/>
        <v>149.8</v>
      </c>
      <c r="L162" s="148">
        <f t="shared" si="25"/>
        <v>7.49</v>
      </c>
      <c r="M162" s="149">
        <f t="shared" si="26"/>
        <v>600</v>
      </c>
      <c r="O162" s="141"/>
      <c r="P162" s="142"/>
      <c r="AV162" s="141"/>
      <c r="AW162" s="141"/>
      <c r="AY162"/>
      <c r="AZ162"/>
      <c r="BA162"/>
      <c r="BB162"/>
    </row>
    <row r="163" spans="2:54">
      <c r="B163" s="98">
        <v>160</v>
      </c>
      <c r="C163" s="126">
        <f t="shared" si="21"/>
        <v>598</v>
      </c>
      <c r="D163" s="98">
        <f t="shared" si="22"/>
        <v>40</v>
      </c>
      <c r="E163" s="98">
        <f t="shared" si="23"/>
        <v>8</v>
      </c>
      <c r="F163" s="98">
        <v>0.5</v>
      </c>
      <c r="G163" s="98">
        <f t="shared" si="30"/>
        <v>5</v>
      </c>
      <c r="H163" s="98">
        <f t="shared" si="27"/>
        <v>2</v>
      </c>
      <c r="I163" s="98">
        <f t="shared" si="28"/>
        <v>1</v>
      </c>
      <c r="J163" s="98">
        <f t="shared" si="29"/>
        <v>0</v>
      </c>
      <c r="K163" s="126">
        <f t="shared" si="24"/>
        <v>149.9</v>
      </c>
      <c r="L163" s="148">
        <f t="shared" si="25"/>
        <v>7.495</v>
      </c>
      <c r="M163" s="149">
        <f t="shared" si="26"/>
        <v>600</v>
      </c>
      <c r="O163" s="141"/>
      <c r="P163" s="142"/>
      <c r="AV163" s="141"/>
      <c r="AW163" s="141"/>
      <c r="AY163"/>
      <c r="AZ163"/>
      <c r="BA163"/>
      <c r="BB163"/>
    </row>
    <row r="164" spans="2:54">
      <c r="B164" s="98">
        <v>161</v>
      </c>
      <c r="C164" s="126">
        <f t="shared" si="21"/>
        <v>600</v>
      </c>
      <c r="D164" s="98">
        <f t="shared" si="22"/>
        <v>40</v>
      </c>
      <c r="E164" s="98">
        <f t="shared" si="23"/>
        <v>8</v>
      </c>
      <c r="F164" s="98">
        <v>0.5</v>
      </c>
      <c r="G164" s="98">
        <f t="shared" si="30"/>
        <v>5</v>
      </c>
      <c r="H164" s="98">
        <f t="shared" si="27"/>
        <v>2</v>
      </c>
      <c r="I164" s="98">
        <f t="shared" si="28"/>
        <v>1</v>
      </c>
      <c r="J164" s="98">
        <f t="shared" si="29"/>
        <v>0</v>
      </c>
      <c r="K164" s="126">
        <f t="shared" si="24"/>
        <v>150</v>
      </c>
      <c r="L164" s="148">
        <f t="shared" si="25"/>
        <v>7.5</v>
      </c>
      <c r="M164" s="149">
        <f t="shared" si="26"/>
        <v>600</v>
      </c>
      <c r="O164" s="141"/>
      <c r="P164" s="142"/>
      <c r="AV164" s="141"/>
      <c r="AW164" s="141"/>
      <c r="AY164"/>
      <c r="AZ164"/>
      <c r="BA164"/>
      <c r="BB164"/>
    </row>
    <row r="165" spans="2:54">
      <c r="B165" s="98">
        <v>162</v>
      </c>
      <c r="C165" s="126">
        <f t="shared" si="21"/>
        <v>602</v>
      </c>
      <c r="D165" s="98">
        <f t="shared" si="22"/>
        <v>40</v>
      </c>
      <c r="E165" s="98">
        <f t="shared" si="23"/>
        <v>8</v>
      </c>
      <c r="F165" s="98">
        <v>0.5</v>
      </c>
      <c r="G165" s="98">
        <f t="shared" si="30"/>
        <v>5</v>
      </c>
      <c r="H165" s="98">
        <f t="shared" si="27"/>
        <v>2</v>
      </c>
      <c r="I165" s="98">
        <f t="shared" si="28"/>
        <v>1</v>
      </c>
      <c r="J165" s="98">
        <f t="shared" si="29"/>
        <v>0</v>
      </c>
      <c r="K165" s="126">
        <f t="shared" si="24"/>
        <v>150.1</v>
      </c>
      <c r="L165" s="148">
        <f t="shared" si="25"/>
        <v>7.505</v>
      </c>
      <c r="M165" s="149">
        <f t="shared" si="26"/>
        <v>600</v>
      </c>
      <c r="O165" s="141"/>
      <c r="P165" s="142"/>
      <c r="AV165" s="141"/>
      <c r="AW165" s="141"/>
      <c r="AY165"/>
      <c r="AZ165"/>
      <c r="BA165"/>
      <c r="BB165"/>
    </row>
    <row r="166" spans="2:54">
      <c r="B166" s="98">
        <v>163</v>
      </c>
      <c r="C166" s="126">
        <f t="shared" si="21"/>
        <v>604</v>
      </c>
      <c r="D166" s="98">
        <f t="shared" si="22"/>
        <v>40</v>
      </c>
      <c r="E166" s="98">
        <f t="shared" si="23"/>
        <v>8</v>
      </c>
      <c r="F166" s="98">
        <v>0.5</v>
      </c>
      <c r="G166" s="98">
        <f t="shared" si="30"/>
        <v>5</v>
      </c>
      <c r="H166" s="98">
        <f t="shared" si="27"/>
        <v>2</v>
      </c>
      <c r="I166" s="98">
        <f t="shared" si="28"/>
        <v>1</v>
      </c>
      <c r="J166" s="98">
        <f t="shared" si="29"/>
        <v>0</v>
      </c>
      <c r="K166" s="126">
        <f t="shared" si="24"/>
        <v>150.2</v>
      </c>
      <c r="L166" s="148">
        <f t="shared" si="25"/>
        <v>7.51</v>
      </c>
      <c r="M166" s="149">
        <f t="shared" si="26"/>
        <v>600</v>
      </c>
      <c r="O166" s="141"/>
      <c r="P166" s="142"/>
      <c r="AV166" s="141"/>
      <c r="AW166" s="141"/>
      <c r="AY166"/>
      <c r="AZ166"/>
      <c r="BA166"/>
      <c r="BB166"/>
    </row>
    <row r="167" spans="2:54">
      <c r="B167" s="98">
        <v>164</v>
      </c>
      <c r="C167" s="126">
        <f t="shared" si="21"/>
        <v>606</v>
      </c>
      <c r="D167" s="98">
        <f t="shared" si="22"/>
        <v>40</v>
      </c>
      <c r="E167" s="98">
        <f t="shared" si="23"/>
        <v>8</v>
      </c>
      <c r="F167" s="98">
        <v>0.5</v>
      </c>
      <c r="G167" s="98">
        <f t="shared" si="30"/>
        <v>5</v>
      </c>
      <c r="H167" s="98">
        <f t="shared" si="27"/>
        <v>2</v>
      </c>
      <c r="I167" s="98">
        <f t="shared" si="28"/>
        <v>1</v>
      </c>
      <c r="J167" s="98">
        <f t="shared" si="29"/>
        <v>0</v>
      </c>
      <c r="K167" s="126">
        <f t="shared" si="24"/>
        <v>150.3</v>
      </c>
      <c r="L167" s="148">
        <f t="shared" si="25"/>
        <v>7.515</v>
      </c>
      <c r="M167" s="149">
        <f t="shared" si="26"/>
        <v>600</v>
      </c>
      <c r="O167" s="141"/>
      <c r="P167" s="142"/>
      <c r="AV167" s="141"/>
      <c r="AW167" s="141"/>
      <c r="AY167"/>
      <c r="AZ167"/>
      <c r="BA167"/>
      <c r="BB167"/>
    </row>
    <row r="168" spans="2:54">
      <c r="B168" s="98">
        <v>165</v>
      </c>
      <c r="C168" s="126">
        <f t="shared" si="21"/>
        <v>608</v>
      </c>
      <c r="D168" s="98">
        <f t="shared" si="22"/>
        <v>40</v>
      </c>
      <c r="E168" s="98">
        <f t="shared" si="23"/>
        <v>8</v>
      </c>
      <c r="F168" s="98">
        <v>0.5</v>
      </c>
      <c r="G168" s="98">
        <f t="shared" si="30"/>
        <v>5</v>
      </c>
      <c r="H168" s="98">
        <f t="shared" si="27"/>
        <v>2</v>
      </c>
      <c r="I168" s="98">
        <f t="shared" si="28"/>
        <v>1</v>
      </c>
      <c r="J168" s="98">
        <f t="shared" si="29"/>
        <v>0</v>
      </c>
      <c r="K168" s="126">
        <f t="shared" si="24"/>
        <v>150.4</v>
      </c>
      <c r="L168" s="148">
        <f t="shared" si="25"/>
        <v>7.52</v>
      </c>
      <c r="M168" s="149">
        <f t="shared" si="26"/>
        <v>600</v>
      </c>
      <c r="O168" s="141"/>
      <c r="P168" s="142"/>
      <c r="AV168" s="141"/>
      <c r="AW168" s="141"/>
      <c r="AY168"/>
      <c r="AZ168"/>
      <c r="BA168"/>
      <c r="BB168"/>
    </row>
    <row r="169" spans="2:54">
      <c r="B169" s="98">
        <v>166</v>
      </c>
      <c r="C169" s="126">
        <f t="shared" si="21"/>
        <v>610</v>
      </c>
      <c r="D169" s="98">
        <f t="shared" si="22"/>
        <v>40</v>
      </c>
      <c r="E169" s="98">
        <f t="shared" si="23"/>
        <v>8</v>
      </c>
      <c r="F169" s="98">
        <v>0.5</v>
      </c>
      <c r="G169" s="98">
        <f t="shared" si="30"/>
        <v>5</v>
      </c>
      <c r="H169" s="98">
        <f t="shared" si="27"/>
        <v>2</v>
      </c>
      <c r="I169" s="98">
        <f t="shared" si="28"/>
        <v>1</v>
      </c>
      <c r="J169" s="98">
        <f t="shared" si="29"/>
        <v>0</v>
      </c>
      <c r="K169" s="126">
        <f t="shared" si="24"/>
        <v>150.5</v>
      </c>
      <c r="L169" s="148">
        <f t="shared" si="25"/>
        <v>7.525</v>
      </c>
      <c r="M169" s="149">
        <f t="shared" si="26"/>
        <v>600</v>
      </c>
      <c r="O169" s="141"/>
      <c r="P169" s="142"/>
      <c r="AV169" s="141"/>
      <c r="AW169" s="141"/>
      <c r="AY169"/>
      <c r="AZ169"/>
      <c r="BA169"/>
      <c r="BB169"/>
    </row>
    <row r="170" spans="2:54">
      <c r="B170" s="98">
        <v>167</v>
      </c>
      <c r="C170" s="126">
        <f t="shared" si="21"/>
        <v>612</v>
      </c>
      <c r="D170" s="98">
        <f t="shared" si="22"/>
        <v>40</v>
      </c>
      <c r="E170" s="98">
        <f t="shared" si="23"/>
        <v>8</v>
      </c>
      <c r="F170" s="98">
        <v>0.5</v>
      </c>
      <c r="G170" s="98">
        <f t="shared" si="30"/>
        <v>5</v>
      </c>
      <c r="H170" s="98">
        <f t="shared" si="27"/>
        <v>2</v>
      </c>
      <c r="I170" s="98">
        <f t="shared" si="28"/>
        <v>1</v>
      </c>
      <c r="J170" s="98">
        <f t="shared" si="29"/>
        <v>0</v>
      </c>
      <c r="K170" s="126">
        <f t="shared" si="24"/>
        <v>150.6</v>
      </c>
      <c r="L170" s="148">
        <f t="shared" si="25"/>
        <v>7.53</v>
      </c>
      <c r="M170" s="149">
        <f t="shared" si="26"/>
        <v>600</v>
      </c>
      <c r="O170" s="141"/>
      <c r="P170" s="142"/>
      <c r="AV170" s="141"/>
      <c r="AW170" s="141"/>
      <c r="AY170"/>
      <c r="AZ170"/>
      <c r="BA170"/>
      <c r="BB170"/>
    </row>
    <row r="171" spans="2:54">
      <c r="B171" s="98">
        <v>168</v>
      </c>
      <c r="C171" s="126">
        <f t="shared" si="21"/>
        <v>614</v>
      </c>
      <c r="D171" s="98">
        <f t="shared" si="22"/>
        <v>40</v>
      </c>
      <c r="E171" s="98">
        <f t="shared" si="23"/>
        <v>8</v>
      </c>
      <c r="F171" s="98">
        <v>0.5</v>
      </c>
      <c r="G171" s="98">
        <f t="shared" si="30"/>
        <v>5</v>
      </c>
      <c r="H171" s="98">
        <f t="shared" si="27"/>
        <v>2</v>
      </c>
      <c r="I171" s="98">
        <f t="shared" si="28"/>
        <v>1</v>
      </c>
      <c r="J171" s="98">
        <f t="shared" si="29"/>
        <v>0</v>
      </c>
      <c r="K171" s="126">
        <f t="shared" si="24"/>
        <v>150.7</v>
      </c>
      <c r="L171" s="148">
        <f t="shared" si="25"/>
        <v>7.535</v>
      </c>
      <c r="M171" s="149">
        <f t="shared" si="26"/>
        <v>600</v>
      </c>
      <c r="O171" s="141"/>
      <c r="P171" s="142"/>
      <c r="AV171" s="141"/>
      <c r="AW171" s="141"/>
      <c r="AY171"/>
      <c r="AZ171"/>
      <c r="BA171"/>
      <c r="BB171"/>
    </row>
    <row r="172" spans="2:54">
      <c r="B172" s="98">
        <v>169</v>
      </c>
      <c r="C172" s="126">
        <f t="shared" si="21"/>
        <v>616</v>
      </c>
      <c r="D172" s="98">
        <f t="shared" si="22"/>
        <v>40</v>
      </c>
      <c r="E172" s="98">
        <f t="shared" si="23"/>
        <v>8</v>
      </c>
      <c r="F172" s="98">
        <v>0.5</v>
      </c>
      <c r="G172" s="98">
        <f t="shared" si="30"/>
        <v>5</v>
      </c>
      <c r="H172" s="98">
        <f t="shared" si="27"/>
        <v>2</v>
      </c>
      <c r="I172" s="98">
        <f t="shared" si="28"/>
        <v>1</v>
      </c>
      <c r="J172" s="98">
        <f t="shared" si="29"/>
        <v>0</v>
      </c>
      <c r="K172" s="126">
        <f t="shared" si="24"/>
        <v>150.8</v>
      </c>
      <c r="L172" s="148">
        <f t="shared" si="25"/>
        <v>7.54</v>
      </c>
      <c r="M172" s="149">
        <f t="shared" si="26"/>
        <v>600</v>
      </c>
      <c r="O172" s="141"/>
      <c r="P172" s="142"/>
      <c r="AV172" s="141"/>
      <c r="AW172" s="141"/>
      <c r="AY172"/>
      <c r="AZ172"/>
      <c r="BA172"/>
      <c r="BB172"/>
    </row>
    <row r="173" spans="2:54">
      <c r="B173" s="98">
        <v>170</v>
      </c>
      <c r="C173" s="126">
        <f t="shared" si="21"/>
        <v>618</v>
      </c>
      <c r="D173" s="98">
        <f t="shared" si="22"/>
        <v>40</v>
      </c>
      <c r="E173" s="98">
        <f t="shared" si="23"/>
        <v>8</v>
      </c>
      <c r="F173" s="98">
        <v>0.5</v>
      </c>
      <c r="G173" s="98">
        <f t="shared" si="30"/>
        <v>5</v>
      </c>
      <c r="H173" s="98">
        <f t="shared" si="27"/>
        <v>2</v>
      </c>
      <c r="I173" s="98">
        <f t="shared" si="28"/>
        <v>1</v>
      </c>
      <c r="J173" s="98">
        <f t="shared" si="29"/>
        <v>0</v>
      </c>
      <c r="K173" s="126">
        <f t="shared" si="24"/>
        <v>150.9</v>
      </c>
      <c r="L173" s="148">
        <f t="shared" si="25"/>
        <v>7.545</v>
      </c>
      <c r="M173" s="149">
        <f t="shared" si="26"/>
        <v>600</v>
      </c>
      <c r="O173" s="141"/>
      <c r="P173" s="142"/>
      <c r="AV173" s="141"/>
      <c r="AW173" s="141"/>
      <c r="AY173"/>
      <c r="AZ173"/>
      <c r="BA173"/>
      <c r="BB173"/>
    </row>
    <row r="174" spans="2:54">
      <c r="B174" s="98">
        <v>171</v>
      </c>
      <c r="C174" s="126">
        <f t="shared" si="21"/>
        <v>620</v>
      </c>
      <c r="D174" s="98">
        <f t="shared" si="22"/>
        <v>40</v>
      </c>
      <c r="E174" s="98">
        <f t="shared" si="23"/>
        <v>8</v>
      </c>
      <c r="F174" s="98">
        <v>0.5</v>
      </c>
      <c r="G174" s="98">
        <f t="shared" si="30"/>
        <v>5</v>
      </c>
      <c r="H174" s="98">
        <f t="shared" si="27"/>
        <v>2</v>
      </c>
      <c r="I174" s="98">
        <f t="shared" si="28"/>
        <v>1</v>
      </c>
      <c r="J174" s="98">
        <f t="shared" si="29"/>
        <v>0</v>
      </c>
      <c r="K174" s="126">
        <f t="shared" si="24"/>
        <v>151</v>
      </c>
      <c r="L174" s="148">
        <f t="shared" si="25"/>
        <v>7.55</v>
      </c>
      <c r="M174" s="149">
        <f t="shared" si="26"/>
        <v>600</v>
      </c>
      <c r="O174" s="141"/>
      <c r="P174" s="142"/>
      <c r="AV174" s="141"/>
      <c r="AW174" s="141"/>
      <c r="AY174"/>
      <c r="AZ174"/>
      <c r="BA174"/>
      <c r="BB174"/>
    </row>
    <row r="175" spans="2:54">
      <c r="B175" s="98">
        <v>172</v>
      </c>
      <c r="C175" s="126">
        <f t="shared" si="21"/>
        <v>622</v>
      </c>
      <c r="D175" s="98">
        <f t="shared" si="22"/>
        <v>40</v>
      </c>
      <c r="E175" s="98">
        <f t="shared" si="23"/>
        <v>8</v>
      </c>
      <c r="F175" s="98">
        <v>0.5</v>
      </c>
      <c r="G175" s="98">
        <f t="shared" si="30"/>
        <v>5</v>
      </c>
      <c r="H175" s="98">
        <f t="shared" si="27"/>
        <v>2</v>
      </c>
      <c r="I175" s="98">
        <f t="shared" si="28"/>
        <v>1</v>
      </c>
      <c r="J175" s="98">
        <f t="shared" si="29"/>
        <v>0</v>
      </c>
      <c r="K175" s="126">
        <f t="shared" si="24"/>
        <v>151.1</v>
      </c>
      <c r="L175" s="148">
        <f t="shared" si="25"/>
        <v>7.555</v>
      </c>
      <c r="M175" s="149">
        <f t="shared" si="26"/>
        <v>600</v>
      </c>
      <c r="O175" s="141"/>
      <c r="P175" s="142"/>
      <c r="AV175" s="141"/>
      <c r="AW175" s="141"/>
      <c r="AY175"/>
      <c r="AZ175"/>
      <c r="BA175"/>
      <c r="BB175"/>
    </row>
    <row r="176" spans="2:54">
      <c r="B176" s="98">
        <v>173</v>
      </c>
      <c r="C176" s="126">
        <f t="shared" si="21"/>
        <v>624</v>
      </c>
      <c r="D176" s="98">
        <f t="shared" si="22"/>
        <v>40</v>
      </c>
      <c r="E176" s="98">
        <f t="shared" si="23"/>
        <v>8</v>
      </c>
      <c r="F176" s="98">
        <v>0.5</v>
      </c>
      <c r="G176" s="98">
        <f t="shared" si="30"/>
        <v>5</v>
      </c>
      <c r="H176" s="98">
        <f t="shared" si="27"/>
        <v>2</v>
      </c>
      <c r="I176" s="98">
        <f t="shared" si="28"/>
        <v>1</v>
      </c>
      <c r="J176" s="98">
        <f t="shared" si="29"/>
        <v>0</v>
      </c>
      <c r="K176" s="126">
        <f t="shared" si="24"/>
        <v>151.2</v>
      </c>
      <c r="L176" s="148">
        <f t="shared" si="25"/>
        <v>7.56</v>
      </c>
      <c r="M176" s="149">
        <f t="shared" si="26"/>
        <v>600</v>
      </c>
      <c r="O176" s="141"/>
      <c r="P176" s="142"/>
      <c r="AV176" s="141"/>
      <c r="AW176" s="141"/>
      <c r="AY176"/>
      <c r="AZ176"/>
      <c r="BA176"/>
      <c r="BB176"/>
    </row>
    <row r="177" spans="2:54">
      <c r="B177" s="98">
        <v>174</v>
      </c>
      <c r="C177" s="126">
        <f t="shared" si="21"/>
        <v>626</v>
      </c>
      <c r="D177" s="98">
        <f t="shared" si="22"/>
        <v>40</v>
      </c>
      <c r="E177" s="98">
        <f t="shared" si="23"/>
        <v>8</v>
      </c>
      <c r="F177" s="98">
        <v>0.5</v>
      </c>
      <c r="G177" s="98">
        <f t="shared" si="30"/>
        <v>5</v>
      </c>
      <c r="H177" s="98">
        <f t="shared" si="27"/>
        <v>2</v>
      </c>
      <c r="I177" s="98">
        <f t="shared" si="28"/>
        <v>1</v>
      </c>
      <c r="J177" s="98">
        <f t="shared" si="29"/>
        <v>0</v>
      </c>
      <c r="K177" s="126">
        <f t="shared" si="24"/>
        <v>151.3</v>
      </c>
      <c r="L177" s="148">
        <f t="shared" si="25"/>
        <v>7.565</v>
      </c>
      <c r="M177" s="149">
        <f t="shared" si="26"/>
        <v>600</v>
      </c>
      <c r="O177" s="141"/>
      <c r="P177" s="142"/>
      <c r="AV177" s="141"/>
      <c r="AW177" s="141"/>
      <c r="AY177"/>
      <c r="AZ177"/>
      <c r="BA177"/>
      <c r="BB177"/>
    </row>
    <row r="178" spans="2:54">
      <c r="B178" s="98">
        <v>175</v>
      </c>
      <c r="C178" s="126">
        <f t="shared" si="21"/>
        <v>628</v>
      </c>
      <c r="D178" s="98">
        <f t="shared" si="22"/>
        <v>40</v>
      </c>
      <c r="E178" s="98">
        <f t="shared" si="23"/>
        <v>8</v>
      </c>
      <c r="F178" s="98">
        <v>0.5</v>
      </c>
      <c r="G178" s="98">
        <f t="shared" si="30"/>
        <v>5</v>
      </c>
      <c r="H178" s="98">
        <f t="shared" si="27"/>
        <v>2</v>
      </c>
      <c r="I178" s="98">
        <f t="shared" si="28"/>
        <v>1</v>
      </c>
      <c r="J178" s="98">
        <f t="shared" si="29"/>
        <v>0</v>
      </c>
      <c r="K178" s="126">
        <f t="shared" si="24"/>
        <v>151.4</v>
      </c>
      <c r="L178" s="148">
        <f t="shared" si="25"/>
        <v>7.57</v>
      </c>
      <c r="M178" s="149">
        <f t="shared" si="26"/>
        <v>600</v>
      </c>
      <c r="O178" s="141"/>
      <c r="P178" s="142"/>
      <c r="AV178" s="141"/>
      <c r="AW178" s="141"/>
      <c r="AY178"/>
      <c r="AZ178"/>
      <c r="BA178"/>
      <c r="BB178"/>
    </row>
    <row r="179" spans="2:54">
      <c r="B179" s="98">
        <v>176</v>
      </c>
      <c r="C179" s="126">
        <f t="shared" si="21"/>
        <v>630</v>
      </c>
      <c r="D179" s="98">
        <f t="shared" si="22"/>
        <v>40</v>
      </c>
      <c r="E179" s="98">
        <f t="shared" si="23"/>
        <v>8</v>
      </c>
      <c r="F179" s="98">
        <v>0.5</v>
      </c>
      <c r="G179" s="98">
        <f t="shared" si="30"/>
        <v>5</v>
      </c>
      <c r="H179" s="98">
        <f t="shared" si="27"/>
        <v>2</v>
      </c>
      <c r="I179" s="98">
        <f t="shared" si="28"/>
        <v>1</v>
      </c>
      <c r="J179" s="98">
        <f t="shared" si="29"/>
        <v>0</v>
      </c>
      <c r="K179" s="126">
        <f t="shared" si="24"/>
        <v>151.5</v>
      </c>
      <c r="L179" s="148">
        <f t="shared" si="25"/>
        <v>7.575</v>
      </c>
      <c r="M179" s="149">
        <f t="shared" si="26"/>
        <v>600</v>
      </c>
      <c r="O179" s="141"/>
      <c r="P179" s="142"/>
      <c r="AV179" s="141"/>
      <c r="AW179" s="141"/>
      <c r="AY179"/>
      <c r="AZ179"/>
      <c r="BA179"/>
      <c r="BB179"/>
    </row>
    <row r="180" spans="2:54">
      <c r="B180" s="98">
        <v>177</v>
      </c>
      <c r="C180" s="126">
        <f t="shared" si="21"/>
        <v>632</v>
      </c>
      <c r="D180" s="98">
        <f t="shared" si="22"/>
        <v>40</v>
      </c>
      <c r="E180" s="98">
        <f t="shared" si="23"/>
        <v>8</v>
      </c>
      <c r="F180" s="98">
        <v>0.5</v>
      </c>
      <c r="G180" s="98">
        <f t="shared" si="30"/>
        <v>5</v>
      </c>
      <c r="H180" s="98">
        <f t="shared" si="27"/>
        <v>2</v>
      </c>
      <c r="I180" s="98">
        <f t="shared" si="28"/>
        <v>1</v>
      </c>
      <c r="J180" s="98">
        <f t="shared" si="29"/>
        <v>0</v>
      </c>
      <c r="K180" s="126">
        <f t="shared" si="24"/>
        <v>151.6</v>
      </c>
      <c r="L180" s="148">
        <f t="shared" si="25"/>
        <v>7.58</v>
      </c>
      <c r="M180" s="149">
        <f t="shared" si="26"/>
        <v>600</v>
      </c>
      <c r="O180" s="141"/>
      <c r="P180" s="142"/>
      <c r="AV180" s="141"/>
      <c r="AW180" s="141"/>
      <c r="AY180"/>
      <c r="AZ180"/>
      <c r="BA180"/>
      <c r="BB180"/>
    </row>
    <row r="181" spans="2:54">
      <c r="B181" s="98">
        <v>178</v>
      </c>
      <c r="C181" s="126">
        <f t="shared" si="21"/>
        <v>634</v>
      </c>
      <c r="D181" s="98">
        <f t="shared" si="22"/>
        <v>40</v>
      </c>
      <c r="E181" s="98">
        <f t="shared" si="23"/>
        <v>8</v>
      </c>
      <c r="F181" s="98">
        <v>0.5</v>
      </c>
      <c r="G181" s="98">
        <f t="shared" si="30"/>
        <v>5</v>
      </c>
      <c r="H181" s="98">
        <f t="shared" si="27"/>
        <v>2</v>
      </c>
      <c r="I181" s="98">
        <f t="shared" si="28"/>
        <v>1</v>
      </c>
      <c r="J181" s="98">
        <f t="shared" si="29"/>
        <v>0</v>
      </c>
      <c r="K181" s="126">
        <f t="shared" si="24"/>
        <v>151.7</v>
      </c>
      <c r="L181" s="148">
        <f t="shared" si="25"/>
        <v>7.585</v>
      </c>
      <c r="M181" s="149">
        <f t="shared" si="26"/>
        <v>600</v>
      </c>
      <c r="O181" s="141"/>
      <c r="P181" s="142"/>
      <c r="AV181" s="141"/>
      <c r="AW181" s="141"/>
      <c r="AY181"/>
      <c r="AZ181"/>
      <c r="BA181"/>
      <c r="BB181"/>
    </row>
    <row r="182" spans="2:54">
      <c r="B182" s="98">
        <v>179</v>
      </c>
      <c r="C182" s="126">
        <f t="shared" si="21"/>
        <v>636</v>
      </c>
      <c r="D182" s="98">
        <f t="shared" si="22"/>
        <v>40</v>
      </c>
      <c r="E182" s="98">
        <f t="shared" si="23"/>
        <v>8</v>
      </c>
      <c r="F182" s="98">
        <v>0.5</v>
      </c>
      <c r="G182" s="98">
        <f t="shared" si="30"/>
        <v>5</v>
      </c>
      <c r="H182" s="98">
        <f t="shared" si="27"/>
        <v>2</v>
      </c>
      <c r="I182" s="98">
        <f t="shared" si="28"/>
        <v>1</v>
      </c>
      <c r="J182" s="98">
        <f t="shared" si="29"/>
        <v>0</v>
      </c>
      <c r="K182" s="126">
        <f t="shared" si="24"/>
        <v>151.8</v>
      </c>
      <c r="L182" s="148">
        <f t="shared" si="25"/>
        <v>7.59</v>
      </c>
      <c r="M182" s="149">
        <f t="shared" si="26"/>
        <v>600</v>
      </c>
      <c r="O182" s="141"/>
      <c r="P182" s="142"/>
      <c r="AV182" s="141"/>
      <c r="AW182" s="141"/>
      <c r="AY182"/>
      <c r="AZ182"/>
      <c r="BA182"/>
      <c r="BB182"/>
    </row>
    <row r="183" spans="2:54">
      <c r="B183" s="98">
        <v>180</v>
      </c>
      <c r="C183" s="126">
        <f t="shared" si="21"/>
        <v>638</v>
      </c>
      <c r="D183" s="98">
        <f t="shared" si="22"/>
        <v>40</v>
      </c>
      <c r="E183" s="98">
        <f t="shared" si="23"/>
        <v>8</v>
      </c>
      <c r="F183" s="98">
        <v>0.5</v>
      </c>
      <c r="G183" s="98">
        <f t="shared" si="30"/>
        <v>5</v>
      </c>
      <c r="H183" s="98">
        <f t="shared" si="27"/>
        <v>2</v>
      </c>
      <c r="I183" s="98">
        <f t="shared" si="28"/>
        <v>1</v>
      </c>
      <c r="J183" s="98">
        <f t="shared" si="29"/>
        <v>0</v>
      </c>
      <c r="K183" s="126">
        <f t="shared" si="24"/>
        <v>151.9</v>
      </c>
      <c r="L183" s="148">
        <f t="shared" si="25"/>
        <v>7.595</v>
      </c>
      <c r="M183" s="149">
        <f t="shared" si="26"/>
        <v>600</v>
      </c>
      <c r="O183" s="141"/>
      <c r="P183" s="142"/>
      <c r="AV183" s="141"/>
      <c r="AW183" s="141"/>
      <c r="AY183"/>
      <c r="AZ183"/>
      <c r="BA183"/>
      <c r="BB183"/>
    </row>
    <row r="184" spans="2:54">
      <c r="B184" s="98">
        <v>181</v>
      </c>
      <c r="C184" s="126">
        <f t="shared" si="21"/>
        <v>640</v>
      </c>
      <c r="D184" s="98">
        <f t="shared" si="22"/>
        <v>40</v>
      </c>
      <c r="E184" s="98">
        <f t="shared" si="23"/>
        <v>8</v>
      </c>
      <c r="F184" s="98">
        <v>0.5</v>
      </c>
      <c r="G184" s="98">
        <f t="shared" si="30"/>
        <v>5</v>
      </c>
      <c r="H184" s="98">
        <f t="shared" si="27"/>
        <v>2</v>
      </c>
      <c r="I184" s="98">
        <f t="shared" si="28"/>
        <v>1</v>
      </c>
      <c r="J184" s="98">
        <f t="shared" si="29"/>
        <v>0</v>
      </c>
      <c r="K184" s="126">
        <f t="shared" si="24"/>
        <v>152</v>
      </c>
      <c r="L184" s="148">
        <f t="shared" si="25"/>
        <v>7.6</v>
      </c>
      <c r="M184" s="149">
        <f t="shared" si="26"/>
        <v>600</v>
      </c>
      <c r="O184" s="141"/>
      <c r="P184" s="142"/>
      <c r="AV184" s="141"/>
      <c r="AW184" s="141"/>
      <c r="AY184"/>
      <c r="AZ184"/>
      <c r="BA184"/>
      <c r="BB184"/>
    </row>
    <row r="185" spans="2:54">
      <c r="B185" s="98">
        <v>182</v>
      </c>
      <c r="C185" s="126">
        <f t="shared" si="21"/>
        <v>642</v>
      </c>
      <c r="D185" s="98">
        <f t="shared" si="22"/>
        <v>40</v>
      </c>
      <c r="E185" s="98">
        <f t="shared" si="23"/>
        <v>8</v>
      </c>
      <c r="F185" s="98">
        <v>0.5</v>
      </c>
      <c r="G185" s="98">
        <f t="shared" si="30"/>
        <v>5</v>
      </c>
      <c r="H185" s="98">
        <f t="shared" si="27"/>
        <v>2</v>
      </c>
      <c r="I185" s="98">
        <f t="shared" si="28"/>
        <v>1</v>
      </c>
      <c r="J185" s="98">
        <f t="shared" si="29"/>
        <v>0</v>
      </c>
      <c r="K185" s="126">
        <f t="shared" si="24"/>
        <v>152.1</v>
      </c>
      <c r="L185" s="148">
        <f t="shared" si="25"/>
        <v>7.605</v>
      </c>
      <c r="M185" s="149">
        <f t="shared" si="26"/>
        <v>600</v>
      </c>
      <c r="O185" s="141"/>
      <c r="P185" s="142"/>
      <c r="AV185" s="141"/>
      <c r="AW185" s="141"/>
      <c r="AY185"/>
      <c r="AZ185"/>
      <c r="BA185"/>
      <c r="BB185"/>
    </row>
    <row r="186" spans="2:54">
      <c r="B186" s="98">
        <v>183</v>
      </c>
      <c r="C186" s="126">
        <f t="shared" si="21"/>
        <v>644</v>
      </c>
      <c r="D186" s="98">
        <f t="shared" si="22"/>
        <v>40</v>
      </c>
      <c r="E186" s="98">
        <f t="shared" si="23"/>
        <v>8</v>
      </c>
      <c r="F186" s="98">
        <v>0.5</v>
      </c>
      <c r="G186" s="98">
        <f t="shared" si="30"/>
        <v>5</v>
      </c>
      <c r="H186" s="98">
        <f t="shared" si="27"/>
        <v>2</v>
      </c>
      <c r="I186" s="98">
        <f t="shared" si="28"/>
        <v>1</v>
      </c>
      <c r="J186" s="98">
        <f t="shared" si="29"/>
        <v>0</v>
      </c>
      <c r="K186" s="126">
        <f t="shared" si="24"/>
        <v>152.2</v>
      </c>
      <c r="L186" s="148">
        <f t="shared" si="25"/>
        <v>7.61</v>
      </c>
      <c r="M186" s="149">
        <f t="shared" si="26"/>
        <v>600</v>
      </c>
      <c r="O186" s="141"/>
      <c r="P186" s="142"/>
      <c r="AV186" s="141"/>
      <c r="AW186" s="141"/>
      <c r="AY186"/>
      <c r="AZ186"/>
      <c r="BA186"/>
      <c r="BB186"/>
    </row>
    <row r="187" spans="2:54">
      <c r="B187" s="98">
        <v>184</v>
      </c>
      <c r="C187" s="126">
        <f t="shared" si="21"/>
        <v>646</v>
      </c>
      <c r="D187" s="98">
        <f t="shared" si="22"/>
        <v>40</v>
      </c>
      <c r="E187" s="98">
        <f t="shared" si="23"/>
        <v>8</v>
      </c>
      <c r="F187" s="98">
        <v>0.5</v>
      </c>
      <c r="G187" s="98">
        <f t="shared" si="30"/>
        <v>5</v>
      </c>
      <c r="H187" s="98">
        <f t="shared" si="27"/>
        <v>2</v>
      </c>
      <c r="I187" s="98">
        <f t="shared" si="28"/>
        <v>1</v>
      </c>
      <c r="J187" s="98">
        <f t="shared" si="29"/>
        <v>0</v>
      </c>
      <c r="K187" s="126">
        <f t="shared" si="24"/>
        <v>152.3</v>
      </c>
      <c r="L187" s="148">
        <f t="shared" si="25"/>
        <v>7.615</v>
      </c>
      <c r="M187" s="149">
        <f t="shared" si="26"/>
        <v>600</v>
      </c>
      <c r="O187" s="141"/>
      <c r="P187" s="142"/>
      <c r="AV187" s="141"/>
      <c r="AW187" s="141"/>
      <c r="AY187"/>
      <c r="AZ187"/>
      <c r="BA187"/>
      <c r="BB187"/>
    </row>
    <row r="188" spans="2:54">
      <c r="B188" s="98">
        <v>185</v>
      </c>
      <c r="C188" s="126">
        <f t="shared" si="21"/>
        <v>648</v>
      </c>
      <c r="D188" s="98">
        <f t="shared" si="22"/>
        <v>40</v>
      </c>
      <c r="E188" s="98">
        <f t="shared" si="23"/>
        <v>8</v>
      </c>
      <c r="F188" s="98">
        <v>0.5</v>
      </c>
      <c r="G188" s="98">
        <f t="shared" si="30"/>
        <v>5</v>
      </c>
      <c r="H188" s="98">
        <f t="shared" si="27"/>
        <v>2</v>
      </c>
      <c r="I188" s="98">
        <f t="shared" si="28"/>
        <v>1</v>
      </c>
      <c r="J188" s="98">
        <f t="shared" si="29"/>
        <v>0</v>
      </c>
      <c r="K188" s="126">
        <f t="shared" si="24"/>
        <v>152.4</v>
      </c>
      <c r="L188" s="148">
        <f t="shared" si="25"/>
        <v>7.62</v>
      </c>
      <c r="M188" s="149">
        <f t="shared" si="26"/>
        <v>600</v>
      </c>
      <c r="O188" s="141"/>
      <c r="P188" s="142"/>
      <c r="AV188" s="141"/>
      <c r="AW188" s="141"/>
      <c r="AY188"/>
      <c r="AZ188"/>
      <c r="BA188"/>
      <c r="BB188"/>
    </row>
    <row r="189" spans="2:54">
      <c r="B189" s="98">
        <v>186</v>
      </c>
      <c r="C189" s="126">
        <f t="shared" si="21"/>
        <v>650</v>
      </c>
      <c r="D189" s="98">
        <f t="shared" si="22"/>
        <v>40</v>
      </c>
      <c r="E189" s="98">
        <f t="shared" si="23"/>
        <v>8</v>
      </c>
      <c r="F189" s="98">
        <v>0.5</v>
      </c>
      <c r="G189" s="98">
        <f t="shared" si="30"/>
        <v>5</v>
      </c>
      <c r="H189" s="98">
        <f t="shared" si="27"/>
        <v>2</v>
      </c>
      <c r="I189" s="98">
        <f t="shared" si="28"/>
        <v>1</v>
      </c>
      <c r="J189" s="98">
        <f t="shared" si="29"/>
        <v>0</v>
      </c>
      <c r="K189" s="126">
        <f t="shared" si="24"/>
        <v>152.5</v>
      </c>
      <c r="L189" s="148">
        <f t="shared" si="25"/>
        <v>7.625</v>
      </c>
      <c r="M189" s="149">
        <f t="shared" si="26"/>
        <v>600</v>
      </c>
      <c r="O189" s="141"/>
      <c r="P189" s="142"/>
      <c r="AV189" s="141"/>
      <c r="AW189" s="141"/>
      <c r="AY189"/>
      <c r="AZ189"/>
      <c r="BA189"/>
      <c r="BB189"/>
    </row>
    <row r="190" spans="2:54">
      <c r="B190" s="98">
        <v>187</v>
      </c>
      <c r="C190" s="126">
        <f t="shared" si="21"/>
        <v>652</v>
      </c>
      <c r="D190" s="98">
        <f t="shared" si="22"/>
        <v>40</v>
      </c>
      <c r="E190" s="98">
        <f t="shared" si="23"/>
        <v>8</v>
      </c>
      <c r="F190" s="98">
        <v>0.5</v>
      </c>
      <c r="G190" s="98">
        <f t="shared" si="30"/>
        <v>5</v>
      </c>
      <c r="H190" s="98">
        <f t="shared" si="27"/>
        <v>2</v>
      </c>
      <c r="I190" s="98">
        <f t="shared" si="28"/>
        <v>1</v>
      </c>
      <c r="J190" s="98">
        <f t="shared" si="29"/>
        <v>0</v>
      </c>
      <c r="K190" s="126">
        <f t="shared" si="24"/>
        <v>152.6</v>
      </c>
      <c r="L190" s="148">
        <f t="shared" si="25"/>
        <v>7.63</v>
      </c>
      <c r="M190" s="149">
        <f t="shared" si="26"/>
        <v>600</v>
      </c>
      <c r="O190" s="141"/>
      <c r="P190" s="142"/>
      <c r="AV190" s="141"/>
      <c r="AW190" s="141"/>
      <c r="AY190"/>
      <c r="AZ190"/>
      <c r="BA190"/>
      <c r="BB190"/>
    </row>
    <row r="191" spans="2:54">
      <c r="B191" s="98">
        <v>188</v>
      </c>
      <c r="C191" s="126">
        <f t="shared" si="21"/>
        <v>654</v>
      </c>
      <c r="D191" s="98">
        <f t="shared" si="22"/>
        <v>40</v>
      </c>
      <c r="E191" s="98">
        <f t="shared" si="23"/>
        <v>8</v>
      </c>
      <c r="F191" s="98">
        <v>0.5</v>
      </c>
      <c r="G191" s="98">
        <f t="shared" si="30"/>
        <v>5</v>
      </c>
      <c r="H191" s="98">
        <f t="shared" si="27"/>
        <v>2</v>
      </c>
      <c r="I191" s="98">
        <f t="shared" si="28"/>
        <v>1</v>
      </c>
      <c r="J191" s="98">
        <f t="shared" si="29"/>
        <v>0</v>
      </c>
      <c r="K191" s="126">
        <f t="shared" si="24"/>
        <v>152.7</v>
      </c>
      <c r="L191" s="148">
        <f t="shared" si="25"/>
        <v>7.635</v>
      </c>
      <c r="M191" s="149">
        <f t="shared" si="26"/>
        <v>600</v>
      </c>
      <c r="O191" s="141"/>
      <c r="P191" s="142"/>
      <c r="AV191" s="141"/>
      <c r="AW191" s="141"/>
      <c r="AY191"/>
      <c r="AZ191"/>
      <c r="BA191"/>
      <c r="BB191"/>
    </row>
    <row r="192" spans="2:54">
      <c r="B192" s="98">
        <v>189</v>
      </c>
      <c r="C192" s="126">
        <f t="shared" si="21"/>
        <v>656</v>
      </c>
      <c r="D192" s="98">
        <f t="shared" si="22"/>
        <v>40</v>
      </c>
      <c r="E192" s="98">
        <f t="shared" si="23"/>
        <v>8</v>
      </c>
      <c r="F192" s="98">
        <v>0.5</v>
      </c>
      <c r="G192" s="98">
        <f t="shared" si="30"/>
        <v>5</v>
      </c>
      <c r="H192" s="98">
        <f t="shared" si="27"/>
        <v>2</v>
      </c>
      <c r="I192" s="98">
        <f t="shared" si="28"/>
        <v>1</v>
      </c>
      <c r="J192" s="98">
        <f t="shared" si="29"/>
        <v>0</v>
      </c>
      <c r="K192" s="126">
        <f t="shared" si="24"/>
        <v>152.8</v>
      </c>
      <c r="L192" s="148">
        <f t="shared" si="25"/>
        <v>7.64</v>
      </c>
      <c r="M192" s="149">
        <f t="shared" si="26"/>
        <v>600</v>
      </c>
      <c r="O192" s="141"/>
      <c r="P192" s="142"/>
      <c r="AV192" s="141"/>
      <c r="AW192" s="141"/>
      <c r="AY192"/>
      <c r="AZ192"/>
      <c r="BA192"/>
      <c r="BB192"/>
    </row>
    <row r="193" spans="2:54">
      <c r="B193" s="98">
        <v>190</v>
      </c>
      <c r="C193" s="126">
        <f t="shared" si="21"/>
        <v>658</v>
      </c>
      <c r="D193" s="98">
        <f t="shared" si="22"/>
        <v>40</v>
      </c>
      <c r="E193" s="98">
        <f t="shared" si="23"/>
        <v>8</v>
      </c>
      <c r="F193" s="98">
        <v>0.5</v>
      </c>
      <c r="G193" s="98">
        <f t="shared" si="30"/>
        <v>5</v>
      </c>
      <c r="H193" s="98">
        <f t="shared" si="27"/>
        <v>2</v>
      </c>
      <c r="I193" s="98">
        <f t="shared" si="28"/>
        <v>1</v>
      </c>
      <c r="J193" s="98">
        <f t="shared" si="29"/>
        <v>0</v>
      </c>
      <c r="K193" s="126">
        <f t="shared" si="24"/>
        <v>152.9</v>
      </c>
      <c r="L193" s="148">
        <f t="shared" si="25"/>
        <v>7.645</v>
      </c>
      <c r="M193" s="149">
        <f t="shared" si="26"/>
        <v>600</v>
      </c>
      <c r="O193" s="141"/>
      <c r="P193" s="142"/>
      <c r="AV193" s="141"/>
      <c r="AW193" s="141"/>
      <c r="AY193"/>
      <c r="AZ193"/>
      <c r="BA193"/>
      <c r="BB193"/>
    </row>
    <row r="194" spans="2:54">
      <c r="B194" s="98">
        <v>191</v>
      </c>
      <c r="C194" s="126">
        <f t="shared" si="21"/>
        <v>660</v>
      </c>
      <c r="D194" s="98">
        <f t="shared" si="22"/>
        <v>40</v>
      </c>
      <c r="E194" s="98">
        <f t="shared" si="23"/>
        <v>8</v>
      </c>
      <c r="F194" s="98">
        <v>0.5</v>
      </c>
      <c r="G194" s="98">
        <f t="shared" si="30"/>
        <v>5</v>
      </c>
      <c r="H194" s="98">
        <f t="shared" si="27"/>
        <v>2</v>
      </c>
      <c r="I194" s="98">
        <f t="shared" si="28"/>
        <v>1</v>
      </c>
      <c r="J194" s="98">
        <f t="shared" si="29"/>
        <v>0</v>
      </c>
      <c r="K194" s="126">
        <f t="shared" si="24"/>
        <v>153</v>
      </c>
      <c r="L194" s="148">
        <f t="shared" si="25"/>
        <v>7.65</v>
      </c>
      <c r="M194" s="149">
        <f t="shared" si="26"/>
        <v>600</v>
      </c>
      <c r="O194" s="141"/>
      <c r="P194" s="142"/>
      <c r="AV194" s="141"/>
      <c r="AW194" s="141"/>
      <c r="AY194"/>
      <c r="AZ194"/>
      <c r="BA194"/>
      <c r="BB194"/>
    </row>
    <row r="195" spans="2:54">
      <c r="B195" s="98">
        <v>192</v>
      </c>
      <c r="C195" s="126">
        <f t="shared" si="21"/>
        <v>662</v>
      </c>
      <c r="D195" s="98">
        <f t="shared" si="22"/>
        <v>40</v>
      </c>
      <c r="E195" s="98">
        <f t="shared" si="23"/>
        <v>8</v>
      </c>
      <c r="F195" s="98">
        <v>0.5</v>
      </c>
      <c r="G195" s="98">
        <f t="shared" si="30"/>
        <v>5</v>
      </c>
      <c r="H195" s="98">
        <f t="shared" si="27"/>
        <v>2</v>
      </c>
      <c r="I195" s="98">
        <f t="shared" si="28"/>
        <v>1</v>
      </c>
      <c r="J195" s="98">
        <f t="shared" si="29"/>
        <v>0</v>
      </c>
      <c r="K195" s="126">
        <f t="shared" si="24"/>
        <v>153.1</v>
      </c>
      <c r="L195" s="148">
        <f t="shared" si="25"/>
        <v>7.655</v>
      </c>
      <c r="M195" s="149">
        <f t="shared" si="26"/>
        <v>600</v>
      </c>
      <c r="O195" s="141"/>
      <c r="P195" s="142"/>
      <c r="AV195" s="141"/>
      <c r="AW195" s="141"/>
      <c r="AY195"/>
      <c r="AZ195"/>
      <c r="BA195"/>
      <c r="BB195"/>
    </row>
    <row r="196" spans="2:54">
      <c r="B196" s="98">
        <v>193</v>
      </c>
      <c r="C196" s="126">
        <f t="shared" si="21"/>
        <v>664</v>
      </c>
      <c r="D196" s="98">
        <f t="shared" si="22"/>
        <v>40</v>
      </c>
      <c r="E196" s="98">
        <f t="shared" si="23"/>
        <v>8</v>
      </c>
      <c r="F196" s="98">
        <v>0.5</v>
      </c>
      <c r="G196" s="98">
        <f t="shared" si="30"/>
        <v>5</v>
      </c>
      <c r="H196" s="98">
        <f t="shared" si="27"/>
        <v>2</v>
      </c>
      <c r="I196" s="98">
        <f t="shared" si="28"/>
        <v>1</v>
      </c>
      <c r="J196" s="98">
        <f t="shared" si="29"/>
        <v>0</v>
      </c>
      <c r="K196" s="126">
        <f t="shared" si="24"/>
        <v>153.2</v>
      </c>
      <c r="L196" s="148">
        <f t="shared" si="25"/>
        <v>7.66</v>
      </c>
      <c r="M196" s="149">
        <f t="shared" si="26"/>
        <v>600</v>
      </c>
      <c r="O196" s="141"/>
      <c r="P196" s="142"/>
      <c r="AV196" s="141"/>
      <c r="AW196" s="141"/>
      <c r="AY196"/>
      <c r="AZ196"/>
      <c r="BA196"/>
      <c r="BB196"/>
    </row>
    <row r="197" spans="2:54">
      <c r="B197" s="98">
        <v>194</v>
      </c>
      <c r="C197" s="126">
        <f t="shared" ref="C197:C260" si="31">(C506+D506)</f>
        <v>666</v>
      </c>
      <c r="D197" s="98">
        <f t="shared" ref="D197:D260" si="32">E506+F506</f>
        <v>40</v>
      </c>
      <c r="E197" s="98">
        <f t="shared" ref="E197:E260" si="33">G506+H506</f>
        <v>8</v>
      </c>
      <c r="F197" s="98">
        <v>0.5</v>
      </c>
      <c r="G197" s="98">
        <f t="shared" si="30"/>
        <v>5</v>
      </c>
      <c r="H197" s="98">
        <f t="shared" si="27"/>
        <v>2</v>
      </c>
      <c r="I197" s="98">
        <f t="shared" si="28"/>
        <v>1</v>
      </c>
      <c r="J197" s="98">
        <f t="shared" si="29"/>
        <v>0</v>
      </c>
      <c r="K197" s="126">
        <f t="shared" ref="K197:K260" si="34">P506</f>
        <v>153.3</v>
      </c>
      <c r="L197" s="148">
        <f t="shared" ref="L197:L260" si="35">Q506</f>
        <v>7.665</v>
      </c>
      <c r="M197" s="149">
        <f t="shared" ref="M197:M260" si="36">IFERROR(--R506,0)</f>
        <v>600</v>
      </c>
      <c r="O197" s="141"/>
      <c r="P197" s="142"/>
      <c r="AV197" s="141"/>
      <c r="AW197" s="141"/>
      <c r="AY197"/>
      <c r="AZ197"/>
      <c r="BA197"/>
      <c r="BB197"/>
    </row>
    <row r="198" spans="2:54">
      <c r="B198" s="98">
        <v>195</v>
      </c>
      <c r="C198" s="126">
        <f t="shared" si="31"/>
        <v>668</v>
      </c>
      <c r="D198" s="98">
        <f t="shared" si="32"/>
        <v>40</v>
      </c>
      <c r="E198" s="98">
        <f t="shared" si="33"/>
        <v>8</v>
      </c>
      <c r="F198" s="98">
        <v>0.5</v>
      </c>
      <c r="G198" s="98">
        <f t="shared" si="30"/>
        <v>5</v>
      </c>
      <c r="H198" s="98">
        <f t="shared" si="27"/>
        <v>2</v>
      </c>
      <c r="I198" s="98">
        <f t="shared" si="28"/>
        <v>1</v>
      </c>
      <c r="J198" s="98">
        <f t="shared" si="29"/>
        <v>0</v>
      </c>
      <c r="K198" s="126">
        <f t="shared" si="34"/>
        <v>153.4</v>
      </c>
      <c r="L198" s="148">
        <f t="shared" si="35"/>
        <v>7.67</v>
      </c>
      <c r="M198" s="149">
        <f t="shared" si="36"/>
        <v>600</v>
      </c>
      <c r="O198" s="141"/>
      <c r="P198" s="142"/>
      <c r="AV198" s="141"/>
      <c r="AW198" s="141"/>
      <c r="AY198"/>
      <c r="AZ198"/>
      <c r="BA198"/>
      <c r="BB198"/>
    </row>
    <row r="199" spans="2:54">
      <c r="B199" s="98">
        <v>196</v>
      </c>
      <c r="C199" s="126">
        <f t="shared" si="31"/>
        <v>670</v>
      </c>
      <c r="D199" s="98">
        <f t="shared" si="32"/>
        <v>40</v>
      </c>
      <c r="E199" s="98">
        <f t="shared" si="33"/>
        <v>8</v>
      </c>
      <c r="F199" s="98">
        <v>0.5</v>
      </c>
      <c r="G199" s="98">
        <f t="shared" si="30"/>
        <v>5</v>
      </c>
      <c r="H199" s="98">
        <f t="shared" si="27"/>
        <v>2</v>
      </c>
      <c r="I199" s="98">
        <f t="shared" si="28"/>
        <v>1</v>
      </c>
      <c r="J199" s="98">
        <f t="shared" si="29"/>
        <v>0</v>
      </c>
      <c r="K199" s="126">
        <f t="shared" si="34"/>
        <v>153.5</v>
      </c>
      <c r="L199" s="148">
        <f t="shared" si="35"/>
        <v>7.675</v>
      </c>
      <c r="M199" s="149">
        <f t="shared" si="36"/>
        <v>600</v>
      </c>
      <c r="O199" s="141"/>
      <c r="P199" s="142"/>
      <c r="AV199" s="141"/>
      <c r="AW199" s="141"/>
      <c r="AY199"/>
      <c r="AZ199"/>
      <c r="BA199"/>
      <c r="BB199"/>
    </row>
    <row r="200" spans="2:54">
      <c r="B200" s="98">
        <v>197</v>
      </c>
      <c r="C200" s="126">
        <f t="shared" si="31"/>
        <v>672</v>
      </c>
      <c r="D200" s="98">
        <f t="shared" si="32"/>
        <v>40</v>
      </c>
      <c r="E200" s="98">
        <f t="shared" si="33"/>
        <v>8</v>
      </c>
      <c r="F200" s="98">
        <v>0.5</v>
      </c>
      <c r="G200" s="98">
        <f t="shared" si="30"/>
        <v>5</v>
      </c>
      <c r="H200" s="98">
        <f t="shared" ref="H200:H263" si="37">L509</f>
        <v>2</v>
      </c>
      <c r="I200" s="98">
        <f t="shared" si="28"/>
        <v>1</v>
      </c>
      <c r="J200" s="98">
        <f t="shared" si="29"/>
        <v>0</v>
      </c>
      <c r="K200" s="126">
        <f t="shared" si="34"/>
        <v>153.6</v>
      </c>
      <c r="L200" s="148">
        <f t="shared" si="35"/>
        <v>7.68</v>
      </c>
      <c r="M200" s="149">
        <f t="shared" si="36"/>
        <v>600</v>
      </c>
      <c r="O200" s="141"/>
      <c r="P200" s="142"/>
      <c r="AV200" s="141"/>
      <c r="AW200" s="141"/>
      <c r="AY200"/>
      <c r="AZ200"/>
      <c r="BA200"/>
      <c r="BB200"/>
    </row>
    <row r="201" spans="2:54">
      <c r="B201" s="98">
        <v>198</v>
      </c>
      <c r="C201" s="126">
        <f t="shared" si="31"/>
        <v>674</v>
      </c>
      <c r="D201" s="98">
        <f t="shared" si="32"/>
        <v>40</v>
      </c>
      <c r="E201" s="98">
        <f t="shared" si="33"/>
        <v>8</v>
      </c>
      <c r="F201" s="98">
        <v>0.5</v>
      </c>
      <c r="G201" s="98">
        <f t="shared" si="30"/>
        <v>5</v>
      </c>
      <c r="H201" s="98">
        <f t="shared" si="37"/>
        <v>2</v>
      </c>
      <c r="I201" s="98">
        <f t="shared" ref="I201:I264" si="38">M510</f>
        <v>1</v>
      </c>
      <c r="J201" s="98">
        <f t="shared" ref="J201:J264" si="39">N510</f>
        <v>0</v>
      </c>
      <c r="K201" s="126">
        <f t="shared" si="34"/>
        <v>153.7</v>
      </c>
      <c r="L201" s="148">
        <f t="shared" si="35"/>
        <v>7.685</v>
      </c>
      <c r="M201" s="149">
        <f t="shared" si="36"/>
        <v>600</v>
      </c>
      <c r="O201" s="141"/>
      <c r="P201" s="142"/>
      <c r="AV201" s="141"/>
      <c r="AW201" s="141"/>
      <c r="AY201"/>
      <c r="AZ201"/>
      <c r="BA201"/>
      <c r="BB201"/>
    </row>
    <row r="202" spans="2:54">
      <c r="B202" s="98">
        <v>199</v>
      </c>
      <c r="C202" s="126">
        <f t="shared" si="31"/>
        <v>676</v>
      </c>
      <c r="D202" s="98">
        <f t="shared" si="32"/>
        <v>40</v>
      </c>
      <c r="E202" s="98">
        <f t="shared" si="33"/>
        <v>8</v>
      </c>
      <c r="F202" s="98">
        <v>0.5</v>
      </c>
      <c r="G202" s="98">
        <f t="shared" si="30"/>
        <v>5</v>
      </c>
      <c r="H202" s="98">
        <f t="shared" si="37"/>
        <v>2</v>
      </c>
      <c r="I202" s="98">
        <f t="shared" si="38"/>
        <v>1</v>
      </c>
      <c r="J202" s="98">
        <f t="shared" si="39"/>
        <v>0</v>
      </c>
      <c r="K202" s="126">
        <f t="shared" si="34"/>
        <v>153.8</v>
      </c>
      <c r="L202" s="148">
        <f t="shared" si="35"/>
        <v>7.69</v>
      </c>
      <c r="M202" s="149">
        <f t="shared" si="36"/>
        <v>600</v>
      </c>
      <c r="O202" s="141"/>
      <c r="P202" s="142"/>
      <c r="AV202" s="141"/>
      <c r="AW202" s="141"/>
      <c r="AY202"/>
      <c r="AZ202"/>
      <c r="BA202"/>
      <c r="BB202"/>
    </row>
    <row r="203" spans="2:54">
      <c r="B203" s="98">
        <v>200</v>
      </c>
      <c r="C203" s="126">
        <f t="shared" si="31"/>
        <v>678</v>
      </c>
      <c r="D203" s="98">
        <f t="shared" si="32"/>
        <v>40</v>
      </c>
      <c r="E203" s="98">
        <f t="shared" si="33"/>
        <v>8</v>
      </c>
      <c r="F203" s="98">
        <v>0.5</v>
      </c>
      <c r="G203" s="98">
        <f t="shared" si="30"/>
        <v>5</v>
      </c>
      <c r="H203" s="98">
        <f t="shared" si="37"/>
        <v>2</v>
      </c>
      <c r="I203" s="98">
        <f t="shared" si="38"/>
        <v>1</v>
      </c>
      <c r="J203" s="98">
        <f t="shared" si="39"/>
        <v>0</v>
      </c>
      <c r="K203" s="126">
        <f t="shared" si="34"/>
        <v>153.9</v>
      </c>
      <c r="L203" s="148">
        <f t="shared" si="35"/>
        <v>7.695</v>
      </c>
      <c r="M203" s="149">
        <f t="shared" si="36"/>
        <v>600</v>
      </c>
      <c r="O203" s="141"/>
      <c r="P203" s="142"/>
      <c r="AV203" s="141"/>
      <c r="AW203" s="141"/>
      <c r="AY203"/>
      <c r="AZ203"/>
      <c r="BA203"/>
      <c r="BB203"/>
    </row>
    <row r="204" spans="2:54">
      <c r="B204" s="98">
        <v>201</v>
      </c>
      <c r="C204" s="126">
        <f t="shared" si="31"/>
        <v>680</v>
      </c>
      <c r="D204" s="98">
        <f t="shared" si="32"/>
        <v>40</v>
      </c>
      <c r="E204" s="98">
        <f t="shared" si="33"/>
        <v>8</v>
      </c>
      <c r="F204" s="98">
        <v>0.5</v>
      </c>
      <c r="G204" s="98">
        <f t="shared" si="30"/>
        <v>5</v>
      </c>
      <c r="H204" s="98">
        <f t="shared" si="37"/>
        <v>2</v>
      </c>
      <c r="I204" s="98">
        <f t="shared" si="38"/>
        <v>1</v>
      </c>
      <c r="J204" s="98">
        <f t="shared" si="39"/>
        <v>0</v>
      </c>
      <c r="K204" s="126">
        <f t="shared" si="34"/>
        <v>154</v>
      </c>
      <c r="L204" s="148">
        <f t="shared" si="35"/>
        <v>7.7</v>
      </c>
      <c r="M204" s="149">
        <f t="shared" si="36"/>
        <v>600</v>
      </c>
      <c r="O204" s="141"/>
      <c r="P204" s="142"/>
      <c r="AV204" s="141"/>
      <c r="AW204" s="141"/>
      <c r="AY204"/>
      <c r="AZ204"/>
      <c r="BA204"/>
      <c r="BB204"/>
    </row>
    <row r="205" spans="2:54">
      <c r="B205" s="98">
        <v>202</v>
      </c>
      <c r="C205" s="126">
        <f t="shared" si="31"/>
        <v>682</v>
      </c>
      <c r="D205" s="98">
        <f t="shared" si="32"/>
        <v>40</v>
      </c>
      <c r="E205" s="98">
        <f t="shared" si="33"/>
        <v>8</v>
      </c>
      <c r="F205" s="98">
        <v>0.5</v>
      </c>
      <c r="G205" s="98">
        <f t="shared" si="30"/>
        <v>5</v>
      </c>
      <c r="H205" s="98">
        <f t="shared" si="37"/>
        <v>2</v>
      </c>
      <c r="I205" s="98">
        <f t="shared" si="38"/>
        <v>1</v>
      </c>
      <c r="J205" s="98">
        <f t="shared" si="39"/>
        <v>0</v>
      </c>
      <c r="K205" s="126">
        <f t="shared" si="34"/>
        <v>154.1</v>
      </c>
      <c r="L205" s="148">
        <f t="shared" si="35"/>
        <v>7.705</v>
      </c>
      <c r="M205" s="149">
        <f t="shared" si="36"/>
        <v>600</v>
      </c>
      <c r="O205" s="141"/>
      <c r="P205" s="142"/>
      <c r="AV205" s="141"/>
      <c r="AW205" s="141"/>
      <c r="AY205"/>
      <c r="AZ205"/>
      <c r="BA205"/>
      <c r="BB205"/>
    </row>
    <row r="206" spans="2:54">
      <c r="B206" s="98">
        <v>203</v>
      </c>
      <c r="C206" s="126">
        <f t="shared" si="31"/>
        <v>684</v>
      </c>
      <c r="D206" s="98">
        <f t="shared" si="32"/>
        <v>40</v>
      </c>
      <c r="E206" s="98">
        <f t="shared" si="33"/>
        <v>8</v>
      </c>
      <c r="F206" s="98">
        <v>0.5</v>
      </c>
      <c r="G206" s="98">
        <f t="shared" ref="G206:G269" si="40">J515+K515</f>
        <v>5</v>
      </c>
      <c r="H206" s="98">
        <f t="shared" si="37"/>
        <v>2</v>
      </c>
      <c r="I206" s="98">
        <f t="shared" si="38"/>
        <v>1</v>
      </c>
      <c r="J206" s="98">
        <f t="shared" si="39"/>
        <v>0</v>
      </c>
      <c r="K206" s="126">
        <f t="shared" si="34"/>
        <v>154.2</v>
      </c>
      <c r="L206" s="148">
        <f t="shared" si="35"/>
        <v>7.71</v>
      </c>
      <c r="M206" s="149">
        <f t="shared" si="36"/>
        <v>600</v>
      </c>
      <c r="O206" s="141"/>
      <c r="P206" s="142"/>
      <c r="AV206" s="141"/>
      <c r="AW206" s="141"/>
      <c r="AY206"/>
      <c r="AZ206"/>
      <c r="BA206"/>
      <c r="BB206"/>
    </row>
    <row r="207" spans="2:54">
      <c r="B207" s="98">
        <v>204</v>
      </c>
      <c r="C207" s="126">
        <f t="shared" si="31"/>
        <v>686</v>
      </c>
      <c r="D207" s="98">
        <f t="shared" si="32"/>
        <v>40</v>
      </c>
      <c r="E207" s="98">
        <f t="shared" si="33"/>
        <v>8</v>
      </c>
      <c r="F207" s="98">
        <v>0.5</v>
      </c>
      <c r="G207" s="98">
        <f t="shared" si="40"/>
        <v>5</v>
      </c>
      <c r="H207" s="98">
        <f t="shared" si="37"/>
        <v>2</v>
      </c>
      <c r="I207" s="98">
        <f t="shared" si="38"/>
        <v>1</v>
      </c>
      <c r="J207" s="98">
        <f t="shared" si="39"/>
        <v>0</v>
      </c>
      <c r="K207" s="126">
        <f t="shared" si="34"/>
        <v>154.3</v>
      </c>
      <c r="L207" s="148">
        <f t="shared" si="35"/>
        <v>7.715</v>
      </c>
      <c r="M207" s="149">
        <f t="shared" si="36"/>
        <v>600</v>
      </c>
      <c r="O207" s="141"/>
      <c r="P207" s="142"/>
      <c r="AV207" s="141"/>
      <c r="AW207" s="141"/>
      <c r="AY207"/>
      <c r="AZ207"/>
      <c r="BA207"/>
      <c r="BB207"/>
    </row>
    <row r="208" spans="2:54">
      <c r="B208" s="98">
        <v>205</v>
      </c>
      <c r="C208" s="126">
        <f t="shared" si="31"/>
        <v>688</v>
      </c>
      <c r="D208" s="98">
        <f t="shared" si="32"/>
        <v>40</v>
      </c>
      <c r="E208" s="98">
        <f t="shared" si="33"/>
        <v>8</v>
      </c>
      <c r="F208" s="98">
        <v>0.5</v>
      </c>
      <c r="G208" s="98">
        <f t="shared" si="40"/>
        <v>5</v>
      </c>
      <c r="H208" s="98">
        <f t="shared" si="37"/>
        <v>2</v>
      </c>
      <c r="I208" s="98">
        <f t="shared" si="38"/>
        <v>1</v>
      </c>
      <c r="J208" s="98">
        <f t="shared" si="39"/>
        <v>0</v>
      </c>
      <c r="K208" s="126">
        <f t="shared" si="34"/>
        <v>154.4</v>
      </c>
      <c r="L208" s="148">
        <f t="shared" si="35"/>
        <v>7.72</v>
      </c>
      <c r="M208" s="149">
        <f t="shared" si="36"/>
        <v>600</v>
      </c>
      <c r="O208" s="141"/>
      <c r="P208" s="142"/>
      <c r="AV208" s="141"/>
      <c r="AW208" s="141"/>
      <c r="AY208"/>
      <c r="AZ208"/>
      <c r="BA208"/>
      <c r="BB208"/>
    </row>
    <row r="209" spans="2:54">
      <c r="B209" s="98">
        <v>206</v>
      </c>
      <c r="C209" s="126">
        <f t="shared" si="31"/>
        <v>690</v>
      </c>
      <c r="D209" s="98">
        <f t="shared" si="32"/>
        <v>40</v>
      </c>
      <c r="E209" s="98">
        <f t="shared" si="33"/>
        <v>8</v>
      </c>
      <c r="F209" s="98">
        <v>0.5</v>
      </c>
      <c r="G209" s="98">
        <f t="shared" si="40"/>
        <v>5</v>
      </c>
      <c r="H209" s="98">
        <f t="shared" si="37"/>
        <v>2</v>
      </c>
      <c r="I209" s="98">
        <f t="shared" si="38"/>
        <v>1</v>
      </c>
      <c r="J209" s="98">
        <f t="shared" si="39"/>
        <v>0</v>
      </c>
      <c r="K209" s="126">
        <f t="shared" si="34"/>
        <v>154.5</v>
      </c>
      <c r="L209" s="148">
        <f t="shared" si="35"/>
        <v>7.725</v>
      </c>
      <c r="M209" s="149">
        <f t="shared" si="36"/>
        <v>600</v>
      </c>
      <c r="O209" s="141"/>
      <c r="P209" s="142"/>
      <c r="AV209" s="141"/>
      <c r="AW209" s="141"/>
      <c r="AY209"/>
      <c r="AZ209"/>
      <c r="BA209"/>
      <c r="BB209"/>
    </row>
    <row r="210" spans="2:54">
      <c r="B210" s="98">
        <v>207</v>
      </c>
      <c r="C210" s="126">
        <f t="shared" si="31"/>
        <v>692</v>
      </c>
      <c r="D210" s="98">
        <f t="shared" si="32"/>
        <v>40</v>
      </c>
      <c r="E210" s="98">
        <f t="shared" si="33"/>
        <v>8</v>
      </c>
      <c r="F210" s="98">
        <v>0.5</v>
      </c>
      <c r="G210" s="98">
        <f t="shared" si="40"/>
        <v>5</v>
      </c>
      <c r="H210" s="98">
        <f t="shared" si="37"/>
        <v>2</v>
      </c>
      <c r="I210" s="98">
        <f t="shared" si="38"/>
        <v>1</v>
      </c>
      <c r="J210" s="98">
        <f t="shared" si="39"/>
        <v>0</v>
      </c>
      <c r="K210" s="126">
        <f t="shared" si="34"/>
        <v>154.6</v>
      </c>
      <c r="L210" s="148">
        <f t="shared" si="35"/>
        <v>7.73</v>
      </c>
      <c r="M210" s="149">
        <f t="shared" si="36"/>
        <v>600</v>
      </c>
      <c r="O210" s="141"/>
      <c r="P210" s="142"/>
      <c r="AV210" s="141"/>
      <c r="AW210" s="141"/>
      <c r="AY210"/>
      <c r="AZ210"/>
      <c r="BA210"/>
      <c r="BB210"/>
    </row>
    <row r="211" spans="2:54">
      <c r="B211" s="98">
        <v>208</v>
      </c>
      <c r="C211" s="126">
        <f t="shared" si="31"/>
        <v>694</v>
      </c>
      <c r="D211" s="98">
        <f t="shared" si="32"/>
        <v>40</v>
      </c>
      <c r="E211" s="98">
        <f t="shared" si="33"/>
        <v>8</v>
      </c>
      <c r="F211" s="98">
        <v>0.5</v>
      </c>
      <c r="G211" s="98">
        <f t="shared" si="40"/>
        <v>5</v>
      </c>
      <c r="H211" s="98">
        <f t="shared" si="37"/>
        <v>2</v>
      </c>
      <c r="I211" s="98">
        <f t="shared" si="38"/>
        <v>1</v>
      </c>
      <c r="J211" s="98">
        <f t="shared" si="39"/>
        <v>0</v>
      </c>
      <c r="K211" s="126">
        <f t="shared" si="34"/>
        <v>154.7</v>
      </c>
      <c r="L211" s="148">
        <f t="shared" si="35"/>
        <v>7.735</v>
      </c>
      <c r="M211" s="149">
        <f t="shared" si="36"/>
        <v>600</v>
      </c>
      <c r="O211" s="141"/>
      <c r="P211" s="142"/>
      <c r="AV211" s="141"/>
      <c r="AW211" s="141"/>
      <c r="AY211"/>
      <c r="AZ211"/>
      <c r="BA211"/>
      <c r="BB211"/>
    </row>
    <row r="212" spans="2:54">
      <c r="B212" s="98">
        <v>209</v>
      </c>
      <c r="C212" s="126">
        <f t="shared" si="31"/>
        <v>696</v>
      </c>
      <c r="D212" s="98">
        <f t="shared" si="32"/>
        <v>40</v>
      </c>
      <c r="E212" s="98">
        <f t="shared" si="33"/>
        <v>8</v>
      </c>
      <c r="F212" s="98">
        <v>0.5</v>
      </c>
      <c r="G212" s="98">
        <f t="shared" si="40"/>
        <v>5</v>
      </c>
      <c r="H212" s="98">
        <f t="shared" si="37"/>
        <v>2</v>
      </c>
      <c r="I212" s="98">
        <f t="shared" si="38"/>
        <v>1</v>
      </c>
      <c r="J212" s="98">
        <f t="shared" si="39"/>
        <v>0</v>
      </c>
      <c r="K212" s="126">
        <f t="shared" si="34"/>
        <v>154.8</v>
      </c>
      <c r="L212" s="148">
        <f t="shared" si="35"/>
        <v>7.74</v>
      </c>
      <c r="M212" s="149">
        <f t="shared" si="36"/>
        <v>600</v>
      </c>
      <c r="O212" s="141"/>
      <c r="P212" s="142"/>
      <c r="AV212" s="141"/>
      <c r="AW212" s="141"/>
      <c r="AY212"/>
      <c r="AZ212"/>
      <c r="BA212"/>
      <c r="BB212"/>
    </row>
    <row r="213" spans="2:54">
      <c r="B213" s="98">
        <v>210</v>
      </c>
      <c r="C213" s="126">
        <f t="shared" si="31"/>
        <v>698</v>
      </c>
      <c r="D213" s="98">
        <f t="shared" si="32"/>
        <v>40</v>
      </c>
      <c r="E213" s="98">
        <f t="shared" si="33"/>
        <v>8</v>
      </c>
      <c r="F213" s="98">
        <v>0.5</v>
      </c>
      <c r="G213" s="98">
        <f t="shared" si="40"/>
        <v>5</v>
      </c>
      <c r="H213" s="98">
        <f t="shared" si="37"/>
        <v>2</v>
      </c>
      <c r="I213" s="98">
        <f t="shared" si="38"/>
        <v>1</v>
      </c>
      <c r="J213" s="98">
        <f t="shared" si="39"/>
        <v>0</v>
      </c>
      <c r="K213" s="126">
        <f t="shared" si="34"/>
        <v>154.9</v>
      </c>
      <c r="L213" s="148">
        <f t="shared" si="35"/>
        <v>7.745</v>
      </c>
      <c r="M213" s="149">
        <f t="shared" si="36"/>
        <v>600</v>
      </c>
      <c r="O213" s="141"/>
      <c r="P213" s="142"/>
      <c r="AV213" s="141"/>
      <c r="AW213" s="141"/>
      <c r="AY213"/>
      <c r="AZ213"/>
      <c r="BA213"/>
      <c r="BB213"/>
    </row>
    <row r="214" spans="2:54">
      <c r="B214" s="98">
        <v>211</v>
      </c>
      <c r="C214" s="126">
        <f t="shared" si="31"/>
        <v>700</v>
      </c>
      <c r="D214" s="98">
        <f t="shared" si="32"/>
        <v>40</v>
      </c>
      <c r="E214" s="98">
        <f t="shared" si="33"/>
        <v>8</v>
      </c>
      <c r="F214" s="98">
        <v>0.5</v>
      </c>
      <c r="G214" s="98">
        <f t="shared" si="40"/>
        <v>5</v>
      </c>
      <c r="H214" s="98">
        <f t="shared" si="37"/>
        <v>2</v>
      </c>
      <c r="I214" s="98">
        <f t="shared" si="38"/>
        <v>1</v>
      </c>
      <c r="J214" s="98">
        <f t="shared" si="39"/>
        <v>0</v>
      </c>
      <c r="K214" s="126">
        <f t="shared" si="34"/>
        <v>155</v>
      </c>
      <c r="L214" s="148">
        <f t="shared" si="35"/>
        <v>7.75</v>
      </c>
      <c r="M214" s="149">
        <f t="shared" si="36"/>
        <v>600</v>
      </c>
      <c r="O214" s="141"/>
      <c r="P214" s="142"/>
      <c r="AV214" s="141"/>
      <c r="AW214" s="141"/>
      <c r="AY214"/>
      <c r="AZ214"/>
      <c r="BA214"/>
      <c r="BB214"/>
    </row>
    <row r="215" spans="2:54">
      <c r="B215" s="98">
        <v>212</v>
      </c>
      <c r="C215" s="126">
        <f t="shared" si="31"/>
        <v>702</v>
      </c>
      <c r="D215" s="98">
        <f t="shared" si="32"/>
        <v>40</v>
      </c>
      <c r="E215" s="98">
        <f t="shared" si="33"/>
        <v>8</v>
      </c>
      <c r="F215" s="98">
        <v>0.5</v>
      </c>
      <c r="G215" s="98">
        <f t="shared" si="40"/>
        <v>5</v>
      </c>
      <c r="H215" s="98">
        <f t="shared" si="37"/>
        <v>2</v>
      </c>
      <c r="I215" s="98">
        <f t="shared" si="38"/>
        <v>1</v>
      </c>
      <c r="J215" s="98">
        <f t="shared" si="39"/>
        <v>0</v>
      </c>
      <c r="K215" s="126">
        <f t="shared" si="34"/>
        <v>155.1</v>
      </c>
      <c r="L215" s="148">
        <f t="shared" si="35"/>
        <v>7.755</v>
      </c>
      <c r="M215" s="149">
        <f t="shared" si="36"/>
        <v>600</v>
      </c>
      <c r="O215" s="141"/>
      <c r="P215" s="142"/>
      <c r="AV215" s="141"/>
      <c r="AW215" s="141"/>
      <c r="AY215"/>
      <c r="AZ215"/>
      <c r="BA215"/>
      <c r="BB215"/>
    </row>
    <row r="216" spans="2:54">
      <c r="B216" s="98">
        <v>213</v>
      </c>
      <c r="C216" s="126">
        <f t="shared" si="31"/>
        <v>704</v>
      </c>
      <c r="D216" s="98">
        <f t="shared" si="32"/>
        <v>40</v>
      </c>
      <c r="E216" s="98">
        <f t="shared" si="33"/>
        <v>8</v>
      </c>
      <c r="F216" s="98">
        <v>0.5</v>
      </c>
      <c r="G216" s="98">
        <f t="shared" si="40"/>
        <v>5</v>
      </c>
      <c r="H216" s="98">
        <f t="shared" si="37"/>
        <v>2</v>
      </c>
      <c r="I216" s="98">
        <f t="shared" si="38"/>
        <v>1</v>
      </c>
      <c r="J216" s="98">
        <f t="shared" si="39"/>
        <v>0</v>
      </c>
      <c r="K216" s="126">
        <f t="shared" si="34"/>
        <v>155.2</v>
      </c>
      <c r="L216" s="148">
        <f t="shared" si="35"/>
        <v>7.76</v>
      </c>
      <c r="M216" s="149">
        <f t="shared" si="36"/>
        <v>600</v>
      </c>
      <c r="O216" s="141"/>
      <c r="P216" s="142"/>
      <c r="AV216" s="141"/>
      <c r="AW216" s="141"/>
      <c r="AY216"/>
      <c r="AZ216"/>
      <c r="BA216"/>
      <c r="BB216"/>
    </row>
    <row r="217" spans="2:54">
      <c r="B217" s="98">
        <v>214</v>
      </c>
      <c r="C217" s="126">
        <f t="shared" si="31"/>
        <v>706</v>
      </c>
      <c r="D217" s="98">
        <f t="shared" si="32"/>
        <v>40</v>
      </c>
      <c r="E217" s="98">
        <f t="shared" si="33"/>
        <v>8</v>
      </c>
      <c r="F217" s="98">
        <v>0.5</v>
      </c>
      <c r="G217" s="98">
        <f t="shared" si="40"/>
        <v>5</v>
      </c>
      <c r="H217" s="98">
        <f t="shared" si="37"/>
        <v>2</v>
      </c>
      <c r="I217" s="98">
        <f t="shared" si="38"/>
        <v>1</v>
      </c>
      <c r="J217" s="98">
        <f t="shared" si="39"/>
        <v>0</v>
      </c>
      <c r="K217" s="126">
        <f t="shared" si="34"/>
        <v>155.3</v>
      </c>
      <c r="L217" s="148">
        <f t="shared" si="35"/>
        <v>7.765</v>
      </c>
      <c r="M217" s="149">
        <f t="shared" si="36"/>
        <v>600</v>
      </c>
      <c r="O217" s="141"/>
      <c r="P217" s="142"/>
      <c r="AV217" s="141"/>
      <c r="AW217" s="141"/>
      <c r="AY217"/>
      <c r="AZ217"/>
      <c r="BA217"/>
      <c r="BB217"/>
    </row>
    <row r="218" spans="2:54">
      <c r="B218" s="98">
        <v>215</v>
      </c>
      <c r="C218" s="126">
        <f t="shared" si="31"/>
        <v>708</v>
      </c>
      <c r="D218" s="98">
        <f t="shared" si="32"/>
        <v>40</v>
      </c>
      <c r="E218" s="98">
        <f t="shared" si="33"/>
        <v>8</v>
      </c>
      <c r="F218" s="98">
        <v>0.5</v>
      </c>
      <c r="G218" s="98">
        <f t="shared" si="40"/>
        <v>5</v>
      </c>
      <c r="H218" s="98">
        <f t="shared" si="37"/>
        <v>2</v>
      </c>
      <c r="I218" s="98">
        <f t="shared" si="38"/>
        <v>1</v>
      </c>
      <c r="J218" s="98">
        <f t="shared" si="39"/>
        <v>0</v>
      </c>
      <c r="K218" s="126">
        <f t="shared" si="34"/>
        <v>155.4</v>
      </c>
      <c r="L218" s="148">
        <f t="shared" si="35"/>
        <v>7.77</v>
      </c>
      <c r="M218" s="149">
        <f t="shared" si="36"/>
        <v>600</v>
      </c>
      <c r="O218" s="141"/>
      <c r="P218" s="142"/>
      <c r="AV218" s="141"/>
      <c r="AW218" s="141"/>
      <c r="AY218"/>
      <c r="AZ218"/>
      <c r="BA218"/>
      <c r="BB218"/>
    </row>
    <row r="219" spans="2:54">
      <c r="B219" s="98">
        <v>216</v>
      </c>
      <c r="C219" s="126">
        <f t="shared" si="31"/>
        <v>710</v>
      </c>
      <c r="D219" s="98">
        <f t="shared" si="32"/>
        <v>40</v>
      </c>
      <c r="E219" s="98">
        <f t="shared" si="33"/>
        <v>8</v>
      </c>
      <c r="F219" s="98">
        <v>0.5</v>
      </c>
      <c r="G219" s="98">
        <f t="shared" si="40"/>
        <v>5</v>
      </c>
      <c r="H219" s="98">
        <f t="shared" si="37"/>
        <v>2</v>
      </c>
      <c r="I219" s="98">
        <f t="shared" si="38"/>
        <v>1</v>
      </c>
      <c r="J219" s="98">
        <f t="shared" si="39"/>
        <v>0</v>
      </c>
      <c r="K219" s="126">
        <f t="shared" si="34"/>
        <v>155.5</v>
      </c>
      <c r="L219" s="148">
        <f t="shared" si="35"/>
        <v>7.775</v>
      </c>
      <c r="M219" s="149">
        <f t="shared" si="36"/>
        <v>600</v>
      </c>
      <c r="O219" s="141"/>
      <c r="P219" s="142"/>
      <c r="AV219" s="141"/>
      <c r="AW219" s="141"/>
      <c r="AY219"/>
      <c r="AZ219"/>
      <c r="BA219"/>
      <c r="BB219"/>
    </row>
    <row r="220" spans="2:54">
      <c r="B220" s="98">
        <v>217</v>
      </c>
      <c r="C220" s="126">
        <f t="shared" si="31"/>
        <v>712</v>
      </c>
      <c r="D220" s="98">
        <f t="shared" si="32"/>
        <v>40</v>
      </c>
      <c r="E220" s="98">
        <f t="shared" si="33"/>
        <v>8</v>
      </c>
      <c r="F220" s="98">
        <v>0.5</v>
      </c>
      <c r="G220" s="98">
        <f t="shared" si="40"/>
        <v>5</v>
      </c>
      <c r="H220" s="98">
        <f t="shared" si="37"/>
        <v>2</v>
      </c>
      <c r="I220" s="98">
        <f t="shared" si="38"/>
        <v>1</v>
      </c>
      <c r="J220" s="98">
        <f t="shared" si="39"/>
        <v>0</v>
      </c>
      <c r="K220" s="126">
        <f t="shared" si="34"/>
        <v>155.6</v>
      </c>
      <c r="L220" s="148">
        <f t="shared" si="35"/>
        <v>7.78</v>
      </c>
      <c r="M220" s="149">
        <f t="shared" si="36"/>
        <v>600</v>
      </c>
      <c r="O220" s="141"/>
      <c r="P220" s="142"/>
      <c r="AV220" s="141"/>
      <c r="AW220" s="141"/>
      <c r="AY220"/>
      <c r="AZ220"/>
      <c r="BA220"/>
      <c r="BB220"/>
    </row>
    <row r="221" spans="2:54">
      <c r="B221" s="98">
        <v>218</v>
      </c>
      <c r="C221" s="126">
        <f t="shared" si="31"/>
        <v>714</v>
      </c>
      <c r="D221" s="98">
        <f t="shared" si="32"/>
        <v>40</v>
      </c>
      <c r="E221" s="98">
        <f t="shared" si="33"/>
        <v>8</v>
      </c>
      <c r="F221" s="98">
        <v>0.5</v>
      </c>
      <c r="G221" s="98">
        <f t="shared" si="40"/>
        <v>5</v>
      </c>
      <c r="H221" s="98">
        <f t="shared" si="37"/>
        <v>2</v>
      </c>
      <c r="I221" s="98">
        <f t="shared" si="38"/>
        <v>1</v>
      </c>
      <c r="J221" s="98">
        <f t="shared" si="39"/>
        <v>0</v>
      </c>
      <c r="K221" s="126">
        <f t="shared" si="34"/>
        <v>155.7</v>
      </c>
      <c r="L221" s="148">
        <f t="shared" si="35"/>
        <v>7.785</v>
      </c>
      <c r="M221" s="149">
        <f t="shared" si="36"/>
        <v>600</v>
      </c>
      <c r="O221" s="141"/>
      <c r="P221" s="142"/>
      <c r="AV221" s="141"/>
      <c r="AW221" s="141"/>
      <c r="AY221"/>
      <c r="AZ221"/>
      <c r="BA221"/>
      <c r="BB221"/>
    </row>
    <row r="222" spans="2:54">
      <c r="B222" s="98">
        <v>219</v>
      </c>
      <c r="C222" s="126">
        <f t="shared" si="31"/>
        <v>716</v>
      </c>
      <c r="D222" s="98">
        <f t="shared" si="32"/>
        <v>40</v>
      </c>
      <c r="E222" s="98">
        <f t="shared" si="33"/>
        <v>8</v>
      </c>
      <c r="F222" s="98">
        <v>0.5</v>
      </c>
      <c r="G222" s="98">
        <f t="shared" si="40"/>
        <v>5</v>
      </c>
      <c r="H222" s="98">
        <f t="shared" si="37"/>
        <v>2</v>
      </c>
      <c r="I222" s="98">
        <f t="shared" si="38"/>
        <v>1</v>
      </c>
      <c r="J222" s="98">
        <f t="shared" si="39"/>
        <v>0</v>
      </c>
      <c r="K222" s="126">
        <f t="shared" si="34"/>
        <v>155.8</v>
      </c>
      <c r="L222" s="148">
        <f t="shared" si="35"/>
        <v>7.79</v>
      </c>
      <c r="M222" s="149">
        <f t="shared" si="36"/>
        <v>600</v>
      </c>
      <c r="O222" s="141"/>
      <c r="P222" s="142"/>
      <c r="AV222" s="141"/>
      <c r="AW222" s="141"/>
      <c r="AY222"/>
      <c r="AZ222"/>
      <c r="BA222"/>
      <c r="BB222"/>
    </row>
    <row r="223" spans="2:54">
      <c r="B223" s="98">
        <v>220</v>
      </c>
      <c r="C223" s="126">
        <f t="shared" si="31"/>
        <v>718</v>
      </c>
      <c r="D223" s="98">
        <f t="shared" si="32"/>
        <v>40</v>
      </c>
      <c r="E223" s="98">
        <f t="shared" si="33"/>
        <v>8</v>
      </c>
      <c r="F223" s="98">
        <v>0.5</v>
      </c>
      <c r="G223" s="98">
        <f t="shared" si="40"/>
        <v>5</v>
      </c>
      <c r="H223" s="98">
        <f t="shared" si="37"/>
        <v>2</v>
      </c>
      <c r="I223" s="98">
        <f t="shared" si="38"/>
        <v>1</v>
      </c>
      <c r="J223" s="98">
        <f t="shared" si="39"/>
        <v>0</v>
      </c>
      <c r="K223" s="126">
        <f t="shared" si="34"/>
        <v>155.9</v>
      </c>
      <c r="L223" s="148">
        <f t="shared" si="35"/>
        <v>7.795</v>
      </c>
      <c r="M223" s="149">
        <f t="shared" si="36"/>
        <v>600</v>
      </c>
      <c r="O223" s="141"/>
      <c r="P223" s="142"/>
      <c r="AV223" s="141"/>
      <c r="AW223" s="141"/>
      <c r="AY223"/>
      <c r="AZ223"/>
      <c r="BA223"/>
      <c r="BB223"/>
    </row>
    <row r="224" spans="2:54">
      <c r="B224" s="98">
        <v>221</v>
      </c>
      <c r="C224" s="126">
        <f t="shared" si="31"/>
        <v>720</v>
      </c>
      <c r="D224" s="98">
        <f t="shared" si="32"/>
        <v>40</v>
      </c>
      <c r="E224" s="98">
        <f t="shared" si="33"/>
        <v>8</v>
      </c>
      <c r="F224" s="98">
        <v>0.5</v>
      </c>
      <c r="G224" s="98">
        <f t="shared" si="40"/>
        <v>5</v>
      </c>
      <c r="H224" s="98">
        <f t="shared" si="37"/>
        <v>2</v>
      </c>
      <c r="I224" s="98">
        <f t="shared" si="38"/>
        <v>1</v>
      </c>
      <c r="J224" s="98">
        <f t="shared" si="39"/>
        <v>0</v>
      </c>
      <c r="K224" s="126">
        <f t="shared" si="34"/>
        <v>156</v>
      </c>
      <c r="L224" s="148">
        <f t="shared" si="35"/>
        <v>7.8</v>
      </c>
      <c r="M224" s="149">
        <f t="shared" si="36"/>
        <v>600</v>
      </c>
      <c r="O224" s="141"/>
      <c r="P224" s="142"/>
      <c r="AV224" s="141"/>
      <c r="AW224" s="141"/>
      <c r="AY224"/>
      <c r="AZ224"/>
      <c r="BA224"/>
      <c r="BB224"/>
    </row>
    <row r="225" spans="2:54">
      <c r="B225" s="98">
        <v>222</v>
      </c>
      <c r="C225" s="126">
        <f t="shared" si="31"/>
        <v>722</v>
      </c>
      <c r="D225" s="98">
        <f t="shared" si="32"/>
        <v>40</v>
      </c>
      <c r="E225" s="98">
        <f t="shared" si="33"/>
        <v>8</v>
      </c>
      <c r="F225" s="98">
        <v>0.5</v>
      </c>
      <c r="G225" s="98">
        <f t="shared" si="40"/>
        <v>5</v>
      </c>
      <c r="H225" s="98">
        <f t="shared" si="37"/>
        <v>2</v>
      </c>
      <c r="I225" s="98">
        <f t="shared" si="38"/>
        <v>1</v>
      </c>
      <c r="J225" s="98">
        <f t="shared" si="39"/>
        <v>0</v>
      </c>
      <c r="K225" s="126">
        <f t="shared" si="34"/>
        <v>156.1</v>
      </c>
      <c r="L225" s="148">
        <f t="shared" si="35"/>
        <v>7.805</v>
      </c>
      <c r="M225" s="149">
        <f t="shared" si="36"/>
        <v>600</v>
      </c>
      <c r="O225" s="141"/>
      <c r="P225" s="142"/>
      <c r="AV225" s="141"/>
      <c r="AW225" s="141"/>
      <c r="AY225"/>
      <c r="AZ225"/>
      <c r="BA225"/>
      <c r="BB225"/>
    </row>
    <row r="226" spans="2:54">
      <c r="B226" s="98">
        <v>223</v>
      </c>
      <c r="C226" s="126">
        <f t="shared" si="31"/>
        <v>724</v>
      </c>
      <c r="D226" s="98">
        <f t="shared" si="32"/>
        <v>40</v>
      </c>
      <c r="E226" s="98">
        <f t="shared" si="33"/>
        <v>8</v>
      </c>
      <c r="F226" s="98">
        <v>0.5</v>
      </c>
      <c r="G226" s="98">
        <f t="shared" si="40"/>
        <v>5</v>
      </c>
      <c r="H226" s="98">
        <f t="shared" si="37"/>
        <v>2</v>
      </c>
      <c r="I226" s="98">
        <f t="shared" si="38"/>
        <v>1</v>
      </c>
      <c r="J226" s="98">
        <f t="shared" si="39"/>
        <v>0</v>
      </c>
      <c r="K226" s="126">
        <f t="shared" si="34"/>
        <v>156.2</v>
      </c>
      <c r="L226" s="148">
        <f t="shared" si="35"/>
        <v>7.81</v>
      </c>
      <c r="M226" s="149">
        <f t="shared" si="36"/>
        <v>600</v>
      </c>
      <c r="O226" s="141"/>
      <c r="P226" s="142"/>
      <c r="AV226" s="141"/>
      <c r="AW226" s="141"/>
      <c r="AY226"/>
      <c r="AZ226"/>
      <c r="BA226"/>
      <c r="BB226"/>
    </row>
    <row r="227" spans="2:54">
      <c r="B227" s="98">
        <v>224</v>
      </c>
      <c r="C227" s="126">
        <f t="shared" si="31"/>
        <v>726</v>
      </c>
      <c r="D227" s="98">
        <f t="shared" si="32"/>
        <v>40</v>
      </c>
      <c r="E227" s="98">
        <f t="shared" si="33"/>
        <v>8</v>
      </c>
      <c r="F227" s="98">
        <v>0.5</v>
      </c>
      <c r="G227" s="98">
        <f t="shared" si="40"/>
        <v>5</v>
      </c>
      <c r="H227" s="98">
        <f t="shared" si="37"/>
        <v>2</v>
      </c>
      <c r="I227" s="98">
        <f t="shared" si="38"/>
        <v>1</v>
      </c>
      <c r="J227" s="98">
        <f t="shared" si="39"/>
        <v>0</v>
      </c>
      <c r="K227" s="126">
        <f t="shared" si="34"/>
        <v>156.3</v>
      </c>
      <c r="L227" s="148">
        <f t="shared" si="35"/>
        <v>7.815</v>
      </c>
      <c r="M227" s="149">
        <f t="shared" si="36"/>
        <v>600</v>
      </c>
      <c r="O227" s="141"/>
      <c r="P227" s="142"/>
      <c r="AV227" s="141"/>
      <c r="AW227" s="141"/>
      <c r="AY227"/>
      <c r="AZ227"/>
      <c r="BA227"/>
      <c r="BB227"/>
    </row>
    <row r="228" spans="2:54">
      <c r="B228" s="98">
        <v>225</v>
      </c>
      <c r="C228" s="126">
        <f t="shared" si="31"/>
        <v>728</v>
      </c>
      <c r="D228" s="98">
        <f t="shared" si="32"/>
        <v>40</v>
      </c>
      <c r="E228" s="98">
        <f t="shared" si="33"/>
        <v>8</v>
      </c>
      <c r="F228" s="98">
        <v>0.5</v>
      </c>
      <c r="G228" s="98">
        <f t="shared" si="40"/>
        <v>5</v>
      </c>
      <c r="H228" s="98">
        <f t="shared" si="37"/>
        <v>2</v>
      </c>
      <c r="I228" s="98">
        <f t="shared" si="38"/>
        <v>1</v>
      </c>
      <c r="J228" s="98">
        <f t="shared" si="39"/>
        <v>0</v>
      </c>
      <c r="K228" s="126">
        <f t="shared" si="34"/>
        <v>156.4</v>
      </c>
      <c r="L228" s="148">
        <f t="shared" si="35"/>
        <v>7.82</v>
      </c>
      <c r="M228" s="149">
        <f t="shared" si="36"/>
        <v>600</v>
      </c>
      <c r="O228" s="141"/>
      <c r="P228" s="142"/>
      <c r="AV228" s="141"/>
      <c r="AW228" s="141"/>
      <c r="AY228"/>
      <c r="AZ228"/>
      <c r="BA228"/>
      <c r="BB228"/>
    </row>
    <row r="229" spans="2:54">
      <c r="B229" s="98">
        <v>226</v>
      </c>
      <c r="C229" s="126">
        <f t="shared" si="31"/>
        <v>730</v>
      </c>
      <c r="D229" s="98">
        <f t="shared" si="32"/>
        <v>40</v>
      </c>
      <c r="E229" s="98">
        <f t="shared" si="33"/>
        <v>8</v>
      </c>
      <c r="F229" s="98">
        <v>0.5</v>
      </c>
      <c r="G229" s="98">
        <f t="shared" si="40"/>
        <v>5</v>
      </c>
      <c r="H229" s="98">
        <f t="shared" si="37"/>
        <v>2</v>
      </c>
      <c r="I229" s="98">
        <f t="shared" si="38"/>
        <v>1</v>
      </c>
      <c r="J229" s="98">
        <f t="shared" si="39"/>
        <v>0</v>
      </c>
      <c r="K229" s="126">
        <f t="shared" si="34"/>
        <v>156.5</v>
      </c>
      <c r="L229" s="148">
        <f t="shared" si="35"/>
        <v>7.825</v>
      </c>
      <c r="M229" s="149">
        <f t="shared" si="36"/>
        <v>600</v>
      </c>
      <c r="O229" s="141"/>
      <c r="P229" s="142"/>
      <c r="AV229" s="141"/>
      <c r="AW229" s="141"/>
      <c r="AY229"/>
      <c r="AZ229"/>
      <c r="BA229"/>
      <c r="BB229"/>
    </row>
    <row r="230" spans="2:54">
      <c r="B230" s="98">
        <v>227</v>
      </c>
      <c r="C230" s="126">
        <f t="shared" si="31"/>
        <v>732</v>
      </c>
      <c r="D230" s="98">
        <f t="shared" si="32"/>
        <v>40</v>
      </c>
      <c r="E230" s="98">
        <f t="shared" si="33"/>
        <v>8</v>
      </c>
      <c r="F230" s="98">
        <v>0.5</v>
      </c>
      <c r="G230" s="98">
        <f t="shared" si="40"/>
        <v>5</v>
      </c>
      <c r="H230" s="98">
        <f t="shared" si="37"/>
        <v>2</v>
      </c>
      <c r="I230" s="98">
        <f t="shared" si="38"/>
        <v>1</v>
      </c>
      <c r="J230" s="98">
        <f t="shared" si="39"/>
        <v>0</v>
      </c>
      <c r="K230" s="126">
        <f t="shared" si="34"/>
        <v>156.6</v>
      </c>
      <c r="L230" s="148">
        <f t="shared" si="35"/>
        <v>7.83</v>
      </c>
      <c r="M230" s="149">
        <f t="shared" si="36"/>
        <v>600</v>
      </c>
      <c r="O230" s="141"/>
      <c r="P230" s="142"/>
      <c r="AV230" s="141"/>
      <c r="AW230" s="141"/>
      <c r="AY230"/>
      <c r="AZ230"/>
      <c r="BA230"/>
      <c r="BB230"/>
    </row>
    <row r="231" spans="2:54">
      <c r="B231" s="98">
        <v>228</v>
      </c>
      <c r="C231" s="126">
        <f t="shared" si="31"/>
        <v>734</v>
      </c>
      <c r="D231" s="98">
        <f t="shared" si="32"/>
        <v>40</v>
      </c>
      <c r="E231" s="98">
        <f t="shared" si="33"/>
        <v>8</v>
      </c>
      <c r="F231" s="98">
        <v>0.5</v>
      </c>
      <c r="G231" s="98">
        <f t="shared" si="40"/>
        <v>5</v>
      </c>
      <c r="H231" s="98">
        <f t="shared" si="37"/>
        <v>2</v>
      </c>
      <c r="I231" s="98">
        <f t="shared" si="38"/>
        <v>1</v>
      </c>
      <c r="J231" s="98">
        <f t="shared" si="39"/>
        <v>0</v>
      </c>
      <c r="K231" s="126">
        <f t="shared" si="34"/>
        <v>156.7</v>
      </c>
      <c r="L231" s="148">
        <f t="shared" si="35"/>
        <v>7.835</v>
      </c>
      <c r="M231" s="149">
        <f t="shared" si="36"/>
        <v>600</v>
      </c>
      <c r="O231" s="141"/>
      <c r="P231" s="142"/>
      <c r="AV231" s="141"/>
      <c r="AW231" s="141"/>
      <c r="AY231"/>
      <c r="AZ231"/>
      <c r="BA231"/>
      <c r="BB231"/>
    </row>
    <row r="232" spans="2:54">
      <c r="B232" s="98">
        <v>229</v>
      </c>
      <c r="C232" s="126">
        <f t="shared" si="31"/>
        <v>736</v>
      </c>
      <c r="D232" s="98">
        <f t="shared" si="32"/>
        <v>40</v>
      </c>
      <c r="E232" s="98">
        <f t="shared" si="33"/>
        <v>8</v>
      </c>
      <c r="F232" s="98">
        <v>0.5</v>
      </c>
      <c r="G232" s="98">
        <f t="shared" si="40"/>
        <v>5</v>
      </c>
      <c r="H232" s="98">
        <f t="shared" si="37"/>
        <v>2</v>
      </c>
      <c r="I232" s="98">
        <f t="shared" si="38"/>
        <v>1</v>
      </c>
      <c r="J232" s="98">
        <f t="shared" si="39"/>
        <v>0</v>
      </c>
      <c r="K232" s="126">
        <f t="shared" si="34"/>
        <v>156.8</v>
      </c>
      <c r="L232" s="148">
        <f t="shared" si="35"/>
        <v>7.84</v>
      </c>
      <c r="M232" s="149">
        <f t="shared" si="36"/>
        <v>600</v>
      </c>
      <c r="O232" s="141"/>
      <c r="P232" s="142"/>
      <c r="AV232" s="141"/>
      <c r="AW232" s="141"/>
      <c r="AY232"/>
      <c r="AZ232"/>
      <c r="BA232"/>
      <c r="BB232"/>
    </row>
    <row r="233" spans="2:54">
      <c r="B233" s="98">
        <v>230</v>
      </c>
      <c r="C233" s="126">
        <f t="shared" si="31"/>
        <v>738</v>
      </c>
      <c r="D233" s="98">
        <f t="shared" si="32"/>
        <v>40</v>
      </c>
      <c r="E233" s="98">
        <f t="shared" si="33"/>
        <v>8</v>
      </c>
      <c r="F233" s="98">
        <v>0.5</v>
      </c>
      <c r="G233" s="98">
        <f t="shared" si="40"/>
        <v>5</v>
      </c>
      <c r="H233" s="98">
        <f t="shared" si="37"/>
        <v>2</v>
      </c>
      <c r="I233" s="98">
        <f t="shared" si="38"/>
        <v>1</v>
      </c>
      <c r="J233" s="98">
        <f t="shared" si="39"/>
        <v>0</v>
      </c>
      <c r="K233" s="126">
        <f t="shared" si="34"/>
        <v>156.9</v>
      </c>
      <c r="L233" s="148">
        <f t="shared" si="35"/>
        <v>7.845</v>
      </c>
      <c r="M233" s="149">
        <f t="shared" si="36"/>
        <v>600</v>
      </c>
      <c r="O233" s="141"/>
      <c r="P233" s="142"/>
      <c r="AV233" s="141"/>
      <c r="AW233" s="141"/>
      <c r="AY233"/>
      <c r="AZ233"/>
      <c r="BA233"/>
      <c r="BB233"/>
    </row>
    <row r="234" spans="2:54">
      <c r="B234" s="98">
        <v>231</v>
      </c>
      <c r="C234" s="126">
        <f t="shared" si="31"/>
        <v>740</v>
      </c>
      <c r="D234" s="98">
        <f t="shared" si="32"/>
        <v>40</v>
      </c>
      <c r="E234" s="98">
        <f t="shared" si="33"/>
        <v>8</v>
      </c>
      <c r="F234" s="98">
        <v>0.5</v>
      </c>
      <c r="G234" s="98">
        <f t="shared" si="40"/>
        <v>5</v>
      </c>
      <c r="H234" s="98">
        <f t="shared" si="37"/>
        <v>2</v>
      </c>
      <c r="I234" s="98">
        <f t="shared" si="38"/>
        <v>1</v>
      </c>
      <c r="J234" s="98">
        <f t="shared" si="39"/>
        <v>0</v>
      </c>
      <c r="K234" s="126">
        <f t="shared" si="34"/>
        <v>157</v>
      </c>
      <c r="L234" s="148">
        <f t="shared" si="35"/>
        <v>7.85</v>
      </c>
      <c r="M234" s="149">
        <f t="shared" si="36"/>
        <v>600</v>
      </c>
      <c r="O234" s="141"/>
      <c r="P234" s="142"/>
      <c r="AV234" s="141"/>
      <c r="AW234" s="141"/>
      <c r="AY234"/>
      <c r="AZ234"/>
      <c r="BA234"/>
      <c r="BB234"/>
    </row>
    <row r="235" spans="2:54">
      <c r="B235" s="98">
        <v>232</v>
      </c>
      <c r="C235" s="126">
        <f t="shared" si="31"/>
        <v>742</v>
      </c>
      <c r="D235" s="98">
        <f t="shared" si="32"/>
        <v>40</v>
      </c>
      <c r="E235" s="98">
        <f t="shared" si="33"/>
        <v>8</v>
      </c>
      <c r="F235" s="98">
        <v>0.5</v>
      </c>
      <c r="G235" s="98">
        <f t="shared" si="40"/>
        <v>5</v>
      </c>
      <c r="H235" s="98">
        <f t="shared" si="37"/>
        <v>2</v>
      </c>
      <c r="I235" s="98">
        <f t="shared" si="38"/>
        <v>1</v>
      </c>
      <c r="J235" s="98">
        <f t="shared" si="39"/>
        <v>0</v>
      </c>
      <c r="K235" s="126">
        <f t="shared" si="34"/>
        <v>157.1</v>
      </c>
      <c r="L235" s="148">
        <f t="shared" si="35"/>
        <v>7.855</v>
      </c>
      <c r="M235" s="149">
        <f t="shared" si="36"/>
        <v>600</v>
      </c>
      <c r="O235" s="141"/>
      <c r="P235" s="142"/>
      <c r="AV235" s="141"/>
      <c r="AW235" s="141"/>
      <c r="AY235"/>
      <c r="AZ235"/>
      <c r="BA235"/>
      <c r="BB235"/>
    </row>
    <row r="236" spans="2:54">
      <c r="B236" s="98">
        <v>233</v>
      </c>
      <c r="C236" s="126">
        <f t="shared" si="31"/>
        <v>744</v>
      </c>
      <c r="D236" s="98">
        <f t="shared" si="32"/>
        <v>40</v>
      </c>
      <c r="E236" s="98">
        <f t="shared" si="33"/>
        <v>8</v>
      </c>
      <c r="F236" s="98">
        <v>0.5</v>
      </c>
      <c r="G236" s="98">
        <f t="shared" si="40"/>
        <v>5</v>
      </c>
      <c r="H236" s="98">
        <f t="shared" si="37"/>
        <v>2</v>
      </c>
      <c r="I236" s="98">
        <f t="shared" si="38"/>
        <v>1</v>
      </c>
      <c r="J236" s="98">
        <f t="shared" si="39"/>
        <v>0</v>
      </c>
      <c r="K236" s="126">
        <f t="shared" si="34"/>
        <v>157.2</v>
      </c>
      <c r="L236" s="148">
        <f t="shared" si="35"/>
        <v>7.86</v>
      </c>
      <c r="M236" s="149">
        <f t="shared" si="36"/>
        <v>600</v>
      </c>
      <c r="O236" s="141"/>
      <c r="P236" s="142"/>
      <c r="AV236" s="141"/>
      <c r="AW236" s="141"/>
      <c r="AY236"/>
      <c r="AZ236"/>
      <c r="BA236"/>
      <c r="BB236"/>
    </row>
    <row r="237" spans="2:54">
      <c r="B237" s="98">
        <v>234</v>
      </c>
      <c r="C237" s="126">
        <f t="shared" si="31"/>
        <v>746</v>
      </c>
      <c r="D237" s="98">
        <f t="shared" si="32"/>
        <v>40</v>
      </c>
      <c r="E237" s="98">
        <f t="shared" si="33"/>
        <v>8</v>
      </c>
      <c r="F237" s="98">
        <v>0.5</v>
      </c>
      <c r="G237" s="98">
        <f t="shared" si="40"/>
        <v>5</v>
      </c>
      <c r="H237" s="98">
        <f t="shared" si="37"/>
        <v>2</v>
      </c>
      <c r="I237" s="98">
        <f t="shared" si="38"/>
        <v>1</v>
      </c>
      <c r="J237" s="98">
        <f t="shared" si="39"/>
        <v>0</v>
      </c>
      <c r="K237" s="126">
        <f t="shared" si="34"/>
        <v>157.3</v>
      </c>
      <c r="L237" s="148">
        <f t="shared" si="35"/>
        <v>7.865</v>
      </c>
      <c r="M237" s="149">
        <f t="shared" si="36"/>
        <v>600</v>
      </c>
      <c r="O237" s="141"/>
      <c r="P237" s="142"/>
      <c r="AV237" s="141"/>
      <c r="AW237" s="141"/>
      <c r="AY237"/>
      <c r="AZ237"/>
      <c r="BA237"/>
      <c r="BB237"/>
    </row>
    <row r="238" spans="2:54">
      <c r="B238" s="98">
        <v>235</v>
      </c>
      <c r="C238" s="126">
        <f t="shared" si="31"/>
        <v>748</v>
      </c>
      <c r="D238" s="98">
        <f t="shared" si="32"/>
        <v>40</v>
      </c>
      <c r="E238" s="98">
        <f t="shared" si="33"/>
        <v>8</v>
      </c>
      <c r="F238" s="98">
        <v>0.5</v>
      </c>
      <c r="G238" s="98">
        <f t="shared" si="40"/>
        <v>5</v>
      </c>
      <c r="H238" s="98">
        <f t="shared" si="37"/>
        <v>2</v>
      </c>
      <c r="I238" s="98">
        <f t="shared" si="38"/>
        <v>1</v>
      </c>
      <c r="J238" s="98">
        <f t="shared" si="39"/>
        <v>0</v>
      </c>
      <c r="K238" s="126">
        <f t="shared" si="34"/>
        <v>157.4</v>
      </c>
      <c r="L238" s="148">
        <f t="shared" si="35"/>
        <v>7.87</v>
      </c>
      <c r="M238" s="149">
        <f t="shared" si="36"/>
        <v>600</v>
      </c>
      <c r="O238" s="141"/>
      <c r="P238" s="142"/>
      <c r="AV238" s="141"/>
      <c r="AW238" s="141"/>
      <c r="AY238"/>
      <c r="AZ238"/>
      <c r="BA238"/>
      <c r="BB238"/>
    </row>
    <row r="239" spans="2:54">
      <c r="B239" s="98">
        <v>236</v>
      </c>
      <c r="C239" s="126">
        <f t="shared" si="31"/>
        <v>750</v>
      </c>
      <c r="D239" s="98">
        <f t="shared" si="32"/>
        <v>40</v>
      </c>
      <c r="E239" s="98">
        <f t="shared" si="33"/>
        <v>8</v>
      </c>
      <c r="F239" s="98">
        <v>0.5</v>
      </c>
      <c r="G239" s="98">
        <f t="shared" si="40"/>
        <v>5</v>
      </c>
      <c r="H239" s="98">
        <f t="shared" si="37"/>
        <v>2</v>
      </c>
      <c r="I239" s="98">
        <f t="shared" si="38"/>
        <v>1</v>
      </c>
      <c r="J239" s="98">
        <f t="shared" si="39"/>
        <v>0</v>
      </c>
      <c r="K239" s="126">
        <f t="shared" si="34"/>
        <v>157.5</v>
      </c>
      <c r="L239" s="148">
        <f t="shared" si="35"/>
        <v>7.875</v>
      </c>
      <c r="M239" s="149">
        <f t="shared" si="36"/>
        <v>600</v>
      </c>
      <c r="O239" s="141"/>
      <c r="P239" s="142"/>
      <c r="AV239" s="141"/>
      <c r="AW239" s="141"/>
      <c r="AY239"/>
      <c r="AZ239"/>
      <c r="BA239"/>
      <c r="BB239"/>
    </row>
    <row r="240" spans="2:54">
      <c r="B240" s="98">
        <v>237</v>
      </c>
      <c r="C240" s="126">
        <f t="shared" si="31"/>
        <v>752</v>
      </c>
      <c r="D240" s="98">
        <f t="shared" si="32"/>
        <v>40</v>
      </c>
      <c r="E240" s="98">
        <f t="shared" si="33"/>
        <v>8</v>
      </c>
      <c r="F240" s="98">
        <v>0.5</v>
      </c>
      <c r="G240" s="98">
        <f t="shared" si="40"/>
        <v>5</v>
      </c>
      <c r="H240" s="98">
        <f t="shared" si="37"/>
        <v>2</v>
      </c>
      <c r="I240" s="98">
        <f t="shared" si="38"/>
        <v>1</v>
      </c>
      <c r="J240" s="98">
        <f t="shared" si="39"/>
        <v>0</v>
      </c>
      <c r="K240" s="126">
        <f t="shared" si="34"/>
        <v>157.6</v>
      </c>
      <c r="L240" s="148">
        <f t="shared" si="35"/>
        <v>7.88</v>
      </c>
      <c r="M240" s="149">
        <f t="shared" si="36"/>
        <v>600</v>
      </c>
      <c r="O240" s="141"/>
      <c r="P240" s="142"/>
      <c r="AV240" s="141"/>
      <c r="AW240" s="141"/>
      <c r="AY240"/>
      <c r="AZ240"/>
      <c r="BA240"/>
      <c r="BB240"/>
    </row>
    <row r="241" spans="2:54">
      <c r="B241" s="98">
        <v>238</v>
      </c>
      <c r="C241" s="126">
        <f t="shared" si="31"/>
        <v>754</v>
      </c>
      <c r="D241" s="98">
        <f t="shared" si="32"/>
        <v>40</v>
      </c>
      <c r="E241" s="98">
        <f t="shared" si="33"/>
        <v>8</v>
      </c>
      <c r="F241" s="98">
        <v>0.5</v>
      </c>
      <c r="G241" s="98">
        <f t="shared" si="40"/>
        <v>5</v>
      </c>
      <c r="H241" s="98">
        <f t="shared" si="37"/>
        <v>2</v>
      </c>
      <c r="I241" s="98">
        <f t="shared" si="38"/>
        <v>1</v>
      </c>
      <c r="J241" s="98">
        <f t="shared" si="39"/>
        <v>0</v>
      </c>
      <c r="K241" s="126">
        <f t="shared" si="34"/>
        <v>157.7</v>
      </c>
      <c r="L241" s="148">
        <f t="shared" si="35"/>
        <v>7.885</v>
      </c>
      <c r="M241" s="149">
        <f t="shared" si="36"/>
        <v>600</v>
      </c>
      <c r="O241" s="141"/>
      <c r="P241" s="142"/>
      <c r="AV241" s="141"/>
      <c r="AW241" s="141"/>
      <c r="AY241"/>
      <c r="AZ241"/>
      <c r="BA241"/>
      <c r="BB241"/>
    </row>
    <row r="242" spans="2:54">
      <c r="B242" s="98">
        <v>239</v>
      </c>
      <c r="C242" s="126">
        <f t="shared" si="31"/>
        <v>756</v>
      </c>
      <c r="D242" s="98">
        <f t="shared" si="32"/>
        <v>40</v>
      </c>
      <c r="E242" s="98">
        <f t="shared" si="33"/>
        <v>8</v>
      </c>
      <c r="F242" s="98">
        <v>0.5</v>
      </c>
      <c r="G242" s="98">
        <f t="shared" si="40"/>
        <v>5</v>
      </c>
      <c r="H242" s="98">
        <f t="shared" si="37"/>
        <v>2</v>
      </c>
      <c r="I242" s="98">
        <f t="shared" si="38"/>
        <v>1</v>
      </c>
      <c r="J242" s="98">
        <f t="shared" si="39"/>
        <v>0</v>
      </c>
      <c r="K242" s="126">
        <f t="shared" si="34"/>
        <v>157.8</v>
      </c>
      <c r="L242" s="148">
        <f t="shared" si="35"/>
        <v>7.89</v>
      </c>
      <c r="M242" s="149">
        <f t="shared" si="36"/>
        <v>600</v>
      </c>
      <c r="O242" s="141"/>
      <c r="P242" s="142"/>
      <c r="AV242" s="141"/>
      <c r="AW242" s="141"/>
      <c r="AY242"/>
      <c r="AZ242"/>
      <c r="BA242"/>
      <c r="BB242"/>
    </row>
    <row r="243" spans="2:54">
      <c r="B243" s="98">
        <v>240</v>
      </c>
      <c r="C243" s="126">
        <f t="shared" si="31"/>
        <v>758</v>
      </c>
      <c r="D243" s="98">
        <f t="shared" si="32"/>
        <v>40</v>
      </c>
      <c r="E243" s="98">
        <f t="shared" si="33"/>
        <v>8</v>
      </c>
      <c r="F243" s="98">
        <v>0.5</v>
      </c>
      <c r="G243" s="98">
        <f t="shared" si="40"/>
        <v>5</v>
      </c>
      <c r="H243" s="98">
        <f t="shared" si="37"/>
        <v>2</v>
      </c>
      <c r="I243" s="98">
        <f t="shared" si="38"/>
        <v>1</v>
      </c>
      <c r="J243" s="98">
        <f t="shared" si="39"/>
        <v>0</v>
      </c>
      <c r="K243" s="126">
        <f t="shared" si="34"/>
        <v>157.9</v>
      </c>
      <c r="L243" s="148">
        <f t="shared" si="35"/>
        <v>7.895</v>
      </c>
      <c r="M243" s="149">
        <f t="shared" si="36"/>
        <v>600</v>
      </c>
      <c r="O243" s="141"/>
      <c r="P243" s="142"/>
      <c r="AV243" s="141"/>
      <c r="AW243" s="141"/>
      <c r="AY243"/>
      <c r="AZ243"/>
      <c r="BA243"/>
      <c r="BB243"/>
    </row>
    <row r="244" spans="2:54">
      <c r="B244" s="98">
        <v>241</v>
      </c>
      <c r="C244" s="126">
        <f t="shared" si="31"/>
        <v>760</v>
      </c>
      <c r="D244" s="98">
        <f t="shared" si="32"/>
        <v>40</v>
      </c>
      <c r="E244" s="98">
        <f t="shared" si="33"/>
        <v>8</v>
      </c>
      <c r="F244" s="98">
        <v>0.5</v>
      </c>
      <c r="G244" s="98">
        <f t="shared" si="40"/>
        <v>5</v>
      </c>
      <c r="H244" s="98">
        <f t="shared" si="37"/>
        <v>2</v>
      </c>
      <c r="I244" s="98">
        <f t="shared" si="38"/>
        <v>1</v>
      </c>
      <c r="J244" s="98">
        <f t="shared" si="39"/>
        <v>0</v>
      </c>
      <c r="K244" s="126">
        <f t="shared" si="34"/>
        <v>158</v>
      </c>
      <c r="L244" s="148">
        <f t="shared" si="35"/>
        <v>7.9</v>
      </c>
      <c r="M244" s="149">
        <f t="shared" si="36"/>
        <v>600</v>
      </c>
      <c r="O244" s="141"/>
      <c r="P244" s="142"/>
      <c r="AV244" s="141"/>
      <c r="AW244" s="141"/>
      <c r="AY244"/>
      <c r="AZ244"/>
      <c r="BA244"/>
      <c r="BB244"/>
    </row>
    <row r="245" spans="2:54">
      <c r="B245" s="98">
        <v>242</v>
      </c>
      <c r="C245" s="126">
        <f t="shared" si="31"/>
        <v>762</v>
      </c>
      <c r="D245" s="98">
        <f t="shared" si="32"/>
        <v>40</v>
      </c>
      <c r="E245" s="98">
        <f t="shared" si="33"/>
        <v>8</v>
      </c>
      <c r="F245" s="98">
        <v>0.5</v>
      </c>
      <c r="G245" s="98">
        <f t="shared" si="40"/>
        <v>5</v>
      </c>
      <c r="H245" s="98">
        <f t="shared" si="37"/>
        <v>2</v>
      </c>
      <c r="I245" s="98">
        <f t="shared" si="38"/>
        <v>1</v>
      </c>
      <c r="J245" s="98">
        <f t="shared" si="39"/>
        <v>0</v>
      </c>
      <c r="K245" s="126">
        <f t="shared" si="34"/>
        <v>158.1</v>
      </c>
      <c r="L245" s="148">
        <f t="shared" si="35"/>
        <v>7.905</v>
      </c>
      <c r="M245" s="149">
        <f t="shared" si="36"/>
        <v>600</v>
      </c>
      <c r="O245" s="141"/>
      <c r="P245" s="142"/>
      <c r="AV245" s="141"/>
      <c r="AW245" s="141"/>
      <c r="AY245"/>
      <c r="AZ245"/>
      <c r="BA245"/>
      <c r="BB245"/>
    </row>
    <row r="246" spans="2:54">
      <c r="B246" s="98">
        <v>243</v>
      </c>
      <c r="C246" s="126">
        <f t="shared" si="31"/>
        <v>764</v>
      </c>
      <c r="D246" s="98">
        <f t="shared" si="32"/>
        <v>40</v>
      </c>
      <c r="E246" s="98">
        <f t="shared" si="33"/>
        <v>8</v>
      </c>
      <c r="F246" s="98">
        <v>0.5</v>
      </c>
      <c r="G246" s="98">
        <f t="shared" si="40"/>
        <v>5</v>
      </c>
      <c r="H246" s="98">
        <f t="shared" si="37"/>
        <v>2</v>
      </c>
      <c r="I246" s="98">
        <f t="shared" si="38"/>
        <v>1</v>
      </c>
      <c r="J246" s="98">
        <f t="shared" si="39"/>
        <v>0</v>
      </c>
      <c r="K246" s="126">
        <f t="shared" si="34"/>
        <v>158.2</v>
      </c>
      <c r="L246" s="148">
        <f t="shared" si="35"/>
        <v>7.91</v>
      </c>
      <c r="M246" s="149">
        <f t="shared" si="36"/>
        <v>600</v>
      </c>
      <c r="O246" s="141"/>
      <c r="P246" s="142"/>
      <c r="AV246" s="141"/>
      <c r="AW246" s="141"/>
      <c r="AY246"/>
      <c r="AZ246"/>
      <c r="BA246"/>
      <c r="BB246"/>
    </row>
    <row r="247" spans="2:54">
      <c r="B247" s="98">
        <v>244</v>
      </c>
      <c r="C247" s="126">
        <f t="shared" si="31"/>
        <v>766</v>
      </c>
      <c r="D247" s="98">
        <f t="shared" si="32"/>
        <v>40</v>
      </c>
      <c r="E247" s="98">
        <f t="shared" si="33"/>
        <v>8</v>
      </c>
      <c r="F247" s="98">
        <v>0.5</v>
      </c>
      <c r="G247" s="98">
        <f t="shared" si="40"/>
        <v>5</v>
      </c>
      <c r="H247" s="98">
        <f t="shared" si="37"/>
        <v>2</v>
      </c>
      <c r="I247" s="98">
        <f t="shared" si="38"/>
        <v>1</v>
      </c>
      <c r="J247" s="98">
        <f t="shared" si="39"/>
        <v>0</v>
      </c>
      <c r="K247" s="126">
        <f t="shared" si="34"/>
        <v>158.3</v>
      </c>
      <c r="L247" s="148">
        <f t="shared" si="35"/>
        <v>7.915</v>
      </c>
      <c r="M247" s="149">
        <f t="shared" si="36"/>
        <v>600</v>
      </c>
      <c r="O247" s="141"/>
      <c r="P247" s="142"/>
      <c r="AV247" s="141"/>
      <c r="AW247" s="141"/>
      <c r="AY247"/>
      <c r="AZ247"/>
      <c r="BA247"/>
      <c r="BB247"/>
    </row>
    <row r="248" spans="2:54">
      <c r="B248" s="98">
        <v>245</v>
      </c>
      <c r="C248" s="126">
        <f t="shared" si="31"/>
        <v>768</v>
      </c>
      <c r="D248" s="98">
        <f t="shared" si="32"/>
        <v>40</v>
      </c>
      <c r="E248" s="98">
        <f t="shared" si="33"/>
        <v>8</v>
      </c>
      <c r="F248" s="98">
        <v>0.5</v>
      </c>
      <c r="G248" s="98">
        <f t="shared" si="40"/>
        <v>5</v>
      </c>
      <c r="H248" s="98">
        <f t="shared" si="37"/>
        <v>2</v>
      </c>
      <c r="I248" s="98">
        <f t="shared" si="38"/>
        <v>1</v>
      </c>
      <c r="J248" s="98">
        <f t="shared" si="39"/>
        <v>0</v>
      </c>
      <c r="K248" s="126">
        <f t="shared" si="34"/>
        <v>158.4</v>
      </c>
      <c r="L248" s="148">
        <f t="shared" si="35"/>
        <v>7.92</v>
      </c>
      <c r="M248" s="149">
        <f t="shared" si="36"/>
        <v>600</v>
      </c>
      <c r="O248" s="141"/>
      <c r="P248" s="142"/>
      <c r="AV248" s="141"/>
      <c r="AW248" s="141"/>
      <c r="AY248"/>
      <c r="AZ248"/>
      <c r="BA248"/>
      <c r="BB248"/>
    </row>
    <row r="249" spans="2:54">
      <c r="B249" s="98">
        <v>246</v>
      </c>
      <c r="C249" s="126">
        <f t="shared" si="31"/>
        <v>770</v>
      </c>
      <c r="D249" s="98">
        <f t="shared" si="32"/>
        <v>40</v>
      </c>
      <c r="E249" s="98">
        <f t="shared" si="33"/>
        <v>8</v>
      </c>
      <c r="F249" s="98">
        <v>0.5</v>
      </c>
      <c r="G249" s="98">
        <f t="shared" si="40"/>
        <v>5</v>
      </c>
      <c r="H249" s="98">
        <f t="shared" si="37"/>
        <v>2</v>
      </c>
      <c r="I249" s="98">
        <f t="shared" si="38"/>
        <v>1</v>
      </c>
      <c r="J249" s="98">
        <f t="shared" si="39"/>
        <v>0</v>
      </c>
      <c r="K249" s="126">
        <f t="shared" si="34"/>
        <v>158.5</v>
      </c>
      <c r="L249" s="148">
        <f t="shared" si="35"/>
        <v>7.925</v>
      </c>
      <c r="M249" s="149">
        <f t="shared" si="36"/>
        <v>600</v>
      </c>
      <c r="O249" s="141"/>
      <c r="P249" s="142"/>
      <c r="AV249" s="141"/>
      <c r="AW249" s="141"/>
      <c r="AY249"/>
      <c r="AZ249"/>
      <c r="BA249"/>
      <c r="BB249"/>
    </row>
    <row r="250" spans="2:54">
      <c r="B250" s="98">
        <v>247</v>
      </c>
      <c r="C250" s="126">
        <f t="shared" si="31"/>
        <v>772</v>
      </c>
      <c r="D250" s="98">
        <f t="shared" si="32"/>
        <v>40</v>
      </c>
      <c r="E250" s="98">
        <f t="shared" si="33"/>
        <v>8</v>
      </c>
      <c r="F250" s="98">
        <v>0.5</v>
      </c>
      <c r="G250" s="98">
        <f t="shared" si="40"/>
        <v>5</v>
      </c>
      <c r="H250" s="98">
        <f t="shared" si="37"/>
        <v>2</v>
      </c>
      <c r="I250" s="98">
        <f t="shared" si="38"/>
        <v>1</v>
      </c>
      <c r="J250" s="98">
        <f t="shared" si="39"/>
        <v>0</v>
      </c>
      <c r="K250" s="126">
        <f t="shared" si="34"/>
        <v>158.6</v>
      </c>
      <c r="L250" s="148">
        <f t="shared" si="35"/>
        <v>7.93</v>
      </c>
      <c r="M250" s="149">
        <f t="shared" si="36"/>
        <v>600</v>
      </c>
      <c r="O250" s="141"/>
      <c r="P250" s="142"/>
      <c r="AV250" s="141"/>
      <c r="AW250" s="141"/>
      <c r="AY250"/>
      <c r="AZ250"/>
      <c r="BA250"/>
      <c r="BB250"/>
    </row>
    <row r="251" spans="2:54">
      <c r="B251" s="98">
        <v>248</v>
      </c>
      <c r="C251" s="126">
        <f t="shared" si="31"/>
        <v>774</v>
      </c>
      <c r="D251" s="98">
        <f t="shared" si="32"/>
        <v>40</v>
      </c>
      <c r="E251" s="98">
        <f t="shared" si="33"/>
        <v>8</v>
      </c>
      <c r="F251" s="98">
        <v>0.5</v>
      </c>
      <c r="G251" s="98">
        <f t="shared" si="40"/>
        <v>5</v>
      </c>
      <c r="H251" s="98">
        <f t="shared" si="37"/>
        <v>2</v>
      </c>
      <c r="I251" s="98">
        <f t="shared" si="38"/>
        <v>1</v>
      </c>
      <c r="J251" s="98">
        <f t="shared" si="39"/>
        <v>0</v>
      </c>
      <c r="K251" s="126">
        <f t="shared" si="34"/>
        <v>158.7</v>
      </c>
      <c r="L251" s="148">
        <f t="shared" si="35"/>
        <v>7.935</v>
      </c>
      <c r="M251" s="149">
        <f t="shared" si="36"/>
        <v>600</v>
      </c>
      <c r="O251" s="141"/>
      <c r="P251" s="142"/>
      <c r="AV251" s="141"/>
      <c r="AW251" s="141"/>
      <c r="AY251"/>
      <c r="AZ251"/>
      <c r="BA251"/>
      <c r="BB251"/>
    </row>
    <row r="252" spans="2:54">
      <c r="B252" s="98">
        <v>249</v>
      </c>
      <c r="C252" s="126">
        <f t="shared" si="31"/>
        <v>776</v>
      </c>
      <c r="D252" s="98">
        <f t="shared" si="32"/>
        <v>40</v>
      </c>
      <c r="E252" s="98">
        <f t="shared" si="33"/>
        <v>8</v>
      </c>
      <c r="F252" s="98">
        <v>0.5</v>
      </c>
      <c r="G252" s="98">
        <f t="shared" si="40"/>
        <v>5</v>
      </c>
      <c r="H252" s="98">
        <f t="shared" si="37"/>
        <v>2</v>
      </c>
      <c r="I252" s="98">
        <f t="shared" si="38"/>
        <v>1</v>
      </c>
      <c r="J252" s="98">
        <f t="shared" si="39"/>
        <v>0</v>
      </c>
      <c r="K252" s="126">
        <f t="shared" si="34"/>
        <v>158.8</v>
      </c>
      <c r="L252" s="148">
        <f t="shared" si="35"/>
        <v>7.94</v>
      </c>
      <c r="M252" s="149">
        <f t="shared" si="36"/>
        <v>600</v>
      </c>
      <c r="O252" s="141"/>
      <c r="P252" s="142"/>
      <c r="AV252" s="141"/>
      <c r="AW252" s="141"/>
      <c r="AY252"/>
      <c r="AZ252"/>
      <c r="BA252"/>
      <c r="BB252"/>
    </row>
    <row r="253" spans="2:54">
      <c r="B253" s="98">
        <v>250</v>
      </c>
      <c r="C253" s="126">
        <f t="shared" si="31"/>
        <v>778</v>
      </c>
      <c r="D253" s="98">
        <f t="shared" si="32"/>
        <v>40</v>
      </c>
      <c r="E253" s="98">
        <f t="shared" si="33"/>
        <v>8</v>
      </c>
      <c r="F253" s="98">
        <v>0.5</v>
      </c>
      <c r="G253" s="98">
        <f t="shared" si="40"/>
        <v>5</v>
      </c>
      <c r="H253" s="98">
        <f t="shared" si="37"/>
        <v>2</v>
      </c>
      <c r="I253" s="98">
        <f t="shared" si="38"/>
        <v>1</v>
      </c>
      <c r="J253" s="98">
        <f t="shared" si="39"/>
        <v>0</v>
      </c>
      <c r="K253" s="126">
        <f t="shared" si="34"/>
        <v>158.9</v>
      </c>
      <c r="L253" s="148">
        <f t="shared" si="35"/>
        <v>7.945</v>
      </c>
      <c r="M253" s="149">
        <f t="shared" si="36"/>
        <v>600</v>
      </c>
      <c r="O253" s="141"/>
      <c r="P253" s="142"/>
      <c r="AV253" s="141"/>
      <c r="AW253" s="141"/>
      <c r="AY253"/>
      <c r="AZ253"/>
      <c r="BA253"/>
      <c r="BB253"/>
    </row>
    <row r="254" spans="2:54">
      <c r="B254" s="98">
        <v>251</v>
      </c>
      <c r="C254" s="126">
        <f t="shared" si="31"/>
        <v>780</v>
      </c>
      <c r="D254" s="98">
        <f t="shared" si="32"/>
        <v>40</v>
      </c>
      <c r="E254" s="98">
        <f t="shared" si="33"/>
        <v>8</v>
      </c>
      <c r="F254" s="98">
        <v>0.5</v>
      </c>
      <c r="G254" s="98">
        <f t="shared" si="40"/>
        <v>5</v>
      </c>
      <c r="H254" s="98">
        <f t="shared" si="37"/>
        <v>2</v>
      </c>
      <c r="I254" s="98">
        <f t="shared" si="38"/>
        <v>1</v>
      </c>
      <c r="J254" s="98">
        <f t="shared" si="39"/>
        <v>0</v>
      </c>
      <c r="K254" s="126">
        <f t="shared" si="34"/>
        <v>159</v>
      </c>
      <c r="L254" s="148">
        <f t="shared" si="35"/>
        <v>7.95</v>
      </c>
      <c r="M254" s="149">
        <f t="shared" si="36"/>
        <v>600</v>
      </c>
      <c r="O254" s="141"/>
      <c r="P254" s="142"/>
      <c r="AV254" s="141"/>
      <c r="AW254" s="141"/>
      <c r="AY254"/>
      <c r="AZ254"/>
      <c r="BA254"/>
      <c r="BB254"/>
    </row>
    <row r="255" spans="2:54">
      <c r="B255" s="98">
        <v>252</v>
      </c>
      <c r="C255" s="126">
        <f t="shared" si="31"/>
        <v>782</v>
      </c>
      <c r="D255" s="98">
        <f t="shared" si="32"/>
        <v>40</v>
      </c>
      <c r="E255" s="98">
        <f t="shared" si="33"/>
        <v>8</v>
      </c>
      <c r="F255" s="98">
        <v>0.5</v>
      </c>
      <c r="G255" s="98">
        <f t="shared" si="40"/>
        <v>5</v>
      </c>
      <c r="H255" s="98">
        <f t="shared" si="37"/>
        <v>2</v>
      </c>
      <c r="I255" s="98">
        <f t="shared" si="38"/>
        <v>1</v>
      </c>
      <c r="J255" s="98">
        <f t="shared" si="39"/>
        <v>0</v>
      </c>
      <c r="K255" s="126">
        <f t="shared" si="34"/>
        <v>159.1</v>
      </c>
      <c r="L255" s="148">
        <f t="shared" si="35"/>
        <v>7.955</v>
      </c>
      <c r="M255" s="149">
        <f t="shared" si="36"/>
        <v>600</v>
      </c>
      <c r="O255" s="141"/>
      <c r="P255" s="142"/>
      <c r="AV255" s="141"/>
      <c r="AW255" s="141"/>
      <c r="AY255"/>
      <c r="AZ255"/>
      <c r="BA255"/>
      <c r="BB255"/>
    </row>
    <row r="256" spans="2:54">
      <c r="B256" s="98">
        <v>253</v>
      </c>
      <c r="C256" s="126">
        <f t="shared" si="31"/>
        <v>784</v>
      </c>
      <c r="D256" s="98">
        <f t="shared" si="32"/>
        <v>40</v>
      </c>
      <c r="E256" s="98">
        <f t="shared" si="33"/>
        <v>8</v>
      </c>
      <c r="F256" s="98">
        <v>0.5</v>
      </c>
      <c r="G256" s="98">
        <f t="shared" si="40"/>
        <v>5</v>
      </c>
      <c r="H256" s="98">
        <f t="shared" si="37"/>
        <v>2</v>
      </c>
      <c r="I256" s="98">
        <f t="shared" si="38"/>
        <v>1</v>
      </c>
      <c r="J256" s="98">
        <f t="shared" si="39"/>
        <v>0</v>
      </c>
      <c r="K256" s="126">
        <f t="shared" si="34"/>
        <v>159.2</v>
      </c>
      <c r="L256" s="148">
        <f t="shared" si="35"/>
        <v>7.96</v>
      </c>
      <c r="M256" s="149">
        <f t="shared" si="36"/>
        <v>600</v>
      </c>
      <c r="O256" s="141"/>
      <c r="P256" s="142"/>
      <c r="AV256" s="141"/>
      <c r="AW256" s="141"/>
      <c r="AY256"/>
      <c r="AZ256"/>
      <c r="BA256"/>
      <c r="BB256"/>
    </row>
    <row r="257" spans="2:54">
      <c r="B257" s="98">
        <v>254</v>
      </c>
      <c r="C257" s="126">
        <f t="shared" si="31"/>
        <v>786</v>
      </c>
      <c r="D257" s="98">
        <f t="shared" si="32"/>
        <v>40</v>
      </c>
      <c r="E257" s="98">
        <f t="shared" si="33"/>
        <v>8</v>
      </c>
      <c r="F257" s="98">
        <v>0.5</v>
      </c>
      <c r="G257" s="98">
        <f t="shared" si="40"/>
        <v>5</v>
      </c>
      <c r="H257" s="98">
        <f t="shared" si="37"/>
        <v>2</v>
      </c>
      <c r="I257" s="98">
        <f t="shared" si="38"/>
        <v>1</v>
      </c>
      <c r="J257" s="98">
        <f t="shared" si="39"/>
        <v>0</v>
      </c>
      <c r="K257" s="126">
        <f t="shared" si="34"/>
        <v>159.3</v>
      </c>
      <c r="L257" s="148">
        <f t="shared" si="35"/>
        <v>7.965</v>
      </c>
      <c r="M257" s="149">
        <f t="shared" si="36"/>
        <v>600</v>
      </c>
      <c r="O257" s="141"/>
      <c r="P257" s="142"/>
      <c r="AV257" s="141"/>
      <c r="AW257" s="141"/>
      <c r="AY257"/>
      <c r="AZ257"/>
      <c r="BA257"/>
      <c r="BB257"/>
    </row>
    <row r="258" spans="2:54">
      <c r="B258" s="98">
        <v>255</v>
      </c>
      <c r="C258" s="126">
        <f t="shared" si="31"/>
        <v>788</v>
      </c>
      <c r="D258" s="98">
        <f t="shared" si="32"/>
        <v>40</v>
      </c>
      <c r="E258" s="98">
        <f t="shared" si="33"/>
        <v>8</v>
      </c>
      <c r="F258" s="98">
        <v>0.5</v>
      </c>
      <c r="G258" s="98">
        <f t="shared" si="40"/>
        <v>5</v>
      </c>
      <c r="H258" s="98">
        <f t="shared" si="37"/>
        <v>2</v>
      </c>
      <c r="I258" s="98">
        <f t="shared" si="38"/>
        <v>1</v>
      </c>
      <c r="J258" s="98">
        <f t="shared" si="39"/>
        <v>0</v>
      </c>
      <c r="K258" s="126">
        <f t="shared" si="34"/>
        <v>159.4</v>
      </c>
      <c r="L258" s="148">
        <f t="shared" si="35"/>
        <v>7.97</v>
      </c>
      <c r="M258" s="149">
        <f t="shared" si="36"/>
        <v>600</v>
      </c>
      <c r="O258" s="141"/>
      <c r="P258" s="142"/>
      <c r="AV258" s="141"/>
      <c r="AW258" s="141"/>
      <c r="AY258"/>
      <c r="AZ258"/>
      <c r="BA258"/>
      <c r="BB258"/>
    </row>
    <row r="259" spans="2:54">
      <c r="B259" s="98">
        <v>256</v>
      </c>
      <c r="C259" s="126">
        <f t="shared" si="31"/>
        <v>790</v>
      </c>
      <c r="D259" s="98">
        <f t="shared" si="32"/>
        <v>40</v>
      </c>
      <c r="E259" s="98">
        <f t="shared" si="33"/>
        <v>8</v>
      </c>
      <c r="F259" s="98">
        <v>0.5</v>
      </c>
      <c r="G259" s="98">
        <f t="shared" si="40"/>
        <v>5</v>
      </c>
      <c r="H259" s="98">
        <f t="shared" si="37"/>
        <v>2</v>
      </c>
      <c r="I259" s="98">
        <f t="shared" si="38"/>
        <v>1</v>
      </c>
      <c r="J259" s="98">
        <f t="shared" si="39"/>
        <v>0</v>
      </c>
      <c r="K259" s="126">
        <f t="shared" si="34"/>
        <v>159.5</v>
      </c>
      <c r="L259" s="148">
        <f t="shared" si="35"/>
        <v>7.975</v>
      </c>
      <c r="M259" s="149">
        <f t="shared" si="36"/>
        <v>600</v>
      </c>
      <c r="O259" s="141"/>
      <c r="P259" s="142"/>
      <c r="AV259" s="141"/>
      <c r="AW259" s="141"/>
      <c r="AY259"/>
      <c r="AZ259"/>
      <c r="BA259"/>
      <c r="BB259"/>
    </row>
    <row r="260" spans="2:54">
      <c r="B260" s="98">
        <v>257</v>
      </c>
      <c r="C260" s="126">
        <f t="shared" si="31"/>
        <v>792</v>
      </c>
      <c r="D260" s="98">
        <f t="shared" si="32"/>
        <v>40</v>
      </c>
      <c r="E260" s="98">
        <f t="shared" si="33"/>
        <v>8</v>
      </c>
      <c r="F260" s="98">
        <v>0.5</v>
      </c>
      <c r="G260" s="98">
        <f t="shared" si="40"/>
        <v>5</v>
      </c>
      <c r="H260" s="98">
        <f t="shared" si="37"/>
        <v>2</v>
      </c>
      <c r="I260" s="98">
        <f t="shared" si="38"/>
        <v>1</v>
      </c>
      <c r="J260" s="98">
        <f t="shared" si="39"/>
        <v>0</v>
      </c>
      <c r="K260" s="126">
        <f t="shared" si="34"/>
        <v>159.6</v>
      </c>
      <c r="L260" s="148">
        <f t="shared" si="35"/>
        <v>7.98</v>
      </c>
      <c r="M260" s="149">
        <f t="shared" si="36"/>
        <v>600</v>
      </c>
      <c r="O260" s="141"/>
      <c r="P260" s="142"/>
      <c r="AV260" s="141"/>
      <c r="AW260" s="141"/>
      <c r="AY260"/>
      <c r="AZ260"/>
      <c r="BA260"/>
      <c r="BB260"/>
    </row>
    <row r="261" spans="2:54">
      <c r="B261" s="98">
        <v>258</v>
      </c>
      <c r="C261" s="126">
        <f t="shared" ref="C261:C303" si="41">(C570+D570)</f>
        <v>794</v>
      </c>
      <c r="D261" s="98">
        <f t="shared" ref="D261:D303" si="42">E570+F570</f>
        <v>40</v>
      </c>
      <c r="E261" s="98">
        <f t="shared" ref="E261:E303" si="43">G570+H570</f>
        <v>8</v>
      </c>
      <c r="F261" s="98">
        <v>0.5</v>
      </c>
      <c r="G261" s="98">
        <f t="shared" si="40"/>
        <v>5</v>
      </c>
      <c r="H261" s="98">
        <f t="shared" si="37"/>
        <v>2</v>
      </c>
      <c r="I261" s="98">
        <f t="shared" si="38"/>
        <v>1</v>
      </c>
      <c r="J261" s="98">
        <f t="shared" si="39"/>
        <v>0</v>
      </c>
      <c r="K261" s="126">
        <f t="shared" ref="K261:K303" si="44">P570</f>
        <v>159.7</v>
      </c>
      <c r="L261" s="148">
        <f t="shared" ref="L261:L303" si="45">Q570</f>
        <v>7.985</v>
      </c>
      <c r="M261" s="149">
        <f t="shared" ref="M261:M303" si="46">IFERROR(--R570,0)</f>
        <v>600</v>
      </c>
      <c r="O261" s="141"/>
      <c r="P261" s="142"/>
      <c r="AV261" s="141"/>
      <c r="AW261" s="141"/>
      <c r="AY261"/>
      <c r="AZ261"/>
      <c r="BA261"/>
      <c r="BB261"/>
    </row>
    <row r="262" spans="2:54">
      <c r="B262" s="98">
        <v>259</v>
      </c>
      <c r="C262" s="126">
        <f t="shared" si="41"/>
        <v>796</v>
      </c>
      <c r="D262" s="98">
        <f t="shared" si="42"/>
        <v>40</v>
      </c>
      <c r="E262" s="98">
        <f t="shared" si="43"/>
        <v>8</v>
      </c>
      <c r="F262" s="98">
        <v>0.5</v>
      </c>
      <c r="G262" s="98">
        <f t="shared" si="40"/>
        <v>5</v>
      </c>
      <c r="H262" s="98">
        <f t="shared" si="37"/>
        <v>2</v>
      </c>
      <c r="I262" s="98">
        <f t="shared" si="38"/>
        <v>1</v>
      </c>
      <c r="J262" s="98">
        <f t="shared" si="39"/>
        <v>0</v>
      </c>
      <c r="K262" s="126">
        <f t="shared" si="44"/>
        <v>159.8</v>
      </c>
      <c r="L262" s="148">
        <f t="shared" si="45"/>
        <v>7.99</v>
      </c>
      <c r="M262" s="149">
        <f t="shared" si="46"/>
        <v>600</v>
      </c>
      <c r="O262" s="141"/>
      <c r="P262" s="142"/>
      <c r="AV262" s="141"/>
      <c r="AW262" s="141"/>
      <c r="AY262"/>
      <c r="AZ262"/>
      <c r="BA262"/>
      <c r="BB262"/>
    </row>
    <row r="263" spans="2:54">
      <c r="B263" s="98">
        <v>260</v>
      </c>
      <c r="C263" s="126">
        <f t="shared" si="41"/>
        <v>798</v>
      </c>
      <c r="D263" s="98">
        <f t="shared" si="42"/>
        <v>40</v>
      </c>
      <c r="E263" s="98">
        <f t="shared" si="43"/>
        <v>8</v>
      </c>
      <c r="F263" s="98">
        <v>0.5</v>
      </c>
      <c r="G263" s="98">
        <f t="shared" si="40"/>
        <v>5</v>
      </c>
      <c r="H263" s="98">
        <f t="shared" si="37"/>
        <v>2</v>
      </c>
      <c r="I263" s="98">
        <f t="shared" si="38"/>
        <v>1</v>
      </c>
      <c r="J263" s="98">
        <f t="shared" si="39"/>
        <v>0</v>
      </c>
      <c r="K263" s="126">
        <f t="shared" si="44"/>
        <v>159.9</v>
      </c>
      <c r="L263" s="148">
        <f t="shared" si="45"/>
        <v>7.995</v>
      </c>
      <c r="M263" s="149">
        <f t="shared" si="46"/>
        <v>600</v>
      </c>
      <c r="O263" s="141"/>
      <c r="P263" s="142"/>
      <c r="AV263" s="141"/>
      <c r="AW263" s="141"/>
      <c r="AY263"/>
      <c r="AZ263"/>
      <c r="BA263"/>
      <c r="BB263"/>
    </row>
    <row r="264" spans="2:54">
      <c r="B264" s="98">
        <v>261</v>
      </c>
      <c r="C264" s="126">
        <f t="shared" si="41"/>
        <v>800</v>
      </c>
      <c r="D264" s="98">
        <f t="shared" si="42"/>
        <v>40</v>
      </c>
      <c r="E264" s="98">
        <f t="shared" si="43"/>
        <v>8</v>
      </c>
      <c r="F264" s="98">
        <v>0.5</v>
      </c>
      <c r="G264" s="98">
        <f t="shared" si="40"/>
        <v>5</v>
      </c>
      <c r="H264" s="98">
        <f t="shared" ref="H264:H303" si="47">L573</f>
        <v>2</v>
      </c>
      <c r="I264" s="98">
        <f t="shared" si="38"/>
        <v>1</v>
      </c>
      <c r="J264" s="98">
        <f t="shared" si="39"/>
        <v>0</v>
      </c>
      <c r="K264" s="126">
        <f t="shared" si="44"/>
        <v>160</v>
      </c>
      <c r="L264" s="148">
        <f t="shared" si="45"/>
        <v>8</v>
      </c>
      <c r="M264" s="149">
        <f t="shared" si="46"/>
        <v>600</v>
      </c>
      <c r="O264" s="141"/>
      <c r="P264" s="142"/>
      <c r="AV264" s="141"/>
      <c r="AW264" s="141"/>
      <c r="AY264"/>
      <c r="AZ264"/>
      <c r="BA264"/>
      <c r="BB264"/>
    </row>
    <row r="265" spans="2:54">
      <c r="B265" s="98">
        <v>262</v>
      </c>
      <c r="C265" s="126">
        <f t="shared" si="41"/>
        <v>802</v>
      </c>
      <c r="D265" s="98">
        <f t="shared" si="42"/>
        <v>40</v>
      </c>
      <c r="E265" s="98">
        <f t="shared" si="43"/>
        <v>8</v>
      </c>
      <c r="F265" s="98">
        <v>0.5</v>
      </c>
      <c r="G265" s="98">
        <f t="shared" si="40"/>
        <v>5</v>
      </c>
      <c r="H265" s="98">
        <f t="shared" si="47"/>
        <v>2</v>
      </c>
      <c r="I265" s="98">
        <f t="shared" ref="I265:I303" si="48">M574</f>
        <v>1</v>
      </c>
      <c r="J265" s="98">
        <f t="shared" ref="J265:J303" si="49">N574</f>
        <v>0</v>
      </c>
      <c r="K265" s="126">
        <f t="shared" si="44"/>
        <v>160.1</v>
      </c>
      <c r="L265" s="148">
        <f t="shared" si="45"/>
        <v>8.005</v>
      </c>
      <c r="M265" s="149">
        <f t="shared" si="46"/>
        <v>600</v>
      </c>
      <c r="O265" s="141"/>
      <c r="P265" s="142"/>
      <c r="AV265" s="141"/>
      <c r="AW265" s="141"/>
      <c r="AY265"/>
      <c r="AZ265"/>
      <c r="BA265"/>
      <c r="BB265"/>
    </row>
    <row r="266" spans="2:54">
      <c r="B266" s="98">
        <v>263</v>
      </c>
      <c r="C266" s="126">
        <f t="shared" si="41"/>
        <v>804</v>
      </c>
      <c r="D266" s="98">
        <f t="shared" si="42"/>
        <v>40</v>
      </c>
      <c r="E266" s="98">
        <f t="shared" si="43"/>
        <v>8</v>
      </c>
      <c r="F266" s="98">
        <v>0.5</v>
      </c>
      <c r="G266" s="98">
        <f t="shared" si="40"/>
        <v>5</v>
      </c>
      <c r="H266" s="98">
        <f t="shared" si="47"/>
        <v>2</v>
      </c>
      <c r="I266" s="98">
        <f t="shared" si="48"/>
        <v>1</v>
      </c>
      <c r="J266" s="98">
        <f t="shared" si="49"/>
        <v>0</v>
      </c>
      <c r="K266" s="126">
        <f t="shared" si="44"/>
        <v>160.2</v>
      </c>
      <c r="L266" s="148">
        <f t="shared" si="45"/>
        <v>8.01</v>
      </c>
      <c r="M266" s="149">
        <f t="shared" si="46"/>
        <v>600</v>
      </c>
      <c r="O266" s="141"/>
      <c r="P266" s="142"/>
      <c r="AV266" s="141"/>
      <c r="AW266" s="141"/>
      <c r="AY266"/>
      <c r="AZ266"/>
      <c r="BA266"/>
      <c r="BB266"/>
    </row>
    <row r="267" spans="2:54">
      <c r="B267" s="98">
        <v>264</v>
      </c>
      <c r="C267" s="126">
        <f t="shared" si="41"/>
        <v>806</v>
      </c>
      <c r="D267" s="98">
        <f t="shared" si="42"/>
        <v>40</v>
      </c>
      <c r="E267" s="98">
        <f t="shared" si="43"/>
        <v>8</v>
      </c>
      <c r="F267" s="98">
        <v>0.5</v>
      </c>
      <c r="G267" s="98">
        <f t="shared" si="40"/>
        <v>5</v>
      </c>
      <c r="H267" s="98">
        <f t="shared" si="47"/>
        <v>2</v>
      </c>
      <c r="I267" s="98">
        <f t="shared" si="48"/>
        <v>1</v>
      </c>
      <c r="J267" s="98">
        <f t="shared" si="49"/>
        <v>0</v>
      </c>
      <c r="K267" s="126">
        <f t="shared" si="44"/>
        <v>160.3</v>
      </c>
      <c r="L267" s="148">
        <f t="shared" si="45"/>
        <v>8.015</v>
      </c>
      <c r="M267" s="149">
        <f t="shared" si="46"/>
        <v>600</v>
      </c>
      <c r="O267" s="141"/>
      <c r="P267" s="142"/>
      <c r="AV267" s="141"/>
      <c r="AW267" s="141"/>
      <c r="AY267"/>
      <c r="AZ267"/>
      <c r="BA267"/>
      <c r="BB267"/>
    </row>
    <row r="268" spans="2:54">
      <c r="B268" s="98">
        <v>265</v>
      </c>
      <c r="C268" s="126">
        <f t="shared" si="41"/>
        <v>808</v>
      </c>
      <c r="D268" s="98">
        <f t="shared" si="42"/>
        <v>40</v>
      </c>
      <c r="E268" s="98">
        <f t="shared" si="43"/>
        <v>8</v>
      </c>
      <c r="F268" s="98">
        <v>0.5</v>
      </c>
      <c r="G268" s="98">
        <f t="shared" si="40"/>
        <v>5</v>
      </c>
      <c r="H268" s="98">
        <f t="shared" si="47"/>
        <v>2</v>
      </c>
      <c r="I268" s="98">
        <f t="shared" si="48"/>
        <v>1</v>
      </c>
      <c r="J268" s="98">
        <f t="shared" si="49"/>
        <v>0</v>
      </c>
      <c r="K268" s="126">
        <f t="shared" si="44"/>
        <v>160.4</v>
      </c>
      <c r="L268" s="148">
        <f t="shared" si="45"/>
        <v>8.02</v>
      </c>
      <c r="M268" s="149">
        <f t="shared" si="46"/>
        <v>600</v>
      </c>
      <c r="O268" s="141"/>
      <c r="P268" s="142"/>
      <c r="AV268" s="141"/>
      <c r="AW268" s="141"/>
      <c r="AY268"/>
      <c r="AZ268"/>
      <c r="BA268"/>
      <c r="BB268"/>
    </row>
    <row r="269" spans="2:54">
      <c r="B269" s="98">
        <v>266</v>
      </c>
      <c r="C269" s="126">
        <f t="shared" si="41"/>
        <v>810</v>
      </c>
      <c r="D269" s="98">
        <f t="shared" si="42"/>
        <v>40</v>
      </c>
      <c r="E269" s="98">
        <f t="shared" si="43"/>
        <v>8</v>
      </c>
      <c r="F269" s="98">
        <v>0.5</v>
      </c>
      <c r="G269" s="98">
        <f t="shared" si="40"/>
        <v>5</v>
      </c>
      <c r="H269" s="98">
        <f t="shared" si="47"/>
        <v>2</v>
      </c>
      <c r="I269" s="98">
        <f t="shared" si="48"/>
        <v>1</v>
      </c>
      <c r="J269" s="98">
        <f t="shared" si="49"/>
        <v>0</v>
      </c>
      <c r="K269" s="126">
        <f t="shared" si="44"/>
        <v>160.5</v>
      </c>
      <c r="L269" s="148">
        <f t="shared" si="45"/>
        <v>8.025</v>
      </c>
      <c r="M269" s="149">
        <f t="shared" si="46"/>
        <v>600</v>
      </c>
      <c r="O269" s="141"/>
      <c r="P269" s="142"/>
      <c r="AV269" s="141"/>
      <c r="AW269" s="141"/>
      <c r="AY269"/>
      <c r="AZ269"/>
      <c r="BA269"/>
      <c r="BB269"/>
    </row>
    <row r="270" spans="2:54">
      <c r="B270" s="98">
        <v>267</v>
      </c>
      <c r="C270" s="126">
        <f t="shared" si="41"/>
        <v>812</v>
      </c>
      <c r="D270" s="98">
        <f t="shared" si="42"/>
        <v>40</v>
      </c>
      <c r="E270" s="98">
        <f t="shared" si="43"/>
        <v>8</v>
      </c>
      <c r="F270" s="98">
        <v>0.5</v>
      </c>
      <c r="G270" s="98">
        <f t="shared" ref="G270:G303" si="50">J579+K579</f>
        <v>5</v>
      </c>
      <c r="H270" s="98">
        <f t="shared" si="47"/>
        <v>2</v>
      </c>
      <c r="I270" s="98">
        <f t="shared" si="48"/>
        <v>1</v>
      </c>
      <c r="J270" s="98">
        <f t="shared" si="49"/>
        <v>0</v>
      </c>
      <c r="K270" s="126">
        <f t="shared" si="44"/>
        <v>160.6</v>
      </c>
      <c r="L270" s="148">
        <f t="shared" si="45"/>
        <v>8.03</v>
      </c>
      <c r="M270" s="149">
        <f t="shared" si="46"/>
        <v>600</v>
      </c>
      <c r="O270" s="141"/>
      <c r="P270" s="142"/>
      <c r="AV270" s="141"/>
      <c r="AW270" s="141"/>
      <c r="AY270"/>
      <c r="AZ270"/>
      <c r="BA270"/>
      <c r="BB270"/>
    </row>
    <row r="271" spans="2:54">
      <c r="B271" s="98">
        <v>268</v>
      </c>
      <c r="C271" s="126">
        <f t="shared" si="41"/>
        <v>814</v>
      </c>
      <c r="D271" s="98">
        <f t="shared" si="42"/>
        <v>40</v>
      </c>
      <c r="E271" s="98">
        <f t="shared" si="43"/>
        <v>8</v>
      </c>
      <c r="F271" s="98">
        <v>0.5</v>
      </c>
      <c r="G271" s="98">
        <f t="shared" si="50"/>
        <v>5</v>
      </c>
      <c r="H271" s="98">
        <f t="shared" si="47"/>
        <v>2</v>
      </c>
      <c r="I271" s="98">
        <f t="shared" si="48"/>
        <v>1</v>
      </c>
      <c r="J271" s="98">
        <f t="shared" si="49"/>
        <v>0</v>
      </c>
      <c r="K271" s="126">
        <f t="shared" si="44"/>
        <v>160.7</v>
      </c>
      <c r="L271" s="148">
        <f t="shared" si="45"/>
        <v>8.035</v>
      </c>
      <c r="M271" s="149">
        <f t="shared" si="46"/>
        <v>600</v>
      </c>
      <c r="O271" s="141"/>
      <c r="P271" s="142"/>
      <c r="AV271" s="141"/>
      <c r="AW271" s="141"/>
      <c r="AY271"/>
      <c r="AZ271"/>
      <c r="BA271"/>
      <c r="BB271"/>
    </row>
    <row r="272" spans="2:54">
      <c r="B272" s="98">
        <v>269</v>
      </c>
      <c r="C272" s="126">
        <f t="shared" si="41"/>
        <v>816</v>
      </c>
      <c r="D272" s="98">
        <f t="shared" si="42"/>
        <v>40</v>
      </c>
      <c r="E272" s="98">
        <f t="shared" si="43"/>
        <v>8</v>
      </c>
      <c r="F272" s="98">
        <v>0.5</v>
      </c>
      <c r="G272" s="98">
        <f t="shared" si="50"/>
        <v>5</v>
      </c>
      <c r="H272" s="98">
        <f t="shared" si="47"/>
        <v>2</v>
      </c>
      <c r="I272" s="98">
        <f t="shared" si="48"/>
        <v>1</v>
      </c>
      <c r="J272" s="98">
        <f t="shared" si="49"/>
        <v>0</v>
      </c>
      <c r="K272" s="126">
        <f t="shared" si="44"/>
        <v>160.8</v>
      </c>
      <c r="L272" s="148">
        <f t="shared" si="45"/>
        <v>8.04</v>
      </c>
      <c r="M272" s="149">
        <f t="shared" si="46"/>
        <v>600</v>
      </c>
      <c r="O272" s="141"/>
      <c r="P272" s="142"/>
      <c r="AV272" s="141"/>
      <c r="AW272" s="141"/>
      <c r="AY272"/>
      <c r="AZ272"/>
      <c r="BA272"/>
      <c r="BB272"/>
    </row>
    <row r="273" spans="2:54">
      <c r="B273" s="98">
        <v>270</v>
      </c>
      <c r="C273" s="126">
        <f t="shared" si="41"/>
        <v>818</v>
      </c>
      <c r="D273" s="98">
        <f t="shared" si="42"/>
        <v>40</v>
      </c>
      <c r="E273" s="98">
        <f t="shared" si="43"/>
        <v>8</v>
      </c>
      <c r="F273" s="98">
        <v>0.5</v>
      </c>
      <c r="G273" s="98">
        <f t="shared" si="50"/>
        <v>5</v>
      </c>
      <c r="H273" s="98">
        <f t="shared" si="47"/>
        <v>2</v>
      </c>
      <c r="I273" s="98">
        <f t="shared" si="48"/>
        <v>1</v>
      </c>
      <c r="J273" s="98">
        <f t="shared" si="49"/>
        <v>0</v>
      </c>
      <c r="K273" s="126">
        <f t="shared" si="44"/>
        <v>160.9</v>
      </c>
      <c r="L273" s="148">
        <f t="shared" si="45"/>
        <v>8.045</v>
      </c>
      <c r="M273" s="149">
        <f t="shared" si="46"/>
        <v>600</v>
      </c>
      <c r="O273" s="141"/>
      <c r="P273" s="142"/>
      <c r="AV273" s="141"/>
      <c r="AW273" s="141"/>
      <c r="AY273"/>
      <c r="AZ273"/>
      <c r="BA273"/>
      <c r="BB273"/>
    </row>
    <row r="274" spans="2:54">
      <c r="B274" s="98">
        <v>271</v>
      </c>
      <c r="C274" s="126">
        <f t="shared" si="41"/>
        <v>820</v>
      </c>
      <c r="D274" s="98">
        <f t="shared" si="42"/>
        <v>40</v>
      </c>
      <c r="E274" s="98">
        <f t="shared" si="43"/>
        <v>8</v>
      </c>
      <c r="F274" s="98">
        <v>0.5</v>
      </c>
      <c r="G274" s="98">
        <f t="shared" si="50"/>
        <v>5</v>
      </c>
      <c r="H274" s="98">
        <f t="shared" si="47"/>
        <v>2</v>
      </c>
      <c r="I274" s="98">
        <f t="shared" si="48"/>
        <v>1</v>
      </c>
      <c r="J274" s="98">
        <f t="shared" si="49"/>
        <v>0</v>
      </c>
      <c r="K274" s="126">
        <f t="shared" si="44"/>
        <v>161</v>
      </c>
      <c r="L274" s="148">
        <f t="shared" si="45"/>
        <v>8.05</v>
      </c>
      <c r="M274" s="149">
        <f t="shared" si="46"/>
        <v>600</v>
      </c>
      <c r="O274" s="141"/>
      <c r="P274" s="142"/>
      <c r="AV274" s="141"/>
      <c r="AW274" s="141"/>
      <c r="AY274"/>
      <c r="AZ274"/>
      <c r="BA274"/>
      <c r="BB274"/>
    </row>
    <row r="275" spans="2:54">
      <c r="B275" s="98">
        <v>272</v>
      </c>
      <c r="C275" s="126">
        <f t="shared" si="41"/>
        <v>822</v>
      </c>
      <c r="D275" s="98">
        <f t="shared" si="42"/>
        <v>40</v>
      </c>
      <c r="E275" s="98">
        <f t="shared" si="43"/>
        <v>8</v>
      </c>
      <c r="F275" s="98">
        <v>0.5</v>
      </c>
      <c r="G275" s="98">
        <f t="shared" si="50"/>
        <v>5</v>
      </c>
      <c r="H275" s="98">
        <f t="shared" si="47"/>
        <v>2</v>
      </c>
      <c r="I275" s="98">
        <f t="shared" si="48"/>
        <v>1</v>
      </c>
      <c r="J275" s="98">
        <f t="shared" si="49"/>
        <v>0</v>
      </c>
      <c r="K275" s="126">
        <f t="shared" si="44"/>
        <v>161.1</v>
      </c>
      <c r="L275" s="148">
        <f t="shared" si="45"/>
        <v>8.055</v>
      </c>
      <c r="M275" s="149">
        <f t="shared" si="46"/>
        <v>600</v>
      </c>
      <c r="O275" s="141"/>
      <c r="P275" s="142"/>
      <c r="AV275" s="141"/>
      <c r="AW275" s="141"/>
      <c r="AY275"/>
      <c r="AZ275"/>
      <c r="BA275"/>
      <c r="BB275"/>
    </row>
    <row r="276" spans="2:54">
      <c r="B276" s="98">
        <v>273</v>
      </c>
      <c r="C276" s="126">
        <f t="shared" si="41"/>
        <v>824</v>
      </c>
      <c r="D276" s="98">
        <f t="shared" si="42"/>
        <v>40</v>
      </c>
      <c r="E276" s="98">
        <f t="shared" si="43"/>
        <v>8</v>
      </c>
      <c r="F276" s="98">
        <v>0.5</v>
      </c>
      <c r="G276" s="98">
        <f t="shared" si="50"/>
        <v>5</v>
      </c>
      <c r="H276" s="98">
        <f t="shared" si="47"/>
        <v>2</v>
      </c>
      <c r="I276" s="98">
        <f t="shared" si="48"/>
        <v>1</v>
      </c>
      <c r="J276" s="98">
        <f t="shared" si="49"/>
        <v>0</v>
      </c>
      <c r="K276" s="126">
        <f t="shared" si="44"/>
        <v>161.2</v>
      </c>
      <c r="L276" s="148">
        <f t="shared" si="45"/>
        <v>8.06</v>
      </c>
      <c r="M276" s="149">
        <f t="shared" si="46"/>
        <v>600</v>
      </c>
      <c r="O276" s="141"/>
      <c r="P276" s="142"/>
      <c r="AV276" s="141"/>
      <c r="AW276" s="141"/>
      <c r="AY276"/>
      <c r="AZ276"/>
      <c r="BA276"/>
      <c r="BB276"/>
    </row>
    <row r="277" spans="2:54">
      <c r="B277" s="98">
        <v>274</v>
      </c>
      <c r="C277" s="126">
        <f t="shared" si="41"/>
        <v>826</v>
      </c>
      <c r="D277" s="98">
        <f t="shared" si="42"/>
        <v>40</v>
      </c>
      <c r="E277" s="98">
        <f t="shared" si="43"/>
        <v>8</v>
      </c>
      <c r="F277" s="98">
        <v>0.5</v>
      </c>
      <c r="G277" s="98">
        <f t="shared" si="50"/>
        <v>5</v>
      </c>
      <c r="H277" s="98">
        <f t="shared" si="47"/>
        <v>2</v>
      </c>
      <c r="I277" s="98">
        <f t="shared" si="48"/>
        <v>1</v>
      </c>
      <c r="J277" s="98">
        <f t="shared" si="49"/>
        <v>0</v>
      </c>
      <c r="K277" s="126">
        <f t="shared" si="44"/>
        <v>161.3</v>
      </c>
      <c r="L277" s="148">
        <f t="shared" si="45"/>
        <v>8.065</v>
      </c>
      <c r="M277" s="149">
        <f t="shared" si="46"/>
        <v>600</v>
      </c>
      <c r="O277" s="141"/>
      <c r="P277" s="142"/>
      <c r="AV277" s="141"/>
      <c r="AW277" s="141"/>
      <c r="AY277"/>
      <c r="AZ277"/>
      <c r="BA277"/>
      <c r="BB277"/>
    </row>
    <row r="278" spans="2:54">
      <c r="B278" s="98">
        <v>275</v>
      </c>
      <c r="C278" s="126">
        <f t="shared" si="41"/>
        <v>828</v>
      </c>
      <c r="D278" s="98">
        <f t="shared" si="42"/>
        <v>40</v>
      </c>
      <c r="E278" s="98">
        <f t="shared" si="43"/>
        <v>8</v>
      </c>
      <c r="F278" s="98">
        <v>0.5</v>
      </c>
      <c r="G278" s="98">
        <f t="shared" si="50"/>
        <v>5</v>
      </c>
      <c r="H278" s="98">
        <f t="shared" si="47"/>
        <v>2</v>
      </c>
      <c r="I278" s="98">
        <f t="shared" si="48"/>
        <v>1</v>
      </c>
      <c r="J278" s="98">
        <f t="shared" si="49"/>
        <v>0</v>
      </c>
      <c r="K278" s="126">
        <f t="shared" si="44"/>
        <v>161.4</v>
      </c>
      <c r="L278" s="148">
        <f t="shared" si="45"/>
        <v>8.07</v>
      </c>
      <c r="M278" s="149">
        <f t="shared" si="46"/>
        <v>600</v>
      </c>
      <c r="O278" s="141"/>
      <c r="P278" s="142"/>
      <c r="AV278" s="141"/>
      <c r="AW278" s="141"/>
      <c r="AY278"/>
      <c r="AZ278"/>
      <c r="BA278"/>
      <c r="BB278"/>
    </row>
    <row r="279" spans="2:54">
      <c r="B279" s="98">
        <v>276</v>
      </c>
      <c r="C279" s="126">
        <f t="shared" si="41"/>
        <v>830</v>
      </c>
      <c r="D279" s="98">
        <f t="shared" si="42"/>
        <v>40</v>
      </c>
      <c r="E279" s="98">
        <f t="shared" si="43"/>
        <v>8</v>
      </c>
      <c r="F279" s="98">
        <v>0.5</v>
      </c>
      <c r="G279" s="98">
        <f t="shared" si="50"/>
        <v>5</v>
      </c>
      <c r="H279" s="98">
        <f t="shared" si="47"/>
        <v>2</v>
      </c>
      <c r="I279" s="98">
        <f t="shared" si="48"/>
        <v>1</v>
      </c>
      <c r="J279" s="98">
        <f t="shared" si="49"/>
        <v>0</v>
      </c>
      <c r="K279" s="126">
        <f t="shared" si="44"/>
        <v>161.5</v>
      </c>
      <c r="L279" s="148">
        <f t="shared" si="45"/>
        <v>8.075</v>
      </c>
      <c r="M279" s="149">
        <f t="shared" si="46"/>
        <v>600</v>
      </c>
      <c r="O279" s="141"/>
      <c r="P279" s="142"/>
      <c r="AV279" s="141"/>
      <c r="AW279" s="141"/>
      <c r="AY279"/>
      <c r="AZ279"/>
      <c r="BA279"/>
      <c r="BB279"/>
    </row>
    <row r="280" spans="2:54">
      <c r="B280" s="98">
        <v>277</v>
      </c>
      <c r="C280" s="126">
        <f t="shared" si="41"/>
        <v>832</v>
      </c>
      <c r="D280" s="98">
        <f t="shared" si="42"/>
        <v>40</v>
      </c>
      <c r="E280" s="98">
        <f t="shared" si="43"/>
        <v>8</v>
      </c>
      <c r="F280" s="98">
        <v>0.5</v>
      </c>
      <c r="G280" s="98">
        <f t="shared" si="50"/>
        <v>5</v>
      </c>
      <c r="H280" s="98">
        <f t="shared" si="47"/>
        <v>2</v>
      </c>
      <c r="I280" s="98">
        <f t="shared" si="48"/>
        <v>1</v>
      </c>
      <c r="J280" s="98">
        <f t="shared" si="49"/>
        <v>0</v>
      </c>
      <c r="K280" s="126">
        <f t="shared" si="44"/>
        <v>161.6</v>
      </c>
      <c r="L280" s="148">
        <f t="shared" si="45"/>
        <v>8.08</v>
      </c>
      <c r="M280" s="149">
        <f t="shared" si="46"/>
        <v>600</v>
      </c>
      <c r="O280" s="141"/>
      <c r="P280" s="142"/>
      <c r="AV280" s="141"/>
      <c r="AW280" s="141"/>
      <c r="AY280"/>
      <c r="AZ280"/>
      <c r="BA280"/>
      <c r="BB280"/>
    </row>
    <row r="281" spans="2:54">
      <c r="B281" s="98">
        <v>278</v>
      </c>
      <c r="C281" s="126">
        <f t="shared" si="41"/>
        <v>834</v>
      </c>
      <c r="D281" s="98">
        <f t="shared" si="42"/>
        <v>40</v>
      </c>
      <c r="E281" s="98">
        <f t="shared" si="43"/>
        <v>8</v>
      </c>
      <c r="F281" s="98">
        <v>0.5</v>
      </c>
      <c r="G281" s="98">
        <f t="shared" si="50"/>
        <v>5</v>
      </c>
      <c r="H281" s="98">
        <f t="shared" si="47"/>
        <v>2</v>
      </c>
      <c r="I281" s="98">
        <f t="shared" si="48"/>
        <v>1</v>
      </c>
      <c r="J281" s="98">
        <f t="shared" si="49"/>
        <v>0</v>
      </c>
      <c r="K281" s="126">
        <f t="shared" si="44"/>
        <v>161.7</v>
      </c>
      <c r="L281" s="148">
        <f t="shared" si="45"/>
        <v>8.085</v>
      </c>
      <c r="M281" s="149">
        <f t="shared" si="46"/>
        <v>600</v>
      </c>
      <c r="O281" s="141"/>
      <c r="P281" s="142"/>
      <c r="AV281" s="141"/>
      <c r="AW281" s="141"/>
      <c r="AY281"/>
      <c r="AZ281"/>
      <c r="BA281"/>
      <c r="BB281"/>
    </row>
    <row r="282" spans="2:54">
      <c r="B282" s="98">
        <v>279</v>
      </c>
      <c r="C282" s="126">
        <f t="shared" si="41"/>
        <v>836</v>
      </c>
      <c r="D282" s="98">
        <f t="shared" si="42"/>
        <v>40</v>
      </c>
      <c r="E282" s="98">
        <f t="shared" si="43"/>
        <v>8</v>
      </c>
      <c r="F282" s="98">
        <v>0.5</v>
      </c>
      <c r="G282" s="98">
        <f t="shared" si="50"/>
        <v>5</v>
      </c>
      <c r="H282" s="98">
        <f t="shared" si="47"/>
        <v>2</v>
      </c>
      <c r="I282" s="98">
        <f t="shared" si="48"/>
        <v>1</v>
      </c>
      <c r="J282" s="98">
        <f t="shared" si="49"/>
        <v>0</v>
      </c>
      <c r="K282" s="126">
        <f t="shared" si="44"/>
        <v>161.8</v>
      </c>
      <c r="L282" s="148">
        <f t="shared" si="45"/>
        <v>8.09</v>
      </c>
      <c r="M282" s="149">
        <f t="shared" si="46"/>
        <v>600</v>
      </c>
      <c r="O282" s="141"/>
      <c r="P282" s="142"/>
      <c r="AV282" s="141"/>
      <c r="AW282" s="141"/>
      <c r="AY282"/>
      <c r="AZ282"/>
      <c r="BA282"/>
      <c r="BB282"/>
    </row>
    <row r="283" spans="2:54">
      <c r="B283" s="98">
        <v>280</v>
      </c>
      <c r="C283" s="126">
        <f t="shared" si="41"/>
        <v>838</v>
      </c>
      <c r="D283" s="98">
        <f t="shared" si="42"/>
        <v>40</v>
      </c>
      <c r="E283" s="98">
        <f t="shared" si="43"/>
        <v>8</v>
      </c>
      <c r="F283" s="98">
        <v>0.5</v>
      </c>
      <c r="G283" s="98">
        <f t="shared" si="50"/>
        <v>5</v>
      </c>
      <c r="H283" s="98">
        <f t="shared" si="47"/>
        <v>2</v>
      </c>
      <c r="I283" s="98">
        <f t="shared" si="48"/>
        <v>1</v>
      </c>
      <c r="J283" s="98">
        <f t="shared" si="49"/>
        <v>0</v>
      </c>
      <c r="K283" s="126">
        <f t="shared" si="44"/>
        <v>161.9</v>
      </c>
      <c r="L283" s="148">
        <f t="shared" si="45"/>
        <v>8.095</v>
      </c>
      <c r="M283" s="149">
        <f t="shared" si="46"/>
        <v>600</v>
      </c>
      <c r="O283" s="141"/>
      <c r="P283" s="142"/>
      <c r="AV283" s="141"/>
      <c r="AW283" s="141"/>
      <c r="AY283"/>
      <c r="AZ283"/>
      <c r="BA283"/>
      <c r="BB283"/>
    </row>
    <row r="284" spans="2:54">
      <c r="B284" s="98">
        <v>281</v>
      </c>
      <c r="C284" s="126">
        <f t="shared" si="41"/>
        <v>840</v>
      </c>
      <c r="D284" s="98">
        <f t="shared" si="42"/>
        <v>40</v>
      </c>
      <c r="E284" s="98">
        <f t="shared" si="43"/>
        <v>8</v>
      </c>
      <c r="F284" s="98">
        <v>0.5</v>
      </c>
      <c r="G284" s="98">
        <f t="shared" si="50"/>
        <v>5</v>
      </c>
      <c r="H284" s="98">
        <f t="shared" si="47"/>
        <v>2</v>
      </c>
      <c r="I284" s="98">
        <f t="shared" si="48"/>
        <v>1</v>
      </c>
      <c r="J284" s="98">
        <f t="shared" si="49"/>
        <v>0</v>
      </c>
      <c r="K284" s="126">
        <f t="shared" si="44"/>
        <v>162</v>
      </c>
      <c r="L284" s="148">
        <f t="shared" si="45"/>
        <v>8.1</v>
      </c>
      <c r="M284" s="149">
        <f t="shared" si="46"/>
        <v>600</v>
      </c>
      <c r="O284" s="141"/>
      <c r="P284" s="142"/>
      <c r="AV284" s="141"/>
      <c r="AW284" s="141"/>
      <c r="AY284"/>
      <c r="AZ284"/>
      <c r="BA284"/>
      <c r="BB284"/>
    </row>
    <row r="285" spans="2:54">
      <c r="B285" s="98">
        <v>282</v>
      </c>
      <c r="C285" s="126">
        <f t="shared" si="41"/>
        <v>842</v>
      </c>
      <c r="D285" s="98">
        <f t="shared" si="42"/>
        <v>40</v>
      </c>
      <c r="E285" s="98">
        <f t="shared" si="43"/>
        <v>8</v>
      </c>
      <c r="F285" s="98">
        <v>0.5</v>
      </c>
      <c r="G285" s="98">
        <f t="shared" si="50"/>
        <v>5</v>
      </c>
      <c r="H285" s="98">
        <f t="shared" si="47"/>
        <v>2</v>
      </c>
      <c r="I285" s="98">
        <f t="shared" si="48"/>
        <v>1</v>
      </c>
      <c r="J285" s="98">
        <f t="shared" si="49"/>
        <v>0</v>
      </c>
      <c r="K285" s="126">
        <f t="shared" si="44"/>
        <v>162.1</v>
      </c>
      <c r="L285" s="148">
        <f t="shared" si="45"/>
        <v>8.105</v>
      </c>
      <c r="M285" s="149">
        <f t="shared" si="46"/>
        <v>600</v>
      </c>
      <c r="O285" s="141"/>
      <c r="P285" s="142"/>
      <c r="AV285" s="141"/>
      <c r="AW285" s="141"/>
      <c r="AY285"/>
      <c r="AZ285"/>
      <c r="BA285"/>
      <c r="BB285"/>
    </row>
    <row r="286" spans="2:54">
      <c r="B286" s="98">
        <v>283</v>
      </c>
      <c r="C286" s="126">
        <f t="shared" si="41"/>
        <v>844</v>
      </c>
      <c r="D286" s="98">
        <f t="shared" si="42"/>
        <v>40</v>
      </c>
      <c r="E286" s="98">
        <f t="shared" si="43"/>
        <v>8</v>
      </c>
      <c r="F286" s="98">
        <v>0.5</v>
      </c>
      <c r="G286" s="98">
        <f t="shared" si="50"/>
        <v>5</v>
      </c>
      <c r="H286" s="98">
        <f t="shared" si="47"/>
        <v>2</v>
      </c>
      <c r="I286" s="98">
        <f t="shared" si="48"/>
        <v>1</v>
      </c>
      <c r="J286" s="98">
        <f t="shared" si="49"/>
        <v>0</v>
      </c>
      <c r="K286" s="126">
        <f t="shared" si="44"/>
        <v>162.2</v>
      </c>
      <c r="L286" s="148">
        <f t="shared" si="45"/>
        <v>8.11</v>
      </c>
      <c r="M286" s="149">
        <f t="shared" si="46"/>
        <v>600</v>
      </c>
      <c r="O286" s="141"/>
      <c r="P286" s="142"/>
      <c r="AV286" s="141"/>
      <c r="AW286" s="141"/>
      <c r="AY286"/>
      <c r="AZ286"/>
      <c r="BA286"/>
      <c r="BB286"/>
    </row>
    <row r="287" spans="2:54">
      <c r="B287" s="98">
        <v>284</v>
      </c>
      <c r="C287" s="126">
        <f t="shared" si="41"/>
        <v>846</v>
      </c>
      <c r="D287" s="98">
        <f t="shared" si="42"/>
        <v>40</v>
      </c>
      <c r="E287" s="98">
        <f t="shared" si="43"/>
        <v>8</v>
      </c>
      <c r="F287" s="98">
        <v>0.5</v>
      </c>
      <c r="G287" s="98">
        <f t="shared" si="50"/>
        <v>5</v>
      </c>
      <c r="H287" s="98">
        <f t="shared" si="47"/>
        <v>2</v>
      </c>
      <c r="I287" s="98">
        <f t="shared" si="48"/>
        <v>1</v>
      </c>
      <c r="J287" s="98">
        <f t="shared" si="49"/>
        <v>0</v>
      </c>
      <c r="K287" s="126">
        <f t="shared" si="44"/>
        <v>162.3</v>
      </c>
      <c r="L287" s="148">
        <f t="shared" si="45"/>
        <v>8.115</v>
      </c>
      <c r="M287" s="149">
        <f t="shared" si="46"/>
        <v>600</v>
      </c>
      <c r="O287" s="141"/>
      <c r="P287" s="142"/>
      <c r="AV287" s="141"/>
      <c r="AW287" s="141"/>
      <c r="AY287"/>
      <c r="AZ287"/>
      <c r="BA287"/>
      <c r="BB287"/>
    </row>
    <row r="288" spans="2:54">
      <c r="B288" s="98">
        <v>285</v>
      </c>
      <c r="C288" s="126">
        <f t="shared" si="41"/>
        <v>848</v>
      </c>
      <c r="D288" s="98">
        <f t="shared" si="42"/>
        <v>40</v>
      </c>
      <c r="E288" s="98">
        <f t="shared" si="43"/>
        <v>8</v>
      </c>
      <c r="F288" s="98">
        <v>0.5</v>
      </c>
      <c r="G288" s="98">
        <f t="shared" si="50"/>
        <v>5</v>
      </c>
      <c r="H288" s="98">
        <f t="shared" si="47"/>
        <v>2</v>
      </c>
      <c r="I288" s="98">
        <f t="shared" si="48"/>
        <v>1</v>
      </c>
      <c r="J288" s="98">
        <f t="shared" si="49"/>
        <v>0</v>
      </c>
      <c r="K288" s="126">
        <f t="shared" si="44"/>
        <v>162.4</v>
      </c>
      <c r="L288" s="148">
        <f t="shared" si="45"/>
        <v>8.12</v>
      </c>
      <c r="M288" s="149">
        <f t="shared" si="46"/>
        <v>600</v>
      </c>
      <c r="O288" s="141"/>
      <c r="P288" s="142"/>
      <c r="AV288" s="141"/>
      <c r="AW288" s="141"/>
      <c r="AY288"/>
      <c r="AZ288"/>
      <c r="BA288"/>
      <c r="BB288"/>
    </row>
    <row r="289" spans="2:54">
      <c r="B289" s="98">
        <v>286</v>
      </c>
      <c r="C289" s="126">
        <f t="shared" si="41"/>
        <v>850</v>
      </c>
      <c r="D289" s="98">
        <f t="shared" si="42"/>
        <v>40</v>
      </c>
      <c r="E289" s="98">
        <f t="shared" si="43"/>
        <v>8</v>
      </c>
      <c r="F289" s="98">
        <v>0.5</v>
      </c>
      <c r="G289" s="98">
        <f t="shared" si="50"/>
        <v>5</v>
      </c>
      <c r="H289" s="98">
        <f t="shared" si="47"/>
        <v>2</v>
      </c>
      <c r="I289" s="98">
        <f t="shared" si="48"/>
        <v>1</v>
      </c>
      <c r="J289" s="98">
        <f t="shared" si="49"/>
        <v>0</v>
      </c>
      <c r="K289" s="126">
        <f t="shared" si="44"/>
        <v>162.5</v>
      </c>
      <c r="L289" s="148">
        <f t="shared" si="45"/>
        <v>8.125</v>
      </c>
      <c r="M289" s="149">
        <f t="shared" si="46"/>
        <v>600</v>
      </c>
      <c r="O289" s="141"/>
      <c r="P289" s="142"/>
      <c r="AV289" s="141"/>
      <c r="AW289" s="141"/>
      <c r="AY289"/>
      <c r="AZ289"/>
      <c r="BA289"/>
      <c r="BB289"/>
    </row>
    <row r="290" spans="2:54">
      <c r="B290" s="98">
        <v>287</v>
      </c>
      <c r="C290" s="126">
        <f t="shared" si="41"/>
        <v>852</v>
      </c>
      <c r="D290" s="98">
        <f t="shared" si="42"/>
        <v>40</v>
      </c>
      <c r="E290" s="98">
        <f t="shared" si="43"/>
        <v>8</v>
      </c>
      <c r="F290" s="98">
        <v>0.5</v>
      </c>
      <c r="G290" s="98">
        <f t="shared" si="50"/>
        <v>5</v>
      </c>
      <c r="H290" s="98">
        <f t="shared" si="47"/>
        <v>2</v>
      </c>
      <c r="I290" s="98">
        <f t="shared" si="48"/>
        <v>1</v>
      </c>
      <c r="J290" s="98">
        <f t="shared" si="49"/>
        <v>0</v>
      </c>
      <c r="K290" s="126">
        <f t="shared" si="44"/>
        <v>162.6</v>
      </c>
      <c r="L290" s="148">
        <f t="shared" si="45"/>
        <v>8.13</v>
      </c>
      <c r="M290" s="149">
        <f t="shared" si="46"/>
        <v>600</v>
      </c>
      <c r="O290" s="141"/>
      <c r="P290" s="142"/>
      <c r="AV290" s="141"/>
      <c r="AW290" s="141"/>
      <c r="AY290"/>
      <c r="AZ290"/>
      <c r="BA290"/>
      <c r="BB290"/>
    </row>
    <row r="291" spans="2:54">
      <c r="B291" s="98">
        <v>288</v>
      </c>
      <c r="C291" s="126">
        <f t="shared" si="41"/>
        <v>854</v>
      </c>
      <c r="D291" s="98">
        <f t="shared" si="42"/>
        <v>40</v>
      </c>
      <c r="E291" s="98">
        <f t="shared" si="43"/>
        <v>8</v>
      </c>
      <c r="F291" s="98">
        <v>0.5</v>
      </c>
      <c r="G291" s="98">
        <f t="shared" si="50"/>
        <v>5</v>
      </c>
      <c r="H291" s="98">
        <f t="shared" si="47"/>
        <v>2</v>
      </c>
      <c r="I291" s="98">
        <f t="shared" si="48"/>
        <v>1</v>
      </c>
      <c r="J291" s="98">
        <f t="shared" si="49"/>
        <v>0</v>
      </c>
      <c r="K291" s="126">
        <f t="shared" si="44"/>
        <v>162.7</v>
      </c>
      <c r="L291" s="148">
        <f t="shared" si="45"/>
        <v>8.135</v>
      </c>
      <c r="M291" s="149">
        <f t="shared" si="46"/>
        <v>600</v>
      </c>
      <c r="O291" s="141"/>
      <c r="P291" s="142"/>
      <c r="AV291" s="141"/>
      <c r="AW291" s="141"/>
      <c r="AY291"/>
      <c r="AZ291"/>
      <c r="BA291"/>
      <c r="BB291"/>
    </row>
    <row r="292" spans="2:54">
      <c r="B292" s="98">
        <v>289</v>
      </c>
      <c r="C292" s="126">
        <f t="shared" si="41"/>
        <v>856</v>
      </c>
      <c r="D292" s="98">
        <f t="shared" si="42"/>
        <v>40</v>
      </c>
      <c r="E292" s="98">
        <f t="shared" si="43"/>
        <v>8</v>
      </c>
      <c r="F292" s="98">
        <v>0.5</v>
      </c>
      <c r="G292" s="98">
        <f t="shared" si="50"/>
        <v>5</v>
      </c>
      <c r="H292" s="98">
        <f t="shared" si="47"/>
        <v>2</v>
      </c>
      <c r="I292" s="98">
        <f t="shared" si="48"/>
        <v>1</v>
      </c>
      <c r="J292" s="98">
        <f t="shared" si="49"/>
        <v>0</v>
      </c>
      <c r="K292" s="126">
        <f t="shared" si="44"/>
        <v>162.8</v>
      </c>
      <c r="L292" s="148">
        <f t="shared" si="45"/>
        <v>8.14</v>
      </c>
      <c r="M292" s="149">
        <f t="shared" si="46"/>
        <v>600</v>
      </c>
      <c r="O292" s="141"/>
      <c r="P292" s="142"/>
      <c r="AV292" s="141"/>
      <c r="AW292" s="141"/>
      <c r="AY292"/>
      <c r="AZ292"/>
      <c r="BA292"/>
      <c r="BB292"/>
    </row>
    <row r="293" spans="2:54">
      <c r="B293" s="98">
        <v>290</v>
      </c>
      <c r="C293" s="126">
        <f t="shared" si="41"/>
        <v>858</v>
      </c>
      <c r="D293" s="98">
        <f t="shared" si="42"/>
        <v>40</v>
      </c>
      <c r="E293" s="98">
        <f t="shared" si="43"/>
        <v>8</v>
      </c>
      <c r="F293" s="98">
        <v>0.5</v>
      </c>
      <c r="G293" s="98">
        <f t="shared" si="50"/>
        <v>5</v>
      </c>
      <c r="H293" s="98">
        <f t="shared" si="47"/>
        <v>2</v>
      </c>
      <c r="I293" s="98">
        <f t="shared" si="48"/>
        <v>1</v>
      </c>
      <c r="J293" s="98">
        <f t="shared" si="49"/>
        <v>0</v>
      </c>
      <c r="K293" s="126">
        <f t="shared" si="44"/>
        <v>162.9</v>
      </c>
      <c r="L293" s="148">
        <f t="shared" si="45"/>
        <v>8.145</v>
      </c>
      <c r="M293" s="149">
        <f t="shared" si="46"/>
        <v>600</v>
      </c>
      <c r="O293" s="141"/>
      <c r="P293" s="142"/>
      <c r="AV293" s="141"/>
      <c r="AW293" s="141"/>
      <c r="AY293"/>
      <c r="AZ293"/>
      <c r="BA293"/>
      <c r="BB293"/>
    </row>
    <row r="294" spans="2:54">
      <c r="B294" s="98">
        <v>291</v>
      </c>
      <c r="C294" s="126">
        <f t="shared" si="41"/>
        <v>860</v>
      </c>
      <c r="D294" s="98">
        <f t="shared" si="42"/>
        <v>40</v>
      </c>
      <c r="E294" s="98">
        <f t="shared" si="43"/>
        <v>8</v>
      </c>
      <c r="F294" s="98">
        <v>0.5</v>
      </c>
      <c r="G294" s="98">
        <f t="shared" si="50"/>
        <v>5</v>
      </c>
      <c r="H294" s="98">
        <f t="shared" si="47"/>
        <v>2</v>
      </c>
      <c r="I294" s="98">
        <f t="shared" si="48"/>
        <v>1</v>
      </c>
      <c r="J294" s="98">
        <f t="shared" si="49"/>
        <v>0</v>
      </c>
      <c r="K294" s="126">
        <f t="shared" si="44"/>
        <v>163</v>
      </c>
      <c r="L294" s="148">
        <f t="shared" si="45"/>
        <v>8.15</v>
      </c>
      <c r="M294" s="149">
        <f t="shared" si="46"/>
        <v>600</v>
      </c>
      <c r="O294" s="141"/>
      <c r="P294" s="142"/>
      <c r="AV294" s="141"/>
      <c r="AW294" s="141"/>
      <c r="AY294"/>
      <c r="AZ294"/>
      <c r="BA294"/>
      <c r="BB294"/>
    </row>
    <row r="295" spans="2:54">
      <c r="B295" s="98">
        <v>292</v>
      </c>
      <c r="C295" s="126">
        <f t="shared" si="41"/>
        <v>862</v>
      </c>
      <c r="D295" s="98">
        <f t="shared" si="42"/>
        <v>40</v>
      </c>
      <c r="E295" s="98">
        <f t="shared" si="43"/>
        <v>8</v>
      </c>
      <c r="F295" s="98">
        <v>0.5</v>
      </c>
      <c r="G295" s="98">
        <f t="shared" si="50"/>
        <v>5</v>
      </c>
      <c r="H295" s="98">
        <f t="shared" si="47"/>
        <v>2</v>
      </c>
      <c r="I295" s="98">
        <f t="shared" si="48"/>
        <v>1</v>
      </c>
      <c r="J295" s="98">
        <f t="shared" si="49"/>
        <v>0</v>
      </c>
      <c r="K295" s="126">
        <f t="shared" si="44"/>
        <v>163.1</v>
      </c>
      <c r="L295" s="148">
        <f t="shared" si="45"/>
        <v>8.155</v>
      </c>
      <c r="M295" s="149">
        <f t="shared" si="46"/>
        <v>600</v>
      </c>
      <c r="O295" s="141"/>
      <c r="P295" s="142"/>
      <c r="AV295" s="141"/>
      <c r="AW295" s="141"/>
      <c r="AY295"/>
      <c r="AZ295"/>
      <c r="BA295"/>
      <c r="BB295"/>
    </row>
    <row r="296" spans="2:54">
      <c r="B296" s="98">
        <v>293</v>
      </c>
      <c r="C296" s="126">
        <f t="shared" si="41"/>
        <v>864</v>
      </c>
      <c r="D296" s="98">
        <f t="shared" si="42"/>
        <v>40</v>
      </c>
      <c r="E296" s="98">
        <f t="shared" si="43"/>
        <v>8</v>
      </c>
      <c r="F296" s="98">
        <v>0.5</v>
      </c>
      <c r="G296" s="98">
        <f t="shared" si="50"/>
        <v>5</v>
      </c>
      <c r="H296" s="98">
        <f t="shared" si="47"/>
        <v>2</v>
      </c>
      <c r="I296" s="98">
        <f t="shared" si="48"/>
        <v>1</v>
      </c>
      <c r="J296" s="98">
        <f t="shared" si="49"/>
        <v>0</v>
      </c>
      <c r="K296" s="126">
        <f t="shared" si="44"/>
        <v>163.2</v>
      </c>
      <c r="L296" s="148">
        <f t="shared" si="45"/>
        <v>8.16</v>
      </c>
      <c r="M296" s="149">
        <f t="shared" si="46"/>
        <v>600</v>
      </c>
      <c r="O296" s="141"/>
      <c r="P296" s="142"/>
      <c r="AV296" s="141"/>
      <c r="AW296" s="141"/>
      <c r="AY296"/>
      <c r="AZ296"/>
      <c r="BA296"/>
      <c r="BB296"/>
    </row>
    <row r="297" spans="2:54">
      <c r="B297" s="98">
        <v>294</v>
      </c>
      <c r="C297" s="126">
        <f t="shared" si="41"/>
        <v>866</v>
      </c>
      <c r="D297" s="98">
        <f t="shared" si="42"/>
        <v>40</v>
      </c>
      <c r="E297" s="98">
        <f t="shared" si="43"/>
        <v>8</v>
      </c>
      <c r="F297" s="98">
        <v>0.5</v>
      </c>
      <c r="G297" s="98">
        <f t="shared" si="50"/>
        <v>5</v>
      </c>
      <c r="H297" s="98">
        <f t="shared" si="47"/>
        <v>2</v>
      </c>
      <c r="I297" s="98">
        <f t="shared" si="48"/>
        <v>1</v>
      </c>
      <c r="J297" s="98">
        <f t="shared" si="49"/>
        <v>0</v>
      </c>
      <c r="K297" s="126">
        <f t="shared" si="44"/>
        <v>163.3</v>
      </c>
      <c r="L297" s="148">
        <f t="shared" si="45"/>
        <v>8.165</v>
      </c>
      <c r="M297" s="149">
        <f t="shared" si="46"/>
        <v>600</v>
      </c>
      <c r="O297" s="141"/>
      <c r="P297" s="142"/>
      <c r="AV297" s="141"/>
      <c r="AW297" s="141"/>
      <c r="AY297"/>
      <c r="AZ297"/>
      <c r="BA297"/>
      <c r="BB297"/>
    </row>
    <row r="298" spans="2:54">
      <c r="B298" s="98">
        <v>295</v>
      </c>
      <c r="C298" s="126">
        <f t="shared" si="41"/>
        <v>868</v>
      </c>
      <c r="D298" s="98">
        <f t="shared" si="42"/>
        <v>40</v>
      </c>
      <c r="E298" s="98">
        <f t="shared" si="43"/>
        <v>8</v>
      </c>
      <c r="F298" s="98">
        <v>0.5</v>
      </c>
      <c r="G298" s="98">
        <f t="shared" si="50"/>
        <v>5</v>
      </c>
      <c r="H298" s="98">
        <f t="shared" si="47"/>
        <v>2</v>
      </c>
      <c r="I298" s="98">
        <f t="shared" si="48"/>
        <v>1</v>
      </c>
      <c r="J298" s="98">
        <f t="shared" si="49"/>
        <v>0</v>
      </c>
      <c r="K298" s="126">
        <f t="shared" si="44"/>
        <v>163.4</v>
      </c>
      <c r="L298" s="148">
        <f t="shared" si="45"/>
        <v>8.17</v>
      </c>
      <c r="M298" s="149">
        <f t="shared" si="46"/>
        <v>600</v>
      </c>
      <c r="O298" s="141"/>
      <c r="P298" s="142"/>
      <c r="AV298" s="141"/>
      <c r="AW298" s="141"/>
      <c r="AY298"/>
      <c r="AZ298"/>
      <c r="BA298"/>
      <c r="BB298"/>
    </row>
    <row r="299" spans="2:54">
      <c r="B299" s="98">
        <v>296</v>
      </c>
      <c r="C299" s="126">
        <f t="shared" si="41"/>
        <v>870</v>
      </c>
      <c r="D299" s="98">
        <f t="shared" si="42"/>
        <v>40</v>
      </c>
      <c r="E299" s="98">
        <f t="shared" si="43"/>
        <v>8</v>
      </c>
      <c r="F299" s="98">
        <v>0.5</v>
      </c>
      <c r="G299" s="98">
        <f t="shared" si="50"/>
        <v>5</v>
      </c>
      <c r="H299" s="98">
        <f t="shared" si="47"/>
        <v>2</v>
      </c>
      <c r="I299" s="98">
        <f t="shared" si="48"/>
        <v>1</v>
      </c>
      <c r="J299" s="98">
        <f t="shared" si="49"/>
        <v>0</v>
      </c>
      <c r="K299" s="126">
        <f t="shared" si="44"/>
        <v>163.5</v>
      </c>
      <c r="L299" s="148">
        <f t="shared" si="45"/>
        <v>8.175</v>
      </c>
      <c r="M299" s="149">
        <f t="shared" si="46"/>
        <v>600</v>
      </c>
      <c r="O299" s="141"/>
      <c r="P299" s="142"/>
      <c r="AV299" s="141"/>
      <c r="AW299" s="141"/>
      <c r="AY299"/>
      <c r="AZ299"/>
      <c r="BA299"/>
      <c r="BB299"/>
    </row>
    <row r="300" spans="2:54">
      <c r="B300" s="98">
        <v>297</v>
      </c>
      <c r="C300" s="126">
        <f t="shared" si="41"/>
        <v>872</v>
      </c>
      <c r="D300" s="98">
        <f t="shared" si="42"/>
        <v>40</v>
      </c>
      <c r="E300" s="98">
        <f t="shared" si="43"/>
        <v>8</v>
      </c>
      <c r="F300" s="98">
        <v>0.5</v>
      </c>
      <c r="G300" s="98">
        <f t="shared" si="50"/>
        <v>5</v>
      </c>
      <c r="H300" s="98">
        <f t="shared" si="47"/>
        <v>2</v>
      </c>
      <c r="I300" s="98">
        <f t="shared" si="48"/>
        <v>1</v>
      </c>
      <c r="J300" s="98">
        <f t="shared" si="49"/>
        <v>0</v>
      </c>
      <c r="K300" s="126">
        <f t="shared" si="44"/>
        <v>163.6</v>
      </c>
      <c r="L300" s="148">
        <f t="shared" si="45"/>
        <v>8.18</v>
      </c>
      <c r="M300" s="149">
        <f t="shared" si="46"/>
        <v>600</v>
      </c>
      <c r="O300" s="141"/>
      <c r="P300" s="142"/>
      <c r="AV300" s="141"/>
      <c r="AW300" s="141"/>
      <c r="AY300"/>
      <c r="AZ300"/>
      <c r="BA300"/>
      <c r="BB300"/>
    </row>
    <row r="301" spans="2:54">
      <c r="B301" s="98">
        <v>298</v>
      </c>
      <c r="C301" s="126">
        <f t="shared" si="41"/>
        <v>874</v>
      </c>
      <c r="D301" s="98">
        <f t="shared" si="42"/>
        <v>40</v>
      </c>
      <c r="E301" s="98">
        <f t="shared" si="43"/>
        <v>8</v>
      </c>
      <c r="F301" s="98">
        <v>0.5</v>
      </c>
      <c r="G301" s="98">
        <f t="shared" si="50"/>
        <v>5</v>
      </c>
      <c r="H301" s="98">
        <f t="shared" si="47"/>
        <v>2</v>
      </c>
      <c r="I301" s="98">
        <f t="shared" si="48"/>
        <v>1</v>
      </c>
      <c r="J301" s="98">
        <f t="shared" si="49"/>
        <v>0</v>
      </c>
      <c r="K301" s="126">
        <f t="shared" si="44"/>
        <v>163.7</v>
      </c>
      <c r="L301" s="148">
        <f t="shared" si="45"/>
        <v>8.185</v>
      </c>
      <c r="M301" s="149">
        <f t="shared" si="46"/>
        <v>600</v>
      </c>
      <c r="O301" s="141"/>
      <c r="P301" s="142"/>
      <c r="AV301" s="141"/>
      <c r="AW301" s="141"/>
      <c r="AY301"/>
      <c r="AZ301"/>
      <c r="BA301"/>
      <c r="BB301"/>
    </row>
    <row r="302" spans="2:54">
      <c r="B302" s="98">
        <v>299</v>
      </c>
      <c r="C302" s="126">
        <f t="shared" si="41"/>
        <v>876</v>
      </c>
      <c r="D302" s="98">
        <f t="shared" si="42"/>
        <v>40</v>
      </c>
      <c r="E302" s="98">
        <f t="shared" si="43"/>
        <v>8</v>
      </c>
      <c r="F302" s="98">
        <v>0.5</v>
      </c>
      <c r="G302" s="98">
        <f t="shared" si="50"/>
        <v>5</v>
      </c>
      <c r="H302" s="98">
        <f t="shared" si="47"/>
        <v>2</v>
      </c>
      <c r="I302" s="98">
        <f t="shared" si="48"/>
        <v>1</v>
      </c>
      <c r="J302" s="98">
        <f t="shared" si="49"/>
        <v>0</v>
      </c>
      <c r="K302" s="126">
        <f t="shared" si="44"/>
        <v>163.8</v>
      </c>
      <c r="L302" s="148">
        <f t="shared" si="45"/>
        <v>8.19</v>
      </c>
      <c r="M302" s="149">
        <f t="shared" si="46"/>
        <v>600</v>
      </c>
      <c r="O302" s="141"/>
      <c r="P302" s="142"/>
      <c r="AV302" s="141"/>
      <c r="AW302" s="141"/>
      <c r="AY302"/>
      <c r="AZ302"/>
      <c r="BA302"/>
      <c r="BB302"/>
    </row>
    <row r="303" spans="2:54">
      <c r="B303" s="98">
        <v>300</v>
      </c>
      <c r="C303" s="126">
        <f t="shared" si="41"/>
        <v>878</v>
      </c>
      <c r="D303" s="98">
        <f t="shared" si="42"/>
        <v>40</v>
      </c>
      <c r="E303" s="98">
        <f t="shared" si="43"/>
        <v>8</v>
      </c>
      <c r="F303" s="98">
        <v>0.5</v>
      </c>
      <c r="G303" s="98">
        <f t="shared" si="50"/>
        <v>5</v>
      </c>
      <c r="H303" s="98">
        <f t="shared" si="47"/>
        <v>2</v>
      </c>
      <c r="I303" s="98">
        <f t="shared" si="48"/>
        <v>1</v>
      </c>
      <c r="J303" s="98">
        <f t="shared" si="49"/>
        <v>0</v>
      </c>
      <c r="K303" s="126">
        <f t="shared" si="44"/>
        <v>163.9</v>
      </c>
      <c r="L303" s="148">
        <f t="shared" si="45"/>
        <v>8.195</v>
      </c>
      <c r="M303" s="149">
        <f t="shared" si="46"/>
        <v>600</v>
      </c>
      <c r="O303" s="141"/>
      <c r="P303" s="142"/>
      <c r="AV303" s="141"/>
      <c r="AW303" s="141"/>
      <c r="AY303"/>
      <c r="AZ303"/>
      <c r="BA303"/>
      <c r="BB303"/>
    </row>
    <row r="304" spans="2:54">
      <c r="B304" s="98"/>
      <c r="O304" s="141"/>
      <c r="P304" s="80"/>
      <c r="AU304" s="132" t="s">
        <v>138</v>
      </c>
      <c r="AZ304" s="142">
        <v>50003</v>
      </c>
      <c r="BA304" s="142">
        <f t="shared" ref="BA304:BA309" si="51">AZ304+1</f>
        <v>50004</v>
      </c>
    </row>
    <row r="305" spans="1:54">
      <c r="O305" s="141"/>
      <c r="P305" s="98"/>
      <c r="AZ305" s="142">
        <v>50004</v>
      </c>
      <c r="BA305" s="142">
        <f t="shared" si="51"/>
        <v>50005</v>
      </c>
    </row>
    <row r="306" spans="1:54"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 t="s">
        <v>139</v>
      </c>
      <c r="N306" s="98"/>
      <c r="O306" s="98"/>
      <c r="P306" s="98"/>
      <c r="Y306" s="132" t="s">
        <v>140</v>
      </c>
      <c r="AZ306" s="142">
        <v>50005</v>
      </c>
      <c r="BA306" s="142">
        <f t="shared" si="51"/>
        <v>50006</v>
      </c>
    </row>
    <row r="307" spans="1:54">
      <c r="B307" s="98"/>
      <c r="I307" s="98"/>
      <c r="J307" s="98"/>
      <c r="K307" s="98"/>
      <c r="L307" s="98"/>
      <c r="M307" s="98"/>
      <c r="N307" s="98"/>
      <c r="O307" s="98"/>
      <c r="P307" s="98"/>
      <c r="Y307" s="132" t="s">
        <v>139</v>
      </c>
      <c r="AZ307" s="142">
        <v>50006</v>
      </c>
      <c r="BA307" s="142">
        <f t="shared" si="51"/>
        <v>50007</v>
      </c>
    </row>
    <row r="308" spans="1:54">
      <c r="A308" s="98"/>
      <c r="B308" s="130" t="s">
        <v>141</v>
      </c>
      <c r="C308" s="98">
        <v>2</v>
      </c>
      <c r="D308" s="98">
        <v>2</v>
      </c>
      <c r="E308" s="98">
        <v>5103001</v>
      </c>
      <c r="F308" s="98">
        <v>5103003</v>
      </c>
      <c r="G308" s="98">
        <v>50025</v>
      </c>
      <c r="H308" s="98">
        <v>50002</v>
      </c>
      <c r="I308" s="98">
        <v>11</v>
      </c>
      <c r="J308" s="98">
        <v>5203001</v>
      </c>
      <c r="K308" s="98">
        <v>5203001</v>
      </c>
      <c r="L308" s="98">
        <v>5303001</v>
      </c>
      <c r="M308" s="98">
        <v>5401019</v>
      </c>
      <c r="N308" s="98"/>
      <c r="O308" s="98">
        <v>9</v>
      </c>
      <c r="P308" s="98"/>
      <c r="Q308" s="98"/>
      <c r="AX308" s="142" t="s">
        <v>142</v>
      </c>
      <c r="AZ308" s="142">
        <v>50007</v>
      </c>
      <c r="BA308" s="142">
        <f t="shared" si="51"/>
        <v>50008</v>
      </c>
    </row>
    <row r="309" spans="1:54">
      <c r="A309" s="98"/>
      <c r="B309" s="130" t="s">
        <v>143</v>
      </c>
      <c r="C309" s="98">
        <f>_xlfn.XLOOKUP(C310,价值表!$D:$D,价值表!$F:$F)</f>
        <v>0.05</v>
      </c>
      <c r="D309" s="98">
        <f>_xlfn.XLOOKUP(D310,价值表!$D:$D,价值表!$F:$F)</f>
        <v>0.05</v>
      </c>
      <c r="E309" s="98">
        <f>_xlfn.XLOOKUP(E310,价值表!$D:$D,价值表!$F:$F)</f>
        <v>1</v>
      </c>
      <c r="F309" s="98">
        <f>_xlfn.XLOOKUP(F310,价值表!$D:$D,价值表!$F:$F)</f>
        <v>1</v>
      </c>
      <c r="G309" s="98">
        <f>_xlfn.XLOOKUP(G310,价值表!$D:$D,价值表!$F:$F)</f>
        <v>3</v>
      </c>
      <c r="H309" s="98">
        <f>_xlfn.XLOOKUP(H310,价值表!$D:$D,价值表!$F:$F)</f>
        <v>3</v>
      </c>
      <c r="I309" s="98">
        <f>_xlfn.XLOOKUP(I310,价值表!$D:$D,价值表!$F:$F)</f>
        <v>30</v>
      </c>
      <c r="J309" s="98">
        <f>_xlfn.XLOOKUP(J310,价值表!$D:$D,价值表!$F:$F)</f>
        <v>3</v>
      </c>
      <c r="K309" s="98">
        <f>_xlfn.XLOOKUP(K310,价值表!$D:$D,价值表!$F:$F)</f>
        <v>3</v>
      </c>
      <c r="L309" s="98">
        <f>_xlfn.XLOOKUP(L310,价值表!$D:$D,价值表!$F:$F)</f>
        <v>5</v>
      </c>
      <c r="M309" s="98">
        <f>_xlfn.XLOOKUP(M310,价值表!$D:$D,价值表!$F:$F)</f>
        <v>16</v>
      </c>
      <c r="N309" s="98">
        <f>_xlfn.XLOOKUP(N310,价值表!$D:$D,价值表!$F:$F)</f>
        <v>0</v>
      </c>
      <c r="O309" s="98">
        <f>_xlfn.XLOOKUP(O310,价值表!$D:$D,价值表!$F:$F)</f>
        <v>0</v>
      </c>
      <c r="P309" s="98"/>
      <c r="Q309" s="98"/>
      <c r="AX309" s="142" t="s">
        <v>144</v>
      </c>
      <c r="AZ309" s="142">
        <v>50008</v>
      </c>
      <c r="BA309" s="142">
        <f t="shared" si="51"/>
        <v>50009</v>
      </c>
    </row>
    <row r="310" spans="1:54">
      <c r="A310" s="98"/>
      <c r="B310" s="130" t="s">
        <v>145</v>
      </c>
      <c r="C310" s="98" t="s">
        <v>96</v>
      </c>
      <c r="D310" s="98" t="s">
        <v>96</v>
      </c>
      <c r="E310" s="98" t="s">
        <v>128</v>
      </c>
      <c r="F310" s="98" t="s">
        <v>128</v>
      </c>
      <c r="G310" s="98" t="s">
        <v>129</v>
      </c>
      <c r="H310" s="98" t="s">
        <v>129</v>
      </c>
      <c r="I310" s="98" t="s">
        <v>130</v>
      </c>
      <c r="J310" s="98" t="s">
        <v>131</v>
      </c>
      <c r="K310" s="98" t="s">
        <v>131</v>
      </c>
      <c r="L310" s="98" t="s">
        <v>132</v>
      </c>
      <c r="M310" s="98" t="s">
        <v>133</v>
      </c>
      <c r="N310" s="98" t="s">
        <v>134</v>
      </c>
      <c r="O310" s="98"/>
      <c r="P310" s="98"/>
      <c r="Q310" s="98"/>
      <c r="X310" s="141"/>
      <c r="Y310" s="141"/>
      <c r="Z310" s="141"/>
      <c r="AA310" s="141"/>
      <c r="AB310" s="141"/>
      <c r="AC310" s="141"/>
      <c r="AD310" s="141"/>
      <c r="AE310" s="141"/>
      <c r="AF310" s="141"/>
      <c r="AG310" s="141"/>
      <c r="AH310" s="141"/>
      <c r="AI310" s="141"/>
      <c r="AJ310" s="141"/>
      <c r="AK310" s="141"/>
      <c r="AL310" s="141"/>
      <c r="AM310" s="141"/>
      <c r="AX310" s="142"/>
      <c r="AZ310" s="142"/>
      <c r="BA310" s="142"/>
    </row>
    <row r="311" spans="1:54">
      <c r="A311" s="98"/>
      <c r="B311" s="130" t="s">
        <v>146</v>
      </c>
      <c r="C311" s="130"/>
      <c r="D311" s="151">
        <v>0</v>
      </c>
      <c r="E311" s="151">
        <v>0</v>
      </c>
      <c r="F311" s="151">
        <v>0.4</v>
      </c>
      <c r="G311" s="151">
        <v>0</v>
      </c>
      <c r="H311" s="151">
        <v>0.5</v>
      </c>
      <c r="I311" s="151">
        <v>1</v>
      </c>
      <c r="J311" s="151">
        <v>0</v>
      </c>
      <c r="K311" s="151">
        <v>0.5</v>
      </c>
      <c r="L311" s="151">
        <v>0.4</v>
      </c>
      <c r="M311" s="152">
        <v>0</v>
      </c>
      <c r="N311" s="151">
        <v>1</v>
      </c>
      <c r="O311" s="153">
        <v>1</v>
      </c>
      <c r="P311" s="98"/>
      <c r="Q311" s="98"/>
      <c r="X311" s="142" t="s">
        <v>96</v>
      </c>
      <c r="Y311" s="142" t="s">
        <v>96</v>
      </c>
      <c r="Z311" s="142" t="s">
        <v>128</v>
      </c>
      <c r="AA311" s="142" t="s">
        <v>128</v>
      </c>
      <c r="AB311" s="142" t="s">
        <v>147</v>
      </c>
      <c r="AC311" s="142" t="s">
        <v>147</v>
      </c>
      <c r="AD311" s="142" t="s">
        <v>148</v>
      </c>
      <c r="AE311" s="142" t="s">
        <v>109</v>
      </c>
      <c r="AF311" s="142" t="s">
        <v>109</v>
      </c>
      <c r="AG311" s="142" t="s">
        <v>149</v>
      </c>
      <c r="AH311" s="142" t="s">
        <v>150</v>
      </c>
      <c r="AI311" s="142" t="s">
        <v>150</v>
      </c>
      <c r="AJ311" s="142" t="s">
        <v>151</v>
      </c>
      <c r="AK311" s="142" t="s">
        <v>152</v>
      </c>
      <c r="AL311" s="142" t="s">
        <v>153</v>
      </c>
      <c r="AM311" s="142" t="s">
        <v>154</v>
      </c>
      <c r="AX311" s="142" t="s">
        <v>155</v>
      </c>
    </row>
    <row r="312" spans="1:54">
      <c r="A312" s="98" t="s">
        <v>156</v>
      </c>
      <c r="B312" s="130" t="s">
        <v>127</v>
      </c>
      <c r="C312" s="130" t="s">
        <v>157</v>
      </c>
      <c r="D312" s="130" t="s">
        <v>158</v>
      </c>
      <c r="E312" s="130" t="s">
        <v>159</v>
      </c>
      <c r="F312" s="130" t="s">
        <v>160</v>
      </c>
      <c r="G312" s="130" t="s">
        <v>161</v>
      </c>
      <c r="H312" s="130" t="s">
        <v>162</v>
      </c>
      <c r="I312" s="130" t="s">
        <v>163</v>
      </c>
      <c r="J312" s="130" t="s">
        <v>164</v>
      </c>
      <c r="K312" s="130" t="s">
        <v>165</v>
      </c>
      <c r="L312" s="130" t="s">
        <v>166</v>
      </c>
      <c r="M312" s="130" t="s">
        <v>167</v>
      </c>
      <c r="N312" s="130" t="s">
        <v>168</v>
      </c>
      <c r="O312" s="130" t="s">
        <v>169</v>
      </c>
      <c r="P312" s="130" t="s">
        <v>135</v>
      </c>
      <c r="Q312" s="130" t="s">
        <v>136</v>
      </c>
      <c r="R312" s="130" t="s">
        <v>137</v>
      </c>
      <c r="S312" s="138" t="s">
        <v>170</v>
      </c>
      <c r="T312" s="138">
        <v>0</v>
      </c>
      <c r="U312" s="142">
        <v>0.5</v>
      </c>
      <c r="V312" s="138"/>
      <c r="X312" s="142" t="s">
        <v>171</v>
      </c>
      <c r="AP312" s="142" t="s">
        <v>172</v>
      </c>
      <c r="AR312" s="142" t="s">
        <v>173</v>
      </c>
      <c r="AX312" s="142" t="s">
        <v>174</v>
      </c>
    </row>
    <row r="313" spans="1:54">
      <c r="A313" s="143" t="str">
        <f t="shared" ref="A313:A376" si="52">"[{2,"&amp;C313+D313&amp;"},{5103001,"&amp;E313+F313&amp;"},{14,60},{11,0}"&amp;IF(M313&gt;0,",{5401000,0}","")&amp;IF(K313&gt;0,",{5203001,0}","")&amp;IF(L313&gt;0,",{5303001,0}","")&amp;"]"</f>
        <v>[{2,280},{5103001,40},{14,60},{11,0}]</v>
      </c>
      <c r="B313" s="98">
        <v>1</v>
      </c>
      <c r="C313" s="126">
        <v>80</v>
      </c>
      <c r="D313" s="126">
        <v>200</v>
      </c>
      <c r="E313" s="145">
        <v>15</v>
      </c>
      <c r="F313" s="145">
        <v>25</v>
      </c>
      <c r="G313" s="98">
        <v>3</v>
      </c>
      <c r="H313" s="98">
        <v>5</v>
      </c>
      <c r="I313" s="98">
        <v>0.5</v>
      </c>
      <c r="J313" s="98"/>
      <c r="K313" s="98"/>
      <c r="L313" s="98"/>
      <c r="M313" s="98"/>
      <c r="N313" s="98"/>
      <c r="O313" s="98"/>
      <c r="P313" s="98">
        <f t="shared" ref="P313:P376" si="53">SUMPRODUCT(C313:N313,$C$309:$N$309)</f>
        <v>93</v>
      </c>
      <c r="Q313" s="147">
        <f t="shared" ref="Q313:Q376" si="54">P313/20</f>
        <v>4.65</v>
      </c>
      <c r="R313" s="149" t="str">
        <f>SUBSTITUTE(SUBSTITUTE(AV313,"{progress_rate,2,",""),"}","")</f>
        <v>600</v>
      </c>
      <c r="S313" s="132">
        <f>C313/2</f>
        <v>40</v>
      </c>
      <c r="T313" s="132">
        <f>C313*2</f>
        <v>160</v>
      </c>
      <c r="U313" s="80"/>
      <c r="V313" s="80">
        <v>21360</v>
      </c>
      <c r="W313" s="142">
        <f t="shared" ref="W313:W376" si="55">B313</f>
        <v>1</v>
      </c>
      <c r="X313" s="142" t="str">
        <f>IF(C$311="","{progress_rate,"&amp;C$308&amp;","&amp;C313&amp;"}",IF(C313&gt;=1,"{progress,"&amp;C$311*100&amp;","&amp;C$308&amp;","&amp;C313&amp;"}","{progress_rate_roll,"&amp;C$311*100&amp;","&amp;INT(C313*10000)&amp;","&amp;C$308&amp;","&amp;1&amp;"}"))</f>
        <v>{progress_rate,2,80}</v>
      </c>
      <c r="Y313" s="142" t="str">
        <f t="shared" ref="X313:AD313" si="56">IF(D$311="","{progress_rate,"&amp;D$308&amp;","&amp;D313&amp;"}",IF(D313&gt;=1,"{progress,"&amp;D$311*100&amp;","&amp;D$308&amp;","&amp;D313&amp;"}","{progress_rate_roll,"&amp;D$311*100&amp;","&amp;INT(D313*10000)&amp;","&amp;D$308&amp;","&amp;1&amp;"}"))</f>
        <v>{progress,0,2,200}</v>
      </c>
      <c r="Z313" s="142" t="str">
        <f t="shared" si="56"/>
        <v>{progress,0,5103001,15}</v>
      </c>
      <c r="AA313" s="142" t="str">
        <f t="shared" si="56"/>
        <v>{progress,40,5103003,25}</v>
      </c>
      <c r="AB313" s="142" t="str">
        <f t="shared" si="56"/>
        <v>{progress,0,50025,3}</v>
      </c>
      <c r="AC313" s="142" t="str">
        <f t="shared" si="56"/>
        <v>{progress,50,50002,5}</v>
      </c>
      <c r="AD313" s="142" t="str">
        <f t="shared" si="56"/>
        <v>{progress_rate_roll,100,5000,11,1}</v>
      </c>
      <c r="AN313" s="142" t="str">
        <f t="shared" ref="AN313:AN376" si="57">"{progress,1,"&amp;V313&amp;",1}"</f>
        <v>{progress,1,21360,1}</v>
      </c>
      <c r="AP313" s="142" t="str">
        <f>"["&amp;_xlfn.TEXTJOIN(",",1,X313:AO313)&amp;"]"</f>
        <v>[{progress_rate,2,80},{progress,0,2,200},{progress,0,5103001,15},{progress,40,5103003,25},{progress,0,50025,3},{progress,50,50002,5},{progress_rate_roll,100,5000,11,1},{progress,1,21360,1}]</v>
      </c>
      <c r="AQ313" s="142" t="str">
        <f t="shared" ref="AQ313:AQ321" si="58">"["&amp;_xlfn.TEXTJOIN(",",1,X313:AG313)&amp;"]"</f>
        <v>[{progress_rate,2,80},{progress,0,2,200},{progress,0,5103001,15},{progress,40,5103003,25},{progress,0,50025,3},{progress,50,50002,5},{progress_rate_roll,100,5000,11,1}]</v>
      </c>
      <c r="AR313" s="142" t="str">
        <f>SUBSTITUTE(AS313,",{progress_rate_roll,100,5000,11,1}","")</f>
        <v>[{progress_rate,2,80},{progress,0,2,200},{progress,0,5103001,15},{progress,40,5103003,25},{progress,0,50008,3},{progress,50,50003,5},{progress_rate,2,600},{progress_rate,11,1},{progress_rate,50015,1},{progress_rate,50016,1}]</v>
      </c>
      <c r="AS313" s="142" t="str">
        <f t="shared" ref="AS313:AS376" si="59">IF(AT313="",SUBSTITUTE(AQ313,"]",","&amp;AU313&amp;"]"),SUBSTITUTE(SUBSTITUTE(SUBSTITUTE(AQ313,"]",","&amp;AU313&amp;"]"),$G$308,AT313),$H$308,SUBSTITUTE(AT313+1,50009,50003)))</f>
        <v>[{progress_rate,2,80},{progress,0,2,200},{progress,0,5103001,15},{progress,40,5103003,25},{progress,0,50008,3},{progress,50,50003,5},{progress_rate_roll,100,5000,11,1},{progress_rate,2,600},{progress_rate,11,1},{progress_rate,50015,1},{progress_rate,50016,1}]</v>
      </c>
      <c r="AT313" s="142">
        <v>50008</v>
      </c>
      <c r="AU313" s="142" t="str">
        <f t="shared" ref="AU313:AU376" si="60">_xlfn.TEXTJOIN(",",1,AV313:BD313)</f>
        <v>{progress_rate,2,600},{progress_rate,11,1},{progress_rate,50015,1},{progress_rate,50016,1}</v>
      </c>
      <c r="AV313" s="142" t="str">
        <f>"{progress_rate,2,"&amp;MIN(1200,600+INT(B313/10)*0)&amp;"}"</f>
        <v>{progress_rate,2,600}</v>
      </c>
      <c r="AW313" s="142" t="s">
        <v>175</v>
      </c>
      <c r="AX313" s="154" t="s">
        <v>176</v>
      </c>
      <c r="AY313" s="154" t="s">
        <v>177</v>
      </c>
    </row>
    <row r="314" spans="1:54">
      <c r="A314" s="143" t="str">
        <f t="shared" si="52"/>
        <v>[{2,282},{5103001,40},{14,60},{11,0}]</v>
      </c>
      <c r="B314" s="98">
        <v>2</v>
      </c>
      <c r="C314" s="126">
        <v>82</v>
      </c>
      <c r="D314" s="126">
        <v>200</v>
      </c>
      <c r="E314" s="145">
        <v>15</v>
      </c>
      <c r="F314" s="145">
        <v>25</v>
      </c>
      <c r="G314" s="98">
        <v>3</v>
      </c>
      <c r="H314" s="98">
        <v>5</v>
      </c>
      <c r="I314" s="98">
        <v>0.5</v>
      </c>
      <c r="J314" s="98"/>
      <c r="K314" s="98"/>
      <c r="L314" s="98"/>
      <c r="M314" s="98"/>
      <c r="N314" s="98"/>
      <c r="O314" s="98"/>
      <c r="P314" s="98">
        <f t="shared" si="53"/>
        <v>93.1</v>
      </c>
      <c r="Q314" s="147">
        <f t="shared" si="54"/>
        <v>4.655</v>
      </c>
      <c r="R314" s="149" t="str">
        <f>SUBSTITUTE(SUBSTITUTE(AV314,"{progress_rate,2,",""),"}","")</f>
        <v>600</v>
      </c>
      <c r="S314" s="132">
        <f t="shared" ref="S314:S345" si="61">C314/2</f>
        <v>41</v>
      </c>
      <c r="T314" s="132">
        <f t="shared" ref="T314:T377" si="62">C314*2</f>
        <v>164</v>
      </c>
      <c r="U314" s="80"/>
      <c r="V314" s="80">
        <v>21360</v>
      </c>
      <c r="W314" s="142">
        <f t="shared" si="55"/>
        <v>2</v>
      </c>
      <c r="X314" s="142" t="str">
        <f t="shared" ref="X314:AD314" si="63">IF(C$311="","{progress_rate,"&amp;C$308&amp;","&amp;C314&amp;"}",IF(C314&gt;=1,"{progress,"&amp;C$311*100&amp;","&amp;C$308&amp;","&amp;C314&amp;"}","{progress_rate_roll,"&amp;C$311*100&amp;","&amp;INT(C314*10000)&amp;","&amp;C$308&amp;","&amp;1&amp;"}"))</f>
        <v>{progress_rate,2,82}</v>
      </c>
      <c r="Y314" s="142" t="str">
        <f t="shared" si="63"/>
        <v>{progress,0,2,200}</v>
      </c>
      <c r="Z314" s="142" t="str">
        <f t="shared" si="63"/>
        <v>{progress,0,5103001,15}</v>
      </c>
      <c r="AA314" s="142" t="str">
        <f t="shared" si="63"/>
        <v>{progress,40,5103003,25}</v>
      </c>
      <c r="AB314" s="142" t="str">
        <f t="shared" si="63"/>
        <v>{progress,0,50025,3}</v>
      </c>
      <c r="AC314" s="142" t="str">
        <f t="shared" si="63"/>
        <v>{progress,50,50002,5}</v>
      </c>
      <c r="AD314" s="142" t="str">
        <f t="shared" si="63"/>
        <v>{progress_rate_roll,100,5000,11,1}</v>
      </c>
      <c r="AN314" s="142" t="str">
        <f t="shared" si="57"/>
        <v>{progress,1,21360,1}</v>
      </c>
      <c r="AP314" s="142" t="str">
        <f t="shared" ref="AP314:AP377" si="64">"["&amp;_xlfn.TEXTJOIN(",",1,X314:AO314)&amp;"]"</f>
        <v>[{progress_rate,2,82},{progress,0,2,200},{progress,0,5103001,15},{progress,40,5103003,25},{progress,0,50025,3},{progress,50,50002,5},{progress_rate_roll,100,5000,11,1},{progress,1,21360,1}]</v>
      </c>
      <c r="AQ314" s="142" t="str">
        <f t="shared" si="58"/>
        <v>[{progress_rate,2,82},{progress,0,2,200},{progress,0,5103001,15},{progress,40,5103003,25},{progress,0,50025,3},{progress,50,50002,5},{progress_rate_roll,100,5000,11,1}]</v>
      </c>
      <c r="AR314" s="142" t="str">
        <f t="shared" ref="AR314:AR377" si="65">SUBSTITUTE(AS314,",{progress_rate_roll,100,5000,11,1}","")</f>
        <v>[{progress_rate,2,82},{progress,0,2,200},{progress,0,5103001,15},{progress,40,5103003,25},{progress,0,50005,3},{progress,50,50006,5},{progress_rate,2,600},{progress_rate,11,10},{progress_rate,50017,1}]</v>
      </c>
      <c r="AS314" s="142" t="str">
        <f t="shared" si="59"/>
        <v>[{progress_rate,2,82},{progress,0,2,200},{progress,0,5103001,15},{progress,40,5103003,25},{progress,0,50005,3},{progress,50,50006,5},{progress_rate_roll,100,5000,11,1},{progress_rate,2,600},{progress_rate,11,10},{progress_rate,50017,1}]</v>
      </c>
      <c r="AT314" s="142">
        <v>50005</v>
      </c>
      <c r="AU314" s="142" t="str">
        <f t="shared" si="60"/>
        <v>{progress_rate,2,600},{progress_rate,11,10},{progress_rate,50017,1}</v>
      </c>
      <c r="AV314" s="142" t="str">
        <f t="shared" ref="AV314:AV345" si="66">"{progress_rate,2,"&amp;MIN(1200,600+INT(B314/10)*0)&amp;"}"</f>
        <v>{progress_rate,2,600}</v>
      </c>
      <c r="AW314" s="142" t="s">
        <v>178</v>
      </c>
      <c r="AX314" s="154" t="s">
        <v>179</v>
      </c>
      <c r="AY314" s="154"/>
    </row>
    <row r="315" spans="1:54">
      <c r="A315" s="143" t="str">
        <f t="shared" si="52"/>
        <v>[{2,284},{5103001,40},{14,60},{11,0}]</v>
      </c>
      <c r="B315" s="98">
        <v>3</v>
      </c>
      <c r="C315" s="126">
        <v>82</v>
      </c>
      <c r="D315" s="126">
        <v>202</v>
      </c>
      <c r="E315" s="145">
        <v>15</v>
      </c>
      <c r="F315" s="145">
        <v>25</v>
      </c>
      <c r="G315" s="98">
        <v>3</v>
      </c>
      <c r="H315" s="98">
        <v>5</v>
      </c>
      <c r="I315" s="98">
        <v>0.5</v>
      </c>
      <c r="J315" s="98"/>
      <c r="K315" s="98"/>
      <c r="L315" s="98"/>
      <c r="M315" s="98"/>
      <c r="N315" s="98"/>
      <c r="O315" s="98"/>
      <c r="P315" s="98">
        <f t="shared" si="53"/>
        <v>93.2</v>
      </c>
      <c r="Q315" s="147">
        <f t="shared" si="54"/>
        <v>4.66</v>
      </c>
      <c r="R315" s="149">
        <v>600</v>
      </c>
      <c r="S315" s="132">
        <f t="shared" si="61"/>
        <v>41</v>
      </c>
      <c r="T315" s="132">
        <f t="shared" si="62"/>
        <v>164</v>
      </c>
      <c r="U315" s="80"/>
      <c r="V315" s="80">
        <v>21360</v>
      </c>
      <c r="W315" s="142">
        <f t="shared" si="55"/>
        <v>3</v>
      </c>
      <c r="X315" s="142" t="str">
        <f t="shared" ref="X315:AD315" si="67">IF(C$311="","{progress_rate,"&amp;C$308&amp;","&amp;C315&amp;"}",IF(C315&gt;=1,"{progress,"&amp;C$311*100&amp;","&amp;C$308&amp;","&amp;C315&amp;"}","{progress_rate_roll,"&amp;C$311*100&amp;","&amp;INT(C315*10000)&amp;","&amp;C$308&amp;","&amp;1&amp;"}"))</f>
        <v>{progress_rate,2,82}</v>
      </c>
      <c r="Y315" s="142" t="str">
        <f t="shared" si="67"/>
        <v>{progress,0,2,202}</v>
      </c>
      <c r="Z315" s="142" t="str">
        <f t="shared" si="67"/>
        <v>{progress,0,5103001,15}</v>
      </c>
      <c r="AA315" s="142" t="str">
        <f t="shared" si="67"/>
        <v>{progress,40,5103003,25}</v>
      </c>
      <c r="AB315" s="142" t="str">
        <f t="shared" si="67"/>
        <v>{progress,0,50025,3}</v>
      </c>
      <c r="AC315" s="142" t="str">
        <f t="shared" si="67"/>
        <v>{progress,50,50002,5}</v>
      </c>
      <c r="AD315" s="142" t="str">
        <f t="shared" si="67"/>
        <v>{progress_rate_roll,100,5000,11,1}</v>
      </c>
      <c r="AN315" s="142" t="str">
        <f t="shared" si="57"/>
        <v>{progress,1,21360,1}</v>
      </c>
      <c r="AP315" s="142" t="str">
        <f t="shared" si="64"/>
        <v>[{progress_rate,2,82},{progress,0,2,202},{progress,0,5103001,15},{progress,40,5103003,25},{progress,0,50025,3},{progress,50,50002,5},{progress_rate_roll,100,5000,11,1},{progress,1,21360,1}]</v>
      </c>
      <c r="AQ315" s="142" t="str">
        <f t="shared" si="58"/>
        <v>[{progress_rate,2,82},{progress,0,2,202},{progress,0,5103001,15},{progress,40,5103003,25},{progress,0,50025,3},{progress,50,50002,5},{progress_rate_roll,100,5000,11,1}]</v>
      </c>
      <c r="AR315" s="142" t="str">
        <f t="shared" si="65"/>
        <v>[{progress_rate,2,82},{progress,0,2,202},{progress,0,5103001,15},{progress,40,5103003,25},{progress,0,50007,3},{progress,50,50008,5},{progress_rate,2,600},{progress_rate,11,1},{progress_rate,50018,1},{progress_rate,50019,1}]</v>
      </c>
      <c r="AS315" s="142" t="str">
        <f t="shared" si="59"/>
        <v>[{progress_rate,2,82},{progress,0,2,202},{progress,0,5103001,15},{progress,40,5103003,25},{progress,0,50007,3},{progress,50,50008,5},{progress_rate_roll,100,5000,11,1},{progress_rate,2,600},{progress_rate,11,1},{progress_rate,50018,1},{progress_rate,50019,1}]</v>
      </c>
      <c r="AT315" s="142">
        <v>50007</v>
      </c>
      <c r="AU315" s="142" t="str">
        <f t="shared" si="60"/>
        <v>{progress_rate,2,600},{progress_rate,11,1},{progress_rate,50018,1},{progress_rate,50019,1}</v>
      </c>
      <c r="AV315" s="142" t="str">
        <f t="shared" si="66"/>
        <v>{progress_rate,2,600}</v>
      </c>
      <c r="AW315" s="142" t="s">
        <v>175</v>
      </c>
      <c r="AX315" s="154" t="s">
        <v>180</v>
      </c>
      <c r="AY315" s="154" t="s">
        <v>181</v>
      </c>
    </row>
    <row r="316" spans="1:54">
      <c r="A316" s="143" t="str">
        <f t="shared" si="52"/>
        <v>[{2,286},{5103001,40},{14,60},{11,0},{5401000,0},{5303001,0}]</v>
      </c>
      <c r="B316" s="98">
        <v>4</v>
      </c>
      <c r="C316" s="126">
        <v>82</v>
      </c>
      <c r="D316" s="126">
        <v>204</v>
      </c>
      <c r="E316" s="145">
        <v>15</v>
      </c>
      <c r="F316" s="145">
        <v>25</v>
      </c>
      <c r="G316" s="98">
        <v>3</v>
      </c>
      <c r="H316" s="98">
        <v>5</v>
      </c>
      <c r="I316" s="98">
        <v>0.5</v>
      </c>
      <c r="J316" s="98"/>
      <c r="K316" s="98"/>
      <c r="L316" s="98">
        <v>2</v>
      </c>
      <c r="M316" s="98">
        <v>1</v>
      </c>
      <c r="N316" s="98"/>
      <c r="O316" s="98">
        <v>0.1</v>
      </c>
      <c r="P316" s="98">
        <f t="shared" si="53"/>
        <v>119.3</v>
      </c>
      <c r="Q316" s="147">
        <f t="shared" si="54"/>
        <v>5.965</v>
      </c>
      <c r="R316" s="149">
        <v>600</v>
      </c>
      <c r="S316" s="132">
        <f t="shared" si="61"/>
        <v>41</v>
      </c>
      <c r="T316" s="132">
        <f t="shared" si="62"/>
        <v>164</v>
      </c>
      <c r="U316" s="80"/>
      <c r="V316" s="80">
        <v>21360</v>
      </c>
      <c r="W316" s="142">
        <f t="shared" si="55"/>
        <v>4</v>
      </c>
      <c r="X316" s="142" t="str">
        <f t="shared" ref="X316:AD316" si="68">IF(C$311="","{progress_rate,"&amp;C$308&amp;","&amp;C316&amp;"}",IF(C316&gt;=1,"{progress,"&amp;C$311*100&amp;","&amp;C$308&amp;","&amp;C316&amp;"}","{progress_rate_roll,"&amp;C$311*100&amp;","&amp;INT(C316*10000)&amp;","&amp;C$308&amp;","&amp;1&amp;"}"))</f>
        <v>{progress_rate,2,82}</v>
      </c>
      <c r="Y316" s="142" t="str">
        <f t="shared" si="68"/>
        <v>{progress,0,2,204}</v>
      </c>
      <c r="Z316" s="142" t="str">
        <f t="shared" si="68"/>
        <v>{progress,0,5103001,15}</v>
      </c>
      <c r="AA316" s="142" t="str">
        <f t="shared" si="68"/>
        <v>{progress,40,5103003,25}</v>
      </c>
      <c r="AB316" s="142" t="str">
        <f t="shared" si="68"/>
        <v>{progress,0,50025,3}</v>
      </c>
      <c r="AC316" s="142" t="str">
        <f t="shared" si="68"/>
        <v>{progress,50,50002,5}</v>
      </c>
      <c r="AD316" s="142" t="str">
        <f t="shared" si="68"/>
        <v>{progress_rate_roll,100,5000,11,1}</v>
      </c>
      <c r="AG316" s="142" t="str">
        <f t="shared" ref="AG316:AG379" si="69">IF(L$311="","{progress_rate,"&amp;L$308&amp;","&amp;L316&amp;"}",IF(L316&gt;=1,"{progress,"&amp;L$311*100&amp;","&amp;L$308&amp;","&amp;L316&amp;"}","{progress_rate_roll,"&amp;L$311*100&amp;","&amp;INT(L316*10000)&amp;","&amp;L$308&amp;","&amp;1&amp;"}"))</f>
        <v>{progress,40,5303001,2}</v>
      </c>
      <c r="AH316" s="142" t="str">
        <f t="shared" ref="AH316:AH379" si="70">IF(M$311="","{progress_rate,"&amp;M$308&amp;","&amp;M316&amp;"}",IF(M316&gt;=1,"{progress,"&amp;M$311*100&amp;","&amp;M$308&amp;","&amp;M316&amp;"}","{progress_rate_roll,"&amp;M$311*100&amp;","&amp;INT(M316*10000)&amp;","&amp;M$308&amp;","&amp;1&amp;"}"))</f>
        <v>{progress,0,5401019,1}</v>
      </c>
      <c r="AI316" s="142"/>
      <c r="AJ316" s="142" t="str">
        <f>IF(O$311="","{progress_rate,"&amp;O$308&amp;","&amp;O316&amp;"}",IF(O316&gt;=1,"{progress,"&amp;O$311*100&amp;","&amp;O$308&amp;","&amp;O316&amp;"}","{progress_rate_roll,"&amp;O$311*100&amp;","&amp;INT(O316*10000)&amp;","&amp;O$308&amp;","&amp;1&amp;"}"))</f>
        <v>{progress_rate_roll,100,1000,9,1}</v>
      </c>
      <c r="AN316" s="142" t="str">
        <f t="shared" si="57"/>
        <v>{progress,1,21360,1}</v>
      </c>
      <c r="AP316" s="142" t="str">
        <f t="shared" si="64"/>
        <v>[{progress_rate,2,82},{progress,0,2,204},{progress,0,5103001,15},{progress,40,5103003,25},{progress,0,50025,3},{progress,50,50002,5},{progress_rate_roll,100,5000,11,1},{progress,40,5303001,2},{progress,0,5401019,1},{progress_rate_roll,100,1000,9,1},{progress,1,21360,1}]</v>
      </c>
      <c r="AQ316" s="142" t="str">
        <f t="shared" si="58"/>
        <v>[{progress_rate,2,82},{progress,0,2,204},{progress,0,5103001,15},{progress,40,5103003,25},{progress,0,50025,3},{progress,50,50002,5},{progress_rate_roll,100,5000,11,1},{progress,40,5303001,2}]</v>
      </c>
      <c r="AR316" s="142" t="str">
        <f t="shared" si="65"/>
        <v>[{progress_rate,2,82},{progress,0,2,204},{progress,0,5103001,15},{progress,40,5103003,25},{progress,0,50004,3},{progress,50,50005,5},{progress,40,5303001,2},{progress_rate,2,600},{progress_rate,11,1},{progress_rate,50020,1},{progress_rate,5303001,10},{progress_rate,5401001,1},{progress_rate,5401002,1}]</v>
      </c>
      <c r="AS316" s="142" t="str">
        <f t="shared" si="59"/>
        <v>[{progress_rate,2,82},{progress,0,2,204},{progress,0,5103001,15},{progress,40,5103003,25},{progress,0,50004,3},{progress,50,50005,5},{progress_rate_roll,100,5000,11,1},{progress,40,5303001,2},{progress_rate,2,600},{progress_rate,11,1},{progress_rate,50020,1},{progress_rate,5303001,10},{progress_rate,5401001,1},{progress_rate,5401002,1}]</v>
      </c>
      <c r="AT316" s="142">
        <v>50004</v>
      </c>
      <c r="AU316" s="142" t="str">
        <f t="shared" si="60"/>
        <v>{progress_rate,2,600},{progress_rate,11,1},{progress_rate,50020,1},{progress_rate,5303001,10},{progress_rate,5401001,1},{progress_rate,5401002,1}</v>
      </c>
      <c r="AV316" s="142" t="str">
        <f t="shared" si="66"/>
        <v>{progress_rate,2,600}</v>
      </c>
      <c r="AW316" s="142" t="s">
        <v>175</v>
      </c>
      <c r="AX316" s="154" t="s">
        <v>182</v>
      </c>
      <c r="AY316" s="154" t="s">
        <v>183</v>
      </c>
      <c r="BA316" s="142" t="s">
        <v>184</v>
      </c>
      <c r="BB316" s="142" t="s">
        <v>185</v>
      </c>
    </row>
    <row r="317" spans="1:54">
      <c r="A317" s="143" t="str">
        <f t="shared" si="52"/>
        <v>[{2,288},{5103001,40},{14,60},{11,0},{5401000,0},{5303001,0}]</v>
      </c>
      <c r="B317" s="98">
        <v>5</v>
      </c>
      <c r="C317" s="126">
        <v>84</v>
      </c>
      <c r="D317" s="126">
        <v>204</v>
      </c>
      <c r="E317" s="145">
        <v>15</v>
      </c>
      <c r="F317" s="145">
        <v>25</v>
      </c>
      <c r="G317" s="98">
        <v>3</v>
      </c>
      <c r="H317" s="98">
        <v>5</v>
      </c>
      <c r="I317" s="98">
        <v>0.5</v>
      </c>
      <c r="J317" s="98"/>
      <c r="K317" s="98"/>
      <c r="L317" s="98">
        <v>2</v>
      </c>
      <c r="M317" s="98">
        <v>1</v>
      </c>
      <c r="N317" s="98"/>
      <c r="O317" s="98">
        <v>0.1</v>
      </c>
      <c r="P317" s="98" cm="1">
        <f t="array" ref="P317">SUMPRODUCT(C317:N317,$C$309:$N$309)</f>
        <v>119.4</v>
      </c>
      <c r="Q317" s="147">
        <f t="shared" si="54"/>
        <v>5.97</v>
      </c>
      <c r="R317" s="149">
        <v>600</v>
      </c>
      <c r="S317" s="132">
        <f t="shared" si="61"/>
        <v>42</v>
      </c>
      <c r="T317" s="132">
        <f t="shared" si="62"/>
        <v>168</v>
      </c>
      <c r="U317" s="80"/>
      <c r="V317" s="80">
        <v>21360</v>
      </c>
      <c r="W317" s="142">
        <f t="shared" si="55"/>
        <v>5</v>
      </c>
      <c r="X317" s="142" t="str">
        <f t="shared" ref="X317:AD317" si="71">IF(C$311="","{progress_rate,"&amp;C$308&amp;","&amp;C317&amp;"}",IF(C317&gt;=1,"{progress,"&amp;C$311*100&amp;","&amp;C$308&amp;","&amp;C317&amp;"}","{progress_rate_roll,"&amp;C$311*100&amp;","&amp;INT(C317*10000)&amp;","&amp;C$308&amp;","&amp;1&amp;"}"))</f>
        <v>{progress_rate,2,84}</v>
      </c>
      <c r="Y317" s="142" t="str">
        <f t="shared" si="71"/>
        <v>{progress,0,2,204}</v>
      </c>
      <c r="Z317" s="142" t="str">
        <f t="shared" si="71"/>
        <v>{progress,0,5103001,15}</v>
      </c>
      <c r="AA317" s="142" t="str">
        <f t="shared" si="71"/>
        <v>{progress,40,5103003,25}</v>
      </c>
      <c r="AB317" s="142" t="str">
        <f t="shared" si="71"/>
        <v>{progress,0,50025,3}</v>
      </c>
      <c r="AC317" s="142" t="str">
        <f t="shared" si="71"/>
        <v>{progress,50,50002,5}</v>
      </c>
      <c r="AD317" s="142" t="str">
        <f t="shared" si="71"/>
        <v>{progress_rate_roll,100,5000,11,1}</v>
      </c>
      <c r="AG317" s="142" t="str">
        <f t="shared" si="69"/>
        <v>{progress,40,5303001,2}</v>
      </c>
      <c r="AH317" s="142" t="str">
        <f t="shared" si="70"/>
        <v>{progress,0,5401019,1}</v>
      </c>
      <c r="AI317" s="142"/>
      <c r="AJ317" s="142" t="str">
        <f t="shared" ref="AJ317:AJ348" si="72">IF(O$311="","{progress_rate,"&amp;O$308&amp;","&amp;O317&amp;"}",IF(O317&gt;=1,"{progress,"&amp;O$311*100&amp;","&amp;O$308&amp;","&amp;O317&amp;"}","{progress_rate_roll,"&amp;O$311*100&amp;","&amp;INT(O317*10000)&amp;","&amp;O$308&amp;","&amp;1&amp;"}"))</f>
        <v>{progress_rate_roll,100,1000,9,1}</v>
      </c>
      <c r="AN317" s="142" t="str">
        <f t="shared" si="57"/>
        <v>{progress,1,21360,1}</v>
      </c>
      <c r="AP317" s="142" t="str">
        <f t="shared" si="64"/>
        <v>[{progress_rate,2,84},{progress,0,2,204},{progress,0,5103001,15},{progress,40,5103003,25},{progress,0,50025,3},{progress,50,50002,5},{progress_rate_roll,100,5000,11,1},{progress,40,5303001,2},{progress,0,5401019,1},{progress_rate_roll,100,1000,9,1},{progress,1,21360,1}]</v>
      </c>
      <c r="AQ317" s="142" t="str">
        <f t="shared" si="58"/>
        <v>[{progress_rate,2,84},{progress,0,2,204},{progress,0,5103001,15},{progress,40,5103003,25},{progress,0,50025,3},{progress,50,50002,5},{progress_rate_roll,100,5000,11,1},{progress,40,5303001,2}]</v>
      </c>
      <c r="AR317" s="142" t="str">
        <f t="shared" si="65"/>
        <v>[{progress_rate,2,84},{progress,0,2,204},{progress,0,5103001,15},{progress,40,5103003,25},{progress,0,50006,3},{progress,50,50007,5},{progress,40,5303001,2},{progress_rate,2,600},{progress_rate,11,1},{progress_rate,50027,1},{progress_rate,50015,1},{progress_rate,5401003,1}]</v>
      </c>
      <c r="AS317" s="142" t="str">
        <f t="shared" si="59"/>
        <v>[{progress_rate,2,84},{progress,0,2,204},{progress,0,5103001,15},{progress,40,5103003,25},{progress,0,50006,3},{progress,50,50007,5},{progress_rate_roll,100,5000,11,1},{progress,40,5303001,2},{progress_rate,2,600},{progress_rate,11,1},{progress_rate,50027,1},{progress_rate,50015,1},{progress_rate,5401003,1}]</v>
      </c>
      <c r="AT317" s="142">
        <v>50006</v>
      </c>
      <c r="AU317" s="142" t="str">
        <f t="shared" si="60"/>
        <v>{progress_rate,2,600},{progress_rate,11,1},{progress_rate,50027,1},{progress_rate,50015,1},{progress_rate,5401003,1}</v>
      </c>
      <c r="AV317" s="142" t="str">
        <f t="shared" si="66"/>
        <v>{progress_rate,2,600}</v>
      </c>
      <c r="AW317" s="142" t="s">
        <v>175</v>
      </c>
      <c r="AX317" s="154" t="s">
        <v>186</v>
      </c>
      <c r="AY317" s="154" t="s">
        <v>176</v>
      </c>
      <c r="BA317" s="142" t="s">
        <v>187</v>
      </c>
    </row>
    <row r="318" spans="1:54">
      <c r="A318" s="143" t="str">
        <f t="shared" si="52"/>
        <v>[{2,290},{5103001,40},{14,60},{11,0},{5401000,0},{5303001,0}]</v>
      </c>
      <c r="B318" s="98">
        <v>6</v>
      </c>
      <c r="C318" s="126">
        <v>84</v>
      </c>
      <c r="D318" s="126">
        <v>206</v>
      </c>
      <c r="E318" s="145">
        <v>15</v>
      </c>
      <c r="F318" s="145">
        <v>25</v>
      </c>
      <c r="G318" s="98">
        <v>3</v>
      </c>
      <c r="H318" s="98">
        <v>5</v>
      </c>
      <c r="I318" s="98">
        <v>0.5</v>
      </c>
      <c r="J318" s="98"/>
      <c r="K318" s="98"/>
      <c r="L318" s="98">
        <v>2</v>
      </c>
      <c r="M318" s="98">
        <v>1</v>
      </c>
      <c r="N318" s="98"/>
      <c r="O318" s="98">
        <v>0.1</v>
      </c>
      <c r="P318" s="98">
        <f t="shared" si="53"/>
        <v>119.5</v>
      </c>
      <c r="Q318" s="147">
        <f t="shared" si="54"/>
        <v>5.975</v>
      </c>
      <c r="R318" s="149">
        <v>600</v>
      </c>
      <c r="S318" s="132">
        <f t="shared" si="61"/>
        <v>42</v>
      </c>
      <c r="T318" s="132">
        <f t="shared" si="62"/>
        <v>168</v>
      </c>
      <c r="U318" s="80"/>
      <c r="V318" s="80">
        <v>21360</v>
      </c>
      <c r="W318" s="142">
        <f t="shared" si="55"/>
        <v>6</v>
      </c>
      <c r="X318" s="142" t="str">
        <f t="shared" ref="X318:AD318" si="73">IF(C$311="","{progress_rate,"&amp;C$308&amp;","&amp;C318&amp;"}",IF(C318&gt;=1,"{progress,"&amp;C$311*100&amp;","&amp;C$308&amp;","&amp;C318&amp;"}","{progress_rate_roll,"&amp;C$311*100&amp;","&amp;INT(C318*10000)&amp;","&amp;C$308&amp;","&amp;1&amp;"}"))</f>
        <v>{progress_rate,2,84}</v>
      </c>
      <c r="Y318" s="142" t="str">
        <f t="shared" si="73"/>
        <v>{progress,0,2,206}</v>
      </c>
      <c r="Z318" s="142" t="str">
        <f t="shared" si="73"/>
        <v>{progress,0,5103001,15}</v>
      </c>
      <c r="AA318" s="142" t="str">
        <f t="shared" si="73"/>
        <v>{progress,40,5103003,25}</v>
      </c>
      <c r="AB318" s="142" t="str">
        <f t="shared" si="73"/>
        <v>{progress,0,50025,3}</v>
      </c>
      <c r="AC318" s="142" t="str">
        <f t="shared" si="73"/>
        <v>{progress,50,50002,5}</v>
      </c>
      <c r="AD318" s="142" t="str">
        <f t="shared" si="73"/>
        <v>{progress_rate_roll,100,5000,11,1}</v>
      </c>
      <c r="AG318" s="142" t="str">
        <f t="shared" si="69"/>
        <v>{progress,40,5303001,2}</v>
      </c>
      <c r="AH318" s="142" t="str">
        <f t="shared" si="70"/>
        <v>{progress,0,5401019,1}</v>
      </c>
      <c r="AI318" s="142"/>
      <c r="AJ318" s="142" t="str">
        <f t="shared" si="72"/>
        <v>{progress_rate_roll,100,1000,9,1}</v>
      </c>
      <c r="AN318" s="142" t="str">
        <f t="shared" si="57"/>
        <v>{progress,1,21360,1}</v>
      </c>
      <c r="AP318" s="142" t="str">
        <f t="shared" si="64"/>
        <v>[{progress_rate,2,84},{progress,0,2,206},{progress,0,5103001,15},{progress,40,5103003,25},{progress,0,50025,3},{progress,50,50002,5},{progress_rate_roll,100,5000,11,1},{progress,40,5303001,2},{progress,0,5401019,1},{progress_rate_roll,100,1000,9,1},{progress,1,21360,1}]</v>
      </c>
      <c r="AQ318" s="142" t="str">
        <f t="shared" si="58"/>
        <v>[{progress_rate,2,84},{progress,0,2,206},{progress,0,5103001,15},{progress,40,5103003,25},{progress,0,50025,3},{progress,50,50002,5},{progress_rate_roll,100,5000,11,1},{progress,40,5303001,2}]</v>
      </c>
      <c r="AR318" s="142" t="str">
        <f t="shared" si="65"/>
        <v>[{progress_rate,2,84},{progress,0,2,206},{progress,0,5103001,15},{progress,40,5103003,25},{progress,0,50003,3},{progress,50,50004,5},{progress,40,5303001,2},{progress_rate,2,600},{progress_rate,11,1},{progress_rate,50028,1},{progress_rate,5401004,1},{progress_rate,5401005,1}]</v>
      </c>
      <c r="AS318" s="142" t="str">
        <f t="shared" si="59"/>
        <v>[{progress_rate,2,84},{progress,0,2,206},{progress,0,5103001,15},{progress,40,5103003,25},{progress,0,50003,3},{progress,50,50004,5},{progress_rate_roll,100,5000,11,1},{progress,40,5303001,2},{progress_rate,2,600},{progress_rate,11,1},{progress_rate,50028,1},{progress_rate,5401004,1},{progress_rate,5401005,1}]</v>
      </c>
      <c r="AT318" s="142">
        <v>50003</v>
      </c>
      <c r="AU318" s="142" t="str">
        <f t="shared" si="60"/>
        <v>{progress_rate,2,600},{progress_rate,11,1},{progress_rate,50028,1},{progress_rate,5401004,1},{progress_rate,5401005,1}</v>
      </c>
      <c r="AV318" s="142" t="str">
        <f t="shared" si="66"/>
        <v>{progress_rate,2,600}</v>
      </c>
      <c r="AW318" s="142" t="s">
        <v>175</v>
      </c>
      <c r="AX318" s="154" t="s">
        <v>188</v>
      </c>
      <c r="BA318" s="142" t="s">
        <v>189</v>
      </c>
      <c r="BB318" s="142" t="s">
        <v>190</v>
      </c>
    </row>
    <row r="319" spans="1:54">
      <c r="A319" s="143" t="str">
        <f t="shared" si="52"/>
        <v>[{2,292},{5103001,40},{14,60},{11,0},{5401000,0},{5203001,0},{5303001,0}]</v>
      </c>
      <c r="B319" s="98">
        <v>7</v>
      </c>
      <c r="C319" s="126">
        <v>84</v>
      </c>
      <c r="D319" s="126">
        <v>208</v>
      </c>
      <c r="E319" s="145">
        <v>15</v>
      </c>
      <c r="F319" s="145">
        <v>25</v>
      </c>
      <c r="G319" s="98">
        <v>3</v>
      </c>
      <c r="H319" s="98">
        <v>5</v>
      </c>
      <c r="I319" s="98">
        <v>0.5</v>
      </c>
      <c r="J319" s="98">
        <v>0</v>
      </c>
      <c r="K319" s="98">
        <v>5</v>
      </c>
      <c r="L319" s="98">
        <v>2</v>
      </c>
      <c r="M319" s="98">
        <v>1</v>
      </c>
      <c r="N319" s="98"/>
      <c r="O319" s="98">
        <v>0.1</v>
      </c>
      <c r="P319" s="98">
        <f t="shared" si="53"/>
        <v>134.6</v>
      </c>
      <c r="Q319" s="147">
        <f t="shared" si="54"/>
        <v>6.73</v>
      </c>
      <c r="R319" s="149">
        <v>600</v>
      </c>
      <c r="S319" s="132">
        <f t="shared" si="61"/>
        <v>42</v>
      </c>
      <c r="T319" s="132">
        <f t="shared" si="62"/>
        <v>168</v>
      </c>
      <c r="U319" s="80"/>
      <c r="V319" s="80">
        <v>21360</v>
      </c>
      <c r="W319" s="142">
        <f t="shared" si="55"/>
        <v>7</v>
      </c>
      <c r="X319" s="142" t="str">
        <f t="shared" ref="X319:AD319" si="74">IF(C$311="","{progress_rate,"&amp;C$308&amp;","&amp;C319&amp;"}",IF(C319&gt;=1,"{progress,"&amp;C$311*100&amp;","&amp;C$308&amp;","&amp;C319&amp;"}","{progress_rate_roll,"&amp;C$311*100&amp;","&amp;INT(C319*10000)&amp;","&amp;C$308&amp;","&amp;1&amp;"}"))</f>
        <v>{progress_rate,2,84}</v>
      </c>
      <c r="Y319" s="142" t="str">
        <f t="shared" si="74"/>
        <v>{progress,0,2,208}</v>
      </c>
      <c r="Z319" s="142" t="str">
        <f t="shared" si="74"/>
        <v>{progress,0,5103001,15}</v>
      </c>
      <c r="AA319" s="142" t="str">
        <f t="shared" si="74"/>
        <v>{progress,40,5103003,25}</v>
      </c>
      <c r="AB319" s="142" t="str">
        <f t="shared" si="74"/>
        <v>{progress,0,50025,3}</v>
      </c>
      <c r="AC319" s="142" t="str">
        <f t="shared" si="74"/>
        <v>{progress,50,50002,5}</v>
      </c>
      <c r="AD319" s="142" t="str">
        <f t="shared" si="74"/>
        <v>{progress_rate_roll,100,5000,11,1}</v>
      </c>
      <c r="AF319" s="142" t="str">
        <f>IF(K$311="","{progress_rate,"&amp;K$308&amp;","&amp;K319&amp;"}",IF(K319&gt;=1,"{progress,"&amp;K$311*100&amp;","&amp;K$308&amp;","&amp;K319&amp;"}","{progress_rate_roll,"&amp;K$311*100&amp;","&amp;INT(K319*10000)&amp;","&amp;K$308&amp;","&amp;1&amp;"}"))</f>
        <v>{progress,50,5203001,5}</v>
      </c>
      <c r="AG319" s="142" t="str">
        <f t="shared" si="69"/>
        <v>{progress,40,5303001,2}</v>
      </c>
      <c r="AH319" s="142" t="str">
        <f t="shared" si="70"/>
        <v>{progress,0,5401019,1}</v>
      </c>
      <c r="AI319" s="142"/>
      <c r="AJ319" s="142" t="str">
        <f t="shared" si="72"/>
        <v>{progress_rate_roll,100,1000,9,1}</v>
      </c>
      <c r="AN319" s="142" t="str">
        <f t="shared" si="57"/>
        <v>{progress,1,21360,1}</v>
      </c>
      <c r="AP319" s="142" t="str">
        <f t="shared" si="64"/>
        <v>[{progress_rate,2,84},{progress,0,2,208},{progress,0,5103001,15},{progress,40,5103003,25},{progress,0,50025,3},{progress,50,50002,5},{progress_rate_roll,100,5000,11,1},{progress,50,5203001,5},{progress,40,5303001,2},{progress,0,5401019,1},{progress_rate_roll,100,1000,9,1},{progress,1,21360,1}]</v>
      </c>
      <c r="AQ319" s="142" t="str">
        <f t="shared" si="58"/>
        <v>[{progress_rate,2,84},{progress,0,2,208},{progress,0,5103001,15},{progress,40,5103003,25},{progress,0,50025,3},{progress,50,50002,5},{progress_rate_roll,100,5000,11,1},{progress,50,5203001,5},{progress,40,5303001,2}]</v>
      </c>
      <c r="AR319" s="142" t="str">
        <f t="shared" si="65"/>
        <v>[{progress_rate,2,84},{progress,0,2,208},{progress,0,5103001,15},{progress,40,5103003,25},{progress,0,50008,3},{progress,50,50003,5},{progress,50,5203001,5},{progress,40,5303001,2},{progress_rate,2,600},{progress_rate,11,1},{progress_rate,50018,1},{progress_rate,5203001,30},{progress_rate,5401006,1}]</v>
      </c>
      <c r="AS319" s="142" t="str">
        <f t="shared" si="59"/>
        <v>[{progress_rate,2,84},{progress,0,2,208},{progress,0,5103001,15},{progress,40,5103003,25},{progress,0,50008,3},{progress,50,50003,5},{progress_rate_roll,100,5000,11,1},{progress,50,5203001,5},{progress,40,5303001,2},{progress_rate,2,600},{progress_rate,11,1},{progress_rate,50018,1},{progress_rate,5203001,30},{progress_rate,5401006,1}]</v>
      </c>
      <c r="AT319" s="142">
        <f>AT313</f>
        <v>50008</v>
      </c>
      <c r="AU319" s="142" t="str">
        <f t="shared" si="60"/>
        <v>{progress_rate,2,600},{progress_rate,11,1},{progress_rate,50018,1},{progress_rate,5203001,30},{progress_rate,5401006,1}</v>
      </c>
      <c r="AV319" s="142" t="str">
        <f t="shared" si="66"/>
        <v>{progress_rate,2,600}</v>
      </c>
      <c r="AW319" s="142" t="s">
        <v>175</v>
      </c>
      <c r="AX319" s="142" t="s">
        <v>180</v>
      </c>
      <c r="BA319" s="142" t="s">
        <v>191</v>
      </c>
      <c r="BB319" s="142" t="s">
        <v>192</v>
      </c>
    </row>
    <row r="320" spans="1:54">
      <c r="A320" s="143" t="str">
        <f t="shared" si="52"/>
        <v>[{2,294},{5103001,40},{14,60},{11,0},{5401000,0},{5203001,0},{5303001,0}]</v>
      </c>
      <c r="B320" s="98">
        <v>8</v>
      </c>
      <c r="C320" s="126">
        <v>84</v>
      </c>
      <c r="D320" s="126">
        <v>210</v>
      </c>
      <c r="E320" s="145">
        <v>15</v>
      </c>
      <c r="F320" s="145">
        <v>25</v>
      </c>
      <c r="G320" s="98">
        <v>3</v>
      </c>
      <c r="H320" s="98">
        <v>5</v>
      </c>
      <c r="I320" s="98">
        <v>0.5</v>
      </c>
      <c r="J320" s="98">
        <v>0</v>
      </c>
      <c r="K320" s="98">
        <v>5</v>
      </c>
      <c r="L320" s="98">
        <v>2</v>
      </c>
      <c r="M320" s="98">
        <v>1</v>
      </c>
      <c r="N320" s="98"/>
      <c r="O320" s="98">
        <v>0.1</v>
      </c>
      <c r="P320" s="98">
        <f t="shared" si="53"/>
        <v>134.7</v>
      </c>
      <c r="Q320" s="147">
        <f t="shared" si="54"/>
        <v>6.735</v>
      </c>
      <c r="R320" s="149">
        <v>600</v>
      </c>
      <c r="S320" s="132">
        <f t="shared" si="61"/>
        <v>42</v>
      </c>
      <c r="T320" s="132">
        <f t="shared" si="62"/>
        <v>168</v>
      </c>
      <c r="U320" s="80"/>
      <c r="V320" s="80">
        <v>21360</v>
      </c>
      <c r="W320" s="142">
        <f t="shared" si="55"/>
        <v>8</v>
      </c>
      <c r="X320" s="142" t="str">
        <f t="shared" ref="X320:AD320" si="75">IF(C$311="","{progress_rate,"&amp;C$308&amp;","&amp;C320&amp;"}",IF(C320&gt;=1,"{progress,"&amp;C$311*100&amp;","&amp;C$308&amp;","&amp;C320&amp;"}","{progress_rate_roll,"&amp;C$311*100&amp;","&amp;INT(C320*10000)&amp;","&amp;C$308&amp;","&amp;1&amp;"}"))</f>
        <v>{progress_rate,2,84}</v>
      </c>
      <c r="Y320" s="142" t="str">
        <f t="shared" si="75"/>
        <v>{progress,0,2,210}</v>
      </c>
      <c r="Z320" s="142" t="str">
        <f t="shared" si="75"/>
        <v>{progress,0,5103001,15}</v>
      </c>
      <c r="AA320" s="142" t="str">
        <f t="shared" si="75"/>
        <v>{progress,40,5103003,25}</v>
      </c>
      <c r="AB320" s="142" t="str">
        <f t="shared" si="75"/>
        <v>{progress,0,50025,3}</v>
      </c>
      <c r="AC320" s="142" t="str">
        <f t="shared" si="75"/>
        <v>{progress,50,50002,5}</v>
      </c>
      <c r="AD320" s="142" t="str">
        <f t="shared" si="75"/>
        <v>{progress_rate_roll,100,5000,11,1}</v>
      </c>
      <c r="AF320" s="142" t="str">
        <f t="shared" ref="AF319:AF382" si="76">IF(K$311="","{progress_rate,"&amp;K$308&amp;","&amp;K320&amp;"}",IF(K320&gt;=1,"{progress,"&amp;K$311*100&amp;","&amp;K$308&amp;","&amp;K320&amp;"}","{progress_rate_roll,"&amp;K$311*100&amp;","&amp;INT(K320*10000)&amp;","&amp;K$308&amp;","&amp;1&amp;"}"))</f>
        <v>{progress,50,5203001,5}</v>
      </c>
      <c r="AG320" s="142" t="str">
        <f t="shared" si="69"/>
        <v>{progress,40,5303001,2}</v>
      </c>
      <c r="AH320" s="142" t="str">
        <f t="shared" si="70"/>
        <v>{progress,0,5401019,1}</v>
      </c>
      <c r="AI320" s="142"/>
      <c r="AJ320" s="142" t="str">
        <f t="shared" si="72"/>
        <v>{progress_rate_roll,100,1000,9,1}</v>
      </c>
      <c r="AN320" s="142" t="str">
        <f t="shared" si="57"/>
        <v>{progress,1,21360,1}</v>
      </c>
      <c r="AP320" s="142" t="str">
        <f t="shared" si="64"/>
        <v>[{progress_rate,2,84},{progress,0,2,210},{progress,0,5103001,15},{progress,40,5103003,25},{progress,0,50025,3},{progress,50,50002,5},{progress_rate_roll,100,5000,11,1},{progress,50,5203001,5},{progress,40,5303001,2},{progress,0,5401019,1},{progress_rate_roll,100,1000,9,1},{progress,1,21360,1}]</v>
      </c>
      <c r="AQ320" s="142" t="str">
        <f t="shared" si="58"/>
        <v>[{progress_rate,2,84},{progress,0,2,210},{progress,0,5103001,15},{progress,40,5103003,25},{progress,0,50025,3},{progress,50,50002,5},{progress_rate_roll,100,5000,11,1},{progress,50,5203001,5},{progress,40,5303001,2}]</v>
      </c>
      <c r="AR320" s="142" t="str">
        <f t="shared" si="65"/>
        <v>[{progress_rate,2,84},{progress,0,2,210},{progress,0,5103001,15},{progress,40,5103003,25},{progress,0,50005,3},{progress,50,50006,5},{progress,50,5203001,5},{progress,40,5303001,2},{progress_rate,2,600},{progress_rate,11,1},{progress_rate,50029,1},{progress_rate,5401007,1},{progress_rate,5401008,1}]</v>
      </c>
      <c r="AS320" s="142" t="str">
        <f t="shared" si="59"/>
        <v>[{progress_rate,2,84},{progress,0,2,210},{progress,0,5103001,15},{progress,40,5103003,25},{progress,0,50005,3},{progress,50,50006,5},{progress_rate_roll,100,5000,11,1},{progress,50,5203001,5},{progress,40,5303001,2},{progress_rate,2,600},{progress_rate,11,1},{progress_rate,50029,1},{progress_rate,5401007,1},{progress_rate,5401008,1}]</v>
      </c>
      <c r="AT320" s="142">
        <f>AT314</f>
        <v>50005</v>
      </c>
      <c r="AU320" s="142" t="str">
        <f t="shared" si="60"/>
        <v>{progress_rate,2,600},{progress_rate,11,1},{progress_rate,50029,1},{progress_rate,5401007,1},{progress_rate,5401008,1}</v>
      </c>
      <c r="AV320" s="142" t="str">
        <f t="shared" si="66"/>
        <v>{progress_rate,2,600}</v>
      </c>
      <c r="AW320" s="142" t="s">
        <v>175</v>
      </c>
      <c r="AX320" s="154" t="s">
        <v>193</v>
      </c>
      <c r="BA320" s="142" t="s">
        <v>194</v>
      </c>
      <c r="BB320" s="142" t="s">
        <v>195</v>
      </c>
    </row>
    <row r="321" spans="1:53">
      <c r="A321" s="143" t="str">
        <f t="shared" si="52"/>
        <v>[{2,296},{5103001,40},{14,60},{11,0},{5401000,0},{5203001,0},{5303001,0}]</v>
      </c>
      <c r="B321" s="98">
        <v>9</v>
      </c>
      <c r="C321" s="126">
        <v>86</v>
      </c>
      <c r="D321" s="126">
        <v>210</v>
      </c>
      <c r="E321" s="145">
        <v>15</v>
      </c>
      <c r="F321" s="145">
        <v>25</v>
      </c>
      <c r="G321" s="98">
        <v>3</v>
      </c>
      <c r="H321" s="98">
        <v>5</v>
      </c>
      <c r="I321" s="98">
        <v>0.5</v>
      </c>
      <c r="J321" s="98">
        <v>0</v>
      </c>
      <c r="K321" s="98">
        <v>5</v>
      </c>
      <c r="L321" s="98">
        <v>2</v>
      </c>
      <c r="M321" s="98">
        <v>1</v>
      </c>
      <c r="N321" s="98"/>
      <c r="O321" s="98">
        <v>0.1</v>
      </c>
      <c r="P321" s="98">
        <f t="shared" si="53"/>
        <v>134.8</v>
      </c>
      <c r="Q321" s="147">
        <f t="shared" si="54"/>
        <v>6.74</v>
      </c>
      <c r="R321" s="149">
        <v>600</v>
      </c>
      <c r="S321" s="132">
        <f t="shared" si="61"/>
        <v>43</v>
      </c>
      <c r="T321" s="132">
        <f t="shared" si="62"/>
        <v>172</v>
      </c>
      <c r="U321" s="80"/>
      <c r="V321" s="80">
        <v>21360</v>
      </c>
      <c r="W321" s="142">
        <f t="shared" si="55"/>
        <v>9</v>
      </c>
      <c r="X321" s="142" t="str">
        <f t="shared" ref="X321:AD321" si="77">IF(C$311="","{progress_rate,"&amp;C$308&amp;","&amp;C321&amp;"}",IF(C321&gt;=1,"{progress,"&amp;C$311*100&amp;","&amp;C$308&amp;","&amp;C321&amp;"}","{progress_rate_roll,"&amp;C$311*100&amp;","&amp;INT(C321*10000)&amp;","&amp;C$308&amp;","&amp;1&amp;"}"))</f>
        <v>{progress_rate,2,86}</v>
      </c>
      <c r="Y321" s="142" t="str">
        <f t="shared" si="77"/>
        <v>{progress,0,2,210}</v>
      </c>
      <c r="Z321" s="142" t="str">
        <f t="shared" si="77"/>
        <v>{progress,0,5103001,15}</v>
      </c>
      <c r="AA321" s="142" t="str">
        <f t="shared" si="77"/>
        <v>{progress,40,5103003,25}</v>
      </c>
      <c r="AB321" s="142" t="str">
        <f t="shared" si="77"/>
        <v>{progress,0,50025,3}</v>
      </c>
      <c r="AC321" s="142" t="str">
        <f t="shared" si="77"/>
        <v>{progress,50,50002,5}</v>
      </c>
      <c r="AD321" s="142" t="str">
        <f t="shared" si="77"/>
        <v>{progress_rate_roll,100,5000,11,1}</v>
      </c>
      <c r="AF321" s="142" t="str">
        <f t="shared" si="76"/>
        <v>{progress,50,5203001,5}</v>
      </c>
      <c r="AG321" s="142" t="str">
        <f t="shared" si="69"/>
        <v>{progress,40,5303001,2}</v>
      </c>
      <c r="AH321" s="142" t="str">
        <f t="shared" si="70"/>
        <v>{progress,0,5401019,1}</v>
      </c>
      <c r="AI321" s="142"/>
      <c r="AJ321" s="142" t="str">
        <f t="shared" si="72"/>
        <v>{progress_rate_roll,100,1000,9,1}</v>
      </c>
      <c r="AN321" s="142" t="str">
        <f t="shared" si="57"/>
        <v>{progress,1,21360,1}</v>
      </c>
      <c r="AP321" s="142" t="str">
        <f t="shared" si="64"/>
        <v>[{progress_rate,2,86},{progress,0,2,210},{progress,0,5103001,15},{progress,40,5103003,25},{progress,0,50025,3},{progress,50,50002,5},{progress_rate_roll,100,5000,11,1},{progress,50,5203001,5},{progress,40,5303001,2},{progress,0,5401019,1},{progress_rate_roll,100,1000,9,1},{progress,1,21360,1}]</v>
      </c>
      <c r="AQ321" s="142" t="str">
        <f t="shared" si="58"/>
        <v>[{progress_rate,2,86},{progress,0,2,210},{progress,0,5103001,15},{progress,40,5103003,25},{progress,0,50025,3},{progress,50,50002,5},{progress_rate_roll,100,5000,11,1},{progress,50,5203001,5},{progress,40,5303001,2}]</v>
      </c>
      <c r="AR321" s="142" t="str">
        <f t="shared" si="65"/>
        <v>[{progress_rate,2,86},{progress,0,2,210},{progress,0,5103001,15},{progress,40,5103003,25},{progress,0,50007,3},{progress,50,50008,5},{progress,50,5203001,5},{progress,40,5303001,2},{progress_rate,2,600},{progress_rate,11,1},{progress_rate,50030,1},{progress_rate,50016,1},{progress_rate,5401009,1}]</v>
      </c>
      <c r="AS321" s="142" t="str">
        <f t="shared" si="59"/>
        <v>[{progress_rate,2,86},{progress,0,2,210},{progress,0,5103001,15},{progress,40,5103003,25},{progress,0,50007,3},{progress,50,50008,5},{progress_rate_roll,100,5000,11,1},{progress,50,5203001,5},{progress,40,5303001,2},{progress_rate,2,600},{progress_rate,11,1},{progress_rate,50030,1},{progress_rate,50016,1},{progress_rate,5401009,1}]</v>
      </c>
      <c r="AT321" s="142">
        <f>AT315</f>
        <v>50007</v>
      </c>
      <c r="AU321" s="142" t="str">
        <f t="shared" si="60"/>
        <v>{progress_rate,2,600},{progress_rate,11,1},{progress_rate,50030,1},{progress_rate,50016,1},{progress_rate,5401009,1}</v>
      </c>
      <c r="AV321" s="142" t="str">
        <f t="shared" si="66"/>
        <v>{progress_rate,2,600}</v>
      </c>
      <c r="AW321" s="142" t="s">
        <v>175</v>
      </c>
      <c r="AX321" s="154" t="s">
        <v>196</v>
      </c>
      <c r="AY321" s="154" t="s">
        <v>177</v>
      </c>
      <c r="BA321" s="142" t="s">
        <v>197</v>
      </c>
    </row>
    <row r="322" spans="1:53">
      <c r="A322" s="143" t="str">
        <f t="shared" si="52"/>
        <v>[{2,298},{5103001,40},{14,60},{11,0},{5401000,0},{5203001,0},{5303001,0}]</v>
      </c>
      <c r="B322" s="98">
        <v>10</v>
      </c>
      <c r="C322" s="126">
        <v>86</v>
      </c>
      <c r="D322" s="126">
        <v>212</v>
      </c>
      <c r="E322" s="145">
        <v>15</v>
      </c>
      <c r="F322" s="145">
        <v>25</v>
      </c>
      <c r="G322" s="98">
        <v>3</v>
      </c>
      <c r="H322" s="98">
        <v>5</v>
      </c>
      <c r="I322" s="98">
        <v>0.5</v>
      </c>
      <c r="J322" s="98">
        <v>0</v>
      </c>
      <c r="K322" s="98">
        <v>5</v>
      </c>
      <c r="L322" s="98">
        <v>2</v>
      </c>
      <c r="M322" s="98">
        <v>1</v>
      </c>
      <c r="N322" s="98"/>
      <c r="O322" s="98">
        <v>0.1</v>
      </c>
      <c r="P322" s="98">
        <f t="shared" si="53"/>
        <v>134.9</v>
      </c>
      <c r="Q322" s="147">
        <f t="shared" si="54"/>
        <v>6.745</v>
      </c>
      <c r="R322" s="149">
        <v>600</v>
      </c>
      <c r="S322" s="132">
        <f t="shared" si="61"/>
        <v>43</v>
      </c>
      <c r="T322" s="132">
        <f t="shared" si="62"/>
        <v>172</v>
      </c>
      <c r="U322" s="80"/>
      <c r="V322" s="80">
        <v>21360</v>
      </c>
      <c r="W322" s="142">
        <f t="shared" si="55"/>
        <v>10</v>
      </c>
      <c r="X322" s="142" t="str">
        <f t="shared" ref="X322:AD322" si="78">IF(C$311="","{progress_rate,"&amp;C$308&amp;","&amp;C322&amp;"}",IF(C322&gt;=1,"{progress,"&amp;C$311*100&amp;","&amp;C$308&amp;","&amp;C322&amp;"}","{progress_rate_roll,"&amp;C$311*100&amp;","&amp;INT(C322*10000)&amp;","&amp;C$308&amp;","&amp;1&amp;"}"))</f>
        <v>{progress_rate,2,86}</v>
      </c>
      <c r="Y322" s="142" t="str">
        <f t="shared" si="78"/>
        <v>{progress,0,2,212}</v>
      </c>
      <c r="Z322" s="142" t="str">
        <f t="shared" si="78"/>
        <v>{progress,0,5103001,15}</v>
      </c>
      <c r="AA322" s="142" t="str">
        <f t="shared" si="78"/>
        <v>{progress,40,5103003,25}</v>
      </c>
      <c r="AB322" s="142" t="str">
        <f t="shared" si="78"/>
        <v>{progress,0,50025,3}</v>
      </c>
      <c r="AC322" s="142" t="str">
        <f t="shared" si="78"/>
        <v>{progress,50,50002,5}</v>
      </c>
      <c r="AD322" s="142" t="str">
        <f t="shared" si="78"/>
        <v>{progress_rate_roll,100,5000,11,1}</v>
      </c>
      <c r="AF322" s="142" t="str">
        <f t="shared" si="76"/>
        <v>{progress,50,5203001,5}</v>
      </c>
      <c r="AG322" s="142" t="str">
        <f t="shared" si="69"/>
        <v>{progress,40,5303001,2}</v>
      </c>
      <c r="AH322" s="142" t="str">
        <f t="shared" si="70"/>
        <v>{progress,0,5401019,1}</v>
      </c>
      <c r="AI322" s="142"/>
      <c r="AJ322" s="142" t="str">
        <f t="shared" si="72"/>
        <v>{progress_rate_roll,100,1000,9,1}</v>
      </c>
      <c r="AN322" s="142" t="str">
        <f t="shared" si="57"/>
        <v>{progress,1,21360,1}</v>
      </c>
      <c r="AP322" s="142" t="str">
        <f t="shared" si="64"/>
        <v>[{progress_rate,2,86},{progress,0,2,212},{progress,0,5103001,15},{progress,40,5103003,25},{progress,0,50025,3},{progress,50,50002,5},{progress_rate_roll,100,5000,11,1},{progress,50,5203001,5},{progress,40,5303001,2},{progress,0,5401019,1},{progress_rate_roll,100,1000,9,1},{progress,1,21360,1}]</v>
      </c>
      <c r="AQ322" s="142" t="str">
        <f>"["&amp;_xlfn.TEXTJOIN(",",1,X322:AM322)&amp;"]"</f>
        <v>[{progress_rate,2,86},{progress,0,2,212},{progress,0,5103001,15},{progress,40,5103003,25},{progress,0,50025,3},{progress,50,50002,5},{progress_rate_roll,100,5000,11,1},{progress,50,5203001,5},{progress,40,5303001,2},{progress,0,5401019,1},{progress_rate_roll,100,1000,9,1}]</v>
      </c>
      <c r="AR322" s="142" t="str">
        <f t="shared" si="65"/>
        <v>[{progress_rate,2,86},{progress,0,2,212},{progress,0,5103001,15},{progress,40,5103003,25},{progress,0,50025,3},{progress,50,50002,5},{progress,50,5203001,5},{progress,40,5303001,2},{progress,0,5401019,1},{progress_rate_roll,100,1000,9,1},{progress_rate,2,600},{progress_rate,11,1},{progress_rate,50031,1}]</v>
      </c>
      <c r="AS322" s="142" t="str">
        <f t="shared" si="59"/>
        <v>[{progress_rate,2,86},{progress,0,2,212},{progress,0,5103001,15},{progress,40,5103003,25},{progress,0,50025,3},{progress,50,50002,5},{progress_rate_roll,100,5000,11,1},{progress,50,5203001,5},{progress,40,5303001,2},{progress,0,5401019,1},{progress_rate_roll,100,1000,9,1},{progress_rate,2,600},{progress_rate,11,1},{progress_rate,50031,1}]</v>
      </c>
      <c r="AU322" s="142" t="str">
        <f t="shared" si="60"/>
        <v>{progress_rate,2,600},{progress_rate,11,1},{progress_rate,50031,1}</v>
      </c>
      <c r="AV322" s="142" t="str">
        <f t="shared" si="66"/>
        <v>{progress_rate,2,600}</v>
      </c>
      <c r="AW322" s="142" t="s">
        <v>175</v>
      </c>
      <c r="AX322" s="154" t="s">
        <v>198</v>
      </c>
    </row>
    <row r="323" spans="1:53">
      <c r="A323" s="143" t="str">
        <f t="shared" si="52"/>
        <v>[{2,300},{5103001,40},{14,60},{11,0},{5401000,0},{5203001,0},{5303001,0}]</v>
      </c>
      <c r="B323" s="98">
        <v>11</v>
      </c>
      <c r="C323" s="126">
        <v>86</v>
      </c>
      <c r="D323" s="126">
        <v>214</v>
      </c>
      <c r="E323" s="145">
        <v>15</v>
      </c>
      <c r="F323" s="145">
        <v>25</v>
      </c>
      <c r="G323" s="98">
        <v>3</v>
      </c>
      <c r="H323" s="98">
        <v>5</v>
      </c>
      <c r="I323" s="98">
        <v>0.5</v>
      </c>
      <c r="J323" s="98">
        <v>0</v>
      </c>
      <c r="K323" s="98">
        <v>5</v>
      </c>
      <c r="L323" s="98">
        <v>2</v>
      </c>
      <c r="M323" s="98">
        <v>1</v>
      </c>
      <c r="N323" s="98"/>
      <c r="O323" s="98">
        <v>0.1</v>
      </c>
      <c r="P323" s="98">
        <f t="shared" si="53"/>
        <v>135</v>
      </c>
      <c r="Q323" s="147">
        <f t="shared" si="54"/>
        <v>6.75</v>
      </c>
      <c r="R323" s="149">
        <v>600</v>
      </c>
      <c r="S323" s="132">
        <f t="shared" si="61"/>
        <v>43</v>
      </c>
      <c r="T323" s="132">
        <f t="shared" si="62"/>
        <v>172</v>
      </c>
      <c r="U323" s="80"/>
      <c r="V323" s="80">
        <v>21360</v>
      </c>
      <c r="W323" s="142">
        <f t="shared" si="55"/>
        <v>11</v>
      </c>
      <c r="X323" s="142" t="str">
        <f t="shared" ref="X323:AD323" si="79">IF(C$311="","{progress_rate,"&amp;C$308&amp;","&amp;C323&amp;"}",IF(C323&gt;=1,"{progress,"&amp;C$311*100&amp;","&amp;C$308&amp;","&amp;C323&amp;"}","{progress_rate_roll,"&amp;C$311*100&amp;","&amp;INT(C323*10000)&amp;","&amp;C$308&amp;","&amp;1&amp;"}"))</f>
        <v>{progress_rate,2,86}</v>
      </c>
      <c r="Y323" s="142" t="str">
        <f t="shared" si="79"/>
        <v>{progress,0,2,214}</v>
      </c>
      <c r="Z323" s="142" t="str">
        <f t="shared" si="79"/>
        <v>{progress,0,5103001,15}</v>
      </c>
      <c r="AA323" s="142" t="str">
        <f t="shared" si="79"/>
        <v>{progress,40,5103003,25}</v>
      </c>
      <c r="AB323" s="142" t="str">
        <f t="shared" si="79"/>
        <v>{progress,0,50025,3}</v>
      </c>
      <c r="AC323" s="142" t="str">
        <f t="shared" si="79"/>
        <v>{progress,50,50002,5}</v>
      </c>
      <c r="AD323" s="142" t="str">
        <f t="shared" si="79"/>
        <v>{progress_rate_roll,100,5000,11,1}</v>
      </c>
      <c r="AF323" s="142" t="str">
        <f t="shared" si="76"/>
        <v>{progress,50,5203001,5}</v>
      </c>
      <c r="AG323" s="142" t="str">
        <f t="shared" si="69"/>
        <v>{progress,40,5303001,2}</v>
      </c>
      <c r="AH323" s="142" t="str">
        <f t="shared" si="70"/>
        <v>{progress,0,5401019,1}</v>
      </c>
      <c r="AI323" s="142"/>
      <c r="AJ323" s="142" t="str">
        <f t="shared" si="72"/>
        <v>{progress_rate_roll,100,1000,9,1}</v>
      </c>
      <c r="AN323" s="142" t="str">
        <f t="shared" si="57"/>
        <v>{progress,1,21360,1}</v>
      </c>
      <c r="AO323" s="142" t="str">
        <f t="shared" ref="AO323:AO386" si="80">"{progress_rate_roll,100,5000,"&amp;V323&amp;",1}"</f>
        <v>{progress_rate_roll,100,5000,21360,1}</v>
      </c>
      <c r="AP323" s="142" t="str">
        <f t="shared" si="64"/>
        <v>[{progress_rate,2,86},{progress,0,2,214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23" s="142" t="str">
        <f t="shared" ref="AQ323:AQ386" si="81">"["&amp;_xlfn.TEXTJOIN(",",1,X323:AO323)&amp;"]"</f>
        <v>[{progress_rate,2,86},{progress,0,2,214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23" s="142" t="str">
        <f t="shared" si="65"/>
        <v>[{progress_rate,2,86},{progress,0,2,214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,{progress_rate,50032,1},{progress_rate,50017,1}]</v>
      </c>
      <c r="AS323" s="142" t="str">
        <f t="shared" si="59"/>
        <v>[{progress_rate,2,86},{progress,0,2,214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,{progress_rate,50032,1},{progress_rate,50017,1}]</v>
      </c>
      <c r="AU323" s="142" t="str">
        <f t="shared" si="60"/>
        <v>{progress_rate,2,600},{progress_rate,11,1},{progress_rate,50032,1},{progress_rate,50017,1}</v>
      </c>
      <c r="AV323" s="142" t="str">
        <f t="shared" si="66"/>
        <v>{progress_rate,2,600}</v>
      </c>
      <c r="AW323" s="142" t="s">
        <v>175</v>
      </c>
      <c r="AX323" s="154" t="s">
        <v>199</v>
      </c>
      <c r="AY323" s="154" t="s">
        <v>179</v>
      </c>
    </row>
    <row r="324" spans="1:53">
      <c r="A324" s="143" t="str">
        <f t="shared" si="52"/>
        <v>[{2,302},{5103001,40},{14,60},{11,0},{5401000,0},{5203001,0},{5303001,0}]</v>
      </c>
      <c r="B324" s="98">
        <v>12</v>
      </c>
      <c r="C324" s="126">
        <v>88</v>
      </c>
      <c r="D324" s="126">
        <v>214</v>
      </c>
      <c r="E324" s="145">
        <v>15</v>
      </c>
      <c r="F324" s="145">
        <v>25</v>
      </c>
      <c r="G324" s="98">
        <v>3</v>
      </c>
      <c r="H324" s="98">
        <v>5</v>
      </c>
      <c r="I324" s="98">
        <v>0.5</v>
      </c>
      <c r="J324" s="98">
        <v>0</v>
      </c>
      <c r="K324" s="98">
        <v>5</v>
      </c>
      <c r="L324" s="98">
        <v>2</v>
      </c>
      <c r="M324" s="98">
        <v>1</v>
      </c>
      <c r="N324" s="98"/>
      <c r="O324" s="98">
        <v>0.1</v>
      </c>
      <c r="P324" s="98">
        <f t="shared" si="53"/>
        <v>135.1</v>
      </c>
      <c r="Q324" s="147">
        <f t="shared" si="54"/>
        <v>6.755</v>
      </c>
      <c r="R324" s="149">
        <v>600</v>
      </c>
      <c r="S324" s="132">
        <f t="shared" si="61"/>
        <v>44</v>
      </c>
      <c r="T324" s="132">
        <f t="shared" si="62"/>
        <v>176</v>
      </c>
      <c r="U324" s="80"/>
      <c r="V324" s="80">
        <v>21360</v>
      </c>
      <c r="W324" s="142">
        <f t="shared" si="55"/>
        <v>12</v>
      </c>
      <c r="X324" s="142" t="str">
        <f t="shared" ref="X324:AD324" si="82">IF(C$311="","{progress_rate,"&amp;C$308&amp;","&amp;C324&amp;"}",IF(C324&gt;=1,"{progress,"&amp;C$311*100&amp;","&amp;C$308&amp;","&amp;C324&amp;"}","{progress_rate_roll,"&amp;C$311*100&amp;","&amp;INT(C324*10000)&amp;","&amp;C$308&amp;","&amp;1&amp;"}"))</f>
        <v>{progress_rate,2,88}</v>
      </c>
      <c r="Y324" s="142" t="str">
        <f t="shared" si="82"/>
        <v>{progress,0,2,214}</v>
      </c>
      <c r="Z324" s="142" t="str">
        <f t="shared" si="82"/>
        <v>{progress,0,5103001,15}</v>
      </c>
      <c r="AA324" s="142" t="str">
        <f t="shared" si="82"/>
        <v>{progress,40,5103003,25}</v>
      </c>
      <c r="AB324" s="142" t="str">
        <f t="shared" si="82"/>
        <v>{progress,0,50025,3}</v>
      </c>
      <c r="AC324" s="142" t="str">
        <f t="shared" si="82"/>
        <v>{progress,50,50002,5}</v>
      </c>
      <c r="AD324" s="142" t="str">
        <f t="shared" si="82"/>
        <v>{progress_rate_roll,100,5000,11,1}</v>
      </c>
      <c r="AF324" s="142" t="str">
        <f t="shared" si="76"/>
        <v>{progress,50,5203001,5}</v>
      </c>
      <c r="AG324" s="142" t="str">
        <f t="shared" si="69"/>
        <v>{progress,40,5303001,2}</v>
      </c>
      <c r="AH324" s="142" t="str">
        <f t="shared" si="70"/>
        <v>{progress,0,5401019,1}</v>
      </c>
      <c r="AI324" s="142"/>
      <c r="AJ324" s="142" t="str">
        <f t="shared" si="72"/>
        <v>{progress_rate_roll,100,1000,9,1}</v>
      </c>
      <c r="AN324" s="142" t="str">
        <f t="shared" si="57"/>
        <v>{progress,1,21360,1}</v>
      </c>
      <c r="AO324" s="142" t="str">
        <f t="shared" si="80"/>
        <v>{progress_rate_roll,100,5000,21360,1}</v>
      </c>
      <c r="AP324" s="142" t="str">
        <f t="shared" si="64"/>
        <v>[{progress_rate,2,88},{progress,0,2,214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24" s="142" t="str">
        <f t="shared" si="81"/>
        <v>[{progress_rate,2,88},{progress,0,2,214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24" s="142" t="str">
        <f t="shared" si="65"/>
        <v>[{progress_rate,2,88},{progress,0,2,214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24" s="142" t="str">
        <f t="shared" si="59"/>
        <v>[{progress_rate,2,88},{progress,0,2,214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24" s="142" t="str">
        <f t="shared" si="60"/>
        <v>{progress_rate,2,600},{progress_rate,11,1}</v>
      </c>
      <c r="AV324" s="142" t="str">
        <f t="shared" si="66"/>
        <v>{progress_rate,2,600}</v>
      </c>
      <c r="AW324" s="142" t="s">
        <v>175</v>
      </c>
    </row>
    <row r="325" spans="1:53">
      <c r="A325" s="143" t="str">
        <f t="shared" si="52"/>
        <v>[{2,304},{5103001,40},{14,60},{11,0},{5401000,0},{5203001,0},{5303001,0}]</v>
      </c>
      <c r="B325" s="98">
        <v>13</v>
      </c>
      <c r="C325" s="126">
        <v>88</v>
      </c>
      <c r="D325" s="126">
        <v>216</v>
      </c>
      <c r="E325" s="145">
        <v>15</v>
      </c>
      <c r="F325" s="145">
        <v>25</v>
      </c>
      <c r="G325" s="98">
        <v>3</v>
      </c>
      <c r="H325" s="98">
        <v>5</v>
      </c>
      <c r="I325" s="98">
        <v>0.5</v>
      </c>
      <c r="J325" s="98">
        <v>0</v>
      </c>
      <c r="K325" s="98">
        <v>5</v>
      </c>
      <c r="L325" s="98">
        <v>2</v>
      </c>
      <c r="M325" s="98">
        <v>1</v>
      </c>
      <c r="N325" s="98"/>
      <c r="O325" s="98">
        <v>0.1</v>
      </c>
      <c r="P325" s="98">
        <f t="shared" si="53"/>
        <v>135.2</v>
      </c>
      <c r="Q325" s="147">
        <f t="shared" si="54"/>
        <v>6.76</v>
      </c>
      <c r="R325" s="149">
        <v>600</v>
      </c>
      <c r="S325" s="132">
        <f t="shared" si="61"/>
        <v>44</v>
      </c>
      <c r="T325" s="132">
        <f t="shared" si="62"/>
        <v>176</v>
      </c>
      <c r="U325" s="80"/>
      <c r="V325" s="80">
        <v>21360</v>
      </c>
      <c r="W325" s="142">
        <f t="shared" si="55"/>
        <v>13</v>
      </c>
      <c r="X325" s="142" t="str">
        <f t="shared" ref="X325:AD325" si="83">IF(C$311="","{progress_rate,"&amp;C$308&amp;","&amp;C325&amp;"}",IF(C325&gt;=1,"{progress,"&amp;C$311*100&amp;","&amp;C$308&amp;","&amp;C325&amp;"}","{progress_rate_roll,"&amp;C$311*100&amp;","&amp;INT(C325*10000)&amp;","&amp;C$308&amp;","&amp;1&amp;"}"))</f>
        <v>{progress_rate,2,88}</v>
      </c>
      <c r="Y325" s="142" t="str">
        <f t="shared" si="83"/>
        <v>{progress,0,2,216}</v>
      </c>
      <c r="Z325" s="142" t="str">
        <f t="shared" si="83"/>
        <v>{progress,0,5103001,15}</v>
      </c>
      <c r="AA325" s="142" t="str">
        <f t="shared" si="83"/>
        <v>{progress,40,5103003,25}</v>
      </c>
      <c r="AB325" s="142" t="str">
        <f t="shared" si="83"/>
        <v>{progress,0,50025,3}</v>
      </c>
      <c r="AC325" s="142" t="str">
        <f t="shared" si="83"/>
        <v>{progress,50,50002,5}</v>
      </c>
      <c r="AD325" s="142" t="str">
        <f t="shared" si="83"/>
        <v>{progress_rate_roll,100,5000,11,1}</v>
      </c>
      <c r="AF325" s="142" t="str">
        <f t="shared" si="76"/>
        <v>{progress,50,5203001,5}</v>
      </c>
      <c r="AG325" s="142" t="str">
        <f t="shared" si="69"/>
        <v>{progress,40,5303001,2}</v>
      </c>
      <c r="AH325" s="142" t="str">
        <f t="shared" si="70"/>
        <v>{progress,0,5401019,1}</v>
      </c>
      <c r="AI325" s="142"/>
      <c r="AJ325" s="142" t="str">
        <f t="shared" si="72"/>
        <v>{progress_rate_roll,100,1000,9,1}</v>
      </c>
      <c r="AN325" s="142" t="str">
        <f t="shared" si="57"/>
        <v>{progress,1,21360,1}</v>
      </c>
      <c r="AO325" s="142" t="str">
        <f t="shared" si="80"/>
        <v>{progress_rate_roll,100,5000,21360,1}</v>
      </c>
      <c r="AP325" s="142" t="str">
        <f t="shared" si="64"/>
        <v>[{progress_rate,2,88},{progress,0,2,216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25" s="142" t="str">
        <f t="shared" si="81"/>
        <v>[{progress_rate,2,88},{progress,0,2,216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25" s="142" t="str">
        <f t="shared" si="65"/>
        <v>[{progress_rate,2,88},{progress,0,2,216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25" s="142" t="str">
        <f t="shared" si="59"/>
        <v>[{progress_rate,2,88},{progress,0,2,216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25" s="142" t="str">
        <f t="shared" si="60"/>
        <v>{progress_rate,2,600},{progress_rate,11,1}</v>
      </c>
      <c r="AV325" s="142" t="str">
        <f t="shared" si="66"/>
        <v>{progress_rate,2,600}</v>
      </c>
      <c r="AW325" s="142" t="s">
        <v>175</v>
      </c>
    </row>
    <row r="326" spans="1:53">
      <c r="A326" s="143" t="str">
        <f t="shared" si="52"/>
        <v>[{2,306},{5103001,40},{14,60},{11,0},{5401000,0},{5203001,0},{5303001,0}]</v>
      </c>
      <c r="B326" s="98">
        <v>14</v>
      </c>
      <c r="C326" s="126">
        <v>88</v>
      </c>
      <c r="D326" s="126">
        <v>218</v>
      </c>
      <c r="E326" s="145">
        <v>15</v>
      </c>
      <c r="F326" s="145">
        <v>25</v>
      </c>
      <c r="G326" s="98">
        <v>3</v>
      </c>
      <c r="H326" s="98">
        <v>5</v>
      </c>
      <c r="I326" s="98">
        <v>0.5</v>
      </c>
      <c r="J326" s="98">
        <v>0</v>
      </c>
      <c r="K326" s="98">
        <v>5</v>
      </c>
      <c r="L326" s="98">
        <v>2</v>
      </c>
      <c r="M326" s="98">
        <v>1</v>
      </c>
      <c r="N326" s="98"/>
      <c r="O326" s="98">
        <v>0.1</v>
      </c>
      <c r="P326" s="98">
        <f t="shared" si="53"/>
        <v>135.3</v>
      </c>
      <c r="Q326" s="147">
        <f t="shared" si="54"/>
        <v>6.765</v>
      </c>
      <c r="R326" s="149">
        <v>600</v>
      </c>
      <c r="S326" s="132">
        <f t="shared" si="61"/>
        <v>44</v>
      </c>
      <c r="T326" s="132">
        <f t="shared" si="62"/>
        <v>176</v>
      </c>
      <c r="U326" s="80"/>
      <c r="V326" s="80">
        <v>21360</v>
      </c>
      <c r="W326" s="142">
        <f t="shared" si="55"/>
        <v>14</v>
      </c>
      <c r="X326" s="142" t="str">
        <f t="shared" ref="X326:AD326" si="84">IF(C$311="","{progress_rate,"&amp;C$308&amp;","&amp;C326&amp;"}",IF(C326&gt;=1,"{progress,"&amp;C$311*100&amp;","&amp;C$308&amp;","&amp;C326&amp;"}","{progress_rate_roll,"&amp;C$311*100&amp;","&amp;INT(C326*10000)&amp;","&amp;C$308&amp;","&amp;1&amp;"}"))</f>
        <v>{progress_rate,2,88}</v>
      </c>
      <c r="Y326" s="142" t="str">
        <f t="shared" si="84"/>
        <v>{progress,0,2,218}</v>
      </c>
      <c r="Z326" s="142" t="str">
        <f t="shared" si="84"/>
        <v>{progress,0,5103001,15}</v>
      </c>
      <c r="AA326" s="142" t="str">
        <f t="shared" si="84"/>
        <v>{progress,40,5103003,25}</v>
      </c>
      <c r="AB326" s="142" t="str">
        <f t="shared" si="84"/>
        <v>{progress,0,50025,3}</v>
      </c>
      <c r="AC326" s="142" t="str">
        <f t="shared" si="84"/>
        <v>{progress,50,50002,5}</v>
      </c>
      <c r="AD326" s="142" t="str">
        <f t="shared" si="84"/>
        <v>{progress_rate_roll,100,5000,11,1}</v>
      </c>
      <c r="AF326" s="142" t="str">
        <f t="shared" si="76"/>
        <v>{progress,50,5203001,5}</v>
      </c>
      <c r="AG326" s="142" t="str">
        <f t="shared" si="69"/>
        <v>{progress,40,5303001,2}</v>
      </c>
      <c r="AH326" s="142" t="str">
        <f t="shared" si="70"/>
        <v>{progress,0,5401019,1}</v>
      </c>
      <c r="AI326" s="142"/>
      <c r="AJ326" s="142" t="str">
        <f t="shared" si="72"/>
        <v>{progress_rate_roll,100,1000,9,1}</v>
      </c>
      <c r="AN326" s="142" t="str">
        <f t="shared" si="57"/>
        <v>{progress,1,21360,1}</v>
      </c>
      <c r="AO326" s="142" t="str">
        <f t="shared" si="80"/>
        <v>{progress_rate_roll,100,5000,21360,1}</v>
      </c>
      <c r="AP326" s="142" t="str">
        <f t="shared" si="64"/>
        <v>[{progress_rate,2,88},{progress,0,2,218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26" s="142" t="str">
        <f t="shared" si="81"/>
        <v>[{progress_rate,2,88},{progress,0,2,218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26" s="142" t="str">
        <f t="shared" si="65"/>
        <v>[{progress_rate,2,88},{progress,0,2,218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26" s="142" t="str">
        <f t="shared" si="59"/>
        <v>[{progress_rate,2,88},{progress,0,2,218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26" s="142" t="str">
        <f t="shared" si="60"/>
        <v>{progress_rate,2,600},{progress_rate,11,1}</v>
      </c>
      <c r="AV326" s="142" t="str">
        <f t="shared" si="66"/>
        <v>{progress_rate,2,600}</v>
      </c>
      <c r="AW326" s="142" t="s">
        <v>175</v>
      </c>
    </row>
    <row r="327" spans="1:53">
      <c r="A327" s="143" t="str">
        <f t="shared" si="52"/>
        <v>[{2,308},{5103001,40},{14,60},{11,0},{5401000,0},{5203001,0},{5303001,0}]</v>
      </c>
      <c r="B327" s="98">
        <v>15</v>
      </c>
      <c r="C327" s="126">
        <v>88</v>
      </c>
      <c r="D327" s="126">
        <v>220</v>
      </c>
      <c r="E327" s="145">
        <v>15</v>
      </c>
      <c r="F327" s="145">
        <v>25</v>
      </c>
      <c r="G327" s="98">
        <v>3</v>
      </c>
      <c r="H327" s="98">
        <v>5</v>
      </c>
      <c r="I327" s="98">
        <v>0.5</v>
      </c>
      <c r="J327" s="98">
        <v>0</v>
      </c>
      <c r="K327" s="98">
        <v>5</v>
      </c>
      <c r="L327" s="98">
        <v>2</v>
      </c>
      <c r="M327" s="98">
        <v>1</v>
      </c>
      <c r="N327" s="98"/>
      <c r="O327" s="98">
        <v>0.1</v>
      </c>
      <c r="P327" s="98">
        <f t="shared" si="53"/>
        <v>135.4</v>
      </c>
      <c r="Q327" s="147">
        <f t="shared" si="54"/>
        <v>6.77</v>
      </c>
      <c r="R327" s="149">
        <v>600</v>
      </c>
      <c r="S327" s="132">
        <f t="shared" si="61"/>
        <v>44</v>
      </c>
      <c r="T327" s="132">
        <f t="shared" si="62"/>
        <v>176</v>
      </c>
      <c r="U327" s="80"/>
      <c r="V327" s="80">
        <v>21360</v>
      </c>
      <c r="W327" s="142">
        <f t="shared" si="55"/>
        <v>15</v>
      </c>
      <c r="X327" s="142" t="str">
        <f t="shared" ref="X327:AD327" si="85">IF(C$311="","{progress_rate,"&amp;C$308&amp;","&amp;C327&amp;"}",IF(C327&gt;=1,"{progress,"&amp;C$311*100&amp;","&amp;C$308&amp;","&amp;C327&amp;"}","{progress_rate_roll,"&amp;C$311*100&amp;","&amp;INT(C327*10000)&amp;","&amp;C$308&amp;","&amp;1&amp;"}"))</f>
        <v>{progress_rate,2,88}</v>
      </c>
      <c r="Y327" s="142" t="str">
        <f t="shared" si="85"/>
        <v>{progress,0,2,220}</v>
      </c>
      <c r="Z327" s="142" t="str">
        <f t="shared" si="85"/>
        <v>{progress,0,5103001,15}</v>
      </c>
      <c r="AA327" s="142" t="str">
        <f t="shared" si="85"/>
        <v>{progress,40,5103003,25}</v>
      </c>
      <c r="AB327" s="142" t="str">
        <f t="shared" si="85"/>
        <v>{progress,0,50025,3}</v>
      </c>
      <c r="AC327" s="142" t="str">
        <f t="shared" si="85"/>
        <v>{progress,50,50002,5}</v>
      </c>
      <c r="AD327" s="142" t="str">
        <f t="shared" si="85"/>
        <v>{progress_rate_roll,100,5000,11,1}</v>
      </c>
      <c r="AF327" s="142" t="str">
        <f t="shared" si="76"/>
        <v>{progress,50,5203001,5}</v>
      </c>
      <c r="AG327" s="142" t="str">
        <f t="shared" si="69"/>
        <v>{progress,40,5303001,2}</v>
      </c>
      <c r="AH327" s="142" t="str">
        <f t="shared" si="70"/>
        <v>{progress,0,5401019,1}</v>
      </c>
      <c r="AI327" s="142"/>
      <c r="AJ327" s="142" t="str">
        <f t="shared" si="72"/>
        <v>{progress_rate_roll,100,1000,9,1}</v>
      </c>
      <c r="AN327" s="142" t="str">
        <f t="shared" si="57"/>
        <v>{progress,1,21360,1}</v>
      </c>
      <c r="AO327" s="142" t="str">
        <f t="shared" si="80"/>
        <v>{progress_rate_roll,100,5000,21360,1}</v>
      </c>
      <c r="AP327" s="142" t="str">
        <f t="shared" si="64"/>
        <v>[{progress_rate,2,88},{progress,0,2,220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27" s="142" t="str">
        <f t="shared" si="81"/>
        <v>[{progress_rate,2,88},{progress,0,2,220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27" s="142" t="str">
        <f t="shared" si="65"/>
        <v>[{progress_rate,2,88},{progress,0,2,220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27" s="142" t="str">
        <f t="shared" si="59"/>
        <v>[{progress_rate,2,88},{progress,0,2,220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27" s="142" t="str">
        <f t="shared" si="60"/>
        <v>{progress_rate,2,600},{progress_rate,11,1}</v>
      </c>
      <c r="AV327" s="142" t="str">
        <f t="shared" si="66"/>
        <v>{progress_rate,2,600}</v>
      </c>
      <c r="AW327" s="142" t="s">
        <v>175</v>
      </c>
    </row>
    <row r="328" spans="1:53">
      <c r="A328" s="143" t="str">
        <f t="shared" si="52"/>
        <v>[{2,310},{5103001,40},{14,60},{11,0},{5401000,0},{5203001,0},{5303001,0}]</v>
      </c>
      <c r="B328" s="98">
        <v>16</v>
      </c>
      <c r="C328" s="126">
        <v>90</v>
      </c>
      <c r="D328" s="126">
        <v>220</v>
      </c>
      <c r="E328" s="145">
        <v>15</v>
      </c>
      <c r="F328" s="145">
        <v>25</v>
      </c>
      <c r="G328" s="98">
        <v>3</v>
      </c>
      <c r="H328" s="98">
        <v>5</v>
      </c>
      <c r="I328" s="98">
        <v>0.5</v>
      </c>
      <c r="J328" s="98">
        <v>0</v>
      </c>
      <c r="K328" s="98">
        <v>5</v>
      </c>
      <c r="L328" s="98">
        <v>2</v>
      </c>
      <c r="M328" s="98">
        <v>1</v>
      </c>
      <c r="N328" s="98"/>
      <c r="O328" s="98">
        <v>0.1</v>
      </c>
      <c r="P328" s="98">
        <f t="shared" si="53"/>
        <v>135.5</v>
      </c>
      <c r="Q328" s="147">
        <f t="shared" si="54"/>
        <v>6.775</v>
      </c>
      <c r="R328" s="149">
        <v>600</v>
      </c>
      <c r="S328" s="132">
        <f t="shared" si="61"/>
        <v>45</v>
      </c>
      <c r="T328" s="132">
        <f t="shared" si="62"/>
        <v>180</v>
      </c>
      <c r="U328" s="80"/>
      <c r="V328" s="80">
        <v>21360</v>
      </c>
      <c r="W328" s="142">
        <f t="shared" si="55"/>
        <v>16</v>
      </c>
      <c r="X328" s="142" t="str">
        <f t="shared" ref="X328:AD328" si="86">IF(C$311="","{progress_rate,"&amp;C$308&amp;","&amp;C328&amp;"}",IF(C328&gt;=1,"{progress,"&amp;C$311*100&amp;","&amp;C$308&amp;","&amp;C328&amp;"}","{progress_rate_roll,"&amp;C$311*100&amp;","&amp;INT(C328*10000)&amp;","&amp;C$308&amp;","&amp;1&amp;"}"))</f>
        <v>{progress_rate,2,90}</v>
      </c>
      <c r="Y328" s="142" t="str">
        <f t="shared" si="86"/>
        <v>{progress,0,2,220}</v>
      </c>
      <c r="Z328" s="142" t="str">
        <f t="shared" si="86"/>
        <v>{progress,0,5103001,15}</v>
      </c>
      <c r="AA328" s="142" t="str">
        <f t="shared" si="86"/>
        <v>{progress,40,5103003,25}</v>
      </c>
      <c r="AB328" s="142" t="str">
        <f t="shared" si="86"/>
        <v>{progress,0,50025,3}</v>
      </c>
      <c r="AC328" s="142" t="str">
        <f t="shared" si="86"/>
        <v>{progress,50,50002,5}</v>
      </c>
      <c r="AD328" s="142" t="str">
        <f t="shared" si="86"/>
        <v>{progress_rate_roll,100,5000,11,1}</v>
      </c>
      <c r="AF328" s="142" t="str">
        <f t="shared" si="76"/>
        <v>{progress,50,5203001,5}</v>
      </c>
      <c r="AG328" s="142" t="str">
        <f t="shared" si="69"/>
        <v>{progress,40,5303001,2}</v>
      </c>
      <c r="AH328" s="142" t="str">
        <f t="shared" si="70"/>
        <v>{progress,0,5401019,1}</v>
      </c>
      <c r="AI328" s="142"/>
      <c r="AJ328" s="142" t="str">
        <f t="shared" si="72"/>
        <v>{progress_rate_roll,100,1000,9,1}</v>
      </c>
      <c r="AN328" s="142" t="str">
        <f t="shared" si="57"/>
        <v>{progress,1,21360,1}</v>
      </c>
      <c r="AO328" s="142" t="str">
        <f t="shared" si="80"/>
        <v>{progress_rate_roll,100,5000,21360,1}</v>
      </c>
      <c r="AP328" s="142" t="str">
        <f t="shared" si="64"/>
        <v>[{progress_rate,2,90},{progress,0,2,220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28" s="142" t="str">
        <f t="shared" si="81"/>
        <v>[{progress_rate,2,90},{progress,0,2,220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28" s="142" t="str">
        <f t="shared" si="65"/>
        <v>[{progress_rate,2,90},{progress,0,2,220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28" s="142" t="str">
        <f t="shared" si="59"/>
        <v>[{progress_rate,2,90},{progress,0,2,220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28" s="142" t="str">
        <f t="shared" si="60"/>
        <v>{progress_rate,2,600},{progress_rate,11,1}</v>
      </c>
      <c r="AV328" s="142" t="str">
        <f t="shared" si="66"/>
        <v>{progress_rate,2,600}</v>
      </c>
      <c r="AW328" s="142" t="s">
        <v>175</v>
      </c>
    </row>
    <row r="329" spans="1:53">
      <c r="A329" s="143" t="str">
        <f t="shared" si="52"/>
        <v>[{2,312},{5103001,40},{14,60},{11,0},{5401000,0},{5203001,0},{5303001,0}]</v>
      </c>
      <c r="B329" s="98">
        <v>17</v>
      </c>
      <c r="C329" s="126">
        <v>90</v>
      </c>
      <c r="D329" s="126">
        <v>222</v>
      </c>
      <c r="E329" s="145">
        <v>15</v>
      </c>
      <c r="F329" s="145">
        <v>25</v>
      </c>
      <c r="G329" s="98">
        <v>3</v>
      </c>
      <c r="H329" s="98">
        <v>5</v>
      </c>
      <c r="I329" s="98">
        <v>0.5</v>
      </c>
      <c r="J329" s="98">
        <v>0</v>
      </c>
      <c r="K329" s="98">
        <v>5</v>
      </c>
      <c r="L329" s="98">
        <v>2</v>
      </c>
      <c r="M329" s="98">
        <v>1</v>
      </c>
      <c r="N329" s="98"/>
      <c r="O329" s="98">
        <v>0.1</v>
      </c>
      <c r="P329" s="98">
        <f t="shared" si="53"/>
        <v>135.6</v>
      </c>
      <c r="Q329" s="147">
        <f t="shared" si="54"/>
        <v>6.78</v>
      </c>
      <c r="R329" s="149">
        <v>600</v>
      </c>
      <c r="S329" s="132">
        <f t="shared" si="61"/>
        <v>45</v>
      </c>
      <c r="T329" s="132">
        <f t="shared" si="62"/>
        <v>180</v>
      </c>
      <c r="U329" s="80"/>
      <c r="V329" s="80">
        <v>21360</v>
      </c>
      <c r="W329" s="142">
        <f t="shared" si="55"/>
        <v>17</v>
      </c>
      <c r="X329" s="142" t="str">
        <f t="shared" ref="X329:AD329" si="87">IF(C$311="","{progress_rate,"&amp;C$308&amp;","&amp;C329&amp;"}",IF(C329&gt;=1,"{progress,"&amp;C$311*100&amp;","&amp;C$308&amp;","&amp;C329&amp;"}","{progress_rate_roll,"&amp;C$311*100&amp;","&amp;INT(C329*10000)&amp;","&amp;C$308&amp;","&amp;1&amp;"}"))</f>
        <v>{progress_rate,2,90}</v>
      </c>
      <c r="Y329" s="142" t="str">
        <f t="shared" si="87"/>
        <v>{progress,0,2,222}</v>
      </c>
      <c r="Z329" s="142" t="str">
        <f t="shared" si="87"/>
        <v>{progress,0,5103001,15}</v>
      </c>
      <c r="AA329" s="142" t="str">
        <f t="shared" si="87"/>
        <v>{progress,40,5103003,25}</v>
      </c>
      <c r="AB329" s="142" t="str">
        <f t="shared" si="87"/>
        <v>{progress,0,50025,3}</v>
      </c>
      <c r="AC329" s="142" t="str">
        <f t="shared" si="87"/>
        <v>{progress,50,50002,5}</v>
      </c>
      <c r="AD329" s="142" t="str">
        <f t="shared" si="87"/>
        <v>{progress_rate_roll,100,5000,11,1}</v>
      </c>
      <c r="AF329" s="142" t="str">
        <f t="shared" si="76"/>
        <v>{progress,50,5203001,5}</v>
      </c>
      <c r="AG329" s="142" t="str">
        <f t="shared" si="69"/>
        <v>{progress,40,5303001,2}</v>
      </c>
      <c r="AH329" s="142" t="str">
        <f t="shared" si="70"/>
        <v>{progress,0,5401019,1}</v>
      </c>
      <c r="AI329" s="142"/>
      <c r="AJ329" s="142" t="str">
        <f t="shared" si="72"/>
        <v>{progress_rate_roll,100,1000,9,1}</v>
      </c>
      <c r="AN329" s="142" t="str">
        <f t="shared" si="57"/>
        <v>{progress,1,21360,1}</v>
      </c>
      <c r="AO329" s="142" t="str">
        <f t="shared" si="80"/>
        <v>{progress_rate_roll,100,5000,21360,1}</v>
      </c>
      <c r="AP329" s="142" t="str">
        <f t="shared" si="64"/>
        <v>[{progress_rate,2,90},{progress,0,2,222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29" s="142" t="str">
        <f t="shared" si="81"/>
        <v>[{progress_rate,2,90},{progress,0,2,222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29" s="142" t="str">
        <f t="shared" si="65"/>
        <v>[{progress_rate,2,90},{progress,0,2,222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29" s="142" t="str">
        <f t="shared" si="59"/>
        <v>[{progress_rate,2,90},{progress,0,2,222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29" s="142" t="str">
        <f t="shared" si="60"/>
        <v>{progress_rate,2,600},{progress_rate,11,1}</v>
      </c>
      <c r="AV329" s="142" t="str">
        <f t="shared" si="66"/>
        <v>{progress_rate,2,600}</v>
      </c>
      <c r="AW329" s="142" t="s">
        <v>175</v>
      </c>
    </row>
    <row r="330" spans="1:53">
      <c r="A330" s="143" t="str">
        <f t="shared" si="52"/>
        <v>[{2,314},{5103001,40},{14,60},{11,0},{5401000,0},{5203001,0},{5303001,0}]</v>
      </c>
      <c r="B330" s="98">
        <v>18</v>
      </c>
      <c r="C330" s="126">
        <v>90</v>
      </c>
      <c r="D330" s="126">
        <v>224</v>
      </c>
      <c r="E330" s="145">
        <v>15</v>
      </c>
      <c r="F330" s="145">
        <v>25</v>
      </c>
      <c r="G330" s="98">
        <v>3</v>
      </c>
      <c r="H330" s="98">
        <v>5</v>
      </c>
      <c r="I330" s="98">
        <v>0.5</v>
      </c>
      <c r="J330" s="98">
        <v>0</v>
      </c>
      <c r="K330" s="98">
        <v>5</v>
      </c>
      <c r="L330" s="98">
        <v>2</v>
      </c>
      <c r="M330" s="98">
        <v>1</v>
      </c>
      <c r="N330" s="98"/>
      <c r="O330" s="98">
        <v>0.1</v>
      </c>
      <c r="P330" s="98">
        <f t="shared" si="53"/>
        <v>135.7</v>
      </c>
      <c r="Q330" s="147">
        <f t="shared" si="54"/>
        <v>6.785</v>
      </c>
      <c r="R330" s="149">
        <v>600</v>
      </c>
      <c r="S330" s="132">
        <f t="shared" si="61"/>
        <v>45</v>
      </c>
      <c r="T330" s="132">
        <f t="shared" si="62"/>
        <v>180</v>
      </c>
      <c r="U330" s="80"/>
      <c r="V330" s="80">
        <v>21360</v>
      </c>
      <c r="W330" s="142">
        <f t="shared" si="55"/>
        <v>18</v>
      </c>
      <c r="X330" s="142" t="str">
        <f t="shared" ref="X330:AD330" si="88">IF(C$311="","{progress_rate,"&amp;C$308&amp;","&amp;C330&amp;"}",IF(C330&gt;=1,"{progress,"&amp;C$311*100&amp;","&amp;C$308&amp;","&amp;C330&amp;"}","{progress_rate_roll,"&amp;C$311*100&amp;","&amp;INT(C330*10000)&amp;","&amp;C$308&amp;","&amp;1&amp;"}"))</f>
        <v>{progress_rate,2,90}</v>
      </c>
      <c r="Y330" s="142" t="str">
        <f t="shared" si="88"/>
        <v>{progress,0,2,224}</v>
      </c>
      <c r="Z330" s="142" t="str">
        <f t="shared" si="88"/>
        <v>{progress,0,5103001,15}</v>
      </c>
      <c r="AA330" s="142" t="str">
        <f t="shared" si="88"/>
        <v>{progress,40,5103003,25}</v>
      </c>
      <c r="AB330" s="142" t="str">
        <f t="shared" si="88"/>
        <v>{progress,0,50025,3}</v>
      </c>
      <c r="AC330" s="142" t="str">
        <f t="shared" si="88"/>
        <v>{progress,50,50002,5}</v>
      </c>
      <c r="AD330" s="142" t="str">
        <f t="shared" si="88"/>
        <v>{progress_rate_roll,100,5000,11,1}</v>
      </c>
      <c r="AF330" s="142" t="str">
        <f t="shared" si="76"/>
        <v>{progress,50,5203001,5}</v>
      </c>
      <c r="AG330" s="142" t="str">
        <f t="shared" si="69"/>
        <v>{progress,40,5303001,2}</v>
      </c>
      <c r="AH330" s="142" t="str">
        <f t="shared" si="70"/>
        <v>{progress,0,5401019,1}</v>
      </c>
      <c r="AI330" s="142"/>
      <c r="AJ330" s="142" t="str">
        <f t="shared" si="72"/>
        <v>{progress_rate_roll,100,1000,9,1}</v>
      </c>
      <c r="AN330" s="142" t="str">
        <f t="shared" si="57"/>
        <v>{progress,1,21360,1}</v>
      </c>
      <c r="AO330" s="142" t="str">
        <f t="shared" si="80"/>
        <v>{progress_rate_roll,100,5000,21360,1}</v>
      </c>
      <c r="AP330" s="142" t="str">
        <f t="shared" si="64"/>
        <v>[{progress_rate,2,90},{progress,0,2,224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30" s="142" t="str">
        <f t="shared" si="81"/>
        <v>[{progress_rate,2,90},{progress,0,2,224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30" s="142" t="str">
        <f t="shared" si="65"/>
        <v>[{progress_rate,2,90},{progress,0,2,224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30" s="142" t="str">
        <f t="shared" si="59"/>
        <v>[{progress_rate,2,90},{progress,0,2,224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30" s="142" t="str">
        <f t="shared" si="60"/>
        <v>{progress_rate,2,600},{progress_rate,11,1}</v>
      </c>
      <c r="AV330" s="142" t="str">
        <f t="shared" si="66"/>
        <v>{progress_rate,2,600}</v>
      </c>
      <c r="AW330" s="142" t="s">
        <v>175</v>
      </c>
    </row>
    <row r="331" spans="1:53">
      <c r="A331" s="143" t="str">
        <f t="shared" si="52"/>
        <v>[{2,316},{5103001,40},{14,60},{11,0},{5401000,0},{5203001,0},{5303001,0}]</v>
      </c>
      <c r="B331" s="98">
        <v>19</v>
      </c>
      <c r="C331" s="126">
        <v>92</v>
      </c>
      <c r="D331" s="126">
        <v>224</v>
      </c>
      <c r="E331" s="145">
        <v>15</v>
      </c>
      <c r="F331" s="145">
        <v>25</v>
      </c>
      <c r="G331" s="98">
        <v>3</v>
      </c>
      <c r="H331" s="98">
        <v>5</v>
      </c>
      <c r="I331" s="98">
        <v>0.5</v>
      </c>
      <c r="J331" s="98">
        <v>0</v>
      </c>
      <c r="K331" s="98">
        <v>5</v>
      </c>
      <c r="L331" s="98">
        <v>2</v>
      </c>
      <c r="M331" s="98">
        <v>1</v>
      </c>
      <c r="N331" s="98"/>
      <c r="O331" s="98">
        <v>0.1</v>
      </c>
      <c r="P331" s="98">
        <f t="shared" si="53"/>
        <v>135.8</v>
      </c>
      <c r="Q331" s="147">
        <f t="shared" si="54"/>
        <v>6.79</v>
      </c>
      <c r="R331" s="149">
        <v>600</v>
      </c>
      <c r="S331" s="132">
        <f t="shared" si="61"/>
        <v>46</v>
      </c>
      <c r="T331" s="132">
        <f t="shared" si="62"/>
        <v>184</v>
      </c>
      <c r="U331" s="80"/>
      <c r="V331" s="80">
        <v>21360</v>
      </c>
      <c r="W331" s="142">
        <f t="shared" si="55"/>
        <v>19</v>
      </c>
      <c r="X331" s="142" t="str">
        <f t="shared" ref="X331:AD331" si="89">IF(C$311="","{progress_rate,"&amp;C$308&amp;","&amp;C331&amp;"}",IF(C331&gt;=1,"{progress,"&amp;C$311*100&amp;","&amp;C$308&amp;","&amp;C331&amp;"}","{progress_rate_roll,"&amp;C$311*100&amp;","&amp;INT(C331*10000)&amp;","&amp;C$308&amp;","&amp;1&amp;"}"))</f>
        <v>{progress_rate,2,92}</v>
      </c>
      <c r="Y331" s="142" t="str">
        <f t="shared" si="89"/>
        <v>{progress,0,2,224}</v>
      </c>
      <c r="Z331" s="142" t="str">
        <f t="shared" si="89"/>
        <v>{progress,0,5103001,15}</v>
      </c>
      <c r="AA331" s="142" t="str">
        <f t="shared" si="89"/>
        <v>{progress,40,5103003,25}</v>
      </c>
      <c r="AB331" s="142" t="str">
        <f t="shared" si="89"/>
        <v>{progress,0,50025,3}</v>
      </c>
      <c r="AC331" s="142" t="str">
        <f t="shared" si="89"/>
        <v>{progress,50,50002,5}</v>
      </c>
      <c r="AD331" s="142" t="str">
        <f t="shared" si="89"/>
        <v>{progress_rate_roll,100,5000,11,1}</v>
      </c>
      <c r="AF331" s="142" t="str">
        <f t="shared" si="76"/>
        <v>{progress,50,5203001,5}</v>
      </c>
      <c r="AG331" s="142" t="str">
        <f t="shared" si="69"/>
        <v>{progress,40,5303001,2}</v>
      </c>
      <c r="AH331" s="142" t="str">
        <f t="shared" si="70"/>
        <v>{progress,0,5401019,1}</v>
      </c>
      <c r="AI331" s="142"/>
      <c r="AJ331" s="142" t="str">
        <f t="shared" si="72"/>
        <v>{progress_rate_roll,100,1000,9,1}</v>
      </c>
      <c r="AN331" s="142" t="str">
        <f t="shared" si="57"/>
        <v>{progress,1,21360,1}</v>
      </c>
      <c r="AO331" s="142" t="str">
        <f t="shared" si="80"/>
        <v>{progress_rate_roll,100,5000,21360,1}</v>
      </c>
      <c r="AP331" s="142" t="str">
        <f t="shared" si="64"/>
        <v>[{progress_rate,2,92},{progress,0,2,224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31" s="142" t="str">
        <f t="shared" si="81"/>
        <v>[{progress_rate,2,92},{progress,0,2,224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31" s="142" t="str">
        <f t="shared" si="65"/>
        <v>[{progress_rate,2,92},{progress,0,2,224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31" s="142" t="str">
        <f t="shared" si="59"/>
        <v>[{progress_rate,2,92},{progress,0,2,224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31" s="142" t="str">
        <f t="shared" si="60"/>
        <v>{progress_rate,2,600},{progress_rate,11,1}</v>
      </c>
      <c r="AV331" s="142" t="str">
        <f t="shared" si="66"/>
        <v>{progress_rate,2,600}</v>
      </c>
      <c r="AW331" s="142" t="s">
        <v>175</v>
      </c>
    </row>
    <row r="332" spans="1:53">
      <c r="A332" s="143" t="str">
        <f t="shared" si="52"/>
        <v>[{2,318},{5103001,40},{14,60},{11,0},{5401000,0},{5203001,0},{5303001,0}]</v>
      </c>
      <c r="B332" s="98">
        <v>20</v>
      </c>
      <c r="C332" s="126">
        <v>92</v>
      </c>
      <c r="D332" s="126">
        <v>226</v>
      </c>
      <c r="E332" s="145">
        <v>15</v>
      </c>
      <c r="F332" s="145">
        <v>25</v>
      </c>
      <c r="G332" s="98">
        <v>3</v>
      </c>
      <c r="H332" s="98">
        <v>5</v>
      </c>
      <c r="I332" s="98">
        <v>0.5</v>
      </c>
      <c r="J332" s="98">
        <v>0</v>
      </c>
      <c r="K332" s="98">
        <v>5</v>
      </c>
      <c r="L332" s="98">
        <v>2</v>
      </c>
      <c r="M332" s="98">
        <v>1</v>
      </c>
      <c r="N332" s="98"/>
      <c r="O332" s="98">
        <v>0.1</v>
      </c>
      <c r="P332" s="98">
        <f t="shared" si="53"/>
        <v>135.9</v>
      </c>
      <c r="Q332" s="147">
        <f t="shared" si="54"/>
        <v>6.795</v>
      </c>
      <c r="R332" s="149">
        <v>600</v>
      </c>
      <c r="S332" s="132">
        <f t="shared" si="61"/>
        <v>46</v>
      </c>
      <c r="T332" s="132">
        <f t="shared" si="62"/>
        <v>184</v>
      </c>
      <c r="U332" s="80"/>
      <c r="V332" s="80">
        <v>21360</v>
      </c>
      <c r="W332" s="142">
        <f t="shared" si="55"/>
        <v>20</v>
      </c>
      <c r="X332" s="142" t="str">
        <f t="shared" ref="X332:AD332" si="90">IF(C$311="","{progress_rate,"&amp;C$308&amp;","&amp;C332&amp;"}",IF(C332&gt;=1,"{progress,"&amp;C$311*100&amp;","&amp;C$308&amp;","&amp;C332&amp;"}","{progress_rate_roll,"&amp;C$311*100&amp;","&amp;INT(C332*10000)&amp;","&amp;C$308&amp;","&amp;1&amp;"}"))</f>
        <v>{progress_rate,2,92}</v>
      </c>
      <c r="Y332" s="142" t="str">
        <f t="shared" si="90"/>
        <v>{progress,0,2,226}</v>
      </c>
      <c r="Z332" s="142" t="str">
        <f t="shared" si="90"/>
        <v>{progress,0,5103001,15}</v>
      </c>
      <c r="AA332" s="142" t="str">
        <f t="shared" si="90"/>
        <v>{progress,40,5103003,25}</v>
      </c>
      <c r="AB332" s="142" t="str">
        <f t="shared" si="90"/>
        <v>{progress,0,50025,3}</v>
      </c>
      <c r="AC332" s="142" t="str">
        <f t="shared" si="90"/>
        <v>{progress,50,50002,5}</v>
      </c>
      <c r="AD332" s="142" t="str">
        <f t="shared" si="90"/>
        <v>{progress_rate_roll,100,5000,11,1}</v>
      </c>
      <c r="AF332" s="142" t="str">
        <f t="shared" si="76"/>
        <v>{progress,50,5203001,5}</v>
      </c>
      <c r="AG332" s="142" t="str">
        <f t="shared" si="69"/>
        <v>{progress,40,5303001,2}</v>
      </c>
      <c r="AH332" s="142" t="str">
        <f t="shared" si="70"/>
        <v>{progress,0,5401019,1}</v>
      </c>
      <c r="AI332" s="142"/>
      <c r="AJ332" s="142" t="str">
        <f t="shared" si="72"/>
        <v>{progress_rate_roll,100,1000,9,1}</v>
      </c>
      <c r="AN332" s="142" t="str">
        <f t="shared" si="57"/>
        <v>{progress,1,21360,1}</v>
      </c>
      <c r="AO332" s="142" t="str">
        <f t="shared" si="80"/>
        <v>{progress_rate_roll,100,5000,21360,1}</v>
      </c>
      <c r="AP332" s="142" t="str">
        <f t="shared" si="64"/>
        <v>[{progress_rate,2,92},{progress,0,2,226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32" s="142" t="str">
        <f t="shared" si="81"/>
        <v>[{progress_rate,2,92},{progress,0,2,226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32" s="142" t="str">
        <f t="shared" si="65"/>
        <v>[{progress_rate,2,92},{progress,0,2,226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32" s="142" t="str">
        <f t="shared" si="59"/>
        <v>[{progress_rate,2,92},{progress,0,2,226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32" s="142" t="str">
        <f t="shared" si="60"/>
        <v>{progress_rate,2,600},{progress_rate,11,1}</v>
      </c>
      <c r="AV332" s="142" t="str">
        <f t="shared" si="66"/>
        <v>{progress_rate,2,600}</v>
      </c>
      <c r="AW332" s="142" t="s">
        <v>175</v>
      </c>
    </row>
    <row r="333" spans="1:53">
      <c r="A333" s="143" t="str">
        <f t="shared" si="52"/>
        <v>[{2,320},{5103001,40},{14,60},{11,0},{5401000,0},{5203001,0},{5303001,0}]</v>
      </c>
      <c r="B333" s="98">
        <v>21</v>
      </c>
      <c r="C333" s="126">
        <v>92</v>
      </c>
      <c r="D333" s="126">
        <v>228</v>
      </c>
      <c r="E333" s="145">
        <v>15</v>
      </c>
      <c r="F333" s="145">
        <v>25</v>
      </c>
      <c r="G333" s="98">
        <v>3</v>
      </c>
      <c r="H333" s="98">
        <v>5</v>
      </c>
      <c r="I333" s="98">
        <v>0.5</v>
      </c>
      <c r="J333" s="98">
        <v>0</v>
      </c>
      <c r="K333" s="98">
        <v>5</v>
      </c>
      <c r="L333" s="98">
        <v>2</v>
      </c>
      <c r="M333" s="98">
        <v>1</v>
      </c>
      <c r="N333" s="98"/>
      <c r="O333" s="98">
        <v>0.1</v>
      </c>
      <c r="P333" s="98">
        <f t="shared" si="53"/>
        <v>136</v>
      </c>
      <c r="Q333" s="147">
        <f t="shared" si="54"/>
        <v>6.8</v>
      </c>
      <c r="R333" s="149">
        <v>600</v>
      </c>
      <c r="S333" s="132">
        <f t="shared" si="61"/>
        <v>46</v>
      </c>
      <c r="T333" s="132">
        <f t="shared" si="62"/>
        <v>184</v>
      </c>
      <c r="U333" s="80"/>
      <c r="V333" s="80">
        <v>21360</v>
      </c>
      <c r="W333" s="142">
        <f t="shared" si="55"/>
        <v>21</v>
      </c>
      <c r="X333" s="142" t="str">
        <f t="shared" ref="X333:AD333" si="91">IF(C$311="","{progress_rate,"&amp;C$308&amp;","&amp;C333&amp;"}",IF(C333&gt;=1,"{progress,"&amp;C$311*100&amp;","&amp;C$308&amp;","&amp;C333&amp;"}","{progress_rate_roll,"&amp;C$311*100&amp;","&amp;INT(C333*10000)&amp;","&amp;C$308&amp;","&amp;1&amp;"}"))</f>
        <v>{progress_rate,2,92}</v>
      </c>
      <c r="Y333" s="142" t="str">
        <f t="shared" si="91"/>
        <v>{progress,0,2,228}</v>
      </c>
      <c r="Z333" s="142" t="str">
        <f t="shared" si="91"/>
        <v>{progress,0,5103001,15}</v>
      </c>
      <c r="AA333" s="142" t="str">
        <f t="shared" si="91"/>
        <v>{progress,40,5103003,25}</v>
      </c>
      <c r="AB333" s="142" t="str">
        <f t="shared" si="91"/>
        <v>{progress,0,50025,3}</v>
      </c>
      <c r="AC333" s="142" t="str">
        <f t="shared" si="91"/>
        <v>{progress,50,50002,5}</v>
      </c>
      <c r="AD333" s="142" t="str">
        <f t="shared" si="91"/>
        <v>{progress_rate_roll,100,5000,11,1}</v>
      </c>
      <c r="AF333" s="142" t="str">
        <f t="shared" si="76"/>
        <v>{progress,50,5203001,5}</v>
      </c>
      <c r="AG333" s="142" t="str">
        <f t="shared" si="69"/>
        <v>{progress,40,5303001,2}</v>
      </c>
      <c r="AH333" s="142" t="str">
        <f t="shared" si="70"/>
        <v>{progress,0,5401019,1}</v>
      </c>
      <c r="AI333" s="142"/>
      <c r="AJ333" s="142" t="str">
        <f t="shared" si="72"/>
        <v>{progress_rate_roll,100,1000,9,1}</v>
      </c>
      <c r="AN333" s="142" t="str">
        <f t="shared" si="57"/>
        <v>{progress,1,21360,1}</v>
      </c>
      <c r="AO333" s="142" t="str">
        <f t="shared" si="80"/>
        <v>{progress_rate_roll,100,5000,21360,1}</v>
      </c>
      <c r="AP333" s="142" t="str">
        <f t="shared" si="64"/>
        <v>[{progress_rate,2,92},{progress,0,2,228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33" s="142" t="str">
        <f t="shared" si="81"/>
        <v>[{progress_rate,2,92},{progress,0,2,228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33" s="142" t="str">
        <f t="shared" si="65"/>
        <v>[{progress_rate,2,92},{progress,0,2,228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33" s="142" t="str">
        <f t="shared" si="59"/>
        <v>[{progress_rate,2,92},{progress,0,2,228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33" s="142" t="str">
        <f t="shared" si="60"/>
        <v>{progress_rate,2,600},{progress_rate,11,1}</v>
      </c>
      <c r="AV333" s="142" t="str">
        <f t="shared" si="66"/>
        <v>{progress_rate,2,600}</v>
      </c>
      <c r="AW333" s="142" t="s">
        <v>175</v>
      </c>
    </row>
    <row r="334" spans="1:53">
      <c r="A334" s="143" t="str">
        <f t="shared" si="52"/>
        <v>[{2,322},{5103001,40},{14,60},{11,0},{5401000,0},{5203001,0},{5303001,0}]</v>
      </c>
      <c r="B334" s="98">
        <v>22</v>
      </c>
      <c r="C334" s="126">
        <v>92</v>
      </c>
      <c r="D334" s="126">
        <v>230</v>
      </c>
      <c r="E334" s="145">
        <v>15</v>
      </c>
      <c r="F334" s="145">
        <v>25</v>
      </c>
      <c r="G334" s="98">
        <v>3</v>
      </c>
      <c r="H334" s="98">
        <v>5</v>
      </c>
      <c r="I334" s="98">
        <v>0.5</v>
      </c>
      <c r="J334" s="98">
        <v>0</v>
      </c>
      <c r="K334" s="98">
        <v>5</v>
      </c>
      <c r="L334" s="98">
        <v>2</v>
      </c>
      <c r="M334" s="98">
        <v>1</v>
      </c>
      <c r="N334" s="98"/>
      <c r="O334" s="98">
        <v>0.1</v>
      </c>
      <c r="P334" s="98">
        <f t="shared" si="53"/>
        <v>136.1</v>
      </c>
      <c r="Q334" s="147">
        <f t="shared" si="54"/>
        <v>6.805</v>
      </c>
      <c r="R334" s="149">
        <v>600</v>
      </c>
      <c r="S334" s="132">
        <f t="shared" si="61"/>
        <v>46</v>
      </c>
      <c r="T334" s="132">
        <f t="shared" si="62"/>
        <v>184</v>
      </c>
      <c r="U334" s="80"/>
      <c r="V334" s="80">
        <v>21360</v>
      </c>
      <c r="W334" s="142">
        <f t="shared" si="55"/>
        <v>22</v>
      </c>
      <c r="X334" s="142" t="str">
        <f t="shared" ref="X334:AD334" si="92">IF(C$311="","{progress_rate,"&amp;C$308&amp;","&amp;C334&amp;"}",IF(C334&gt;=1,"{progress,"&amp;C$311*100&amp;","&amp;C$308&amp;","&amp;C334&amp;"}","{progress_rate_roll,"&amp;C$311*100&amp;","&amp;INT(C334*10000)&amp;","&amp;C$308&amp;","&amp;1&amp;"}"))</f>
        <v>{progress_rate,2,92}</v>
      </c>
      <c r="Y334" s="142" t="str">
        <f t="shared" si="92"/>
        <v>{progress,0,2,230}</v>
      </c>
      <c r="Z334" s="142" t="str">
        <f t="shared" si="92"/>
        <v>{progress,0,5103001,15}</v>
      </c>
      <c r="AA334" s="142" t="str">
        <f t="shared" si="92"/>
        <v>{progress,40,5103003,25}</v>
      </c>
      <c r="AB334" s="142" t="str">
        <f t="shared" si="92"/>
        <v>{progress,0,50025,3}</v>
      </c>
      <c r="AC334" s="142" t="str">
        <f t="shared" si="92"/>
        <v>{progress,50,50002,5}</v>
      </c>
      <c r="AD334" s="142" t="str">
        <f t="shared" si="92"/>
        <v>{progress_rate_roll,100,5000,11,1}</v>
      </c>
      <c r="AF334" s="142" t="str">
        <f t="shared" si="76"/>
        <v>{progress,50,5203001,5}</v>
      </c>
      <c r="AG334" s="142" t="str">
        <f t="shared" si="69"/>
        <v>{progress,40,5303001,2}</v>
      </c>
      <c r="AH334" s="142" t="str">
        <f t="shared" si="70"/>
        <v>{progress,0,5401019,1}</v>
      </c>
      <c r="AI334" s="142"/>
      <c r="AJ334" s="142" t="str">
        <f t="shared" si="72"/>
        <v>{progress_rate_roll,100,1000,9,1}</v>
      </c>
      <c r="AN334" s="142" t="str">
        <f t="shared" si="57"/>
        <v>{progress,1,21360,1}</v>
      </c>
      <c r="AO334" s="142" t="str">
        <f t="shared" si="80"/>
        <v>{progress_rate_roll,100,5000,21360,1}</v>
      </c>
      <c r="AP334" s="142" t="str">
        <f t="shared" si="64"/>
        <v>[{progress_rate,2,92},{progress,0,2,230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34" s="142" t="str">
        <f t="shared" si="81"/>
        <v>[{progress_rate,2,92},{progress,0,2,230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34" s="142" t="str">
        <f t="shared" si="65"/>
        <v>[{progress_rate,2,92},{progress,0,2,230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34" s="142" t="str">
        <f t="shared" si="59"/>
        <v>[{progress_rate,2,92},{progress,0,2,230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34" s="142" t="str">
        <f t="shared" si="60"/>
        <v>{progress_rate,2,600},{progress_rate,11,1}</v>
      </c>
      <c r="AV334" s="142" t="str">
        <f t="shared" si="66"/>
        <v>{progress_rate,2,600}</v>
      </c>
      <c r="AW334" s="142" t="s">
        <v>175</v>
      </c>
    </row>
    <row r="335" spans="1:53">
      <c r="A335" s="143" t="str">
        <f t="shared" si="52"/>
        <v>[{2,324},{5103001,40},{14,60},{11,0},{5401000,0},{5203001,0},{5303001,0}]</v>
      </c>
      <c r="B335" s="98">
        <v>23</v>
      </c>
      <c r="C335" s="126">
        <v>94</v>
      </c>
      <c r="D335" s="126">
        <v>230</v>
      </c>
      <c r="E335" s="145">
        <v>15</v>
      </c>
      <c r="F335" s="145">
        <v>25</v>
      </c>
      <c r="G335" s="98">
        <v>3</v>
      </c>
      <c r="H335" s="98">
        <v>5</v>
      </c>
      <c r="I335" s="98">
        <v>0.5</v>
      </c>
      <c r="J335" s="98">
        <v>0</v>
      </c>
      <c r="K335" s="98">
        <v>5</v>
      </c>
      <c r="L335" s="98">
        <v>2</v>
      </c>
      <c r="M335" s="98">
        <v>1</v>
      </c>
      <c r="N335" s="98"/>
      <c r="O335" s="98">
        <v>0.1</v>
      </c>
      <c r="P335" s="98">
        <f t="shared" si="53"/>
        <v>136.2</v>
      </c>
      <c r="Q335" s="147">
        <f t="shared" si="54"/>
        <v>6.81</v>
      </c>
      <c r="R335" s="149">
        <v>600</v>
      </c>
      <c r="S335" s="132">
        <f t="shared" si="61"/>
        <v>47</v>
      </c>
      <c r="T335" s="132">
        <f t="shared" si="62"/>
        <v>188</v>
      </c>
      <c r="U335" s="80"/>
      <c r="V335" s="80">
        <v>21360</v>
      </c>
      <c r="W335" s="142">
        <f t="shared" si="55"/>
        <v>23</v>
      </c>
      <c r="X335" s="142" t="str">
        <f t="shared" ref="X335:AD335" si="93">IF(C$311="","{progress_rate,"&amp;C$308&amp;","&amp;C335&amp;"}",IF(C335&gt;=1,"{progress,"&amp;C$311*100&amp;","&amp;C$308&amp;","&amp;C335&amp;"}","{progress_rate_roll,"&amp;C$311*100&amp;","&amp;INT(C335*10000)&amp;","&amp;C$308&amp;","&amp;1&amp;"}"))</f>
        <v>{progress_rate,2,94}</v>
      </c>
      <c r="Y335" s="142" t="str">
        <f t="shared" si="93"/>
        <v>{progress,0,2,230}</v>
      </c>
      <c r="Z335" s="142" t="str">
        <f t="shared" si="93"/>
        <v>{progress,0,5103001,15}</v>
      </c>
      <c r="AA335" s="142" t="str">
        <f t="shared" si="93"/>
        <v>{progress,40,5103003,25}</v>
      </c>
      <c r="AB335" s="142" t="str">
        <f t="shared" si="93"/>
        <v>{progress,0,50025,3}</v>
      </c>
      <c r="AC335" s="142" t="str">
        <f t="shared" si="93"/>
        <v>{progress,50,50002,5}</v>
      </c>
      <c r="AD335" s="142" t="str">
        <f t="shared" si="93"/>
        <v>{progress_rate_roll,100,5000,11,1}</v>
      </c>
      <c r="AF335" s="142" t="str">
        <f t="shared" si="76"/>
        <v>{progress,50,5203001,5}</v>
      </c>
      <c r="AG335" s="142" t="str">
        <f t="shared" si="69"/>
        <v>{progress,40,5303001,2}</v>
      </c>
      <c r="AH335" s="142" t="str">
        <f t="shared" si="70"/>
        <v>{progress,0,5401019,1}</v>
      </c>
      <c r="AI335" s="142"/>
      <c r="AJ335" s="142" t="str">
        <f t="shared" si="72"/>
        <v>{progress_rate_roll,100,1000,9,1}</v>
      </c>
      <c r="AN335" s="142" t="str">
        <f t="shared" si="57"/>
        <v>{progress,1,21360,1}</v>
      </c>
      <c r="AO335" s="142" t="str">
        <f t="shared" si="80"/>
        <v>{progress_rate_roll,100,5000,21360,1}</v>
      </c>
      <c r="AP335" s="142" t="str">
        <f t="shared" si="64"/>
        <v>[{progress_rate,2,94},{progress,0,2,230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35" s="142" t="str">
        <f t="shared" si="81"/>
        <v>[{progress_rate,2,94},{progress,0,2,230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35" s="142" t="str">
        <f t="shared" si="65"/>
        <v>[{progress_rate,2,94},{progress,0,2,230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35" s="142" t="str">
        <f t="shared" si="59"/>
        <v>[{progress_rate,2,94},{progress,0,2,230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35" s="142" t="str">
        <f t="shared" si="60"/>
        <v>{progress_rate,2,600},{progress_rate,11,1}</v>
      </c>
      <c r="AV335" s="142" t="str">
        <f t="shared" si="66"/>
        <v>{progress_rate,2,600}</v>
      </c>
      <c r="AW335" s="142" t="s">
        <v>175</v>
      </c>
    </row>
    <row r="336" spans="1:53">
      <c r="A336" s="143" t="str">
        <f t="shared" si="52"/>
        <v>[{2,326},{5103001,40},{14,60},{11,0},{5401000,0},{5203001,0},{5303001,0}]</v>
      </c>
      <c r="B336" s="98">
        <v>24</v>
      </c>
      <c r="C336" s="126">
        <v>94</v>
      </c>
      <c r="D336" s="126">
        <v>232</v>
      </c>
      <c r="E336" s="145">
        <v>15</v>
      </c>
      <c r="F336" s="145">
        <v>25</v>
      </c>
      <c r="G336" s="98">
        <v>3</v>
      </c>
      <c r="H336" s="98">
        <v>5</v>
      </c>
      <c r="I336" s="98">
        <v>0.5</v>
      </c>
      <c r="J336" s="98">
        <v>0</v>
      </c>
      <c r="K336" s="98">
        <v>5</v>
      </c>
      <c r="L336" s="98">
        <v>2</v>
      </c>
      <c r="M336" s="98">
        <v>1</v>
      </c>
      <c r="N336" s="98"/>
      <c r="O336" s="98">
        <v>0.1</v>
      </c>
      <c r="P336" s="98">
        <f t="shared" si="53"/>
        <v>136.3</v>
      </c>
      <c r="Q336" s="147">
        <f t="shared" si="54"/>
        <v>6.815</v>
      </c>
      <c r="R336" s="149">
        <v>600</v>
      </c>
      <c r="S336" s="132">
        <f t="shared" si="61"/>
        <v>47</v>
      </c>
      <c r="T336" s="132">
        <f t="shared" si="62"/>
        <v>188</v>
      </c>
      <c r="U336" s="80"/>
      <c r="V336" s="80">
        <v>21360</v>
      </c>
      <c r="W336" s="142">
        <f t="shared" si="55"/>
        <v>24</v>
      </c>
      <c r="X336" s="142" t="str">
        <f t="shared" ref="X336:AD336" si="94">IF(C$311="","{progress_rate,"&amp;C$308&amp;","&amp;C336&amp;"}",IF(C336&gt;=1,"{progress,"&amp;C$311*100&amp;","&amp;C$308&amp;","&amp;C336&amp;"}","{progress_rate_roll,"&amp;C$311*100&amp;","&amp;INT(C336*10000)&amp;","&amp;C$308&amp;","&amp;1&amp;"}"))</f>
        <v>{progress_rate,2,94}</v>
      </c>
      <c r="Y336" s="142" t="str">
        <f t="shared" si="94"/>
        <v>{progress,0,2,232}</v>
      </c>
      <c r="Z336" s="142" t="str">
        <f t="shared" si="94"/>
        <v>{progress,0,5103001,15}</v>
      </c>
      <c r="AA336" s="142" t="str">
        <f t="shared" si="94"/>
        <v>{progress,40,5103003,25}</v>
      </c>
      <c r="AB336" s="142" t="str">
        <f t="shared" si="94"/>
        <v>{progress,0,50025,3}</v>
      </c>
      <c r="AC336" s="142" t="str">
        <f t="shared" si="94"/>
        <v>{progress,50,50002,5}</v>
      </c>
      <c r="AD336" s="142" t="str">
        <f t="shared" si="94"/>
        <v>{progress_rate_roll,100,5000,11,1}</v>
      </c>
      <c r="AF336" s="142" t="str">
        <f t="shared" si="76"/>
        <v>{progress,50,5203001,5}</v>
      </c>
      <c r="AG336" s="142" t="str">
        <f t="shared" si="69"/>
        <v>{progress,40,5303001,2}</v>
      </c>
      <c r="AH336" s="142" t="str">
        <f t="shared" si="70"/>
        <v>{progress,0,5401019,1}</v>
      </c>
      <c r="AI336" s="142"/>
      <c r="AJ336" s="142" t="str">
        <f t="shared" si="72"/>
        <v>{progress_rate_roll,100,1000,9,1}</v>
      </c>
      <c r="AN336" s="142" t="str">
        <f t="shared" si="57"/>
        <v>{progress,1,21360,1}</v>
      </c>
      <c r="AO336" s="142" t="str">
        <f t="shared" si="80"/>
        <v>{progress_rate_roll,100,5000,21360,1}</v>
      </c>
      <c r="AP336" s="142" t="str">
        <f t="shared" si="64"/>
        <v>[{progress_rate,2,94},{progress,0,2,232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36" s="142" t="str">
        <f t="shared" si="81"/>
        <v>[{progress_rate,2,94},{progress,0,2,232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36" s="142" t="str">
        <f t="shared" si="65"/>
        <v>[{progress_rate,2,94},{progress,0,2,232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36" s="142" t="str">
        <f t="shared" si="59"/>
        <v>[{progress_rate,2,94},{progress,0,2,232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36" s="142" t="str">
        <f t="shared" si="60"/>
        <v>{progress_rate,2,600},{progress_rate,11,1}</v>
      </c>
      <c r="AV336" s="142" t="str">
        <f t="shared" si="66"/>
        <v>{progress_rate,2,600}</v>
      </c>
      <c r="AW336" s="142" t="s">
        <v>175</v>
      </c>
    </row>
    <row r="337" spans="1:49">
      <c r="A337" s="143" t="str">
        <f t="shared" si="52"/>
        <v>[{2,328},{5103001,40},{14,60},{11,0},{5401000,0},{5203001,0},{5303001,0}]</v>
      </c>
      <c r="B337" s="98">
        <v>25</v>
      </c>
      <c r="C337" s="126">
        <v>94</v>
      </c>
      <c r="D337" s="126">
        <v>234</v>
      </c>
      <c r="E337" s="145">
        <v>15</v>
      </c>
      <c r="F337" s="145">
        <v>25</v>
      </c>
      <c r="G337" s="98">
        <v>3</v>
      </c>
      <c r="H337" s="98">
        <v>5</v>
      </c>
      <c r="I337" s="98">
        <v>0.5</v>
      </c>
      <c r="J337" s="98">
        <v>0</v>
      </c>
      <c r="K337" s="98">
        <v>5</v>
      </c>
      <c r="L337" s="98">
        <v>2</v>
      </c>
      <c r="M337" s="98">
        <v>1</v>
      </c>
      <c r="N337" s="98"/>
      <c r="O337" s="98">
        <v>0.1</v>
      </c>
      <c r="P337" s="98">
        <f t="shared" si="53"/>
        <v>136.4</v>
      </c>
      <c r="Q337" s="147">
        <f t="shared" si="54"/>
        <v>6.82</v>
      </c>
      <c r="R337" s="149">
        <v>600</v>
      </c>
      <c r="S337" s="132">
        <f t="shared" si="61"/>
        <v>47</v>
      </c>
      <c r="T337" s="132">
        <f t="shared" si="62"/>
        <v>188</v>
      </c>
      <c r="U337" s="80"/>
      <c r="V337" s="80">
        <v>21360</v>
      </c>
      <c r="W337" s="142">
        <f t="shared" si="55"/>
        <v>25</v>
      </c>
      <c r="X337" s="142" t="str">
        <f t="shared" ref="X337:AD337" si="95">IF(C$311="","{progress_rate,"&amp;C$308&amp;","&amp;C337&amp;"}",IF(C337&gt;=1,"{progress,"&amp;C$311*100&amp;","&amp;C$308&amp;","&amp;C337&amp;"}","{progress_rate_roll,"&amp;C$311*100&amp;","&amp;INT(C337*10000)&amp;","&amp;C$308&amp;","&amp;1&amp;"}"))</f>
        <v>{progress_rate,2,94}</v>
      </c>
      <c r="Y337" s="142" t="str">
        <f t="shared" si="95"/>
        <v>{progress,0,2,234}</v>
      </c>
      <c r="Z337" s="142" t="str">
        <f t="shared" si="95"/>
        <v>{progress,0,5103001,15}</v>
      </c>
      <c r="AA337" s="142" t="str">
        <f t="shared" si="95"/>
        <v>{progress,40,5103003,25}</v>
      </c>
      <c r="AB337" s="142" t="str">
        <f t="shared" si="95"/>
        <v>{progress,0,50025,3}</v>
      </c>
      <c r="AC337" s="142" t="str">
        <f t="shared" si="95"/>
        <v>{progress,50,50002,5}</v>
      </c>
      <c r="AD337" s="142" t="str">
        <f t="shared" si="95"/>
        <v>{progress_rate_roll,100,5000,11,1}</v>
      </c>
      <c r="AF337" s="142" t="str">
        <f t="shared" si="76"/>
        <v>{progress,50,5203001,5}</v>
      </c>
      <c r="AG337" s="142" t="str">
        <f t="shared" si="69"/>
        <v>{progress,40,5303001,2}</v>
      </c>
      <c r="AH337" s="142" t="str">
        <f t="shared" si="70"/>
        <v>{progress,0,5401019,1}</v>
      </c>
      <c r="AI337" s="142"/>
      <c r="AJ337" s="142" t="str">
        <f t="shared" si="72"/>
        <v>{progress_rate_roll,100,1000,9,1}</v>
      </c>
      <c r="AN337" s="142" t="str">
        <f t="shared" si="57"/>
        <v>{progress,1,21360,1}</v>
      </c>
      <c r="AO337" s="142" t="str">
        <f t="shared" si="80"/>
        <v>{progress_rate_roll,100,5000,21360,1}</v>
      </c>
      <c r="AP337" s="142" t="str">
        <f t="shared" si="64"/>
        <v>[{progress_rate,2,94},{progress,0,2,234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37" s="142" t="str">
        <f t="shared" si="81"/>
        <v>[{progress_rate,2,94},{progress,0,2,234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37" s="142" t="str">
        <f t="shared" si="65"/>
        <v>[{progress_rate,2,94},{progress,0,2,234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37" s="142" t="str">
        <f t="shared" si="59"/>
        <v>[{progress_rate,2,94},{progress,0,2,234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37" s="142" t="str">
        <f t="shared" si="60"/>
        <v>{progress_rate,2,600},{progress_rate,11,1}</v>
      </c>
      <c r="AV337" s="142" t="str">
        <f t="shared" si="66"/>
        <v>{progress_rate,2,600}</v>
      </c>
      <c r="AW337" s="142" t="s">
        <v>175</v>
      </c>
    </row>
    <row r="338" spans="1:49">
      <c r="A338" s="143" t="str">
        <f t="shared" si="52"/>
        <v>[{2,330},{5103001,40},{14,60},{11,0},{5401000,0},{5203001,0},{5303001,0}]</v>
      </c>
      <c r="B338" s="98">
        <v>26</v>
      </c>
      <c r="C338" s="126">
        <v>96</v>
      </c>
      <c r="D338" s="126">
        <v>234</v>
      </c>
      <c r="E338" s="145">
        <v>15</v>
      </c>
      <c r="F338" s="145">
        <v>25</v>
      </c>
      <c r="G338" s="98">
        <v>3</v>
      </c>
      <c r="H338" s="98">
        <v>5</v>
      </c>
      <c r="I338" s="98">
        <v>0.5</v>
      </c>
      <c r="J338" s="98">
        <v>0</v>
      </c>
      <c r="K338" s="98">
        <v>5</v>
      </c>
      <c r="L338" s="98">
        <v>2</v>
      </c>
      <c r="M338" s="98">
        <v>1</v>
      </c>
      <c r="N338" s="98"/>
      <c r="O338" s="98">
        <v>0.1</v>
      </c>
      <c r="P338" s="98">
        <f t="shared" si="53"/>
        <v>136.5</v>
      </c>
      <c r="Q338" s="147">
        <f t="shared" si="54"/>
        <v>6.825</v>
      </c>
      <c r="R338" s="149">
        <v>600</v>
      </c>
      <c r="S338" s="132">
        <f t="shared" si="61"/>
        <v>48</v>
      </c>
      <c r="T338" s="132">
        <f t="shared" si="62"/>
        <v>192</v>
      </c>
      <c r="U338" s="80"/>
      <c r="V338" s="80">
        <v>21360</v>
      </c>
      <c r="W338" s="142">
        <f t="shared" si="55"/>
        <v>26</v>
      </c>
      <c r="X338" s="142" t="str">
        <f t="shared" ref="X338:AD338" si="96">IF(C$311="","{progress_rate,"&amp;C$308&amp;","&amp;C338&amp;"}",IF(C338&gt;=1,"{progress,"&amp;C$311*100&amp;","&amp;C$308&amp;","&amp;C338&amp;"}","{progress_rate_roll,"&amp;C$311*100&amp;","&amp;INT(C338*10000)&amp;","&amp;C$308&amp;","&amp;1&amp;"}"))</f>
        <v>{progress_rate,2,96}</v>
      </c>
      <c r="Y338" s="142" t="str">
        <f t="shared" si="96"/>
        <v>{progress,0,2,234}</v>
      </c>
      <c r="Z338" s="142" t="str">
        <f t="shared" si="96"/>
        <v>{progress,0,5103001,15}</v>
      </c>
      <c r="AA338" s="142" t="str">
        <f t="shared" si="96"/>
        <v>{progress,40,5103003,25}</v>
      </c>
      <c r="AB338" s="142" t="str">
        <f t="shared" si="96"/>
        <v>{progress,0,50025,3}</v>
      </c>
      <c r="AC338" s="142" t="str">
        <f t="shared" si="96"/>
        <v>{progress,50,50002,5}</v>
      </c>
      <c r="AD338" s="142" t="str">
        <f t="shared" si="96"/>
        <v>{progress_rate_roll,100,5000,11,1}</v>
      </c>
      <c r="AF338" s="142" t="str">
        <f t="shared" si="76"/>
        <v>{progress,50,5203001,5}</v>
      </c>
      <c r="AG338" s="142" t="str">
        <f t="shared" si="69"/>
        <v>{progress,40,5303001,2}</v>
      </c>
      <c r="AH338" s="142" t="str">
        <f t="shared" si="70"/>
        <v>{progress,0,5401019,1}</v>
      </c>
      <c r="AI338" s="142"/>
      <c r="AJ338" s="142" t="str">
        <f t="shared" si="72"/>
        <v>{progress_rate_roll,100,1000,9,1}</v>
      </c>
      <c r="AN338" s="142" t="str">
        <f t="shared" si="57"/>
        <v>{progress,1,21360,1}</v>
      </c>
      <c r="AO338" s="142" t="str">
        <f t="shared" si="80"/>
        <v>{progress_rate_roll,100,5000,21360,1}</v>
      </c>
      <c r="AP338" s="142" t="str">
        <f t="shared" si="64"/>
        <v>[{progress_rate,2,96},{progress,0,2,234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38" s="142" t="str">
        <f t="shared" si="81"/>
        <v>[{progress_rate,2,96},{progress,0,2,234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38" s="142" t="str">
        <f t="shared" si="65"/>
        <v>[{progress_rate,2,96},{progress,0,2,234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38" s="142" t="str">
        <f t="shared" si="59"/>
        <v>[{progress_rate,2,96},{progress,0,2,234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38" s="142" t="str">
        <f t="shared" si="60"/>
        <v>{progress_rate,2,600},{progress_rate,11,1}</v>
      </c>
      <c r="AV338" s="142" t="str">
        <f t="shared" si="66"/>
        <v>{progress_rate,2,600}</v>
      </c>
      <c r="AW338" s="142" t="s">
        <v>175</v>
      </c>
    </row>
    <row r="339" spans="1:49">
      <c r="A339" s="143" t="str">
        <f t="shared" si="52"/>
        <v>[{2,332},{5103001,40},{14,60},{11,0},{5401000,0},{5203001,0},{5303001,0}]</v>
      </c>
      <c r="B339" s="98">
        <v>27</v>
      </c>
      <c r="C339" s="126">
        <v>96</v>
      </c>
      <c r="D339" s="126">
        <v>236</v>
      </c>
      <c r="E339" s="145">
        <v>15</v>
      </c>
      <c r="F339" s="145">
        <v>25</v>
      </c>
      <c r="G339" s="98">
        <v>3</v>
      </c>
      <c r="H339" s="98">
        <v>5</v>
      </c>
      <c r="I339" s="98">
        <v>0.5</v>
      </c>
      <c r="J339" s="98">
        <v>0</v>
      </c>
      <c r="K339" s="98">
        <v>5</v>
      </c>
      <c r="L339" s="98">
        <v>2</v>
      </c>
      <c r="M339" s="98">
        <v>1</v>
      </c>
      <c r="N339" s="98"/>
      <c r="O339" s="98">
        <v>0.1</v>
      </c>
      <c r="P339" s="98">
        <f t="shared" si="53"/>
        <v>136.6</v>
      </c>
      <c r="Q339" s="147">
        <f t="shared" si="54"/>
        <v>6.83</v>
      </c>
      <c r="R339" s="149">
        <v>600</v>
      </c>
      <c r="S339" s="132">
        <f t="shared" si="61"/>
        <v>48</v>
      </c>
      <c r="T339" s="132">
        <f t="shared" si="62"/>
        <v>192</v>
      </c>
      <c r="U339" s="80"/>
      <c r="V339" s="80">
        <v>21360</v>
      </c>
      <c r="W339" s="142">
        <f t="shared" si="55"/>
        <v>27</v>
      </c>
      <c r="X339" s="142" t="str">
        <f t="shared" ref="X339:AD339" si="97">IF(C$311="","{progress_rate,"&amp;C$308&amp;","&amp;C339&amp;"}",IF(C339&gt;=1,"{progress,"&amp;C$311*100&amp;","&amp;C$308&amp;","&amp;C339&amp;"}","{progress_rate_roll,"&amp;C$311*100&amp;","&amp;INT(C339*10000)&amp;","&amp;C$308&amp;","&amp;1&amp;"}"))</f>
        <v>{progress_rate,2,96}</v>
      </c>
      <c r="Y339" s="142" t="str">
        <f t="shared" si="97"/>
        <v>{progress,0,2,236}</v>
      </c>
      <c r="Z339" s="142" t="str">
        <f t="shared" si="97"/>
        <v>{progress,0,5103001,15}</v>
      </c>
      <c r="AA339" s="142" t="str">
        <f t="shared" si="97"/>
        <v>{progress,40,5103003,25}</v>
      </c>
      <c r="AB339" s="142" t="str">
        <f t="shared" si="97"/>
        <v>{progress,0,50025,3}</v>
      </c>
      <c r="AC339" s="142" t="str">
        <f t="shared" si="97"/>
        <v>{progress,50,50002,5}</v>
      </c>
      <c r="AD339" s="142" t="str">
        <f t="shared" si="97"/>
        <v>{progress_rate_roll,100,5000,11,1}</v>
      </c>
      <c r="AF339" s="142" t="str">
        <f t="shared" si="76"/>
        <v>{progress,50,5203001,5}</v>
      </c>
      <c r="AG339" s="142" t="str">
        <f t="shared" si="69"/>
        <v>{progress,40,5303001,2}</v>
      </c>
      <c r="AH339" s="142" t="str">
        <f t="shared" si="70"/>
        <v>{progress,0,5401019,1}</v>
      </c>
      <c r="AI339" s="142"/>
      <c r="AJ339" s="142" t="str">
        <f t="shared" si="72"/>
        <v>{progress_rate_roll,100,1000,9,1}</v>
      </c>
      <c r="AN339" s="142" t="str">
        <f t="shared" si="57"/>
        <v>{progress,1,21360,1}</v>
      </c>
      <c r="AO339" s="142" t="str">
        <f t="shared" si="80"/>
        <v>{progress_rate_roll,100,5000,21360,1}</v>
      </c>
      <c r="AP339" s="142" t="str">
        <f t="shared" si="64"/>
        <v>[{progress_rate,2,96},{progress,0,2,236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39" s="142" t="str">
        <f t="shared" si="81"/>
        <v>[{progress_rate,2,96},{progress,0,2,236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39" s="142" t="str">
        <f t="shared" si="65"/>
        <v>[{progress_rate,2,96},{progress,0,2,236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39" s="142" t="str">
        <f t="shared" si="59"/>
        <v>[{progress_rate,2,96},{progress,0,2,236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39" s="142" t="str">
        <f t="shared" si="60"/>
        <v>{progress_rate,2,600},{progress_rate,11,1}</v>
      </c>
      <c r="AV339" s="142" t="str">
        <f t="shared" si="66"/>
        <v>{progress_rate,2,600}</v>
      </c>
      <c r="AW339" s="142" t="s">
        <v>175</v>
      </c>
    </row>
    <row r="340" spans="1:49">
      <c r="A340" s="143" t="str">
        <f t="shared" si="52"/>
        <v>[{2,334},{5103001,40},{14,60},{11,0},{5401000,0},{5203001,0},{5303001,0}]</v>
      </c>
      <c r="B340" s="98">
        <v>28</v>
      </c>
      <c r="C340" s="126">
        <v>96</v>
      </c>
      <c r="D340" s="126">
        <v>238</v>
      </c>
      <c r="E340" s="145">
        <v>15</v>
      </c>
      <c r="F340" s="145">
        <v>25</v>
      </c>
      <c r="G340" s="98">
        <v>3</v>
      </c>
      <c r="H340" s="98">
        <v>5</v>
      </c>
      <c r="I340" s="98">
        <v>0.5</v>
      </c>
      <c r="J340" s="98">
        <v>0</v>
      </c>
      <c r="K340" s="98">
        <v>5</v>
      </c>
      <c r="L340" s="98">
        <v>2</v>
      </c>
      <c r="M340" s="98">
        <v>1</v>
      </c>
      <c r="N340" s="98"/>
      <c r="O340" s="98">
        <v>0.1</v>
      </c>
      <c r="P340" s="98">
        <f t="shared" si="53"/>
        <v>136.7</v>
      </c>
      <c r="Q340" s="147">
        <f t="shared" si="54"/>
        <v>6.835</v>
      </c>
      <c r="R340" s="149">
        <v>600</v>
      </c>
      <c r="S340" s="132">
        <f t="shared" si="61"/>
        <v>48</v>
      </c>
      <c r="T340" s="132">
        <f t="shared" si="62"/>
        <v>192</v>
      </c>
      <c r="U340" s="80"/>
      <c r="V340" s="80">
        <v>21360</v>
      </c>
      <c r="W340" s="142">
        <f t="shared" si="55"/>
        <v>28</v>
      </c>
      <c r="X340" s="142" t="str">
        <f t="shared" ref="X340:AD340" si="98">IF(C$311="","{progress_rate,"&amp;C$308&amp;","&amp;C340&amp;"}",IF(C340&gt;=1,"{progress,"&amp;C$311*100&amp;","&amp;C$308&amp;","&amp;C340&amp;"}","{progress_rate_roll,"&amp;C$311*100&amp;","&amp;INT(C340*10000)&amp;","&amp;C$308&amp;","&amp;1&amp;"}"))</f>
        <v>{progress_rate,2,96}</v>
      </c>
      <c r="Y340" s="142" t="str">
        <f t="shared" si="98"/>
        <v>{progress,0,2,238}</v>
      </c>
      <c r="Z340" s="142" t="str">
        <f t="shared" si="98"/>
        <v>{progress,0,5103001,15}</v>
      </c>
      <c r="AA340" s="142" t="str">
        <f t="shared" si="98"/>
        <v>{progress,40,5103003,25}</v>
      </c>
      <c r="AB340" s="142" t="str">
        <f t="shared" si="98"/>
        <v>{progress,0,50025,3}</v>
      </c>
      <c r="AC340" s="142" t="str">
        <f t="shared" si="98"/>
        <v>{progress,50,50002,5}</v>
      </c>
      <c r="AD340" s="142" t="str">
        <f t="shared" si="98"/>
        <v>{progress_rate_roll,100,5000,11,1}</v>
      </c>
      <c r="AF340" s="142" t="str">
        <f t="shared" si="76"/>
        <v>{progress,50,5203001,5}</v>
      </c>
      <c r="AG340" s="142" t="str">
        <f t="shared" si="69"/>
        <v>{progress,40,5303001,2}</v>
      </c>
      <c r="AH340" s="142" t="str">
        <f t="shared" si="70"/>
        <v>{progress,0,5401019,1}</v>
      </c>
      <c r="AI340" s="142"/>
      <c r="AJ340" s="142" t="str">
        <f t="shared" si="72"/>
        <v>{progress_rate_roll,100,1000,9,1}</v>
      </c>
      <c r="AN340" s="142" t="str">
        <f t="shared" si="57"/>
        <v>{progress,1,21360,1}</v>
      </c>
      <c r="AO340" s="142" t="str">
        <f t="shared" si="80"/>
        <v>{progress_rate_roll,100,5000,21360,1}</v>
      </c>
      <c r="AP340" s="142" t="str">
        <f t="shared" si="64"/>
        <v>[{progress_rate,2,96},{progress,0,2,238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40" s="142" t="str">
        <f t="shared" si="81"/>
        <v>[{progress_rate,2,96},{progress,0,2,238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40" s="142" t="str">
        <f t="shared" si="65"/>
        <v>[{progress_rate,2,96},{progress,0,2,238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40" s="142" t="str">
        <f t="shared" si="59"/>
        <v>[{progress_rate,2,96},{progress,0,2,238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40" s="142" t="str">
        <f t="shared" si="60"/>
        <v>{progress_rate,2,600},{progress_rate,11,1}</v>
      </c>
      <c r="AV340" s="142" t="str">
        <f t="shared" si="66"/>
        <v>{progress_rate,2,600}</v>
      </c>
      <c r="AW340" s="142" t="s">
        <v>175</v>
      </c>
    </row>
    <row r="341" spans="1:49">
      <c r="A341" s="143" t="str">
        <f t="shared" si="52"/>
        <v>[{2,336},{5103001,40},{14,60},{11,0},{5401000,0},{5203001,0},{5303001,0}]</v>
      </c>
      <c r="B341" s="98">
        <v>29</v>
      </c>
      <c r="C341" s="126">
        <v>96</v>
      </c>
      <c r="D341" s="126">
        <v>240</v>
      </c>
      <c r="E341" s="145">
        <v>15</v>
      </c>
      <c r="F341" s="145">
        <v>25</v>
      </c>
      <c r="G341" s="98">
        <v>3</v>
      </c>
      <c r="H341" s="98">
        <v>5</v>
      </c>
      <c r="I341" s="98">
        <v>0.5</v>
      </c>
      <c r="J341" s="98">
        <v>0</v>
      </c>
      <c r="K341" s="98">
        <v>5</v>
      </c>
      <c r="L341" s="98">
        <v>2</v>
      </c>
      <c r="M341" s="98">
        <v>1</v>
      </c>
      <c r="N341" s="98"/>
      <c r="O341" s="98">
        <v>0.1</v>
      </c>
      <c r="P341" s="98">
        <f t="shared" si="53"/>
        <v>136.8</v>
      </c>
      <c r="Q341" s="147">
        <f t="shared" si="54"/>
        <v>6.84</v>
      </c>
      <c r="R341" s="149">
        <v>600</v>
      </c>
      <c r="S341" s="132">
        <f t="shared" si="61"/>
        <v>48</v>
      </c>
      <c r="T341" s="132">
        <f t="shared" si="62"/>
        <v>192</v>
      </c>
      <c r="U341" s="80"/>
      <c r="V341" s="80">
        <v>21360</v>
      </c>
      <c r="W341" s="142">
        <f t="shared" si="55"/>
        <v>29</v>
      </c>
      <c r="X341" s="142" t="str">
        <f t="shared" ref="X341:AD341" si="99">IF(C$311="","{progress_rate,"&amp;C$308&amp;","&amp;C341&amp;"}",IF(C341&gt;=1,"{progress,"&amp;C$311*100&amp;","&amp;C$308&amp;","&amp;C341&amp;"}","{progress_rate_roll,"&amp;C$311*100&amp;","&amp;INT(C341*10000)&amp;","&amp;C$308&amp;","&amp;1&amp;"}"))</f>
        <v>{progress_rate,2,96}</v>
      </c>
      <c r="Y341" s="142" t="str">
        <f t="shared" si="99"/>
        <v>{progress,0,2,240}</v>
      </c>
      <c r="Z341" s="142" t="str">
        <f t="shared" si="99"/>
        <v>{progress,0,5103001,15}</v>
      </c>
      <c r="AA341" s="142" t="str">
        <f t="shared" si="99"/>
        <v>{progress,40,5103003,25}</v>
      </c>
      <c r="AB341" s="142" t="str">
        <f t="shared" si="99"/>
        <v>{progress,0,50025,3}</v>
      </c>
      <c r="AC341" s="142" t="str">
        <f t="shared" si="99"/>
        <v>{progress,50,50002,5}</v>
      </c>
      <c r="AD341" s="142" t="str">
        <f t="shared" si="99"/>
        <v>{progress_rate_roll,100,5000,11,1}</v>
      </c>
      <c r="AF341" s="142" t="str">
        <f t="shared" si="76"/>
        <v>{progress,50,5203001,5}</v>
      </c>
      <c r="AG341" s="142" t="str">
        <f t="shared" si="69"/>
        <v>{progress,40,5303001,2}</v>
      </c>
      <c r="AH341" s="142" t="str">
        <f t="shared" si="70"/>
        <v>{progress,0,5401019,1}</v>
      </c>
      <c r="AI341" s="142"/>
      <c r="AJ341" s="142" t="str">
        <f t="shared" si="72"/>
        <v>{progress_rate_roll,100,1000,9,1}</v>
      </c>
      <c r="AN341" s="142" t="str">
        <f t="shared" si="57"/>
        <v>{progress,1,21360,1}</v>
      </c>
      <c r="AO341" s="142" t="str">
        <f t="shared" si="80"/>
        <v>{progress_rate_roll,100,5000,21360,1}</v>
      </c>
      <c r="AP341" s="142" t="str">
        <f t="shared" si="64"/>
        <v>[{progress_rate,2,96},{progress,0,2,240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41" s="142" t="str">
        <f t="shared" si="81"/>
        <v>[{progress_rate,2,96},{progress,0,2,240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41" s="142" t="str">
        <f t="shared" si="65"/>
        <v>[{progress_rate,2,96},{progress,0,2,240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41" s="142" t="str">
        <f t="shared" si="59"/>
        <v>[{progress_rate,2,96},{progress,0,2,240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41" s="142" t="str">
        <f t="shared" si="60"/>
        <v>{progress_rate,2,600},{progress_rate,11,1}</v>
      </c>
      <c r="AV341" s="142" t="str">
        <f t="shared" si="66"/>
        <v>{progress_rate,2,600}</v>
      </c>
      <c r="AW341" s="142" t="s">
        <v>175</v>
      </c>
    </row>
    <row r="342" spans="1:49">
      <c r="A342" s="143" t="str">
        <f t="shared" si="52"/>
        <v>[{2,338},{5103001,40},{14,60},{11,0},{5401000,0},{5203001,0},{5303001,0}]</v>
      </c>
      <c r="B342" s="98">
        <v>30</v>
      </c>
      <c r="C342" s="126">
        <v>98</v>
      </c>
      <c r="D342" s="126">
        <v>240</v>
      </c>
      <c r="E342" s="145">
        <v>15</v>
      </c>
      <c r="F342" s="145">
        <v>25</v>
      </c>
      <c r="G342" s="98">
        <v>3</v>
      </c>
      <c r="H342" s="98">
        <v>5</v>
      </c>
      <c r="I342" s="98">
        <v>0.5</v>
      </c>
      <c r="J342" s="98">
        <v>0</v>
      </c>
      <c r="K342" s="98">
        <v>5</v>
      </c>
      <c r="L342" s="98">
        <v>2</v>
      </c>
      <c r="M342" s="98">
        <v>1</v>
      </c>
      <c r="N342" s="98"/>
      <c r="O342" s="98">
        <v>0.1</v>
      </c>
      <c r="P342" s="98">
        <f t="shared" si="53"/>
        <v>136.9</v>
      </c>
      <c r="Q342" s="147">
        <f t="shared" si="54"/>
        <v>6.845</v>
      </c>
      <c r="R342" s="149">
        <v>600</v>
      </c>
      <c r="S342" s="132">
        <f t="shared" si="61"/>
        <v>49</v>
      </c>
      <c r="T342" s="132">
        <f t="shared" si="62"/>
        <v>196</v>
      </c>
      <c r="U342" s="80"/>
      <c r="V342" s="80">
        <v>21360</v>
      </c>
      <c r="W342" s="142">
        <f t="shared" si="55"/>
        <v>30</v>
      </c>
      <c r="X342" s="142" t="str">
        <f t="shared" ref="X342:AD342" si="100">IF(C$311="","{progress_rate,"&amp;C$308&amp;","&amp;C342&amp;"}",IF(C342&gt;=1,"{progress,"&amp;C$311*100&amp;","&amp;C$308&amp;","&amp;C342&amp;"}","{progress_rate_roll,"&amp;C$311*100&amp;","&amp;INT(C342*10000)&amp;","&amp;C$308&amp;","&amp;1&amp;"}"))</f>
        <v>{progress_rate,2,98}</v>
      </c>
      <c r="Y342" s="142" t="str">
        <f t="shared" si="100"/>
        <v>{progress,0,2,240}</v>
      </c>
      <c r="Z342" s="142" t="str">
        <f t="shared" si="100"/>
        <v>{progress,0,5103001,15}</v>
      </c>
      <c r="AA342" s="142" t="str">
        <f t="shared" si="100"/>
        <v>{progress,40,5103003,25}</v>
      </c>
      <c r="AB342" s="142" t="str">
        <f t="shared" si="100"/>
        <v>{progress,0,50025,3}</v>
      </c>
      <c r="AC342" s="142" t="str">
        <f t="shared" si="100"/>
        <v>{progress,50,50002,5}</v>
      </c>
      <c r="AD342" s="142" t="str">
        <f t="shared" si="100"/>
        <v>{progress_rate_roll,100,5000,11,1}</v>
      </c>
      <c r="AF342" s="142" t="str">
        <f t="shared" si="76"/>
        <v>{progress,50,5203001,5}</v>
      </c>
      <c r="AG342" s="142" t="str">
        <f t="shared" si="69"/>
        <v>{progress,40,5303001,2}</v>
      </c>
      <c r="AH342" s="142" t="str">
        <f t="shared" si="70"/>
        <v>{progress,0,5401019,1}</v>
      </c>
      <c r="AI342" s="142"/>
      <c r="AJ342" s="142" t="str">
        <f t="shared" si="72"/>
        <v>{progress_rate_roll,100,1000,9,1}</v>
      </c>
      <c r="AN342" s="142" t="str">
        <f t="shared" si="57"/>
        <v>{progress,1,21360,1}</v>
      </c>
      <c r="AO342" s="142" t="str">
        <f t="shared" si="80"/>
        <v>{progress_rate_roll,100,5000,21360,1}</v>
      </c>
      <c r="AP342" s="142" t="str">
        <f t="shared" si="64"/>
        <v>[{progress_rate,2,98},{progress,0,2,240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42" s="142" t="str">
        <f t="shared" si="81"/>
        <v>[{progress_rate,2,98},{progress,0,2,240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42" s="142" t="str">
        <f t="shared" si="65"/>
        <v>[{progress_rate,2,98},{progress,0,2,240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42" s="142" t="str">
        <f t="shared" si="59"/>
        <v>[{progress_rate,2,98},{progress,0,2,240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42" s="142" t="str">
        <f t="shared" si="60"/>
        <v>{progress_rate,2,600},{progress_rate,11,1}</v>
      </c>
      <c r="AV342" s="142" t="str">
        <f t="shared" si="66"/>
        <v>{progress_rate,2,600}</v>
      </c>
      <c r="AW342" s="142" t="s">
        <v>175</v>
      </c>
    </row>
    <row r="343" spans="1:49">
      <c r="A343" s="143" t="str">
        <f t="shared" si="52"/>
        <v>[{2,340},{5103001,40},{14,60},{11,0},{5401000,0},{5203001,0},{5303001,0}]</v>
      </c>
      <c r="B343" s="98">
        <v>31</v>
      </c>
      <c r="C343" s="126">
        <v>98</v>
      </c>
      <c r="D343" s="126">
        <v>242</v>
      </c>
      <c r="E343" s="145">
        <v>15</v>
      </c>
      <c r="F343" s="145">
        <v>25</v>
      </c>
      <c r="G343" s="98">
        <v>3</v>
      </c>
      <c r="H343" s="98">
        <v>5</v>
      </c>
      <c r="I343" s="98">
        <v>0.5</v>
      </c>
      <c r="J343" s="98">
        <v>0</v>
      </c>
      <c r="K343" s="98">
        <v>5</v>
      </c>
      <c r="L343" s="98">
        <v>2</v>
      </c>
      <c r="M343" s="98">
        <v>1</v>
      </c>
      <c r="N343" s="98"/>
      <c r="O343" s="98">
        <v>0.1</v>
      </c>
      <c r="P343" s="98">
        <f t="shared" si="53"/>
        <v>137</v>
      </c>
      <c r="Q343" s="147">
        <f t="shared" si="54"/>
        <v>6.85</v>
      </c>
      <c r="R343" s="149">
        <v>600</v>
      </c>
      <c r="S343" s="132">
        <f t="shared" si="61"/>
        <v>49</v>
      </c>
      <c r="T343" s="132">
        <f t="shared" si="62"/>
        <v>196</v>
      </c>
      <c r="U343" s="80"/>
      <c r="V343" s="80">
        <v>21361</v>
      </c>
      <c r="W343" s="142">
        <f t="shared" si="55"/>
        <v>31</v>
      </c>
      <c r="X343" s="142" t="str">
        <f t="shared" ref="X343:AD343" si="101">IF(C$311="","{progress_rate,"&amp;C$308&amp;","&amp;C343&amp;"}",IF(C343&gt;=1,"{progress,"&amp;C$311*100&amp;","&amp;C$308&amp;","&amp;C343&amp;"}","{progress_rate_roll,"&amp;C$311*100&amp;","&amp;INT(C343*10000)&amp;","&amp;C$308&amp;","&amp;1&amp;"}"))</f>
        <v>{progress_rate,2,98}</v>
      </c>
      <c r="Y343" s="142" t="str">
        <f t="shared" si="101"/>
        <v>{progress,0,2,242}</v>
      </c>
      <c r="Z343" s="142" t="str">
        <f t="shared" si="101"/>
        <v>{progress,0,5103001,15}</v>
      </c>
      <c r="AA343" s="142" t="str">
        <f t="shared" si="101"/>
        <v>{progress,40,5103003,25}</v>
      </c>
      <c r="AB343" s="142" t="str">
        <f t="shared" si="101"/>
        <v>{progress,0,50025,3}</v>
      </c>
      <c r="AC343" s="142" t="str">
        <f t="shared" si="101"/>
        <v>{progress,50,50002,5}</v>
      </c>
      <c r="AD343" s="142" t="str">
        <f t="shared" si="101"/>
        <v>{progress_rate_roll,100,5000,11,1}</v>
      </c>
      <c r="AF343" s="142" t="str">
        <f t="shared" si="76"/>
        <v>{progress,50,5203001,5}</v>
      </c>
      <c r="AG343" s="142" t="str">
        <f t="shared" si="69"/>
        <v>{progress,40,5303001,2}</v>
      </c>
      <c r="AH343" s="142" t="str">
        <f t="shared" si="70"/>
        <v>{progress,0,5401019,1}</v>
      </c>
      <c r="AI343" s="142"/>
      <c r="AJ343" s="142" t="str">
        <f t="shared" si="72"/>
        <v>{progress_rate_roll,100,1000,9,1}</v>
      </c>
      <c r="AN343" s="142" t="str">
        <f t="shared" si="57"/>
        <v>{progress,1,21361,1}</v>
      </c>
      <c r="AO343" s="142" t="str">
        <f t="shared" si="80"/>
        <v>{progress_rate_roll,100,5000,21361,1}</v>
      </c>
      <c r="AP343" s="142" t="str">
        <f t="shared" si="64"/>
        <v>[{progress_rate,2,98},{progress,0,2,242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43" s="142" t="str">
        <f t="shared" si="81"/>
        <v>[{progress_rate,2,98},{progress,0,2,242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43" s="142" t="str">
        <f t="shared" si="65"/>
        <v>[{progress_rate,2,98},{progress,0,2,242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43" s="142" t="str">
        <f t="shared" si="59"/>
        <v>[{progress_rate,2,98},{progress,0,2,242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43" s="142" t="str">
        <f t="shared" si="60"/>
        <v>{progress_rate,2,600},{progress_rate,11,1}</v>
      </c>
      <c r="AV343" s="142" t="str">
        <f t="shared" si="66"/>
        <v>{progress_rate,2,600}</v>
      </c>
      <c r="AW343" s="142" t="s">
        <v>175</v>
      </c>
    </row>
    <row r="344" spans="1:49">
      <c r="A344" s="143" t="str">
        <f t="shared" si="52"/>
        <v>[{2,342},{5103001,40},{14,60},{11,0},{5401000,0},{5203001,0},{5303001,0}]</v>
      </c>
      <c r="B344" s="98">
        <v>32</v>
      </c>
      <c r="C344" s="126">
        <v>98</v>
      </c>
      <c r="D344" s="126">
        <v>244</v>
      </c>
      <c r="E344" s="145">
        <v>15</v>
      </c>
      <c r="F344" s="145">
        <v>25</v>
      </c>
      <c r="G344" s="98">
        <v>3</v>
      </c>
      <c r="H344" s="98">
        <v>5</v>
      </c>
      <c r="I344" s="98">
        <v>0.5</v>
      </c>
      <c r="J344" s="98">
        <v>0</v>
      </c>
      <c r="K344" s="98">
        <v>5</v>
      </c>
      <c r="L344" s="98">
        <v>2</v>
      </c>
      <c r="M344" s="98">
        <v>1</v>
      </c>
      <c r="N344" s="98"/>
      <c r="O344" s="98">
        <v>0.1</v>
      </c>
      <c r="P344" s="98">
        <f t="shared" si="53"/>
        <v>137.1</v>
      </c>
      <c r="Q344" s="147">
        <f t="shared" si="54"/>
        <v>6.855</v>
      </c>
      <c r="R344" s="149">
        <v>600</v>
      </c>
      <c r="S344" s="132">
        <f t="shared" si="61"/>
        <v>49</v>
      </c>
      <c r="T344" s="132">
        <f t="shared" si="62"/>
        <v>196</v>
      </c>
      <c r="U344" s="80"/>
      <c r="V344" s="80">
        <v>21361</v>
      </c>
      <c r="W344" s="142">
        <f t="shared" si="55"/>
        <v>32</v>
      </c>
      <c r="X344" s="142" t="str">
        <f t="shared" ref="X344:AD344" si="102">IF(C$311="","{progress_rate,"&amp;C$308&amp;","&amp;C344&amp;"}",IF(C344&gt;=1,"{progress,"&amp;C$311*100&amp;","&amp;C$308&amp;","&amp;C344&amp;"}","{progress_rate_roll,"&amp;C$311*100&amp;","&amp;INT(C344*10000)&amp;","&amp;C$308&amp;","&amp;1&amp;"}"))</f>
        <v>{progress_rate,2,98}</v>
      </c>
      <c r="Y344" s="142" t="str">
        <f t="shared" si="102"/>
        <v>{progress,0,2,244}</v>
      </c>
      <c r="Z344" s="142" t="str">
        <f t="shared" si="102"/>
        <v>{progress,0,5103001,15}</v>
      </c>
      <c r="AA344" s="142" t="str">
        <f t="shared" si="102"/>
        <v>{progress,40,5103003,25}</v>
      </c>
      <c r="AB344" s="142" t="str">
        <f t="shared" si="102"/>
        <v>{progress,0,50025,3}</v>
      </c>
      <c r="AC344" s="142" t="str">
        <f t="shared" si="102"/>
        <v>{progress,50,50002,5}</v>
      </c>
      <c r="AD344" s="142" t="str">
        <f t="shared" si="102"/>
        <v>{progress_rate_roll,100,5000,11,1}</v>
      </c>
      <c r="AF344" s="142" t="str">
        <f t="shared" si="76"/>
        <v>{progress,50,5203001,5}</v>
      </c>
      <c r="AG344" s="142" t="str">
        <f t="shared" si="69"/>
        <v>{progress,40,5303001,2}</v>
      </c>
      <c r="AH344" s="142" t="str">
        <f t="shared" si="70"/>
        <v>{progress,0,5401019,1}</v>
      </c>
      <c r="AI344" s="142"/>
      <c r="AJ344" s="142" t="str">
        <f t="shared" si="72"/>
        <v>{progress_rate_roll,100,1000,9,1}</v>
      </c>
      <c r="AN344" s="142" t="str">
        <f t="shared" si="57"/>
        <v>{progress,1,21361,1}</v>
      </c>
      <c r="AO344" s="142" t="str">
        <f t="shared" si="80"/>
        <v>{progress_rate_roll,100,5000,21361,1}</v>
      </c>
      <c r="AP344" s="142" t="str">
        <f t="shared" si="64"/>
        <v>[{progress_rate,2,98},{progress,0,2,244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44" s="142" t="str">
        <f t="shared" si="81"/>
        <v>[{progress_rate,2,98},{progress,0,2,244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44" s="142" t="str">
        <f t="shared" si="65"/>
        <v>[{progress_rate,2,98},{progress,0,2,244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44" s="142" t="str">
        <f t="shared" si="59"/>
        <v>[{progress_rate,2,98},{progress,0,2,244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44" s="142" t="str">
        <f t="shared" si="60"/>
        <v>{progress_rate,2,600},{progress_rate,11,1}</v>
      </c>
      <c r="AV344" s="142" t="str">
        <f t="shared" si="66"/>
        <v>{progress_rate,2,600}</v>
      </c>
      <c r="AW344" s="142" t="s">
        <v>175</v>
      </c>
    </row>
    <row r="345" spans="1:49">
      <c r="A345" s="143" t="str">
        <f t="shared" si="52"/>
        <v>[{2,344},{5103001,40},{14,60},{11,0},{5401000,0},{5203001,0},{5303001,0}]</v>
      </c>
      <c r="B345" s="98">
        <v>33</v>
      </c>
      <c r="C345" s="126">
        <v>100</v>
      </c>
      <c r="D345" s="126">
        <v>244</v>
      </c>
      <c r="E345" s="145">
        <v>15</v>
      </c>
      <c r="F345" s="145">
        <v>25</v>
      </c>
      <c r="G345" s="98">
        <v>3</v>
      </c>
      <c r="H345" s="98">
        <v>5</v>
      </c>
      <c r="I345" s="98">
        <v>0.5</v>
      </c>
      <c r="J345" s="98">
        <v>0</v>
      </c>
      <c r="K345" s="98">
        <v>5</v>
      </c>
      <c r="L345" s="98">
        <v>2</v>
      </c>
      <c r="M345" s="98">
        <v>1</v>
      </c>
      <c r="N345" s="98"/>
      <c r="O345" s="98">
        <v>0.1</v>
      </c>
      <c r="P345" s="98">
        <f t="shared" si="53"/>
        <v>137.2</v>
      </c>
      <c r="Q345" s="147">
        <f t="shared" si="54"/>
        <v>6.86</v>
      </c>
      <c r="R345" s="149">
        <v>600</v>
      </c>
      <c r="S345" s="132">
        <f t="shared" si="61"/>
        <v>50</v>
      </c>
      <c r="T345" s="132">
        <f t="shared" si="62"/>
        <v>200</v>
      </c>
      <c r="U345" s="80"/>
      <c r="V345" s="80">
        <v>21361</v>
      </c>
      <c r="W345" s="142">
        <f t="shared" si="55"/>
        <v>33</v>
      </c>
      <c r="X345" s="142" t="str">
        <f t="shared" ref="X345:AD345" si="103">IF(C$311="","{progress_rate,"&amp;C$308&amp;","&amp;C345&amp;"}",IF(C345&gt;=1,"{progress,"&amp;C$311*100&amp;","&amp;C$308&amp;","&amp;C345&amp;"}","{progress_rate_roll,"&amp;C$311*100&amp;","&amp;INT(C345*10000)&amp;","&amp;C$308&amp;","&amp;1&amp;"}"))</f>
        <v>{progress_rate,2,100}</v>
      </c>
      <c r="Y345" s="142" t="str">
        <f t="shared" si="103"/>
        <v>{progress,0,2,244}</v>
      </c>
      <c r="Z345" s="142" t="str">
        <f t="shared" si="103"/>
        <v>{progress,0,5103001,15}</v>
      </c>
      <c r="AA345" s="142" t="str">
        <f t="shared" si="103"/>
        <v>{progress,40,5103003,25}</v>
      </c>
      <c r="AB345" s="142" t="str">
        <f t="shared" si="103"/>
        <v>{progress,0,50025,3}</v>
      </c>
      <c r="AC345" s="142" t="str">
        <f t="shared" si="103"/>
        <v>{progress,50,50002,5}</v>
      </c>
      <c r="AD345" s="142" t="str">
        <f t="shared" si="103"/>
        <v>{progress_rate_roll,100,5000,11,1}</v>
      </c>
      <c r="AF345" s="142" t="str">
        <f t="shared" si="76"/>
        <v>{progress,50,5203001,5}</v>
      </c>
      <c r="AG345" s="142" t="str">
        <f t="shared" si="69"/>
        <v>{progress,40,5303001,2}</v>
      </c>
      <c r="AH345" s="142" t="str">
        <f t="shared" si="70"/>
        <v>{progress,0,5401019,1}</v>
      </c>
      <c r="AI345" s="142"/>
      <c r="AJ345" s="142" t="str">
        <f t="shared" si="72"/>
        <v>{progress_rate_roll,100,1000,9,1}</v>
      </c>
      <c r="AN345" s="142" t="str">
        <f t="shared" si="57"/>
        <v>{progress,1,21361,1}</v>
      </c>
      <c r="AO345" s="142" t="str">
        <f t="shared" si="80"/>
        <v>{progress_rate_roll,100,5000,21361,1}</v>
      </c>
      <c r="AP345" s="142" t="str">
        <f t="shared" si="64"/>
        <v>[{progress_rate,2,100},{progress,0,2,244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45" s="142" t="str">
        <f t="shared" si="81"/>
        <v>[{progress_rate,2,100},{progress,0,2,244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45" s="142" t="str">
        <f t="shared" si="65"/>
        <v>[{progress_rate,2,100},{progress,0,2,244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45" s="142" t="str">
        <f t="shared" si="59"/>
        <v>[{progress_rate,2,100},{progress,0,2,244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45" s="142" t="str">
        <f t="shared" si="60"/>
        <v>{progress_rate,2,600},{progress_rate,11,1}</v>
      </c>
      <c r="AV345" s="142" t="str">
        <f t="shared" si="66"/>
        <v>{progress_rate,2,600}</v>
      </c>
      <c r="AW345" s="142" t="s">
        <v>175</v>
      </c>
    </row>
    <row r="346" spans="1:49">
      <c r="A346" s="143" t="str">
        <f t="shared" si="52"/>
        <v>[{2,346},{5103001,40},{14,60},{11,0},{5401000,0},{5203001,0},{5303001,0}]</v>
      </c>
      <c r="B346" s="98">
        <v>34</v>
      </c>
      <c r="C346" s="126">
        <v>100</v>
      </c>
      <c r="D346" s="126">
        <v>246</v>
      </c>
      <c r="E346" s="145">
        <v>15</v>
      </c>
      <c r="F346" s="145">
        <v>25</v>
      </c>
      <c r="G346" s="98">
        <v>3</v>
      </c>
      <c r="H346" s="98">
        <v>5</v>
      </c>
      <c r="I346" s="98">
        <v>0.5</v>
      </c>
      <c r="J346" s="98">
        <v>0</v>
      </c>
      <c r="K346" s="98">
        <v>5</v>
      </c>
      <c r="L346" s="98">
        <v>2</v>
      </c>
      <c r="M346" s="98">
        <v>1</v>
      </c>
      <c r="N346" s="98"/>
      <c r="O346" s="98">
        <v>0.1</v>
      </c>
      <c r="P346" s="98">
        <f t="shared" si="53"/>
        <v>137.3</v>
      </c>
      <c r="Q346" s="147">
        <f t="shared" si="54"/>
        <v>6.865</v>
      </c>
      <c r="R346" s="149">
        <v>600</v>
      </c>
      <c r="S346" s="132">
        <f t="shared" ref="S346:S377" si="104">C346/2</f>
        <v>50</v>
      </c>
      <c r="T346" s="132">
        <f t="shared" si="62"/>
        <v>200</v>
      </c>
      <c r="U346" s="80"/>
      <c r="V346" s="80">
        <v>21361</v>
      </c>
      <c r="W346" s="142">
        <f t="shared" si="55"/>
        <v>34</v>
      </c>
      <c r="X346" s="142" t="str">
        <f t="shared" ref="X346:AD346" si="105">IF(C$311="","{progress_rate,"&amp;C$308&amp;","&amp;C346&amp;"}",IF(C346&gt;=1,"{progress,"&amp;C$311*100&amp;","&amp;C$308&amp;","&amp;C346&amp;"}","{progress_rate_roll,"&amp;C$311*100&amp;","&amp;INT(C346*10000)&amp;","&amp;C$308&amp;","&amp;1&amp;"}"))</f>
        <v>{progress_rate,2,100}</v>
      </c>
      <c r="Y346" s="142" t="str">
        <f t="shared" si="105"/>
        <v>{progress,0,2,246}</v>
      </c>
      <c r="Z346" s="142" t="str">
        <f t="shared" si="105"/>
        <v>{progress,0,5103001,15}</v>
      </c>
      <c r="AA346" s="142" t="str">
        <f t="shared" si="105"/>
        <v>{progress,40,5103003,25}</v>
      </c>
      <c r="AB346" s="142" t="str">
        <f t="shared" si="105"/>
        <v>{progress,0,50025,3}</v>
      </c>
      <c r="AC346" s="142" t="str">
        <f t="shared" si="105"/>
        <v>{progress,50,50002,5}</v>
      </c>
      <c r="AD346" s="142" t="str">
        <f t="shared" si="105"/>
        <v>{progress_rate_roll,100,5000,11,1}</v>
      </c>
      <c r="AF346" s="142" t="str">
        <f t="shared" si="76"/>
        <v>{progress,50,5203001,5}</v>
      </c>
      <c r="AG346" s="142" t="str">
        <f t="shared" si="69"/>
        <v>{progress,40,5303001,2}</v>
      </c>
      <c r="AH346" s="142" t="str">
        <f t="shared" si="70"/>
        <v>{progress,0,5401019,1}</v>
      </c>
      <c r="AI346" s="142"/>
      <c r="AJ346" s="142" t="str">
        <f t="shared" si="72"/>
        <v>{progress_rate_roll,100,1000,9,1}</v>
      </c>
      <c r="AN346" s="142" t="str">
        <f t="shared" si="57"/>
        <v>{progress,1,21361,1}</v>
      </c>
      <c r="AO346" s="142" t="str">
        <f t="shared" si="80"/>
        <v>{progress_rate_roll,100,5000,21361,1}</v>
      </c>
      <c r="AP346" s="142" t="str">
        <f t="shared" si="64"/>
        <v>[{progress_rate,2,100},{progress,0,2,246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46" s="142" t="str">
        <f t="shared" si="81"/>
        <v>[{progress_rate,2,100},{progress,0,2,246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46" s="142" t="str">
        <f t="shared" si="65"/>
        <v>[{progress_rate,2,100},{progress,0,2,246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46" s="142" t="str">
        <f t="shared" si="59"/>
        <v>[{progress_rate,2,100},{progress,0,2,246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46" s="142" t="str">
        <f t="shared" si="60"/>
        <v>{progress_rate,2,600},{progress_rate,11,1}</v>
      </c>
      <c r="AV346" s="142" t="str">
        <f t="shared" ref="AV346:AV377" si="106">"{progress_rate,2,"&amp;MIN(1200,600+INT(B346/10)*0)&amp;"}"</f>
        <v>{progress_rate,2,600}</v>
      </c>
      <c r="AW346" s="142" t="s">
        <v>175</v>
      </c>
    </row>
    <row r="347" spans="1:49">
      <c r="A347" s="143" t="str">
        <f t="shared" si="52"/>
        <v>[{2,348},{5103001,40},{14,60},{11,0},{5401000,0},{5203001,0},{5303001,0}]</v>
      </c>
      <c r="B347" s="98">
        <v>35</v>
      </c>
      <c r="C347" s="126">
        <v>100</v>
      </c>
      <c r="D347" s="126">
        <v>248</v>
      </c>
      <c r="E347" s="145">
        <v>15</v>
      </c>
      <c r="F347" s="145">
        <v>25</v>
      </c>
      <c r="G347" s="98">
        <v>3</v>
      </c>
      <c r="H347" s="98">
        <v>5</v>
      </c>
      <c r="I347" s="98">
        <v>0.5</v>
      </c>
      <c r="J347" s="98">
        <v>0</v>
      </c>
      <c r="K347" s="98">
        <v>5</v>
      </c>
      <c r="L347" s="98">
        <v>2</v>
      </c>
      <c r="M347" s="98">
        <v>1</v>
      </c>
      <c r="N347" s="98"/>
      <c r="O347" s="98">
        <v>0.1</v>
      </c>
      <c r="P347" s="98">
        <f t="shared" si="53"/>
        <v>137.4</v>
      </c>
      <c r="Q347" s="147">
        <f t="shared" si="54"/>
        <v>6.87</v>
      </c>
      <c r="R347" s="149">
        <v>600</v>
      </c>
      <c r="S347" s="132">
        <f t="shared" si="104"/>
        <v>50</v>
      </c>
      <c r="T347" s="132">
        <f t="shared" si="62"/>
        <v>200</v>
      </c>
      <c r="U347" s="80"/>
      <c r="V347" s="80">
        <v>21361</v>
      </c>
      <c r="W347" s="142">
        <f t="shared" si="55"/>
        <v>35</v>
      </c>
      <c r="X347" s="142" t="str">
        <f t="shared" ref="X347:AD347" si="107">IF(C$311="","{progress_rate,"&amp;C$308&amp;","&amp;C347&amp;"}",IF(C347&gt;=1,"{progress,"&amp;C$311*100&amp;","&amp;C$308&amp;","&amp;C347&amp;"}","{progress_rate_roll,"&amp;C$311*100&amp;","&amp;INT(C347*10000)&amp;","&amp;C$308&amp;","&amp;1&amp;"}"))</f>
        <v>{progress_rate,2,100}</v>
      </c>
      <c r="Y347" s="142" t="str">
        <f t="shared" si="107"/>
        <v>{progress,0,2,248}</v>
      </c>
      <c r="Z347" s="142" t="str">
        <f t="shared" si="107"/>
        <v>{progress,0,5103001,15}</v>
      </c>
      <c r="AA347" s="142" t="str">
        <f t="shared" si="107"/>
        <v>{progress,40,5103003,25}</v>
      </c>
      <c r="AB347" s="142" t="str">
        <f t="shared" si="107"/>
        <v>{progress,0,50025,3}</v>
      </c>
      <c r="AC347" s="142" t="str">
        <f t="shared" si="107"/>
        <v>{progress,50,50002,5}</v>
      </c>
      <c r="AD347" s="142" t="str">
        <f t="shared" si="107"/>
        <v>{progress_rate_roll,100,5000,11,1}</v>
      </c>
      <c r="AF347" s="142" t="str">
        <f t="shared" si="76"/>
        <v>{progress,50,5203001,5}</v>
      </c>
      <c r="AG347" s="142" t="str">
        <f t="shared" si="69"/>
        <v>{progress,40,5303001,2}</v>
      </c>
      <c r="AH347" s="142" t="str">
        <f t="shared" si="70"/>
        <v>{progress,0,5401019,1}</v>
      </c>
      <c r="AI347" s="142"/>
      <c r="AJ347" s="142" t="str">
        <f t="shared" si="72"/>
        <v>{progress_rate_roll,100,1000,9,1}</v>
      </c>
      <c r="AN347" s="142" t="str">
        <f t="shared" si="57"/>
        <v>{progress,1,21361,1}</v>
      </c>
      <c r="AO347" s="142" t="str">
        <f t="shared" si="80"/>
        <v>{progress_rate_roll,100,5000,21361,1}</v>
      </c>
      <c r="AP347" s="142" t="str">
        <f t="shared" si="64"/>
        <v>[{progress_rate,2,100},{progress,0,2,248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47" s="142" t="str">
        <f t="shared" si="81"/>
        <v>[{progress_rate,2,100},{progress,0,2,248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47" s="142" t="str">
        <f t="shared" si="65"/>
        <v>[{progress_rate,2,100},{progress,0,2,248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47" s="142" t="str">
        <f t="shared" si="59"/>
        <v>[{progress_rate,2,100},{progress,0,2,248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47" s="142" t="str">
        <f t="shared" si="60"/>
        <v>{progress_rate,2,600},{progress_rate,11,1}</v>
      </c>
      <c r="AV347" s="142" t="str">
        <f t="shared" si="106"/>
        <v>{progress_rate,2,600}</v>
      </c>
      <c r="AW347" s="142" t="s">
        <v>175</v>
      </c>
    </row>
    <row r="348" spans="1:49">
      <c r="A348" s="143" t="str">
        <f t="shared" si="52"/>
        <v>[{2,350},{5103001,40},{14,60},{11,0},{5401000,0},{5203001,0},{5303001,0}]</v>
      </c>
      <c r="B348" s="98">
        <v>36</v>
      </c>
      <c r="C348" s="126">
        <v>100</v>
      </c>
      <c r="D348" s="126">
        <v>250</v>
      </c>
      <c r="E348" s="145">
        <v>15</v>
      </c>
      <c r="F348" s="145">
        <v>25</v>
      </c>
      <c r="G348" s="98">
        <v>3</v>
      </c>
      <c r="H348" s="98">
        <v>5</v>
      </c>
      <c r="I348" s="98">
        <v>0.5</v>
      </c>
      <c r="J348" s="98">
        <v>0</v>
      </c>
      <c r="K348" s="98">
        <v>5</v>
      </c>
      <c r="L348" s="98">
        <v>2</v>
      </c>
      <c r="M348" s="98">
        <v>1</v>
      </c>
      <c r="N348" s="98"/>
      <c r="O348" s="98">
        <v>0.1</v>
      </c>
      <c r="P348" s="98">
        <f t="shared" si="53"/>
        <v>137.5</v>
      </c>
      <c r="Q348" s="147">
        <f t="shared" si="54"/>
        <v>6.875</v>
      </c>
      <c r="R348" s="149">
        <v>600</v>
      </c>
      <c r="S348" s="132">
        <f t="shared" si="104"/>
        <v>50</v>
      </c>
      <c r="T348" s="132">
        <f t="shared" si="62"/>
        <v>200</v>
      </c>
      <c r="U348" s="80"/>
      <c r="V348" s="80">
        <v>21361</v>
      </c>
      <c r="W348" s="142">
        <f t="shared" si="55"/>
        <v>36</v>
      </c>
      <c r="X348" s="142" t="str">
        <f t="shared" ref="X348:AD348" si="108">IF(C$311="","{progress_rate,"&amp;C$308&amp;","&amp;C348&amp;"}",IF(C348&gt;=1,"{progress,"&amp;C$311*100&amp;","&amp;C$308&amp;","&amp;C348&amp;"}","{progress_rate_roll,"&amp;C$311*100&amp;","&amp;INT(C348*10000)&amp;","&amp;C$308&amp;","&amp;1&amp;"}"))</f>
        <v>{progress_rate,2,100}</v>
      </c>
      <c r="Y348" s="142" t="str">
        <f t="shared" si="108"/>
        <v>{progress,0,2,250}</v>
      </c>
      <c r="Z348" s="142" t="str">
        <f t="shared" si="108"/>
        <v>{progress,0,5103001,15}</v>
      </c>
      <c r="AA348" s="142" t="str">
        <f t="shared" si="108"/>
        <v>{progress,40,5103003,25}</v>
      </c>
      <c r="AB348" s="142" t="str">
        <f t="shared" si="108"/>
        <v>{progress,0,50025,3}</v>
      </c>
      <c r="AC348" s="142" t="str">
        <f t="shared" si="108"/>
        <v>{progress,50,50002,5}</v>
      </c>
      <c r="AD348" s="142" t="str">
        <f t="shared" si="108"/>
        <v>{progress_rate_roll,100,5000,11,1}</v>
      </c>
      <c r="AF348" s="142" t="str">
        <f t="shared" si="76"/>
        <v>{progress,50,5203001,5}</v>
      </c>
      <c r="AG348" s="142" t="str">
        <f t="shared" si="69"/>
        <v>{progress,40,5303001,2}</v>
      </c>
      <c r="AH348" s="142" t="str">
        <f t="shared" si="70"/>
        <v>{progress,0,5401019,1}</v>
      </c>
      <c r="AI348" s="142"/>
      <c r="AJ348" s="142" t="str">
        <f t="shared" si="72"/>
        <v>{progress_rate_roll,100,1000,9,1}</v>
      </c>
      <c r="AN348" s="142" t="str">
        <f t="shared" si="57"/>
        <v>{progress,1,21361,1}</v>
      </c>
      <c r="AO348" s="142" t="str">
        <f t="shared" si="80"/>
        <v>{progress_rate_roll,100,5000,21361,1}</v>
      </c>
      <c r="AP348" s="142" t="str">
        <f t="shared" si="64"/>
        <v>[{progress_rate,2,100},{progress,0,2,250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48" s="142" t="str">
        <f t="shared" si="81"/>
        <v>[{progress_rate,2,100},{progress,0,2,250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48" s="142" t="str">
        <f t="shared" si="65"/>
        <v>[{progress_rate,2,100},{progress,0,2,250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48" s="142" t="str">
        <f t="shared" si="59"/>
        <v>[{progress_rate,2,100},{progress,0,2,250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48" s="142" t="str">
        <f t="shared" si="60"/>
        <v>{progress_rate,2,600},{progress_rate,11,1}</v>
      </c>
      <c r="AV348" s="142" t="str">
        <f t="shared" si="106"/>
        <v>{progress_rate,2,600}</v>
      </c>
      <c r="AW348" s="142" t="s">
        <v>175</v>
      </c>
    </row>
    <row r="349" spans="1:49">
      <c r="A349" s="143" t="str">
        <f t="shared" si="52"/>
        <v>[{2,352},{5103001,40},{14,60},{11,0},{5401000,0},{5203001,0},{5303001,0}]</v>
      </c>
      <c r="B349" s="98">
        <v>37</v>
      </c>
      <c r="C349" s="126">
        <v>102</v>
      </c>
      <c r="D349" s="126">
        <v>250</v>
      </c>
      <c r="E349" s="145">
        <v>15</v>
      </c>
      <c r="F349" s="145">
        <v>25</v>
      </c>
      <c r="G349" s="98">
        <v>3</v>
      </c>
      <c r="H349" s="98">
        <v>5</v>
      </c>
      <c r="I349" s="98">
        <v>0.5</v>
      </c>
      <c r="J349" s="98">
        <v>0</v>
      </c>
      <c r="K349" s="98">
        <v>5</v>
      </c>
      <c r="L349" s="98">
        <v>2</v>
      </c>
      <c r="M349" s="98">
        <v>1</v>
      </c>
      <c r="N349" s="98"/>
      <c r="O349" s="98">
        <v>0.1</v>
      </c>
      <c r="P349" s="98">
        <f t="shared" si="53"/>
        <v>137.6</v>
      </c>
      <c r="Q349" s="147">
        <f t="shared" si="54"/>
        <v>6.88</v>
      </c>
      <c r="R349" s="149">
        <v>600</v>
      </c>
      <c r="S349" s="132">
        <f t="shared" si="104"/>
        <v>51</v>
      </c>
      <c r="T349" s="132">
        <f t="shared" si="62"/>
        <v>204</v>
      </c>
      <c r="U349" s="80"/>
      <c r="V349" s="80">
        <v>21361</v>
      </c>
      <c r="W349" s="142">
        <f t="shared" si="55"/>
        <v>37</v>
      </c>
      <c r="X349" s="142" t="str">
        <f t="shared" ref="X349:AD349" si="109">IF(C$311="","{progress_rate,"&amp;C$308&amp;","&amp;C349&amp;"}",IF(C349&gt;=1,"{progress,"&amp;C$311*100&amp;","&amp;C$308&amp;","&amp;C349&amp;"}","{progress_rate_roll,"&amp;C$311*100&amp;","&amp;INT(C349*10000)&amp;","&amp;C$308&amp;","&amp;1&amp;"}"))</f>
        <v>{progress_rate,2,102}</v>
      </c>
      <c r="Y349" s="142" t="str">
        <f t="shared" si="109"/>
        <v>{progress,0,2,250}</v>
      </c>
      <c r="Z349" s="142" t="str">
        <f t="shared" si="109"/>
        <v>{progress,0,5103001,15}</v>
      </c>
      <c r="AA349" s="142" t="str">
        <f t="shared" si="109"/>
        <v>{progress,40,5103003,25}</v>
      </c>
      <c r="AB349" s="142" t="str">
        <f t="shared" si="109"/>
        <v>{progress,0,50025,3}</v>
      </c>
      <c r="AC349" s="142" t="str">
        <f t="shared" si="109"/>
        <v>{progress,50,50002,5}</v>
      </c>
      <c r="AD349" s="142" t="str">
        <f t="shared" si="109"/>
        <v>{progress_rate_roll,100,5000,11,1}</v>
      </c>
      <c r="AF349" s="142" t="str">
        <f t="shared" si="76"/>
        <v>{progress,50,5203001,5}</v>
      </c>
      <c r="AG349" s="142" t="str">
        <f t="shared" si="69"/>
        <v>{progress,40,5303001,2}</v>
      </c>
      <c r="AH349" s="142" t="str">
        <f t="shared" si="70"/>
        <v>{progress,0,5401019,1}</v>
      </c>
      <c r="AI349" s="142"/>
      <c r="AJ349" s="142" t="str">
        <f t="shared" ref="AJ349:AJ380" si="110">IF(O$311="","{progress_rate,"&amp;O$308&amp;","&amp;O349&amp;"}",IF(O349&gt;=1,"{progress,"&amp;O$311*100&amp;","&amp;O$308&amp;","&amp;O349&amp;"}","{progress_rate_roll,"&amp;O$311*100&amp;","&amp;INT(O349*10000)&amp;","&amp;O$308&amp;","&amp;1&amp;"}"))</f>
        <v>{progress_rate_roll,100,1000,9,1}</v>
      </c>
      <c r="AN349" s="142" t="str">
        <f t="shared" si="57"/>
        <v>{progress,1,21361,1}</v>
      </c>
      <c r="AO349" s="142" t="str">
        <f t="shared" si="80"/>
        <v>{progress_rate_roll,100,5000,21361,1}</v>
      </c>
      <c r="AP349" s="142" t="str">
        <f t="shared" si="64"/>
        <v>[{progress_rate,2,102},{progress,0,2,250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49" s="142" t="str">
        <f t="shared" si="81"/>
        <v>[{progress_rate,2,102},{progress,0,2,250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49" s="142" t="str">
        <f t="shared" si="65"/>
        <v>[{progress_rate,2,102},{progress,0,2,250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49" s="142" t="str">
        <f t="shared" si="59"/>
        <v>[{progress_rate,2,102},{progress,0,2,250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49" s="142" t="str">
        <f t="shared" si="60"/>
        <v>{progress_rate,2,600},{progress_rate,11,1}</v>
      </c>
      <c r="AV349" s="142" t="str">
        <f t="shared" si="106"/>
        <v>{progress_rate,2,600}</v>
      </c>
      <c r="AW349" s="142" t="s">
        <v>175</v>
      </c>
    </row>
    <row r="350" spans="1:49">
      <c r="A350" s="143" t="str">
        <f t="shared" si="52"/>
        <v>[{2,354},{5103001,40},{14,60},{11,0},{5401000,0},{5203001,0},{5303001,0}]</v>
      </c>
      <c r="B350" s="98">
        <v>38</v>
      </c>
      <c r="C350" s="126">
        <v>102</v>
      </c>
      <c r="D350" s="126">
        <v>252</v>
      </c>
      <c r="E350" s="145">
        <v>15</v>
      </c>
      <c r="F350" s="145">
        <v>25</v>
      </c>
      <c r="G350" s="98">
        <v>3</v>
      </c>
      <c r="H350" s="98">
        <v>5</v>
      </c>
      <c r="I350" s="98">
        <v>0.5</v>
      </c>
      <c r="J350" s="98">
        <v>0</v>
      </c>
      <c r="K350" s="98">
        <v>5</v>
      </c>
      <c r="L350" s="98">
        <v>2</v>
      </c>
      <c r="M350" s="98">
        <v>1</v>
      </c>
      <c r="N350" s="98"/>
      <c r="O350" s="98">
        <v>0.1</v>
      </c>
      <c r="P350" s="98">
        <f t="shared" si="53"/>
        <v>137.7</v>
      </c>
      <c r="Q350" s="147">
        <f t="shared" si="54"/>
        <v>6.885</v>
      </c>
      <c r="R350" s="149">
        <v>600</v>
      </c>
      <c r="S350" s="132">
        <f t="shared" si="104"/>
        <v>51</v>
      </c>
      <c r="T350" s="132">
        <f t="shared" si="62"/>
        <v>204</v>
      </c>
      <c r="U350" s="80"/>
      <c r="V350" s="80">
        <v>21361</v>
      </c>
      <c r="W350" s="142">
        <f t="shared" si="55"/>
        <v>38</v>
      </c>
      <c r="X350" s="142" t="str">
        <f t="shared" ref="X350:AD350" si="111">IF(C$311="","{progress_rate,"&amp;C$308&amp;","&amp;C350&amp;"}",IF(C350&gt;=1,"{progress,"&amp;C$311*100&amp;","&amp;C$308&amp;","&amp;C350&amp;"}","{progress_rate_roll,"&amp;C$311*100&amp;","&amp;INT(C350*10000)&amp;","&amp;C$308&amp;","&amp;1&amp;"}"))</f>
        <v>{progress_rate,2,102}</v>
      </c>
      <c r="Y350" s="142" t="str">
        <f t="shared" si="111"/>
        <v>{progress,0,2,252}</v>
      </c>
      <c r="Z350" s="142" t="str">
        <f t="shared" si="111"/>
        <v>{progress,0,5103001,15}</v>
      </c>
      <c r="AA350" s="142" t="str">
        <f t="shared" si="111"/>
        <v>{progress,40,5103003,25}</v>
      </c>
      <c r="AB350" s="142" t="str">
        <f t="shared" si="111"/>
        <v>{progress,0,50025,3}</v>
      </c>
      <c r="AC350" s="142" t="str">
        <f t="shared" si="111"/>
        <v>{progress,50,50002,5}</v>
      </c>
      <c r="AD350" s="142" t="str">
        <f t="shared" si="111"/>
        <v>{progress_rate_roll,100,5000,11,1}</v>
      </c>
      <c r="AF350" s="142" t="str">
        <f t="shared" si="76"/>
        <v>{progress,50,5203001,5}</v>
      </c>
      <c r="AG350" s="142" t="str">
        <f t="shared" si="69"/>
        <v>{progress,40,5303001,2}</v>
      </c>
      <c r="AH350" s="142" t="str">
        <f t="shared" si="70"/>
        <v>{progress,0,5401019,1}</v>
      </c>
      <c r="AI350" s="142"/>
      <c r="AJ350" s="142" t="str">
        <f t="shared" si="110"/>
        <v>{progress_rate_roll,100,1000,9,1}</v>
      </c>
      <c r="AN350" s="142" t="str">
        <f t="shared" si="57"/>
        <v>{progress,1,21361,1}</v>
      </c>
      <c r="AO350" s="142" t="str">
        <f t="shared" si="80"/>
        <v>{progress_rate_roll,100,5000,21361,1}</v>
      </c>
      <c r="AP350" s="142" t="str">
        <f t="shared" si="64"/>
        <v>[{progress_rate,2,102},{progress,0,2,252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50" s="142" t="str">
        <f t="shared" si="81"/>
        <v>[{progress_rate,2,102},{progress,0,2,252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50" s="142" t="str">
        <f t="shared" si="65"/>
        <v>[{progress_rate,2,102},{progress,0,2,252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50" s="142" t="str">
        <f t="shared" si="59"/>
        <v>[{progress_rate,2,102},{progress,0,2,252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50" s="142" t="str">
        <f t="shared" si="60"/>
        <v>{progress_rate,2,600},{progress_rate,11,1}</v>
      </c>
      <c r="AV350" s="142" t="str">
        <f t="shared" si="106"/>
        <v>{progress_rate,2,600}</v>
      </c>
      <c r="AW350" s="142" t="s">
        <v>175</v>
      </c>
    </row>
    <row r="351" spans="1:49">
      <c r="A351" s="143" t="str">
        <f t="shared" si="52"/>
        <v>[{2,356},{5103001,40},{14,60},{11,0},{5401000,0},{5203001,0},{5303001,0}]</v>
      </c>
      <c r="B351" s="98">
        <v>39</v>
      </c>
      <c r="C351" s="126">
        <v>102</v>
      </c>
      <c r="D351" s="126">
        <v>254</v>
      </c>
      <c r="E351" s="145">
        <v>15</v>
      </c>
      <c r="F351" s="145">
        <v>25</v>
      </c>
      <c r="G351" s="98">
        <v>3</v>
      </c>
      <c r="H351" s="98">
        <v>5</v>
      </c>
      <c r="I351" s="98">
        <v>0.5</v>
      </c>
      <c r="J351" s="98">
        <v>0</v>
      </c>
      <c r="K351" s="98">
        <v>5</v>
      </c>
      <c r="L351" s="98">
        <v>2</v>
      </c>
      <c r="M351" s="98">
        <v>1</v>
      </c>
      <c r="N351" s="98"/>
      <c r="O351" s="98">
        <v>0.1</v>
      </c>
      <c r="P351" s="98">
        <f t="shared" si="53"/>
        <v>137.8</v>
      </c>
      <c r="Q351" s="147">
        <f t="shared" si="54"/>
        <v>6.89</v>
      </c>
      <c r="R351" s="149">
        <v>600</v>
      </c>
      <c r="S351" s="132">
        <f t="shared" si="104"/>
        <v>51</v>
      </c>
      <c r="T351" s="132">
        <f t="shared" si="62"/>
        <v>204</v>
      </c>
      <c r="U351" s="80"/>
      <c r="V351" s="80">
        <v>21361</v>
      </c>
      <c r="W351" s="142">
        <f t="shared" si="55"/>
        <v>39</v>
      </c>
      <c r="X351" s="142" t="str">
        <f t="shared" ref="X351:AD351" si="112">IF(C$311="","{progress_rate,"&amp;C$308&amp;","&amp;C351&amp;"}",IF(C351&gt;=1,"{progress,"&amp;C$311*100&amp;","&amp;C$308&amp;","&amp;C351&amp;"}","{progress_rate_roll,"&amp;C$311*100&amp;","&amp;INT(C351*10000)&amp;","&amp;C$308&amp;","&amp;1&amp;"}"))</f>
        <v>{progress_rate,2,102}</v>
      </c>
      <c r="Y351" s="142" t="str">
        <f t="shared" si="112"/>
        <v>{progress,0,2,254}</v>
      </c>
      <c r="Z351" s="142" t="str">
        <f t="shared" si="112"/>
        <v>{progress,0,5103001,15}</v>
      </c>
      <c r="AA351" s="142" t="str">
        <f t="shared" si="112"/>
        <v>{progress,40,5103003,25}</v>
      </c>
      <c r="AB351" s="142" t="str">
        <f t="shared" si="112"/>
        <v>{progress,0,50025,3}</v>
      </c>
      <c r="AC351" s="142" t="str">
        <f t="shared" si="112"/>
        <v>{progress,50,50002,5}</v>
      </c>
      <c r="AD351" s="142" t="str">
        <f t="shared" si="112"/>
        <v>{progress_rate_roll,100,5000,11,1}</v>
      </c>
      <c r="AF351" s="142" t="str">
        <f t="shared" si="76"/>
        <v>{progress,50,5203001,5}</v>
      </c>
      <c r="AG351" s="142" t="str">
        <f t="shared" si="69"/>
        <v>{progress,40,5303001,2}</v>
      </c>
      <c r="AH351" s="142" t="str">
        <f t="shared" si="70"/>
        <v>{progress,0,5401019,1}</v>
      </c>
      <c r="AI351" s="142"/>
      <c r="AJ351" s="142" t="str">
        <f t="shared" si="110"/>
        <v>{progress_rate_roll,100,1000,9,1}</v>
      </c>
      <c r="AN351" s="142" t="str">
        <f t="shared" si="57"/>
        <v>{progress,1,21361,1}</v>
      </c>
      <c r="AO351" s="142" t="str">
        <f t="shared" si="80"/>
        <v>{progress_rate_roll,100,5000,21361,1}</v>
      </c>
      <c r="AP351" s="142" t="str">
        <f t="shared" si="64"/>
        <v>[{progress_rate,2,102},{progress,0,2,254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51" s="142" t="str">
        <f t="shared" si="81"/>
        <v>[{progress_rate,2,102},{progress,0,2,254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51" s="142" t="str">
        <f t="shared" si="65"/>
        <v>[{progress_rate,2,102},{progress,0,2,254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51" s="142" t="str">
        <f t="shared" si="59"/>
        <v>[{progress_rate,2,102},{progress,0,2,254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51" s="142" t="str">
        <f t="shared" si="60"/>
        <v>{progress_rate,2,600},{progress_rate,11,1}</v>
      </c>
      <c r="AV351" s="142" t="str">
        <f t="shared" si="106"/>
        <v>{progress_rate,2,600}</v>
      </c>
      <c r="AW351" s="142" t="s">
        <v>175</v>
      </c>
    </row>
    <row r="352" spans="1:49">
      <c r="A352" s="143" t="str">
        <f t="shared" si="52"/>
        <v>[{2,358},{5103001,40},{14,60},{11,0},{5401000,0},{5203001,0},{5303001,0}]</v>
      </c>
      <c r="B352" s="98">
        <v>40</v>
      </c>
      <c r="C352" s="126">
        <v>104</v>
      </c>
      <c r="D352" s="126">
        <v>254</v>
      </c>
      <c r="E352" s="145">
        <v>15</v>
      </c>
      <c r="F352" s="145">
        <v>25</v>
      </c>
      <c r="G352" s="98">
        <v>3</v>
      </c>
      <c r="H352" s="98">
        <v>5</v>
      </c>
      <c r="I352" s="98">
        <v>0.5</v>
      </c>
      <c r="J352" s="98">
        <v>0</v>
      </c>
      <c r="K352" s="98">
        <v>5</v>
      </c>
      <c r="L352" s="98">
        <v>2</v>
      </c>
      <c r="M352" s="98">
        <v>1</v>
      </c>
      <c r="N352" s="98"/>
      <c r="O352" s="98">
        <v>0.1</v>
      </c>
      <c r="P352" s="98">
        <f t="shared" si="53"/>
        <v>137.9</v>
      </c>
      <c r="Q352" s="147">
        <f t="shared" si="54"/>
        <v>6.895</v>
      </c>
      <c r="R352" s="149">
        <v>600</v>
      </c>
      <c r="S352" s="132">
        <f t="shared" si="104"/>
        <v>52</v>
      </c>
      <c r="T352" s="132">
        <f t="shared" si="62"/>
        <v>208</v>
      </c>
      <c r="U352" s="80"/>
      <c r="V352" s="80">
        <v>21361</v>
      </c>
      <c r="W352" s="142">
        <f t="shared" si="55"/>
        <v>40</v>
      </c>
      <c r="X352" s="142" t="str">
        <f t="shared" ref="X352:AD352" si="113">IF(C$311="","{progress_rate,"&amp;C$308&amp;","&amp;C352&amp;"}",IF(C352&gt;=1,"{progress,"&amp;C$311*100&amp;","&amp;C$308&amp;","&amp;C352&amp;"}","{progress_rate_roll,"&amp;C$311*100&amp;","&amp;INT(C352*10000)&amp;","&amp;C$308&amp;","&amp;1&amp;"}"))</f>
        <v>{progress_rate,2,104}</v>
      </c>
      <c r="Y352" s="142" t="str">
        <f t="shared" si="113"/>
        <v>{progress,0,2,254}</v>
      </c>
      <c r="Z352" s="142" t="str">
        <f t="shared" si="113"/>
        <v>{progress,0,5103001,15}</v>
      </c>
      <c r="AA352" s="142" t="str">
        <f t="shared" si="113"/>
        <v>{progress,40,5103003,25}</v>
      </c>
      <c r="AB352" s="142" t="str">
        <f t="shared" si="113"/>
        <v>{progress,0,50025,3}</v>
      </c>
      <c r="AC352" s="142" t="str">
        <f t="shared" si="113"/>
        <v>{progress,50,50002,5}</v>
      </c>
      <c r="AD352" s="142" t="str">
        <f t="shared" si="113"/>
        <v>{progress_rate_roll,100,5000,11,1}</v>
      </c>
      <c r="AF352" s="142" t="str">
        <f t="shared" si="76"/>
        <v>{progress,50,5203001,5}</v>
      </c>
      <c r="AG352" s="142" t="str">
        <f t="shared" si="69"/>
        <v>{progress,40,5303001,2}</v>
      </c>
      <c r="AH352" s="142" t="str">
        <f t="shared" si="70"/>
        <v>{progress,0,5401019,1}</v>
      </c>
      <c r="AI352" s="142"/>
      <c r="AJ352" s="142" t="str">
        <f t="shared" si="110"/>
        <v>{progress_rate_roll,100,1000,9,1}</v>
      </c>
      <c r="AN352" s="142" t="str">
        <f t="shared" si="57"/>
        <v>{progress,1,21361,1}</v>
      </c>
      <c r="AO352" s="142" t="str">
        <f t="shared" si="80"/>
        <v>{progress_rate_roll,100,5000,21361,1}</v>
      </c>
      <c r="AP352" s="142" t="str">
        <f t="shared" si="64"/>
        <v>[{progress_rate,2,104},{progress,0,2,254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52" s="142" t="str">
        <f t="shared" si="81"/>
        <v>[{progress_rate,2,104},{progress,0,2,254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52" s="142" t="str">
        <f t="shared" si="65"/>
        <v>[{progress_rate,2,104},{progress,0,2,254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52" s="142" t="str">
        <f t="shared" si="59"/>
        <v>[{progress_rate,2,104},{progress,0,2,254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52" s="142" t="str">
        <f t="shared" si="60"/>
        <v>{progress_rate,2,600},{progress_rate,11,1}</v>
      </c>
      <c r="AV352" s="142" t="str">
        <f t="shared" si="106"/>
        <v>{progress_rate,2,600}</v>
      </c>
      <c r="AW352" s="142" t="s">
        <v>175</v>
      </c>
    </row>
    <row r="353" spans="1:49">
      <c r="A353" s="143" t="str">
        <f t="shared" si="52"/>
        <v>[{2,360},{5103001,40},{14,60},{11,0},{5401000,0},{5203001,0},{5303001,0}]</v>
      </c>
      <c r="B353" s="98">
        <v>41</v>
      </c>
      <c r="C353" s="126">
        <v>104</v>
      </c>
      <c r="D353" s="126">
        <v>256</v>
      </c>
      <c r="E353" s="145">
        <v>15</v>
      </c>
      <c r="F353" s="145">
        <v>25</v>
      </c>
      <c r="G353" s="98">
        <v>3</v>
      </c>
      <c r="H353" s="98">
        <v>5</v>
      </c>
      <c r="I353" s="98">
        <v>0.5</v>
      </c>
      <c r="J353" s="98">
        <v>0</v>
      </c>
      <c r="K353" s="98">
        <v>5</v>
      </c>
      <c r="L353" s="98">
        <v>2</v>
      </c>
      <c r="M353" s="98">
        <v>1</v>
      </c>
      <c r="N353" s="98"/>
      <c r="O353" s="98">
        <v>0.1</v>
      </c>
      <c r="P353" s="98">
        <f t="shared" si="53"/>
        <v>138</v>
      </c>
      <c r="Q353" s="147">
        <f t="shared" si="54"/>
        <v>6.9</v>
      </c>
      <c r="R353" s="149">
        <v>600</v>
      </c>
      <c r="S353" s="132">
        <f t="shared" si="104"/>
        <v>52</v>
      </c>
      <c r="T353" s="132">
        <f t="shared" si="62"/>
        <v>208</v>
      </c>
      <c r="U353" s="80"/>
      <c r="V353" s="80">
        <v>21361</v>
      </c>
      <c r="W353" s="142">
        <f t="shared" si="55"/>
        <v>41</v>
      </c>
      <c r="X353" s="142" t="str">
        <f t="shared" ref="X353:AD353" si="114">IF(C$311="","{progress_rate,"&amp;C$308&amp;","&amp;C353&amp;"}",IF(C353&gt;=1,"{progress,"&amp;C$311*100&amp;","&amp;C$308&amp;","&amp;C353&amp;"}","{progress_rate_roll,"&amp;C$311*100&amp;","&amp;INT(C353*10000)&amp;","&amp;C$308&amp;","&amp;1&amp;"}"))</f>
        <v>{progress_rate,2,104}</v>
      </c>
      <c r="Y353" s="142" t="str">
        <f t="shared" si="114"/>
        <v>{progress,0,2,256}</v>
      </c>
      <c r="Z353" s="142" t="str">
        <f t="shared" si="114"/>
        <v>{progress,0,5103001,15}</v>
      </c>
      <c r="AA353" s="142" t="str">
        <f t="shared" si="114"/>
        <v>{progress,40,5103003,25}</v>
      </c>
      <c r="AB353" s="142" t="str">
        <f t="shared" si="114"/>
        <v>{progress,0,50025,3}</v>
      </c>
      <c r="AC353" s="142" t="str">
        <f t="shared" si="114"/>
        <v>{progress,50,50002,5}</v>
      </c>
      <c r="AD353" s="142" t="str">
        <f t="shared" si="114"/>
        <v>{progress_rate_roll,100,5000,11,1}</v>
      </c>
      <c r="AF353" s="142" t="str">
        <f t="shared" si="76"/>
        <v>{progress,50,5203001,5}</v>
      </c>
      <c r="AG353" s="142" t="str">
        <f t="shared" si="69"/>
        <v>{progress,40,5303001,2}</v>
      </c>
      <c r="AH353" s="142" t="str">
        <f t="shared" si="70"/>
        <v>{progress,0,5401019,1}</v>
      </c>
      <c r="AI353" s="142"/>
      <c r="AJ353" s="142" t="str">
        <f t="shared" si="110"/>
        <v>{progress_rate_roll,100,1000,9,1}</v>
      </c>
      <c r="AN353" s="142" t="str">
        <f t="shared" si="57"/>
        <v>{progress,1,21361,1}</v>
      </c>
      <c r="AO353" s="142" t="str">
        <f t="shared" si="80"/>
        <v>{progress_rate_roll,100,5000,21361,1}</v>
      </c>
      <c r="AP353" s="142" t="str">
        <f t="shared" si="64"/>
        <v>[{progress_rate,2,104},{progress,0,2,256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53" s="142" t="str">
        <f t="shared" si="81"/>
        <v>[{progress_rate,2,104},{progress,0,2,256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53" s="142" t="str">
        <f t="shared" si="65"/>
        <v>[{progress_rate,2,104},{progress,0,2,256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53" s="142" t="str">
        <f t="shared" si="59"/>
        <v>[{progress_rate,2,104},{progress,0,2,256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53" s="142" t="str">
        <f t="shared" si="60"/>
        <v>{progress_rate,2,600},{progress_rate,11,1}</v>
      </c>
      <c r="AV353" s="142" t="str">
        <f t="shared" si="106"/>
        <v>{progress_rate,2,600}</v>
      </c>
      <c r="AW353" s="142" t="s">
        <v>175</v>
      </c>
    </row>
    <row r="354" spans="1:49">
      <c r="A354" s="143" t="str">
        <f t="shared" si="52"/>
        <v>[{2,362},{5103001,40},{14,60},{11,0},{5401000,0},{5203001,0},{5303001,0}]</v>
      </c>
      <c r="B354" s="98">
        <v>42</v>
      </c>
      <c r="C354" s="126">
        <v>104</v>
      </c>
      <c r="D354" s="126">
        <v>258</v>
      </c>
      <c r="E354" s="145">
        <v>15</v>
      </c>
      <c r="F354" s="145">
        <v>25</v>
      </c>
      <c r="G354" s="98">
        <v>3</v>
      </c>
      <c r="H354" s="98">
        <v>5</v>
      </c>
      <c r="I354" s="98">
        <v>0.5</v>
      </c>
      <c r="J354" s="98">
        <v>0</v>
      </c>
      <c r="K354" s="98">
        <v>5</v>
      </c>
      <c r="L354" s="98">
        <v>2</v>
      </c>
      <c r="M354" s="98">
        <v>1</v>
      </c>
      <c r="N354" s="98"/>
      <c r="O354" s="98">
        <v>0.1</v>
      </c>
      <c r="P354" s="98">
        <f t="shared" si="53"/>
        <v>138.1</v>
      </c>
      <c r="Q354" s="147">
        <f t="shared" si="54"/>
        <v>6.905</v>
      </c>
      <c r="R354" s="149">
        <v>600</v>
      </c>
      <c r="S354" s="132">
        <f t="shared" si="104"/>
        <v>52</v>
      </c>
      <c r="T354" s="132">
        <f t="shared" si="62"/>
        <v>208</v>
      </c>
      <c r="U354" s="80"/>
      <c r="V354" s="80">
        <v>21361</v>
      </c>
      <c r="W354" s="142">
        <f t="shared" si="55"/>
        <v>42</v>
      </c>
      <c r="X354" s="142" t="str">
        <f t="shared" ref="X354:AD354" si="115">IF(C$311="","{progress_rate,"&amp;C$308&amp;","&amp;C354&amp;"}",IF(C354&gt;=1,"{progress,"&amp;C$311*100&amp;","&amp;C$308&amp;","&amp;C354&amp;"}","{progress_rate_roll,"&amp;C$311*100&amp;","&amp;INT(C354*10000)&amp;","&amp;C$308&amp;","&amp;1&amp;"}"))</f>
        <v>{progress_rate,2,104}</v>
      </c>
      <c r="Y354" s="142" t="str">
        <f t="shared" si="115"/>
        <v>{progress,0,2,258}</v>
      </c>
      <c r="Z354" s="142" t="str">
        <f t="shared" si="115"/>
        <v>{progress,0,5103001,15}</v>
      </c>
      <c r="AA354" s="142" t="str">
        <f t="shared" si="115"/>
        <v>{progress,40,5103003,25}</v>
      </c>
      <c r="AB354" s="142" t="str">
        <f t="shared" si="115"/>
        <v>{progress,0,50025,3}</v>
      </c>
      <c r="AC354" s="142" t="str">
        <f t="shared" si="115"/>
        <v>{progress,50,50002,5}</v>
      </c>
      <c r="AD354" s="142" t="str">
        <f t="shared" si="115"/>
        <v>{progress_rate_roll,100,5000,11,1}</v>
      </c>
      <c r="AF354" s="142" t="str">
        <f t="shared" si="76"/>
        <v>{progress,50,5203001,5}</v>
      </c>
      <c r="AG354" s="142" t="str">
        <f t="shared" si="69"/>
        <v>{progress,40,5303001,2}</v>
      </c>
      <c r="AH354" s="142" t="str">
        <f t="shared" si="70"/>
        <v>{progress,0,5401019,1}</v>
      </c>
      <c r="AI354" s="142"/>
      <c r="AJ354" s="142" t="str">
        <f t="shared" si="110"/>
        <v>{progress_rate_roll,100,1000,9,1}</v>
      </c>
      <c r="AN354" s="142" t="str">
        <f t="shared" si="57"/>
        <v>{progress,1,21361,1}</v>
      </c>
      <c r="AO354" s="142" t="str">
        <f t="shared" si="80"/>
        <v>{progress_rate_roll,100,5000,21361,1}</v>
      </c>
      <c r="AP354" s="142" t="str">
        <f t="shared" si="64"/>
        <v>[{progress_rate,2,104},{progress,0,2,258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54" s="142" t="str">
        <f t="shared" si="81"/>
        <v>[{progress_rate,2,104},{progress,0,2,258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54" s="142" t="str">
        <f t="shared" si="65"/>
        <v>[{progress_rate,2,104},{progress,0,2,258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54" s="142" t="str">
        <f t="shared" si="59"/>
        <v>[{progress_rate,2,104},{progress,0,2,258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54" s="142" t="str">
        <f t="shared" si="60"/>
        <v>{progress_rate,2,600},{progress_rate,11,1}</v>
      </c>
      <c r="AV354" s="142" t="str">
        <f t="shared" si="106"/>
        <v>{progress_rate,2,600}</v>
      </c>
      <c r="AW354" s="142" t="s">
        <v>175</v>
      </c>
    </row>
    <row r="355" spans="1:49">
      <c r="A355" s="143" t="str">
        <f t="shared" si="52"/>
        <v>[{2,364},{5103001,40},{14,60},{11,0},{5401000,0},{5203001,0},{5303001,0}]</v>
      </c>
      <c r="B355" s="98">
        <v>43</v>
      </c>
      <c r="C355" s="126">
        <v>104</v>
      </c>
      <c r="D355" s="126">
        <v>260</v>
      </c>
      <c r="E355" s="145">
        <v>15</v>
      </c>
      <c r="F355" s="145">
        <v>25</v>
      </c>
      <c r="G355" s="98">
        <v>3</v>
      </c>
      <c r="H355" s="98">
        <v>5</v>
      </c>
      <c r="I355" s="98">
        <v>0.5</v>
      </c>
      <c r="J355" s="98">
        <v>0</v>
      </c>
      <c r="K355" s="98">
        <v>5</v>
      </c>
      <c r="L355" s="98">
        <v>2</v>
      </c>
      <c r="M355" s="98">
        <v>1</v>
      </c>
      <c r="N355" s="98"/>
      <c r="O355" s="98">
        <v>0.1</v>
      </c>
      <c r="P355" s="98">
        <f t="shared" si="53"/>
        <v>138.2</v>
      </c>
      <c r="Q355" s="147">
        <f t="shared" si="54"/>
        <v>6.91</v>
      </c>
      <c r="R355" s="149">
        <v>600</v>
      </c>
      <c r="S355" s="132">
        <f t="shared" si="104"/>
        <v>52</v>
      </c>
      <c r="T355" s="132">
        <f t="shared" si="62"/>
        <v>208</v>
      </c>
      <c r="U355" s="80"/>
      <c r="V355" s="80">
        <v>21361</v>
      </c>
      <c r="W355" s="142">
        <f t="shared" si="55"/>
        <v>43</v>
      </c>
      <c r="X355" s="142" t="str">
        <f t="shared" ref="X355:AD355" si="116">IF(C$311="","{progress_rate,"&amp;C$308&amp;","&amp;C355&amp;"}",IF(C355&gt;=1,"{progress,"&amp;C$311*100&amp;","&amp;C$308&amp;","&amp;C355&amp;"}","{progress_rate_roll,"&amp;C$311*100&amp;","&amp;INT(C355*10000)&amp;","&amp;C$308&amp;","&amp;1&amp;"}"))</f>
        <v>{progress_rate,2,104}</v>
      </c>
      <c r="Y355" s="142" t="str">
        <f t="shared" si="116"/>
        <v>{progress,0,2,260}</v>
      </c>
      <c r="Z355" s="142" t="str">
        <f t="shared" si="116"/>
        <v>{progress,0,5103001,15}</v>
      </c>
      <c r="AA355" s="142" t="str">
        <f t="shared" si="116"/>
        <v>{progress,40,5103003,25}</v>
      </c>
      <c r="AB355" s="142" t="str">
        <f t="shared" si="116"/>
        <v>{progress,0,50025,3}</v>
      </c>
      <c r="AC355" s="142" t="str">
        <f t="shared" si="116"/>
        <v>{progress,50,50002,5}</v>
      </c>
      <c r="AD355" s="142" t="str">
        <f t="shared" si="116"/>
        <v>{progress_rate_roll,100,5000,11,1}</v>
      </c>
      <c r="AF355" s="142" t="str">
        <f t="shared" si="76"/>
        <v>{progress,50,5203001,5}</v>
      </c>
      <c r="AG355" s="142" t="str">
        <f t="shared" si="69"/>
        <v>{progress,40,5303001,2}</v>
      </c>
      <c r="AH355" s="142" t="str">
        <f t="shared" si="70"/>
        <v>{progress,0,5401019,1}</v>
      </c>
      <c r="AI355" s="142"/>
      <c r="AJ355" s="142" t="str">
        <f t="shared" si="110"/>
        <v>{progress_rate_roll,100,1000,9,1}</v>
      </c>
      <c r="AN355" s="142" t="str">
        <f t="shared" si="57"/>
        <v>{progress,1,21361,1}</v>
      </c>
      <c r="AO355" s="142" t="str">
        <f t="shared" si="80"/>
        <v>{progress_rate_roll,100,5000,21361,1}</v>
      </c>
      <c r="AP355" s="142" t="str">
        <f t="shared" si="64"/>
        <v>[{progress_rate,2,104},{progress,0,2,260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55" s="142" t="str">
        <f t="shared" si="81"/>
        <v>[{progress_rate,2,104},{progress,0,2,260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55" s="142" t="str">
        <f t="shared" si="65"/>
        <v>[{progress_rate,2,104},{progress,0,2,260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55" s="142" t="str">
        <f t="shared" si="59"/>
        <v>[{progress_rate,2,104},{progress,0,2,260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55" s="142" t="str">
        <f t="shared" si="60"/>
        <v>{progress_rate,2,600},{progress_rate,11,1}</v>
      </c>
      <c r="AV355" s="142" t="str">
        <f t="shared" si="106"/>
        <v>{progress_rate,2,600}</v>
      </c>
      <c r="AW355" s="142" t="s">
        <v>175</v>
      </c>
    </row>
    <row r="356" spans="1:49">
      <c r="A356" s="143" t="str">
        <f t="shared" si="52"/>
        <v>[{2,366},{5103001,40},{14,60},{11,0},{5401000,0},{5203001,0},{5303001,0}]</v>
      </c>
      <c r="B356" s="98">
        <v>44</v>
      </c>
      <c r="C356" s="126">
        <v>106</v>
      </c>
      <c r="D356" s="126">
        <v>260</v>
      </c>
      <c r="E356" s="145">
        <v>15</v>
      </c>
      <c r="F356" s="145">
        <v>25</v>
      </c>
      <c r="G356" s="98">
        <v>3</v>
      </c>
      <c r="H356" s="98">
        <v>5</v>
      </c>
      <c r="I356" s="98">
        <v>0.5</v>
      </c>
      <c r="J356" s="98">
        <v>0</v>
      </c>
      <c r="K356" s="98">
        <v>5</v>
      </c>
      <c r="L356" s="98">
        <v>2</v>
      </c>
      <c r="M356" s="98">
        <v>1</v>
      </c>
      <c r="N356" s="98"/>
      <c r="O356" s="98">
        <v>0.1</v>
      </c>
      <c r="P356" s="98">
        <f t="shared" si="53"/>
        <v>138.3</v>
      </c>
      <c r="Q356" s="147">
        <f t="shared" si="54"/>
        <v>6.915</v>
      </c>
      <c r="R356" s="149">
        <v>600</v>
      </c>
      <c r="S356" s="132">
        <f t="shared" si="104"/>
        <v>53</v>
      </c>
      <c r="T356" s="132">
        <f t="shared" si="62"/>
        <v>212</v>
      </c>
      <c r="U356" s="80"/>
      <c r="V356" s="80">
        <v>21361</v>
      </c>
      <c r="W356" s="142">
        <f t="shared" si="55"/>
        <v>44</v>
      </c>
      <c r="X356" s="142" t="str">
        <f t="shared" ref="X356:AD356" si="117">IF(C$311="","{progress_rate,"&amp;C$308&amp;","&amp;C356&amp;"}",IF(C356&gt;=1,"{progress,"&amp;C$311*100&amp;","&amp;C$308&amp;","&amp;C356&amp;"}","{progress_rate_roll,"&amp;C$311*100&amp;","&amp;INT(C356*10000)&amp;","&amp;C$308&amp;","&amp;1&amp;"}"))</f>
        <v>{progress_rate,2,106}</v>
      </c>
      <c r="Y356" s="142" t="str">
        <f t="shared" si="117"/>
        <v>{progress,0,2,260}</v>
      </c>
      <c r="Z356" s="142" t="str">
        <f t="shared" si="117"/>
        <v>{progress,0,5103001,15}</v>
      </c>
      <c r="AA356" s="142" t="str">
        <f t="shared" si="117"/>
        <v>{progress,40,5103003,25}</v>
      </c>
      <c r="AB356" s="142" t="str">
        <f t="shared" si="117"/>
        <v>{progress,0,50025,3}</v>
      </c>
      <c r="AC356" s="142" t="str">
        <f t="shared" si="117"/>
        <v>{progress,50,50002,5}</v>
      </c>
      <c r="AD356" s="142" t="str">
        <f t="shared" si="117"/>
        <v>{progress_rate_roll,100,5000,11,1}</v>
      </c>
      <c r="AF356" s="142" t="str">
        <f t="shared" si="76"/>
        <v>{progress,50,5203001,5}</v>
      </c>
      <c r="AG356" s="142" t="str">
        <f t="shared" si="69"/>
        <v>{progress,40,5303001,2}</v>
      </c>
      <c r="AH356" s="142" t="str">
        <f t="shared" si="70"/>
        <v>{progress,0,5401019,1}</v>
      </c>
      <c r="AI356" s="142"/>
      <c r="AJ356" s="142" t="str">
        <f t="shared" si="110"/>
        <v>{progress_rate_roll,100,1000,9,1}</v>
      </c>
      <c r="AN356" s="142" t="str">
        <f t="shared" si="57"/>
        <v>{progress,1,21361,1}</v>
      </c>
      <c r="AO356" s="142" t="str">
        <f t="shared" si="80"/>
        <v>{progress_rate_roll,100,5000,21361,1}</v>
      </c>
      <c r="AP356" s="142" t="str">
        <f t="shared" si="64"/>
        <v>[{progress_rate,2,106},{progress,0,2,260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56" s="142" t="str">
        <f t="shared" si="81"/>
        <v>[{progress_rate,2,106},{progress,0,2,260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56" s="142" t="str">
        <f t="shared" si="65"/>
        <v>[{progress_rate,2,106},{progress,0,2,260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56" s="142" t="str">
        <f t="shared" si="59"/>
        <v>[{progress_rate,2,106},{progress,0,2,260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56" s="142" t="str">
        <f t="shared" si="60"/>
        <v>{progress_rate,2,600},{progress_rate,11,1}</v>
      </c>
      <c r="AV356" s="142" t="str">
        <f t="shared" si="106"/>
        <v>{progress_rate,2,600}</v>
      </c>
      <c r="AW356" s="142" t="s">
        <v>175</v>
      </c>
    </row>
    <row r="357" spans="1:49">
      <c r="A357" s="143" t="str">
        <f t="shared" si="52"/>
        <v>[{2,368},{5103001,40},{14,60},{11,0},{5401000,0},{5203001,0},{5303001,0}]</v>
      </c>
      <c r="B357" s="98">
        <v>45</v>
      </c>
      <c r="C357" s="126">
        <v>106</v>
      </c>
      <c r="D357" s="126">
        <v>262</v>
      </c>
      <c r="E357" s="145">
        <v>15</v>
      </c>
      <c r="F357" s="145">
        <v>25</v>
      </c>
      <c r="G357" s="98">
        <v>3</v>
      </c>
      <c r="H357" s="98">
        <v>5</v>
      </c>
      <c r="I357" s="98">
        <v>0.5</v>
      </c>
      <c r="J357" s="98">
        <v>0</v>
      </c>
      <c r="K357" s="98">
        <v>5</v>
      </c>
      <c r="L357" s="98">
        <v>2</v>
      </c>
      <c r="M357" s="98">
        <v>1</v>
      </c>
      <c r="N357" s="98"/>
      <c r="O357" s="98">
        <v>0.1</v>
      </c>
      <c r="P357" s="98">
        <f t="shared" si="53"/>
        <v>138.4</v>
      </c>
      <c r="Q357" s="147">
        <f t="shared" si="54"/>
        <v>6.92</v>
      </c>
      <c r="R357" s="149">
        <v>600</v>
      </c>
      <c r="S357" s="132">
        <f t="shared" si="104"/>
        <v>53</v>
      </c>
      <c r="T357" s="132">
        <f t="shared" si="62"/>
        <v>212</v>
      </c>
      <c r="U357" s="80"/>
      <c r="V357" s="80">
        <v>21361</v>
      </c>
      <c r="W357" s="142">
        <f t="shared" si="55"/>
        <v>45</v>
      </c>
      <c r="X357" s="142" t="str">
        <f t="shared" ref="X357:AD357" si="118">IF(C$311="","{progress_rate,"&amp;C$308&amp;","&amp;C357&amp;"}",IF(C357&gt;=1,"{progress,"&amp;C$311*100&amp;","&amp;C$308&amp;","&amp;C357&amp;"}","{progress_rate_roll,"&amp;C$311*100&amp;","&amp;INT(C357*10000)&amp;","&amp;C$308&amp;","&amp;1&amp;"}"))</f>
        <v>{progress_rate,2,106}</v>
      </c>
      <c r="Y357" s="142" t="str">
        <f t="shared" si="118"/>
        <v>{progress,0,2,262}</v>
      </c>
      <c r="Z357" s="142" t="str">
        <f t="shared" si="118"/>
        <v>{progress,0,5103001,15}</v>
      </c>
      <c r="AA357" s="142" t="str">
        <f t="shared" si="118"/>
        <v>{progress,40,5103003,25}</v>
      </c>
      <c r="AB357" s="142" t="str">
        <f t="shared" si="118"/>
        <v>{progress,0,50025,3}</v>
      </c>
      <c r="AC357" s="142" t="str">
        <f t="shared" si="118"/>
        <v>{progress,50,50002,5}</v>
      </c>
      <c r="AD357" s="142" t="str">
        <f t="shared" si="118"/>
        <v>{progress_rate_roll,100,5000,11,1}</v>
      </c>
      <c r="AF357" s="142" t="str">
        <f t="shared" si="76"/>
        <v>{progress,50,5203001,5}</v>
      </c>
      <c r="AG357" s="142" t="str">
        <f t="shared" si="69"/>
        <v>{progress,40,5303001,2}</v>
      </c>
      <c r="AH357" s="142" t="str">
        <f t="shared" si="70"/>
        <v>{progress,0,5401019,1}</v>
      </c>
      <c r="AI357" s="142"/>
      <c r="AJ357" s="142" t="str">
        <f t="shared" si="110"/>
        <v>{progress_rate_roll,100,1000,9,1}</v>
      </c>
      <c r="AN357" s="142" t="str">
        <f t="shared" si="57"/>
        <v>{progress,1,21361,1}</v>
      </c>
      <c r="AO357" s="142" t="str">
        <f t="shared" si="80"/>
        <v>{progress_rate_roll,100,5000,21361,1}</v>
      </c>
      <c r="AP357" s="142" t="str">
        <f t="shared" si="64"/>
        <v>[{progress_rate,2,106},{progress,0,2,262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57" s="142" t="str">
        <f t="shared" si="81"/>
        <v>[{progress_rate,2,106},{progress,0,2,262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57" s="142" t="str">
        <f t="shared" si="65"/>
        <v>[{progress_rate,2,106},{progress,0,2,262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57" s="142" t="str">
        <f t="shared" si="59"/>
        <v>[{progress_rate,2,106},{progress,0,2,262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57" s="142" t="str">
        <f t="shared" si="60"/>
        <v>{progress_rate,2,600},{progress_rate,11,1}</v>
      </c>
      <c r="AV357" s="142" t="str">
        <f t="shared" si="106"/>
        <v>{progress_rate,2,600}</v>
      </c>
      <c r="AW357" s="142" t="s">
        <v>175</v>
      </c>
    </row>
    <row r="358" spans="1:49">
      <c r="A358" s="143" t="str">
        <f t="shared" si="52"/>
        <v>[{2,370},{5103001,40},{14,60},{11,0},{5401000,0},{5203001,0},{5303001,0}]</v>
      </c>
      <c r="B358" s="98">
        <v>46</v>
      </c>
      <c r="C358" s="126">
        <v>106</v>
      </c>
      <c r="D358" s="126">
        <v>264</v>
      </c>
      <c r="E358" s="145">
        <v>15</v>
      </c>
      <c r="F358" s="145">
        <v>25</v>
      </c>
      <c r="G358" s="98">
        <v>3</v>
      </c>
      <c r="H358" s="98">
        <v>5</v>
      </c>
      <c r="I358" s="98">
        <v>0.5</v>
      </c>
      <c r="J358" s="98">
        <v>0</v>
      </c>
      <c r="K358" s="98">
        <v>5</v>
      </c>
      <c r="L358" s="98">
        <v>2</v>
      </c>
      <c r="M358" s="98">
        <v>1</v>
      </c>
      <c r="N358" s="98"/>
      <c r="O358" s="98">
        <v>0.1</v>
      </c>
      <c r="P358" s="98">
        <f t="shared" si="53"/>
        <v>138.5</v>
      </c>
      <c r="Q358" s="147">
        <f t="shared" si="54"/>
        <v>6.925</v>
      </c>
      <c r="R358" s="149">
        <v>600</v>
      </c>
      <c r="S358" s="132">
        <f t="shared" si="104"/>
        <v>53</v>
      </c>
      <c r="T358" s="132">
        <f t="shared" si="62"/>
        <v>212</v>
      </c>
      <c r="U358" s="80"/>
      <c r="V358" s="80">
        <v>21361</v>
      </c>
      <c r="W358" s="142">
        <f t="shared" si="55"/>
        <v>46</v>
      </c>
      <c r="X358" s="142" t="str">
        <f t="shared" ref="X358:AD358" si="119">IF(C$311="","{progress_rate,"&amp;C$308&amp;","&amp;C358&amp;"}",IF(C358&gt;=1,"{progress,"&amp;C$311*100&amp;","&amp;C$308&amp;","&amp;C358&amp;"}","{progress_rate_roll,"&amp;C$311*100&amp;","&amp;INT(C358*10000)&amp;","&amp;C$308&amp;","&amp;1&amp;"}"))</f>
        <v>{progress_rate,2,106}</v>
      </c>
      <c r="Y358" s="142" t="str">
        <f t="shared" si="119"/>
        <v>{progress,0,2,264}</v>
      </c>
      <c r="Z358" s="142" t="str">
        <f t="shared" si="119"/>
        <v>{progress,0,5103001,15}</v>
      </c>
      <c r="AA358" s="142" t="str">
        <f t="shared" si="119"/>
        <v>{progress,40,5103003,25}</v>
      </c>
      <c r="AB358" s="142" t="str">
        <f t="shared" si="119"/>
        <v>{progress,0,50025,3}</v>
      </c>
      <c r="AC358" s="142" t="str">
        <f t="shared" si="119"/>
        <v>{progress,50,50002,5}</v>
      </c>
      <c r="AD358" s="142" t="str">
        <f t="shared" si="119"/>
        <v>{progress_rate_roll,100,5000,11,1}</v>
      </c>
      <c r="AF358" s="142" t="str">
        <f t="shared" si="76"/>
        <v>{progress,50,5203001,5}</v>
      </c>
      <c r="AG358" s="142" t="str">
        <f t="shared" si="69"/>
        <v>{progress,40,5303001,2}</v>
      </c>
      <c r="AH358" s="142" t="str">
        <f t="shared" si="70"/>
        <v>{progress,0,5401019,1}</v>
      </c>
      <c r="AI358" s="142"/>
      <c r="AJ358" s="142" t="str">
        <f t="shared" si="110"/>
        <v>{progress_rate_roll,100,1000,9,1}</v>
      </c>
      <c r="AN358" s="142" t="str">
        <f t="shared" si="57"/>
        <v>{progress,1,21361,1}</v>
      </c>
      <c r="AO358" s="142" t="str">
        <f t="shared" si="80"/>
        <v>{progress_rate_roll,100,5000,21361,1}</v>
      </c>
      <c r="AP358" s="142" t="str">
        <f t="shared" si="64"/>
        <v>[{progress_rate,2,106},{progress,0,2,264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58" s="142" t="str">
        <f t="shared" si="81"/>
        <v>[{progress_rate,2,106},{progress,0,2,264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58" s="142" t="str">
        <f t="shared" si="65"/>
        <v>[{progress_rate,2,106},{progress,0,2,264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58" s="142" t="str">
        <f t="shared" si="59"/>
        <v>[{progress_rate,2,106},{progress,0,2,264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58" s="142" t="str">
        <f t="shared" si="60"/>
        <v>{progress_rate,2,600},{progress_rate,11,1}</v>
      </c>
      <c r="AV358" s="142" t="str">
        <f t="shared" si="106"/>
        <v>{progress_rate,2,600}</v>
      </c>
      <c r="AW358" s="142" t="s">
        <v>175</v>
      </c>
    </row>
    <row r="359" spans="1:49">
      <c r="A359" s="143" t="str">
        <f t="shared" si="52"/>
        <v>[{2,372},{5103001,40},{14,60},{11,0},{5401000,0},{5203001,0},{5303001,0}]</v>
      </c>
      <c r="B359" s="98">
        <v>47</v>
      </c>
      <c r="C359" s="126">
        <v>108</v>
      </c>
      <c r="D359" s="126">
        <v>264</v>
      </c>
      <c r="E359" s="145">
        <v>15</v>
      </c>
      <c r="F359" s="145">
        <v>25</v>
      </c>
      <c r="G359" s="98">
        <v>3</v>
      </c>
      <c r="H359" s="98">
        <v>5</v>
      </c>
      <c r="I359" s="98">
        <v>0.5</v>
      </c>
      <c r="J359" s="98">
        <v>0</v>
      </c>
      <c r="K359" s="98">
        <v>5</v>
      </c>
      <c r="L359" s="98">
        <v>2</v>
      </c>
      <c r="M359" s="98">
        <v>1</v>
      </c>
      <c r="N359" s="98"/>
      <c r="O359" s="98">
        <v>0.1</v>
      </c>
      <c r="P359" s="98">
        <f t="shared" si="53"/>
        <v>138.6</v>
      </c>
      <c r="Q359" s="147">
        <f t="shared" si="54"/>
        <v>6.93</v>
      </c>
      <c r="R359" s="149">
        <v>600</v>
      </c>
      <c r="S359" s="132">
        <f t="shared" si="104"/>
        <v>54</v>
      </c>
      <c r="T359" s="132">
        <f t="shared" si="62"/>
        <v>216</v>
      </c>
      <c r="U359" s="80"/>
      <c r="V359" s="80">
        <v>21361</v>
      </c>
      <c r="W359" s="142">
        <f t="shared" si="55"/>
        <v>47</v>
      </c>
      <c r="X359" s="142" t="str">
        <f t="shared" ref="X359:AD359" si="120">IF(C$311="","{progress_rate,"&amp;C$308&amp;","&amp;C359&amp;"}",IF(C359&gt;=1,"{progress,"&amp;C$311*100&amp;","&amp;C$308&amp;","&amp;C359&amp;"}","{progress_rate_roll,"&amp;C$311*100&amp;","&amp;INT(C359*10000)&amp;","&amp;C$308&amp;","&amp;1&amp;"}"))</f>
        <v>{progress_rate,2,108}</v>
      </c>
      <c r="Y359" s="142" t="str">
        <f t="shared" si="120"/>
        <v>{progress,0,2,264}</v>
      </c>
      <c r="Z359" s="142" t="str">
        <f t="shared" si="120"/>
        <v>{progress,0,5103001,15}</v>
      </c>
      <c r="AA359" s="142" t="str">
        <f t="shared" si="120"/>
        <v>{progress,40,5103003,25}</v>
      </c>
      <c r="AB359" s="142" t="str">
        <f t="shared" si="120"/>
        <v>{progress,0,50025,3}</v>
      </c>
      <c r="AC359" s="142" t="str">
        <f t="shared" si="120"/>
        <v>{progress,50,50002,5}</v>
      </c>
      <c r="AD359" s="142" t="str">
        <f t="shared" si="120"/>
        <v>{progress_rate_roll,100,5000,11,1}</v>
      </c>
      <c r="AF359" s="142" t="str">
        <f t="shared" si="76"/>
        <v>{progress,50,5203001,5}</v>
      </c>
      <c r="AG359" s="142" t="str">
        <f t="shared" si="69"/>
        <v>{progress,40,5303001,2}</v>
      </c>
      <c r="AH359" s="142" t="str">
        <f t="shared" si="70"/>
        <v>{progress,0,5401019,1}</v>
      </c>
      <c r="AI359" s="142"/>
      <c r="AJ359" s="142" t="str">
        <f t="shared" si="110"/>
        <v>{progress_rate_roll,100,1000,9,1}</v>
      </c>
      <c r="AN359" s="142" t="str">
        <f t="shared" si="57"/>
        <v>{progress,1,21361,1}</v>
      </c>
      <c r="AO359" s="142" t="str">
        <f t="shared" si="80"/>
        <v>{progress_rate_roll,100,5000,21361,1}</v>
      </c>
      <c r="AP359" s="142" t="str">
        <f t="shared" si="64"/>
        <v>[{progress_rate,2,108},{progress,0,2,264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59" s="142" t="str">
        <f t="shared" si="81"/>
        <v>[{progress_rate,2,108},{progress,0,2,264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59" s="142" t="str">
        <f t="shared" si="65"/>
        <v>[{progress_rate,2,108},{progress,0,2,264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59" s="142" t="str">
        <f t="shared" si="59"/>
        <v>[{progress_rate,2,108},{progress,0,2,264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59" s="142" t="str">
        <f t="shared" si="60"/>
        <v>{progress_rate,2,600},{progress_rate,11,1}</v>
      </c>
      <c r="AV359" s="142" t="str">
        <f t="shared" si="106"/>
        <v>{progress_rate,2,600}</v>
      </c>
      <c r="AW359" s="142" t="s">
        <v>175</v>
      </c>
    </row>
    <row r="360" spans="1:49">
      <c r="A360" s="143" t="str">
        <f t="shared" si="52"/>
        <v>[{2,374},{5103001,40},{14,60},{11,0},{5401000,0},{5203001,0},{5303001,0}]</v>
      </c>
      <c r="B360" s="98">
        <v>48</v>
      </c>
      <c r="C360" s="126">
        <v>108</v>
      </c>
      <c r="D360" s="126">
        <v>266</v>
      </c>
      <c r="E360" s="145">
        <v>15</v>
      </c>
      <c r="F360" s="145">
        <v>25</v>
      </c>
      <c r="G360" s="98">
        <v>3</v>
      </c>
      <c r="H360" s="98">
        <v>5</v>
      </c>
      <c r="I360" s="98">
        <v>0.5</v>
      </c>
      <c r="J360" s="98">
        <v>0</v>
      </c>
      <c r="K360" s="98">
        <v>5</v>
      </c>
      <c r="L360" s="98">
        <v>2</v>
      </c>
      <c r="M360" s="98">
        <v>1</v>
      </c>
      <c r="N360" s="98"/>
      <c r="O360" s="98">
        <v>0.1</v>
      </c>
      <c r="P360" s="98">
        <f t="shared" si="53"/>
        <v>138.7</v>
      </c>
      <c r="Q360" s="147">
        <f t="shared" si="54"/>
        <v>6.935</v>
      </c>
      <c r="R360" s="149">
        <v>600</v>
      </c>
      <c r="S360" s="132">
        <f t="shared" si="104"/>
        <v>54</v>
      </c>
      <c r="T360" s="132">
        <f t="shared" si="62"/>
        <v>216</v>
      </c>
      <c r="U360" s="80"/>
      <c r="V360" s="80">
        <v>21361</v>
      </c>
      <c r="W360" s="142">
        <f t="shared" si="55"/>
        <v>48</v>
      </c>
      <c r="X360" s="142" t="str">
        <f t="shared" ref="X360:AD360" si="121">IF(C$311="","{progress_rate,"&amp;C$308&amp;","&amp;C360&amp;"}",IF(C360&gt;=1,"{progress,"&amp;C$311*100&amp;","&amp;C$308&amp;","&amp;C360&amp;"}","{progress_rate_roll,"&amp;C$311*100&amp;","&amp;INT(C360*10000)&amp;","&amp;C$308&amp;","&amp;1&amp;"}"))</f>
        <v>{progress_rate,2,108}</v>
      </c>
      <c r="Y360" s="142" t="str">
        <f t="shared" si="121"/>
        <v>{progress,0,2,266}</v>
      </c>
      <c r="Z360" s="142" t="str">
        <f t="shared" si="121"/>
        <v>{progress,0,5103001,15}</v>
      </c>
      <c r="AA360" s="142" t="str">
        <f t="shared" si="121"/>
        <v>{progress,40,5103003,25}</v>
      </c>
      <c r="AB360" s="142" t="str">
        <f t="shared" si="121"/>
        <v>{progress,0,50025,3}</v>
      </c>
      <c r="AC360" s="142" t="str">
        <f t="shared" si="121"/>
        <v>{progress,50,50002,5}</v>
      </c>
      <c r="AD360" s="142" t="str">
        <f t="shared" si="121"/>
        <v>{progress_rate_roll,100,5000,11,1}</v>
      </c>
      <c r="AF360" s="142" t="str">
        <f t="shared" si="76"/>
        <v>{progress,50,5203001,5}</v>
      </c>
      <c r="AG360" s="142" t="str">
        <f t="shared" si="69"/>
        <v>{progress,40,5303001,2}</v>
      </c>
      <c r="AH360" s="142" t="str">
        <f t="shared" si="70"/>
        <v>{progress,0,5401019,1}</v>
      </c>
      <c r="AI360" s="142"/>
      <c r="AJ360" s="142" t="str">
        <f t="shared" si="110"/>
        <v>{progress_rate_roll,100,1000,9,1}</v>
      </c>
      <c r="AN360" s="142" t="str">
        <f t="shared" si="57"/>
        <v>{progress,1,21361,1}</v>
      </c>
      <c r="AO360" s="142" t="str">
        <f t="shared" si="80"/>
        <v>{progress_rate_roll,100,5000,21361,1}</v>
      </c>
      <c r="AP360" s="142" t="str">
        <f t="shared" si="64"/>
        <v>[{progress_rate,2,108},{progress,0,2,266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60" s="142" t="str">
        <f t="shared" si="81"/>
        <v>[{progress_rate,2,108},{progress,0,2,266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60" s="142" t="str">
        <f t="shared" si="65"/>
        <v>[{progress_rate,2,108},{progress,0,2,266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60" s="142" t="str">
        <f t="shared" si="59"/>
        <v>[{progress_rate,2,108},{progress,0,2,266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60" s="142" t="str">
        <f t="shared" si="60"/>
        <v>{progress_rate,2,600},{progress_rate,11,1}</v>
      </c>
      <c r="AV360" s="142" t="str">
        <f t="shared" si="106"/>
        <v>{progress_rate,2,600}</v>
      </c>
      <c r="AW360" s="142" t="s">
        <v>175</v>
      </c>
    </row>
    <row r="361" spans="1:49">
      <c r="A361" s="143" t="str">
        <f t="shared" si="52"/>
        <v>[{2,376},{5103001,40},{14,60},{11,0},{5401000,0},{5203001,0},{5303001,0}]</v>
      </c>
      <c r="B361" s="98">
        <v>49</v>
      </c>
      <c r="C361" s="126">
        <v>108</v>
      </c>
      <c r="D361" s="126">
        <v>268</v>
      </c>
      <c r="E361" s="145">
        <v>15</v>
      </c>
      <c r="F361" s="145">
        <v>25</v>
      </c>
      <c r="G361" s="98">
        <v>3</v>
      </c>
      <c r="H361" s="98">
        <v>5</v>
      </c>
      <c r="I361" s="98">
        <v>0.5</v>
      </c>
      <c r="J361" s="98">
        <v>0</v>
      </c>
      <c r="K361" s="98">
        <v>5</v>
      </c>
      <c r="L361" s="98">
        <v>2</v>
      </c>
      <c r="M361" s="98">
        <v>1</v>
      </c>
      <c r="N361" s="98"/>
      <c r="O361" s="98">
        <v>0.1</v>
      </c>
      <c r="P361" s="98">
        <f t="shared" si="53"/>
        <v>138.8</v>
      </c>
      <c r="Q361" s="147">
        <f t="shared" si="54"/>
        <v>6.94</v>
      </c>
      <c r="R361" s="149">
        <v>600</v>
      </c>
      <c r="S361" s="132">
        <f t="shared" si="104"/>
        <v>54</v>
      </c>
      <c r="T361" s="132">
        <f t="shared" si="62"/>
        <v>216</v>
      </c>
      <c r="U361" s="80"/>
      <c r="V361" s="80">
        <v>21361</v>
      </c>
      <c r="W361" s="142">
        <f t="shared" si="55"/>
        <v>49</v>
      </c>
      <c r="X361" s="142" t="str">
        <f t="shared" ref="X361:AD361" si="122">IF(C$311="","{progress_rate,"&amp;C$308&amp;","&amp;C361&amp;"}",IF(C361&gt;=1,"{progress,"&amp;C$311*100&amp;","&amp;C$308&amp;","&amp;C361&amp;"}","{progress_rate_roll,"&amp;C$311*100&amp;","&amp;INT(C361*10000)&amp;","&amp;C$308&amp;","&amp;1&amp;"}"))</f>
        <v>{progress_rate,2,108}</v>
      </c>
      <c r="Y361" s="142" t="str">
        <f t="shared" si="122"/>
        <v>{progress,0,2,268}</v>
      </c>
      <c r="Z361" s="142" t="str">
        <f t="shared" si="122"/>
        <v>{progress,0,5103001,15}</v>
      </c>
      <c r="AA361" s="142" t="str">
        <f t="shared" si="122"/>
        <v>{progress,40,5103003,25}</v>
      </c>
      <c r="AB361" s="142" t="str">
        <f t="shared" si="122"/>
        <v>{progress,0,50025,3}</v>
      </c>
      <c r="AC361" s="142" t="str">
        <f t="shared" si="122"/>
        <v>{progress,50,50002,5}</v>
      </c>
      <c r="AD361" s="142" t="str">
        <f t="shared" si="122"/>
        <v>{progress_rate_roll,100,5000,11,1}</v>
      </c>
      <c r="AF361" s="142" t="str">
        <f t="shared" si="76"/>
        <v>{progress,50,5203001,5}</v>
      </c>
      <c r="AG361" s="142" t="str">
        <f t="shared" si="69"/>
        <v>{progress,40,5303001,2}</v>
      </c>
      <c r="AH361" s="142" t="str">
        <f t="shared" si="70"/>
        <v>{progress,0,5401019,1}</v>
      </c>
      <c r="AI361" s="142"/>
      <c r="AJ361" s="142" t="str">
        <f t="shared" si="110"/>
        <v>{progress_rate_roll,100,1000,9,1}</v>
      </c>
      <c r="AN361" s="142" t="str">
        <f t="shared" si="57"/>
        <v>{progress,1,21361,1}</v>
      </c>
      <c r="AO361" s="142" t="str">
        <f t="shared" si="80"/>
        <v>{progress_rate_roll,100,5000,21361,1}</v>
      </c>
      <c r="AP361" s="142" t="str">
        <f t="shared" si="64"/>
        <v>[{progress_rate,2,108},{progress,0,2,268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61" s="142" t="str">
        <f t="shared" si="81"/>
        <v>[{progress_rate,2,108},{progress,0,2,268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61" s="142" t="str">
        <f t="shared" si="65"/>
        <v>[{progress_rate,2,108},{progress,0,2,268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61" s="142" t="str">
        <f t="shared" si="59"/>
        <v>[{progress_rate,2,108},{progress,0,2,268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61" s="142" t="str">
        <f t="shared" si="60"/>
        <v>{progress_rate,2,600},{progress_rate,11,1}</v>
      </c>
      <c r="AV361" s="142" t="str">
        <f t="shared" si="106"/>
        <v>{progress_rate,2,600}</v>
      </c>
      <c r="AW361" s="142" t="s">
        <v>175</v>
      </c>
    </row>
    <row r="362" spans="1:49">
      <c r="A362" s="143" t="str">
        <f t="shared" si="52"/>
        <v>[{2,378},{5103001,40},{14,60},{11,0},{5401000,0},{5203001,0},{5303001,0}]</v>
      </c>
      <c r="B362" s="98">
        <v>50</v>
      </c>
      <c r="C362" s="126">
        <v>108</v>
      </c>
      <c r="D362" s="126">
        <v>270</v>
      </c>
      <c r="E362" s="145">
        <v>15</v>
      </c>
      <c r="F362" s="145">
        <v>25</v>
      </c>
      <c r="G362" s="98">
        <v>3</v>
      </c>
      <c r="H362" s="98">
        <v>5</v>
      </c>
      <c r="I362" s="98">
        <v>0.5</v>
      </c>
      <c r="J362" s="98">
        <v>0</v>
      </c>
      <c r="K362" s="98">
        <v>5</v>
      </c>
      <c r="L362" s="98">
        <v>2</v>
      </c>
      <c r="M362" s="98">
        <v>1</v>
      </c>
      <c r="N362" s="98"/>
      <c r="O362" s="98">
        <v>0.1</v>
      </c>
      <c r="P362" s="98">
        <f t="shared" si="53"/>
        <v>138.9</v>
      </c>
      <c r="Q362" s="147">
        <f t="shared" si="54"/>
        <v>6.945</v>
      </c>
      <c r="R362" s="149">
        <v>600</v>
      </c>
      <c r="S362" s="132">
        <f t="shared" si="104"/>
        <v>54</v>
      </c>
      <c r="T362" s="132">
        <f t="shared" si="62"/>
        <v>216</v>
      </c>
      <c r="U362" s="80"/>
      <c r="V362" s="80">
        <v>21361</v>
      </c>
      <c r="W362" s="142">
        <f t="shared" si="55"/>
        <v>50</v>
      </c>
      <c r="X362" s="142" t="str">
        <f t="shared" ref="X362:AD362" si="123">IF(C$311="","{progress_rate,"&amp;C$308&amp;","&amp;C362&amp;"}",IF(C362&gt;=1,"{progress,"&amp;C$311*100&amp;","&amp;C$308&amp;","&amp;C362&amp;"}","{progress_rate_roll,"&amp;C$311*100&amp;","&amp;INT(C362*10000)&amp;","&amp;C$308&amp;","&amp;1&amp;"}"))</f>
        <v>{progress_rate,2,108}</v>
      </c>
      <c r="Y362" s="142" t="str">
        <f t="shared" si="123"/>
        <v>{progress,0,2,270}</v>
      </c>
      <c r="Z362" s="142" t="str">
        <f t="shared" si="123"/>
        <v>{progress,0,5103001,15}</v>
      </c>
      <c r="AA362" s="142" t="str">
        <f t="shared" si="123"/>
        <v>{progress,40,5103003,25}</v>
      </c>
      <c r="AB362" s="142" t="str">
        <f t="shared" si="123"/>
        <v>{progress,0,50025,3}</v>
      </c>
      <c r="AC362" s="142" t="str">
        <f t="shared" si="123"/>
        <v>{progress,50,50002,5}</v>
      </c>
      <c r="AD362" s="142" t="str">
        <f t="shared" si="123"/>
        <v>{progress_rate_roll,100,5000,11,1}</v>
      </c>
      <c r="AF362" s="142" t="str">
        <f t="shared" si="76"/>
        <v>{progress,50,5203001,5}</v>
      </c>
      <c r="AG362" s="142" t="str">
        <f t="shared" si="69"/>
        <v>{progress,40,5303001,2}</v>
      </c>
      <c r="AH362" s="142" t="str">
        <f t="shared" si="70"/>
        <v>{progress,0,5401019,1}</v>
      </c>
      <c r="AI362" s="142"/>
      <c r="AJ362" s="142" t="str">
        <f t="shared" si="110"/>
        <v>{progress_rate_roll,100,1000,9,1}</v>
      </c>
      <c r="AN362" s="142" t="str">
        <f t="shared" si="57"/>
        <v>{progress,1,21361,1}</v>
      </c>
      <c r="AO362" s="142" t="str">
        <f t="shared" si="80"/>
        <v>{progress_rate_roll,100,5000,21361,1}</v>
      </c>
      <c r="AP362" s="142" t="str">
        <f t="shared" si="64"/>
        <v>[{progress_rate,2,108},{progress,0,2,270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62" s="142" t="str">
        <f t="shared" si="81"/>
        <v>[{progress_rate,2,108},{progress,0,2,270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62" s="142" t="str">
        <f t="shared" si="65"/>
        <v>[{progress_rate,2,108},{progress,0,2,270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62" s="142" t="str">
        <f t="shared" si="59"/>
        <v>[{progress_rate,2,108},{progress,0,2,270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62" s="142" t="str">
        <f t="shared" si="60"/>
        <v>{progress_rate,2,600},{progress_rate,11,1}</v>
      </c>
      <c r="AV362" s="142" t="str">
        <f t="shared" si="106"/>
        <v>{progress_rate,2,600}</v>
      </c>
      <c r="AW362" s="142" t="s">
        <v>175</v>
      </c>
    </row>
    <row r="363" spans="1:49">
      <c r="A363" s="143" t="str">
        <f t="shared" si="52"/>
        <v>[{2,380},{5103001,40},{14,60},{11,0},{5401000,0},{5203001,0},{5303001,0}]</v>
      </c>
      <c r="B363" s="98">
        <v>51</v>
      </c>
      <c r="C363" s="126">
        <v>110</v>
      </c>
      <c r="D363" s="126">
        <v>270</v>
      </c>
      <c r="E363" s="145">
        <v>15</v>
      </c>
      <c r="F363" s="145">
        <v>25</v>
      </c>
      <c r="G363" s="98">
        <v>3</v>
      </c>
      <c r="H363" s="98">
        <v>5</v>
      </c>
      <c r="I363" s="98">
        <v>0.5</v>
      </c>
      <c r="J363" s="98">
        <v>0</v>
      </c>
      <c r="K363" s="98">
        <v>5</v>
      </c>
      <c r="L363" s="98">
        <v>2</v>
      </c>
      <c r="M363" s="98">
        <v>1</v>
      </c>
      <c r="N363" s="98"/>
      <c r="O363" s="98">
        <v>0.1</v>
      </c>
      <c r="P363" s="98">
        <f t="shared" si="53"/>
        <v>139</v>
      </c>
      <c r="Q363" s="147">
        <f t="shared" si="54"/>
        <v>6.95</v>
      </c>
      <c r="R363" s="149">
        <v>600</v>
      </c>
      <c r="S363" s="132">
        <f t="shared" si="104"/>
        <v>55</v>
      </c>
      <c r="T363" s="132">
        <f t="shared" si="62"/>
        <v>220</v>
      </c>
      <c r="U363" s="80"/>
      <c r="V363" s="80">
        <v>21361</v>
      </c>
      <c r="W363" s="142">
        <f t="shared" si="55"/>
        <v>51</v>
      </c>
      <c r="X363" s="142" t="str">
        <f t="shared" ref="X363:AD363" si="124">IF(C$311="","{progress_rate,"&amp;C$308&amp;","&amp;C363&amp;"}",IF(C363&gt;=1,"{progress,"&amp;C$311*100&amp;","&amp;C$308&amp;","&amp;C363&amp;"}","{progress_rate_roll,"&amp;C$311*100&amp;","&amp;INT(C363*10000)&amp;","&amp;C$308&amp;","&amp;1&amp;"}"))</f>
        <v>{progress_rate,2,110}</v>
      </c>
      <c r="Y363" s="142" t="str">
        <f t="shared" si="124"/>
        <v>{progress,0,2,270}</v>
      </c>
      <c r="Z363" s="142" t="str">
        <f t="shared" si="124"/>
        <v>{progress,0,5103001,15}</v>
      </c>
      <c r="AA363" s="142" t="str">
        <f t="shared" si="124"/>
        <v>{progress,40,5103003,25}</v>
      </c>
      <c r="AB363" s="142" t="str">
        <f t="shared" si="124"/>
        <v>{progress,0,50025,3}</v>
      </c>
      <c r="AC363" s="142" t="str">
        <f t="shared" si="124"/>
        <v>{progress,50,50002,5}</v>
      </c>
      <c r="AD363" s="142" t="str">
        <f t="shared" si="124"/>
        <v>{progress_rate_roll,100,5000,11,1}</v>
      </c>
      <c r="AF363" s="142" t="str">
        <f t="shared" si="76"/>
        <v>{progress,50,5203001,5}</v>
      </c>
      <c r="AG363" s="142" t="str">
        <f t="shared" si="69"/>
        <v>{progress,40,5303001,2}</v>
      </c>
      <c r="AH363" s="142" t="str">
        <f t="shared" si="70"/>
        <v>{progress,0,5401019,1}</v>
      </c>
      <c r="AI363" s="142"/>
      <c r="AJ363" s="142" t="str">
        <f t="shared" si="110"/>
        <v>{progress_rate_roll,100,1000,9,1}</v>
      </c>
      <c r="AN363" s="142" t="str">
        <f t="shared" si="57"/>
        <v>{progress,1,21361,1}</v>
      </c>
      <c r="AO363" s="142" t="str">
        <f t="shared" si="80"/>
        <v>{progress_rate_roll,100,5000,21361,1}</v>
      </c>
      <c r="AP363" s="142" t="str">
        <f t="shared" si="64"/>
        <v>[{progress_rate,2,110},{progress,0,2,270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63" s="142" t="str">
        <f t="shared" si="81"/>
        <v>[{progress_rate,2,110},{progress,0,2,270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63" s="142" t="str">
        <f t="shared" si="65"/>
        <v>[{progress_rate,2,110},{progress,0,2,270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63" s="142" t="str">
        <f t="shared" si="59"/>
        <v>[{progress_rate,2,110},{progress,0,2,270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63" s="142" t="str">
        <f t="shared" si="60"/>
        <v>{progress_rate,2,600},{progress_rate,11,1}</v>
      </c>
      <c r="AV363" s="142" t="str">
        <f t="shared" si="106"/>
        <v>{progress_rate,2,600}</v>
      </c>
      <c r="AW363" s="142" t="s">
        <v>175</v>
      </c>
    </row>
    <row r="364" spans="1:49">
      <c r="A364" s="143" t="str">
        <f t="shared" si="52"/>
        <v>[{2,382},{5103001,40},{14,60},{11,0},{5401000,0},{5203001,0},{5303001,0}]</v>
      </c>
      <c r="B364" s="98">
        <v>52</v>
      </c>
      <c r="C364" s="126">
        <v>110</v>
      </c>
      <c r="D364" s="126">
        <v>272</v>
      </c>
      <c r="E364" s="145">
        <v>15</v>
      </c>
      <c r="F364" s="145">
        <v>25</v>
      </c>
      <c r="G364" s="98">
        <v>3</v>
      </c>
      <c r="H364" s="98">
        <v>5</v>
      </c>
      <c r="I364" s="98">
        <v>0.5</v>
      </c>
      <c r="J364" s="98">
        <v>0</v>
      </c>
      <c r="K364" s="98">
        <v>5</v>
      </c>
      <c r="L364" s="98">
        <v>2</v>
      </c>
      <c r="M364" s="98">
        <v>1</v>
      </c>
      <c r="N364" s="98"/>
      <c r="O364" s="98">
        <v>0.1</v>
      </c>
      <c r="P364" s="98">
        <f t="shared" si="53"/>
        <v>139.1</v>
      </c>
      <c r="Q364" s="147">
        <f t="shared" si="54"/>
        <v>6.955</v>
      </c>
      <c r="R364" s="149">
        <v>600</v>
      </c>
      <c r="S364" s="132">
        <f t="shared" si="104"/>
        <v>55</v>
      </c>
      <c r="T364" s="132">
        <f t="shared" si="62"/>
        <v>220</v>
      </c>
      <c r="U364" s="80"/>
      <c r="V364" s="80">
        <v>21361</v>
      </c>
      <c r="W364" s="142">
        <f t="shared" si="55"/>
        <v>52</v>
      </c>
      <c r="X364" s="142" t="str">
        <f t="shared" ref="X364:AD364" si="125">IF(C$311="","{progress_rate,"&amp;C$308&amp;","&amp;C364&amp;"}",IF(C364&gt;=1,"{progress,"&amp;C$311*100&amp;","&amp;C$308&amp;","&amp;C364&amp;"}","{progress_rate_roll,"&amp;C$311*100&amp;","&amp;INT(C364*10000)&amp;","&amp;C$308&amp;","&amp;1&amp;"}"))</f>
        <v>{progress_rate,2,110}</v>
      </c>
      <c r="Y364" s="142" t="str">
        <f t="shared" si="125"/>
        <v>{progress,0,2,272}</v>
      </c>
      <c r="Z364" s="142" t="str">
        <f t="shared" si="125"/>
        <v>{progress,0,5103001,15}</v>
      </c>
      <c r="AA364" s="142" t="str">
        <f t="shared" si="125"/>
        <v>{progress,40,5103003,25}</v>
      </c>
      <c r="AB364" s="142" t="str">
        <f t="shared" si="125"/>
        <v>{progress,0,50025,3}</v>
      </c>
      <c r="AC364" s="142" t="str">
        <f t="shared" si="125"/>
        <v>{progress,50,50002,5}</v>
      </c>
      <c r="AD364" s="142" t="str">
        <f t="shared" si="125"/>
        <v>{progress_rate_roll,100,5000,11,1}</v>
      </c>
      <c r="AF364" s="142" t="str">
        <f t="shared" si="76"/>
        <v>{progress,50,5203001,5}</v>
      </c>
      <c r="AG364" s="142" t="str">
        <f t="shared" si="69"/>
        <v>{progress,40,5303001,2}</v>
      </c>
      <c r="AH364" s="142" t="str">
        <f t="shared" si="70"/>
        <v>{progress,0,5401019,1}</v>
      </c>
      <c r="AI364" s="142"/>
      <c r="AJ364" s="142" t="str">
        <f t="shared" si="110"/>
        <v>{progress_rate_roll,100,1000,9,1}</v>
      </c>
      <c r="AN364" s="142" t="str">
        <f t="shared" si="57"/>
        <v>{progress,1,21361,1}</v>
      </c>
      <c r="AO364" s="142" t="str">
        <f t="shared" si="80"/>
        <v>{progress_rate_roll,100,5000,21361,1}</v>
      </c>
      <c r="AP364" s="142" t="str">
        <f t="shared" si="64"/>
        <v>[{progress_rate,2,110},{progress,0,2,272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64" s="142" t="str">
        <f t="shared" si="81"/>
        <v>[{progress_rate,2,110},{progress,0,2,272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64" s="142" t="str">
        <f t="shared" si="65"/>
        <v>[{progress_rate,2,110},{progress,0,2,272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64" s="142" t="str">
        <f t="shared" si="59"/>
        <v>[{progress_rate,2,110},{progress,0,2,272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64" s="142" t="str">
        <f t="shared" si="60"/>
        <v>{progress_rate,2,600},{progress_rate,11,1}</v>
      </c>
      <c r="AV364" s="142" t="str">
        <f t="shared" si="106"/>
        <v>{progress_rate,2,600}</v>
      </c>
      <c r="AW364" s="142" t="s">
        <v>175</v>
      </c>
    </row>
    <row r="365" spans="1:49">
      <c r="A365" s="143" t="str">
        <f t="shared" si="52"/>
        <v>[{2,384},{5103001,40},{14,60},{11,0},{5401000,0},{5203001,0},{5303001,0}]</v>
      </c>
      <c r="B365" s="98">
        <v>53</v>
      </c>
      <c r="C365" s="126">
        <v>110</v>
      </c>
      <c r="D365" s="126">
        <v>274</v>
      </c>
      <c r="E365" s="145">
        <v>15</v>
      </c>
      <c r="F365" s="145">
        <v>25</v>
      </c>
      <c r="G365" s="98">
        <v>3</v>
      </c>
      <c r="H365" s="98">
        <v>5</v>
      </c>
      <c r="I365" s="98">
        <v>0.5</v>
      </c>
      <c r="J365" s="98">
        <v>0</v>
      </c>
      <c r="K365" s="98">
        <v>5</v>
      </c>
      <c r="L365" s="98">
        <v>2</v>
      </c>
      <c r="M365" s="98">
        <v>1</v>
      </c>
      <c r="N365" s="98"/>
      <c r="O365" s="98">
        <v>0.1</v>
      </c>
      <c r="P365" s="98">
        <f t="shared" si="53"/>
        <v>139.2</v>
      </c>
      <c r="Q365" s="147">
        <f t="shared" si="54"/>
        <v>6.96</v>
      </c>
      <c r="R365" s="149">
        <v>600</v>
      </c>
      <c r="S365" s="132">
        <f t="shared" si="104"/>
        <v>55</v>
      </c>
      <c r="T365" s="132">
        <f t="shared" si="62"/>
        <v>220</v>
      </c>
      <c r="U365" s="80"/>
      <c r="V365" s="80">
        <v>21361</v>
      </c>
      <c r="W365" s="142">
        <f t="shared" si="55"/>
        <v>53</v>
      </c>
      <c r="X365" s="142" t="str">
        <f t="shared" ref="X365:AD365" si="126">IF(C$311="","{progress_rate,"&amp;C$308&amp;","&amp;C365&amp;"}",IF(C365&gt;=1,"{progress,"&amp;C$311*100&amp;","&amp;C$308&amp;","&amp;C365&amp;"}","{progress_rate_roll,"&amp;C$311*100&amp;","&amp;INT(C365*10000)&amp;","&amp;C$308&amp;","&amp;1&amp;"}"))</f>
        <v>{progress_rate,2,110}</v>
      </c>
      <c r="Y365" s="142" t="str">
        <f t="shared" si="126"/>
        <v>{progress,0,2,274}</v>
      </c>
      <c r="Z365" s="142" t="str">
        <f t="shared" si="126"/>
        <v>{progress,0,5103001,15}</v>
      </c>
      <c r="AA365" s="142" t="str">
        <f t="shared" si="126"/>
        <v>{progress,40,5103003,25}</v>
      </c>
      <c r="AB365" s="142" t="str">
        <f t="shared" si="126"/>
        <v>{progress,0,50025,3}</v>
      </c>
      <c r="AC365" s="142" t="str">
        <f t="shared" si="126"/>
        <v>{progress,50,50002,5}</v>
      </c>
      <c r="AD365" s="142" t="str">
        <f t="shared" si="126"/>
        <v>{progress_rate_roll,100,5000,11,1}</v>
      </c>
      <c r="AF365" s="142" t="str">
        <f t="shared" si="76"/>
        <v>{progress,50,5203001,5}</v>
      </c>
      <c r="AG365" s="142" t="str">
        <f t="shared" si="69"/>
        <v>{progress,40,5303001,2}</v>
      </c>
      <c r="AH365" s="142" t="str">
        <f t="shared" si="70"/>
        <v>{progress,0,5401019,1}</v>
      </c>
      <c r="AI365" s="142"/>
      <c r="AJ365" s="142" t="str">
        <f t="shared" si="110"/>
        <v>{progress_rate_roll,100,1000,9,1}</v>
      </c>
      <c r="AN365" s="142" t="str">
        <f t="shared" si="57"/>
        <v>{progress,1,21361,1}</v>
      </c>
      <c r="AO365" s="142" t="str">
        <f t="shared" si="80"/>
        <v>{progress_rate_roll,100,5000,21361,1}</v>
      </c>
      <c r="AP365" s="142" t="str">
        <f t="shared" si="64"/>
        <v>[{progress_rate,2,110},{progress,0,2,274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65" s="142" t="str">
        <f t="shared" si="81"/>
        <v>[{progress_rate,2,110},{progress,0,2,274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65" s="142" t="str">
        <f t="shared" si="65"/>
        <v>[{progress_rate,2,110},{progress,0,2,274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65" s="142" t="str">
        <f t="shared" si="59"/>
        <v>[{progress_rate,2,110},{progress,0,2,274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65" s="142" t="str">
        <f t="shared" si="60"/>
        <v>{progress_rate,2,600},{progress_rate,11,1}</v>
      </c>
      <c r="AV365" s="142" t="str">
        <f t="shared" si="106"/>
        <v>{progress_rate,2,600}</v>
      </c>
      <c r="AW365" s="142" t="s">
        <v>175</v>
      </c>
    </row>
    <row r="366" spans="1:49">
      <c r="A366" s="143" t="str">
        <f t="shared" si="52"/>
        <v>[{2,386},{5103001,40},{14,60},{11,0},{5401000,0},{5203001,0},{5303001,0}]</v>
      </c>
      <c r="B366" s="98">
        <v>54</v>
      </c>
      <c r="C366" s="126">
        <v>112</v>
      </c>
      <c r="D366" s="126">
        <v>274</v>
      </c>
      <c r="E366" s="145">
        <v>15</v>
      </c>
      <c r="F366" s="145">
        <v>25</v>
      </c>
      <c r="G366" s="98">
        <v>3</v>
      </c>
      <c r="H366" s="98">
        <v>5</v>
      </c>
      <c r="I366" s="98">
        <v>0.5</v>
      </c>
      <c r="J366" s="98">
        <v>0</v>
      </c>
      <c r="K366" s="98">
        <v>5</v>
      </c>
      <c r="L366" s="98">
        <v>2</v>
      </c>
      <c r="M366" s="98">
        <v>1</v>
      </c>
      <c r="N366" s="98"/>
      <c r="O366" s="98">
        <v>0.1</v>
      </c>
      <c r="P366" s="98">
        <f t="shared" si="53"/>
        <v>139.3</v>
      </c>
      <c r="Q366" s="147">
        <f t="shared" si="54"/>
        <v>6.965</v>
      </c>
      <c r="R366" s="149">
        <v>600</v>
      </c>
      <c r="S366" s="132">
        <f t="shared" si="104"/>
        <v>56</v>
      </c>
      <c r="T366" s="132">
        <f t="shared" si="62"/>
        <v>224</v>
      </c>
      <c r="U366" s="80"/>
      <c r="V366" s="80">
        <v>21361</v>
      </c>
      <c r="W366" s="142">
        <f t="shared" si="55"/>
        <v>54</v>
      </c>
      <c r="X366" s="142" t="str">
        <f t="shared" ref="X366:AD366" si="127">IF(C$311="","{progress_rate,"&amp;C$308&amp;","&amp;C366&amp;"}",IF(C366&gt;=1,"{progress,"&amp;C$311*100&amp;","&amp;C$308&amp;","&amp;C366&amp;"}","{progress_rate_roll,"&amp;C$311*100&amp;","&amp;INT(C366*10000)&amp;","&amp;C$308&amp;","&amp;1&amp;"}"))</f>
        <v>{progress_rate,2,112}</v>
      </c>
      <c r="Y366" s="142" t="str">
        <f t="shared" si="127"/>
        <v>{progress,0,2,274}</v>
      </c>
      <c r="Z366" s="142" t="str">
        <f t="shared" si="127"/>
        <v>{progress,0,5103001,15}</v>
      </c>
      <c r="AA366" s="142" t="str">
        <f t="shared" si="127"/>
        <v>{progress,40,5103003,25}</v>
      </c>
      <c r="AB366" s="142" t="str">
        <f t="shared" si="127"/>
        <v>{progress,0,50025,3}</v>
      </c>
      <c r="AC366" s="142" t="str">
        <f t="shared" si="127"/>
        <v>{progress,50,50002,5}</v>
      </c>
      <c r="AD366" s="142" t="str">
        <f t="shared" si="127"/>
        <v>{progress_rate_roll,100,5000,11,1}</v>
      </c>
      <c r="AF366" s="142" t="str">
        <f t="shared" si="76"/>
        <v>{progress,50,5203001,5}</v>
      </c>
      <c r="AG366" s="142" t="str">
        <f t="shared" si="69"/>
        <v>{progress,40,5303001,2}</v>
      </c>
      <c r="AH366" s="142" t="str">
        <f t="shared" si="70"/>
        <v>{progress,0,5401019,1}</v>
      </c>
      <c r="AI366" s="142"/>
      <c r="AJ366" s="142" t="str">
        <f t="shared" si="110"/>
        <v>{progress_rate_roll,100,1000,9,1}</v>
      </c>
      <c r="AN366" s="142" t="str">
        <f t="shared" si="57"/>
        <v>{progress,1,21361,1}</v>
      </c>
      <c r="AO366" s="142" t="str">
        <f t="shared" si="80"/>
        <v>{progress_rate_roll,100,5000,21361,1}</v>
      </c>
      <c r="AP366" s="142" t="str">
        <f t="shared" si="64"/>
        <v>[{progress_rate,2,112},{progress,0,2,274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66" s="142" t="str">
        <f t="shared" si="81"/>
        <v>[{progress_rate,2,112},{progress,0,2,274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66" s="142" t="str">
        <f t="shared" si="65"/>
        <v>[{progress_rate,2,112},{progress,0,2,274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66" s="142" t="str">
        <f t="shared" si="59"/>
        <v>[{progress_rate,2,112},{progress,0,2,274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66" s="142" t="str">
        <f t="shared" si="60"/>
        <v>{progress_rate,2,600},{progress_rate,11,1}</v>
      </c>
      <c r="AV366" s="142" t="str">
        <f t="shared" si="106"/>
        <v>{progress_rate,2,600}</v>
      </c>
      <c r="AW366" s="142" t="s">
        <v>175</v>
      </c>
    </row>
    <row r="367" spans="1:49">
      <c r="A367" s="143" t="str">
        <f t="shared" si="52"/>
        <v>[{2,388},{5103001,40},{14,60},{11,0},{5401000,0},{5203001,0},{5303001,0}]</v>
      </c>
      <c r="B367" s="98">
        <v>55</v>
      </c>
      <c r="C367" s="126">
        <v>112</v>
      </c>
      <c r="D367" s="126">
        <v>276</v>
      </c>
      <c r="E367" s="145">
        <v>15</v>
      </c>
      <c r="F367" s="145">
        <v>25</v>
      </c>
      <c r="G367" s="98">
        <v>3</v>
      </c>
      <c r="H367" s="98">
        <v>5</v>
      </c>
      <c r="I367" s="98">
        <v>0.5</v>
      </c>
      <c r="J367" s="98">
        <v>0</v>
      </c>
      <c r="K367" s="98">
        <v>5</v>
      </c>
      <c r="L367" s="98">
        <v>2</v>
      </c>
      <c r="M367" s="98">
        <v>1</v>
      </c>
      <c r="N367" s="98"/>
      <c r="O367" s="98">
        <v>0.1</v>
      </c>
      <c r="P367" s="98">
        <f t="shared" si="53"/>
        <v>139.4</v>
      </c>
      <c r="Q367" s="147">
        <f t="shared" si="54"/>
        <v>6.97</v>
      </c>
      <c r="R367" s="149">
        <v>600</v>
      </c>
      <c r="S367" s="132">
        <f t="shared" si="104"/>
        <v>56</v>
      </c>
      <c r="T367" s="132">
        <f t="shared" si="62"/>
        <v>224</v>
      </c>
      <c r="U367" s="80"/>
      <c r="V367" s="80">
        <v>21361</v>
      </c>
      <c r="W367" s="142">
        <f t="shared" si="55"/>
        <v>55</v>
      </c>
      <c r="X367" s="142" t="str">
        <f t="shared" ref="X367:AD367" si="128">IF(C$311="","{progress_rate,"&amp;C$308&amp;","&amp;C367&amp;"}",IF(C367&gt;=1,"{progress,"&amp;C$311*100&amp;","&amp;C$308&amp;","&amp;C367&amp;"}","{progress_rate_roll,"&amp;C$311*100&amp;","&amp;INT(C367*10000)&amp;","&amp;C$308&amp;","&amp;1&amp;"}"))</f>
        <v>{progress_rate,2,112}</v>
      </c>
      <c r="Y367" s="142" t="str">
        <f t="shared" si="128"/>
        <v>{progress,0,2,276}</v>
      </c>
      <c r="Z367" s="142" t="str">
        <f t="shared" si="128"/>
        <v>{progress,0,5103001,15}</v>
      </c>
      <c r="AA367" s="142" t="str">
        <f t="shared" si="128"/>
        <v>{progress,40,5103003,25}</v>
      </c>
      <c r="AB367" s="142" t="str">
        <f t="shared" si="128"/>
        <v>{progress,0,50025,3}</v>
      </c>
      <c r="AC367" s="142" t="str">
        <f t="shared" si="128"/>
        <v>{progress,50,50002,5}</v>
      </c>
      <c r="AD367" s="142" t="str">
        <f t="shared" si="128"/>
        <v>{progress_rate_roll,100,5000,11,1}</v>
      </c>
      <c r="AF367" s="142" t="str">
        <f t="shared" si="76"/>
        <v>{progress,50,5203001,5}</v>
      </c>
      <c r="AG367" s="142" t="str">
        <f t="shared" si="69"/>
        <v>{progress,40,5303001,2}</v>
      </c>
      <c r="AH367" s="142" t="str">
        <f t="shared" si="70"/>
        <v>{progress,0,5401019,1}</v>
      </c>
      <c r="AI367" s="142"/>
      <c r="AJ367" s="142" t="str">
        <f t="shared" si="110"/>
        <v>{progress_rate_roll,100,1000,9,1}</v>
      </c>
      <c r="AN367" s="142" t="str">
        <f t="shared" si="57"/>
        <v>{progress,1,21361,1}</v>
      </c>
      <c r="AO367" s="142" t="str">
        <f t="shared" si="80"/>
        <v>{progress_rate_roll,100,5000,21361,1}</v>
      </c>
      <c r="AP367" s="142" t="str">
        <f t="shared" si="64"/>
        <v>[{progress_rate,2,112},{progress,0,2,276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67" s="142" t="str">
        <f t="shared" si="81"/>
        <v>[{progress_rate,2,112},{progress,0,2,276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67" s="142" t="str">
        <f t="shared" si="65"/>
        <v>[{progress_rate,2,112},{progress,0,2,276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67" s="142" t="str">
        <f t="shared" si="59"/>
        <v>[{progress_rate,2,112},{progress,0,2,276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67" s="142" t="str">
        <f t="shared" si="60"/>
        <v>{progress_rate,2,600},{progress_rate,11,1}</v>
      </c>
      <c r="AV367" s="142" t="str">
        <f t="shared" si="106"/>
        <v>{progress_rate,2,600}</v>
      </c>
      <c r="AW367" s="142" t="s">
        <v>175</v>
      </c>
    </row>
    <row r="368" spans="1:49">
      <c r="A368" s="143" t="str">
        <f t="shared" si="52"/>
        <v>[{2,390},{5103001,40},{14,60},{11,0},{5401000,0},{5203001,0},{5303001,0}]</v>
      </c>
      <c r="B368" s="98">
        <v>56</v>
      </c>
      <c r="C368" s="126">
        <v>112</v>
      </c>
      <c r="D368" s="126">
        <v>278</v>
      </c>
      <c r="E368" s="145">
        <v>15</v>
      </c>
      <c r="F368" s="145">
        <v>25</v>
      </c>
      <c r="G368" s="98">
        <v>3</v>
      </c>
      <c r="H368" s="98">
        <v>5</v>
      </c>
      <c r="I368" s="98">
        <v>0.5</v>
      </c>
      <c r="J368" s="98">
        <v>0</v>
      </c>
      <c r="K368" s="98">
        <v>5</v>
      </c>
      <c r="L368" s="98">
        <v>2</v>
      </c>
      <c r="M368" s="98">
        <v>1</v>
      </c>
      <c r="N368" s="98"/>
      <c r="O368" s="98">
        <v>0.1</v>
      </c>
      <c r="P368" s="98">
        <f t="shared" si="53"/>
        <v>139.5</v>
      </c>
      <c r="Q368" s="147">
        <f t="shared" si="54"/>
        <v>6.975</v>
      </c>
      <c r="R368" s="149">
        <v>600</v>
      </c>
      <c r="S368" s="132">
        <f t="shared" si="104"/>
        <v>56</v>
      </c>
      <c r="T368" s="132">
        <f t="shared" si="62"/>
        <v>224</v>
      </c>
      <c r="U368" s="80"/>
      <c r="V368" s="80">
        <v>21361</v>
      </c>
      <c r="W368" s="142">
        <f t="shared" si="55"/>
        <v>56</v>
      </c>
      <c r="X368" s="142" t="str">
        <f t="shared" ref="X368:AD368" si="129">IF(C$311="","{progress_rate,"&amp;C$308&amp;","&amp;C368&amp;"}",IF(C368&gt;=1,"{progress,"&amp;C$311*100&amp;","&amp;C$308&amp;","&amp;C368&amp;"}","{progress_rate_roll,"&amp;C$311*100&amp;","&amp;INT(C368*10000)&amp;","&amp;C$308&amp;","&amp;1&amp;"}"))</f>
        <v>{progress_rate,2,112}</v>
      </c>
      <c r="Y368" s="142" t="str">
        <f t="shared" si="129"/>
        <v>{progress,0,2,278}</v>
      </c>
      <c r="Z368" s="142" t="str">
        <f t="shared" si="129"/>
        <v>{progress,0,5103001,15}</v>
      </c>
      <c r="AA368" s="142" t="str">
        <f t="shared" si="129"/>
        <v>{progress,40,5103003,25}</v>
      </c>
      <c r="AB368" s="142" t="str">
        <f t="shared" si="129"/>
        <v>{progress,0,50025,3}</v>
      </c>
      <c r="AC368" s="142" t="str">
        <f t="shared" si="129"/>
        <v>{progress,50,50002,5}</v>
      </c>
      <c r="AD368" s="142" t="str">
        <f t="shared" si="129"/>
        <v>{progress_rate_roll,100,5000,11,1}</v>
      </c>
      <c r="AF368" s="142" t="str">
        <f t="shared" si="76"/>
        <v>{progress,50,5203001,5}</v>
      </c>
      <c r="AG368" s="142" t="str">
        <f t="shared" si="69"/>
        <v>{progress,40,5303001,2}</v>
      </c>
      <c r="AH368" s="142" t="str">
        <f t="shared" si="70"/>
        <v>{progress,0,5401019,1}</v>
      </c>
      <c r="AI368" s="142"/>
      <c r="AJ368" s="142" t="str">
        <f t="shared" si="110"/>
        <v>{progress_rate_roll,100,1000,9,1}</v>
      </c>
      <c r="AN368" s="142" t="str">
        <f t="shared" si="57"/>
        <v>{progress,1,21361,1}</v>
      </c>
      <c r="AO368" s="142" t="str">
        <f t="shared" si="80"/>
        <v>{progress_rate_roll,100,5000,21361,1}</v>
      </c>
      <c r="AP368" s="142" t="str">
        <f t="shared" si="64"/>
        <v>[{progress_rate,2,112},{progress,0,2,278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68" s="142" t="str">
        <f t="shared" si="81"/>
        <v>[{progress_rate,2,112},{progress,0,2,278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68" s="142" t="str">
        <f t="shared" si="65"/>
        <v>[{progress_rate,2,112},{progress,0,2,278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68" s="142" t="str">
        <f t="shared" si="59"/>
        <v>[{progress_rate,2,112},{progress,0,2,278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68" s="142" t="str">
        <f t="shared" si="60"/>
        <v>{progress_rate,2,600},{progress_rate,11,1}</v>
      </c>
      <c r="AV368" s="142" t="str">
        <f t="shared" si="106"/>
        <v>{progress_rate,2,600}</v>
      </c>
      <c r="AW368" s="142" t="s">
        <v>175</v>
      </c>
    </row>
    <row r="369" spans="1:49">
      <c r="A369" s="143" t="str">
        <f t="shared" si="52"/>
        <v>[{2,392},{5103001,40},{14,60},{11,0},{5401000,0},{5203001,0},{5303001,0}]</v>
      </c>
      <c r="B369" s="98">
        <v>57</v>
      </c>
      <c r="C369" s="126">
        <v>112</v>
      </c>
      <c r="D369" s="126">
        <v>280</v>
      </c>
      <c r="E369" s="145">
        <v>15</v>
      </c>
      <c r="F369" s="145">
        <v>25</v>
      </c>
      <c r="G369" s="98">
        <v>3</v>
      </c>
      <c r="H369" s="98">
        <v>5</v>
      </c>
      <c r="I369" s="98">
        <v>0.5</v>
      </c>
      <c r="J369" s="98">
        <v>0</v>
      </c>
      <c r="K369" s="98">
        <v>5</v>
      </c>
      <c r="L369" s="98">
        <v>2</v>
      </c>
      <c r="M369" s="98">
        <v>1</v>
      </c>
      <c r="N369" s="98"/>
      <c r="O369" s="98">
        <v>0.1</v>
      </c>
      <c r="P369" s="98">
        <f t="shared" si="53"/>
        <v>139.6</v>
      </c>
      <c r="Q369" s="147">
        <f t="shared" si="54"/>
        <v>6.98</v>
      </c>
      <c r="R369" s="149">
        <v>600</v>
      </c>
      <c r="S369" s="132">
        <f t="shared" si="104"/>
        <v>56</v>
      </c>
      <c r="T369" s="132">
        <f t="shared" si="62"/>
        <v>224</v>
      </c>
      <c r="U369" s="80"/>
      <c r="V369" s="80">
        <v>21361</v>
      </c>
      <c r="W369" s="142">
        <f t="shared" si="55"/>
        <v>57</v>
      </c>
      <c r="X369" s="142" t="str">
        <f t="shared" ref="X369:AD369" si="130">IF(C$311="","{progress_rate,"&amp;C$308&amp;","&amp;C369&amp;"}",IF(C369&gt;=1,"{progress,"&amp;C$311*100&amp;","&amp;C$308&amp;","&amp;C369&amp;"}","{progress_rate_roll,"&amp;C$311*100&amp;","&amp;INT(C369*10000)&amp;","&amp;C$308&amp;","&amp;1&amp;"}"))</f>
        <v>{progress_rate,2,112}</v>
      </c>
      <c r="Y369" s="142" t="str">
        <f t="shared" si="130"/>
        <v>{progress,0,2,280}</v>
      </c>
      <c r="Z369" s="142" t="str">
        <f t="shared" si="130"/>
        <v>{progress,0,5103001,15}</v>
      </c>
      <c r="AA369" s="142" t="str">
        <f t="shared" si="130"/>
        <v>{progress,40,5103003,25}</v>
      </c>
      <c r="AB369" s="142" t="str">
        <f t="shared" si="130"/>
        <v>{progress,0,50025,3}</v>
      </c>
      <c r="AC369" s="142" t="str">
        <f t="shared" si="130"/>
        <v>{progress,50,50002,5}</v>
      </c>
      <c r="AD369" s="142" t="str">
        <f t="shared" si="130"/>
        <v>{progress_rate_roll,100,5000,11,1}</v>
      </c>
      <c r="AF369" s="142" t="str">
        <f t="shared" si="76"/>
        <v>{progress,50,5203001,5}</v>
      </c>
      <c r="AG369" s="142" t="str">
        <f t="shared" si="69"/>
        <v>{progress,40,5303001,2}</v>
      </c>
      <c r="AH369" s="142" t="str">
        <f t="shared" si="70"/>
        <v>{progress,0,5401019,1}</v>
      </c>
      <c r="AI369" s="142"/>
      <c r="AJ369" s="142" t="str">
        <f t="shared" si="110"/>
        <v>{progress_rate_roll,100,1000,9,1}</v>
      </c>
      <c r="AN369" s="142" t="str">
        <f t="shared" si="57"/>
        <v>{progress,1,21361,1}</v>
      </c>
      <c r="AO369" s="142" t="str">
        <f t="shared" si="80"/>
        <v>{progress_rate_roll,100,5000,21361,1}</v>
      </c>
      <c r="AP369" s="142" t="str">
        <f t="shared" si="64"/>
        <v>[{progress_rate,2,112},{progress,0,2,280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69" s="142" t="str">
        <f t="shared" si="81"/>
        <v>[{progress_rate,2,112},{progress,0,2,280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69" s="142" t="str">
        <f t="shared" si="65"/>
        <v>[{progress_rate,2,112},{progress,0,2,280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69" s="142" t="str">
        <f t="shared" si="59"/>
        <v>[{progress_rate,2,112},{progress,0,2,280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69" s="142" t="str">
        <f t="shared" si="60"/>
        <v>{progress_rate,2,600},{progress_rate,11,1}</v>
      </c>
      <c r="AV369" s="142" t="str">
        <f t="shared" si="106"/>
        <v>{progress_rate,2,600}</v>
      </c>
      <c r="AW369" s="142" t="s">
        <v>175</v>
      </c>
    </row>
    <row r="370" spans="1:49">
      <c r="A370" s="143" t="str">
        <f t="shared" si="52"/>
        <v>[{2,394},{5103001,40},{14,60},{11,0},{5401000,0},{5203001,0},{5303001,0}]</v>
      </c>
      <c r="B370" s="98">
        <v>58</v>
      </c>
      <c r="C370" s="126">
        <v>114</v>
      </c>
      <c r="D370" s="126">
        <v>280</v>
      </c>
      <c r="E370" s="145">
        <v>15</v>
      </c>
      <c r="F370" s="145">
        <v>25</v>
      </c>
      <c r="G370" s="98">
        <v>3</v>
      </c>
      <c r="H370" s="98">
        <v>5</v>
      </c>
      <c r="I370" s="98">
        <v>0.5</v>
      </c>
      <c r="J370" s="98">
        <v>0</v>
      </c>
      <c r="K370" s="98">
        <v>5</v>
      </c>
      <c r="L370" s="98">
        <v>2</v>
      </c>
      <c r="M370" s="98">
        <v>1</v>
      </c>
      <c r="N370" s="98"/>
      <c r="O370" s="98">
        <v>0.1</v>
      </c>
      <c r="P370" s="98">
        <f t="shared" si="53"/>
        <v>139.7</v>
      </c>
      <c r="Q370" s="147">
        <f t="shared" si="54"/>
        <v>6.985</v>
      </c>
      <c r="R370" s="149">
        <v>600</v>
      </c>
      <c r="S370" s="132">
        <f t="shared" si="104"/>
        <v>57</v>
      </c>
      <c r="T370" s="132">
        <f t="shared" si="62"/>
        <v>228</v>
      </c>
      <c r="U370" s="80"/>
      <c r="V370" s="80">
        <v>21361</v>
      </c>
      <c r="W370" s="142">
        <f t="shared" si="55"/>
        <v>58</v>
      </c>
      <c r="X370" s="142" t="str">
        <f t="shared" ref="X370:AD370" si="131">IF(C$311="","{progress_rate,"&amp;C$308&amp;","&amp;C370&amp;"}",IF(C370&gt;=1,"{progress,"&amp;C$311*100&amp;","&amp;C$308&amp;","&amp;C370&amp;"}","{progress_rate_roll,"&amp;C$311*100&amp;","&amp;INT(C370*10000)&amp;","&amp;C$308&amp;","&amp;1&amp;"}"))</f>
        <v>{progress_rate,2,114}</v>
      </c>
      <c r="Y370" s="142" t="str">
        <f t="shared" si="131"/>
        <v>{progress,0,2,280}</v>
      </c>
      <c r="Z370" s="142" t="str">
        <f t="shared" si="131"/>
        <v>{progress,0,5103001,15}</v>
      </c>
      <c r="AA370" s="142" t="str">
        <f t="shared" si="131"/>
        <v>{progress,40,5103003,25}</v>
      </c>
      <c r="AB370" s="142" t="str">
        <f t="shared" si="131"/>
        <v>{progress,0,50025,3}</v>
      </c>
      <c r="AC370" s="142" t="str">
        <f t="shared" si="131"/>
        <v>{progress,50,50002,5}</v>
      </c>
      <c r="AD370" s="142" t="str">
        <f t="shared" si="131"/>
        <v>{progress_rate_roll,100,5000,11,1}</v>
      </c>
      <c r="AF370" s="142" t="str">
        <f t="shared" si="76"/>
        <v>{progress,50,5203001,5}</v>
      </c>
      <c r="AG370" s="142" t="str">
        <f t="shared" si="69"/>
        <v>{progress,40,5303001,2}</v>
      </c>
      <c r="AH370" s="142" t="str">
        <f t="shared" si="70"/>
        <v>{progress,0,5401019,1}</v>
      </c>
      <c r="AI370" s="142"/>
      <c r="AJ370" s="142" t="str">
        <f t="shared" si="110"/>
        <v>{progress_rate_roll,100,1000,9,1}</v>
      </c>
      <c r="AN370" s="142" t="str">
        <f t="shared" si="57"/>
        <v>{progress,1,21361,1}</v>
      </c>
      <c r="AO370" s="142" t="str">
        <f t="shared" si="80"/>
        <v>{progress_rate_roll,100,5000,21361,1}</v>
      </c>
      <c r="AP370" s="142" t="str">
        <f t="shared" si="64"/>
        <v>[{progress_rate,2,114},{progress,0,2,280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70" s="142" t="str">
        <f t="shared" si="81"/>
        <v>[{progress_rate,2,114},{progress,0,2,280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70" s="142" t="str">
        <f t="shared" si="65"/>
        <v>[{progress_rate,2,114},{progress,0,2,280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70" s="142" t="str">
        <f t="shared" si="59"/>
        <v>[{progress_rate,2,114},{progress,0,2,280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70" s="142" t="str">
        <f t="shared" si="60"/>
        <v>{progress_rate,2,600},{progress_rate,11,1}</v>
      </c>
      <c r="AV370" s="142" t="str">
        <f t="shared" si="106"/>
        <v>{progress_rate,2,600}</v>
      </c>
      <c r="AW370" s="142" t="s">
        <v>175</v>
      </c>
    </row>
    <row r="371" spans="1:49">
      <c r="A371" s="143" t="str">
        <f t="shared" si="52"/>
        <v>[{2,396},{5103001,40},{14,60},{11,0},{5401000,0},{5203001,0},{5303001,0}]</v>
      </c>
      <c r="B371" s="98">
        <v>59</v>
      </c>
      <c r="C371" s="126">
        <v>114</v>
      </c>
      <c r="D371" s="126">
        <v>282</v>
      </c>
      <c r="E371" s="145">
        <v>15</v>
      </c>
      <c r="F371" s="145">
        <v>25</v>
      </c>
      <c r="G371" s="98">
        <v>3</v>
      </c>
      <c r="H371" s="98">
        <v>5</v>
      </c>
      <c r="I371" s="98">
        <v>0.5</v>
      </c>
      <c r="J371" s="98">
        <v>0</v>
      </c>
      <c r="K371" s="98">
        <v>5</v>
      </c>
      <c r="L371" s="98">
        <v>2</v>
      </c>
      <c r="M371" s="98">
        <v>1</v>
      </c>
      <c r="N371" s="98"/>
      <c r="O371" s="98">
        <v>0.1</v>
      </c>
      <c r="P371" s="98">
        <f t="shared" si="53"/>
        <v>139.8</v>
      </c>
      <c r="Q371" s="147">
        <f t="shared" si="54"/>
        <v>6.99</v>
      </c>
      <c r="R371" s="149">
        <v>600</v>
      </c>
      <c r="S371" s="132">
        <f t="shared" si="104"/>
        <v>57</v>
      </c>
      <c r="T371" s="132">
        <f t="shared" si="62"/>
        <v>228</v>
      </c>
      <c r="U371" s="80"/>
      <c r="V371" s="80">
        <v>21361</v>
      </c>
      <c r="W371" s="142">
        <f t="shared" si="55"/>
        <v>59</v>
      </c>
      <c r="X371" s="142" t="str">
        <f t="shared" ref="X371:AD371" si="132">IF(C$311="","{progress_rate,"&amp;C$308&amp;","&amp;C371&amp;"}",IF(C371&gt;=1,"{progress,"&amp;C$311*100&amp;","&amp;C$308&amp;","&amp;C371&amp;"}","{progress_rate_roll,"&amp;C$311*100&amp;","&amp;INT(C371*10000)&amp;","&amp;C$308&amp;","&amp;1&amp;"}"))</f>
        <v>{progress_rate,2,114}</v>
      </c>
      <c r="Y371" s="142" t="str">
        <f t="shared" si="132"/>
        <v>{progress,0,2,282}</v>
      </c>
      <c r="Z371" s="142" t="str">
        <f t="shared" si="132"/>
        <v>{progress,0,5103001,15}</v>
      </c>
      <c r="AA371" s="142" t="str">
        <f t="shared" si="132"/>
        <v>{progress,40,5103003,25}</v>
      </c>
      <c r="AB371" s="142" t="str">
        <f t="shared" si="132"/>
        <v>{progress,0,50025,3}</v>
      </c>
      <c r="AC371" s="142" t="str">
        <f t="shared" si="132"/>
        <v>{progress,50,50002,5}</v>
      </c>
      <c r="AD371" s="142" t="str">
        <f t="shared" si="132"/>
        <v>{progress_rate_roll,100,5000,11,1}</v>
      </c>
      <c r="AF371" s="142" t="str">
        <f t="shared" si="76"/>
        <v>{progress,50,5203001,5}</v>
      </c>
      <c r="AG371" s="142" t="str">
        <f t="shared" si="69"/>
        <v>{progress,40,5303001,2}</v>
      </c>
      <c r="AH371" s="142" t="str">
        <f t="shared" si="70"/>
        <v>{progress,0,5401019,1}</v>
      </c>
      <c r="AI371" s="142"/>
      <c r="AJ371" s="142" t="str">
        <f t="shared" si="110"/>
        <v>{progress_rate_roll,100,1000,9,1}</v>
      </c>
      <c r="AN371" s="142" t="str">
        <f t="shared" si="57"/>
        <v>{progress,1,21361,1}</v>
      </c>
      <c r="AO371" s="142" t="str">
        <f t="shared" si="80"/>
        <v>{progress_rate_roll,100,5000,21361,1}</v>
      </c>
      <c r="AP371" s="142" t="str">
        <f t="shared" si="64"/>
        <v>[{progress_rate,2,114},{progress,0,2,282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71" s="142" t="str">
        <f t="shared" si="81"/>
        <v>[{progress_rate,2,114},{progress,0,2,282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71" s="142" t="str">
        <f t="shared" si="65"/>
        <v>[{progress_rate,2,114},{progress,0,2,282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71" s="142" t="str">
        <f t="shared" si="59"/>
        <v>[{progress_rate,2,114},{progress,0,2,282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71" s="142" t="str">
        <f t="shared" si="60"/>
        <v>{progress_rate,2,600},{progress_rate,11,1}</v>
      </c>
      <c r="AV371" s="142" t="str">
        <f t="shared" si="106"/>
        <v>{progress_rate,2,600}</v>
      </c>
      <c r="AW371" s="142" t="s">
        <v>175</v>
      </c>
    </row>
    <row r="372" spans="1:49">
      <c r="A372" s="143" t="str">
        <f t="shared" si="52"/>
        <v>[{2,398},{5103001,40},{14,60},{11,0},{5401000,0},{5203001,0},{5303001,0}]</v>
      </c>
      <c r="B372" s="98">
        <v>60</v>
      </c>
      <c r="C372" s="126">
        <v>114</v>
      </c>
      <c r="D372" s="126">
        <v>284</v>
      </c>
      <c r="E372" s="145">
        <v>15</v>
      </c>
      <c r="F372" s="145">
        <v>25</v>
      </c>
      <c r="G372" s="98">
        <v>3</v>
      </c>
      <c r="H372" s="98">
        <v>5</v>
      </c>
      <c r="I372" s="98">
        <v>0.5</v>
      </c>
      <c r="J372" s="98">
        <v>0</v>
      </c>
      <c r="K372" s="98">
        <v>5</v>
      </c>
      <c r="L372" s="98">
        <v>2</v>
      </c>
      <c r="M372" s="98">
        <v>1</v>
      </c>
      <c r="N372" s="98"/>
      <c r="O372" s="98">
        <v>0.1</v>
      </c>
      <c r="P372" s="98">
        <f t="shared" si="53"/>
        <v>139.9</v>
      </c>
      <c r="Q372" s="147">
        <f t="shared" si="54"/>
        <v>6.995</v>
      </c>
      <c r="R372" s="149">
        <v>600</v>
      </c>
      <c r="S372" s="132">
        <f t="shared" si="104"/>
        <v>57</v>
      </c>
      <c r="T372" s="132">
        <f t="shared" si="62"/>
        <v>228</v>
      </c>
      <c r="U372" s="80"/>
      <c r="V372" s="80">
        <v>21361</v>
      </c>
      <c r="W372" s="142">
        <f t="shared" si="55"/>
        <v>60</v>
      </c>
      <c r="X372" s="142" t="str">
        <f t="shared" ref="X372:AD372" si="133">IF(C$311="","{progress_rate,"&amp;C$308&amp;","&amp;C372&amp;"}",IF(C372&gt;=1,"{progress,"&amp;C$311*100&amp;","&amp;C$308&amp;","&amp;C372&amp;"}","{progress_rate_roll,"&amp;C$311*100&amp;","&amp;INT(C372*10000)&amp;","&amp;C$308&amp;","&amp;1&amp;"}"))</f>
        <v>{progress_rate,2,114}</v>
      </c>
      <c r="Y372" s="142" t="str">
        <f t="shared" si="133"/>
        <v>{progress,0,2,284}</v>
      </c>
      <c r="Z372" s="142" t="str">
        <f t="shared" si="133"/>
        <v>{progress,0,5103001,15}</v>
      </c>
      <c r="AA372" s="142" t="str">
        <f t="shared" si="133"/>
        <v>{progress,40,5103003,25}</v>
      </c>
      <c r="AB372" s="142" t="str">
        <f t="shared" si="133"/>
        <v>{progress,0,50025,3}</v>
      </c>
      <c r="AC372" s="142" t="str">
        <f t="shared" si="133"/>
        <v>{progress,50,50002,5}</v>
      </c>
      <c r="AD372" s="142" t="str">
        <f t="shared" si="133"/>
        <v>{progress_rate_roll,100,5000,11,1}</v>
      </c>
      <c r="AF372" s="142" t="str">
        <f t="shared" si="76"/>
        <v>{progress,50,5203001,5}</v>
      </c>
      <c r="AG372" s="142" t="str">
        <f t="shared" si="69"/>
        <v>{progress,40,5303001,2}</v>
      </c>
      <c r="AH372" s="142" t="str">
        <f t="shared" si="70"/>
        <v>{progress,0,5401019,1}</v>
      </c>
      <c r="AI372" s="142"/>
      <c r="AJ372" s="142" t="str">
        <f t="shared" si="110"/>
        <v>{progress_rate_roll,100,1000,9,1}</v>
      </c>
      <c r="AN372" s="142" t="str">
        <f t="shared" si="57"/>
        <v>{progress,1,21361,1}</v>
      </c>
      <c r="AO372" s="142" t="str">
        <f t="shared" si="80"/>
        <v>{progress_rate_roll,100,5000,21361,1}</v>
      </c>
      <c r="AP372" s="142" t="str">
        <f t="shared" si="64"/>
        <v>[{progress_rate,2,114},{progress,0,2,284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72" s="142" t="str">
        <f t="shared" si="81"/>
        <v>[{progress_rate,2,114},{progress,0,2,284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72" s="142" t="str">
        <f t="shared" si="65"/>
        <v>[{progress_rate,2,114},{progress,0,2,284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72" s="142" t="str">
        <f t="shared" si="59"/>
        <v>[{progress_rate,2,114},{progress,0,2,284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72" s="142" t="str">
        <f t="shared" si="60"/>
        <v>{progress_rate,2,600},{progress_rate,11,1}</v>
      </c>
      <c r="AV372" s="142" t="str">
        <f t="shared" si="106"/>
        <v>{progress_rate,2,600}</v>
      </c>
      <c r="AW372" s="142" t="s">
        <v>175</v>
      </c>
    </row>
    <row r="373" spans="1:49">
      <c r="A373" s="143" t="str">
        <f t="shared" si="52"/>
        <v>[{2,400},{5103001,40},{14,60},{11,0},{5401000,0},{5203001,0},{5303001,0}]</v>
      </c>
      <c r="B373" s="98">
        <v>61</v>
      </c>
      <c r="C373" s="126">
        <v>114</v>
      </c>
      <c r="D373" s="126">
        <v>286</v>
      </c>
      <c r="E373" s="145">
        <v>15</v>
      </c>
      <c r="F373" s="145">
        <v>25</v>
      </c>
      <c r="G373" s="98">
        <v>3</v>
      </c>
      <c r="H373" s="98">
        <v>5</v>
      </c>
      <c r="I373" s="98">
        <v>0.5</v>
      </c>
      <c r="J373" s="98">
        <v>0</v>
      </c>
      <c r="K373" s="98">
        <v>5</v>
      </c>
      <c r="L373" s="98">
        <v>2</v>
      </c>
      <c r="M373" s="98">
        <v>1</v>
      </c>
      <c r="N373" s="98"/>
      <c r="O373" s="98">
        <v>0.1</v>
      </c>
      <c r="P373" s="98">
        <f t="shared" si="53"/>
        <v>140</v>
      </c>
      <c r="Q373" s="147">
        <f t="shared" si="54"/>
        <v>7</v>
      </c>
      <c r="R373" s="149">
        <v>600</v>
      </c>
      <c r="S373" s="132">
        <f t="shared" si="104"/>
        <v>57</v>
      </c>
      <c r="T373" s="132">
        <f t="shared" si="62"/>
        <v>228</v>
      </c>
      <c r="U373" s="80"/>
      <c r="V373" s="80">
        <v>21362</v>
      </c>
      <c r="W373" s="142">
        <f t="shared" si="55"/>
        <v>61</v>
      </c>
      <c r="X373" s="142" t="str">
        <f t="shared" ref="X373:AD373" si="134">IF(C$311="","{progress_rate,"&amp;C$308&amp;","&amp;C373&amp;"}",IF(C373&gt;=1,"{progress,"&amp;C$311*100&amp;","&amp;C$308&amp;","&amp;C373&amp;"}","{progress_rate_roll,"&amp;C$311*100&amp;","&amp;INT(C373*10000)&amp;","&amp;C$308&amp;","&amp;1&amp;"}"))</f>
        <v>{progress_rate,2,114}</v>
      </c>
      <c r="Y373" s="142" t="str">
        <f t="shared" si="134"/>
        <v>{progress,0,2,286}</v>
      </c>
      <c r="Z373" s="142" t="str">
        <f t="shared" si="134"/>
        <v>{progress,0,5103001,15}</v>
      </c>
      <c r="AA373" s="142" t="str">
        <f t="shared" si="134"/>
        <v>{progress,40,5103003,25}</v>
      </c>
      <c r="AB373" s="142" t="str">
        <f t="shared" si="134"/>
        <v>{progress,0,50025,3}</v>
      </c>
      <c r="AC373" s="142" t="str">
        <f t="shared" si="134"/>
        <v>{progress,50,50002,5}</v>
      </c>
      <c r="AD373" s="142" t="str">
        <f t="shared" si="134"/>
        <v>{progress_rate_roll,100,5000,11,1}</v>
      </c>
      <c r="AF373" s="142" t="str">
        <f t="shared" si="76"/>
        <v>{progress,50,5203001,5}</v>
      </c>
      <c r="AG373" s="142" t="str">
        <f t="shared" si="69"/>
        <v>{progress,40,5303001,2}</v>
      </c>
      <c r="AH373" s="142" t="str">
        <f t="shared" si="70"/>
        <v>{progress,0,5401019,1}</v>
      </c>
      <c r="AI373" s="142"/>
      <c r="AJ373" s="142" t="str">
        <f t="shared" si="110"/>
        <v>{progress_rate_roll,100,1000,9,1}</v>
      </c>
      <c r="AN373" s="142" t="str">
        <f t="shared" si="57"/>
        <v>{progress,1,21362,1}</v>
      </c>
      <c r="AO373" s="142" t="str">
        <f t="shared" si="80"/>
        <v>{progress_rate_roll,100,5000,21362,1}</v>
      </c>
      <c r="AP373" s="142" t="str">
        <f t="shared" si="64"/>
        <v>[{progress_rate,2,114},{progress,0,2,286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73" s="142" t="str">
        <f t="shared" si="81"/>
        <v>[{progress_rate,2,114},{progress,0,2,286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73" s="142" t="str">
        <f t="shared" si="65"/>
        <v>[{progress_rate,2,114},{progress,0,2,286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73" s="142" t="str">
        <f t="shared" si="59"/>
        <v>[{progress_rate,2,114},{progress,0,2,286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73" s="142" t="str">
        <f t="shared" si="60"/>
        <v>{progress_rate,2,600},{progress_rate,11,1}</v>
      </c>
      <c r="AV373" s="142" t="str">
        <f t="shared" si="106"/>
        <v>{progress_rate,2,600}</v>
      </c>
      <c r="AW373" s="142" t="s">
        <v>175</v>
      </c>
    </row>
    <row r="374" spans="1:49">
      <c r="A374" s="143" t="str">
        <f t="shared" si="52"/>
        <v>[{2,402},{5103001,40},{14,60},{11,0},{5401000,0},{5203001,0},{5303001,0}]</v>
      </c>
      <c r="B374" s="98">
        <v>62</v>
      </c>
      <c r="C374" s="126">
        <v>116</v>
      </c>
      <c r="D374" s="126">
        <v>286</v>
      </c>
      <c r="E374" s="145">
        <v>15</v>
      </c>
      <c r="F374" s="145">
        <v>25</v>
      </c>
      <c r="G374" s="98">
        <v>3</v>
      </c>
      <c r="H374" s="98">
        <v>5</v>
      </c>
      <c r="I374" s="98">
        <v>0.5</v>
      </c>
      <c r="J374" s="98">
        <v>0</v>
      </c>
      <c r="K374" s="98">
        <v>5</v>
      </c>
      <c r="L374" s="98">
        <v>2</v>
      </c>
      <c r="M374" s="98">
        <v>1</v>
      </c>
      <c r="N374" s="98"/>
      <c r="O374" s="98">
        <v>0.1</v>
      </c>
      <c r="P374" s="98">
        <f t="shared" si="53"/>
        <v>140.1</v>
      </c>
      <c r="Q374" s="147">
        <f t="shared" si="54"/>
        <v>7.005</v>
      </c>
      <c r="R374" s="149">
        <v>600</v>
      </c>
      <c r="S374" s="132">
        <f t="shared" si="104"/>
        <v>58</v>
      </c>
      <c r="T374" s="132">
        <f t="shared" si="62"/>
        <v>232</v>
      </c>
      <c r="U374" s="80"/>
      <c r="V374" s="80">
        <v>21362</v>
      </c>
      <c r="W374" s="142">
        <f t="shared" si="55"/>
        <v>62</v>
      </c>
      <c r="X374" s="142" t="str">
        <f t="shared" ref="X374:AD374" si="135">IF(C$311="","{progress_rate,"&amp;C$308&amp;","&amp;C374&amp;"}",IF(C374&gt;=1,"{progress,"&amp;C$311*100&amp;","&amp;C$308&amp;","&amp;C374&amp;"}","{progress_rate_roll,"&amp;C$311*100&amp;","&amp;INT(C374*10000)&amp;","&amp;C$308&amp;","&amp;1&amp;"}"))</f>
        <v>{progress_rate,2,116}</v>
      </c>
      <c r="Y374" s="142" t="str">
        <f t="shared" si="135"/>
        <v>{progress,0,2,286}</v>
      </c>
      <c r="Z374" s="142" t="str">
        <f t="shared" si="135"/>
        <v>{progress,0,5103001,15}</v>
      </c>
      <c r="AA374" s="142" t="str">
        <f t="shared" si="135"/>
        <v>{progress,40,5103003,25}</v>
      </c>
      <c r="AB374" s="142" t="str">
        <f t="shared" si="135"/>
        <v>{progress,0,50025,3}</v>
      </c>
      <c r="AC374" s="142" t="str">
        <f t="shared" si="135"/>
        <v>{progress,50,50002,5}</v>
      </c>
      <c r="AD374" s="142" t="str">
        <f t="shared" si="135"/>
        <v>{progress_rate_roll,100,5000,11,1}</v>
      </c>
      <c r="AF374" s="142" t="str">
        <f t="shared" si="76"/>
        <v>{progress,50,5203001,5}</v>
      </c>
      <c r="AG374" s="142" t="str">
        <f t="shared" si="69"/>
        <v>{progress,40,5303001,2}</v>
      </c>
      <c r="AH374" s="142" t="str">
        <f t="shared" si="70"/>
        <v>{progress,0,5401019,1}</v>
      </c>
      <c r="AI374" s="142"/>
      <c r="AJ374" s="142" t="str">
        <f t="shared" si="110"/>
        <v>{progress_rate_roll,100,1000,9,1}</v>
      </c>
      <c r="AN374" s="142" t="str">
        <f t="shared" si="57"/>
        <v>{progress,1,21362,1}</v>
      </c>
      <c r="AO374" s="142" t="str">
        <f t="shared" si="80"/>
        <v>{progress_rate_roll,100,5000,21362,1}</v>
      </c>
      <c r="AP374" s="142" t="str">
        <f t="shared" si="64"/>
        <v>[{progress_rate,2,116},{progress,0,2,286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74" s="142" t="str">
        <f t="shared" si="81"/>
        <v>[{progress_rate,2,116},{progress,0,2,286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74" s="142" t="str">
        <f t="shared" si="65"/>
        <v>[{progress_rate,2,116},{progress,0,2,286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74" s="142" t="str">
        <f t="shared" si="59"/>
        <v>[{progress_rate,2,116},{progress,0,2,286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74" s="142" t="str">
        <f t="shared" si="60"/>
        <v>{progress_rate,2,600},{progress_rate,11,1}</v>
      </c>
      <c r="AV374" s="142" t="str">
        <f t="shared" si="106"/>
        <v>{progress_rate,2,600}</v>
      </c>
      <c r="AW374" s="142" t="s">
        <v>175</v>
      </c>
    </row>
    <row r="375" spans="1:49">
      <c r="A375" s="143" t="str">
        <f t="shared" si="52"/>
        <v>[{2,404},{5103001,40},{14,60},{11,0},{5401000,0},{5203001,0},{5303001,0}]</v>
      </c>
      <c r="B375" s="98">
        <v>63</v>
      </c>
      <c r="C375" s="126">
        <v>116</v>
      </c>
      <c r="D375" s="126">
        <v>288</v>
      </c>
      <c r="E375" s="145">
        <v>15</v>
      </c>
      <c r="F375" s="145">
        <v>25</v>
      </c>
      <c r="G375" s="98">
        <v>3</v>
      </c>
      <c r="H375" s="98">
        <v>5</v>
      </c>
      <c r="I375" s="98">
        <v>0.5</v>
      </c>
      <c r="J375" s="98">
        <v>0</v>
      </c>
      <c r="K375" s="98">
        <v>5</v>
      </c>
      <c r="L375" s="98">
        <v>2</v>
      </c>
      <c r="M375" s="98">
        <v>1</v>
      </c>
      <c r="N375" s="98"/>
      <c r="O375" s="98">
        <v>0.1</v>
      </c>
      <c r="P375" s="98">
        <f t="shared" si="53"/>
        <v>140.2</v>
      </c>
      <c r="Q375" s="147">
        <f t="shared" si="54"/>
        <v>7.01</v>
      </c>
      <c r="R375" s="149">
        <v>600</v>
      </c>
      <c r="S375" s="132">
        <f t="shared" si="104"/>
        <v>58</v>
      </c>
      <c r="T375" s="132">
        <f t="shared" si="62"/>
        <v>232</v>
      </c>
      <c r="U375" s="80"/>
      <c r="V375" s="80">
        <v>21362</v>
      </c>
      <c r="W375" s="142">
        <f t="shared" si="55"/>
        <v>63</v>
      </c>
      <c r="X375" s="142" t="str">
        <f t="shared" ref="X375:AD375" si="136">IF(C$311="","{progress_rate,"&amp;C$308&amp;","&amp;C375&amp;"}",IF(C375&gt;=1,"{progress,"&amp;C$311*100&amp;","&amp;C$308&amp;","&amp;C375&amp;"}","{progress_rate_roll,"&amp;C$311*100&amp;","&amp;INT(C375*10000)&amp;","&amp;C$308&amp;","&amp;1&amp;"}"))</f>
        <v>{progress_rate,2,116}</v>
      </c>
      <c r="Y375" s="142" t="str">
        <f t="shared" si="136"/>
        <v>{progress,0,2,288}</v>
      </c>
      <c r="Z375" s="142" t="str">
        <f t="shared" si="136"/>
        <v>{progress,0,5103001,15}</v>
      </c>
      <c r="AA375" s="142" t="str">
        <f t="shared" si="136"/>
        <v>{progress,40,5103003,25}</v>
      </c>
      <c r="AB375" s="142" t="str">
        <f t="shared" si="136"/>
        <v>{progress,0,50025,3}</v>
      </c>
      <c r="AC375" s="142" t="str">
        <f t="shared" si="136"/>
        <v>{progress,50,50002,5}</v>
      </c>
      <c r="AD375" s="142" t="str">
        <f t="shared" si="136"/>
        <v>{progress_rate_roll,100,5000,11,1}</v>
      </c>
      <c r="AF375" s="142" t="str">
        <f t="shared" si="76"/>
        <v>{progress,50,5203001,5}</v>
      </c>
      <c r="AG375" s="142" t="str">
        <f t="shared" si="69"/>
        <v>{progress,40,5303001,2}</v>
      </c>
      <c r="AH375" s="142" t="str">
        <f t="shared" si="70"/>
        <v>{progress,0,5401019,1}</v>
      </c>
      <c r="AI375" s="142"/>
      <c r="AJ375" s="142" t="str">
        <f t="shared" si="110"/>
        <v>{progress_rate_roll,100,1000,9,1}</v>
      </c>
      <c r="AN375" s="142" t="str">
        <f t="shared" si="57"/>
        <v>{progress,1,21362,1}</v>
      </c>
      <c r="AO375" s="142" t="str">
        <f t="shared" si="80"/>
        <v>{progress_rate_roll,100,5000,21362,1}</v>
      </c>
      <c r="AP375" s="142" t="str">
        <f t="shared" si="64"/>
        <v>[{progress_rate,2,116},{progress,0,2,288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75" s="142" t="str">
        <f t="shared" si="81"/>
        <v>[{progress_rate,2,116},{progress,0,2,288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75" s="142" t="str">
        <f t="shared" si="65"/>
        <v>[{progress_rate,2,116},{progress,0,2,288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75" s="142" t="str">
        <f t="shared" si="59"/>
        <v>[{progress_rate,2,116},{progress,0,2,288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75" s="142" t="str">
        <f t="shared" si="60"/>
        <v>{progress_rate,2,600},{progress_rate,11,1}</v>
      </c>
      <c r="AV375" s="142" t="str">
        <f t="shared" si="106"/>
        <v>{progress_rate,2,600}</v>
      </c>
      <c r="AW375" s="142" t="s">
        <v>175</v>
      </c>
    </row>
    <row r="376" spans="1:49">
      <c r="A376" s="143" t="str">
        <f t="shared" si="52"/>
        <v>[{2,406},{5103001,40},{14,60},{11,0},{5401000,0},{5203001,0},{5303001,0}]</v>
      </c>
      <c r="B376" s="98">
        <v>64</v>
      </c>
      <c r="C376" s="126">
        <v>116</v>
      </c>
      <c r="D376" s="126">
        <v>290</v>
      </c>
      <c r="E376" s="145">
        <v>15</v>
      </c>
      <c r="F376" s="145">
        <v>25</v>
      </c>
      <c r="G376" s="98">
        <v>3</v>
      </c>
      <c r="H376" s="98">
        <v>5</v>
      </c>
      <c r="I376" s="98">
        <v>0.5</v>
      </c>
      <c r="J376" s="98">
        <v>0</v>
      </c>
      <c r="K376" s="98">
        <v>5</v>
      </c>
      <c r="L376" s="98">
        <v>2</v>
      </c>
      <c r="M376" s="98">
        <v>1</v>
      </c>
      <c r="N376" s="98"/>
      <c r="O376" s="98">
        <v>0.1</v>
      </c>
      <c r="P376" s="98">
        <f t="shared" si="53"/>
        <v>140.3</v>
      </c>
      <c r="Q376" s="147">
        <f t="shared" si="54"/>
        <v>7.015</v>
      </c>
      <c r="R376" s="149">
        <v>600</v>
      </c>
      <c r="S376" s="132">
        <f t="shared" si="104"/>
        <v>58</v>
      </c>
      <c r="T376" s="132">
        <f t="shared" si="62"/>
        <v>232</v>
      </c>
      <c r="U376" s="80"/>
      <c r="V376" s="80">
        <v>21362</v>
      </c>
      <c r="W376" s="142">
        <f t="shared" si="55"/>
        <v>64</v>
      </c>
      <c r="X376" s="142" t="str">
        <f t="shared" ref="X376:AD376" si="137">IF(C$311="","{progress_rate,"&amp;C$308&amp;","&amp;C376&amp;"}",IF(C376&gt;=1,"{progress,"&amp;C$311*100&amp;","&amp;C$308&amp;","&amp;C376&amp;"}","{progress_rate_roll,"&amp;C$311*100&amp;","&amp;INT(C376*10000)&amp;","&amp;C$308&amp;","&amp;1&amp;"}"))</f>
        <v>{progress_rate,2,116}</v>
      </c>
      <c r="Y376" s="142" t="str">
        <f t="shared" si="137"/>
        <v>{progress,0,2,290}</v>
      </c>
      <c r="Z376" s="142" t="str">
        <f t="shared" si="137"/>
        <v>{progress,0,5103001,15}</v>
      </c>
      <c r="AA376" s="142" t="str">
        <f t="shared" si="137"/>
        <v>{progress,40,5103003,25}</v>
      </c>
      <c r="AB376" s="142" t="str">
        <f t="shared" si="137"/>
        <v>{progress,0,50025,3}</v>
      </c>
      <c r="AC376" s="142" t="str">
        <f t="shared" si="137"/>
        <v>{progress,50,50002,5}</v>
      </c>
      <c r="AD376" s="142" t="str">
        <f t="shared" si="137"/>
        <v>{progress_rate_roll,100,5000,11,1}</v>
      </c>
      <c r="AF376" s="142" t="str">
        <f t="shared" si="76"/>
        <v>{progress,50,5203001,5}</v>
      </c>
      <c r="AG376" s="142" t="str">
        <f t="shared" si="69"/>
        <v>{progress,40,5303001,2}</v>
      </c>
      <c r="AH376" s="142" t="str">
        <f t="shared" si="70"/>
        <v>{progress,0,5401019,1}</v>
      </c>
      <c r="AI376" s="142"/>
      <c r="AJ376" s="142" t="str">
        <f t="shared" si="110"/>
        <v>{progress_rate_roll,100,1000,9,1}</v>
      </c>
      <c r="AN376" s="142" t="str">
        <f t="shared" si="57"/>
        <v>{progress,1,21362,1}</v>
      </c>
      <c r="AO376" s="142" t="str">
        <f t="shared" si="80"/>
        <v>{progress_rate_roll,100,5000,21362,1}</v>
      </c>
      <c r="AP376" s="142" t="str">
        <f t="shared" si="64"/>
        <v>[{progress_rate,2,116},{progress,0,2,290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76" s="142" t="str">
        <f t="shared" si="81"/>
        <v>[{progress_rate,2,116},{progress,0,2,290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76" s="142" t="str">
        <f t="shared" si="65"/>
        <v>[{progress_rate,2,116},{progress,0,2,290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76" s="142" t="str">
        <f t="shared" si="59"/>
        <v>[{progress_rate,2,116},{progress,0,2,290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76" s="142" t="str">
        <f t="shared" si="60"/>
        <v>{progress_rate,2,600},{progress_rate,11,1}</v>
      </c>
      <c r="AV376" s="142" t="str">
        <f t="shared" si="106"/>
        <v>{progress_rate,2,600}</v>
      </c>
      <c r="AW376" s="142" t="s">
        <v>175</v>
      </c>
    </row>
    <row r="377" spans="1:49">
      <c r="A377" s="143" t="str">
        <f t="shared" ref="A377:A440" si="138">"[{2,"&amp;C377+D377&amp;"},{5103001,"&amp;E377+F377&amp;"},{14,60},{11,0}"&amp;IF(M377&gt;0,",{5401000,0}","")&amp;IF(K377&gt;0,",{5203001,0}","")&amp;IF(L377&gt;0,",{5303001,0}","")&amp;"]"</f>
        <v>[{2,408},{5103001,40},{14,60},{11,0},{5401000,0},{5203001,0},{5303001,0}]</v>
      </c>
      <c r="B377" s="98">
        <v>65</v>
      </c>
      <c r="C377" s="126">
        <v>118</v>
      </c>
      <c r="D377" s="126">
        <v>290</v>
      </c>
      <c r="E377" s="145">
        <v>15</v>
      </c>
      <c r="F377" s="145">
        <v>25</v>
      </c>
      <c r="G377" s="98">
        <v>3</v>
      </c>
      <c r="H377" s="98">
        <v>5</v>
      </c>
      <c r="I377" s="98">
        <v>0.5</v>
      </c>
      <c r="J377" s="98">
        <v>0</v>
      </c>
      <c r="K377" s="98">
        <v>5</v>
      </c>
      <c r="L377" s="98">
        <v>2</v>
      </c>
      <c r="M377" s="98">
        <v>1</v>
      </c>
      <c r="N377" s="98"/>
      <c r="O377" s="98">
        <v>0.1</v>
      </c>
      <c r="P377" s="98">
        <f t="shared" ref="P377:P440" si="139">SUMPRODUCT(C377:N377,$C$309:$N$309)</f>
        <v>140.4</v>
      </c>
      <c r="Q377" s="147">
        <f t="shared" ref="Q377:Q440" si="140">P377/20</f>
        <v>7.02</v>
      </c>
      <c r="R377" s="149">
        <v>600</v>
      </c>
      <c r="S377" s="132">
        <f t="shared" si="104"/>
        <v>59</v>
      </c>
      <c r="T377" s="132">
        <f t="shared" si="62"/>
        <v>236</v>
      </c>
      <c r="U377" s="80"/>
      <c r="V377" s="80">
        <v>21362</v>
      </c>
      <c r="W377" s="142">
        <f t="shared" ref="W377:W440" si="141">B377</f>
        <v>65</v>
      </c>
      <c r="X377" s="142" t="str">
        <f t="shared" ref="X377:AD377" si="142">IF(C$311="","{progress_rate,"&amp;C$308&amp;","&amp;C377&amp;"}",IF(C377&gt;=1,"{progress,"&amp;C$311*100&amp;","&amp;C$308&amp;","&amp;C377&amp;"}","{progress_rate_roll,"&amp;C$311*100&amp;","&amp;INT(C377*10000)&amp;","&amp;C$308&amp;","&amp;1&amp;"}"))</f>
        <v>{progress_rate,2,118}</v>
      </c>
      <c r="Y377" s="142" t="str">
        <f t="shared" si="142"/>
        <v>{progress,0,2,290}</v>
      </c>
      <c r="Z377" s="142" t="str">
        <f t="shared" si="142"/>
        <v>{progress,0,5103001,15}</v>
      </c>
      <c r="AA377" s="142" t="str">
        <f t="shared" si="142"/>
        <v>{progress,40,5103003,25}</v>
      </c>
      <c r="AB377" s="142" t="str">
        <f t="shared" si="142"/>
        <v>{progress,0,50025,3}</v>
      </c>
      <c r="AC377" s="142" t="str">
        <f t="shared" si="142"/>
        <v>{progress,50,50002,5}</v>
      </c>
      <c r="AD377" s="142" t="str">
        <f t="shared" si="142"/>
        <v>{progress_rate_roll,100,5000,11,1}</v>
      </c>
      <c r="AF377" s="142" t="str">
        <f t="shared" si="76"/>
        <v>{progress,50,5203001,5}</v>
      </c>
      <c r="AG377" s="142" t="str">
        <f t="shared" si="69"/>
        <v>{progress,40,5303001,2}</v>
      </c>
      <c r="AH377" s="142" t="str">
        <f t="shared" si="70"/>
        <v>{progress,0,5401019,1}</v>
      </c>
      <c r="AI377" s="142"/>
      <c r="AJ377" s="142" t="str">
        <f t="shared" si="110"/>
        <v>{progress_rate_roll,100,1000,9,1}</v>
      </c>
      <c r="AN377" s="142" t="str">
        <f t="shared" ref="AN377:AN440" si="143">"{progress,1,"&amp;V377&amp;",1}"</f>
        <v>{progress,1,21362,1}</v>
      </c>
      <c r="AO377" s="142" t="str">
        <f t="shared" si="80"/>
        <v>{progress_rate_roll,100,5000,21362,1}</v>
      </c>
      <c r="AP377" s="142" t="str">
        <f t="shared" si="64"/>
        <v>[{progress_rate,2,118},{progress,0,2,290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77" s="142" t="str">
        <f t="shared" si="81"/>
        <v>[{progress_rate,2,118},{progress,0,2,290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77" s="142" t="str">
        <f t="shared" si="65"/>
        <v>[{progress_rate,2,118},{progress,0,2,290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77" s="142" t="str">
        <f t="shared" ref="AS377:AS440" si="144">IF(AT377="",SUBSTITUTE(AQ377,"]",","&amp;AU377&amp;"]"),SUBSTITUTE(SUBSTITUTE(SUBSTITUTE(AQ377,"]",","&amp;AU377&amp;"]"),$G$308,AT377),$H$308,SUBSTITUTE(AT377+1,50009,50003)))</f>
        <v>[{progress_rate,2,118},{progress,0,2,290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77" s="142" t="str">
        <f t="shared" ref="AU377:AU440" si="145">_xlfn.TEXTJOIN(",",1,AV377:BD377)</f>
        <v>{progress_rate,2,600},{progress_rate,11,1}</v>
      </c>
      <c r="AV377" s="142" t="str">
        <f t="shared" si="106"/>
        <v>{progress_rate,2,600}</v>
      </c>
      <c r="AW377" s="142" t="s">
        <v>175</v>
      </c>
    </row>
    <row r="378" spans="1:49">
      <c r="A378" s="143" t="str">
        <f t="shared" si="138"/>
        <v>[{2,410},{5103001,40},{14,60},{11,0},{5401000,0},{5203001,0},{5303001,0}]</v>
      </c>
      <c r="B378" s="98">
        <v>66</v>
      </c>
      <c r="C378" s="126">
        <v>118</v>
      </c>
      <c r="D378" s="126">
        <v>292</v>
      </c>
      <c r="E378" s="145">
        <v>15</v>
      </c>
      <c r="F378" s="145">
        <v>25</v>
      </c>
      <c r="G378" s="98">
        <v>3</v>
      </c>
      <c r="H378" s="98">
        <v>5</v>
      </c>
      <c r="I378" s="98">
        <v>0.5</v>
      </c>
      <c r="J378" s="98">
        <v>0</v>
      </c>
      <c r="K378" s="98">
        <v>5</v>
      </c>
      <c r="L378" s="98">
        <v>2</v>
      </c>
      <c r="M378" s="98">
        <v>1</v>
      </c>
      <c r="N378" s="98"/>
      <c r="O378" s="98">
        <v>0.1</v>
      </c>
      <c r="P378" s="98">
        <f t="shared" si="139"/>
        <v>140.5</v>
      </c>
      <c r="Q378" s="147">
        <f t="shared" si="140"/>
        <v>7.025</v>
      </c>
      <c r="R378" s="149">
        <v>600</v>
      </c>
      <c r="S378" s="132">
        <f t="shared" ref="S378:S409" si="146">C378/2</f>
        <v>59</v>
      </c>
      <c r="T378" s="132">
        <f t="shared" ref="T378:T441" si="147">C378*2</f>
        <v>236</v>
      </c>
      <c r="U378" s="80"/>
      <c r="V378" s="80">
        <v>21362</v>
      </c>
      <c r="W378" s="142">
        <f t="shared" si="141"/>
        <v>66</v>
      </c>
      <c r="X378" s="142" t="str">
        <f t="shared" ref="X378:AD378" si="148">IF(C$311="","{progress_rate,"&amp;C$308&amp;","&amp;C378&amp;"}",IF(C378&gt;=1,"{progress,"&amp;C$311*100&amp;","&amp;C$308&amp;","&amp;C378&amp;"}","{progress_rate_roll,"&amp;C$311*100&amp;","&amp;INT(C378*10000)&amp;","&amp;C$308&amp;","&amp;1&amp;"}"))</f>
        <v>{progress_rate,2,118}</v>
      </c>
      <c r="Y378" s="142" t="str">
        <f t="shared" si="148"/>
        <v>{progress,0,2,292}</v>
      </c>
      <c r="Z378" s="142" t="str">
        <f t="shared" si="148"/>
        <v>{progress,0,5103001,15}</v>
      </c>
      <c r="AA378" s="142" t="str">
        <f t="shared" si="148"/>
        <v>{progress,40,5103003,25}</v>
      </c>
      <c r="AB378" s="142" t="str">
        <f t="shared" si="148"/>
        <v>{progress,0,50025,3}</v>
      </c>
      <c r="AC378" s="142" t="str">
        <f t="shared" si="148"/>
        <v>{progress,50,50002,5}</v>
      </c>
      <c r="AD378" s="142" t="str">
        <f t="shared" si="148"/>
        <v>{progress_rate_roll,100,5000,11,1}</v>
      </c>
      <c r="AF378" s="142" t="str">
        <f t="shared" si="76"/>
        <v>{progress,50,5203001,5}</v>
      </c>
      <c r="AG378" s="142" t="str">
        <f t="shared" si="69"/>
        <v>{progress,40,5303001,2}</v>
      </c>
      <c r="AH378" s="142" t="str">
        <f t="shared" si="70"/>
        <v>{progress,0,5401019,1}</v>
      </c>
      <c r="AI378" s="142"/>
      <c r="AJ378" s="142" t="str">
        <f t="shared" si="110"/>
        <v>{progress_rate_roll,100,1000,9,1}</v>
      </c>
      <c r="AN378" s="142" t="str">
        <f t="shared" si="143"/>
        <v>{progress,1,21362,1}</v>
      </c>
      <c r="AO378" s="142" t="str">
        <f t="shared" si="80"/>
        <v>{progress_rate_roll,100,5000,21362,1}</v>
      </c>
      <c r="AP378" s="142" t="str">
        <f t="shared" ref="AP378:AP441" si="149">"["&amp;_xlfn.TEXTJOIN(",",1,X378:AO378)&amp;"]"</f>
        <v>[{progress_rate,2,118},{progress,0,2,292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78" s="142" t="str">
        <f t="shared" si="81"/>
        <v>[{progress_rate,2,118},{progress,0,2,292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78" s="142" t="str">
        <f t="shared" ref="AR378:AR441" si="150">SUBSTITUTE(AS378,",{progress_rate_roll,100,5000,11,1}","")</f>
        <v>[{progress_rate,2,118},{progress,0,2,292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78" s="142" t="str">
        <f t="shared" si="144"/>
        <v>[{progress_rate,2,118},{progress,0,2,292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78" s="142" t="str">
        <f t="shared" si="145"/>
        <v>{progress_rate,2,600},{progress_rate,11,1}</v>
      </c>
      <c r="AV378" s="142" t="str">
        <f t="shared" ref="AV378:AV409" si="151">"{progress_rate,2,"&amp;MIN(1200,600+INT(B378/10)*0)&amp;"}"</f>
        <v>{progress_rate,2,600}</v>
      </c>
      <c r="AW378" s="142" t="s">
        <v>175</v>
      </c>
    </row>
    <row r="379" spans="1:49">
      <c r="A379" s="143" t="str">
        <f t="shared" si="138"/>
        <v>[{2,412},{5103001,40},{14,60},{11,0},{5401000,0},{5203001,0},{5303001,0}]</v>
      </c>
      <c r="B379" s="98">
        <v>67</v>
      </c>
      <c r="C379" s="126">
        <v>118</v>
      </c>
      <c r="D379" s="126">
        <v>294</v>
      </c>
      <c r="E379" s="145">
        <v>15</v>
      </c>
      <c r="F379" s="145">
        <v>25</v>
      </c>
      <c r="G379" s="98">
        <v>3</v>
      </c>
      <c r="H379" s="98">
        <v>5</v>
      </c>
      <c r="I379" s="98">
        <v>0.5</v>
      </c>
      <c r="J379" s="98">
        <v>0</v>
      </c>
      <c r="K379" s="98">
        <v>5</v>
      </c>
      <c r="L379" s="98">
        <v>2</v>
      </c>
      <c r="M379" s="98">
        <v>1</v>
      </c>
      <c r="N379" s="98"/>
      <c r="O379" s="98">
        <v>0.1</v>
      </c>
      <c r="P379" s="98">
        <f t="shared" si="139"/>
        <v>140.6</v>
      </c>
      <c r="Q379" s="147">
        <f t="shared" si="140"/>
        <v>7.03</v>
      </c>
      <c r="R379" s="149">
        <v>600</v>
      </c>
      <c r="S379" s="132">
        <f t="shared" si="146"/>
        <v>59</v>
      </c>
      <c r="T379" s="132">
        <f t="shared" si="147"/>
        <v>236</v>
      </c>
      <c r="U379" s="80"/>
      <c r="V379" s="80">
        <v>21362</v>
      </c>
      <c r="W379" s="142">
        <f t="shared" si="141"/>
        <v>67</v>
      </c>
      <c r="X379" s="142" t="str">
        <f t="shared" ref="X379:AD379" si="152">IF(C$311="","{progress_rate,"&amp;C$308&amp;","&amp;C379&amp;"}",IF(C379&gt;=1,"{progress,"&amp;C$311*100&amp;","&amp;C$308&amp;","&amp;C379&amp;"}","{progress_rate_roll,"&amp;C$311*100&amp;","&amp;INT(C379*10000)&amp;","&amp;C$308&amp;","&amp;1&amp;"}"))</f>
        <v>{progress_rate,2,118}</v>
      </c>
      <c r="Y379" s="142" t="str">
        <f t="shared" si="152"/>
        <v>{progress,0,2,294}</v>
      </c>
      <c r="Z379" s="142" t="str">
        <f t="shared" si="152"/>
        <v>{progress,0,5103001,15}</v>
      </c>
      <c r="AA379" s="142" t="str">
        <f t="shared" si="152"/>
        <v>{progress,40,5103003,25}</v>
      </c>
      <c r="AB379" s="142" t="str">
        <f t="shared" si="152"/>
        <v>{progress,0,50025,3}</v>
      </c>
      <c r="AC379" s="142" t="str">
        <f t="shared" si="152"/>
        <v>{progress,50,50002,5}</v>
      </c>
      <c r="AD379" s="142" t="str">
        <f t="shared" si="152"/>
        <v>{progress_rate_roll,100,5000,11,1}</v>
      </c>
      <c r="AF379" s="142" t="str">
        <f t="shared" si="76"/>
        <v>{progress,50,5203001,5}</v>
      </c>
      <c r="AG379" s="142" t="str">
        <f t="shared" si="69"/>
        <v>{progress,40,5303001,2}</v>
      </c>
      <c r="AH379" s="142" t="str">
        <f t="shared" si="70"/>
        <v>{progress,0,5401019,1}</v>
      </c>
      <c r="AI379" s="142"/>
      <c r="AJ379" s="142" t="str">
        <f t="shared" si="110"/>
        <v>{progress_rate_roll,100,1000,9,1}</v>
      </c>
      <c r="AN379" s="142" t="str">
        <f t="shared" si="143"/>
        <v>{progress,1,21362,1}</v>
      </c>
      <c r="AO379" s="142" t="str">
        <f t="shared" si="80"/>
        <v>{progress_rate_roll,100,5000,21362,1}</v>
      </c>
      <c r="AP379" s="142" t="str">
        <f t="shared" si="149"/>
        <v>[{progress_rate,2,118},{progress,0,2,294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79" s="142" t="str">
        <f t="shared" si="81"/>
        <v>[{progress_rate,2,118},{progress,0,2,294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79" s="142" t="str">
        <f t="shared" si="150"/>
        <v>[{progress_rate,2,118},{progress,0,2,294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79" s="142" t="str">
        <f t="shared" si="144"/>
        <v>[{progress_rate,2,118},{progress,0,2,294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79" s="142" t="str">
        <f t="shared" si="145"/>
        <v>{progress_rate,2,600},{progress_rate,11,1}</v>
      </c>
      <c r="AV379" s="142" t="str">
        <f t="shared" si="151"/>
        <v>{progress_rate,2,600}</v>
      </c>
      <c r="AW379" s="142" t="s">
        <v>175</v>
      </c>
    </row>
    <row r="380" spans="1:49">
      <c r="A380" s="143" t="str">
        <f t="shared" si="138"/>
        <v>[{2,414},{5103001,40},{14,60},{11,0},{5401000,0},{5203001,0},{5303001,0}]</v>
      </c>
      <c r="B380" s="98">
        <v>68</v>
      </c>
      <c r="C380" s="126">
        <v>118</v>
      </c>
      <c r="D380" s="126">
        <v>296</v>
      </c>
      <c r="E380" s="145">
        <v>15</v>
      </c>
      <c r="F380" s="145">
        <v>25</v>
      </c>
      <c r="G380" s="98">
        <v>3</v>
      </c>
      <c r="H380" s="98">
        <v>5</v>
      </c>
      <c r="I380" s="98">
        <v>0.5</v>
      </c>
      <c r="J380" s="98">
        <v>0</v>
      </c>
      <c r="K380" s="98">
        <v>5</v>
      </c>
      <c r="L380" s="98">
        <v>2</v>
      </c>
      <c r="M380" s="98">
        <v>1</v>
      </c>
      <c r="N380" s="98"/>
      <c r="O380" s="98">
        <v>0.1</v>
      </c>
      <c r="P380" s="98">
        <f t="shared" si="139"/>
        <v>140.7</v>
      </c>
      <c r="Q380" s="147">
        <f t="shared" si="140"/>
        <v>7.035</v>
      </c>
      <c r="R380" s="149">
        <v>600</v>
      </c>
      <c r="S380" s="132">
        <f t="shared" si="146"/>
        <v>59</v>
      </c>
      <c r="T380" s="132">
        <f t="shared" si="147"/>
        <v>236</v>
      </c>
      <c r="U380" s="80"/>
      <c r="V380" s="80">
        <v>21362</v>
      </c>
      <c r="W380" s="142">
        <f t="shared" si="141"/>
        <v>68</v>
      </c>
      <c r="X380" s="142" t="str">
        <f t="shared" ref="X380:AD380" si="153">IF(C$311="","{progress_rate,"&amp;C$308&amp;","&amp;C380&amp;"}",IF(C380&gt;=1,"{progress,"&amp;C$311*100&amp;","&amp;C$308&amp;","&amp;C380&amp;"}","{progress_rate_roll,"&amp;C$311*100&amp;","&amp;INT(C380*10000)&amp;","&amp;C$308&amp;","&amp;1&amp;"}"))</f>
        <v>{progress_rate,2,118}</v>
      </c>
      <c r="Y380" s="142" t="str">
        <f t="shared" si="153"/>
        <v>{progress,0,2,296}</v>
      </c>
      <c r="Z380" s="142" t="str">
        <f t="shared" si="153"/>
        <v>{progress,0,5103001,15}</v>
      </c>
      <c r="AA380" s="142" t="str">
        <f t="shared" si="153"/>
        <v>{progress,40,5103003,25}</v>
      </c>
      <c r="AB380" s="142" t="str">
        <f t="shared" si="153"/>
        <v>{progress,0,50025,3}</v>
      </c>
      <c r="AC380" s="142" t="str">
        <f t="shared" si="153"/>
        <v>{progress,50,50002,5}</v>
      </c>
      <c r="AD380" s="142" t="str">
        <f t="shared" si="153"/>
        <v>{progress_rate_roll,100,5000,11,1}</v>
      </c>
      <c r="AF380" s="142" t="str">
        <f t="shared" si="76"/>
        <v>{progress,50,5203001,5}</v>
      </c>
      <c r="AG380" s="142" t="str">
        <f t="shared" ref="AG380:AG443" si="154">IF(L$311="","{progress_rate,"&amp;L$308&amp;","&amp;L380&amp;"}",IF(L380&gt;=1,"{progress,"&amp;L$311*100&amp;","&amp;L$308&amp;","&amp;L380&amp;"}","{progress_rate_roll,"&amp;L$311*100&amp;","&amp;INT(L380*10000)&amp;","&amp;L$308&amp;","&amp;1&amp;"}"))</f>
        <v>{progress,40,5303001,2}</v>
      </c>
      <c r="AH380" s="142" t="str">
        <f t="shared" ref="AH380:AH443" si="155">IF(M$311="","{progress_rate,"&amp;M$308&amp;","&amp;M380&amp;"}",IF(M380&gt;=1,"{progress,"&amp;M$311*100&amp;","&amp;M$308&amp;","&amp;M380&amp;"}","{progress_rate_roll,"&amp;M$311*100&amp;","&amp;INT(M380*10000)&amp;","&amp;M$308&amp;","&amp;1&amp;"}"))</f>
        <v>{progress,0,5401019,1}</v>
      </c>
      <c r="AI380" s="142"/>
      <c r="AJ380" s="142" t="str">
        <f t="shared" si="110"/>
        <v>{progress_rate_roll,100,1000,9,1}</v>
      </c>
      <c r="AN380" s="142" t="str">
        <f t="shared" si="143"/>
        <v>{progress,1,21362,1}</v>
      </c>
      <c r="AO380" s="142" t="str">
        <f t="shared" si="80"/>
        <v>{progress_rate_roll,100,5000,21362,1}</v>
      </c>
      <c r="AP380" s="142" t="str">
        <f t="shared" si="149"/>
        <v>[{progress_rate,2,118},{progress,0,2,296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80" s="142" t="str">
        <f t="shared" si="81"/>
        <v>[{progress_rate,2,118},{progress,0,2,296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80" s="142" t="str">
        <f t="shared" si="150"/>
        <v>[{progress_rate,2,118},{progress,0,2,296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80" s="142" t="str">
        <f t="shared" si="144"/>
        <v>[{progress_rate,2,118},{progress,0,2,296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80" s="142" t="str">
        <f t="shared" si="145"/>
        <v>{progress_rate,2,600},{progress_rate,11,1}</v>
      </c>
      <c r="AV380" s="142" t="str">
        <f t="shared" si="151"/>
        <v>{progress_rate,2,600}</v>
      </c>
      <c r="AW380" s="142" t="s">
        <v>175</v>
      </c>
    </row>
    <row r="381" spans="1:49">
      <c r="A381" s="143" t="str">
        <f t="shared" si="138"/>
        <v>[{2,416},{5103001,40},{14,60},{11,0},{5401000,0},{5203001,0},{5303001,0}]</v>
      </c>
      <c r="B381" s="98">
        <v>69</v>
      </c>
      <c r="C381" s="126">
        <v>120</v>
      </c>
      <c r="D381" s="126">
        <v>296</v>
      </c>
      <c r="E381" s="145">
        <v>15</v>
      </c>
      <c r="F381" s="145">
        <v>25</v>
      </c>
      <c r="G381" s="98">
        <v>3</v>
      </c>
      <c r="H381" s="98">
        <v>5</v>
      </c>
      <c r="I381" s="98">
        <v>0.5</v>
      </c>
      <c r="J381" s="98">
        <v>0</v>
      </c>
      <c r="K381" s="98">
        <v>5</v>
      </c>
      <c r="L381" s="98">
        <v>2</v>
      </c>
      <c r="M381" s="98">
        <v>1</v>
      </c>
      <c r="N381" s="98"/>
      <c r="O381" s="98">
        <v>0.1</v>
      </c>
      <c r="P381" s="98">
        <f t="shared" si="139"/>
        <v>140.8</v>
      </c>
      <c r="Q381" s="147">
        <f t="shared" si="140"/>
        <v>7.04</v>
      </c>
      <c r="R381" s="149">
        <v>600</v>
      </c>
      <c r="S381" s="132">
        <f t="shared" si="146"/>
        <v>60</v>
      </c>
      <c r="T381" s="132">
        <f t="shared" si="147"/>
        <v>240</v>
      </c>
      <c r="U381" s="80"/>
      <c r="V381" s="80">
        <v>21362</v>
      </c>
      <c r="W381" s="142">
        <f t="shared" si="141"/>
        <v>69</v>
      </c>
      <c r="X381" s="142" t="str">
        <f t="shared" ref="X381:AD381" si="156">IF(C$311="","{progress_rate,"&amp;C$308&amp;","&amp;C381&amp;"}",IF(C381&gt;=1,"{progress,"&amp;C$311*100&amp;","&amp;C$308&amp;","&amp;C381&amp;"}","{progress_rate_roll,"&amp;C$311*100&amp;","&amp;INT(C381*10000)&amp;","&amp;C$308&amp;","&amp;1&amp;"}"))</f>
        <v>{progress_rate,2,120}</v>
      </c>
      <c r="Y381" s="142" t="str">
        <f t="shared" si="156"/>
        <v>{progress,0,2,296}</v>
      </c>
      <c r="Z381" s="142" t="str">
        <f t="shared" si="156"/>
        <v>{progress,0,5103001,15}</v>
      </c>
      <c r="AA381" s="142" t="str">
        <f t="shared" si="156"/>
        <v>{progress,40,5103003,25}</v>
      </c>
      <c r="AB381" s="142" t="str">
        <f t="shared" si="156"/>
        <v>{progress,0,50025,3}</v>
      </c>
      <c r="AC381" s="142" t="str">
        <f t="shared" si="156"/>
        <v>{progress,50,50002,5}</v>
      </c>
      <c r="AD381" s="142" t="str">
        <f t="shared" si="156"/>
        <v>{progress_rate_roll,100,5000,11,1}</v>
      </c>
      <c r="AF381" s="142" t="str">
        <f t="shared" si="76"/>
        <v>{progress,50,5203001,5}</v>
      </c>
      <c r="AG381" s="142" t="str">
        <f t="shared" si="154"/>
        <v>{progress,40,5303001,2}</v>
      </c>
      <c r="AH381" s="142" t="str">
        <f t="shared" si="155"/>
        <v>{progress,0,5401019,1}</v>
      </c>
      <c r="AI381" s="142"/>
      <c r="AJ381" s="142" t="str">
        <f t="shared" ref="AJ381:AJ412" si="157">IF(O$311="","{progress_rate,"&amp;O$308&amp;","&amp;O381&amp;"}",IF(O381&gt;=1,"{progress,"&amp;O$311*100&amp;","&amp;O$308&amp;","&amp;O381&amp;"}","{progress_rate_roll,"&amp;O$311*100&amp;","&amp;INT(O381*10000)&amp;","&amp;O$308&amp;","&amp;1&amp;"}"))</f>
        <v>{progress_rate_roll,100,1000,9,1}</v>
      </c>
      <c r="AN381" s="142" t="str">
        <f t="shared" si="143"/>
        <v>{progress,1,21362,1}</v>
      </c>
      <c r="AO381" s="142" t="str">
        <f t="shared" si="80"/>
        <v>{progress_rate_roll,100,5000,21362,1}</v>
      </c>
      <c r="AP381" s="142" t="str">
        <f t="shared" si="149"/>
        <v>[{progress_rate,2,120},{progress,0,2,296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81" s="142" t="str">
        <f t="shared" si="81"/>
        <v>[{progress_rate,2,120},{progress,0,2,296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81" s="142" t="str">
        <f t="shared" si="150"/>
        <v>[{progress_rate,2,120},{progress,0,2,296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81" s="142" t="str">
        <f t="shared" si="144"/>
        <v>[{progress_rate,2,120},{progress,0,2,296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81" s="142" t="str">
        <f t="shared" si="145"/>
        <v>{progress_rate,2,600},{progress_rate,11,1}</v>
      </c>
      <c r="AV381" s="142" t="str">
        <f t="shared" si="151"/>
        <v>{progress_rate,2,600}</v>
      </c>
      <c r="AW381" s="142" t="s">
        <v>175</v>
      </c>
    </row>
    <row r="382" spans="1:49">
      <c r="A382" s="143" t="str">
        <f t="shared" si="138"/>
        <v>[{2,418},{5103001,40},{14,60},{11,0},{5401000,0},{5203001,0},{5303001,0}]</v>
      </c>
      <c r="B382" s="98">
        <v>70</v>
      </c>
      <c r="C382" s="126">
        <v>120</v>
      </c>
      <c r="D382" s="126">
        <v>298</v>
      </c>
      <c r="E382" s="145">
        <v>15</v>
      </c>
      <c r="F382" s="145">
        <v>25</v>
      </c>
      <c r="G382" s="98">
        <v>3</v>
      </c>
      <c r="H382" s="98">
        <v>5</v>
      </c>
      <c r="I382" s="98">
        <v>0.5</v>
      </c>
      <c r="J382" s="98">
        <v>0</v>
      </c>
      <c r="K382" s="98">
        <v>5</v>
      </c>
      <c r="L382" s="98">
        <v>2</v>
      </c>
      <c r="M382" s="98">
        <v>1</v>
      </c>
      <c r="N382" s="98"/>
      <c r="O382" s="98">
        <v>0.1</v>
      </c>
      <c r="P382" s="98">
        <f t="shared" si="139"/>
        <v>140.9</v>
      </c>
      <c r="Q382" s="147">
        <f t="shared" si="140"/>
        <v>7.045</v>
      </c>
      <c r="R382" s="149">
        <v>600</v>
      </c>
      <c r="S382" s="132">
        <f t="shared" si="146"/>
        <v>60</v>
      </c>
      <c r="T382" s="132">
        <f t="shared" si="147"/>
        <v>240</v>
      </c>
      <c r="U382" s="80"/>
      <c r="V382" s="80">
        <v>21362</v>
      </c>
      <c r="W382" s="142">
        <f t="shared" si="141"/>
        <v>70</v>
      </c>
      <c r="X382" s="142" t="str">
        <f t="shared" ref="X382:AD382" si="158">IF(C$311="","{progress_rate,"&amp;C$308&amp;","&amp;C382&amp;"}",IF(C382&gt;=1,"{progress,"&amp;C$311*100&amp;","&amp;C$308&amp;","&amp;C382&amp;"}","{progress_rate_roll,"&amp;C$311*100&amp;","&amp;INT(C382*10000)&amp;","&amp;C$308&amp;","&amp;1&amp;"}"))</f>
        <v>{progress_rate,2,120}</v>
      </c>
      <c r="Y382" s="142" t="str">
        <f t="shared" si="158"/>
        <v>{progress,0,2,298}</v>
      </c>
      <c r="Z382" s="142" t="str">
        <f t="shared" si="158"/>
        <v>{progress,0,5103001,15}</v>
      </c>
      <c r="AA382" s="142" t="str">
        <f t="shared" si="158"/>
        <v>{progress,40,5103003,25}</v>
      </c>
      <c r="AB382" s="142" t="str">
        <f t="shared" si="158"/>
        <v>{progress,0,50025,3}</v>
      </c>
      <c r="AC382" s="142" t="str">
        <f t="shared" si="158"/>
        <v>{progress,50,50002,5}</v>
      </c>
      <c r="AD382" s="142" t="str">
        <f t="shared" si="158"/>
        <v>{progress_rate_roll,100,5000,11,1}</v>
      </c>
      <c r="AF382" s="142" t="str">
        <f t="shared" si="76"/>
        <v>{progress,50,5203001,5}</v>
      </c>
      <c r="AG382" s="142" t="str">
        <f t="shared" si="154"/>
        <v>{progress,40,5303001,2}</v>
      </c>
      <c r="AH382" s="142" t="str">
        <f t="shared" si="155"/>
        <v>{progress,0,5401019,1}</v>
      </c>
      <c r="AI382" s="142"/>
      <c r="AJ382" s="142" t="str">
        <f t="shared" si="157"/>
        <v>{progress_rate_roll,100,1000,9,1}</v>
      </c>
      <c r="AN382" s="142" t="str">
        <f t="shared" si="143"/>
        <v>{progress,1,21362,1}</v>
      </c>
      <c r="AO382" s="142" t="str">
        <f t="shared" si="80"/>
        <v>{progress_rate_roll,100,5000,21362,1}</v>
      </c>
      <c r="AP382" s="142" t="str">
        <f t="shared" si="149"/>
        <v>[{progress_rate,2,120},{progress,0,2,298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82" s="142" t="str">
        <f t="shared" si="81"/>
        <v>[{progress_rate,2,120},{progress,0,2,298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82" s="142" t="str">
        <f t="shared" si="150"/>
        <v>[{progress_rate,2,120},{progress,0,2,298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82" s="142" t="str">
        <f t="shared" si="144"/>
        <v>[{progress_rate,2,120},{progress,0,2,298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82" s="142" t="str">
        <f t="shared" si="145"/>
        <v>{progress_rate,2,600},{progress_rate,11,1}</v>
      </c>
      <c r="AV382" s="142" t="str">
        <f t="shared" si="151"/>
        <v>{progress_rate,2,600}</v>
      </c>
      <c r="AW382" s="142" t="s">
        <v>175</v>
      </c>
    </row>
    <row r="383" spans="1:49">
      <c r="A383" s="143" t="str">
        <f t="shared" si="138"/>
        <v>[{2,420},{5103001,40},{14,60},{11,0},{5401000,0},{5203001,0},{5303001,0}]</v>
      </c>
      <c r="B383" s="98">
        <v>71</v>
      </c>
      <c r="C383" s="126">
        <v>120</v>
      </c>
      <c r="D383" s="126">
        <v>300</v>
      </c>
      <c r="E383" s="145">
        <v>15</v>
      </c>
      <c r="F383" s="145">
        <v>25</v>
      </c>
      <c r="G383" s="98">
        <v>3</v>
      </c>
      <c r="H383" s="98">
        <v>5</v>
      </c>
      <c r="I383" s="98">
        <v>0.5</v>
      </c>
      <c r="J383" s="98">
        <v>0</v>
      </c>
      <c r="K383" s="98">
        <v>5</v>
      </c>
      <c r="L383" s="98">
        <v>2</v>
      </c>
      <c r="M383" s="98">
        <v>1</v>
      </c>
      <c r="N383" s="98"/>
      <c r="O383" s="98">
        <v>0.1</v>
      </c>
      <c r="P383" s="98">
        <f t="shared" si="139"/>
        <v>141</v>
      </c>
      <c r="Q383" s="147">
        <f t="shared" si="140"/>
        <v>7.05</v>
      </c>
      <c r="R383" s="149">
        <v>600</v>
      </c>
      <c r="S383" s="132">
        <f t="shared" si="146"/>
        <v>60</v>
      </c>
      <c r="T383" s="132">
        <f t="shared" si="147"/>
        <v>240</v>
      </c>
      <c r="U383" s="80"/>
      <c r="V383" s="80">
        <v>21362</v>
      </c>
      <c r="W383" s="142">
        <f t="shared" si="141"/>
        <v>71</v>
      </c>
      <c r="X383" s="142" t="str">
        <f t="shared" ref="X383:AD383" si="159">IF(C$311="","{progress_rate,"&amp;C$308&amp;","&amp;C383&amp;"}",IF(C383&gt;=1,"{progress,"&amp;C$311*100&amp;","&amp;C$308&amp;","&amp;C383&amp;"}","{progress_rate_roll,"&amp;C$311*100&amp;","&amp;INT(C383*10000)&amp;","&amp;C$308&amp;","&amp;1&amp;"}"))</f>
        <v>{progress_rate,2,120}</v>
      </c>
      <c r="Y383" s="142" t="str">
        <f t="shared" si="159"/>
        <v>{progress,0,2,300}</v>
      </c>
      <c r="Z383" s="142" t="str">
        <f t="shared" si="159"/>
        <v>{progress,0,5103001,15}</v>
      </c>
      <c r="AA383" s="142" t="str">
        <f t="shared" si="159"/>
        <v>{progress,40,5103003,25}</v>
      </c>
      <c r="AB383" s="142" t="str">
        <f t="shared" si="159"/>
        <v>{progress,0,50025,3}</v>
      </c>
      <c r="AC383" s="142" t="str">
        <f t="shared" si="159"/>
        <v>{progress,50,50002,5}</v>
      </c>
      <c r="AD383" s="142" t="str">
        <f t="shared" si="159"/>
        <v>{progress_rate_roll,100,5000,11,1}</v>
      </c>
      <c r="AF383" s="142" t="str">
        <f t="shared" ref="AF383:AF446" si="160">IF(K$311="","{progress_rate,"&amp;K$308&amp;","&amp;K383&amp;"}",IF(K383&gt;=1,"{progress,"&amp;K$311*100&amp;","&amp;K$308&amp;","&amp;K383&amp;"}","{progress_rate_roll,"&amp;K$311*100&amp;","&amp;INT(K383*10000)&amp;","&amp;K$308&amp;","&amp;1&amp;"}"))</f>
        <v>{progress,50,5203001,5}</v>
      </c>
      <c r="AG383" s="142" t="str">
        <f t="shared" si="154"/>
        <v>{progress,40,5303001,2}</v>
      </c>
      <c r="AH383" s="142" t="str">
        <f t="shared" si="155"/>
        <v>{progress,0,5401019,1}</v>
      </c>
      <c r="AI383" s="142"/>
      <c r="AJ383" s="142" t="str">
        <f t="shared" si="157"/>
        <v>{progress_rate_roll,100,1000,9,1}</v>
      </c>
      <c r="AN383" s="142" t="str">
        <f t="shared" si="143"/>
        <v>{progress,1,21362,1}</v>
      </c>
      <c r="AO383" s="142" t="str">
        <f t="shared" si="80"/>
        <v>{progress_rate_roll,100,5000,21362,1}</v>
      </c>
      <c r="AP383" s="142" t="str">
        <f t="shared" si="149"/>
        <v>[{progress_rate,2,120},{progress,0,2,300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83" s="142" t="str">
        <f t="shared" si="81"/>
        <v>[{progress_rate,2,120},{progress,0,2,300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83" s="142" t="str">
        <f t="shared" si="150"/>
        <v>[{progress_rate,2,120},{progress,0,2,300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83" s="142" t="str">
        <f t="shared" si="144"/>
        <v>[{progress_rate,2,120},{progress,0,2,300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83" s="142" t="str">
        <f t="shared" si="145"/>
        <v>{progress_rate,2,600},{progress_rate,11,1}</v>
      </c>
      <c r="AV383" s="142" t="str">
        <f t="shared" si="151"/>
        <v>{progress_rate,2,600}</v>
      </c>
      <c r="AW383" s="142" t="s">
        <v>175</v>
      </c>
    </row>
    <row r="384" spans="1:49">
      <c r="A384" s="143" t="str">
        <f t="shared" si="138"/>
        <v>[{2,422},{5103001,40},{14,60},{11,0},{5401000,0},{5203001,0},{5303001,0}]</v>
      </c>
      <c r="B384" s="98">
        <v>72</v>
      </c>
      <c r="C384" s="126">
        <v>122</v>
      </c>
      <c r="D384" s="126">
        <v>300</v>
      </c>
      <c r="E384" s="145">
        <v>15</v>
      </c>
      <c r="F384" s="145">
        <v>25</v>
      </c>
      <c r="G384" s="98">
        <v>3</v>
      </c>
      <c r="H384" s="98">
        <v>5</v>
      </c>
      <c r="I384" s="98">
        <v>0.5</v>
      </c>
      <c r="J384" s="98">
        <v>0</v>
      </c>
      <c r="K384" s="98">
        <v>5</v>
      </c>
      <c r="L384" s="98">
        <v>2</v>
      </c>
      <c r="M384" s="98">
        <v>1</v>
      </c>
      <c r="N384" s="98"/>
      <c r="O384" s="98">
        <v>0.1</v>
      </c>
      <c r="P384" s="98">
        <f t="shared" si="139"/>
        <v>141.1</v>
      </c>
      <c r="Q384" s="147">
        <f t="shared" si="140"/>
        <v>7.055</v>
      </c>
      <c r="R384" s="149">
        <v>600</v>
      </c>
      <c r="S384" s="132">
        <f t="shared" si="146"/>
        <v>61</v>
      </c>
      <c r="T384" s="132">
        <f t="shared" si="147"/>
        <v>244</v>
      </c>
      <c r="U384" s="80"/>
      <c r="V384" s="80">
        <v>21362</v>
      </c>
      <c r="W384" s="142">
        <f t="shared" si="141"/>
        <v>72</v>
      </c>
      <c r="X384" s="142" t="str">
        <f t="shared" ref="X384:AD384" si="161">IF(C$311="","{progress_rate,"&amp;C$308&amp;","&amp;C384&amp;"}",IF(C384&gt;=1,"{progress,"&amp;C$311*100&amp;","&amp;C$308&amp;","&amp;C384&amp;"}","{progress_rate_roll,"&amp;C$311*100&amp;","&amp;INT(C384*10000)&amp;","&amp;C$308&amp;","&amp;1&amp;"}"))</f>
        <v>{progress_rate,2,122}</v>
      </c>
      <c r="Y384" s="142" t="str">
        <f t="shared" si="161"/>
        <v>{progress,0,2,300}</v>
      </c>
      <c r="Z384" s="142" t="str">
        <f t="shared" si="161"/>
        <v>{progress,0,5103001,15}</v>
      </c>
      <c r="AA384" s="142" t="str">
        <f t="shared" si="161"/>
        <v>{progress,40,5103003,25}</v>
      </c>
      <c r="AB384" s="142" t="str">
        <f t="shared" si="161"/>
        <v>{progress,0,50025,3}</v>
      </c>
      <c r="AC384" s="142" t="str">
        <f t="shared" si="161"/>
        <v>{progress,50,50002,5}</v>
      </c>
      <c r="AD384" s="142" t="str">
        <f t="shared" si="161"/>
        <v>{progress_rate_roll,100,5000,11,1}</v>
      </c>
      <c r="AF384" s="142" t="str">
        <f t="shared" si="160"/>
        <v>{progress,50,5203001,5}</v>
      </c>
      <c r="AG384" s="142" t="str">
        <f t="shared" si="154"/>
        <v>{progress,40,5303001,2}</v>
      </c>
      <c r="AH384" s="142" t="str">
        <f t="shared" si="155"/>
        <v>{progress,0,5401019,1}</v>
      </c>
      <c r="AI384" s="142"/>
      <c r="AJ384" s="142" t="str">
        <f t="shared" si="157"/>
        <v>{progress_rate_roll,100,1000,9,1}</v>
      </c>
      <c r="AN384" s="142" t="str">
        <f t="shared" si="143"/>
        <v>{progress,1,21362,1}</v>
      </c>
      <c r="AO384" s="142" t="str">
        <f t="shared" si="80"/>
        <v>{progress_rate_roll,100,5000,21362,1}</v>
      </c>
      <c r="AP384" s="142" t="str">
        <f t="shared" si="149"/>
        <v>[{progress_rate,2,122},{progress,0,2,300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84" s="142" t="str">
        <f t="shared" si="81"/>
        <v>[{progress_rate,2,122},{progress,0,2,300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84" s="142" t="str">
        <f t="shared" si="150"/>
        <v>[{progress_rate,2,122},{progress,0,2,300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84" s="142" t="str">
        <f t="shared" si="144"/>
        <v>[{progress_rate,2,122},{progress,0,2,300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84" s="142" t="str">
        <f t="shared" si="145"/>
        <v>{progress_rate,2,600},{progress_rate,11,1}</v>
      </c>
      <c r="AV384" s="142" t="str">
        <f t="shared" si="151"/>
        <v>{progress_rate,2,600}</v>
      </c>
      <c r="AW384" s="142" t="s">
        <v>175</v>
      </c>
    </row>
    <row r="385" spans="1:49">
      <c r="A385" s="143" t="str">
        <f t="shared" si="138"/>
        <v>[{2,424},{5103001,40},{14,60},{11,0},{5401000,0},{5203001,0},{5303001,0}]</v>
      </c>
      <c r="B385" s="98">
        <v>73</v>
      </c>
      <c r="C385" s="126">
        <v>122</v>
      </c>
      <c r="D385" s="126">
        <v>302</v>
      </c>
      <c r="E385" s="145">
        <v>15</v>
      </c>
      <c r="F385" s="145">
        <v>25</v>
      </c>
      <c r="G385" s="98">
        <v>3</v>
      </c>
      <c r="H385" s="98">
        <v>5</v>
      </c>
      <c r="I385" s="98">
        <v>0.5</v>
      </c>
      <c r="J385" s="98">
        <v>0</v>
      </c>
      <c r="K385" s="98">
        <v>5</v>
      </c>
      <c r="L385" s="98">
        <v>2</v>
      </c>
      <c r="M385" s="98">
        <v>1</v>
      </c>
      <c r="N385" s="98"/>
      <c r="O385" s="98">
        <v>0.1</v>
      </c>
      <c r="P385" s="98">
        <f t="shared" si="139"/>
        <v>141.2</v>
      </c>
      <c r="Q385" s="147">
        <f t="shared" si="140"/>
        <v>7.06</v>
      </c>
      <c r="R385" s="149">
        <v>600</v>
      </c>
      <c r="S385" s="132">
        <f t="shared" si="146"/>
        <v>61</v>
      </c>
      <c r="T385" s="132">
        <f t="shared" si="147"/>
        <v>244</v>
      </c>
      <c r="U385" s="80"/>
      <c r="V385" s="80">
        <v>21362</v>
      </c>
      <c r="W385" s="142">
        <f t="shared" si="141"/>
        <v>73</v>
      </c>
      <c r="X385" s="142" t="str">
        <f t="shared" ref="X385:AD385" si="162">IF(C$311="","{progress_rate,"&amp;C$308&amp;","&amp;C385&amp;"}",IF(C385&gt;=1,"{progress,"&amp;C$311*100&amp;","&amp;C$308&amp;","&amp;C385&amp;"}","{progress_rate_roll,"&amp;C$311*100&amp;","&amp;INT(C385*10000)&amp;","&amp;C$308&amp;","&amp;1&amp;"}"))</f>
        <v>{progress_rate,2,122}</v>
      </c>
      <c r="Y385" s="142" t="str">
        <f t="shared" si="162"/>
        <v>{progress,0,2,302}</v>
      </c>
      <c r="Z385" s="142" t="str">
        <f t="shared" si="162"/>
        <v>{progress,0,5103001,15}</v>
      </c>
      <c r="AA385" s="142" t="str">
        <f t="shared" si="162"/>
        <v>{progress,40,5103003,25}</v>
      </c>
      <c r="AB385" s="142" t="str">
        <f t="shared" si="162"/>
        <v>{progress,0,50025,3}</v>
      </c>
      <c r="AC385" s="142" t="str">
        <f t="shared" si="162"/>
        <v>{progress,50,50002,5}</v>
      </c>
      <c r="AD385" s="142" t="str">
        <f t="shared" si="162"/>
        <v>{progress_rate_roll,100,5000,11,1}</v>
      </c>
      <c r="AF385" s="142" t="str">
        <f t="shared" si="160"/>
        <v>{progress,50,5203001,5}</v>
      </c>
      <c r="AG385" s="142" t="str">
        <f t="shared" si="154"/>
        <v>{progress,40,5303001,2}</v>
      </c>
      <c r="AH385" s="142" t="str">
        <f t="shared" si="155"/>
        <v>{progress,0,5401019,1}</v>
      </c>
      <c r="AI385" s="142"/>
      <c r="AJ385" s="142" t="str">
        <f t="shared" si="157"/>
        <v>{progress_rate_roll,100,1000,9,1}</v>
      </c>
      <c r="AN385" s="142" t="str">
        <f t="shared" si="143"/>
        <v>{progress,1,21362,1}</v>
      </c>
      <c r="AO385" s="142" t="str">
        <f t="shared" si="80"/>
        <v>{progress_rate_roll,100,5000,21362,1}</v>
      </c>
      <c r="AP385" s="142" t="str">
        <f t="shared" si="149"/>
        <v>[{progress_rate,2,122},{progress,0,2,302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85" s="142" t="str">
        <f t="shared" si="81"/>
        <v>[{progress_rate,2,122},{progress,0,2,302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85" s="142" t="str">
        <f t="shared" si="150"/>
        <v>[{progress_rate,2,122},{progress,0,2,302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85" s="142" t="str">
        <f t="shared" si="144"/>
        <v>[{progress_rate,2,122},{progress,0,2,302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85" s="142" t="str">
        <f t="shared" si="145"/>
        <v>{progress_rate,2,600},{progress_rate,11,1}</v>
      </c>
      <c r="AV385" s="142" t="str">
        <f t="shared" si="151"/>
        <v>{progress_rate,2,600}</v>
      </c>
      <c r="AW385" s="142" t="s">
        <v>175</v>
      </c>
    </row>
    <row r="386" spans="1:49">
      <c r="A386" s="143" t="str">
        <f t="shared" si="138"/>
        <v>[{2,426},{5103001,40},{14,60},{11,0},{5401000,0},{5203001,0},{5303001,0}]</v>
      </c>
      <c r="B386" s="98">
        <v>74</v>
      </c>
      <c r="C386" s="126">
        <v>122</v>
      </c>
      <c r="D386" s="126">
        <v>304</v>
      </c>
      <c r="E386" s="145">
        <v>15</v>
      </c>
      <c r="F386" s="145">
        <v>25</v>
      </c>
      <c r="G386" s="98">
        <v>3</v>
      </c>
      <c r="H386" s="98">
        <v>5</v>
      </c>
      <c r="I386" s="98">
        <v>0.5</v>
      </c>
      <c r="J386" s="98">
        <v>0</v>
      </c>
      <c r="K386" s="98">
        <v>5</v>
      </c>
      <c r="L386" s="98">
        <v>2</v>
      </c>
      <c r="M386" s="98">
        <v>1</v>
      </c>
      <c r="N386" s="98"/>
      <c r="O386" s="98">
        <v>0.1</v>
      </c>
      <c r="P386" s="98">
        <f t="shared" si="139"/>
        <v>141.3</v>
      </c>
      <c r="Q386" s="147">
        <f t="shared" si="140"/>
        <v>7.065</v>
      </c>
      <c r="R386" s="149">
        <v>600</v>
      </c>
      <c r="S386" s="132">
        <f t="shared" si="146"/>
        <v>61</v>
      </c>
      <c r="T386" s="132">
        <f t="shared" si="147"/>
        <v>244</v>
      </c>
      <c r="U386" s="80"/>
      <c r="V386" s="80">
        <v>21362</v>
      </c>
      <c r="W386" s="142">
        <f t="shared" si="141"/>
        <v>74</v>
      </c>
      <c r="X386" s="142" t="str">
        <f t="shared" ref="X386:AD386" si="163">IF(C$311="","{progress_rate,"&amp;C$308&amp;","&amp;C386&amp;"}",IF(C386&gt;=1,"{progress,"&amp;C$311*100&amp;","&amp;C$308&amp;","&amp;C386&amp;"}","{progress_rate_roll,"&amp;C$311*100&amp;","&amp;INT(C386*10000)&amp;","&amp;C$308&amp;","&amp;1&amp;"}"))</f>
        <v>{progress_rate,2,122}</v>
      </c>
      <c r="Y386" s="142" t="str">
        <f t="shared" si="163"/>
        <v>{progress,0,2,304}</v>
      </c>
      <c r="Z386" s="142" t="str">
        <f t="shared" si="163"/>
        <v>{progress,0,5103001,15}</v>
      </c>
      <c r="AA386" s="142" t="str">
        <f t="shared" si="163"/>
        <v>{progress,40,5103003,25}</v>
      </c>
      <c r="AB386" s="142" t="str">
        <f t="shared" si="163"/>
        <v>{progress,0,50025,3}</v>
      </c>
      <c r="AC386" s="142" t="str">
        <f t="shared" si="163"/>
        <v>{progress,50,50002,5}</v>
      </c>
      <c r="AD386" s="142" t="str">
        <f t="shared" si="163"/>
        <v>{progress_rate_roll,100,5000,11,1}</v>
      </c>
      <c r="AF386" s="142" t="str">
        <f t="shared" si="160"/>
        <v>{progress,50,5203001,5}</v>
      </c>
      <c r="AG386" s="142" t="str">
        <f t="shared" si="154"/>
        <v>{progress,40,5303001,2}</v>
      </c>
      <c r="AH386" s="142" t="str">
        <f t="shared" si="155"/>
        <v>{progress,0,5401019,1}</v>
      </c>
      <c r="AI386" s="142"/>
      <c r="AJ386" s="142" t="str">
        <f t="shared" si="157"/>
        <v>{progress_rate_roll,100,1000,9,1}</v>
      </c>
      <c r="AN386" s="142" t="str">
        <f t="shared" si="143"/>
        <v>{progress,1,21362,1}</v>
      </c>
      <c r="AO386" s="142" t="str">
        <f t="shared" si="80"/>
        <v>{progress_rate_roll,100,5000,21362,1}</v>
      </c>
      <c r="AP386" s="142" t="str">
        <f t="shared" si="149"/>
        <v>[{progress_rate,2,122},{progress,0,2,304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86" s="142" t="str">
        <f t="shared" si="81"/>
        <v>[{progress_rate,2,122},{progress,0,2,304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86" s="142" t="str">
        <f t="shared" si="150"/>
        <v>[{progress_rate,2,122},{progress,0,2,304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86" s="142" t="str">
        <f t="shared" si="144"/>
        <v>[{progress_rate,2,122},{progress,0,2,304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86" s="142" t="str">
        <f t="shared" si="145"/>
        <v>{progress_rate,2,600},{progress_rate,11,1}</v>
      </c>
      <c r="AV386" s="142" t="str">
        <f t="shared" si="151"/>
        <v>{progress_rate,2,600}</v>
      </c>
      <c r="AW386" s="142" t="s">
        <v>175</v>
      </c>
    </row>
    <row r="387" spans="1:49">
      <c r="A387" s="143" t="str">
        <f t="shared" si="138"/>
        <v>[{2,428},{5103001,40},{14,60},{11,0},{5401000,0},{5203001,0},{5303001,0}]</v>
      </c>
      <c r="B387" s="98">
        <v>75</v>
      </c>
      <c r="C387" s="126">
        <v>122</v>
      </c>
      <c r="D387" s="126">
        <v>306</v>
      </c>
      <c r="E387" s="145">
        <v>15</v>
      </c>
      <c r="F387" s="145">
        <v>25</v>
      </c>
      <c r="G387" s="98">
        <v>3</v>
      </c>
      <c r="H387" s="98">
        <v>5</v>
      </c>
      <c r="I387" s="98">
        <v>0.5</v>
      </c>
      <c r="J387" s="98">
        <v>0</v>
      </c>
      <c r="K387" s="98">
        <v>5</v>
      </c>
      <c r="L387" s="98">
        <v>2</v>
      </c>
      <c r="M387" s="98">
        <v>1</v>
      </c>
      <c r="N387" s="98"/>
      <c r="O387" s="98">
        <v>0.1</v>
      </c>
      <c r="P387" s="98">
        <f t="shared" si="139"/>
        <v>141.4</v>
      </c>
      <c r="Q387" s="147">
        <f t="shared" si="140"/>
        <v>7.07</v>
      </c>
      <c r="R387" s="149">
        <v>600</v>
      </c>
      <c r="S387" s="132">
        <f t="shared" si="146"/>
        <v>61</v>
      </c>
      <c r="T387" s="132">
        <f t="shared" si="147"/>
        <v>244</v>
      </c>
      <c r="U387" s="80"/>
      <c r="V387" s="80">
        <v>21362</v>
      </c>
      <c r="W387" s="142">
        <f t="shared" si="141"/>
        <v>75</v>
      </c>
      <c r="X387" s="142" t="str">
        <f t="shared" ref="X387:AD387" si="164">IF(C$311="","{progress_rate,"&amp;C$308&amp;","&amp;C387&amp;"}",IF(C387&gt;=1,"{progress,"&amp;C$311*100&amp;","&amp;C$308&amp;","&amp;C387&amp;"}","{progress_rate_roll,"&amp;C$311*100&amp;","&amp;INT(C387*10000)&amp;","&amp;C$308&amp;","&amp;1&amp;"}"))</f>
        <v>{progress_rate,2,122}</v>
      </c>
      <c r="Y387" s="142" t="str">
        <f t="shared" si="164"/>
        <v>{progress,0,2,306}</v>
      </c>
      <c r="Z387" s="142" t="str">
        <f t="shared" si="164"/>
        <v>{progress,0,5103001,15}</v>
      </c>
      <c r="AA387" s="142" t="str">
        <f t="shared" si="164"/>
        <v>{progress,40,5103003,25}</v>
      </c>
      <c r="AB387" s="142" t="str">
        <f t="shared" si="164"/>
        <v>{progress,0,50025,3}</v>
      </c>
      <c r="AC387" s="142" t="str">
        <f t="shared" si="164"/>
        <v>{progress,50,50002,5}</v>
      </c>
      <c r="AD387" s="142" t="str">
        <f t="shared" si="164"/>
        <v>{progress_rate_roll,100,5000,11,1}</v>
      </c>
      <c r="AF387" s="142" t="str">
        <f t="shared" si="160"/>
        <v>{progress,50,5203001,5}</v>
      </c>
      <c r="AG387" s="142" t="str">
        <f t="shared" si="154"/>
        <v>{progress,40,5303001,2}</v>
      </c>
      <c r="AH387" s="142" t="str">
        <f t="shared" si="155"/>
        <v>{progress,0,5401019,1}</v>
      </c>
      <c r="AI387" s="142"/>
      <c r="AJ387" s="142" t="str">
        <f t="shared" si="157"/>
        <v>{progress_rate_roll,100,1000,9,1}</v>
      </c>
      <c r="AN387" s="142" t="str">
        <f t="shared" si="143"/>
        <v>{progress,1,21362,1}</v>
      </c>
      <c r="AO387" s="142" t="str">
        <f t="shared" ref="AO387:AO450" si="165">"{progress_rate_roll,100,5000,"&amp;V387&amp;",1}"</f>
        <v>{progress_rate_roll,100,5000,21362,1}</v>
      </c>
      <c r="AP387" s="142" t="str">
        <f t="shared" si="149"/>
        <v>[{progress_rate,2,122},{progress,0,2,306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87" s="142" t="str">
        <f t="shared" ref="AQ387:AQ450" si="166">"["&amp;_xlfn.TEXTJOIN(",",1,X387:AO387)&amp;"]"</f>
        <v>[{progress_rate,2,122},{progress,0,2,306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87" s="142" t="str">
        <f t="shared" si="150"/>
        <v>[{progress_rate,2,122},{progress,0,2,306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87" s="142" t="str">
        <f t="shared" si="144"/>
        <v>[{progress_rate,2,122},{progress,0,2,306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87" s="142" t="str">
        <f t="shared" si="145"/>
        <v>{progress_rate,2,600},{progress_rate,11,1}</v>
      </c>
      <c r="AV387" s="142" t="str">
        <f t="shared" si="151"/>
        <v>{progress_rate,2,600}</v>
      </c>
      <c r="AW387" s="142" t="s">
        <v>175</v>
      </c>
    </row>
    <row r="388" spans="1:49">
      <c r="A388" s="143" t="str">
        <f t="shared" si="138"/>
        <v>[{2,430},{5103001,40},{14,60},{11,0},{5401000,0},{5203001,0},{5303001,0}]</v>
      </c>
      <c r="B388" s="98">
        <v>76</v>
      </c>
      <c r="C388" s="126">
        <v>124</v>
      </c>
      <c r="D388" s="126">
        <v>306</v>
      </c>
      <c r="E388" s="145">
        <v>15</v>
      </c>
      <c r="F388" s="145">
        <v>25</v>
      </c>
      <c r="G388" s="98">
        <v>3</v>
      </c>
      <c r="H388" s="98">
        <v>5</v>
      </c>
      <c r="I388" s="98">
        <v>0.5</v>
      </c>
      <c r="J388" s="98">
        <v>0</v>
      </c>
      <c r="K388" s="98">
        <v>5</v>
      </c>
      <c r="L388" s="98">
        <v>2</v>
      </c>
      <c r="M388" s="98">
        <v>1</v>
      </c>
      <c r="N388" s="98"/>
      <c r="O388" s="98">
        <v>0.1</v>
      </c>
      <c r="P388" s="98">
        <f t="shared" si="139"/>
        <v>141.5</v>
      </c>
      <c r="Q388" s="147">
        <f t="shared" si="140"/>
        <v>7.075</v>
      </c>
      <c r="R388" s="149">
        <v>600</v>
      </c>
      <c r="S388" s="132">
        <f t="shared" si="146"/>
        <v>62</v>
      </c>
      <c r="T388" s="132">
        <f t="shared" si="147"/>
        <v>248</v>
      </c>
      <c r="U388" s="80"/>
      <c r="V388" s="80">
        <v>21362</v>
      </c>
      <c r="W388" s="142">
        <f t="shared" si="141"/>
        <v>76</v>
      </c>
      <c r="X388" s="142" t="str">
        <f t="shared" ref="X388:AD388" si="167">IF(C$311="","{progress_rate,"&amp;C$308&amp;","&amp;C388&amp;"}",IF(C388&gt;=1,"{progress,"&amp;C$311*100&amp;","&amp;C$308&amp;","&amp;C388&amp;"}","{progress_rate_roll,"&amp;C$311*100&amp;","&amp;INT(C388*10000)&amp;","&amp;C$308&amp;","&amp;1&amp;"}"))</f>
        <v>{progress_rate,2,124}</v>
      </c>
      <c r="Y388" s="142" t="str">
        <f t="shared" si="167"/>
        <v>{progress,0,2,306}</v>
      </c>
      <c r="Z388" s="142" t="str">
        <f t="shared" si="167"/>
        <v>{progress,0,5103001,15}</v>
      </c>
      <c r="AA388" s="142" t="str">
        <f t="shared" si="167"/>
        <v>{progress,40,5103003,25}</v>
      </c>
      <c r="AB388" s="142" t="str">
        <f t="shared" si="167"/>
        <v>{progress,0,50025,3}</v>
      </c>
      <c r="AC388" s="142" t="str">
        <f t="shared" si="167"/>
        <v>{progress,50,50002,5}</v>
      </c>
      <c r="AD388" s="142" t="str">
        <f t="shared" si="167"/>
        <v>{progress_rate_roll,100,5000,11,1}</v>
      </c>
      <c r="AF388" s="142" t="str">
        <f t="shared" si="160"/>
        <v>{progress,50,5203001,5}</v>
      </c>
      <c r="AG388" s="142" t="str">
        <f t="shared" si="154"/>
        <v>{progress,40,5303001,2}</v>
      </c>
      <c r="AH388" s="142" t="str">
        <f t="shared" si="155"/>
        <v>{progress,0,5401019,1}</v>
      </c>
      <c r="AI388" s="142"/>
      <c r="AJ388" s="142" t="str">
        <f t="shared" si="157"/>
        <v>{progress_rate_roll,100,1000,9,1}</v>
      </c>
      <c r="AN388" s="142" t="str">
        <f t="shared" si="143"/>
        <v>{progress,1,21362,1}</v>
      </c>
      <c r="AO388" s="142" t="str">
        <f t="shared" si="165"/>
        <v>{progress_rate_roll,100,5000,21362,1}</v>
      </c>
      <c r="AP388" s="142" t="str">
        <f t="shared" si="149"/>
        <v>[{progress_rate,2,124},{progress,0,2,306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88" s="142" t="str">
        <f t="shared" si="166"/>
        <v>[{progress_rate,2,124},{progress,0,2,306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88" s="142" t="str">
        <f t="shared" si="150"/>
        <v>[{progress_rate,2,124},{progress,0,2,306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88" s="142" t="str">
        <f t="shared" si="144"/>
        <v>[{progress_rate,2,124},{progress,0,2,306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88" s="142" t="str">
        <f t="shared" si="145"/>
        <v>{progress_rate,2,600},{progress_rate,11,1}</v>
      </c>
      <c r="AV388" s="142" t="str">
        <f t="shared" si="151"/>
        <v>{progress_rate,2,600}</v>
      </c>
      <c r="AW388" s="142" t="s">
        <v>175</v>
      </c>
    </row>
    <row r="389" spans="1:49">
      <c r="A389" s="143" t="str">
        <f t="shared" si="138"/>
        <v>[{2,432},{5103001,40},{14,60},{11,0},{5401000,0},{5203001,0},{5303001,0}]</v>
      </c>
      <c r="B389" s="98">
        <v>77</v>
      </c>
      <c r="C389" s="126">
        <v>124</v>
      </c>
      <c r="D389" s="126">
        <v>308</v>
      </c>
      <c r="E389" s="145">
        <v>15</v>
      </c>
      <c r="F389" s="145">
        <v>25</v>
      </c>
      <c r="G389" s="98">
        <v>3</v>
      </c>
      <c r="H389" s="98">
        <v>5</v>
      </c>
      <c r="I389" s="98">
        <v>0.5</v>
      </c>
      <c r="J389" s="98">
        <v>0</v>
      </c>
      <c r="K389" s="98">
        <v>5</v>
      </c>
      <c r="L389" s="98">
        <v>2</v>
      </c>
      <c r="M389" s="98">
        <v>1</v>
      </c>
      <c r="N389" s="98"/>
      <c r="O389" s="98">
        <v>0.1</v>
      </c>
      <c r="P389" s="98">
        <f t="shared" si="139"/>
        <v>141.6</v>
      </c>
      <c r="Q389" s="147">
        <f t="shared" si="140"/>
        <v>7.08</v>
      </c>
      <c r="R389" s="149">
        <v>600</v>
      </c>
      <c r="S389" s="132">
        <f t="shared" si="146"/>
        <v>62</v>
      </c>
      <c r="T389" s="132">
        <f t="shared" si="147"/>
        <v>248</v>
      </c>
      <c r="U389" s="80"/>
      <c r="V389" s="80">
        <v>21362</v>
      </c>
      <c r="W389" s="142">
        <f t="shared" si="141"/>
        <v>77</v>
      </c>
      <c r="X389" s="142" t="str">
        <f t="shared" ref="X389:AD389" si="168">IF(C$311="","{progress_rate,"&amp;C$308&amp;","&amp;C389&amp;"}",IF(C389&gt;=1,"{progress,"&amp;C$311*100&amp;","&amp;C$308&amp;","&amp;C389&amp;"}","{progress_rate_roll,"&amp;C$311*100&amp;","&amp;INT(C389*10000)&amp;","&amp;C$308&amp;","&amp;1&amp;"}"))</f>
        <v>{progress_rate,2,124}</v>
      </c>
      <c r="Y389" s="142" t="str">
        <f t="shared" si="168"/>
        <v>{progress,0,2,308}</v>
      </c>
      <c r="Z389" s="142" t="str">
        <f t="shared" si="168"/>
        <v>{progress,0,5103001,15}</v>
      </c>
      <c r="AA389" s="142" t="str">
        <f t="shared" si="168"/>
        <v>{progress,40,5103003,25}</v>
      </c>
      <c r="AB389" s="142" t="str">
        <f t="shared" si="168"/>
        <v>{progress,0,50025,3}</v>
      </c>
      <c r="AC389" s="142" t="str">
        <f t="shared" si="168"/>
        <v>{progress,50,50002,5}</v>
      </c>
      <c r="AD389" s="142" t="str">
        <f t="shared" si="168"/>
        <v>{progress_rate_roll,100,5000,11,1}</v>
      </c>
      <c r="AF389" s="142" t="str">
        <f t="shared" si="160"/>
        <v>{progress,50,5203001,5}</v>
      </c>
      <c r="AG389" s="142" t="str">
        <f t="shared" si="154"/>
        <v>{progress,40,5303001,2}</v>
      </c>
      <c r="AH389" s="142" t="str">
        <f t="shared" si="155"/>
        <v>{progress,0,5401019,1}</v>
      </c>
      <c r="AI389" s="142"/>
      <c r="AJ389" s="142" t="str">
        <f t="shared" si="157"/>
        <v>{progress_rate_roll,100,1000,9,1}</v>
      </c>
      <c r="AN389" s="142" t="str">
        <f t="shared" si="143"/>
        <v>{progress,1,21362,1}</v>
      </c>
      <c r="AO389" s="142" t="str">
        <f t="shared" si="165"/>
        <v>{progress_rate_roll,100,5000,21362,1}</v>
      </c>
      <c r="AP389" s="142" t="str">
        <f t="shared" si="149"/>
        <v>[{progress_rate,2,124},{progress,0,2,308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89" s="142" t="str">
        <f t="shared" si="166"/>
        <v>[{progress_rate,2,124},{progress,0,2,308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89" s="142" t="str">
        <f t="shared" si="150"/>
        <v>[{progress_rate,2,124},{progress,0,2,308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89" s="142" t="str">
        <f t="shared" si="144"/>
        <v>[{progress_rate,2,124},{progress,0,2,308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89" s="142" t="str">
        <f t="shared" si="145"/>
        <v>{progress_rate,2,600},{progress_rate,11,1}</v>
      </c>
      <c r="AV389" s="142" t="str">
        <f t="shared" si="151"/>
        <v>{progress_rate,2,600}</v>
      </c>
      <c r="AW389" s="142" t="s">
        <v>175</v>
      </c>
    </row>
    <row r="390" spans="1:49">
      <c r="A390" s="143" t="str">
        <f t="shared" si="138"/>
        <v>[{2,434},{5103001,40},{14,60},{11,0},{5401000,0},{5203001,0},{5303001,0}]</v>
      </c>
      <c r="B390" s="98">
        <v>78</v>
      </c>
      <c r="C390" s="126">
        <v>124</v>
      </c>
      <c r="D390" s="126">
        <v>310</v>
      </c>
      <c r="E390" s="145">
        <v>15</v>
      </c>
      <c r="F390" s="145">
        <v>25</v>
      </c>
      <c r="G390" s="98">
        <v>3</v>
      </c>
      <c r="H390" s="98">
        <v>5</v>
      </c>
      <c r="I390" s="98">
        <v>0.5</v>
      </c>
      <c r="J390" s="98">
        <v>0</v>
      </c>
      <c r="K390" s="98">
        <v>5</v>
      </c>
      <c r="L390" s="98">
        <v>2</v>
      </c>
      <c r="M390" s="98">
        <v>1</v>
      </c>
      <c r="N390" s="98"/>
      <c r="O390" s="98">
        <v>0.1</v>
      </c>
      <c r="P390" s="98">
        <f t="shared" si="139"/>
        <v>141.7</v>
      </c>
      <c r="Q390" s="147">
        <f t="shared" si="140"/>
        <v>7.085</v>
      </c>
      <c r="R390" s="149">
        <v>600</v>
      </c>
      <c r="S390" s="132">
        <f t="shared" si="146"/>
        <v>62</v>
      </c>
      <c r="T390" s="132">
        <f t="shared" si="147"/>
        <v>248</v>
      </c>
      <c r="U390" s="80"/>
      <c r="V390" s="80">
        <v>21362</v>
      </c>
      <c r="W390" s="142">
        <f t="shared" si="141"/>
        <v>78</v>
      </c>
      <c r="X390" s="142" t="str">
        <f t="shared" ref="X390:AD390" si="169">IF(C$311="","{progress_rate,"&amp;C$308&amp;","&amp;C390&amp;"}",IF(C390&gt;=1,"{progress,"&amp;C$311*100&amp;","&amp;C$308&amp;","&amp;C390&amp;"}","{progress_rate_roll,"&amp;C$311*100&amp;","&amp;INT(C390*10000)&amp;","&amp;C$308&amp;","&amp;1&amp;"}"))</f>
        <v>{progress_rate,2,124}</v>
      </c>
      <c r="Y390" s="142" t="str">
        <f t="shared" si="169"/>
        <v>{progress,0,2,310}</v>
      </c>
      <c r="Z390" s="142" t="str">
        <f t="shared" si="169"/>
        <v>{progress,0,5103001,15}</v>
      </c>
      <c r="AA390" s="142" t="str">
        <f t="shared" si="169"/>
        <v>{progress,40,5103003,25}</v>
      </c>
      <c r="AB390" s="142" t="str">
        <f t="shared" si="169"/>
        <v>{progress,0,50025,3}</v>
      </c>
      <c r="AC390" s="142" t="str">
        <f t="shared" si="169"/>
        <v>{progress,50,50002,5}</v>
      </c>
      <c r="AD390" s="142" t="str">
        <f t="shared" si="169"/>
        <v>{progress_rate_roll,100,5000,11,1}</v>
      </c>
      <c r="AF390" s="142" t="str">
        <f t="shared" si="160"/>
        <v>{progress,50,5203001,5}</v>
      </c>
      <c r="AG390" s="142" t="str">
        <f t="shared" si="154"/>
        <v>{progress,40,5303001,2}</v>
      </c>
      <c r="AH390" s="142" t="str">
        <f t="shared" si="155"/>
        <v>{progress,0,5401019,1}</v>
      </c>
      <c r="AI390" s="142"/>
      <c r="AJ390" s="142" t="str">
        <f t="shared" si="157"/>
        <v>{progress_rate_roll,100,1000,9,1}</v>
      </c>
      <c r="AN390" s="142" t="str">
        <f t="shared" si="143"/>
        <v>{progress,1,21362,1}</v>
      </c>
      <c r="AO390" s="142" t="str">
        <f t="shared" si="165"/>
        <v>{progress_rate_roll,100,5000,21362,1}</v>
      </c>
      <c r="AP390" s="142" t="str">
        <f t="shared" si="149"/>
        <v>[{progress_rate,2,124},{progress,0,2,310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90" s="142" t="str">
        <f t="shared" si="166"/>
        <v>[{progress_rate,2,124},{progress,0,2,310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90" s="142" t="str">
        <f t="shared" si="150"/>
        <v>[{progress_rate,2,124},{progress,0,2,310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90" s="142" t="str">
        <f t="shared" si="144"/>
        <v>[{progress_rate,2,124},{progress,0,2,310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90" s="142" t="str">
        <f t="shared" si="145"/>
        <v>{progress_rate,2,600},{progress_rate,11,1}</v>
      </c>
      <c r="AV390" s="142" t="str">
        <f t="shared" si="151"/>
        <v>{progress_rate,2,600}</v>
      </c>
      <c r="AW390" s="142" t="s">
        <v>175</v>
      </c>
    </row>
    <row r="391" spans="1:49">
      <c r="A391" s="143" t="str">
        <f t="shared" si="138"/>
        <v>[{2,436},{5103001,40},{14,60},{11,0},{5401000,0},{5203001,0},{5303001,0}]</v>
      </c>
      <c r="B391" s="98">
        <v>79</v>
      </c>
      <c r="C391" s="126">
        <v>126</v>
      </c>
      <c r="D391" s="126">
        <v>310</v>
      </c>
      <c r="E391" s="145">
        <v>15</v>
      </c>
      <c r="F391" s="145">
        <v>25</v>
      </c>
      <c r="G391" s="98">
        <v>3</v>
      </c>
      <c r="H391" s="98">
        <v>5</v>
      </c>
      <c r="I391" s="98">
        <v>0.5</v>
      </c>
      <c r="J391" s="98">
        <v>0</v>
      </c>
      <c r="K391" s="98">
        <v>5</v>
      </c>
      <c r="L391" s="98">
        <v>2</v>
      </c>
      <c r="M391" s="98">
        <v>1</v>
      </c>
      <c r="N391" s="98"/>
      <c r="O391" s="98">
        <v>0.1</v>
      </c>
      <c r="P391" s="98">
        <f t="shared" si="139"/>
        <v>141.8</v>
      </c>
      <c r="Q391" s="147">
        <f t="shared" si="140"/>
        <v>7.09</v>
      </c>
      <c r="R391" s="149">
        <v>600</v>
      </c>
      <c r="S391" s="132">
        <f t="shared" si="146"/>
        <v>63</v>
      </c>
      <c r="T391" s="132">
        <f t="shared" si="147"/>
        <v>252</v>
      </c>
      <c r="U391" s="80"/>
      <c r="V391" s="80">
        <v>21362</v>
      </c>
      <c r="W391" s="142">
        <f t="shared" si="141"/>
        <v>79</v>
      </c>
      <c r="X391" s="142" t="str">
        <f t="shared" ref="X391:AD391" si="170">IF(C$311="","{progress_rate,"&amp;C$308&amp;","&amp;C391&amp;"}",IF(C391&gt;=1,"{progress,"&amp;C$311*100&amp;","&amp;C$308&amp;","&amp;C391&amp;"}","{progress_rate_roll,"&amp;C$311*100&amp;","&amp;INT(C391*10000)&amp;","&amp;C$308&amp;","&amp;1&amp;"}"))</f>
        <v>{progress_rate,2,126}</v>
      </c>
      <c r="Y391" s="142" t="str">
        <f t="shared" si="170"/>
        <v>{progress,0,2,310}</v>
      </c>
      <c r="Z391" s="142" t="str">
        <f t="shared" si="170"/>
        <v>{progress,0,5103001,15}</v>
      </c>
      <c r="AA391" s="142" t="str">
        <f t="shared" si="170"/>
        <v>{progress,40,5103003,25}</v>
      </c>
      <c r="AB391" s="142" t="str">
        <f t="shared" si="170"/>
        <v>{progress,0,50025,3}</v>
      </c>
      <c r="AC391" s="142" t="str">
        <f t="shared" si="170"/>
        <v>{progress,50,50002,5}</v>
      </c>
      <c r="AD391" s="142" t="str">
        <f t="shared" si="170"/>
        <v>{progress_rate_roll,100,5000,11,1}</v>
      </c>
      <c r="AF391" s="142" t="str">
        <f t="shared" si="160"/>
        <v>{progress,50,5203001,5}</v>
      </c>
      <c r="AG391" s="142" t="str">
        <f t="shared" si="154"/>
        <v>{progress,40,5303001,2}</v>
      </c>
      <c r="AH391" s="142" t="str">
        <f t="shared" si="155"/>
        <v>{progress,0,5401019,1}</v>
      </c>
      <c r="AI391" s="142"/>
      <c r="AJ391" s="142" t="str">
        <f t="shared" si="157"/>
        <v>{progress_rate_roll,100,1000,9,1}</v>
      </c>
      <c r="AN391" s="142" t="str">
        <f t="shared" si="143"/>
        <v>{progress,1,21362,1}</v>
      </c>
      <c r="AO391" s="142" t="str">
        <f t="shared" si="165"/>
        <v>{progress_rate_roll,100,5000,21362,1}</v>
      </c>
      <c r="AP391" s="142" t="str">
        <f t="shared" si="149"/>
        <v>[{progress_rate,2,126},{progress,0,2,310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91" s="142" t="str">
        <f t="shared" si="166"/>
        <v>[{progress_rate,2,126},{progress,0,2,310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91" s="142" t="str">
        <f t="shared" si="150"/>
        <v>[{progress_rate,2,126},{progress,0,2,310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91" s="142" t="str">
        <f t="shared" si="144"/>
        <v>[{progress_rate,2,126},{progress,0,2,310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91" s="142" t="str">
        <f t="shared" si="145"/>
        <v>{progress_rate,2,600},{progress_rate,11,1}</v>
      </c>
      <c r="AV391" s="142" t="str">
        <f t="shared" si="151"/>
        <v>{progress_rate,2,600}</v>
      </c>
      <c r="AW391" s="142" t="s">
        <v>175</v>
      </c>
    </row>
    <row r="392" spans="1:49">
      <c r="A392" s="143" t="str">
        <f t="shared" si="138"/>
        <v>[{2,438},{5103001,40},{14,60},{11,0},{5401000,0},{5203001,0},{5303001,0}]</v>
      </c>
      <c r="B392" s="98">
        <v>80</v>
      </c>
      <c r="C392" s="126">
        <v>126</v>
      </c>
      <c r="D392" s="126">
        <v>312</v>
      </c>
      <c r="E392" s="145">
        <v>15</v>
      </c>
      <c r="F392" s="145">
        <v>25</v>
      </c>
      <c r="G392" s="98">
        <v>3</v>
      </c>
      <c r="H392" s="98">
        <v>5</v>
      </c>
      <c r="I392" s="98">
        <v>0.5</v>
      </c>
      <c r="J392" s="98">
        <v>0</v>
      </c>
      <c r="K392" s="98">
        <v>5</v>
      </c>
      <c r="L392" s="98">
        <v>2</v>
      </c>
      <c r="M392" s="98">
        <v>1</v>
      </c>
      <c r="N392" s="98"/>
      <c r="O392" s="98">
        <v>0.1</v>
      </c>
      <c r="P392" s="98">
        <f t="shared" si="139"/>
        <v>141.9</v>
      </c>
      <c r="Q392" s="147">
        <f t="shared" si="140"/>
        <v>7.095</v>
      </c>
      <c r="R392" s="149">
        <v>600</v>
      </c>
      <c r="S392" s="132">
        <f t="shared" si="146"/>
        <v>63</v>
      </c>
      <c r="T392" s="132">
        <f t="shared" si="147"/>
        <v>252</v>
      </c>
      <c r="U392" s="80"/>
      <c r="V392" s="80">
        <v>21362</v>
      </c>
      <c r="W392" s="142">
        <f t="shared" si="141"/>
        <v>80</v>
      </c>
      <c r="X392" s="142" t="str">
        <f t="shared" ref="X392:AD392" si="171">IF(C$311="","{progress_rate,"&amp;C$308&amp;","&amp;C392&amp;"}",IF(C392&gt;=1,"{progress,"&amp;C$311*100&amp;","&amp;C$308&amp;","&amp;C392&amp;"}","{progress_rate_roll,"&amp;C$311*100&amp;","&amp;INT(C392*10000)&amp;","&amp;C$308&amp;","&amp;1&amp;"}"))</f>
        <v>{progress_rate,2,126}</v>
      </c>
      <c r="Y392" s="142" t="str">
        <f t="shared" si="171"/>
        <v>{progress,0,2,312}</v>
      </c>
      <c r="Z392" s="142" t="str">
        <f t="shared" si="171"/>
        <v>{progress,0,5103001,15}</v>
      </c>
      <c r="AA392" s="142" t="str">
        <f t="shared" si="171"/>
        <v>{progress,40,5103003,25}</v>
      </c>
      <c r="AB392" s="142" t="str">
        <f t="shared" si="171"/>
        <v>{progress,0,50025,3}</v>
      </c>
      <c r="AC392" s="142" t="str">
        <f t="shared" si="171"/>
        <v>{progress,50,50002,5}</v>
      </c>
      <c r="AD392" s="142" t="str">
        <f t="shared" si="171"/>
        <v>{progress_rate_roll,100,5000,11,1}</v>
      </c>
      <c r="AF392" s="142" t="str">
        <f t="shared" si="160"/>
        <v>{progress,50,5203001,5}</v>
      </c>
      <c r="AG392" s="142" t="str">
        <f t="shared" si="154"/>
        <v>{progress,40,5303001,2}</v>
      </c>
      <c r="AH392" s="142" t="str">
        <f t="shared" si="155"/>
        <v>{progress,0,5401019,1}</v>
      </c>
      <c r="AI392" s="142"/>
      <c r="AJ392" s="142" t="str">
        <f t="shared" si="157"/>
        <v>{progress_rate_roll,100,1000,9,1}</v>
      </c>
      <c r="AN392" s="142" t="str">
        <f t="shared" si="143"/>
        <v>{progress,1,21362,1}</v>
      </c>
      <c r="AO392" s="142" t="str">
        <f t="shared" si="165"/>
        <v>{progress_rate_roll,100,5000,21362,1}</v>
      </c>
      <c r="AP392" s="142" t="str">
        <f t="shared" si="149"/>
        <v>[{progress_rate,2,126},{progress,0,2,312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92" s="142" t="str">
        <f t="shared" si="166"/>
        <v>[{progress_rate,2,126},{progress,0,2,312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92" s="142" t="str">
        <f t="shared" si="150"/>
        <v>[{progress_rate,2,126},{progress,0,2,312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92" s="142" t="str">
        <f t="shared" si="144"/>
        <v>[{progress_rate,2,126},{progress,0,2,312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92" s="142" t="str">
        <f t="shared" si="145"/>
        <v>{progress_rate,2,600},{progress_rate,11,1}</v>
      </c>
      <c r="AV392" s="142" t="str">
        <f t="shared" si="151"/>
        <v>{progress_rate,2,600}</v>
      </c>
      <c r="AW392" s="142" t="s">
        <v>175</v>
      </c>
    </row>
    <row r="393" spans="1:49">
      <c r="A393" s="143" t="str">
        <f t="shared" si="138"/>
        <v>[{2,440},{5103001,40},{14,60},{11,0},{5401000,0},{5203001,0},{5303001,0}]</v>
      </c>
      <c r="B393" s="98">
        <v>81</v>
      </c>
      <c r="C393" s="126">
        <v>126</v>
      </c>
      <c r="D393" s="126">
        <v>314</v>
      </c>
      <c r="E393" s="145">
        <v>15</v>
      </c>
      <c r="F393" s="145">
        <v>25</v>
      </c>
      <c r="G393" s="98">
        <v>3</v>
      </c>
      <c r="H393" s="98">
        <v>5</v>
      </c>
      <c r="I393" s="98">
        <v>0.5</v>
      </c>
      <c r="J393" s="98">
        <v>0</v>
      </c>
      <c r="K393" s="98">
        <v>5</v>
      </c>
      <c r="L393" s="98">
        <v>2</v>
      </c>
      <c r="M393" s="98">
        <v>1</v>
      </c>
      <c r="N393" s="98"/>
      <c r="O393" s="98">
        <v>0.1</v>
      </c>
      <c r="P393" s="98">
        <f t="shared" si="139"/>
        <v>142</v>
      </c>
      <c r="Q393" s="147">
        <f t="shared" si="140"/>
        <v>7.1</v>
      </c>
      <c r="R393" s="149">
        <v>600</v>
      </c>
      <c r="S393" s="132">
        <f t="shared" si="146"/>
        <v>63</v>
      </c>
      <c r="T393" s="132">
        <f t="shared" si="147"/>
        <v>252</v>
      </c>
      <c r="U393" s="80"/>
      <c r="V393" s="80">
        <v>21362</v>
      </c>
      <c r="W393" s="142">
        <f t="shared" si="141"/>
        <v>81</v>
      </c>
      <c r="X393" s="142" t="str">
        <f t="shared" ref="X393:AD393" si="172">IF(C$311="","{progress_rate,"&amp;C$308&amp;","&amp;C393&amp;"}",IF(C393&gt;=1,"{progress,"&amp;C$311*100&amp;","&amp;C$308&amp;","&amp;C393&amp;"}","{progress_rate_roll,"&amp;C$311*100&amp;","&amp;INT(C393*10000)&amp;","&amp;C$308&amp;","&amp;1&amp;"}"))</f>
        <v>{progress_rate,2,126}</v>
      </c>
      <c r="Y393" s="142" t="str">
        <f t="shared" si="172"/>
        <v>{progress,0,2,314}</v>
      </c>
      <c r="Z393" s="142" t="str">
        <f t="shared" si="172"/>
        <v>{progress,0,5103001,15}</v>
      </c>
      <c r="AA393" s="142" t="str">
        <f t="shared" si="172"/>
        <v>{progress,40,5103003,25}</v>
      </c>
      <c r="AB393" s="142" t="str">
        <f t="shared" si="172"/>
        <v>{progress,0,50025,3}</v>
      </c>
      <c r="AC393" s="142" t="str">
        <f t="shared" si="172"/>
        <v>{progress,50,50002,5}</v>
      </c>
      <c r="AD393" s="142" t="str">
        <f t="shared" si="172"/>
        <v>{progress_rate_roll,100,5000,11,1}</v>
      </c>
      <c r="AF393" s="142" t="str">
        <f t="shared" si="160"/>
        <v>{progress,50,5203001,5}</v>
      </c>
      <c r="AG393" s="142" t="str">
        <f t="shared" si="154"/>
        <v>{progress,40,5303001,2}</v>
      </c>
      <c r="AH393" s="142" t="str">
        <f t="shared" si="155"/>
        <v>{progress,0,5401019,1}</v>
      </c>
      <c r="AI393" s="142"/>
      <c r="AJ393" s="142" t="str">
        <f t="shared" si="157"/>
        <v>{progress_rate_roll,100,1000,9,1}</v>
      </c>
      <c r="AN393" s="142" t="str">
        <f t="shared" si="143"/>
        <v>{progress,1,21362,1}</v>
      </c>
      <c r="AO393" s="142" t="str">
        <f t="shared" si="165"/>
        <v>{progress_rate_roll,100,5000,21362,1}</v>
      </c>
      <c r="AP393" s="142" t="str">
        <f t="shared" si="149"/>
        <v>[{progress_rate,2,126},{progress,0,2,314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93" s="142" t="str">
        <f t="shared" si="166"/>
        <v>[{progress_rate,2,126},{progress,0,2,314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93" s="142" t="str">
        <f t="shared" si="150"/>
        <v>[{progress_rate,2,126},{progress,0,2,314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93" s="142" t="str">
        <f t="shared" si="144"/>
        <v>[{progress_rate,2,126},{progress,0,2,314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93" s="142" t="str">
        <f t="shared" si="145"/>
        <v>{progress_rate,2,600},{progress_rate,11,1}</v>
      </c>
      <c r="AV393" s="142" t="str">
        <f t="shared" si="151"/>
        <v>{progress_rate,2,600}</v>
      </c>
      <c r="AW393" s="142" t="s">
        <v>175</v>
      </c>
    </row>
    <row r="394" spans="1:49">
      <c r="A394" s="143" t="str">
        <f t="shared" si="138"/>
        <v>[{2,442},{5103001,40},{14,60},{11,0},{5401000,0},{5203001,0},{5303001,0}]</v>
      </c>
      <c r="B394" s="98">
        <v>82</v>
      </c>
      <c r="C394" s="126">
        <v>126</v>
      </c>
      <c r="D394" s="126">
        <v>316</v>
      </c>
      <c r="E394" s="145">
        <v>15</v>
      </c>
      <c r="F394" s="145">
        <v>25</v>
      </c>
      <c r="G394" s="98">
        <v>3</v>
      </c>
      <c r="H394" s="98">
        <v>5</v>
      </c>
      <c r="I394" s="98">
        <v>0.5</v>
      </c>
      <c r="J394" s="98">
        <v>0</v>
      </c>
      <c r="K394" s="98">
        <v>5</v>
      </c>
      <c r="L394" s="98">
        <v>2</v>
      </c>
      <c r="M394" s="98">
        <v>1</v>
      </c>
      <c r="N394" s="98"/>
      <c r="O394" s="98">
        <v>0.1</v>
      </c>
      <c r="P394" s="98">
        <f t="shared" si="139"/>
        <v>142.1</v>
      </c>
      <c r="Q394" s="147">
        <f t="shared" si="140"/>
        <v>7.105</v>
      </c>
      <c r="R394" s="149">
        <v>600</v>
      </c>
      <c r="S394" s="132">
        <f t="shared" si="146"/>
        <v>63</v>
      </c>
      <c r="T394" s="132">
        <f t="shared" si="147"/>
        <v>252</v>
      </c>
      <c r="U394" s="80"/>
      <c r="V394" s="80">
        <v>21362</v>
      </c>
      <c r="W394" s="142">
        <f t="shared" si="141"/>
        <v>82</v>
      </c>
      <c r="X394" s="142" t="str">
        <f t="shared" ref="X394:AD394" si="173">IF(C$311="","{progress_rate,"&amp;C$308&amp;","&amp;C394&amp;"}",IF(C394&gt;=1,"{progress,"&amp;C$311*100&amp;","&amp;C$308&amp;","&amp;C394&amp;"}","{progress_rate_roll,"&amp;C$311*100&amp;","&amp;INT(C394*10000)&amp;","&amp;C$308&amp;","&amp;1&amp;"}"))</f>
        <v>{progress_rate,2,126}</v>
      </c>
      <c r="Y394" s="142" t="str">
        <f t="shared" si="173"/>
        <v>{progress,0,2,316}</v>
      </c>
      <c r="Z394" s="142" t="str">
        <f t="shared" si="173"/>
        <v>{progress,0,5103001,15}</v>
      </c>
      <c r="AA394" s="142" t="str">
        <f t="shared" si="173"/>
        <v>{progress,40,5103003,25}</v>
      </c>
      <c r="AB394" s="142" t="str">
        <f t="shared" si="173"/>
        <v>{progress,0,50025,3}</v>
      </c>
      <c r="AC394" s="142" t="str">
        <f t="shared" si="173"/>
        <v>{progress,50,50002,5}</v>
      </c>
      <c r="AD394" s="142" t="str">
        <f t="shared" si="173"/>
        <v>{progress_rate_roll,100,5000,11,1}</v>
      </c>
      <c r="AF394" s="142" t="str">
        <f t="shared" si="160"/>
        <v>{progress,50,5203001,5}</v>
      </c>
      <c r="AG394" s="142" t="str">
        <f t="shared" si="154"/>
        <v>{progress,40,5303001,2}</v>
      </c>
      <c r="AH394" s="142" t="str">
        <f t="shared" si="155"/>
        <v>{progress,0,5401019,1}</v>
      </c>
      <c r="AI394" s="142"/>
      <c r="AJ394" s="142" t="str">
        <f t="shared" si="157"/>
        <v>{progress_rate_roll,100,1000,9,1}</v>
      </c>
      <c r="AN394" s="142" t="str">
        <f t="shared" si="143"/>
        <v>{progress,1,21362,1}</v>
      </c>
      <c r="AO394" s="142" t="str">
        <f t="shared" si="165"/>
        <v>{progress_rate_roll,100,5000,21362,1}</v>
      </c>
      <c r="AP394" s="142" t="str">
        <f t="shared" si="149"/>
        <v>[{progress_rate,2,126},{progress,0,2,316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94" s="142" t="str">
        <f t="shared" si="166"/>
        <v>[{progress_rate,2,126},{progress,0,2,316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94" s="142" t="str">
        <f t="shared" si="150"/>
        <v>[{progress_rate,2,126},{progress,0,2,316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94" s="142" t="str">
        <f t="shared" si="144"/>
        <v>[{progress_rate,2,126},{progress,0,2,316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94" s="142" t="str">
        <f t="shared" si="145"/>
        <v>{progress_rate,2,600},{progress_rate,11,1}</v>
      </c>
      <c r="AV394" s="142" t="str">
        <f t="shared" si="151"/>
        <v>{progress_rate,2,600}</v>
      </c>
      <c r="AW394" s="142" t="s">
        <v>175</v>
      </c>
    </row>
    <row r="395" spans="1:49">
      <c r="A395" s="143" t="str">
        <f t="shared" si="138"/>
        <v>[{2,444},{5103001,40},{14,60},{11,0},{5401000,0},{5203001,0},{5303001,0}]</v>
      </c>
      <c r="B395" s="98">
        <v>83</v>
      </c>
      <c r="C395" s="126">
        <v>128</v>
      </c>
      <c r="D395" s="126">
        <v>316</v>
      </c>
      <c r="E395" s="145">
        <v>15</v>
      </c>
      <c r="F395" s="145">
        <v>25</v>
      </c>
      <c r="G395" s="98">
        <v>3</v>
      </c>
      <c r="H395" s="98">
        <v>5</v>
      </c>
      <c r="I395" s="98">
        <v>0.5</v>
      </c>
      <c r="J395" s="98">
        <v>0</v>
      </c>
      <c r="K395" s="98">
        <v>5</v>
      </c>
      <c r="L395" s="98">
        <v>2</v>
      </c>
      <c r="M395" s="98">
        <v>1</v>
      </c>
      <c r="N395" s="98"/>
      <c r="O395" s="98">
        <v>0.1</v>
      </c>
      <c r="P395" s="98">
        <f t="shared" si="139"/>
        <v>142.2</v>
      </c>
      <c r="Q395" s="147">
        <f t="shared" si="140"/>
        <v>7.11</v>
      </c>
      <c r="R395" s="149">
        <v>600</v>
      </c>
      <c r="S395" s="132">
        <f t="shared" si="146"/>
        <v>64</v>
      </c>
      <c r="T395" s="132">
        <f t="shared" si="147"/>
        <v>256</v>
      </c>
      <c r="U395" s="80"/>
      <c r="V395" s="80">
        <v>21362</v>
      </c>
      <c r="W395" s="142">
        <f t="shared" si="141"/>
        <v>83</v>
      </c>
      <c r="X395" s="142" t="str">
        <f t="shared" ref="X395:AD395" si="174">IF(C$311="","{progress_rate,"&amp;C$308&amp;","&amp;C395&amp;"}",IF(C395&gt;=1,"{progress,"&amp;C$311*100&amp;","&amp;C$308&amp;","&amp;C395&amp;"}","{progress_rate_roll,"&amp;C$311*100&amp;","&amp;INT(C395*10000)&amp;","&amp;C$308&amp;","&amp;1&amp;"}"))</f>
        <v>{progress_rate,2,128}</v>
      </c>
      <c r="Y395" s="142" t="str">
        <f t="shared" si="174"/>
        <v>{progress,0,2,316}</v>
      </c>
      <c r="Z395" s="142" t="str">
        <f t="shared" si="174"/>
        <v>{progress,0,5103001,15}</v>
      </c>
      <c r="AA395" s="142" t="str">
        <f t="shared" si="174"/>
        <v>{progress,40,5103003,25}</v>
      </c>
      <c r="AB395" s="142" t="str">
        <f t="shared" si="174"/>
        <v>{progress,0,50025,3}</v>
      </c>
      <c r="AC395" s="142" t="str">
        <f t="shared" si="174"/>
        <v>{progress,50,50002,5}</v>
      </c>
      <c r="AD395" s="142" t="str">
        <f t="shared" si="174"/>
        <v>{progress_rate_roll,100,5000,11,1}</v>
      </c>
      <c r="AF395" s="142" t="str">
        <f t="shared" si="160"/>
        <v>{progress,50,5203001,5}</v>
      </c>
      <c r="AG395" s="142" t="str">
        <f t="shared" si="154"/>
        <v>{progress,40,5303001,2}</v>
      </c>
      <c r="AH395" s="142" t="str">
        <f t="shared" si="155"/>
        <v>{progress,0,5401019,1}</v>
      </c>
      <c r="AI395" s="142"/>
      <c r="AJ395" s="142" t="str">
        <f t="shared" si="157"/>
        <v>{progress_rate_roll,100,1000,9,1}</v>
      </c>
      <c r="AN395" s="142" t="str">
        <f t="shared" si="143"/>
        <v>{progress,1,21362,1}</v>
      </c>
      <c r="AO395" s="142" t="str">
        <f t="shared" si="165"/>
        <v>{progress_rate_roll,100,5000,21362,1}</v>
      </c>
      <c r="AP395" s="142" t="str">
        <f t="shared" si="149"/>
        <v>[{progress_rate,2,128},{progress,0,2,316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95" s="142" t="str">
        <f t="shared" si="166"/>
        <v>[{progress_rate,2,128},{progress,0,2,316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95" s="142" t="str">
        <f t="shared" si="150"/>
        <v>[{progress_rate,2,128},{progress,0,2,316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95" s="142" t="str">
        <f t="shared" si="144"/>
        <v>[{progress_rate,2,128},{progress,0,2,316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95" s="142" t="str">
        <f t="shared" si="145"/>
        <v>{progress_rate,2,600},{progress_rate,11,1}</v>
      </c>
      <c r="AV395" s="142" t="str">
        <f t="shared" si="151"/>
        <v>{progress_rate,2,600}</v>
      </c>
      <c r="AW395" s="142" t="s">
        <v>175</v>
      </c>
    </row>
    <row r="396" spans="1:49">
      <c r="A396" s="143" t="str">
        <f t="shared" si="138"/>
        <v>[{2,446},{5103001,40},{14,60},{11,0},{5401000,0},{5203001,0},{5303001,0}]</v>
      </c>
      <c r="B396" s="98">
        <v>84</v>
      </c>
      <c r="C396" s="126">
        <v>128</v>
      </c>
      <c r="D396" s="126">
        <v>318</v>
      </c>
      <c r="E396" s="145">
        <v>15</v>
      </c>
      <c r="F396" s="145">
        <v>25</v>
      </c>
      <c r="G396" s="98">
        <v>3</v>
      </c>
      <c r="H396" s="98">
        <v>5</v>
      </c>
      <c r="I396" s="98">
        <v>0.5</v>
      </c>
      <c r="J396" s="98">
        <v>0</v>
      </c>
      <c r="K396" s="98">
        <v>5</v>
      </c>
      <c r="L396" s="98">
        <v>2</v>
      </c>
      <c r="M396" s="98">
        <v>1</v>
      </c>
      <c r="N396" s="98"/>
      <c r="O396" s="98">
        <v>0.1</v>
      </c>
      <c r="P396" s="98">
        <f t="shared" si="139"/>
        <v>142.3</v>
      </c>
      <c r="Q396" s="147">
        <f t="shared" si="140"/>
        <v>7.115</v>
      </c>
      <c r="R396" s="149">
        <v>600</v>
      </c>
      <c r="S396" s="132">
        <f t="shared" si="146"/>
        <v>64</v>
      </c>
      <c r="T396" s="132">
        <f t="shared" si="147"/>
        <v>256</v>
      </c>
      <c r="U396" s="80"/>
      <c r="V396" s="80">
        <v>21362</v>
      </c>
      <c r="W396" s="142">
        <f t="shared" si="141"/>
        <v>84</v>
      </c>
      <c r="X396" s="142" t="str">
        <f t="shared" ref="X396:AD396" si="175">IF(C$311="","{progress_rate,"&amp;C$308&amp;","&amp;C396&amp;"}",IF(C396&gt;=1,"{progress,"&amp;C$311*100&amp;","&amp;C$308&amp;","&amp;C396&amp;"}","{progress_rate_roll,"&amp;C$311*100&amp;","&amp;INT(C396*10000)&amp;","&amp;C$308&amp;","&amp;1&amp;"}"))</f>
        <v>{progress_rate,2,128}</v>
      </c>
      <c r="Y396" s="142" t="str">
        <f t="shared" si="175"/>
        <v>{progress,0,2,318}</v>
      </c>
      <c r="Z396" s="142" t="str">
        <f t="shared" si="175"/>
        <v>{progress,0,5103001,15}</v>
      </c>
      <c r="AA396" s="142" t="str">
        <f t="shared" si="175"/>
        <v>{progress,40,5103003,25}</v>
      </c>
      <c r="AB396" s="142" t="str">
        <f t="shared" si="175"/>
        <v>{progress,0,50025,3}</v>
      </c>
      <c r="AC396" s="142" t="str">
        <f t="shared" si="175"/>
        <v>{progress,50,50002,5}</v>
      </c>
      <c r="AD396" s="142" t="str">
        <f t="shared" si="175"/>
        <v>{progress_rate_roll,100,5000,11,1}</v>
      </c>
      <c r="AF396" s="142" t="str">
        <f t="shared" si="160"/>
        <v>{progress,50,5203001,5}</v>
      </c>
      <c r="AG396" s="142" t="str">
        <f t="shared" si="154"/>
        <v>{progress,40,5303001,2}</v>
      </c>
      <c r="AH396" s="142" t="str">
        <f t="shared" si="155"/>
        <v>{progress,0,5401019,1}</v>
      </c>
      <c r="AI396" s="142"/>
      <c r="AJ396" s="142" t="str">
        <f t="shared" si="157"/>
        <v>{progress_rate_roll,100,1000,9,1}</v>
      </c>
      <c r="AN396" s="142" t="str">
        <f t="shared" si="143"/>
        <v>{progress,1,21362,1}</v>
      </c>
      <c r="AO396" s="142" t="str">
        <f t="shared" si="165"/>
        <v>{progress_rate_roll,100,5000,21362,1}</v>
      </c>
      <c r="AP396" s="142" t="str">
        <f t="shared" si="149"/>
        <v>[{progress_rate,2,128},{progress,0,2,318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96" s="142" t="str">
        <f t="shared" si="166"/>
        <v>[{progress_rate,2,128},{progress,0,2,318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96" s="142" t="str">
        <f t="shared" si="150"/>
        <v>[{progress_rate,2,128},{progress,0,2,318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96" s="142" t="str">
        <f t="shared" si="144"/>
        <v>[{progress_rate,2,128},{progress,0,2,318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96" s="142" t="str">
        <f t="shared" si="145"/>
        <v>{progress_rate,2,600},{progress_rate,11,1}</v>
      </c>
      <c r="AV396" s="142" t="str">
        <f t="shared" si="151"/>
        <v>{progress_rate,2,600}</v>
      </c>
      <c r="AW396" s="142" t="s">
        <v>175</v>
      </c>
    </row>
    <row r="397" spans="1:49">
      <c r="A397" s="143" t="str">
        <f t="shared" si="138"/>
        <v>[{2,448},{5103001,40},{14,60},{11,0},{5401000,0},{5203001,0},{5303001,0}]</v>
      </c>
      <c r="B397" s="98">
        <v>85</v>
      </c>
      <c r="C397" s="126">
        <v>128</v>
      </c>
      <c r="D397" s="126">
        <v>320</v>
      </c>
      <c r="E397" s="145">
        <v>15</v>
      </c>
      <c r="F397" s="145">
        <v>25</v>
      </c>
      <c r="G397" s="98">
        <v>3</v>
      </c>
      <c r="H397" s="98">
        <v>5</v>
      </c>
      <c r="I397" s="98">
        <v>0.5</v>
      </c>
      <c r="J397" s="98">
        <v>0</v>
      </c>
      <c r="K397" s="98">
        <v>5</v>
      </c>
      <c r="L397" s="98">
        <v>2</v>
      </c>
      <c r="M397" s="98">
        <v>1</v>
      </c>
      <c r="N397" s="98"/>
      <c r="O397" s="98">
        <v>0.1</v>
      </c>
      <c r="P397" s="98">
        <f t="shared" si="139"/>
        <v>142.4</v>
      </c>
      <c r="Q397" s="147">
        <f t="shared" si="140"/>
        <v>7.12</v>
      </c>
      <c r="R397" s="149">
        <v>600</v>
      </c>
      <c r="S397" s="132">
        <f t="shared" si="146"/>
        <v>64</v>
      </c>
      <c r="T397" s="132">
        <f t="shared" si="147"/>
        <v>256</v>
      </c>
      <c r="U397" s="80"/>
      <c r="V397" s="80">
        <v>21362</v>
      </c>
      <c r="W397" s="142">
        <f t="shared" si="141"/>
        <v>85</v>
      </c>
      <c r="X397" s="142" t="str">
        <f t="shared" ref="X397:AD397" si="176">IF(C$311="","{progress_rate,"&amp;C$308&amp;","&amp;C397&amp;"}",IF(C397&gt;=1,"{progress,"&amp;C$311*100&amp;","&amp;C$308&amp;","&amp;C397&amp;"}","{progress_rate_roll,"&amp;C$311*100&amp;","&amp;INT(C397*10000)&amp;","&amp;C$308&amp;","&amp;1&amp;"}"))</f>
        <v>{progress_rate,2,128}</v>
      </c>
      <c r="Y397" s="142" t="str">
        <f t="shared" si="176"/>
        <v>{progress,0,2,320}</v>
      </c>
      <c r="Z397" s="142" t="str">
        <f t="shared" si="176"/>
        <v>{progress,0,5103001,15}</v>
      </c>
      <c r="AA397" s="142" t="str">
        <f t="shared" si="176"/>
        <v>{progress,40,5103003,25}</v>
      </c>
      <c r="AB397" s="142" t="str">
        <f t="shared" si="176"/>
        <v>{progress,0,50025,3}</v>
      </c>
      <c r="AC397" s="142" t="str">
        <f t="shared" si="176"/>
        <v>{progress,50,50002,5}</v>
      </c>
      <c r="AD397" s="142" t="str">
        <f t="shared" si="176"/>
        <v>{progress_rate_roll,100,5000,11,1}</v>
      </c>
      <c r="AF397" s="142" t="str">
        <f t="shared" si="160"/>
        <v>{progress,50,5203001,5}</v>
      </c>
      <c r="AG397" s="142" t="str">
        <f t="shared" si="154"/>
        <v>{progress,40,5303001,2}</v>
      </c>
      <c r="AH397" s="142" t="str">
        <f t="shared" si="155"/>
        <v>{progress,0,5401019,1}</v>
      </c>
      <c r="AI397" s="142"/>
      <c r="AJ397" s="142" t="str">
        <f t="shared" si="157"/>
        <v>{progress_rate_roll,100,1000,9,1}</v>
      </c>
      <c r="AN397" s="142" t="str">
        <f t="shared" si="143"/>
        <v>{progress,1,21362,1}</v>
      </c>
      <c r="AO397" s="142" t="str">
        <f t="shared" si="165"/>
        <v>{progress_rate_roll,100,5000,21362,1}</v>
      </c>
      <c r="AP397" s="142" t="str">
        <f t="shared" si="149"/>
        <v>[{progress_rate,2,128},{progress,0,2,320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97" s="142" t="str">
        <f t="shared" si="166"/>
        <v>[{progress_rate,2,128},{progress,0,2,320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97" s="142" t="str">
        <f t="shared" si="150"/>
        <v>[{progress_rate,2,128},{progress,0,2,320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97" s="142" t="str">
        <f t="shared" si="144"/>
        <v>[{progress_rate,2,128},{progress,0,2,320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97" s="142" t="str">
        <f t="shared" si="145"/>
        <v>{progress_rate,2,600},{progress_rate,11,1}</v>
      </c>
      <c r="AV397" s="142" t="str">
        <f t="shared" si="151"/>
        <v>{progress_rate,2,600}</v>
      </c>
      <c r="AW397" s="142" t="s">
        <v>175</v>
      </c>
    </row>
    <row r="398" spans="1:49">
      <c r="A398" s="143" t="str">
        <f t="shared" si="138"/>
        <v>[{2,450},{5103001,40},{14,60},{11,0},{5401000,0},{5203001,0},{5303001,0}]</v>
      </c>
      <c r="B398" s="98">
        <v>86</v>
      </c>
      <c r="C398" s="126">
        <v>130</v>
      </c>
      <c r="D398" s="126">
        <v>320</v>
      </c>
      <c r="E398" s="145">
        <v>15</v>
      </c>
      <c r="F398" s="145">
        <v>25</v>
      </c>
      <c r="G398" s="98">
        <v>3</v>
      </c>
      <c r="H398" s="98">
        <v>5</v>
      </c>
      <c r="I398" s="98">
        <v>0.5</v>
      </c>
      <c r="J398" s="98">
        <v>0</v>
      </c>
      <c r="K398" s="98">
        <v>5</v>
      </c>
      <c r="L398" s="98">
        <v>2</v>
      </c>
      <c r="M398" s="98">
        <v>1</v>
      </c>
      <c r="N398" s="98"/>
      <c r="O398" s="98">
        <v>0.1</v>
      </c>
      <c r="P398" s="98">
        <f t="shared" si="139"/>
        <v>142.5</v>
      </c>
      <c r="Q398" s="147">
        <f t="shared" si="140"/>
        <v>7.125</v>
      </c>
      <c r="R398" s="149">
        <v>600</v>
      </c>
      <c r="S398" s="132">
        <f t="shared" si="146"/>
        <v>65</v>
      </c>
      <c r="T398" s="132">
        <f t="shared" si="147"/>
        <v>260</v>
      </c>
      <c r="U398" s="80"/>
      <c r="V398" s="80">
        <v>21362</v>
      </c>
      <c r="W398" s="142">
        <f t="shared" si="141"/>
        <v>86</v>
      </c>
      <c r="X398" s="142" t="str">
        <f t="shared" ref="X398:AD398" si="177">IF(C$311="","{progress_rate,"&amp;C$308&amp;","&amp;C398&amp;"}",IF(C398&gt;=1,"{progress,"&amp;C$311*100&amp;","&amp;C$308&amp;","&amp;C398&amp;"}","{progress_rate_roll,"&amp;C$311*100&amp;","&amp;INT(C398*10000)&amp;","&amp;C$308&amp;","&amp;1&amp;"}"))</f>
        <v>{progress_rate,2,130}</v>
      </c>
      <c r="Y398" s="142" t="str">
        <f t="shared" si="177"/>
        <v>{progress,0,2,320}</v>
      </c>
      <c r="Z398" s="142" t="str">
        <f t="shared" si="177"/>
        <v>{progress,0,5103001,15}</v>
      </c>
      <c r="AA398" s="142" t="str">
        <f t="shared" si="177"/>
        <v>{progress,40,5103003,25}</v>
      </c>
      <c r="AB398" s="142" t="str">
        <f t="shared" si="177"/>
        <v>{progress,0,50025,3}</v>
      </c>
      <c r="AC398" s="142" t="str">
        <f t="shared" si="177"/>
        <v>{progress,50,50002,5}</v>
      </c>
      <c r="AD398" s="142" t="str">
        <f t="shared" si="177"/>
        <v>{progress_rate_roll,100,5000,11,1}</v>
      </c>
      <c r="AF398" s="142" t="str">
        <f t="shared" si="160"/>
        <v>{progress,50,5203001,5}</v>
      </c>
      <c r="AG398" s="142" t="str">
        <f t="shared" si="154"/>
        <v>{progress,40,5303001,2}</v>
      </c>
      <c r="AH398" s="142" t="str">
        <f t="shared" si="155"/>
        <v>{progress,0,5401019,1}</v>
      </c>
      <c r="AI398" s="142"/>
      <c r="AJ398" s="142" t="str">
        <f t="shared" si="157"/>
        <v>{progress_rate_roll,100,1000,9,1}</v>
      </c>
      <c r="AN398" s="142" t="str">
        <f t="shared" si="143"/>
        <v>{progress,1,21362,1}</v>
      </c>
      <c r="AO398" s="142" t="str">
        <f t="shared" si="165"/>
        <v>{progress_rate_roll,100,5000,21362,1}</v>
      </c>
      <c r="AP398" s="142" t="str">
        <f t="shared" si="149"/>
        <v>[{progress_rate,2,130},{progress,0,2,320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98" s="142" t="str">
        <f t="shared" si="166"/>
        <v>[{progress_rate,2,130},{progress,0,2,320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98" s="142" t="str">
        <f t="shared" si="150"/>
        <v>[{progress_rate,2,130},{progress,0,2,320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98" s="142" t="str">
        <f t="shared" si="144"/>
        <v>[{progress_rate,2,130},{progress,0,2,320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98" s="142" t="str">
        <f t="shared" si="145"/>
        <v>{progress_rate,2,600},{progress_rate,11,1}</v>
      </c>
      <c r="AV398" s="142" t="str">
        <f t="shared" si="151"/>
        <v>{progress_rate,2,600}</v>
      </c>
      <c r="AW398" s="142" t="s">
        <v>175</v>
      </c>
    </row>
    <row r="399" spans="1:49">
      <c r="A399" s="143" t="str">
        <f t="shared" si="138"/>
        <v>[{2,452},{5103001,40},{14,60},{11,0},{5401000,0},{5203001,0},{5303001,0}]</v>
      </c>
      <c r="B399" s="98">
        <v>87</v>
      </c>
      <c r="C399" s="126">
        <v>130</v>
      </c>
      <c r="D399" s="126">
        <v>322</v>
      </c>
      <c r="E399" s="145">
        <v>15</v>
      </c>
      <c r="F399" s="145">
        <v>25</v>
      </c>
      <c r="G399" s="98">
        <v>3</v>
      </c>
      <c r="H399" s="98">
        <v>5</v>
      </c>
      <c r="I399" s="98">
        <v>0.5</v>
      </c>
      <c r="J399" s="98">
        <v>0</v>
      </c>
      <c r="K399" s="98">
        <v>5</v>
      </c>
      <c r="L399" s="98">
        <v>2</v>
      </c>
      <c r="M399" s="98">
        <v>1</v>
      </c>
      <c r="N399" s="98"/>
      <c r="O399" s="98">
        <v>0.1</v>
      </c>
      <c r="P399" s="98">
        <f t="shared" si="139"/>
        <v>142.6</v>
      </c>
      <c r="Q399" s="147">
        <f t="shared" si="140"/>
        <v>7.13</v>
      </c>
      <c r="R399" s="149">
        <v>600</v>
      </c>
      <c r="S399" s="132">
        <f t="shared" si="146"/>
        <v>65</v>
      </c>
      <c r="T399" s="132">
        <f t="shared" si="147"/>
        <v>260</v>
      </c>
      <c r="U399" s="80"/>
      <c r="V399" s="80">
        <v>21362</v>
      </c>
      <c r="W399" s="142">
        <f t="shared" si="141"/>
        <v>87</v>
      </c>
      <c r="X399" s="142" t="str">
        <f t="shared" ref="X399:AD399" si="178">IF(C$311="","{progress_rate,"&amp;C$308&amp;","&amp;C399&amp;"}",IF(C399&gt;=1,"{progress,"&amp;C$311*100&amp;","&amp;C$308&amp;","&amp;C399&amp;"}","{progress_rate_roll,"&amp;C$311*100&amp;","&amp;INT(C399*10000)&amp;","&amp;C$308&amp;","&amp;1&amp;"}"))</f>
        <v>{progress_rate,2,130}</v>
      </c>
      <c r="Y399" s="142" t="str">
        <f t="shared" si="178"/>
        <v>{progress,0,2,322}</v>
      </c>
      <c r="Z399" s="142" t="str">
        <f t="shared" si="178"/>
        <v>{progress,0,5103001,15}</v>
      </c>
      <c r="AA399" s="142" t="str">
        <f t="shared" si="178"/>
        <v>{progress,40,5103003,25}</v>
      </c>
      <c r="AB399" s="142" t="str">
        <f t="shared" si="178"/>
        <v>{progress,0,50025,3}</v>
      </c>
      <c r="AC399" s="142" t="str">
        <f t="shared" si="178"/>
        <v>{progress,50,50002,5}</v>
      </c>
      <c r="AD399" s="142" t="str">
        <f t="shared" si="178"/>
        <v>{progress_rate_roll,100,5000,11,1}</v>
      </c>
      <c r="AF399" s="142" t="str">
        <f t="shared" si="160"/>
        <v>{progress,50,5203001,5}</v>
      </c>
      <c r="AG399" s="142" t="str">
        <f t="shared" si="154"/>
        <v>{progress,40,5303001,2}</v>
      </c>
      <c r="AH399" s="142" t="str">
        <f t="shared" si="155"/>
        <v>{progress,0,5401019,1}</v>
      </c>
      <c r="AI399" s="142"/>
      <c r="AJ399" s="142" t="str">
        <f t="shared" si="157"/>
        <v>{progress_rate_roll,100,1000,9,1}</v>
      </c>
      <c r="AN399" s="142" t="str">
        <f t="shared" si="143"/>
        <v>{progress,1,21362,1}</v>
      </c>
      <c r="AO399" s="142" t="str">
        <f t="shared" si="165"/>
        <v>{progress_rate_roll,100,5000,21362,1}</v>
      </c>
      <c r="AP399" s="142" t="str">
        <f t="shared" si="149"/>
        <v>[{progress_rate,2,130},{progress,0,2,322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99" s="142" t="str">
        <f t="shared" si="166"/>
        <v>[{progress_rate,2,130},{progress,0,2,322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99" s="142" t="str">
        <f t="shared" si="150"/>
        <v>[{progress_rate,2,130},{progress,0,2,322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99" s="142" t="str">
        <f t="shared" si="144"/>
        <v>[{progress_rate,2,130},{progress,0,2,322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99" s="142" t="str">
        <f t="shared" si="145"/>
        <v>{progress_rate,2,600},{progress_rate,11,1}</v>
      </c>
      <c r="AV399" s="142" t="str">
        <f t="shared" si="151"/>
        <v>{progress_rate,2,600}</v>
      </c>
      <c r="AW399" s="142" t="s">
        <v>175</v>
      </c>
    </row>
    <row r="400" spans="1:49">
      <c r="A400" s="143" t="str">
        <f t="shared" si="138"/>
        <v>[{2,454},{5103001,40},{14,60},{11,0},{5401000,0},{5203001,0},{5303001,0}]</v>
      </c>
      <c r="B400" s="98">
        <v>88</v>
      </c>
      <c r="C400" s="126">
        <v>130</v>
      </c>
      <c r="D400" s="126">
        <v>324</v>
      </c>
      <c r="E400" s="145">
        <v>15</v>
      </c>
      <c r="F400" s="145">
        <v>25</v>
      </c>
      <c r="G400" s="98">
        <v>3</v>
      </c>
      <c r="H400" s="98">
        <v>5</v>
      </c>
      <c r="I400" s="98">
        <v>0.5</v>
      </c>
      <c r="J400" s="98">
        <v>0</v>
      </c>
      <c r="K400" s="98">
        <v>5</v>
      </c>
      <c r="L400" s="98">
        <v>2</v>
      </c>
      <c r="M400" s="98">
        <v>1</v>
      </c>
      <c r="N400" s="98"/>
      <c r="O400" s="98">
        <v>0.1</v>
      </c>
      <c r="P400" s="98">
        <f t="shared" si="139"/>
        <v>142.7</v>
      </c>
      <c r="Q400" s="147">
        <f t="shared" si="140"/>
        <v>7.135</v>
      </c>
      <c r="R400" s="149">
        <v>600</v>
      </c>
      <c r="S400" s="132">
        <f t="shared" si="146"/>
        <v>65</v>
      </c>
      <c r="T400" s="132">
        <f t="shared" si="147"/>
        <v>260</v>
      </c>
      <c r="U400" s="80"/>
      <c r="V400" s="80">
        <v>21362</v>
      </c>
      <c r="W400" s="142">
        <f t="shared" si="141"/>
        <v>88</v>
      </c>
      <c r="X400" s="142" t="str">
        <f t="shared" ref="X400:AD400" si="179">IF(C$311="","{progress_rate,"&amp;C$308&amp;","&amp;C400&amp;"}",IF(C400&gt;=1,"{progress,"&amp;C$311*100&amp;","&amp;C$308&amp;","&amp;C400&amp;"}","{progress_rate_roll,"&amp;C$311*100&amp;","&amp;INT(C400*10000)&amp;","&amp;C$308&amp;","&amp;1&amp;"}"))</f>
        <v>{progress_rate,2,130}</v>
      </c>
      <c r="Y400" s="142" t="str">
        <f t="shared" si="179"/>
        <v>{progress,0,2,324}</v>
      </c>
      <c r="Z400" s="142" t="str">
        <f t="shared" si="179"/>
        <v>{progress,0,5103001,15}</v>
      </c>
      <c r="AA400" s="142" t="str">
        <f t="shared" si="179"/>
        <v>{progress,40,5103003,25}</v>
      </c>
      <c r="AB400" s="142" t="str">
        <f t="shared" si="179"/>
        <v>{progress,0,50025,3}</v>
      </c>
      <c r="AC400" s="142" t="str">
        <f t="shared" si="179"/>
        <v>{progress,50,50002,5}</v>
      </c>
      <c r="AD400" s="142" t="str">
        <f t="shared" si="179"/>
        <v>{progress_rate_roll,100,5000,11,1}</v>
      </c>
      <c r="AF400" s="142" t="str">
        <f t="shared" si="160"/>
        <v>{progress,50,5203001,5}</v>
      </c>
      <c r="AG400" s="142" t="str">
        <f t="shared" si="154"/>
        <v>{progress,40,5303001,2}</v>
      </c>
      <c r="AH400" s="142" t="str">
        <f t="shared" si="155"/>
        <v>{progress,0,5401019,1}</v>
      </c>
      <c r="AI400" s="142"/>
      <c r="AJ400" s="142" t="str">
        <f t="shared" si="157"/>
        <v>{progress_rate_roll,100,1000,9,1}</v>
      </c>
      <c r="AN400" s="142" t="str">
        <f t="shared" si="143"/>
        <v>{progress,1,21362,1}</v>
      </c>
      <c r="AO400" s="142" t="str">
        <f t="shared" si="165"/>
        <v>{progress_rate_roll,100,5000,21362,1}</v>
      </c>
      <c r="AP400" s="142" t="str">
        <f t="shared" si="149"/>
        <v>[{progress_rate,2,130},{progress,0,2,324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400" s="142" t="str">
        <f t="shared" si="166"/>
        <v>[{progress_rate,2,130},{progress,0,2,324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400" s="142" t="str">
        <f t="shared" si="150"/>
        <v>[{progress_rate,2,130},{progress,0,2,324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400" s="142" t="str">
        <f t="shared" si="144"/>
        <v>[{progress_rate,2,130},{progress,0,2,324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400" s="142" t="str">
        <f t="shared" si="145"/>
        <v>{progress_rate,2,600},{progress_rate,11,1}</v>
      </c>
      <c r="AV400" s="142" t="str">
        <f t="shared" si="151"/>
        <v>{progress_rate,2,600}</v>
      </c>
      <c r="AW400" s="142" t="s">
        <v>175</v>
      </c>
    </row>
    <row r="401" spans="1:49">
      <c r="A401" s="143" t="str">
        <f t="shared" si="138"/>
        <v>[{2,456},{5103001,40},{14,60},{11,0},{5401000,0},{5203001,0},{5303001,0}]</v>
      </c>
      <c r="B401" s="98">
        <v>89</v>
      </c>
      <c r="C401" s="126">
        <v>130</v>
      </c>
      <c r="D401" s="126">
        <v>326</v>
      </c>
      <c r="E401" s="145">
        <v>15</v>
      </c>
      <c r="F401" s="145">
        <v>25</v>
      </c>
      <c r="G401" s="98">
        <v>3</v>
      </c>
      <c r="H401" s="98">
        <v>5</v>
      </c>
      <c r="I401" s="98">
        <v>0.5</v>
      </c>
      <c r="J401" s="98">
        <v>0</v>
      </c>
      <c r="K401" s="98">
        <v>5</v>
      </c>
      <c r="L401" s="98">
        <v>2</v>
      </c>
      <c r="M401" s="98">
        <v>1</v>
      </c>
      <c r="N401" s="98"/>
      <c r="O401" s="98">
        <v>0.1</v>
      </c>
      <c r="P401" s="98">
        <f t="shared" si="139"/>
        <v>142.8</v>
      </c>
      <c r="Q401" s="147">
        <f t="shared" si="140"/>
        <v>7.14</v>
      </c>
      <c r="R401" s="149">
        <v>600</v>
      </c>
      <c r="S401" s="132">
        <f t="shared" si="146"/>
        <v>65</v>
      </c>
      <c r="T401" s="132">
        <f t="shared" si="147"/>
        <v>260</v>
      </c>
      <c r="U401" s="80"/>
      <c r="V401" s="80">
        <v>21362</v>
      </c>
      <c r="W401" s="142">
        <f t="shared" si="141"/>
        <v>89</v>
      </c>
      <c r="X401" s="142" t="str">
        <f t="shared" ref="X401:AD401" si="180">IF(C$311="","{progress_rate,"&amp;C$308&amp;","&amp;C401&amp;"}",IF(C401&gt;=1,"{progress,"&amp;C$311*100&amp;","&amp;C$308&amp;","&amp;C401&amp;"}","{progress_rate_roll,"&amp;C$311*100&amp;","&amp;INT(C401*10000)&amp;","&amp;C$308&amp;","&amp;1&amp;"}"))</f>
        <v>{progress_rate,2,130}</v>
      </c>
      <c r="Y401" s="142" t="str">
        <f t="shared" si="180"/>
        <v>{progress,0,2,326}</v>
      </c>
      <c r="Z401" s="142" t="str">
        <f t="shared" si="180"/>
        <v>{progress,0,5103001,15}</v>
      </c>
      <c r="AA401" s="142" t="str">
        <f t="shared" si="180"/>
        <v>{progress,40,5103003,25}</v>
      </c>
      <c r="AB401" s="142" t="str">
        <f t="shared" si="180"/>
        <v>{progress,0,50025,3}</v>
      </c>
      <c r="AC401" s="142" t="str">
        <f t="shared" si="180"/>
        <v>{progress,50,50002,5}</v>
      </c>
      <c r="AD401" s="142" t="str">
        <f t="shared" si="180"/>
        <v>{progress_rate_roll,100,5000,11,1}</v>
      </c>
      <c r="AF401" s="142" t="str">
        <f t="shared" si="160"/>
        <v>{progress,50,5203001,5}</v>
      </c>
      <c r="AG401" s="142" t="str">
        <f t="shared" si="154"/>
        <v>{progress,40,5303001,2}</v>
      </c>
      <c r="AH401" s="142" t="str">
        <f t="shared" si="155"/>
        <v>{progress,0,5401019,1}</v>
      </c>
      <c r="AI401" s="142"/>
      <c r="AJ401" s="142" t="str">
        <f t="shared" si="157"/>
        <v>{progress_rate_roll,100,1000,9,1}</v>
      </c>
      <c r="AN401" s="142" t="str">
        <f t="shared" si="143"/>
        <v>{progress,1,21362,1}</v>
      </c>
      <c r="AO401" s="142" t="str">
        <f t="shared" si="165"/>
        <v>{progress_rate_roll,100,5000,21362,1}</v>
      </c>
      <c r="AP401" s="142" t="str">
        <f t="shared" si="149"/>
        <v>[{progress_rate,2,130},{progress,0,2,326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401" s="142" t="str">
        <f t="shared" si="166"/>
        <v>[{progress_rate,2,130},{progress,0,2,326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401" s="142" t="str">
        <f t="shared" si="150"/>
        <v>[{progress_rate,2,130},{progress,0,2,326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401" s="142" t="str">
        <f t="shared" si="144"/>
        <v>[{progress_rate,2,130},{progress,0,2,326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401" s="142" t="str">
        <f t="shared" si="145"/>
        <v>{progress_rate,2,600},{progress_rate,11,1}</v>
      </c>
      <c r="AV401" s="142" t="str">
        <f t="shared" si="151"/>
        <v>{progress_rate,2,600}</v>
      </c>
      <c r="AW401" s="142" t="s">
        <v>175</v>
      </c>
    </row>
    <row r="402" spans="1:49">
      <c r="A402" s="143" t="str">
        <f t="shared" si="138"/>
        <v>[{2,458},{5103001,40},{14,60},{11,0},{5401000,0},{5203001,0},{5303001,0}]</v>
      </c>
      <c r="B402" s="98">
        <v>90</v>
      </c>
      <c r="C402" s="126">
        <v>132</v>
      </c>
      <c r="D402" s="126">
        <v>326</v>
      </c>
      <c r="E402" s="145">
        <v>15</v>
      </c>
      <c r="F402" s="145">
        <v>25</v>
      </c>
      <c r="G402" s="98">
        <v>3</v>
      </c>
      <c r="H402" s="98">
        <v>5</v>
      </c>
      <c r="I402" s="98">
        <v>0.5</v>
      </c>
      <c r="J402" s="98">
        <v>0</v>
      </c>
      <c r="K402" s="98">
        <v>5</v>
      </c>
      <c r="L402" s="98">
        <v>2</v>
      </c>
      <c r="M402" s="98">
        <v>1</v>
      </c>
      <c r="N402" s="98"/>
      <c r="O402" s="98">
        <v>0.1</v>
      </c>
      <c r="P402" s="98">
        <f t="shared" si="139"/>
        <v>142.9</v>
      </c>
      <c r="Q402" s="147">
        <f t="shared" si="140"/>
        <v>7.145</v>
      </c>
      <c r="R402" s="149">
        <v>600</v>
      </c>
      <c r="S402" s="132">
        <f t="shared" si="146"/>
        <v>66</v>
      </c>
      <c r="T402" s="132">
        <f t="shared" si="147"/>
        <v>264</v>
      </c>
      <c r="U402" s="80"/>
      <c r="V402" s="80">
        <v>21362</v>
      </c>
      <c r="W402" s="142">
        <f t="shared" si="141"/>
        <v>90</v>
      </c>
      <c r="X402" s="142" t="str">
        <f t="shared" ref="X402:AD402" si="181">IF(C$311="","{progress_rate,"&amp;C$308&amp;","&amp;C402&amp;"}",IF(C402&gt;=1,"{progress,"&amp;C$311*100&amp;","&amp;C$308&amp;","&amp;C402&amp;"}","{progress_rate_roll,"&amp;C$311*100&amp;","&amp;INT(C402*10000)&amp;","&amp;C$308&amp;","&amp;1&amp;"}"))</f>
        <v>{progress_rate,2,132}</v>
      </c>
      <c r="Y402" s="142" t="str">
        <f t="shared" si="181"/>
        <v>{progress,0,2,326}</v>
      </c>
      <c r="Z402" s="142" t="str">
        <f t="shared" si="181"/>
        <v>{progress,0,5103001,15}</v>
      </c>
      <c r="AA402" s="142" t="str">
        <f t="shared" si="181"/>
        <v>{progress,40,5103003,25}</v>
      </c>
      <c r="AB402" s="142" t="str">
        <f t="shared" si="181"/>
        <v>{progress,0,50025,3}</v>
      </c>
      <c r="AC402" s="142" t="str">
        <f t="shared" si="181"/>
        <v>{progress,50,50002,5}</v>
      </c>
      <c r="AD402" s="142" t="str">
        <f t="shared" si="181"/>
        <v>{progress_rate_roll,100,5000,11,1}</v>
      </c>
      <c r="AF402" s="142" t="str">
        <f t="shared" si="160"/>
        <v>{progress,50,5203001,5}</v>
      </c>
      <c r="AG402" s="142" t="str">
        <f t="shared" si="154"/>
        <v>{progress,40,5303001,2}</v>
      </c>
      <c r="AH402" s="142" t="str">
        <f t="shared" si="155"/>
        <v>{progress,0,5401019,1}</v>
      </c>
      <c r="AI402" s="142"/>
      <c r="AJ402" s="142" t="str">
        <f t="shared" si="157"/>
        <v>{progress_rate_roll,100,1000,9,1}</v>
      </c>
      <c r="AN402" s="142" t="str">
        <f t="shared" si="143"/>
        <v>{progress,1,21362,1}</v>
      </c>
      <c r="AO402" s="142" t="str">
        <f t="shared" si="165"/>
        <v>{progress_rate_roll,100,5000,21362,1}</v>
      </c>
      <c r="AP402" s="142" t="str">
        <f t="shared" si="149"/>
        <v>[{progress_rate,2,132},{progress,0,2,326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402" s="142" t="str">
        <f t="shared" si="166"/>
        <v>[{progress_rate,2,132},{progress,0,2,326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402" s="142" t="str">
        <f t="shared" si="150"/>
        <v>[{progress_rate,2,132},{progress,0,2,326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402" s="142" t="str">
        <f t="shared" si="144"/>
        <v>[{progress_rate,2,132},{progress,0,2,326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402" s="142" t="str">
        <f t="shared" si="145"/>
        <v>{progress_rate,2,600},{progress_rate,11,1}</v>
      </c>
      <c r="AV402" s="142" t="str">
        <f t="shared" si="151"/>
        <v>{progress_rate,2,600}</v>
      </c>
      <c r="AW402" s="142" t="s">
        <v>175</v>
      </c>
    </row>
    <row r="403" spans="1:49">
      <c r="A403" s="143" t="str">
        <f t="shared" si="138"/>
        <v>[{2,460},{5103001,40},{14,60},{11,0},{5401000,0},{5203001,0},{5303001,0}]</v>
      </c>
      <c r="B403" s="98">
        <v>91</v>
      </c>
      <c r="C403" s="126">
        <v>132</v>
      </c>
      <c r="D403" s="126">
        <v>328</v>
      </c>
      <c r="E403" s="145">
        <v>15</v>
      </c>
      <c r="F403" s="145">
        <v>25</v>
      </c>
      <c r="G403" s="98">
        <v>3</v>
      </c>
      <c r="H403" s="98">
        <v>5</v>
      </c>
      <c r="I403" s="98">
        <v>0.5</v>
      </c>
      <c r="J403" s="98">
        <v>0</v>
      </c>
      <c r="K403" s="98">
        <v>5</v>
      </c>
      <c r="L403" s="98">
        <v>2</v>
      </c>
      <c r="M403" s="98">
        <v>1</v>
      </c>
      <c r="N403" s="98"/>
      <c r="O403" s="98">
        <v>0.1</v>
      </c>
      <c r="P403" s="98">
        <f t="shared" si="139"/>
        <v>143</v>
      </c>
      <c r="Q403" s="147">
        <f t="shared" si="140"/>
        <v>7.15</v>
      </c>
      <c r="R403" s="149">
        <v>600</v>
      </c>
      <c r="S403" s="132">
        <f t="shared" si="146"/>
        <v>66</v>
      </c>
      <c r="T403" s="132">
        <f t="shared" si="147"/>
        <v>264</v>
      </c>
      <c r="U403" s="80"/>
      <c r="V403" s="80">
        <v>21363</v>
      </c>
      <c r="W403" s="142">
        <f t="shared" si="141"/>
        <v>91</v>
      </c>
      <c r="X403" s="142" t="str">
        <f t="shared" ref="X403:AD403" si="182">IF(C$311="","{progress_rate,"&amp;C$308&amp;","&amp;C403&amp;"}",IF(C403&gt;=1,"{progress,"&amp;C$311*100&amp;","&amp;C$308&amp;","&amp;C403&amp;"}","{progress_rate_roll,"&amp;C$311*100&amp;","&amp;INT(C403*10000)&amp;","&amp;C$308&amp;","&amp;1&amp;"}"))</f>
        <v>{progress_rate,2,132}</v>
      </c>
      <c r="Y403" s="142" t="str">
        <f t="shared" si="182"/>
        <v>{progress,0,2,328}</v>
      </c>
      <c r="Z403" s="142" t="str">
        <f t="shared" si="182"/>
        <v>{progress,0,5103001,15}</v>
      </c>
      <c r="AA403" s="142" t="str">
        <f t="shared" si="182"/>
        <v>{progress,40,5103003,25}</v>
      </c>
      <c r="AB403" s="142" t="str">
        <f t="shared" si="182"/>
        <v>{progress,0,50025,3}</v>
      </c>
      <c r="AC403" s="142" t="str">
        <f t="shared" si="182"/>
        <v>{progress,50,50002,5}</v>
      </c>
      <c r="AD403" s="142" t="str">
        <f t="shared" si="182"/>
        <v>{progress_rate_roll,100,5000,11,1}</v>
      </c>
      <c r="AF403" s="142" t="str">
        <f t="shared" si="160"/>
        <v>{progress,50,5203001,5}</v>
      </c>
      <c r="AG403" s="142" t="str">
        <f t="shared" si="154"/>
        <v>{progress,40,5303001,2}</v>
      </c>
      <c r="AH403" s="142" t="str">
        <f t="shared" si="155"/>
        <v>{progress,0,5401019,1}</v>
      </c>
      <c r="AI403" s="142"/>
      <c r="AJ403" s="142" t="str">
        <f t="shared" si="157"/>
        <v>{progress_rate_roll,100,1000,9,1}</v>
      </c>
      <c r="AN403" s="142" t="str">
        <f t="shared" si="143"/>
        <v>{progress,1,21363,1}</v>
      </c>
      <c r="AO403" s="142" t="str">
        <f t="shared" si="165"/>
        <v>{progress_rate_roll,100,5000,21363,1}</v>
      </c>
      <c r="AP403" s="142" t="str">
        <f t="shared" si="149"/>
        <v>[{progress_rate,2,132},{progress,0,2,328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03" s="142" t="str">
        <f t="shared" si="166"/>
        <v>[{progress_rate,2,132},{progress,0,2,328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03" s="142" t="str">
        <f t="shared" si="150"/>
        <v>[{progress_rate,2,132},{progress,0,2,328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03" s="142" t="str">
        <f t="shared" si="144"/>
        <v>[{progress_rate,2,132},{progress,0,2,328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03" s="142" t="str">
        <f t="shared" si="145"/>
        <v>{progress_rate,2,600},{progress_rate,11,1}</v>
      </c>
      <c r="AV403" s="142" t="str">
        <f t="shared" si="151"/>
        <v>{progress_rate,2,600}</v>
      </c>
      <c r="AW403" s="142" t="s">
        <v>175</v>
      </c>
    </row>
    <row r="404" spans="1:49">
      <c r="A404" s="143" t="str">
        <f t="shared" si="138"/>
        <v>[{2,462},{5103001,40},{14,60},{11,0},{5401000,0},{5203001,0},{5303001,0}]</v>
      </c>
      <c r="B404" s="98">
        <v>92</v>
      </c>
      <c r="C404" s="126">
        <v>132</v>
      </c>
      <c r="D404" s="126">
        <v>330</v>
      </c>
      <c r="E404" s="145">
        <v>15</v>
      </c>
      <c r="F404" s="145">
        <v>25</v>
      </c>
      <c r="G404" s="98">
        <v>3</v>
      </c>
      <c r="H404" s="98">
        <v>5</v>
      </c>
      <c r="I404" s="98">
        <v>0.5</v>
      </c>
      <c r="J404" s="98">
        <v>0</v>
      </c>
      <c r="K404" s="98">
        <v>5</v>
      </c>
      <c r="L404" s="98">
        <v>2</v>
      </c>
      <c r="M404" s="98">
        <v>1</v>
      </c>
      <c r="N404" s="98"/>
      <c r="O404" s="98">
        <v>0.1</v>
      </c>
      <c r="P404" s="98">
        <f t="shared" si="139"/>
        <v>143.1</v>
      </c>
      <c r="Q404" s="147">
        <f t="shared" si="140"/>
        <v>7.155</v>
      </c>
      <c r="R404" s="149">
        <v>600</v>
      </c>
      <c r="S404" s="132">
        <f t="shared" si="146"/>
        <v>66</v>
      </c>
      <c r="T404" s="132">
        <f t="shared" si="147"/>
        <v>264</v>
      </c>
      <c r="U404" s="80"/>
      <c r="V404" s="80">
        <v>21363</v>
      </c>
      <c r="W404" s="142">
        <f t="shared" si="141"/>
        <v>92</v>
      </c>
      <c r="X404" s="142" t="str">
        <f t="shared" ref="X404:AD404" si="183">IF(C$311="","{progress_rate,"&amp;C$308&amp;","&amp;C404&amp;"}",IF(C404&gt;=1,"{progress,"&amp;C$311*100&amp;","&amp;C$308&amp;","&amp;C404&amp;"}","{progress_rate_roll,"&amp;C$311*100&amp;","&amp;INT(C404*10000)&amp;","&amp;C$308&amp;","&amp;1&amp;"}"))</f>
        <v>{progress_rate,2,132}</v>
      </c>
      <c r="Y404" s="142" t="str">
        <f t="shared" si="183"/>
        <v>{progress,0,2,330}</v>
      </c>
      <c r="Z404" s="142" t="str">
        <f t="shared" si="183"/>
        <v>{progress,0,5103001,15}</v>
      </c>
      <c r="AA404" s="142" t="str">
        <f t="shared" si="183"/>
        <v>{progress,40,5103003,25}</v>
      </c>
      <c r="AB404" s="142" t="str">
        <f t="shared" si="183"/>
        <v>{progress,0,50025,3}</v>
      </c>
      <c r="AC404" s="142" t="str">
        <f t="shared" si="183"/>
        <v>{progress,50,50002,5}</v>
      </c>
      <c r="AD404" s="142" t="str">
        <f t="shared" si="183"/>
        <v>{progress_rate_roll,100,5000,11,1}</v>
      </c>
      <c r="AF404" s="142" t="str">
        <f t="shared" si="160"/>
        <v>{progress,50,5203001,5}</v>
      </c>
      <c r="AG404" s="142" t="str">
        <f t="shared" si="154"/>
        <v>{progress,40,5303001,2}</v>
      </c>
      <c r="AH404" s="142" t="str">
        <f t="shared" si="155"/>
        <v>{progress,0,5401019,1}</v>
      </c>
      <c r="AI404" s="142"/>
      <c r="AJ404" s="142" t="str">
        <f t="shared" si="157"/>
        <v>{progress_rate_roll,100,1000,9,1}</v>
      </c>
      <c r="AN404" s="142" t="str">
        <f t="shared" si="143"/>
        <v>{progress,1,21363,1}</v>
      </c>
      <c r="AO404" s="142" t="str">
        <f t="shared" si="165"/>
        <v>{progress_rate_roll,100,5000,21363,1}</v>
      </c>
      <c r="AP404" s="142" t="str">
        <f t="shared" si="149"/>
        <v>[{progress_rate,2,132},{progress,0,2,330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04" s="142" t="str">
        <f t="shared" si="166"/>
        <v>[{progress_rate,2,132},{progress,0,2,330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04" s="142" t="str">
        <f t="shared" si="150"/>
        <v>[{progress_rate,2,132},{progress,0,2,330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04" s="142" t="str">
        <f t="shared" si="144"/>
        <v>[{progress_rate,2,132},{progress,0,2,330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04" s="142" t="str">
        <f t="shared" si="145"/>
        <v>{progress_rate,2,600},{progress_rate,11,1}</v>
      </c>
      <c r="AV404" s="142" t="str">
        <f t="shared" si="151"/>
        <v>{progress_rate,2,600}</v>
      </c>
      <c r="AW404" s="142" t="s">
        <v>175</v>
      </c>
    </row>
    <row r="405" spans="1:49">
      <c r="A405" s="143" t="str">
        <f t="shared" si="138"/>
        <v>[{2,464},{5103001,40},{14,60},{11,0},{5401000,0},{5203001,0},{5303001,0}]</v>
      </c>
      <c r="B405" s="98">
        <v>93</v>
      </c>
      <c r="C405" s="126">
        <v>134</v>
      </c>
      <c r="D405" s="126">
        <v>330</v>
      </c>
      <c r="E405" s="145">
        <v>15</v>
      </c>
      <c r="F405" s="145">
        <v>25</v>
      </c>
      <c r="G405" s="98">
        <v>3</v>
      </c>
      <c r="H405" s="98">
        <v>5</v>
      </c>
      <c r="I405" s="98">
        <v>0.5</v>
      </c>
      <c r="J405" s="98">
        <v>0</v>
      </c>
      <c r="K405" s="98">
        <v>5</v>
      </c>
      <c r="L405" s="98">
        <v>2</v>
      </c>
      <c r="M405" s="98">
        <v>1</v>
      </c>
      <c r="N405" s="98"/>
      <c r="O405" s="98">
        <v>0.1</v>
      </c>
      <c r="P405" s="98">
        <f t="shared" si="139"/>
        <v>143.2</v>
      </c>
      <c r="Q405" s="147">
        <f t="shared" si="140"/>
        <v>7.16</v>
      </c>
      <c r="R405" s="149">
        <v>600</v>
      </c>
      <c r="S405" s="132">
        <f t="shared" si="146"/>
        <v>67</v>
      </c>
      <c r="T405" s="132">
        <f t="shared" si="147"/>
        <v>268</v>
      </c>
      <c r="U405" s="80"/>
      <c r="V405" s="80">
        <v>21363</v>
      </c>
      <c r="W405" s="142">
        <f t="shared" si="141"/>
        <v>93</v>
      </c>
      <c r="X405" s="142" t="str">
        <f t="shared" ref="X405:AD405" si="184">IF(C$311="","{progress_rate,"&amp;C$308&amp;","&amp;C405&amp;"}",IF(C405&gt;=1,"{progress,"&amp;C$311*100&amp;","&amp;C$308&amp;","&amp;C405&amp;"}","{progress_rate_roll,"&amp;C$311*100&amp;","&amp;INT(C405*10000)&amp;","&amp;C$308&amp;","&amp;1&amp;"}"))</f>
        <v>{progress_rate,2,134}</v>
      </c>
      <c r="Y405" s="142" t="str">
        <f t="shared" si="184"/>
        <v>{progress,0,2,330}</v>
      </c>
      <c r="Z405" s="142" t="str">
        <f t="shared" si="184"/>
        <v>{progress,0,5103001,15}</v>
      </c>
      <c r="AA405" s="142" t="str">
        <f t="shared" si="184"/>
        <v>{progress,40,5103003,25}</v>
      </c>
      <c r="AB405" s="142" t="str">
        <f t="shared" si="184"/>
        <v>{progress,0,50025,3}</v>
      </c>
      <c r="AC405" s="142" t="str">
        <f t="shared" si="184"/>
        <v>{progress,50,50002,5}</v>
      </c>
      <c r="AD405" s="142" t="str">
        <f t="shared" si="184"/>
        <v>{progress_rate_roll,100,5000,11,1}</v>
      </c>
      <c r="AF405" s="142" t="str">
        <f t="shared" si="160"/>
        <v>{progress,50,5203001,5}</v>
      </c>
      <c r="AG405" s="142" t="str">
        <f t="shared" si="154"/>
        <v>{progress,40,5303001,2}</v>
      </c>
      <c r="AH405" s="142" t="str">
        <f t="shared" si="155"/>
        <v>{progress,0,5401019,1}</v>
      </c>
      <c r="AI405" s="142"/>
      <c r="AJ405" s="142" t="str">
        <f t="shared" si="157"/>
        <v>{progress_rate_roll,100,1000,9,1}</v>
      </c>
      <c r="AN405" s="142" t="str">
        <f t="shared" si="143"/>
        <v>{progress,1,21363,1}</v>
      </c>
      <c r="AO405" s="142" t="str">
        <f t="shared" si="165"/>
        <v>{progress_rate_roll,100,5000,21363,1}</v>
      </c>
      <c r="AP405" s="142" t="str">
        <f t="shared" si="149"/>
        <v>[{progress_rate,2,134},{progress,0,2,330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05" s="142" t="str">
        <f t="shared" si="166"/>
        <v>[{progress_rate,2,134},{progress,0,2,330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05" s="142" t="str">
        <f t="shared" si="150"/>
        <v>[{progress_rate,2,134},{progress,0,2,330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05" s="142" t="str">
        <f t="shared" si="144"/>
        <v>[{progress_rate,2,134},{progress,0,2,330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05" s="142" t="str">
        <f t="shared" si="145"/>
        <v>{progress_rate,2,600},{progress_rate,11,1}</v>
      </c>
      <c r="AV405" s="142" t="str">
        <f t="shared" si="151"/>
        <v>{progress_rate,2,600}</v>
      </c>
      <c r="AW405" s="142" t="s">
        <v>175</v>
      </c>
    </row>
    <row r="406" spans="1:49">
      <c r="A406" s="143" t="str">
        <f t="shared" si="138"/>
        <v>[{2,466},{5103001,40},{14,60},{11,0},{5401000,0},{5203001,0},{5303001,0}]</v>
      </c>
      <c r="B406" s="98">
        <v>94</v>
      </c>
      <c r="C406" s="126">
        <v>134</v>
      </c>
      <c r="D406" s="126">
        <v>332</v>
      </c>
      <c r="E406" s="145">
        <v>15</v>
      </c>
      <c r="F406" s="145">
        <v>25</v>
      </c>
      <c r="G406" s="98">
        <v>3</v>
      </c>
      <c r="H406" s="98">
        <v>5</v>
      </c>
      <c r="I406" s="98">
        <v>0.5</v>
      </c>
      <c r="J406" s="98">
        <v>0</v>
      </c>
      <c r="K406" s="98">
        <v>5</v>
      </c>
      <c r="L406" s="98">
        <v>2</v>
      </c>
      <c r="M406" s="98">
        <v>1</v>
      </c>
      <c r="N406" s="98"/>
      <c r="O406" s="98">
        <v>0.1</v>
      </c>
      <c r="P406" s="98">
        <f t="shared" si="139"/>
        <v>143.3</v>
      </c>
      <c r="Q406" s="147">
        <f t="shared" si="140"/>
        <v>7.165</v>
      </c>
      <c r="R406" s="149">
        <v>600</v>
      </c>
      <c r="S406" s="132">
        <f t="shared" si="146"/>
        <v>67</v>
      </c>
      <c r="T406" s="132">
        <f t="shared" si="147"/>
        <v>268</v>
      </c>
      <c r="U406" s="80"/>
      <c r="V406" s="80">
        <v>21363</v>
      </c>
      <c r="W406" s="142">
        <f t="shared" si="141"/>
        <v>94</v>
      </c>
      <c r="X406" s="142" t="str">
        <f t="shared" ref="X406:AD406" si="185">IF(C$311="","{progress_rate,"&amp;C$308&amp;","&amp;C406&amp;"}",IF(C406&gt;=1,"{progress,"&amp;C$311*100&amp;","&amp;C$308&amp;","&amp;C406&amp;"}","{progress_rate_roll,"&amp;C$311*100&amp;","&amp;INT(C406*10000)&amp;","&amp;C$308&amp;","&amp;1&amp;"}"))</f>
        <v>{progress_rate,2,134}</v>
      </c>
      <c r="Y406" s="142" t="str">
        <f t="shared" si="185"/>
        <v>{progress,0,2,332}</v>
      </c>
      <c r="Z406" s="142" t="str">
        <f t="shared" si="185"/>
        <v>{progress,0,5103001,15}</v>
      </c>
      <c r="AA406" s="142" t="str">
        <f t="shared" si="185"/>
        <v>{progress,40,5103003,25}</v>
      </c>
      <c r="AB406" s="142" t="str">
        <f t="shared" si="185"/>
        <v>{progress,0,50025,3}</v>
      </c>
      <c r="AC406" s="142" t="str">
        <f t="shared" si="185"/>
        <v>{progress,50,50002,5}</v>
      </c>
      <c r="AD406" s="142" t="str">
        <f t="shared" si="185"/>
        <v>{progress_rate_roll,100,5000,11,1}</v>
      </c>
      <c r="AF406" s="142" t="str">
        <f t="shared" si="160"/>
        <v>{progress,50,5203001,5}</v>
      </c>
      <c r="AG406" s="142" t="str">
        <f t="shared" si="154"/>
        <v>{progress,40,5303001,2}</v>
      </c>
      <c r="AH406" s="142" t="str">
        <f t="shared" si="155"/>
        <v>{progress,0,5401019,1}</v>
      </c>
      <c r="AI406" s="142"/>
      <c r="AJ406" s="142" t="str">
        <f t="shared" si="157"/>
        <v>{progress_rate_roll,100,1000,9,1}</v>
      </c>
      <c r="AN406" s="142" t="str">
        <f t="shared" si="143"/>
        <v>{progress,1,21363,1}</v>
      </c>
      <c r="AO406" s="142" t="str">
        <f t="shared" si="165"/>
        <v>{progress_rate_roll,100,5000,21363,1}</v>
      </c>
      <c r="AP406" s="142" t="str">
        <f t="shared" si="149"/>
        <v>[{progress_rate,2,134},{progress,0,2,332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06" s="142" t="str">
        <f t="shared" si="166"/>
        <v>[{progress_rate,2,134},{progress,0,2,332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06" s="142" t="str">
        <f t="shared" si="150"/>
        <v>[{progress_rate,2,134},{progress,0,2,332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06" s="142" t="str">
        <f t="shared" si="144"/>
        <v>[{progress_rate,2,134},{progress,0,2,332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06" s="142" t="str">
        <f t="shared" si="145"/>
        <v>{progress_rate,2,600},{progress_rate,11,1}</v>
      </c>
      <c r="AV406" s="142" t="str">
        <f t="shared" si="151"/>
        <v>{progress_rate,2,600}</v>
      </c>
      <c r="AW406" s="142" t="s">
        <v>175</v>
      </c>
    </row>
    <row r="407" spans="1:49">
      <c r="A407" s="143" t="str">
        <f t="shared" si="138"/>
        <v>[{2,468},{5103001,40},{14,60},{11,0},{5401000,0},{5203001,0},{5303001,0}]</v>
      </c>
      <c r="B407" s="98">
        <v>95</v>
      </c>
      <c r="C407" s="126">
        <v>134</v>
      </c>
      <c r="D407" s="126">
        <v>334</v>
      </c>
      <c r="E407" s="145">
        <v>15</v>
      </c>
      <c r="F407" s="145">
        <v>25</v>
      </c>
      <c r="G407" s="98">
        <v>3</v>
      </c>
      <c r="H407" s="98">
        <v>5</v>
      </c>
      <c r="I407" s="98">
        <v>0.5</v>
      </c>
      <c r="J407" s="98">
        <v>0</v>
      </c>
      <c r="K407" s="98">
        <v>5</v>
      </c>
      <c r="L407" s="98">
        <v>2</v>
      </c>
      <c r="M407" s="98">
        <v>1</v>
      </c>
      <c r="N407" s="98"/>
      <c r="O407" s="98">
        <v>0.1</v>
      </c>
      <c r="P407" s="98">
        <f t="shared" si="139"/>
        <v>143.4</v>
      </c>
      <c r="Q407" s="147">
        <f t="shared" si="140"/>
        <v>7.17</v>
      </c>
      <c r="R407" s="149">
        <v>600</v>
      </c>
      <c r="S407" s="132">
        <f t="shared" si="146"/>
        <v>67</v>
      </c>
      <c r="T407" s="132">
        <f t="shared" si="147"/>
        <v>268</v>
      </c>
      <c r="U407" s="80"/>
      <c r="V407" s="80">
        <v>21363</v>
      </c>
      <c r="W407" s="142">
        <f t="shared" si="141"/>
        <v>95</v>
      </c>
      <c r="X407" s="142" t="str">
        <f t="shared" ref="X407:AD407" si="186">IF(C$311="","{progress_rate,"&amp;C$308&amp;","&amp;C407&amp;"}",IF(C407&gt;=1,"{progress,"&amp;C$311*100&amp;","&amp;C$308&amp;","&amp;C407&amp;"}","{progress_rate_roll,"&amp;C$311*100&amp;","&amp;INT(C407*10000)&amp;","&amp;C$308&amp;","&amp;1&amp;"}"))</f>
        <v>{progress_rate,2,134}</v>
      </c>
      <c r="Y407" s="142" t="str">
        <f t="shared" si="186"/>
        <v>{progress,0,2,334}</v>
      </c>
      <c r="Z407" s="142" t="str">
        <f t="shared" si="186"/>
        <v>{progress,0,5103001,15}</v>
      </c>
      <c r="AA407" s="142" t="str">
        <f t="shared" si="186"/>
        <v>{progress,40,5103003,25}</v>
      </c>
      <c r="AB407" s="142" t="str">
        <f t="shared" si="186"/>
        <v>{progress,0,50025,3}</v>
      </c>
      <c r="AC407" s="142" t="str">
        <f t="shared" si="186"/>
        <v>{progress,50,50002,5}</v>
      </c>
      <c r="AD407" s="142" t="str">
        <f t="shared" si="186"/>
        <v>{progress_rate_roll,100,5000,11,1}</v>
      </c>
      <c r="AF407" s="142" t="str">
        <f t="shared" si="160"/>
        <v>{progress,50,5203001,5}</v>
      </c>
      <c r="AG407" s="142" t="str">
        <f t="shared" si="154"/>
        <v>{progress,40,5303001,2}</v>
      </c>
      <c r="AH407" s="142" t="str">
        <f t="shared" si="155"/>
        <v>{progress,0,5401019,1}</v>
      </c>
      <c r="AI407" s="142"/>
      <c r="AJ407" s="142" t="str">
        <f t="shared" si="157"/>
        <v>{progress_rate_roll,100,1000,9,1}</v>
      </c>
      <c r="AN407" s="142" t="str">
        <f t="shared" si="143"/>
        <v>{progress,1,21363,1}</v>
      </c>
      <c r="AO407" s="142" t="str">
        <f t="shared" si="165"/>
        <v>{progress_rate_roll,100,5000,21363,1}</v>
      </c>
      <c r="AP407" s="142" t="str">
        <f t="shared" si="149"/>
        <v>[{progress_rate,2,134},{progress,0,2,334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07" s="142" t="str">
        <f t="shared" si="166"/>
        <v>[{progress_rate,2,134},{progress,0,2,334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07" s="142" t="str">
        <f t="shared" si="150"/>
        <v>[{progress_rate,2,134},{progress,0,2,334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07" s="142" t="str">
        <f t="shared" si="144"/>
        <v>[{progress_rate,2,134},{progress,0,2,334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07" s="142" t="str">
        <f t="shared" si="145"/>
        <v>{progress_rate,2,600},{progress_rate,11,1}</v>
      </c>
      <c r="AV407" s="142" t="str">
        <f t="shared" si="151"/>
        <v>{progress_rate,2,600}</v>
      </c>
      <c r="AW407" s="142" t="s">
        <v>175</v>
      </c>
    </row>
    <row r="408" spans="1:49">
      <c r="A408" s="143" t="str">
        <f t="shared" si="138"/>
        <v>[{2,470},{5103001,40},{14,60},{11,0},{5401000,0},{5203001,0},{5303001,0}]</v>
      </c>
      <c r="B408" s="98">
        <v>96</v>
      </c>
      <c r="C408" s="126">
        <v>134</v>
      </c>
      <c r="D408" s="126">
        <v>336</v>
      </c>
      <c r="E408" s="145">
        <v>15</v>
      </c>
      <c r="F408" s="145">
        <v>25</v>
      </c>
      <c r="G408" s="98">
        <v>3</v>
      </c>
      <c r="H408" s="98">
        <v>5</v>
      </c>
      <c r="I408" s="98">
        <v>0.5</v>
      </c>
      <c r="J408" s="98">
        <v>0</v>
      </c>
      <c r="K408" s="98">
        <v>5</v>
      </c>
      <c r="L408" s="98">
        <v>2</v>
      </c>
      <c r="M408" s="98">
        <v>1</v>
      </c>
      <c r="N408" s="98"/>
      <c r="O408" s="98">
        <v>0.1</v>
      </c>
      <c r="P408" s="98">
        <f t="shared" si="139"/>
        <v>143.5</v>
      </c>
      <c r="Q408" s="147">
        <f t="shared" si="140"/>
        <v>7.175</v>
      </c>
      <c r="R408" s="149">
        <v>600</v>
      </c>
      <c r="S408" s="132">
        <f t="shared" si="146"/>
        <v>67</v>
      </c>
      <c r="T408" s="132">
        <f t="shared" si="147"/>
        <v>268</v>
      </c>
      <c r="U408" s="80"/>
      <c r="V408" s="80">
        <v>21363</v>
      </c>
      <c r="W408" s="142">
        <f t="shared" si="141"/>
        <v>96</v>
      </c>
      <c r="X408" s="142" t="str">
        <f t="shared" ref="X408:AD408" si="187">IF(C$311="","{progress_rate,"&amp;C$308&amp;","&amp;C408&amp;"}",IF(C408&gt;=1,"{progress,"&amp;C$311*100&amp;","&amp;C$308&amp;","&amp;C408&amp;"}","{progress_rate_roll,"&amp;C$311*100&amp;","&amp;INT(C408*10000)&amp;","&amp;C$308&amp;","&amp;1&amp;"}"))</f>
        <v>{progress_rate,2,134}</v>
      </c>
      <c r="Y408" s="142" t="str">
        <f t="shared" si="187"/>
        <v>{progress,0,2,336}</v>
      </c>
      <c r="Z408" s="142" t="str">
        <f t="shared" si="187"/>
        <v>{progress,0,5103001,15}</v>
      </c>
      <c r="AA408" s="142" t="str">
        <f t="shared" si="187"/>
        <v>{progress,40,5103003,25}</v>
      </c>
      <c r="AB408" s="142" t="str">
        <f t="shared" si="187"/>
        <v>{progress,0,50025,3}</v>
      </c>
      <c r="AC408" s="142" t="str">
        <f t="shared" si="187"/>
        <v>{progress,50,50002,5}</v>
      </c>
      <c r="AD408" s="142" t="str">
        <f t="shared" si="187"/>
        <v>{progress_rate_roll,100,5000,11,1}</v>
      </c>
      <c r="AF408" s="142" t="str">
        <f t="shared" si="160"/>
        <v>{progress,50,5203001,5}</v>
      </c>
      <c r="AG408" s="142" t="str">
        <f t="shared" si="154"/>
        <v>{progress,40,5303001,2}</v>
      </c>
      <c r="AH408" s="142" t="str">
        <f t="shared" si="155"/>
        <v>{progress,0,5401019,1}</v>
      </c>
      <c r="AI408" s="142"/>
      <c r="AJ408" s="142" t="str">
        <f t="shared" si="157"/>
        <v>{progress_rate_roll,100,1000,9,1}</v>
      </c>
      <c r="AN408" s="142" t="str">
        <f t="shared" si="143"/>
        <v>{progress,1,21363,1}</v>
      </c>
      <c r="AO408" s="142" t="str">
        <f t="shared" si="165"/>
        <v>{progress_rate_roll,100,5000,21363,1}</v>
      </c>
      <c r="AP408" s="142" t="str">
        <f t="shared" si="149"/>
        <v>[{progress_rate,2,134},{progress,0,2,336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08" s="142" t="str">
        <f t="shared" si="166"/>
        <v>[{progress_rate,2,134},{progress,0,2,336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08" s="142" t="str">
        <f t="shared" si="150"/>
        <v>[{progress_rate,2,134},{progress,0,2,336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08" s="142" t="str">
        <f t="shared" si="144"/>
        <v>[{progress_rate,2,134},{progress,0,2,336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08" s="142" t="str">
        <f t="shared" si="145"/>
        <v>{progress_rate,2,600},{progress_rate,11,1}</v>
      </c>
      <c r="AV408" s="142" t="str">
        <f t="shared" si="151"/>
        <v>{progress_rate,2,600}</v>
      </c>
      <c r="AW408" s="142" t="s">
        <v>175</v>
      </c>
    </row>
    <row r="409" spans="1:49">
      <c r="A409" s="143" t="str">
        <f t="shared" si="138"/>
        <v>[{2,472},{5103001,40},{14,60},{11,0},{5401000,0},{5203001,0},{5303001,0}]</v>
      </c>
      <c r="B409" s="98">
        <v>97</v>
      </c>
      <c r="C409" s="126">
        <v>136</v>
      </c>
      <c r="D409" s="126">
        <v>336</v>
      </c>
      <c r="E409" s="145">
        <v>15</v>
      </c>
      <c r="F409" s="145">
        <v>25</v>
      </c>
      <c r="G409" s="98">
        <v>3</v>
      </c>
      <c r="H409" s="98">
        <v>5</v>
      </c>
      <c r="I409" s="98">
        <v>0.5</v>
      </c>
      <c r="J409" s="98">
        <v>0</v>
      </c>
      <c r="K409" s="98">
        <v>5</v>
      </c>
      <c r="L409" s="98">
        <v>2</v>
      </c>
      <c r="M409" s="98">
        <v>1</v>
      </c>
      <c r="N409" s="98"/>
      <c r="O409" s="98">
        <v>0.1</v>
      </c>
      <c r="P409" s="98">
        <f t="shared" si="139"/>
        <v>143.6</v>
      </c>
      <c r="Q409" s="147">
        <f t="shared" si="140"/>
        <v>7.18</v>
      </c>
      <c r="R409" s="149">
        <v>600</v>
      </c>
      <c r="S409" s="132">
        <f t="shared" si="146"/>
        <v>68</v>
      </c>
      <c r="T409" s="132">
        <f t="shared" si="147"/>
        <v>272</v>
      </c>
      <c r="U409" s="80"/>
      <c r="V409" s="80">
        <v>21363</v>
      </c>
      <c r="W409" s="142">
        <f t="shared" si="141"/>
        <v>97</v>
      </c>
      <c r="X409" s="142" t="str">
        <f t="shared" ref="X409:AD409" si="188">IF(C$311="","{progress_rate,"&amp;C$308&amp;","&amp;C409&amp;"}",IF(C409&gt;=1,"{progress,"&amp;C$311*100&amp;","&amp;C$308&amp;","&amp;C409&amp;"}","{progress_rate_roll,"&amp;C$311*100&amp;","&amp;INT(C409*10000)&amp;","&amp;C$308&amp;","&amp;1&amp;"}"))</f>
        <v>{progress_rate,2,136}</v>
      </c>
      <c r="Y409" s="142" t="str">
        <f t="shared" si="188"/>
        <v>{progress,0,2,336}</v>
      </c>
      <c r="Z409" s="142" t="str">
        <f t="shared" si="188"/>
        <v>{progress,0,5103001,15}</v>
      </c>
      <c r="AA409" s="142" t="str">
        <f t="shared" si="188"/>
        <v>{progress,40,5103003,25}</v>
      </c>
      <c r="AB409" s="142" t="str">
        <f t="shared" si="188"/>
        <v>{progress,0,50025,3}</v>
      </c>
      <c r="AC409" s="142" t="str">
        <f t="shared" si="188"/>
        <v>{progress,50,50002,5}</v>
      </c>
      <c r="AD409" s="142" t="str">
        <f t="shared" si="188"/>
        <v>{progress_rate_roll,100,5000,11,1}</v>
      </c>
      <c r="AF409" s="142" t="str">
        <f t="shared" si="160"/>
        <v>{progress,50,5203001,5}</v>
      </c>
      <c r="AG409" s="142" t="str">
        <f t="shared" si="154"/>
        <v>{progress,40,5303001,2}</v>
      </c>
      <c r="AH409" s="142" t="str">
        <f t="shared" si="155"/>
        <v>{progress,0,5401019,1}</v>
      </c>
      <c r="AI409" s="142"/>
      <c r="AJ409" s="142" t="str">
        <f t="shared" si="157"/>
        <v>{progress_rate_roll,100,1000,9,1}</v>
      </c>
      <c r="AN409" s="142" t="str">
        <f t="shared" si="143"/>
        <v>{progress,1,21363,1}</v>
      </c>
      <c r="AO409" s="142" t="str">
        <f t="shared" si="165"/>
        <v>{progress_rate_roll,100,5000,21363,1}</v>
      </c>
      <c r="AP409" s="142" t="str">
        <f t="shared" si="149"/>
        <v>[{progress_rate,2,136},{progress,0,2,336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09" s="142" t="str">
        <f t="shared" si="166"/>
        <v>[{progress_rate,2,136},{progress,0,2,336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09" s="142" t="str">
        <f t="shared" si="150"/>
        <v>[{progress_rate,2,136},{progress,0,2,336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09" s="142" t="str">
        <f t="shared" si="144"/>
        <v>[{progress_rate,2,136},{progress,0,2,336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09" s="142" t="str">
        <f t="shared" si="145"/>
        <v>{progress_rate,2,600},{progress_rate,11,1}</v>
      </c>
      <c r="AV409" s="142" t="str">
        <f t="shared" si="151"/>
        <v>{progress_rate,2,600}</v>
      </c>
      <c r="AW409" s="142" t="s">
        <v>175</v>
      </c>
    </row>
    <row r="410" spans="1:49">
      <c r="A410" s="143" t="str">
        <f t="shared" si="138"/>
        <v>[{2,474},{5103001,40},{14,60},{11,0},{5401000,0},{5203001,0},{5303001,0}]</v>
      </c>
      <c r="B410" s="98">
        <v>98</v>
      </c>
      <c r="C410" s="126">
        <v>136</v>
      </c>
      <c r="D410" s="126">
        <v>338</v>
      </c>
      <c r="E410" s="145">
        <v>15</v>
      </c>
      <c r="F410" s="145">
        <v>25</v>
      </c>
      <c r="G410" s="98">
        <v>3</v>
      </c>
      <c r="H410" s="98">
        <v>5</v>
      </c>
      <c r="I410" s="98">
        <v>0.5</v>
      </c>
      <c r="J410" s="98">
        <v>0</v>
      </c>
      <c r="K410" s="98">
        <v>5</v>
      </c>
      <c r="L410" s="98">
        <v>2</v>
      </c>
      <c r="M410" s="98">
        <v>1</v>
      </c>
      <c r="N410" s="98"/>
      <c r="O410" s="98">
        <v>0.1</v>
      </c>
      <c r="P410" s="98">
        <f t="shared" si="139"/>
        <v>143.7</v>
      </c>
      <c r="Q410" s="147">
        <f t="shared" si="140"/>
        <v>7.185</v>
      </c>
      <c r="R410" s="149">
        <v>600</v>
      </c>
      <c r="S410" s="132">
        <f t="shared" ref="S410:S441" si="189">C410/2</f>
        <v>68</v>
      </c>
      <c r="T410" s="132">
        <f t="shared" si="147"/>
        <v>272</v>
      </c>
      <c r="U410" s="80"/>
      <c r="V410" s="80">
        <v>21363</v>
      </c>
      <c r="W410" s="142">
        <f t="shared" si="141"/>
        <v>98</v>
      </c>
      <c r="X410" s="142" t="str">
        <f t="shared" ref="X410:AD410" si="190">IF(C$311="","{progress_rate,"&amp;C$308&amp;","&amp;C410&amp;"}",IF(C410&gt;=1,"{progress,"&amp;C$311*100&amp;","&amp;C$308&amp;","&amp;C410&amp;"}","{progress_rate_roll,"&amp;C$311*100&amp;","&amp;INT(C410*10000)&amp;","&amp;C$308&amp;","&amp;1&amp;"}"))</f>
        <v>{progress_rate,2,136}</v>
      </c>
      <c r="Y410" s="142" t="str">
        <f t="shared" si="190"/>
        <v>{progress,0,2,338}</v>
      </c>
      <c r="Z410" s="142" t="str">
        <f t="shared" si="190"/>
        <v>{progress,0,5103001,15}</v>
      </c>
      <c r="AA410" s="142" t="str">
        <f t="shared" si="190"/>
        <v>{progress,40,5103003,25}</v>
      </c>
      <c r="AB410" s="142" t="str">
        <f t="shared" si="190"/>
        <v>{progress,0,50025,3}</v>
      </c>
      <c r="AC410" s="142" t="str">
        <f t="shared" si="190"/>
        <v>{progress,50,50002,5}</v>
      </c>
      <c r="AD410" s="142" t="str">
        <f t="shared" si="190"/>
        <v>{progress_rate_roll,100,5000,11,1}</v>
      </c>
      <c r="AF410" s="142" t="str">
        <f t="shared" si="160"/>
        <v>{progress,50,5203001,5}</v>
      </c>
      <c r="AG410" s="142" t="str">
        <f t="shared" si="154"/>
        <v>{progress,40,5303001,2}</v>
      </c>
      <c r="AH410" s="142" t="str">
        <f t="shared" si="155"/>
        <v>{progress,0,5401019,1}</v>
      </c>
      <c r="AI410" s="142"/>
      <c r="AJ410" s="142" t="str">
        <f t="shared" si="157"/>
        <v>{progress_rate_roll,100,1000,9,1}</v>
      </c>
      <c r="AN410" s="142" t="str">
        <f t="shared" si="143"/>
        <v>{progress,1,21363,1}</v>
      </c>
      <c r="AO410" s="142" t="str">
        <f t="shared" si="165"/>
        <v>{progress_rate_roll,100,5000,21363,1}</v>
      </c>
      <c r="AP410" s="142" t="str">
        <f t="shared" si="149"/>
        <v>[{progress_rate,2,136},{progress,0,2,338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10" s="142" t="str">
        <f t="shared" si="166"/>
        <v>[{progress_rate,2,136},{progress,0,2,338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10" s="142" t="str">
        <f t="shared" si="150"/>
        <v>[{progress_rate,2,136},{progress,0,2,338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10" s="142" t="str">
        <f t="shared" si="144"/>
        <v>[{progress_rate,2,136},{progress,0,2,338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10" s="142" t="str">
        <f t="shared" si="145"/>
        <v>{progress_rate,2,600},{progress_rate,11,1}</v>
      </c>
      <c r="AV410" s="142" t="str">
        <f t="shared" ref="AV410:AV441" si="191">"{progress_rate,2,"&amp;MIN(1200,600+INT(B410/10)*0)&amp;"}"</f>
        <v>{progress_rate,2,600}</v>
      </c>
      <c r="AW410" s="142" t="s">
        <v>175</v>
      </c>
    </row>
    <row r="411" spans="1:49">
      <c r="A411" s="143" t="str">
        <f t="shared" si="138"/>
        <v>[{2,476},{5103001,40},{14,60},{11,0},{5401000,0},{5203001,0},{5303001,0}]</v>
      </c>
      <c r="B411" s="98">
        <v>99</v>
      </c>
      <c r="C411" s="126">
        <v>136</v>
      </c>
      <c r="D411" s="126">
        <v>340</v>
      </c>
      <c r="E411" s="145">
        <v>15</v>
      </c>
      <c r="F411" s="145">
        <v>25</v>
      </c>
      <c r="G411" s="98">
        <v>3</v>
      </c>
      <c r="H411" s="98">
        <v>5</v>
      </c>
      <c r="I411" s="98">
        <v>0.5</v>
      </c>
      <c r="J411" s="98">
        <v>0</v>
      </c>
      <c r="K411" s="98">
        <v>5</v>
      </c>
      <c r="L411" s="98">
        <v>2</v>
      </c>
      <c r="M411" s="98">
        <v>1</v>
      </c>
      <c r="N411" s="98"/>
      <c r="O411" s="98">
        <v>0.1</v>
      </c>
      <c r="P411" s="98">
        <f t="shared" si="139"/>
        <v>143.8</v>
      </c>
      <c r="Q411" s="147">
        <f t="shared" si="140"/>
        <v>7.19</v>
      </c>
      <c r="R411" s="149">
        <v>600</v>
      </c>
      <c r="S411" s="132">
        <f t="shared" si="189"/>
        <v>68</v>
      </c>
      <c r="T411" s="132">
        <f t="shared" si="147"/>
        <v>272</v>
      </c>
      <c r="U411" s="80"/>
      <c r="V411" s="80">
        <v>21363</v>
      </c>
      <c r="W411" s="142">
        <f t="shared" si="141"/>
        <v>99</v>
      </c>
      <c r="X411" s="142" t="str">
        <f t="shared" ref="X411:AD411" si="192">IF(C$311="","{progress_rate,"&amp;C$308&amp;","&amp;C411&amp;"}",IF(C411&gt;=1,"{progress,"&amp;C$311*100&amp;","&amp;C$308&amp;","&amp;C411&amp;"}","{progress_rate_roll,"&amp;C$311*100&amp;","&amp;INT(C411*10000)&amp;","&amp;C$308&amp;","&amp;1&amp;"}"))</f>
        <v>{progress_rate,2,136}</v>
      </c>
      <c r="Y411" s="142" t="str">
        <f t="shared" si="192"/>
        <v>{progress,0,2,340}</v>
      </c>
      <c r="Z411" s="142" t="str">
        <f t="shared" si="192"/>
        <v>{progress,0,5103001,15}</v>
      </c>
      <c r="AA411" s="142" t="str">
        <f t="shared" si="192"/>
        <v>{progress,40,5103003,25}</v>
      </c>
      <c r="AB411" s="142" t="str">
        <f t="shared" si="192"/>
        <v>{progress,0,50025,3}</v>
      </c>
      <c r="AC411" s="142" t="str">
        <f t="shared" si="192"/>
        <v>{progress,50,50002,5}</v>
      </c>
      <c r="AD411" s="142" t="str">
        <f t="shared" si="192"/>
        <v>{progress_rate_roll,100,5000,11,1}</v>
      </c>
      <c r="AF411" s="142" t="str">
        <f t="shared" si="160"/>
        <v>{progress,50,5203001,5}</v>
      </c>
      <c r="AG411" s="142" t="str">
        <f t="shared" si="154"/>
        <v>{progress,40,5303001,2}</v>
      </c>
      <c r="AH411" s="142" t="str">
        <f t="shared" si="155"/>
        <v>{progress,0,5401019,1}</v>
      </c>
      <c r="AI411" s="142"/>
      <c r="AJ411" s="142" t="str">
        <f t="shared" si="157"/>
        <v>{progress_rate_roll,100,1000,9,1}</v>
      </c>
      <c r="AN411" s="142" t="str">
        <f t="shared" si="143"/>
        <v>{progress,1,21363,1}</v>
      </c>
      <c r="AO411" s="142" t="str">
        <f t="shared" si="165"/>
        <v>{progress_rate_roll,100,5000,21363,1}</v>
      </c>
      <c r="AP411" s="142" t="str">
        <f t="shared" si="149"/>
        <v>[{progress_rate,2,136},{progress,0,2,340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11" s="142" t="str">
        <f t="shared" si="166"/>
        <v>[{progress_rate,2,136},{progress,0,2,340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11" s="142" t="str">
        <f t="shared" si="150"/>
        <v>[{progress_rate,2,136},{progress,0,2,340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11" s="142" t="str">
        <f t="shared" si="144"/>
        <v>[{progress_rate,2,136},{progress,0,2,340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11" s="142" t="str">
        <f t="shared" si="145"/>
        <v>{progress_rate,2,600},{progress_rate,11,1}</v>
      </c>
      <c r="AV411" s="142" t="str">
        <f t="shared" si="191"/>
        <v>{progress_rate,2,600}</v>
      </c>
      <c r="AW411" s="142" t="s">
        <v>175</v>
      </c>
    </row>
    <row r="412" spans="1:49">
      <c r="A412" s="143" t="str">
        <f t="shared" si="138"/>
        <v>[{2,478},{5103001,40},{14,60},{11,0},{5401000,0},{5203001,0},{5303001,0}]</v>
      </c>
      <c r="B412" s="98">
        <v>100</v>
      </c>
      <c r="C412" s="126">
        <v>138</v>
      </c>
      <c r="D412" s="126">
        <v>340</v>
      </c>
      <c r="E412" s="145">
        <v>15</v>
      </c>
      <c r="F412" s="145">
        <v>25</v>
      </c>
      <c r="G412" s="98">
        <v>3</v>
      </c>
      <c r="H412" s="98">
        <v>5</v>
      </c>
      <c r="I412" s="98">
        <v>0.5</v>
      </c>
      <c r="J412" s="98">
        <v>0</v>
      </c>
      <c r="K412" s="98">
        <v>5</v>
      </c>
      <c r="L412" s="98">
        <v>2</v>
      </c>
      <c r="M412" s="98">
        <v>1</v>
      </c>
      <c r="N412" s="98"/>
      <c r="O412" s="98">
        <v>0.1</v>
      </c>
      <c r="P412" s="98">
        <f t="shared" si="139"/>
        <v>143.9</v>
      </c>
      <c r="Q412" s="147">
        <f t="shared" si="140"/>
        <v>7.195</v>
      </c>
      <c r="R412" s="149">
        <v>600</v>
      </c>
      <c r="S412" s="132">
        <f t="shared" si="189"/>
        <v>69</v>
      </c>
      <c r="T412" s="132">
        <f t="shared" si="147"/>
        <v>276</v>
      </c>
      <c r="U412" s="80"/>
      <c r="V412" s="80">
        <v>21363</v>
      </c>
      <c r="W412" s="142">
        <f t="shared" si="141"/>
        <v>100</v>
      </c>
      <c r="X412" s="142" t="str">
        <f t="shared" ref="X412:AD412" si="193">IF(C$311="","{progress_rate,"&amp;C$308&amp;","&amp;C412&amp;"}",IF(C412&gt;=1,"{progress,"&amp;C$311*100&amp;","&amp;C$308&amp;","&amp;C412&amp;"}","{progress_rate_roll,"&amp;C$311*100&amp;","&amp;INT(C412*10000)&amp;","&amp;C$308&amp;","&amp;1&amp;"}"))</f>
        <v>{progress_rate,2,138}</v>
      </c>
      <c r="Y412" s="142" t="str">
        <f t="shared" si="193"/>
        <v>{progress,0,2,340}</v>
      </c>
      <c r="Z412" s="142" t="str">
        <f t="shared" si="193"/>
        <v>{progress,0,5103001,15}</v>
      </c>
      <c r="AA412" s="142" t="str">
        <f t="shared" si="193"/>
        <v>{progress,40,5103003,25}</v>
      </c>
      <c r="AB412" s="142" t="str">
        <f t="shared" si="193"/>
        <v>{progress,0,50025,3}</v>
      </c>
      <c r="AC412" s="142" t="str">
        <f t="shared" si="193"/>
        <v>{progress,50,50002,5}</v>
      </c>
      <c r="AD412" s="142" t="str">
        <f t="shared" si="193"/>
        <v>{progress_rate_roll,100,5000,11,1}</v>
      </c>
      <c r="AF412" s="142" t="str">
        <f t="shared" si="160"/>
        <v>{progress,50,5203001,5}</v>
      </c>
      <c r="AG412" s="142" t="str">
        <f t="shared" si="154"/>
        <v>{progress,40,5303001,2}</v>
      </c>
      <c r="AH412" s="142" t="str">
        <f t="shared" si="155"/>
        <v>{progress,0,5401019,1}</v>
      </c>
      <c r="AI412" s="142"/>
      <c r="AJ412" s="142" t="str">
        <f t="shared" si="157"/>
        <v>{progress_rate_roll,100,1000,9,1}</v>
      </c>
      <c r="AN412" s="142" t="str">
        <f t="shared" si="143"/>
        <v>{progress,1,21363,1}</v>
      </c>
      <c r="AO412" s="142" t="str">
        <f t="shared" si="165"/>
        <v>{progress_rate_roll,100,5000,21363,1}</v>
      </c>
      <c r="AP412" s="142" t="str">
        <f t="shared" si="149"/>
        <v>[{progress_rate,2,138},{progress,0,2,340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12" s="142" t="str">
        <f t="shared" si="166"/>
        <v>[{progress_rate,2,138},{progress,0,2,340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12" s="142" t="str">
        <f t="shared" si="150"/>
        <v>[{progress_rate,2,138},{progress,0,2,340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12" s="142" t="str">
        <f t="shared" si="144"/>
        <v>[{progress_rate,2,138},{progress,0,2,340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12" s="142" t="str">
        <f t="shared" si="145"/>
        <v>{progress_rate,2,600},{progress_rate,11,1}</v>
      </c>
      <c r="AV412" s="142" t="str">
        <f t="shared" si="191"/>
        <v>{progress_rate,2,600}</v>
      </c>
      <c r="AW412" s="142" t="s">
        <v>175</v>
      </c>
    </row>
    <row r="413" spans="1:49">
      <c r="A413" s="143" t="str">
        <f t="shared" si="138"/>
        <v>[{2,480},{5103001,40},{14,60},{11,0},{5401000,0},{5203001,0},{5303001,0}]</v>
      </c>
      <c r="B413" s="98">
        <v>101</v>
      </c>
      <c r="C413" s="126">
        <v>138</v>
      </c>
      <c r="D413" s="126">
        <v>342</v>
      </c>
      <c r="E413" s="145">
        <v>15</v>
      </c>
      <c r="F413" s="145">
        <v>25</v>
      </c>
      <c r="G413" s="98">
        <v>3</v>
      </c>
      <c r="H413" s="98">
        <v>5</v>
      </c>
      <c r="I413" s="98">
        <v>0.5</v>
      </c>
      <c r="J413" s="98">
        <v>0</v>
      </c>
      <c r="K413" s="98">
        <v>5</v>
      </c>
      <c r="L413" s="98">
        <v>2</v>
      </c>
      <c r="M413" s="98">
        <v>1</v>
      </c>
      <c r="N413" s="98"/>
      <c r="O413" s="98">
        <v>0.1</v>
      </c>
      <c r="P413" s="98">
        <f t="shared" si="139"/>
        <v>144</v>
      </c>
      <c r="Q413" s="147">
        <f t="shared" si="140"/>
        <v>7.2</v>
      </c>
      <c r="R413" s="149">
        <v>600</v>
      </c>
      <c r="S413" s="132">
        <f t="shared" si="189"/>
        <v>69</v>
      </c>
      <c r="T413" s="132">
        <f t="shared" si="147"/>
        <v>276</v>
      </c>
      <c r="U413" s="80"/>
      <c r="V413" s="80">
        <v>21363</v>
      </c>
      <c r="W413" s="142">
        <f t="shared" si="141"/>
        <v>101</v>
      </c>
      <c r="X413" s="142" t="str">
        <f t="shared" ref="X413:AD413" si="194">IF(C$311="","{progress_rate,"&amp;C$308&amp;","&amp;C413&amp;"}",IF(C413&gt;=1,"{progress,"&amp;C$311*100&amp;","&amp;C$308&amp;","&amp;C413&amp;"}","{progress_rate_roll,"&amp;C$311*100&amp;","&amp;INT(C413*10000)&amp;","&amp;C$308&amp;","&amp;1&amp;"}"))</f>
        <v>{progress_rate,2,138}</v>
      </c>
      <c r="Y413" s="142" t="str">
        <f t="shared" si="194"/>
        <v>{progress,0,2,342}</v>
      </c>
      <c r="Z413" s="142" t="str">
        <f t="shared" si="194"/>
        <v>{progress,0,5103001,15}</v>
      </c>
      <c r="AA413" s="142" t="str">
        <f t="shared" si="194"/>
        <v>{progress,40,5103003,25}</v>
      </c>
      <c r="AB413" s="142" t="str">
        <f t="shared" si="194"/>
        <v>{progress,0,50025,3}</v>
      </c>
      <c r="AC413" s="142" t="str">
        <f t="shared" si="194"/>
        <v>{progress,50,50002,5}</v>
      </c>
      <c r="AD413" s="142" t="str">
        <f t="shared" si="194"/>
        <v>{progress_rate_roll,100,5000,11,1}</v>
      </c>
      <c r="AF413" s="142" t="str">
        <f t="shared" si="160"/>
        <v>{progress,50,5203001,5}</v>
      </c>
      <c r="AG413" s="142" t="str">
        <f t="shared" si="154"/>
        <v>{progress,40,5303001,2}</v>
      </c>
      <c r="AH413" s="142" t="str">
        <f t="shared" si="155"/>
        <v>{progress,0,5401019,1}</v>
      </c>
      <c r="AI413" s="142"/>
      <c r="AJ413" s="142" t="str">
        <f t="shared" ref="AJ413:AJ444" si="195">IF(O$311="","{progress_rate,"&amp;O$308&amp;","&amp;O413&amp;"}",IF(O413&gt;=1,"{progress,"&amp;O$311*100&amp;","&amp;O$308&amp;","&amp;O413&amp;"}","{progress_rate_roll,"&amp;O$311*100&amp;","&amp;INT(O413*10000)&amp;","&amp;O$308&amp;","&amp;1&amp;"}"))</f>
        <v>{progress_rate_roll,100,1000,9,1}</v>
      </c>
      <c r="AN413" s="142" t="str">
        <f t="shared" si="143"/>
        <v>{progress,1,21363,1}</v>
      </c>
      <c r="AO413" s="142" t="str">
        <f t="shared" si="165"/>
        <v>{progress_rate_roll,100,5000,21363,1}</v>
      </c>
      <c r="AP413" s="142" t="str">
        <f t="shared" si="149"/>
        <v>[{progress_rate,2,138},{progress,0,2,342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13" s="142" t="str">
        <f t="shared" si="166"/>
        <v>[{progress_rate,2,138},{progress,0,2,342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13" s="142" t="str">
        <f t="shared" si="150"/>
        <v>[{progress_rate,2,138},{progress,0,2,342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13" s="142" t="str">
        <f t="shared" si="144"/>
        <v>[{progress_rate,2,138},{progress,0,2,342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13" s="142" t="str">
        <f t="shared" si="145"/>
        <v>{progress_rate,2,600},{progress_rate,11,1}</v>
      </c>
      <c r="AV413" s="142" t="str">
        <f t="shared" si="191"/>
        <v>{progress_rate,2,600}</v>
      </c>
      <c r="AW413" s="142" t="s">
        <v>175</v>
      </c>
    </row>
    <row r="414" spans="1:49">
      <c r="A414" s="143" t="str">
        <f t="shared" si="138"/>
        <v>[{2,482},{5103001,40},{14,60},{11,0},{5401000,0},{5203001,0},{5303001,0}]</v>
      </c>
      <c r="B414" s="98">
        <v>102</v>
      </c>
      <c r="C414" s="126">
        <v>138</v>
      </c>
      <c r="D414" s="126">
        <v>344</v>
      </c>
      <c r="E414" s="145">
        <v>15</v>
      </c>
      <c r="F414" s="145">
        <v>25</v>
      </c>
      <c r="G414" s="98">
        <v>3</v>
      </c>
      <c r="H414" s="98">
        <v>5</v>
      </c>
      <c r="I414" s="98">
        <v>0.5</v>
      </c>
      <c r="J414" s="98">
        <v>0</v>
      </c>
      <c r="K414" s="98">
        <v>5</v>
      </c>
      <c r="L414" s="98">
        <v>2</v>
      </c>
      <c r="M414" s="98">
        <v>1</v>
      </c>
      <c r="N414" s="98"/>
      <c r="O414" s="98">
        <v>0.1</v>
      </c>
      <c r="P414" s="98">
        <f t="shared" si="139"/>
        <v>144.1</v>
      </c>
      <c r="Q414" s="147">
        <f t="shared" si="140"/>
        <v>7.205</v>
      </c>
      <c r="R414" s="149">
        <v>600</v>
      </c>
      <c r="S414" s="132">
        <f t="shared" si="189"/>
        <v>69</v>
      </c>
      <c r="T414" s="132">
        <f t="shared" si="147"/>
        <v>276</v>
      </c>
      <c r="U414" s="80"/>
      <c r="V414" s="80">
        <v>21363</v>
      </c>
      <c r="W414" s="142">
        <f t="shared" si="141"/>
        <v>102</v>
      </c>
      <c r="X414" s="142" t="str">
        <f t="shared" ref="X414:AD414" si="196">IF(C$311="","{progress_rate,"&amp;C$308&amp;","&amp;C414&amp;"}",IF(C414&gt;=1,"{progress,"&amp;C$311*100&amp;","&amp;C$308&amp;","&amp;C414&amp;"}","{progress_rate_roll,"&amp;C$311*100&amp;","&amp;INT(C414*10000)&amp;","&amp;C$308&amp;","&amp;1&amp;"}"))</f>
        <v>{progress_rate,2,138}</v>
      </c>
      <c r="Y414" s="142" t="str">
        <f t="shared" si="196"/>
        <v>{progress,0,2,344}</v>
      </c>
      <c r="Z414" s="142" t="str">
        <f t="shared" si="196"/>
        <v>{progress,0,5103001,15}</v>
      </c>
      <c r="AA414" s="142" t="str">
        <f t="shared" si="196"/>
        <v>{progress,40,5103003,25}</v>
      </c>
      <c r="AB414" s="142" t="str">
        <f t="shared" si="196"/>
        <v>{progress,0,50025,3}</v>
      </c>
      <c r="AC414" s="142" t="str">
        <f t="shared" si="196"/>
        <v>{progress,50,50002,5}</v>
      </c>
      <c r="AD414" s="142" t="str">
        <f t="shared" si="196"/>
        <v>{progress_rate_roll,100,5000,11,1}</v>
      </c>
      <c r="AF414" s="142" t="str">
        <f t="shared" si="160"/>
        <v>{progress,50,5203001,5}</v>
      </c>
      <c r="AG414" s="142" t="str">
        <f t="shared" si="154"/>
        <v>{progress,40,5303001,2}</v>
      </c>
      <c r="AH414" s="142" t="str">
        <f t="shared" si="155"/>
        <v>{progress,0,5401019,1}</v>
      </c>
      <c r="AI414" s="142"/>
      <c r="AJ414" s="142" t="str">
        <f t="shared" si="195"/>
        <v>{progress_rate_roll,100,1000,9,1}</v>
      </c>
      <c r="AN414" s="142" t="str">
        <f t="shared" si="143"/>
        <v>{progress,1,21363,1}</v>
      </c>
      <c r="AO414" s="142" t="str">
        <f t="shared" si="165"/>
        <v>{progress_rate_roll,100,5000,21363,1}</v>
      </c>
      <c r="AP414" s="142" t="str">
        <f t="shared" si="149"/>
        <v>[{progress_rate,2,138},{progress,0,2,344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14" s="142" t="str">
        <f t="shared" si="166"/>
        <v>[{progress_rate,2,138},{progress,0,2,344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14" s="142" t="str">
        <f t="shared" si="150"/>
        <v>[{progress_rate,2,138},{progress,0,2,344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14" s="142" t="str">
        <f t="shared" si="144"/>
        <v>[{progress_rate,2,138},{progress,0,2,344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14" s="142" t="str">
        <f t="shared" si="145"/>
        <v>{progress_rate,2,600},{progress_rate,11,1}</v>
      </c>
      <c r="AV414" s="142" t="str">
        <f t="shared" si="191"/>
        <v>{progress_rate,2,600}</v>
      </c>
      <c r="AW414" s="142" t="s">
        <v>175</v>
      </c>
    </row>
    <row r="415" spans="1:49">
      <c r="A415" s="143" t="str">
        <f t="shared" si="138"/>
        <v>[{2,484},{5103001,40},{14,60},{11,0},{5401000,0},{5203001,0},{5303001,0}]</v>
      </c>
      <c r="B415" s="98">
        <v>103</v>
      </c>
      <c r="C415" s="126">
        <v>138</v>
      </c>
      <c r="D415" s="126">
        <v>346</v>
      </c>
      <c r="E415" s="145">
        <v>15</v>
      </c>
      <c r="F415" s="145">
        <v>25</v>
      </c>
      <c r="G415" s="98">
        <v>3</v>
      </c>
      <c r="H415" s="98">
        <v>5</v>
      </c>
      <c r="I415" s="98">
        <v>0.5</v>
      </c>
      <c r="J415" s="98">
        <v>0</v>
      </c>
      <c r="K415" s="98">
        <v>5</v>
      </c>
      <c r="L415" s="98">
        <v>2</v>
      </c>
      <c r="M415" s="98">
        <v>1</v>
      </c>
      <c r="N415" s="98"/>
      <c r="O415" s="98">
        <v>0.1</v>
      </c>
      <c r="P415" s="98">
        <f t="shared" si="139"/>
        <v>144.2</v>
      </c>
      <c r="Q415" s="147">
        <f t="shared" si="140"/>
        <v>7.21</v>
      </c>
      <c r="R415" s="149">
        <v>600</v>
      </c>
      <c r="S415" s="132">
        <f t="shared" si="189"/>
        <v>69</v>
      </c>
      <c r="T415" s="132">
        <f t="shared" si="147"/>
        <v>276</v>
      </c>
      <c r="U415" s="80"/>
      <c r="V415" s="80">
        <v>21363</v>
      </c>
      <c r="W415" s="142">
        <f t="shared" si="141"/>
        <v>103</v>
      </c>
      <c r="X415" s="142" t="str">
        <f t="shared" ref="X415:AD415" si="197">IF(C$311="","{progress_rate,"&amp;C$308&amp;","&amp;C415&amp;"}",IF(C415&gt;=1,"{progress,"&amp;C$311*100&amp;","&amp;C$308&amp;","&amp;C415&amp;"}","{progress_rate_roll,"&amp;C$311*100&amp;","&amp;INT(C415*10000)&amp;","&amp;C$308&amp;","&amp;1&amp;"}"))</f>
        <v>{progress_rate,2,138}</v>
      </c>
      <c r="Y415" s="142" t="str">
        <f t="shared" si="197"/>
        <v>{progress,0,2,346}</v>
      </c>
      <c r="Z415" s="142" t="str">
        <f t="shared" si="197"/>
        <v>{progress,0,5103001,15}</v>
      </c>
      <c r="AA415" s="142" t="str">
        <f t="shared" si="197"/>
        <v>{progress,40,5103003,25}</v>
      </c>
      <c r="AB415" s="142" t="str">
        <f t="shared" si="197"/>
        <v>{progress,0,50025,3}</v>
      </c>
      <c r="AC415" s="142" t="str">
        <f t="shared" si="197"/>
        <v>{progress,50,50002,5}</v>
      </c>
      <c r="AD415" s="142" t="str">
        <f t="shared" si="197"/>
        <v>{progress_rate_roll,100,5000,11,1}</v>
      </c>
      <c r="AF415" s="142" t="str">
        <f t="shared" si="160"/>
        <v>{progress,50,5203001,5}</v>
      </c>
      <c r="AG415" s="142" t="str">
        <f t="shared" si="154"/>
        <v>{progress,40,5303001,2}</v>
      </c>
      <c r="AH415" s="142" t="str">
        <f t="shared" si="155"/>
        <v>{progress,0,5401019,1}</v>
      </c>
      <c r="AI415" s="142"/>
      <c r="AJ415" s="142" t="str">
        <f t="shared" si="195"/>
        <v>{progress_rate_roll,100,1000,9,1}</v>
      </c>
      <c r="AN415" s="142" t="str">
        <f t="shared" si="143"/>
        <v>{progress,1,21363,1}</v>
      </c>
      <c r="AO415" s="142" t="str">
        <f t="shared" si="165"/>
        <v>{progress_rate_roll,100,5000,21363,1}</v>
      </c>
      <c r="AP415" s="142" t="str">
        <f t="shared" si="149"/>
        <v>[{progress_rate,2,138},{progress,0,2,346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15" s="142" t="str">
        <f t="shared" si="166"/>
        <v>[{progress_rate,2,138},{progress,0,2,346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15" s="142" t="str">
        <f t="shared" si="150"/>
        <v>[{progress_rate,2,138},{progress,0,2,346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15" s="142" t="str">
        <f t="shared" si="144"/>
        <v>[{progress_rate,2,138},{progress,0,2,346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15" s="142" t="str">
        <f t="shared" si="145"/>
        <v>{progress_rate,2,600},{progress_rate,11,1}</v>
      </c>
      <c r="AV415" s="142" t="str">
        <f t="shared" si="191"/>
        <v>{progress_rate,2,600}</v>
      </c>
      <c r="AW415" s="142" t="s">
        <v>175</v>
      </c>
    </row>
    <row r="416" spans="1:49">
      <c r="A416" s="143" t="str">
        <f t="shared" si="138"/>
        <v>[{2,486},{5103001,40},{14,60},{11,0},{5401000,0},{5203001,0},{5303001,0}]</v>
      </c>
      <c r="B416" s="98">
        <v>104</v>
      </c>
      <c r="C416" s="126">
        <v>140</v>
      </c>
      <c r="D416" s="126">
        <v>346</v>
      </c>
      <c r="E416" s="145">
        <v>15</v>
      </c>
      <c r="F416" s="145">
        <v>25</v>
      </c>
      <c r="G416" s="98">
        <v>3</v>
      </c>
      <c r="H416" s="98">
        <v>5</v>
      </c>
      <c r="I416" s="98">
        <v>0.5</v>
      </c>
      <c r="J416" s="98">
        <v>0</v>
      </c>
      <c r="K416" s="98">
        <v>5</v>
      </c>
      <c r="L416" s="98">
        <v>2</v>
      </c>
      <c r="M416" s="98">
        <v>1</v>
      </c>
      <c r="N416" s="98"/>
      <c r="O416" s="98">
        <v>0.1</v>
      </c>
      <c r="P416" s="98">
        <f t="shared" si="139"/>
        <v>144.3</v>
      </c>
      <c r="Q416" s="147">
        <f t="shared" si="140"/>
        <v>7.215</v>
      </c>
      <c r="R416" s="149">
        <v>600</v>
      </c>
      <c r="S416" s="132">
        <f t="shared" si="189"/>
        <v>70</v>
      </c>
      <c r="T416" s="132">
        <f t="shared" si="147"/>
        <v>280</v>
      </c>
      <c r="U416" s="80"/>
      <c r="V416" s="80">
        <v>21363</v>
      </c>
      <c r="W416" s="142">
        <f t="shared" si="141"/>
        <v>104</v>
      </c>
      <c r="X416" s="142" t="str">
        <f t="shared" ref="X416:AD416" si="198">IF(C$311="","{progress_rate,"&amp;C$308&amp;","&amp;C416&amp;"}",IF(C416&gt;=1,"{progress,"&amp;C$311*100&amp;","&amp;C$308&amp;","&amp;C416&amp;"}","{progress_rate_roll,"&amp;C$311*100&amp;","&amp;INT(C416*10000)&amp;","&amp;C$308&amp;","&amp;1&amp;"}"))</f>
        <v>{progress_rate,2,140}</v>
      </c>
      <c r="Y416" s="142" t="str">
        <f t="shared" si="198"/>
        <v>{progress,0,2,346}</v>
      </c>
      <c r="Z416" s="142" t="str">
        <f t="shared" si="198"/>
        <v>{progress,0,5103001,15}</v>
      </c>
      <c r="AA416" s="142" t="str">
        <f t="shared" si="198"/>
        <v>{progress,40,5103003,25}</v>
      </c>
      <c r="AB416" s="142" t="str">
        <f t="shared" si="198"/>
        <v>{progress,0,50025,3}</v>
      </c>
      <c r="AC416" s="142" t="str">
        <f t="shared" si="198"/>
        <v>{progress,50,50002,5}</v>
      </c>
      <c r="AD416" s="142" t="str">
        <f t="shared" si="198"/>
        <v>{progress_rate_roll,100,5000,11,1}</v>
      </c>
      <c r="AF416" s="142" t="str">
        <f t="shared" si="160"/>
        <v>{progress,50,5203001,5}</v>
      </c>
      <c r="AG416" s="142" t="str">
        <f t="shared" si="154"/>
        <v>{progress,40,5303001,2}</v>
      </c>
      <c r="AH416" s="142" t="str">
        <f t="shared" si="155"/>
        <v>{progress,0,5401019,1}</v>
      </c>
      <c r="AI416" s="142"/>
      <c r="AJ416" s="142" t="str">
        <f t="shared" si="195"/>
        <v>{progress_rate_roll,100,1000,9,1}</v>
      </c>
      <c r="AN416" s="142" t="str">
        <f t="shared" si="143"/>
        <v>{progress,1,21363,1}</v>
      </c>
      <c r="AO416" s="142" t="str">
        <f t="shared" si="165"/>
        <v>{progress_rate_roll,100,5000,21363,1}</v>
      </c>
      <c r="AP416" s="142" t="str">
        <f t="shared" si="149"/>
        <v>[{progress_rate,2,140},{progress,0,2,346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16" s="142" t="str">
        <f t="shared" si="166"/>
        <v>[{progress_rate,2,140},{progress,0,2,346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16" s="142" t="str">
        <f t="shared" si="150"/>
        <v>[{progress_rate,2,140},{progress,0,2,346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16" s="142" t="str">
        <f t="shared" si="144"/>
        <v>[{progress_rate,2,140},{progress,0,2,346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16" s="142" t="str">
        <f t="shared" si="145"/>
        <v>{progress_rate,2,600},{progress_rate,11,1}</v>
      </c>
      <c r="AV416" s="142" t="str">
        <f t="shared" si="191"/>
        <v>{progress_rate,2,600}</v>
      </c>
      <c r="AW416" s="142" t="s">
        <v>175</v>
      </c>
    </row>
    <row r="417" spans="1:49">
      <c r="A417" s="143" t="str">
        <f t="shared" si="138"/>
        <v>[{2,488},{5103001,40},{14,60},{11,0},{5401000,0},{5203001,0},{5303001,0}]</v>
      </c>
      <c r="B417" s="98">
        <v>105</v>
      </c>
      <c r="C417" s="126">
        <v>140</v>
      </c>
      <c r="D417" s="126">
        <v>348</v>
      </c>
      <c r="E417" s="145">
        <v>15</v>
      </c>
      <c r="F417" s="145">
        <v>25</v>
      </c>
      <c r="G417" s="98">
        <v>3</v>
      </c>
      <c r="H417" s="98">
        <v>5</v>
      </c>
      <c r="I417" s="98">
        <v>0.5</v>
      </c>
      <c r="J417" s="98">
        <v>0</v>
      </c>
      <c r="K417" s="98">
        <v>5</v>
      </c>
      <c r="L417" s="98">
        <v>2</v>
      </c>
      <c r="M417" s="98">
        <v>1</v>
      </c>
      <c r="N417" s="98"/>
      <c r="O417" s="98">
        <v>0.1</v>
      </c>
      <c r="P417" s="98">
        <f t="shared" si="139"/>
        <v>144.4</v>
      </c>
      <c r="Q417" s="147">
        <f t="shared" si="140"/>
        <v>7.22</v>
      </c>
      <c r="R417" s="149">
        <v>600</v>
      </c>
      <c r="S417" s="132">
        <f t="shared" si="189"/>
        <v>70</v>
      </c>
      <c r="T417" s="132">
        <f t="shared" si="147"/>
        <v>280</v>
      </c>
      <c r="U417" s="80"/>
      <c r="V417" s="80">
        <v>21363</v>
      </c>
      <c r="W417" s="142">
        <f t="shared" si="141"/>
        <v>105</v>
      </c>
      <c r="X417" s="142" t="str">
        <f t="shared" ref="X417:AD417" si="199">IF(C$311="","{progress_rate,"&amp;C$308&amp;","&amp;C417&amp;"}",IF(C417&gt;=1,"{progress,"&amp;C$311*100&amp;","&amp;C$308&amp;","&amp;C417&amp;"}","{progress_rate_roll,"&amp;C$311*100&amp;","&amp;INT(C417*10000)&amp;","&amp;C$308&amp;","&amp;1&amp;"}"))</f>
        <v>{progress_rate,2,140}</v>
      </c>
      <c r="Y417" s="142" t="str">
        <f t="shared" si="199"/>
        <v>{progress,0,2,348}</v>
      </c>
      <c r="Z417" s="142" t="str">
        <f t="shared" si="199"/>
        <v>{progress,0,5103001,15}</v>
      </c>
      <c r="AA417" s="142" t="str">
        <f t="shared" si="199"/>
        <v>{progress,40,5103003,25}</v>
      </c>
      <c r="AB417" s="142" t="str">
        <f t="shared" si="199"/>
        <v>{progress,0,50025,3}</v>
      </c>
      <c r="AC417" s="142" t="str">
        <f t="shared" si="199"/>
        <v>{progress,50,50002,5}</v>
      </c>
      <c r="AD417" s="142" t="str">
        <f t="shared" si="199"/>
        <v>{progress_rate_roll,100,5000,11,1}</v>
      </c>
      <c r="AF417" s="142" t="str">
        <f t="shared" si="160"/>
        <v>{progress,50,5203001,5}</v>
      </c>
      <c r="AG417" s="142" t="str">
        <f t="shared" si="154"/>
        <v>{progress,40,5303001,2}</v>
      </c>
      <c r="AH417" s="142" t="str">
        <f t="shared" si="155"/>
        <v>{progress,0,5401019,1}</v>
      </c>
      <c r="AI417" s="142"/>
      <c r="AJ417" s="142" t="str">
        <f t="shared" si="195"/>
        <v>{progress_rate_roll,100,1000,9,1}</v>
      </c>
      <c r="AN417" s="142" t="str">
        <f t="shared" si="143"/>
        <v>{progress,1,21363,1}</v>
      </c>
      <c r="AO417" s="142" t="str">
        <f t="shared" si="165"/>
        <v>{progress_rate_roll,100,5000,21363,1}</v>
      </c>
      <c r="AP417" s="142" t="str">
        <f t="shared" si="149"/>
        <v>[{progress_rate,2,140},{progress,0,2,348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17" s="142" t="str">
        <f t="shared" si="166"/>
        <v>[{progress_rate,2,140},{progress,0,2,348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17" s="142" t="str">
        <f t="shared" si="150"/>
        <v>[{progress_rate,2,140},{progress,0,2,348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17" s="142" t="str">
        <f t="shared" si="144"/>
        <v>[{progress_rate,2,140},{progress,0,2,348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17" s="142" t="str">
        <f t="shared" si="145"/>
        <v>{progress_rate,2,600},{progress_rate,11,1}</v>
      </c>
      <c r="AV417" s="142" t="str">
        <f t="shared" si="191"/>
        <v>{progress_rate,2,600}</v>
      </c>
      <c r="AW417" s="142" t="s">
        <v>175</v>
      </c>
    </row>
    <row r="418" spans="1:49">
      <c r="A418" s="143" t="str">
        <f t="shared" si="138"/>
        <v>[{2,490},{5103001,40},{14,60},{11,0},{5401000,0},{5203001,0},{5303001,0}]</v>
      </c>
      <c r="B418" s="98">
        <v>106</v>
      </c>
      <c r="C418" s="126">
        <v>140</v>
      </c>
      <c r="D418" s="126">
        <v>350</v>
      </c>
      <c r="E418" s="145">
        <v>15</v>
      </c>
      <c r="F418" s="145">
        <v>25</v>
      </c>
      <c r="G418" s="98">
        <v>3</v>
      </c>
      <c r="H418" s="98">
        <v>5</v>
      </c>
      <c r="I418" s="98">
        <v>0.5</v>
      </c>
      <c r="J418" s="98">
        <v>0</v>
      </c>
      <c r="K418" s="98">
        <v>5</v>
      </c>
      <c r="L418" s="98">
        <v>2</v>
      </c>
      <c r="M418" s="98">
        <v>1</v>
      </c>
      <c r="N418" s="98"/>
      <c r="O418" s="98">
        <v>0.1</v>
      </c>
      <c r="P418" s="98">
        <f t="shared" si="139"/>
        <v>144.5</v>
      </c>
      <c r="Q418" s="147">
        <f t="shared" si="140"/>
        <v>7.225</v>
      </c>
      <c r="R418" s="149">
        <v>600</v>
      </c>
      <c r="S418" s="132">
        <f t="shared" si="189"/>
        <v>70</v>
      </c>
      <c r="T418" s="132">
        <f t="shared" si="147"/>
        <v>280</v>
      </c>
      <c r="U418" s="80"/>
      <c r="V418" s="80">
        <v>21363</v>
      </c>
      <c r="W418" s="142">
        <f t="shared" si="141"/>
        <v>106</v>
      </c>
      <c r="X418" s="142" t="str">
        <f t="shared" ref="X418:AD418" si="200">IF(C$311="","{progress_rate,"&amp;C$308&amp;","&amp;C418&amp;"}",IF(C418&gt;=1,"{progress,"&amp;C$311*100&amp;","&amp;C$308&amp;","&amp;C418&amp;"}","{progress_rate_roll,"&amp;C$311*100&amp;","&amp;INT(C418*10000)&amp;","&amp;C$308&amp;","&amp;1&amp;"}"))</f>
        <v>{progress_rate,2,140}</v>
      </c>
      <c r="Y418" s="142" t="str">
        <f t="shared" si="200"/>
        <v>{progress,0,2,350}</v>
      </c>
      <c r="Z418" s="142" t="str">
        <f t="shared" si="200"/>
        <v>{progress,0,5103001,15}</v>
      </c>
      <c r="AA418" s="142" t="str">
        <f t="shared" si="200"/>
        <v>{progress,40,5103003,25}</v>
      </c>
      <c r="AB418" s="142" t="str">
        <f t="shared" si="200"/>
        <v>{progress,0,50025,3}</v>
      </c>
      <c r="AC418" s="142" t="str">
        <f t="shared" si="200"/>
        <v>{progress,50,50002,5}</v>
      </c>
      <c r="AD418" s="142" t="str">
        <f t="shared" si="200"/>
        <v>{progress_rate_roll,100,5000,11,1}</v>
      </c>
      <c r="AF418" s="142" t="str">
        <f t="shared" si="160"/>
        <v>{progress,50,5203001,5}</v>
      </c>
      <c r="AG418" s="142" t="str">
        <f t="shared" si="154"/>
        <v>{progress,40,5303001,2}</v>
      </c>
      <c r="AH418" s="142" t="str">
        <f t="shared" si="155"/>
        <v>{progress,0,5401019,1}</v>
      </c>
      <c r="AI418" s="142"/>
      <c r="AJ418" s="142" t="str">
        <f t="shared" si="195"/>
        <v>{progress_rate_roll,100,1000,9,1}</v>
      </c>
      <c r="AN418" s="142" t="str">
        <f t="shared" si="143"/>
        <v>{progress,1,21363,1}</v>
      </c>
      <c r="AO418" s="142" t="str">
        <f t="shared" si="165"/>
        <v>{progress_rate_roll,100,5000,21363,1}</v>
      </c>
      <c r="AP418" s="142" t="str">
        <f t="shared" si="149"/>
        <v>[{progress_rate,2,140},{progress,0,2,350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18" s="142" t="str">
        <f t="shared" si="166"/>
        <v>[{progress_rate,2,140},{progress,0,2,350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18" s="142" t="str">
        <f t="shared" si="150"/>
        <v>[{progress_rate,2,140},{progress,0,2,350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18" s="142" t="str">
        <f t="shared" si="144"/>
        <v>[{progress_rate,2,140},{progress,0,2,350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18" s="142" t="str">
        <f t="shared" si="145"/>
        <v>{progress_rate,2,600},{progress_rate,11,1}</v>
      </c>
      <c r="AV418" s="142" t="str">
        <f t="shared" si="191"/>
        <v>{progress_rate,2,600}</v>
      </c>
      <c r="AW418" s="142" t="s">
        <v>175</v>
      </c>
    </row>
    <row r="419" spans="1:49">
      <c r="A419" s="143" t="str">
        <f t="shared" si="138"/>
        <v>[{2,492},{5103001,40},{14,60},{11,0},{5401000,0},{5203001,0},{5303001,0}]</v>
      </c>
      <c r="B419" s="98">
        <v>107</v>
      </c>
      <c r="C419" s="126">
        <v>142</v>
      </c>
      <c r="D419" s="126">
        <v>350</v>
      </c>
      <c r="E419" s="145">
        <v>15</v>
      </c>
      <c r="F419" s="145">
        <v>25</v>
      </c>
      <c r="G419" s="98">
        <v>3</v>
      </c>
      <c r="H419" s="98">
        <v>5</v>
      </c>
      <c r="I419" s="98">
        <v>0.5</v>
      </c>
      <c r="J419" s="98">
        <v>0</v>
      </c>
      <c r="K419" s="98">
        <v>5</v>
      </c>
      <c r="L419" s="98">
        <v>2</v>
      </c>
      <c r="M419" s="98">
        <v>1</v>
      </c>
      <c r="N419" s="98"/>
      <c r="O419" s="98">
        <v>0.1</v>
      </c>
      <c r="P419" s="98">
        <f t="shared" si="139"/>
        <v>144.6</v>
      </c>
      <c r="Q419" s="147">
        <f t="shared" si="140"/>
        <v>7.23</v>
      </c>
      <c r="R419" s="149">
        <v>600</v>
      </c>
      <c r="S419" s="132">
        <f t="shared" si="189"/>
        <v>71</v>
      </c>
      <c r="T419" s="132">
        <f t="shared" si="147"/>
        <v>284</v>
      </c>
      <c r="U419" s="80"/>
      <c r="V419" s="80">
        <v>21363</v>
      </c>
      <c r="W419" s="142">
        <f t="shared" si="141"/>
        <v>107</v>
      </c>
      <c r="X419" s="142" t="str">
        <f t="shared" ref="X419:AD419" si="201">IF(C$311="","{progress_rate,"&amp;C$308&amp;","&amp;C419&amp;"}",IF(C419&gt;=1,"{progress,"&amp;C$311*100&amp;","&amp;C$308&amp;","&amp;C419&amp;"}","{progress_rate_roll,"&amp;C$311*100&amp;","&amp;INT(C419*10000)&amp;","&amp;C$308&amp;","&amp;1&amp;"}"))</f>
        <v>{progress_rate,2,142}</v>
      </c>
      <c r="Y419" s="142" t="str">
        <f t="shared" si="201"/>
        <v>{progress,0,2,350}</v>
      </c>
      <c r="Z419" s="142" t="str">
        <f t="shared" si="201"/>
        <v>{progress,0,5103001,15}</v>
      </c>
      <c r="AA419" s="142" t="str">
        <f t="shared" si="201"/>
        <v>{progress,40,5103003,25}</v>
      </c>
      <c r="AB419" s="142" t="str">
        <f t="shared" si="201"/>
        <v>{progress,0,50025,3}</v>
      </c>
      <c r="AC419" s="142" t="str">
        <f t="shared" si="201"/>
        <v>{progress,50,50002,5}</v>
      </c>
      <c r="AD419" s="142" t="str">
        <f t="shared" si="201"/>
        <v>{progress_rate_roll,100,5000,11,1}</v>
      </c>
      <c r="AF419" s="142" t="str">
        <f t="shared" si="160"/>
        <v>{progress,50,5203001,5}</v>
      </c>
      <c r="AG419" s="142" t="str">
        <f t="shared" si="154"/>
        <v>{progress,40,5303001,2}</v>
      </c>
      <c r="AH419" s="142" t="str">
        <f t="shared" si="155"/>
        <v>{progress,0,5401019,1}</v>
      </c>
      <c r="AI419" s="142"/>
      <c r="AJ419" s="142" t="str">
        <f t="shared" si="195"/>
        <v>{progress_rate_roll,100,1000,9,1}</v>
      </c>
      <c r="AN419" s="142" t="str">
        <f t="shared" si="143"/>
        <v>{progress,1,21363,1}</v>
      </c>
      <c r="AO419" s="142" t="str">
        <f t="shared" si="165"/>
        <v>{progress_rate_roll,100,5000,21363,1}</v>
      </c>
      <c r="AP419" s="142" t="str">
        <f t="shared" si="149"/>
        <v>[{progress_rate,2,142},{progress,0,2,350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19" s="142" t="str">
        <f t="shared" si="166"/>
        <v>[{progress_rate,2,142},{progress,0,2,350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19" s="142" t="str">
        <f t="shared" si="150"/>
        <v>[{progress_rate,2,142},{progress,0,2,350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19" s="142" t="str">
        <f t="shared" si="144"/>
        <v>[{progress_rate,2,142},{progress,0,2,350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19" s="142" t="str">
        <f t="shared" si="145"/>
        <v>{progress_rate,2,600},{progress_rate,11,1}</v>
      </c>
      <c r="AV419" s="142" t="str">
        <f t="shared" si="191"/>
        <v>{progress_rate,2,600}</v>
      </c>
      <c r="AW419" s="142" t="s">
        <v>175</v>
      </c>
    </row>
    <row r="420" spans="1:49">
      <c r="A420" s="143" t="str">
        <f t="shared" si="138"/>
        <v>[{2,494},{5103001,40},{14,60},{11,0},{5401000,0},{5203001,0},{5303001,0}]</v>
      </c>
      <c r="B420" s="98">
        <v>108</v>
      </c>
      <c r="C420" s="126">
        <v>142</v>
      </c>
      <c r="D420" s="126">
        <v>352</v>
      </c>
      <c r="E420" s="145">
        <v>15</v>
      </c>
      <c r="F420" s="145">
        <v>25</v>
      </c>
      <c r="G420" s="98">
        <v>3</v>
      </c>
      <c r="H420" s="98">
        <v>5</v>
      </c>
      <c r="I420" s="98">
        <v>0.5</v>
      </c>
      <c r="J420" s="98">
        <v>0</v>
      </c>
      <c r="K420" s="98">
        <v>5</v>
      </c>
      <c r="L420" s="98">
        <v>2</v>
      </c>
      <c r="M420" s="98">
        <v>1</v>
      </c>
      <c r="N420" s="98"/>
      <c r="O420" s="98">
        <v>0.1</v>
      </c>
      <c r="P420" s="98">
        <f t="shared" si="139"/>
        <v>144.7</v>
      </c>
      <c r="Q420" s="147">
        <f t="shared" si="140"/>
        <v>7.235</v>
      </c>
      <c r="R420" s="149">
        <v>600</v>
      </c>
      <c r="S420" s="132">
        <f t="shared" si="189"/>
        <v>71</v>
      </c>
      <c r="T420" s="132">
        <f t="shared" si="147"/>
        <v>284</v>
      </c>
      <c r="U420" s="80"/>
      <c r="V420" s="80">
        <v>21363</v>
      </c>
      <c r="W420" s="142">
        <f t="shared" si="141"/>
        <v>108</v>
      </c>
      <c r="X420" s="142" t="str">
        <f t="shared" ref="X420:AD420" si="202">IF(C$311="","{progress_rate,"&amp;C$308&amp;","&amp;C420&amp;"}",IF(C420&gt;=1,"{progress,"&amp;C$311*100&amp;","&amp;C$308&amp;","&amp;C420&amp;"}","{progress_rate_roll,"&amp;C$311*100&amp;","&amp;INT(C420*10000)&amp;","&amp;C$308&amp;","&amp;1&amp;"}"))</f>
        <v>{progress_rate,2,142}</v>
      </c>
      <c r="Y420" s="142" t="str">
        <f t="shared" si="202"/>
        <v>{progress,0,2,352}</v>
      </c>
      <c r="Z420" s="142" t="str">
        <f t="shared" si="202"/>
        <v>{progress,0,5103001,15}</v>
      </c>
      <c r="AA420" s="142" t="str">
        <f t="shared" si="202"/>
        <v>{progress,40,5103003,25}</v>
      </c>
      <c r="AB420" s="142" t="str">
        <f t="shared" si="202"/>
        <v>{progress,0,50025,3}</v>
      </c>
      <c r="AC420" s="142" t="str">
        <f t="shared" si="202"/>
        <v>{progress,50,50002,5}</v>
      </c>
      <c r="AD420" s="142" t="str">
        <f t="shared" si="202"/>
        <v>{progress_rate_roll,100,5000,11,1}</v>
      </c>
      <c r="AF420" s="142" t="str">
        <f t="shared" si="160"/>
        <v>{progress,50,5203001,5}</v>
      </c>
      <c r="AG420" s="142" t="str">
        <f t="shared" si="154"/>
        <v>{progress,40,5303001,2}</v>
      </c>
      <c r="AH420" s="142" t="str">
        <f t="shared" si="155"/>
        <v>{progress,0,5401019,1}</v>
      </c>
      <c r="AI420" s="142"/>
      <c r="AJ420" s="142" t="str">
        <f t="shared" si="195"/>
        <v>{progress_rate_roll,100,1000,9,1}</v>
      </c>
      <c r="AN420" s="142" t="str">
        <f t="shared" si="143"/>
        <v>{progress,1,21363,1}</v>
      </c>
      <c r="AO420" s="142" t="str">
        <f t="shared" si="165"/>
        <v>{progress_rate_roll,100,5000,21363,1}</v>
      </c>
      <c r="AP420" s="142" t="str">
        <f t="shared" si="149"/>
        <v>[{progress_rate,2,142},{progress,0,2,352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20" s="142" t="str">
        <f t="shared" si="166"/>
        <v>[{progress_rate,2,142},{progress,0,2,352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20" s="142" t="str">
        <f t="shared" si="150"/>
        <v>[{progress_rate,2,142},{progress,0,2,352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20" s="142" t="str">
        <f t="shared" si="144"/>
        <v>[{progress_rate,2,142},{progress,0,2,352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20" s="142" t="str">
        <f t="shared" si="145"/>
        <v>{progress_rate,2,600},{progress_rate,11,1}</v>
      </c>
      <c r="AV420" s="142" t="str">
        <f t="shared" si="191"/>
        <v>{progress_rate,2,600}</v>
      </c>
      <c r="AW420" s="142" t="s">
        <v>175</v>
      </c>
    </row>
    <row r="421" spans="1:49">
      <c r="A421" s="143" t="str">
        <f t="shared" si="138"/>
        <v>[{2,496},{5103001,40},{14,60},{11,0},{5401000,0},{5203001,0},{5303001,0}]</v>
      </c>
      <c r="B421" s="98">
        <v>109</v>
      </c>
      <c r="C421" s="126">
        <v>142</v>
      </c>
      <c r="D421" s="126">
        <v>354</v>
      </c>
      <c r="E421" s="145">
        <v>15</v>
      </c>
      <c r="F421" s="145">
        <v>25</v>
      </c>
      <c r="G421" s="98">
        <v>3</v>
      </c>
      <c r="H421" s="98">
        <v>5</v>
      </c>
      <c r="I421" s="98">
        <v>0.5</v>
      </c>
      <c r="J421" s="98">
        <v>0</v>
      </c>
      <c r="K421" s="98">
        <v>5</v>
      </c>
      <c r="L421" s="98">
        <v>2</v>
      </c>
      <c r="M421" s="98">
        <v>1</v>
      </c>
      <c r="N421" s="98"/>
      <c r="O421" s="98">
        <v>0.1</v>
      </c>
      <c r="P421" s="98">
        <f t="shared" si="139"/>
        <v>144.8</v>
      </c>
      <c r="Q421" s="147">
        <f t="shared" si="140"/>
        <v>7.24</v>
      </c>
      <c r="R421" s="149">
        <v>600</v>
      </c>
      <c r="S421" s="132">
        <f t="shared" si="189"/>
        <v>71</v>
      </c>
      <c r="T421" s="132">
        <f t="shared" si="147"/>
        <v>284</v>
      </c>
      <c r="U421" s="80"/>
      <c r="V421" s="80">
        <v>21363</v>
      </c>
      <c r="W421" s="142">
        <f t="shared" si="141"/>
        <v>109</v>
      </c>
      <c r="X421" s="142" t="str">
        <f t="shared" ref="X421:AD421" si="203">IF(C$311="","{progress_rate,"&amp;C$308&amp;","&amp;C421&amp;"}",IF(C421&gt;=1,"{progress,"&amp;C$311*100&amp;","&amp;C$308&amp;","&amp;C421&amp;"}","{progress_rate_roll,"&amp;C$311*100&amp;","&amp;INT(C421*10000)&amp;","&amp;C$308&amp;","&amp;1&amp;"}"))</f>
        <v>{progress_rate,2,142}</v>
      </c>
      <c r="Y421" s="142" t="str">
        <f t="shared" si="203"/>
        <v>{progress,0,2,354}</v>
      </c>
      <c r="Z421" s="142" t="str">
        <f t="shared" si="203"/>
        <v>{progress,0,5103001,15}</v>
      </c>
      <c r="AA421" s="142" t="str">
        <f t="shared" si="203"/>
        <v>{progress,40,5103003,25}</v>
      </c>
      <c r="AB421" s="142" t="str">
        <f t="shared" si="203"/>
        <v>{progress,0,50025,3}</v>
      </c>
      <c r="AC421" s="142" t="str">
        <f t="shared" si="203"/>
        <v>{progress,50,50002,5}</v>
      </c>
      <c r="AD421" s="142" t="str">
        <f t="shared" si="203"/>
        <v>{progress_rate_roll,100,5000,11,1}</v>
      </c>
      <c r="AF421" s="142" t="str">
        <f t="shared" si="160"/>
        <v>{progress,50,5203001,5}</v>
      </c>
      <c r="AG421" s="142" t="str">
        <f t="shared" si="154"/>
        <v>{progress,40,5303001,2}</v>
      </c>
      <c r="AH421" s="142" t="str">
        <f t="shared" si="155"/>
        <v>{progress,0,5401019,1}</v>
      </c>
      <c r="AI421" s="142"/>
      <c r="AJ421" s="142" t="str">
        <f t="shared" si="195"/>
        <v>{progress_rate_roll,100,1000,9,1}</v>
      </c>
      <c r="AN421" s="142" t="str">
        <f t="shared" si="143"/>
        <v>{progress,1,21363,1}</v>
      </c>
      <c r="AO421" s="142" t="str">
        <f t="shared" si="165"/>
        <v>{progress_rate_roll,100,5000,21363,1}</v>
      </c>
      <c r="AP421" s="142" t="str">
        <f t="shared" si="149"/>
        <v>[{progress_rate,2,142},{progress,0,2,354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21" s="142" t="str">
        <f t="shared" si="166"/>
        <v>[{progress_rate,2,142},{progress,0,2,354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21" s="142" t="str">
        <f t="shared" si="150"/>
        <v>[{progress_rate,2,142},{progress,0,2,354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21" s="142" t="str">
        <f t="shared" si="144"/>
        <v>[{progress_rate,2,142},{progress,0,2,354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21" s="142" t="str">
        <f t="shared" si="145"/>
        <v>{progress_rate,2,600},{progress_rate,11,1}</v>
      </c>
      <c r="AV421" s="142" t="str">
        <f t="shared" si="191"/>
        <v>{progress_rate,2,600}</v>
      </c>
      <c r="AW421" s="142" t="s">
        <v>175</v>
      </c>
    </row>
    <row r="422" spans="1:49">
      <c r="A422" s="143" t="str">
        <f t="shared" si="138"/>
        <v>[{2,498},{5103001,40},{14,60},{11,0},{5401000,0},{5203001,0},{5303001,0}]</v>
      </c>
      <c r="B422" s="98">
        <v>110</v>
      </c>
      <c r="C422" s="126">
        <v>142</v>
      </c>
      <c r="D422" s="126">
        <v>356</v>
      </c>
      <c r="E422" s="145">
        <v>15</v>
      </c>
      <c r="F422" s="145">
        <v>25</v>
      </c>
      <c r="G422" s="98">
        <v>3</v>
      </c>
      <c r="H422" s="98">
        <v>5</v>
      </c>
      <c r="I422" s="98">
        <v>0.5</v>
      </c>
      <c r="J422" s="98">
        <v>0</v>
      </c>
      <c r="K422" s="98">
        <v>5</v>
      </c>
      <c r="L422" s="98">
        <v>2</v>
      </c>
      <c r="M422" s="98">
        <v>1</v>
      </c>
      <c r="N422" s="98"/>
      <c r="O422" s="98">
        <v>0.1</v>
      </c>
      <c r="P422" s="98">
        <f t="shared" si="139"/>
        <v>144.9</v>
      </c>
      <c r="Q422" s="147">
        <f t="shared" si="140"/>
        <v>7.245</v>
      </c>
      <c r="R422" s="149">
        <v>600</v>
      </c>
      <c r="S422" s="132">
        <f t="shared" si="189"/>
        <v>71</v>
      </c>
      <c r="T422" s="132">
        <f t="shared" si="147"/>
        <v>284</v>
      </c>
      <c r="U422" s="80"/>
      <c r="V422" s="80">
        <v>21363</v>
      </c>
      <c r="W422" s="142">
        <f t="shared" si="141"/>
        <v>110</v>
      </c>
      <c r="X422" s="142" t="str">
        <f t="shared" ref="X422:AD422" si="204">IF(C$311="","{progress_rate,"&amp;C$308&amp;","&amp;C422&amp;"}",IF(C422&gt;=1,"{progress,"&amp;C$311*100&amp;","&amp;C$308&amp;","&amp;C422&amp;"}","{progress_rate_roll,"&amp;C$311*100&amp;","&amp;INT(C422*10000)&amp;","&amp;C$308&amp;","&amp;1&amp;"}"))</f>
        <v>{progress_rate,2,142}</v>
      </c>
      <c r="Y422" s="142" t="str">
        <f t="shared" si="204"/>
        <v>{progress,0,2,356}</v>
      </c>
      <c r="Z422" s="142" t="str">
        <f t="shared" si="204"/>
        <v>{progress,0,5103001,15}</v>
      </c>
      <c r="AA422" s="142" t="str">
        <f t="shared" si="204"/>
        <v>{progress,40,5103003,25}</v>
      </c>
      <c r="AB422" s="142" t="str">
        <f t="shared" si="204"/>
        <v>{progress,0,50025,3}</v>
      </c>
      <c r="AC422" s="142" t="str">
        <f t="shared" si="204"/>
        <v>{progress,50,50002,5}</v>
      </c>
      <c r="AD422" s="142" t="str">
        <f t="shared" si="204"/>
        <v>{progress_rate_roll,100,5000,11,1}</v>
      </c>
      <c r="AF422" s="142" t="str">
        <f t="shared" si="160"/>
        <v>{progress,50,5203001,5}</v>
      </c>
      <c r="AG422" s="142" t="str">
        <f t="shared" si="154"/>
        <v>{progress,40,5303001,2}</v>
      </c>
      <c r="AH422" s="142" t="str">
        <f t="shared" si="155"/>
        <v>{progress,0,5401019,1}</v>
      </c>
      <c r="AI422" s="142"/>
      <c r="AJ422" s="142" t="str">
        <f t="shared" si="195"/>
        <v>{progress_rate_roll,100,1000,9,1}</v>
      </c>
      <c r="AN422" s="142" t="str">
        <f t="shared" si="143"/>
        <v>{progress,1,21363,1}</v>
      </c>
      <c r="AO422" s="142" t="str">
        <f t="shared" si="165"/>
        <v>{progress_rate_roll,100,5000,21363,1}</v>
      </c>
      <c r="AP422" s="142" t="str">
        <f t="shared" si="149"/>
        <v>[{progress_rate,2,142},{progress,0,2,356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22" s="142" t="str">
        <f t="shared" si="166"/>
        <v>[{progress_rate,2,142},{progress,0,2,356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22" s="142" t="str">
        <f t="shared" si="150"/>
        <v>[{progress_rate,2,142},{progress,0,2,356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22" s="142" t="str">
        <f t="shared" si="144"/>
        <v>[{progress_rate,2,142},{progress,0,2,356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22" s="142" t="str">
        <f t="shared" si="145"/>
        <v>{progress_rate,2,600},{progress_rate,11,1}</v>
      </c>
      <c r="AV422" s="142" t="str">
        <f t="shared" si="191"/>
        <v>{progress_rate,2,600}</v>
      </c>
      <c r="AW422" s="142" t="s">
        <v>175</v>
      </c>
    </row>
    <row r="423" spans="1:49">
      <c r="A423" s="143" t="str">
        <f t="shared" si="138"/>
        <v>[{2,500},{5103001,40},{14,60},{11,0},{5401000,0},{5203001,0},{5303001,0}]</v>
      </c>
      <c r="B423" s="98">
        <v>111</v>
      </c>
      <c r="C423" s="126">
        <v>144</v>
      </c>
      <c r="D423" s="126">
        <v>356</v>
      </c>
      <c r="E423" s="145">
        <v>15</v>
      </c>
      <c r="F423" s="145">
        <v>25</v>
      </c>
      <c r="G423" s="98">
        <v>3</v>
      </c>
      <c r="H423" s="98">
        <v>5</v>
      </c>
      <c r="I423" s="98">
        <v>0.5</v>
      </c>
      <c r="J423" s="98">
        <v>0</v>
      </c>
      <c r="K423" s="98">
        <v>5</v>
      </c>
      <c r="L423" s="98">
        <v>2</v>
      </c>
      <c r="M423" s="98">
        <v>1</v>
      </c>
      <c r="N423" s="98"/>
      <c r="O423" s="98">
        <v>0.1</v>
      </c>
      <c r="P423" s="98">
        <f t="shared" si="139"/>
        <v>145</v>
      </c>
      <c r="Q423" s="147">
        <f t="shared" si="140"/>
        <v>7.25</v>
      </c>
      <c r="R423" s="149">
        <v>600</v>
      </c>
      <c r="S423" s="132">
        <f t="shared" si="189"/>
        <v>72</v>
      </c>
      <c r="T423" s="132">
        <f t="shared" si="147"/>
        <v>288</v>
      </c>
      <c r="U423" s="80"/>
      <c r="V423" s="80">
        <v>21363</v>
      </c>
      <c r="W423" s="142">
        <f t="shared" si="141"/>
        <v>111</v>
      </c>
      <c r="X423" s="142" t="str">
        <f t="shared" ref="X423:AD423" si="205">IF(C$311="","{progress_rate,"&amp;C$308&amp;","&amp;C423&amp;"}",IF(C423&gt;=1,"{progress,"&amp;C$311*100&amp;","&amp;C$308&amp;","&amp;C423&amp;"}","{progress_rate_roll,"&amp;C$311*100&amp;","&amp;INT(C423*10000)&amp;","&amp;C$308&amp;","&amp;1&amp;"}"))</f>
        <v>{progress_rate,2,144}</v>
      </c>
      <c r="Y423" s="142" t="str">
        <f t="shared" si="205"/>
        <v>{progress,0,2,356}</v>
      </c>
      <c r="Z423" s="142" t="str">
        <f t="shared" si="205"/>
        <v>{progress,0,5103001,15}</v>
      </c>
      <c r="AA423" s="142" t="str">
        <f t="shared" si="205"/>
        <v>{progress,40,5103003,25}</v>
      </c>
      <c r="AB423" s="142" t="str">
        <f t="shared" si="205"/>
        <v>{progress,0,50025,3}</v>
      </c>
      <c r="AC423" s="142" t="str">
        <f t="shared" si="205"/>
        <v>{progress,50,50002,5}</v>
      </c>
      <c r="AD423" s="142" t="str">
        <f t="shared" si="205"/>
        <v>{progress_rate_roll,100,5000,11,1}</v>
      </c>
      <c r="AF423" s="142" t="str">
        <f t="shared" si="160"/>
        <v>{progress,50,5203001,5}</v>
      </c>
      <c r="AG423" s="142" t="str">
        <f t="shared" si="154"/>
        <v>{progress,40,5303001,2}</v>
      </c>
      <c r="AH423" s="142" t="str">
        <f t="shared" si="155"/>
        <v>{progress,0,5401019,1}</v>
      </c>
      <c r="AI423" s="142"/>
      <c r="AJ423" s="142" t="str">
        <f t="shared" si="195"/>
        <v>{progress_rate_roll,100,1000,9,1}</v>
      </c>
      <c r="AN423" s="142" t="str">
        <f t="shared" si="143"/>
        <v>{progress,1,21363,1}</v>
      </c>
      <c r="AO423" s="142" t="str">
        <f t="shared" si="165"/>
        <v>{progress_rate_roll,100,5000,21363,1}</v>
      </c>
      <c r="AP423" s="142" t="str">
        <f t="shared" si="149"/>
        <v>[{progress_rate,2,144},{progress,0,2,356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23" s="142" t="str">
        <f t="shared" si="166"/>
        <v>[{progress_rate,2,144},{progress,0,2,356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23" s="142" t="str">
        <f t="shared" si="150"/>
        <v>[{progress_rate,2,144},{progress,0,2,356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23" s="142" t="str">
        <f t="shared" si="144"/>
        <v>[{progress_rate,2,144},{progress,0,2,356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23" s="142" t="str">
        <f t="shared" si="145"/>
        <v>{progress_rate,2,600},{progress_rate,11,1}</v>
      </c>
      <c r="AV423" s="142" t="str">
        <f t="shared" si="191"/>
        <v>{progress_rate,2,600}</v>
      </c>
      <c r="AW423" s="142" t="s">
        <v>175</v>
      </c>
    </row>
    <row r="424" spans="1:49">
      <c r="A424" s="143" t="str">
        <f t="shared" si="138"/>
        <v>[{2,502},{5103001,40},{14,60},{11,0},{5401000,0},{5203001,0},{5303001,0}]</v>
      </c>
      <c r="B424" s="98">
        <v>112</v>
      </c>
      <c r="C424" s="126">
        <v>144</v>
      </c>
      <c r="D424" s="126">
        <v>358</v>
      </c>
      <c r="E424" s="145">
        <v>15</v>
      </c>
      <c r="F424" s="145">
        <v>25</v>
      </c>
      <c r="G424" s="98">
        <v>3</v>
      </c>
      <c r="H424" s="98">
        <v>5</v>
      </c>
      <c r="I424" s="98">
        <v>0.5</v>
      </c>
      <c r="J424" s="98">
        <v>0</v>
      </c>
      <c r="K424" s="98">
        <v>5</v>
      </c>
      <c r="L424" s="98">
        <v>2</v>
      </c>
      <c r="M424" s="98">
        <v>1</v>
      </c>
      <c r="N424" s="98"/>
      <c r="O424" s="98">
        <v>0.1</v>
      </c>
      <c r="P424" s="98">
        <f t="shared" si="139"/>
        <v>145.1</v>
      </c>
      <c r="Q424" s="147">
        <f t="shared" si="140"/>
        <v>7.255</v>
      </c>
      <c r="R424" s="149">
        <v>600</v>
      </c>
      <c r="S424" s="132">
        <f t="shared" si="189"/>
        <v>72</v>
      </c>
      <c r="T424" s="132">
        <f t="shared" si="147"/>
        <v>288</v>
      </c>
      <c r="U424" s="80"/>
      <c r="V424" s="80">
        <v>21363</v>
      </c>
      <c r="W424" s="142">
        <f t="shared" si="141"/>
        <v>112</v>
      </c>
      <c r="X424" s="142" t="str">
        <f t="shared" ref="X424:AD424" si="206">IF(C$311="","{progress_rate,"&amp;C$308&amp;","&amp;C424&amp;"}",IF(C424&gt;=1,"{progress,"&amp;C$311*100&amp;","&amp;C$308&amp;","&amp;C424&amp;"}","{progress_rate_roll,"&amp;C$311*100&amp;","&amp;INT(C424*10000)&amp;","&amp;C$308&amp;","&amp;1&amp;"}"))</f>
        <v>{progress_rate,2,144}</v>
      </c>
      <c r="Y424" s="142" t="str">
        <f t="shared" si="206"/>
        <v>{progress,0,2,358}</v>
      </c>
      <c r="Z424" s="142" t="str">
        <f t="shared" si="206"/>
        <v>{progress,0,5103001,15}</v>
      </c>
      <c r="AA424" s="142" t="str">
        <f t="shared" si="206"/>
        <v>{progress,40,5103003,25}</v>
      </c>
      <c r="AB424" s="142" t="str">
        <f t="shared" si="206"/>
        <v>{progress,0,50025,3}</v>
      </c>
      <c r="AC424" s="142" t="str">
        <f t="shared" si="206"/>
        <v>{progress,50,50002,5}</v>
      </c>
      <c r="AD424" s="142" t="str">
        <f t="shared" si="206"/>
        <v>{progress_rate_roll,100,5000,11,1}</v>
      </c>
      <c r="AF424" s="142" t="str">
        <f t="shared" si="160"/>
        <v>{progress,50,5203001,5}</v>
      </c>
      <c r="AG424" s="142" t="str">
        <f t="shared" si="154"/>
        <v>{progress,40,5303001,2}</v>
      </c>
      <c r="AH424" s="142" t="str">
        <f t="shared" si="155"/>
        <v>{progress,0,5401019,1}</v>
      </c>
      <c r="AI424" s="142"/>
      <c r="AJ424" s="142" t="str">
        <f t="shared" si="195"/>
        <v>{progress_rate_roll,100,1000,9,1}</v>
      </c>
      <c r="AN424" s="142" t="str">
        <f t="shared" si="143"/>
        <v>{progress,1,21363,1}</v>
      </c>
      <c r="AO424" s="142" t="str">
        <f t="shared" si="165"/>
        <v>{progress_rate_roll,100,5000,21363,1}</v>
      </c>
      <c r="AP424" s="142" t="str">
        <f t="shared" si="149"/>
        <v>[{progress_rate,2,144},{progress,0,2,358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24" s="142" t="str">
        <f t="shared" si="166"/>
        <v>[{progress_rate,2,144},{progress,0,2,358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24" s="142" t="str">
        <f t="shared" si="150"/>
        <v>[{progress_rate,2,144},{progress,0,2,358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24" s="142" t="str">
        <f t="shared" si="144"/>
        <v>[{progress_rate,2,144},{progress,0,2,358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24" s="142" t="str">
        <f t="shared" si="145"/>
        <v>{progress_rate,2,600},{progress_rate,11,1}</v>
      </c>
      <c r="AV424" s="142" t="str">
        <f t="shared" si="191"/>
        <v>{progress_rate,2,600}</v>
      </c>
      <c r="AW424" s="142" t="s">
        <v>175</v>
      </c>
    </row>
    <row r="425" spans="1:49">
      <c r="A425" s="143" t="str">
        <f t="shared" si="138"/>
        <v>[{2,504},{5103001,40},{14,60},{11,0},{5401000,0},{5203001,0},{5303001,0}]</v>
      </c>
      <c r="B425" s="98">
        <v>113</v>
      </c>
      <c r="C425" s="126">
        <v>144</v>
      </c>
      <c r="D425" s="126">
        <v>360</v>
      </c>
      <c r="E425" s="145">
        <v>15</v>
      </c>
      <c r="F425" s="145">
        <v>25</v>
      </c>
      <c r="G425" s="98">
        <v>3</v>
      </c>
      <c r="H425" s="98">
        <v>5</v>
      </c>
      <c r="I425" s="98">
        <v>0.5</v>
      </c>
      <c r="J425" s="98">
        <v>0</v>
      </c>
      <c r="K425" s="98">
        <v>5</v>
      </c>
      <c r="L425" s="98">
        <v>2</v>
      </c>
      <c r="M425" s="98">
        <v>1</v>
      </c>
      <c r="N425" s="98"/>
      <c r="O425" s="98">
        <v>0.1</v>
      </c>
      <c r="P425" s="98">
        <f t="shared" si="139"/>
        <v>145.2</v>
      </c>
      <c r="Q425" s="147">
        <f t="shared" si="140"/>
        <v>7.26</v>
      </c>
      <c r="R425" s="149">
        <v>600</v>
      </c>
      <c r="S425" s="132">
        <f t="shared" si="189"/>
        <v>72</v>
      </c>
      <c r="T425" s="132">
        <f t="shared" si="147"/>
        <v>288</v>
      </c>
      <c r="U425" s="80"/>
      <c r="V425" s="80">
        <v>21363</v>
      </c>
      <c r="W425" s="142">
        <f t="shared" si="141"/>
        <v>113</v>
      </c>
      <c r="X425" s="142" t="str">
        <f t="shared" ref="X425:AD425" si="207">IF(C$311="","{progress_rate,"&amp;C$308&amp;","&amp;C425&amp;"}",IF(C425&gt;=1,"{progress,"&amp;C$311*100&amp;","&amp;C$308&amp;","&amp;C425&amp;"}","{progress_rate_roll,"&amp;C$311*100&amp;","&amp;INT(C425*10000)&amp;","&amp;C$308&amp;","&amp;1&amp;"}"))</f>
        <v>{progress_rate,2,144}</v>
      </c>
      <c r="Y425" s="142" t="str">
        <f t="shared" si="207"/>
        <v>{progress,0,2,360}</v>
      </c>
      <c r="Z425" s="142" t="str">
        <f t="shared" si="207"/>
        <v>{progress,0,5103001,15}</v>
      </c>
      <c r="AA425" s="142" t="str">
        <f t="shared" si="207"/>
        <v>{progress,40,5103003,25}</v>
      </c>
      <c r="AB425" s="142" t="str">
        <f t="shared" si="207"/>
        <v>{progress,0,50025,3}</v>
      </c>
      <c r="AC425" s="142" t="str">
        <f t="shared" si="207"/>
        <v>{progress,50,50002,5}</v>
      </c>
      <c r="AD425" s="142" t="str">
        <f t="shared" si="207"/>
        <v>{progress_rate_roll,100,5000,11,1}</v>
      </c>
      <c r="AF425" s="142" t="str">
        <f t="shared" si="160"/>
        <v>{progress,50,5203001,5}</v>
      </c>
      <c r="AG425" s="142" t="str">
        <f t="shared" si="154"/>
        <v>{progress,40,5303001,2}</v>
      </c>
      <c r="AH425" s="142" t="str">
        <f t="shared" si="155"/>
        <v>{progress,0,5401019,1}</v>
      </c>
      <c r="AI425" s="142"/>
      <c r="AJ425" s="142" t="str">
        <f t="shared" si="195"/>
        <v>{progress_rate_roll,100,1000,9,1}</v>
      </c>
      <c r="AN425" s="142" t="str">
        <f t="shared" si="143"/>
        <v>{progress,1,21363,1}</v>
      </c>
      <c r="AO425" s="142" t="str">
        <f t="shared" si="165"/>
        <v>{progress_rate_roll,100,5000,21363,1}</v>
      </c>
      <c r="AP425" s="142" t="str">
        <f t="shared" si="149"/>
        <v>[{progress_rate,2,144},{progress,0,2,360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25" s="142" t="str">
        <f t="shared" si="166"/>
        <v>[{progress_rate,2,144},{progress,0,2,360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25" s="142" t="str">
        <f t="shared" si="150"/>
        <v>[{progress_rate,2,144},{progress,0,2,360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25" s="142" t="str">
        <f t="shared" si="144"/>
        <v>[{progress_rate,2,144},{progress,0,2,360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25" s="142" t="str">
        <f t="shared" si="145"/>
        <v>{progress_rate,2,600},{progress_rate,11,1}</v>
      </c>
      <c r="AV425" s="142" t="str">
        <f t="shared" si="191"/>
        <v>{progress_rate,2,600}</v>
      </c>
      <c r="AW425" s="142" t="s">
        <v>175</v>
      </c>
    </row>
    <row r="426" spans="1:49">
      <c r="A426" s="143" t="str">
        <f t="shared" si="138"/>
        <v>[{2,506},{5103001,40},{14,60},{11,0},{5401000,0},{5203001,0},{5303001,0}]</v>
      </c>
      <c r="B426" s="98">
        <v>114</v>
      </c>
      <c r="C426" s="126">
        <v>146</v>
      </c>
      <c r="D426" s="126">
        <v>360</v>
      </c>
      <c r="E426" s="145">
        <v>15</v>
      </c>
      <c r="F426" s="145">
        <v>25</v>
      </c>
      <c r="G426" s="98">
        <v>3</v>
      </c>
      <c r="H426" s="98">
        <v>5</v>
      </c>
      <c r="I426" s="98">
        <v>0.5</v>
      </c>
      <c r="J426" s="98">
        <v>0</v>
      </c>
      <c r="K426" s="98">
        <v>5</v>
      </c>
      <c r="L426" s="98">
        <v>2</v>
      </c>
      <c r="M426" s="98">
        <v>1</v>
      </c>
      <c r="N426" s="98"/>
      <c r="O426" s="98">
        <v>0.1</v>
      </c>
      <c r="P426" s="98">
        <f t="shared" si="139"/>
        <v>145.3</v>
      </c>
      <c r="Q426" s="147">
        <f t="shared" si="140"/>
        <v>7.265</v>
      </c>
      <c r="R426" s="149">
        <v>600</v>
      </c>
      <c r="S426" s="132">
        <f t="shared" si="189"/>
        <v>73</v>
      </c>
      <c r="T426" s="132">
        <f t="shared" si="147"/>
        <v>292</v>
      </c>
      <c r="U426" s="80"/>
      <c r="V426" s="80">
        <v>21363</v>
      </c>
      <c r="W426" s="142">
        <f t="shared" si="141"/>
        <v>114</v>
      </c>
      <c r="X426" s="142" t="str">
        <f t="shared" ref="X426:AD426" si="208">IF(C$311="","{progress_rate,"&amp;C$308&amp;","&amp;C426&amp;"}",IF(C426&gt;=1,"{progress,"&amp;C$311*100&amp;","&amp;C$308&amp;","&amp;C426&amp;"}","{progress_rate_roll,"&amp;C$311*100&amp;","&amp;INT(C426*10000)&amp;","&amp;C$308&amp;","&amp;1&amp;"}"))</f>
        <v>{progress_rate,2,146}</v>
      </c>
      <c r="Y426" s="142" t="str">
        <f t="shared" si="208"/>
        <v>{progress,0,2,360}</v>
      </c>
      <c r="Z426" s="142" t="str">
        <f t="shared" si="208"/>
        <v>{progress,0,5103001,15}</v>
      </c>
      <c r="AA426" s="142" t="str">
        <f t="shared" si="208"/>
        <v>{progress,40,5103003,25}</v>
      </c>
      <c r="AB426" s="142" t="str">
        <f t="shared" si="208"/>
        <v>{progress,0,50025,3}</v>
      </c>
      <c r="AC426" s="142" t="str">
        <f t="shared" si="208"/>
        <v>{progress,50,50002,5}</v>
      </c>
      <c r="AD426" s="142" t="str">
        <f t="shared" si="208"/>
        <v>{progress_rate_roll,100,5000,11,1}</v>
      </c>
      <c r="AF426" s="142" t="str">
        <f t="shared" si="160"/>
        <v>{progress,50,5203001,5}</v>
      </c>
      <c r="AG426" s="142" t="str">
        <f t="shared" si="154"/>
        <v>{progress,40,5303001,2}</v>
      </c>
      <c r="AH426" s="142" t="str">
        <f t="shared" si="155"/>
        <v>{progress,0,5401019,1}</v>
      </c>
      <c r="AI426" s="142"/>
      <c r="AJ426" s="142" t="str">
        <f t="shared" si="195"/>
        <v>{progress_rate_roll,100,1000,9,1}</v>
      </c>
      <c r="AN426" s="142" t="str">
        <f t="shared" si="143"/>
        <v>{progress,1,21363,1}</v>
      </c>
      <c r="AO426" s="142" t="str">
        <f t="shared" si="165"/>
        <v>{progress_rate_roll,100,5000,21363,1}</v>
      </c>
      <c r="AP426" s="142" t="str">
        <f t="shared" si="149"/>
        <v>[{progress_rate,2,146},{progress,0,2,360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26" s="142" t="str">
        <f t="shared" si="166"/>
        <v>[{progress_rate,2,146},{progress,0,2,360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26" s="142" t="str">
        <f t="shared" si="150"/>
        <v>[{progress_rate,2,146},{progress,0,2,360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26" s="142" t="str">
        <f t="shared" si="144"/>
        <v>[{progress_rate,2,146},{progress,0,2,360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26" s="142" t="str">
        <f t="shared" si="145"/>
        <v>{progress_rate,2,600},{progress_rate,11,1}</v>
      </c>
      <c r="AV426" s="142" t="str">
        <f t="shared" si="191"/>
        <v>{progress_rate,2,600}</v>
      </c>
      <c r="AW426" s="142" t="s">
        <v>175</v>
      </c>
    </row>
    <row r="427" spans="1:49">
      <c r="A427" s="143" t="str">
        <f t="shared" si="138"/>
        <v>[{2,508},{5103001,40},{14,60},{11,0},{5401000,0},{5203001,0},{5303001,0}]</v>
      </c>
      <c r="B427" s="98">
        <v>115</v>
      </c>
      <c r="C427" s="126">
        <v>146</v>
      </c>
      <c r="D427" s="126">
        <v>362</v>
      </c>
      <c r="E427" s="145">
        <v>15</v>
      </c>
      <c r="F427" s="145">
        <v>25</v>
      </c>
      <c r="G427" s="98">
        <v>3</v>
      </c>
      <c r="H427" s="98">
        <v>5</v>
      </c>
      <c r="I427" s="98">
        <v>0.5</v>
      </c>
      <c r="J427" s="98">
        <v>0</v>
      </c>
      <c r="K427" s="98">
        <v>5</v>
      </c>
      <c r="L427" s="98">
        <v>2</v>
      </c>
      <c r="M427" s="98">
        <v>1</v>
      </c>
      <c r="N427" s="98"/>
      <c r="O427" s="98">
        <v>0.1</v>
      </c>
      <c r="P427" s="98">
        <f t="shared" si="139"/>
        <v>145.4</v>
      </c>
      <c r="Q427" s="147">
        <f t="shared" si="140"/>
        <v>7.27</v>
      </c>
      <c r="R427" s="149">
        <v>600</v>
      </c>
      <c r="S427" s="132">
        <f t="shared" si="189"/>
        <v>73</v>
      </c>
      <c r="T427" s="132">
        <f t="shared" si="147"/>
        <v>292</v>
      </c>
      <c r="U427" s="80"/>
      <c r="V427" s="80">
        <v>21363</v>
      </c>
      <c r="W427" s="142">
        <f t="shared" si="141"/>
        <v>115</v>
      </c>
      <c r="X427" s="142" t="str">
        <f t="shared" ref="X427:AD427" si="209">IF(C$311="","{progress_rate,"&amp;C$308&amp;","&amp;C427&amp;"}",IF(C427&gt;=1,"{progress,"&amp;C$311*100&amp;","&amp;C$308&amp;","&amp;C427&amp;"}","{progress_rate_roll,"&amp;C$311*100&amp;","&amp;INT(C427*10000)&amp;","&amp;C$308&amp;","&amp;1&amp;"}"))</f>
        <v>{progress_rate,2,146}</v>
      </c>
      <c r="Y427" s="142" t="str">
        <f t="shared" si="209"/>
        <v>{progress,0,2,362}</v>
      </c>
      <c r="Z427" s="142" t="str">
        <f t="shared" si="209"/>
        <v>{progress,0,5103001,15}</v>
      </c>
      <c r="AA427" s="142" t="str">
        <f t="shared" si="209"/>
        <v>{progress,40,5103003,25}</v>
      </c>
      <c r="AB427" s="142" t="str">
        <f t="shared" si="209"/>
        <v>{progress,0,50025,3}</v>
      </c>
      <c r="AC427" s="142" t="str">
        <f t="shared" si="209"/>
        <v>{progress,50,50002,5}</v>
      </c>
      <c r="AD427" s="142" t="str">
        <f t="shared" si="209"/>
        <v>{progress_rate_roll,100,5000,11,1}</v>
      </c>
      <c r="AF427" s="142" t="str">
        <f t="shared" si="160"/>
        <v>{progress,50,5203001,5}</v>
      </c>
      <c r="AG427" s="142" t="str">
        <f t="shared" si="154"/>
        <v>{progress,40,5303001,2}</v>
      </c>
      <c r="AH427" s="142" t="str">
        <f t="shared" si="155"/>
        <v>{progress,0,5401019,1}</v>
      </c>
      <c r="AI427" s="142"/>
      <c r="AJ427" s="142" t="str">
        <f t="shared" si="195"/>
        <v>{progress_rate_roll,100,1000,9,1}</v>
      </c>
      <c r="AN427" s="142" t="str">
        <f t="shared" si="143"/>
        <v>{progress,1,21363,1}</v>
      </c>
      <c r="AO427" s="142" t="str">
        <f t="shared" si="165"/>
        <v>{progress_rate_roll,100,5000,21363,1}</v>
      </c>
      <c r="AP427" s="142" t="str">
        <f t="shared" si="149"/>
        <v>[{progress_rate,2,146},{progress,0,2,362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27" s="142" t="str">
        <f t="shared" si="166"/>
        <v>[{progress_rate,2,146},{progress,0,2,362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27" s="142" t="str">
        <f t="shared" si="150"/>
        <v>[{progress_rate,2,146},{progress,0,2,362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27" s="142" t="str">
        <f t="shared" si="144"/>
        <v>[{progress_rate,2,146},{progress,0,2,362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27" s="142" t="str">
        <f t="shared" si="145"/>
        <v>{progress_rate,2,600},{progress_rate,11,1}</v>
      </c>
      <c r="AV427" s="142" t="str">
        <f t="shared" si="191"/>
        <v>{progress_rate,2,600}</v>
      </c>
      <c r="AW427" s="142" t="s">
        <v>175</v>
      </c>
    </row>
    <row r="428" spans="1:49">
      <c r="A428" s="143" t="str">
        <f t="shared" si="138"/>
        <v>[{2,510},{5103001,40},{14,60},{11,0},{5401000,0},{5203001,0},{5303001,0}]</v>
      </c>
      <c r="B428" s="98">
        <v>116</v>
      </c>
      <c r="C428" s="126">
        <v>146</v>
      </c>
      <c r="D428" s="126">
        <v>364</v>
      </c>
      <c r="E428" s="145">
        <v>15</v>
      </c>
      <c r="F428" s="145">
        <v>25</v>
      </c>
      <c r="G428" s="98">
        <v>3</v>
      </c>
      <c r="H428" s="98">
        <v>5</v>
      </c>
      <c r="I428" s="98">
        <v>0.5</v>
      </c>
      <c r="J428" s="98">
        <v>0</v>
      </c>
      <c r="K428" s="98">
        <v>5</v>
      </c>
      <c r="L428" s="98">
        <v>2</v>
      </c>
      <c r="M428" s="98">
        <v>1</v>
      </c>
      <c r="N428" s="98"/>
      <c r="O428" s="98">
        <v>0.1</v>
      </c>
      <c r="P428" s="98">
        <f t="shared" si="139"/>
        <v>145.5</v>
      </c>
      <c r="Q428" s="147">
        <f t="shared" si="140"/>
        <v>7.275</v>
      </c>
      <c r="R428" s="149">
        <v>600</v>
      </c>
      <c r="S428" s="132">
        <f t="shared" si="189"/>
        <v>73</v>
      </c>
      <c r="T428" s="132">
        <f t="shared" si="147"/>
        <v>292</v>
      </c>
      <c r="U428" s="80"/>
      <c r="V428" s="80">
        <v>21363</v>
      </c>
      <c r="W428" s="142">
        <f t="shared" si="141"/>
        <v>116</v>
      </c>
      <c r="X428" s="142" t="str">
        <f t="shared" ref="X428:AD428" si="210">IF(C$311="","{progress_rate,"&amp;C$308&amp;","&amp;C428&amp;"}",IF(C428&gt;=1,"{progress,"&amp;C$311*100&amp;","&amp;C$308&amp;","&amp;C428&amp;"}","{progress_rate_roll,"&amp;C$311*100&amp;","&amp;INT(C428*10000)&amp;","&amp;C$308&amp;","&amp;1&amp;"}"))</f>
        <v>{progress_rate,2,146}</v>
      </c>
      <c r="Y428" s="142" t="str">
        <f t="shared" si="210"/>
        <v>{progress,0,2,364}</v>
      </c>
      <c r="Z428" s="142" t="str">
        <f t="shared" si="210"/>
        <v>{progress,0,5103001,15}</v>
      </c>
      <c r="AA428" s="142" t="str">
        <f t="shared" si="210"/>
        <v>{progress,40,5103003,25}</v>
      </c>
      <c r="AB428" s="142" t="str">
        <f t="shared" si="210"/>
        <v>{progress,0,50025,3}</v>
      </c>
      <c r="AC428" s="142" t="str">
        <f t="shared" si="210"/>
        <v>{progress,50,50002,5}</v>
      </c>
      <c r="AD428" s="142" t="str">
        <f t="shared" si="210"/>
        <v>{progress_rate_roll,100,5000,11,1}</v>
      </c>
      <c r="AF428" s="142" t="str">
        <f t="shared" si="160"/>
        <v>{progress,50,5203001,5}</v>
      </c>
      <c r="AG428" s="142" t="str">
        <f t="shared" si="154"/>
        <v>{progress,40,5303001,2}</v>
      </c>
      <c r="AH428" s="142" t="str">
        <f t="shared" si="155"/>
        <v>{progress,0,5401019,1}</v>
      </c>
      <c r="AI428" s="142"/>
      <c r="AJ428" s="142" t="str">
        <f t="shared" si="195"/>
        <v>{progress_rate_roll,100,1000,9,1}</v>
      </c>
      <c r="AN428" s="142" t="str">
        <f t="shared" si="143"/>
        <v>{progress,1,21363,1}</v>
      </c>
      <c r="AO428" s="142" t="str">
        <f t="shared" si="165"/>
        <v>{progress_rate_roll,100,5000,21363,1}</v>
      </c>
      <c r="AP428" s="142" t="str">
        <f t="shared" si="149"/>
        <v>[{progress_rate,2,146},{progress,0,2,364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28" s="142" t="str">
        <f t="shared" si="166"/>
        <v>[{progress_rate,2,146},{progress,0,2,364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28" s="142" t="str">
        <f t="shared" si="150"/>
        <v>[{progress_rate,2,146},{progress,0,2,364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28" s="142" t="str">
        <f t="shared" si="144"/>
        <v>[{progress_rate,2,146},{progress,0,2,364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28" s="142" t="str">
        <f t="shared" si="145"/>
        <v>{progress_rate,2,600},{progress_rate,11,1}</v>
      </c>
      <c r="AV428" s="142" t="str">
        <f t="shared" si="191"/>
        <v>{progress_rate,2,600}</v>
      </c>
      <c r="AW428" s="142" t="s">
        <v>175</v>
      </c>
    </row>
    <row r="429" spans="1:49">
      <c r="A429" s="143" t="str">
        <f t="shared" si="138"/>
        <v>[{2,512},{5103001,40},{14,60},{11,0},{5401000,0},{5203001,0},{5303001,0}]</v>
      </c>
      <c r="B429" s="98">
        <v>117</v>
      </c>
      <c r="C429" s="126">
        <v>146</v>
      </c>
      <c r="D429" s="126">
        <v>366</v>
      </c>
      <c r="E429" s="145">
        <v>15</v>
      </c>
      <c r="F429" s="145">
        <v>25</v>
      </c>
      <c r="G429" s="98">
        <v>3</v>
      </c>
      <c r="H429" s="98">
        <v>5</v>
      </c>
      <c r="I429" s="98">
        <v>0.5</v>
      </c>
      <c r="J429" s="98">
        <v>0</v>
      </c>
      <c r="K429" s="98">
        <v>5</v>
      </c>
      <c r="L429" s="98">
        <v>2</v>
      </c>
      <c r="M429" s="98">
        <v>1</v>
      </c>
      <c r="N429" s="98"/>
      <c r="O429" s="98">
        <v>0.1</v>
      </c>
      <c r="P429" s="98">
        <f t="shared" si="139"/>
        <v>145.6</v>
      </c>
      <c r="Q429" s="147">
        <f t="shared" si="140"/>
        <v>7.28</v>
      </c>
      <c r="R429" s="149">
        <v>600</v>
      </c>
      <c r="S429" s="132">
        <f t="shared" si="189"/>
        <v>73</v>
      </c>
      <c r="T429" s="132">
        <f t="shared" si="147"/>
        <v>292</v>
      </c>
      <c r="U429" s="80"/>
      <c r="V429" s="80">
        <v>21363</v>
      </c>
      <c r="W429" s="142">
        <f t="shared" si="141"/>
        <v>117</v>
      </c>
      <c r="X429" s="142" t="str">
        <f t="shared" ref="X429:AD429" si="211">IF(C$311="","{progress_rate,"&amp;C$308&amp;","&amp;C429&amp;"}",IF(C429&gt;=1,"{progress,"&amp;C$311*100&amp;","&amp;C$308&amp;","&amp;C429&amp;"}","{progress_rate_roll,"&amp;C$311*100&amp;","&amp;INT(C429*10000)&amp;","&amp;C$308&amp;","&amp;1&amp;"}"))</f>
        <v>{progress_rate,2,146}</v>
      </c>
      <c r="Y429" s="142" t="str">
        <f t="shared" si="211"/>
        <v>{progress,0,2,366}</v>
      </c>
      <c r="Z429" s="142" t="str">
        <f t="shared" si="211"/>
        <v>{progress,0,5103001,15}</v>
      </c>
      <c r="AA429" s="142" t="str">
        <f t="shared" si="211"/>
        <v>{progress,40,5103003,25}</v>
      </c>
      <c r="AB429" s="142" t="str">
        <f t="shared" si="211"/>
        <v>{progress,0,50025,3}</v>
      </c>
      <c r="AC429" s="142" t="str">
        <f t="shared" si="211"/>
        <v>{progress,50,50002,5}</v>
      </c>
      <c r="AD429" s="142" t="str">
        <f t="shared" si="211"/>
        <v>{progress_rate_roll,100,5000,11,1}</v>
      </c>
      <c r="AF429" s="142" t="str">
        <f t="shared" si="160"/>
        <v>{progress,50,5203001,5}</v>
      </c>
      <c r="AG429" s="142" t="str">
        <f t="shared" si="154"/>
        <v>{progress,40,5303001,2}</v>
      </c>
      <c r="AH429" s="142" t="str">
        <f t="shared" si="155"/>
        <v>{progress,0,5401019,1}</v>
      </c>
      <c r="AI429" s="142"/>
      <c r="AJ429" s="142" t="str">
        <f t="shared" si="195"/>
        <v>{progress_rate_roll,100,1000,9,1}</v>
      </c>
      <c r="AN429" s="142" t="str">
        <f t="shared" si="143"/>
        <v>{progress,1,21363,1}</v>
      </c>
      <c r="AO429" s="142" t="str">
        <f t="shared" si="165"/>
        <v>{progress_rate_roll,100,5000,21363,1}</v>
      </c>
      <c r="AP429" s="142" t="str">
        <f t="shared" si="149"/>
        <v>[{progress_rate,2,146},{progress,0,2,366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29" s="142" t="str">
        <f t="shared" si="166"/>
        <v>[{progress_rate,2,146},{progress,0,2,366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29" s="142" t="str">
        <f t="shared" si="150"/>
        <v>[{progress_rate,2,146},{progress,0,2,366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29" s="142" t="str">
        <f t="shared" si="144"/>
        <v>[{progress_rate,2,146},{progress,0,2,366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29" s="142" t="str">
        <f t="shared" si="145"/>
        <v>{progress_rate,2,600},{progress_rate,11,1}</v>
      </c>
      <c r="AV429" s="142" t="str">
        <f t="shared" si="191"/>
        <v>{progress_rate,2,600}</v>
      </c>
      <c r="AW429" s="142" t="s">
        <v>175</v>
      </c>
    </row>
    <row r="430" spans="1:49">
      <c r="A430" s="143" t="str">
        <f t="shared" si="138"/>
        <v>[{2,514},{5103001,40},{14,60},{11,0},{5401000,0},{5203001,0},{5303001,0}]</v>
      </c>
      <c r="B430" s="98">
        <v>118</v>
      </c>
      <c r="C430" s="126">
        <v>148</v>
      </c>
      <c r="D430" s="126">
        <v>366</v>
      </c>
      <c r="E430" s="145">
        <v>15</v>
      </c>
      <c r="F430" s="145">
        <v>25</v>
      </c>
      <c r="G430" s="98">
        <v>3</v>
      </c>
      <c r="H430" s="98">
        <v>5</v>
      </c>
      <c r="I430" s="98">
        <v>0.5</v>
      </c>
      <c r="J430" s="98">
        <v>0</v>
      </c>
      <c r="K430" s="98">
        <v>5</v>
      </c>
      <c r="L430" s="98">
        <v>2</v>
      </c>
      <c r="M430" s="98">
        <v>1</v>
      </c>
      <c r="N430" s="98"/>
      <c r="O430" s="98">
        <v>0.1</v>
      </c>
      <c r="P430" s="98">
        <f t="shared" si="139"/>
        <v>145.7</v>
      </c>
      <c r="Q430" s="147">
        <f t="shared" si="140"/>
        <v>7.285</v>
      </c>
      <c r="R430" s="149">
        <v>600</v>
      </c>
      <c r="S430" s="132">
        <f t="shared" si="189"/>
        <v>74</v>
      </c>
      <c r="T430" s="132">
        <f t="shared" si="147"/>
        <v>296</v>
      </c>
      <c r="U430" s="80"/>
      <c r="V430" s="80">
        <v>21363</v>
      </c>
      <c r="W430" s="142">
        <f t="shared" si="141"/>
        <v>118</v>
      </c>
      <c r="X430" s="142" t="str">
        <f t="shared" ref="X430:AD430" si="212">IF(C$311="","{progress_rate,"&amp;C$308&amp;","&amp;C430&amp;"}",IF(C430&gt;=1,"{progress,"&amp;C$311*100&amp;","&amp;C$308&amp;","&amp;C430&amp;"}","{progress_rate_roll,"&amp;C$311*100&amp;","&amp;INT(C430*10000)&amp;","&amp;C$308&amp;","&amp;1&amp;"}"))</f>
        <v>{progress_rate,2,148}</v>
      </c>
      <c r="Y430" s="142" t="str">
        <f t="shared" si="212"/>
        <v>{progress,0,2,366}</v>
      </c>
      <c r="Z430" s="142" t="str">
        <f t="shared" si="212"/>
        <v>{progress,0,5103001,15}</v>
      </c>
      <c r="AA430" s="142" t="str">
        <f t="shared" si="212"/>
        <v>{progress,40,5103003,25}</v>
      </c>
      <c r="AB430" s="142" t="str">
        <f t="shared" si="212"/>
        <v>{progress,0,50025,3}</v>
      </c>
      <c r="AC430" s="142" t="str">
        <f t="shared" si="212"/>
        <v>{progress,50,50002,5}</v>
      </c>
      <c r="AD430" s="142" t="str">
        <f t="shared" si="212"/>
        <v>{progress_rate_roll,100,5000,11,1}</v>
      </c>
      <c r="AF430" s="142" t="str">
        <f t="shared" si="160"/>
        <v>{progress,50,5203001,5}</v>
      </c>
      <c r="AG430" s="142" t="str">
        <f t="shared" si="154"/>
        <v>{progress,40,5303001,2}</v>
      </c>
      <c r="AH430" s="142" t="str">
        <f t="shared" si="155"/>
        <v>{progress,0,5401019,1}</v>
      </c>
      <c r="AI430" s="142"/>
      <c r="AJ430" s="142" t="str">
        <f t="shared" si="195"/>
        <v>{progress_rate_roll,100,1000,9,1}</v>
      </c>
      <c r="AN430" s="142" t="str">
        <f t="shared" si="143"/>
        <v>{progress,1,21363,1}</v>
      </c>
      <c r="AO430" s="142" t="str">
        <f t="shared" si="165"/>
        <v>{progress_rate_roll,100,5000,21363,1}</v>
      </c>
      <c r="AP430" s="142" t="str">
        <f t="shared" si="149"/>
        <v>[{progress_rate,2,148},{progress,0,2,366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30" s="142" t="str">
        <f t="shared" si="166"/>
        <v>[{progress_rate,2,148},{progress,0,2,366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30" s="142" t="str">
        <f t="shared" si="150"/>
        <v>[{progress_rate,2,148},{progress,0,2,366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30" s="142" t="str">
        <f t="shared" si="144"/>
        <v>[{progress_rate,2,148},{progress,0,2,366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30" s="142" t="str">
        <f t="shared" si="145"/>
        <v>{progress_rate,2,600},{progress_rate,11,1}</v>
      </c>
      <c r="AV430" s="142" t="str">
        <f t="shared" si="191"/>
        <v>{progress_rate,2,600}</v>
      </c>
      <c r="AW430" s="142" t="s">
        <v>175</v>
      </c>
    </row>
    <row r="431" spans="1:49">
      <c r="A431" s="143" t="str">
        <f t="shared" si="138"/>
        <v>[{2,516},{5103001,40},{14,60},{11,0},{5401000,0},{5203001,0},{5303001,0}]</v>
      </c>
      <c r="B431" s="98">
        <v>119</v>
      </c>
      <c r="C431" s="126">
        <v>148</v>
      </c>
      <c r="D431" s="126">
        <v>368</v>
      </c>
      <c r="E431" s="145">
        <v>15</v>
      </c>
      <c r="F431" s="145">
        <v>25</v>
      </c>
      <c r="G431" s="98">
        <v>3</v>
      </c>
      <c r="H431" s="98">
        <v>5</v>
      </c>
      <c r="I431" s="98">
        <v>0.5</v>
      </c>
      <c r="J431" s="98">
        <v>0</v>
      </c>
      <c r="K431" s="98">
        <v>5</v>
      </c>
      <c r="L431" s="98">
        <v>2</v>
      </c>
      <c r="M431" s="98">
        <v>1</v>
      </c>
      <c r="N431" s="98"/>
      <c r="O431" s="98">
        <v>0.1</v>
      </c>
      <c r="P431" s="98">
        <f t="shared" si="139"/>
        <v>145.8</v>
      </c>
      <c r="Q431" s="147">
        <f t="shared" si="140"/>
        <v>7.29</v>
      </c>
      <c r="R431" s="149">
        <v>600</v>
      </c>
      <c r="S431" s="132">
        <f t="shared" si="189"/>
        <v>74</v>
      </c>
      <c r="T431" s="132">
        <f t="shared" si="147"/>
        <v>296</v>
      </c>
      <c r="U431" s="80"/>
      <c r="V431" s="80">
        <v>21363</v>
      </c>
      <c r="W431" s="142">
        <f t="shared" si="141"/>
        <v>119</v>
      </c>
      <c r="X431" s="142" t="str">
        <f t="shared" ref="X431:AD431" si="213">IF(C$311="","{progress_rate,"&amp;C$308&amp;","&amp;C431&amp;"}",IF(C431&gt;=1,"{progress,"&amp;C$311*100&amp;","&amp;C$308&amp;","&amp;C431&amp;"}","{progress_rate_roll,"&amp;C$311*100&amp;","&amp;INT(C431*10000)&amp;","&amp;C$308&amp;","&amp;1&amp;"}"))</f>
        <v>{progress_rate,2,148}</v>
      </c>
      <c r="Y431" s="142" t="str">
        <f t="shared" si="213"/>
        <v>{progress,0,2,368}</v>
      </c>
      <c r="Z431" s="142" t="str">
        <f t="shared" si="213"/>
        <v>{progress,0,5103001,15}</v>
      </c>
      <c r="AA431" s="142" t="str">
        <f t="shared" si="213"/>
        <v>{progress,40,5103003,25}</v>
      </c>
      <c r="AB431" s="142" t="str">
        <f t="shared" si="213"/>
        <v>{progress,0,50025,3}</v>
      </c>
      <c r="AC431" s="142" t="str">
        <f t="shared" si="213"/>
        <v>{progress,50,50002,5}</v>
      </c>
      <c r="AD431" s="142" t="str">
        <f t="shared" si="213"/>
        <v>{progress_rate_roll,100,5000,11,1}</v>
      </c>
      <c r="AF431" s="142" t="str">
        <f t="shared" si="160"/>
        <v>{progress,50,5203001,5}</v>
      </c>
      <c r="AG431" s="142" t="str">
        <f t="shared" si="154"/>
        <v>{progress,40,5303001,2}</v>
      </c>
      <c r="AH431" s="142" t="str">
        <f t="shared" si="155"/>
        <v>{progress,0,5401019,1}</v>
      </c>
      <c r="AI431" s="142"/>
      <c r="AJ431" s="142" t="str">
        <f t="shared" si="195"/>
        <v>{progress_rate_roll,100,1000,9,1}</v>
      </c>
      <c r="AN431" s="142" t="str">
        <f t="shared" si="143"/>
        <v>{progress,1,21363,1}</v>
      </c>
      <c r="AO431" s="142" t="str">
        <f t="shared" si="165"/>
        <v>{progress_rate_roll,100,5000,21363,1}</v>
      </c>
      <c r="AP431" s="142" t="str">
        <f t="shared" si="149"/>
        <v>[{progress_rate,2,148},{progress,0,2,368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31" s="142" t="str">
        <f t="shared" si="166"/>
        <v>[{progress_rate,2,148},{progress,0,2,368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31" s="142" t="str">
        <f t="shared" si="150"/>
        <v>[{progress_rate,2,148},{progress,0,2,368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31" s="142" t="str">
        <f t="shared" si="144"/>
        <v>[{progress_rate,2,148},{progress,0,2,368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31" s="142" t="str">
        <f t="shared" si="145"/>
        <v>{progress_rate,2,600},{progress_rate,11,1}</v>
      </c>
      <c r="AV431" s="142" t="str">
        <f t="shared" si="191"/>
        <v>{progress_rate,2,600}</v>
      </c>
      <c r="AW431" s="142" t="s">
        <v>175</v>
      </c>
    </row>
    <row r="432" spans="1:49">
      <c r="A432" s="143" t="str">
        <f t="shared" si="138"/>
        <v>[{2,518},{5103001,40},{14,60},{11,0},{5401000,0},{5203001,0},{5303001,0}]</v>
      </c>
      <c r="B432" s="98">
        <v>120</v>
      </c>
      <c r="C432" s="126">
        <v>148</v>
      </c>
      <c r="D432" s="126">
        <v>370</v>
      </c>
      <c r="E432" s="145">
        <v>15</v>
      </c>
      <c r="F432" s="145">
        <v>25</v>
      </c>
      <c r="G432" s="98">
        <v>3</v>
      </c>
      <c r="H432" s="98">
        <v>5</v>
      </c>
      <c r="I432" s="98">
        <v>0.5</v>
      </c>
      <c r="J432" s="98">
        <v>0</v>
      </c>
      <c r="K432" s="98">
        <v>5</v>
      </c>
      <c r="L432" s="98">
        <v>2</v>
      </c>
      <c r="M432" s="98">
        <v>1</v>
      </c>
      <c r="N432" s="98"/>
      <c r="O432" s="98">
        <v>0.1</v>
      </c>
      <c r="P432" s="98">
        <f t="shared" si="139"/>
        <v>145.9</v>
      </c>
      <c r="Q432" s="147">
        <f t="shared" si="140"/>
        <v>7.295</v>
      </c>
      <c r="R432" s="149">
        <v>600</v>
      </c>
      <c r="S432" s="132">
        <f t="shared" si="189"/>
        <v>74</v>
      </c>
      <c r="T432" s="132">
        <f t="shared" si="147"/>
        <v>296</v>
      </c>
      <c r="U432" s="80"/>
      <c r="V432" s="80">
        <v>21363</v>
      </c>
      <c r="W432" s="142">
        <f t="shared" si="141"/>
        <v>120</v>
      </c>
      <c r="X432" s="142" t="str">
        <f t="shared" ref="X432:AD432" si="214">IF(C$311="","{progress_rate,"&amp;C$308&amp;","&amp;C432&amp;"}",IF(C432&gt;=1,"{progress,"&amp;C$311*100&amp;","&amp;C$308&amp;","&amp;C432&amp;"}","{progress_rate_roll,"&amp;C$311*100&amp;","&amp;INT(C432*10000)&amp;","&amp;C$308&amp;","&amp;1&amp;"}"))</f>
        <v>{progress_rate,2,148}</v>
      </c>
      <c r="Y432" s="142" t="str">
        <f t="shared" si="214"/>
        <v>{progress,0,2,370}</v>
      </c>
      <c r="Z432" s="142" t="str">
        <f t="shared" si="214"/>
        <v>{progress,0,5103001,15}</v>
      </c>
      <c r="AA432" s="142" t="str">
        <f t="shared" si="214"/>
        <v>{progress,40,5103003,25}</v>
      </c>
      <c r="AB432" s="142" t="str">
        <f t="shared" si="214"/>
        <v>{progress,0,50025,3}</v>
      </c>
      <c r="AC432" s="142" t="str">
        <f t="shared" si="214"/>
        <v>{progress,50,50002,5}</v>
      </c>
      <c r="AD432" s="142" t="str">
        <f t="shared" si="214"/>
        <v>{progress_rate_roll,100,5000,11,1}</v>
      </c>
      <c r="AF432" s="142" t="str">
        <f t="shared" si="160"/>
        <v>{progress,50,5203001,5}</v>
      </c>
      <c r="AG432" s="142" t="str">
        <f t="shared" si="154"/>
        <v>{progress,40,5303001,2}</v>
      </c>
      <c r="AH432" s="142" t="str">
        <f t="shared" si="155"/>
        <v>{progress,0,5401019,1}</v>
      </c>
      <c r="AI432" s="142"/>
      <c r="AJ432" s="142" t="str">
        <f t="shared" si="195"/>
        <v>{progress_rate_roll,100,1000,9,1}</v>
      </c>
      <c r="AN432" s="142" t="str">
        <f t="shared" si="143"/>
        <v>{progress,1,21363,1}</v>
      </c>
      <c r="AO432" s="142" t="str">
        <f t="shared" si="165"/>
        <v>{progress_rate_roll,100,5000,21363,1}</v>
      </c>
      <c r="AP432" s="142" t="str">
        <f t="shared" si="149"/>
        <v>[{progress_rate,2,148},{progress,0,2,370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32" s="142" t="str">
        <f t="shared" si="166"/>
        <v>[{progress_rate,2,148},{progress,0,2,370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32" s="142" t="str">
        <f t="shared" si="150"/>
        <v>[{progress_rate,2,148},{progress,0,2,370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32" s="142" t="str">
        <f t="shared" si="144"/>
        <v>[{progress_rate,2,148},{progress,0,2,370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32" s="142" t="str">
        <f t="shared" si="145"/>
        <v>{progress_rate,2,600},{progress_rate,11,1}</v>
      </c>
      <c r="AV432" s="142" t="str">
        <f t="shared" si="191"/>
        <v>{progress_rate,2,600}</v>
      </c>
      <c r="AW432" s="142" t="s">
        <v>175</v>
      </c>
    </row>
    <row r="433" spans="1:49">
      <c r="A433" s="143" t="str">
        <f t="shared" si="138"/>
        <v>[{2,520},{5103001,40},{14,60},{11,0},{5401000,0},{5203001,0},{5303001,0}]</v>
      </c>
      <c r="B433" s="98">
        <v>121</v>
      </c>
      <c r="C433" s="126">
        <v>150</v>
      </c>
      <c r="D433" s="126">
        <v>370</v>
      </c>
      <c r="E433" s="145">
        <v>15</v>
      </c>
      <c r="F433" s="145">
        <v>25</v>
      </c>
      <c r="G433" s="98">
        <v>3</v>
      </c>
      <c r="H433" s="98">
        <v>5</v>
      </c>
      <c r="I433" s="98">
        <v>0.5</v>
      </c>
      <c r="J433" s="98">
        <v>0</v>
      </c>
      <c r="K433" s="98">
        <v>5</v>
      </c>
      <c r="L433" s="98">
        <v>2</v>
      </c>
      <c r="M433" s="98">
        <v>1</v>
      </c>
      <c r="N433" s="98"/>
      <c r="O433" s="98">
        <v>0.1</v>
      </c>
      <c r="P433" s="98">
        <f t="shared" si="139"/>
        <v>146</v>
      </c>
      <c r="Q433" s="147">
        <f t="shared" si="140"/>
        <v>7.3</v>
      </c>
      <c r="R433" s="149">
        <v>600</v>
      </c>
      <c r="S433" s="132">
        <f t="shared" si="189"/>
        <v>75</v>
      </c>
      <c r="T433" s="132">
        <f t="shared" si="147"/>
        <v>300</v>
      </c>
      <c r="U433" s="80"/>
      <c r="V433" s="80">
        <v>21363</v>
      </c>
      <c r="W433" s="142">
        <f t="shared" si="141"/>
        <v>121</v>
      </c>
      <c r="X433" s="142" t="str">
        <f t="shared" ref="X433:AD433" si="215">IF(C$311="","{progress_rate,"&amp;C$308&amp;","&amp;C433&amp;"}",IF(C433&gt;=1,"{progress,"&amp;C$311*100&amp;","&amp;C$308&amp;","&amp;C433&amp;"}","{progress_rate_roll,"&amp;C$311*100&amp;","&amp;INT(C433*10000)&amp;","&amp;C$308&amp;","&amp;1&amp;"}"))</f>
        <v>{progress_rate,2,150}</v>
      </c>
      <c r="Y433" s="142" t="str">
        <f t="shared" si="215"/>
        <v>{progress,0,2,370}</v>
      </c>
      <c r="Z433" s="142" t="str">
        <f t="shared" si="215"/>
        <v>{progress,0,5103001,15}</v>
      </c>
      <c r="AA433" s="142" t="str">
        <f t="shared" si="215"/>
        <v>{progress,40,5103003,25}</v>
      </c>
      <c r="AB433" s="142" t="str">
        <f t="shared" si="215"/>
        <v>{progress,0,50025,3}</v>
      </c>
      <c r="AC433" s="142" t="str">
        <f t="shared" si="215"/>
        <v>{progress,50,50002,5}</v>
      </c>
      <c r="AD433" s="142" t="str">
        <f t="shared" si="215"/>
        <v>{progress_rate_roll,100,5000,11,1}</v>
      </c>
      <c r="AF433" s="142" t="str">
        <f t="shared" si="160"/>
        <v>{progress,50,5203001,5}</v>
      </c>
      <c r="AG433" s="142" t="str">
        <f t="shared" si="154"/>
        <v>{progress,40,5303001,2}</v>
      </c>
      <c r="AH433" s="142" t="str">
        <f t="shared" si="155"/>
        <v>{progress,0,5401019,1}</v>
      </c>
      <c r="AI433" s="142"/>
      <c r="AJ433" s="142" t="str">
        <f t="shared" si="195"/>
        <v>{progress_rate_roll,100,1000,9,1}</v>
      </c>
      <c r="AN433" s="142" t="str">
        <f t="shared" si="143"/>
        <v>{progress,1,21363,1}</v>
      </c>
      <c r="AO433" s="142" t="str">
        <f t="shared" si="165"/>
        <v>{progress_rate_roll,100,5000,21363,1}</v>
      </c>
      <c r="AP433" s="142" t="str">
        <f t="shared" si="149"/>
        <v>[{progress_rate,2,150},{progress,0,2,370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33" s="142" t="str">
        <f t="shared" si="166"/>
        <v>[{progress_rate,2,150},{progress,0,2,370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33" s="142" t="str">
        <f t="shared" si="150"/>
        <v>[{progress_rate,2,150},{progress,0,2,370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33" s="142" t="str">
        <f t="shared" si="144"/>
        <v>[{progress_rate,2,150},{progress,0,2,370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33" s="142" t="str">
        <f t="shared" si="145"/>
        <v>{progress_rate,2,600},{progress_rate,11,1}</v>
      </c>
      <c r="AV433" s="142" t="str">
        <f t="shared" si="191"/>
        <v>{progress_rate,2,600}</v>
      </c>
      <c r="AW433" s="142" t="s">
        <v>175</v>
      </c>
    </row>
    <row r="434" spans="1:49">
      <c r="A434" s="143" t="str">
        <f t="shared" si="138"/>
        <v>[{2,522},{5103001,40},{14,60},{11,0},{5401000,0},{5203001,0},{5303001,0}]</v>
      </c>
      <c r="B434" s="98">
        <v>122</v>
      </c>
      <c r="C434" s="126">
        <v>150</v>
      </c>
      <c r="D434" s="126">
        <v>372</v>
      </c>
      <c r="E434" s="145">
        <v>15</v>
      </c>
      <c r="F434" s="145">
        <v>25</v>
      </c>
      <c r="G434" s="98">
        <v>3</v>
      </c>
      <c r="H434" s="98">
        <v>5</v>
      </c>
      <c r="I434" s="98">
        <v>0.5</v>
      </c>
      <c r="J434" s="98">
        <v>0</v>
      </c>
      <c r="K434" s="98">
        <v>5</v>
      </c>
      <c r="L434" s="98">
        <v>2</v>
      </c>
      <c r="M434" s="98">
        <v>1</v>
      </c>
      <c r="N434" s="98"/>
      <c r="O434" s="98">
        <v>0.1</v>
      </c>
      <c r="P434" s="98">
        <f t="shared" si="139"/>
        <v>146.1</v>
      </c>
      <c r="Q434" s="147">
        <f t="shared" si="140"/>
        <v>7.305</v>
      </c>
      <c r="R434" s="149">
        <v>600</v>
      </c>
      <c r="S434" s="132">
        <f t="shared" si="189"/>
        <v>75</v>
      </c>
      <c r="T434" s="132">
        <f t="shared" si="147"/>
        <v>300</v>
      </c>
      <c r="U434" s="80"/>
      <c r="V434" s="80">
        <v>21363</v>
      </c>
      <c r="W434" s="142">
        <f t="shared" si="141"/>
        <v>122</v>
      </c>
      <c r="X434" s="142" t="str">
        <f t="shared" ref="X434:AD434" si="216">IF(C$311="","{progress_rate,"&amp;C$308&amp;","&amp;C434&amp;"}",IF(C434&gt;=1,"{progress,"&amp;C$311*100&amp;","&amp;C$308&amp;","&amp;C434&amp;"}","{progress_rate_roll,"&amp;C$311*100&amp;","&amp;INT(C434*10000)&amp;","&amp;C$308&amp;","&amp;1&amp;"}"))</f>
        <v>{progress_rate,2,150}</v>
      </c>
      <c r="Y434" s="142" t="str">
        <f t="shared" si="216"/>
        <v>{progress,0,2,372}</v>
      </c>
      <c r="Z434" s="142" t="str">
        <f t="shared" si="216"/>
        <v>{progress,0,5103001,15}</v>
      </c>
      <c r="AA434" s="142" t="str">
        <f t="shared" si="216"/>
        <v>{progress,40,5103003,25}</v>
      </c>
      <c r="AB434" s="142" t="str">
        <f t="shared" si="216"/>
        <v>{progress,0,50025,3}</v>
      </c>
      <c r="AC434" s="142" t="str">
        <f t="shared" si="216"/>
        <v>{progress,50,50002,5}</v>
      </c>
      <c r="AD434" s="142" t="str">
        <f t="shared" si="216"/>
        <v>{progress_rate_roll,100,5000,11,1}</v>
      </c>
      <c r="AF434" s="142" t="str">
        <f t="shared" si="160"/>
        <v>{progress,50,5203001,5}</v>
      </c>
      <c r="AG434" s="142" t="str">
        <f t="shared" si="154"/>
        <v>{progress,40,5303001,2}</v>
      </c>
      <c r="AH434" s="142" t="str">
        <f t="shared" si="155"/>
        <v>{progress,0,5401019,1}</v>
      </c>
      <c r="AI434" s="142"/>
      <c r="AJ434" s="142" t="str">
        <f t="shared" si="195"/>
        <v>{progress_rate_roll,100,1000,9,1}</v>
      </c>
      <c r="AN434" s="142" t="str">
        <f t="shared" si="143"/>
        <v>{progress,1,21363,1}</v>
      </c>
      <c r="AO434" s="142" t="str">
        <f t="shared" si="165"/>
        <v>{progress_rate_roll,100,5000,21363,1}</v>
      </c>
      <c r="AP434" s="142" t="str">
        <f t="shared" si="149"/>
        <v>[{progress_rate,2,150},{progress,0,2,372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34" s="142" t="str">
        <f t="shared" si="166"/>
        <v>[{progress_rate,2,150},{progress,0,2,372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34" s="142" t="str">
        <f t="shared" si="150"/>
        <v>[{progress_rate,2,150},{progress,0,2,372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34" s="142" t="str">
        <f t="shared" si="144"/>
        <v>[{progress_rate,2,150},{progress,0,2,372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34" s="142" t="str">
        <f t="shared" si="145"/>
        <v>{progress_rate,2,600},{progress_rate,11,1}</v>
      </c>
      <c r="AV434" s="142" t="str">
        <f t="shared" si="191"/>
        <v>{progress_rate,2,600}</v>
      </c>
      <c r="AW434" s="142" t="s">
        <v>175</v>
      </c>
    </row>
    <row r="435" spans="1:49">
      <c r="A435" s="143" t="str">
        <f t="shared" si="138"/>
        <v>[{2,524},{5103001,40},{14,60},{11,0},{5401000,0},{5203001,0},{5303001,0}]</v>
      </c>
      <c r="B435" s="98">
        <v>123</v>
      </c>
      <c r="C435" s="126">
        <v>150</v>
      </c>
      <c r="D435" s="126">
        <v>374</v>
      </c>
      <c r="E435" s="145">
        <v>15</v>
      </c>
      <c r="F435" s="145">
        <v>25</v>
      </c>
      <c r="G435" s="98">
        <v>3</v>
      </c>
      <c r="H435" s="98">
        <v>5</v>
      </c>
      <c r="I435" s="98">
        <v>0.5</v>
      </c>
      <c r="J435" s="98">
        <v>0</v>
      </c>
      <c r="K435" s="98">
        <v>5</v>
      </c>
      <c r="L435" s="98">
        <v>2</v>
      </c>
      <c r="M435" s="98">
        <v>1</v>
      </c>
      <c r="N435" s="98"/>
      <c r="O435" s="98">
        <v>0.1</v>
      </c>
      <c r="P435" s="98">
        <f t="shared" si="139"/>
        <v>146.2</v>
      </c>
      <c r="Q435" s="147">
        <f t="shared" si="140"/>
        <v>7.31</v>
      </c>
      <c r="R435" s="149">
        <v>600</v>
      </c>
      <c r="S435" s="132">
        <f t="shared" si="189"/>
        <v>75</v>
      </c>
      <c r="T435" s="132">
        <f t="shared" si="147"/>
        <v>300</v>
      </c>
      <c r="U435" s="80"/>
      <c r="V435" s="80">
        <v>21363</v>
      </c>
      <c r="W435" s="142">
        <f t="shared" si="141"/>
        <v>123</v>
      </c>
      <c r="X435" s="142" t="str">
        <f t="shared" ref="X435:AD435" si="217">IF(C$311="","{progress_rate,"&amp;C$308&amp;","&amp;C435&amp;"}",IF(C435&gt;=1,"{progress,"&amp;C$311*100&amp;","&amp;C$308&amp;","&amp;C435&amp;"}","{progress_rate_roll,"&amp;C$311*100&amp;","&amp;INT(C435*10000)&amp;","&amp;C$308&amp;","&amp;1&amp;"}"))</f>
        <v>{progress_rate,2,150}</v>
      </c>
      <c r="Y435" s="142" t="str">
        <f t="shared" si="217"/>
        <v>{progress,0,2,374}</v>
      </c>
      <c r="Z435" s="142" t="str">
        <f t="shared" si="217"/>
        <v>{progress,0,5103001,15}</v>
      </c>
      <c r="AA435" s="142" t="str">
        <f t="shared" si="217"/>
        <v>{progress,40,5103003,25}</v>
      </c>
      <c r="AB435" s="142" t="str">
        <f t="shared" si="217"/>
        <v>{progress,0,50025,3}</v>
      </c>
      <c r="AC435" s="142" t="str">
        <f t="shared" si="217"/>
        <v>{progress,50,50002,5}</v>
      </c>
      <c r="AD435" s="142" t="str">
        <f t="shared" si="217"/>
        <v>{progress_rate_roll,100,5000,11,1}</v>
      </c>
      <c r="AF435" s="142" t="str">
        <f t="shared" si="160"/>
        <v>{progress,50,5203001,5}</v>
      </c>
      <c r="AG435" s="142" t="str">
        <f t="shared" si="154"/>
        <v>{progress,40,5303001,2}</v>
      </c>
      <c r="AH435" s="142" t="str">
        <f t="shared" si="155"/>
        <v>{progress,0,5401019,1}</v>
      </c>
      <c r="AI435" s="142"/>
      <c r="AJ435" s="142" t="str">
        <f t="shared" si="195"/>
        <v>{progress_rate_roll,100,1000,9,1}</v>
      </c>
      <c r="AN435" s="142" t="str">
        <f t="shared" si="143"/>
        <v>{progress,1,21363,1}</v>
      </c>
      <c r="AO435" s="142" t="str">
        <f t="shared" si="165"/>
        <v>{progress_rate_roll,100,5000,21363,1}</v>
      </c>
      <c r="AP435" s="142" t="str">
        <f t="shared" si="149"/>
        <v>[{progress_rate,2,150},{progress,0,2,374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35" s="142" t="str">
        <f t="shared" si="166"/>
        <v>[{progress_rate,2,150},{progress,0,2,374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35" s="142" t="str">
        <f t="shared" si="150"/>
        <v>[{progress_rate,2,150},{progress,0,2,374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35" s="142" t="str">
        <f t="shared" si="144"/>
        <v>[{progress_rate,2,150},{progress,0,2,374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35" s="142" t="str">
        <f t="shared" si="145"/>
        <v>{progress_rate,2,600},{progress_rate,11,1}</v>
      </c>
      <c r="AV435" s="142" t="str">
        <f t="shared" si="191"/>
        <v>{progress_rate,2,600}</v>
      </c>
      <c r="AW435" s="142" t="s">
        <v>175</v>
      </c>
    </row>
    <row r="436" spans="1:49">
      <c r="A436" s="143" t="str">
        <f t="shared" si="138"/>
        <v>[{2,526},{5103001,40},{14,60},{11,0},{5401000,0},{5203001,0},{5303001,0}]</v>
      </c>
      <c r="B436" s="98">
        <v>124</v>
      </c>
      <c r="C436" s="126">
        <v>150</v>
      </c>
      <c r="D436" s="126">
        <v>376</v>
      </c>
      <c r="E436" s="145">
        <v>15</v>
      </c>
      <c r="F436" s="145">
        <v>25</v>
      </c>
      <c r="G436" s="98">
        <v>3</v>
      </c>
      <c r="H436" s="98">
        <v>5</v>
      </c>
      <c r="I436" s="98">
        <v>0.5</v>
      </c>
      <c r="J436" s="98">
        <v>0</v>
      </c>
      <c r="K436" s="98">
        <v>5</v>
      </c>
      <c r="L436" s="98">
        <v>2</v>
      </c>
      <c r="M436" s="98">
        <v>1</v>
      </c>
      <c r="N436" s="98"/>
      <c r="O436" s="98">
        <v>0.1</v>
      </c>
      <c r="P436" s="98">
        <f t="shared" si="139"/>
        <v>146.3</v>
      </c>
      <c r="Q436" s="147">
        <f t="shared" si="140"/>
        <v>7.315</v>
      </c>
      <c r="R436" s="149">
        <v>600</v>
      </c>
      <c r="S436" s="132">
        <f t="shared" si="189"/>
        <v>75</v>
      </c>
      <c r="T436" s="132">
        <f t="shared" si="147"/>
        <v>300</v>
      </c>
      <c r="U436" s="80"/>
      <c r="V436" s="80">
        <v>21363</v>
      </c>
      <c r="W436" s="142">
        <f t="shared" si="141"/>
        <v>124</v>
      </c>
      <c r="X436" s="142" t="str">
        <f t="shared" ref="X436:AD436" si="218">IF(C$311="","{progress_rate,"&amp;C$308&amp;","&amp;C436&amp;"}",IF(C436&gt;=1,"{progress,"&amp;C$311*100&amp;","&amp;C$308&amp;","&amp;C436&amp;"}","{progress_rate_roll,"&amp;C$311*100&amp;","&amp;INT(C436*10000)&amp;","&amp;C$308&amp;","&amp;1&amp;"}"))</f>
        <v>{progress_rate,2,150}</v>
      </c>
      <c r="Y436" s="142" t="str">
        <f t="shared" si="218"/>
        <v>{progress,0,2,376}</v>
      </c>
      <c r="Z436" s="142" t="str">
        <f t="shared" si="218"/>
        <v>{progress,0,5103001,15}</v>
      </c>
      <c r="AA436" s="142" t="str">
        <f t="shared" si="218"/>
        <v>{progress,40,5103003,25}</v>
      </c>
      <c r="AB436" s="142" t="str">
        <f t="shared" si="218"/>
        <v>{progress,0,50025,3}</v>
      </c>
      <c r="AC436" s="142" t="str">
        <f t="shared" si="218"/>
        <v>{progress,50,50002,5}</v>
      </c>
      <c r="AD436" s="142" t="str">
        <f t="shared" si="218"/>
        <v>{progress_rate_roll,100,5000,11,1}</v>
      </c>
      <c r="AF436" s="142" t="str">
        <f t="shared" si="160"/>
        <v>{progress,50,5203001,5}</v>
      </c>
      <c r="AG436" s="142" t="str">
        <f t="shared" si="154"/>
        <v>{progress,40,5303001,2}</v>
      </c>
      <c r="AH436" s="142" t="str">
        <f t="shared" si="155"/>
        <v>{progress,0,5401019,1}</v>
      </c>
      <c r="AI436" s="142"/>
      <c r="AJ436" s="142" t="str">
        <f t="shared" si="195"/>
        <v>{progress_rate_roll,100,1000,9,1}</v>
      </c>
      <c r="AN436" s="142" t="str">
        <f t="shared" si="143"/>
        <v>{progress,1,21363,1}</v>
      </c>
      <c r="AO436" s="142" t="str">
        <f t="shared" si="165"/>
        <v>{progress_rate_roll,100,5000,21363,1}</v>
      </c>
      <c r="AP436" s="142" t="str">
        <f t="shared" si="149"/>
        <v>[{progress_rate,2,150},{progress,0,2,376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36" s="142" t="str">
        <f t="shared" si="166"/>
        <v>[{progress_rate,2,150},{progress,0,2,376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36" s="142" t="str">
        <f t="shared" si="150"/>
        <v>[{progress_rate,2,150},{progress,0,2,376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36" s="142" t="str">
        <f t="shared" si="144"/>
        <v>[{progress_rate,2,150},{progress,0,2,376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36" s="142" t="str">
        <f t="shared" si="145"/>
        <v>{progress_rate,2,600},{progress_rate,11,1}</v>
      </c>
      <c r="AV436" s="142" t="str">
        <f t="shared" si="191"/>
        <v>{progress_rate,2,600}</v>
      </c>
      <c r="AW436" s="142" t="s">
        <v>175</v>
      </c>
    </row>
    <row r="437" spans="1:49">
      <c r="A437" s="143" t="str">
        <f t="shared" si="138"/>
        <v>[{2,528},{5103001,40},{14,60},{11,0},{5401000,0},{5203001,0},{5303001,0}]</v>
      </c>
      <c r="B437" s="98">
        <v>125</v>
      </c>
      <c r="C437" s="126">
        <v>152</v>
      </c>
      <c r="D437" s="126">
        <v>376</v>
      </c>
      <c r="E437" s="145">
        <v>15</v>
      </c>
      <c r="F437" s="145">
        <v>25</v>
      </c>
      <c r="G437" s="98">
        <v>3</v>
      </c>
      <c r="H437" s="98">
        <v>5</v>
      </c>
      <c r="I437" s="98">
        <v>0.5</v>
      </c>
      <c r="J437" s="98">
        <v>0</v>
      </c>
      <c r="K437" s="98">
        <v>5</v>
      </c>
      <c r="L437" s="98">
        <v>2</v>
      </c>
      <c r="M437" s="98">
        <v>1</v>
      </c>
      <c r="N437" s="98"/>
      <c r="O437" s="98">
        <v>0.1</v>
      </c>
      <c r="P437" s="98">
        <f t="shared" si="139"/>
        <v>146.4</v>
      </c>
      <c r="Q437" s="147">
        <f t="shared" si="140"/>
        <v>7.32</v>
      </c>
      <c r="R437" s="149">
        <v>600</v>
      </c>
      <c r="S437" s="132">
        <f t="shared" si="189"/>
        <v>76</v>
      </c>
      <c r="T437" s="132">
        <f t="shared" si="147"/>
        <v>304</v>
      </c>
      <c r="U437" s="80"/>
      <c r="V437" s="80">
        <v>21363</v>
      </c>
      <c r="W437" s="142">
        <f t="shared" si="141"/>
        <v>125</v>
      </c>
      <c r="X437" s="142" t="str">
        <f t="shared" ref="X437:AD437" si="219">IF(C$311="","{progress_rate,"&amp;C$308&amp;","&amp;C437&amp;"}",IF(C437&gt;=1,"{progress,"&amp;C$311*100&amp;","&amp;C$308&amp;","&amp;C437&amp;"}","{progress_rate_roll,"&amp;C$311*100&amp;","&amp;INT(C437*10000)&amp;","&amp;C$308&amp;","&amp;1&amp;"}"))</f>
        <v>{progress_rate,2,152}</v>
      </c>
      <c r="Y437" s="142" t="str">
        <f t="shared" si="219"/>
        <v>{progress,0,2,376}</v>
      </c>
      <c r="Z437" s="142" t="str">
        <f t="shared" si="219"/>
        <v>{progress,0,5103001,15}</v>
      </c>
      <c r="AA437" s="142" t="str">
        <f t="shared" si="219"/>
        <v>{progress,40,5103003,25}</v>
      </c>
      <c r="AB437" s="142" t="str">
        <f t="shared" si="219"/>
        <v>{progress,0,50025,3}</v>
      </c>
      <c r="AC437" s="142" t="str">
        <f t="shared" si="219"/>
        <v>{progress,50,50002,5}</v>
      </c>
      <c r="AD437" s="142" t="str">
        <f t="shared" si="219"/>
        <v>{progress_rate_roll,100,5000,11,1}</v>
      </c>
      <c r="AF437" s="142" t="str">
        <f t="shared" si="160"/>
        <v>{progress,50,5203001,5}</v>
      </c>
      <c r="AG437" s="142" t="str">
        <f t="shared" si="154"/>
        <v>{progress,40,5303001,2}</v>
      </c>
      <c r="AH437" s="142" t="str">
        <f t="shared" si="155"/>
        <v>{progress,0,5401019,1}</v>
      </c>
      <c r="AI437" s="142"/>
      <c r="AJ437" s="142" t="str">
        <f t="shared" si="195"/>
        <v>{progress_rate_roll,100,1000,9,1}</v>
      </c>
      <c r="AN437" s="142" t="str">
        <f t="shared" si="143"/>
        <v>{progress,1,21363,1}</v>
      </c>
      <c r="AO437" s="142" t="str">
        <f t="shared" si="165"/>
        <v>{progress_rate_roll,100,5000,21363,1}</v>
      </c>
      <c r="AP437" s="142" t="str">
        <f t="shared" si="149"/>
        <v>[{progress_rate,2,152},{progress,0,2,376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37" s="142" t="str">
        <f t="shared" si="166"/>
        <v>[{progress_rate,2,152},{progress,0,2,376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37" s="142" t="str">
        <f t="shared" si="150"/>
        <v>[{progress_rate,2,152},{progress,0,2,376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37" s="142" t="str">
        <f t="shared" si="144"/>
        <v>[{progress_rate,2,152},{progress,0,2,376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37" s="142" t="str">
        <f t="shared" si="145"/>
        <v>{progress_rate,2,600},{progress_rate,11,1}</v>
      </c>
      <c r="AV437" s="142" t="str">
        <f t="shared" si="191"/>
        <v>{progress_rate,2,600}</v>
      </c>
      <c r="AW437" s="142" t="s">
        <v>175</v>
      </c>
    </row>
    <row r="438" spans="1:49">
      <c r="A438" s="143" t="str">
        <f t="shared" si="138"/>
        <v>[{2,530},{5103001,40},{14,60},{11,0},{5401000,0},{5203001,0},{5303001,0}]</v>
      </c>
      <c r="B438" s="98">
        <v>126</v>
      </c>
      <c r="C438" s="126">
        <v>152</v>
      </c>
      <c r="D438" s="126">
        <v>378</v>
      </c>
      <c r="E438" s="145">
        <v>15</v>
      </c>
      <c r="F438" s="145">
        <v>25</v>
      </c>
      <c r="G438" s="98">
        <v>3</v>
      </c>
      <c r="H438" s="98">
        <v>5</v>
      </c>
      <c r="I438" s="98">
        <v>0.5</v>
      </c>
      <c r="J438" s="98">
        <v>0</v>
      </c>
      <c r="K438" s="98">
        <v>5</v>
      </c>
      <c r="L438" s="98">
        <v>2</v>
      </c>
      <c r="M438" s="98">
        <v>1</v>
      </c>
      <c r="N438" s="98"/>
      <c r="O438" s="98">
        <v>0.1</v>
      </c>
      <c r="P438" s="98">
        <f t="shared" si="139"/>
        <v>146.5</v>
      </c>
      <c r="Q438" s="147">
        <f t="shared" si="140"/>
        <v>7.325</v>
      </c>
      <c r="R438" s="149">
        <v>600</v>
      </c>
      <c r="S438" s="132">
        <f t="shared" si="189"/>
        <v>76</v>
      </c>
      <c r="T438" s="132">
        <f t="shared" si="147"/>
        <v>304</v>
      </c>
      <c r="U438" s="80"/>
      <c r="V438" s="80">
        <v>21363</v>
      </c>
      <c r="W438" s="142">
        <f t="shared" si="141"/>
        <v>126</v>
      </c>
      <c r="X438" s="142" t="str">
        <f t="shared" ref="X438:AD438" si="220">IF(C$311="","{progress_rate,"&amp;C$308&amp;","&amp;C438&amp;"}",IF(C438&gt;=1,"{progress,"&amp;C$311*100&amp;","&amp;C$308&amp;","&amp;C438&amp;"}","{progress_rate_roll,"&amp;C$311*100&amp;","&amp;INT(C438*10000)&amp;","&amp;C$308&amp;","&amp;1&amp;"}"))</f>
        <v>{progress_rate,2,152}</v>
      </c>
      <c r="Y438" s="142" t="str">
        <f t="shared" si="220"/>
        <v>{progress,0,2,378}</v>
      </c>
      <c r="Z438" s="142" t="str">
        <f t="shared" si="220"/>
        <v>{progress,0,5103001,15}</v>
      </c>
      <c r="AA438" s="142" t="str">
        <f t="shared" si="220"/>
        <v>{progress,40,5103003,25}</v>
      </c>
      <c r="AB438" s="142" t="str">
        <f t="shared" si="220"/>
        <v>{progress,0,50025,3}</v>
      </c>
      <c r="AC438" s="142" t="str">
        <f t="shared" si="220"/>
        <v>{progress,50,50002,5}</v>
      </c>
      <c r="AD438" s="142" t="str">
        <f t="shared" si="220"/>
        <v>{progress_rate_roll,100,5000,11,1}</v>
      </c>
      <c r="AF438" s="142" t="str">
        <f t="shared" si="160"/>
        <v>{progress,50,5203001,5}</v>
      </c>
      <c r="AG438" s="142" t="str">
        <f t="shared" si="154"/>
        <v>{progress,40,5303001,2}</v>
      </c>
      <c r="AH438" s="142" t="str">
        <f t="shared" si="155"/>
        <v>{progress,0,5401019,1}</v>
      </c>
      <c r="AI438" s="142"/>
      <c r="AJ438" s="142" t="str">
        <f t="shared" si="195"/>
        <v>{progress_rate_roll,100,1000,9,1}</v>
      </c>
      <c r="AN438" s="142" t="str">
        <f t="shared" si="143"/>
        <v>{progress,1,21363,1}</v>
      </c>
      <c r="AO438" s="142" t="str">
        <f t="shared" si="165"/>
        <v>{progress_rate_roll,100,5000,21363,1}</v>
      </c>
      <c r="AP438" s="142" t="str">
        <f t="shared" si="149"/>
        <v>[{progress_rate,2,152},{progress,0,2,378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38" s="142" t="str">
        <f t="shared" si="166"/>
        <v>[{progress_rate,2,152},{progress,0,2,378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38" s="142" t="str">
        <f t="shared" si="150"/>
        <v>[{progress_rate,2,152},{progress,0,2,378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38" s="142" t="str">
        <f t="shared" si="144"/>
        <v>[{progress_rate,2,152},{progress,0,2,378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38" s="142" t="str">
        <f t="shared" si="145"/>
        <v>{progress_rate,2,600},{progress_rate,11,1}</v>
      </c>
      <c r="AV438" s="142" t="str">
        <f t="shared" si="191"/>
        <v>{progress_rate,2,600}</v>
      </c>
      <c r="AW438" s="142" t="s">
        <v>175</v>
      </c>
    </row>
    <row r="439" spans="1:49">
      <c r="A439" s="143" t="str">
        <f t="shared" si="138"/>
        <v>[{2,532},{5103001,40},{14,60},{11,0},{5401000,0},{5203001,0},{5303001,0}]</v>
      </c>
      <c r="B439" s="98">
        <v>127</v>
      </c>
      <c r="C439" s="126">
        <v>152</v>
      </c>
      <c r="D439" s="126">
        <v>380</v>
      </c>
      <c r="E439" s="145">
        <v>15</v>
      </c>
      <c r="F439" s="145">
        <v>25</v>
      </c>
      <c r="G439" s="98">
        <v>3</v>
      </c>
      <c r="H439" s="98">
        <v>5</v>
      </c>
      <c r="I439" s="98">
        <v>0.5</v>
      </c>
      <c r="J439" s="98">
        <v>0</v>
      </c>
      <c r="K439" s="98">
        <v>5</v>
      </c>
      <c r="L439" s="98">
        <v>2</v>
      </c>
      <c r="M439" s="98">
        <v>1</v>
      </c>
      <c r="N439" s="98"/>
      <c r="O439" s="98">
        <v>0.1</v>
      </c>
      <c r="P439" s="98">
        <f t="shared" si="139"/>
        <v>146.6</v>
      </c>
      <c r="Q439" s="147">
        <f t="shared" si="140"/>
        <v>7.33</v>
      </c>
      <c r="R439" s="149">
        <v>600</v>
      </c>
      <c r="S439" s="132">
        <f t="shared" si="189"/>
        <v>76</v>
      </c>
      <c r="T439" s="132">
        <f t="shared" si="147"/>
        <v>304</v>
      </c>
      <c r="U439" s="80"/>
      <c r="V439" s="80">
        <v>21363</v>
      </c>
      <c r="W439" s="142">
        <f t="shared" si="141"/>
        <v>127</v>
      </c>
      <c r="X439" s="142" t="str">
        <f t="shared" ref="X439:AD439" si="221">IF(C$311="","{progress_rate,"&amp;C$308&amp;","&amp;C439&amp;"}",IF(C439&gt;=1,"{progress,"&amp;C$311*100&amp;","&amp;C$308&amp;","&amp;C439&amp;"}","{progress_rate_roll,"&amp;C$311*100&amp;","&amp;INT(C439*10000)&amp;","&amp;C$308&amp;","&amp;1&amp;"}"))</f>
        <v>{progress_rate,2,152}</v>
      </c>
      <c r="Y439" s="142" t="str">
        <f t="shared" si="221"/>
        <v>{progress,0,2,380}</v>
      </c>
      <c r="Z439" s="142" t="str">
        <f t="shared" si="221"/>
        <v>{progress,0,5103001,15}</v>
      </c>
      <c r="AA439" s="142" t="str">
        <f t="shared" si="221"/>
        <v>{progress,40,5103003,25}</v>
      </c>
      <c r="AB439" s="142" t="str">
        <f t="shared" si="221"/>
        <v>{progress,0,50025,3}</v>
      </c>
      <c r="AC439" s="142" t="str">
        <f t="shared" si="221"/>
        <v>{progress,50,50002,5}</v>
      </c>
      <c r="AD439" s="142" t="str">
        <f t="shared" si="221"/>
        <v>{progress_rate_roll,100,5000,11,1}</v>
      </c>
      <c r="AF439" s="142" t="str">
        <f t="shared" si="160"/>
        <v>{progress,50,5203001,5}</v>
      </c>
      <c r="AG439" s="142" t="str">
        <f t="shared" si="154"/>
        <v>{progress,40,5303001,2}</v>
      </c>
      <c r="AH439" s="142" t="str">
        <f t="shared" si="155"/>
        <v>{progress,0,5401019,1}</v>
      </c>
      <c r="AI439" s="142"/>
      <c r="AJ439" s="142" t="str">
        <f t="shared" si="195"/>
        <v>{progress_rate_roll,100,1000,9,1}</v>
      </c>
      <c r="AN439" s="142" t="str">
        <f t="shared" si="143"/>
        <v>{progress,1,21363,1}</v>
      </c>
      <c r="AO439" s="142" t="str">
        <f t="shared" si="165"/>
        <v>{progress_rate_roll,100,5000,21363,1}</v>
      </c>
      <c r="AP439" s="142" t="str">
        <f t="shared" si="149"/>
        <v>[{progress_rate,2,152},{progress,0,2,380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39" s="142" t="str">
        <f t="shared" si="166"/>
        <v>[{progress_rate,2,152},{progress,0,2,380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39" s="142" t="str">
        <f t="shared" si="150"/>
        <v>[{progress_rate,2,152},{progress,0,2,380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39" s="142" t="str">
        <f t="shared" si="144"/>
        <v>[{progress_rate,2,152},{progress,0,2,380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39" s="142" t="str">
        <f t="shared" si="145"/>
        <v>{progress_rate,2,600},{progress_rate,11,1}</v>
      </c>
      <c r="AV439" s="142" t="str">
        <f t="shared" si="191"/>
        <v>{progress_rate,2,600}</v>
      </c>
      <c r="AW439" s="142" t="s">
        <v>175</v>
      </c>
    </row>
    <row r="440" spans="1:49">
      <c r="A440" s="143" t="str">
        <f t="shared" si="138"/>
        <v>[{2,534},{5103001,40},{14,60},{11,0},{5401000,0},{5203001,0},{5303001,0}]</v>
      </c>
      <c r="B440" s="98">
        <v>128</v>
      </c>
      <c r="C440" s="126">
        <v>154</v>
      </c>
      <c r="D440" s="126">
        <v>380</v>
      </c>
      <c r="E440" s="145">
        <v>15</v>
      </c>
      <c r="F440" s="145">
        <v>25</v>
      </c>
      <c r="G440" s="98">
        <v>3</v>
      </c>
      <c r="H440" s="98">
        <v>5</v>
      </c>
      <c r="I440" s="98">
        <v>0.5</v>
      </c>
      <c r="J440" s="98">
        <v>0</v>
      </c>
      <c r="K440" s="98">
        <v>5</v>
      </c>
      <c r="L440" s="98">
        <v>2</v>
      </c>
      <c r="M440" s="98">
        <v>1</v>
      </c>
      <c r="N440" s="98"/>
      <c r="O440" s="98">
        <v>0.1</v>
      </c>
      <c r="P440" s="98">
        <f t="shared" si="139"/>
        <v>146.7</v>
      </c>
      <c r="Q440" s="147">
        <f t="shared" si="140"/>
        <v>7.335</v>
      </c>
      <c r="R440" s="149">
        <v>600</v>
      </c>
      <c r="S440" s="132">
        <f t="shared" si="189"/>
        <v>77</v>
      </c>
      <c r="T440" s="132">
        <f t="shared" si="147"/>
        <v>308</v>
      </c>
      <c r="U440" s="80"/>
      <c r="V440" s="80">
        <v>21363</v>
      </c>
      <c r="W440" s="142">
        <f t="shared" si="141"/>
        <v>128</v>
      </c>
      <c r="X440" s="142" t="str">
        <f t="shared" ref="X440:AD440" si="222">IF(C$311="","{progress_rate,"&amp;C$308&amp;","&amp;C440&amp;"}",IF(C440&gt;=1,"{progress,"&amp;C$311*100&amp;","&amp;C$308&amp;","&amp;C440&amp;"}","{progress_rate_roll,"&amp;C$311*100&amp;","&amp;INT(C440*10000)&amp;","&amp;C$308&amp;","&amp;1&amp;"}"))</f>
        <v>{progress_rate,2,154}</v>
      </c>
      <c r="Y440" s="142" t="str">
        <f t="shared" si="222"/>
        <v>{progress,0,2,380}</v>
      </c>
      <c r="Z440" s="142" t="str">
        <f t="shared" si="222"/>
        <v>{progress,0,5103001,15}</v>
      </c>
      <c r="AA440" s="142" t="str">
        <f t="shared" si="222"/>
        <v>{progress,40,5103003,25}</v>
      </c>
      <c r="AB440" s="142" t="str">
        <f t="shared" si="222"/>
        <v>{progress,0,50025,3}</v>
      </c>
      <c r="AC440" s="142" t="str">
        <f t="shared" si="222"/>
        <v>{progress,50,50002,5}</v>
      </c>
      <c r="AD440" s="142" t="str">
        <f t="shared" si="222"/>
        <v>{progress_rate_roll,100,5000,11,1}</v>
      </c>
      <c r="AF440" s="142" t="str">
        <f t="shared" si="160"/>
        <v>{progress,50,5203001,5}</v>
      </c>
      <c r="AG440" s="142" t="str">
        <f t="shared" si="154"/>
        <v>{progress,40,5303001,2}</v>
      </c>
      <c r="AH440" s="142" t="str">
        <f t="shared" si="155"/>
        <v>{progress,0,5401019,1}</v>
      </c>
      <c r="AI440" s="142"/>
      <c r="AJ440" s="142" t="str">
        <f t="shared" si="195"/>
        <v>{progress_rate_roll,100,1000,9,1}</v>
      </c>
      <c r="AN440" s="142" t="str">
        <f t="shared" si="143"/>
        <v>{progress,1,21363,1}</v>
      </c>
      <c r="AO440" s="142" t="str">
        <f t="shared" si="165"/>
        <v>{progress_rate_roll,100,5000,21363,1}</v>
      </c>
      <c r="AP440" s="142" t="str">
        <f t="shared" si="149"/>
        <v>[{progress_rate,2,154},{progress,0,2,380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40" s="142" t="str">
        <f t="shared" si="166"/>
        <v>[{progress_rate,2,154},{progress,0,2,380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40" s="142" t="str">
        <f t="shared" si="150"/>
        <v>[{progress_rate,2,154},{progress,0,2,380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40" s="142" t="str">
        <f t="shared" si="144"/>
        <v>[{progress_rate,2,154},{progress,0,2,380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40" s="142" t="str">
        <f t="shared" si="145"/>
        <v>{progress_rate,2,600},{progress_rate,11,1}</v>
      </c>
      <c r="AV440" s="142" t="str">
        <f t="shared" si="191"/>
        <v>{progress_rate,2,600}</v>
      </c>
      <c r="AW440" s="142" t="s">
        <v>175</v>
      </c>
    </row>
    <row r="441" spans="1:49">
      <c r="A441" s="143" t="str">
        <f t="shared" ref="A441:A504" si="223">"[{2,"&amp;C441+D441&amp;"},{5103001,"&amp;E441+F441&amp;"},{14,60},{11,0}"&amp;IF(M441&gt;0,",{5401000,0}","")&amp;IF(K441&gt;0,",{5203001,0}","")&amp;IF(L441&gt;0,",{5303001,0}","")&amp;"]"</f>
        <v>[{2,536},{5103001,40},{14,60},{11,0},{5401000,0},{5203001,0},{5303001,0}]</v>
      </c>
      <c r="B441" s="98">
        <v>129</v>
      </c>
      <c r="C441" s="126">
        <v>154</v>
      </c>
      <c r="D441" s="126">
        <v>382</v>
      </c>
      <c r="E441" s="145">
        <v>15</v>
      </c>
      <c r="F441" s="145">
        <v>25</v>
      </c>
      <c r="G441" s="98">
        <v>3</v>
      </c>
      <c r="H441" s="98">
        <v>5</v>
      </c>
      <c r="I441" s="98">
        <v>0.5</v>
      </c>
      <c r="J441" s="98">
        <v>0</v>
      </c>
      <c r="K441" s="98">
        <v>5</v>
      </c>
      <c r="L441" s="98">
        <v>2</v>
      </c>
      <c r="M441" s="98">
        <v>1</v>
      </c>
      <c r="N441" s="98"/>
      <c r="O441" s="98">
        <v>0.1</v>
      </c>
      <c r="P441" s="98">
        <f t="shared" ref="P441:P504" si="224">SUMPRODUCT(C441:N441,$C$309:$N$309)</f>
        <v>146.8</v>
      </c>
      <c r="Q441" s="147">
        <f t="shared" ref="Q441:Q504" si="225">P441/20</f>
        <v>7.34</v>
      </c>
      <c r="R441" s="149">
        <v>600</v>
      </c>
      <c r="S441" s="132">
        <f t="shared" si="189"/>
        <v>77</v>
      </c>
      <c r="T441" s="132">
        <f t="shared" si="147"/>
        <v>308</v>
      </c>
      <c r="U441" s="80"/>
      <c r="V441" s="80">
        <v>21363</v>
      </c>
      <c r="W441" s="142">
        <f t="shared" ref="W441:W496" si="226">B441</f>
        <v>129</v>
      </c>
      <c r="X441" s="142" t="str">
        <f t="shared" ref="X441:AD441" si="227">IF(C$311="","{progress_rate,"&amp;C$308&amp;","&amp;C441&amp;"}",IF(C441&gt;=1,"{progress,"&amp;C$311*100&amp;","&amp;C$308&amp;","&amp;C441&amp;"}","{progress_rate_roll,"&amp;C$311*100&amp;","&amp;INT(C441*10000)&amp;","&amp;C$308&amp;","&amp;1&amp;"}"))</f>
        <v>{progress_rate,2,154}</v>
      </c>
      <c r="Y441" s="142" t="str">
        <f t="shared" si="227"/>
        <v>{progress,0,2,382}</v>
      </c>
      <c r="Z441" s="142" t="str">
        <f t="shared" si="227"/>
        <v>{progress,0,5103001,15}</v>
      </c>
      <c r="AA441" s="142" t="str">
        <f t="shared" si="227"/>
        <v>{progress,40,5103003,25}</v>
      </c>
      <c r="AB441" s="142" t="str">
        <f t="shared" si="227"/>
        <v>{progress,0,50025,3}</v>
      </c>
      <c r="AC441" s="142" t="str">
        <f t="shared" si="227"/>
        <v>{progress,50,50002,5}</v>
      </c>
      <c r="AD441" s="142" t="str">
        <f t="shared" si="227"/>
        <v>{progress_rate_roll,100,5000,11,1}</v>
      </c>
      <c r="AF441" s="142" t="str">
        <f t="shared" si="160"/>
        <v>{progress,50,5203001,5}</v>
      </c>
      <c r="AG441" s="142" t="str">
        <f t="shared" si="154"/>
        <v>{progress,40,5303001,2}</v>
      </c>
      <c r="AH441" s="142" t="str">
        <f t="shared" si="155"/>
        <v>{progress,0,5401019,1}</v>
      </c>
      <c r="AI441" s="142"/>
      <c r="AJ441" s="142" t="str">
        <f t="shared" si="195"/>
        <v>{progress_rate_roll,100,1000,9,1}</v>
      </c>
      <c r="AN441" s="142" t="str">
        <f t="shared" ref="AN441:AN496" si="228">"{progress,1,"&amp;V441&amp;",1}"</f>
        <v>{progress,1,21363,1}</v>
      </c>
      <c r="AO441" s="142" t="str">
        <f t="shared" si="165"/>
        <v>{progress_rate_roll,100,5000,21363,1}</v>
      </c>
      <c r="AP441" s="142" t="str">
        <f t="shared" si="149"/>
        <v>[{progress_rate,2,154},{progress,0,2,382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41" s="142" t="str">
        <f t="shared" si="166"/>
        <v>[{progress_rate,2,154},{progress,0,2,382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41" s="142" t="str">
        <f t="shared" si="150"/>
        <v>[{progress_rate,2,154},{progress,0,2,382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41" s="142" t="str">
        <f t="shared" ref="AS441:AS496" si="229">IF(AT441="",SUBSTITUTE(AQ441,"]",","&amp;AU441&amp;"]"),SUBSTITUTE(SUBSTITUTE(SUBSTITUTE(AQ441,"]",","&amp;AU441&amp;"]"),$G$308,AT441),$H$308,SUBSTITUTE(AT441+1,50009,50003)))</f>
        <v>[{progress_rate,2,154},{progress,0,2,382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41" s="142" t="str">
        <f t="shared" ref="AU441:AU496" si="230">_xlfn.TEXTJOIN(",",1,AV441:BD441)</f>
        <v>{progress_rate,2,600},{progress_rate,11,1}</v>
      </c>
      <c r="AV441" s="142" t="str">
        <f t="shared" si="191"/>
        <v>{progress_rate,2,600}</v>
      </c>
      <c r="AW441" s="142" t="s">
        <v>175</v>
      </c>
    </row>
    <row r="442" spans="1:49">
      <c r="A442" s="143" t="str">
        <f t="shared" si="223"/>
        <v>[{2,538},{5103001,40},{14,60},{11,0},{5401000,0},{5203001,0},{5303001,0}]</v>
      </c>
      <c r="B442" s="98">
        <v>130</v>
      </c>
      <c r="C442" s="126">
        <v>154</v>
      </c>
      <c r="D442" s="126">
        <v>384</v>
      </c>
      <c r="E442" s="145">
        <v>15</v>
      </c>
      <c r="F442" s="145">
        <v>25</v>
      </c>
      <c r="G442" s="98">
        <v>3</v>
      </c>
      <c r="H442" s="98">
        <v>5</v>
      </c>
      <c r="I442" s="98">
        <v>0.5</v>
      </c>
      <c r="J442" s="98">
        <v>0</v>
      </c>
      <c r="K442" s="98">
        <v>5</v>
      </c>
      <c r="L442" s="98">
        <v>2</v>
      </c>
      <c r="M442" s="98">
        <v>1</v>
      </c>
      <c r="N442" s="98"/>
      <c r="O442" s="98">
        <v>0.1</v>
      </c>
      <c r="P442" s="98">
        <f t="shared" si="224"/>
        <v>146.9</v>
      </c>
      <c r="Q442" s="147">
        <f t="shared" si="225"/>
        <v>7.345</v>
      </c>
      <c r="R442" s="149">
        <v>600</v>
      </c>
      <c r="S442" s="132">
        <f t="shared" ref="S442:S473" si="231">C442/2</f>
        <v>77</v>
      </c>
      <c r="T442" s="132">
        <f t="shared" ref="T442:T505" si="232">C442*2</f>
        <v>308</v>
      </c>
      <c r="U442" s="80"/>
      <c r="V442" s="80">
        <v>21363</v>
      </c>
      <c r="W442" s="142">
        <f t="shared" si="226"/>
        <v>130</v>
      </c>
      <c r="X442" s="142" t="str">
        <f t="shared" ref="X442:AD442" si="233">IF(C$311="","{progress_rate,"&amp;C$308&amp;","&amp;C442&amp;"}",IF(C442&gt;=1,"{progress,"&amp;C$311*100&amp;","&amp;C$308&amp;","&amp;C442&amp;"}","{progress_rate_roll,"&amp;C$311*100&amp;","&amp;INT(C442*10000)&amp;","&amp;C$308&amp;","&amp;1&amp;"}"))</f>
        <v>{progress_rate,2,154}</v>
      </c>
      <c r="Y442" s="142" t="str">
        <f t="shared" si="233"/>
        <v>{progress,0,2,384}</v>
      </c>
      <c r="Z442" s="142" t="str">
        <f t="shared" si="233"/>
        <v>{progress,0,5103001,15}</v>
      </c>
      <c r="AA442" s="142" t="str">
        <f t="shared" si="233"/>
        <v>{progress,40,5103003,25}</v>
      </c>
      <c r="AB442" s="142" t="str">
        <f t="shared" si="233"/>
        <v>{progress,0,50025,3}</v>
      </c>
      <c r="AC442" s="142" t="str">
        <f t="shared" si="233"/>
        <v>{progress,50,50002,5}</v>
      </c>
      <c r="AD442" s="142" t="str">
        <f t="shared" si="233"/>
        <v>{progress_rate_roll,100,5000,11,1}</v>
      </c>
      <c r="AF442" s="142" t="str">
        <f t="shared" si="160"/>
        <v>{progress,50,5203001,5}</v>
      </c>
      <c r="AG442" s="142" t="str">
        <f t="shared" si="154"/>
        <v>{progress,40,5303001,2}</v>
      </c>
      <c r="AH442" s="142" t="str">
        <f t="shared" si="155"/>
        <v>{progress,0,5401019,1}</v>
      </c>
      <c r="AI442" s="142"/>
      <c r="AJ442" s="142" t="str">
        <f t="shared" si="195"/>
        <v>{progress_rate_roll,100,1000,9,1}</v>
      </c>
      <c r="AN442" s="142" t="str">
        <f t="shared" si="228"/>
        <v>{progress,1,21363,1}</v>
      </c>
      <c r="AO442" s="142" t="str">
        <f t="shared" si="165"/>
        <v>{progress_rate_roll,100,5000,21363,1}</v>
      </c>
      <c r="AP442" s="142" t="str">
        <f t="shared" ref="AP442:AP505" si="234">"["&amp;_xlfn.TEXTJOIN(",",1,X442:AO442)&amp;"]"</f>
        <v>[{progress_rate,2,154},{progress,0,2,384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42" s="142" t="str">
        <f t="shared" si="166"/>
        <v>[{progress_rate,2,154},{progress,0,2,384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42" s="142" t="str">
        <f t="shared" ref="AR442:AR505" si="235">SUBSTITUTE(AS442,",{progress_rate_roll,100,5000,11,1}","")</f>
        <v>[{progress_rate,2,154},{progress,0,2,384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42" s="142" t="str">
        <f t="shared" si="229"/>
        <v>[{progress_rate,2,154},{progress,0,2,384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42" s="142" t="str">
        <f t="shared" si="230"/>
        <v>{progress_rate,2,600},{progress_rate,11,1}</v>
      </c>
      <c r="AV442" s="142" t="str">
        <f t="shared" ref="AV442:AV473" si="236">"{progress_rate,2,"&amp;MIN(1200,600+INT(B442/10)*0)&amp;"}"</f>
        <v>{progress_rate,2,600}</v>
      </c>
      <c r="AW442" s="142" t="s">
        <v>175</v>
      </c>
    </row>
    <row r="443" spans="1:49">
      <c r="A443" s="143" t="str">
        <f t="shared" si="223"/>
        <v>[{2,540},{5103001,40},{14,60},{11,0},{5401000,0},{5203001,0},{5303001,0}]</v>
      </c>
      <c r="B443" s="98">
        <v>131</v>
      </c>
      <c r="C443" s="126">
        <v>154</v>
      </c>
      <c r="D443" s="126">
        <v>386</v>
      </c>
      <c r="E443" s="145">
        <v>15</v>
      </c>
      <c r="F443" s="145">
        <v>25</v>
      </c>
      <c r="G443" s="98">
        <v>3</v>
      </c>
      <c r="H443" s="98">
        <v>5</v>
      </c>
      <c r="I443" s="98">
        <v>0.5</v>
      </c>
      <c r="J443" s="98">
        <v>0</v>
      </c>
      <c r="K443" s="98">
        <v>5</v>
      </c>
      <c r="L443" s="98">
        <v>2</v>
      </c>
      <c r="M443" s="98">
        <v>1</v>
      </c>
      <c r="N443" s="98"/>
      <c r="O443" s="98">
        <v>0.1</v>
      </c>
      <c r="P443" s="98">
        <f t="shared" si="224"/>
        <v>147</v>
      </c>
      <c r="Q443" s="147">
        <f t="shared" si="225"/>
        <v>7.35</v>
      </c>
      <c r="R443" s="149">
        <v>600</v>
      </c>
      <c r="S443" s="132">
        <f t="shared" si="231"/>
        <v>77</v>
      </c>
      <c r="T443" s="132">
        <f t="shared" si="232"/>
        <v>308</v>
      </c>
      <c r="U443" s="80"/>
      <c r="V443" s="80">
        <v>21363</v>
      </c>
      <c r="W443" s="142">
        <f t="shared" si="226"/>
        <v>131</v>
      </c>
      <c r="X443" s="142" t="str">
        <f t="shared" ref="X443:AD443" si="237">IF(C$311="","{progress_rate,"&amp;C$308&amp;","&amp;C443&amp;"}",IF(C443&gt;=1,"{progress,"&amp;C$311*100&amp;","&amp;C$308&amp;","&amp;C443&amp;"}","{progress_rate_roll,"&amp;C$311*100&amp;","&amp;INT(C443*10000)&amp;","&amp;C$308&amp;","&amp;1&amp;"}"))</f>
        <v>{progress_rate,2,154}</v>
      </c>
      <c r="Y443" s="142" t="str">
        <f t="shared" si="237"/>
        <v>{progress,0,2,386}</v>
      </c>
      <c r="Z443" s="142" t="str">
        <f t="shared" si="237"/>
        <v>{progress,0,5103001,15}</v>
      </c>
      <c r="AA443" s="142" t="str">
        <f t="shared" si="237"/>
        <v>{progress,40,5103003,25}</v>
      </c>
      <c r="AB443" s="142" t="str">
        <f t="shared" si="237"/>
        <v>{progress,0,50025,3}</v>
      </c>
      <c r="AC443" s="142" t="str">
        <f t="shared" si="237"/>
        <v>{progress,50,50002,5}</v>
      </c>
      <c r="AD443" s="142" t="str">
        <f t="shared" si="237"/>
        <v>{progress_rate_roll,100,5000,11,1}</v>
      </c>
      <c r="AF443" s="142" t="str">
        <f t="shared" si="160"/>
        <v>{progress,50,5203001,5}</v>
      </c>
      <c r="AG443" s="142" t="str">
        <f t="shared" si="154"/>
        <v>{progress,40,5303001,2}</v>
      </c>
      <c r="AH443" s="142" t="str">
        <f t="shared" si="155"/>
        <v>{progress,0,5401019,1}</v>
      </c>
      <c r="AI443" s="142"/>
      <c r="AJ443" s="142" t="str">
        <f t="shared" si="195"/>
        <v>{progress_rate_roll,100,1000,9,1}</v>
      </c>
      <c r="AN443" s="142" t="str">
        <f t="shared" si="228"/>
        <v>{progress,1,21363,1}</v>
      </c>
      <c r="AO443" s="142" t="str">
        <f t="shared" si="165"/>
        <v>{progress_rate_roll,100,5000,21363,1}</v>
      </c>
      <c r="AP443" s="142" t="str">
        <f t="shared" si="234"/>
        <v>[{progress_rate,2,154},{progress,0,2,386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43" s="142" t="str">
        <f t="shared" si="166"/>
        <v>[{progress_rate,2,154},{progress,0,2,386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43" s="142" t="str">
        <f t="shared" si="235"/>
        <v>[{progress_rate,2,154},{progress,0,2,386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43" s="142" t="str">
        <f t="shared" si="229"/>
        <v>[{progress_rate,2,154},{progress,0,2,386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43" s="142" t="str">
        <f t="shared" si="230"/>
        <v>{progress_rate,2,600},{progress_rate,11,1}</v>
      </c>
      <c r="AV443" s="142" t="str">
        <f t="shared" si="236"/>
        <v>{progress_rate,2,600}</v>
      </c>
      <c r="AW443" s="142" t="s">
        <v>175</v>
      </c>
    </row>
    <row r="444" spans="1:49">
      <c r="A444" s="143" t="str">
        <f t="shared" si="223"/>
        <v>[{2,542},{5103001,40},{14,60},{11,0},{5401000,0},{5203001,0},{5303001,0}]</v>
      </c>
      <c r="B444" s="98">
        <v>132</v>
      </c>
      <c r="C444" s="126">
        <v>156</v>
      </c>
      <c r="D444" s="126">
        <v>386</v>
      </c>
      <c r="E444" s="145">
        <v>15</v>
      </c>
      <c r="F444" s="145">
        <v>25</v>
      </c>
      <c r="G444" s="98">
        <v>3</v>
      </c>
      <c r="H444" s="98">
        <v>5</v>
      </c>
      <c r="I444" s="98">
        <v>0.5</v>
      </c>
      <c r="J444" s="98">
        <v>0</v>
      </c>
      <c r="K444" s="98">
        <v>5</v>
      </c>
      <c r="L444" s="98">
        <v>2</v>
      </c>
      <c r="M444" s="98">
        <v>1</v>
      </c>
      <c r="N444" s="98"/>
      <c r="O444" s="98">
        <v>0.1</v>
      </c>
      <c r="P444" s="98">
        <f t="shared" si="224"/>
        <v>147.1</v>
      </c>
      <c r="Q444" s="147">
        <f t="shared" si="225"/>
        <v>7.355</v>
      </c>
      <c r="R444" s="149">
        <v>600</v>
      </c>
      <c r="S444" s="132">
        <f t="shared" si="231"/>
        <v>78</v>
      </c>
      <c r="T444" s="132">
        <f t="shared" si="232"/>
        <v>312</v>
      </c>
      <c r="U444" s="80"/>
      <c r="V444" s="80">
        <v>21363</v>
      </c>
      <c r="W444" s="142">
        <f t="shared" si="226"/>
        <v>132</v>
      </c>
      <c r="X444" s="142" t="str">
        <f t="shared" ref="X444:AD444" si="238">IF(C$311="","{progress_rate,"&amp;C$308&amp;","&amp;C444&amp;"}",IF(C444&gt;=1,"{progress,"&amp;C$311*100&amp;","&amp;C$308&amp;","&amp;C444&amp;"}","{progress_rate_roll,"&amp;C$311*100&amp;","&amp;INT(C444*10000)&amp;","&amp;C$308&amp;","&amp;1&amp;"}"))</f>
        <v>{progress_rate,2,156}</v>
      </c>
      <c r="Y444" s="142" t="str">
        <f t="shared" si="238"/>
        <v>{progress,0,2,386}</v>
      </c>
      <c r="Z444" s="142" t="str">
        <f t="shared" si="238"/>
        <v>{progress,0,5103001,15}</v>
      </c>
      <c r="AA444" s="142" t="str">
        <f t="shared" si="238"/>
        <v>{progress,40,5103003,25}</v>
      </c>
      <c r="AB444" s="142" t="str">
        <f t="shared" si="238"/>
        <v>{progress,0,50025,3}</v>
      </c>
      <c r="AC444" s="142" t="str">
        <f t="shared" si="238"/>
        <v>{progress,50,50002,5}</v>
      </c>
      <c r="AD444" s="142" t="str">
        <f t="shared" si="238"/>
        <v>{progress_rate_roll,100,5000,11,1}</v>
      </c>
      <c r="AF444" s="142" t="str">
        <f t="shared" si="160"/>
        <v>{progress,50,5203001,5}</v>
      </c>
      <c r="AG444" s="142" t="str">
        <f t="shared" ref="AG444:AG496" si="239">IF(L$311="","{progress_rate,"&amp;L$308&amp;","&amp;L444&amp;"}",IF(L444&gt;=1,"{progress,"&amp;L$311*100&amp;","&amp;L$308&amp;","&amp;L444&amp;"}","{progress_rate_roll,"&amp;L$311*100&amp;","&amp;INT(L444*10000)&amp;","&amp;L$308&amp;","&amp;1&amp;"}"))</f>
        <v>{progress,40,5303001,2}</v>
      </c>
      <c r="AH444" s="142" t="str">
        <f t="shared" ref="AH444:AH496" si="240">IF(M$311="","{progress_rate,"&amp;M$308&amp;","&amp;M444&amp;"}",IF(M444&gt;=1,"{progress,"&amp;M$311*100&amp;","&amp;M$308&amp;","&amp;M444&amp;"}","{progress_rate_roll,"&amp;M$311*100&amp;","&amp;INT(M444*10000)&amp;","&amp;M$308&amp;","&amp;1&amp;"}"))</f>
        <v>{progress,0,5401019,1}</v>
      </c>
      <c r="AI444" s="142"/>
      <c r="AJ444" s="142" t="str">
        <f t="shared" si="195"/>
        <v>{progress_rate_roll,100,1000,9,1}</v>
      </c>
      <c r="AN444" s="142" t="str">
        <f t="shared" si="228"/>
        <v>{progress,1,21363,1}</v>
      </c>
      <c r="AO444" s="142" t="str">
        <f t="shared" si="165"/>
        <v>{progress_rate_roll,100,5000,21363,1}</v>
      </c>
      <c r="AP444" s="142" t="str">
        <f t="shared" si="234"/>
        <v>[{progress_rate,2,156},{progress,0,2,386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44" s="142" t="str">
        <f t="shared" si="166"/>
        <v>[{progress_rate,2,156},{progress,0,2,386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44" s="142" t="str">
        <f t="shared" si="235"/>
        <v>[{progress_rate,2,156},{progress,0,2,386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44" s="142" t="str">
        <f t="shared" si="229"/>
        <v>[{progress_rate,2,156},{progress,0,2,386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44" s="142" t="str">
        <f t="shared" si="230"/>
        <v>{progress_rate,2,600},{progress_rate,11,1}</v>
      </c>
      <c r="AV444" s="142" t="str">
        <f t="shared" si="236"/>
        <v>{progress_rate,2,600}</v>
      </c>
      <c r="AW444" s="142" t="s">
        <v>175</v>
      </c>
    </row>
    <row r="445" spans="1:49">
      <c r="A445" s="143" t="str">
        <f t="shared" si="223"/>
        <v>[{2,544},{5103001,40},{14,60},{11,0},{5401000,0},{5203001,0},{5303001,0}]</v>
      </c>
      <c r="B445" s="98">
        <v>133</v>
      </c>
      <c r="C445" s="126">
        <v>156</v>
      </c>
      <c r="D445" s="126">
        <v>388</v>
      </c>
      <c r="E445" s="145">
        <v>15</v>
      </c>
      <c r="F445" s="145">
        <v>25</v>
      </c>
      <c r="G445" s="98">
        <v>3</v>
      </c>
      <c r="H445" s="98">
        <v>5</v>
      </c>
      <c r="I445" s="98">
        <v>0.5</v>
      </c>
      <c r="J445" s="98">
        <v>0</v>
      </c>
      <c r="K445" s="98">
        <v>5</v>
      </c>
      <c r="L445" s="98">
        <v>2</v>
      </c>
      <c r="M445" s="98">
        <v>1</v>
      </c>
      <c r="N445" s="98"/>
      <c r="O445" s="98">
        <v>0.1</v>
      </c>
      <c r="P445" s="98">
        <f t="shared" si="224"/>
        <v>147.2</v>
      </c>
      <c r="Q445" s="147">
        <f t="shared" si="225"/>
        <v>7.36</v>
      </c>
      <c r="R445" s="149">
        <v>600</v>
      </c>
      <c r="S445" s="132">
        <f t="shared" si="231"/>
        <v>78</v>
      </c>
      <c r="T445" s="132">
        <f t="shared" si="232"/>
        <v>312</v>
      </c>
      <c r="U445" s="80"/>
      <c r="V445" s="80">
        <v>21363</v>
      </c>
      <c r="W445" s="142">
        <f t="shared" si="226"/>
        <v>133</v>
      </c>
      <c r="X445" s="142" t="str">
        <f t="shared" ref="X445:AD445" si="241">IF(C$311="","{progress_rate,"&amp;C$308&amp;","&amp;C445&amp;"}",IF(C445&gt;=1,"{progress,"&amp;C$311*100&amp;","&amp;C$308&amp;","&amp;C445&amp;"}","{progress_rate_roll,"&amp;C$311*100&amp;","&amp;INT(C445*10000)&amp;","&amp;C$308&amp;","&amp;1&amp;"}"))</f>
        <v>{progress_rate,2,156}</v>
      </c>
      <c r="Y445" s="142" t="str">
        <f t="shared" si="241"/>
        <v>{progress,0,2,388}</v>
      </c>
      <c r="Z445" s="142" t="str">
        <f t="shared" si="241"/>
        <v>{progress,0,5103001,15}</v>
      </c>
      <c r="AA445" s="142" t="str">
        <f t="shared" si="241"/>
        <v>{progress,40,5103003,25}</v>
      </c>
      <c r="AB445" s="142" t="str">
        <f t="shared" si="241"/>
        <v>{progress,0,50025,3}</v>
      </c>
      <c r="AC445" s="142" t="str">
        <f t="shared" si="241"/>
        <v>{progress,50,50002,5}</v>
      </c>
      <c r="AD445" s="142" t="str">
        <f t="shared" si="241"/>
        <v>{progress_rate_roll,100,5000,11,1}</v>
      </c>
      <c r="AF445" s="142" t="str">
        <f t="shared" si="160"/>
        <v>{progress,50,5203001,5}</v>
      </c>
      <c r="AG445" s="142" t="str">
        <f t="shared" si="239"/>
        <v>{progress,40,5303001,2}</v>
      </c>
      <c r="AH445" s="142" t="str">
        <f t="shared" si="240"/>
        <v>{progress,0,5401019,1}</v>
      </c>
      <c r="AI445" s="142"/>
      <c r="AJ445" s="142" t="str">
        <f t="shared" ref="AJ445:AJ476" si="242">IF(O$311="","{progress_rate,"&amp;O$308&amp;","&amp;O445&amp;"}",IF(O445&gt;=1,"{progress,"&amp;O$311*100&amp;","&amp;O$308&amp;","&amp;O445&amp;"}","{progress_rate_roll,"&amp;O$311*100&amp;","&amp;INT(O445*10000)&amp;","&amp;O$308&amp;","&amp;1&amp;"}"))</f>
        <v>{progress_rate_roll,100,1000,9,1}</v>
      </c>
      <c r="AN445" s="142" t="str">
        <f t="shared" si="228"/>
        <v>{progress,1,21363,1}</v>
      </c>
      <c r="AO445" s="142" t="str">
        <f t="shared" si="165"/>
        <v>{progress_rate_roll,100,5000,21363,1}</v>
      </c>
      <c r="AP445" s="142" t="str">
        <f t="shared" si="234"/>
        <v>[{progress_rate,2,156},{progress,0,2,388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45" s="142" t="str">
        <f t="shared" si="166"/>
        <v>[{progress_rate,2,156},{progress,0,2,388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45" s="142" t="str">
        <f t="shared" si="235"/>
        <v>[{progress_rate,2,156},{progress,0,2,388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45" s="142" t="str">
        <f t="shared" si="229"/>
        <v>[{progress_rate,2,156},{progress,0,2,388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45" s="142" t="str">
        <f t="shared" si="230"/>
        <v>{progress_rate,2,600},{progress_rate,11,1}</v>
      </c>
      <c r="AV445" s="142" t="str">
        <f t="shared" si="236"/>
        <v>{progress_rate,2,600}</v>
      </c>
      <c r="AW445" s="142" t="s">
        <v>175</v>
      </c>
    </row>
    <row r="446" spans="1:49">
      <c r="A446" s="143" t="str">
        <f t="shared" si="223"/>
        <v>[{2,546},{5103001,40},{14,60},{11,0},{5401000,0},{5203001,0},{5303001,0}]</v>
      </c>
      <c r="B446" s="98">
        <v>134</v>
      </c>
      <c r="C446" s="126">
        <v>156</v>
      </c>
      <c r="D446" s="126">
        <v>390</v>
      </c>
      <c r="E446" s="145">
        <v>15</v>
      </c>
      <c r="F446" s="145">
        <v>25</v>
      </c>
      <c r="G446" s="98">
        <v>3</v>
      </c>
      <c r="H446" s="98">
        <v>5</v>
      </c>
      <c r="I446" s="98">
        <v>0.5</v>
      </c>
      <c r="J446" s="98">
        <v>0</v>
      </c>
      <c r="K446" s="98">
        <v>5</v>
      </c>
      <c r="L446" s="98">
        <v>2</v>
      </c>
      <c r="M446" s="98">
        <v>1</v>
      </c>
      <c r="N446" s="98"/>
      <c r="O446" s="98">
        <v>0.1</v>
      </c>
      <c r="P446" s="98">
        <f t="shared" si="224"/>
        <v>147.3</v>
      </c>
      <c r="Q446" s="147">
        <f t="shared" si="225"/>
        <v>7.365</v>
      </c>
      <c r="R446" s="149">
        <v>600</v>
      </c>
      <c r="S446" s="132">
        <f t="shared" si="231"/>
        <v>78</v>
      </c>
      <c r="T446" s="132">
        <f t="shared" si="232"/>
        <v>312</v>
      </c>
      <c r="U446" s="80"/>
      <c r="V446" s="80">
        <v>21363</v>
      </c>
      <c r="W446" s="142">
        <f t="shared" si="226"/>
        <v>134</v>
      </c>
      <c r="X446" s="142" t="str">
        <f t="shared" ref="X446:AD446" si="243">IF(C$311="","{progress_rate,"&amp;C$308&amp;","&amp;C446&amp;"}",IF(C446&gt;=1,"{progress,"&amp;C$311*100&amp;","&amp;C$308&amp;","&amp;C446&amp;"}","{progress_rate_roll,"&amp;C$311*100&amp;","&amp;INT(C446*10000)&amp;","&amp;C$308&amp;","&amp;1&amp;"}"))</f>
        <v>{progress_rate,2,156}</v>
      </c>
      <c r="Y446" s="142" t="str">
        <f t="shared" si="243"/>
        <v>{progress,0,2,390}</v>
      </c>
      <c r="Z446" s="142" t="str">
        <f t="shared" si="243"/>
        <v>{progress,0,5103001,15}</v>
      </c>
      <c r="AA446" s="142" t="str">
        <f t="shared" si="243"/>
        <v>{progress,40,5103003,25}</v>
      </c>
      <c r="AB446" s="142" t="str">
        <f t="shared" si="243"/>
        <v>{progress,0,50025,3}</v>
      </c>
      <c r="AC446" s="142" t="str">
        <f t="shared" si="243"/>
        <v>{progress,50,50002,5}</v>
      </c>
      <c r="AD446" s="142" t="str">
        <f t="shared" si="243"/>
        <v>{progress_rate_roll,100,5000,11,1}</v>
      </c>
      <c r="AF446" s="142" t="str">
        <f t="shared" si="160"/>
        <v>{progress,50,5203001,5}</v>
      </c>
      <c r="AG446" s="142" t="str">
        <f t="shared" si="239"/>
        <v>{progress,40,5303001,2}</v>
      </c>
      <c r="AH446" s="142" t="str">
        <f t="shared" si="240"/>
        <v>{progress,0,5401019,1}</v>
      </c>
      <c r="AI446" s="142"/>
      <c r="AJ446" s="142" t="str">
        <f t="shared" si="242"/>
        <v>{progress_rate_roll,100,1000,9,1}</v>
      </c>
      <c r="AN446" s="142" t="str">
        <f t="shared" si="228"/>
        <v>{progress,1,21363,1}</v>
      </c>
      <c r="AO446" s="142" t="str">
        <f t="shared" si="165"/>
        <v>{progress_rate_roll,100,5000,21363,1}</v>
      </c>
      <c r="AP446" s="142" t="str">
        <f t="shared" si="234"/>
        <v>[{progress_rate,2,156},{progress,0,2,390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46" s="142" t="str">
        <f t="shared" si="166"/>
        <v>[{progress_rate,2,156},{progress,0,2,390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46" s="142" t="str">
        <f t="shared" si="235"/>
        <v>[{progress_rate,2,156},{progress,0,2,390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46" s="142" t="str">
        <f t="shared" si="229"/>
        <v>[{progress_rate,2,156},{progress,0,2,390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46" s="142" t="str">
        <f t="shared" si="230"/>
        <v>{progress_rate,2,600},{progress_rate,11,1}</v>
      </c>
      <c r="AV446" s="142" t="str">
        <f t="shared" si="236"/>
        <v>{progress_rate,2,600}</v>
      </c>
      <c r="AW446" s="142" t="s">
        <v>175</v>
      </c>
    </row>
    <row r="447" spans="1:49">
      <c r="A447" s="143" t="str">
        <f t="shared" si="223"/>
        <v>[{2,548},{5103001,40},{14,60},{11,0},{5401000,0},{5203001,0},{5303001,0}]</v>
      </c>
      <c r="B447" s="98">
        <v>135</v>
      </c>
      <c r="C447" s="126">
        <v>158</v>
      </c>
      <c r="D447" s="126">
        <v>390</v>
      </c>
      <c r="E447" s="145">
        <v>15</v>
      </c>
      <c r="F447" s="145">
        <v>25</v>
      </c>
      <c r="G447" s="98">
        <v>3</v>
      </c>
      <c r="H447" s="98">
        <v>5</v>
      </c>
      <c r="I447" s="98">
        <v>0.5</v>
      </c>
      <c r="J447" s="98">
        <v>0</v>
      </c>
      <c r="K447" s="98">
        <v>5</v>
      </c>
      <c r="L447" s="98">
        <v>2</v>
      </c>
      <c r="M447" s="98">
        <v>1</v>
      </c>
      <c r="N447" s="98"/>
      <c r="O447" s="98">
        <v>0.1</v>
      </c>
      <c r="P447" s="98">
        <f t="shared" si="224"/>
        <v>147.4</v>
      </c>
      <c r="Q447" s="147">
        <f t="shared" si="225"/>
        <v>7.37</v>
      </c>
      <c r="R447" s="149">
        <v>600</v>
      </c>
      <c r="S447" s="132">
        <f t="shared" si="231"/>
        <v>79</v>
      </c>
      <c r="T447" s="132">
        <f t="shared" si="232"/>
        <v>316</v>
      </c>
      <c r="U447" s="80"/>
      <c r="V447" s="80">
        <v>21363</v>
      </c>
      <c r="W447" s="142">
        <f t="shared" si="226"/>
        <v>135</v>
      </c>
      <c r="X447" s="142" t="str">
        <f t="shared" ref="X447:AD447" si="244">IF(C$311="","{progress_rate,"&amp;C$308&amp;","&amp;C447&amp;"}",IF(C447&gt;=1,"{progress,"&amp;C$311*100&amp;","&amp;C$308&amp;","&amp;C447&amp;"}","{progress_rate_roll,"&amp;C$311*100&amp;","&amp;INT(C447*10000)&amp;","&amp;C$308&amp;","&amp;1&amp;"}"))</f>
        <v>{progress_rate,2,158}</v>
      </c>
      <c r="Y447" s="142" t="str">
        <f t="shared" si="244"/>
        <v>{progress,0,2,390}</v>
      </c>
      <c r="Z447" s="142" t="str">
        <f t="shared" si="244"/>
        <v>{progress,0,5103001,15}</v>
      </c>
      <c r="AA447" s="142" t="str">
        <f t="shared" si="244"/>
        <v>{progress,40,5103003,25}</v>
      </c>
      <c r="AB447" s="142" t="str">
        <f t="shared" si="244"/>
        <v>{progress,0,50025,3}</v>
      </c>
      <c r="AC447" s="142" t="str">
        <f t="shared" si="244"/>
        <v>{progress,50,50002,5}</v>
      </c>
      <c r="AD447" s="142" t="str">
        <f t="shared" si="244"/>
        <v>{progress_rate_roll,100,5000,11,1}</v>
      </c>
      <c r="AF447" s="142" t="str">
        <f t="shared" ref="AF447:AF496" si="245">IF(K$311="","{progress_rate,"&amp;K$308&amp;","&amp;K447&amp;"}",IF(K447&gt;=1,"{progress,"&amp;K$311*100&amp;","&amp;K$308&amp;","&amp;K447&amp;"}","{progress_rate_roll,"&amp;K$311*100&amp;","&amp;INT(K447*10000)&amp;","&amp;K$308&amp;","&amp;1&amp;"}"))</f>
        <v>{progress,50,5203001,5}</v>
      </c>
      <c r="AG447" s="142" t="str">
        <f t="shared" si="239"/>
        <v>{progress,40,5303001,2}</v>
      </c>
      <c r="AH447" s="142" t="str">
        <f t="shared" si="240"/>
        <v>{progress,0,5401019,1}</v>
      </c>
      <c r="AI447" s="142"/>
      <c r="AJ447" s="142" t="str">
        <f t="shared" si="242"/>
        <v>{progress_rate_roll,100,1000,9,1}</v>
      </c>
      <c r="AN447" s="142" t="str">
        <f t="shared" si="228"/>
        <v>{progress,1,21363,1}</v>
      </c>
      <c r="AO447" s="142" t="str">
        <f t="shared" si="165"/>
        <v>{progress_rate_roll,100,5000,21363,1}</v>
      </c>
      <c r="AP447" s="142" t="str">
        <f t="shared" si="234"/>
        <v>[{progress_rate,2,158},{progress,0,2,390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47" s="142" t="str">
        <f t="shared" si="166"/>
        <v>[{progress_rate,2,158},{progress,0,2,390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47" s="142" t="str">
        <f t="shared" si="235"/>
        <v>[{progress_rate,2,158},{progress,0,2,390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47" s="142" t="str">
        <f t="shared" si="229"/>
        <v>[{progress_rate,2,158},{progress,0,2,390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47" s="142" t="str">
        <f t="shared" si="230"/>
        <v>{progress_rate,2,600},{progress_rate,11,1}</v>
      </c>
      <c r="AV447" s="142" t="str">
        <f t="shared" si="236"/>
        <v>{progress_rate,2,600}</v>
      </c>
      <c r="AW447" s="142" t="s">
        <v>175</v>
      </c>
    </row>
    <row r="448" spans="1:49">
      <c r="A448" s="143" t="str">
        <f t="shared" si="223"/>
        <v>[{2,550},{5103001,40},{14,60},{11,0},{5401000,0},{5203001,0},{5303001,0}]</v>
      </c>
      <c r="B448" s="98">
        <v>136</v>
      </c>
      <c r="C448" s="126">
        <v>158</v>
      </c>
      <c r="D448" s="126">
        <v>392</v>
      </c>
      <c r="E448" s="145">
        <v>15</v>
      </c>
      <c r="F448" s="145">
        <v>25</v>
      </c>
      <c r="G448" s="98">
        <v>3</v>
      </c>
      <c r="H448" s="98">
        <v>5</v>
      </c>
      <c r="I448" s="98">
        <v>0.5</v>
      </c>
      <c r="J448" s="98">
        <v>0</v>
      </c>
      <c r="K448" s="98">
        <v>5</v>
      </c>
      <c r="L448" s="98">
        <v>2</v>
      </c>
      <c r="M448" s="98">
        <v>1</v>
      </c>
      <c r="N448" s="98"/>
      <c r="O448" s="98">
        <v>0.1</v>
      </c>
      <c r="P448" s="98">
        <f t="shared" si="224"/>
        <v>147.5</v>
      </c>
      <c r="Q448" s="147">
        <f t="shared" si="225"/>
        <v>7.375</v>
      </c>
      <c r="R448" s="149">
        <v>600</v>
      </c>
      <c r="S448" s="132">
        <f t="shared" si="231"/>
        <v>79</v>
      </c>
      <c r="T448" s="132">
        <f t="shared" si="232"/>
        <v>316</v>
      </c>
      <c r="U448" s="80"/>
      <c r="V448" s="80">
        <v>21363</v>
      </c>
      <c r="W448" s="142">
        <f t="shared" si="226"/>
        <v>136</v>
      </c>
      <c r="X448" s="142" t="str">
        <f t="shared" ref="X448:AD448" si="246">IF(C$311="","{progress_rate,"&amp;C$308&amp;","&amp;C448&amp;"}",IF(C448&gt;=1,"{progress,"&amp;C$311*100&amp;","&amp;C$308&amp;","&amp;C448&amp;"}","{progress_rate_roll,"&amp;C$311*100&amp;","&amp;INT(C448*10000)&amp;","&amp;C$308&amp;","&amp;1&amp;"}"))</f>
        <v>{progress_rate,2,158}</v>
      </c>
      <c r="Y448" s="142" t="str">
        <f t="shared" si="246"/>
        <v>{progress,0,2,392}</v>
      </c>
      <c r="Z448" s="142" t="str">
        <f t="shared" si="246"/>
        <v>{progress,0,5103001,15}</v>
      </c>
      <c r="AA448" s="142" t="str">
        <f t="shared" si="246"/>
        <v>{progress,40,5103003,25}</v>
      </c>
      <c r="AB448" s="142" t="str">
        <f t="shared" si="246"/>
        <v>{progress,0,50025,3}</v>
      </c>
      <c r="AC448" s="142" t="str">
        <f t="shared" si="246"/>
        <v>{progress,50,50002,5}</v>
      </c>
      <c r="AD448" s="142" t="str">
        <f t="shared" si="246"/>
        <v>{progress_rate_roll,100,5000,11,1}</v>
      </c>
      <c r="AF448" s="142" t="str">
        <f t="shared" si="245"/>
        <v>{progress,50,5203001,5}</v>
      </c>
      <c r="AG448" s="142" t="str">
        <f t="shared" si="239"/>
        <v>{progress,40,5303001,2}</v>
      </c>
      <c r="AH448" s="142" t="str">
        <f t="shared" si="240"/>
        <v>{progress,0,5401019,1}</v>
      </c>
      <c r="AI448" s="142"/>
      <c r="AJ448" s="142" t="str">
        <f t="shared" si="242"/>
        <v>{progress_rate_roll,100,1000,9,1}</v>
      </c>
      <c r="AN448" s="142" t="str">
        <f t="shared" si="228"/>
        <v>{progress,1,21363,1}</v>
      </c>
      <c r="AO448" s="142" t="str">
        <f t="shared" si="165"/>
        <v>{progress_rate_roll,100,5000,21363,1}</v>
      </c>
      <c r="AP448" s="142" t="str">
        <f t="shared" si="234"/>
        <v>[{progress_rate,2,158},{progress,0,2,392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48" s="142" t="str">
        <f t="shared" si="166"/>
        <v>[{progress_rate,2,158},{progress,0,2,392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48" s="142" t="str">
        <f t="shared" si="235"/>
        <v>[{progress_rate,2,158},{progress,0,2,392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48" s="142" t="str">
        <f t="shared" si="229"/>
        <v>[{progress_rate,2,158},{progress,0,2,392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48" s="142" t="str">
        <f t="shared" si="230"/>
        <v>{progress_rate,2,600},{progress_rate,11,1}</v>
      </c>
      <c r="AV448" s="142" t="str">
        <f t="shared" si="236"/>
        <v>{progress_rate,2,600}</v>
      </c>
      <c r="AW448" s="142" t="s">
        <v>175</v>
      </c>
    </row>
    <row r="449" spans="1:49">
      <c r="A449" s="143" t="str">
        <f t="shared" si="223"/>
        <v>[{2,552},{5103001,40},{14,60},{11,0},{5401000,0},{5203001,0},{5303001,0}]</v>
      </c>
      <c r="B449" s="98">
        <v>137</v>
      </c>
      <c r="C449" s="126">
        <v>158</v>
      </c>
      <c r="D449" s="126">
        <v>394</v>
      </c>
      <c r="E449" s="145">
        <v>15</v>
      </c>
      <c r="F449" s="145">
        <v>25</v>
      </c>
      <c r="G449" s="98">
        <v>3</v>
      </c>
      <c r="H449" s="98">
        <v>5</v>
      </c>
      <c r="I449" s="98">
        <v>0.5</v>
      </c>
      <c r="J449" s="98">
        <v>0</v>
      </c>
      <c r="K449" s="98">
        <v>5</v>
      </c>
      <c r="L449" s="98">
        <v>2</v>
      </c>
      <c r="M449" s="98">
        <v>1</v>
      </c>
      <c r="N449" s="98"/>
      <c r="O449" s="98">
        <v>0.1</v>
      </c>
      <c r="P449" s="98">
        <f t="shared" si="224"/>
        <v>147.6</v>
      </c>
      <c r="Q449" s="147">
        <f t="shared" si="225"/>
        <v>7.38</v>
      </c>
      <c r="R449" s="149">
        <v>600</v>
      </c>
      <c r="S449" s="132">
        <f t="shared" si="231"/>
        <v>79</v>
      </c>
      <c r="T449" s="132">
        <f t="shared" si="232"/>
        <v>316</v>
      </c>
      <c r="U449" s="80"/>
      <c r="V449" s="80">
        <v>21363</v>
      </c>
      <c r="W449" s="142">
        <f t="shared" si="226"/>
        <v>137</v>
      </c>
      <c r="X449" s="142" t="str">
        <f t="shared" ref="X449:AD449" si="247">IF(C$311="","{progress_rate,"&amp;C$308&amp;","&amp;C449&amp;"}",IF(C449&gt;=1,"{progress,"&amp;C$311*100&amp;","&amp;C$308&amp;","&amp;C449&amp;"}","{progress_rate_roll,"&amp;C$311*100&amp;","&amp;INT(C449*10000)&amp;","&amp;C$308&amp;","&amp;1&amp;"}"))</f>
        <v>{progress_rate,2,158}</v>
      </c>
      <c r="Y449" s="142" t="str">
        <f t="shared" si="247"/>
        <v>{progress,0,2,394}</v>
      </c>
      <c r="Z449" s="142" t="str">
        <f t="shared" si="247"/>
        <v>{progress,0,5103001,15}</v>
      </c>
      <c r="AA449" s="142" t="str">
        <f t="shared" si="247"/>
        <v>{progress,40,5103003,25}</v>
      </c>
      <c r="AB449" s="142" t="str">
        <f t="shared" si="247"/>
        <v>{progress,0,50025,3}</v>
      </c>
      <c r="AC449" s="142" t="str">
        <f t="shared" si="247"/>
        <v>{progress,50,50002,5}</v>
      </c>
      <c r="AD449" s="142" t="str">
        <f t="shared" si="247"/>
        <v>{progress_rate_roll,100,5000,11,1}</v>
      </c>
      <c r="AF449" s="142" t="str">
        <f t="shared" si="245"/>
        <v>{progress,50,5203001,5}</v>
      </c>
      <c r="AG449" s="142" t="str">
        <f t="shared" si="239"/>
        <v>{progress,40,5303001,2}</v>
      </c>
      <c r="AH449" s="142" t="str">
        <f t="shared" si="240"/>
        <v>{progress,0,5401019,1}</v>
      </c>
      <c r="AI449" s="142"/>
      <c r="AJ449" s="142" t="str">
        <f t="shared" si="242"/>
        <v>{progress_rate_roll,100,1000,9,1}</v>
      </c>
      <c r="AN449" s="142" t="str">
        <f t="shared" si="228"/>
        <v>{progress,1,21363,1}</v>
      </c>
      <c r="AO449" s="142" t="str">
        <f t="shared" si="165"/>
        <v>{progress_rate_roll,100,5000,21363,1}</v>
      </c>
      <c r="AP449" s="142" t="str">
        <f t="shared" si="234"/>
        <v>[{progress_rate,2,158},{progress,0,2,394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49" s="142" t="str">
        <f t="shared" si="166"/>
        <v>[{progress_rate,2,158},{progress,0,2,394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49" s="142" t="str">
        <f t="shared" si="235"/>
        <v>[{progress_rate,2,158},{progress,0,2,394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49" s="142" t="str">
        <f t="shared" si="229"/>
        <v>[{progress_rate,2,158},{progress,0,2,394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49" s="142" t="str">
        <f t="shared" si="230"/>
        <v>{progress_rate,2,600},{progress_rate,11,1}</v>
      </c>
      <c r="AV449" s="142" t="str">
        <f t="shared" si="236"/>
        <v>{progress_rate,2,600}</v>
      </c>
      <c r="AW449" s="142" t="s">
        <v>175</v>
      </c>
    </row>
    <row r="450" spans="1:49">
      <c r="A450" s="143" t="str">
        <f t="shared" si="223"/>
        <v>[{2,554},{5103001,40},{14,60},{11,0},{5401000,0},{5203001,0},{5303001,0}]</v>
      </c>
      <c r="B450" s="98">
        <v>138</v>
      </c>
      <c r="C450" s="126">
        <v>158</v>
      </c>
      <c r="D450" s="126">
        <v>396</v>
      </c>
      <c r="E450" s="145">
        <v>15</v>
      </c>
      <c r="F450" s="145">
        <v>25</v>
      </c>
      <c r="G450" s="98">
        <v>3</v>
      </c>
      <c r="H450" s="98">
        <v>5</v>
      </c>
      <c r="I450" s="98">
        <v>0.5</v>
      </c>
      <c r="J450" s="98">
        <v>0</v>
      </c>
      <c r="K450" s="98">
        <v>5</v>
      </c>
      <c r="L450" s="98">
        <v>2</v>
      </c>
      <c r="M450" s="98">
        <v>1</v>
      </c>
      <c r="N450" s="98"/>
      <c r="O450" s="98">
        <v>0.1</v>
      </c>
      <c r="P450" s="98">
        <f t="shared" si="224"/>
        <v>147.7</v>
      </c>
      <c r="Q450" s="147">
        <f t="shared" si="225"/>
        <v>7.385</v>
      </c>
      <c r="R450" s="149">
        <v>600</v>
      </c>
      <c r="S450" s="132">
        <f t="shared" si="231"/>
        <v>79</v>
      </c>
      <c r="T450" s="132">
        <f t="shared" si="232"/>
        <v>316</v>
      </c>
      <c r="U450" s="80"/>
      <c r="V450" s="80">
        <v>21363</v>
      </c>
      <c r="W450" s="142">
        <f t="shared" si="226"/>
        <v>138</v>
      </c>
      <c r="X450" s="142" t="str">
        <f t="shared" ref="X450:AD450" si="248">IF(C$311="","{progress_rate,"&amp;C$308&amp;","&amp;C450&amp;"}",IF(C450&gt;=1,"{progress,"&amp;C$311*100&amp;","&amp;C$308&amp;","&amp;C450&amp;"}","{progress_rate_roll,"&amp;C$311*100&amp;","&amp;INT(C450*10000)&amp;","&amp;C$308&amp;","&amp;1&amp;"}"))</f>
        <v>{progress_rate,2,158}</v>
      </c>
      <c r="Y450" s="142" t="str">
        <f t="shared" si="248"/>
        <v>{progress,0,2,396}</v>
      </c>
      <c r="Z450" s="142" t="str">
        <f t="shared" si="248"/>
        <v>{progress,0,5103001,15}</v>
      </c>
      <c r="AA450" s="142" t="str">
        <f t="shared" si="248"/>
        <v>{progress,40,5103003,25}</v>
      </c>
      <c r="AB450" s="142" t="str">
        <f t="shared" si="248"/>
        <v>{progress,0,50025,3}</v>
      </c>
      <c r="AC450" s="142" t="str">
        <f t="shared" si="248"/>
        <v>{progress,50,50002,5}</v>
      </c>
      <c r="AD450" s="142" t="str">
        <f t="shared" si="248"/>
        <v>{progress_rate_roll,100,5000,11,1}</v>
      </c>
      <c r="AF450" s="142" t="str">
        <f t="shared" si="245"/>
        <v>{progress,50,5203001,5}</v>
      </c>
      <c r="AG450" s="142" t="str">
        <f t="shared" si="239"/>
        <v>{progress,40,5303001,2}</v>
      </c>
      <c r="AH450" s="142" t="str">
        <f t="shared" si="240"/>
        <v>{progress,0,5401019,1}</v>
      </c>
      <c r="AI450" s="142"/>
      <c r="AJ450" s="142" t="str">
        <f t="shared" si="242"/>
        <v>{progress_rate_roll,100,1000,9,1}</v>
      </c>
      <c r="AN450" s="142" t="str">
        <f t="shared" si="228"/>
        <v>{progress,1,21363,1}</v>
      </c>
      <c r="AO450" s="142" t="str">
        <f t="shared" si="165"/>
        <v>{progress_rate_roll,100,5000,21363,1}</v>
      </c>
      <c r="AP450" s="142" t="str">
        <f t="shared" si="234"/>
        <v>[{progress_rate,2,158},{progress,0,2,396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50" s="142" t="str">
        <f t="shared" si="166"/>
        <v>[{progress_rate,2,158},{progress,0,2,396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50" s="142" t="str">
        <f t="shared" si="235"/>
        <v>[{progress_rate,2,158},{progress,0,2,396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50" s="142" t="str">
        <f t="shared" si="229"/>
        <v>[{progress_rate,2,158},{progress,0,2,396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50" s="142" t="str">
        <f t="shared" si="230"/>
        <v>{progress_rate,2,600},{progress_rate,11,1}</v>
      </c>
      <c r="AV450" s="142" t="str">
        <f t="shared" si="236"/>
        <v>{progress_rate,2,600}</v>
      </c>
      <c r="AW450" s="142" t="s">
        <v>175</v>
      </c>
    </row>
    <row r="451" spans="1:49">
      <c r="A451" s="143" t="str">
        <f t="shared" si="223"/>
        <v>[{2,556},{5103001,40},{14,60},{11,0},{5401000,0},{5203001,0},{5303001,0}]</v>
      </c>
      <c r="B451" s="98">
        <v>139</v>
      </c>
      <c r="C451" s="126">
        <v>160</v>
      </c>
      <c r="D451" s="126">
        <v>396</v>
      </c>
      <c r="E451" s="145">
        <v>15</v>
      </c>
      <c r="F451" s="145">
        <v>25</v>
      </c>
      <c r="G451" s="98">
        <v>3</v>
      </c>
      <c r="H451" s="98">
        <v>5</v>
      </c>
      <c r="I451" s="98">
        <v>0.5</v>
      </c>
      <c r="J451" s="98">
        <v>0</v>
      </c>
      <c r="K451" s="98">
        <v>5</v>
      </c>
      <c r="L451" s="98">
        <v>2</v>
      </c>
      <c r="M451" s="98">
        <v>1</v>
      </c>
      <c r="N451" s="98"/>
      <c r="O451" s="98">
        <v>0.1</v>
      </c>
      <c r="P451" s="98">
        <f t="shared" si="224"/>
        <v>147.8</v>
      </c>
      <c r="Q451" s="147">
        <f t="shared" si="225"/>
        <v>7.39</v>
      </c>
      <c r="R451" s="149">
        <v>600</v>
      </c>
      <c r="S451" s="132">
        <f t="shared" si="231"/>
        <v>80</v>
      </c>
      <c r="T451" s="132">
        <f t="shared" si="232"/>
        <v>320</v>
      </c>
      <c r="U451" s="80"/>
      <c r="V451" s="80">
        <v>21363</v>
      </c>
      <c r="W451" s="142">
        <f t="shared" si="226"/>
        <v>139</v>
      </c>
      <c r="X451" s="142" t="str">
        <f t="shared" ref="X451:AD451" si="249">IF(C$311="","{progress_rate,"&amp;C$308&amp;","&amp;C451&amp;"}",IF(C451&gt;=1,"{progress,"&amp;C$311*100&amp;","&amp;C$308&amp;","&amp;C451&amp;"}","{progress_rate_roll,"&amp;C$311*100&amp;","&amp;INT(C451*10000)&amp;","&amp;C$308&amp;","&amp;1&amp;"}"))</f>
        <v>{progress_rate,2,160}</v>
      </c>
      <c r="Y451" s="142" t="str">
        <f t="shared" si="249"/>
        <v>{progress,0,2,396}</v>
      </c>
      <c r="Z451" s="142" t="str">
        <f t="shared" si="249"/>
        <v>{progress,0,5103001,15}</v>
      </c>
      <c r="AA451" s="142" t="str">
        <f t="shared" si="249"/>
        <v>{progress,40,5103003,25}</v>
      </c>
      <c r="AB451" s="142" t="str">
        <f t="shared" si="249"/>
        <v>{progress,0,50025,3}</v>
      </c>
      <c r="AC451" s="142" t="str">
        <f t="shared" si="249"/>
        <v>{progress,50,50002,5}</v>
      </c>
      <c r="AD451" s="142" t="str">
        <f t="shared" si="249"/>
        <v>{progress_rate_roll,100,5000,11,1}</v>
      </c>
      <c r="AF451" s="142" t="str">
        <f t="shared" si="245"/>
        <v>{progress,50,5203001,5}</v>
      </c>
      <c r="AG451" s="142" t="str">
        <f t="shared" si="239"/>
        <v>{progress,40,5303001,2}</v>
      </c>
      <c r="AH451" s="142" t="str">
        <f t="shared" si="240"/>
        <v>{progress,0,5401019,1}</v>
      </c>
      <c r="AI451" s="142"/>
      <c r="AJ451" s="142" t="str">
        <f t="shared" si="242"/>
        <v>{progress_rate_roll,100,1000,9,1}</v>
      </c>
      <c r="AN451" s="142" t="str">
        <f t="shared" si="228"/>
        <v>{progress,1,21363,1}</v>
      </c>
      <c r="AO451" s="142" t="str">
        <f t="shared" ref="AO451:AO496" si="250">"{progress_rate_roll,100,5000,"&amp;V451&amp;",1}"</f>
        <v>{progress_rate_roll,100,5000,21363,1}</v>
      </c>
      <c r="AP451" s="142" t="str">
        <f t="shared" si="234"/>
        <v>[{progress_rate,2,160},{progress,0,2,396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51" s="142" t="str">
        <f t="shared" ref="AQ451:AQ496" si="251">"["&amp;_xlfn.TEXTJOIN(",",1,X451:AO451)&amp;"]"</f>
        <v>[{progress_rate,2,160},{progress,0,2,396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51" s="142" t="str">
        <f t="shared" si="235"/>
        <v>[{progress_rate,2,160},{progress,0,2,396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51" s="142" t="str">
        <f t="shared" si="229"/>
        <v>[{progress_rate,2,160},{progress,0,2,396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51" s="142" t="str">
        <f t="shared" si="230"/>
        <v>{progress_rate,2,600},{progress_rate,11,1}</v>
      </c>
      <c r="AV451" s="142" t="str">
        <f t="shared" si="236"/>
        <v>{progress_rate,2,600}</v>
      </c>
      <c r="AW451" s="142" t="s">
        <v>175</v>
      </c>
    </row>
    <row r="452" spans="1:49">
      <c r="A452" s="143" t="str">
        <f t="shared" si="223"/>
        <v>[{2,558},{5103001,40},{14,60},{11,0},{5401000,0},{5203001,0},{5303001,0}]</v>
      </c>
      <c r="B452" s="98">
        <v>140</v>
      </c>
      <c r="C452" s="126">
        <v>160</v>
      </c>
      <c r="D452" s="126">
        <v>398</v>
      </c>
      <c r="E452" s="145">
        <v>15</v>
      </c>
      <c r="F452" s="145">
        <v>25</v>
      </c>
      <c r="G452" s="98">
        <v>3</v>
      </c>
      <c r="H452" s="98">
        <v>5</v>
      </c>
      <c r="I452" s="98">
        <v>0.5</v>
      </c>
      <c r="J452" s="98">
        <v>0</v>
      </c>
      <c r="K452" s="98">
        <v>5</v>
      </c>
      <c r="L452" s="98">
        <v>2</v>
      </c>
      <c r="M452" s="98">
        <v>1</v>
      </c>
      <c r="N452" s="98"/>
      <c r="O452" s="98">
        <v>0.1</v>
      </c>
      <c r="P452" s="98">
        <f t="shared" si="224"/>
        <v>147.9</v>
      </c>
      <c r="Q452" s="147">
        <f t="shared" si="225"/>
        <v>7.395</v>
      </c>
      <c r="R452" s="149">
        <v>600</v>
      </c>
      <c r="S452" s="132">
        <f t="shared" si="231"/>
        <v>80</v>
      </c>
      <c r="T452" s="132">
        <f t="shared" si="232"/>
        <v>320</v>
      </c>
      <c r="U452" s="80"/>
      <c r="V452" s="80">
        <v>21363</v>
      </c>
      <c r="W452" s="142">
        <f t="shared" si="226"/>
        <v>140</v>
      </c>
      <c r="X452" s="142" t="str">
        <f t="shared" ref="X452:AD452" si="252">IF(C$311="","{progress_rate,"&amp;C$308&amp;","&amp;C452&amp;"}",IF(C452&gt;=1,"{progress,"&amp;C$311*100&amp;","&amp;C$308&amp;","&amp;C452&amp;"}","{progress_rate_roll,"&amp;C$311*100&amp;","&amp;INT(C452*10000)&amp;","&amp;C$308&amp;","&amp;1&amp;"}"))</f>
        <v>{progress_rate,2,160}</v>
      </c>
      <c r="Y452" s="142" t="str">
        <f t="shared" si="252"/>
        <v>{progress,0,2,398}</v>
      </c>
      <c r="Z452" s="142" t="str">
        <f t="shared" si="252"/>
        <v>{progress,0,5103001,15}</v>
      </c>
      <c r="AA452" s="142" t="str">
        <f t="shared" si="252"/>
        <v>{progress,40,5103003,25}</v>
      </c>
      <c r="AB452" s="142" t="str">
        <f t="shared" si="252"/>
        <v>{progress,0,50025,3}</v>
      </c>
      <c r="AC452" s="142" t="str">
        <f t="shared" si="252"/>
        <v>{progress,50,50002,5}</v>
      </c>
      <c r="AD452" s="142" t="str">
        <f t="shared" si="252"/>
        <v>{progress_rate_roll,100,5000,11,1}</v>
      </c>
      <c r="AF452" s="142" t="str">
        <f t="shared" si="245"/>
        <v>{progress,50,5203001,5}</v>
      </c>
      <c r="AG452" s="142" t="str">
        <f t="shared" si="239"/>
        <v>{progress,40,5303001,2}</v>
      </c>
      <c r="AH452" s="142" t="str">
        <f t="shared" si="240"/>
        <v>{progress,0,5401019,1}</v>
      </c>
      <c r="AI452" s="142"/>
      <c r="AJ452" s="142" t="str">
        <f t="shared" si="242"/>
        <v>{progress_rate_roll,100,1000,9,1}</v>
      </c>
      <c r="AN452" s="142" t="str">
        <f t="shared" si="228"/>
        <v>{progress,1,21363,1}</v>
      </c>
      <c r="AO452" s="142" t="str">
        <f t="shared" si="250"/>
        <v>{progress_rate_roll,100,5000,21363,1}</v>
      </c>
      <c r="AP452" s="142" t="str">
        <f t="shared" si="234"/>
        <v>[{progress_rate,2,160},{progress,0,2,398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52" s="142" t="str">
        <f t="shared" si="251"/>
        <v>[{progress_rate,2,160},{progress,0,2,398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52" s="142" t="str">
        <f t="shared" si="235"/>
        <v>[{progress_rate,2,160},{progress,0,2,398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52" s="142" t="str">
        <f t="shared" si="229"/>
        <v>[{progress_rate,2,160},{progress,0,2,398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52" s="142" t="str">
        <f t="shared" si="230"/>
        <v>{progress_rate,2,600},{progress_rate,11,1}</v>
      </c>
      <c r="AV452" s="142" t="str">
        <f t="shared" si="236"/>
        <v>{progress_rate,2,600}</v>
      </c>
      <c r="AW452" s="142" t="s">
        <v>175</v>
      </c>
    </row>
    <row r="453" spans="1:49">
      <c r="A453" s="143" t="str">
        <f t="shared" si="223"/>
        <v>[{2,560},{5103001,40},{14,60},{11,0},{5401000,0},{5203001,0},{5303001,0}]</v>
      </c>
      <c r="B453" s="98">
        <v>141</v>
      </c>
      <c r="C453" s="126">
        <v>160</v>
      </c>
      <c r="D453" s="126">
        <v>400</v>
      </c>
      <c r="E453" s="145">
        <v>15</v>
      </c>
      <c r="F453" s="145">
        <v>25</v>
      </c>
      <c r="G453" s="98">
        <v>3</v>
      </c>
      <c r="H453" s="98">
        <v>5</v>
      </c>
      <c r="I453" s="98">
        <v>0.5</v>
      </c>
      <c r="J453" s="98">
        <v>0</v>
      </c>
      <c r="K453" s="98">
        <v>5</v>
      </c>
      <c r="L453" s="98">
        <v>2</v>
      </c>
      <c r="M453" s="98">
        <v>1</v>
      </c>
      <c r="N453" s="98"/>
      <c r="O453" s="98">
        <v>0.1</v>
      </c>
      <c r="P453" s="98">
        <f t="shared" si="224"/>
        <v>148</v>
      </c>
      <c r="Q453" s="147">
        <f t="shared" si="225"/>
        <v>7.4</v>
      </c>
      <c r="R453" s="149">
        <v>600</v>
      </c>
      <c r="S453" s="132">
        <f t="shared" si="231"/>
        <v>80</v>
      </c>
      <c r="T453" s="132">
        <f t="shared" si="232"/>
        <v>320</v>
      </c>
      <c r="U453" s="80"/>
      <c r="V453" s="80">
        <v>21363</v>
      </c>
      <c r="W453" s="142">
        <f t="shared" si="226"/>
        <v>141</v>
      </c>
      <c r="X453" s="142" t="str">
        <f t="shared" ref="X453:AD453" si="253">IF(C$311="","{progress_rate,"&amp;C$308&amp;","&amp;C453&amp;"}",IF(C453&gt;=1,"{progress,"&amp;C$311*100&amp;","&amp;C$308&amp;","&amp;C453&amp;"}","{progress_rate_roll,"&amp;C$311*100&amp;","&amp;INT(C453*10000)&amp;","&amp;C$308&amp;","&amp;1&amp;"}"))</f>
        <v>{progress_rate,2,160}</v>
      </c>
      <c r="Y453" s="142" t="str">
        <f t="shared" si="253"/>
        <v>{progress,0,2,400}</v>
      </c>
      <c r="Z453" s="142" t="str">
        <f t="shared" si="253"/>
        <v>{progress,0,5103001,15}</v>
      </c>
      <c r="AA453" s="142" t="str">
        <f t="shared" si="253"/>
        <v>{progress,40,5103003,25}</v>
      </c>
      <c r="AB453" s="142" t="str">
        <f t="shared" si="253"/>
        <v>{progress,0,50025,3}</v>
      </c>
      <c r="AC453" s="142" t="str">
        <f t="shared" si="253"/>
        <v>{progress,50,50002,5}</v>
      </c>
      <c r="AD453" s="142" t="str">
        <f t="shared" si="253"/>
        <v>{progress_rate_roll,100,5000,11,1}</v>
      </c>
      <c r="AF453" s="142" t="str">
        <f t="shared" si="245"/>
        <v>{progress,50,5203001,5}</v>
      </c>
      <c r="AG453" s="142" t="str">
        <f t="shared" si="239"/>
        <v>{progress,40,5303001,2}</v>
      </c>
      <c r="AH453" s="142" t="str">
        <f t="shared" si="240"/>
        <v>{progress,0,5401019,1}</v>
      </c>
      <c r="AI453" s="142"/>
      <c r="AJ453" s="142" t="str">
        <f t="shared" si="242"/>
        <v>{progress_rate_roll,100,1000,9,1}</v>
      </c>
      <c r="AN453" s="142" t="str">
        <f t="shared" si="228"/>
        <v>{progress,1,21363,1}</v>
      </c>
      <c r="AO453" s="142" t="str">
        <f t="shared" si="250"/>
        <v>{progress_rate_roll,100,5000,21363,1}</v>
      </c>
      <c r="AP453" s="142" t="str">
        <f t="shared" si="234"/>
        <v>[{progress_rate,2,160},{progress,0,2,400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53" s="142" t="str">
        <f t="shared" si="251"/>
        <v>[{progress_rate,2,160},{progress,0,2,400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53" s="142" t="str">
        <f t="shared" si="235"/>
        <v>[{progress_rate,2,160},{progress,0,2,400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53" s="142" t="str">
        <f t="shared" si="229"/>
        <v>[{progress_rate,2,160},{progress,0,2,400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53" s="142" t="str">
        <f t="shared" si="230"/>
        <v>{progress_rate,2,600},{progress_rate,11,1}</v>
      </c>
      <c r="AV453" s="142" t="str">
        <f t="shared" si="236"/>
        <v>{progress_rate,2,600}</v>
      </c>
      <c r="AW453" s="142" t="s">
        <v>175</v>
      </c>
    </row>
    <row r="454" spans="1:49">
      <c r="A454" s="143" t="str">
        <f t="shared" si="223"/>
        <v>[{2,562},{5103001,40},{14,60},{11,0},{5401000,0},{5203001,0},{5303001,0}]</v>
      </c>
      <c r="B454" s="98">
        <v>142</v>
      </c>
      <c r="C454" s="126">
        <v>162</v>
      </c>
      <c r="D454" s="126">
        <v>400</v>
      </c>
      <c r="E454" s="145">
        <v>15</v>
      </c>
      <c r="F454" s="145">
        <v>25</v>
      </c>
      <c r="G454" s="98">
        <v>3</v>
      </c>
      <c r="H454" s="98">
        <v>5</v>
      </c>
      <c r="I454" s="98">
        <v>0.5</v>
      </c>
      <c r="J454" s="98">
        <v>0</v>
      </c>
      <c r="K454" s="98">
        <v>5</v>
      </c>
      <c r="L454" s="98">
        <v>2</v>
      </c>
      <c r="M454" s="98">
        <v>1</v>
      </c>
      <c r="N454" s="98"/>
      <c r="O454" s="98">
        <v>0.1</v>
      </c>
      <c r="P454" s="98">
        <f t="shared" si="224"/>
        <v>148.1</v>
      </c>
      <c r="Q454" s="147">
        <f t="shared" si="225"/>
        <v>7.405</v>
      </c>
      <c r="R454" s="149">
        <v>600</v>
      </c>
      <c r="S454" s="132">
        <f t="shared" si="231"/>
        <v>81</v>
      </c>
      <c r="T454" s="132">
        <f t="shared" si="232"/>
        <v>324</v>
      </c>
      <c r="U454" s="80"/>
      <c r="V454" s="80">
        <v>21363</v>
      </c>
      <c r="W454" s="142">
        <f t="shared" si="226"/>
        <v>142</v>
      </c>
      <c r="X454" s="142" t="str">
        <f t="shared" ref="X454:AD454" si="254">IF(C$311="","{progress_rate,"&amp;C$308&amp;","&amp;C454&amp;"}",IF(C454&gt;=1,"{progress,"&amp;C$311*100&amp;","&amp;C$308&amp;","&amp;C454&amp;"}","{progress_rate_roll,"&amp;C$311*100&amp;","&amp;INT(C454*10000)&amp;","&amp;C$308&amp;","&amp;1&amp;"}"))</f>
        <v>{progress_rate,2,162}</v>
      </c>
      <c r="Y454" s="142" t="str">
        <f t="shared" si="254"/>
        <v>{progress,0,2,400}</v>
      </c>
      <c r="Z454" s="142" t="str">
        <f t="shared" si="254"/>
        <v>{progress,0,5103001,15}</v>
      </c>
      <c r="AA454" s="142" t="str">
        <f t="shared" si="254"/>
        <v>{progress,40,5103003,25}</v>
      </c>
      <c r="AB454" s="142" t="str">
        <f t="shared" si="254"/>
        <v>{progress,0,50025,3}</v>
      </c>
      <c r="AC454" s="142" t="str">
        <f t="shared" si="254"/>
        <v>{progress,50,50002,5}</v>
      </c>
      <c r="AD454" s="142" t="str">
        <f t="shared" si="254"/>
        <v>{progress_rate_roll,100,5000,11,1}</v>
      </c>
      <c r="AF454" s="142" t="str">
        <f t="shared" si="245"/>
        <v>{progress,50,5203001,5}</v>
      </c>
      <c r="AG454" s="142" t="str">
        <f t="shared" si="239"/>
        <v>{progress,40,5303001,2}</v>
      </c>
      <c r="AH454" s="142" t="str">
        <f t="shared" si="240"/>
        <v>{progress,0,5401019,1}</v>
      </c>
      <c r="AI454" s="142"/>
      <c r="AJ454" s="142" t="str">
        <f t="shared" si="242"/>
        <v>{progress_rate_roll,100,1000,9,1}</v>
      </c>
      <c r="AN454" s="142" t="str">
        <f t="shared" si="228"/>
        <v>{progress,1,21363,1}</v>
      </c>
      <c r="AO454" s="142" t="str">
        <f t="shared" si="250"/>
        <v>{progress_rate_roll,100,5000,21363,1}</v>
      </c>
      <c r="AP454" s="142" t="str">
        <f t="shared" si="234"/>
        <v>[{progress_rate,2,162},{progress,0,2,400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54" s="142" t="str">
        <f t="shared" si="251"/>
        <v>[{progress_rate,2,162},{progress,0,2,400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54" s="142" t="str">
        <f t="shared" si="235"/>
        <v>[{progress_rate,2,162},{progress,0,2,400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54" s="142" t="str">
        <f t="shared" si="229"/>
        <v>[{progress_rate,2,162},{progress,0,2,400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54" s="142" t="str">
        <f t="shared" si="230"/>
        <v>{progress_rate,2,600},{progress_rate,11,1}</v>
      </c>
      <c r="AV454" s="142" t="str">
        <f t="shared" si="236"/>
        <v>{progress_rate,2,600}</v>
      </c>
      <c r="AW454" s="142" t="s">
        <v>175</v>
      </c>
    </row>
    <row r="455" spans="1:49">
      <c r="A455" s="143" t="str">
        <f t="shared" si="223"/>
        <v>[{2,564},{5103001,40},{14,60},{11,0},{5401000,0},{5203001,0},{5303001,0}]</v>
      </c>
      <c r="B455" s="98">
        <v>143</v>
      </c>
      <c r="C455" s="126">
        <v>162</v>
      </c>
      <c r="D455" s="126">
        <v>402</v>
      </c>
      <c r="E455" s="145">
        <v>15</v>
      </c>
      <c r="F455" s="145">
        <v>25</v>
      </c>
      <c r="G455" s="98">
        <v>3</v>
      </c>
      <c r="H455" s="98">
        <v>5</v>
      </c>
      <c r="I455" s="98">
        <v>0.5</v>
      </c>
      <c r="J455" s="98">
        <v>0</v>
      </c>
      <c r="K455" s="98">
        <v>5</v>
      </c>
      <c r="L455" s="98">
        <v>2</v>
      </c>
      <c r="M455" s="98">
        <v>1</v>
      </c>
      <c r="N455" s="98"/>
      <c r="O455" s="98">
        <v>0.1</v>
      </c>
      <c r="P455" s="98">
        <f t="shared" si="224"/>
        <v>148.2</v>
      </c>
      <c r="Q455" s="147">
        <f t="shared" si="225"/>
        <v>7.41</v>
      </c>
      <c r="R455" s="149">
        <v>600</v>
      </c>
      <c r="S455" s="132">
        <f t="shared" si="231"/>
        <v>81</v>
      </c>
      <c r="T455" s="132">
        <f t="shared" si="232"/>
        <v>324</v>
      </c>
      <c r="U455" s="80"/>
      <c r="V455" s="80">
        <v>21363</v>
      </c>
      <c r="W455" s="142">
        <f t="shared" si="226"/>
        <v>143</v>
      </c>
      <c r="X455" s="142" t="str">
        <f t="shared" ref="X455:AD455" si="255">IF(C$311="","{progress_rate,"&amp;C$308&amp;","&amp;C455&amp;"}",IF(C455&gt;=1,"{progress,"&amp;C$311*100&amp;","&amp;C$308&amp;","&amp;C455&amp;"}","{progress_rate_roll,"&amp;C$311*100&amp;","&amp;INT(C455*10000)&amp;","&amp;C$308&amp;","&amp;1&amp;"}"))</f>
        <v>{progress_rate,2,162}</v>
      </c>
      <c r="Y455" s="142" t="str">
        <f t="shared" si="255"/>
        <v>{progress,0,2,402}</v>
      </c>
      <c r="Z455" s="142" t="str">
        <f t="shared" si="255"/>
        <v>{progress,0,5103001,15}</v>
      </c>
      <c r="AA455" s="142" t="str">
        <f t="shared" si="255"/>
        <v>{progress,40,5103003,25}</v>
      </c>
      <c r="AB455" s="142" t="str">
        <f t="shared" si="255"/>
        <v>{progress,0,50025,3}</v>
      </c>
      <c r="AC455" s="142" t="str">
        <f t="shared" si="255"/>
        <v>{progress,50,50002,5}</v>
      </c>
      <c r="AD455" s="142" t="str">
        <f t="shared" si="255"/>
        <v>{progress_rate_roll,100,5000,11,1}</v>
      </c>
      <c r="AF455" s="142" t="str">
        <f t="shared" si="245"/>
        <v>{progress,50,5203001,5}</v>
      </c>
      <c r="AG455" s="142" t="str">
        <f t="shared" si="239"/>
        <v>{progress,40,5303001,2}</v>
      </c>
      <c r="AH455" s="142" t="str">
        <f t="shared" si="240"/>
        <v>{progress,0,5401019,1}</v>
      </c>
      <c r="AI455" s="142"/>
      <c r="AJ455" s="142" t="str">
        <f t="shared" si="242"/>
        <v>{progress_rate_roll,100,1000,9,1}</v>
      </c>
      <c r="AN455" s="142" t="str">
        <f t="shared" si="228"/>
        <v>{progress,1,21363,1}</v>
      </c>
      <c r="AO455" s="142" t="str">
        <f t="shared" si="250"/>
        <v>{progress_rate_roll,100,5000,21363,1}</v>
      </c>
      <c r="AP455" s="142" t="str">
        <f t="shared" si="234"/>
        <v>[{progress_rate,2,162},{progress,0,2,402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55" s="142" t="str">
        <f t="shared" si="251"/>
        <v>[{progress_rate,2,162},{progress,0,2,402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55" s="142" t="str">
        <f t="shared" si="235"/>
        <v>[{progress_rate,2,162},{progress,0,2,402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55" s="142" t="str">
        <f t="shared" si="229"/>
        <v>[{progress_rate,2,162},{progress,0,2,402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55" s="142" t="str">
        <f t="shared" si="230"/>
        <v>{progress_rate,2,600},{progress_rate,11,1}</v>
      </c>
      <c r="AV455" s="142" t="str">
        <f t="shared" si="236"/>
        <v>{progress_rate,2,600}</v>
      </c>
      <c r="AW455" s="142" t="s">
        <v>175</v>
      </c>
    </row>
    <row r="456" spans="1:49">
      <c r="A456" s="143" t="str">
        <f t="shared" si="223"/>
        <v>[{2,566},{5103001,40},{14,60},{11,0},{5401000,0},{5203001,0},{5303001,0}]</v>
      </c>
      <c r="B456" s="98">
        <v>144</v>
      </c>
      <c r="C456" s="126">
        <v>162</v>
      </c>
      <c r="D456" s="126">
        <v>404</v>
      </c>
      <c r="E456" s="145">
        <v>15</v>
      </c>
      <c r="F456" s="145">
        <v>25</v>
      </c>
      <c r="G456" s="98">
        <v>3</v>
      </c>
      <c r="H456" s="98">
        <v>5</v>
      </c>
      <c r="I456" s="98">
        <v>0.5</v>
      </c>
      <c r="J456" s="98">
        <v>0</v>
      </c>
      <c r="K456" s="98">
        <v>5</v>
      </c>
      <c r="L456" s="98">
        <v>2</v>
      </c>
      <c r="M456" s="98">
        <v>1</v>
      </c>
      <c r="N456" s="98"/>
      <c r="O456" s="98">
        <v>0.1</v>
      </c>
      <c r="P456" s="98">
        <f t="shared" si="224"/>
        <v>148.3</v>
      </c>
      <c r="Q456" s="147">
        <f t="shared" si="225"/>
        <v>7.415</v>
      </c>
      <c r="R456" s="149">
        <v>600</v>
      </c>
      <c r="S456" s="132">
        <f t="shared" si="231"/>
        <v>81</v>
      </c>
      <c r="T456" s="132">
        <f t="shared" si="232"/>
        <v>324</v>
      </c>
      <c r="U456" s="80"/>
      <c r="V456" s="80">
        <v>21363</v>
      </c>
      <c r="W456" s="142">
        <f t="shared" si="226"/>
        <v>144</v>
      </c>
      <c r="X456" s="142" t="str">
        <f t="shared" ref="X456:AD456" si="256">IF(C$311="","{progress_rate,"&amp;C$308&amp;","&amp;C456&amp;"}",IF(C456&gt;=1,"{progress,"&amp;C$311*100&amp;","&amp;C$308&amp;","&amp;C456&amp;"}","{progress_rate_roll,"&amp;C$311*100&amp;","&amp;INT(C456*10000)&amp;","&amp;C$308&amp;","&amp;1&amp;"}"))</f>
        <v>{progress_rate,2,162}</v>
      </c>
      <c r="Y456" s="142" t="str">
        <f t="shared" si="256"/>
        <v>{progress,0,2,404}</v>
      </c>
      <c r="Z456" s="142" t="str">
        <f t="shared" si="256"/>
        <v>{progress,0,5103001,15}</v>
      </c>
      <c r="AA456" s="142" t="str">
        <f t="shared" si="256"/>
        <v>{progress,40,5103003,25}</v>
      </c>
      <c r="AB456" s="142" t="str">
        <f t="shared" si="256"/>
        <v>{progress,0,50025,3}</v>
      </c>
      <c r="AC456" s="142" t="str">
        <f t="shared" si="256"/>
        <v>{progress,50,50002,5}</v>
      </c>
      <c r="AD456" s="142" t="str">
        <f t="shared" si="256"/>
        <v>{progress_rate_roll,100,5000,11,1}</v>
      </c>
      <c r="AF456" s="142" t="str">
        <f t="shared" si="245"/>
        <v>{progress,50,5203001,5}</v>
      </c>
      <c r="AG456" s="142" t="str">
        <f t="shared" si="239"/>
        <v>{progress,40,5303001,2}</v>
      </c>
      <c r="AH456" s="142" t="str">
        <f t="shared" si="240"/>
        <v>{progress,0,5401019,1}</v>
      </c>
      <c r="AI456" s="142"/>
      <c r="AJ456" s="142" t="str">
        <f t="shared" si="242"/>
        <v>{progress_rate_roll,100,1000,9,1}</v>
      </c>
      <c r="AN456" s="142" t="str">
        <f t="shared" si="228"/>
        <v>{progress,1,21363,1}</v>
      </c>
      <c r="AO456" s="142" t="str">
        <f t="shared" si="250"/>
        <v>{progress_rate_roll,100,5000,21363,1}</v>
      </c>
      <c r="AP456" s="142" t="str">
        <f t="shared" si="234"/>
        <v>[{progress_rate,2,162},{progress,0,2,404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56" s="142" t="str">
        <f t="shared" si="251"/>
        <v>[{progress_rate,2,162},{progress,0,2,404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56" s="142" t="str">
        <f t="shared" si="235"/>
        <v>[{progress_rate,2,162},{progress,0,2,404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56" s="142" t="str">
        <f t="shared" si="229"/>
        <v>[{progress_rate,2,162},{progress,0,2,404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56" s="142" t="str">
        <f t="shared" si="230"/>
        <v>{progress_rate,2,600},{progress_rate,11,1}</v>
      </c>
      <c r="AV456" s="142" t="str">
        <f t="shared" si="236"/>
        <v>{progress_rate,2,600}</v>
      </c>
      <c r="AW456" s="142" t="s">
        <v>175</v>
      </c>
    </row>
    <row r="457" spans="1:49">
      <c r="A457" s="143" t="str">
        <f t="shared" si="223"/>
        <v>[{2,568},{5103001,40},{14,60},{11,0},{5401000,0},{5203001,0},{5303001,0}]</v>
      </c>
      <c r="B457" s="98">
        <v>145</v>
      </c>
      <c r="C457" s="126">
        <v>162</v>
      </c>
      <c r="D457" s="126">
        <v>406</v>
      </c>
      <c r="E457" s="145">
        <v>15</v>
      </c>
      <c r="F457" s="145">
        <v>25</v>
      </c>
      <c r="G457" s="98">
        <v>3</v>
      </c>
      <c r="H457" s="98">
        <v>5</v>
      </c>
      <c r="I457" s="98">
        <v>0.5</v>
      </c>
      <c r="J457" s="98">
        <v>0</v>
      </c>
      <c r="K457" s="98">
        <v>5</v>
      </c>
      <c r="L457" s="98">
        <v>2</v>
      </c>
      <c r="M457" s="98">
        <v>1</v>
      </c>
      <c r="N457" s="98"/>
      <c r="O457" s="98">
        <v>0.1</v>
      </c>
      <c r="P457" s="98">
        <f t="shared" si="224"/>
        <v>148.4</v>
      </c>
      <c r="Q457" s="147">
        <f t="shared" si="225"/>
        <v>7.42</v>
      </c>
      <c r="R457" s="149">
        <v>600</v>
      </c>
      <c r="S457" s="132">
        <f t="shared" si="231"/>
        <v>81</v>
      </c>
      <c r="T457" s="132">
        <f t="shared" si="232"/>
        <v>324</v>
      </c>
      <c r="U457" s="80"/>
      <c r="V457" s="80">
        <v>21363</v>
      </c>
      <c r="W457" s="142">
        <f t="shared" si="226"/>
        <v>145</v>
      </c>
      <c r="X457" s="142" t="str">
        <f t="shared" ref="X457:AD457" si="257">IF(C$311="","{progress_rate,"&amp;C$308&amp;","&amp;C457&amp;"}",IF(C457&gt;=1,"{progress,"&amp;C$311*100&amp;","&amp;C$308&amp;","&amp;C457&amp;"}","{progress_rate_roll,"&amp;C$311*100&amp;","&amp;INT(C457*10000)&amp;","&amp;C$308&amp;","&amp;1&amp;"}"))</f>
        <v>{progress_rate,2,162}</v>
      </c>
      <c r="Y457" s="142" t="str">
        <f t="shared" si="257"/>
        <v>{progress,0,2,406}</v>
      </c>
      <c r="Z457" s="142" t="str">
        <f t="shared" si="257"/>
        <v>{progress,0,5103001,15}</v>
      </c>
      <c r="AA457" s="142" t="str">
        <f t="shared" si="257"/>
        <v>{progress,40,5103003,25}</v>
      </c>
      <c r="AB457" s="142" t="str">
        <f t="shared" si="257"/>
        <v>{progress,0,50025,3}</v>
      </c>
      <c r="AC457" s="142" t="str">
        <f t="shared" si="257"/>
        <v>{progress,50,50002,5}</v>
      </c>
      <c r="AD457" s="142" t="str">
        <f t="shared" si="257"/>
        <v>{progress_rate_roll,100,5000,11,1}</v>
      </c>
      <c r="AF457" s="142" t="str">
        <f t="shared" si="245"/>
        <v>{progress,50,5203001,5}</v>
      </c>
      <c r="AG457" s="142" t="str">
        <f t="shared" si="239"/>
        <v>{progress,40,5303001,2}</v>
      </c>
      <c r="AH457" s="142" t="str">
        <f t="shared" si="240"/>
        <v>{progress,0,5401019,1}</v>
      </c>
      <c r="AI457" s="142"/>
      <c r="AJ457" s="142" t="str">
        <f t="shared" si="242"/>
        <v>{progress_rate_roll,100,1000,9,1}</v>
      </c>
      <c r="AN457" s="142" t="str">
        <f t="shared" si="228"/>
        <v>{progress,1,21363,1}</v>
      </c>
      <c r="AO457" s="142" t="str">
        <f t="shared" si="250"/>
        <v>{progress_rate_roll,100,5000,21363,1}</v>
      </c>
      <c r="AP457" s="142" t="str">
        <f t="shared" si="234"/>
        <v>[{progress_rate,2,162},{progress,0,2,406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57" s="142" t="str">
        <f t="shared" si="251"/>
        <v>[{progress_rate,2,162},{progress,0,2,406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57" s="142" t="str">
        <f t="shared" si="235"/>
        <v>[{progress_rate,2,162},{progress,0,2,406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57" s="142" t="str">
        <f t="shared" si="229"/>
        <v>[{progress_rate,2,162},{progress,0,2,406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57" s="142" t="str">
        <f t="shared" si="230"/>
        <v>{progress_rate,2,600},{progress_rate,11,1}</v>
      </c>
      <c r="AV457" s="142" t="str">
        <f t="shared" si="236"/>
        <v>{progress_rate,2,600}</v>
      </c>
      <c r="AW457" s="142" t="s">
        <v>175</v>
      </c>
    </row>
    <row r="458" spans="1:49">
      <c r="A458" s="143" t="str">
        <f t="shared" si="223"/>
        <v>[{2,570},{5103001,40},{14,60},{11,0},{5401000,0},{5203001,0},{5303001,0}]</v>
      </c>
      <c r="B458" s="98">
        <v>146</v>
      </c>
      <c r="C458" s="126">
        <v>164</v>
      </c>
      <c r="D458" s="126">
        <v>406</v>
      </c>
      <c r="E458" s="145">
        <v>15</v>
      </c>
      <c r="F458" s="145">
        <v>25</v>
      </c>
      <c r="G458" s="98">
        <v>3</v>
      </c>
      <c r="H458" s="98">
        <v>5</v>
      </c>
      <c r="I458" s="98">
        <v>0.5</v>
      </c>
      <c r="J458" s="98">
        <v>0</v>
      </c>
      <c r="K458" s="98">
        <v>5</v>
      </c>
      <c r="L458" s="98">
        <v>2</v>
      </c>
      <c r="M458" s="98">
        <v>1</v>
      </c>
      <c r="N458" s="98"/>
      <c r="O458" s="98">
        <v>0.1</v>
      </c>
      <c r="P458" s="98">
        <f t="shared" si="224"/>
        <v>148.5</v>
      </c>
      <c r="Q458" s="147">
        <f t="shared" si="225"/>
        <v>7.425</v>
      </c>
      <c r="R458" s="149">
        <v>600</v>
      </c>
      <c r="S458" s="132">
        <f t="shared" si="231"/>
        <v>82</v>
      </c>
      <c r="T458" s="132">
        <f t="shared" si="232"/>
        <v>328</v>
      </c>
      <c r="U458" s="80"/>
      <c r="V458" s="80">
        <v>21363</v>
      </c>
      <c r="W458" s="142">
        <f t="shared" si="226"/>
        <v>146</v>
      </c>
      <c r="X458" s="142" t="str">
        <f t="shared" ref="X458:AD458" si="258">IF(C$311="","{progress_rate,"&amp;C$308&amp;","&amp;C458&amp;"}",IF(C458&gt;=1,"{progress,"&amp;C$311*100&amp;","&amp;C$308&amp;","&amp;C458&amp;"}","{progress_rate_roll,"&amp;C$311*100&amp;","&amp;INT(C458*10000)&amp;","&amp;C$308&amp;","&amp;1&amp;"}"))</f>
        <v>{progress_rate,2,164}</v>
      </c>
      <c r="Y458" s="142" t="str">
        <f t="shared" si="258"/>
        <v>{progress,0,2,406}</v>
      </c>
      <c r="Z458" s="142" t="str">
        <f t="shared" si="258"/>
        <v>{progress,0,5103001,15}</v>
      </c>
      <c r="AA458" s="142" t="str">
        <f t="shared" si="258"/>
        <v>{progress,40,5103003,25}</v>
      </c>
      <c r="AB458" s="142" t="str">
        <f t="shared" si="258"/>
        <v>{progress,0,50025,3}</v>
      </c>
      <c r="AC458" s="142" t="str">
        <f t="shared" si="258"/>
        <v>{progress,50,50002,5}</v>
      </c>
      <c r="AD458" s="142" t="str">
        <f t="shared" si="258"/>
        <v>{progress_rate_roll,100,5000,11,1}</v>
      </c>
      <c r="AF458" s="142" t="str">
        <f t="shared" si="245"/>
        <v>{progress,50,5203001,5}</v>
      </c>
      <c r="AG458" s="142" t="str">
        <f t="shared" si="239"/>
        <v>{progress,40,5303001,2}</v>
      </c>
      <c r="AH458" s="142" t="str">
        <f t="shared" si="240"/>
        <v>{progress,0,5401019,1}</v>
      </c>
      <c r="AI458" s="142"/>
      <c r="AJ458" s="142" t="str">
        <f t="shared" si="242"/>
        <v>{progress_rate_roll,100,1000,9,1}</v>
      </c>
      <c r="AN458" s="142" t="str">
        <f t="shared" si="228"/>
        <v>{progress,1,21363,1}</v>
      </c>
      <c r="AO458" s="142" t="str">
        <f t="shared" si="250"/>
        <v>{progress_rate_roll,100,5000,21363,1}</v>
      </c>
      <c r="AP458" s="142" t="str">
        <f t="shared" si="234"/>
        <v>[{progress_rate,2,164},{progress,0,2,406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58" s="142" t="str">
        <f t="shared" si="251"/>
        <v>[{progress_rate,2,164},{progress,0,2,406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58" s="142" t="str">
        <f t="shared" si="235"/>
        <v>[{progress_rate,2,164},{progress,0,2,406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58" s="142" t="str">
        <f t="shared" si="229"/>
        <v>[{progress_rate,2,164},{progress,0,2,406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58" s="142" t="str">
        <f t="shared" si="230"/>
        <v>{progress_rate,2,600},{progress_rate,11,1}</v>
      </c>
      <c r="AV458" s="142" t="str">
        <f t="shared" si="236"/>
        <v>{progress_rate,2,600}</v>
      </c>
      <c r="AW458" s="142" t="s">
        <v>175</v>
      </c>
    </row>
    <row r="459" spans="1:49">
      <c r="A459" s="143" t="str">
        <f t="shared" si="223"/>
        <v>[{2,572},{5103001,40},{14,60},{11,0},{5401000,0},{5203001,0},{5303001,0}]</v>
      </c>
      <c r="B459" s="98">
        <v>147</v>
      </c>
      <c r="C459" s="126">
        <v>164</v>
      </c>
      <c r="D459" s="126">
        <v>408</v>
      </c>
      <c r="E459" s="145">
        <v>15</v>
      </c>
      <c r="F459" s="145">
        <v>25</v>
      </c>
      <c r="G459" s="98">
        <v>3</v>
      </c>
      <c r="H459" s="98">
        <v>5</v>
      </c>
      <c r="I459" s="98">
        <v>0.5</v>
      </c>
      <c r="J459" s="98">
        <v>0</v>
      </c>
      <c r="K459" s="98">
        <v>5</v>
      </c>
      <c r="L459" s="98">
        <v>2</v>
      </c>
      <c r="M459" s="98">
        <v>1</v>
      </c>
      <c r="N459" s="98"/>
      <c r="O459" s="98">
        <v>0.1</v>
      </c>
      <c r="P459" s="98">
        <f t="shared" si="224"/>
        <v>148.6</v>
      </c>
      <c r="Q459" s="147">
        <f t="shared" si="225"/>
        <v>7.43</v>
      </c>
      <c r="R459" s="149">
        <v>600</v>
      </c>
      <c r="S459" s="132">
        <f t="shared" si="231"/>
        <v>82</v>
      </c>
      <c r="T459" s="132">
        <f t="shared" si="232"/>
        <v>328</v>
      </c>
      <c r="U459" s="80"/>
      <c r="V459" s="80">
        <v>21363</v>
      </c>
      <c r="W459" s="142">
        <f t="shared" si="226"/>
        <v>147</v>
      </c>
      <c r="X459" s="142" t="str">
        <f t="shared" ref="X459:AD459" si="259">IF(C$311="","{progress_rate,"&amp;C$308&amp;","&amp;C459&amp;"}",IF(C459&gt;=1,"{progress,"&amp;C$311*100&amp;","&amp;C$308&amp;","&amp;C459&amp;"}","{progress_rate_roll,"&amp;C$311*100&amp;","&amp;INT(C459*10000)&amp;","&amp;C$308&amp;","&amp;1&amp;"}"))</f>
        <v>{progress_rate,2,164}</v>
      </c>
      <c r="Y459" s="142" t="str">
        <f t="shared" si="259"/>
        <v>{progress,0,2,408}</v>
      </c>
      <c r="Z459" s="142" t="str">
        <f t="shared" si="259"/>
        <v>{progress,0,5103001,15}</v>
      </c>
      <c r="AA459" s="142" t="str">
        <f t="shared" si="259"/>
        <v>{progress,40,5103003,25}</v>
      </c>
      <c r="AB459" s="142" t="str">
        <f t="shared" si="259"/>
        <v>{progress,0,50025,3}</v>
      </c>
      <c r="AC459" s="142" t="str">
        <f t="shared" si="259"/>
        <v>{progress,50,50002,5}</v>
      </c>
      <c r="AD459" s="142" t="str">
        <f t="shared" si="259"/>
        <v>{progress_rate_roll,100,5000,11,1}</v>
      </c>
      <c r="AF459" s="142" t="str">
        <f t="shared" si="245"/>
        <v>{progress,50,5203001,5}</v>
      </c>
      <c r="AG459" s="142" t="str">
        <f t="shared" si="239"/>
        <v>{progress,40,5303001,2}</v>
      </c>
      <c r="AH459" s="142" t="str">
        <f t="shared" si="240"/>
        <v>{progress,0,5401019,1}</v>
      </c>
      <c r="AI459" s="142"/>
      <c r="AJ459" s="142" t="str">
        <f t="shared" si="242"/>
        <v>{progress_rate_roll,100,1000,9,1}</v>
      </c>
      <c r="AN459" s="142" t="str">
        <f t="shared" si="228"/>
        <v>{progress,1,21363,1}</v>
      </c>
      <c r="AO459" s="142" t="str">
        <f t="shared" si="250"/>
        <v>{progress_rate_roll,100,5000,21363,1}</v>
      </c>
      <c r="AP459" s="142" t="str">
        <f t="shared" si="234"/>
        <v>[{progress_rate,2,164},{progress,0,2,408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59" s="142" t="str">
        <f t="shared" si="251"/>
        <v>[{progress_rate,2,164},{progress,0,2,408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59" s="142" t="str">
        <f t="shared" si="235"/>
        <v>[{progress_rate,2,164},{progress,0,2,408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59" s="142" t="str">
        <f t="shared" si="229"/>
        <v>[{progress_rate,2,164},{progress,0,2,408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59" s="142" t="str">
        <f t="shared" si="230"/>
        <v>{progress_rate,2,600},{progress_rate,11,1}</v>
      </c>
      <c r="AV459" s="142" t="str">
        <f t="shared" si="236"/>
        <v>{progress_rate,2,600}</v>
      </c>
      <c r="AW459" s="142" t="s">
        <v>175</v>
      </c>
    </row>
    <row r="460" spans="1:49">
      <c r="A460" s="143" t="str">
        <f t="shared" si="223"/>
        <v>[{2,574},{5103001,40},{14,60},{11,0},{5401000,0},{5203001,0},{5303001,0}]</v>
      </c>
      <c r="B460" s="98">
        <v>148</v>
      </c>
      <c r="C460" s="126">
        <v>164</v>
      </c>
      <c r="D460" s="126">
        <v>410</v>
      </c>
      <c r="E460" s="145">
        <v>15</v>
      </c>
      <c r="F460" s="145">
        <v>25</v>
      </c>
      <c r="G460" s="98">
        <v>3</v>
      </c>
      <c r="H460" s="98">
        <v>5</v>
      </c>
      <c r="I460" s="98">
        <v>0.5</v>
      </c>
      <c r="J460" s="98">
        <v>0</v>
      </c>
      <c r="K460" s="98">
        <v>5</v>
      </c>
      <c r="L460" s="98">
        <v>2</v>
      </c>
      <c r="M460" s="98">
        <v>1</v>
      </c>
      <c r="N460" s="98"/>
      <c r="O460" s="98">
        <v>0.1</v>
      </c>
      <c r="P460" s="98">
        <f t="shared" si="224"/>
        <v>148.7</v>
      </c>
      <c r="Q460" s="147">
        <f t="shared" si="225"/>
        <v>7.435</v>
      </c>
      <c r="R460" s="149">
        <v>600</v>
      </c>
      <c r="S460" s="132">
        <f t="shared" si="231"/>
        <v>82</v>
      </c>
      <c r="T460" s="132">
        <f t="shared" si="232"/>
        <v>328</v>
      </c>
      <c r="U460" s="80"/>
      <c r="V460" s="80">
        <v>21363</v>
      </c>
      <c r="W460" s="142">
        <f t="shared" si="226"/>
        <v>148</v>
      </c>
      <c r="X460" s="142" t="str">
        <f t="shared" ref="X460:AD460" si="260">IF(C$311="","{progress_rate,"&amp;C$308&amp;","&amp;C460&amp;"}",IF(C460&gt;=1,"{progress,"&amp;C$311*100&amp;","&amp;C$308&amp;","&amp;C460&amp;"}","{progress_rate_roll,"&amp;C$311*100&amp;","&amp;INT(C460*10000)&amp;","&amp;C$308&amp;","&amp;1&amp;"}"))</f>
        <v>{progress_rate,2,164}</v>
      </c>
      <c r="Y460" s="142" t="str">
        <f t="shared" si="260"/>
        <v>{progress,0,2,410}</v>
      </c>
      <c r="Z460" s="142" t="str">
        <f t="shared" si="260"/>
        <v>{progress,0,5103001,15}</v>
      </c>
      <c r="AA460" s="142" t="str">
        <f t="shared" si="260"/>
        <v>{progress,40,5103003,25}</v>
      </c>
      <c r="AB460" s="142" t="str">
        <f t="shared" si="260"/>
        <v>{progress,0,50025,3}</v>
      </c>
      <c r="AC460" s="142" t="str">
        <f t="shared" si="260"/>
        <v>{progress,50,50002,5}</v>
      </c>
      <c r="AD460" s="142" t="str">
        <f t="shared" si="260"/>
        <v>{progress_rate_roll,100,5000,11,1}</v>
      </c>
      <c r="AF460" s="142" t="str">
        <f t="shared" si="245"/>
        <v>{progress,50,5203001,5}</v>
      </c>
      <c r="AG460" s="142" t="str">
        <f t="shared" si="239"/>
        <v>{progress,40,5303001,2}</v>
      </c>
      <c r="AH460" s="142" t="str">
        <f t="shared" si="240"/>
        <v>{progress,0,5401019,1}</v>
      </c>
      <c r="AI460" s="142"/>
      <c r="AJ460" s="142" t="str">
        <f t="shared" si="242"/>
        <v>{progress_rate_roll,100,1000,9,1}</v>
      </c>
      <c r="AN460" s="142" t="str">
        <f t="shared" si="228"/>
        <v>{progress,1,21363,1}</v>
      </c>
      <c r="AO460" s="142" t="str">
        <f t="shared" si="250"/>
        <v>{progress_rate_roll,100,5000,21363,1}</v>
      </c>
      <c r="AP460" s="142" t="str">
        <f t="shared" si="234"/>
        <v>[{progress_rate,2,164},{progress,0,2,410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60" s="142" t="str">
        <f t="shared" si="251"/>
        <v>[{progress_rate,2,164},{progress,0,2,410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60" s="142" t="str">
        <f t="shared" si="235"/>
        <v>[{progress_rate,2,164},{progress,0,2,410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60" s="142" t="str">
        <f t="shared" si="229"/>
        <v>[{progress_rate,2,164},{progress,0,2,410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60" s="142" t="str">
        <f t="shared" si="230"/>
        <v>{progress_rate,2,600},{progress_rate,11,1}</v>
      </c>
      <c r="AV460" s="142" t="str">
        <f t="shared" si="236"/>
        <v>{progress_rate,2,600}</v>
      </c>
      <c r="AW460" s="142" t="s">
        <v>175</v>
      </c>
    </row>
    <row r="461" spans="1:49">
      <c r="A461" s="143" t="str">
        <f t="shared" si="223"/>
        <v>[{2,576},{5103001,40},{14,60},{11,0},{5401000,0},{5203001,0},{5303001,0}]</v>
      </c>
      <c r="B461" s="98">
        <v>149</v>
      </c>
      <c r="C461" s="126">
        <v>166</v>
      </c>
      <c r="D461" s="126">
        <v>410</v>
      </c>
      <c r="E461" s="145">
        <v>15</v>
      </c>
      <c r="F461" s="145">
        <v>25</v>
      </c>
      <c r="G461" s="98">
        <v>3</v>
      </c>
      <c r="H461" s="98">
        <v>5</v>
      </c>
      <c r="I461" s="98">
        <v>0.5</v>
      </c>
      <c r="J461" s="98">
        <v>0</v>
      </c>
      <c r="K461" s="98">
        <v>5</v>
      </c>
      <c r="L461" s="98">
        <v>2</v>
      </c>
      <c r="M461" s="98">
        <v>1</v>
      </c>
      <c r="N461" s="98"/>
      <c r="O461" s="98">
        <v>0.1</v>
      </c>
      <c r="P461" s="98">
        <f t="shared" si="224"/>
        <v>148.8</v>
      </c>
      <c r="Q461" s="147">
        <f t="shared" si="225"/>
        <v>7.44</v>
      </c>
      <c r="R461" s="149">
        <v>600</v>
      </c>
      <c r="S461" s="132">
        <f t="shared" si="231"/>
        <v>83</v>
      </c>
      <c r="T461" s="132">
        <f t="shared" si="232"/>
        <v>332</v>
      </c>
      <c r="U461" s="80"/>
      <c r="V461" s="80">
        <v>21363</v>
      </c>
      <c r="W461" s="142">
        <f t="shared" si="226"/>
        <v>149</v>
      </c>
      <c r="X461" s="142" t="str">
        <f t="shared" ref="X461:AD461" si="261">IF(C$311="","{progress_rate,"&amp;C$308&amp;","&amp;C461&amp;"}",IF(C461&gt;=1,"{progress,"&amp;C$311*100&amp;","&amp;C$308&amp;","&amp;C461&amp;"}","{progress_rate_roll,"&amp;C$311*100&amp;","&amp;INT(C461*10000)&amp;","&amp;C$308&amp;","&amp;1&amp;"}"))</f>
        <v>{progress_rate,2,166}</v>
      </c>
      <c r="Y461" s="142" t="str">
        <f t="shared" si="261"/>
        <v>{progress,0,2,410}</v>
      </c>
      <c r="Z461" s="142" t="str">
        <f t="shared" si="261"/>
        <v>{progress,0,5103001,15}</v>
      </c>
      <c r="AA461" s="142" t="str">
        <f t="shared" si="261"/>
        <v>{progress,40,5103003,25}</v>
      </c>
      <c r="AB461" s="142" t="str">
        <f t="shared" si="261"/>
        <v>{progress,0,50025,3}</v>
      </c>
      <c r="AC461" s="142" t="str">
        <f t="shared" si="261"/>
        <v>{progress,50,50002,5}</v>
      </c>
      <c r="AD461" s="142" t="str">
        <f t="shared" si="261"/>
        <v>{progress_rate_roll,100,5000,11,1}</v>
      </c>
      <c r="AF461" s="142" t="str">
        <f t="shared" si="245"/>
        <v>{progress,50,5203001,5}</v>
      </c>
      <c r="AG461" s="142" t="str">
        <f t="shared" si="239"/>
        <v>{progress,40,5303001,2}</v>
      </c>
      <c r="AH461" s="142" t="str">
        <f t="shared" si="240"/>
        <v>{progress,0,5401019,1}</v>
      </c>
      <c r="AI461" s="142"/>
      <c r="AJ461" s="142" t="str">
        <f t="shared" si="242"/>
        <v>{progress_rate_roll,100,1000,9,1}</v>
      </c>
      <c r="AN461" s="142" t="str">
        <f t="shared" si="228"/>
        <v>{progress,1,21363,1}</v>
      </c>
      <c r="AO461" s="142" t="str">
        <f t="shared" si="250"/>
        <v>{progress_rate_roll,100,5000,21363,1}</v>
      </c>
      <c r="AP461" s="142" t="str">
        <f t="shared" si="234"/>
        <v>[{progress_rate,2,166},{progress,0,2,410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61" s="142" t="str">
        <f t="shared" si="251"/>
        <v>[{progress_rate,2,166},{progress,0,2,410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61" s="142" t="str">
        <f t="shared" si="235"/>
        <v>[{progress_rate,2,166},{progress,0,2,410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61" s="142" t="str">
        <f t="shared" si="229"/>
        <v>[{progress_rate,2,166},{progress,0,2,410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61" s="142" t="str">
        <f t="shared" si="230"/>
        <v>{progress_rate,2,600},{progress_rate,11,1}</v>
      </c>
      <c r="AV461" s="142" t="str">
        <f t="shared" si="236"/>
        <v>{progress_rate,2,600}</v>
      </c>
      <c r="AW461" s="142" t="s">
        <v>175</v>
      </c>
    </row>
    <row r="462" spans="1:49">
      <c r="A462" s="143" t="str">
        <f t="shared" si="223"/>
        <v>[{2,578},{5103001,40},{14,60},{11,0},{5401000,0},{5203001,0},{5303001,0}]</v>
      </c>
      <c r="B462" s="98">
        <v>150</v>
      </c>
      <c r="C462" s="126">
        <v>166</v>
      </c>
      <c r="D462" s="126">
        <v>412</v>
      </c>
      <c r="E462" s="145">
        <v>15</v>
      </c>
      <c r="F462" s="145">
        <v>25</v>
      </c>
      <c r="G462" s="98">
        <v>3</v>
      </c>
      <c r="H462" s="98">
        <v>5</v>
      </c>
      <c r="I462" s="98">
        <v>0.5</v>
      </c>
      <c r="J462" s="98">
        <v>0</v>
      </c>
      <c r="K462" s="98">
        <v>5</v>
      </c>
      <c r="L462" s="98">
        <v>2</v>
      </c>
      <c r="M462" s="98">
        <v>1</v>
      </c>
      <c r="N462" s="98"/>
      <c r="O462" s="98">
        <v>0.1</v>
      </c>
      <c r="P462" s="98">
        <f t="shared" si="224"/>
        <v>148.9</v>
      </c>
      <c r="Q462" s="147">
        <f t="shared" si="225"/>
        <v>7.445</v>
      </c>
      <c r="R462" s="149">
        <v>600</v>
      </c>
      <c r="S462" s="132">
        <f t="shared" si="231"/>
        <v>83</v>
      </c>
      <c r="T462" s="132">
        <f t="shared" si="232"/>
        <v>332</v>
      </c>
      <c r="U462" s="80"/>
      <c r="V462" s="80">
        <v>21363</v>
      </c>
      <c r="W462" s="142">
        <f t="shared" si="226"/>
        <v>150</v>
      </c>
      <c r="X462" s="142" t="str">
        <f t="shared" ref="X462:AD462" si="262">IF(C$311="","{progress_rate,"&amp;C$308&amp;","&amp;C462&amp;"}",IF(C462&gt;=1,"{progress,"&amp;C$311*100&amp;","&amp;C$308&amp;","&amp;C462&amp;"}","{progress_rate_roll,"&amp;C$311*100&amp;","&amp;INT(C462*10000)&amp;","&amp;C$308&amp;","&amp;1&amp;"}"))</f>
        <v>{progress_rate,2,166}</v>
      </c>
      <c r="Y462" s="142" t="str">
        <f t="shared" si="262"/>
        <v>{progress,0,2,412}</v>
      </c>
      <c r="Z462" s="142" t="str">
        <f t="shared" si="262"/>
        <v>{progress,0,5103001,15}</v>
      </c>
      <c r="AA462" s="142" t="str">
        <f t="shared" si="262"/>
        <v>{progress,40,5103003,25}</v>
      </c>
      <c r="AB462" s="142" t="str">
        <f t="shared" si="262"/>
        <v>{progress,0,50025,3}</v>
      </c>
      <c r="AC462" s="142" t="str">
        <f t="shared" si="262"/>
        <v>{progress,50,50002,5}</v>
      </c>
      <c r="AD462" s="142" t="str">
        <f t="shared" si="262"/>
        <v>{progress_rate_roll,100,5000,11,1}</v>
      </c>
      <c r="AF462" s="142" t="str">
        <f t="shared" si="245"/>
        <v>{progress,50,5203001,5}</v>
      </c>
      <c r="AG462" s="142" t="str">
        <f t="shared" si="239"/>
        <v>{progress,40,5303001,2}</v>
      </c>
      <c r="AH462" s="142" t="str">
        <f t="shared" si="240"/>
        <v>{progress,0,5401019,1}</v>
      </c>
      <c r="AI462" s="142"/>
      <c r="AJ462" s="142" t="str">
        <f t="shared" si="242"/>
        <v>{progress_rate_roll,100,1000,9,1}</v>
      </c>
      <c r="AN462" s="142" t="str">
        <f t="shared" si="228"/>
        <v>{progress,1,21363,1}</v>
      </c>
      <c r="AO462" s="142" t="str">
        <f t="shared" si="250"/>
        <v>{progress_rate_roll,100,5000,21363,1}</v>
      </c>
      <c r="AP462" s="142" t="str">
        <f t="shared" si="234"/>
        <v>[{progress_rate,2,166},{progress,0,2,412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62" s="142" t="str">
        <f t="shared" si="251"/>
        <v>[{progress_rate,2,166},{progress,0,2,412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62" s="142" t="str">
        <f t="shared" si="235"/>
        <v>[{progress_rate,2,166},{progress,0,2,412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62" s="142" t="str">
        <f t="shared" si="229"/>
        <v>[{progress_rate,2,166},{progress,0,2,412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62" s="142" t="str">
        <f t="shared" si="230"/>
        <v>{progress_rate,2,600},{progress_rate,11,1}</v>
      </c>
      <c r="AV462" s="142" t="str">
        <f t="shared" si="236"/>
        <v>{progress_rate,2,600}</v>
      </c>
      <c r="AW462" s="142" t="s">
        <v>175</v>
      </c>
    </row>
    <row r="463" spans="1:49">
      <c r="A463" s="143" t="str">
        <f t="shared" si="223"/>
        <v>[{2,580},{5103001,40},{14,60},{11,0},{5401000,0},{5203001,0},{5303001,0}]</v>
      </c>
      <c r="B463" s="98">
        <v>151</v>
      </c>
      <c r="C463" s="126">
        <v>166</v>
      </c>
      <c r="D463" s="126">
        <v>414</v>
      </c>
      <c r="E463" s="145">
        <v>15</v>
      </c>
      <c r="F463" s="145">
        <v>25</v>
      </c>
      <c r="G463" s="98">
        <v>3</v>
      </c>
      <c r="H463" s="98">
        <v>5</v>
      </c>
      <c r="I463" s="98">
        <v>0.5</v>
      </c>
      <c r="J463" s="98">
        <v>0</v>
      </c>
      <c r="K463" s="98">
        <v>5</v>
      </c>
      <c r="L463" s="98">
        <v>2</v>
      </c>
      <c r="M463" s="98">
        <v>1</v>
      </c>
      <c r="N463" s="98"/>
      <c r="O463" s="98">
        <v>0.1</v>
      </c>
      <c r="P463" s="98">
        <f t="shared" si="224"/>
        <v>149</v>
      </c>
      <c r="Q463" s="147">
        <f t="shared" si="225"/>
        <v>7.45</v>
      </c>
      <c r="R463" s="149">
        <v>600</v>
      </c>
      <c r="S463" s="132">
        <f t="shared" si="231"/>
        <v>83</v>
      </c>
      <c r="T463" s="132">
        <f t="shared" si="232"/>
        <v>332</v>
      </c>
      <c r="U463" s="80"/>
      <c r="V463" s="80">
        <v>21363</v>
      </c>
      <c r="W463" s="142">
        <f t="shared" si="226"/>
        <v>151</v>
      </c>
      <c r="X463" s="142" t="str">
        <f t="shared" ref="X463:AD463" si="263">IF(C$311="","{progress_rate,"&amp;C$308&amp;","&amp;C463&amp;"}",IF(C463&gt;=1,"{progress,"&amp;C$311*100&amp;","&amp;C$308&amp;","&amp;C463&amp;"}","{progress_rate_roll,"&amp;C$311*100&amp;","&amp;INT(C463*10000)&amp;","&amp;C$308&amp;","&amp;1&amp;"}"))</f>
        <v>{progress_rate,2,166}</v>
      </c>
      <c r="Y463" s="142" t="str">
        <f t="shared" si="263"/>
        <v>{progress,0,2,414}</v>
      </c>
      <c r="Z463" s="142" t="str">
        <f t="shared" si="263"/>
        <v>{progress,0,5103001,15}</v>
      </c>
      <c r="AA463" s="142" t="str">
        <f t="shared" si="263"/>
        <v>{progress,40,5103003,25}</v>
      </c>
      <c r="AB463" s="142" t="str">
        <f t="shared" si="263"/>
        <v>{progress,0,50025,3}</v>
      </c>
      <c r="AC463" s="142" t="str">
        <f t="shared" si="263"/>
        <v>{progress,50,50002,5}</v>
      </c>
      <c r="AD463" s="142" t="str">
        <f t="shared" si="263"/>
        <v>{progress_rate_roll,100,5000,11,1}</v>
      </c>
      <c r="AF463" s="142" t="str">
        <f t="shared" si="245"/>
        <v>{progress,50,5203001,5}</v>
      </c>
      <c r="AG463" s="142" t="str">
        <f t="shared" si="239"/>
        <v>{progress,40,5303001,2}</v>
      </c>
      <c r="AH463" s="142" t="str">
        <f t="shared" si="240"/>
        <v>{progress,0,5401019,1}</v>
      </c>
      <c r="AI463" s="142"/>
      <c r="AJ463" s="142" t="str">
        <f t="shared" si="242"/>
        <v>{progress_rate_roll,100,1000,9,1}</v>
      </c>
      <c r="AN463" s="142" t="str">
        <f t="shared" si="228"/>
        <v>{progress,1,21363,1}</v>
      </c>
      <c r="AO463" s="142" t="str">
        <f t="shared" si="250"/>
        <v>{progress_rate_roll,100,5000,21363,1}</v>
      </c>
      <c r="AP463" s="142" t="str">
        <f t="shared" si="234"/>
        <v>[{progress_rate,2,166},{progress,0,2,414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63" s="142" t="str">
        <f t="shared" si="251"/>
        <v>[{progress_rate,2,166},{progress,0,2,414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63" s="142" t="str">
        <f t="shared" si="235"/>
        <v>[{progress_rate,2,166},{progress,0,2,414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63" s="142" t="str">
        <f t="shared" si="229"/>
        <v>[{progress_rate,2,166},{progress,0,2,414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63" s="142" t="str">
        <f t="shared" si="230"/>
        <v>{progress_rate,2,600},{progress_rate,11,1}</v>
      </c>
      <c r="AV463" s="142" t="str">
        <f t="shared" si="236"/>
        <v>{progress_rate,2,600}</v>
      </c>
      <c r="AW463" s="142" t="s">
        <v>175</v>
      </c>
    </row>
    <row r="464" spans="1:49">
      <c r="A464" s="143" t="str">
        <f t="shared" si="223"/>
        <v>[{2,582},{5103001,40},{14,60},{11,0},{5401000,0},{5203001,0},{5303001,0}]</v>
      </c>
      <c r="B464" s="98">
        <v>152</v>
      </c>
      <c r="C464" s="126">
        <v>166</v>
      </c>
      <c r="D464" s="126">
        <v>416</v>
      </c>
      <c r="E464" s="145">
        <v>15</v>
      </c>
      <c r="F464" s="145">
        <v>25</v>
      </c>
      <c r="G464" s="98">
        <v>3</v>
      </c>
      <c r="H464" s="98">
        <v>5</v>
      </c>
      <c r="I464" s="98">
        <v>0.5</v>
      </c>
      <c r="J464" s="98">
        <v>0</v>
      </c>
      <c r="K464" s="98">
        <v>5</v>
      </c>
      <c r="L464" s="98">
        <v>2</v>
      </c>
      <c r="M464" s="98">
        <v>1</v>
      </c>
      <c r="N464" s="98"/>
      <c r="O464" s="98">
        <v>0.1</v>
      </c>
      <c r="P464" s="98">
        <f t="shared" si="224"/>
        <v>149.1</v>
      </c>
      <c r="Q464" s="147">
        <f t="shared" si="225"/>
        <v>7.455</v>
      </c>
      <c r="R464" s="149">
        <v>600</v>
      </c>
      <c r="S464" s="132">
        <f t="shared" si="231"/>
        <v>83</v>
      </c>
      <c r="T464" s="132">
        <f t="shared" si="232"/>
        <v>332</v>
      </c>
      <c r="U464" s="80"/>
      <c r="V464" s="80">
        <v>21363</v>
      </c>
      <c r="W464" s="142">
        <f t="shared" si="226"/>
        <v>152</v>
      </c>
      <c r="X464" s="142" t="str">
        <f t="shared" ref="X464:AD464" si="264">IF(C$311="","{progress_rate,"&amp;C$308&amp;","&amp;C464&amp;"}",IF(C464&gt;=1,"{progress,"&amp;C$311*100&amp;","&amp;C$308&amp;","&amp;C464&amp;"}","{progress_rate_roll,"&amp;C$311*100&amp;","&amp;INT(C464*10000)&amp;","&amp;C$308&amp;","&amp;1&amp;"}"))</f>
        <v>{progress_rate,2,166}</v>
      </c>
      <c r="Y464" s="142" t="str">
        <f t="shared" si="264"/>
        <v>{progress,0,2,416}</v>
      </c>
      <c r="Z464" s="142" t="str">
        <f t="shared" si="264"/>
        <v>{progress,0,5103001,15}</v>
      </c>
      <c r="AA464" s="142" t="str">
        <f t="shared" si="264"/>
        <v>{progress,40,5103003,25}</v>
      </c>
      <c r="AB464" s="142" t="str">
        <f t="shared" si="264"/>
        <v>{progress,0,50025,3}</v>
      </c>
      <c r="AC464" s="142" t="str">
        <f t="shared" si="264"/>
        <v>{progress,50,50002,5}</v>
      </c>
      <c r="AD464" s="142" t="str">
        <f t="shared" si="264"/>
        <v>{progress_rate_roll,100,5000,11,1}</v>
      </c>
      <c r="AF464" s="142" t="str">
        <f t="shared" si="245"/>
        <v>{progress,50,5203001,5}</v>
      </c>
      <c r="AG464" s="142" t="str">
        <f t="shared" si="239"/>
        <v>{progress,40,5303001,2}</v>
      </c>
      <c r="AH464" s="142" t="str">
        <f t="shared" si="240"/>
        <v>{progress,0,5401019,1}</v>
      </c>
      <c r="AI464" s="142"/>
      <c r="AJ464" s="142" t="str">
        <f t="shared" si="242"/>
        <v>{progress_rate_roll,100,1000,9,1}</v>
      </c>
      <c r="AN464" s="142" t="str">
        <f t="shared" si="228"/>
        <v>{progress,1,21363,1}</v>
      </c>
      <c r="AO464" s="142" t="str">
        <f t="shared" si="250"/>
        <v>{progress_rate_roll,100,5000,21363,1}</v>
      </c>
      <c r="AP464" s="142" t="str">
        <f t="shared" si="234"/>
        <v>[{progress_rate,2,166},{progress,0,2,416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64" s="142" t="str">
        <f t="shared" si="251"/>
        <v>[{progress_rate,2,166},{progress,0,2,416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64" s="142" t="str">
        <f t="shared" si="235"/>
        <v>[{progress_rate,2,166},{progress,0,2,416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64" s="142" t="str">
        <f t="shared" si="229"/>
        <v>[{progress_rate,2,166},{progress,0,2,416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64" s="142" t="str">
        <f t="shared" si="230"/>
        <v>{progress_rate,2,600},{progress_rate,11,1}</v>
      </c>
      <c r="AV464" s="142" t="str">
        <f t="shared" si="236"/>
        <v>{progress_rate,2,600}</v>
      </c>
      <c r="AW464" s="142" t="s">
        <v>175</v>
      </c>
    </row>
    <row r="465" spans="1:49">
      <c r="A465" s="143" t="str">
        <f t="shared" si="223"/>
        <v>[{2,584},{5103001,40},{14,60},{11,0},{5401000,0},{5203001,0},{5303001,0}]</v>
      </c>
      <c r="B465" s="98">
        <v>153</v>
      </c>
      <c r="C465" s="126">
        <v>168</v>
      </c>
      <c r="D465" s="126">
        <v>416</v>
      </c>
      <c r="E465" s="145">
        <v>15</v>
      </c>
      <c r="F465" s="145">
        <v>25</v>
      </c>
      <c r="G465" s="98">
        <v>3</v>
      </c>
      <c r="H465" s="98">
        <v>5</v>
      </c>
      <c r="I465" s="98">
        <v>0.5</v>
      </c>
      <c r="J465" s="98">
        <v>0</v>
      </c>
      <c r="K465" s="98">
        <v>5</v>
      </c>
      <c r="L465" s="98">
        <v>2</v>
      </c>
      <c r="M465" s="98">
        <v>1</v>
      </c>
      <c r="N465" s="98"/>
      <c r="O465" s="98">
        <v>0.1</v>
      </c>
      <c r="P465" s="98">
        <f t="shared" si="224"/>
        <v>149.2</v>
      </c>
      <c r="Q465" s="147">
        <f t="shared" si="225"/>
        <v>7.46</v>
      </c>
      <c r="R465" s="149">
        <v>600</v>
      </c>
      <c r="S465" s="132">
        <f t="shared" si="231"/>
        <v>84</v>
      </c>
      <c r="T465" s="132">
        <f t="shared" si="232"/>
        <v>336</v>
      </c>
      <c r="U465" s="80"/>
      <c r="V465" s="80">
        <v>21363</v>
      </c>
      <c r="W465" s="142">
        <f t="shared" si="226"/>
        <v>153</v>
      </c>
      <c r="X465" s="142" t="str">
        <f t="shared" ref="X465:AD465" si="265">IF(C$311="","{progress_rate,"&amp;C$308&amp;","&amp;C465&amp;"}",IF(C465&gt;=1,"{progress,"&amp;C$311*100&amp;","&amp;C$308&amp;","&amp;C465&amp;"}","{progress_rate_roll,"&amp;C$311*100&amp;","&amp;INT(C465*10000)&amp;","&amp;C$308&amp;","&amp;1&amp;"}"))</f>
        <v>{progress_rate,2,168}</v>
      </c>
      <c r="Y465" s="142" t="str">
        <f t="shared" si="265"/>
        <v>{progress,0,2,416}</v>
      </c>
      <c r="Z465" s="142" t="str">
        <f t="shared" si="265"/>
        <v>{progress,0,5103001,15}</v>
      </c>
      <c r="AA465" s="142" t="str">
        <f t="shared" si="265"/>
        <v>{progress,40,5103003,25}</v>
      </c>
      <c r="AB465" s="142" t="str">
        <f t="shared" si="265"/>
        <v>{progress,0,50025,3}</v>
      </c>
      <c r="AC465" s="142" t="str">
        <f t="shared" si="265"/>
        <v>{progress,50,50002,5}</v>
      </c>
      <c r="AD465" s="142" t="str">
        <f t="shared" si="265"/>
        <v>{progress_rate_roll,100,5000,11,1}</v>
      </c>
      <c r="AF465" s="142" t="str">
        <f t="shared" si="245"/>
        <v>{progress,50,5203001,5}</v>
      </c>
      <c r="AG465" s="142" t="str">
        <f t="shared" si="239"/>
        <v>{progress,40,5303001,2}</v>
      </c>
      <c r="AH465" s="142" t="str">
        <f t="shared" si="240"/>
        <v>{progress,0,5401019,1}</v>
      </c>
      <c r="AI465" s="142"/>
      <c r="AJ465" s="142" t="str">
        <f t="shared" si="242"/>
        <v>{progress_rate_roll,100,1000,9,1}</v>
      </c>
      <c r="AN465" s="142" t="str">
        <f t="shared" si="228"/>
        <v>{progress,1,21363,1}</v>
      </c>
      <c r="AO465" s="142" t="str">
        <f t="shared" si="250"/>
        <v>{progress_rate_roll,100,5000,21363,1}</v>
      </c>
      <c r="AP465" s="142" t="str">
        <f t="shared" si="234"/>
        <v>[{progress_rate,2,168},{progress,0,2,416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65" s="142" t="str">
        <f t="shared" si="251"/>
        <v>[{progress_rate,2,168},{progress,0,2,416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65" s="142" t="str">
        <f t="shared" si="235"/>
        <v>[{progress_rate,2,168},{progress,0,2,416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65" s="142" t="str">
        <f t="shared" si="229"/>
        <v>[{progress_rate,2,168},{progress,0,2,416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65" s="142" t="str">
        <f t="shared" si="230"/>
        <v>{progress_rate,2,600},{progress_rate,11,1}</v>
      </c>
      <c r="AV465" s="142" t="str">
        <f t="shared" si="236"/>
        <v>{progress_rate,2,600}</v>
      </c>
      <c r="AW465" s="142" t="s">
        <v>175</v>
      </c>
    </row>
    <row r="466" spans="1:49">
      <c r="A466" s="143" t="str">
        <f t="shared" si="223"/>
        <v>[{2,586},{5103001,40},{14,60},{11,0},{5401000,0},{5203001,0},{5303001,0}]</v>
      </c>
      <c r="B466" s="98">
        <v>154</v>
      </c>
      <c r="C466" s="126">
        <v>168</v>
      </c>
      <c r="D466" s="126">
        <v>418</v>
      </c>
      <c r="E466" s="145">
        <v>15</v>
      </c>
      <c r="F466" s="145">
        <v>25</v>
      </c>
      <c r="G466" s="98">
        <v>3</v>
      </c>
      <c r="H466" s="98">
        <v>5</v>
      </c>
      <c r="I466" s="98">
        <v>0.5</v>
      </c>
      <c r="J466" s="98">
        <v>0</v>
      </c>
      <c r="K466" s="98">
        <v>5</v>
      </c>
      <c r="L466" s="98">
        <v>2</v>
      </c>
      <c r="M466" s="98">
        <v>1</v>
      </c>
      <c r="N466" s="98"/>
      <c r="O466" s="98">
        <v>0.1</v>
      </c>
      <c r="P466" s="98">
        <f t="shared" si="224"/>
        <v>149.3</v>
      </c>
      <c r="Q466" s="147">
        <f t="shared" si="225"/>
        <v>7.465</v>
      </c>
      <c r="R466" s="149">
        <v>600</v>
      </c>
      <c r="S466" s="132">
        <f t="shared" si="231"/>
        <v>84</v>
      </c>
      <c r="T466" s="132">
        <f t="shared" si="232"/>
        <v>336</v>
      </c>
      <c r="U466" s="80"/>
      <c r="V466" s="80">
        <v>21363</v>
      </c>
      <c r="W466" s="142">
        <f t="shared" si="226"/>
        <v>154</v>
      </c>
      <c r="X466" s="142" t="str">
        <f t="shared" ref="X466:AD466" si="266">IF(C$311="","{progress_rate,"&amp;C$308&amp;","&amp;C466&amp;"}",IF(C466&gt;=1,"{progress,"&amp;C$311*100&amp;","&amp;C$308&amp;","&amp;C466&amp;"}","{progress_rate_roll,"&amp;C$311*100&amp;","&amp;INT(C466*10000)&amp;","&amp;C$308&amp;","&amp;1&amp;"}"))</f>
        <v>{progress_rate,2,168}</v>
      </c>
      <c r="Y466" s="142" t="str">
        <f t="shared" si="266"/>
        <v>{progress,0,2,418}</v>
      </c>
      <c r="Z466" s="142" t="str">
        <f t="shared" si="266"/>
        <v>{progress,0,5103001,15}</v>
      </c>
      <c r="AA466" s="142" t="str">
        <f t="shared" si="266"/>
        <v>{progress,40,5103003,25}</v>
      </c>
      <c r="AB466" s="142" t="str">
        <f t="shared" si="266"/>
        <v>{progress,0,50025,3}</v>
      </c>
      <c r="AC466" s="142" t="str">
        <f t="shared" si="266"/>
        <v>{progress,50,50002,5}</v>
      </c>
      <c r="AD466" s="142" t="str">
        <f t="shared" si="266"/>
        <v>{progress_rate_roll,100,5000,11,1}</v>
      </c>
      <c r="AF466" s="142" t="str">
        <f t="shared" si="245"/>
        <v>{progress,50,5203001,5}</v>
      </c>
      <c r="AG466" s="142" t="str">
        <f t="shared" si="239"/>
        <v>{progress,40,5303001,2}</v>
      </c>
      <c r="AH466" s="142" t="str">
        <f t="shared" si="240"/>
        <v>{progress,0,5401019,1}</v>
      </c>
      <c r="AI466" s="142"/>
      <c r="AJ466" s="142" t="str">
        <f t="shared" si="242"/>
        <v>{progress_rate_roll,100,1000,9,1}</v>
      </c>
      <c r="AN466" s="142" t="str">
        <f t="shared" si="228"/>
        <v>{progress,1,21363,1}</v>
      </c>
      <c r="AO466" s="142" t="str">
        <f t="shared" si="250"/>
        <v>{progress_rate_roll,100,5000,21363,1}</v>
      </c>
      <c r="AP466" s="142" t="str">
        <f t="shared" si="234"/>
        <v>[{progress_rate,2,168},{progress,0,2,418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66" s="142" t="str">
        <f t="shared" si="251"/>
        <v>[{progress_rate,2,168},{progress,0,2,418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66" s="142" t="str">
        <f t="shared" si="235"/>
        <v>[{progress_rate,2,168},{progress,0,2,418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66" s="142" t="str">
        <f t="shared" si="229"/>
        <v>[{progress_rate,2,168},{progress,0,2,418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66" s="142" t="str">
        <f t="shared" si="230"/>
        <v>{progress_rate,2,600},{progress_rate,11,1}</v>
      </c>
      <c r="AV466" s="142" t="str">
        <f t="shared" si="236"/>
        <v>{progress_rate,2,600}</v>
      </c>
      <c r="AW466" s="142" t="s">
        <v>175</v>
      </c>
    </row>
    <row r="467" spans="1:49">
      <c r="A467" s="143" t="str">
        <f t="shared" si="223"/>
        <v>[{2,588},{5103001,40},{14,60},{11,0},{5401000,0},{5203001,0},{5303001,0}]</v>
      </c>
      <c r="B467" s="98">
        <v>155</v>
      </c>
      <c r="C467" s="126">
        <v>168</v>
      </c>
      <c r="D467" s="126">
        <v>420</v>
      </c>
      <c r="E467" s="145">
        <v>15</v>
      </c>
      <c r="F467" s="145">
        <v>25</v>
      </c>
      <c r="G467" s="98">
        <v>3</v>
      </c>
      <c r="H467" s="98">
        <v>5</v>
      </c>
      <c r="I467" s="98">
        <v>0.5</v>
      </c>
      <c r="J467" s="98">
        <v>0</v>
      </c>
      <c r="K467" s="98">
        <v>5</v>
      </c>
      <c r="L467" s="98">
        <v>2</v>
      </c>
      <c r="M467" s="98">
        <v>1</v>
      </c>
      <c r="N467" s="98"/>
      <c r="O467" s="98">
        <v>0.1</v>
      </c>
      <c r="P467" s="98">
        <f t="shared" si="224"/>
        <v>149.4</v>
      </c>
      <c r="Q467" s="147">
        <f t="shared" si="225"/>
        <v>7.47</v>
      </c>
      <c r="R467" s="149">
        <v>600</v>
      </c>
      <c r="S467" s="132">
        <f t="shared" si="231"/>
        <v>84</v>
      </c>
      <c r="T467" s="132">
        <f t="shared" si="232"/>
        <v>336</v>
      </c>
      <c r="U467" s="80"/>
      <c r="V467" s="80">
        <v>21363</v>
      </c>
      <c r="W467" s="142">
        <f t="shared" si="226"/>
        <v>155</v>
      </c>
      <c r="X467" s="142" t="str">
        <f t="shared" ref="X467:AD467" si="267">IF(C$311="","{progress_rate,"&amp;C$308&amp;","&amp;C467&amp;"}",IF(C467&gt;=1,"{progress,"&amp;C$311*100&amp;","&amp;C$308&amp;","&amp;C467&amp;"}","{progress_rate_roll,"&amp;C$311*100&amp;","&amp;INT(C467*10000)&amp;","&amp;C$308&amp;","&amp;1&amp;"}"))</f>
        <v>{progress_rate,2,168}</v>
      </c>
      <c r="Y467" s="142" t="str">
        <f t="shared" si="267"/>
        <v>{progress,0,2,420}</v>
      </c>
      <c r="Z467" s="142" t="str">
        <f t="shared" si="267"/>
        <v>{progress,0,5103001,15}</v>
      </c>
      <c r="AA467" s="142" t="str">
        <f t="shared" si="267"/>
        <v>{progress,40,5103003,25}</v>
      </c>
      <c r="AB467" s="142" t="str">
        <f t="shared" si="267"/>
        <v>{progress,0,50025,3}</v>
      </c>
      <c r="AC467" s="142" t="str">
        <f t="shared" si="267"/>
        <v>{progress,50,50002,5}</v>
      </c>
      <c r="AD467" s="142" t="str">
        <f t="shared" si="267"/>
        <v>{progress_rate_roll,100,5000,11,1}</v>
      </c>
      <c r="AF467" s="142" t="str">
        <f t="shared" si="245"/>
        <v>{progress,50,5203001,5}</v>
      </c>
      <c r="AG467" s="142" t="str">
        <f t="shared" si="239"/>
        <v>{progress,40,5303001,2}</v>
      </c>
      <c r="AH467" s="142" t="str">
        <f t="shared" si="240"/>
        <v>{progress,0,5401019,1}</v>
      </c>
      <c r="AI467" s="142"/>
      <c r="AJ467" s="142" t="str">
        <f t="shared" si="242"/>
        <v>{progress_rate_roll,100,1000,9,1}</v>
      </c>
      <c r="AN467" s="142" t="str">
        <f t="shared" si="228"/>
        <v>{progress,1,21363,1}</v>
      </c>
      <c r="AO467" s="142" t="str">
        <f t="shared" si="250"/>
        <v>{progress_rate_roll,100,5000,21363,1}</v>
      </c>
      <c r="AP467" s="142" t="str">
        <f t="shared" si="234"/>
        <v>[{progress_rate,2,168},{progress,0,2,420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67" s="142" t="str">
        <f t="shared" si="251"/>
        <v>[{progress_rate,2,168},{progress,0,2,420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67" s="142" t="str">
        <f t="shared" si="235"/>
        <v>[{progress_rate,2,168},{progress,0,2,420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67" s="142" t="str">
        <f t="shared" si="229"/>
        <v>[{progress_rate,2,168},{progress,0,2,420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67" s="142" t="str">
        <f t="shared" si="230"/>
        <v>{progress_rate,2,600},{progress_rate,11,1}</v>
      </c>
      <c r="AV467" s="142" t="str">
        <f t="shared" si="236"/>
        <v>{progress_rate,2,600}</v>
      </c>
      <c r="AW467" s="142" t="s">
        <v>175</v>
      </c>
    </row>
    <row r="468" spans="1:49">
      <c r="A468" s="143" t="str">
        <f t="shared" si="223"/>
        <v>[{2,590},{5103001,40},{14,60},{11,0},{5401000,0},{5203001,0},{5303001,0}]</v>
      </c>
      <c r="B468" s="98">
        <v>156</v>
      </c>
      <c r="C468" s="126">
        <v>170</v>
      </c>
      <c r="D468" s="126">
        <v>420</v>
      </c>
      <c r="E468" s="145">
        <v>15</v>
      </c>
      <c r="F468" s="145">
        <v>25</v>
      </c>
      <c r="G468" s="98">
        <v>3</v>
      </c>
      <c r="H468" s="98">
        <v>5</v>
      </c>
      <c r="I468" s="98">
        <v>0.5</v>
      </c>
      <c r="J468" s="98">
        <v>0</v>
      </c>
      <c r="K468" s="98">
        <v>5</v>
      </c>
      <c r="L468" s="98">
        <v>2</v>
      </c>
      <c r="M468" s="98">
        <v>1</v>
      </c>
      <c r="N468" s="98"/>
      <c r="O468" s="98">
        <v>0.1</v>
      </c>
      <c r="P468" s="98">
        <f t="shared" si="224"/>
        <v>149.5</v>
      </c>
      <c r="Q468" s="147">
        <f t="shared" si="225"/>
        <v>7.475</v>
      </c>
      <c r="R468" s="149">
        <v>600</v>
      </c>
      <c r="S468" s="132">
        <f t="shared" si="231"/>
        <v>85</v>
      </c>
      <c r="T468" s="132">
        <f t="shared" si="232"/>
        <v>340</v>
      </c>
      <c r="U468" s="80"/>
      <c r="V468" s="80">
        <v>21363</v>
      </c>
      <c r="W468" s="142">
        <f t="shared" si="226"/>
        <v>156</v>
      </c>
      <c r="X468" s="142" t="str">
        <f t="shared" ref="X468:AD468" si="268">IF(C$311="","{progress_rate,"&amp;C$308&amp;","&amp;C468&amp;"}",IF(C468&gt;=1,"{progress,"&amp;C$311*100&amp;","&amp;C$308&amp;","&amp;C468&amp;"}","{progress_rate_roll,"&amp;C$311*100&amp;","&amp;INT(C468*10000)&amp;","&amp;C$308&amp;","&amp;1&amp;"}"))</f>
        <v>{progress_rate,2,170}</v>
      </c>
      <c r="Y468" s="142" t="str">
        <f t="shared" si="268"/>
        <v>{progress,0,2,420}</v>
      </c>
      <c r="Z468" s="142" t="str">
        <f t="shared" si="268"/>
        <v>{progress,0,5103001,15}</v>
      </c>
      <c r="AA468" s="142" t="str">
        <f t="shared" si="268"/>
        <v>{progress,40,5103003,25}</v>
      </c>
      <c r="AB468" s="142" t="str">
        <f t="shared" si="268"/>
        <v>{progress,0,50025,3}</v>
      </c>
      <c r="AC468" s="142" t="str">
        <f t="shared" si="268"/>
        <v>{progress,50,50002,5}</v>
      </c>
      <c r="AD468" s="142" t="str">
        <f t="shared" si="268"/>
        <v>{progress_rate_roll,100,5000,11,1}</v>
      </c>
      <c r="AF468" s="142" t="str">
        <f t="shared" si="245"/>
        <v>{progress,50,5203001,5}</v>
      </c>
      <c r="AG468" s="142" t="str">
        <f t="shared" si="239"/>
        <v>{progress,40,5303001,2}</v>
      </c>
      <c r="AH468" s="142" t="str">
        <f t="shared" si="240"/>
        <v>{progress,0,5401019,1}</v>
      </c>
      <c r="AI468" s="142"/>
      <c r="AJ468" s="142" t="str">
        <f t="shared" si="242"/>
        <v>{progress_rate_roll,100,1000,9,1}</v>
      </c>
      <c r="AN468" s="142" t="str">
        <f t="shared" si="228"/>
        <v>{progress,1,21363,1}</v>
      </c>
      <c r="AO468" s="142" t="str">
        <f t="shared" si="250"/>
        <v>{progress_rate_roll,100,5000,21363,1}</v>
      </c>
      <c r="AP468" s="142" t="str">
        <f t="shared" si="234"/>
        <v>[{progress_rate,2,170},{progress,0,2,420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68" s="142" t="str">
        <f t="shared" si="251"/>
        <v>[{progress_rate,2,170},{progress,0,2,420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68" s="142" t="str">
        <f t="shared" si="235"/>
        <v>[{progress_rate,2,170},{progress,0,2,420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68" s="142" t="str">
        <f t="shared" si="229"/>
        <v>[{progress_rate,2,170},{progress,0,2,420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68" s="142" t="str">
        <f t="shared" si="230"/>
        <v>{progress_rate,2,600},{progress_rate,11,1}</v>
      </c>
      <c r="AV468" s="142" t="str">
        <f t="shared" si="236"/>
        <v>{progress_rate,2,600}</v>
      </c>
      <c r="AW468" s="142" t="s">
        <v>175</v>
      </c>
    </row>
    <row r="469" spans="1:49">
      <c r="A469" s="143" t="str">
        <f t="shared" si="223"/>
        <v>[{2,592},{5103001,40},{14,60},{11,0},{5401000,0},{5203001,0},{5303001,0}]</v>
      </c>
      <c r="B469" s="98">
        <v>157</v>
      </c>
      <c r="C469" s="126">
        <v>170</v>
      </c>
      <c r="D469" s="126">
        <v>422</v>
      </c>
      <c r="E469" s="145">
        <v>15</v>
      </c>
      <c r="F469" s="145">
        <v>25</v>
      </c>
      <c r="G469" s="98">
        <v>3</v>
      </c>
      <c r="H469" s="98">
        <v>5</v>
      </c>
      <c r="I469" s="98">
        <v>0.5</v>
      </c>
      <c r="J469" s="98">
        <v>0</v>
      </c>
      <c r="K469" s="98">
        <v>5</v>
      </c>
      <c r="L469" s="98">
        <v>2</v>
      </c>
      <c r="M469" s="98">
        <v>1</v>
      </c>
      <c r="N469" s="98"/>
      <c r="O469" s="98">
        <v>0.1</v>
      </c>
      <c r="P469" s="98">
        <f t="shared" si="224"/>
        <v>149.6</v>
      </c>
      <c r="Q469" s="147">
        <f t="shared" si="225"/>
        <v>7.48</v>
      </c>
      <c r="R469" s="149">
        <v>600</v>
      </c>
      <c r="S469" s="132">
        <f t="shared" si="231"/>
        <v>85</v>
      </c>
      <c r="T469" s="132">
        <f t="shared" si="232"/>
        <v>340</v>
      </c>
      <c r="U469" s="80"/>
      <c r="V469" s="80">
        <v>21363</v>
      </c>
      <c r="W469" s="142">
        <f t="shared" si="226"/>
        <v>157</v>
      </c>
      <c r="X469" s="142" t="str">
        <f t="shared" ref="X469:AD469" si="269">IF(C$311="","{progress_rate,"&amp;C$308&amp;","&amp;C469&amp;"}",IF(C469&gt;=1,"{progress,"&amp;C$311*100&amp;","&amp;C$308&amp;","&amp;C469&amp;"}","{progress_rate_roll,"&amp;C$311*100&amp;","&amp;INT(C469*10000)&amp;","&amp;C$308&amp;","&amp;1&amp;"}"))</f>
        <v>{progress_rate,2,170}</v>
      </c>
      <c r="Y469" s="142" t="str">
        <f t="shared" si="269"/>
        <v>{progress,0,2,422}</v>
      </c>
      <c r="Z469" s="142" t="str">
        <f t="shared" si="269"/>
        <v>{progress,0,5103001,15}</v>
      </c>
      <c r="AA469" s="142" t="str">
        <f t="shared" si="269"/>
        <v>{progress,40,5103003,25}</v>
      </c>
      <c r="AB469" s="142" t="str">
        <f t="shared" si="269"/>
        <v>{progress,0,50025,3}</v>
      </c>
      <c r="AC469" s="142" t="str">
        <f t="shared" si="269"/>
        <v>{progress,50,50002,5}</v>
      </c>
      <c r="AD469" s="142" t="str">
        <f t="shared" si="269"/>
        <v>{progress_rate_roll,100,5000,11,1}</v>
      </c>
      <c r="AF469" s="142" t="str">
        <f t="shared" si="245"/>
        <v>{progress,50,5203001,5}</v>
      </c>
      <c r="AG469" s="142" t="str">
        <f t="shared" si="239"/>
        <v>{progress,40,5303001,2}</v>
      </c>
      <c r="AH469" s="142" t="str">
        <f t="shared" si="240"/>
        <v>{progress,0,5401019,1}</v>
      </c>
      <c r="AI469" s="142"/>
      <c r="AJ469" s="142" t="str">
        <f t="shared" si="242"/>
        <v>{progress_rate_roll,100,1000,9,1}</v>
      </c>
      <c r="AN469" s="142" t="str">
        <f t="shared" si="228"/>
        <v>{progress,1,21363,1}</v>
      </c>
      <c r="AO469" s="142" t="str">
        <f t="shared" si="250"/>
        <v>{progress_rate_roll,100,5000,21363,1}</v>
      </c>
      <c r="AP469" s="142" t="str">
        <f t="shared" si="234"/>
        <v>[{progress_rate,2,170},{progress,0,2,422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69" s="142" t="str">
        <f t="shared" si="251"/>
        <v>[{progress_rate,2,170},{progress,0,2,422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69" s="142" t="str">
        <f t="shared" si="235"/>
        <v>[{progress_rate,2,170},{progress,0,2,422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69" s="142" t="str">
        <f t="shared" si="229"/>
        <v>[{progress_rate,2,170},{progress,0,2,422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69" s="142" t="str">
        <f t="shared" si="230"/>
        <v>{progress_rate,2,600},{progress_rate,11,1}</v>
      </c>
      <c r="AV469" s="142" t="str">
        <f t="shared" si="236"/>
        <v>{progress_rate,2,600}</v>
      </c>
      <c r="AW469" s="142" t="s">
        <v>175</v>
      </c>
    </row>
    <row r="470" spans="1:49">
      <c r="A470" s="143" t="str">
        <f t="shared" si="223"/>
        <v>[{2,594},{5103001,40},{14,60},{11,0},{5401000,0},{5203001,0},{5303001,0}]</v>
      </c>
      <c r="B470" s="98">
        <v>158</v>
      </c>
      <c r="C470" s="126">
        <v>170</v>
      </c>
      <c r="D470" s="126">
        <v>424</v>
      </c>
      <c r="E470" s="145">
        <v>15</v>
      </c>
      <c r="F470" s="145">
        <v>25</v>
      </c>
      <c r="G470" s="98">
        <v>3</v>
      </c>
      <c r="H470" s="98">
        <v>5</v>
      </c>
      <c r="I470" s="98">
        <v>0.5</v>
      </c>
      <c r="J470" s="98">
        <v>0</v>
      </c>
      <c r="K470" s="98">
        <v>5</v>
      </c>
      <c r="L470" s="98">
        <v>2</v>
      </c>
      <c r="M470" s="98">
        <v>1</v>
      </c>
      <c r="N470" s="98"/>
      <c r="O470" s="98">
        <v>0.1</v>
      </c>
      <c r="P470" s="98">
        <f t="shared" si="224"/>
        <v>149.7</v>
      </c>
      <c r="Q470" s="147">
        <f t="shared" si="225"/>
        <v>7.485</v>
      </c>
      <c r="R470" s="149">
        <v>600</v>
      </c>
      <c r="S470" s="132">
        <f t="shared" si="231"/>
        <v>85</v>
      </c>
      <c r="T470" s="132">
        <f t="shared" si="232"/>
        <v>340</v>
      </c>
      <c r="U470" s="80"/>
      <c r="V470" s="80">
        <v>21363</v>
      </c>
      <c r="W470" s="142">
        <f t="shared" si="226"/>
        <v>158</v>
      </c>
      <c r="X470" s="142" t="str">
        <f t="shared" ref="X470:AD470" si="270">IF(C$311="","{progress_rate,"&amp;C$308&amp;","&amp;C470&amp;"}",IF(C470&gt;=1,"{progress,"&amp;C$311*100&amp;","&amp;C$308&amp;","&amp;C470&amp;"}","{progress_rate_roll,"&amp;C$311*100&amp;","&amp;INT(C470*10000)&amp;","&amp;C$308&amp;","&amp;1&amp;"}"))</f>
        <v>{progress_rate,2,170}</v>
      </c>
      <c r="Y470" s="142" t="str">
        <f t="shared" si="270"/>
        <v>{progress,0,2,424}</v>
      </c>
      <c r="Z470" s="142" t="str">
        <f t="shared" si="270"/>
        <v>{progress,0,5103001,15}</v>
      </c>
      <c r="AA470" s="142" t="str">
        <f t="shared" si="270"/>
        <v>{progress,40,5103003,25}</v>
      </c>
      <c r="AB470" s="142" t="str">
        <f t="shared" si="270"/>
        <v>{progress,0,50025,3}</v>
      </c>
      <c r="AC470" s="142" t="str">
        <f t="shared" si="270"/>
        <v>{progress,50,50002,5}</v>
      </c>
      <c r="AD470" s="142" t="str">
        <f t="shared" si="270"/>
        <v>{progress_rate_roll,100,5000,11,1}</v>
      </c>
      <c r="AF470" s="142" t="str">
        <f t="shared" si="245"/>
        <v>{progress,50,5203001,5}</v>
      </c>
      <c r="AG470" s="142" t="str">
        <f t="shared" si="239"/>
        <v>{progress,40,5303001,2}</v>
      </c>
      <c r="AH470" s="142" t="str">
        <f t="shared" si="240"/>
        <v>{progress,0,5401019,1}</v>
      </c>
      <c r="AI470" s="142"/>
      <c r="AJ470" s="142" t="str">
        <f t="shared" si="242"/>
        <v>{progress_rate_roll,100,1000,9,1}</v>
      </c>
      <c r="AN470" s="142" t="str">
        <f t="shared" si="228"/>
        <v>{progress,1,21363,1}</v>
      </c>
      <c r="AO470" s="142" t="str">
        <f t="shared" si="250"/>
        <v>{progress_rate_roll,100,5000,21363,1}</v>
      </c>
      <c r="AP470" s="142" t="str">
        <f t="shared" si="234"/>
        <v>[{progress_rate,2,170},{progress,0,2,424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70" s="142" t="str">
        <f t="shared" si="251"/>
        <v>[{progress_rate,2,170},{progress,0,2,424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70" s="142" t="str">
        <f t="shared" si="235"/>
        <v>[{progress_rate,2,170},{progress,0,2,424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70" s="142" t="str">
        <f t="shared" si="229"/>
        <v>[{progress_rate,2,170},{progress,0,2,424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70" s="142" t="str">
        <f t="shared" si="230"/>
        <v>{progress_rate,2,600},{progress_rate,11,1}</v>
      </c>
      <c r="AV470" s="142" t="str">
        <f t="shared" si="236"/>
        <v>{progress_rate,2,600}</v>
      </c>
      <c r="AW470" s="142" t="s">
        <v>175</v>
      </c>
    </row>
    <row r="471" spans="1:49">
      <c r="A471" s="143" t="str">
        <f t="shared" si="223"/>
        <v>[{2,596},{5103001,40},{14,60},{11,0},{5401000,0},{5203001,0},{5303001,0}]</v>
      </c>
      <c r="B471" s="98">
        <v>159</v>
      </c>
      <c r="C471" s="126">
        <v>170</v>
      </c>
      <c r="D471" s="126">
        <v>426</v>
      </c>
      <c r="E471" s="145">
        <v>15</v>
      </c>
      <c r="F471" s="145">
        <v>25</v>
      </c>
      <c r="G471" s="98">
        <v>3</v>
      </c>
      <c r="H471" s="98">
        <v>5</v>
      </c>
      <c r="I471" s="98">
        <v>0.5</v>
      </c>
      <c r="J471" s="98">
        <v>0</v>
      </c>
      <c r="K471" s="98">
        <v>5</v>
      </c>
      <c r="L471" s="98">
        <v>2</v>
      </c>
      <c r="M471" s="98">
        <v>1</v>
      </c>
      <c r="N471" s="98"/>
      <c r="O471" s="98">
        <v>0.1</v>
      </c>
      <c r="P471" s="98">
        <f t="shared" si="224"/>
        <v>149.8</v>
      </c>
      <c r="Q471" s="147">
        <f t="shared" si="225"/>
        <v>7.49</v>
      </c>
      <c r="R471" s="149">
        <v>600</v>
      </c>
      <c r="S471" s="132">
        <f t="shared" si="231"/>
        <v>85</v>
      </c>
      <c r="T471" s="132">
        <f t="shared" si="232"/>
        <v>340</v>
      </c>
      <c r="U471" s="80"/>
      <c r="V471" s="80">
        <v>21363</v>
      </c>
      <c r="W471" s="142">
        <f t="shared" si="226"/>
        <v>159</v>
      </c>
      <c r="X471" s="142" t="str">
        <f t="shared" ref="X471:AD471" si="271">IF(C$311="","{progress_rate,"&amp;C$308&amp;","&amp;C471&amp;"}",IF(C471&gt;=1,"{progress,"&amp;C$311*100&amp;","&amp;C$308&amp;","&amp;C471&amp;"}","{progress_rate_roll,"&amp;C$311*100&amp;","&amp;INT(C471*10000)&amp;","&amp;C$308&amp;","&amp;1&amp;"}"))</f>
        <v>{progress_rate,2,170}</v>
      </c>
      <c r="Y471" s="142" t="str">
        <f t="shared" si="271"/>
        <v>{progress,0,2,426}</v>
      </c>
      <c r="Z471" s="142" t="str">
        <f t="shared" si="271"/>
        <v>{progress,0,5103001,15}</v>
      </c>
      <c r="AA471" s="142" t="str">
        <f t="shared" si="271"/>
        <v>{progress,40,5103003,25}</v>
      </c>
      <c r="AB471" s="142" t="str">
        <f t="shared" si="271"/>
        <v>{progress,0,50025,3}</v>
      </c>
      <c r="AC471" s="142" t="str">
        <f t="shared" si="271"/>
        <v>{progress,50,50002,5}</v>
      </c>
      <c r="AD471" s="142" t="str">
        <f t="shared" si="271"/>
        <v>{progress_rate_roll,100,5000,11,1}</v>
      </c>
      <c r="AF471" s="142" t="str">
        <f t="shared" si="245"/>
        <v>{progress,50,5203001,5}</v>
      </c>
      <c r="AG471" s="142" t="str">
        <f t="shared" si="239"/>
        <v>{progress,40,5303001,2}</v>
      </c>
      <c r="AH471" s="142" t="str">
        <f t="shared" si="240"/>
        <v>{progress,0,5401019,1}</v>
      </c>
      <c r="AI471" s="142"/>
      <c r="AJ471" s="142" t="str">
        <f t="shared" si="242"/>
        <v>{progress_rate_roll,100,1000,9,1}</v>
      </c>
      <c r="AN471" s="142" t="str">
        <f t="shared" si="228"/>
        <v>{progress,1,21363,1}</v>
      </c>
      <c r="AO471" s="142" t="str">
        <f t="shared" si="250"/>
        <v>{progress_rate_roll,100,5000,21363,1}</v>
      </c>
      <c r="AP471" s="142" t="str">
        <f t="shared" si="234"/>
        <v>[{progress_rate,2,170},{progress,0,2,426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71" s="142" t="str">
        <f t="shared" si="251"/>
        <v>[{progress_rate,2,170},{progress,0,2,426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71" s="142" t="str">
        <f t="shared" si="235"/>
        <v>[{progress_rate,2,170},{progress,0,2,426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71" s="142" t="str">
        <f t="shared" si="229"/>
        <v>[{progress_rate,2,170},{progress,0,2,426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71" s="142" t="str">
        <f t="shared" si="230"/>
        <v>{progress_rate,2,600},{progress_rate,11,1}</v>
      </c>
      <c r="AV471" s="142" t="str">
        <f t="shared" si="236"/>
        <v>{progress_rate,2,600}</v>
      </c>
      <c r="AW471" s="142" t="s">
        <v>175</v>
      </c>
    </row>
    <row r="472" spans="1:49">
      <c r="A472" s="143" t="str">
        <f t="shared" si="223"/>
        <v>[{2,598},{5103001,40},{14,60},{11,0},{5401000,0},{5203001,0},{5303001,0}]</v>
      </c>
      <c r="B472" s="98">
        <v>160</v>
      </c>
      <c r="C472" s="126">
        <v>172</v>
      </c>
      <c r="D472" s="126">
        <v>426</v>
      </c>
      <c r="E472" s="145">
        <v>15</v>
      </c>
      <c r="F472" s="145">
        <v>25</v>
      </c>
      <c r="G472" s="98">
        <v>3</v>
      </c>
      <c r="H472" s="98">
        <v>5</v>
      </c>
      <c r="I472" s="98">
        <v>0.5</v>
      </c>
      <c r="J472" s="98">
        <v>0</v>
      </c>
      <c r="K472" s="98">
        <v>5</v>
      </c>
      <c r="L472" s="98">
        <v>2</v>
      </c>
      <c r="M472" s="98">
        <v>1</v>
      </c>
      <c r="N472" s="98"/>
      <c r="O472" s="98">
        <v>0.1</v>
      </c>
      <c r="P472" s="98">
        <f t="shared" si="224"/>
        <v>149.9</v>
      </c>
      <c r="Q472" s="147">
        <f t="shared" si="225"/>
        <v>7.495</v>
      </c>
      <c r="R472" s="149">
        <v>600</v>
      </c>
      <c r="S472" s="132">
        <f t="shared" si="231"/>
        <v>86</v>
      </c>
      <c r="T472" s="132">
        <f t="shared" si="232"/>
        <v>344</v>
      </c>
      <c r="U472" s="80"/>
      <c r="V472" s="80">
        <v>21363</v>
      </c>
      <c r="W472" s="142">
        <f t="shared" si="226"/>
        <v>160</v>
      </c>
      <c r="X472" s="142" t="str">
        <f t="shared" ref="X472:AD472" si="272">IF(C$311="","{progress_rate,"&amp;C$308&amp;","&amp;C472&amp;"}",IF(C472&gt;=1,"{progress,"&amp;C$311*100&amp;","&amp;C$308&amp;","&amp;C472&amp;"}","{progress_rate_roll,"&amp;C$311*100&amp;","&amp;INT(C472*10000)&amp;","&amp;C$308&amp;","&amp;1&amp;"}"))</f>
        <v>{progress_rate,2,172}</v>
      </c>
      <c r="Y472" s="142" t="str">
        <f t="shared" si="272"/>
        <v>{progress,0,2,426}</v>
      </c>
      <c r="Z472" s="142" t="str">
        <f t="shared" si="272"/>
        <v>{progress,0,5103001,15}</v>
      </c>
      <c r="AA472" s="142" t="str">
        <f t="shared" si="272"/>
        <v>{progress,40,5103003,25}</v>
      </c>
      <c r="AB472" s="142" t="str">
        <f t="shared" si="272"/>
        <v>{progress,0,50025,3}</v>
      </c>
      <c r="AC472" s="142" t="str">
        <f t="shared" si="272"/>
        <v>{progress,50,50002,5}</v>
      </c>
      <c r="AD472" s="142" t="str">
        <f t="shared" si="272"/>
        <v>{progress_rate_roll,100,5000,11,1}</v>
      </c>
      <c r="AF472" s="142" t="str">
        <f t="shared" si="245"/>
        <v>{progress,50,5203001,5}</v>
      </c>
      <c r="AG472" s="142" t="str">
        <f t="shared" si="239"/>
        <v>{progress,40,5303001,2}</v>
      </c>
      <c r="AH472" s="142" t="str">
        <f t="shared" si="240"/>
        <v>{progress,0,5401019,1}</v>
      </c>
      <c r="AI472" s="142"/>
      <c r="AJ472" s="142" t="str">
        <f t="shared" si="242"/>
        <v>{progress_rate_roll,100,1000,9,1}</v>
      </c>
      <c r="AN472" s="142" t="str">
        <f t="shared" si="228"/>
        <v>{progress,1,21363,1}</v>
      </c>
      <c r="AO472" s="142" t="str">
        <f t="shared" si="250"/>
        <v>{progress_rate_roll,100,5000,21363,1}</v>
      </c>
      <c r="AP472" s="142" t="str">
        <f t="shared" si="234"/>
        <v>[{progress_rate,2,172},{progress,0,2,426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72" s="142" t="str">
        <f t="shared" si="251"/>
        <v>[{progress_rate,2,172},{progress,0,2,426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72" s="142" t="str">
        <f t="shared" si="235"/>
        <v>[{progress_rate,2,172},{progress,0,2,426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72" s="142" t="str">
        <f t="shared" si="229"/>
        <v>[{progress_rate,2,172},{progress,0,2,426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72" s="142" t="str">
        <f t="shared" si="230"/>
        <v>{progress_rate,2,600},{progress_rate,11,1}</v>
      </c>
      <c r="AV472" s="142" t="str">
        <f t="shared" si="236"/>
        <v>{progress_rate,2,600}</v>
      </c>
      <c r="AW472" s="142" t="s">
        <v>175</v>
      </c>
    </row>
    <row r="473" spans="1:49">
      <c r="A473" s="143" t="str">
        <f t="shared" si="223"/>
        <v>[{2,600},{5103001,40},{14,60},{11,0},{5401000,0},{5203001,0},{5303001,0}]</v>
      </c>
      <c r="B473" s="98">
        <v>161</v>
      </c>
      <c r="C473" s="126">
        <v>172</v>
      </c>
      <c r="D473" s="126">
        <v>428</v>
      </c>
      <c r="E473" s="145">
        <v>15</v>
      </c>
      <c r="F473" s="145">
        <v>25</v>
      </c>
      <c r="G473" s="98">
        <v>3</v>
      </c>
      <c r="H473" s="98">
        <v>5</v>
      </c>
      <c r="I473" s="98">
        <v>0.5</v>
      </c>
      <c r="J473" s="98">
        <v>0</v>
      </c>
      <c r="K473" s="98">
        <v>5</v>
      </c>
      <c r="L473" s="98">
        <v>2</v>
      </c>
      <c r="M473" s="98">
        <v>1</v>
      </c>
      <c r="N473" s="98"/>
      <c r="O473" s="98">
        <v>0.1</v>
      </c>
      <c r="P473" s="98">
        <f t="shared" si="224"/>
        <v>150</v>
      </c>
      <c r="Q473" s="147">
        <f t="shared" si="225"/>
        <v>7.5</v>
      </c>
      <c r="R473" s="149">
        <v>600</v>
      </c>
      <c r="S473" s="132">
        <f t="shared" si="231"/>
        <v>86</v>
      </c>
      <c r="T473" s="132">
        <f t="shared" si="232"/>
        <v>344</v>
      </c>
      <c r="U473" s="80"/>
      <c r="V473" s="80">
        <v>21363</v>
      </c>
      <c r="W473" s="142">
        <f t="shared" si="226"/>
        <v>161</v>
      </c>
      <c r="X473" s="142" t="str">
        <f t="shared" ref="X473:AD473" si="273">IF(C$311="","{progress_rate,"&amp;C$308&amp;","&amp;C473&amp;"}",IF(C473&gt;=1,"{progress,"&amp;C$311*100&amp;","&amp;C$308&amp;","&amp;C473&amp;"}","{progress_rate_roll,"&amp;C$311*100&amp;","&amp;INT(C473*10000)&amp;","&amp;C$308&amp;","&amp;1&amp;"}"))</f>
        <v>{progress_rate,2,172}</v>
      </c>
      <c r="Y473" s="142" t="str">
        <f t="shared" si="273"/>
        <v>{progress,0,2,428}</v>
      </c>
      <c r="Z473" s="142" t="str">
        <f t="shared" si="273"/>
        <v>{progress,0,5103001,15}</v>
      </c>
      <c r="AA473" s="142" t="str">
        <f t="shared" si="273"/>
        <v>{progress,40,5103003,25}</v>
      </c>
      <c r="AB473" s="142" t="str">
        <f t="shared" si="273"/>
        <v>{progress,0,50025,3}</v>
      </c>
      <c r="AC473" s="142" t="str">
        <f t="shared" si="273"/>
        <v>{progress,50,50002,5}</v>
      </c>
      <c r="AD473" s="142" t="str">
        <f t="shared" si="273"/>
        <v>{progress_rate_roll,100,5000,11,1}</v>
      </c>
      <c r="AF473" s="142" t="str">
        <f t="shared" si="245"/>
        <v>{progress,50,5203001,5}</v>
      </c>
      <c r="AG473" s="142" t="str">
        <f t="shared" si="239"/>
        <v>{progress,40,5303001,2}</v>
      </c>
      <c r="AH473" s="142" t="str">
        <f t="shared" si="240"/>
        <v>{progress,0,5401019,1}</v>
      </c>
      <c r="AI473" s="142"/>
      <c r="AJ473" s="142" t="str">
        <f t="shared" si="242"/>
        <v>{progress_rate_roll,100,1000,9,1}</v>
      </c>
      <c r="AN473" s="142" t="str">
        <f t="shared" si="228"/>
        <v>{progress,1,21363,1}</v>
      </c>
      <c r="AO473" s="142" t="str">
        <f t="shared" si="250"/>
        <v>{progress_rate_roll,100,5000,21363,1}</v>
      </c>
      <c r="AP473" s="142" t="str">
        <f t="shared" si="234"/>
        <v>[{progress_rate,2,172},{progress,0,2,428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73" s="142" t="str">
        <f t="shared" si="251"/>
        <v>[{progress_rate,2,172},{progress,0,2,428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73" s="142" t="str">
        <f t="shared" si="235"/>
        <v>[{progress_rate,2,172},{progress,0,2,428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73" s="142" t="str">
        <f t="shared" si="229"/>
        <v>[{progress_rate,2,172},{progress,0,2,428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73" s="142" t="str">
        <f t="shared" si="230"/>
        <v>{progress_rate,2,600},{progress_rate,11,1}</v>
      </c>
      <c r="AV473" s="142" t="str">
        <f t="shared" si="236"/>
        <v>{progress_rate,2,600}</v>
      </c>
      <c r="AW473" s="142" t="s">
        <v>175</v>
      </c>
    </row>
    <row r="474" spans="1:49">
      <c r="A474" s="143" t="str">
        <f t="shared" si="223"/>
        <v>[{2,602},{5103001,40},{14,60},{11,0},{5401000,0},{5203001,0},{5303001,0}]</v>
      </c>
      <c r="B474" s="98">
        <v>162</v>
      </c>
      <c r="C474" s="126">
        <v>172</v>
      </c>
      <c r="D474" s="126">
        <v>430</v>
      </c>
      <c r="E474" s="145">
        <v>15</v>
      </c>
      <c r="F474" s="145">
        <v>25</v>
      </c>
      <c r="G474" s="98">
        <v>3</v>
      </c>
      <c r="H474" s="98">
        <v>5</v>
      </c>
      <c r="I474" s="98">
        <v>0.5</v>
      </c>
      <c r="J474" s="98">
        <v>0</v>
      </c>
      <c r="K474" s="98">
        <v>5</v>
      </c>
      <c r="L474" s="98">
        <v>2</v>
      </c>
      <c r="M474" s="98">
        <v>1</v>
      </c>
      <c r="N474" s="98"/>
      <c r="O474" s="98">
        <v>0.1</v>
      </c>
      <c r="P474" s="98">
        <f t="shared" si="224"/>
        <v>150.1</v>
      </c>
      <c r="Q474" s="147">
        <f t="shared" si="225"/>
        <v>7.505</v>
      </c>
      <c r="R474" s="149">
        <v>600</v>
      </c>
      <c r="S474" s="132">
        <f t="shared" ref="S474:S504" si="274">C474/2</f>
        <v>86</v>
      </c>
      <c r="T474" s="132">
        <f t="shared" si="232"/>
        <v>344</v>
      </c>
      <c r="U474" s="80"/>
      <c r="V474" s="80">
        <v>21363</v>
      </c>
      <c r="W474" s="142">
        <f t="shared" si="226"/>
        <v>162</v>
      </c>
      <c r="X474" s="142" t="str">
        <f t="shared" ref="X474:AD474" si="275">IF(C$311="","{progress_rate,"&amp;C$308&amp;","&amp;C474&amp;"}",IF(C474&gt;=1,"{progress,"&amp;C$311*100&amp;","&amp;C$308&amp;","&amp;C474&amp;"}","{progress_rate_roll,"&amp;C$311*100&amp;","&amp;INT(C474*10000)&amp;","&amp;C$308&amp;","&amp;1&amp;"}"))</f>
        <v>{progress_rate,2,172}</v>
      </c>
      <c r="Y474" s="142" t="str">
        <f t="shared" si="275"/>
        <v>{progress,0,2,430}</v>
      </c>
      <c r="Z474" s="142" t="str">
        <f t="shared" si="275"/>
        <v>{progress,0,5103001,15}</v>
      </c>
      <c r="AA474" s="142" t="str">
        <f t="shared" si="275"/>
        <v>{progress,40,5103003,25}</v>
      </c>
      <c r="AB474" s="142" t="str">
        <f t="shared" si="275"/>
        <v>{progress,0,50025,3}</v>
      </c>
      <c r="AC474" s="142" t="str">
        <f t="shared" si="275"/>
        <v>{progress,50,50002,5}</v>
      </c>
      <c r="AD474" s="142" t="str">
        <f t="shared" si="275"/>
        <v>{progress_rate_roll,100,5000,11,1}</v>
      </c>
      <c r="AF474" s="142" t="str">
        <f t="shared" si="245"/>
        <v>{progress,50,5203001,5}</v>
      </c>
      <c r="AG474" s="142" t="str">
        <f t="shared" si="239"/>
        <v>{progress,40,5303001,2}</v>
      </c>
      <c r="AH474" s="142" t="str">
        <f t="shared" si="240"/>
        <v>{progress,0,5401019,1}</v>
      </c>
      <c r="AI474" s="142"/>
      <c r="AJ474" s="142" t="str">
        <f t="shared" si="242"/>
        <v>{progress_rate_roll,100,1000,9,1}</v>
      </c>
      <c r="AN474" s="142" t="str">
        <f t="shared" si="228"/>
        <v>{progress,1,21363,1}</v>
      </c>
      <c r="AO474" s="142" t="str">
        <f t="shared" si="250"/>
        <v>{progress_rate_roll,100,5000,21363,1}</v>
      </c>
      <c r="AP474" s="142" t="str">
        <f t="shared" si="234"/>
        <v>[{progress_rate,2,172},{progress,0,2,430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74" s="142" t="str">
        <f t="shared" si="251"/>
        <v>[{progress_rate,2,172},{progress,0,2,430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74" s="142" t="str">
        <f t="shared" si="235"/>
        <v>[{progress_rate,2,172},{progress,0,2,430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74" s="142" t="str">
        <f t="shared" si="229"/>
        <v>[{progress_rate,2,172},{progress,0,2,430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74" s="142" t="str">
        <f t="shared" si="230"/>
        <v>{progress_rate,2,600},{progress_rate,11,1}</v>
      </c>
      <c r="AV474" s="142" t="str">
        <f t="shared" ref="AV474:AV496" si="276">"{progress_rate,2,"&amp;MIN(1200,600+INT(B474/10)*0)&amp;"}"</f>
        <v>{progress_rate,2,600}</v>
      </c>
      <c r="AW474" s="142" t="s">
        <v>175</v>
      </c>
    </row>
    <row r="475" spans="1:49">
      <c r="A475" s="143" t="str">
        <f t="shared" si="223"/>
        <v>[{2,604},{5103001,40},{14,60},{11,0},{5401000,0},{5203001,0},{5303001,0}]</v>
      </c>
      <c r="B475" s="98">
        <v>163</v>
      </c>
      <c r="C475" s="126">
        <v>174</v>
      </c>
      <c r="D475" s="126">
        <v>430</v>
      </c>
      <c r="E475" s="145">
        <v>15</v>
      </c>
      <c r="F475" s="145">
        <v>25</v>
      </c>
      <c r="G475" s="98">
        <v>3</v>
      </c>
      <c r="H475" s="98">
        <v>5</v>
      </c>
      <c r="I475" s="98">
        <v>0.5</v>
      </c>
      <c r="J475" s="98">
        <v>0</v>
      </c>
      <c r="K475" s="98">
        <v>5</v>
      </c>
      <c r="L475" s="98">
        <v>2</v>
      </c>
      <c r="M475" s="98">
        <v>1</v>
      </c>
      <c r="N475" s="98"/>
      <c r="O475" s="98">
        <v>0.1</v>
      </c>
      <c r="P475" s="98">
        <f t="shared" si="224"/>
        <v>150.2</v>
      </c>
      <c r="Q475" s="147">
        <f t="shared" si="225"/>
        <v>7.51</v>
      </c>
      <c r="R475" s="149">
        <v>600</v>
      </c>
      <c r="S475" s="132">
        <f t="shared" si="274"/>
        <v>87</v>
      </c>
      <c r="T475" s="132">
        <f t="shared" si="232"/>
        <v>348</v>
      </c>
      <c r="U475" s="80"/>
      <c r="V475" s="80">
        <v>21363</v>
      </c>
      <c r="W475" s="142">
        <f t="shared" si="226"/>
        <v>163</v>
      </c>
      <c r="X475" s="142" t="str">
        <f t="shared" ref="X475:AD475" si="277">IF(C$311="","{progress_rate,"&amp;C$308&amp;","&amp;C475&amp;"}",IF(C475&gt;=1,"{progress,"&amp;C$311*100&amp;","&amp;C$308&amp;","&amp;C475&amp;"}","{progress_rate_roll,"&amp;C$311*100&amp;","&amp;INT(C475*10000)&amp;","&amp;C$308&amp;","&amp;1&amp;"}"))</f>
        <v>{progress_rate,2,174}</v>
      </c>
      <c r="Y475" s="142" t="str">
        <f t="shared" si="277"/>
        <v>{progress,0,2,430}</v>
      </c>
      <c r="Z475" s="142" t="str">
        <f t="shared" si="277"/>
        <v>{progress,0,5103001,15}</v>
      </c>
      <c r="AA475" s="142" t="str">
        <f t="shared" si="277"/>
        <v>{progress,40,5103003,25}</v>
      </c>
      <c r="AB475" s="142" t="str">
        <f t="shared" si="277"/>
        <v>{progress,0,50025,3}</v>
      </c>
      <c r="AC475" s="142" t="str">
        <f t="shared" si="277"/>
        <v>{progress,50,50002,5}</v>
      </c>
      <c r="AD475" s="142" t="str">
        <f t="shared" si="277"/>
        <v>{progress_rate_roll,100,5000,11,1}</v>
      </c>
      <c r="AF475" s="142" t="str">
        <f t="shared" si="245"/>
        <v>{progress,50,5203001,5}</v>
      </c>
      <c r="AG475" s="142" t="str">
        <f t="shared" si="239"/>
        <v>{progress,40,5303001,2}</v>
      </c>
      <c r="AH475" s="142" t="str">
        <f t="shared" si="240"/>
        <v>{progress,0,5401019,1}</v>
      </c>
      <c r="AI475" s="142"/>
      <c r="AJ475" s="142" t="str">
        <f t="shared" si="242"/>
        <v>{progress_rate_roll,100,1000,9,1}</v>
      </c>
      <c r="AN475" s="142" t="str">
        <f t="shared" si="228"/>
        <v>{progress,1,21363,1}</v>
      </c>
      <c r="AO475" s="142" t="str">
        <f t="shared" si="250"/>
        <v>{progress_rate_roll,100,5000,21363,1}</v>
      </c>
      <c r="AP475" s="142" t="str">
        <f t="shared" si="234"/>
        <v>[{progress_rate,2,174},{progress,0,2,430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75" s="142" t="str">
        <f t="shared" si="251"/>
        <v>[{progress_rate,2,174},{progress,0,2,430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75" s="142" t="str">
        <f t="shared" si="235"/>
        <v>[{progress_rate,2,174},{progress,0,2,430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75" s="142" t="str">
        <f t="shared" si="229"/>
        <v>[{progress_rate,2,174},{progress,0,2,430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75" s="142" t="str">
        <f t="shared" si="230"/>
        <v>{progress_rate,2,600},{progress_rate,11,1}</v>
      </c>
      <c r="AV475" s="142" t="str">
        <f t="shared" si="276"/>
        <v>{progress_rate,2,600}</v>
      </c>
      <c r="AW475" s="142" t="s">
        <v>175</v>
      </c>
    </row>
    <row r="476" spans="1:49">
      <c r="A476" s="143" t="str">
        <f t="shared" si="223"/>
        <v>[{2,606},{5103001,40},{14,60},{11,0},{5401000,0},{5203001,0},{5303001,0}]</v>
      </c>
      <c r="B476" s="98">
        <v>164</v>
      </c>
      <c r="C476" s="126">
        <v>174</v>
      </c>
      <c r="D476" s="126">
        <v>432</v>
      </c>
      <c r="E476" s="145">
        <v>15</v>
      </c>
      <c r="F476" s="145">
        <v>25</v>
      </c>
      <c r="G476" s="98">
        <v>3</v>
      </c>
      <c r="H476" s="98">
        <v>5</v>
      </c>
      <c r="I476" s="98">
        <v>0.5</v>
      </c>
      <c r="J476" s="98">
        <v>0</v>
      </c>
      <c r="K476" s="98">
        <v>5</v>
      </c>
      <c r="L476" s="98">
        <v>2</v>
      </c>
      <c r="M476" s="98">
        <v>1</v>
      </c>
      <c r="N476" s="98"/>
      <c r="O476" s="98">
        <v>0.1</v>
      </c>
      <c r="P476" s="98">
        <f t="shared" si="224"/>
        <v>150.3</v>
      </c>
      <c r="Q476" s="147">
        <f t="shared" si="225"/>
        <v>7.515</v>
      </c>
      <c r="R476" s="149">
        <v>600</v>
      </c>
      <c r="S476" s="132">
        <f t="shared" si="274"/>
        <v>87</v>
      </c>
      <c r="T476" s="132">
        <f t="shared" si="232"/>
        <v>348</v>
      </c>
      <c r="U476" s="80"/>
      <c r="V476" s="80">
        <v>21363</v>
      </c>
      <c r="W476" s="142">
        <f t="shared" si="226"/>
        <v>164</v>
      </c>
      <c r="X476" s="142" t="str">
        <f t="shared" ref="X476:AD476" si="278">IF(C$311="","{progress_rate,"&amp;C$308&amp;","&amp;C476&amp;"}",IF(C476&gt;=1,"{progress,"&amp;C$311*100&amp;","&amp;C$308&amp;","&amp;C476&amp;"}","{progress_rate_roll,"&amp;C$311*100&amp;","&amp;INT(C476*10000)&amp;","&amp;C$308&amp;","&amp;1&amp;"}"))</f>
        <v>{progress_rate,2,174}</v>
      </c>
      <c r="Y476" s="142" t="str">
        <f t="shared" si="278"/>
        <v>{progress,0,2,432}</v>
      </c>
      <c r="Z476" s="142" t="str">
        <f t="shared" si="278"/>
        <v>{progress,0,5103001,15}</v>
      </c>
      <c r="AA476" s="142" t="str">
        <f t="shared" si="278"/>
        <v>{progress,40,5103003,25}</v>
      </c>
      <c r="AB476" s="142" t="str">
        <f t="shared" si="278"/>
        <v>{progress,0,50025,3}</v>
      </c>
      <c r="AC476" s="142" t="str">
        <f t="shared" si="278"/>
        <v>{progress,50,50002,5}</v>
      </c>
      <c r="AD476" s="142" t="str">
        <f t="shared" si="278"/>
        <v>{progress_rate_roll,100,5000,11,1}</v>
      </c>
      <c r="AF476" s="142" t="str">
        <f t="shared" si="245"/>
        <v>{progress,50,5203001,5}</v>
      </c>
      <c r="AG476" s="142" t="str">
        <f t="shared" si="239"/>
        <v>{progress,40,5303001,2}</v>
      </c>
      <c r="AH476" s="142" t="str">
        <f t="shared" si="240"/>
        <v>{progress,0,5401019,1}</v>
      </c>
      <c r="AI476" s="142"/>
      <c r="AJ476" s="142" t="str">
        <f t="shared" si="242"/>
        <v>{progress_rate_roll,100,1000,9,1}</v>
      </c>
      <c r="AN476" s="142" t="str">
        <f t="shared" si="228"/>
        <v>{progress,1,21363,1}</v>
      </c>
      <c r="AO476" s="142" t="str">
        <f t="shared" si="250"/>
        <v>{progress_rate_roll,100,5000,21363,1}</v>
      </c>
      <c r="AP476" s="142" t="str">
        <f t="shared" si="234"/>
        <v>[{progress_rate,2,174},{progress,0,2,432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76" s="142" t="str">
        <f t="shared" si="251"/>
        <v>[{progress_rate,2,174},{progress,0,2,432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76" s="142" t="str">
        <f t="shared" si="235"/>
        <v>[{progress_rate,2,174},{progress,0,2,432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76" s="142" t="str">
        <f t="shared" si="229"/>
        <v>[{progress_rate,2,174},{progress,0,2,432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76" s="142" t="str">
        <f t="shared" si="230"/>
        <v>{progress_rate,2,600},{progress_rate,11,1}</v>
      </c>
      <c r="AV476" s="142" t="str">
        <f t="shared" si="276"/>
        <v>{progress_rate,2,600}</v>
      </c>
      <c r="AW476" s="142" t="s">
        <v>175</v>
      </c>
    </row>
    <row r="477" spans="1:49">
      <c r="A477" s="143" t="str">
        <f t="shared" si="223"/>
        <v>[{2,608},{5103001,40},{14,60},{11,0},{5401000,0},{5203001,0},{5303001,0}]</v>
      </c>
      <c r="B477" s="98">
        <v>165</v>
      </c>
      <c r="C477" s="126">
        <v>174</v>
      </c>
      <c r="D477" s="126">
        <v>434</v>
      </c>
      <c r="E477" s="145">
        <v>15</v>
      </c>
      <c r="F477" s="145">
        <v>25</v>
      </c>
      <c r="G477" s="98">
        <v>3</v>
      </c>
      <c r="H477" s="98">
        <v>5</v>
      </c>
      <c r="I477" s="98">
        <v>0.5</v>
      </c>
      <c r="J477" s="98">
        <v>0</v>
      </c>
      <c r="K477" s="98">
        <v>5</v>
      </c>
      <c r="L477" s="98">
        <v>2</v>
      </c>
      <c r="M477" s="98">
        <v>1</v>
      </c>
      <c r="N477" s="98"/>
      <c r="O477" s="98">
        <v>0.1</v>
      </c>
      <c r="P477" s="98">
        <f t="shared" si="224"/>
        <v>150.4</v>
      </c>
      <c r="Q477" s="147">
        <f t="shared" si="225"/>
        <v>7.52</v>
      </c>
      <c r="R477" s="149">
        <v>600</v>
      </c>
      <c r="S477" s="132">
        <f t="shared" si="274"/>
        <v>87</v>
      </c>
      <c r="T477" s="132">
        <f t="shared" si="232"/>
        <v>348</v>
      </c>
      <c r="U477" s="80"/>
      <c r="V477" s="80">
        <v>21363</v>
      </c>
      <c r="W477" s="142">
        <f t="shared" si="226"/>
        <v>165</v>
      </c>
      <c r="X477" s="142" t="str">
        <f t="shared" ref="X477:AD477" si="279">IF(C$311="","{progress_rate,"&amp;C$308&amp;","&amp;C477&amp;"}",IF(C477&gt;=1,"{progress,"&amp;C$311*100&amp;","&amp;C$308&amp;","&amp;C477&amp;"}","{progress_rate_roll,"&amp;C$311*100&amp;","&amp;INT(C477*10000)&amp;","&amp;C$308&amp;","&amp;1&amp;"}"))</f>
        <v>{progress_rate,2,174}</v>
      </c>
      <c r="Y477" s="142" t="str">
        <f t="shared" si="279"/>
        <v>{progress,0,2,434}</v>
      </c>
      <c r="Z477" s="142" t="str">
        <f t="shared" si="279"/>
        <v>{progress,0,5103001,15}</v>
      </c>
      <c r="AA477" s="142" t="str">
        <f t="shared" si="279"/>
        <v>{progress,40,5103003,25}</v>
      </c>
      <c r="AB477" s="142" t="str">
        <f t="shared" si="279"/>
        <v>{progress,0,50025,3}</v>
      </c>
      <c r="AC477" s="142" t="str">
        <f t="shared" si="279"/>
        <v>{progress,50,50002,5}</v>
      </c>
      <c r="AD477" s="142" t="str">
        <f t="shared" si="279"/>
        <v>{progress_rate_roll,100,5000,11,1}</v>
      </c>
      <c r="AF477" s="142" t="str">
        <f t="shared" si="245"/>
        <v>{progress,50,5203001,5}</v>
      </c>
      <c r="AG477" s="142" t="str">
        <f t="shared" si="239"/>
        <v>{progress,40,5303001,2}</v>
      </c>
      <c r="AH477" s="142" t="str">
        <f t="shared" si="240"/>
        <v>{progress,0,5401019,1}</v>
      </c>
      <c r="AI477" s="142"/>
      <c r="AJ477" s="142" t="str">
        <f t="shared" ref="AJ477:AJ496" si="280">IF(O$311="","{progress_rate,"&amp;O$308&amp;","&amp;O477&amp;"}",IF(O477&gt;=1,"{progress,"&amp;O$311*100&amp;","&amp;O$308&amp;","&amp;O477&amp;"}","{progress_rate_roll,"&amp;O$311*100&amp;","&amp;INT(O477*10000)&amp;","&amp;O$308&amp;","&amp;1&amp;"}"))</f>
        <v>{progress_rate_roll,100,1000,9,1}</v>
      </c>
      <c r="AN477" s="142" t="str">
        <f t="shared" si="228"/>
        <v>{progress,1,21363,1}</v>
      </c>
      <c r="AO477" s="142" t="str">
        <f t="shared" si="250"/>
        <v>{progress_rate_roll,100,5000,21363,1}</v>
      </c>
      <c r="AP477" s="142" t="str">
        <f t="shared" si="234"/>
        <v>[{progress_rate,2,174},{progress,0,2,434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77" s="142" t="str">
        <f t="shared" si="251"/>
        <v>[{progress_rate,2,174},{progress,0,2,434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77" s="142" t="str">
        <f t="shared" si="235"/>
        <v>[{progress_rate,2,174},{progress,0,2,434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77" s="142" t="str">
        <f t="shared" si="229"/>
        <v>[{progress_rate,2,174},{progress,0,2,434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77" s="142" t="str">
        <f t="shared" si="230"/>
        <v>{progress_rate,2,600},{progress_rate,11,1}</v>
      </c>
      <c r="AV477" s="142" t="str">
        <f t="shared" si="276"/>
        <v>{progress_rate,2,600}</v>
      </c>
      <c r="AW477" s="142" t="s">
        <v>175</v>
      </c>
    </row>
    <row r="478" spans="1:49">
      <c r="A478" s="143" t="str">
        <f t="shared" si="223"/>
        <v>[{2,610},{5103001,40},{14,60},{11,0},{5401000,0},{5203001,0},{5303001,0}]</v>
      </c>
      <c r="B478" s="98">
        <v>166</v>
      </c>
      <c r="C478" s="126">
        <v>174</v>
      </c>
      <c r="D478" s="126">
        <v>436</v>
      </c>
      <c r="E478" s="145">
        <v>15</v>
      </c>
      <c r="F478" s="145">
        <v>25</v>
      </c>
      <c r="G478" s="98">
        <v>3</v>
      </c>
      <c r="H478" s="98">
        <v>5</v>
      </c>
      <c r="I478" s="98">
        <v>0.5</v>
      </c>
      <c r="J478" s="98">
        <v>0</v>
      </c>
      <c r="K478" s="98">
        <v>5</v>
      </c>
      <c r="L478" s="98">
        <v>2</v>
      </c>
      <c r="M478" s="98">
        <v>1</v>
      </c>
      <c r="N478" s="98"/>
      <c r="O478" s="98">
        <v>0.1</v>
      </c>
      <c r="P478" s="98">
        <f t="shared" si="224"/>
        <v>150.5</v>
      </c>
      <c r="Q478" s="147">
        <f t="shared" si="225"/>
        <v>7.525</v>
      </c>
      <c r="R478" s="149">
        <v>600</v>
      </c>
      <c r="S478" s="132">
        <f t="shared" si="274"/>
        <v>87</v>
      </c>
      <c r="T478" s="132">
        <f t="shared" si="232"/>
        <v>348</v>
      </c>
      <c r="U478" s="80"/>
      <c r="V478" s="80">
        <v>21363</v>
      </c>
      <c r="W478" s="142">
        <f t="shared" si="226"/>
        <v>166</v>
      </c>
      <c r="X478" s="142" t="str">
        <f t="shared" ref="X478:AD478" si="281">IF(C$311="","{progress_rate,"&amp;C$308&amp;","&amp;C478&amp;"}",IF(C478&gt;=1,"{progress,"&amp;C$311*100&amp;","&amp;C$308&amp;","&amp;C478&amp;"}","{progress_rate_roll,"&amp;C$311*100&amp;","&amp;INT(C478*10000)&amp;","&amp;C$308&amp;","&amp;1&amp;"}"))</f>
        <v>{progress_rate,2,174}</v>
      </c>
      <c r="Y478" s="142" t="str">
        <f t="shared" si="281"/>
        <v>{progress,0,2,436}</v>
      </c>
      <c r="Z478" s="142" t="str">
        <f t="shared" si="281"/>
        <v>{progress,0,5103001,15}</v>
      </c>
      <c r="AA478" s="142" t="str">
        <f t="shared" si="281"/>
        <v>{progress,40,5103003,25}</v>
      </c>
      <c r="AB478" s="142" t="str">
        <f t="shared" si="281"/>
        <v>{progress,0,50025,3}</v>
      </c>
      <c r="AC478" s="142" t="str">
        <f t="shared" si="281"/>
        <v>{progress,50,50002,5}</v>
      </c>
      <c r="AD478" s="142" t="str">
        <f t="shared" si="281"/>
        <v>{progress_rate_roll,100,5000,11,1}</v>
      </c>
      <c r="AF478" s="142" t="str">
        <f t="shared" si="245"/>
        <v>{progress,50,5203001,5}</v>
      </c>
      <c r="AG478" s="142" t="str">
        <f t="shared" si="239"/>
        <v>{progress,40,5303001,2}</v>
      </c>
      <c r="AH478" s="142" t="str">
        <f t="shared" si="240"/>
        <v>{progress,0,5401019,1}</v>
      </c>
      <c r="AI478" s="142"/>
      <c r="AJ478" s="142" t="str">
        <f t="shared" si="280"/>
        <v>{progress_rate_roll,100,1000,9,1}</v>
      </c>
      <c r="AN478" s="142" t="str">
        <f t="shared" si="228"/>
        <v>{progress,1,21363,1}</v>
      </c>
      <c r="AO478" s="142" t="str">
        <f t="shared" si="250"/>
        <v>{progress_rate_roll,100,5000,21363,1}</v>
      </c>
      <c r="AP478" s="142" t="str">
        <f t="shared" si="234"/>
        <v>[{progress_rate,2,174},{progress,0,2,436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78" s="142" t="str">
        <f t="shared" si="251"/>
        <v>[{progress_rate,2,174},{progress,0,2,436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78" s="142" t="str">
        <f t="shared" si="235"/>
        <v>[{progress_rate,2,174},{progress,0,2,436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78" s="142" t="str">
        <f t="shared" si="229"/>
        <v>[{progress_rate,2,174},{progress,0,2,436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78" s="142" t="str">
        <f t="shared" si="230"/>
        <v>{progress_rate,2,600},{progress_rate,11,1}</v>
      </c>
      <c r="AV478" s="142" t="str">
        <f t="shared" si="276"/>
        <v>{progress_rate,2,600}</v>
      </c>
      <c r="AW478" s="142" t="s">
        <v>175</v>
      </c>
    </row>
    <row r="479" spans="1:49">
      <c r="A479" s="143" t="str">
        <f t="shared" si="223"/>
        <v>[{2,612},{5103001,40},{14,60},{11,0},{5401000,0},{5203001,0},{5303001,0}]</v>
      </c>
      <c r="B479" s="98">
        <v>167</v>
      </c>
      <c r="C479" s="126">
        <v>176</v>
      </c>
      <c r="D479" s="126">
        <v>436</v>
      </c>
      <c r="E479" s="145">
        <v>15</v>
      </c>
      <c r="F479" s="145">
        <v>25</v>
      </c>
      <c r="G479" s="98">
        <v>3</v>
      </c>
      <c r="H479" s="98">
        <v>5</v>
      </c>
      <c r="I479" s="98">
        <v>0.5</v>
      </c>
      <c r="J479" s="98">
        <v>0</v>
      </c>
      <c r="K479" s="98">
        <v>5</v>
      </c>
      <c r="L479" s="98">
        <v>2</v>
      </c>
      <c r="M479" s="98">
        <v>1</v>
      </c>
      <c r="N479" s="98"/>
      <c r="O479" s="98">
        <v>0.1</v>
      </c>
      <c r="P479" s="98">
        <f t="shared" si="224"/>
        <v>150.6</v>
      </c>
      <c r="Q479" s="147">
        <f t="shared" si="225"/>
        <v>7.53</v>
      </c>
      <c r="R479" s="149">
        <v>600</v>
      </c>
      <c r="S479" s="132">
        <f t="shared" si="274"/>
        <v>88</v>
      </c>
      <c r="T479" s="132">
        <f t="shared" si="232"/>
        <v>352</v>
      </c>
      <c r="U479" s="80"/>
      <c r="V479" s="80">
        <v>21363</v>
      </c>
      <c r="W479" s="142">
        <f t="shared" si="226"/>
        <v>167</v>
      </c>
      <c r="X479" s="142" t="str">
        <f t="shared" ref="X479:AD479" si="282">IF(C$311="","{progress_rate,"&amp;C$308&amp;","&amp;C479&amp;"}",IF(C479&gt;=1,"{progress,"&amp;C$311*100&amp;","&amp;C$308&amp;","&amp;C479&amp;"}","{progress_rate_roll,"&amp;C$311*100&amp;","&amp;INT(C479*10000)&amp;","&amp;C$308&amp;","&amp;1&amp;"}"))</f>
        <v>{progress_rate,2,176}</v>
      </c>
      <c r="Y479" s="142" t="str">
        <f t="shared" si="282"/>
        <v>{progress,0,2,436}</v>
      </c>
      <c r="Z479" s="142" t="str">
        <f t="shared" si="282"/>
        <v>{progress,0,5103001,15}</v>
      </c>
      <c r="AA479" s="142" t="str">
        <f t="shared" si="282"/>
        <v>{progress,40,5103003,25}</v>
      </c>
      <c r="AB479" s="142" t="str">
        <f t="shared" si="282"/>
        <v>{progress,0,50025,3}</v>
      </c>
      <c r="AC479" s="142" t="str">
        <f t="shared" si="282"/>
        <v>{progress,50,50002,5}</v>
      </c>
      <c r="AD479" s="142" t="str">
        <f t="shared" si="282"/>
        <v>{progress_rate_roll,100,5000,11,1}</v>
      </c>
      <c r="AF479" s="142" t="str">
        <f t="shared" si="245"/>
        <v>{progress,50,5203001,5}</v>
      </c>
      <c r="AG479" s="142" t="str">
        <f t="shared" si="239"/>
        <v>{progress,40,5303001,2}</v>
      </c>
      <c r="AH479" s="142" t="str">
        <f t="shared" si="240"/>
        <v>{progress,0,5401019,1}</v>
      </c>
      <c r="AI479" s="142"/>
      <c r="AJ479" s="142" t="str">
        <f t="shared" si="280"/>
        <v>{progress_rate_roll,100,1000,9,1}</v>
      </c>
      <c r="AN479" s="142" t="str">
        <f t="shared" si="228"/>
        <v>{progress,1,21363,1}</v>
      </c>
      <c r="AO479" s="142" t="str">
        <f t="shared" si="250"/>
        <v>{progress_rate_roll,100,5000,21363,1}</v>
      </c>
      <c r="AP479" s="142" t="str">
        <f t="shared" si="234"/>
        <v>[{progress_rate,2,176},{progress,0,2,436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79" s="142" t="str">
        <f t="shared" si="251"/>
        <v>[{progress_rate,2,176},{progress,0,2,436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79" s="142" t="str">
        <f t="shared" si="235"/>
        <v>[{progress_rate,2,176},{progress,0,2,436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79" s="142" t="str">
        <f t="shared" si="229"/>
        <v>[{progress_rate,2,176},{progress,0,2,436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79" s="142" t="str">
        <f t="shared" si="230"/>
        <v>{progress_rate,2,600},{progress_rate,11,1}</v>
      </c>
      <c r="AV479" s="142" t="str">
        <f t="shared" si="276"/>
        <v>{progress_rate,2,600}</v>
      </c>
      <c r="AW479" s="142" t="s">
        <v>175</v>
      </c>
    </row>
    <row r="480" spans="1:49">
      <c r="A480" s="143" t="str">
        <f t="shared" si="223"/>
        <v>[{2,614},{5103001,40},{14,60},{11,0},{5401000,0},{5203001,0},{5303001,0}]</v>
      </c>
      <c r="B480" s="98">
        <v>168</v>
      </c>
      <c r="C480" s="126">
        <v>176</v>
      </c>
      <c r="D480" s="126">
        <v>438</v>
      </c>
      <c r="E480" s="145">
        <v>15</v>
      </c>
      <c r="F480" s="145">
        <v>25</v>
      </c>
      <c r="G480" s="98">
        <v>3</v>
      </c>
      <c r="H480" s="98">
        <v>5</v>
      </c>
      <c r="I480" s="98">
        <v>0.5</v>
      </c>
      <c r="J480" s="98">
        <v>0</v>
      </c>
      <c r="K480" s="98">
        <v>5</v>
      </c>
      <c r="L480" s="98">
        <v>2</v>
      </c>
      <c r="M480" s="98">
        <v>1</v>
      </c>
      <c r="N480" s="98"/>
      <c r="O480" s="98">
        <v>0.1</v>
      </c>
      <c r="P480" s="98">
        <f t="shared" si="224"/>
        <v>150.7</v>
      </c>
      <c r="Q480" s="147">
        <f t="shared" si="225"/>
        <v>7.535</v>
      </c>
      <c r="R480" s="149">
        <v>600</v>
      </c>
      <c r="S480" s="132">
        <f t="shared" si="274"/>
        <v>88</v>
      </c>
      <c r="T480" s="132">
        <f t="shared" si="232"/>
        <v>352</v>
      </c>
      <c r="U480" s="80"/>
      <c r="V480" s="80">
        <v>21363</v>
      </c>
      <c r="W480" s="142">
        <f t="shared" si="226"/>
        <v>168</v>
      </c>
      <c r="X480" s="142" t="str">
        <f t="shared" ref="X480:AD480" si="283">IF(C$311="","{progress_rate,"&amp;C$308&amp;","&amp;C480&amp;"}",IF(C480&gt;=1,"{progress,"&amp;C$311*100&amp;","&amp;C$308&amp;","&amp;C480&amp;"}","{progress_rate_roll,"&amp;C$311*100&amp;","&amp;INT(C480*10000)&amp;","&amp;C$308&amp;","&amp;1&amp;"}"))</f>
        <v>{progress_rate,2,176}</v>
      </c>
      <c r="Y480" s="142" t="str">
        <f t="shared" si="283"/>
        <v>{progress,0,2,438}</v>
      </c>
      <c r="Z480" s="142" t="str">
        <f t="shared" si="283"/>
        <v>{progress,0,5103001,15}</v>
      </c>
      <c r="AA480" s="142" t="str">
        <f t="shared" si="283"/>
        <v>{progress,40,5103003,25}</v>
      </c>
      <c r="AB480" s="142" t="str">
        <f t="shared" si="283"/>
        <v>{progress,0,50025,3}</v>
      </c>
      <c r="AC480" s="142" t="str">
        <f t="shared" si="283"/>
        <v>{progress,50,50002,5}</v>
      </c>
      <c r="AD480" s="142" t="str">
        <f t="shared" si="283"/>
        <v>{progress_rate_roll,100,5000,11,1}</v>
      </c>
      <c r="AF480" s="142" t="str">
        <f t="shared" si="245"/>
        <v>{progress,50,5203001,5}</v>
      </c>
      <c r="AG480" s="142" t="str">
        <f t="shared" si="239"/>
        <v>{progress,40,5303001,2}</v>
      </c>
      <c r="AH480" s="142" t="str">
        <f t="shared" si="240"/>
        <v>{progress,0,5401019,1}</v>
      </c>
      <c r="AI480" s="142"/>
      <c r="AJ480" s="142" t="str">
        <f t="shared" si="280"/>
        <v>{progress_rate_roll,100,1000,9,1}</v>
      </c>
      <c r="AN480" s="142" t="str">
        <f t="shared" si="228"/>
        <v>{progress,1,21363,1}</v>
      </c>
      <c r="AO480" s="142" t="str">
        <f t="shared" si="250"/>
        <v>{progress_rate_roll,100,5000,21363,1}</v>
      </c>
      <c r="AP480" s="142" t="str">
        <f t="shared" si="234"/>
        <v>[{progress_rate,2,176},{progress,0,2,438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80" s="142" t="str">
        <f t="shared" si="251"/>
        <v>[{progress_rate,2,176},{progress,0,2,438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80" s="142" t="str">
        <f t="shared" si="235"/>
        <v>[{progress_rate,2,176},{progress,0,2,438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80" s="142" t="str">
        <f t="shared" si="229"/>
        <v>[{progress_rate,2,176},{progress,0,2,438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80" s="142" t="str">
        <f t="shared" si="230"/>
        <v>{progress_rate,2,600},{progress_rate,11,1}</v>
      </c>
      <c r="AV480" s="142" t="str">
        <f t="shared" si="276"/>
        <v>{progress_rate,2,600}</v>
      </c>
      <c r="AW480" s="142" t="s">
        <v>175</v>
      </c>
    </row>
    <row r="481" spans="1:49">
      <c r="A481" s="143" t="str">
        <f t="shared" si="223"/>
        <v>[{2,616},{5103001,40},{14,60},{11,0},{5401000,0},{5203001,0},{5303001,0}]</v>
      </c>
      <c r="B481" s="98">
        <v>169</v>
      </c>
      <c r="C481" s="126">
        <v>176</v>
      </c>
      <c r="D481" s="126">
        <v>440</v>
      </c>
      <c r="E481" s="145">
        <v>15</v>
      </c>
      <c r="F481" s="145">
        <v>25</v>
      </c>
      <c r="G481" s="98">
        <v>3</v>
      </c>
      <c r="H481" s="98">
        <v>5</v>
      </c>
      <c r="I481" s="98">
        <v>0.5</v>
      </c>
      <c r="J481" s="98">
        <v>0</v>
      </c>
      <c r="K481" s="98">
        <v>5</v>
      </c>
      <c r="L481" s="98">
        <v>2</v>
      </c>
      <c r="M481" s="98">
        <v>1</v>
      </c>
      <c r="N481" s="98"/>
      <c r="O481" s="98">
        <v>0.1</v>
      </c>
      <c r="P481" s="98">
        <f t="shared" si="224"/>
        <v>150.8</v>
      </c>
      <c r="Q481" s="147">
        <f t="shared" si="225"/>
        <v>7.54</v>
      </c>
      <c r="R481" s="149">
        <v>600</v>
      </c>
      <c r="S481" s="132">
        <f t="shared" si="274"/>
        <v>88</v>
      </c>
      <c r="T481" s="132">
        <f t="shared" si="232"/>
        <v>352</v>
      </c>
      <c r="U481" s="80"/>
      <c r="V481" s="80">
        <v>21363</v>
      </c>
      <c r="W481" s="142">
        <f t="shared" si="226"/>
        <v>169</v>
      </c>
      <c r="X481" s="142" t="str">
        <f t="shared" ref="X481:AD481" si="284">IF(C$311="","{progress_rate,"&amp;C$308&amp;","&amp;C481&amp;"}",IF(C481&gt;=1,"{progress,"&amp;C$311*100&amp;","&amp;C$308&amp;","&amp;C481&amp;"}","{progress_rate_roll,"&amp;C$311*100&amp;","&amp;INT(C481*10000)&amp;","&amp;C$308&amp;","&amp;1&amp;"}"))</f>
        <v>{progress_rate,2,176}</v>
      </c>
      <c r="Y481" s="142" t="str">
        <f t="shared" si="284"/>
        <v>{progress,0,2,440}</v>
      </c>
      <c r="Z481" s="142" t="str">
        <f t="shared" si="284"/>
        <v>{progress,0,5103001,15}</v>
      </c>
      <c r="AA481" s="142" t="str">
        <f t="shared" si="284"/>
        <v>{progress,40,5103003,25}</v>
      </c>
      <c r="AB481" s="142" t="str">
        <f t="shared" si="284"/>
        <v>{progress,0,50025,3}</v>
      </c>
      <c r="AC481" s="142" t="str">
        <f t="shared" si="284"/>
        <v>{progress,50,50002,5}</v>
      </c>
      <c r="AD481" s="142" t="str">
        <f t="shared" si="284"/>
        <v>{progress_rate_roll,100,5000,11,1}</v>
      </c>
      <c r="AF481" s="142" t="str">
        <f t="shared" si="245"/>
        <v>{progress,50,5203001,5}</v>
      </c>
      <c r="AG481" s="142" t="str">
        <f t="shared" si="239"/>
        <v>{progress,40,5303001,2}</v>
      </c>
      <c r="AH481" s="142" t="str">
        <f t="shared" si="240"/>
        <v>{progress,0,5401019,1}</v>
      </c>
      <c r="AI481" s="142"/>
      <c r="AJ481" s="142" t="str">
        <f t="shared" si="280"/>
        <v>{progress_rate_roll,100,1000,9,1}</v>
      </c>
      <c r="AN481" s="142" t="str">
        <f t="shared" si="228"/>
        <v>{progress,1,21363,1}</v>
      </c>
      <c r="AO481" s="142" t="str">
        <f t="shared" si="250"/>
        <v>{progress_rate_roll,100,5000,21363,1}</v>
      </c>
      <c r="AP481" s="142" t="str">
        <f t="shared" si="234"/>
        <v>[{progress_rate,2,176},{progress,0,2,440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81" s="142" t="str">
        <f t="shared" si="251"/>
        <v>[{progress_rate,2,176},{progress,0,2,440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81" s="142" t="str">
        <f t="shared" si="235"/>
        <v>[{progress_rate,2,176},{progress,0,2,440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81" s="142" t="str">
        <f t="shared" si="229"/>
        <v>[{progress_rate,2,176},{progress,0,2,440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81" s="142" t="str">
        <f t="shared" si="230"/>
        <v>{progress_rate,2,600},{progress_rate,11,1}</v>
      </c>
      <c r="AV481" s="142" t="str">
        <f t="shared" si="276"/>
        <v>{progress_rate,2,600}</v>
      </c>
      <c r="AW481" s="142" t="s">
        <v>175</v>
      </c>
    </row>
    <row r="482" spans="1:49">
      <c r="A482" s="143" t="str">
        <f t="shared" si="223"/>
        <v>[{2,618},{5103001,40},{14,60},{11,0},{5401000,0},{5203001,0},{5303001,0}]</v>
      </c>
      <c r="B482" s="98">
        <v>170</v>
      </c>
      <c r="C482" s="126">
        <v>178</v>
      </c>
      <c r="D482" s="126">
        <v>440</v>
      </c>
      <c r="E482" s="145">
        <v>15</v>
      </c>
      <c r="F482" s="145">
        <v>25</v>
      </c>
      <c r="G482" s="98">
        <v>3</v>
      </c>
      <c r="H482" s="98">
        <v>5</v>
      </c>
      <c r="I482" s="98">
        <v>0.5</v>
      </c>
      <c r="J482" s="98">
        <v>0</v>
      </c>
      <c r="K482" s="98">
        <v>5</v>
      </c>
      <c r="L482" s="98">
        <v>2</v>
      </c>
      <c r="M482" s="98">
        <v>1</v>
      </c>
      <c r="N482" s="98"/>
      <c r="O482" s="98">
        <v>0.1</v>
      </c>
      <c r="P482" s="98">
        <f t="shared" si="224"/>
        <v>150.9</v>
      </c>
      <c r="Q482" s="147">
        <f t="shared" si="225"/>
        <v>7.545</v>
      </c>
      <c r="R482" s="149">
        <v>600</v>
      </c>
      <c r="S482" s="132">
        <f t="shared" si="274"/>
        <v>89</v>
      </c>
      <c r="T482" s="132">
        <f t="shared" si="232"/>
        <v>356</v>
      </c>
      <c r="U482" s="80"/>
      <c r="V482" s="80">
        <v>21363</v>
      </c>
      <c r="W482" s="142">
        <f t="shared" si="226"/>
        <v>170</v>
      </c>
      <c r="X482" s="142" t="str">
        <f t="shared" ref="X482:AD482" si="285">IF(C$311="","{progress_rate,"&amp;C$308&amp;","&amp;C482&amp;"}",IF(C482&gt;=1,"{progress,"&amp;C$311*100&amp;","&amp;C$308&amp;","&amp;C482&amp;"}","{progress_rate_roll,"&amp;C$311*100&amp;","&amp;INT(C482*10000)&amp;","&amp;C$308&amp;","&amp;1&amp;"}"))</f>
        <v>{progress_rate,2,178}</v>
      </c>
      <c r="Y482" s="142" t="str">
        <f t="shared" si="285"/>
        <v>{progress,0,2,440}</v>
      </c>
      <c r="Z482" s="142" t="str">
        <f t="shared" si="285"/>
        <v>{progress,0,5103001,15}</v>
      </c>
      <c r="AA482" s="142" t="str">
        <f t="shared" si="285"/>
        <v>{progress,40,5103003,25}</v>
      </c>
      <c r="AB482" s="142" t="str">
        <f t="shared" si="285"/>
        <v>{progress,0,50025,3}</v>
      </c>
      <c r="AC482" s="142" t="str">
        <f t="shared" si="285"/>
        <v>{progress,50,50002,5}</v>
      </c>
      <c r="AD482" s="142" t="str">
        <f t="shared" si="285"/>
        <v>{progress_rate_roll,100,5000,11,1}</v>
      </c>
      <c r="AF482" s="142" t="str">
        <f t="shared" si="245"/>
        <v>{progress,50,5203001,5}</v>
      </c>
      <c r="AG482" s="142" t="str">
        <f t="shared" si="239"/>
        <v>{progress,40,5303001,2}</v>
      </c>
      <c r="AH482" s="142" t="str">
        <f t="shared" si="240"/>
        <v>{progress,0,5401019,1}</v>
      </c>
      <c r="AI482" s="142"/>
      <c r="AJ482" s="142" t="str">
        <f t="shared" si="280"/>
        <v>{progress_rate_roll,100,1000,9,1}</v>
      </c>
      <c r="AN482" s="142" t="str">
        <f t="shared" si="228"/>
        <v>{progress,1,21363,1}</v>
      </c>
      <c r="AO482" s="142" t="str">
        <f t="shared" si="250"/>
        <v>{progress_rate_roll,100,5000,21363,1}</v>
      </c>
      <c r="AP482" s="142" t="str">
        <f t="shared" si="234"/>
        <v>[{progress_rate,2,178},{progress,0,2,440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82" s="142" t="str">
        <f t="shared" si="251"/>
        <v>[{progress_rate,2,178},{progress,0,2,440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82" s="142" t="str">
        <f t="shared" si="235"/>
        <v>[{progress_rate,2,178},{progress,0,2,440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82" s="142" t="str">
        <f t="shared" si="229"/>
        <v>[{progress_rate,2,178},{progress,0,2,440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82" s="142" t="str">
        <f t="shared" si="230"/>
        <v>{progress_rate,2,600},{progress_rate,11,1}</v>
      </c>
      <c r="AV482" s="142" t="str">
        <f t="shared" si="276"/>
        <v>{progress_rate,2,600}</v>
      </c>
      <c r="AW482" s="142" t="s">
        <v>175</v>
      </c>
    </row>
    <row r="483" spans="1:49">
      <c r="A483" s="143" t="str">
        <f t="shared" si="223"/>
        <v>[{2,620},{5103001,40},{14,60},{11,0},{5401000,0},{5203001,0},{5303001,0}]</v>
      </c>
      <c r="B483" s="98">
        <v>171</v>
      </c>
      <c r="C483" s="126">
        <v>178</v>
      </c>
      <c r="D483" s="126">
        <v>442</v>
      </c>
      <c r="E483" s="145">
        <v>15</v>
      </c>
      <c r="F483" s="145">
        <v>25</v>
      </c>
      <c r="G483" s="98">
        <v>3</v>
      </c>
      <c r="H483" s="98">
        <v>5</v>
      </c>
      <c r="I483" s="98">
        <v>0.5</v>
      </c>
      <c r="J483" s="98">
        <v>0</v>
      </c>
      <c r="K483" s="98">
        <v>5</v>
      </c>
      <c r="L483" s="98">
        <v>2</v>
      </c>
      <c r="M483" s="98">
        <v>1</v>
      </c>
      <c r="N483" s="98"/>
      <c r="O483" s="98">
        <v>0.1</v>
      </c>
      <c r="P483" s="98">
        <f t="shared" si="224"/>
        <v>151</v>
      </c>
      <c r="Q483" s="147">
        <f t="shared" si="225"/>
        <v>7.55</v>
      </c>
      <c r="R483" s="149">
        <v>600</v>
      </c>
      <c r="S483" s="132">
        <f t="shared" si="274"/>
        <v>89</v>
      </c>
      <c r="T483" s="132">
        <f t="shared" si="232"/>
        <v>356</v>
      </c>
      <c r="U483" s="80"/>
      <c r="V483" s="80">
        <v>21363</v>
      </c>
      <c r="W483" s="142">
        <f t="shared" si="226"/>
        <v>171</v>
      </c>
      <c r="X483" s="142" t="str">
        <f t="shared" ref="X483:AD483" si="286">IF(C$311="","{progress_rate,"&amp;C$308&amp;","&amp;C483&amp;"}",IF(C483&gt;=1,"{progress,"&amp;C$311*100&amp;","&amp;C$308&amp;","&amp;C483&amp;"}","{progress_rate_roll,"&amp;C$311*100&amp;","&amp;INT(C483*10000)&amp;","&amp;C$308&amp;","&amp;1&amp;"}"))</f>
        <v>{progress_rate,2,178}</v>
      </c>
      <c r="Y483" s="142" t="str">
        <f t="shared" si="286"/>
        <v>{progress,0,2,442}</v>
      </c>
      <c r="Z483" s="142" t="str">
        <f t="shared" si="286"/>
        <v>{progress,0,5103001,15}</v>
      </c>
      <c r="AA483" s="142" t="str">
        <f t="shared" si="286"/>
        <v>{progress,40,5103003,25}</v>
      </c>
      <c r="AB483" s="142" t="str">
        <f t="shared" si="286"/>
        <v>{progress,0,50025,3}</v>
      </c>
      <c r="AC483" s="142" t="str">
        <f t="shared" si="286"/>
        <v>{progress,50,50002,5}</v>
      </c>
      <c r="AD483" s="142" t="str">
        <f t="shared" si="286"/>
        <v>{progress_rate_roll,100,5000,11,1}</v>
      </c>
      <c r="AF483" s="142" t="str">
        <f t="shared" si="245"/>
        <v>{progress,50,5203001,5}</v>
      </c>
      <c r="AG483" s="142" t="str">
        <f t="shared" si="239"/>
        <v>{progress,40,5303001,2}</v>
      </c>
      <c r="AH483" s="142" t="str">
        <f t="shared" si="240"/>
        <v>{progress,0,5401019,1}</v>
      </c>
      <c r="AI483" s="142"/>
      <c r="AJ483" s="142" t="str">
        <f t="shared" si="280"/>
        <v>{progress_rate_roll,100,1000,9,1}</v>
      </c>
      <c r="AN483" s="142" t="str">
        <f t="shared" si="228"/>
        <v>{progress,1,21363,1}</v>
      </c>
      <c r="AO483" s="142" t="str">
        <f t="shared" si="250"/>
        <v>{progress_rate_roll,100,5000,21363,1}</v>
      </c>
      <c r="AP483" s="142" t="str">
        <f t="shared" si="234"/>
        <v>[{progress_rate,2,178},{progress,0,2,442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83" s="142" t="str">
        <f t="shared" si="251"/>
        <v>[{progress_rate,2,178},{progress,0,2,442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83" s="142" t="str">
        <f t="shared" si="235"/>
        <v>[{progress_rate,2,178},{progress,0,2,442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83" s="142" t="str">
        <f t="shared" si="229"/>
        <v>[{progress_rate,2,178},{progress,0,2,442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83" s="142" t="str">
        <f t="shared" si="230"/>
        <v>{progress_rate,2,600},{progress_rate,11,1}</v>
      </c>
      <c r="AV483" s="142" t="str">
        <f t="shared" si="276"/>
        <v>{progress_rate,2,600}</v>
      </c>
      <c r="AW483" s="142" t="s">
        <v>175</v>
      </c>
    </row>
    <row r="484" spans="1:49">
      <c r="A484" s="143" t="str">
        <f t="shared" si="223"/>
        <v>[{2,622},{5103001,40},{14,60},{11,0},{5401000,0},{5203001,0},{5303001,0}]</v>
      </c>
      <c r="B484" s="98">
        <v>172</v>
      </c>
      <c r="C484" s="126">
        <v>178</v>
      </c>
      <c r="D484" s="126">
        <v>444</v>
      </c>
      <c r="E484" s="145">
        <v>15</v>
      </c>
      <c r="F484" s="145">
        <v>25</v>
      </c>
      <c r="G484" s="98">
        <v>3</v>
      </c>
      <c r="H484" s="98">
        <v>5</v>
      </c>
      <c r="I484" s="98">
        <v>0.5</v>
      </c>
      <c r="J484" s="98">
        <v>0</v>
      </c>
      <c r="K484" s="98">
        <v>5</v>
      </c>
      <c r="L484" s="98">
        <v>2</v>
      </c>
      <c r="M484" s="98">
        <v>1</v>
      </c>
      <c r="N484" s="98"/>
      <c r="O484" s="98">
        <v>0.1</v>
      </c>
      <c r="P484" s="98">
        <f t="shared" si="224"/>
        <v>151.1</v>
      </c>
      <c r="Q484" s="147">
        <f t="shared" si="225"/>
        <v>7.555</v>
      </c>
      <c r="R484" s="149">
        <v>600</v>
      </c>
      <c r="S484" s="132">
        <f t="shared" si="274"/>
        <v>89</v>
      </c>
      <c r="T484" s="132">
        <f t="shared" si="232"/>
        <v>356</v>
      </c>
      <c r="U484" s="80"/>
      <c r="V484" s="80">
        <v>21363</v>
      </c>
      <c r="W484" s="142">
        <f t="shared" si="226"/>
        <v>172</v>
      </c>
      <c r="X484" s="142" t="str">
        <f t="shared" ref="X484:AD484" si="287">IF(C$311="","{progress_rate,"&amp;C$308&amp;","&amp;C484&amp;"}",IF(C484&gt;=1,"{progress,"&amp;C$311*100&amp;","&amp;C$308&amp;","&amp;C484&amp;"}","{progress_rate_roll,"&amp;C$311*100&amp;","&amp;INT(C484*10000)&amp;","&amp;C$308&amp;","&amp;1&amp;"}"))</f>
        <v>{progress_rate,2,178}</v>
      </c>
      <c r="Y484" s="142" t="str">
        <f t="shared" si="287"/>
        <v>{progress,0,2,444}</v>
      </c>
      <c r="Z484" s="142" t="str">
        <f t="shared" si="287"/>
        <v>{progress,0,5103001,15}</v>
      </c>
      <c r="AA484" s="142" t="str">
        <f t="shared" si="287"/>
        <v>{progress,40,5103003,25}</v>
      </c>
      <c r="AB484" s="142" t="str">
        <f t="shared" si="287"/>
        <v>{progress,0,50025,3}</v>
      </c>
      <c r="AC484" s="142" t="str">
        <f t="shared" si="287"/>
        <v>{progress,50,50002,5}</v>
      </c>
      <c r="AD484" s="142" t="str">
        <f t="shared" si="287"/>
        <v>{progress_rate_roll,100,5000,11,1}</v>
      </c>
      <c r="AF484" s="142" t="str">
        <f t="shared" si="245"/>
        <v>{progress,50,5203001,5}</v>
      </c>
      <c r="AG484" s="142" t="str">
        <f t="shared" si="239"/>
        <v>{progress,40,5303001,2}</v>
      </c>
      <c r="AH484" s="142" t="str">
        <f t="shared" si="240"/>
        <v>{progress,0,5401019,1}</v>
      </c>
      <c r="AI484" s="142"/>
      <c r="AJ484" s="142" t="str">
        <f t="shared" si="280"/>
        <v>{progress_rate_roll,100,1000,9,1}</v>
      </c>
      <c r="AN484" s="142" t="str">
        <f t="shared" si="228"/>
        <v>{progress,1,21363,1}</v>
      </c>
      <c r="AO484" s="142" t="str">
        <f t="shared" si="250"/>
        <v>{progress_rate_roll,100,5000,21363,1}</v>
      </c>
      <c r="AP484" s="142" t="str">
        <f t="shared" si="234"/>
        <v>[{progress_rate,2,178},{progress,0,2,444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84" s="142" t="str">
        <f t="shared" si="251"/>
        <v>[{progress_rate,2,178},{progress,0,2,444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84" s="142" t="str">
        <f t="shared" si="235"/>
        <v>[{progress_rate,2,178},{progress,0,2,444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84" s="142" t="str">
        <f t="shared" si="229"/>
        <v>[{progress_rate,2,178},{progress,0,2,444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84" s="142" t="str">
        <f t="shared" si="230"/>
        <v>{progress_rate,2,600},{progress_rate,11,1}</v>
      </c>
      <c r="AV484" s="142" t="str">
        <f t="shared" si="276"/>
        <v>{progress_rate,2,600}</v>
      </c>
      <c r="AW484" s="142" t="s">
        <v>175</v>
      </c>
    </row>
    <row r="485" spans="1:49">
      <c r="A485" s="143" t="str">
        <f t="shared" si="223"/>
        <v>[{2,624},{5103001,40},{14,60},{11,0},{5401000,0},{5203001,0},{5303001,0}]</v>
      </c>
      <c r="B485" s="98">
        <v>173</v>
      </c>
      <c r="C485" s="126">
        <v>178</v>
      </c>
      <c r="D485" s="126">
        <v>446</v>
      </c>
      <c r="E485" s="145">
        <v>15</v>
      </c>
      <c r="F485" s="145">
        <v>25</v>
      </c>
      <c r="G485" s="98">
        <v>3</v>
      </c>
      <c r="H485" s="98">
        <v>5</v>
      </c>
      <c r="I485" s="98">
        <v>0.5</v>
      </c>
      <c r="J485" s="98">
        <v>0</v>
      </c>
      <c r="K485" s="98">
        <v>5</v>
      </c>
      <c r="L485" s="98">
        <v>2</v>
      </c>
      <c r="M485" s="98">
        <v>1</v>
      </c>
      <c r="N485" s="98"/>
      <c r="O485" s="98">
        <v>0.1</v>
      </c>
      <c r="P485" s="98">
        <f t="shared" si="224"/>
        <v>151.2</v>
      </c>
      <c r="Q485" s="147">
        <f t="shared" si="225"/>
        <v>7.56</v>
      </c>
      <c r="R485" s="149">
        <v>600</v>
      </c>
      <c r="S485" s="132">
        <f t="shared" si="274"/>
        <v>89</v>
      </c>
      <c r="T485" s="132">
        <f t="shared" si="232"/>
        <v>356</v>
      </c>
      <c r="U485" s="80"/>
      <c r="V485" s="80">
        <v>21363</v>
      </c>
      <c r="W485" s="142">
        <f t="shared" si="226"/>
        <v>173</v>
      </c>
      <c r="X485" s="142" t="str">
        <f t="shared" ref="X485:AD485" si="288">IF(C$311="","{progress_rate,"&amp;C$308&amp;","&amp;C485&amp;"}",IF(C485&gt;=1,"{progress,"&amp;C$311*100&amp;","&amp;C$308&amp;","&amp;C485&amp;"}","{progress_rate_roll,"&amp;C$311*100&amp;","&amp;INT(C485*10000)&amp;","&amp;C$308&amp;","&amp;1&amp;"}"))</f>
        <v>{progress_rate,2,178}</v>
      </c>
      <c r="Y485" s="142" t="str">
        <f t="shared" si="288"/>
        <v>{progress,0,2,446}</v>
      </c>
      <c r="Z485" s="142" t="str">
        <f t="shared" si="288"/>
        <v>{progress,0,5103001,15}</v>
      </c>
      <c r="AA485" s="142" t="str">
        <f t="shared" si="288"/>
        <v>{progress,40,5103003,25}</v>
      </c>
      <c r="AB485" s="142" t="str">
        <f t="shared" si="288"/>
        <v>{progress,0,50025,3}</v>
      </c>
      <c r="AC485" s="142" t="str">
        <f t="shared" si="288"/>
        <v>{progress,50,50002,5}</v>
      </c>
      <c r="AD485" s="142" t="str">
        <f t="shared" si="288"/>
        <v>{progress_rate_roll,100,5000,11,1}</v>
      </c>
      <c r="AF485" s="142" t="str">
        <f t="shared" si="245"/>
        <v>{progress,50,5203001,5}</v>
      </c>
      <c r="AG485" s="142" t="str">
        <f t="shared" si="239"/>
        <v>{progress,40,5303001,2}</v>
      </c>
      <c r="AH485" s="142" t="str">
        <f t="shared" si="240"/>
        <v>{progress,0,5401019,1}</v>
      </c>
      <c r="AI485" s="142"/>
      <c r="AJ485" s="142" t="str">
        <f t="shared" si="280"/>
        <v>{progress_rate_roll,100,1000,9,1}</v>
      </c>
      <c r="AN485" s="142" t="str">
        <f t="shared" si="228"/>
        <v>{progress,1,21363,1}</v>
      </c>
      <c r="AO485" s="142" t="str">
        <f t="shared" si="250"/>
        <v>{progress_rate_roll,100,5000,21363,1}</v>
      </c>
      <c r="AP485" s="142" t="str">
        <f t="shared" si="234"/>
        <v>[{progress_rate,2,178},{progress,0,2,446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85" s="142" t="str">
        <f t="shared" si="251"/>
        <v>[{progress_rate,2,178},{progress,0,2,446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85" s="142" t="str">
        <f t="shared" si="235"/>
        <v>[{progress_rate,2,178},{progress,0,2,446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85" s="142" t="str">
        <f t="shared" si="229"/>
        <v>[{progress_rate,2,178},{progress,0,2,446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85" s="142" t="str">
        <f t="shared" si="230"/>
        <v>{progress_rate,2,600},{progress_rate,11,1}</v>
      </c>
      <c r="AV485" s="142" t="str">
        <f t="shared" si="276"/>
        <v>{progress_rate,2,600}</v>
      </c>
      <c r="AW485" s="142" t="s">
        <v>175</v>
      </c>
    </row>
    <row r="486" spans="1:49">
      <c r="A486" s="143" t="str">
        <f t="shared" si="223"/>
        <v>[{2,626},{5103001,40},{14,60},{11,0},{5401000,0},{5203001,0},{5303001,0}]</v>
      </c>
      <c r="B486" s="98">
        <v>174</v>
      </c>
      <c r="C486" s="126">
        <v>180</v>
      </c>
      <c r="D486" s="126">
        <v>446</v>
      </c>
      <c r="E486" s="145">
        <v>15</v>
      </c>
      <c r="F486" s="145">
        <v>25</v>
      </c>
      <c r="G486" s="98">
        <v>3</v>
      </c>
      <c r="H486" s="98">
        <v>5</v>
      </c>
      <c r="I486" s="98">
        <v>0.5</v>
      </c>
      <c r="J486" s="98">
        <v>0</v>
      </c>
      <c r="K486" s="98">
        <v>5</v>
      </c>
      <c r="L486" s="98">
        <v>2</v>
      </c>
      <c r="M486" s="98">
        <v>1</v>
      </c>
      <c r="N486" s="98"/>
      <c r="O486" s="98">
        <v>0.1</v>
      </c>
      <c r="P486" s="98">
        <f t="shared" si="224"/>
        <v>151.3</v>
      </c>
      <c r="Q486" s="147">
        <f t="shared" si="225"/>
        <v>7.565</v>
      </c>
      <c r="R486" s="149">
        <v>600</v>
      </c>
      <c r="S486" s="132">
        <f t="shared" si="274"/>
        <v>90</v>
      </c>
      <c r="T486" s="132">
        <f t="shared" si="232"/>
        <v>360</v>
      </c>
      <c r="U486" s="80"/>
      <c r="V486" s="80">
        <v>21363</v>
      </c>
      <c r="W486" s="142">
        <f t="shared" si="226"/>
        <v>174</v>
      </c>
      <c r="X486" s="142" t="str">
        <f t="shared" ref="X486:AD486" si="289">IF(C$311="","{progress_rate,"&amp;C$308&amp;","&amp;C486&amp;"}",IF(C486&gt;=1,"{progress,"&amp;C$311*100&amp;","&amp;C$308&amp;","&amp;C486&amp;"}","{progress_rate_roll,"&amp;C$311*100&amp;","&amp;INT(C486*10000)&amp;","&amp;C$308&amp;","&amp;1&amp;"}"))</f>
        <v>{progress_rate,2,180}</v>
      </c>
      <c r="Y486" s="142" t="str">
        <f t="shared" si="289"/>
        <v>{progress,0,2,446}</v>
      </c>
      <c r="Z486" s="142" t="str">
        <f t="shared" si="289"/>
        <v>{progress,0,5103001,15}</v>
      </c>
      <c r="AA486" s="142" t="str">
        <f t="shared" si="289"/>
        <v>{progress,40,5103003,25}</v>
      </c>
      <c r="AB486" s="142" t="str">
        <f t="shared" si="289"/>
        <v>{progress,0,50025,3}</v>
      </c>
      <c r="AC486" s="142" t="str">
        <f t="shared" si="289"/>
        <v>{progress,50,50002,5}</v>
      </c>
      <c r="AD486" s="142" t="str">
        <f t="shared" si="289"/>
        <v>{progress_rate_roll,100,5000,11,1}</v>
      </c>
      <c r="AF486" s="142" t="str">
        <f t="shared" si="245"/>
        <v>{progress,50,5203001,5}</v>
      </c>
      <c r="AG486" s="142" t="str">
        <f t="shared" si="239"/>
        <v>{progress,40,5303001,2}</v>
      </c>
      <c r="AH486" s="142" t="str">
        <f t="shared" si="240"/>
        <v>{progress,0,5401019,1}</v>
      </c>
      <c r="AI486" s="142"/>
      <c r="AJ486" s="142" t="str">
        <f t="shared" si="280"/>
        <v>{progress_rate_roll,100,1000,9,1}</v>
      </c>
      <c r="AN486" s="142" t="str">
        <f t="shared" si="228"/>
        <v>{progress,1,21363,1}</v>
      </c>
      <c r="AO486" s="142" t="str">
        <f t="shared" si="250"/>
        <v>{progress_rate_roll,100,5000,21363,1}</v>
      </c>
      <c r="AP486" s="142" t="str">
        <f t="shared" si="234"/>
        <v>[{progress_rate,2,180},{progress,0,2,446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86" s="142" t="str">
        <f t="shared" si="251"/>
        <v>[{progress_rate,2,180},{progress,0,2,446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86" s="142" t="str">
        <f t="shared" si="235"/>
        <v>[{progress_rate,2,180},{progress,0,2,446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86" s="142" t="str">
        <f t="shared" si="229"/>
        <v>[{progress_rate,2,180},{progress,0,2,446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86" s="142" t="str">
        <f t="shared" si="230"/>
        <v>{progress_rate,2,600},{progress_rate,11,1}</v>
      </c>
      <c r="AV486" s="142" t="str">
        <f t="shared" si="276"/>
        <v>{progress_rate,2,600}</v>
      </c>
      <c r="AW486" s="142" t="s">
        <v>175</v>
      </c>
    </row>
    <row r="487" spans="1:49">
      <c r="A487" s="143" t="str">
        <f t="shared" si="223"/>
        <v>[{2,628},{5103001,40},{14,60},{11,0},{5401000,0},{5203001,0},{5303001,0}]</v>
      </c>
      <c r="B487" s="98">
        <v>175</v>
      </c>
      <c r="C487" s="126">
        <v>180</v>
      </c>
      <c r="D487" s="126">
        <v>448</v>
      </c>
      <c r="E487" s="145">
        <v>15</v>
      </c>
      <c r="F487" s="145">
        <v>25</v>
      </c>
      <c r="G487" s="98">
        <v>3</v>
      </c>
      <c r="H487" s="98">
        <v>5</v>
      </c>
      <c r="I487" s="98">
        <v>0.5</v>
      </c>
      <c r="J487" s="98">
        <v>0</v>
      </c>
      <c r="K487" s="98">
        <v>5</v>
      </c>
      <c r="L487" s="98">
        <v>2</v>
      </c>
      <c r="M487" s="98">
        <v>1</v>
      </c>
      <c r="N487" s="98"/>
      <c r="O487" s="98">
        <v>0.1</v>
      </c>
      <c r="P487" s="98">
        <f t="shared" si="224"/>
        <v>151.4</v>
      </c>
      <c r="Q487" s="147">
        <f t="shared" si="225"/>
        <v>7.57</v>
      </c>
      <c r="R487" s="149">
        <v>600</v>
      </c>
      <c r="S487" s="132">
        <f t="shared" si="274"/>
        <v>90</v>
      </c>
      <c r="T487" s="132">
        <f t="shared" si="232"/>
        <v>360</v>
      </c>
      <c r="U487" s="80"/>
      <c r="V487" s="80">
        <v>21363</v>
      </c>
      <c r="W487" s="142">
        <f t="shared" si="226"/>
        <v>175</v>
      </c>
      <c r="X487" s="142" t="str">
        <f t="shared" ref="X487:AD487" si="290">IF(C$311="","{progress_rate,"&amp;C$308&amp;","&amp;C487&amp;"}",IF(C487&gt;=1,"{progress,"&amp;C$311*100&amp;","&amp;C$308&amp;","&amp;C487&amp;"}","{progress_rate_roll,"&amp;C$311*100&amp;","&amp;INT(C487*10000)&amp;","&amp;C$308&amp;","&amp;1&amp;"}"))</f>
        <v>{progress_rate,2,180}</v>
      </c>
      <c r="Y487" s="142" t="str">
        <f t="shared" si="290"/>
        <v>{progress,0,2,448}</v>
      </c>
      <c r="Z487" s="142" t="str">
        <f t="shared" si="290"/>
        <v>{progress,0,5103001,15}</v>
      </c>
      <c r="AA487" s="142" t="str">
        <f t="shared" si="290"/>
        <v>{progress,40,5103003,25}</v>
      </c>
      <c r="AB487" s="142" t="str">
        <f t="shared" si="290"/>
        <v>{progress,0,50025,3}</v>
      </c>
      <c r="AC487" s="142" t="str">
        <f t="shared" si="290"/>
        <v>{progress,50,50002,5}</v>
      </c>
      <c r="AD487" s="142" t="str">
        <f t="shared" si="290"/>
        <v>{progress_rate_roll,100,5000,11,1}</v>
      </c>
      <c r="AF487" s="142" t="str">
        <f t="shared" si="245"/>
        <v>{progress,50,5203001,5}</v>
      </c>
      <c r="AG487" s="142" t="str">
        <f t="shared" si="239"/>
        <v>{progress,40,5303001,2}</v>
      </c>
      <c r="AH487" s="142" t="str">
        <f t="shared" si="240"/>
        <v>{progress,0,5401019,1}</v>
      </c>
      <c r="AI487" s="142"/>
      <c r="AJ487" s="142" t="str">
        <f t="shared" si="280"/>
        <v>{progress_rate_roll,100,1000,9,1}</v>
      </c>
      <c r="AN487" s="142" t="str">
        <f t="shared" si="228"/>
        <v>{progress,1,21363,1}</v>
      </c>
      <c r="AO487" s="142" t="str">
        <f t="shared" si="250"/>
        <v>{progress_rate_roll,100,5000,21363,1}</v>
      </c>
      <c r="AP487" s="142" t="str">
        <f t="shared" si="234"/>
        <v>[{progress_rate,2,180},{progress,0,2,448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87" s="142" t="str">
        <f t="shared" si="251"/>
        <v>[{progress_rate,2,180},{progress,0,2,448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87" s="142" t="str">
        <f t="shared" si="235"/>
        <v>[{progress_rate,2,180},{progress,0,2,448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87" s="142" t="str">
        <f t="shared" si="229"/>
        <v>[{progress_rate,2,180},{progress,0,2,448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87" s="142" t="str">
        <f t="shared" si="230"/>
        <v>{progress_rate,2,600},{progress_rate,11,1}</v>
      </c>
      <c r="AV487" s="142" t="str">
        <f t="shared" si="276"/>
        <v>{progress_rate,2,600}</v>
      </c>
      <c r="AW487" s="142" t="s">
        <v>175</v>
      </c>
    </row>
    <row r="488" spans="1:49">
      <c r="A488" s="143" t="str">
        <f t="shared" si="223"/>
        <v>[{2,630},{5103001,40},{14,60},{11,0},{5401000,0},{5203001,0},{5303001,0}]</v>
      </c>
      <c r="B488" s="98">
        <v>176</v>
      </c>
      <c r="C488" s="126">
        <v>180</v>
      </c>
      <c r="D488" s="126">
        <v>450</v>
      </c>
      <c r="E488" s="145">
        <v>15</v>
      </c>
      <c r="F488" s="145">
        <v>25</v>
      </c>
      <c r="G488" s="98">
        <v>3</v>
      </c>
      <c r="H488" s="98">
        <v>5</v>
      </c>
      <c r="I488" s="98">
        <v>0.5</v>
      </c>
      <c r="J488" s="98">
        <v>0</v>
      </c>
      <c r="K488" s="98">
        <v>5</v>
      </c>
      <c r="L488" s="98">
        <v>2</v>
      </c>
      <c r="M488" s="98">
        <v>1</v>
      </c>
      <c r="N488" s="98"/>
      <c r="O488" s="98">
        <v>0.1</v>
      </c>
      <c r="P488" s="98">
        <f t="shared" si="224"/>
        <v>151.5</v>
      </c>
      <c r="Q488" s="147">
        <f t="shared" si="225"/>
        <v>7.575</v>
      </c>
      <c r="R488" s="149">
        <v>600</v>
      </c>
      <c r="S488" s="132">
        <f t="shared" si="274"/>
        <v>90</v>
      </c>
      <c r="T488" s="132">
        <f t="shared" si="232"/>
        <v>360</v>
      </c>
      <c r="U488" s="80"/>
      <c r="V488" s="80">
        <v>21363</v>
      </c>
      <c r="W488" s="142">
        <f t="shared" si="226"/>
        <v>176</v>
      </c>
      <c r="X488" s="142" t="str">
        <f t="shared" ref="X488:AD488" si="291">IF(C$311="","{progress_rate,"&amp;C$308&amp;","&amp;C488&amp;"}",IF(C488&gt;=1,"{progress,"&amp;C$311*100&amp;","&amp;C$308&amp;","&amp;C488&amp;"}","{progress_rate_roll,"&amp;C$311*100&amp;","&amp;INT(C488*10000)&amp;","&amp;C$308&amp;","&amp;1&amp;"}"))</f>
        <v>{progress_rate,2,180}</v>
      </c>
      <c r="Y488" s="142" t="str">
        <f t="shared" si="291"/>
        <v>{progress,0,2,450}</v>
      </c>
      <c r="Z488" s="142" t="str">
        <f t="shared" si="291"/>
        <v>{progress,0,5103001,15}</v>
      </c>
      <c r="AA488" s="142" t="str">
        <f t="shared" si="291"/>
        <v>{progress,40,5103003,25}</v>
      </c>
      <c r="AB488" s="142" t="str">
        <f t="shared" si="291"/>
        <v>{progress,0,50025,3}</v>
      </c>
      <c r="AC488" s="142" t="str">
        <f t="shared" si="291"/>
        <v>{progress,50,50002,5}</v>
      </c>
      <c r="AD488" s="142" t="str">
        <f t="shared" si="291"/>
        <v>{progress_rate_roll,100,5000,11,1}</v>
      </c>
      <c r="AF488" s="142" t="str">
        <f t="shared" si="245"/>
        <v>{progress,50,5203001,5}</v>
      </c>
      <c r="AG488" s="142" t="str">
        <f t="shared" si="239"/>
        <v>{progress,40,5303001,2}</v>
      </c>
      <c r="AH488" s="142" t="str">
        <f t="shared" si="240"/>
        <v>{progress,0,5401019,1}</v>
      </c>
      <c r="AI488" s="142"/>
      <c r="AJ488" s="142" t="str">
        <f t="shared" si="280"/>
        <v>{progress_rate_roll,100,1000,9,1}</v>
      </c>
      <c r="AN488" s="142" t="str">
        <f t="shared" si="228"/>
        <v>{progress,1,21363,1}</v>
      </c>
      <c r="AO488" s="142" t="str">
        <f t="shared" si="250"/>
        <v>{progress_rate_roll,100,5000,21363,1}</v>
      </c>
      <c r="AP488" s="142" t="str">
        <f t="shared" si="234"/>
        <v>[{progress_rate,2,180},{progress,0,2,450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88" s="142" t="str">
        <f t="shared" si="251"/>
        <v>[{progress_rate,2,180},{progress,0,2,450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88" s="142" t="str">
        <f t="shared" si="235"/>
        <v>[{progress_rate,2,180},{progress,0,2,450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88" s="142" t="str">
        <f t="shared" si="229"/>
        <v>[{progress_rate,2,180},{progress,0,2,450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88" s="142" t="str">
        <f t="shared" si="230"/>
        <v>{progress_rate,2,600},{progress_rate,11,1}</v>
      </c>
      <c r="AV488" s="142" t="str">
        <f t="shared" si="276"/>
        <v>{progress_rate,2,600}</v>
      </c>
      <c r="AW488" s="142" t="s">
        <v>175</v>
      </c>
    </row>
    <row r="489" spans="1:49">
      <c r="A489" s="143" t="str">
        <f t="shared" si="223"/>
        <v>[{2,632},{5103001,40},{14,60},{11,0},{5401000,0},{5203001,0},{5303001,0}]</v>
      </c>
      <c r="B489" s="98">
        <v>177</v>
      </c>
      <c r="C489" s="126">
        <v>182</v>
      </c>
      <c r="D489" s="126">
        <v>450</v>
      </c>
      <c r="E489" s="145">
        <v>15</v>
      </c>
      <c r="F489" s="145">
        <v>25</v>
      </c>
      <c r="G489" s="98">
        <v>3</v>
      </c>
      <c r="H489" s="98">
        <v>5</v>
      </c>
      <c r="I489" s="98">
        <v>0.5</v>
      </c>
      <c r="J489" s="98">
        <v>0</v>
      </c>
      <c r="K489" s="98">
        <v>5</v>
      </c>
      <c r="L489" s="98">
        <v>2</v>
      </c>
      <c r="M489" s="98">
        <v>1</v>
      </c>
      <c r="N489" s="98"/>
      <c r="O489" s="98">
        <v>0.1</v>
      </c>
      <c r="P489" s="98">
        <f t="shared" si="224"/>
        <v>151.6</v>
      </c>
      <c r="Q489" s="147">
        <f t="shared" si="225"/>
        <v>7.58</v>
      </c>
      <c r="R489" s="149">
        <v>600</v>
      </c>
      <c r="S489" s="132">
        <f t="shared" si="274"/>
        <v>91</v>
      </c>
      <c r="T489" s="132">
        <f t="shared" si="232"/>
        <v>364</v>
      </c>
      <c r="U489" s="80"/>
      <c r="V489" s="80">
        <v>21363</v>
      </c>
      <c r="W489" s="142">
        <f t="shared" si="226"/>
        <v>177</v>
      </c>
      <c r="X489" s="142" t="str">
        <f t="shared" ref="X489:AD489" si="292">IF(C$311="","{progress_rate,"&amp;C$308&amp;","&amp;C489&amp;"}",IF(C489&gt;=1,"{progress,"&amp;C$311*100&amp;","&amp;C$308&amp;","&amp;C489&amp;"}","{progress_rate_roll,"&amp;C$311*100&amp;","&amp;INT(C489*10000)&amp;","&amp;C$308&amp;","&amp;1&amp;"}"))</f>
        <v>{progress_rate,2,182}</v>
      </c>
      <c r="Y489" s="142" t="str">
        <f t="shared" si="292"/>
        <v>{progress,0,2,450}</v>
      </c>
      <c r="Z489" s="142" t="str">
        <f t="shared" si="292"/>
        <v>{progress,0,5103001,15}</v>
      </c>
      <c r="AA489" s="142" t="str">
        <f t="shared" si="292"/>
        <v>{progress,40,5103003,25}</v>
      </c>
      <c r="AB489" s="142" t="str">
        <f t="shared" si="292"/>
        <v>{progress,0,50025,3}</v>
      </c>
      <c r="AC489" s="142" t="str">
        <f t="shared" si="292"/>
        <v>{progress,50,50002,5}</v>
      </c>
      <c r="AD489" s="142" t="str">
        <f t="shared" si="292"/>
        <v>{progress_rate_roll,100,5000,11,1}</v>
      </c>
      <c r="AF489" s="142" t="str">
        <f t="shared" si="245"/>
        <v>{progress,50,5203001,5}</v>
      </c>
      <c r="AG489" s="142" t="str">
        <f t="shared" si="239"/>
        <v>{progress,40,5303001,2}</v>
      </c>
      <c r="AH489" s="142" t="str">
        <f t="shared" si="240"/>
        <v>{progress,0,5401019,1}</v>
      </c>
      <c r="AI489" s="142"/>
      <c r="AJ489" s="142" t="str">
        <f t="shared" si="280"/>
        <v>{progress_rate_roll,100,1000,9,1}</v>
      </c>
      <c r="AN489" s="142" t="str">
        <f t="shared" si="228"/>
        <v>{progress,1,21363,1}</v>
      </c>
      <c r="AO489" s="142" t="str">
        <f t="shared" si="250"/>
        <v>{progress_rate_roll,100,5000,21363,1}</v>
      </c>
      <c r="AP489" s="142" t="str">
        <f t="shared" si="234"/>
        <v>[{progress_rate,2,182},{progress,0,2,450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89" s="142" t="str">
        <f t="shared" si="251"/>
        <v>[{progress_rate,2,182},{progress,0,2,450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89" s="142" t="str">
        <f t="shared" si="235"/>
        <v>[{progress_rate,2,182},{progress,0,2,450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89" s="142" t="str">
        <f t="shared" si="229"/>
        <v>[{progress_rate,2,182},{progress,0,2,450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89" s="142" t="str">
        <f t="shared" si="230"/>
        <v>{progress_rate,2,600},{progress_rate,11,1}</v>
      </c>
      <c r="AV489" s="142" t="str">
        <f t="shared" si="276"/>
        <v>{progress_rate,2,600}</v>
      </c>
      <c r="AW489" s="142" t="s">
        <v>175</v>
      </c>
    </row>
    <row r="490" spans="1:49">
      <c r="A490" s="143" t="str">
        <f t="shared" si="223"/>
        <v>[{2,634},{5103001,40},{14,60},{11,0},{5401000,0},{5203001,0},{5303001,0}]</v>
      </c>
      <c r="B490" s="98">
        <v>178</v>
      </c>
      <c r="C490" s="126">
        <v>182</v>
      </c>
      <c r="D490" s="126">
        <v>452</v>
      </c>
      <c r="E490" s="145">
        <v>15</v>
      </c>
      <c r="F490" s="145">
        <v>25</v>
      </c>
      <c r="G490" s="98">
        <v>3</v>
      </c>
      <c r="H490" s="98">
        <v>5</v>
      </c>
      <c r="I490" s="98">
        <v>0.5</v>
      </c>
      <c r="J490" s="98">
        <v>0</v>
      </c>
      <c r="K490" s="98">
        <v>5</v>
      </c>
      <c r="L490" s="98">
        <v>2</v>
      </c>
      <c r="M490" s="98">
        <v>1</v>
      </c>
      <c r="N490" s="98"/>
      <c r="O490" s="98">
        <v>0.1</v>
      </c>
      <c r="P490" s="98">
        <f t="shared" si="224"/>
        <v>151.7</v>
      </c>
      <c r="Q490" s="147">
        <f t="shared" si="225"/>
        <v>7.585</v>
      </c>
      <c r="R490" s="149">
        <v>600</v>
      </c>
      <c r="S490" s="132">
        <f t="shared" si="274"/>
        <v>91</v>
      </c>
      <c r="T490" s="132">
        <f t="shared" si="232"/>
        <v>364</v>
      </c>
      <c r="U490" s="80"/>
      <c r="V490" s="80">
        <v>21363</v>
      </c>
      <c r="W490" s="142">
        <f t="shared" si="226"/>
        <v>178</v>
      </c>
      <c r="X490" s="142" t="str">
        <f t="shared" ref="X490:AD490" si="293">IF(C$311="","{progress_rate,"&amp;C$308&amp;","&amp;C490&amp;"}",IF(C490&gt;=1,"{progress,"&amp;C$311*100&amp;","&amp;C$308&amp;","&amp;C490&amp;"}","{progress_rate_roll,"&amp;C$311*100&amp;","&amp;INT(C490*10000)&amp;","&amp;C$308&amp;","&amp;1&amp;"}"))</f>
        <v>{progress_rate,2,182}</v>
      </c>
      <c r="Y490" s="142" t="str">
        <f t="shared" si="293"/>
        <v>{progress,0,2,452}</v>
      </c>
      <c r="Z490" s="142" t="str">
        <f t="shared" si="293"/>
        <v>{progress,0,5103001,15}</v>
      </c>
      <c r="AA490" s="142" t="str">
        <f t="shared" si="293"/>
        <v>{progress,40,5103003,25}</v>
      </c>
      <c r="AB490" s="142" t="str">
        <f t="shared" si="293"/>
        <v>{progress,0,50025,3}</v>
      </c>
      <c r="AC490" s="142" t="str">
        <f t="shared" si="293"/>
        <v>{progress,50,50002,5}</v>
      </c>
      <c r="AD490" s="142" t="str">
        <f t="shared" si="293"/>
        <v>{progress_rate_roll,100,5000,11,1}</v>
      </c>
      <c r="AF490" s="142" t="str">
        <f t="shared" si="245"/>
        <v>{progress,50,5203001,5}</v>
      </c>
      <c r="AG490" s="142" t="str">
        <f t="shared" si="239"/>
        <v>{progress,40,5303001,2}</v>
      </c>
      <c r="AH490" s="142" t="str">
        <f t="shared" si="240"/>
        <v>{progress,0,5401019,1}</v>
      </c>
      <c r="AI490" s="142"/>
      <c r="AJ490" s="142" t="str">
        <f t="shared" si="280"/>
        <v>{progress_rate_roll,100,1000,9,1}</v>
      </c>
      <c r="AN490" s="142" t="str">
        <f t="shared" si="228"/>
        <v>{progress,1,21363,1}</v>
      </c>
      <c r="AO490" s="142" t="str">
        <f t="shared" si="250"/>
        <v>{progress_rate_roll,100,5000,21363,1}</v>
      </c>
      <c r="AP490" s="142" t="str">
        <f t="shared" si="234"/>
        <v>[{progress_rate,2,182},{progress,0,2,452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90" s="142" t="str">
        <f t="shared" si="251"/>
        <v>[{progress_rate,2,182},{progress,0,2,452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90" s="142" t="str">
        <f t="shared" si="235"/>
        <v>[{progress_rate,2,182},{progress,0,2,452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90" s="142" t="str">
        <f t="shared" si="229"/>
        <v>[{progress_rate,2,182},{progress,0,2,452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90" s="142" t="str">
        <f t="shared" si="230"/>
        <v>{progress_rate,2,600},{progress_rate,11,1}</v>
      </c>
      <c r="AV490" s="142" t="str">
        <f t="shared" si="276"/>
        <v>{progress_rate,2,600}</v>
      </c>
      <c r="AW490" s="142" t="s">
        <v>175</v>
      </c>
    </row>
    <row r="491" spans="1:49">
      <c r="A491" s="143" t="str">
        <f t="shared" si="223"/>
        <v>[{2,636},{5103001,40},{14,60},{11,0},{5401000,0},{5203001,0},{5303001,0}]</v>
      </c>
      <c r="B491" s="98">
        <v>179</v>
      </c>
      <c r="C491" s="126">
        <v>182</v>
      </c>
      <c r="D491" s="126">
        <v>454</v>
      </c>
      <c r="E491" s="145">
        <v>15</v>
      </c>
      <c r="F491" s="145">
        <v>25</v>
      </c>
      <c r="G491" s="98">
        <v>3</v>
      </c>
      <c r="H491" s="98">
        <v>5</v>
      </c>
      <c r="I491" s="98">
        <v>0.5</v>
      </c>
      <c r="J491" s="98">
        <v>0</v>
      </c>
      <c r="K491" s="98">
        <v>5</v>
      </c>
      <c r="L491" s="98">
        <v>2</v>
      </c>
      <c r="M491" s="98">
        <v>1</v>
      </c>
      <c r="N491" s="98"/>
      <c r="O491" s="98">
        <v>0.1</v>
      </c>
      <c r="P491" s="98">
        <f t="shared" si="224"/>
        <v>151.8</v>
      </c>
      <c r="Q491" s="147">
        <f t="shared" si="225"/>
        <v>7.59</v>
      </c>
      <c r="R491" s="149">
        <v>600</v>
      </c>
      <c r="S491" s="132">
        <f t="shared" si="274"/>
        <v>91</v>
      </c>
      <c r="T491" s="132">
        <f t="shared" si="232"/>
        <v>364</v>
      </c>
      <c r="U491" s="80"/>
      <c r="V491" s="80">
        <v>21363</v>
      </c>
      <c r="W491" s="142">
        <f t="shared" si="226"/>
        <v>179</v>
      </c>
      <c r="X491" s="142" t="str">
        <f t="shared" ref="X491:AD491" si="294">IF(C$311="","{progress_rate,"&amp;C$308&amp;","&amp;C491&amp;"}",IF(C491&gt;=1,"{progress,"&amp;C$311*100&amp;","&amp;C$308&amp;","&amp;C491&amp;"}","{progress_rate_roll,"&amp;C$311*100&amp;","&amp;INT(C491*10000)&amp;","&amp;C$308&amp;","&amp;1&amp;"}"))</f>
        <v>{progress_rate,2,182}</v>
      </c>
      <c r="Y491" s="142" t="str">
        <f t="shared" si="294"/>
        <v>{progress,0,2,454}</v>
      </c>
      <c r="Z491" s="142" t="str">
        <f t="shared" si="294"/>
        <v>{progress,0,5103001,15}</v>
      </c>
      <c r="AA491" s="142" t="str">
        <f t="shared" si="294"/>
        <v>{progress,40,5103003,25}</v>
      </c>
      <c r="AB491" s="142" t="str">
        <f t="shared" si="294"/>
        <v>{progress,0,50025,3}</v>
      </c>
      <c r="AC491" s="142" t="str">
        <f t="shared" si="294"/>
        <v>{progress,50,50002,5}</v>
      </c>
      <c r="AD491" s="142" t="str">
        <f t="shared" si="294"/>
        <v>{progress_rate_roll,100,5000,11,1}</v>
      </c>
      <c r="AF491" s="142" t="str">
        <f t="shared" si="245"/>
        <v>{progress,50,5203001,5}</v>
      </c>
      <c r="AG491" s="142" t="str">
        <f t="shared" si="239"/>
        <v>{progress,40,5303001,2}</v>
      </c>
      <c r="AH491" s="142" t="str">
        <f t="shared" si="240"/>
        <v>{progress,0,5401019,1}</v>
      </c>
      <c r="AI491" s="142"/>
      <c r="AJ491" s="142" t="str">
        <f t="shared" si="280"/>
        <v>{progress_rate_roll,100,1000,9,1}</v>
      </c>
      <c r="AN491" s="142" t="str">
        <f t="shared" si="228"/>
        <v>{progress,1,21363,1}</v>
      </c>
      <c r="AO491" s="142" t="str">
        <f t="shared" si="250"/>
        <v>{progress_rate_roll,100,5000,21363,1}</v>
      </c>
      <c r="AP491" s="142" t="str">
        <f t="shared" si="234"/>
        <v>[{progress_rate,2,182},{progress,0,2,454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91" s="142" t="str">
        <f t="shared" si="251"/>
        <v>[{progress_rate,2,182},{progress,0,2,454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91" s="142" t="str">
        <f t="shared" si="235"/>
        <v>[{progress_rate,2,182},{progress,0,2,454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91" s="142" t="str">
        <f t="shared" si="229"/>
        <v>[{progress_rate,2,182},{progress,0,2,454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91" s="142" t="str">
        <f t="shared" si="230"/>
        <v>{progress_rate,2,600},{progress_rate,11,1}</v>
      </c>
      <c r="AV491" s="142" t="str">
        <f t="shared" si="276"/>
        <v>{progress_rate,2,600}</v>
      </c>
      <c r="AW491" s="142" t="s">
        <v>175</v>
      </c>
    </row>
    <row r="492" spans="1:49">
      <c r="A492" s="143" t="str">
        <f t="shared" si="223"/>
        <v>[{2,638},{5103001,40},{14,60},{11,0},{5401000,0},{5203001,0},{5303001,0}]</v>
      </c>
      <c r="B492" s="98">
        <v>180</v>
      </c>
      <c r="C492" s="126">
        <v>182</v>
      </c>
      <c r="D492" s="126">
        <v>456</v>
      </c>
      <c r="E492" s="145">
        <v>15</v>
      </c>
      <c r="F492" s="145">
        <v>25</v>
      </c>
      <c r="G492" s="98">
        <v>3</v>
      </c>
      <c r="H492" s="98">
        <v>5</v>
      </c>
      <c r="I492" s="98">
        <v>0.5</v>
      </c>
      <c r="J492" s="98">
        <v>0</v>
      </c>
      <c r="K492" s="98">
        <v>5</v>
      </c>
      <c r="L492" s="98">
        <v>2</v>
      </c>
      <c r="M492" s="98">
        <v>1</v>
      </c>
      <c r="N492" s="98"/>
      <c r="O492" s="98">
        <v>0.1</v>
      </c>
      <c r="P492" s="98">
        <f t="shared" si="224"/>
        <v>151.9</v>
      </c>
      <c r="Q492" s="147">
        <f t="shared" si="225"/>
        <v>7.595</v>
      </c>
      <c r="R492" s="149">
        <v>600</v>
      </c>
      <c r="S492" s="132">
        <f t="shared" si="274"/>
        <v>91</v>
      </c>
      <c r="T492" s="132">
        <f t="shared" si="232"/>
        <v>364</v>
      </c>
      <c r="U492" s="80"/>
      <c r="V492" s="80">
        <v>21363</v>
      </c>
      <c r="W492" s="142">
        <f t="shared" si="226"/>
        <v>180</v>
      </c>
      <c r="X492" s="142" t="str">
        <f t="shared" ref="X492:AD492" si="295">IF(C$311="","{progress_rate,"&amp;C$308&amp;","&amp;C492&amp;"}",IF(C492&gt;=1,"{progress,"&amp;C$311*100&amp;","&amp;C$308&amp;","&amp;C492&amp;"}","{progress_rate_roll,"&amp;C$311*100&amp;","&amp;INT(C492*10000)&amp;","&amp;C$308&amp;","&amp;1&amp;"}"))</f>
        <v>{progress_rate,2,182}</v>
      </c>
      <c r="Y492" s="142" t="str">
        <f t="shared" si="295"/>
        <v>{progress,0,2,456}</v>
      </c>
      <c r="Z492" s="142" t="str">
        <f t="shared" si="295"/>
        <v>{progress,0,5103001,15}</v>
      </c>
      <c r="AA492" s="142" t="str">
        <f t="shared" si="295"/>
        <v>{progress,40,5103003,25}</v>
      </c>
      <c r="AB492" s="142" t="str">
        <f t="shared" si="295"/>
        <v>{progress,0,50025,3}</v>
      </c>
      <c r="AC492" s="142" t="str">
        <f t="shared" si="295"/>
        <v>{progress,50,50002,5}</v>
      </c>
      <c r="AD492" s="142" t="str">
        <f t="shared" si="295"/>
        <v>{progress_rate_roll,100,5000,11,1}</v>
      </c>
      <c r="AF492" s="142" t="str">
        <f t="shared" si="245"/>
        <v>{progress,50,5203001,5}</v>
      </c>
      <c r="AG492" s="142" t="str">
        <f t="shared" si="239"/>
        <v>{progress,40,5303001,2}</v>
      </c>
      <c r="AH492" s="142" t="str">
        <f t="shared" si="240"/>
        <v>{progress,0,5401019,1}</v>
      </c>
      <c r="AI492" s="142"/>
      <c r="AJ492" s="142" t="str">
        <f t="shared" si="280"/>
        <v>{progress_rate_roll,100,1000,9,1}</v>
      </c>
      <c r="AN492" s="142" t="str">
        <f t="shared" si="228"/>
        <v>{progress,1,21363,1}</v>
      </c>
      <c r="AO492" s="142" t="str">
        <f t="shared" si="250"/>
        <v>{progress_rate_roll,100,5000,21363,1}</v>
      </c>
      <c r="AP492" s="142" t="str">
        <f t="shared" si="234"/>
        <v>[{progress_rate,2,182},{progress,0,2,456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92" s="142" t="str">
        <f t="shared" si="251"/>
        <v>[{progress_rate,2,182},{progress,0,2,456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92" s="142" t="str">
        <f t="shared" si="235"/>
        <v>[{progress_rate,2,182},{progress,0,2,456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92" s="142" t="str">
        <f t="shared" si="229"/>
        <v>[{progress_rate,2,182},{progress,0,2,456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92" s="142" t="str">
        <f t="shared" si="230"/>
        <v>{progress_rate,2,600},{progress_rate,11,1}</v>
      </c>
      <c r="AV492" s="142" t="str">
        <f t="shared" si="276"/>
        <v>{progress_rate,2,600}</v>
      </c>
      <c r="AW492" s="142" t="s">
        <v>175</v>
      </c>
    </row>
    <row r="493" spans="1:49">
      <c r="A493" s="143" t="str">
        <f t="shared" si="223"/>
        <v>[{2,640},{5103001,40},{14,60},{11,0},{5401000,0},{5203001,0},{5303001,0}]</v>
      </c>
      <c r="B493" s="98">
        <v>181</v>
      </c>
      <c r="C493" s="126">
        <v>184</v>
      </c>
      <c r="D493" s="126">
        <v>456</v>
      </c>
      <c r="E493" s="145">
        <v>15</v>
      </c>
      <c r="F493" s="145">
        <v>25</v>
      </c>
      <c r="G493" s="98">
        <v>3</v>
      </c>
      <c r="H493" s="98">
        <v>5</v>
      </c>
      <c r="I493" s="98">
        <v>0.5</v>
      </c>
      <c r="J493" s="98">
        <v>0</v>
      </c>
      <c r="K493" s="98">
        <v>5</v>
      </c>
      <c r="L493" s="98">
        <v>2</v>
      </c>
      <c r="M493" s="98">
        <v>1</v>
      </c>
      <c r="N493" s="98"/>
      <c r="O493" s="98">
        <v>0.1</v>
      </c>
      <c r="P493" s="98">
        <f t="shared" si="224"/>
        <v>152</v>
      </c>
      <c r="Q493" s="147">
        <f t="shared" si="225"/>
        <v>7.6</v>
      </c>
      <c r="R493" s="149">
        <v>600</v>
      </c>
      <c r="S493" s="132">
        <f t="shared" si="274"/>
        <v>92</v>
      </c>
      <c r="T493" s="132">
        <f t="shared" si="232"/>
        <v>368</v>
      </c>
      <c r="U493" s="80"/>
      <c r="V493" s="80">
        <v>21363</v>
      </c>
      <c r="W493" s="142">
        <f t="shared" si="226"/>
        <v>181</v>
      </c>
      <c r="X493" s="142" t="str">
        <f t="shared" ref="X493:AD493" si="296">IF(C$311="","{progress_rate,"&amp;C$308&amp;","&amp;C493&amp;"}",IF(C493&gt;=1,"{progress,"&amp;C$311*100&amp;","&amp;C$308&amp;","&amp;C493&amp;"}","{progress_rate_roll,"&amp;C$311*100&amp;","&amp;INT(C493*10000)&amp;","&amp;C$308&amp;","&amp;1&amp;"}"))</f>
        <v>{progress_rate,2,184}</v>
      </c>
      <c r="Y493" s="142" t="str">
        <f t="shared" si="296"/>
        <v>{progress,0,2,456}</v>
      </c>
      <c r="Z493" s="142" t="str">
        <f t="shared" si="296"/>
        <v>{progress,0,5103001,15}</v>
      </c>
      <c r="AA493" s="142" t="str">
        <f t="shared" si="296"/>
        <v>{progress,40,5103003,25}</v>
      </c>
      <c r="AB493" s="142" t="str">
        <f t="shared" si="296"/>
        <v>{progress,0,50025,3}</v>
      </c>
      <c r="AC493" s="142" t="str">
        <f t="shared" si="296"/>
        <v>{progress,50,50002,5}</v>
      </c>
      <c r="AD493" s="142" t="str">
        <f t="shared" si="296"/>
        <v>{progress_rate_roll,100,5000,11,1}</v>
      </c>
      <c r="AF493" s="142" t="str">
        <f t="shared" si="245"/>
        <v>{progress,50,5203001,5}</v>
      </c>
      <c r="AG493" s="142" t="str">
        <f t="shared" si="239"/>
        <v>{progress,40,5303001,2}</v>
      </c>
      <c r="AH493" s="142" t="str">
        <f t="shared" si="240"/>
        <v>{progress,0,5401019,1}</v>
      </c>
      <c r="AI493" s="142"/>
      <c r="AJ493" s="142" t="str">
        <f t="shared" si="280"/>
        <v>{progress_rate_roll,100,1000,9,1}</v>
      </c>
      <c r="AN493" s="142" t="str">
        <f t="shared" si="228"/>
        <v>{progress,1,21363,1}</v>
      </c>
      <c r="AO493" s="142" t="str">
        <f t="shared" si="250"/>
        <v>{progress_rate_roll,100,5000,21363,1}</v>
      </c>
      <c r="AP493" s="142" t="str">
        <f t="shared" si="234"/>
        <v>[{progress_rate,2,184},{progress,0,2,456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93" s="142" t="str">
        <f t="shared" si="251"/>
        <v>[{progress_rate,2,184},{progress,0,2,456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93" s="142" t="str">
        <f t="shared" si="235"/>
        <v>[{progress_rate,2,184},{progress,0,2,456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93" s="142" t="str">
        <f t="shared" si="229"/>
        <v>[{progress_rate,2,184},{progress,0,2,456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93" s="142" t="str">
        <f t="shared" si="230"/>
        <v>{progress_rate,2,600},{progress_rate,11,1}</v>
      </c>
      <c r="AV493" s="142" t="str">
        <f t="shared" si="276"/>
        <v>{progress_rate,2,600}</v>
      </c>
      <c r="AW493" s="142" t="s">
        <v>175</v>
      </c>
    </row>
    <row r="494" spans="1:49">
      <c r="A494" s="143" t="str">
        <f t="shared" si="223"/>
        <v>[{2,642},{5103001,40},{14,60},{11,0},{5401000,0},{5203001,0},{5303001,0}]</v>
      </c>
      <c r="B494" s="98">
        <v>182</v>
      </c>
      <c r="C494" s="126">
        <v>184</v>
      </c>
      <c r="D494" s="126">
        <v>458</v>
      </c>
      <c r="E494" s="145">
        <v>15</v>
      </c>
      <c r="F494" s="145">
        <v>25</v>
      </c>
      <c r="G494" s="98">
        <v>3</v>
      </c>
      <c r="H494" s="98">
        <v>5</v>
      </c>
      <c r="I494" s="98">
        <v>0.5</v>
      </c>
      <c r="J494" s="98">
        <v>0</v>
      </c>
      <c r="K494" s="98">
        <v>5</v>
      </c>
      <c r="L494" s="98">
        <v>2</v>
      </c>
      <c r="M494" s="98">
        <v>1</v>
      </c>
      <c r="N494" s="98"/>
      <c r="O494" s="98">
        <v>0.1</v>
      </c>
      <c r="P494" s="98">
        <f t="shared" si="224"/>
        <v>152.1</v>
      </c>
      <c r="Q494" s="147">
        <f t="shared" si="225"/>
        <v>7.605</v>
      </c>
      <c r="R494" s="149">
        <v>600</v>
      </c>
      <c r="S494" s="132">
        <f t="shared" si="274"/>
        <v>92</v>
      </c>
      <c r="T494" s="132">
        <f t="shared" si="232"/>
        <v>368</v>
      </c>
      <c r="U494" s="80"/>
      <c r="V494" s="80">
        <v>21363</v>
      </c>
      <c r="W494" s="142">
        <f t="shared" si="226"/>
        <v>182</v>
      </c>
      <c r="X494" s="142" t="str">
        <f t="shared" ref="X494:AD494" si="297">IF(C$311="","{progress_rate,"&amp;C$308&amp;","&amp;C494&amp;"}",IF(C494&gt;=1,"{progress,"&amp;C$311*100&amp;","&amp;C$308&amp;","&amp;C494&amp;"}","{progress_rate_roll,"&amp;C$311*100&amp;","&amp;INT(C494*10000)&amp;","&amp;C$308&amp;","&amp;1&amp;"}"))</f>
        <v>{progress_rate,2,184}</v>
      </c>
      <c r="Y494" s="142" t="str">
        <f t="shared" si="297"/>
        <v>{progress,0,2,458}</v>
      </c>
      <c r="Z494" s="142" t="str">
        <f t="shared" si="297"/>
        <v>{progress,0,5103001,15}</v>
      </c>
      <c r="AA494" s="142" t="str">
        <f t="shared" si="297"/>
        <v>{progress,40,5103003,25}</v>
      </c>
      <c r="AB494" s="142" t="str">
        <f t="shared" si="297"/>
        <v>{progress,0,50025,3}</v>
      </c>
      <c r="AC494" s="142" t="str">
        <f t="shared" si="297"/>
        <v>{progress,50,50002,5}</v>
      </c>
      <c r="AD494" s="142" t="str">
        <f t="shared" si="297"/>
        <v>{progress_rate_roll,100,5000,11,1}</v>
      </c>
      <c r="AF494" s="142" t="str">
        <f t="shared" si="245"/>
        <v>{progress,50,5203001,5}</v>
      </c>
      <c r="AG494" s="142" t="str">
        <f t="shared" si="239"/>
        <v>{progress,40,5303001,2}</v>
      </c>
      <c r="AH494" s="142" t="str">
        <f t="shared" si="240"/>
        <v>{progress,0,5401019,1}</v>
      </c>
      <c r="AI494" s="142"/>
      <c r="AJ494" s="142" t="str">
        <f t="shared" si="280"/>
        <v>{progress_rate_roll,100,1000,9,1}</v>
      </c>
      <c r="AN494" s="142" t="str">
        <f t="shared" si="228"/>
        <v>{progress,1,21363,1}</v>
      </c>
      <c r="AO494" s="142" t="str">
        <f t="shared" si="250"/>
        <v>{progress_rate_roll,100,5000,21363,1}</v>
      </c>
      <c r="AP494" s="142" t="str">
        <f t="shared" si="234"/>
        <v>[{progress_rate,2,184},{progress,0,2,458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94" s="142" t="str">
        <f t="shared" si="251"/>
        <v>[{progress_rate,2,184},{progress,0,2,458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94" s="142" t="str">
        <f t="shared" si="235"/>
        <v>[{progress_rate,2,184},{progress,0,2,458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94" s="142" t="str">
        <f t="shared" si="229"/>
        <v>[{progress_rate,2,184},{progress,0,2,458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94" s="142" t="str">
        <f t="shared" si="230"/>
        <v>{progress_rate,2,600},{progress_rate,11,1}</v>
      </c>
      <c r="AV494" s="142" t="str">
        <f t="shared" si="276"/>
        <v>{progress_rate,2,600}</v>
      </c>
      <c r="AW494" s="142" t="s">
        <v>175</v>
      </c>
    </row>
    <row r="495" spans="1:49">
      <c r="A495" s="143" t="str">
        <f t="shared" si="223"/>
        <v>[{2,644},{5103001,40},{14,60},{11,0},{5401000,0},{5203001,0},{5303001,0}]</v>
      </c>
      <c r="B495" s="98">
        <v>183</v>
      </c>
      <c r="C495" s="126">
        <v>184</v>
      </c>
      <c r="D495" s="126">
        <v>460</v>
      </c>
      <c r="E495" s="145">
        <v>15</v>
      </c>
      <c r="F495" s="145">
        <v>25</v>
      </c>
      <c r="G495" s="98">
        <v>3</v>
      </c>
      <c r="H495" s="98">
        <v>5</v>
      </c>
      <c r="I495" s="98">
        <v>0.5</v>
      </c>
      <c r="J495" s="98">
        <v>0</v>
      </c>
      <c r="K495" s="98">
        <v>5</v>
      </c>
      <c r="L495" s="98">
        <v>2</v>
      </c>
      <c r="M495" s="98">
        <v>1</v>
      </c>
      <c r="N495" s="98"/>
      <c r="O495" s="98">
        <v>0.1</v>
      </c>
      <c r="P495" s="98">
        <f t="shared" si="224"/>
        <v>152.2</v>
      </c>
      <c r="Q495" s="147">
        <f t="shared" si="225"/>
        <v>7.61</v>
      </c>
      <c r="R495" s="149">
        <v>600</v>
      </c>
      <c r="S495" s="132">
        <f t="shared" si="274"/>
        <v>92</v>
      </c>
      <c r="T495" s="132">
        <f t="shared" si="232"/>
        <v>368</v>
      </c>
      <c r="U495" s="80"/>
      <c r="V495" s="80">
        <v>21363</v>
      </c>
      <c r="W495" s="142">
        <f t="shared" si="226"/>
        <v>183</v>
      </c>
      <c r="X495" s="142" t="str">
        <f t="shared" ref="X495:X526" si="298">IF(C$311="","{progress_rate,"&amp;C$308&amp;","&amp;C495&amp;"}",IF(C495&gt;=1,"{progress,"&amp;C$311*100&amp;","&amp;C$308&amp;","&amp;C495&amp;"}","{progress_rate_roll,"&amp;C$311*100&amp;","&amp;INT(C495*10000)&amp;","&amp;C$308&amp;","&amp;1&amp;"}"))</f>
        <v>{progress_rate,2,184}</v>
      </c>
      <c r="Y495" s="142" t="str">
        <f t="shared" ref="Y495:Y526" si="299">IF(D$311="","{progress_rate,"&amp;D$308&amp;","&amp;D495&amp;"}",IF(D495&gt;=1,"{progress,"&amp;D$311*100&amp;","&amp;D$308&amp;","&amp;D495&amp;"}","{progress_rate_roll,"&amp;D$311*100&amp;","&amp;INT(D495*10000)&amp;","&amp;D$308&amp;","&amp;1&amp;"}"))</f>
        <v>{progress,0,2,460}</v>
      </c>
      <c r="Z495" s="142" t="str">
        <f t="shared" ref="Z495:Z526" si="300">IF(E$311="","{progress_rate,"&amp;E$308&amp;","&amp;E495&amp;"}",IF(E495&gt;=1,"{progress,"&amp;E$311*100&amp;","&amp;E$308&amp;","&amp;E495&amp;"}","{progress_rate_roll,"&amp;E$311*100&amp;","&amp;INT(E495*10000)&amp;","&amp;E$308&amp;","&amp;1&amp;"}"))</f>
        <v>{progress,0,5103001,15}</v>
      </c>
      <c r="AA495" s="142" t="str">
        <f t="shared" ref="AA495:AA526" si="301">IF(F$311="","{progress_rate,"&amp;F$308&amp;","&amp;F495&amp;"}",IF(F495&gt;=1,"{progress,"&amp;F$311*100&amp;","&amp;F$308&amp;","&amp;F495&amp;"}","{progress_rate_roll,"&amp;F$311*100&amp;","&amp;INT(F495*10000)&amp;","&amp;F$308&amp;","&amp;1&amp;"}"))</f>
        <v>{progress,40,5103003,25}</v>
      </c>
      <c r="AB495" s="142" t="str">
        <f t="shared" ref="AB495:AB526" si="302">IF(G$311="","{progress_rate,"&amp;G$308&amp;","&amp;G495&amp;"}",IF(G495&gt;=1,"{progress,"&amp;G$311*100&amp;","&amp;G$308&amp;","&amp;G495&amp;"}","{progress_rate_roll,"&amp;G$311*100&amp;","&amp;INT(G495*10000)&amp;","&amp;G$308&amp;","&amp;1&amp;"}"))</f>
        <v>{progress,0,50025,3}</v>
      </c>
      <c r="AC495" s="142" t="str">
        <f t="shared" ref="AC495:AC526" si="303">IF(H$311="","{progress_rate,"&amp;H$308&amp;","&amp;H495&amp;"}",IF(H495&gt;=1,"{progress,"&amp;H$311*100&amp;","&amp;H$308&amp;","&amp;H495&amp;"}","{progress_rate_roll,"&amp;H$311*100&amp;","&amp;INT(H495*10000)&amp;","&amp;H$308&amp;","&amp;1&amp;"}"))</f>
        <v>{progress,50,50002,5}</v>
      </c>
      <c r="AD495" s="142" t="str">
        <f t="shared" ref="AD495:AD526" si="304">IF(I$311="","{progress_rate,"&amp;I$308&amp;","&amp;I495&amp;"}",IF(I495&gt;=1,"{progress,"&amp;I$311*100&amp;","&amp;I$308&amp;","&amp;I495&amp;"}","{progress_rate_roll,"&amp;I$311*100&amp;","&amp;INT(I495*10000)&amp;","&amp;I$308&amp;","&amp;1&amp;"}"))</f>
        <v>{progress_rate_roll,100,5000,11,1}</v>
      </c>
      <c r="AF495" s="142" t="str">
        <f t="shared" ref="AF495:AF526" si="305">IF(K$311="","{progress_rate,"&amp;K$308&amp;","&amp;K495&amp;"}",IF(K495&gt;=1,"{progress,"&amp;K$311*100&amp;","&amp;K$308&amp;","&amp;K495&amp;"}","{progress_rate_roll,"&amp;K$311*100&amp;","&amp;INT(K495*10000)&amp;","&amp;K$308&amp;","&amp;1&amp;"}"))</f>
        <v>{progress,50,5203001,5}</v>
      </c>
      <c r="AG495" s="142" t="str">
        <f t="shared" ref="AG495:AG526" si="306">IF(L$311="","{progress_rate,"&amp;L$308&amp;","&amp;L495&amp;"}",IF(L495&gt;=1,"{progress,"&amp;L$311*100&amp;","&amp;L$308&amp;","&amp;L495&amp;"}","{progress_rate_roll,"&amp;L$311*100&amp;","&amp;INT(L495*10000)&amp;","&amp;L$308&amp;","&amp;1&amp;"}"))</f>
        <v>{progress,40,5303001,2}</v>
      </c>
      <c r="AH495" s="142" t="str">
        <f t="shared" ref="AH495:AH526" si="307">IF(M$311="","{progress_rate,"&amp;M$308&amp;","&amp;M495&amp;"}",IF(M495&gt;=1,"{progress,"&amp;M$311*100&amp;","&amp;M$308&amp;","&amp;M495&amp;"}","{progress_rate_roll,"&amp;M$311*100&amp;","&amp;INT(M495*10000)&amp;","&amp;M$308&amp;","&amp;1&amp;"}"))</f>
        <v>{progress,0,5401019,1}</v>
      </c>
      <c r="AI495" s="142"/>
      <c r="AJ495" s="142" t="str">
        <f t="shared" ref="AJ495:AJ526" si="308">IF(O$311="","{progress_rate,"&amp;O$308&amp;","&amp;O495&amp;"}",IF(O495&gt;=1,"{progress,"&amp;O$311*100&amp;","&amp;O$308&amp;","&amp;O495&amp;"}","{progress_rate_roll,"&amp;O$311*100&amp;","&amp;INT(O495*10000)&amp;","&amp;O$308&amp;","&amp;1&amp;"}"))</f>
        <v>{progress_rate_roll,100,1000,9,1}</v>
      </c>
      <c r="AN495" s="142" t="str">
        <f t="shared" ref="AN495:AN526" si="309">"{progress,1,"&amp;V495&amp;",1}"</f>
        <v>{progress,1,21363,1}</v>
      </c>
      <c r="AO495" s="142" t="str">
        <f t="shared" ref="AO495:AO526" si="310">"{progress_rate_roll,100,5000,"&amp;V495&amp;",1}"</f>
        <v>{progress_rate_roll,100,5000,21363,1}</v>
      </c>
      <c r="AP495" s="142" t="str">
        <f t="shared" si="234"/>
        <v>[{progress_rate,2,184},{progress,0,2,460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95" s="142" t="str">
        <f t="shared" ref="AQ495:AQ526" si="311">"["&amp;_xlfn.TEXTJOIN(",",1,X495:AO495)&amp;"]"</f>
        <v>[{progress_rate,2,184},{progress,0,2,460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95" s="142" t="str">
        <f t="shared" si="235"/>
        <v>[{progress_rate,2,184},{progress,0,2,460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95" s="142" t="str">
        <f t="shared" ref="AS495:AS526" si="312">IF(AT495="",SUBSTITUTE(AQ495,"]",","&amp;AU495&amp;"]"),SUBSTITUTE(SUBSTITUTE(SUBSTITUTE(AQ495,"]",","&amp;AU495&amp;"]"),$G$308,AT495),$H$308,SUBSTITUTE(AT495+1,50009,50003)))</f>
        <v>[{progress_rate,2,184},{progress,0,2,460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95" s="142" t="str">
        <f t="shared" ref="AU495:AU526" si="313">_xlfn.TEXTJOIN(",",1,AV495:BD495)</f>
        <v>{progress_rate,2,600},{progress_rate,11,1}</v>
      </c>
      <c r="AV495" s="142" t="str">
        <f t="shared" ref="AV495:AV526" si="314">"{progress_rate,2,"&amp;MIN(1200,600+INT(B495/10)*0)&amp;"}"</f>
        <v>{progress_rate,2,600}</v>
      </c>
      <c r="AW495" s="142" t="s">
        <v>175</v>
      </c>
    </row>
    <row r="496" spans="1:49">
      <c r="A496" s="143" t="str">
        <f t="shared" si="223"/>
        <v>[{2,646},{5103001,40},{14,60},{11,0},{5401000,0},{5203001,0},{5303001,0}]</v>
      </c>
      <c r="B496" s="98">
        <v>184</v>
      </c>
      <c r="C496" s="126">
        <v>186</v>
      </c>
      <c r="D496" s="126">
        <v>460</v>
      </c>
      <c r="E496" s="145">
        <v>15</v>
      </c>
      <c r="F496" s="145">
        <v>25</v>
      </c>
      <c r="G496" s="98">
        <v>3</v>
      </c>
      <c r="H496" s="98">
        <v>5</v>
      </c>
      <c r="I496" s="98">
        <v>0.5</v>
      </c>
      <c r="J496" s="98">
        <v>0</v>
      </c>
      <c r="K496" s="98">
        <v>5</v>
      </c>
      <c r="L496" s="98">
        <v>2</v>
      </c>
      <c r="M496" s="98">
        <v>1</v>
      </c>
      <c r="N496" s="98"/>
      <c r="O496" s="98">
        <v>0.1</v>
      </c>
      <c r="P496" s="98">
        <f t="shared" si="224"/>
        <v>152.3</v>
      </c>
      <c r="Q496" s="147">
        <f t="shared" si="225"/>
        <v>7.615</v>
      </c>
      <c r="R496" s="149">
        <v>600</v>
      </c>
      <c r="S496" s="132">
        <f t="shared" si="274"/>
        <v>93</v>
      </c>
      <c r="T496" s="132">
        <f t="shared" si="232"/>
        <v>372</v>
      </c>
      <c r="U496" s="80"/>
      <c r="V496" s="80">
        <v>21363</v>
      </c>
      <c r="W496" s="142">
        <f t="shared" si="226"/>
        <v>184</v>
      </c>
      <c r="X496" s="142" t="str">
        <f t="shared" si="298"/>
        <v>{progress_rate,2,186}</v>
      </c>
      <c r="Y496" s="142" t="str">
        <f t="shared" si="299"/>
        <v>{progress,0,2,460}</v>
      </c>
      <c r="Z496" s="142" t="str">
        <f t="shared" si="300"/>
        <v>{progress,0,5103001,15}</v>
      </c>
      <c r="AA496" s="142" t="str">
        <f t="shared" si="301"/>
        <v>{progress,40,5103003,25}</v>
      </c>
      <c r="AB496" s="142" t="str">
        <f t="shared" si="302"/>
        <v>{progress,0,50025,3}</v>
      </c>
      <c r="AC496" s="142" t="str">
        <f t="shared" si="303"/>
        <v>{progress,50,50002,5}</v>
      </c>
      <c r="AD496" s="142" t="str">
        <f t="shared" si="304"/>
        <v>{progress_rate_roll,100,5000,11,1}</v>
      </c>
      <c r="AF496" s="142" t="str">
        <f t="shared" si="305"/>
        <v>{progress,50,5203001,5}</v>
      </c>
      <c r="AG496" s="142" t="str">
        <f t="shared" si="306"/>
        <v>{progress,40,5303001,2}</v>
      </c>
      <c r="AH496" s="142" t="str">
        <f t="shared" si="307"/>
        <v>{progress,0,5401019,1}</v>
      </c>
      <c r="AI496" s="142"/>
      <c r="AJ496" s="142" t="str">
        <f t="shared" si="308"/>
        <v>{progress_rate_roll,100,1000,9,1}</v>
      </c>
      <c r="AN496" s="142" t="str">
        <f t="shared" si="309"/>
        <v>{progress,1,21363,1}</v>
      </c>
      <c r="AO496" s="142" t="str">
        <f t="shared" si="310"/>
        <v>{progress_rate_roll,100,5000,21363,1}</v>
      </c>
      <c r="AP496" s="142" t="str">
        <f t="shared" si="234"/>
        <v>[{progress_rate,2,186},{progress,0,2,460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96" s="142" t="str">
        <f t="shared" si="311"/>
        <v>[{progress_rate,2,186},{progress,0,2,460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96" s="142" t="str">
        <f t="shared" si="235"/>
        <v>[{progress_rate,2,186},{progress,0,2,460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96" s="142" t="str">
        <f t="shared" si="312"/>
        <v>[{progress_rate,2,186},{progress,0,2,460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96" s="142" t="str">
        <f t="shared" si="313"/>
        <v>{progress_rate,2,600},{progress_rate,11,1}</v>
      </c>
      <c r="AV496" s="142" t="str">
        <f t="shared" si="314"/>
        <v>{progress_rate,2,600}</v>
      </c>
      <c r="AW496" s="142" t="s">
        <v>175</v>
      </c>
    </row>
    <row r="497" spans="1:49">
      <c r="A497" s="143" t="str">
        <f t="shared" si="223"/>
        <v>[{2,648},{5103001,40},{14,60},{11,0},{5401000,0},{5203001,0},{5303001,0}]</v>
      </c>
      <c r="B497" s="98">
        <v>185</v>
      </c>
      <c r="C497" s="126">
        <v>186</v>
      </c>
      <c r="D497" s="126">
        <v>462</v>
      </c>
      <c r="E497" s="145">
        <v>15</v>
      </c>
      <c r="F497" s="145">
        <v>25</v>
      </c>
      <c r="G497" s="98">
        <v>3</v>
      </c>
      <c r="H497" s="98">
        <v>5</v>
      </c>
      <c r="I497" s="98">
        <v>0.5</v>
      </c>
      <c r="J497" s="98">
        <v>0</v>
      </c>
      <c r="K497" s="98">
        <v>5</v>
      </c>
      <c r="L497" s="98">
        <v>2</v>
      </c>
      <c r="M497" s="98">
        <v>1</v>
      </c>
      <c r="N497" s="98"/>
      <c r="O497" s="98">
        <v>0.1</v>
      </c>
      <c r="P497" s="98">
        <f t="shared" si="224"/>
        <v>152.4</v>
      </c>
      <c r="Q497" s="147">
        <f t="shared" si="225"/>
        <v>7.62</v>
      </c>
      <c r="R497" s="149">
        <v>600</v>
      </c>
      <c r="S497" s="132">
        <f t="shared" si="274"/>
        <v>93</v>
      </c>
      <c r="T497" s="132">
        <f>D497/2</f>
        <v>231</v>
      </c>
      <c r="V497" s="80">
        <v>21363</v>
      </c>
      <c r="W497" s="142">
        <f t="shared" ref="W497:W528" si="315">B497</f>
        <v>185</v>
      </c>
      <c r="X497" s="142" t="str">
        <f t="shared" si="298"/>
        <v>{progress_rate,2,186}</v>
      </c>
      <c r="Y497" s="142" t="str">
        <f t="shared" si="299"/>
        <v>{progress,0,2,462}</v>
      </c>
      <c r="Z497" s="142" t="str">
        <f t="shared" si="300"/>
        <v>{progress,0,5103001,15}</v>
      </c>
      <c r="AA497" s="142" t="str">
        <f t="shared" si="301"/>
        <v>{progress,40,5103003,25}</v>
      </c>
      <c r="AB497" s="142" t="str">
        <f t="shared" si="302"/>
        <v>{progress,0,50025,3}</v>
      </c>
      <c r="AC497" s="142" t="str">
        <f t="shared" si="303"/>
        <v>{progress,50,50002,5}</v>
      </c>
      <c r="AD497" s="142" t="str">
        <f t="shared" si="304"/>
        <v>{progress_rate_roll,100,5000,11,1}</v>
      </c>
      <c r="AF497" s="142" t="str">
        <f t="shared" si="305"/>
        <v>{progress,50,5203001,5}</v>
      </c>
      <c r="AG497" s="142" t="str">
        <f t="shared" si="306"/>
        <v>{progress,40,5303001,2}</v>
      </c>
      <c r="AH497" s="142" t="str">
        <f t="shared" si="307"/>
        <v>{progress,0,5401019,1}</v>
      </c>
      <c r="AI497" s="142"/>
      <c r="AJ497" s="142" t="str">
        <f t="shared" si="308"/>
        <v>{progress_rate_roll,100,1000,9,1}</v>
      </c>
      <c r="AN497" s="142" t="str">
        <f t="shared" si="309"/>
        <v>{progress,1,21363,1}</v>
      </c>
      <c r="AO497" s="142" t="str">
        <f t="shared" si="310"/>
        <v>{progress_rate_roll,100,5000,21363,1}</v>
      </c>
      <c r="AP497" s="142" t="str">
        <f t="shared" si="234"/>
        <v>[{progress_rate,2,186},{progress,0,2,462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97" s="142" t="str">
        <f t="shared" si="311"/>
        <v>[{progress_rate,2,186},{progress,0,2,462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97" s="142" t="str">
        <f t="shared" si="235"/>
        <v>[{progress_rate,2,186},{progress,0,2,462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97" s="142" t="str">
        <f t="shared" si="312"/>
        <v>[{progress_rate,2,186},{progress,0,2,462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97" s="142" t="str">
        <f t="shared" si="313"/>
        <v>{progress_rate,2,600},{progress_rate,11,1}</v>
      </c>
      <c r="AV497" s="142" t="str">
        <f t="shared" si="314"/>
        <v>{progress_rate,2,600}</v>
      </c>
      <c r="AW497" s="142" t="s">
        <v>175</v>
      </c>
    </row>
    <row r="498" spans="1:49">
      <c r="A498" s="143" t="str">
        <f t="shared" si="223"/>
        <v>[{2,650},{5103001,40},{14,60},{11,0},{5401000,0},{5203001,0},{5303001,0}]</v>
      </c>
      <c r="B498" s="98">
        <v>186</v>
      </c>
      <c r="C498" s="126">
        <v>186</v>
      </c>
      <c r="D498" s="126">
        <v>464</v>
      </c>
      <c r="E498" s="145">
        <v>15</v>
      </c>
      <c r="F498" s="145">
        <v>25</v>
      </c>
      <c r="G498" s="98">
        <v>3</v>
      </c>
      <c r="H498" s="98">
        <v>5</v>
      </c>
      <c r="I498" s="98">
        <v>0.5</v>
      </c>
      <c r="J498" s="98">
        <v>0</v>
      </c>
      <c r="K498" s="98">
        <v>5</v>
      </c>
      <c r="L498" s="98">
        <v>2</v>
      </c>
      <c r="M498" s="98">
        <v>1</v>
      </c>
      <c r="N498" s="98"/>
      <c r="O498" s="98">
        <v>0.1</v>
      </c>
      <c r="P498" s="98">
        <f t="shared" si="224"/>
        <v>152.5</v>
      </c>
      <c r="Q498" s="147">
        <f t="shared" si="225"/>
        <v>7.625</v>
      </c>
      <c r="R498" s="149">
        <v>600</v>
      </c>
      <c r="S498" s="132">
        <f t="shared" si="274"/>
        <v>93</v>
      </c>
      <c r="T498" s="132">
        <f t="shared" ref="T498:T529" si="316">D498/2</f>
        <v>232</v>
      </c>
      <c r="V498" s="80">
        <v>21363</v>
      </c>
      <c r="W498" s="142">
        <f t="shared" si="315"/>
        <v>186</v>
      </c>
      <c r="X498" s="142" t="str">
        <f t="shared" si="298"/>
        <v>{progress_rate,2,186}</v>
      </c>
      <c r="Y498" s="142" t="str">
        <f t="shared" si="299"/>
        <v>{progress,0,2,464}</v>
      </c>
      <c r="Z498" s="142" t="str">
        <f t="shared" si="300"/>
        <v>{progress,0,5103001,15}</v>
      </c>
      <c r="AA498" s="142" t="str">
        <f t="shared" si="301"/>
        <v>{progress,40,5103003,25}</v>
      </c>
      <c r="AB498" s="142" t="str">
        <f t="shared" si="302"/>
        <v>{progress,0,50025,3}</v>
      </c>
      <c r="AC498" s="142" t="str">
        <f t="shared" si="303"/>
        <v>{progress,50,50002,5}</v>
      </c>
      <c r="AD498" s="142" t="str">
        <f t="shared" si="304"/>
        <v>{progress_rate_roll,100,5000,11,1}</v>
      </c>
      <c r="AF498" s="142" t="str">
        <f t="shared" si="305"/>
        <v>{progress,50,5203001,5}</v>
      </c>
      <c r="AG498" s="142" t="str">
        <f t="shared" si="306"/>
        <v>{progress,40,5303001,2}</v>
      </c>
      <c r="AH498" s="142" t="str">
        <f t="shared" si="307"/>
        <v>{progress,0,5401019,1}</v>
      </c>
      <c r="AI498" s="142"/>
      <c r="AJ498" s="142" t="str">
        <f t="shared" si="308"/>
        <v>{progress_rate_roll,100,1000,9,1}</v>
      </c>
      <c r="AN498" s="142" t="str">
        <f t="shared" si="309"/>
        <v>{progress,1,21363,1}</v>
      </c>
      <c r="AO498" s="142" t="str">
        <f t="shared" si="310"/>
        <v>{progress_rate_roll,100,5000,21363,1}</v>
      </c>
      <c r="AP498" s="142" t="str">
        <f t="shared" si="234"/>
        <v>[{progress_rate,2,186},{progress,0,2,464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98" s="142" t="str">
        <f t="shared" si="311"/>
        <v>[{progress_rate,2,186},{progress,0,2,464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98" s="142" t="str">
        <f t="shared" si="235"/>
        <v>[{progress_rate,2,186},{progress,0,2,464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98" s="142" t="str">
        <f t="shared" si="312"/>
        <v>[{progress_rate,2,186},{progress,0,2,464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98" s="142" t="str">
        <f t="shared" si="313"/>
        <v>{progress_rate,2,600},{progress_rate,11,1}</v>
      </c>
      <c r="AV498" s="142" t="str">
        <f t="shared" si="314"/>
        <v>{progress_rate,2,600}</v>
      </c>
      <c r="AW498" s="142" t="s">
        <v>175</v>
      </c>
    </row>
    <row r="499" spans="1:49">
      <c r="A499" s="143" t="str">
        <f t="shared" si="223"/>
        <v>[{2,652},{5103001,40},{14,60},{11,0},{5401000,0},{5203001,0},{5303001,0}]</v>
      </c>
      <c r="B499" s="98">
        <v>187</v>
      </c>
      <c r="C499" s="126">
        <v>186</v>
      </c>
      <c r="D499" s="126">
        <v>466</v>
      </c>
      <c r="E499" s="145">
        <v>15</v>
      </c>
      <c r="F499" s="145">
        <v>25</v>
      </c>
      <c r="G499" s="98">
        <v>3</v>
      </c>
      <c r="H499" s="98">
        <v>5</v>
      </c>
      <c r="I499" s="98">
        <v>0.5</v>
      </c>
      <c r="J499" s="98">
        <v>0</v>
      </c>
      <c r="K499" s="98">
        <v>5</v>
      </c>
      <c r="L499" s="98">
        <v>2</v>
      </c>
      <c r="M499" s="98">
        <v>1</v>
      </c>
      <c r="N499" s="98"/>
      <c r="O499" s="98">
        <v>0.1</v>
      </c>
      <c r="P499" s="98">
        <f t="shared" si="224"/>
        <v>152.6</v>
      </c>
      <c r="Q499" s="147">
        <f t="shared" si="225"/>
        <v>7.63</v>
      </c>
      <c r="R499" s="149">
        <v>600</v>
      </c>
      <c r="S499" s="132">
        <f t="shared" si="274"/>
        <v>93</v>
      </c>
      <c r="T499" s="132">
        <f t="shared" si="316"/>
        <v>233</v>
      </c>
      <c r="V499" s="80">
        <v>21363</v>
      </c>
      <c r="W499" s="142">
        <f t="shared" si="315"/>
        <v>187</v>
      </c>
      <c r="X499" s="142" t="str">
        <f t="shared" si="298"/>
        <v>{progress_rate,2,186}</v>
      </c>
      <c r="Y499" s="142" t="str">
        <f t="shared" si="299"/>
        <v>{progress,0,2,466}</v>
      </c>
      <c r="Z499" s="142" t="str">
        <f t="shared" si="300"/>
        <v>{progress,0,5103001,15}</v>
      </c>
      <c r="AA499" s="142" t="str">
        <f t="shared" si="301"/>
        <v>{progress,40,5103003,25}</v>
      </c>
      <c r="AB499" s="142" t="str">
        <f t="shared" si="302"/>
        <v>{progress,0,50025,3}</v>
      </c>
      <c r="AC499" s="142" t="str">
        <f t="shared" si="303"/>
        <v>{progress,50,50002,5}</v>
      </c>
      <c r="AD499" s="142" t="str">
        <f t="shared" si="304"/>
        <v>{progress_rate_roll,100,5000,11,1}</v>
      </c>
      <c r="AF499" s="142" t="str">
        <f t="shared" si="305"/>
        <v>{progress,50,5203001,5}</v>
      </c>
      <c r="AG499" s="142" t="str">
        <f t="shared" si="306"/>
        <v>{progress,40,5303001,2}</v>
      </c>
      <c r="AH499" s="142" t="str">
        <f t="shared" si="307"/>
        <v>{progress,0,5401019,1}</v>
      </c>
      <c r="AI499" s="142"/>
      <c r="AJ499" s="142" t="str">
        <f t="shared" si="308"/>
        <v>{progress_rate_roll,100,1000,9,1}</v>
      </c>
      <c r="AN499" s="142" t="str">
        <f t="shared" si="309"/>
        <v>{progress,1,21363,1}</v>
      </c>
      <c r="AO499" s="142" t="str">
        <f t="shared" si="310"/>
        <v>{progress_rate_roll,100,5000,21363,1}</v>
      </c>
      <c r="AP499" s="142" t="str">
        <f t="shared" si="234"/>
        <v>[{progress_rate,2,186},{progress,0,2,466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99" s="142" t="str">
        <f t="shared" si="311"/>
        <v>[{progress_rate,2,186},{progress,0,2,466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99" s="142" t="str">
        <f t="shared" si="235"/>
        <v>[{progress_rate,2,186},{progress,0,2,466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99" s="142" t="str">
        <f t="shared" si="312"/>
        <v>[{progress_rate,2,186},{progress,0,2,466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99" s="142" t="str">
        <f t="shared" si="313"/>
        <v>{progress_rate,2,600},{progress_rate,11,1}</v>
      </c>
      <c r="AV499" s="142" t="str">
        <f t="shared" si="314"/>
        <v>{progress_rate,2,600}</v>
      </c>
      <c r="AW499" s="142" t="s">
        <v>175</v>
      </c>
    </row>
    <row r="500" spans="1:49">
      <c r="A500" s="143" t="str">
        <f t="shared" si="223"/>
        <v>[{2,654},{5103001,40},{14,60},{11,0},{5401000,0},{5203001,0},{5303001,0}]</v>
      </c>
      <c r="B500" s="98">
        <v>188</v>
      </c>
      <c r="C500" s="126">
        <v>188</v>
      </c>
      <c r="D500" s="126">
        <v>466</v>
      </c>
      <c r="E500" s="145">
        <v>15</v>
      </c>
      <c r="F500" s="145">
        <v>25</v>
      </c>
      <c r="G500" s="98">
        <v>3</v>
      </c>
      <c r="H500" s="98">
        <v>5</v>
      </c>
      <c r="I500" s="98">
        <v>0.5</v>
      </c>
      <c r="J500" s="98">
        <v>0</v>
      </c>
      <c r="K500" s="98">
        <v>5</v>
      </c>
      <c r="L500" s="98">
        <v>2</v>
      </c>
      <c r="M500" s="98">
        <v>1</v>
      </c>
      <c r="N500" s="98"/>
      <c r="O500" s="98">
        <v>0.1</v>
      </c>
      <c r="P500" s="98">
        <f t="shared" si="224"/>
        <v>152.7</v>
      </c>
      <c r="Q500" s="147">
        <f t="shared" si="225"/>
        <v>7.635</v>
      </c>
      <c r="R500" s="149">
        <v>600</v>
      </c>
      <c r="S500" s="132">
        <f t="shared" si="274"/>
        <v>94</v>
      </c>
      <c r="T500" s="132">
        <f t="shared" si="316"/>
        <v>233</v>
      </c>
      <c r="V500" s="80">
        <v>21363</v>
      </c>
      <c r="W500" s="142">
        <f t="shared" si="315"/>
        <v>188</v>
      </c>
      <c r="X500" s="142" t="str">
        <f t="shared" si="298"/>
        <v>{progress_rate,2,188}</v>
      </c>
      <c r="Y500" s="142" t="str">
        <f t="shared" si="299"/>
        <v>{progress,0,2,466}</v>
      </c>
      <c r="Z500" s="142" t="str">
        <f t="shared" si="300"/>
        <v>{progress,0,5103001,15}</v>
      </c>
      <c r="AA500" s="142" t="str">
        <f t="shared" si="301"/>
        <v>{progress,40,5103003,25}</v>
      </c>
      <c r="AB500" s="142" t="str">
        <f t="shared" si="302"/>
        <v>{progress,0,50025,3}</v>
      </c>
      <c r="AC500" s="142" t="str">
        <f t="shared" si="303"/>
        <v>{progress,50,50002,5}</v>
      </c>
      <c r="AD500" s="142" t="str">
        <f t="shared" si="304"/>
        <v>{progress_rate_roll,100,5000,11,1}</v>
      </c>
      <c r="AF500" s="142" t="str">
        <f t="shared" si="305"/>
        <v>{progress,50,5203001,5}</v>
      </c>
      <c r="AG500" s="142" t="str">
        <f t="shared" si="306"/>
        <v>{progress,40,5303001,2}</v>
      </c>
      <c r="AH500" s="142" t="str">
        <f t="shared" si="307"/>
        <v>{progress,0,5401019,1}</v>
      </c>
      <c r="AI500" s="142"/>
      <c r="AJ500" s="142" t="str">
        <f t="shared" si="308"/>
        <v>{progress_rate_roll,100,1000,9,1}</v>
      </c>
      <c r="AN500" s="142" t="str">
        <f t="shared" si="309"/>
        <v>{progress,1,21363,1}</v>
      </c>
      <c r="AO500" s="142" t="str">
        <f t="shared" si="310"/>
        <v>{progress_rate_roll,100,5000,21363,1}</v>
      </c>
      <c r="AP500" s="142" t="str">
        <f t="shared" si="234"/>
        <v>[{progress_rate,2,188},{progress,0,2,466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00" s="142" t="str">
        <f t="shared" si="311"/>
        <v>[{progress_rate,2,188},{progress,0,2,466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00" s="142" t="str">
        <f t="shared" si="235"/>
        <v>[{progress_rate,2,188},{progress,0,2,466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00" s="142" t="str">
        <f t="shared" si="312"/>
        <v>[{progress_rate,2,188},{progress,0,2,466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00" s="142" t="str">
        <f t="shared" si="313"/>
        <v>{progress_rate,2,600},{progress_rate,11,1}</v>
      </c>
      <c r="AV500" s="142" t="str">
        <f t="shared" si="314"/>
        <v>{progress_rate,2,600}</v>
      </c>
      <c r="AW500" s="142" t="s">
        <v>175</v>
      </c>
    </row>
    <row r="501" spans="1:49">
      <c r="A501" s="143" t="str">
        <f t="shared" si="223"/>
        <v>[{2,656},{5103001,40},{14,60},{11,0},{5401000,0},{5203001,0},{5303001,0}]</v>
      </c>
      <c r="B501" s="98">
        <v>189</v>
      </c>
      <c r="C501" s="126">
        <v>188</v>
      </c>
      <c r="D501" s="126">
        <v>468</v>
      </c>
      <c r="E501" s="145">
        <v>15</v>
      </c>
      <c r="F501" s="145">
        <v>25</v>
      </c>
      <c r="G501" s="98">
        <v>3</v>
      </c>
      <c r="H501" s="98">
        <v>5</v>
      </c>
      <c r="I501" s="98">
        <v>0.5</v>
      </c>
      <c r="J501" s="98">
        <v>0</v>
      </c>
      <c r="K501" s="98">
        <v>5</v>
      </c>
      <c r="L501" s="98">
        <v>2</v>
      </c>
      <c r="M501" s="98">
        <v>1</v>
      </c>
      <c r="N501" s="98"/>
      <c r="O501" s="98">
        <v>0.1</v>
      </c>
      <c r="P501" s="98">
        <f t="shared" si="224"/>
        <v>152.8</v>
      </c>
      <c r="Q501" s="147">
        <f t="shared" si="225"/>
        <v>7.64</v>
      </c>
      <c r="R501" s="149">
        <v>600</v>
      </c>
      <c r="S501" s="132">
        <f t="shared" si="274"/>
        <v>94</v>
      </c>
      <c r="T501" s="132">
        <f t="shared" si="316"/>
        <v>234</v>
      </c>
      <c r="V501" s="80">
        <v>21363</v>
      </c>
      <c r="W501" s="142">
        <f t="shared" si="315"/>
        <v>189</v>
      </c>
      <c r="X501" s="142" t="str">
        <f t="shared" si="298"/>
        <v>{progress_rate,2,188}</v>
      </c>
      <c r="Y501" s="142" t="str">
        <f t="shared" si="299"/>
        <v>{progress,0,2,468}</v>
      </c>
      <c r="Z501" s="142" t="str">
        <f t="shared" si="300"/>
        <v>{progress,0,5103001,15}</v>
      </c>
      <c r="AA501" s="142" t="str">
        <f t="shared" si="301"/>
        <v>{progress,40,5103003,25}</v>
      </c>
      <c r="AB501" s="142" t="str">
        <f t="shared" si="302"/>
        <v>{progress,0,50025,3}</v>
      </c>
      <c r="AC501" s="142" t="str">
        <f t="shared" si="303"/>
        <v>{progress,50,50002,5}</v>
      </c>
      <c r="AD501" s="142" t="str">
        <f t="shared" si="304"/>
        <v>{progress_rate_roll,100,5000,11,1}</v>
      </c>
      <c r="AF501" s="142" t="str">
        <f t="shared" si="305"/>
        <v>{progress,50,5203001,5}</v>
      </c>
      <c r="AG501" s="142" t="str">
        <f t="shared" si="306"/>
        <v>{progress,40,5303001,2}</v>
      </c>
      <c r="AH501" s="142" t="str">
        <f t="shared" si="307"/>
        <v>{progress,0,5401019,1}</v>
      </c>
      <c r="AI501" s="142"/>
      <c r="AJ501" s="142" t="str">
        <f t="shared" si="308"/>
        <v>{progress_rate_roll,100,1000,9,1}</v>
      </c>
      <c r="AN501" s="142" t="str">
        <f t="shared" si="309"/>
        <v>{progress,1,21363,1}</v>
      </c>
      <c r="AO501" s="142" t="str">
        <f t="shared" si="310"/>
        <v>{progress_rate_roll,100,5000,21363,1}</v>
      </c>
      <c r="AP501" s="142" t="str">
        <f t="shared" si="234"/>
        <v>[{progress_rate,2,188},{progress,0,2,468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01" s="142" t="str">
        <f t="shared" si="311"/>
        <v>[{progress_rate,2,188},{progress,0,2,468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01" s="142" t="str">
        <f t="shared" si="235"/>
        <v>[{progress_rate,2,188},{progress,0,2,468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01" s="142" t="str">
        <f t="shared" si="312"/>
        <v>[{progress_rate,2,188},{progress,0,2,468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01" s="142" t="str">
        <f t="shared" si="313"/>
        <v>{progress_rate,2,600},{progress_rate,11,1}</v>
      </c>
      <c r="AV501" s="142" t="str">
        <f t="shared" si="314"/>
        <v>{progress_rate,2,600}</v>
      </c>
      <c r="AW501" s="142" t="s">
        <v>175</v>
      </c>
    </row>
    <row r="502" spans="1:49">
      <c r="A502" s="143" t="str">
        <f t="shared" si="223"/>
        <v>[{2,658},{5103001,40},{14,60},{11,0},{5401000,0},{5203001,0},{5303001,0}]</v>
      </c>
      <c r="B502" s="98">
        <v>190</v>
      </c>
      <c r="C502" s="126">
        <v>188</v>
      </c>
      <c r="D502" s="126">
        <v>470</v>
      </c>
      <c r="E502" s="145">
        <v>15</v>
      </c>
      <c r="F502" s="145">
        <v>25</v>
      </c>
      <c r="G502" s="98">
        <v>3</v>
      </c>
      <c r="H502" s="98">
        <v>5</v>
      </c>
      <c r="I502" s="98">
        <v>0.5</v>
      </c>
      <c r="J502" s="98">
        <v>0</v>
      </c>
      <c r="K502" s="98">
        <v>5</v>
      </c>
      <c r="L502" s="98">
        <v>2</v>
      </c>
      <c r="M502" s="98">
        <v>1</v>
      </c>
      <c r="N502" s="98"/>
      <c r="O502" s="98">
        <v>0.1</v>
      </c>
      <c r="P502" s="98">
        <f t="shared" si="224"/>
        <v>152.9</v>
      </c>
      <c r="Q502" s="147">
        <f t="shared" si="225"/>
        <v>7.645</v>
      </c>
      <c r="R502" s="149">
        <v>600</v>
      </c>
      <c r="S502" s="132">
        <f t="shared" si="274"/>
        <v>94</v>
      </c>
      <c r="T502" s="132">
        <f t="shared" si="316"/>
        <v>235</v>
      </c>
      <c r="V502" s="80">
        <v>21363</v>
      </c>
      <c r="W502" s="142">
        <f t="shared" si="315"/>
        <v>190</v>
      </c>
      <c r="X502" s="142" t="str">
        <f t="shared" si="298"/>
        <v>{progress_rate,2,188}</v>
      </c>
      <c r="Y502" s="142" t="str">
        <f t="shared" si="299"/>
        <v>{progress,0,2,470}</v>
      </c>
      <c r="Z502" s="142" t="str">
        <f t="shared" si="300"/>
        <v>{progress,0,5103001,15}</v>
      </c>
      <c r="AA502" s="142" t="str">
        <f t="shared" si="301"/>
        <v>{progress,40,5103003,25}</v>
      </c>
      <c r="AB502" s="142" t="str">
        <f t="shared" si="302"/>
        <v>{progress,0,50025,3}</v>
      </c>
      <c r="AC502" s="142" t="str">
        <f t="shared" si="303"/>
        <v>{progress,50,50002,5}</v>
      </c>
      <c r="AD502" s="142" t="str">
        <f t="shared" si="304"/>
        <v>{progress_rate_roll,100,5000,11,1}</v>
      </c>
      <c r="AF502" s="142" t="str">
        <f t="shared" si="305"/>
        <v>{progress,50,5203001,5}</v>
      </c>
      <c r="AG502" s="142" t="str">
        <f t="shared" si="306"/>
        <v>{progress,40,5303001,2}</v>
      </c>
      <c r="AH502" s="142" t="str">
        <f t="shared" si="307"/>
        <v>{progress,0,5401019,1}</v>
      </c>
      <c r="AI502" s="142"/>
      <c r="AJ502" s="142" t="str">
        <f t="shared" si="308"/>
        <v>{progress_rate_roll,100,1000,9,1}</v>
      </c>
      <c r="AN502" s="142" t="str">
        <f t="shared" si="309"/>
        <v>{progress,1,21363,1}</v>
      </c>
      <c r="AO502" s="142" t="str">
        <f t="shared" si="310"/>
        <v>{progress_rate_roll,100,5000,21363,1}</v>
      </c>
      <c r="AP502" s="142" t="str">
        <f t="shared" si="234"/>
        <v>[{progress_rate,2,188},{progress,0,2,470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02" s="142" t="str">
        <f t="shared" si="311"/>
        <v>[{progress_rate,2,188},{progress,0,2,470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02" s="142" t="str">
        <f t="shared" si="235"/>
        <v>[{progress_rate,2,188},{progress,0,2,470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02" s="142" t="str">
        <f t="shared" si="312"/>
        <v>[{progress_rate,2,188},{progress,0,2,470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02" s="142" t="str">
        <f t="shared" si="313"/>
        <v>{progress_rate,2,600},{progress_rate,11,1}</v>
      </c>
      <c r="AV502" s="142" t="str">
        <f t="shared" si="314"/>
        <v>{progress_rate,2,600}</v>
      </c>
      <c r="AW502" s="142" t="s">
        <v>175</v>
      </c>
    </row>
    <row r="503" spans="1:49">
      <c r="A503" s="143" t="str">
        <f t="shared" si="223"/>
        <v>[{2,660},{5103001,40},{14,60},{11,0},{5401000,0},{5203001,0},{5303001,0}]</v>
      </c>
      <c r="B503" s="98">
        <v>191</v>
      </c>
      <c r="C503" s="126">
        <v>190</v>
      </c>
      <c r="D503" s="126">
        <v>470</v>
      </c>
      <c r="E503" s="145">
        <v>15</v>
      </c>
      <c r="F503" s="145">
        <v>25</v>
      </c>
      <c r="G503" s="98">
        <v>3</v>
      </c>
      <c r="H503" s="98">
        <v>5</v>
      </c>
      <c r="I503" s="98">
        <v>0.5</v>
      </c>
      <c r="J503" s="98">
        <v>0</v>
      </c>
      <c r="K503" s="98">
        <v>5</v>
      </c>
      <c r="L503" s="98">
        <v>2</v>
      </c>
      <c r="M503" s="98">
        <v>1</v>
      </c>
      <c r="N503" s="98"/>
      <c r="O503" s="98">
        <v>0.1</v>
      </c>
      <c r="P503" s="98">
        <f t="shared" si="224"/>
        <v>153</v>
      </c>
      <c r="Q503" s="147">
        <f t="shared" si="225"/>
        <v>7.65</v>
      </c>
      <c r="R503" s="149">
        <v>600</v>
      </c>
      <c r="S503" s="132">
        <f t="shared" si="274"/>
        <v>95</v>
      </c>
      <c r="T503" s="132">
        <f t="shared" si="316"/>
        <v>235</v>
      </c>
      <c r="V503" s="80">
        <v>21363</v>
      </c>
      <c r="W503" s="142">
        <f t="shared" si="315"/>
        <v>191</v>
      </c>
      <c r="X503" s="142" t="str">
        <f t="shared" si="298"/>
        <v>{progress_rate,2,190}</v>
      </c>
      <c r="Y503" s="142" t="str">
        <f t="shared" si="299"/>
        <v>{progress,0,2,470}</v>
      </c>
      <c r="Z503" s="142" t="str">
        <f t="shared" si="300"/>
        <v>{progress,0,5103001,15}</v>
      </c>
      <c r="AA503" s="142" t="str">
        <f t="shared" si="301"/>
        <v>{progress,40,5103003,25}</v>
      </c>
      <c r="AB503" s="142" t="str">
        <f t="shared" si="302"/>
        <v>{progress,0,50025,3}</v>
      </c>
      <c r="AC503" s="142" t="str">
        <f t="shared" si="303"/>
        <v>{progress,50,50002,5}</v>
      </c>
      <c r="AD503" s="142" t="str">
        <f t="shared" si="304"/>
        <v>{progress_rate_roll,100,5000,11,1}</v>
      </c>
      <c r="AF503" s="142" t="str">
        <f t="shared" si="305"/>
        <v>{progress,50,5203001,5}</v>
      </c>
      <c r="AG503" s="142" t="str">
        <f t="shared" si="306"/>
        <v>{progress,40,5303001,2}</v>
      </c>
      <c r="AH503" s="142" t="str">
        <f t="shared" si="307"/>
        <v>{progress,0,5401019,1}</v>
      </c>
      <c r="AI503" s="142"/>
      <c r="AJ503" s="142" t="str">
        <f t="shared" si="308"/>
        <v>{progress_rate_roll,100,1000,9,1}</v>
      </c>
      <c r="AN503" s="142" t="str">
        <f t="shared" si="309"/>
        <v>{progress,1,21363,1}</v>
      </c>
      <c r="AO503" s="142" t="str">
        <f t="shared" si="310"/>
        <v>{progress_rate_roll,100,5000,21363,1}</v>
      </c>
      <c r="AP503" s="142" t="str">
        <f t="shared" si="234"/>
        <v>[{progress_rate,2,190},{progress,0,2,470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03" s="142" t="str">
        <f t="shared" si="311"/>
        <v>[{progress_rate,2,190},{progress,0,2,470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03" s="142" t="str">
        <f t="shared" si="235"/>
        <v>[{progress_rate,2,190},{progress,0,2,470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03" s="142" t="str">
        <f t="shared" si="312"/>
        <v>[{progress_rate,2,190},{progress,0,2,470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03" s="142" t="str">
        <f t="shared" si="313"/>
        <v>{progress_rate,2,600},{progress_rate,11,1}</v>
      </c>
      <c r="AV503" s="142" t="str">
        <f t="shared" si="314"/>
        <v>{progress_rate,2,600}</v>
      </c>
      <c r="AW503" s="142" t="s">
        <v>175</v>
      </c>
    </row>
    <row r="504" spans="1:49">
      <c r="A504" s="143" t="str">
        <f t="shared" si="223"/>
        <v>[{2,662},{5103001,40},{14,60},{11,0},{5401000,0},{5203001,0},{5303001,0}]</v>
      </c>
      <c r="B504" s="98">
        <v>192</v>
      </c>
      <c r="C504" s="126">
        <v>190</v>
      </c>
      <c r="D504" s="126">
        <v>472</v>
      </c>
      <c r="E504" s="145">
        <v>15</v>
      </c>
      <c r="F504" s="145">
        <v>25</v>
      </c>
      <c r="G504" s="98">
        <v>3</v>
      </c>
      <c r="H504" s="98">
        <v>5</v>
      </c>
      <c r="I504" s="98">
        <v>0.5</v>
      </c>
      <c r="J504" s="98">
        <v>0</v>
      </c>
      <c r="K504" s="98">
        <v>5</v>
      </c>
      <c r="L504" s="98">
        <v>2</v>
      </c>
      <c r="M504" s="98">
        <v>1</v>
      </c>
      <c r="N504" s="98"/>
      <c r="O504" s="98">
        <v>0.1</v>
      </c>
      <c r="P504" s="98">
        <f t="shared" si="224"/>
        <v>153.1</v>
      </c>
      <c r="Q504" s="147">
        <f t="shared" si="225"/>
        <v>7.655</v>
      </c>
      <c r="R504" s="149">
        <v>600</v>
      </c>
      <c r="S504" s="132">
        <f t="shared" si="274"/>
        <v>95</v>
      </c>
      <c r="T504" s="132">
        <f t="shared" si="316"/>
        <v>236</v>
      </c>
      <c r="V504" s="80">
        <v>21363</v>
      </c>
      <c r="W504" s="142">
        <f t="shared" si="315"/>
        <v>192</v>
      </c>
      <c r="X504" s="142" t="str">
        <f t="shared" si="298"/>
        <v>{progress_rate,2,190}</v>
      </c>
      <c r="Y504" s="142" t="str">
        <f t="shared" si="299"/>
        <v>{progress,0,2,472}</v>
      </c>
      <c r="Z504" s="142" t="str">
        <f t="shared" si="300"/>
        <v>{progress,0,5103001,15}</v>
      </c>
      <c r="AA504" s="142" t="str">
        <f t="shared" si="301"/>
        <v>{progress,40,5103003,25}</v>
      </c>
      <c r="AB504" s="142" t="str">
        <f t="shared" si="302"/>
        <v>{progress,0,50025,3}</v>
      </c>
      <c r="AC504" s="142" t="str">
        <f t="shared" si="303"/>
        <v>{progress,50,50002,5}</v>
      </c>
      <c r="AD504" s="142" t="str">
        <f t="shared" si="304"/>
        <v>{progress_rate_roll,100,5000,11,1}</v>
      </c>
      <c r="AF504" s="142" t="str">
        <f t="shared" si="305"/>
        <v>{progress,50,5203001,5}</v>
      </c>
      <c r="AG504" s="142" t="str">
        <f t="shared" si="306"/>
        <v>{progress,40,5303001,2}</v>
      </c>
      <c r="AH504" s="142" t="str">
        <f t="shared" si="307"/>
        <v>{progress,0,5401019,1}</v>
      </c>
      <c r="AI504" s="142"/>
      <c r="AJ504" s="142" t="str">
        <f t="shared" si="308"/>
        <v>{progress_rate_roll,100,1000,9,1}</v>
      </c>
      <c r="AN504" s="142" t="str">
        <f t="shared" si="309"/>
        <v>{progress,1,21363,1}</v>
      </c>
      <c r="AO504" s="142" t="str">
        <f t="shared" si="310"/>
        <v>{progress_rate_roll,100,5000,21363,1}</v>
      </c>
      <c r="AP504" s="142" t="str">
        <f t="shared" si="234"/>
        <v>[{progress_rate,2,190},{progress,0,2,472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04" s="142" t="str">
        <f t="shared" si="311"/>
        <v>[{progress_rate,2,190},{progress,0,2,472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04" s="142" t="str">
        <f t="shared" si="235"/>
        <v>[{progress_rate,2,190},{progress,0,2,472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04" s="142" t="str">
        <f t="shared" si="312"/>
        <v>[{progress_rate,2,190},{progress,0,2,472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04" s="142" t="str">
        <f t="shared" si="313"/>
        <v>{progress_rate,2,600},{progress_rate,11,1}</v>
      </c>
      <c r="AV504" s="142" t="str">
        <f t="shared" si="314"/>
        <v>{progress_rate,2,600}</v>
      </c>
      <c r="AW504" s="142" t="s">
        <v>175</v>
      </c>
    </row>
    <row r="505" spans="1:49">
      <c r="A505" s="143" t="str">
        <f t="shared" ref="A505:A568" si="317">"[{2,"&amp;C505+D505&amp;"},{5103001,"&amp;E505+F505&amp;"},{14,60},{11,0}"&amp;IF(M505&gt;0,",{5401000,0}","")&amp;IF(K505&gt;0,",{5203001,0}","")&amp;IF(L505&gt;0,",{5303001,0}","")&amp;"]"</f>
        <v>[{2,664},{5103001,40},{14,60},{11,0},{5401000,0},{5203001,0},{5303001,0}]</v>
      </c>
      <c r="B505" s="98">
        <v>193</v>
      </c>
      <c r="C505" s="126">
        <v>190</v>
      </c>
      <c r="D505" s="126">
        <v>474</v>
      </c>
      <c r="E505" s="145">
        <v>15</v>
      </c>
      <c r="F505" s="145">
        <v>25</v>
      </c>
      <c r="G505" s="98">
        <v>3</v>
      </c>
      <c r="H505" s="98">
        <v>5</v>
      </c>
      <c r="I505" s="98">
        <v>0.5</v>
      </c>
      <c r="J505" s="98">
        <v>0</v>
      </c>
      <c r="K505" s="98">
        <v>5</v>
      </c>
      <c r="L505" s="98">
        <v>2</v>
      </c>
      <c r="M505" s="98">
        <v>1</v>
      </c>
      <c r="N505" s="98"/>
      <c r="O505" s="98">
        <v>0.1</v>
      </c>
      <c r="P505" s="98">
        <f t="shared" ref="P505:P568" si="318">SUMPRODUCT(C505:N505,$C$309:$N$309)</f>
        <v>153.2</v>
      </c>
      <c r="Q505" s="147">
        <f t="shared" ref="Q505:Q568" si="319">P505/20</f>
        <v>7.66</v>
      </c>
      <c r="R505" s="149">
        <v>600</v>
      </c>
      <c r="S505" s="132">
        <f t="shared" ref="S505:S568" si="320">C505/2</f>
        <v>95</v>
      </c>
      <c r="T505" s="132">
        <f t="shared" si="316"/>
        <v>237</v>
      </c>
      <c r="V505" s="80">
        <v>21363</v>
      </c>
      <c r="W505" s="142">
        <f t="shared" si="315"/>
        <v>193</v>
      </c>
      <c r="X505" s="142" t="str">
        <f t="shared" si="298"/>
        <v>{progress_rate,2,190}</v>
      </c>
      <c r="Y505" s="142" t="str">
        <f t="shared" si="299"/>
        <v>{progress,0,2,474}</v>
      </c>
      <c r="Z505" s="142" t="str">
        <f t="shared" si="300"/>
        <v>{progress,0,5103001,15}</v>
      </c>
      <c r="AA505" s="142" t="str">
        <f t="shared" si="301"/>
        <v>{progress,40,5103003,25}</v>
      </c>
      <c r="AB505" s="142" t="str">
        <f t="shared" si="302"/>
        <v>{progress,0,50025,3}</v>
      </c>
      <c r="AC505" s="142" t="str">
        <f t="shared" si="303"/>
        <v>{progress,50,50002,5}</v>
      </c>
      <c r="AD505" s="142" t="str">
        <f t="shared" si="304"/>
        <v>{progress_rate_roll,100,5000,11,1}</v>
      </c>
      <c r="AF505" s="142" t="str">
        <f t="shared" si="305"/>
        <v>{progress,50,5203001,5}</v>
      </c>
      <c r="AG505" s="142" t="str">
        <f t="shared" si="306"/>
        <v>{progress,40,5303001,2}</v>
      </c>
      <c r="AH505" s="142" t="str">
        <f t="shared" si="307"/>
        <v>{progress,0,5401019,1}</v>
      </c>
      <c r="AI505" s="142"/>
      <c r="AJ505" s="142" t="str">
        <f t="shared" si="308"/>
        <v>{progress_rate_roll,100,1000,9,1}</v>
      </c>
      <c r="AN505" s="142" t="str">
        <f t="shared" si="309"/>
        <v>{progress,1,21363,1}</v>
      </c>
      <c r="AO505" s="142" t="str">
        <f t="shared" si="310"/>
        <v>{progress_rate_roll,100,5000,21363,1}</v>
      </c>
      <c r="AP505" s="142" t="str">
        <f t="shared" si="234"/>
        <v>[{progress_rate,2,190},{progress,0,2,474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05" s="142" t="str">
        <f t="shared" si="311"/>
        <v>[{progress_rate,2,190},{progress,0,2,474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05" s="142" t="str">
        <f t="shared" si="235"/>
        <v>[{progress_rate,2,190},{progress,0,2,474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05" s="142" t="str">
        <f t="shared" si="312"/>
        <v>[{progress_rate,2,190},{progress,0,2,474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05" s="142" t="str">
        <f t="shared" si="313"/>
        <v>{progress_rate,2,600},{progress_rate,11,1}</v>
      </c>
      <c r="AV505" s="142" t="str">
        <f t="shared" si="314"/>
        <v>{progress_rate,2,600}</v>
      </c>
      <c r="AW505" s="142" t="s">
        <v>175</v>
      </c>
    </row>
    <row r="506" spans="1:49">
      <c r="A506" s="143" t="str">
        <f t="shared" si="317"/>
        <v>[{2,666},{5103001,40},{14,60},{11,0},{5401000,0},{5203001,0},{5303001,0}]</v>
      </c>
      <c r="B506" s="98">
        <v>194</v>
      </c>
      <c r="C506" s="126">
        <v>190</v>
      </c>
      <c r="D506" s="126">
        <v>476</v>
      </c>
      <c r="E506" s="145">
        <v>15</v>
      </c>
      <c r="F506" s="145">
        <v>25</v>
      </c>
      <c r="G506" s="98">
        <v>3</v>
      </c>
      <c r="H506" s="98">
        <v>5</v>
      </c>
      <c r="I506" s="98">
        <v>0.5</v>
      </c>
      <c r="J506" s="98">
        <v>0</v>
      </c>
      <c r="K506" s="98">
        <v>5</v>
      </c>
      <c r="L506" s="98">
        <v>2</v>
      </c>
      <c r="M506" s="98">
        <v>1</v>
      </c>
      <c r="N506" s="98"/>
      <c r="O506" s="98">
        <v>0.1</v>
      </c>
      <c r="P506" s="98">
        <f t="shared" si="318"/>
        <v>153.3</v>
      </c>
      <c r="Q506" s="147">
        <f t="shared" si="319"/>
        <v>7.665</v>
      </c>
      <c r="R506" s="149">
        <v>600</v>
      </c>
      <c r="S506" s="132">
        <f t="shared" si="320"/>
        <v>95</v>
      </c>
      <c r="T506" s="132">
        <f t="shared" si="316"/>
        <v>238</v>
      </c>
      <c r="V506" s="80">
        <v>21363</v>
      </c>
      <c r="W506" s="142">
        <f t="shared" si="315"/>
        <v>194</v>
      </c>
      <c r="X506" s="142" t="str">
        <f t="shared" si="298"/>
        <v>{progress_rate,2,190}</v>
      </c>
      <c r="Y506" s="142" t="str">
        <f t="shared" si="299"/>
        <v>{progress,0,2,476}</v>
      </c>
      <c r="Z506" s="142" t="str">
        <f t="shared" si="300"/>
        <v>{progress,0,5103001,15}</v>
      </c>
      <c r="AA506" s="142" t="str">
        <f t="shared" si="301"/>
        <v>{progress,40,5103003,25}</v>
      </c>
      <c r="AB506" s="142" t="str">
        <f t="shared" si="302"/>
        <v>{progress,0,50025,3}</v>
      </c>
      <c r="AC506" s="142" t="str">
        <f t="shared" si="303"/>
        <v>{progress,50,50002,5}</v>
      </c>
      <c r="AD506" s="142" t="str">
        <f t="shared" si="304"/>
        <v>{progress_rate_roll,100,5000,11,1}</v>
      </c>
      <c r="AF506" s="142" t="str">
        <f t="shared" si="305"/>
        <v>{progress,50,5203001,5}</v>
      </c>
      <c r="AG506" s="142" t="str">
        <f t="shared" si="306"/>
        <v>{progress,40,5303001,2}</v>
      </c>
      <c r="AH506" s="142" t="str">
        <f t="shared" si="307"/>
        <v>{progress,0,5401019,1}</v>
      </c>
      <c r="AI506" s="142"/>
      <c r="AJ506" s="142" t="str">
        <f t="shared" si="308"/>
        <v>{progress_rate_roll,100,1000,9,1}</v>
      </c>
      <c r="AN506" s="142" t="str">
        <f t="shared" si="309"/>
        <v>{progress,1,21363,1}</v>
      </c>
      <c r="AO506" s="142" t="str">
        <f t="shared" si="310"/>
        <v>{progress_rate_roll,100,5000,21363,1}</v>
      </c>
      <c r="AP506" s="142" t="str">
        <f t="shared" ref="AP506:AP569" si="321">"["&amp;_xlfn.TEXTJOIN(",",1,X506:AO506)&amp;"]"</f>
        <v>[{progress_rate,2,190},{progress,0,2,476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06" s="142" t="str">
        <f t="shared" si="311"/>
        <v>[{progress_rate,2,190},{progress,0,2,476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06" s="142" t="str">
        <f t="shared" ref="AR506:AR569" si="322">SUBSTITUTE(AS506,",{progress_rate_roll,100,5000,11,1}","")</f>
        <v>[{progress_rate,2,190},{progress,0,2,476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06" s="142" t="str">
        <f t="shared" si="312"/>
        <v>[{progress_rate,2,190},{progress,0,2,476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06" s="142" t="str">
        <f t="shared" si="313"/>
        <v>{progress_rate,2,600},{progress_rate,11,1}</v>
      </c>
      <c r="AV506" s="142" t="str">
        <f t="shared" si="314"/>
        <v>{progress_rate,2,600}</v>
      </c>
      <c r="AW506" s="142" t="s">
        <v>175</v>
      </c>
    </row>
    <row r="507" spans="1:49">
      <c r="A507" s="143" t="str">
        <f t="shared" si="317"/>
        <v>[{2,668},{5103001,40},{14,60},{11,0},{5401000,0},{5203001,0},{5303001,0}]</v>
      </c>
      <c r="B507" s="98">
        <v>195</v>
      </c>
      <c r="C507" s="126">
        <v>192</v>
      </c>
      <c r="D507" s="126">
        <v>476</v>
      </c>
      <c r="E507" s="145">
        <v>15</v>
      </c>
      <c r="F507" s="145">
        <v>25</v>
      </c>
      <c r="G507" s="98">
        <v>3</v>
      </c>
      <c r="H507" s="98">
        <v>5</v>
      </c>
      <c r="I507" s="98">
        <v>0.5</v>
      </c>
      <c r="J507" s="98">
        <v>0</v>
      </c>
      <c r="K507" s="98">
        <v>5</v>
      </c>
      <c r="L507" s="98">
        <v>2</v>
      </c>
      <c r="M507" s="98">
        <v>1</v>
      </c>
      <c r="N507" s="98"/>
      <c r="O507" s="98">
        <v>0.1</v>
      </c>
      <c r="P507" s="98">
        <f t="shared" si="318"/>
        <v>153.4</v>
      </c>
      <c r="Q507" s="147">
        <f t="shared" si="319"/>
        <v>7.67</v>
      </c>
      <c r="R507" s="149">
        <v>600</v>
      </c>
      <c r="S507" s="132">
        <f t="shared" si="320"/>
        <v>96</v>
      </c>
      <c r="T507" s="132">
        <f t="shared" si="316"/>
        <v>238</v>
      </c>
      <c r="V507" s="80">
        <v>21363</v>
      </c>
      <c r="W507" s="142">
        <f t="shared" si="315"/>
        <v>195</v>
      </c>
      <c r="X507" s="142" t="str">
        <f t="shared" si="298"/>
        <v>{progress_rate,2,192}</v>
      </c>
      <c r="Y507" s="142" t="str">
        <f t="shared" si="299"/>
        <v>{progress,0,2,476}</v>
      </c>
      <c r="Z507" s="142" t="str">
        <f t="shared" si="300"/>
        <v>{progress,0,5103001,15}</v>
      </c>
      <c r="AA507" s="142" t="str">
        <f t="shared" si="301"/>
        <v>{progress,40,5103003,25}</v>
      </c>
      <c r="AB507" s="142" t="str">
        <f t="shared" si="302"/>
        <v>{progress,0,50025,3}</v>
      </c>
      <c r="AC507" s="142" t="str">
        <f t="shared" si="303"/>
        <v>{progress,50,50002,5}</v>
      </c>
      <c r="AD507" s="142" t="str">
        <f t="shared" si="304"/>
        <v>{progress_rate_roll,100,5000,11,1}</v>
      </c>
      <c r="AF507" s="142" t="str">
        <f t="shared" si="305"/>
        <v>{progress,50,5203001,5}</v>
      </c>
      <c r="AG507" s="142" t="str">
        <f t="shared" si="306"/>
        <v>{progress,40,5303001,2}</v>
      </c>
      <c r="AH507" s="142" t="str">
        <f t="shared" si="307"/>
        <v>{progress,0,5401019,1}</v>
      </c>
      <c r="AI507" s="142"/>
      <c r="AJ507" s="142" t="str">
        <f t="shared" si="308"/>
        <v>{progress_rate_roll,100,1000,9,1}</v>
      </c>
      <c r="AN507" s="142" t="str">
        <f t="shared" si="309"/>
        <v>{progress,1,21363,1}</v>
      </c>
      <c r="AO507" s="142" t="str">
        <f t="shared" si="310"/>
        <v>{progress_rate_roll,100,5000,21363,1}</v>
      </c>
      <c r="AP507" s="142" t="str">
        <f t="shared" si="321"/>
        <v>[{progress_rate,2,192},{progress,0,2,476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07" s="142" t="str">
        <f t="shared" si="311"/>
        <v>[{progress_rate,2,192},{progress,0,2,476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07" s="142" t="str">
        <f t="shared" si="322"/>
        <v>[{progress_rate,2,192},{progress,0,2,476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07" s="142" t="str">
        <f t="shared" si="312"/>
        <v>[{progress_rate,2,192},{progress,0,2,476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07" s="142" t="str">
        <f t="shared" si="313"/>
        <v>{progress_rate,2,600},{progress_rate,11,1}</v>
      </c>
      <c r="AV507" s="142" t="str">
        <f t="shared" si="314"/>
        <v>{progress_rate,2,600}</v>
      </c>
      <c r="AW507" s="142" t="s">
        <v>175</v>
      </c>
    </row>
    <row r="508" spans="1:49">
      <c r="A508" s="143" t="str">
        <f t="shared" si="317"/>
        <v>[{2,670},{5103001,40},{14,60},{11,0},{5401000,0},{5203001,0},{5303001,0}]</v>
      </c>
      <c r="B508" s="98">
        <v>196</v>
      </c>
      <c r="C508" s="126">
        <v>192</v>
      </c>
      <c r="D508" s="126">
        <v>478</v>
      </c>
      <c r="E508" s="145">
        <v>15</v>
      </c>
      <c r="F508" s="145">
        <v>25</v>
      </c>
      <c r="G508" s="98">
        <v>3</v>
      </c>
      <c r="H508" s="98">
        <v>5</v>
      </c>
      <c r="I508" s="98">
        <v>0.5</v>
      </c>
      <c r="J508" s="98">
        <v>0</v>
      </c>
      <c r="K508" s="98">
        <v>5</v>
      </c>
      <c r="L508" s="98">
        <v>2</v>
      </c>
      <c r="M508" s="98">
        <v>1</v>
      </c>
      <c r="N508" s="98"/>
      <c r="O508" s="98">
        <v>0.1</v>
      </c>
      <c r="P508" s="98">
        <f t="shared" si="318"/>
        <v>153.5</v>
      </c>
      <c r="Q508" s="147">
        <f t="shared" si="319"/>
        <v>7.675</v>
      </c>
      <c r="R508" s="149">
        <v>600</v>
      </c>
      <c r="S508" s="132">
        <f t="shared" si="320"/>
        <v>96</v>
      </c>
      <c r="T508" s="132">
        <f t="shared" si="316"/>
        <v>239</v>
      </c>
      <c r="V508" s="80">
        <v>21363</v>
      </c>
      <c r="W508" s="142">
        <f t="shared" si="315"/>
        <v>196</v>
      </c>
      <c r="X508" s="142" t="str">
        <f t="shared" si="298"/>
        <v>{progress_rate,2,192}</v>
      </c>
      <c r="Y508" s="142" t="str">
        <f t="shared" si="299"/>
        <v>{progress,0,2,478}</v>
      </c>
      <c r="Z508" s="142" t="str">
        <f t="shared" si="300"/>
        <v>{progress,0,5103001,15}</v>
      </c>
      <c r="AA508" s="142" t="str">
        <f t="shared" si="301"/>
        <v>{progress,40,5103003,25}</v>
      </c>
      <c r="AB508" s="142" t="str">
        <f t="shared" si="302"/>
        <v>{progress,0,50025,3}</v>
      </c>
      <c r="AC508" s="142" t="str">
        <f t="shared" si="303"/>
        <v>{progress,50,50002,5}</v>
      </c>
      <c r="AD508" s="142" t="str">
        <f t="shared" si="304"/>
        <v>{progress_rate_roll,100,5000,11,1}</v>
      </c>
      <c r="AF508" s="142" t="str">
        <f t="shared" si="305"/>
        <v>{progress,50,5203001,5}</v>
      </c>
      <c r="AG508" s="142" t="str">
        <f t="shared" si="306"/>
        <v>{progress,40,5303001,2}</v>
      </c>
      <c r="AH508" s="142" t="str">
        <f t="shared" si="307"/>
        <v>{progress,0,5401019,1}</v>
      </c>
      <c r="AI508" s="142"/>
      <c r="AJ508" s="142" t="str">
        <f t="shared" si="308"/>
        <v>{progress_rate_roll,100,1000,9,1}</v>
      </c>
      <c r="AN508" s="142" t="str">
        <f t="shared" si="309"/>
        <v>{progress,1,21363,1}</v>
      </c>
      <c r="AO508" s="142" t="str">
        <f t="shared" si="310"/>
        <v>{progress_rate_roll,100,5000,21363,1}</v>
      </c>
      <c r="AP508" s="142" t="str">
        <f t="shared" si="321"/>
        <v>[{progress_rate,2,192},{progress,0,2,478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08" s="142" t="str">
        <f t="shared" si="311"/>
        <v>[{progress_rate,2,192},{progress,0,2,478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08" s="142" t="str">
        <f t="shared" si="322"/>
        <v>[{progress_rate,2,192},{progress,0,2,478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08" s="142" t="str">
        <f t="shared" si="312"/>
        <v>[{progress_rate,2,192},{progress,0,2,478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08" s="142" t="str">
        <f t="shared" si="313"/>
        <v>{progress_rate,2,600},{progress_rate,11,1}</v>
      </c>
      <c r="AV508" s="142" t="str">
        <f t="shared" si="314"/>
        <v>{progress_rate,2,600}</v>
      </c>
      <c r="AW508" s="142" t="s">
        <v>175</v>
      </c>
    </row>
    <row r="509" spans="1:49">
      <c r="A509" s="143" t="str">
        <f t="shared" si="317"/>
        <v>[{2,672},{5103001,40},{14,60},{11,0},{5401000,0},{5203001,0},{5303001,0}]</v>
      </c>
      <c r="B509" s="98">
        <v>197</v>
      </c>
      <c r="C509" s="126">
        <v>192</v>
      </c>
      <c r="D509" s="126">
        <v>480</v>
      </c>
      <c r="E509" s="145">
        <v>15</v>
      </c>
      <c r="F509" s="145">
        <v>25</v>
      </c>
      <c r="G509" s="98">
        <v>3</v>
      </c>
      <c r="H509" s="98">
        <v>5</v>
      </c>
      <c r="I509" s="98">
        <v>0.5</v>
      </c>
      <c r="J509" s="98">
        <v>0</v>
      </c>
      <c r="K509" s="98">
        <v>5</v>
      </c>
      <c r="L509" s="98">
        <v>2</v>
      </c>
      <c r="M509" s="98">
        <v>1</v>
      </c>
      <c r="N509" s="98"/>
      <c r="O509" s="98">
        <v>0.1</v>
      </c>
      <c r="P509" s="98">
        <f t="shared" si="318"/>
        <v>153.6</v>
      </c>
      <c r="Q509" s="147">
        <f t="shared" si="319"/>
        <v>7.68</v>
      </c>
      <c r="R509" s="149">
        <v>600</v>
      </c>
      <c r="S509" s="132">
        <f t="shared" si="320"/>
        <v>96</v>
      </c>
      <c r="T509" s="132">
        <f t="shared" si="316"/>
        <v>240</v>
      </c>
      <c r="V509" s="80">
        <v>21363</v>
      </c>
      <c r="W509" s="142">
        <f t="shared" si="315"/>
        <v>197</v>
      </c>
      <c r="X509" s="142" t="str">
        <f t="shared" si="298"/>
        <v>{progress_rate,2,192}</v>
      </c>
      <c r="Y509" s="142" t="str">
        <f t="shared" si="299"/>
        <v>{progress,0,2,480}</v>
      </c>
      <c r="Z509" s="142" t="str">
        <f t="shared" si="300"/>
        <v>{progress,0,5103001,15}</v>
      </c>
      <c r="AA509" s="142" t="str">
        <f t="shared" si="301"/>
        <v>{progress,40,5103003,25}</v>
      </c>
      <c r="AB509" s="142" t="str">
        <f t="shared" si="302"/>
        <v>{progress,0,50025,3}</v>
      </c>
      <c r="AC509" s="142" t="str">
        <f t="shared" si="303"/>
        <v>{progress,50,50002,5}</v>
      </c>
      <c r="AD509" s="142" t="str">
        <f t="shared" si="304"/>
        <v>{progress_rate_roll,100,5000,11,1}</v>
      </c>
      <c r="AF509" s="142" t="str">
        <f t="shared" si="305"/>
        <v>{progress,50,5203001,5}</v>
      </c>
      <c r="AG509" s="142" t="str">
        <f t="shared" si="306"/>
        <v>{progress,40,5303001,2}</v>
      </c>
      <c r="AH509" s="142" t="str">
        <f t="shared" si="307"/>
        <v>{progress,0,5401019,1}</v>
      </c>
      <c r="AI509" s="142"/>
      <c r="AJ509" s="142" t="str">
        <f t="shared" si="308"/>
        <v>{progress_rate_roll,100,1000,9,1}</v>
      </c>
      <c r="AN509" s="142" t="str">
        <f t="shared" si="309"/>
        <v>{progress,1,21363,1}</v>
      </c>
      <c r="AO509" s="142" t="str">
        <f t="shared" si="310"/>
        <v>{progress_rate_roll,100,5000,21363,1}</v>
      </c>
      <c r="AP509" s="142" t="str">
        <f t="shared" si="321"/>
        <v>[{progress_rate,2,192},{progress,0,2,480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09" s="142" t="str">
        <f t="shared" si="311"/>
        <v>[{progress_rate,2,192},{progress,0,2,480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09" s="142" t="str">
        <f t="shared" si="322"/>
        <v>[{progress_rate,2,192},{progress,0,2,480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09" s="142" t="str">
        <f t="shared" si="312"/>
        <v>[{progress_rate,2,192},{progress,0,2,480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09" s="142" t="str">
        <f t="shared" si="313"/>
        <v>{progress_rate,2,600},{progress_rate,11,1}</v>
      </c>
      <c r="AV509" s="142" t="str">
        <f t="shared" si="314"/>
        <v>{progress_rate,2,600}</v>
      </c>
      <c r="AW509" s="142" t="s">
        <v>175</v>
      </c>
    </row>
    <row r="510" spans="1:49">
      <c r="A510" s="143" t="str">
        <f t="shared" si="317"/>
        <v>[{2,674},{5103001,40},{14,60},{11,0},{5401000,0},{5203001,0},{5303001,0}]</v>
      </c>
      <c r="B510" s="98">
        <v>198</v>
      </c>
      <c r="C510" s="126">
        <v>194</v>
      </c>
      <c r="D510" s="126">
        <v>480</v>
      </c>
      <c r="E510" s="145">
        <v>15</v>
      </c>
      <c r="F510" s="145">
        <v>25</v>
      </c>
      <c r="G510" s="98">
        <v>3</v>
      </c>
      <c r="H510" s="98">
        <v>5</v>
      </c>
      <c r="I510" s="98">
        <v>0.5</v>
      </c>
      <c r="J510" s="98">
        <v>0</v>
      </c>
      <c r="K510" s="98">
        <v>5</v>
      </c>
      <c r="L510" s="98">
        <v>2</v>
      </c>
      <c r="M510" s="98">
        <v>1</v>
      </c>
      <c r="N510" s="98"/>
      <c r="O510" s="98">
        <v>0.1</v>
      </c>
      <c r="P510" s="98">
        <f t="shared" si="318"/>
        <v>153.7</v>
      </c>
      <c r="Q510" s="147">
        <f t="shared" si="319"/>
        <v>7.685</v>
      </c>
      <c r="R510" s="149">
        <v>600</v>
      </c>
      <c r="S510" s="132">
        <f t="shared" si="320"/>
        <v>97</v>
      </c>
      <c r="T510" s="132">
        <f t="shared" si="316"/>
        <v>240</v>
      </c>
      <c r="V510" s="80">
        <v>21363</v>
      </c>
      <c r="W510" s="142">
        <f t="shared" si="315"/>
        <v>198</v>
      </c>
      <c r="X510" s="142" t="str">
        <f t="shared" si="298"/>
        <v>{progress_rate,2,194}</v>
      </c>
      <c r="Y510" s="142" t="str">
        <f t="shared" si="299"/>
        <v>{progress,0,2,480}</v>
      </c>
      <c r="Z510" s="142" t="str">
        <f t="shared" si="300"/>
        <v>{progress,0,5103001,15}</v>
      </c>
      <c r="AA510" s="142" t="str">
        <f t="shared" si="301"/>
        <v>{progress,40,5103003,25}</v>
      </c>
      <c r="AB510" s="142" t="str">
        <f t="shared" si="302"/>
        <v>{progress,0,50025,3}</v>
      </c>
      <c r="AC510" s="142" t="str">
        <f t="shared" si="303"/>
        <v>{progress,50,50002,5}</v>
      </c>
      <c r="AD510" s="142" t="str">
        <f t="shared" si="304"/>
        <v>{progress_rate_roll,100,5000,11,1}</v>
      </c>
      <c r="AF510" s="142" t="str">
        <f t="shared" si="305"/>
        <v>{progress,50,5203001,5}</v>
      </c>
      <c r="AG510" s="142" t="str">
        <f t="shared" si="306"/>
        <v>{progress,40,5303001,2}</v>
      </c>
      <c r="AH510" s="142" t="str">
        <f t="shared" si="307"/>
        <v>{progress,0,5401019,1}</v>
      </c>
      <c r="AI510" s="142"/>
      <c r="AJ510" s="142" t="str">
        <f t="shared" si="308"/>
        <v>{progress_rate_roll,100,1000,9,1}</v>
      </c>
      <c r="AN510" s="142" t="str">
        <f t="shared" si="309"/>
        <v>{progress,1,21363,1}</v>
      </c>
      <c r="AO510" s="142" t="str">
        <f t="shared" si="310"/>
        <v>{progress_rate_roll,100,5000,21363,1}</v>
      </c>
      <c r="AP510" s="142" t="str">
        <f t="shared" si="321"/>
        <v>[{progress_rate,2,194},{progress,0,2,480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10" s="142" t="str">
        <f t="shared" si="311"/>
        <v>[{progress_rate,2,194},{progress,0,2,480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10" s="142" t="str">
        <f t="shared" si="322"/>
        <v>[{progress_rate,2,194},{progress,0,2,480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10" s="142" t="str">
        <f t="shared" si="312"/>
        <v>[{progress_rate,2,194},{progress,0,2,480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10" s="142" t="str">
        <f t="shared" si="313"/>
        <v>{progress_rate,2,600},{progress_rate,11,1}</v>
      </c>
      <c r="AV510" s="142" t="str">
        <f t="shared" si="314"/>
        <v>{progress_rate,2,600}</v>
      </c>
      <c r="AW510" s="142" t="s">
        <v>175</v>
      </c>
    </row>
    <row r="511" spans="1:49">
      <c r="A511" s="143" t="str">
        <f t="shared" si="317"/>
        <v>[{2,676},{5103001,40},{14,60},{11,0},{5401000,0},{5203001,0},{5303001,0}]</v>
      </c>
      <c r="B511" s="98">
        <v>199</v>
      </c>
      <c r="C511" s="126">
        <v>194</v>
      </c>
      <c r="D511" s="126">
        <v>482</v>
      </c>
      <c r="E511" s="145">
        <v>15</v>
      </c>
      <c r="F511" s="145">
        <v>25</v>
      </c>
      <c r="G511" s="98">
        <v>3</v>
      </c>
      <c r="H511" s="98">
        <v>5</v>
      </c>
      <c r="I511" s="98">
        <v>0.5</v>
      </c>
      <c r="J511" s="98">
        <v>0</v>
      </c>
      <c r="K511" s="98">
        <v>5</v>
      </c>
      <c r="L511" s="98">
        <v>2</v>
      </c>
      <c r="M511" s="98">
        <v>1</v>
      </c>
      <c r="N511" s="98"/>
      <c r="O511" s="98">
        <v>0.1</v>
      </c>
      <c r="P511" s="98">
        <f t="shared" si="318"/>
        <v>153.8</v>
      </c>
      <c r="Q511" s="147">
        <f t="shared" si="319"/>
        <v>7.69</v>
      </c>
      <c r="R511" s="149">
        <v>600</v>
      </c>
      <c r="S511" s="132">
        <f t="shared" si="320"/>
        <v>97</v>
      </c>
      <c r="T511" s="132">
        <f t="shared" si="316"/>
        <v>241</v>
      </c>
      <c r="V511" s="80">
        <v>21363</v>
      </c>
      <c r="W511" s="142">
        <f t="shared" si="315"/>
        <v>199</v>
      </c>
      <c r="X511" s="142" t="str">
        <f t="shared" si="298"/>
        <v>{progress_rate,2,194}</v>
      </c>
      <c r="Y511" s="142" t="str">
        <f t="shared" si="299"/>
        <v>{progress,0,2,482}</v>
      </c>
      <c r="Z511" s="142" t="str">
        <f t="shared" si="300"/>
        <v>{progress,0,5103001,15}</v>
      </c>
      <c r="AA511" s="142" t="str">
        <f t="shared" si="301"/>
        <v>{progress,40,5103003,25}</v>
      </c>
      <c r="AB511" s="142" t="str">
        <f t="shared" si="302"/>
        <v>{progress,0,50025,3}</v>
      </c>
      <c r="AC511" s="142" t="str">
        <f t="shared" si="303"/>
        <v>{progress,50,50002,5}</v>
      </c>
      <c r="AD511" s="142" t="str">
        <f t="shared" si="304"/>
        <v>{progress_rate_roll,100,5000,11,1}</v>
      </c>
      <c r="AF511" s="142" t="str">
        <f t="shared" si="305"/>
        <v>{progress,50,5203001,5}</v>
      </c>
      <c r="AG511" s="142" t="str">
        <f t="shared" si="306"/>
        <v>{progress,40,5303001,2}</v>
      </c>
      <c r="AH511" s="142" t="str">
        <f t="shared" si="307"/>
        <v>{progress,0,5401019,1}</v>
      </c>
      <c r="AI511" s="142"/>
      <c r="AJ511" s="142" t="str">
        <f t="shared" si="308"/>
        <v>{progress_rate_roll,100,1000,9,1}</v>
      </c>
      <c r="AN511" s="142" t="str">
        <f t="shared" si="309"/>
        <v>{progress,1,21363,1}</v>
      </c>
      <c r="AO511" s="142" t="str">
        <f t="shared" si="310"/>
        <v>{progress_rate_roll,100,5000,21363,1}</v>
      </c>
      <c r="AP511" s="142" t="str">
        <f t="shared" si="321"/>
        <v>[{progress_rate,2,194},{progress,0,2,482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11" s="142" t="str">
        <f t="shared" si="311"/>
        <v>[{progress_rate,2,194},{progress,0,2,482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11" s="142" t="str">
        <f t="shared" si="322"/>
        <v>[{progress_rate,2,194},{progress,0,2,482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11" s="142" t="str">
        <f t="shared" si="312"/>
        <v>[{progress_rate,2,194},{progress,0,2,482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11" s="142" t="str">
        <f t="shared" si="313"/>
        <v>{progress_rate,2,600},{progress_rate,11,1}</v>
      </c>
      <c r="AV511" s="142" t="str">
        <f t="shared" si="314"/>
        <v>{progress_rate,2,600}</v>
      </c>
      <c r="AW511" s="142" t="s">
        <v>175</v>
      </c>
    </row>
    <row r="512" spans="1:49">
      <c r="A512" s="143" t="str">
        <f t="shared" si="317"/>
        <v>[{2,678},{5103001,40},{14,60},{11,0},{5401000,0},{5203001,0},{5303001,0}]</v>
      </c>
      <c r="B512" s="98">
        <v>200</v>
      </c>
      <c r="C512" s="126">
        <v>194</v>
      </c>
      <c r="D512" s="126">
        <v>484</v>
      </c>
      <c r="E512" s="145">
        <v>15</v>
      </c>
      <c r="F512" s="145">
        <v>25</v>
      </c>
      <c r="G512" s="98">
        <v>3</v>
      </c>
      <c r="H512" s="98">
        <v>5</v>
      </c>
      <c r="I512" s="98">
        <v>0.5</v>
      </c>
      <c r="J512" s="98">
        <v>0</v>
      </c>
      <c r="K512" s="98">
        <v>5</v>
      </c>
      <c r="L512" s="98">
        <v>2</v>
      </c>
      <c r="M512" s="98">
        <v>1</v>
      </c>
      <c r="N512" s="98"/>
      <c r="O512" s="98">
        <v>0.1</v>
      </c>
      <c r="P512" s="98">
        <f t="shared" si="318"/>
        <v>153.9</v>
      </c>
      <c r="Q512" s="147">
        <f t="shared" si="319"/>
        <v>7.695</v>
      </c>
      <c r="R512" s="149">
        <v>600</v>
      </c>
      <c r="S512" s="132">
        <f t="shared" si="320"/>
        <v>97</v>
      </c>
      <c r="T512" s="132">
        <f t="shared" si="316"/>
        <v>242</v>
      </c>
      <c r="V512" s="80">
        <v>21363</v>
      </c>
      <c r="W512" s="142">
        <f t="shared" si="315"/>
        <v>200</v>
      </c>
      <c r="X512" s="142" t="str">
        <f t="shared" si="298"/>
        <v>{progress_rate,2,194}</v>
      </c>
      <c r="Y512" s="142" t="str">
        <f t="shared" si="299"/>
        <v>{progress,0,2,484}</v>
      </c>
      <c r="Z512" s="142" t="str">
        <f t="shared" si="300"/>
        <v>{progress,0,5103001,15}</v>
      </c>
      <c r="AA512" s="142" t="str">
        <f t="shared" si="301"/>
        <v>{progress,40,5103003,25}</v>
      </c>
      <c r="AB512" s="142" t="str">
        <f t="shared" si="302"/>
        <v>{progress,0,50025,3}</v>
      </c>
      <c r="AC512" s="142" t="str">
        <f t="shared" si="303"/>
        <v>{progress,50,50002,5}</v>
      </c>
      <c r="AD512" s="142" t="str">
        <f t="shared" si="304"/>
        <v>{progress_rate_roll,100,5000,11,1}</v>
      </c>
      <c r="AF512" s="142" t="str">
        <f t="shared" si="305"/>
        <v>{progress,50,5203001,5}</v>
      </c>
      <c r="AG512" s="142" t="str">
        <f t="shared" si="306"/>
        <v>{progress,40,5303001,2}</v>
      </c>
      <c r="AH512" s="142" t="str">
        <f t="shared" si="307"/>
        <v>{progress,0,5401019,1}</v>
      </c>
      <c r="AI512" s="142"/>
      <c r="AJ512" s="142" t="str">
        <f t="shared" si="308"/>
        <v>{progress_rate_roll,100,1000,9,1}</v>
      </c>
      <c r="AN512" s="142" t="str">
        <f t="shared" si="309"/>
        <v>{progress,1,21363,1}</v>
      </c>
      <c r="AO512" s="142" t="str">
        <f t="shared" si="310"/>
        <v>{progress_rate_roll,100,5000,21363,1}</v>
      </c>
      <c r="AP512" s="142" t="str">
        <f t="shared" si="321"/>
        <v>[{progress_rate,2,194},{progress,0,2,484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12" s="142" t="str">
        <f t="shared" si="311"/>
        <v>[{progress_rate,2,194},{progress,0,2,484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12" s="142" t="str">
        <f t="shared" si="322"/>
        <v>[{progress_rate,2,194},{progress,0,2,484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12" s="142" t="str">
        <f t="shared" si="312"/>
        <v>[{progress_rate,2,194},{progress,0,2,484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12" s="142" t="str">
        <f t="shared" si="313"/>
        <v>{progress_rate,2,600},{progress_rate,11,1}</v>
      </c>
      <c r="AV512" s="142" t="str">
        <f t="shared" si="314"/>
        <v>{progress_rate,2,600}</v>
      </c>
      <c r="AW512" s="142" t="s">
        <v>175</v>
      </c>
    </row>
    <row r="513" spans="1:49">
      <c r="A513" s="143" t="str">
        <f t="shared" si="317"/>
        <v>[{2,680},{5103001,40},{14,60},{11,0},{5401000,0},{5203001,0},{5303001,0}]</v>
      </c>
      <c r="B513" s="98">
        <v>201</v>
      </c>
      <c r="C513" s="126">
        <v>194</v>
      </c>
      <c r="D513" s="126">
        <v>486</v>
      </c>
      <c r="E513" s="145">
        <v>15</v>
      </c>
      <c r="F513" s="145">
        <v>25</v>
      </c>
      <c r="G513" s="98">
        <v>3</v>
      </c>
      <c r="H513" s="98">
        <v>5</v>
      </c>
      <c r="I513" s="98">
        <v>0.5</v>
      </c>
      <c r="J513" s="98">
        <v>0</v>
      </c>
      <c r="K513" s="98">
        <v>5</v>
      </c>
      <c r="L513" s="98">
        <v>2</v>
      </c>
      <c r="M513" s="98">
        <v>1</v>
      </c>
      <c r="N513" s="98"/>
      <c r="O513" s="98">
        <v>0.1</v>
      </c>
      <c r="P513" s="98">
        <f t="shared" si="318"/>
        <v>154</v>
      </c>
      <c r="Q513" s="147">
        <f t="shared" si="319"/>
        <v>7.7</v>
      </c>
      <c r="R513" s="149">
        <v>600</v>
      </c>
      <c r="S513" s="132">
        <f t="shared" si="320"/>
        <v>97</v>
      </c>
      <c r="T513" s="132">
        <f t="shared" si="316"/>
        <v>243</v>
      </c>
      <c r="V513" s="80">
        <v>21363</v>
      </c>
      <c r="W513" s="142">
        <f t="shared" si="315"/>
        <v>201</v>
      </c>
      <c r="X513" s="142" t="str">
        <f t="shared" si="298"/>
        <v>{progress_rate,2,194}</v>
      </c>
      <c r="Y513" s="142" t="str">
        <f t="shared" si="299"/>
        <v>{progress,0,2,486}</v>
      </c>
      <c r="Z513" s="142" t="str">
        <f t="shared" si="300"/>
        <v>{progress,0,5103001,15}</v>
      </c>
      <c r="AA513" s="142" t="str">
        <f t="shared" si="301"/>
        <v>{progress,40,5103003,25}</v>
      </c>
      <c r="AB513" s="142" t="str">
        <f t="shared" si="302"/>
        <v>{progress,0,50025,3}</v>
      </c>
      <c r="AC513" s="142" t="str">
        <f t="shared" si="303"/>
        <v>{progress,50,50002,5}</v>
      </c>
      <c r="AD513" s="142" t="str">
        <f t="shared" si="304"/>
        <v>{progress_rate_roll,100,5000,11,1}</v>
      </c>
      <c r="AF513" s="142" t="str">
        <f t="shared" si="305"/>
        <v>{progress,50,5203001,5}</v>
      </c>
      <c r="AG513" s="142" t="str">
        <f t="shared" si="306"/>
        <v>{progress,40,5303001,2}</v>
      </c>
      <c r="AH513" s="142" t="str">
        <f t="shared" si="307"/>
        <v>{progress,0,5401019,1}</v>
      </c>
      <c r="AI513" s="142"/>
      <c r="AJ513" s="142" t="str">
        <f t="shared" si="308"/>
        <v>{progress_rate_roll,100,1000,9,1}</v>
      </c>
      <c r="AN513" s="142" t="str">
        <f t="shared" si="309"/>
        <v>{progress,1,21363,1}</v>
      </c>
      <c r="AO513" s="142" t="str">
        <f t="shared" si="310"/>
        <v>{progress_rate_roll,100,5000,21363,1}</v>
      </c>
      <c r="AP513" s="142" t="str">
        <f t="shared" si="321"/>
        <v>[{progress_rate,2,194},{progress,0,2,486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13" s="142" t="str">
        <f t="shared" si="311"/>
        <v>[{progress_rate,2,194},{progress,0,2,486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13" s="142" t="str">
        <f t="shared" si="322"/>
        <v>[{progress_rate,2,194},{progress,0,2,486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13" s="142" t="str">
        <f t="shared" si="312"/>
        <v>[{progress_rate,2,194},{progress,0,2,486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13" s="142" t="str">
        <f t="shared" si="313"/>
        <v>{progress_rate,2,600},{progress_rate,11,1}</v>
      </c>
      <c r="AV513" s="142" t="str">
        <f t="shared" si="314"/>
        <v>{progress_rate,2,600}</v>
      </c>
      <c r="AW513" s="142" t="s">
        <v>175</v>
      </c>
    </row>
    <row r="514" spans="1:49">
      <c r="A514" s="143" t="str">
        <f t="shared" si="317"/>
        <v>[{2,682},{5103001,40},{14,60},{11,0},{5401000,0},{5203001,0},{5303001,0}]</v>
      </c>
      <c r="B514" s="98">
        <v>202</v>
      </c>
      <c r="C514" s="126">
        <v>196</v>
      </c>
      <c r="D514" s="126">
        <v>486</v>
      </c>
      <c r="E514" s="145">
        <v>15</v>
      </c>
      <c r="F514" s="145">
        <v>25</v>
      </c>
      <c r="G514" s="98">
        <v>3</v>
      </c>
      <c r="H514" s="98">
        <v>5</v>
      </c>
      <c r="I514" s="98">
        <v>0.5</v>
      </c>
      <c r="J514" s="98">
        <v>0</v>
      </c>
      <c r="K514" s="98">
        <v>5</v>
      </c>
      <c r="L514" s="98">
        <v>2</v>
      </c>
      <c r="M514" s="98">
        <v>1</v>
      </c>
      <c r="N514" s="98"/>
      <c r="O514" s="98">
        <v>0.1</v>
      </c>
      <c r="P514" s="98">
        <f t="shared" si="318"/>
        <v>154.1</v>
      </c>
      <c r="Q514" s="147">
        <f t="shared" si="319"/>
        <v>7.705</v>
      </c>
      <c r="R514" s="149">
        <v>600</v>
      </c>
      <c r="S514" s="132">
        <f t="shared" si="320"/>
        <v>98</v>
      </c>
      <c r="T514" s="132">
        <f t="shared" si="316"/>
        <v>243</v>
      </c>
      <c r="V514" s="80">
        <v>21363</v>
      </c>
      <c r="W514" s="142">
        <f t="shared" si="315"/>
        <v>202</v>
      </c>
      <c r="X514" s="142" t="str">
        <f t="shared" si="298"/>
        <v>{progress_rate,2,196}</v>
      </c>
      <c r="Y514" s="142" t="str">
        <f t="shared" si="299"/>
        <v>{progress,0,2,486}</v>
      </c>
      <c r="Z514" s="142" t="str">
        <f t="shared" si="300"/>
        <v>{progress,0,5103001,15}</v>
      </c>
      <c r="AA514" s="142" t="str">
        <f t="shared" si="301"/>
        <v>{progress,40,5103003,25}</v>
      </c>
      <c r="AB514" s="142" t="str">
        <f t="shared" si="302"/>
        <v>{progress,0,50025,3}</v>
      </c>
      <c r="AC514" s="142" t="str">
        <f t="shared" si="303"/>
        <v>{progress,50,50002,5}</v>
      </c>
      <c r="AD514" s="142" t="str">
        <f t="shared" si="304"/>
        <v>{progress_rate_roll,100,5000,11,1}</v>
      </c>
      <c r="AF514" s="142" t="str">
        <f t="shared" si="305"/>
        <v>{progress,50,5203001,5}</v>
      </c>
      <c r="AG514" s="142" t="str">
        <f t="shared" si="306"/>
        <v>{progress,40,5303001,2}</v>
      </c>
      <c r="AH514" s="142" t="str">
        <f t="shared" si="307"/>
        <v>{progress,0,5401019,1}</v>
      </c>
      <c r="AI514" s="142"/>
      <c r="AJ514" s="142" t="str">
        <f t="shared" si="308"/>
        <v>{progress_rate_roll,100,1000,9,1}</v>
      </c>
      <c r="AN514" s="142" t="str">
        <f t="shared" si="309"/>
        <v>{progress,1,21363,1}</v>
      </c>
      <c r="AO514" s="142" t="str">
        <f t="shared" si="310"/>
        <v>{progress_rate_roll,100,5000,21363,1}</v>
      </c>
      <c r="AP514" s="142" t="str">
        <f t="shared" si="321"/>
        <v>[{progress_rate,2,196},{progress,0,2,486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14" s="142" t="str">
        <f t="shared" si="311"/>
        <v>[{progress_rate,2,196},{progress,0,2,486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14" s="142" t="str">
        <f t="shared" si="322"/>
        <v>[{progress_rate,2,196},{progress,0,2,486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14" s="142" t="str">
        <f t="shared" si="312"/>
        <v>[{progress_rate,2,196},{progress,0,2,486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14" s="142" t="str">
        <f t="shared" si="313"/>
        <v>{progress_rate,2,600},{progress_rate,11,1}</v>
      </c>
      <c r="AV514" s="142" t="str">
        <f t="shared" si="314"/>
        <v>{progress_rate,2,600}</v>
      </c>
      <c r="AW514" s="142" t="s">
        <v>175</v>
      </c>
    </row>
    <row r="515" spans="1:49">
      <c r="A515" s="143" t="str">
        <f t="shared" si="317"/>
        <v>[{2,684},{5103001,40},{14,60},{11,0},{5401000,0},{5203001,0},{5303001,0}]</v>
      </c>
      <c r="B515" s="98">
        <v>203</v>
      </c>
      <c r="C515" s="126">
        <v>196</v>
      </c>
      <c r="D515" s="126">
        <v>488</v>
      </c>
      <c r="E515" s="145">
        <v>15</v>
      </c>
      <c r="F515" s="145">
        <v>25</v>
      </c>
      <c r="G515" s="98">
        <v>3</v>
      </c>
      <c r="H515" s="98">
        <v>5</v>
      </c>
      <c r="I515" s="98">
        <v>0.5</v>
      </c>
      <c r="J515" s="98">
        <v>0</v>
      </c>
      <c r="K515" s="98">
        <v>5</v>
      </c>
      <c r="L515" s="98">
        <v>2</v>
      </c>
      <c r="M515" s="98">
        <v>1</v>
      </c>
      <c r="N515" s="98"/>
      <c r="O515" s="98">
        <v>0.1</v>
      </c>
      <c r="P515" s="98">
        <f t="shared" si="318"/>
        <v>154.2</v>
      </c>
      <c r="Q515" s="147">
        <f t="shared" si="319"/>
        <v>7.71</v>
      </c>
      <c r="R515" s="149">
        <v>600</v>
      </c>
      <c r="S515" s="132">
        <f t="shared" si="320"/>
        <v>98</v>
      </c>
      <c r="T515" s="132">
        <f t="shared" si="316"/>
        <v>244</v>
      </c>
      <c r="V515" s="80">
        <v>21363</v>
      </c>
      <c r="W515" s="142">
        <f t="shared" si="315"/>
        <v>203</v>
      </c>
      <c r="X515" s="142" t="str">
        <f t="shared" si="298"/>
        <v>{progress_rate,2,196}</v>
      </c>
      <c r="Y515" s="142" t="str">
        <f t="shared" si="299"/>
        <v>{progress,0,2,488}</v>
      </c>
      <c r="Z515" s="142" t="str">
        <f t="shared" si="300"/>
        <v>{progress,0,5103001,15}</v>
      </c>
      <c r="AA515" s="142" t="str">
        <f t="shared" si="301"/>
        <v>{progress,40,5103003,25}</v>
      </c>
      <c r="AB515" s="142" t="str">
        <f t="shared" si="302"/>
        <v>{progress,0,50025,3}</v>
      </c>
      <c r="AC515" s="142" t="str">
        <f t="shared" si="303"/>
        <v>{progress,50,50002,5}</v>
      </c>
      <c r="AD515" s="142" t="str">
        <f t="shared" si="304"/>
        <v>{progress_rate_roll,100,5000,11,1}</v>
      </c>
      <c r="AF515" s="142" t="str">
        <f t="shared" si="305"/>
        <v>{progress,50,5203001,5}</v>
      </c>
      <c r="AG515" s="142" t="str">
        <f t="shared" si="306"/>
        <v>{progress,40,5303001,2}</v>
      </c>
      <c r="AH515" s="142" t="str">
        <f t="shared" si="307"/>
        <v>{progress,0,5401019,1}</v>
      </c>
      <c r="AI515" s="142"/>
      <c r="AJ515" s="142" t="str">
        <f t="shared" si="308"/>
        <v>{progress_rate_roll,100,1000,9,1}</v>
      </c>
      <c r="AN515" s="142" t="str">
        <f t="shared" si="309"/>
        <v>{progress,1,21363,1}</v>
      </c>
      <c r="AO515" s="142" t="str">
        <f t="shared" si="310"/>
        <v>{progress_rate_roll,100,5000,21363,1}</v>
      </c>
      <c r="AP515" s="142" t="str">
        <f t="shared" si="321"/>
        <v>[{progress_rate,2,196},{progress,0,2,488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15" s="142" t="str">
        <f t="shared" si="311"/>
        <v>[{progress_rate,2,196},{progress,0,2,488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15" s="142" t="str">
        <f t="shared" si="322"/>
        <v>[{progress_rate,2,196},{progress,0,2,488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15" s="142" t="str">
        <f t="shared" si="312"/>
        <v>[{progress_rate,2,196},{progress,0,2,488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15" s="142" t="str">
        <f t="shared" si="313"/>
        <v>{progress_rate,2,600},{progress_rate,11,1}</v>
      </c>
      <c r="AV515" s="142" t="str">
        <f t="shared" si="314"/>
        <v>{progress_rate,2,600}</v>
      </c>
      <c r="AW515" s="142" t="s">
        <v>175</v>
      </c>
    </row>
    <row r="516" spans="1:49">
      <c r="A516" s="143" t="str">
        <f t="shared" si="317"/>
        <v>[{2,686},{5103001,40},{14,60},{11,0},{5401000,0},{5203001,0},{5303001,0}]</v>
      </c>
      <c r="B516" s="98">
        <v>204</v>
      </c>
      <c r="C516" s="126">
        <v>196</v>
      </c>
      <c r="D516" s="126">
        <v>490</v>
      </c>
      <c r="E516" s="145">
        <v>15</v>
      </c>
      <c r="F516" s="145">
        <v>25</v>
      </c>
      <c r="G516" s="98">
        <v>3</v>
      </c>
      <c r="H516" s="98">
        <v>5</v>
      </c>
      <c r="I516" s="98">
        <v>0.5</v>
      </c>
      <c r="J516" s="98">
        <v>0</v>
      </c>
      <c r="K516" s="98">
        <v>5</v>
      </c>
      <c r="L516" s="98">
        <v>2</v>
      </c>
      <c r="M516" s="98">
        <v>1</v>
      </c>
      <c r="N516" s="98"/>
      <c r="O516" s="98">
        <v>0.1</v>
      </c>
      <c r="P516" s="98">
        <f t="shared" si="318"/>
        <v>154.3</v>
      </c>
      <c r="Q516" s="147">
        <f t="shared" si="319"/>
        <v>7.715</v>
      </c>
      <c r="R516" s="149">
        <v>600</v>
      </c>
      <c r="S516" s="132">
        <f t="shared" si="320"/>
        <v>98</v>
      </c>
      <c r="T516" s="132">
        <f t="shared" si="316"/>
        <v>245</v>
      </c>
      <c r="V516" s="80">
        <v>21363</v>
      </c>
      <c r="W516" s="142">
        <f t="shared" si="315"/>
        <v>204</v>
      </c>
      <c r="X516" s="142" t="str">
        <f t="shared" si="298"/>
        <v>{progress_rate,2,196}</v>
      </c>
      <c r="Y516" s="142" t="str">
        <f t="shared" si="299"/>
        <v>{progress,0,2,490}</v>
      </c>
      <c r="Z516" s="142" t="str">
        <f t="shared" si="300"/>
        <v>{progress,0,5103001,15}</v>
      </c>
      <c r="AA516" s="142" t="str">
        <f t="shared" si="301"/>
        <v>{progress,40,5103003,25}</v>
      </c>
      <c r="AB516" s="142" t="str">
        <f t="shared" si="302"/>
        <v>{progress,0,50025,3}</v>
      </c>
      <c r="AC516" s="142" t="str">
        <f t="shared" si="303"/>
        <v>{progress,50,50002,5}</v>
      </c>
      <c r="AD516" s="142" t="str">
        <f t="shared" si="304"/>
        <v>{progress_rate_roll,100,5000,11,1}</v>
      </c>
      <c r="AF516" s="142" t="str">
        <f t="shared" si="305"/>
        <v>{progress,50,5203001,5}</v>
      </c>
      <c r="AG516" s="142" t="str">
        <f t="shared" si="306"/>
        <v>{progress,40,5303001,2}</v>
      </c>
      <c r="AH516" s="142" t="str">
        <f t="shared" si="307"/>
        <v>{progress,0,5401019,1}</v>
      </c>
      <c r="AI516" s="142"/>
      <c r="AJ516" s="142" t="str">
        <f t="shared" si="308"/>
        <v>{progress_rate_roll,100,1000,9,1}</v>
      </c>
      <c r="AN516" s="142" t="str">
        <f t="shared" si="309"/>
        <v>{progress,1,21363,1}</v>
      </c>
      <c r="AO516" s="142" t="str">
        <f t="shared" si="310"/>
        <v>{progress_rate_roll,100,5000,21363,1}</v>
      </c>
      <c r="AP516" s="142" t="str">
        <f t="shared" si="321"/>
        <v>[{progress_rate,2,196},{progress,0,2,490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16" s="142" t="str">
        <f t="shared" si="311"/>
        <v>[{progress_rate,2,196},{progress,0,2,490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16" s="142" t="str">
        <f t="shared" si="322"/>
        <v>[{progress_rate,2,196},{progress,0,2,490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16" s="142" t="str">
        <f t="shared" si="312"/>
        <v>[{progress_rate,2,196},{progress,0,2,490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16" s="142" t="str">
        <f t="shared" si="313"/>
        <v>{progress_rate,2,600},{progress_rate,11,1}</v>
      </c>
      <c r="AV516" s="142" t="str">
        <f t="shared" si="314"/>
        <v>{progress_rate,2,600}</v>
      </c>
      <c r="AW516" s="142" t="s">
        <v>175</v>
      </c>
    </row>
    <row r="517" spans="1:49">
      <c r="A517" s="143" t="str">
        <f t="shared" si="317"/>
        <v>[{2,688},{5103001,40},{14,60},{11,0},{5401000,0},{5203001,0},{5303001,0}]</v>
      </c>
      <c r="B517" s="98">
        <v>205</v>
      </c>
      <c r="C517" s="126">
        <v>198</v>
      </c>
      <c r="D517" s="126">
        <v>490</v>
      </c>
      <c r="E517" s="145">
        <v>15</v>
      </c>
      <c r="F517" s="145">
        <v>25</v>
      </c>
      <c r="G517" s="98">
        <v>3</v>
      </c>
      <c r="H517" s="98">
        <v>5</v>
      </c>
      <c r="I517" s="98">
        <v>0.5</v>
      </c>
      <c r="J517" s="98">
        <v>0</v>
      </c>
      <c r="K517" s="98">
        <v>5</v>
      </c>
      <c r="L517" s="98">
        <v>2</v>
      </c>
      <c r="M517" s="98">
        <v>1</v>
      </c>
      <c r="N517" s="98"/>
      <c r="O517" s="98">
        <v>0.1</v>
      </c>
      <c r="P517" s="98">
        <f t="shared" si="318"/>
        <v>154.4</v>
      </c>
      <c r="Q517" s="147">
        <f t="shared" si="319"/>
        <v>7.72</v>
      </c>
      <c r="R517" s="149">
        <v>600</v>
      </c>
      <c r="S517" s="132">
        <f t="shared" si="320"/>
        <v>99</v>
      </c>
      <c r="T517" s="132">
        <f t="shared" si="316"/>
        <v>245</v>
      </c>
      <c r="V517" s="80">
        <v>21363</v>
      </c>
      <c r="W517" s="142">
        <f t="shared" si="315"/>
        <v>205</v>
      </c>
      <c r="X517" s="142" t="str">
        <f t="shared" si="298"/>
        <v>{progress_rate,2,198}</v>
      </c>
      <c r="Y517" s="142" t="str">
        <f t="shared" si="299"/>
        <v>{progress,0,2,490}</v>
      </c>
      <c r="Z517" s="142" t="str">
        <f t="shared" si="300"/>
        <v>{progress,0,5103001,15}</v>
      </c>
      <c r="AA517" s="142" t="str">
        <f t="shared" si="301"/>
        <v>{progress,40,5103003,25}</v>
      </c>
      <c r="AB517" s="142" t="str">
        <f t="shared" si="302"/>
        <v>{progress,0,50025,3}</v>
      </c>
      <c r="AC517" s="142" t="str">
        <f t="shared" si="303"/>
        <v>{progress,50,50002,5}</v>
      </c>
      <c r="AD517" s="142" t="str">
        <f t="shared" si="304"/>
        <v>{progress_rate_roll,100,5000,11,1}</v>
      </c>
      <c r="AF517" s="142" t="str">
        <f t="shared" si="305"/>
        <v>{progress,50,5203001,5}</v>
      </c>
      <c r="AG517" s="142" t="str">
        <f t="shared" si="306"/>
        <v>{progress,40,5303001,2}</v>
      </c>
      <c r="AH517" s="142" t="str">
        <f t="shared" si="307"/>
        <v>{progress,0,5401019,1}</v>
      </c>
      <c r="AI517" s="142"/>
      <c r="AJ517" s="142" t="str">
        <f t="shared" si="308"/>
        <v>{progress_rate_roll,100,1000,9,1}</v>
      </c>
      <c r="AN517" s="142" t="str">
        <f t="shared" si="309"/>
        <v>{progress,1,21363,1}</v>
      </c>
      <c r="AO517" s="142" t="str">
        <f t="shared" si="310"/>
        <v>{progress_rate_roll,100,5000,21363,1}</v>
      </c>
      <c r="AP517" s="142" t="str">
        <f t="shared" si="321"/>
        <v>[{progress_rate,2,198},{progress,0,2,490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17" s="142" t="str">
        <f t="shared" si="311"/>
        <v>[{progress_rate,2,198},{progress,0,2,490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17" s="142" t="str">
        <f t="shared" si="322"/>
        <v>[{progress_rate,2,198},{progress,0,2,490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17" s="142" t="str">
        <f t="shared" si="312"/>
        <v>[{progress_rate,2,198},{progress,0,2,490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17" s="142" t="str">
        <f t="shared" si="313"/>
        <v>{progress_rate,2,600},{progress_rate,11,1}</v>
      </c>
      <c r="AV517" s="142" t="str">
        <f t="shared" si="314"/>
        <v>{progress_rate,2,600}</v>
      </c>
      <c r="AW517" s="142" t="s">
        <v>175</v>
      </c>
    </row>
    <row r="518" spans="1:49">
      <c r="A518" s="143" t="str">
        <f t="shared" si="317"/>
        <v>[{2,690},{5103001,40},{14,60},{11,0},{5401000,0},{5203001,0},{5303001,0}]</v>
      </c>
      <c r="B518" s="98">
        <v>206</v>
      </c>
      <c r="C518" s="126">
        <v>198</v>
      </c>
      <c r="D518" s="126">
        <v>492</v>
      </c>
      <c r="E518" s="145">
        <v>15</v>
      </c>
      <c r="F518" s="145">
        <v>25</v>
      </c>
      <c r="G518" s="98">
        <v>3</v>
      </c>
      <c r="H518" s="98">
        <v>5</v>
      </c>
      <c r="I518" s="98">
        <v>0.5</v>
      </c>
      <c r="J518" s="98">
        <v>0</v>
      </c>
      <c r="K518" s="98">
        <v>5</v>
      </c>
      <c r="L518" s="98">
        <v>2</v>
      </c>
      <c r="M518" s="98">
        <v>1</v>
      </c>
      <c r="N518" s="98"/>
      <c r="O518" s="98">
        <v>0.1</v>
      </c>
      <c r="P518" s="98">
        <f t="shared" si="318"/>
        <v>154.5</v>
      </c>
      <c r="Q518" s="147">
        <f t="shared" si="319"/>
        <v>7.725</v>
      </c>
      <c r="R518" s="149">
        <v>600</v>
      </c>
      <c r="S518" s="132">
        <f t="shared" si="320"/>
        <v>99</v>
      </c>
      <c r="T518" s="132">
        <f t="shared" si="316"/>
        <v>246</v>
      </c>
      <c r="V518" s="80">
        <v>21363</v>
      </c>
      <c r="W518" s="142">
        <f t="shared" si="315"/>
        <v>206</v>
      </c>
      <c r="X518" s="142" t="str">
        <f t="shared" si="298"/>
        <v>{progress_rate,2,198}</v>
      </c>
      <c r="Y518" s="142" t="str">
        <f t="shared" si="299"/>
        <v>{progress,0,2,492}</v>
      </c>
      <c r="Z518" s="142" t="str">
        <f t="shared" si="300"/>
        <v>{progress,0,5103001,15}</v>
      </c>
      <c r="AA518" s="142" t="str">
        <f t="shared" si="301"/>
        <v>{progress,40,5103003,25}</v>
      </c>
      <c r="AB518" s="142" t="str">
        <f t="shared" si="302"/>
        <v>{progress,0,50025,3}</v>
      </c>
      <c r="AC518" s="142" t="str">
        <f t="shared" si="303"/>
        <v>{progress,50,50002,5}</v>
      </c>
      <c r="AD518" s="142" t="str">
        <f t="shared" si="304"/>
        <v>{progress_rate_roll,100,5000,11,1}</v>
      </c>
      <c r="AF518" s="142" t="str">
        <f t="shared" si="305"/>
        <v>{progress,50,5203001,5}</v>
      </c>
      <c r="AG518" s="142" t="str">
        <f t="shared" si="306"/>
        <v>{progress,40,5303001,2}</v>
      </c>
      <c r="AH518" s="142" t="str">
        <f t="shared" si="307"/>
        <v>{progress,0,5401019,1}</v>
      </c>
      <c r="AI518" s="142"/>
      <c r="AJ518" s="142" t="str">
        <f t="shared" si="308"/>
        <v>{progress_rate_roll,100,1000,9,1}</v>
      </c>
      <c r="AN518" s="142" t="str">
        <f t="shared" si="309"/>
        <v>{progress,1,21363,1}</v>
      </c>
      <c r="AO518" s="142" t="str">
        <f t="shared" si="310"/>
        <v>{progress_rate_roll,100,5000,21363,1}</v>
      </c>
      <c r="AP518" s="142" t="str">
        <f t="shared" si="321"/>
        <v>[{progress_rate,2,198},{progress,0,2,492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18" s="142" t="str">
        <f t="shared" si="311"/>
        <v>[{progress_rate,2,198},{progress,0,2,492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18" s="142" t="str">
        <f t="shared" si="322"/>
        <v>[{progress_rate,2,198},{progress,0,2,492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18" s="142" t="str">
        <f t="shared" si="312"/>
        <v>[{progress_rate,2,198},{progress,0,2,492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18" s="142" t="str">
        <f t="shared" si="313"/>
        <v>{progress_rate,2,600},{progress_rate,11,1}</v>
      </c>
      <c r="AV518" s="142" t="str">
        <f t="shared" si="314"/>
        <v>{progress_rate,2,600}</v>
      </c>
      <c r="AW518" s="142" t="s">
        <v>175</v>
      </c>
    </row>
    <row r="519" spans="1:49">
      <c r="A519" s="143" t="str">
        <f t="shared" si="317"/>
        <v>[{2,692},{5103001,40},{14,60},{11,0},{5401000,0},{5203001,0},{5303001,0}]</v>
      </c>
      <c r="B519" s="98">
        <v>207</v>
      </c>
      <c r="C519" s="126">
        <v>198</v>
      </c>
      <c r="D519" s="126">
        <v>494</v>
      </c>
      <c r="E519" s="145">
        <v>15</v>
      </c>
      <c r="F519" s="145">
        <v>25</v>
      </c>
      <c r="G519" s="98">
        <v>3</v>
      </c>
      <c r="H519" s="98">
        <v>5</v>
      </c>
      <c r="I519" s="98">
        <v>0.5</v>
      </c>
      <c r="J519" s="98">
        <v>0</v>
      </c>
      <c r="K519" s="98">
        <v>5</v>
      </c>
      <c r="L519" s="98">
        <v>2</v>
      </c>
      <c r="M519" s="98">
        <v>1</v>
      </c>
      <c r="N519" s="98"/>
      <c r="O519" s="98">
        <v>0.1</v>
      </c>
      <c r="P519" s="98">
        <f t="shared" si="318"/>
        <v>154.6</v>
      </c>
      <c r="Q519" s="147">
        <f t="shared" si="319"/>
        <v>7.73</v>
      </c>
      <c r="R519" s="149">
        <v>600</v>
      </c>
      <c r="S519" s="132">
        <f t="shared" si="320"/>
        <v>99</v>
      </c>
      <c r="T519" s="132">
        <f t="shared" si="316"/>
        <v>247</v>
      </c>
      <c r="V519" s="80">
        <v>21363</v>
      </c>
      <c r="W519" s="142">
        <f t="shared" si="315"/>
        <v>207</v>
      </c>
      <c r="X519" s="142" t="str">
        <f t="shared" si="298"/>
        <v>{progress_rate,2,198}</v>
      </c>
      <c r="Y519" s="142" t="str">
        <f t="shared" si="299"/>
        <v>{progress,0,2,494}</v>
      </c>
      <c r="Z519" s="142" t="str">
        <f t="shared" si="300"/>
        <v>{progress,0,5103001,15}</v>
      </c>
      <c r="AA519" s="142" t="str">
        <f t="shared" si="301"/>
        <v>{progress,40,5103003,25}</v>
      </c>
      <c r="AB519" s="142" t="str">
        <f t="shared" si="302"/>
        <v>{progress,0,50025,3}</v>
      </c>
      <c r="AC519" s="142" t="str">
        <f t="shared" si="303"/>
        <v>{progress,50,50002,5}</v>
      </c>
      <c r="AD519" s="142" t="str">
        <f t="shared" si="304"/>
        <v>{progress_rate_roll,100,5000,11,1}</v>
      </c>
      <c r="AF519" s="142" t="str">
        <f t="shared" si="305"/>
        <v>{progress,50,5203001,5}</v>
      </c>
      <c r="AG519" s="142" t="str">
        <f t="shared" si="306"/>
        <v>{progress,40,5303001,2}</v>
      </c>
      <c r="AH519" s="142" t="str">
        <f t="shared" si="307"/>
        <v>{progress,0,5401019,1}</v>
      </c>
      <c r="AI519" s="142"/>
      <c r="AJ519" s="142" t="str">
        <f t="shared" si="308"/>
        <v>{progress_rate_roll,100,1000,9,1}</v>
      </c>
      <c r="AN519" s="142" t="str">
        <f t="shared" si="309"/>
        <v>{progress,1,21363,1}</v>
      </c>
      <c r="AO519" s="142" t="str">
        <f t="shared" si="310"/>
        <v>{progress_rate_roll,100,5000,21363,1}</v>
      </c>
      <c r="AP519" s="142" t="str">
        <f t="shared" si="321"/>
        <v>[{progress_rate,2,198},{progress,0,2,494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19" s="142" t="str">
        <f t="shared" si="311"/>
        <v>[{progress_rate,2,198},{progress,0,2,494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19" s="142" t="str">
        <f t="shared" si="322"/>
        <v>[{progress_rate,2,198},{progress,0,2,494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19" s="142" t="str">
        <f t="shared" si="312"/>
        <v>[{progress_rate,2,198},{progress,0,2,494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19" s="142" t="str">
        <f t="shared" si="313"/>
        <v>{progress_rate,2,600},{progress_rate,11,1}</v>
      </c>
      <c r="AV519" s="142" t="str">
        <f t="shared" si="314"/>
        <v>{progress_rate,2,600}</v>
      </c>
      <c r="AW519" s="142" t="s">
        <v>175</v>
      </c>
    </row>
    <row r="520" spans="1:49">
      <c r="A520" s="143" t="str">
        <f t="shared" si="317"/>
        <v>[{2,694},{5103001,40},{14,60},{11,0},{5401000,0},{5203001,0},{5303001,0}]</v>
      </c>
      <c r="B520" s="98">
        <v>208</v>
      </c>
      <c r="C520" s="126">
        <v>198</v>
      </c>
      <c r="D520" s="126">
        <v>496</v>
      </c>
      <c r="E520" s="145">
        <v>15</v>
      </c>
      <c r="F520" s="145">
        <v>25</v>
      </c>
      <c r="G520" s="98">
        <v>3</v>
      </c>
      <c r="H520" s="98">
        <v>5</v>
      </c>
      <c r="I520" s="98">
        <v>0.5</v>
      </c>
      <c r="J520" s="98">
        <v>0</v>
      </c>
      <c r="K520" s="98">
        <v>5</v>
      </c>
      <c r="L520" s="98">
        <v>2</v>
      </c>
      <c r="M520" s="98">
        <v>1</v>
      </c>
      <c r="N520" s="98"/>
      <c r="O520" s="98">
        <v>0.1</v>
      </c>
      <c r="P520" s="98">
        <f t="shared" si="318"/>
        <v>154.7</v>
      </c>
      <c r="Q520" s="147">
        <f t="shared" si="319"/>
        <v>7.735</v>
      </c>
      <c r="R520" s="149">
        <v>600</v>
      </c>
      <c r="S520" s="132">
        <f t="shared" si="320"/>
        <v>99</v>
      </c>
      <c r="T520" s="132">
        <f t="shared" si="316"/>
        <v>248</v>
      </c>
      <c r="V520" s="80">
        <v>21363</v>
      </c>
      <c r="W520" s="142">
        <f t="shared" si="315"/>
        <v>208</v>
      </c>
      <c r="X520" s="142" t="str">
        <f t="shared" si="298"/>
        <v>{progress_rate,2,198}</v>
      </c>
      <c r="Y520" s="142" t="str">
        <f t="shared" si="299"/>
        <v>{progress,0,2,496}</v>
      </c>
      <c r="Z520" s="142" t="str">
        <f t="shared" si="300"/>
        <v>{progress,0,5103001,15}</v>
      </c>
      <c r="AA520" s="142" t="str">
        <f t="shared" si="301"/>
        <v>{progress,40,5103003,25}</v>
      </c>
      <c r="AB520" s="142" t="str">
        <f t="shared" si="302"/>
        <v>{progress,0,50025,3}</v>
      </c>
      <c r="AC520" s="142" t="str">
        <f t="shared" si="303"/>
        <v>{progress,50,50002,5}</v>
      </c>
      <c r="AD520" s="142" t="str">
        <f t="shared" si="304"/>
        <v>{progress_rate_roll,100,5000,11,1}</v>
      </c>
      <c r="AF520" s="142" t="str">
        <f t="shared" si="305"/>
        <v>{progress,50,5203001,5}</v>
      </c>
      <c r="AG520" s="142" t="str">
        <f t="shared" si="306"/>
        <v>{progress,40,5303001,2}</v>
      </c>
      <c r="AH520" s="142" t="str">
        <f t="shared" si="307"/>
        <v>{progress,0,5401019,1}</v>
      </c>
      <c r="AI520" s="142"/>
      <c r="AJ520" s="142" t="str">
        <f t="shared" si="308"/>
        <v>{progress_rate_roll,100,1000,9,1}</v>
      </c>
      <c r="AN520" s="142" t="str">
        <f t="shared" si="309"/>
        <v>{progress,1,21363,1}</v>
      </c>
      <c r="AO520" s="142" t="str">
        <f t="shared" si="310"/>
        <v>{progress_rate_roll,100,5000,21363,1}</v>
      </c>
      <c r="AP520" s="142" t="str">
        <f t="shared" si="321"/>
        <v>[{progress_rate,2,198},{progress,0,2,496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20" s="142" t="str">
        <f t="shared" si="311"/>
        <v>[{progress_rate,2,198},{progress,0,2,496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20" s="142" t="str">
        <f t="shared" si="322"/>
        <v>[{progress_rate,2,198},{progress,0,2,496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20" s="142" t="str">
        <f t="shared" si="312"/>
        <v>[{progress_rate,2,198},{progress,0,2,496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20" s="142" t="str">
        <f t="shared" si="313"/>
        <v>{progress_rate,2,600},{progress_rate,11,1}</v>
      </c>
      <c r="AV520" s="142" t="str">
        <f t="shared" si="314"/>
        <v>{progress_rate,2,600}</v>
      </c>
      <c r="AW520" s="142" t="s">
        <v>175</v>
      </c>
    </row>
    <row r="521" spans="1:49">
      <c r="A521" s="143" t="str">
        <f t="shared" si="317"/>
        <v>[{2,696},{5103001,40},{14,60},{11,0},{5401000,0},{5203001,0},{5303001,0}]</v>
      </c>
      <c r="B521" s="98">
        <v>209</v>
      </c>
      <c r="C521" s="126">
        <v>200</v>
      </c>
      <c r="D521" s="126">
        <v>496</v>
      </c>
      <c r="E521" s="145">
        <v>15</v>
      </c>
      <c r="F521" s="145">
        <v>25</v>
      </c>
      <c r="G521" s="98">
        <v>3</v>
      </c>
      <c r="H521" s="98">
        <v>5</v>
      </c>
      <c r="I521" s="98">
        <v>0.5</v>
      </c>
      <c r="J521" s="98">
        <v>0</v>
      </c>
      <c r="K521" s="98">
        <v>5</v>
      </c>
      <c r="L521" s="98">
        <v>2</v>
      </c>
      <c r="M521" s="98">
        <v>1</v>
      </c>
      <c r="N521" s="98"/>
      <c r="O521" s="98">
        <v>0.1</v>
      </c>
      <c r="P521" s="98">
        <f t="shared" si="318"/>
        <v>154.8</v>
      </c>
      <c r="Q521" s="147">
        <f t="shared" si="319"/>
        <v>7.74</v>
      </c>
      <c r="R521" s="149">
        <v>600</v>
      </c>
      <c r="S521" s="132">
        <f t="shared" si="320"/>
        <v>100</v>
      </c>
      <c r="T521" s="132">
        <f t="shared" si="316"/>
        <v>248</v>
      </c>
      <c r="V521" s="80">
        <v>21363</v>
      </c>
      <c r="W521" s="142">
        <f t="shared" si="315"/>
        <v>209</v>
      </c>
      <c r="X521" s="142" t="str">
        <f t="shared" si="298"/>
        <v>{progress_rate,2,200}</v>
      </c>
      <c r="Y521" s="142" t="str">
        <f t="shared" si="299"/>
        <v>{progress,0,2,496}</v>
      </c>
      <c r="Z521" s="142" t="str">
        <f t="shared" si="300"/>
        <v>{progress,0,5103001,15}</v>
      </c>
      <c r="AA521" s="142" t="str">
        <f t="shared" si="301"/>
        <v>{progress,40,5103003,25}</v>
      </c>
      <c r="AB521" s="142" t="str">
        <f t="shared" si="302"/>
        <v>{progress,0,50025,3}</v>
      </c>
      <c r="AC521" s="142" t="str">
        <f t="shared" si="303"/>
        <v>{progress,50,50002,5}</v>
      </c>
      <c r="AD521" s="142" t="str">
        <f t="shared" si="304"/>
        <v>{progress_rate_roll,100,5000,11,1}</v>
      </c>
      <c r="AF521" s="142" t="str">
        <f t="shared" si="305"/>
        <v>{progress,50,5203001,5}</v>
      </c>
      <c r="AG521" s="142" t="str">
        <f t="shared" si="306"/>
        <v>{progress,40,5303001,2}</v>
      </c>
      <c r="AH521" s="142" t="str">
        <f t="shared" si="307"/>
        <v>{progress,0,5401019,1}</v>
      </c>
      <c r="AI521" s="142"/>
      <c r="AJ521" s="142" t="str">
        <f t="shared" si="308"/>
        <v>{progress_rate_roll,100,1000,9,1}</v>
      </c>
      <c r="AN521" s="142" t="str">
        <f t="shared" si="309"/>
        <v>{progress,1,21363,1}</v>
      </c>
      <c r="AO521" s="142" t="str">
        <f t="shared" si="310"/>
        <v>{progress_rate_roll,100,5000,21363,1}</v>
      </c>
      <c r="AP521" s="142" t="str">
        <f t="shared" si="321"/>
        <v>[{progress_rate,2,200},{progress,0,2,496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21" s="142" t="str">
        <f t="shared" si="311"/>
        <v>[{progress_rate,2,200},{progress,0,2,496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21" s="142" t="str">
        <f t="shared" si="322"/>
        <v>[{progress_rate,2,200},{progress,0,2,496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21" s="142" t="str">
        <f t="shared" si="312"/>
        <v>[{progress_rate,2,200},{progress,0,2,496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21" s="142" t="str">
        <f t="shared" si="313"/>
        <v>{progress_rate,2,600},{progress_rate,11,1}</v>
      </c>
      <c r="AV521" s="142" t="str">
        <f t="shared" si="314"/>
        <v>{progress_rate,2,600}</v>
      </c>
      <c r="AW521" s="142" t="s">
        <v>175</v>
      </c>
    </row>
    <row r="522" spans="1:49">
      <c r="A522" s="143" t="str">
        <f t="shared" si="317"/>
        <v>[{2,698},{5103001,40},{14,60},{11,0},{5401000,0},{5203001,0},{5303001,0}]</v>
      </c>
      <c r="B522" s="98">
        <v>210</v>
      </c>
      <c r="C522" s="126">
        <v>200</v>
      </c>
      <c r="D522" s="126">
        <v>498</v>
      </c>
      <c r="E522" s="145">
        <v>15</v>
      </c>
      <c r="F522" s="145">
        <v>25</v>
      </c>
      <c r="G522" s="98">
        <v>3</v>
      </c>
      <c r="H522" s="98">
        <v>5</v>
      </c>
      <c r="I522" s="98">
        <v>0.5</v>
      </c>
      <c r="J522" s="98">
        <v>0</v>
      </c>
      <c r="K522" s="98">
        <v>5</v>
      </c>
      <c r="L522" s="98">
        <v>2</v>
      </c>
      <c r="M522" s="98">
        <v>1</v>
      </c>
      <c r="N522" s="98"/>
      <c r="O522" s="98">
        <v>0.1</v>
      </c>
      <c r="P522" s="98">
        <f t="shared" si="318"/>
        <v>154.9</v>
      </c>
      <c r="Q522" s="147">
        <f t="shared" si="319"/>
        <v>7.745</v>
      </c>
      <c r="R522" s="149">
        <v>600</v>
      </c>
      <c r="S522" s="132">
        <f t="shared" si="320"/>
        <v>100</v>
      </c>
      <c r="T522" s="132">
        <f t="shared" si="316"/>
        <v>249</v>
      </c>
      <c r="V522" s="80">
        <v>21363</v>
      </c>
      <c r="W522" s="142">
        <f t="shared" si="315"/>
        <v>210</v>
      </c>
      <c r="X522" s="142" t="str">
        <f t="shared" si="298"/>
        <v>{progress_rate,2,200}</v>
      </c>
      <c r="Y522" s="142" t="str">
        <f t="shared" si="299"/>
        <v>{progress,0,2,498}</v>
      </c>
      <c r="Z522" s="142" t="str">
        <f t="shared" si="300"/>
        <v>{progress,0,5103001,15}</v>
      </c>
      <c r="AA522" s="142" t="str">
        <f t="shared" si="301"/>
        <v>{progress,40,5103003,25}</v>
      </c>
      <c r="AB522" s="142" t="str">
        <f t="shared" si="302"/>
        <v>{progress,0,50025,3}</v>
      </c>
      <c r="AC522" s="142" t="str">
        <f t="shared" si="303"/>
        <v>{progress,50,50002,5}</v>
      </c>
      <c r="AD522" s="142" t="str">
        <f t="shared" si="304"/>
        <v>{progress_rate_roll,100,5000,11,1}</v>
      </c>
      <c r="AF522" s="142" t="str">
        <f t="shared" si="305"/>
        <v>{progress,50,5203001,5}</v>
      </c>
      <c r="AG522" s="142" t="str">
        <f t="shared" si="306"/>
        <v>{progress,40,5303001,2}</v>
      </c>
      <c r="AH522" s="142" t="str">
        <f t="shared" si="307"/>
        <v>{progress,0,5401019,1}</v>
      </c>
      <c r="AI522" s="142"/>
      <c r="AJ522" s="142" t="str">
        <f t="shared" si="308"/>
        <v>{progress_rate_roll,100,1000,9,1}</v>
      </c>
      <c r="AN522" s="142" t="str">
        <f t="shared" si="309"/>
        <v>{progress,1,21363,1}</v>
      </c>
      <c r="AO522" s="142" t="str">
        <f t="shared" si="310"/>
        <v>{progress_rate_roll,100,5000,21363,1}</v>
      </c>
      <c r="AP522" s="142" t="str">
        <f t="shared" si="321"/>
        <v>[{progress_rate,2,200},{progress,0,2,498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22" s="142" t="str">
        <f t="shared" si="311"/>
        <v>[{progress_rate,2,200},{progress,0,2,498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22" s="142" t="str">
        <f t="shared" si="322"/>
        <v>[{progress_rate,2,200},{progress,0,2,498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22" s="142" t="str">
        <f t="shared" si="312"/>
        <v>[{progress_rate,2,200},{progress,0,2,498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22" s="142" t="str">
        <f t="shared" si="313"/>
        <v>{progress_rate,2,600},{progress_rate,11,1}</v>
      </c>
      <c r="AV522" s="142" t="str">
        <f t="shared" si="314"/>
        <v>{progress_rate,2,600}</v>
      </c>
      <c r="AW522" s="142" t="s">
        <v>175</v>
      </c>
    </row>
    <row r="523" spans="1:49">
      <c r="A523" s="143" t="str">
        <f t="shared" si="317"/>
        <v>[{2,700},{5103001,40},{14,60},{11,0},{5401000,0},{5203001,0},{5303001,0}]</v>
      </c>
      <c r="B523" s="98">
        <v>211</v>
      </c>
      <c r="C523" s="126">
        <v>200</v>
      </c>
      <c r="D523" s="126">
        <v>500</v>
      </c>
      <c r="E523" s="145">
        <v>15</v>
      </c>
      <c r="F523" s="145">
        <v>25</v>
      </c>
      <c r="G523" s="98">
        <v>3</v>
      </c>
      <c r="H523" s="98">
        <v>5</v>
      </c>
      <c r="I523" s="98">
        <v>0.5</v>
      </c>
      <c r="J523" s="98">
        <v>0</v>
      </c>
      <c r="K523" s="98">
        <v>5</v>
      </c>
      <c r="L523" s="98">
        <v>2</v>
      </c>
      <c r="M523" s="98">
        <v>1</v>
      </c>
      <c r="N523" s="98"/>
      <c r="O523" s="98">
        <v>0.1</v>
      </c>
      <c r="P523" s="98">
        <f t="shared" si="318"/>
        <v>155</v>
      </c>
      <c r="Q523" s="147">
        <f t="shared" si="319"/>
        <v>7.75</v>
      </c>
      <c r="R523" s="149">
        <v>600</v>
      </c>
      <c r="S523" s="132">
        <f t="shared" si="320"/>
        <v>100</v>
      </c>
      <c r="T523" s="132">
        <f t="shared" si="316"/>
        <v>250</v>
      </c>
      <c r="V523" s="80">
        <v>21363</v>
      </c>
      <c r="W523" s="142">
        <f t="shared" si="315"/>
        <v>211</v>
      </c>
      <c r="X523" s="142" t="str">
        <f t="shared" si="298"/>
        <v>{progress_rate,2,200}</v>
      </c>
      <c r="Y523" s="142" t="str">
        <f t="shared" si="299"/>
        <v>{progress,0,2,500}</v>
      </c>
      <c r="Z523" s="142" t="str">
        <f t="shared" si="300"/>
        <v>{progress,0,5103001,15}</v>
      </c>
      <c r="AA523" s="142" t="str">
        <f t="shared" si="301"/>
        <v>{progress,40,5103003,25}</v>
      </c>
      <c r="AB523" s="142" t="str">
        <f t="shared" si="302"/>
        <v>{progress,0,50025,3}</v>
      </c>
      <c r="AC523" s="142" t="str">
        <f t="shared" si="303"/>
        <v>{progress,50,50002,5}</v>
      </c>
      <c r="AD523" s="142" t="str">
        <f t="shared" si="304"/>
        <v>{progress_rate_roll,100,5000,11,1}</v>
      </c>
      <c r="AF523" s="142" t="str">
        <f t="shared" si="305"/>
        <v>{progress,50,5203001,5}</v>
      </c>
      <c r="AG523" s="142" t="str">
        <f t="shared" si="306"/>
        <v>{progress,40,5303001,2}</v>
      </c>
      <c r="AH523" s="142" t="str">
        <f t="shared" si="307"/>
        <v>{progress,0,5401019,1}</v>
      </c>
      <c r="AI523" s="142"/>
      <c r="AJ523" s="142" t="str">
        <f t="shared" si="308"/>
        <v>{progress_rate_roll,100,1000,9,1}</v>
      </c>
      <c r="AN523" s="142" t="str">
        <f t="shared" si="309"/>
        <v>{progress,1,21363,1}</v>
      </c>
      <c r="AO523" s="142" t="str">
        <f t="shared" si="310"/>
        <v>{progress_rate_roll,100,5000,21363,1}</v>
      </c>
      <c r="AP523" s="142" t="str">
        <f t="shared" si="321"/>
        <v>[{progress_rate,2,200},{progress,0,2,500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23" s="142" t="str">
        <f t="shared" si="311"/>
        <v>[{progress_rate,2,200},{progress,0,2,500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23" s="142" t="str">
        <f t="shared" si="322"/>
        <v>[{progress_rate,2,200},{progress,0,2,500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23" s="142" t="str">
        <f t="shared" si="312"/>
        <v>[{progress_rate,2,200},{progress,0,2,500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23" s="142" t="str">
        <f t="shared" si="313"/>
        <v>{progress_rate,2,600},{progress_rate,11,1}</v>
      </c>
      <c r="AV523" s="142" t="str">
        <f t="shared" si="314"/>
        <v>{progress_rate,2,600}</v>
      </c>
      <c r="AW523" s="142" t="s">
        <v>175</v>
      </c>
    </row>
    <row r="524" spans="1:49">
      <c r="A524" s="143" t="str">
        <f t="shared" si="317"/>
        <v>[{2,702},{5103001,40},{14,60},{11,0},{5401000,0},{5203001,0},{5303001,0}]</v>
      </c>
      <c r="B524" s="98">
        <v>212</v>
      </c>
      <c r="C524" s="126">
        <v>202</v>
      </c>
      <c r="D524" s="126">
        <v>500</v>
      </c>
      <c r="E524" s="145">
        <v>15</v>
      </c>
      <c r="F524" s="145">
        <v>25</v>
      </c>
      <c r="G524" s="98">
        <v>3</v>
      </c>
      <c r="H524" s="98">
        <v>5</v>
      </c>
      <c r="I524" s="98">
        <v>0.5</v>
      </c>
      <c r="J524" s="98">
        <v>0</v>
      </c>
      <c r="K524" s="98">
        <v>5</v>
      </c>
      <c r="L524" s="98">
        <v>2</v>
      </c>
      <c r="M524" s="98">
        <v>1</v>
      </c>
      <c r="N524" s="98"/>
      <c r="O524" s="98">
        <v>0.1</v>
      </c>
      <c r="P524" s="98">
        <f t="shared" si="318"/>
        <v>155.1</v>
      </c>
      <c r="Q524" s="147">
        <f t="shared" si="319"/>
        <v>7.755</v>
      </c>
      <c r="R524" s="149">
        <v>600</v>
      </c>
      <c r="S524" s="132">
        <f t="shared" si="320"/>
        <v>101</v>
      </c>
      <c r="T524" s="132">
        <f t="shared" si="316"/>
        <v>250</v>
      </c>
      <c r="V524" s="80">
        <v>21363</v>
      </c>
      <c r="W524" s="142">
        <f t="shared" si="315"/>
        <v>212</v>
      </c>
      <c r="X524" s="142" t="str">
        <f t="shared" si="298"/>
        <v>{progress_rate,2,202}</v>
      </c>
      <c r="Y524" s="142" t="str">
        <f t="shared" si="299"/>
        <v>{progress,0,2,500}</v>
      </c>
      <c r="Z524" s="142" t="str">
        <f t="shared" si="300"/>
        <v>{progress,0,5103001,15}</v>
      </c>
      <c r="AA524" s="142" t="str">
        <f t="shared" si="301"/>
        <v>{progress,40,5103003,25}</v>
      </c>
      <c r="AB524" s="142" t="str">
        <f t="shared" si="302"/>
        <v>{progress,0,50025,3}</v>
      </c>
      <c r="AC524" s="142" t="str">
        <f t="shared" si="303"/>
        <v>{progress,50,50002,5}</v>
      </c>
      <c r="AD524" s="142" t="str">
        <f t="shared" si="304"/>
        <v>{progress_rate_roll,100,5000,11,1}</v>
      </c>
      <c r="AF524" s="142" t="str">
        <f t="shared" si="305"/>
        <v>{progress,50,5203001,5}</v>
      </c>
      <c r="AG524" s="142" t="str">
        <f t="shared" si="306"/>
        <v>{progress,40,5303001,2}</v>
      </c>
      <c r="AH524" s="142" t="str">
        <f t="shared" si="307"/>
        <v>{progress,0,5401019,1}</v>
      </c>
      <c r="AI524" s="142"/>
      <c r="AJ524" s="142" t="str">
        <f t="shared" si="308"/>
        <v>{progress_rate_roll,100,1000,9,1}</v>
      </c>
      <c r="AN524" s="142" t="str">
        <f t="shared" si="309"/>
        <v>{progress,1,21363,1}</v>
      </c>
      <c r="AO524" s="142" t="str">
        <f t="shared" si="310"/>
        <v>{progress_rate_roll,100,5000,21363,1}</v>
      </c>
      <c r="AP524" s="142" t="str">
        <f t="shared" si="321"/>
        <v>[{progress_rate,2,202},{progress,0,2,500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24" s="142" t="str">
        <f t="shared" si="311"/>
        <v>[{progress_rate,2,202},{progress,0,2,500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24" s="142" t="str">
        <f t="shared" si="322"/>
        <v>[{progress_rate,2,202},{progress,0,2,500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24" s="142" t="str">
        <f t="shared" si="312"/>
        <v>[{progress_rate,2,202},{progress,0,2,500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24" s="142" t="str">
        <f t="shared" si="313"/>
        <v>{progress_rate,2,600},{progress_rate,11,1}</v>
      </c>
      <c r="AV524" s="142" t="str">
        <f t="shared" si="314"/>
        <v>{progress_rate,2,600}</v>
      </c>
      <c r="AW524" s="142" t="s">
        <v>175</v>
      </c>
    </row>
    <row r="525" spans="1:49">
      <c r="A525" s="143" t="str">
        <f t="shared" si="317"/>
        <v>[{2,704},{5103001,40},{14,60},{11,0},{5401000,0},{5203001,0},{5303001,0}]</v>
      </c>
      <c r="B525" s="98">
        <v>213</v>
      </c>
      <c r="C525" s="126">
        <v>202</v>
      </c>
      <c r="D525" s="126">
        <v>502</v>
      </c>
      <c r="E525" s="145">
        <v>15</v>
      </c>
      <c r="F525" s="145">
        <v>25</v>
      </c>
      <c r="G525" s="98">
        <v>3</v>
      </c>
      <c r="H525" s="98">
        <v>5</v>
      </c>
      <c r="I525" s="98">
        <v>0.5</v>
      </c>
      <c r="J525" s="98">
        <v>0</v>
      </c>
      <c r="K525" s="98">
        <v>5</v>
      </c>
      <c r="L525" s="98">
        <v>2</v>
      </c>
      <c r="M525" s="98">
        <v>1</v>
      </c>
      <c r="N525" s="98"/>
      <c r="O525" s="98">
        <v>0.1</v>
      </c>
      <c r="P525" s="98">
        <f t="shared" si="318"/>
        <v>155.2</v>
      </c>
      <c r="Q525" s="147">
        <f t="shared" si="319"/>
        <v>7.76</v>
      </c>
      <c r="R525" s="149">
        <v>600</v>
      </c>
      <c r="S525" s="132">
        <f t="shared" si="320"/>
        <v>101</v>
      </c>
      <c r="T525" s="132">
        <f t="shared" si="316"/>
        <v>251</v>
      </c>
      <c r="V525" s="80">
        <v>21363</v>
      </c>
      <c r="W525" s="142">
        <f t="shared" si="315"/>
        <v>213</v>
      </c>
      <c r="X525" s="142" t="str">
        <f t="shared" si="298"/>
        <v>{progress_rate,2,202}</v>
      </c>
      <c r="Y525" s="142" t="str">
        <f t="shared" si="299"/>
        <v>{progress,0,2,502}</v>
      </c>
      <c r="Z525" s="142" t="str">
        <f t="shared" si="300"/>
        <v>{progress,0,5103001,15}</v>
      </c>
      <c r="AA525" s="142" t="str">
        <f t="shared" si="301"/>
        <v>{progress,40,5103003,25}</v>
      </c>
      <c r="AB525" s="142" t="str">
        <f t="shared" si="302"/>
        <v>{progress,0,50025,3}</v>
      </c>
      <c r="AC525" s="142" t="str">
        <f t="shared" si="303"/>
        <v>{progress,50,50002,5}</v>
      </c>
      <c r="AD525" s="142" t="str">
        <f t="shared" si="304"/>
        <v>{progress_rate_roll,100,5000,11,1}</v>
      </c>
      <c r="AF525" s="142" t="str">
        <f t="shared" si="305"/>
        <v>{progress,50,5203001,5}</v>
      </c>
      <c r="AG525" s="142" t="str">
        <f t="shared" si="306"/>
        <v>{progress,40,5303001,2}</v>
      </c>
      <c r="AH525" s="142" t="str">
        <f t="shared" si="307"/>
        <v>{progress,0,5401019,1}</v>
      </c>
      <c r="AI525" s="142"/>
      <c r="AJ525" s="142" t="str">
        <f t="shared" si="308"/>
        <v>{progress_rate_roll,100,1000,9,1}</v>
      </c>
      <c r="AN525" s="142" t="str">
        <f t="shared" si="309"/>
        <v>{progress,1,21363,1}</v>
      </c>
      <c r="AO525" s="142" t="str">
        <f t="shared" si="310"/>
        <v>{progress_rate_roll,100,5000,21363,1}</v>
      </c>
      <c r="AP525" s="142" t="str">
        <f t="shared" si="321"/>
        <v>[{progress_rate,2,202},{progress,0,2,502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25" s="142" t="str">
        <f t="shared" si="311"/>
        <v>[{progress_rate,2,202},{progress,0,2,502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25" s="142" t="str">
        <f t="shared" si="322"/>
        <v>[{progress_rate,2,202},{progress,0,2,502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25" s="142" t="str">
        <f t="shared" si="312"/>
        <v>[{progress_rate,2,202},{progress,0,2,502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25" s="142" t="str">
        <f t="shared" si="313"/>
        <v>{progress_rate,2,600},{progress_rate,11,1}</v>
      </c>
      <c r="AV525" s="142" t="str">
        <f t="shared" si="314"/>
        <v>{progress_rate,2,600}</v>
      </c>
      <c r="AW525" s="142" t="s">
        <v>175</v>
      </c>
    </row>
    <row r="526" spans="1:49">
      <c r="A526" s="143" t="str">
        <f t="shared" si="317"/>
        <v>[{2,706},{5103001,40},{14,60},{11,0},{5401000,0},{5203001,0},{5303001,0}]</v>
      </c>
      <c r="B526" s="98">
        <v>214</v>
      </c>
      <c r="C526" s="126">
        <v>202</v>
      </c>
      <c r="D526" s="126">
        <v>504</v>
      </c>
      <c r="E526" s="145">
        <v>15</v>
      </c>
      <c r="F526" s="145">
        <v>25</v>
      </c>
      <c r="G526" s="98">
        <v>3</v>
      </c>
      <c r="H526" s="98">
        <v>5</v>
      </c>
      <c r="I526" s="98">
        <v>0.5</v>
      </c>
      <c r="J526" s="98">
        <v>0</v>
      </c>
      <c r="K526" s="98">
        <v>5</v>
      </c>
      <c r="L526" s="98">
        <v>2</v>
      </c>
      <c r="M526" s="98">
        <v>1</v>
      </c>
      <c r="N526" s="98"/>
      <c r="O526" s="98">
        <v>0.1</v>
      </c>
      <c r="P526" s="98">
        <f t="shared" si="318"/>
        <v>155.3</v>
      </c>
      <c r="Q526" s="147">
        <f t="shared" si="319"/>
        <v>7.765</v>
      </c>
      <c r="R526" s="149">
        <v>600</v>
      </c>
      <c r="S526" s="132">
        <f t="shared" si="320"/>
        <v>101</v>
      </c>
      <c r="T526" s="132">
        <f t="shared" si="316"/>
        <v>252</v>
      </c>
      <c r="V526" s="80">
        <v>21363</v>
      </c>
      <c r="W526" s="142">
        <f t="shared" si="315"/>
        <v>214</v>
      </c>
      <c r="X526" s="142" t="str">
        <f t="shared" si="298"/>
        <v>{progress_rate,2,202}</v>
      </c>
      <c r="Y526" s="142" t="str">
        <f t="shared" si="299"/>
        <v>{progress,0,2,504}</v>
      </c>
      <c r="Z526" s="142" t="str">
        <f t="shared" si="300"/>
        <v>{progress,0,5103001,15}</v>
      </c>
      <c r="AA526" s="142" t="str">
        <f t="shared" si="301"/>
        <v>{progress,40,5103003,25}</v>
      </c>
      <c r="AB526" s="142" t="str">
        <f t="shared" si="302"/>
        <v>{progress,0,50025,3}</v>
      </c>
      <c r="AC526" s="142" t="str">
        <f t="shared" si="303"/>
        <v>{progress,50,50002,5}</v>
      </c>
      <c r="AD526" s="142" t="str">
        <f t="shared" si="304"/>
        <v>{progress_rate_roll,100,5000,11,1}</v>
      </c>
      <c r="AF526" s="142" t="str">
        <f t="shared" si="305"/>
        <v>{progress,50,5203001,5}</v>
      </c>
      <c r="AG526" s="142" t="str">
        <f t="shared" si="306"/>
        <v>{progress,40,5303001,2}</v>
      </c>
      <c r="AH526" s="142" t="str">
        <f t="shared" si="307"/>
        <v>{progress,0,5401019,1}</v>
      </c>
      <c r="AI526" s="142"/>
      <c r="AJ526" s="142" t="str">
        <f t="shared" si="308"/>
        <v>{progress_rate_roll,100,1000,9,1}</v>
      </c>
      <c r="AN526" s="142" t="str">
        <f t="shared" si="309"/>
        <v>{progress,1,21363,1}</v>
      </c>
      <c r="AO526" s="142" t="str">
        <f t="shared" si="310"/>
        <v>{progress_rate_roll,100,5000,21363,1}</v>
      </c>
      <c r="AP526" s="142" t="str">
        <f t="shared" si="321"/>
        <v>[{progress_rate,2,202},{progress,0,2,504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26" s="142" t="str">
        <f t="shared" si="311"/>
        <v>[{progress_rate,2,202},{progress,0,2,504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26" s="142" t="str">
        <f t="shared" si="322"/>
        <v>[{progress_rate,2,202},{progress,0,2,504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26" s="142" t="str">
        <f t="shared" si="312"/>
        <v>[{progress_rate,2,202},{progress,0,2,504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26" s="142" t="str">
        <f t="shared" si="313"/>
        <v>{progress_rate,2,600},{progress_rate,11,1}</v>
      </c>
      <c r="AV526" s="142" t="str">
        <f t="shared" si="314"/>
        <v>{progress_rate,2,600}</v>
      </c>
      <c r="AW526" s="142" t="s">
        <v>175</v>
      </c>
    </row>
    <row r="527" spans="1:49">
      <c r="A527" s="143" t="str">
        <f t="shared" si="317"/>
        <v>[{2,708},{5103001,40},{14,60},{11,0},{5401000,0},{5203001,0},{5303001,0}]</v>
      </c>
      <c r="B527" s="98">
        <v>215</v>
      </c>
      <c r="C527" s="126">
        <v>202</v>
      </c>
      <c r="D527" s="126">
        <v>506</v>
      </c>
      <c r="E527" s="145">
        <v>15</v>
      </c>
      <c r="F527" s="145">
        <v>25</v>
      </c>
      <c r="G527" s="98">
        <v>3</v>
      </c>
      <c r="H527" s="98">
        <v>5</v>
      </c>
      <c r="I527" s="98">
        <v>0.5</v>
      </c>
      <c r="J527" s="98">
        <v>0</v>
      </c>
      <c r="K527" s="98">
        <v>5</v>
      </c>
      <c r="L527" s="98">
        <v>2</v>
      </c>
      <c r="M527" s="98">
        <v>1</v>
      </c>
      <c r="N527" s="98"/>
      <c r="O527" s="98">
        <v>0.1</v>
      </c>
      <c r="P527" s="98">
        <f t="shared" si="318"/>
        <v>155.4</v>
      </c>
      <c r="Q527" s="147">
        <f t="shared" si="319"/>
        <v>7.77</v>
      </c>
      <c r="R527" s="149">
        <v>600</v>
      </c>
      <c r="S527" s="132">
        <f t="shared" si="320"/>
        <v>101</v>
      </c>
      <c r="T527" s="132">
        <f t="shared" si="316"/>
        <v>253</v>
      </c>
      <c r="V527" s="80">
        <v>21363</v>
      </c>
      <c r="W527" s="142">
        <f t="shared" si="315"/>
        <v>215</v>
      </c>
      <c r="X527" s="142" t="str">
        <f t="shared" ref="X527:X558" si="323">IF(C$311="","{progress_rate,"&amp;C$308&amp;","&amp;C527&amp;"}",IF(C527&gt;=1,"{progress,"&amp;C$311*100&amp;","&amp;C$308&amp;","&amp;C527&amp;"}","{progress_rate_roll,"&amp;C$311*100&amp;","&amp;INT(C527*10000)&amp;","&amp;C$308&amp;","&amp;1&amp;"}"))</f>
        <v>{progress_rate,2,202}</v>
      </c>
      <c r="Y527" s="142" t="str">
        <f t="shared" ref="Y527:Y558" si="324">IF(D$311="","{progress_rate,"&amp;D$308&amp;","&amp;D527&amp;"}",IF(D527&gt;=1,"{progress,"&amp;D$311*100&amp;","&amp;D$308&amp;","&amp;D527&amp;"}","{progress_rate_roll,"&amp;D$311*100&amp;","&amp;INT(D527*10000)&amp;","&amp;D$308&amp;","&amp;1&amp;"}"))</f>
        <v>{progress,0,2,506}</v>
      </c>
      <c r="Z527" s="142" t="str">
        <f t="shared" ref="Z527:Z558" si="325">IF(E$311="","{progress_rate,"&amp;E$308&amp;","&amp;E527&amp;"}",IF(E527&gt;=1,"{progress,"&amp;E$311*100&amp;","&amp;E$308&amp;","&amp;E527&amp;"}","{progress_rate_roll,"&amp;E$311*100&amp;","&amp;INT(E527*10000)&amp;","&amp;E$308&amp;","&amp;1&amp;"}"))</f>
        <v>{progress,0,5103001,15}</v>
      </c>
      <c r="AA527" s="142" t="str">
        <f t="shared" ref="AA527:AA558" si="326">IF(F$311="","{progress_rate,"&amp;F$308&amp;","&amp;F527&amp;"}",IF(F527&gt;=1,"{progress,"&amp;F$311*100&amp;","&amp;F$308&amp;","&amp;F527&amp;"}","{progress_rate_roll,"&amp;F$311*100&amp;","&amp;INT(F527*10000)&amp;","&amp;F$308&amp;","&amp;1&amp;"}"))</f>
        <v>{progress,40,5103003,25}</v>
      </c>
      <c r="AB527" s="142" t="str">
        <f t="shared" ref="AB527:AB558" si="327">IF(G$311="","{progress_rate,"&amp;G$308&amp;","&amp;G527&amp;"}",IF(G527&gt;=1,"{progress,"&amp;G$311*100&amp;","&amp;G$308&amp;","&amp;G527&amp;"}","{progress_rate_roll,"&amp;G$311*100&amp;","&amp;INT(G527*10000)&amp;","&amp;G$308&amp;","&amp;1&amp;"}"))</f>
        <v>{progress,0,50025,3}</v>
      </c>
      <c r="AC527" s="142" t="str">
        <f t="shared" ref="AC527:AC558" si="328">IF(H$311="","{progress_rate,"&amp;H$308&amp;","&amp;H527&amp;"}",IF(H527&gt;=1,"{progress,"&amp;H$311*100&amp;","&amp;H$308&amp;","&amp;H527&amp;"}","{progress_rate_roll,"&amp;H$311*100&amp;","&amp;INT(H527*10000)&amp;","&amp;H$308&amp;","&amp;1&amp;"}"))</f>
        <v>{progress,50,50002,5}</v>
      </c>
      <c r="AD527" s="142" t="str">
        <f t="shared" ref="AD527:AD558" si="329">IF(I$311="","{progress_rate,"&amp;I$308&amp;","&amp;I527&amp;"}",IF(I527&gt;=1,"{progress,"&amp;I$311*100&amp;","&amp;I$308&amp;","&amp;I527&amp;"}","{progress_rate_roll,"&amp;I$311*100&amp;","&amp;INT(I527*10000)&amp;","&amp;I$308&amp;","&amp;1&amp;"}"))</f>
        <v>{progress_rate_roll,100,5000,11,1}</v>
      </c>
      <c r="AF527" s="142" t="str">
        <f t="shared" ref="AF527:AF558" si="330">IF(K$311="","{progress_rate,"&amp;K$308&amp;","&amp;K527&amp;"}",IF(K527&gt;=1,"{progress,"&amp;K$311*100&amp;","&amp;K$308&amp;","&amp;K527&amp;"}","{progress_rate_roll,"&amp;K$311*100&amp;","&amp;INT(K527*10000)&amp;","&amp;K$308&amp;","&amp;1&amp;"}"))</f>
        <v>{progress,50,5203001,5}</v>
      </c>
      <c r="AG527" s="142" t="str">
        <f t="shared" ref="AG527:AG558" si="331">IF(L$311="","{progress_rate,"&amp;L$308&amp;","&amp;L527&amp;"}",IF(L527&gt;=1,"{progress,"&amp;L$311*100&amp;","&amp;L$308&amp;","&amp;L527&amp;"}","{progress_rate_roll,"&amp;L$311*100&amp;","&amp;INT(L527*10000)&amp;","&amp;L$308&amp;","&amp;1&amp;"}"))</f>
        <v>{progress,40,5303001,2}</v>
      </c>
      <c r="AH527" s="142" t="str">
        <f t="shared" ref="AH527:AH558" si="332">IF(M$311="","{progress_rate,"&amp;M$308&amp;","&amp;M527&amp;"}",IF(M527&gt;=1,"{progress,"&amp;M$311*100&amp;","&amp;M$308&amp;","&amp;M527&amp;"}","{progress_rate_roll,"&amp;M$311*100&amp;","&amp;INT(M527*10000)&amp;","&amp;M$308&amp;","&amp;1&amp;"}"))</f>
        <v>{progress,0,5401019,1}</v>
      </c>
      <c r="AI527" s="142"/>
      <c r="AJ527" s="142" t="str">
        <f t="shared" ref="AJ527:AJ558" si="333">IF(O$311="","{progress_rate,"&amp;O$308&amp;","&amp;O527&amp;"}",IF(O527&gt;=1,"{progress,"&amp;O$311*100&amp;","&amp;O$308&amp;","&amp;O527&amp;"}","{progress_rate_roll,"&amp;O$311*100&amp;","&amp;INT(O527*10000)&amp;","&amp;O$308&amp;","&amp;1&amp;"}"))</f>
        <v>{progress_rate_roll,100,1000,9,1}</v>
      </c>
      <c r="AN527" s="142" t="str">
        <f t="shared" ref="AN527:AN558" si="334">"{progress,1,"&amp;V527&amp;",1}"</f>
        <v>{progress,1,21363,1}</v>
      </c>
      <c r="AO527" s="142" t="str">
        <f t="shared" ref="AO527:AO558" si="335">"{progress_rate_roll,100,5000,"&amp;V527&amp;",1}"</f>
        <v>{progress_rate_roll,100,5000,21363,1}</v>
      </c>
      <c r="AP527" s="142" t="str">
        <f t="shared" si="321"/>
        <v>[{progress_rate,2,202},{progress,0,2,506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27" s="142" t="str">
        <f t="shared" ref="AQ527:AQ558" si="336">"["&amp;_xlfn.TEXTJOIN(",",1,X527:AO527)&amp;"]"</f>
        <v>[{progress_rate,2,202},{progress,0,2,506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27" s="142" t="str">
        <f t="shared" si="322"/>
        <v>[{progress_rate,2,202},{progress,0,2,506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27" s="142" t="str">
        <f t="shared" ref="AS527:AS558" si="337">IF(AT527="",SUBSTITUTE(AQ527,"]",","&amp;AU527&amp;"]"),SUBSTITUTE(SUBSTITUTE(SUBSTITUTE(AQ527,"]",","&amp;AU527&amp;"]"),$G$308,AT527),$H$308,SUBSTITUTE(AT527+1,50009,50003)))</f>
        <v>[{progress_rate,2,202},{progress,0,2,506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27" s="142" t="str">
        <f t="shared" ref="AU527:AU558" si="338">_xlfn.TEXTJOIN(",",1,AV527:BD527)</f>
        <v>{progress_rate,2,600},{progress_rate,11,1}</v>
      </c>
      <c r="AV527" s="142" t="str">
        <f t="shared" ref="AV527:AV558" si="339">"{progress_rate,2,"&amp;MIN(1200,600+INT(B527/10)*0)&amp;"}"</f>
        <v>{progress_rate,2,600}</v>
      </c>
      <c r="AW527" s="142" t="s">
        <v>175</v>
      </c>
    </row>
    <row r="528" spans="1:49">
      <c r="A528" s="143" t="str">
        <f t="shared" si="317"/>
        <v>[{2,710},{5103001,40},{14,60},{11,0},{5401000,0},{5203001,0},{5303001,0}]</v>
      </c>
      <c r="B528" s="98">
        <v>216</v>
      </c>
      <c r="C528" s="126">
        <v>204</v>
      </c>
      <c r="D528" s="126">
        <v>506</v>
      </c>
      <c r="E528" s="145">
        <v>15</v>
      </c>
      <c r="F528" s="145">
        <v>25</v>
      </c>
      <c r="G528" s="98">
        <v>3</v>
      </c>
      <c r="H528" s="98">
        <v>5</v>
      </c>
      <c r="I528" s="98">
        <v>0.5</v>
      </c>
      <c r="J528" s="98">
        <v>0</v>
      </c>
      <c r="K528" s="98">
        <v>5</v>
      </c>
      <c r="L528" s="98">
        <v>2</v>
      </c>
      <c r="M528" s="98">
        <v>1</v>
      </c>
      <c r="N528" s="98"/>
      <c r="O528" s="98">
        <v>0.1</v>
      </c>
      <c r="P528" s="98">
        <f t="shared" si="318"/>
        <v>155.5</v>
      </c>
      <c r="Q528" s="147">
        <f t="shared" si="319"/>
        <v>7.775</v>
      </c>
      <c r="R528" s="149">
        <v>600</v>
      </c>
      <c r="S528" s="132">
        <f t="shared" si="320"/>
        <v>102</v>
      </c>
      <c r="T528" s="132">
        <f t="shared" si="316"/>
        <v>253</v>
      </c>
      <c r="V528" s="80">
        <v>21363</v>
      </c>
      <c r="W528" s="142">
        <f t="shared" si="315"/>
        <v>216</v>
      </c>
      <c r="X528" s="142" t="str">
        <f t="shared" si="323"/>
        <v>{progress_rate,2,204}</v>
      </c>
      <c r="Y528" s="142" t="str">
        <f t="shared" si="324"/>
        <v>{progress,0,2,506}</v>
      </c>
      <c r="Z528" s="142" t="str">
        <f t="shared" si="325"/>
        <v>{progress,0,5103001,15}</v>
      </c>
      <c r="AA528" s="142" t="str">
        <f t="shared" si="326"/>
        <v>{progress,40,5103003,25}</v>
      </c>
      <c r="AB528" s="142" t="str">
        <f t="shared" si="327"/>
        <v>{progress,0,50025,3}</v>
      </c>
      <c r="AC528" s="142" t="str">
        <f t="shared" si="328"/>
        <v>{progress,50,50002,5}</v>
      </c>
      <c r="AD528" s="142" t="str">
        <f t="shared" si="329"/>
        <v>{progress_rate_roll,100,5000,11,1}</v>
      </c>
      <c r="AF528" s="142" t="str">
        <f t="shared" si="330"/>
        <v>{progress,50,5203001,5}</v>
      </c>
      <c r="AG528" s="142" t="str">
        <f t="shared" si="331"/>
        <v>{progress,40,5303001,2}</v>
      </c>
      <c r="AH528" s="142" t="str">
        <f t="shared" si="332"/>
        <v>{progress,0,5401019,1}</v>
      </c>
      <c r="AI528" s="142"/>
      <c r="AJ528" s="142" t="str">
        <f t="shared" si="333"/>
        <v>{progress_rate_roll,100,1000,9,1}</v>
      </c>
      <c r="AN528" s="142" t="str">
        <f t="shared" si="334"/>
        <v>{progress,1,21363,1}</v>
      </c>
      <c r="AO528" s="142" t="str">
        <f t="shared" si="335"/>
        <v>{progress_rate_roll,100,5000,21363,1}</v>
      </c>
      <c r="AP528" s="142" t="str">
        <f t="shared" si="321"/>
        <v>[{progress_rate,2,204},{progress,0,2,506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28" s="142" t="str">
        <f t="shared" si="336"/>
        <v>[{progress_rate,2,204},{progress,0,2,506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28" s="142" t="str">
        <f t="shared" si="322"/>
        <v>[{progress_rate,2,204},{progress,0,2,506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28" s="142" t="str">
        <f t="shared" si="337"/>
        <v>[{progress_rate,2,204},{progress,0,2,506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28" s="142" t="str">
        <f t="shared" si="338"/>
        <v>{progress_rate,2,600},{progress_rate,11,1}</v>
      </c>
      <c r="AV528" s="142" t="str">
        <f t="shared" si="339"/>
        <v>{progress_rate,2,600}</v>
      </c>
      <c r="AW528" s="142" t="s">
        <v>175</v>
      </c>
    </row>
    <row r="529" spans="1:49">
      <c r="A529" s="143" t="str">
        <f t="shared" si="317"/>
        <v>[{2,712},{5103001,40},{14,60},{11,0},{5401000,0},{5203001,0},{5303001,0}]</v>
      </c>
      <c r="B529" s="98">
        <v>217</v>
      </c>
      <c r="C529" s="126">
        <v>204</v>
      </c>
      <c r="D529" s="126">
        <v>508</v>
      </c>
      <c r="E529" s="145">
        <v>15</v>
      </c>
      <c r="F529" s="145">
        <v>25</v>
      </c>
      <c r="G529" s="98">
        <v>3</v>
      </c>
      <c r="H529" s="98">
        <v>5</v>
      </c>
      <c r="I529" s="98">
        <v>0.5</v>
      </c>
      <c r="J529" s="98">
        <v>0</v>
      </c>
      <c r="K529" s="98">
        <v>5</v>
      </c>
      <c r="L529" s="98">
        <v>2</v>
      </c>
      <c r="M529" s="98">
        <v>1</v>
      </c>
      <c r="N529" s="98"/>
      <c r="O529" s="98">
        <v>0.1</v>
      </c>
      <c r="P529" s="98">
        <f t="shared" si="318"/>
        <v>155.6</v>
      </c>
      <c r="Q529" s="147">
        <f t="shared" si="319"/>
        <v>7.78</v>
      </c>
      <c r="R529" s="149">
        <v>600</v>
      </c>
      <c r="S529" s="132">
        <f t="shared" si="320"/>
        <v>102</v>
      </c>
      <c r="T529" s="132">
        <f t="shared" si="316"/>
        <v>254</v>
      </c>
      <c r="V529" s="80">
        <v>21363</v>
      </c>
      <c r="W529" s="142">
        <f t="shared" ref="W529:W560" si="340">B529</f>
        <v>217</v>
      </c>
      <c r="X529" s="142" t="str">
        <f t="shared" si="323"/>
        <v>{progress_rate,2,204}</v>
      </c>
      <c r="Y529" s="142" t="str">
        <f t="shared" si="324"/>
        <v>{progress,0,2,508}</v>
      </c>
      <c r="Z529" s="142" t="str">
        <f t="shared" si="325"/>
        <v>{progress,0,5103001,15}</v>
      </c>
      <c r="AA529" s="142" t="str">
        <f t="shared" si="326"/>
        <v>{progress,40,5103003,25}</v>
      </c>
      <c r="AB529" s="142" t="str">
        <f t="shared" si="327"/>
        <v>{progress,0,50025,3}</v>
      </c>
      <c r="AC529" s="142" t="str">
        <f t="shared" si="328"/>
        <v>{progress,50,50002,5}</v>
      </c>
      <c r="AD529" s="142" t="str">
        <f t="shared" si="329"/>
        <v>{progress_rate_roll,100,5000,11,1}</v>
      </c>
      <c r="AF529" s="142" t="str">
        <f t="shared" si="330"/>
        <v>{progress,50,5203001,5}</v>
      </c>
      <c r="AG529" s="142" t="str">
        <f t="shared" si="331"/>
        <v>{progress,40,5303001,2}</v>
      </c>
      <c r="AH529" s="142" t="str">
        <f t="shared" si="332"/>
        <v>{progress,0,5401019,1}</v>
      </c>
      <c r="AI529" s="142"/>
      <c r="AJ529" s="142" t="str">
        <f t="shared" si="333"/>
        <v>{progress_rate_roll,100,1000,9,1}</v>
      </c>
      <c r="AN529" s="142" t="str">
        <f t="shared" si="334"/>
        <v>{progress,1,21363,1}</v>
      </c>
      <c r="AO529" s="142" t="str">
        <f t="shared" si="335"/>
        <v>{progress_rate_roll,100,5000,21363,1}</v>
      </c>
      <c r="AP529" s="142" t="str">
        <f t="shared" si="321"/>
        <v>[{progress_rate,2,204},{progress,0,2,508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29" s="142" t="str">
        <f t="shared" si="336"/>
        <v>[{progress_rate,2,204},{progress,0,2,508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29" s="142" t="str">
        <f t="shared" si="322"/>
        <v>[{progress_rate,2,204},{progress,0,2,508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29" s="142" t="str">
        <f t="shared" si="337"/>
        <v>[{progress_rate,2,204},{progress,0,2,508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29" s="142" t="str">
        <f t="shared" si="338"/>
        <v>{progress_rate,2,600},{progress_rate,11,1}</v>
      </c>
      <c r="AV529" s="142" t="str">
        <f t="shared" si="339"/>
        <v>{progress_rate,2,600}</v>
      </c>
      <c r="AW529" s="142" t="s">
        <v>175</v>
      </c>
    </row>
    <row r="530" spans="1:49">
      <c r="A530" s="143" t="str">
        <f t="shared" si="317"/>
        <v>[{2,714},{5103001,40},{14,60},{11,0},{5401000,0},{5203001,0},{5303001,0}]</v>
      </c>
      <c r="B530" s="98">
        <v>218</v>
      </c>
      <c r="C530" s="126">
        <v>204</v>
      </c>
      <c r="D530" s="126">
        <v>510</v>
      </c>
      <c r="E530" s="145">
        <v>15</v>
      </c>
      <c r="F530" s="145">
        <v>25</v>
      </c>
      <c r="G530" s="98">
        <v>3</v>
      </c>
      <c r="H530" s="98">
        <v>5</v>
      </c>
      <c r="I530" s="98">
        <v>0.5</v>
      </c>
      <c r="J530" s="98">
        <v>0</v>
      </c>
      <c r="K530" s="98">
        <v>5</v>
      </c>
      <c r="L530" s="98">
        <v>2</v>
      </c>
      <c r="M530" s="98">
        <v>1</v>
      </c>
      <c r="N530" s="98"/>
      <c r="O530" s="98">
        <v>0.1</v>
      </c>
      <c r="P530" s="98">
        <f t="shared" si="318"/>
        <v>155.7</v>
      </c>
      <c r="Q530" s="147">
        <f t="shared" si="319"/>
        <v>7.785</v>
      </c>
      <c r="R530" s="149">
        <v>600</v>
      </c>
      <c r="S530" s="132">
        <f t="shared" si="320"/>
        <v>102</v>
      </c>
      <c r="T530" s="132">
        <f t="shared" ref="T530:T561" si="341">D530/2</f>
        <v>255</v>
      </c>
      <c r="V530" s="80">
        <v>21363</v>
      </c>
      <c r="W530" s="142">
        <f t="shared" si="340"/>
        <v>218</v>
      </c>
      <c r="X530" s="142" t="str">
        <f t="shared" si="323"/>
        <v>{progress_rate,2,204}</v>
      </c>
      <c r="Y530" s="142" t="str">
        <f t="shared" si="324"/>
        <v>{progress,0,2,510}</v>
      </c>
      <c r="Z530" s="142" t="str">
        <f t="shared" si="325"/>
        <v>{progress,0,5103001,15}</v>
      </c>
      <c r="AA530" s="142" t="str">
        <f t="shared" si="326"/>
        <v>{progress,40,5103003,25}</v>
      </c>
      <c r="AB530" s="142" t="str">
        <f t="shared" si="327"/>
        <v>{progress,0,50025,3}</v>
      </c>
      <c r="AC530" s="142" t="str">
        <f t="shared" si="328"/>
        <v>{progress,50,50002,5}</v>
      </c>
      <c r="AD530" s="142" t="str">
        <f t="shared" si="329"/>
        <v>{progress_rate_roll,100,5000,11,1}</v>
      </c>
      <c r="AF530" s="142" t="str">
        <f t="shared" si="330"/>
        <v>{progress,50,5203001,5}</v>
      </c>
      <c r="AG530" s="142" t="str">
        <f t="shared" si="331"/>
        <v>{progress,40,5303001,2}</v>
      </c>
      <c r="AH530" s="142" t="str">
        <f t="shared" si="332"/>
        <v>{progress,0,5401019,1}</v>
      </c>
      <c r="AI530" s="142"/>
      <c r="AJ530" s="142" t="str">
        <f t="shared" si="333"/>
        <v>{progress_rate_roll,100,1000,9,1}</v>
      </c>
      <c r="AN530" s="142" t="str">
        <f t="shared" si="334"/>
        <v>{progress,1,21363,1}</v>
      </c>
      <c r="AO530" s="142" t="str">
        <f t="shared" si="335"/>
        <v>{progress_rate_roll,100,5000,21363,1}</v>
      </c>
      <c r="AP530" s="142" t="str">
        <f t="shared" si="321"/>
        <v>[{progress_rate,2,204},{progress,0,2,510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30" s="142" t="str">
        <f t="shared" si="336"/>
        <v>[{progress_rate,2,204},{progress,0,2,510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30" s="142" t="str">
        <f t="shared" si="322"/>
        <v>[{progress_rate,2,204},{progress,0,2,510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30" s="142" t="str">
        <f t="shared" si="337"/>
        <v>[{progress_rate,2,204},{progress,0,2,510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30" s="142" t="str">
        <f t="shared" si="338"/>
        <v>{progress_rate,2,600},{progress_rate,11,1}</v>
      </c>
      <c r="AV530" s="142" t="str">
        <f t="shared" si="339"/>
        <v>{progress_rate,2,600}</v>
      </c>
      <c r="AW530" s="142" t="s">
        <v>175</v>
      </c>
    </row>
    <row r="531" spans="1:49">
      <c r="A531" s="143" t="str">
        <f t="shared" si="317"/>
        <v>[{2,716},{5103001,40},{14,60},{11,0},{5401000,0},{5203001,0},{5303001,0}]</v>
      </c>
      <c r="B531" s="98">
        <v>219</v>
      </c>
      <c r="C531" s="126">
        <v>206</v>
      </c>
      <c r="D531" s="126">
        <v>510</v>
      </c>
      <c r="E531" s="145">
        <v>15</v>
      </c>
      <c r="F531" s="145">
        <v>25</v>
      </c>
      <c r="G531" s="98">
        <v>3</v>
      </c>
      <c r="H531" s="98">
        <v>5</v>
      </c>
      <c r="I531" s="98">
        <v>0.5</v>
      </c>
      <c r="J531" s="98">
        <v>0</v>
      </c>
      <c r="K531" s="98">
        <v>5</v>
      </c>
      <c r="L531" s="98">
        <v>2</v>
      </c>
      <c r="M531" s="98">
        <v>1</v>
      </c>
      <c r="N531" s="98"/>
      <c r="O531" s="98">
        <v>0.1</v>
      </c>
      <c r="P531" s="98">
        <f t="shared" si="318"/>
        <v>155.8</v>
      </c>
      <c r="Q531" s="147">
        <f t="shared" si="319"/>
        <v>7.79</v>
      </c>
      <c r="R531" s="149">
        <v>600</v>
      </c>
      <c r="S531" s="132">
        <f t="shared" si="320"/>
        <v>103</v>
      </c>
      <c r="T531" s="132">
        <f t="shared" si="341"/>
        <v>255</v>
      </c>
      <c r="V531" s="80">
        <v>21363</v>
      </c>
      <c r="W531" s="142">
        <f t="shared" si="340"/>
        <v>219</v>
      </c>
      <c r="X531" s="142" t="str">
        <f t="shared" si="323"/>
        <v>{progress_rate,2,206}</v>
      </c>
      <c r="Y531" s="142" t="str">
        <f t="shared" si="324"/>
        <v>{progress,0,2,510}</v>
      </c>
      <c r="Z531" s="142" t="str">
        <f t="shared" si="325"/>
        <v>{progress,0,5103001,15}</v>
      </c>
      <c r="AA531" s="142" t="str">
        <f t="shared" si="326"/>
        <v>{progress,40,5103003,25}</v>
      </c>
      <c r="AB531" s="142" t="str">
        <f t="shared" si="327"/>
        <v>{progress,0,50025,3}</v>
      </c>
      <c r="AC531" s="142" t="str">
        <f t="shared" si="328"/>
        <v>{progress,50,50002,5}</v>
      </c>
      <c r="AD531" s="142" t="str">
        <f t="shared" si="329"/>
        <v>{progress_rate_roll,100,5000,11,1}</v>
      </c>
      <c r="AF531" s="142" t="str">
        <f t="shared" si="330"/>
        <v>{progress,50,5203001,5}</v>
      </c>
      <c r="AG531" s="142" t="str">
        <f t="shared" si="331"/>
        <v>{progress,40,5303001,2}</v>
      </c>
      <c r="AH531" s="142" t="str">
        <f t="shared" si="332"/>
        <v>{progress,0,5401019,1}</v>
      </c>
      <c r="AI531" s="142"/>
      <c r="AJ531" s="142" t="str">
        <f t="shared" si="333"/>
        <v>{progress_rate_roll,100,1000,9,1}</v>
      </c>
      <c r="AN531" s="142" t="str">
        <f t="shared" si="334"/>
        <v>{progress,1,21363,1}</v>
      </c>
      <c r="AO531" s="142" t="str">
        <f t="shared" si="335"/>
        <v>{progress_rate_roll,100,5000,21363,1}</v>
      </c>
      <c r="AP531" s="142" t="str">
        <f t="shared" si="321"/>
        <v>[{progress_rate,2,206},{progress,0,2,510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31" s="142" t="str">
        <f t="shared" si="336"/>
        <v>[{progress_rate,2,206},{progress,0,2,510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31" s="142" t="str">
        <f t="shared" si="322"/>
        <v>[{progress_rate,2,206},{progress,0,2,510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31" s="142" t="str">
        <f t="shared" si="337"/>
        <v>[{progress_rate,2,206},{progress,0,2,510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31" s="142" t="str">
        <f t="shared" si="338"/>
        <v>{progress_rate,2,600},{progress_rate,11,1}</v>
      </c>
      <c r="AV531" s="142" t="str">
        <f t="shared" si="339"/>
        <v>{progress_rate,2,600}</v>
      </c>
      <c r="AW531" s="142" t="s">
        <v>175</v>
      </c>
    </row>
    <row r="532" spans="1:49">
      <c r="A532" s="143" t="str">
        <f t="shared" si="317"/>
        <v>[{2,718},{5103001,40},{14,60},{11,0},{5401000,0},{5203001,0},{5303001,0}]</v>
      </c>
      <c r="B532" s="98">
        <v>220</v>
      </c>
      <c r="C532" s="126">
        <v>206</v>
      </c>
      <c r="D532" s="126">
        <v>512</v>
      </c>
      <c r="E532" s="145">
        <v>15</v>
      </c>
      <c r="F532" s="145">
        <v>25</v>
      </c>
      <c r="G532" s="98">
        <v>3</v>
      </c>
      <c r="H532" s="98">
        <v>5</v>
      </c>
      <c r="I532" s="98">
        <v>0.5</v>
      </c>
      <c r="J532" s="98">
        <v>0</v>
      </c>
      <c r="K532" s="98">
        <v>5</v>
      </c>
      <c r="L532" s="98">
        <v>2</v>
      </c>
      <c r="M532" s="98">
        <v>1</v>
      </c>
      <c r="N532" s="98"/>
      <c r="O532" s="98">
        <v>0.1</v>
      </c>
      <c r="P532" s="98">
        <f t="shared" si="318"/>
        <v>155.9</v>
      </c>
      <c r="Q532" s="147">
        <f t="shared" si="319"/>
        <v>7.795</v>
      </c>
      <c r="R532" s="149">
        <v>600</v>
      </c>
      <c r="S532" s="132">
        <f t="shared" si="320"/>
        <v>103</v>
      </c>
      <c r="T532" s="132">
        <f t="shared" si="341"/>
        <v>256</v>
      </c>
      <c r="V532" s="80">
        <v>21363</v>
      </c>
      <c r="W532" s="142">
        <f t="shared" si="340"/>
        <v>220</v>
      </c>
      <c r="X532" s="142" t="str">
        <f t="shared" si="323"/>
        <v>{progress_rate,2,206}</v>
      </c>
      <c r="Y532" s="142" t="str">
        <f t="shared" si="324"/>
        <v>{progress,0,2,512}</v>
      </c>
      <c r="Z532" s="142" t="str">
        <f t="shared" si="325"/>
        <v>{progress,0,5103001,15}</v>
      </c>
      <c r="AA532" s="142" t="str">
        <f t="shared" si="326"/>
        <v>{progress,40,5103003,25}</v>
      </c>
      <c r="AB532" s="142" t="str">
        <f t="shared" si="327"/>
        <v>{progress,0,50025,3}</v>
      </c>
      <c r="AC532" s="142" t="str">
        <f t="shared" si="328"/>
        <v>{progress,50,50002,5}</v>
      </c>
      <c r="AD532" s="142" t="str">
        <f t="shared" si="329"/>
        <v>{progress_rate_roll,100,5000,11,1}</v>
      </c>
      <c r="AF532" s="142" t="str">
        <f t="shared" si="330"/>
        <v>{progress,50,5203001,5}</v>
      </c>
      <c r="AG532" s="142" t="str">
        <f t="shared" si="331"/>
        <v>{progress,40,5303001,2}</v>
      </c>
      <c r="AH532" s="142" t="str">
        <f t="shared" si="332"/>
        <v>{progress,0,5401019,1}</v>
      </c>
      <c r="AI532" s="142"/>
      <c r="AJ532" s="142" t="str">
        <f t="shared" si="333"/>
        <v>{progress_rate_roll,100,1000,9,1}</v>
      </c>
      <c r="AN532" s="142" t="str">
        <f t="shared" si="334"/>
        <v>{progress,1,21363,1}</v>
      </c>
      <c r="AO532" s="142" t="str">
        <f t="shared" si="335"/>
        <v>{progress_rate_roll,100,5000,21363,1}</v>
      </c>
      <c r="AP532" s="142" t="str">
        <f t="shared" si="321"/>
        <v>[{progress_rate,2,206},{progress,0,2,512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32" s="142" t="str">
        <f t="shared" si="336"/>
        <v>[{progress_rate,2,206},{progress,0,2,512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32" s="142" t="str">
        <f t="shared" si="322"/>
        <v>[{progress_rate,2,206},{progress,0,2,512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32" s="142" t="str">
        <f t="shared" si="337"/>
        <v>[{progress_rate,2,206},{progress,0,2,512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32" s="142" t="str">
        <f t="shared" si="338"/>
        <v>{progress_rate,2,600},{progress_rate,11,1}</v>
      </c>
      <c r="AV532" s="142" t="str">
        <f t="shared" si="339"/>
        <v>{progress_rate,2,600}</v>
      </c>
      <c r="AW532" s="142" t="s">
        <v>175</v>
      </c>
    </row>
    <row r="533" spans="1:49">
      <c r="A533" s="143" t="str">
        <f t="shared" si="317"/>
        <v>[{2,720},{5103001,40},{14,60},{11,0},{5401000,0},{5203001,0},{5303001,0}]</v>
      </c>
      <c r="B533" s="98">
        <v>221</v>
      </c>
      <c r="C533" s="126">
        <v>206</v>
      </c>
      <c r="D533" s="126">
        <v>514</v>
      </c>
      <c r="E533" s="145">
        <v>15</v>
      </c>
      <c r="F533" s="145">
        <v>25</v>
      </c>
      <c r="G533" s="98">
        <v>3</v>
      </c>
      <c r="H533" s="98">
        <v>5</v>
      </c>
      <c r="I533" s="98">
        <v>0.5</v>
      </c>
      <c r="J533" s="98">
        <v>0</v>
      </c>
      <c r="K533" s="98">
        <v>5</v>
      </c>
      <c r="L533" s="98">
        <v>2</v>
      </c>
      <c r="M533" s="98">
        <v>1</v>
      </c>
      <c r="N533" s="98"/>
      <c r="O533" s="98">
        <v>0.1</v>
      </c>
      <c r="P533" s="98">
        <f t="shared" si="318"/>
        <v>156</v>
      </c>
      <c r="Q533" s="147">
        <f t="shared" si="319"/>
        <v>7.8</v>
      </c>
      <c r="R533" s="149">
        <v>600</v>
      </c>
      <c r="S533" s="132">
        <f t="shared" si="320"/>
        <v>103</v>
      </c>
      <c r="T533" s="132">
        <f t="shared" si="341"/>
        <v>257</v>
      </c>
      <c r="V533" s="80">
        <v>21363</v>
      </c>
      <c r="W533" s="142">
        <f t="shared" si="340"/>
        <v>221</v>
      </c>
      <c r="X533" s="142" t="str">
        <f t="shared" si="323"/>
        <v>{progress_rate,2,206}</v>
      </c>
      <c r="Y533" s="142" t="str">
        <f t="shared" si="324"/>
        <v>{progress,0,2,514}</v>
      </c>
      <c r="Z533" s="142" t="str">
        <f t="shared" si="325"/>
        <v>{progress,0,5103001,15}</v>
      </c>
      <c r="AA533" s="142" t="str">
        <f t="shared" si="326"/>
        <v>{progress,40,5103003,25}</v>
      </c>
      <c r="AB533" s="142" t="str">
        <f t="shared" si="327"/>
        <v>{progress,0,50025,3}</v>
      </c>
      <c r="AC533" s="142" t="str">
        <f t="shared" si="328"/>
        <v>{progress,50,50002,5}</v>
      </c>
      <c r="AD533" s="142" t="str">
        <f t="shared" si="329"/>
        <v>{progress_rate_roll,100,5000,11,1}</v>
      </c>
      <c r="AF533" s="142" t="str">
        <f t="shared" si="330"/>
        <v>{progress,50,5203001,5}</v>
      </c>
      <c r="AG533" s="142" t="str">
        <f t="shared" si="331"/>
        <v>{progress,40,5303001,2}</v>
      </c>
      <c r="AH533" s="142" t="str">
        <f t="shared" si="332"/>
        <v>{progress,0,5401019,1}</v>
      </c>
      <c r="AI533" s="142"/>
      <c r="AJ533" s="142" t="str">
        <f t="shared" si="333"/>
        <v>{progress_rate_roll,100,1000,9,1}</v>
      </c>
      <c r="AN533" s="142" t="str">
        <f t="shared" si="334"/>
        <v>{progress,1,21363,1}</v>
      </c>
      <c r="AO533" s="142" t="str">
        <f t="shared" si="335"/>
        <v>{progress_rate_roll,100,5000,21363,1}</v>
      </c>
      <c r="AP533" s="142" t="str">
        <f t="shared" si="321"/>
        <v>[{progress_rate,2,206},{progress,0,2,514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33" s="142" t="str">
        <f t="shared" si="336"/>
        <v>[{progress_rate,2,206},{progress,0,2,514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33" s="142" t="str">
        <f t="shared" si="322"/>
        <v>[{progress_rate,2,206},{progress,0,2,514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33" s="142" t="str">
        <f t="shared" si="337"/>
        <v>[{progress_rate,2,206},{progress,0,2,514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33" s="142" t="str">
        <f t="shared" si="338"/>
        <v>{progress_rate,2,600},{progress_rate,11,1}</v>
      </c>
      <c r="AV533" s="142" t="str">
        <f t="shared" si="339"/>
        <v>{progress_rate,2,600}</v>
      </c>
      <c r="AW533" s="142" t="s">
        <v>175</v>
      </c>
    </row>
    <row r="534" spans="1:49">
      <c r="A534" s="143" t="str">
        <f t="shared" si="317"/>
        <v>[{2,722},{5103001,40},{14,60},{11,0},{5401000,0},{5203001,0},{5303001,0}]</v>
      </c>
      <c r="B534" s="98">
        <v>222</v>
      </c>
      <c r="C534" s="126">
        <v>206</v>
      </c>
      <c r="D534" s="126">
        <v>516</v>
      </c>
      <c r="E534" s="145">
        <v>15</v>
      </c>
      <c r="F534" s="145">
        <v>25</v>
      </c>
      <c r="G534" s="98">
        <v>3</v>
      </c>
      <c r="H534" s="98">
        <v>5</v>
      </c>
      <c r="I534" s="98">
        <v>0.5</v>
      </c>
      <c r="J534" s="98">
        <v>0</v>
      </c>
      <c r="K534" s="98">
        <v>5</v>
      </c>
      <c r="L534" s="98">
        <v>2</v>
      </c>
      <c r="M534" s="98">
        <v>1</v>
      </c>
      <c r="N534" s="98"/>
      <c r="O534" s="98">
        <v>0.1</v>
      </c>
      <c r="P534" s="98">
        <f t="shared" si="318"/>
        <v>156.1</v>
      </c>
      <c r="Q534" s="147">
        <f t="shared" si="319"/>
        <v>7.805</v>
      </c>
      <c r="R534" s="149">
        <v>600</v>
      </c>
      <c r="S534" s="132">
        <f t="shared" si="320"/>
        <v>103</v>
      </c>
      <c r="T534" s="132">
        <f t="shared" si="341"/>
        <v>258</v>
      </c>
      <c r="V534" s="80">
        <v>21363</v>
      </c>
      <c r="W534" s="142">
        <f t="shared" si="340"/>
        <v>222</v>
      </c>
      <c r="X534" s="142" t="str">
        <f t="shared" si="323"/>
        <v>{progress_rate,2,206}</v>
      </c>
      <c r="Y534" s="142" t="str">
        <f t="shared" si="324"/>
        <v>{progress,0,2,516}</v>
      </c>
      <c r="Z534" s="142" t="str">
        <f t="shared" si="325"/>
        <v>{progress,0,5103001,15}</v>
      </c>
      <c r="AA534" s="142" t="str">
        <f t="shared" si="326"/>
        <v>{progress,40,5103003,25}</v>
      </c>
      <c r="AB534" s="142" t="str">
        <f t="shared" si="327"/>
        <v>{progress,0,50025,3}</v>
      </c>
      <c r="AC534" s="142" t="str">
        <f t="shared" si="328"/>
        <v>{progress,50,50002,5}</v>
      </c>
      <c r="AD534" s="142" t="str">
        <f t="shared" si="329"/>
        <v>{progress_rate_roll,100,5000,11,1}</v>
      </c>
      <c r="AF534" s="142" t="str">
        <f t="shared" si="330"/>
        <v>{progress,50,5203001,5}</v>
      </c>
      <c r="AG534" s="142" t="str">
        <f t="shared" si="331"/>
        <v>{progress,40,5303001,2}</v>
      </c>
      <c r="AH534" s="142" t="str">
        <f t="shared" si="332"/>
        <v>{progress,0,5401019,1}</v>
      </c>
      <c r="AI534" s="142"/>
      <c r="AJ534" s="142" t="str">
        <f t="shared" si="333"/>
        <v>{progress_rate_roll,100,1000,9,1}</v>
      </c>
      <c r="AN534" s="142" t="str">
        <f t="shared" si="334"/>
        <v>{progress,1,21363,1}</v>
      </c>
      <c r="AO534" s="142" t="str">
        <f t="shared" si="335"/>
        <v>{progress_rate_roll,100,5000,21363,1}</v>
      </c>
      <c r="AP534" s="142" t="str">
        <f t="shared" si="321"/>
        <v>[{progress_rate,2,206},{progress,0,2,516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34" s="142" t="str">
        <f t="shared" si="336"/>
        <v>[{progress_rate,2,206},{progress,0,2,516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34" s="142" t="str">
        <f t="shared" si="322"/>
        <v>[{progress_rate,2,206},{progress,0,2,516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34" s="142" t="str">
        <f t="shared" si="337"/>
        <v>[{progress_rate,2,206},{progress,0,2,516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34" s="142" t="str">
        <f t="shared" si="338"/>
        <v>{progress_rate,2,600},{progress_rate,11,1}</v>
      </c>
      <c r="AV534" s="142" t="str">
        <f t="shared" si="339"/>
        <v>{progress_rate,2,600}</v>
      </c>
      <c r="AW534" s="142" t="s">
        <v>175</v>
      </c>
    </row>
    <row r="535" spans="1:49">
      <c r="A535" s="143" t="str">
        <f t="shared" si="317"/>
        <v>[{2,724},{5103001,40},{14,60},{11,0},{5401000,0},{5203001,0},{5303001,0}]</v>
      </c>
      <c r="B535" s="98">
        <v>223</v>
      </c>
      <c r="C535" s="126">
        <v>208</v>
      </c>
      <c r="D535" s="126">
        <v>516</v>
      </c>
      <c r="E535" s="145">
        <v>15</v>
      </c>
      <c r="F535" s="145">
        <v>25</v>
      </c>
      <c r="G535" s="98">
        <v>3</v>
      </c>
      <c r="H535" s="98">
        <v>5</v>
      </c>
      <c r="I535" s="98">
        <v>0.5</v>
      </c>
      <c r="J535" s="98">
        <v>0</v>
      </c>
      <c r="K535" s="98">
        <v>5</v>
      </c>
      <c r="L535" s="98">
        <v>2</v>
      </c>
      <c r="M535" s="98">
        <v>1</v>
      </c>
      <c r="N535" s="98"/>
      <c r="O535" s="98">
        <v>0.1</v>
      </c>
      <c r="P535" s="98">
        <f t="shared" si="318"/>
        <v>156.2</v>
      </c>
      <c r="Q535" s="147">
        <f t="shared" si="319"/>
        <v>7.81</v>
      </c>
      <c r="R535" s="149">
        <v>600</v>
      </c>
      <c r="S535" s="132">
        <f t="shared" si="320"/>
        <v>104</v>
      </c>
      <c r="T535" s="132">
        <f t="shared" si="341"/>
        <v>258</v>
      </c>
      <c r="V535" s="80">
        <v>21363</v>
      </c>
      <c r="W535" s="142">
        <f t="shared" si="340"/>
        <v>223</v>
      </c>
      <c r="X535" s="142" t="str">
        <f t="shared" si="323"/>
        <v>{progress_rate,2,208}</v>
      </c>
      <c r="Y535" s="142" t="str">
        <f t="shared" si="324"/>
        <v>{progress,0,2,516}</v>
      </c>
      <c r="Z535" s="142" t="str">
        <f t="shared" si="325"/>
        <v>{progress,0,5103001,15}</v>
      </c>
      <c r="AA535" s="142" t="str">
        <f t="shared" si="326"/>
        <v>{progress,40,5103003,25}</v>
      </c>
      <c r="AB535" s="142" t="str">
        <f t="shared" si="327"/>
        <v>{progress,0,50025,3}</v>
      </c>
      <c r="AC535" s="142" t="str">
        <f t="shared" si="328"/>
        <v>{progress,50,50002,5}</v>
      </c>
      <c r="AD535" s="142" t="str">
        <f t="shared" si="329"/>
        <v>{progress_rate_roll,100,5000,11,1}</v>
      </c>
      <c r="AF535" s="142" t="str">
        <f t="shared" si="330"/>
        <v>{progress,50,5203001,5}</v>
      </c>
      <c r="AG535" s="142" t="str">
        <f t="shared" si="331"/>
        <v>{progress,40,5303001,2}</v>
      </c>
      <c r="AH535" s="142" t="str">
        <f t="shared" si="332"/>
        <v>{progress,0,5401019,1}</v>
      </c>
      <c r="AI535" s="142"/>
      <c r="AJ535" s="142" t="str">
        <f t="shared" si="333"/>
        <v>{progress_rate_roll,100,1000,9,1}</v>
      </c>
      <c r="AN535" s="142" t="str">
        <f t="shared" si="334"/>
        <v>{progress,1,21363,1}</v>
      </c>
      <c r="AO535" s="142" t="str">
        <f t="shared" si="335"/>
        <v>{progress_rate_roll,100,5000,21363,1}</v>
      </c>
      <c r="AP535" s="142" t="str">
        <f t="shared" si="321"/>
        <v>[{progress_rate,2,208},{progress,0,2,516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35" s="142" t="str">
        <f t="shared" si="336"/>
        <v>[{progress_rate,2,208},{progress,0,2,516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35" s="142" t="str">
        <f t="shared" si="322"/>
        <v>[{progress_rate,2,208},{progress,0,2,516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35" s="142" t="str">
        <f t="shared" si="337"/>
        <v>[{progress_rate,2,208},{progress,0,2,516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35" s="142" t="str">
        <f t="shared" si="338"/>
        <v>{progress_rate,2,600},{progress_rate,11,1}</v>
      </c>
      <c r="AV535" s="142" t="str">
        <f t="shared" si="339"/>
        <v>{progress_rate,2,600}</v>
      </c>
      <c r="AW535" s="142" t="s">
        <v>175</v>
      </c>
    </row>
    <row r="536" spans="1:49">
      <c r="A536" s="143" t="str">
        <f t="shared" si="317"/>
        <v>[{2,726},{5103001,40},{14,60},{11,0},{5401000,0},{5203001,0},{5303001,0}]</v>
      </c>
      <c r="B536" s="98">
        <v>224</v>
      </c>
      <c r="C536" s="126">
        <v>208</v>
      </c>
      <c r="D536" s="126">
        <v>518</v>
      </c>
      <c r="E536" s="145">
        <v>15</v>
      </c>
      <c r="F536" s="145">
        <v>25</v>
      </c>
      <c r="G536" s="98">
        <v>3</v>
      </c>
      <c r="H536" s="98">
        <v>5</v>
      </c>
      <c r="I536" s="98">
        <v>0.5</v>
      </c>
      <c r="J536" s="98">
        <v>0</v>
      </c>
      <c r="K536" s="98">
        <v>5</v>
      </c>
      <c r="L536" s="98">
        <v>2</v>
      </c>
      <c r="M536" s="98">
        <v>1</v>
      </c>
      <c r="N536" s="98"/>
      <c r="O536" s="98">
        <v>0.1</v>
      </c>
      <c r="P536" s="98">
        <f t="shared" si="318"/>
        <v>156.3</v>
      </c>
      <c r="Q536" s="147">
        <f t="shared" si="319"/>
        <v>7.815</v>
      </c>
      <c r="R536" s="149">
        <v>600</v>
      </c>
      <c r="S536" s="132">
        <f t="shared" si="320"/>
        <v>104</v>
      </c>
      <c r="T536" s="132">
        <f t="shared" si="341"/>
        <v>259</v>
      </c>
      <c r="V536" s="80">
        <v>21363</v>
      </c>
      <c r="W536" s="142">
        <f t="shared" si="340"/>
        <v>224</v>
      </c>
      <c r="X536" s="142" t="str">
        <f t="shared" si="323"/>
        <v>{progress_rate,2,208}</v>
      </c>
      <c r="Y536" s="142" t="str">
        <f t="shared" si="324"/>
        <v>{progress,0,2,518}</v>
      </c>
      <c r="Z536" s="142" t="str">
        <f t="shared" si="325"/>
        <v>{progress,0,5103001,15}</v>
      </c>
      <c r="AA536" s="142" t="str">
        <f t="shared" si="326"/>
        <v>{progress,40,5103003,25}</v>
      </c>
      <c r="AB536" s="142" t="str">
        <f t="shared" si="327"/>
        <v>{progress,0,50025,3}</v>
      </c>
      <c r="AC536" s="142" t="str">
        <f t="shared" si="328"/>
        <v>{progress,50,50002,5}</v>
      </c>
      <c r="AD536" s="142" t="str">
        <f t="shared" si="329"/>
        <v>{progress_rate_roll,100,5000,11,1}</v>
      </c>
      <c r="AF536" s="142" t="str">
        <f t="shared" si="330"/>
        <v>{progress,50,5203001,5}</v>
      </c>
      <c r="AG536" s="142" t="str">
        <f t="shared" si="331"/>
        <v>{progress,40,5303001,2}</v>
      </c>
      <c r="AH536" s="142" t="str">
        <f t="shared" si="332"/>
        <v>{progress,0,5401019,1}</v>
      </c>
      <c r="AI536" s="142"/>
      <c r="AJ536" s="142" t="str">
        <f t="shared" si="333"/>
        <v>{progress_rate_roll,100,1000,9,1}</v>
      </c>
      <c r="AN536" s="142" t="str">
        <f t="shared" si="334"/>
        <v>{progress,1,21363,1}</v>
      </c>
      <c r="AO536" s="142" t="str">
        <f t="shared" si="335"/>
        <v>{progress_rate_roll,100,5000,21363,1}</v>
      </c>
      <c r="AP536" s="142" t="str">
        <f t="shared" si="321"/>
        <v>[{progress_rate,2,208},{progress,0,2,518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36" s="142" t="str">
        <f t="shared" si="336"/>
        <v>[{progress_rate,2,208},{progress,0,2,518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36" s="142" t="str">
        <f t="shared" si="322"/>
        <v>[{progress_rate,2,208},{progress,0,2,518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36" s="142" t="str">
        <f t="shared" si="337"/>
        <v>[{progress_rate,2,208},{progress,0,2,518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36" s="142" t="str">
        <f t="shared" si="338"/>
        <v>{progress_rate,2,600},{progress_rate,11,1}</v>
      </c>
      <c r="AV536" s="142" t="str">
        <f t="shared" si="339"/>
        <v>{progress_rate,2,600}</v>
      </c>
      <c r="AW536" s="142" t="s">
        <v>175</v>
      </c>
    </row>
    <row r="537" spans="1:49">
      <c r="A537" s="143" t="str">
        <f t="shared" si="317"/>
        <v>[{2,728},{5103001,40},{14,60},{11,0},{5401000,0},{5203001,0},{5303001,0}]</v>
      </c>
      <c r="B537" s="98">
        <v>225</v>
      </c>
      <c r="C537" s="126">
        <v>208</v>
      </c>
      <c r="D537" s="126">
        <v>520</v>
      </c>
      <c r="E537" s="145">
        <v>15</v>
      </c>
      <c r="F537" s="145">
        <v>25</v>
      </c>
      <c r="G537" s="98">
        <v>3</v>
      </c>
      <c r="H537" s="98">
        <v>5</v>
      </c>
      <c r="I537" s="98">
        <v>0.5</v>
      </c>
      <c r="J537" s="98">
        <v>0</v>
      </c>
      <c r="K537" s="98">
        <v>5</v>
      </c>
      <c r="L537" s="98">
        <v>2</v>
      </c>
      <c r="M537" s="98">
        <v>1</v>
      </c>
      <c r="N537" s="98"/>
      <c r="O537" s="98">
        <v>0.1</v>
      </c>
      <c r="P537" s="98">
        <f t="shared" si="318"/>
        <v>156.4</v>
      </c>
      <c r="Q537" s="147">
        <f t="shared" si="319"/>
        <v>7.82</v>
      </c>
      <c r="R537" s="149">
        <v>600</v>
      </c>
      <c r="S537" s="132">
        <f t="shared" si="320"/>
        <v>104</v>
      </c>
      <c r="T537" s="132">
        <f t="shared" si="341"/>
        <v>260</v>
      </c>
      <c r="V537" s="80">
        <v>21363</v>
      </c>
      <c r="W537" s="142">
        <f t="shared" si="340"/>
        <v>225</v>
      </c>
      <c r="X537" s="142" t="str">
        <f t="shared" si="323"/>
        <v>{progress_rate,2,208}</v>
      </c>
      <c r="Y537" s="142" t="str">
        <f t="shared" si="324"/>
        <v>{progress,0,2,520}</v>
      </c>
      <c r="Z537" s="142" t="str">
        <f t="shared" si="325"/>
        <v>{progress,0,5103001,15}</v>
      </c>
      <c r="AA537" s="142" t="str">
        <f t="shared" si="326"/>
        <v>{progress,40,5103003,25}</v>
      </c>
      <c r="AB537" s="142" t="str">
        <f t="shared" si="327"/>
        <v>{progress,0,50025,3}</v>
      </c>
      <c r="AC537" s="142" t="str">
        <f t="shared" si="328"/>
        <v>{progress,50,50002,5}</v>
      </c>
      <c r="AD537" s="142" t="str">
        <f t="shared" si="329"/>
        <v>{progress_rate_roll,100,5000,11,1}</v>
      </c>
      <c r="AF537" s="142" t="str">
        <f t="shared" si="330"/>
        <v>{progress,50,5203001,5}</v>
      </c>
      <c r="AG537" s="142" t="str">
        <f t="shared" si="331"/>
        <v>{progress,40,5303001,2}</v>
      </c>
      <c r="AH537" s="142" t="str">
        <f t="shared" si="332"/>
        <v>{progress,0,5401019,1}</v>
      </c>
      <c r="AI537" s="142"/>
      <c r="AJ537" s="142" t="str">
        <f t="shared" si="333"/>
        <v>{progress_rate_roll,100,1000,9,1}</v>
      </c>
      <c r="AN537" s="142" t="str">
        <f t="shared" si="334"/>
        <v>{progress,1,21363,1}</v>
      </c>
      <c r="AO537" s="142" t="str">
        <f t="shared" si="335"/>
        <v>{progress_rate_roll,100,5000,21363,1}</v>
      </c>
      <c r="AP537" s="142" t="str">
        <f t="shared" si="321"/>
        <v>[{progress_rate,2,208},{progress,0,2,520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37" s="142" t="str">
        <f t="shared" si="336"/>
        <v>[{progress_rate,2,208},{progress,0,2,520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37" s="142" t="str">
        <f t="shared" si="322"/>
        <v>[{progress_rate,2,208},{progress,0,2,520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37" s="142" t="str">
        <f t="shared" si="337"/>
        <v>[{progress_rate,2,208},{progress,0,2,520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37" s="142" t="str">
        <f t="shared" si="338"/>
        <v>{progress_rate,2,600},{progress_rate,11,1}</v>
      </c>
      <c r="AV537" s="142" t="str">
        <f t="shared" si="339"/>
        <v>{progress_rate,2,600}</v>
      </c>
      <c r="AW537" s="142" t="s">
        <v>175</v>
      </c>
    </row>
    <row r="538" spans="1:49">
      <c r="A538" s="143" t="str">
        <f t="shared" si="317"/>
        <v>[{2,730},{5103001,40},{14,60},{11,0},{5401000,0},{5203001,0},{5303001,0}]</v>
      </c>
      <c r="B538" s="98">
        <v>226</v>
      </c>
      <c r="C538" s="126">
        <v>210</v>
      </c>
      <c r="D538" s="126">
        <v>520</v>
      </c>
      <c r="E538" s="145">
        <v>15</v>
      </c>
      <c r="F538" s="145">
        <v>25</v>
      </c>
      <c r="G538" s="98">
        <v>3</v>
      </c>
      <c r="H538" s="98">
        <v>5</v>
      </c>
      <c r="I538" s="98">
        <v>0.5</v>
      </c>
      <c r="J538" s="98">
        <v>0</v>
      </c>
      <c r="K538" s="98">
        <v>5</v>
      </c>
      <c r="L538" s="98">
        <v>2</v>
      </c>
      <c r="M538" s="98">
        <v>1</v>
      </c>
      <c r="N538" s="98"/>
      <c r="O538" s="98">
        <v>0.1</v>
      </c>
      <c r="P538" s="98">
        <f t="shared" si="318"/>
        <v>156.5</v>
      </c>
      <c r="Q538" s="147">
        <f t="shared" si="319"/>
        <v>7.825</v>
      </c>
      <c r="R538" s="149">
        <v>600</v>
      </c>
      <c r="S538" s="132">
        <f t="shared" si="320"/>
        <v>105</v>
      </c>
      <c r="T538" s="132">
        <f t="shared" si="341"/>
        <v>260</v>
      </c>
      <c r="V538" s="80">
        <v>21363</v>
      </c>
      <c r="W538" s="142">
        <f t="shared" si="340"/>
        <v>226</v>
      </c>
      <c r="X538" s="142" t="str">
        <f t="shared" si="323"/>
        <v>{progress_rate,2,210}</v>
      </c>
      <c r="Y538" s="142" t="str">
        <f t="shared" si="324"/>
        <v>{progress,0,2,520}</v>
      </c>
      <c r="Z538" s="142" t="str">
        <f t="shared" si="325"/>
        <v>{progress,0,5103001,15}</v>
      </c>
      <c r="AA538" s="142" t="str">
        <f t="shared" si="326"/>
        <v>{progress,40,5103003,25}</v>
      </c>
      <c r="AB538" s="142" t="str">
        <f t="shared" si="327"/>
        <v>{progress,0,50025,3}</v>
      </c>
      <c r="AC538" s="142" t="str">
        <f t="shared" si="328"/>
        <v>{progress,50,50002,5}</v>
      </c>
      <c r="AD538" s="142" t="str">
        <f t="shared" si="329"/>
        <v>{progress_rate_roll,100,5000,11,1}</v>
      </c>
      <c r="AF538" s="142" t="str">
        <f t="shared" si="330"/>
        <v>{progress,50,5203001,5}</v>
      </c>
      <c r="AG538" s="142" t="str">
        <f t="shared" si="331"/>
        <v>{progress,40,5303001,2}</v>
      </c>
      <c r="AH538" s="142" t="str">
        <f t="shared" si="332"/>
        <v>{progress,0,5401019,1}</v>
      </c>
      <c r="AI538" s="142"/>
      <c r="AJ538" s="142" t="str">
        <f t="shared" si="333"/>
        <v>{progress_rate_roll,100,1000,9,1}</v>
      </c>
      <c r="AN538" s="142" t="str">
        <f t="shared" si="334"/>
        <v>{progress,1,21363,1}</v>
      </c>
      <c r="AO538" s="142" t="str">
        <f t="shared" si="335"/>
        <v>{progress_rate_roll,100,5000,21363,1}</v>
      </c>
      <c r="AP538" s="142" t="str">
        <f t="shared" si="321"/>
        <v>[{progress_rate,2,210},{progress,0,2,520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38" s="142" t="str">
        <f t="shared" si="336"/>
        <v>[{progress_rate,2,210},{progress,0,2,520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38" s="142" t="str">
        <f t="shared" si="322"/>
        <v>[{progress_rate,2,210},{progress,0,2,520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38" s="142" t="str">
        <f t="shared" si="337"/>
        <v>[{progress_rate,2,210},{progress,0,2,520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38" s="142" t="str">
        <f t="shared" si="338"/>
        <v>{progress_rate,2,600},{progress_rate,11,1}</v>
      </c>
      <c r="AV538" s="142" t="str">
        <f t="shared" si="339"/>
        <v>{progress_rate,2,600}</v>
      </c>
      <c r="AW538" s="142" t="s">
        <v>175</v>
      </c>
    </row>
    <row r="539" spans="1:49">
      <c r="A539" s="143" t="str">
        <f t="shared" si="317"/>
        <v>[{2,732},{5103001,40},{14,60},{11,0},{5401000,0},{5203001,0},{5303001,0}]</v>
      </c>
      <c r="B539" s="98">
        <v>227</v>
      </c>
      <c r="C539" s="126">
        <v>210</v>
      </c>
      <c r="D539" s="126">
        <v>522</v>
      </c>
      <c r="E539" s="145">
        <v>15</v>
      </c>
      <c r="F539" s="145">
        <v>25</v>
      </c>
      <c r="G539" s="98">
        <v>3</v>
      </c>
      <c r="H539" s="98">
        <v>5</v>
      </c>
      <c r="I539" s="98">
        <v>0.5</v>
      </c>
      <c r="J539" s="98">
        <v>0</v>
      </c>
      <c r="K539" s="98">
        <v>5</v>
      </c>
      <c r="L539" s="98">
        <v>2</v>
      </c>
      <c r="M539" s="98">
        <v>1</v>
      </c>
      <c r="N539" s="98"/>
      <c r="O539" s="98">
        <v>0.1</v>
      </c>
      <c r="P539" s="98">
        <f t="shared" si="318"/>
        <v>156.6</v>
      </c>
      <c r="Q539" s="147">
        <f t="shared" si="319"/>
        <v>7.83</v>
      </c>
      <c r="R539" s="149">
        <v>600</v>
      </c>
      <c r="S539" s="132">
        <f t="shared" si="320"/>
        <v>105</v>
      </c>
      <c r="T539" s="132">
        <f t="shared" si="341"/>
        <v>261</v>
      </c>
      <c r="V539" s="80">
        <v>21363</v>
      </c>
      <c r="W539" s="142">
        <f t="shared" si="340"/>
        <v>227</v>
      </c>
      <c r="X539" s="142" t="str">
        <f t="shared" si="323"/>
        <v>{progress_rate,2,210}</v>
      </c>
      <c r="Y539" s="142" t="str">
        <f t="shared" si="324"/>
        <v>{progress,0,2,522}</v>
      </c>
      <c r="Z539" s="142" t="str">
        <f t="shared" si="325"/>
        <v>{progress,0,5103001,15}</v>
      </c>
      <c r="AA539" s="142" t="str">
        <f t="shared" si="326"/>
        <v>{progress,40,5103003,25}</v>
      </c>
      <c r="AB539" s="142" t="str">
        <f t="shared" si="327"/>
        <v>{progress,0,50025,3}</v>
      </c>
      <c r="AC539" s="142" t="str">
        <f t="shared" si="328"/>
        <v>{progress,50,50002,5}</v>
      </c>
      <c r="AD539" s="142" t="str">
        <f t="shared" si="329"/>
        <v>{progress_rate_roll,100,5000,11,1}</v>
      </c>
      <c r="AF539" s="142" t="str">
        <f t="shared" si="330"/>
        <v>{progress,50,5203001,5}</v>
      </c>
      <c r="AG539" s="142" t="str">
        <f t="shared" si="331"/>
        <v>{progress,40,5303001,2}</v>
      </c>
      <c r="AH539" s="142" t="str">
        <f t="shared" si="332"/>
        <v>{progress,0,5401019,1}</v>
      </c>
      <c r="AI539" s="142"/>
      <c r="AJ539" s="142" t="str">
        <f t="shared" si="333"/>
        <v>{progress_rate_roll,100,1000,9,1}</v>
      </c>
      <c r="AN539" s="142" t="str">
        <f t="shared" si="334"/>
        <v>{progress,1,21363,1}</v>
      </c>
      <c r="AO539" s="142" t="str">
        <f t="shared" si="335"/>
        <v>{progress_rate_roll,100,5000,21363,1}</v>
      </c>
      <c r="AP539" s="142" t="str">
        <f t="shared" si="321"/>
        <v>[{progress_rate,2,210},{progress,0,2,522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39" s="142" t="str">
        <f t="shared" si="336"/>
        <v>[{progress_rate,2,210},{progress,0,2,522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39" s="142" t="str">
        <f t="shared" si="322"/>
        <v>[{progress_rate,2,210},{progress,0,2,522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39" s="142" t="str">
        <f t="shared" si="337"/>
        <v>[{progress_rate,2,210},{progress,0,2,522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39" s="142" t="str">
        <f t="shared" si="338"/>
        <v>{progress_rate,2,600},{progress_rate,11,1}</v>
      </c>
      <c r="AV539" s="142" t="str">
        <f t="shared" si="339"/>
        <v>{progress_rate,2,600}</v>
      </c>
      <c r="AW539" s="142" t="s">
        <v>175</v>
      </c>
    </row>
    <row r="540" spans="1:49">
      <c r="A540" s="143" t="str">
        <f t="shared" si="317"/>
        <v>[{2,734},{5103001,40},{14,60},{11,0},{5401000,0},{5203001,0},{5303001,0}]</v>
      </c>
      <c r="B540" s="98">
        <v>228</v>
      </c>
      <c r="C540" s="126">
        <v>210</v>
      </c>
      <c r="D540" s="126">
        <v>524</v>
      </c>
      <c r="E540" s="145">
        <v>15</v>
      </c>
      <c r="F540" s="145">
        <v>25</v>
      </c>
      <c r="G540" s="98">
        <v>3</v>
      </c>
      <c r="H540" s="98">
        <v>5</v>
      </c>
      <c r="I540" s="98">
        <v>0.5</v>
      </c>
      <c r="J540" s="98">
        <v>0</v>
      </c>
      <c r="K540" s="98">
        <v>5</v>
      </c>
      <c r="L540" s="98">
        <v>2</v>
      </c>
      <c r="M540" s="98">
        <v>1</v>
      </c>
      <c r="N540" s="98"/>
      <c r="O540" s="98">
        <v>0.1</v>
      </c>
      <c r="P540" s="98">
        <f t="shared" si="318"/>
        <v>156.7</v>
      </c>
      <c r="Q540" s="147">
        <f t="shared" si="319"/>
        <v>7.835</v>
      </c>
      <c r="R540" s="149">
        <v>600</v>
      </c>
      <c r="S540" s="132">
        <f t="shared" si="320"/>
        <v>105</v>
      </c>
      <c r="T540" s="132">
        <f t="shared" si="341"/>
        <v>262</v>
      </c>
      <c r="V540" s="80">
        <v>21363</v>
      </c>
      <c r="W540" s="142">
        <f t="shared" si="340"/>
        <v>228</v>
      </c>
      <c r="X540" s="142" t="str">
        <f t="shared" si="323"/>
        <v>{progress_rate,2,210}</v>
      </c>
      <c r="Y540" s="142" t="str">
        <f t="shared" si="324"/>
        <v>{progress,0,2,524}</v>
      </c>
      <c r="Z540" s="142" t="str">
        <f t="shared" si="325"/>
        <v>{progress,0,5103001,15}</v>
      </c>
      <c r="AA540" s="142" t="str">
        <f t="shared" si="326"/>
        <v>{progress,40,5103003,25}</v>
      </c>
      <c r="AB540" s="142" t="str">
        <f t="shared" si="327"/>
        <v>{progress,0,50025,3}</v>
      </c>
      <c r="AC540" s="142" t="str">
        <f t="shared" si="328"/>
        <v>{progress,50,50002,5}</v>
      </c>
      <c r="AD540" s="142" t="str">
        <f t="shared" si="329"/>
        <v>{progress_rate_roll,100,5000,11,1}</v>
      </c>
      <c r="AF540" s="142" t="str">
        <f t="shared" si="330"/>
        <v>{progress,50,5203001,5}</v>
      </c>
      <c r="AG540" s="142" t="str">
        <f t="shared" si="331"/>
        <v>{progress,40,5303001,2}</v>
      </c>
      <c r="AH540" s="142" t="str">
        <f t="shared" si="332"/>
        <v>{progress,0,5401019,1}</v>
      </c>
      <c r="AI540" s="142"/>
      <c r="AJ540" s="142" t="str">
        <f t="shared" si="333"/>
        <v>{progress_rate_roll,100,1000,9,1}</v>
      </c>
      <c r="AN540" s="142" t="str">
        <f t="shared" si="334"/>
        <v>{progress,1,21363,1}</v>
      </c>
      <c r="AO540" s="142" t="str">
        <f t="shared" si="335"/>
        <v>{progress_rate_roll,100,5000,21363,1}</v>
      </c>
      <c r="AP540" s="142" t="str">
        <f t="shared" si="321"/>
        <v>[{progress_rate,2,210},{progress,0,2,524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40" s="142" t="str">
        <f t="shared" si="336"/>
        <v>[{progress_rate,2,210},{progress,0,2,524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40" s="142" t="str">
        <f t="shared" si="322"/>
        <v>[{progress_rate,2,210},{progress,0,2,524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40" s="142" t="str">
        <f t="shared" si="337"/>
        <v>[{progress_rate,2,210},{progress,0,2,524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40" s="142" t="str">
        <f t="shared" si="338"/>
        <v>{progress_rate,2,600},{progress_rate,11,1}</v>
      </c>
      <c r="AV540" s="142" t="str">
        <f t="shared" si="339"/>
        <v>{progress_rate,2,600}</v>
      </c>
      <c r="AW540" s="142" t="s">
        <v>175</v>
      </c>
    </row>
    <row r="541" spans="1:49">
      <c r="A541" s="143" t="str">
        <f t="shared" si="317"/>
        <v>[{2,736},{5103001,40},{14,60},{11,0},{5401000,0},{5203001,0},{5303001,0}]</v>
      </c>
      <c r="B541" s="98">
        <v>229</v>
      </c>
      <c r="C541" s="126">
        <v>210</v>
      </c>
      <c r="D541" s="126">
        <v>526</v>
      </c>
      <c r="E541" s="145">
        <v>15</v>
      </c>
      <c r="F541" s="145">
        <v>25</v>
      </c>
      <c r="G541" s="98">
        <v>3</v>
      </c>
      <c r="H541" s="98">
        <v>5</v>
      </c>
      <c r="I541" s="98">
        <v>0.5</v>
      </c>
      <c r="J541" s="98">
        <v>0</v>
      </c>
      <c r="K541" s="98">
        <v>5</v>
      </c>
      <c r="L541" s="98">
        <v>2</v>
      </c>
      <c r="M541" s="98">
        <v>1</v>
      </c>
      <c r="N541" s="98"/>
      <c r="O541" s="98">
        <v>0.1</v>
      </c>
      <c r="P541" s="98">
        <f t="shared" si="318"/>
        <v>156.8</v>
      </c>
      <c r="Q541" s="147">
        <f t="shared" si="319"/>
        <v>7.84</v>
      </c>
      <c r="R541" s="149">
        <v>600</v>
      </c>
      <c r="S541" s="132">
        <f t="shared" si="320"/>
        <v>105</v>
      </c>
      <c r="T541" s="132">
        <f t="shared" si="341"/>
        <v>263</v>
      </c>
      <c r="V541" s="80">
        <v>21363</v>
      </c>
      <c r="W541" s="142">
        <f t="shared" si="340"/>
        <v>229</v>
      </c>
      <c r="X541" s="142" t="str">
        <f t="shared" si="323"/>
        <v>{progress_rate,2,210}</v>
      </c>
      <c r="Y541" s="142" t="str">
        <f t="shared" si="324"/>
        <v>{progress,0,2,526}</v>
      </c>
      <c r="Z541" s="142" t="str">
        <f t="shared" si="325"/>
        <v>{progress,0,5103001,15}</v>
      </c>
      <c r="AA541" s="142" t="str">
        <f t="shared" si="326"/>
        <v>{progress,40,5103003,25}</v>
      </c>
      <c r="AB541" s="142" t="str">
        <f t="shared" si="327"/>
        <v>{progress,0,50025,3}</v>
      </c>
      <c r="AC541" s="142" t="str">
        <f t="shared" si="328"/>
        <v>{progress,50,50002,5}</v>
      </c>
      <c r="AD541" s="142" t="str">
        <f t="shared" si="329"/>
        <v>{progress_rate_roll,100,5000,11,1}</v>
      </c>
      <c r="AF541" s="142" t="str">
        <f t="shared" si="330"/>
        <v>{progress,50,5203001,5}</v>
      </c>
      <c r="AG541" s="142" t="str">
        <f t="shared" si="331"/>
        <v>{progress,40,5303001,2}</v>
      </c>
      <c r="AH541" s="142" t="str">
        <f t="shared" si="332"/>
        <v>{progress,0,5401019,1}</v>
      </c>
      <c r="AI541" s="142"/>
      <c r="AJ541" s="142" t="str">
        <f t="shared" si="333"/>
        <v>{progress_rate_roll,100,1000,9,1}</v>
      </c>
      <c r="AN541" s="142" t="str">
        <f t="shared" si="334"/>
        <v>{progress,1,21363,1}</v>
      </c>
      <c r="AO541" s="142" t="str">
        <f t="shared" si="335"/>
        <v>{progress_rate_roll,100,5000,21363,1}</v>
      </c>
      <c r="AP541" s="142" t="str">
        <f t="shared" si="321"/>
        <v>[{progress_rate,2,210},{progress,0,2,526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41" s="142" t="str">
        <f t="shared" si="336"/>
        <v>[{progress_rate,2,210},{progress,0,2,526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41" s="142" t="str">
        <f t="shared" si="322"/>
        <v>[{progress_rate,2,210},{progress,0,2,526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41" s="142" t="str">
        <f t="shared" si="337"/>
        <v>[{progress_rate,2,210},{progress,0,2,526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41" s="142" t="str">
        <f t="shared" si="338"/>
        <v>{progress_rate,2,600},{progress_rate,11,1}</v>
      </c>
      <c r="AV541" s="142" t="str">
        <f t="shared" si="339"/>
        <v>{progress_rate,2,600}</v>
      </c>
      <c r="AW541" s="142" t="s">
        <v>175</v>
      </c>
    </row>
    <row r="542" spans="1:49">
      <c r="A542" s="143" t="str">
        <f t="shared" si="317"/>
        <v>[{2,738},{5103001,40},{14,60},{11,0},{5401000,0},{5203001,0},{5303001,0}]</v>
      </c>
      <c r="B542" s="98">
        <v>230</v>
      </c>
      <c r="C542" s="126">
        <v>212</v>
      </c>
      <c r="D542" s="126">
        <v>526</v>
      </c>
      <c r="E542" s="145">
        <v>15</v>
      </c>
      <c r="F542" s="145">
        <v>25</v>
      </c>
      <c r="G542" s="98">
        <v>3</v>
      </c>
      <c r="H542" s="98">
        <v>5</v>
      </c>
      <c r="I542" s="98">
        <v>0.5</v>
      </c>
      <c r="J542" s="98">
        <v>0</v>
      </c>
      <c r="K542" s="98">
        <v>5</v>
      </c>
      <c r="L542" s="98">
        <v>2</v>
      </c>
      <c r="M542" s="98">
        <v>1</v>
      </c>
      <c r="N542" s="98"/>
      <c r="O542" s="98">
        <v>0.1</v>
      </c>
      <c r="P542" s="98">
        <f t="shared" si="318"/>
        <v>156.9</v>
      </c>
      <c r="Q542" s="147">
        <f t="shared" si="319"/>
        <v>7.845</v>
      </c>
      <c r="R542" s="149">
        <v>600</v>
      </c>
      <c r="S542" s="132">
        <f t="shared" si="320"/>
        <v>106</v>
      </c>
      <c r="T542" s="132">
        <f t="shared" si="341"/>
        <v>263</v>
      </c>
      <c r="V542" s="80">
        <v>21363</v>
      </c>
      <c r="W542" s="142">
        <f t="shared" si="340"/>
        <v>230</v>
      </c>
      <c r="X542" s="142" t="str">
        <f t="shared" si="323"/>
        <v>{progress_rate,2,212}</v>
      </c>
      <c r="Y542" s="142" t="str">
        <f t="shared" si="324"/>
        <v>{progress,0,2,526}</v>
      </c>
      <c r="Z542" s="142" t="str">
        <f t="shared" si="325"/>
        <v>{progress,0,5103001,15}</v>
      </c>
      <c r="AA542" s="142" t="str">
        <f t="shared" si="326"/>
        <v>{progress,40,5103003,25}</v>
      </c>
      <c r="AB542" s="142" t="str">
        <f t="shared" si="327"/>
        <v>{progress,0,50025,3}</v>
      </c>
      <c r="AC542" s="142" t="str">
        <f t="shared" si="328"/>
        <v>{progress,50,50002,5}</v>
      </c>
      <c r="AD542" s="142" t="str">
        <f t="shared" si="329"/>
        <v>{progress_rate_roll,100,5000,11,1}</v>
      </c>
      <c r="AF542" s="142" t="str">
        <f t="shared" si="330"/>
        <v>{progress,50,5203001,5}</v>
      </c>
      <c r="AG542" s="142" t="str">
        <f t="shared" si="331"/>
        <v>{progress,40,5303001,2}</v>
      </c>
      <c r="AH542" s="142" t="str">
        <f t="shared" si="332"/>
        <v>{progress,0,5401019,1}</v>
      </c>
      <c r="AI542" s="142"/>
      <c r="AJ542" s="142" t="str">
        <f t="shared" si="333"/>
        <v>{progress_rate_roll,100,1000,9,1}</v>
      </c>
      <c r="AN542" s="142" t="str">
        <f t="shared" si="334"/>
        <v>{progress,1,21363,1}</v>
      </c>
      <c r="AO542" s="142" t="str">
        <f t="shared" si="335"/>
        <v>{progress_rate_roll,100,5000,21363,1}</v>
      </c>
      <c r="AP542" s="142" t="str">
        <f t="shared" si="321"/>
        <v>[{progress_rate,2,212},{progress,0,2,526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42" s="142" t="str">
        <f t="shared" si="336"/>
        <v>[{progress_rate,2,212},{progress,0,2,526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42" s="142" t="str">
        <f t="shared" si="322"/>
        <v>[{progress_rate,2,212},{progress,0,2,526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42" s="142" t="str">
        <f t="shared" si="337"/>
        <v>[{progress_rate,2,212},{progress,0,2,526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42" s="142" t="str">
        <f t="shared" si="338"/>
        <v>{progress_rate,2,600},{progress_rate,11,1}</v>
      </c>
      <c r="AV542" s="142" t="str">
        <f t="shared" si="339"/>
        <v>{progress_rate,2,600}</v>
      </c>
      <c r="AW542" s="142" t="s">
        <v>175</v>
      </c>
    </row>
    <row r="543" spans="1:49">
      <c r="A543" s="143" t="str">
        <f t="shared" si="317"/>
        <v>[{2,740},{5103001,40},{14,60},{11,0},{5401000,0},{5203001,0},{5303001,0}]</v>
      </c>
      <c r="B543" s="98">
        <v>231</v>
      </c>
      <c r="C543" s="126">
        <v>212</v>
      </c>
      <c r="D543" s="126">
        <v>528</v>
      </c>
      <c r="E543" s="145">
        <v>15</v>
      </c>
      <c r="F543" s="145">
        <v>25</v>
      </c>
      <c r="G543" s="98">
        <v>3</v>
      </c>
      <c r="H543" s="98">
        <v>5</v>
      </c>
      <c r="I543" s="98">
        <v>0.5</v>
      </c>
      <c r="J543" s="98">
        <v>0</v>
      </c>
      <c r="K543" s="98">
        <v>5</v>
      </c>
      <c r="L543" s="98">
        <v>2</v>
      </c>
      <c r="M543" s="98">
        <v>1</v>
      </c>
      <c r="N543" s="98"/>
      <c r="O543" s="98">
        <v>0.1</v>
      </c>
      <c r="P543" s="98">
        <f t="shared" si="318"/>
        <v>157</v>
      </c>
      <c r="Q543" s="147">
        <f t="shared" si="319"/>
        <v>7.85</v>
      </c>
      <c r="R543" s="149">
        <v>600</v>
      </c>
      <c r="S543" s="132">
        <f t="shared" si="320"/>
        <v>106</v>
      </c>
      <c r="T543" s="132">
        <f t="shared" si="341"/>
        <v>264</v>
      </c>
      <c r="V543" s="80">
        <v>21363</v>
      </c>
      <c r="W543" s="142">
        <f t="shared" si="340"/>
        <v>231</v>
      </c>
      <c r="X543" s="142" t="str">
        <f t="shared" si="323"/>
        <v>{progress_rate,2,212}</v>
      </c>
      <c r="Y543" s="142" t="str">
        <f t="shared" si="324"/>
        <v>{progress,0,2,528}</v>
      </c>
      <c r="Z543" s="142" t="str">
        <f t="shared" si="325"/>
        <v>{progress,0,5103001,15}</v>
      </c>
      <c r="AA543" s="142" t="str">
        <f t="shared" si="326"/>
        <v>{progress,40,5103003,25}</v>
      </c>
      <c r="AB543" s="142" t="str">
        <f t="shared" si="327"/>
        <v>{progress,0,50025,3}</v>
      </c>
      <c r="AC543" s="142" t="str">
        <f t="shared" si="328"/>
        <v>{progress,50,50002,5}</v>
      </c>
      <c r="AD543" s="142" t="str">
        <f t="shared" si="329"/>
        <v>{progress_rate_roll,100,5000,11,1}</v>
      </c>
      <c r="AF543" s="142" t="str">
        <f t="shared" si="330"/>
        <v>{progress,50,5203001,5}</v>
      </c>
      <c r="AG543" s="142" t="str">
        <f t="shared" si="331"/>
        <v>{progress,40,5303001,2}</v>
      </c>
      <c r="AH543" s="142" t="str">
        <f t="shared" si="332"/>
        <v>{progress,0,5401019,1}</v>
      </c>
      <c r="AI543" s="142"/>
      <c r="AJ543" s="142" t="str">
        <f t="shared" si="333"/>
        <v>{progress_rate_roll,100,1000,9,1}</v>
      </c>
      <c r="AN543" s="142" t="str">
        <f t="shared" si="334"/>
        <v>{progress,1,21363,1}</v>
      </c>
      <c r="AO543" s="142" t="str">
        <f t="shared" si="335"/>
        <v>{progress_rate_roll,100,5000,21363,1}</v>
      </c>
      <c r="AP543" s="142" t="str">
        <f t="shared" si="321"/>
        <v>[{progress_rate,2,212},{progress,0,2,528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43" s="142" t="str">
        <f t="shared" si="336"/>
        <v>[{progress_rate,2,212},{progress,0,2,528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43" s="142" t="str">
        <f t="shared" si="322"/>
        <v>[{progress_rate,2,212},{progress,0,2,528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43" s="142" t="str">
        <f t="shared" si="337"/>
        <v>[{progress_rate,2,212},{progress,0,2,528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43" s="142" t="str">
        <f t="shared" si="338"/>
        <v>{progress_rate,2,600},{progress_rate,11,1}</v>
      </c>
      <c r="AV543" s="142" t="str">
        <f t="shared" si="339"/>
        <v>{progress_rate,2,600}</v>
      </c>
      <c r="AW543" s="142" t="s">
        <v>175</v>
      </c>
    </row>
    <row r="544" spans="1:49">
      <c r="A544" s="143" t="str">
        <f t="shared" si="317"/>
        <v>[{2,742},{5103001,40},{14,60},{11,0},{5401000,0},{5203001,0},{5303001,0}]</v>
      </c>
      <c r="B544" s="98">
        <v>232</v>
      </c>
      <c r="C544" s="126">
        <v>212</v>
      </c>
      <c r="D544" s="126">
        <v>530</v>
      </c>
      <c r="E544" s="145">
        <v>15</v>
      </c>
      <c r="F544" s="145">
        <v>25</v>
      </c>
      <c r="G544" s="98">
        <v>3</v>
      </c>
      <c r="H544" s="98">
        <v>5</v>
      </c>
      <c r="I544" s="98">
        <v>0.5</v>
      </c>
      <c r="J544" s="98">
        <v>0</v>
      </c>
      <c r="K544" s="98">
        <v>5</v>
      </c>
      <c r="L544" s="98">
        <v>2</v>
      </c>
      <c r="M544" s="98">
        <v>1</v>
      </c>
      <c r="N544" s="98"/>
      <c r="O544" s="98">
        <v>0.1</v>
      </c>
      <c r="P544" s="98">
        <f t="shared" si="318"/>
        <v>157.1</v>
      </c>
      <c r="Q544" s="147">
        <f t="shared" si="319"/>
        <v>7.855</v>
      </c>
      <c r="R544" s="149">
        <v>600</v>
      </c>
      <c r="S544" s="132">
        <f t="shared" si="320"/>
        <v>106</v>
      </c>
      <c r="T544" s="132">
        <f t="shared" si="341"/>
        <v>265</v>
      </c>
      <c r="V544" s="80">
        <v>21363</v>
      </c>
      <c r="W544" s="142">
        <f t="shared" si="340"/>
        <v>232</v>
      </c>
      <c r="X544" s="142" t="str">
        <f t="shared" si="323"/>
        <v>{progress_rate,2,212}</v>
      </c>
      <c r="Y544" s="142" t="str">
        <f t="shared" si="324"/>
        <v>{progress,0,2,530}</v>
      </c>
      <c r="Z544" s="142" t="str">
        <f t="shared" si="325"/>
        <v>{progress,0,5103001,15}</v>
      </c>
      <c r="AA544" s="142" t="str">
        <f t="shared" si="326"/>
        <v>{progress,40,5103003,25}</v>
      </c>
      <c r="AB544" s="142" t="str">
        <f t="shared" si="327"/>
        <v>{progress,0,50025,3}</v>
      </c>
      <c r="AC544" s="142" t="str">
        <f t="shared" si="328"/>
        <v>{progress,50,50002,5}</v>
      </c>
      <c r="AD544" s="142" t="str">
        <f t="shared" si="329"/>
        <v>{progress_rate_roll,100,5000,11,1}</v>
      </c>
      <c r="AF544" s="142" t="str">
        <f t="shared" si="330"/>
        <v>{progress,50,5203001,5}</v>
      </c>
      <c r="AG544" s="142" t="str">
        <f t="shared" si="331"/>
        <v>{progress,40,5303001,2}</v>
      </c>
      <c r="AH544" s="142" t="str">
        <f t="shared" si="332"/>
        <v>{progress,0,5401019,1}</v>
      </c>
      <c r="AI544" s="142"/>
      <c r="AJ544" s="142" t="str">
        <f t="shared" si="333"/>
        <v>{progress_rate_roll,100,1000,9,1}</v>
      </c>
      <c r="AN544" s="142" t="str">
        <f t="shared" si="334"/>
        <v>{progress,1,21363,1}</v>
      </c>
      <c r="AO544" s="142" t="str">
        <f t="shared" si="335"/>
        <v>{progress_rate_roll,100,5000,21363,1}</v>
      </c>
      <c r="AP544" s="142" t="str">
        <f t="shared" si="321"/>
        <v>[{progress_rate,2,212},{progress,0,2,530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44" s="142" t="str">
        <f t="shared" si="336"/>
        <v>[{progress_rate,2,212},{progress,0,2,530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44" s="142" t="str">
        <f t="shared" si="322"/>
        <v>[{progress_rate,2,212},{progress,0,2,530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44" s="142" t="str">
        <f t="shared" si="337"/>
        <v>[{progress_rate,2,212},{progress,0,2,530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44" s="142" t="str">
        <f t="shared" si="338"/>
        <v>{progress_rate,2,600},{progress_rate,11,1}</v>
      </c>
      <c r="AV544" s="142" t="str">
        <f t="shared" si="339"/>
        <v>{progress_rate,2,600}</v>
      </c>
      <c r="AW544" s="142" t="s">
        <v>175</v>
      </c>
    </row>
    <row r="545" spans="1:49">
      <c r="A545" s="143" t="str">
        <f t="shared" si="317"/>
        <v>[{2,744},{5103001,40},{14,60},{11,0},{5401000,0},{5203001,0},{5303001,0}]</v>
      </c>
      <c r="B545" s="98">
        <v>233</v>
      </c>
      <c r="C545" s="126">
        <v>214</v>
      </c>
      <c r="D545" s="126">
        <v>530</v>
      </c>
      <c r="E545" s="145">
        <v>15</v>
      </c>
      <c r="F545" s="145">
        <v>25</v>
      </c>
      <c r="G545" s="98">
        <v>3</v>
      </c>
      <c r="H545" s="98">
        <v>5</v>
      </c>
      <c r="I545" s="98">
        <v>0.5</v>
      </c>
      <c r="J545" s="98">
        <v>0</v>
      </c>
      <c r="K545" s="98">
        <v>5</v>
      </c>
      <c r="L545" s="98">
        <v>2</v>
      </c>
      <c r="M545" s="98">
        <v>1</v>
      </c>
      <c r="N545" s="98"/>
      <c r="O545" s="98">
        <v>0.1</v>
      </c>
      <c r="P545" s="98">
        <f t="shared" si="318"/>
        <v>157.2</v>
      </c>
      <c r="Q545" s="147">
        <f t="shared" si="319"/>
        <v>7.86</v>
      </c>
      <c r="R545" s="149">
        <v>600</v>
      </c>
      <c r="S545" s="132">
        <f t="shared" si="320"/>
        <v>107</v>
      </c>
      <c r="T545" s="132">
        <f t="shared" si="341"/>
        <v>265</v>
      </c>
      <c r="V545" s="80">
        <v>21363</v>
      </c>
      <c r="W545" s="142">
        <f t="shared" si="340"/>
        <v>233</v>
      </c>
      <c r="X545" s="142" t="str">
        <f t="shared" si="323"/>
        <v>{progress_rate,2,214}</v>
      </c>
      <c r="Y545" s="142" t="str">
        <f t="shared" si="324"/>
        <v>{progress,0,2,530}</v>
      </c>
      <c r="Z545" s="142" t="str">
        <f t="shared" si="325"/>
        <v>{progress,0,5103001,15}</v>
      </c>
      <c r="AA545" s="142" t="str">
        <f t="shared" si="326"/>
        <v>{progress,40,5103003,25}</v>
      </c>
      <c r="AB545" s="142" t="str">
        <f t="shared" si="327"/>
        <v>{progress,0,50025,3}</v>
      </c>
      <c r="AC545" s="142" t="str">
        <f t="shared" si="328"/>
        <v>{progress,50,50002,5}</v>
      </c>
      <c r="AD545" s="142" t="str">
        <f t="shared" si="329"/>
        <v>{progress_rate_roll,100,5000,11,1}</v>
      </c>
      <c r="AF545" s="142" t="str">
        <f t="shared" si="330"/>
        <v>{progress,50,5203001,5}</v>
      </c>
      <c r="AG545" s="142" t="str">
        <f t="shared" si="331"/>
        <v>{progress,40,5303001,2}</v>
      </c>
      <c r="AH545" s="142" t="str">
        <f t="shared" si="332"/>
        <v>{progress,0,5401019,1}</v>
      </c>
      <c r="AI545" s="142"/>
      <c r="AJ545" s="142" t="str">
        <f t="shared" si="333"/>
        <v>{progress_rate_roll,100,1000,9,1}</v>
      </c>
      <c r="AN545" s="142" t="str">
        <f t="shared" si="334"/>
        <v>{progress,1,21363,1}</v>
      </c>
      <c r="AO545" s="142" t="str">
        <f t="shared" si="335"/>
        <v>{progress_rate_roll,100,5000,21363,1}</v>
      </c>
      <c r="AP545" s="142" t="str">
        <f t="shared" si="321"/>
        <v>[{progress_rate,2,214},{progress,0,2,530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45" s="142" t="str">
        <f t="shared" si="336"/>
        <v>[{progress_rate,2,214},{progress,0,2,530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45" s="142" t="str">
        <f t="shared" si="322"/>
        <v>[{progress_rate,2,214},{progress,0,2,530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45" s="142" t="str">
        <f t="shared" si="337"/>
        <v>[{progress_rate,2,214},{progress,0,2,530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45" s="142" t="str">
        <f t="shared" si="338"/>
        <v>{progress_rate,2,600},{progress_rate,11,1}</v>
      </c>
      <c r="AV545" s="142" t="str">
        <f t="shared" si="339"/>
        <v>{progress_rate,2,600}</v>
      </c>
      <c r="AW545" s="142" t="s">
        <v>175</v>
      </c>
    </row>
    <row r="546" spans="1:49">
      <c r="A546" s="143" t="str">
        <f t="shared" si="317"/>
        <v>[{2,746},{5103001,40},{14,60},{11,0},{5401000,0},{5203001,0},{5303001,0}]</v>
      </c>
      <c r="B546" s="98">
        <v>234</v>
      </c>
      <c r="C546" s="126">
        <v>214</v>
      </c>
      <c r="D546" s="126">
        <v>532</v>
      </c>
      <c r="E546" s="145">
        <v>15</v>
      </c>
      <c r="F546" s="145">
        <v>25</v>
      </c>
      <c r="G546" s="98">
        <v>3</v>
      </c>
      <c r="H546" s="98">
        <v>5</v>
      </c>
      <c r="I546" s="98">
        <v>0.5</v>
      </c>
      <c r="J546" s="98">
        <v>0</v>
      </c>
      <c r="K546" s="98">
        <v>5</v>
      </c>
      <c r="L546" s="98">
        <v>2</v>
      </c>
      <c r="M546" s="98">
        <v>1</v>
      </c>
      <c r="N546" s="98"/>
      <c r="O546" s="98">
        <v>0.1</v>
      </c>
      <c r="P546" s="98">
        <f t="shared" si="318"/>
        <v>157.3</v>
      </c>
      <c r="Q546" s="147">
        <f t="shared" si="319"/>
        <v>7.865</v>
      </c>
      <c r="R546" s="149">
        <v>600</v>
      </c>
      <c r="S546" s="132">
        <f t="shared" si="320"/>
        <v>107</v>
      </c>
      <c r="T546" s="132">
        <f t="shared" si="341"/>
        <v>266</v>
      </c>
      <c r="V546" s="80">
        <v>21363</v>
      </c>
      <c r="W546" s="142">
        <f t="shared" si="340"/>
        <v>234</v>
      </c>
      <c r="X546" s="142" t="str">
        <f t="shared" si="323"/>
        <v>{progress_rate,2,214}</v>
      </c>
      <c r="Y546" s="142" t="str">
        <f t="shared" si="324"/>
        <v>{progress,0,2,532}</v>
      </c>
      <c r="Z546" s="142" t="str">
        <f t="shared" si="325"/>
        <v>{progress,0,5103001,15}</v>
      </c>
      <c r="AA546" s="142" t="str">
        <f t="shared" si="326"/>
        <v>{progress,40,5103003,25}</v>
      </c>
      <c r="AB546" s="142" t="str">
        <f t="shared" si="327"/>
        <v>{progress,0,50025,3}</v>
      </c>
      <c r="AC546" s="142" t="str">
        <f t="shared" si="328"/>
        <v>{progress,50,50002,5}</v>
      </c>
      <c r="AD546" s="142" t="str">
        <f t="shared" si="329"/>
        <v>{progress_rate_roll,100,5000,11,1}</v>
      </c>
      <c r="AF546" s="142" t="str">
        <f t="shared" si="330"/>
        <v>{progress,50,5203001,5}</v>
      </c>
      <c r="AG546" s="142" t="str">
        <f t="shared" si="331"/>
        <v>{progress,40,5303001,2}</v>
      </c>
      <c r="AH546" s="142" t="str">
        <f t="shared" si="332"/>
        <v>{progress,0,5401019,1}</v>
      </c>
      <c r="AI546" s="142"/>
      <c r="AJ546" s="142" t="str">
        <f t="shared" si="333"/>
        <v>{progress_rate_roll,100,1000,9,1}</v>
      </c>
      <c r="AN546" s="142" t="str">
        <f t="shared" si="334"/>
        <v>{progress,1,21363,1}</v>
      </c>
      <c r="AO546" s="142" t="str">
        <f t="shared" si="335"/>
        <v>{progress_rate_roll,100,5000,21363,1}</v>
      </c>
      <c r="AP546" s="142" t="str">
        <f t="shared" si="321"/>
        <v>[{progress_rate,2,214},{progress,0,2,532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46" s="142" t="str">
        <f t="shared" si="336"/>
        <v>[{progress_rate,2,214},{progress,0,2,532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46" s="142" t="str">
        <f t="shared" si="322"/>
        <v>[{progress_rate,2,214},{progress,0,2,532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46" s="142" t="str">
        <f t="shared" si="337"/>
        <v>[{progress_rate,2,214},{progress,0,2,532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46" s="142" t="str">
        <f t="shared" si="338"/>
        <v>{progress_rate,2,600},{progress_rate,11,1}</v>
      </c>
      <c r="AV546" s="142" t="str">
        <f t="shared" si="339"/>
        <v>{progress_rate,2,600}</v>
      </c>
      <c r="AW546" s="142" t="s">
        <v>175</v>
      </c>
    </row>
    <row r="547" spans="1:49">
      <c r="A547" s="143" t="str">
        <f t="shared" si="317"/>
        <v>[{2,748},{5103001,40},{14,60},{11,0},{5401000,0},{5203001,0},{5303001,0}]</v>
      </c>
      <c r="B547" s="98">
        <v>235</v>
      </c>
      <c r="C547" s="126">
        <v>214</v>
      </c>
      <c r="D547" s="126">
        <v>534</v>
      </c>
      <c r="E547" s="145">
        <v>15</v>
      </c>
      <c r="F547" s="145">
        <v>25</v>
      </c>
      <c r="G547" s="98">
        <v>3</v>
      </c>
      <c r="H547" s="98">
        <v>5</v>
      </c>
      <c r="I547" s="98">
        <v>0.5</v>
      </c>
      <c r="J547" s="98">
        <v>0</v>
      </c>
      <c r="K547" s="98">
        <v>5</v>
      </c>
      <c r="L547" s="98">
        <v>2</v>
      </c>
      <c r="M547" s="98">
        <v>1</v>
      </c>
      <c r="N547" s="98"/>
      <c r="O547" s="98">
        <v>0.1</v>
      </c>
      <c r="P547" s="98">
        <f t="shared" si="318"/>
        <v>157.4</v>
      </c>
      <c r="Q547" s="147">
        <f t="shared" si="319"/>
        <v>7.87</v>
      </c>
      <c r="R547" s="149">
        <v>600</v>
      </c>
      <c r="S547" s="132">
        <f t="shared" si="320"/>
        <v>107</v>
      </c>
      <c r="T547" s="132">
        <f t="shared" si="341"/>
        <v>267</v>
      </c>
      <c r="V547" s="80">
        <v>21363</v>
      </c>
      <c r="W547" s="142">
        <f t="shared" si="340"/>
        <v>235</v>
      </c>
      <c r="X547" s="142" t="str">
        <f t="shared" si="323"/>
        <v>{progress_rate,2,214}</v>
      </c>
      <c r="Y547" s="142" t="str">
        <f t="shared" si="324"/>
        <v>{progress,0,2,534}</v>
      </c>
      <c r="Z547" s="142" t="str">
        <f t="shared" si="325"/>
        <v>{progress,0,5103001,15}</v>
      </c>
      <c r="AA547" s="142" t="str">
        <f t="shared" si="326"/>
        <v>{progress,40,5103003,25}</v>
      </c>
      <c r="AB547" s="142" t="str">
        <f t="shared" si="327"/>
        <v>{progress,0,50025,3}</v>
      </c>
      <c r="AC547" s="142" t="str">
        <f t="shared" si="328"/>
        <v>{progress,50,50002,5}</v>
      </c>
      <c r="AD547" s="142" t="str">
        <f t="shared" si="329"/>
        <v>{progress_rate_roll,100,5000,11,1}</v>
      </c>
      <c r="AF547" s="142" t="str">
        <f t="shared" si="330"/>
        <v>{progress,50,5203001,5}</v>
      </c>
      <c r="AG547" s="142" t="str">
        <f t="shared" si="331"/>
        <v>{progress,40,5303001,2}</v>
      </c>
      <c r="AH547" s="142" t="str">
        <f t="shared" si="332"/>
        <v>{progress,0,5401019,1}</v>
      </c>
      <c r="AI547" s="142"/>
      <c r="AJ547" s="142" t="str">
        <f t="shared" si="333"/>
        <v>{progress_rate_roll,100,1000,9,1}</v>
      </c>
      <c r="AN547" s="142" t="str">
        <f t="shared" si="334"/>
        <v>{progress,1,21363,1}</v>
      </c>
      <c r="AO547" s="142" t="str">
        <f t="shared" si="335"/>
        <v>{progress_rate_roll,100,5000,21363,1}</v>
      </c>
      <c r="AP547" s="142" t="str">
        <f t="shared" si="321"/>
        <v>[{progress_rate,2,214},{progress,0,2,534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47" s="142" t="str">
        <f t="shared" si="336"/>
        <v>[{progress_rate,2,214},{progress,0,2,534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47" s="142" t="str">
        <f t="shared" si="322"/>
        <v>[{progress_rate,2,214},{progress,0,2,534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47" s="142" t="str">
        <f t="shared" si="337"/>
        <v>[{progress_rate,2,214},{progress,0,2,534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47" s="142" t="str">
        <f t="shared" si="338"/>
        <v>{progress_rate,2,600},{progress_rate,11,1}</v>
      </c>
      <c r="AV547" s="142" t="str">
        <f t="shared" si="339"/>
        <v>{progress_rate,2,600}</v>
      </c>
      <c r="AW547" s="142" t="s">
        <v>175</v>
      </c>
    </row>
    <row r="548" spans="1:49">
      <c r="A548" s="143" t="str">
        <f t="shared" si="317"/>
        <v>[{2,750},{5103001,40},{14,60},{11,0},{5401000,0},{5203001,0},{5303001,0}]</v>
      </c>
      <c r="B548" s="98">
        <v>236</v>
      </c>
      <c r="C548" s="126">
        <v>214</v>
      </c>
      <c r="D548" s="126">
        <v>536</v>
      </c>
      <c r="E548" s="145">
        <v>15</v>
      </c>
      <c r="F548" s="145">
        <v>25</v>
      </c>
      <c r="G548" s="98">
        <v>3</v>
      </c>
      <c r="H548" s="98">
        <v>5</v>
      </c>
      <c r="I548" s="98">
        <v>0.5</v>
      </c>
      <c r="J548" s="98">
        <v>0</v>
      </c>
      <c r="K548" s="98">
        <v>5</v>
      </c>
      <c r="L548" s="98">
        <v>2</v>
      </c>
      <c r="M548" s="98">
        <v>1</v>
      </c>
      <c r="N548" s="98"/>
      <c r="O548" s="98">
        <v>0.1</v>
      </c>
      <c r="P548" s="98">
        <f t="shared" si="318"/>
        <v>157.5</v>
      </c>
      <c r="Q548" s="147">
        <f t="shared" si="319"/>
        <v>7.875</v>
      </c>
      <c r="R548" s="149">
        <v>600</v>
      </c>
      <c r="S548" s="132">
        <f t="shared" si="320"/>
        <v>107</v>
      </c>
      <c r="T548" s="132">
        <f t="shared" si="341"/>
        <v>268</v>
      </c>
      <c r="V548" s="80">
        <v>21363</v>
      </c>
      <c r="W548" s="142">
        <f t="shared" si="340"/>
        <v>236</v>
      </c>
      <c r="X548" s="142" t="str">
        <f t="shared" si="323"/>
        <v>{progress_rate,2,214}</v>
      </c>
      <c r="Y548" s="142" t="str">
        <f t="shared" si="324"/>
        <v>{progress,0,2,536}</v>
      </c>
      <c r="Z548" s="142" t="str">
        <f t="shared" si="325"/>
        <v>{progress,0,5103001,15}</v>
      </c>
      <c r="AA548" s="142" t="str">
        <f t="shared" si="326"/>
        <v>{progress,40,5103003,25}</v>
      </c>
      <c r="AB548" s="142" t="str">
        <f t="shared" si="327"/>
        <v>{progress,0,50025,3}</v>
      </c>
      <c r="AC548" s="142" t="str">
        <f t="shared" si="328"/>
        <v>{progress,50,50002,5}</v>
      </c>
      <c r="AD548" s="142" t="str">
        <f t="shared" si="329"/>
        <v>{progress_rate_roll,100,5000,11,1}</v>
      </c>
      <c r="AF548" s="142" t="str">
        <f t="shared" si="330"/>
        <v>{progress,50,5203001,5}</v>
      </c>
      <c r="AG548" s="142" t="str">
        <f t="shared" si="331"/>
        <v>{progress,40,5303001,2}</v>
      </c>
      <c r="AH548" s="142" t="str">
        <f t="shared" si="332"/>
        <v>{progress,0,5401019,1}</v>
      </c>
      <c r="AI548" s="142"/>
      <c r="AJ548" s="142" t="str">
        <f t="shared" si="333"/>
        <v>{progress_rate_roll,100,1000,9,1}</v>
      </c>
      <c r="AN548" s="142" t="str">
        <f t="shared" si="334"/>
        <v>{progress,1,21363,1}</v>
      </c>
      <c r="AO548" s="142" t="str">
        <f t="shared" si="335"/>
        <v>{progress_rate_roll,100,5000,21363,1}</v>
      </c>
      <c r="AP548" s="142" t="str">
        <f t="shared" si="321"/>
        <v>[{progress_rate,2,214},{progress,0,2,536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48" s="142" t="str">
        <f t="shared" si="336"/>
        <v>[{progress_rate,2,214},{progress,0,2,536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48" s="142" t="str">
        <f t="shared" si="322"/>
        <v>[{progress_rate,2,214},{progress,0,2,536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48" s="142" t="str">
        <f t="shared" si="337"/>
        <v>[{progress_rate,2,214},{progress,0,2,536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48" s="142" t="str">
        <f t="shared" si="338"/>
        <v>{progress_rate,2,600},{progress_rate,11,1}</v>
      </c>
      <c r="AV548" s="142" t="str">
        <f t="shared" si="339"/>
        <v>{progress_rate,2,600}</v>
      </c>
      <c r="AW548" s="142" t="s">
        <v>175</v>
      </c>
    </row>
    <row r="549" spans="1:49">
      <c r="A549" s="143" t="str">
        <f t="shared" si="317"/>
        <v>[{2,752},{5103001,40},{14,60},{11,0},{5401000,0},{5203001,0},{5303001,0}]</v>
      </c>
      <c r="B549" s="98">
        <v>237</v>
      </c>
      <c r="C549" s="126">
        <v>216</v>
      </c>
      <c r="D549" s="126">
        <v>536</v>
      </c>
      <c r="E549" s="145">
        <v>15</v>
      </c>
      <c r="F549" s="145">
        <v>25</v>
      </c>
      <c r="G549" s="98">
        <v>3</v>
      </c>
      <c r="H549" s="98">
        <v>5</v>
      </c>
      <c r="I549" s="98">
        <v>0.5</v>
      </c>
      <c r="J549" s="98">
        <v>0</v>
      </c>
      <c r="K549" s="98">
        <v>5</v>
      </c>
      <c r="L549" s="98">
        <v>2</v>
      </c>
      <c r="M549" s="98">
        <v>1</v>
      </c>
      <c r="N549" s="98"/>
      <c r="O549" s="98">
        <v>0.1</v>
      </c>
      <c r="P549" s="98">
        <f t="shared" si="318"/>
        <v>157.6</v>
      </c>
      <c r="Q549" s="147">
        <f t="shared" si="319"/>
        <v>7.88</v>
      </c>
      <c r="R549" s="149">
        <v>600</v>
      </c>
      <c r="S549" s="132">
        <f t="shared" si="320"/>
        <v>108</v>
      </c>
      <c r="T549" s="132">
        <f t="shared" si="341"/>
        <v>268</v>
      </c>
      <c r="V549" s="80">
        <v>21363</v>
      </c>
      <c r="W549" s="142">
        <f t="shared" si="340"/>
        <v>237</v>
      </c>
      <c r="X549" s="142" t="str">
        <f t="shared" si="323"/>
        <v>{progress_rate,2,216}</v>
      </c>
      <c r="Y549" s="142" t="str">
        <f t="shared" si="324"/>
        <v>{progress,0,2,536}</v>
      </c>
      <c r="Z549" s="142" t="str">
        <f t="shared" si="325"/>
        <v>{progress,0,5103001,15}</v>
      </c>
      <c r="AA549" s="142" t="str">
        <f t="shared" si="326"/>
        <v>{progress,40,5103003,25}</v>
      </c>
      <c r="AB549" s="142" t="str">
        <f t="shared" si="327"/>
        <v>{progress,0,50025,3}</v>
      </c>
      <c r="AC549" s="142" t="str">
        <f t="shared" si="328"/>
        <v>{progress,50,50002,5}</v>
      </c>
      <c r="AD549" s="142" t="str">
        <f t="shared" si="329"/>
        <v>{progress_rate_roll,100,5000,11,1}</v>
      </c>
      <c r="AF549" s="142" t="str">
        <f t="shared" si="330"/>
        <v>{progress,50,5203001,5}</v>
      </c>
      <c r="AG549" s="142" t="str">
        <f t="shared" si="331"/>
        <v>{progress,40,5303001,2}</v>
      </c>
      <c r="AH549" s="142" t="str">
        <f t="shared" si="332"/>
        <v>{progress,0,5401019,1}</v>
      </c>
      <c r="AI549" s="142"/>
      <c r="AJ549" s="142" t="str">
        <f t="shared" si="333"/>
        <v>{progress_rate_roll,100,1000,9,1}</v>
      </c>
      <c r="AN549" s="142" t="str">
        <f t="shared" si="334"/>
        <v>{progress,1,21363,1}</v>
      </c>
      <c r="AO549" s="142" t="str">
        <f t="shared" si="335"/>
        <v>{progress_rate_roll,100,5000,21363,1}</v>
      </c>
      <c r="AP549" s="142" t="str">
        <f t="shared" si="321"/>
        <v>[{progress_rate,2,216},{progress,0,2,536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49" s="142" t="str">
        <f t="shared" si="336"/>
        <v>[{progress_rate,2,216},{progress,0,2,536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49" s="142" t="str">
        <f t="shared" si="322"/>
        <v>[{progress_rate,2,216},{progress,0,2,536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49" s="142" t="str">
        <f t="shared" si="337"/>
        <v>[{progress_rate,2,216},{progress,0,2,536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49" s="142" t="str">
        <f t="shared" si="338"/>
        <v>{progress_rate,2,600},{progress_rate,11,1}</v>
      </c>
      <c r="AV549" s="142" t="str">
        <f t="shared" si="339"/>
        <v>{progress_rate,2,600}</v>
      </c>
      <c r="AW549" s="142" t="s">
        <v>175</v>
      </c>
    </row>
    <row r="550" spans="1:49">
      <c r="A550" s="143" t="str">
        <f t="shared" si="317"/>
        <v>[{2,754},{5103001,40},{14,60},{11,0},{5401000,0},{5203001,0},{5303001,0}]</v>
      </c>
      <c r="B550" s="98">
        <v>238</v>
      </c>
      <c r="C550" s="126">
        <v>216</v>
      </c>
      <c r="D550" s="126">
        <v>538</v>
      </c>
      <c r="E550" s="145">
        <v>15</v>
      </c>
      <c r="F550" s="145">
        <v>25</v>
      </c>
      <c r="G550" s="98">
        <v>3</v>
      </c>
      <c r="H550" s="98">
        <v>5</v>
      </c>
      <c r="I550" s="98">
        <v>0.5</v>
      </c>
      <c r="J550" s="98">
        <v>0</v>
      </c>
      <c r="K550" s="98">
        <v>5</v>
      </c>
      <c r="L550" s="98">
        <v>2</v>
      </c>
      <c r="M550" s="98">
        <v>1</v>
      </c>
      <c r="N550" s="98"/>
      <c r="O550" s="98">
        <v>0.1</v>
      </c>
      <c r="P550" s="98">
        <f t="shared" si="318"/>
        <v>157.7</v>
      </c>
      <c r="Q550" s="147">
        <f t="shared" si="319"/>
        <v>7.885</v>
      </c>
      <c r="R550" s="149">
        <v>600</v>
      </c>
      <c r="S550" s="132">
        <f t="shared" si="320"/>
        <v>108</v>
      </c>
      <c r="T550" s="132">
        <f t="shared" si="341"/>
        <v>269</v>
      </c>
      <c r="V550" s="80">
        <v>21363</v>
      </c>
      <c r="W550" s="142">
        <f t="shared" si="340"/>
        <v>238</v>
      </c>
      <c r="X550" s="142" t="str">
        <f t="shared" si="323"/>
        <v>{progress_rate,2,216}</v>
      </c>
      <c r="Y550" s="142" t="str">
        <f t="shared" si="324"/>
        <v>{progress,0,2,538}</v>
      </c>
      <c r="Z550" s="142" t="str">
        <f t="shared" si="325"/>
        <v>{progress,0,5103001,15}</v>
      </c>
      <c r="AA550" s="142" t="str">
        <f t="shared" si="326"/>
        <v>{progress,40,5103003,25}</v>
      </c>
      <c r="AB550" s="142" t="str">
        <f t="shared" si="327"/>
        <v>{progress,0,50025,3}</v>
      </c>
      <c r="AC550" s="142" t="str">
        <f t="shared" si="328"/>
        <v>{progress,50,50002,5}</v>
      </c>
      <c r="AD550" s="142" t="str">
        <f t="shared" si="329"/>
        <v>{progress_rate_roll,100,5000,11,1}</v>
      </c>
      <c r="AF550" s="142" t="str">
        <f t="shared" si="330"/>
        <v>{progress,50,5203001,5}</v>
      </c>
      <c r="AG550" s="142" t="str">
        <f t="shared" si="331"/>
        <v>{progress,40,5303001,2}</v>
      </c>
      <c r="AH550" s="142" t="str">
        <f t="shared" si="332"/>
        <v>{progress,0,5401019,1}</v>
      </c>
      <c r="AI550" s="142"/>
      <c r="AJ550" s="142" t="str">
        <f t="shared" si="333"/>
        <v>{progress_rate_roll,100,1000,9,1}</v>
      </c>
      <c r="AN550" s="142" t="str">
        <f t="shared" si="334"/>
        <v>{progress,1,21363,1}</v>
      </c>
      <c r="AO550" s="142" t="str">
        <f t="shared" si="335"/>
        <v>{progress_rate_roll,100,5000,21363,1}</v>
      </c>
      <c r="AP550" s="142" t="str">
        <f t="shared" si="321"/>
        <v>[{progress_rate,2,216},{progress,0,2,538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50" s="142" t="str">
        <f t="shared" si="336"/>
        <v>[{progress_rate,2,216},{progress,0,2,538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50" s="142" t="str">
        <f t="shared" si="322"/>
        <v>[{progress_rate,2,216},{progress,0,2,538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50" s="142" t="str">
        <f t="shared" si="337"/>
        <v>[{progress_rate,2,216},{progress,0,2,538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50" s="142" t="str">
        <f t="shared" si="338"/>
        <v>{progress_rate,2,600},{progress_rate,11,1}</v>
      </c>
      <c r="AV550" s="142" t="str">
        <f t="shared" si="339"/>
        <v>{progress_rate,2,600}</v>
      </c>
      <c r="AW550" s="142" t="s">
        <v>175</v>
      </c>
    </row>
    <row r="551" spans="1:49">
      <c r="A551" s="143" t="str">
        <f t="shared" si="317"/>
        <v>[{2,756},{5103001,40},{14,60},{11,0},{5401000,0},{5203001,0},{5303001,0}]</v>
      </c>
      <c r="B551" s="98">
        <v>239</v>
      </c>
      <c r="C551" s="126">
        <v>216</v>
      </c>
      <c r="D551" s="126">
        <v>540</v>
      </c>
      <c r="E551" s="145">
        <v>15</v>
      </c>
      <c r="F551" s="145">
        <v>25</v>
      </c>
      <c r="G551" s="98">
        <v>3</v>
      </c>
      <c r="H551" s="98">
        <v>5</v>
      </c>
      <c r="I551" s="98">
        <v>0.5</v>
      </c>
      <c r="J551" s="98">
        <v>0</v>
      </c>
      <c r="K551" s="98">
        <v>5</v>
      </c>
      <c r="L551" s="98">
        <v>2</v>
      </c>
      <c r="M551" s="98">
        <v>1</v>
      </c>
      <c r="N551" s="98"/>
      <c r="O551" s="98">
        <v>0.1</v>
      </c>
      <c r="P551" s="98">
        <f t="shared" si="318"/>
        <v>157.8</v>
      </c>
      <c r="Q551" s="147">
        <f t="shared" si="319"/>
        <v>7.89</v>
      </c>
      <c r="R551" s="149">
        <v>600</v>
      </c>
      <c r="S551" s="132">
        <f t="shared" si="320"/>
        <v>108</v>
      </c>
      <c r="T551" s="132">
        <f t="shared" si="341"/>
        <v>270</v>
      </c>
      <c r="V551" s="80">
        <v>21363</v>
      </c>
      <c r="W551" s="142">
        <f t="shared" si="340"/>
        <v>239</v>
      </c>
      <c r="X551" s="142" t="str">
        <f t="shared" si="323"/>
        <v>{progress_rate,2,216}</v>
      </c>
      <c r="Y551" s="142" t="str">
        <f t="shared" si="324"/>
        <v>{progress,0,2,540}</v>
      </c>
      <c r="Z551" s="142" t="str">
        <f t="shared" si="325"/>
        <v>{progress,0,5103001,15}</v>
      </c>
      <c r="AA551" s="142" t="str">
        <f t="shared" si="326"/>
        <v>{progress,40,5103003,25}</v>
      </c>
      <c r="AB551" s="142" t="str">
        <f t="shared" si="327"/>
        <v>{progress,0,50025,3}</v>
      </c>
      <c r="AC551" s="142" t="str">
        <f t="shared" si="328"/>
        <v>{progress,50,50002,5}</v>
      </c>
      <c r="AD551" s="142" t="str">
        <f t="shared" si="329"/>
        <v>{progress_rate_roll,100,5000,11,1}</v>
      </c>
      <c r="AF551" s="142" t="str">
        <f t="shared" si="330"/>
        <v>{progress,50,5203001,5}</v>
      </c>
      <c r="AG551" s="142" t="str">
        <f t="shared" si="331"/>
        <v>{progress,40,5303001,2}</v>
      </c>
      <c r="AH551" s="142" t="str">
        <f t="shared" si="332"/>
        <v>{progress,0,5401019,1}</v>
      </c>
      <c r="AI551" s="142"/>
      <c r="AJ551" s="142" t="str">
        <f t="shared" si="333"/>
        <v>{progress_rate_roll,100,1000,9,1}</v>
      </c>
      <c r="AN551" s="142" t="str">
        <f t="shared" si="334"/>
        <v>{progress,1,21363,1}</v>
      </c>
      <c r="AO551" s="142" t="str">
        <f t="shared" si="335"/>
        <v>{progress_rate_roll,100,5000,21363,1}</v>
      </c>
      <c r="AP551" s="142" t="str">
        <f t="shared" si="321"/>
        <v>[{progress_rate,2,216},{progress,0,2,540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51" s="142" t="str">
        <f t="shared" si="336"/>
        <v>[{progress_rate,2,216},{progress,0,2,540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51" s="142" t="str">
        <f t="shared" si="322"/>
        <v>[{progress_rate,2,216},{progress,0,2,540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51" s="142" t="str">
        <f t="shared" si="337"/>
        <v>[{progress_rate,2,216},{progress,0,2,540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51" s="142" t="str">
        <f t="shared" si="338"/>
        <v>{progress_rate,2,600},{progress_rate,11,1}</v>
      </c>
      <c r="AV551" s="142" t="str">
        <f t="shared" si="339"/>
        <v>{progress_rate,2,600}</v>
      </c>
      <c r="AW551" s="142" t="s">
        <v>175</v>
      </c>
    </row>
    <row r="552" spans="1:49">
      <c r="A552" s="143" t="str">
        <f t="shared" si="317"/>
        <v>[{2,758},{5103001,40},{14,60},{11,0},{5401000,0},{5203001,0},{5303001,0}]</v>
      </c>
      <c r="B552" s="98">
        <v>240</v>
      </c>
      <c r="C552" s="126">
        <v>218</v>
      </c>
      <c r="D552" s="126">
        <v>540</v>
      </c>
      <c r="E552" s="145">
        <v>15</v>
      </c>
      <c r="F552" s="145">
        <v>25</v>
      </c>
      <c r="G552" s="98">
        <v>3</v>
      </c>
      <c r="H552" s="98">
        <v>5</v>
      </c>
      <c r="I552" s="98">
        <v>0.5</v>
      </c>
      <c r="J552" s="98">
        <v>0</v>
      </c>
      <c r="K552" s="98">
        <v>5</v>
      </c>
      <c r="L552" s="98">
        <v>2</v>
      </c>
      <c r="M552" s="98">
        <v>1</v>
      </c>
      <c r="N552" s="98"/>
      <c r="O552" s="98">
        <v>0.1</v>
      </c>
      <c r="P552" s="98">
        <f t="shared" si="318"/>
        <v>157.9</v>
      </c>
      <c r="Q552" s="147">
        <f t="shared" si="319"/>
        <v>7.895</v>
      </c>
      <c r="R552" s="149">
        <v>600</v>
      </c>
      <c r="S552" s="132">
        <f t="shared" si="320"/>
        <v>109</v>
      </c>
      <c r="T552" s="132">
        <f t="shared" si="341"/>
        <v>270</v>
      </c>
      <c r="V552" s="80">
        <v>21363</v>
      </c>
      <c r="W552" s="142">
        <f t="shared" si="340"/>
        <v>240</v>
      </c>
      <c r="X552" s="142" t="str">
        <f t="shared" si="323"/>
        <v>{progress_rate,2,218}</v>
      </c>
      <c r="Y552" s="142" t="str">
        <f t="shared" si="324"/>
        <v>{progress,0,2,540}</v>
      </c>
      <c r="Z552" s="142" t="str">
        <f t="shared" si="325"/>
        <v>{progress,0,5103001,15}</v>
      </c>
      <c r="AA552" s="142" t="str">
        <f t="shared" si="326"/>
        <v>{progress,40,5103003,25}</v>
      </c>
      <c r="AB552" s="142" t="str">
        <f t="shared" si="327"/>
        <v>{progress,0,50025,3}</v>
      </c>
      <c r="AC552" s="142" t="str">
        <f t="shared" si="328"/>
        <v>{progress,50,50002,5}</v>
      </c>
      <c r="AD552" s="142" t="str">
        <f t="shared" si="329"/>
        <v>{progress_rate_roll,100,5000,11,1}</v>
      </c>
      <c r="AF552" s="142" t="str">
        <f t="shared" si="330"/>
        <v>{progress,50,5203001,5}</v>
      </c>
      <c r="AG552" s="142" t="str">
        <f t="shared" si="331"/>
        <v>{progress,40,5303001,2}</v>
      </c>
      <c r="AH552" s="142" t="str">
        <f t="shared" si="332"/>
        <v>{progress,0,5401019,1}</v>
      </c>
      <c r="AI552" s="142"/>
      <c r="AJ552" s="142" t="str">
        <f t="shared" si="333"/>
        <v>{progress_rate_roll,100,1000,9,1}</v>
      </c>
      <c r="AN552" s="142" t="str">
        <f t="shared" si="334"/>
        <v>{progress,1,21363,1}</v>
      </c>
      <c r="AO552" s="142" t="str">
        <f t="shared" si="335"/>
        <v>{progress_rate_roll,100,5000,21363,1}</v>
      </c>
      <c r="AP552" s="142" t="str">
        <f t="shared" si="321"/>
        <v>[{progress_rate,2,218},{progress,0,2,540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52" s="142" t="str">
        <f t="shared" si="336"/>
        <v>[{progress_rate,2,218},{progress,0,2,540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52" s="142" t="str">
        <f t="shared" si="322"/>
        <v>[{progress_rate,2,218},{progress,0,2,540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52" s="142" t="str">
        <f t="shared" si="337"/>
        <v>[{progress_rate,2,218},{progress,0,2,540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52" s="142" t="str">
        <f t="shared" si="338"/>
        <v>{progress_rate,2,600},{progress_rate,11,1}</v>
      </c>
      <c r="AV552" s="142" t="str">
        <f t="shared" si="339"/>
        <v>{progress_rate,2,600}</v>
      </c>
      <c r="AW552" s="142" t="s">
        <v>175</v>
      </c>
    </row>
    <row r="553" spans="1:49">
      <c r="A553" s="143" t="str">
        <f t="shared" si="317"/>
        <v>[{2,760},{5103001,40},{14,60},{11,0},{5401000,0},{5203001,0},{5303001,0}]</v>
      </c>
      <c r="B553" s="98">
        <v>241</v>
      </c>
      <c r="C553" s="126">
        <v>218</v>
      </c>
      <c r="D553" s="126">
        <v>542</v>
      </c>
      <c r="E553" s="145">
        <v>15</v>
      </c>
      <c r="F553" s="145">
        <v>25</v>
      </c>
      <c r="G553" s="98">
        <v>3</v>
      </c>
      <c r="H553" s="98">
        <v>5</v>
      </c>
      <c r="I553" s="98">
        <v>0.5</v>
      </c>
      <c r="J553" s="98">
        <v>0</v>
      </c>
      <c r="K553" s="98">
        <v>5</v>
      </c>
      <c r="L553" s="98">
        <v>2</v>
      </c>
      <c r="M553" s="98">
        <v>1</v>
      </c>
      <c r="N553" s="98"/>
      <c r="O553" s="98">
        <v>0.1</v>
      </c>
      <c r="P553" s="98">
        <f t="shared" si="318"/>
        <v>158</v>
      </c>
      <c r="Q553" s="147">
        <f t="shared" si="319"/>
        <v>7.9</v>
      </c>
      <c r="R553" s="149">
        <v>600</v>
      </c>
      <c r="S553" s="132">
        <f t="shared" si="320"/>
        <v>109</v>
      </c>
      <c r="T553" s="132">
        <f t="shared" si="341"/>
        <v>271</v>
      </c>
      <c r="V553" s="80">
        <v>21363</v>
      </c>
      <c r="W553" s="142">
        <f t="shared" si="340"/>
        <v>241</v>
      </c>
      <c r="X553" s="142" t="str">
        <f t="shared" si="323"/>
        <v>{progress_rate,2,218}</v>
      </c>
      <c r="Y553" s="142" t="str">
        <f t="shared" si="324"/>
        <v>{progress,0,2,542}</v>
      </c>
      <c r="Z553" s="142" t="str">
        <f t="shared" si="325"/>
        <v>{progress,0,5103001,15}</v>
      </c>
      <c r="AA553" s="142" t="str">
        <f t="shared" si="326"/>
        <v>{progress,40,5103003,25}</v>
      </c>
      <c r="AB553" s="142" t="str">
        <f t="shared" si="327"/>
        <v>{progress,0,50025,3}</v>
      </c>
      <c r="AC553" s="142" t="str">
        <f t="shared" si="328"/>
        <v>{progress,50,50002,5}</v>
      </c>
      <c r="AD553" s="142" t="str">
        <f t="shared" si="329"/>
        <v>{progress_rate_roll,100,5000,11,1}</v>
      </c>
      <c r="AF553" s="142" t="str">
        <f t="shared" si="330"/>
        <v>{progress,50,5203001,5}</v>
      </c>
      <c r="AG553" s="142" t="str">
        <f t="shared" si="331"/>
        <v>{progress,40,5303001,2}</v>
      </c>
      <c r="AH553" s="142" t="str">
        <f t="shared" si="332"/>
        <v>{progress,0,5401019,1}</v>
      </c>
      <c r="AI553" s="142"/>
      <c r="AJ553" s="142" t="str">
        <f t="shared" si="333"/>
        <v>{progress_rate_roll,100,1000,9,1}</v>
      </c>
      <c r="AN553" s="142" t="str">
        <f t="shared" si="334"/>
        <v>{progress,1,21363,1}</v>
      </c>
      <c r="AO553" s="142" t="str">
        <f t="shared" si="335"/>
        <v>{progress_rate_roll,100,5000,21363,1}</v>
      </c>
      <c r="AP553" s="142" t="str">
        <f t="shared" si="321"/>
        <v>[{progress_rate,2,218},{progress,0,2,542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53" s="142" t="str">
        <f t="shared" si="336"/>
        <v>[{progress_rate,2,218},{progress,0,2,542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53" s="142" t="str">
        <f t="shared" si="322"/>
        <v>[{progress_rate,2,218},{progress,0,2,542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53" s="142" t="str">
        <f t="shared" si="337"/>
        <v>[{progress_rate,2,218},{progress,0,2,542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53" s="142" t="str">
        <f t="shared" si="338"/>
        <v>{progress_rate,2,600},{progress_rate,11,1}</v>
      </c>
      <c r="AV553" s="142" t="str">
        <f t="shared" si="339"/>
        <v>{progress_rate,2,600}</v>
      </c>
      <c r="AW553" s="142" t="s">
        <v>175</v>
      </c>
    </row>
    <row r="554" spans="1:49">
      <c r="A554" s="143" t="str">
        <f t="shared" si="317"/>
        <v>[{2,762},{5103001,40},{14,60},{11,0},{5401000,0},{5203001,0},{5303001,0}]</v>
      </c>
      <c r="B554" s="98">
        <v>242</v>
      </c>
      <c r="C554" s="126">
        <v>218</v>
      </c>
      <c r="D554" s="126">
        <v>544</v>
      </c>
      <c r="E554" s="145">
        <v>15</v>
      </c>
      <c r="F554" s="145">
        <v>25</v>
      </c>
      <c r="G554" s="98">
        <v>3</v>
      </c>
      <c r="H554" s="98">
        <v>5</v>
      </c>
      <c r="I554" s="98">
        <v>0.5</v>
      </c>
      <c r="J554" s="98">
        <v>0</v>
      </c>
      <c r="K554" s="98">
        <v>5</v>
      </c>
      <c r="L554" s="98">
        <v>2</v>
      </c>
      <c r="M554" s="98">
        <v>1</v>
      </c>
      <c r="N554" s="98"/>
      <c r="O554" s="98">
        <v>0.1</v>
      </c>
      <c r="P554" s="98">
        <f t="shared" si="318"/>
        <v>158.1</v>
      </c>
      <c r="Q554" s="147">
        <f t="shared" si="319"/>
        <v>7.905</v>
      </c>
      <c r="R554" s="149">
        <v>600</v>
      </c>
      <c r="S554" s="132">
        <f t="shared" si="320"/>
        <v>109</v>
      </c>
      <c r="T554" s="132">
        <f t="shared" si="341"/>
        <v>272</v>
      </c>
      <c r="V554" s="80">
        <v>21363</v>
      </c>
      <c r="W554" s="142">
        <f t="shared" si="340"/>
        <v>242</v>
      </c>
      <c r="X554" s="142" t="str">
        <f t="shared" si="323"/>
        <v>{progress_rate,2,218}</v>
      </c>
      <c r="Y554" s="142" t="str">
        <f t="shared" si="324"/>
        <v>{progress,0,2,544}</v>
      </c>
      <c r="Z554" s="142" t="str">
        <f t="shared" si="325"/>
        <v>{progress,0,5103001,15}</v>
      </c>
      <c r="AA554" s="142" t="str">
        <f t="shared" si="326"/>
        <v>{progress,40,5103003,25}</v>
      </c>
      <c r="AB554" s="142" t="str">
        <f t="shared" si="327"/>
        <v>{progress,0,50025,3}</v>
      </c>
      <c r="AC554" s="142" t="str">
        <f t="shared" si="328"/>
        <v>{progress,50,50002,5}</v>
      </c>
      <c r="AD554" s="142" t="str">
        <f t="shared" si="329"/>
        <v>{progress_rate_roll,100,5000,11,1}</v>
      </c>
      <c r="AF554" s="142" t="str">
        <f t="shared" si="330"/>
        <v>{progress,50,5203001,5}</v>
      </c>
      <c r="AG554" s="142" t="str">
        <f t="shared" si="331"/>
        <v>{progress,40,5303001,2}</v>
      </c>
      <c r="AH554" s="142" t="str">
        <f t="shared" si="332"/>
        <v>{progress,0,5401019,1}</v>
      </c>
      <c r="AI554" s="142"/>
      <c r="AJ554" s="142" t="str">
        <f t="shared" si="333"/>
        <v>{progress_rate_roll,100,1000,9,1}</v>
      </c>
      <c r="AN554" s="142" t="str">
        <f t="shared" si="334"/>
        <v>{progress,1,21363,1}</v>
      </c>
      <c r="AO554" s="142" t="str">
        <f t="shared" si="335"/>
        <v>{progress_rate_roll,100,5000,21363,1}</v>
      </c>
      <c r="AP554" s="142" t="str">
        <f t="shared" si="321"/>
        <v>[{progress_rate,2,218},{progress,0,2,544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54" s="142" t="str">
        <f t="shared" si="336"/>
        <v>[{progress_rate,2,218},{progress,0,2,544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54" s="142" t="str">
        <f t="shared" si="322"/>
        <v>[{progress_rate,2,218},{progress,0,2,544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54" s="142" t="str">
        <f t="shared" si="337"/>
        <v>[{progress_rate,2,218},{progress,0,2,544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54" s="142" t="str">
        <f t="shared" si="338"/>
        <v>{progress_rate,2,600},{progress_rate,11,1}</v>
      </c>
      <c r="AV554" s="142" t="str">
        <f t="shared" si="339"/>
        <v>{progress_rate,2,600}</v>
      </c>
      <c r="AW554" s="142" t="s">
        <v>175</v>
      </c>
    </row>
    <row r="555" spans="1:49">
      <c r="A555" s="143" t="str">
        <f t="shared" si="317"/>
        <v>[{2,764},{5103001,40},{14,60},{11,0},{5401000,0},{5203001,0},{5303001,0}]</v>
      </c>
      <c r="B555" s="98">
        <v>243</v>
      </c>
      <c r="C555" s="126">
        <v>218</v>
      </c>
      <c r="D555" s="126">
        <v>546</v>
      </c>
      <c r="E555" s="145">
        <v>15</v>
      </c>
      <c r="F555" s="145">
        <v>25</v>
      </c>
      <c r="G555" s="98">
        <v>3</v>
      </c>
      <c r="H555" s="98">
        <v>5</v>
      </c>
      <c r="I555" s="98">
        <v>0.5</v>
      </c>
      <c r="J555" s="98">
        <v>0</v>
      </c>
      <c r="K555" s="98">
        <v>5</v>
      </c>
      <c r="L555" s="98">
        <v>2</v>
      </c>
      <c r="M555" s="98">
        <v>1</v>
      </c>
      <c r="N555" s="98"/>
      <c r="O555" s="98">
        <v>0.1</v>
      </c>
      <c r="P555" s="98">
        <f t="shared" si="318"/>
        <v>158.2</v>
      </c>
      <c r="Q555" s="147">
        <f t="shared" si="319"/>
        <v>7.91</v>
      </c>
      <c r="R555" s="149">
        <v>600</v>
      </c>
      <c r="S555" s="132">
        <f t="shared" si="320"/>
        <v>109</v>
      </c>
      <c r="T555" s="132">
        <f t="shared" si="341"/>
        <v>273</v>
      </c>
      <c r="V555" s="80">
        <v>21363</v>
      </c>
      <c r="W555" s="142">
        <f t="shared" si="340"/>
        <v>243</v>
      </c>
      <c r="X555" s="142" t="str">
        <f t="shared" si="323"/>
        <v>{progress_rate,2,218}</v>
      </c>
      <c r="Y555" s="142" t="str">
        <f t="shared" si="324"/>
        <v>{progress,0,2,546}</v>
      </c>
      <c r="Z555" s="142" t="str">
        <f t="shared" si="325"/>
        <v>{progress,0,5103001,15}</v>
      </c>
      <c r="AA555" s="142" t="str">
        <f t="shared" si="326"/>
        <v>{progress,40,5103003,25}</v>
      </c>
      <c r="AB555" s="142" t="str">
        <f t="shared" si="327"/>
        <v>{progress,0,50025,3}</v>
      </c>
      <c r="AC555" s="142" t="str">
        <f t="shared" si="328"/>
        <v>{progress,50,50002,5}</v>
      </c>
      <c r="AD555" s="142" t="str">
        <f t="shared" si="329"/>
        <v>{progress_rate_roll,100,5000,11,1}</v>
      </c>
      <c r="AF555" s="142" t="str">
        <f t="shared" si="330"/>
        <v>{progress,50,5203001,5}</v>
      </c>
      <c r="AG555" s="142" t="str">
        <f t="shared" si="331"/>
        <v>{progress,40,5303001,2}</v>
      </c>
      <c r="AH555" s="142" t="str">
        <f t="shared" si="332"/>
        <v>{progress,0,5401019,1}</v>
      </c>
      <c r="AI555" s="142"/>
      <c r="AJ555" s="142" t="str">
        <f t="shared" si="333"/>
        <v>{progress_rate_roll,100,1000,9,1}</v>
      </c>
      <c r="AN555" s="142" t="str">
        <f t="shared" si="334"/>
        <v>{progress,1,21363,1}</v>
      </c>
      <c r="AO555" s="142" t="str">
        <f t="shared" si="335"/>
        <v>{progress_rate_roll,100,5000,21363,1}</v>
      </c>
      <c r="AP555" s="142" t="str">
        <f t="shared" si="321"/>
        <v>[{progress_rate,2,218},{progress,0,2,546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55" s="142" t="str">
        <f t="shared" si="336"/>
        <v>[{progress_rate,2,218},{progress,0,2,546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55" s="142" t="str">
        <f t="shared" si="322"/>
        <v>[{progress_rate,2,218},{progress,0,2,546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55" s="142" t="str">
        <f t="shared" si="337"/>
        <v>[{progress_rate,2,218},{progress,0,2,546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55" s="142" t="str">
        <f t="shared" si="338"/>
        <v>{progress_rate,2,600},{progress_rate,11,1}</v>
      </c>
      <c r="AV555" s="142" t="str">
        <f t="shared" si="339"/>
        <v>{progress_rate,2,600}</v>
      </c>
      <c r="AW555" s="142" t="s">
        <v>175</v>
      </c>
    </row>
    <row r="556" spans="1:49">
      <c r="A556" s="143" t="str">
        <f t="shared" si="317"/>
        <v>[{2,766},{5103001,40},{14,60},{11,0},{5401000,0},{5203001,0},{5303001,0}]</v>
      </c>
      <c r="B556" s="98">
        <v>244</v>
      </c>
      <c r="C556" s="126">
        <v>220</v>
      </c>
      <c r="D556" s="126">
        <v>546</v>
      </c>
      <c r="E556" s="145">
        <v>15</v>
      </c>
      <c r="F556" s="145">
        <v>25</v>
      </c>
      <c r="G556" s="98">
        <v>3</v>
      </c>
      <c r="H556" s="98">
        <v>5</v>
      </c>
      <c r="I556" s="98">
        <v>0.5</v>
      </c>
      <c r="J556" s="98">
        <v>0</v>
      </c>
      <c r="K556" s="98">
        <v>5</v>
      </c>
      <c r="L556" s="98">
        <v>2</v>
      </c>
      <c r="M556" s="98">
        <v>1</v>
      </c>
      <c r="N556" s="98"/>
      <c r="O556" s="98">
        <v>0.1</v>
      </c>
      <c r="P556" s="98">
        <f t="shared" si="318"/>
        <v>158.3</v>
      </c>
      <c r="Q556" s="147">
        <f t="shared" si="319"/>
        <v>7.915</v>
      </c>
      <c r="R556" s="149">
        <v>600</v>
      </c>
      <c r="S556" s="132">
        <f t="shared" si="320"/>
        <v>110</v>
      </c>
      <c r="T556" s="132">
        <f t="shared" si="341"/>
        <v>273</v>
      </c>
      <c r="V556" s="80">
        <v>21363</v>
      </c>
      <c r="W556" s="142">
        <f t="shared" si="340"/>
        <v>244</v>
      </c>
      <c r="X556" s="142" t="str">
        <f t="shared" si="323"/>
        <v>{progress_rate,2,220}</v>
      </c>
      <c r="Y556" s="142" t="str">
        <f t="shared" si="324"/>
        <v>{progress,0,2,546}</v>
      </c>
      <c r="Z556" s="142" t="str">
        <f t="shared" si="325"/>
        <v>{progress,0,5103001,15}</v>
      </c>
      <c r="AA556" s="142" t="str">
        <f t="shared" si="326"/>
        <v>{progress,40,5103003,25}</v>
      </c>
      <c r="AB556" s="142" t="str">
        <f t="shared" si="327"/>
        <v>{progress,0,50025,3}</v>
      </c>
      <c r="AC556" s="142" t="str">
        <f t="shared" si="328"/>
        <v>{progress,50,50002,5}</v>
      </c>
      <c r="AD556" s="142" t="str">
        <f t="shared" si="329"/>
        <v>{progress_rate_roll,100,5000,11,1}</v>
      </c>
      <c r="AF556" s="142" t="str">
        <f t="shared" si="330"/>
        <v>{progress,50,5203001,5}</v>
      </c>
      <c r="AG556" s="142" t="str">
        <f t="shared" si="331"/>
        <v>{progress,40,5303001,2}</v>
      </c>
      <c r="AH556" s="142" t="str">
        <f t="shared" si="332"/>
        <v>{progress,0,5401019,1}</v>
      </c>
      <c r="AI556" s="142"/>
      <c r="AJ556" s="142" t="str">
        <f t="shared" si="333"/>
        <v>{progress_rate_roll,100,1000,9,1}</v>
      </c>
      <c r="AN556" s="142" t="str">
        <f t="shared" si="334"/>
        <v>{progress,1,21363,1}</v>
      </c>
      <c r="AO556" s="142" t="str">
        <f t="shared" si="335"/>
        <v>{progress_rate_roll,100,5000,21363,1}</v>
      </c>
      <c r="AP556" s="142" t="str">
        <f t="shared" si="321"/>
        <v>[{progress_rate,2,220},{progress,0,2,546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56" s="142" t="str">
        <f t="shared" si="336"/>
        <v>[{progress_rate,2,220},{progress,0,2,546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56" s="142" t="str">
        <f t="shared" si="322"/>
        <v>[{progress_rate,2,220},{progress,0,2,546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56" s="142" t="str">
        <f t="shared" si="337"/>
        <v>[{progress_rate,2,220},{progress,0,2,546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56" s="142" t="str">
        <f t="shared" si="338"/>
        <v>{progress_rate,2,600},{progress_rate,11,1}</v>
      </c>
      <c r="AV556" s="142" t="str">
        <f t="shared" si="339"/>
        <v>{progress_rate,2,600}</v>
      </c>
      <c r="AW556" s="142" t="s">
        <v>175</v>
      </c>
    </row>
    <row r="557" spans="1:49">
      <c r="A557" s="143" t="str">
        <f t="shared" si="317"/>
        <v>[{2,768},{5103001,40},{14,60},{11,0},{5401000,0},{5203001,0},{5303001,0}]</v>
      </c>
      <c r="B557" s="98">
        <v>245</v>
      </c>
      <c r="C557" s="126">
        <v>220</v>
      </c>
      <c r="D557" s="126">
        <v>548</v>
      </c>
      <c r="E557" s="145">
        <v>15</v>
      </c>
      <c r="F557" s="145">
        <v>25</v>
      </c>
      <c r="G557" s="98">
        <v>3</v>
      </c>
      <c r="H557" s="98">
        <v>5</v>
      </c>
      <c r="I557" s="98">
        <v>0.5</v>
      </c>
      <c r="J557" s="98">
        <v>0</v>
      </c>
      <c r="K557" s="98">
        <v>5</v>
      </c>
      <c r="L557" s="98">
        <v>2</v>
      </c>
      <c r="M557" s="98">
        <v>1</v>
      </c>
      <c r="N557" s="98"/>
      <c r="O557" s="98">
        <v>0.1</v>
      </c>
      <c r="P557" s="98">
        <f t="shared" si="318"/>
        <v>158.4</v>
      </c>
      <c r="Q557" s="147">
        <f t="shared" si="319"/>
        <v>7.92</v>
      </c>
      <c r="R557" s="149">
        <v>600</v>
      </c>
      <c r="S557" s="132">
        <f t="shared" si="320"/>
        <v>110</v>
      </c>
      <c r="T557" s="132">
        <f t="shared" si="341"/>
        <v>274</v>
      </c>
      <c r="V557" s="80">
        <v>21363</v>
      </c>
      <c r="W557" s="142">
        <f t="shared" si="340"/>
        <v>245</v>
      </c>
      <c r="X557" s="142" t="str">
        <f t="shared" si="323"/>
        <v>{progress_rate,2,220}</v>
      </c>
      <c r="Y557" s="142" t="str">
        <f t="shared" si="324"/>
        <v>{progress,0,2,548}</v>
      </c>
      <c r="Z557" s="142" t="str">
        <f t="shared" si="325"/>
        <v>{progress,0,5103001,15}</v>
      </c>
      <c r="AA557" s="142" t="str">
        <f t="shared" si="326"/>
        <v>{progress,40,5103003,25}</v>
      </c>
      <c r="AB557" s="142" t="str">
        <f t="shared" si="327"/>
        <v>{progress,0,50025,3}</v>
      </c>
      <c r="AC557" s="142" t="str">
        <f t="shared" si="328"/>
        <v>{progress,50,50002,5}</v>
      </c>
      <c r="AD557" s="142" t="str">
        <f t="shared" si="329"/>
        <v>{progress_rate_roll,100,5000,11,1}</v>
      </c>
      <c r="AF557" s="142" t="str">
        <f t="shared" si="330"/>
        <v>{progress,50,5203001,5}</v>
      </c>
      <c r="AG557" s="142" t="str">
        <f t="shared" si="331"/>
        <v>{progress,40,5303001,2}</v>
      </c>
      <c r="AH557" s="142" t="str">
        <f t="shared" si="332"/>
        <v>{progress,0,5401019,1}</v>
      </c>
      <c r="AI557" s="142"/>
      <c r="AJ557" s="142" t="str">
        <f t="shared" si="333"/>
        <v>{progress_rate_roll,100,1000,9,1}</v>
      </c>
      <c r="AN557" s="142" t="str">
        <f t="shared" si="334"/>
        <v>{progress,1,21363,1}</v>
      </c>
      <c r="AO557" s="142" t="str">
        <f t="shared" si="335"/>
        <v>{progress_rate_roll,100,5000,21363,1}</v>
      </c>
      <c r="AP557" s="142" t="str">
        <f t="shared" si="321"/>
        <v>[{progress_rate,2,220},{progress,0,2,548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57" s="142" t="str">
        <f t="shared" si="336"/>
        <v>[{progress_rate,2,220},{progress,0,2,548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57" s="142" t="str">
        <f t="shared" si="322"/>
        <v>[{progress_rate,2,220},{progress,0,2,548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57" s="142" t="str">
        <f t="shared" si="337"/>
        <v>[{progress_rate,2,220},{progress,0,2,548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57" s="142" t="str">
        <f t="shared" si="338"/>
        <v>{progress_rate,2,600},{progress_rate,11,1}</v>
      </c>
      <c r="AV557" s="142" t="str">
        <f t="shared" si="339"/>
        <v>{progress_rate,2,600}</v>
      </c>
      <c r="AW557" s="142" t="s">
        <v>175</v>
      </c>
    </row>
    <row r="558" spans="1:49">
      <c r="A558" s="143" t="str">
        <f t="shared" si="317"/>
        <v>[{2,770},{5103001,40},{14,60},{11,0},{5401000,0},{5203001,0},{5303001,0}]</v>
      </c>
      <c r="B558" s="98">
        <v>246</v>
      </c>
      <c r="C558" s="126">
        <v>220</v>
      </c>
      <c r="D558" s="126">
        <v>550</v>
      </c>
      <c r="E558" s="145">
        <v>15</v>
      </c>
      <c r="F558" s="145">
        <v>25</v>
      </c>
      <c r="G558" s="98">
        <v>3</v>
      </c>
      <c r="H558" s="98">
        <v>5</v>
      </c>
      <c r="I558" s="98">
        <v>0.5</v>
      </c>
      <c r="J558" s="98">
        <v>0</v>
      </c>
      <c r="K558" s="98">
        <v>5</v>
      </c>
      <c r="L558" s="98">
        <v>2</v>
      </c>
      <c r="M558" s="98">
        <v>1</v>
      </c>
      <c r="N558" s="98"/>
      <c r="O558" s="98">
        <v>0.1</v>
      </c>
      <c r="P558" s="98">
        <f t="shared" si="318"/>
        <v>158.5</v>
      </c>
      <c r="Q558" s="147">
        <f t="shared" si="319"/>
        <v>7.925</v>
      </c>
      <c r="R558" s="149">
        <v>600</v>
      </c>
      <c r="S558" s="132">
        <f t="shared" si="320"/>
        <v>110</v>
      </c>
      <c r="T558" s="132">
        <f t="shared" si="341"/>
        <v>275</v>
      </c>
      <c r="V558" s="80">
        <v>21363</v>
      </c>
      <c r="W558" s="142">
        <f t="shared" si="340"/>
        <v>246</v>
      </c>
      <c r="X558" s="142" t="str">
        <f t="shared" si="323"/>
        <v>{progress_rate,2,220}</v>
      </c>
      <c r="Y558" s="142" t="str">
        <f t="shared" si="324"/>
        <v>{progress,0,2,550}</v>
      </c>
      <c r="Z558" s="142" t="str">
        <f t="shared" si="325"/>
        <v>{progress,0,5103001,15}</v>
      </c>
      <c r="AA558" s="142" t="str">
        <f t="shared" si="326"/>
        <v>{progress,40,5103003,25}</v>
      </c>
      <c r="AB558" s="142" t="str">
        <f t="shared" si="327"/>
        <v>{progress,0,50025,3}</v>
      </c>
      <c r="AC558" s="142" t="str">
        <f t="shared" si="328"/>
        <v>{progress,50,50002,5}</v>
      </c>
      <c r="AD558" s="142" t="str">
        <f t="shared" si="329"/>
        <v>{progress_rate_roll,100,5000,11,1}</v>
      </c>
      <c r="AF558" s="142" t="str">
        <f t="shared" si="330"/>
        <v>{progress,50,5203001,5}</v>
      </c>
      <c r="AG558" s="142" t="str">
        <f t="shared" si="331"/>
        <v>{progress,40,5303001,2}</v>
      </c>
      <c r="AH558" s="142" t="str">
        <f t="shared" si="332"/>
        <v>{progress,0,5401019,1}</v>
      </c>
      <c r="AI558" s="142"/>
      <c r="AJ558" s="142" t="str">
        <f t="shared" si="333"/>
        <v>{progress_rate_roll,100,1000,9,1}</v>
      </c>
      <c r="AN558" s="142" t="str">
        <f t="shared" si="334"/>
        <v>{progress,1,21363,1}</v>
      </c>
      <c r="AO558" s="142" t="str">
        <f t="shared" si="335"/>
        <v>{progress_rate_roll,100,5000,21363,1}</v>
      </c>
      <c r="AP558" s="142" t="str">
        <f t="shared" si="321"/>
        <v>[{progress_rate,2,220},{progress,0,2,550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58" s="142" t="str">
        <f t="shared" si="336"/>
        <v>[{progress_rate,2,220},{progress,0,2,550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58" s="142" t="str">
        <f t="shared" si="322"/>
        <v>[{progress_rate,2,220},{progress,0,2,550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58" s="142" t="str">
        <f t="shared" si="337"/>
        <v>[{progress_rate,2,220},{progress,0,2,550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58" s="142" t="str">
        <f t="shared" si="338"/>
        <v>{progress_rate,2,600},{progress_rate,11,1}</v>
      </c>
      <c r="AV558" s="142" t="str">
        <f t="shared" si="339"/>
        <v>{progress_rate,2,600}</v>
      </c>
      <c r="AW558" s="142" t="s">
        <v>175</v>
      </c>
    </row>
    <row r="559" spans="1:49">
      <c r="A559" s="143" t="str">
        <f t="shared" si="317"/>
        <v>[{2,772},{5103001,40},{14,60},{11,0},{5401000,0},{5203001,0},{5303001,0}]</v>
      </c>
      <c r="B559" s="98">
        <v>247</v>
      </c>
      <c r="C559" s="126">
        <v>222</v>
      </c>
      <c r="D559" s="126">
        <v>550</v>
      </c>
      <c r="E559" s="145">
        <v>15</v>
      </c>
      <c r="F559" s="145">
        <v>25</v>
      </c>
      <c r="G559" s="98">
        <v>3</v>
      </c>
      <c r="H559" s="98">
        <v>5</v>
      </c>
      <c r="I559" s="98">
        <v>0.5</v>
      </c>
      <c r="J559" s="98">
        <v>0</v>
      </c>
      <c r="K559" s="98">
        <v>5</v>
      </c>
      <c r="L559" s="98">
        <v>2</v>
      </c>
      <c r="M559" s="98">
        <v>1</v>
      </c>
      <c r="N559" s="98"/>
      <c r="O559" s="98">
        <v>0.1</v>
      </c>
      <c r="P559" s="98">
        <f t="shared" si="318"/>
        <v>158.6</v>
      </c>
      <c r="Q559" s="147">
        <f t="shared" si="319"/>
        <v>7.93</v>
      </c>
      <c r="R559" s="149">
        <v>600</v>
      </c>
      <c r="S559" s="132">
        <f t="shared" si="320"/>
        <v>111</v>
      </c>
      <c r="T559" s="132">
        <f t="shared" si="341"/>
        <v>275</v>
      </c>
      <c r="V559" s="80">
        <v>21363</v>
      </c>
      <c r="W559" s="142">
        <f t="shared" si="340"/>
        <v>247</v>
      </c>
      <c r="X559" s="142" t="str">
        <f t="shared" ref="X559:X590" si="342">IF(C$311="","{progress_rate,"&amp;C$308&amp;","&amp;C559&amp;"}",IF(C559&gt;=1,"{progress,"&amp;C$311*100&amp;","&amp;C$308&amp;","&amp;C559&amp;"}","{progress_rate_roll,"&amp;C$311*100&amp;","&amp;INT(C559*10000)&amp;","&amp;C$308&amp;","&amp;1&amp;"}"))</f>
        <v>{progress_rate,2,222}</v>
      </c>
      <c r="Y559" s="142" t="str">
        <f t="shared" ref="Y559:Y590" si="343">IF(D$311="","{progress_rate,"&amp;D$308&amp;","&amp;D559&amp;"}",IF(D559&gt;=1,"{progress,"&amp;D$311*100&amp;","&amp;D$308&amp;","&amp;D559&amp;"}","{progress_rate_roll,"&amp;D$311*100&amp;","&amp;INT(D559*10000)&amp;","&amp;D$308&amp;","&amp;1&amp;"}"))</f>
        <v>{progress,0,2,550}</v>
      </c>
      <c r="Z559" s="142" t="str">
        <f t="shared" ref="Z559:Z590" si="344">IF(E$311="","{progress_rate,"&amp;E$308&amp;","&amp;E559&amp;"}",IF(E559&gt;=1,"{progress,"&amp;E$311*100&amp;","&amp;E$308&amp;","&amp;E559&amp;"}","{progress_rate_roll,"&amp;E$311*100&amp;","&amp;INT(E559*10000)&amp;","&amp;E$308&amp;","&amp;1&amp;"}"))</f>
        <v>{progress,0,5103001,15}</v>
      </c>
      <c r="AA559" s="142" t="str">
        <f t="shared" ref="AA559:AA590" si="345">IF(F$311="","{progress_rate,"&amp;F$308&amp;","&amp;F559&amp;"}",IF(F559&gt;=1,"{progress,"&amp;F$311*100&amp;","&amp;F$308&amp;","&amp;F559&amp;"}","{progress_rate_roll,"&amp;F$311*100&amp;","&amp;INT(F559*10000)&amp;","&amp;F$308&amp;","&amp;1&amp;"}"))</f>
        <v>{progress,40,5103003,25}</v>
      </c>
      <c r="AB559" s="142" t="str">
        <f t="shared" ref="AB559:AB590" si="346">IF(G$311="","{progress_rate,"&amp;G$308&amp;","&amp;G559&amp;"}",IF(G559&gt;=1,"{progress,"&amp;G$311*100&amp;","&amp;G$308&amp;","&amp;G559&amp;"}","{progress_rate_roll,"&amp;G$311*100&amp;","&amp;INT(G559*10000)&amp;","&amp;G$308&amp;","&amp;1&amp;"}"))</f>
        <v>{progress,0,50025,3}</v>
      </c>
      <c r="AC559" s="142" t="str">
        <f t="shared" ref="AC559:AC590" si="347">IF(H$311="","{progress_rate,"&amp;H$308&amp;","&amp;H559&amp;"}",IF(H559&gt;=1,"{progress,"&amp;H$311*100&amp;","&amp;H$308&amp;","&amp;H559&amp;"}","{progress_rate_roll,"&amp;H$311*100&amp;","&amp;INT(H559*10000)&amp;","&amp;H$308&amp;","&amp;1&amp;"}"))</f>
        <v>{progress,50,50002,5}</v>
      </c>
      <c r="AD559" s="142" t="str">
        <f t="shared" ref="AD559:AD590" si="348">IF(I$311="","{progress_rate,"&amp;I$308&amp;","&amp;I559&amp;"}",IF(I559&gt;=1,"{progress,"&amp;I$311*100&amp;","&amp;I$308&amp;","&amp;I559&amp;"}","{progress_rate_roll,"&amp;I$311*100&amp;","&amp;INT(I559*10000)&amp;","&amp;I$308&amp;","&amp;1&amp;"}"))</f>
        <v>{progress_rate_roll,100,5000,11,1}</v>
      </c>
      <c r="AF559" s="142" t="str">
        <f t="shared" ref="AF559:AF590" si="349">IF(K$311="","{progress_rate,"&amp;K$308&amp;","&amp;K559&amp;"}",IF(K559&gt;=1,"{progress,"&amp;K$311*100&amp;","&amp;K$308&amp;","&amp;K559&amp;"}","{progress_rate_roll,"&amp;K$311*100&amp;","&amp;INT(K559*10000)&amp;","&amp;K$308&amp;","&amp;1&amp;"}"))</f>
        <v>{progress,50,5203001,5}</v>
      </c>
      <c r="AG559" s="142" t="str">
        <f t="shared" ref="AG559:AG590" si="350">IF(L$311="","{progress_rate,"&amp;L$308&amp;","&amp;L559&amp;"}",IF(L559&gt;=1,"{progress,"&amp;L$311*100&amp;","&amp;L$308&amp;","&amp;L559&amp;"}","{progress_rate_roll,"&amp;L$311*100&amp;","&amp;INT(L559*10000)&amp;","&amp;L$308&amp;","&amp;1&amp;"}"))</f>
        <v>{progress,40,5303001,2}</v>
      </c>
      <c r="AH559" s="142" t="str">
        <f t="shared" ref="AH559:AH590" si="351">IF(M$311="","{progress_rate,"&amp;M$308&amp;","&amp;M559&amp;"}",IF(M559&gt;=1,"{progress,"&amp;M$311*100&amp;","&amp;M$308&amp;","&amp;M559&amp;"}","{progress_rate_roll,"&amp;M$311*100&amp;","&amp;INT(M559*10000)&amp;","&amp;M$308&amp;","&amp;1&amp;"}"))</f>
        <v>{progress,0,5401019,1}</v>
      </c>
      <c r="AI559" s="142"/>
      <c r="AJ559" s="142" t="str">
        <f t="shared" ref="AJ559:AJ590" si="352">IF(O$311="","{progress_rate,"&amp;O$308&amp;","&amp;O559&amp;"}",IF(O559&gt;=1,"{progress,"&amp;O$311*100&amp;","&amp;O$308&amp;","&amp;O559&amp;"}","{progress_rate_roll,"&amp;O$311*100&amp;","&amp;INT(O559*10000)&amp;","&amp;O$308&amp;","&amp;1&amp;"}"))</f>
        <v>{progress_rate_roll,100,1000,9,1}</v>
      </c>
      <c r="AN559" s="142" t="str">
        <f t="shared" ref="AN559:AN590" si="353">"{progress,1,"&amp;V559&amp;",1}"</f>
        <v>{progress,1,21363,1}</v>
      </c>
      <c r="AO559" s="142" t="str">
        <f t="shared" ref="AO559:AO590" si="354">"{progress_rate_roll,100,5000,"&amp;V559&amp;",1}"</f>
        <v>{progress_rate_roll,100,5000,21363,1}</v>
      </c>
      <c r="AP559" s="142" t="str">
        <f t="shared" si="321"/>
        <v>[{progress_rate,2,222},{progress,0,2,550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59" s="142" t="str">
        <f t="shared" ref="AQ559:AQ590" si="355">"["&amp;_xlfn.TEXTJOIN(",",1,X559:AO559)&amp;"]"</f>
        <v>[{progress_rate,2,222},{progress,0,2,550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59" s="142" t="str">
        <f t="shared" si="322"/>
        <v>[{progress_rate,2,222},{progress,0,2,550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59" s="142" t="str">
        <f t="shared" ref="AS559:AS590" si="356">IF(AT559="",SUBSTITUTE(AQ559,"]",","&amp;AU559&amp;"]"),SUBSTITUTE(SUBSTITUTE(SUBSTITUTE(AQ559,"]",","&amp;AU559&amp;"]"),$G$308,AT559),$H$308,SUBSTITUTE(AT559+1,50009,50003)))</f>
        <v>[{progress_rate,2,222},{progress,0,2,550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59" s="142" t="str">
        <f t="shared" ref="AU559:AU590" si="357">_xlfn.TEXTJOIN(",",1,AV559:BD559)</f>
        <v>{progress_rate,2,600},{progress_rate,11,1}</v>
      </c>
      <c r="AV559" s="142" t="str">
        <f t="shared" ref="AV559:AV590" si="358">"{progress_rate,2,"&amp;MIN(1200,600+INT(B559/10)*0)&amp;"}"</f>
        <v>{progress_rate,2,600}</v>
      </c>
      <c r="AW559" s="142" t="s">
        <v>175</v>
      </c>
    </row>
    <row r="560" spans="1:49">
      <c r="A560" s="143" t="str">
        <f t="shared" si="317"/>
        <v>[{2,774},{5103001,40},{14,60},{11,0},{5401000,0},{5203001,0},{5303001,0}]</v>
      </c>
      <c r="B560" s="98">
        <v>248</v>
      </c>
      <c r="C560" s="126">
        <v>222</v>
      </c>
      <c r="D560" s="126">
        <v>552</v>
      </c>
      <c r="E560" s="145">
        <v>15</v>
      </c>
      <c r="F560" s="145">
        <v>25</v>
      </c>
      <c r="G560" s="98">
        <v>3</v>
      </c>
      <c r="H560" s="98">
        <v>5</v>
      </c>
      <c r="I560" s="98">
        <v>0.5</v>
      </c>
      <c r="J560" s="98">
        <v>0</v>
      </c>
      <c r="K560" s="98">
        <v>5</v>
      </c>
      <c r="L560" s="98">
        <v>2</v>
      </c>
      <c r="M560" s="98">
        <v>1</v>
      </c>
      <c r="N560" s="98"/>
      <c r="O560" s="98">
        <v>0.1</v>
      </c>
      <c r="P560" s="98">
        <f t="shared" si="318"/>
        <v>158.7</v>
      </c>
      <c r="Q560" s="147">
        <f t="shared" si="319"/>
        <v>7.935</v>
      </c>
      <c r="R560" s="149">
        <v>600</v>
      </c>
      <c r="S560" s="132">
        <f t="shared" si="320"/>
        <v>111</v>
      </c>
      <c r="T560" s="132">
        <f t="shared" si="341"/>
        <v>276</v>
      </c>
      <c r="V560" s="80">
        <v>21363</v>
      </c>
      <c r="W560" s="142">
        <f t="shared" si="340"/>
        <v>248</v>
      </c>
      <c r="X560" s="142" t="str">
        <f t="shared" si="342"/>
        <v>{progress_rate,2,222}</v>
      </c>
      <c r="Y560" s="142" t="str">
        <f t="shared" si="343"/>
        <v>{progress,0,2,552}</v>
      </c>
      <c r="Z560" s="142" t="str">
        <f t="shared" si="344"/>
        <v>{progress,0,5103001,15}</v>
      </c>
      <c r="AA560" s="142" t="str">
        <f t="shared" si="345"/>
        <v>{progress,40,5103003,25}</v>
      </c>
      <c r="AB560" s="142" t="str">
        <f t="shared" si="346"/>
        <v>{progress,0,50025,3}</v>
      </c>
      <c r="AC560" s="142" t="str">
        <f t="shared" si="347"/>
        <v>{progress,50,50002,5}</v>
      </c>
      <c r="AD560" s="142" t="str">
        <f t="shared" si="348"/>
        <v>{progress_rate_roll,100,5000,11,1}</v>
      </c>
      <c r="AF560" s="142" t="str">
        <f t="shared" si="349"/>
        <v>{progress,50,5203001,5}</v>
      </c>
      <c r="AG560" s="142" t="str">
        <f t="shared" si="350"/>
        <v>{progress,40,5303001,2}</v>
      </c>
      <c r="AH560" s="142" t="str">
        <f t="shared" si="351"/>
        <v>{progress,0,5401019,1}</v>
      </c>
      <c r="AI560" s="142"/>
      <c r="AJ560" s="142" t="str">
        <f t="shared" si="352"/>
        <v>{progress_rate_roll,100,1000,9,1}</v>
      </c>
      <c r="AN560" s="142" t="str">
        <f t="shared" si="353"/>
        <v>{progress,1,21363,1}</v>
      </c>
      <c r="AO560" s="142" t="str">
        <f t="shared" si="354"/>
        <v>{progress_rate_roll,100,5000,21363,1}</v>
      </c>
      <c r="AP560" s="142" t="str">
        <f t="shared" si="321"/>
        <v>[{progress_rate,2,222},{progress,0,2,552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60" s="142" t="str">
        <f t="shared" si="355"/>
        <v>[{progress_rate,2,222},{progress,0,2,552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60" s="142" t="str">
        <f t="shared" si="322"/>
        <v>[{progress_rate,2,222},{progress,0,2,552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60" s="142" t="str">
        <f t="shared" si="356"/>
        <v>[{progress_rate,2,222},{progress,0,2,552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60" s="142" t="str">
        <f t="shared" si="357"/>
        <v>{progress_rate,2,600},{progress_rate,11,1}</v>
      </c>
      <c r="AV560" s="142" t="str">
        <f t="shared" si="358"/>
        <v>{progress_rate,2,600}</v>
      </c>
      <c r="AW560" s="142" t="s">
        <v>175</v>
      </c>
    </row>
    <row r="561" spans="1:49">
      <c r="A561" s="143" t="str">
        <f t="shared" si="317"/>
        <v>[{2,776},{5103001,40},{14,60},{11,0},{5401000,0},{5203001,0},{5303001,0}]</v>
      </c>
      <c r="B561" s="98">
        <v>249</v>
      </c>
      <c r="C561" s="126">
        <v>222</v>
      </c>
      <c r="D561" s="126">
        <v>554</v>
      </c>
      <c r="E561" s="145">
        <v>15</v>
      </c>
      <c r="F561" s="145">
        <v>25</v>
      </c>
      <c r="G561" s="98">
        <v>3</v>
      </c>
      <c r="H561" s="98">
        <v>5</v>
      </c>
      <c r="I561" s="98">
        <v>0.5</v>
      </c>
      <c r="J561" s="98">
        <v>0</v>
      </c>
      <c r="K561" s="98">
        <v>5</v>
      </c>
      <c r="L561" s="98">
        <v>2</v>
      </c>
      <c r="M561" s="98">
        <v>1</v>
      </c>
      <c r="N561" s="98"/>
      <c r="O561" s="98">
        <v>0.1</v>
      </c>
      <c r="P561" s="98">
        <f t="shared" si="318"/>
        <v>158.8</v>
      </c>
      <c r="Q561" s="147">
        <f t="shared" si="319"/>
        <v>7.94</v>
      </c>
      <c r="R561" s="149">
        <v>600</v>
      </c>
      <c r="S561" s="132">
        <f t="shared" si="320"/>
        <v>111</v>
      </c>
      <c r="T561" s="132">
        <f t="shared" si="341"/>
        <v>277</v>
      </c>
      <c r="V561" s="80">
        <v>21363</v>
      </c>
      <c r="W561" s="142">
        <f t="shared" ref="W561:W592" si="359">B561</f>
        <v>249</v>
      </c>
      <c r="X561" s="142" t="str">
        <f t="shared" si="342"/>
        <v>{progress_rate,2,222}</v>
      </c>
      <c r="Y561" s="142" t="str">
        <f t="shared" si="343"/>
        <v>{progress,0,2,554}</v>
      </c>
      <c r="Z561" s="142" t="str">
        <f t="shared" si="344"/>
        <v>{progress,0,5103001,15}</v>
      </c>
      <c r="AA561" s="142" t="str">
        <f t="shared" si="345"/>
        <v>{progress,40,5103003,25}</v>
      </c>
      <c r="AB561" s="142" t="str">
        <f t="shared" si="346"/>
        <v>{progress,0,50025,3}</v>
      </c>
      <c r="AC561" s="142" t="str">
        <f t="shared" si="347"/>
        <v>{progress,50,50002,5}</v>
      </c>
      <c r="AD561" s="142" t="str">
        <f t="shared" si="348"/>
        <v>{progress_rate_roll,100,5000,11,1}</v>
      </c>
      <c r="AF561" s="142" t="str">
        <f t="shared" si="349"/>
        <v>{progress,50,5203001,5}</v>
      </c>
      <c r="AG561" s="142" t="str">
        <f t="shared" si="350"/>
        <v>{progress,40,5303001,2}</v>
      </c>
      <c r="AH561" s="142" t="str">
        <f t="shared" si="351"/>
        <v>{progress,0,5401019,1}</v>
      </c>
      <c r="AI561" s="142"/>
      <c r="AJ561" s="142" t="str">
        <f t="shared" si="352"/>
        <v>{progress_rate_roll,100,1000,9,1}</v>
      </c>
      <c r="AN561" s="142" t="str">
        <f t="shared" si="353"/>
        <v>{progress,1,21363,1}</v>
      </c>
      <c r="AO561" s="142" t="str">
        <f t="shared" si="354"/>
        <v>{progress_rate_roll,100,5000,21363,1}</v>
      </c>
      <c r="AP561" s="142" t="str">
        <f t="shared" si="321"/>
        <v>[{progress_rate,2,222},{progress,0,2,554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61" s="142" t="str">
        <f t="shared" si="355"/>
        <v>[{progress_rate,2,222},{progress,0,2,554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61" s="142" t="str">
        <f t="shared" si="322"/>
        <v>[{progress_rate,2,222},{progress,0,2,554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61" s="142" t="str">
        <f t="shared" si="356"/>
        <v>[{progress_rate,2,222},{progress,0,2,554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61" s="142" t="str">
        <f t="shared" si="357"/>
        <v>{progress_rate,2,600},{progress_rate,11,1}</v>
      </c>
      <c r="AV561" s="142" t="str">
        <f t="shared" si="358"/>
        <v>{progress_rate,2,600}</v>
      </c>
      <c r="AW561" s="142" t="s">
        <v>175</v>
      </c>
    </row>
    <row r="562" spans="1:49">
      <c r="A562" s="143" t="str">
        <f t="shared" si="317"/>
        <v>[{2,778},{5103001,40},{14,60},{11,0},{5401000,0},{5203001,0},{5303001,0}]</v>
      </c>
      <c r="B562" s="98">
        <v>250</v>
      </c>
      <c r="C562" s="126">
        <v>222</v>
      </c>
      <c r="D562" s="126">
        <v>556</v>
      </c>
      <c r="E562" s="145">
        <v>15</v>
      </c>
      <c r="F562" s="145">
        <v>25</v>
      </c>
      <c r="G562" s="98">
        <v>3</v>
      </c>
      <c r="H562" s="98">
        <v>5</v>
      </c>
      <c r="I562" s="98">
        <v>0.5</v>
      </c>
      <c r="J562" s="98">
        <v>0</v>
      </c>
      <c r="K562" s="98">
        <v>5</v>
      </c>
      <c r="L562" s="98">
        <v>2</v>
      </c>
      <c r="M562" s="98">
        <v>1</v>
      </c>
      <c r="N562" s="98"/>
      <c r="O562" s="98">
        <v>0.1</v>
      </c>
      <c r="P562" s="98">
        <f t="shared" si="318"/>
        <v>158.9</v>
      </c>
      <c r="Q562" s="147">
        <f t="shared" si="319"/>
        <v>7.945</v>
      </c>
      <c r="R562" s="149">
        <v>600</v>
      </c>
      <c r="S562" s="132">
        <f t="shared" si="320"/>
        <v>111</v>
      </c>
      <c r="T562" s="132">
        <f t="shared" ref="T562:T593" si="360">D562/2</f>
        <v>278</v>
      </c>
      <c r="V562" s="80">
        <v>21363</v>
      </c>
      <c r="W562" s="142">
        <f t="shared" si="359"/>
        <v>250</v>
      </c>
      <c r="X562" s="142" t="str">
        <f t="shared" si="342"/>
        <v>{progress_rate,2,222}</v>
      </c>
      <c r="Y562" s="142" t="str">
        <f t="shared" si="343"/>
        <v>{progress,0,2,556}</v>
      </c>
      <c r="Z562" s="142" t="str">
        <f t="shared" si="344"/>
        <v>{progress,0,5103001,15}</v>
      </c>
      <c r="AA562" s="142" t="str">
        <f t="shared" si="345"/>
        <v>{progress,40,5103003,25}</v>
      </c>
      <c r="AB562" s="142" t="str">
        <f t="shared" si="346"/>
        <v>{progress,0,50025,3}</v>
      </c>
      <c r="AC562" s="142" t="str">
        <f t="shared" si="347"/>
        <v>{progress,50,50002,5}</v>
      </c>
      <c r="AD562" s="142" t="str">
        <f t="shared" si="348"/>
        <v>{progress_rate_roll,100,5000,11,1}</v>
      </c>
      <c r="AF562" s="142" t="str">
        <f t="shared" si="349"/>
        <v>{progress,50,5203001,5}</v>
      </c>
      <c r="AG562" s="142" t="str">
        <f t="shared" si="350"/>
        <v>{progress,40,5303001,2}</v>
      </c>
      <c r="AH562" s="142" t="str">
        <f t="shared" si="351"/>
        <v>{progress,0,5401019,1}</v>
      </c>
      <c r="AI562" s="142"/>
      <c r="AJ562" s="142" t="str">
        <f t="shared" si="352"/>
        <v>{progress_rate_roll,100,1000,9,1}</v>
      </c>
      <c r="AN562" s="142" t="str">
        <f t="shared" si="353"/>
        <v>{progress,1,21363,1}</v>
      </c>
      <c r="AO562" s="142" t="str">
        <f t="shared" si="354"/>
        <v>{progress_rate_roll,100,5000,21363,1}</v>
      </c>
      <c r="AP562" s="142" t="str">
        <f t="shared" si="321"/>
        <v>[{progress_rate,2,222},{progress,0,2,556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62" s="142" t="str">
        <f t="shared" si="355"/>
        <v>[{progress_rate,2,222},{progress,0,2,556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62" s="142" t="str">
        <f t="shared" si="322"/>
        <v>[{progress_rate,2,222},{progress,0,2,556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62" s="142" t="str">
        <f t="shared" si="356"/>
        <v>[{progress_rate,2,222},{progress,0,2,556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62" s="142" t="str">
        <f t="shared" si="357"/>
        <v>{progress_rate,2,600},{progress_rate,11,1}</v>
      </c>
      <c r="AV562" s="142" t="str">
        <f t="shared" si="358"/>
        <v>{progress_rate,2,600}</v>
      </c>
      <c r="AW562" s="142" t="s">
        <v>175</v>
      </c>
    </row>
    <row r="563" spans="1:49">
      <c r="A563" s="143" t="str">
        <f t="shared" si="317"/>
        <v>[{2,780},{5103001,40},{14,60},{11,0},{5401000,0},{5203001,0},{5303001,0}]</v>
      </c>
      <c r="B563" s="98">
        <v>251</v>
      </c>
      <c r="C563" s="126">
        <v>224</v>
      </c>
      <c r="D563" s="126">
        <v>556</v>
      </c>
      <c r="E563" s="145">
        <v>15</v>
      </c>
      <c r="F563" s="145">
        <v>25</v>
      </c>
      <c r="G563" s="98">
        <v>3</v>
      </c>
      <c r="H563" s="98">
        <v>5</v>
      </c>
      <c r="I563" s="98">
        <v>0.5</v>
      </c>
      <c r="J563" s="98">
        <v>0</v>
      </c>
      <c r="K563" s="98">
        <v>5</v>
      </c>
      <c r="L563" s="98">
        <v>2</v>
      </c>
      <c r="M563" s="98">
        <v>1</v>
      </c>
      <c r="N563" s="98"/>
      <c r="O563" s="98">
        <v>0.1</v>
      </c>
      <c r="P563" s="98">
        <f t="shared" si="318"/>
        <v>159</v>
      </c>
      <c r="Q563" s="147">
        <f t="shared" si="319"/>
        <v>7.95</v>
      </c>
      <c r="R563" s="149">
        <v>600</v>
      </c>
      <c r="S563" s="132">
        <f t="shared" si="320"/>
        <v>112</v>
      </c>
      <c r="T563" s="132">
        <f t="shared" si="360"/>
        <v>278</v>
      </c>
      <c r="V563" s="80">
        <v>21363</v>
      </c>
      <c r="W563" s="142">
        <f t="shared" si="359"/>
        <v>251</v>
      </c>
      <c r="X563" s="142" t="str">
        <f t="shared" si="342"/>
        <v>{progress_rate,2,224}</v>
      </c>
      <c r="Y563" s="142" t="str">
        <f t="shared" si="343"/>
        <v>{progress,0,2,556}</v>
      </c>
      <c r="Z563" s="142" t="str">
        <f t="shared" si="344"/>
        <v>{progress,0,5103001,15}</v>
      </c>
      <c r="AA563" s="142" t="str">
        <f t="shared" si="345"/>
        <v>{progress,40,5103003,25}</v>
      </c>
      <c r="AB563" s="142" t="str">
        <f t="shared" si="346"/>
        <v>{progress,0,50025,3}</v>
      </c>
      <c r="AC563" s="142" t="str">
        <f t="shared" si="347"/>
        <v>{progress,50,50002,5}</v>
      </c>
      <c r="AD563" s="142" t="str">
        <f t="shared" si="348"/>
        <v>{progress_rate_roll,100,5000,11,1}</v>
      </c>
      <c r="AF563" s="142" t="str">
        <f t="shared" si="349"/>
        <v>{progress,50,5203001,5}</v>
      </c>
      <c r="AG563" s="142" t="str">
        <f t="shared" si="350"/>
        <v>{progress,40,5303001,2}</v>
      </c>
      <c r="AH563" s="142" t="str">
        <f t="shared" si="351"/>
        <v>{progress,0,5401019,1}</v>
      </c>
      <c r="AI563" s="142"/>
      <c r="AJ563" s="142" t="str">
        <f t="shared" si="352"/>
        <v>{progress_rate_roll,100,1000,9,1}</v>
      </c>
      <c r="AN563" s="142" t="str">
        <f t="shared" si="353"/>
        <v>{progress,1,21363,1}</v>
      </c>
      <c r="AO563" s="142" t="str">
        <f t="shared" si="354"/>
        <v>{progress_rate_roll,100,5000,21363,1}</v>
      </c>
      <c r="AP563" s="142" t="str">
        <f t="shared" si="321"/>
        <v>[{progress_rate,2,224},{progress,0,2,556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63" s="142" t="str">
        <f t="shared" si="355"/>
        <v>[{progress_rate,2,224},{progress,0,2,556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63" s="142" t="str">
        <f t="shared" si="322"/>
        <v>[{progress_rate,2,224},{progress,0,2,556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63" s="142" t="str">
        <f t="shared" si="356"/>
        <v>[{progress_rate,2,224},{progress,0,2,556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63" s="142" t="str">
        <f t="shared" si="357"/>
        <v>{progress_rate,2,600},{progress_rate,11,1}</v>
      </c>
      <c r="AV563" s="142" t="str">
        <f t="shared" si="358"/>
        <v>{progress_rate,2,600}</v>
      </c>
      <c r="AW563" s="142" t="s">
        <v>175</v>
      </c>
    </row>
    <row r="564" spans="1:49">
      <c r="A564" s="143" t="str">
        <f t="shared" si="317"/>
        <v>[{2,782},{5103001,40},{14,60},{11,0},{5401000,0},{5203001,0},{5303001,0}]</v>
      </c>
      <c r="B564" s="98">
        <v>252</v>
      </c>
      <c r="C564" s="126">
        <v>224</v>
      </c>
      <c r="D564" s="126">
        <v>558</v>
      </c>
      <c r="E564" s="145">
        <v>15</v>
      </c>
      <c r="F564" s="145">
        <v>25</v>
      </c>
      <c r="G564" s="98">
        <v>3</v>
      </c>
      <c r="H564" s="98">
        <v>5</v>
      </c>
      <c r="I564" s="98">
        <v>0.5</v>
      </c>
      <c r="J564" s="98">
        <v>0</v>
      </c>
      <c r="K564" s="98">
        <v>5</v>
      </c>
      <c r="L564" s="98">
        <v>2</v>
      </c>
      <c r="M564" s="98">
        <v>1</v>
      </c>
      <c r="N564" s="98"/>
      <c r="O564" s="98">
        <v>0.1</v>
      </c>
      <c r="P564" s="98">
        <f t="shared" si="318"/>
        <v>159.1</v>
      </c>
      <c r="Q564" s="147">
        <f t="shared" si="319"/>
        <v>7.955</v>
      </c>
      <c r="R564" s="149">
        <v>600</v>
      </c>
      <c r="S564" s="132">
        <f t="shared" si="320"/>
        <v>112</v>
      </c>
      <c r="T564" s="132">
        <f t="shared" si="360"/>
        <v>279</v>
      </c>
      <c r="V564" s="80">
        <v>21363</v>
      </c>
      <c r="W564" s="142">
        <f t="shared" si="359"/>
        <v>252</v>
      </c>
      <c r="X564" s="142" t="str">
        <f t="shared" si="342"/>
        <v>{progress_rate,2,224}</v>
      </c>
      <c r="Y564" s="142" t="str">
        <f t="shared" si="343"/>
        <v>{progress,0,2,558}</v>
      </c>
      <c r="Z564" s="142" t="str">
        <f t="shared" si="344"/>
        <v>{progress,0,5103001,15}</v>
      </c>
      <c r="AA564" s="142" t="str">
        <f t="shared" si="345"/>
        <v>{progress,40,5103003,25}</v>
      </c>
      <c r="AB564" s="142" t="str">
        <f t="shared" si="346"/>
        <v>{progress,0,50025,3}</v>
      </c>
      <c r="AC564" s="142" t="str">
        <f t="shared" si="347"/>
        <v>{progress,50,50002,5}</v>
      </c>
      <c r="AD564" s="142" t="str">
        <f t="shared" si="348"/>
        <v>{progress_rate_roll,100,5000,11,1}</v>
      </c>
      <c r="AF564" s="142" t="str">
        <f t="shared" si="349"/>
        <v>{progress,50,5203001,5}</v>
      </c>
      <c r="AG564" s="142" t="str">
        <f t="shared" si="350"/>
        <v>{progress,40,5303001,2}</v>
      </c>
      <c r="AH564" s="142" t="str">
        <f t="shared" si="351"/>
        <v>{progress,0,5401019,1}</v>
      </c>
      <c r="AI564" s="142"/>
      <c r="AJ564" s="142" t="str">
        <f t="shared" si="352"/>
        <v>{progress_rate_roll,100,1000,9,1}</v>
      </c>
      <c r="AN564" s="142" t="str">
        <f t="shared" si="353"/>
        <v>{progress,1,21363,1}</v>
      </c>
      <c r="AO564" s="142" t="str">
        <f t="shared" si="354"/>
        <v>{progress_rate_roll,100,5000,21363,1}</v>
      </c>
      <c r="AP564" s="142" t="str">
        <f t="shared" si="321"/>
        <v>[{progress_rate,2,224},{progress,0,2,558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64" s="142" t="str">
        <f t="shared" si="355"/>
        <v>[{progress_rate,2,224},{progress,0,2,558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64" s="142" t="str">
        <f t="shared" si="322"/>
        <v>[{progress_rate,2,224},{progress,0,2,558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64" s="142" t="str">
        <f t="shared" si="356"/>
        <v>[{progress_rate,2,224},{progress,0,2,558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64" s="142" t="str">
        <f t="shared" si="357"/>
        <v>{progress_rate,2,600},{progress_rate,11,1}</v>
      </c>
      <c r="AV564" s="142" t="str">
        <f t="shared" si="358"/>
        <v>{progress_rate,2,600}</v>
      </c>
      <c r="AW564" s="142" t="s">
        <v>175</v>
      </c>
    </row>
    <row r="565" spans="1:49">
      <c r="A565" s="143" t="str">
        <f t="shared" si="317"/>
        <v>[{2,784},{5103001,40},{14,60},{11,0},{5401000,0},{5203001,0},{5303001,0}]</v>
      </c>
      <c r="B565" s="98">
        <v>253</v>
      </c>
      <c r="C565" s="126">
        <v>224</v>
      </c>
      <c r="D565" s="126">
        <v>560</v>
      </c>
      <c r="E565" s="145">
        <v>15</v>
      </c>
      <c r="F565" s="145">
        <v>25</v>
      </c>
      <c r="G565" s="98">
        <v>3</v>
      </c>
      <c r="H565" s="98">
        <v>5</v>
      </c>
      <c r="I565" s="98">
        <v>0.5</v>
      </c>
      <c r="J565" s="98">
        <v>0</v>
      </c>
      <c r="K565" s="98">
        <v>5</v>
      </c>
      <c r="L565" s="98">
        <v>2</v>
      </c>
      <c r="M565" s="98">
        <v>1</v>
      </c>
      <c r="N565" s="98"/>
      <c r="O565" s="98">
        <v>0.1</v>
      </c>
      <c r="P565" s="98">
        <f t="shared" si="318"/>
        <v>159.2</v>
      </c>
      <c r="Q565" s="147">
        <f t="shared" si="319"/>
        <v>7.96</v>
      </c>
      <c r="R565" s="149">
        <v>600</v>
      </c>
      <c r="S565" s="132">
        <f t="shared" si="320"/>
        <v>112</v>
      </c>
      <c r="T565" s="132">
        <f t="shared" si="360"/>
        <v>280</v>
      </c>
      <c r="V565" s="80">
        <v>21363</v>
      </c>
      <c r="W565" s="142">
        <f t="shared" si="359"/>
        <v>253</v>
      </c>
      <c r="X565" s="142" t="str">
        <f t="shared" si="342"/>
        <v>{progress_rate,2,224}</v>
      </c>
      <c r="Y565" s="142" t="str">
        <f t="shared" si="343"/>
        <v>{progress,0,2,560}</v>
      </c>
      <c r="Z565" s="142" t="str">
        <f t="shared" si="344"/>
        <v>{progress,0,5103001,15}</v>
      </c>
      <c r="AA565" s="142" t="str">
        <f t="shared" si="345"/>
        <v>{progress,40,5103003,25}</v>
      </c>
      <c r="AB565" s="142" t="str">
        <f t="shared" si="346"/>
        <v>{progress,0,50025,3}</v>
      </c>
      <c r="AC565" s="142" t="str">
        <f t="shared" si="347"/>
        <v>{progress,50,50002,5}</v>
      </c>
      <c r="AD565" s="142" t="str">
        <f t="shared" si="348"/>
        <v>{progress_rate_roll,100,5000,11,1}</v>
      </c>
      <c r="AF565" s="142" t="str">
        <f t="shared" si="349"/>
        <v>{progress,50,5203001,5}</v>
      </c>
      <c r="AG565" s="142" t="str">
        <f t="shared" si="350"/>
        <v>{progress,40,5303001,2}</v>
      </c>
      <c r="AH565" s="142" t="str">
        <f t="shared" si="351"/>
        <v>{progress,0,5401019,1}</v>
      </c>
      <c r="AI565" s="142"/>
      <c r="AJ565" s="142" t="str">
        <f t="shared" si="352"/>
        <v>{progress_rate_roll,100,1000,9,1}</v>
      </c>
      <c r="AN565" s="142" t="str">
        <f t="shared" si="353"/>
        <v>{progress,1,21363,1}</v>
      </c>
      <c r="AO565" s="142" t="str">
        <f t="shared" si="354"/>
        <v>{progress_rate_roll,100,5000,21363,1}</v>
      </c>
      <c r="AP565" s="142" t="str">
        <f t="shared" si="321"/>
        <v>[{progress_rate,2,224},{progress,0,2,560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65" s="142" t="str">
        <f t="shared" si="355"/>
        <v>[{progress_rate,2,224},{progress,0,2,560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65" s="142" t="str">
        <f t="shared" si="322"/>
        <v>[{progress_rate,2,224},{progress,0,2,560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65" s="142" t="str">
        <f t="shared" si="356"/>
        <v>[{progress_rate,2,224},{progress,0,2,560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65" s="142" t="str">
        <f t="shared" si="357"/>
        <v>{progress_rate,2,600},{progress_rate,11,1}</v>
      </c>
      <c r="AV565" s="142" t="str">
        <f t="shared" si="358"/>
        <v>{progress_rate,2,600}</v>
      </c>
      <c r="AW565" s="142" t="s">
        <v>175</v>
      </c>
    </row>
    <row r="566" spans="1:49">
      <c r="A566" s="143" t="str">
        <f t="shared" si="317"/>
        <v>[{2,786},{5103001,40},{14,60},{11,0},{5401000,0},{5203001,0},{5303001,0}]</v>
      </c>
      <c r="B566" s="98">
        <v>254</v>
      </c>
      <c r="C566" s="126">
        <v>226</v>
      </c>
      <c r="D566" s="126">
        <v>560</v>
      </c>
      <c r="E566" s="145">
        <v>15</v>
      </c>
      <c r="F566" s="145">
        <v>25</v>
      </c>
      <c r="G566" s="98">
        <v>3</v>
      </c>
      <c r="H566" s="98">
        <v>5</v>
      </c>
      <c r="I566" s="98">
        <v>0.5</v>
      </c>
      <c r="J566" s="98">
        <v>0</v>
      </c>
      <c r="K566" s="98">
        <v>5</v>
      </c>
      <c r="L566" s="98">
        <v>2</v>
      </c>
      <c r="M566" s="98">
        <v>1</v>
      </c>
      <c r="N566" s="98"/>
      <c r="O566" s="98">
        <v>0.1</v>
      </c>
      <c r="P566" s="98">
        <f t="shared" si="318"/>
        <v>159.3</v>
      </c>
      <c r="Q566" s="147">
        <f t="shared" si="319"/>
        <v>7.965</v>
      </c>
      <c r="R566" s="149">
        <v>600</v>
      </c>
      <c r="S566" s="132">
        <f t="shared" si="320"/>
        <v>113</v>
      </c>
      <c r="T566" s="132">
        <f t="shared" si="360"/>
        <v>280</v>
      </c>
      <c r="V566" s="80">
        <v>21363</v>
      </c>
      <c r="W566" s="142">
        <f t="shared" si="359"/>
        <v>254</v>
      </c>
      <c r="X566" s="142" t="str">
        <f t="shared" si="342"/>
        <v>{progress_rate,2,226}</v>
      </c>
      <c r="Y566" s="142" t="str">
        <f t="shared" si="343"/>
        <v>{progress,0,2,560}</v>
      </c>
      <c r="Z566" s="142" t="str">
        <f t="shared" si="344"/>
        <v>{progress,0,5103001,15}</v>
      </c>
      <c r="AA566" s="142" t="str">
        <f t="shared" si="345"/>
        <v>{progress,40,5103003,25}</v>
      </c>
      <c r="AB566" s="142" t="str">
        <f t="shared" si="346"/>
        <v>{progress,0,50025,3}</v>
      </c>
      <c r="AC566" s="142" t="str">
        <f t="shared" si="347"/>
        <v>{progress,50,50002,5}</v>
      </c>
      <c r="AD566" s="142" t="str">
        <f t="shared" si="348"/>
        <v>{progress_rate_roll,100,5000,11,1}</v>
      </c>
      <c r="AF566" s="142" t="str">
        <f t="shared" si="349"/>
        <v>{progress,50,5203001,5}</v>
      </c>
      <c r="AG566" s="142" t="str">
        <f t="shared" si="350"/>
        <v>{progress,40,5303001,2}</v>
      </c>
      <c r="AH566" s="142" t="str">
        <f t="shared" si="351"/>
        <v>{progress,0,5401019,1}</v>
      </c>
      <c r="AI566" s="142"/>
      <c r="AJ566" s="142" t="str">
        <f t="shared" si="352"/>
        <v>{progress_rate_roll,100,1000,9,1}</v>
      </c>
      <c r="AN566" s="142" t="str">
        <f t="shared" si="353"/>
        <v>{progress,1,21363,1}</v>
      </c>
      <c r="AO566" s="142" t="str">
        <f t="shared" si="354"/>
        <v>{progress_rate_roll,100,5000,21363,1}</v>
      </c>
      <c r="AP566" s="142" t="str">
        <f t="shared" si="321"/>
        <v>[{progress_rate,2,226},{progress,0,2,560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66" s="142" t="str">
        <f t="shared" si="355"/>
        <v>[{progress_rate,2,226},{progress,0,2,560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66" s="142" t="str">
        <f t="shared" si="322"/>
        <v>[{progress_rate,2,226},{progress,0,2,560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66" s="142" t="str">
        <f t="shared" si="356"/>
        <v>[{progress_rate,2,226},{progress,0,2,560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66" s="142" t="str">
        <f t="shared" si="357"/>
        <v>{progress_rate,2,600},{progress_rate,11,1}</v>
      </c>
      <c r="AV566" s="142" t="str">
        <f t="shared" si="358"/>
        <v>{progress_rate,2,600}</v>
      </c>
      <c r="AW566" s="142" t="s">
        <v>175</v>
      </c>
    </row>
    <row r="567" spans="1:49">
      <c r="A567" s="143" t="str">
        <f t="shared" si="317"/>
        <v>[{2,788},{5103001,40},{14,60},{11,0},{5401000,0},{5203001,0},{5303001,0}]</v>
      </c>
      <c r="B567" s="98">
        <v>255</v>
      </c>
      <c r="C567" s="126">
        <v>226</v>
      </c>
      <c r="D567" s="126">
        <v>562</v>
      </c>
      <c r="E567" s="145">
        <v>15</v>
      </c>
      <c r="F567" s="145">
        <v>25</v>
      </c>
      <c r="G567" s="98">
        <v>3</v>
      </c>
      <c r="H567" s="98">
        <v>5</v>
      </c>
      <c r="I567" s="98">
        <v>0.5</v>
      </c>
      <c r="J567" s="98">
        <v>0</v>
      </c>
      <c r="K567" s="98">
        <v>5</v>
      </c>
      <c r="L567" s="98">
        <v>2</v>
      </c>
      <c r="M567" s="98">
        <v>1</v>
      </c>
      <c r="N567" s="98"/>
      <c r="O567" s="98">
        <v>0.1</v>
      </c>
      <c r="P567" s="98">
        <f t="shared" si="318"/>
        <v>159.4</v>
      </c>
      <c r="Q567" s="147">
        <f t="shared" si="319"/>
        <v>7.97</v>
      </c>
      <c r="R567" s="149">
        <v>600</v>
      </c>
      <c r="S567" s="132">
        <f t="shared" si="320"/>
        <v>113</v>
      </c>
      <c r="T567" s="132">
        <f t="shared" si="360"/>
        <v>281</v>
      </c>
      <c r="V567" s="80">
        <v>21363</v>
      </c>
      <c r="W567" s="142">
        <f t="shared" si="359"/>
        <v>255</v>
      </c>
      <c r="X567" s="142" t="str">
        <f t="shared" si="342"/>
        <v>{progress_rate,2,226}</v>
      </c>
      <c r="Y567" s="142" t="str">
        <f t="shared" si="343"/>
        <v>{progress,0,2,562}</v>
      </c>
      <c r="Z567" s="142" t="str">
        <f t="shared" si="344"/>
        <v>{progress,0,5103001,15}</v>
      </c>
      <c r="AA567" s="142" t="str">
        <f t="shared" si="345"/>
        <v>{progress,40,5103003,25}</v>
      </c>
      <c r="AB567" s="142" t="str">
        <f t="shared" si="346"/>
        <v>{progress,0,50025,3}</v>
      </c>
      <c r="AC567" s="142" t="str">
        <f t="shared" si="347"/>
        <v>{progress,50,50002,5}</v>
      </c>
      <c r="AD567" s="142" t="str">
        <f t="shared" si="348"/>
        <v>{progress_rate_roll,100,5000,11,1}</v>
      </c>
      <c r="AF567" s="142" t="str">
        <f t="shared" si="349"/>
        <v>{progress,50,5203001,5}</v>
      </c>
      <c r="AG567" s="142" t="str">
        <f t="shared" si="350"/>
        <v>{progress,40,5303001,2}</v>
      </c>
      <c r="AH567" s="142" t="str">
        <f t="shared" si="351"/>
        <v>{progress,0,5401019,1}</v>
      </c>
      <c r="AI567" s="142"/>
      <c r="AJ567" s="142" t="str">
        <f t="shared" si="352"/>
        <v>{progress_rate_roll,100,1000,9,1}</v>
      </c>
      <c r="AN567" s="142" t="str">
        <f t="shared" si="353"/>
        <v>{progress,1,21363,1}</v>
      </c>
      <c r="AO567" s="142" t="str">
        <f t="shared" si="354"/>
        <v>{progress_rate_roll,100,5000,21363,1}</v>
      </c>
      <c r="AP567" s="142" t="str">
        <f t="shared" si="321"/>
        <v>[{progress_rate,2,226},{progress,0,2,562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67" s="142" t="str">
        <f t="shared" si="355"/>
        <v>[{progress_rate,2,226},{progress,0,2,562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67" s="142" t="str">
        <f t="shared" si="322"/>
        <v>[{progress_rate,2,226},{progress,0,2,562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67" s="142" t="str">
        <f t="shared" si="356"/>
        <v>[{progress_rate,2,226},{progress,0,2,562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67" s="142" t="str">
        <f t="shared" si="357"/>
        <v>{progress_rate,2,600},{progress_rate,11,1}</v>
      </c>
      <c r="AV567" s="142" t="str">
        <f t="shared" si="358"/>
        <v>{progress_rate,2,600}</v>
      </c>
      <c r="AW567" s="142" t="s">
        <v>175</v>
      </c>
    </row>
    <row r="568" spans="1:49">
      <c r="A568" s="143" t="str">
        <f t="shared" si="317"/>
        <v>[{2,790},{5103001,40},{14,60},{11,0},{5401000,0},{5203001,0},{5303001,0}]</v>
      </c>
      <c r="B568" s="98">
        <v>256</v>
      </c>
      <c r="C568" s="126">
        <v>226</v>
      </c>
      <c r="D568" s="126">
        <v>564</v>
      </c>
      <c r="E568" s="145">
        <v>15</v>
      </c>
      <c r="F568" s="145">
        <v>25</v>
      </c>
      <c r="G568" s="98">
        <v>3</v>
      </c>
      <c r="H568" s="98">
        <v>5</v>
      </c>
      <c r="I568" s="98">
        <v>0.5</v>
      </c>
      <c r="J568" s="98">
        <v>0</v>
      </c>
      <c r="K568" s="98">
        <v>5</v>
      </c>
      <c r="L568" s="98">
        <v>2</v>
      </c>
      <c r="M568" s="98">
        <v>1</v>
      </c>
      <c r="N568" s="98"/>
      <c r="O568" s="98">
        <v>0.1</v>
      </c>
      <c r="P568" s="98">
        <f t="shared" si="318"/>
        <v>159.5</v>
      </c>
      <c r="Q568" s="147">
        <f t="shared" si="319"/>
        <v>7.975</v>
      </c>
      <c r="R568" s="149">
        <v>600</v>
      </c>
      <c r="S568" s="132">
        <f t="shared" si="320"/>
        <v>113</v>
      </c>
      <c r="T568" s="132">
        <f t="shared" si="360"/>
        <v>282</v>
      </c>
      <c r="V568" s="80">
        <v>21363</v>
      </c>
      <c r="W568" s="142">
        <f t="shared" si="359"/>
        <v>256</v>
      </c>
      <c r="X568" s="142" t="str">
        <f t="shared" si="342"/>
        <v>{progress_rate,2,226}</v>
      </c>
      <c r="Y568" s="142" t="str">
        <f t="shared" si="343"/>
        <v>{progress,0,2,564}</v>
      </c>
      <c r="Z568" s="142" t="str">
        <f t="shared" si="344"/>
        <v>{progress,0,5103001,15}</v>
      </c>
      <c r="AA568" s="142" t="str">
        <f t="shared" si="345"/>
        <v>{progress,40,5103003,25}</v>
      </c>
      <c r="AB568" s="142" t="str">
        <f t="shared" si="346"/>
        <v>{progress,0,50025,3}</v>
      </c>
      <c r="AC568" s="142" t="str">
        <f t="shared" si="347"/>
        <v>{progress,50,50002,5}</v>
      </c>
      <c r="AD568" s="142" t="str">
        <f t="shared" si="348"/>
        <v>{progress_rate_roll,100,5000,11,1}</v>
      </c>
      <c r="AF568" s="142" t="str">
        <f t="shared" si="349"/>
        <v>{progress,50,5203001,5}</v>
      </c>
      <c r="AG568" s="142" t="str">
        <f t="shared" si="350"/>
        <v>{progress,40,5303001,2}</v>
      </c>
      <c r="AH568" s="142" t="str">
        <f t="shared" si="351"/>
        <v>{progress,0,5401019,1}</v>
      </c>
      <c r="AI568" s="142"/>
      <c r="AJ568" s="142" t="str">
        <f t="shared" si="352"/>
        <v>{progress_rate_roll,100,1000,9,1}</v>
      </c>
      <c r="AN568" s="142" t="str">
        <f t="shared" si="353"/>
        <v>{progress,1,21363,1}</v>
      </c>
      <c r="AO568" s="142" t="str">
        <f t="shared" si="354"/>
        <v>{progress_rate_roll,100,5000,21363,1}</v>
      </c>
      <c r="AP568" s="142" t="str">
        <f t="shared" si="321"/>
        <v>[{progress_rate,2,226},{progress,0,2,564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68" s="142" t="str">
        <f t="shared" si="355"/>
        <v>[{progress_rate,2,226},{progress,0,2,564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68" s="142" t="str">
        <f t="shared" si="322"/>
        <v>[{progress_rate,2,226},{progress,0,2,564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68" s="142" t="str">
        <f t="shared" si="356"/>
        <v>[{progress_rate,2,226},{progress,0,2,564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68" s="142" t="str">
        <f t="shared" si="357"/>
        <v>{progress_rate,2,600},{progress_rate,11,1}</v>
      </c>
      <c r="AV568" s="142" t="str">
        <f t="shared" si="358"/>
        <v>{progress_rate,2,600}</v>
      </c>
      <c r="AW568" s="142" t="s">
        <v>175</v>
      </c>
    </row>
    <row r="569" spans="1:49">
      <c r="A569" s="143" t="str">
        <f t="shared" ref="A569:A612" si="361">"[{2,"&amp;C569+D569&amp;"},{5103001,"&amp;E569+F569&amp;"},{14,60},{11,0}"&amp;IF(M569&gt;0,",{5401000,0}","")&amp;IF(K569&gt;0,",{5203001,0}","")&amp;IF(L569&gt;0,",{5303001,0}","")&amp;"]"</f>
        <v>[{2,792},{5103001,40},{14,60},{11,0},{5401000,0},{5203001,0},{5303001,0}]</v>
      </c>
      <c r="B569" s="98">
        <v>257</v>
      </c>
      <c r="C569" s="126">
        <v>226</v>
      </c>
      <c r="D569" s="126">
        <v>566</v>
      </c>
      <c r="E569" s="145">
        <v>15</v>
      </c>
      <c r="F569" s="145">
        <v>25</v>
      </c>
      <c r="G569" s="98">
        <v>3</v>
      </c>
      <c r="H569" s="98">
        <v>5</v>
      </c>
      <c r="I569" s="98">
        <v>0.5</v>
      </c>
      <c r="J569" s="98">
        <v>0</v>
      </c>
      <c r="K569" s="98">
        <v>5</v>
      </c>
      <c r="L569" s="98">
        <v>2</v>
      </c>
      <c r="M569" s="98">
        <v>1</v>
      </c>
      <c r="N569" s="98"/>
      <c r="O569" s="98">
        <v>0.1</v>
      </c>
      <c r="P569" s="98">
        <f t="shared" ref="P569:P612" si="362">SUMPRODUCT(C569:N569,$C$309:$N$309)</f>
        <v>159.6</v>
      </c>
      <c r="Q569" s="147">
        <f t="shared" ref="Q569:Q612" si="363">P569/20</f>
        <v>7.98</v>
      </c>
      <c r="R569" s="149">
        <v>600</v>
      </c>
      <c r="S569" s="132">
        <f t="shared" ref="S569:S612" si="364">C569/2</f>
        <v>113</v>
      </c>
      <c r="T569" s="132">
        <f t="shared" si="360"/>
        <v>283</v>
      </c>
      <c r="V569" s="80">
        <v>21363</v>
      </c>
      <c r="W569" s="142">
        <f t="shared" si="359"/>
        <v>257</v>
      </c>
      <c r="X569" s="142" t="str">
        <f t="shared" si="342"/>
        <v>{progress_rate,2,226}</v>
      </c>
      <c r="Y569" s="142" t="str">
        <f t="shared" si="343"/>
        <v>{progress,0,2,566}</v>
      </c>
      <c r="Z569" s="142" t="str">
        <f t="shared" si="344"/>
        <v>{progress,0,5103001,15}</v>
      </c>
      <c r="AA569" s="142" t="str">
        <f t="shared" si="345"/>
        <v>{progress,40,5103003,25}</v>
      </c>
      <c r="AB569" s="142" t="str">
        <f t="shared" si="346"/>
        <v>{progress,0,50025,3}</v>
      </c>
      <c r="AC569" s="142" t="str">
        <f t="shared" si="347"/>
        <v>{progress,50,50002,5}</v>
      </c>
      <c r="AD569" s="142" t="str">
        <f t="shared" si="348"/>
        <v>{progress_rate_roll,100,5000,11,1}</v>
      </c>
      <c r="AF569" s="142" t="str">
        <f t="shared" si="349"/>
        <v>{progress,50,5203001,5}</v>
      </c>
      <c r="AG569" s="142" t="str">
        <f t="shared" si="350"/>
        <v>{progress,40,5303001,2}</v>
      </c>
      <c r="AH569" s="142" t="str">
        <f t="shared" si="351"/>
        <v>{progress,0,5401019,1}</v>
      </c>
      <c r="AI569" s="142"/>
      <c r="AJ569" s="142" t="str">
        <f t="shared" si="352"/>
        <v>{progress_rate_roll,100,1000,9,1}</v>
      </c>
      <c r="AN569" s="142" t="str">
        <f t="shared" si="353"/>
        <v>{progress,1,21363,1}</v>
      </c>
      <c r="AO569" s="142" t="str">
        <f t="shared" si="354"/>
        <v>{progress_rate_roll,100,5000,21363,1}</v>
      </c>
      <c r="AP569" s="142" t="str">
        <f t="shared" si="321"/>
        <v>[{progress_rate,2,226},{progress,0,2,566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69" s="142" t="str">
        <f t="shared" si="355"/>
        <v>[{progress_rate,2,226},{progress,0,2,566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69" s="142" t="str">
        <f t="shared" si="322"/>
        <v>[{progress_rate,2,226},{progress,0,2,566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69" s="142" t="str">
        <f t="shared" si="356"/>
        <v>[{progress_rate,2,226},{progress,0,2,566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69" s="142" t="str">
        <f t="shared" si="357"/>
        <v>{progress_rate,2,600},{progress_rate,11,1}</v>
      </c>
      <c r="AV569" s="142" t="str">
        <f t="shared" si="358"/>
        <v>{progress_rate,2,600}</v>
      </c>
      <c r="AW569" s="142" t="s">
        <v>175</v>
      </c>
    </row>
    <row r="570" spans="1:49">
      <c r="A570" s="143" t="str">
        <f t="shared" si="361"/>
        <v>[{2,794},{5103001,40},{14,60},{11,0},{5401000,0},{5203001,0},{5303001,0}]</v>
      </c>
      <c r="B570" s="98">
        <v>258</v>
      </c>
      <c r="C570" s="126">
        <v>228</v>
      </c>
      <c r="D570" s="126">
        <v>566</v>
      </c>
      <c r="E570" s="145">
        <v>15</v>
      </c>
      <c r="F570" s="145">
        <v>25</v>
      </c>
      <c r="G570" s="98">
        <v>3</v>
      </c>
      <c r="H570" s="98">
        <v>5</v>
      </c>
      <c r="I570" s="98">
        <v>0.5</v>
      </c>
      <c r="J570" s="98">
        <v>0</v>
      </c>
      <c r="K570" s="98">
        <v>5</v>
      </c>
      <c r="L570" s="98">
        <v>2</v>
      </c>
      <c r="M570" s="98">
        <v>1</v>
      </c>
      <c r="N570" s="98"/>
      <c r="O570" s="98">
        <v>0.1</v>
      </c>
      <c r="P570" s="98">
        <f t="shared" si="362"/>
        <v>159.7</v>
      </c>
      <c r="Q570" s="147">
        <f t="shared" si="363"/>
        <v>7.985</v>
      </c>
      <c r="R570" s="149">
        <v>600</v>
      </c>
      <c r="S570" s="132">
        <f t="shared" si="364"/>
        <v>114</v>
      </c>
      <c r="T570" s="132">
        <f t="shared" si="360"/>
        <v>283</v>
      </c>
      <c r="V570" s="80">
        <v>21363</v>
      </c>
      <c r="W570" s="142">
        <f t="shared" si="359"/>
        <v>258</v>
      </c>
      <c r="X570" s="142" t="str">
        <f t="shared" si="342"/>
        <v>{progress_rate,2,228}</v>
      </c>
      <c r="Y570" s="142" t="str">
        <f t="shared" si="343"/>
        <v>{progress,0,2,566}</v>
      </c>
      <c r="Z570" s="142" t="str">
        <f t="shared" si="344"/>
        <v>{progress,0,5103001,15}</v>
      </c>
      <c r="AA570" s="142" t="str">
        <f t="shared" si="345"/>
        <v>{progress,40,5103003,25}</v>
      </c>
      <c r="AB570" s="142" t="str">
        <f t="shared" si="346"/>
        <v>{progress,0,50025,3}</v>
      </c>
      <c r="AC570" s="142" t="str">
        <f t="shared" si="347"/>
        <v>{progress,50,50002,5}</v>
      </c>
      <c r="AD570" s="142" t="str">
        <f t="shared" si="348"/>
        <v>{progress_rate_roll,100,5000,11,1}</v>
      </c>
      <c r="AF570" s="142" t="str">
        <f t="shared" si="349"/>
        <v>{progress,50,5203001,5}</v>
      </c>
      <c r="AG570" s="142" t="str">
        <f t="shared" si="350"/>
        <v>{progress,40,5303001,2}</v>
      </c>
      <c r="AH570" s="142" t="str">
        <f t="shared" si="351"/>
        <v>{progress,0,5401019,1}</v>
      </c>
      <c r="AI570" s="142"/>
      <c r="AJ570" s="142" t="str">
        <f t="shared" si="352"/>
        <v>{progress_rate_roll,100,1000,9,1}</v>
      </c>
      <c r="AN570" s="142" t="str">
        <f t="shared" si="353"/>
        <v>{progress,1,21363,1}</v>
      </c>
      <c r="AO570" s="142" t="str">
        <f t="shared" si="354"/>
        <v>{progress_rate_roll,100,5000,21363,1}</v>
      </c>
      <c r="AP570" s="142" t="str">
        <f t="shared" ref="AP570:AP612" si="365">"["&amp;_xlfn.TEXTJOIN(",",1,X570:AO570)&amp;"]"</f>
        <v>[{progress_rate,2,228},{progress,0,2,566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70" s="142" t="str">
        <f t="shared" si="355"/>
        <v>[{progress_rate,2,228},{progress,0,2,566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70" s="142" t="str">
        <f t="shared" ref="AR570:AR612" si="366">SUBSTITUTE(AS570,",{progress_rate_roll,100,5000,11,1}","")</f>
        <v>[{progress_rate,2,228},{progress,0,2,566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70" s="142" t="str">
        <f t="shared" si="356"/>
        <v>[{progress_rate,2,228},{progress,0,2,566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70" s="142" t="str">
        <f t="shared" si="357"/>
        <v>{progress_rate,2,600},{progress_rate,11,1}</v>
      </c>
      <c r="AV570" s="142" t="str">
        <f t="shared" si="358"/>
        <v>{progress_rate,2,600}</v>
      </c>
      <c r="AW570" s="142" t="s">
        <v>175</v>
      </c>
    </row>
    <row r="571" spans="1:49">
      <c r="A571" s="143" t="str">
        <f t="shared" si="361"/>
        <v>[{2,796},{5103001,40},{14,60},{11,0},{5401000,0},{5203001,0},{5303001,0}]</v>
      </c>
      <c r="B571" s="98">
        <v>259</v>
      </c>
      <c r="C571" s="126">
        <v>228</v>
      </c>
      <c r="D571" s="126">
        <v>568</v>
      </c>
      <c r="E571" s="145">
        <v>15</v>
      </c>
      <c r="F571" s="145">
        <v>25</v>
      </c>
      <c r="G571" s="98">
        <v>3</v>
      </c>
      <c r="H571" s="98">
        <v>5</v>
      </c>
      <c r="I571" s="98">
        <v>0.5</v>
      </c>
      <c r="J571" s="98">
        <v>0</v>
      </c>
      <c r="K571" s="98">
        <v>5</v>
      </c>
      <c r="L571" s="98">
        <v>2</v>
      </c>
      <c r="M571" s="98">
        <v>1</v>
      </c>
      <c r="N571" s="98"/>
      <c r="O571" s="98">
        <v>0.1</v>
      </c>
      <c r="P571" s="98">
        <f t="shared" si="362"/>
        <v>159.8</v>
      </c>
      <c r="Q571" s="147">
        <f t="shared" si="363"/>
        <v>7.99</v>
      </c>
      <c r="R571" s="149">
        <v>600</v>
      </c>
      <c r="S571" s="132">
        <f t="shared" si="364"/>
        <v>114</v>
      </c>
      <c r="T571" s="132">
        <f t="shared" si="360"/>
        <v>284</v>
      </c>
      <c r="V571" s="80">
        <v>21363</v>
      </c>
      <c r="W571" s="142">
        <f t="shared" si="359"/>
        <v>259</v>
      </c>
      <c r="X571" s="142" t="str">
        <f t="shared" si="342"/>
        <v>{progress_rate,2,228}</v>
      </c>
      <c r="Y571" s="142" t="str">
        <f t="shared" si="343"/>
        <v>{progress,0,2,568}</v>
      </c>
      <c r="Z571" s="142" t="str">
        <f t="shared" si="344"/>
        <v>{progress,0,5103001,15}</v>
      </c>
      <c r="AA571" s="142" t="str">
        <f t="shared" si="345"/>
        <v>{progress,40,5103003,25}</v>
      </c>
      <c r="AB571" s="142" t="str">
        <f t="shared" si="346"/>
        <v>{progress,0,50025,3}</v>
      </c>
      <c r="AC571" s="142" t="str">
        <f t="shared" si="347"/>
        <v>{progress,50,50002,5}</v>
      </c>
      <c r="AD571" s="142" t="str">
        <f t="shared" si="348"/>
        <v>{progress_rate_roll,100,5000,11,1}</v>
      </c>
      <c r="AF571" s="142" t="str">
        <f t="shared" si="349"/>
        <v>{progress,50,5203001,5}</v>
      </c>
      <c r="AG571" s="142" t="str">
        <f t="shared" si="350"/>
        <v>{progress,40,5303001,2}</v>
      </c>
      <c r="AH571" s="142" t="str">
        <f t="shared" si="351"/>
        <v>{progress,0,5401019,1}</v>
      </c>
      <c r="AI571" s="142"/>
      <c r="AJ571" s="142" t="str">
        <f t="shared" si="352"/>
        <v>{progress_rate_roll,100,1000,9,1}</v>
      </c>
      <c r="AN571" s="142" t="str">
        <f t="shared" si="353"/>
        <v>{progress,1,21363,1}</v>
      </c>
      <c r="AO571" s="142" t="str">
        <f t="shared" si="354"/>
        <v>{progress_rate_roll,100,5000,21363,1}</v>
      </c>
      <c r="AP571" s="142" t="str">
        <f t="shared" si="365"/>
        <v>[{progress_rate,2,228},{progress,0,2,568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71" s="142" t="str">
        <f t="shared" si="355"/>
        <v>[{progress_rate,2,228},{progress,0,2,568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71" s="142" t="str">
        <f t="shared" si="366"/>
        <v>[{progress_rate,2,228},{progress,0,2,568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71" s="142" t="str">
        <f t="shared" si="356"/>
        <v>[{progress_rate,2,228},{progress,0,2,568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71" s="142" t="str">
        <f t="shared" si="357"/>
        <v>{progress_rate,2,600},{progress_rate,11,1}</v>
      </c>
      <c r="AV571" s="142" t="str">
        <f t="shared" si="358"/>
        <v>{progress_rate,2,600}</v>
      </c>
      <c r="AW571" s="142" t="s">
        <v>175</v>
      </c>
    </row>
    <row r="572" spans="1:49">
      <c r="A572" s="143" t="str">
        <f t="shared" si="361"/>
        <v>[{2,798},{5103001,40},{14,60},{11,0},{5401000,0},{5203001,0},{5303001,0}]</v>
      </c>
      <c r="B572" s="98">
        <v>260</v>
      </c>
      <c r="C572" s="126">
        <v>228</v>
      </c>
      <c r="D572" s="126">
        <v>570</v>
      </c>
      <c r="E572" s="145">
        <v>15</v>
      </c>
      <c r="F572" s="145">
        <v>25</v>
      </c>
      <c r="G572" s="98">
        <v>3</v>
      </c>
      <c r="H572" s="98">
        <v>5</v>
      </c>
      <c r="I572" s="98">
        <v>0.5</v>
      </c>
      <c r="J572" s="98">
        <v>0</v>
      </c>
      <c r="K572" s="98">
        <v>5</v>
      </c>
      <c r="L572" s="98">
        <v>2</v>
      </c>
      <c r="M572" s="98">
        <v>1</v>
      </c>
      <c r="N572" s="98"/>
      <c r="O572" s="98">
        <v>0.1</v>
      </c>
      <c r="P572" s="98">
        <f t="shared" si="362"/>
        <v>159.9</v>
      </c>
      <c r="Q572" s="147">
        <f t="shared" si="363"/>
        <v>7.995</v>
      </c>
      <c r="R572" s="149">
        <v>600</v>
      </c>
      <c r="S572" s="132">
        <f t="shared" si="364"/>
        <v>114</v>
      </c>
      <c r="T572" s="132">
        <f t="shared" si="360"/>
        <v>285</v>
      </c>
      <c r="V572" s="80">
        <v>21363</v>
      </c>
      <c r="W572" s="142">
        <f t="shared" si="359"/>
        <v>260</v>
      </c>
      <c r="X572" s="142" t="str">
        <f t="shared" si="342"/>
        <v>{progress_rate,2,228}</v>
      </c>
      <c r="Y572" s="142" t="str">
        <f t="shared" si="343"/>
        <v>{progress,0,2,570}</v>
      </c>
      <c r="Z572" s="142" t="str">
        <f t="shared" si="344"/>
        <v>{progress,0,5103001,15}</v>
      </c>
      <c r="AA572" s="142" t="str">
        <f t="shared" si="345"/>
        <v>{progress,40,5103003,25}</v>
      </c>
      <c r="AB572" s="142" t="str">
        <f t="shared" si="346"/>
        <v>{progress,0,50025,3}</v>
      </c>
      <c r="AC572" s="142" t="str">
        <f t="shared" si="347"/>
        <v>{progress,50,50002,5}</v>
      </c>
      <c r="AD572" s="142" t="str">
        <f t="shared" si="348"/>
        <v>{progress_rate_roll,100,5000,11,1}</v>
      </c>
      <c r="AF572" s="142" t="str">
        <f t="shared" si="349"/>
        <v>{progress,50,5203001,5}</v>
      </c>
      <c r="AG572" s="142" t="str">
        <f t="shared" si="350"/>
        <v>{progress,40,5303001,2}</v>
      </c>
      <c r="AH572" s="142" t="str">
        <f t="shared" si="351"/>
        <v>{progress,0,5401019,1}</v>
      </c>
      <c r="AI572" s="142"/>
      <c r="AJ572" s="142" t="str">
        <f t="shared" si="352"/>
        <v>{progress_rate_roll,100,1000,9,1}</v>
      </c>
      <c r="AN572" s="142" t="str">
        <f t="shared" si="353"/>
        <v>{progress,1,21363,1}</v>
      </c>
      <c r="AO572" s="142" t="str">
        <f t="shared" si="354"/>
        <v>{progress_rate_roll,100,5000,21363,1}</v>
      </c>
      <c r="AP572" s="142" t="str">
        <f t="shared" si="365"/>
        <v>[{progress_rate,2,228},{progress,0,2,570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72" s="142" t="str">
        <f t="shared" si="355"/>
        <v>[{progress_rate,2,228},{progress,0,2,570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72" s="142" t="str">
        <f t="shared" si="366"/>
        <v>[{progress_rate,2,228},{progress,0,2,570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72" s="142" t="str">
        <f t="shared" si="356"/>
        <v>[{progress_rate,2,228},{progress,0,2,570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72" s="142" t="str">
        <f t="shared" si="357"/>
        <v>{progress_rate,2,600},{progress_rate,11,1}</v>
      </c>
      <c r="AV572" s="142" t="str">
        <f t="shared" si="358"/>
        <v>{progress_rate,2,600}</v>
      </c>
      <c r="AW572" s="142" t="s">
        <v>175</v>
      </c>
    </row>
    <row r="573" spans="1:49">
      <c r="A573" s="143" t="str">
        <f t="shared" si="361"/>
        <v>[{2,800},{5103001,40},{14,60},{11,0},{5401000,0},{5203001,0},{5303001,0}]</v>
      </c>
      <c r="B573" s="98">
        <v>261</v>
      </c>
      <c r="C573" s="126">
        <v>228</v>
      </c>
      <c r="D573" s="126">
        <v>572</v>
      </c>
      <c r="E573" s="145">
        <v>15</v>
      </c>
      <c r="F573" s="145">
        <v>25</v>
      </c>
      <c r="G573" s="98">
        <v>3</v>
      </c>
      <c r="H573" s="98">
        <v>5</v>
      </c>
      <c r="I573" s="98">
        <v>0.5</v>
      </c>
      <c r="J573" s="98">
        <v>0</v>
      </c>
      <c r="K573" s="98">
        <v>5</v>
      </c>
      <c r="L573" s="98">
        <v>2</v>
      </c>
      <c r="M573" s="98">
        <v>1</v>
      </c>
      <c r="N573" s="98"/>
      <c r="O573" s="98">
        <v>0.1</v>
      </c>
      <c r="P573" s="98">
        <f t="shared" si="362"/>
        <v>160</v>
      </c>
      <c r="Q573" s="147">
        <f t="shared" si="363"/>
        <v>8</v>
      </c>
      <c r="R573" s="149">
        <v>600</v>
      </c>
      <c r="S573" s="132">
        <f t="shared" si="364"/>
        <v>114</v>
      </c>
      <c r="T573" s="132">
        <f t="shared" si="360"/>
        <v>286</v>
      </c>
      <c r="V573" s="80">
        <v>21363</v>
      </c>
      <c r="W573" s="142">
        <f t="shared" si="359"/>
        <v>261</v>
      </c>
      <c r="X573" s="142" t="str">
        <f t="shared" si="342"/>
        <v>{progress_rate,2,228}</v>
      </c>
      <c r="Y573" s="142" t="str">
        <f t="shared" si="343"/>
        <v>{progress,0,2,572}</v>
      </c>
      <c r="Z573" s="142" t="str">
        <f t="shared" si="344"/>
        <v>{progress,0,5103001,15}</v>
      </c>
      <c r="AA573" s="142" t="str">
        <f t="shared" si="345"/>
        <v>{progress,40,5103003,25}</v>
      </c>
      <c r="AB573" s="142" t="str">
        <f t="shared" si="346"/>
        <v>{progress,0,50025,3}</v>
      </c>
      <c r="AC573" s="142" t="str">
        <f t="shared" si="347"/>
        <v>{progress,50,50002,5}</v>
      </c>
      <c r="AD573" s="142" t="str">
        <f t="shared" si="348"/>
        <v>{progress_rate_roll,100,5000,11,1}</v>
      </c>
      <c r="AF573" s="142" t="str">
        <f t="shared" si="349"/>
        <v>{progress,50,5203001,5}</v>
      </c>
      <c r="AG573" s="142" t="str">
        <f t="shared" si="350"/>
        <v>{progress,40,5303001,2}</v>
      </c>
      <c r="AH573" s="142" t="str">
        <f t="shared" si="351"/>
        <v>{progress,0,5401019,1}</v>
      </c>
      <c r="AI573" s="142"/>
      <c r="AJ573" s="142" t="str">
        <f t="shared" si="352"/>
        <v>{progress_rate_roll,100,1000,9,1}</v>
      </c>
      <c r="AN573" s="142" t="str">
        <f t="shared" si="353"/>
        <v>{progress,1,21363,1}</v>
      </c>
      <c r="AO573" s="142" t="str">
        <f t="shared" si="354"/>
        <v>{progress_rate_roll,100,5000,21363,1}</v>
      </c>
      <c r="AP573" s="142" t="str">
        <f t="shared" si="365"/>
        <v>[{progress_rate,2,228},{progress,0,2,572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73" s="142" t="str">
        <f t="shared" si="355"/>
        <v>[{progress_rate,2,228},{progress,0,2,572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73" s="142" t="str">
        <f t="shared" si="366"/>
        <v>[{progress_rate,2,228},{progress,0,2,572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73" s="142" t="str">
        <f t="shared" si="356"/>
        <v>[{progress_rate,2,228},{progress,0,2,572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73" s="142" t="str">
        <f t="shared" si="357"/>
        <v>{progress_rate,2,600},{progress_rate,11,1}</v>
      </c>
      <c r="AV573" s="142" t="str">
        <f t="shared" si="358"/>
        <v>{progress_rate,2,600}</v>
      </c>
      <c r="AW573" s="142" t="s">
        <v>175</v>
      </c>
    </row>
    <row r="574" spans="1:49">
      <c r="A574" s="143" t="str">
        <f t="shared" si="361"/>
        <v>[{2,802},{5103001,40},{14,60},{11,0},{5401000,0},{5203001,0},{5303001,0}]</v>
      </c>
      <c r="B574" s="98">
        <v>262</v>
      </c>
      <c r="C574" s="126">
        <v>230</v>
      </c>
      <c r="D574" s="126">
        <v>572</v>
      </c>
      <c r="E574" s="145">
        <v>15</v>
      </c>
      <c r="F574" s="145">
        <v>25</v>
      </c>
      <c r="G574" s="98">
        <v>3</v>
      </c>
      <c r="H574" s="98">
        <v>5</v>
      </c>
      <c r="I574" s="98">
        <v>0.5</v>
      </c>
      <c r="J574" s="98">
        <v>0</v>
      </c>
      <c r="K574" s="98">
        <v>5</v>
      </c>
      <c r="L574" s="98">
        <v>2</v>
      </c>
      <c r="M574" s="98">
        <v>1</v>
      </c>
      <c r="N574" s="98"/>
      <c r="O574" s="98">
        <v>0.1</v>
      </c>
      <c r="P574" s="98">
        <f t="shared" si="362"/>
        <v>160.1</v>
      </c>
      <c r="Q574" s="147">
        <f t="shared" si="363"/>
        <v>8.005</v>
      </c>
      <c r="R574" s="149">
        <v>600</v>
      </c>
      <c r="S574" s="132">
        <f t="shared" si="364"/>
        <v>115</v>
      </c>
      <c r="T574" s="132">
        <f t="shared" si="360"/>
        <v>286</v>
      </c>
      <c r="V574" s="80">
        <v>21363</v>
      </c>
      <c r="W574" s="142">
        <f t="shared" si="359"/>
        <v>262</v>
      </c>
      <c r="X574" s="142" t="str">
        <f t="shared" si="342"/>
        <v>{progress_rate,2,230}</v>
      </c>
      <c r="Y574" s="142" t="str">
        <f t="shared" si="343"/>
        <v>{progress,0,2,572}</v>
      </c>
      <c r="Z574" s="142" t="str">
        <f t="shared" si="344"/>
        <v>{progress,0,5103001,15}</v>
      </c>
      <c r="AA574" s="142" t="str">
        <f t="shared" si="345"/>
        <v>{progress,40,5103003,25}</v>
      </c>
      <c r="AB574" s="142" t="str">
        <f t="shared" si="346"/>
        <v>{progress,0,50025,3}</v>
      </c>
      <c r="AC574" s="142" t="str">
        <f t="shared" si="347"/>
        <v>{progress,50,50002,5}</v>
      </c>
      <c r="AD574" s="142" t="str">
        <f t="shared" si="348"/>
        <v>{progress_rate_roll,100,5000,11,1}</v>
      </c>
      <c r="AF574" s="142" t="str">
        <f t="shared" si="349"/>
        <v>{progress,50,5203001,5}</v>
      </c>
      <c r="AG574" s="142" t="str">
        <f t="shared" si="350"/>
        <v>{progress,40,5303001,2}</v>
      </c>
      <c r="AH574" s="142" t="str">
        <f t="shared" si="351"/>
        <v>{progress,0,5401019,1}</v>
      </c>
      <c r="AI574" s="142"/>
      <c r="AJ574" s="142" t="str">
        <f t="shared" si="352"/>
        <v>{progress_rate_roll,100,1000,9,1}</v>
      </c>
      <c r="AN574" s="142" t="str">
        <f t="shared" si="353"/>
        <v>{progress,1,21363,1}</v>
      </c>
      <c r="AO574" s="142" t="str">
        <f t="shared" si="354"/>
        <v>{progress_rate_roll,100,5000,21363,1}</v>
      </c>
      <c r="AP574" s="142" t="str">
        <f t="shared" si="365"/>
        <v>[{progress_rate,2,230},{progress,0,2,572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74" s="142" t="str">
        <f t="shared" si="355"/>
        <v>[{progress_rate,2,230},{progress,0,2,572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74" s="142" t="str">
        <f t="shared" si="366"/>
        <v>[{progress_rate,2,230},{progress,0,2,572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74" s="142" t="str">
        <f t="shared" si="356"/>
        <v>[{progress_rate,2,230},{progress,0,2,572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74" s="142" t="str">
        <f t="shared" si="357"/>
        <v>{progress_rate,2,600},{progress_rate,11,1}</v>
      </c>
      <c r="AV574" s="142" t="str">
        <f t="shared" si="358"/>
        <v>{progress_rate,2,600}</v>
      </c>
      <c r="AW574" s="142" t="s">
        <v>175</v>
      </c>
    </row>
    <row r="575" spans="1:49">
      <c r="A575" s="143" t="str">
        <f t="shared" si="361"/>
        <v>[{2,804},{5103001,40},{14,60},{11,0},{5401000,0},{5203001,0},{5303001,0}]</v>
      </c>
      <c r="B575" s="98">
        <v>263</v>
      </c>
      <c r="C575" s="126">
        <v>230</v>
      </c>
      <c r="D575" s="126">
        <v>574</v>
      </c>
      <c r="E575" s="145">
        <v>15</v>
      </c>
      <c r="F575" s="145">
        <v>25</v>
      </c>
      <c r="G575" s="98">
        <v>3</v>
      </c>
      <c r="H575" s="98">
        <v>5</v>
      </c>
      <c r="I575" s="98">
        <v>0.5</v>
      </c>
      <c r="J575" s="98">
        <v>0</v>
      </c>
      <c r="K575" s="98">
        <v>5</v>
      </c>
      <c r="L575" s="98">
        <v>2</v>
      </c>
      <c r="M575" s="98">
        <v>1</v>
      </c>
      <c r="N575" s="98"/>
      <c r="O575" s="98">
        <v>0.1</v>
      </c>
      <c r="P575" s="98">
        <f t="shared" si="362"/>
        <v>160.2</v>
      </c>
      <c r="Q575" s="147">
        <f t="shared" si="363"/>
        <v>8.01</v>
      </c>
      <c r="R575" s="149">
        <v>600</v>
      </c>
      <c r="S575" s="132">
        <f t="shared" si="364"/>
        <v>115</v>
      </c>
      <c r="T575" s="132">
        <f t="shared" si="360"/>
        <v>287</v>
      </c>
      <c r="V575" s="80">
        <v>21363</v>
      </c>
      <c r="W575" s="142">
        <f t="shared" si="359"/>
        <v>263</v>
      </c>
      <c r="X575" s="142" t="str">
        <f t="shared" si="342"/>
        <v>{progress_rate,2,230}</v>
      </c>
      <c r="Y575" s="142" t="str">
        <f t="shared" si="343"/>
        <v>{progress,0,2,574}</v>
      </c>
      <c r="Z575" s="142" t="str">
        <f t="shared" si="344"/>
        <v>{progress,0,5103001,15}</v>
      </c>
      <c r="AA575" s="142" t="str">
        <f t="shared" si="345"/>
        <v>{progress,40,5103003,25}</v>
      </c>
      <c r="AB575" s="142" t="str">
        <f t="shared" si="346"/>
        <v>{progress,0,50025,3}</v>
      </c>
      <c r="AC575" s="142" t="str">
        <f t="shared" si="347"/>
        <v>{progress,50,50002,5}</v>
      </c>
      <c r="AD575" s="142" t="str">
        <f t="shared" si="348"/>
        <v>{progress_rate_roll,100,5000,11,1}</v>
      </c>
      <c r="AF575" s="142" t="str">
        <f t="shared" si="349"/>
        <v>{progress,50,5203001,5}</v>
      </c>
      <c r="AG575" s="142" t="str">
        <f t="shared" si="350"/>
        <v>{progress,40,5303001,2}</v>
      </c>
      <c r="AH575" s="142" t="str">
        <f t="shared" si="351"/>
        <v>{progress,0,5401019,1}</v>
      </c>
      <c r="AI575" s="142"/>
      <c r="AJ575" s="142" t="str">
        <f t="shared" si="352"/>
        <v>{progress_rate_roll,100,1000,9,1}</v>
      </c>
      <c r="AN575" s="142" t="str">
        <f t="shared" si="353"/>
        <v>{progress,1,21363,1}</v>
      </c>
      <c r="AO575" s="142" t="str">
        <f t="shared" si="354"/>
        <v>{progress_rate_roll,100,5000,21363,1}</v>
      </c>
      <c r="AP575" s="142" t="str">
        <f t="shared" si="365"/>
        <v>[{progress_rate,2,230},{progress,0,2,574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75" s="142" t="str">
        <f t="shared" si="355"/>
        <v>[{progress_rate,2,230},{progress,0,2,574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75" s="142" t="str">
        <f t="shared" si="366"/>
        <v>[{progress_rate,2,230},{progress,0,2,574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75" s="142" t="str">
        <f t="shared" si="356"/>
        <v>[{progress_rate,2,230},{progress,0,2,574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75" s="142" t="str">
        <f t="shared" si="357"/>
        <v>{progress_rate,2,600},{progress_rate,11,1}</v>
      </c>
      <c r="AV575" s="142" t="str">
        <f t="shared" si="358"/>
        <v>{progress_rate,2,600}</v>
      </c>
      <c r="AW575" s="142" t="s">
        <v>175</v>
      </c>
    </row>
    <row r="576" spans="1:49">
      <c r="A576" s="143" t="str">
        <f t="shared" si="361"/>
        <v>[{2,806},{5103001,40},{14,60},{11,0},{5401000,0},{5203001,0},{5303001,0}]</v>
      </c>
      <c r="B576" s="98">
        <v>264</v>
      </c>
      <c r="C576" s="126">
        <v>230</v>
      </c>
      <c r="D576" s="126">
        <v>576</v>
      </c>
      <c r="E576" s="145">
        <v>15</v>
      </c>
      <c r="F576" s="145">
        <v>25</v>
      </c>
      <c r="G576" s="98">
        <v>3</v>
      </c>
      <c r="H576" s="98">
        <v>5</v>
      </c>
      <c r="I576" s="98">
        <v>0.5</v>
      </c>
      <c r="J576" s="98">
        <v>0</v>
      </c>
      <c r="K576" s="98">
        <v>5</v>
      </c>
      <c r="L576" s="98">
        <v>2</v>
      </c>
      <c r="M576" s="98">
        <v>1</v>
      </c>
      <c r="N576" s="98"/>
      <c r="O576" s="98">
        <v>0.1</v>
      </c>
      <c r="P576" s="98">
        <f t="shared" si="362"/>
        <v>160.3</v>
      </c>
      <c r="Q576" s="147">
        <f t="shared" si="363"/>
        <v>8.015</v>
      </c>
      <c r="R576" s="149">
        <v>600</v>
      </c>
      <c r="S576" s="132">
        <f t="shared" si="364"/>
        <v>115</v>
      </c>
      <c r="T576" s="132">
        <f t="shared" si="360"/>
        <v>288</v>
      </c>
      <c r="V576" s="80">
        <v>21363</v>
      </c>
      <c r="W576" s="142">
        <f t="shared" si="359"/>
        <v>264</v>
      </c>
      <c r="X576" s="142" t="str">
        <f t="shared" si="342"/>
        <v>{progress_rate,2,230}</v>
      </c>
      <c r="Y576" s="142" t="str">
        <f t="shared" si="343"/>
        <v>{progress,0,2,576}</v>
      </c>
      <c r="Z576" s="142" t="str">
        <f t="shared" si="344"/>
        <v>{progress,0,5103001,15}</v>
      </c>
      <c r="AA576" s="142" t="str">
        <f t="shared" si="345"/>
        <v>{progress,40,5103003,25}</v>
      </c>
      <c r="AB576" s="142" t="str">
        <f t="shared" si="346"/>
        <v>{progress,0,50025,3}</v>
      </c>
      <c r="AC576" s="142" t="str">
        <f t="shared" si="347"/>
        <v>{progress,50,50002,5}</v>
      </c>
      <c r="AD576" s="142" t="str">
        <f t="shared" si="348"/>
        <v>{progress_rate_roll,100,5000,11,1}</v>
      </c>
      <c r="AF576" s="142" t="str">
        <f t="shared" si="349"/>
        <v>{progress,50,5203001,5}</v>
      </c>
      <c r="AG576" s="142" t="str">
        <f t="shared" si="350"/>
        <v>{progress,40,5303001,2}</v>
      </c>
      <c r="AH576" s="142" t="str">
        <f t="shared" si="351"/>
        <v>{progress,0,5401019,1}</v>
      </c>
      <c r="AI576" s="142"/>
      <c r="AJ576" s="142" t="str">
        <f t="shared" si="352"/>
        <v>{progress_rate_roll,100,1000,9,1}</v>
      </c>
      <c r="AN576" s="142" t="str">
        <f t="shared" si="353"/>
        <v>{progress,1,21363,1}</v>
      </c>
      <c r="AO576" s="142" t="str">
        <f t="shared" si="354"/>
        <v>{progress_rate_roll,100,5000,21363,1}</v>
      </c>
      <c r="AP576" s="142" t="str">
        <f t="shared" si="365"/>
        <v>[{progress_rate,2,230},{progress,0,2,576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76" s="142" t="str">
        <f t="shared" si="355"/>
        <v>[{progress_rate,2,230},{progress,0,2,576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76" s="142" t="str">
        <f t="shared" si="366"/>
        <v>[{progress_rate,2,230},{progress,0,2,576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76" s="142" t="str">
        <f t="shared" si="356"/>
        <v>[{progress_rate,2,230},{progress,0,2,576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76" s="142" t="str">
        <f t="shared" si="357"/>
        <v>{progress_rate,2,600},{progress_rate,11,1}</v>
      </c>
      <c r="AV576" s="142" t="str">
        <f t="shared" si="358"/>
        <v>{progress_rate,2,600}</v>
      </c>
      <c r="AW576" s="142" t="s">
        <v>175</v>
      </c>
    </row>
    <row r="577" spans="1:49">
      <c r="A577" s="143" t="str">
        <f t="shared" si="361"/>
        <v>[{2,808},{5103001,40},{14,60},{11,0},{5401000,0},{5203001,0},{5303001,0}]</v>
      </c>
      <c r="B577" s="98">
        <v>265</v>
      </c>
      <c r="C577" s="126">
        <v>232</v>
      </c>
      <c r="D577" s="126">
        <v>576</v>
      </c>
      <c r="E577" s="145">
        <v>15</v>
      </c>
      <c r="F577" s="145">
        <v>25</v>
      </c>
      <c r="G577" s="98">
        <v>3</v>
      </c>
      <c r="H577" s="98">
        <v>5</v>
      </c>
      <c r="I577" s="98">
        <v>0.5</v>
      </c>
      <c r="J577" s="98">
        <v>0</v>
      </c>
      <c r="K577" s="98">
        <v>5</v>
      </c>
      <c r="L577" s="98">
        <v>2</v>
      </c>
      <c r="M577" s="98">
        <v>1</v>
      </c>
      <c r="N577" s="98"/>
      <c r="O577" s="98">
        <v>0.1</v>
      </c>
      <c r="P577" s="98">
        <f t="shared" si="362"/>
        <v>160.4</v>
      </c>
      <c r="Q577" s="147">
        <f t="shared" si="363"/>
        <v>8.02</v>
      </c>
      <c r="R577" s="149">
        <v>600</v>
      </c>
      <c r="S577" s="132">
        <f t="shared" si="364"/>
        <v>116</v>
      </c>
      <c r="T577" s="132">
        <f t="shared" si="360"/>
        <v>288</v>
      </c>
      <c r="V577" s="80">
        <v>21363</v>
      </c>
      <c r="W577" s="142">
        <f t="shared" si="359"/>
        <v>265</v>
      </c>
      <c r="X577" s="142" t="str">
        <f t="shared" si="342"/>
        <v>{progress_rate,2,232}</v>
      </c>
      <c r="Y577" s="142" t="str">
        <f t="shared" si="343"/>
        <v>{progress,0,2,576}</v>
      </c>
      <c r="Z577" s="142" t="str">
        <f t="shared" si="344"/>
        <v>{progress,0,5103001,15}</v>
      </c>
      <c r="AA577" s="142" t="str">
        <f t="shared" si="345"/>
        <v>{progress,40,5103003,25}</v>
      </c>
      <c r="AB577" s="142" t="str">
        <f t="shared" si="346"/>
        <v>{progress,0,50025,3}</v>
      </c>
      <c r="AC577" s="142" t="str">
        <f t="shared" si="347"/>
        <v>{progress,50,50002,5}</v>
      </c>
      <c r="AD577" s="142" t="str">
        <f t="shared" si="348"/>
        <v>{progress_rate_roll,100,5000,11,1}</v>
      </c>
      <c r="AF577" s="142" t="str">
        <f t="shared" si="349"/>
        <v>{progress,50,5203001,5}</v>
      </c>
      <c r="AG577" s="142" t="str">
        <f t="shared" si="350"/>
        <v>{progress,40,5303001,2}</v>
      </c>
      <c r="AH577" s="142" t="str">
        <f t="shared" si="351"/>
        <v>{progress,0,5401019,1}</v>
      </c>
      <c r="AI577" s="142"/>
      <c r="AJ577" s="142" t="str">
        <f t="shared" si="352"/>
        <v>{progress_rate_roll,100,1000,9,1}</v>
      </c>
      <c r="AN577" s="142" t="str">
        <f t="shared" si="353"/>
        <v>{progress,1,21363,1}</v>
      </c>
      <c r="AO577" s="142" t="str">
        <f t="shared" si="354"/>
        <v>{progress_rate_roll,100,5000,21363,1}</v>
      </c>
      <c r="AP577" s="142" t="str">
        <f t="shared" si="365"/>
        <v>[{progress_rate,2,232},{progress,0,2,576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77" s="142" t="str">
        <f t="shared" si="355"/>
        <v>[{progress_rate,2,232},{progress,0,2,576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77" s="142" t="str">
        <f t="shared" si="366"/>
        <v>[{progress_rate,2,232},{progress,0,2,576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77" s="142" t="str">
        <f t="shared" si="356"/>
        <v>[{progress_rate,2,232},{progress,0,2,576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77" s="142" t="str">
        <f t="shared" si="357"/>
        <v>{progress_rate,2,600},{progress_rate,11,1}</v>
      </c>
      <c r="AV577" s="142" t="str">
        <f t="shared" si="358"/>
        <v>{progress_rate,2,600}</v>
      </c>
      <c r="AW577" s="142" t="s">
        <v>175</v>
      </c>
    </row>
    <row r="578" spans="1:49">
      <c r="A578" s="143" t="str">
        <f t="shared" si="361"/>
        <v>[{2,810},{5103001,40},{14,60},{11,0},{5401000,0},{5203001,0},{5303001,0}]</v>
      </c>
      <c r="B578" s="98">
        <v>266</v>
      </c>
      <c r="C578" s="126">
        <v>232</v>
      </c>
      <c r="D578" s="126">
        <v>578</v>
      </c>
      <c r="E578" s="145">
        <v>15</v>
      </c>
      <c r="F578" s="145">
        <v>25</v>
      </c>
      <c r="G578" s="98">
        <v>3</v>
      </c>
      <c r="H578" s="98">
        <v>5</v>
      </c>
      <c r="I578" s="98">
        <v>0.5</v>
      </c>
      <c r="J578" s="98">
        <v>0</v>
      </c>
      <c r="K578" s="98">
        <v>5</v>
      </c>
      <c r="L578" s="98">
        <v>2</v>
      </c>
      <c r="M578" s="98">
        <v>1</v>
      </c>
      <c r="N578" s="98"/>
      <c r="O578" s="98">
        <v>0.1</v>
      </c>
      <c r="P578" s="98">
        <f t="shared" si="362"/>
        <v>160.5</v>
      </c>
      <c r="Q578" s="147">
        <f t="shared" si="363"/>
        <v>8.025</v>
      </c>
      <c r="R578" s="149">
        <v>600</v>
      </c>
      <c r="S578" s="132">
        <f t="shared" si="364"/>
        <v>116</v>
      </c>
      <c r="T578" s="132">
        <f t="shared" si="360"/>
        <v>289</v>
      </c>
      <c r="V578" s="80">
        <v>21363</v>
      </c>
      <c r="W578" s="142">
        <f t="shared" si="359"/>
        <v>266</v>
      </c>
      <c r="X578" s="142" t="str">
        <f t="shared" si="342"/>
        <v>{progress_rate,2,232}</v>
      </c>
      <c r="Y578" s="142" t="str">
        <f t="shared" si="343"/>
        <v>{progress,0,2,578}</v>
      </c>
      <c r="Z578" s="142" t="str">
        <f t="shared" si="344"/>
        <v>{progress,0,5103001,15}</v>
      </c>
      <c r="AA578" s="142" t="str">
        <f t="shared" si="345"/>
        <v>{progress,40,5103003,25}</v>
      </c>
      <c r="AB578" s="142" t="str">
        <f t="shared" si="346"/>
        <v>{progress,0,50025,3}</v>
      </c>
      <c r="AC578" s="142" t="str">
        <f t="shared" si="347"/>
        <v>{progress,50,50002,5}</v>
      </c>
      <c r="AD578" s="142" t="str">
        <f t="shared" si="348"/>
        <v>{progress_rate_roll,100,5000,11,1}</v>
      </c>
      <c r="AF578" s="142" t="str">
        <f t="shared" si="349"/>
        <v>{progress,50,5203001,5}</v>
      </c>
      <c r="AG578" s="142" t="str">
        <f t="shared" si="350"/>
        <v>{progress,40,5303001,2}</v>
      </c>
      <c r="AH578" s="142" t="str">
        <f t="shared" si="351"/>
        <v>{progress,0,5401019,1}</v>
      </c>
      <c r="AI578" s="142"/>
      <c r="AJ578" s="142" t="str">
        <f t="shared" si="352"/>
        <v>{progress_rate_roll,100,1000,9,1}</v>
      </c>
      <c r="AN578" s="142" t="str">
        <f t="shared" si="353"/>
        <v>{progress,1,21363,1}</v>
      </c>
      <c r="AO578" s="142" t="str">
        <f t="shared" si="354"/>
        <v>{progress_rate_roll,100,5000,21363,1}</v>
      </c>
      <c r="AP578" s="142" t="str">
        <f t="shared" si="365"/>
        <v>[{progress_rate,2,232},{progress,0,2,578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78" s="142" t="str">
        <f t="shared" si="355"/>
        <v>[{progress_rate,2,232},{progress,0,2,578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78" s="142" t="str">
        <f t="shared" si="366"/>
        <v>[{progress_rate,2,232},{progress,0,2,578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78" s="142" t="str">
        <f t="shared" si="356"/>
        <v>[{progress_rate,2,232},{progress,0,2,578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78" s="142" t="str">
        <f t="shared" si="357"/>
        <v>{progress_rate,2,600},{progress_rate,11,1}</v>
      </c>
      <c r="AV578" s="142" t="str">
        <f t="shared" si="358"/>
        <v>{progress_rate,2,600}</v>
      </c>
      <c r="AW578" s="142" t="s">
        <v>175</v>
      </c>
    </row>
    <row r="579" spans="1:49">
      <c r="A579" s="143" t="str">
        <f t="shared" si="361"/>
        <v>[{2,812},{5103001,40},{14,60},{11,0},{5401000,0},{5203001,0},{5303001,0}]</v>
      </c>
      <c r="B579" s="98">
        <v>267</v>
      </c>
      <c r="C579" s="126">
        <v>232</v>
      </c>
      <c r="D579" s="126">
        <v>580</v>
      </c>
      <c r="E579" s="145">
        <v>15</v>
      </c>
      <c r="F579" s="145">
        <v>25</v>
      </c>
      <c r="G579" s="98">
        <v>3</v>
      </c>
      <c r="H579" s="98">
        <v>5</v>
      </c>
      <c r="I579" s="98">
        <v>0.5</v>
      </c>
      <c r="J579" s="98">
        <v>0</v>
      </c>
      <c r="K579" s="98">
        <v>5</v>
      </c>
      <c r="L579" s="98">
        <v>2</v>
      </c>
      <c r="M579" s="98">
        <v>1</v>
      </c>
      <c r="N579" s="98"/>
      <c r="O579" s="98">
        <v>0.1</v>
      </c>
      <c r="P579" s="98">
        <f t="shared" si="362"/>
        <v>160.6</v>
      </c>
      <c r="Q579" s="147">
        <f t="shared" si="363"/>
        <v>8.03</v>
      </c>
      <c r="R579" s="149">
        <v>600</v>
      </c>
      <c r="S579" s="132">
        <f t="shared" si="364"/>
        <v>116</v>
      </c>
      <c r="T579" s="132">
        <f t="shared" si="360"/>
        <v>290</v>
      </c>
      <c r="V579" s="80">
        <v>21363</v>
      </c>
      <c r="W579" s="142">
        <f t="shared" si="359"/>
        <v>267</v>
      </c>
      <c r="X579" s="142" t="str">
        <f t="shared" si="342"/>
        <v>{progress_rate,2,232}</v>
      </c>
      <c r="Y579" s="142" t="str">
        <f t="shared" si="343"/>
        <v>{progress,0,2,580}</v>
      </c>
      <c r="Z579" s="142" t="str">
        <f t="shared" si="344"/>
        <v>{progress,0,5103001,15}</v>
      </c>
      <c r="AA579" s="142" t="str">
        <f t="shared" si="345"/>
        <v>{progress,40,5103003,25}</v>
      </c>
      <c r="AB579" s="142" t="str">
        <f t="shared" si="346"/>
        <v>{progress,0,50025,3}</v>
      </c>
      <c r="AC579" s="142" t="str">
        <f t="shared" si="347"/>
        <v>{progress,50,50002,5}</v>
      </c>
      <c r="AD579" s="142" t="str">
        <f t="shared" si="348"/>
        <v>{progress_rate_roll,100,5000,11,1}</v>
      </c>
      <c r="AF579" s="142" t="str">
        <f t="shared" si="349"/>
        <v>{progress,50,5203001,5}</v>
      </c>
      <c r="AG579" s="142" t="str">
        <f t="shared" si="350"/>
        <v>{progress,40,5303001,2}</v>
      </c>
      <c r="AH579" s="142" t="str">
        <f t="shared" si="351"/>
        <v>{progress,0,5401019,1}</v>
      </c>
      <c r="AI579" s="142"/>
      <c r="AJ579" s="142" t="str">
        <f t="shared" si="352"/>
        <v>{progress_rate_roll,100,1000,9,1}</v>
      </c>
      <c r="AN579" s="142" t="str">
        <f t="shared" si="353"/>
        <v>{progress,1,21363,1}</v>
      </c>
      <c r="AO579" s="142" t="str">
        <f t="shared" si="354"/>
        <v>{progress_rate_roll,100,5000,21363,1}</v>
      </c>
      <c r="AP579" s="142" t="str">
        <f t="shared" si="365"/>
        <v>[{progress_rate,2,232},{progress,0,2,580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79" s="142" t="str">
        <f t="shared" si="355"/>
        <v>[{progress_rate,2,232},{progress,0,2,580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79" s="142" t="str">
        <f t="shared" si="366"/>
        <v>[{progress_rate,2,232},{progress,0,2,580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79" s="142" t="str">
        <f t="shared" si="356"/>
        <v>[{progress_rate,2,232},{progress,0,2,580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79" s="142" t="str">
        <f t="shared" si="357"/>
        <v>{progress_rate,2,600},{progress_rate,11,1}</v>
      </c>
      <c r="AV579" s="142" t="str">
        <f t="shared" si="358"/>
        <v>{progress_rate,2,600}</v>
      </c>
      <c r="AW579" s="142" t="s">
        <v>175</v>
      </c>
    </row>
    <row r="580" spans="1:49">
      <c r="A580" s="143" t="str">
        <f t="shared" si="361"/>
        <v>[{2,814},{5103001,40},{14,60},{11,0},{5401000,0},{5203001,0},{5303001,0}]</v>
      </c>
      <c r="B580" s="98">
        <v>268</v>
      </c>
      <c r="C580" s="126">
        <v>232</v>
      </c>
      <c r="D580" s="126">
        <v>582</v>
      </c>
      <c r="E580" s="145">
        <v>15</v>
      </c>
      <c r="F580" s="145">
        <v>25</v>
      </c>
      <c r="G580" s="98">
        <v>3</v>
      </c>
      <c r="H580" s="98">
        <v>5</v>
      </c>
      <c r="I580" s="98">
        <v>0.5</v>
      </c>
      <c r="J580" s="98">
        <v>0</v>
      </c>
      <c r="K580" s="98">
        <v>5</v>
      </c>
      <c r="L580" s="98">
        <v>2</v>
      </c>
      <c r="M580" s="98">
        <v>1</v>
      </c>
      <c r="N580" s="98"/>
      <c r="O580" s="98">
        <v>0.1</v>
      </c>
      <c r="P580" s="98">
        <f t="shared" si="362"/>
        <v>160.7</v>
      </c>
      <c r="Q580" s="147">
        <f t="shared" si="363"/>
        <v>8.035</v>
      </c>
      <c r="R580" s="149">
        <v>600</v>
      </c>
      <c r="S580" s="132">
        <f t="shared" si="364"/>
        <v>116</v>
      </c>
      <c r="T580" s="132">
        <f t="shared" si="360"/>
        <v>291</v>
      </c>
      <c r="V580" s="80">
        <v>21363</v>
      </c>
      <c r="W580" s="142">
        <f t="shared" si="359"/>
        <v>268</v>
      </c>
      <c r="X580" s="142" t="str">
        <f t="shared" si="342"/>
        <v>{progress_rate,2,232}</v>
      </c>
      <c r="Y580" s="142" t="str">
        <f t="shared" si="343"/>
        <v>{progress,0,2,582}</v>
      </c>
      <c r="Z580" s="142" t="str">
        <f t="shared" si="344"/>
        <v>{progress,0,5103001,15}</v>
      </c>
      <c r="AA580" s="142" t="str">
        <f t="shared" si="345"/>
        <v>{progress,40,5103003,25}</v>
      </c>
      <c r="AB580" s="142" t="str">
        <f t="shared" si="346"/>
        <v>{progress,0,50025,3}</v>
      </c>
      <c r="AC580" s="142" t="str">
        <f t="shared" si="347"/>
        <v>{progress,50,50002,5}</v>
      </c>
      <c r="AD580" s="142" t="str">
        <f t="shared" si="348"/>
        <v>{progress_rate_roll,100,5000,11,1}</v>
      </c>
      <c r="AF580" s="142" t="str">
        <f t="shared" si="349"/>
        <v>{progress,50,5203001,5}</v>
      </c>
      <c r="AG580" s="142" t="str">
        <f t="shared" si="350"/>
        <v>{progress,40,5303001,2}</v>
      </c>
      <c r="AH580" s="142" t="str">
        <f t="shared" si="351"/>
        <v>{progress,0,5401019,1}</v>
      </c>
      <c r="AI580" s="142"/>
      <c r="AJ580" s="142" t="str">
        <f t="shared" si="352"/>
        <v>{progress_rate_roll,100,1000,9,1}</v>
      </c>
      <c r="AN580" s="142" t="str">
        <f t="shared" si="353"/>
        <v>{progress,1,21363,1}</v>
      </c>
      <c r="AO580" s="142" t="str">
        <f t="shared" si="354"/>
        <v>{progress_rate_roll,100,5000,21363,1}</v>
      </c>
      <c r="AP580" s="142" t="str">
        <f t="shared" si="365"/>
        <v>[{progress_rate,2,232},{progress,0,2,582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80" s="142" t="str">
        <f t="shared" si="355"/>
        <v>[{progress_rate,2,232},{progress,0,2,582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80" s="142" t="str">
        <f t="shared" si="366"/>
        <v>[{progress_rate,2,232},{progress,0,2,582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80" s="142" t="str">
        <f t="shared" si="356"/>
        <v>[{progress_rate,2,232},{progress,0,2,582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80" s="142" t="str">
        <f t="shared" si="357"/>
        <v>{progress_rate,2,600},{progress_rate,11,1}</v>
      </c>
      <c r="AV580" s="142" t="str">
        <f t="shared" si="358"/>
        <v>{progress_rate,2,600}</v>
      </c>
      <c r="AW580" s="142" t="s">
        <v>175</v>
      </c>
    </row>
    <row r="581" spans="1:49">
      <c r="A581" s="143" t="str">
        <f t="shared" si="361"/>
        <v>[{2,816},{5103001,40},{14,60},{11,0},{5401000,0},{5203001,0},{5303001,0}]</v>
      </c>
      <c r="B581" s="98">
        <v>269</v>
      </c>
      <c r="C581" s="126">
        <v>234</v>
      </c>
      <c r="D581" s="126">
        <v>582</v>
      </c>
      <c r="E581" s="145">
        <v>15</v>
      </c>
      <c r="F581" s="145">
        <v>25</v>
      </c>
      <c r="G581" s="98">
        <v>3</v>
      </c>
      <c r="H581" s="98">
        <v>5</v>
      </c>
      <c r="I581" s="98">
        <v>0.5</v>
      </c>
      <c r="J581" s="98">
        <v>0</v>
      </c>
      <c r="K581" s="98">
        <v>5</v>
      </c>
      <c r="L581" s="98">
        <v>2</v>
      </c>
      <c r="M581" s="98">
        <v>1</v>
      </c>
      <c r="N581" s="98"/>
      <c r="O581" s="98">
        <v>0.1</v>
      </c>
      <c r="P581" s="98">
        <f t="shared" si="362"/>
        <v>160.8</v>
      </c>
      <c r="Q581" s="147">
        <f t="shared" si="363"/>
        <v>8.04</v>
      </c>
      <c r="R581" s="149">
        <v>600</v>
      </c>
      <c r="S581" s="132">
        <f t="shared" si="364"/>
        <v>117</v>
      </c>
      <c r="T581" s="132">
        <f t="shared" si="360"/>
        <v>291</v>
      </c>
      <c r="V581" s="80">
        <v>21363</v>
      </c>
      <c r="W581" s="142">
        <f t="shared" si="359"/>
        <v>269</v>
      </c>
      <c r="X581" s="142" t="str">
        <f t="shared" si="342"/>
        <v>{progress_rate,2,234}</v>
      </c>
      <c r="Y581" s="142" t="str">
        <f t="shared" si="343"/>
        <v>{progress,0,2,582}</v>
      </c>
      <c r="Z581" s="142" t="str">
        <f t="shared" si="344"/>
        <v>{progress,0,5103001,15}</v>
      </c>
      <c r="AA581" s="142" t="str">
        <f t="shared" si="345"/>
        <v>{progress,40,5103003,25}</v>
      </c>
      <c r="AB581" s="142" t="str">
        <f t="shared" si="346"/>
        <v>{progress,0,50025,3}</v>
      </c>
      <c r="AC581" s="142" t="str">
        <f t="shared" si="347"/>
        <v>{progress,50,50002,5}</v>
      </c>
      <c r="AD581" s="142" t="str">
        <f t="shared" si="348"/>
        <v>{progress_rate_roll,100,5000,11,1}</v>
      </c>
      <c r="AF581" s="142" t="str">
        <f t="shared" si="349"/>
        <v>{progress,50,5203001,5}</v>
      </c>
      <c r="AG581" s="142" t="str">
        <f t="shared" si="350"/>
        <v>{progress,40,5303001,2}</v>
      </c>
      <c r="AH581" s="142" t="str">
        <f t="shared" si="351"/>
        <v>{progress,0,5401019,1}</v>
      </c>
      <c r="AI581" s="142"/>
      <c r="AJ581" s="142" t="str">
        <f t="shared" si="352"/>
        <v>{progress_rate_roll,100,1000,9,1}</v>
      </c>
      <c r="AN581" s="142" t="str">
        <f t="shared" si="353"/>
        <v>{progress,1,21363,1}</v>
      </c>
      <c r="AO581" s="142" t="str">
        <f t="shared" si="354"/>
        <v>{progress_rate_roll,100,5000,21363,1}</v>
      </c>
      <c r="AP581" s="142" t="str">
        <f t="shared" si="365"/>
        <v>[{progress_rate,2,234},{progress,0,2,582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81" s="142" t="str">
        <f t="shared" si="355"/>
        <v>[{progress_rate,2,234},{progress,0,2,582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81" s="142" t="str">
        <f t="shared" si="366"/>
        <v>[{progress_rate,2,234},{progress,0,2,582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81" s="142" t="str">
        <f t="shared" si="356"/>
        <v>[{progress_rate,2,234},{progress,0,2,582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81" s="142" t="str">
        <f t="shared" si="357"/>
        <v>{progress_rate,2,600},{progress_rate,11,1}</v>
      </c>
      <c r="AV581" s="142" t="str">
        <f t="shared" si="358"/>
        <v>{progress_rate,2,600}</v>
      </c>
      <c r="AW581" s="142" t="s">
        <v>175</v>
      </c>
    </row>
    <row r="582" spans="1:49">
      <c r="A582" s="143" t="str">
        <f t="shared" si="361"/>
        <v>[{2,818},{5103001,40},{14,60},{11,0},{5401000,0},{5203001,0},{5303001,0}]</v>
      </c>
      <c r="B582" s="98">
        <v>270</v>
      </c>
      <c r="C582" s="126">
        <v>234</v>
      </c>
      <c r="D582" s="126">
        <v>584</v>
      </c>
      <c r="E582" s="145">
        <v>15</v>
      </c>
      <c r="F582" s="145">
        <v>25</v>
      </c>
      <c r="G582" s="98">
        <v>3</v>
      </c>
      <c r="H582" s="98">
        <v>5</v>
      </c>
      <c r="I582" s="98">
        <v>0.5</v>
      </c>
      <c r="J582" s="98">
        <v>0</v>
      </c>
      <c r="K582" s="98">
        <v>5</v>
      </c>
      <c r="L582" s="98">
        <v>2</v>
      </c>
      <c r="M582" s="98">
        <v>1</v>
      </c>
      <c r="N582" s="98"/>
      <c r="O582" s="98">
        <v>0.1</v>
      </c>
      <c r="P582" s="98">
        <f t="shared" si="362"/>
        <v>160.9</v>
      </c>
      <c r="Q582" s="147">
        <f t="shared" si="363"/>
        <v>8.045</v>
      </c>
      <c r="R582" s="149">
        <v>600</v>
      </c>
      <c r="S582" s="132">
        <f t="shared" si="364"/>
        <v>117</v>
      </c>
      <c r="T582" s="132">
        <f t="shared" si="360"/>
        <v>292</v>
      </c>
      <c r="V582" s="80">
        <v>21363</v>
      </c>
      <c r="W582" s="142">
        <f t="shared" si="359"/>
        <v>270</v>
      </c>
      <c r="X582" s="142" t="str">
        <f t="shared" si="342"/>
        <v>{progress_rate,2,234}</v>
      </c>
      <c r="Y582" s="142" t="str">
        <f t="shared" si="343"/>
        <v>{progress,0,2,584}</v>
      </c>
      <c r="Z582" s="142" t="str">
        <f t="shared" si="344"/>
        <v>{progress,0,5103001,15}</v>
      </c>
      <c r="AA582" s="142" t="str">
        <f t="shared" si="345"/>
        <v>{progress,40,5103003,25}</v>
      </c>
      <c r="AB582" s="142" t="str">
        <f t="shared" si="346"/>
        <v>{progress,0,50025,3}</v>
      </c>
      <c r="AC582" s="142" t="str">
        <f t="shared" si="347"/>
        <v>{progress,50,50002,5}</v>
      </c>
      <c r="AD582" s="142" t="str">
        <f t="shared" si="348"/>
        <v>{progress_rate_roll,100,5000,11,1}</v>
      </c>
      <c r="AF582" s="142" t="str">
        <f t="shared" si="349"/>
        <v>{progress,50,5203001,5}</v>
      </c>
      <c r="AG582" s="142" t="str">
        <f t="shared" si="350"/>
        <v>{progress,40,5303001,2}</v>
      </c>
      <c r="AH582" s="142" t="str">
        <f t="shared" si="351"/>
        <v>{progress,0,5401019,1}</v>
      </c>
      <c r="AI582" s="142"/>
      <c r="AJ582" s="142" t="str">
        <f t="shared" si="352"/>
        <v>{progress_rate_roll,100,1000,9,1}</v>
      </c>
      <c r="AN582" s="142" t="str">
        <f t="shared" si="353"/>
        <v>{progress,1,21363,1}</v>
      </c>
      <c r="AO582" s="142" t="str">
        <f t="shared" si="354"/>
        <v>{progress_rate_roll,100,5000,21363,1}</v>
      </c>
      <c r="AP582" s="142" t="str">
        <f t="shared" si="365"/>
        <v>[{progress_rate,2,234},{progress,0,2,584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82" s="142" t="str">
        <f t="shared" si="355"/>
        <v>[{progress_rate,2,234},{progress,0,2,584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82" s="142" t="str">
        <f t="shared" si="366"/>
        <v>[{progress_rate,2,234},{progress,0,2,584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82" s="142" t="str">
        <f t="shared" si="356"/>
        <v>[{progress_rate,2,234},{progress,0,2,584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82" s="142" t="str">
        <f t="shared" si="357"/>
        <v>{progress_rate,2,600},{progress_rate,11,1}</v>
      </c>
      <c r="AV582" s="142" t="str">
        <f t="shared" si="358"/>
        <v>{progress_rate,2,600}</v>
      </c>
      <c r="AW582" s="142" t="s">
        <v>175</v>
      </c>
    </row>
    <row r="583" spans="1:49">
      <c r="A583" s="143" t="str">
        <f t="shared" si="361"/>
        <v>[{2,820},{5103001,40},{14,60},{11,0},{5401000,0},{5203001,0},{5303001,0}]</v>
      </c>
      <c r="B583" s="98">
        <v>271</v>
      </c>
      <c r="C583" s="126">
        <v>234</v>
      </c>
      <c r="D583" s="126">
        <v>586</v>
      </c>
      <c r="E583" s="145">
        <v>15</v>
      </c>
      <c r="F583" s="145">
        <v>25</v>
      </c>
      <c r="G583" s="98">
        <v>3</v>
      </c>
      <c r="H583" s="98">
        <v>5</v>
      </c>
      <c r="I583" s="98">
        <v>0.5</v>
      </c>
      <c r="J583" s="98">
        <v>0</v>
      </c>
      <c r="K583" s="98">
        <v>5</v>
      </c>
      <c r="L583" s="98">
        <v>2</v>
      </c>
      <c r="M583" s="98">
        <v>1</v>
      </c>
      <c r="N583" s="98"/>
      <c r="O583" s="98">
        <v>0.1</v>
      </c>
      <c r="P583" s="98">
        <f t="shared" si="362"/>
        <v>161</v>
      </c>
      <c r="Q583" s="147">
        <f t="shared" si="363"/>
        <v>8.05</v>
      </c>
      <c r="R583" s="149">
        <v>600</v>
      </c>
      <c r="S583" s="132">
        <f t="shared" si="364"/>
        <v>117</v>
      </c>
      <c r="T583" s="132">
        <f t="shared" si="360"/>
        <v>293</v>
      </c>
      <c r="V583" s="80">
        <v>21363</v>
      </c>
      <c r="W583" s="142">
        <f t="shared" si="359"/>
        <v>271</v>
      </c>
      <c r="X583" s="142" t="str">
        <f t="shared" si="342"/>
        <v>{progress_rate,2,234}</v>
      </c>
      <c r="Y583" s="142" t="str">
        <f t="shared" si="343"/>
        <v>{progress,0,2,586}</v>
      </c>
      <c r="Z583" s="142" t="str">
        <f t="shared" si="344"/>
        <v>{progress,0,5103001,15}</v>
      </c>
      <c r="AA583" s="142" t="str">
        <f t="shared" si="345"/>
        <v>{progress,40,5103003,25}</v>
      </c>
      <c r="AB583" s="142" t="str">
        <f t="shared" si="346"/>
        <v>{progress,0,50025,3}</v>
      </c>
      <c r="AC583" s="142" t="str">
        <f t="shared" si="347"/>
        <v>{progress,50,50002,5}</v>
      </c>
      <c r="AD583" s="142" t="str">
        <f t="shared" si="348"/>
        <v>{progress_rate_roll,100,5000,11,1}</v>
      </c>
      <c r="AF583" s="142" t="str">
        <f t="shared" si="349"/>
        <v>{progress,50,5203001,5}</v>
      </c>
      <c r="AG583" s="142" t="str">
        <f t="shared" si="350"/>
        <v>{progress,40,5303001,2}</v>
      </c>
      <c r="AH583" s="142" t="str">
        <f t="shared" si="351"/>
        <v>{progress,0,5401019,1}</v>
      </c>
      <c r="AI583" s="142"/>
      <c r="AJ583" s="142" t="str">
        <f t="shared" si="352"/>
        <v>{progress_rate_roll,100,1000,9,1}</v>
      </c>
      <c r="AN583" s="142" t="str">
        <f t="shared" si="353"/>
        <v>{progress,1,21363,1}</v>
      </c>
      <c r="AO583" s="142" t="str">
        <f t="shared" si="354"/>
        <v>{progress_rate_roll,100,5000,21363,1}</v>
      </c>
      <c r="AP583" s="142" t="str">
        <f t="shared" si="365"/>
        <v>[{progress_rate,2,234},{progress,0,2,586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83" s="142" t="str">
        <f t="shared" si="355"/>
        <v>[{progress_rate,2,234},{progress,0,2,586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83" s="142" t="str">
        <f t="shared" si="366"/>
        <v>[{progress_rate,2,234},{progress,0,2,586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83" s="142" t="str">
        <f t="shared" si="356"/>
        <v>[{progress_rate,2,234},{progress,0,2,586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83" s="142" t="str">
        <f t="shared" si="357"/>
        <v>{progress_rate,2,600},{progress_rate,11,1}</v>
      </c>
      <c r="AV583" s="142" t="str">
        <f t="shared" si="358"/>
        <v>{progress_rate,2,600}</v>
      </c>
      <c r="AW583" s="142" t="s">
        <v>175</v>
      </c>
    </row>
    <row r="584" spans="1:49">
      <c r="A584" s="143" t="str">
        <f t="shared" si="361"/>
        <v>[{2,822},{5103001,40},{14,60},{11,0},{5401000,0},{5203001,0},{5303001,0}]</v>
      </c>
      <c r="B584" s="98">
        <v>272</v>
      </c>
      <c r="C584" s="126">
        <v>236</v>
      </c>
      <c r="D584" s="126">
        <v>586</v>
      </c>
      <c r="E584" s="145">
        <v>15</v>
      </c>
      <c r="F584" s="145">
        <v>25</v>
      </c>
      <c r="G584" s="98">
        <v>3</v>
      </c>
      <c r="H584" s="98">
        <v>5</v>
      </c>
      <c r="I584" s="98">
        <v>0.5</v>
      </c>
      <c r="J584" s="98">
        <v>0</v>
      </c>
      <c r="K584" s="98">
        <v>5</v>
      </c>
      <c r="L584" s="98">
        <v>2</v>
      </c>
      <c r="M584" s="98">
        <v>1</v>
      </c>
      <c r="N584" s="98"/>
      <c r="O584" s="98">
        <v>0.1</v>
      </c>
      <c r="P584" s="98">
        <f t="shared" si="362"/>
        <v>161.1</v>
      </c>
      <c r="Q584" s="147">
        <f t="shared" si="363"/>
        <v>8.055</v>
      </c>
      <c r="R584" s="149">
        <v>600</v>
      </c>
      <c r="S584" s="132">
        <f t="shared" si="364"/>
        <v>118</v>
      </c>
      <c r="T584" s="132">
        <f t="shared" si="360"/>
        <v>293</v>
      </c>
      <c r="V584" s="80">
        <v>21363</v>
      </c>
      <c r="W584" s="142">
        <f t="shared" si="359"/>
        <v>272</v>
      </c>
      <c r="X584" s="142" t="str">
        <f t="shared" si="342"/>
        <v>{progress_rate,2,236}</v>
      </c>
      <c r="Y584" s="142" t="str">
        <f t="shared" si="343"/>
        <v>{progress,0,2,586}</v>
      </c>
      <c r="Z584" s="142" t="str">
        <f t="shared" si="344"/>
        <v>{progress,0,5103001,15}</v>
      </c>
      <c r="AA584" s="142" t="str">
        <f t="shared" si="345"/>
        <v>{progress,40,5103003,25}</v>
      </c>
      <c r="AB584" s="142" t="str">
        <f t="shared" si="346"/>
        <v>{progress,0,50025,3}</v>
      </c>
      <c r="AC584" s="142" t="str">
        <f t="shared" si="347"/>
        <v>{progress,50,50002,5}</v>
      </c>
      <c r="AD584" s="142" t="str">
        <f t="shared" si="348"/>
        <v>{progress_rate_roll,100,5000,11,1}</v>
      </c>
      <c r="AF584" s="142" t="str">
        <f t="shared" si="349"/>
        <v>{progress,50,5203001,5}</v>
      </c>
      <c r="AG584" s="142" t="str">
        <f t="shared" si="350"/>
        <v>{progress,40,5303001,2}</v>
      </c>
      <c r="AH584" s="142" t="str">
        <f t="shared" si="351"/>
        <v>{progress,0,5401019,1}</v>
      </c>
      <c r="AI584" s="142"/>
      <c r="AJ584" s="142" t="str">
        <f t="shared" si="352"/>
        <v>{progress_rate_roll,100,1000,9,1}</v>
      </c>
      <c r="AN584" s="142" t="str">
        <f t="shared" si="353"/>
        <v>{progress,1,21363,1}</v>
      </c>
      <c r="AO584" s="142" t="str">
        <f t="shared" si="354"/>
        <v>{progress_rate_roll,100,5000,21363,1}</v>
      </c>
      <c r="AP584" s="142" t="str">
        <f t="shared" si="365"/>
        <v>[{progress_rate,2,236},{progress,0,2,586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84" s="142" t="str">
        <f t="shared" si="355"/>
        <v>[{progress_rate,2,236},{progress,0,2,586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84" s="142" t="str">
        <f t="shared" si="366"/>
        <v>[{progress_rate,2,236},{progress,0,2,586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84" s="142" t="str">
        <f t="shared" si="356"/>
        <v>[{progress_rate,2,236},{progress,0,2,586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84" s="142" t="str">
        <f t="shared" si="357"/>
        <v>{progress_rate,2,600},{progress_rate,11,1}</v>
      </c>
      <c r="AV584" s="142" t="str">
        <f t="shared" si="358"/>
        <v>{progress_rate,2,600}</v>
      </c>
      <c r="AW584" s="142" t="s">
        <v>175</v>
      </c>
    </row>
    <row r="585" spans="1:49">
      <c r="A585" s="143" t="str">
        <f t="shared" si="361"/>
        <v>[{2,824},{5103001,40},{14,60},{11,0},{5401000,0},{5203001,0},{5303001,0}]</v>
      </c>
      <c r="B585" s="98">
        <v>273</v>
      </c>
      <c r="C585" s="126">
        <v>236</v>
      </c>
      <c r="D585" s="126">
        <v>588</v>
      </c>
      <c r="E585" s="145">
        <v>15</v>
      </c>
      <c r="F585" s="145">
        <v>25</v>
      </c>
      <c r="G585" s="98">
        <v>3</v>
      </c>
      <c r="H585" s="98">
        <v>5</v>
      </c>
      <c r="I585" s="98">
        <v>0.5</v>
      </c>
      <c r="J585" s="98">
        <v>0</v>
      </c>
      <c r="K585" s="98">
        <v>5</v>
      </c>
      <c r="L585" s="98">
        <v>2</v>
      </c>
      <c r="M585" s="98">
        <v>1</v>
      </c>
      <c r="N585" s="98"/>
      <c r="O585" s="98">
        <v>0.1</v>
      </c>
      <c r="P585" s="98">
        <f t="shared" si="362"/>
        <v>161.2</v>
      </c>
      <c r="Q585" s="147">
        <f t="shared" si="363"/>
        <v>8.06</v>
      </c>
      <c r="R585" s="149">
        <v>600</v>
      </c>
      <c r="S585" s="132">
        <f t="shared" si="364"/>
        <v>118</v>
      </c>
      <c r="T585" s="132">
        <f t="shared" si="360"/>
        <v>294</v>
      </c>
      <c r="V585" s="80">
        <v>21363</v>
      </c>
      <c r="W585" s="142">
        <f t="shared" si="359"/>
        <v>273</v>
      </c>
      <c r="X585" s="142" t="str">
        <f t="shared" si="342"/>
        <v>{progress_rate,2,236}</v>
      </c>
      <c r="Y585" s="142" t="str">
        <f t="shared" si="343"/>
        <v>{progress,0,2,588}</v>
      </c>
      <c r="Z585" s="142" t="str">
        <f t="shared" si="344"/>
        <v>{progress,0,5103001,15}</v>
      </c>
      <c r="AA585" s="142" t="str">
        <f t="shared" si="345"/>
        <v>{progress,40,5103003,25}</v>
      </c>
      <c r="AB585" s="142" t="str">
        <f t="shared" si="346"/>
        <v>{progress,0,50025,3}</v>
      </c>
      <c r="AC585" s="142" t="str">
        <f t="shared" si="347"/>
        <v>{progress,50,50002,5}</v>
      </c>
      <c r="AD585" s="142" t="str">
        <f t="shared" si="348"/>
        <v>{progress_rate_roll,100,5000,11,1}</v>
      </c>
      <c r="AF585" s="142" t="str">
        <f t="shared" si="349"/>
        <v>{progress,50,5203001,5}</v>
      </c>
      <c r="AG585" s="142" t="str">
        <f t="shared" si="350"/>
        <v>{progress,40,5303001,2}</v>
      </c>
      <c r="AH585" s="142" t="str">
        <f t="shared" si="351"/>
        <v>{progress,0,5401019,1}</v>
      </c>
      <c r="AI585" s="142"/>
      <c r="AJ585" s="142" t="str">
        <f t="shared" si="352"/>
        <v>{progress_rate_roll,100,1000,9,1}</v>
      </c>
      <c r="AN585" s="142" t="str">
        <f t="shared" si="353"/>
        <v>{progress,1,21363,1}</v>
      </c>
      <c r="AO585" s="142" t="str">
        <f t="shared" si="354"/>
        <v>{progress_rate_roll,100,5000,21363,1}</v>
      </c>
      <c r="AP585" s="142" t="str">
        <f t="shared" si="365"/>
        <v>[{progress_rate,2,236},{progress,0,2,588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85" s="142" t="str">
        <f t="shared" si="355"/>
        <v>[{progress_rate,2,236},{progress,0,2,588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85" s="142" t="str">
        <f t="shared" si="366"/>
        <v>[{progress_rate,2,236},{progress,0,2,588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85" s="142" t="str">
        <f t="shared" si="356"/>
        <v>[{progress_rate,2,236},{progress,0,2,588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85" s="142" t="str">
        <f t="shared" si="357"/>
        <v>{progress_rate,2,600},{progress_rate,11,1}</v>
      </c>
      <c r="AV585" s="142" t="str">
        <f t="shared" si="358"/>
        <v>{progress_rate,2,600}</v>
      </c>
      <c r="AW585" s="142" t="s">
        <v>175</v>
      </c>
    </row>
    <row r="586" spans="1:49">
      <c r="A586" s="143" t="str">
        <f t="shared" si="361"/>
        <v>[{2,826},{5103001,40},{14,60},{11,0},{5401000,0},{5203001,0},{5303001,0}]</v>
      </c>
      <c r="B586" s="98">
        <v>274</v>
      </c>
      <c r="C586" s="126">
        <v>236</v>
      </c>
      <c r="D586" s="126">
        <v>590</v>
      </c>
      <c r="E586" s="145">
        <v>15</v>
      </c>
      <c r="F586" s="145">
        <v>25</v>
      </c>
      <c r="G586" s="98">
        <v>3</v>
      </c>
      <c r="H586" s="98">
        <v>5</v>
      </c>
      <c r="I586" s="98">
        <v>0.5</v>
      </c>
      <c r="J586" s="98">
        <v>0</v>
      </c>
      <c r="K586" s="98">
        <v>5</v>
      </c>
      <c r="L586" s="98">
        <v>2</v>
      </c>
      <c r="M586" s="98">
        <v>1</v>
      </c>
      <c r="N586" s="98"/>
      <c r="O586" s="98">
        <v>0.1</v>
      </c>
      <c r="P586" s="98">
        <f t="shared" si="362"/>
        <v>161.3</v>
      </c>
      <c r="Q586" s="147">
        <f t="shared" si="363"/>
        <v>8.065</v>
      </c>
      <c r="R586" s="149">
        <v>600</v>
      </c>
      <c r="S586" s="132">
        <f t="shared" si="364"/>
        <v>118</v>
      </c>
      <c r="T586" s="132">
        <f t="shared" si="360"/>
        <v>295</v>
      </c>
      <c r="V586" s="80">
        <v>21363</v>
      </c>
      <c r="W586" s="142">
        <f t="shared" si="359"/>
        <v>274</v>
      </c>
      <c r="X586" s="142" t="str">
        <f t="shared" si="342"/>
        <v>{progress_rate,2,236}</v>
      </c>
      <c r="Y586" s="142" t="str">
        <f t="shared" si="343"/>
        <v>{progress,0,2,590}</v>
      </c>
      <c r="Z586" s="142" t="str">
        <f t="shared" si="344"/>
        <v>{progress,0,5103001,15}</v>
      </c>
      <c r="AA586" s="142" t="str">
        <f t="shared" si="345"/>
        <v>{progress,40,5103003,25}</v>
      </c>
      <c r="AB586" s="142" t="str">
        <f t="shared" si="346"/>
        <v>{progress,0,50025,3}</v>
      </c>
      <c r="AC586" s="142" t="str">
        <f t="shared" si="347"/>
        <v>{progress,50,50002,5}</v>
      </c>
      <c r="AD586" s="142" t="str">
        <f t="shared" si="348"/>
        <v>{progress_rate_roll,100,5000,11,1}</v>
      </c>
      <c r="AF586" s="142" t="str">
        <f t="shared" si="349"/>
        <v>{progress,50,5203001,5}</v>
      </c>
      <c r="AG586" s="142" t="str">
        <f t="shared" si="350"/>
        <v>{progress,40,5303001,2}</v>
      </c>
      <c r="AH586" s="142" t="str">
        <f t="shared" si="351"/>
        <v>{progress,0,5401019,1}</v>
      </c>
      <c r="AI586" s="142"/>
      <c r="AJ586" s="142" t="str">
        <f t="shared" si="352"/>
        <v>{progress_rate_roll,100,1000,9,1}</v>
      </c>
      <c r="AN586" s="142" t="str">
        <f t="shared" si="353"/>
        <v>{progress,1,21363,1}</v>
      </c>
      <c r="AO586" s="142" t="str">
        <f t="shared" si="354"/>
        <v>{progress_rate_roll,100,5000,21363,1}</v>
      </c>
      <c r="AP586" s="142" t="str">
        <f t="shared" si="365"/>
        <v>[{progress_rate,2,236},{progress,0,2,590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86" s="142" t="str">
        <f t="shared" si="355"/>
        <v>[{progress_rate,2,236},{progress,0,2,590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86" s="142" t="str">
        <f t="shared" si="366"/>
        <v>[{progress_rate,2,236},{progress,0,2,590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86" s="142" t="str">
        <f t="shared" si="356"/>
        <v>[{progress_rate,2,236},{progress,0,2,590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86" s="142" t="str">
        <f t="shared" si="357"/>
        <v>{progress_rate,2,600},{progress_rate,11,1}</v>
      </c>
      <c r="AV586" s="142" t="str">
        <f t="shared" si="358"/>
        <v>{progress_rate,2,600}</v>
      </c>
      <c r="AW586" s="142" t="s">
        <v>175</v>
      </c>
    </row>
    <row r="587" spans="1:49">
      <c r="A587" s="143" t="str">
        <f t="shared" si="361"/>
        <v>[{2,828},{5103001,40},{14,60},{11,0},{5401000,0},{5203001,0},{5303001,0}]</v>
      </c>
      <c r="B587" s="98">
        <v>275</v>
      </c>
      <c r="C587" s="126">
        <v>236</v>
      </c>
      <c r="D587" s="126">
        <v>592</v>
      </c>
      <c r="E587" s="145">
        <v>15</v>
      </c>
      <c r="F587" s="145">
        <v>25</v>
      </c>
      <c r="G587" s="98">
        <v>3</v>
      </c>
      <c r="H587" s="98">
        <v>5</v>
      </c>
      <c r="I587" s="98">
        <v>0.5</v>
      </c>
      <c r="J587" s="98">
        <v>0</v>
      </c>
      <c r="K587" s="98">
        <v>5</v>
      </c>
      <c r="L587" s="98">
        <v>2</v>
      </c>
      <c r="M587" s="98">
        <v>1</v>
      </c>
      <c r="N587" s="98"/>
      <c r="O587" s="98">
        <v>0.1</v>
      </c>
      <c r="P587" s="98">
        <f t="shared" si="362"/>
        <v>161.4</v>
      </c>
      <c r="Q587" s="147">
        <f t="shared" si="363"/>
        <v>8.07</v>
      </c>
      <c r="R587" s="149">
        <v>600</v>
      </c>
      <c r="S587" s="132">
        <f t="shared" si="364"/>
        <v>118</v>
      </c>
      <c r="T587" s="132">
        <f t="shared" si="360"/>
        <v>296</v>
      </c>
      <c r="V587" s="80">
        <v>21363</v>
      </c>
      <c r="W587" s="142">
        <f t="shared" si="359"/>
        <v>275</v>
      </c>
      <c r="X587" s="142" t="str">
        <f t="shared" si="342"/>
        <v>{progress_rate,2,236}</v>
      </c>
      <c r="Y587" s="142" t="str">
        <f t="shared" si="343"/>
        <v>{progress,0,2,592}</v>
      </c>
      <c r="Z587" s="142" t="str">
        <f t="shared" si="344"/>
        <v>{progress,0,5103001,15}</v>
      </c>
      <c r="AA587" s="142" t="str">
        <f t="shared" si="345"/>
        <v>{progress,40,5103003,25}</v>
      </c>
      <c r="AB587" s="142" t="str">
        <f t="shared" si="346"/>
        <v>{progress,0,50025,3}</v>
      </c>
      <c r="AC587" s="142" t="str">
        <f t="shared" si="347"/>
        <v>{progress,50,50002,5}</v>
      </c>
      <c r="AD587" s="142" t="str">
        <f t="shared" si="348"/>
        <v>{progress_rate_roll,100,5000,11,1}</v>
      </c>
      <c r="AF587" s="142" t="str">
        <f t="shared" si="349"/>
        <v>{progress,50,5203001,5}</v>
      </c>
      <c r="AG587" s="142" t="str">
        <f t="shared" si="350"/>
        <v>{progress,40,5303001,2}</v>
      </c>
      <c r="AH587" s="142" t="str">
        <f t="shared" si="351"/>
        <v>{progress,0,5401019,1}</v>
      </c>
      <c r="AI587" s="142"/>
      <c r="AJ587" s="142" t="str">
        <f t="shared" si="352"/>
        <v>{progress_rate_roll,100,1000,9,1}</v>
      </c>
      <c r="AN587" s="142" t="str">
        <f t="shared" si="353"/>
        <v>{progress,1,21363,1}</v>
      </c>
      <c r="AO587" s="142" t="str">
        <f t="shared" si="354"/>
        <v>{progress_rate_roll,100,5000,21363,1}</v>
      </c>
      <c r="AP587" s="142" t="str">
        <f t="shared" si="365"/>
        <v>[{progress_rate,2,236},{progress,0,2,592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87" s="142" t="str">
        <f t="shared" si="355"/>
        <v>[{progress_rate,2,236},{progress,0,2,592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87" s="142" t="str">
        <f t="shared" si="366"/>
        <v>[{progress_rate,2,236},{progress,0,2,592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87" s="142" t="str">
        <f t="shared" si="356"/>
        <v>[{progress_rate,2,236},{progress,0,2,592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87" s="142" t="str">
        <f t="shared" si="357"/>
        <v>{progress_rate,2,600},{progress_rate,11,1}</v>
      </c>
      <c r="AV587" s="142" t="str">
        <f t="shared" si="358"/>
        <v>{progress_rate,2,600}</v>
      </c>
      <c r="AW587" s="142" t="s">
        <v>175</v>
      </c>
    </row>
    <row r="588" spans="1:49">
      <c r="A588" s="143" t="str">
        <f t="shared" si="361"/>
        <v>[{2,830},{5103001,40},{14,60},{11,0},{5401000,0},{5203001,0},{5303001,0}]</v>
      </c>
      <c r="B588" s="98">
        <v>276</v>
      </c>
      <c r="C588" s="126">
        <v>238</v>
      </c>
      <c r="D588" s="126">
        <v>592</v>
      </c>
      <c r="E588" s="145">
        <v>15</v>
      </c>
      <c r="F588" s="145">
        <v>25</v>
      </c>
      <c r="G588" s="98">
        <v>3</v>
      </c>
      <c r="H588" s="98">
        <v>5</v>
      </c>
      <c r="I588" s="98">
        <v>0.5</v>
      </c>
      <c r="J588" s="98">
        <v>0</v>
      </c>
      <c r="K588" s="98">
        <v>5</v>
      </c>
      <c r="L588" s="98">
        <v>2</v>
      </c>
      <c r="M588" s="98">
        <v>1</v>
      </c>
      <c r="N588" s="98"/>
      <c r="O588" s="98">
        <v>0.1</v>
      </c>
      <c r="P588" s="98">
        <f t="shared" si="362"/>
        <v>161.5</v>
      </c>
      <c r="Q588" s="147">
        <f t="shared" si="363"/>
        <v>8.075</v>
      </c>
      <c r="R588" s="149">
        <v>600</v>
      </c>
      <c r="S588" s="132">
        <f t="shared" si="364"/>
        <v>119</v>
      </c>
      <c r="T588" s="132">
        <f t="shared" si="360"/>
        <v>296</v>
      </c>
      <c r="V588" s="80">
        <v>21363</v>
      </c>
      <c r="W588" s="142">
        <f t="shared" si="359"/>
        <v>276</v>
      </c>
      <c r="X588" s="142" t="str">
        <f t="shared" si="342"/>
        <v>{progress_rate,2,238}</v>
      </c>
      <c r="Y588" s="142" t="str">
        <f t="shared" si="343"/>
        <v>{progress,0,2,592}</v>
      </c>
      <c r="Z588" s="142" t="str">
        <f t="shared" si="344"/>
        <v>{progress,0,5103001,15}</v>
      </c>
      <c r="AA588" s="142" t="str">
        <f t="shared" si="345"/>
        <v>{progress,40,5103003,25}</v>
      </c>
      <c r="AB588" s="142" t="str">
        <f t="shared" si="346"/>
        <v>{progress,0,50025,3}</v>
      </c>
      <c r="AC588" s="142" t="str">
        <f t="shared" si="347"/>
        <v>{progress,50,50002,5}</v>
      </c>
      <c r="AD588" s="142" t="str">
        <f t="shared" si="348"/>
        <v>{progress_rate_roll,100,5000,11,1}</v>
      </c>
      <c r="AF588" s="142" t="str">
        <f t="shared" si="349"/>
        <v>{progress,50,5203001,5}</v>
      </c>
      <c r="AG588" s="142" t="str">
        <f t="shared" si="350"/>
        <v>{progress,40,5303001,2}</v>
      </c>
      <c r="AH588" s="142" t="str">
        <f t="shared" si="351"/>
        <v>{progress,0,5401019,1}</v>
      </c>
      <c r="AI588" s="142"/>
      <c r="AJ588" s="142" t="str">
        <f t="shared" si="352"/>
        <v>{progress_rate_roll,100,1000,9,1}</v>
      </c>
      <c r="AN588" s="142" t="str">
        <f t="shared" si="353"/>
        <v>{progress,1,21363,1}</v>
      </c>
      <c r="AO588" s="142" t="str">
        <f t="shared" si="354"/>
        <v>{progress_rate_roll,100,5000,21363,1}</v>
      </c>
      <c r="AP588" s="142" t="str">
        <f t="shared" si="365"/>
        <v>[{progress_rate,2,238},{progress,0,2,592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88" s="142" t="str">
        <f t="shared" si="355"/>
        <v>[{progress_rate,2,238},{progress,0,2,592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88" s="142" t="str">
        <f t="shared" si="366"/>
        <v>[{progress_rate,2,238},{progress,0,2,592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88" s="142" t="str">
        <f t="shared" si="356"/>
        <v>[{progress_rate,2,238},{progress,0,2,592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88" s="142" t="str">
        <f t="shared" si="357"/>
        <v>{progress_rate,2,600},{progress_rate,11,1}</v>
      </c>
      <c r="AV588" s="142" t="str">
        <f t="shared" si="358"/>
        <v>{progress_rate,2,600}</v>
      </c>
      <c r="AW588" s="142" t="s">
        <v>175</v>
      </c>
    </row>
    <row r="589" spans="1:49">
      <c r="A589" s="143" t="str">
        <f t="shared" si="361"/>
        <v>[{2,832},{5103001,40},{14,60},{11,0},{5401000,0},{5203001,0},{5303001,0}]</v>
      </c>
      <c r="B589" s="98">
        <v>277</v>
      </c>
      <c r="C589" s="126">
        <v>238</v>
      </c>
      <c r="D589" s="126">
        <v>594</v>
      </c>
      <c r="E589" s="145">
        <v>15</v>
      </c>
      <c r="F589" s="145">
        <v>25</v>
      </c>
      <c r="G589" s="98">
        <v>3</v>
      </c>
      <c r="H589" s="98">
        <v>5</v>
      </c>
      <c r="I589" s="98">
        <v>0.5</v>
      </c>
      <c r="J589" s="98">
        <v>0</v>
      </c>
      <c r="K589" s="98">
        <v>5</v>
      </c>
      <c r="L589" s="98">
        <v>2</v>
      </c>
      <c r="M589" s="98">
        <v>1</v>
      </c>
      <c r="N589" s="98"/>
      <c r="O589" s="98">
        <v>0.1</v>
      </c>
      <c r="P589" s="98">
        <f t="shared" si="362"/>
        <v>161.6</v>
      </c>
      <c r="Q589" s="147">
        <f t="shared" si="363"/>
        <v>8.08</v>
      </c>
      <c r="R589" s="149">
        <v>600</v>
      </c>
      <c r="S589" s="132">
        <f t="shared" si="364"/>
        <v>119</v>
      </c>
      <c r="T589" s="132">
        <f t="shared" si="360"/>
        <v>297</v>
      </c>
      <c r="V589" s="80">
        <v>21363</v>
      </c>
      <c r="W589" s="142">
        <f t="shared" si="359"/>
        <v>277</v>
      </c>
      <c r="X589" s="142" t="str">
        <f t="shared" si="342"/>
        <v>{progress_rate,2,238}</v>
      </c>
      <c r="Y589" s="142" t="str">
        <f t="shared" si="343"/>
        <v>{progress,0,2,594}</v>
      </c>
      <c r="Z589" s="142" t="str">
        <f t="shared" si="344"/>
        <v>{progress,0,5103001,15}</v>
      </c>
      <c r="AA589" s="142" t="str">
        <f t="shared" si="345"/>
        <v>{progress,40,5103003,25}</v>
      </c>
      <c r="AB589" s="142" t="str">
        <f t="shared" si="346"/>
        <v>{progress,0,50025,3}</v>
      </c>
      <c r="AC589" s="142" t="str">
        <f t="shared" si="347"/>
        <v>{progress,50,50002,5}</v>
      </c>
      <c r="AD589" s="142" t="str">
        <f t="shared" si="348"/>
        <v>{progress_rate_roll,100,5000,11,1}</v>
      </c>
      <c r="AF589" s="142" t="str">
        <f t="shared" si="349"/>
        <v>{progress,50,5203001,5}</v>
      </c>
      <c r="AG589" s="142" t="str">
        <f t="shared" si="350"/>
        <v>{progress,40,5303001,2}</v>
      </c>
      <c r="AH589" s="142" t="str">
        <f t="shared" si="351"/>
        <v>{progress,0,5401019,1}</v>
      </c>
      <c r="AI589" s="142"/>
      <c r="AJ589" s="142" t="str">
        <f t="shared" si="352"/>
        <v>{progress_rate_roll,100,1000,9,1}</v>
      </c>
      <c r="AN589" s="142" t="str">
        <f t="shared" si="353"/>
        <v>{progress,1,21363,1}</v>
      </c>
      <c r="AO589" s="142" t="str">
        <f t="shared" si="354"/>
        <v>{progress_rate_roll,100,5000,21363,1}</v>
      </c>
      <c r="AP589" s="142" t="str">
        <f t="shared" si="365"/>
        <v>[{progress_rate,2,238},{progress,0,2,594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89" s="142" t="str">
        <f t="shared" si="355"/>
        <v>[{progress_rate,2,238},{progress,0,2,594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89" s="142" t="str">
        <f t="shared" si="366"/>
        <v>[{progress_rate,2,238},{progress,0,2,594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89" s="142" t="str">
        <f t="shared" si="356"/>
        <v>[{progress_rate,2,238},{progress,0,2,594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89" s="142" t="str">
        <f t="shared" si="357"/>
        <v>{progress_rate,2,600},{progress_rate,11,1}</v>
      </c>
      <c r="AV589" s="142" t="str">
        <f t="shared" si="358"/>
        <v>{progress_rate,2,600}</v>
      </c>
      <c r="AW589" s="142" t="s">
        <v>175</v>
      </c>
    </row>
    <row r="590" spans="1:49">
      <c r="A590" s="143" t="str">
        <f t="shared" si="361"/>
        <v>[{2,834},{5103001,40},{14,60},{11,0},{5401000,0},{5203001,0},{5303001,0}]</v>
      </c>
      <c r="B590" s="98">
        <v>278</v>
      </c>
      <c r="C590" s="126">
        <v>238</v>
      </c>
      <c r="D590" s="126">
        <v>596</v>
      </c>
      <c r="E590" s="145">
        <v>15</v>
      </c>
      <c r="F590" s="145">
        <v>25</v>
      </c>
      <c r="G590" s="98">
        <v>3</v>
      </c>
      <c r="H590" s="98">
        <v>5</v>
      </c>
      <c r="I590" s="98">
        <v>0.5</v>
      </c>
      <c r="J590" s="98">
        <v>0</v>
      </c>
      <c r="K590" s="98">
        <v>5</v>
      </c>
      <c r="L590" s="98">
        <v>2</v>
      </c>
      <c r="M590" s="98">
        <v>1</v>
      </c>
      <c r="N590" s="98"/>
      <c r="O590" s="98">
        <v>0.1</v>
      </c>
      <c r="P590" s="98">
        <f t="shared" si="362"/>
        <v>161.7</v>
      </c>
      <c r="Q590" s="147">
        <f t="shared" si="363"/>
        <v>8.085</v>
      </c>
      <c r="R590" s="149">
        <v>600</v>
      </c>
      <c r="S590" s="132">
        <f t="shared" si="364"/>
        <v>119</v>
      </c>
      <c r="T590" s="132">
        <f t="shared" si="360"/>
        <v>298</v>
      </c>
      <c r="V590" s="80">
        <v>21363</v>
      </c>
      <c r="W590" s="142">
        <f t="shared" si="359"/>
        <v>278</v>
      </c>
      <c r="X590" s="142" t="str">
        <f t="shared" si="342"/>
        <v>{progress_rate,2,238}</v>
      </c>
      <c r="Y590" s="142" t="str">
        <f t="shared" si="343"/>
        <v>{progress,0,2,596}</v>
      </c>
      <c r="Z590" s="142" t="str">
        <f t="shared" si="344"/>
        <v>{progress,0,5103001,15}</v>
      </c>
      <c r="AA590" s="142" t="str">
        <f t="shared" si="345"/>
        <v>{progress,40,5103003,25}</v>
      </c>
      <c r="AB590" s="142" t="str">
        <f t="shared" si="346"/>
        <v>{progress,0,50025,3}</v>
      </c>
      <c r="AC590" s="142" t="str">
        <f t="shared" si="347"/>
        <v>{progress,50,50002,5}</v>
      </c>
      <c r="AD590" s="142" t="str">
        <f t="shared" si="348"/>
        <v>{progress_rate_roll,100,5000,11,1}</v>
      </c>
      <c r="AF590" s="142" t="str">
        <f t="shared" si="349"/>
        <v>{progress,50,5203001,5}</v>
      </c>
      <c r="AG590" s="142" t="str">
        <f t="shared" si="350"/>
        <v>{progress,40,5303001,2}</v>
      </c>
      <c r="AH590" s="142" t="str">
        <f t="shared" si="351"/>
        <v>{progress,0,5401019,1}</v>
      </c>
      <c r="AI590" s="142"/>
      <c r="AJ590" s="142" t="str">
        <f t="shared" si="352"/>
        <v>{progress_rate_roll,100,1000,9,1}</v>
      </c>
      <c r="AN590" s="142" t="str">
        <f t="shared" si="353"/>
        <v>{progress,1,21363,1}</v>
      </c>
      <c r="AO590" s="142" t="str">
        <f t="shared" si="354"/>
        <v>{progress_rate_roll,100,5000,21363,1}</v>
      </c>
      <c r="AP590" s="142" t="str">
        <f t="shared" si="365"/>
        <v>[{progress_rate,2,238},{progress,0,2,596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90" s="142" t="str">
        <f t="shared" si="355"/>
        <v>[{progress_rate,2,238},{progress,0,2,596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90" s="142" t="str">
        <f t="shared" si="366"/>
        <v>[{progress_rate,2,238},{progress,0,2,596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90" s="142" t="str">
        <f t="shared" si="356"/>
        <v>[{progress_rate,2,238},{progress,0,2,596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90" s="142" t="str">
        <f t="shared" si="357"/>
        <v>{progress_rate,2,600},{progress_rate,11,1}</v>
      </c>
      <c r="AV590" s="142" t="str">
        <f t="shared" si="358"/>
        <v>{progress_rate,2,600}</v>
      </c>
      <c r="AW590" s="142" t="s">
        <v>175</v>
      </c>
    </row>
    <row r="591" spans="1:49">
      <c r="A591" s="143" t="str">
        <f t="shared" si="361"/>
        <v>[{2,836},{5103001,40},{14,60},{11,0},{5401000,0},{5203001,0},{5303001,0}]</v>
      </c>
      <c r="B591" s="98">
        <v>279</v>
      </c>
      <c r="C591" s="126">
        <v>240</v>
      </c>
      <c r="D591" s="126">
        <v>596</v>
      </c>
      <c r="E591" s="145">
        <v>15</v>
      </c>
      <c r="F591" s="145">
        <v>25</v>
      </c>
      <c r="G591" s="98">
        <v>3</v>
      </c>
      <c r="H591" s="98">
        <v>5</v>
      </c>
      <c r="I591" s="98">
        <v>0.5</v>
      </c>
      <c r="J591" s="98">
        <v>0</v>
      </c>
      <c r="K591" s="98">
        <v>5</v>
      </c>
      <c r="L591" s="98">
        <v>2</v>
      </c>
      <c r="M591" s="98">
        <v>1</v>
      </c>
      <c r="N591" s="98"/>
      <c r="O591" s="98">
        <v>0.1</v>
      </c>
      <c r="P591" s="98">
        <f t="shared" si="362"/>
        <v>161.8</v>
      </c>
      <c r="Q591" s="147">
        <f t="shared" si="363"/>
        <v>8.09</v>
      </c>
      <c r="R591" s="149">
        <v>600</v>
      </c>
      <c r="S591" s="132">
        <f t="shared" si="364"/>
        <v>120</v>
      </c>
      <c r="T591" s="132">
        <f t="shared" si="360"/>
        <v>298</v>
      </c>
      <c r="V591" s="80">
        <v>21363</v>
      </c>
      <c r="W591" s="142">
        <f t="shared" si="359"/>
        <v>279</v>
      </c>
      <c r="X591" s="142" t="str">
        <f t="shared" ref="X591:X612" si="367">IF(C$311="","{progress_rate,"&amp;C$308&amp;","&amp;C591&amp;"}",IF(C591&gt;=1,"{progress,"&amp;C$311*100&amp;","&amp;C$308&amp;","&amp;C591&amp;"}","{progress_rate_roll,"&amp;C$311*100&amp;","&amp;INT(C591*10000)&amp;","&amp;C$308&amp;","&amp;1&amp;"}"))</f>
        <v>{progress_rate,2,240}</v>
      </c>
      <c r="Y591" s="142" t="str">
        <f t="shared" ref="Y591:Y612" si="368">IF(D$311="","{progress_rate,"&amp;D$308&amp;","&amp;D591&amp;"}",IF(D591&gt;=1,"{progress,"&amp;D$311*100&amp;","&amp;D$308&amp;","&amp;D591&amp;"}","{progress_rate_roll,"&amp;D$311*100&amp;","&amp;INT(D591*10000)&amp;","&amp;D$308&amp;","&amp;1&amp;"}"))</f>
        <v>{progress,0,2,596}</v>
      </c>
      <c r="Z591" s="142" t="str">
        <f t="shared" ref="Z591:Z612" si="369">IF(E$311="","{progress_rate,"&amp;E$308&amp;","&amp;E591&amp;"}",IF(E591&gt;=1,"{progress,"&amp;E$311*100&amp;","&amp;E$308&amp;","&amp;E591&amp;"}","{progress_rate_roll,"&amp;E$311*100&amp;","&amp;INT(E591*10000)&amp;","&amp;E$308&amp;","&amp;1&amp;"}"))</f>
        <v>{progress,0,5103001,15}</v>
      </c>
      <c r="AA591" s="142" t="str">
        <f t="shared" ref="AA591:AA612" si="370">IF(F$311="","{progress_rate,"&amp;F$308&amp;","&amp;F591&amp;"}",IF(F591&gt;=1,"{progress,"&amp;F$311*100&amp;","&amp;F$308&amp;","&amp;F591&amp;"}","{progress_rate_roll,"&amp;F$311*100&amp;","&amp;INT(F591*10000)&amp;","&amp;F$308&amp;","&amp;1&amp;"}"))</f>
        <v>{progress,40,5103003,25}</v>
      </c>
      <c r="AB591" s="142" t="str">
        <f t="shared" ref="AB591:AB612" si="371">IF(G$311="","{progress_rate,"&amp;G$308&amp;","&amp;G591&amp;"}",IF(G591&gt;=1,"{progress,"&amp;G$311*100&amp;","&amp;G$308&amp;","&amp;G591&amp;"}","{progress_rate_roll,"&amp;G$311*100&amp;","&amp;INT(G591*10000)&amp;","&amp;G$308&amp;","&amp;1&amp;"}"))</f>
        <v>{progress,0,50025,3}</v>
      </c>
      <c r="AC591" s="142" t="str">
        <f t="shared" ref="AC591:AC612" si="372">IF(H$311="","{progress_rate,"&amp;H$308&amp;","&amp;H591&amp;"}",IF(H591&gt;=1,"{progress,"&amp;H$311*100&amp;","&amp;H$308&amp;","&amp;H591&amp;"}","{progress_rate_roll,"&amp;H$311*100&amp;","&amp;INT(H591*10000)&amp;","&amp;H$308&amp;","&amp;1&amp;"}"))</f>
        <v>{progress,50,50002,5}</v>
      </c>
      <c r="AD591" s="142" t="str">
        <f t="shared" ref="AD591:AD612" si="373">IF(I$311="","{progress_rate,"&amp;I$308&amp;","&amp;I591&amp;"}",IF(I591&gt;=1,"{progress,"&amp;I$311*100&amp;","&amp;I$308&amp;","&amp;I591&amp;"}","{progress_rate_roll,"&amp;I$311*100&amp;","&amp;INT(I591*10000)&amp;","&amp;I$308&amp;","&amp;1&amp;"}"))</f>
        <v>{progress_rate_roll,100,5000,11,1}</v>
      </c>
      <c r="AF591" s="142" t="str">
        <f t="shared" ref="AF591:AF612" si="374">IF(K$311="","{progress_rate,"&amp;K$308&amp;","&amp;K591&amp;"}",IF(K591&gt;=1,"{progress,"&amp;K$311*100&amp;","&amp;K$308&amp;","&amp;K591&amp;"}","{progress_rate_roll,"&amp;K$311*100&amp;","&amp;INT(K591*10000)&amp;","&amp;K$308&amp;","&amp;1&amp;"}"))</f>
        <v>{progress,50,5203001,5}</v>
      </c>
      <c r="AG591" s="142" t="str">
        <f t="shared" ref="AG591:AG612" si="375">IF(L$311="","{progress_rate,"&amp;L$308&amp;","&amp;L591&amp;"}",IF(L591&gt;=1,"{progress,"&amp;L$311*100&amp;","&amp;L$308&amp;","&amp;L591&amp;"}","{progress_rate_roll,"&amp;L$311*100&amp;","&amp;INT(L591*10000)&amp;","&amp;L$308&amp;","&amp;1&amp;"}"))</f>
        <v>{progress,40,5303001,2}</v>
      </c>
      <c r="AH591" s="142" t="str">
        <f t="shared" ref="AH591:AH612" si="376">IF(M$311="","{progress_rate,"&amp;M$308&amp;","&amp;M591&amp;"}",IF(M591&gt;=1,"{progress,"&amp;M$311*100&amp;","&amp;M$308&amp;","&amp;M591&amp;"}","{progress_rate_roll,"&amp;M$311*100&amp;","&amp;INT(M591*10000)&amp;","&amp;M$308&amp;","&amp;1&amp;"}"))</f>
        <v>{progress,0,5401019,1}</v>
      </c>
      <c r="AI591" s="142"/>
      <c r="AJ591" s="142" t="str">
        <f t="shared" ref="AJ591:AJ612" si="377">IF(O$311="","{progress_rate,"&amp;O$308&amp;","&amp;O591&amp;"}",IF(O591&gt;=1,"{progress,"&amp;O$311*100&amp;","&amp;O$308&amp;","&amp;O591&amp;"}","{progress_rate_roll,"&amp;O$311*100&amp;","&amp;INT(O591*10000)&amp;","&amp;O$308&amp;","&amp;1&amp;"}"))</f>
        <v>{progress_rate_roll,100,1000,9,1}</v>
      </c>
      <c r="AN591" s="142" t="str">
        <f t="shared" ref="AN591:AN612" si="378">"{progress,1,"&amp;V591&amp;",1}"</f>
        <v>{progress,1,21363,1}</v>
      </c>
      <c r="AO591" s="142" t="str">
        <f t="shared" ref="AO591:AO612" si="379">"{progress_rate_roll,100,5000,"&amp;V591&amp;",1}"</f>
        <v>{progress_rate_roll,100,5000,21363,1}</v>
      </c>
      <c r="AP591" s="142" t="str">
        <f t="shared" si="365"/>
        <v>[{progress_rate,2,240},{progress,0,2,596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91" s="142" t="str">
        <f t="shared" ref="AQ591:AQ612" si="380">"["&amp;_xlfn.TEXTJOIN(",",1,X591:AO591)&amp;"]"</f>
        <v>[{progress_rate,2,240},{progress,0,2,596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91" s="142" t="str">
        <f t="shared" si="366"/>
        <v>[{progress_rate,2,240},{progress,0,2,596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91" s="142" t="str">
        <f t="shared" ref="AS591:AS612" si="381">IF(AT591="",SUBSTITUTE(AQ591,"]",","&amp;AU591&amp;"]"),SUBSTITUTE(SUBSTITUTE(SUBSTITUTE(AQ591,"]",","&amp;AU591&amp;"]"),$G$308,AT591),$H$308,SUBSTITUTE(AT591+1,50009,50003)))</f>
        <v>[{progress_rate,2,240},{progress,0,2,596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91" s="142" t="str">
        <f t="shared" ref="AU591:AU612" si="382">_xlfn.TEXTJOIN(",",1,AV591:BD591)</f>
        <v>{progress_rate,2,600},{progress_rate,11,1}</v>
      </c>
      <c r="AV591" s="142" t="str">
        <f t="shared" ref="AV591:AV612" si="383">"{progress_rate,2,"&amp;MIN(1200,600+INT(B591/10)*0)&amp;"}"</f>
        <v>{progress_rate,2,600}</v>
      </c>
      <c r="AW591" s="142" t="s">
        <v>175</v>
      </c>
    </row>
    <row r="592" spans="1:49">
      <c r="A592" s="143" t="str">
        <f t="shared" si="361"/>
        <v>[{2,838},{5103001,40},{14,60},{11,0},{5401000,0},{5203001,0},{5303001,0}]</v>
      </c>
      <c r="B592" s="98">
        <v>280</v>
      </c>
      <c r="C592" s="126">
        <v>240</v>
      </c>
      <c r="D592" s="126">
        <v>598</v>
      </c>
      <c r="E592" s="145">
        <v>15</v>
      </c>
      <c r="F592" s="145">
        <v>25</v>
      </c>
      <c r="G592" s="98">
        <v>3</v>
      </c>
      <c r="H592" s="98">
        <v>5</v>
      </c>
      <c r="I592" s="98">
        <v>0.5</v>
      </c>
      <c r="J592" s="98">
        <v>0</v>
      </c>
      <c r="K592" s="98">
        <v>5</v>
      </c>
      <c r="L592" s="98">
        <v>2</v>
      </c>
      <c r="M592" s="98">
        <v>1</v>
      </c>
      <c r="N592" s="98"/>
      <c r="O592" s="98">
        <v>0.1</v>
      </c>
      <c r="P592" s="98">
        <f t="shared" si="362"/>
        <v>161.9</v>
      </c>
      <c r="Q592" s="147">
        <f t="shared" si="363"/>
        <v>8.095</v>
      </c>
      <c r="R592" s="149">
        <v>600</v>
      </c>
      <c r="S592" s="132">
        <f t="shared" si="364"/>
        <v>120</v>
      </c>
      <c r="T592" s="132">
        <f t="shared" si="360"/>
        <v>299</v>
      </c>
      <c r="V592" s="80">
        <v>21363</v>
      </c>
      <c r="W592" s="142">
        <f t="shared" si="359"/>
        <v>280</v>
      </c>
      <c r="X592" s="142" t="str">
        <f t="shared" si="367"/>
        <v>{progress_rate,2,240}</v>
      </c>
      <c r="Y592" s="142" t="str">
        <f t="shared" si="368"/>
        <v>{progress,0,2,598}</v>
      </c>
      <c r="Z592" s="142" t="str">
        <f t="shared" si="369"/>
        <v>{progress,0,5103001,15}</v>
      </c>
      <c r="AA592" s="142" t="str">
        <f t="shared" si="370"/>
        <v>{progress,40,5103003,25}</v>
      </c>
      <c r="AB592" s="142" t="str">
        <f t="shared" si="371"/>
        <v>{progress,0,50025,3}</v>
      </c>
      <c r="AC592" s="142" t="str">
        <f t="shared" si="372"/>
        <v>{progress,50,50002,5}</v>
      </c>
      <c r="AD592" s="142" t="str">
        <f t="shared" si="373"/>
        <v>{progress_rate_roll,100,5000,11,1}</v>
      </c>
      <c r="AF592" s="142" t="str">
        <f t="shared" si="374"/>
        <v>{progress,50,5203001,5}</v>
      </c>
      <c r="AG592" s="142" t="str">
        <f t="shared" si="375"/>
        <v>{progress,40,5303001,2}</v>
      </c>
      <c r="AH592" s="142" t="str">
        <f t="shared" si="376"/>
        <v>{progress,0,5401019,1}</v>
      </c>
      <c r="AI592" s="142"/>
      <c r="AJ592" s="142" t="str">
        <f t="shared" si="377"/>
        <v>{progress_rate_roll,100,1000,9,1}</v>
      </c>
      <c r="AN592" s="142" t="str">
        <f t="shared" si="378"/>
        <v>{progress,1,21363,1}</v>
      </c>
      <c r="AO592" s="142" t="str">
        <f t="shared" si="379"/>
        <v>{progress_rate_roll,100,5000,21363,1}</v>
      </c>
      <c r="AP592" s="142" t="str">
        <f t="shared" si="365"/>
        <v>[{progress_rate,2,240},{progress,0,2,598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92" s="142" t="str">
        <f t="shared" si="380"/>
        <v>[{progress_rate,2,240},{progress,0,2,598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92" s="142" t="str">
        <f t="shared" si="366"/>
        <v>[{progress_rate,2,240},{progress,0,2,598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92" s="142" t="str">
        <f t="shared" si="381"/>
        <v>[{progress_rate,2,240},{progress,0,2,598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92" s="142" t="str">
        <f t="shared" si="382"/>
        <v>{progress_rate,2,600},{progress_rate,11,1}</v>
      </c>
      <c r="AV592" s="142" t="str">
        <f t="shared" si="383"/>
        <v>{progress_rate,2,600}</v>
      </c>
      <c r="AW592" s="142" t="s">
        <v>175</v>
      </c>
    </row>
    <row r="593" spans="1:49">
      <c r="A593" s="143" t="str">
        <f t="shared" si="361"/>
        <v>[{2,840},{5103001,40},{14,60},{11,0},{5401000,0},{5203001,0},{5303001,0}]</v>
      </c>
      <c r="B593" s="98">
        <v>281</v>
      </c>
      <c r="C593" s="126">
        <v>240</v>
      </c>
      <c r="D593" s="126">
        <v>600</v>
      </c>
      <c r="E593" s="145">
        <v>15</v>
      </c>
      <c r="F593" s="145">
        <v>25</v>
      </c>
      <c r="G593" s="98">
        <v>3</v>
      </c>
      <c r="H593" s="98">
        <v>5</v>
      </c>
      <c r="I593" s="98">
        <v>0.5</v>
      </c>
      <c r="J593" s="98">
        <v>0</v>
      </c>
      <c r="K593" s="98">
        <v>5</v>
      </c>
      <c r="L593" s="98">
        <v>2</v>
      </c>
      <c r="M593" s="98">
        <v>1</v>
      </c>
      <c r="N593" s="98"/>
      <c r="O593" s="98">
        <v>0.1</v>
      </c>
      <c r="P593" s="98">
        <f t="shared" si="362"/>
        <v>162</v>
      </c>
      <c r="Q593" s="147">
        <f t="shared" si="363"/>
        <v>8.1</v>
      </c>
      <c r="R593" s="149">
        <v>600</v>
      </c>
      <c r="S593" s="132">
        <f t="shared" si="364"/>
        <v>120</v>
      </c>
      <c r="T593" s="132">
        <f t="shared" si="360"/>
        <v>300</v>
      </c>
      <c r="V593" s="80">
        <v>21363</v>
      </c>
      <c r="W593" s="142">
        <f t="shared" ref="W593:W612" si="384">B593</f>
        <v>281</v>
      </c>
      <c r="X593" s="142" t="str">
        <f t="shared" si="367"/>
        <v>{progress_rate,2,240}</v>
      </c>
      <c r="Y593" s="142" t="str">
        <f t="shared" si="368"/>
        <v>{progress,0,2,600}</v>
      </c>
      <c r="Z593" s="142" t="str">
        <f t="shared" si="369"/>
        <v>{progress,0,5103001,15}</v>
      </c>
      <c r="AA593" s="142" t="str">
        <f t="shared" si="370"/>
        <v>{progress,40,5103003,25}</v>
      </c>
      <c r="AB593" s="142" t="str">
        <f t="shared" si="371"/>
        <v>{progress,0,50025,3}</v>
      </c>
      <c r="AC593" s="142" t="str">
        <f t="shared" si="372"/>
        <v>{progress,50,50002,5}</v>
      </c>
      <c r="AD593" s="142" t="str">
        <f t="shared" si="373"/>
        <v>{progress_rate_roll,100,5000,11,1}</v>
      </c>
      <c r="AF593" s="142" t="str">
        <f t="shared" si="374"/>
        <v>{progress,50,5203001,5}</v>
      </c>
      <c r="AG593" s="142" t="str">
        <f t="shared" si="375"/>
        <v>{progress,40,5303001,2}</v>
      </c>
      <c r="AH593" s="142" t="str">
        <f t="shared" si="376"/>
        <v>{progress,0,5401019,1}</v>
      </c>
      <c r="AI593" s="142"/>
      <c r="AJ593" s="142" t="str">
        <f t="shared" si="377"/>
        <v>{progress_rate_roll,100,1000,9,1}</v>
      </c>
      <c r="AN593" s="142" t="str">
        <f t="shared" si="378"/>
        <v>{progress,1,21363,1}</v>
      </c>
      <c r="AO593" s="142" t="str">
        <f t="shared" si="379"/>
        <v>{progress_rate_roll,100,5000,21363,1}</v>
      </c>
      <c r="AP593" s="142" t="str">
        <f t="shared" si="365"/>
        <v>[{progress_rate,2,240},{progress,0,2,600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93" s="142" t="str">
        <f t="shared" si="380"/>
        <v>[{progress_rate,2,240},{progress,0,2,600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93" s="142" t="str">
        <f t="shared" si="366"/>
        <v>[{progress_rate,2,240},{progress,0,2,600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93" s="142" t="str">
        <f t="shared" si="381"/>
        <v>[{progress_rate,2,240},{progress,0,2,600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93" s="142" t="str">
        <f t="shared" si="382"/>
        <v>{progress_rate,2,600},{progress_rate,11,1}</v>
      </c>
      <c r="AV593" s="142" t="str">
        <f t="shared" si="383"/>
        <v>{progress_rate,2,600}</v>
      </c>
      <c r="AW593" s="142" t="s">
        <v>175</v>
      </c>
    </row>
    <row r="594" spans="1:49">
      <c r="A594" s="143" t="str">
        <f t="shared" si="361"/>
        <v>[{2,842},{5103001,40},{14,60},{11,0},{5401000,0},{5203001,0},{5303001,0}]</v>
      </c>
      <c r="B594" s="98">
        <v>282</v>
      </c>
      <c r="C594" s="126">
        <v>240</v>
      </c>
      <c r="D594" s="126">
        <v>602</v>
      </c>
      <c r="E594" s="145">
        <v>15</v>
      </c>
      <c r="F594" s="145">
        <v>25</v>
      </c>
      <c r="G594" s="98">
        <v>3</v>
      </c>
      <c r="H594" s="98">
        <v>5</v>
      </c>
      <c r="I594" s="98">
        <v>0.5</v>
      </c>
      <c r="J594" s="98">
        <v>0</v>
      </c>
      <c r="K594" s="98">
        <v>5</v>
      </c>
      <c r="L594" s="98">
        <v>2</v>
      </c>
      <c r="M594" s="98">
        <v>1</v>
      </c>
      <c r="N594" s="98"/>
      <c r="O594" s="98">
        <v>0.1</v>
      </c>
      <c r="P594" s="98">
        <f t="shared" si="362"/>
        <v>162.1</v>
      </c>
      <c r="Q594" s="147">
        <f t="shared" si="363"/>
        <v>8.105</v>
      </c>
      <c r="R594" s="149">
        <v>600</v>
      </c>
      <c r="S594" s="132">
        <f t="shared" si="364"/>
        <v>120</v>
      </c>
      <c r="T594" s="132">
        <f t="shared" ref="T594:T612" si="385">D594/2</f>
        <v>301</v>
      </c>
      <c r="V594" s="80">
        <v>21363</v>
      </c>
      <c r="W594" s="142">
        <f t="shared" si="384"/>
        <v>282</v>
      </c>
      <c r="X594" s="142" t="str">
        <f t="shared" si="367"/>
        <v>{progress_rate,2,240}</v>
      </c>
      <c r="Y594" s="142" t="str">
        <f t="shared" si="368"/>
        <v>{progress,0,2,602}</v>
      </c>
      <c r="Z594" s="142" t="str">
        <f t="shared" si="369"/>
        <v>{progress,0,5103001,15}</v>
      </c>
      <c r="AA594" s="142" t="str">
        <f t="shared" si="370"/>
        <v>{progress,40,5103003,25}</v>
      </c>
      <c r="AB594" s="142" t="str">
        <f t="shared" si="371"/>
        <v>{progress,0,50025,3}</v>
      </c>
      <c r="AC594" s="142" t="str">
        <f t="shared" si="372"/>
        <v>{progress,50,50002,5}</v>
      </c>
      <c r="AD594" s="142" t="str">
        <f t="shared" si="373"/>
        <v>{progress_rate_roll,100,5000,11,1}</v>
      </c>
      <c r="AF594" s="142" t="str">
        <f t="shared" si="374"/>
        <v>{progress,50,5203001,5}</v>
      </c>
      <c r="AG594" s="142" t="str">
        <f t="shared" si="375"/>
        <v>{progress,40,5303001,2}</v>
      </c>
      <c r="AH594" s="142" t="str">
        <f t="shared" si="376"/>
        <v>{progress,0,5401019,1}</v>
      </c>
      <c r="AI594" s="142"/>
      <c r="AJ594" s="142" t="str">
        <f t="shared" si="377"/>
        <v>{progress_rate_roll,100,1000,9,1}</v>
      </c>
      <c r="AN594" s="142" t="str">
        <f t="shared" si="378"/>
        <v>{progress,1,21363,1}</v>
      </c>
      <c r="AO594" s="142" t="str">
        <f t="shared" si="379"/>
        <v>{progress_rate_roll,100,5000,21363,1}</v>
      </c>
      <c r="AP594" s="142" t="str">
        <f t="shared" si="365"/>
        <v>[{progress_rate,2,240},{progress,0,2,602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94" s="142" t="str">
        <f t="shared" si="380"/>
        <v>[{progress_rate,2,240},{progress,0,2,602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94" s="142" t="str">
        <f t="shared" si="366"/>
        <v>[{progress_rate,2,240},{progress,0,2,602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94" s="142" t="str">
        <f t="shared" si="381"/>
        <v>[{progress_rate,2,240},{progress,0,2,602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94" s="142" t="str">
        <f t="shared" si="382"/>
        <v>{progress_rate,2,600},{progress_rate,11,1}</v>
      </c>
      <c r="AV594" s="142" t="str">
        <f t="shared" si="383"/>
        <v>{progress_rate,2,600}</v>
      </c>
      <c r="AW594" s="142" t="s">
        <v>175</v>
      </c>
    </row>
    <row r="595" spans="1:49">
      <c r="A595" s="143" t="str">
        <f t="shared" si="361"/>
        <v>[{2,844},{5103001,40},{14,60},{11,0},{5401000,0},{5203001,0},{5303001,0}]</v>
      </c>
      <c r="B595" s="98">
        <v>283</v>
      </c>
      <c r="C595" s="126">
        <v>242</v>
      </c>
      <c r="D595" s="126">
        <v>602</v>
      </c>
      <c r="E595" s="145">
        <v>15</v>
      </c>
      <c r="F595" s="145">
        <v>25</v>
      </c>
      <c r="G595" s="98">
        <v>3</v>
      </c>
      <c r="H595" s="98">
        <v>5</v>
      </c>
      <c r="I595" s="98">
        <v>0.5</v>
      </c>
      <c r="J595" s="98">
        <v>0</v>
      </c>
      <c r="K595" s="98">
        <v>5</v>
      </c>
      <c r="L595" s="98">
        <v>2</v>
      </c>
      <c r="M595" s="98">
        <v>1</v>
      </c>
      <c r="N595" s="98"/>
      <c r="O595" s="98">
        <v>0.1</v>
      </c>
      <c r="P595" s="98">
        <f t="shared" si="362"/>
        <v>162.2</v>
      </c>
      <c r="Q595" s="147">
        <f t="shared" si="363"/>
        <v>8.11</v>
      </c>
      <c r="R595" s="149">
        <v>600</v>
      </c>
      <c r="S595" s="132">
        <f t="shared" si="364"/>
        <v>121</v>
      </c>
      <c r="T595" s="132">
        <f t="shared" si="385"/>
        <v>301</v>
      </c>
      <c r="V595" s="80">
        <v>21363</v>
      </c>
      <c r="W595" s="142">
        <f t="shared" si="384"/>
        <v>283</v>
      </c>
      <c r="X595" s="142" t="str">
        <f t="shared" si="367"/>
        <v>{progress_rate,2,242}</v>
      </c>
      <c r="Y595" s="142" t="str">
        <f t="shared" si="368"/>
        <v>{progress,0,2,602}</v>
      </c>
      <c r="Z595" s="142" t="str">
        <f t="shared" si="369"/>
        <v>{progress,0,5103001,15}</v>
      </c>
      <c r="AA595" s="142" t="str">
        <f t="shared" si="370"/>
        <v>{progress,40,5103003,25}</v>
      </c>
      <c r="AB595" s="142" t="str">
        <f t="shared" si="371"/>
        <v>{progress,0,50025,3}</v>
      </c>
      <c r="AC595" s="142" t="str">
        <f t="shared" si="372"/>
        <v>{progress,50,50002,5}</v>
      </c>
      <c r="AD595" s="142" t="str">
        <f t="shared" si="373"/>
        <v>{progress_rate_roll,100,5000,11,1}</v>
      </c>
      <c r="AF595" s="142" t="str">
        <f t="shared" si="374"/>
        <v>{progress,50,5203001,5}</v>
      </c>
      <c r="AG595" s="142" t="str">
        <f t="shared" si="375"/>
        <v>{progress,40,5303001,2}</v>
      </c>
      <c r="AH595" s="142" t="str">
        <f t="shared" si="376"/>
        <v>{progress,0,5401019,1}</v>
      </c>
      <c r="AI595" s="142"/>
      <c r="AJ595" s="142" t="str">
        <f t="shared" si="377"/>
        <v>{progress_rate_roll,100,1000,9,1}</v>
      </c>
      <c r="AN595" s="142" t="str">
        <f t="shared" si="378"/>
        <v>{progress,1,21363,1}</v>
      </c>
      <c r="AO595" s="142" t="str">
        <f t="shared" si="379"/>
        <v>{progress_rate_roll,100,5000,21363,1}</v>
      </c>
      <c r="AP595" s="142" t="str">
        <f t="shared" si="365"/>
        <v>[{progress_rate,2,242},{progress,0,2,602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95" s="142" t="str">
        <f t="shared" si="380"/>
        <v>[{progress_rate,2,242},{progress,0,2,602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95" s="142" t="str">
        <f t="shared" si="366"/>
        <v>[{progress_rate,2,242},{progress,0,2,602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95" s="142" t="str">
        <f t="shared" si="381"/>
        <v>[{progress_rate,2,242},{progress,0,2,602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95" s="142" t="str">
        <f t="shared" si="382"/>
        <v>{progress_rate,2,600},{progress_rate,11,1}</v>
      </c>
      <c r="AV595" s="142" t="str">
        <f t="shared" si="383"/>
        <v>{progress_rate,2,600}</v>
      </c>
      <c r="AW595" s="142" t="s">
        <v>175</v>
      </c>
    </row>
    <row r="596" spans="1:49">
      <c r="A596" s="143" t="str">
        <f t="shared" si="361"/>
        <v>[{2,846},{5103001,40},{14,60},{11,0},{5401000,0},{5203001,0},{5303001,0}]</v>
      </c>
      <c r="B596" s="98">
        <v>284</v>
      </c>
      <c r="C596" s="126">
        <v>242</v>
      </c>
      <c r="D596" s="126">
        <v>604</v>
      </c>
      <c r="E596" s="145">
        <v>15</v>
      </c>
      <c r="F596" s="145">
        <v>25</v>
      </c>
      <c r="G596" s="98">
        <v>3</v>
      </c>
      <c r="H596" s="98">
        <v>5</v>
      </c>
      <c r="I596" s="98">
        <v>0.5</v>
      </c>
      <c r="J596" s="98">
        <v>0</v>
      </c>
      <c r="K596" s="98">
        <v>5</v>
      </c>
      <c r="L596" s="98">
        <v>2</v>
      </c>
      <c r="M596" s="98">
        <v>1</v>
      </c>
      <c r="N596" s="98"/>
      <c r="O596" s="98">
        <v>0.1</v>
      </c>
      <c r="P596" s="98">
        <f t="shared" si="362"/>
        <v>162.3</v>
      </c>
      <c r="Q596" s="147">
        <f t="shared" si="363"/>
        <v>8.115</v>
      </c>
      <c r="R596" s="149">
        <v>600</v>
      </c>
      <c r="S596" s="132">
        <f t="shared" si="364"/>
        <v>121</v>
      </c>
      <c r="T596" s="132">
        <f t="shared" si="385"/>
        <v>302</v>
      </c>
      <c r="V596" s="80">
        <v>21363</v>
      </c>
      <c r="W596" s="142">
        <f t="shared" si="384"/>
        <v>284</v>
      </c>
      <c r="X596" s="142" t="str">
        <f t="shared" si="367"/>
        <v>{progress_rate,2,242}</v>
      </c>
      <c r="Y596" s="142" t="str">
        <f t="shared" si="368"/>
        <v>{progress,0,2,604}</v>
      </c>
      <c r="Z596" s="142" t="str">
        <f t="shared" si="369"/>
        <v>{progress,0,5103001,15}</v>
      </c>
      <c r="AA596" s="142" t="str">
        <f t="shared" si="370"/>
        <v>{progress,40,5103003,25}</v>
      </c>
      <c r="AB596" s="142" t="str">
        <f t="shared" si="371"/>
        <v>{progress,0,50025,3}</v>
      </c>
      <c r="AC596" s="142" t="str">
        <f t="shared" si="372"/>
        <v>{progress,50,50002,5}</v>
      </c>
      <c r="AD596" s="142" t="str">
        <f t="shared" si="373"/>
        <v>{progress_rate_roll,100,5000,11,1}</v>
      </c>
      <c r="AF596" s="142" t="str">
        <f t="shared" si="374"/>
        <v>{progress,50,5203001,5}</v>
      </c>
      <c r="AG596" s="142" t="str">
        <f t="shared" si="375"/>
        <v>{progress,40,5303001,2}</v>
      </c>
      <c r="AH596" s="142" t="str">
        <f t="shared" si="376"/>
        <v>{progress,0,5401019,1}</v>
      </c>
      <c r="AI596" s="142"/>
      <c r="AJ596" s="142" t="str">
        <f t="shared" si="377"/>
        <v>{progress_rate_roll,100,1000,9,1}</v>
      </c>
      <c r="AN596" s="142" t="str">
        <f t="shared" si="378"/>
        <v>{progress,1,21363,1}</v>
      </c>
      <c r="AO596" s="142" t="str">
        <f t="shared" si="379"/>
        <v>{progress_rate_roll,100,5000,21363,1}</v>
      </c>
      <c r="AP596" s="142" t="str">
        <f t="shared" si="365"/>
        <v>[{progress_rate,2,242},{progress,0,2,604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96" s="142" t="str">
        <f t="shared" si="380"/>
        <v>[{progress_rate,2,242},{progress,0,2,604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96" s="142" t="str">
        <f t="shared" si="366"/>
        <v>[{progress_rate,2,242},{progress,0,2,604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96" s="142" t="str">
        <f t="shared" si="381"/>
        <v>[{progress_rate,2,242},{progress,0,2,604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96" s="142" t="str">
        <f t="shared" si="382"/>
        <v>{progress_rate,2,600},{progress_rate,11,1}</v>
      </c>
      <c r="AV596" s="142" t="str">
        <f t="shared" si="383"/>
        <v>{progress_rate,2,600}</v>
      </c>
      <c r="AW596" s="142" t="s">
        <v>175</v>
      </c>
    </row>
    <row r="597" spans="1:49">
      <c r="A597" s="143" t="str">
        <f t="shared" si="361"/>
        <v>[{2,848},{5103001,40},{14,60},{11,0},{5401000,0},{5203001,0},{5303001,0}]</v>
      </c>
      <c r="B597" s="98">
        <v>285</v>
      </c>
      <c r="C597" s="126">
        <v>242</v>
      </c>
      <c r="D597" s="126">
        <v>606</v>
      </c>
      <c r="E597" s="145">
        <v>15</v>
      </c>
      <c r="F597" s="145">
        <v>25</v>
      </c>
      <c r="G597" s="98">
        <v>3</v>
      </c>
      <c r="H597" s="98">
        <v>5</v>
      </c>
      <c r="I597" s="98">
        <v>0.5</v>
      </c>
      <c r="J597" s="98">
        <v>0</v>
      </c>
      <c r="K597" s="98">
        <v>5</v>
      </c>
      <c r="L597" s="98">
        <v>2</v>
      </c>
      <c r="M597" s="98">
        <v>1</v>
      </c>
      <c r="N597" s="98"/>
      <c r="O597" s="98">
        <v>0.1</v>
      </c>
      <c r="P597" s="98">
        <f t="shared" si="362"/>
        <v>162.4</v>
      </c>
      <c r="Q597" s="147">
        <f t="shared" si="363"/>
        <v>8.12</v>
      </c>
      <c r="R597" s="149">
        <v>600</v>
      </c>
      <c r="S597" s="132">
        <f t="shared" si="364"/>
        <v>121</v>
      </c>
      <c r="T597" s="132">
        <f t="shared" si="385"/>
        <v>303</v>
      </c>
      <c r="V597" s="80">
        <v>21363</v>
      </c>
      <c r="W597" s="142">
        <f t="shared" si="384"/>
        <v>285</v>
      </c>
      <c r="X597" s="142" t="str">
        <f t="shared" si="367"/>
        <v>{progress_rate,2,242}</v>
      </c>
      <c r="Y597" s="142" t="str">
        <f t="shared" si="368"/>
        <v>{progress,0,2,606}</v>
      </c>
      <c r="Z597" s="142" t="str">
        <f t="shared" si="369"/>
        <v>{progress,0,5103001,15}</v>
      </c>
      <c r="AA597" s="142" t="str">
        <f t="shared" si="370"/>
        <v>{progress,40,5103003,25}</v>
      </c>
      <c r="AB597" s="142" t="str">
        <f t="shared" si="371"/>
        <v>{progress,0,50025,3}</v>
      </c>
      <c r="AC597" s="142" t="str">
        <f t="shared" si="372"/>
        <v>{progress,50,50002,5}</v>
      </c>
      <c r="AD597" s="142" t="str">
        <f t="shared" si="373"/>
        <v>{progress_rate_roll,100,5000,11,1}</v>
      </c>
      <c r="AF597" s="142" t="str">
        <f t="shared" si="374"/>
        <v>{progress,50,5203001,5}</v>
      </c>
      <c r="AG597" s="142" t="str">
        <f t="shared" si="375"/>
        <v>{progress,40,5303001,2}</v>
      </c>
      <c r="AH597" s="142" t="str">
        <f t="shared" si="376"/>
        <v>{progress,0,5401019,1}</v>
      </c>
      <c r="AI597" s="142"/>
      <c r="AJ597" s="142" t="str">
        <f t="shared" si="377"/>
        <v>{progress_rate_roll,100,1000,9,1}</v>
      </c>
      <c r="AN597" s="142" t="str">
        <f t="shared" si="378"/>
        <v>{progress,1,21363,1}</v>
      </c>
      <c r="AO597" s="142" t="str">
        <f t="shared" si="379"/>
        <v>{progress_rate_roll,100,5000,21363,1}</v>
      </c>
      <c r="AP597" s="142" t="str">
        <f t="shared" si="365"/>
        <v>[{progress_rate,2,242},{progress,0,2,606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97" s="142" t="str">
        <f t="shared" si="380"/>
        <v>[{progress_rate,2,242},{progress,0,2,606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97" s="142" t="str">
        <f t="shared" si="366"/>
        <v>[{progress_rate,2,242},{progress,0,2,606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97" s="142" t="str">
        <f t="shared" si="381"/>
        <v>[{progress_rate,2,242},{progress,0,2,606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97" s="142" t="str">
        <f t="shared" si="382"/>
        <v>{progress_rate,2,600},{progress_rate,11,1}</v>
      </c>
      <c r="AV597" s="142" t="str">
        <f t="shared" si="383"/>
        <v>{progress_rate,2,600}</v>
      </c>
      <c r="AW597" s="142" t="s">
        <v>175</v>
      </c>
    </row>
    <row r="598" spans="1:49">
      <c r="A598" s="143" t="str">
        <f t="shared" si="361"/>
        <v>[{2,850},{5103001,40},{14,60},{11,0},{5401000,0},{5203001,0},{5303001,0}]</v>
      </c>
      <c r="B598" s="98">
        <v>286</v>
      </c>
      <c r="C598" s="126">
        <v>244</v>
      </c>
      <c r="D598" s="126">
        <v>606</v>
      </c>
      <c r="E598" s="145">
        <v>15</v>
      </c>
      <c r="F598" s="145">
        <v>25</v>
      </c>
      <c r="G598" s="98">
        <v>3</v>
      </c>
      <c r="H598" s="98">
        <v>5</v>
      </c>
      <c r="I598" s="98">
        <v>0.5</v>
      </c>
      <c r="J598" s="98">
        <v>0</v>
      </c>
      <c r="K598" s="98">
        <v>5</v>
      </c>
      <c r="L598" s="98">
        <v>2</v>
      </c>
      <c r="M598" s="98">
        <v>1</v>
      </c>
      <c r="N598" s="98"/>
      <c r="O598" s="98">
        <v>0.1</v>
      </c>
      <c r="P598" s="98">
        <f t="shared" si="362"/>
        <v>162.5</v>
      </c>
      <c r="Q598" s="147">
        <f t="shared" si="363"/>
        <v>8.125</v>
      </c>
      <c r="R598" s="149">
        <v>600</v>
      </c>
      <c r="S598" s="132">
        <f t="shared" si="364"/>
        <v>122</v>
      </c>
      <c r="T598" s="132">
        <f t="shared" si="385"/>
        <v>303</v>
      </c>
      <c r="V598" s="80">
        <v>21363</v>
      </c>
      <c r="W598" s="142">
        <f t="shared" si="384"/>
        <v>286</v>
      </c>
      <c r="X598" s="142" t="str">
        <f t="shared" si="367"/>
        <v>{progress_rate,2,244}</v>
      </c>
      <c r="Y598" s="142" t="str">
        <f t="shared" si="368"/>
        <v>{progress,0,2,606}</v>
      </c>
      <c r="Z598" s="142" t="str">
        <f t="shared" si="369"/>
        <v>{progress,0,5103001,15}</v>
      </c>
      <c r="AA598" s="142" t="str">
        <f t="shared" si="370"/>
        <v>{progress,40,5103003,25}</v>
      </c>
      <c r="AB598" s="142" t="str">
        <f t="shared" si="371"/>
        <v>{progress,0,50025,3}</v>
      </c>
      <c r="AC598" s="142" t="str">
        <f t="shared" si="372"/>
        <v>{progress,50,50002,5}</v>
      </c>
      <c r="AD598" s="142" t="str">
        <f t="shared" si="373"/>
        <v>{progress_rate_roll,100,5000,11,1}</v>
      </c>
      <c r="AF598" s="142" t="str">
        <f t="shared" si="374"/>
        <v>{progress,50,5203001,5}</v>
      </c>
      <c r="AG598" s="142" t="str">
        <f t="shared" si="375"/>
        <v>{progress,40,5303001,2}</v>
      </c>
      <c r="AH598" s="142" t="str">
        <f t="shared" si="376"/>
        <v>{progress,0,5401019,1}</v>
      </c>
      <c r="AI598" s="142"/>
      <c r="AJ598" s="142" t="str">
        <f t="shared" si="377"/>
        <v>{progress_rate_roll,100,1000,9,1}</v>
      </c>
      <c r="AN598" s="142" t="str">
        <f t="shared" si="378"/>
        <v>{progress,1,21363,1}</v>
      </c>
      <c r="AO598" s="142" t="str">
        <f t="shared" si="379"/>
        <v>{progress_rate_roll,100,5000,21363,1}</v>
      </c>
      <c r="AP598" s="142" t="str">
        <f t="shared" si="365"/>
        <v>[{progress_rate,2,244},{progress,0,2,606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98" s="142" t="str">
        <f t="shared" si="380"/>
        <v>[{progress_rate,2,244},{progress,0,2,606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98" s="142" t="str">
        <f t="shared" si="366"/>
        <v>[{progress_rate,2,244},{progress,0,2,606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98" s="142" t="str">
        <f t="shared" si="381"/>
        <v>[{progress_rate,2,244},{progress,0,2,606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98" s="142" t="str">
        <f t="shared" si="382"/>
        <v>{progress_rate,2,600},{progress_rate,11,1}</v>
      </c>
      <c r="AV598" s="142" t="str">
        <f t="shared" si="383"/>
        <v>{progress_rate,2,600}</v>
      </c>
      <c r="AW598" s="142" t="s">
        <v>175</v>
      </c>
    </row>
    <row r="599" spans="1:49">
      <c r="A599" s="143" t="str">
        <f t="shared" si="361"/>
        <v>[{2,852},{5103001,40},{14,60},{11,0},{5401000,0},{5203001,0},{5303001,0}]</v>
      </c>
      <c r="B599" s="98">
        <v>287</v>
      </c>
      <c r="C599" s="126">
        <v>244</v>
      </c>
      <c r="D599" s="126">
        <v>608</v>
      </c>
      <c r="E599" s="145">
        <v>15</v>
      </c>
      <c r="F599" s="145">
        <v>25</v>
      </c>
      <c r="G599" s="98">
        <v>3</v>
      </c>
      <c r="H599" s="98">
        <v>5</v>
      </c>
      <c r="I599" s="98">
        <v>0.5</v>
      </c>
      <c r="J599" s="98">
        <v>0</v>
      </c>
      <c r="K599" s="98">
        <v>5</v>
      </c>
      <c r="L599" s="98">
        <v>2</v>
      </c>
      <c r="M599" s="98">
        <v>1</v>
      </c>
      <c r="N599" s="98"/>
      <c r="O599" s="98">
        <v>0.1</v>
      </c>
      <c r="P599" s="98">
        <f t="shared" si="362"/>
        <v>162.6</v>
      </c>
      <c r="Q599" s="147">
        <f t="shared" si="363"/>
        <v>8.13</v>
      </c>
      <c r="R599" s="149">
        <v>600</v>
      </c>
      <c r="S599" s="132">
        <f t="shared" si="364"/>
        <v>122</v>
      </c>
      <c r="T599" s="132">
        <f t="shared" si="385"/>
        <v>304</v>
      </c>
      <c r="V599" s="80">
        <v>21363</v>
      </c>
      <c r="W599" s="142">
        <f t="shared" si="384"/>
        <v>287</v>
      </c>
      <c r="X599" s="142" t="str">
        <f t="shared" si="367"/>
        <v>{progress_rate,2,244}</v>
      </c>
      <c r="Y599" s="142" t="str">
        <f t="shared" si="368"/>
        <v>{progress,0,2,608}</v>
      </c>
      <c r="Z599" s="142" t="str">
        <f t="shared" si="369"/>
        <v>{progress,0,5103001,15}</v>
      </c>
      <c r="AA599" s="142" t="str">
        <f t="shared" si="370"/>
        <v>{progress,40,5103003,25}</v>
      </c>
      <c r="AB599" s="142" t="str">
        <f t="shared" si="371"/>
        <v>{progress,0,50025,3}</v>
      </c>
      <c r="AC599" s="142" t="str">
        <f t="shared" si="372"/>
        <v>{progress,50,50002,5}</v>
      </c>
      <c r="AD599" s="142" t="str">
        <f t="shared" si="373"/>
        <v>{progress_rate_roll,100,5000,11,1}</v>
      </c>
      <c r="AF599" s="142" t="str">
        <f t="shared" si="374"/>
        <v>{progress,50,5203001,5}</v>
      </c>
      <c r="AG599" s="142" t="str">
        <f t="shared" si="375"/>
        <v>{progress,40,5303001,2}</v>
      </c>
      <c r="AH599" s="142" t="str">
        <f t="shared" si="376"/>
        <v>{progress,0,5401019,1}</v>
      </c>
      <c r="AI599" s="142"/>
      <c r="AJ599" s="142" t="str">
        <f t="shared" si="377"/>
        <v>{progress_rate_roll,100,1000,9,1}</v>
      </c>
      <c r="AN599" s="142" t="str">
        <f t="shared" si="378"/>
        <v>{progress,1,21363,1}</v>
      </c>
      <c r="AO599" s="142" t="str">
        <f t="shared" si="379"/>
        <v>{progress_rate_roll,100,5000,21363,1}</v>
      </c>
      <c r="AP599" s="142" t="str">
        <f t="shared" si="365"/>
        <v>[{progress_rate,2,244},{progress,0,2,608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99" s="142" t="str">
        <f t="shared" si="380"/>
        <v>[{progress_rate,2,244},{progress,0,2,608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99" s="142" t="str">
        <f t="shared" si="366"/>
        <v>[{progress_rate,2,244},{progress,0,2,608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99" s="142" t="str">
        <f t="shared" si="381"/>
        <v>[{progress_rate,2,244},{progress,0,2,608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99" s="142" t="str">
        <f t="shared" si="382"/>
        <v>{progress_rate,2,600},{progress_rate,11,1}</v>
      </c>
      <c r="AV599" s="142" t="str">
        <f t="shared" si="383"/>
        <v>{progress_rate,2,600}</v>
      </c>
      <c r="AW599" s="142" t="s">
        <v>175</v>
      </c>
    </row>
    <row r="600" spans="1:49">
      <c r="A600" s="143" t="str">
        <f t="shared" si="361"/>
        <v>[{2,854},{5103001,40},{14,60},{11,0},{5401000,0},{5203001,0},{5303001,0}]</v>
      </c>
      <c r="B600" s="98">
        <v>288</v>
      </c>
      <c r="C600" s="126">
        <v>244</v>
      </c>
      <c r="D600" s="126">
        <v>610</v>
      </c>
      <c r="E600" s="145">
        <v>15</v>
      </c>
      <c r="F600" s="145">
        <v>25</v>
      </c>
      <c r="G600" s="98">
        <v>3</v>
      </c>
      <c r="H600" s="98">
        <v>5</v>
      </c>
      <c r="I600" s="98">
        <v>0.5</v>
      </c>
      <c r="J600" s="98">
        <v>0</v>
      </c>
      <c r="K600" s="98">
        <v>5</v>
      </c>
      <c r="L600" s="98">
        <v>2</v>
      </c>
      <c r="M600" s="98">
        <v>1</v>
      </c>
      <c r="N600" s="98"/>
      <c r="O600" s="98">
        <v>0.1</v>
      </c>
      <c r="P600" s="98">
        <f t="shared" si="362"/>
        <v>162.7</v>
      </c>
      <c r="Q600" s="147">
        <f t="shared" si="363"/>
        <v>8.135</v>
      </c>
      <c r="R600" s="149">
        <v>600</v>
      </c>
      <c r="S600" s="132">
        <f t="shared" si="364"/>
        <v>122</v>
      </c>
      <c r="T600" s="132">
        <f t="shared" si="385"/>
        <v>305</v>
      </c>
      <c r="V600" s="80">
        <v>21363</v>
      </c>
      <c r="W600" s="142">
        <f t="shared" si="384"/>
        <v>288</v>
      </c>
      <c r="X600" s="142" t="str">
        <f t="shared" si="367"/>
        <v>{progress_rate,2,244}</v>
      </c>
      <c r="Y600" s="142" t="str">
        <f t="shared" si="368"/>
        <v>{progress,0,2,610}</v>
      </c>
      <c r="Z600" s="142" t="str">
        <f t="shared" si="369"/>
        <v>{progress,0,5103001,15}</v>
      </c>
      <c r="AA600" s="142" t="str">
        <f t="shared" si="370"/>
        <v>{progress,40,5103003,25}</v>
      </c>
      <c r="AB600" s="142" t="str">
        <f t="shared" si="371"/>
        <v>{progress,0,50025,3}</v>
      </c>
      <c r="AC600" s="142" t="str">
        <f t="shared" si="372"/>
        <v>{progress,50,50002,5}</v>
      </c>
      <c r="AD600" s="142" t="str">
        <f t="shared" si="373"/>
        <v>{progress_rate_roll,100,5000,11,1}</v>
      </c>
      <c r="AF600" s="142" t="str">
        <f t="shared" si="374"/>
        <v>{progress,50,5203001,5}</v>
      </c>
      <c r="AG600" s="142" t="str">
        <f t="shared" si="375"/>
        <v>{progress,40,5303001,2}</v>
      </c>
      <c r="AH600" s="142" t="str">
        <f t="shared" si="376"/>
        <v>{progress,0,5401019,1}</v>
      </c>
      <c r="AI600" s="142"/>
      <c r="AJ600" s="142" t="str">
        <f t="shared" si="377"/>
        <v>{progress_rate_roll,100,1000,9,1}</v>
      </c>
      <c r="AN600" s="142" t="str">
        <f t="shared" si="378"/>
        <v>{progress,1,21363,1}</v>
      </c>
      <c r="AO600" s="142" t="str">
        <f t="shared" si="379"/>
        <v>{progress_rate_roll,100,5000,21363,1}</v>
      </c>
      <c r="AP600" s="142" t="str">
        <f t="shared" si="365"/>
        <v>[{progress_rate,2,244},{progress,0,2,610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00" s="142" t="str">
        <f t="shared" si="380"/>
        <v>[{progress_rate,2,244},{progress,0,2,610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00" s="142" t="str">
        <f t="shared" si="366"/>
        <v>[{progress_rate,2,244},{progress,0,2,610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00" s="142" t="str">
        <f t="shared" si="381"/>
        <v>[{progress_rate,2,244},{progress,0,2,610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00" s="142" t="str">
        <f t="shared" si="382"/>
        <v>{progress_rate,2,600},{progress_rate,11,1}</v>
      </c>
      <c r="AV600" s="142" t="str">
        <f t="shared" si="383"/>
        <v>{progress_rate,2,600}</v>
      </c>
      <c r="AW600" s="142" t="s">
        <v>175</v>
      </c>
    </row>
    <row r="601" spans="1:49">
      <c r="A601" s="143" t="str">
        <f t="shared" si="361"/>
        <v>[{2,856},{5103001,40},{14,60},{11,0},{5401000,0},{5203001,0},{5303001,0}]</v>
      </c>
      <c r="B601" s="98">
        <v>289</v>
      </c>
      <c r="C601" s="126">
        <v>244</v>
      </c>
      <c r="D601" s="126">
        <v>612</v>
      </c>
      <c r="E601" s="145">
        <v>15</v>
      </c>
      <c r="F601" s="145">
        <v>25</v>
      </c>
      <c r="G601" s="98">
        <v>3</v>
      </c>
      <c r="H601" s="98">
        <v>5</v>
      </c>
      <c r="I601" s="98">
        <v>0.5</v>
      </c>
      <c r="J601" s="98">
        <v>0</v>
      </c>
      <c r="K601" s="98">
        <v>5</v>
      </c>
      <c r="L601" s="98">
        <v>2</v>
      </c>
      <c r="M601" s="98">
        <v>1</v>
      </c>
      <c r="N601" s="98"/>
      <c r="O601" s="98">
        <v>0.1</v>
      </c>
      <c r="P601" s="98">
        <f t="shared" si="362"/>
        <v>162.8</v>
      </c>
      <c r="Q601" s="147">
        <f t="shared" si="363"/>
        <v>8.14</v>
      </c>
      <c r="R601" s="149">
        <v>600</v>
      </c>
      <c r="S601" s="132">
        <f t="shared" si="364"/>
        <v>122</v>
      </c>
      <c r="T601" s="132">
        <f t="shared" si="385"/>
        <v>306</v>
      </c>
      <c r="V601" s="80">
        <v>21363</v>
      </c>
      <c r="W601" s="142">
        <f t="shared" si="384"/>
        <v>289</v>
      </c>
      <c r="X601" s="142" t="str">
        <f t="shared" si="367"/>
        <v>{progress_rate,2,244}</v>
      </c>
      <c r="Y601" s="142" t="str">
        <f t="shared" si="368"/>
        <v>{progress,0,2,612}</v>
      </c>
      <c r="Z601" s="142" t="str">
        <f t="shared" si="369"/>
        <v>{progress,0,5103001,15}</v>
      </c>
      <c r="AA601" s="142" t="str">
        <f t="shared" si="370"/>
        <v>{progress,40,5103003,25}</v>
      </c>
      <c r="AB601" s="142" t="str">
        <f t="shared" si="371"/>
        <v>{progress,0,50025,3}</v>
      </c>
      <c r="AC601" s="142" t="str">
        <f t="shared" si="372"/>
        <v>{progress,50,50002,5}</v>
      </c>
      <c r="AD601" s="142" t="str">
        <f t="shared" si="373"/>
        <v>{progress_rate_roll,100,5000,11,1}</v>
      </c>
      <c r="AF601" s="142" t="str">
        <f t="shared" si="374"/>
        <v>{progress,50,5203001,5}</v>
      </c>
      <c r="AG601" s="142" t="str">
        <f t="shared" si="375"/>
        <v>{progress,40,5303001,2}</v>
      </c>
      <c r="AH601" s="142" t="str">
        <f t="shared" si="376"/>
        <v>{progress,0,5401019,1}</v>
      </c>
      <c r="AI601" s="142"/>
      <c r="AJ601" s="142" t="str">
        <f t="shared" si="377"/>
        <v>{progress_rate_roll,100,1000,9,1}</v>
      </c>
      <c r="AN601" s="142" t="str">
        <f t="shared" si="378"/>
        <v>{progress,1,21363,1}</v>
      </c>
      <c r="AO601" s="142" t="str">
        <f t="shared" si="379"/>
        <v>{progress_rate_roll,100,5000,21363,1}</v>
      </c>
      <c r="AP601" s="142" t="str">
        <f t="shared" si="365"/>
        <v>[{progress_rate,2,244},{progress,0,2,612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01" s="142" t="str">
        <f t="shared" si="380"/>
        <v>[{progress_rate,2,244},{progress,0,2,612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01" s="142" t="str">
        <f t="shared" si="366"/>
        <v>[{progress_rate,2,244},{progress,0,2,612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01" s="142" t="str">
        <f t="shared" si="381"/>
        <v>[{progress_rate,2,244},{progress,0,2,612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01" s="142" t="str">
        <f t="shared" si="382"/>
        <v>{progress_rate,2,600},{progress_rate,11,1}</v>
      </c>
      <c r="AV601" s="142" t="str">
        <f t="shared" si="383"/>
        <v>{progress_rate,2,600}</v>
      </c>
      <c r="AW601" s="142" t="s">
        <v>175</v>
      </c>
    </row>
    <row r="602" spans="1:49">
      <c r="A602" s="143" t="str">
        <f t="shared" si="361"/>
        <v>[{2,858},{5103001,40},{14,60},{11,0},{5401000,0},{5203001,0},{5303001,0}]</v>
      </c>
      <c r="B602" s="98">
        <v>290</v>
      </c>
      <c r="C602" s="126">
        <v>246</v>
      </c>
      <c r="D602" s="126">
        <v>612</v>
      </c>
      <c r="E602" s="145">
        <v>15</v>
      </c>
      <c r="F602" s="145">
        <v>25</v>
      </c>
      <c r="G602" s="98">
        <v>3</v>
      </c>
      <c r="H602" s="98">
        <v>5</v>
      </c>
      <c r="I602" s="98">
        <v>0.5</v>
      </c>
      <c r="J602" s="98">
        <v>0</v>
      </c>
      <c r="K602" s="98">
        <v>5</v>
      </c>
      <c r="L602" s="98">
        <v>2</v>
      </c>
      <c r="M602" s="98">
        <v>1</v>
      </c>
      <c r="N602" s="98"/>
      <c r="O602" s="98">
        <v>0.1</v>
      </c>
      <c r="P602" s="98">
        <f t="shared" si="362"/>
        <v>162.9</v>
      </c>
      <c r="Q602" s="147">
        <f t="shared" si="363"/>
        <v>8.145</v>
      </c>
      <c r="R602" s="149">
        <v>600</v>
      </c>
      <c r="S602" s="132">
        <f t="shared" si="364"/>
        <v>123</v>
      </c>
      <c r="T602" s="132">
        <f t="shared" si="385"/>
        <v>306</v>
      </c>
      <c r="V602" s="80">
        <v>21363</v>
      </c>
      <c r="W602" s="142">
        <f t="shared" si="384"/>
        <v>290</v>
      </c>
      <c r="X602" s="142" t="str">
        <f t="shared" si="367"/>
        <v>{progress_rate,2,246}</v>
      </c>
      <c r="Y602" s="142" t="str">
        <f t="shared" si="368"/>
        <v>{progress,0,2,612}</v>
      </c>
      <c r="Z602" s="142" t="str">
        <f t="shared" si="369"/>
        <v>{progress,0,5103001,15}</v>
      </c>
      <c r="AA602" s="142" t="str">
        <f t="shared" si="370"/>
        <v>{progress,40,5103003,25}</v>
      </c>
      <c r="AB602" s="142" t="str">
        <f t="shared" si="371"/>
        <v>{progress,0,50025,3}</v>
      </c>
      <c r="AC602" s="142" t="str">
        <f t="shared" si="372"/>
        <v>{progress,50,50002,5}</v>
      </c>
      <c r="AD602" s="142" t="str">
        <f t="shared" si="373"/>
        <v>{progress_rate_roll,100,5000,11,1}</v>
      </c>
      <c r="AF602" s="142" t="str">
        <f t="shared" si="374"/>
        <v>{progress,50,5203001,5}</v>
      </c>
      <c r="AG602" s="142" t="str">
        <f t="shared" si="375"/>
        <v>{progress,40,5303001,2}</v>
      </c>
      <c r="AH602" s="142" t="str">
        <f t="shared" si="376"/>
        <v>{progress,0,5401019,1}</v>
      </c>
      <c r="AI602" s="142"/>
      <c r="AJ602" s="142" t="str">
        <f t="shared" si="377"/>
        <v>{progress_rate_roll,100,1000,9,1}</v>
      </c>
      <c r="AN602" s="142" t="str">
        <f t="shared" si="378"/>
        <v>{progress,1,21363,1}</v>
      </c>
      <c r="AO602" s="142" t="str">
        <f t="shared" si="379"/>
        <v>{progress_rate_roll,100,5000,21363,1}</v>
      </c>
      <c r="AP602" s="142" t="str">
        <f t="shared" si="365"/>
        <v>[{progress_rate,2,246},{progress,0,2,612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02" s="142" t="str">
        <f t="shared" si="380"/>
        <v>[{progress_rate,2,246},{progress,0,2,612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02" s="142" t="str">
        <f t="shared" si="366"/>
        <v>[{progress_rate,2,246},{progress,0,2,612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02" s="142" t="str">
        <f t="shared" si="381"/>
        <v>[{progress_rate,2,246},{progress,0,2,612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02" s="142" t="str">
        <f t="shared" si="382"/>
        <v>{progress_rate,2,600},{progress_rate,11,1}</v>
      </c>
      <c r="AV602" s="142" t="str">
        <f t="shared" si="383"/>
        <v>{progress_rate,2,600}</v>
      </c>
      <c r="AW602" s="142" t="s">
        <v>175</v>
      </c>
    </row>
    <row r="603" spans="1:49">
      <c r="A603" s="143" t="str">
        <f t="shared" si="361"/>
        <v>[{2,860},{5103001,40},{14,60},{11,0},{5401000,0},{5203001,0},{5303001,0}]</v>
      </c>
      <c r="B603" s="98">
        <v>291</v>
      </c>
      <c r="C603" s="126">
        <v>246</v>
      </c>
      <c r="D603" s="126">
        <v>614</v>
      </c>
      <c r="E603" s="145">
        <v>15</v>
      </c>
      <c r="F603" s="145">
        <v>25</v>
      </c>
      <c r="G603" s="98">
        <v>3</v>
      </c>
      <c r="H603" s="98">
        <v>5</v>
      </c>
      <c r="I603" s="98">
        <v>0.5</v>
      </c>
      <c r="J603" s="98">
        <v>0</v>
      </c>
      <c r="K603" s="98">
        <v>5</v>
      </c>
      <c r="L603" s="98">
        <v>2</v>
      </c>
      <c r="M603" s="98">
        <v>1</v>
      </c>
      <c r="N603" s="98"/>
      <c r="O603" s="98">
        <v>0.1</v>
      </c>
      <c r="P603" s="98">
        <f t="shared" si="362"/>
        <v>163</v>
      </c>
      <c r="Q603" s="147">
        <f t="shared" si="363"/>
        <v>8.15</v>
      </c>
      <c r="R603" s="149">
        <v>600</v>
      </c>
      <c r="S603" s="132">
        <f t="shared" si="364"/>
        <v>123</v>
      </c>
      <c r="T603" s="132">
        <f t="shared" si="385"/>
        <v>307</v>
      </c>
      <c r="V603" s="80">
        <v>21363</v>
      </c>
      <c r="W603" s="142">
        <f t="shared" si="384"/>
        <v>291</v>
      </c>
      <c r="X603" s="142" t="str">
        <f t="shared" si="367"/>
        <v>{progress_rate,2,246}</v>
      </c>
      <c r="Y603" s="142" t="str">
        <f t="shared" si="368"/>
        <v>{progress,0,2,614}</v>
      </c>
      <c r="Z603" s="142" t="str">
        <f t="shared" si="369"/>
        <v>{progress,0,5103001,15}</v>
      </c>
      <c r="AA603" s="142" t="str">
        <f t="shared" si="370"/>
        <v>{progress,40,5103003,25}</v>
      </c>
      <c r="AB603" s="142" t="str">
        <f t="shared" si="371"/>
        <v>{progress,0,50025,3}</v>
      </c>
      <c r="AC603" s="142" t="str">
        <f t="shared" si="372"/>
        <v>{progress,50,50002,5}</v>
      </c>
      <c r="AD603" s="142" t="str">
        <f t="shared" si="373"/>
        <v>{progress_rate_roll,100,5000,11,1}</v>
      </c>
      <c r="AF603" s="142" t="str">
        <f t="shared" si="374"/>
        <v>{progress,50,5203001,5}</v>
      </c>
      <c r="AG603" s="142" t="str">
        <f t="shared" si="375"/>
        <v>{progress,40,5303001,2}</v>
      </c>
      <c r="AH603" s="142" t="str">
        <f t="shared" si="376"/>
        <v>{progress,0,5401019,1}</v>
      </c>
      <c r="AI603" s="142"/>
      <c r="AJ603" s="142" t="str">
        <f t="shared" si="377"/>
        <v>{progress_rate_roll,100,1000,9,1}</v>
      </c>
      <c r="AN603" s="142" t="str">
        <f t="shared" si="378"/>
        <v>{progress,1,21363,1}</v>
      </c>
      <c r="AO603" s="142" t="str">
        <f t="shared" si="379"/>
        <v>{progress_rate_roll,100,5000,21363,1}</v>
      </c>
      <c r="AP603" s="142" t="str">
        <f t="shared" si="365"/>
        <v>[{progress_rate,2,246},{progress,0,2,614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03" s="142" t="str">
        <f t="shared" si="380"/>
        <v>[{progress_rate,2,246},{progress,0,2,614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03" s="142" t="str">
        <f t="shared" si="366"/>
        <v>[{progress_rate,2,246},{progress,0,2,614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03" s="142" t="str">
        <f t="shared" si="381"/>
        <v>[{progress_rate,2,246},{progress,0,2,614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03" s="142" t="str">
        <f t="shared" si="382"/>
        <v>{progress_rate,2,600},{progress_rate,11,1}</v>
      </c>
      <c r="AV603" s="142" t="str">
        <f t="shared" si="383"/>
        <v>{progress_rate,2,600}</v>
      </c>
      <c r="AW603" s="142" t="s">
        <v>175</v>
      </c>
    </row>
    <row r="604" spans="1:49">
      <c r="A604" s="143" t="str">
        <f t="shared" si="361"/>
        <v>[{2,862},{5103001,40},{14,60},{11,0},{5401000,0},{5203001,0},{5303001,0}]</v>
      </c>
      <c r="B604" s="98">
        <v>292</v>
      </c>
      <c r="C604" s="126">
        <v>246</v>
      </c>
      <c r="D604" s="126">
        <v>616</v>
      </c>
      <c r="E604" s="145">
        <v>15</v>
      </c>
      <c r="F604" s="145">
        <v>25</v>
      </c>
      <c r="G604" s="98">
        <v>3</v>
      </c>
      <c r="H604" s="98">
        <v>5</v>
      </c>
      <c r="I604" s="98">
        <v>0.5</v>
      </c>
      <c r="J604" s="98">
        <v>0</v>
      </c>
      <c r="K604" s="98">
        <v>5</v>
      </c>
      <c r="L604" s="98">
        <v>2</v>
      </c>
      <c r="M604" s="98">
        <v>1</v>
      </c>
      <c r="N604" s="98"/>
      <c r="O604" s="98">
        <v>0.1</v>
      </c>
      <c r="P604" s="98">
        <f t="shared" si="362"/>
        <v>163.1</v>
      </c>
      <c r="Q604" s="147">
        <f t="shared" si="363"/>
        <v>8.155</v>
      </c>
      <c r="R604" s="149">
        <v>600</v>
      </c>
      <c r="S604" s="132">
        <f t="shared" si="364"/>
        <v>123</v>
      </c>
      <c r="T604" s="132">
        <f t="shared" si="385"/>
        <v>308</v>
      </c>
      <c r="V604" s="80">
        <v>21363</v>
      </c>
      <c r="W604" s="142">
        <f t="shared" si="384"/>
        <v>292</v>
      </c>
      <c r="X604" s="142" t="str">
        <f t="shared" si="367"/>
        <v>{progress_rate,2,246}</v>
      </c>
      <c r="Y604" s="142" t="str">
        <f t="shared" si="368"/>
        <v>{progress,0,2,616}</v>
      </c>
      <c r="Z604" s="142" t="str">
        <f t="shared" si="369"/>
        <v>{progress,0,5103001,15}</v>
      </c>
      <c r="AA604" s="142" t="str">
        <f t="shared" si="370"/>
        <v>{progress,40,5103003,25}</v>
      </c>
      <c r="AB604" s="142" t="str">
        <f t="shared" si="371"/>
        <v>{progress,0,50025,3}</v>
      </c>
      <c r="AC604" s="142" t="str">
        <f t="shared" si="372"/>
        <v>{progress,50,50002,5}</v>
      </c>
      <c r="AD604" s="142" t="str">
        <f t="shared" si="373"/>
        <v>{progress_rate_roll,100,5000,11,1}</v>
      </c>
      <c r="AF604" s="142" t="str">
        <f t="shared" si="374"/>
        <v>{progress,50,5203001,5}</v>
      </c>
      <c r="AG604" s="142" t="str">
        <f t="shared" si="375"/>
        <v>{progress,40,5303001,2}</v>
      </c>
      <c r="AH604" s="142" t="str">
        <f t="shared" si="376"/>
        <v>{progress,0,5401019,1}</v>
      </c>
      <c r="AI604" s="142"/>
      <c r="AJ604" s="142" t="str">
        <f t="shared" si="377"/>
        <v>{progress_rate_roll,100,1000,9,1}</v>
      </c>
      <c r="AN604" s="142" t="str">
        <f t="shared" si="378"/>
        <v>{progress,1,21363,1}</v>
      </c>
      <c r="AO604" s="142" t="str">
        <f t="shared" si="379"/>
        <v>{progress_rate_roll,100,5000,21363,1}</v>
      </c>
      <c r="AP604" s="142" t="str">
        <f t="shared" si="365"/>
        <v>[{progress_rate,2,246},{progress,0,2,616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04" s="142" t="str">
        <f t="shared" si="380"/>
        <v>[{progress_rate,2,246},{progress,0,2,616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04" s="142" t="str">
        <f t="shared" si="366"/>
        <v>[{progress_rate,2,246},{progress,0,2,616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04" s="142" t="str">
        <f t="shared" si="381"/>
        <v>[{progress_rate,2,246},{progress,0,2,616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04" s="142" t="str">
        <f t="shared" si="382"/>
        <v>{progress_rate,2,600},{progress_rate,11,1}</v>
      </c>
      <c r="AV604" s="142" t="str">
        <f t="shared" si="383"/>
        <v>{progress_rate,2,600}</v>
      </c>
      <c r="AW604" s="142" t="s">
        <v>175</v>
      </c>
    </row>
    <row r="605" spans="1:49">
      <c r="A605" s="143" t="str">
        <f t="shared" si="361"/>
        <v>[{2,864},{5103001,40},{14,60},{11,0},{5401000,0},{5203001,0},{5303001,0}]</v>
      </c>
      <c r="B605" s="98">
        <v>293</v>
      </c>
      <c r="C605" s="126">
        <v>248</v>
      </c>
      <c r="D605" s="126">
        <v>616</v>
      </c>
      <c r="E605" s="145">
        <v>15</v>
      </c>
      <c r="F605" s="145">
        <v>25</v>
      </c>
      <c r="G605" s="98">
        <v>3</v>
      </c>
      <c r="H605" s="98">
        <v>5</v>
      </c>
      <c r="I605" s="98">
        <v>0.5</v>
      </c>
      <c r="J605" s="98">
        <v>0</v>
      </c>
      <c r="K605" s="98">
        <v>5</v>
      </c>
      <c r="L605" s="98">
        <v>2</v>
      </c>
      <c r="M605" s="98">
        <v>1</v>
      </c>
      <c r="N605" s="98"/>
      <c r="O605" s="98">
        <v>0.1</v>
      </c>
      <c r="P605" s="98">
        <f t="shared" si="362"/>
        <v>163.2</v>
      </c>
      <c r="Q605" s="147">
        <f t="shared" si="363"/>
        <v>8.16</v>
      </c>
      <c r="R605" s="149">
        <v>600</v>
      </c>
      <c r="S605" s="132">
        <f t="shared" si="364"/>
        <v>124</v>
      </c>
      <c r="T605" s="132">
        <f t="shared" si="385"/>
        <v>308</v>
      </c>
      <c r="V605" s="80">
        <v>21363</v>
      </c>
      <c r="W605" s="142">
        <f t="shared" si="384"/>
        <v>293</v>
      </c>
      <c r="X605" s="142" t="str">
        <f t="shared" si="367"/>
        <v>{progress_rate,2,248}</v>
      </c>
      <c r="Y605" s="142" t="str">
        <f t="shared" si="368"/>
        <v>{progress,0,2,616}</v>
      </c>
      <c r="Z605" s="142" t="str">
        <f t="shared" si="369"/>
        <v>{progress,0,5103001,15}</v>
      </c>
      <c r="AA605" s="142" t="str">
        <f t="shared" si="370"/>
        <v>{progress,40,5103003,25}</v>
      </c>
      <c r="AB605" s="142" t="str">
        <f t="shared" si="371"/>
        <v>{progress,0,50025,3}</v>
      </c>
      <c r="AC605" s="142" t="str">
        <f t="shared" si="372"/>
        <v>{progress,50,50002,5}</v>
      </c>
      <c r="AD605" s="142" t="str">
        <f t="shared" si="373"/>
        <v>{progress_rate_roll,100,5000,11,1}</v>
      </c>
      <c r="AF605" s="142" t="str">
        <f t="shared" si="374"/>
        <v>{progress,50,5203001,5}</v>
      </c>
      <c r="AG605" s="142" t="str">
        <f t="shared" si="375"/>
        <v>{progress,40,5303001,2}</v>
      </c>
      <c r="AH605" s="142" t="str">
        <f t="shared" si="376"/>
        <v>{progress,0,5401019,1}</v>
      </c>
      <c r="AI605" s="142"/>
      <c r="AJ605" s="142" t="str">
        <f t="shared" si="377"/>
        <v>{progress_rate_roll,100,1000,9,1}</v>
      </c>
      <c r="AN605" s="142" t="str">
        <f t="shared" si="378"/>
        <v>{progress,1,21363,1}</v>
      </c>
      <c r="AO605" s="142" t="str">
        <f t="shared" si="379"/>
        <v>{progress_rate_roll,100,5000,21363,1}</v>
      </c>
      <c r="AP605" s="142" t="str">
        <f t="shared" si="365"/>
        <v>[{progress_rate,2,248},{progress,0,2,616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05" s="142" t="str">
        <f t="shared" si="380"/>
        <v>[{progress_rate,2,248},{progress,0,2,616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05" s="142" t="str">
        <f t="shared" si="366"/>
        <v>[{progress_rate,2,248},{progress,0,2,616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05" s="142" t="str">
        <f t="shared" si="381"/>
        <v>[{progress_rate,2,248},{progress,0,2,616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05" s="142" t="str">
        <f t="shared" si="382"/>
        <v>{progress_rate,2,600},{progress_rate,11,1}</v>
      </c>
      <c r="AV605" s="142" t="str">
        <f t="shared" si="383"/>
        <v>{progress_rate,2,600}</v>
      </c>
      <c r="AW605" s="142" t="s">
        <v>175</v>
      </c>
    </row>
    <row r="606" spans="1:49">
      <c r="A606" s="143" t="str">
        <f t="shared" si="361"/>
        <v>[{2,866},{5103001,40},{14,60},{11,0},{5401000,0},{5203001,0},{5303001,0}]</v>
      </c>
      <c r="B606" s="98">
        <v>294</v>
      </c>
      <c r="C606" s="126">
        <v>248</v>
      </c>
      <c r="D606" s="126">
        <v>618</v>
      </c>
      <c r="E606" s="145">
        <v>15</v>
      </c>
      <c r="F606" s="145">
        <v>25</v>
      </c>
      <c r="G606" s="98">
        <v>3</v>
      </c>
      <c r="H606" s="98">
        <v>5</v>
      </c>
      <c r="I606" s="98">
        <v>0.5</v>
      </c>
      <c r="J606" s="98">
        <v>0</v>
      </c>
      <c r="K606" s="98">
        <v>5</v>
      </c>
      <c r="L606" s="98">
        <v>2</v>
      </c>
      <c r="M606" s="98">
        <v>1</v>
      </c>
      <c r="N606" s="98"/>
      <c r="O606" s="98">
        <v>0.1</v>
      </c>
      <c r="P606" s="98">
        <f t="shared" si="362"/>
        <v>163.3</v>
      </c>
      <c r="Q606" s="147">
        <f t="shared" si="363"/>
        <v>8.165</v>
      </c>
      <c r="R606" s="149">
        <v>600</v>
      </c>
      <c r="S606" s="132">
        <f t="shared" si="364"/>
        <v>124</v>
      </c>
      <c r="T606" s="132">
        <f t="shared" si="385"/>
        <v>309</v>
      </c>
      <c r="V606" s="80">
        <v>21363</v>
      </c>
      <c r="W606" s="142">
        <f t="shared" si="384"/>
        <v>294</v>
      </c>
      <c r="X606" s="142" t="str">
        <f t="shared" si="367"/>
        <v>{progress_rate,2,248}</v>
      </c>
      <c r="Y606" s="142" t="str">
        <f t="shared" si="368"/>
        <v>{progress,0,2,618}</v>
      </c>
      <c r="Z606" s="142" t="str">
        <f t="shared" si="369"/>
        <v>{progress,0,5103001,15}</v>
      </c>
      <c r="AA606" s="142" t="str">
        <f t="shared" si="370"/>
        <v>{progress,40,5103003,25}</v>
      </c>
      <c r="AB606" s="142" t="str">
        <f t="shared" si="371"/>
        <v>{progress,0,50025,3}</v>
      </c>
      <c r="AC606" s="142" t="str">
        <f t="shared" si="372"/>
        <v>{progress,50,50002,5}</v>
      </c>
      <c r="AD606" s="142" t="str">
        <f t="shared" si="373"/>
        <v>{progress_rate_roll,100,5000,11,1}</v>
      </c>
      <c r="AF606" s="142" t="str">
        <f t="shared" si="374"/>
        <v>{progress,50,5203001,5}</v>
      </c>
      <c r="AG606" s="142" t="str">
        <f t="shared" si="375"/>
        <v>{progress,40,5303001,2}</v>
      </c>
      <c r="AH606" s="142" t="str">
        <f t="shared" si="376"/>
        <v>{progress,0,5401019,1}</v>
      </c>
      <c r="AI606" s="142"/>
      <c r="AJ606" s="142" t="str">
        <f t="shared" si="377"/>
        <v>{progress_rate_roll,100,1000,9,1}</v>
      </c>
      <c r="AN606" s="142" t="str">
        <f t="shared" si="378"/>
        <v>{progress,1,21363,1}</v>
      </c>
      <c r="AO606" s="142" t="str">
        <f t="shared" si="379"/>
        <v>{progress_rate_roll,100,5000,21363,1}</v>
      </c>
      <c r="AP606" s="142" t="str">
        <f t="shared" si="365"/>
        <v>[{progress_rate,2,248},{progress,0,2,618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06" s="142" t="str">
        <f t="shared" si="380"/>
        <v>[{progress_rate,2,248},{progress,0,2,618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06" s="142" t="str">
        <f t="shared" si="366"/>
        <v>[{progress_rate,2,248},{progress,0,2,618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06" s="142" t="str">
        <f t="shared" si="381"/>
        <v>[{progress_rate,2,248},{progress,0,2,618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06" s="142" t="str">
        <f t="shared" si="382"/>
        <v>{progress_rate,2,600},{progress_rate,11,1}</v>
      </c>
      <c r="AV606" s="142" t="str">
        <f t="shared" si="383"/>
        <v>{progress_rate,2,600}</v>
      </c>
      <c r="AW606" s="142" t="s">
        <v>175</v>
      </c>
    </row>
    <row r="607" spans="1:49">
      <c r="A607" s="143" t="str">
        <f t="shared" si="361"/>
        <v>[{2,868},{5103001,40},{14,60},{11,0},{5401000,0},{5203001,0},{5303001,0}]</v>
      </c>
      <c r="B607" s="98">
        <v>295</v>
      </c>
      <c r="C607" s="126">
        <v>248</v>
      </c>
      <c r="D607" s="126">
        <v>620</v>
      </c>
      <c r="E607" s="145">
        <v>15</v>
      </c>
      <c r="F607" s="145">
        <v>25</v>
      </c>
      <c r="G607" s="98">
        <v>3</v>
      </c>
      <c r="H607" s="98">
        <v>5</v>
      </c>
      <c r="I607" s="98">
        <v>0.5</v>
      </c>
      <c r="J607" s="98">
        <v>0</v>
      </c>
      <c r="K607" s="98">
        <v>5</v>
      </c>
      <c r="L607" s="98">
        <v>2</v>
      </c>
      <c r="M607" s="98">
        <v>1</v>
      </c>
      <c r="N607" s="98"/>
      <c r="O607" s="98">
        <v>0.1</v>
      </c>
      <c r="P607" s="98">
        <f t="shared" si="362"/>
        <v>163.4</v>
      </c>
      <c r="Q607" s="147">
        <f t="shared" si="363"/>
        <v>8.17</v>
      </c>
      <c r="R607" s="149">
        <v>600</v>
      </c>
      <c r="S607" s="132">
        <f t="shared" si="364"/>
        <v>124</v>
      </c>
      <c r="T607" s="132">
        <f t="shared" si="385"/>
        <v>310</v>
      </c>
      <c r="V607" s="80">
        <v>21363</v>
      </c>
      <c r="W607" s="142">
        <f t="shared" si="384"/>
        <v>295</v>
      </c>
      <c r="X607" s="142" t="str">
        <f t="shared" si="367"/>
        <v>{progress_rate,2,248}</v>
      </c>
      <c r="Y607" s="142" t="str">
        <f t="shared" si="368"/>
        <v>{progress,0,2,620}</v>
      </c>
      <c r="Z607" s="142" t="str">
        <f t="shared" si="369"/>
        <v>{progress,0,5103001,15}</v>
      </c>
      <c r="AA607" s="142" t="str">
        <f t="shared" si="370"/>
        <v>{progress,40,5103003,25}</v>
      </c>
      <c r="AB607" s="142" t="str">
        <f t="shared" si="371"/>
        <v>{progress,0,50025,3}</v>
      </c>
      <c r="AC607" s="142" t="str">
        <f t="shared" si="372"/>
        <v>{progress,50,50002,5}</v>
      </c>
      <c r="AD607" s="142" t="str">
        <f t="shared" si="373"/>
        <v>{progress_rate_roll,100,5000,11,1}</v>
      </c>
      <c r="AF607" s="142" t="str">
        <f t="shared" si="374"/>
        <v>{progress,50,5203001,5}</v>
      </c>
      <c r="AG607" s="142" t="str">
        <f t="shared" si="375"/>
        <v>{progress,40,5303001,2}</v>
      </c>
      <c r="AH607" s="142" t="str">
        <f t="shared" si="376"/>
        <v>{progress,0,5401019,1}</v>
      </c>
      <c r="AI607" s="142"/>
      <c r="AJ607" s="142" t="str">
        <f t="shared" si="377"/>
        <v>{progress_rate_roll,100,1000,9,1}</v>
      </c>
      <c r="AN607" s="142" t="str">
        <f t="shared" si="378"/>
        <v>{progress,1,21363,1}</v>
      </c>
      <c r="AO607" s="142" t="str">
        <f t="shared" si="379"/>
        <v>{progress_rate_roll,100,5000,21363,1}</v>
      </c>
      <c r="AP607" s="142" t="str">
        <f t="shared" si="365"/>
        <v>[{progress_rate,2,248},{progress,0,2,620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07" s="142" t="str">
        <f t="shared" si="380"/>
        <v>[{progress_rate,2,248},{progress,0,2,620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07" s="142" t="str">
        <f t="shared" si="366"/>
        <v>[{progress_rate,2,248},{progress,0,2,620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07" s="142" t="str">
        <f t="shared" si="381"/>
        <v>[{progress_rate,2,248},{progress,0,2,620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07" s="142" t="str">
        <f t="shared" si="382"/>
        <v>{progress_rate,2,600},{progress_rate,11,1}</v>
      </c>
      <c r="AV607" s="142" t="str">
        <f t="shared" si="383"/>
        <v>{progress_rate,2,600}</v>
      </c>
      <c r="AW607" s="142" t="s">
        <v>175</v>
      </c>
    </row>
    <row r="608" spans="1:49">
      <c r="A608" s="143" t="str">
        <f t="shared" si="361"/>
        <v>[{2,870},{5103001,40},{14,60},{11,0},{5401000,0},{5203001,0},{5303001,0}]</v>
      </c>
      <c r="B608" s="98">
        <v>296</v>
      </c>
      <c r="C608" s="126">
        <v>248</v>
      </c>
      <c r="D608" s="126">
        <v>622</v>
      </c>
      <c r="E608" s="145">
        <v>15</v>
      </c>
      <c r="F608" s="145">
        <v>25</v>
      </c>
      <c r="G608" s="98">
        <v>3</v>
      </c>
      <c r="H608" s="98">
        <v>5</v>
      </c>
      <c r="I608" s="98">
        <v>0.5</v>
      </c>
      <c r="J608" s="98">
        <v>0</v>
      </c>
      <c r="K608" s="98">
        <v>5</v>
      </c>
      <c r="L608" s="98">
        <v>2</v>
      </c>
      <c r="M608" s="98">
        <v>1</v>
      </c>
      <c r="N608" s="98"/>
      <c r="O608" s="98">
        <v>0.1</v>
      </c>
      <c r="P608" s="98">
        <f t="shared" si="362"/>
        <v>163.5</v>
      </c>
      <c r="Q608" s="147">
        <f t="shared" si="363"/>
        <v>8.175</v>
      </c>
      <c r="R608" s="149">
        <v>600</v>
      </c>
      <c r="S608" s="132">
        <f t="shared" si="364"/>
        <v>124</v>
      </c>
      <c r="T608" s="132">
        <f t="shared" si="385"/>
        <v>311</v>
      </c>
      <c r="V608" s="80">
        <v>21363</v>
      </c>
      <c r="W608" s="142">
        <f t="shared" si="384"/>
        <v>296</v>
      </c>
      <c r="X608" s="142" t="str">
        <f t="shared" si="367"/>
        <v>{progress_rate,2,248}</v>
      </c>
      <c r="Y608" s="142" t="str">
        <f t="shared" si="368"/>
        <v>{progress,0,2,622}</v>
      </c>
      <c r="Z608" s="142" t="str">
        <f t="shared" si="369"/>
        <v>{progress,0,5103001,15}</v>
      </c>
      <c r="AA608" s="142" t="str">
        <f t="shared" si="370"/>
        <v>{progress,40,5103003,25}</v>
      </c>
      <c r="AB608" s="142" t="str">
        <f t="shared" si="371"/>
        <v>{progress,0,50025,3}</v>
      </c>
      <c r="AC608" s="142" t="str">
        <f t="shared" si="372"/>
        <v>{progress,50,50002,5}</v>
      </c>
      <c r="AD608" s="142" t="str">
        <f t="shared" si="373"/>
        <v>{progress_rate_roll,100,5000,11,1}</v>
      </c>
      <c r="AF608" s="142" t="str">
        <f t="shared" si="374"/>
        <v>{progress,50,5203001,5}</v>
      </c>
      <c r="AG608" s="142" t="str">
        <f t="shared" si="375"/>
        <v>{progress,40,5303001,2}</v>
      </c>
      <c r="AH608" s="142" t="str">
        <f t="shared" si="376"/>
        <v>{progress,0,5401019,1}</v>
      </c>
      <c r="AI608" s="142"/>
      <c r="AJ608" s="142" t="str">
        <f t="shared" si="377"/>
        <v>{progress_rate_roll,100,1000,9,1}</v>
      </c>
      <c r="AN608" s="142" t="str">
        <f t="shared" si="378"/>
        <v>{progress,1,21363,1}</v>
      </c>
      <c r="AO608" s="142" t="str">
        <f t="shared" si="379"/>
        <v>{progress_rate_roll,100,5000,21363,1}</v>
      </c>
      <c r="AP608" s="142" t="str">
        <f t="shared" si="365"/>
        <v>[{progress_rate,2,248},{progress,0,2,622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08" s="142" t="str">
        <f t="shared" si="380"/>
        <v>[{progress_rate,2,248},{progress,0,2,622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08" s="142" t="str">
        <f t="shared" si="366"/>
        <v>[{progress_rate,2,248},{progress,0,2,622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08" s="142" t="str">
        <f t="shared" si="381"/>
        <v>[{progress_rate,2,248},{progress,0,2,622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08" s="142" t="str">
        <f t="shared" si="382"/>
        <v>{progress_rate,2,600},{progress_rate,11,1}</v>
      </c>
      <c r="AV608" s="142" t="str">
        <f t="shared" si="383"/>
        <v>{progress_rate,2,600}</v>
      </c>
      <c r="AW608" s="142" t="s">
        <v>175</v>
      </c>
    </row>
    <row r="609" spans="1:49">
      <c r="A609" s="143" t="str">
        <f t="shared" si="361"/>
        <v>[{2,872},{5103001,40},{14,60},{11,0},{5401000,0},{5203001,0},{5303001,0}]</v>
      </c>
      <c r="B609" s="98">
        <v>297</v>
      </c>
      <c r="C609" s="126">
        <v>250</v>
      </c>
      <c r="D609" s="126">
        <v>622</v>
      </c>
      <c r="E609" s="145">
        <v>15</v>
      </c>
      <c r="F609" s="145">
        <v>25</v>
      </c>
      <c r="G609" s="98">
        <v>3</v>
      </c>
      <c r="H609" s="98">
        <v>5</v>
      </c>
      <c r="I609" s="98">
        <v>0.5</v>
      </c>
      <c r="J609" s="98">
        <v>0</v>
      </c>
      <c r="K609" s="98">
        <v>5</v>
      </c>
      <c r="L609" s="98">
        <v>2</v>
      </c>
      <c r="M609" s="98">
        <v>1</v>
      </c>
      <c r="N609" s="98"/>
      <c r="O609" s="98">
        <v>0.1</v>
      </c>
      <c r="P609" s="98">
        <f t="shared" si="362"/>
        <v>163.6</v>
      </c>
      <c r="Q609" s="147">
        <f t="shared" si="363"/>
        <v>8.18</v>
      </c>
      <c r="R609" s="149">
        <v>600</v>
      </c>
      <c r="S609" s="132">
        <f t="shared" si="364"/>
        <v>125</v>
      </c>
      <c r="T609" s="132">
        <f t="shared" si="385"/>
        <v>311</v>
      </c>
      <c r="V609" s="80">
        <v>21363</v>
      </c>
      <c r="W609" s="142">
        <f t="shared" si="384"/>
        <v>297</v>
      </c>
      <c r="X609" s="142" t="str">
        <f t="shared" si="367"/>
        <v>{progress_rate,2,250}</v>
      </c>
      <c r="Y609" s="142" t="str">
        <f t="shared" si="368"/>
        <v>{progress,0,2,622}</v>
      </c>
      <c r="Z609" s="142" t="str">
        <f t="shared" si="369"/>
        <v>{progress,0,5103001,15}</v>
      </c>
      <c r="AA609" s="142" t="str">
        <f t="shared" si="370"/>
        <v>{progress,40,5103003,25}</v>
      </c>
      <c r="AB609" s="142" t="str">
        <f t="shared" si="371"/>
        <v>{progress,0,50025,3}</v>
      </c>
      <c r="AC609" s="142" t="str">
        <f t="shared" si="372"/>
        <v>{progress,50,50002,5}</v>
      </c>
      <c r="AD609" s="142" t="str">
        <f t="shared" si="373"/>
        <v>{progress_rate_roll,100,5000,11,1}</v>
      </c>
      <c r="AF609" s="142" t="str">
        <f t="shared" si="374"/>
        <v>{progress,50,5203001,5}</v>
      </c>
      <c r="AG609" s="142" t="str">
        <f t="shared" si="375"/>
        <v>{progress,40,5303001,2}</v>
      </c>
      <c r="AH609" s="142" t="str">
        <f t="shared" si="376"/>
        <v>{progress,0,5401019,1}</v>
      </c>
      <c r="AI609" s="142"/>
      <c r="AJ609" s="142" t="str">
        <f t="shared" si="377"/>
        <v>{progress_rate_roll,100,1000,9,1}</v>
      </c>
      <c r="AN609" s="142" t="str">
        <f t="shared" si="378"/>
        <v>{progress,1,21363,1}</v>
      </c>
      <c r="AO609" s="142" t="str">
        <f t="shared" si="379"/>
        <v>{progress_rate_roll,100,5000,21363,1}</v>
      </c>
      <c r="AP609" s="142" t="str">
        <f t="shared" si="365"/>
        <v>[{progress_rate,2,250},{progress,0,2,622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09" s="142" t="str">
        <f t="shared" si="380"/>
        <v>[{progress_rate,2,250},{progress,0,2,622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09" s="142" t="str">
        <f t="shared" si="366"/>
        <v>[{progress_rate,2,250},{progress,0,2,622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09" s="142" t="str">
        <f t="shared" si="381"/>
        <v>[{progress_rate,2,250},{progress,0,2,622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09" s="142" t="str">
        <f t="shared" si="382"/>
        <v>{progress_rate,2,600},{progress_rate,11,1}</v>
      </c>
      <c r="AV609" s="142" t="str">
        <f t="shared" si="383"/>
        <v>{progress_rate,2,600}</v>
      </c>
      <c r="AW609" s="142" t="s">
        <v>175</v>
      </c>
    </row>
    <row r="610" spans="1:49">
      <c r="A610" s="143" t="str">
        <f t="shared" si="361"/>
        <v>[{2,874},{5103001,40},{14,60},{11,0},{5401000,0},{5203001,0},{5303001,0}]</v>
      </c>
      <c r="B610" s="98">
        <v>298</v>
      </c>
      <c r="C610" s="126">
        <v>250</v>
      </c>
      <c r="D610" s="126">
        <v>624</v>
      </c>
      <c r="E610" s="145">
        <v>15</v>
      </c>
      <c r="F610" s="145">
        <v>25</v>
      </c>
      <c r="G610" s="98">
        <v>3</v>
      </c>
      <c r="H610" s="98">
        <v>5</v>
      </c>
      <c r="I610" s="98">
        <v>0.5</v>
      </c>
      <c r="J610" s="98">
        <v>0</v>
      </c>
      <c r="K610" s="98">
        <v>5</v>
      </c>
      <c r="L610" s="98">
        <v>2</v>
      </c>
      <c r="M610" s="98">
        <v>1</v>
      </c>
      <c r="N610" s="98"/>
      <c r="O610" s="98">
        <v>0.1</v>
      </c>
      <c r="P610" s="98">
        <f t="shared" si="362"/>
        <v>163.7</v>
      </c>
      <c r="Q610" s="147">
        <f t="shared" si="363"/>
        <v>8.185</v>
      </c>
      <c r="R610" s="149">
        <v>600</v>
      </c>
      <c r="S610" s="132">
        <f t="shared" si="364"/>
        <v>125</v>
      </c>
      <c r="T610" s="132">
        <f t="shared" si="385"/>
        <v>312</v>
      </c>
      <c r="V610" s="80">
        <v>21363</v>
      </c>
      <c r="W610" s="142">
        <f t="shared" si="384"/>
        <v>298</v>
      </c>
      <c r="X610" s="142" t="str">
        <f t="shared" si="367"/>
        <v>{progress_rate,2,250}</v>
      </c>
      <c r="Y610" s="142" t="str">
        <f t="shared" si="368"/>
        <v>{progress,0,2,624}</v>
      </c>
      <c r="Z610" s="142" t="str">
        <f t="shared" si="369"/>
        <v>{progress,0,5103001,15}</v>
      </c>
      <c r="AA610" s="142" t="str">
        <f t="shared" si="370"/>
        <v>{progress,40,5103003,25}</v>
      </c>
      <c r="AB610" s="142" t="str">
        <f t="shared" si="371"/>
        <v>{progress,0,50025,3}</v>
      </c>
      <c r="AC610" s="142" t="str">
        <f t="shared" si="372"/>
        <v>{progress,50,50002,5}</v>
      </c>
      <c r="AD610" s="142" t="str">
        <f t="shared" si="373"/>
        <v>{progress_rate_roll,100,5000,11,1}</v>
      </c>
      <c r="AF610" s="142" t="str">
        <f t="shared" si="374"/>
        <v>{progress,50,5203001,5}</v>
      </c>
      <c r="AG610" s="142" t="str">
        <f t="shared" si="375"/>
        <v>{progress,40,5303001,2}</v>
      </c>
      <c r="AH610" s="142" t="str">
        <f t="shared" si="376"/>
        <v>{progress,0,5401019,1}</v>
      </c>
      <c r="AI610" s="142"/>
      <c r="AJ610" s="142" t="str">
        <f t="shared" si="377"/>
        <v>{progress_rate_roll,100,1000,9,1}</v>
      </c>
      <c r="AN610" s="142" t="str">
        <f t="shared" si="378"/>
        <v>{progress,1,21363,1}</v>
      </c>
      <c r="AO610" s="142" t="str">
        <f t="shared" si="379"/>
        <v>{progress_rate_roll,100,5000,21363,1}</v>
      </c>
      <c r="AP610" s="142" t="str">
        <f t="shared" si="365"/>
        <v>[{progress_rate,2,250},{progress,0,2,624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10" s="142" t="str">
        <f t="shared" si="380"/>
        <v>[{progress_rate,2,250},{progress,0,2,624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10" s="142" t="str">
        <f t="shared" si="366"/>
        <v>[{progress_rate,2,250},{progress,0,2,624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10" s="142" t="str">
        <f t="shared" si="381"/>
        <v>[{progress_rate,2,250},{progress,0,2,624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10" s="142" t="str">
        <f t="shared" si="382"/>
        <v>{progress_rate,2,600},{progress_rate,11,1}</v>
      </c>
      <c r="AV610" s="142" t="str">
        <f t="shared" si="383"/>
        <v>{progress_rate,2,600}</v>
      </c>
      <c r="AW610" s="142" t="s">
        <v>175</v>
      </c>
    </row>
    <row r="611" spans="1:49">
      <c r="A611" s="143" t="str">
        <f t="shared" si="361"/>
        <v>[{2,876},{5103001,40},{14,60},{11,0},{5401000,0},{5203001,0},{5303001,0}]</v>
      </c>
      <c r="B611" s="98">
        <v>299</v>
      </c>
      <c r="C611" s="126">
        <v>250</v>
      </c>
      <c r="D611" s="126">
        <v>626</v>
      </c>
      <c r="E611" s="145">
        <v>15</v>
      </c>
      <c r="F611" s="145">
        <v>25</v>
      </c>
      <c r="G611" s="98">
        <v>3</v>
      </c>
      <c r="H611" s="98">
        <v>5</v>
      </c>
      <c r="I611" s="98">
        <v>0.5</v>
      </c>
      <c r="J611" s="98">
        <v>0</v>
      </c>
      <c r="K611" s="98">
        <v>5</v>
      </c>
      <c r="L611" s="98">
        <v>2</v>
      </c>
      <c r="M611" s="98">
        <v>1</v>
      </c>
      <c r="N611" s="98"/>
      <c r="O611" s="98">
        <v>0.1</v>
      </c>
      <c r="P611" s="98">
        <f t="shared" si="362"/>
        <v>163.8</v>
      </c>
      <c r="Q611" s="147">
        <f t="shared" si="363"/>
        <v>8.19</v>
      </c>
      <c r="R611" s="149">
        <v>600</v>
      </c>
      <c r="S611" s="132">
        <f t="shared" si="364"/>
        <v>125</v>
      </c>
      <c r="T611" s="132">
        <f t="shared" si="385"/>
        <v>313</v>
      </c>
      <c r="V611" s="80">
        <v>21363</v>
      </c>
      <c r="W611" s="142">
        <f t="shared" si="384"/>
        <v>299</v>
      </c>
      <c r="X611" s="142" t="str">
        <f t="shared" si="367"/>
        <v>{progress_rate,2,250}</v>
      </c>
      <c r="Y611" s="142" t="str">
        <f t="shared" si="368"/>
        <v>{progress,0,2,626}</v>
      </c>
      <c r="Z611" s="142" t="str">
        <f t="shared" si="369"/>
        <v>{progress,0,5103001,15}</v>
      </c>
      <c r="AA611" s="142" t="str">
        <f t="shared" si="370"/>
        <v>{progress,40,5103003,25}</v>
      </c>
      <c r="AB611" s="142" t="str">
        <f t="shared" si="371"/>
        <v>{progress,0,50025,3}</v>
      </c>
      <c r="AC611" s="142" t="str">
        <f t="shared" si="372"/>
        <v>{progress,50,50002,5}</v>
      </c>
      <c r="AD611" s="142" t="str">
        <f t="shared" si="373"/>
        <v>{progress_rate_roll,100,5000,11,1}</v>
      </c>
      <c r="AF611" s="142" t="str">
        <f t="shared" si="374"/>
        <v>{progress,50,5203001,5}</v>
      </c>
      <c r="AG611" s="142" t="str">
        <f t="shared" si="375"/>
        <v>{progress,40,5303001,2}</v>
      </c>
      <c r="AH611" s="142" t="str">
        <f t="shared" si="376"/>
        <v>{progress,0,5401019,1}</v>
      </c>
      <c r="AI611" s="142"/>
      <c r="AJ611" s="142" t="str">
        <f t="shared" si="377"/>
        <v>{progress_rate_roll,100,1000,9,1}</v>
      </c>
      <c r="AN611" s="142" t="str">
        <f t="shared" si="378"/>
        <v>{progress,1,21363,1}</v>
      </c>
      <c r="AO611" s="142" t="str">
        <f t="shared" si="379"/>
        <v>{progress_rate_roll,100,5000,21363,1}</v>
      </c>
      <c r="AP611" s="142" t="str">
        <f t="shared" si="365"/>
        <v>[{progress_rate,2,250},{progress,0,2,626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11" s="142" t="str">
        <f t="shared" si="380"/>
        <v>[{progress_rate,2,250},{progress,0,2,626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11" s="142" t="str">
        <f t="shared" si="366"/>
        <v>[{progress_rate,2,250},{progress,0,2,626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11" s="142" t="str">
        <f t="shared" si="381"/>
        <v>[{progress_rate,2,250},{progress,0,2,626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11" s="142" t="str">
        <f t="shared" si="382"/>
        <v>{progress_rate,2,600},{progress_rate,11,1}</v>
      </c>
      <c r="AV611" s="142" t="str">
        <f t="shared" si="383"/>
        <v>{progress_rate,2,600}</v>
      </c>
      <c r="AW611" s="142" t="s">
        <v>175</v>
      </c>
    </row>
    <row r="612" spans="1:49">
      <c r="A612" s="143" t="str">
        <f t="shared" si="361"/>
        <v>[{2,878},{5103001,40},{14,60},{11,0},{5401000,0},{5203001,0},{5303001,0}]</v>
      </c>
      <c r="B612" s="98">
        <v>300</v>
      </c>
      <c r="C612" s="126">
        <v>252</v>
      </c>
      <c r="D612" s="126">
        <v>626</v>
      </c>
      <c r="E612" s="145">
        <v>15</v>
      </c>
      <c r="F612" s="145">
        <v>25</v>
      </c>
      <c r="G612" s="98">
        <v>3</v>
      </c>
      <c r="H612" s="98">
        <v>5</v>
      </c>
      <c r="I612" s="98">
        <v>0.5</v>
      </c>
      <c r="J612" s="98">
        <v>0</v>
      </c>
      <c r="K612" s="98">
        <v>5</v>
      </c>
      <c r="L612" s="98">
        <v>2</v>
      </c>
      <c r="M612" s="98">
        <v>1</v>
      </c>
      <c r="N612" s="98"/>
      <c r="O612" s="98">
        <v>0.1</v>
      </c>
      <c r="P612" s="98">
        <f t="shared" si="362"/>
        <v>163.9</v>
      </c>
      <c r="Q612" s="147">
        <f t="shared" si="363"/>
        <v>8.195</v>
      </c>
      <c r="R612" s="149">
        <v>600</v>
      </c>
      <c r="S612" s="132">
        <f t="shared" si="364"/>
        <v>126</v>
      </c>
      <c r="T612" s="132">
        <f t="shared" si="385"/>
        <v>313</v>
      </c>
      <c r="V612" s="80">
        <v>21363</v>
      </c>
      <c r="W612" s="142">
        <f t="shared" si="384"/>
        <v>300</v>
      </c>
      <c r="X612" s="142" t="str">
        <f t="shared" si="367"/>
        <v>{progress_rate,2,252}</v>
      </c>
      <c r="Y612" s="142" t="str">
        <f t="shared" si="368"/>
        <v>{progress,0,2,626}</v>
      </c>
      <c r="Z612" s="142" t="str">
        <f t="shared" si="369"/>
        <v>{progress,0,5103001,15}</v>
      </c>
      <c r="AA612" s="142" t="str">
        <f t="shared" si="370"/>
        <v>{progress,40,5103003,25}</v>
      </c>
      <c r="AB612" s="142" t="str">
        <f t="shared" si="371"/>
        <v>{progress,0,50025,3}</v>
      </c>
      <c r="AC612" s="142" t="str">
        <f t="shared" si="372"/>
        <v>{progress,50,50002,5}</v>
      </c>
      <c r="AD612" s="142" t="str">
        <f t="shared" si="373"/>
        <v>{progress_rate_roll,100,5000,11,1}</v>
      </c>
      <c r="AF612" s="142" t="str">
        <f t="shared" si="374"/>
        <v>{progress,50,5203001,5}</v>
      </c>
      <c r="AG612" s="142" t="str">
        <f t="shared" si="375"/>
        <v>{progress,40,5303001,2}</v>
      </c>
      <c r="AH612" s="142" t="str">
        <f t="shared" si="376"/>
        <v>{progress,0,5401019,1}</v>
      </c>
      <c r="AI612" s="142"/>
      <c r="AJ612" s="142" t="str">
        <f t="shared" si="377"/>
        <v>{progress_rate_roll,100,1000,9,1}</v>
      </c>
      <c r="AN612" s="142" t="str">
        <f t="shared" si="378"/>
        <v>{progress,1,21363,1}</v>
      </c>
      <c r="AO612" s="142" t="str">
        <f t="shared" si="379"/>
        <v>{progress_rate_roll,100,5000,21363,1}</v>
      </c>
      <c r="AP612" s="142" t="str">
        <f t="shared" si="365"/>
        <v>[{progress_rate,2,252},{progress,0,2,626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12" s="142" t="str">
        <f t="shared" si="380"/>
        <v>[{progress_rate,2,252},{progress,0,2,626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12" s="142" t="str">
        <f t="shared" si="366"/>
        <v>[{progress_rate,2,252},{progress,0,2,626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12" s="142" t="str">
        <f t="shared" si="381"/>
        <v>[{progress_rate,2,252},{progress,0,2,626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12" s="142" t="str">
        <f t="shared" si="382"/>
        <v>{progress_rate,2,600},{progress_rate,11,1}</v>
      </c>
      <c r="AV612" s="142" t="str">
        <f t="shared" si="383"/>
        <v>{progress_rate,2,600}</v>
      </c>
      <c r="AW612" s="142" t="s">
        <v>175</v>
      </c>
    </row>
  </sheetData>
  <conditionalFormatting sqref="P304">
    <cfRule type="duplicateValues" dxfId="29" priority="5"/>
    <cfRule type="duplicateValues" dxfId="29" priority="6"/>
    <cfRule type="duplicateValues" dxfId="30" priority="7"/>
  </conditionalFormatting>
  <conditionalFormatting sqref="U313:U496">
    <cfRule type="duplicateValues" dxfId="30" priority="8"/>
  </conditionalFormatting>
  <conditionalFormatting sqref="V313:V342">
    <cfRule type="duplicateValues" dxfId="30" priority="4"/>
  </conditionalFormatting>
  <conditionalFormatting sqref="V343:V372">
    <cfRule type="duplicateValues" dxfId="30" priority="3"/>
  </conditionalFormatting>
  <conditionalFormatting sqref="V373:V402">
    <cfRule type="duplicateValues" dxfId="30" priority="2"/>
  </conditionalFormatting>
  <conditionalFormatting sqref="V403:V612">
    <cfRule type="duplicateValues" dxfId="30" priority="1"/>
  </conditionalFormatting>
  <pageMargins left="0.75" right="0.75" top="1" bottom="1" header="0.5" footer="0.5"/>
  <headerFooter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tabColor theme="4"/>
  </sheetPr>
  <dimension ref="A1:AQ610"/>
  <sheetViews>
    <sheetView workbookViewId="0">
      <selection activeCell="R10" sqref="R10"/>
    </sheetView>
  </sheetViews>
  <sheetFormatPr defaultColWidth="9" defaultRowHeight="16.5"/>
  <cols>
    <col min="1" max="3" width="9" style="132"/>
    <col min="4" max="12" width="11.375" style="132" customWidth="1"/>
    <col min="13" max="14" width="10.125" style="132" customWidth="1"/>
    <col min="15" max="20" width="8.375" style="132" customWidth="1"/>
    <col min="21" max="26" width="9.25" style="132"/>
    <col min="27" max="27" width="9" style="132"/>
    <col min="28" max="29" width="9.25" style="132"/>
    <col min="30" max="30" width="9" style="132"/>
    <col min="31" max="31" width="9.25" style="132"/>
    <col min="32" max="33" width="9" style="132"/>
    <col min="34" max="34" width="9.25" style="132"/>
    <col min="35" max="37" width="9" style="132"/>
    <col min="38" max="38" width="9.25" style="132" customWidth="1"/>
    <col min="39" max="40" width="9" style="132"/>
    <col min="41" max="41" width="12.75" style="132" customWidth="1"/>
    <col min="42" max="42" width="9" style="132"/>
  </cols>
  <sheetData>
    <row r="1" spans="2:42">
      <c r="C1" s="133" t="s">
        <v>35</v>
      </c>
      <c r="D1" s="133" t="s">
        <v>35</v>
      </c>
      <c r="E1" s="133" t="s">
        <v>35</v>
      </c>
      <c r="F1" s="133" t="s">
        <v>35</v>
      </c>
      <c r="G1" s="133" t="s">
        <v>35</v>
      </c>
      <c r="H1" s="133" t="s">
        <v>35</v>
      </c>
      <c r="J1" s="134"/>
      <c r="K1" s="134" t="s">
        <v>200</v>
      </c>
      <c r="L1" s="134" t="s">
        <v>200</v>
      </c>
      <c r="M1" s="134" t="s">
        <v>200</v>
      </c>
      <c r="N1" s="134" t="s">
        <v>200</v>
      </c>
      <c r="O1" s="134" t="s">
        <v>200</v>
      </c>
      <c r="P1" s="134" t="s">
        <v>200</v>
      </c>
      <c r="Q1" s="134" t="s">
        <v>200</v>
      </c>
      <c r="R1" s="134" t="s">
        <v>200</v>
      </c>
      <c r="S1" s="134"/>
      <c r="U1" s="98"/>
      <c r="V1" s="98"/>
      <c r="W1" s="98"/>
      <c r="X1" s="98"/>
      <c r="Y1" s="98"/>
      <c r="Z1" s="98"/>
      <c r="AA1" s="98"/>
      <c r="AB1" s="98"/>
    </row>
    <row r="2" spans="2:42">
      <c r="B2" s="130" t="s">
        <v>201</v>
      </c>
      <c r="C2" s="135" t="s">
        <v>96</v>
      </c>
      <c r="D2" s="135" t="s">
        <v>128</v>
      </c>
      <c r="E2" s="135" t="s">
        <v>129</v>
      </c>
      <c r="F2" s="135" t="s">
        <v>202</v>
      </c>
      <c r="G2" s="135" t="s">
        <v>203</v>
      </c>
      <c r="H2" s="135" t="s">
        <v>130</v>
      </c>
      <c r="J2" s="136" t="s">
        <v>201</v>
      </c>
      <c r="K2" s="136" t="s">
        <v>96</v>
      </c>
      <c r="L2" s="136" t="s">
        <v>128</v>
      </c>
      <c r="M2" s="136" t="s">
        <v>133</v>
      </c>
      <c r="N2" s="136" t="s">
        <v>129</v>
      </c>
      <c r="O2" s="136" t="s">
        <v>131</v>
      </c>
      <c r="P2" s="136" t="s">
        <v>204</v>
      </c>
      <c r="Q2" s="136" t="s">
        <v>130</v>
      </c>
      <c r="R2" s="136" t="s">
        <v>132</v>
      </c>
      <c r="S2" s="137"/>
      <c r="U2" s="98"/>
      <c r="V2" s="98"/>
      <c r="W2" s="98"/>
      <c r="X2" s="98"/>
      <c r="Y2" s="98"/>
      <c r="Z2" s="98"/>
      <c r="AA2" s="98"/>
      <c r="AB2" s="98"/>
      <c r="AG2"/>
      <c r="AH2"/>
      <c r="AI2"/>
      <c r="AJ2"/>
      <c r="AK2"/>
      <c r="AL2"/>
      <c r="AM2"/>
      <c r="AN2"/>
      <c r="AO2"/>
      <c r="AP2"/>
    </row>
    <row r="3" spans="2:42">
      <c r="B3" s="98">
        <v>1</v>
      </c>
      <c r="C3" s="126">
        <f ca="1">OFFSET($B$310,$B3,MATCH(C$1&amp;C$2,$C$305:$P$305,0))</f>
        <v>280</v>
      </c>
      <c r="D3" s="126">
        <f ca="1">OFFSET($B$310,$B3,MATCH(D$1&amp;D$2,$C$305:$P$305,0))</f>
        <v>20</v>
      </c>
      <c r="E3" s="126">
        <f ca="1">OFFSET($B$310,$B3,MATCH(E$1&amp;E$2,$C$305:$P$305,0))</f>
        <v>10</v>
      </c>
      <c r="F3" s="126">
        <f ca="1" t="shared" ref="F3:K3" si="0">OFFSET($B$310,$B3,MATCH(F$1&amp;F$2,$C$305:$P$305,0))</f>
        <v>1.5</v>
      </c>
      <c r="G3" s="126">
        <f ca="1" t="shared" si="0"/>
        <v>0.125</v>
      </c>
      <c r="H3" s="126">
        <f ca="1" t="shared" si="0"/>
        <v>0.013</v>
      </c>
      <c r="J3" s="97">
        <v>1</v>
      </c>
      <c r="K3" s="126">
        <f ca="1">OFFSET($B$310,$B3,MATCH(K$1&amp;K$2,$C$305:$P$305,0))</f>
        <v>140</v>
      </c>
      <c r="L3" s="126">
        <f ca="1" t="shared" ref="L3:R3" si="1">OFFSET($B$310,$B3,MATCH(L$1&amp;L$2,$C$305:$P$305,0))</f>
        <v>40</v>
      </c>
      <c r="M3" s="126">
        <f ca="1" t="shared" si="1"/>
        <v>0</v>
      </c>
      <c r="N3" s="126">
        <f ca="1" t="shared" si="1"/>
        <v>6</v>
      </c>
      <c r="O3" s="126">
        <f ca="1" t="shared" si="1"/>
        <v>0</v>
      </c>
      <c r="P3" s="126">
        <f ca="1" t="shared" si="1"/>
        <v>1</v>
      </c>
      <c r="Q3" s="126">
        <f ca="1" t="shared" si="1"/>
        <v>0.5</v>
      </c>
      <c r="R3" s="126">
        <f ca="1" t="shared" si="1"/>
        <v>2</v>
      </c>
      <c r="S3" s="126"/>
      <c r="U3"/>
      <c r="V3"/>
      <c r="W3"/>
      <c r="X3"/>
      <c r="Y3"/>
      <c r="Z3"/>
      <c r="AA3"/>
      <c r="AB3"/>
      <c r="AG3"/>
      <c r="AH3"/>
      <c r="AI3"/>
      <c r="AJ3"/>
      <c r="AK3"/>
      <c r="AL3"/>
      <c r="AM3"/>
      <c r="AN3"/>
      <c r="AO3"/>
      <c r="AP3"/>
    </row>
    <row r="4" spans="2:42">
      <c r="B4" s="98">
        <f t="shared" ref="B4:B67" si="2">B3+1</f>
        <v>2</v>
      </c>
      <c r="C4" s="126">
        <f ca="1" t="shared" ref="C4:C67" si="3">OFFSET($B$310,$B4,MATCH(C$1&amp;C$2,$C$305:$P$305,0))</f>
        <v>282</v>
      </c>
      <c r="D4" s="126">
        <f ca="1" t="shared" ref="D4:D67" si="4">OFFSET($B$310,$B4,MATCH(D$1&amp;D$2,$C$305:$P$305,0))</f>
        <v>20</v>
      </c>
      <c r="E4" s="126">
        <f ca="1" t="shared" ref="E4:E67" si="5">OFFSET($B$310,$B4,MATCH(E$1&amp;E$2,$C$305:$P$305,0))</f>
        <v>10</v>
      </c>
      <c r="F4" s="126">
        <f ca="1" t="shared" ref="F4:F67" si="6">OFFSET($B$310,$B4,MATCH(F$1&amp;F$2,$C$305:$P$305,0))</f>
        <v>1.5</v>
      </c>
      <c r="G4" s="126">
        <f ca="1" t="shared" ref="G4:G67" si="7">OFFSET($B$310,$B4,MATCH(G$1&amp;G$2,$C$305:$P$305,0))</f>
        <v>0.125</v>
      </c>
      <c r="H4" s="126">
        <f ca="1" t="shared" ref="H4:H67" si="8">OFFSET($B$310,$B4,MATCH(H$1&amp;H$2,$C$305:$P$305,0))</f>
        <v>0.013</v>
      </c>
      <c r="J4" s="97">
        <f t="shared" ref="J4:J67" si="9">J3+1</f>
        <v>2</v>
      </c>
      <c r="K4" s="106">
        <f ca="1" t="shared" ref="K3:K66" si="10">OFFSET($B$310,$B4,MATCH(K$1&amp;K$2,$C$305:$P$305,0))</f>
        <v>141</v>
      </c>
      <c r="L4" s="126">
        <f ca="1" t="shared" ref="L4:L67" si="11">OFFSET($B$310,$B4,MATCH(L$1&amp;L$2,$C$305:$P$305,0))</f>
        <v>40</v>
      </c>
      <c r="M4" s="126">
        <f ca="1" t="shared" ref="M4:M67" si="12">OFFSET($B$310,$B4,MATCH(M$1&amp;M$2,$C$305:$P$305,0))</f>
        <v>0</v>
      </c>
      <c r="N4" s="126">
        <f ca="1" t="shared" ref="N4:N67" si="13">OFFSET($B$310,$B4,MATCH(N$1&amp;N$2,$C$305:$P$305,0))</f>
        <v>6</v>
      </c>
      <c r="O4" s="126">
        <f ca="1" t="shared" ref="O4:O67" si="14">OFFSET($B$310,$B4,MATCH(O$1&amp;O$2,$C$305:$P$305,0))</f>
        <v>0</v>
      </c>
      <c r="P4" s="126">
        <f ca="1" t="shared" ref="P4:P67" si="15">OFFSET($B$310,$B4,MATCH(P$1&amp;P$2,$C$305:$P$305,0))</f>
        <v>1</v>
      </c>
      <c r="Q4" s="126">
        <f ca="1" t="shared" ref="Q4:Q67" si="16">OFFSET($B$310,$B4,MATCH(Q$1&amp;Q$2,$C$305:$P$305,0))</f>
        <v>0.5</v>
      </c>
      <c r="R4" s="126">
        <f ca="1" t="shared" ref="R4:R67" si="17">OFFSET($B$310,$B4,MATCH(R$1&amp;R$2,$C$305:$P$305,0))</f>
        <v>2</v>
      </c>
      <c r="S4" s="126"/>
      <c r="AG4"/>
      <c r="AH4"/>
      <c r="AI4"/>
      <c r="AJ4"/>
      <c r="AK4"/>
      <c r="AL4"/>
      <c r="AM4"/>
      <c r="AN4"/>
      <c r="AO4"/>
      <c r="AP4"/>
    </row>
    <row r="5" spans="2:42">
      <c r="B5" s="98">
        <f t="shared" si="2"/>
        <v>3</v>
      </c>
      <c r="C5" s="126">
        <f ca="1" t="shared" si="3"/>
        <v>284</v>
      </c>
      <c r="D5" s="126">
        <f ca="1" t="shared" si="4"/>
        <v>20</v>
      </c>
      <c r="E5" s="126">
        <f ca="1" t="shared" si="5"/>
        <v>10</v>
      </c>
      <c r="F5" s="126">
        <f ca="1" t="shared" si="6"/>
        <v>1.5</v>
      </c>
      <c r="G5" s="126">
        <f ca="1" t="shared" si="7"/>
        <v>0.125</v>
      </c>
      <c r="H5" s="126">
        <f ca="1" t="shared" si="8"/>
        <v>0.013</v>
      </c>
      <c r="J5" s="97">
        <f t="shared" si="9"/>
        <v>3</v>
      </c>
      <c r="K5" s="106">
        <f ca="1" t="shared" si="10"/>
        <v>142</v>
      </c>
      <c r="L5" s="126">
        <f ca="1" t="shared" si="11"/>
        <v>40</v>
      </c>
      <c r="M5" s="126">
        <f ca="1" t="shared" si="12"/>
        <v>0</v>
      </c>
      <c r="N5" s="126">
        <f ca="1" t="shared" si="13"/>
        <v>6</v>
      </c>
      <c r="O5" s="126">
        <f ca="1" t="shared" si="14"/>
        <v>0</v>
      </c>
      <c r="P5" s="126">
        <f ca="1" t="shared" si="15"/>
        <v>1</v>
      </c>
      <c r="Q5" s="126">
        <f ca="1" t="shared" si="16"/>
        <v>0.5</v>
      </c>
      <c r="R5" s="126">
        <f ca="1" t="shared" si="17"/>
        <v>2</v>
      </c>
      <c r="S5" s="126"/>
      <c r="V5" s="132">
        <f ca="1">H3*24</f>
        <v>0.312</v>
      </c>
      <c r="AG5"/>
      <c r="AH5"/>
      <c r="AI5"/>
      <c r="AJ5"/>
      <c r="AK5"/>
      <c r="AL5"/>
      <c r="AM5"/>
      <c r="AN5"/>
      <c r="AO5"/>
      <c r="AP5"/>
    </row>
    <row r="6" spans="2:42">
      <c r="B6" s="98">
        <f t="shared" si="2"/>
        <v>4</v>
      </c>
      <c r="C6" s="126">
        <f ca="1" t="shared" si="3"/>
        <v>286</v>
      </c>
      <c r="D6" s="126">
        <f ca="1" t="shared" si="4"/>
        <v>20</v>
      </c>
      <c r="E6" s="126">
        <f ca="1" t="shared" si="5"/>
        <v>10</v>
      </c>
      <c r="F6" s="126">
        <f ca="1" t="shared" si="6"/>
        <v>1.5</v>
      </c>
      <c r="G6" s="126">
        <f ca="1" t="shared" si="7"/>
        <v>0.125</v>
      </c>
      <c r="H6" s="126">
        <f ca="1" t="shared" si="8"/>
        <v>0.013</v>
      </c>
      <c r="J6" s="97">
        <f t="shared" si="9"/>
        <v>4</v>
      </c>
      <c r="K6" s="106">
        <f ca="1" t="shared" si="10"/>
        <v>143</v>
      </c>
      <c r="L6" s="126">
        <f ca="1" t="shared" si="11"/>
        <v>40</v>
      </c>
      <c r="M6" s="126">
        <f ca="1" t="shared" si="12"/>
        <v>1</v>
      </c>
      <c r="N6" s="126">
        <f ca="1" t="shared" si="13"/>
        <v>6</v>
      </c>
      <c r="O6" s="126">
        <f ca="1" t="shared" si="14"/>
        <v>0</v>
      </c>
      <c r="P6" s="126">
        <f ca="1" t="shared" si="15"/>
        <v>1</v>
      </c>
      <c r="Q6" s="126">
        <f ca="1" t="shared" si="16"/>
        <v>0.5</v>
      </c>
      <c r="R6" s="126">
        <f ca="1" t="shared" si="17"/>
        <v>2</v>
      </c>
      <c r="S6" s="126"/>
      <c r="V6" s="132">
        <f ca="1">G4*24</f>
        <v>3</v>
      </c>
      <c r="AG6"/>
      <c r="AH6"/>
      <c r="AI6"/>
      <c r="AJ6"/>
      <c r="AK6"/>
      <c r="AL6"/>
      <c r="AM6"/>
      <c r="AN6"/>
      <c r="AO6"/>
      <c r="AP6"/>
    </row>
    <row r="7" spans="2:42">
      <c r="B7" s="98">
        <f t="shared" si="2"/>
        <v>5</v>
      </c>
      <c r="C7" s="126">
        <f ca="1" t="shared" si="3"/>
        <v>288</v>
      </c>
      <c r="D7" s="126">
        <f ca="1" t="shared" si="4"/>
        <v>20</v>
      </c>
      <c r="E7" s="126">
        <f ca="1" t="shared" si="5"/>
        <v>10</v>
      </c>
      <c r="F7" s="126">
        <f ca="1" t="shared" si="6"/>
        <v>1.5</v>
      </c>
      <c r="G7" s="126">
        <f ca="1" t="shared" si="7"/>
        <v>0.125</v>
      </c>
      <c r="H7" s="126">
        <f ca="1" t="shared" si="8"/>
        <v>0.013</v>
      </c>
      <c r="J7" s="97">
        <f t="shared" si="9"/>
        <v>5</v>
      </c>
      <c r="K7" s="106">
        <f ca="1" t="shared" si="10"/>
        <v>144</v>
      </c>
      <c r="L7" s="126">
        <f ca="1" t="shared" si="11"/>
        <v>40</v>
      </c>
      <c r="M7" s="126">
        <f ca="1" t="shared" si="12"/>
        <v>1</v>
      </c>
      <c r="N7" s="126">
        <f ca="1" t="shared" si="13"/>
        <v>6</v>
      </c>
      <c r="O7" s="126">
        <f ca="1" t="shared" si="14"/>
        <v>0</v>
      </c>
      <c r="P7" s="126">
        <f ca="1" t="shared" si="15"/>
        <v>1</v>
      </c>
      <c r="Q7" s="126">
        <f ca="1" t="shared" si="16"/>
        <v>0.5</v>
      </c>
      <c r="R7" s="126">
        <f ca="1" t="shared" si="17"/>
        <v>2</v>
      </c>
      <c r="S7" s="126"/>
      <c r="AG7"/>
      <c r="AH7"/>
      <c r="AI7"/>
      <c r="AJ7"/>
      <c r="AK7"/>
      <c r="AL7"/>
      <c r="AM7"/>
      <c r="AN7"/>
      <c r="AO7"/>
      <c r="AP7"/>
    </row>
    <row r="8" spans="2:42">
      <c r="B8" s="98">
        <f t="shared" si="2"/>
        <v>6</v>
      </c>
      <c r="C8" s="126">
        <f ca="1" t="shared" si="3"/>
        <v>290</v>
      </c>
      <c r="D8" s="126">
        <f ca="1" t="shared" si="4"/>
        <v>20</v>
      </c>
      <c r="E8" s="126">
        <f ca="1" t="shared" si="5"/>
        <v>10</v>
      </c>
      <c r="F8" s="126">
        <f ca="1" t="shared" si="6"/>
        <v>1.5</v>
      </c>
      <c r="G8" s="126">
        <f ca="1" t="shared" si="7"/>
        <v>0.125</v>
      </c>
      <c r="H8" s="126">
        <f ca="1" t="shared" si="8"/>
        <v>0.013</v>
      </c>
      <c r="J8" s="97">
        <f t="shared" si="9"/>
        <v>6</v>
      </c>
      <c r="K8" s="106">
        <f ca="1" t="shared" si="10"/>
        <v>145</v>
      </c>
      <c r="L8" s="126">
        <f ca="1" t="shared" si="11"/>
        <v>40</v>
      </c>
      <c r="M8" s="126">
        <f ca="1" t="shared" si="12"/>
        <v>1</v>
      </c>
      <c r="N8" s="126">
        <f ca="1" t="shared" si="13"/>
        <v>6</v>
      </c>
      <c r="O8" s="126">
        <f ca="1" t="shared" si="14"/>
        <v>0</v>
      </c>
      <c r="P8" s="126">
        <f ca="1" t="shared" si="15"/>
        <v>1</v>
      </c>
      <c r="Q8" s="126">
        <f ca="1" t="shared" si="16"/>
        <v>0.5</v>
      </c>
      <c r="R8" s="126">
        <f ca="1" t="shared" si="17"/>
        <v>2</v>
      </c>
      <c r="S8" s="126"/>
      <c r="AG8"/>
      <c r="AH8"/>
      <c r="AI8"/>
      <c r="AJ8"/>
      <c r="AK8"/>
      <c r="AL8"/>
      <c r="AM8"/>
      <c r="AN8"/>
      <c r="AO8"/>
      <c r="AP8"/>
    </row>
    <row r="9" spans="2:42">
      <c r="B9" s="98">
        <f t="shared" si="2"/>
        <v>7</v>
      </c>
      <c r="C9" s="126">
        <f ca="1" t="shared" si="3"/>
        <v>292</v>
      </c>
      <c r="D9" s="126">
        <f ca="1" t="shared" si="4"/>
        <v>20</v>
      </c>
      <c r="E9" s="126">
        <f ca="1" t="shared" si="5"/>
        <v>10</v>
      </c>
      <c r="F9" s="126">
        <f ca="1" t="shared" si="6"/>
        <v>1.5</v>
      </c>
      <c r="G9" s="126">
        <f ca="1" t="shared" si="7"/>
        <v>0.125</v>
      </c>
      <c r="H9" s="126">
        <f ca="1" t="shared" si="8"/>
        <v>0.013</v>
      </c>
      <c r="J9" s="97">
        <f t="shared" si="9"/>
        <v>7</v>
      </c>
      <c r="K9" s="106">
        <f ca="1" t="shared" si="10"/>
        <v>146</v>
      </c>
      <c r="L9" s="126">
        <f ca="1" t="shared" si="11"/>
        <v>40</v>
      </c>
      <c r="M9" s="126">
        <f ca="1" t="shared" si="12"/>
        <v>1</v>
      </c>
      <c r="N9" s="126">
        <f ca="1" t="shared" si="13"/>
        <v>6</v>
      </c>
      <c r="O9" s="126">
        <f ca="1" t="shared" si="14"/>
        <v>5</v>
      </c>
      <c r="P9" s="126">
        <f ca="1" t="shared" si="15"/>
        <v>1</v>
      </c>
      <c r="Q9" s="126">
        <f ca="1" t="shared" si="16"/>
        <v>0.5</v>
      </c>
      <c r="R9" s="126">
        <f ca="1" t="shared" si="17"/>
        <v>2</v>
      </c>
      <c r="S9" s="126"/>
      <c r="AG9"/>
      <c r="AH9"/>
      <c r="AI9"/>
      <c r="AJ9"/>
      <c r="AK9"/>
      <c r="AL9"/>
      <c r="AM9"/>
      <c r="AN9"/>
      <c r="AO9"/>
      <c r="AP9"/>
    </row>
    <row r="10" spans="2:42">
      <c r="B10" s="98">
        <f t="shared" si="2"/>
        <v>8</v>
      </c>
      <c r="C10" s="126">
        <f ca="1" t="shared" si="3"/>
        <v>294</v>
      </c>
      <c r="D10" s="126">
        <f ca="1" t="shared" si="4"/>
        <v>20</v>
      </c>
      <c r="E10" s="126">
        <f ca="1" t="shared" si="5"/>
        <v>10</v>
      </c>
      <c r="F10" s="126">
        <f ca="1" t="shared" si="6"/>
        <v>1.5</v>
      </c>
      <c r="G10" s="126">
        <f ca="1" t="shared" si="7"/>
        <v>0.125</v>
      </c>
      <c r="H10" s="126">
        <f ca="1" t="shared" si="8"/>
        <v>0.013</v>
      </c>
      <c r="J10" s="97">
        <f t="shared" si="9"/>
        <v>8</v>
      </c>
      <c r="K10" s="106">
        <f ca="1" t="shared" si="10"/>
        <v>147</v>
      </c>
      <c r="L10" s="126">
        <f ca="1" t="shared" si="11"/>
        <v>40</v>
      </c>
      <c r="M10" s="126">
        <f ca="1" t="shared" si="12"/>
        <v>1</v>
      </c>
      <c r="N10" s="126">
        <f ca="1" t="shared" si="13"/>
        <v>6</v>
      </c>
      <c r="O10" s="126">
        <f ca="1" t="shared" si="14"/>
        <v>5</v>
      </c>
      <c r="P10" s="126">
        <f ca="1" t="shared" si="15"/>
        <v>1</v>
      </c>
      <c r="Q10" s="126">
        <f ca="1" t="shared" si="16"/>
        <v>0.5</v>
      </c>
      <c r="R10" s="126">
        <f ca="1" t="shared" si="17"/>
        <v>2</v>
      </c>
      <c r="S10" s="126"/>
      <c r="AG10"/>
      <c r="AH10"/>
      <c r="AI10"/>
      <c r="AJ10"/>
      <c r="AK10"/>
      <c r="AL10"/>
      <c r="AM10"/>
      <c r="AN10"/>
      <c r="AO10"/>
      <c r="AP10"/>
    </row>
    <row r="11" spans="2:42">
      <c r="B11" s="98">
        <f t="shared" si="2"/>
        <v>9</v>
      </c>
      <c r="C11" s="126">
        <f ca="1" t="shared" si="3"/>
        <v>296</v>
      </c>
      <c r="D11" s="126">
        <f ca="1" t="shared" si="4"/>
        <v>20</v>
      </c>
      <c r="E11" s="126">
        <f ca="1" t="shared" si="5"/>
        <v>10</v>
      </c>
      <c r="F11" s="126">
        <f ca="1" t="shared" si="6"/>
        <v>1.5</v>
      </c>
      <c r="G11" s="126">
        <f ca="1" t="shared" si="7"/>
        <v>0.125</v>
      </c>
      <c r="H11" s="126">
        <f ca="1" t="shared" si="8"/>
        <v>0.013</v>
      </c>
      <c r="J11" s="97">
        <f t="shared" si="9"/>
        <v>9</v>
      </c>
      <c r="K11" s="106">
        <f ca="1" t="shared" si="10"/>
        <v>148</v>
      </c>
      <c r="L11" s="126">
        <f ca="1" t="shared" si="11"/>
        <v>40</v>
      </c>
      <c r="M11" s="126">
        <f ca="1" t="shared" si="12"/>
        <v>1</v>
      </c>
      <c r="N11" s="126">
        <f ca="1" t="shared" si="13"/>
        <v>6</v>
      </c>
      <c r="O11" s="126">
        <f ca="1" t="shared" si="14"/>
        <v>5</v>
      </c>
      <c r="P11" s="126">
        <f ca="1" t="shared" si="15"/>
        <v>1</v>
      </c>
      <c r="Q11" s="126">
        <f ca="1" t="shared" si="16"/>
        <v>0.5</v>
      </c>
      <c r="R11" s="126">
        <f ca="1" t="shared" si="17"/>
        <v>2</v>
      </c>
      <c r="S11" s="126"/>
      <c r="AG11"/>
      <c r="AH11"/>
      <c r="AI11"/>
      <c r="AJ11"/>
      <c r="AK11"/>
      <c r="AL11"/>
      <c r="AM11"/>
      <c r="AN11"/>
      <c r="AO11"/>
      <c r="AP11"/>
    </row>
    <row r="12" spans="2:42">
      <c r="B12" s="98">
        <f t="shared" si="2"/>
        <v>10</v>
      </c>
      <c r="C12" s="126">
        <f ca="1" t="shared" si="3"/>
        <v>298</v>
      </c>
      <c r="D12" s="126">
        <f ca="1" t="shared" si="4"/>
        <v>20</v>
      </c>
      <c r="E12" s="126">
        <f ca="1" t="shared" si="5"/>
        <v>10</v>
      </c>
      <c r="F12" s="126">
        <f ca="1" t="shared" si="6"/>
        <v>1.5</v>
      </c>
      <c r="G12" s="126">
        <f ca="1" t="shared" si="7"/>
        <v>0.125</v>
      </c>
      <c r="H12" s="126">
        <f ca="1" t="shared" si="8"/>
        <v>0.013</v>
      </c>
      <c r="J12" s="97">
        <f t="shared" si="9"/>
        <v>10</v>
      </c>
      <c r="K12" s="106">
        <f ca="1" t="shared" si="10"/>
        <v>149</v>
      </c>
      <c r="L12" s="126">
        <f ca="1" t="shared" si="11"/>
        <v>40</v>
      </c>
      <c r="M12" s="126">
        <f ca="1" t="shared" si="12"/>
        <v>1</v>
      </c>
      <c r="N12" s="126">
        <f ca="1" t="shared" si="13"/>
        <v>6</v>
      </c>
      <c r="O12" s="126">
        <f ca="1" t="shared" si="14"/>
        <v>5</v>
      </c>
      <c r="P12" s="126">
        <f ca="1" t="shared" si="15"/>
        <v>1</v>
      </c>
      <c r="Q12" s="126">
        <f ca="1" t="shared" si="16"/>
        <v>0.5</v>
      </c>
      <c r="R12" s="126">
        <f ca="1" t="shared" si="17"/>
        <v>2</v>
      </c>
      <c r="S12" s="126"/>
      <c r="AG12"/>
      <c r="AH12"/>
      <c r="AI12"/>
      <c r="AJ12"/>
      <c r="AK12"/>
      <c r="AL12"/>
      <c r="AM12"/>
      <c r="AN12"/>
      <c r="AO12"/>
      <c r="AP12"/>
    </row>
    <row r="13" spans="2:42">
      <c r="B13" s="98">
        <f t="shared" si="2"/>
        <v>11</v>
      </c>
      <c r="C13" s="126">
        <f ca="1" t="shared" si="3"/>
        <v>300</v>
      </c>
      <c r="D13" s="126">
        <f ca="1" t="shared" si="4"/>
        <v>20</v>
      </c>
      <c r="E13" s="126">
        <f ca="1" t="shared" si="5"/>
        <v>10</v>
      </c>
      <c r="F13" s="126">
        <f ca="1" t="shared" si="6"/>
        <v>1.5</v>
      </c>
      <c r="G13" s="126">
        <f ca="1" t="shared" si="7"/>
        <v>0.125</v>
      </c>
      <c r="H13" s="126">
        <f ca="1" t="shared" si="8"/>
        <v>0.013</v>
      </c>
      <c r="J13" s="97">
        <f t="shared" si="9"/>
        <v>11</v>
      </c>
      <c r="K13" s="106">
        <f ca="1" t="shared" si="10"/>
        <v>150</v>
      </c>
      <c r="L13" s="126">
        <f ca="1" t="shared" si="11"/>
        <v>40</v>
      </c>
      <c r="M13" s="126">
        <f ca="1" t="shared" si="12"/>
        <v>1</v>
      </c>
      <c r="N13" s="126">
        <f ca="1" t="shared" si="13"/>
        <v>6</v>
      </c>
      <c r="O13" s="126">
        <f ca="1" t="shared" si="14"/>
        <v>5</v>
      </c>
      <c r="P13" s="126">
        <f ca="1" t="shared" si="15"/>
        <v>1</v>
      </c>
      <c r="Q13" s="126">
        <f ca="1" t="shared" si="16"/>
        <v>0.5</v>
      </c>
      <c r="R13" s="126">
        <f ca="1" t="shared" si="17"/>
        <v>2</v>
      </c>
      <c r="S13" s="126"/>
      <c r="AG13"/>
      <c r="AH13"/>
      <c r="AI13"/>
      <c r="AJ13"/>
      <c r="AK13"/>
      <c r="AL13"/>
      <c r="AM13"/>
      <c r="AN13"/>
      <c r="AO13"/>
      <c r="AP13"/>
    </row>
    <row r="14" spans="2:42">
      <c r="B14" s="98">
        <f t="shared" si="2"/>
        <v>12</v>
      </c>
      <c r="C14" s="126">
        <f ca="1" t="shared" si="3"/>
        <v>302</v>
      </c>
      <c r="D14" s="126">
        <f ca="1" t="shared" si="4"/>
        <v>20</v>
      </c>
      <c r="E14" s="126">
        <f ca="1" t="shared" si="5"/>
        <v>10</v>
      </c>
      <c r="F14" s="126">
        <f ca="1" t="shared" si="6"/>
        <v>1.5</v>
      </c>
      <c r="G14" s="126">
        <f ca="1" t="shared" si="7"/>
        <v>0.125</v>
      </c>
      <c r="H14" s="126">
        <f ca="1" t="shared" si="8"/>
        <v>0.013</v>
      </c>
      <c r="J14" s="97">
        <f t="shared" si="9"/>
        <v>12</v>
      </c>
      <c r="K14" s="106">
        <f ca="1" t="shared" si="10"/>
        <v>151</v>
      </c>
      <c r="L14" s="126">
        <f ca="1" t="shared" si="11"/>
        <v>40</v>
      </c>
      <c r="M14" s="126">
        <f ca="1" t="shared" si="12"/>
        <v>1</v>
      </c>
      <c r="N14" s="126">
        <f ca="1" t="shared" si="13"/>
        <v>6</v>
      </c>
      <c r="O14" s="126">
        <f ca="1" t="shared" si="14"/>
        <v>5</v>
      </c>
      <c r="P14" s="126">
        <f ca="1" t="shared" si="15"/>
        <v>1</v>
      </c>
      <c r="Q14" s="126">
        <f ca="1" t="shared" si="16"/>
        <v>0.5</v>
      </c>
      <c r="R14" s="126">
        <f ca="1" t="shared" si="17"/>
        <v>2</v>
      </c>
      <c r="S14" s="126"/>
      <c r="AG14"/>
      <c r="AH14"/>
      <c r="AI14"/>
      <c r="AJ14"/>
      <c r="AK14"/>
      <c r="AL14"/>
      <c r="AM14"/>
      <c r="AN14"/>
      <c r="AO14"/>
      <c r="AP14"/>
    </row>
    <row r="15" spans="2:42">
      <c r="B15" s="98">
        <f t="shared" si="2"/>
        <v>13</v>
      </c>
      <c r="C15" s="126">
        <f ca="1" t="shared" si="3"/>
        <v>304</v>
      </c>
      <c r="D15" s="126">
        <f ca="1" t="shared" si="4"/>
        <v>20</v>
      </c>
      <c r="E15" s="126">
        <f ca="1" t="shared" si="5"/>
        <v>10</v>
      </c>
      <c r="F15" s="126">
        <f ca="1" t="shared" si="6"/>
        <v>1.5</v>
      </c>
      <c r="G15" s="126">
        <f ca="1" t="shared" si="7"/>
        <v>0.125</v>
      </c>
      <c r="H15" s="126">
        <f ca="1" t="shared" si="8"/>
        <v>0.013</v>
      </c>
      <c r="J15" s="97">
        <f t="shared" si="9"/>
        <v>13</v>
      </c>
      <c r="K15" s="106">
        <f ca="1" t="shared" si="10"/>
        <v>152</v>
      </c>
      <c r="L15" s="126">
        <f ca="1" t="shared" si="11"/>
        <v>40</v>
      </c>
      <c r="M15" s="126">
        <f ca="1" t="shared" si="12"/>
        <v>1</v>
      </c>
      <c r="N15" s="126">
        <f ca="1" t="shared" si="13"/>
        <v>6</v>
      </c>
      <c r="O15" s="126">
        <f ca="1" t="shared" si="14"/>
        <v>5</v>
      </c>
      <c r="P15" s="126">
        <f ca="1" t="shared" si="15"/>
        <v>1</v>
      </c>
      <c r="Q15" s="126">
        <f ca="1" t="shared" si="16"/>
        <v>0.5</v>
      </c>
      <c r="R15" s="126">
        <f ca="1" t="shared" si="17"/>
        <v>2</v>
      </c>
      <c r="S15" s="126"/>
      <c r="AG15"/>
      <c r="AH15"/>
      <c r="AI15"/>
      <c r="AJ15"/>
      <c r="AK15"/>
      <c r="AL15"/>
      <c r="AM15"/>
      <c r="AN15"/>
      <c r="AO15"/>
      <c r="AP15"/>
    </row>
    <row r="16" spans="2:42">
      <c r="B16" s="98">
        <f t="shared" si="2"/>
        <v>14</v>
      </c>
      <c r="C16" s="126">
        <f ca="1" t="shared" si="3"/>
        <v>306</v>
      </c>
      <c r="D16" s="126">
        <f ca="1" t="shared" si="4"/>
        <v>20</v>
      </c>
      <c r="E16" s="126">
        <f ca="1" t="shared" si="5"/>
        <v>10</v>
      </c>
      <c r="F16" s="126">
        <f ca="1" t="shared" si="6"/>
        <v>1.5</v>
      </c>
      <c r="G16" s="126">
        <f ca="1" t="shared" si="7"/>
        <v>0.125</v>
      </c>
      <c r="H16" s="126">
        <f ca="1" t="shared" si="8"/>
        <v>0.013</v>
      </c>
      <c r="J16" s="97">
        <f t="shared" si="9"/>
        <v>14</v>
      </c>
      <c r="K16" s="106">
        <f ca="1" t="shared" si="10"/>
        <v>153</v>
      </c>
      <c r="L16" s="126">
        <f ca="1" t="shared" si="11"/>
        <v>40</v>
      </c>
      <c r="M16" s="126">
        <f ca="1" t="shared" si="12"/>
        <v>1</v>
      </c>
      <c r="N16" s="126">
        <f ca="1" t="shared" si="13"/>
        <v>6</v>
      </c>
      <c r="O16" s="126">
        <f ca="1" t="shared" si="14"/>
        <v>5</v>
      </c>
      <c r="P16" s="126">
        <f ca="1" t="shared" si="15"/>
        <v>1</v>
      </c>
      <c r="Q16" s="126">
        <f ca="1" t="shared" si="16"/>
        <v>0.5</v>
      </c>
      <c r="R16" s="126">
        <f ca="1" t="shared" si="17"/>
        <v>2</v>
      </c>
      <c r="S16" s="126"/>
      <c r="AG16"/>
      <c r="AH16"/>
      <c r="AI16"/>
      <c r="AJ16"/>
      <c r="AK16"/>
      <c r="AL16"/>
      <c r="AM16"/>
      <c r="AN16"/>
      <c r="AO16"/>
      <c r="AP16"/>
    </row>
    <row r="17" spans="2:42">
      <c r="B17" s="98">
        <f t="shared" si="2"/>
        <v>15</v>
      </c>
      <c r="C17" s="126">
        <f ca="1" t="shared" si="3"/>
        <v>154</v>
      </c>
      <c r="D17" s="126">
        <f ca="1" t="shared" si="4"/>
        <v>20</v>
      </c>
      <c r="E17" s="126">
        <f ca="1" t="shared" si="5"/>
        <v>10</v>
      </c>
      <c r="F17" s="126">
        <f ca="1" t="shared" si="6"/>
        <v>1.5</v>
      </c>
      <c r="G17" s="126">
        <f ca="1" t="shared" si="7"/>
        <v>0.125</v>
      </c>
      <c r="H17" s="126">
        <f ca="1" t="shared" si="8"/>
        <v>0.013</v>
      </c>
      <c r="J17" s="97">
        <f t="shared" si="9"/>
        <v>15</v>
      </c>
      <c r="K17" s="106">
        <f ca="1" t="shared" si="10"/>
        <v>154</v>
      </c>
      <c r="L17" s="126">
        <f ca="1" t="shared" si="11"/>
        <v>40</v>
      </c>
      <c r="M17" s="126">
        <f ca="1" t="shared" si="12"/>
        <v>1</v>
      </c>
      <c r="N17" s="126">
        <f ca="1" t="shared" si="13"/>
        <v>6</v>
      </c>
      <c r="O17" s="126">
        <f ca="1" t="shared" si="14"/>
        <v>5</v>
      </c>
      <c r="P17" s="126">
        <f ca="1" t="shared" si="15"/>
        <v>1</v>
      </c>
      <c r="Q17" s="126">
        <f ca="1" t="shared" si="16"/>
        <v>0.5</v>
      </c>
      <c r="R17" s="126">
        <f ca="1" t="shared" si="17"/>
        <v>2</v>
      </c>
      <c r="S17" s="126"/>
      <c r="AG17"/>
      <c r="AH17"/>
      <c r="AI17"/>
      <c r="AJ17"/>
      <c r="AK17"/>
      <c r="AL17"/>
      <c r="AM17"/>
      <c r="AN17"/>
      <c r="AO17"/>
      <c r="AP17"/>
    </row>
    <row r="18" spans="2:42">
      <c r="B18" s="98">
        <f t="shared" si="2"/>
        <v>16</v>
      </c>
      <c r="C18" s="126">
        <f ca="1" t="shared" si="3"/>
        <v>155</v>
      </c>
      <c r="D18" s="126">
        <f ca="1" t="shared" si="4"/>
        <v>20</v>
      </c>
      <c r="E18" s="126">
        <f ca="1" t="shared" si="5"/>
        <v>10</v>
      </c>
      <c r="F18" s="126">
        <f ca="1" t="shared" si="6"/>
        <v>1.5</v>
      </c>
      <c r="G18" s="126">
        <f ca="1" t="shared" si="7"/>
        <v>0.125</v>
      </c>
      <c r="H18" s="126">
        <f ca="1" t="shared" si="8"/>
        <v>0.013</v>
      </c>
      <c r="J18" s="97">
        <f t="shared" si="9"/>
        <v>16</v>
      </c>
      <c r="K18" s="106">
        <f ca="1" t="shared" si="10"/>
        <v>155</v>
      </c>
      <c r="L18" s="126">
        <f ca="1" t="shared" si="11"/>
        <v>40</v>
      </c>
      <c r="M18" s="126">
        <f ca="1" t="shared" si="12"/>
        <v>1</v>
      </c>
      <c r="N18" s="126">
        <f ca="1" t="shared" si="13"/>
        <v>6</v>
      </c>
      <c r="O18" s="126">
        <f ca="1" t="shared" si="14"/>
        <v>5</v>
      </c>
      <c r="P18" s="126">
        <f ca="1" t="shared" si="15"/>
        <v>1</v>
      </c>
      <c r="Q18" s="126">
        <f ca="1" t="shared" si="16"/>
        <v>0.5</v>
      </c>
      <c r="R18" s="126">
        <f ca="1" t="shared" si="17"/>
        <v>2</v>
      </c>
      <c r="S18" s="126"/>
      <c r="AG18"/>
      <c r="AH18"/>
      <c r="AI18"/>
      <c r="AJ18"/>
      <c r="AK18"/>
      <c r="AL18"/>
      <c r="AM18"/>
      <c r="AN18"/>
      <c r="AO18"/>
      <c r="AP18"/>
    </row>
    <row r="19" spans="2:42">
      <c r="B19" s="98">
        <f t="shared" si="2"/>
        <v>17</v>
      </c>
      <c r="C19" s="126">
        <f ca="1" t="shared" si="3"/>
        <v>156</v>
      </c>
      <c r="D19" s="126">
        <f ca="1" t="shared" si="4"/>
        <v>20</v>
      </c>
      <c r="E19" s="126">
        <f ca="1" t="shared" si="5"/>
        <v>10</v>
      </c>
      <c r="F19" s="126">
        <f ca="1" t="shared" si="6"/>
        <v>1.5</v>
      </c>
      <c r="G19" s="126">
        <f ca="1" t="shared" si="7"/>
        <v>0.125</v>
      </c>
      <c r="H19" s="126">
        <f ca="1" t="shared" si="8"/>
        <v>0.013</v>
      </c>
      <c r="J19" s="97">
        <f t="shared" si="9"/>
        <v>17</v>
      </c>
      <c r="K19" s="106">
        <f ca="1" t="shared" si="10"/>
        <v>156</v>
      </c>
      <c r="L19" s="126">
        <f ca="1" t="shared" si="11"/>
        <v>40</v>
      </c>
      <c r="M19" s="126">
        <f ca="1" t="shared" si="12"/>
        <v>1</v>
      </c>
      <c r="N19" s="126">
        <f ca="1" t="shared" si="13"/>
        <v>6</v>
      </c>
      <c r="O19" s="126">
        <f ca="1" t="shared" si="14"/>
        <v>5</v>
      </c>
      <c r="P19" s="126">
        <f ca="1" t="shared" si="15"/>
        <v>1</v>
      </c>
      <c r="Q19" s="126">
        <f ca="1" t="shared" si="16"/>
        <v>0.5</v>
      </c>
      <c r="R19" s="126">
        <f ca="1" t="shared" si="17"/>
        <v>2</v>
      </c>
      <c r="S19" s="126"/>
      <c r="AG19"/>
      <c r="AH19"/>
      <c r="AI19"/>
      <c r="AJ19"/>
      <c r="AK19"/>
      <c r="AL19"/>
      <c r="AM19"/>
      <c r="AN19"/>
      <c r="AO19"/>
      <c r="AP19"/>
    </row>
    <row r="20" spans="2:42">
      <c r="B20" s="98">
        <f t="shared" si="2"/>
        <v>18</v>
      </c>
      <c r="C20" s="126">
        <f ca="1" t="shared" si="3"/>
        <v>157</v>
      </c>
      <c r="D20" s="126">
        <f ca="1" t="shared" si="4"/>
        <v>20</v>
      </c>
      <c r="E20" s="126">
        <f ca="1" t="shared" si="5"/>
        <v>10</v>
      </c>
      <c r="F20" s="126">
        <f ca="1" t="shared" si="6"/>
        <v>1.5</v>
      </c>
      <c r="G20" s="126">
        <f ca="1" t="shared" si="7"/>
        <v>0.125</v>
      </c>
      <c r="H20" s="126">
        <f ca="1" t="shared" si="8"/>
        <v>0.013</v>
      </c>
      <c r="J20" s="97">
        <f t="shared" si="9"/>
        <v>18</v>
      </c>
      <c r="K20" s="106">
        <f ca="1" t="shared" si="10"/>
        <v>157</v>
      </c>
      <c r="L20" s="126">
        <f ca="1" t="shared" si="11"/>
        <v>40</v>
      </c>
      <c r="M20" s="126">
        <f ca="1" t="shared" si="12"/>
        <v>1</v>
      </c>
      <c r="N20" s="126">
        <f ca="1" t="shared" si="13"/>
        <v>6</v>
      </c>
      <c r="O20" s="126">
        <f ca="1" t="shared" si="14"/>
        <v>5</v>
      </c>
      <c r="P20" s="126">
        <f ca="1" t="shared" si="15"/>
        <v>1</v>
      </c>
      <c r="Q20" s="126">
        <f ca="1" t="shared" si="16"/>
        <v>0.5</v>
      </c>
      <c r="R20" s="126">
        <f ca="1" t="shared" si="17"/>
        <v>2</v>
      </c>
      <c r="S20" s="126"/>
      <c r="AG20"/>
      <c r="AH20"/>
      <c r="AI20"/>
      <c r="AJ20"/>
      <c r="AK20"/>
      <c r="AL20"/>
      <c r="AM20"/>
      <c r="AN20"/>
      <c r="AO20"/>
      <c r="AP20"/>
    </row>
    <row r="21" spans="2:42">
      <c r="B21" s="98">
        <f t="shared" si="2"/>
        <v>19</v>
      </c>
      <c r="C21" s="126">
        <f ca="1" t="shared" si="3"/>
        <v>158</v>
      </c>
      <c r="D21" s="126">
        <f ca="1" t="shared" si="4"/>
        <v>20</v>
      </c>
      <c r="E21" s="126">
        <f ca="1" t="shared" si="5"/>
        <v>10</v>
      </c>
      <c r="F21" s="126">
        <f ca="1" t="shared" si="6"/>
        <v>1.5</v>
      </c>
      <c r="G21" s="126">
        <f ca="1" t="shared" si="7"/>
        <v>0.125</v>
      </c>
      <c r="H21" s="126">
        <f ca="1" t="shared" si="8"/>
        <v>0.013</v>
      </c>
      <c r="J21" s="97">
        <f t="shared" si="9"/>
        <v>19</v>
      </c>
      <c r="K21" s="106">
        <f ca="1" t="shared" si="10"/>
        <v>158</v>
      </c>
      <c r="L21" s="126">
        <f ca="1" t="shared" si="11"/>
        <v>40</v>
      </c>
      <c r="M21" s="126">
        <f ca="1" t="shared" si="12"/>
        <v>1</v>
      </c>
      <c r="N21" s="126">
        <f ca="1" t="shared" si="13"/>
        <v>6</v>
      </c>
      <c r="O21" s="126">
        <f ca="1" t="shared" si="14"/>
        <v>5</v>
      </c>
      <c r="P21" s="126">
        <f ca="1" t="shared" si="15"/>
        <v>1</v>
      </c>
      <c r="Q21" s="126">
        <f ca="1" t="shared" si="16"/>
        <v>0.5</v>
      </c>
      <c r="R21" s="126">
        <f ca="1" t="shared" si="17"/>
        <v>2</v>
      </c>
      <c r="S21" s="126"/>
      <c r="AG21"/>
      <c r="AH21"/>
      <c r="AI21"/>
      <c r="AJ21"/>
      <c r="AK21"/>
      <c r="AL21"/>
      <c r="AM21"/>
      <c r="AN21"/>
      <c r="AO21"/>
      <c r="AP21"/>
    </row>
    <row r="22" spans="2:42">
      <c r="B22" s="98">
        <f t="shared" si="2"/>
        <v>20</v>
      </c>
      <c r="C22" s="126">
        <f ca="1" t="shared" si="3"/>
        <v>159</v>
      </c>
      <c r="D22" s="126">
        <f ca="1" t="shared" si="4"/>
        <v>20</v>
      </c>
      <c r="E22" s="126">
        <f ca="1" t="shared" si="5"/>
        <v>10</v>
      </c>
      <c r="F22" s="126">
        <f ca="1" t="shared" si="6"/>
        <v>1.5</v>
      </c>
      <c r="G22" s="126">
        <f ca="1" t="shared" si="7"/>
        <v>0.125</v>
      </c>
      <c r="H22" s="126">
        <f ca="1" t="shared" si="8"/>
        <v>0.013</v>
      </c>
      <c r="J22" s="97">
        <f t="shared" si="9"/>
        <v>20</v>
      </c>
      <c r="K22" s="106">
        <f ca="1" t="shared" si="10"/>
        <v>159</v>
      </c>
      <c r="L22" s="126">
        <f ca="1" t="shared" si="11"/>
        <v>40</v>
      </c>
      <c r="M22" s="126">
        <f ca="1" t="shared" si="12"/>
        <v>1</v>
      </c>
      <c r="N22" s="126">
        <f ca="1" t="shared" si="13"/>
        <v>6</v>
      </c>
      <c r="O22" s="126">
        <f ca="1" t="shared" si="14"/>
        <v>5</v>
      </c>
      <c r="P22" s="126">
        <f ca="1" t="shared" si="15"/>
        <v>1</v>
      </c>
      <c r="Q22" s="126">
        <f ca="1" t="shared" si="16"/>
        <v>0.5</v>
      </c>
      <c r="R22" s="126">
        <f ca="1" t="shared" si="17"/>
        <v>2</v>
      </c>
      <c r="S22" s="126"/>
      <c r="AG22"/>
      <c r="AH22"/>
      <c r="AI22"/>
      <c r="AJ22"/>
      <c r="AK22"/>
      <c r="AL22"/>
      <c r="AM22"/>
      <c r="AN22"/>
      <c r="AO22"/>
      <c r="AP22"/>
    </row>
    <row r="23" spans="2:42">
      <c r="B23" s="98">
        <f t="shared" si="2"/>
        <v>21</v>
      </c>
      <c r="C23" s="126">
        <f ca="1" t="shared" si="3"/>
        <v>160</v>
      </c>
      <c r="D23" s="126">
        <f ca="1" t="shared" si="4"/>
        <v>20</v>
      </c>
      <c r="E23" s="126">
        <f ca="1" t="shared" si="5"/>
        <v>10</v>
      </c>
      <c r="F23" s="126">
        <f ca="1" t="shared" si="6"/>
        <v>1.5</v>
      </c>
      <c r="G23" s="126">
        <f ca="1" t="shared" si="7"/>
        <v>0.125</v>
      </c>
      <c r="H23" s="126">
        <f ca="1" t="shared" si="8"/>
        <v>0.013</v>
      </c>
      <c r="J23" s="97">
        <f t="shared" si="9"/>
        <v>21</v>
      </c>
      <c r="K23" s="106">
        <f ca="1" t="shared" si="10"/>
        <v>160</v>
      </c>
      <c r="L23" s="126">
        <f ca="1" t="shared" si="11"/>
        <v>40</v>
      </c>
      <c r="M23" s="126">
        <f ca="1" t="shared" si="12"/>
        <v>1</v>
      </c>
      <c r="N23" s="126">
        <f ca="1" t="shared" si="13"/>
        <v>6</v>
      </c>
      <c r="O23" s="126">
        <f ca="1" t="shared" si="14"/>
        <v>5</v>
      </c>
      <c r="P23" s="126">
        <f ca="1" t="shared" si="15"/>
        <v>1</v>
      </c>
      <c r="Q23" s="126">
        <f ca="1" t="shared" si="16"/>
        <v>0.5</v>
      </c>
      <c r="R23" s="126">
        <f ca="1" t="shared" si="17"/>
        <v>2</v>
      </c>
      <c r="S23" s="126"/>
      <c r="AG23"/>
      <c r="AH23"/>
      <c r="AI23"/>
      <c r="AJ23"/>
      <c r="AK23"/>
      <c r="AL23"/>
      <c r="AM23"/>
      <c r="AN23"/>
      <c r="AO23"/>
      <c r="AP23"/>
    </row>
    <row r="24" spans="2:42">
      <c r="B24" s="98">
        <f t="shared" si="2"/>
        <v>22</v>
      </c>
      <c r="C24" s="126">
        <f ca="1" t="shared" si="3"/>
        <v>161</v>
      </c>
      <c r="D24" s="126">
        <f ca="1" t="shared" si="4"/>
        <v>20</v>
      </c>
      <c r="E24" s="126">
        <f ca="1" t="shared" si="5"/>
        <v>10</v>
      </c>
      <c r="F24" s="126">
        <f ca="1" t="shared" si="6"/>
        <v>1.5</v>
      </c>
      <c r="G24" s="126">
        <f ca="1" t="shared" si="7"/>
        <v>0.125</v>
      </c>
      <c r="H24" s="126">
        <f ca="1" t="shared" si="8"/>
        <v>0.013</v>
      </c>
      <c r="J24" s="97">
        <f t="shared" si="9"/>
        <v>22</v>
      </c>
      <c r="K24" s="106">
        <f ca="1" t="shared" si="10"/>
        <v>161</v>
      </c>
      <c r="L24" s="126">
        <f ca="1" t="shared" si="11"/>
        <v>40</v>
      </c>
      <c r="M24" s="126">
        <f ca="1" t="shared" si="12"/>
        <v>1</v>
      </c>
      <c r="N24" s="126">
        <f ca="1" t="shared" si="13"/>
        <v>6</v>
      </c>
      <c r="O24" s="126">
        <f ca="1" t="shared" si="14"/>
        <v>5</v>
      </c>
      <c r="P24" s="126">
        <f ca="1" t="shared" si="15"/>
        <v>1</v>
      </c>
      <c r="Q24" s="126">
        <f ca="1" t="shared" si="16"/>
        <v>0.5</v>
      </c>
      <c r="R24" s="126">
        <f ca="1" t="shared" si="17"/>
        <v>2</v>
      </c>
      <c r="S24" s="126"/>
      <c r="AG24"/>
      <c r="AH24"/>
      <c r="AI24"/>
      <c r="AJ24"/>
      <c r="AK24"/>
      <c r="AL24"/>
      <c r="AM24"/>
      <c r="AN24"/>
      <c r="AO24"/>
      <c r="AP24"/>
    </row>
    <row r="25" spans="2:42">
      <c r="B25" s="98">
        <f t="shared" si="2"/>
        <v>23</v>
      </c>
      <c r="C25" s="126">
        <f ca="1" t="shared" si="3"/>
        <v>162</v>
      </c>
      <c r="D25" s="126">
        <f ca="1" t="shared" si="4"/>
        <v>20</v>
      </c>
      <c r="E25" s="126">
        <f ca="1" t="shared" si="5"/>
        <v>10</v>
      </c>
      <c r="F25" s="126">
        <f ca="1" t="shared" si="6"/>
        <v>1.5</v>
      </c>
      <c r="G25" s="126">
        <f ca="1" t="shared" si="7"/>
        <v>0.125</v>
      </c>
      <c r="H25" s="126">
        <f ca="1" t="shared" si="8"/>
        <v>0.013</v>
      </c>
      <c r="J25" s="97">
        <f t="shared" si="9"/>
        <v>23</v>
      </c>
      <c r="K25" s="106">
        <f ca="1" t="shared" si="10"/>
        <v>162</v>
      </c>
      <c r="L25" s="126">
        <f ca="1" t="shared" si="11"/>
        <v>40</v>
      </c>
      <c r="M25" s="126">
        <f ca="1" t="shared" si="12"/>
        <v>1</v>
      </c>
      <c r="N25" s="126">
        <f ca="1" t="shared" si="13"/>
        <v>6</v>
      </c>
      <c r="O25" s="126">
        <f ca="1" t="shared" si="14"/>
        <v>5</v>
      </c>
      <c r="P25" s="126">
        <f ca="1" t="shared" si="15"/>
        <v>1</v>
      </c>
      <c r="Q25" s="126">
        <f ca="1" t="shared" si="16"/>
        <v>0.5</v>
      </c>
      <c r="R25" s="126">
        <f ca="1" t="shared" si="17"/>
        <v>2</v>
      </c>
      <c r="S25" s="126"/>
      <c r="AG25"/>
      <c r="AH25"/>
      <c r="AI25"/>
      <c r="AJ25"/>
      <c r="AK25"/>
      <c r="AL25"/>
      <c r="AM25"/>
      <c r="AN25"/>
      <c r="AO25"/>
      <c r="AP25"/>
    </row>
    <row r="26" spans="2:42">
      <c r="B26" s="98">
        <f t="shared" si="2"/>
        <v>24</v>
      </c>
      <c r="C26" s="126">
        <f ca="1" t="shared" si="3"/>
        <v>163</v>
      </c>
      <c r="D26" s="126">
        <f ca="1" t="shared" si="4"/>
        <v>20</v>
      </c>
      <c r="E26" s="126">
        <f ca="1" t="shared" si="5"/>
        <v>10</v>
      </c>
      <c r="F26" s="126">
        <f ca="1" t="shared" si="6"/>
        <v>1.5</v>
      </c>
      <c r="G26" s="126">
        <f ca="1" t="shared" si="7"/>
        <v>0.125</v>
      </c>
      <c r="H26" s="126">
        <f ca="1" t="shared" si="8"/>
        <v>0.013</v>
      </c>
      <c r="J26" s="97">
        <f t="shared" si="9"/>
        <v>24</v>
      </c>
      <c r="K26" s="106">
        <f ca="1" t="shared" si="10"/>
        <v>163</v>
      </c>
      <c r="L26" s="126">
        <f ca="1" t="shared" si="11"/>
        <v>40</v>
      </c>
      <c r="M26" s="126">
        <f ca="1" t="shared" si="12"/>
        <v>1</v>
      </c>
      <c r="N26" s="126">
        <f ca="1" t="shared" si="13"/>
        <v>6</v>
      </c>
      <c r="O26" s="126">
        <f ca="1" t="shared" si="14"/>
        <v>5</v>
      </c>
      <c r="P26" s="126">
        <f ca="1" t="shared" si="15"/>
        <v>1</v>
      </c>
      <c r="Q26" s="126">
        <f ca="1" t="shared" si="16"/>
        <v>0.5</v>
      </c>
      <c r="R26" s="126">
        <f ca="1" t="shared" si="17"/>
        <v>2</v>
      </c>
      <c r="S26" s="126"/>
      <c r="AG26"/>
      <c r="AH26"/>
      <c r="AI26"/>
      <c r="AJ26"/>
      <c r="AK26"/>
      <c r="AL26"/>
      <c r="AM26"/>
      <c r="AN26"/>
      <c r="AO26"/>
      <c r="AP26"/>
    </row>
    <row r="27" spans="2:42">
      <c r="B27" s="98">
        <f t="shared" si="2"/>
        <v>25</v>
      </c>
      <c r="C27" s="126">
        <f ca="1" t="shared" si="3"/>
        <v>164</v>
      </c>
      <c r="D27" s="126">
        <f ca="1" t="shared" si="4"/>
        <v>20</v>
      </c>
      <c r="E27" s="126">
        <f ca="1" t="shared" si="5"/>
        <v>10</v>
      </c>
      <c r="F27" s="126">
        <f ca="1" t="shared" si="6"/>
        <v>1.5</v>
      </c>
      <c r="G27" s="126">
        <f ca="1" t="shared" si="7"/>
        <v>0.125</v>
      </c>
      <c r="H27" s="126">
        <f ca="1" t="shared" si="8"/>
        <v>0.013</v>
      </c>
      <c r="J27" s="97">
        <f t="shared" si="9"/>
        <v>25</v>
      </c>
      <c r="K27" s="106">
        <f ca="1" t="shared" si="10"/>
        <v>164</v>
      </c>
      <c r="L27" s="126">
        <f ca="1" t="shared" si="11"/>
        <v>40</v>
      </c>
      <c r="M27" s="126">
        <f ca="1" t="shared" si="12"/>
        <v>1</v>
      </c>
      <c r="N27" s="126">
        <f ca="1" t="shared" si="13"/>
        <v>6</v>
      </c>
      <c r="O27" s="126">
        <f ca="1" t="shared" si="14"/>
        <v>5</v>
      </c>
      <c r="P27" s="126">
        <f ca="1" t="shared" si="15"/>
        <v>1</v>
      </c>
      <c r="Q27" s="126">
        <f ca="1" t="shared" si="16"/>
        <v>0.5</v>
      </c>
      <c r="R27" s="126">
        <f ca="1" t="shared" si="17"/>
        <v>2</v>
      </c>
      <c r="S27" s="126"/>
      <c r="AG27"/>
      <c r="AH27"/>
      <c r="AI27"/>
      <c r="AJ27"/>
      <c r="AK27"/>
      <c r="AL27"/>
      <c r="AM27"/>
      <c r="AN27"/>
      <c r="AO27"/>
      <c r="AP27"/>
    </row>
    <row r="28" spans="2:42">
      <c r="B28" s="98">
        <f t="shared" si="2"/>
        <v>26</v>
      </c>
      <c r="C28" s="126">
        <f ca="1" t="shared" si="3"/>
        <v>165</v>
      </c>
      <c r="D28" s="126">
        <f ca="1" t="shared" si="4"/>
        <v>20</v>
      </c>
      <c r="E28" s="126">
        <f ca="1" t="shared" si="5"/>
        <v>10</v>
      </c>
      <c r="F28" s="126">
        <f ca="1" t="shared" si="6"/>
        <v>1.5</v>
      </c>
      <c r="G28" s="126">
        <f ca="1" t="shared" si="7"/>
        <v>0.125</v>
      </c>
      <c r="H28" s="126">
        <f ca="1" t="shared" si="8"/>
        <v>0.013</v>
      </c>
      <c r="J28" s="97">
        <f t="shared" si="9"/>
        <v>26</v>
      </c>
      <c r="K28" s="106">
        <f ca="1" t="shared" si="10"/>
        <v>165</v>
      </c>
      <c r="L28" s="126">
        <f ca="1" t="shared" si="11"/>
        <v>40</v>
      </c>
      <c r="M28" s="126">
        <f ca="1" t="shared" si="12"/>
        <v>1</v>
      </c>
      <c r="N28" s="126">
        <f ca="1" t="shared" si="13"/>
        <v>6</v>
      </c>
      <c r="O28" s="126">
        <f ca="1" t="shared" si="14"/>
        <v>5</v>
      </c>
      <c r="P28" s="126">
        <f ca="1" t="shared" si="15"/>
        <v>1</v>
      </c>
      <c r="Q28" s="126">
        <f ca="1" t="shared" si="16"/>
        <v>0.5</v>
      </c>
      <c r="R28" s="126">
        <f ca="1" t="shared" si="17"/>
        <v>2</v>
      </c>
      <c r="S28" s="126"/>
      <c r="AG28"/>
      <c r="AH28"/>
      <c r="AI28"/>
      <c r="AJ28"/>
      <c r="AK28"/>
      <c r="AL28"/>
      <c r="AM28"/>
      <c r="AN28"/>
      <c r="AO28"/>
      <c r="AP28"/>
    </row>
    <row r="29" spans="2:42">
      <c r="B29" s="98">
        <f t="shared" si="2"/>
        <v>27</v>
      </c>
      <c r="C29" s="126">
        <f ca="1" t="shared" si="3"/>
        <v>166</v>
      </c>
      <c r="D29" s="126">
        <f ca="1" t="shared" si="4"/>
        <v>20</v>
      </c>
      <c r="E29" s="126">
        <f ca="1" t="shared" si="5"/>
        <v>10</v>
      </c>
      <c r="F29" s="126">
        <f ca="1" t="shared" si="6"/>
        <v>1.5</v>
      </c>
      <c r="G29" s="126">
        <f ca="1" t="shared" si="7"/>
        <v>0.125</v>
      </c>
      <c r="H29" s="126">
        <f ca="1" t="shared" si="8"/>
        <v>0.013</v>
      </c>
      <c r="J29" s="97">
        <f t="shared" si="9"/>
        <v>27</v>
      </c>
      <c r="K29" s="106">
        <f ca="1" t="shared" si="10"/>
        <v>166</v>
      </c>
      <c r="L29" s="126">
        <f ca="1" t="shared" si="11"/>
        <v>40</v>
      </c>
      <c r="M29" s="126">
        <f ca="1" t="shared" si="12"/>
        <v>1</v>
      </c>
      <c r="N29" s="126">
        <f ca="1" t="shared" si="13"/>
        <v>6</v>
      </c>
      <c r="O29" s="126">
        <f ca="1" t="shared" si="14"/>
        <v>5</v>
      </c>
      <c r="P29" s="126">
        <f ca="1" t="shared" si="15"/>
        <v>1</v>
      </c>
      <c r="Q29" s="126">
        <f ca="1" t="shared" si="16"/>
        <v>0.5</v>
      </c>
      <c r="R29" s="126">
        <f ca="1" t="shared" si="17"/>
        <v>2</v>
      </c>
      <c r="S29" s="126"/>
      <c r="AG29"/>
      <c r="AH29"/>
      <c r="AI29"/>
      <c r="AJ29"/>
      <c r="AK29"/>
      <c r="AL29"/>
      <c r="AM29"/>
      <c r="AN29"/>
      <c r="AO29"/>
      <c r="AP29"/>
    </row>
    <row r="30" spans="2:42">
      <c r="B30" s="98">
        <f t="shared" si="2"/>
        <v>28</v>
      </c>
      <c r="C30" s="126">
        <f ca="1" t="shared" si="3"/>
        <v>167</v>
      </c>
      <c r="D30" s="126">
        <f ca="1" t="shared" si="4"/>
        <v>20</v>
      </c>
      <c r="E30" s="126">
        <f ca="1" t="shared" si="5"/>
        <v>10</v>
      </c>
      <c r="F30" s="126">
        <f ca="1" t="shared" si="6"/>
        <v>1.5</v>
      </c>
      <c r="G30" s="126">
        <f ca="1" t="shared" si="7"/>
        <v>0.125</v>
      </c>
      <c r="H30" s="126">
        <f ca="1" t="shared" si="8"/>
        <v>0.013</v>
      </c>
      <c r="J30" s="97">
        <f t="shared" si="9"/>
        <v>28</v>
      </c>
      <c r="K30" s="106">
        <f ca="1" t="shared" si="10"/>
        <v>167</v>
      </c>
      <c r="L30" s="126">
        <f ca="1" t="shared" si="11"/>
        <v>40</v>
      </c>
      <c r="M30" s="126">
        <f ca="1" t="shared" si="12"/>
        <v>1</v>
      </c>
      <c r="N30" s="126">
        <f ca="1" t="shared" si="13"/>
        <v>6</v>
      </c>
      <c r="O30" s="126">
        <f ca="1" t="shared" si="14"/>
        <v>5</v>
      </c>
      <c r="P30" s="126">
        <f ca="1" t="shared" si="15"/>
        <v>1</v>
      </c>
      <c r="Q30" s="126">
        <f ca="1" t="shared" si="16"/>
        <v>0.5</v>
      </c>
      <c r="R30" s="126">
        <f ca="1" t="shared" si="17"/>
        <v>2</v>
      </c>
      <c r="S30" s="126"/>
      <c r="AG30"/>
      <c r="AH30"/>
      <c r="AI30"/>
      <c r="AJ30"/>
      <c r="AK30"/>
      <c r="AL30"/>
      <c r="AM30"/>
      <c r="AN30"/>
      <c r="AO30"/>
      <c r="AP30"/>
    </row>
    <row r="31" spans="2:42">
      <c r="B31" s="98">
        <f t="shared" si="2"/>
        <v>29</v>
      </c>
      <c r="C31" s="126">
        <f ca="1" t="shared" si="3"/>
        <v>168</v>
      </c>
      <c r="D31" s="126">
        <f ca="1" t="shared" si="4"/>
        <v>20</v>
      </c>
      <c r="E31" s="126">
        <f ca="1" t="shared" si="5"/>
        <v>10</v>
      </c>
      <c r="F31" s="126">
        <f ca="1" t="shared" si="6"/>
        <v>1.5</v>
      </c>
      <c r="G31" s="126">
        <f ca="1" t="shared" si="7"/>
        <v>0.125</v>
      </c>
      <c r="H31" s="126">
        <f ca="1" t="shared" si="8"/>
        <v>0.013</v>
      </c>
      <c r="J31" s="97">
        <f t="shared" si="9"/>
        <v>29</v>
      </c>
      <c r="K31" s="106">
        <f ca="1" t="shared" si="10"/>
        <v>168</v>
      </c>
      <c r="L31" s="126">
        <f ca="1" t="shared" si="11"/>
        <v>40</v>
      </c>
      <c r="M31" s="126">
        <f ca="1" t="shared" si="12"/>
        <v>1</v>
      </c>
      <c r="N31" s="126">
        <f ca="1" t="shared" si="13"/>
        <v>6</v>
      </c>
      <c r="O31" s="126">
        <f ca="1" t="shared" si="14"/>
        <v>5</v>
      </c>
      <c r="P31" s="126">
        <f ca="1" t="shared" si="15"/>
        <v>1</v>
      </c>
      <c r="Q31" s="126">
        <f ca="1" t="shared" si="16"/>
        <v>0.5</v>
      </c>
      <c r="R31" s="126">
        <f ca="1" t="shared" si="17"/>
        <v>2</v>
      </c>
      <c r="S31" s="126"/>
      <c r="AG31"/>
      <c r="AH31"/>
      <c r="AI31"/>
      <c r="AJ31"/>
      <c r="AK31"/>
      <c r="AL31"/>
      <c r="AM31"/>
      <c r="AN31"/>
      <c r="AO31"/>
      <c r="AP31"/>
    </row>
    <row r="32" spans="2:42">
      <c r="B32" s="98">
        <f t="shared" si="2"/>
        <v>30</v>
      </c>
      <c r="C32" s="126">
        <f ca="1" t="shared" si="3"/>
        <v>169</v>
      </c>
      <c r="D32" s="126">
        <f ca="1" t="shared" si="4"/>
        <v>20</v>
      </c>
      <c r="E32" s="126">
        <f ca="1" t="shared" si="5"/>
        <v>10</v>
      </c>
      <c r="F32" s="126">
        <f ca="1" t="shared" si="6"/>
        <v>1.5</v>
      </c>
      <c r="G32" s="126">
        <f ca="1" t="shared" si="7"/>
        <v>0.125</v>
      </c>
      <c r="H32" s="126">
        <f ca="1" t="shared" si="8"/>
        <v>0.013</v>
      </c>
      <c r="J32" s="97">
        <f t="shared" si="9"/>
        <v>30</v>
      </c>
      <c r="K32" s="106">
        <f ca="1" t="shared" si="10"/>
        <v>169</v>
      </c>
      <c r="L32" s="126">
        <f ca="1" t="shared" si="11"/>
        <v>40</v>
      </c>
      <c r="M32" s="126">
        <f ca="1" t="shared" si="12"/>
        <v>1</v>
      </c>
      <c r="N32" s="126">
        <f ca="1" t="shared" si="13"/>
        <v>6</v>
      </c>
      <c r="O32" s="126">
        <f ca="1" t="shared" si="14"/>
        <v>5</v>
      </c>
      <c r="P32" s="126">
        <f ca="1" t="shared" si="15"/>
        <v>1</v>
      </c>
      <c r="Q32" s="126">
        <f ca="1" t="shared" si="16"/>
        <v>0.5</v>
      </c>
      <c r="R32" s="126">
        <f ca="1" t="shared" si="17"/>
        <v>2</v>
      </c>
      <c r="S32" s="126"/>
      <c r="AG32"/>
      <c r="AH32"/>
      <c r="AI32"/>
      <c r="AJ32"/>
      <c r="AK32"/>
      <c r="AL32"/>
      <c r="AM32"/>
      <c r="AN32"/>
      <c r="AO32"/>
      <c r="AP32"/>
    </row>
    <row r="33" spans="2:42">
      <c r="B33" s="98">
        <f t="shared" si="2"/>
        <v>31</v>
      </c>
      <c r="C33" s="126">
        <f ca="1" t="shared" si="3"/>
        <v>170</v>
      </c>
      <c r="D33" s="126">
        <f ca="1" t="shared" si="4"/>
        <v>20</v>
      </c>
      <c r="E33" s="126">
        <f ca="1" t="shared" si="5"/>
        <v>10</v>
      </c>
      <c r="F33" s="126">
        <f ca="1" t="shared" si="6"/>
        <v>1.5</v>
      </c>
      <c r="G33" s="126">
        <f ca="1" t="shared" si="7"/>
        <v>0.125</v>
      </c>
      <c r="H33" s="126">
        <f ca="1" t="shared" si="8"/>
        <v>0.013</v>
      </c>
      <c r="J33" s="97">
        <f t="shared" si="9"/>
        <v>31</v>
      </c>
      <c r="K33" s="106">
        <f ca="1" t="shared" si="10"/>
        <v>170</v>
      </c>
      <c r="L33" s="126">
        <f ca="1" t="shared" si="11"/>
        <v>40</v>
      </c>
      <c r="M33" s="126">
        <f ca="1" t="shared" si="12"/>
        <v>1</v>
      </c>
      <c r="N33" s="126">
        <f ca="1" t="shared" si="13"/>
        <v>6</v>
      </c>
      <c r="O33" s="126">
        <f ca="1" t="shared" si="14"/>
        <v>5</v>
      </c>
      <c r="P33" s="126">
        <f ca="1" t="shared" si="15"/>
        <v>1</v>
      </c>
      <c r="Q33" s="126">
        <f ca="1" t="shared" si="16"/>
        <v>0.5</v>
      </c>
      <c r="R33" s="126">
        <f ca="1" t="shared" si="17"/>
        <v>2</v>
      </c>
      <c r="S33" s="126"/>
      <c r="AG33"/>
      <c r="AH33"/>
      <c r="AI33"/>
      <c r="AJ33"/>
      <c r="AK33"/>
      <c r="AL33"/>
      <c r="AM33"/>
      <c r="AN33"/>
      <c r="AO33"/>
      <c r="AP33"/>
    </row>
    <row r="34" spans="2:42">
      <c r="B34" s="98">
        <f t="shared" si="2"/>
        <v>32</v>
      </c>
      <c r="C34" s="126">
        <f ca="1" t="shared" si="3"/>
        <v>171</v>
      </c>
      <c r="D34" s="126">
        <f ca="1" t="shared" si="4"/>
        <v>20</v>
      </c>
      <c r="E34" s="126">
        <f ca="1" t="shared" si="5"/>
        <v>10</v>
      </c>
      <c r="F34" s="126">
        <f ca="1" t="shared" si="6"/>
        <v>1.5</v>
      </c>
      <c r="G34" s="126">
        <f ca="1" t="shared" si="7"/>
        <v>0.125</v>
      </c>
      <c r="H34" s="126">
        <f ca="1" t="shared" si="8"/>
        <v>0.013</v>
      </c>
      <c r="J34" s="97">
        <f t="shared" si="9"/>
        <v>32</v>
      </c>
      <c r="K34" s="106">
        <f ca="1" t="shared" si="10"/>
        <v>171</v>
      </c>
      <c r="L34" s="126">
        <f ca="1" t="shared" si="11"/>
        <v>40</v>
      </c>
      <c r="M34" s="126">
        <f ca="1" t="shared" si="12"/>
        <v>1</v>
      </c>
      <c r="N34" s="126">
        <f ca="1" t="shared" si="13"/>
        <v>6</v>
      </c>
      <c r="O34" s="126">
        <f ca="1" t="shared" si="14"/>
        <v>5</v>
      </c>
      <c r="P34" s="126">
        <f ca="1" t="shared" si="15"/>
        <v>1</v>
      </c>
      <c r="Q34" s="126">
        <f ca="1" t="shared" si="16"/>
        <v>0.5</v>
      </c>
      <c r="R34" s="126">
        <f ca="1" t="shared" si="17"/>
        <v>2</v>
      </c>
      <c r="S34" s="126"/>
      <c r="AG34"/>
      <c r="AH34"/>
      <c r="AI34"/>
      <c r="AJ34"/>
      <c r="AK34"/>
      <c r="AL34"/>
      <c r="AM34"/>
      <c r="AN34"/>
      <c r="AO34"/>
      <c r="AP34"/>
    </row>
    <row r="35" spans="2:42">
      <c r="B35" s="98">
        <f t="shared" si="2"/>
        <v>33</v>
      </c>
      <c r="C35" s="126">
        <f ca="1" t="shared" si="3"/>
        <v>172</v>
      </c>
      <c r="D35" s="126">
        <f ca="1" t="shared" si="4"/>
        <v>20</v>
      </c>
      <c r="E35" s="126">
        <f ca="1" t="shared" si="5"/>
        <v>10</v>
      </c>
      <c r="F35" s="126">
        <f ca="1" t="shared" si="6"/>
        <v>1.5</v>
      </c>
      <c r="G35" s="126">
        <f ca="1" t="shared" si="7"/>
        <v>0.125</v>
      </c>
      <c r="H35" s="126">
        <f ca="1" t="shared" si="8"/>
        <v>0.013</v>
      </c>
      <c r="J35" s="97">
        <f t="shared" si="9"/>
        <v>33</v>
      </c>
      <c r="K35" s="106">
        <f ca="1" t="shared" si="10"/>
        <v>172</v>
      </c>
      <c r="L35" s="126">
        <f ca="1" t="shared" si="11"/>
        <v>40</v>
      </c>
      <c r="M35" s="126">
        <f ca="1" t="shared" si="12"/>
        <v>1</v>
      </c>
      <c r="N35" s="126">
        <f ca="1" t="shared" si="13"/>
        <v>6</v>
      </c>
      <c r="O35" s="126">
        <f ca="1" t="shared" si="14"/>
        <v>5</v>
      </c>
      <c r="P35" s="126">
        <f ca="1" t="shared" si="15"/>
        <v>1</v>
      </c>
      <c r="Q35" s="126">
        <f ca="1" t="shared" si="16"/>
        <v>0.5</v>
      </c>
      <c r="R35" s="126">
        <f ca="1" t="shared" si="17"/>
        <v>2</v>
      </c>
      <c r="S35" s="126"/>
      <c r="AG35"/>
      <c r="AH35"/>
      <c r="AI35"/>
      <c r="AJ35"/>
      <c r="AK35"/>
      <c r="AL35"/>
      <c r="AM35"/>
      <c r="AN35"/>
      <c r="AO35"/>
      <c r="AP35"/>
    </row>
    <row r="36" spans="2:42">
      <c r="B36" s="98">
        <f t="shared" si="2"/>
        <v>34</v>
      </c>
      <c r="C36" s="126">
        <f ca="1" t="shared" si="3"/>
        <v>173</v>
      </c>
      <c r="D36" s="126">
        <f ca="1" t="shared" si="4"/>
        <v>20</v>
      </c>
      <c r="E36" s="126">
        <f ca="1" t="shared" si="5"/>
        <v>10</v>
      </c>
      <c r="F36" s="126">
        <f ca="1" t="shared" si="6"/>
        <v>1.5</v>
      </c>
      <c r="G36" s="126">
        <f ca="1" t="shared" si="7"/>
        <v>0.125</v>
      </c>
      <c r="H36" s="126">
        <f ca="1" t="shared" si="8"/>
        <v>0.013</v>
      </c>
      <c r="J36" s="97">
        <f t="shared" si="9"/>
        <v>34</v>
      </c>
      <c r="K36" s="106">
        <f ca="1" t="shared" si="10"/>
        <v>173</v>
      </c>
      <c r="L36" s="126">
        <f ca="1" t="shared" si="11"/>
        <v>40</v>
      </c>
      <c r="M36" s="126">
        <f ca="1" t="shared" si="12"/>
        <v>1</v>
      </c>
      <c r="N36" s="126">
        <f ca="1" t="shared" si="13"/>
        <v>6</v>
      </c>
      <c r="O36" s="126">
        <f ca="1" t="shared" si="14"/>
        <v>5</v>
      </c>
      <c r="P36" s="126">
        <f ca="1" t="shared" si="15"/>
        <v>1</v>
      </c>
      <c r="Q36" s="126">
        <f ca="1" t="shared" si="16"/>
        <v>0.5</v>
      </c>
      <c r="R36" s="126">
        <f ca="1" t="shared" si="17"/>
        <v>2</v>
      </c>
      <c r="S36" s="126"/>
      <c r="AG36"/>
      <c r="AH36"/>
      <c r="AI36"/>
      <c r="AJ36"/>
      <c r="AK36"/>
      <c r="AL36"/>
      <c r="AM36"/>
      <c r="AN36"/>
      <c r="AO36"/>
      <c r="AP36"/>
    </row>
    <row r="37" spans="2:42">
      <c r="B37" s="98">
        <f t="shared" si="2"/>
        <v>35</v>
      </c>
      <c r="C37" s="126">
        <f ca="1" t="shared" si="3"/>
        <v>174</v>
      </c>
      <c r="D37" s="126">
        <f ca="1" t="shared" si="4"/>
        <v>20</v>
      </c>
      <c r="E37" s="126">
        <f ca="1" t="shared" si="5"/>
        <v>10</v>
      </c>
      <c r="F37" s="126">
        <f ca="1" t="shared" si="6"/>
        <v>1.5</v>
      </c>
      <c r="G37" s="126">
        <f ca="1" t="shared" si="7"/>
        <v>0.125</v>
      </c>
      <c r="H37" s="126">
        <f ca="1" t="shared" si="8"/>
        <v>0.013</v>
      </c>
      <c r="J37" s="97">
        <f t="shared" si="9"/>
        <v>35</v>
      </c>
      <c r="K37" s="106">
        <f ca="1" t="shared" si="10"/>
        <v>174</v>
      </c>
      <c r="L37" s="126">
        <f ca="1" t="shared" si="11"/>
        <v>40</v>
      </c>
      <c r="M37" s="126">
        <f ca="1" t="shared" si="12"/>
        <v>1</v>
      </c>
      <c r="N37" s="126">
        <f ca="1" t="shared" si="13"/>
        <v>6</v>
      </c>
      <c r="O37" s="126">
        <f ca="1" t="shared" si="14"/>
        <v>5</v>
      </c>
      <c r="P37" s="126">
        <f ca="1" t="shared" si="15"/>
        <v>1</v>
      </c>
      <c r="Q37" s="126">
        <f ca="1" t="shared" si="16"/>
        <v>0.5</v>
      </c>
      <c r="R37" s="126">
        <f ca="1" t="shared" si="17"/>
        <v>2</v>
      </c>
      <c r="S37" s="126"/>
      <c r="AG37"/>
      <c r="AH37"/>
      <c r="AI37"/>
      <c r="AJ37"/>
      <c r="AK37"/>
      <c r="AL37"/>
      <c r="AM37"/>
      <c r="AN37"/>
      <c r="AO37"/>
      <c r="AP37"/>
    </row>
    <row r="38" spans="2:42">
      <c r="B38" s="98">
        <f t="shared" si="2"/>
        <v>36</v>
      </c>
      <c r="C38" s="126">
        <f ca="1" t="shared" si="3"/>
        <v>175</v>
      </c>
      <c r="D38" s="126">
        <f ca="1" t="shared" si="4"/>
        <v>20</v>
      </c>
      <c r="E38" s="126">
        <f ca="1" t="shared" si="5"/>
        <v>10</v>
      </c>
      <c r="F38" s="126">
        <f ca="1" t="shared" si="6"/>
        <v>1.5</v>
      </c>
      <c r="G38" s="126">
        <f ca="1" t="shared" si="7"/>
        <v>0.125</v>
      </c>
      <c r="H38" s="126">
        <f ca="1" t="shared" si="8"/>
        <v>0.013</v>
      </c>
      <c r="J38" s="97">
        <f t="shared" si="9"/>
        <v>36</v>
      </c>
      <c r="K38" s="106">
        <f ca="1" t="shared" si="10"/>
        <v>175</v>
      </c>
      <c r="L38" s="126">
        <f ca="1" t="shared" si="11"/>
        <v>40</v>
      </c>
      <c r="M38" s="126">
        <f ca="1" t="shared" si="12"/>
        <v>1</v>
      </c>
      <c r="N38" s="126">
        <f ca="1" t="shared" si="13"/>
        <v>6</v>
      </c>
      <c r="O38" s="126">
        <f ca="1" t="shared" si="14"/>
        <v>5</v>
      </c>
      <c r="P38" s="126">
        <f ca="1" t="shared" si="15"/>
        <v>1</v>
      </c>
      <c r="Q38" s="126">
        <f ca="1" t="shared" si="16"/>
        <v>0.5</v>
      </c>
      <c r="R38" s="126">
        <f ca="1" t="shared" si="17"/>
        <v>2</v>
      </c>
      <c r="S38" s="126"/>
      <c r="AG38"/>
      <c r="AH38"/>
      <c r="AI38"/>
      <c r="AJ38"/>
      <c r="AK38"/>
      <c r="AL38"/>
      <c r="AM38"/>
      <c r="AN38"/>
      <c r="AO38"/>
      <c r="AP38"/>
    </row>
    <row r="39" spans="2:42">
      <c r="B39" s="98">
        <f t="shared" si="2"/>
        <v>37</v>
      </c>
      <c r="C39" s="126">
        <f ca="1" t="shared" si="3"/>
        <v>176</v>
      </c>
      <c r="D39" s="126">
        <f ca="1" t="shared" si="4"/>
        <v>20</v>
      </c>
      <c r="E39" s="126">
        <f ca="1" t="shared" si="5"/>
        <v>10</v>
      </c>
      <c r="F39" s="126">
        <f ca="1" t="shared" si="6"/>
        <v>1.5</v>
      </c>
      <c r="G39" s="126">
        <f ca="1" t="shared" si="7"/>
        <v>0.125</v>
      </c>
      <c r="H39" s="126">
        <f ca="1" t="shared" si="8"/>
        <v>0.013</v>
      </c>
      <c r="J39" s="97">
        <f t="shared" si="9"/>
        <v>37</v>
      </c>
      <c r="K39" s="106">
        <f ca="1" t="shared" si="10"/>
        <v>176</v>
      </c>
      <c r="L39" s="126">
        <f ca="1" t="shared" si="11"/>
        <v>40</v>
      </c>
      <c r="M39" s="126">
        <f ca="1" t="shared" si="12"/>
        <v>1</v>
      </c>
      <c r="N39" s="126">
        <f ca="1" t="shared" si="13"/>
        <v>6</v>
      </c>
      <c r="O39" s="126">
        <f ca="1" t="shared" si="14"/>
        <v>5</v>
      </c>
      <c r="P39" s="126">
        <f ca="1" t="shared" si="15"/>
        <v>1</v>
      </c>
      <c r="Q39" s="126">
        <f ca="1" t="shared" si="16"/>
        <v>0.5</v>
      </c>
      <c r="R39" s="126">
        <f ca="1" t="shared" si="17"/>
        <v>2</v>
      </c>
      <c r="S39" s="126"/>
      <c r="AG39"/>
      <c r="AH39"/>
      <c r="AI39"/>
      <c r="AJ39"/>
      <c r="AK39"/>
      <c r="AL39"/>
      <c r="AM39"/>
      <c r="AN39"/>
      <c r="AO39"/>
      <c r="AP39"/>
    </row>
    <row r="40" spans="2:42">
      <c r="B40" s="98">
        <f t="shared" si="2"/>
        <v>38</v>
      </c>
      <c r="C40" s="126">
        <f ca="1" t="shared" si="3"/>
        <v>177</v>
      </c>
      <c r="D40" s="126">
        <f ca="1" t="shared" si="4"/>
        <v>20</v>
      </c>
      <c r="E40" s="126">
        <f ca="1" t="shared" si="5"/>
        <v>10</v>
      </c>
      <c r="F40" s="126">
        <f ca="1" t="shared" si="6"/>
        <v>1.5</v>
      </c>
      <c r="G40" s="126">
        <f ca="1" t="shared" si="7"/>
        <v>0.125</v>
      </c>
      <c r="H40" s="126">
        <f ca="1" t="shared" si="8"/>
        <v>0.013</v>
      </c>
      <c r="J40" s="97">
        <f t="shared" si="9"/>
        <v>38</v>
      </c>
      <c r="K40" s="106">
        <f ca="1" t="shared" si="10"/>
        <v>177</v>
      </c>
      <c r="L40" s="126">
        <f ca="1" t="shared" si="11"/>
        <v>40</v>
      </c>
      <c r="M40" s="126">
        <f ca="1" t="shared" si="12"/>
        <v>1</v>
      </c>
      <c r="N40" s="126">
        <f ca="1" t="shared" si="13"/>
        <v>6</v>
      </c>
      <c r="O40" s="126">
        <f ca="1" t="shared" si="14"/>
        <v>5</v>
      </c>
      <c r="P40" s="126">
        <f ca="1" t="shared" si="15"/>
        <v>1</v>
      </c>
      <c r="Q40" s="126">
        <f ca="1" t="shared" si="16"/>
        <v>0.5</v>
      </c>
      <c r="R40" s="126">
        <f ca="1" t="shared" si="17"/>
        <v>2</v>
      </c>
      <c r="S40" s="126"/>
      <c r="AG40"/>
      <c r="AH40"/>
      <c r="AI40"/>
      <c r="AJ40"/>
      <c r="AK40"/>
      <c r="AL40"/>
      <c r="AM40"/>
      <c r="AN40"/>
      <c r="AO40"/>
      <c r="AP40"/>
    </row>
    <row r="41" spans="2:42">
      <c r="B41" s="98">
        <f t="shared" si="2"/>
        <v>39</v>
      </c>
      <c r="C41" s="126">
        <f ca="1" t="shared" si="3"/>
        <v>178</v>
      </c>
      <c r="D41" s="126">
        <f ca="1" t="shared" si="4"/>
        <v>20</v>
      </c>
      <c r="E41" s="126">
        <f ca="1" t="shared" si="5"/>
        <v>10</v>
      </c>
      <c r="F41" s="126">
        <f ca="1" t="shared" si="6"/>
        <v>1.5</v>
      </c>
      <c r="G41" s="126">
        <f ca="1" t="shared" si="7"/>
        <v>0.125</v>
      </c>
      <c r="H41" s="126">
        <f ca="1" t="shared" si="8"/>
        <v>0.013</v>
      </c>
      <c r="J41" s="97">
        <f t="shared" si="9"/>
        <v>39</v>
      </c>
      <c r="K41" s="106">
        <f ca="1" t="shared" si="10"/>
        <v>178</v>
      </c>
      <c r="L41" s="126">
        <f ca="1" t="shared" si="11"/>
        <v>40</v>
      </c>
      <c r="M41" s="126">
        <f ca="1" t="shared" si="12"/>
        <v>1</v>
      </c>
      <c r="N41" s="126">
        <f ca="1" t="shared" si="13"/>
        <v>6</v>
      </c>
      <c r="O41" s="126">
        <f ca="1" t="shared" si="14"/>
        <v>5</v>
      </c>
      <c r="P41" s="126">
        <f ca="1" t="shared" si="15"/>
        <v>1</v>
      </c>
      <c r="Q41" s="126">
        <f ca="1" t="shared" si="16"/>
        <v>0.5</v>
      </c>
      <c r="R41" s="126">
        <f ca="1" t="shared" si="17"/>
        <v>2</v>
      </c>
      <c r="S41" s="126"/>
      <c r="AG41"/>
      <c r="AH41"/>
      <c r="AI41"/>
      <c r="AJ41"/>
      <c r="AK41"/>
      <c r="AL41"/>
      <c r="AM41"/>
      <c r="AN41"/>
      <c r="AO41"/>
      <c r="AP41"/>
    </row>
    <row r="42" spans="2:42">
      <c r="B42" s="98">
        <f t="shared" si="2"/>
        <v>40</v>
      </c>
      <c r="C42" s="126">
        <f ca="1" t="shared" si="3"/>
        <v>179</v>
      </c>
      <c r="D42" s="126">
        <f ca="1" t="shared" si="4"/>
        <v>20</v>
      </c>
      <c r="E42" s="126">
        <f ca="1" t="shared" si="5"/>
        <v>10</v>
      </c>
      <c r="F42" s="126">
        <f ca="1" t="shared" si="6"/>
        <v>1.5</v>
      </c>
      <c r="G42" s="126">
        <f ca="1" t="shared" si="7"/>
        <v>0.125</v>
      </c>
      <c r="H42" s="126">
        <f ca="1" t="shared" si="8"/>
        <v>0.013</v>
      </c>
      <c r="J42" s="97">
        <f t="shared" si="9"/>
        <v>40</v>
      </c>
      <c r="K42" s="106">
        <f ca="1" t="shared" si="10"/>
        <v>179</v>
      </c>
      <c r="L42" s="126">
        <f ca="1" t="shared" si="11"/>
        <v>40</v>
      </c>
      <c r="M42" s="126">
        <f ca="1" t="shared" si="12"/>
        <v>1</v>
      </c>
      <c r="N42" s="126">
        <f ca="1" t="shared" si="13"/>
        <v>6</v>
      </c>
      <c r="O42" s="126">
        <f ca="1" t="shared" si="14"/>
        <v>5</v>
      </c>
      <c r="P42" s="126">
        <f ca="1" t="shared" si="15"/>
        <v>1</v>
      </c>
      <c r="Q42" s="126">
        <f ca="1" t="shared" si="16"/>
        <v>0.5</v>
      </c>
      <c r="R42" s="126">
        <f ca="1" t="shared" si="17"/>
        <v>2</v>
      </c>
      <c r="S42" s="126"/>
      <c r="AG42"/>
      <c r="AH42"/>
      <c r="AI42"/>
      <c r="AJ42"/>
      <c r="AK42"/>
      <c r="AL42"/>
      <c r="AM42"/>
      <c r="AN42"/>
      <c r="AO42"/>
      <c r="AP42"/>
    </row>
    <row r="43" spans="2:42">
      <c r="B43" s="98">
        <f t="shared" si="2"/>
        <v>41</v>
      </c>
      <c r="C43" s="126">
        <f ca="1" t="shared" si="3"/>
        <v>180</v>
      </c>
      <c r="D43" s="126">
        <f ca="1" t="shared" si="4"/>
        <v>20</v>
      </c>
      <c r="E43" s="126">
        <f ca="1" t="shared" si="5"/>
        <v>10</v>
      </c>
      <c r="F43" s="126">
        <f ca="1" t="shared" si="6"/>
        <v>1.5</v>
      </c>
      <c r="G43" s="126">
        <f ca="1" t="shared" si="7"/>
        <v>0.125</v>
      </c>
      <c r="H43" s="126">
        <f ca="1" t="shared" si="8"/>
        <v>0.013</v>
      </c>
      <c r="J43" s="97">
        <f t="shared" si="9"/>
        <v>41</v>
      </c>
      <c r="K43" s="106">
        <f ca="1" t="shared" si="10"/>
        <v>180</v>
      </c>
      <c r="L43" s="126">
        <f ca="1" t="shared" si="11"/>
        <v>40</v>
      </c>
      <c r="M43" s="126">
        <f ca="1" t="shared" si="12"/>
        <v>1</v>
      </c>
      <c r="N43" s="126">
        <f ca="1" t="shared" si="13"/>
        <v>6</v>
      </c>
      <c r="O43" s="126">
        <f ca="1" t="shared" si="14"/>
        <v>5</v>
      </c>
      <c r="P43" s="126">
        <f ca="1" t="shared" si="15"/>
        <v>1</v>
      </c>
      <c r="Q43" s="126">
        <f ca="1" t="shared" si="16"/>
        <v>0.5</v>
      </c>
      <c r="R43" s="126">
        <f ca="1" t="shared" si="17"/>
        <v>2</v>
      </c>
      <c r="S43" s="126"/>
      <c r="AG43"/>
      <c r="AH43"/>
      <c r="AI43"/>
      <c r="AJ43"/>
      <c r="AK43"/>
      <c r="AL43"/>
      <c r="AM43"/>
      <c r="AN43"/>
      <c r="AO43"/>
      <c r="AP43"/>
    </row>
    <row r="44" spans="2:42">
      <c r="B44" s="98">
        <f t="shared" si="2"/>
        <v>42</v>
      </c>
      <c r="C44" s="126">
        <f ca="1" t="shared" si="3"/>
        <v>181</v>
      </c>
      <c r="D44" s="126">
        <f ca="1" t="shared" si="4"/>
        <v>20</v>
      </c>
      <c r="E44" s="126">
        <f ca="1" t="shared" si="5"/>
        <v>10</v>
      </c>
      <c r="F44" s="126">
        <f ca="1" t="shared" si="6"/>
        <v>1.5</v>
      </c>
      <c r="G44" s="126">
        <f ca="1" t="shared" si="7"/>
        <v>0.125</v>
      </c>
      <c r="H44" s="126">
        <f ca="1" t="shared" si="8"/>
        <v>0.013</v>
      </c>
      <c r="J44" s="97">
        <f t="shared" si="9"/>
        <v>42</v>
      </c>
      <c r="K44" s="106">
        <f ca="1" t="shared" si="10"/>
        <v>181</v>
      </c>
      <c r="L44" s="126">
        <f ca="1" t="shared" si="11"/>
        <v>40</v>
      </c>
      <c r="M44" s="126">
        <f ca="1" t="shared" si="12"/>
        <v>1</v>
      </c>
      <c r="N44" s="126">
        <f ca="1" t="shared" si="13"/>
        <v>6</v>
      </c>
      <c r="O44" s="126">
        <f ca="1" t="shared" si="14"/>
        <v>5</v>
      </c>
      <c r="P44" s="126">
        <f ca="1" t="shared" si="15"/>
        <v>1</v>
      </c>
      <c r="Q44" s="126">
        <f ca="1" t="shared" si="16"/>
        <v>0.5</v>
      </c>
      <c r="R44" s="126">
        <f ca="1" t="shared" si="17"/>
        <v>2</v>
      </c>
      <c r="S44" s="126"/>
      <c r="AG44"/>
      <c r="AH44"/>
      <c r="AI44"/>
      <c r="AJ44"/>
      <c r="AK44"/>
      <c r="AL44"/>
      <c r="AM44"/>
      <c r="AN44"/>
      <c r="AO44"/>
      <c r="AP44"/>
    </row>
    <row r="45" spans="2:42">
      <c r="B45" s="98">
        <f t="shared" si="2"/>
        <v>43</v>
      </c>
      <c r="C45" s="126">
        <f ca="1" t="shared" si="3"/>
        <v>182</v>
      </c>
      <c r="D45" s="126">
        <f ca="1" t="shared" si="4"/>
        <v>20</v>
      </c>
      <c r="E45" s="126">
        <f ca="1" t="shared" si="5"/>
        <v>10</v>
      </c>
      <c r="F45" s="126">
        <f ca="1" t="shared" si="6"/>
        <v>1.5</v>
      </c>
      <c r="G45" s="126">
        <f ca="1" t="shared" si="7"/>
        <v>0.125</v>
      </c>
      <c r="H45" s="126">
        <f ca="1" t="shared" si="8"/>
        <v>0.013</v>
      </c>
      <c r="J45" s="97">
        <f t="shared" si="9"/>
        <v>43</v>
      </c>
      <c r="K45" s="106">
        <f ca="1" t="shared" si="10"/>
        <v>182</v>
      </c>
      <c r="L45" s="126">
        <f ca="1" t="shared" si="11"/>
        <v>40</v>
      </c>
      <c r="M45" s="126">
        <f ca="1" t="shared" si="12"/>
        <v>1</v>
      </c>
      <c r="N45" s="126">
        <f ca="1" t="shared" si="13"/>
        <v>6</v>
      </c>
      <c r="O45" s="126">
        <f ca="1" t="shared" si="14"/>
        <v>5</v>
      </c>
      <c r="P45" s="126">
        <f ca="1" t="shared" si="15"/>
        <v>1</v>
      </c>
      <c r="Q45" s="126">
        <f ca="1" t="shared" si="16"/>
        <v>0.5</v>
      </c>
      <c r="R45" s="126">
        <f ca="1" t="shared" si="17"/>
        <v>2</v>
      </c>
      <c r="S45" s="126"/>
      <c r="AG45"/>
      <c r="AH45"/>
      <c r="AI45"/>
      <c r="AJ45"/>
      <c r="AK45"/>
      <c r="AL45"/>
      <c r="AM45"/>
      <c r="AN45"/>
      <c r="AO45"/>
      <c r="AP45"/>
    </row>
    <row r="46" spans="2:42">
      <c r="B46" s="98">
        <f t="shared" si="2"/>
        <v>44</v>
      </c>
      <c r="C46" s="126">
        <f ca="1" t="shared" si="3"/>
        <v>183</v>
      </c>
      <c r="D46" s="126">
        <f ca="1" t="shared" si="4"/>
        <v>20</v>
      </c>
      <c r="E46" s="126">
        <f ca="1" t="shared" si="5"/>
        <v>10</v>
      </c>
      <c r="F46" s="126">
        <f ca="1" t="shared" si="6"/>
        <v>1.5</v>
      </c>
      <c r="G46" s="126">
        <f ca="1" t="shared" si="7"/>
        <v>0.125</v>
      </c>
      <c r="H46" s="126">
        <f ca="1" t="shared" si="8"/>
        <v>0.013</v>
      </c>
      <c r="J46" s="97">
        <f t="shared" si="9"/>
        <v>44</v>
      </c>
      <c r="K46" s="106">
        <f ca="1" t="shared" si="10"/>
        <v>183</v>
      </c>
      <c r="L46" s="126">
        <f ca="1" t="shared" si="11"/>
        <v>40</v>
      </c>
      <c r="M46" s="126">
        <f ca="1" t="shared" si="12"/>
        <v>1</v>
      </c>
      <c r="N46" s="126">
        <f ca="1" t="shared" si="13"/>
        <v>6</v>
      </c>
      <c r="O46" s="126">
        <f ca="1" t="shared" si="14"/>
        <v>5</v>
      </c>
      <c r="P46" s="126">
        <f ca="1" t="shared" si="15"/>
        <v>1</v>
      </c>
      <c r="Q46" s="126">
        <f ca="1" t="shared" si="16"/>
        <v>0.5</v>
      </c>
      <c r="R46" s="126">
        <f ca="1" t="shared" si="17"/>
        <v>2</v>
      </c>
      <c r="S46" s="126"/>
      <c r="AG46"/>
      <c r="AH46"/>
      <c r="AI46"/>
      <c r="AJ46"/>
      <c r="AK46"/>
      <c r="AL46"/>
      <c r="AM46"/>
      <c r="AN46"/>
      <c r="AO46"/>
      <c r="AP46"/>
    </row>
    <row r="47" spans="2:42">
      <c r="B47" s="98">
        <f t="shared" si="2"/>
        <v>45</v>
      </c>
      <c r="C47" s="126">
        <f ca="1" t="shared" si="3"/>
        <v>184</v>
      </c>
      <c r="D47" s="126">
        <f ca="1" t="shared" si="4"/>
        <v>20</v>
      </c>
      <c r="E47" s="126">
        <f ca="1" t="shared" si="5"/>
        <v>10</v>
      </c>
      <c r="F47" s="126">
        <f ca="1" t="shared" si="6"/>
        <v>1.5</v>
      </c>
      <c r="G47" s="126">
        <f ca="1" t="shared" si="7"/>
        <v>0.125</v>
      </c>
      <c r="H47" s="126">
        <f ca="1" t="shared" si="8"/>
        <v>0.013</v>
      </c>
      <c r="J47" s="97">
        <f t="shared" si="9"/>
        <v>45</v>
      </c>
      <c r="K47" s="106">
        <f ca="1" t="shared" si="10"/>
        <v>184</v>
      </c>
      <c r="L47" s="126">
        <f ca="1" t="shared" si="11"/>
        <v>40</v>
      </c>
      <c r="M47" s="126">
        <f ca="1" t="shared" si="12"/>
        <v>1</v>
      </c>
      <c r="N47" s="126">
        <f ca="1" t="shared" si="13"/>
        <v>6</v>
      </c>
      <c r="O47" s="126">
        <f ca="1" t="shared" si="14"/>
        <v>5</v>
      </c>
      <c r="P47" s="126">
        <f ca="1" t="shared" si="15"/>
        <v>1</v>
      </c>
      <c r="Q47" s="126">
        <f ca="1" t="shared" si="16"/>
        <v>0.5</v>
      </c>
      <c r="R47" s="126">
        <f ca="1" t="shared" si="17"/>
        <v>2</v>
      </c>
      <c r="S47" s="126"/>
      <c r="AG47"/>
      <c r="AH47"/>
      <c r="AI47"/>
      <c r="AJ47"/>
      <c r="AK47"/>
      <c r="AL47"/>
      <c r="AM47"/>
      <c r="AN47"/>
      <c r="AO47"/>
      <c r="AP47"/>
    </row>
    <row r="48" spans="2:42">
      <c r="B48" s="98">
        <f t="shared" si="2"/>
        <v>46</v>
      </c>
      <c r="C48" s="126">
        <f ca="1" t="shared" si="3"/>
        <v>185</v>
      </c>
      <c r="D48" s="126">
        <f ca="1" t="shared" si="4"/>
        <v>20</v>
      </c>
      <c r="E48" s="126">
        <f ca="1" t="shared" si="5"/>
        <v>10</v>
      </c>
      <c r="F48" s="126">
        <f ca="1" t="shared" si="6"/>
        <v>1.5</v>
      </c>
      <c r="G48" s="126">
        <f ca="1" t="shared" si="7"/>
        <v>0.125</v>
      </c>
      <c r="H48" s="126">
        <f ca="1" t="shared" si="8"/>
        <v>0.013</v>
      </c>
      <c r="J48" s="97">
        <f t="shared" si="9"/>
        <v>46</v>
      </c>
      <c r="K48" s="106">
        <f ca="1" t="shared" si="10"/>
        <v>185</v>
      </c>
      <c r="L48" s="126">
        <f ca="1" t="shared" si="11"/>
        <v>40</v>
      </c>
      <c r="M48" s="126">
        <f ca="1" t="shared" si="12"/>
        <v>1</v>
      </c>
      <c r="N48" s="126">
        <f ca="1" t="shared" si="13"/>
        <v>6</v>
      </c>
      <c r="O48" s="126">
        <f ca="1" t="shared" si="14"/>
        <v>5</v>
      </c>
      <c r="P48" s="126">
        <f ca="1" t="shared" si="15"/>
        <v>1</v>
      </c>
      <c r="Q48" s="126">
        <f ca="1" t="shared" si="16"/>
        <v>0.5</v>
      </c>
      <c r="R48" s="126">
        <f ca="1" t="shared" si="17"/>
        <v>2</v>
      </c>
      <c r="S48" s="126"/>
      <c r="AG48"/>
      <c r="AH48"/>
      <c r="AI48"/>
      <c r="AJ48"/>
      <c r="AK48"/>
      <c r="AL48"/>
      <c r="AM48"/>
      <c r="AN48"/>
      <c r="AO48"/>
      <c r="AP48"/>
    </row>
    <row r="49" spans="2:42">
      <c r="B49" s="98">
        <f t="shared" si="2"/>
        <v>47</v>
      </c>
      <c r="C49" s="126">
        <f ca="1" t="shared" si="3"/>
        <v>186</v>
      </c>
      <c r="D49" s="126">
        <f ca="1" t="shared" si="4"/>
        <v>20</v>
      </c>
      <c r="E49" s="126">
        <f ca="1" t="shared" si="5"/>
        <v>10</v>
      </c>
      <c r="F49" s="126">
        <f ca="1" t="shared" si="6"/>
        <v>1.5</v>
      </c>
      <c r="G49" s="126">
        <f ca="1" t="shared" si="7"/>
        <v>0.125</v>
      </c>
      <c r="H49" s="126">
        <f ca="1" t="shared" si="8"/>
        <v>0.013</v>
      </c>
      <c r="J49" s="97">
        <f t="shared" si="9"/>
        <v>47</v>
      </c>
      <c r="K49" s="106">
        <f ca="1" t="shared" si="10"/>
        <v>186</v>
      </c>
      <c r="L49" s="126">
        <f ca="1" t="shared" si="11"/>
        <v>40</v>
      </c>
      <c r="M49" s="126">
        <f ca="1" t="shared" si="12"/>
        <v>1</v>
      </c>
      <c r="N49" s="126">
        <f ca="1" t="shared" si="13"/>
        <v>6</v>
      </c>
      <c r="O49" s="126">
        <f ca="1" t="shared" si="14"/>
        <v>5</v>
      </c>
      <c r="P49" s="126">
        <f ca="1" t="shared" si="15"/>
        <v>1</v>
      </c>
      <c r="Q49" s="126">
        <f ca="1" t="shared" si="16"/>
        <v>0.5</v>
      </c>
      <c r="R49" s="126">
        <f ca="1" t="shared" si="17"/>
        <v>2</v>
      </c>
      <c r="S49" s="126"/>
      <c r="AG49"/>
      <c r="AH49"/>
      <c r="AI49"/>
      <c r="AJ49"/>
      <c r="AK49"/>
      <c r="AL49"/>
      <c r="AM49"/>
      <c r="AN49"/>
      <c r="AO49"/>
      <c r="AP49"/>
    </row>
    <row r="50" spans="2:42">
      <c r="B50" s="98">
        <f t="shared" si="2"/>
        <v>48</v>
      </c>
      <c r="C50" s="126">
        <f ca="1" t="shared" si="3"/>
        <v>187</v>
      </c>
      <c r="D50" s="126">
        <f ca="1" t="shared" si="4"/>
        <v>20</v>
      </c>
      <c r="E50" s="126">
        <f ca="1" t="shared" si="5"/>
        <v>10</v>
      </c>
      <c r="F50" s="126">
        <f ca="1" t="shared" si="6"/>
        <v>1.5</v>
      </c>
      <c r="G50" s="126">
        <f ca="1" t="shared" si="7"/>
        <v>0.125</v>
      </c>
      <c r="H50" s="126">
        <f ca="1" t="shared" si="8"/>
        <v>0.013</v>
      </c>
      <c r="J50" s="97">
        <f t="shared" si="9"/>
        <v>48</v>
      </c>
      <c r="K50" s="106">
        <f ca="1" t="shared" si="10"/>
        <v>187</v>
      </c>
      <c r="L50" s="126">
        <f ca="1" t="shared" si="11"/>
        <v>40</v>
      </c>
      <c r="M50" s="126">
        <f ca="1" t="shared" si="12"/>
        <v>1</v>
      </c>
      <c r="N50" s="126">
        <f ca="1" t="shared" si="13"/>
        <v>6</v>
      </c>
      <c r="O50" s="126">
        <f ca="1" t="shared" si="14"/>
        <v>5</v>
      </c>
      <c r="P50" s="126">
        <f ca="1" t="shared" si="15"/>
        <v>1</v>
      </c>
      <c r="Q50" s="126">
        <f ca="1" t="shared" si="16"/>
        <v>0.5</v>
      </c>
      <c r="R50" s="126">
        <f ca="1" t="shared" si="17"/>
        <v>2</v>
      </c>
      <c r="S50" s="126"/>
      <c r="AG50"/>
      <c r="AH50"/>
      <c r="AI50"/>
      <c r="AJ50"/>
      <c r="AK50"/>
      <c r="AL50"/>
      <c r="AM50"/>
      <c r="AN50"/>
      <c r="AO50"/>
      <c r="AP50"/>
    </row>
    <row r="51" spans="2:42">
      <c r="B51" s="98">
        <f t="shared" si="2"/>
        <v>49</v>
      </c>
      <c r="C51" s="126">
        <f ca="1" t="shared" si="3"/>
        <v>188</v>
      </c>
      <c r="D51" s="126">
        <f ca="1" t="shared" si="4"/>
        <v>20</v>
      </c>
      <c r="E51" s="126">
        <f ca="1" t="shared" si="5"/>
        <v>10</v>
      </c>
      <c r="F51" s="126">
        <f ca="1" t="shared" si="6"/>
        <v>1.5</v>
      </c>
      <c r="G51" s="126">
        <f ca="1" t="shared" si="7"/>
        <v>0.125</v>
      </c>
      <c r="H51" s="126">
        <f ca="1" t="shared" si="8"/>
        <v>0.013</v>
      </c>
      <c r="J51" s="97">
        <f t="shared" si="9"/>
        <v>49</v>
      </c>
      <c r="K51" s="106">
        <f ca="1" t="shared" si="10"/>
        <v>188</v>
      </c>
      <c r="L51" s="126">
        <f ca="1" t="shared" si="11"/>
        <v>40</v>
      </c>
      <c r="M51" s="126">
        <f ca="1" t="shared" si="12"/>
        <v>1</v>
      </c>
      <c r="N51" s="126">
        <f ca="1" t="shared" si="13"/>
        <v>6</v>
      </c>
      <c r="O51" s="126">
        <f ca="1" t="shared" si="14"/>
        <v>5</v>
      </c>
      <c r="P51" s="126">
        <f ca="1" t="shared" si="15"/>
        <v>1</v>
      </c>
      <c r="Q51" s="126">
        <f ca="1" t="shared" si="16"/>
        <v>0.5</v>
      </c>
      <c r="R51" s="126">
        <f ca="1" t="shared" si="17"/>
        <v>2</v>
      </c>
      <c r="S51" s="126"/>
      <c r="AG51"/>
      <c r="AH51"/>
      <c r="AI51"/>
      <c r="AJ51"/>
      <c r="AK51"/>
      <c r="AL51"/>
      <c r="AM51"/>
      <c r="AN51"/>
      <c r="AO51"/>
      <c r="AP51"/>
    </row>
    <row r="52" spans="2:42">
      <c r="B52" s="98">
        <f t="shared" si="2"/>
        <v>50</v>
      </c>
      <c r="C52" s="126">
        <f ca="1" t="shared" si="3"/>
        <v>189</v>
      </c>
      <c r="D52" s="126">
        <f ca="1" t="shared" si="4"/>
        <v>20</v>
      </c>
      <c r="E52" s="126">
        <f ca="1" t="shared" si="5"/>
        <v>10</v>
      </c>
      <c r="F52" s="126">
        <f ca="1" t="shared" si="6"/>
        <v>1.5</v>
      </c>
      <c r="G52" s="126">
        <f ca="1" t="shared" si="7"/>
        <v>0.125</v>
      </c>
      <c r="H52" s="126">
        <f ca="1" t="shared" si="8"/>
        <v>0.013</v>
      </c>
      <c r="J52" s="97">
        <f t="shared" si="9"/>
        <v>50</v>
      </c>
      <c r="K52" s="106">
        <f ca="1" t="shared" si="10"/>
        <v>189</v>
      </c>
      <c r="L52" s="126">
        <f ca="1" t="shared" si="11"/>
        <v>40</v>
      </c>
      <c r="M52" s="126">
        <f ca="1" t="shared" si="12"/>
        <v>1</v>
      </c>
      <c r="N52" s="126">
        <f ca="1" t="shared" si="13"/>
        <v>6</v>
      </c>
      <c r="O52" s="126">
        <f ca="1" t="shared" si="14"/>
        <v>5</v>
      </c>
      <c r="P52" s="126">
        <f ca="1" t="shared" si="15"/>
        <v>1</v>
      </c>
      <c r="Q52" s="126">
        <f ca="1" t="shared" si="16"/>
        <v>0.5</v>
      </c>
      <c r="R52" s="126">
        <f ca="1" t="shared" si="17"/>
        <v>2</v>
      </c>
      <c r="S52" s="126"/>
      <c r="AG52"/>
      <c r="AH52"/>
      <c r="AI52"/>
      <c r="AJ52"/>
      <c r="AK52"/>
      <c r="AL52"/>
      <c r="AM52"/>
      <c r="AN52"/>
      <c r="AO52"/>
      <c r="AP52"/>
    </row>
    <row r="53" spans="2:42">
      <c r="B53" s="98">
        <f t="shared" si="2"/>
        <v>51</v>
      </c>
      <c r="C53" s="126">
        <f ca="1" t="shared" si="3"/>
        <v>190</v>
      </c>
      <c r="D53" s="126">
        <f ca="1" t="shared" si="4"/>
        <v>20</v>
      </c>
      <c r="E53" s="126">
        <f ca="1" t="shared" si="5"/>
        <v>10</v>
      </c>
      <c r="F53" s="126">
        <f ca="1" t="shared" si="6"/>
        <v>1.5</v>
      </c>
      <c r="G53" s="126">
        <f ca="1" t="shared" si="7"/>
        <v>0.125</v>
      </c>
      <c r="H53" s="126">
        <f ca="1" t="shared" si="8"/>
        <v>0.013</v>
      </c>
      <c r="J53" s="97">
        <f t="shared" si="9"/>
        <v>51</v>
      </c>
      <c r="K53" s="106">
        <f ca="1" t="shared" si="10"/>
        <v>190</v>
      </c>
      <c r="L53" s="126">
        <f ca="1" t="shared" si="11"/>
        <v>40</v>
      </c>
      <c r="M53" s="126">
        <f ca="1" t="shared" si="12"/>
        <v>1</v>
      </c>
      <c r="N53" s="126">
        <f ca="1" t="shared" si="13"/>
        <v>6</v>
      </c>
      <c r="O53" s="126">
        <f ca="1" t="shared" si="14"/>
        <v>5</v>
      </c>
      <c r="P53" s="126">
        <f ca="1" t="shared" si="15"/>
        <v>1</v>
      </c>
      <c r="Q53" s="126">
        <f ca="1" t="shared" si="16"/>
        <v>0.5</v>
      </c>
      <c r="R53" s="126">
        <f ca="1" t="shared" si="17"/>
        <v>2</v>
      </c>
      <c r="S53" s="126"/>
      <c r="AG53"/>
      <c r="AH53"/>
      <c r="AI53"/>
      <c r="AJ53"/>
      <c r="AK53"/>
      <c r="AL53"/>
      <c r="AM53"/>
      <c r="AN53"/>
      <c r="AO53"/>
      <c r="AP53"/>
    </row>
    <row r="54" spans="2:42">
      <c r="B54" s="98">
        <f t="shared" si="2"/>
        <v>52</v>
      </c>
      <c r="C54" s="126">
        <f ca="1" t="shared" si="3"/>
        <v>191</v>
      </c>
      <c r="D54" s="126">
        <f ca="1" t="shared" si="4"/>
        <v>20</v>
      </c>
      <c r="E54" s="126">
        <f ca="1" t="shared" si="5"/>
        <v>10</v>
      </c>
      <c r="F54" s="126">
        <f ca="1" t="shared" si="6"/>
        <v>1.5</v>
      </c>
      <c r="G54" s="126">
        <f ca="1" t="shared" si="7"/>
        <v>0.125</v>
      </c>
      <c r="H54" s="126">
        <f ca="1" t="shared" si="8"/>
        <v>0.013</v>
      </c>
      <c r="J54" s="97">
        <f t="shared" si="9"/>
        <v>52</v>
      </c>
      <c r="K54" s="106">
        <f ca="1" t="shared" si="10"/>
        <v>191</v>
      </c>
      <c r="L54" s="126">
        <f ca="1" t="shared" si="11"/>
        <v>40</v>
      </c>
      <c r="M54" s="126">
        <f ca="1" t="shared" si="12"/>
        <v>1</v>
      </c>
      <c r="N54" s="126">
        <f ca="1" t="shared" si="13"/>
        <v>6</v>
      </c>
      <c r="O54" s="126">
        <f ca="1" t="shared" si="14"/>
        <v>5</v>
      </c>
      <c r="P54" s="126">
        <f ca="1" t="shared" si="15"/>
        <v>1</v>
      </c>
      <c r="Q54" s="126">
        <f ca="1" t="shared" si="16"/>
        <v>0.5</v>
      </c>
      <c r="R54" s="126">
        <f ca="1" t="shared" si="17"/>
        <v>2</v>
      </c>
      <c r="S54" s="126"/>
      <c r="AG54"/>
      <c r="AH54"/>
      <c r="AI54"/>
      <c r="AJ54"/>
      <c r="AK54"/>
      <c r="AL54"/>
      <c r="AM54"/>
      <c r="AN54"/>
      <c r="AO54"/>
      <c r="AP54"/>
    </row>
    <row r="55" spans="2:42">
      <c r="B55" s="98">
        <f t="shared" si="2"/>
        <v>53</v>
      </c>
      <c r="C55" s="126">
        <f ca="1" t="shared" si="3"/>
        <v>192</v>
      </c>
      <c r="D55" s="126">
        <f ca="1" t="shared" si="4"/>
        <v>20</v>
      </c>
      <c r="E55" s="126">
        <f ca="1" t="shared" si="5"/>
        <v>10</v>
      </c>
      <c r="F55" s="126">
        <f ca="1" t="shared" si="6"/>
        <v>1.5</v>
      </c>
      <c r="G55" s="126">
        <f ca="1" t="shared" si="7"/>
        <v>0.125</v>
      </c>
      <c r="H55" s="126">
        <f ca="1" t="shared" si="8"/>
        <v>0.013</v>
      </c>
      <c r="J55" s="97">
        <f t="shared" si="9"/>
        <v>53</v>
      </c>
      <c r="K55" s="106">
        <f ca="1" t="shared" si="10"/>
        <v>192</v>
      </c>
      <c r="L55" s="126">
        <f ca="1" t="shared" si="11"/>
        <v>40</v>
      </c>
      <c r="M55" s="126">
        <f ca="1" t="shared" si="12"/>
        <v>1</v>
      </c>
      <c r="N55" s="126">
        <f ca="1" t="shared" si="13"/>
        <v>6</v>
      </c>
      <c r="O55" s="126">
        <f ca="1" t="shared" si="14"/>
        <v>5</v>
      </c>
      <c r="P55" s="126">
        <f ca="1" t="shared" si="15"/>
        <v>1</v>
      </c>
      <c r="Q55" s="126">
        <f ca="1" t="shared" si="16"/>
        <v>0.5</v>
      </c>
      <c r="R55" s="126">
        <f ca="1" t="shared" si="17"/>
        <v>2</v>
      </c>
      <c r="S55" s="126"/>
      <c r="AG55"/>
      <c r="AH55"/>
      <c r="AI55"/>
      <c r="AJ55"/>
      <c r="AK55"/>
      <c r="AL55"/>
      <c r="AM55"/>
      <c r="AN55"/>
      <c r="AO55"/>
      <c r="AP55"/>
    </row>
    <row r="56" spans="2:42">
      <c r="B56" s="98">
        <f t="shared" si="2"/>
        <v>54</v>
      </c>
      <c r="C56" s="126">
        <f ca="1" t="shared" si="3"/>
        <v>193</v>
      </c>
      <c r="D56" s="126">
        <f ca="1" t="shared" si="4"/>
        <v>20</v>
      </c>
      <c r="E56" s="126">
        <f ca="1" t="shared" si="5"/>
        <v>10</v>
      </c>
      <c r="F56" s="126">
        <f ca="1" t="shared" si="6"/>
        <v>1.5</v>
      </c>
      <c r="G56" s="126">
        <f ca="1" t="shared" si="7"/>
        <v>0.125</v>
      </c>
      <c r="H56" s="126">
        <f ca="1" t="shared" si="8"/>
        <v>0.013</v>
      </c>
      <c r="J56" s="97">
        <f t="shared" si="9"/>
        <v>54</v>
      </c>
      <c r="K56" s="106">
        <f ca="1" t="shared" si="10"/>
        <v>193</v>
      </c>
      <c r="L56" s="126">
        <f ca="1" t="shared" si="11"/>
        <v>40</v>
      </c>
      <c r="M56" s="126">
        <f ca="1" t="shared" si="12"/>
        <v>1</v>
      </c>
      <c r="N56" s="126">
        <f ca="1" t="shared" si="13"/>
        <v>6</v>
      </c>
      <c r="O56" s="126">
        <f ca="1" t="shared" si="14"/>
        <v>5</v>
      </c>
      <c r="P56" s="126">
        <f ca="1" t="shared" si="15"/>
        <v>1</v>
      </c>
      <c r="Q56" s="126">
        <f ca="1" t="shared" si="16"/>
        <v>0.5</v>
      </c>
      <c r="R56" s="126">
        <f ca="1" t="shared" si="17"/>
        <v>2</v>
      </c>
      <c r="S56" s="126"/>
      <c r="AG56"/>
      <c r="AH56"/>
      <c r="AI56"/>
      <c r="AJ56"/>
      <c r="AK56"/>
      <c r="AL56"/>
      <c r="AM56"/>
      <c r="AN56"/>
      <c r="AO56"/>
      <c r="AP56"/>
    </row>
    <row r="57" spans="2:42">
      <c r="B57" s="98">
        <f t="shared" si="2"/>
        <v>55</v>
      </c>
      <c r="C57" s="126">
        <f ca="1" t="shared" si="3"/>
        <v>194</v>
      </c>
      <c r="D57" s="126">
        <f ca="1" t="shared" si="4"/>
        <v>20</v>
      </c>
      <c r="E57" s="126">
        <f ca="1" t="shared" si="5"/>
        <v>10</v>
      </c>
      <c r="F57" s="126">
        <f ca="1" t="shared" si="6"/>
        <v>1.5</v>
      </c>
      <c r="G57" s="126">
        <f ca="1" t="shared" si="7"/>
        <v>0.125</v>
      </c>
      <c r="H57" s="126">
        <f ca="1" t="shared" si="8"/>
        <v>0.013</v>
      </c>
      <c r="J57" s="97">
        <f t="shared" si="9"/>
        <v>55</v>
      </c>
      <c r="K57" s="106">
        <f ca="1" t="shared" si="10"/>
        <v>194</v>
      </c>
      <c r="L57" s="126">
        <f ca="1" t="shared" si="11"/>
        <v>40</v>
      </c>
      <c r="M57" s="126">
        <f ca="1" t="shared" si="12"/>
        <v>1</v>
      </c>
      <c r="N57" s="126">
        <f ca="1" t="shared" si="13"/>
        <v>6</v>
      </c>
      <c r="O57" s="126">
        <f ca="1" t="shared" si="14"/>
        <v>5</v>
      </c>
      <c r="P57" s="126">
        <f ca="1" t="shared" si="15"/>
        <v>1</v>
      </c>
      <c r="Q57" s="126">
        <f ca="1" t="shared" si="16"/>
        <v>0.5</v>
      </c>
      <c r="R57" s="126">
        <f ca="1" t="shared" si="17"/>
        <v>2</v>
      </c>
      <c r="S57" s="126"/>
      <c r="AG57"/>
      <c r="AH57"/>
      <c r="AI57"/>
      <c r="AJ57"/>
      <c r="AK57"/>
      <c r="AL57"/>
      <c r="AM57"/>
      <c r="AN57"/>
      <c r="AO57"/>
      <c r="AP57"/>
    </row>
    <row r="58" spans="2:42">
      <c r="B58" s="98">
        <f t="shared" si="2"/>
        <v>56</v>
      </c>
      <c r="C58" s="126">
        <f ca="1" t="shared" si="3"/>
        <v>195</v>
      </c>
      <c r="D58" s="126">
        <f ca="1" t="shared" si="4"/>
        <v>20</v>
      </c>
      <c r="E58" s="126">
        <f ca="1" t="shared" si="5"/>
        <v>10</v>
      </c>
      <c r="F58" s="126">
        <f ca="1" t="shared" si="6"/>
        <v>1.5</v>
      </c>
      <c r="G58" s="126">
        <f ca="1" t="shared" si="7"/>
        <v>0.125</v>
      </c>
      <c r="H58" s="126">
        <f ca="1" t="shared" si="8"/>
        <v>0.013</v>
      </c>
      <c r="J58" s="97">
        <f t="shared" si="9"/>
        <v>56</v>
      </c>
      <c r="K58" s="106">
        <f ca="1" t="shared" si="10"/>
        <v>195</v>
      </c>
      <c r="L58" s="126">
        <f ca="1" t="shared" si="11"/>
        <v>40</v>
      </c>
      <c r="M58" s="126">
        <f ca="1" t="shared" si="12"/>
        <v>1</v>
      </c>
      <c r="N58" s="126">
        <f ca="1" t="shared" si="13"/>
        <v>6</v>
      </c>
      <c r="O58" s="126">
        <f ca="1" t="shared" si="14"/>
        <v>5</v>
      </c>
      <c r="P58" s="126">
        <f ca="1" t="shared" si="15"/>
        <v>1</v>
      </c>
      <c r="Q58" s="126">
        <f ca="1" t="shared" si="16"/>
        <v>0.5</v>
      </c>
      <c r="R58" s="126">
        <f ca="1" t="shared" si="17"/>
        <v>2</v>
      </c>
      <c r="S58" s="126"/>
      <c r="AG58"/>
      <c r="AH58"/>
      <c r="AI58"/>
      <c r="AJ58"/>
      <c r="AK58"/>
      <c r="AL58"/>
      <c r="AM58"/>
      <c r="AN58"/>
      <c r="AO58"/>
      <c r="AP58"/>
    </row>
    <row r="59" spans="2:42">
      <c r="B59" s="98">
        <f t="shared" si="2"/>
        <v>57</v>
      </c>
      <c r="C59" s="126">
        <f ca="1" t="shared" si="3"/>
        <v>196</v>
      </c>
      <c r="D59" s="126">
        <f ca="1" t="shared" si="4"/>
        <v>20</v>
      </c>
      <c r="E59" s="126">
        <f ca="1" t="shared" si="5"/>
        <v>10</v>
      </c>
      <c r="F59" s="126">
        <f ca="1" t="shared" si="6"/>
        <v>1.5</v>
      </c>
      <c r="G59" s="126">
        <f ca="1" t="shared" si="7"/>
        <v>0.125</v>
      </c>
      <c r="H59" s="126">
        <f ca="1" t="shared" si="8"/>
        <v>0.013</v>
      </c>
      <c r="J59" s="97">
        <f t="shared" si="9"/>
        <v>57</v>
      </c>
      <c r="K59" s="106">
        <f ca="1" t="shared" si="10"/>
        <v>196</v>
      </c>
      <c r="L59" s="126">
        <f ca="1" t="shared" si="11"/>
        <v>40</v>
      </c>
      <c r="M59" s="126">
        <f ca="1" t="shared" si="12"/>
        <v>1</v>
      </c>
      <c r="N59" s="126">
        <f ca="1" t="shared" si="13"/>
        <v>6</v>
      </c>
      <c r="O59" s="126">
        <f ca="1" t="shared" si="14"/>
        <v>5</v>
      </c>
      <c r="P59" s="126">
        <f ca="1" t="shared" si="15"/>
        <v>1</v>
      </c>
      <c r="Q59" s="126">
        <f ca="1" t="shared" si="16"/>
        <v>0.5</v>
      </c>
      <c r="R59" s="126">
        <f ca="1" t="shared" si="17"/>
        <v>2</v>
      </c>
      <c r="S59" s="126"/>
      <c r="AG59"/>
      <c r="AH59"/>
      <c r="AI59"/>
      <c r="AJ59"/>
      <c r="AK59"/>
      <c r="AL59"/>
      <c r="AM59"/>
      <c r="AN59"/>
      <c r="AO59"/>
      <c r="AP59"/>
    </row>
    <row r="60" spans="2:42">
      <c r="B60" s="98">
        <f t="shared" si="2"/>
        <v>58</v>
      </c>
      <c r="C60" s="126">
        <f ca="1" t="shared" si="3"/>
        <v>197</v>
      </c>
      <c r="D60" s="126">
        <f ca="1" t="shared" si="4"/>
        <v>20</v>
      </c>
      <c r="E60" s="126">
        <f ca="1" t="shared" si="5"/>
        <v>10</v>
      </c>
      <c r="F60" s="126">
        <f ca="1" t="shared" si="6"/>
        <v>1.5</v>
      </c>
      <c r="G60" s="126">
        <f ca="1" t="shared" si="7"/>
        <v>0.125</v>
      </c>
      <c r="H60" s="126">
        <f ca="1" t="shared" si="8"/>
        <v>0.013</v>
      </c>
      <c r="J60" s="97">
        <f t="shared" si="9"/>
        <v>58</v>
      </c>
      <c r="K60" s="106">
        <f ca="1" t="shared" si="10"/>
        <v>197</v>
      </c>
      <c r="L60" s="126">
        <f ca="1" t="shared" si="11"/>
        <v>40</v>
      </c>
      <c r="M60" s="126">
        <f ca="1" t="shared" si="12"/>
        <v>1</v>
      </c>
      <c r="N60" s="126">
        <f ca="1" t="shared" si="13"/>
        <v>6</v>
      </c>
      <c r="O60" s="126">
        <f ca="1" t="shared" si="14"/>
        <v>5</v>
      </c>
      <c r="P60" s="126">
        <f ca="1" t="shared" si="15"/>
        <v>1</v>
      </c>
      <c r="Q60" s="126">
        <f ca="1" t="shared" si="16"/>
        <v>0.5</v>
      </c>
      <c r="R60" s="126">
        <f ca="1" t="shared" si="17"/>
        <v>2</v>
      </c>
      <c r="S60" s="126"/>
      <c r="AG60"/>
      <c r="AH60"/>
      <c r="AI60"/>
      <c r="AJ60"/>
      <c r="AK60"/>
      <c r="AL60"/>
      <c r="AM60"/>
      <c r="AN60"/>
      <c r="AO60"/>
      <c r="AP60"/>
    </row>
    <row r="61" spans="2:42">
      <c r="B61" s="98">
        <f t="shared" si="2"/>
        <v>59</v>
      </c>
      <c r="C61" s="126">
        <f ca="1" t="shared" si="3"/>
        <v>198</v>
      </c>
      <c r="D61" s="126">
        <f ca="1" t="shared" si="4"/>
        <v>20</v>
      </c>
      <c r="E61" s="126">
        <f ca="1" t="shared" si="5"/>
        <v>10</v>
      </c>
      <c r="F61" s="126">
        <f ca="1" t="shared" si="6"/>
        <v>1.5</v>
      </c>
      <c r="G61" s="126">
        <f ca="1" t="shared" si="7"/>
        <v>0.125</v>
      </c>
      <c r="H61" s="126">
        <f ca="1" t="shared" si="8"/>
        <v>0.013</v>
      </c>
      <c r="J61" s="97">
        <f t="shared" si="9"/>
        <v>59</v>
      </c>
      <c r="K61" s="106">
        <f ca="1" t="shared" si="10"/>
        <v>198</v>
      </c>
      <c r="L61" s="126">
        <f ca="1" t="shared" si="11"/>
        <v>40</v>
      </c>
      <c r="M61" s="126">
        <f ca="1" t="shared" si="12"/>
        <v>1</v>
      </c>
      <c r="N61" s="126">
        <f ca="1" t="shared" si="13"/>
        <v>6</v>
      </c>
      <c r="O61" s="126">
        <f ca="1" t="shared" si="14"/>
        <v>5</v>
      </c>
      <c r="P61" s="126">
        <f ca="1" t="shared" si="15"/>
        <v>1</v>
      </c>
      <c r="Q61" s="126">
        <f ca="1" t="shared" si="16"/>
        <v>0.5</v>
      </c>
      <c r="R61" s="126">
        <f ca="1" t="shared" si="17"/>
        <v>2</v>
      </c>
      <c r="S61" s="126"/>
      <c r="AG61"/>
      <c r="AH61"/>
      <c r="AI61"/>
      <c r="AJ61"/>
      <c r="AK61"/>
      <c r="AL61"/>
      <c r="AM61"/>
      <c r="AN61"/>
      <c r="AO61"/>
      <c r="AP61"/>
    </row>
    <row r="62" spans="2:42">
      <c r="B62" s="98">
        <f t="shared" si="2"/>
        <v>60</v>
      </c>
      <c r="C62" s="126">
        <f ca="1" t="shared" si="3"/>
        <v>199</v>
      </c>
      <c r="D62" s="126">
        <f ca="1" t="shared" si="4"/>
        <v>20</v>
      </c>
      <c r="E62" s="126">
        <f ca="1" t="shared" si="5"/>
        <v>10</v>
      </c>
      <c r="F62" s="126">
        <f ca="1" t="shared" si="6"/>
        <v>1.5</v>
      </c>
      <c r="G62" s="126">
        <f ca="1" t="shared" si="7"/>
        <v>0.125</v>
      </c>
      <c r="H62" s="126">
        <f ca="1" t="shared" si="8"/>
        <v>0.013</v>
      </c>
      <c r="J62" s="97">
        <f t="shared" si="9"/>
        <v>60</v>
      </c>
      <c r="K62" s="106">
        <f ca="1" t="shared" si="10"/>
        <v>199</v>
      </c>
      <c r="L62" s="126">
        <f ca="1" t="shared" si="11"/>
        <v>40</v>
      </c>
      <c r="M62" s="126">
        <f ca="1" t="shared" si="12"/>
        <v>1</v>
      </c>
      <c r="N62" s="126">
        <f ca="1" t="shared" si="13"/>
        <v>6</v>
      </c>
      <c r="O62" s="126">
        <f ca="1" t="shared" si="14"/>
        <v>5</v>
      </c>
      <c r="P62" s="126">
        <f ca="1" t="shared" si="15"/>
        <v>1</v>
      </c>
      <c r="Q62" s="126">
        <f ca="1" t="shared" si="16"/>
        <v>0.5</v>
      </c>
      <c r="R62" s="126">
        <f ca="1" t="shared" si="17"/>
        <v>2</v>
      </c>
      <c r="S62" s="126"/>
      <c r="AG62"/>
      <c r="AH62"/>
      <c r="AI62"/>
      <c r="AJ62"/>
      <c r="AK62"/>
      <c r="AL62"/>
      <c r="AM62"/>
      <c r="AN62"/>
      <c r="AO62"/>
      <c r="AP62"/>
    </row>
    <row r="63" spans="2:42">
      <c r="B63" s="98">
        <f t="shared" si="2"/>
        <v>61</v>
      </c>
      <c r="C63" s="126">
        <f ca="1" t="shared" si="3"/>
        <v>200</v>
      </c>
      <c r="D63" s="126">
        <f ca="1" t="shared" si="4"/>
        <v>20</v>
      </c>
      <c r="E63" s="126">
        <f ca="1" t="shared" si="5"/>
        <v>10</v>
      </c>
      <c r="F63" s="126">
        <f ca="1" t="shared" si="6"/>
        <v>1.5</v>
      </c>
      <c r="G63" s="126">
        <f ca="1" t="shared" si="7"/>
        <v>0.125</v>
      </c>
      <c r="H63" s="126">
        <f ca="1" t="shared" si="8"/>
        <v>0.013</v>
      </c>
      <c r="J63" s="97">
        <f t="shared" si="9"/>
        <v>61</v>
      </c>
      <c r="K63" s="106">
        <f ca="1" t="shared" si="10"/>
        <v>200</v>
      </c>
      <c r="L63" s="126">
        <f ca="1" t="shared" si="11"/>
        <v>40</v>
      </c>
      <c r="M63" s="126">
        <f ca="1" t="shared" si="12"/>
        <v>1</v>
      </c>
      <c r="N63" s="126">
        <f ca="1" t="shared" si="13"/>
        <v>6</v>
      </c>
      <c r="O63" s="126">
        <f ca="1" t="shared" si="14"/>
        <v>5</v>
      </c>
      <c r="P63" s="126">
        <f ca="1" t="shared" si="15"/>
        <v>1</v>
      </c>
      <c r="Q63" s="126">
        <f ca="1" t="shared" si="16"/>
        <v>0.5</v>
      </c>
      <c r="R63" s="126">
        <f ca="1" t="shared" si="17"/>
        <v>2</v>
      </c>
      <c r="S63" s="126"/>
      <c r="AG63"/>
      <c r="AH63"/>
      <c r="AI63"/>
      <c r="AJ63"/>
      <c r="AK63"/>
      <c r="AL63"/>
      <c r="AM63"/>
      <c r="AN63"/>
      <c r="AO63"/>
      <c r="AP63"/>
    </row>
    <row r="64" spans="2:42">
      <c r="B64" s="98">
        <f t="shared" si="2"/>
        <v>62</v>
      </c>
      <c r="C64" s="126">
        <f ca="1" t="shared" si="3"/>
        <v>201</v>
      </c>
      <c r="D64" s="126">
        <f ca="1" t="shared" si="4"/>
        <v>20</v>
      </c>
      <c r="E64" s="126">
        <f ca="1" t="shared" si="5"/>
        <v>10</v>
      </c>
      <c r="F64" s="126">
        <f ca="1" t="shared" si="6"/>
        <v>1.5</v>
      </c>
      <c r="G64" s="126">
        <f ca="1" t="shared" si="7"/>
        <v>0.125</v>
      </c>
      <c r="H64" s="126">
        <f ca="1" t="shared" si="8"/>
        <v>0.013</v>
      </c>
      <c r="J64" s="97">
        <f t="shared" si="9"/>
        <v>62</v>
      </c>
      <c r="K64" s="106">
        <f ca="1" t="shared" si="10"/>
        <v>201</v>
      </c>
      <c r="L64" s="126">
        <f ca="1" t="shared" si="11"/>
        <v>40</v>
      </c>
      <c r="M64" s="126">
        <f ca="1" t="shared" si="12"/>
        <v>1</v>
      </c>
      <c r="N64" s="126">
        <f ca="1" t="shared" si="13"/>
        <v>6</v>
      </c>
      <c r="O64" s="126">
        <f ca="1" t="shared" si="14"/>
        <v>5</v>
      </c>
      <c r="P64" s="126">
        <f ca="1" t="shared" si="15"/>
        <v>1</v>
      </c>
      <c r="Q64" s="126">
        <f ca="1" t="shared" si="16"/>
        <v>0.5</v>
      </c>
      <c r="R64" s="126">
        <f ca="1" t="shared" si="17"/>
        <v>2</v>
      </c>
      <c r="S64" s="126"/>
      <c r="AG64"/>
      <c r="AH64"/>
      <c r="AI64"/>
      <c r="AJ64"/>
      <c r="AK64"/>
      <c r="AL64"/>
      <c r="AM64"/>
      <c r="AN64"/>
      <c r="AO64"/>
      <c r="AP64"/>
    </row>
    <row r="65" spans="2:42">
      <c r="B65" s="98">
        <f t="shared" si="2"/>
        <v>63</v>
      </c>
      <c r="C65" s="126">
        <f ca="1" t="shared" si="3"/>
        <v>202</v>
      </c>
      <c r="D65" s="126">
        <f ca="1" t="shared" si="4"/>
        <v>20</v>
      </c>
      <c r="E65" s="126">
        <f ca="1" t="shared" si="5"/>
        <v>10</v>
      </c>
      <c r="F65" s="126">
        <f ca="1" t="shared" si="6"/>
        <v>1.5</v>
      </c>
      <c r="G65" s="126">
        <f ca="1" t="shared" si="7"/>
        <v>0.125</v>
      </c>
      <c r="H65" s="126">
        <f ca="1" t="shared" si="8"/>
        <v>0.013</v>
      </c>
      <c r="J65" s="97">
        <f t="shared" si="9"/>
        <v>63</v>
      </c>
      <c r="K65" s="106">
        <f ca="1" t="shared" si="10"/>
        <v>202</v>
      </c>
      <c r="L65" s="126">
        <f ca="1" t="shared" si="11"/>
        <v>40</v>
      </c>
      <c r="M65" s="126">
        <f ca="1" t="shared" si="12"/>
        <v>1</v>
      </c>
      <c r="N65" s="126">
        <f ca="1" t="shared" si="13"/>
        <v>6</v>
      </c>
      <c r="O65" s="126">
        <f ca="1" t="shared" si="14"/>
        <v>5</v>
      </c>
      <c r="P65" s="126">
        <f ca="1" t="shared" si="15"/>
        <v>1</v>
      </c>
      <c r="Q65" s="126">
        <f ca="1" t="shared" si="16"/>
        <v>0.5</v>
      </c>
      <c r="R65" s="126">
        <f ca="1" t="shared" si="17"/>
        <v>2</v>
      </c>
      <c r="S65" s="126"/>
      <c r="AG65"/>
      <c r="AH65"/>
      <c r="AI65"/>
      <c r="AJ65"/>
      <c r="AK65"/>
      <c r="AL65"/>
      <c r="AM65"/>
      <c r="AN65"/>
      <c r="AO65"/>
      <c r="AP65"/>
    </row>
    <row r="66" spans="2:42">
      <c r="B66" s="98">
        <f t="shared" si="2"/>
        <v>64</v>
      </c>
      <c r="C66" s="126">
        <f ca="1" t="shared" si="3"/>
        <v>203</v>
      </c>
      <c r="D66" s="126">
        <f ca="1" t="shared" si="4"/>
        <v>20</v>
      </c>
      <c r="E66" s="126">
        <f ca="1" t="shared" si="5"/>
        <v>10</v>
      </c>
      <c r="F66" s="126">
        <f ca="1" t="shared" si="6"/>
        <v>1.5</v>
      </c>
      <c r="G66" s="126">
        <f ca="1" t="shared" si="7"/>
        <v>0.125</v>
      </c>
      <c r="H66" s="126">
        <f ca="1" t="shared" si="8"/>
        <v>0.013</v>
      </c>
      <c r="J66" s="97">
        <f t="shared" si="9"/>
        <v>64</v>
      </c>
      <c r="K66" s="106">
        <f ca="1" t="shared" si="10"/>
        <v>203</v>
      </c>
      <c r="L66" s="126">
        <f ca="1" t="shared" si="11"/>
        <v>40</v>
      </c>
      <c r="M66" s="126">
        <f ca="1" t="shared" si="12"/>
        <v>1</v>
      </c>
      <c r="N66" s="126">
        <f ca="1" t="shared" si="13"/>
        <v>6</v>
      </c>
      <c r="O66" s="126">
        <f ca="1" t="shared" si="14"/>
        <v>5</v>
      </c>
      <c r="P66" s="126">
        <f ca="1" t="shared" si="15"/>
        <v>1</v>
      </c>
      <c r="Q66" s="126">
        <f ca="1" t="shared" si="16"/>
        <v>0.5</v>
      </c>
      <c r="R66" s="126">
        <f ca="1" t="shared" si="17"/>
        <v>2</v>
      </c>
      <c r="S66" s="126"/>
      <c r="AG66"/>
      <c r="AH66"/>
      <c r="AI66"/>
      <c r="AJ66"/>
      <c r="AK66"/>
      <c r="AL66"/>
      <c r="AM66"/>
      <c r="AN66"/>
      <c r="AO66"/>
      <c r="AP66"/>
    </row>
    <row r="67" spans="2:42">
      <c r="B67" s="98">
        <f t="shared" si="2"/>
        <v>65</v>
      </c>
      <c r="C67" s="126">
        <f ca="1" t="shared" si="3"/>
        <v>204</v>
      </c>
      <c r="D67" s="126">
        <f ca="1" t="shared" si="4"/>
        <v>20</v>
      </c>
      <c r="E67" s="126">
        <f ca="1" t="shared" si="5"/>
        <v>10</v>
      </c>
      <c r="F67" s="126">
        <f ca="1" t="shared" si="6"/>
        <v>1.5</v>
      </c>
      <c r="G67" s="126">
        <f ca="1" t="shared" si="7"/>
        <v>0.125</v>
      </c>
      <c r="H67" s="126">
        <f ca="1" t="shared" si="8"/>
        <v>0.013</v>
      </c>
      <c r="J67" s="97">
        <f t="shared" si="9"/>
        <v>65</v>
      </c>
      <c r="K67" s="106">
        <f ca="1" t="shared" ref="K67:K130" si="18">OFFSET($B$310,$B67,MATCH(K$1&amp;K$2,$C$305:$P$305,0))</f>
        <v>204</v>
      </c>
      <c r="L67" s="126">
        <f ca="1" t="shared" si="11"/>
        <v>40</v>
      </c>
      <c r="M67" s="126">
        <f ca="1" t="shared" si="12"/>
        <v>1</v>
      </c>
      <c r="N67" s="126">
        <f ca="1" t="shared" si="13"/>
        <v>6</v>
      </c>
      <c r="O67" s="126">
        <f ca="1" t="shared" si="14"/>
        <v>5</v>
      </c>
      <c r="P67" s="126">
        <f ca="1" t="shared" si="15"/>
        <v>1</v>
      </c>
      <c r="Q67" s="126">
        <f ca="1" t="shared" si="16"/>
        <v>0.5</v>
      </c>
      <c r="R67" s="126">
        <f ca="1" t="shared" si="17"/>
        <v>2</v>
      </c>
      <c r="S67" s="126"/>
      <c r="AG67"/>
      <c r="AH67"/>
      <c r="AI67"/>
      <c r="AJ67"/>
      <c r="AK67"/>
      <c r="AL67"/>
      <c r="AM67"/>
      <c r="AN67"/>
      <c r="AO67"/>
      <c r="AP67"/>
    </row>
    <row r="68" spans="2:42">
      <c r="B68" s="98">
        <f t="shared" ref="B68:B131" si="19">B67+1</f>
        <v>66</v>
      </c>
      <c r="C68" s="126">
        <f ca="1" t="shared" ref="C68:C131" si="20">OFFSET($B$310,$B68,MATCH(C$1&amp;C$2,$C$305:$P$305,0))</f>
        <v>205</v>
      </c>
      <c r="D68" s="126">
        <f ca="1" t="shared" ref="D68:D131" si="21">OFFSET($B$310,$B68,MATCH(D$1&amp;D$2,$C$305:$P$305,0))</f>
        <v>20</v>
      </c>
      <c r="E68" s="126">
        <f ca="1" t="shared" ref="E68:E131" si="22">OFFSET($B$310,$B68,MATCH(E$1&amp;E$2,$C$305:$P$305,0))</f>
        <v>10</v>
      </c>
      <c r="F68" s="126">
        <f ca="1" t="shared" ref="F68:F131" si="23">OFFSET($B$310,$B68,MATCH(F$1&amp;F$2,$C$305:$P$305,0))</f>
        <v>1.5</v>
      </c>
      <c r="G68" s="126">
        <f ca="1" t="shared" ref="G68:G131" si="24">OFFSET($B$310,$B68,MATCH(G$1&amp;G$2,$C$305:$P$305,0))</f>
        <v>0.125</v>
      </c>
      <c r="H68" s="126">
        <f ca="1" t="shared" ref="H68:H131" si="25">OFFSET($B$310,$B68,MATCH(H$1&amp;H$2,$C$305:$P$305,0))</f>
        <v>0.013</v>
      </c>
      <c r="J68" s="97">
        <f t="shared" ref="J68:J131" si="26">J67+1</f>
        <v>66</v>
      </c>
      <c r="K68" s="106">
        <f ca="1" t="shared" si="18"/>
        <v>205</v>
      </c>
      <c r="L68" s="126">
        <f ca="1" t="shared" ref="L68:L131" si="27">OFFSET($B$310,$B68,MATCH(L$1&amp;L$2,$C$305:$P$305,0))</f>
        <v>40</v>
      </c>
      <c r="M68" s="126">
        <f ca="1" t="shared" ref="M68:M131" si="28">OFFSET($B$310,$B68,MATCH(M$1&amp;M$2,$C$305:$P$305,0))</f>
        <v>1</v>
      </c>
      <c r="N68" s="126">
        <f ca="1" t="shared" ref="N68:N131" si="29">OFFSET($B$310,$B68,MATCH(N$1&amp;N$2,$C$305:$P$305,0))</f>
        <v>6</v>
      </c>
      <c r="O68" s="126">
        <f ca="1" t="shared" ref="O68:O131" si="30">OFFSET($B$310,$B68,MATCH(O$1&amp;O$2,$C$305:$P$305,0))</f>
        <v>5</v>
      </c>
      <c r="P68" s="126">
        <f ca="1" t="shared" ref="P68:P131" si="31">OFFSET($B$310,$B68,MATCH(P$1&amp;P$2,$C$305:$P$305,0))</f>
        <v>1</v>
      </c>
      <c r="Q68" s="126">
        <f ca="1" t="shared" ref="Q68:Q131" si="32">OFFSET($B$310,$B68,MATCH(Q$1&amp;Q$2,$C$305:$P$305,0))</f>
        <v>0.5</v>
      </c>
      <c r="R68" s="126">
        <f ca="1" t="shared" ref="R68:R131" si="33">OFFSET($B$310,$B68,MATCH(R$1&amp;R$2,$C$305:$P$305,0))</f>
        <v>2</v>
      </c>
      <c r="S68" s="126"/>
      <c r="AG68"/>
      <c r="AH68"/>
      <c r="AI68"/>
      <c r="AJ68"/>
      <c r="AK68"/>
      <c r="AL68"/>
      <c r="AM68"/>
      <c r="AN68"/>
      <c r="AO68"/>
      <c r="AP68"/>
    </row>
    <row r="69" spans="2:42">
      <c r="B69" s="98">
        <f t="shared" si="19"/>
        <v>67</v>
      </c>
      <c r="C69" s="126">
        <f ca="1" t="shared" si="20"/>
        <v>206</v>
      </c>
      <c r="D69" s="126">
        <f ca="1" t="shared" si="21"/>
        <v>20</v>
      </c>
      <c r="E69" s="126">
        <f ca="1" t="shared" si="22"/>
        <v>10</v>
      </c>
      <c r="F69" s="126">
        <f ca="1" t="shared" si="23"/>
        <v>1.5</v>
      </c>
      <c r="G69" s="126">
        <f ca="1" t="shared" si="24"/>
        <v>0.125</v>
      </c>
      <c r="H69" s="126">
        <f ca="1" t="shared" si="25"/>
        <v>0.013</v>
      </c>
      <c r="J69" s="97">
        <f t="shared" si="26"/>
        <v>67</v>
      </c>
      <c r="K69" s="106">
        <f ca="1" t="shared" si="18"/>
        <v>206</v>
      </c>
      <c r="L69" s="126">
        <f ca="1" t="shared" si="27"/>
        <v>40</v>
      </c>
      <c r="M69" s="126">
        <f ca="1" t="shared" si="28"/>
        <v>1</v>
      </c>
      <c r="N69" s="126">
        <f ca="1" t="shared" si="29"/>
        <v>6</v>
      </c>
      <c r="O69" s="126">
        <f ca="1" t="shared" si="30"/>
        <v>5</v>
      </c>
      <c r="P69" s="126">
        <f ca="1" t="shared" si="31"/>
        <v>1</v>
      </c>
      <c r="Q69" s="126">
        <f ca="1" t="shared" si="32"/>
        <v>0.5</v>
      </c>
      <c r="R69" s="126">
        <f ca="1" t="shared" si="33"/>
        <v>2</v>
      </c>
      <c r="S69" s="126"/>
      <c r="AG69"/>
      <c r="AH69"/>
      <c r="AI69"/>
      <c r="AJ69"/>
      <c r="AK69"/>
      <c r="AL69"/>
      <c r="AM69"/>
      <c r="AN69"/>
      <c r="AO69"/>
      <c r="AP69"/>
    </row>
    <row r="70" spans="2:42">
      <c r="B70" s="98">
        <f t="shared" si="19"/>
        <v>68</v>
      </c>
      <c r="C70" s="126">
        <f ca="1" t="shared" si="20"/>
        <v>207</v>
      </c>
      <c r="D70" s="126">
        <f ca="1" t="shared" si="21"/>
        <v>20</v>
      </c>
      <c r="E70" s="126">
        <f ca="1" t="shared" si="22"/>
        <v>10</v>
      </c>
      <c r="F70" s="126">
        <f ca="1" t="shared" si="23"/>
        <v>1.5</v>
      </c>
      <c r="G70" s="126">
        <f ca="1" t="shared" si="24"/>
        <v>0.125</v>
      </c>
      <c r="H70" s="126">
        <f ca="1" t="shared" si="25"/>
        <v>0.013</v>
      </c>
      <c r="J70" s="97">
        <f t="shared" si="26"/>
        <v>68</v>
      </c>
      <c r="K70" s="106">
        <f ca="1" t="shared" si="18"/>
        <v>207</v>
      </c>
      <c r="L70" s="126">
        <f ca="1" t="shared" si="27"/>
        <v>40</v>
      </c>
      <c r="M70" s="126">
        <f ca="1" t="shared" si="28"/>
        <v>1</v>
      </c>
      <c r="N70" s="126">
        <f ca="1" t="shared" si="29"/>
        <v>6</v>
      </c>
      <c r="O70" s="126">
        <f ca="1" t="shared" si="30"/>
        <v>5</v>
      </c>
      <c r="P70" s="126">
        <f ca="1" t="shared" si="31"/>
        <v>1</v>
      </c>
      <c r="Q70" s="126">
        <f ca="1" t="shared" si="32"/>
        <v>0.5</v>
      </c>
      <c r="R70" s="126">
        <f ca="1" t="shared" si="33"/>
        <v>2</v>
      </c>
      <c r="S70" s="126"/>
      <c r="AG70"/>
      <c r="AH70"/>
      <c r="AI70"/>
      <c r="AJ70"/>
      <c r="AK70"/>
      <c r="AL70"/>
      <c r="AM70"/>
      <c r="AN70"/>
      <c r="AO70"/>
      <c r="AP70"/>
    </row>
    <row r="71" spans="2:42">
      <c r="B71" s="98">
        <f t="shared" si="19"/>
        <v>69</v>
      </c>
      <c r="C71" s="126">
        <f ca="1" t="shared" si="20"/>
        <v>208</v>
      </c>
      <c r="D71" s="126">
        <f ca="1" t="shared" si="21"/>
        <v>20</v>
      </c>
      <c r="E71" s="126">
        <f ca="1" t="shared" si="22"/>
        <v>10</v>
      </c>
      <c r="F71" s="126">
        <f ca="1" t="shared" si="23"/>
        <v>1.5</v>
      </c>
      <c r="G71" s="126">
        <f ca="1" t="shared" si="24"/>
        <v>0.125</v>
      </c>
      <c r="H71" s="126">
        <f ca="1" t="shared" si="25"/>
        <v>0.013</v>
      </c>
      <c r="J71" s="97">
        <f t="shared" si="26"/>
        <v>69</v>
      </c>
      <c r="K71" s="106">
        <f ca="1" t="shared" si="18"/>
        <v>208</v>
      </c>
      <c r="L71" s="126">
        <f ca="1" t="shared" si="27"/>
        <v>40</v>
      </c>
      <c r="M71" s="126">
        <f ca="1" t="shared" si="28"/>
        <v>1</v>
      </c>
      <c r="N71" s="126">
        <f ca="1" t="shared" si="29"/>
        <v>6</v>
      </c>
      <c r="O71" s="126">
        <f ca="1" t="shared" si="30"/>
        <v>5</v>
      </c>
      <c r="P71" s="126">
        <f ca="1" t="shared" si="31"/>
        <v>1</v>
      </c>
      <c r="Q71" s="126">
        <f ca="1" t="shared" si="32"/>
        <v>0.5</v>
      </c>
      <c r="R71" s="126">
        <f ca="1" t="shared" si="33"/>
        <v>2</v>
      </c>
      <c r="S71" s="126"/>
      <c r="AG71"/>
      <c r="AH71"/>
      <c r="AI71"/>
      <c r="AJ71"/>
      <c r="AK71"/>
      <c r="AL71"/>
      <c r="AM71"/>
      <c r="AN71"/>
      <c r="AO71"/>
      <c r="AP71"/>
    </row>
    <row r="72" spans="2:42">
      <c r="B72" s="98">
        <f t="shared" si="19"/>
        <v>70</v>
      </c>
      <c r="C72" s="126">
        <f ca="1" t="shared" si="20"/>
        <v>209</v>
      </c>
      <c r="D72" s="126">
        <f ca="1" t="shared" si="21"/>
        <v>20</v>
      </c>
      <c r="E72" s="126">
        <f ca="1" t="shared" si="22"/>
        <v>10</v>
      </c>
      <c r="F72" s="126">
        <f ca="1" t="shared" si="23"/>
        <v>1.5</v>
      </c>
      <c r="G72" s="126">
        <f ca="1" t="shared" si="24"/>
        <v>0.125</v>
      </c>
      <c r="H72" s="126">
        <f ca="1" t="shared" si="25"/>
        <v>0.013</v>
      </c>
      <c r="J72" s="97">
        <f t="shared" si="26"/>
        <v>70</v>
      </c>
      <c r="K72" s="106">
        <f ca="1" t="shared" si="18"/>
        <v>209</v>
      </c>
      <c r="L72" s="126">
        <f ca="1" t="shared" si="27"/>
        <v>40</v>
      </c>
      <c r="M72" s="126">
        <f ca="1" t="shared" si="28"/>
        <v>1</v>
      </c>
      <c r="N72" s="126">
        <f ca="1" t="shared" si="29"/>
        <v>6</v>
      </c>
      <c r="O72" s="126">
        <f ca="1" t="shared" si="30"/>
        <v>5</v>
      </c>
      <c r="P72" s="126">
        <f ca="1" t="shared" si="31"/>
        <v>1</v>
      </c>
      <c r="Q72" s="126">
        <f ca="1" t="shared" si="32"/>
        <v>0.5</v>
      </c>
      <c r="R72" s="126">
        <f ca="1" t="shared" si="33"/>
        <v>2</v>
      </c>
      <c r="S72" s="126"/>
      <c r="AG72"/>
      <c r="AH72"/>
      <c r="AI72"/>
      <c r="AJ72"/>
      <c r="AK72"/>
      <c r="AL72"/>
      <c r="AM72"/>
      <c r="AN72"/>
      <c r="AO72"/>
      <c r="AP72"/>
    </row>
    <row r="73" spans="2:42">
      <c r="B73" s="98">
        <f t="shared" si="19"/>
        <v>71</v>
      </c>
      <c r="C73" s="126">
        <f ca="1" t="shared" si="20"/>
        <v>210</v>
      </c>
      <c r="D73" s="126">
        <f ca="1" t="shared" si="21"/>
        <v>20</v>
      </c>
      <c r="E73" s="126">
        <f ca="1" t="shared" si="22"/>
        <v>10</v>
      </c>
      <c r="F73" s="126">
        <f ca="1" t="shared" si="23"/>
        <v>1.5</v>
      </c>
      <c r="G73" s="126">
        <f ca="1" t="shared" si="24"/>
        <v>0.125</v>
      </c>
      <c r="H73" s="126">
        <f ca="1" t="shared" si="25"/>
        <v>0.013</v>
      </c>
      <c r="J73" s="97">
        <f t="shared" si="26"/>
        <v>71</v>
      </c>
      <c r="K73" s="106">
        <f ca="1" t="shared" si="18"/>
        <v>210</v>
      </c>
      <c r="L73" s="126">
        <f ca="1" t="shared" si="27"/>
        <v>40</v>
      </c>
      <c r="M73" s="126">
        <f ca="1" t="shared" si="28"/>
        <v>1</v>
      </c>
      <c r="N73" s="126">
        <f ca="1" t="shared" si="29"/>
        <v>6</v>
      </c>
      <c r="O73" s="126">
        <f ca="1" t="shared" si="30"/>
        <v>5</v>
      </c>
      <c r="P73" s="126">
        <f ca="1" t="shared" si="31"/>
        <v>1</v>
      </c>
      <c r="Q73" s="126">
        <f ca="1" t="shared" si="32"/>
        <v>0.5</v>
      </c>
      <c r="R73" s="126">
        <f ca="1" t="shared" si="33"/>
        <v>2</v>
      </c>
      <c r="S73" s="126"/>
      <c r="AG73"/>
      <c r="AH73"/>
      <c r="AI73"/>
      <c r="AJ73"/>
      <c r="AK73"/>
      <c r="AL73"/>
      <c r="AM73"/>
      <c r="AN73"/>
      <c r="AO73"/>
      <c r="AP73"/>
    </row>
    <row r="74" spans="2:42">
      <c r="B74" s="98">
        <f t="shared" si="19"/>
        <v>72</v>
      </c>
      <c r="C74" s="126">
        <f ca="1" t="shared" si="20"/>
        <v>211</v>
      </c>
      <c r="D74" s="126">
        <f ca="1" t="shared" si="21"/>
        <v>20</v>
      </c>
      <c r="E74" s="126">
        <f ca="1" t="shared" si="22"/>
        <v>10</v>
      </c>
      <c r="F74" s="126">
        <f ca="1" t="shared" si="23"/>
        <v>1.5</v>
      </c>
      <c r="G74" s="126">
        <f ca="1" t="shared" si="24"/>
        <v>0.125</v>
      </c>
      <c r="H74" s="126">
        <f ca="1" t="shared" si="25"/>
        <v>0.013</v>
      </c>
      <c r="J74" s="97">
        <f t="shared" si="26"/>
        <v>72</v>
      </c>
      <c r="K74" s="106">
        <f ca="1" t="shared" si="18"/>
        <v>211</v>
      </c>
      <c r="L74" s="126">
        <f ca="1" t="shared" si="27"/>
        <v>40</v>
      </c>
      <c r="M74" s="126">
        <f ca="1" t="shared" si="28"/>
        <v>1</v>
      </c>
      <c r="N74" s="126">
        <f ca="1" t="shared" si="29"/>
        <v>6</v>
      </c>
      <c r="O74" s="126">
        <f ca="1" t="shared" si="30"/>
        <v>5</v>
      </c>
      <c r="P74" s="126">
        <f ca="1" t="shared" si="31"/>
        <v>1</v>
      </c>
      <c r="Q74" s="126">
        <f ca="1" t="shared" si="32"/>
        <v>0.5</v>
      </c>
      <c r="R74" s="126">
        <f ca="1" t="shared" si="33"/>
        <v>2</v>
      </c>
      <c r="S74" s="126"/>
      <c r="AG74"/>
      <c r="AH74"/>
      <c r="AI74"/>
      <c r="AJ74"/>
      <c r="AK74"/>
      <c r="AL74"/>
      <c r="AM74"/>
      <c r="AN74"/>
      <c r="AO74"/>
      <c r="AP74"/>
    </row>
    <row r="75" spans="2:42">
      <c r="B75" s="98">
        <f t="shared" si="19"/>
        <v>73</v>
      </c>
      <c r="C75" s="126">
        <f ca="1" t="shared" si="20"/>
        <v>212</v>
      </c>
      <c r="D75" s="126">
        <f ca="1" t="shared" si="21"/>
        <v>20</v>
      </c>
      <c r="E75" s="126">
        <f ca="1" t="shared" si="22"/>
        <v>10</v>
      </c>
      <c r="F75" s="126">
        <f ca="1" t="shared" si="23"/>
        <v>1.5</v>
      </c>
      <c r="G75" s="126">
        <f ca="1" t="shared" si="24"/>
        <v>0.125</v>
      </c>
      <c r="H75" s="126">
        <f ca="1" t="shared" si="25"/>
        <v>0.013</v>
      </c>
      <c r="J75" s="97">
        <f t="shared" si="26"/>
        <v>73</v>
      </c>
      <c r="K75" s="106">
        <f ca="1" t="shared" si="18"/>
        <v>212</v>
      </c>
      <c r="L75" s="126">
        <f ca="1" t="shared" si="27"/>
        <v>40</v>
      </c>
      <c r="M75" s="126">
        <f ca="1" t="shared" si="28"/>
        <v>1</v>
      </c>
      <c r="N75" s="126">
        <f ca="1" t="shared" si="29"/>
        <v>6</v>
      </c>
      <c r="O75" s="126">
        <f ca="1" t="shared" si="30"/>
        <v>5</v>
      </c>
      <c r="P75" s="126">
        <f ca="1" t="shared" si="31"/>
        <v>1</v>
      </c>
      <c r="Q75" s="126">
        <f ca="1" t="shared" si="32"/>
        <v>0.5</v>
      </c>
      <c r="R75" s="126">
        <f ca="1" t="shared" si="33"/>
        <v>2</v>
      </c>
      <c r="S75" s="126"/>
      <c r="AG75"/>
      <c r="AH75"/>
      <c r="AI75"/>
      <c r="AJ75"/>
      <c r="AK75"/>
      <c r="AL75"/>
      <c r="AM75"/>
      <c r="AN75"/>
      <c r="AO75"/>
      <c r="AP75"/>
    </row>
    <row r="76" spans="2:42">
      <c r="B76" s="98">
        <f t="shared" si="19"/>
        <v>74</v>
      </c>
      <c r="C76" s="126">
        <f ca="1" t="shared" si="20"/>
        <v>213</v>
      </c>
      <c r="D76" s="126">
        <f ca="1" t="shared" si="21"/>
        <v>20</v>
      </c>
      <c r="E76" s="126">
        <f ca="1" t="shared" si="22"/>
        <v>10</v>
      </c>
      <c r="F76" s="126">
        <f ca="1" t="shared" si="23"/>
        <v>1.5</v>
      </c>
      <c r="G76" s="126">
        <f ca="1" t="shared" si="24"/>
        <v>0.125</v>
      </c>
      <c r="H76" s="126">
        <f ca="1" t="shared" si="25"/>
        <v>0.013</v>
      </c>
      <c r="J76" s="97">
        <f t="shared" si="26"/>
        <v>74</v>
      </c>
      <c r="K76" s="106">
        <f ca="1" t="shared" si="18"/>
        <v>213</v>
      </c>
      <c r="L76" s="126">
        <f ca="1" t="shared" si="27"/>
        <v>40</v>
      </c>
      <c r="M76" s="126">
        <f ca="1" t="shared" si="28"/>
        <v>1</v>
      </c>
      <c r="N76" s="126">
        <f ca="1" t="shared" si="29"/>
        <v>6</v>
      </c>
      <c r="O76" s="126">
        <f ca="1" t="shared" si="30"/>
        <v>5</v>
      </c>
      <c r="P76" s="126">
        <f ca="1" t="shared" si="31"/>
        <v>1</v>
      </c>
      <c r="Q76" s="126">
        <f ca="1" t="shared" si="32"/>
        <v>0.5</v>
      </c>
      <c r="R76" s="126">
        <f ca="1" t="shared" si="33"/>
        <v>2</v>
      </c>
      <c r="S76" s="126"/>
      <c r="AG76"/>
      <c r="AH76"/>
      <c r="AI76"/>
      <c r="AJ76"/>
      <c r="AK76"/>
      <c r="AL76"/>
      <c r="AM76"/>
      <c r="AN76"/>
      <c r="AO76"/>
      <c r="AP76"/>
    </row>
    <row r="77" spans="2:42">
      <c r="B77" s="98">
        <f t="shared" si="19"/>
        <v>75</v>
      </c>
      <c r="C77" s="126">
        <f ca="1" t="shared" si="20"/>
        <v>214</v>
      </c>
      <c r="D77" s="126">
        <f ca="1" t="shared" si="21"/>
        <v>20</v>
      </c>
      <c r="E77" s="126">
        <f ca="1" t="shared" si="22"/>
        <v>10</v>
      </c>
      <c r="F77" s="126">
        <f ca="1" t="shared" si="23"/>
        <v>1.5</v>
      </c>
      <c r="G77" s="126">
        <f ca="1" t="shared" si="24"/>
        <v>0.125</v>
      </c>
      <c r="H77" s="126">
        <f ca="1" t="shared" si="25"/>
        <v>0.013</v>
      </c>
      <c r="J77" s="97">
        <f t="shared" si="26"/>
        <v>75</v>
      </c>
      <c r="K77" s="106">
        <f ca="1" t="shared" si="18"/>
        <v>214</v>
      </c>
      <c r="L77" s="126">
        <f ca="1" t="shared" si="27"/>
        <v>40</v>
      </c>
      <c r="M77" s="126">
        <f ca="1" t="shared" si="28"/>
        <v>1</v>
      </c>
      <c r="N77" s="126">
        <f ca="1" t="shared" si="29"/>
        <v>6</v>
      </c>
      <c r="O77" s="126">
        <f ca="1" t="shared" si="30"/>
        <v>5</v>
      </c>
      <c r="P77" s="126">
        <f ca="1" t="shared" si="31"/>
        <v>1</v>
      </c>
      <c r="Q77" s="126">
        <f ca="1" t="shared" si="32"/>
        <v>0.5</v>
      </c>
      <c r="R77" s="126">
        <f ca="1" t="shared" si="33"/>
        <v>2</v>
      </c>
      <c r="S77" s="126"/>
      <c r="AG77"/>
      <c r="AH77"/>
      <c r="AI77"/>
      <c r="AJ77"/>
      <c r="AK77"/>
      <c r="AL77"/>
      <c r="AM77"/>
      <c r="AN77"/>
      <c r="AO77"/>
      <c r="AP77"/>
    </row>
    <row r="78" spans="2:42">
      <c r="B78" s="98">
        <f t="shared" si="19"/>
        <v>76</v>
      </c>
      <c r="C78" s="126">
        <f ca="1" t="shared" si="20"/>
        <v>215</v>
      </c>
      <c r="D78" s="126">
        <f ca="1" t="shared" si="21"/>
        <v>20</v>
      </c>
      <c r="E78" s="126">
        <f ca="1" t="shared" si="22"/>
        <v>10</v>
      </c>
      <c r="F78" s="126">
        <f ca="1" t="shared" si="23"/>
        <v>1.5</v>
      </c>
      <c r="G78" s="126">
        <f ca="1" t="shared" si="24"/>
        <v>0.125</v>
      </c>
      <c r="H78" s="126">
        <f ca="1" t="shared" si="25"/>
        <v>0.013</v>
      </c>
      <c r="J78" s="97">
        <f t="shared" si="26"/>
        <v>76</v>
      </c>
      <c r="K78" s="106">
        <f ca="1" t="shared" si="18"/>
        <v>215</v>
      </c>
      <c r="L78" s="126">
        <f ca="1" t="shared" si="27"/>
        <v>40</v>
      </c>
      <c r="M78" s="126">
        <f ca="1" t="shared" si="28"/>
        <v>1</v>
      </c>
      <c r="N78" s="126">
        <f ca="1" t="shared" si="29"/>
        <v>6</v>
      </c>
      <c r="O78" s="126">
        <f ca="1" t="shared" si="30"/>
        <v>5</v>
      </c>
      <c r="P78" s="126">
        <f ca="1" t="shared" si="31"/>
        <v>1</v>
      </c>
      <c r="Q78" s="126">
        <f ca="1" t="shared" si="32"/>
        <v>0.5</v>
      </c>
      <c r="R78" s="126">
        <f ca="1" t="shared" si="33"/>
        <v>2</v>
      </c>
      <c r="S78" s="126"/>
      <c r="AG78"/>
      <c r="AH78"/>
      <c r="AI78"/>
      <c r="AJ78"/>
      <c r="AK78"/>
      <c r="AL78"/>
      <c r="AM78"/>
      <c r="AN78"/>
      <c r="AO78"/>
      <c r="AP78"/>
    </row>
    <row r="79" spans="2:42">
      <c r="B79" s="98">
        <f t="shared" si="19"/>
        <v>77</v>
      </c>
      <c r="C79" s="126">
        <f ca="1" t="shared" si="20"/>
        <v>216</v>
      </c>
      <c r="D79" s="126">
        <f ca="1" t="shared" si="21"/>
        <v>20</v>
      </c>
      <c r="E79" s="126">
        <f ca="1" t="shared" si="22"/>
        <v>10</v>
      </c>
      <c r="F79" s="126">
        <f ca="1" t="shared" si="23"/>
        <v>1.5</v>
      </c>
      <c r="G79" s="126">
        <f ca="1" t="shared" si="24"/>
        <v>0.125</v>
      </c>
      <c r="H79" s="126">
        <f ca="1" t="shared" si="25"/>
        <v>0.013</v>
      </c>
      <c r="J79" s="97">
        <f t="shared" si="26"/>
        <v>77</v>
      </c>
      <c r="K79" s="106">
        <f ca="1" t="shared" si="18"/>
        <v>216</v>
      </c>
      <c r="L79" s="126">
        <f ca="1" t="shared" si="27"/>
        <v>40</v>
      </c>
      <c r="M79" s="126">
        <f ca="1" t="shared" si="28"/>
        <v>1</v>
      </c>
      <c r="N79" s="126">
        <f ca="1" t="shared" si="29"/>
        <v>6</v>
      </c>
      <c r="O79" s="126">
        <f ca="1" t="shared" si="30"/>
        <v>5</v>
      </c>
      <c r="P79" s="126">
        <f ca="1" t="shared" si="31"/>
        <v>1</v>
      </c>
      <c r="Q79" s="126">
        <f ca="1" t="shared" si="32"/>
        <v>0.5</v>
      </c>
      <c r="R79" s="126">
        <f ca="1" t="shared" si="33"/>
        <v>2</v>
      </c>
      <c r="S79" s="126"/>
      <c r="AG79"/>
      <c r="AH79"/>
      <c r="AI79"/>
      <c r="AJ79"/>
      <c r="AK79"/>
      <c r="AL79"/>
      <c r="AM79"/>
      <c r="AN79"/>
      <c r="AO79"/>
      <c r="AP79"/>
    </row>
    <row r="80" spans="2:42">
      <c r="B80" s="98">
        <f t="shared" si="19"/>
        <v>78</v>
      </c>
      <c r="C80" s="126">
        <f ca="1" t="shared" si="20"/>
        <v>217</v>
      </c>
      <c r="D80" s="126">
        <f ca="1" t="shared" si="21"/>
        <v>20</v>
      </c>
      <c r="E80" s="126">
        <f ca="1" t="shared" si="22"/>
        <v>10</v>
      </c>
      <c r="F80" s="126">
        <f ca="1" t="shared" si="23"/>
        <v>1.5</v>
      </c>
      <c r="G80" s="126">
        <f ca="1" t="shared" si="24"/>
        <v>0.125</v>
      </c>
      <c r="H80" s="126">
        <f ca="1" t="shared" si="25"/>
        <v>0.013</v>
      </c>
      <c r="J80" s="97">
        <f t="shared" si="26"/>
        <v>78</v>
      </c>
      <c r="K80" s="106">
        <f ca="1" t="shared" si="18"/>
        <v>217</v>
      </c>
      <c r="L80" s="126">
        <f ca="1" t="shared" si="27"/>
        <v>40</v>
      </c>
      <c r="M80" s="126">
        <f ca="1" t="shared" si="28"/>
        <v>1</v>
      </c>
      <c r="N80" s="126">
        <f ca="1" t="shared" si="29"/>
        <v>6</v>
      </c>
      <c r="O80" s="126">
        <f ca="1" t="shared" si="30"/>
        <v>5</v>
      </c>
      <c r="P80" s="126">
        <f ca="1" t="shared" si="31"/>
        <v>1</v>
      </c>
      <c r="Q80" s="126">
        <f ca="1" t="shared" si="32"/>
        <v>0.5</v>
      </c>
      <c r="R80" s="126">
        <f ca="1" t="shared" si="33"/>
        <v>2</v>
      </c>
      <c r="S80" s="126"/>
      <c r="AG80"/>
      <c r="AH80"/>
      <c r="AI80"/>
      <c r="AJ80"/>
      <c r="AK80"/>
      <c r="AL80"/>
      <c r="AM80"/>
      <c r="AN80"/>
      <c r="AO80"/>
      <c r="AP80"/>
    </row>
    <row r="81" spans="2:42">
      <c r="B81" s="98">
        <f t="shared" si="19"/>
        <v>79</v>
      </c>
      <c r="C81" s="126">
        <f ca="1" t="shared" si="20"/>
        <v>218</v>
      </c>
      <c r="D81" s="126">
        <f ca="1" t="shared" si="21"/>
        <v>20</v>
      </c>
      <c r="E81" s="126">
        <f ca="1" t="shared" si="22"/>
        <v>10</v>
      </c>
      <c r="F81" s="126">
        <f ca="1" t="shared" si="23"/>
        <v>1.5</v>
      </c>
      <c r="G81" s="126">
        <f ca="1" t="shared" si="24"/>
        <v>0.125</v>
      </c>
      <c r="H81" s="126">
        <f ca="1" t="shared" si="25"/>
        <v>0.013</v>
      </c>
      <c r="J81" s="97">
        <f t="shared" si="26"/>
        <v>79</v>
      </c>
      <c r="K81" s="106">
        <f ca="1" t="shared" si="18"/>
        <v>218</v>
      </c>
      <c r="L81" s="126">
        <f ca="1" t="shared" si="27"/>
        <v>40</v>
      </c>
      <c r="M81" s="126">
        <f ca="1" t="shared" si="28"/>
        <v>1</v>
      </c>
      <c r="N81" s="126">
        <f ca="1" t="shared" si="29"/>
        <v>6</v>
      </c>
      <c r="O81" s="126">
        <f ca="1" t="shared" si="30"/>
        <v>5</v>
      </c>
      <c r="P81" s="126">
        <f ca="1" t="shared" si="31"/>
        <v>1</v>
      </c>
      <c r="Q81" s="126">
        <f ca="1" t="shared" si="32"/>
        <v>0.5</v>
      </c>
      <c r="R81" s="126">
        <f ca="1" t="shared" si="33"/>
        <v>2</v>
      </c>
      <c r="S81" s="126"/>
      <c r="AG81"/>
      <c r="AH81"/>
      <c r="AI81"/>
      <c r="AJ81"/>
      <c r="AK81"/>
      <c r="AL81"/>
      <c r="AM81"/>
      <c r="AN81"/>
      <c r="AO81"/>
      <c r="AP81"/>
    </row>
    <row r="82" spans="2:42">
      <c r="B82" s="98">
        <f t="shared" si="19"/>
        <v>80</v>
      </c>
      <c r="C82" s="126">
        <f ca="1" t="shared" si="20"/>
        <v>219</v>
      </c>
      <c r="D82" s="126">
        <f ca="1" t="shared" si="21"/>
        <v>20</v>
      </c>
      <c r="E82" s="126">
        <f ca="1" t="shared" si="22"/>
        <v>10</v>
      </c>
      <c r="F82" s="126">
        <f ca="1" t="shared" si="23"/>
        <v>1.5</v>
      </c>
      <c r="G82" s="126">
        <f ca="1" t="shared" si="24"/>
        <v>0.125</v>
      </c>
      <c r="H82" s="126">
        <f ca="1" t="shared" si="25"/>
        <v>0.013</v>
      </c>
      <c r="J82" s="97">
        <f t="shared" si="26"/>
        <v>80</v>
      </c>
      <c r="K82" s="106">
        <f ca="1" t="shared" si="18"/>
        <v>219</v>
      </c>
      <c r="L82" s="126">
        <f ca="1" t="shared" si="27"/>
        <v>40</v>
      </c>
      <c r="M82" s="126">
        <f ca="1" t="shared" si="28"/>
        <v>1</v>
      </c>
      <c r="N82" s="126">
        <f ca="1" t="shared" si="29"/>
        <v>6</v>
      </c>
      <c r="O82" s="126">
        <f ca="1" t="shared" si="30"/>
        <v>5</v>
      </c>
      <c r="P82" s="126">
        <f ca="1" t="shared" si="31"/>
        <v>1</v>
      </c>
      <c r="Q82" s="126">
        <f ca="1" t="shared" si="32"/>
        <v>0.5</v>
      </c>
      <c r="R82" s="126">
        <f ca="1" t="shared" si="33"/>
        <v>2</v>
      </c>
      <c r="S82" s="126"/>
      <c r="AG82"/>
      <c r="AH82"/>
      <c r="AI82"/>
      <c r="AJ82"/>
      <c r="AK82"/>
      <c r="AL82"/>
      <c r="AM82"/>
      <c r="AN82"/>
      <c r="AO82"/>
      <c r="AP82"/>
    </row>
    <row r="83" spans="2:42">
      <c r="B83" s="98">
        <f t="shared" si="19"/>
        <v>81</v>
      </c>
      <c r="C83" s="126">
        <f ca="1" t="shared" si="20"/>
        <v>220</v>
      </c>
      <c r="D83" s="126">
        <f ca="1" t="shared" si="21"/>
        <v>20</v>
      </c>
      <c r="E83" s="126">
        <f ca="1" t="shared" si="22"/>
        <v>10</v>
      </c>
      <c r="F83" s="126">
        <f ca="1" t="shared" si="23"/>
        <v>1.5</v>
      </c>
      <c r="G83" s="126">
        <f ca="1" t="shared" si="24"/>
        <v>0.125</v>
      </c>
      <c r="H83" s="126">
        <f ca="1" t="shared" si="25"/>
        <v>0.013</v>
      </c>
      <c r="J83" s="97">
        <f t="shared" si="26"/>
        <v>81</v>
      </c>
      <c r="K83" s="106">
        <f ca="1" t="shared" si="18"/>
        <v>220</v>
      </c>
      <c r="L83" s="126">
        <f ca="1" t="shared" si="27"/>
        <v>40</v>
      </c>
      <c r="M83" s="126">
        <f ca="1" t="shared" si="28"/>
        <v>1</v>
      </c>
      <c r="N83" s="126">
        <f ca="1" t="shared" si="29"/>
        <v>6</v>
      </c>
      <c r="O83" s="126">
        <f ca="1" t="shared" si="30"/>
        <v>5</v>
      </c>
      <c r="P83" s="126">
        <f ca="1" t="shared" si="31"/>
        <v>1</v>
      </c>
      <c r="Q83" s="126">
        <f ca="1" t="shared" si="32"/>
        <v>0.5</v>
      </c>
      <c r="R83" s="126">
        <f ca="1" t="shared" si="33"/>
        <v>2</v>
      </c>
      <c r="S83" s="126"/>
      <c r="AG83"/>
      <c r="AH83"/>
      <c r="AI83"/>
      <c r="AJ83"/>
      <c r="AK83"/>
      <c r="AL83"/>
      <c r="AM83"/>
      <c r="AN83"/>
      <c r="AO83"/>
      <c r="AP83"/>
    </row>
    <row r="84" spans="2:42">
      <c r="B84" s="98">
        <f t="shared" si="19"/>
        <v>82</v>
      </c>
      <c r="C84" s="126">
        <f ca="1" t="shared" si="20"/>
        <v>221</v>
      </c>
      <c r="D84" s="126">
        <f ca="1" t="shared" si="21"/>
        <v>20</v>
      </c>
      <c r="E84" s="126">
        <f ca="1" t="shared" si="22"/>
        <v>10</v>
      </c>
      <c r="F84" s="126">
        <f ca="1" t="shared" si="23"/>
        <v>1.5</v>
      </c>
      <c r="G84" s="126">
        <f ca="1" t="shared" si="24"/>
        <v>0.125</v>
      </c>
      <c r="H84" s="126">
        <f ca="1" t="shared" si="25"/>
        <v>0.013</v>
      </c>
      <c r="J84" s="97">
        <f t="shared" si="26"/>
        <v>82</v>
      </c>
      <c r="K84" s="106">
        <f ca="1" t="shared" si="18"/>
        <v>221</v>
      </c>
      <c r="L84" s="126">
        <f ca="1" t="shared" si="27"/>
        <v>40</v>
      </c>
      <c r="M84" s="126">
        <f ca="1" t="shared" si="28"/>
        <v>1</v>
      </c>
      <c r="N84" s="126">
        <f ca="1" t="shared" si="29"/>
        <v>6</v>
      </c>
      <c r="O84" s="126">
        <f ca="1" t="shared" si="30"/>
        <v>5</v>
      </c>
      <c r="P84" s="126">
        <f ca="1" t="shared" si="31"/>
        <v>1</v>
      </c>
      <c r="Q84" s="126">
        <f ca="1" t="shared" si="32"/>
        <v>0.5</v>
      </c>
      <c r="R84" s="126">
        <f ca="1" t="shared" si="33"/>
        <v>2</v>
      </c>
      <c r="S84" s="126"/>
      <c r="AG84"/>
      <c r="AH84"/>
      <c r="AI84"/>
      <c r="AJ84"/>
      <c r="AK84"/>
      <c r="AL84"/>
      <c r="AM84"/>
      <c r="AN84"/>
      <c r="AO84"/>
      <c r="AP84"/>
    </row>
    <row r="85" spans="2:42">
      <c r="B85" s="98">
        <f t="shared" si="19"/>
        <v>83</v>
      </c>
      <c r="C85" s="126">
        <f ca="1" t="shared" si="20"/>
        <v>222</v>
      </c>
      <c r="D85" s="126">
        <f ca="1" t="shared" si="21"/>
        <v>20</v>
      </c>
      <c r="E85" s="126">
        <f ca="1" t="shared" si="22"/>
        <v>10</v>
      </c>
      <c r="F85" s="126">
        <f ca="1" t="shared" si="23"/>
        <v>1.5</v>
      </c>
      <c r="G85" s="126">
        <f ca="1" t="shared" si="24"/>
        <v>0.125</v>
      </c>
      <c r="H85" s="126">
        <f ca="1" t="shared" si="25"/>
        <v>0.013</v>
      </c>
      <c r="J85" s="97">
        <f t="shared" si="26"/>
        <v>83</v>
      </c>
      <c r="K85" s="106">
        <f ca="1" t="shared" si="18"/>
        <v>222</v>
      </c>
      <c r="L85" s="126">
        <f ca="1" t="shared" si="27"/>
        <v>40</v>
      </c>
      <c r="M85" s="126">
        <f ca="1" t="shared" si="28"/>
        <v>1</v>
      </c>
      <c r="N85" s="126">
        <f ca="1" t="shared" si="29"/>
        <v>6</v>
      </c>
      <c r="O85" s="126">
        <f ca="1" t="shared" si="30"/>
        <v>5</v>
      </c>
      <c r="P85" s="126">
        <f ca="1" t="shared" si="31"/>
        <v>1</v>
      </c>
      <c r="Q85" s="126">
        <f ca="1" t="shared" si="32"/>
        <v>0.5</v>
      </c>
      <c r="R85" s="126">
        <f ca="1" t="shared" si="33"/>
        <v>2</v>
      </c>
      <c r="S85" s="126"/>
      <c r="AG85"/>
      <c r="AH85"/>
      <c r="AI85"/>
      <c r="AJ85"/>
      <c r="AK85"/>
      <c r="AL85"/>
      <c r="AM85"/>
      <c r="AN85"/>
      <c r="AO85"/>
      <c r="AP85"/>
    </row>
    <row r="86" spans="2:42">
      <c r="B86" s="98">
        <f t="shared" si="19"/>
        <v>84</v>
      </c>
      <c r="C86" s="126">
        <f ca="1" t="shared" si="20"/>
        <v>223</v>
      </c>
      <c r="D86" s="126">
        <f ca="1" t="shared" si="21"/>
        <v>20</v>
      </c>
      <c r="E86" s="126">
        <f ca="1" t="shared" si="22"/>
        <v>10</v>
      </c>
      <c r="F86" s="126">
        <f ca="1" t="shared" si="23"/>
        <v>1.5</v>
      </c>
      <c r="G86" s="126">
        <f ca="1" t="shared" si="24"/>
        <v>0.125</v>
      </c>
      <c r="H86" s="126">
        <f ca="1" t="shared" si="25"/>
        <v>0.013</v>
      </c>
      <c r="J86" s="97">
        <f t="shared" si="26"/>
        <v>84</v>
      </c>
      <c r="K86" s="106">
        <f ca="1" t="shared" si="18"/>
        <v>223</v>
      </c>
      <c r="L86" s="126">
        <f ca="1" t="shared" si="27"/>
        <v>40</v>
      </c>
      <c r="M86" s="126">
        <f ca="1" t="shared" si="28"/>
        <v>1</v>
      </c>
      <c r="N86" s="126">
        <f ca="1" t="shared" si="29"/>
        <v>6</v>
      </c>
      <c r="O86" s="126">
        <f ca="1" t="shared" si="30"/>
        <v>5</v>
      </c>
      <c r="P86" s="126">
        <f ca="1" t="shared" si="31"/>
        <v>1</v>
      </c>
      <c r="Q86" s="126">
        <f ca="1" t="shared" si="32"/>
        <v>0.5</v>
      </c>
      <c r="R86" s="126">
        <f ca="1" t="shared" si="33"/>
        <v>2</v>
      </c>
      <c r="S86" s="126"/>
      <c r="AG86"/>
      <c r="AH86"/>
      <c r="AI86"/>
      <c r="AJ86"/>
      <c r="AK86"/>
      <c r="AL86"/>
      <c r="AM86"/>
      <c r="AN86"/>
      <c r="AO86"/>
      <c r="AP86"/>
    </row>
    <row r="87" spans="2:42">
      <c r="B87" s="98">
        <f t="shared" si="19"/>
        <v>85</v>
      </c>
      <c r="C87" s="126">
        <f ca="1" t="shared" si="20"/>
        <v>224</v>
      </c>
      <c r="D87" s="126">
        <f ca="1" t="shared" si="21"/>
        <v>20</v>
      </c>
      <c r="E87" s="126">
        <f ca="1" t="shared" si="22"/>
        <v>10</v>
      </c>
      <c r="F87" s="126">
        <f ca="1" t="shared" si="23"/>
        <v>1.5</v>
      </c>
      <c r="G87" s="126">
        <f ca="1" t="shared" si="24"/>
        <v>0.125</v>
      </c>
      <c r="H87" s="126">
        <f ca="1" t="shared" si="25"/>
        <v>0.013</v>
      </c>
      <c r="J87" s="97">
        <f t="shared" si="26"/>
        <v>85</v>
      </c>
      <c r="K87" s="106">
        <f ca="1" t="shared" si="18"/>
        <v>224</v>
      </c>
      <c r="L87" s="126">
        <f ca="1" t="shared" si="27"/>
        <v>40</v>
      </c>
      <c r="M87" s="126">
        <f ca="1" t="shared" si="28"/>
        <v>1</v>
      </c>
      <c r="N87" s="126">
        <f ca="1" t="shared" si="29"/>
        <v>6</v>
      </c>
      <c r="O87" s="126">
        <f ca="1" t="shared" si="30"/>
        <v>5</v>
      </c>
      <c r="P87" s="126">
        <f ca="1" t="shared" si="31"/>
        <v>1</v>
      </c>
      <c r="Q87" s="126">
        <f ca="1" t="shared" si="32"/>
        <v>0.5</v>
      </c>
      <c r="R87" s="126">
        <f ca="1" t="shared" si="33"/>
        <v>2</v>
      </c>
      <c r="S87" s="126"/>
      <c r="AG87"/>
      <c r="AH87"/>
      <c r="AI87"/>
      <c r="AJ87"/>
      <c r="AK87"/>
      <c r="AL87"/>
      <c r="AM87"/>
      <c r="AN87"/>
      <c r="AO87"/>
      <c r="AP87"/>
    </row>
    <row r="88" spans="2:42">
      <c r="B88" s="98">
        <f t="shared" si="19"/>
        <v>86</v>
      </c>
      <c r="C88" s="126">
        <f ca="1" t="shared" si="20"/>
        <v>225</v>
      </c>
      <c r="D88" s="126">
        <f ca="1" t="shared" si="21"/>
        <v>20</v>
      </c>
      <c r="E88" s="126">
        <f ca="1" t="shared" si="22"/>
        <v>10</v>
      </c>
      <c r="F88" s="126">
        <f ca="1" t="shared" si="23"/>
        <v>1.5</v>
      </c>
      <c r="G88" s="126">
        <f ca="1" t="shared" si="24"/>
        <v>0.125</v>
      </c>
      <c r="H88" s="126">
        <f ca="1" t="shared" si="25"/>
        <v>0.013</v>
      </c>
      <c r="J88" s="97">
        <f t="shared" si="26"/>
        <v>86</v>
      </c>
      <c r="K88" s="106">
        <f ca="1" t="shared" si="18"/>
        <v>225</v>
      </c>
      <c r="L88" s="126">
        <f ca="1" t="shared" si="27"/>
        <v>40</v>
      </c>
      <c r="M88" s="126">
        <f ca="1" t="shared" si="28"/>
        <v>1</v>
      </c>
      <c r="N88" s="126">
        <f ca="1" t="shared" si="29"/>
        <v>6</v>
      </c>
      <c r="O88" s="126">
        <f ca="1" t="shared" si="30"/>
        <v>5</v>
      </c>
      <c r="P88" s="126">
        <f ca="1" t="shared" si="31"/>
        <v>1</v>
      </c>
      <c r="Q88" s="126">
        <f ca="1" t="shared" si="32"/>
        <v>0.5</v>
      </c>
      <c r="R88" s="126">
        <f ca="1" t="shared" si="33"/>
        <v>2</v>
      </c>
      <c r="S88" s="126"/>
      <c r="AG88"/>
      <c r="AH88"/>
      <c r="AI88"/>
      <c r="AJ88"/>
      <c r="AK88"/>
      <c r="AL88"/>
      <c r="AM88"/>
      <c r="AN88"/>
      <c r="AO88"/>
      <c r="AP88"/>
    </row>
    <row r="89" spans="2:42">
      <c r="B89" s="98">
        <f t="shared" si="19"/>
        <v>87</v>
      </c>
      <c r="C89" s="126">
        <f ca="1" t="shared" si="20"/>
        <v>226</v>
      </c>
      <c r="D89" s="126">
        <f ca="1" t="shared" si="21"/>
        <v>20</v>
      </c>
      <c r="E89" s="126">
        <f ca="1" t="shared" si="22"/>
        <v>10</v>
      </c>
      <c r="F89" s="126">
        <f ca="1" t="shared" si="23"/>
        <v>1.5</v>
      </c>
      <c r="G89" s="126">
        <f ca="1" t="shared" si="24"/>
        <v>0.125</v>
      </c>
      <c r="H89" s="126">
        <f ca="1" t="shared" si="25"/>
        <v>0.013</v>
      </c>
      <c r="J89" s="97">
        <f t="shared" si="26"/>
        <v>87</v>
      </c>
      <c r="K89" s="106">
        <f ca="1" t="shared" si="18"/>
        <v>226</v>
      </c>
      <c r="L89" s="126">
        <f ca="1" t="shared" si="27"/>
        <v>40</v>
      </c>
      <c r="M89" s="126">
        <f ca="1" t="shared" si="28"/>
        <v>1</v>
      </c>
      <c r="N89" s="126">
        <f ca="1" t="shared" si="29"/>
        <v>6</v>
      </c>
      <c r="O89" s="126">
        <f ca="1" t="shared" si="30"/>
        <v>5</v>
      </c>
      <c r="P89" s="126">
        <f ca="1" t="shared" si="31"/>
        <v>1</v>
      </c>
      <c r="Q89" s="126">
        <f ca="1" t="shared" si="32"/>
        <v>0.5</v>
      </c>
      <c r="R89" s="126">
        <f ca="1" t="shared" si="33"/>
        <v>2</v>
      </c>
      <c r="S89" s="126"/>
      <c r="AG89"/>
      <c r="AH89"/>
      <c r="AI89"/>
      <c r="AJ89"/>
      <c r="AK89"/>
      <c r="AL89"/>
      <c r="AM89"/>
      <c r="AN89"/>
      <c r="AO89"/>
      <c r="AP89"/>
    </row>
    <row r="90" spans="2:42">
      <c r="B90" s="98">
        <f t="shared" si="19"/>
        <v>88</v>
      </c>
      <c r="C90" s="126">
        <f ca="1" t="shared" si="20"/>
        <v>227</v>
      </c>
      <c r="D90" s="126">
        <f ca="1" t="shared" si="21"/>
        <v>20</v>
      </c>
      <c r="E90" s="126">
        <f ca="1" t="shared" si="22"/>
        <v>10</v>
      </c>
      <c r="F90" s="126">
        <f ca="1" t="shared" si="23"/>
        <v>1.5</v>
      </c>
      <c r="G90" s="126">
        <f ca="1" t="shared" si="24"/>
        <v>0.125</v>
      </c>
      <c r="H90" s="126">
        <f ca="1" t="shared" si="25"/>
        <v>0.013</v>
      </c>
      <c r="J90" s="97">
        <f t="shared" si="26"/>
        <v>88</v>
      </c>
      <c r="K90" s="106">
        <f ca="1" t="shared" si="18"/>
        <v>227</v>
      </c>
      <c r="L90" s="126">
        <f ca="1" t="shared" si="27"/>
        <v>40</v>
      </c>
      <c r="M90" s="126">
        <f ca="1" t="shared" si="28"/>
        <v>1</v>
      </c>
      <c r="N90" s="126">
        <f ca="1" t="shared" si="29"/>
        <v>6</v>
      </c>
      <c r="O90" s="126">
        <f ca="1" t="shared" si="30"/>
        <v>5</v>
      </c>
      <c r="P90" s="126">
        <f ca="1" t="shared" si="31"/>
        <v>1</v>
      </c>
      <c r="Q90" s="126">
        <f ca="1" t="shared" si="32"/>
        <v>0.5</v>
      </c>
      <c r="R90" s="126">
        <f ca="1" t="shared" si="33"/>
        <v>2</v>
      </c>
      <c r="S90" s="126"/>
      <c r="AG90"/>
      <c r="AH90"/>
      <c r="AI90"/>
      <c r="AJ90"/>
      <c r="AK90"/>
      <c r="AL90"/>
      <c r="AM90"/>
      <c r="AN90"/>
      <c r="AO90"/>
      <c r="AP90"/>
    </row>
    <row r="91" spans="2:42">
      <c r="B91" s="98">
        <f t="shared" si="19"/>
        <v>89</v>
      </c>
      <c r="C91" s="126">
        <f ca="1" t="shared" si="20"/>
        <v>228</v>
      </c>
      <c r="D91" s="126">
        <f ca="1" t="shared" si="21"/>
        <v>20</v>
      </c>
      <c r="E91" s="126">
        <f ca="1" t="shared" si="22"/>
        <v>10</v>
      </c>
      <c r="F91" s="126">
        <f ca="1" t="shared" si="23"/>
        <v>1.5</v>
      </c>
      <c r="G91" s="126">
        <f ca="1" t="shared" si="24"/>
        <v>0.125</v>
      </c>
      <c r="H91" s="126">
        <f ca="1" t="shared" si="25"/>
        <v>0.013</v>
      </c>
      <c r="J91" s="97">
        <f t="shared" si="26"/>
        <v>89</v>
      </c>
      <c r="K91" s="106">
        <f ca="1" t="shared" si="18"/>
        <v>228</v>
      </c>
      <c r="L91" s="126">
        <f ca="1" t="shared" si="27"/>
        <v>40</v>
      </c>
      <c r="M91" s="126">
        <f ca="1" t="shared" si="28"/>
        <v>1</v>
      </c>
      <c r="N91" s="126">
        <f ca="1" t="shared" si="29"/>
        <v>6</v>
      </c>
      <c r="O91" s="126">
        <f ca="1" t="shared" si="30"/>
        <v>5</v>
      </c>
      <c r="P91" s="126">
        <f ca="1" t="shared" si="31"/>
        <v>1</v>
      </c>
      <c r="Q91" s="126">
        <f ca="1" t="shared" si="32"/>
        <v>0.5</v>
      </c>
      <c r="R91" s="126">
        <f ca="1" t="shared" si="33"/>
        <v>2</v>
      </c>
      <c r="S91" s="126"/>
      <c r="AG91"/>
      <c r="AH91"/>
      <c r="AI91"/>
      <c r="AJ91"/>
      <c r="AK91"/>
      <c r="AL91"/>
      <c r="AM91"/>
      <c r="AN91"/>
      <c r="AO91"/>
      <c r="AP91"/>
    </row>
    <row r="92" spans="2:42">
      <c r="B92" s="98">
        <f t="shared" si="19"/>
        <v>90</v>
      </c>
      <c r="C92" s="126">
        <f ca="1" t="shared" si="20"/>
        <v>229</v>
      </c>
      <c r="D92" s="126">
        <f ca="1" t="shared" si="21"/>
        <v>20</v>
      </c>
      <c r="E92" s="126">
        <f ca="1" t="shared" si="22"/>
        <v>10</v>
      </c>
      <c r="F92" s="126">
        <f ca="1" t="shared" si="23"/>
        <v>1.5</v>
      </c>
      <c r="G92" s="126">
        <f ca="1" t="shared" si="24"/>
        <v>0.125</v>
      </c>
      <c r="H92" s="126">
        <f ca="1" t="shared" si="25"/>
        <v>0.013</v>
      </c>
      <c r="J92" s="97">
        <f t="shared" si="26"/>
        <v>90</v>
      </c>
      <c r="K92" s="106">
        <f ca="1" t="shared" si="18"/>
        <v>229</v>
      </c>
      <c r="L92" s="126">
        <f ca="1" t="shared" si="27"/>
        <v>40</v>
      </c>
      <c r="M92" s="126">
        <f ca="1" t="shared" si="28"/>
        <v>1</v>
      </c>
      <c r="N92" s="126">
        <f ca="1" t="shared" si="29"/>
        <v>6</v>
      </c>
      <c r="O92" s="126">
        <f ca="1" t="shared" si="30"/>
        <v>5</v>
      </c>
      <c r="P92" s="126">
        <f ca="1" t="shared" si="31"/>
        <v>1</v>
      </c>
      <c r="Q92" s="126">
        <f ca="1" t="shared" si="32"/>
        <v>0.5</v>
      </c>
      <c r="R92" s="126">
        <f ca="1" t="shared" si="33"/>
        <v>2</v>
      </c>
      <c r="S92" s="126"/>
      <c r="AG92"/>
      <c r="AH92"/>
      <c r="AI92"/>
      <c r="AJ92"/>
      <c r="AK92"/>
      <c r="AL92"/>
      <c r="AM92"/>
      <c r="AN92"/>
      <c r="AO92"/>
      <c r="AP92"/>
    </row>
    <row r="93" spans="2:42">
      <c r="B93" s="98">
        <f t="shared" si="19"/>
        <v>91</v>
      </c>
      <c r="C93" s="126">
        <f ca="1" t="shared" si="20"/>
        <v>230</v>
      </c>
      <c r="D93" s="126">
        <f ca="1" t="shared" si="21"/>
        <v>20</v>
      </c>
      <c r="E93" s="126">
        <f ca="1" t="shared" si="22"/>
        <v>10</v>
      </c>
      <c r="F93" s="126">
        <f ca="1" t="shared" si="23"/>
        <v>1.5</v>
      </c>
      <c r="G93" s="126">
        <f ca="1" t="shared" si="24"/>
        <v>0.125</v>
      </c>
      <c r="H93" s="126">
        <f ca="1" t="shared" si="25"/>
        <v>0.013</v>
      </c>
      <c r="J93" s="97">
        <f t="shared" si="26"/>
        <v>91</v>
      </c>
      <c r="K93" s="106">
        <f ca="1" t="shared" si="18"/>
        <v>230</v>
      </c>
      <c r="L93" s="126">
        <f ca="1" t="shared" si="27"/>
        <v>40</v>
      </c>
      <c r="M93" s="126">
        <f ca="1" t="shared" si="28"/>
        <v>1</v>
      </c>
      <c r="N93" s="126">
        <f ca="1" t="shared" si="29"/>
        <v>6</v>
      </c>
      <c r="O93" s="126">
        <f ca="1" t="shared" si="30"/>
        <v>5</v>
      </c>
      <c r="P93" s="126">
        <f ca="1" t="shared" si="31"/>
        <v>1</v>
      </c>
      <c r="Q93" s="126">
        <f ca="1" t="shared" si="32"/>
        <v>0.5</v>
      </c>
      <c r="R93" s="126">
        <f ca="1" t="shared" si="33"/>
        <v>2</v>
      </c>
      <c r="S93" s="126"/>
      <c r="AG93"/>
      <c r="AH93"/>
      <c r="AI93"/>
      <c r="AJ93"/>
      <c r="AK93"/>
      <c r="AL93"/>
      <c r="AM93"/>
      <c r="AN93"/>
      <c r="AO93"/>
      <c r="AP93"/>
    </row>
    <row r="94" spans="2:42">
      <c r="B94" s="98">
        <f t="shared" si="19"/>
        <v>92</v>
      </c>
      <c r="C94" s="126">
        <f ca="1" t="shared" si="20"/>
        <v>231</v>
      </c>
      <c r="D94" s="126">
        <f ca="1" t="shared" si="21"/>
        <v>20</v>
      </c>
      <c r="E94" s="126">
        <f ca="1" t="shared" si="22"/>
        <v>10</v>
      </c>
      <c r="F94" s="126">
        <f ca="1" t="shared" si="23"/>
        <v>1.5</v>
      </c>
      <c r="G94" s="126">
        <f ca="1" t="shared" si="24"/>
        <v>0.125</v>
      </c>
      <c r="H94" s="126">
        <f ca="1" t="shared" si="25"/>
        <v>0.013</v>
      </c>
      <c r="J94" s="97">
        <f t="shared" si="26"/>
        <v>92</v>
      </c>
      <c r="K94" s="106">
        <f ca="1" t="shared" si="18"/>
        <v>231</v>
      </c>
      <c r="L94" s="126">
        <f ca="1" t="shared" si="27"/>
        <v>40</v>
      </c>
      <c r="M94" s="126">
        <f ca="1" t="shared" si="28"/>
        <v>1</v>
      </c>
      <c r="N94" s="126">
        <f ca="1" t="shared" si="29"/>
        <v>6</v>
      </c>
      <c r="O94" s="126">
        <f ca="1" t="shared" si="30"/>
        <v>5</v>
      </c>
      <c r="P94" s="126">
        <f ca="1" t="shared" si="31"/>
        <v>1</v>
      </c>
      <c r="Q94" s="126">
        <f ca="1" t="shared" si="32"/>
        <v>0.5</v>
      </c>
      <c r="R94" s="126">
        <f ca="1" t="shared" si="33"/>
        <v>2</v>
      </c>
      <c r="S94" s="126"/>
      <c r="AG94"/>
      <c r="AH94"/>
      <c r="AI94"/>
      <c r="AJ94"/>
      <c r="AK94"/>
      <c r="AL94"/>
      <c r="AM94"/>
      <c r="AN94"/>
      <c r="AO94"/>
      <c r="AP94"/>
    </row>
    <row r="95" spans="2:42">
      <c r="B95" s="98">
        <f t="shared" si="19"/>
        <v>93</v>
      </c>
      <c r="C95" s="126">
        <f ca="1" t="shared" si="20"/>
        <v>232</v>
      </c>
      <c r="D95" s="126">
        <f ca="1" t="shared" si="21"/>
        <v>20</v>
      </c>
      <c r="E95" s="126">
        <f ca="1" t="shared" si="22"/>
        <v>10</v>
      </c>
      <c r="F95" s="126">
        <f ca="1" t="shared" si="23"/>
        <v>1.5</v>
      </c>
      <c r="G95" s="126">
        <f ca="1" t="shared" si="24"/>
        <v>0.125</v>
      </c>
      <c r="H95" s="126">
        <f ca="1" t="shared" si="25"/>
        <v>0.013</v>
      </c>
      <c r="J95" s="97">
        <f t="shared" si="26"/>
        <v>93</v>
      </c>
      <c r="K95" s="106">
        <f ca="1" t="shared" si="18"/>
        <v>232</v>
      </c>
      <c r="L95" s="126">
        <f ca="1" t="shared" si="27"/>
        <v>40</v>
      </c>
      <c r="M95" s="126">
        <f ca="1" t="shared" si="28"/>
        <v>1</v>
      </c>
      <c r="N95" s="126">
        <f ca="1" t="shared" si="29"/>
        <v>6</v>
      </c>
      <c r="O95" s="126">
        <f ca="1" t="shared" si="30"/>
        <v>5</v>
      </c>
      <c r="P95" s="126">
        <f ca="1" t="shared" si="31"/>
        <v>1</v>
      </c>
      <c r="Q95" s="126">
        <f ca="1" t="shared" si="32"/>
        <v>0.5</v>
      </c>
      <c r="R95" s="126">
        <f ca="1" t="shared" si="33"/>
        <v>2</v>
      </c>
      <c r="S95" s="126"/>
      <c r="AG95"/>
      <c r="AH95"/>
      <c r="AI95"/>
      <c r="AJ95"/>
      <c r="AK95"/>
      <c r="AL95"/>
      <c r="AM95"/>
      <c r="AN95"/>
      <c r="AO95"/>
      <c r="AP95"/>
    </row>
    <row r="96" spans="2:42">
      <c r="B96" s="98">
        <f t="shared" si="19"/>
        <v>94</v>
      </c>
      <c r="C96" s="126">
        <f ca="1" t="shared" si="20"/>
        <v>233</v>
      </c>
      <c r="D96" s="126">
        <f ca="1" t="shared" si="21"/>
        <v>20</v>
      </c>
      <c r="E96" s="126">
        <f ca="1" t="shared" si="22"/>
        <v>10</v>
      </c>
      <c r="F96" s="126">
        <f ca="1" t="shared" si="23"/>
        <v>1.5</v>
      </c>
      <c r="G96" s="126">
        <f ca="1" t="shared" si="24"/>
        <v>0.125</v>
      </c>
      <c r="H96" s="126">
        <f ca="1" t="shared" si="25"/>
        <v>0.013</v>
      </c>
      <c r="J96" s="97">
        <f t="shared" si="26"/>
        <v>94</v>
      </c>
      <c r="K96" s="106">
        <f ca="1" t="shared" si="18"/>
        <v>233</v>
      </c>
      <c r="L96" s="126">
        <f ca="1" t="shared" si="27"/>
        <v>40</v>
      </c>
      <c r="M96" s="126">
        <f ca="1" t="shared" si="28"/>
        <v>1</v>
      </c>
      <c r="N96" s="126">
        <f ca="1" t="shared" si="29"/>
        <v>6</v>
      </c>
      <c r="O96" s="126">
        <f ca="1" t="shared" si="30"/>
        <v>5</v>
      </c>
      <c r="P96" s="126">
        <f ca="1" t="shared" si="31"/>
        <v>1</v>
      </c>
      <c r="Q96" s="126">
        <f ca="1" t="shared" si="32"/>
        <v>0.5</v>
      </c>
      <c r="R96" s="126">
        <f ca="1" t="shared" si="33"/>
        <v>2</v>
      </c>
      <c r="S96" s="126"/>
      <c r="AG96"/>
      <c r="AH96"/>
      <c r="AI96"/>
      <c r="AJ96"/>
      <c r="AK96"/>
      <c r="AL96"/>
      <c r="AM96"/>
      <c r="AN96"/>
      <c r="AO96"/>
      <c r="AP96"/>
    </row>
    <row r="97" spans="2:42">
      <c r="B97" s="98">
        <f t="shared" si="19"/>
        <v>95</v>
      </c>
      <c r="C97" s="126">
        <f ca="1" t="shared" si="20"/>
        <v>234</v>
      </c>
      <c r="D97" s="126">
        <f ca="1" t="shared" si="21"/>
        <v>20</v>
      </c>
      <c r="E97" s="126">
        <f ca="1" t="shared" si="22"/>
        <v>10</v>
      </c>
      <c r="F97" s="126">
        <f ca="1" t="shared" si="23"/>
        <v>1.5</v>
      </c>
      <c r="G97" s="126">
        <f ca="1" t="shared" si="24"/>
        <v>0.125</v>
      </c>
      <c r="H97" s="126">
        <f ca="1" t="shared" si="25"/>
        <v>0.013</v>
      </c>
      <c r="J97" s="97">
        <f t="shared" si="26"/>
        <v>95</v>
      </c>
      <c r="K97" s="106">
        <f ca="1" t="shared" si="18"/>
        <v>234</v>
      </c>
      <c r="L97" s="126">
        <f ca="1" t="shared" si="27"/>
        <v>40</v>
      </c>
      <c r="M97" s="126">
        <f ca="1" t="shared" si="28"/>
        <v>1</v>
      </c>
      <c r="N97" s="126">
        <f ca="1" t="shared" si="29"/>
        <v>6</v>
      </c>
      <c r="O97" s="126">
        <f ca="1" t="shared" si="30"/>
        <v>5</v>
      </c>
      <c r="P97" s="126">
        <f ca="1" t="shared" si="31"/>
        <v>1</v>
      </c>
      <c r="Q97" s="126">
        <f ca="1" t="shared" si="32"/>
        <v>0.5</v>
      </c>
      <c r="R97" s="126">
        <f ca="1" t="shared" si="33"/>
        <v>2</v>
      </c>
      <c r="S97" s="126"/>
      <c r="AG97"/>
      <c r="AH97"/>
      <c r="AI97"/>
      <c r="AJ97"/>
      <c r="AK97"/>
      <c r="AL97"/>
      <c r="AM97"/>
      <c r="AN97"/>
      <c r="AO97"/>
      <c r="AP97"/>
    </row>
    <row r="98" spans="2:42">
      <c r="B98" s="98">
        <f t="shared" si="19"/>
        <v>96</v>
      </c>
      <c r="C98" s="126">
        <f ca="1" t="shared" si="20"/>
        <v>235</v>
      </c>
      <c r="D98" s="126">
        <f ca="1" t="shared" si="21"/>
        <v>20</v>
      </c>
      <c r="E98" s="126">
        <f ca="1" t="shared" si="22"/>
        <v>10</v>
      </c>
      <c r="F98" s="126">
        <f ca="1" t="shared" si="23"/>
        <v>1.5</v>
      </c>
      <c r="G98" s="126">
        <f ca="1" t="shared" si="24"/>
        <v>0.125</v>
      </c>
      <c r="H98" s="126">
        <f ca="1" t="shared" si="25"/>
        <v>0.013</v>
      </c>
      <c r="J98" s="97">
        <f t="shared" si="26"/>
        <v>96</v>
      </c>
      <c r="K98" s="106">
        <f ca="1" t="shared" si="18"/>
        <v>235</v>
      </c>
      <c r="L98" s="126">
        <f ca="1" t="shared" si="27"/>
        <v>40</v>
      </c>
      <c r="M98" s="126">
        <f ca="1" t="shared" si="28"/>
        <v>1</v>
      </c>
      <c r="N98" s="126">
        <f ca="1" t="shared" si="29"/>
        <v>6</v>
      </c>
      <c r="O98" s="126">
        <f ca="1" t="shared" si="30"/>
        <v>5</v>
      </c>
      <c r="P98" s="126">
        <f ca="1" t="shared" si="31"/>
        <v>1</v>
      </c>
      <c r="Q98" s="126">
        <f ca="1" t="shared" si="32"/>
        <v>0.5</v>
      </c>
      <c r="R98" s="126">
        <f ca="1" t="shared" si="33"/>
        <v>2</v>
      </c>
      <c r="S98" s="126"/>
      <c r="AG98"/>
      <c r="AH98"/>
      <c r="AI98"/>
      <c r="AJ98"/>
      <c r="AK98"/>
      <c r="AL98"/>
      <c r="AM98"/>
      <c r="AN98"/>
      <c r="AO98"/>
      <c r="AP98"/>
    </row>
    <row r="99" spans="2:42">
      <c r="B99" s="98">
        <f t="shared" si="19"/>
        <v>97</v>
      </c>
      <c r="C99" s="126">
        <f ca="1" t="shared" si="20"/>
        <v>236</v>
      </c>
      <c r="D99" s="126">
        <f ca="1" t="shared" si="21"/>
        <v>20</v>
      </c>
      <c r="E99" s="126">
        <f ca="1" t="shared" si="22"/>
        <v>10</v>
      </c>
      <c r="F99" s="126">
        <f ca="1" t="shared" si="23"/>
        <v>1.5</v>
      </c>
      <c r="G99" s="126">
        <f ca="1" t="shared" si="24"/>
        <v>0.125</v>
      </c>
      <c r="H99" s="126">
        <f ca="1" t="shared" si="25"/>
        <v>0.013</v>
      </c>
      <c r="J99" s="97">
        <f t="shared" si="26"/>
        <v>97</v>
      </c>
      <c r="K99" s="106">
        <f ca="1" t="shared" si="18"/>
        <v>236</v>
      </c>
      <c r="L99" s="126">
        <f ca="1" t="shared" si="27"/>
        <v>40</v>
      </c>
      <c r="M99" s="126">
        <f ca="1" t="shared" si="28"/>
        <v>1</v>
      </c>
      <c r="N99" s="126">
        <f ca="1" t="shared" si="29"/>
        <v>6</v>
      </c>
      <c r="O99" s="126">
        <f ca="1" t="shared" si="30"/>
        <v>5</v>
      </c>
      <c r="P99" s="126">
        <f ca="1" t="shared" si="31"/>
        <v>1</v>
      </c>
      <c r="Q99" s="126">
        <f ca="1" t="shared" si="32"/>
        <v>0.5</v>
      </c>
      <c r="R99" s="126">
        <f ca="1" t="shared" si="33"/>
        <v>2</v>
      </c>
      <c r="S99" s="126"/>
      <c r="AG99"/>
      <c r="AH99"/>
      <c r="AI99"/>
      <c r="AJ99"/>
      <c r="AK99"/>
      <c r="AL99"/>
      <c r="AM99"/>
      <c r="AN99"/>
      <c r="AO99"/>
      <c r="AP99"/>
    </row>
    <row r="100" spans="2:42">
      <c r="B100" s="98">
        <f t="shared" si="19"/>
        <v>98</v>
      </c>
      <c r="C100" s="126">
        <f ca="1" t="shared" si="20"/>
        <v>237</v>
      </c>
      <c r="D100" s="126">
        <f ca="1" t="shared" si="21"/>
        <v>20</v>
      </c>
      <c r="E100" s="126">
        <f ca="1" t="shared" si="22"/>
        <v>10</v>
      </c>
      <c r="F100" s="126">
        <f ca="1" t="shared" si="23"/>
        <v>1.5</v>
      </c>
      <c r="G100" s="126">
        <f ca="1" t="shared" si="24"/>
        <v>0.125</v>
      </c>
      <c r="H100" s="126">
        <f ca="1" t="shared" si="25"/>
        <v>0.013</v>
      </c>
      <c r="J100" s="97">
        <f t="shared" si="26"/>
        <v>98</v>
      </c>
      <c r="K100" s="106">
        <f ca="1" t="shared" si="18"/>
        <v>237</v>
      </c>
      <c r="L100" s="126">
        <f ca="1" t="shared" si="27"/>
        <v>40</v>
      </c>
      <c r="M100" s="126">
        <f ca="1" t="shared" si="28"/>
        <v>1</v>
      </c>
      <c r="N100" s="126">
        <f ca="1" t="shared" si="29"/>
        <v>6</v>
      </c>
      <c r="O100" s="126">
        <f ca="1" t="shared" si="30"/>
        <v>5</v>
      </c>
      <c r="P100" s="126">
        <f ca="1" t="shared" si="31"/>
        <v>1</v>
      </c>
      <c r="Q100" s="126">
        <f ca="1" t="shared" si="32"/>
        <v>0.5</v>
      </c>
      <c r="R100" s="126">
        <f ca="1" t="shared" si="33"/>
        <v>2</v>
      </c>
      <c r="S100" s="126"/>
      <c r="AG100"/>
      <c r="AH100"/>
      <c r="AI100"/>
      <c r="AJ100"/>
      <c r="AK100"/>
      <c r="AL100"/>
      <c r="AM100"/>
      <c r="AN100"/>
      <c r="AO100"/>
      <c r="AP100"/>
    </row>
    <row r="101" spans="2:42">
      <c r="B101" s="98">
        <f t="shared" si="19"/>
        <v>99</v>
      </c>
      <c r="C101" s="126">
        <f ca="1" t="shared" si="20"/>
        <v>238</v>
      </c>
      <c r="D101" s="126">
        <f ca="1" t="shared" si="21"/>
        <v>20</v>
      </c>
      <c r="E101" s="126">
        <f ca="1" t="shared" si="22"/>
        <v>10</v>
      </c>
      <c r="F101" s="126">
        <f ca="1" t="shared" si="23"/>
        <v>1.5</v>
      </c>
      <c r="G101" s="126">
        <f ca="1" t="shared" si="24"/>
        <v>0.125</v>
      </c>
      <c r="H101" s="126">
        <f ca="1" t="shared" si="25"/>
        <v>0.013</v>
      </c>
      <c r="J101" s="97">
        <f t="shared" si="26"/>
        <v>99</v>
      </c>
      <c r="K101" s="106">
        <f ca="1" t="shared" si="18"/>
        <v>238</v>
      </c>
      <c r="L101" s="126">
        <f ca="1" t="shared" si="27"/>
        <v>40</v>
      </c>
      <c r="M101" s="126">
        <f ca="1" t="shared" si="28"/>
        <v>1</v>
      </c>
      <c r="N101" s="126">
        <f ca="1" t="shared" si="29"/>
        <v>6</v>
      </c>
      <c r="O101" s="126">
        <f ca="1" t="shared" si="30"/>
        <v>5</v>
      </c>
      <c r="P101" s="126">
        <f ca="1" t="shared" si="31"/>
        <v>1</v>
      </c>
      <c r="Q101" s="126">
        <f ca="1" t="shared" si="32"/>
        <v>0.5</v>
      </c>
      <c r="R101" s="126">
        <f ca="1" t="shared" si="33"/>
        <v>2</v>
      </c>
      <c r="S101" s="126"/>
      <c r="AG101"/>
      <c r="AH101"/>
      <c r="AI101"/>
      <c r="AJ101"/>
      <c r="AK101"/>
      <c r="AL101"/>
      <c r="AM101"/>
      <c r="AN101"/>
      <c r="AO101"/>
      <c r="AP101"/>
    </row>
    <row r="102" spans="2:42">
      <c r="B102" s="98">
        <f t="shared" si="19"/>
        <v>100</v>
      </c>
      <c r="C102" s="126">
        <f ca="1" t="shared" si="20"/>
        <v>239</v>
      </c>
      <c r="D102" s="126">
        <f ca="1" t="shared" si="21"/>
        <v>20</v>
      </c>
      <c r="E102" s="126">
        <f ca="1" t="shared" si="22"/>
        <v>10</v>
      </c>
      <c r="F102" s="126">
        <f ca="1" t="shared" si="23"/>
        <v>1.5</v>
      </c>
      <c r="G102" s="126">
        <f ca="1" t="shared" si="24"/>
        <v>0.125</v>
      </c>
      <c r="H102" s="126">
        <f ca="1" t="shared" si="25"/>
        <v>0.013</v>
      </c>
      <c r="J102" s="97">
        <f t="shared" si="26"/>
        <v>100</v>
      </c>
      <c r="K102" s="106">
        <f ca="1" t="shared" si="18"/>
        <v>239</v>
      </c>
      <c r="L102" s="126">
        <f ca="1" t="shared" si="27"/>
        <v>40</v>
      </c>
      <c r="M102" s="126">
        <f ca="1" t="shared" si="28"/>
        <v>1</v>
      </c>
      <c r="N102" s="126">
        <f ca="1" t="shared" si="29"/>
        <v>6</v>
      </c>
      <c r="O102" s="126">
        <f ca="1" t="shared" si="30"/>
        <v>5</v>
      </c>
      <c r="P102" s="126">
        <f ca="1" t="shared" si="31"/>
        <v>1</v>
      </c>
      <c r="Q102" s="126">
        <f ca="1" t="shared" si="32"/>
        <v>0.5</v>
      </c>
      <c r="R102" s="126">
        <f ca="1" t="shared" si="33"/>
        <v>2</v>
      </c>
      <c r="S102" s="126"/>
      <c r="AG102"/>
      <c r="AH102"/>
      <c r="AI102"/>
      <c r="AJ102"/>
      <c r="AK102"/>
      <c r="AL102"/>
      <c r="AM102"/>
      <c r="AN102"/>
      <c r="AO102"/>
      <c r="AP102"/>
    </row>
    <row r="103" spans="2:42">
      <c r="B103" s="98">
        <f t="shared" si="19"/>
        <v>101</v>
      </c>
      <c r="C103" s="126">
        <f ca="1" t="shared" si="20"/>
        <v>240</v>
      </c>
      <c r="D103" s="126">
        <f ca="1" t="shared" si="21"/>
        <v>20</v>
      </c>
      <c r="E103" s="126">
        <f ca="1" t="shared" si="22"/>
        <v>10</v>
      </c>
      <c r="F103" s="126">
        <f ca="1" t="shared" si="23"/>
        <v>1.5</v>
      </c>
      <c r="G103" s="126">
        <f ca="1" t="shared" si="24"/>
        <v>0.125</v>
      </c>
      <c r="H103" s="126">
        <f ca="1" t="shared" si="25"/>
        <v>0.013</v>
      </c>
      <c r="J103" s="97">
        <f t="shared" si="26"/>
        <v>101</v>
      </c>
      <c r="K103" s="106">
        <f ca="1" t="shared" si="18"/>
        <v>240</v>
      </c>
      <c r="L103" s="126">
        <f ca="1" t="shared" si="27"/>
        <v>40</v>
      </c>
      <c r="M103" s="126">
        <f ca="1" t="shared" si="28"/>
        <v>1</v>
      </c>
      <c r="N103" s="126">
        <f ca="1" t="shared" si="29"/>
        <v>6</v>
      </c>
      <c r="O103" s="126">
        <f ca="1" t="shared" si="30"/>
        <v>5</v>
      </c>
      <c r="P103" s="126">
        <f ca="1" t="shared" si="31"/>
        <v>1</v>
      </c>
      <c r="Q103" s="126">
        <f ca="1" t="shared" si="32"/>
        <v>0.5</v>
      </c>
      <c r="R103" s="126">
        <f ca="1" t="shared" si="33"/>
        <v>2</v>
      </c>
      <c r="S103" s="126"/>
      <c r="AG103"/>
      <c r="AH103"/>
      <c r="AI103"/>
      <c r="AJ103"/>
      <c r="AK103"/>
      <c r="AL103"/>
      <c r="AM103"/>
      <c r="AN103"/>
      <c r="AO103"/>
      <c r="AP103"/>
    </row>
    <row r="104" spans="2:42">
      <c r="B104" s="98">
        <f t="shared" si="19"/>
        <v>102</v>
      </c>
      <c r="C104" s="126">
        <f ca="1" t="shared" si="20"/>
        <v>241</v>
      </c>
      <c r="D104" s="126">
        <f ca="1" t="shared" si="21"/>
        <v>20</v>
      </c>
      <c r="E104" s="126">
        <f ca="1" t="shared" si="22"/>
        <v>10</v>
      </c>
      <c r="F104" s="126">
        <f ca="1" t="shared" si="23"/>
        <v>1.5</v>
      </c>
      <c r="G104" s="126">
        <f ca="1" t="shared" si="24"/>
        <v>0.125</v>
      </c>
      <c r="H104" s="126">
        <f ca="1" t="shared" si="25"/>
        <v>0.013</v>
      </c>
      <c r="J104" s="97">
        <f t="shared" si="26"/>
        <v>102</v>
      </c>
      <c r="K104" s="106">
        <f ca="1" t="shared" si="18"/>
        <v>241</v>
      </c>
      <c r="L104" s="126">
        <f ca="1" t="shared" si="27"/>
        <v>40</v>
      </c>
      <c r="M104" s="126">
        <f ca="1" t="shared" si="28"/>
        <v>1</v>
      </c>
      <c r="N104" s="126">
        <f ca="1" t="shared" si="29"/>
        <v>6</v>
      </c>
      <c r="O104" s="126">
        <f ca="1" t="shared" si="30"/>
        <v>5</v>
      </c>
      <c r="P104" s="126">
        <f ca="1" t="shared" si="31"/>
        <v>1</v>
      </c>
      <c r="Q104" s="126">
        <f ca="1" t="shared" si="32"/>
        <v>0.5</v>
      </c>
      <c r="R104" s="126">
        <f ca="1" t="shared" si="33"/>
        <v>2</v>
      </c>
      <c r="S104" s="126"/>
      <c r="AG104"/>
      <c r="AH104"/>
      <c r="AI104"/>
      <c r="AJ104"/>
      <c r="AK104"/>
      <c r="AL104"/>
      <c r="AM104"/>
      <c r="AN104"/>
      <c r="AO104"/>
      <c r="AP104"/>
    </row>
    <row r="105" spans="2:42">
      <c r="B105" s="98">
        <f t="shared" si="19"/>
        <v>103</v>
      </c>
      <c r="C105" s="126">
        <f ca="1" t="shared" si="20"/>
        <v>242</v>
      </c>
      <c r="D105" s="126">
        <f ca="1" t="shared" si="21"/>
        <v>20</v>
      </c>
      <c r="E105" s="126">
        <f ca="1" t="shared" si="22"/>
        <v>10</v>
      </c>
      <c r="F105" s="126">
        <f ca="1" t="shared" si="23"/>
        <v>1.5</v>
      </c>
      <c r="G105" s="126">
        <f ca="1" t="shared" si="24"/>
        <v>0.125</v>
      </c>
      <c r="H105" s="126">
        <f ca="1" t="shared" si="25"/>
        <v>0.013</v>
      </c>
      <c r="J105" s="97">
        <f t="shared" si="26"/>
        <v>103</v>
      </c>
      <c r="K105" s="106">
        <f ca="1" t="shared" si="18"/>
        <v>242</v>
      </c>
      <c r="L105" s="126">
        <f ca="1" t="shared" si="27"/>
        <v>40</v>
      </c>
      <c r="M105" s="126">
        <f ca="1" t="shared" si="28"/>
        <v>1</v>
      </c>
      <c r="N105" s="126">
        <f ca="1" t="shared" si="29"/>
        <v>6</v>
      </c>
      <c r="O105" s="126">
        <f ca="1" t="shared" si="30"/>
        <v>5</v>
      </c>
      <c r="P105" s="126">
        <f ca="1" t="shared" si="31"/>
        <v>1</v>
      </c>
      <c r="Q105" s="126">
        <f ca="1" t="shared" si="32"/>
        <v>0.5</v>
      </c>
      <c r="R105" s="126">
        <f ca="1" t="shared" si="33"/>
        <v>2</v>
      </c>
      <c r="S105" s="126"/>
      <c r="AG105"/>
      <c r="AH105"/>
      <c r="AI105"/>
      <c r="AJ105"/>
      <c r="AK105"/>
      <c r="AL105"/>
      <c r="AM105"/>
      <c r="AN105"/>
      <c r="AO105"/>
      <c r="AP105"/>
    </row>
    <row r="106" spans="2:42">
      <c r="B106" s="98">
        <f t="shared" si="19"/>
        <v>104</v>
      </c>
      <c r="C106" s="126">
        <f ca="1" t="shared" si="20"/>
        <v>243</v>
      </c>
      <c r="D106" s="126">
        <f ca="1" t="shared" si="21"/>
        <v>20</v>
      </c>
      <c r="E106" s="126">
        <f ca="1" t="shared" si="22"/>
        <v>10</v>
      </c>
      <c r="F106" s="126">
        <f ca="1" t="shared" si="23"/>
        <v>1.5</v>
      </c>
      <c r="G106" s="126">
        <f ca="1" t="shared" si="24"/>
        <v>0.125</v>
      </c>
      <c r="H106" s="126">
        <f ca="1" t="shared" si="25"/>
        <v>0.013</v>
      </c>
      <c r="J106" s="97">
        <f t="shared" si="26"/>
        <v>104</v>
      </c>
      <c r="K106" s="106">
        <f ca="1" t="shared" si="18"/>
        <v>243</v>
      </c>
      <c r="L106" s="126">
        <f ca="1" t="shared" si="27"/>
        <v>40</v>
      </c>
      <c r="M106" s="126">
        <f ca="1" t="shared" si="28"/>
        <v>1</v>
      </c>
      <c r="N106" s="126">
        <f ca="1" t="shared" si="29"/>
        <v>6</v>
      </c>
      <c r="O106" s="126">
        <f ca="1" t="shared" si="30"/>
        <v>5</v>
      </c>
      <c r="P106" s="126">
        <f ca="1" t="shared" si="31"/>
        <v>1</v>
      </c>
      <c r="Q106" s="126">
        <f ca="1" t="shared" si="32"/>
        <v>0.5</v>
      </c>
      <c r="R106" s="126">
        <f ca="1" t="shared" si="33"/>
        <v>2</v>
      </c>
      <c r="S106" s="126"/>
      <c r="AG106"/>
      <c r="AH106"/>
      <c r="AI106"/>
      <c r="AJ106"/>
      <c r="AK106"/>
      <c r="AL106"/>
      <c r="AM106"/>
      <c r="AN106"/>
      <c r="AO106"/>
      <c r="AP106"/>
    </row>
    <row r="107" spans="2:42">
      <c r="B107" s="98">
        <f t="shared" si="19"/>
        <v>105</v>
      </c>
      <c r="C107" s="126">
        <f ca="1" t="shared" si="20"/>
        <v>244</v>
      </c>
      <c r="D107" s="126">
        <f ca="1" t="shared" si="21"/>
        <v>20</v>
      </c>
      <c r="E107" s="126">
        <f ca="1" t="shared" si="22"/>
        <v>10</v>
      </c>
      <c r="F107" s="126">
        <f ca="1" t="shared" si="23"/>
        <v>1.5</v>
      </c>
      <c r="G107" s="126">
        <f ca="1" t="shared" si="24"/>
        <v>0.125</v>
      </c>
      <c r="H107" s="126">
        <f ca="1" t="shared" si="25"/>
        <v>0.013</v>
      </c>
      <c r="J107" s="97">
        <f t="shared" si="26"/>
        <v>105</v>
      </c>
      <c r="K107" s="106">
        <f ca="1" t="shared" si="18"/>
        <v>244</v>
      </c>
      <c r="L107" s="126">
        <f ca="1" t="shared" si="27"/>
        <v>40</v>
      </c>
      <c r="M107" s="126">
        <f ca="1" t="shared" si="28"/>
        <v>1</v>
      </c>
      <c r="N107" s="126">
        <f ca="1" t="shared" si="29"/>
        <v>6</v>
      </c>
      <c r="O107" s="126">
        <f ca="1" t="shared" si="30"/>
        <v>5</v>
      </c>
      <c r="P107" s="126">
        <f ca="1" t="shared" si="31"/>
        <v>1</v>
      </c>
      <c r="Q107" s="126">
        <f ca="1" t="shared" si="32"/>
        <v>0.5</v>
      </c>
      <c r="R107" s="126">
        <f ca="1" t="shared" si="33"/>
        <v>2</v>
      </c>
      <c r="S107" s="126"/>
      <c r="AG107"/>
      <c r="AH107"/>
      <c r="AI107"/>
      <c r="AJ107"/>
      <c r="AK107"/>
      <c r="AL107"/>
      <c r="AM107"/>
      <c r="AN107"/>
      <c r="AO107"/>
      <c r="AP107"/>
    </row>
    <row r="108" spans="2:42">
      <c r="B108" s="98">
        <f t="shared" si="19"/>
        <v>106</v>
      </c>
      <c r="C108" s="126">
        <f ca="1" t="shared" si="20"/>
        <v>245</v>
      </c>
      <c r="D108" s="126">
        <f ca="1" t="shared" si="21"/>
        <v>20</v>
      </c>
      <c r="E108" s="126">
        <f ca="1" t="shared" si="22"/>
        <v>10</v>
      </c>
      <c r="F108" s="126">
        <f ca="1" t="shared" si="23"/>
        <v>1.5</v>
      </c>
      <c r="G108" s="126">
        <f ca="1" t="shared" si="24"/>
        <v>0.125</v>
      </c>
      <c r="H108" s="126">
        <f ca="1" t="shared" si="25"/>
        <v>0.013</v>
      </c>
      <c r="J108" s="97">
        <f t="shared" si="26"/>
        <v>106</v>
      </c>
      <c r="K108" s="106">
        <f ca="1" t="shared" si="18"/>
        <v>245</v>
      </c>
      <c r="L108" s="126">
        <f ca="1" t="shared" si="27"/>
        <v>40</v>
      </c>
      <c r="M108" s="126">
        <f ca="1" t="shared" si="28"/>
        <v>1</v>
      </c>
      <c r="N108" s="126">
        <f ca="1" t="shared" si="29"/>
        <v>6</v>
      </c>
      <c r="O108" s="126">
        <f ca="1" t="shared" si="30"/>
        <v>5</v>
      </c>
      <c r="P108" s="126">
        <f ca="1" t="shared" si="31"/>
        <v>1</v>
      </c>
      <c r="Q108" s="126">
        <f ca="1" t="shared" si="32"/>
        <v>0.5</v>
      </c>
      <c r="R108" s="126">
        <f ca="1" t="shared" si="33"/>
        <v>2</v>
      </c>
      <c r="S108" s="126"/>
      <c r="AG108"/>
      <c r="AH108"/>
      <c r="AI108"/>
      <c r="AJ108"/>
      <c r="AK108"/>
      <c r="AL108"/>
      <c r="AM108"/>
      <c r="AN108"/>
      <c r="AO108"/>
      <c r="AP108"/>
    </row>
    <row r="109" spans="2:42">
      <c r="B109" s="98">
        <f t="shared" si="19"/>
        <v>107</v>
      </c>
      <c r="C109" s="126">
        <f ca="1" t="shared" si="20"/>
        <v>246</v>
      </c>
      <c r="D109" s="126">
        <f ca="1" t="shared" si="21"/>
        <v>20</v>
      </c>
      <c r="E109" s="126">
        <f ca="1" t="shared" si="22"/>
        <v>10</v>
      </c>
      <c r="F109" s="126">
        <f ca="1" t="shared" si="23"/>
        <v>1.5</v>
      </c>
      <c r="G109" s="126">
        <f ca="1" t="shared" si="24"/>
        <v>0.125</v>
      </c>
      <c r="H109" s="126">
        <f ca="1" t="shared" si="25"/>
        <v>0.013</v>
      </c>
      <c r="J109" s="97">
        <f t="shared" si="26"/>
        <v>107</v>
      </c>
      <c r="K109" s="106">
        <f ca="1" t="shared" si="18"/>
        <v>246</v>
      </c>
      <c r="L109" s="126">
        <f ca="1" t="shared" si="27"/>
        <v>40</v>
      </c>
      <c r="M109" s="126">
        <f ca="1" t="shared" si="28"/>
        <v>1</v>
      </c>
      <c r="N109" s="126">
        <f ca="1" t="shared" si="29"/>
        <v>6</v>
      </c>
      <c r="O109" s="126">
        <f ca="1" t="shared" si="30"/>
        <v>5</v>
      </c>
      <c r="P109" s="126">
        <f ca="1" t="shared" si="31"/>
        <v>1</v>
      </c>
      <c r="Q109" s="126">
        <f ca="1" t="shared" si="32"/>
        <v>0.5</v>
      </c>
      <c r="R109" s="126">
        <f ca="1" t="shared" si="33"/>
        <v>2</v>
      </c>
      <c r="S109" s="126"/>
      <c r="AG109"/>
      <c r="AH109"/>
      <c r="AI109"/>
      <c r="AJ109"/>
      <c r="AK109"/>
      <c r="AL109"/>
      <c r="AM109"/>
      <c r="AN109"/>
      <c r="AO109"/>
      <c r="AP109"/>
    </row>
    <row r="110" spans="2:42">
      <c r="B110" s="98">
        <f t="shared" si="19"/>
        <v>108</v>
      </c>
      <c r="C110" s="126">
        <f ca="1" t="shared" si="20"/>
        <v>247</v>
      </c>
      <c r="D110" s="126">
        <f ca="1" t="shared" si="21"/>
        <v>20</v>
      </c>
      <c r="E110" s="126">
        <f ca="1" t="shared" si="22"/>
        <v>10</v>
      </c>
      <c r="F110" s="126">
        <f ca="1" t="shared" si="23"/>
        <v>1.5</v>
      </c>
      <c r="G110" s="126">
        <f ca="1" t="shared" si="24"/>
        <v>0.125</v>
      </c>
      <c r="H110" s="126">
        <f ca="1" t="shared" si="25"/>
        <v>0.013</v>
      </c>
      <c r="J110" s="97">
        <f t="shared" si="26"/>
        <v>108</v>
      </c>
      <c r="K110" s="106">
        <f ca="1" t="shared" si="18"/>
        <v>247</v>
      </c>
      <c r="L110" s="126">
        <f ca="1" t="shared" si="27"/>
        <v>40</v>
      </c>
      <c r="M110" s="126">
        <f ca="1" t="shared" si="28"/>
        <v>1</v>
      </c>
      <c r="N110" s="126">
        <f ca="1" t="shared" si="29"/>
        <v>6</v>
      </c>
      <c r="O110" s="126">
        <f ca="1" t="shared" si="30"/>
        <v>5</v>
      </c>
      <c r="P110" s="126">
        <f ca="1" t="shared" si="31"/>
        <v>1</v>
      </c>
      <c r="Q110" s="126">
        <f ca="1" t="shared" si="32"/>
        <v>0.5</v>
      </c>
      <c r="R110" s="126">
        <f ca="1" t="shared" si="33"/>
        <v>2</v>
      </c>
      <c r="S110" s="126"/>
      <c r="AG110"/>
      <c r="AH110"/>
      <c r="AI110"/>
      <c r="AJ110"/>
      <c r="AK110"/>
      <c r="AL110"/>
      <c r="AM110"/>
      <c r="AN110"/>
      <c r="AO110"/>
      <c r="AP110"/>
    </row>
    <row r="111" spans="2:42">
      <c r="B111" s="98">
        <f t="shared" si="19"/>
        <v>109</v>
      </c>
      <c r="C111" s="126">
        <f ca="1" t="shared" si="20"/>
        <v>248</v>
      </c>
      <c r="D111" s="126">
        <f ca="1" t="shared" si="21"/>
        <v>20</v>
      </c>
      <c r="E111" s="126">
        <f ca="1" t="shared" si="22"/>
        <v>10</v>
      </c>
      <c r="F111" s="126">
        <f ca="1" t="shared" si="23"/>
        <v>1.5</v>
      </c>
      <c r="G111" s="126">
        <f ca="1" t="shared" si="24"/>
        <v>0.125</v>
      </c>
      <c r="H111" s="126">
        <f ca="1" t="shared" si="25"/>
        <v>0.013</v>
      </c>
      <c r="J111" s="97">
        <f t="shared" si="26"/>
        <v>109</v>
      </c>
      <c r="K111" s="106">
        <f ca="1" t="shared" si="18"/>
        <v>248</v>
      </c>
      <c r="L111" s="126">
        <f ca="1" t="shared" si="27"/>
        <v>40</v>
      </c>
      <c r="M111" s="126">
        <f ca="1" t="shared" si="28"/>
        <v>1</v>
      </c>
      <c r="N111" s="126">
        <f ca="1" t="shared" si="29"/>
        <v>6</v>
      </c>
      <c r="O111" s="126">
        <f ca="1" t="shared" si="30"/>
        <v>5</v>
      </c>
      <c r="P111" s="126">
        <f ca="1" t="shared" si="31"/>
        <v>1</v>
      </c>
      <c r="Q111" s="126">
        <f ca="1" t="shared" si="32"/>
        <v>0.5</v>
      </c>
      <c r="R111" s="126">
        <f ca="1" t="shared" si="33"/>
        <v>2</v>
      </c>
      <c r="S111" s="126"/>
      <c r="AG111"/>
      <c r="AH111"/>
      <c r="AI111"/>
      <c r="AJ111"/>
      <c r="AK111"/>
      <c r="AL111"/>
      <c r="AM111"/>
      <c r="AN111"/>
      <c r="AO111"/>
      <c r="AP111"/>
    </row>
    <row r="112" spans="2:42">
      <c r="B112" s="98">
        <f t="shared" si="19"/>
        <v>110</v>
      </c>
      <c r="C112" s="126">
        <f ca="1" t="shared" si="20"/>
        <v>249</v>
      </c>
      <c r="D112" s="126">
        <f ca="1" t="shared" si="21"/>
        <v>20</v>
      </c>
      <c r="E112" s="126">
        <f ca="1" t="shared" si="22"/>
        <v>10</v>
      </c>
      <c r="F112" s="126">
        <f ca="1" t="shared" si="23"/>
        <v>1.5</v>
      </c>
      <c r="G112" s="126">
        <f ca="1" t="shared" si="24"/>
        <v>0.125</v>
      </c>
      <c r="H112" s="126">
        <f ca="1" t="shared" si="25"/>
        <v>0.013</v>
      </c>
      <c r="J112" s="97">
        <f t="shared" si="26"/>
        <v>110</v>
      </c>
      <c r="K112" s="106">
        <f ca="1" t="shared" si="18"/>
        <v>249</v>
      </c>
      <c r="L112" s="126">
        <f ca="1" t="shared" si="27"/>
        <v>40</v>
      </c>
      <c r="M112" s="126">
        <f ca="1" t="shared" si="28"/>
        <v>1</v>
      </c>
      <c r="N112" s="126">
        <f ca="1" t="shared" si="29"/>
        <v>6</v>
      </c>
      <c r="O112" s="126">
        <f ca="1" t="shared" si="30"/>
        <v>5</v>
      </c>
      <c r="P112" s="126">
        <f ca="1" t="shared" si="31"/>
        <v>1</v>
      </c>
      <c r="Q112" s="126">
        <f ca="1" t="shared" si="32"/>
        <v>0.5</v>
      </c>
      <c r="R112" s="126">
        <f ca="1" t="shared" si="33"/>
        <v>2</v>
      </c>
      <c r="S112" s="126"/>
      <c r="AG112"/>
      <c r="AH112"/>
      <c r="AI112"/>
      <c r="AJ112"/>
      <c r="AK112"/>
      <c r="AL112"/>
      <c r="AM112"/>
      <c r="AN112"/>
      <c r="AO112"/>
      <c r="AP112"/>
    </row>
    <row r="113" spans="2:42">
      <c r="B113" s="98">
        <f t="shared" si="19"/>
        <v>111</v>
      </c>
      <c r="C113" s="126">
        <f ca="1" t="shared" si="20"/>
        <v>250</v>
      </c>
      <c r="D113" s="126">
        <f ca="1" t="shared" si="21"/>
        <v>20</v>
      </c>
      <c r="E113" s="126">
        <f ca="1" t="shared" si="22"/>
        <v>10</v>
      </c>
      <c r="F113" s="126">
        <f ca="1" t="shared" si="23"/>
        <v>1.5</v>
      </c>
      <c r="G113" s="126">
        <f ca="1" t="shared" si="24"/>
        <v>0.125</v>
      </c>
      <c r="H113" s="126">
        <f ca="1" t="shared" si="25"/>
        <v>0.013</v>
      </c>
      <c r="J113" s="97">
        <f t="shared" si="26"/>
        <v>111</v>
      </c>
      <c r="K113" s="106">
        <f ca="1" t="shared" si="18"/>
        <v>250</v>
      </c>
      <c r="L113" s="126">
        <f ca="1" t="shared" si="27"/>
        <v>40</v>
      </c>
      <c r="M113" s="126">
        <f ca="1" t="shared" si="28"/>
        <v>1</v>
      </c>
      <c r="N113" s="126">
        <f ca="1" t="shared" si="29"/>
        <v>6</v>
      </c>
      <c r="O113" s="126">
        <f ca="1" t="shared" si="30"/>
        <v>5</v>
      </c>
      <c r="P113" s="126">
        <f ca="1" t="shared" si="31"/>
        <v>1</v>
      </c>
      <c r="Q113" s="126">
        <f ca="1" t="shared" si="32"/>
        <v>0.5</v>
      </c>
      <c r="R113" s="126">
        <f ca="1" t="shared" si="33"/>
        <v>2</v>
      </c>
      <c r="S113" s="126"/>
      <c r="AG113"/>
      <c r="AH113"/>
      <c r="AI113"/>
      <c r="AJ113"/>
      <c r="AK113"/>
      <c r="AL113"/>
      <c r="AM113"/>
      <c r="AN113"/>
      <c r="AO113"/>
      <c r="AP113"/>
    </row>
    <row r="114" spans="2:42">
      <c r="B114" s="98">
        <f t="shared" si="19"/>
        <v>112</v>
      </c>
      <c r="C114" s="126">
        <f ca="1" t="shared" si="20"/>
        <v>251</v>
      </c>
      <c r="D114" s="126">
        <f ca="1" t="shared" si="21"/>
        <v>20</v>
      </c>
      <c r="E114" s="126">
        <f ca="1" t="shared" si="22"/>
        <v>10</v>
      </c>
      <c r="F114" s="126">
        <f ca="1" t="shared" si="23"/>
        <v>1.5</v>
      </c>
      <c r="G114" s="126">
        <f ca="1" t="shared" si="24"/>
        <v>0.125</v>
      </c>
      <c r="H114" s="126">
        <f ca="1" t="shared" si="25"/>
        <v>0.013</v>
      </c>
      <c r="J114" s="97">
        <f t="shared" si="26"/>
        <v>112</v>
      </c>
      <c r="K114" s="106">
        <f ca="1" t="shared" si="18"/>
        <v>251</v>
      </c>
      <c r="L114" s="126">
        <f ca="1" t="shared" si="27"/>
        <v>40</v>
      </c>
      <c r="M114" s="126">
        <f ca="1" t="shared" si="28"/>
        <v>1</v>
      </c>
      <c r="N114" s="126">
        <f ca="1" t="shared" si="29"/>
        <v>6</v>
      </c>
      <c r="O114" s="126">
        <f ca="1" t="shared" si="30"/>
        <v>5</v>
      </c>
      <c r="P114" s="126">
        <f ca="1" t="shared" si="31"/>
        <v>1</v>
      </c>
      <c r="Q114" s="126">
        <f ca="1" t="shared" si="32"/>
        <v>0.5</v>
      </c>
      <c r="R114" s="126">
        <f ca="1" t="shared" si="33"/>
        <v>2</v>
      </c>
      <c r="S114" s="126"/>
      <c r="AG114"/>
      <c r="AH114"/>
      <c r="AI114"/>
      <c r="AJ114"/>
      <c r="AK114"/>
      <c r="AL114"/>
      <c r="AM114"/>
      <c r="AN114"/>
      <c r="AO114"/>
      <c r="AP114"/>
    </row>
    <row r="115" spans="2:42">
      <c r="B115" s="98">
        <f t="shared" si="19"/>
        <v>113</v>
      </c>
      <c r="C115" s="126">
        <f ca="1" t="shared" si="20"/>
        <v>252</v>
      </c>
      <c r="D115" s="126">
        <f ca="1" t="shared" si="21"/>
        <v>20</v>
      </c>
      <c r="E115" s="126">
        <f ca="1" t="shared" si="22"/>
        <v>10</v>
      </c>
      <c r="F115" s="126">
        <f ca="1" t="shared" si="23"/>
        <v>1.5</v>
      </c>
      <c r="G115" s="126">
        <f ca="1" t="shared" si="24"/>
        <v>0.125</v>
      </c>
      <c r="H115" s="126">
        <f ca="1" t="shared" si="25"/>
        <v>0.013</v>
      </c>
      <c r="J115" s="97">
        <f t="shared" si="26"/>
        <v>113</v>
      </c>
      <c r="K115" s="106">
        <f ca="1" t="shared" si="18"/>
        <v>252</v>
      </c>
      <c r="L115" s="126">
        <f ca="1" t="shared" si="27"/>
        <v>40</v>
      </c>
      <c r="M115" s="126">
        <f ca="1" t="shared" si="28"/>
        <v>1</v>
      </c>
      <c r="N115" s="126">
        <f ca="1" t="shared" si="29"/>
        <v>6</v>
      </c>
      <c r="O115" s="126">
        <f ca="1" t="shared" si="30"/>
        <v>5</v>
      </c>
      <c r="P115" s="126">
        <f ca="1" t="shared" si="31"/>
        <v>1</v>
      </c>
      <c r="Q115" s="126">
        <f ca="1" t="shared" si="32"/>
        <v>0.5</v>
      </c>
      <c r="R115" s="126">
        <f ca="1" t="shared" si="33"/>
        <v>2</v>
      </c>
      <c r="S115" s="126"/>
      <c r="AG115"/>
      <c r="AH115"/>
      <c r="AI115"/>
      <c r="AJ115"/>
      <c r="AK115"/>
      <c r="AL115"/>
      <c r="AM115"/>
      <c r="AN115"/>
      <c r="AO115"/>
      <c r="AP115"/>
    </row>
    <row r="116" spans="2:42">
      <c r="B116" s="98">
        <f t="shared" si="19"/>
        <v>114</v>
      </c>
      <c r="C116" s="126">
        <f ca="1" t="shared" si="20"/>
        <v>253</v>
      </c>
      <c r="D116" s="126">
        <f ca="1" t="shared" si="21"/>
        <v>20</v>
      </c>
      <c r="E116" s="126">
        <f ca="1" t="shared" si="22"/>
        <v>10</v>
      </c>
      <c r="F116" s="126">
        <f ca="1" t="shared" si="23"/>
        <v>1.5</v>
      </c>
      <c r="G116" s="126">
        <f ca="1" t="shared" si="24"/>
        <v>0.125</v>
      </c>
      <c r="H116" s="126">
        <f ca="1" t="shared" si="25"/>
        <v>0.013</v>
      </c>
      <c r="J116" s="97">
        <f t="shared" si="26"/>
        <v>114</v>
      </c>
      <c r="K116" s="106">
        <f ca="1" t="shared" si="18"/>
        <v>253</v>
      </c>
      <c r="L116" s="126">
        <f ca="1" t="shared" si="27"/>
        <v>40</v>
      </c>
      <c r="M116" s="126">
        <f ca="1" t="shared" si="28"/>
        <v>1</v>
      </c>
      <c r="N116" s="126">
        <f ca="1" t="shared" si="29"/>
        <v>6</v>
      </c>
      <c r="O116" s="126">
        <f ca="1" t="shared" si="30"/>
        <v>5</v>
      </c>
      <c r="P116" s="126">
        <f ca="1" t="shared" si="31"/>
        <v>1</v>
      </c>
      <c r="Q116" s="126">
        <f ca="1" t="shared" si="32"/>
        <v>0.5</v>
      </c>
      <c r="R116" s="126">
        <f ca="1" t="shared" si="33"/>
        <v>2</v>
      </c>
      <c r="S116" s="126"/>
      <c r="AG116"/>
      <c r="AH116"/>
      <c r="AI116"/>
      <c r="AJ116"/>
      <c r="AK116"/>
      <c r="AL116"/>
      <c r="AM116"/>
      <c r="AN116"/>
      <c r="AO116"/>
      <c r="AP116"/>
    </row>
    <row r="117" spans="2:42">
      <c r="B117" s="98">
        <f t="shared" si="19"/>
        <v>115</v>
      </c>
      <c r="C117" s="126">
        <f ca="1" t="shared" si="20"/>
        <v>254</v>
      </c>
      <c r="D117" s="126">
        <f ca="1" t="shared" si="21"/>
        <v>20</v>
      </c>
      <c r="E117" s="126">
        <f ca="1" t="shared" si="22"/>
        <v>10</v>
      </c>
      <c r="F117" s="126">
        <f ca="1" t="shared" si="23"/>
        <v>1.5</v>
      </c>
      <c r="G117" s="126">
        <f ca="1" t="shared" si="24"/>
        <v>0.125</v>
      </c>
      <c r="H117" s="126">
        <f ca="1" t="shared" si="25"/>
        <v>0.013</v>
      </c>
      <c r="J117" s="97">
        <f t="shared" si="26"/>
        <v>115</v>
      </c>
      <c r="K117" s="106">
        <f ca="1" t="shared" si="18"/>
        <v>254</v>
      </c>
      <c r="L117" s="126">
        <f ca="1" t="shared" si="27"/>
        <v>40</v>
      </c>
      <c r="M117" s="126">
        <f ca="1" t="shared" si="28"/>
        <v>1</v>
      </c>
      <c r="N117" s="126">
        <f ca="1" t="shared" si="29"/>
        <v>6</v>
      </c>
      <c r="O117" s="126">
        <f ca="1" t="shared" si="30"/>
        <v>5</v>
      </c>
      <c r="P117" s="126">
        <f ca="1" t="shared" si="31"/>
        <v>1</v>
      </c>
      <c r="Q117" s="126">
        <f ca="1" t="shared" si="32"/>
        <v>0.5</v>
      </c>
      <c r="R117" s="126">
        <f ca="1" t="shared" si="33"/>
        <v>2</v>
      </c>
      <c r="S117" s="126"/>
      <c r="AG117"/>
      <c r="AH117"/>
      <c r="AI117"/>
      <c r="AJ117"/>
      <c r="AK117"/>
      <c r="AL117"/>
      <c r="AM117"/>
      <c r="AN117"/>
      <c r="AO117"/>
      <c r="AP117"/>
    </row>
    <row r="118" spans="2:42">
      <c r="B118" s="98">
        <f t="shared" si="19"/>
        <v>116</v>
      </c>
      <c r="C118" s="126">
        <f ca="1" t="shared" si="20"/>
        <v>255</v>
      </c>
      <c r="D118" s="126">
        <f ca="1" t="shared" si="21"/>
        <v>20</v>
      </c>
      <c r="E118" s="126">
        <f ca="1" t="shared" si="22"/>
        <v>10</v>
      </c>
      <c r="F118" s="126">
        <f ca="1" t="shared" si="23"/>
        <v>1.5</v>
      </c>
      <c r="G118" s="126">
        <f ca="1" t="shared" si="24"/>
        <v>0.125</v>
      </c>
      <c r="H118" s="126">
        <f ca="1" t="shared" si="25"/>
        <v>0.013</v>
      </c>
      <c r="J118" s="97">
        <f t="shared" si="26"/>
        <v>116</v>
      </c>
      <c r="K118" s="106">
        <f ca="1" t="shared" si="18"/>
        <v>255</v>
      </c>
      <c r="L118" s="126">
        <f ca="1" t="shared" si="27"/>
        <v>40</v>
      </c>
      <c r="M118" s="126">
        <f ca="1" t="shared" si="28"/>
        <v>1</v>
      </c>
      <c r="N118" s="126">
        <f ca="1" t="shared" si="29"/>
        <v>6</v>
      </c>
      <c r="O118" s="126">
        <f ca="1" t="shared" si="30"/>
        <v>5</v>
      </c>
      <c r="P118" s="126">
        <f ca="1" t="shared" si="31"/>
        <v>1</v>
      </c>
      <c r="Q118" s="126">
        <f ca="1" t="shared" si="32"/>
        <v>0.5</v>
      </c>
      <c r="R118" s="126">
        <f ca="1" t="shared" si="33"/>
        <v>2</v>
      </c>
      <c r="S118" s="126"/>
      <c r="AG118"/>
      <c r="AH118"/>
      <c r="AI118"/>
      <c r="AJ118"/>
      <c r="AK118"/>
      <c r="AL118"/>
      <c r="AM118"/>
      <c r="AN118"/>
      <c r="AO118"/>
      <c r="AP118"/>
    </row>
    <row r="119" spans="2:42">
      <c r="B119" s="98">
        <f t="shared" si="19"/>
        <v>117</v>
      </c>
      <c r="C119" s="126">
        <f ca="1" t="shared" si="20"/>
        <v>256</v>
      </c>
      <c r="D119" s="126">
        <f ca="1" t="shared" si="21"/>
        <v>20</v>
      </c>
      <c r="E119" s="126">
        <f ca="1" t="shared" si="22"/>
        <v>10</v>
      </c>
      <c r="F119" s="126">
        <f ca="1" t="shared" si="23"/>
        <v>1.5</v>
      </c>
      <c r="G119" s="126">
        <f ca="1" t="shared" si="24"/>
        <v>0.125</v>
      </c>
      <c r="H119" s="126">
        <f ca="1" t="shared" si="25"/>
        <v>0.013</v>
      </c>
      <c r="J119" s="97">
        <f t="shared" si="26"/>
        <v>117</v>
      </c>
      <c r="K119" s="106">
        <f ca="1" t="shared" si="18"/>
        <v>256</v>
      </c>
      <c r="L119" s="126">
        <f ca="1" t="shared" si="27"/>
        <v>40</v>
      </c>
      <c r="M119" s="126">
        <f ca="1" t="shared" si="28"/>
        <v>1</v>
      </c>
      <c r="N119" s="126">
        <f ca="1" t="shared" si="29"/>
        <v>6</v>
      </c>
      <c r="O119" s="126">
        <f ca="1" t="shared" si="30"/>
        <v>5</v>
      </c>
      <c r="P119" s="126">
        <f ca="1" t="shared" si="31"/>
        <v>1</v>
      </c>
      <c r="Q119" s="126">
        <f ca="1" t="shared" si="32"/>
        <v>0.5</v>
      </c>
      <c r="R119" s="126">
        <f ca="1" t="shared" si="33"/>
        <v>2</v>
      </c>
      <c r="S119" s="126"/>
      <c r="AG119"/>
      <c r="AH119"/>
      <c r="AI119"/>
      <c r="AJ119"/>
      <c r="AK119"/>
      <c r="AL119"/>
      <c r="AM119"/>
      <c r="AN119"/>
      <c r="AO119"/>
      <c r="AP119"/>
    </row>
    <row r="120" spans="2:42">
      <c r="B120" s="98">
        <f t="shared" si="19"/>
        <v>118</v>
      </c>
      <c r="C120" s="126">
        <f ca="1" t="shared" si="20"/>
        <v>257</v>
      </c>
      <c r="D120" s="126">
        <f ca="1" t="shared" si="21"/>
        <v>20</v>
      </c>
      <c r="E120" s="126">
        <f ca="1" t="shared" si="22"/>
        <v>10</v>
      </c>
      <c r="F120" s="126">
        <f ca="1" t="shared" si="23"/>
        <v>1.5</v>
      </c>
      <c r="G120" s="126">
        <f ca="1" t="shared" si="24"/>
        <v>0.125</v>
      </c>
      <c r="H120" s="126">
        <f ca="1" t="shared" si="25"/>
        <v>0.013</v>
      </c>
      <c r="J120" s="97">
        <f t="shared" si="26"/>
        <v>118</v>
      </c>
      <c r="K120" s="106">
        <f ca="1" t="shared" si="18"/>
        <v>257</v>
      </c>
      <c r="L120" s="126">
        <f ca="1" t="shared" si="27"/>
        <v>40</v>
      </c>
      <c r="M120" s="126">
        <f ca="1" t="shared" si="28"/>
        <v>1</v>
      </c>
      <c r="N120" s="126">
        <f ca="1" t="shared" si="29"/>
        <v>6</v>
      </c>
      <c r="O120" s="126">
        <f ca="1" t="shared" si="30"/>
        <v>5</v>
      </c>
      <c r="P120" s="126">
        <f ca="1" t="shared" si="31"/>
        <v>1</v>
      </c>
      <c r="Q120" s="126">
        <f ca="1" t="shared" si="32"/>
        <v>0.5</v>
      </c>
      <c r="R120" s="126">
        <f ca="1" t="shared" si="33"/>
        <v>2</v>
      </c>
      <c r="S120" s="126"/>
      <c r="AG120"/>
      <c r="AH120"/>
      <c r="AI120"/>
      <c r="AJ120"/>
      <c r="AK120"/>
      <c r="AL120"/>
      <c r="AM120"/>
      <c r="AN120"/>
      <c r="AO120"/>
      <c r="AP120"/>
    </row>
    <row r="121" spans="2:42">
      <c r="B121" s="98">
        <f t="shared" si="19"/>
        <v>119</v>
      </c>
      <c r="C121" s="126">
        <f ca="1" t="shared" si="20"/>
        <v>258</v>
      </c>
      <c r="D121" s="126">
        <f ca="1" t="shared" si="21"/>
        <v>20</v>
      </c>
      <c r="E121" s="126">
        <f ca="1" t="shared" si="22"/>
        <v>10</v>
      </c>
      <c r="F121" s="126">
        <f ca="1" t="shared" si="23"/>
        <v>1.5</v>
      </c>
      <c r="G121" s="126">
        <f ca="1" t="shared" si="24"/>
        <v>0.125</v>
      </c>
      <c r="H121" s="126">
        <f ca="1" t="shared" si="25"/>
        <v>0.013</v>
      </c>
      <c r="J121" s="97">
        <f t="shared" si="26"/>
        <v>119</v>
      </c>
      <c r="K121" s="106">
        <f ca="1" t="shared" si="18"/>
        <v>258</v>
      </c>
      <c r="L121" s="126">
        <f ca="1" t="shared" si="27"/>
        <v>40</v>
      </c>
      <c r="M121" s="126">
        <f ca="1" t="shared" si="28"/>
        <v>1</v>
      </c>
      <c r="N121" s="126">
        <f ca="1" t="shared" si="29"/>
        <v>6</v>
      </c>
      <c r="O121" s="126">
        <f ca="1" t="shared" si="30"/>
        <v>5</v>
      </c>
      <c r="P121" s="126">
        <f ca="1" t="shared" si="31"/>
        <v>1</v>
      </c>
      <c r="Q121" s="126">
        <f ca="1" t="shared" si="32"/>
        <v>0.5</v>
      </c>
      <c r="R121" s="126">
        <f ca="1" t="shared" si="33"/>
        <v>2</v>
      </c>
      <c r="S121" s="126"/>
      <c r="AG121"/>
      <c r="AH121"/>
      <c r="AI121"/>
      <c r="AJ121"/>
      <c r="AK121"/>
      <c r="AL121"/>
      <c r="AM121"/>
      <c r="AN121"/>
      <c r="AO121"/>
      <c r="AP121"/>
    </row>
    <row r="122" spans="2:42">
      <c r="B122" s="98">
        <f t="shared" si="19"/>
        <v>120</v>
      </c>
      <c r="C122" s="126">
        <f ca="1" t="shared" si="20"/>
        <v>259</v>
      </c>
      <c r="D122" s="126">
        <f ca="1" t="shared" si="21"/>
        <v>20</v>
      </c>
      <c r="E122" s="126">
        <f ca="1" t="shared" si="22"/>
        <v>10</v>
      </c>
      <c r="F122" s="126">
        <f ca="1" t="shared" si="23"/>
        <v>1.5</v>
      </c>
      <c r="G122" s="126">
        <f ca="1" t="shared" si="24"/>
        <v>0.125</v>
      </c>
      <c r="H122" s="126">
        <f ca="1" t="shared" si="25"/>
        <v>0.013</v>
      </c>
      <c r="J122" s="97">
        <f t="shared" si="26"/>
        <v>120</v>
      </c>
      <c r="K122" s="106">
        <f ca="1" t="shared" si="18"/>
        <v>259</v>
      </c>
      <c r="L122" s="126">
        <f ca="1" t="shared" si="27"/>
        <v>40</v>
      </c>
      <c r="M122" s="126">
        <f ca="1" t="shared" si="28"/>
        <v>1</v>
      </c>
      <c r="N122" s="126">
        <f ca="1" t="shared" si="29"/>
        <v>6</v>
      </c>
      <c r="O122" s="126">
        <f ca="1" t="shared" si="30"/>
        <v>5</v>
      </c>
      <c r="P122" s="126">
        <f ca="1" t="shared" si="31"/>
        <v>1</v>
      </c>
      <c r="Q122" s="126">
        <f ca="1" t="shared" si="32"/>
        <v>0.5</v>
      </c>
      <c r="R122" s="126">
        <f ca="1" t="shared" si="33"/>
        <v>2</v>
      </c>
      <c r="S122" s="126"/>
      <c r="AG122"/>
      <c r="AH122"/>
      <c r="AI122"/>
      <c r="AJ122"/>
      <c r="AK122"/>
      <c r="AL122"/>
      <c r="AM122"/>
      <c r="AN122"/>
      <c r="AO122"/>
      <c r="AP122"/>
    </row>
    <row r="123" spans="2:42">
      <c r="B123" s="98">
        <f t="shared" si="19"/>
        <v>121</v>
      </c>
      <c r="C123" s="126">
        <f ca="1" t="shared" si="20"/>
        <v>260</v>
      </c>
      <c r="D123" s="126">
        <f ca="1" t="shared" si="21"/>
        <v>20</v>
      </c>
      <c r="E123" s="126">
        <f ca="1" t="shared" si="22"/>
        <v>10</v>
      </c>
      <c r="F123" s="126">
        <f ca="1" t="shared" si="23"/>
        <v>1.5</v>
      </c>
      <c r="G123" s="126">
        <f ca="1" t="shared" si="24"/>
        <v>0.125</v>
      </c>
      <c r="H123" s="126">
        <f ca="1" t="shared" si="25"/>
        <v>0.013</v>
      </c>
      <c r="J123" s="97">
        <f t="shared" si="26"/>
        <v>121</v>
      </c>
      <c r="K123" s="106">
        <f ca="1" t="shared" si="18"/>
        <v>260</v>
      </c>
      <c r="L123" s="126">
        <f ca="1" t="shared" si="27"/>
        <v>40</v>
      </c>
      <c r="M123" s="126">
        <f ca="1" t="shared" si="28"/>
        <v>1</v>
      </c>
      <c r="N123" s="126">
        <f ca="1" t="shared" si="29"/>
        <v>6</v>
      </c>
      <c r="O123" s="126">
        <f ca="1" t="shared" si="30"/>
        <v>5</v>
      </c>
      <c r="P123" s="126">
        <f ca="1" t="shared" si="31"/>
        <v>1</v>
      </c>
      <c r="Q123" s="126">
        <f ca="1" t="shared" si="32"/>
        <v>0.5</v>
      </c>
      <c r="R123" s="126">
        <f ca="1" t="shared" si="33"/>
        <v>2</v>
      </c>
      <c r="S123" s="126"/>
      <c r="AG123"/>
      <c r="AH123"/>
      <c r="AI123"/>
      <c r="AJ123"/>
      <c r="AK123"/>
      <c r="AL123"/>
      <c r="AM123"/>
      <c r="AN123"/>
      <c r="AO123"/>
      <c r="AP123"/>
    </row>
    <row r="124" spans="2:42">
      <c r="B124" s="98">
        <f t="shared" si="19"/>
        <v>122</v>
      </c>
      <c r="C124" s="126">
        <f ca="1" t="shared" si="20"/>
        <v>261</v>
      </c>
      <c r="D124" s="126">
        <f ca="1" t="shared" si="21"/>
        <v>20</v>
      </c>
      <c r="E124" s="126">
        <f ca="1" t="shared" si="22"/>
        <v>10</v>
      </c>
      <c r="F124" s="126">
        <f ca="1" t="shared" si="23"/>
        <v>1.5</v>
      </c>
      <c r="G124" s="126">
        <f ca="1" t="shared" si="24"/>
        <v>0.125</v>
      </c>
      <c r="H124" s="126">
        <f ca="1" t="shared" si="25"/>
        <v>0.013</v>
      </c>
      <c r="J124" s="97">
        <f t="shared" si="26"/>
        <v>122</v>
      </c>
      <c r="K124" s="106">
        <f ca="1" t="shared" si="18"/>
        <v>261</v>
      </c>
      <c r="L124" s="126">
        <f ca="1" t="shared" si="27"/>
        <v>40</v>
      </c>
      <c r="M124" s="126">
        <f ca="1" t="shared" si="28"/>
        <v>1</v>
      </c>
      <c r="N124" s="126">
        <f ca="1" t="shared" si="29"/>
        <v>6</v>
      </c>
      <c r="O124" s="126">
        <f ca="1" t="shared" si="30"/>
        <v>5</v>
      </c>
      <c r="P124" s="126">
        <f ca="1" t="shared" si="31"/>
        <v>1</v>
      </c>
      <c r="Q124" s="126">
        <f ca="1" t="shared" si="32"/>
        <v>0.5</v>
      </c>
      <c r="R124" s="126">
        <f ca="1" t="shared" si="33"/>
        <v>2</v>
      </c>
      <c r="S124" s="126"/>
      <c r="AG124"/>
      <c r="AH124"/>
      <c r="AI124"/>
      <c r="AJ124"/>
      <c r="AK124"/>
      <c r="AL124"/>
      <c r="AM124"/>
      <c r="AN124"/>
      <c r="AO124"/>
      <c r="AP124"/>
    </row>
    <row r="125" spans="2:42">
      <c r="B125" s="98">
        <f t="shared" si="19"/>
        <v>123</v>
      </c>
      <c r="C125" s="126">
        <f ca="1" t="shared" si="20"/>
        <v>262</v>
      </c>
      <c r="D125" s="126">
        <f ca="1" t="shared" si="21"/>
        <v>20</v>
      </c>
      <c r="E125" s="126">
        <f ca="1" t="shared" si="22"/>
        <v>10</v>
      </c>
      <c r="F125" s="126">
        <f ca="1" t="shared" si="23"/>
        <v>1.5</v>
      </c>
      <c r="G125" s="126">
        <f ca="1" t="shared" si="24"/>
        <v>0.125</v>
      </c>
      <c r="H125" s="126">
        <f ca="1" t="shared" si="25"/>
        <v>0.013</v>
      </c>
      <c r="J125" s="97">
        <f t="shared" si="26"/>
        <v>123</v>
      </c>
      <c r="K125" s="106">
        <f ca="1" t="shared" si="18"/>
        <v>262</v>
      </c>
      <c r="L125" s="126">
        <f ca="1" t="shared" si="27"/>
        <v>40</v>
      </c>
      <c r="M125" s="126">
        <f ca="1" t="shared" si="28"/>
        <v>1</v>
      </c>
      <c r="N125" s="126">
        <f ca="1" t="shared" si="29"/>
        <v>6</v>
      </c>
      <c r="O125" s="126">
        <f ca="1" t="shared" si="30"/>
        <v>5</v>
      </c>
      <c r="P125" s="126">
        <f ca="1" t="shared" si="31"/>
        <v>1</v>
      </c>
      <c r="Q125" s="126">
        <f ca="1" t="shared" si="32"/>
        <v>0.5</v>
      </c>
      <c r="R125" s="126">
        <f ca="1" t="shared" si="33"/>
        <v>2</v>
      </c>
      <c r="S125" s="126"/>
      <c r="AG125"/>
      <c r="AH125"/>
      <c r="AI125"/>
      <c r="AJ125"/>
      <c r="AK125"/>
      <c r="AL125"/>
      <c r="AM125"/>
      <c r="AN125"/>
      <c r="AO125"/>
      <c r="AP125"/>
    </row>
    <row r="126" spans="2:42">
      <c r="B126" s="98">
        <f t="shared" si="19"/>
        <v>124</v>
      </c>
      <c r="C126" s="126">
        <f ca="1" t="shared" si="20"/>
        <v>263</v>
      </c>
      <c r="D126" s="126">
        <f ca="1" t="shared" si="21"/>
        <v>20</v>
      </c>
      <c r="E126" s="126">
        <f ca="1" t="shared" si="22"/>
        <v>10</v>
      </c>
      <c r="F126" s="126">
        <f ca="1" t="shared" si="23"/>
        <v>1.5</v>
      </c>
      <c r="G126" s="126">
        <f ca="1" t="shared" si="24"/>
        <v>0.125</v>
      </c>
      <c r="H126" s="126">
        <f ca="1" t="shared" si="25"/>
        <v>0.013</v>
      </c>
      <c r="J126" s="97">
        <f t="shared" si="26"/>
        <v>124</v>
      </c>
      <c r="K126" s="106">
        <f ca="1" t="shared" si="18"/>
        <v>263</v>
      </c>
      <c r="L126" s="126">
        <f ca="1" t="shared" si="27"/>
        <v>40</v>
      </c>
      <c r="M126" s="126">
        <f ca="1" t="shared" si="28"/>
        <v>1</v>
      </c>
      <c r="N126" s="126">
        <f ca="1" t="shared" si="29"/>
        <v>6</v>
      </c>
      <c r="O126" s="126">
        <f ca="1" t="shared" si="30"/>
        <v>5</v>
      </c>
      <c r="P126" s="126">
        <f ca="1" t="shared" si="31"/>
        <v>1</v>
      </c>
      <c r="Q126" s="126">
        <f ca="1" t="shared" si="32"/>
        <v>0.5</v>
      </c>
      <c r="R126" s="126">
        <f ca="1" t="shared" si="33"/>
        <v>2</v>
      </c>
      <c r="S126" s="126"/>
      <c r="AG126"/>
      <c r="AH126"/>
      <c r="AI126"/>
      <c r="AJ126"/>
      <c r="AK126"/>
      <c r="AL126"/>
      <c r="AM126"/>
      <c r="AN126"/>
      <c r="AO126"/>
      <c r="AP126"/>
    </row>
    <row r="127" spans="2:42">
      <c r="B127" s="98">
        <f t="shared" si="19"/>
        <v>125</v>
      </c>
      <c r="C127" s="126">
        <f ca="1" t="shared" si="20"/>
        <v>264</v>
      </c>
      <c r="D127" s="126">
        <f ca="1" t="shared" si="21"/>
        <v>20</v>
      </c>
      <c r="E127" s="126">
        <f ca="1" t="shared" si="22"/>
        <v>10</v>
      </c>
      <c r="F127" s="126">
        <f ca="1" t="shared" si="23"/>
        <v>1.5</v>
      </c>
      <c r="G127" s="126">
        <f ca="1" t="shared" si="24"/>
        <v>0.125</v>
      </c>
      <c r="H127" s="126">
        <f ca="1" t="shared" si="25"/>
        <v>0.013</v>
      </c>
      <c r="J127" s="97">
        <f t="shared" si="26"/>
        <v>125</v>
      </c>
      <c r="K127" s="106">
        <f ca="1" t="shared" si="18"/>
        <v>264</v>
      </c>
      <c r="L127" s="126">
        <f ca="1" t="shared" si="27"/>
        <v>40</v>
      </c>
      <c r="M127" s="126">
        <f ca="1" t="shared" si="28"/>
        <v>1</v>
      </c>
      <c r="N127" s="126">
        <f ca="1" t="shared" si="29"/>
        <v>6</v>
      </c>
      <c r="O127" s="126">
        <f ca="1" t="shared" si="30"/>
        <v>5</v>
      </c>
      <c r="P127" s="126">
        <f ca="1" t="shared" si="31"/>
        <v>1</v>
      </c>
      <c r="Q127" s="126">
        <f ca="1" t="shared" si="32"/>
        <v>0.5</v>
      </c>
      <c r="R127" s="126">
        <f ca="1" t="shared" si="33"/>
        <v>2</v>
      </c>
      <c r="S127" s="126"/>
      <c r="AG127"/>
      <c r="AH127"/>
      <c r="AI127"/>
      <c r="AJ127"/>
      <c r="AK127"/>
      <c r="AL127"/>
      <c r="AM127"/>
      <c r="AN127"/>
      <c r="AO127"/>
      <c r="AP127"/>
    </row>
    <row r="128" spans="2:42">
      <c r="B128" s="98">
        <f t="shared" si="19"/>
        <v>126</v>
      </c>
      <c r="C128" s="126">
        <f ca="1" t="shared" si="20"/>
        <v>265</v>
      </c>
      <c r="D128" s="126">
        <f ca="1" t="shared" si="21"/>
        <v>20</v>
      </c>
      <c r="E128" s="126">
        <f ca="1" t="shared" si="22"/>
        <v>10</v>
      </c>
      <c r="F128" s="126">
        <f ca="1" t="shared" si="23"/>
        <v>1.5</v>
      </c>
      <c r="G128" s="126">
        <f ca="1" t="shared" si="24"/>
        <v>0.125</v>
      </c>
      <c r="H128" s="126">
        <f ca="1" t="shared" si="25"/>
        <v>0.013</v>
      </c>
      <c r="J128" s="97">
        <f t="shared" si="26"/>
        <v>126</v>
      </c>
      <c r="K128" s="106">
        <f ca="1" t="shared" si="18"/>
        <v>265</v>
      </c>
      <c r="L128" s="126">
        <f ca="1" t="shared" si="27"/>
        <v>40</v>
      </c>
      <c r="M128" s="126">
        <f ca="1" t="shared" si="28"/>
        <v>1</v>
      </c>
      <c r="N128" s="126">
        <f ca="1" t="shared" si="29"/>
        <v>6</v>
      </c>
      <c r="O128" s="126">
        <f ca="1" t="shared" si="30"/>
        <v>5</v>
      </c>
      <c r="P128" s="126">
        <f ca="1" t="shared" si="31"/>
        <v>1</v>
      </c>
      <c r="Q128" s="126">
        <f ca="1" t="shared" si="32"/>
        <v>0.5</v>
      </c>
      <c r="R128" s="126">
        <f ca="1" t="shared" si="33"/>
        <v>2</v>
      </c>
      <c r="S128" s="126"/>
      <c r="AG128"/>
      <c r="AH128"/>
      <c r="AI128"/>
      <c r="AJ128"/>
      <c r="AK128"/>
      <c r="AL128"/>
      <c r="AM128"/>
      <c r="AN128"/>
      <c r="AO128"/>
      <c r="AP128"/>
    </row>
    <row r="129" spans="2:42">
      <c r="B129" s="98">
        <f t="shared" si="19"/>
        <v>127</v>
      </c>
      <c r="C129" s="126">
        <f ca="1" t="shared" si="20"/>
        <v>266</v>
      </c>
      <c r="D129" s="126">
        <f ca="1" t="shared" si="21"/>
        <v>20</v>
      </c>
      <c r="E129" s="126">
        <f ca="1" t="shared" si="22"/>
        <v>10</v>
      </c>
      <c r="F129" s="126">
        <f ca="1" t="shared" si="23"/>
        <v>1.5</v>
      </c>
      <c r="G129" s="126">
        <f ca="1" t="shared" si="24"/>
        <v>0.125</v>
      </c>
      <c r="H129" s="126">
        <f ca="1" t="shared" si="25"/>
        <v>0.013</v>
      </c>
      <c r="J129" s="97">
        <f t="shared" si="26"/>
        <v>127</v>
      </c>
      <c r="K129" s="106">
        <f ca="1" t="shared" si="18"/>
        <v>266</v>
      </c>
      <c r="L129" s="126">
        <f ca="1" t="shared" si="27"/>
        <v>40</v>
      </c>
      <c r="M129" s="126">
        <f ca="1" t="shared" si="28"/>
        <v>1</v>
      </c>
      <c r="N129" s="126">
        <f ca="1" t="shared" si="29"/>
        <v>6</v>
      </c>
      <c r="O129" s="126">
        <f ca="1" t="shared" si="30"/>
        <v>5</v>
      </c>
      <c r="P129" s="126">
        <f ca="1" t="shared" si="31"/>
        <v>1</v>
      </c>
      <c r="Q129" s="126">
        <f ca="1" t="shared" si="32"/>
        <v>0.5</v>
      </c>
      <c r="R129" s="126">
        <f ca="1" t="shared" si="33"/>
        <v>2</v>
      </c>
      <c r="S129" s="126"/>
      <c r="AG129"/>
      <c r="AH129"/>
      <c r="AI129"/>
      <c r="AJ129"/>
      <c r="AK129"/>
      <c r="AL129"/>
      <c r="AM129"/>
      <c r="AN129"/>
      <c r="AO129"/>
      <c r="AP129"/>
    </row>
    <row r="130" spans="2:42">
      <c r="B130" s="98">
        <f t="shared" si="19"/>
        <v>128</v>
      </c>
      <c r="C130" s="126">
        <f ca="1" t="shared" si="20"/>
        <v>267</v>
      </c>
      <c r="D130" s="126">
        <f ca="1" t="shared" si="21"/>
        <v>20</v>
      </c>
      <c r="E130" s="126">
        <f ca="1" t="shared" si="22"/>
        <v>10</v>
      </c>
      <c r="F130" s="126">
        <f ca="1" t="shared" si="23"/>
        <v>1.5</v>
      </c>
      <c r="G130" s="126">
        <f ca="1" t="shared" si="24"/>
        <v>0.125</v>
      </c>
      <c r="H130" s="126">
        <f ca="1" t="shared" si="25"/>
        <v>0.013</v>
      </c>
      <c r="J130" s="97">
        <f t="shared" si="26"/>
        <v>128</v>
      </c>
      <c r="K130" s="106">
        <f ca="1" t="shared" si="18"/>
        <v>267</v>
      </c>
      <c r="L130" s="126">
        <f ca="1" t="shared" si="27"/>
        <v>40</v>
      </c>
      <c r="M130" s="126">
        <f ca="1" t="shared" si="28"/>
        <v>1</v>
      </c>
      <c r="N130" s="126">
        <f ca="1" t="shared" si="29"/>
        <v>6</v>
      </c>
      <c r="O130" s="126">
        <f ca="1" t="shared" si="30"/>
        <v>5</v>
      </c>
      <c r="P130" s="126">
        <f ca="1" t="shared" si="31"/>
        <v>1</v>
      </c>
      <c r="Q130" s="126">
        <f ca="1" t="shared" si="32"/>
        <v>0.5</v>
      </c>
      <c r="R130" s="126">
        <f ca="1" t="shared" si="33"/>
        <v>2</v>
      </c>
      <c r="S130" s="126"/>
      <c r="AG130"/>
      <c r="AH130"/>
      <c r="AI130"/>
      <c r="AJ130"/>
      <c r="AK130"/>
      <c r="AL130"/>
      <c r="AM130"/>
      <c r="AN130"/>
      <c r="AO130"/>
      <c r="AP130"/>
    </row>
    <row r="131" spans="2:42">
      <c r="B131" s="98">
        <f t="shared" si="19"/>
        <v>129</v>
      </c>
      <c r="C131" s="126">
        <f ca="1" t="shared" si="20"/>
        <v>268</v>
      </c>
      <c r="D131" s="126">
        <f ca="1" t="shared" si="21"/>
        <v>20</v>
      </c>
      <c r="E131" s="126">
        <f ca="1" t="shared" si="22"/>
        <v>10</v>
      </c>
      <c r="F131" s="126">
        <f ca="1" t="shared" si="23"/>
        <v>1.5</v>
      </c>
      <c r="G131" s="126">
        <f ca="1" t="shared" si="24"/>
        <v>0.125</v>
      </c>
      <c r="H131" s="126">
        <f ca="1" t="shared" si="25"/>
        <v>0.013</v>
      </c>
      <c r="J131" s="97">
        <f t="shared" si="26"/>
        <v>129</v>
      </c>
      <c r="K131" s="106">
        <f ca="1" t="shared" ref="K131:K194" si="34">OFFSET($B$310,$B131,MATCH(K$1&amp;K$2,$C$305:$P$305,0))</f>
        <v>268</v>
      </c>
      <c r="L131" s="126">
        <f ca="1" t="shared" si="27"/>
        <v>40</v>
      </c>
      <c r="M131" s="126">
        <f ca="1" t="shared" si="28"/>
        <v>1</v>
      </c>
      <c r="N131" s="126">
        <f ca="1" t="shared" si="29"/>
        <v>6</v>
      </c>
      <c r="O131" s="126">
        <f ca="1" t="shared" si="30"/>
        <v>5</v>
      </c>
      <c r="P131" s="126">
        <f ca="1" t="shared" si="31"/>
        <v>1</v>
      </c>
      <c r="Q131" s="126">
        <f ca="1" t="shared" si="32"/>
        <v>0.5</v>
      </c>
      <c r="R131" s="126">
        <f ca="1" t="shared" si="33"/>
        <v>2</v>
      </c>
      <c r="S131" s="126"/>
      <c r="AG131"/>
      <c r="AH131"/>
      <c r="AI131"/>
      <c r="AJ131"/>
      <c r="AK131"/>
      <c r="AL131"/>
      <c r="AM131"/>
      <c r="AN131"/>
      <c r="AO131"/>
      <c r="AP131"/>
    </row>
    <row r="132" spans="2:42">
      <c r="B132" s="98">
        <f t="shared" ref="B132:B195" si="35">B131+1</f>
        <v>130</v>
      </c>
      <c r="C132" s="126">
        <f ca="1" t="shared" ref="C132:C195" si="36">OFFSET($B$310,$B132,MATCH(C$1&amp;C$2,$C$305:$P$305,0))</f>
        <v>269</v>
      </c>
      <c r="D132" s="126">
        <f ca="1" t="shared" ref="D132:D195" si="37">OFFSET($B$310,$B132,MATCH(D$1&amp;D$2,$C$305:$P$305,0))</f>
        <v>20</v>
      </c>
      <c r="E132" s="126">
        <f ca="1" t="shared" ref="E132:E195" si="38">OFFSET($B$310,$B132,MATCH(E$1&amp;E$2,$C$305:$P$305,0))</f>
        <v>10</v>
      </c>
      <c r="F132" s="126">
        <f ca="1" t="shared" ref="F132:F195" si="39">OFFSET($B$310,$B132,MATCH(F$1&amp;F$2,$C$305:$P$305,0))</f>
        <v>1.5</v>
      </c>
      <c r="G132" s="126">
        <f ca="1" t="shared" ref="G132:G195" si="40">OFFSET($B$310,$B132,MATCH(G$1&amp;G$2,$C$305:$P$305,0))</f>
        <v>0.125</v>
      </c>
      <c r="H132" s="126">
        <f ca="1" t="shared" ref="H132:H195" si="41">OFFSET($B$310,$B132,MATCH(H$1&amp;H$2,$C$305:$P$305,0))</f>
        <v>0.013</v>
      </c>
      <c r="J132" s="97">
        <f t="shared" ref="J132:J195" si="42">J131+1</f>
        <v>130</v>
      </c>
      <c r="K132" s="106">
        <f ca="1" t="shared" si="34"/>
        <v>269</v>
      </c>
      <c r="L132" s="126">
        <f ca="1" t="shared" ref="L132:L195" si="43">OFFSET($B$310,$B132,MATCH(L$1&amp;L$2,$C$305:$P$305,0))</f>
        <v>40</v>
      </c>
      <c r="M132" s="126">
        <f ca="1" t="shared" ref="M132:M195" si="44">OFFSET($B$310,$B132,MATCH(M$1&amp;M$2,$C$305:$P$305,0))</f>
        <v>1</v>
      </c>
      <c r="N132" s="126">
        <f ca="1" t="shared" ref="N132:N195" si="45">OFFSET($B$310,$B132,MATCH(N$1&amp;N$2,$C$305:$P$305,0))</f>
        <v>6</v>
      </c>
      <c r="O132" s="126">
        <f ca="1" t="shared" ref="O132:O195" si="46">OFFSET($B$310,$B132,MATCH(O$1&amp;O$2,$C$305:$P$305,0))</f>
        <v>5</v>
      </c>
      <c r="P132" s="126">
        <f ca="1" t="shared" ref="P132:P195" si="47">OFFSET($B$310,$B132,MATCH(P$1&amp;P$2,$C$305:$P$305,0))</f>
        <v>1</v>
      </c>
      <c r="Q132" s="126">
        <f ca="1" t="shared" ref="Q132:Q195" si="48">OFFSET($B$310,$B132,MATCH(Q$1&amp;Q$2,$C$305:$P$305,0))</f>
        <v>0.5</v>
      </c>
      <c r="R132" s="126">
        <f ca="1" t="shared" ref="R132:R195" si="49">OFFSET($B$310,$B132,MATCH(R$1&amp;R$2,$C$305:$P$305,0))</f>
        <v>2</v>
      </c>
      <c r="S132" s="126"/>
      <c r="AG132"/>
      <c r="AH132"/>
      <c r="AI132"/>
      <c r="AJ132"/>
      <c r="AK132"/>
      <c r="AL132"/>
      <c r="AM132"/>
      <c r="AN132"/>
      <c r="AO132"/>
      <c r="AP132"/>
    </row>
    <row r="133" spans="2:42">
      <c r="B133" s="98">
        <f t="shared" si="35"/>
        <v>131</v>
      </c>
      <c r="C133" s="126">
        <f ca="1" t="shared" si="36"/>
        <v>270</v>
      </c>
      <c r="D133" s="126">
        <f ca="1" t="shared" si="37"/>
        <v>20</v>
      </c>
      <c r="E133" s="126">
        <f ca="1" t="shared" si="38"/>
        <v>10</v>
      </c>
      <c r="F133" s="126">
        <f ca="1" t="shared" si="39"/>
        <v>1.5</v>
      </c>
      <c r="G133" s="126">
        <f ca="1" t="shared" si="40"/>
        <v>0.125</v>
      </c>
      <c r="H133" s="126">
        <f ca="1" t="shared" si="41"/>
        <v>0.013</v>
      </c>
      <c r="J133" s="97">
        <f t="shared" si="42"/>
        <v>131</v>
      </c>
      <c r="K133" s="106">
        <f ca="1" t="shared" si="34"/>
        <v>270</v>
      </c>
      <c r="L133" s="126">
        <f ca="1" t="shared" si="43"/>
        <v>40</v>
      </c>
      <c r="M133" s="126">
        <f ca="1" t="shared" si="44"/>
        <v>1</v>
      </c>
      <c r="N133" s="126">
        <f ca="1" t="shared" si="45"/>
        <v>6</v>
      </c>
      <c r="O133" s="126">
        <f ca="1" t="shared" si="46"/>
        <v>5</v>
      </c>
      <c r="P133" s="126">
        <f ca="1" t="shared" si="47"/>
        <v>1</v>
      </c>
      <c r="Q133" s="126">
        <f ca="1" t="shared" si="48"/>
        <v>0.5</v>
      </c>
      <c r="R133" s="126">
        <f ca="1" t="shared" si="49"/>
        <v>2</v>
      </c>
      <c r="S133" s="126"/>
      <c r="AG133"/>
      <c r="AH133"/>
      <c r="AI133"/>
      <c r="AJ133"/>
      <c r="AK133"/>
      <c r="AL133"/>
      <c r="AM133"/>
      <c r="AN133"/>
      <c r="AO133"/>
      <c r="AP133"/>
    </row>
    <row r="134" spans="2:42">
      <c r="B134" s="98">
        <f t="shared" si="35"/>
        <v>132</v>
      </c>
      <c r="C134" s="126">
        <f ca="1" t="shared" si="36"/>
        <v>271</v>
      </c>
      <c r="D134" s="126">
        <f ca="1" t="shared" si="37"/>
        <v>20</v>
      </c>
      <c r="E134" s="126">
        <f ca="1" t="shared" si="38"/>
        <v>10</v>
      </c>
      <c r="F134" s="126">
        <f ca="1" t="shared" si="39"/>
        <v>1.5</v>
      </c>
      <c r="G134" s="126">
        <f ca="1" t="shared" si="40"/>
        <v>0.125</v>
      </c>
      <c r="H134" s="126">
        <f ca="1" t="shared" si="41"/>
        <v>0.013</v>
      </c>
      <c r="J134" s="97">
        <f t="shared" si="42"/>
        <v>132</v>
      </c>
      <c r="K134" s="106">
        <f ca="1" t="shared" si="34"/>
        <v>271</v>
      </c>
      <c r="L134" s="126">
        <f ca="1" t="shared" si="43"/>
        <v>40</v>
      </c>
      <c r="M134" s="126">
        <f ca="1" t="shared" si="44"/>
        <v>1</v>
      </c>
      <c r="N134" s="126">
        <f ca="1" t="shared" si="45"/>
        <v>6</v>
      </c>
      <c r="O134" s="126">
        <f ca="1" t="shared" si="46"/>
        <v>5</v>
      </c>
      <c r="P134" s="126">
        <f ca="1" t="shared" si="47"/>
        <v>1</v>
      </c>
      <c r="Q134" s="126">
        <f ca="1" t="shared" si="48"/>
        <v>0.5</v>
      </c>
      <c r="R134" s="126">
        <f ca="1" t="shared" si="49"/>
        <v>2</v>
      </c>
      <c r="S134" s="126"/>
      <c r="AG134"/>
      <c r="AH134"/>
      <c r="AI134"/>
      <c r="AJ134"/>
      <c r="AK134"/>
      <c r="AL134"/>
      <c r="AM134"/>
      <c r="AN134"/>
      <c r="AO134"/>
      <c r="AP134"/>
    </row>
    <row r="135" spans="2:42">
      <c r="B135" s="98">
        <f t="shared" si="35"/>
        <v>133</v>
      </c>
      <c r="C135" s="126">
        <f ca="1" t="shared" si="36"/>
        <v>272</v>
      </c>
      <c r="D135" s="126">
        <f ca="1" t="shared" si="37"/>
        <v>20</v>
      </c>
      <c r="E135" s="126">
        <f ca="1" t="shared" si="38"/>
        <v>10</v>
      </c>
      <c r="F135" s="126">
        <f ca="1" t="shared" si="39"/>
        <v>1.5</v>
      </c>
      <c r="G135" s="126">
        <f ca="1" t="shared" si="40"/>
        <v>0.125</v>
      </c>
      <c r="H135" s="126">
        <f ca="1" t="shared" si="41"/>
        <v>0.013</v>
      </c>
      <c r="J135" s="97">
        <f t="shared" si="42"/>
        <v>133</v>
      </c>
      <c r="K135" s="106">
        <f ca="1" t="shared" si="34"/>
        <v>272</v>
      </c>
      <c r="L135" s="126">
        <f ca="1" t="shared" si="43"/>
        <v>40</v>
      </c>
      <c r="M135" s="126">
        <f ca="1" t="shared" si="44"/>
        <v>1</v>
      </c>
      <c r="N135" s="126">
        <f ca="1" t="shared" si="45"/>
        <v>6</v>
      </c>
      <c r="O135" s="126">
        <f ca="1" t="shared" si="46"/>
        <v>5</v>
      </c>
      <c r="P135" s="126">
        <f ca="1" t="shared" si="47"/>
        <v>1</v>
      </c>
      <c r="Q135" s="126">
        <f ca="1" t="shared" si="48"/>
        <v>0.5</v>
      </c>
      <c r="R135" s="126">
        <f ca="1" t="shared" si="49"/>
        <v>2</v>
      </c>
      <c r="S135" s="126"/>
      <c r="AG135"/>
      <c r="AH135"/>
      <c r="AI135"/>
      <c r="AJ135"/>
      <c r="AK135"/>
      <c r="AL135"/>
      <c r="AM135"/>
      <c r="AN135"/>
      <c r="AO135"/>
      <c r="AP135"/>
    </row>
    <row r="136" spans="2:42">
      <c r="B136" s="98">
        <f t="shared" si="35"/>
        <v>134</v>
      </c>
      <c r="C136" s="126">
        <f ca="1" t="shared" si="36"/>
        <v>273</v>
      </c>
      <c r="D136" s="126">
        <f ca="1" t="shared" si="37"/>
        <v>20</v>
      </c>
      <c r="E136" s="126">
        <f ca="1" t="shared" si="38"/>
        <v>10</v>
      </c>
      <c r="F136" s="126">
        <f ca="1" t="shared" si="39"/>
        <v>1.5</v>
      </c>
      <c r="G136" s="126">
        <f ca="1" t="shared" si="40"/>
        <v>0.125</v>
      </c>
      <c r="H136" s="126">
        <f ca="1" t="shared" si="41"/>
        <v>0.013</v>
      </c>
      <c r="J136" s="97">
        <f t="shared" si="42"/>
        <v>134</v>
      </c>
      <c r="K136" s="106">
        <f ca="1" t="shared" si="34"/>
        <v>273</v>
      </c>
      <c r="L136" s="126">
        <f ca="1" t="shared" si="43"/>
        <v>40</v>
      </c>
      <c r="M136" s="126">
        <f ca="1" t="shared" si="44"/>
        <v>1</v>
      </c>
      <c r="N136" s="126">
        <f ca="1" t="shared" si="45"/>
        <v>6</v>
      </c>
      <c r="O136" s="126">
        <f ca="1" t="shared" si="46"/>
        <v>5</v>
      </c>
      <c r="P136" s="126">
        <f ca="1" t="shared" si="47"/>
        <v>1</v>
      </c>
      <c r="Q136" s="126">
        <f ca="1" t="shared" si="48"/>
        <v>0.5</v>
      </c>
      <c r="R136" s="126">
        <f ca="1" t="shared" si="49"/>
        <v>2</v>
      </c>
      <c r="S136" s="126"/>
      <c r="AG136"/>
      <c r="AH136"/>
      <c r="AI136"/>
      <c r="AJ136"/>
      <c r="AK136"/>
      <c r="AL136"/>
      <c r="AM136"/>
      <c r="AN136"/>
      <c r="AO136"/>
      <c r="AP136"/>
    </row>
    <row r="137" spans="2:42">
      <c r="B137" s="98">
        <f t="shared" si="35"/>
        <v>135</v>
      </c>
      <c r="C137" s="126">
        <f ca="1" t="shared" si="36"/>
        <v>274</v>
      </c>
      <c r="D137" s="126">
        <f ca="1" t="shared" si="37"/>
        <v>20</v>
      </c>
      <c r="E137" s="126">
        <f ca="1" t="shared" si="38"/>
        <v>10</v>
      </c>
      <c r="F137" s="126">
        <f ca="1" t="shared" si="39"/>
        <v>1.5</v>
      </c>
      <c r="G137" s="126">
        <f ca="1" t="shared" si="40"/>
        <v>0.125</v>
      </c>
      <c r="H137" s="126">
        <f ca="1" t="shared" si="41"/>
        <v>0.013</v>
      </c>
      <c r="J137" s="97">
        <f t="shared" si="42"/>
        <v>135</v>
      </c>
      <c r="K137" s="106">
        <f ca="1" t="shared" si="34"/>
        <v>274</v>
      </c>
      <c r="L137" s="126">
        <f ca="1" t="shared" si="43"/>
        <v>40</v>
      </c>
      <c r="M137" s="126">
        <f ca="1" t="shared" si="44"/>
        <v>1</v>
      </c>
      <c r="N137" s="126">
        <f ca="1" t="shared" si="45"/>
        <v>6</v>
      </c>
      <c r="O137" s="126">
        <f ca="1" t="shared" si="46"/>
        <v>5</v>
      </c>
      <c r="P137" s="126">
        <f ca="1" t="shared" si="47"/>
        <v>1</v>
      </c>
      <c r="Q137" s="126">
        <f ca="1" t="shared" si="48"/>
        <v>0.5</v>
      </c>
      <c r="R137" s="126">
        <f ca="1" t="shared" si="49"/>
        <v>2</v>
      </c>
      <c r="S137" s="126"/>
      <c r="AG137"/>
      <c r="AH137"/>
      <c r="AI137"/>
      <c r="AJ137"/>
      <c r="AK137"/>
      <c r="AL137"/>
      <c r="AM137"/>
      <c r="AN137"/>
      <c r="AO137"/>
      <c r="AP137"/>
    </row>
    <row r="138" spans="2:42">
      <c r="B138" s="98">
        <f t="shared" si="35"/>
        <v>136</v>
      </c>
      <c r="C138" s="126">
        <f ca="1" t="shared" si="36"/>
        <v>275</v>
      </c>
      <c r="D138" s="126">
        <f ca="1" t="shared" si="37"/>
        <v>20</v>
      </c>
      <c r="E138" s="126">
        <f ca="1" t="shared" si="38"/>
        <v>10</v>
      </c>
      <c r="F138" s="126">
        <f ca="1" t="shared" si="39"/>
        <v>1.5</v>
      </c>
      <c r="G138" s="126">
        <f ca="1" t="shared" si="40"/>
        <v>0.125</v>
      </c>
      <c r="H138" s="126">
        <f ca="1" t="shared" si="41"/>
        <v>0.013</v>
      </c>
      <c r="J138" s="97">
        <f t="shared" si="42"/>
        <v>136</v>
      </c>
      <c r="K138" s="106">
        <f ca="1" t="shared" si="34"/>
        <v>275</v>
      </c>
      <c r="L138" s="126">
        <f ca="1" t="shared" si="43"/>
        <v>40</v>
      </c>
      <c r="M138" s="126">
        <f ca="1" t="shared" si="44"/>
        <v>1</v>
      </c>
      <c r="N138" s="126">
        <f ca="1" t="shared" si="45"/>
        <v>6</v>
      </c>
      <c r="O138" s="126">
        <f ca="1" t="shared" si="46"/>
        <v>5</v>
      </c>
      <c r="P138" s="126">
        <f ca="1" t="shared" si="47"/>
        <v>1</v>
      </c>
      <c r="Q138" s="126">
        <f ca="1" t="shared" si="48"/>
        <v>0.5</v>
      </c>
      <c r="R138" s="126">
        <f ca="1" t="shared" si="49"/>
        <v>2</v>
      </c>
      <c r="S138" s="126"/>
      <c r="AG138"/>
      <c r="AH138"/>
      <c r="AI138"/>
      <c r="AJ138"/>
      <c r="AK138"/>
      <c r="AL138"/>
      <c r="AM138"/>
      <c r="AN138"/>
      <c r="AO138"/>
      <c r="AP138"/>
    </row>
    <row r="139" spans="2:42">
      <c r="B139" s="98">
        <f t="shared" si="35"/>
        <v>137</v>
      </c>
      <c r="C139" s="126">
        <f ca="1" t="shared" si="36"/>
        <v>276</v>
      </c>
      <c r="D139" s="126">
        <f ca="1" t="shared" si="37"/>
        <v>20</v>
      </c>
      <c r="E139" s="126">
        <f ca="1" t="shared" si="38"/>
        <v>10</v>
      </c>
      <c r="F139" s="126">
        <f ca="1" t="shared" si="39"/>
        <v>1.5</v>
      </c>
      <c r="G139" s="126">
        <f ca="1" t="shared" si="40"/>
        <v>0.125</v>
      </c>
      <c r="H139" s="126">
        <f ca="1" t="shared" si="41"/>
        <v>0.013</v>
      </c>
      <c r="J139" s="97">
        <f t="shared" si="42"/>
        <v>137</v>
      </c>
      <c r="K139" s="106">
        <f ca="1" t="shared" si="34"/>
        <v>276</v>
      </c>
      <c r="L139" s="126">
        <f ca="1" t="shared" si="43"/>
        <v>40</v>
      </c>
      <c r="M139" s="126">
        <f ca="1" t="shared" si="44"/>
        <v>1</v>
      </c>
      <c r="N139" s="126">
        <f ca="1" t="shared" si="45"/>
        <v>6</v>
      </c>
      <c r="O139" s="126">
        <f ca="1" t="shared" si="46"/>
        <v>5</v>
      </c>
      <c r="P139" s="126">
        <f ca="1" t="shared" si="47"/>
        <v>1</v>
      </c>
      <c r="Q139" s="126">
        <f ca="1" t="shared" si="48"/>
        <v>0.5</v>
      </c>
      <c r="R139" s="126">
        <f ca="1" t="shared" si="49"/>
        <v>2</v>
      </c>
      <c r="S139" s="126"/>
      <c r="AG139"/>
      <c r="AH139"/>
      <c r="AI139"/>
      <c r="AJ139"/>
      <c r="AK139"/>
      <c r="AL139"/>
      <c r="AM139"/>
      <c r="AN139"/>
      <c r="AO139"/>
      <c r="AP139"/>
    </row>
    <row r="140" spans="2:42">
      <c r="B140" s="98">
        <f t="shared" si="35"/>
        <v>138</v>
      </c>
      <c r="C140" s="126">
        <f ca="1" t="shared" si="36"/>
        <v>277</v>
      </c>
      <c r="D140" s="126">
        <f ca="1" t="shared" si="37"/>
        <v>20</v>
      </c>
      <c r="E140" s="126">
        <f ca="1" t="shared" si="38"/>
        <v>10</v>
      </c>
      <c r="F140" s="126">
        <f ca="1" t="shared" si="39"/>
        <v>1.5</v>
      </c>
      <c r="G140" s="126">
        <f ca="1" t="shared" si="40"/>
        <v>0.125</v>
      </c>
      <c r="H140" s="126">
        <f ca="1" t="shared" si="41"/>
        <v>0.013</v>
      </c>
      <c r="J140" s="97">
        <f t="shared" si="42"/>
        <v>138</v>
      </c>
      <c r="K140" s="106">
        <f ca="1" t="shared" si="34"/>
        <v>277</v>
      </c>
      <c r="L140" s="126">
        <f ca="1" t="shared" si="43"/>
        <v>40</v>
      </c>
      <c r="M140" s="126">
        <f ca="1" t="shared" si="44"/>
        <v>1</v>
      </c>
      <c r="N140" s="126">
        <f ca="1" t="shared" si="45"/>
        <v>6</v>
      </c>
      <c r="O140" s="126">
        <f ca="1" t="shared" si="46"/>
        <v>5</v>
      </c>
      <c r="P140" s="126">
        <f ca="1" t="shared" si="47"/>
        <v>1</v>
      </c>
      <c r="Q140" s="126">
        <f ca="1" t="shared" si="48"/>
        <v>0.5</v>
      </c>
      <c r="R140" s="126">
        <f ca="1" t="shared" si="49"/>
        <v>2</v>
      </c>
      <c r="S140" s="126"/>
      <c r="AG140"/>
      <c r="AH140"/>
      <c r="AI140"/>
      <c r="AJ140"/>
      <c r="AK140"/>
      <c r="AL140"/>
      <c r="AM140"/>
      <c r="AN140"/>
      <c r="AO140"/>
      <c r="AP140"/>
    </row>
    <row r="141" spans="2:42">
      <c r="B141" s="98">
        <f t="shared" si="35"/>
        <v>139</v>
      </c>
      <c r="C141" s="126">
        <f ca="1" t="shared" si="36"/>
        <v>278</v>
      </c>
      <c r="D141" s="126">
        <f ca="1" t="shared" si="37"/>
        <v>20</v>
      </c>
      <c r="E141" s="126">
        <f ca="1" t="shared" si="38"/>
        <v>10</v>
      </c>
      <c r="F141" s="126">
        <f ca="1" t="shared" si="39"/>
        <v>1.5</v>
      </c>
      <c r="G141" s="126">
        <f ca="1" t="shared" si="40"/>
        <v>0.125</v>
      </c>
      <c r="H141" s="126">
        <f ca="1" t="shared" si="41"/>
        <v>0.013</v>
      </c>
      <c r="J141" s="97">
        <f t="shared" si="42"/>
        <v>139</v>
      </c>
      <c r="K141" s="106">
        <f ca="1" t="shared" si="34"/>
        <v>278</v>
      </c>
      <c r="L141" s="126">
        <f ca="1" t="shared" si="43"/>
        <v>40</v>
      </c>
      <c r="M141" s="126">
        <f ca="1" t="shared" si="44"/>
        <v>1</v>
      </c>
      <c r="N141" s="126">
        <f ca="1" t="shared" si="45"/>
        <v>6</v>
      </c>
      <c r="O141" s="126">
        <f ca="1" t="shared" si="46"/>
        <v>5</v>
      </c>
      <c r="P141" s="126">
        <f ca="1" t="shared" si="47"/>
        <v>1</v>
      </c>
      <c r="Q141" s="126">
        <f ca="1" t="shared" si="48"/>
        <v>0.5</v>
      </c>
      <c r="R141" s="126">
        <f ca="1" t="shared" si="49"/>
        <v>2</v>
      </c>
      <c r="S141" s="126"/>
      <c r="AG141"/>
      <c r="AH141"/>
      <c r="AI141"/>
      <c r="AJ141"/>
      <c r="AK141"/>
      <c r="AL141"/>
      <c r="AM141"/>
      <c r="AN141"/>
      <c r="AO141"/>
      <c r="AP141"/>
    </row>
    <row r="142" spans="2:42">
      <c r="B142" s="98">
        <f t="shared" si="35"/>
        <v>140</v>
      </c>
      <c r="C142" s="126">
        <f ca="1" t="shared" si="36"/>
        <v>279</v>
      </c>
      <c r="D142" s="126">
        <f ca="1" t="shared" si="37"/>
        <v>20</v>
      </c>
      <c r="E142" s="126">
        <f ca="1" t="shared" si="38"/>
        <v>10</v>
      </c>
      <c r="F142" s="126">
        <f ca="1" t="shared" si="39"/>
        <v>1.5</v>
      </c>
      <c r="G142" s="126">
        <f ca="1" t="shared" si="40"/>
        <v>0.125</v>
      </c>
      <c r="H142" s="126">
        <f ca="1" t="shared" si="41"/>
        <v>0.013</v>
      </c>
      <c r="J142" s="97">
        <f t="shared" si="42"/>
        <v>140</v>
      </c>
      <c r="K142" s="106">
        <f ca="1" t="shared" si="34"/>
        <v>279</v>
      </c>
      <c r="L142" s="126">
        <f ca="1" t="shared" si="43"/>
        <v>40</v>
      </c>
      <c r="M142" s="126">
        <f ca="1" t="shared" si="44"/>
        <v>1</v>
      </c>
      <c r="N142" s="126">
        <f ca="1" t="shared" si="45"/>
        <v>6</v>
      </c>
      <c r="O142" s="126">
        <f ca="1" t="shared" si="46"/>
        <v>5</v>
      </c>
      <c r="P142" s="126">
        <f ca="1" t="shared" si="47"/>
        <v>1</v>
      </c>
      <c r="Q142" s="126">
        <f ca="1" t="shared" si="48"/>
        <v>0.5</v>
      </c>
      <c r="R142" s="126">
        <f ca="1" t="shared" si="49"/>
        <v>2</v>
      </c>
      <c r="S142" s="126"/>
      <c r="AG142"/>
      <c r="AH142"/>
      <c r="AI142"/>
      <c r="AJ142"/>
      <c r="AK142"/>
      <c r="AL142"/>
      <c r="AM142"/>
      <c r="AN142"/>
      <c r="AO142"/>
      <c r="AP142"/>
    </row>
    <row r="143" spans="2:42">
      <c r="B143" s="98">
        <f t="shared" si="35"/>
        <v>141</v>
      </c>
      <c r="C143" s="126">
        <f ca="1" t="shared" si="36"/>
        <v>280</v>
      </c>
      <c r="D143" s="126">
        <f ca="1" t="shared" si="37"/>
        <v>20</v>
      </c>
      <c r="E143" s="126">
        <f ca="1" t="shared" si="38"/>
        <v>10</v>
      </c>
      <c r="F143" s="126">
        <f ca="1" t="shared" si="39"/>
        <v>1.5</v>
      </c>
      <c r="G143" s="126">
        <f ca="1" t="shared" si="40"/>
        <v>0.125</v>
      </c>
      <c r="H143" s="126">
        <f ca="1" t="shared" si="41"/>
        <v>0.013</v>
      </c>
      <c r="J143" s="97">
        <f t="shared" si="42"/>
        <v>141</v>
      </c>
      <c r="K143" s="106">
        <f ca="1" t="shared" si="34"/>
        <v>280</v>
      </c>
      <c r="L143" s="126">
        <f ca="1" t="shared" si="43"/>
        <v>40</v>
      </c>
      <c r="M143" s="126">
        <f ca="1" t="shared" si="44"/>
        <v>1</v>
      </c>
      <c r="N143" s="126">
        <f ca="1" t="shared" si="45"/>
        <v>6</v>
      </c>
      <c r="O143" s="126">
        <f ca="1" t="shared" si="46"/>
        <v>5</v>
      </c>
      <c r="P143" s="126">
        <f ca="1" t="shared" si="47"/>
        <v>1</v>
      </c>
      <c r="Q143" s="126">
        <f ca="1" t="shared" si="48"/>
        <v>0.5</v>
      </c>
      <c r="R143" s="126">
        <f ca="1" t="shared" si="49"/>
        <v>2</v>
      </c>
      <c r="S143" s="126"/>
      <c r="AG143"/>
      <c r="AH143"/>
      <c r="AI143"/>
      <c r="AJ143"/>
      <c r="AK143"/>
      <c r="AL143"/>
      <c r="AM143"/>
      <c r="AN143"/>
      <c r="AO143"/>
      <c r="AP143"/>
    </row>
    <row r="144" spans="2:42">
      <c r="B144" s="98">
        <f t="shared" si="35"/>
        <v>142</v>
      </c>
      <c r="C144" s="126">
        <f ca="1" t="shared" si="36"/>
        <v>281</v>
      </c>
      <c r="D144" s="126">
        <f ca="1" t="shared" si="37"/>
        <v>20</v>
      </c>
      <c r="E144" s="126">
        <f ca="1" t="shared" si="38"/>
        <v>10</v>
      </c>
      <c r="F144" s="126">
        <f ca="1" t="shared" si="39"/>
        <v>1.5</v>
      </c>
      <c r="G144" s="126">
        <f ca="1" t="shared" si="40"/>
        <v>0.125</v>
      </c>
      <c r="H144" s="126">
        <f ca="1" t="shared" si="41"/>
        <v>0.013</v>
      </c>
      <c r="J144" s="97">
        <f t="shared" si="42"/>
        <v>142</v>
      </c>
      <c r="K144" s="106">
        <f ca="1" t="shared" si="34"/>
        <v>281</v>
      </c>
      <c r="L144" s="126">
        <f ca="1" t="shared" si="43"/>
        <v>40</v>
      </c>
      <c r="M144" s="126">
        <f ca="1" t="shared" si="44"/>
        <v>1</v>
      </c>
      <c r="N144" s="126">
        <f ca="1" t="shared" si="45"/>
        <v>6</v>
      </c>
      <c r="O144" s="126">
        <f ca="1" t="shared" si="46"/>
        <v>5</v>
      </c>
      <c r="P144" s="126">
        <f ca="1" t="shared" si="47"/>
        <v>1</v>
      </c>
      <c r="Q144" s="126">
        <f ca="1" t="shared" si="48"/>
        <v>0.5</v>
      </c>
      <c r="R144" s="126">
        <f ca="1" t="shared" si="49"/>
        <v>2</v>
      </c>
      <c r="S144" s="126"/>
      <c r="AG144"/>
      <c r="AH144"/>
      <c r="AI144"/>
      <c r="AJ144"/>
      <c r="AK144"/>
      <c r="AL144"/>
      <c r="AM144"/>
      <c r="AN144"/>
      <c r="AO144"/>
      <c r="AP144"/>
    </row>
    <row r="145" spans="2:42">
      <c r="B145" s="98">
        <f t="shared" si="35"/>
        <v>143</v>
      </c>
      <c r="C145" s="126">
        <f ca="1" t="shared" si="36"/>
        <v>282</v>
      </c>
      <c r="D145" s="126">
        <f ca="1" t="shared" si="37"/>
        <v>20</v>
      </c>
      <c r="E145" s="126">
        <f ca="1" t="shared" si="38"/>
        <v>10</v>
      </c>
      <c r="F145" s="126">
        <f ca="1" t="shared" si="39"/>
        <v>1.5</v>
      </c>
      <c r="G145" s="126">
        <f ca="1" t="shared" si="40"/>
        <v>0.125</v>
      </c>
      <c r="H145" s="126">
        <f ca="1" t="shared" si="41"/>
        <v>0.013</v>
      </c>
      <c r="J145" s="97">
        <f t="shared" si="42"/>
        <v>143</v>
      </c>
      <c r="K145" s="106">
        <f ca="1" t="shared" si="34"/>
        <v>282</v>
      </c>
      <c r="L145" s="126">
        <f ca="1" t="shared" si="43"/>
        <v>40</v>
      </c>
      <c r="M145" s="126">
        <f ca="1" t="shared" si="44"/>
        <v>1</v>
      </c>
      <c r="N145" s="126">
        <f ca="1" t="shared" si="45"/>
        <v>6</v>
      </c>
      <c r="O145" s="126">
        <f ca="1" t="shared" si="46"/>
        <v>5</v>
      </c>
      <c r="P145" s="126">
        <f ca="1" t="shared" si="47"/>
        <v>1</v>
      </c>
      <c r="Q145" s="126">
        <f ca="1" t="shared" si="48"/>
        <v>0.5</v>
      </c>
      <c r="R145" s="126">
        <f ca="1" t="shared" si="49"/>
        <v>2</v>
      </c>
      <c r="S145" s="126"/>
      <c r="AG145"/>
      <c r="AH145"/>
      <c r="AI145"/>
      <c r="AJ145"/>
      <c r="AK145"/>
      <c r="AL145"/>
      <c r="AM145"/>
      <c r="AN145"/>
      <c r="AO145"/>
      <c r="AP145"/>
    </row>
    <row r="146" spans="2:42">
      <c r="B146" s="98">
        <f t="shared" si="35"/>
        <v>144</v>
      </c>
      <c r="C146" s="126">
        <f ca="1" t="shared" si="36"/>
        <v>283</v>
      </c>
      <c r="D146" s="126">
        <f ca="1" t="shared" si="37"/>
        <v>20</v>
      </c>
      <c r="E146" s="126">
        <f ca="1" t="shared" si="38"/>
        <v>10</v>
      </c>
      <c r="F146" s="126">
        <f ca="1" t="shared" si="39"/>
        <v>1.5</v>
      </c>
      <c r="G146" s="126">
        <f ca="1" t="shared" si="40"/>
        <v>0.125</v>
      </c>
      <c r="H146" s="126">
        <f ca="1" t="shared" si="41"/>
        <v>0.013</v>
      </c>
      <c r="J146" s="97">
        <f t="shared" si="42"/>
        <v>144</v>
      </c>
      <c r="K146" s="106">
        <f ca="1" t="shared" si="34"/>
        <v>283</v>
      </c>
      <c r="L146" s="126">
        <f ca="1" t="shared" si="43"/>
        <v>40</v>
      </c>
      <c r="M146" s="126">
        <f ca="1" t="shared" si="44"/>
        <v>1</v>
      </c>
      <c r="N146" s="126">
        <f ca="1" t="shared" si="45"/>
        <v>6</v>
      </c>
      <c r="O146" s="126">
        <f ca="1" t="shared" si="46"/>
        <v>5</v>
      </c>
      <c r="P146" s="126">
        <f ca="1" t="shared" si="47"/>
        <v>1</v>
      </c>
      <c r="Q146" s="126">
        <f ca="1" t="shared" si="48"/>
        <v>0.5</v>
      </c>
      <c r="R146" s="126">
        <f ca="1" t="shared" si="49"/>
        <v>2</v>
      </c>
      <c r="S146" s="126"/>
      <c r="AG146"/>
      <c r="AH146"/>
      <c r="AI146"/>
      <c r="AJ146"/>
      <c r="AK146"/>
      <c r="AL146"/>
      <c r="AM146"/>
      <c r="AN146"/>
      <c r="AO146"/>
      <c r="AP146"/>
    </row>
    <row r="147" spans="2:42">
      <c r="B147" s="98">
        <f t="shared" si="35"/>
        <v>145</v>
      </c>
      <c r="C147" s="126">
        <f ca="1" t="shared" si="36"/>
        <v>284</v>
      </c>
      <c r="D147" s="126">
        <f ca="1" t="shared" si="37"/>
        <v>20</v>
      </c>
      <c r="E147" s="126">
        <f ca="1" t="shared" si="38"/>
        <v>10</v>
      </c>
      <c r="F147" s="126">
        <f ca="1" t="shared" si="39"/>
        <v>1.5</v>
      </c>
      <c r="G147" s="126">
        <f ca="1" t="shared" si="40"/>
        <v>0.125</v>
      </c>
      <c r="H147" s="126">
        <f ca="1" t="shared" si="41"/>
        <v>0.013</v>
      </c>
      <c r="J147" s="97">
        <f t="shared" si="42"/>
        <v>145</v>
      </c>
      <c r="K147" s="106">
        <f ca="1" t="shared" si="34"/>
        <v>284</v>
      </c>
      <c r="L147" s="126">
        <f ca="1" t="shared" si="43"/>
        <v>40</v>
      </c>
      <c r="M147" s="126">
        <f ca="1" t="shared" si="44"/>
        <v>1</v>
      </c>
      <c r="N147" s="126">
        <f ca="1" t="shared" si="45"/>
        <v>6</v>
      </c>
      <c r="O147" s="126">
        <f ca="1" t="shared" si="46"/>
        <v>5</v>
      </c>
      <c r="P147" s="126">
        <f ca="1" t="shared" si="47"/>
        <v>1</v>
      </c>
      <c r="Q147" s="126">
        <f ca="1" t="shared" si="48"/>
        <v>0.5</v>
      </c>
      <c r="R147" s="126">
        <f ca="1" t="shared" si="49"/>
        <v>2</v>
      </c>
      <c r="S147" s="126"/>
      <c r="AG147"/>
      <c r="AH147"/>
      <c r="AI147"/>
      <c r="AJ147"/>
      <c r="AK147"/>
      <c r="AL147"/>
      <c r="AM147"/>
      <c r="AN147"/>
      <c r="AO147"/>
      <c r="AP147"/>
    </row>
    <row r="148" spans="2:42">
      <c r="B148" s="98">
        <f t="shared" si="35"/>
        <v>146</v>
      </c>
      <c r="C148" s="126">
        <f ca="1" t="shared" si="36"/>
        <v>285</v>
      </c>
      <c r="D148" s="126">
        <f ca="1" t="shared" si="37"/>
        <v>20</v>
      </c>
      <c r="E148" s="126">
        <f ca="1" t="shared" si="38"/>
        <v>10</v>
      </c>
      <c r="F148" s="126">
        <f ca="1" t="shared" si="39"/>
        <v>1.5</v>
      </c>
      <c r="G148" s="126">
        <f ca="1" t="shared" si="40"/>
        <v>0.125</v>
      </c>
      <c r="H148" s="126">
        <f ca="1" t="shared" si="41"/>
        <v>0.013</v>
      </c>
      <c r="J148" s="97">
        <f t="shared" si="42"/>
        <v>146</v>
      </c>
      <c r="K148" s="106">
        <f ca="1" t="shared" si="34"/>
        <v>285</v>
      </c>
      <c r="L148" s="126">
        <f ca="1" t="shared" si="43"/>
        <v>40</v>
      </c>
      <c r="M148" s="126">
        <f ca="1" t="shared" si="44"/>
        <v>1</v>
      </c>
      <c r="N148" s="126">
        <f ca="1" t="shared" si="45"/>
        <v>6</v>
      </c>
      <c r="O148" s="126">
        <f ca="1" t="shared" si="46"/>
        <v>5</v>
      </c>
      <c r="P148" s="126">
        <f ca="1" t="shared" si="47"/>
        <v>1</v>
      </c>
      <c r="Q148" s="126">
        <f ca="1" t="shared" si="48"/>
        <v>0.5</v>
      </c>
      <c r="R148" s="126">
        <f ca="1" t="shared" si="49"/>
        <v>2</v>
      </c>
      <c r="S148" s="126"/>
      <c r="AG148"/>
      <c r="AH148"/>
      <c r="AI148"/>
      <c r="AJ148"/>
      <c r="AK148"/>
      <c r="AL148"/>
      <c r="AM148"/>
      <c r="AN148"/>
      <c r="AO148"/>
      <c r="AP148"/>
    </row>
    <row r="149" spans="2:42">
      <c r="B149" s="98">
        <f t="shared" si="35"/>
        <v>147</v>
      </c>
      <c r="C149" s="126">
        <f ca="1" t="shared" si="36"/>
        <v>286</v>
      </c>
      <c r="D149" s="126">
        <f ca="1" t="shared" si="37"/>
        <v>20</v>
      </c>
      <c r="E149" s="126">
        <f ca="1" t="shared" si="38"/>
        <v>10</v>
      </c>
      <c r="F149" s="126">
        <f ca="1" t="shared" si="39"/>
        <v>1.5</v>
      </c>
      <c r="G149" s="126">
        <f ca="1" t="shared" si="40"/>
        <v>0.125</v>
      </c>
      <c r="H149" s="126">
        <f ca="1" t="shared" si="41"/>
        <v>0.013</v>
      </c>
      <c r="J149" s="97">
        <f t="shared" si="42"/>
        <v>147</v>
      </c>
      <c r="K149" s="106">
        <f ca="1" t="shared" si="34"/>
        <v>286</v>
      </c>
      <c r="L149" s="126">
        <f ca="1" t="shared" si="43"/>
        <v>40</v>
      </c>
      <c r="M149" s="126">
        <f ca="1" t="shared" si="44"/>
        <v>1</v>
      </c>
      <c r="N149" s="126">
        <f ca="1" t="shared" si="45"/>
        <v>6</v>
      </c>
      <c r="O149" s="126">
        <f ca="1" t="shared" si="46"/>
        <v>5</v>
      </c>
      <c r="P149" s="126">
        <f ca="1" t="shared" si="47"/>
        <v>1</v>
      </c>
      <c r="Q149" s="126">
        <f ca="1" t="shared" si="48"/>
        <v>0.5</v>
      </c>
      <c r="R149" s="126">
        <f ca="1" t="shared" si="49"/>
        <v>2</v>
      </c>
      <c r="S149" s="126"/>
      <c r="AG149"/>
      <c r="AH149"/>
      <c r="AI149"/>
      <c r="AJ149"/>
      <c r="AK149"/>
      <c r="AL149"/>
      <c r="AM149"/>
      <c r="AN149"/>
      <c r="AO149"/>
      <c r="AP149"/>
    </row>
    <row r="150" spans="2:42">
      <c r="B150" s="98">
        <f t="shared" si="35"/>
        <v>148</v>
      </c>
      <c r="C150" s="126">
        <f ca="1" t="shared" si="36"/>
        <v>287</v>
      </c>
      <c r="D150" s="126">
        <f ca="1" t="shared" si="37"/>
        <v>20</v>
      </c>
      <c r="E150" s="126">
        <f ca="1" t="shared" si="38"/>
        <v>10</v>
      </c>
      <c r="F150" s="126">
        <f ca="1" t="shared" si="39"/>
        <v>1.5</v>
      </c>
      <c r="G150" s="126">
        <f ca="1" t="shared" si="40"/>
        <v>0.125</v>
      </c>
      <c r="H150" s="126">
        <f ca="1" t="shared" si="41"/>
        <v>0.013</v>
      </c>
      <c r="J150" s="97">
        <f t="shared" si="42"/>
        <v>148</v>
      </c>
      <c r="K150" s="106">
        <f ca="1" t="shared" si="34"/>
        <v>287</v>
      </c>
      <c r="L150" s="126">
        <f ca="1" t="shared" si="43"/>
        <v>40</v>
      </c>
      <c r="M150" s="126">
        <f ca="1" t="shared" si="44"/>
        <v>1</v>
      </c>
      <c r="N150" s="126">
        <f ca="1" t="shared" si="45"/>
        <v>6</v>
      </c>
      <c r="O150" s="126">
        <f ca="1" t="shared" si="46"/>
        <v>5</v>
      </c>
      <c r="P150" s="126">
        <f ca="1" t="shared" si="47"/>
        <v>1</v>
      </c>
      <c r="Q150" s="126">
        <f ca="1" t="shared" si="48"/>
        <v>0.5</v>
      </c>
      <c r="R150" s="126">
        <f ca="1" t="shared" si="49"/>
        <v>2</v>
      </c>
      <c r="S150" s="126"/>
      <c r="AG150"/>
      <c r="AH150"/>
      <c r="AI150"/>
      <c r="AJ150"/>
      <c r="AK150"/>
      <c r="AL150"/>
      <c r="AM150"/>
      <c r="AN150"/>
      <c r="AO150"/>
      <c r="AP150"/>
    </row>
    <row r="151" spans="2:42">
      <c r="B151" s="98">
        <f t="shared" si="35"/>
        <v>149</v>
      </c>
      <c r="C151" s="126">
        <f ca="1" t="shared" si="36"/>
        <v>288</v>
      </c>
      <c r="D151" s="126">
        <f ca="1" t="shared" si="37"/>
        <v>20</v>
      </c>
      <c r="E151" s="126">
        <f ca="1" t="shared" si="38"/>
        <v>10</v>
      </c>
      <c r="F151" s="126">
        <f ca="1" t="shared" si="39"/>
        <v>1.5</v>
      </c>
      <c r="G151" s="126">
        <f ca="1" t="shared" si="40"/>
        <v>0.125</v>
      </c>
      <c r="H151" s="126">
        <f ca="1" t="shared" si="41"/>
        <v>0.013</v>
      </c>
      <c r="J151" s="97">
        <f t="shared" si="42"/>
        <v>149</v>
      </c>
      <c r="K151" s="106">
        <f ca="1" t="shared" si="34"/>
        <v>288</v>
      </c>
      <c r="L151" s="126">
        <f ca="1" t="shared" si="43"/>
        <v>40</v>
      </c>
      <c r="M151" s="126">
        <f ca="1" t="shared" si="44"/>
        <v>1</v>
      </c>
      <c r="N151" s="126">
        <f ca="1" t="shared" si="45"/>
        <v>6</v>
      </c>
      <c r="O151" s="126">
        <f ca="1" t="shared" si="46"/>
        <v>5</v>
      </c>
      <c r="P151" s="126">
        <f ca="1" t="shared" si="47"/>
        <v>1</v>
      </c>
      <c r="Q151" s="126">
        <f ca="1" t="shared" si="48"/>
        <v>0.5</v>
      </c>
      <c r="R151" s="126">
        <f ca="1" t="shared" si="49"/>
        <v>2</v>
      </c>
      <c r="S151" s="126"/>
      <c r="AG151"/>
      <c r="AH151"/>
      <c r="AI151"/>
      <c r="AJ151"/>
      <c r="AK151"/>
      <c r="AL151"/>
      <c r="AM151"/>
      <c r="AN151"/>
      <c r="AO151"/>
      <c r="AP151"/>
    </row>
    <row r="152" spans="2:42">
      <c r="B152" s="98">
        <f t="shared" si="35"/>
        <v>150</v>
      </c>
      <c r="C152" s="126">
        <f ca="1" t="shared" si="36"/>
        <v>289</v>
      </c>
      <c r="D152" s="126">
        <f ca="1" t="shared" si="37"/>
        <v>20</v>
      </c>
      <c r="E152" s="126">
        <f ca="1" t="shared" si="38"/>
        <v>10</v>
      </c>
      <c r="F152" s="126">
        <f ca="1" t="shared" si="39"/>
        <v>1.5</v>
      </c>
      <c r="G152" s="126">
        <f ca="1" t="shared" si="40"/>
        <v>0.125</v>
      </c>
      <c r="H152" s="126">
        <f ca="1" t="shared" si="41"/>
        <v>0.013</v>
      </c>
      <c r="J152" s="97">
        <f t="shared" si="42"/>
        <v>150</v>
      </c>
      <c r="K152" s="106">
        <f ca="1" t="shared" si="34"/>
        <v>289</v>
      </c>
      <c r="L152" s="126">
        <f ca="1" t="shared" si="43"/>
        <v>40</v>
      </c>
      <c r="M152" s="126">
        <f ca="1" t="shared" si="44"/>
        <v>1</v>
      </c>
      <c r="N152" s="126">
        <f ca="1" t="shared" si="45"/>
        <v>6</v>
      </c>
      <c r="O152" s="126">
        <f ca="1" t="shared" si="46"/>
        <v>5</v>
      </c>
      <c r="P152" s="126">
        <f ca="1" t="shared" si="47"/>
        <v>1</v>
      </c>
      <c r="Q152" s="126">
        <f ca="1" t="shared" si="48"/>
        <v>0.5</v>
      </c>
      <c r="R152" s="126">
        <f ca="1" t="shared" si="49"/>
        <v>2</v>
      </c>
      <c r="S152" s="126"/>
      <c r="AG152"/>
      <c r="AH152"/>
      <c r="AI152"/>
      <c r="AJ152"/>
      <c r="AK152"/>
      <c r="AL152"/>
      <c r="AM152"/>
      <c r="AN152"/>
      <c r="AO152"/>
      <c r="AP152"/>
    </row>
    <row r="153" spans="2:42">
      <c r="B153" s="98">
        <f t="shared" si="35"/>
        <v>151</v>
      </c>
      <c r="C153" s="126">
        <f ca="1" t="shared" si="36"/>
        <v>290</v>
      </c>
      <c r="D153" s="126">
        <f ca="1" t="shared" si="37"/>
        <v>20</v>
      </c>
      <c r="E153" s="126">
        <f ca="1" t="shared" si="38"/>
        <v>10</v>
      </c>
      <c r="F153" s="126">
        <f ca="1" t="shared" si="39"/>
        <v>1.5</v>
      </c>
      <c r="G153" s="126">
        <f ca="1" t="shared" si="40"/>
        <v>0.125</v>
      </c>
      <c r="H153" s="126">
        <f ca="1" t="shared" si="41"/>
        <v>0.013</v>
      </c>
      <c r="J153" s="97">
        <f t="shared" si="42"/>
        <v>151</v>
      </c>
      <c r="K153" s="106">
        <f ca="1" t="shared" si="34"/>
        <v>290</v>
      </c>
      <c r="L153" s="126">
        <f ca="1" t="shared" si="43"/>
        <v>40</v>
      </c>
      <c r="M153" s="126">
        <f ca="1" t="shared" si="44"/>
        <v>1</v>
      </c>
      <c r="N153" s="126">
        <f ca="1" t="shared" si="45"/>
        <v>6</v>
      </c>
      <c r="O153" s="126">
        <f ca="1" t="shared" si="46"/>
        <v>5</v>
      </c>
      <c r="P153" s="126">
        <f ca="1" t="shared" si="47"/>
        <v>1</v>
      </c>
      <c r="Q153" s="126">
        <f ca="1" t="shared" si="48"/>
        <v>0.5</v>
      </c>
      <c r="R153" s="126">
        <f ca="1" t="shared" si="49"/>
        <v>2</v>
      </c>
      <c r="S153" s="126"/>
      <c r="AG153"/>
      <c r="AH153"/>
      <c r="AI153"/>
      <c r="AJ153"/>
      <c r="AK153"/>
      <c r="AL153"/>
      <c r="AM153"/>
      <c r="AN153"/>
      <c r="AO153"/>
      <c r="AP153"/>
    </row>
    <row r="154" spans="2:42">
      <c r="B154" s="98">
        <f t="shared" si="35"/>
        <v>152</v>
      </c>
      <c r="C154" s="126">
        <f ca="1" t="shared" si="36"/>
        <v>291</v>
      </c>
      <c r="D154" s="126">
        <f ca="1" t="shared" si="37"/>
        <v>20</v>
      </c>
      <c r="E154" s="126">
        <f ca="1" t="shared" si="38"/>
        <v>10</v>
      </c>
      <c r="F154" s="126">
        <f ca="1" t="shared" si="39"/>
        <v>1.5</v>
      </c>
      <c r="G154" s="126">
        <f ca="1" t="shared" si="40"/>
        <v>0.125</v>
      </c>
      <c r="H154" s="126">
        <f ca="1" t="shared" si="41"/>
        <v>0.013</v>
      </c>
      <c r="J154" s="97">
        <f t="shared" si="42"/>
        <v>152</v>
      </c>
      <c r="K154" s="106">
        <f ca="1" t="shared" si="34"/>
        <v>291</v>
      </c>
      <c r="L154" s="126">
        <f ca="1" t="shared" si="43"/>
        <v>40</v>
      </c>
      <c r="M154" s="126">
        <f ca="1" t="shared" si="44"/>
        <v>1</v>
      </c>
      <c r="N154" s="126">
        <f ca="1" t="shared" si="45"/>
        <v>6</v>
      </c>
      <c r="O154" s="126">
        <f ca="1" t="shared" si="46"/>
        <v>5</v>
      </c>
      <c r="P154" s="126">
        <f ca="1" t="shared" si="47"/>
        <v>1</v>
      </c>
      <c r="Q154" s="126">
        <f ca="1" t="shared" si="48"/>
        <v>0.5</v>
      </c>
      <c r="R154" s="126">
        <f ca="1" t="shared" si="49"/>
        <v>2</v>
      </c>
      <c r="S154" s="126"/>
      <c r="AG154"/>
      <c r="AH154"/>
      <c r="AI154"/>
      <c r="AJ154"/>
      <c r="AK154"/>
      <c r="AL154"/>
      <c r="AM154"/>
      <c r="AN154"/>
      <c r="AO154"/>
      <c r="AP154"/>
    </row>
    <row r="155" spans="2:42">
      <c r="B155" s="98">
        <f t="shared" si="35"/>
        <v>153</v>
      </c>
      <c r="C155" s="126">
        <f ca="1" t="shared" si="36"/>
        <v>292</v>
      </c>
      <c r="D155" s="126">
        <f ca="1" t="shared" si="37"/>
        <v>20</v>
      </c>
      <c r="E155" s="126">
        <f ca="1" t="shared" si="38"/>
        <v>10</v>
      </c>
      <c r="F155" s="126">
        <f ca="1" t="shared" si="39"/>
        <v>1.5</v>
      </c>
      <c r="G155" s="126">
        <f ca="1" t="shared" si="40"/>
        <v>0.125</v>
      </c>
      <c r="H155" s="126">
        <f ca="1" t="shared" si="41"/>
        <v>0.013</v>
      </c>
      <c r="J155" s="97">
        <f t="shared" si="42"/>
        <v>153</v>
      </c>
      <c r="K155" s="106">
        <f ca="1" t="shared" si="34"/>
        <v>292</v>
      </c>
      <c r="L155" s="126">
        <f ca="1" t="shared" si="43"/>
        <v>40</v>
      </c>
      <c r="M155" s="126">
        <f ca="1" t="shared" si="44"/>
        <v>1</v>
      </c>
      <c r="N155" s="126">
        <f ca="1" t="shared" si="45"/>
        <v>6</v>
      </c>
      <c r="O155" s="126">
        <f ca="1" t="shared" si="46"/>
        <v>5</v>
      </c>
      <c r="P155" s="126">
        <f ca="1" t="shared" si="47"/>
        <v>1</v>
      </c>
      <c r="Q155" s="126">
        <f ca="1" t="shared" si="48"/>
        <v>0.5</v>
      </c>
      <c r="R155" s="126">
        <f ca="1" t="shared" si="49"/>
        <v>2</v>
      </c>
      <c r="S155" s="126"/>
      <c r="AG155"/>
      <c r="AH155"/>
      <c r="AI155"/>
      <c r="AJ155"/>
      <c r="AK155"/>
      <c r="AL155"/>
      <c r="AM155"/>
      <c r="AN155"/>
      <c r="AO155"/>
      <c r="AP155"/>
    </row>
    <row r="156" spans="2:42">
      <c r="B156" s="98">
        <f t="shared" si="35"/>
        <v>154</v>
      </c>
      <c r="C156" s="126">
        <f ca="1" t="shared" si="36"/>
        <v>293</v>
      </c>
      <c r="D156" s="126">
        <f ca="1" t="shared" si="37"/>
        <v>20</v>
      </c>
      <c r="E156" s="126">
        <f ca="1" t="shared" si="38"/>
        <v>10</v>
      </c>
      <c r="F156" s="126">
        <f ca="1" t="shared" si="39"/>
        <v>1.5</v>
      </c>
      <c r="G156" s="126">
        <f ca="1" t="shared" si="40"/>
        <v>0.125</v>
      </c>
      <c r="H156" s="126">
        <f ca="1" t="shared" si="41"/>
        <v>0.013</v>
      </c>
      <c r="J156" s="97">
        <f t="shared" si="42"/>
        <v>154</v>
      </c>
      <c r="K156" s="106">
        <f ca="1" t="shared" si="34"/>
        <v>293</v>
      </c>
      <c r="L156" s="126">
        <f ca="1" t="shared" si="43"/>
        <v>40</v>
      </c>
      <c r="M156" s="126">
        <f ca="1" t="shared" si="44"/>
        <v>1</v>
      </c>
      <c r="N156" s="126">
        <f ca="1" t="shared" si="45"/>
        <v>6</v>
      </c>
      <c r="O156" s="126">
        <f ca="1" t="shared" si="46"/>
        <v>5</v>
      </c>
      <c r="P156" s="126">
        <f ca="1" t="shared" si="47"/>
        <v>1</v>
      </c>
      <c r="Q156" s="126">
        <f ca="1" t="shared" si="48"/>
        <v>0.5</v>
      </c>
      <c r="R156" s="126">
        <f ca="1" t="shared" si="49"/>
        <v>2</v>
      </c>
      <c r="S156" s="126"/>
      <c r="AG156"/>
      <c r="AH156"/>
      <c r="AI156"/>
      <c r="AJ156"/>
      <c r="AK156"/>
      <c r="AL156"/>
      <c r="AM156"/>
      <c r="AN156"/>
      <c r="AO156"/>
      <c r="AP156"/>
    </row>
    <row r="157" spans="2:42">
      <c r="B157" s="98">
        <f t="shared" si="35"/>
        <v>155</v>
      </c>
      <c r="C157" s="126">
        <f ca="1" t="shared" si="36"/>
        <v>294</v>
      </c>
      <c r="D157" s="126">
        <f ca="1" t="shared" si="37"/>
        <v>20</v>
      </c>
      <c r="E157" s="126">
        <f ca="1" t="shared" si="38"/>
        <v>10</v>
      </c>
      <c r="F157" s="126">
        <f ca="1" t="shared" si="39"/>
        <v>1.5</v>
      </c>
      <c r="G157" s="126">
        <f ca="1" t="shared" si="40"/>
        <v>0.125</v>
      </c>
      <c r="H157" s="126">
        <f ca="1" t="shared" si="41"/>
        <v>0.013</v>
      </c>
      <c r="J157" s="97">
        <f t="shared" si="42"/>
        <v>155</v>
      </c>
      <c r="K157" s="106">
        <f ca="1" t="shared" si="34"/>
        <v>294</v>
      </c>
      <c r="L157" s="126">
        <f ca="1" t="shared" si="43"/>
        <v>40</v>
      </c>
      <c r="M157" s="126">
        <f ca="1" t="shared" si="44"/>
        <v>1</v>
      </c>
      <c r="N157" s="126">
        <f ca="1" t="shared" si="45"/>
        <v>6</v>
      </c>
      <c r="O157" s="126">
        <f ca="1" t="shared" si="46"/>
        <v>5</v>
      </c>
      <c r="P157" s="126">
        <f ca="1" t="shared" si="47"/>
        <v>1</v>
      </c>
      <c r="Q157" s="126">
        <f ca="1" t="shared" si="48"/>
        <v>0.5</v>
      </c>
      <c r="R157" s="126">
        <f ca="1" t="shared" si="49"/>
        <v>2</v>
      </c>
      <c r="S157" s="126"/>
      <c r="AG157"/>
      <c r="AH157"/>
      <c r="AI157"/>
      <c r="AJ157"/>
      <c r="AK157"/>
      <c r="AL157"/>
      <c r="AM157"/>
      <c r="AN157"/>
      <c r="AO157"/>
      <c r="AP157"/>
    </row>
    <row r="158" spans="2:42">
      <c r="B158" s="98">
        <f t="shared" si="35"/>
        <v>156</v>
      </c>
      <c r="C158" s="126">
        <f ca="1" t="shared" si="36"/>
        <v>295</v>
      </c>
      <c r="D158" s="126">
        <f ca="1" t="shared" si="37"/>
        <v>20</v>
      </c>
      <c r="E158" s="126">
        <f ca="1" t="shared" si="38"/>
        <v>10</v>
      </c>
      <c r="F158" s="126">
        <f ca="1" t="shared" si="39"/>
        <v>1.5</v>
      </c>
      <c r="G158" s="126">
        <f ca="1" t="shared" si="40"/>
        <v>0.125</v>
      </c>
      <c r="H158" s="126">
        <f ca="1" t="shared" si="41"/>
        <v>0.013</v>
      </c>
      <c r="J158" s="97">
        <f t="shared" si="42"/>
        <v>156</v>
      </c>
      <c r="K158" s="106">
        <f ca="1" t="shared" si="34"/>
        <v>295</v>
      </c>
      <c r="L158" s="126">
        <f ca="1" t="shared" si="43"/>
        <v>40</v>
      </c>
      <c r="M158" s="126">
        <f ca="1" t="shared" si="44"/>
        <v>1</v>
      </c>
      <c r="N158" s="126">
        <f ca="1" t="shared" si="45"/>
        <v>6</v>
      </c>
      <c r="O158" s="126">
        <f ca="1" t="shared" si="46"/>
        <v>5</v>
      </c>
      <c r="P158" s="126">
        <f ca="1" t="shared" si="47"/>
        <v>1</v>
      </c>
      <c r="Q158" s="126">
        <f ca="1" t="shared" si="48"/>
        <v>0.5</v>
      </c>
      <c r="R158" s="126">
        <f ca="1" t="shared" si="49"/>
        <v>2</v>
      </c>
      <c r="S158" s="126"/>
      <c r="AG158"/>
      <c r="AH158"/>
      <c r="AI158"/>
      <c r="AJ158"/>
      <c r="AK158"/>
      <c r="AL158"/>
      <c r="AM158"/>
      <c r="AN158"/>
      <c r="AO158"/>
      <c r="AP158"/>
    </row>
    <row r="159" spans="2:42">
      <c r="B159" s="98">
        <f t="shared" si="35"/>
        <v>157</v>
      </c>
      <c r="C159" s="126">
        <f ca="1" t="shared" si="36"/>
        <v>296</v>
      </c>
      <c r="D159" s="126">
        <f ca="1" t="shared" si="37"/>
        <v>20</v>
      </c>
      <c r="E159" s="126">
        <f ca="1" t="shared" si="38"/>
        <v>10</v>
      </c>
      <c r="F159" s="126">
        <f ca="1" t="shared" si="39"/>
        <v>1.5</v>
      </c>
      <c r="G159" s="126">
        <f ca="1" t="shared" si="40"/>
        <v>0.125</v>
      </c>
      <c r="H159" s="126">
        <f ca="1" t="shared" si="41"/>
        <v>0.013</v>
      </c>
      <c r="J159" s="97">
        <f t="shared" si="42"/>
        <v>157</v>
      </c>
      <c r="K159" s="106">
        <f ca="1" t="shared" si="34"/>
        <v>296</v>
      </c>
      <c r="L159" s="126">
        <f ca="1" t="shared" si="43"/>
        <v>40</v>
      </c>
      <c r="M159" s="126">
        <f ca="1" t="shared" si="44"/>
        <v>1</v>
      </c>
      <c r="N159" s="126">
        <f ca="1" t="shared" si="45"/>
        <v>6</v>
      </c>
      <c r="O159" s="126">
        <f ca="1" t="shared" si="46"/>
        <v>5</v>
      </c>
      <c r="P159" s="126">
        <f ca="1" t="shared" si="47"/>
        <v>1</v>
      </c>
      <c r="Q159" s="126">
        <f ca="1" t="shared" si="48"/>
        <v>0.5</v>
      </c>
      <c r="R159" s="126">
        <f ca="1" t="shared" si="49"/>
        <v>2</v>
      </c>
      <c r="S159" s="126"/>
      <c r="AG159"/>
      <c r="AH159"/>
      <c r="AI159"/>
      <c r="AJ159"/>
      <c r="AK159"/>
      <c r="AL159"/>
      <c r="AM159"/>
      <c r="AN159"/>
      <c r="AO159"/>
      <c r="AP159"/>
    </row>
    <row r="160" spans="2:42">
      <c r="B160" s="98">
        <f t="shared" si="35"/>
        <v>158</v>
      </c>
      <c r="C160" s="126">
        <f ca="1" t="shared" si="36"/>
        <v>297</v>
      </c>
      <c r="D160" s="126">
        <f ca="1" t="shared" si="37"/>
        <v>20</v>
      </c>
      <c r="E160" s="126">
        <f ca="1" t="shared" si="38"/>
        <v>10</v>
      </c>
      <c r="F160" s="126">
        <f ca="1" t="shared" si="39"/>
        <v>1.5</v>
      </c>
      <c r="G160" s="126">
        <f ca="1" t="shared" si="40"/>
        <v>0.125</v>
      </c>
      <c r="H160" s="126">
        <f ca="1" t="shared" si="41"/>
        <v>0.013</v>
      </c>
      <c r="J160" s="97">
        <f t="shared" si="42"/>
        <v>158</v>
      </c>
      <c r="K160" s="106">
        <f ca="1" t="shared" si="34"/>
        <v>297</v>
      </c>
      <c r="L160" s="126">
        <f ca="1" t="shared" si="43"/>
        <v>40</v>
      </c>
      <c r="M160" s="126">
        <f ca="1" t="shared" si="44"/>
        <v>1</v>
      </c>
      <c r="N160" s="126">
        <f ca="1" t="shared" si="45"/>
        <v>6</v>
      </c>
      <c r="O160" s="126">
        <f ca="1" t="shared" si="46"/>
        <v>5</v>
      </c>
      <c r="P160" s="126">
        <f ca="1" t="shared" si="47"/>
        <v>1</v>
      </c>
      <c r="Q160" s="126">
        <f ca="1" t="shared" si="48"/>
        <v>0.5</v>
      </c>
      <c r="R160" s="126">
        <f ca="1" t="shared" si="49"/>
        <v>2</v>
      </c>
      <c r="S160" s="126"/>
      <c r="AG160"/>
      <c r="AH160"/>
      <c r="AI160"/>
      <c r="AJ160"/>
      <c r="AK160"/>
      <c r="AL160"/>
      <c r="AM160"/>
      <c r="AN160"/>
      <c r="AO160"/>
      <c r="AP160"/>
    </row>
    <row r="161" spans="2:42">
      <c r="B161" s="98">
        <f t="shared" si="35"/>
        <v>159</v>
      </c>
      <c r="C161" s="126">
        <f ca="1" t="shared" si="36"/>
        <v>298</v>
      </c>
      <c r="D161" s="126">
        <f ca="1" t="shared" si="37"/>
        <v>20</v>
      </c>
      <c r="E161" s="126">
        <f ca="1" t="shared" si="38"/>
        <v>10</v>
      </c>
      <c r="F161" s="126">
        <f ca="1" t="shared" si="39"/>
        <v>1.5</v>
      </c>
      <c r="G161" s="126">
        <f ca="1" t="shared" si="40"/>
        <v>0.125</v>
      </c>
      <c r="H161" s="126">
        <f ca="1" t="shared" si="41"/>
        <v>0.013</v>
      </c>
      <c r="J161" s="97">
        <f t="shared" si="42"/>
        <v>159</v>
      </c>
      <c r="K161" s="106">
        <f ca="1" t="shared" si="34"/>
        <v>298</v>
      </c>
      <c r="L161" s="126">
        <f ca="1" t="shared" si="43"/>
        <v>40</v>
      </c>
      <c r="M161" s="126">
        <f ca="1" t="shared" si="44"/>
        <v>1</v>
      </c>
      <c r="N161" s="126">
        <f ca="1" t="shared" si="45"/>
        <v>6</v>
      </c>
      <c r="O161" s="126">
        <f ca="1" t="shared" si="46"/>
        <v>5</v>
      </c>
      <c r="P161" s="126">
        <f ca="1" t="shared" si="47"/>
        <v>1</v>
      </c>
      <c r="Q161" s="126">
        <f ca="1" t="shared" si="48"/>
        <v>0.5</v>
      </c>
      <c r="R161" s="126">
        <f ca="1" t="shared" si="49"/>
        <v>2</v>
      </c>
      <c r="S161" s="126"/>
      <c r="AG161"/>
      <c r="AH161"/>
      <c r="AI161"/>
      <c r="AJ161"/>
      <c r="AK161"/>
      <c r="AL161"/>
      <c r="AM161"/>
      <c r="AN161"/>
      <c r="AO161"/>
      <c r="AP161"/>
    </row>
    <row r="162" spans="2:42">
      <c r="B162" s="98">
        <f t="shared" si="35"/>
        <v>160</v>
      </c>
      <c r="C162" s="126">
        <f ca="1" t="shared" si="36"/>
        <v>299</v>
      </c>
      <c r="D162" s="126">
        <f ca="1" t="shared" si="37"/>
        <v>20</v>
      </c>
      <c r="E162" s="126">
        <f ca="1" t="shared" si="38"/>
        <v>10</v>
      </c>
      <c r="F162" s="126">
        <f ca="1" t="shared" si="39"/>
        <v>1.5</v>
      </c>
      <c r="G162" s="126">
        <f ca="1" t="shared" si="40"/>
        <v>0.125</v>
      </c>
      <c r="H162" s="126">
        <f ca="1" t="shared" si="41"/>
        <v>0.013</v>
      </c>
      <c r="J162" s="97">
        <f t="shared" si="42"/>
        <v>160</v>
      </c>
      <c r="K162" s="106">
        <f ca="1" t="shared" si="34"/>
        <v>299</v>
      </c>
      <c r="L162" s="126">
        <f ca="1" t="shared" si="43"/>
        <v>40</v>
      </c>
      <c r="M162" s="126">
        <f ca="1" t="shared" si="44"/>
        <v>1</v>
      </c>
      <c r="N162" s="126">
        <f ca="1" t="shared" si="45"/>
        <v>6</v>
      </c>
      <c r="O162" s="126">
        <f ca="1" t="shared" si="46"/>
        <v>5</v>
      </c>
      <c r="P162" s="126">
        <f ca="1" t="shared" si="47"/>
        <v>1</v>
      </c>
      <c r="Q162" s="126">
        <f ca="1" t="shared" si="48"/>
        <v>0.5</v>
      </c>
      <c r="R162" s="126">
        <f ca="1" t="shared" si="49"/>
        <v>2</v>
      </c>
      <c r="S162" s="126"/>
      <c r="AG162"/>
      <c r="AH162"/>
      <c r="AI162"/>
      <c r="AJ162"/>
      <c r="AK162"/>
      <c r="AL162"/>
      <c r="AM162"/>
      <c r="AN162"/>
      <c r="AO162"/>
      <c r="AP162"/>
    </row>
    <row r="163" spans="2:42">
      <c r="B163" s="98">
        <f t="shared" si="35"/>
        <v>161</v>
      </c>
      <c r="C163" s="126">
        <f ca="1" t="shared" si="36"/>
        <v>300</v>
      </c>
      <c r="D163" s="126">
        <f ca="1" t="shared" si="37"/>
        <v>20</v>
      </c>
      <c r="E163" s="126">
        <f ca="1" t="shared" si="38"/>
        <v>10</v>
      </c>
      <c r="F163" s="126">
        <f ca="1" t="shared" si="39"/>
        <v>1.5</v>
      </c>
      <c r="G163" s="126">
        <f ca="1" t="shared" si="40"/>
        <v>0.125</v>
      </c>
      <c r="H163" s="126">
        <f ca="1" t="shared" si="41"/>
        <v>0.013</v>
      </c>
      <c r="J163" s="97">
        <f t="shared" si="42"/>
        <v>161</v>
      </c>
      <c r="K163" s="106">
        <f ca="1" t="shared" si="34"/>
        <v>300</v>
      </c>
      <c r="L163" s="126">
        <f ca="1" t="shared" si="43"/>
        <v>40</v>
      </c>
      <c r="M163" s="126">
        <f ca="1" t="shared" si="44"/>
        <v>1</v>
      </c>
      <c r="N163" s="126">
        <f ca="1" t="shared" si="45"/>
        <v>6</v>
      </c>
      <c r="O163" s="126">
        <f ca="1" t="shared" si="46"/>
        <v>5</v>
      </c>
      <c r="P163" s="126">
        <f ca="1" t="shared" si="47"/>
        <v>1</v>
      </c>
      <c r="Q163" s="126">
        <f ca="1" t="shared" si="48"/>
        <v>0.5</v>
      </c>
      <c r="R163" s="126">
        <f ca="1" t="shared" si="49"/>
        <v>2</v>
      </c>
      <c r="S163" s="126"/>
      <c r="AG163"/>
      <c r="AH163"/>
      <c r="AI163"/>
      <c r="AJ163"/>
      <c r="AK163"/>
      <c r="AL163"/>
      <c r="AM163"/>
      <c r="AN163"/>
      <c r="AO163"/>
      <c r="AP163"/>
    </row>
    <row r="164" spans="2:42">
      <c r="B164" s="98">
        <f t="shared" si="35"/>
        <v>162</v>
      </c>
      <c r="C164" s="126">
        <f ca="1" t="shared" si="36"/>
        <v>301</v>
      </c>
      <c r="D164" s="126">
        <f ca="1" t="shared" si="37"/>
        <v>20</v>
      </c>
      <c r="E164" s="126">
        <f ca="1" t="shared" si="38"/>
        <v>10</v>
      </c>
      <c r="F164" s="126">
        <f ca="1" t="shared" si="39"/>
        <v>1.5</v>
      </c>
      <c r="G164" s="126">
        <f ca="1" t="shared" si="40"/>
        <v>0.125</v>
      </c>
      <c r="H164" s="126">
        <f ca="1" t="shared" si="41"/>
        <v>0.013</v>
      </c>
      <c r="J164" s="97">
        <f t="shared" si="42"/>
        <v>162</v>
      </c>
      <c r="K164" s="106">
        <f ca="1" t="shared" si="34"/>
        <v>301</v>
      </c>
      <c r="L164" s="126">
        <f ca="1" t="shared" si="43"/>
        <v>40</v>
      </c>
      <c r="M164" s="126">
        <f ca="1" t="shared" si="44"/>
        <v>1</v>
      </c>
      <c r="N164" s="126">
        <f ca="1" t="shared" si="45"/>
        <v>6</v>
      </c>
      <c r="O164" s="126">
        <f ca="1" t="shared" si="46"/>
        <v>5</v>
      </c>
      <c r="P164" s="126">
        <f ca="1" t="shared" si="47"/>
        <v>1</v>
      </c>
      <c r="Q164" s="126">
        <f ca="1" t="shared" si="48"/>
        <v>0.5</v>
      </c>
      <c r="R164" s="126">
        <f ca="1" t="shared" si="49"/>
        <v>2</v>
      </c>
      <c r="S164" s="126"/>
      <c r="AG164"/>
      <c r="AH164"/>
      <c r="AI164"/>
      <c r="AJ164"/>
      <c r="AK164"/>
      <c r="AL164"/>
      <c r="AM164"/>
      <c r="AN164"/>
      <c r="AO164"/>
      <c r="AP164"/>
    </row>
    <row r="165" spans="2:42">
      <c r="B165" s="98">
        <f t="shared" si="35"/>
        <v>163</v>
      </c>
      <c r="C165" s="126">
        <f ca="1" t="shared" si="36"/>
        <v>302</v>
      </c>
      <c r="D165" s="126">
        <f ca="1" t="shared" si="37"/>
        <v>20</v>
      </c>
      <c r="E165" s="126">
        <f ca="1" t="shared" si="38"/>
        <v>10</v>
      </c>
      <c r="F165" s="126">
        <f ca="1" t="shared" si="39"/>
        <v>1.5</v>
      </c>
      <c r="G165" s="126">
        <f ca="1" t="shared" si="40"/>
        <v>0.125</v>
      </c>
      <c r="H165" s="126">
        <f ca="1" t="shared" si="41"/>
        <v>0.013</v>
      </c>
      <c r="J165" s="97">
        <f t="shared" si="42"/>
        <v>163</v>
      </c>
      <c r="K165" s="106">
        <f ca="1" t="shared" si="34"/>
        <v>302</v>
      </c>
      <c r="L165" s="126">
        <f ca="1" t="shared" si="43"/>
        <v>40</v>
      </c>
      <c r="M165" s="126">
        <f ca="1" t="shared" si="44"/>
        <v>1</v>
      </c>
      <c r="N165" s="126">
        <f ca="1" t="shared" si="45"/>
        <v>6</v>
      </c>
      <c r="O165" s="126">
        <f ca="1" t="shared" si="46"/>
        <v>5</v>
      </c>
      <c r="P165" s="126">
        <f ca="1" t="shared" si="47"/>
        <v>1</v>
      </c>
      <c r="Q165" s="126">
        <f ca="1" t="shared" si="48"/>
        <v>0.5</v>
      </c>
      <c r="R165" s="126">
        <f ca="1" t="shared" si="49"/>
        <v>2</v>
      </c>
      <c r="S165" s="126"/>
      <c r="AG165"/>
      <c r="AH165"/>
      <c r="AI165"/>
      <c r="AJ165"/>
      <c r="AK165"/>
      <c r="AL165"/>
      <c r="AM165"/>
      <c r="AN165"/>
      <c r="AO165"/>
      <c r="AP165"/>
    </row>
    <row r="166" spans="2:42">
      <c r="B166" s="98">
        <f t="shared" si="35"/>
        <v>164</v>
      </c>
      <c r="C166" s="126">
        <f ca="1" t="shared" si="36"/>
        <v>303</v>
      </c>
      <c r="D166" s="126">
        <f ca="1" t="shared" si="37"/>
        <v>20</v>
      </c>
      <c r="E166" s="126">
        <f ca="1" t="shared" si="38"/>
        <v>10</v>
      </c>
      <c r="F166" s="126">
        <f ca="1" t="shared" si="39"/>
        <v>1.5</v>
      </c>
      <c r="G166" s="126">
        <f ca="1" t="shared" si="40"/>
        <v>0.125</v>
      </c>
      <c r="H166" s="126">
        <f ca="1" t="shared" si="41"/>
        <v>0.013</v>
      </c>
      <c r="J166" s="97">
        <f t="shared" si="42"/>
        <v>164</v>
      </c>
      <c r="K166" s="106">
        <f ca="1" t="shared" si="34"/>
        <v>303</v>
      </c>
      <c r="L166" s="126">
        <f ca="1" t="shared" si="43"/>
        <v>40</v>
      </c>
      <c r="M166" s="126">
        <f ca="1" t="shared" si="44"/>
        <v>1</v>
      </c>
      <c r="N166" s="126">
        <f ca="1" t="shared" si="45"/>
        <v>6</v>
      </c>
      <c r="O166" s="126">
        <f ca="1" t="shared" si="46"/>
        <v>5</v>
      </c>
      <c r="P166" s="126">
        <f ca="1" t="shared" si="47"/>
        <v>1</v>
      </c>
      <c r="Q166" s="126">
        <f ca="1" t="shared" si="48"/>
        <v>0.5</v>
      </c>
      <c r="R166" s="126">
        <f ca="1" t="shared" si="49"/>
        <v>2</v>
      </c>
      <c r="S166" s="126"/>
      <c r="AG166"/>
      <c r="AH166"/>
      <c r="AI166"/>
      <c r="AJ166"/>
      <c r="AK166"/>
      <c r="AL166"/>
      <c r="AM166"/>
      <c r="AN166"/>
      <c r="AO166"/>
      <c r="AP166"/>
    </row>
    <row r="167" spans="2:42">
      <c r="B167" s="98">
        <f t="shared" si="35"/>
        <v>165</v>
      </c>
      <c r="C167" s="126">
        <f ca="1" t="shared" si="36"/>
        <v>304</v>
      </c>
      <c r="D167" s="126">
        <f ca="1" t="shared" si="37"/>
        <v>20</v>
      </c>
      <c r="E167" s="126">
        <f ca="1" t="shared" si="38"/>
        <v>10</v>
      </c>
      <c r="F167" s="126">
        <f ca="1" t="shared" si="39"/>
        <v>1.5</v>
      </c>
      <c r="G167" s="126">
        <f ca="1" t="shared" si="40"/>
        <v>0.125</v>
      </c>
      <c r="H167" s="126">
        <f ca="1" t="shared" si="41"/>
        <v>0.013</v>
      </c>
      <c r="J167" s="97">
        <f t="shared" si="42"/>
        <v>165</v>
      </c>
      <c r="K167" s="106">
        <f ca="1" t="shared" si="34"/>
        <v>304</v>
      </c>
      <c r="L167" s="126">
        <f ca="1" t="shared" si="43"/>
        <v>40</v>
      </c>
      <c r="M167" s="126">
        <f ca="1" t="shared" si="44"/>
        <v>1</v>
      </c>
      <c r="N167" s="126">
        <f ca="1" t="shared" si="45"/>
        <v>6</v>
      </c>
      <c r="O167" s="126">
        <f ca="1" t="shared" si="46"/>
        <v>5</v>
      </c>
      <c r="P167" s="126">
        <f ca="1" t="shared" si="47"/>
        <v>1</v>
      </c>
      <c r="Q167" s="126">
        <f ca="1" t="shared" si="48"/>
        <v>0.5</v>
      </c>
      <c r="R167" s="126">
        <f ca="1" t="shared" si="49"/>
        <v>2</v>
      </c>
      <c r="S167" s="126"/>
      <c r="AG167"/>
      <c r="AH167"/>
      <c r="AI167"/>
      <c r="AJ167"/>
      <c r="AK167"/>
      <c r="AL167"/>
      <c r="AM167"/>
      <c r="AN167"/>
      <c r="AO167"/>
      <c r="AP167"/>
    </row>
    <row r="168" spans="2:42">
      <c r="B168" s="98">
        <f t="shared" si="35"/>
        <v>166</v>
      </c>
      <c r="C168" s="126">
        <f ca="1" t="shared" si="36"/>
        <v>305</v>
      </c>
      <c r="D168" s="126">
        <f ca="1" t="shared" si="37"/>
        <v>20</v>
      </c>
      <c r="E168" s="126">
        <f ca="1" t="shared" si="38"/>
        <v>10</v>
      </c>
      <c r="F168" s="126">
        <f ca="1" t="shared" si="39"/>
        <v>1.5</v>
      </c>
      <c r="G168" s="126">
        <f ca="1" t="shared" si="40"/>
        <v>0.125</v>
      </c>
      <c r="H168" s="126">
        <f ca="1" t="shared" si="41"/>
        <v>0.013</v>
      </c>
      <c r="J168" s="97">
        <f t="shared" si="42"/>
        <v>166</v>
      </c>
      <c r="K168" s="106">
        <f ca="1" t="shared" si="34"/>
        <v>305</v>
      </c>
      <c r="L168" s="126">
        <f ca="1" t="shared" si="43"/>
        <v>40</v>
      </c>
      <c r="M168" s="126">
        <f ca="1" t="shared" si="44"/>
        <v>1</v>
      </c>
      <c r="N168" s="126">
        <f ca="1" t="shared" si="45"/>
        <v>6</v>
      </c>
      <c r="O168" s="126">
        <f ca="1" t="shared" si="46"/>
        <v>5</v>
      </c>
      <c r="P168" s="126">
        <f ca="1" t="shared" si="47"/>
        <v>1</v>
      </c>
      <c r="Q168" s="126">
        <f ca="1" t="shared" si="48"/>
        <v>0.5</v>
      </c>
      <c r="R168" s="126">
        <f ca="1" t="shared" si="49"/>
        <v>2</v>
      </c>
      <c r="S168" s="126"/>
      <c r="AG168"/>
      <c r="AH168"/>
      <c r="AI168"/>
      <c r="AJ168"/>
      <c r="AK168"/>
      <c r="AL168"/>
      <c r="AM168"/>
      <c r="AN168"/>
      <c r="AO168"/>
      <c r="AP168"/>
    </row>
    <row r="169" spans="2:42">
      <c r="B169" s="98">
        <f t="shared" si="35"/>
        <v>167</v>
      </c>
      <c r="C169" s="126">
        <f ca="1" t="shared" si="36"/>
        <v>306</v>
      </c>
      <c r="D169" s="126">
        <f ca="1" t="shared" si="37"/>
        <v>20</v>
      </c>
      <c r="E169" s="126">
        <f ca="1" t="shared" si="38"/>
        <v>10</v>
      </c>
      <c r="F169" s="126">
        <f ca="1" t="shared" si="39"/>
        <v>1.5</v>
      </c>
      <c r="G169" s="126">
        <f ca="1" t="shared" si="40"/>
        <v>0.125</v>
      </c>
      <c r="H169" s="126">
        <f ca="1" t="shared" si="41"/>
        <v>0.013</v>
      </c>
      <c r="J169" s="97">
        <f t="shared" si="42"/>
        <v>167</v>
      </c>
      <c r="K169" s="106">
        <f ca="1" t="shared" si="34"/>
        <v>306</v>
      </c>
      <c r="L169" s="126">
        <f ca="1" t="shared" si="43"/>
        <v>40</v>
      </c>
      <c r="M169" s="126">
        <f ca="1" t="shared" si="44"/>
        <v>1</v>
      </c>
      <c r="N169" s="126">
        <f ca="1" t="shared" si="45"/>
        <v>6</v>
      </c>
      <c r="O169" s="126">
        <f ca="1" t="shared" si="46"/>
        <v>5</v>
      </c>
      <c r="P169" s="126">
        <f ca="1" t="shared" si="47"/>
        <v>1</v>
      </c>
      <c r="Q169" s="126">
        <f ca="1" t="shared" si="48"/>
        <v>0.5</v>
      </c>
      <c r="R169" s="126">
        <f ca="1" t="shared" si="49"/>
        <v>2</v>
      </c>
      <c r="S169" s="126"/>
      <c r="AG169"/>
      <c r="AH169"/>
      <c r="AI169"/>
      <c r="AJ169"/>
      <c r="AK169"/>
      <c r="AL169"/>
      <c r="AM169"/>
      <c r="AN169"/>
      <c r="AO169"/>
      <c r="AP169"/>
    </row>
    <row r="170" spans="2:42">
      <c r="B170" s="98">
        <f t="shared" si="35"/>
        <v>168</v>
      </c>
      <c r="C170" s="126">
        <f ca="1" t="shared" si="36"/>
        <v>307</v>
      </c>
      <c r="D170" s="126">
        <f ca="1" t="shared" si="37"/>
        <v>20</v>
      </c>
      <c r="E170" s="126">
        <f ca="1" t="shared" si="38"/>
        <v>10</v>
      </c>
      <c r="F170" s="126">
        <f ca="1" t="shared" si="39"/>
        <v>1.5</v>
      </c>
      <c r="G170" s="126">
        <f ca="1" t="shared" si="40"/>
        <v>0.125</v>
      </c>
      <c r="H170" s="126">
        <f ca="1" t="shared" si="41"/>
        <v>0.013</v>
      </c>
      <c r="J170" s="97">
        <f t="shared" si="42"/>
        <v>168</v>
      </c>
      <c r="K170" s="106">
        <f ca="1" t="shared" si="34"/>
        <v>307</v>
      </c>
      <c r="L170" s="126">
        <f ca="1" t="shared" si="43"/>
        <v>40</v>
      </c>
      <c r="M170" s="126">
        <f ca="1" t="shared" si="44"/>
        <v>1</v>
      </c>
      <c r="N170" s="126">
        <f ca="1" t="shared" si="45"/>
        <v>6</v>
      </c>
      <c r="O170" s="126">
        <f ca="1" t="shared" si="46"/>
        <v>5</v>
      </c>
      <c r="P170" s="126">
        <f ca="1" t="shared" si="47"/>
        <v>1</v>
      </c>
      <c r="Q170" s="126">
        <f ca="1" t="shared" si="48"/>
        <v>0.5</v>
      </c>
      <c r="R170" s="126">
        <f ca="1" t="shared" si="49"/>
        <v>2</v>
      </c>
      <c r="S170" s="126"/>
      <c r="AG170"/>
      <c r="AH170"/>
      <c r="AI170"/>
      <c r="AJ170"/>
      <c r="AK170"/>
      <c r="AL170"/>
      <c r="AM170"/>
      <c r="AN170"/>
      <c r="AO170"/>
      <c r="AP170"/>
    </row>
    <row r="171" spans="2:42">
      <c r="B171" s="98">
        <f t="shared" si="35"/>
        <v>169</v>
      </c>
      <c r="C171" s="126">
        <f ca="1" t="shared" si="36"/>
        <v>308</v>
      </c>
      <c r="D171" s="126">
        <f ca="1" t="shared" si="37"/>
        <v>20</v>
      </c>
      <c r="E171" s="126">
        <f ca="1" t="shared" si="38"/>
        <v>10</v>
      </c>
      <c r="F171" s="126">
        <f ca="1" t="shared" si="39"/>
        <v>1.5</v>
      </c>
      <c r="G171" s="126">
        <f ca="1" t="shared" si="40"/>
        <v>0.125</v>
      </c>
      <c r="H171" s="126">
        <f ca="1" t="shared" si="41"/>
        <v>0.013</v>
      </c>
      <c r="J171" s="97">
        <f t="shared" si="42"/>
        <v>169</v>
      </c>
      <c r="K171" s="106">
        <f ca="1" t="shared" si="34"/>
        <v>308</v>
      </c>
      <c r="L171" s="126">
        <f ca="1" t="shared" si="43"/>
        <v>40</v>
      </c>
      <c r="M171" s="126">
        <f ca="1" t="shared" si="44"/>
        <v>1</v>
      </c>
      <c r="N171" s="126">
        <f ca="1" t="shared" si="45"/>
        <v>6</v>
      </c>
      <c r="O171" s="126">
        <f ca="1" t="shared" si="46"/>
        <v>5</v>
      </c>
      <c r="P171" s="126">
        <f ca="1" t="shared" si="47"/>
        <v>1</v>
      </c>
      <c r="Q171" s="126">
        <f ca="1" t="shared" si="48"/>
        <v>0.5</v>
      </c>
      <c r="R171" s="126">
        <f ca="1" t="shared" si="49"/>
        <v>2</v>
      </c>
      <c r="S171" s="126"/>
      <c r="AG171"/>
      <c r="AH171"/>
      <c r="AI171"/>
      <c r="AJ171"/>
      <c r="AK171"/>
      <c r="AL171"/>
      <c r="AM171"/>
      <c r="AN171"/>
      <c r="AO171"/>
      <c r="AP171"/>
    </row>
    <row r="172" spans="2:42">
      <c r="B172" s="98">
        <f t="shared" si="35"/>
        <v>170</v>
      </c>
      <c r="C172" s="126">
        <f ca="1" t="shared" si="36"/>
        <v>309</v>
      </c>
      <c r="D172" s="126">
        <f ca="1" t="shared" si="37"/>
        <v>20</v>
      </c>
      <c r="E172" s="126">
        <f ca="1" t="shared" si="38"/>
        <v>10</v>
      </c>
      <c r="F172" s="126">
        <f ca="1" t="shared" si="39"/>
        <v>1.5</v>
      </c>
      <c r="G172" s="126">
        <f ca="1" t="shared" si="40"/>
        <v>0.125</v>
      </c>
      <c r="H172" s="126">
        <f ca="1" t="shared" si="41"/>
        <v>0.013</v>
      </c>
      <c r="J172" s="97">
        <f t="shared" si="42"/>
        <v>170</v>
      </c>
      <c r="K172" s="106">
        <f ca="1" t="shared" si="34"/>
        <v>309</v>
      </c>
      <c r="L172" s="126">
        <f ca="1" t="shared" si="43"/>
        <v>40</v>
      </c>
      <c r="M172" s="126">
        <f ca="1" t="shared" si="44"/>
        <v>1</v>
      </c>
      <c r="N172" s="126">
        <f ca="1" t="shared" si="45"/>
        <v>6</v>
      </c>
      <c r="O172" s="126">
        <f ca="1" t="shared" si="46"/>
        <v>5</v>
      </c>
      <c r="P172" s="126">
        <f ca="1" t="shared" si="47"/>
        <v>1</v>
      </c>
      <c r="Q172" s="126">
        <f ca="1" t="shared" si="48"/>
        <v>0.5</v>
      </c>
      <c r="R172" s="126">
        <f ca="1" t="shared" si="49"/>
        <v>2</v>
      </c>
      <c r="S172" s="126"/>
      <c r="AG172"/>
      <c r="AH172"/>
      <c r="AI172"/>
      <c r="AJ172"/>
      <c r="AK172"/>
      <c r="AL172"/>
      <c r="AM172"/>
      <c r="AN172"/>
      <c r="AO172"/>
      <c r="AP172"/>
    </row>
    <row r="173" spans="2:42">
      <c r="B173" s="98">
        <f t="shared" si="35"/>
        <v>171</v>
      </c>
      <c r="C173" s="126">
        <f ca="1" t="shared" si="36"/>
        <v>310</v>
      </c>
      <c r="D173" s="126">
        <f ca="1" t="shared" si="37"/>
        <v>20</v>
      </c>
      <c r="E173" s="126">
        <f ca="1" t="shared" si="38"/>
        <v>10</v>
      </c>
      <c r="F173" s="126">
        <f ca="1" t="shared" si="39"/>
        <v>1.5</v>
      </c>
      <c r="G173" s="126">
        <f ca="1" t="shared" si="40"/>
        <v>0.125</v>
      </c>
      <c r="H173" s="126">
        <f ca="1" t="shared" si="41"/>
        <v>0.013</v>
      </c>
      <c r="J173" s="97">
        <f t="shared" si="42"/>
        <v>171</v>
      </c>
      <c r="K173" s="106">
        <f ca="1" t="shared" si="34"/>
        <v>310</v>
      </c>
      <c r="L173" s="126">
        <f ca="1" t="shared" si="43"/>
        <v>40</v>
      </c>
      <c r="M173" s="126">
        <f ca="1" t="shared" si="44"/>
        <v>1</v>
      </c>
      <c r="N173" s="126">
        <f ca="1" t="shared" si="45"/>
        <v>6</v>
      </c>
      <c r="O173" s="126">
        <f ca="1" t="shared" si="46"/>
        <v>5</v>
      </c>
      <c r="P173" s="126">
        <f ca="1" t="shared" si="47"/>
        <v>1</v>
      </c>
      <c r="Q173" s="126">
        <f ca="1" t="shared" si="48"/>
        <v>0.5</v>
      </c>
      <c r="R173" s="126">
        <f ca="1" t="shared" si="49"/>
        <v>2</v>
      </c>
      <c r="S173" s="126"/>
      <c r="AG173"/>
      <c r="AH173"/>
      <c r="AI173"/>
      <c r="AJ173"/>
      <c r="AK173"/>
      <c r="AL173"/>
      <c r="AM173"/>
      <c r="AN173"/>
      <c r="AO173"/>
      <c r="AP173"/>
    </row>
    <row r="174" spans="2:42">
      <c r="B174" s="98">
        <f t="shared" si="35"/>
        <v>172</v>
      </c>
      <c r="C174" s="126">
        <f ca="1" t="shared" si="36"/>
        <v>311</v>
      </c>
      <c r="D174" s="126">
        <f ca="1" t="shared" si="37"/>
        <v>20</v>
      </c>
      <c r="E174" s="126">
        <f ca="1" t="shared" si="38"/>
        <v>10</v>
      </c>
      <c r="F174" s="126">
        <f ca="1" t="shared" si="39"/>
        <v>1.5</v>
      </c>
      <c r="G174" s="126">
        <f ca="1" t="shared" si="40"/>
        <v>0.125</v>
      </c>
      <c r="H174" s="126">
        <f ca="1" t="shared" si="41"/>
        <v>0.013</v>
      </c>
      <c r="J174" s="97">
        <f t="shared" si="42"/>
        <v>172</v>
      </c>
      <c r="K174" s="106">
        <f ca="1" t="shared" si="34"/>
        <v>311</v>
      </c>
      <c r="L174" s="126">
        <f ca="1" t="shared" si="43"/>
        <v>40</v>
      </c>
      <c r="M174" s="126">
        <f ca="1" t="shared" si="44"/>
        <v>1</v>
      </c>
      <c r="N174" s="126">
        <f ca="1" t="shared" si="45"/>
        <v>6</v>
      </c>
      <c r="O174" s="126">
        <f ca="1" t="shared" si="46"/>
        <v>5</v>
      </c>
      <c r="P174" s="126">
        <f ca="1" t="shared" si="47"/>
        <v>1</v>
      </c>
      <c r="Q174" s="126">
        <f ca="1" t="shared" si="48"/>
        <v>0.5</v>
      </c>
      <c r="R174" s="126">
        <f ca="1" t="shared" si="49"/>
        <v>2</v>
      </c>
      <c r="S174" s="126"/>
      <c r="AG174"/>
      <c r="AH174"/>
      <c r="AI174"/>
      <c r="AJ174"/>
      <c r="AK174"/>
      <c r="AL174"/>
      <c r="AM174"/>
      <c r="AN174"/>
      <c r="AO174"/>
      <c r="AP174"/>
    </row>
    <row r="175" spans="2:42">
      <c r="B175" s="98">
        <f t="shared" si="35"/>
        <v>173</v>
      </c>
      <c r="C175" s="126">
        <f ca="1" t="shared" si="36"/>
        <v>312</v>
      </c>
      <c r="D175" s="126">
        <f ca="1" t="shared" si="37"/>
        <v>20</v>
      </c>
      <c r="E175" s="126">
        <f ca="1" t="shared" si="38"/>
        <v>10</v>
      </c>
      <c r="F175" s="126">
        <f ca="1" t="shared" si="39"/>
        <v>1.5</v>
      </c>
      <c r="G175" s="126">
        <f ca="1" t="shared" si="40"/>
        <v>0.125</v>
      </c>
      <c r="H175" s="126">
        <f ca="1" t="shared" si="41"/>
        <v>0.013</v>
      </c>
      <c r="J175" s="97">
        <f t="shared" si="42"/>
        <v>173</v>
      </c>
      <c r="K175" s="106">
        <f ca="1" t="shared" si="34"/>
        <v>312</v>
      </c>
      <c r="L175" s="126">
        <f ca="1" t="shared" si="43"/>
        <v>40</v>
      </c>
      <c r="M175" s="126">
        <f ca="1" t="shared" si="44"/>
        <v>1</v>
      </c>
      <c r="N175" s="126">
        <f ca="1" t="shared" si="45"/>
        <v>6</v>
      </c>
      <c r="O175" s="126">
        <f ca="1" t="shared" si="46"/>
        <v>5</v>
      </c>
      <c r="P175" s="126">
        <f ca="1" t="shared" si="47"/>
        <v>1</v>
      </c>
      <c r="Q175" s="126">
        <f ca="1" t="shared" si="48"/>
        <v>0.5</v>
      </c>
      <c r="R175" s="126">
        <f ca="1" t="shared" si="49"/>
        <v>2</v>
      </c>
      <c r="S175" s="126"/>
      <c r="AG175"/>
      <c r="AH175"/>
      <c r="AI175"/>
      <c r="AJ175"/>
      <c r="AK175"/>
      <c r="AL175"/>
      <c r="AM175"/>
      <c r="AN175"/>
      <c r="AO175"/>
      <c r="AP175"/>
    </row>
    <row r="176" spans="2:42">
      <c r="B176" s="98">
        <f t="shared" si="35"/>
        <v>174</v>
      </c>
      <c r="C176" s="126">
        <f ca="1" t="shared" si="36"/>
        <v>313</v>
      </c>
      <c r="D176" s="126">
        <f ca="1" t="shared" si="37"/>
        <v>20</v>
      </c>
      <c r="E176" s="126">
        <f ca="1" t="shared" si="38"/>
        <v>10</v>
      </c>
      <c r="F176" s="126">
        <f ca="1" t="shared" si="39"/>
        <v>1.5</v>
      </c>
      <c r="G176" s="126">
        <f ca="1" t="shared" si="40"/>
        <v>0.125</v>
      </c>
      <c r="H176" s="126">
        <f ca="1" t="shared" si="41"/>
        <v>0.013</v>
      </c>
      <c r="J176" s="97">
        <f t="shared" si="42"/>
        <v>174</v>
      </c>
      <c r="K176" s="106">
        <f ca="1" t="shared" si="34"/>
        <v>313</v>
      </c>
      <c r="L176" s="126">
        <f ca="1" t="shared" si="43"/>
        <v>40</v>
      </c>
      <c r="M176" s="126">
        <f ca="1" t="shared" si="44"/>
        <v>1</v>
      </c>
      <c r="N176" s="126">
        <f ca="1" t="shared" si="45"/>
        <v>6</v>
      </c>
      <c r="O176" s="126">
        <f ca="1" t="shared" si="46"/>
        <v>5</v>
      </c>
      <c r="P176" s="126">
        <f ca="1" t="shared" si="47"/>
        <v>1</v>
      </c>
      <c r="Q176" s="126">
        <f ca="1" t="shared" si="48"/>
        <v>0.5</v>
      </c>
      <c r="R176" s="126">
        <f ca="1" t="shared" si="49"/>
        <v>2</v>
      </c>
      <c r="S176" s="126"/>
      <c r="AG176"/>
      <c r="AH176"/>
      <c r="AI176"/>
      <c r="AJ176"/>
      <c r="AK176"/>
      <c r="AL176"/>
      <c r="AM176"/>
      <c r="AN176"/>
      <c r="AO176"/>
      <c r="AP176"/>
    </row>
    <row r="177" spans="2:42">
      <c r="B177" s="98">
        <f t="shared" si="35"/>
        <v>175</v>
      </c>
      <c r="C177" s="126">
        <f ca="1" t="shared" si="36"/>
        <v>314</v>
      </c>
      <c r="D177" s="126">
        <f ca="1" t="shared" si="37"/>
        <v>20</v>
      </c>
      <c r="E177" s="126">
        <f ca="1" t="shared" si="38"/>
        <v>10</v>
      </c>
      <c r="F177" s="126">
        <f ca="1" t="shared" si="39"/>
        <v>1.5</v>
      </c>
      <c r="G177" s="126">
        <f ca="1" t="shared" si="40"/>
        <v>0.125</v>
      </c>
      <c r="H177" s="126">
        <f ca="1" t="shared" si="41"/>
        <v>0.013</v>
      </c>
      <c r="J177" s="97">
        <f t="shared" si="42"/>
        <v>175</v>
      </c>
      <c r="K177" s="106">
        <f ca="1" t="shared" si="34"/>
        <v>314</v>
      </c>
      <c r="L177" s="126">
        <f ca="1" t="shared" si="43"/>
        <v>40</v>
      </c>
      <c r="M177" s="126">
        <f ca="1" t="shared" si="44"/>
        <v>1</v>
      </c>
      <c r="N177" s="126">
        <f ca="1" t="shared" si="45"/>
        <v>6</v>
      </c>
      <c r="O177" s="126">
        <f ca="1" t="shared" si="46"/>
        <v>5</v>
      </c>
      <c r="P177" s="126">
        <f ca="1" t="shared" si="47"/>
        <v>1</v>
      </c>
      <c r="Q177" s="126">
        <f ca="1" t="shared" si="48"/>
        <v>0.5</v>
      </c>
      <c r="R177" s="126">
        <f ca="1" t="shared" si="49"/>
        <v>2</v>
      </c>
      <c r="S177" s="126"/>
      <c r="AG177"/>
      <c r="AH177"/>
      <c r="AI177"/>
      <c r="AJ177"/>
      <c r="AK177"/>
      <c r="AL177"/>
      <c r="AM177"/>
      <c r="AN177"/>
      <c r="AO177"/>
      <c r="AP177"/>
    </row>
    <row r="178" spans="2:42">
      <c r="B178" s="98">
        <f t="shared" si="35"/>
        <v>176</v>
      </c>
      <c r="C178" s="126">
        <f ca="1" t="shared" si="36"/>
        <v>315</v>
      </c>
      <c r="D178" s="126">
        <f ca="1" t="shared" si="37"/>
        <v>20</v>
      </c>
      <c r="E178" s="126">
        <f ca="1" t="shared" si="38"/>
        <v>10</v>
      </c>
      <c r="F178" s="126">
        <f ca="1" t="shared" si="39"/>
        <v>1.5</v>
      </c>
      <c r="G178" s="126">
        <f ca="1" t="shared" si="40"/>
        <v>0.125</v>
      </c>
      <c r="H178" s="126">
        <f ca="1" t="shared" si="41"/>
        <v>0.013</v>
      </c>
      <c r="J178" s="97">
        <f t="shared" si="42"/>
        <v>176</v>
      </c>
      <c r="K178" s="106">
        <f ca="1" t="shared" si="34"/>
        <v>315</v>
      </c>
      <c r="L178" s="126">
        <f ca="1" t="shared" si="43"/>
        <v>40</v>
      </c>
      <c r="M178" s="126">
        <f ca="1" t="shared" si="44"/>
        <v>1</v>
      </c>
      <c r="N178" s="126">
        <f ca="1" t="shared" si="45"/>
        <v>6</v>
      </c>
      <c r="O178" s="126">
        <f ca="1" t="shared" si="46"/>
        <v>5</v>
      </c>
      <c r="P178" s="126">
        <f ca="1" t="shared" si="47"/>
        <v>1</v>
      </c>
      <c r="Q178" s="126">
        <f ca="1" t="shared" si="48"/>
        <v>0.5</v>
      </c>
      <c r="R178" s="126">
        <f ca="1" t="shared" si="49"/>
        <v>2</v>
      </c>
      <c r="S178" s="126"/>
      <c r="AG178"/>
      <c r="AH178"/>
      <c r="AI178"/>
      <c r="AJ178"/>
      <c r="AK178"/>
      <c r="AL178"/>
      <c r="AM178"/>
      <c r="AN178"/>
      <c r="AO178"/>
      <c r="AP178"/>
    </row>
    <row r="179" spans="2:42">
      <c r="B179" s="98">
        <f t="shared" si="35"/>
        <v>177</v>
      </c>
      <c r="C179" s="126">
        <f ca="1" t="shared" si="36"/>
        <v>316</v>
      </c>
      <c r="D179" s="126">
        <f ca="1" t="shared" si="37"/>
        <v>20</v>
      </c>
      <c r="E179" s="126">
        <f ca="1" t="shared" si="38"/>
        <v>10</v>
      </c>
      <c r="F179" s="126">
        <f ca="1" t="shared" si="39"/>
        <v>1.5</v>
      </c>
      <c r="G179" s="126">
        <f ca="1" t="shared" si="40"/>
        <v>0.125</v>
      </c>
      <c r="H179" s="126">
        <f ca="1" t="shared" si="41"/>
        <v>0.013</v>
      </c>
      <c r="J179" s="97">
        <f t="shared" si="42"/>
        <v>177</v>
      </c>
      <c r="K179" s="106">
        <f ca="1" t="shared" si="34"/>
        <v>316</v>
      </c>
      <c r="L179" s="126">
        <f ca="1" t="shared" si="43"/>
        <v>40</v>
      </c>
      <c r="M179" s="126">
        <f ca="1" t="shared" si="44"/>
        <v>1</v>
      </c>
      <c r="N179" s="126">
        <f ca="1" t="shared" si="45"/>
        <v>6</v>
      </c>
      <c r="O179" s="126">
        <f ca="1" t="shared" si="46"/>
        <v>5</v>
      </c>
      <c r="P179" s="126">
        <f ca="1" t="shared" si="47"/>
        <v>1</v>
      </c>
      <c r="Q179" s="126">
        <f ca="1" t="shared" si="48"/>
        <v>0.5</v>
      </c>
      <c r="R179" s="126">
        <f ca="1" t="shared" si="49"/>
        <v>2</v>
      </c>
      <c r="S179" s="126"/>
      <c r="AG179"/>
      <c r="AH179"/>
      <c r="AI179"/>
      <c r="AJ179"/>
      <c r="AK179"/>
      <c r="AL179"/>
      <c r="AM179"/>
      <c r="AN179"/>
      <c r="AO179"/>
      <c r="AP179"/>
    </row>
    <row r="180" spans="2:42">
      <c r="B180" s="98">
        <f t="shared" si="35"/>
        <v>178</v>
      </c>
      <c r="C180" s="126">
        <f ca="1" t="shared" si="36"/>
        <v>317</v>
      </c>
      <c r="D180" s="126">
        <f ca="1" t="shared" si="37"/>
        <v>20</v>
      </c>
      <c r="E180" s="126">
        <f ca="1" t="shared" si="38"/>
        <v>10</v>
      </c>
      <c r="F180" s="126">
        <f ca="1" t="shared" si="39"/>
        <v>1.5</v>
      </c>
      <c r="G180" s="126">
        <f ca="1" t="shared" si="40"/>
        <v>0.125</v>
      </c>
      <c r="H180" s="126">
        <f ca="1" t="shared" si="41"/>
        <v>0.013</v>
      </c>
      <c r="J180" s="97">
        <f t="shared" si="42"/>
        <v>178</v>
      </c>
      <c r="K180" s="106">
        <f ca="1" t="shared" si="34"/>
        <v>317</v>
      </c>
      <c r="L180" s="126">
        <f ca="1" t="shared" si="43"/>
        <v>40</v>
      </c>
      <c r="M180" s="126">
        <f ca="1" t="shared" si="44"/>
        <v>1</v>
      </c>
      <c r="N180" s="126">
        <f ca="1" t="shared" si="45"/>
        <v>6</v>
      </c>
      <c r="O180" s="126">
        <f ca="1" t="shared" si="46"/>
        <v>5</v>
      </c>
      <c r="P180" s="126">
        <f ca="1" t="shared" si="47"/>
        <v>1</v>
      </c>
      <c r="Q180" s="126">
        <f ca="1" t="shared" si="48"/>
        <v>0.5</v>
      </c>
      <c r="R180" s="126">
        <f ca="1" t="shared" si="49"/>
        <v>2</v>
      </c>
      <c r="S180" s="126"/>
      <c r="AG180"/>
      <c r="AH180"/>
      <c r="AI180"/>
      <c r="AJ180"/>
      <c r="AK180"/>
      <c r="AL180"/>
      <c r="AM180"/>
      <c r="AN180"/>
      <c r="AO180"/>
      <c r="AP180"/>
    </row>
    <row r="181" spans="2:42">
      <c r="B181" s="98">
        <f t="shared" si="35"/>
        <v>179</v>
      </c>
      <c r="C181" s="126">
        <f ca="1" t="shared" si="36"/>
        <v>318</v>
      </c>
      <c r="D181" s="126">
        <f ca="1" t="shared" si="37"/>
        <v>20</v>
      </c>
      <c r="E181" s="126">
        <f ca="1" t="shared" si="38"/>
        <v>10</v>
      </c>
      <c r="F181" s="126">
        <f ca="1" t="shared" si="39"/>
        <v>1.5</v>
      </c>
      <c r="G181" s="126">
        <f ca="1" t="shared" si="40"/>
        <v>0.125</v>
      </c>
      <c r="H181" s="126">
        <f ca="1" t="shared" si="41"/>
        <v>0.013</v>
      </c>
      <c r="J181" s="97">
        <f t="shared" si="42"/>
        <v>179</v>
      </c>
      <c r="K181" s="106">
        <f ca="1" t="shared" si="34"/>
        <v>318</v>
      </c>
      <c r="L181" s="126">
        <f ca="1" t="shared" si="43"/>
        <v>40</v>
      </c>
      <c r="M181" s="126">
        <f ca="1" t="shared" si="44"/>
        <v>1</v>
      </c>
      <c r="N181" s="126">
        <f ca="1" t="shared" si="45"/>
        <v>6</v>
      </c>
      <c r="O181" s="126">
        <f ca="1" t="shared" si="46"/>
        <v>5</v>
      </c>
      <c r="P181" s="126">
        <f ca="1" t="shared" si="47"/>
        <v>1</v>
      </c>
      <c r="Q181" s="126">
        <f ca="1" t="shared" si="48"/>
        <v>0.5</v>
      </c>
      <c r="R181" s="126">
        <f ca="1" t="shared" si="49"/>
        <v>2</v>
      </c>
      <c r="S181" s="126"/>
      <c r="AG181"/>
      <c r="AH181"/>
      <c r="AI181"/>
      <c r="AJ181"/>
      <c r="AK181"/>
      <c r="AL181"/>
      <c r="AM181"/>
      <c r="AN181"/>
      <c r="AO181"/>
      <c r="AP181"/>
    </row>
    <row r="182" spans="2:42">
      <c r="B182" s="98">
        <f t="shared" si="35"/>
        <v>180</v>
      </c>
      <c r="C182" s="126">
        <f ca="1" t="shared" si="36"/>
        <v>319</v>
      </c>
      <c r="D182" s="126">
        <f ca="1" t="shared" si="37"/>
        <v>20</v>
      </c>
      <c r="E182" s="126">
        <f ca="1" t="shared" si="38"/>
        <v>10</v>
      </c>
      <c r="F182" s="126">
        <f ca="1" t="shared" si="39"/>
        <v>1.5</v>
      </c>
      <c r="G182" s="126">
        <f ca="1" t="shared" si="40"/>
        <v>0.125</v>
      </c>
      <c r="H182" s="126">
        <f ca="1" t="shared" si="41"/>
        <v>0.013</v>
      </c>
      <c r="J182" s="97">
        <f t="shared" si="42"/>
        <v>180</v>
      </c>
      <c r="K182" s="106">
        <f ca="1" t="shared" si="34"/>
        <v>319</v>
      </c>
      <c r="L182" s="126">
        <f ca="1" t="shared" si="43"/>
        <v>40</v>
      </c>
      <c r="M182" s="126">
        <f ca="1" t="shared" si="44"/>
        <v>1</v>
      </c>
      <c r="N182" s="126">
        <f ca="1" t="shared" si="45"/>
        <v>6</v>
      </c>
      <c r="O182" s="126">
        <f ca="1" t="shared" si="46"/>
        <v>5</v>
      </c>
      <c r="P182" s="126">
        <f ca="1" t="shared" si="47"/>
        <v>1</v>
      </c>
      <c r="Q182" s="126">
        <f ca="1" t="shared" si="48"/>
        <v>0.5</v>
      </c>
      <c r="R182" s="126">
        <f ca="1" t="shared" si="49"/>
        <v>2</v>
      </c>
      <c r="S182" s="126"/>
      <c r="AG182"/>
      <c r="AH182"/>
      <c r="AI182"/>
      <c r="AJ182"/>
      <c r="AK182"/>
      <c r="AL182"/>
      <c r="AM182"/>
      <c r="AN182"/>
      <c r="AO182"/>
      <c r="AP182"/>
    </row>
    <row r="183" spans="2:42">
      <c r="B183" s="98">
        <f t="shared" si="35"/>
        <v>181</v>
      </c>
      <c r="C183" s="126">
        <f ca="1" t="shared" si="36"/>
        <v>320</v>
      </c>
      <c r="D183" s="126">
        <f ca="1" t="shared" si="37"/>
        <v>20</v>
      </c>
      <c r="E183" s="126">
        <f ca="1" t="shared" si="38"/>
        <v>10</v>
      </c>
      <c r="F183" s="126">
        <f ca="1" t="shared" si="39"/>
        <v>1.5</v>
      </c>
      <c r="G183" s="126">
        <f ca="1" t="shared" si="40"/>
        <v>0.125</v>
      </c>
      <c r="H183" s="126">
        <f ca="1" t="shared" si="41"/>
        <v>0.013</v>
      </c>
      <c r="J183" s="97">
        <f t="shared" si="42"/>
        <v>181</v>
      </c>
      <c r="K183" s="106">
        <f ca="1" t="shared" si="34"/>
        <v>320</v>
      </c>
      <c r="L183" s="126">
        <f ca="1" t="shared" si="43"/>
        <v>40</v>
      </c>
      <c r="M183" s="126">
        <f ca="1" t="shared" si="44"/>
        <v>1</v>
      </c>
      <c r="N183" s="126">
        <f ca="1" t="shared" si="45"/>
        <v>6</v>
      </c>
      <c r="O183" s="126">
        <f ca="1" t="shared" si="46"/>
        <v>5</v>
      </c>
      <c r="P183" s="126">
        <f ca="1" t="shared" si="47"/>
        <v>1</v>
      </c>
      <c r="Q183" s="126">
        <f ca="1" t="shared" si="48"/>
        <v>0.5</v>
      </c>
      <c r="R183" s="126">
        <f ca="1" t="shared" si="49"/>
        <v>2</v>
      </c>
      <c r="S183" s="126"/>
      <c r="AG183"/>
      <c r="AH183"/>
      <c r="AI183"/>
      <c r="AJ183"/>
      <c r="AK183"/>
      <c r="AL183"/>
      <c r="AM183"/>
      <c r="AN183"/>
      <c r="AO183"/>
      <c r="AP183"/>
    </row>
    <row r="184" spans="2:42">
      <c r="B184" s="98">
        <f t="shared" si="35"/>
        <v>182</v>
      </c>
      <c r="C184" s="126">
        <f ca="1" t="shared" si="36"/>
        <v>321</v>
      </c>
      <c r="D184" s="126">
        <f ca="1" t="shared" si="37"/>
        <v>20</v>
      </c>
      <c r="E184" s="126">
        <f ca="1" t="shared" si="38"/>
        <v>10</v>
      </c>
      <c r="F184" s="126">
        <f ca="1" t="shared" si="39"/>
        <v>1.5</v>
      </c>
      <c r="G184" s="126">
        <f ca="1" t="shared" si="40"/>
        <v>0.125</v>
      </c>
      <c r="H184" s="126">
        <f ca="1" t="shared" si="41"/>
        <v>0.013</v>
      </c>
      <c r="J184" s="97">
        <f t="shared" si="42"/>
        <v>182</v>
      </c>
      <c r="K184" s="106">
        <f ca="1" t="shared" si="34"/>
        <v>321</v>
      </c>
      <c r="L184" s="126">
        <f ca="1" t="shared" si="43"/>
        <v>40</v>
      </c>
      <c r="M184" s="126">
        <f ca="1" t="shared" si="44"/>
        <v>1</v>
      </c>
      <c r="N184" s="126">
        <f ca="1" t="shared" si="45"/>
        <v>6</v>
      </c>
      <c r="O184" s="126">
        <f ca="1" t="shared" si="46"/>
        <v>5</v>
      </c>
      <c r="P184" s="126">
        <f ca="1" t="shared" si="47"/>
        <v>1</v>
      </c>
      <c r="Q184" s="126">
        <f ca="1" t="shared" si="48"/>
        <v>0.5</v>
      </c>
      <c r="R184" s="126">
        <f ca="1" t="shared" si="49"/>
        <v>2</v>
      </c>
      <c r="S184" s="126"/>
      <c r="AG184"/>
      <c r="AH184"/>
      <c r="AI184"/>
      <c r="AJ184"/>
      <c r="AK184"/>
      <c r="AL184"/>
      <c r="AM184"/>
      <c r="AN184"/>
      <c r="AO184"/>
      <c r="AP184"/>
    </row>
    <row r="185" spans="2:42">
      <c r="B185" s="98">
        <f t="shared" si="35"/>
        <v>183</v>
      </c>
      <c r="C185" s="126">
        <f ca="1" t="shared" si="36"/>
        <v>322</v>
      </c>
      <c r="D185" s="126">
        <f ca="1" t="shared" si="37"/>
        <v>20</v>
      </c>
      <c r="E185" s="126">
        <f ca="1" t="shared" si="38"/>
        <v>10</v>
      </c>
      <c r="F185" s="126">
        <f ca="1" t="shared" si="39"/>
        <v>1.5</v>
      </c>
      <c r="G185" s="126">
        <f ca="1" t="shared" si="40"/>
        <v>0.125</v>
      </c>
      <c r="H185" s="126">
        <f ca="1" t="shared" si="41"/>
        <v>0.013</v>
      </c>
      <c r="J185" s="97">
        <f t="shared" si="42"/>
        <v>183</v>
      </c>
      <c r="K185" s="106">
        <f ca="1" t="shared" si="34"/>
        <v>322</v>
      </c>
      <c r="L185" s="126">
        <f ca="1" t="shared" si="43"/>
        <v>40</v>
      </c>
      <c r="M185" s="126">
        <f ca="1" t="shared" si="44"/>
        <v>1</v>
      </c>
      <c r="N185" s="126">
        <f ca="1" t="shared" si="45"/>
        <v>6</v>
      </c>
      <c r="O185" s="126">
        <f ca="1" t="shared" si="46"/>
        <v>5</v>
      </c>
      <c r="P185" s="126">
        <f ca="1" t="shared" si="47"/>
        <v>1</v>
      </c>
      <c r="Q185" s="126">
        <f ca="1" t="shared" si="48"/>
        <v>0.5</v>
      </c>
      <c r="R185" s="126">
        <f ca="1" t="shared" si="49"/>
        <v>2</v>
      </c>
      <c r="S185" s="126"/>
      <c r="AG185"/>
      <c r="AH185"/>
      <c r="AI185"/>
      <c r="AJ185"/>
      <c r="AK185"/>
      <c r="AL185"/>
      <c r="AM185"/>
      <c r="AN185"/>
      <c r="AO185"/>
      <c r="AP185"/>
    </row>
    <row r="186" spans="2:42">
      <c r="B186" s="98">
        <f t="shared" si="35"/>
        <v>184</v>
      </c>
      <c r="C186" s="126">
        <f ca="1" t="shared" si="36"/>
        <v>323</v>
      </c>
      <c r="D186" s="126">
        <f ca="1" t="shared" si="37"/>
        <v>20</v>
      </c>
      <c r="E186" s="126">
        <f ca="1" t="shared" si="38"/>
        <v>10</v>
      </c>
      <c r="F186" s="126">
        <f ca="1" t="shared" si="39"/>
        <v>1.5</v>
      </c>
      <c r="G186" s="126">
        <f ca="1" t="shared" si="40"/>
        <v>0.125</v>
      </c>
      <c r="H186" s="126">
        <f ca="1" t="shared" si="41"/>
        <v>0.013</v>
      </c>
      <c r="J186" s="97">
        <f t="shared" si="42"/>
        <v>184</v>
      </c>
      <c r="K186" s="106">
        <f ca="1" t="shared" si="34"/>
        <v>323</v>
      </c>
      <c r="L186" s="126">
        <f ca="1" t="shared" si="43"/>
        <v>40</v>
      </c>
      <c r="M186" s="126">
        <f ca="1" t="shared" si="44"/>
        <v>1</v>
      </c>
      <c r="N186" s="126">
        <f ca="1" t="shared" si="45"/>
        <v>6</v>
      </c>
      <c r="O186" s="126">
        <f ca="1" t="shared" si="46"/>
        <v>5</v>
      </c>
      <c r="P186" s="126">
        <f ca="1" t="shared" si="47"/>
        <v>1</v>
      </c>
      <c r="Q186" s="126">
        <f ca="1" t="shared" si="48"/>
        <v>0.5</v>
      </c>
      <c r="R186" s="126">
        <f ca="1" t="shared" si="49"/>
        <v>2</v>
      </c>
      <c r="S186" s="126"/>
      <c r="AG186"/>
      <c r="AH186"/>
      <c r="AI186"/>
      <c r="AJ186"/>
      <c r="AK186"/>
      <c r="AL186"/>
      <c r="AM186"/>
      <c r="AN186"/>
      <c r="AO186"/>
      <c r="AP186"/>
    </row>
    <row r="187" spans="2:42">
      <c r="B187" s="98">
        <f t="shared" si="35"/>
        <v>185</v>
      </c>
      <c r="C187" s="126">
        <f ca="1" t="shared" si="36"/>
        <v>324</v>
      </c>
      <c r="D187" s="126">
        <f ca="1" t="shared" si="37"/>
        <v>20</v>
      </c>
      <c r="E187" s="126">
        <f ca="1" t="shared" si="38"/>
        <v>10</v>
      </c>
      <c r="F187" s="126">
        <f ca="1" t="shared" si="39"/>
        <v>1.5</v>
      </c>
      <c r="G187" s="126">
        <f ca="1" t="shared" si="40"/>
        <v>0.125</v>
      </c>
      <c r="H187" s="126">
        <f ca="1" t="shared" si="41"/>
        <v>0.013</v>
      </c>
      <c r="J187" s="97">
        <f t="shared" si="42"/>
        <v>185</v>
      </c>
      <c r="K187" s="106">
        <f ca="1" t="shared" si="34"/>
        <v>324</v>
      </c>
      <c r="L187" s="126">
        <f ca="1" t="shared" si="43"/>
        <v>40</v>
      </c>
      <c r="M187" s="126">
        <f ca="1" t="shared" si="44"/>
        <v>1</v>
      </c>
      <c r="N187" s="126">
        <f ca="1" t="shared" si="45"/>
        <v>6</v>
      </c>
      <c r="O187" s="126">
        <f ca="1" t="shared" si="46"/>
        <v>5</v>
      </c>
      <c r="P187" s="126">
        <f ca="1" t="shared" si="47"/>
        <v>1</v>
      </c>
      <c r="Q187" s="126">
        <f ca="1" t="shared" si="48"/>
        <v>0.5</v>
      </c>
      <c r="R187" s="126">
        <f ca="1" t="shared" si="49"/>
        <v>2</v>
      </c>
      <c r="S187" s="126"/>
      <c r="AG187"/>
      <c r="AH187"/>
      <c r="AI187"/>
      <c r="AJ187"/>
      <c r="AK187"/>
      <c r="AL187"/>
      <c r="AM187"/>
      <c r="AN187"/>
      <c r="AO187"/>
      <c r="AP187"/>
    </row>
    <row r="188" spans="2:42">
      <c r="B188" s="98">
        <f t="shared" si="35"/>
        <v>186</v>
      </c>
      <c r="C188" s="126">
        <f ca="1" t="shared" si="36"/>
        <v>325</v>
      </c>
      <c r="D188" s="126">
        <f ca="1" t="shared" si="37"/>
        <v>20</v>
      </c>
      <c r="E188" s="126">
        <f ca="1" t="shared" si="38"/>
        <v>10</v>
      </c>
      <c r="F188" s="126">
        <f ca="1" t="shared" si="39"/>
        <v>1.5</v>
      </c>
      <c r="G188" s="126">
        <f ca="1" t="shared" si="40"/>
        <v>0.125</v>
      </c>
      <c r="H188" s="126">
        <f ca="1" t="shared" si="41"/>
        <v>0.013</v>
      </c>
      <c r="J188" s="97">
        <f t="shared" si="42"/>
        <v>186</v>
      </c>
      <c r="K188" s="106">
        <f ca="1" t="shared" si="34"/>
        <v>325</v>
      </c>
      <c r="L188" s="126">
        <f ca="1" t="shared" si="43"/>
        <v>40</v>
      </c>
      <c r="M188" s="126">
        <f ca="1" t="shared" si="44"/>
        <v>1</v>
      </c>
      <c r="N188" s="126">
        <f ca="1" t="shared" si="45"/>
        <v>6</v>
      </c>
      <c r="O188" s="126">
        <f ca="1" t="shared" si="46"/>
        <v>5</v>
      </c>
      <c r="P188" s="126">
        <f ca="1" t="shared" si="47"/>
        <v>1</v>
      </c>
      <c r="Q188" s="126">
        <f ca="1" t="shared" si="48"/>
        <v>0.5</v>
      </c>
      <c r="R188" s="126">
        <f ca="1" t="shared" si="49"/>
        <v>2</v>
      </c>
      <c r="S188" s="126"/>
      <c r="AG188"/>
      <c r="AH188"/>
      <c r="AI188"/>
      <c r="AJ188"/>
      <c r="AK188"/>
      <c r="AL188"/>
      <c r="AM188"/>
      <c r="AN188"/>
      <c r="AO188"/>
      <c r="AP188"/>
    </row>
    <row r="189" spans="2:42">
      <c r="B189" s="98">
        <f t="shared" si="35"/>
        <v>187</v>
      </c>
      <c r="C189" s="126">
        <f ca="1" t="shared" si="36"/>
        <v>326</v>
      </c>
      <c r="D189" s="126">
        <f ca="1" t="shared" si="37"/>
        <v>20</v>
      </c>
      <c r="E189" s="126">
        <f ca="1" t="shared" si="38"/>
        <v>10</v>
      </c>
      <c r="F189" s="126">
        <f ca="1" t="shared" si="39"/>
        <v>1.5</v>
      </c>
      <c r="G189" s="126">
        <f ca="1" t="shared" si="40"/>
        <v>0.125</v>
      </c>
      <c r="H189" s="126">
        <f ca="1" t="shared" si="41"/>
        <v>0.013</v>
      </c>
      <c r="J189" s="97">
        <f t="shared" si="42"/>
        <v>187</v>
      </c>
      <c r="K189" s="106">
        <f ca="1" t="shared" si="34"/>
        <v>326</v>
      </c>
      <c r="L189" s="126">
        <f ca="1" t="shared" si="43"/>
        <v>40</v>
      </c>
      <c r="M189" s="126">
        <f ca="1" t="shared" si="44"/>
        <v>1</v>
      </c>
      <c r="N189" s="126">
        <f ca="1" t="shared" si="45"/>
        <v>6</v>
      </c>
      <c r="O189" s="126">
        <f ca="1" t="shared" si="46"/>
        <v>5</v>
      </c>
      <c r="P189" s="126">
        <f ca="1" t="shared" si="47"/>
        <v>1</v>
      </c>
      <c r="Q189" s="126">
        <f ca="1" t="shared" si="48"/>
        <v>0.5</v>
      </c>
      <c r="R189" s="126">
        <f ca="1" t="shared" si="49"/>
        <v>2</v>
      </c>
      <c r="S189" s="126"/>
      <c r="AG189"/>
      <c r="AH189"/>
      <c r="AI189"/>
      <c r="AJ189"/>
      <c r="AK189"/>
      <c r="AL189"/>
      <c r="AM189"/>
      <c r="AN189"/>
      <c r="AO189"/>
      <c r="AP189"/>
    </row>
    <row r="190" spans="2:42">
      <c r="B190" s="98">
        <f t="shared" si="35"/>
        <v>188</v>
      </c>
      <c r="C190" s="126">
        <f ca="1" t="shared" si="36"/>
        <v>327</v>
      </c>
      <c r="D190" s="126">
        <f ca="1" t="shared" si="37"/>
        <v>20</v>
      </c>
      <c r="E190" s="126">
        <f ca="1" t="shared" si="38"/>
        <v>10</v>
      </c>
      <c r="F190" s="126">
        <f ca="1" t="shared" si="39"/>
        <v>1.5</v>
      </c>
      <c r="G190" s="126">
        <f ca="1" t="shared" si="40"/>
        <v>0.125</v>
      </c>
      <c r="H190" s="126">
        <f ca="1" t="shared" si="41"/>
        <v>0.013</v>
      </c>
      <c r="J190" s="97">
        <f t="shared" si="42"/>
        <v>188</v>
      </c>
      <c r="K190" s="106">
        <f ca="1" t="shared" si="34"/>
        <v>327</v>
      </c>
      <c r="L190" s="126">
        <f ca="1" t="shared" si="43"/>
        <v>40</v>
      </c>
      <c r="M190" s="126">
        <f ca="1" t="shared" si="44"/>
        <v>1</v>
      </c>
      <c r="N190" s="126">
        <f ca="1" t="shared" si="45"/>
        <v>6</v>
      </c>
      <c r="O190" s="126">
        <f ca="1" t="shared" si="46"/>
        <v>5</v>
      </c>
      <c r="P190" s="126">
        <f ca="1" t="shared" si="47"/>
        <v>1</v>
      </c>
      <c r="Q190" s="126">
        <f ca="1" t="shared" si="48"/>
        <v>0.5</v>
      </c>
      <c r="R190" s="126">
        <f ca="1" t="shared" si="49"/>
        <v>2</v>
      </c>
      <c r="S190" s="126"/>
      <c r="AG190"/>
      <c r="AH190"/>
      <c r="AI190"/>
      <c r="AJ190"/>
      <c r="AK190"/>
      <c r="AL190"/>
      <c r="AM190"/>
      <c r="AN190"/>
      <c r="AO190"/>
      <c r="AP190"/>
    </row>
    <row r="191" spans="2:42">
      <c r="B191" s="98">
        <f t="shared" si="35"/>
        <v>189</v>
      </c>
      <c r="C191" s="126">
        <f ca="1" t="shared" si="36"/>
        <v>328</v>
      </c>
      <c r="D191" s="126">
        <f ca="1" t="shared" si="37"/>
        <v>20</v>
      </c>
      <c r="E191" s="126">
        <f ca="1" t="shared" si="38"/>
        <v>10</v>
      </c>
      <c r="F191" s="126">
        <f ca="1" t="shared" si="39"/>
        <v>1.5</v>
      </c>
      <c r="G191" s="126">
        <f ca="1" t="shared" si="40"/>
        <v>0.125</v>
      </c>
      <c r="H191" s="126">
        <f ca="1" t="shared" si="41"/>
        <v>0.013</v>
      </c>
      <c r="J191" s="97">
        <f t="shared" si="42"/>
        <v>189</v>
      </c>
      <c r="K191" s="106">
        <f ca="1" t="shared" si="34"/>
        <v>328</v>
      </c>
      <c r="L191" s="126">
        <f ca="1" t="shared" si="43"/>
        <v>40</v>
      </c>
      <c r="M191" s="126">
        <f ca="1" t="shared" si="44"/>
        <v>1</v>
      </c>
      <c r="N191" s="126">
        <f ca="1" t="shared" si="45"/>
        <v>6</v>
      </c>
      <c r="O191" s="126">
        <f ca="1" t="shared" si="46"/>
        <v>5</v>
      </c>
      <c r="P191" s="126">
        <f ca="1" t="shared" si="47"/>
        <v>1</v>
      </c>
      <c r="Q191" s="126">
        <f ca="1" t="shared" si="48"/>
        <v>0.5</v>
      </c>
      <c r="R191" s="126">
        <f ca="1" t="shared" si="49"/>
        <v>2</v>
      </c>
      <c r="S191" s="126"/>
      <c r="AG191"/>
      <c r="AH191"/>
      <c r="AI191"/>
      <c r="AJ191"/>
      <c r="AK191"/>
      <c r="AL191"/>
      <c r="AM191"/>
      <c r="AN191"/>
      <c r="AO191"/>
      <c r="AP191"/>
    </row>
    <row r="192" spans="2:42">
      <c r="B192" s="98">
        <f t="shared" si="35"/>
        <v>190</v>
      </c>
      <c r="C192" s="126">
        <f ca="1" t="shared" si="36"/>
        <v>329</v>
      </c>
      <c r="D192" s="126">
        <f ca="1" t="shared" si="37"/>
        <v>20</v>
      </c>
      <c r="E192" s="126">
        <f ca="1" t="shared" si="38"/>
        <v>10</v>
      </c>
      <c r="F192" s="126">
        <f ca="1" t="shared" si="39"/>
        <v>1.5</v>
      </c>
      <c r="G192" s="126">
        <f ca="1" t="shared" si="40"/>
        <v>0.125</v>
      </c>
      <c r="H192" s="126">
        <f ca="1" t="shared" si="41"/>
        <v>0.013</v>
      </c>
      <c r="J192" s="97">
        <f t="shared" si="42"/>
        <v>190</v>
      </c>
      <c r="K192" s="106">
        <f ca="1" t="shared" si="34"/>
        <v>329</v>
      </c>
      <c r="L192" s="126">
        <f ca="1" t="shared" si="43"/>
        <v>40</v>
      </c>
      <c r="M192" s="126">
        <f ca="1" t="shared" si="44"/>
        <v>1</v>
      </c>
      <c r="N192" s="126">
        <f ca="1" t="shared" si="45"/>
        <v>6</v>
      </c>
      <c r="O192" s="126">
        <f ca="1" t="shared" si="46"/>
        <v>5</v>
      </c>
      <c r="P192" s="126">
        <f ca="1" t="shared" si="47"/>
        <v>1</v>
      </c>
      <c r="Q192" s="126">
        <f ca="1" t="shared" si="48"/>
        <v>0.5</v>
      </c>
      <c r="R192" s="126">
        <f ca="1" t="shared" si="49"/>
        <v>2</v>
      </c>
      <c r="S192" s="126"/>
      <c r="AG192"/>
      <c r="AH192"/>
      <c r="AI192"/>
      <c r="AJ192"/>
      <c r="AK192"/>
      <c r="AL192"/>
      <c r="AM192"/>
      <c r="AN192"/>
      <c r="AO192"/>
      <c r="AP192"/>
    </row>
    <row r="193" spans="2:42">
      <c r="B193" s="98">
        <f t="shared" si="35"/>
        <v>191</v>
      </c>
      <c r="C193" s="126">
        <f ca="1" t="shared" si="36"/>
        <v>330</v>
      </c>
      <c r="D193" s="126">
        <f ca="1" t="shared" si="37"/>
        <v>20</v>
      </c>
      <c r="E193" s="126">
        <f ca="1" t="shared" si="38"/>
        <v>10</v>
      </c>
      <c r="F193" s="126">
        <f ca="1" t="shared" si="39"/>
        <v>1.5</v>
      </c>
      <c r="G193" s="126">
        <f ca="1" t="shared" si="40"/>
        <v>0.125</v>
      </c>
      <c r="H193" s="126">
        <f ca="1" t="shared" si="41"/>
        <v>0.013</v>
      </c>
      <c r="J193" s="97">
        <f t="shared" si="42"/>
        <v>191</v>
      </c>
      <c r="K193" s="106">
        <f ca="1" t="shared" si="34"/>
        <v>330</v>
      </c>
      <c r="L193" s="126">
        <f ca="1" t="shared" si="43"/>
        <v>40</v>
      </c>
      <c r="M193" s="126">
        <f ca="1" t="shared" si="44"/>
        <v>1</v>
      </c>
      <c r="N193" s="126">
        <f ca="1" t="shared" si="45"/>
        <v>6</v>
      </c>
      <c r="O193" s="126">
        <f ca="1" t="shared" si="46"/>
        <v>5</v>
      </c>
      <c r="P193" s="126">
        <f ca="1" t="shared" si="47"/>
        <v>1</v>
      </c>
      <c r="Q193" s="126">
        <f ca="1" t="shared" si="48"/>
        <v>0.5</v>
      </c>
      <c r="R193" s="126">
        <f ca="1" t="shared" si="49"/>
        <v>2</v>
      </c>
      <c r="S193" s="126"/>
      <c r="AG193"/>
      <c r="AH193"/>
      <c r="AI193"/>
      <c r="AJ193"/>
      <c r="AK193"/>
      <c r="AL193"/>
      <c r="AM193"/>
      <c r="AN193"/>
      <c r="AO193"/>
      <c r="AP193"/>
    </row>
    <row r="194" spans="2:42">
      <c r="B194" s="98">
        <f t="shared" si="35"/>
        <v>192</v>
      </c>
      <c r="C194" s="126">
        <f ca="1" t="shared" si="36"/>
        <v>331</v>
      </c>
      <c r="D194" s="126">
        <f ca="1" t="shared" si="37"/>
        <v>20</v>
      </c>
      <c r="E194" s="126">
        <f ca="1" t="shared" si="38"/>
        <v>10</v>
      </c>
      <c r="F194" s="126">
        <f ca="1" t="shared" si="39"/>
        <v>1.5</v>
      </c>
      <c r="G194" s="126">
        <f ca="1" t="shared" si="40"/>
        <v>0.125</v>
      </c>
      <c r="H194" s="126">
        <f ca="1" t="shared" si="41"/>
        <v>0.013</v>
      </c>
      <c r="J194" s="97">
        <f t="shared" si="42"/>
        <v>192</v>
      </c>
      <c r="K194" s="106">
        <f ca="1" t="shared" si="34"/>
        <v>331</v>
      </c>
      <c r="L194" s="126">
        <f ca="1" t="shared" si="43"/>
        <v>40</v>
      </c>
      <c r="M194" s="126">
        <f ca="1" t="shared" si="44"/>
        <v>1</v>
      </c>
      <c r="N194" s="126">
        <f ca="1" t="shared" si="45"/>
        <v>6</v>
      </c>
      <c r="O194" s="126">
        <f ca="1" t="shared" si="46"/>
        <v>5</v>
      </c>
      <c r="P194" s="126">
        <f ca="1" t="shared" si="47"/>
        <v>1</v>
      </c>
      <c r="Q194" s="126">
        <f ca="1" t="shared" si="48"/>
        <v>0.5</v>
      </c>
      <c r="R194" s="126">
        <f ca="1" t="shared" si="49"/>
        <v>2</v>
      </c>
      <c r="S194" s="126"/>
      <c r="AG194"/>
      <c r="AH194"/>
      <c r="AI194"/>
      <c r="AJ194"/>
      <c r="AK194"/>
      <c r="AL194"/>
      <c r="AM194"/>
      <c r="AN194"/>
      <c r="AO194"/>
      <c r="AP194"/>
    </row>
    <row r="195" spans="2:42">
      <c r="B195" s="98">
        <f t="shared" si="35"/>
        <v>193</v>
      </c>
      <c r="C195" s="126">
        <f ca="1" t="shared" si="36"/>
        <v>332</v>
      </c>
      <c r="D195" s="126">
        <f ca="1" t="shared" si="37"/>
        <v>20</v>
      </c>
      <c r="E195" s="126">
        <f ca="1" t="shared" si="38"/>
        <v>10</v>
      </c>
      <c r="F195" s="126">
        <f ca="1" t="shared" si="39"/>
        <v>1.5</v>
      </c>
      <c r="G195" s="126">
        <f ca="1" t="shared" si="40"/>
        <v>0.125</v>
      </c>
      <c r="H195" s="126">
        <f ca="1" t="shared" si="41"/>
        <v>0.013</v>
      </c>
      <c r="J195" s="97">
        <f t="shared" si="42"/>
        <v>193</v>
      </c>
      <c r="K195" s="106">
        <f ca="1" t="shared" ref="K195:K258" si="50">OFFSET($B$310,$B195,MATCH(K$1&amp;K$2,$C$305:$P$305,0))</f>
        <v>332</v>
      </c>
      <c r="L195" s="126">
        <f ca="1" t="shared" si="43"/>
        <v>40</v>
      </c>
      <c r="M195" s="126">
        <f ca="1" t="shared" si="44"/>
        <v>1</v>
      </c>
      <c r="N195" s="126">
        <f ca="1" t="shared" si="45"/>
        <v>6</v>
      </c>
      <c r="O195" s="126">
        <f ca="1" t="shared" si="46"/>
        <v>5</v>
      </c>
      <c r="P195" s="126">
        <f ca="1" t="shared" si="47"/>
        <v>1</v>
      </c>
      <c r="Q195" s="126">
        <f ca="1" t="shared" si="48"/>
        <v>0.5</v>
      </c>
      <c r="R195" s="126">
        <f ca="1" t="shared" si="49"/>
        <v>2</v>
      </c>
      <c r="S195" s="126"/>
      <c r="AG195"/>
      <c r="AH195"/>
      <c r="AI195"/>
      <c r="AJ195"/>
      <c r="AK195"/>
      <c r="AL195"/>
      <c r="AM195"/>
      <c r="AN195"/>
      <c r="AO195"/>
      <c r="AP195"/>
    </row>
    <row r="196" spans="2:42">
      <c r="B196" s="98">
        <f t="shared" ref="B196:B259" si="51">B195+1</f>
        <v>194</v>
      </c>
      <c r="C196" s="126">
        <f ca="1" t="shared" ref="C196:C259" si="52">OFFSET($B$310,$B196,MATCH(C$1&amp;C$2,$C$305:$P$305,0))</f>
        <v>333</v>
      </c>
      <c r="D196" s="126">
        <f ca="1" t="shared" ref="D196:D259" si="53">OFFSET($B$310,$B196,MATCH(D$1&amp;D$2,$C$305:$P$305,0))</f>
        <v>20</v>
      </c>
      <c r="E196" s="126">
        <f ca="1" t="shared" ref="E196:E259" si="54">OFFSET($B$310,$B196,MATCH(E$1&amp;E$2,$C$305:$P$305,0))</f>
        <v>10</v>
      </c>
      <c r="F196" s="126">
        <f ca="1" t="shared" ref="F196:F259" si="55">OFFSET($B$310,$B196,MATCH(F$1&amp;F$2,$C$305:$P$305,0))</f>
        <v>1.5</v>
      </c>
      <c r="G196" s="126">
        <f ca="1" t="shared" ref="G196:G259" si="56">OFFSET($B$310,$B196,MATCH(G$1&amp;G$2,$C$305:$P$305,0))</f>
        <v>0.125</v>
      </c>
      <c r="H196" s="126">
        <f ca="1" t="shared" ref="H196:H259" si="57">OFFSET($B$310,$B196,MATCH(H$1&amp;H$2,$C$305:$P$305,0))</f>
        <v>0.013</v>
      </c>
      <c r="J196" s="97">
        <f t="shared" ref="J196:J259" si="58">J195+1</f>
        <v>194</v>
      </c>
      <c r="K196" s="106">
        <f ca="1" t="shared" si="50"/>
        <v>333</v>
      </c>
      <c r="L196" s="126">
        <f ca="1" t="shared" ref="L196:L259" si="59">OFFSET($B$310,$B196,MATCH(L$1&amp;L$2,$C$305:$P$305,0))</f>
        <v>40</v>
      </c>
      <c r="M196" s="126">
        <f ca="1" t="shared" ref="M196:M259" si="60">OFFSET($B$310,$B196,MATCH(M$1&amp;M$2,$C$305:$P$305,0))</f>
        <v>1</v>
      </c>
      <c r="N196" s="126">
        <f ca="1" t="shared" ref="N196:N259" si="61">OFFSET($B$310,$B196,MATCH(N$1&amp;N$2,$C$305:$P$305,0))</f>
        <v>6</v>
      </c>
      <c r="O196" s="126">
        <f ca="1" t="shared" ref="O196:O259" si="62">OFFSET($B$310,$B196,MATCH(O$1&amp;O$2,$C$305:$P$305,0))</f>
        <v>5</v>
      </c>
      <c r="P196" s="126">
        <f ca="1" t="shared" ref="P196:P259" si="63">OFFSET($B$310,$B196,MATCH(P$1&amp;P$2,$C$305:$P$305,0))</f>
        <v>1</v>
      </c>
      <c r="Q196" s="126">
        <f ca="1" t="shared" ref="Q196:Q259" si="64">OFFSET($B$310,$B196,MATCH(Q$1&amp;Q$2,$C$305:$P$305,0))</f>
        <v>0.5</v>
      </c>
      <c r="R196" s="126">
        <f ca="1" t="shared" ref="R196:R259" si="65">OFFSET($B$310,$B196,MATCH(R$1&amp;R$2,$C$305:$P$305,0))</f>
        <v>2</v>
      </c>
      <c r="S196" s="126"/>
      <c r="AG196"/>
      <c r="AH196"/>
      <c r="AI196"/>
      <c r="AJ196"/>
      <c r="AK196"/>
      <c r="AL196"/>
      <c r="AM196"/>
      <c r="AN196"/>
      <c r="AO196"/>
      <c r="AP196"/>
    </row>
    <row r="197" spans="2:42">
      <c r="B197" s="98">
        <f t="shared" si="51"/>
        <v>195</v>
      </c>
      <c r="C197" s="126">
        <f ca="1" t="shared" si="52"/>
        <v>334</v>
      </c>
      <c r="D197" s="126">
        <f ca="1" t="shared" si="53"/>
        <v>20</v>
      </c>
      <c r="E197" s="126">
        <f ca="1" t="shared" si="54"/>
        <v>10</v>
      </c>
      <c r="F197" s="126">
        <f ca="1" t="shared" si="55"/>
        <v>1.5</v>
      </c>
      <c r="G197" s="126">
        <f ca="1" t="shared" si="56"/>
        <v>0.125</v>
      </c>
      <c r="H197" s="126">
        <f ca="1" t="shared" si="57"/>
        <v>0.013</v>
      </c>
      <c r="J197" s="97">
        <f t="shared" si="58"/>
        <v>195</v>
      </c>
      <c r="K197" s="106">
        <f ca="1" t="shared" si="50"/>
        <v>334</v>
      </c>
      <c r="L197" s="126">
        <f ca="1" t="shared" si="59"/>
        <v>40</v>
      </c>
      <c r="M197" s="126">
        <f ca="1" t="shared" si="60"/>
        <v>1</v>
      </c>
      <c r="N197" s="126">
        <f ca="1" t="shared" si="61"/>
        <v>6</v>
      </c>
      <c r="O197" s="126">
        <f ca="1" t="shared" si="62"/>
        <v>5</v>
      </c>
      <c r="P197" s="126">
        <f ca="1" t="shared" si="63"/>
        <v>1</v>
      </c>
      <c r="Q197" s="126">
        <f ca="1" t="shared" si="64"/>
        <v>0.5</v>
      </c>
      <c r="R197" s="126">
        <f ca="1" t="shared" si="65"/>
        <v>2</v>
      </c>
      <c r="S197" s="126"/>
      <c r="AG197"/>
      <c r="AH197"/>
      <c r="AI197"/>
      <c r="AJ197"/>
      <c r="AK197"/>
      <c r="AL197"/>
      <c r="AM197"/>
      <c r="AN197"/>
      <c r="AO197"/>
      <c r="AP197"/>
    </row>
    <row r="198" spans="2:42">
      <c r="B198" s="98">
        <f t="shared" si="51"/>
        <v>196</v>
      </c>
      <c r="C198" s="126">
        <f ca="1" t="shared" si="52"/>
        <v>335</v>
      </c>
      <c r="D198" s="126">
        <f ca="1" t="shared" si="53"/>
        <v>20</v>
      </c>
      <c r="E198" s="126">
        <f ca="1" t="shared" si="54"/>
        <v>10</v>
      </c>
      <c r="F198" s="126">
        <f ca="1" t="shared" si="55"/>
        <v>1.5</v>
      </c>
      <c r="G198" s="126">
        <f ca="1" t="shared" si="56"/>
        <v>0.125</v>
      </c>
      <c r="H198" s="126">
        <f ca="1" t="shared" si="57"/>
        <v>0.013</v>
      </c>
      <c r="J198" s="97">
        <f t="shared" si="58"/>
        <v>196</v>
      </c>
      <c r="K198" s="106">
        <f ca="1" t="shared" si="50"/>
        <v>335</v>
      </c>
      <c r="L198" s="126">
        <f ca="1" t="shared" si="59"/>
        <v>40</v>
      </c>
      <c r="M198" s="126">
        <f ca="1" t="shared" si="60"/>
        <v>1</v>
      </c>
      <c r="N198" s="126">
        <f ca="1" t="shared" si="61"/>
        <v>6</v>
      </c>
      <c r="O198" s="126">
        <f ca="1" t="shared" si="62"/>
        <v>5</v>
      </c>
      <c r="P198" s="126">
        <f ca="1" t="shared" si="63"/>
        <v>1</v>
      </c>
      <c r="Q198" s="126">
        <f ca="1" t="shared" si="64"/>
        <v>0.5</v>
      </c>
      <c r="R198" s="126">
        <f ca="1" t="shared" si="65"/>
        <v>2</v>
      </c>
      <c r="S198" s="126"/>
      <c r="AG198"/>
      <c r="AH198"/>
      <c r="AI198"/>
      <c r="AJ198"/>
      <c r="AK198"/>
      <c r="AL198"/>
      <c r="AM198"/>
      <c r="AN198"/>
      <c r="AO198"/>
      <c r="AP198"/>
    </row>
    <row r="199" spans="2:42">
      <c r="B199" s="98">
        <f t="shared" si="51"/>
        <v>197</v>
      </c>
      <c r="C199" s="126">
        <f ca="1" t="shared" si="52"/>
        <v>336</v>
      </c>
      <c r="D199" s="126">
        <f ca="1" t="shared" si="53"/>
        <v>20</v>
      </c>
      <c r="E199" s="126">
        <f ca="1" t="shared" si="54"/>
        <v>10</v>
      </c>
      <c r="F199" s="126">
        <f ca="1" t="shared" si="55"/>
        <v>1.5</v>
      </c>
      <c r="G199" s="126">
        <f ca="1" t="shared" si="56"/>
        <v>0.125</v>
      </c>
      <c r="H199" s="126">
        <f ca="1" t="shared" si="57"/>
        <v>0.013</v>
      </c>
      <c r="J199" s="97">
        <f t="shared" si="58"/>
        <v>197</v>
      </c>
      <c r="K199" s="106">
        <f ca="1" t="shared" si="50"/>
        <v>336</v>
      </c>
      <c r="L199" s="126">
        <f ca="1" t="shared" si="59"/>
        <v>40</v>
      </c>
      <c r="M199" s="126">
        <f ca="1" t="shared" si="60"/>
        <v>1</v>
      </c>
      <c r="N199" s="126">
        <f ca="1" t="shared" si="61"/>
        <v>6</v>
      </c>
      <c r="O199" s="126">
        <f ca="1" t="shared" si="62"/>
        <v>5</v>
      </c>
      <c r="P199" s="126">
        <f ca="1" t="shared" si="63"/>
        <v>1</v>
      </c>
      <c r="Q199" s="126">
        <f ca="1" t="shared" si="64"/>
        <v>0.5</v>
      </c>
      <c r="R199" s="126">
        <f ca="1" t="shared" si="65"/>
        <v>2</v>
      </c>
      <c r="S199" s="126"/>
      <c r="AG199"/>
      <c r="AH199"/>
      <c r="AI199"/>
      <c r="AJ199"/>
      <c r="AK199"/>
      <c r="AL199"/>
      <c r="AM199"/>
      <c r="AN199"/>
      <c r="AO199"/>
      <c r="AP199"/>
    </row>
    <row r="200" spans="2:42">
      <c r="B200" s="98">
        <f t="shared" si="51"/>
        <v>198</v>
      </c>
      <c r="C200" s="126">
        <f ca="1" t="shared" si="52"/>
        <v>337</v>
      </c>
      <c r="D200" s="126">
        <f ca="1" t="shared" si="53"/>
        <v>20</v>
      </c>
      <c r="E200" s="126">
        <f ca="1" t="shared" si="54"/>
        <v>10</v>
      </c>
      <c r="F200" s="126">
        <f ca="1" t="shared" si="55"/>
        <v>1.5</v>
      </c>
      <c r="G200" s="126">
        <f ca="1" t="shared" si="56"/>
        <v>0.125</v>
      </c>
      <c r="H200" s="126">
        <f ca="1" t="shared" si="57"/>
        <v>0.013</v>
      </c>
      <c r="J200" s="97">
        <f t="shared" si="58"/>
        <v>198</v>
      </c>
      <c r="K200" s="106">
        <f ca="1" t="shared" si="50"/>
        <v>337</v>
      </c>
      <c r="L200" s="126">
        <f ca="1" t="shared" si="59"/>
        <v>40</v>
      </c>
      <c r="M200" s="126">
        <f ca="1" t="shared" si="60"/>
        <v>1</v>
      </c>
      <c r="N200" s="126">
        <f ca="1" t="shared" si="61"/>
        <v>6</v>
      </c>
      <c r="O200" s="126">
        <f ca="1" t="shared" si="62"/>
        <v>5</v>
      </c>
      <c r="P200" s="126">
        <f ca="1" t="shared" si="63"/>
        <v>1</v>
      </c>
      <c r="Q200" s="126">
        <f ca="1" t="shared" si="64"/>
        <v>0.5</v>
      </c>
      <c r="R200" s="126">
        <f ca="1" t="shared" si="65"/>
        <v>2</v>
      </c>
      <c r="S200" s="126"/>
      <c r="AG200"/>
      <c r="AH200"/>
      <c r="AI200"/>
      <c r="AJ200"/>
      <c r="AK200"/>
      <c r="AL200"/>
      <c r="AM200"/>
      <c r="AN200"/>
      <c r="AO200"/>
      <c r="AP200"/>
    </row>
    <row r="201" spans="2:42">
      <c r="B201" s="98">
        <f t="shared" si="51"/>
        <v>199</v>
      </c>
      <c r="C201" s="126">
        <f ca="1" t="shared" si="52"/>
        <v>338</v>
      </c>
      <c r="D201" s="126">
        <f ca="1" t="shared" si="53"/>
        <v>20</v>
      </c>
      <c r="E201" s="126">
        <f ca="1" t="shared" si="54"/>
        <v>10</v>
      </c>
      <c r="F201" s="126">
        <f ca="1" t="shared" si="55"/>
        <v>1.5</v>
      </c>
      <c r="G201" s="126">
        <f ca="1" t="shared" si="56"/>
        <v>0.125</v>
      </c>
      <c r="H201" s="126">
        <f ca="1" t="shared" si="57"/>
        <v>0.013</v>
      </c>
      <c r="J201" s="97">
        <f t="shared" si="58"/>
        <v>199</v>
      </c>
      <c r="K201" s="106">
        <f ca="1" t="shared" si="50"/>
        <v>338</v>
      </c>
      <c r="L201" s="126">
        <f ca="1" t="shared" si="59"/>
        <v>40</v>
      </c>
      <c r="M201" s="126">
        <f ca="1" t="shared" si="60"/>
        <v>1</v>
      </c>
      <c r="N201" s="126">
        <f ca="1" t="shared" si="61"/>
        <v>6</v>
      </c>
      <c r="O201" s="126">
        <f ca="1" t="shared" si="62"/>
        <v>5</v>
      </c>
      <c r="P201" s="126">
        <f ca="1" t="shared" si="63"/>
        <v>1</v>
      </c>
      <c r="Q201" s="126">
        <f ca="1" t="shared" si="64"/>
        <v>0.5</v>
      </c>
      <c r="R201" s="126">
        <f ca="1" t="shared" si="65"/>
        <v>2</v>
      </c>
      <c r="S201" s="126"/>
      <c r="AG201"/>
      <c r="AH201"/>
      <c r="AI201"/>
      <c r="AJ201"/>
      <c r="AK201"/>
      <c r="AL201"/>
      <c r="AM201"/>
      <c r="AN201"/>
      <c r="AO201"/>
      <c r="AP201"/>
    </row>
    <row r="202" spans="2:42">
      <c r="B202" s="98">
        <f t="shared" si="51"/>
        <v>200</v>
      </c>
      <c r="C202" s="126">
        <f ca="1" t="shared" si="52"/>
        <v>339</v>
      </c>
      <c r="D202" s="126">
        <f ca="1" t="shared" si="53"/>
        <v>20</v>
      </c>
      <c r="E202" s="126">
        <f ca="1" t="shared" si="54"/>
        <v>10</v>
      </c>
      <c r="F202" s="126">
        <f ca="1" t="shared" si="55"/>
        <v>1.5</v>
      </c>
      <c r="G202" s="126">
        <f ca="1" t="shared" si="56"/>
        <v>0.125</v>
      </c>
      <c r="H202" s="126">
        <f ca="1" t="shared" si="57"/>
        <v>0.013</v>
      </c>
      <c r="J202" s="97">
        <f t="shared" si="58"/>
        <v>200</v>
      </c>
      <c r="K202" s="106">
        <f ca="1" t="shared" si="50"/>
        <v>339</v>
      </c>
      <c r="L202" s="126">
        <f ca="1" t="shared" si="59"/>
        <v>40</v>
      </c>
      <c r="M202" s="126">
        <f ca="1" t="shared" si="60"/>
        <v>1</v>
      </c>
      <c r="N202" s="126">
        <f ca="1" t="shared" si="61"/>
        <v>6</v>
      </c>
      <c r="O202" s="126">
        <f ca="1" t="shared" si="62"/>
        <v>5</v>
      </c>
      <c r="P202" s="126">
        <f ca="1" t="shared" si="63"/>
        <v>1</v>
      </c>
      <c r="Q202" s="126">
        <f ca="1" t="shared" si="64"/>
        <v>0.5</v>
      </c>
      <c r="R202" s="126">
        <f ca="1" t="shared" si="65"/>
        <v>2</v>
      </c>
      <c r="S202" s="126"/>
      <c r="AG202"/>
      <c r="AH202"/>
      <c r="AI202"/>
      <c r="AJ202"/>
      <c r="AK202"/>
      <c r="AL202"/>
      <c r="AM202"/>
      <c r="AN202"/>
      <c r="AO202"/>
      <c r="AP202"/>
    </row>
    <row r="203" spans="2:42">
      <c r="B203" s="98">
        <f t="shared" si="51"/>
        <v>201</v>
      </c>
      <c r="C203" s="126">
        <f ca="1" t="shared" si="52"/>
        <v>340</v>
      </c>
      <c r="D203" s="126">
        <f ca="1" t="shared" si="53"/>
        <v>20</v>
      </c>
      <c r="E203" s="126">
        <f ca="1" t="shared" si="54"/>
        <v>10</v>
      </c>
      <c r="F203" s="126">
        <f ca="1" t="shared" si="55"/>
        <v>1.5</v>
      </c>
      <c r="G203" s="126">
        <f ca="1" t="shared" si="56"/>
        <v>0.125</v>
      </c>
      <c r="H203" s="126">
        <f ca="1" t="shared" si="57"/>
        <v>0.013</v>
      </c>
      <c r="J203" s="97">
        <f t="shared" si="58"/>
        <v>201</v>
      </c>
      <c r="K203" s="106">
        <f ca="1" t="shared" si="50"/>
        <v>340</v>
      </c>
      <c r="L203" s="126">
        <f ca="1" t="shared" si="59"/>
        <v>40</v>
      </c>
      <c r="M203" s="126">
        <f ca="1" t="shared" si="60"/>
        <v>1</v>
      </c>
      <c r="N203" s="126">
        <f ca="1" t="shared" si="61"/>
        <v>6</v>
      </c>
      <c r="O203" s="126">
        <f ca="1" t="shared" si="62"/>
        <v>5</v>
      </c>
      <c r="P203" s="126">
        <f ca="1" t="shared" si="63"/>
        <v>1</v>
      </c>
      <c r="Q203" s="126">
        <f ca="1" t="shared" si="64"/>
        <v>0.5</v>
      </c>
      <c r="R203" s="126">
        <f ca="1" t="shared" si="65"/>
        <v>2</v>
      </c>
      <c r="S203" s="126"/>
      <c r="AG203"/>
      <c r="AH203"/>
      <c r="AI203"/>
      <c r="AJ203"/>
      <c r="AK203"/>
      <c r="AL203"/>
      <c r="AM203"/>
      <c r="AN203"/>
      <c r="AO203"/>
      <c r="AP203"/>
    </row>
    <row r="204" spans="2:42">
      <c r="B204" s="98">
        <f t="shared" si="51"/>
        <v>202</v>
      </c>
      <c r="C204" s="126">
        <f ca="1" t="shared" si="52"/>
        <v>341</v>
      </c>
      <c r="D204" s="126">
        <f ca="1" t="shared" si="53"/>
        <v>20</v>
      </c>
      <c r="E204" s="126">
        <f ca="1" t="shared" si="54"/>
        <v>10</v>
      </c>
      <c r="F204" s="126">
        <f ca="1" t="shared" si="55"/>
        <v>1.5</v>
      </c>
      <c r="G204" s="126">
        <f ca="1" t="shared" si="56"/>
        <v>0.125</v>
      </c>
      <c r="H204" s="126">
        <f ca="1" t="shared" si="57"/>
        <v>0.013</v>
      </c>
      <c r="J204" s="97">
        <f t="shared" si="58"/>
        <v>202</v>
      </c>
      <c r="K204" s="106">
        <f ca="1" t="shared" si="50"/>
        <v>341</v>
      </c>
      <c r="L204" s="126">
        <f ca="1" t="shared" si="59"/>
        <v>40</v>
      </c>
      <c r="M204" s="126">
        <f ca="1" t="shared" si="60"/>
        <v>1</v>
      </c>
      <c r="N204" s="126">
        <f ca="1" t="shared" si="61"/>
        <v>6</v>
      </c>
      <c r="O204" s="126">
        <f ca="1" t="shared" si="62"/>
        <v>5</v>
      </c>
      <c r="P204" s="126">
        <f ca="1" t="shared" si="63"/>
        <v>1</v>
      </c>
      <c r="Q204" s="126">
        <f ca="1" t="shared" si="64"/>
        <v>0.5</v>
      </c>
      <c r="R204" s="126">
        <f ca="1" t="shared" si="65"/>
        <v>2</v>
      </c>
      <c r="S204" s="126"/>
      <c r="AG204"/>
      <c r="AH204"/>
      <c r="AI204"/>
      <c r="AJ204"/>
      <c r="AK204"/>
      <c r="AL204"/>
      <c r="AM204"/>
      <c r="AN204"/>
      <c r="AO204"/>
      <c r="AP204"/>
    </row>
    <row r="205" spans="2:42">
      <c r="B205" s="98">
        <f t="shared" si="51"/>
        <v>203</v>
      </c>
      <c r="C205" s="126">
        <f ca="1" t="shared" si="52"/>
        <v>342</v>
      </c>
      <c r="D205" s="126">
        <f ca="1" t="shared" si="53"/>
        <v>20</v>
      </c>
      <c r="E205" s="126">
        <f ca="1" t="shared" si="54"/>
        <v>10</v>
      </c>
      <c r="F205" s="126">
        <f ca="1" t="shared" si="55"/>
        <v>1.5</v>
      </c>
      <c r="G205" s="126">
        <f ca="1" t="shared" si="56"/>
        <v>0.125</v>
      </c>
      <c r="H205" s="126">
        <f ca="1" t="shared" si="57"/>
        <v>0.013</v>
      </c>
      <c r="J205" s="97">
        <f t="shared" si="58"/>
        <v>203</v>
      </c>
      <c r="K205" s="106">
        <f ca="1" t="shared" si="50"/>
        <v>342</v>
      </c>
      <c r="L205" s="126">
        <f ca="1" t="shared" si="59"/>
        <v>40</v>
      </c>
      <c r="M205" s="126">
        <f ca="1" t="shared" si="60"/>
        <v>1</v>
      </c>
      <c r="N205" s="126">
        <f ca="1" t="shared" si="61"/>
        <v>6</v>
      </c>
      <c r="O205" s="126">
        <f ca="1" t="shared" si="62"/>
        <v>5</v>
      </c>
      <c r="P205" s="126">
        <f ca="1" t="shared" si="63"/>
        <v>1</v>
      </c>
      <c r="Q205" s="126">
        <f ca="1" t="shared" si="64"/>
        <v>0.5</v>
      </c>
      <c r="R205" s="126">
        <f ca="1" t="shared" si="65"/>
        <v>2</v>
      </c>
      <c r="S205" s="126"/>
      <c r="AG205"/>
      <c r="AH205"/>
      <c r="AI205"/>
      <c r="AJ205"/>
      <c r="AK205"/>
      <c r="AL205"/>
      <c r="AM205"/>
      <c r="AN205"/>
      <c r="AO205"/>
      <c r="AP205"/>
    </row>
    <row r="206" spans="2:42">
      <c r="B206" s="98">
        <f t="shared" si="51"/>
        <v>204</v>
      </c>
      <c r="C206" s="126">
        <f ca="1" t="shared" si="52"/>
        <v>343</v>
      </c>
      <c r="D206" s="126">
        <f ca="1" t="shared" si="53"/>
        <v>20</v>
      </c>
      <c r="E206" s="126">
        <f ca="1" t="shared" si="54"/>
        <v>10</v>
      </c>
      <c r="F206" s="126">
        <f ca="1" t="shared" si="55"/>
        <v>1.5</v>
      </c>
      <c r="G206" s="126">
        <f ca="1" t="shared" si="56"/>
        <v>0.125</v>
      </c>
      <c r="H206" s="126">
        <f ca="1" t="shared" si="57"/>
        <v>0.013</v>
      </c>
      <c r="J206" s="97">
        <f t="shared" si="58"/>
        <v>204</v>
      </c>
      <c r="K206" s="106">
        <f ca="1" t="shared" si="50"/>
        <v>343</v>
      </c>
      <c r="L206" s="126">
        <f ca="1" t="shared" si="59"/>
        <v>40</v>
      </c>
      <c r="M206" s="126">
        <f ca="1" t="shared" si="60"/>
        <v>1</v>
      </c>
      <c r="N206" s="126">
        <f ca="1" t="shared" si="61"/>
        <v>6</v>
      </c>
      <c r="O206" s="126">
        <f ca="1" t="shared" si="62"/>
        <v>5</v>
      </c>
      <c r="P206" s="126">
        <f ca="1" t="shared" si="63"/>
        <v>1</v>
      </c>
      <c r="Q206" s="126">
        <f ca="1" t="shared" si="64"/>
        <v>0.5</v>
      </c>
      <c r="R206" s="126">
        <f ca="1" t="shared" si="65"/>
        <v>2</v>
      </c>
      <c r="S206" s="126"/>
      <c r="AG206"/>
      <c r="AH206"/>
      <c r="AI206"/>
      <c r="AJ206"/>
      <c r="AK206"/>
      <c r="AL206"/>
      <c r="AM206"/>
      <c r="AN206"/>
      <c r="AO206"/>
      <c r="AP206"/>
    </row>
    <row r="207" spans="2:42">
      <c r="B207" s="98">
        <f t="shared" si="51"/>
        <v>205</v>
      </c>
      <c r="C207" s="126">
        <f ca="1" t="shared" si="52"/>
        <v>344</v>
      </c>
      <c r="D207" s="126">
        <f ca="1" t="shared" si="53"/>
        <v>20</v>
      </c>
      <c r="E207" s="126">
        <f ca="1" t="shared" si="54"/>
        <v>10</v>
      </c>
      <c r="F207" s="126">
        <f ca="1" t="shared" si="55"/>
        <v>1.5</v>
      </c>
      <c r="G207" s="126">
        <f ca="1" t="shared" si="56"/>
        <v>0.125</v>
      </c>
      <c r="H207" s="126">
        <f ca="1" t="shared" si="57"/>
        <v>0.013</v>
      </c>
      <c r="J207" s="97">
        <f t="shared" si="58"/>
        <v>205</v>
      </c>
      <c r="K207" s="106">
        <f ca="1" t="shared" si="50"/>
        <v>344</v>
      </c>
      <c r="L207" s="126">
        <f ca="1" t="shared" si="59"/>
        <v>40</v>
      </c>
      <c r="M207" s="126">
        <f ca="1" t="shared" si="60"/>
        <v>1</v>
      </c>
      <c r="N207" s="126">
        <f ca="1" t="shared" si="61"/>
        <v>6</v>
      </c>
      <c r="O207" s="126">
        <f ca="1" t="shared" si="62"/>
        <v>5</v>
      </c>
      <c r="P207" s="126">
        <f ca="1" t="shared" si="63"/>
        <v>1</v>
      </c>
      <c r="Q207" s="126">
        <f ca="1" t="shared" si="64"/>
        <v>0.5</v>
      </c>
      <c r="R207" s="126">
        <f ca="1" t="shared" si="65"/>
        <v>2</v>
      </c>
      <c r="S207" s="126"/>
      <c r="AG207"/>
      <c r="AH207"/>
      <c r="AI207"/>
      <c r="AJ207"/>
      <c r="AK207"/>
      <c r="AL207"/>
      <c r="AM207"/>
      <c r="AN207"/>
      <c r="AO207"/>
      <c r="AP207"/>
    </row>
    <row r="208" spans="2:42">
      <c r="B208" s="98">
        <f t="shared" si="51"/>
        <v>206</v>
      </c>
      <c r="C208" s="126">
        <f ca="1" t="shared" si="52"/>
        <v>345</v>
      </c>
      <c r="D208" s="126">
        <f ca="1" t="shared" si="53"/>
        <v>20</v>
      </c>
      <c r="E208" s="126">
        <f ca="1" t="shared" si="54"/>
        <v>10</v>
      </c>
      <c r="F208" s="126">
        <f ca="1" t="shared" si="55"/>
        <v>1.5</v>
      </c>
      <c r="G208" s="126">
        <f ca="1" t="shared" si="56"/>
        <v>0.125</v>
      </c>
      <c r="H208" s="126">
        <f ca="1" t="shared" si="57"/>
        <v>0.013</v>
      </c>
      <c r="J208" s="97">
        <f t="shared" si="58"/>
        <v>206</v>
      </c>
      <c r="K208" s="106">
        <f ca="1" t="shared" si="50"/>
        <v>345</v>
      </c>
      <c r="L208" s="126">
        <f ca="1" t="shared" si="59"/>
        <v>40</v>
      </c>
      <c r="M208" s="126">
        <f ca="1" t="shared" si="60"/>
        <v>1</v>
      </c>
      <c r="N208" s="126">
        <f ca="1" t="shared" si="61"/>
        <v>6</v>
      </c>
      <c r="O208" s="126">
        <f ca="1" t="shared" si="62"/>
        <v>5</v>
      </c>
      <c r="P208" s="126">
        <f ca="1" t="shared" si="63"/>
        <v>1</v>
      </c>
      <c r="Q208" s="126">
        <f ca="1" t="shared" si="64"/>
        <v>0.5</v>
      </c>
      <c r="R208" s="126">
        <f ca="1" t="shared" si="65"/>
        <v>2</v>
      </c>
      <c r="S208" s="126"/>
      <c r="AG208"/>
      <c r="AH208"/>
      <c r="AI208"/>
      <c r="AJ208"/>
      <c r="AK208"/>
      <c r="AL208"/>
      <c r="AM208"/>
      <c r="AN208"/>
      <c r="AO208"/>
      <c r="AP208"/>
    </row>
    <row r="209" spans="2:42">
      <c r="B209" s="98">
        <f t="shared" si="51"/>
        <v>207</v>
      </c>
      <c r="C209" s="126">
        <f ca="1" t="shared" si="52"/>
        <v>346</v>
      </c>
      <c r="D209" s="126">
        <f ca="1" t="shared" si="53"/>
        <v>20</v>
      </c>
      <c r="E209" s="126">
        <f ca="1" t="shared" si="54"/>
        <v>10</v>
      </c>
      <c r="F209" s="126">
        <f ca="1" t="shared" si="55"/>
        <v>1.5</v>
      </c>
      <c r="G209" s="126">
        <f ca="1" t="shared" si="56"/>
        <v>0.125</v>
      </c>
      <c r="H209" s="126">
        <f ca="1" t="shared" si="57"/>
        <v>0.013</v>
      </c>
      <c r="J209" s="97">
        <f t="shared" si="58"/>
        <v>207</v>
      </c>
      <c r="K209" s="106">
        <f ca="1" t="shared" si="50"/>
        <v>346</v>
      </c>
      <c r="L209" s="126">
        <f ca="1" t="shared" si="59"/>
        <v>40</v>
      </c>
      <c r="M209" s="126">
        <f ca="1" t="shared" si="60"/>
        <v>1</v>
      </c>
      <c r="N209" s="126">
        <f ca="1" t="shared" si="61"/>
        <v>6</v>
      </c>
      <c r="O209" s="126">
        <f ca="1" t="shared" si="62"/>
        <v>5</v>
      </c>
      <c r="P209" s="126">
        <f ca="1" t="shared" si="63"/>
        <v>1</v>
      </c>
      <c r="Q209" s="126">
        <f ca="1" t="shared" si="64"/>
        <v>0.5</v>
      </c>
      <c r="R209" s="126">
        <f ca="1" t="shared" si="65"/>
        <v>2</v>
      </c>
      <c r="S209" s="126"/>
      <c r="AG209"/>
      <c r="AH209"/>
      <c r="AI209"/>
      <c r="AJ209"/>
      <c r="AK209"/>
      <c r="AL209"/>
      <c r="AM209"/>
      <c r="AN209"/>
      <c r="AO209"/>
      <c r="AP209"/>
    </row>
    <row r="210" spans="2:42">
      <c r="B210" s="98">
        <f t="shared" si="51"/>
        <v>208</v>
      </c>
      <c r="C210" s="126">
        <f ca="1" t="shared" si="52"/>
        <v>347</v>
      </c>
      <c r="D210" s="126">
        <f ca="1" t="shared" si="53"/>
        <v>20</v>
      </c>
      <c r="E210" s="126">
        <f ca="1" t="shared" si="54"/>
        <v>10</v>
      </c>
      <c r="F210" s="126">
        <f ca="1" t="shared" si="55"/>
        <v>1.5</v>
      </c>
      <c r="G210" s="126">
        <f ca="1" t="shared" si="56"/>
        <v>0.125</v>
      </c>
      <c r="H210" s="126">
        <f ca="1" t="shared" si="57"/>
        <v>0.013</v>
      </c>
      <c r="J210" s="97">
        <f t="shared" si="58"/>
        <v>208</v>
      </c>
      <c r="K210" s="106">
        <f ca="1" t="shared" si="50"/>
        <v>347</v>
      </c>
      <c r="L210" s="126">
        <f ca="1" t="shared" si="59"/>
        <v>40</v>
      </c>
      <c r="M210" s="126">
        <f ca="1" t="shared" si="60"/>
        <v>1</v>
      </c>
      <c r="N210" s="126">
        <f ca="1" t="shared" si="61"/>
        <v>6</v>
      </c>
      <c r="O210" s="126">
        <f ca="1" t="shared" si="62"/>
        <v>5</v>
      </c>
      <c r="P210" s="126">
        <f ca="1" t="shared" si="63"/>
        <v>1</v>
      </c>
      <c r="Q210" s="126">
        <f ca="1" t="shared" si="64"/>
        <v>0.5</v>
      </c>
      <c r="R210" s="126">
        <f ca="1" t="shared" si="65"/>
        <v>2</v>
      </c>
      <c r="S210" s="126"/>
      <c r="AG210"/>
      <c r="AH210"/>
      <c r="AI210"/>
      <c r="AJ210"/>
      <c r="AK210"/>
      <c r="AL210"/>
      <c r="AM210"/>
      <c r="AN210"/>
      <c r="AO210"/>
      <c r="AP210"/>
    </row>
    <row r="211" spans="2:42">
      <c r="B211" s="98">
        <f t="shared" si="51"/>
        <v>209</v>
      </c>
      <c r="C211" s="126">
        <f ca="1" t="shared" si="52"/>
        <v>348</v>
      </c>
      <c r="D211" s="126">
        <f ca="1" t="shared" si="53"/>
        <v>20</v>
      </c>
      <c r="E211" s="126">
        <f ca="1" t="shared" si="54"/>
        <v>10</v>
      </c>
      <c r="F211" s="126">
        <f ca="1" t="shared" si="55"/>
        <v>1.5</v>
      </c>
      <c r="G211" s="126">
        <f ca="1" t="shared" si="56"/>
        <v>0.125</v>
      </c>
      <c r="H211" s="126">
        <f ca="1" t="shared" si="57"/>
        <v>0.013</v>
      </c>
      <c r="J211" s="97">
        <f t="shared" si="58"/>
        <v>209</v>
      </c>
      <c r="K211" s="106">
        <f ca="1" t="shared" si="50"/>
        <v>348</v>
      </c>
      <c r="L211" s="126">
        <f ca="1" t="shared" si="59"/>
        <v>40</v>
      </c>
      <c r="M211" s="126">
        <f ca="1" t="shared" si="60"/>
        <v>1</v>
      </c>
      <c r="N211" s="126">
        <f ca="1" t="shared" si="61"/>
        <v>6</v>
      </c>
      <c r="O211" s="126">
        <f ca="1" t="shared" si="62"/>
        <v>5</v>
      </c>
      <c r="P211" s="126">
        <f ca="1" t="shared" si="63"/>
        <v>1</v>
      </c>
      <c r="Q211" s="126">
        <f ca="1" t="shared" si="64"/>
        <v>0.5</v>
      </c>
      <c r="R211" s="126">
        <f ca="1" t="shared" si="65"/>
        <v>2</v>
      </c>
      <c r="S211" s="126"/>
      <c r="AG211"/>
      <c r="AH211"/>
      <c r="AI211"/>
      <c r="AJ211"/>
      <c r="AK211"/>
      <c r="AL211"/>
      <c r="AM211"/>
      <c r="AN211"/>
      <c r="AO211"/>
      <c r="AP211"/>
    </row>
    <row r="212" spans="2:42">
      <c r="B212" s="98">
        <f t="shared" si="51"/>
        <v>210</v>
      </c>
      <c r="C212" s="126">
        <f ca="1" t="shared" si="52"/>
        <v>349</v>
      </c>
      <c r="D212" s="126">
        <f ca="1" t="shared" si="53"/>
        <v>20</v>
      </c>
      <c r="E212" s="126">
        <f ca="1" t="shared" si="54"/>
        <v>10</v>
      </c>
      <c r="F212" s="126">
        <f ca="1" t="shared" si="55"/>
        <v>1.5</v>
      </c>
      <c r="G212" s="126">
        <f ca="1" t="shared" si="56"/>
        <v>0.125</v>
      </c>
      <c r="H212" s="126">
        <f ca="1" t="shared" si="57"/>
        <v>0.013</v>
      </c>
      <c r="J212" s="97">
        <f t="shared" si="58"/>
        <v>210</v>
      </c>
      <c r="K212" s="106">
        <f ca="1" t="shared" si="50"/>
        <v>349</v>
      </c>
      <c r="L212" s="126">
        <f ca="1" t="shared" si="59"/>
        <v>40</v>
      </c>
      <c r="M212" s="126">
        <f ca="1" t="shared" si="60"/>
        <v>1</v>
      </c>
      <c r="N212" s="126">
        <f ca="1" t="shared" si="61"/>
        <v>6</v>
      </c>
      <c r="O212" s="126">
        <f ca="1" t="shared" si="62"/>
        <v>5</v>
      </c>
      <c r="P212" s="126">
        <f ca="1" t="shared" si="63"/>
        <v>1</v>
      </c>
      <c r="Q212" s="126">
        <f ca="1" t="shared" si="64"/>
        <v>0.5</v>
      </c>
      <c r="R212" s="126">
        <f ca="1" t="shared" si="65"/>
        <v>2</v>
      </c>
      <c r="S212" s="126"/>
      <c r="AG212"/>
      <c r="AH212"/>
      <c r="AI212"/>
      <c r="AJ212"/>
      <c r="AK212"/>
      <c r="AL212"/>
      <c r="AM212"/>
      <c r="AN212"/>
      <c r="AO212"/>
      <c r="AP212"/>
    </row>
    <row r="213" spans="2:42">
      <c r="B213" s="98">
        <f t="shared" si="51"/>
        <v>211</v>
      </c>
      <c r="C213" s="126">
        <f ca="1" t="shared" si="52"/>
        <v>350</v>
      </c>
      <c r="D213" s="126">
        <f ca="1" t="shared" si="53"/>
        <v>20</v>
      </c>
      <c r="E213" s="126">
        <f ca="1" t="shared" si="54"/>
        <v>10</v>
      </c>
      <c r="F213" s="126">
        <f ca="1" t="shared" si="55"/>
        <v>1.5</v>
      </c>
      <c r="G213" s="126">
        <f ca="1" t="shared" si="56"/>
        <v>0.125</v>
      </c>
      <c r="H213" s="126">
        <f ca="1" t="shared" si="57"/>
        <v>0.013</v>
      </c>
      <c r="J213" s="97">
        <f t="shared" si="58"/>
        <v>211</v>
      </c>
      <c r="K213" s="106">
        <f ca="1" t="shared" si="50"/>
        <v>350</v>
      </c>
      <c r="L213" s="126">
        <f ca="1" t="shared" si="59"/>
        <v>40</v>
      </c>
      <c r="M213" s="126">
        <f ca="1" t="shared" si="60"/>
        <v>1</v>
      </c>
      <c r="N213" s="126">
        <f ca="1" t="shared" si="61"/>
        <v>6</v>
      </c>
      <c r="O213" s="126">
        <f ca="1" t="shared" si="62"/>
        <v>5</v>
      </c>
      <c r="P213" s="126">
        <f ca="1" t="shared" si="63"/>
        <v>1</v>
      </c>
      <c r="Q213" s="126">
        <f ca="1" t="shared" si="64"/>
        <v>0.5</v>
      </c>
      <c r="R213" s="126">
        <f ca="1" t="shared" si="65"/>
        <v>2</v>
      </c>
      <c r="S213" s="126"/>
      <c r="AG213"/>
      <c r="AH213"/>
      <c r="AI213"/>
      <c r="AJ213"/>
      <c r="AK213"/>
      <c r="AL213"/>
      <c r="AM213"/>
      <c r="AN213"/>
      <c r="AO213"/>
      <c r="AP213"/>
    </row>
    <row r="214" spans="2:42">
      <c r="B214" s="98">
        <f t="shared" si="51"/>
        <v>212</v>
      </c>
      <c r="C214" s="126">
        <f ca="1" t="shared" si="52"/>
        <v>351</v>
      </c>
      <c r="D214" s="126">
        <f ca="1" t="shared" si="53"/>
        <v>20</v>
      </c>
      <c r="E214" s="126">
        <f ca="1" t="shared" si="54"/>
        <v>10</v>
      </c>
      <c r="F214" s="126">
        <f ca="1" t="shared" si="55"/>
        <v>1.5</v>
      </c>
      <c r="G214" s="126">
        <f ca="1" t="shared" si="56"/>
        <v>0.125</v>
      </c>
      <c r="H214" s="126">
        <f ca="1" t="shared" si="57"/>
        <v>0.013</v>
      </c>
      <c r="J214" s="97">
        <f t="shared" si="58"/>
        <v>212</v>
      </c>
      <c r="K214" s="106">
        <f ca="1" t="shared" si="50"/>
        <v>351</v>
      </c>
      <c r="L214" s="126">
        <f ca="1" t="shared" si="59"/>
        <v>40</v>
      </c>
      <c r="M214" s="126">
        <f ca="1" t="shared" si="60"/>
        <v>1</v>
      </c>
      <c r="N214" s="126">
        <f ca="1" t="shared" si="61"/>
        <v>6</v>
      </c>
      <c r="O214" s="126">
        <f ca="1" t="shared" si="62"/>
        <v>5</v>
      </c>
      <c r="P214" s="126">
        <f ca="1" t="shared" si="63"/>
        <v>1</v>
      </c>
      <c r="Q214" s="126">
        <f ca="1" t="shared" si="64"/>
        <v>0.5</v>
      </c>
      <c r="R214" s="126">
        <f ca="1" t="shared" si="65"/>
        <v>2</v>
      </c>
      <c r="S214" s="126"/>
      <c r="AG214"/>
      <c r="AH214"/>
      <c r="AI214"/>
      <c r="AJ214"/>
      <c r="AK214"/>
      <c r="AL214"/>
      <c r="AM214"/>
      <c r="AN214"/>
      <c r="AO214"/>
      <c r="AP214"/>
    </row>
    <row r="215" spans="2:42">
      <c r="B215" s="98">
        <f t="shared" si="51"/>
        <v>213</v>
      </c>
      <c r="C215" s="126">
        <f ca="1" t="shared" si="52"/>
        <v>352</v>
      </c>
      <c r="D215" s="126">
        <f ca="1" t="shared" si="53"/>
        <v>20</v>
      </c>
      <c r="E215" s="126">
        <f ca="1" t="shared" si="54"/>
        <v>10</v>
      </c>
      <c r="F215" s="126">
        <f ca="1" t="shared" si="55"/>
        <v>1.5</v>
      </c>
      <c r="G215" s="126">
        <f ca="1" t="shared" si="56"/>
        <v>0.125</v>
      </c>
      <c r="H215" s="126">
        <f ca="1" t="shared" si="57"/>
        <v>0.013</v>
      </c>
      <c r="J215" s="97">
        <f t="shared" si="58"/>
        <v>213</v>
      </c>
      <c r="K215" s="106">
        <f ca="1" t="shared" si="50"/>
        <v>352</v>
      </c>
      <c r="L215" s="126">
        <f ca="1" t="shared" si="59"/>
        <v>40</v>
      </c>
      <c r="M215" s="126">
        <f ca="1" t="shared" si="60"/>
        <v>1</v>
      </c>
      <c r="N215" s="126">
        <f ca="1" t="shared" si="61"/>
        <v>6</v>
      </c>
      <c r="O215" s="126">
        <f ca="1" t="shared" si="62"/>
        <v>5</v>
      </c>
      <c r="P215" s="126">
        <f ca="1" t="shared" si="63"/>
        <v>1</v>
      </c>
      <c r="Q215" s="126">
        <f ca="1" t="shared" si="64"/>
        <v>0.5</v>
      </c>
      <c r="R215" s="126">
        <f ca="1" t="shared" si="65"/>
        <v>2</v>
      </c>
      <c r="S215" s="126"/>
      <c r="AG215"/>
      <c r="AH215"/>
      <c r="AI215"/>
      <c r="AJ215"/>
      <c r="AK215"/>
      <c r="AL215"/>
      <c r="AM215"/>
      <c r="AN215"/>
      <c r="AO215"/>
      <c r="AP215"/>
    </row>
    <row r="216" spans="2:42">
      <c r="B216" s="98">
        <f t="shared" si="51"/>
        <v>214</v>
      </c>
      <c r="C216" s="126">
        <f ca="1" t="shared" si="52"/>
        <v>353</v>
      </c>
      <c r="D216" s="126">
        <f ca="1" t="shared" si="53"/>
        <v>20</v>
      </c>
      <c r="E216" s="126">
        <f ca="1" t="shared" si="54"/>
        <v>10</v>
      </c>
      <c r="F216" s="126">
        <f ca="1" t="shared" si="55"/>
        <v>1.5</v>
      </c>
      <c r="G216" s="126">
        <f ca="1" t="shared" si="56"/>
        <v>0.125</v>
      </c>
      <c r="H216" s="126">
        <f ca="1" t="shared" si="57"/>
        <v>0.013</v>
      </c>
      <c r="J216" s="97">
        <f t="shared" si="58"/>
        <v>214</v>
      </c>
      <c r="K216" s="106">
        <f ca="1" t="shared" si="50"/>
        <v>353</v>
      </c>
      <c r="L216" s="126">
        <f ca="1" t="shared" si="59"/>
        <v>40</v>
      </c>
      <c r="M216" s="126">
        <f ca="1" t="shared" si="60"/>
        <v>1</v>
      </c>
      <c r="N216" s="126">
        <f ca="1" t="shared" si="61"/>
        <v>6</v>
      </c>
      <c r="O216" s="126">
        <f ca="1" t="shared" si="62"/>
        <v>5</v>
      </c>
      <c r="P216" s="126">
        <f ca="1" t="shared" si="63"/>
        <v>1</v>
      </c>
      <c r="Q216" s="126">
        <f ca="1" t="shared" si="64"/>
        <v>0.5</v>
      </c>
      <c r="R216" s="126">
        <f ca="1" t="shared" si="65"/>
        <v>2</v>
      </c>
      <c r="S216" s="126"/>
      <c r="AG216"/>
      <c r="AH216"/>
      <c r="AI216"/>
      <c r="AJ216"/>
      <c r="AK216"/>
      <c r="AL216"/>
      <c r="AM216"/>
      <c r="AN216"/>
      <c r="AO216"/>
      <c r="AP216"/>
    </row>
    <row r="217" spans="2:42">
      <c r="B217" s="98">
        <f t="shared" si="51"/>
        <v>215</v>
      </c>
      <c r="C217" s="126">
        <f ca="1" t="shared" si="52"/>
        <v>354</v>
      </c>
      <c r="D217" s="126">
        <f ca="1" t="shared" si="53"/>
        <v>20</v>
      </c>
      <c r="E217" s="126">
        <f ca="1" t="shared" si="54"/>
        <v>10</v>
      </c>
      <c r="F217" s="126">
        <f ca="1" t="shared" si="55"/>
        <v>1.5</v>
      </c>
      <c r="G217" s="126">
        <f ca="1" t="shared" si="56"/>
        <v>0.125</v>
      </c>
      <c r="H217" s="126">
        <f ca="1" t="shared" si="57"/>
        <v>0.013</v>
      </c>
      <c r="J217" s="97">
        <f t="shared" si="58"/>
        <v>215</v>
      </c>
      <c r="K217" s="106">
        <f ca="1" t="shared" si="50"/>
        <v>354</v>
      </c>
      <c r="L217" s="126">
        <f ca="1" t="shared" si="59"/>
        <v>40</v>
      </c>
      <c r="M217" s="126">
        <f ca="1" t="shared" si="60"/>
        <v>1</v>
      </c>
      <c r="N217" s="126">
        <f ca="1" t="shared" si="61"/>
        <v>6</v>
      </c>
      <c r="O217" s="126">
        <f ca="1" t="shared" si="62"/>
        <v>5</v>
      </c>
      <c r="P217" s="126">
        <f ca="1" t="shared" si="63"/>
        <v>1</v>
      </c>
      <c r="Q217" s="126">
        <f ca="1" t="shared" si="64"/>
        <v>0.5</v>
      </c>
      <c r="R217" s="126">
        <f ca="1" t="shared" si="65"/>
        <v>2</v>
      </c>
      <c r="S217" s="126"/>
      <c r="AG217"/>
      <c r="AH217"/>
      <c r="AI217"/>
      <c r="AJ217"/>
      <c r="AK217"/>
      <c r="AL217"/>
      <c r="AM217"/>
      <c r="AN217"/>
      <c r="AO217"/>
      <c r="AP217"/>
    </row>
    <row r="218" spans="2:42">
      <c r="B218" s="98">
        <f t="shared" si="51"/>
        <v>216</v>
      </c>
      <c r="C218" s="126">
        <f ca="1" t="shared" si="52"/>
        <v>355</v>
      </c>
      <c r="D218" s="126">
        <f ca="1" t="shared" si="53"/>
        <v>20</v>
      </c>
      <c r="E218" s="126">
        <f ca="1" t="shared" si="54"/>
        <v>10</v>
      </c>
      <c r="F218" s="126">
        <f ca="1" t="shared" si="55"/>
        <v>1.5</v>
      </c>
      <c r="G218" s="126">
        <f ca="1" t="shared" si="56"/>
        <v>0.125</v>
      </c>
      <c r="H218" s="126">
        <f ca="1" t="shared" si="57"/>
        <v>0.013</v>
      </c>
      <c r="J218" s="97">
        <f t="shared" si="58"/>
        <v>216</v>
      </c>
      <c r="K218" s="106">
        <f ca="1" t="shared" si="50"/>
        <v>355</v>
      </c>
      <c r="L218" s="126">
        <f ca="1" t="shared" si="59"/>
        <v>40</v>
      </c>
      <c r="M218" s="126">
        <f ca="1" t="shared" si="60"/>
        <v>1</v>
      </c>
      <c r="N218" s="126">
        <f ca="1" t="shared" si="61"/>
        <v>6</v>
      </c>
      <c r="O218" s="126">
        <f ca="1" t="shared" si="62"/>
        <v>5</v>
      </c>
      <c r="P218" s="126">
        <f ca="1" t="shared" si="63"/>
        <v>1</v>
      </c>
      <c r="Q218" s="126">
        <f ca="1" t="shared" si="64"/>
        <v>0.5</v>
      </c>
      <c r="R218" s="126">
        <f ca="1" t="shared" si="65"/>
        <v>2</v>
      </c>
      <c r="S218" s="126"/>
      <c r="AG218"/>
      <c r="AH218"/>
      <c r="AI218"/>
      <c r="AJ218"/>
      <c r="AK218"/>
      <c r="AL218"/>
      <c r="AM218"/>
      <c r="AN218"/>
      <c r="AO218"/>
      <c r="AP218"/>
    </row>
    <row r="219" spans="2:42">
      <c r="B219" s="98">
        <f t="shared" si="51"/>
        <v>217</v>
      </c>
      <c r="C219" s="126">
        <f ca="1" t="shared" si="52"/>
        <v>356</v>
      </c>
      <c r="D219" s="126">
        <f ca="1" t="shared" si="53"/>
        <v>20</v>
      </c>
      <c r="E219" s="126">
        <f ca="1" t="shared" si="54"/>
        <v>10</v>
      </c>
      <c r="F219" s="126">
        <f ca="1" t="shared" si="55"/>
        <v>1.5</v>
      </c>
      <c r="G219" s="126">
        <f ca="1" t="shared" si="56"/>
        <v>0.125</v>
      </c>
      <c r="H219" s="126">
        <f ca="1" t="shared" si="57"/>
        <v>0.013</v>
      </c>
      <c r="J219" s="97">
        <f t="shared" si="58"/>
        <v>217</v>
      </c>
      <c r="K219" s="106">
        <f ca="1" t="shared" si="50"/>
        <v>356</v>
      </c>
      <c r="L219" s="126">
        <f ca="1" t="shared" si="59"/>
        <v>40</v>
      </c>
      <c r="M219" s="126">
        <f ca="1" t="shared" si="60"/>
        <v>1</v>
      </c>
      <c r="N219" s="126">
        <f ca="1" t="shared" si="61"/>
        <v>6</v>
      </c>
      <c r="O219" s="126">
        <f ca="1" t="shared" si="62"/>
        <v>5</v>
      </c>
      <c r="P219" s="126">
        <f ca="1" t="shared" si="63"/>
        <v>1</v>
      </c>
      <c r="Q219" s="126">
        <f ca="1" t="shared" si="64"/>
        <v>0.5</v>
      </c>
      <c r="R219" s="126">
        <f ca="1" t="shared" si="65"/>
        <v>2</v>
      </c>
      <c r="S219" s="126"/>
      <c r="AG219"/>
      <c r="AH219"/>
      <c r="AI219"/>
      <c r="AJ219"/>
      <c r="AK219"/>
      <c r="AL219"/>
      <c r="AM219"/>
      <c r="AN219"/>
      <c r="AO219"/>
      <c r="AP219"/>
    </row>
    <row r="220" spans="2:42">
      <c r="B220" s="98">
        <f t="shared" si="51"/>
        <v>218</v>
      </c>
      <c r="C220" s="126">
        <f ca="1" t="shared" si="52"/>
        <v>357</v>
      </c>
      <c r="D220" s="126">
        <f ca="1" t="shared" si="53"/>
        <v>20</v>
      </c>
      <c r="E220" s="126">
        <f ca="1" t="shared" si="54"/>
        <v>10</v>
      </c>
      <c r="F220" s="126">
        <f ca="1" t="shared" si="55"/>
        <v>1.5</v>
      </c>
      <c r="G220" s="126">
        <f ca="1" t="shared" si="56"/>
        <v>0.125</v>
      </c>
      <c r="H220" s="126">
        <f ca="1" t="shared" si="57"/>
        <v>0.013</v>
      </c>
      <c r="J220" s="97">
        <f t="shared" si="58"/>
        <v>218</v>
      </c>
      <c r="K220" s="106">
        <f ca="1" t="shared" si="50"/>
        <v>357</v>
      </c>
      <c r="L220" s="126">
        <f ca="1" t="shared" si="59"/>
        <v>40</v>
      </c>
      <c r="M220" s="126">
        <f ca="1" t="shared" si="60"/>
        <v>1</v>
      </c>
      <c r="N220" s="126">
        <f ca="1" t="shared" si="61"/>
        <v>6</v>
      </c>
      <c r="O220" s="126">
        <f ca="1" t="shared" si="62"/>
        <v>5</v>
      </c>
      <c r="P220" s="126">
        <f ca="1" t="shared" si="63"/>
        <v>1</v>
      </c>
      <c r="Q220" s="126">
        <f ca="1" t="shared" si="64"/>
        <v>0.5</v>
      </c>
      <c r="R220" s="126">
        <f ca="1" t="shared" si="65"/>
        <v>2</v>
      </c>
      <c r="S220" s="126"/>
      <c r="AG220"/>
      <c r="AH220"/>
      <c r="AI220"/>
      <c r="AJ220"/>
      <c r="AK220"/>
      <c r="AL220"/>
      <c r="AM220"/>
      <c r="AN220"/>
      <c r="AO220"/>
      <c r="AP220"/>
    </row>
    <row r="221" spans="2:42">
      <c r="B221" s="98">
        <f t="shared" si="51"/>
        <v>219</v>
      </c>
      <c r="C221" s="126">
        <f ca="1" t="shared" si="52"/>
        <v>358</v>
      </c>
      <c r="D221" s="126">
        <f ca="1" t="shared" si="53"/>
        <v>20</v>
      </c>
      <c r="E221" s="126">
        <f ca="1" t="shared" si="54"/>
        <v>10</v>
      </c>
      <c r="F221" s="126">
        <f ca="1" t="shared" si="55"/>
        <v>1.5</v>
      </c>
      <c r="G221" s="126">
        <f ca="1" t="shared" si="56"/>
        <v>0.125</v>
      </c>
      <c r="H221" s="126">
        <f ca="1" t="shared" si="57"/>
        <v>0.013</v>
      </c>
      <c r="J221" s="97">
        <f t="shared" si="58"/>
        <v>219</v>
      </c>
      <c r="K221" s="106">
        <f ca="1" t="shared" si="50"/>
        <v>358</v>
      </c>
      <c r="L221" s="126">
        <f ca="1" t="shared" si="59"/>
        <v>40</v>
      </c>
      <c r="M221" s="126">
        <f ca="1" t="shared" si="60"/>
        <v>1</v>
      </c>
      <c r="N221" s="126">
        <f ca="1" t="shared" si="61"/>
        <v>6</v>
      </c>
      <c r="O221" s="126">
        <f ca="1" t="shared" si="62"/>
        <v>5</v>
      </c>
      <c r="P221" s="126">
        <f ca="1" t="shared" si="63"/>
        <v>1</v>
      </c>
      <c r="Q221" s="126">
        <f ca="1" t="shared" si="64"/>
        <v>0.5</v>
      </c>
      <c r="R221" s="126">
        <f ca="1" t="shared" si="65"/>
        <v>2</v>
      </c>
      <c r="S221" s="126"/>
      <c r="AG221"/>
      <c r="AH221"/>
      <c r="AI221"/>
      <c r="AJ221"/>
      <c r="AK221"/>
      <c r="AL221"/>
      <c r="AM221"/>
      <c r="AN221"/>
      <c r="AO221"/>
      <c r="AP221"/>
    </row>
    <row r="222" spans="2:42">
      <c r="B222" s="98">
        <f t="shared" si="51"/>
        <v>220</v>
      </c>
      <c r="C222" s="126">
        <f ca="1" t="shared" si="52"/>
        <v>359</v>
      </c>
      <c r="D222" s="126">
        <f ca="1" t="shared" si="53"/>
        <v>20</v>
      </c>
      <c r="E222" s="126">
        <f ca="1" t="shared" si="54"/>
        <v>10</v>
      </c>
      <c r="F222" s="126">
        <f ca="1" t="shared" si="55"/>
        <v>1.5</v>
      </c>
      <c r="G222" s="126">
        <f ca="1" t="shared" si="56"/>
        <v>0.125</v>
      </c>
      <c r="H222" s="126">
        <f ca="1" t="shared" si="57"/>
        <v>0.013</v>
      </c>
      <c r="J222" s="97">
        <f t="shared" si="58"/>
        <v>220</v>
      </c>
      <c r="K222" s="106">
        <f ca="1" t="shared" si="50"/>
        <v>359</v>
      </c>
      <c r="L222" s="126">
        <f ca="1" t="shared" si="59"/>
        <v>40</v>
      </c>
      <c r="M222" s="126">
        <f ca="1" t="shared" si="60"/>
        <v>1</v>
      </c>
      <c r="N222" s="126">
        <f ca="1" t="shared" si="61"/>
        <v>6</v>
      </c>
      <c r="O222" s="126">
        <f ca="1" t="shared" si="62"/>
        <v>5</v>
      </c>
      <c r="P222" s="126">
        <f ca="1" t="shared" si="63"/>
        <v>1</v>
      </c>
      <c r="Q222" s="126">
        <f ca="1" t="shared" si="64"/>
        <v>0.5</v>
      </c>
      <c r="R222" s="126">
        <f ca="1" t="shared" si="65"/>
        <v>2</v>
      </c>
      <c r="S222" s="126"/>
      <c r="AG222"/>
      <c r="AH222"/>
      <c r="AI222"/>
      <c r="AJ222"/>
      <c r="AK222"/>
      <c r="AL222"/>
      <c r="AM222"/>
      <c r="AN222"/>
      <c r="AO222"/>
      <c r="AP222"/>
    </row>
    <row r="223" spans="2:42">
      <c r="B223" s="98">
        <f t="shared" si="51"/>
        <v>221</v>
      </c>
      <c r="C223" s="126">
        <f ca="1" t="shared" si="52"/>
        <v>360</v>
      </c>
      <c r="D223" s="126">
        <f ca="1" t="shared" si="53"/>
        <v>20</v>
      </c>
      <c r="E223" s="126">
        <f ca="1" t="shared" si="54"/>
        <v>10</v>
      </c>
      <c r="F223" s="126">
        <f ca="1" t="shared" si="55"/>
        <v>1.5</v>
      </c>
      <c r="G223" s="126">
        <f ca="1" t="shared" si="56"/>
        <v>0.125</v>
      </c>
      <c r="H223" s="126">
        <f ca="1" t="shared" si="57"/>
        <v>0.013</v>
      </c>
      <c r="J223" s="97">
        <f t="shared" si="58"/>
        <v>221</v>
      </c>
      <c r="K223" s="106">
        <f ca="1" t="shared" si="50"/>
        <v>360</v>
      </c>
      <c r="L223" s="126">
        <f ca="1" t="shared" si="59"/>
        <v>40</v>
      </c>
      <c r="M223" s="126">
        <f ca="1" t="shared" si="60"/>
        <v>1</v>
      </c>
      <c r="N223" s="126">
        <f ca="1" t="shared" si="61"/>
        <v>6</v>
      </c>
      <c r="O223" s="126">
        <f ca="1" t="shared" si="62"/>
        <v>5</v>
      </c>
      <c r="P223" s="126">
        <f ca="1" t="shared" si="63"/>
        <v>1</v>
      </c>
      <c r="Q223" s="126">
        <f ca="1" t="shared" si="64"/>
        <v>0.5</v>
      </c>
      <c r="R223" s="126">
        <f ca="1" t="shared" si="65"/>
        <v>2</v>
      </c>
      <c r="S223" s="126"/>
      <c r="AG223"/>
      <c r="AH223"/>
      <c r="AI223"/>
      <c r="AJ223"/>
      <c r="AK223"/>
      <c r="AL223"/>
      <c r="AM223"/>
      <c r="AN223"/>
      <c r="AO223"/>
      <c r="AP223"/>
    </row>
    <row r="224" spans="2:42">
      <c r="B224" s="98">
        <f t="shared" si="51"/>
        <v>222</v>
      </c>
      <c r="C224" s="126">
        <f ca="1" t="shared" si="52"/>
        <v>361</v>
      </c>
      <c r="D224" s="126">
        <f ca="1" t="shared" si="53"/>
        <v>20</v>
      </c>
      <c r="E224" s="126">
        <f ca="1" t="shared" si="54"/>
        <v>10</v>
      </c>
      <c r="F224" s="126">
        <f ca="1" t="shared" si="55"/>
        <v>1.5</v>
      </c>
      <c r="G224" s="126">
        <f ca="1" t="shared" si="56"/>
        <v>0.125</v>
      </c>
      <c r="H224" s="126">
        <f ca="1" t="shared" si="57"/>
        <v>0.013</v>
      </c>
      <c r="J224" s="97">
        <f t="shared" si="58"/>
        <v>222</v>
      </c>
      <c r="K224" s="106">
        <f ca="1" t="shared" si="50"/>
        <v>361</v>
      </c>
      <c r="L224" s="126">
        <f ca="1" t="shared" si="59"/>
        <v>40</v>
      </c>
      <c r="M224" s="126">
        <f ca="1" t="shared" si="60"/>
        <v>1</v>
      </c>
      <c r="N224" s="126">
        <f ca="1" t="shared" si="61"/>
        <v>6</v>
      </c>
      <c r="O224" s="126">
        <f ca="1" t="shared" si="62"/>
        <v>5</v>
      </c>
      <c r="P224" s="126">
        <f ca="1" t="shared" si="63"/>
        <v>1</v>
      </c>
      <c r="Q224" s="126">
        <f ca="1" t="shared" si="64"/>
        <v>0.5</v>
      </c>
      <c r="R224" s="126">
        <f ca="1" t="shared" si="65"/>
        <v>2</v>
      </c>
      <c r="S224" s="126"/>
      <c r="AG224"/>
      <c r="AH224"/>
      <c r="AI224"/>
      <c r="AJ224"/>
      <c r="AK224"/>
      <c r="AL224"/>
      <c r="AM224"/>
      <c r="AN224"/>
      <c r="AO224"/>
      <c r="AP224"/>
    </row>
    <row r="225" spans="2:42">
      <c r="B225" s="98">
        <f t="shared" si="51"/>
        <v>223</v>
      </c>
      <c r="C225" s="126">
        <f ca="1" t="shared" si="52"/>
        <v>362</v>
      </c>
      <c r="D225" s="126">
        <f ca="1" t="shared" si="53"/>
        <v>20</v>
      </c>
      <c r="E225" s="126">
        <f ca="1" t="shared" si="54"/>
        <v>10</v>
      </c>
      <c r="F225" s="126">
        <f ca="1" t="shared" si="55"/>
        <v>1.5</v>
      </c>
      <c r="G225" s="126">
        <f ca="1" t="shared" si="56"/>
        <v>0.125</v>
      </c>
      <c r="H225" s="126">
        <f ca="1" t="shared" si="57"/>
        <v>0.013</v>
      </c>
      <c r="J225" s="97">
        <f t="shared" si="58"/>
        <v>223</v>
      </c>
      <c r="K225" s="106">
        <f ca="1" t="shared" si="50"/>
        <v>362</v>
      </c>
      <c r="L225" s="126">
        <f ca="1" t="shared" si="59"/>
        <v>40</v>
      </c>
      <c r="M225" s="126">
        <f ca="1" t="shared" si="60"/>
        <v>1</v>
      </c>
      <c r="N225" s="126">
        <f ca="1" t="shared" si="61"/>
        <v>6</v>
      </c>
      <c r="O225" s="126">
        <f ca="1" t="shared" si="62"/>
        <v>5</v>
      </c>
      <c r="P225" s="126">
        <f ca="1" t="shared" si="63"/>
        <v>1</v>
      </c>
      <c r="Q225" s="126">
        <f ca="1" t="shared" si="64"/>
        <v>0.5</v>
      </c>
      <c r="R225" s="126">
        <f ca="1" t="shared" si="65"/>
        <v>2</v>
      </c>
      <c r="S225" s="126"/>
      <c r="AG225"/>
      <c r="AH225"/>
      <c r="AI225"/>
      <c r="AJ225"/>
      <c r="AK225"/>
      <c r="AL225"/>
      <c r="AM225"/>
      <c r="AN225"/>
      <c r="AO225"/>
      <c r="AP225"/>
    </row>
    <row r="226" spans="2:42">
      <c r="B226" s="98">
        <f t="shared" si="51"/>
        <v>224</v>
      </c>
      <c r="C226" s="126">
        <f ca="1" t="shared" si="52"/>
        <v>363</v>
      </c>
      <c r="D226" s="126">
        <f ca="1" t="shared" si="53"/>
        <v>20</v>
      </c>
      <c r="E226" s="126">
        <f ca="1" t="shared" si="54"/>
        <v>10</v>
      </c>
      <c r="F226" s="126">
        <f ca="1" t="shared" si="55"/>
        <v>1.5</v>
      </c>
      <c r="G226" s="126">
        <f ca="1" t="shared" si="56"/>
        <v>0.125</v>
      </c>
      <c r="H226" s="126">
        <f ca="1" t="shared" si="57"/>
        <v>0.013</v>
      </c>
      <c r="J226" s="97">
        <f t="shared" si="58"/>
        <v>224</v>
      </c>
      <c r="K226" s="106">
        <f ca="1" t="shared" si="50"/>
        <v>363</v>
      </c>
      <c r="L226" s="126">
        <f ca="1" t="shared" si="59"/>
        <v>40</v>
      </c>
      <c r="M226" s="126">
        <f ca="1" t="shared" si="60"/>
        <v>1</v>
      </c>
      <c r="N226" s="126">
        <f ca="1" t="shared" si="61"/>
        <v>6</v>
      </c>
      <c r="O226" s="126">
        <f ca="1" t="shared" si="62"/>
        <v>5</v>
      </c>
      <c r="P226" s="126">
        <f ca="1" t="shared" si="63"/>
        <v>1</v>
      </c>
      <c r="Q226" s="126">
        <f ca="1" t="shared" si="64"/>
        <v>0.5</v>
      </c>
      <c r="R226" s="126">
        <f ca="1" t="shared" si="65"/>
        <v>2</v>
      </c>
      <c r="S226" s="126"/>
      <c r="AG226"/>
      <c r="AH226"/>
      <c r="AI226"/>
      <c r="AJ226"/>
      <c r="AK226"/>
      <c r="AL226"/>
      <c r="AM226"/>
      <c r="AN226"/>
      <c r="AO226"/>
      <c r="AP226"/>
    </row>
    <row r="227" spans="2:42">
      <c r="B227" s="98">
        <f t="shared" si="51"/>
        <v>225</v>
      </c>
      <c r="C227" s="126">
        <f ca="1" t="shared" si="52"/>
        <v>364</v>
      </c>
      <c r="D227" s="126">
        <f ca="1" t="shared" si="53"/>
        <v>20</v>
      </c>
      <c r="E227" s="126">
        <f ca="1" t="shared" si="54"/>
        <v>10</v>
      </c>
      <c r="F227" s="126">
        <f ca="1" t="shared" si="55"/>
        <v>1.5</v>
      </c>
      <c r="G227" s="126">
        <f ca="1" t="shared" si="56"/>
        <v>0.125</v>
      </c>
      <c r="H227" s="126">
        <f ca="1" t="shared" si="57"/>
        <v>0.013</v>
      </c>
      <c r="J227" s="97">
        <f t="shared" si="58"/>
        <v>225</v>
      </c>
      <c r="K227" s="106">
        <f ca="1" t="shared" si="50"/>
        <v>364</v>
      </c>
      <c r="L227" s="126">
        <f ca="1" t="shared" si="59"/>
        <v>40</v>
      </c>
      <c r="M227" s="126">
        <f ca="1" t="shared" si="60"/>
        <v>1</v>
      </c>
      <c r="N227" s="126">
        <f ca="1" t="shared" si="61"/>
        <v>6</v>
      </c>
      <c r="O227" s="126">
        <f ca="1" t="shared" si="62"/>
        <v>5</v>
      </c>
      <c r="P227" s="126">
        <f ca="1" t="shared" si="63"/>
        <v>1</v>
      </c>
      <c r="Q227" s="126">
        <f ca="1" t="shared" si="64"/>
        <v>0.5</v>
      </c>
      <c r="R227" s="126">
        <f ca="1" t="shared" si="65"/>
        <v>2</v>
      </c>
      <c r="S227" s="126"/>
      <c r="AG227"/>
      <c r="AH227"/>
      <c r="AI227"/>
      <c r="AJ227"/>
      <c r="AK227"/>
      <c r="AL227"/>
      <c r="AM227"/>
      <c r="AN227"/>
      <c r="AO227"/>
      <c r="AP227"/>
    </row>
    <row r="228" spans="2:42">
      <c r="B228" s="98">
        <f t="shared" si="51"/>
        <v>226</v>
      </c>
      <c r="C228" s="126">
        <f ca="1" t="shared" si="52"/>
        <v>365</v>
      </c>
      <c r="D228" s="126">
        <f ca="1" t="shared" si="53"/>
        <v>20</v>
      </c>
      <c r="E228" s="126">
        <f ca="1" t="shared" si="54"/>
        <v>10</v>
      </c>
      <c r="F228" s="126">
        <f ca="1" t="shared" si="55"/>
        <v>1.5</v>
      </c>
      <c r="G228" s="126">
        <f ca="1" t="shared" si="56"/>
        <v>0.125</v>
      </c>
      <c r="H228" s="126">
        <f ca="1" t="shared" si="57"/>
        <v>0.013</v>
      </c>
      <c r="J228" s="97">
        <f t="shared" si="58"/>
        <v>226</v>
      </c>
      <c r="K228" s="106">
        <f ca="1" t="shared" si="50"/>
        <v>365</v>
      </c>
      <c r="L228" s="126">
        <f ca="1" t="shared" si="59"/>
        <v>40</v>
      </c>
      <c r="M228" s="126">
        <f ca="1" t="shared" si="60"/>
        <v>1</v>
      </c>
      <c r="N228" s="126">
        <f ca="1" t="shared" si="61"/>
        <v>6</v>
      </c>
      <c r="O228" s="126">
        <f ca="1" t="shared" si="62"/>
        <v>5</v>
      </c>
      <c r="P228" s="126">
        <f ca="1" t="shared" si="63"/>
        <v>1</v>
      </c>
      <c r="Q228" s="126">
        <f ca="1" t="shared" si="64"/>
        <v>0.5</v>
      </c>
      <c r="R228" s="126">
        <f ca="1" t="shared" si="65"/>
        <v>2</v>
      </c>
      <c r="S228" s="126"/>
      <c r="AG228"/>
      <c r="AH228"/>
      <c r="AI228"/>
      <c r="AJ228"/>
      <c r="AK228"/>
      <c r="AL228"/>
      <c r="AM228"/>
      <c r="AN228"/>
      <c r="AO228"/>
      <c r="AP228"/>
    </row>
    <row r="229" spans="2:42">
      <c r="B229" s="98">
        <f t="shared" si="51"/>
        <v>227</v>
      </c>
      <c r="C229" s="126">
        <f ca="1" t="shared" si="52"/>
        <v>366</v>
      </c>
      <c r="D229" s="126">
        <f ca="1" t="shared" si="53"/>
        <v>20</v>
      </c>
      <c r="E229" s="126">
        <f ca="1" t="shared" si="54"/>
        <v>10</v>
      </c>
      <c r="F229" s="126">
        <f ca="1" t="shared" si="55"/>
        <v>1.5</v>
      </c>
      <c r="G229" s="126">
        <f ca="1" t="shared" si="56"/>
        <v>0.125</v>
      </c>
      <c r="H229" s="126">
        <f ca="1" t="shared" si="57"/>
        <v>0.013</v>
      </c>
      <c r="J229" s="97">
        <f t="shared" si="58"/>
        <v>227</v>
      </c>
      <c r="K229" s="106">
        <f ca="1" t="shared" si="50"/>
        <v>366</v>
      </c>
      <c r="L229" s="126">
        <f ca="1" t="shared" si="59"/>
        <v>40</v>
      </c>
      <c r="M229" s="126">
        <f ca="1" t="shared" si="60"/>
        <v>1</v>
      </c>
      <c r="N229" s="126">
        <f ca="1" t="shared" si="61"/>
        <v>6</v>
      </c>
      <c r="O229" s="126">
        <f ca="1" t="shared" si="62"/>
        <v>5</v>
      </c>
      <c r="P229" s="126">
        <f ca="1" t="shared" si="63"/>
        <v>1</v>
      </c>
      <c r="Q229" s="126">
        <f ca="1" t="shared" si="64"/>
        <v>0.5</v>
      </c>
      <c r="R229" s="126">
        <f ca="1" t="shared" si="65"/>
        <v>2</v>
      </c>
      <c r="S229" s="126"/>
      <c r="AG229"/>
      <c r="AH229"/>
      <c r="AI229"/>
      <c r="AJ229"/>
      <c r="AK229"/>
      <c r="AL229"/>
      <c r="AM229"/>
      <c r="AN229"/>
      <c r="AO229"/>
      <c r="AP229"/>
    </row>
    <row r="230" spans="2:42">
      <c r="B230" s="98">
        <f t="shared" si="51"/>
        <v>228</v>
      </c>
      <c r="C230" s="126">
        <f ca="1" t="shared" si="52"/>
        <v>367</v>
      </c>
      <c r="D230" s="126">
        <f ca="1" t="shared" si="53"/>
        <v>20</v>
      </c>
      <c r="E230" s="126">
        <f ca="1" t="shared" si="54"/>
        <v>10</v>
      </c>
      <c r="F230" s="126">
        <f ca="1" t="shared" si="55"/>
        <v>1.5</v>
      </c>
      <c r="G230" s="126">
        <f ca="1" t="shared" si="56"/>
        <v>0.125</v>
      </c>
      <c r="H230" s="126">
        <f ca="1" t="shared" si="57"/>
        <v>0.013</v>
      </c>
      <c r="J230" s="97">
        <f t="shared" si="58"/>
        <v>228</v>
      </c>
      <c r="K230" s="106">
        <f ca="1" t="shared" si="50"/>
        <v>367</v>
      </c>
      <c r="L230" s="126">
        <f ca="1" t="shared" si="59"/>
        <v>40</v>
      </c>
      <c r="M230" s="126">
        <f ca="1" t="shared" si="60"/>
        <v>1</v>
      </c>
      <c r="N230" s="126">
        <f ca="1" t="shared" si="61"/>
        <v>6</v>
      </c>
      <c r="O230" s="126">
        <f ca="1" t="shared" si="62"/>
        <v>5</v>
      </c>
      <c r="P230" s="126">
        <f ca="1" t="shared" si="63"/>
        <v>1</v>
      </c>
      <c r="Q230" s="126">
        <f ca="1" t="shared" si="64"/>
        <v>0.5</v>
      </c>
      <c r="R230" s="126">
        <f ca="1" t="shared" si="65"/>
        <v>2</v>
      </c>
      <c r="S230" s="126"/>
      <c r="AG230"/>
      <c r="AH230"/>
      <c r="AI230"/>
      <c r="AJ230"/>
      <c r="AK230"/>
      <c r="AL230"/>
      <c r="AM230"/>
      <c r="AN230"/>
      <c r="AO230"/>
      <c r="AP230"/>
    </row>
    <row r="231" spans="2:42">
      <c r="B231" s="98">
        <f t="shared" si="51"/>
        <v>229</v>
      </c>
      <c r="C231" s="126">
        <f ca="1" t="shared" si="52"/>
        <v>368</v>
      </c>
      <c r="D231" s="126">
        <f ca="1" t="shared" si="53"/>
        <v>20</v>
      </c>
      <c r="E231" s="126">
        <f ca="1" t="shared" si="54"/>
        <v>10</v>
      </c>
      <c r="F231" s="126">
        <f ca="1" t="shared" si="55"/>
        <v>1.5</v>
      </c>
      <c r="G231" s="126">
        <f ca="1" t="shared" si="56"/>
        <v>0.125</v>
      </c>
      <c r="H231" s="126">
        <f ca="1" t="shared" si="57"/>
        <v>0.013</v>
      </c>
      <c r="J231" s="97">
        <f t="shared" si="58"/>
        <v>229</v>
      </c>
      <c r="K231" s="106">
        <f ca="1" t="shared" si="50"/>
        <v>368</v>
      </c>
      <c r="L231" s="126">
        <f ca="1" t="shared" si="59"/>
        <v>40</v>
      </c>
      <c r="M231" s="126">
        <f ca="1" t="shared" si="60"/>
        <v>1</v>
      </c>
      <c r="N231" s="126">
        <f ca="1" t="shared" si="61"/>
        <v>6</v>
      </c>
      <c r="O231" s="126">
        <f ca="1" t="shared" si="62"/>
        <v>5</v>
      </c>
      <c r="P231" s="126">
        <f ca="1" t="shared" si="63"/>
        <v>1</v>
      </c>
      <c r="Q231" s="126">
        <f ca="1" t="shared" si="64"/>
        <v>0.5</v>
      </c>
      <c r="R231" s="126">
        <f ca="1" t="shared" si="65"/>
        <v>2</v>
      </c>
      <c r="S231" s="126"/>
      <c r="AG231"/>
      <c r="AH231"/>
      <c r="AI231"/>
      <c r="AJ231"/>
      <c r="AK231"/>
      <c r="AL231"/>
      <c r="AM231"/>
      <c r="AN231"/>
      <c r="AO231"/>
      <c r="AP231"/>
    </row>
    <row r="232" spans="2:42">
      <c r="B232" s="98">
        <f t="shared" si="51"/>
        <v>230</v>
      </c>
      <c r="C232" s="126">
        <f ca="1" t="shared" si="52"/>
        <v>369</v>
      </c>
      <c r="D232" s="126">
        <f ca="1" t="shared" si="53"/>
        <v>20</v>
      </c>
      <c r="E232" s="126">
        <f ca="1" t="shared" si="54"/>
        <v>10</v>
      </c>
      <c r="F232" s="126">
        <f ca="1" t="shared" si="55"/>
        <v>1.5</v>
      </c>
      <c r="G232" s="126">
        <f ca="1" t="shared" si="56"/>
        <v>0.125</v>
      </c>
      <c r="H232" s="126">
        <f ca="1" t="shared" si="57"/>
        <v>0.013</v>
      </c>
      <c r="J232" s="97">
        <f t="shared" si="58"/>
        <v>230</v>
      </c>
      <c r="K232" s="106">
        <f ca="1" t="shared" si="50"/>
        <v>369</v>
      </c>
      <c r="L232" s="126">
        <f ca="1" t="shared" si="59"/>
        <v>40</v>
      </c>
      <c r="M232" s="126">
        <f ca="1" t="shared" si="60"/>
        <v>1</v>
      </c>
      <c r="N232" s="126">
        <f ca="1" t="shared" si="61"/>
        <v>6</v>
      </c>
      <c r="O232" s="126">
        <f ca="1" t="shared" si="62"/>
        <v>5</v>
      </c>
      <c r="P232" s="126">
        <f ca="1" t="shared" si="63"/>
        <v>1</v>
      </c>
      <c r="Q232" s="126">
        <f ca="1" t="shared" si="64"/>
        <v>0.5</v>
      </c>
      <c r="R232" s="126">
        <f ca="1" t="shared" si="65"/>
        <v>2</v>
      </c>
      <c r="S232" s="126"/>
      <c r="AG232"/>
      <c r="AH232"/>
      <c r="AI232"/>
      <c r="AJ232"/>
      <c r="AK232"/>
      <c r="AL232"/>
      <c r="AM232"/>
      <c r="AN232"/>
      <c r="AO232"/>
      <c r="AP232"/>
    </row>
    <row r="233" spans="2:42">
      <c r="B233" s="98">
        <f t="shared" si="51"/>
        <v>231</v>
      </c>
      <c r="C233" s="126">
        <f ca="1" t="shared" si="52"/>
        <v>370</v>
      </c>
      <c r="D233" s="126">
        <f ca="1" t="shared" si="53"/>
        <v>20</v>
      </c>
      <c r="E233" s="126">
        <f ca="1" t="shared" si="54"/>
        <v>10</v>
      </c>
      <c r="F233" s="126">
        <f ca="1" t="shared" si="55"/>
        <v>1.5</v>
      </c>
      <c r="G233" s="126">
        <f ca="1" t="shared" si="56"/>
        <v>0.125</v>
      </c>
      <c r="H233" s="126">
        <f ca="1" t="shared" si="57"/>
        <v>0.013</v>
      </c>
      <c r="J233" s="97">
        <f t="shared" si="58"/>
        <v>231</v>
      </c>
      <c r="K233" s="106">
        <f ca="1" t="shared" si="50"/>
        <v>370</v>
      </c>
      <c r="L233" s="126">
        <f ca="1" t="shared" si="59"/>
        <v>40</v>
      </c>
      <c r="M233" s="126">
        <f ca="1" t="shared" si="60"/>
        <v>1</v>
      </c>
      <c r="N233" s="126">
        <f ca="1" t="shared" si="61"/>
        <v>6</v>
      </c>
      <c r="O233" s="126">
        <f ca="1" t="shared" si="62"/>
        <v>5</v>
      </c>
      <c r="P233" s="126">
        <f ca="1" t="shared" si="63"/>
        <v>1</v>
      </c>
      <c r="Q233" s="126">
        <f ca="1" t="shared" si="64"/>
        <v>0.5</v>
      </c>
      <c r="R233" s="126">
        <f ca="1" t="shared" si="65"/>
        <v>2</v>
      </c>
      <c r="S233" s="126"/>
      <c r="AG233"/>
      <c r="AH233"/>
      <c r="AI233"/>
      <c r="AJ233"/>
      <c r="AK233"/>
      <c r="AL233"/>
      <c r="AM233"/>
      <c r="AN233"/>
      <c r="AO233"/>
      <c r="AP233"/>
    </row>
    <row r="234" spans="2:42">
      <c r="B234" s="98">
        <f t="shared" si="51"/>
        <v>232</v>
      </c>
      <c r="C234" s="126">
        <f ca="1" t="shared" si="52"/>
        <v>371</v>
      </c>
      <c r="D234" s="126">
        <f ca="1" t="shared" si="53"/>
        <v>20</v>
      </c>
      <c r="E234" s="126">
        <f ca="1" t="shared" si="54"/>
        <v>10</v>
      </c>
      <c r="F234" s="126">
        <f ca="1" t="shared" si="55"/>
        <v>1.5</v>
      </c>
      <c r="G234" s="126">
        <f ca="1" t="shared" si="56"/>
        <v>0.125</v>
      </c>
      <c r="H234" s="126">
        <f ca="1" t="shared" si="57"/>
        <v>0.013</v>
      </c>
      <c r="J234" s="97">
        <f t="shared" si="58"/>
        <v>232</v>
      </c>
      <c r="K234" s="106">
        <f ca="1" t="shared" si="50"/>
        <v>371</v>
      </c>
      <c r="L234" s="126">
        <f ca="1" t="shared" si="59"/>
        <v>40</v>
      </c>
      <c r="M234" s="126">
        <f ca="1" t="shared" si="60"/>
        <v>1</v>
      </c>
      <c r="N234" s="126">
        <f ca="1" t="shared" si="61"/>
        <v>6</v>
      </c>
      <c r="O234" s="126">
        <f ca="1" t="shared" si="62"/>
        <v>5</v>
      </c>
      <c r="P234" s="126">
        <f ca="1" t="shared" si="63"/>
        <v>1</v>
      </c>
      <c r="Q234" s="126">
        <f ca="1" t="shared" si="64"/>
        <v>0.5</v>
      </c>
      <c r="R234" s="126">
        <f ca="1" t="shared" si="65"/>
        <v>2</v>
      </c>
      <c r="S234" s="126"/>
      <c r="AG234"/>
      <c r="AH234"/>
      <c r="AI234"/>
      <c r="AJ234"/>
      <c r="AK234"/>
      <c r="AL234"/>
      <c r="AM234"/>
      <c r="AN234"/>
      <c r="AO234"/>
      <c r="AP234"/>
    </row>
    <row r="235" spans="2:42">
      <c r="B235" s="98">
        <f t="shared" si="51"/>
        <v>233</v>
      </c>
      <c r="C235" s="126">
        <f ca="1" t="shared" si="52"/>
        <v>372</v>
      </c>
      <c r="D235" s="126">
        <f ca="1" t="shared" si="53"/>
        <v>20</v>
      </c>
      <c r="E235" s="126">
        <f ca="1" t="shared" si="54"/>
        <v>10</v>
      </c>
      <c r="F235" s="126">
        <f ca="1" t="shared" si="55"/>
        <v>1.5</v>
      </c>
      <c r="G235" s="126">
        <f ca="1" t="shared" si="56"/>
        <v>0.125</v>
      </c>
      <c r="H235" s="126">
        <f ca="1" t="shared" si="57"/>
        <v>0.013</v>
      </c>
      <c r="J235" s="97">
        <f t="shared" si="58"/>
        <v>233</v>
      </c>
      <c r="K235" s="106">
        <f ca="1" t="shared" si="50"/>
        <v>372</v>
      </c>
      <c r="L235" s="126">
        <f ca="1" t="shared" si="59"/>
        <v>40</v>
      </c>
      <c r="M235" s="126">
        <f ca="1" t="shared" si="60"/>
        <v>1</v>
      </c>
      <c r="N235" s="126">
        <f ca="1" t="shared" si="61"/>
        <v>6</v>
      </c>
      <c r="O235" s="126">
        <f ca="1" t="shared" si="62"/>
        <v>5</v>
      </c>
      <c r="P235" s="126">
        <f ca="1" t="shared" si="63"/>
        <v>1</v>
      </c>
      <c r="Q235" s="126">
        <f ca="1" t="shared" si="64"/>
        <v>0.5</v>
      </c>
      <c r="R235" s="126">
        <f ca="1" t="shared" si="65"/>
        <v>2</v>
      </c>
      <c r="S235" s="126"/>
      <c r="AG235"/>
      <c r="AH235"/>
      <c r="AI235"/>
      <c r="AJ235"/>
      <c r="AK235"/>
      <c r="AL235"/>
      <c r="AM235"/>
      <c r="AN235"/>
      <c r="AO235"/>
      <c r="AP235"/>
    </row>
    <row r="236" spans="2:42">
      <c r="B236" s="98">
        <f t="shared" si="51"/>
        <v>234</v>
      </c>
      <c r="C236" s="126">
        <f ca="1" t="shared" si="52"/>
        <v>373</v>
      </c>
      <c r="D236" s="126">
        <f ca="1" t="shared" si="53"/>
        <v>20</v>
      </c>
      <c r="E236" s="126">
        <f ca="1" t="shared" si="54"/>
        <v>10</v>
      </c>
      <c r="F236" s="126">
        <f ca="1" t="shared" si="55"/>
        <v>1.5</v>
      </c>
      <c r="G236" s="126">
        <f ca="1" t="shared" si="56"/>
        <v>0.125</v>
      </c>
      <c r="H236" s="126">
        <f ca="1" t="shared" si="57"/>
        <v>0.013</v>
      </c>
      <c r="J236" s="97">
        <f t="shared" si="58"/>
        <v>234</v>
      </c>
      <c r="K236" s="106">
        <f ca="1" t="shared" si="50"/>
        <v>373</v>
      </c>
      <c r="L236" s="126">
        <f ca="1" t="shared" si="59"/>
        <v>40</v>
      </c>
      <c r="M236" s="126">
        <f ca="1" t="shared" si="60"/>
        <v>1</v>
      </c>
      <c r="N236" s="126">
        <f ca="1" t="shared" si="61"/>
        <v>6</v>
      </c>
      <c r="O236" s="126">
        <f ca="1" t="shared" si="62"/>
        <v>5</v>
      </c>
      <c r="P236" s="126">
        <f ca="1" t="shared" si="63"/>
        <v>1</v>
      </c>
      <c r="Q236" s="126">
        <f ca="1" t="shared" si="64"/>
        <v>0.5</v>
      </c>
      <c r="R236" s="126">
        <f ca="1" t="shared" si="65"/>
        <v>2</v>
      </c>
      <c r="S236" s="126"/>
      <c r="AG236"/>
      <c r="AH236"/>
      <c r="AI236"/>
      <c r="AJ236"/>
      <c r="AK236"/>
      <c r="AL236"/>
      <c r="AM236"/>
      <c r="AN236"/>
      <c r="AO236"/>
      <c r="AP236"/>
    </row>
    <row r="237" spans="2:42">
      <c r="B237" s="98">
        <f t="shared" si="51"/>
        <v>235</v>
      </c>
      <c r="C237" s="126">
        <f ca="1" t="shared" si="52"/>
        <v>374</v>
      </c>
      <c r="D237" s="126">
        <f ca="1" t="shared" si="53"/>
        <v>20</v>
      </c>
      <c r="E237" s="126">
        <f ca="1" t="shared" si="54"/>
        <v>10</v>
      </c>
      <c r="F237" s="126">
        <f ca="1" t="shared" si="55"/>
        <v>1.5</v>
      </c>
      <c r="G237" s="126">
        <f ca="1" t="shared" si="56"/>
        <v>0.125</v>
      </c>
      <c r="H237" s="126">
        <f ca="1" t="shared" si="57"/>
        <v>0.013</v>
      </c>
      <c r="J237" s="97">
        <f t="shared" si="58"/>
        <v>235</v>
      </c>
      <c r="K237" s="106">
        <f ca="1" t="shared" si="50"/>
        <v>374</v>
      </c>
      <c r="L237" s="126">
        <f ca="1" t="shared" si="59"/>
        <v>40</v>
      </c>
      <c r="M237" s="126">
        <f ca="1" t="shared" si="60"/>
        <v>1</v>
      </c>
      <c r="N237" s="126">
        <f ca="1" t="shared" si="61"/>
        <v>6</v>
      </c>
      <c r="O237" s="126">
        <f ca="1" t="shared" si="62"/>
        <v>5</v>
      </c>
      <c r="P237" s="126">
        <f ca="1" t="shared" si="63"/>
        <v>1</v>
      </c>
      <c r="Q237" s="126">
        <f ca="1" t="shared" si="64"/>
        <v>0.5</v>
      </c>
      <c r="R237" s="126">
        <f ca="1" t="shared" si="65"/>
        <v>2</v>
      </c>
      <c r="S237" s="126"/>
      <c r="AG237"/>
      <c r="AH237"/>
      <c r="AI237"/>
      <c r="AJ237"/>
      <c r="AK237"/>
      <c r="AL237"/>
      <c r="AM237"/>
      <c r="AN237"/>
      <c r="AO237"/>
      <c r="AP237"/>
    </row>
    <row r="238" spans="2:42">
      <c r="B238" s="98">
        <f t="shared" si="51"/>
        <v>236</v>
      </c>
      <c r="C238" s="126">
        <f ca="1" t="shared" si="52"/>
        <v>375</v>
      </c>
      <c r="D238" s="126">
        <f ca="1" t="shared" si="53"/>
        <v>20</v>
      </c>
      <c r="E238" s="126">
        <f ca="1" t="shared" si="54"/>
        <v>10</v>
      </c>
      <c r="F238" s="126">
        <f ca="1" t="shared" si="55"/>
        <v>1.5</v>
      </c>
      <c r="G238" s="126">
        <f ca="1" t="shared" si="56"/>
        <v>0.125</v>
      </c>
      <c r="H238" s="126">
        <f ca="1" t="shared" si="57"/>
        <v>0.013</v>
      </c>
      <c r="J238" s="97">
        <f t="shared" si="58"/>
        <v>236</v>
      </c>
      <c r="K238" s="106">
        <f ca="1" t="shared" si="50"/>
        <v>375</v>
      </c>
      <c r="L238" s="126">
        <f ca="1" t="shared" si="59"/>
        <v>40</v>
      </c>
      <c r="M238" s="126">
        <f ca="1" t="shared" si="60"/>
        <v>1</v>
      </c>
      <c r="N238" s="126">
        <f ca="1" t="shared" si="61"/>
        <v>6</v>
      </c>
      <c r="O238" s="126">
        <f ca="1" t="shared" si="62"/>
        <v>5</v>
      </c>
      <c r="P238" s="126">
        <f ca="1" t="shared" si="63"/>
        <v>1</v>
      </c>
      <c r="Q238" s="126">
        <f ca="1" t="shared" si="64"/>
        <v>0.5</v>
      </c>
      <c r="R238" s="126">
        <f ca="1" t="shared" si="65"/>
        <v>2</v>
      </c>
      <c r="S238" s="126"/>
      <c r="AG238"/>
      <c r="AH238"/>
      <c r="AI238"/>
      <c r="AJ238"/>
      <c r="AK238"/>
      <c r="AL238"/>
      <c r="AM238"/>
      <c r="AN238"/>
      <c r="AO238"/>
      <c r="AP238"/>
    </row>
    <row r="239" spans="2:42">
      <c r="B239" s="98">
        <f t="shared" si="51"/>
        <v>237</v>
      </c>
      <c r="C239" s="126">
        <f ca="1" t="shared" si="52"/>
        <v>376</v>
      </c>
      <c r="D239" s="126">
        <f ca="1" t="shared" si="53"/>
        <v>20</v>
      </c>
      <c r="E239" s="126">
        <f ca="1" t="shared" si="54"/>
        <v>10</v>
      </c>
      <c r="F239" s="126">
        <f ca="1" t="shared" si="55"/>
        <v>1.5</v>
      </c>
      <c r="G239" s="126">
        <f ca="1" t="shared" si="56"/>
        <v>0.125</v>
      </c>
      <c r="H239" s="126">
        <f ca="1" t="shared" si="57"/>
        <v>0.013</v>
      </c>
      <c r="J239" s="97">
        <f t="shared" si="58"/>
        <v>237</v>
      </c>
      <c r="K239" s="106">
        <f ca="1" t="shared" si="50"/>
        <v>376</v>
      </c>
      <c r="L239" s="126">
        <f ca="1" t="shared" si="59"/>
        <v>40</v>
      </c>
      <c r="M239" s="126">
        <f ca="1" t="shared" si="60"/>
        <v>1</v>
      </c>
      <c r="N239" s="126">
        <f ca="1" t="shared" si="61"/>
        <v>6</v>
      </c>
      <c r="O239" s="126">
        <f ca="1" t="shared" si="62"/>
        <v>5</v>
      </c>
      <c r="P239" s="126">
        <f ca="1" t="shared" si="63"/>
        <v>1</v>
      </c>
      <c r="Q239" s="126">
        <f ca="1" t="shared" si="64"/>
        <v>0.5</v>
      </c>
      <c r="R239" s="126">
        <f ca="1" t="shared" si="65"/>
        <v>2</v>
      </c>
      <c r="S239" s="126"/>
      <c r="AG239"/>
      <c r="AH239"/>
      <c r="AI239"/>
      <c r="AJ239"/>
      <c r="AK239"/>
      <c r="AL239"/>
      <c r="AM239"/>
      <c r="AN239"/>
      <c r="AO239"/>
      <c r="AP239"/>
    </row>
    <row r="240" spans="2:42">
      <c r="B240" s="98">
        <f t="shared" si="51"/>
        <v>238</v>
      </c>
      <c r="C240" s="126">
        <f ca="1" t="shared" si="52"/>
        <v>377</v>
      </c>
      <c r="D240" s="126">
        <f ca="1" t="shared" si="53"/>
        <v>20</v>
      </c>
      <c r="E240" s="126">
        <f ca="1" t="shared" si="54"/>
        <v>10</v>
      </c>
      <c r="F240" s="126">
        <f ca="1" t="shared" si="55"/>
        <v>1.5</v>
      </c>
      <c r="G240" s="126">
        <f ca="1" t="shared" si="56"/>
        <v>0.125</v>
      </c>
      <c r="H240" s="126">
        <f ca="1" t="shared" si="57"/>
        <v>0.013</v>
      </c>
      <c r="J240" s="97">
        <f t="shared" si="58"/>
        <v>238</v>
      </c>
      <c r="K240" s="106">
        <f ca="1" t="shared" si="50"/>
        <v>377</v>
      </c>
      <c r="L240" s="126">
        <f ca="1" t="shared" si="59"/>
        <v>40</v>
      </c>
      <c r="M240" s="126">
        <f ca="1" t="shared" si="60"/>
        <v>1</v>
      </c>
      <c r="N240" s="126">
        <f ca="1" t="shared" si="61"/>
        <v>6</v>
      </c>
      <c r="O240" s="126">
        <f ca="1" t="shared" si="62"/>
        <v>5</v>
      </c>
      <c r="P240" s="126">
        <f ca="1" t="shared" si="63"/>
        <v>1</v>
      </c>
      <c r="Q240" s="126">
        <f ca="1" t="shared" si="64"/>
        <v>0.5</v>
      </c>
      <c r="R240" s="126">
        <f ca="1" t="shared" si="65"/>
        <v>2</v>
      </c>
      <c r="S240" s="126"/>
      <c r="AG240"/>
      <c r="AH240"/>
      <c r="AI240"/>
      <c r="AJ240"/>
      <c r="AK240"/>
      <c r="AL240"/>
      <c r="AM240"/>
      <c r="AN240"/>
      <c r="AO240"/>
      <c r="AP240"/>
    </row>
    <row r="241" spans="2:42">
      <c r="B241" s="98">
        <f t="shared" si="51"/>
        <v>239</v>
      </c>
      <c r="C241" s="126">
        <f ca="1" t="shared" si="52"/>
        <v>378</v>
      </c>
      <c r="D241" s="126">
        <f ca="1" t="shared" si="53"/>
        <v>20</v>
      </c>
      <c r="E241" s="126">
        <f ca="1" t="shared" si="54"/>
        <v>10</v>
      </c>
      <c r="F241" s="126">
        <f ca="1" t="shared" si="55"/>
        <v>1.5</v>
      </c>
      <c r="G241" s="126">
        <f ca="1" t="shared" si="56"/>
        <v>0.125</v>
      </c>
      <c r="H241" s="126">
        <f ca="1" t="shared" si="57"/>
        <v>0.013</v>
      </c>
      <c r="J241" s="97">
        <f t="shared" si="58"/>
        <v>239</v>
      </c>
      <c r="K241" s="106">
        <f ca="1" t="shared" si="50"/>
        <v>378</v>
      </c>
      <c r="L241" s="126">
        <f ca="1" t="shared" si="59"/>
        <v>40</v>
      </c>
      <c r="M241" s="126">
        <f ca="1" t="shared" si="60"/>
        <v>1</v>
      </c>
      <c r="N241" s="126">
        <f ca="1" t="shared" si="61"/>
        <v>6</v>
      </c>
      <c r="O241" s="126">
        <f ca="1" t="shared" si="62"/>
        <v>5</v>
      </c>
      <c r="P241" s="126">
        <f ca="1" t="shared" si="63"/>
        <v>1</v>
      </c>
      <c r="Q241" s="126">
        <f ca="1" t="shared" si="64"/>
        <v>0.5</v>
      </c>
      <c r="R241" s="126">
        <f ca="1" t="shared" si="65"/>
        <v>2</v>
      </c>
      <c r="S241" s="126"/>
      <c r="AG241"/>
      <c r="AH241"/>
      <c r="AI241"/>
      <c r="AJ241"/>
      <c r="AK241"/>
      <c r="AL241"/>
      <c r="AM241"/>
      <c r="AN241"/>
      <c r="AO241"/>
      <c r="AP241"/>
    </row>
    <row r="242" spans="2:42">
      <c r="B242" s="98">
        <f t="shared" si="51"/>
        <v>240</v>
      </c>
      <c r="C242" s="126">
        <f ca="1" t="shared" si="52"/>
        <v>379</v>
      </c>
      <c r="D242" s="126">
        <f ca="1" t="shared" si="53"/>
        <v>20</v>
      </c>
      <c r="E242" s="126">
        <f ca="1" t="shared" si="54"/>
        <v>10</v>
      </c>
      <c r="F242" s="126">
        <f ca="1" t="shared" si="55"/>
        <v>1.5</v>
      </c>
      <c r="G242" s="126">
        <f ca="1" t="shared" si="56"/>
        <v>0.125</v>
      </c>
      <c r="H242" s="126">
        <f ca="1" t="shared" si="57"/>
        <v>0.013</v>
      </c>
      <c r="J242" s="97">
        <f t="shared" si="58"/>
        <v>240</v>
      </c>
      <c r="K242" s="106">
        <f ca="1" t="shared" si="50"/>
        <v>379</v>
      </c>
      <c r="L242" s="126">
        <f ca="1" t="shared" si="59"/>
        <v>40</v>
      </c>
      <c r="M242" s="126">
        <f ca="1" t="shared" si="60"/>
        <v>1</v>
      </c>
      <c r="N242" s="126">
        <f ca="1" t="shared" si="61"/>
        <v>6</v>
      </c>
      <c r="O242" s="126">
        <f ca="1" t="shared" si="62"/>
        <v>5</v>
      </c>
      <c r="P242" s="126">
        <f ca="1" t="shared" si="63"/>
        <v>1</v>
      </c>
      <c r="Q242" s="126">
        <f ca="1" t="shared" si="64"/>
        <v>0.5</v>
      </c>
      <c r="R242" s="126">
        <f ca="1" t="shared" si="65"/>
        <v>2</v>
      </c>
      <c r="S242" s="126"/>
      <c r="AG242"/>
      <c r="AH242"/>
      <c r="AI242"/>
      <c r="AJ242"/>
      <c r="AK242"/>
      <c r="AL242"/>
      <c r="AM242"/>
      <c r="AN242"/>
      <c r="AO242"/>
      <c r="AP242"/>
    </row>
    <row r="243" spans="2:42">
      <c r="B243" s="98">
        <f t="shared" si="51"/>
        <v>241</v>
      </c>
      <c r="C243" s="126">
        <f ca="1" t="shared" si="52"/>
        <v>380</v>
      </c>
      <c r="D243" s="126">
        <f ca="1" t="shared" si="53"/>
        <v>20</v>
      </c>
      <c r="E243" s="126">
        <f ca="1" t="shared" si="54"/>
        <v>10</v>
      </c>
      <c r="F243" s="126">
        <f ca="1" t="shared" si="55"/>
        <v>1.5</v>
      </c>
      <c r="G243" s="126">
        <f ca="1" t="shared" si="56"/>
        <v>0.125</v>
      </c>
      <c r="H243" s="126">
        <f ca="1" t="shared" si="57"/>
        <v>0.013</v>
      </c>
      <c r="J243" s="97">
        <f t="shared" si="58"/>
        <v>241</v>
      </c>
      <c r="K243" s="106">
        <f ca="1" t="shared" si="50"/>
        <v>380</v>
      </c>
      <c r="L243" s="126">
        <f ca="1" t="shared" si="59"/>
        <v>40</v>
      </c>
      <c r="M243" s="126">
        <f ca="1" t="shared" si="60"/>
        <v>1</v>
      </c>
      <c r="N243" s="126">
        <f ca="1" t="shared" si="61"/>
        <v>6</v>
      </c>
      <c r="O243" s="126">
        <f ca="1" t="shared" si="62"/>
        <v>5</v>
      </c>
      <c r="P243" s="126">
        <f ca="1" t="shared" si="63"/>
        <v>1</v>
      </c>
      <c r="Q243" s="126">
        <f ca="1" t="shared" si="64"/>
        <v>0.5</v>
      </c>
      <c r="R243" s="126">
        <f ca="1" t="shared" si="65"/>
        <v>2</v>
      </c>
      <c r="S243" s="126"/>
      <c r="AG243"/>
      <c r="AH243"/>
      <c r="AI243"/>
      <c r="AJ243"/>
      <c r="AK243"/>
      <c r="AL243"/>
      <c r="AM243"/>
      <c r="AN243"/>
      <c r="AO243"/>
      <c r="AP243"/>
    </row>
    <row r="244" spans="2:42">
      <c r="B244" s="98">
        <f t="shared" si="51"/>
        <v>242</v>
      </c>
      <c r="C244" s="126">
        <f ca="1" t="shared" si="52"/>
        <v>381</v>
      </c>
      <c r="D244" s="126">
        <f ca="1" t="shared" si="53"/>
        <v>20</v>
      </c>
      <c r="E244" s="126">
        <f ca="1" t="shared" si="54"/>
        <v>10</v>
      </c>
      <c r="F244" s="126">
        <f ca="1" t="shared" si="55"/>
        <v>1.5</v>
      </c>
      <c r="G244" s="126">
        <f ca="1" t="shared" si="56"/>
        <v>0.125</v>
      </c>
      <c r="H244" s="126">
        <f ca="1" t="shared" si="57"/>
        <v>0.013</v>
      </c>
      <c r="J244" s="97">
        <f t="shared" si="58"/>
        <v>242</v>
      </c>
      <c r="K244" s="106">
        <f ca="1" t="shared" si="50"/>
        <v>381</v>
      </c>
      <c r="L244" s="126">
        <f ca="1" t="shared" si="59"/>
        <v>40</v>
      </c>
      <c r="M244" s="126">
        <f ca="1" t="shared" si="60"/>
        <v>1</v>
      </c>
      <c r="N244" s="126">
        <f ca="1" t="shared" si="61"/>
        <v>6</v>
      </c>
      <c r="O244" s="126">
        <f ca="1" t="shared" si="62"/>
        <v>5</v>
      </c>
      <c r="P244" s="126">
        <f ca="1" t="shared" si="63"/>
        <v>1</v>
      </c>
      <c r="Q244" s="126">
        <f ca="1" t="shared" si="64"/>
        <v>0.5</v>
      </c>
      <c r="R244" s="126">
        <f ca="1" t="shared" si="65"/>
        <v>2</v>
      </c>
      <c r="S244" s="126"/>
      <c r="AG244"/>
      <c r="AH244"/>
      <c r="AI244"/>
      <c r="AJ244"/>
      <c r="AK244"/>
      <c r="AL244"/>
      <c r="AM244"/>
      <c r="AN244"/>
      <c r="AO244"/>
      <c r="AP244"/>
    </row>
    <row r="245" spans="2:42">
      <c r="B245" s="98">
        <f t="shared" si="51"/>
        <v>243</v>
      </c>
      <c r="C245" s="126">
        <f ca="1" t="shared" si="52"/>
        <v>382</v>
      </c>
      <c r="D245" s="126">
        <f ca="1" t="shared" si="53"/>
        <v>20</v>
      </c>
      <c r="E245" s="126">
        <f ca="1" t="shared" si="54"/>
        <v>10</v>
      </c>
      <c r="F245" s="126">
        <f ca="1" t="shared" si="55"/>
        <v>1.5</v>
      </c>
      <c r="G245" s="126">
        <f ca="1" t="shared" si="56"/>
        <v>0.125</v>
      </c>
      <c r="H245" s="126">
        <f ca="1" t="shared" si="57"/>
        <v>0.013</v>
      </c>
      <c r="J245" s="97">
        <f t="shared" si="58"/>
        <v>243</v>
      </c>
      <c r="K245" s="106">
        <f ca="1" t="shared" si="50"/>
        <v>382</v>
      </c>
      <c r="L245" s="126">
        <f ca="1" t="shared" si="59"/>
        <v>40</v>
      </c>
      <c r="M245" s="126">
        <f ca="1" t="shared" si="60"/>
        <v>1</v>
      </c>
      <c r="N245" s="126">
        <f ca="1" t="shared" si="61"/>
        <v>6</v>
      </c>
      <c r="O245" s="126">
        <f ca="1" t="shared" si="62"/>
        <v>5</v>
      </c>
      <c r="P245" s="126">
        <f ca="1" t="shared" si="63"/>
        <v>1</v>
      </c>
      <c r="Q245" s="126">
        <f ca="1" t="shared" si="64"/>
        <v>0.5</v>
      </c>
      <c r="R245" s="126">
        <f ca="1" t="shared" si="65"/>
        <v>2</v>
      </c>
      <c r="S245" s="126"/>
      <c r="AG245"/>
      <c r="AH245"/>
      <c r="AI245"/>
      <c r="AJ245"/>
      <c r="AK245"/>
      <c r="AL245"/>
      <c r="AM245"/>
      <c r="AN245"/>
      <c r="AO245"/>
      <c r="AP245"/>
    </row>
    <row r="246" spans="2:42">
      <c r="B246" s="98">
        <f t="shared" si="51"/>
        <v>244</v>
      </c>
      <c r="C246" s="126">
        <f ca="1" t="shared" si="52"/>
        <v>383</v>
      </c>
      <c r="D246" s="126">
        <f ca="1" t="shared" si="53"/>
        <v>20</v>
      </c>
      <c r="E246" s="126">
        <f ca="1" t="shared" si="54"/>
        <v>10</v>
      </c>
      <c r="F246" s="126">
        <f ca="1" t="shared" si="55"/>
        <v>1.5</v>
      </c>
      <c r="G246" s="126">
        <f ca="1" t="shared" si="56"/>
        <v>0.125</v>
      </c>
      <c r="H246" s="126">
        <f ca="1" t="shared" si="57"/>
        <v>0.013</v>
      </c>
      <c r="J246" s="97">
        <f t="shared" si="58"/>
        <v>244</v>
      </c>
      <c r="K246" s="106">
        <f ca="1" t="shared" si="50"/>
        <v>383</v>
      </c>
      <c r="L246" s="126">
        <f ca="1" t="shared" si="59"/>
        <v>40</v>
      </c>
      <c r="M246" s="126">
        <f ca="1" t="shared" si="60"/>
        <v>1</v>
      </c>
      <c r="N246" s="126">
        <f ca="1" t="shared" si="61"/>
        <v>6</v>
      </c>
      <c r="O246" s="126">
        <f ca="1" t="shared" si="62"/>
        <v>5</v>
      </c>
      <c r="P246" s="126">
        <f ca="1" t="shared" si="63"/>
        <v>1</v>
      </c>
      <c r="Q246" s="126">
        <f ca="1" t="shared" si="64"/>
        <v>0.5</v>
      </c>
      <c r="R246" s="126">
        <f ca="1" t="shared" si="65"/>
        <v>2</v>
      </c>
      <c r="S246" s="126"/>
      <c r="AG246"/>
      <c r="AH246"/>
      <c r="AI246"/>
      <c r="AJ246"/>
      <c r="AK246"/>
      <c r="AL246"/>
      <c r="AM246"/>
      <c r="AN246"/>
      <c r="AO246"/>
      <c r="AP246"/>
    </row>
    <row r="247" spans="2:42">
      <c r="B247" s="98">
        <f t="shared" si="51"/>
        <v>245</v>
      </c>
      <c r="C247" s="126">
        <f ca="1" t="shared" si="52"/>
        <v>384</v>
      </c>
      <c r="D247" s="126">
        <f ca="1" t="shared" si="53"/>
        <v>20</v>
      </c>
      <c r="E247" s="126">
        <f ca="1" t="shared" si="54"/>
        <v>10</v>
      </c>
      <c r="F247" s="126">
        <f ca="1" t="shared" si="55"/>
        <v>1.5</v>
      </c>
      <c r="G247" s="126">
        <f ca="1" t="shared" si="56"/>
        <v>0.125</v>
      </c>
      <c r="H247" s="126">
        <f ca="1" t="shared" si="57"/>
        <v>0.013</v>
      </c>
      <c r="J247" s="97">
        <f t="shared" si="58"/>
        <v>245</v>
      </c>
      <c r="K247" s="106">
        <f ca="1" t="shared" si="50"/>
        <v>384</v>
      </c>
      <c r="L247" s="126">
        <f ca="1" t="shared" si="59"/>
        <v>40</v>
      </c>
      <c r="M247" s="126">
        <f ca="1" t="shared" si="60"/>
        <v>1</v>
      </c>
      <c r="N247" s="126">
        <f ca="1" t="shared" si="61"/>
        <v>6</v>
      </c>
      <c r="O247" s="126">
        <f ca="1" t="shared" si="62"/>
        <v>5</v>
      </c>
      <c r="P247" s="126">
        <f ca="1" t="shared" si="63"/>
        <v>1</v>
      </c>
      <c r="Q247" s="126">
        <f ca="1" t="shared" si="64"/>
        <v>0.5</v>
      </c>
      <c r="R247" s="126">
        <f ca="1" t="shared" si="65"/>
        <v>2</v>
      </c>
      <c r="S247" s="126"/>
      <c r="AG247"/>
      <c r="AH247"/>
      <c r="AI247"/>
      <c r="AJ247"/>
      <c r="AK247"/>
      <c r="AL247"/>
      <c r="AM247"/>
      <c r="AN247"/>
      <c r="AO247"/>
      <c r="AP247"/>
    </row>
    <row r="248" spans="2:42">
      <c r="B248" s="98">
        <f t="shared" si="51"/>
        <v>246</v>
      </c>
      <c r="C248" s="126">
        <f ca="1" t="shared" si="52"/>
        <v>385</v>
      </c>
      <c r="D248" s="126">
        <f ca="1" t="shared" si="53"/>
        <v>20</v>
      </c>
      <c r="E248" s="126">
        <f ca="1" t="shared" si="54"/>
        <v>10</v>
      </c>
      <c r="F248" s="126">
        <f ca="1" t="shared" si="55"/>
        <v>1.5</v>
      </c>
      <c r="G248" s="126">
        <f ca="1" t="shared" si="56"/>
        <v>0.125</v>
      </c>
      <c r="H248" s="126">
        <f ca="1" t="shared" si="57"/>
        <v>0.013</v>
      </c>
      <c r="J248" s="97">
        <f t="shared" si="58"/>
        <v>246</v>
      </c>
      <c r="K248" s="106">
        <f ca="1" t="shared" si="50"/>
        <v>385</v>
      </c>
      <c r="L248" s="126">
        <f ca="1" t="shared" si="59"/>
        <v>40</v>
      </c>
      <c r="M248" s="126">
        <f ca="1" t="shared" si="60"/>
        <v>1</v>
      </c>
      <c r="N248" s="126">
        <f ca="1" t="shared" si="61"/>
        <v>6</v>
      </c>
      <c r="O248" s="126">
        <f ca="1" t="shared" si="62"/>
        <v>5</v>
      </c>
      <c r="P248" s="126">
        <f ca="1" t="shared" si="63"/>
        <v>1</v>
      </c>
      <c r="Q248" s="126">
        <f ca="1" t="shared" si="64"/>
        <v>0.5</v>
      </c>
      <c r="R248" s="126">
        <f ca="1" t="shared" si="65"/>
        <v>2</v>
      </c>
      <c r="S248" s="126"/>
      <c r="AG248"/>
      <c r="AH248"/>
      <c r="AI248"/>
      <c r="AJ248"/>
      <c r="AK248"/>
      <c r="AL248"/>
      <c r="AM248"/>
      <c r="AN248"/>
      <c r="AO248"/>
      <c r="AP248"/>
    </row>
    <row r="249" spans="2:42">
      <c r="B249" s="98">
        <f t="shared" si="51"/>
        <v>247</v>
      </c>
      <c r="C249" s="126">
        <f ca="1" t="shared" si="52"/>
        <v>386</v>
      </c>
      <c r="D249" s="126">
        <f ca="1" t="shared" si="53"/>
        <v>20</v>
      </c>
      <c r="E249" s="126">
        <f ca="1" t="shared" si="54"/>
        <v>10</v>
      </c>
      <c r="F249" s="126">
        <f ca="1" t="shared" si="55"/>
        <v>1.5</v>
      </c>
      <c r="G249" s="126">
        <f ca="1" t="shared" si="56"/>
        <v>0.125</v>
      </c>
      <c r="H249" s="126">
        <f ca="1" t="shared" si="57"/>
        <v>0.013</v>
      </c>
      <c r="J249" s="97">
        <f t="shared" si="58"/>
        <v>247</v>
      </c>
      <c r="K249" s="106">
        <f ca="1" t="shared" si="50"/>
        <v>386</v>
      </c>
      <c r="L249" s="126">
        <f ca="1" t="shared" si="59"/>
        <v>40</v>
      </c>
      <c r="M249" s="126">
        <f ca="1" t="shared" si="60"/>
        <v>1</v>
      </c>
      <c r="N249" s="126">
        <f ca="1" t="shared" si="61"/>
        <v>6</v>
      </c>
      <c r="O249" s="126">
        <f ca="1" t="shared" si="62"/>
        <v>5</v>
      </c>
      <c r="P249" s="126">
        <f ca="1" t="shared" si="63"/>
        <v>1</v>
      </c>
      <c r="Q249" s="126">
        <f ca="1" t="shared" si="64"/>
        <v>0.5</v>
      </c>
      <c r="R249" s="126">
        <f ca="1" t="shared" si="65"/>
        <v>2</v>
      </c>
      <c r="S249" s="126"/>
      <c r="AG249"/>
      <c r="AH249"/>
      <c r="AI249"/>
      <c r="AJ249"/>
      <c r="AK249"/>
      <c r="AL249"/>
      <c r="AM249"/>
      <c r="AN249"/>
      <c r="AO249"/>
      <c r="AP249"/>
    </row>
    <row r="250" spans="2:42">
      <c r="B250" s="98">
        <f t="shared" si="51"/>
        <v>248</v>
      </c>
      <c r="C250" s="126">
        <f ca="1" t="shared" si="52"/>
        <v>387</v>
      </c>
      <c r="D250" s="126">
        <f ca="1" t="shared" si="53"/>
        <v>20</v>
      </c>
      <c r="E250" s="126">
        <f ca="1" t="shared" si="54"/>
        <v>10</v>
      </c>
      <c r="F250" s="126">
        <f ca="1" t="shared" si="55"/>
        <v>1.5</v>
      </c>
      <c r="G250" s="126">
        <f ca="1" t="shared" si="56"/>
        <v>0.125</v>
      </c>
      <c r="H250" s="126">
        <f ca="1" t="shared" si="57"/>
        <v>0.013</v>
      </c>
      <c r="J250" s="97">
        <f t="shared" si="58"/>
        <v>248</v>
      </c>
      <c r="K250" s="106">
        <f ca="1" t="shared" si="50"/>
        <v>387</v>
      </c>
      <c r="L250" s="126">
        <f ca="1" t="shared" si="59"/>
        <v>40</v>
      </c>
      <c r="M250" s="126">
        <f ca="1" t="shared" si="60"/>
        <v>1</v>
      </c>
      <c r="N250" s="126">
        <f ca="1" t="shared" si="61"/>
        <v>6</v>
      </c>
      <c r="O250" s="126">
        <f ca="1" t="shared" si="62"/>
        <v>5</v>
      </c>
      <c r="P250" s="126">
        <f ca="1" t="shared" si="63"/>
        <v>1</v>
      </c>
      <c r="Q250" s="126">
        <f ca="1" t="shared" si="64"/>
        <v>0.5</v>
      </c>
      <c r="R250" s="126">
        <f ca="1" t="shared" si="65"/>
        <v>2</v>
      </c>
      <c r="S250" s="126"/>
      <c r="AG250"/>
      <c r="AH250"/>
      <c r="AI250"/>
      <c r="AJ250"/>
      <c r="AK250"/>
      <c r="AL250"/>
      <c r="AM250"/>
      <c r="AN250"/>
      <c r="AO250"/>
      <c r="AP250"/>
    </row>
    <row r="251" spans="2:42">
      <c r="B251" s="98">
        <f t="shared" si="51"/>
        <v>249</v>
      </c>
      <c r="C251" s="126">
        <f ca="1" t="shared" si="52"/>
        <v>388</v>
      </c>
      <c r="D251" s="126">
        <f ca="1" t="shared" si="53"/>
        <v>20</v>
      </c>
      <c r="E251" s="126">
        <f ca="1" t="shared" si="54"/>
        <v>10</v>
      </c>
      <c r="F251" s="126">
        <f ca="1" t="shared" si="55"/>
        <v>1.5</v>
      </c>
      <c r="G251" s="126">
        <f ca="1" t="shared" si="56"/>
        <v>0.125</v>
      </c>
      <c r="H251" s="126">
        <f ca="1" t="shared" si="57"/>
        <v>0.013</v>
      </c>
      <c r="J251" s="97">
        <f t="shared" si="58"/>
        <v>249</v>
      </c>
      <c r="K251" s="106">
        <f ca="1" t="shared" si="50"/>
        <v>388</v>
      </c>
      <c r="L251" s="126">
        <f ca="1" t="shared" si="59"/>
        <v>40</v>
      </c>
      <c r="M251" s="126">
        <f ca="1" t="shared" si="60"/>
        <v>1</v>
      </c>
      <c r="N251" s="126">
        <f ca="1" t="shared" si="61"/>
        <v>6</v>
      </c>
      <c r="O251" s="126">
        <f ca="1" t="shared" si="62"/>
        <v>5</v>
      </c>
      <c r="P251" s="126">
        <f ca="1" t="shared" si="63"/>
        <v>1</v>
      </c>
      <c r="Q251" s="126">
        <f ca="1" t="shared" si="64"/>
        <v>0.5</v>
      </c>
      <c r="R251" s="126">
        <f ca="1" t="shared" si="65"/>
        <v>2</v>
      </c>
      <c r="S251" s="126"/>
      <c r="AG251"/>
      <c r="AH251"/>
      <c r="AI251"/>
      <c r="AJ251"/>
      <c r="AK251"/>
      <c r="AL251"/>
      <c r="AM251"/>
      <c r="AN251"/>
      <c r="AO251"/>
      <c r="AP251"/>
    </row>
    <row r="252" spans="2:42">
      <c r="B252" s="98">
        <f t="shared" si="51"/>
        <v>250</v>
      </c>
      <c r="C252" s="126">
        <f ca="1" t="shared" si="52"/>
        <v>389</v>
      </c>
      <c r="D252" s="126">
        <f ca="1" t="shared" si="53"/>
        <v>20</v>
      </c>
      <c r="E252" s="126">
        <f ca="1" t="shared" si="54"/>
        <v>10</v>
      </c>
      <c r="F252" s="126">
        <f ca="1" t="shared" si="55"/>
        <v>1.5</v>
      </c>
      <c r="G252" s="126">
        <f ca="1" t="shared" si="56"/>
        <v>0.125</v>
      </c>
      <c r="H252" s="126">
        <f ca="1" t="shared" si="57"/>
        <v>0.013</v>
      </c>
      <c r="J252" s="97">
        <f t="shared" si="58"/>
        <v>250</v>
      </c>
      <c r="K252" s="106">
        <f ca="1" t="shared" si="50"/>
        <v>389</v>
      </c>
      <c r="L252" s="126">
        <f ca="1" t="shared" si="59"/>
        <v>40</v>
      </c>
      <c r="M252" s="126">
        <f ca="1" t="shared" si="60"/>
        <v>1</v>
      </c>
      <c r="N252" s="126">
        <f ca="1" t="shared" si="61"/>
        <v>6</v>
      </c>
      <c r="O252" s="126">
        <f ca="1" t="shared" si="62"/>
        <v>5</v>
      </c>
      <c r="P252" s="126">
        <f ca="1" t="shared" si="63"/>
        <v>1</v>
      </c>
      <c r="Q252" s="126">
        <f ca="1" t="shared" si="64"/>
        <v>0.5</v>
      </c>
      <c r="R252" s="126">
        <f ca="1" t="shared" si="65"/>
        <v>2</v>
      </c>
      <c r="S252" s="126"/>
      <c r="AG252"/>
      <c r="AH252"/>
      <c r="AI252"/>
      <c r="AJ252"/>
      <c r="AK252"/>
      <c r="AL252"/>
      <c r="AM252"/>
      <c r="AN252"/>
      <c r="AO252"/>
      <c r="AP252"/>
    </row>
    <row r="253" spans="2:42">
      <c r="B253" s="98">
        <f t="shared" si="51"/>
        <v>251</v>
      </c>
      <c r="C253" s="126">
        <f ca="1" t="shared" si="52"/>
        <v>390</v>
      </c>
      <c r="D253" s="126">
        <f ca="1" t="shared" si="53"/>
        <v>20</v>
      </c>
      <c r="E253" s="126">
        <f ca="1" t="shared" si="54"/>
        <v>10</v>
      </c>
      <c r="F253" s="126">
        <f ca="1" t="shared" si="55"/>
        <v>1.5</v>
      </c>
      <c r="G253" s="126">
        <f ca="1" t="shared" si="56"/>
        <v>0.125</v>
      </c>
      <c r="H253" s="126">
        <f ca="1" t="shared" si="57"/>
        <v>0.013</v>
      </c>
      <c r="J253" s="97">
        <f t="shared" si="58"/>
        <v>251</v>
      </c>
      <c r="K253" s="106">
        <f ca="1" t="shared" si="50"/>
        <v>390</v>
      </c>
      <c r="L253" s="126">
        <f ca="1" t="shared" si="59"/>
        <v>40</v>
      </c>
      <c r="M253" s="126">
        <f ca="1" t="shared" si="60"/>
        <v>1</v>
      </c>
      <c r="N253" s="126">
        <f ca="1" t="shared" si="61"/>
        <v>6</v>
      </c>
      <c r="O253" s="126">
        <f ca="1" t="shared" si="62"/>
        <v>5</v>
      </c>
      <c r="P253" s="126">
        <f ca="1" t="shared" si="63"/>
        <v>1</v>
      </c>
      <c r="Q253" s="126">
        <f ca="1" t="shared" si="64"/>
        <v>0.5</v>
      </c>
      <c r="R253" s="126">
        <f ca="1" t="shared" si="65"/>
        <v>2</v>
      </c>
      <c r="S253" s="126"/>
      <c r="AG253"/>
      <c r="AH253"/>
      <c r="AI253"/>
      <c r="AJ253"/>
      <c r="AK253"/>
      <c r="AL253"/>
      <c r="AM253"/>
      <c r="AN253"/>
      <c r="AO253"/>
      <c r="AP253"/>
    </row>
    <row r="254" spans="2:42">
      <c r="B254" s="98">
        <f t="shared" si="51"/>
        <v>252</v>
      </c>
      <c r="C254" s="126">
        <f ca="1" t="shared" si="52"/>
        <v>391</v>
      </c>
      <c r="D254" s="126">
        <f ca="1" t="shared" si="53"/>
        <v>20</v>
      </c>
      <c r="E254" s="126">
        <f ca="1" t="shared" si="54"/>
        <v>10</v>
      </c>
      <c r="F254" s="126">
        <f ca="1" t="shared" si="55"/>
        <v>1.5</v>
      </c>
      <c r="G254" s="126">
        <f ca="1" t="shared" si="56"/>
        <v>0.125</v>
      </c>
      <c r="H254" s="126">
        <f ca="1" t="shared" si="57"/>
        <v>0.013</v>
      </c>
      <c r="J254" s="97">
        <f t="shared" si="58"/>
        <v>252</v>
      </c>
      <c r="K254" s="106">
        <f ca="1" t="shared" si="50"/>
        <v>391</v>
      </c>
      <c r="L254" s="126">
        <f ca="1" t="shared" si="59"/>
        <v>40</v>
      </c>
      <c r="M254" s="126">
        <f ca="1" t="shared" si="60"/>
        <v>1</v>
      </c>
      <c r="N254" s="126">
        <f ca="1" t="shared" si="61"/>
        <v>6</v>
      </c>
      <c r="O254" s="126">
        <f ca="1" t="shared" si="62"/>
        <v>5</v>
      </c>
      <c r="P254" s="126">
        <f ca="1" t="shared" si="63"/>
        <v>1</v>
      </c>
      <c r="Q254" s="126">
        <f ca="1" t="shared" si="64"/>
        <v>0.5</v>
      </c>
      <c r="R254" s="126">
        <f ca="1" t="shared" si="65"/>
        <v>2</v>
      </c>
      <c r="S254" s="126"/>
      <c r="AG254"/>
      <c r="AH254"/>
      <c r="AI254"/>
      <c r="AJ254"/>
      <c r="AK254"/>
      <c r="AL254"/>
      <c r="AM254"/>
      <c r="AN254"/>
      <c r="AO254"/>
      <c r="AP254"/>
    </row>
    <row r="255" spans="2:42">
      <c r="B255" s="98">
        <f t="shared" si="51"/>
        <v>253</v>
      </c>
      <c r="C255" s="126">
        <f ca="1" t="shared" si="52"/>
        <v>392</v>
      </c>
      <c r="D255" s="126">
        <f ca="1" t="shared" si="53"/>
        <v>20</v>
      </c>
      <c r="E255" s="126">
        <f ca="1" t="shared" si="54"/>
        <v>10</v>
      </c>
      <c r="F255" s="126">
        <f ca="1" t="shared" si="55"/>
        <v>1.5</v>
      </c>
      <c r="G255" s="126">
        <f ca="1" t="shared" si="56"/>
        <v>0.125</v>
      </c>
      <c r="H255" s="126">
        <f ca="1" t="shared" si="57"/>
        <v>0.013</v>
      </c>
      <c r="J255" s="97">
        <f t="shared" si="58"/>
        <v>253</v>
      </c>
      <c r="K255" s="106">
        <f ca="1" t="shared" si="50"/>
        <v>392</v>
      </c>
      <c r="L255" s="126">
        <f ca="1" t="shared" si="59"/>
        <v>40</v>
      </c>
      <c r="M255" s="126">
        <f ca="1" t="shared" si="60"/>
        <v>1</v>
      </c>
      <c r="N255" s="126">
        <f ca="1" t="shared" si="61"/>
        <v>6</v>
      </c>
      <c r="O255" s="126">
        <f ca="1" t="shared" si="62"/>
        <v>5</v>
      </c>
      <c r="P255" s="126">
        <f ca="1" t="shared" si="63"/>
        <v>1</v>
      </c>
      <c r="Q255" s="126">
        <f ca="1" t="shared" si="64"/>
        <v>0.5</v>
      </c>
      <c r="R255" s="126">
        <f ca="1" t="shared" si="65"/>
        <v>2</v>
      </c>
      <c r="S255" s="126"/>
      <c r="AG255"/>
      <c r="AH255"/>
      <c r="AI255"/>
      <c r="AJ255"/>
      <c r="AK255"/>
      <c r="AL255"/>
      <c r="AM255"/>
      <c r="AN255"/>
      <c r="AO255"/>
      <c r="AP255"/>
    </row>
    <row r="256" spans="2:42">
      <c r="B256" s="98">
        <f t="shared" si="51"/>
        <v>254</v>
      </c>
      <c r="C256" s="126">
        <f ca="1" t="shared" si="52"/>
        <v>393</v>
      </c>
      <c r="D256" s="126">
        <f ca="1" t="shared" si="53"/>
        <v>20</v>
      </c>
      <c r="E256" s="126">
        <f ca="1" t="shared" si="54"/>
        <v>10</v>
      </c>
      <c r="F256" s="126">
        <f ca="1" t="shared" si="55"/>
        <v>1.5</v>
      </c>
      <c r="G256" s="126">
        <f ca="1" t="shared" si="56"/>
        <v>0.125</v>
      </c>
      <c r="H256" s="126">
        <f ca="1" t="shared" si="57"/>
        <v>0.013</v>
      </c>
      <c r="J256" s="97">
        <f t="shared" si="58"/>
        <v>254</v>
      </c>
      <c r="K256" s="106">
        <f ca="1" t="shared" si="50"/>
        <v>393</v>
      </c>
      <c r="L256" s="126">
        <f ca="1" t="shared" si="59"/>
        <v>40</v>
      </c>
      <c r="M256" s="126">
        <f ca="1" t="shared" si="60"/>
        <v>1</v>
      </c>
      <c r="N256" s="126">
        <f ca="1" t="shared" si="61"/>
        <v>6</v>
      </c>
      <c r="O256" s="126">
        <f ca="1" t="shared" si="62"/>
        <v>5</v>
      </c>
      <c r="P256" s="126">
        <f ca="1" t="shared" si="63"/>
        <v>1</v>
      </c>
      <c r="Q256" s="126">
        <f ca="1" t="shared" si="64"/>
        <v>0.5</v>
      </c>
      <c r="R256" s="126">
        <f ca="1" t="shared" si="65"/>
        <v>2</v>
      </c>
      <c r="S256" s="126"/>
      <c r="AG256"/>
      <c r="AH256"/>
      <c r="AI256"/>
      <c r="AJ256"/>
      <c r="AK256"/>
      <c r="AL256"/>
      <c r="AM256"/>
      <c r="AN256"/>
      <c r="AO256"/>
      <c r="AP256"/>
    </row>
    <row r="257" spans="2:42">
      <c r="B257" s="98">
        <f t="shared" si="51"/>
        <v>255</v>
      </c>
      <c r="C257" s="126">
        <f ca="1" t="shared" si="52"/>
        <v>394</v>
      </c>
      <c r="D257" s="126">
        <f ca="1" t="shared" si="53"/>
        <v>20</v>
      </c>
      <c r="E257" s="126">
        <f ca="1" t="shared" si="54"/>
        <v>10</v>
      </c>
      <c r="F257" s="126">
        <f ca="1" t="shared" si="55"/>
        <v>1.5</v>
      </c>
      <c r="G257" s="126">
        <f ca="1" t="shared" si="56"/>
        <v>0.125</v>
      </c>
      <c r="H257" s="126">
        <f ca="1" t="shared" si="57"/>
        <v>0.013</v>
      </c>
      <c r="J257" s="97">
        <f t="shared" si="58"/>
        <v>255</v>
      </c>
      <c r="K257" s="106">
        <f ca="1" t="shared" si="50"/>
        <v>394</v>
      </c>
      <c r="L257" s="126">
        <f ca="1" t="shared" si="59"/>
        <v>40</v>
      </c>
      <c r="M257" s="126">
        <f ca="1" t="shared" si="60"/>
        <v>1</v>
      </c>
      <c r="N257" s="126">
        <f ca="1" t="shared" si="61"/>
        <v>6</v>
      </c>
      <c r="O257" s="126">
        <f ca="1" t="shared" si="62"/>
        <v>5</v>
      </c>
      <c r="P257" s="126">
        <f ca="1" t="shared" si="63"/>
        <v>1</v>
      </c>
      <c r="Q257" s="126">
        <f ca="1" t="shared" si="64"/>
        <v>0.5</v>
      </c>
      <c r="R257" s="126">
        <f ca="1" t="shared" si="65"/>
        <v>2</v>
      </c>
      <c r="S257" s="126"/>
      <c r="AG257"/>
      <c r="AH257"/>
      <c r="AI257"/>
      <c r="AJ257"/>
      <c r="AK257"/>
      <c r="AL257"/>
      <c r="AM257"/>
      <c r="AN257"/>
      <c r="AO257"/>
      <c r="AP257"/>
    </row>
    <row r="258" spans="2:42">
      <c r="B258" s="98">
        <f t="shared" si="51"/>
        <v>256</v>
      </c>
      <c r="C258" s="126">
        <f ca="1" t="shared" si="52"/>
        <v>395</v>
      </c>
      <c r="D258" s="126">
        <f ca="1" t="shared" si="53"/>
        <v>20</v>
      </c>
      <c r="E258" s="126">
        <f ca="1" t="shared" si="54"/>
        <v>10</v>
      </c>
      <c r="F258" s="126">
        <f ca="1" t="shared" si="55"/>
        <v>1.5</v>
      </c>
      <c r="G258" s="126">
        <f ca="1" t="shared" si="56"/>
        <v>0.125</v>
      </c>
      <c r="H258" s="126">
        <f ca="1" t="shared" si="57"/>
        <v>0.013</v>
      </c>
      <c r="J258" s="97">
        <f t="shared" si="58"/>
        <v>256</v>
      </c>
      <c r="K258" s="106">
        <f ca="1" t="shared" si="50"/>
        <v>395</v>
      </c>
      <c r="L258" s="126">
        <f ca="1" t="shared" si="59"/>
        <v>40</v>
      </c>
      <c r="M258" s="126">
        <f ca="1" t="shared" si="60"/>
        <v>1</v>
      </c>
      <c r="N258" s="126">
        <f ca="1" t="shared" si="61"/>
        <v>6</v>
      </c>
      <c r="O258" s="126">
        <f ca="1" t="shared" si="62"/>
        <v>5</v>
      </c>
      <c r="P258" s="126">
        <f ca="1" t="shared" si="63"/>
        <v>1</v>
      </c>
      <c r="Q258" s="126">
        <f ca="1" t="shared" si="64"/>
        <v>0.5</v>
      </c>
      <c r="R258" s="126">
        <f ca="1" t="shared" si="65"/>
        <v>2</v>
      </c>
      <c r="S258" s="126"/>
      <c r="AG258"/>
      <c r="AH258"/>
      <c r="AI258"/>
      <c r="AJ258"/>
      <c r="AK258"/>
      <c r="AL258"/>
      <c r="AM258"/>
      <c r="AN258"/>
      <c r="AO258"/>
      <c r="AP258"/>
    </row>
    <row r="259" spans="2:42">
      <c r="B259" s="98">
        <f t="shared" si="51"/>
        <v>257</v>
      </c>
      <c r="C259" s="126">
        <f ca="1" t="shared" si="52"/>
        <v>396</v>
      </c>
      <c r="D259" s="126">
        <f ca="1" t="shared" si="53"/>
        <v>20</v>
      </c>
      <c r="E259" s="126">
        <f ca="1" t="shared" si="54"/>
        <v>10</v>
      </c>
      <c r="F259" s="126">
        <f ca="1" t="shared" si="55"/>
        <v>1.5</v>
      </c>
      <c r="G259" s="126">
        <f ca="1" t="shared" si="56"/>
        <v>0.125</v>
      </c>
      <c r="H259" s="126">
        <f ca="1" t="shared" si="57"/>
        <v>0.013</v>
      </c>
      <c r="J259" s="97">
        <f t="shared" si="58"/>
        <v>257</v>
      </c>
      <c r="K259" s="106">
        <f ca="1" t="shared" ref="K259:K302" si="66">OFFSET($B$310,$B259,MATCH(K$1&amp;K$2,$C$305:$P$305,0))</f>
        <v>396</v>
      </c>
      <c r="L259" s="126">
        <f ca="1" t="shared" si="59"/>
        <v>40</v>
      </c>
      <c r="M259" s="126">
        <f ca="1" t="shared" si="60"/>
        <v>1</v>
      </c>
      <c r="N259" s="126">
        <f ca="1" t="shared" si="61"/>
        <v>6</v>
      </c>
      <c r="O259" s="126">
        <f ca="1" t="shared" si="62"/>
        <v>5</v>
      </c>
      <c r="P259" s="126">
        <f ca="1" t="shared" si="63"/>
        <v>1</v>
      </c>
      <c r="Q259" s="126">
        <f ca="1" t="shared" si="64"/>
        <v>0.5</v>
      </c>
      <c r="R259" s="126">
        <f ca="1" t="shared" si="65"/>
        <v>2</v>
      </c>
      <c r="S259" s="126"/>
      <c r="AG259"/>
      <c r="AH259"/>
      <c r="AI259"/>
      <c r="AJ259"/>
      <c r="AK259"/>
      <c r="AL259"/>
      <c r="AM259"/>
      <c r="AN259"/>
      <c r="AO259"/>
      <c r="AP259"/>
    </row>
    <row r="260" spans="2:42">
      <c r="B260" s="98">
        <f t="shared" ref="B260:B302" si="67">B259+1</f>
        <v>258</v>
      </c>
      <c r="C260" s="126">
        <f ca="1" t="shared" ref="C260:C302" si="68">OFFSET($B$310,$B260,MATCH(C$1&amp;C$2,$C$305:$P$305,0))</f>
        <v>397</v>
      </c>
      <c r="D260" s="126">
        <f ca="1" t="shared" ref="D260:D302" si="69">OFFSET($B$310,$B260,MATCH(D$1&amp;D$2,$C$305:$P$305,0))</f>
        <v>20</v>
      </c>
      <c r="E260" s="126">
        <f ca="1" t="shared" ref="E260:E302" si="70">OFFSET($B$310,$B260,MATCH(E$1&amp;E$2,$C$305:$P$305,0))</f>
        <v>10</v>
      </c>
      <c r="F260" s="126">
        <f ca="1" t="shared" ref="F260:F302" si="71">OFFSET($B$310,$B260,MATCH(F$1&amp;F$2,$C$305:$P$305,0))</f>
        <v>1.5</v>
      </c>
      <c r="G260" s="126">
        <f ca="1" t="shared" ref="G260:G302" si="72">OFFSET($B$310,$B260,MATCH(G$1&amp;G$2,$C$305:$P$305,0))</f>
        <v>0.125</v>
      </c>
      <c r="H260" s="126">
        <f ca="1" t="shared" ref="H260:H302" si="73">OFFSET($B$310,$B260,MATCH(H$1&amp;H$2,$C$305:$P$305,0))</f>
        <v>0.013</v>
      </c>
      <c r="J260" s="97">
        <f t="shared" ref="J260:J302" si="74">J259+1</f>
        <v>258</v>
      </c>
      <c r="K260" s="106">
        <f ca="1" t="shared" si="66"/>
        <v>397</v>
      </c>
      <c r="L260" s="126">
        <f ca="1" t="shared" ref="L260:L302" si="75">OFFSET($B$310,$B260,MATCH(L$1&amp;L$2,$C$305:$P$305,0))</f>
        <v>40</v>
      </c>
      <c r="M260" s="126">
        <f ca="1" t="shared" ref="M260:M302" si="76">OFFSET($B$310,$B260,MATCH(M$1&amp;M$2,$C$305:$P$305,0))</f>
        <v>1</v>
      </c>
      <c r="N260" s="126">
        <f ca="1" t="shared" ref="N260:N302" si="77">OFFSET($B$310,$B260,MATCH(N$1&amp;N$2,$C$305:$P$305,0))</f>
        <v>6</v>
      </c>
      <c r="O260" s="126">
        <f ca="1" t="shared" ref="O260:O302" si="78">OFFSET($B$310,$B260,MATCH(O$1&amp;O$2,$C$305:$P$305,0))</f>
        <v>5</v>
      </c>
      <c r="P260" s="126">
        <f ca="1" t="shared" ref="P260:P302" si="79">OFFSET($B$310,$B260,MATCH(P$1&amp;P$2,$C$305:$P$305,0))</f>
        <v>1</v>
      </c>
      <c r="Q260" s="126">
        <f ca="1" t="shared" ref="Q260:Q302" si="80">OFFSET($B$310,$B260,MATCH(Q$1&amp;Q$2,$C$305:$P$305,0))</f>
        <v>0.5</v>
      </c>
      <c r="R260" s="126">
        <f ca="1" t="shared" ref="R260:R302" si="81">OFFSET($B$310,$B260,MATCH(R$1&amp;R$2,$C$305:$P$305,0))</f>
        <v>2</v>
      </c>
      <c r="S260" s="126"/>
      <c r="AG260"/>
      <c r="AH260"/>
      <c r="AI260"/>
      <c r="AJ260"/>
      <c r="AK260"/>
      <c r="AL260"/>
      <c r="AM260"/>
      <c r="AN260"/>
      <c r="AO260"/>
      <c r="AP260"/>
    </row>
    <row r="261" spans="2:42">
      <c r="B261" s="98">
        <f t="shared" si="67"/>
        <v>259</v>
      </c>
      <c r="C261" s="126">
        <f ca="1" t="shared" si="68"/>
        <v>398</v>
      </c>
      <c r="D261" s="126">
        <f ca="1" t="shared" si="69"/>
        <v>20</v>
      </c>
      <c r="E261" s="126">
        <f ca="1" t="shared" si="70"/>
        <v>10</v>
      </c>
      <c r="F261" s="126">
        <f ca="1" t="shared" si="71"/>
        <v>1.5</v>
      </c>
      <c r="G261" s="126">
        <f ca="1" t="shared" si="72"/>
        <v>0.125</v>
      </c>
      <c r="H261" s="126">
        <f ca="1" t="shared" si="73"/>
        <v>0.013</v>
      </c>
      <c r="J261" s="97">
        <f t="shared" si="74"/>
        <v>259</v>
      </c>
      <c r="K261" s="106">
        <f ca="1" t="shared" si="66"/>
        <v>398</v>
      </c>
      <c r="L261" s="126">
        <f ca="1" t="shared" si="75"/>
        <v>40</v>
      </c>
      <c r="M261" s="126">
        <f ca="1" t="shared" si="76"/>
        <v>1</v>
      </c>
      <c r="N261" s="126">
        <f ca="1" t="shared" si="77"/>
        <v>6</v>
      </c>
      <c r="O261" s="126">
        <f ca="1" t="shared" si="78"/>
        <v>5</v>
      </c>
      <c r="P261" s="126">
        <f ca="1" t="shared" si="79"/>
        <v>1</v>
      </c>
      <c r="Q261" s="126">
        <f ca="1" t="shared" si="80"/>
        <v>0.5</v>
      </c>
      <c r="R261" s="126">
        <f ca="1" t="shared" si="81"/>
        <v>2</v>
      </c>
      <c r="S261" s="126"/>
      <c r="AG261"/>
      <c r="AH261"/>
      <c r="AI261"/>
      <c r="AJ261"/>
      <c r="AK261"/>
      <c r="AL261"/>
      <c r="AM261"/>
      <c r="AN261"/>
      <c r="AO261"/>
      <c r="AP261"/>
    </row>
    <row r="262" spans="2:42">
      <c r="B262" s="98">
        <f t="shared" si="67"/>
        <v>260</v>
      </c>
      <c r="C262" s="126">
        <f ca="1" t="shared" si="68"/>
        <v>399</v>
      </c>
      <c r="D262" s="126">
        <f ca="1" t="shared" si="69"/>
        <v>20</v>
      </c>
      <c r="E262" s="126">
        <f ca="1" t="shared" si="70"/>
        <v>10</v>
      </c>
      <c r="F262" s="126">
        <f ca="1" t="shared" si="71"/>
        <v>1.5</v>
      </c>
      <c r="G262" s="126">
        <f ca="1" t="shared" si="72"/>
        <v>0.125</v>
      </c>
      <c r="H262" s="126">
        <f ca="1" t="shared" si="73"/>
        <v>0.013</v>
      </c>
      <c r="J262" s="97">
        <f t="shared" si="74"/>
        <v>260</v>
      </c>
      <c r="K262" s="106">
        <f ca="1" t="shared" si="66"/>
        <v>399</v>
      </c>
      <c r="L262" s="126">
        <f ca="1" t="shared" si="75"/>
        <v>40</v>
      </c>
      <c r="M262" s="126">
        <f ca="1" t="shared" si="76"/>
        <v>1</v>
      </c>
      <c r="N262" s="126">
        <f ca="1" t="shared" si="77"/>
        <v>6</v>
      </c>
      <c r="O262" s="126">
        <f ca="1" t="shared" si="78"/>
        <v>5</v>
      </c>
      <c r="P262" s="126">
        <f ca="1" t="shared" si="79"/>
        <v>1</v>
      </c>
      <c r="Q262" s="126">
        <f ca="1" t="shared" si="80"/>
        <v>0.5</v>
      </c>
      <c r="R262" s="126">
        <f ca="1" t="shared" si="81"/>
        <v>2</v>
      </c>
      <c r="S262" s="126"/>
      <c r="AG262"/>
      <c r="AH262"/>
      <c r="AI262"/>
      <c r="AJ262"/>
      <c r="AK262"/>
      <c r="AL262"/>
      <c r="AM262"/>
      <c r="AN262"/>
      <c r="AO262"/>
      <c r="AP262"/>
    </row>
    <row r="263" spans="2:42">
      <c r="B263" s="98">
        <f t="shared" si="67"/>
        <v>261</v>
      </c>
      <c r="C263" s="126">
        <f ca="1" t="shared" si="68"/>
        <v>400</v>
      </c>
      <c r="D263" s="126">
        <f ca="1" t="shared" si="69"/>
        <v>20</v>
      </c>
      <c r="E263" s="126">
        <f ca="1" t="shared" si="70"/>
        <v>10</v>
      </c>
      <c r="F263" s="126">
        <f ca="1" t="shared" si="71"/>
        <v>1.5</v>
      </c>
      <c r="G263" s="126">
        <f ca="1" t="shared" si="72"/>
        <v>0.125</v>
      </c>
      <c r="H263" s="126">
        <f ca="1" t="shared" si="73"/>
        <v>0.013</v>
      </c>
      <c r="J263" s="97">
        <f t="shared" si="74"/>
        <v>261</v>
      </c>
      <c r="K263" s="106">
        <f ca="1" t="shared" si="66"/>
        <v>400</v>
      </c>
      <c r="L263" s="126">
        <f ca="1" t="shared" si="75"/>
        <v>40</v>
      </c>
      <c r="M263" s="126">
        <f ca="1" t="shared" si="76"/>
        <v>1</v>
      </c>
      <c r="N263" s="126">
        <f ca="1" t="shared" si="77"/>
        <v>6</v>
      </c>
      <c r="O263" s="126">
        <f ca="1" t="shared" si="78"/>
        <v>5</v>
      </c>
      <c r="P263" s="126">
        <f ca="1" t="shared" si="79"/>
        <v>1</v>
      </c>
      <c r="Q263" s="126">
        <f ca="1" t="shared" si="80"/>
        <v>0.5</v>
      </c>
      <c r="R263" s="126">
        <f ca="1" t="shared" si="81"/>
        <v>2</v>
      </c>
      <c r="S263" s="126"/>
      <c r="AG263"/>
      <c r="AH263"/>
      <c r="AI263"/>
      <c r="AJ263"/>
      <c r="AK263"/>
      <c r="AL263"/>
      <c r="AM263"/>
      <c r="AN263"/>
      <c r="AO263"/>
      <c r="AP263"/>
    </row>
    <row r="264" spans="2:42">
      <c r="B264" s="98">
        <f t="shared" si="67"/>
        <v>262</v>
      </c>
      <c r="C264" s="126">
        <f ca="1" t="shared" si="68"/>
        <v>401</v>
      </c>
      <c r="D264" s="126">
        <f ca="1" t="shared" si="69"/>
        <v>20</v>
      </c>
      <c r="E264" s="126">
        <f ca="1" t="shared" si="70"/>
        <v>10</v>
      </c>
      <c r="F264" s="126">
        <f ca="1" t="shared" si="71"/>
        <v>1.5</v>
      </c>
      <c r="G264" s="126">
        <f ca="1" t="shared" si="72"/>
        <v>0.125</v>
      </c>
      <c r="H264" s="126">
        <f ca="1" t="shared" si="73"/>
        <v>0.013</v>
      </c>
      <c r="J264" s="97">
        <f t="shared" si="74"/>
        <v>262</v>
      </c>
      <c r="K264" s="106">
        <f ca="1" t="shared" si="66"/>
        <v>401</v>
      </c>
      <c r="L264" s="126">
        <f ca="1" t="shared" si="75"/>
        <v>40</v>
      </c>
      <c r="M264" s="126">
        <f ca="1" t="shared" si="76"/>
        <v>1</v>
      </c>
      <c r="N264" s="126">
        <f ca="1" t="shared" si="77"/>
        <v>6</v>
      </c>
      <c r="O264" s="126">
        <f ca="1" t="shared" si="78"/>
        <v>5</v>
      </c>
      <c r="P264" s="126">
        <f ca="1" t="shared" si="79"/>
        <v>1</v>
      </c>
      <c r="Q264" s="126">
        <f ca="1" t="shared" si="80"/>
        <v>0.5</v>
      </c>
      <c r="R264" s="126">
        <f ca="1" t="shared" si="81"/>
        <v>2</v>
      </c>
      <c r="S264" s="126"/>
      <c r="AG264"/>
      <c r="AH264"/>
      <c r="AI264"/>
      <c r="AJ264"/>
      <c r="AK264"/>
      <c r="AL264"/>
      <c r="AM264"/>
      <c r="AN264"/>
      <c r="AO264"/>
      <c r="AP264"/>
    </row>
    <row r="265" spans="2:42">
      <c r="B265" s="98">
        <f t="shared" si="67"/>
        <v>263</v>
      </c>
      <c r="C265" s="126">
        <f ca="1" t="shared" si="68"/>
        <v>402</v>
      </c>
      <c r="D265" s="126">
        <f ca="1" t="shared" si="69"/>
        <v>20</v>
      </c>
      <c r="E265" s="126">
        <f ca="1" t="shared" si="70"/>
        <v>10</v>
      </c>
      <c r="F265" s="126">
        <f ca="1" t="shared" si="71"/>
        <v>1.5</v>
      </c>
      <c r="G265" s="126">
        <f ca="1" t="shared" si="72"/>
        <v>0.125</v>
      </c>
      <c r="H265" s="126">
        <f ca="1" t="shared" si="73"/>
        <v>0.013</v>
      </c>
      <c r="J265" s="97">
        <f t="shared" si="74"/>
        <v>263</v>
      </c>
      <c r="K265" s="106">
        <f ca="1" t="shared" si="66"/>
        <v>402</v>
      </c>
      <c r="L265" s="126">
        <f ca="1" t="shared" si="75"/>
        <v>40</v>
      </c>
      <c r="M265" s="126">
        <f ca="1" t="shared" si="76"/>
        <v>1</v>
      </c>
      <c r="N265" s="126">
        <f ca="1" t="shared" si="77"/>
        <v>6</v>
      </c>
      <c r="O265" s="126">
        <f ca="1" t="shared" si="78"/>
        <v>5</v>
      </c>
      <c r="P265" s="126">
        <f ca="1" t="shared" si="79"/>
        <v>1</v>
      </c>
      <c r="Q265" s="126">
        <f ca="1" t="shared" si="80"/>
        <v>0.5</v>
      </c>
      <c r="R265" s="126">
        <f ca="1" t="shared" si="81"/>
        <v>2</v>
      </c>
      <c r="S265" s="126"/>
      <c r="AG265"/>
      <c r="AH265"/>
      <c r="AI265"/>
      <c r="AJ265"/>
      <c r="AK265"/>
      <c r="AL265"/>
      <c r="AM265"/>
      <c r="AN265"/>
      <c r="AO265"/>
      <c r="AP265"/>
    </row>
    <row r="266" spans="2:42">
      <c r="B266" s="98">
        <f t="shared" si="67"/>
        <v>264</v>
      </c>
      <c r="C266" s="126">
        <f ca="1" t="shared" si="68"/>
        <v>403</v>
      </c>
      <c r="D266" s="126">
        <f ca="1" t="shared" si="69"/>
        <v>20</v>
      </c>
      <c r="E266" s="126">
        <f ca="1" t="shared" si="70"/>
        <v>10</v>
      </c>
      <c r="F266" s="126">
        <f ca="1" t="shared" si="71"/>
        <v>1.5</v>
      </c>
      <c r="G266" s="126">
        <f ca="1" t="shared" si="72"/>
        <v>0.125</v>
      </c>
      <c r="H266" s="126">
        <f ca="1" t="shared" si="73"/>
        <v>0.013</v>
      </c>
      <c r="J266" s="97">
        <f t="shared" si="74"/>
        <v>264</v>
      </c>
      <c r="K266" s="106">
        <f ca="1" t="shared" si="66"/>
        <v>403</v>
      </c>
      <c r="L266" s="126">
        <f ca="1" t="shared" si="75"/>
        <v>40</v>
      </c>
      <c r="M266" s="126">
        <f ca="1" t="shared" si="76"/>
        <v>1</v>
      </c>
      <c r="N266" s="126">
        <f ca="1" t="shared" si="77"/>
        <v>6</v>
      </c>
      <c r="O266" s="126">
        <f ca="1" t="shared" si="78"/>
        <v>5</v>
      </c>
      <c r="P266" s="126">
        <f ca="1" t="shared" si="79"/>
        <v>1</v>
      </c>
      <c r="Q266" s="126">
        <f ca="1" t="shared" si="80"/>
        <v>0.5</v>
      </c>
      <c r="R266" s="126">
        <f ca="1" t="shared" si="81"/>
        <v>2</v>
      </c>
      <c r="S266" s="126"/>
      <c r="AG266"/>
      <c r="AH266"/>
      <c r="AI266"/>
      <c r="AJ266"/>
      <c r="AK266"/>
      <c r="AL266"/>
      <c r="AM266"/>
      <c r="AN266"/>
      <c r="AO266"/>
      <c r="AP266"/>
    </row>
    <row r="267" spans="2:42">
      <c r="B267" s="98">
        <f t="shared" si="67"/>
        <v>265</v>
      </c>
      <c r="C267" s="126">
        <f ca="1" t="shared" si="68"/>
        <v>404</v>
      </c>
      <c r="D267" s="126">
        <f ca="1" t="shared" si="69"/>
        <v>20</v>
      </c>
      <c r="E267" s="126">
        <f ca="1" t="shared" si="70"/>
        <v>10</v>
      </c>
      <c r="F267" s="126">
        <f ca="1" t="shared" si="71"/>
        <v>1.5</v>
      </c>
      <c r="G267" s="126">
        <f ca="1" t="shared" si="72"/>
        <v>0.125</v>
      </c>
      <c r="H267" s="126">
        <f ca="1" t="shared" si="73"/>
        <v>0.013</v>
      </c>
      <c r="J267" s="97">
        <f t="shared" si="74"/>
        <v>265</v>
      </c>
      <c r="K267" s="106">
        <f ca="1" t="shared" si="66"/>
        <v>404</v>
      </c>
      <c r="L267" s="126">
        <f ca="1" t="shared" si="75"/>
        <v>40</v>
      </c>
      <c r="M267" s="126">
        <f ca="1" t="shared" si="76"/>
        <v>1</v>
      </c>
      <c r="N267" s="126">
        <f ca="1" t="shared" si="77"/>
        <v>6</v>
      </c>
      <c r="O267" s="126">
        <f ca="1" t="shared" si="78"/>
        <v>5</v>
      </c>
      <c r="P267" s="126">
        <f ca="1" t="shared" si="79"/>
        <v>1</v>
      </c>
      <c r="Q267" s="126">
        <f ca="1" t="shared" si="80"/>
        <v>0.5</v>
      </c>
      <c r="R267" s="126">
        <f ca="1" t="shared" si="81"/>
        <v>2</v>
      </c>
      <c r="S267" s="126"/>
      <c r="AG267"/>
      <c r="AH267"/>
      <c r="AI267"/>
      <c r="AJ267"/>
      <c r="AK267"/>
      <c r="AL267"/>
      <c r="AM267"/>
      <c r="AN267"/>
      <c r="AO267"/>
      <c r="AP267"/>
    </row>
    <row r="268" spans="2:42">
      <c r="B268" s="98">
        <f t="shared" si="67"/>
        <v>266</v>
      </c>
      <c r="C268" s="126">
        <f ca="1" t="shared" si="68"/>
        <v>405</v>
      </c>
      <c r="D268" s="126">
        <f ca="1" t="shared" si="69"/>
        <v>20</v>
      </c>
      <c r="E268" s="126">
        <f ca="1" t="shared" si="70"/>
        <v>10</v>
      </c>
      <c r="F268" s="126">
        <f ca="1" t="shared" si="71"/>
        <v>1.5</v>
      </c>
      <c r="G268" s="126">
        <f ca="1" t="shared" si="72"/>
        <v>0.125</v>
      </c>
      <c r="H268" s="126">
        <f ca="1" t="shared" si="73"/>
        <v>0.013</v>
      </c>
      <c r="J268" s="97">
        <f t="shared" si="74"/>
        <v>266</v>
      </c>
      <c r="K268" s="106">
        <f ca="1" t="shared" si="66"/>
        <v>405</v>
      </c>
      <c r="L268" s="126">
        <f ca="1" t="shared" si="75"/>
        <v>40</v>
      </c>
      <c r="M268" s="126">
        <f ca="1" t="shared" si="76"/>
        <v>1</v>
      </c>
      <c r="N268" s="126">
        <f ca="1" t="shared" si="77"/>
        <v>6</v>
      </c>
      <c r="O268" s="126">
        <f ca="1" t="shared" si="78"/>
        <v>5</v>
      </c>
      <c r="P268" s="126">
        <f ca="1" t="shared" si="79"/>
        <v>1</v>
      </c>
      <c r="Q268" s="126">
        <f ca="1" t="shared" si="80"/>
        <v>0.5</v>
      </c>
      <c r="R268" s="126">
        <f ca="1" t="shared" si="81"/>
        <v>2</v>
      </c>
      <c r="S268" s="126"/>
      <c r="AG268"/>
      <c r="AH268"/>
      <c r="AI268"/>
      <c r="AJ268"/>
      <c r="AK268"/>
      <c r="AL268"/>
      <c r="AM268"/>
      <c r="AN268"/>
      <c r="AO268"/>
      <c r="AP268"/>
    </row>
    <row r="269" spans="2:42">
      <c r="B269" s="98">
        <f t="shared" si="67"/>
        <v>267</v>
      </c>
      <c r="C269" s="126">
        <f ca="1" t="shared" si="68"/>
        <v>406</v>
      </c>
      <c r="D269" s="126">
        <f ca="1" t="shared" si="69"/>
        <v>20</v>
      </c>
      <c r="E269" s="126">
        <f ca="1" t="shared" si="70"/>
        <v>10</v>
      </c>
      <c r="F269" s="126">
        <f ca="1" t="shared" si="71"/>
        <v>1.5</v>
      </c>
      <c r="G269" s="126">
        <f ca="1" t="shared" si="72"/>
        <v>0.125</v>
      </c>
      <c r="H269" s="126">
        <f ca="1" t="shared" si="73"/>
        <v>0.013</v>
      </c>
      <c r="J269" s="97">
        <f t="shared" si="74"/>
        <v>267</v>
      </c>
      <c r="K269" s="106">
        <f ca="1" t="shared" si="66"/>
        <v>406</v>
      </c>
      <c r="L269" s="126">
        <f ca="1" t="shared" si="75"/>
        <v>40</v>
      </c>
      <c r="M269" s="126">
        <f ca="1" t="shared" si="76"/>
        <v>1</v>
      </c>
      <c r="N269" s="126">
        <f ca="1" t="shared" si="77"/>
        <v>6</v>
      </c>
      <c r="O269" s="126">
        <f ca="1" t="shared" si="78"/>
        <v>5</v>
      </c>
      <c r="P269" s="126">
        <f ca="1" t="shared" si="79"/>
        <v>1</v>
      </c>
      <c r="Q269" s="126">
        <f ca="1" t="shared" si="80"/>
        <v>0.5</v>
      </c>
      <c r="R269" s="126">
        <f ca="1" t="shared" si="81"/>
        <v>2</v>
      </c>
      <c r="S269" s="126"/>
      <c r="AG269"/>
      <c r="AH269"/>
      <c r="AI269"/>
      <c r="AJ269"/>
      <c r="AK269"/>
      <c r="AL269"/>
      <c r="AM269"/>
      <c r="AN269"/>
      <c r="AO269"/>
      <c r="AP269"/>
    </row>
    <row r="270" spans="2:42">
      <c r="B270" s="98">
        <f t="shared" si="67"/>
        <v>268</v>
      </c>
      <c r="C270" s="126">
        <f ca="1" t="shared" si="68"/>
        <v>407</v>
      </c>
      <c r="D270" s="126">
        <f ca="1" t="shared" si="69"/>
        <v>20</v>
      </c>
      <c r="E270" s="126">
        <f ca="1" t="shared" si="70"/>
        <v>10</v>
      </c>
      <c r="F270" s="126">
        <f ca="1" t="shared" si="71"/>
        <v>1.5</v>
      </c>
      <c r="G270" s="126">
        <f ca="1" t="shared" si="72"/>
        <v>0.125</v>
      </c>
      <c r="H270" s="126">
        <f ca="1" t="shared" si="73"/>
        <v>0.013</v>
      </c>
      <c r="J270" s="97">
        <f t="shared" si="74"/>
        <v>268</v>
      </c>
      <c r="K270" s="106">
        <f ca="1" t="shared" si="66"/>
        <v>407</v>
      </c>
      <c r="L270" s="126">
        <f ca="1" t="shared" si="75"/>
        <v>40</v>
      </c>
      <c r="M270" s="126">
        <f ca="1" t="shared" si="76"/>
        <v>1</v>
      </c>
      <c r="N270" s="126">
        <f ca="1" t="shared" si="77"/>
        <v>6</v>
      </c>
      <c r="O270" s="126">
        <f ca="1" t="shared" si="78"/>
        <v>5</v>
      </c>
      <c r="P270" s="126">
        <f ca="1" t="shared" si="79"/>
        <v>1</v>
      </c>
      <c r="Q270" s="126">
        <f ca="1" t="shared" si="80"/>
        <v>0.5</v>
      </c>
      <c r="R270" s="126">
        <f ca="1" t="shared" si="81"/>
        <v>2</v>
      </c>
      <c r="S270" s="126"/>
      <c r="AG270"/>
      <c r="AH270"/>
      <c r="AI270"/>
      <c r="AJ270"/>
      <c r="AK270"/>
      <c r="AL270"/>
      <c r="AM270"/>
      <c r="AN270"/>
      <c r="AO270"/>
      <c r="AP270"/>
    </row>
    <row r="271" spans="2:42">
      <c r="B271" s="98">
        <f t="shared" si="67"/>
        <v>269</v>
      </c>
      <c r="C271" s="126">
        <f ca="1" t="shared" si="68"/>
        <v>408</v>
      </c>
      <c r="D271" s="126">
        <f ca="1" t="shared" si="69"/>
        <v>20</v>
      </c>
      <c r="E271" s="126">
        <f ca="1" t="shared" si="70"/>
        <v>10</v>
      </c>
      <c r="F271" s="126">
        <f ca="1" t="shared" si="71"/>
        <v>1.5</v>
      </c>
      <c r="G271" s="126">
        <f ca="1" t="shared" si="72"/>
        <v>0.125</v>
      </c>
      <c r="H271" s="126">
        <f ca="1" t="shared" si="73"/>
        <v>0.013</v>
      </c>
      <c r="J271" s="97">
        <f t="shared" si="74"/>
        <v>269</v>
      </c>
      <c r="K271" s="106">
        <f ca="1" t="shared" si="66"/>
        <v>408</v>
      </c>
      <c r="L271" s="126">
        <f ca="1" t="shared" si="75"/>
        <v>40</v>
      </c>
      <c r="M271" s="126">
        <f ca="1" t="shared" si="76"/>
        <v>1</v>
      </c>
      <c r="N271" s="126">
        <f ca="1" t="shared" si="77"/>
        <v>6</v>
      </c>
      <c r="O271" s="126">
        <f ca="1" t="shared" si="78"/>
        <v>5</v>
      </c>
      <c r="P271" s="126">
        <f ca="1" t="shared" si="79"/>
        <v>1</v>
      </c>
      <c r="Q271" s="126">
        <f ca="1" t="shared" si="80"/>
        <v>0.5</v>
      </c>
      <c r="R271" s="126">
        <f ca="1" t="shared" si="81"/>
        <v>2</v>
      </c>
      <c r="S271" s="126"/>
      <c r="AG271"/>
      <c r="AH271"/>
      <c r="AI271"/>
      <c r="AJ271"/>
      <c r="AK271"/>
      <c r="AL271"/>
      <c r="AM271"/>
      <c r="AN271"/>
      <c r="AO271"/>
      <c r="AP271"/>
    </row>
    <row r="272" spans="2:42">
      <c r="B272" s="98">
        <f t="shared" si="67"/>
        <v>270</v>
      </c>
      <c r="C272" s="126">
        <f ca="1" t="shared" si="68"/>
        <v>409</v>
      </c>
      <c r="D272" s="126">
        <f ca="1" t="shared" si="69"/>
        <v>20</v>
      </c>
      <c r="E272" s="126">
        <f ca="1" t="shared" si="70"/>
        <v>10</v>
      </c>
      <c r="F272" s="126">
        <f ca="1" t="shared" si="71"/>
        <v>1.5</v>
      </c>
      <c r="G272" s="126">
        <f ca="1" t="shared" si="72"/>
        <v>0.125</v>
      </c>
      <c r="H272" s="126">
        <f ca="1" t="shared" si="73"/>
        <v>0.013</v>
      </c>
      <c r="J272" s="97">
        <f t="shared" si="74"/>
        <v>270</v>
      </c>
      <c r="K272" s="106">
        <f ca="1" t="shared" si="66"/>
        <v>409</v>
      </c>
      <c r="L272" s="126">
        <f ca="1" t="shared" si="75"/>
        <v>40</v>
      </c>
      <c r="M272" s="126">
        <f ca="1" t="shared" si="76"/>
        <v>1</v>
      </c>
      <c r="N272" s="126">
        <f ca="1" t="shared" si="77"/>
        <v>6</v>
      </c>
      <c r="O272" s="126">
        <f ca="1" t="shared" si="78"/>
        <v>5</v>
      </c>
      <c r="P272" s="126">
        <f ca="1" t="shared" si="79"/>
        <v>1</v>
      </c>
      <c r="Q272" s="126">
        <f ca="1" t="shared" si="80"/>
        <v>0.5</v>
      </c>
      <c r="R272" s="126">
        <f ca="1" t="shared" si="81"/>
        <v>2</v>
      </c>
      <c r="S272" s="126"/>
      <c r="AG272"/>
      <c r="AH272"/>
      <c r="AI272"/>
      <c r="AJ272"/>
      <c r="AK272"/>
      <c r="AL272"/>
      <c r="AM272"/>
      <c r="AN272"/>
      <c r="AO272"/>
      <c r="AP272"/>
    </row>
    <row r="273" spans="2:42">
      <c r="B273" s="98">
        <f t="shared" si="67"/>
        <v>271</v>
      </c>
      <c r="C273" s="126">
        <f ca="1" t="shared" si="68"/>
        <v>410</v>
      </c>
      <c r="D273" s="126">
        <f ca="1" t="shared" si="69"/>
        <v>20</v>
      </c>
      <c r="E273" s="126">
        <f ca="1" t="shared" si="70"/>
        <v>10</v>
      </c>
      <c r="F273" s="126">
        <f ca="1" t="shared" si="71"/>
        <v>1.5</v>
      </c>
      <c r="G273" s="126">
        <f ca="1" t="shared" si="72"/>
        <v>0.125</v>
      </c>
      <c r="H273" s="126">
        <f ca="1" t="shared" si="73"/>
        <v>0.013</v>
      </c>
      <c r="J273" s="97">
        <f t="shared" si="74"/>
        <v>271</v>
      </c>
      <c r="K273" s="106">
        <f ca="1" t="shared" si="66"/>
        <v>410</v>
      </c>
      <c r="L273" s="126">
        <f ca="1" t="shared" si="75"/>
        <v>40</v>
      </c>
      <c r="M273" s="126">
        <f ca="1" t="shared" si="76"/>
        <v>1</v>
      </c>
      <c r="N273" s="126">
        <f ca="1" t="shared" si="77"/>
        <v>6</v>
      </c>
      <c r="O273" s="126">
        <f ca="1" t="shared" si="78"/>
        <v>5</v>
      </c>
      <c r="P273" s="126">
        <f ca="1" t="shared" si="79"/>
        <v>1</v>
      </c>
      <c r="Q273" s="126">
        <f ca="1" t="shared" si="80"/>
        <v>0.5</v>
      </c>
      <c r="R273" s="126">
        <f ca="1" t="shared" si="81"/>
        <v>2</v>
      </c>
      <c r="S273" s="126"/>
      <c r="AG273"/>
      <c r="AH273"/>
      <c r="AI273"/>
      <c r="AJ273"/>
      <c r="AK273"/>
      <c r="AL273"/>
      <c r="AM273"/>
      <c r="AN273"/>
      <c r="AO273"/>
      <c r="AP273"/>
    </row>
    <row r="274" spans="2:42">
      <c r="B274" s="98">
        <f t="shared" si="67"/>
        <v>272</v>
      </c>
      <c r="C274" s="126">
        <f ca="1" t="shared" si="68"/>
        <v>411</v>
      </c>
      <c r="D274" s="126">
        <f ca="1" t="shared" si="69"/>
        <v>20</v>
      </c>
      <c r="E274" s="126">
        <f ca="1" t="shared" si="70"/>
        <v>10</v>
      </c>
      <c r="F274" s="126">
        <f ca="1" t="shared" si="71"/>
        <v>1.5</v>
      </c>
      <c r="G274" s="126">
        <f ca="1" t="shared" si="72"/>
        <v>0.125</v>
      </c>
      <c r="H274" s="126">
        <f ca="1" t="shared" si="73"/>
        <v>0.013</v>
      </c>
      <c r="J274" s="97">
        <f t="shared" si="74"/>
        <v>272</v>
      </c>
      <c r="K274" s="106">
        <f ca="1" t="shared" si="66"/>
        <v>411</v>
      </c>
      <c r="L274" s="126">
        <f ca="1" t="shared" si="75"/>
        <v>40</v>
      </c>
      <c r="M274" s="126">
        <f ca="1" t="shared" si="76"/>
        <v>1</v>
      </c>
      <c r="N274" s="126">
        <f ca="1" t="shared" si="77"/>
        <v>6</v>
      </c>
      <c r="O274" s="126">
        <f ca="1" t="shared" si="78"/>
        <v>5</v>
      </c>
      <c r="P274" s="126">
        <f ca="1" t="shared" si="79"/>
        <v>1</v>
      </c>
      <c r="Q274" s="126">
        <f ca="1" t="shared" si="80"/>
        <v>0.5</v>
      </c>
      <c r="R274" s="126">
        <f ca="1" t="shared" si="81"/>
        <v>2</v>
      </c>
      <c r="S274" s="126"/>
      <c r="AG274"/>
      <c r="AH274"/>
      <c r="AI274"/>
      <c r="AJ274"/>
      <c r="AK274"/>
      <c r="AL274"/>
      <c r="AM274"/>
      <c r="AN274"/>
      <c r="AO274"/>
      <c r="AP274"/>
    </row>
    <row r="275" spans="2:42">
      <c r="B275" s="98">
        <f t="shared" si="67"/>
        <v>273</v>
      </c>
      <c r="C275" s="126">
        <f ca="1" t="shared" si="68"/>
        <v>412</v>
      </c>
      <c r="D275" s="126">
        <f ca="1" t="shared" si="69"/>
        <v>20</v>
      </c>
      <c r="E275" s="126">
        <f ca="1" t="shared" si="70"/>
        <v>10</v>
      </c>
      <c r="F275" s="126">
        <f ca="1" t="shared" si="71"/>
        <v>1.5</v>
      </c>
      <c r="G275" s="126">
        <f ca="1" t="shared" si="72"/>
        <v>0.125</v>
      </c>
      <c r="H275" s="126">
        <f ca="1" t="shared" si="73"/>
        <v>0.013</v>
      </c>
      <c r="J275" s="97">
        <f t="shared" si="74"/>
        <v>273</v>
      </c>
      <c r="K275" s="106">
        <f ca="1" t="shared" si="66"/>
        <v>412</v>
      </c>
      <c r="L275" s="126">
        <f ca="1" t="shared" si="75"/>
        <v>40</v>
      </c>
      <c r="M275" s="126">
        <f ca="1" t="shared" si="76"/>
        <v>1</v>
      </c>
      <c r="N275" s="126">
        <f ca="1" t="shared" si="77"/>
        <v>6</v>
      </c>
      <c r="O275" s="126">
        <f ca="1" t="shared" si="78"/>
        <v>5</v>
      </c>
      <c r="P275" s="126">
        <f ca="1" t="shared" si="79"/>
        <v>1</v>
      </c>
      <c r="Q275" s="126">
        <f ca="1" t="shared" si="80"/>
        <v>0.5</v>
      </c>
      <c r="R275" s="126">
        <f ca="1" t="shared" si="81"/>
        <v>2</v>
      </c>
      <c r="S275" s="126"/>
      <c r="AG275"/>
      <c r="AH275"/>
      <c r="AI275"/>
      <c r="AJ275"/>
      <c r="AK275"/>
      <c r="AL275"/>
      <c r="AM275"/>
      <c r="AN275"/>
      <c r="AO275"/>
      <c r="AP275"/>
    </row>
    <row r="276" spans="2:42">
      <c r="B276" s="98">
        <f t="shared" si="67"/>
        <v>274</v>
      </c>
      <c r="C276" s="126">
        <f ca="1" t="shared" si="68"/>
        <v>413</v>
      </c>
      <c r="D276" s="126">
        <f ca="1" t="shared" si="69"/>
        <v>20</v>
      </c>
      <c r="E276" s="126">
        <f ca="1" t="shared" si="70"/>
        <v>10</v>
      </c>
      <c r="F276" s="126">
        <f ca="1" t="shared" si="71"/>
        <v>1.5</v>
      </c>
      <c r="G276" s="126">
        <f ca="1" t="shared" si="72"/>
        <v>0.125</v>
      </c>
      <c r="H276" s="126">
        <f ca="1" t="shared" si="73"/>
        <v>0.013</v>
      </c>
      <c r="J276" s="97">
        <f t="shared" si="74"/>
        <v>274</v>
      </c>
      <c r="K276" s="106">
        <f ca="1" t="shared" si="66"/>
        <v>413</v>
      </c>
      <c r="L276" s="126">
        <f ca="1" t="shared" si="75"/>
        <v>40</v>
      </c>
      <c r="M276" s="126">
        <f ca="1" t="shared" si="76"/>
        <v>1</v>
      </c>
      <c r="N276" s="126">
        <f ca="1" t="shared" si="77"/>
        <v>6</v>
      </c>
      <c r="O276" s="126">
        <f ca="1" t="shared" si="78"/>
        <v>5</v>
      </c>
      <c r="P276" s="126">
        <f ca="1" t="shared" si="79"/>
        <v>1</v>
      </c>
      <c r="Q276" s="126">
        <f ca="1" t="shared" si="80"/>
        <v>0.5</v>
      </c>
      <c r="R276" s="126">
        <f ca="1" t="shared" si="81"/>
        <v>2</v>
      </c>
      <c r="S276" s="126"/>
      <c r="AG276"/>
      <c r="AH276"/>
      <c r="AI276"/>
      <c r="AJ276"/>
      <c r="AK276"/>
      <c r="AL276"/>
      <c r="AM276"/>
      <c r="AN276"/>
      <c r="AO276"/>
      <c r="AP276"/>
    </row>
    <row r="277" spans="2:42">
      <c r="B277" s="98">
        <f t="shared" si="67"/>
        <v>275</v>
      </c>
      <c r="C277" s="126">
        <f ca="1" t="shared" si="68"/>
        <v>414</v>
      </c>
      <c r="D277" s="126">
        <f ca="1" t="shared" si="69"/>
        <v>20</v>
      </c>
      <c r="E277" s="126">
        <f ca="1" t="shared" si="70"/>
        <v>10</v>
      </c>
      <c r="F277" s="126">
        <f ca="1" t="shared" si="71"/>
        <v>1.5</v>
      </c>
      <c r="G277" s="126">
        <f ca="1" t="shared" si="72"/>
        <v>0.125</v>
      </c>
      <c r="H277" s="126">
        <f ca="1" t="shared" si="73"/>
        <v>0.013</v>
      </c>
      <c r="J277" s="97">
        <f t="shared" si="74"/>
        <v>275</v>
      </c>
      <c r="K277" s="106">
        <f ca="1" t="shared" si="66"/>
        <v>414</v>
      </c>
      <c r="L277" s="126">
        <f ca="1" t="shared" si="75"/>
        <v>40</v>
      </c>
      <c r="M277" s="126">
        <f ca="1" t="shared" si="76"/>
        <v>1</v>
      </c>
      <c r="N277" s="126">
        <f ca="1" t="shared" si="77"/>
        <v>6</v>
      </c>
      <c r="O277" s="126">
        <f ca="1" t="shared" si="78"/>
        <v>5</v>
      </c>
      <c r="P277" s="126">
        <f ca="1" t="shared" si="79"/>
        <v>1</v>
      </c>
      <c r="Q277" s="126">
        <f ca="1" t="shared" si="80"/>
        <v>0.5</v>
      </c>
      <c r="R277" s="126">
        <f ca="1" t="shared" si="81"/>
        <v>2</v>
      </c>
      <c r="S277" s="126"/>
      <c r="AG277"/>
      <c r="AH277"/>
      <c r="AI277"/>
      <c r="AJ277"/>
      <c r="AK277"/>
      <c r="AL277"/>
      <c r="AM277"/>
      <c r="AN277"/>
      <c r="AO277"/>
      <c r="AP277"/>
    </row>
    <row r="278" spans="2:42">
      <c r="B278" s="98">
        <f t="shared" si="67"/>
        <v>276</v>
      </c>
      <c r="C278" s="126">
        <f ca="1" t="shared" si="68"/>
        <v>415</v>
      </c>
      <c r="D278" s="126">
        <f ca="1" t="shared" si="69"/>
        <v>20</v>
      </c>
      <c r="E278" s="126">
        <f ca="1" t="shared" si="70"/>
        <v>10</v>
      </c>
      <c r="F278" s="126">
        <f ca="1" t="shared" si="71"/>
        <v>1.5</v>
      </c>
      <c r="G278" s="126">
        <f ca="1" t="shared" si="72"/>
        <v>0.125</v>
      </c>
      <c r="H278" s="126">
        <f ca="1" t="shared" si="73"/>
        <v>0.013</v>
      </c>
      <c r="J278" s="97">
        <f t="shared" si="74"/>
        <v>276</v>
      </c>
      <c r="K278" s="106">
        <f ca="1" t="shared" si="66"/>
        <v>415</v>
      </c>
      <c r="L278" s="126">
        <f ca="1" t="shared" si="75"/>
        <v>40</v>
      </c>
      <c r="M278" s="126">
        <f ca="1" t="shared" si="76"/>
        <v>1</v>
      </c>
      <c r="N278" s="126">
        <f ca="1" t="shared" si="77"/>
        <v>6</v>
      </c>
      <c r="O278" s="126">
        <f ca="1" t="shared" si="78"/>
        <v>5</v>
      </c>
      <c r="P278" s="126">
        <f ca="1" t="shared" si="79"/>
        <v>1</v>
      </c>
      <c r="Q278" s="126">
        <f ca="1" t="shared" si="80"/>
        <v>0.5</v>
      </c>
      <c r="R278" s="126">
        <f ca="1" t="shared" si="81"/>
        <v>2</v>
      </c>
      <c r="S278" s="126"/>
      <c r="AG278"/>
      <c r="AH278"/>
      <c r="AI278"/>
      <c r="AJ278"/>
      <c r="AK278"/>
      <c r="AL278"/>
      <c r="AM278"/>
      <c r="AN278"/>
      <c r="AO278"/>
      <c r="AP278"/>
    </row>
    <row r="279" spans="2:42">
      <c r="B279" s="98">
        <f t="shared" si="67"/>
        <v>277</v>
      </c>
      <c r="C279" s="126">
        <f ca="1" t="shared" si="68"/>
        <v>416</v>
      </c>
      <c r="D279" s="126">
        <f ca="1" t="shared" si="69"/>
        <v>20</v>
      </c>
      <c r="E279" s="126">
        <f ca="1" t="shared" si="70"/>
        <v>10</v>
      </c>
      <c r="F279" s="126">
        <f ca="1" t="shared" si="71"/>
        <v>1.5</v>
      </c>
      <c r="G279" s="126">
        <f ca="1" t="shared" si="72"/>
        <v>0.125</v>
      </c>
      <c r="H279" s="126">
        <f ca="1" t="shared" si="73"/>
        <v>0.013</v>
      </c>
      <c r="J279" s="97">
        <f t="shared" si="74"/>
        <v>277</v>
      </c>
      <c r="K279" s="106">
        <f ca="1" t="shared" si="66"/>
        <v>416</v>
      </c>
      <c r="L279" s="126">
        <f ca="1" t="shared" si="75"/>
        <v>40</v>
      </c>
      <c r="M279" s="126">
        <f ca="1" t="shared" si="76"/>
        <v>1</v>
      </c>
      <c r="N279" s="126">
        <f ca="1" t="shared" si="77"/>
        <v>6</v>
      </c>
      <c r="O279" s="126">
        <f ca="1" t="shared" si="78"/>
        <v>5</v>
      </c>
      <c r="P279" s="126">
        <f ca="1" t="shared" si="79"/>
        <v>1</v>
      </c>
      <c r="Q279" s="126">
        <f ca="1" t="shared" si="80"/>
        <v>0.5</v>
      </c>
      <c r="R279" s="126">
        <f ca="1" t="shared" si="81"/>
        <v>2</v>
      </c>
      <c r="S279" s="126"/>
      <c r="AG279"/>
      <c r="AH279"/>
      <c r="AI279"/>
      <c r="AJ279"/>
      <c r="AK279"/>
      <c r="AL279"/>
      <c r="AM279"/>
      <c r="AN279"/>
      <c r="AO279"/>
      <c r="AP279"/>
    </row>
    <row r="280" spans="2:42">
      <c r="B280" s="98">
        <f t="shared" si="67"/>
        <v>278</v>
      </c>
      <c r="C280" s="126">
        <f ca="1" t="shared" si="68"/>
        <v>417</v>
      </c>
      <c r="D280" s="126">
        <f ca="1" t="shared" si="69"/>
        <v>20</v>
      </c>
      <c r="E280" s="126">
        <f ca="1" t="shared" si="70"/>
        <v>10</v>
      </c>
      <c r="F280" s="126">
        <f ca="1" t="shared" si="71"/>
        <v>1.5</v>
      </c>
      <c r="G280" s="126">
        <f ca="1" t="shared" si="72"/>
        <v>0.125</v>
      </c>
      <c r="H280" s="126">
        <f ca="1" t="shared" si="73"/>
        <v>0.013</v>
      </c>
      <c r="J280" s="97">
        <f t="shared" si="74"/>
        <v>278</v>
      </c>
      <c r="K280" s="106">
        <f ca="1" t="shared" si="66"/>
        <v>417</v>
      </c>
      <c r="L280" s="126">
        <f ca="1" t="shared" si="75"/>
        <v>40</v>
      </c>
      <c r="M280" s="126">
        <f ca="1" t="shared" si="76"/>
        <v>1</v>
      </c>
      <c r="N280" s="126">
        <f ca="1" t="shared" si="77"/>
        <v>6</v>
      </c>
      <c r="O280" s="126">
        <f ca="1" t="shared" si="78"/>
        <v>5</v>
      </c>
      <c r="P280" s="126">
        <f ca="1" t="shared" si="79"/>
        <v>1</v>
      </c>
      <c r="Q280" s="126">
        <f ca="1" t="shared" si="80"/>
        <v>0.5</v>
      </c>
      <c r="R280" s="126">
        <f ca="1" t="shared" si="81"/>
        <v>2</v>
      </c>
      <c r="S280" s="126"/>
      <c r="AG280"/>
      <c r="AH280"/>
      <c r="AI280"/>
      <c r="AJ280"/>
      <c r="AK280"/>
      <c r="AL280"/>
      <c r="AM280"/>
      <c r="AN280"/>
      <c r="AO280"/>
      <c r="AP280"/>
    </row>
    <row r="281" spans="2:42">
      <c r="B281" s="98">
        <f t="shared" si="67"/>
        <v>279</v>
      </c>
      <c r="C281" s="126">
        <f ca="1" t="shared" si="68"/>
        <v>418</v>
      </c>
      <c r="D281" s="126">
        <f ca="1" t="shared" si="69"/>
        <v>20</v>
      </c>
      <c r="E281" s="126">
        <f ca="1" t="shared" si="70"/>
        <v>10</v>
      </c>
      <c r="F281" s="126">
        <f ca="1" t="shared" si="71"/>
        <v>1.5</v>
      </c>
      <c r="G281" s="126">
        <f ca="1" t="shared" si="72"/>
        <v>0.125</v>
      </c>
      <c r="H281" s="126">
        <f ca="1" t="shared" si="73"/>
        <v>0.013</v>
      </c>
      <c r="J281" s="97">
        <f t="shared" si="74"/>
        <v>279</v>
      </c>
      <c r="K281" s="106">
        <f ca="1" t="shared" si="66"/>
        <v>418</v>
      </c>
      <c r="L281" s="126">
        <f ca="1" t="shared" si="75"/>
        <v>40</v>
      </c>
      <c r="M281" s="126">
        <f ca="1" t="shared" si="76"/>
        <v>1</v>
      </c>
      <c r="N281" s="126">
        <f ca="1" t="shared" si="77"/>
        <v>6</v>
      </c>
      <c r="O281" s="126">
        <f ca="1" t="shared" si="78"/>
        <v>5</v>
      </c>
      <c r="P281" s="126">
        <f ca="1" t="shared" si="79"/>
        <v>1</v>
      </c>
      <c r="Q281" s="126">
        <f ca="1" t="shared" si="80"/>
        <v>0.5</v>
      </c>
      <c r="R281" s="126">
        <f ca="1" t="shared" si="81"/>
        <v>2</v>
      </c>
      <c r="S281" s="126"/>
      <c r="AG281"/>
      <c r="AH281"/>
      <c r="AI281"/>
      <c r="AJ281"/>
      <c r="AK281"/>
      <c r="AL281"/>
      <c r="AM281"/>
      <c r="AN281"/>
      <c r="AO281"/>
      <c r="AP281"/>
    </row>
    <row r="282" spans="2:42">
      <c r="B282" s="98">
        <f t="shared" si="67"/>
        <v>280</v>
      </c>
      <c r="C282" s="126">
        <f ca="1" t="shared" si="68"/>
        <v>419</v>
      </c>
      <c r="D282" s="126">
        <f ca="1" t="shared" si="69"/>
        <v>20</v>
      </c>
      <c r="E282" s="126">
        <f ca="1" t="shared" si="70"/>
        <v>10</v>
      </c>
      <c r="F282" s="126">
        <f ca="1" t="shared" si="71"/>
        <v>1.5</v>
      </c>
      <c r="G282" s="126">
        <f ca="1" t="shared" si="72"/>
        <v>0.125</v>
      </c>
      <c r="H282" s="126">
        <f ca="1" t="shared" si="73"/>
        <v>0.013</v>
      </c>
      <c r="J282" s="97">
        <f t="shared" si="74"/>
        <v>280</v>
      </c>
      <c r="K282" s="106">
        <f ca="1" t="shared" si="66"/>
        <v>419</v>
      </c>
      <c r="L282" s="126">
        <f ca="1" t="shared" si="75"/>
        <v>40</v>
      </c>
      <c r="M282" s="126">
        <f ca="1" t="shared" si="76"/>
        <v>1</v>
      </c>
      <c r="N282" s="126">
        <f ca="1" t="shared" si="77"/>
        <v>6</v>
      </c>
      <c r="O282" s="126">
        <f ca="1" t="shared" si="78"/>
        <v>5</v>
      </c>
      <c r="P282" s="126">
        <f ca="1" t="shared" si="79"/>
        <v>1</v>
      </c>
      <c r="Q282" s="126">
        <f ca="1" t="shared" si="80"/>
        <v>0.5</v>
      </c>
      <c r="R282" s="126">
        <f ca="1" t="shared" si="81"/>
        <v>2</v>
      </c>
      <c r="S282" s="126"/>
      <c r="AG282"/>
      <c r="AH282"/>
      <c r="AI282"/>
      <c r="AJ282"/>
      <c r="AK282"/>
      <c r="AL282"/>
      <c r="AM282"/>
      <c r="AN282"/>
      <c r="AO282"/>
      <c r="AP282"/>
    </row>
    <row r="283" spans="2:42">
      <c r="B283" s="98">
        <f t="shared" si="67"/>
        <v>281</v>
      </c>
      <c r="C283" s="126">
        <f ca="1" t="shared" si="68"/>
        <v>420</v>
      </c>
      <c r="D283" s="126">
        <f ca="1" t="shared" si="69"/>
        <v>20</v>
      </c>
      <c r="E283" s="126">
        <f ca="1" t="shared" si="70"/>
        <v>10</v>
      </c>
      <c r="F283" s="126">
        <f ca="1" t="shared" si="71"/>
        <v>1.5</v>
      </c>
      <c r="G283" s="126">
        <f ca="1" t="shared" si="72"/>
        <v>0.125</v>
      </c>
      <c r="H283" s="126">
        <f ca="1" t="shared" si="73"/>
        <v>0.013</v>
      </c>
      <c r="J283" s="97">
        <f t="shared" si="74"/>
        <v>281</v>
      </c>
      <c r="K283" s="106">
        <f ca="1" t="shared" si="66"/>
        <v>420</v>
      </c>
      <c r="L283" s="126">
        <f ca="1" t="shared" si="75"/>
        <v>40</v>
      </c>
      <c r="M283" s="126">
        <f ca="1" t="shared" si="76"/>
        <v>1</v>
      </c>
      <c r="N283" s="126">
        <f ca="1" t="shared" si="77"/>
        <v>6</v>
      </c>
      <c r="O283" s="126">
        <f ca="1" t="shared" si="78"/>
        <v>5</v>
      </c>
      <c r="P283" s="126">
        <f ca="1" t="shared" si="79"/>
        <v>1</v>
      </c>
      <c r="Q283" s="126">
        <f ca="1" t="shared" si="80"/>
        <v>0.5</v>
      </c>
      <c r="R283" s="126">
        <f ca="1" t="shared" si="81"/>
        <v>2</v>
      </c>
      <c r="S283" s="126"/>
      <c r="AG283"/>
      <c r="AH283"/>
      <c r="AI283"/>
      <c r="AJ283"/>
      <c r="AK283"/>
      <c r="AL283"/>
      <c r="AM283"/>
      <c r="AN283"/>
      <c r="AO283"/>
      <c r="AP283"/>
    </row>
    <row r="284" spans="2:42">
      <c r="B284" s="98">
        <f t="shared" si="67"/>
        <v>282</v>
      </c>
      <c r="C284" s="126">
        <f ca="1" t="shared" si="68"/>
        <v>421</v>
      </c>
      <c r="D284" s="126">
        <f ca="1" t="shared" si="69"/>
        <v>20</v>
      </c>
      <c r="E284" s="126">
        <f ca="1" t="shared" si="70"/>
        <v>10</v>
      </c>
      <c r="F284" s="126">
        <f ca="1" t="shared" si="71"/>
        <v>1.5</v>
      </c>
      <c r="G284" s="126">
        <f ca="1" t="shared" si="72"/>
        <v>0.125</v>
      </c>
      <c r="H284" s="126">
        <f ca="1" t="shared" si="73"/>
        <v>0.013</v>
      </c>
      <c r="J284" s="97">
        <f t="shared" si="74"/>
        <v>282</v>
      </c>
      <c r="K284" s="106">
        <f ca="1" t="shared" si="66"/>
        <v>421</v>
      </c>
      <c r="L284" s="126">
        <f ca="1" t="shared" si="75"/>
        <v>40</v>
      </c>
      <c r="M284" s="126">
        <f ca="1" t="shared" si="76"/>
        <v>1</v>
      </c>
      <c r="N284" s="126">
        <f ca="1" t="shared" si="77"/>
        <v>6</v>
      </c>
      <c r="O284" s="126">
        <f ca="1" t="shared" si="78"/>
        <v>5</v>
      </c>
      <c r="P284" s="126">
        <f ca="1" t="shared" si="79"/>
        <v>1</v>
      </c>
      <c r="Q284" s="126">
        <f ca="1" t="shared" si="80"/>
        <v>0.5</v>
      </c>
      <c r="R284" s="126">
        <f ca="1" t="shared" si="81"/>
        <v>2</v>
      </c>
      <c r="S284" s="126"/>
      <c r="AG284"/>
      <c r="AH284"/>
      <c r="AI284"/>
      <c r="AJ284"/>
      <c r="AK284"/>
      <c r="AL284"/>
      <c r="AM284"/>
      <c r="AN284"/>
      <c r="AO284"/>
      <c r="AP284"/>
    </row>
    <row r="285" spans="2:42">
      <c r="B285" s="98">
        <f t="shared" si="67"/>
        <v>283</v>
      </c>
      <c r="C285" s="126">
        <f ca="1" t="shared" si="68"/>
        <v>422</v>
      </c>
      <c r="D285" s="126">
        <f ca="1" t="shared" si="69"/>
        <v>20</v>
      </c>
      <c r="E285" s="126">
        <f ca="1" t="shared" si="70"/>
        <v>10</v>
      </c>
      <c r="F285" s="126">
        <f ca="1" t="shared" si="71"/>
        <v>1.5</v>
      </c>
      <c r="G285" s="126">
        <f ca="1" t="shared" si="72"/>
        <v>0.125</v>
      </c>
      <c r="H285" s="126">
        <f ca="1" t="shared" si="73"/>
        <v>0.013</v>
      </c>
      <c r="J285" s="97">
        <f t="shared" si="74"/>
        <v>283</v>
      </c>
      <c r="K285" s="106">
        <f ca="1" t="shared" si="66"/>
        <v>422</v>
      </c>
      <c r="L285" s="126">
        <f ca="1" t="shared" si="75"/>
        <v>40</v>
      </c>
      <c r="M285" s="126">
        <f ca="1" t="shared" si="76"/>
        <v>1</v>
      </c>
      <c r="N285" s="126">
        <f ca="1" t="shared" si="77"/>
        <v>6</v>
      </c>
      <c r="O285" s="126">
        <f ca="1" t="shared" si="78"/>
        <v>5</v>
      </c>
      <c r="P285" s="126">
        <f ca="1" t="shared" si="79"/>
        <v>1</v>
      </c>
      <c r="Q285" s="126">
        <f ca="1" t="shared" si="80"/>
        <v>0.5</v>
      </c>
      <c r="R285" s="126">
        <f ca="1" t="shared" si="81"/>
        <v>2</v>
      </c>
      <c r="S285" s="126"/>
      <c r="AG285"/>
      <c r="AH285"/>
      <c r="AI285"/>
      <c r="AJ285"/>
      <c r="AK285"/>
      <c r="AL285"/>
      <c r="AM285"/>
      <c r="AN285"/>
      <c r="AO285"/>
      <c r="AP285"/>
    </row>
    <row r="286" spans="2:42">
      <c r="B286" s="98">
        <f t="shared" si="67"/>
        <v>284</v>
      </c>
      <c r="C286" s="126">
        <f ca="1" t="shared" si="68"/>
        <v>423</v>
      </c>
      <c r="D286" s="126">
        <f ca="1" t="shared" si="69"/>
        <v>20</v>
      </c>
      <c r="E286" s="126">
        <f ca="1" t="shared" si="70"/>
        <v>10</v>
      </c>
      <c r="F286" s="126">
        <f ca="1" t="shared" si="71"/>
        <v>1.5</v>
      </c>
      <c r="G286" s="126">
        <f ca="1" t="shared" si="72"/>
        <v>0.125</v>
      </c>
      <c r="H286" s="126">
        <f ca="1" t="shared" si="73"/>
        <v>0.013</v>
      </c>
      <c r="J286" s="97">
        <f t="shared" si="74"/>
        <v>284</v>
      </c>
      <c r="K286" s="106">
        <f ca="1" t="shared" si="66"/>
        <v>423</v>
      </c>
      <c r="L286" s="126">
        <f ca="1" t="shared" si="75"/>
        <v>40</v>
      </c>
      <c r="M286" s="126">
        <f ca="1" t="shared" si="76"/>
        <v>1</v>
      </c>
      <c r="N286" s="126">
        <f ca="1" t="shared" si="77"/>
        <v>6</v>
      </c>
      <c r="O286" s="126">
        <f ca="1" t="shared" si="78"/>
        <v>5</v>
      </c>
      <c r="P286" s="126">
        <f ca="1" t="shared" si="79"/>
        <v>1</v>
      </c>
      <c r="Q286" s="126">
        <f ca="1" t="shared" si="80"/>
        <v>0.5</v>
      </c>
      <c r="R286" s="126">
        <f ca="1" t="shared" si="81"/>
        <v>2</v>
      </c>
      <c r="S286" s="126"/>
      <c r="AG286"/>
      <c r="AH286"/>
      <c r="AI286"/>
      <c r="AJ286"/>
      <c r="AK286"/>
      <c r="AL286"/>
      <c r="AM286"/>
      <c r="AN286"/>
      <c r="AO286"/>
      <c r="AP286"/>
    </row>
    <row r="287" spans="2:42">
      <c r="B287" s="98">
        <f t="shared" si="67"/>
        <v>285</v>
      </c>
      <c r="C287" s="126">
        <f ca="1" t="shared" si="68"/>
        <v>424</v>
      </c>
      <c r="D287" s="126">
        <f ca="1" t="shared" si="69"/>
        <v>20</v>
      </c>
      <c r="E287" s="126">
        <f ca="1" t="shared" si="70"/>
        <v>10</v>
      </c>
      <c r="F287" s="126">
        <f ca="1" t="shared" si="71"/>
        <v>1.5</v>
      </c>
      <c r="G287" s="126">
        <f ca="1" t="shared" si="72"/>
        <v>0.125</v>
      </c>
      <c r="H287" s="126">
        <f ca="1" t="shared" si="73"/>
        <v>0.013</v>
      </c>
      <c r="J287" s="97">
        <f t="shared" si="74"/>
        <v>285</v>
      </c>
      <c r="K287" s="106">
        <f ca="1" t="shared" si="66"/>
        <v>424</v>
      </c>
      <c r="L287" s="126">
        <f ca="1" t="shared" si="75"/>
        <v>40</v>
      </c>
      <c r="M287" s="126">
        <f ca="1" t="shared" si="76"/>
        <v>1</v>
      </c>
      <c r="N287" s="126">
        <f ca="1" t="shared" si="77"/>
        <v>6</v>
      </c>
      <c r="O287" s="126">
        <f ca="1" t="shared" si="78"/>
        <v>5</v>
      </c>
      <c r="P287" s="126">
        <f ca="1" t="shared" si="79"/>
        <v>1</v>
      </c>
      <c r="Q287" s="126">
        <f ca="1" t="shared" si="80"/>
        <v>0.5</v>
      </c>
      <c r="R287" s="126">
        <f ca="1" t="shared" si="81"/>
        <v>2</v>
      </c>
      <c r="S287" s="126"/>
      <c r="AG287"/>
      <c r="AH287"/>
      <c r="AI287"/>
      <c r="AJ287"/>
      <c r="AK287"/>
      <c r="AL287"/>
      <c r="AM287"/>
      <c r="AN287"/>
      <c r="AO287"/>
      <c r="AP287"/>
    </row>
    <row r="288" spans="2:42">
      <c r="B288" s="98">
        <f t="shared" si="67"/>
        <v>286</v>
      </c>
      <c r="C288" s="126">
        <f ca="1" t="shared" si="68"/>
        <v>425</v>
      </c>
      <c r="D288" s="126">
        <f ca="1" t="shared" si="69"/>
        <v>20</v>
      </c>
      <c r="E288" s="126">
        <f ca="1" t="shared" si="70"/>
        <v>10</v>
      </c>
      <c r="F288" s="126">
        <f ca="1" t="shared" si="71"/>
        <v>1.5</v>
      </c>
      <c r="G288" s="126">
        <f ca="1" t="shared" si="72"/>
        <v>0.125</v>
      </c>
      <c r="H288" s="126">
        <f ca="1" t="shared" si="73"/>
        <v>0.013</v>
      </c>
      <c r="J288" s="97">
        <f t="shared" si="74"/>
        <v>286</v>
      </c>
      <c r="K288" s="106">
        <f ca="1" t="shared" si="66"/>
        <v>425</v>
      </c>
      <c r="L288" s="126">
        <f ca="1" t="shared" si="75"/>
        <v>40</v>
      </c>
      <c r="M288" s="126">
        <f ca="1" t="shared" si="76"/>
        <v>1</v>
      </c>
      <c r="N288" s="126">
        <f ca="1" t="shared" si="77"/>
        <v>6</v>
      </c>
      <c r="O288" s="126">
        <f ca="1" t="shared" si="78"/>
        <v>5</v>
      </c>
      <c r="P288" s="126">
        <f ca="1" t="shared" si="79"/>
        <v>1</v>
      </c>
      <c r="Q288" s="126">
        <f ca="1" t="shared" si="80"/>
        <v>0.5</v>
      </c>
      <c r="R288" s="126">
        <f ca="1" t="shared" si="81"/>
        <v>2</v>
      </c>
      <c r="S288" s="126"/>
      <c r="AG288"/>
      <c r="AH288"/>
      <c r="AI288"/>
      <c r="AJ288"/>
      <c r="AK288"/>
      <c r="AL288"/>
      <c r="AM288"/>
      <c r="AN288"/>
      <c r="AO288"/>
      <c r="AP288"/>
    </row>
    <row r="289" spans="2:42">
      <c r="B289" s="98">
        <f t="shared" si="67"/>
        <v>287</v>
      </c>
      <c r="C289" s="126">
        <f ca="1" t="shared" si="68"/>
        <v>426</v>
      </c>
      <c r="D289" s="126">
        <f ca="1" t="shared" si="69"/>
        <v>20</v>
      </c>
      <c r="E289" s="126">
        <f ca="1" t="shared" si="70"/>
        <v>10</v>
      </c>
      <c r="F289" s="126">
        <f ca="1" t="shared" si="71"/>
        <v>1.5</v>
      </c>
      <c r="G289" s="126">
        <f ca="1" t="shared" si="72"/>
        <v>0.125</v>
      </c>
      <c r="H289" s="126">
        <f ca="1" t="shared" si="73"/>
        <v>0.013</v>
      </c>
      <c r="J289" s="97">
        <f t="shared" si="74"/>
        <v>287</v>
      </c>
      <c r="K289" s="106">
        <f ca="1" t="shared" si="66"/>
        <v>426</v>
      </c>
      <c r="L289" s="126">
        <f ca="1" t="shared" si="75"/>
        <v>40</v>
      </c>
      <c r="M289" s="126">
        <f ca="1" t="shared" si="76"/>
        <v>1</v>
      </c>
      <c r="N289" s="126">
        <f ca="1" t="shared" si="77"/>
        <v>6</v>
      </c>
      <c r="O289" s="126">
        <f ca="1" t="shared" si="78"/>
        <v>5</v>
      </c>
      <c r="P289" s="126">
        <f ca="1" t="shared" si="79"/>
        <v>1</v>
      </c>
      <c r="Q289" s="126">
        <f ca="1" t="shared" si="80"/>
        <v>0.5</v>
      </c>
      <c r="R289" s="126">
        <f ca="1" t="shared" si="81"/>
        <v>2</v>
      </c>
      <c r="S289" s="126"/>
      <c r="AG289"/>
      <c r="AH289"/>
      <c r="AI289"/>
      <c r="AJ289"/>
      <c r="AK289"/>
      <c r="AL289"/>
      <c r="AM289"/>
      <c r="AN289"/>
      <c r="AO289"/>
      <c r="AP289"/>
    </row>
    <row r="290" spans="2:42">
      <c r="B290" s="98">
        <f t="shared" si="67"/>
        <v>288</v>
      </c>
      <c r="C290" s="126">
        <f ca="1" t="shared" si="68"/>
        <v>427</v>
      </c>
      <c r="D290" s="126">
        <f ca="1" t="shared" si="69"/>
        <v>20</v>
      </c>
      <c r="E290" s="126">
        <f ca="1" t="shared" si="70"/>
        <v>10</v>
      </c>
      <c r="F290" s="126">
        <f ca="1" t="shared" si="71"/>
        <v>1.5</v>
      </c>
      <c r="G290" s="126">
        <f ca="1" t="shared" si="72"/>
        <v>0.125</v>
      </c>
      <c r="H290" s="126">
        <f ca="1" t="shared" si="73"/>
        <v>0.013</v>
      </c>
      <c r="J290" s="97">
        <f t="shared" si="74"/>
        <v>288</v>
      </c>
      <c r="K290" s="106">
        <f ca="1" t="shared" si="66"/>
        <v>427</v>
      </c>
      <c r="L290" s="126">
        <f ca="1" t="shared" si="75"/>
        <v>40</v>
      </c>
      <c r="M290" s="126">
        <f ca="1" t="shared" si="76"/>
        <v>1</v>
      </c>
      <c r="N290" s="126">
        <f ca="1" t="shared" si="77"/>
        <v>6</v>
      </c>
      <c r="O290" s="126">
        <f ca="1" t="shared" si="78"/>
        <v>5</v>
      </c>
      <c r="P290" s="126">
        <f ca="1" t="shared" si="79"/>
        <v>1</v>
      </c>
      <c r="Q290" s="126">
        <f ca="1" t="shared" si="80"/>
        <v>0.5</v>
      </c>
      <c r="R290" s="126">
        <f ca="1" t="shared" si="81"/>
        <v>2</v>
      </c>
      <c r="S290" s="126"/>
      <c r="AG290"/>
      <c r="AH290"/>
      <c r="AI290"/>
      <c r="AJ290"/>
      <c r="AK290"/>
      <c r="AL290"/>
      <c r="AM290"/>
      <c r="AN290"/>
      <c r="AO290"/>
      <c r="AP290"/>
    </row>
    <row r="291" spans="2:42">
      <c r="B291" s="98">
        <f t="shared" si="67"/>
        <v>289</v>
      </c>
      <c r="C291" s="126">
        <f ca="1" t="shared" si="68"/>
        <v>428</v>
      </c>
      <c r="D291" s="126">
        <f ca="1" t="shared" si="69"/>
        <v>20</v>
      </c>
      <c r="E291" s="126">
        <f ca="1" t="shared" si="70"/>
        <v>10</v>
      </c>
      <c r="F291" s="126">
        <f ca="1" t="shared" si="71"/>
        <v>1.5</v>
      </c>
      <c r="G291" s="126">
        <f ca="1" t="shared" si="72"/>
        <v>0.125</v>
      </c>
      <c r="H291" s="126">
        <f ca="1" t="shared" si="73"/>
        <v>0.013</v>
      </c>
      <c r="J291" s="97">
        <f t="shared" si="74"/>
        <v>289</v>
      </c>
      <c r="K291" s="106">
        <f ca="1" t="shared" si="66"/>
        <v>428</v>
      </c>
      <c r="L291" s="126">
        <f ca="1" t="shared" si="75"/>
        <v>40</v>
      </c>
      <c r="M291" s="126">
        <f ca="1" t="shared" si="76"/>
        <v>1</v>
      </c>
      <c r="N291" s="126">
        <f ca="1" t="shared" si="77"/>
        <v>6</v>
      </c>
      <c r="O291" s="126">
        <f ca="1" t="shared" si="78"/>
        <v>5</v>
      </c>
      <c r="P291" s="126">
        <f ca="1" t="shared" si="79"/>
        <v>1</v>
      </c>
      <c r="Q291" s="126">
        <f ca="1" t="shared" si="80"/>
        <v>0.5</v>
      </c>
      <c r="R291" s="126">
        <f ca="1" t="shared" si="81"/>
        <v>2</v>
      </c>
      <c r="S291" s="126"/>
      <c r="AG291"/>
      <c r="AH291"/>
      <c r="AI291"/>
      <c r="AJ291"/>
      <c r="AK291"/>
      <c r="AL291"/>
      <c r="AM291"/>
      <c r="AN291"/>
      <c r="AO291"/>
      <c r="AP291"/>
    </row>
    <row r="292" spans="2:42">
      <c r="B292" s="98">
        <f t="shared" si="67"/>
        <v>290</v>
      </c>
      <c r="C292" s="126">
        <f ca="1" t="shared" si="68"/>
        <v>429</v>
      </c>
      <c r="D292" s="126">
        <f ca="1" t="shared" si="69"/>
        <v>20</v>
      </c>
      <c r="E292" s="126">
        <f ca="1" t="shared" si="70"/>
        <v>10</v>
      </c>
      <c r="F292" s="126">
        <f ca="1" t="shared" si="71"/>
        <v>1.5</v>
      </c>
      <c r="G292" s="126">
        <f ca="1" t="shared" si="72"/>
        <v>0.125</v>
      </c>
      <c r="H292" s="126">
        <f ca="1" t="shared" si="73"/>
        <v>0.013</v>
      </c>
      <c r="J292" s="97">
        <f t="shared" si="74"/>
        <v>290</v>
      </c>
      <c r="K292" s="106">
        <f ca="1" t="shared" si="66"/>
        <v>429</v>
      </c>
      <c r="L292" s="126">
        <f ca="1" t="shared" si="75"/>
        <v>40</v>
      </c>
      <c r="M292" s="126">
        <f ca="1" t="shared" si="76"/>
        <v>1</v>
      </c>
      <c r="N292" s="126">
        <f ca="1" t="shared" si="77"/>
        <v>6</v>
      </c>
      <c r="O292" s="126">
        <f ca="1" t="shared" si="78"/>
        <v>5</v>
      </c>
      <c r="P292" s="126">
        <f ca="1" t="shared" si="79"/>
        <v>1</v>
      </c>
      <c r="Q292" s="126">
        <f ca="1" t="shared" si="80"/>
        <v>0.5</v>
      </c>
      <c r="R292" s="126">
        <f ca="1" t="shared" si="81"/>
        <v>2</v>
      </c>
      <c r="S292" s="126"/>
      <c r="AG292"/>
      <c r="AH292"/>
      <c r="AI292"/>
      <c r="AJ292"/>
      <c r="AK292"/>
      <c r="AL292"/>
      <c r="AM292"/>
      <c r="AN292"/>
      <c r="AO292"/>
      <c r="AP292"/>
    </row>
    <row r="293" spans="2:42">
      <c r="B293" s="98">
        <f t="shared" si="67"/>
        <v>291</v>
      </c>
      <c r="C293" s="126">
        <f ca="1" t="shared" si="68"/>
        <v>430</v>
      </c>
      <c r="D293" s="126">
        <f ca="1" t="shared" si="69"/>
        <v>20</v>
      </c>
      <c r="E293" s="126">
        <f ca="1" t="shared" si="70"/>
        <v>10</v>
      </c>
      <c r="F293" s="126">
        <f ca="1" t="shared" si="71"/>
        <v>1.5</v>
      </c>
      <c r="G293" s="126">
        <f ca="1" t="shared" si="72"/>
        <v>0.125</v>
      </c>
      <c r="H293" s="126">
        <f ca="1" t="shared" si="73"/>
        <v>0.013</v>
      </c>
      <c r="J293" s="97">
        <f t="shared" si="74"/>
        <v>291</v>
      </c>
      <c r="K293" s="106">
        <f ca="1" t="shared" si="66"/>
        <v>430</v>
      </c>
      <c r="L293" s="126">
        <f ca="1" t="shared" si="75"/>
        <v>40</v>
      </c>
      <c r="M293" s="126">
        <f ca="1" t="shared" si="76"/>
        <v>1</v>
      </c>
      <c r="N293" s="126">
        <f ca="1" t="shared" si="77"/>
        <v>6</v>
      </c>
      <c r="O293" s="126">
        <f ca="1" t="shared" si="78"/>
        <v>5</v>
      </c>
      <c r="P293" s="126">
        <f ca="1" t="shared" si="79"/>
        <v>1</v>
      </c>
      <c r="Q293" s="126">
        <f ca="1" t="shared" si="80"/>
        <v>0.5</v>
      </c>
      <c r="R293" s="126">
        <f ca="1" t="shared" si="81"/>
        <v>2</v>
      </c>
      <c r="S293" s="126"/>
      <c r="AG293"/>
      <c r="AH293"/>
      <c r="AI293"/>
      <c r="AJ293"/>
      <c r="AK293"/>
      <c r="AL293"/>
      <c r="AM293"/>
      <c r="AN293"/>
      <c r="AO293"/>
      <c r="AP293"/>
    </row>
    <row r="294" spans="2:42">
      <c r="B294" s="98">
        <f t="shared" si="67"/>
        <v>292</v>
      </c>
      <c r="C294" s="126">
        <f ca="1" t="shared" si="68"/>
        <v>431</v>
      </c>
      <c r="D294" s="126">
        <f ca="1" t="shared" si="69"/>
        <v>20</v>
      </c>
      <c r="E294" s="126">
        <f ca="1" t="shared" si="70"/>
        <v>10</v>
      </c>
      <c r="F294" s="126">
        <f ca="1" t="shared" si="71"/>
        <v>1.5</v>
      </c>
      <c r="G294" s="126">
        <f ca="1" t="shared" si="72"/>
        <v>0.125</v>
      </c>
      <c r="H294" s="126">
        <f ca="1" t="shared" si="73"/>
        <v>0.013</v>
      </c>
      <c r="J294" s="97">
        <f t="shared" si="74"/>
        <v>292</v>
      </c>
      <c r="K294" s="106">
        <f ca="1" t="shared" si="66"/>
        <v>431</v>
      </c>
      <c r="L294" s="126">
        <f ca="1" t="shared" si="75"/>
        <v>40</v>
      </c>
      <c r="M294" s="126">
        <f ca="1" t="shared" si="76"/>
        <v>1</v>
      </c>
      <c r="N294" s="126">
        <f ca="1" t="shared" si="77"/>
        <v>6</v>
      </c>
      <c r="O294" s="126">
        <f ca="1" t="shared" si="78"/>
        <v>5</v>
      </c>
      <c r="P294" s="126">
        <f ca="1" t="shared" si="79"/>
        <v>1</v>
      </c>
      <c r="Q294" s="126">
        <f ca="1" t="shared" si="80"/>
        <v>0.5</v>
      </c>
      <c r="R294" s="126">
        <f ca="1" t="shared" si="81"/>
        <v>2</v>
      </c>
      <c r="S294" s="126"/>
      <c r="AG294"/>
      <c r="AH294"/>
      <c r="AI294"/>
      <c r="AJ294"/>
      <c r="AK294"/>
      <c r="AL294"/>
      <c r="AM294"/>
      <c r="AN294"/>
      <c r="AO294"/>
      <c r="AP294"/>
    </row>
    <row r="295" spans="2:42">
      <c r="B295" s="98">
        <f t="shared" si="67"/>
        <v>293</v>
      </c>
      <c r="C295" s="126">
        <f ca="1" t="shared" si="68"/>
        <v>432</v>
      </c>
      <c r="D295" s="126">
        <f ca="1" t="shared" si="69"/>
        <v>20</v>
      </c>
      <c r="E295" s="126">
        <f ca="1" t="shared" si="70"/>
        <v>10</v>
      </c>
      <c r="F295" s="126">
        <f ca="1" t="shared" si="71"/>
        <v>1.5</v>
      </c>
      <c r="G295" s="126">
        <f ca="1" t="shared" si="72"/>
        <v>0.125</v>
      </c>
      <c r="H295" s="126">
        <f ca="1" t="shared" si="73"/>
        <v>0.013</v>
      </c>
      <c r="J295" s="97">
        <f t="shared" si="74"/>
        <v>293</v>
      </c>
      <c r="K295" s="106">
        <f ca="1" t="shared" si="66"/>
        <v>432</v>
      </c>
      <c r="L295" s="126">
        <f ca="1" t="shared" si="75"/>
        <v>40</v>
      </c>
      <c r="M295" s="126">
        <f ca="1" t="shared" si="76"/>
        <v>1</v>
      </c>
      <c r="N295" s="126">
        <f ca="1" t="shared" si="77"/>
        <v>6</v>
      </c>
      <c r="O295" s="126">
        <f ca="1" t="shared" si="78"/>
        <v>5</v>
      </c>
      <c r="P295" s="126">
        <f ca="1" t="shared" si="79"/>
        <v>1</v>
      </c>
      <c r="Q295" s="126">
        <f ca="1" t="shared" si="80"/>
        <v>0.5</v>
      </c>
      <c r="R295" s="126">
        <f ca="1" t="shared" si="81"/>
        <v>2</v>
      </c>
      <c r="S295" s="126"/>
      <c r="AG295"/>
      <c r="AH295"/>
      <c r="AI295"/>
      <c r="AJ295"/>
      <c r="AK295"/>
      <c r="AL295"/>
      <c r="AM295"/>
      <c r="AN295"/>
      <c r="AO295"/>
      <c r="AP295"/>
    </row>
    <row r="296" spans="2:42">
      <c r="B296" s="98">
        <f t="shared" si="67"/>
        <v>294</v>
      </c>
      <c r="C296" s="126">
        <f ca="1" t="shared" si="68"/>
        <v>433</v>
      </c>
      <c r="D296" s="126">
        <f ca="1" t="shared" si="69"/>
        <v>20</v>
      </c>
      <c r="E296" s="126">
        <f ca="1" t="shared" si="70"/>
        <v>10</v>
      </c>
      <c r="F296" s="126">
        <f ca="1" t="shared" si="71"/>
        <v>1.5</v>
      </c>
      <c r="G296" s="126">
        <f ca="1" t="shared" si="72"/>
        <v>0.125</v>
      </c>
      <c r="H296" s="126">
        <f ca="1" t="shared" si="73"/>
        <v>0.013</v>
      </c>
      <c r="J296" s="97">
        <f t="shared" si="74"/>
        <v>294</v>
      </c>
      <c r="K296" s="106">
        <f ca="1" t="shared" si="66"/>
        <v>433</v>
      </c>
      <c r="L296" s="126">
        <f ca="1" t="shared" si="75"/>
        <v>40</v>
      </c>
      <c r="M296" s="126">
        <f ca="1" t="shared" si="76"/>
        <v>1</v>
      </c>
      <c r="N296" s="126">
        <f ca="1" t="shared" si="77"/>
        <v>6</v>
      </c>
      <c r="O296" s="126">
        <f ca="1" t="shared" si="78"/>
        <v>5</v>
      </c>
      <c r="P296" s="126">
        <f ca="1" t="shared" si="79"/>
        <v>1</v>
      </c>
      <c r="Q296" s="126">
        <f ca="1" t="shared" si="80"/>
        <v>0.5</v>
      </c>
      <c r="R296" s="126">
        <f ca="1" t="shared" si="81"/>
        <v>2</v>
      </c>
      <c r="S296" s="126"/>
      <c r="AG296"/>
      <c r="AH296"/>
      <c r="AI296"/>
      <c r="AJ296"/>
      <c r="AK296"/>
      <c r="AL296"/>
      <c r="AM296"/>
      <c r="AN296"/>
      <c r="AO296"/>
      <c r="AP296"/>
    </row>
    <row r="297" spans="2:42">
      <c r="B297" s="98">
        <f t="shared" si="67"/>
        <v>295</v>
      </c>
      <c r="C297" s="126">
        <f ca="1" t="shared" si="68"/>
        <v>434</v>
      </c>
      <c r="D297" s="126">
        <f ca="1" t="shared" si="69"/>
        <v>20</v>
      </c>
      <c r="E297" s="126">
        <f ca="1" t="shared" si="70"/>
        <v>10</v>
      </c>
      <c r="F297" s="126">
        <f ca="1" t="shared" si="71"/>
        <v>1.5</v>
      </c>
      <c r="G297" s="126">
        <f ca="1" t="shared" si="72"/>
        <v>0.125</v>
      </c>
      <c r="H297" s="126">
        <f ca="1" t="shared" si="73"/>
        <v>0.013</v>
      </c>
      <c r="J297" s="97">
        <f t="shared" si="74"/>
        <v>295</v>
      </c>
      <c r="K297" s="106">
        <f ca="1" t="shared" si="66"/>
        <v>434</v>
      </c>
      <c r="L297" s="126">
        <f ca="1" t="shared" si="75"/>
        <v>40</v>
      </c>
      <c r="M297" s="126">
        <f ca="1" t="shared" si="76"/>
        <v>1</v>
      </c>
      <c r="N297" s="126">
        <f ca="1" t="shared" si="77"/>
        <v>6</v>
      </c>
      <c r="O297" s="126">
        <f ca="1" t="shared" si="78"/>
        <v>5</v>
      </c>
      <c r="P297" s="126">
        <f ca="1" t="shared" si="79"/>
        <v>1</v>
      </c>
      <c r="Q297" s="126">
        <f ca="1" t="shared" si="80"/>
        <v>0.5</v>
      </c>
      <c r="R297" s="126">
        <f ca="1" t="shared" si="81"/>
        <v>2</v>
      </c>
      <c r="S297" s="126"/>
      <c r="AG297"/>
      <c r="AH297"/>
      <c r="AI297"/>
      <c r="AJ297"/>
      <c r="AK297"/>
      <c r="AL297"/>
      <c r="AM297"/>
      <c r="AN297"/>
      <c r="AO297"/>
      <c r="AP297"/>
    </row>
    <row r="298" spans="2:42">
      <c r="B298" s="98">
        <f t="shared" si="67"/>
        <v>296</v>
      </c>
      <c r="C298" s="126">
        <f ca="1" t="shared" si="68"/>
        <v>435</v>
      </c>
      <c r="D298" s="126">
        <f ca="1" t="shared" si="69"/>
        <v>20</v>
      </c>
      <c r="E298" s="126">
        <f ca="1" t="shared" si="70"/>
        <v>10</v>
      </c>
      <c r="F298" s="126">
        <f ca="1" t="shared" si="71"/>
        <v>1.5</v>
      </c>
      <c r="G298" s="126">
        <f ca="1" t="shared" si="72"/>
        <v>0.125</v>
      </c>
      <c r="H298" s="126">
        <f ca="1" t="shared" si="73"/>
        <v>0.013</v>
      </c>
      <c r="J298" s="97">
        <f t="shared" si="74"/>
        <v>296</v>
      </c>
      <c r="K298" s="106">
        <f ca="1" t="shared" si="66"/>
        <v>435</v>
      </c>
      <c r="L298" s="126">
        <f ca="1" t="shared" si="75"/>
        <v>40</v>
      </c>
      <c r="M298" s="126">
        <f ca="1" t="shared" si="76"/>
        <v>1</v>
      </c>
      <c r="N298" s="126">
        <f ca="1" t="shared" si="77"/>
        <v>6</v>
      </c>
      <c r="O298" s="126">
        <f ca="1" t="shared" si="78"/>
        <v>5</v>
      </c>
      <c r="P298" s="126">
        <f ca="1" t="shared" si="79"/>
        <v>1</v>
      </c>
      <c r="Q298" s="126">
        <f ca="1" t="shared" si="80"/>
        <v>0.5</v>
      </c>
      <c r="R298" s="126">
        <f ca="1" t="shared" si="81"/>
        <v>2</v>
      </c>
      <c r="S298" s="126"/>
      <c r="AG298"/>
      <c r="AH298"/>
      <c r="AI298"/>
      <c r="AJ298"/>
      <c r="AK298"/>
      <c r="AL298"/>
      <c r="AM298"/>
      <c r="AN298"/>
      <c r="AO298"/>
      <c r="AP298"/>
    </row>
    <row r="299" spans="2:42">
      <c r="B299" s="98">
        <f t="shared" si="67"/>
        <v>297</v>
      </c>
      <c r="C299" s="126">
        <f ca="1" t="shared" si="68"/>
        <v>436</v>
      </c>
      <c r="D299" s="126">
        <f ca="1" t="shared" si="69"/>
        <v>20</v>
      </c>
      <c r="E299" s="126">
        <f ca="1" t="shared" si="70"/>
        <v>10</v>
      </c>
      <c r="F299" s="126">
        <f ca="1" t="shared" si="71"/>
        <v>1.5</v>
      </c>
      <c r="G299" s="126">
        <f ca="1" t="shared" si="72"/>
        <v>0.125</v>
      </c>
      <c r="H299" s="126">
        <f ca="1" t="shared" si="73"/>
        <v>0.013</v>
      </c>
      <c r="J299" s="97">
        <f t="shared" si="74"/>
        <v>297</v>
      </c>
      <c r="K299" s="106">
        <f ca="1" t="shared" si="66"/>
        <v>436</v>
      </c>
      <c r="L299" s="126">
        <f ca="1" t="shared" si="75"/>
        <v>40</v>
      </c>
      <c r="M299" s="126">
        <f ca="1" t="shared" si="76"/>
        <v>1</v>
      </c>
      <c r="N299" s="126">
        <f ca="1" t="shared" si="77"/>
        <v>6</v>
      </c>
      <c r="O299" s="126">
        <f ca="1" t="shared" si="78"/>
        <v>5</v>
      </c>
      <c r="P299" s="126">
        <f ca="1" t="shared" si="79"/>
        <v>1</v>
      </c>
      <c r="Q299" s="126">
        <f ca="1" t="shared" si="80"/>
        <v>0.5</v>
      </c>
      <c r="R299" s="126">
        <f ca="1" t="shared" si="81"/>
        <v>2</v>
      </c>
      <c r="S299" s="126"/>
      <c r="AG299"/>
      <c r="AH299"/>
      <c r="AI299"/>
      <c r="AJ299"/>
      <c r="AK299"/>
      <c r="AL299"/>
      <c r="AM299"/>
      <c r="AN299"/>
      <c r="AO299"/>
      <c r="AP299"/>
    </row>
    <row r="300" spans="2:42">
      <c r="B300" s="98">
        <f t="shared" si="67"/>
        <v>298</v>
      </c>
      <c r="C300" s="126">
        <f ca="1" t="shared" si="68"/>
        <v>437</v>
      </c>
      <c r="D300" s="126">
        <f ca="1" t="shared" si="69"/>
        <v>20</v>
      </c>
      <c r="E300" s="126">
        <f ca="1" t="shared" si="70"/>
        <v>10</v>
      </c>
      <c r="F300" s="126">
        <f ca="1" t="shared" si="71"/>
        <v>1.5</v>
      </c>
      <c r="G300" s="126">
        <f ca="1" t="shared" si="72"/>
        <v>0.125</v>
      </c>
      <c r="H300" s="126">
        <f ca="1" t="shared" si="73"/>
        <v>0.013</v>
      </c>
      <c r="J300" s="97">
        <f t="shared" si="74"/>
        <v>298</v>
      </c>
      <c r="K300" s="106">
        <f ca="1" t="shared" si="66"/>
        <v>437</v>
      </c>
      <c r="L300" s="126">
        <f ca="1" t="shared" si="75"/>
        <v>40</v>
      </c>
      <c r="M300" s="126">
        <f ca="1" t="shared" si="76"/>
        <v>1</v>
      </c>
      <c r="N300" s="126">
        <f ca="1" t="shared" si="77"/>
        <v>6</v>
      </c>
      <c r="O300" s="126">
        <f ca="1" t="shared" si="78"/>
        <v>5</v>
      </c>
      <c r="P300" s="126">
        <f ca="1" t="shared" si="79"/>
        <v>1</v>
      </c>
      <c r="Q300" s="126">
        <f ca="1" t="shared" si="80"/>
        <v>0.5</v>
      </c>
      <c r="R300" s="126">
        <f ca="1" t="shared" si="81"/>
        <v>2</v>
      </c>
      <c r="S300" s="126"/>
      <c r="AG300"/>
      <c r="AH300"/>
      <c r="AI300"/>
      <c r="AJ300"/>
      <c r="AK300"/>
      <c r="AL300"/>
      <c r="AM300"/>
      <c r="AN300"/>
      <c r="AO300"/>
      <c r="AP300"/>
    </row>
    <row r="301" spans="2:42">
      <c r="B301" s="98">
        <f t="shared" si="67"/>
        <v>299</v>
      </c>
      <c r="C301" s="126">
        <f ca="1" t="shared" si="68"/>
        <v>438</v>
      </c>
      <c r="D301" s="126">
        <f ca="1" t="shared" si="69"/>
        <v>20</v>
      </c>
      <c r="E301" s="126">
        <f ca="1" t="shared" si="70"/>
        <v>10</v>
      </c>
      <c r="F301" s="126">
        <f ca="1" t="shared" si="71"/>
        <v>1.5</v>
      </c>
      <c r="G301" s="126">
        <f ca="1" t="shared" si="72"/>
        <v>0.125</v>
      </c>
      <c r="H301" s="126">
        <f ca="1" t="shared" si="73"/>
        <v>0.013</v>
      </c>
      <c r="J301" s="97">
        <f t="shared" si="74"/>
        <v>299</v>
      </c>
      <c r="K301" s="106">
        <f ca="1" t="shared" si="66"/>
        <v>438</v>
      </c>
      <c r="L301" s="126">
        <f ca="1" t="shared" si="75"/>
        <v>40</v>
      </c>
      <c r="M301" s="126">
        <f ca="1" t="shared" si="76"/>
        <v>1</v>
      </c>
      <c r="N301" s="126">
        <f ca="1" t="shared" si="77"/>
        <v>6</v>
      </c>
      <c r="O301" s="126">
        <f ca="1" t="shared" si="78"/>
        <v>5</v>
      </c>
      <c r="P301" s="126">
        <f ca="1" t="shared" si="79"/>
        <v>1</v>
      </c>
      <c r="Q301" s="126">
        <f ca="1" t="shared" si="80"/>
        <v>0.5</v>
      </c>
      <c r="R301" s="126">
        <f ca="1" t="shared" si="81"/>
        <v>2</v>
      </c>
      <c r="S301" s="126"/>
      <c r="AG301"/>
      <c r="AH301"/>
      <c r="AI301"/>
      <c r="AJ301"/>
      <c r="AK301"/>
      <c r="AL301"/>
      <c r="AM301"/>
      <c r="AN301"/>
      <c r="AO301"/>
      <c r="AP301"/>
    </row>
    <row r="302" spans="2:42">
      <c r="B302" s="98">
        <f t="shared" si="67"/>
        <v>300</v>
      </c>
      <c r="C302" s="126">
        <f ca="1" t="shared" si="68"/>
        <v>439</v>
      </c>
      <c r="D302" s="126">
        <f ca="1" t="shared" si="69"/>
        <v>20</v>
      </c>
      <c r="E302" s="126">
        <f ca="1" t="shared" si="70"/>
        <v>10</v>
      </c>
      <c r="F302" s="126">
        <f ca="1" t="shared" si="71"/>
        <v>1.5</v>
      </c>
      <c r="G302" s="126">
        <f ca="1" t="shared" si="72"/>
        <v>0.125</v>
      </c>
      <c r="H302" s="126">
        <f ca="1" t="shared" si="73"/>
        <v>0.013</v>
      </c>
      <c r="J302" s="97">
        <f t="shared" si="74"/>
        <v>300</v>
      </c>
      <c r="K302" s="106">
        <f ca="1" t="shared" si="66"/>
        <v>439</v>
      </c>
      <c r="L302" s="126">
        <f ca="1" t="shared" si="75"/>
        <v>40</v>
      </c>
      <c r="M302" s="126">
        <f ca="1" t="shared" si="76"/>
        <v>1</v>
      </c>
      <c r="N302" s="126">
        <f ca="1" t="shared" si="77"/>
        <v>6</v>
      </c>
      <c r="O302" s="126">
        <f ca="1" t="shared" si="78"/>
        <v>5</v>
      </c>
      <c r="P302" s="126">
        <f ca="1" t="shared" si="79"/>
        <v>1</v>
      </c>
      <c r="Q302" s="126">
        <f ca="1" t="shared" si="80"/>
        <v>0.5</v>
      </c>
      <c r="R302" s="126">
        <f ca="1" t="shared" si="81"/>
        <v>2</v>
      </c>
      <c r="S302" s="126"/>
      <c r="AG302"/>
      <c r="AH302"/>
      <c r="AI302"/>
      <c r="AJ302"/>
      <c r="AK302"/>
      <c r="AL302"/>
      <c r="AM302"/>
      <c r="AN302"/>
      <c r="AO302"/>
      <c r="AP302"/>
    </row>
    <row r="303" spans="2:42">
      <c r="G303" s="80"/>
      <c r="T303" s="132">
        <f>80*1.3*3</f>
        <v>312</v>
      </c>
    </row>
    <row r="304" spans="2:42">
      <c r="C304" s="132">
        <f t="shared" ref="C304:P304" si="82">C311*C306</f>
        <v>7</v>
      </c>
      <c r="D304" s="132">
        <f t="shared" si="82"/>
        <v>14</v>
      </c>
      <c r="E304" s="132">
        <f t="shared" si="82"/>
        <v>40</v>
      </c>
      <c r="F304" s="132">
        <f t="shared" si="82"/>
        <v>20</v>
      </c>
      <c r="G304" s="132">
        <f t="shared" si="82"/>
        <v>0</v>
      </c>
      <c r="H304" s="132">
        <f t="shared" si="82"/>
        <v>18</v>
      </c>
      <c r="I304" s="132">
        <f t="shared" si="82"/>
        <v>30</v>
      </c>
      <c r="J304" s="132">
        <f t="shared" si="82"/>
        <v>0</v>
      </c>
      <c r="K304" s="132">
        <f t="shared" si="82"/>
        <v>0</v>
      </c>
      <c r="L304" s="132">
        <f t="shared" si="82"/>
        <v>1.5</v>
      </c>
      <c r="M304" s="132">
        <f t="shared" si="82"/>
        <v>6.25</v>
      </c>
      <c r="N304" s="132">
        <f t="shared" si="82"/>
        <v>15</v>
      </c>
      <c r="O304" s="132">
        <f t="shared" si="82"/>
        <v>10</v>
      </c>
      <c r="P304" s="132">
        <f t="shared" si="82"/>
        <v>0.39</v>
      </c>
      <c r="S304" s="132">
        <f>M496*24</f>
        <v>3</v>
      </c>
      <c r="T304" s="132">
        <f>P496*24</f>
        <v>0.312</v>
      </c>
      <c r="U304" s="132">
        <f>L496*24*1.3</f>
        <v>46.8</v>
      </c>
      <c r="V304" s="132">
        <f>I496*24</f>
        <v>240</v>
      </c>
    </row>
    <row r="305" spans="1:43">
      <c r="C305" s="133" t="str">
        <f>C307&amp;C309</f>
        <v>扫荡金币</v>
      </c>
      <c r="D305" s="133" t="str">
        <f t="shared" ref="D305:P305" si="83">D307&amp;D309</f>
        <v>挂机金币</v>
      </c>
      <c r="E305" s="133" t="str">
        <f t="shared" si="83"/>
        <v>扫荡能量特饮</v>
      </c>
      <c r="F305" s="133" t="str">
        <f t="shared" si="83"/>
        <v>挂机能量特饮</v>
      </c>
      <c r="G305" s="133" t="str">
        <f t="shared" si="83"/>
        <v>扫荡普通符文</v>
      </c>
      <c r="H305" s="133" t="str">
        <f t="shared" si="83"/>
        <v>扫荡装备强化书</v>
      </c>
      <c r="I305" s="133" t="str">
        <f t="shared" si="83"/>
        <v>挂机装备强化书</v>
      </c>
      <c r="J305" s="133" t="str">
        <f t="shared" si="83"/>
        <v>扫荡织梦微尘</v>
      </c>
      <c r="K305" s="133" t="str">
        <f t="shared" si="83"/>
        <v>扫荡装备掉落</v>
      </c>
      <c r="L305" s="133" t="str">
        <f t="shared" si="83"/>
        <v>挂机钻石</v>
      </c>
      <c r="M305" s="133" t="str">
        <f t="shared" si="83"/>
        <v>挂机初愿摇杆</v>
      </c>
      <c r="N305" s="133" t="str">
        <f t="shared" si="83"/>
        <v>扫荡梦境招募券</v>
      </c>
      <c r="O305" s="133" t="str">
        <f t="shared" si="83"/>
        <v>扫荡符引结晶</v>
      </c>
      <c r="P305" s="133" t="str">
        <f t="shared" si="83"/>
        <v>挂机梦境招募券</v>
      </c>
      <c r="Q305" s="132">
        <f>Q496/20</f>
        <v>3.7195</v>
      </c>
      <c r="R305" s="132">
        <f>R496/20</f>
        <v>6.5125</v>
      </c>
      <c r="T305" s="132">
        <f>7800*1.3</f>
        <v>10140</v>
      </c>
      <c r="U305" s="132">
        <f>160*3*1.3</f>
        <v>624</v>
      </c>
      <c r="V305" s="132">
        <f>F496*24</f>
        <v>480</v>
      </c>
    </row>
    <row r="306" spans="1:43">
      <c r="C306" s="98">
        <f>_xlfn.XLOOKUP(C309,价值表!$D:$D,价值表!$F:$F)</f>
        <v>0.05</v>
      </c>
      <c r="D306" s="98">
        <f>_xlfn.XLOOKUP(D309,价值表!$D:$D,价值表!$F:$F)</f>
        <v>0.05</v>
      </c>
      <c r="E306" s="98">
        <f>_xlfn.XLOOKUP(E309,价值表!$D:$D,价值表!$F:$F)</f>
        <v>1</v>
      </c>
      <c r="F306" s="98">
        <f>_xlfn.XLOOKUP(F309,价值表!$D:$D,价值表!$F:$F)</f>
        <v>1</v>
      </c>
      <c r="G306" s="98">
        <f>_xlfn.XLOOKUP(G309,价值表!$D:$D,价值表!$F:$F)</f>
        <v>16</v>
      </c>
      <c r="H306" s="98">
        <f>_xlfn.XLOOKUP(H309,价值表!$D:$D,价值表!$F:$F)</f>
        <v>3</v>
      </c>
      <c r="I306" s="98">
        <f>_xlfn.XLOOKUP(I309,价值表!$D:$D,价值表!$F:$F)</f>
        <v>3</v>
      </c>
      <c r="J306" s="98">
        <f>_xlfn.XLOOKUP(J309,价值表!$D:$D,价值表!$F:$F)</f>
        <v>3</v>
      </c>
      <c r="K306" s="98"/>
      <c r="L306" s="98">
        <f>_xlfn.XLOOKUP(L309,价值表!$D:$D,价值表!$F:$F)</f>
        <v>1</v>
      </c>
      <c r="M306" s="98">
        <f>_xlfn.XLOOKUP(M309,价值表!$D:$D,价值表!$F:$F)</f>
        <v>50</v>
      </c>
      <c r="N306" s="98">
        <f>_xlfn.XLOOKUP(N309,价值表!$D:$D,价值表!$F:$F)</f>
        <v>30</v>
      </c>
      <c r="O306" s="98">
        <f>_xlfn.XLOOKUP(O309,价值表!$D:$D,价值表!$F:$F)</f>
        <v>5</v>
      </c>
      <c r="P306" s="98">
        <f>_xlfn.XLOOKUP(P309,价值表!$D:$D,价值表!$F:$F)</f>
        <v>30</v>
      </c>
      <c r="Q306" s="138"/>
      <c r="R306" s="138"/>
      <c r="S306" s="138"/>
      <c r="T306" s="138"/>
    </row>
    <row r="307" spans="1:43">
      <c r="C307" s="98" t="s">
        <v>200</v>
      </c>
      <c r="D307" s="134" t="s">
        <v>35</v>
      </c>
      <c r="E307" s="98" t="s">
        <v>200</v>
      </c>
      <c r="F307" s="134" t="s">
        <v>35</v>
      </c>
      <c r="G307" s="98" t="s">
        <v>200</v>
      </c>
      <c r="H307" s="98" t="s">
        <v>200</v>
      </c>
      <c r="I307" s="134" t="s">
        <v>35</v>
      </c>
      <c r="J307" s="98" t="s">
        <v>200</v>
      </c>
      <c r="K307" s="98" t="s">
        <v>200</v>
      </c>
      <c r="L307" s="134" t="s">
        <v>35</v>
      </c>
      <c r="M307" s="134" t="s">
        <v>35</v>
      </c>
      <c r="N307" s="98" t="s">
        <v>200</v>
      </c>
      <c r="O307" s="98" t="s">
        <v>200</v>
      </c>
      <c r="P307" s="134" t="s">
        <v>35</v>
      </c>
      <c r="Q307" s="98"/>
      <c r="R307" s="98"/>
      <c r="S307" s="98"/>
      <c r="T307" s="98"/>
    </row>
    <row r="308" spans="1:43">
      <c r="A308" s="98"/>
      <c r="B308" s="98"/>
      <c r="C308" s="98">
        <f>_xlfn.XLOOKUP(C309,价值表!$D:$D,价值表!$C:$C)</f>
        <v>2</v>
      </c>
      <c r="D308" s="98">
        <f>_xlfn.XLOOKUP(D309,价值表!$D:$D,价值表!$C:$C)</f>
        <v>2</v>
      </c>
      <c r="E308" s="98">
        <f>_xlfn.XLOOKUP(E309,价值表!$D:$D,价值表!$C:$C)</f>
        <v>5103001</v>
      </c>
      <c r="F308" s="98">
        <f>_xlfn.XLOOKUP(F309,价值表!$D:$D,价值表!$C:$C)</f>
        <v>5103001</v>
      </c>
      <c r="G308" s="98">
        <f>_xlfn.XLOOKUP(G309,价值表!$D:$D,价值表!$C:$C)</f>
        <v>5301000</v>
      </c>
      <c r="H308" s="98">
        <f>_xlfn.XLOOKUP(H309,价值表!$D:$D,价值表!$C:$C)</f>
        <v>50002</v>
      </c>
      <c r="I308" s="98">
        <f>_xlfn.XLOOKUP(I309,价值表!$D:$D,价值表!$C:$C)</f>
        <v>50002</v>
      </c>
      <c r="J308" s="98">
        <f>_xlfn.XLOOKUP(J309,价值表!$D:$D,价值表!$C:$C)</f>
        <v>5203001</v>
      </c>
      <c r="K308" s="98">
        <v>21360</v>
      </c>
      <c r="L308" s="98">
        <f>_xlfn.XLOOKUP(L309,价值表!$D:$D,价值表!$C:$C)</f>
        <v>1</v>
      </c>
      <c r="M308" s="98">
        <f>_xlfn.XLOOKUP(M309,价值表!$D:$D,价值表!$C:$C)</f>
        <v>9</v>
      </c>
      <c r="N308" s="98">
        <f>_xlfn.XLOOKUP(N309,价值表!$D:$D,价值表!$C:$C)</f>
        <v>11</v>
      </c>
      <c r="O308" s="98">
        <f>_xlfn.XLOOKUP(O309,价值表!$D:$D,价值表!$C:$C)</f>
        <v>5303001</v>
      </c>
      <c r="P308" s="98">
        <v>30</v>
      </c>
      <c r="Q308" s="139" t="s">
        <v>205</v>
      </c>
      <c r="R308" s="140"/>
      <c r="S308" s="140"/>
    </row>
    <row r="309" spans="1:43">
      <c r="A309" s="98"/>
      <c r="B309" s="98"/>
      <c r="C309" s="136" t="s">
        <v>96</v>
      </c>
      <c r="D309" s="136" t="s">
        <v>96</v>
      </c>
      <c r="E309" s="136" t="s">
        <v>128</v>
      </c>
      <c r="F309" s="136" t="s">
        <v>128</v>
      </c>
      <c r="G309" s="136" t="s">
        <v>133</v>
      </c>
      <c r="H309" s="136" t="s">
        <v>129</v>
      </c>
      <c r="I309" s="136" t="s">
        <v>129</v>
      </c>
      <c r="J309" s="136" t="s">
        <v>131</v>
      </c>
      <c r="K309" s="136" t="s">
        <v>204</v>
      </c>
      <c r="L309" s="136" t="s">
        <v>202</v>
      </c>
      <c r="M309" s="136" t="s">
        <v>203</v>
      </c>
      <c r="N309" s="136" t="s">
        <v>130</v>
      </c>
      <c r="O309" s="136" t="s">
        <v>132</v>
      </c>
      <c r="P309" s="136" t="s">
        <v>130</v>
      </c>
      <c r="Q309" s="139"/>
      <c r="R309" s="140"/>
      <c r="S309" s="140"/>
      <c r="T309" s="141"/>
      <c r="U309" s="141"/>
      <c r="V309" s="141"/>
    </row>
    <row r="310" spans="1:43">
      <c r="A310" s="98"/>
      <c r="B310" s="130" t="s">
        <v>201</v>
      </c>
      <c r="C310" s="130" t="s">
        <v>157</v>
      </c>
      <c r="D310" s="130" t="s">
        <v>158</v>
      </c>
      <c r="E310" s="130" t="s">
        <v>159</v>
      </c>
      <c r="F310" s="130" t="s">
        <v>160</v>
      </c>
      <c r="G310" s="130" t="s">
        <v>161</v>
      </c>
      <c r="H310" s="130" t="s">
        <v>162</v>
      </c>
      <c r="I310" s="130" t="s">
        <v>163</v>
      </c>
      <c r="J310" s="130" t="s">
        <v>164</v>
      </c>
      <c r="K310" s="130" t="s">
        <v>165</v>
      </c>
      <c r="L310" s="130" t="s">
        <v>166</v>
      </c>
      <c r="M310" s="130" t="s">
        <v>167</v>
      </c>
      <c r="N310" s="130" t="s">
        <v>168</v>
      </c>
      <c r="O310" s="130" t="s">
        <v>169</v>
      </c>
      <c r="P310" s="130" t="s">
        <v>206</v>
      </c>
      <c r="Q310" s="130" t="s">
        <v>35</v>
      </c>
      <c r="R310" s="130" t="s">
        <v>200</v>
      </c>
      <c r="S310" s="140" t="s">
        <v>170</v>
      </c>
      <c r="T310" s="98"/>
      <c r="U310" s="142" t="s">
        <v>35</v>
      </c>
      <c r="V310" s="142" t="s">
        <v>200</v>
      </c>
      <c r="X310" s="130" t="s">
        <v>96</v>
      </c>
      <c r="Y310" s="130" t="s">
        <v>207</v>
      </c>
      <c r="Z310" s="130" t="s">
        <v>128</v>
      </c>
      <c r="AA310" s="130" t="s">
        <v>202</v>
      </c>
      <c r="AB310" s="130" t="s">
        <v>150</v>
      </c>
      <c r="AC310" s="130"/>
      <c r="AD310" s="130" t="s">
        <v>147</v>
      </c>
      <c r="AE310" s="130" t="s">
        <v>109</v>
      </c>
      <c r="AF310" s="130" t="s">
        <v>204</v>
      </c>
      <c r="AG310" s="130" t="s">
        <v>208</v>
      </c>
      <c r="AH310" s="130" t="s">
        <v>96</v>
      </c>
      <c r="AI310" s="130" t="s">
        <v>128</v>
      </c>
      <c r="AJ310" s="130" t="s">
        <v>147</v>
      </c>
      <c r="AK310" s="130" t="s">
        <v>109</v>
      </c>
      <c r="AL310" s="130" t="s">
        <v>204</v>
      </c>
      <c r="AM310" s="130" t="s">
        <v>150</v>
      </c>
      <c r="AN310" s="130"/>
      <c r="AO310" s="130" t="s">
        <v>149</v>
      </c>
      <c r="AP310" s="130" t="s">
        <v>207</v>
      </c>
    </row>
    <row r="311" spans="1:43">
      <c r="A311" s="143" t="str">
        <f>"[{2,1,"&amp;C311*1000&amp;","&amp;C311*1000&amp;"},{5103001,1,"&amp;F311*1000&amp;","&amp;F311*1000&amp;"}]"</f>
        <v>[{2,1,140000,140000},{5103001,1,20000,20000}]</v>
      </c>
      <c r="B311" s="98">
        <v>1</v>
      </c>
      <c r="C311" s="144">
        <v>140</v>
      </c>
      <c r="D311" s="145">
        <f>C311*2</f>
        <v>280</v>
      </c>
      <c r="E311" s="145">
        <v>40</v>
      </c>
      <c r="F311" s="145">
        <v>20</v>
      </c>
      <c r="G311" s="146"/>
      <c r="H311" s="146">
        <v>6</v>
      </c>
      <c r="I311" s="146">
        <v>10</v>
      </c>
      <c r="J311" s="146"/>
      <c r="K311" s="146">
        <v>1</v>
      </c>
      <c r="L311" s="146">
        <v>1.5</v>
      </c>
      <c r="M311" s="145">
        <v>0.125</v>
      </c>
      <c r="N311" s="145">
        <v>0.5</v>
      </c>
      <c r="O311" s="145">
        <v>2</v>
      </c>
      <c r="P311" s="145">
        <v>0.013</v>
      </c>
      <c r="Q311" s="145">
        <f t="shared" ref="Q311:Q374" si="84">SUMPRODUCT($C$306:$P$306,--($C$307:$P$307=Q$310),$C311:$P311)</f>
        <v>72.14</v>
      </c>
      <c r="R311" s="145">
        <f t="shared" ref="R311:R374" si="85">SUMPRODUCT($C$306:$P$306,--($C$307:$P$307=R$310),$C311:$P311)</f>
        <v>90</v>
      </c>
      <c r="S311" s="126">
        <f>C311/2</f>
        <v>70</v>
      </c>
      <c r="T311" s="147">
        <f t="shared" ref="T311:T374" si="86">R311/20</f>
        <v>4.5</v>
      </c>
      <c r="U311" s="142" t="str">
        <f>"["&amp;_xlfn.TEXTJOIN(",",1,X311:AG311)&amp;"]"</f>
        <v>[{2,1,280000,280000},{5103001,1,20000,20000},{1,2,750,750},{50002,1,9000,11000},{30,1,11,14},{9,1,112,137}]</v>
      </c>
      <c r="V311" s="142" t="str">
        <f>"["&amp;_xlfn.TEXTJOIN(",",1,AH311:AQ311)&amp;"]"</f>
        <v>[{2,1,140000,140000},{5103001,1,40000,40000},{50002,1,6000,6000},{21360,1,1000,1000},{5303001,1,1800,2200},{11,1,400,600}]</v>
      </c>
      <c r="X311" s="142" t="str">
        <f t="shared" ref="X311:X374" si="87">IF(D311="","","{"&amp;D$308&amp;","&amp;1&amp;","&amp;INT(D311/10*10000)&amp;","&amp;INT(D311/10*10000)&amp;"}")</f>
        <v>{2,1,280000,280000}</v>
      </c>
      <c r="Y311" s="142"/>
      <c r="Z311" s="142" t="str">
        <f t="shared" ref="Z311:Z374" si="88">IF(F311="","","{"&amp;F$308&amp;","&amp;1&amp;","&amp;INT(F311/10*10000)&amp;","&amp;INT(F311/10*10000)&amp;"}")</f>
        <v>{5103001,1,20000,20000}</v>
      </c>
      <c r="AA311" s="142" t="s">
        <v>209</v>
      </c>
      <c r="AD311" s="142" t="str">
        <f t="shared" ref="AD311:AD374" si="89">IF(I311="","","{"&amp;I$308&amp;","&amp;1&amp;","&amp;INT(I311/10*9000)&amp;","&amp;INT(I311/10*11000)&amp;"}")</f>
        <v>{50002,1,9000,11000}</v>
      </c>
      <c r="AE311" s="142" t="str">
        <f>IF(P311="","","{"&amp;P$308&amp;","&amp;1&amp;","&amp;INT(P311/10*9000)&amp;","&amp;INT(P311/10*11000)&amp;"}")</f>
        <v>{30,1,11,14}</v>
      </c>
      <c r="AG311" s="142" t="str">
        <f t="shared" ref="AG311:AG374" si="90">IF(M311="","","{"&amp;M$308&amp;","&amp;1&amp;","&amp;INT(M311/10*9000)&amp;","&amp;INT(M311/10*11000)&amp;"}")</f>
        <v>{9,1,112,137}</v>
      </c>
      <c r="AH311" s="142" t="str">
        <f t="shared" ref="AH311:AH374" si="91">IF(C311="","","{"&amp;D$308&amp;","&amp;1&amp;","&amp;INT(C311/10*10000)&amp;","&amp;INT(C311/10*10000)&amp;"}")</f>
        <v>{2,1,140000,140000}</v>
      </c>
      <c r="AI311" s="142" t="str">
        <f t="shared" ref="AI311:AI374" si="92">IF(E311="","","{"&amp;F$308&amp;","&amp;1&amp;","&amp;INT(E311/10*10000)&amp;","&amp;INT(E311/10*10000)&amp;"}")</f>
        <v>{5103001,1,40000,40000}</v>
      </c>
      <c r="AJ311" s="142" t="str">
        <f t="shared" ref="AJ311:AJ374" si="93">IF(H311="","","{"&amp;H$308&amp;","&amp;1&amp;","&amp;INT(H311/10*10000)&amp;","&amp;INT(H311/10*10000)&amp;"}")</f>
        <v>{50002,1,6000,6000}</v>
      </c>
      <c r="AK311" s="142" t="str">
        <f t="shared" ref="AK311:AK374" si="94">IF(J311="","","{"&amp;J$308&amp;","&amp;1&amp;","&amp;INT(J311/10*10000)&amp;","&amp;INT(J311/10*10000)&amp;"}")</f>
        <v/>
      </c>
      <c r="AL311" s="142" t="str">
        <f t="shared" ref="AL311:AL374" si="95">IF(K311="","","{"&amp;K$308&amp;","&amp;1&amp;","&amp;INT(K311/10*10000)&amp;","&amp;INT(K311/10*10000)&amp;"}")</f>
        <v>{21360,1,1000,1000}</v>
      </c>
      <c r="AM311" s="142" t="str">
        <f t="shared" ref="AM311:AM374" si="96">IF(G311="","","{"&amp;G$308&amp;","&amp;1&amp;","&amp;INT(G311/10*9000)&amp;","&amp;INT(G311/10*10000)&amp;"}")</f>
        <v/>
      </c>
      <c r="AO311" s="142" t="str">
        <f t="shared" ref="AO311:AO374" si="97">IF(O311="","","{"&amp;O$308&amp;","&amp;1&amp;","&amp;INT(O311/10*9000)&amp;","&amp;INT(O311/10*11000)&amp;"}")</f>
        <v>{5303001,1,1800,2200}</v>
      </c>
      <c r="AP311" s="142" t="s">
        <v>210</v>
      </c>
      <c r="AQ311" s="142"/>
    </row>
    <row r="312" spans="1:43">
      <c r="A312" s="143" t="str">
        <f t="shared" ref="A312:A375" si="98">"[{2,1,"&amp;C312*1000&amp;","&amp;C312*1000&amp;"},{5103001,1,"&amp;F312*1000&amp;","&amp;F312*1000&amp;"}]"</f>
        <v>[{2,1,141000,141000},{5103001,1,20000,20000}]</v>
      </c>
      <c r="B312" s="98">
        <f t="shared" ref="B312:B375" si="99">B311+1</f>
        <v>2</v>
      </c>
      <c r="C312" s="144">
        <v>141</v>
      </c>
      <c r="D312" s="145">
        <f t="shared" ref="D312:D324" si="100">C312*2</f>
        <v>282</v>
      </c>
      <c r="E312" s="145">
        <v>40</v>
      </c>
      <c r="F312" s="145">
        <v>20</v>
      </c>
      <c r="G312" s="146"/>
      <c r="H312" s="146">
        <v>6</v>
      </c>
      <c r="I312" s="146">
        <v>10</v>
      </c>
      <c r="J312" s="146"/>
      <c r="K312" s="146">
        <v>1</v>
      </c>
      <c r="L312" s="146">
        <v>1.5</v>
      </c>
      <c r="M312" s="145">
        <v>0.125</v>
      </c>
      <c r="N312" s="145">
        <v>0.5</v>
      </c>
      <c r="O312" s="145">
        <v>2</v>
      </c>
      <c r="P312" s="145">
        <v>0.013</v>
      </c>
      <c r="Q312" s="145">
        <f t="shared" si="84"/>
        <v>72.24</v>
      </c>
      <c r="R312" s="145">
        <f t="shared" si="85"/>
        <v>90.05</v>
      </c>
      <c r="S312" s="126">
        <f t="shared" ref="S312:S375" si="101">C312/2</f>
        <v>70.5</v>
      </c>
      <c r="T312" s="147">
        <f t="shared" si="86"/>
        <v>4.5025</v>
      </c>
      <c r="U312" s="142" t="str">
        <f t="shared" ref="U312:U375" si="102">"["&amp;_xlfn.TEXTJOIN(",",1,X312:AG312)&amp;"]"</f>
        <v>[{2,1,282000,282000},{5103001,1,20000,20000},{1,2,750,750},{50002,1,9000,11000},{30,1,11,14},{9,1,112,137}]</v>
      </c>
      <c r="V312" s="142" t="str">
        <f t="shared" ref="V312:V375" si="103">"["&amp;_xlfn.TEXTJOIN(",",1,AH312:AQ312)&amp;"]"</f>
        <v>[{2,1,141000,141000},{5103001,1,40000,40000},{50002,1,6000,6000},{21360,1,1000,1000},{5303001,1,1800,2200},{11,1,400,600}]</v>
      </c>
      <c r="X312" s="142" t="str">
        <f t="shared" si="87"/>
        <v>{2,1,282000,282000}</v>
      </c>
      <c r="Y312" s="142"/>
      <c r="Z312" s="142" t="str">
        <f t="shared" si="88"/>
        <v>{5103001,1,20000,20000}</v>
      </c>
      <c r="AA312" s="142" t="str">
        <f>AA311</f>
        <v>{1,2,750,750}</v>
      </c>
      <c r="AD312" s="142" t="str">
        <f t="shared" si="89"/>
        <v>{50002,1,9000,11000}</v>
      </c>
      <c r="AE312" s="142" t="str">
        <f>IF(P312="","","{"&amp;P$308&amp;","&amp;1&amp;","&amp;INT(P312/10*9000)&amp;","&amp;INT(P312/10*11000)&amp;"}")</f>
        <v>{30,1,11,14}</v>
      </c>
      <c r="AG312" s="142" t="str">
        <f t="shared" si="90"/>
        <v>{9,1,112,137}</v>
      </c>
      <c r="AH312" s="142" t="str">
        <f t="shared" si="91"/>
        <v>{2,1,141000,141000}</v>
      </c>
      <c r="AI312" s="142" t="str">
        <f t="shared" si="92"/>
        <v>{5103001,1,40000,40000}</v>
      </c>
      <c r="AJ312" s="142" t="str">
        <f t="shared" si="93"/>
        <v>{50002,1,6000,6000}</v>
      </c>
      <c r="AK312" s="142" t="str">
        <f t="shared" si="94"/>
        <v/>
      </c>
      <c r="AL312" s="142" t="str">
        <f t="shared" si="95"/>
        <v>{21360,1,1000,1000}</v>
      </c>
      <c r="AM312" s="142" t="str">
        <f t="shared" si="96"/>
        <v/>
      </c>
      <c r="AO312" s="142" t="str">
        <f t="shared" si="97"/>
        <v>{5303001,1,1800,2200}</v>
      </c>
      <c r="AP312" s="142" t="s">
        <v>210</v>
      </c>
      <c r="AQ312" s="142"/>
    </row>
    <row r="313" spans="1:43">
      <c r="A313" s="143" t="str">
        <f t="shared" si="98"/>
        <v>[{2,1,142000,142000},{5103001,1,20000,20000}]</v>
      </c>
      <c r="B313" s="98">
        <f t="shared" si="99"/>
        <v>3</v>
      </c>
      <c r="C313" s="144">
        <v>142</v>
      </c>
      <c r="D313" s="145">
        <f t="shared" si="100"/>
        <v>284</v>
      </c>
      <c r="E313" s="145">
        <v>40</v>
      </c>
      <c r="F313" s="145">
        <v>20</v>
      </c>
      <c r="G313" s="146"/>
      <c r="H313" s="146">
        <v>6</v>
      </c>
      <c r="I313" s="146">
        <v>10</v>
      </c>
      <c r="J313" s="146"/>
      <c r="K313" s="146">
        <v>1</v>
      </c>
      <c r="L313" s="146">
        <v>1.5</v>
      </c>
      <c r="M313" s="145">
        <v>0.125</v>
      </c>
      <c r="N313" s="145">
        <v>0.5</v>
      </c>
      <c r="O313" s="145">
        <v>2</v>
      </c>
      <c r="P313" s="145">
        <v>0.013</v>
      </c>
      <c r="Q313" s="145">
        <f t="shared" si="84"/>
        <v>72.34</v>
      </c>
      <c r="R313" s="145">
        <f t="shared" si="85"/>
        <v>90.1</v>
      </c>
      <c r="S313" s="126">
        <f t="shared" si="101"/>
        <v>71</v>
      </c>
      <c r="T313" s="147">
        <f t="shared" si="86"/>
        <v>4.505</v>
      </c>
      <c r="U313" s="142" t="str">
        <f t="shared" si="102"/>
        <v>[{2,1,284000,284000},{5103001,1,20000,20000},{1,2,750,750},{50002,1,9000,11000},{30,1,11,14},{9,1,112,137}]</v>
      </c>
      <c r="V313" s="142" t="str">
        <f t="shared" si="103"/>
        <v>[{2,1,142000,142000},{5103001,1,40000,40000},{50002,1,6000,6000},{21360,1,1000,1000},{5303001,1,1800,2200},{11,1,400,600}]</v>
      </c>
      <c r="X313" s="142" t="str">
        <f t="shared" si="87"/>
        <v>{2,1,284000,284000}</v>
      </c>
      <c r="Y313" s="142"/>
      <c r="Z313" s="142" t="str">
        <f t="shared" si="88"/>
        <v>{5103001,1,20000,20000}</v>
      </c>
      <c r="AA313" s="142" t="str">
        <f t="shared" ref="AA313:AA376" si="104">AA312</f>
        <v>{1,2,750,750}</v>
      </c>
      <c r="AD313" s="142" t="str">
        <f t="shared" si="89"/>
        <v>{50002,1,9000,11000}</v>
      </c>
      <c r="AE313" s="142" t="str">
        <f>IF(P313="","","{"&amp;P$308&amp;","&amp;1&amp;","&amp;INT(P313/10*9000)&amp;","&amp;INT(P313/10*11000)&amp;"}")</f>
        <v>{30,1,11,14}</v>
      </c>
      <c r="AG313" s="142" t="str">
        <f t="shared" si="90"/>
        <v>{9,1,112,137}</v>
      </c>
      <c r="AH313" s="142" t="str">
        <f t="shared" si="91"/>
        <v>{2,1,142000,142000}</v>
      </c>
      <c r="AI313" s="142" t="str">
        <f t="shared" si="92"/>
        <v>{5103001,1,40000,40000}</v>
      </c>
      <c r="AJ313" s="142" t="str">
        <f t="shared" si="93"/>
        <v>{50002,1,6000,6000}</v>
      </c>
      <c r="AK313" s="142" t="str">
        <f t="shared" si="94"/>
        <v/>
      </c>
      <c r="AL313" s="142" t="str">
        <f t="shared" si="95"/>
        <v>{21360,1,1000,1000}</v>
      </c>
      <c r="AM313" s="142" t="str">
        <f t="shared" si="96"/>
        <v/>
      </c>
      <c r="AO313" s="142" t="str">
        <f t="shared" si="97"/>
        <v>{5303001,1,1800,2200}</v>
      </c>
      <c r="AP313" s="142" t="s">
        <v>210</v>
      </c>
      <c r="AQ313" s="142"/>
    </row>
    <row r="314" spans="1:43">
      <c r="A314" s="143" t="str">
        <f t="shared" si="98"/>
        <v>[{2,1,143000,143000},{5103001,1,20000,20000}]</v>
      </c>
      <c r="B314" s="98">
        <f t="shared" si="99"/>
        <v>4</v>
      </c>
      <c r="C314" s="144">
        <v>143</v>
      </c>
      <c r="D314" s="145">
        <f t="shared" si="100"/>
        <v>286</v>
      </c>
      <c r="E314" s="145">
        <v>40</v>
      </c>
      <c r="F314" s="145">
        <v>20</v>
      </c>
      <c r="G314" s="146">
        <v>1</v>
      </c>
      <c r="H314" s="146">
        <v>6</v>
      </c>
      <c r="I314" s="146">
        <v>10</v>
      </c>
      <c r="J314" s="146"/>
      <c r="K314" s="146">
        <v>1</v>
      </c>
      <c r="L314" s="146">
        <v>1.5</v>
      </c>
      <c r="M314" s="145">
        <v>0.125</v>
      </c>
      <c r="N314" s="145">
        <v>0.5</v>
      </c>
      <c r="O314" s="145">
        <v>2</v>
      </c>
      <c r="P314" s="145">
        <v>0.013</v>
      </c>
      <c r="Q314" s="145">
        <f t="shared" si="84"/>
        <v>72.44</v>
      </c>
      <c r="R314" s="145">
        <f t="shared" si="85"/>
        <v>106.15</v>
      </c>
      <c r="S314" s="126">
        <f t="shared" si="101"/>
        <v>71.5</v>
      </c>
      <c r="T314" s="147">
        <f t="shared" si="86"/>
        <v>5.3075</v>
      </c>
      <c r="U314" s="142" t="str">
        <f t="shared" si="102"/>
        <v>[{2,1,286000,286000},{5103001,1,20000,20000},{1,2,750,750},{50002,1,9000,11000},{30,1,11,14},{9,1,112,137}]</v>
      </c>
      <c r="V314" s="142" t="str">
        <f t="shared" si="103"/>
        <v>[{2,1,143000,143000},{5103001,1,40000,40000},{50002,1,6000,6000},{21360,1,1000,1000},{5301000,1,900,1000},{5303001,1,1800,2200},{11,1,400,600}]</v>
      </c>
      <c r="X314" s="142" t="str">
        <f t="shared" si="87"/>
        <v>{2,1,286000,286000}</v>
      </c>
      <c r="Y314" s="142"/>
      <c r="Z314" s="142" t="str">
        <f t="shared" si="88"/>
        <v>{5103001,1,20000,20000}</v>
      </c>
      <c r="AA314" s="142" t="str">
        <f t="shared" si="104"/>
        <v>{1,2,750,750}</v>
      </c>
      <c r="AD314" s="142" t="str">
        <f t="shared" si="89"/>
        <v>{50002,1,9000,11000}</v>
      </c>
      <c r="AE314" s="142" t="str">
        <f>IF(P314="","","{"&amp;P$308&amp;","&amp;1&amp;","&amp;INT(P314/10*9000)&amp;","&amp;INT(P314/10*11000)&amp;"}")</f>
        <v>{30,1,11,14}</v>
      </c>
      <c r="AG314" s="142" t="str">
        <f t="shared" si="90"/>
        <v>{9,1,112,137}</v>
      </c>
      <c r="AH314" s="142" t="str">
        <f t="shared" si="91"/>
        <v>{2,1,143000,143000}</v>
      </c>
      <c r="AI314" s="142" t="str">
        <f t="shared" si="92"/>
        <v>{5103001,1,40000,40000}</v>
      </c>
      <c r="AJ314" s="142" t="str">
        <f t="shared" si="93"/>
        <v>{50002,1,6000,6000}</v>
      </c>
      <c r="AK314" s="142" t="str">
        <f t="shared" si="94"/>
        <v/>
      </c>
      <c r="AL314" s="142" t="str">
        <f t="shared" si="95"/>
        <v>{21360,1,1000,1000}</v>
      </c>
      <c r="AM314" s="142" t="str">
        <f t="shared" si="96"/>
        <v>{5301000,1,900,1000}</v>
      </c>
      <c r="AO314" s="142" t="str">
        <f t="shared" si="97"/>
        <v>{5303001,1,1800,2200}</v>
      </c>
      <c r="AP314" s="142" t="s">
        <v>210</v>
      </c>
      <c r="AQ314" s="142"/>
    </row>
    <row r="315" spans="1:43">
      <c r="A315" s="143" t="str">
        <f t="shared" si="98"/>
        <v>[{2,1,144000,144000},{5103001,1,20000,20000}]</v>
      </c>
      <c r="B315" s="98">
        <f t="shared" si="99"/>
        <v>5</v>
      </c>
      <c r="C315" s="144">
        <v>144</v>
      </c>
      <c r="D315" s="145">
        <f t="shared" si="100"/>
        <v>288</v>
      </c>
      <c r="E315" s="145">
        <v>40</v>
      </c>
      <c r="F315" s="145">
        <v>20</v>
      </c>
      <c r="G315" s="146">
        <v>1</v>
      </c>
      <c r="H315" s="146">
        <v>6</v>
      </c>
      <c r="I315" s="146">
        <v>10</v>
      </c>
      <c r="J315" s="146"/>
      <c r="K315" s="146">
        <v>1</v>
      </c>
      <c r="L315" s="146">
        <v>1.5</v>
      </c>
      <c r="M315" s="145">
        <v>0.125</v>
      </c>
      <c r="N315" s="145">
        <v>0.5</v>
      </c>
      <c r="O315" s="145">
        <v>2</v>
      </c>
      <c r="P315" s="145">
        <v>0.013</v>
      </c>
      <c r="Q315" s="145">
        <f t="shared" si="84"/>
        <v>72.54</v>
      </c>
      <c r="R315" s="145">
        <f t="shared" si="85"/>
        <v>106.2</v>
      </c>
      <c r="S315" s="126">
        <f t="shared" si="101"/>
        <v>72</v>
      </c>
      <c r="T315" s="147">
        <f t="shared" si="86"/>
        <v>5.31</v>
      </c>
      <c r="U315" s="142" t="str">
        <f t="shared" si="102"/>
        <v>[{2,1,288000,288000},{5103001,1,20000,20000},{1,2,750,750},{50002,1,9000,11000},{30,1,11,14},{9,1,112,137}]</v>
      </c>
      <c r="V315" s="142" t="str">
        <f t="shared" si="103"/>
        <v>[{2,1,144000,144000},{5103001,1,40000,40000},{50002,1,6000,6000},{21360,1,1000,1000},{5301000,1,900,1000},{5303001,1,1800,2200},{11,1,400,600}]</v>
      </c>
      <c r="X315" s="142" t="str">
        <f t="shared" si="87"/>
        <v>{2,1,288000,288000}</v>
      </c>
      <c r="Y315" s="142"/>
      <c r="Z315" s="142" t="str">
        <f t="shared" si="88"/>
        <v>{5103001,1,20000,20000}</v>
      </c>
      <c r="AA315" s="142" t="str">
        <f t="shared" si="104"/>
        <v>{1,2,750,750}</v>
      </c>
      <c r="AD315" s="142" t="str">
        <f t="shared" si="89"/>
        <v>{50002,1,9000,11000}</v>
      </c>
      <c r="AE315" s="142" t="str">
        <f t="shared" ref="AE312:AE375" si="105">IF(P315="","","{"&amp;P$308&amp;","&amp;1&amp;","&amp;INT(P315/10*9000)&amp;","&amp;INT(P315/10*11000)&amp;"}")</f>
        <v>{30,1,11,14}</v>
      </c>
      <c r="AG315" s="142" t="str">
        <f t="shared" si="90"/>
        <v>{9,1,112,137}</v>
      </c>
      <c r="AH315" s="142" t="str">
        <f t="shared" si="91"/>
        <v>{2,1,144000,144000}</v>
      </c>
      <c r="AI315" s="142" t="str">
        <f t="shared" si="92"/>
        <v>{5103001,1,40000,40000}</v>
      </c>
      <c r="AJ315" s="142" t="str">
        <f t="shared" si="93"/>
        <v>{50002,1,6000,6000}</v>
      </c>
      <c r="AK315" s="142" t="str">
        <f t="shared" si="94"/>
        <v/>
      </c>
      <c r="AL315" s="142" t="str">
        <f t="shared" si="95"/>
        <v>{21360,1,1000,1000}</v>
      </c>
      <c r="AM315" s="142" t="str">
        <f t="shared" si="96"/>
        <v>{5301000,1,900,1000}</v>
      </c>
      <c r="AO315" s="142" t="str">
        <f t="shared" si="97"/>
        <v>{5303001,1,1800,2200}</v>
      </c>
      <c r="AP315" s="142" t="s">
        <v>210</v>
      </c>
      <c r="AQ315" s="142"/>
    </row>
    <row r="316" spans="1:43">
      <c r="A316" s="143" t="str">
        <f t="shared" si="98"/>
        <v>[{2,1,145000,145000},{5103001,1,20000,20000}]</v>
      </c>
      <c r="B316" s="98">
        <f t="shared" si="99"/>
        <v>6</v>
      </c>
      <c r="C316" s="144">
        <v>145</v>
      </c>
      <c r="D316" s="145">
        <f t="shared" si="100"/>
        <v>290</v>
      </c>
      <c r="E316" s="145">
        <v>40</v>
      </c>
      <c r="F316" s="145">
        <v>20</v>
      </c>
      <c r="G316" s="146">
        <v>1</v>
      </c>
      <c r="H316" s="146">
        <v>6</v>
      </c>
      <c r="I316" s="146">
        <v>10</v>
      </c>
      <c r="J316" s="146"/>
      <c r="K316" s="146">
        <v>1</v>
      </c>
      <c r="L316" s="146">
        <v>1.5</v>
      </c>
      <c r="M316" s="145">
        <v>0.125</v>
      </c>
      <c r="N316" s="145">
        <v>0.5</v>
      </c>
      <c r="O316" s="145">
        <v>2</v>
      </c>
      <c r="P316" s="145">
        <v>0.013</v>
      </c>
      <c r="Q316" s="145">
        <f t="shared" si="84"/>
        <v>72.64</v>
      </c>
      <c r="R316" s="145">
        <f t="shared" si="85"/>
        <v>106.25</v>
      </c>
      <c r="S316" s="126">
        <f t="shared" si="101"/>
        <v>72.5</v>
      </c>
      <c r="T316" s="147">
        <f t="shared" si="86"/>
        <v>5.3125</v>
      </c>
      <c r="U316" s="142" t="str">
        <f t="shared" si="102"/>
        <v>[{2,1,290000,290000},{5103001,1,20000,20000},{1,2,750,750},{50002,1,9000,11000},{30,1,11,14},{9,1,112,137}]</v>
      </c>
      <c r="V316" s="142" t="str">
        <f t="shared" si="103"/>
        <v>[{2,1,145000,145000},{5103001,1,40000,40000},{50002,1,6000,6000},{21360,1,1000,1000},{5301000,1,900,1000},{5303001,1,1800,2200},{11,1,400,600}]</v>
      </c>
      <c r="X316" s="142" t="str">
        <f t="shared" si="87"/>
        <v>{2,1,290000,290000}</v>
      </c>
      <c r="Y316" s="142"/>
      <c r="Z316" s="142" t="str">
        <f t="shared" si="88"/>
        <v>{5103001,1,20000,20000}</v>
      </c>
      <c r="AA316" s="142" t="str">
        <f t="shared" si="104"/>
        <v>{1,2,750,750}</v>
      </c>
      <c r="AD316" s="142" t="str">
        <f t="shared" si="89"/>
        <v>{50002,1,9000,11000}</v>
      </c>
      <c r="AE316" s="142" t="str">
        <f t="shared" si="105"/>
        <v>{30,1,11,14}</v>
      </c>
      <c r="AG316" s="142" t="str">
        <f t="shared" si="90"/>
        <v>{9,1,112,137}</v>
      </c>
      <c r="AH316" s="142" t="str">
        <f t="shared" si="91"/>
        <v>{2,1,145000,145000}</v>
      </c>
      <c r="AI316" s="142" t="str">
        <f t="shared" si="92"/>
        <v>{5103001,1,40000,40000}</v>
      </c>
      <c r="AJ316" s="142" t="str">
        <f t="shared" si="93"/>
        <v>{50002,1,6000,6000}</v>
      </c>
      <c r="AK316" s="142" t="str">
        <f t="shared" si="94"/>
        <v/>
      </c>
      <c r="AL316" s="142" t="str">
        <f t="shared" si="95"/>
        <v>{21360,1,1000,1000}</v>
      </c>
      <c r="AM316" s="142" t="str">
        <f t="shared" si="96"/>
        <v>{5301000,1,900,1000}</v>
      </c>
      <c r="AO316" s="142" t="str">
        <f t="shared" si="97"/>
        <v>{5303001,1,1800,2200}</v>
      </c>
      <c r="AP316" s="142" t="s">
        <v>210</v>
      </c>
      <c r="AQ316" s="142"/>
    </row>
    <row r="317" spans="1:43">
      <c r="A317" s="143" t="str">
        <f t="shared" si="98"/>
        <v>[{2,1,146000,146000},{5103001,1,20000,20000}]</v>
      </c>
      <c r="B317" s="98">
        <f t="shared" si="99"/>
        <v>7</v>
      </c>
      <c r="C317" s="144">
        <v>146</v>
      </c>
      <c r="D317" s="145">
        <f t="shared" si="100"/>
        <v>292</v>
      </c>
      <c r="E317" s="145">
        <v>40</v>
      </c>
      <c r="F317" s="145">
        <v>20</v>
      </c>
      <c r="G317" s="146">
        <v>1</v>
      </c>
      <c r="H317" s="146">
        <v>6</v>
      </c>
      <c r="I317" s="146">
        <v>10</v>
      </c>
      <c r="J317" s="146">
        <v>5</v>
      </c>
      <c r="K317" s="146">
        <v>1</v>
      </c>
      <c r="L317" s="146">
        <v>1.5</v>
      </c>
      <c r="M317" s="145">
        <v>0.125</v>
      </c>
      <c r="N317" s="145">
        <v>0.5</v>
      </c>
      <c r="O317" s="145">
        <v>2</v>
      </c>
      <c r="P317" s="145">
        <v>0.013</v>
      </c>
      <c r="Q317" s="145">
        <f t="shared" si="84"/>
        <v>72.74</v>
      </c>
      <c r="R317" s="145">
        <f t="shared" si="85"/>
        <v>121.3</v>
      </c>
      <c r="S317" s="126">
        <f t="shared" si="101"/>
        <v>73</v>
      </c>
      <c r="T317" s="147">
        <f t="shared" si="86"/>
        <v>6.065</v>
      </c>
      <c r="U317" s="142" t="str">
        <f t="shared" si="102"/>
        <v>[{2,1,292000,292000},{5103001,1,20000,20000},{1,2,750,750},{50002,1,9000,11000},{30,1,11,14},{9,1,112,137}]</v>
      </c>
      <c r="V317" s="142" t="str">
        <f t="shared" si="103"/>
        <v>[{2,1,146000,146000},{5103001,1,40000,40000},{50002,1,6000,6000},{5203001,1,5000,5000},{21360,1,1000,1000},{5301000,1,900,1000},{5303001,1,1800,2200},{11,1,400,600}]</v>
      </c>
      <c r="X317" s="142" t="str">
        <f t="shared" si="87"/>
        <v>{2,1,292000,292000}</v>
      </c>
      <c r="Y317" s="142"/>
      <c r="Z317" s="142" t="str">
        <f t="shared" si="88"/>
        <v>{5103001,1,20000,20000}</v>
      </c>
      <c r="AA317" s="142" t="str">
        <f t="shared" si="104"/>
        <v>{1,2,750,750}</v>
      </c>
      <c r="AD317" s="142" t="str">
        <f t="shared" si="89"/>
        <v>{50002,1,9000,11000}</v>
      </c>
      <c r="AE317" s="142" t="str">
        <f t="shared" si="105"/>
        <v>{30,1,11,14}</v>
      </c>
      <c r="AG317" s="142" t="str">
        <f t="shared" si="90"/>
        <v>{9,1,112,137}</v>
      </c>
      <c r="AH317" s="142" t="str">
        <f t="shared" si="91"/>
        <v>{2,1,146000,146000}</v>
      </c>
      <c r="AI317" s="142" t="str">
        <f t="shared" si="92"/>
        <v>{5103001,1,40000,40000}</v>
      </c>
      <c r="AJ317" s="142" t="str">
        <f t="shared" si="93"/>
        <v>{50002,1,6000,6000}</v>
      </c>
      <c r="AK317" s="142" t="str">
        <f t="shared" si="94"/>
        <v>{5203001,1,5000,5000}</v>
      </c>
      <c r="AL317" s="142" t="str">
        <f t="shared" si="95"/>
        <v>{21360,1,1000,1000}</v>
      </c>
      <c r="AM317" s="142" t="str">
        <f t="shared" si="96"/>
        <v>{5301000,1,900,1000}</v>
      </c>
      <c r="AO317" s="142" t="str">
        <f t="shared" si="97"/>
        <v>{5303001,1,1800,2200}</v>
      </c>
      <c r="AP317" s="142" t="s">
        <v>210</v>
      </c>
      <c r="AQ317" s="142"/>
    </row>
    <row r="318" spans="1:43">
      <c r="A318" s="143" t="str">
        <f t="shared" si="98"/>
        <v>[{2,1,147000,147000},{5103001,1,20000,20000}]</v>
      </c>
      <c r="B318" s="98">
        <f t="shared" si="99"/>
        <v>8</v>
      </c>
      <c r="C318" s="144">
        <v>147</v>
      </c>
      <c r="D318" s="145">
        <f t="shared" si="100"/>
        <v>294</v>
      </c>
      <c r="E318" s="145">
        <v>40</v>
      </c>
      <c r="F318" s="145">
        <v>20</v>
      </c>
      <c r="G318" s="146">
        <v>1</v>
      </c>
      <c r="H318" s="146">
        <v>6</v>
      </c>
      <c r="I318" s="146">
        <v>10</v>
      </c>
      <c r="J318" s="146">
        <v>5</v>
      </c>
      <c r="K318" s="146">
        <v>1</v>
      </c>
      <c r="L318" s="146">
        <v>1.5</v>
      </c>
      <c r="M318" s="145">
        <v>0.125</v>
      </c>
      <c r="N318" s="145">
        <v>0.5</v>
      </c>
      <c r="O318" s="145">
        <v>2</v>
      </c>
      <c r="P318" s="145">
        <v>0.013</v>
      </c>
      <c r="Q318" s="145">
        <f t="shared" si="84"/>
        <v>72.84</v>
      </c>
      <c r="R318" s="145">
        <f t="shared" si="85"/>
        <v>121.35</v>
      </c>
      <c r="S318" s="126">
        <f t="shared" si="101"/>
        <v>73.5</v>
      </c>
      <c r="T318" s="147">
        <f t="shared" si="86"/>
        <v>6.0675</v>
      </c>
      <c r="U318" s="142" t="str">
        <f t="shared" si="102"/>
        <v>[{2,1,294000,294000},{5103001,1,20000,20000},{1,2,750,750},{50002,1,9000,11000},{30,1,11,14},{9,1,112,137}]</v>
      </c>
      <c r="V318" s="142" t="str">
        <f t="shared" si="103"/>
        <v>[{2,1,147000,147000},{5103001,1,40000,40000},{50002,1,6000,6000},{5203001,1,5000,5000},{21360,1,1000,1000},{5301000,1,900,1000},{5303001,1,1800,2200},{11,1,400,600}]</v>
      </c>
      <c r="X318" s="142" t="str">
        <f t="shared" si="87"/>
        <v>{2,1,294000,294000}</v>
      </c>
      <c r="Y318" s="142"/>
      <c r="Z318" s="142" t="str">
        <f t="shared" si="88"/>
        <v>{5103001,1,20000,20000}</v>
      </c>
      <c r="AA318" s="142" t="str">
        <f t="shared" si="104"/>
        <v>{1,2,750,750}</v>
      </c>
      <c r="AD318" s="142" t="str">
        <f t="shared" si="89"/>
        <v>{50002,1,9000,11000}</v>
      </c>
      <c r="AE318" s="142" t="str">
        <f t="shared" si="105"/>
        <v>{30,1,11,14}</v>
      </c>
      <c r="AG318" s="142" t="str">
        <f t="shared" si="90"/>
        <v>{9,1,112,137}</v>
      </c>
      <c r="AH318" s="142" t="str">
        <f t="shared" si="91"/>
        <v>{2,1,147000,147000}</v>
      </c>
      <c r="AI318" s="142" t="str">
        <f t="shared" si="92"/>
        <v>{5103001,1,40000,40000}</v>
      </c>
      <c r="AJ318" s="142" t="str">
        <f t="shared" si="93"/>
        <v>{50002,1,6000,6000}</v>
      </c>
      <c r="AK318" s="142" t="str">
        <f t="shared" si="94"/>
        <v>{5203001,1,5000,5000}</v>
      </c>
      <c r="AL318" s="142" t="str">
        <f t="shared" si="95"/>
        <v>{21360,1,1000,1000}</v>
      </c>
      <c r="AM318" s="142" t="str">
        <f t="shared" si="96"/>
        <v>{5301000,1,900,1000}</v>
      </c>
      <c r="AO318" s="142" t="str">
        <f t="shared" si="97"/>
        <v>{5303001,1,1800,2200}</v>
      </c>
      <c r="AP318" s="142" t="s">
        <v>210</v>
      </c>
      <c r="AQ318" s="142"/>
    </row>
    <row r="319" spans="1:43">
      <c r="A319" s="143" t="str">
        <f t="shared" si="98"/>
        <v>[{2,1,148000,148000},{5103001,1,20000,20000}]</v>
      </c>
      <c r="B319" s="98">
        <f t="shared" si="99"/>
        <v>9</v>
      </c>
      <c r="C319" s="144">
        <v>148</v>
      </c>
      <c r="D319" s="145">
        <f t="shared" si="100"/>
        <v>296</v>
      </c>
      <c r="E319" s="145">
        <v>40</v>
      </c>
      <c r="F319" s="145">
        <v>20</v>
      </c>
      <c r="G319" s="146">
        <v>1</v>
      </c>
      <c r="H319" s="146">
        <v>6</v>
      </c>
      <c r="I319" s="146">
        <v>10</v>
      </c>
      <c r="J319" s="146">
        <v>5</v>
      </c>
      <c r="K319" s="146">
        <v>1</v>
      </c>
      <c r="L319" s="146">
        <v>1.5</v>
      </c>
      <c r="M319" s="145">
        <v>0.125</v>
      </c>
      <c r="N319" s="145">
        <v>0.5</v>
      </c>
      <c r="O319" s="145">
        <v>2</v>
      </c>
      <c r="P319" s="145">
        <v>0.013</v>
      </c>
      <c r="Q319" s="145">
        <f t="shared" si="84"/>
        <v>72.94</v>
      </c>
      <c r="R319" s="145">
        <f t="shared" si="85"/>
        <v>121.4</v>
      </c>
      <c r="S319" s="126">
        <f t="shared" si="101"/>
        <v>74</v>
      </c>
      <c r="T319" s="147">
        <f t="shared" si="86"/>
        <v>6.07</v>
      </c>
      <c r="U319" s="142" t="str">
        <f t="shared" si="102"/>
        <v>[{2,1,296000,296000},{5103001,1,20000,20000},{1,2,750,750},{50002,1,9000,11000},{30,1,11,14},{9,1,112,137}]</v>
      </c>
      <c r="V319" s="142" t="str">
        <f t="shared" si="103"/>
        <v>[{2,1,148000,148000},{5103001,1,40000,40000},{50002,1,6000,6000},{5203001,1,5000,5000},{21360,1,1000,1000},{5301000,1,900,1000},{5303001,1,1800,2200},{11,1,400,600}]</v>
      </c>
      <c r="X319" s="142" t="str">
        <f t="shared" si="87"/>
        <v>{2,1,296000,296000}</v>
      </c>
      <c r="Y319" s="142"/>
      <c r="Z319" s="142" t="str">
        <f t="shared" si="88"/>
        <v>{5103001,1,20000,20000}</v>
      </c>
      <c r="AA319" s="142" t="str">
        <f t="shared" si="104"/>
        <v>{1,2,750,750}</v>
      </c>
      <c r="AD319" s="142" t="str">
        <f t="shared" si="89"/>
        <v>{50002,1,9000,11000}</v>
      </c>
      <c r="AE319" s="142" t="str">
        <f t="shared" si="105"/>
        <v>{30,1,11,14}</v>
      </c>
      <c r="AG319" s="142" t="str">
        <f t="shared" si="90"/>
        <v>{9,1,112,137}</v>
      </c>
      <c r="AH319" s="142" t="str">
        <f t="shared" si="91"/>
        <v>{2,1,148000,148000}</v>
      </c>
      <c r="AI319" s="142" t="str">
        <f t="shared" si="92"/>
        <v>{5103001,1,40000,40000}</v>
      </c>
      <c r="AJ319" s="142" t="str">
        <f t="shared" si="93"/>
        <v>{50002,1,6000,6000}</v>
      </c>
      <c r="AK319" s="142" t="str">
        <f t="shared" si="94"/>
        <v>{5203001,1,5000,5000}</v>
      </c>
      <c r="AL319" s="142" t="str">
        <f t="shared" si="95"/>
        <v>{21360,1,1000,1000}</v>
      </c>
      <c r="AM319" s="142" t="str">
        <f t="shared" si="96"/>
        <v>{5301000,1,900,1000}</v>
      </c>
      <c r="AO319" s="142" t="str">
        <f t="shared" si="97"/>
        <v>{5303001,1,1800,2200}</v>
      </c>
      <c r="AP319" s="142" t="s">
        <v>210</v>
      </c>
      <c r="AQ319" s="142"/>
    </row>
    <row r="320" spans="1:43">
      <c r="A320" s="143" t="str">
        <f t="shared" si="98"/>
        <v>[{2,1,149000,149000},{5103001,1,20000,20000}]</v>
      </c>
      <c r="B320" s="98">
        <f t="shared" si="99"/>
        <v>10</v>
      </c>
      <c r="C320" s="144">
        <v>149</v>
      </c>
      <c r="D320" s="145">
        <f t="shared" si="100"/>
        <v>298</v>
      </c>
      <c r="E320" s="145">
        <v>40</v>
      </c>
      <c r="F320" s="145">
        <v>20</v>
      </c>
      <c r="G320" s="146">
        <v>1</v>
      </c>
      <c r="H320" s="146">
        <v>6</v>
      </c>
      <c r="I320" s="146">
        <v>10</v>
      </c>
      <c r="J320" s="146">
        <v>5</v>
      </c>
      <c r="K320" s="146">
        <v>1</v>
      </c>
      <c r="L320" s="146">
        <v>1.5</v>
      </c>
      <c r="M320" s="145">
        <v>0.125</v>
      </c>
      <c r="N320" s="145">
        <v>0.5</v>
      </c>
      <c r="O320" s="145">
        <v>2</v>
      </c>
      <c r="P320" s="145">
        <v>0.013</v>
      </c>
      <c r="Q320" s="145">
        <f t="shared" si="84"/>
        <v>73.04</v>
      </c>
      <c r="R320" s="145">
        <f t="shared" si="85"/>
        <v>121.45</v>
      </c>
      <c r="S320" s="126">
        <f t="shared" si="101"/>
        <v>74.5</v>
      </c>
      <c r="T320" s="147">
        <f t="shared" si="86"/>
        <v>6.0725</v>
      </c>
      <c r="U320" s="142" t="str">
        <f t="shared" si="102"/>
        <v>[{2,1,298000,298000},{5103001,1,20000,20000},{1,2,750,750},{50002,1,9000,11000},{30,1,11,14},{9,1,112,137}]</v>
      </c>
      <c r="V320" s="142" t="str">
        <f t="shared" si="103"/>
        <v>[{2,1,149000,149000},{5103001,1,40000,40000},{50002,1,6000,6000},{5203001,1,5000,5000},{21360,1,1000,1000},{5301000,1,900,1000},{5303001,1,1800,2200},{11,1,400,600}]</v>
      </c>
      <c r="X320" s="142" t="str">
        <f t="shared" si="87"/>
        <v>{2,1,298000,298000}</v>
      </c>
      <c r="Y320" s="142"/>
      <c r="Z320" s="142" t="str">
        <f t="shared" si="88"/>
        <v>{5103001,1,20000,20000}</v>
      </c>
      <c r="AA320" s="142" t="str">
        <f t="shared" si="104"/>
        <v>{1,2,750,750}</v>
      </c>
      <c r="AD320" s="142" t="str">
        <f t="shared" si="89"/>
        <v>{50002,1,9000,11000}</v>
      </c>
      <c r="AE320" s="142" t="str">
        <f t="shared" si="105"/>
        <v>{30,1,11,14}</v>
      </c>
      <c r="AG320" s="142" t="str">
        <f t="shared" si="90"/>
        <v>{9,1,112,137}</v>
      </c>
      <c r="AH320" s="142" t="str">
        <f t="shared" si="91"/>
        <v>{2,1,149000,149000}</v>
      </c>
      <c r="AI320" s="142" t="str">
        <f t="shared" si="92"/>
        <v>{5103001,1,40000,40000}</v>
      </c>
      <c r="AJ320" s="142" t="str">
        <f t="shared" si="93"/>
        <v>{50002,1,6000,6000}</v>
      </c>
      <c r="AK320" s="142" t="str">
        <f t="shared" si="94"/>
        <v>{5203001,1,5000,5000}</v>
      </c>
      <c r="AL320" s="142" t="str">
        <f t="shared" si="95"/>
        <v>{21360,1,1000,1000}</v>
      </c>
      <c r="AM320" s="142" t="str">
        <f t="shared" si="96"/>
        <v>{5301000,1,900,1000}</v>
      </c>
      <c r="AO320" s="142" t="str">
        <f t="shared" si="97"/>
        <v>{5303001,1,1800,2200}</v>
      </c>
      <c r="AP320" s="142" t="s">
        <v>210</v>
      </c>
      <c r="AQ320" s="142"/>
    </row>
    <row r="321" spans="1:43">
      <c r="A321" s="143" t="str">
        <f t="shared" si="98"/>
        <v>[{2,1,150000,150000},{5103001,1,20000,20000}]</v>
      </c>
      <c r="B321" s="98">
        <f t="shared" si="99"/>
        <v>11</v>
      </c>
      <c r="C321" s="144">
        <v>150</v>
      </c>
      <c r="D321" s="145">
        <f t="shared" si="100"/>
        <v>300</v>
      </c>
      <c r="E321" s="145">
        <v>40</v>
      </c>
      <c r="F321" s="145">
        <v>20</v>
      </c>
      <c r="G321" s="146">
        <v>1</v>
      </c>
      <c r="H321" s="146">
        <v>6</v>
      </c>
      <c r="I321" s="146">
        <v>10</v>
      </c>
      <c r="J321" s="146">
        <v>5</v>
      </c>
      <c r="K321" s="146">
        <v>1</v>
      </c>
      <c r="L321" s="146">
        <v>1.5</v>
      </c>
      <c r="M321" s="145">
        <v>0.125</v>
      </c>
      <c r="N321" s="145">
        <v>0.5</v>
      </c>
      <c r="O321" s="145">
        <v>2</v>
      </c>
      <c r="P321" s="145">
        <v>0.013</v>
      </c>
      <c r="Q321" s="145">
        <f t="shared" si="84"/>
        <v>73.14</v>
      </c>
      <c r="R321" s="145">
        <f t="shared" si="85"/>
        <v>121.5</v>
      </c>
      <c r="S321" s="126">
        <f t="shared" si="101"/>
        <v>75</v>
      </c>
      <c r="T321" s="147">
        <f t="shared" si="86"/>
        <v>6.075</v>
      </c>
      <c r="U321" s="142" t="str">
        <f t="shared" si="102"/>
        <v>[{2,1,300000,300000},{5103001,1,20000,20000},{1,2,750,750},{50002,1,9000,11000},{30,1,11,14},{9,1,112,137}]</v>
      </c>
      <c r="V321" s="142" t="str">
        <f t="shared" si="103"/>
        <v>[{2,1,150000,150000},{5103001,1,40000,40000},{50002,1,6000,6000},{5203001,1,5000,5000},{21360,1,1000,1000},{5301000,1,900,1000},{5303001,1,1800,2200},{11,1,400,600}]</v>
      </c>
      <c r="X321" s="142" t="str">
        <f t="shared" si="87"/>
        <v>{2,1,300000,300000}</v>
      </c>
      <c r="Y321" s="142"/>
      <c r="Z321" s="142" t="str">
        <f t="shared" si="88"/>
        <v>{5103001,1,20000,20000}</v>
      </c>
      <c r="AA321" s="142" t="str">
        <f t="shared" si="104"/>
        <v>{1,2,750,750}</v>
      </c>
      <c r="AD321" s="142" t="str">
        <f t="shared" si="89"/>
        <v>{50002,1,9000,11000}</v>
      </c>
      <c r="AE321" s="142" t="str">
        <f t="shared" si="105"/>
        <v>{30,1,11,14}</v>
      </c>
      <c r="AG321" s="142" t="str">
        <f t="shared" si="90"/>
        <v>{9,1,112,137}</v>
      </c>
      <c r="AH321" s="142" t="str">
        <f t="shared" si="91"/>
        <v>{2,1,150000,150000}</v>
      </c>
      <c r="AI321" s="142" t="str">
        <f t="shared" si="92"/>
        <v>{5103001,1,40000,40000}</v>
      </c>
      <c r="AJ321" s="142" t="str">
        <f t="shared" si="93"/>
        <v>{50002,1,6000,6000}</v>
      </c>
      <c r="AK321" s="142" t="str">
        <f t="shared" si="94"/>
        <v>{5203001,1,5000,5000}</v>
      </c>
      <c r="AL321" s="142" t="str">
        <f t="shared" si="95"/>
        <v>{21360,1,1000,1000}</v>
      </c>
      <c r="AM321" s="142" t="str">
        <f t="shared" si="96"/>
        <v>{5301000,1,900,1000}</v>
      </c>
      <c r="AO321" s="142" t="str">
        <f t="shared" si="97"/>
        <v>{5303001,1,1800,2200}</v>
      </c>
      <c r="AP321" s="142" t="s">
        <v>210</v>
      </c>
      <c r="AQ321" s="142"/>
    </row>
    <row r="322" spans="1:43">
      <c r="A322" s="143" t="str">
        <f t="shared" si="98"/>
        <v>[{2,1,151000,151000},{5103001,1,20000,20000}]</v>
      </c>
      <c r="B322" s="98">
        <f t="shared" si="99"/>
        <v>12</v>
      </c>
      <c r="C322" s="144">
        <v>151</v>
      </c>
      <c r="D322" s="145">
        <f t="shared" si="100"/>
        <v>302</v>
      </c>
      <c r="E322" s="145">
        <v>40</v>
      </c>
      <c r="F322" s="145">
        <v>20</v>
      </c>
      <c r="G322" s="146">
        <v>1</v>
      </c>
      <c r="H322" s="146">
        <v>6</v>
      </c>
      <c r="I322" s="146">
        <v>10</v>
      </c>
      <c r="J322" s="146">
        <v>5</v>
      </c>
      <c r="K322" s="146">
        <v>1</v>
      </c>
      <c r="L322" s="146">
        <v>1.5</v>
      </c>
      <c r="M322" s="145">
        <v>0.125</v>
      </c>
      <c r="N322" s="145">
        <v>0.5</v>
      </c>
      <c r="O322" s="145">
        <v>2</v>
      </c>
      <c r="P322" s="145">
        <v>0.013</v>
      </c>
      <c r="Q322" s="145">
        <f t="shared" si="84"/>
        <v>73.24</v>
      </c>
      <c r="R322" s="145">
        <f t="shared" si="85"/>
        <v>121.55</v>
      </c>
      <c r="S322" s="126">
        <f t="shared" si="101"/>
        <v>75.5</v>
      </c>
      <c r="T322" s="147">
        <f t="shared" si="86"/>
        <v>6.0775</v>
      </c>
      <c r="U322" s="142" t="str">
        <f t="shared" si="102"/>
        <v>[{2,1,302000,302000},{5103001,1,20000,20000},{1,2,750,750},{50002,1,9000,11000},{30,1,11,14},{9,1,112,137}]</v>
      </c>
      <c r="V322" s="142" t="str">
        <f t="shared" si="103"/>
        <v>[{2,1,151000,151000},{5103001,1,40000,40000},{50002,1,6000,6000},{5203001,1,5000,5000},{21360,1,1000,1000},{5301000,1,900,1000},{5303001,1,1800,2200},{11,1,400,600}]</v>
      </c>
      <c r="X322" s="142" t="str">
        <f t="shared" si="87"/>
        <v>{2,1,302000,302000}</v>
      </c>
      <c r="Y322" s="142"/>
      <c r="Z322" s="142" t="str">
        <f t="shared" si="88"/>
        <v>{5103001,1,20000,20000}</v>
      </c>
      <c r="AA322" s="142" t="str">
        <f t="shared" si="104"/>
        <v>{1,2,750,750}</v>
      </c>
      <c r="AD322" s="142" t="str">
        <f t="shared" si="89"/>
        <v>{50002,1,9000,11000}</v>
      </c>
      <c r="AE322" s="142" t="str">
        <f t="shared" si="105"/>
        <v>{30,1,11,14}</v>
      </c>
      <c r="AG322" s="142" t="str">
        <f t="shared" si="90"/>
        <v>{9,1,112,137}</v>
      </c>
      <c r="AH322" s="142" t="str">
        <f t="shared" si="91"/>
        <v>{2,1,151000,151000}</v>
      </c>
      <c r="AI322" s="142" t="str">
        <f t="shared" si="92"/>
        <v>{5103001,1,40000,40000}</v>
      </c>
      <c r="AJ322" s="142" t="str">
        <f t="shared" si="93"/>
        <v>{50002,1,6000,6000}</v>
      </c>
      <c r="AK322" s="142" t="str">
        <f t="shared" si="94"/>
        <v>{5203001,1,5000,5000}</v>
      </c>
      <c r="AL322" s="142" t="str">
        <f t="shared" si="95"/>
        <v>{21360,1,1000,1000}</v>
      </c>
      <c r="AM322" s="142" t="str">
        <f t="shared" si="96"/>
        <v>{5301000,1,900,1000}</v>
      </c>
      <c r="AO322" s="142" t="str">
        <f t="shared" si="97"/>
        <v>{5303001,1,1800,2200}</v>
      </c>
      <c r="AP322" s="142" t="s">
        <v>210</v>
      </c>
      <c r="AQ322" s="142"/>
    </row>
    <row r="323" spans="1:43">
      <c r="A323" s="143" t="str">
        <f t="shared" si="98"/>
        <v>[{2,1,152000,152000},{5103001,1,20000,20000}]</v>
      </c>
      <c r="B323" s="98">
        <f t="shared" si="99"/>
        <v>13</v>
      </c>
      <c r="C323" s="144">
        <v>152</v>
      </c>
      <c r="D323" s="145">
        <f t="shared" si="100"/>
        <v>304</v>
      </c>
      <c r="E323" s="145">
        <v>40</v>
      </c>
      <c r="F323" s="145">
        <v>20</v>
      </c>
      <c r="G323" s="146">
        <v>1</v>
      </c>
      <c r="H323" s="146">
        <v>6</v>
      </c>
      <c r="I323" s="146">
        <v>10</v>
      </c>
      <c r="J323" s="146">
        <v>5</v>
      </c>
      <c r="K323" s="146">
        <v>1</v>
      </c>
      <c r="L323" s="146">
        <v>1.5</v>
      </c>
      <c r="M323" s="145">
        <v>0.125</v>
      </c>
      <c r="N323" s="145">
        <v>0.5</v>
      </c>
      <c r="O323" s="145">
        <v>2</v>
      </c>
      <c r="P323" s="145">
        <v>0.013</v>
      </c>
      <c r="Q323" s="145">
        <f t="shared" si="84"/>
        <v>73.34</v>
      </c>
      <c r="R323" s="145">
        <f t="shared" si="85"/>
        <v>121.6</v>
      </c>
      <c r="S323" s="126">
        <f t="shared" si="101"/>
        <v>76</v>
      </c>
      <c r="T323" s="147">
        <f t="shared" si="86"/>
        <v>6.08</v>
      </c>
      <c r="U323" s="142" t="str">
        <f t="shared" si="102"/>
        <v>[{2,1,304000,304000},{5103001,1,20000,20000},{1,2,750,750},{50002,1,9000,11000},{30,1,11,14},{9,1,112,137}]</v>
      </c>
      <c r="V323" s="142" t="str">
        <f t="shared" si="103"/>
        <v>[{2,1,152000,152000},{5103001,1,40000,40000},{50002,1,6000,6000},{5203001,1,5000,5000},{21360,1,1000,1000},{5301000,1,900,1000},{5303001,1,1800,2200},{11,1,400,600}]</v>
      </c>
      <c r="X323" s="142" t="str">
        <f t="shared" si="87"/>
        <v>{2,1,304000,304000}</v>
      </c>
      <c r="Y323" s="142"/>
      <c r="Z323" s="142" t="str">
        <f t="shared" si="88"/>
        <v>{5103001,1,20000,20000}</v>
      </c>
      <c r="AA323" s="142" t="str">
        <f t="shared" si="104"/>
        <v>{1,2,750,750}</v>
      </c>
      <c r="AD323" s="142" t="str">
        <f t="shared" si="89"/>
        <v>{50002,1,9000,11000}</v>
      </c>
      <c r="AE323" s="142" t="str">
        <f t="shared" si="105"/>
        <v>{30,1,11,14}</v>
      </c>
      <c r="AG323" s="142" t="str">
        <f t="shared" si="90"/>
        <v>{9,1,112,137}</v>
      </c>
      <c r="AH323" s="142" t="str">
        <f t="shared" si="91"/>
        <v>{2,1,152000,152000}</v>
      </c>
      <c r="AI323" s="142" t="str">
        <f t="shared" si="92"/>
        <v>{5103001,1,40000,40000}</v>
      </c>
      <c r="AJ323" s="142" t="str">
        <f t="shared" si="93"/>
        <v>{50002,1,6000,6000}</v>
      </c>
      <c r="AK323" s="142" t="str">
        <f t="shared" si="94"/>
        <v>{5203001,1,5000,5000}</v>
      </c>
      <c r="AL323" s="142" t="str">
        <f t="shared" si="95"/>
        <v>{21360,1,1000,1000}</v>
      </c>
      <c r="AM323" s="142" t="str">
        <f t="shared" si="96"/>
        <v>{5301000,1,900,1000}</v>
      </c>
      <c r="AO323" s="142" t="str">
        <f t="shared" si="97"/>
        <v>{5303001,1,1800,2200}</v>
      </c>
      <c r="AP323" s="142" t="s">
        <v>210</v>
      </c>
      <c r="AQ323" s="142"/>
    </row>
    <row r="324" spans="1:43">
      <c r="A324" s="143" t="str">
        <f t="shared" si="98"/>
        <v>[{2,1,153000,153000},{5103001,1,20000,20000}]</v>
      </c>
      <c r="B324" s="98">
        <f t="shared" si="99"/>
        <v>14</v>
      </c>
      <c r="C324" s="144">
        <v>153</v>
      </c>
      <c r="D324" s="145">
        <f t="shared" si="100"/>
        <v>306</v>
      </c>
      <c r="E324" s="145">
        <v>40</v>
      </c>
      <c r="F324" s="145">
        <v>20</v>
      </c>
      <c r="G324" s="146">
        <v>1</v>
      </c>
      <c r="H324" s="146">
        <v>6</v>
      </c>
      <c r="I324" s="146">
        <v>10</v>
      </c>
      <c r="J324" s="146">
        <v>5</v>
      </c>
      <c r="K324" s="146">
        <v>1</v>
      </c>
      <c r="L324" s="146">
        <v>1.5</v>
      </c>
      <c r="M324" s="145">
        <v>0.125</v>
      </c>
      <c r="N324" s="145">
        <v>0.5</v>
      </c>
      <c r="O324" s="145">
        <v>2</v>
      </c>
      <c r="P324" s="145">
        <v>0.013</v>
      </c>
      <c r="Q324" s="145">
        <f t="shared" si="84"/>
        <v>73.44</v>
      </c>
      <c r="R324" s="145">
        <f t="shared" si="85"/>
        <v>121.65</v>
      </c>
      <c r="S324" s="126">
        <f t="shared" si="101"/>
        <v>76.5</v>
      </c>
      <c r="T324" s="147">
        <f t="shared" si="86"/>
        <v>6.0825</v>
      </c>
      <c r="U324" s="142" t="str">
        <f t="shared" si="102"/>
        <v>[{2,1,306000,306000},{5103001,1,20000,20000},{1,2,750,750},{50002,1,9000,11000},{30,1,11,14},{9,1,112,137}]</v>
      </c>
      <c r="V324" s="142" t="str">
        <f t="shared" si="103"/>
        <v>[{2,1,153000,153000},{5103001,1,40000,40000},{50002,1,6000,6000},{5203001,1,5000,5000},{21360,1,1000,1000},{5301000,1,900,1000},{5303001,1,1800,2200},{11,1,400,600}]</v>
      </c>
      <c r="X324" s="142" t="str">
        <f t="shared" si="87"/>
        <v>{2,1,306000,306000}</v>
      </c>
      <c r="Y324" s="142"/>
      <c r="Z324" s="142" t="str">
        <f t="shared" si="88"/>
        <v>{5103001,1,20000,20000}</v>
      </c>
      <c r="AA324" s="142" t="str">
        <f t="shared" si="104"/>
        <v>{1,2,750,750}</v>
      </c>
      <c r="AD324" s="142" t="str">
        <f t="shared" si="89"/>
        <v>{50002,1,9000,11000}</v>
      </c>
      <c r="AE324" s="142" t="str">
        <f t="shared" si="105"/>
        <v>{30,1,11,14}</v>
      </c>
      <c r="AG324" s="142" t="str">
        <f t="shared" si="90"/>
        <v>{9,1,112,137}</v>
      </c>
      <c r="AH324" s="142" t="str">
        <f t="shared" si="91"/>
        <v>{2,1,153000,153000}</v>
      </c>
      <c r="AI324" s="142" t="str">
        <f t="shared" si="92"/>
        <v>{5103001,1,40000,40000}</v>
      </c>
      <c r="AJ324" s="142" t="str">
        <f t="shared" si="93"/>
        <v>{50002,1,6000,6000}</v>
      </c>
      <c r="AK324" s="142" t="str">
        <f t="shared" si="94"/>
        <v>{5203001,1,5000,5000}</v>
      </c>
      <c r="AL324" s="142" t="str">
        <f t="shared" si="95"/>
        <v>{21360,1,1000,1000}</v>
      </c>
      <c r="AM324" s="142" t="str">
        <f t="shared" si="96"/>
        <v>{5301000,1,900,1000}</v>
      </c>
      <c r="AO324" s="142" t="str">
        <f t="shared" si="97"/>
        <v>{5303001,1,1800,2200}</v>
      </c>
      <c r="AP324" s="142" t="s">
        <v>210</v>
      </c>
      <c r="AQ324" s="142"/>
    </row>
    <row r="325" spans="1:43">
      <c r="A325" s="143" t="str">
        <f t="shared" si="98"/>
        <v>[{2,1,154000,154000},{5103001,1,20000,20000}]</v>
      </c>
      <c r="B325" s="98">
        <f t="shared" si="99"/>
        <v>15</v>
      </c>
      <c r="C325" s="144">
        <v>154</v>
      </c>
      <c r="D325" s="145">
        <f t="shared" ref="D312:D375" si="106">C325</f>
        <v>154</v>
      </c>
      <c r="E325" s="145">
        <v>40</v>
      </c>
      <c r="F325" s="145">
        <v>20</v>
      </c>
      <c r="G325" s="146">
        <v>1</v>
      </c>
      <c r="H325" s="146">
        <v>6</v>
      </c>
      <c r="I325" s="146">
        <v>10</v>
      </c>
      <c r="J325" s="146">
        <v>5</v>
      </c>
      <c r="K325" s="146">
        <v>1</v>
      </c>
      <c r="L325" s="146">
        <v>1.5</v>
      </c>
      <c r="M325" s="145">
        <v>0.125</v>
      </c>
      <c r="N325" s="145">
        <v>0.5</v>
      </c>
      <c r="O325" s="145">
        <v>2</v>
      </c>
      <c r="P325" s="145">
        <v>0.013</v>
      </c>
      <c r="Q325" s="145" cm="1">
        <f t="array" ref="Q325">SUMPRODUCT($C$306:$P$306,--($C$307:$P$307=Q$310),$C325:$P325)</f>
        <v>65.84</v>
      </c>
      <c r="R325" s="145">
        <f t="shared" si="85"/>
        <v>121.7</v>
      </c>
      <c r="S325" s="126">
        <f t="shared" si="101"/>
        <v>77</v>
      </c>
      <c r="T325" s="147">
        <f t="shared" si="86"/>
        <v>6.085</v>
      </c>
      <c r="U325" s="142" t="str">
        <f t="shared" si="102"/>
        <v>[{2,1,154000,154000},{5103001,1,20000,20000},{1,2,750,750},{50002,1,9000,11000},{30,1,11,14},{9,1,112,137}]</v>
      </c>
      <c r="V325" s="142" t="str">
        <f t="shared" si="103"/>
        <v>[{2,1,154000,154000},{5103001,1,40000,40000},{50002,1,6000,6000},{5203001,1,5000,5000},{21360,1,1000,1000},{5301000,1,900,1000},{5303001,1,1800,2200},{11,1,400,600}]</v>
      </c>
      <c r="X325" s="142" t="str">
        <f t="shared" si="87"/>
        <v>{2,1,154000,154000}</v>
      </c>
      <c r="Y325" s="142"/>
      <c r="Z325" s="142" t="str">
        <f t="shared" si="88"/>
        <v>{5103001,1,20000,20000}</v>
      </c>
      <c r="AA325" s="142" t="str">
        <f t="shared" si="104"/>
        <v>{1,2,750,750}</v>
      </c>
      <c r="AD325" s="142" t="str">
        <f t="shared" si="89"/>
        <v>{50002,1,9000,11000}</v>
      </c>
      <c r="AE325" s="142" t="str">
        <f t="shared" si="105"/>
        <v>{30,1,11,14}</v>
      </c>
      <c r="AG325" s="142" t="str">
        <f t="shared" si="90"/>
        <v>{9,1,112,137}</v>
      </c>
      <c r="AH325" s="142" t="str">
        <f t="shared" si="91"/>
        <v>{2,1,154000,154000}</v>
      </c>
      <c r="AI325" s="142" t="str">
        <f t="shared" si="92"/>
        <v>{5103001,1,40000,40000}</v>
      </c>
      <c r="AJ325" s="142" t="str">
        <f t="shared" si="93"/>
        <v>{50002,1,6000,6000}</v>
      </c>
      <c r="AK325" s="142" t="str">
        <f t="shared" si="94"/>
        <v>{5203001,1,5000,5000}</v>
      </c>
      <c r="AL325" s="142" t="str">
        <f t="shared" si="95"/>
        <v>{21360,1,1000,1000}</v>
      </c>
      <c r="AM325" s="142" t="str">
        <f t="shared" si="96"/>
        <v>{5301000,1,900,1000}</v>
      </c>
      <c r="AO325" s="142" t="str">
        <f t="shared" si="97"/>
        <v>{5303001,1,1800,2200}</v>
      </c>
      <c r="AP325" s="142" t="s">
        <v>210</v>
      </c>
      <c r="AQ325" s="142"/>
    </row>
    <row r="326" spans="1:43">
      <c r="A326" s="143" t="str">
        <f t="shared" si="98"/>
        <v>[{2,1,155000,155000},{5103001,1,20000,20000}]</v>
      </c>
      <c r="B326" s="98">
        <f t="shared" si="99"/>
        <v>16</v>
      </c>
      <c r="C326" s="144">
        <v>155</v>
      </c>
      <c r="D326" s="145">
        <f t="shared" si="106"/>
        <v>155</v>
      </c>
      <c r="E326" s="145">
        <v>40</v>
      </c>
      <c r="F326" s="145">
        <v>20</v>
      </c>
      <c r="G326" s="146">
        <v>1</v>
      </c>
      <c r="H326" s="146">
        <v>6</v>
      </c>
      <c r="I326" s="146">
        <v>10</v>
      </c>
      <c r="J326" s="146">
        <v>5</v>
      </c>
      <c r="K326" s="146">
        <v>1</v>
      </c>
      <c r="L326" s="146">
        <v>1.5</v>
      </c>
      <c r="M326" s="145">
        <v>0.125</v>
      </c>
      <c r="N326" s="145">
        <v>0.5</v>
      </c>
      <c r="O326" s="145">
        <v>2</v>
      </c>
      <c r="P326" s="145">
        <v>0.013</v>
      </c>
      <c r="Q326" s="145">
        <f t="shared" si="84"/>
        <v>65.89</v>
      </c>
      <c r="R326" s="145">
        <f t="shared" si="85"/>
        <v>121.75</v>
      </c>
      <c r="S326" s="126">
        <f t="shared" si="101"/>
        <v>77.5</v>
      </c>
      <c r="T326" s="147">
        <f t="shared" si="86"/>
        <v>6.0875</v>
      </c>
      <c r="U326" s="142" t="str">
        <f t="shared" si="102"/>
        <v>[{2,1,155000,155000},{5103001,1,20000,20000},{1,2,750,750},{50002,1,9000,11000},{30,1,11,14},{9,1,112,137}]</v>
      </c>
      <c r="V326" s="142" t="str">
        <f t="shared" si="103"/>
        <v>[{2,1,155000,155000},{5103001,1,40000,40000},{50002,1,6000,6000},{5203001,1,5000,5000},{21360,1,1000,1000},{5301000,1,900,1000},{5303001,1,1800,2200},{11,1,400,600}]</v>
      </c>
      <c r="X326" s="142" t="str">
        <f t="shared" si="87"/>
        <v>{2,1,155000,155000}</v>
      </c>
      <c r="Y326" s="142"/>
      <c r="Z326" s="142" t="str">
        <f t="shared" si="88"/>
        <v>{5103001,1,20000,20000}</v>
      </c>
      <c r="AA326" s="142" t="str">
        <f t="shared" si="104"/>
        <v>{1,2,750,750}</v>
      </c>
      <c r="AD326" s="142" t="str">
        <f t="shared" si="89"/>
        <v>{50002,1,9000,11000}</v>
      </c>
      <c r="AE326" s="142" t="str">
        <f t="shared" si="105"/>
        <v>{30,1,11,14}</v>
      </c>
      <c r="AG326" s="142" t="str">
        <f t="shared" si="90"/>
        <v>{9,1,112,137}</v>
      </c>
      <c r="AH326" s="142" t="str">
        <f t="shared" si="91"/>
        <v>{2,1,155000,155000}</v>
      </c>
      <c r="AI326" s="142" t="str">
        <f t="shared" si="92"/>
        <v>{5103001,1,40000,40000}</v>
      </c>
      <c r="AJ326" s="142" t="str">
        <f t="shared" si="93"/>
        <v>{50002,1,6000,6000}</v>
      </c>
      <c r="AK326" s="142" t="str">
        <f t="shared" si="94"/>
        <v>{5203001,1,5000,5000}</v>
      </c>
      <c r="AL326" s="142" t="str">
        <f t="shared" si="95"/>
        <v>{21360,1,1000,1000}</v>
      </c>
      <c r="AM326" s="142" t="str">
        <f t="shared" si="96"/>
        <v>{5301000,1,900,1000}</v>
      </c>
      <c r="AO326" s="142" t="str">
        <f t="shared" si="97"/>
        <v>{5303001,1,1800,2200}</v>
      </c>
      <c r="AP326" s="142" t="s">
        <v>210</v>
      </c>
      <c r="AQ326" s="142"/>
    </row>
    <row r="327" spans="1:43">
      <c r="A327" s="143" t="str">
        <f t="shared" si="98"/>
        <v>[{2,1,156000,156000},{5103001,1,20000,20000}]</v>
      </c>
      <c r="B327" s="98">
        <f t="shared" si="99"/>
        <v>17</v>
      </c>
      <c r="C327" s="144">
        <v>156</v>
      </c>
      <c r="D327" s="145">
        <f t="shared" si="106"/>
        <v>156</v>
      </c>
      <c r="E327" s="145">
        <v>40</v>
      </c>
      <c r="F327" s="145">
        <v>20</v>
      </c>
      <c r="G327" s="146">
        <v>1</v>
      </c>
      <c r="H327" s="146">
        <v>6</v>
      </c>
      <c r="I327" s="146">
        <v>10</v>
      </c>
      <c r="J327" s="146">
        <v>5</v>
      </c>
      <c r="K327" s="146">
        <v>1</v>
      </c>
      <c r="L327" s="146">
        <v>1.5</v>
      </c>
      <c r="M327" s="145">
        <v>0.125</v>
      </c>
      <c r="N327" s="145">
        <v>0.5</v>
      </c>
      <c r="O327" s="145">
        <v>2</v>
      </c>
      <c r="P327" s="145">
        <v>0.013</v>
      </c>
      <c r="Q327" s="145">
        <f t="shared" si="84"/>
        <v>65.94</v>
      </c>
      <c r="R327" s="145">
        <f t="shared" si="85"/>
        <v>121.8</v>
      </c>
      <c r="S327" s="126">
        <f t="shared" si="101"/>
        <v>78</v>
      </c>
      <c r="T327" s="147">
        <f t="shared" si="86"/>
        <v>6.09</v>
      </c>
      <c r="U327" s="142" t="str">
        <f t="shared" si="102"/>
        <v>[{2,1,156000,156000},{5103001,1,20000,20000},{1,2,750,750},{50002,1,9000,11000},{30,1,11,14},{9,1,112,137}]</v>
      </c>
      <c r="V327" s="142" t="str">
        <f t="shared" si="103"/>
        <v>[{2,1,156000,156000},{5103001,1,40000,40000},{50002,1,6000,6000},{5203001,1,5000,5000},{21360,1,1000,1000},{5301000,1,900,1000},{5303001,1,1800,2200},{11,1,400,600}]</v>
      </c>
      <c r="X327" s="142" t="str">
        <f t="shared" si="87"/>
        <v>{2,1,156000,156000}</v>
      </c>
      <c r="Y327" s="142"/>
      <c r="Z327" s="142" t="str">
        <f t="shared" si="88"/>
        <v>{5103001,1,20000,20000}</v>
      </c>
      <c r="AA327" s="142" t="str">
        <f t="shared" si="104"/>
        <v>{1,2,750,750}</v>
      </c>
      <c r="AD327" s="142" t="str">
        <f t="shared" si="89"/>
        <v>{50002,1,9000,11000}</v>
      </c>
      <c r="AE327" s="142" t="str">
        <f t="shared" si="105"/>
        <v>{30,1,11,14}</v>
      </c>
      <c r="AG327" s="142" t="str">
        <f t="shared" si="90"/>
        <v>{9,1,112,137}</v>
      </c>
      <c r="AH327" s="142" t="str">
        <f t="shared" si="91"/>
        <v>{2,1,156000,156000}</v>
      </c>
      <c r="AI327" s="142" t="str">
        <f t="shared" si="92"/>
        <v>{5103001,1,40000,40000}</v>
      </c>
      <c r="AJ327" s="142" t="str">
        <f t="shared" si="93"/>
        <v>{50002,1,6000,6000}</v>
      </c>
      <c r="AK327" s="142" t="str">
        <f t="shared" si="94"/>
        <v>{5203001,1,5000,5000}</v>
      </c>
      <c r="AL327" s="142" t="str">
        <f t="shared" si="95"/>
        <v>{21360,1,1000,1000}</v>
      </c>
      <c r="AM327" s="142" t="str">
        <f t="shared" si="96"/>
        <v>{5301000,1,900,1000}</v>
      </c>
      <c r="AO327" s="142" t="str">
        <f t="shared" si="97"/>
        <v>{5303001,1,1800,2200}</v>
      </c>
      <c r="AP327" s="142" t="s">
        <v>210</v>
      </c>
      <c r="AQ327" s="142"/>
    </row>
    <row r="328" spans="1:43">
      <c r="A328" s="143" t="str">
        <f t="shared" si="98"/>
        <v>[{2,1,157000,157000},{5103001,1,20000,20000}]</v>
      </c>
      <c r="B328" s="98">
        <f t="shared" si="99"/>
        <v>18</v>
      </c>
      <c r="C328" s="144">
        <v>157</v>
      </c>
      <c r="D328" s="145">
        <f t="shared" si="106"/>
        <v>157</v>
      </c>
      <c r="E328" s="145">
        <v>40</v>
      </c>
      <c r="F328" s="145">
        <v>20</v>
      </c>
      <c r="G328" s="146">
        <v>1</v>
      </c>
      <c r="H328" s="146">
        <v>6</v>
      </c>
      <c r="I328" s="146">
        <v>10</v>
      </c>
      <c r="J328" s="146">
        <v>5</v>
      </c>
      <c r="K328" s="146">
        <v>1</v>
      </c>
      <c r="L328" s="146">
        <v>1.5</v>
      </c>
      <c r="M328" s="145">
        <v>0.125</v>
      </c>
      <c r="N328" s="145">
        <v>0.5</v>
      </c>
      <c r="O328" s="145">
        <v>2</v>
      </c>
      <c r="P328" s="145">
        <v>0.013</v>
      </c>
      <c r="Q328" s="145">
        <f t="shared" si="84"/>
        <v>65.99</v>
      </c>
      <c r="R328" s="145">
        <f t="shared" si="85"/>
        <v>121.85</v>
      </c>
      <c r="S328" s="126">
        <f t="shared" si="101"/>
        <v>78.5</v>
      </c>
      <c r="T328" s="147">
        <f t="shared" si="86"/>
        <v>6.0925</v>
      </c>
      <c r="U328" s="142" t="str">
        <f t="shared" si="102"/>
        <v>[{2,1,157000,157000},{5103001,1,20000,20000},{1,2,750,750},{50002,1,9000,11000},{30,1,11,14},{9,1,112,137}]</v>
      </c>
      <c r="V328" s="142" t="str">
        <f t="shared" si="103"/>
        <v>[{2,1,157000,157000},{5103001,1,40000,40000},{50002,1,6000,6000},{5203001,1,5000,5000},{21360,1,1000,1000},{5301000,1,900,1000},{5303001,1,1800,2200},{11,1,400,600}]</v>
      </c>
      <c r="X328" s="142" t="str">
        <f t="shared" si="87"/>
        <v>{2,1,157000,157000}</v>
      </c>
      <c r="Y328" s="142"/>
      <c r="Z328" s="142" t="str">
        <f t="shared" si="88"/>
        <v>{5103001,1,20000,20000}</v>
      </c>
      <c r="AA328" s="142" t="str">
        <f t="shared" si="104"/>
        <v>{1,2,750,750}</v>
      </c>
      <c r="AD328" s="142" t="str">
        <f t="shared" si="89"/>
        <v>{50002,1,9000,11000}</v>
      </c>
      <c r="AE328" s="142" t="str">
        <f t="shared" si="105"/>
        <v>{30,1,11,14}</v>
      </c>
      <c r="AG328" s="142" t="str">
        <f t="shared" si="90"/>
        <v>{9,1,112,137}</v>
      </c>
      <c r="AH328" s="142" t="str">
        <f t="shared" si="91"/>
        <v>{2,1,157000,157000}</v>
      </c>
      <c r="AI328" s="142" t="str">
        <f t="shared" si="92"/>
        <v>{5103001,1,40000,40000}</v>
      </c>
      <c r="AJ328" s="142" t="str">
        <f t="shared" si="93"/>
        <v>{50002,1,6000,6000}</v>
      </c>
      <c r="AK328" s="142" t="str">
        <f t="shared" si="94"/>
        <v>{5203001,1,5000,5000}</v>
      </c>
      <c r="AL328" s="142" t="str">
        <f t="shared" si="95"/>
        <v>{21360,1,1000,1000}</v>
      </c>
      <c r="AM328" s="142" t="str">
        <f t="shared" si="96"/>
        <v>{5301000,1,900,1000}</v>
      </c>
      <c r="AO328" s="142" t="str">
        <f t="shared" si="97"/>
        <v>{5303001,1,1800,2200}</v>
      </c>
      <c r="AP328" s="142" t="s">
        <v>210</v>
      </c>
      <c r="AQ328" s="142"/>
    </row>
    <row r="329" spans="1:43">
      <c r="A329" s="143" t="str">
        <f t="shared" si="98"/>
        <v>[{2,1,158000,158000},{5103001,1,20000,20000}]</v>
      </c>
      <c r="B329" s="98">
        <f t="shared" si="99"/>
        <v>19</v>
      </c>
      <c r="C329" s="144">
        <v>158</v>
      </c>
      <c r="D329" s="145">
        <f t="shared" si="106"/>
        <v>158</v>
      </c>
      <c r="E329" s="145">
        <v>40</v>
      </c>
      <c r="F329" s="145">
        <v>20</v>
      </c>
      <c r="G329" s="146">
        <v>1</v>
      </c>
      <c r="H329" s="146">
        <v>6</v>
      </c>
      <c r="I329" s="146">
        <v>10</v>
      </c>
      <c r="J329" s="146">
        <v>5</v>
      </c>
      <c r="K329" s="146">
        <v>1</v>
      </c>
      <c r="L329" s="146">
        <v>1.5</v>
      </c>
      <c r="M329" s="145">
        <v>0.125</v>
      </c>
      <c r="N329" s="145">
        <v>0.5</v>
      </c>
      <c r="O329" s="145">
        <v>2</v>
      </c>
      <c r="P329" s="145">
        <v>0.013</v>
      </c>
      <c r="Q329" s="145">
        <f t="shared" si="84"/>
        <v>66.04</v>
      </c>
      <c r="R329" s="145">
        <f t="shared" si="85"/>
        <v>121.9</v>
      </c>
      <c r="S329" s="126">
        <f t="shared" si="101"/>
        <v>79</v>
      </c>
      <c r="T329" s="147">
        <f t="shared" si="86"/>
        <v>6.095</v>
      </c>
      <c r="U329" s="142" t="str">
        <f t="shared" si="102"/>
        <v>[{2,1,158000,158000},{5103001,1,20000,20000},{1,2,750,750},{50002,1,9000,11000},{30,1,11,14},{9,1,112,137}]</v>
      </c>
      <c r="V329" s="142" t="str">
        <f t="shared" si="103"/>
        <v>[{2,1,158000,158000},{5103001,1,40000,40000},{50002,1,6000,6000},{5203001,1,5000,5000},{21360,1,1000,1000},{5301000,1,900,1000},{5303001,1,1800,2200},{11,1,400,600}]</v>
      </c>
      <c r="X329" s="142" t="str">
        <f t="shared" si="87"/>
        <v>{2,1,158000,158000}</v>
      </c>
      <c r="Y329" s="142"/>
      <c r="Z329" s="142" t="str">
        <f t="shared" si="88"/>
        <v>{5103001,1,20000,20000}</v>
      </c>
      <c r="AA329" s="142" t="str">
        <f t="shared" si="104"/>
        <v>{1,2,750,750}</v>
      </c>
      <c r="AD329" s="142" t="str">
        <f t="shared" si="89"/>
        <v>{50002,1,9000,11000}</v>
      </c>
      <c r="AE329" s="142" t="str">
        <f t="shared" si="105"/>
        <v>{30,1,11,14}</v>
      </c>
      <c r="AG329" s="142" t="str">
        <f t="shared" si="90"/>
        <v>{9,1,112,137}</v>
      </c>
      <c r="AH329" s="142" t="str">
        <f t="shared" si="91"/>
        <v>{2,1,158000,158000}</v>
      </c>
      <c r="AI329" s="142" t="str">
        <f t="shared" si="92"/>
        <v>{5103001,1,40000,40000}</v>
      </c>
      <c r="AJ329" s="142" t="str">
        <f t="shared" si="93"/>
        <v>{50002,1,6000,6000}</v>
      </c>
      <c r="AK329" s="142" t="str">
        <f t="shared" si="94"/>
        <v>{5203001,1,5000,5000}</v>
      </c>
      <c r="AL329" s="142" t="str">
        <f t="shared" si="95"/>
        <v>{21360,1,1000,1000}</v>
      </c>
      <c r="AM329" s="142" t="str">
        <f t="shared" si="96"/>
        <v>{5301000,1,900,1000}</v>
      </c>
      <c r="AO329" s="142" t="str">
        <f t="shared" si="97"/>
        <v>{5303001,1,1800,2200}</v>
      </c>
      <c r="AP329" s="142" t="s">
        <v>210</v>
      </c>
      <c r="AQ329" s="142"/>
    </row>
    <row r="330" spans="1:43">
      <c r="A330" s="143" t="str">
        <f t="shared" si="98"/>
        <v>[{2,1,159000,159000},{5103001,1,20000,20000}]</v>
      </c>
      <c r="B330" s="98">
        <f t="shared" si="99"/>
        <v>20</v>
      </c>
      <c r="C330" s="144">
        <v>159</v>
      </c>
      <c r="D330" s="145">
        <f t="shared" si="106"/>
        <v>159</v>
      </c>
      <c r="E330" s="145">
        <v>40</v>
      </c>
      <c r="F330" s="145">
        <v>20</v>
      </c>
      <c r="G330" s="146">
        <v>1</v>
      </c>
      <c r="H330" s="146">
        <v>6</v>
      </c>
      <c r="I330" s="146">
        <v>10</v>
      </c>
      <c r="J330" s="146">
        <v>5</v>
      </c>
      <c r="K330" s="146">
        <v>1</v>
      </c>
      <c r="L330" s="146">
        <v>1.5</v>
      </c>
      <c r="M330" s="145">
        <v>0.125</v>
      </c>
      <c r="N330" s="145">
        <v>0.5</v>
      </c>
      <c r="O330" s="145">
        <v>2</v>
      </c>
      <c r="P330" s="145">
        <v>0.013</v>
      </c>
      <c r="Q330" s="145">
        <f t="shared" si="84"/>
        <v>66.09</v>
      </c>
      <c r="R330" s="145">
        <f t="shared" si="85"/>
        <v>121.95</v>
      </c>
      <c r="S330" s="126">
        <f t="shared" si="101"/>
        <v>79.5</v>
      </c>
      <c r="T330" s="147">
        <f t="shared" si="86"/>
        <v>6.0975</v>
      </c>
      <c r="U330" s="142" t="str">
        <f t="shared" si="102"/>
        <v>[{2,1,159000,159000},{5103001,1,20000,20000},{1,2,750,750},{50002,1,9000,11000},{30,1,11,14},{9,1,112,137}]</v>
      </c>
      <c r="V330" s="142" t="str">
        <f t="shared" si="103"/>
        <v>[{2,1,159000,159000},{5103001,1,40000,40000},{50002,1,6000,6000},{5203001,1,5000,5000},{21360,1,1000,1000},{5301000,1,900,1000},{5303001,1,1800,2200},{11,1,400,600}]</v>
      </c>
      <c r="X330" s="142" t="str">
        <f t="shared" si="87"/>
        <v>{2,1,159000,159000}</v>
      </c>
      <c r="Y330" s="142"/>
      <c r="Z330" s="142" t="str">
        <f t="shared" si="88"/>
        <v>{5103001,1,20000,20000}</v>
      </c>
      <c r="AA330" s="142" t="str">
        <f t="shared" si="104"/>
        <v>{1,2,750,750}</v>
      </c>
      <c r="AD330" s="142" t="str">
        <f t="shared" si="89"/>
        <v>{50002,1,9000,11000}</v>
      </c>
      <c r="AE330" s="142" t="str">
        <f t="shared" si="105"/>
        <v>{30,1,11,14}</v>
      </c>
      <c r="AG330" s="142" t="str">
        <f t="shared" si="90"/>
        <v>{9,1,112,137}</v>
      </c>
      <c r="AH330" s="142" t="str">
        <f t="shared" si="91"/>
        <v>{2,1,159000,159000}</v>
      </c>
      <c r="AI330" s="142" t="str">
        <f t="shared" si="92"/>
        <v>{5103001,1,40000,40000}</v>
      </c>
      <c r="AJ330" s="142" t="str">
        <f t="shared" si="93"/>
        <v>{50002,1,6000,6000}</v>
      </c>
      <c r="AK330" s="142" t="str">
        <f t="shared" si="94"/>
        <v>{5203001,1,5000,5000}</v>
      </c>
      <c r="AL330" s="142" t="str">
        <f t="shared" si="95"/>
        <v>{21360,1,1000,1000}</v>
      </c>
      <c r="AM330" s="142" t="str">
        <f t="shared" si="96"/>
        <v>{5301000,1,900,1000}</v>
      </c>
      <c r="AO330" s="142" t="str">
        <f t="shared" si="97"/>
        <v>{5303001,1,1800,2200}</v>
      </c>
      <c r="AP330" s="142" t="s">
        <v>210</v>
      </c>
      <c r="AQ330" s="142"/>
    </row>
    <row r="331" spans="1:43">
      <c r="A331" s="143" t="str">
        <f t="shared" si="98"/>
        <v>[{2,1,160000,160000},{5103001,1,20000,20000}]</v>
      </c>
      <c r="B331" s="98">
        <f t="shared" si="99"/>
        <v>21</v>
      </c>
      <c r="C331" s="144">
        <v>160</v>
      </c>
      <c r="D331" s="145">
        <f t="shared" si="106"/>
        <v>160</v>
      </c>
      <c r="E331" s="145">
        <v>40</v>
      </c>
      <c r="F331" s="145">
        <v>20</v>
      </c>
      <c r="G331" s="146">
        <v>1</v>
      </c>
      <c r="H331" s="146">
        <v>6</v>
      </c>
      <c r="I331" s="146">
        <v>10</v>
      </c>
      <c r="J331" s="146">
        <v>5</v>
      </c>
      <c r="K331" s="146">
        <v>1</v>
      </c>
      <c r="L331" s="146">
        <v>1.5</v>
      </c>
      <c r="M331" s="145">
        <v>0.125</v>
      </c>
      <c r="N331" s="145">
        <v>0.5</v>
      </c>
      <c r="O331" s="145">
        <v>2</v>
      </c>
      <c r="P331" s="145">
        <v>0.013</v>
      </c>
      <c r="Q331" s="145">
        <f t="shared" si="84"/>
        <v>66.14</v>
      </c>
      <c r="R331" s="145">
        <f t="shared" si="85"/>
        <v>122</v>
      </c>
      <c r="S331" s="126">
        <f t="shared" si="101"/>
        <v>80</v>
      </c>
      <c r="T331" s="147">
        <f t="shared" si="86"/>
        <v>6.1</v>
      </c>
      <c r="U331" s="142" t="str">
        <f t="shared" si="102"/>
        <v>[{2,1,160000,160000},{5103001,1,20000,20000},{1,2,750,750},{50002,1,9000,11000},{30,1,11,14},{9,1,112,137}]</v>
      </c>
      <c r="V331" s="142" t="str">
        <f t="shared" si="103"/>
        <v>[{2,1,160000,160000},{5103001,1,40000,40000},{50002,1,6000,6000},{5203001,1,5000,5000},{21360,1,1000,1000},{5301000,1,900,1000},{5303001,1,1800,2200},{11,1,400,600}]</v>
      </c>
      <c r="X331" s="142" t="str">
        <f t="shared" si="87"/>
        <v>{2,1,160000,160000}</v>
      </c>
      <c r="Y331" s="142"/>
      <c r="Z331" s="142" t="str">
        <f t="shared" si="88"/>
        <v>{5103001,1,20000,20000}</v>
      </c>
      <c r="AA331" s="142" t="str">
        <f t="shared" si="104"/>
        <v>{1,2,750,750}</v>
      </c>
      <c r="AD331" s="142" t="str">
        <f t="shared" si="89"/>
        <v>{50002,1,9000,11000}</v>
      </c>
      <c r="AE331" s="142" t="str">
        <f t="shared" si="105"/>
        <v>{30,1,11,14}</v>
      </c>
      <c r="AG331" s="142" t="str">
        <f t="shared" si="90"/>
        <v>{9,1,112,137}</v>
      </c>
      <c r="AH331" s="142" t="str">
        <f t="shared" si="91"/>
        <v>{2,1,160000,160000}</v>
      </c>
      <c r="AI331" s="142" t="str">
        <f t="shared" si="92"/>
        <v>{5103001,1,40000,40000}</v>
      </c>
      <c r="AJ331" s="142" t="str">
        <f t="shared" si="93"/>
        <v>{50002,1,6000,6000}</v>
      </c>
      <c r="AK331" s="142" t="str">
        <f t="shared" si="94"/>
        <v>{5203001,1,5000,5000}</v>
      </c>
      <c r="AL331" s="142" t="str">
        <f t="shared" si="95"/>
        <v>{21360,1,1000,1000}</v>
      </c>
      <c r="AM331" s="142" t="str">
        <f t="shared" si="96"/>
        <v>{5301000,1,900,1000}</v>
      </c>
      <c r="AO331" s="142" t="str">
        <f t="shared" si="97"/>
        <v>{5303001,1,1800,2200}</v>
      </c>
      <c r="AP331" s="142" t="s">
        <v>210</v>
      </c>
      <c r="AQ331" s="142"/>
    </row>
    <row r="332" spans="1:43">
      <c r="A332" s="143" t="str">
        <f t="shared" si="98"/>
        <v>[{2,1,161000,161000},{5103001,1,20000,20000}]</v>
      </c>
      <c r="B332" s="98">
        <f t="shared" si="99"/>
        <v>22</v>
      </c>
      <c r="C332" s="144">
        <v>161</v>
      </c>
      <c r="D332" s="145">
        <f t="shared" si="106"/>
        <v>161</v>
      </c>
      <c r="E332" s="145">
        <v>40</v>
      </c>
      <c r="F332" s="145">
        <v>20</v>
      </c>
      <c r="G332" s="146">
        <v>1</v>
      </c>
      <c r="H332" s="146">
        <v>6</v>
      </c>
      <c r="I332" s="146">
        <v>10</v>
      </c>
      <c r="J332" s="146">
        <v>5</v>
      </c>
      <c r="K332" s="146">
        <v>1</v>
      </c>
      <c r="L332" s="146">
        <v>1.5</v>
      </c>
      <c r="M332" s="145">
        <v>0.125</v>
      </c>
      <c r="N332" s="145">
        <v>0.5</v>
      </c>
      <c r="O332" s="145">
        <v>2</v>
      </c>
      <c r="P332" s="145">
        <v>0.013</v>
      </c>
      <c r="Q332" s="145">
        <f t="shared" si="84"/>
        <v>66.19</v>
      </c>
      <c r="R332" s="145">
        <f t="shared" si="85"/>
        <v>122.05</v>
      </c>
      <c r="S332" s="126">
        <f t="shared" si="101"/>
        <v>80.5</v>
      </c>
      <c r="T332" s="147">
        <f t="shared" si="86"/>
        <v>6.1025</v>
      </c>
      <c r="U332" s="142" t="str">
        <f t="shared" si="102"/>
        <v>[{2,1,161000,161000},{5103001,1,20000,20000},{1,2,750,750},{50002,1,9000,11000},{30,1,11,14},{9,1,112,137}]</v>
      </c>
      <c r="V332" s="142" t="str">
        <f t="shared" si="103"/>
        <v>[{2,1,161000,161000},{5103001,1,40000,40000},{50002,1,6000,6000},{5203001,1,5000,5000},{21360,1,1000,1000},{5301000,1,900,1000},{5303001,1,1800,2200},{11,1,400,600}]</v>
      </c>
      <c r="X332" s="142" t="str">
        <f t="shared" si="87"/>
        <v>{2,1,161000,161000}</v>
      </c>
      <c r="Y332" s="142"/>
      <c r="Z332" s="142" t="str">
        <f t="shared" si="88"/>
        <v>{5103001,1,20000,20000}</v>
      </c>
      <c r="AA332" s="142" t="str">
        <f t="shared" si="104"/>
        <v>{1,2,750,750}</v>
      </c>
      <c r="AD332" s="142" t="str">
        <f t="shared" si="89"/>
        <v>{50002,1,9000,11000}</v>
      </c>
      <c r="AE332" s="142" t="str">
        <f t="shared" si="105"/>
        <v>{30,1,11,14}</v>
      </c>
      <c r="AG332" s="142" t="str">
        <f t="shared" si="90"/>
        <v>{9,1,112,137}</v>
      </c>
      <c r="AH332" s="142" t="str">
        <f t="shared" si="91"/>
        <v>{2,1,161000,161000}</v>
      </c>
      <c r="AI332" s="142" t="str">
        <f t="shared" si="92"/>
        <v>{5103001,1,40000,40000}</v>
      </c>
      <c r="AJ332" s="142" t="str">
        <f t="shared" si="93"/>
        <v>{50002,1,6000,6000}</v>
      </c>
      <c r="AK332" s="142" t="str">
        <f t="shared" si="94"/>
        <v>{5203001,1,5000,5000}</v>
      </c>
      <c r="AL332" s="142" t="str">
        <f t="shared" si="95"/>
        <v>{21360,1,1000,1000}</v>
      </c>
      <c r="AM332" s="142" t="str">
        <f t="shared" si="96"/>
        <v>{5301000,1,900,1000}</v>
      </c>
      <c r="AO332" s="142" t="str">
        <f t="shared" si="97"/>
        <v>{5303001,1,1800,2200}</v>
      </c>
      <c r="AP332" s="142" t="s">
        <v>210</v>
      </c>
      <c r="AQ332" s="142"/>
    </row>
    <row r="333" spans="1:43">
      <c r="A333" s="143" t="str">
        <f t="shared" si="98"/>
        <v>[{2,1,162000,162000},{5103001,1,20000,20000}]</v>
      </c>
      <c r="B333" s="98">
        <f t="shared" si="99"/>
        <v>23</v>
      </c>
      <c r="C333" s="144">
        <v>162</v>
      </c>
      <c r="D333" s="145">
        <f t="shared" si="106"/>
        <v>162</v>
      </c>
      <c r="E333" s="145">
        <v>40</v>
      </c>
      <c r="F333" s="145">
        <v>20</v>
      </c>
      <c r="G333" s="146">
        <v>1</v>
      </c>
      <c r="H333" s="146">
        <v>6</v>
      </c>
      <c r="I333" s="146">
        <v>10</v>
      </c>
      <c r="J333" s="146">
        <v>5</v>
      </c>
      <c r="K333" s="146">
        <v>1</v>
      </c>
      <c r="L333" s="146">
        <v>1.5</v>
      </c>
      <c r="M333" s="145">
        <v>0.125</v>
      </c>
      <c r="N333" s="145">
        <v>0.5</v>
      </c>
      <c r="O333" s="145">
        <v>2</v>
      </c>
      <c r="P333" s="145">
        <v>0.013</v>
      </c>
      <c r="Q333" s="145">
        <f t="shared" si="84"/>
        <v>66.24</v>
      </c>
      <c r="R333" s="145">
        <f t="shared" si="85"/>
        <v>122.1</v>
      </c>
      <c r="S333" s="126">
        <f t="shared" si="101"/>
        <v>81</v>
      </c>
      <c r="T333" s="147">
        <f t="shared" si="86"/>
        <v>6.105</v>
      </c>
      <c r="U333" s="142" t="str">
        <f t="shared" si="102"/>
        <v>[{2,1,162000,162000},{5103001,1,20000,20000},{1,2,750,750},{50002,1,9000,11000},{30,1,11,14},{9,1,112,137}]</v>
      </c>
      <c r="V333" s="142" t="str">
        <f t="shared" si="103"/>
        <v>[{2,1,162000,162000},{5103001,1,40000,40000},{50002,1,6000,6000},{5203001,1,5000,5000},{21360,1,1000,1000},{5301000,1,900,1000},{5303001,1,1800,2200},{11,1,400,600}]</v>
      </c>
      <c r="X333" s="142" t="str">
        <f t="shared" si="87"/>
        <v>{2,1,162000,162000}</v>
      </c>
      <c r="Y333" s="142"/>
      <c r="Z333" s="142" t="str">
        <f t="shared" si="88"/>
        <v>{5103001,1,20000,20000}</v>
      </c>
      <c r="AA333" s="142" t="str">
        <f t="shared" si="104"/>
        <v>{1,2,750,750}</v>
      </c>
      <c r="AD333" s="142" t="str">
        <f t="shared" si="89"/>
        <v>{50002,1,9000,11000}</v>
      </c>
      <c r="AE333" s="142" t="str">
        <f t="shared" si="105"/>
        <v>{30,1,11,14}</v>
      </c>
      <c r="AG333" s="142" t="str">
        <f t="shared" si="90"/>
        <v>{9,1,112,137}</v>
      </c>
      <c r="AH333" s="142" t="str">
        <f t="shared" si="91"/>
        <v>{2,1,162000,162000}</v>
      </c>
      <c r="AI333" s="142" t="str">
        <f t="shared" si="92"/>
        <v>{5103001,1,40000,40000}</v>
      </c>
      <c r="AJ333" s="142" t="str">
        <f t="shared" si="93"/>
        <v>{50002,1,6000,6000}</v>
      </c>
      <c r="AK333" s="142" t="str">
        <f t="shared" si="94"/>
        <v>{5203001,1,5000,5000}</v>
      </c>
      <c r="AL333" s="142" t="str">
        <f t="shared" si="95"/>
        <v>{21360,1,1000,1000}</v>
      </c>
      <c r="AM333" s="142" t="str">
        <f t="shared" si="96"/>
        <v>{5301000,1,900,1000}</v>
      </c>
      <c r="AO333" s="142" t="str">
        <f t="shared" si="97"/>
        <v>{5303001,1,1800,2200}</v>
      </c>
      <c r="AP333" s="142" t="s">
        <v>210</v>
      </c>
      <c r="AQ333" s="142"/>
    </row>
    <row r="334" spans="1:43">
      <c r="A334" s="143" t="str">
        <f t="shared" si="98"/>
        <v>[{2,1,163000,163000},{5103001,1,20000,20000}]</v>
      </c>
      <c r="B334" s="98">
        <f t="shared" si="99"/>
        <v>24</v>
      </c>
      <c r="C334" s="144">
        <v>163</v>
      </c>
      <c r="D334" s="145">
        <f t="shared" si="106"/>
        <v>163</v>
      </c>
      <c r="E334" s="145">
        <v>40</v>
      </c>
      <c r="F334" s="145">
        <v>20</v>
      </c>
      <c r="G334" s="146">
        <v>1</v>
      </c>
      <c r="H334" s="146">
        <v>6</v>
      </c>
      <c r="I334" s="146">
        <v>10</v>
      </c>
      <c r="J334" s="146">
        <v>5</v>
      </c>
      <c r="K334" s="146">
        <v>1</v>
      </c>
      <c r="L334" s="146">
        <v>1.5</v>
      </c>
      <c r="M334" s="145">
        <v>0.125</v>
      </c>
      <c r="N334" s="145">
        <v>0.5</v>
      </c>
      <c r="O334" s="145">
        <v>2</v>
      </c>
      <c r="P334" s="145">
        <v>0.013</v>
      </c>
      <c r="Q334" s="145">
        <f t="shared" si="84"/>
        <v>66.29</v>
      </c>
      <c r="R334" s="145">
        <f t="shared" si="85"/>
        <v>122.15</v>
      </c>
      <c r="S334" s="126">
        <f t="shared" si="101"/>
        <v>81.5</v>
      </c>
      <c r="T334" s="147">
        <f t="shared" si="86"/>
        <v>6.1075</v>
      </c>
      <c r="U334" s="142" t="str">
        <f t="shared" si="102"/>
        <v>[{2,1,163000,163000},{5103001,1,20000,20000},{1,2,750,750},{50002,1,9000,11000},{30,1,11,14},{9,1,112,137}]</v>
      </c>
      <c r="V334" s="142" t="str">
        <f t="shared" si="103"/>
        <v>[{2,1,163000,163000},{5103001,1,40000,40000},{50002,1,6000,6000},{5203001,1,5000,5000},{21360,1,1000,1000},{5301000,1,900,1000},{5303001,1,1800,2200},{11,1,400,600}]</v>
      </c>
      <c r="X334" s="142" t="str">
        <f t="shared" si="87"/>
        <v>{2,1,163000,163000}</v>
      </c>
      <c r="Y334" s="142"/>
      <c r="Z334" s="142" t="str">
        <f t="shared" si="88"/>
        <v>{5103001,1,20000,20000}</v>
      </c>
      <c r="AA334" s="142" t="str">
        <f t="shared" si="104"/>
        <v>{1,2,750,750}</v>
      </c>
      <c r="AD334" s="142" t="str">
        <f t="shared" si="89"/>
        <v>{50002,1,9000,11000}</v>
      </c>
      <c r="AE334" s="142" t="str">
        <f t="shared" si="105"/>
        <v>{30,1,11,14}</v>
      </c>
      <c r="AG334" s="142" t="str">
        <f t="shared" si="90"/>
        <v>{9,1,112,137}</v>
      </c>
      <c r="AH334" s="142" t="str">
        <f t="shared" si="91"/>
        <v>{2,1,163000,163000}</v>
      </c>
      <c r="AI334" s="142" t="str">
        <f t="shared" si="92"/>
        <v>{5103001,1,40000,40000}</v>
      </c>
      <c r="AJ334" s="142" t="str">
        <f t="shared" si="93"/>
        <v>{50002,1,6000,6000}</v>
      </c>
      <c r="AK334" s="142" t="str">
        <f t="shared" si="94"/>
        <v>{5203001,1,5000,5000}</v>
      </c>
      <c r="AL334" s="142" t="str">
        <f t="shared" si="95"/>
        <v>{21360,1,1000,1000}</v>
      </c>
      <c r="AM334" s="142" t="str">
        <f t="shared" si="96"/>
        <v>{5301000,1,900,1000}</v>
      </c>
      <c r="AO334" s="142" t="str">
        <f t="shared" si="97"/>
        <v>{5303001,1,1800,2200}</v>
      </c>
      <c r="AP334" s="142" t="s">
        <v>210</v>
      </c>
      <c r="AQ334" s="142"/>
    </row>
    <row r="335" spans="1:43">
      <c r="A335" s="143" t="str">
        <f t="shared" si="98"/>
        <v>[{2,1,164000,164000},{5103001,1,20000,20000}]</v>
      </c>
      <c r="B335" s="98">
        <f t="shared" si="99"/>
        <v>25</v>
      </c>
      <c r="C335" s="144">
        <v>164</v>
      </c>
      <c r="D335" s="145">
        <f t="shared" si="106"/>
        <v>164</v>
      </c>
      <c r="E335" s="145">
        <v>40</v>
      </c>
      <c r="F335" s="145">
        <v>20</v>
      </c>
      <c r="G335" s="146">
        <v>1</v>
      </c>
      <c r="H335" s="146">
        <v>6</v>
      </c>
      <c r="I335" s="146">
        <v>10</v>
      </c>
      <c r="J335" s="146">
        <v>5</v>
      </c>
      <c r="K335" s="146">
        <v>1</v>
      </c>
      <c r="L335" s="146">
        <v>1.5</v>
      </c>
      <c r="M335" s="145">
        <v>0.125</v>
      </c>
      <c r="N335" s="145">
        <v>0.5</v>
      </c>
      <c r="O335" s="145">
        <v>2</v>
      </c>
      <c r="P335" s="145">
        <v>0.013</v>
      </c>
      <c r="Q335" s="145">
        <f t="shared" si="84"/>
        <v>66.34</v>
      </c>
      <c r="R335" s="145">
        <f t="shared" si="85"/>
        <v>122.2</v>
      </c>
      <c r="S335" s="126">
        <f t="shared" si="101"/>
        <v>82</v>
      </c>
      <c r="T335" s="147">
        <f t="shared" si="86"/>
        <v>6.11</v>
      </c>
      <c r="U335" s="142" t="str">
        <f t="shared" si="102"/>
        <v>[{2,1,164000,164000},{5103001,1,20000,20000},{1,2,750,750},{50002,1,9000,11000},{30,1,11,14},{9,1,112,137}]</v>
      </c>
      <c r="V335" s="142" t="str">
        <f t="shared" si="103"/>
        <v>[{2,1,164000,164000},{5103001,1,40000,40000},{50002,1,6000,6000},{5203001,1,5000,5000},{21360,1,1000,1000},{5301000,1,900,1000},{5303001,1,1800,2200},{11,1,400,600}]</v>
      </c>
      <c r="X335" s="142" t="str">
        <f t="shared" si="87"/>
        <v>{2,1,164000,164000}</v>
      </c>
      <c r="Y335" s="142"/>
      <c r="Z335" s="142" t="str">
        <f t="shared" si="88"/>
        <v>{5103001,1,20000,20000}</v>
      </c>
      <c r="AA335" s="142" t="str">
        <f t="shared" si="104"/>
        <v>{1,2,750,750}</v>
      </c>
      <c r="AD335" s="142" t="str">
        <f t="shared" si="89"/>
        <v>{50002,1,9000,11000}</v>
      </c>
      <c r="AE335" s="142" t="str">
        <f t="shared" si="105"/>
        <v>{30,1,11,14}</v>
      </c>
      <c r="AG335" s="142" t="str">
        <f t="shared" si="90"/>
        <v>{9,1,112,137}</v>
      </c>
      <c r="AH335" s="142" t="str">
        <f t="shared" si="91"/>
        <v>{2,1,164000,164000}</v>
      </c>
      <c r="AI335" s="142" t="str">
        <f t="shared" si="92"/>
        <v>{5103001,1,40000,40000}</v>
      </c>
      <c r="AJ335" s="142" t="str">
        <f t="shared" si="93"/>
        <v>{50002,1,6000,6000}</v>
      </c>
      <c r="AK335" s="142" t="str">
        <f t="shared" si="94"/>
        <v>{5203001,1,5000,5000}</v>
      </c>
      <c r="AL335" s="142" t="str">
        <f t="shared" si="95"/>
        <v>{21360,1,1000,1000}</v>
      </c>
      <c r="AM335" s="142" t="str">
        <f t="shared" si="96"/>
        <v>{5301000,1,900,1000}</v>
      </c>
      <c r="AO335" s="142" t="str">
        <f t="shared" si="97"/>
        <v>{5303001,1,1800,2200}</v>
      </c>
      <c r="AP335" s="142" t="s">
        <v>210</v>
      </c>
      <c r="AQ335" s="142"/>
    </row>
    <row r="336" spans="1:43">
      <c r="A336" s="143" t="str">
        <f t="shared" si="98"/>
        <v>[{2,1,165000,165000},{5103001,1,20000,20000}]</v>
      </c>
      <c r="B336" s="98">
        <f t="shared" si="99"/>
        <v>26</v>
      </c>
      <c r="C336" s="144">
        <v>165</v>
      </c>
      <c r="D336" s="145">
        <f t="shared" si="106"/>
        <v>165</v>
      </c>
      <c r="E336" s="145">
        <v>40</v>
      </c>
      <c r="F336" s="145">
        <v>20</v>
      </c>
      <c r="G336" s="146">
        <v>1</v>
      </c>
      <c r="H336" s="146">
        <v>6</v>
      </c>
      <c r="I336" s="146">
        <v>10</v>
      </c>
      <c r="J336" s="146">
        <v>5</v>
      </c>
      <c r="K336" s="146">
        <v>1</v>
      </c>
      <c r="L336" s="146">
        <v>1.5</v>
      </c>
      <c r="M336" s="145">
        <v>0.125</v>
      </c>
      <c r="N336" s="145">
        <v>0.5</v>
      </c>
      <c r="O336" s="145">
        <v>2</v>
      </c>
      <c r="P336" s="145">
        <v>0.013</v>
      </c>
      <c r="Q336" s="145">
        <f t="shared" si="84"/>
        <v>66.39</v>
      </c>
      <c r="R336" s="145">
        <f t="shared" si="85"/>
        <v>122.25</v>
      </c>
      <c r="S336" s="126">
        <f t="shared" si="101"/>
        <v>82.5</v>
      </c>
      <c r="T336" s="147">
        <f t="shared" si="86"/>
        <v>6.1125</v>
      </c>
      <c r="U336" s="142" t="str">
        <f t="shared" si="102"/>
        <v>[{2,1,165000,165000},{5103001,1,20000,20000},{1,2,750,750},{50002,1,9000,11000},{30,1,11,14},{9,1,112,137}]</v>
      </c>
      <c r="V336" s="142" t="str">
        <f t="shared" si="103"/>
        <v>[{2,1,165000,165000},{5103001,1,40000,40000},{50002,1,6000,6000},{5203001,1,5000,5000},{21360,1,1000,1000},{5301000,1,900,1000},{5303001,1,1800,2200},{11,1,400,600}]</v>
      </c>
      <c r="X336" s="142" t="str">
        <f t="shared" si="87"/>
        <v>{2,1,165000,165000}</v>
      </c>
      <c r="Y336" s="142"/>
      <c r="Z336" s="142" t="str">
        <f t="shared" si="88"/>
        <v>{5103001,1,20000,20000}</v>
      </c>
      <c r="AA336" s="142" t="str">
        <f t="shared" si="104"/>
        <v>{1,2,750,750}</v>
      </c>
      <c r="AD336" s="142" t="str">
        <f t="shared" si="89"/>
        <v>{50002,1,9000,11000}</v>
      </c>
      <c r="AE336" s="142" t="str">
        <f t="shared" si="105"/>
        <v>{30,1,11,14}</v>
      </c>
      <c r="AG336" s="142" t="str">
        <f t="shared" si="90"/>
        <v>{9,1,112,137}</v>
      </c>
      <c r="AH336" s="142" t="str">
        <f t="shared" si="91"/>
        <v>{2,1,165000,165000}</v>
      </c>
      <c r="AI336" s="142" t="str">
        <f t="shared" si="92"/>
        <v>{5103001,1,40000,40000}</v>
      </c>
      <c r="AJ336" s="142" t="str">
        <f t="shared" si="93"/>
        <v>{50002,1,6000,6000}</v>
      </c>
      <c r="AK336" s="142" t="str">
        <f t="shared" si="94"/>
        <v>{5203001,1,5000,5000}</v>
      </c>
      <c r="AL336" s="142" t="str">
        <f t="shared" si="95"/>
        <v>{21360,1,1000,1000}</v>
      </c>
      <c r="AM336" s="142" t="str">
        <f t="shared" si="96"/>
        <v>{5301000,1,900,1000}</v>
      </c>
      <c r="AO336" s="142" t="str">
        <f t="shared" si="97"/>
        <v>{5303001,1,1800,2200}</v>
      </c>
      <c r="AP336" s="142" t="s">
        <v>210</v>
      </c>
      <c r="AQ336" s="142"/>
    </row>
    <row r="337" spans="1:43">
      <c r="A337" s="143" t="str">
        <f t="shared" si="98"/>
        <v>[{2,1,166000,166000},{5103001,1,20000,20000}]</v>
      </c>
      <c r="B337" s="98">
        <f t="shared" si="99"/>
        <v>27</v>
      </c>
      <c r="C337" s="144">
        <v>166</v>
      </c>
      <c r="D337" s="145">
        <f t="shared" si="106"/>
        <v>166</v>
      </c>
      <c r="E337" s="145">
        <v>40</v>
      </c>
      <c r="F337" s="145">
        <v>20</v>
      </c>
      <c r="G337" s="146">
        <v>1</v>
      </c>
      <c r="H337" s="146">
        <v>6</v>
      </c>
      <c r="I337" s="146">
        <v>10</v>
      </c>
      <c r="J337" s="146">
        <v>5</v>
      </c>
      <c r="K337" s="146">
        <v>1</v>
      </c>
      <c r="L337" s="146">
        <v>1.5</v>
      </c>
      <c r="M337" s="145">
        <v>0.125</v>
      </c>
      <c r="N337" s="145">
        <v>0.5</v>
      </c>
      <c r="O337" s="145">
        <v>2</v>
      </c>
      <c r="P337" s="145">
        <v>0.013</v>
      </c>
      <c r="Q337" s="145">
        <f t="shared" si="84"/>
        <v>66.44</v>
      </c>
      <c r="R337" s="145">
        <f t="shared" si="85"/>
        <v>122.3</v>
      </c>
      <c r="S337" s="126">
        <f t="shared" si="101"/>
        <v>83</v>
      </c>
      <c r="T337" s="147">
        <f t="shared" si="86"/>
        <v>6.115</v>
      </c>
      <c r="U337" s="142" t="str">
        <f t="shared" si="102"/>
        <v>[{2,1,166000,166000},{5103001,1,20000,20000},{1,2,750,750},{50002,1,9000,11000},{30,1,11,14},{9,1,112,137}]</v>
      </c>
      <c r="V337" s="142" t="str">
        <f t="shared" si="103"/>
        <v>[{2,1,166000,166000},{5103001,1,40000,40000},{50002,1,6000,6000},{5203001,1,5000,5000},{21360,1,1000,1000},{5301000,1,900,1000},{5303001,1,1800,2200},{11,1,400,600}]</v>
      </c>
      <c r="X337" s="142" t="str">
        <f t="shared" si="87"/>
        <v>{2,1,166000,166000}</v>
      </c>
      <c r="Y337" s="142"/>
      <c r="Z337" s="142" t="str">
        <f t="shared" si="88"/>
        <v>{5103001,1,20000,20000}</v>
      </c>
      <c r="AA337" s="142" t="str">
        <f t="shared" si="104"/>
        <v>{1,2,750,750}</v>
      </c>
      <c r="AD337" s="142" t="str">
        <f t="shared" si="89"/>
        <v>{50002,1,9000,11000}</v>
      </c>
      <c r="AE337" s="142" t="str">
        <f t="shared" si="105"/>
        <v>{30,1,11,14}</v>
      </c>
      <c r="AG337" s="142" t="str">
        <f t="shared" si="90"/>
        <v>{9,1,112,137}</v>
      </c>
      <c r="AH337" s="142" t="str">
        <f t="shared" si="91"/>
        <v>{2,1,166000,166000}</v>
      </c>
      <c r="AI337" s="142" t="str">
        <f t="shared" si="92"/>
        <v>{5103001,1,40000,40000}</v>
      </c>
      <c r="AJ337" s="142" t="str">
        <f t="shared" si="93"/>
        <v>{50002,1,6000,6000}</v>
      </c>
      <c r="AK337" s="142" t="str">
        <f t="shared" si="94"/>
        <v>{5203001,1,5000,5000}</v>
      </c>
      <c r="AL337" s="142" t="str">
        <f t="shared" si="95"/>
        <v>{21360,1,1000,1000}</v>
      </c>
      <c r="AM337" s="142" t="str">
        <f t="shared" si="96"/>
        <v>{5301000,1,900,1000}</v>
      </c>
      <c r="AO337" s="142" t="str">
        <f t="shared" si="97"/>
        <v>{5303001,1,1800,2200}</v>
      </c>
      <c r="AP337" s="142" t="s">
        <v>210</v>
      </c>
      <c r="AQ337" s="142"/>
    </row>
    <row r="338" spans="1:43">
      <c r="A338" s="143" t="str">
        <f t="shared" si="98"/>
        <v>[{2,1,167000,167000},{5103001,1,20000,20000}]</v>
      </c>
      <c r="B338" s="98">
        <f t="shared" si="99"/>
        <v>28</v>
      </c>
      <c r="C338" s="144">
        <v>167</v>
      </c>
      <c r="D338" s="145">
        <f t="shared" si="106"/>
        <v>167</v>
      </c>
      <c r="E338" s="145">
        <v>40</v>
      </c>
      <c r="F338" s="145">
        <v>20</v>
      </c>
      <c r="G338" s="146">
        <v>1</v>
      </c>
      <c r="H338" s="146">
        <v>6</v>
      </c>
      <c r="I338" s="146">
        <v>10</v>
      </c>
      <c r="J338" s="146">
        <v>5</v>
      </c>
      <c r="K338" s="146">
        <v>1</v>
      </c>
      <c r="L338" s="146">
        <v>1.5</v>
      </c>
      <c r="M338" s="145">
        <v>0.125</v>
      </c>
      <c r="N338" s="145">
        <v>0.5</v>
      </c>
      <c r="O338" s="145">
        <v>2</v>
      </c>
      <c r="P338" s="145">
        <v>0.013</v>
      </c>
      <c r="Q338" s="145">
        <f t="shared" si="84"/>
        <v>66.49</v>
      </c>
      <c r="R338" s="145">
        <f t="shared" si="85"/>
        <v>122.35</v>
      </c>
      <c r="S338" s="126">
        <f t="shared" si="101"/>
        <v>83.5</v>
      </c>
      <c r="T338" s="147">
        <f t="shared" si="86"/>
        <v>6.1175</v>
      </c>
      <c r="U338" s="142" t="str">
        <f t="shared" si="102"/>
        <v>[{2,1,167000,167000},{5103001,1,20000,20000},{1,2,750,750},{50002,1,9000,11000},{30,1,11,14},{9,1,112,137}]</v>
      </c>
      <c r="V338" s="142" t="str">
        <f t="shared" si="103"/>
        <v>[{2,1,167000,167000},{5103001,1,40000,40000},{50002,1,6000,6000},{5203001,1,5000,5000},{21360,1,1000,1000},{5301000,1,900,1000},{5303001,1,1800,2200},{11,1,400,600}]</v>
      </c>
      <c r="X338" s="142" t="str">
        <f t="shared" si="87"/>
        <v>{2,1,167000,167000}</v>
      </c>
      <c r="Y338" s="142"/>
      <c r="Z338" s="142" t="str">
        <f t="shared" si="88"/>
        <v>{5103001,1,20000,20000}</v>
      </c>
      <c r="AA338" s="142" t="str">
        <f t="shared" si="104"/>
        <v>{1,2,750,750}</v>
      </c>
      <c r="AD338" s="142" t="str">
        <f t="shared" si="89"/>
        <v>{50002,1,9000,11000}</v>
      </c>
      <c r="AE338" s="142" t="str">
        <f t="shared" si="105"/>
        <v>{30,1,11,14}</v>
      </c>
      <c r="AG338" s="142" t="str">
        <f t="shared" si="90"/>
        <v>{9,1,112,137}</v>
      </c>
      <c r="AH338" s="142" t="str">
        <f t="shared" si="91"/>
        <v>{2,1,167000,167000}</v>
      </c>
      <c r="AI338" s="142" t="str">
        <f t="shared" si="92"/>
        <v>{5103001,1,40000,40000}</v>
      </c>
      <c r="AJ338" s="142" t="str">
        <f t="shared" si="93"/>
        <v>{50002,1,6000,6000}</v>
      </c>
      <c r="AK338" s="142" t="str">
        <f t="shared" si="94"/>
        <v>{5203001,1,5000,5000}</v>
      </c>
      <c r="AL338" s="142" t="str">
        <f t="shared" si="95"/>
        <v>{21360,1,1000,1000}</v>
      </c>
      <c r="AM338" s="142" t="str">
        <f t="shared" si="96"/>
        <v>{5301000,1,900,1000}</v>
      </c>
      <c r="AO338" s="142" t="str">
        <f t="shared" si="97"/>
        <v>{5303001,1,1800,2200}</v>
      </c>
      <c r="AP338" s="142" t="s">
        <v>210</v>
      </c>
      <c r="AQ338" s="142"/>
    </row>
    <row r="339" spans="1:43">
      <c r="A339" s="143" t="str">
        <f t="shared" si="98"/>
        <v>[{2,1,168000,168000},{5103001,1,20000,20000}]</v>
      </c>
      <c r="B339" s="98">
        <f t="shared" si="99"/>
        <v>29</v>
      </c>
      <c r="C339" s="144">
        <v>168</v>
      </c>
      <c r="D339" s="145">
        <f t="shared" si="106"/>
        <v>168</v>
      </c>
      <c r="E339" s="145">
        <v>40</v>
      </c>
      <c r="F339" s="145">
        <v>20</v>
      </c>
      <c r="G339" s="146">
        <v>1</v>
      </c>
      <c r="H339" s="146">
        <v>6</v>
      </c>
      <c r="I339" s="146">
        <v>10</v>
      </c>
      <c r="J339" s="146">
        <v>5</v>
      </c>
      <c r="K339" s="146">
        <v>1</v>
      </c>
      <c r="L339" s="146">
        <v>1.5</v>
      </c>
      <c r="M339" s="145">
        <v>0.125</v>
      </c>
      <c r="N339" s="145">
        <v>0.5</v>
      </c>
      <c r="O339" s="145">
        <v>2</v>
      </c>
      <c r="P339" s="145">
        <v>0.013</v>
      </c>
      <c r="Q339" s="145">
        <f t="shared" si="84"/>
        <v>66.54</v>
      </c>
      <c r="R339" s="145">
        <f t="shared" si="85"/>
        <v>122.4</v>
      </c>
      <c r="S339" s="126">
        <f t="shared" si="101"/>
        <v>84</v>
      </c>
      <c r="T339" s="147">
        <f t="shared" si="86"/>
        <v>6.12</v>
      </c>
      <c r="U339" s="142" t="str">
        <f t="shared" si="102"/>
        <v>[{2,1,168000,168000},{5103001,1,20000,20000},{1,2,750,750},{50002,1,9000,11000},{30,1,11,14},{9,1,112,137}]</v>
      </c>
      <c r="V339" s="142" t="str">
        <f t="shared" si="103"/>
        <v>[{2,1,168000,168000},{5103001,1,40000,40000},{50002,1,6000,6000},{5203001,1,5000,5000},{21360,1,1000,1000},{5301000,1,900,1000},{5303001,1,1800,2200},{11,1,400,600}]</v>
      </c>
      <c r="X339" s="142" t="str">
        <f t="shared" si="87"/>
        <v>{2,1,168000,168000}</v>
      </c>
      <c r="Y339" s="142"/>
      <c r="Z339" s="142" t="str">
        <f t="shared" si="88"/>
        <v>{5103001,1,20000,20000}</v>
      </c>
      <c r="AA339" s="142" t="str">
        <f t="shared" si="104"/>
        <v>{1,2,750,750}</v>
      </c>
      <c r="AD339" s="142" t="str">
        <f t="shared" si="89"/>
        <v>{50002,1,9000,11000}</v>
      </c>
      <c r="AE339" s="142" t="str">
        <f t="shared" si="105"/>
        <v>{30,1,11,14}</v>
      </c>
      <c r="AG339" s="142" t="str">
        <f t="shared" si="90"/>
        <v>{9,1,112,137}</v>
      </c>
      <c r="AH339" s="142" t="str">
        <f t="shared" si="91"/>
        <v>{2,1,168000,168000}</v>
      </c>
      <c r="AI339" s="142" t="str">
        <f t="shared" si="92"/>
        <v>{5103001,1,40000,40000}</v>
      </c>
      <c r="AJ339" s="142" t="str">
        <f t="shared" si="93"/>
        <v>{50002,1,6000,6000}</v>
      </c>
      <c r="AK339" s="142" t="str">
        <f t="shared" si="94"/>
        <v>{5203001,1,5000,5000}</v>
      </c>
      <c r="AL339" s="142" t="str">
        <f t="shared" si="95"/>
        <v>{21360,1,1000,1000}</v>
      </c>
      <c r="AM339" s="142" t="str">
        <f t="shared" si="96"/>
        <v>{5301000,1,900,1000}</v>
      </c>
      <c r="AO339" s="142" t="str">
        <f t="shared" si="97"/>
        <v>{5303001,1,1800,2200}</v>
      </c>
      <c r="AP339" s="142" t="s">
        <v>210</v>
      </c>
      <c r="AQ339" s="142"/>
    </row>
    <row r="340" spans="1:43">
      <c r="A340" s="143" t="str">
        <f t="shared" si="98"/>
        <v>[{2,1,169000,169000},{5103001,1,20000,20000}]</v>
      </c>
      <c r="B340" s="98">
        <f t="shared" si="99"/>
        <v>30</v>
      </c>
      <c r="C340" s="144">
        <v>169</v>
      </c>
      <c r="D340" s="145">
        <f t="shared" si="106"/>
        <v>169</v>
      </c>
      <c r="E340" s="145">
        <v>40</v>
      </c>
      <c r="F340" s="145">
        <v>20</v>
      </c>
      <c r="G340" s="146">
        <v>1</v>
      </c>
      <c r="H340" s="146">
        <v>6</v>
      </c>
      <c r="I340" s="146">
        <v>10</v>
      </c>
      <c r="J340" s="146">
        <v>5</v>
      </c>
      <c r="K340" s="146">
        <v>1</v>
      </c>
      <c r="L340" s="146">
        <v>1.5</v>
      </c>
      <c r="M340" s="145">
        <v>0.125</v>
      </c>
      <c r="N340" s="145">
        <v>0.5</v>
      </c>
      <c r="O340" s="145">
        <v>2</v>
      </c>
      <c r="P340" s="145">
        <v>0.013</v>
      </c>
      <c r="Q340" s="145">
        <f t="shared" si="84"/>
        <v>66.59</v>
      </c>
      <c r="R340" s="145">
        <f t="shared" si="85"/>
        <v>122.45</v>
      </c>
      <c r="S340" s="126">
        <f t="shared" si="101"/>
        <v>84.5</v>
      </c>
      <c r="T340" s="147">
        <f t="shared" si="86"/>
        <v>6.1225</v>
      </c>
      <c r="U340" s="142" t="str">
        <f t="shared" si="102"/>
        <v>[{2,1,169000,169000},{5103001,1,20000,20000},{1,2,750,750},{50002,1,9000,11000},{30,1,11,14},{9,1,112,137}]</v>
      </c>
      <c r="V340" s="142" t="str">
        <f t="shared" si="103"/>
        <v>[{2,1,169000,169000},{5103001,1,40000,40000},{50002,1,6000,6000},{5203001,1,5000,5000},{21360,1,1000,1000},{5301000,1,900,1000},{5303001,1,1800,2200},{11,1,400,600}]</v>
      </c>
      <c r="X340" s="142" t="str">
        <f t="shared" si="87"/>
        <v>{2,1,169000,169000}</v>
      </c>
      <c r="Y340" s="142"/>
      <c r="Z340" s="142" t="str">
        <f t="shared" si="88"/>
        <v>{5103001,1,20000,20000}</v>
      </c>
      <c r="AA340" s="142" t="str">
        <f t="shared" si="104"/>
        <v>{1,2,750,750}</v>
      </c>
      <c r="AD340" s="142" t="str">
        <f t="shared" si="89"/>
        <v>{50002,1,9000,11000}</v>
      </c>
      <c r="AE340" s="142" t="str">
        <f t="shared" si="105"/>
        <v>{30,1,11,14}</v>
      </c>
      <c r="AG340" s="142" t="str">
        <f t="shared" si="90"/>
        <v>{9,1,112,137}</v>
      </c>
      <c r="AH340" s="142" t="str">
        <f t="shared" si="91"/>
        <v>{2,1,169000,169000}</v>
      </c>
      <c r="AI340" s="142" t="str">
        <f t="shared" si="92"/>
        <v>{5103001,1,40000,40000}</v>
      </c>
      <c r="AJ340" s="142" t="str">
        <f t="shared" si="93"/>
        <v>{50002,1,6000,6000}</v>
      </c>
      <c r="AK340" s="142" t="str">
        <f t="shared" si="94"/>
        <v>{5203001,1,5000,5000}</v>
      </c>
      <c r="AL340" s="142" t="str">
        <f t="shared" si="95"/>
        <v>{21360,1,1000,1000}</v>
      </c>
      <c r="AM340" s="142" t="str">
        <f t="shared" si="96"/>
        <v>{5301000,1,900,1000}</v>
      </c>
      <c r="AO340" s="142" t="str">
        <f t="shared" si="97"/>
        <v>{5303001,1,1800,2200}</v>
      </c>
      <c r="AP340" s="142" t="s">
        <v>210</v>
      </c>
      <c r="AQ340" s="142"/>
    </row>
    <row r="341" spans="1:43">
      <c r="A341" s="143" t="str">
        <f t="shared" si="98"/>
        <v>[{2,1,170000,170000},{5103001,1,20000,20000}]</v>
      </c>
      <c r="B341" s="98">
        <f t="shared" si="99"/>
        <v>31</v>
      </c>
      <c r="C341" s="144">
        <v>170</v>
      </c>
      <c r="D341" s="145">
        <f t="shared" si="106"/>
        <v>170</v>
      </c>
      <c r="E341" s="145">
        <v>40</v>
      </c>
      <c r="F341" s="145">
        <v>20</v>
      </c>
      <c r="G341" s="146">
        <v>1</v>
      </c>
      <c r="H341" s="146">
        <v>6</v>
      </c>
      <c r="I341" s="146">
        <v>10</v>
      </c>
      <c r="J341" s="146">
        <v>5</v>
      </c>
      <c r="K341" s="146">
        <v>1</v>
      </c>
      <c r="L341" s="146">
        <v>1.5</v>
      </c>
      <c r="M341" s="145">
        <v>0.125</v>
      </c>
      <c r="N341" s="145">
        <v>0.5</v>
      </c>
      <c r="O341" s="145">
        <v>2</v>
      </c>
      <c r="P341" s="145">
        <v>0.013</v>
      </c>
      <c r="Q341" s="145">
        <f t="shared" si="84"/>
        <v>66.64</v>
      </c>
      <c r="R341" s="145">
        <f t="shared" si="85"/>
        <v>122.5</v>
      </c>
      <c r="S341" s="126">
        <f t="shared" si="101"/>
        <v>85</v>
      </c>
      <c r="T341" s="147">
        <f t="shared" si="86"/>
        <v>6.125</v>
      </c>
      <c r="U341" s="142" t="str">
        <f t="shared" si="102"/>
        <v>[{2,1,170000,170000},{5103001,1,20000,20000},{1,2,750,750},{50002,1,9000,11000},{30,1,11,14},{9,1,112,137}]</v>
      </c>
      <c r="V341" s="142" t="str">
        <f t="shared" si="103"/>
        <v>[{2,1,170000,170000},{5103001,1,40000,40000},{50002,1,6000,6000},{5203001,1,5000,5000},{21360,1,1000,1000},{5301000,1,900,1000},{5303001,1,1800,2200},{11,1,400,600}]</v>
      </c>
      <c r="X341" s="142" t="str">
        <f t="shared" si="87"/>
        <v>{2,1,170000,170000}</v>
      </c>
      <c r="Y341" s="142"/>
      <c r="Z341" s="142" t="str">
        <f t="shared" si="88"/>
        <v>{5103001,1,20000,20000}</v>
      </c>
      <c r="AA341" s="142" t="str">
        <f t="shared" si="104"/>
        <v>{1,2,750,750}</v>
      </c>
      <c r="AD341" s="142" t="str">
        <f t="shared" si="89"/>
        <v>{50002,1,9000,11000}</v>
      </c>
      <c r="AE341" s="142" t="str">
        <f t="shared" si="105"/>
        <v>{30,1,11,14}</v>
      </c>
      <c r="AG341" s="142" t="str">
        <f t="shared" si="90"/>
        <v>{9,1,112,137}</v>
      </c>
      <c r="AH341" s="142" t="str">
        <f t="shared" si="91"/>
        <v>{2,1,170000,170000}</v>
      </c>
      <c r="AI341" s="142" t="str">
        <f t="shared" si="92"/>
        <v>{5103001,1,40000,40000}</v>
      </c>
      <c r="AJ341" s="142" t="str">
        <f t="shared" si="93"/>
        <v>{50002,1,6000,6000}</v>
      </c>
      <c r="AK341" s="142" t="str">
        <f t="shared" si="94"/>
        <v>{5203001,1,5000,5000}</v>
      </c>
      <c r="AL341" s="142" t="str">
        <f t="shared" si="95"/>
        <v>{21360,1,1000,1000}</v>
      </c>
      <c r="AM341" s="142" t="str">
        <f t="shared" si="96"/>
        <v>{5301000,1,900,1000}</v>
      </c>
      <c r="AO341" s="142" t="str">
        <f t="shared" si="97"/>
        <v>{5303001,1,1800,2200}</v>
      </c>
      <c r="AP341" s="142" t="s">
        <v>210</v>
      </c>
      <c r="AQ341" s="142"/>
    </row>
    <row r="342" spans="1:43">
      <c r="A342" s="143" t="str">
        <f t="shared" si="98"/>
        <v>[{2,1,171000,171000},{5103001,1,20000,20000}]</v>
      </c>
      <c r="B342" s="98">
        <f t="shared" si="99"/>
        <v>32</v>
      </c>
      <c r="C342" s="144">
        <v>171</v>
      </c>
      <c r="D342" s="145">
        <f t="shared" si="106"/>
        <v>171</v>
      </c>
      <c r="E342" s="145">
        <v>40</v>
      </c>
      <c r="F342" s="145">
        <v>20</v>
      </c>
      <c r="G342" s="146">
        <v>1</v>
      </c>
      <c r="H342" s="146">
        <v>6</v>
      </c>
      <c r="I342" s="146">
        <v>10</v>
      </c>
      <c r="J342" s="146">
        <v>5</v>
      </c>
      <c r="K342" s="146">
        <v>1</v>
      </c>
      <c r="L342" s="146">
        <v>1.5</v>
      </c>
      <c r="M342" s="145">
        <v>0.125</v>
      </c>
      <c r="N342" s="145">
        <v>0.5</v>
      </c>
      <c r="O342" s="145">
        <v>2</v>
      </c>
      <c r="P342" s="145">
        <v>0.013</v>
      </c>
      <c r="Q342" s="145">
        <f t="shared" si="84"/>
        <v>66.69</v>
      </c>
      <c r="R342" s="145">
        <f t="shared" si="85"/>
        <v>122.55</v>
      </c>
      <c r="S342" s="126">
        <f t="shared" si="101"/>
        <v>85.5</v>
      </c>
      <c r="T342" s="147">
        <f t="shared" si="86"/>
        <v>6.1275</v>
      </c>
      <c r="U342" s="142" t="str">
        <f t="shared" si="102"/>
        <v>[{2,1,171000,171000},{5103001,1,20000,20000},{1,2,750,750},{50002,1,9000,11000},{30,1,11,14},{9,1,112,137}]</v>
      </c>
      <c r="V342" s="142" t="str">
        <f t="shared" si="103"/>
        <v>[{2,1,171000,171000},{5103001,1,40000,40000},{50002,1,6000,6000},{5203001,1,5000,5000},{21360,1,1000,1000},{5301000,1,900,1000},{5303001,1,1800,2200},{11,1,400,600}]</v>
      </c>
      <c r="X342" s="142" t="str">
        <f t="shared" si="87"/>
        <v>{2,1,171000,171000}</v>
      </c>
      <c r="Y342" s="142"/>
      <c r="Z342" s="142" t="str">
        <f t="shared" si="88"/>
        <v>{5103001,1,20000,20000}</v>
      </c>
      <c r="AA342" s="142" t="str">
        <f t="shared" si="104"/>
        <v>{1,2,750,750}</v>
      </c>
      <c r="AD342" s="142" t="str">
        <f t="shared" si="89"/>
        <v>{50002,1,9000,11000}</v>
      </c>
      <c r="AE342" s="142" t="str">
        <f t="shared" si="105"/>
        <v>{30,1,11,14}</v>
      </c>
      <c r="AG342" s="142" t="str">
        <f t="shared" si="90"/>
        <v>{9,1,112,137}</v>
      </c>
      <c r="AH342" s="142" t="str">
        <f t="shared" si="91"/>
        <v>{2,1,171000,171000}</v>
      </c>
      <c r="AI342" s="142" t="str">
        <f t="shared" si="92"/>
        <v>{5103001,1,40000,40000}</v>
      </c>
      <c r="AJ342" s="142" t="str">
        <f t="shared" si="93"/>
        <v>{50002,1,6000,6000}</v>
      </c>
      <c r="AK342" s="142" t="str">
        <f t="shared" si="94"/>
        <v>{5203001,1,5000,5000}</v>
      </c>
      <c r="AL342" s="142" t="str">
        <f t="shared" si="95"/>
        <v>{21360,1,1000,1000}</v>
      </c>
      <c r="AM342" s="142" t="str">
        <f t="shared" si="96"/>
        <v>{5301000,1,900,1000}</v>
      </c>
      <c r="AO342" s="142" t="str">
        <f t="shared" si="97"/>
        <v>{5303001,1,1800,2200}</v>
      </c>
      <c r="AP342" s="142" t="s">
        <v>210</v>
      </c>
      <c r="AQ342" s="142"/>
    </row>
    <row r="343" spans="1:43">
      <c r="A343" s="143" t="str">
        <f t="shared" si="98"/>
        <v>[{2,1,172000,172000},{5103001,1,20000,20000}]</v>
      </c>
      <c r="B343" s="98">
        <f t="shared" si="99"/>
        <v>33</v>
      </c>
      <c r="C343" s="144">
        <v>172</v>
      </c>
      <c r="D343" s="145">
        <f t="shared" si="106"/>
        <v>172</v>
      </c>
      <c r="E343" s="145">
        <v>40</v>
      </c>
      <c r="F343" s="145">
        <v>20</v>
      </c>
      <c r="G343" s="146">
        <v>1</v>
      </c>
      <c r="H343" s="146">
        <v>6</v>
      </c>
      <c r="I343" s="146">
        <v>10</v>
      </c>
      <c r="J343" s="146">
        <v>5</v>
      </c>
      <c r="K343" s="146">
        <v>1</v>
      </c>
      <c r="L343" s="146">
        <v>1.5</v>
      </c>
      <c r="M343" s="145">
        <v>0.125</v>
      </c>
      <c r="N343" s="145">
        <v>0.5</v>
      </c>
      <c r="O343" s="145">
        <v>2</v>
      </c>
      <c r="P343" s="145">
        <v>0.013</v>
      </c>
      <c r="Q343" s="145">
        <f t="shared" si="84"/>
        <v>66.74</v>
      </c>
      <c r="R343" s="145">
        <f t="shared" si="85"/>
        <v>122.6</v>
      </c>
      <c r="S343" s="126">
        <f t="shared" si="101"/>
        <v>86</v>
      </c>
      <c r="T343" s="147">
        <f t="shared" si="86"/>
        <v>6.13</v>
      </c>
      <c r="U343" s="142" t="str">
        <f t="shared" si="102"/>
        <v>[{2,1,172000,172000},{5103001,1,20000,20000},{1,2,750,750},{50002,1,9000,11000},{30,1,11,14},{9,1,112,137}]</v>
      </c>
      <c r="V343" s="142" t="str">
        <f t="shared" si="103"/>
        <v>[{2,1,172000,172000},{5103001,1,40000,40000},{50002,1,6000,6000},{5203001,1,5000,5000},{21360,1,1000,1000},{5301000,1,900,1000},{5303001,1,1800,2200},{11,1,400,600}]</v>
      </c>
      <c r="X343" s="142" t="str">
        <f t="shared" si="87"/>
        <v>{2,1,172000,172000}</v>
      </c>
      <c r="Y343" s="142"/>
      <c r="Z343" s="142" t="str">
        <f t="shared" si="88"/>
        <v>{5103001,1,20000,20000}</v>
      </c>
      <c r="AA343" s="142" t="str">
        <f t="shared" si="104"/>
        <v>{1,2,750,750}</v>
      </c>
      <c r="AD343" s="142" t="str">
        <f t="shared" si="89"/>
        <v>{50002,1,9000,11000}</v>
      </c>
      <c r="AE343" s="142" t="str">
        <f t="shared" si="105"/>
        <v>{30,1,11,14}</v>
      </c>
      <c r="AG343" s="142" t="str">
        <f t="shared" si="90"/>
        <v>{9,1,112,137}</v>
      </c>
      <c r="AH343" s="142" t="str">
        <f t="shared" si="91"/>
        <v>{2,1,172000,172000}</v>
      </c>
      <c r="AI343" s="142" t="str">
        <f t="shared" si="92"/>
        <v>{5103001,1,40000,40000}</v>
      </c>
      <c r="AJ343" s="142" t="str">
        <f t="shared" si="93"/>
        <v>{50002,1,6000,6000}</v>
      </c>
      <c r="AK343" s="142" t="str">
        <f t="shared" si="94"/>
        <v>{5203001,1,5000,5000}</v>
      </c>
      <c r="AL343" s="142" t="str">
        <f t="shared" si="95"/>
        <v>{21360,1,1000,1000}</v>
      </c>
      <c r="AM343" s="142" t="str">
        <f t="shared" si="96"/>
        <v>{5301000,1,900,1000}</v>
      </c>
      <c r="AO343" s="142" t="str">
        <f t="shared" si="97"/>
        <v>{5303001,1,1800,2200}</v>
      </c>
      <c r="AP343" s="142" t="s">
        <v>210</v>
      </c>
      <c r="AQ343" s="142"/>
    </row>
    <row r="344" spans="1:43">
      <c r="A344" s="143" t="str">
        <f t="shared" si="98"/>
        <v>[{2,1,173000,173000},{5103001,1,20000,20000}]</v>
      </c>
      <c r="B344" s="98">
        <f t="shared" si="99"/>
        <v>34</v>
      </c>
      <c r="C344" s="144">
        <v>173</v>
      </c>
      <c r="D344" s="145">
        <f t="shared" si="106"/>
        <v>173</v>
      </c>
      <c r="E344" s="145">
        <v>40</v>
      </c>
      <c r="F344" s="145">
        <v>20</v>
      </c>
      <c r="G344" s="146">
        <v>1</v>
      </c>
      <c r="H344" s="146">
        <v>6</v>
      </c>
      <c r="I344" s="146">
        <v>10</v>
      </c>
      <c r="J344" s="146">
        <v>5</v>
      </c>
      <c r="K344" s="146">
        <v>1</v>
      </c>
      <c r="L344" s="146">
        <v>1.5</v>
      </c>
      <c r="M344" s="145">
        <v>0.125</v>
      </c>
      <c r="N344" s="145">
        <v>0.5</v>
      </c>
      <c r="O344" s="145">
        <v>2</v>
      </c>
      <c r="P344" s="145">
        <v>0.013</v>
      </c>
      <c r="Q344" s="145">
        <f t="shared" si="84"/>
        <v>66.79</v>
      </c>
      <c r="R344" s="145">
        <f t="shared" si="85"/>
        <v>122.65</v>
      </c>
      <c r="S344" s="126">
        <f t="shared" si="101"/>
        <v>86.5</v>
      </c>
      <c r="T344" s="147">
        <f t="shared" si="86"/>
        <v>6.1325</v>
      </c>
      <c r="U344" s="142" t="str">
        <f t="shared" si="102"/>
        <v>[{2,1,173000,173000},{5103001,1,20000,20000},{1,2,750,750},{50002,1,9000,11000},{30,1,11,14},{9,1,112,137}]</v>
      </c>
      <c r="V344" s="142" t="str">
        <f t="shared" si="103"/>
        <v>[{2,1,173000,173000},{5103001,1,40000,40000},{50002,1,6000,6000},{5203001,1,5000,5000},{21360,1,1000,1000},{5301000,1,900,1000},{5303001,1,1800,2200},{11,1,400,600}]</v>
      </c>
      <c r="X344" s="142" t="str">
        <f t="shared" si="87"/>
        <v>{2,1,173000,173000}</v>
      </c>
      <c r="Y344" s="142"/>
      <c r="Z344" s="142" t="str">
        <f t="shared" si="88"/>
        <v>{5103001,1,20000,20000}</v>
      </c>
      <c r="AA344" s="142" t="str">
        <f t="shared" si="104"/>
        <v>{1,2,750,750}</v>
      </c>
      <c r="AD344" s="142" t="str">
        <f t="shared" si="89"/>
        <v>{50002,1,9000,11000}</v>
      </c>
      <c r="AE344" s="142" t="str">
        <f t="shared" si="105"/>
        <v>{30,1,11,14}</v>
      </c>
      <c r="AG344" s="142" t="str">
        <f t="shared" si="90"/>
        <v>{9,1,112,137}</v>
      </c>
      <c r="AH344" s="142" t="str">
        <f t="shared" si="91"/>
        <v>{2,1,173000,173000}</v>
      </c>
      <c r="AI344" s="142" t="str">
        <f t="shared" si="92"/>
        <v>{5103001,1,40000,40000}</v>
      </c>
      <c r="AJ344" s="142" t="str">
        <f t="shared" si="93"/>
        <v>{50002,1,6000,6000}</v>
      </c>
      <c r="AK344" s="142" t="str">
        <f t="shared" si="94"/>
        <v>{5203001,1,5000,5000}</v>
      </c>
      <c r="AL344" s="142" t="str">
        <f t="shared" si="95"/>
        <v>{21360,1,1000,1000}</v>
      </c>
      <c r="AM344" s="142" t="str">
        <f t="shared" si="96"/>
        <v>{5301000,1,900,1000}</v>
      </c>
      <c r="AO344" s="142" t="str">
        <f t="shared" si="97"/>
        <v>{5303001,1,1800,2200}</v>
      </c>
      <c r="AP344" s="142" t="s">
        <v>210</v>
      </c>
      <c r="AQ344" s="142"/>
    </row>
    <row r="345" spans="1:43">
      <c r="A345" s="143" t="str">
        <f t="shared" si="98"/>
        <v>[{2,1,174000,174000},{5103001,1,20000,20000}]</v>
      </c>
      <c r="B345" s="98">
        <f t="shared" si="99"/>
        <v>35</v>
      </c>
      <c r="C345" s="144">
        <v>174</v>
      </c>
      <c r="D345" s="145">
        <f t="shared" si="106"/>
        <v>174</v>
      </c>
      <c r="E345" s="145">
        <v>40</v>
      </c>
      <c r="F345" s="145">
        <v>20</v>
      </c>
      <c r="G345" s="146">
        <v>1</v>
      </c>
      <c r="H345" s="146">
        <v>6</v>
      </c>
      <c r="I345" s="146">
        <v>10</v>
      </c>
      <c r="J345" s="146">
        <v>5</v>
      </c>
      <c r="K345" s="146">
        <v>1</v>
      </c>
      <c r="L345" s="146">
        <v>1.5</v>
      </c>
      <c r="M345" s="145">
        <v>0.125</v>
      </c>
      <c r="N345" s="145">
        <v>0.5</v>
      </c>
      <c r="O345" s="145">
        <v>2</v>
      </c>
      <c r="P345" s="145">
        <v>0.013</v>
      </c>
      <c r="Q345" s="145">
        <f t="shared" si="84"/>
        <v>66.84</v>
      </c>
      <c r="R345" s="145">
        <f t="shared" si="85"/>
        <v>122.7</v>
      </c>
      <c r="S345" s="126">
        <f t="shared" si="101"/>
        <v>87</v>
      </c>
      <c r="T345" s="147">
        <f t="shared" si="86"/>
        <v>6.135</v>
      </c>
      <c r="U345" s="142" t="str">
        <f t="shared" si="102"/>
        <v>[{2,1,174000,174000},{5103001,1,20000,20000},{1,2,750,750},{50002,1,9000,11000},{30,1,11,14},{9,1,112,137}]</v>
      </c>
      <c r="V345" s="142" t="str">
        <f t="shared" si="103"/>
        <v>[{2,1,174000,174000},{5103001,1,40000,40000},{50002,1,6000,6000},{5203001,1,5000,5000},{21360,1,1000,1000},{5301000,1,900,1000},{5303001,1,1800,2200},{11,1,400,600}]</v>
      </c>
      <c r="X345" s="142" t="str">
        <f t="shared" si="87"/>
        <v>{2,1,174000,174000}</v>
      </c>
      <c r="Y345" s="142"/>
      <c r="Z345" s="142" t="str">
        <f t="shared" si="88"/>
        <v>{5103001,1,20000,20000}</v>
      </c>
      <c r="AA345" s="142" t="str">
        <f t="shared" si="104"/>
        <v>{1,2,750,750}</v>
      </c>
      <c r="AD345" s="142" t="str">
        <f t="shared" si="89"/>
        <v>{50002,1,9000,11000}</v>
      </c>
      <c r="AE345" s="142" t="str">
        <f t="shared" si="105"/>
        <v>{30,1,11,14}</v>
      </c>
      <c r="AG345" s="142" t="str">
        <f t="shared" si="90"/>
        <v>{9,1,112,137}</v>
      </c>
      <c r="AH345" s="142" t="str">
        <f t="shared" si="91"/>
        <v>{2,1,174000,174000}</v>
      </c>
      <c r="AI345" s="142" t="str">
        <f t="shared" si="92"/>
        <v>{5103001,1,40000,40000}</v>
      </c>
      <c r="AJ345" s="142" t="str">
        <f t="shared" si="93"/>
        <v>{50002,1,6000,6000}</v>
      </c>
      <c r="AK345" s="142" t="str">
        <f t="shared" si="94"/>
        <v>{5203001,1,5000,5000}</v>
      </c>
      <c r="AL345" s="142" t="str">
        <f t="shared" si="95"/>
        <v>{21360,1,1000,1000}</v>
      </c>
      <c r="AM345" s="142" t="str">
        <f t="shared" si="96"/>
        <v>{5301000,1,900,1000}</v>
      </c>
      <c r="AO345" s="142" t="str">
        <f t="shared" si="97"/>
        <v>{5303001,1,1800,2200}</v>
      </c>
      <c r="AP345" s="142" t="s">
        <v>210</v>
      </c>
      <c r="AQ345" s="142"/>
    </row>
    <row r="346" spans="1:43">
      <c r="A346" s="143" t="str">
        <f t="shared" si="98"/>
        <v>[{2,1,175000,175000},{5103001,1,20000,20000}]</v>
      </c>
      <c r="B346" s="98">
        <f t="shared" si="99"/>
        <v>36</v>
      </c>
      <c r="C346" s="144">
        <v>175</v>
      </c>
      <c r="D346" s="145">
        <f t="shared" si="106"/>
        <v>175</v>
      </c>
      <c r="E346" s="145">
        <v>40</v>
      </c>
      <c r="F346" s="145">
        <v>20</v>
      </c>
      <c r="G346" s="146">
        <v>1</v>
      </c>
      <c r="H346" s="146">
        <v>6</v>
      </c>
      <c r="I346" s="146">
        <v>10</v>
      </c>
      <c r="J346" s="146">
        <v>5</v>
      </c>
      <c r="K346" s="146">
        <v>1</v>
      </c>
      <c r="L346" s="146">
        <v>1.5</v>
      </c>
      <c r="M346" s="145">
        <v>0.125</v>
      </c>
      <c r="N346" s="145">
        <v>0.5</v>
      </c>
      <c r="O346" s="145">
        <v>2</v>
      </c>
      <c r="P346" s="145">
        <v>0.013</v>
      </c>
      <c r="Q346" s="145">
        <f t="shared" si="84"/>
        <v>66.89</v>
      </c>
      <c r="R346" s="145">
        <f t="shared" si="85"/>
        <v>122.75</v>
      </c>
      <c r="S346" s="126">
        <f t="shared" si="101"/>
        <v>87.5</v>
      </c>
      <c r="T346" s="147">
        <f t="shared" si="86"/>
        <v>6.1375</v>
      </c>
      <c r="U346" s="142" t="str">
        <f t="shared" si="102"/>
        <v>[{2,1,175000,175000},{5103001,1,20000,20000},{1,2,750,750},{50002,1,9000,11000},{30,1,11,14},{9,1,112,137}]</v>
      </c>
      <c r="V346" s="142" t="str">
        <f t="shared" si="103"/>
        <v>[{2,1,175000,175000},{5103001,1,40000,40000},{50002,1,6000,6000},{5203001,1,5000,5000},{21360,1,1000,1000},{5301000,1,900,1000},{5303001,1,1800,2200},{11,1,400,600}]</v>
      </c>
      <c r="X346" s="142" t="str">
        <f t="shared" si="87"/>
        <v>{2,1,175000,175000}</v>
      </c>
      <c r="Y346" s="142"/>
      <c r="Z346" s="142" t="str">
        <f t="shared" si="88"/>
        <v>{5103001,1,20000,20000}</v>
      </c>
      <c r="AA346" s="142" t="str">
        <f t="shared" si="104"/>
        <v>{1,2,750,750}</v>
      </c>
      <c r="AD346" s="142" t="str">
        <f t="shared" si="89"/>
        <v>{50002,1,9000,11000}</v>
      </c>
      <c r="AE346" s="142" t="str">
        <f t="shared" si="105"/>
        <v>{30,1,11,14}</v>
      </c>
      <c r="AG346" s="142" t="str">
        <f t="shared" si="90"/>
        <v>{9,1,112,137}</v>
      </c>
      <c r="AH346" s="142" t="str">
        <f t="shared" si="91"/>
        <v>{2,1,175000,175000}</v>
      </c>
      <c r="AI346" s="142" t="str">
        <f t="shared" si="92"/>
        <v>{5103001,1,40000,40000}</v>
      </c>
      <c r="AJ346" s="142" t="str">
        <f t="shared" si="93"/>
        <v>{50002,1,6000,6000}</v>
      </c>
      <c r="AK346" s="142" t="str">
        <f t="shared" si="94"/>
        <v>{5203001,1,5000,5000}</v>
      </c>
      <c r="AL346" s="142" t="str">
        <f t="shared" si="95"/>
        <v>{21360,1,1000,1000}</v>
      </c>
      <c r="AM346" s="142" t="str">
        <f t="shared" si="96"/>
        <v>{5301000,1,900,1000}</v>
      </c>
      <c r="AO346" s="142" t="str">
        <f t="shared" si="97"/>
        <v>{5303001,1,1800,2200}</v>
      </c>
      <c r="AP346" s="142" t="s">
        <v>210</v>
      </c>
      <c r="AQ346" s="142"/>
    </row>
    <row r="347" spans="1:43">
      <c r="A347" s="143" t="str">
        <f t="shared" si="98"/>
        <v>[{2,1,176000,176000},{5103001,1,20000,20000}]</v>
      </c>
      <c r="B347" s="98">
        <f t="shared" si="99"/>
        <v>37</v>
      </c>
      <c r="C347" s="144">
        <v>176</v>
      </c>
      <c r="D347" s="145">
        <f t="shared" si="106"/>
        <v>176</v>
      </c>
      <c r="E347" s="145">
        <v>40</v>
      </c>
      <c r="F347" s="145">
        <v>20</v>
      </c>
      <c r="G347" s="146">
        <v>1</v>
      </c>
      <c r="H347" s="146">
        <v>6</v>
      </c>
      <c r="I347" s="146">
        <v>10</v>
      </c>
      <c r="J347" s="146">
        <v>5</v>
      </c>
      <c r="K347" s="146">
        <v>1</v>
      </c>
      <c r="L347" s="146">
        <v>1.5</v>
      </c>
      <c r="M347" s="145">
        <v>0.125</v>
      </c>
      <c r="N347" s="145">
        <v>0.5</v>
      </c>
      <c r="O347" s="145">
        <v>2</v>
      </c>
      <c r="P347" s="145">
        <v>0.013</v>
      </c>
      <c r="Q347" s="145">
        <f t="shared" si="84"/>
        <v>66.94</v>
      </c>
      <c r="R347" s="145">
        <f t="shared" si="85"/>
        <v>122.8</v>
      </c>
      <c r="S347" s="126">
        <f t="shared" si="101"/>
        <v>88</v>
      </c>
      <c r="T347" s="147">
        <f t="shared" si="86"/>
        <v>6.14</v>
      </c>
      <c r="U347" s="142" t="str">
        <f t="shared" si="102"/>
        <v>[{2,1,176000,176000},{5103001,1,20000,20000},{1,2,750,750},{50002,1,9000,11000},{30,1,11,14},{9,1,112,137}]</v>
      </c>
      <c r="V347" s="142" t="str">
        <f t="shared" si="103"/>
        <v>[{2,1,176000,176000},{5103001,1,40000,40000},{50002,1,6000,6000},{5203001,1,5000,5000},{21360,1,1000,1000},{5301000,1,900,1000},{5303001,1,1800,2200},{11,1,400,600}]</v>
      </c>
      <c r="X347" s="142" t="str">
        <f t="shared" si="87"/>
        <v>{2,1,176000,176000}</v>
      </c>
      <c r="Y347" s="142"/>
      <c r="Z347" s="142" t="str">
        <f t="shared" si="88"/>
        <v>{5103001,1,20000,20000}</v>
      </c>
      <c r="AA347" s="142" t="str">
        <f t="shared" si="104"/>
        <v>{1,2,750,750}</v>
      </c>
      <c r="AD347" s="142" t="str">
        <f t="shared" si="89"/>
        <v>{50002,1,9000,11000}</v>
      </c>
      <c r="AE347" s="142" t="str">
        <f t="shared" si="105"/>
        <v>{30,1,11,14}</v>
      </c>
      <c r="AG347" s="142" t="str">
        <f t="shared" si="90"/>
        <v>{9,1,112,137}</v>
      </c>
      <c r="AH347" s="142" t="str">
        <f t="shared" si="91"/>
        <v>{2,1,176000,176000}</v>
      </c>
      <c r="AI347" s="142" t="str">
        <f t="shared" si="92"/>
        <v>{5103001,1,40000,40000}</v>
      </c>
      <c r="AJ347" s="142" t="str">
        <f t="shared" si="93"/>
        <v>{50002,1,6000,6000}</v>
      </c>
      <c r="AK347" s="142" t="str">
        <f t="shared" si="94"/>
        <v>{5203001,1,5000,5000}</v>
      </c>
      <c r="AL347" s="142" t="str">
        <f t="shared" si="95"/>
        <v>{21360,1,1000,1000}</v>
      </c>
      <c r="AM347" s="142" t="str">
        <f t="shared" si="96"/>
        <v>{5301000,1,900,1000}</v>
      </c>
      <c r="AO347" s="142" t="str">
        <f t="shared" si="97"/>
        <v>{5303001,1,1800,2200}</v>
      </c>
      <c r="AP347" s="142" t="s">
        <v>210</v>
      </c>
      <c r="AQ347" s="142"/>
    </row>
    <row r="348" spans="1:43">
      <c r="A348" s="143" t="str">
        <f t="shared" si="98"/>
        <v>[{2,1,177000,177000},{5103001,1,20000,20000}]</v>
      </c>
      <c r="B348" s="98">
        <f t="shared" si="99"/>
        <v>38</v>
      </c>
      <c r="C348" s="144">
        <v>177</v>
      </c>
      <c r="D348" s="145">
        <f t="shared" si="106"/>
        <v>177</v>
      </c>
      <c r="E348" s="145">
        <v>40</v>
      </c>
      <c r="F348" s="145">
        <v>20</v>
      </c>
      <c r="G348" s="146">
        <v>1</v>
      </c>
      <c r="H348" s="146">
        <v>6</v>
      </c>
      <c r="I348" s="146">
        <v>10</v>
      </c>
      <c r="J348" s="146">
        <v>5</v>
      </c>
      <c r="K348" s="146">
        <v>1</v>
      </c>
      <c r="L348" s="146">
        <v>1.5</v>
      </c>
      <c r="M348" s="145">
        <v>0.125</v>
      </c>
      <c r="N348" s="145">
        <v>0.5</v>
      </c>
      <c r="O348" s="145">
        <v>2</v>
      </c>
      <c r="P348" s="145">
        <v>0.013</v>
      </c>
      <c r="Q348" s="145">
        <f t="shared" si="84"/>
        <v>66.99</v>
      </c>
      <c r="R348" s="145">
        <f t="shared" si="85"/>
        <v>122.85</v>
      </c>
      <c r="S348" s="126">
        <f t="shared" si="101"/>
        <v>88.5</v>
      </c>
      <c r="T348" s="147">
        <f t="shared" si="86"/>
        <v>6.1425</v>
      </c>
      <c r="U348" s="142" t="str">
        <f t="shared" si="102"/>
        <v>[{2,1,177000,177000},{5103001,1,20000,20000},{1,2,750,750},{50002,1,9000,11000},{30,1,11,14},{9,1,112,137}]</v>
      </c>
      <c r="V348" s="142" t="str">
        <f t="shared" si="103"/>
        <v>[{2,1,177000,177000},{5103001,1,40000,40000},{50002,1,6000,6000},{5203001,1,5000,5000},{21360,1,1000,1000},{5301000,1,900,1000},{5303001,1,1800,2200},{11,1,400,600}]</v>
      </c>
      <c r="X348" s="142" t="str">
        <f t="shared" si="87"/>
        <v>{2,1,177000,177000}</v>
      </c>
      <c r="Y348" s="142"/>
      <c r="Z348" s="142" t="str">
        <f t="shared" si="88"/>
        <v>{5103001,1,20000,20000}</v>
      </c>
      <c r="AA348" s="142" t="str">
        <f t="shared" si="104"/>
        <v>{1,2,750,750}</v>
      </c>
      <c r="AD348" s="142" t="str">
        <f t="shared" si="89"/>
        <v>{50002,1,9000,11000}</v>
      </c>
      <c r="AE348" s="142" t="str">
        <f t="shared" si="105"/>
        <v>{30,1,11,14}</v>
      </c>
      <c r="AG348" s="142" t="str">
        <f t="shared" si="90"/>
        <v>{9,1,112,137}</v>
      </c>
      <c r="AH348" s="142" t="str">
        <f t="shared" si="91"/>
        <v>{2,1,177000,177000}</v>
      </c>
      <c r="AI348" s="142" t="str">
        <f t="shared" si="92"/>
        <v>{5103001,1,40000,40000}</v>
      </c>
      <c r="AJ348" s="142" t="str">
        <f t="shared" si="93"/>
        <v>{50002,1,6000,6000}</v>
      </c>
      <c r="AK348" s="142" t="str">
        <f t="shared" si="94"/>
        <v>{5203001,1,5000,5000}</v>
      </c>
      <c r="AL348" s="142" t="str">
        <f t="shared" si="95"/>
        <v>{21360,1,1000,1000}</v>
      </c>
      <c r="AM348" s="142" t="str">
        <f t="shared" si="96"/>
        <v>{5301000,1,900,1000}</v>
      </c>
      <c r="AO348" s="142" t="str">
        <f t="shared" si="97"/>
        <v>{5303001,1,1800,2200}</v>
      </c>
      <c r="AP348" s="142" t="s">
        <v>210</v>
      </c>
      <c r="AQ348" s="142"/>
    </row>
    <row r="349" spans="1:43">
      <c r="A349" s="143" t="str">
        <f t="shared" si="98"/>
        <v>[{2,1,178000,178000},{5103001,1,20000,20000}]</v>
      </c>
      <c r="B349" s="98">
        <f t="shared" si="99"/>
        <v>39</v>
      </c>
      <c r="C349" s="144">
        <v>178</v>
      </c>
      <c r="D349" s="145">
        <f t="shared" si="106"/>
        <v>178</v>
      </c>
      <c r="E349" s="145">
        <v>40</v>
      </c>
      <c r="F349" s="145">
        <v>20</v>
      </c>
      <c r="G349" s="146">
        <v>1</v>
      </c>
      <c r="H349" s="146">
        <v>6</v>
      </c>
      <c r="I349" s="146">
        <v>10</v>
      </c>
      <c r="J349" s="146">
        <v>5</v>
      </c>
      <c r="K349" s="146">
        <v>1</v>
      </c>
      <c r="L349" s="146">
        <v>1.5</v>
      </c>
      <c r="M349" s="145">
        <v>0.125</v>
      </c>
      <c r="N349" s="145">
        <v>0.5</v>
      </c>
      <c r="O349" s="145">
        <v>2</v>
      </c>
      <c r="P349" s="145">
        <v>0.013</v>
      </c>
      <c r="Q349" s="145">
        <f t="shared" si="84"/>
        <v>67.04</v>
      </c>
      <c r="R349" s="145">
        <f t="shared" si="85"/>
        <v>122.9</v>
      </c>
      <c r="S349" s="126">
        <f t="shared" si="101"/>
        <v>89</v>
      </c>
      <c r="T349" s="147">
        <f t="shared" si="86"/>
        <v>6.145</v>
      </c>
      <c r="U349" s="142" t="str">
        <f t="shared" si="102"/>
        <v>[{2,1,178000,178000},{5103001,1,20000,20000},{1,2,750,750},{50002,1,9000,11000},{30,1,11,14},{9,1,112,137}]</v>
      </c>
      <c r="V349" s="142" t="str">
        <f t="shared" si="103"/>
        <v>[{2,1,178000,178000},{5103001,1,40000,40000},{50002,1,6000,6000},{5203001,1,5000,5000},{21360,1,1000,1000},{5301000,1,900,1000},{5303001,1,1800,2200},{11,1,400,600}]</v>
      </c>
      <c r="X349" s="142" t="str">
        <f t="shared" si="87"/>
        <v>{2,1,178000,178000}</v>
      </c>
      <c r="Y349" s="142"/>
      <c r="Z349" s="142" t="str">
        <f t="shared" si="88"/>
        <v>{5103001,1,20000,20000}</v>
      </c>
      <c r="AA349" s="142" t="str">
        <f t="shared" si="104"/>
        <v>{1,2,750,750}</v>
      </c>
      <c r="AD349" s="142" t="str">
        <f t="shared" si="89"/>
        <v>{50002,1,9000,11000}</v>
      </c>
      <c r="AE349" s="142" t="str">
        <f t="shared" si="105"/>
        <v>{30,1,11,14}</v>
      </c>
      <c r="AG349" s="142" t="str">
        <f t="shared" si="90"/>
        <v>{9,1,112,137}</v>
      </c>
      <c r="AH349" s="142" t="str">
        <f t="shared" si="91"/>
        <v>{2,1,178000,178000}</v>
      </c>
      <c r="AI349" s="142" t="str">
        <f t="shared" si="92"/>
        <v>{5103001,1,40000,40000}</v>
      </c>
      <c r="AJ349" s="142" t="str">
        <f t="shared" si="93"/>
        <v>{50002,1,6000,6000}</v>
      </c>
      <c r="AK349" s="142" t="str">
        <f t="shared" si="94"/>
        <v>{5203001,1,5000,5000}</v>
      </c>
      <c r="AL349" s="142" t="str">
        <f t="shared" si="95"/>
        <v>{21360,1,1000,1000}</v>
      </c>
      <c r="AM349" s="142" t="str">
        <f t="shared" si="96"/>
        <v>{5301000,1,900,1000}</v>
      </c>
      <c r="AO349" s="142" t="str">
        <f t="shared" si="97"/>
        <v>{5303001,1,1800,2200}</v>
      </c>
      <c r="AP349" s="142" t="s">
        <v>210</v>
      </c>
      <c r="AQ349" s="142"/>
    </row>
    <row r="350" spans="1:43">
      <c r="A350" s="143" t="str">
        <f t="shared" si="98"/>
        <v>[{2,1,179000,179000},{5103001,1,20000,20000}]</v>
      </c>
      <c r="B350" s="98">
        <f t="shared" si="99"/>
        <v>40</v>
      </c>
      <c r="C350" s="144">
        <v>179</v>
      </c>
      <c r="D350" s="145">
        <f t="shared" si="106"/>
        <v>179</v>
      </c>
      <c r="E350" s="145">
        <v>40</v>
      </c>
      <c r="F350" s="145">
        <v>20</v>
      </c>
      <c r="G350" s="146">
        <v>1</v>
      </c>
      <c r="H350" s="146">
        <v>6</v>
      </c>
      <c r="I350" s="146">
        <v>10</v>
      </c>
      <c r="J350" s="146">
        <v>5</v>
      </c>
      <c r="K350" s="146">
        <v>1</v>
      </c>
      <c r="L350" s="146">
        <v>1.5</v>
      </c>
      <c r="M350" s="145">
        <v>0.125</v>
      </c>
      <c r="N350" s="145">
        <v>0.5</v>
      </c>
      <c r="O350" s="145">
        <v>2</v>
      </c>
      <c r="P350" s="145">
        <v>0.013</v>
      </c>
      <c r="Q350" s="145">
        <f t="shared" si="84"/>
        <v>67.09</v>
      </c>
      <c r="R350" s="145">
        <f t="shared" si="85"/>
        <v>122.95</v>
      </c>
      <c r="S350" s="126">
        <f t="shared" si="101"/>
        <v>89.5</v>
      </c>
      <c r="T350" s="147">
        <f t="shared" si="86"/>
        <v>6.1475</v>
      </c>
      <c r="U350" s="142" t="str">
        <f t="shared" si="102"/>
        <v>[{2,1,179000,179000},{5103001,1,20000,20000},{1,2,750,750},{50002,1,9000,11000},{30,1,11,14},{9,1,112,137}]</v>
      </c>
      <c r="V350" s="142" t="str">
        <f t="shared" si="103"/>
        <v>[{2,1,179000,179000},{5103001,1,40000,40000},{50002,1,6000,6000},{5203001,1,5000,5000},{21360,1,1000,1000},{5301000,1,900,1000},{5303001,1,1800,2200},{11,1,400,600}]</v>
      </c>
      <c r="X350" s="142" t="str">
        <f t="shared" si="87"/>
        <v>{2,1,179000,179000}</v>
      </c>
      <c r="Y350" s="142"/>
      <c r="Z350" s="142" t="str">
        <f t="shared" si="88"/>
        <v>{5103001,1,20000,20000}</v>
      </c>
      <c r="AA350" s="142" t="str">
        <f t="shared" si="104"/>
        <v>{1,2,750,750}</v>
      </c>
      <c r="AD350" s="142" t="str">
        <f t="shared" si="89"/>
        <v>{50002,1,9000,11000}</v>
      </c>
      <c r="AE350" s="142" t="str">
        <f t="shared" si="105"/>
        <v>{30,1,11,14}</v>
      </c>
      <c r="AG350" s="142" t="str">
        <f t="shared" si="90"/>
        <v>{9,1,112,137}</v>
      </c>
      <c r="AH350" s="142" t="str">
        <f t="shared" si="91"/>
        <v>{2,1,179000,179000}</v>
      </c>
      <c r="AI350" s="142" t="str">
        <f t="shared" si="92"/>
        <v>{5103001,1,40000,40000}</v>
      </c>
      <c r="AJ350" s="142" t="str">
        <f t="shared" si="93"/>
        <v>{50002,1,6000,6000}</v>
      </c>
      <c r="AK350" s="142" t="str">
        <f t="shared" si="94"/>
        <v>{5203001,1,5000,5000}</v>
      </c>
      <c r="AL350" s="142" t="str">
        <f t="shared" si="95"/>
        <v>{21360,1,1000,1000}</v>
      </c>
      <c r="AM350" s="142" t="str">
        <f t="shared" si="96"/>
        <v>{5301000,1,900,1000}</v>
      </c>
      <c r="AO350" s="142" t="str">
        <f t="shared" si="97"/>
        <v>{5303001,1,1800,2200}</v>
      </c>
      <c r="AP350" s="142" t="s">
        <v>210</v>
      </c>
      <c r="AQ350" s="142"/>
    </row>
    <row r="351" spans="1:43">
      <c r="A351" s="143" t="str">
        <f t="shared" si="98"/>
        <v>[{2,1,180000,180000},{5103001,1,20000,20000}]</v>
      </c>
      <c r="B351" s="98">
        <f t="shared" si="99"/>
        <v>41</v>
      </c>
      <c r="C351" s="144">
        <v>180</v>
      </c>
      <c r="D351" s="145">
        <f t="shared" si="106"/>
        <v>180</v>
      </c>
      <c r="E351" s="145">
        <v>40</v>
      </c>
      <c r="F351" s="145">
        <v>20</v>
      </c>
      <c r="G351" s="146">
        <v>1</v>
      </c>
      <c r="H351" s="146">
        <v>6</v>
      </c>
      <c r="I351" s="146">
        <v>10</v>
      </c>
      <c r="J351" s="146">
        <v>5</v>
      </c>
      <c r="K351" s="146">
        <v>1</v>
      </c>
      <c r="L351" s="146">
        <v>1.5</v>
      </c>
      <c r="M351" s="145">
        <v>0.125</v>
      </c>
      <c r="N351" s="145">
        <v>0.5</v>
      </c>
      <c r="O351" s="145">
        <v>2</v>
      </c>
      <c r="P351" s="145">
        <v>0.013</v>
      </c>
      <c r="Q351" s="145">
        <f t="shared" si="84"/>
        <v>67.14</v>
      </c>
      <c r="R351" s="145">
        <f t="shared" si="85"/>
        <v>123</v>
      </c>
      <c r="S351" s="126">
        <f t="shared" si="101"/>
        <v>90</v>
      </c>
      <c r="T351" s="147">
        <f t="shared" si="86"/>
        <v>6.15</v>
      </c>
      <c r="U351" s="142" t="str">
        <f t="shared" si="102"/>
        <v>[{2,1,180000,180000},{5103001,1,20000,20000},{1,2,750,750},{50002,1,9000,11000},{30,1,11,14},{9,1,112,137}]</v>
      </c>
      <c r="V351" s="142" t="str">
        <f t="shared" si="103"/>
        <v>[{2,1,180000,180000},{5103001,1,40000,40000},{50002,1,6000,6000},{5203001,1,5000,5000},{21360,1,1000,1000},{5301000,1,900,1000},{5303001,1,1800,2200},{11,1,400,600}]</v>
      </c>
      <c r="X351" s="142" t="str">
        <f t="shared" si="87"/>
        <v>{2,1,180000,180000}</v>
      </c>
      <c r="Y351" s="142"/>
      <c r="Z351" s="142" t="str">
        <f t="shared" si="88"/>
        <v>{5103001,1,20000,20000}</v>
      </c>
      <c r="AA351" s="142" t="str">
        <f t="shared" si="104"/>
        <v>{1,2,750,750}</v>
      </c>
      <c r="AD351" s="142" t="str">
        <f t="shared" si="89"/>
        <v>{50002,1,9000,11000}</v>
      </c>
      <c r="AE351" s="142" t="str">
        <f t="shared" si="105"/>
        <v>{30,1,11,14}</v>
      </c>
      <c r="AG351" s="142" t="str">
        <f t="shared" si="90"/>
        <v>{9,1,112,137}</v>
      </c>
      <c r="AH351" s="142" t="str">
        <f t="shared" si="91"/>
        <v>{2,1,180000,180000}</v>
      </c>
      <c r="AI351" s="142" t="str">
        <f t="shared" si="92"/>
        <v>{5103001,1,40000,40000}</v>
      </c>
      <c r="AJ351" s="142" t="str">
        <f t="shared" si="93"/>
        <v>{50002,1,6000,6000}</v>
      </c>
      <c r="AK351" s="142" t="str">
        <f t="shared" si="94"/>
        <v>{5203001,1,5000,5000}</v>
      </c>
      <c r="AL351" s="142" t="str">
        <f t="shared" si="95"/>
        <v>{21360,1,1000,1000}</v>
      </c>
      <c r="AM351" s="142" t="str">
        <f t="shared" si="96"/>
        <v>{5301000,1,900,1000}</v>
      </c>
      <c r="AO351" s="142" t="str">
        <f t="shared" si="97"/>
        <v>{5303001,1,1800,2200}</v>
      </c>
      <c r="AP351" s="142" t="s">
        <v>210</v>
      </c>
      <c r="AQ351" s="142"/>
    </row>
    <row r="352" spans="1:43">
      <c r="A352" s="143" t="str">
        <f t="shared" si="98"/>
        <v>[{2,1,181000,181000},{5103001,1,20000,20000}]</v>
      </c>
      <c r="B352" s="98">
        <f t="shared" si="99"/>
        <v>42</v>
      </c>
      <c r="C352" s="144">
        <v>181</v>
      </c>
      <c r="D352" s="145">
        <f t="shared" si="106"/>
        <v>181</v>
      </c>
      <c r="E352" s="145">
        <v>40</v>
      </c>
      <c r="F352" s="145">
        <v>20</v>
      </c>
      <c r="G352" s="146">
        <v>1</v>
      </c>
      <c r="H352" s="146">
        <v>6</v>
      </c>
      <c r="I352" s="146">
        <v>10</v>
      </c>
      <c r="J352" s="146">
        <v>5</v>
      </c>
      <c r="K352" s="146">
        <v>1</v>
      </c>
      <c r="L352" s="146">
        <v>1.5</v>
      </c>
      <c r="M352" s="145">
        <v>0.125</v>
      </c>
      <c r="N352" s="145">
        <v>0.5</v>
      </c>
      <c r="O352" s="145">
        <v>2</v>
      </c>
      <c r="P352" s="145">
        <v>0.013</v>
      </c>
      <c r="Q352" s="145">
        <f t="shared" si="84"/>
        <v>67.19</v>
      </c>
      <c r="R352" s="145">
        <f t="shared" si="85"/>
        <v>123.05</v>
      </c>
      <c r="S352" s="126">
        <f t="shared" si="101"/>
        <v>90.5</v>
      </c>
      <c r="T352" s="147">
        <f t="shared" si="86"/>
        <v>6.1525</v>
      </c>
      <c r="U352" s="142" t="str">
        <f t="shared" si="102"/>
        <v>[{2,1,181000,181000},{5103001,1,20000,20000},{1,2,750,750},{50002,1,9000,11000},{30,1,11,14},{9,1,112,137}]</v>
      </c>
      <c r="V352" s="142" t="str">
        <f t="shared" si="103"/>
        <v>[{2,1,181000,181000},{5103001,1,40000,40000},{50002,1,6000,6000},{5203001,1,5000,5000},{21360,1,1000,1000},{5301000,1,900,1000},{5303001,1,1800,2200},{11,1,400,600}]</v>
      </c>
      <c r="X352" s="142" t="str">
        <f t="shared" si="87"/>
        <v>{2,1,181000,181000}</v>
      </c>
      <c r="Y352" s="142"/>
      <c r="Z352" s="142" t="str">
        <f t="shared" si="88"/>
        <v>{5103001,1,20000,20000}</v>
      </c>
      <c r="AA352" s="142" t="str">
        <f t="shared" si="104"/>
        <v>{1,2,750,750}</v>
      </c>
      <c r="AD352" s="142" t="str">
        <f t="shared" si="89"/>
        <v>{50002,1,9000,11000}</v>
      </c>
      <c r="AE352" s="142" t="str">
        <f t="shared" si="105"/>
        <v>{30,1,11,14}</v>
      </c>
      <c r="AG352" s="142" t="str">
        <f t="shared" si="90"/>
        <v>{9,1,112,137}</v>
      </c>
      <c r="AH352" s="142" t="str">
        <f t="shared" si="91"/>
        <v>{2,1,181000,181000}</v>
      </c>
      <c r="AI352" s="142" t="str">
        <f t="shared" si="92"/>
        <v>{5103001,1,40000,40000}</v>
      </c>
      <c r="AJ352" s="142" t="str">
        <f t="shared" si="93"/>
        <v>{50002,1,6000,6000}</v>
      </c>
      <c r="AK352" s="142" t="str">
        <f t="shared" si="94"/>
        <v>{5203001,1,5000,5000}</v>
      </c>
      <c r="AL352" s="142" t="str">
        <f t="shared" si="95"/>
        <v>{21360,1,1000,1000}</v>
      </c>
      <c r="AM352" s="142" t="str">
        <f t="shared" si="96"/>
        <v>{5301000,1,900,1000}</v>
      </c>
      <c r="AO352" s="142" t="str">
        <f t="shared" si="97"/>
        <v>{5303001,1,1800,2200}</v>
      </c>
      <c r="AP352" s="142" t="s">
        <v>210</v>
      </c>
      <c r="AQ352" s="142"/>
    </row>
    <row r="353" spans="1:43">
      <c r="A353" s="143" t="str">
        <f t="shared" si="98"/>
        <v>[{2,1,182000,182000},{5103001,1,20000,20000}]</v>
      </c>
      <c r="B353" s="98">
        <f t="shared" si="99"/>
        <v>43</v>
      </c>
      <c r="C353" s="144">
        <v>182</v>
      </c>
      <c r="D353" s="145">
        <f t="shared" si="106"/>
        <v>182</v>
      </c>
      <c r="E353" s="145">
        <v>40</v>
      </c>
      <c r="F353" s="145">
        <v>20</v>
      </c>
      <c r="G353" s="146">
        <v>1</v>
      </c>
      <c r="H353" s="146">
        <v>6</v>
      </c>
      <c r="I353" s="146">
        <v>10</v>
      </c>
      <c r="J353" s="146">
        <v>5</v>
      </c>
      <c r="K353" s="146">
        <v>1</v>
      </c>
      <c r="L353" s="146">
        <v>1.5</v>
      </c>
      <c r="M353" s="145">
        <v>0.125</v>
      </c>
      <c r="N353" s="145">
        <v>0.5</v>
      </c>
      <c r="O353" s="145">
        <v>2</v>
      </c>
      <c r="P353" s="145">
        <v>0.013</v>
      </c>
      <c r="Q353" s="145">
        <f t="shared" si="84"/>
        <v>67.24</v>
      </c>
      <c r="R353" s="145">
        <f t="shared" si="85"/>
        <v>123.1</v>
      </c>
      <c r="S353" s="126">
        <f t="shared" si="101"/>
        <v>91</v>
      </c>
      <c r="T353" s="147">
        <f t="shared" si="86"/>
        <v>6.155</v>
      </c>
      <c r="U353" s="142" t="str">
        <f t="shared" si="102"/>
        <v>[{2,1,182000,182000},{5103001,1,20000,20000},{1,2,750,750},{50002,1,9000,11000},{30,1,11,14},{9,1,112,137}]</v>
      </c>
      <c r="V353" s="142" t="str">
        <f t="shared" si="103"/>
        <v>[{2,1,182000,182000},{5103001,1,40000,40000},{50002,1,6000,6000},{5203001,1,5000,5000},{21360,1,1000,1000},{5301000,1,900,1000},{5303001,1,1800,2200},{11,1,400,600}]</v>
      </c>
      <c r="X353" s="142" t="str">
        <f t="shared" si="87"/>
        <v>{2,1,182000,182000}</v>
      </c>
      <c r="Y353" s="142"/>
      <c r="Z353" s="142" t="str">
        <f t="shared" si="88"/>
        <v>{5103001,1,20000,20000}</v>
      </c>
      <c r="AA353" s="142" t="str">
        <f t="shared" si="104"/>
        <v>{1,2,750,750}</v>
      </c>
      <c r="AD353" s="142" t="str">
        <f t="shared" si="89"/>
        <v>{50002,1,9000,11000}</v>
      </c>
      <c r="AE353" s="142" t="str">
        <f t="shared" si="105"/>
        <v>{30,1,11,14}</v>
      </c>
      <c r="AG353" s="142" t="str">
        <f t="shared" si="90"/>
        <v>{9,1,112,137}</v>
      </c>
      <c r="AH353" s="142" t="str">
        <f t="shared" si="91"/>
        <v>{2,1,182000,182000}</v>
      </c>
      <c r="AI353" s="142" t="str">
        <f t="shared" si="92"/>
        <v>{5103001,1,40000,40000}</v>
      </c>
      <c r="AJ353" s="142" t="str">
        <f t="shared" si="93"/>
        <v>{50002,1,6000,6000}</v>
      </c>
      <c r="AK353" s="142" t="str">
        <f t="shared" si="94"/>
        <v>{5203001,1,5000,5000}</v>
      </c>
      <c r="AL353" s="142" t="str">
        <f t="shared" si="95"/>
        <v>{21360,1,1000,1000}</v>
      </c>
      <c r="AM353" s="142" t="str">
        <f t="shared" si="96"/>
        <v>{5301000,1,900,1000}</v>
      </c>
      <c r="AO353" s="142" t="str">
        <f t="shared" si="97"/>
        <v>{5303001,1,1800,2200}</v>
      </c>
      <c r="AP353" s="142" t="s">
        <v>210</v>
      </c>
      <c r="AQ353" s="142"/>
    </row>
    <row r="354" spans="1:43">
      <c r="A354" s="143" t="str">
        <f t="shared" si="98"/>
        <v>[{2,1,183000,183000},{5103001,1,20000,20000}]</v>
      </c>
      <c r="B354" s="98">
        <f t="shared" si="99"/>
        <v>44</v>
      </c>
      <c r="C354" s="144">
        <v>183</v>
      </c>
      <c r="D354" s="145">
        <f t="shared" si="106"/>
        <v>183</v>
      </c>
      <c r="E354" s="145">
        <v>40</v>
      </c>
      <c r="F354" s="145">
        <v>20</v>
      </c>
      <c r="G354" s="146">
        <v>1</v>
      </c>
      <c r="H354" s="146">
        <v>6</v>
      </c>
      <c r="I354" s="146">
        <v>10</v>
      </c>
      <c r="J354" s="146">
        <v>5</v>
      </c>
      <c r="K354" s="146">
        <v>1</v>
      </c>
      <c r="L354" s="146">
        <v>1.5</v>
      </c>
      <c r="M354" s="145">
        <v>0.125</v>
      </c>
      <c r="N354" s="145">
        <v>0.5</v>
      </c>
      <c r="O354" s="145">
        <v>2</v>
      </c>
      <c r="P354" s="145">
        <v>0.013</v>
      </c>
      <c r="Q354" s="145">
        <f t="shared" si="84"/>
        <v>67.29</v>
      </c>
      <c r="R354" s="145">
        <f t="shared" si="85"/>
        <v>123.15</v>
      </c>
      <c r="S354" s="126">
        <f t="shared" si="101"/>
        <v>91.5</v>
      </c>
      <c r="T354" s="147">
        <f t="shared" si="86"/>
        <v>6.1575</v>
      </c>
      <c r="U354" s="142" t="str">
        <f t="shared" si="102"/>
        <v>[{2,1,183000,183000},{5103001,1,20000,20000},{1,2,750,750},{50002,1,9000,11000},{30,1,11,14},{9,1,112,137}]</v>
      </c>
      <c r="V354" s="142" t="str">
        <f t="shared" si="103"/>
        <v>[{2,1,183000,183000},{5103001,1,40000,40000},{50002,1,6000,6000},{5203001,1,5000,5000},{21360,1,1000,1000},{5301000,1,900,1000},{5303001,1,1800,2200},{11,1,400,600}]</v>
      </c>
      <c r="X354" s="142" t="str">
        <f t="shared" si="87"/>
        <v>{2,1,183000,183000}</v>
      </c>
      <c r="Y354" s="142"/>
      <c r="Z354" s="142" t="str">
        <f t="shared" si="88"/>
        <v>{5103001,1,20000,20000}</v>
      </c>
      <c r="AA354" s="142" t="str">
        <f t="shared" si="104"/>
        <v>{1,2,750,750}</v>
      </c>
      <c r="AD354" s="142" t="str">
        <f t="shared" si="89"/>
        <v>{50002,1,9000,11000}</v>
      </c>
      <c r="AE354" s="142" t="str">
        <f t="shared" si="105"/>
        <v>{30,1,11,14}</v>
      </c>
      <c r="AG354" s="142" t="str">
        <f t="shared" si="90"/>
        <v>{9,1,112,137}</v>
      </c>
      <c r="AH354" s="142" t="str">
        <f t="shared" si="91"/>
        <v>{2,1,183000,183000}</v>
      </c>
      <c r="AI354" s="142" t="str">
        <f t="shared" si="92"/>
        <v>{5103001,1,40000,40000}</v>
      </c>
      <c r="AJ354" s="142" t="str">
        <f t="shared" si="93"/>
        <v>{50002,1,6000,6000}</v>
      </c>
      <c r="AK354" s="142" t="str">
        <f t="shared" si="94"/>
        <v>{5203001,1,5000,5000}</v>
      </c>
      <c r="AL354" s="142" t="str">
        <f t="shared" si="95"/>
        <v>{21360,1,1000,1000}</v>
      </c>
      <c r="AM354" s="142" t="str">
        <f t="shared" si="96"/>
        <v>{5301000,1,900,1000}</v>
      </c>
      <c r="AO354" s="142" t="str">
        <f t="shared" si="97"/>
        <v>{5303001,1,1800,2200}</v>
      </c>
      <c r="AP354" s="142" t="s">
        <v>210</v>
      </c>
      <c r="AQ354" s="142"/>
    </row>
    <row r="355" spans="1:43">
      <c r="A355" s="143" t="str">
        <f t="shared" si="98"/>
        <v>[{2,1,184000,184000},{5103001,1,20000,20000}]</v>
      </c>
      <c r="B355" s="98">
        <f t="shared" si="99"/>
        <v>45</v>
      </c>
      <c r="C355" s="144">
        <v>184</v>
      </c>
      <c r="D355" s="145">
        <f t="shared" si="106"/>
        <v>184</v>
      </c>
      <c r="E355" s="145">
        <v>40</v>
      </c>
      <c r="F355" s="145">
        <v>20</v>
      </c>
      <c r="G355" s="146">
        <v>1</v>
      </c>
      <c r="H355" s="146">
        <v>6</v>
      </c>
      <c r="I355" s="146">
        <v>10</v>
      </c>
      <c r="J355" s="146">
        <v>5</v>
      </c>
      <c r="K355" s="146">
        <v>1</v>
      </c>
      <c r="L355" s="146">
        <v>1.5</v>
      </c>
      <c r="M355" s="145">
        <v>0.125</v>
      </c>
      <c r="N355" s="145">
        <v>0.5</v>
      </c>
      <c r="O355" s="145">
        <v>2</v>
      </c>
      <c r="P355" s="145">
        <v>0.013</v>
      </c>
      <c r="Q355" s="145">
        <f t="shared" si="84"/>
        <v>67.34</v>
      </c>
      <c r="R355" s="145">
        <f t="shared" si="85"/>
        <v>123.2</v>
      </c>
      <c r="S355" s="126">
        <f t="shared" si="101"/>
        <v>92</v>
      </c>
      <c r="T355" s="147">
        <f t="shared" si="86"/>
        <v>6.16</v>
      </c>
      <c r="U355" s="142" t="str">
        <f t="shared" si="102"/>
        <v>[{2,1,184000,184000},{5103001,1,20000,20000},{1,2,750,750},{50002,1,9000,11000},{30,1,11,14},{9,1,112,137}]</v>
      </c>
      <c r="V355" s="142" t="str">
        <f t="shared" si="103"/>
        <v>[{2,1,184000,184000},{5103001,1,40000,40000},{50002,1,6000,6000},{5203001,1,5000,5000},{21360,1,1000,1000},{5301000,1,900,1000},{5303001,1,1800,2200},{11,1,400,600}]</v>
      </c>
      <c r="X355" s="142" t="str">
        <f t="shared" si="87"/>
        <v>{2,1,184000,184000}</v>
      </c>
      <c r="Y355" s="142"/>
      <c r="Z355" s="142" t="str">
        <f t="shared" si="88"/>
        <v>{5103001,1,20000,20000}</v>
      </c>
      <c r="AA355" s="142" t="str">
        <f t="shared" si="104"/>
        <v>{1,2,750,750}</v>
      </c>
      <c r="AD355" s="142" t="str">
        <f t="shared" si="89"/>
        <v>{50002,1,9000,11000}</v>
      </c>
      <c r="AE355" s="142" t="str">
        <f t="shared" si="105"/>
        <v>{30,1,11,14}</v>
      </c>
      <c r="AG355" s="142" t="str">
        <f t="shared" si="90"/>
        <v>{9,1,112,137}</v>
      </c>
      <c r="AH355" s="142" t="str">
        <f t="shared" si="91"/>
        <v>{2,1,184000,184000}</v>
      </c>
      <c r="AI355" s="142" t="str">
        <f t="shared" si="92"/>
        <v>{5103001,1,40000,40000}</v>
      </c>
      <c r="AJ355" s="142" t="str">
        <f t="shared" si="93"/>
        <v>{50002,1,6000,6000}</v>
      </c>
      <c r="AK355" s="142" t="str">
        <f t="shared" si="94"/>
        <v>{5203001,1,5000,5000}</v>
      </c>
      <c r="AL355" s="142" t="str">
        <f t="shared" si="95"/>
        <v>{21360,1,1000,1000}</v>
      </c>
      <c r="AM355" s="142" t="str">
        <f t="shared" si="96"/>
        <v>{5301000,1,900,1000}</v>
      </c>
      <c r="AO355" s="142" t="str">
        <f t="shared" si="97"/>
        <v>{5303001,1,1800,2200}</v>
      </c>
      <c r="AP355" s="142" t="s">
        <v>210</v>
      </c>
      <c r="AQ355" s="142"/>
    </row>
    <row r="356" spans="1:43">
      <c r="A356" s="143" t="str">
        <f t="shared" si="98"/>
        <v>[{2,1,185000,185000},{5103001,1,20000,20000}]</v>
      </c>
      <c r="B356" s="98">
        <f t="shared" si="99"/>
        <v>46</v>
      </c>
      <c r="C356" s="144">
        <v>185</v>
      </c>
      <c r="D356" s="145">
        <f t="shared" si="106"/>
        <v>185</v>
      </c>
      <c r="E356" s="145">
        <v>40</v>
      </c>
      <c r="F356" s="145">
        <v>20</v>
      </c>
      <c r="G356" s="146">
        <v>1</v>
      </c>
      <c r="H356" s="146">
        <v>6</v>
      </c>
      <c r="I356" s="146">
        <v>10</v>
      </c>
      <c r="J356" s="146">
        <v>5</v>
      </c>
      <c r="K356" s="146">
        <v>1</v>
      </c>
      <c r="L356" s="146">
        <v>1.5</v>
      </c>
      <c r="M356" s="145">
        <v>0.125</v>
      </c>
      <c r="N356" s="145">
        <v>0.5</v>
      </c>
      <c r="O356" s="145">
        <v>2</v>
      </c>
      <c r="P356" s="145">
        <v>0.013</v>
      </c>
      <c r="Q356" s="145">
        <f t="shared" si="84"/>
        <v>67.39</v>
      </c>
      <c r="R356" s="145">
        <f t="shared" si="85"/>
        <v>123.25</v>
      </c>
      <c r="S356" s="126">
        <f t="shared" si="101"/>
        <v>92.5</v>
      </c>
      <c r="T356" s="147">
        <f t="shared" si="86"/>
        <v>6.1625</v>
      </c>
      <c r="U356" s="142" t="str">
        <f t="shared" si="102"/>
        <v>[{2,1,185000,185000},{5103001,1,20000,20000},{1,2,750,750},{50002,1,9000,11000},{30,1,11,14},{9,1,112,137}]</v>
      </c>
      <c r="V356" s="142" t="str">
        <f t="shared" si="103"/>
        <v>[{2,1,185000,185000},{5103001,1,40000,40000},{50002,1,6000,6000},{5203001,1,5000,5000},{21360,1,1000,1000},{5301000,1,900,1000},{5303001,1,1800,2200},{11,1,400,600}]</v>
      </c>
      <c r="X356" s="142" t="str">
        <f t="shared" si="87"/>
        <v>{2,1,185000,185000}</v>
      </c>
      <c r="Y356" s="142"/>
      <c r="Z356" s="142" t="str">
        <f t="shared" si="88"/>
        <v>{5103001,1,20000,20000}</v>
      </c>
      <c r="AA356" s="142" t="str">
        <f t="shared" si="104"/>
        <v>{1,2,750,750}</v>
      </c>
      <c r="AD356" s="142" t="str">
        <f t="shared" si="89"/>
        <v>{50002,1,9000,11000}</v>
      </c>
      <c r="AE356" s="142" t="str">
        <f t="shared" si="105"/>
        <v>{30,1,11,14}</v>
      </c>
      <c r="AG356" s="142" t="str">
        <f t="shared" si="90"/>
        <v>{9,1,112,137}</v>
      </c>
      <c r="AH356" s="142" t="str">
        <f t="shared" si="91"/>
        <v>{2,1,185000,185000}</v>
      </c>
      <c r="AI356" s="142" t="str">
        <f t="shared" si="92"/>
        <v>{5103001,1,40000,40000}</v>
      </c>
      <c r="AJ356" s="142" t="str">
        <f t="shared" si="93"/>
        <v>{50002,1,6000,6000}</v>
      </c>
      <c r="AK356" s="142" t="str">
        <f t="shared" si="94"/>
        <v>{5203001,1,5000,5000}</v>
      </c>
      <c r="AL356" s="142" t="str">
        <f t="shared" si="95"/>
        <v>{21360,1,1000,1000}</v>
      </c>
      <c r="AM356" s="142" t="str">
        <f t="shared" si="96"/>
        <v>{5301000,1,900,1000}</v>
      </c>
      <c r="AO356" s="142" t="str">
        <f t="shared" si="97"/>
        <v>{5303001,1,1800,2200}</v>
      </c>
      <c r="AP356" s="142" t="s">
        <v>210</v>
      </c>
      <c r="AQ356" s="142"/>
    </row>
    <row r="357" spans="1:43">
      <c r="A357" s="143" t="str">
        <f t="shared" si="98"/>
        <v>[{2,1,186000,186000},{5103001,1,20000,20000}]</v>
      </c>
      <c r="B357" s="98">
        <f t="shared" si="99"/>
        <v>47</v>
      </c>
      <c r="C357" s="144">
        <v>186</v>
      </c>
      <c r="D357" s="145">
        <f t="shared" si="106"/>
        <v>186</v>
      </c>
      <c r="E357" s="145">
        <v>40</v>
      </c>
      <c r="F357" s="145">
        <v>20</v>
      </c>
      <c r="G357" s="146">
        <v>1</v>
      </c>
      <c r="H357" s="146">
        <v>6</v>
      </c>
      <c r="I357" s="146">
        <v>10</v>
      </c>
      <c r="J357" s="146">
        <v>5</v>
      </c>
      <c r="K357" s="146">
        <v>1</v>
      </c>
      <c r="L357" s="146">
        <v>1.5</v>
      </c>
      <c r="M357" s="145">
        <v>0.125</v>
      </c>
      <c r="N357" s="145">
        <v>0.5</v>
      </c>
      <c r="O357" s="145">
        <v>2</v>
      </c>
      <c r="P357" s="145">
        <v>0.013</v>
      </c>
      <c r="Q357" s="145">
        <f t="shared" si="84"/>
        <v>67.44</v>
      </c>
      <c r="R357" s="145">
        <f t="shared" si="85"/>
        <v>123.3</v>
      </c>
      <c r="S357" s="126">
        <f t="shared" si="101"/>
        <v>93</v>
      </c>
      <c r="T357" s="147">
        <f t="shared" si="86"/>
        <v>6.165</v>
      </c>
      <c r="U357" s="142" t="str">
        <f t="shared" si="102"/>
        <v>[{2,1,186000,186000},{5103001,1,20000,20000},{1,2,750,750},{50002,1,9000,11000},{30,1,11,14},{9,1,112,137}]</v>
      </c>
      <c r="V357" s="142" t="str">
        <f t="shared" si="103"/>
        <v>[{2,1,186000,186000},{5103001,1,40000,40000},{50002,1,6000,6000},{5203001,1,5000,5000},{21360,1,1000,1000},{5301000,1,900,1000},{5303001,1,1800,2200},{11,1,400,600}]</v>
      </c>
      <c r="X357" s="142" t="str">
        <f t="shared" si="87"/>
        <v>{2,1,186000,186000}</v>
      </c>
      <c r="Y357" s="142"/>
      <c r="Z357" s="142" t="str">
        <f t="shared" si="88"/>
        <v>{5103001,1,20000,20000}</v>
      </c>
      <c r="AA357" s="142" t="str">
        <f t="shared" si="104"/>
        <v>{1,2,750,750}</v>
      </c>
      <c r="AD357" s="142" t="str">
        <f t="shared" si="89"/>
        <v>{50002,1,9000,11000}</v>
      </c>
      <c r="AE357" s="142" t="str">
        <f t="shared" si="105"/>
        <v>{30,1,11,14}</v>
      </c>
      <c r="AG357" s="142" t="str">
        <f t="shared" si="90"/>
        <v>{9,1,112,137}</v>
      </c>
      <c r="AH357" s="142" t="str">
        <f t="shared" si="91"/>
        <v>{2,1,186000,186000}</v>
      </c>
      <c r="AI357" s="142" t="str">
        <f t="shared" si="92"/>
        <v>{5103001,1,40000,40000}</v>
      </c>
      <c r="AJ357" s="142" t="str">
        <f t="shared" si="93"/>
        <v>{50002,1,6000,6000}</v>
      </c>
      <c r="AK357" s="142" t="str">
        <f t="shared" si="94"/>
        <v>{5203001,1,5000,5000}</v>
      </c>
      <c r="AL357" s="142" t="str">
        <f t="shared" si="95"/>
        <v>{21360,1,1000,1000}</v>
      </c>
      <c r="AM357" s="142" t="str">
        <f t="shared" si="96"/>
        <v>{5301000,1,900,1000}</v>
      </c>
      <c r="AO357" s="142" t="str">
        <f t="shared" si="97"/>
        <v>{5303001,1,1800,2200}</v>
      </c>
      <c r="AP357" s="142" t="s">
        <v>210</v>
      </c>
      <c r="AQ357" s="142"/>
    </row>
    <row r="358" spans="1:43">
      <c r="A358" s="143" t="str">
        <f t="shared" si="98"/>
        <v>[{2,1,187000,187000},{5103001,1,20000,20000}]</v>
      </c>
      <c r="B358" s="98">
        <f t="shared" si="99"/>
        <v>48</v>
      </c>
      <c r="C358" s="144">
        <v>187</v>
      </c>
      <c r="D358" s="145">
        <f t="shared" si="106"/>
        <v>187</v>
      </c>
      <c r="E358" s="145">
        <v>40</v>
      </c>
      <c r="F358" s="145">
        <v>20</v>
      </c>
      <c r="G358" s="146">
        <v>1</v>
      </c>
      <c r="H358" s="146">
        <v>6</v>
      </c>
      <c r="I358" s="146">
        <v>10</v>
      </c>
      <c r="J358" s="146">
        <v>5</v>
      </c>
      <c r="K358" s="146">
        <v>1</v>
      </c>
      <c r="L358" s="146">
        <v>1.5</v>
      </c>
      <c r="M358" s="145">
        <v>0.125</v>
      </c>
      <c r="N358" s="145">
        <v>0.5</v>
      </c>
      <c r="O358" s="145">
        <v>2</v>
      </c>
      <c r="P358" s="145">
        <v>0.013</v>
      </c>
      <c r="Q358" s="145">
        <f t="shared" si="84"/>
        <v>67.49</v>
      </c>
      <c r="R358" s="145">
        <f t="shared" si="85"/>
        <v>123.35</v>
      </c>
      <c r="S358" s="126">
        <f t="shared" si="101"/>
        <v>93.5</v>
      </c>
      <c r="T358" s="147">
        <f t="shared" si="86"/>
        <v>6.1675</v>
      </c>
      <c r="U358" s="142" t="str">
        <f t="shared" si="102"/>
        <v>[{2,1,187000,187000},{5103001,1,20000,20000},{1,2,750,750},{50002,1,9000,11000},{30,1,11,14},{9,1,112,137}]</v>
      </c>
      <c r="V358" s="142" t="str">
        <f t="shared" si="103"/>
        <v>[{2,1,187000,187000},{5103001,1,40000,40000},{50002,1,6000,6000},{5203001,1,5000,5000},{21360,1,1000,1000},{5301000,1,900,1000},{5303001,1,1800,2200},{11,1,400,600}]</v>
      </c>
      <c r="X358" s="142" t="str">
        <f t="shared" si="87"/>
        <v>{2,1,187000,187000}</v>
      </c>
      <c r="Y358" s="142"/>
      <c r="Z358" s="142" t="str">
        <f t="shared" si="88"/>
        <v>{5103001,1,20000,20000}</v>
      </c>
      <c r="AA358" s="142" t="str">
        <f t="shared" si="104"/>
        <v>{1,2,750,750}</v>
      </c>
      <c r="AD358" s="142" t="str">
        <f t="shared" si="89"/>
        <v>{50002,1,9000,11000}</v>
      </c>
      <c r="AE358" s="142" t="str">
        <f t="shared" si="105"/>
        <v>{30,1,11,14}</v>
      </c>
      <c r="AG358" s="142" t="str">
        <f t="shared" si="90"/>
        <v>{9,1,112,137}</v>
      </c>
      <c r="AH358" s="142" t="str">
        <f t="shared" si="91"/>
        <v>{2,1,187000,187000}</v>
      </c>
      <c r="AI358" s="142" t="str">
        <f t="shared" si="92"/>
        <v>{5103001,1,40000,40000}</v>
      </c>
      <c r="AJ358" s="142" t="str">
        <f t="shared" si="93"/>
        <v>{50002,1,6000,6000}</v>
      </c>
      <c r="AK358" s="142" t="str">
        <f t="shared" si="94"/>
        <v>{5203001,1,5000,5000}</v>
      </c>
      <c r="AL358" s="142" t="str">
        <f t="shared" si="95"/>
        <v>{21360,1,1000,1000}</v>
      </c>
      <c r="AM358" s="142" t="str">
        <f t="shared" si="96"/>
        <v>{5301000,1,900,1000}</v>
      </c>
      <c r="AO358" s="142" t="str">
        <f t="shared" si="97"/>
        <v>{5303001,1,1800,2200}</v>
      </c>
      <c r="AP358" s="142" t="s">
        <v>210</v>
      </c>
      <c r="AQ358" s="142"/>
    </row>
    <row r="359" spans="1:43">
      <c r="A359" s="143" t="str">
        <f t="shared" si="98"/>
        <v>[{2,1,188000,188000},{5103001,1,20000,20000}]</v>
      </c>
      <c r="B359" s="98">
        <f t="shared" si="99"/>
        <v>49</v>
      </c>
      <c r="C359" s="144">
        <v>188</v>
      </c>
      <c r="D359" s="145">
        <f t="shared" si="106"/>
        <v>188</v>
      </c>
      <c r="E359" s="145">
        <v>40</v>
      </c>
      <c r="F359" s="145">
        <v>20</v>
      </c>
      <c r="G359" s="146">
        <v>1</v>
      </c>
      <c r="H359" s="146">
        <v>6</v>
      </c>
      <c r="I359" s="146">
        <v>10</v>
      </c>
      <c r="J359" s="146">
        <v>5</v>
      </c>
      <c r="K359" s="146">
        <v>1</v>
      </c>
      <c r="L359" s="146">
        <v>1.5</v>
      </c>
      <c r="M359" s="145">
        <v>0.125</v>
      </c>
      <c r="N359" s="145">
        <v>0.5</v>
      </c>
      <c r="O359" s="145">
        <v>2</v>
      </c>
      <c r="P359" s="145">
        <v>0.013</v>
      </c>
      <c r="Q359" s="145">
        <f t="shared" si="84"/>
        <v>67.54</v>
      </c>
      <c r="R359" s="145">
        <f t="shared" si="85"/>
        <v>123.4</v>
      </c>
      <c r="S359" s="126">
        <f t="shared" si="101"/>
        <v>94</v>
      </c>
      <c r="T359" s="147">
        <f t="shared" si="86"/>
        <v>6.17</v>
      </c>
      <c r="U359" s="142" t="str">
        <f t="shared" si="102"/>
        <v>[{2,1,188000,188000},{5103001,1,20000,20000},{1,2,750,750},{50002,1,9000,11000},{30,1,11,14},{9,1,112,137}]</v>
      </c>
      <c r="V359" s="142" t="str">
        <f t="shared" si="103"/>
        <v>[{2,1,188000,188000},{5103001,1,40000,40000},{50002,1,6000,6000},{5203001,1,5000,5000},{21360,1,1000,1000},{5301000,1,900,1000},{5303001,1,1800,2200},{11,1,400,600}]</v>
      </c>
      <c r="X359" s="142" t="str">
        <f t="shared" si="87"/>
        <v>{2,1,188000,188000}</v>
      </c>
      <c r="Y359" s="142"/>
      <c r="Z359" s="142" t="str">
        <f t="shared" si="88"/>
        <v>{5103001,1,20000,20000}</v>
      </c>
      <c r="AA359" s="142" t="str">
        <f t="shared" si="104"/>
        <v>{1,2,750,750}</v>
      </c>
      <c r="AD359" s="142" t="str">
        <f t="shared" si="89"/>
        <v>{50002,1,9000,11000}</v>
      </c>
      <c r="AE359" s="142" t="str">
        <f t="shared" si="105"/>
        <v>{30,1,11,14}</v>
      </c>
      <c r="AG359" s="142" t="str">
        <f t="shared" si="90"/>
        <v>{9,1,112,137}</v>
      </c>
      <c r="AH359" s="142" t="str">
        <f t="shared" si="91"/>
        <v>{2,1,188000,188000}</v>
      </c>
      <c r="AI359" s="142" t="str">
        <f t="shared" si="92"/>
        <v>{5103001,1,40000,40000}</v>
      </c>
      <c r="AJ359" s="142" t="str">
        <f t="shared" si="93"/>
        <v>{50002,1,6000,6000}</v>
      </c>
      <c r="AK359" s="142" t="str">
        <f t="shared" si="94"/>
        <v>{5203001,1,5000,5000}</v>
      </c>
      <c r="AL359" s="142" t="str">
        <f t="shared" si="95"/>
        <v>{21360,1,1000,1000}</v>
      </c>
      <c r="AM359" s="142" t="str">
        <f t="shared" si="96"/>
        <v>{5301000,1,900,1000}</v>
      </c>
      <c r="AO359" s="142" t="str">
        <f t="shared" si="97"/>
        <v>{5303001,1,1800,2200}</v>
      </c>
      <c r="AP359" s="142" t="s">
        <v>210</v>
      </c>
      <c r="AQ359" s="142"/>
    </row>
    <row r="360" spans="1:43">
      <c r="A360" s="143" t="str">
        <f t="shared" si="98"/>
        <v>[{2,1,189000,189000},{5103001,1,20000,20000}]</v>
      </c>
      <c r="B360" s="98">
        <f t="shared" si="99"/>
        <v>50</v>
      </c>
      <c r="C360" s="144">
        <v>189</v>
      </c>
      <c r="D360" s="145">
        <f t="shared" si="106"/>
        <v>189</v>
      </c>
      <c r="E360" s="145">
        <v>40</v>
      </c>
      <c r="F360" s="145">
        <v>20</v>
      </c>
      <c r="G360" s="146">
        <v>1</v>
      </c>
      <c r="H360" s="146">
        <v>6</v>
      </c>
      <c r="I360" s="146">
        <v>10</v>
      </c>
      <c r="J360" s="146">
        <v>5</v>
      </c>
      <c r="K360" s="146">
        <v>1</v>
      </c>
      <c r="L360" s="146">
        <v>1.5</v>
      </c>
      <c r="M360" s="145">
        <v>0.125</v>
      </c>
      <c r="N360" s="145">
        <v>0.5</v>
      </c>
      <c r="O360" s="145">
        <v>2</v>
      </c>
      <c r="P360" s="145">
        <v>0.013</v>
      </c>
      <c r="Q360" s="145">
        <f t="shared" si="84"/>
        <v>67.59</v>
      </c>
      <c r="R360" s="145">
        <f t="shared" si="85"/>
        <v>123.45</v>
      </c>
      <c r="S360" s="126">
        <f t="shared" si="101"/>
        <v>94.5</v>
      </c>
      <c r="T360" s="147">
        <f t="shared" si="86"/>
        <v>6.1725</v>
      </c>
      <c r="U360" s="142" t="str">
        <f t="shared" si="102"/>
        <v>[{2,1,189000,189000},{5103001,1,20000,20000},{1,2,750,750},{50002,1,9000,11000},{30,1,11,14},{9,1,112,137}]</v>
      </c>
      <c r="V360" s="142" t="str">
        <f t="shared" si="103"/>
        <v>[{2,1,189000,189000},{5103001,1,40000,40000},{50002,1,6000,6000},{5203001,1,5000,5000},{21360,1,1000,1000},{5301000,1,900,1000},{5303001,1,1800,2200},{11,1,400,600}]</v>
      </c>
      <c r="X360" s="142" t="str">
        <f t="shared" si="87"/>
        <v>{2,1,189000,189000}</v>
      </c>
      <c r="Y360" s="142"/>
      <c r="Z360" s="142" t="str">
        <f t="shared" si="88"/>
        <v>{5103001,1,20000,20000}</v>
      </c>
      <c r="AA360" s="142" t="str">
        <f t="shared" si="104"/>
        <v>{1,2,750,750}</v>
      </c>
      <c r="AD360" s="142" t="str">
        <f t="shared" si="89"/>
        <v>{50002,1,9000,11000}</v>
      </c>
      <c r="AE360" s="142" t="str">
        <f t="shared" si="105"/>
        <v>{30,1,11,14}</v>
      </c>
      <c r="AG360" s="142" t="str">
        <f t="shared" si="90"/>
        <v>{9,1,112,137}</v>
      </c>
      <c r="AH360" s="142" t="str">
        <f t="shared" si="91"/>
        <v>{2,1,189000,189000}</v>
      </c>
      <c r="AI360" s="142" t="str">
        <f t="shared" si="92"/>
        <v>{5103001,1,40000,40000}</v>
      </c>
      <c r="AJ360" s="142" t="str">
        <f t="shared" si="93"/>
        <v>{50002,1,6000,6000}</v>
      </c>
      <c r="AK360" s="142" t="str">
        <f t="shared" si="94"/>
        <v>{5203001,1,5000,5000}</v>
      </c>
      <c r="AL360" s="142" t="str">
        <f t="shared" si="95"/>
        <v>{21360,1,1000,1000}</v>
      </c>
      <c r="AM360" s="142" t="str">
        <f t="shared" si="96"/>
        <v>{5301000,1,900,1000}</v>
      </c>
      <c r="AO360" s="142" t="str">
        <f t="shared" si="97"/>
        <v>{5303001,1,1800,2200}</v>
      </c>
      <c r="AP360" s="142" t="s">
        <v>210</v>
      </c>
      <c r="AQ360" s="142"/>
    </row>
    <row r="361" spans="1:43">
      <c r="A361" s="143" t="str">
        <f t="shared" si="98"/>
        <v>[{2,1,190000,190000},{5103001,1,20000,20000}]</v>
      </c>
      <c r="B361" s="98">
        <f t="shared" si="99"/>
        <v>51</v>
      </c>
      <c r="C361" s="144">
        <v>190</v>
      </c>
      <c r="D361" s="145">
        <f t="shared" si="106"/>
        <v>190</v>
      </c>
      <c r="E361" s="145">
        <v>40</v>
      </c>
      <c r="F361" s="145">
        <v>20</v>
      </c>
      <c r="G361" s="146">
        <v>1</v>
      </c>
      <c r="H361" s="146">
        <v>6</v>
      </c>
      <c r="I361" s="146">
        <v>10</v>
      </c>
      <c r="J361" s="146">
        <v>5</v>
      </c>
      <c r="K361" s="146">
        <v>1</v>
      </c>
      <c r="L361" s="146">
        <v>1.5</v>
      </c>
      <c r="M361" s="145">
        <v>0.125</v>
      </c>
      <c r="N361" s="145">
        <v>0.5</v>
      </c>
      <c r="O361" s="145">
        <v>2</v>
      </c>
      <c r="P361" s="145">
        <v>0.013</v>
      </c>
      <c r="Q361" s="145">
        <f t="shared" si="84"/>
        <v>67.64</v>
      </c>
      <c r="R361" s="145">
        <f t="shared" si="85"/>
        <v>123.5</v>
      </c>
      <c r="S361" s="126">
        <f t="shared" si="101"/>
        <v>95</v>
      </c>
      <c r="T361" s="147">
        <f t="shared" si="86"/>
        <v>6.175</v>
      </c>
      <c r="U361" s="142" t="str">
        <f t="shared" si="102"/>
        <v>[{2,1,190000,190000},{5103001,1,20000,20000},{1,2,750,750},{50002,1,9000,11000},{30,1,11,14},{9,1,112,137}]</v>
      </c>
      <c r="V361" s="142" t="str">
        <f t="shared" si="103"/>
        <v>[{2,1,190000,190000},{5103001,1,40000,40000},{50002,1,6000,6000},{5203001,1,5000,5000},{21360,1,1000,1000},{5301000,1,900,1000},{5303001,1,1800,2200},{11,1,400,600}]</v>
      </c>
      <c r="X361" s="142" t="str">
        <f t="shared" si="87"/>
        <v>{2,1,190000,190000}</v>
      </c>
      <c r="Y361" s="142"/>
      <c r="Z361" s="142" t="str">
        <f t="shared" si="88"/>
        <v>{5103001,1,20000,20000}</v>
      </c>
      <c r="AA361" s="142" t="str">
        <f t="shared" si="104"/>
        <v>{1,2,750,750}</v>
      </c>
      <c r="AD361" s="142" t="str">
        <f t="shared" si="89"/>
        <v>{50002,1,9000,11000}</v>
      </c>
      <c r="AE361" s="142" t="str">
        <f t="shared" si="105"/>
        <v>{30,1,11,14}</v>
      </c>
      <c r="AG361" s="142" t="str">
        <f t="shared" si="90"/>
        <v>{9,1,112,137}</v>
      </c>
      <c r="AH361" s="142" t="str">
        <f t="shared" si="91"/>
        <v>{2,1,190000,190000}</v>
      </c>
      <c r="AI361" s="142" t="str">
        <f t="shared" si="92"/>
        <v>{5103001,1,40000,40000}</v>
      </c>
      <c r="AJ361" s="142" t="str">
        <f t="shared" si="93"/>
        <v>{50002,1,6000,6000}</v>
      </c>
      <c r="AK361" s="142" t="str">
        <f t="shared" si="94"/>
        <v>{5203001,1,5000,5000}</v>
      </c>
      <c r="AL361" s="142" t="str">
        <f t="shared" si="95"/>
        <v>{21360,1,1000,1000}</v>
      </c>
      <c r="AM361" s="142" t="str">
        <f t="shared" si="96"/>
        <v>{5301000,1,900,1000}</v>
      </c>
      <c r="AO361" s="142" t="str">
        <f t="shared" si="97"/>
        <v>{5303001,1,1800,2200}</v>
      </c>
      <c r="AP361" s="142" t="s">
        <v>210</v>
      </c>
      <c r="AQ361" s="142"/>
    </row>
    <row r="362" spans="1:43">
      <c r="A362" s="143" t="str">
        <f t="shared" si="98"/>
        <v>[{2,1,191000,191000},{5103001,1,20000,20000}]</v>
      </c>
      <c r="B362" s="98">
        <f t="shared" si="99"/>
        <v>52</v>
      </c>
      <c r="C362" s="144">
        <v>191</v>
      </c>
      <c r="D362" s="145">
        <f t="shared" si="106"/>
        <v>191</v>
      </c>
      <c r="E362" s="145">
        <v>40</v>
      </c>
      <c r="F362" s="145">
        <v>20</v>
      </c>
      <c r="G362" s="146">
        <v>1</v>
      </c>
      <c r="H362" s="146">
        <v>6</v>
      </c>
      <c r="I362" s="146">
        <v>10</v>
      </c>
      <c r="J362" s="146">
        <v>5</v>
      </c>
      <c r="K362" s="146">
        <v>1</v>
      </c>
      <c r="L362" s="146">
        <v>1.5</v>
      </c>
      <c r="M362" s="145">
        <v>0.125</v>
      </c>
      <c r="N362" s="145">
        <v>0.5</v>
      </c>
      <c r="O362" s="145">
        <v>2</v>
      </c>
      <c r="P362" s="145">
        <v>0.013</v>
      </c>
      <c r="Q362" s="145">
        <f t="shared" si="84"/>
        <v>67.69</v>
      </c>
      <c r="R362" s="145">
        <f t="shared" si="85"/>
        <v>123.55</v>
      </c>
      <c r="S362" s="126">
        <f t="shared" si="101"/>
        <v>95.5</v>
      </c>
      <c r="T362" s="147">
        <f t="shared" si="86"/>
        <v>6.1775</v>
      </c>
      <c r="U362" s="142" t="str">
        <f t="shared" si="102"/>
        <v>[{2,1,191000,191000},{5103001,1,20000,20000},{1,2,750,750},{50002,1,9000,11000},{30,1,11,14},{9,1,112,137}]</v>
      </c>
      <c r="V362" s="142" t="str">
        <f t="shared" si="103"/>
        <v>[{2,1,191000,191000},{5103001,1,40000,40000},{50002,1,6000,6000},{5203001,1,5000,5000},{21360,1,1000,1000},{5301000,1,900,1000},{5303001,1,1800,2200},{11,1,400,600}]</v>
      </c>
      <c r="X362" s="142" t="str">
        <f t="shared" si="87"/>
        <v>{2,1,191000,191000}</v>
      </c>
      <c r="Y362" s="142"/>
      <c r="Z362" s="142" t="str">
        <f t="shared" si="88"/>
        <v>{5103001,1,20000,20000}</v>
      </c>
      <c r="AA362" s="142" t="str">
        <f t="shared" si="104"/>
        <v>{1,2,750,750}</v>
      </c>
      <c r="AD362" s="142" t="str">
        <f t="shared" si="89"/>
        <v>{50002,1,9000,11000}</v>
      </c>
      <c r="AE362" s="142" t="str">
        <f t="shared" si="105"/>
        <v>{30,1,11,14}</v>
      </c>
      <c r="AG362" s="142" t="str">
        <f t="shared" si="90"/>
        <v>{9,1,112,137}</v>
      </c>
      <c r="AH362" s="142" t="str">
        <f t="shared" si="91"/>
        <v>{2,1,191000,191000}</v>
      </c>
      <c r="AI362" s="142" t="str">
        <f t="shared" si="92"/>
        <v>{5103001,1,40000,40000}</v>
      </c>
      <c r="AJ362" s="142" t="str">
        <f t="shared" si="93"/>
        <v>{50002,1,6000,6000}</v>
      </c>
      <c r="AK362" s="142" t="str">
        <f t="shared" si="94"/>
        <v>{5203001,1,5000,5000}</v>
      </c>
      <c r="AL362" s="142" t="str">
        <f t="shared" si="95"/>
        <v>{21360,1,1000,1000}</v>
      </c>
      <c r="AM362" s="142" t="str">
        <f t="shared" si="96"/>
        <v>{5301000,1,900,1000}</v>
      </c>
      <c r="AO362" s="142" t="str">
        <f t="shared" si="97"/>
        <v>{5303001,1,1800,2200}</v>
      </c>
      <c r="AP362" s="142" t="s">
        <v>210</v>
      </c>
      <c r="AQ362" s="142"/>
    </row>
    <row r="363" spans="1:43">
      <c r="A363" s="143" t="str">
        <f t="shared" si="98"/>
        <v>[{2,1,192000,192000},{5103001,1,20000,20000}]</v>
      </c>
      <c r="B363" s="98">
        <f t="shared" si="99"/>
        <v>53</v>
      </c>
      <c r="C363" s="144">
        <v>192</v>
      </c>
      <c r="D363" s="145">
        <f t="shared" si="106"/>
        <v>192</v>
      </c>
      <c r="E363" s="145">
        <v>40</v>
      </c>
      <c r="F363" s="145">
        <v>20</v>
      </c>
      <c r="G363" s="146">
        <v>1</v>
      </c>
      <c r="H363" s="146">
        <v>6</v>
      </c>
      <c r="I363" s="146">
        <v>10</v>
      </c>
      <c r="J363" s="146">
        <v>5</v>
      </c>
      <c r="K363" s="146">
        <v>1</v>
      </c>
      <c r="L363" s="146">
        <v>1.5</v>
      </c>
      <c r="M363" s="145">
        <v>0.125</v>
      </c>
      <c r="N363" s="145">
        <v>0.5</v>
      </c>
      <c r="O363" s="145">
        <v>2</v>
      </c>
      <c r="P363" s="145">
        <v>0.013</v>
      </c>
      <c r="Q363" s="145">
        <f t="shared" si="84"/>
        <v>67.74</v>
      </c>
      <c r="R363" s="145">
        <f t="shared" si="85"/>
        <v>123.6</v>
      </c>
      <c r="S363" s="126">
        <f t="shared" si="101"/>
        <v>96</v>
      </c>
      <c r="T363" s="147">
        <f t="shared" si="86"/>
        <v>6.18</v>
      </c>
      <c r="U363" s="142" t="str">
        <f t="shared" si="102"/>
        <v>[{2,1,192000,192000},{5103001,1,20000,20000},{1,2,750,750},{50002,1,9000,11000},{30,1,11,14},{9,1,112,137}]</v>
      </c>
      <c r="V363" s="142" t="str">
        <f t="shared" si="103"/>
        <v>[{2,1,192000,192000},{5103001,1,40000,40000},{50002,1,6000,6000},{5203001,1,5000,5000},{21360,1,1000,1000},{5301000,1,900,1000},{5303001,1,1800,2200},{11,1,400,600}]</v>
      </c>
      <c r="X363" s="142" t="str">
        <f t="shared" si="87"/>
        <v>{2,1,192000,192000}</v>
      </c>
      <c r="Y363" s="142"/>
      <c r="Z363" s="142" t="str">
        <f t="shared" si="88"/>
        <v>{5103001,1,20000,20000}</v>
      </c>
      <c r="AA363" s="142" t="str">
        <f t="shared" si="104"/>
        <v>{1,2,750,750}</v>
      </c>
      <c r="AD363" s="142" t="str">
        <f t="shared" si="89"/>
        <v>{50002,1,9000,11000}</v>
      </c>
      <c r="AE363" s="142" t="str">
        <f t="shared" si="105"/>
        <v>{30,1,11,14}</v>
      </c>
      <c r="AG363" s="142" t="str">
        <f t="shared" si="90"/>
        <v>{9,1,112,137}</v>
      </c>
      <c r="AH363" s="142" t="str">
        <f t="shared" si="91"/>
        <v>{2,1,192000,192000}</v>
      </c>
      <c r="AI363" s="142" t="str">
        <f t="shared" si="92"/>
        <v>{5103001,1,40000,40000}</v>
      </c>
      <c r="AJ363" s="142" t="str">
        <f t="shared" si="93"/>
        <v>{50002,1,6000,6000}</v>
      </c>
      <c r="AK363" s="142" t="str">
        <f t="shared" si="94"/>
        <v>{5203001,1,5000,5000}</v>
      </c>
      <c r="AL363" s="142" t="str">
        <f t="shared" si="95"/>
        <v>{21360,1,1000,1000}</v>
      </c>
      <c r="AM363" s="142" t="str">
        <f t="shared" si="96"/>
        <v>{5301000,1,900,1000}</v>
      </c>
      <c r="AO363" s="142" t="str">
        <f t="shared" si="97"/>
        <v>{5303001,1,1800,2200}</v>
      </c>
      <c r="AP363" s="142" t="s">
        <v>210</v>
      </c>
      <c r="AQ363" s="142"/>
    </row>
    <row r="364" spans="1:43">
      <c r="A364" s="143" t="str">
        <f t="shared" si="98"/>
        <v>[{2,1,193000,193000},{5103001,1,20000,20000}]</v>
      </c>
      <c r="B364" s="98">
        <f t="shared" si="99"/>
        <v>54</v>
      </c>
      <c r="C364" s="144">
        <v>193</v>
      </c>
      <c r="D364" s="145">
        <f t="shared" si="106"/>
        <v>193</v>
      </c>
      <c r="E364" s="145">
        <v>40</v>
      </c>
      <c r="F364" s="145">
        <v>20</v>
      </c>
      <c r="G364" s="146">
        <v>1</v>
      </c>
      <c r="H364" s="146">
        <v>6</v>
      </c>
      <c r="I364" s="146">
        <v>10</v>
      </c>
      <c r="J364" s="146">
        <v>5</v>
      </c>
      <c r="K364" s="146">
        <v>1</v>
      </c>
      <c r="L364" s="146">
        <v>1.5</v>
      </c>
      <c r="M364" s="145">
        <v>0.125</v>
      </c>
      <c r="N364" s="145">
        <v>0.5</v>
      </c>
      <c r="O364" s="145">
        <v>2</v>
      </c>
      <c r="P364" s="145">
        <v>0.013</v>
      </c>
      <c r="Q364" s="145">
        <f t="shared" si="84"/>
        <v>67.79</v>
      </c>
      <c r="R364" s="145">
        <f t="shared" si="85"/>
        <v>123.65</v>
      </c>
      <c r="S364" s="126">
        <f t="shared" si="101"/>
        <v>96.5</v>
      </c>
      <c r="T364" s="147">
        <f t="shared" si="86"/>
        <v>6.1825</v>
      </c>
      <c r="U364" s="142" t="str">
        <f t="shared" si="102"/>
        <v>[{2,1,193000,193000},{5103001,1,20000,20000},{1,2,750,750},{50002,1,9000,11000},{30,1,11,14},{9,1,112,137}]</v>
      </c>
      <c r="V364" s="142" t="str">
        <f t="shared" si="103"/>
        <v>[{2,1,193000,193000},{5103001,1,40000,40000},{50002,1,6000,6000},{5203001,1,5000,5000},{21360,1,1000,1000},{5301000,1,900,1000},{5303001,1,1800,2200},{11,1,400,600}]</v>
      </c>
      <c r="X364" s="142" t="str">
        <f t="shared" si="87"/>
        <v>{2,1,193000,193000}</v>
      </c>
      <c r="Y364" s="142"/>
      <c r="Z364" s="142" t="str">
        <f t="shared" si="88"/>
        <v>{5103001,1,20000,20000}</v>
      </c>
      <c r="AA364" s="142" t="str">
        <f t="shared" si="104"/>
        <v>{1,2,750,750}</v>
      </c>
      <c r="AD364" s="142" t="str">
        <f t="shared" si="89"/>
        <v>{50002,1,9000,11000}</v>
      </c>
      <c r="AE364" s="142" t="str">
        <f t="shared" si="105"/>
        <v>{30,1,11,14}</v>
      </c>
      <c r="AG364" s="142" t="str">
        <f t="shared" si="90"/>
        <v>{9,1,112,137}</v>
      </c>
      <c r="AH364" s="142" t="str">
        <f t="shared" si="91"/>
        <v>{2,1,193000,193000}</v>
      </c>
      <c r="AI364" s="142" t="str">
        <f t="shared" si="92"/>
        <v>{5103001,1,40000,40000}</v>
      </c>
      <c r="AJ364" s="142" t="str">
        <f t="shared" si="93"/>
        <v>{50002,1,6000,6000}</v>
      </c>
      <c r="AK364" s="142" t="str">
        <f t="shared" si="94"/>
        <v>{5203001,1,5000,5000}</v>
      </c>
      <c r="AL364" s="142" t="str">
        <f t="shared" si="95"/>
        <v>{21360,1,1000,1000}</v>
      </c>
      <c r="AM364" s="142" t="str">
        <f t="shared" si="96"/>
        <v>{5301000,1,900,1000}</v>
      </c>
      <c r="AO364" s="142" t="str">
        <f t="shared" si="97"/>
        <v>{5303001,1,1800,2200}</v>
      </c>
      <c r="AP364" s="142" t="s">
        <v>210</v>
      </c>
      <c r="AQ364" s="142"/>
    </row>
    <row r="365" spans="1:43">
      <c r="A365" s="143" t="str">
        <f t="shared" si="98"/>
        <v>[{2,1,194000,194000},{5103001,1,20000,20000}]</v>
      </c>
      <c r="B365" s="98">
        <f t="shared" si="99"/>
        <v>55</v>
      </c>
      <c r="C365" s="144">
        <v>194</v>
      </c>
      <c r="D365" s="145">
        <f t="shared" si="106"/>
        <v>194</v>
      </c>
      <c r="E365" s="145">
        <v>40</v>
      </c>
      <c r="F365" s="145">
        <v>20</v>
      </c>
      <c r="G365" s="146">
        <v>1</v>
      </c>
      <c r="H365" s="146">
        <v>6</v>
      </c>
      <c r="I365" s="146">
        <v>10</v>
      </c>
      <c r="J365" s="146">
        <v>5</v>
      </c>
      <c r="K365" s="146">
        <v>1</v>
      </c>
      <c r="L365" s="146">
        <v>1.5</v>
      </c>
      <c r="M365" s="145">
        <v>0.125</v>
      </c>
      <c r="N365" s="145">
        <v>0.5</v>
      </c>
      <c r="O365" s="145">
        <v>2</v>
      </c>
      <c r="P365" s="145">
        <v>0.013</v>
      </c>
      <c r="Q365" s="145">
        <f t="shared" si="84"/>
        <v>67.84</v>
      </c>
      <c r="R365" s="145">
        <f t="shared" si="85"/>
        <v>123.7</v>
      </c>
      <c r="S365" s="126">
        <f t="shared" si="101"/>
        <v>97</v>
      </c>
      <c r="T365" s="147">
        <f t="shared" si="86"/>
        <v>6.185</v>
      </c>
      <c r="U365" s="142" t="str">
        <f t="shared" si="102"/>
        <v>[{2,1,194000,194000},{5103001,1,20000,20000},{1,2,750,750},{50002,1,9000,11000},{30,1,11,14},{9,1,112,137}]</v>
      </c>
      <c r="V365" s="142" t="str">
        <f t="shared" si="103"/>
        <v>[{2,1,194000,194000},{5103001,1,40000,40000},{50002,1,6000,6000},{5203001,1,5000,5000},{21360,1,1000,1000},{5301000,1,900,1000},{5303001,1,1800,2200},{11,1,400,600}]</v>
      </c>
      <c r="X365" s="142" t="str">
        <f t="shared" si="87"/>
        <v>{2,1,194000,194000}</v>
      </c>
      <c r="Y365" s="142"/>
      <c r="Z365" s="142" t="str">
        <f t="shared" si="88"/>
        <v>{5103001,1,20000,20000}</v>
      </c>
      <c r="AA365" s="142" t="str">
        <f t="shared" si="104"/>
        <v>{1,2,750,750}</v>
      </c>
      <c r="AD365" s="142" t="str">
        <f t="shared" si="89"/>
        <v>{50002,1,9000,11000}</v>
      </c>
      <c r="AE365" s="142" t="str">
        <f t="shared" si="105"/>
        <v>{30,1,11,14}</v>
      </c>
      <c r="AG365" s="142" t="str">
        <f t="shared" si="90"/>
        <v>{9,1,112,137}</v>
      </c>
      <c r="AH365" s="142" t="str">
        <f t="shared" si="91"/>
        <v>{2,1,194000,194000}</v>
      </c>
      <c r="AI365" s="142" t="str">
        <f t="shared" si="92"/>
        <v>{5103001,1,40000,40000}</v>
      </c>
      <c r="AJ365" s="142" t="str">
        <f t="shared" si="93"/>
        <v>{50002,1,6000,6000}</v>
      </c>
      <c r="AK365" s="142" t="str">
        <f t="shared" si="94"/>
        <v>{5203001,1,5000,5000}</v>
      </c>
      <c r="AL365" s="142" t="str">
        <f t="shared" si="95"/>
        <v>{21360,1,1000,1000}</v>
      </c>
      <c r="AM365" s="142" t="str">
        <f t="shared" si="96"/>
        <v>{5301000,1,900,1000}</v>
      </c>
      <c r="AO365" s="142" t="str">
        <f t="shared" si="97"/>
        <v>{5303001,1,1800,2200}</v>
      </c>
      <c r="AP365" s="142" t="s">
        <v>210</v>
      </c>
      <c r="AQ365" s="142"/>
    </row>
    <row r="366" spans="1:43">
      <c r="A366" s="143" t="str">
        <f t="shared" si="98"/>
        <v>[{2,1,195000,195000},{5103001,1,20000,20000}]</v>
      </c>
      <c r="B366" s="98">
        <f t="shared" si="99"/>
        <v>56</v>
      </c>
      <c r="C366" s="144">
        <v>195</v>
      </c>
      <c r="D366" s="145">
        <f t="shared" si="106"/>
        <v>195</v>
      </c>
      <c r="E366" s="145">
        <v>40</v>
      </c>
      <c r="F366" s="145">
        <v>20</v>
      </c>
      <c r="G366" s="146">
        <v>1</v>
      </c>
      <c r="H366" s="146">
        <v>6</v>
      </c>
      <c r="I366" s="146">
        <v>10</v>
      </c>
      <c r="J366" s="146">
        <v>5</v>
      </c>
      <c r="K366" s="146">
        <v>1</v>
      </c>
      <c r="L366" s="146">
        <v>1.5</v>
      </c>
      <c r="M366" s="145">
        <v>0.125</v>
      </c>
      <c r="N366" s="145">
        <v>0.5</v>
      </c>
      <c r="O366" s="145">
        <v>2</v>
      </c>
      <c r="P366" s="145">
        <v>0.013</v>
      </c>
      <c r="Q366" s="145">
        <f t="shared" si="84"/>
        <v>67.89</v>
      </c>
      <c r="R366" s="145">
        <f t="shared" si="85"/>
        <v>123.75</v>
      </c>
      <c r="S366" s="126">
        <f t="shared" si="101"/>
        <v>97.5</v>
      </c>
      <c r="T366" s="147">
        <f t="shared" si="86"/>
        <v>6.1875</v>
      </c>
      <c r="U366" s="142" t="str">
        <f t="shared" si="102"/>
        <v>[{2,1,195000,195000},{5103001,1,20000,20000},{1,2,750,750},{50002,1,9000,11000},{30,1,11,14},{9,1,112,137}]</v>
      </c>
      <c r="V366" s="142" t="str">
        <f t="shared" si="103"/>
        <v>[{2,1,195000,195000},{5103001,1,40000,40000},{50002,1,6000,6000},{5203001,1,5000,5000},{21360,1,1000,1000},{5301000,1,900,1000},{5303001,1,1800,2200},{11,1,400,600}]</v>
      </c>
      <c r="X366" s="142" t="str">
        <f t="shared" si="87"/>
        <v>{2,1,195000,195000}</v>
      </c>
      <c r="Y366" s="142"/>
      <c r="Z366" s="142" t="str">
        <f t="shared" si="88"/>
        <v>{5103001,1,20000,20000}</v>
      </c>
      <c r="AA366" s="142" t="str">
        <f t="shared" si="104"/>
        <v>{1,2,750,750}</v>
      </c>
      <c r="AD366" s="142" t="str">
        <f t="shared" si="89"/>
        <v>{50002,1,9000,11000}</v>
      </c>
      <c r="AE366" s="142" t="str">
        <f t="shared" si="105"/>
        <v>{30,1,11,14}</v>
      </c>
      <c r="AG366" s="142" t="str">
        <f t="shared" si="90"/>
        <v>{9,1,112,137}</v>
      </c>
      <c r="AH366" s="142" t="str">
        <f t="shared" si="91"/>
        <v>{2,1,195000,195000}</v>
      </c>
      <c r="AI366" s="142" t="str">
        <f t="shared" si="92"/>
        <v>{5103001,1,40000,40000}</v>
      </c>
      <c r="AJ366" s="142" t="str">
        <f t="shared" si="93"/>
        <v>{50002,1,6000,6000}</v>
      </c>
      <c r="AK366" s="142" t="str">
        <f t="shared" si="94"/>
        <v>{5203001,1,5000,5000}</v>
      </c>
      <c r="AL366" s="142" t="str">
        <f t="shared" si="95"/>
        <v>{21360,1,1000,1000}</v>
      </c>
      <c r="AM366" s="142" t="str">
        <f t="shared" si="96"/>
        <v>{5301000,1,900,1000}</v>
      </c>
      <c r="AO366" s="142" t="str">
        <f t="shared" si="97"/>
        <v>{5303001,1,1800,2200}</v>
      </c>
      <c r="AP366" s="142" t="s">
        <v>210</v>
      </c>
      <c r="AQ366" s="142"/>
    </row>
    <row r="367" spans="1:43">
      <c r="A367" s="143" t="str">
        <f t="shared" si="98"/>
        <v>[{2,1,196000,196000},{5103001,1,20000,20000}]</v>
      </c>
      <c r="B367" s="98">
        <f t="shared" si="99"/>
        <v>57</v>
      </c>
      <c r="C367" s="144">
        <v>196</v>
      </c>
      <c r="D367" s="145">
        <f t="shared" si="106"/>
        <v>196</v>
      </c>
      <c r="E367" s="145">
        <v>40</v>
      </c>
      <c r="F367" s="145">
        <v>20</v>
      </c>
      <c r="G367" s="146">
        <v>1</v>
      </c>
      <c r="H367" s="146">
        <v>6</v>
      </c>
      <c r="I367" s="146">
        <v>10</v>
      </c>
      <c r="J367" s="146">
        <v>5</v>
      </c>
      <c r="K367" s="146">
        <v>1</v>
      </c>
      <c r="L367" s="146">
        <v>1.5</v>
      </c>
      <c r="M367" s="145">
        <v>0.125</v>
      </c>
      <c r="N367" s="145">
        <v>0.5</v>
      </c>
      <c r="O367" s="145">
        <v>2</v>
      </c>
      <c r="P367" s="145">
        <v>0.013</v>
      </c>
      <c r="Q367" s="145">
        <f t="shared" si="84"/>
        <v>67.94</v>
      </c>
      <c r="R367" s="145">
        <f t="shared" si="85"/>
        <v>123.8</v>
      </c>
      <c r="S367" s="126">
        <f t="shared" si="101"/>
        <v>98</v>
      </c>
      <c r="T367" s="147">
        <f t="shared" si="86"/>
        <v>6.19</v>
      </c>
      <c r="U367" s="142" t="str">
        <f t="shared" si="102"/>
        <v>[{2,1,196000,196000},{5103001,1,20000,20000},{1,2,750,750},{50002,1,9000,11000},{30,1,11,14},{9,1,112,137}]</v>
      </c>
      <c r="V367" s="142" t="str">
        <f t="shared" si="103"/>
        <v>[{2,1,196000,196000},{5103001,1,40000,40000},{50002,1,6000,6000},{5203001,1,5000,5000},{21360,1,1000,1000},{5301000,1,900,1000},{5303001,1,1800,2200},{11,1,400,600}]</v>
      </c>
      <c r="X367" s="142" t="str">
        <f t="shared" si="87"/>
        <v>{2,1,196000,196000}</v>
      </c>
      <c r="Y367" s="142"/>
      <c r="Z367" s="142" t="str">
        <f t="shared" si="88"/>
        <v>{5103001,1,20000,20000}</v>
      </c>
      <c r="AA367" s="142" t="str">
        <f t="shared" si="104"/>
        <v>{1,2,750,750}</v>
      </c>
      <c r="AD367" s="142" t="str">
        <f t="shared" si="89"/>
        <v>{50002,1,9000,11000}</v>
      </c>
      <c r="AE367" s="142" t="str">
        <f t="shared" si="105"/>
        <v>{30,1,11,14}</v>
      </c>
      <c r="AG367" s="142" t="str">
        <f t="shared" si="90"/>
        <v>{9,1,112,137}</v>
      </c>
      <c r="AH367" s="142" t="str">
        <f t="shared" si="91"/>
        <v>{2,1,196000,196000}</v>
      </c>
      <c r="AI367" s="142" t="str">
        <f t="shared" si="92"/>
        <v>{5103001,1,40000,40000}</v>
      </c>
      <c r="AJ367" s="142" t="str">
        <f t="shared" si="93"/>
        <v>{50002,1,6000,6000}</v>
      </c>
      <c r="AK367" s="142" t="str">
        <f t="shared" si="94"/>
        <v>{5203001,1,5000,5000}</v>
      </c>
      <c r="AL367" s="142" t="str">
        <f t="shared" si="95"/>
        <v>{21360,1,1000,1000}</v>
      </c>
      <c r="AM367" s="142" t="str">
        <f t="shared" si="96"/>
        <v>{5301000,1,900,1000}</v>
      </c>
      <c r="AO367" s="142" t="str">
        <f t="shared" si="97"/>
        <v>{5303001,1,1800,2200}</v>
      </c>
      <c r="AP367" s="142" t="s">
        <v>210</v>
      </c>
      <c r="AQ367" s="142"/>
    </row>
    <row r="368" spans="1:43">
      <c r="A368" s="143" t="str">
        <f t="shared" si="98"/>
        <v>[{2,1,197000,197000},{5103001,1,20000,20000}]</v>
      </c>
      <c r="B368" s="98">
        <f t="shared" si="99"/>
        <v>58</v>
      </c>
      <c r="C368" s="144">
        <v>197</v>
      </c>
      <c r="D368" s="145">
        <f t="shared" si="106"/>
        <v>197</v>
      </c>
      <c r="E368" s="145">
        <v>40</v>
      </c>
      <c r="F368" s="145">
        <v>20</v>
      </c>
      <c r="G368" s="146">
        <v>1</v>
      </c>
      <c r="H368" s="146">
        <v>6</v>
      </c>
      <c r="I368" s="146">
        <v>10</v>
      </c>
      <c r="J368" s="146">
        <v>5</v>
      </c>
      <c r="K368" s="146">
        <v>1</v>
      </c>
      <c r="L368" s="146">
        <v>1.5</v>
      </c>
      <c r="M368" s="145">
        <v>0.125</v>
      </c>
      <c r="N368" s="145">
        <v>0.5</v>
      </c>
      <c r="O368" s="145">
        <v>2</v>
      </c>
      <c r="P368" s="145">
        <v>0.013</v>
      </c>
      <c r="Q368" s="145">
        <f t="shared" si="84"/>
        <v>67.99</v>
      </c>
      <c r="R368" s="145">
        <f t="shared" si="85"/>
        <v>123.85</v>
      </c>
      <c r="S368" s="126">
        <f t="shared" si="101"/>
        <v>98.5</v>
      </c>
      <c r="T368" s="147">
        <f t="shared" si="86"/>
        <v>6.1925</v>
      </c>
      <c r="U368" s="142" t="str">
        <f t="shared" si="102"/>
        <v>[{2,1,197000,197000},{5103001,1,20000,20000},{1,2,750,750},{50002,1,9000,11000},{30,1,11,14},{9,1,112,137}]</v>
      </c>
      <c r="V368" s="142" t="str">
        <f t="shared" si="103"/>
        <v>[{2,1,197000,197000},{5103001,1,40000,40000},{50002,1,6000,6000},{5203001,1,5000,5000},{21360,1,1000,1000},{5301000,1,900,1000},{5303001,1,1800,2200},{11,1,400,600}]</v>
      </c>
      <c r="X368" s="142" t="str">
        <f t="shared" si="87"/>
        <v>{2,1,197000,197000}</v>
      </c>
      <c r="Y368" s="142"/>
      <c r="Z368" s="142" t="str">
        <f t="shared" si="88"/>
        <v>{5103001,1,20000,20000}</v>
      </c>
      <c r="AA368" s="142" t="str">
        <f t="shared" si="104"/>
        <v>{1,2,750,750}</v>
      </c>
      <c r="AD368" s="142" t="str">
        <f t="shared" si="89"/>
        <v>{50002,1,9000,11000}</v>
      </c>
      <c r="AE368" s="142" t="str">
        <f t="shared" si="105"/>
        <v>{30,1,11,14}</v>
      </c>
      <c r="AG368" s="142" t="str">
        <f t="shared" si="90"/>
        <v>{9,1,112,137}</v>
      </c>
      <c r="AH368" s="142" t="str">
        <f t="shared" si="91"/>
        <v>{2,1,197000,197000}</v>
      </c>
      <c r="AI368" s="142" t="str">
        <f t="shared" si="92"/>
        <v>{5103001,1,40000,40000}</v>
      </c>
      <c r="AJ368" s="142" t="str">
        <f t="shared" si="93"/>
        <v>{50002,1,6000,6000}</v>
      </c>
      <c r="AK368" s="142" t="str">
        <f t="shared" si="94"/>
        <v>{5203001,1,5000,5000}</v>
      </c>
      <c r="AL368" s="142" t="str">
        <f t="shared" si="95"/>
        <v>{21360,1,1000,1000}</v>
      </c>
      <c r="AM368" s="142" t="str">
        <f t="shared" si="96"/>
        <v>{5301000,1,900,1000}</v>
      </c>
      <c r="AO368" s="142" t="str">
        <f t="shared" si="97"/>
        <v>{5303001,1,1800,2200}</v>
      </c>
      <c r="AP368" s="142" t="s">
        <v>210</v>
      </c>
      <c r="AQ368" s="142"/>
    </row>
    <row r="369" spans="1:43">
      <c r="A369" s="143" t="str">
        <f t="shared" si="98"/>
        <v>[{2,1,198000,198000},{5103001,1,20000,20000}]</v>
      </c>
      <c r="B369" s="98">
        <f t="shared" si="99"/>
        <v>59</v>
      </c>
      <c r="C369" s="144">
        <v>198</v>
      </c>
      <c r="D369" s="145">
        <f t="shared" si="106"/>
        <v>198</v>
      </c>
      <c r="E369" s="145">
        <v>40</v>
      </c>
      <c r="F369" s="145">
        <v>20</v>
      </c>
      <c r="G369" s="146">
        <v>1</v>
      </c>
      <c r="H369" s="146">
        <v>6</v>
      </c>
      <c r="I369" s="146">
        <v>10</v>
      </c>
      <c r="J369" s="146">
        <v>5</v>
      </c>
      <c r="K369" s="146">
        <v>1</v>
      </c>
      <c r="L369" s="146">
        <v>1.5</v>
      </c>
      <c r="M369" s="145">
        <v>0.125</v>
      </c>
      <c r="N369" s="145">
        <v>0.5</v>
      </c>
      <c r="O369" s="145">
        <v>2</v>
      </c>
      <c r="P369" s="145">
        <v>0.013</v>
      </c>
      <c r="Q369" s="145">
        <f t="shared" si="84"/>
        <v>68.04</v>
      </c>
      <c r="R369" s="145">
        <f t="shared" si="85"/>
        <v>123.9</v>
      </c>
      <c r="S369" s="126">
        <f t="shared" si="101"/>
        <v>99</v>
      </c>
      <c r="T369" s="147">
        <f t="shared" si="86"/>
        <v>6.195</v>
      </c>
      <c r="U369" s="142" t="str">
        <f t="shared" si="102"/>
        <v>[{2,1,198000,198000},{5103001,1,20000,20000},{1,2,750,750},{50002,1,9000,11000},{30,1,11,14},{9,1,112,137}]</v>
      </c>
      <c r="V369" s="142" t="str">
        <f t="shared" si="103"/>
        <v>[{2,1,198000,198000},{5103001,1,40000,40000},{50002,1,6000,6000},{5203001,1,5000,5000},{21360,1,1000,1000},{5301000,1,900,1000},{5303001,1,1800,2200},{11,1,400,600}]</v>
      </c>
      <c r="X369" s="142" t="str">
        <f t="shared" si="87"/>
        <v>{2,1,198000,198000}</v>
      </c>
      <c r="Y369" s="142"/>
      <c r="Z369" s="142" t="str">
        <f t="shared" si="88"/>
        <v>{5103001,1,20000,20000}</v>
      </c>
      <c r="AA369" s="142" t="str">
        <f t="shared" si="104"/>
        <v>{1,2,750,750}</v>
      </c>
      <c r="AD369" s="142" t="str">
        <f t="shared" si="89"/>
        <v>{50002,1,9000,11000}</v>
      </c>
      <c r="AE369" s="142" t="str">
        <f t="shared" si="105"/>
        <v>{30,1,11,14}</v>
      </c>
      <c r="AG369" s="142" t="str">
        <f t="shared" si="90"/>
        <v>{9,1,112,137}</v>
      </c>
      <c r="AH369" s="142" t="str">
        <f t="shared" si="91"/>
        <v>{2,1,198000,198000}</v>
      </c>
      <c r="AI369" s="142" t="str">
        <f t="shared" si="92"/>
        <v>{5103001,1,40000,40000}</v>
      </c>
      <c r="AJ369" s="142" t="str">
        <f t="shared" si="93"/>
        <v>{50002,1,6000,6000}</v>
      </c>
      <c r="AK369" s="142" t="str">
        <f t="shared" si="94"/>
        <v>{5203001,1,5000,5000}</v>
      </c>
      <c r="AL369" s="142" t="str">
        <f t="shared" si="95"/>
        <v>{21360,1,1000,1000}</v>
      </c>
      <c r="AM369" s="142" t="str">
        <f t="shared" si="96"/>
        <v>{5301000,1,900,1000}</v>
      </c>
      <c r="AO369" s="142" t="str">
        <f t="shared" si="97"/>
        <v>{5303001,1,1800,2200}</v>
      </c>
      <c r="AP369" s="142" t="s">
        <v>210</v>
      </c>
      <c r="AQ369" s="142"/>
    </row>
    <row r="370" spans="1:43">
      <c r="A370" s="143" t="str">
        <f t="shared" si="98"/>
        <v>[{2,1,199000,199000},{5103001,1,20000,20000}]</v>
      </c>
      <c r="B370" s="98">
        <f t="shared" si="99"/>
        <v>60</v>
      </c>
      <c r="C370" s="144">
        <v>199</v>
      </c>
      <c r="D370" s="145">
        <f t="shared" si="106"/>
        <v>199</v>
      </c>
      <c r="E370" s="145">
        <v>40</v>
      </c>
      <c r="F370" s="145">
        <v>20</v>
      </c>
      <c r="G370" s="146">
        <v>1</v>
      </c>
      <c r="H370" s="146">
        <v>6</v>
      </c>
      <c r="I370" s="146">
        <v>10</v>
      </c>
      <c r="J370" s="146">
        <v>5</v>
      </c>
      <c r="K370" s="146">
        <v>1</v>
      </c>
      <c r="L370" s="146">
        <v>1.5</v>
      </c>
      <c r="M370" s="145">
        <v>0.125</v>
      </c>
      <c r="N370" s="145">
        <v>0.5</v>
      </c>
      <c r="O370" s="145">
        <v>2</v>
      </c>
      <c r="P370" s="145">
        <v>0.013</v>
      </c>
      <c r="Q370" s="145">
        <f t="shared" si="84"/>
        <v>68.09</v>
      </c>
      <c r="R370" s="145">
        <f t="shared" si="85"/>
        <v>123.95</v>
      </c>
      <c r="S370" s="126">
        <f t="shared" si="101"/>
        <v>99.5</v>
      </c>
      <c r="T370" s="147">
        <f t="shared" si="86"/>
        <v>6.1975</v>
      </c>
      <c r="U370" s="142" t="str">
        <f t="shared" si="102"/>
        <v>[{2,1,199000,199000},{5103001,1,20000,20000},{1,2,750,750},{50002,1,9000,11000},{30,1,11,14},{9,1,112,137}]</v>
      </c>
      <c r="V370" s="142" t="str">
        <f t="shared" si="103"/>
        <v>[{2,1,199000,199000},{5103001,1,40000,40000},{50002,1,6000,6000},{5203001,1,5000,5000},{21360,1,1000,1000},{5301000,1,900,1000},{5303001,1,1800,2200},{11,1,400,600}]</v>
      </c>
      <c r="X370" s="142" t="str">
        <f t="shared" si="87"/>
        <v>{2,1,199000,199000}</v>
      </c>
      <c r="Y370" s="142"/>
      <c r="Z370" s="142" t="str">
        <f t="shared" si="88"/>
        <v>{5103001,1,20000,20000}</v>
      </c>
      <c r="AA370" s="142" t="str">
        <f t="shared" si="104"/>
        <v>{1,2,750,750}</v>
      </c>
      <c r="AD370" s="142" t="str">
        <f t="shared" si="89"/>
        <v>{50002,1,9000,11000}</v>
      </c>
      <c r="AE370" s="142" t="str">
        <f t="shared" si="105"/>
        <v>{30,1,11,14}</v>
      </c>
      <c r="AG370" s="142" t="str">
        <f t="shared" si="90"/>
        <v>{9,1,112,137}</v>
      </c>
      <c r="AH370" s="142" t="str">
        <f t="shared" si="91"/>
        <v>{2,1,199000,199000}</v>
      </c>
      <c r="AI370" s="142" t="str">
        <f t="shared" si="92"/>
        <v>{5103001,1,40000,40000}</v>
      </c>
      <c r="AJ370" s="142" t="str">
        <f t="shared" si="93"/>
        <v>{50002,1,6000,6000}</v>
      </c>
      <c r="AK370" s="142" t="str">
        <f t="shared" si="94"/>
        <v>{5203001,1,5000,5000}</v>
      </c>
      <c r="AL370" s="142" t="str">
        <f t="shared" si="95"/>
        <v>{21360,1,1000,1000}</v>
      </c>
      <c r="AM370" s="142" t="str">
        <f t="shared" si="96"/>
        <v>{5301000,1,900,1000}</v>
      </c>
      <c r="AO370" s="142" t="str">
        <f t="shared" si="97"/>
        <v>{5303001,1,1800,2200}</v>
      </c>
      <c r="AP370" s="142" t="s">
        <v>210</v>
      </c>
      <c r="AQ370" s="142"/>
    </row>
    <row r="371" spans="1:43">
      <c r="A371" s="143" t="str">
        <f t="shared" si="98"/>
        <v>[{2,1,200000,200000},{5103001,1,20000,20000}]</v>
      </c>
      <c r="B371" s="98">
        <f t="shared" si="99"/>
        <v>61</v>
      </c>
      <c r="C371" s="144">
        <v>200</v>
      </c>
      <c r="D371" s="145">
        <f t="shared" si="106"/>
        <v>200</v>
      </c>
      <c r="E371" s="145">
        <v>40</v>
      </c>
      <c r="F371" s="145">
        <v>20</v>
      </c>
      <c r="G371" s="146">
        <v>1</v>
      </c>
      <c r="H371" s="146">
        <v>6</v>
      </c>
      <c r="I371" s="146">
        <v>10</v>
      </c>
      <c r="J371" s="146">
        <v>5</v>
      </c>
      <c r="K371" s="146">
        <v>1</v>
      </c>
      <c r="L371" s="146">
        <v>1.5</v>
      </c>
      <c r="M371" s="145">
        <v>0.125</v>
      </c>
      <c r="N371" s="145">
        <v>0.5</v>
      </c>
      <c r="O371" s="145">
        <v>2</v>
      </c>
      <c r="P371" s="145">
        <v>0.013</v>
      </c>
      <c r="Q371" s="145">
        <f t="shared" si="84"/>
        <v>68.14</v>
      </c>
      <c r="R371" s="145">
        <f t="shared" si="85"/>
        <v>124</v>
      </c>
      <c r="S371" s="126">
        <f t="shared" si="101"/>
        <v>100</v>
      </c>
      <c r="T371" s="147">
        <f t="shared" si="86"/>
        <v>6.2</v>
      </c>
      <c r="U371" s="142" t="str">
        <f t="shared" si="102"/>
        <v>[{2,1,200000,200000},{5103001,1,20000,20000},{1,2,750,750},{50002,1,9000,11000},{30,1,11,14},{9,1,112,137}]</v>
      </c>
      <c r="V371" s="142" t="str">
        <f t="shared" si="103"/>
        <v>[{2,1,200000,200000},{5103001,1,40000,40000},{50002,1,6000,6000},{5203001,1,5000,5000},{21360,1,1000,1000},{5301000,1,900,1000},{5303001,1,1800,2200},{11,1,400,600}]</v>
      </c>
      <c r="X371" s="142" t="str">
        <f t="shared" si="87"/>
        <v>{2,1,200000,200000}</v>
      </c>
      <c r="Y371" s="142"/>
      <c r="Z371" s="142" t="str">
        <f t="shared" si="88"/>
        <v>{5103001,1,20000,20000}</v>
      </c>
      <c r="AA371" s="142" t="str">
        <f t="shared" si="104"/>
        <v>{1,2,750,750}</v>
      </c>
      <c r="AD371" s="142" t="str">
        <f t="shared" si="89"/>
        <v>{50002,1,9000,11000}</v>
      </c>
      <c r="AE371" s="142" t="str">
        <f t="shared" si="105"/>
        <v>{30,1,11,14}</v>
      </c>
      <c r="AG371" s="142" t="str">
        <f t="shared" si="90"/>
        <v>{9,1,112,137}</v>
      </c>
      <c r="AH371" s="142" t="str">
        <f t="shared" si="91"/>
        <v>{2,1,200000,200000}</v>
      </c>
      <c r="AI371" s="142" t="str">
        <f t="shared" si="92"/>
        <v>{5103001,1,40000,40000}</v>
      </c>
      <c r="AJ371" s="142" t="str">
        <f t="shared" si="93"/>
        <v>{50002,1,6000,6000}</v>
      </c>
      <c r="AK371" s="142" t="str">
        <f t="shared" si="94"/>
        <v>{5203001,1,5000,5000}</v>
      </c>
      <c r="AL371" s="142" t="str">
        <f t="shared" si="95"/>
        <v>{21360,1,1000,1000}</v>
      </c>
      <c r="AM371" s="142" t="str">
        <f t="shared" si="96"/>
        <v>{5301000,1,900,1000}</v>
      </c>
      <c r="AO371" s="142" t="str">
        <f t="shared" si="97"/>
        <v>{5303001,1,1800,2200}</v>
      </c>
      <c r="AP371" s="142" t="s">
        <v>210</v>
      </c>
      <c r="AQ371" s="142"/>
    </row>
    <row r="372" spans="1:43">
      <c r="A372" s="143" t="str">
        <f t="shared" si="98"/>
        <v>[{2,1,201000,201000},{5103001,1,20000,20000}]</v>
      </c>
      <c r="B372" s="98">
        <f t="shared" si="99"/>
        <v>62</v>
      </c>
      <c r="C372" s="144">
        <v>201</v>
      </c>
      <c r="D372" s="145">
        <f t="shared" si="106"/>
        <v>201</v>
      </c>
      <c r="E372" s="145">
        <v>40</v>
      </c>
      <c r="F372" s="145">
        <v>20</v>
      </c>
      <c r="G372" s="146">
        <v>1</v>
      </c>
      <c r="H372" s="146">
        <v>6</v>
      </c>
      <c r="I372" s="146">
        <v>10</v>
      </c>
      <c r="J372" s="146">
        <v>5</v>
      </c>
      <c r="K372" s="146">
        <v>1</v>
      </c>
      <c r="L372" s="146">
        <v>1.5</v>
      </c>
      <c r="M372" s="145">
        <v>0.125</v>
      </c>
      <c r="N372" s="145">
        <v>0.5</v>
      </c>
      <c r="O372" s="145">
        <v>2</v>
      </c>
      <c r="P372" s="145">
        <v>0.013</v>
      </c>
      <c r="Q372" s="145">
        <f t="shared" si="84"/>
        <v>68.19</v>
      </c>
      <c r="R372" s="145">
        <f t="shared" si="85"/>
        <v>124.05</v>
      </c>
      <c r="S372" s="126">
        <f t="shared" si="101"/>
        <v>100.5</v>
      </c>
      <c r="T372" s="147">
        <f t="shared" si="86"/>
        <v>6.2025</v>
      </c>
      <c r="U372" s="142" t="str">
        <f t="shared" si="102"/>
        <v>[{2,1,201000,201000},{5103001,1,20000,20000},{1,2,750,750},{50002,1,9000,11000},{30,1,11,14},{9,1,112,137}]</v>
      </c>
      <c r="V372" s="142" t="str">
        <f t="shared" si="103"/>
        <v>[{2,1,201000,201000},{5103001,1,40000,40000},{50002,1,6000,6000},{5203001,1,5000,5000},{21360,1,1000,1000},{5301000,1,900,1000},{5303001,1,1800,2200},{11,1,400,600}]</v>
      </c>
      <c r="X372" s="142" t="str">
        <f t="shared" si="87"/>
        <v>{2,1,201000,201000}</v>
      </c>
      <c r="Y372" s="142"/>
      <c r="Z372" s="142" t="str">
        <f t="shared" si="88"/>
        <v>{5103001,1,20000,20000}</v>
      </c>
      <c r="AA372" s="142" t="str">
        <f t="shared" si="104"/>
        <v>{1,2,750,750}</v>
      </c>
      <c r="AD372" s="142" t="str">
        <f t="shared" si="89"/>
        <v>{50002,1,9000,11000}</v>
      </c>
      <c r="AE372" s="142" t="str">
        <f t="shared" si="105"/>
        <v>{30,1,11,14}</v>
      </c>
      <c r="AG372" s="142" t="str">
        <f t="shared" si="90"/>
        <v>{9,1,112,137}</v>
      </c>
      <c r="AH372" s="142" t="str">
        <f t="shared" si="91"/>
        <v>{2,1,201000,201000}</v>
      </c>
      <c r="AI372" s="142" t="str">
        <f t="shared" si="92"/>
        <v>{5103001,1,40000,40000}</v>
      </c>
      <c r="AJ372" s="142" t="str">
        <f t="shared" si="93"/>
        <v>{50002,1,6000,6000}</v>
      </c>
      <c r="AK372" s="142" t="str">
        <f t="shared" si="94"/>
        <v>{5203001,1,5000,5000}</v>
      </c>
      <c r="AL372" s="142" t="str">
        <f t="shared" si="95"/>
        <v>{21360,1,1000,1000}</v>
      </c>
      <c r="AM372" s="142" t="str">
        <f t="shared" si="96"/>
        <v>{5301000,1,900,1000}</v>
      </c>
      <c r="AO372" s="142" t="str">
        <f t="shared" si="97"/>
        <v>{5303001,1,1800,2200}</v>
      </c>
      <c r="AP372" s="142" t="s">
        <v>210</v>
      </c>
      <c r="AQ372" s="142"/>
    </row>
    <row r="373" spans="1:43">
      <c r="A373" s="143" t="str">
        <f t="shared" si="98"/>
        <v>[{2,1,202000,202000},{5103001,1,20000,20000}]</v>
      </c>
      <c r="B373" s="98">
        <f t="shared" si="99"/>
        <v>63</v>
      </c>
      <c r="C373" s="144">
        <v>202</v>
      </c>
      <c r="D373" s="145">
        <f t="shared" si="106"/>
        <v>202</v>
      </c>
      <c r="E373" s="145">
        <v>40</v>
      </c>
      <c r="F373" s="145">
        <v>20</v>
      </c>
      <c r="G373" s="146">
        <v>1</v>
      </c>
      <c r="H373" s="146">
        <v>6</v>
      </c>
      <c r="I373" s="146">
        <v>10</v>
      </c>
      <c r="J373" s="146">
        <v>5</v>
      </c>
      <c r="K373" s="146">
        <v>1</v>
      </c>
      <c r="L373" s="146">
        <v>1.5</v>
      </c>
      <c r="M373" s="145">
        <v>0.125</v>
      </c>
      <c r="N373" s="145">
        <v>0.5</v>
      </c>
      <c r="O373" s="145">
        <v>2</v>
      </c>
      <c r="P373" s="145">
        <v>0.013</v>
      </c>
      <c r="Q373" s="145">
        <f t="shared" si="84"/>
        <v>68.24</v>
      </c>
      <c r="R373" s="145">
        <f t="shared" si="85"/>
        <v>124.1</v>
      </c>
      <c r="S373" s="126">
        <f t="shared" si="101"/>
        <v>101</v>
      </c>
      <c r="T373" s="147">
        <f t="shared" si="86"/>
        <v>6.205</v>
      </c>
      <c r="U373" s="142" t="str">
        <f t="shared" si="102"/>
        <v>[{2,1,202000,202000},{5103001,1,20000,20000},{1,2,750,750},{50002,1,9000,11000},{30,1,11,14},{9,1,112,137}]</v>
      </c>
      <c r="V373" s="142" t="str">
        <f t="shared" si="103"/>
        <v>[{2,1,202000,202000},{5103001,1,40000,40000},{50002,1,6000,6000},{5203001,1,5000,5000},{21360,1,1000,1000},{5301000,1,900,1000},{5303001,1,1800,2200},{11,1,400,600}]</v>
      </c>
      <c r="X373" s="142" t="str">
        <f t="shared" si="87"/>
        <v>{2,1,202000,202000}</v>
      </c>
      <c r="Y373" s="142"/>
      <c r="Z373" s="142" t="str">
        <f t="shared" si="88"/>
        <v>{5103001,1,20000,20000}</v>
      </c>
      <c r="AA373" s="142" t="str">
        <f t="shared" si="104"/>
        <v>{1,2,750,750}</v>
      </c>
      <c r="AD373" s="142" t="str">
        <f t="shared" si="89"/>
        <v>{50002,1,9000,11000}</v>
      </c>
      <c r="AE373" s="142" t="str">
        <f t="shared" si="105"/>
        <v>{30,1,11,14}</v>
      </c>
      <c r="AG373" s="142" t="str">
        <f t="shared" si="90"/>
        <v>{9,1,112,137}</v>
      </c>
      <c r="AH373" s="142" t="str">
        <f t="shared" si="91"/>
        <v>{2,1,202000,202000}</v>
      </c>
      <c r="AI373" s="142" t="str">
        <f t="shared" si="92"/>
        <v>{5103001,1,40000,40000}</v>
      </c>
      <c r="AJ373" s="142" t="str">
        <f t="shared" si="93"/>
        <v>{50002,1,6000,6000}</v>
      </c>
      <c r="AK373" s="142" t="str">
        <f t="shared" si="94"/>
        <v>{5203001,1,5000,5000}</v>
      </c>
      <c r="AL373" s="142" t="str">
        <f t="shared" si="95"/>
        <v>{21360,1,1000,1000}</v>
      </c>
      <c r="AM373" s="142" t="str">
        <f t="shared" si="96"/>
        <v>{5301000,1,900,1000}</v>
      </c>
      <c r="AO373" s="142" t="str">
        <f t="shared" si="97"/>
        <v>{5303001,1,1800,2200}</v>
      </c>
      <c r="AP373" s="142" t="s">
        <v>210</v>
      </c>
      <c r="AQ373" s="142"/>
    </row>
    <row r="374" spans="1:43">
      <c r="A374" s="143" t="str">
        <f t="shared" si="98"/>
        <v>[{2,1,203000,203000},{5103001,1,20000,20000}]</v>
      </c>
      <c r="B374" s="98">
        <f t="shared" si="99"/>
        <v>64</v>
      </c>
      <c r="C374" s="144">
        <v>203</v>
      </c>
      <c r="D374" s="145">
        <f t="shared" si="106"/>
        <v>203</v>
      </c>
      <c r="E374" s="145">
        <v>40</v>
      </c>
      <c r="F374" s="145">
        <v>20</v>
      </c>
      <c r="G374" s="146">
        <v>1</v>
      </c>
      <c r="H374" s="146">
        <v>6</v>
      </c>
      <c r="I374" s="146">
        <v>10</v>
      </c>
      <c r="J374" s="146">
        <v>5</v>
      </c>
      <c r="K374" s="146">
        <v>1</v>
      </c>
      <c r="L374" s="146">
        <v>1.5</v>
      </c>
      <c r="M374" s="145">
        <v>0.125</v>
      </c>
      <c r="N374" s="145">
        <v>0.5</v>
      </c>
      <c r="O374" s="145">
        <v>2</v>
      </c>
      <c r="P374" s="145">
        <v>0.013</v>
      </c>
      <c r="Q374" s="145">
        <f t="shared" si="84"/>
        <v>68.29</v>
      </c>
      <c r="R374" s="145">
        <f t="shared" si="85"/>
        <v>124.15</v>
      </c>
      <c r="S374" s="126">
        <f t="shared" si="101"/>
        <v>101.5</v>
      </c>
      <c r="T374" s="147">
        <f t="shared" si="86"/>
        <v>6.2075</v>
      </c>
      <c r="U374" s="142" t="str">
        <f t="shared" si="102"/>
        <v>[{2,1,203000,203000},{5103001,1,20000,20000},{1,2,750,750},{50002,1,9000,11000},{30,1,11,14},{9,1,112,137}]</v>
      </c>
      <c r="V374" s="142" t="str">
        <f t="shared" si="103"/>
        <v>[{2,1,203000,203000},{5103001,1,40000,40000},{50002,1,6000,6000},{5203001,1,5000,5000},{21360,1,1000,1000},{5301000,1,900,1000},{5303001,1,1800,2200},{11,1,400,600}]</v>
      </c>
      <c r="X374" s="142" t="str">
        <f t="shared" si="87"/>
        <v>{2,1,203000,203000}</v>
      </c>
      <c r="Y374" s="142"/>
      <c r="Z374" s="142" t="str">
        <f t="shared" si="88"/>
        <v>{5103001,1,20000,20000}</v>
      </c>
      <c r="AA374" s="142" t="str">
        <f t="shared" si="104"/>
        <v>{1,2,750,750}</v>
      </c>
      <c r="AD374" s="142" t="str">
        <f t="shared" si="89"/>
        <v>{50002,1,9000,11000}</v>
      </c>
      <c r="AE374" s="142" t="str">
        <f t="shared" si="105"/>
        <v>{30,1,11,14}</v>
      </c>
      <c r="AG374" s="142" t="str">
        <f t="shared" si="90"/>
        <v>{9,1,112,137}</v>
      </c>
      <c r="AH374" s="142" t="str">
        <f t="shared" si="91"/>
        <v>{2,1,203000,203000}</v>
      </c>
      <c r="AI374" s="142" t="str">
        <f t="shared" si="92"/>
        <v>{5103001,1,40000,40000}</v>
      </c>
      <c r="AJ374" s="142" t="str">
        <f t="shared" si="93"/>
        <v>{50002,1,6000,6000}</v>
      </c>
      <c r="AK374" s="142" t="str">
        <f t="shared" si="94"/>
        <v>{5203001,1,5000,5000}</v>
      </c>
      <c r="AL374" s="142" t="str">
        <f t="shared" si="95"/>
        <v>{21360,1,1000,1000}</v>
      </c>
      <c r="AM374" s="142" t="str">
        <f t="shared" si="96"/>
        <v>{5301000,1,900,1000}</v>
      </c>
      <c r="AO374" s="142" t="str">
        <f t="shared" si="97"/>
        <v>{5303001,1,1800,2200}</v>
      </c>
      <c r="AP374" s="142" t="s">
        <v>210</v>
      </c>
      <c r="AQ374" s="142"/>
    </row>
    <row r="375" spans="1:43">
      <c r="A375" s="143" t="str">
        <f t="shared" si="98"/>
        <v>[{2,1,204000,204000},{5103001,1,20000,20000}]</v>
      </c>
      <c r="B375" s="98">
        <f t="shared" si="99"/>
        <v>65</v>
      </c>
      <c r="C375" s="144">
        <v>204</v>
      </c>
      <c r="D375" s="145">
        <f t="shared" si="106"/>
        <v>204</v>
      </c>
      <c r="E375" s="145">
        <v>40</v>
      </c>
      <c r="F375" s="145">
        <v>20</v>
      </c>
      <c r="G375" s="146">
        <v>1</v>
      </c>
      <c r="H375" s="146">
        <v>6</v>
      </c>
      <c r="I375" s="146">
        <v>10</v>
      </c>
      <c r="J375" s="146">
        <v>5</v>
      </c>
      <c r="K375" s="146">
        <v>1</v>
      </c>
      <c r="L375" s="146">
        <v>1.5</v>
      </c>
      <c r="M375" s="145">
        <v>0.125</v>
      </c>
      <c r="N375" s="145">
        <v>0.5</v>
      </c>
      <c r="O375" s="145">
        <v>2</v>
      </c>
      <c r="P375" s="145">
        <v>0.013</v>
      </c>
      <c r="Q375" s="145">
        <f t="shared" ref="Q375:Q438" si="107">SUMPRODUCT($C$306:$P$306,--($C$307:$P$307=Q$310),$C375:$P375)</f>
        <v>68.34</v>
      </c>
      <c r="R375" s="145">
        <f t="shared" ref="R375:R438" si="108">SUMPRODUCT($C$306:$P$306,--($C$307:$P$307=R$310),$C375:$P375)</f>
        <v>124.2</v>
      </c>
      <c r="S375" s="126">
        <f t="shared" si="101"/>
        <v>102</v>
      </c>
      <c r="T375" s="147">
        <f t="shared" ref="T375:T438" si="109">R375/20</f>
        <v>6.21</v>
      </c>
      <c r="U375" s="142" t="str">
        <f t="shared" si="102"/>
        <v>[{2,1,204000,204000},{5103001,1,20000,20000},{1,2,750,750},{50002,1,9000,11000},{30,1,11,14},{9,1,112,137}]</v>
      </c>
      <c r="V375" s="142" t="str">
        <f t="shared" si="103"/>
        <v>[{2,1,204000,204000},{5103001,1,40000,40000},{50002,1,6000,6000},{5203001,1,5000,5000},{21360,1,1000,1000},{5301000,1,900,1000},{5303001,1,1800,2200},{11,1,400,600}]</v>
      </c>
      <c r="X375" s="142" t="str">
        <f t="shared" ref="X375:X438" si="110">IF(D375="","","{"&amp;D$308&amp;","&amp;1&amp;","&amp;INT(D375/10*10000)&amp;","&amp;INT(D375/10*10000)&amp;"}")</f>
        <v>{2,1,204000,204000}</v>
      </c>
      <c r="Y375" s="142"/>
      <c r="Z375" s="142" t="str">
        <f t="shared" ref="Z375:Z438" si="111">IF(F375="","","{"&amp;F$308&amp;","&amp;1&amp;","&amp;INT(F375/10*10000)&amp;","&amp;INT(F375/10*10000)&amp;"}")</f>
        <v>{5103001,1,20000,20000}</v>
      </c>
      <c r="AA375" s="142" t="str">
        <f t="shared" si="104"/>
        <v>{1,2,750,750}</v>
      </c>
      <c r="AD375" s="142" t="str">
        <f t="shared" ref="AD375:AD438" si="112">IF(I375="","","{"&amp;I$308&amp;","&amp;1&amp;","&amp;INT(I375/10*9000)&amp;","&amp;INT(I375/10*11000)&amp;"}")</f>
        <v>{50002,1,9000,11000}</v>
      </c>
      <c r="AE375" s="142" t="str">
        <f t="shared" si="105"/>
        <v>{30,1,11,14}</v>
      </c>
      <c r="AG375" s="142" t="str">
        <f t="shared" ref="AG375:AG438" si="113">IF(M375="","","{"&amp;M$308&amp;","&amp;1&amp;","&amp;INT(M375/10*9000)&amp;","&amp;INT(M375/10*11000)&amp;"}")</f>
        <v>{9,1,112,137}</v>
      </c>
      <c r="AH375" s="142" t="str">
        <f t="shared" ref="AH375:AH438" si="114">IF(C375="","","{"&amp;D$308&amp;","&amp;1&amp;","&amp;INT(C375/10*10000)&amp;","&amp;INT(C375/10*10000)&amp;"}")</f>
        <v>{2,1,204000,204000}</v>
      </c>
      <c r="AI375" s="142" t="str">
        <f t="shared" ref="AI375:AI438" si="115">IF(E375="","","{"&amp;F$308&amp;","&amp;1&amp;","&amp;INT(E375/10*10000)&amp;","&amp;INT(E375/10*10000)&amp;"}")</f>
        <v>{5103001,1,40000,40000}</v>
      </c>
      <c r="AJ375" s="142" t="str">
        <f t="shared" ref="AJ375:AJ438" si="116">IF(H375="","","{"&amp;H$308&amp;","&amp;1&amp;","&amp;INT(H375/10*10000)&amp;","&amp;INT(H375/10*10000)&amp;"}")</f>
        <v>{50002,1,6000,6000}</v>
      </c>
      <c r="AK375" s="142" t="str">
        <f t="shared" ref="AK375:AK438" si="117">IF(J375="","","{"&amp;J$308&amp;","&amp;1&amp;","&amp;INT(J375/10*10000)&amp;","&amp;INT(J375/10*10000)&amp;"}")</f>
        <v>{5203001,1,5000,5000}</v>
      </c>
      <c r="AL375" s="142" t="str">
        <f t="shared" ref="AL375:AL438" si="118">IF(K375="","","{"&amp;K$308&amp;","&amp;1&amp;","&amp;INT(K375/10*10000)&amp;","&amp;INT(K375/10*10000)&amp;"}")</f>
        <v>{21360,1,1000,1000}</v>
      </c>
      <c r="AM375" s="142" t="str">
        <f t="shared" ref="AM375:AM438" si="119">IF(G375="","","{"&amp;G$308&amp;","&amp;1&amp;","&amp;INT(G375/10*9000)&amp;","&amp;INT(G375/10*10000)&amp;"}")</f>
        <v>{5301000,1,900,1000}</v>
      </c>
      <c r="AO375" s="142" t="str">
        <f t="shared" ref="AO375:AO438" si="120">IF(O375="","","{"&amp;O$308&amp;","&amp;1&amp;","&amp;INT(O375/10*9000)&amp;","&amp;INT(O375/10*11000)&amp;"}")</f>
        <v>{5303001,1,1800,2200}</v>
      </c>
      <c r="AP375" s="142" t="s">
        <v>210</v>
      </c>
      <c r="AQ375" s="142"/>
    </row>
    <row r="376" spans="1:43">
      <c r="A376" s="143" t="str">
        <f t="shared" ref="A376:A439" si="121">"[{2,1,"&amp;C376*1000&amp;","&amp;C376*1000&amp;"},{5103001,1,"&amp;F376*1000&amp;","&amp;F376*1000&amp;"}]"</f>
        <v>[{2,1,205000,205000},{5103001,1,20000,20000}]</v>
      </c>
      <c r="B376" s="98">
        <f t="shared" ref="B376:B439" si="122">B375+1</f>
        <v>66</v>
      </c>
      <c r="C376" s="144">
        <v>205</v>
      </c>
      <c r="D376" s="145">
        <f t="shared" ref="D376:D439" si="123">C376</f>
        <v>205</v>
      </c>
      <c r="E376" s="145">
        <v>40</v>
      </c>
      <c r="F376" s="145">
        <v>20</v>
      </c>
      <c r="G376" s="146">
        <v>1</v>
      </c>
      <c r="H376" s="146">
        <v>6</v>
      </c>
      <c r="I376" s="146">
        <v>10</v>
      </c>
      <c r="J376" s="146">
        <v>5</v>
      </c>
      <c r="K376" s="146">
        <v>1</v>
      </c>
      <c r="L376" s="146">
        <v>1.5</v>
      </c>
      <c r="M376" s="145">
        <v>0.125</v>
      </c>
      <c r="N376" s="145">
        <v>0.5</v>
      </c>
      <c r="O376" s="145">
        <v>2</v>
      </c>
      <c r="P376" s="145">
        <v>0.013</v>
      </c>
      <c r="Q376" s="145">
        <f t="shared" si="107"/>
        <v>68.39</v>
      </c>
      <c r="R376" s="145">
        <f t="shared" si="108"/>
        <v>124.25</v>
      </c>
      <c r="S376" s="126">
        <f t="shared" ref="S376:S439" si="124">C376/2</f>
        <v>102.5</v>
      </c>
      <c r="T376" s="147">
        <f t="shared" si="109"/>
        <v>6.2125</v>
      </c>
      <c r="U376" s="142" t="str">
        <f t="shared" ref="U376:U439" si="125">"["&amp;_xlfn.TEXTJOIN(",",1,X376:AG376)&amp;"]"</f>
        <v>[{2,1,205000,205000},{5103001,1,20000,20000},{1,2,750,750},{50002,1,9000,11000},{30,1,11,14},{9,1,112,137}]</v>
      </c>
      <c r="V376" s="142" t="str">
        <f t="shared" ref="V376:V439" si="126">"["&amp;_xlfn.TEXTJOIN(",",1,AH376:AQ376)&amp;"]"</f>
        <v>[{2,1,205000,205000},{5103001,1,40000,40000},{50002,1,6000,6000},{5203001,1,5000,5000},{21360,1,1000,1000},{5301000,1,900,1000},{5303001,1,1800,2200},{11,1,400,600}]</v>
      </c>
      <c r="X376" s="142" t="str">
        <f t="shared" si="110"/>
        <v>{2,1,205000,205000}</v>
      </c>
      <c r="Y376" s="142"/>
      <c r="Z376" s="142" t="str">
        <f t="shared" si="111"/>
        <v>{5103001,1,20000,20000}</v>
      </c>
      <c r="AA376" s="142" t="str">
        <f t="shared" si="104"/>
        <v>{1,2,750,750}</v>
      </c>
      <c r="AD376" s="142" t="str">
        <f t="shared" si="112"/>
        <v>{50002,1,9000,11000}</v>
      </c>
      <c r="AE376" s="142" t="str">
        <f t="shared" ref="AE376:AE439" si="127">IF(P376="","","{"&amp;P$308&amp;","&amp;1&amp;","&amp;INT(P376/10*9000)&amp;","&amp;INT(P376/10*11000)&amp;"}")</f>
        <v>{30,1,11,14}</v>
      </c>
      <c r="AG376" s="142" t="str">
        <f t="shared" si="113"/>
        <v>{9,1,112,137}</v>
      </c>
      <c r="AH376" s="142" t="str">
        <f t="shared" si="114"/>
        <v>{2,1,205000,205000}</v>
      </c>
      <c r="AI376" s="142" t="str">
        <f t="shared" si="115"/>
        <v>{5103001,1,40000,40000}</v>
      </c>
      <c r="AJ376" s="142" t="str">
        <f t="shared" si="116"/>
        <v>{50002,1,6000,6000}</v>
      </c>
      <c r="AK376" s="142" t="str">
        <f t="shared" si="117"/>
        <v>{5203001,1,5000,5000}</v>
      </c>
      <c r="AL376" s="142" t="str">
        <f t="shared" si="118"/>
        <v>{21360,1,1000,1000}</v>
      </c>
      <c r="AM376" s="142" t="str">
        <f t="shared" si="119"/>
        <v>{5301000,1,900,1000}</v>
      </c>
      <c r="AO376" s="142" t="str">
        <f t="shared" si="120"/>
        <v>{5303001,1,1800,2200}</v>
      </c>
      <c r="AP376" s="142" t="s">
        <v>210</v>
      </c>
      <c r="AQ376" s="142"/>
    </row>
    <row r="377" spans="1:43">
      <c r="A377" s="143" t="str">
        <f t="shared" si="121"/>
        <v>[{2,1,206000,206000},{5103001,1,20000,20000}]</v>
      </c>
      <c r="B377" s="98">
        <f t="shared" si="122"/>
        <v>67</v>
      </c>
      <c r="C377" s="144">
        <v>206</v>
      </c>
      <c r="D377" s="145">
        <f t="shared" si="123"/>
        <v>206</v>
      </c>
      <c r="E377" s="145">
        <v>40</v>
      </c>
      <c r="F377" s="145">
        <v>20</v>
      </c>
      <c r="G377" s="146">
        <v>1</v>
      </c>
      <c r="H377" s="146">
        <v>6</v>
      </c>
      <c r="I377" s="146">
        <v>10</v>
      </c>
      <c r="J377" s="146">
        <v>5</v>
      </c>
      <c r="K377" s="146">
        <v>1</v>
      </c>
      <c r="L377" s="146">
        <v>1.5</v>
      </c>
      <c r="M377" s="145">
        <v>0.125</v>
      </c>
      <c r="N377" s="145">
        <v>0.5</v>
      </c>
      <c r="O377" s="145">
        <v>2</v>
      </c>
      <c r="P377" s="145">
        <v>0.013</v>
      </c>
      <c r="Q377" s="145">
        <f t="shared" si="107"/>
        <v>68.44</v>
      </c>
      <c r="R377" s="145">
        <f t="shared" si="108"/>
        <v>124.3</v>
      </c>
      <c r="S377" s="126">
        <f t="shared" si="124"/>
        <v>103</v>
      </c>
      <c r="T377" s="147">
        <f t="shared" si="109"/>
        <v>6.215</v>
      </c>
      <c r="U377" s="142" t="str">
        <f t="shared" si="125"/>
        <v>[{2,1,206000,206000},{5103001,1,20000,20000},{1,2,750,750},{50002,1,9000,11000},{30,1,11,14},{9,1,112,137}]</v>
      </c>
      <c r="V377" s="142" t="str">
        <f t="shared" si="126"/>
        <v>[{2,1,206000,206000},{5103001,1,40000,40000},{50002,1,6000,6000},{5203001,1,5000,5000},{21360,1,1000,1000},{5301000,1,900,1000},{5303001,1,1800,2200},{11,1,400,600}]</v>
      </c>
      <c r="X377" s="142" t="str">
        <f t="shared" si="110"/>
        <v>{2,1,206000,206000}</v>
      </c>
      <c r="Y377" s="142"/>
      <c r="Z377" s="142" t="str">
        <f t="shared" si="111"/>
        <v>{5103001,1,20000,20000}</v>
      </c>
      <c r="AA377" s="142" t="str">
        <f t="shared" ref="AA377:AA440" si="128">AA376</f>
        <v>{1,2,750,750}</v>
      </c>
      <c r="AD377" s="142" t="str">
        <f t="shared" si="112"/>
        <v>{50002,1,9000,11000}</v>
      </c>
      <c r="AE377" s="142" t="str">
        <f t="shared" si="127"/>
        <v>{30,1,11,14}</v>
      </c>
      <c r="AG377" s="142" t="str">
        <f t="shared" si="113"/>
        <v>{9,1,112,137}</v>
      </c>
      <c r="AH377" s="142" t="str">
        <f t="shared" si="114"/>
        <v>{2,1,206000,206000}</v>
      </c>
      <c r="AI377" s="142" t="str">
        <f t="shared" si="115"/>
        <v>{5103001,1,40000,40000}</v>
      </c>
      <c r="AJ377" s="142" t="str">
        <f t="shared" si="116"/>
        <v>{50002,1,6000,6000}</v>
      </c>
      <c r="AK377" s="142" t="str">
        <f t="shared" si="117"/>
        <v>{5203001,1,5000,5000}</v>
      </c>
      <c r="AL377" s="142" t="str">
        <f t="shared" si="118"/>
        <v>{21360,1,1000,1000}</v>
      </c>
      <c r="AM377" s="142" t="str">
        <f t="shared" si="119"/>
        <v>{5301000,1,900,1000}</v>
      </c>
      <c r="AO377" s="142" t="str">
        <f t="shared" si="120"/>
        <v>{5303001,1,1800,2200}</v>
      </c>
      <c r="AP377" s="142" t="s">
        <v>210</v>
      </c>
      <c r="AQ377" s="142"/>
    </row>
    <row r="378" spans="1:43">
      <c r="A378" s="143" t="str">
        <f t="shared" si="121"/>
        <v>[{2,1,207000,207000},{5103001,1,20000,20000}]</v>
      </c>
      <c r="B378" s="98">
        <f t="shared" si="122"/>
        <v>68</v>
      </c>
      <c r="C378" s="144">
        <v>207</v>
      </c>
      <c r="D378" s="145">
        <f t="shared" si="123"/>
        <v>207</v>
      </c>
      <c r="E378" s="145">
        <v>40</v>
      </c>
      <c r="F378" s="145">
        <v>20</v>
      </c>
      <c r="G378" s="146">
        <v>1</v>
      </c>
      <c r="H378" s="146">
        <v>6</v>
      </c>
      <c r="I378" s="146">
        <v>10</v>
      </c>
      <c r="J378" s="146">
        <v>5</v>
      </c>
      <c r="K378" s="146">
        <v>1</v>
      </c>
      <c r="L378" s="146">
        <v>1.5</v>
      </c>
      <c r="M378" s="145">
        <v>0.125</v>
      </c>
      <c r="N378" s="145">
        <v>0.5</v>
      </c>
      <c r="O378" s="145">
        <v>2</v>
      </c>
      <c r="P378" s="145">
        <v>0.013</v>
      </c>
      <c r="Q378" s="145">
        <f t="shared" si="107"/>
        <v>68.49</v>
      </c>
      <c r="R378" s="145">
        <f t="shared" si="108"/>
        <v>124.35</v>
      </c>
      <c r="S378" s="126">
        <f t="shared" si="124"/>
        <v>103.5</v>
      </c>
      <c r="T378" s="147">
        <f t="shared" si="109"/>
        <v>6.2175</v>
      </c>
      <c r="U378" s="142" t="str">
        <f t="shared" si="125"/>
        <v>[{2,1,207000,207000},{5103001,1,20000,20000},{1,2,750,750},{50002,1,9000,11000},{30,1,11,14},{9,1,112,137}]</v>
      </c>
      <c r="V378" s="142" t="str">
        <f t="shared" si="126"/>
        <v>[{2,1,207000,207000},{5103001,1,40000,40000},{50002,1,6000,6000},{5203001,1,5000,5000},{21360,1,1000,1000},{5301000,1,900,1000},{5303001,1,1800,2200},{11,1,400,600}]</v>
      </c>
      <c r="X378" s="142" t="str">
        <f t="shared" si="110"/>
        <v>{2,1,207000,207000}</v>
      </c>
      <c r="Y378" s="142"/>
      <c r="Z378" s="142" t="str">
        <f t="shared" si="111"/>
        <v>{5103001,1,20000,20000}</v>
      </c>
      <c r="AA378" s="142" t="str">
        <f t="shared" si="128"/>
        <v>{1,2,750,750}</v>
      </c>
      <c r="AD378" s="142" t="str">
        <f t="shared" si="112"/>
        <v>{50002,1,9000,11000}</v>
      </c>
      <c r="AE378" s="142" t="str">
        <f t="shared" si="127"/>
        <v>{30,1,11,14}</v>
      </c>
      <c r="AG378" s="142" t="str">
        <f t="shared" si="113"/>
        <v>{9,1,112,137}</v>
      </c>
      <c r="AH378" s="142" t="str">
        <f t="shared" si="114"/>
        <v>{2,1,207000,207000}</v>
      </c>
      <c r="AI378" s="142" t="str">
        <f t="shared" si="115"/>
        <v>{5103001,1,40000,40000}</v>
      </c>
      <c r="AJ378" s="142" t="str">
        <f t="shared" si="116"/>
        <v>{50002,1,6000,6000}</v>
      </c>
      <c r="AK378" s="142" t="str">
        <f t="shared" si="117"/>
        <v>{5203001,1,5000,5000}</v>
      </c>
      <c r="AL378" s="142" t="str">
        <f t="shared" si="118"/>
        <v>{21360,1,1000,1000}</v>
      </c>
      <c r="AM378" s="142" t="str">
        <f t="shared" si="119"/>
        <v>{5301000,1,900,1000}</v>
      </c>
      <c r="AO378" s="142" t="str">
        <f t="shared" si="120"/>
        <v>{5303001,1,1800,2200}</v>
      </c>
      <c r="AP378" s="142" t="s">
        <v>210</v>
      </c>
      <c r="AQ378" s="142"/>
    </row>
    <row r="379" spans="1:43">
      <c r="A379" s="143" t="str">
        <f t="shared" si="121"/>
        <v>[{2,1,208000,208000},{5103001,1,20000,20000}]</v>
      </c>
      <c r="B379" s="98">
        <f t="shared" si="122"/>
        <v>69</v>
      </c>
      <c r="C379" s="144">
        <v>208</v>
      </c>
      <c r="D379" s="145">
        <f t="shared" si="123"/>
        <v>208</v>
      </c>
      <c r="E379" s="145">
        <v>40</v>
      </c>
      <c r="F379" s="145">
        <v>20</v>
      </c>
      <c r="G379" s="146">
        <v>1</v>
      </c>
      <c r="H379" s="146">
        <v>6</v>
      </c>
      <c r="I379" s="146">
        <v>10</v>
      </c>
      <c r="J379" s="146">
        <v>5</v>
      </c>
      <c r="K379" s="146">
        <v>1</v>
      </c>
      <c r="L379" s="146">
        <v>1.5</v>
      </c>
      <c r="M379" s="145">
        <v>0.125</v>
      </c>
      <c r="N379" s="145">
        <v>0.5</v>
      </c>
      <c r="O379" s="145">
        <v>2</v>
      </c>
      <c r="P379" s="145">
        <v>0.013</v>
      </c>
      <c r="Q379" s="145">
        <f t="shared" si="107"/>
        <v>68.54</v>
      </c>
      <c r="R379" s="145">
        <f t="shared" si="108"/>
        <v>124.4</v>
      </c>
      <c r="S379" s="126">
        <f t="shared" si="124"/>
        <v>104</v>
      </c>
      <c r="T379" s="147">
        <f t="shared" si="109"/>
        <v>6.22</v>
      </c>
      <c r="U379" s="142" t="str">
        <f t="shared" si="125"/>
        <v>[{2,1,208000,208000},{5103001,1,20000,20000},{1,2,750,750},{50002,1,9000,11000},{30,1,11,14},{9,1,112,137}]</v>
      </c>
      <c r="V379" s="142" t="str">
        <f t="shared" si="126"/>
        <v>[{2,1,208000,208000},{5103001,1,40000,40000},{50002,1,6000,6000},{5203001,1,5000,5000},{21360,1,1000,1000},{5301000,1,900,1000},{5303001,1,1800,2200},{11,1,400,600}]</v>
      </c>
      <c r="X379" s="142" t="str">
        <f t="shared" si="110"/>
        <v>{2,1,208000,208000}</v>
      </c>
      <c r="Y379" s="142"/>
      <c r="Z379" s="142" t="str">
        <f t="shared" si="111"/>
        <v>{5103001,1,20000,20000}</v>
      </c>
      <c r="AA379" s="142" t="str">
        <f t="shared" si="128"/>
        <v>{1,2,750,750}</v>
      </c>
      <c r="AD379" s="142" t="str">
        <f t="shared" si="112"/>
        <v>{50002,1,9000,11000}</v>
      </c>
      <c r="AE379" s="142" t="str">
        <f t="shared" si="127"/>
        <v>{30,1,11,14}</v>
      </c>
      <c r="AG379" s="142" t="str">
        <f t="shared" si="113"/>
        <v>{9,1,112,137}</v>
      </c>
      <c r="AH379" s="142" t="str">
        <f t="shared" si="114"/>
        <v>{2,1,208000,208000}</v>
      </c>
      <c r="AI379" s="142" t="str">
        <f t="shared" si="115"/>
        <v>{5103001,1,40000,40000}</v>
      </c>
      <c r="AJ379" s="142" t="str">
        <f t="shared" si="116"/>
        <v>{50002,1,6000,6000}</v>
      </c>
      <c r="AK379" s="142" t="str">
        <f t="shared" si="117"/>
        <v>{5203001,1,5000,5000}</v>
      </c>
      <c r="AL379" s="142" t="str">
        <f t="shared" si="118"/>
        <v>{21360,1,1000,1000}</v>
      </c>
      <c r="AM379" s="142" t="str">
        <f t="shared" si="119"/>
        <v>{5301000,1,900,1000}</v>
      </c>
      <c r="AO379" s="142" t="str">
        <f t="shared" si="120"/>
        <v>{5303001,1,1800,2200}</v>
      </c>
      <c r="AP379" s="142" t="s">
        <v>210</v>
      </c>
      <c r="AQ379" s="142"/>
    </row>
    <row r="380" spans="1:43">
      <c r="A380" s="143" t="str">
        <f t="shared" si="121"/>
        <v>[{2,1,209000,209000},{5103001,1,20000,20000}]</v>
      </c>
      <c r="B380" s="98">
        <f t="shared" si="122"/>
        <v>70</v>
      </c>
      <c r="C380" s="144">
        <v>209</v>
      </c>
      <c r="D380" s="145">
        <f t="shared" si="123"/>
        <v>209</v>
      </c>
      <c r="E380" s="145">
        <v>40</v>
      </c>
      <c r="F380" s="145">
        <v>20</v>
      </c>
      <c r="G380" s="146">
        <v>1</v>
      </c>
      <c r="H380" s="146">
        <v>6</v>
      </c>
      <c r="I380" s="146">
        <v>10</v>
      </c>
      <c r="J380" s="146">
        <v>5</v>
      </c>
      <c r="K380" s="146">
        <v>1</v>
      </c>
      <c r="L380" s="146">
        <v>1.5</v>
      </c>
      <c r="M380" s="145">
        <v>0.125</v>
      </c>
      <c r="N380" s="145">
        <v>0.5</v>
      </c>
      <c r="O380" s="145">
        <v>2</v>
      </c>
      <c r="P380" s="145">
        <v>0.013</v>
      </c>
      <c r="Q380" s="145">
        <f t="shared" si="107"/>
        <v>68.59</v>
      </c>
      <c r="R380" s="145">
        <f t="shared" si="108"/>
        <v>124.45</v>
      </c>
      <c r="S380" s="126">
        <f t="shared" si="124"/>
        <v>104.5</v>
      </c>
      <c r="T380" s="147">
        <f t="shared" si="109"/>
        <v>6.2225</v>
      </c>
      <c r="U380" s="142" t="str">
        <f t="shared" si="125"/>
        <v>[{2,1,209000,209000},{5103001,1,20000,20000},{1,2,750,750},{50002,1,9000,11000},{30,1,11,14},{9,1,112,137}]</v>
      </c>
      <c r="V380" s="142" t="str">
        <f t="shared" si="126"/>
        <v>[{2,1,209000,209000},{5103001,1,40000,40000},{50002,1,6000,6000},{5203001,1,5000,5000},{21360,1,1000,1000},{5301000,1,900,1000},{5303001,1,1800,2200},{11,1,400,600}]</v>
      </c>
      <c r="X380" s="142" t="str">
        <f t="shared" si="110"/>
        <v>{2,1,209000,209000}</v>
      </c>
      <c r="Y380" s="142"/>
      <c r="Z380" s="142" t="str">
        <f t="shared" si="111"/>
        <v>{5103001,1,20000,20000}</v>
      </c>
      <c r="AA380" s="142" t="str">
        <f t="shared" si="128"/>
        <v>{1,2,750,750}</v>
      </c>
      <c r="AD380" s="142" t="str">
        <f t="shared" si="112"/>
        <v>{50002,1,9000,11000}</v>
      </c>
      <c r="AE380" s="142" t="str">
        <f t="shared" si="127"/>
        <v>{30,1,11,14}</v>
      </c>
      <c r="AG380" s="142" t="str">
        <f t="shared" si="113"/>
        <v>{9,1,112,137}</v>
      </c>
      <c r="AH380" s="142" t="str">
        <f t="shared" si="114"/>
        <v>{2,1,209000,209000}</v>
      </c>
      <c r="AI380" s="142" t="str">
        <f t="shared" si="115"/>
        <v>{5103001,1,40000,40000}</v>
      </c>
      <c r="AJ380" s="142" t="str">
        <f t="shared" si="116"/>
        <v>{50002,1,6000,6000}</v>
      </c>
      <c r="AK380" s="142" t="str">
        <f t="shared" si="117"/>
        <v>{5203001,1,5000,5000}</v>
      </c>
      <c r="AL380" s="142" t="str">
        <f t="shared" si="118"/>
        <v>{21360,1,1000,1000}</v>
      </c>
      <c r="AM380" s="142" t="str">
        <f t="shared" si="119"/>
        <v>{5301000,1,900,1000}</v>
      </c>
      <c r="AO380" s="142" t="str">
        <f t="shared" si="120"/>
        <v>{5303001,1,1800,2200}</v>
      </c>
      <c r="AP380" s="142" t="s">
        <v>210</v>
      </c>
      <c r="AQ380" s="142"/>
    </row>
    <row r="381" spans="1:43">
      <c r="A381" s="143" t="str">
        <f t="shared" si="121"/>
        <v>[{2,1,210000,210000},{5103001,1,20000,20000}]</v>
      </c>
      <c r="B381" s="98">
        <f t="shared" si="122"/>
        <v>71</v>
      </c>
      <c r="C381" s="144">
        <v>210</v>
      </c>
      <c r="D381" s="145">
        <f t="shared" si="123"/>
        <v>210</v>
      </c>
      <c r="E381" s="145">
        <v>40</v>
      </c>
      <c r="F381" s="145">
        <v>20</v>
      </c>
      <c r="G381" s="146">
        <v>1</v>
      </c>
      <c r="H381" s="146">
        <v>6</v>
      </c>
      <c r="I381" s="146">
        <v>10</v>
      </c>
      <c r="J381" s="146">
        <v>5</v>
      </c>
      <c r="K381" s="146">
        <v>1</v>
      </c>
      <c r="L381" s="146">
        <v>1.5</v>
      </c>
      <c r="M381" s="145">
        <v>0.125</v>
      </c>
      <c r="N381" s="145">
        <v>0.5</v>
      </c>
      <c r="O381" s="145">
        <v>2</v>
      </c>
      <c r="P381" s="145">
        <v>0.013</v>
      </c>
      <c r="Q381" s="145">
        <f t="shared" si="107"/>
        <v>68.64</v>
      </c>
      <c r="R381" s="145">
        <f t="shared" si="108"/>
        <v>124.5</v>
      </c>
      <c r="S381" s="126">
        <f t="shared" si="124"/>
        <v>105</v>
      </c>
      <c r="T381" s="147">
        <f t="shared" si="109"/>
        <v>6.225</v>
      </c>
      <c r="U381" s="142" t="str">
        <f t="shared" si="125"/>
        <v>[{2,1,210000,210000},{5103001,1,20000,20000},{1,2,750,750},{50002,1,9000,11000},{30,1,11,14},{9,1,112,137}]</v>
      </c>
      <c r="V381" s="142" t="str">
        <f t="shared" si="126"/>
        <v>[{2,1,210000,210000},{5103001,1,40000,40000},{50002,1,6000,6000},{5203001,1,5000,5000},{21360,1,1000,1000},{5301000,1,900,1000},{5303001,1,1800,2200},{11,1,400,600}]</v>
      </c>
      <c r="X381" s="142" t="str">
        <f t="shared" si="110"/>
        <v>{2,1,210000,210000}</v>
      </c>
      <c r="Y381" s="142"/>
      <c r="Z381" s="142" t="str">
        <f t="shared" si="111"/>
        <v>{5103001,1,20000,20000}</v>
      </c>
      <c r="AA381" s="142" t="str">
        <f t="shared" si="128"/>
        <v>{1,2,750,750}</v>
      </c>
      <c r="AD381" s="142" t="str">
        <f t="shared" si="112"/>
        <v>{50002,1,9000,11000}</v>
      </c>
      <c r="AE381" s="142" t="str">
        <f t="shared" si="127"/>
        <v>{30,1,11,14}</v>
      </c>
      <c r="AG381" s="142" t="str">
        <f t="shared" si="113"/>
        <v>{9,1,112,137}</v>
      </c>
      <c r="AH381" s="142" t="str">
        <f t="shared" si="114"/>
        <v>{2,1,210000,210000}</v>
      </c>
      <c r="AI381" s="142" t="str">
        <f t="shared" si="115"/>
        <v>{5103001,1,40000,40000}</v>
      </c>
      <c r="AJ381" s="142" t="str">
        <f t="shared" si="116"/>
        <v>{50002,1,6000,6000}</v>
      </c>
      <c r="AK381" s="142" t="str">
        <f t="shared" si="117"/>
        <v>{5203001,1,5000,5000}</v>
      </c>
      <c r="AL381" s="142" t="str">
        <f t="shared" si="118"/>
        <v>{21360,1,1000,1000}</v>
      </c>
      <c r="AM381" s="142" t="str">
        <f t="shared" si="119"/>
        <v>{5301000,1,900,1000}</v>
      </c>
      <c r="AO381" s="142" t="str">
        <f t="shared" si="120"/>
        <v>{5303001,1,1800,2200}</v>
      </c>
      <c r="AP381" s="142" t="s">
        <v>210</v>
      </c>
      <c r="AQ381" s="142"/>
    </row>
    <row r="382" spans="1:43">
      <c r="A382" s="143" t="str">
        <f t="shared" si="121"/>
        <v>[{2,1,211000,211000},{5103001,1,20000,20000}]</v>
      </c>
      <c r="B382" s="98">
        <f t="shared" si="122"/>
        <v>72</v>
      </c>
      <c r="C382" s="144">
        <v>211</v>
      </c>
      <c r="D382" s="145">
        <f t="shared" si="123"/>
        <v>211</v>
      </c>
      <c r="E382" s="145">
        <v>40</v>
      </c>
      <c r="F382" s="145">
        <v>20</v>
      </c>
      <c r="G382" s="146">
        <v>1</v>
      </c>
      <c r="H382" s="146">
        <v>6</v>
      </c>
      <c r="I382" s="146">
        <v>10</v>
      </c>
      <c r="J382" s="146">
        <v>5</v>
      </c>
      <c r="K382" s="146">
        <v>1</v>
      </c>
      <c r="L382" s="146">
        <v>1.5</v>
      </c>
      <c r="M382" s="145">
        <v>0.125</v>
      </c>
      <c r="N382" s="145">
        <v>0.5</v>
      </c>
      <c r="O382" s="145">
        <v>2</v>
      </c>
      <c r="P382" s="145">
        <v>0.013</v>
      </c>
      <c r="Q382" s="145">
        <f t="shared" si="107"/>
        <v>68.69</v>
      </c>
      <c r="R382" s="145">
        <f t="shared" si="108"/>
        <v>124.55</v>
      </c>
      <c r="S382" s="126">
        <f t="shared" si="124"/>
        <v>105.5</v>
      </c>
      <c r="T382" s="147">
        <f t="shared" si="109"/>
        <v>6.2275</v>
      </c>
      <c r="U382" s="142" t="str">
        <f t="shared" si="125"/>
        <v>[{2,1,211000,211000},{5103001,1,20000,20000},{1,2,750,750},{50002,1,9000,11000},{30,1,11,14},{9,1,112,137}]</v>
      </c>
      <c r="V382" s="142" t="str">
        <f t="shared" si="126"/>
        <v>[{2,1,211000,211000},{5103001,1,40000,40000},{50002,1,6000,6000},{5203001,1,5000,5000},{21360,1,1000,1000},{5301000,1,900,1000},{5303001,1,1800,2200},{11,1,400,600}]</v>
      </c>
      <c r="X382" s="142" t="str">
        <f t="shared" si="110"/>
        <v>{2,1,211000,211000}</v>
      </c>
      <c r="Y382" s="142"/>
      <c r="Z382" s="142" t="str">
        <f t="shared" si="111"/>
        <v>{5103001,1,20000,20000}</v>
      </c>
      <c r="AA382" s="142" t="str">
        <f t="shared" si="128"/>
        <v>{1,2,750,750}</v>
      </c>
      <c r="AD382" s="142" t="str">
        <f t="shared" si="112"/>
        <v>{50002,1,9000,11000}</v>
      </c>
      <c r="AE382" s="142" t="str">
        <f t="shared" si="127"/>
        <v>{30,1,11,14}</v>
      </c>
      <c r="AG382" s="142" t="str">
        <f t="shared" si="113"/>
        <v>{9,1,112,137}</v>
      </c>
      <c r="AH382" s="142" t="str">
        <f t="shared" si="114"/>
        <v>{2,1,211000,211000}</v>
      </c>
      <c r="AI382" s="142" t="str">
        <f t="shared" si="115"/>
        <v>{5103001,1,40000,40000}</v>
      </c>
      <c r="AJ382" s="142" t="str">
        <f t="shared" si="116"/>
        <v>{50002,1,6000,6000}</v>
      </c>
      <c r="AK382" s="142" t="str">
        <f t="shared" si="117"/>
        <v>{5203001,1,5000,5000}</v>
      </c>
      <c r="AL382" s="142" t="str">
        <f t="shared" si="118"/>
        <v>{21360,1,1000,1000}</v>
      </c>
      <c r="AM382" s="142" t="str">
        <f t="shared" si="119"/>
        <v>{5301000,1,900,1000}</v>
      </c>
      <c r="AO382" s="142" t="str">
        <f t="shared" si="120"/>
        <v>{5303001,1,1800,2200}</v>
      </c>
      <c r="AP382" s="142" t="s">
        <v>210</v>
      </c>
      <c r="AQ382" s="142"/>
    </row>
    <row r="383" spans="1:43">
      <c r="A383" s="143" t="str">
        <f t="shared" si="121"/>
        <v>[{2,1,212000,212000},{5103001,1,20000,20000}]</v>
      </c>
      <c r="B383" s="98">
        <f t="shared" si="122"/>
        <v>73</v>
      </c>
      <c r="C383" s="144">
        <v>212</v>
      </c>
      <c r="D383" s="145">
        <f t="shared" si="123"/>
        <v>212</v>
      </c>
      <c r="E383" s="145">
        <v>40</v>
      </c>
      <c r="F383" s="145">
        <v>20</v>
      </c>
      <c r="G383" s="146">
        <v>1</v>
      </c>
      <c r="H383" s="146">
        <v>6</v>
      </c>
      <c r="I383" s="146">
        <v>10</v>
      </c>
      <c r="J383" s="146">
        <v>5</v>
      </c>
      <c r="K383" s="146">
        <v>1</v>
      </c>
      <c r="L383" s="146">
        <v>1.5</v>
      </c>
      <c r="M383" s="145">
        <v>0.125</v>
      </c>
      <c r="N383" s="145">
        <v>0.5</v>
      </c>
      <c r="O383" s="145">
        <v>2</v>
      </c>
      <c r="P383" s="145">
        <v>0.013</v>
      </c>
      <c r="Q383" s="145">
        <f t="shared" si="107"/>
        <v>68.74</v>
      </c>
      <c r="R383" s="145">
        <f t="shared" si="108"/>
        <v>124.6</v>
      </c>
      <c r="S383" s="126">
        <f t="shared" si="124"/>
        <v>106</v>
      </c>
      <c r="T383" s="147">
        <f t="shared" si="109"/>
        <v>6.23</v>
      </c>
      <c r="U383" s="142" t="str">
        <f t="shared" si="125"/>
        <v>[{2,1,212000,212000},{5103001,1,20000,20000},{1,2,750,750},{50002,1,9000,11000},{30,1,11,14},{9,1,112,137}]</v>
      </c>
      <c r="V383" s="142" t="str">
        <f t="shared" si="126"/>
        <v>[{2,1,212000,212000},{5103001,1,40000,40000},{50002,1,6000,6000},{5203001,1,5000,5000},{21360,1,1000,1000},{5301000,1,900,1000},{5303001,1,1800,2200},{11,1,400,600}]</v>
      </c>
      <c r="X383" s="142" t="str">
        <f t="shared" si="110"/>
        <v>{2,1,212000,212000}</v>
      </c>
      <c r="Y383" s="142"/>
      <c r="Z383" s="142" t="str">
        <f t="shared" si="111"/>
        <v>{5103001,1,20000,20000}</v>
      </c>
      <c r="AA383" s="142" t="str">
        <f t="shared" si="128"/>
        <v>{1,2,750,750}</v>
      </c>
      <c r="AD383" s="142" t="str">
        <f t="shared" si="112"/>
        <v>{50002,1,9000,11000}</v>
      </c>
      <c r="AE383" s="142" t="str">
        <f t="shared" si="127"/>
        <v>{30,1,11,14}</v>
      </c>
      <c r="AG383" s="142" t="str">
        <f t="shared" si="113"/>
        <v>{9,1,112,137}</v>
      </c>
      <c r="AH383" s="142" t="str">
        <f t="shared" si="114"/>
        <v>{2,1,212000,212000}</v>
      </c>
      <c r="AI383" s="142" t="str">
        <f t="shared" si="115"/>
        <v>{5103001,1,40000,40000}</v>
      </c>
      <c r="AJ383" s="142" t="str">
        <f t="shared" si="116"/>
        <v>{50002,1,6000,6000}</v>
      </c>
      <c r="AK383" s="142" t="str">
        <f t="shared" si="117"/>
        <v>{5203001,1,5000,5000}</v>
      </c>
      <c r="AL383" s="142" t="str">
        <f t="shared" si="118"/>
        <v>{21360,1,1000,1000}</v>
      </c>
      <c r="AM383" s="142" t="str">
        <f t="shared" si="119"/>
        <v>{5301000,1,900,1000}</v>
      </c>
      <c r="AO383" s="142" t="str">
        <f t="shared" si="120"/>
        <v>{5303001,1,1800,2200}</v>
      </c>
      <c r="AP383" s="142" t="s">
        <v>210</v>
      </c>
      <c r="AQ383" s="142"/>
    </row>
    <row r="384" spans="1:43">
      <c r="A384" s="143" t="str">
        <f t="shared" si="121"/>
        <v>[{2,1,213000,213000},{5103001,1,20000,20000}]</v>
      </c>
      <c r="B384" s="98">
        <f t="shared" si="122"/>
        <v>74</v>
      </c>
      <c r="C384" s="144">
        <v>213</v>
      </c>
      <c r="D384" s="145">
        <f t="shared" si="123"/>
        <v>213</v>
      </c>
      <c r="E384" s="145">
        <v>40</v>
      </c>
      <c r="F384" s="145">
        <v>20</v>
      </c>
      <c r="G384" s="146">
        <v>1</v>
      </c>
      <c r="H384" s="146">
        <v>6</v>
      </c>
      <c r="I384" s="146">
        <v>10</v>
      </c>
      <c r="J384" s="146">
        <v>5</v>
      </c>
      <c r="K384" s="146">
        <v>1</v>
      </c>
      <c r="L384" s="146">
        <v>1.5</v>
      </c>
      <c r="M384" s="145">
        <v>0.125</v>
      </c>
      <c r="N384" s="145">
        <v>0.5</v>
      </c>
      <c r="O384" s="145">
        <v>2</v>
      </c>
      <c r="P384" s="145">
        <v>0.013</v>
      </c>
      <c r="Q384" s="145">
        <f t="shared" si="107"/>
        <v>68.79</v>
      </c>
      <c r="R384" s="145">
        <f t="shared" si="108"/>
        <v>124.65</v>
      </c>
      <c r="S384" s="126">
        <f t="shared" si="124"/>
        <v>106.5</v>
      </c>
      <c r="T384" s="147">
        <f t="shared" si="109"/>
        <v>6.2325</v>
      </c>
      <c r="U384" s="142" t="str">
        <f t="shared" si="125"/>
        <v>[{2,1,213000,213000},{5103001,1,20000,20000},{1,2,750,750},{50002,1,9000,11000},{30,1,11,14},{9,1,112,137}]</v>
      </c>
      <c r="V384" s="142" t="str">
        <f t="shared" si="126"/>
        <v>[{2,1,213000,213000},{5103001,1,40000,40000},{50002,1,6000,6000},{5203001,1,5000,5000},{21360,1,1000,1000},{5301000,1,900,1000},{5303001,1,1800,2200},{11,1,400,600}]</v>
      </c>
      <c r="X384" s="142" t="str">
        <f t="shared" si="110"/>
        <v>{2,1,213000,213000}</v>
      </c>
      <c r="Y384" s="142"/>
      <c r="Z384" s="142" t="str">
        <f t="shared" si="111"/>
        <v>{5103001,1,20000,20000}</v>
      </c>
      <c r="AA384" s="142" t="str">
        <f t="shared" si="128"/>
        <v>{1,2,750,750}</v>
      </c>
      <c r="AD384" s="142" t="str">
        <f t="shared" si="112"/>
        <v>{50002,1,9000,11000}</v>
      </c>
      <c r="AE384" s="142" t="str">
        <f t="shared" si="127"/>
        <v>{30,1,11,14}</v>
      </c>
      <c r="AG384" s="142" t="str">
        <f t="shared" si="113"/>
        <v>{9,1,112,137}</v>
      </c>
      <c r="AH384" s="142" t="str">
        <f t="shared" si="114"/>
        <v>{2,1,213000,213000}</v>
      </c>
      <c r="AI384" s="142" t="str">
        <f t="shared" si="115"/>
        <v>{5103001,1,40000,40000}</v>
      </c>
      <c r="AJ384" s="142" t="str">
        <f t="shared" si="116"/>
        <v>{50002,1,6000,6000}</v>
      </c>
      <c r="AK384" s="142" t="str">
        <f t="shared" si="117"/>
        <v>{5203001,1,5000,5000}</v>
      </c>
      <c r="AL384" s="142" t="str">
        <f t="shared" si="118"/>
        <v>{21360,1,1000,1000}</v>
      </c>
      <c r="AM384" s="142" t="str">
        <f t="shared" si="119"/>
        <v>{5301000,1,900,1000}</v>
      </c>
      <c r="AO384" s="142" t="str">
        <f t="shared" si="120"/>
        <v>{5303001,1,1800,2200}</v>
      </c>
      <c r="AP384" s="142" t="s">
        <v>210</v>
      </c>
      <c r="AQ384" s="142"/>
    </row>
    <row r="385" spans="1:43">
      <c r="A385" s="143" t="str">
        <f t="shared" si="121"/>
        <v>[{2,1,214000,214000},{5103001,1,20000,20000}]</v>
      </c>
      <c r="B385" s="98">
        <f t="shared" si="122"/>
        <v>75</v>
      </c>
      <c r="C385" s="144">
        <v>214</v>
      </c>
      <c r="D385" s="145">
        <f t="shared" si="123"/>
        <v>214</v>
      </c>
      <c r="E385" s="145">
        <v>40</v>
      </c>
      <c r="F385" s="145">
        <v>20</v>
      </c>
      <c r="G385" s="146">
        <v>1</v>
      </c>
      <c r="H385" s="146">
        <v>6</v>
      </c>
      <c r="I385" s="146">
        <v>10</v>
      </c>
      <c r="J385" s="146">
        <v>5</v>
      </c>
      <c r="K385" s="146">
        <v>1</v>
      </c>
      <c r="L385" s="146">
        <v>1.5</v>
      </c>
      <c r="M385" s="145">
        <v>0.125</v>
      </c>
      <c r="N385" s="145">
        <v>0.5</v>
      </c>
      <c r="O385" s="145">
        <v>2</v>
      </c>
      <c r="P385" s="145">
        <v>0.013</v>
      </c>
      <c r="Q385" s="145">
        <f t="shared" si="107"/>
        <v>68.84</v>
      </c>
      <c r="R385" s="145">
        <f t="shared" si="108"/>
        <v>124.7</v>
      </c>
      <c r="S385" s="126">
        <f t="shared" si="124"/>
        <v>107</v>
      </c>
      <c r="T385" s="147">
        <f t="shared" si="109"/>
        <v>6.235</v>
      </c>
      <c r="U385" s="142" t="str">
        <f t="shared" si="125"/>
        <v>[{2,1,214000,214000},{5103001,1,20000,20000},{1,2,750,750},{50002,1,9000,11000},{30,1,11,14},{9,1,112,137}]</v>
      </c>
      <c r="V385" s="142" t="str">
        <f t="shared" si="126"/>
        <v>[{2,1,214000,214000},{5103001,1,40000,40000},{50002,1,6000,6000},{5203001,1,5000,5000},{21360,1,1000,1000},{5301000,1,900,1000},{5303001,1,1800,2200},{11,1,400,600}]</v>
      </c>
      <c r="X385" s="142" t="str">
        <f t="shared" si="110"/>
        <v>{2,1,214000,214000}</v>
      </c>
      <c r="Y385" s="142"/>
      <c r="Z385" s="142" t="str">
        <f t="shared" si="111"/>
        <v>{5103001,1,20000,20000}</v>
      </c>
      <c r="AA385" s="142" t="str">
        <f t="shared" si="128"/>
        <v>{1,2,750,750}</v>
      </c>
      <c r="AD385" s="142" t="str">
        <f t="shared" si="112"/>
        <v>{50002,1,9000,11000}</v>
      </c>
      <c r="AE385" s="142" t="str">
        <f t="shared" si="127"/>
        <v>{30,1,11,14}</v>
      </c>
      <c r="AG385" s="142" t="str">
        <f t="shared" si="113"/>
        <v>{9,1,112,137}</v>
      </c>
      <c r="AH385" s="142" t="str">
        <f t="shared" si="114"/>
        <v>{2,1,214000,214000}</v>
      </c>
      <c r="AI385" s="142" t="str">
        <f t="shared" si="115"/>
        <v>{5103001,1,40000,40000}</v>
      </c>
      <c r="AJ385" s="142" t="str">
        <f t="shared" si="116"/>
        <v>{50002,1,6000,6000}</v>
      </c>
      <c r="AK385" s="142" t="str">
        <f t="shared" si="117"/>
        <v>{5203001,1,5000,5000}</v>
      </c>
      <c r="AL385" s="142" t="str">
        <f t="shared" si="118"/>
        <v>{21360,1,1000,1000}</v>
      </c>
      <c r="AM385" s="142" t="str">
        <f t="shared" si="119"/>
        <v>{5301000,1,900,1000}</v>
      </c>
      <c r="AO385" s="142" t="str">
        <f t="shared" si="120"/>
        <v>{5303001,1,1800,2200}</v>
      </c>
      <c r="AP385" s="142" t="s">
        <v>210</v>
      </c>
      <c r="AQ385" s="142"/>
    </row>
    <row r="386" spans="1:43">
      <c r="A386" s="143" t="str">
        <f t="shared" si="121"/>
        <v>[{2,1,215000,215000},{5103001,1,20000,20000}]</v>
      </c>
      <c r="B386" s="98">
        <f t="shared" si="122"/>
        <v>76</v>
      </c>
      <c r="C386" s="144">
        <v>215</v>
      </c>
      <c r="D386" s="145">
        <f t="shared" si="123"/>
        <v>215</v>
      </c>
      <c r="E386" s="145">
        <v>40</v>
      </c>
      <c r="F386" s="145">
        <v>20</v>
      </c>
      <c r="G386" s="146">
        <v>1</v>
      </c>
      <c r="H386" s="146">
        <v>6</v>
      </c>
      <c r="I386" s="146">
        <v>10</v>
      </c>
      <c r="J386" s="146">
        <v>5</v>
      </c>
      <c r="K386" s="146">
        <v>1</v>
      </c>
      <c r="L386" s="146">
        <v>1.5</v>
      </c>
      <c r="M386" s="145">
        <v>0.125</v>
      </c>
      <c r="N386" s="145">
        <v>0.5</v>
      </c>
      <c r="O386" s="145">
        <v>2</v>
      </c>
      <c r="P386" s="145">
        <v>0.013</v>
      </c>
      <c r="Q386" s="145">
        <f t="shared" si="107"/>
        <v>68.89</v>
      </c>
      <c r="R386" s="145">
        <f t="shared" si="108"/>
        <v>124.75</v>
      </c>
      <c r="S386" s="126">
        <f t="shared" si="124"/>
        <v>107.5</v>
      </c>
      <c r="T386" s="147">
        <f t="shared" si="109"/>
        <v>6.2375</v>
      </c>
      <c r="U386" s="142" t="str">
        <f t="shared" si="125"/>
        <v>[{2,1,215000,215000},{5103001,1,20000,20000},{1,2,750,750},{50002,1,9000,11000},{30,1,11,14},{9,1,112,137}]</v>
      </c>
      <c r="V386" s="142" t="str">
        <f t="shared" si="126"/>
        <v>[{2,1,215000,215000},{5103001,1,40000,40000},{50002,1,6000,6000},{5203001,1,5000,5000},{21360,1,1000,1000},{5301000,1,900,1000},{5303001,1,1800,2200},{11,1,400,600}]</v>
      </c>
      <c r="X386" s="142" t="str">
        <f t="shared" si="110"/>
        <v>{2,1,215000,215000}</v>
      </c>
      <c r="Y386" s="142"/>
      <c r="Z386" s="142" t="str">
        <f t="shared" si="111"/>
        <v>{5103001,1,20000,20000}</v>
      </c>
      <c r="AA386" s="142" t="str">
        <f t="shared" si="128"/>
        <v>{1,2,750,750}</v>
      </c>
      <c r="AD386" s="142" t="str">
        <f t="shared" si="112"/>
        <v>{50002,1,9000,11000}</v>
      </c>
      <c r="AE386" s="142" t="str">
        <f t="shared" si="127"/>
        <v>{30,1,11,14}</v>
      </c>
      <c r="AG386" s="142" t="str">
        <f t="shared" si="113"/>
        <v>{9,1,112,137}</v>
      </c>
      <c r="AH386" s="142" t="str">
        <f t="shared" si="114"/>
        <v>{2,1,215000,215000}</v>
      </c>
      <c r="AI386" s="142" t="str">
        <f t="shared" si="115"/>
        <v>{5103001,1,40000,40000}</v>
      </c>
      <c r="AJ386" s="142" t="str">
        <f t="shared" si="116"/>
        <v>{50002,1,6000,6000}</v>
      </c>
      <c r="AK386" s="142" t="str">
        <f t="shared" si="117"/>
        <v>{5203001,1,5000,5000}</v>
      </c>
      <c r="AL386" s="142" t="str">
        <f t="shared" si="118"/>
        <v>{21360,1,1000,1000}</v>
      </c>
      <c r="AM386" s="142" t="str">
        <f t="shared" si="119"/>
        <v>{5301000,1,900,1000}</v>
      </c>
      <c r="AO386" s="142" t="str">
        <f t="shared" si="120"/>
        <v>{5303001,1,1800,2200}</v>
      </c>
      <c r="AP386" s="142" t="s">
        <v>210</v>
      </c>
      <c r="AQ386" s="142"/>
    </row>
    <row r="387" spans="1:43">
      <c r="A387" s="143" t="str">
        <f t="shared" si="121"/>
        <v>[{2,1,216000,216000},{5103001,1,20000,20000}]</v>
      </c>
      <c r="B387" s="98">
        <f t="shared" si="122"/>
        <v>77</v>
      </c>
      <c r="C387" s="144">
        <v>216</v>
      </c>
      <c r="D387" s="145">
        <f t="shared" si="123"/>
        <v>216</v>
      </c>
      <c r="E387" s="145">
        <v>40</v>
      </c>
      <c r="F387" s="145">
        <v>20</v>
      </c>
      <c r="G387" s="146">
        <v>1</v>
      </c>
      <c r="H387" s="146">
        <v>6</v>
      </c>
      <c r="I387" s="146">
        <v>10</v>
      </c>
      <c r="J387" s="146">
        <v>5</v>
      </c>
      <c r="K387" s="146">
        <v>1</v>
      </c>
      <c r="L387" s="146">
        <v>1.5</v>
      </c>
      <c r="M387" s="145">
        <v>0.125</v>
      </c>
      <c r="N387" s="145">
        <v>0.5</v>
      </c>
      <c r="O387" s="145">
        <v>2</v>
      </c>
      <c r="P387" s="145">
        <v>0.013</v>
      </c>
      <c r="Q387" s="145">
        <f t="shared" si="107"/>
        <v>68.94</v>
      </c>
      <c r="R387" s="145">
        <f t="shared" si="108"/>
        <v>124.8</v>
      </c>
      <c r="S387" s="126">
        <f t="shared" si="124"/>
        <v>108</v>
      </c>
      <c r="T387" s="147">
        <f t="shared" si="109"/>
        <v>6.24</v>
      </c>
      <c r="U387" s="142" t="str">
        <f t="shared" si="125"/>
        <v>[{2,1,216000,216000},{5103001,1,20000,20000},{1,2,750,750},{50002,1,9000,11000},{30,1,11,14},{9,1,112,137}]</v>
      </c>
      <c r="V387" s="142" t="str">
        <f t="shared" si="126"/>
        <v>[{2,1,216000,216000},{5103001,1,40000,40000},{50002,1,6000,6000},{5203001,1,5000,5000},{21360,1,1000,1000},{5301000,1,900,1000},{5303001,1,1800,2200},{11,1,400,600}]</v>
      </c>
      <c r="X387" s="142" t="str">
        <f t="shared" si="110"/>
        <v>{2,1,216000,216000}</v>
      </c>
      <c r="Y387" s="142"/>
      <c r="Z387" s="142" t="str">
        <f t="shared" si="111"/>
        <v>{5103001,1,20000,20000}</v>
      </c>
      <c r="AA387" s="142" t="str">
        <f t="shared" si="128"/>
        <v>{1,2,750,750}</v>
      </c>
      <c r="AD387" s="142" t="str">
        <f t="shared" si="112"/>
        <v>{50002,1,9000,11000}</v>
      </c>
      <c r="AE387" s="142" t="str">
        <f t="shared" si="127"/>
        <v>{30,1,11,14}</v>
      </c>
      <c r="AG387" s="142" t="str">
        <f t="shared" si="113"/>
        <v>{9,1,112,137}</v>
      </c>
      <c r="AH387" s="142" t="str">
        <f t="shared" si="114"/>
        <v>{2,1,216000,216000}</v>
      </c>
      <c r="AI387" s="142" t="str">
        <f t="shared" si="115"/>
        <v>{5103001,1,40000,40000}</v>
      </c>
      <c r="AJ387" s="142" t="str">
        <f t="shared" si="116"/>
        <v>{50002,1,6000,6000}</v>
      </c>
      <c r="AK387" s="142" t="str">
        <f t="shared" si="117"/>
        <v>{5203001,1,5000,5000}</v>
      </c>
      <c r="AL387" s="142" t="str">
        <f t="shared" si="118"/>
        <v>{21360,1,1000,1000}</v>
      </c>
      <c r="AM387" s="142" t="str">
        <f t="shared" si="119"/>
        <v>{5301000,1,900,1000}</v>
      </c>
      <c r="AO387" s="142" t="str">
        <f t="shared" si="120"/>
        <v>{5303001,1,1800,2200}</v>
      </c>
      <c r="AP387" s="142" t="s">
        <v>210</v>
      </c>
      <c r="AQ387" s="142"/>
    </row>
    <row r="388" spans="1:43">
      <c r="A388" s="143" t="str">
        <f t="shared" si="121"/>
        <v>[{2,1,217000,217000},{5103001,1,20000,20000}]</v>
      </c>
      <c r="B388" s="98">
        <f t="shared" si="122"/>
        <v>78</v>
      </c>
      <c r="C388" s="144">
        <v>217</v>
      </c>
      <c r="D388" s="145">
        <f t="shared" si="123"/>
        <v>217</v>
      </c>
      <c r="E388" s="145">
        <v>40</v>
      </c>
      <c r="F388" s="145">
        <v>20</v>
      </c>
      <c r="G388" s="146">
        <v>1</v>
      </c>
      <c r="H388" s="146">
        <v>6</v>
      </c>
      <c r="I388" s="146">
        <v>10</v>
      </c>
      <c r="J388" s="146">
        <v>5</v>
      </c>
      <c r="K388" s="146">
        <v>1</v>
      </c>
      <c r="L388" s="146">
        <v>1.5</v>
      </c>
      <c r="M388" s="145">
        <v>0.125</v>
      </c>
      <c r="N388" s="145">
        <v>0.5</v>
      </c>
      <c r="O388" s="145">
        <v>2</v>
      </c>
      <c r="P388" s="145">
        <v>0.013</v>
      </c>
      <c r="Q388" s="145">
        <f t="shared" si="107"/>
        <v>68.99</v>
      </c>
      <c r="R388" s="145">
        <f t="shared" si="108"/>
        <v>124.85</v>
      </c>
      <c r="S388" s="126">
        <f t="shared" si="124"/>
        <v>108.5</v>
      </c>
      <c r="T388" s="147">
        <f t="shared" si="109"/>
        <v>6.2425</v>
      </c>
      <c r="U388" s="142" t="str">
        <f t="shared" si="125"/>
        <v>[{2,1,217000,217000},{5103001,1,20000,20000},{1,2,750,750},{50002,1,9000,11000},{30,1,11,14},{9,1,112,137}]</v>
      </c>
      <c r="V388" s="142" t="str">
        <f t="shared" si="126"/>
        <v>[{2,1,217000,217000},{5103001,1,40000,40000},{50002,1,6000,6000},{5203001,1,5000,5000},{21360,1,1000,1000},{5301000,1,900,1000},{5303001,1,1800,2200},{11,1,400,600}]</v>
      </c>
      <c r="X388" s="142" t="str">
        <f t="shared" si="110"/>
        <v>{2,1,217000,217000}</v>
      </c>
      <c r="Y388" s="142"/>
      <c r="Z388" s="142" t="str">
        <f t="shared" si="111"/>
        <v>{5103001,1,20000,20000}</v>
      </c>
      <c r="AA388" s="142" t="str">
        <f t="shared" si="128"/>
        <v>{1,2,750,750}</v>
      </c>
      <c r="AD388" s="142" t="str">
        <f t="shared" si="112"/>
        <v>{50002,1,9000,11000}</v>
      </c>
      <c r="AE388" s="142" t="str">
        <f t="shared" si="127"/>
        <v>{30,1,11,14}</v>
      </c>
      <c r="AG388" s="142" t="str">
        <f t="shared" si="113"/>
        <v>{9,1,112,137}</v>
      </c>
      <c r="AH388" s="142" t="str">
        <f t="shared" si="114"/>
        <v>{2,1,217000,217000}</v>
      </c>
      <c r="AI388" s="142" t="str">
        <f t="shared" si="115"/>
        <v>{5103001,1,40000,40000}</v>
      </c>
      <c r="AJ388" s="142" t="str">
        <f t="shared" si="116"/>
        <v>{50002,1,6000,6000}</v>
      </c>
      <c r="AK388" s="142" t="str">
        <f t="shared" si="117"/>
        <v>{5203001,1,5000,5000}</v>
      </c>
      <c r="AL388" s="142" t="str">
        <f t="shared" si="118"/>
        <v>{21360,1,1000,1000}</v>
      </c>
      <c r="AM388" s="142" t="str">
        <f t="shared" si="119"/>
        <v>{5301000,1,900,1000}</v>
      </c>
      <c r="AO388" s="142" t="str">
        <f t="shared" si="120"/>
        <v>{5303001,1,1800,2200}</v>
      </c>
      <c r="AP388" s="142" t="s">
        <v>210</v>
      </c>
      <c r="AQ388" s="142"/>
    </row>
    <row r="389" spans="1:43">
      <c r="A389" s="143" t="str">
        <f t="shared" si="121"/>
        <v>[{2,1,218000,218000},{5103001,1,20000,20000}]</v>
      </c>
      <c r="B389" s="98">
        <f t="shared" si="122"/>
        <v>79</v>
      </c>
      <c r="C389" s="144">
        <v>218</v>
      </c>
      <c r="D389" s="145">
        <f t="shared" si="123"/>
        <v>218</v>
      </c>
      <c r="E389" s="145">
        <v>40</v>
      </c>
      <c r="F389" s="145">
        <v>20</v>
      </c>
      <c r="G389" s="146">
        <v>1</v>
      </c>
      <c r="H389" s="146">
        <v>6</v>
      </c>
      <c r="I389" s="146">
        <v>10</v>
      </c>
      <c r="J389" s="146">
        <v>5</v>
      </c>
      <c r="K389" s="146">
        <v>1</v>
      </c>
      <c r="L389" s="146">
        <v>1.5</v>
      </c>
      <c r="M389" s="145">
        <v>0.125</v>
      </c>
      <c r="N389" s="145">
        <v>0.5</v>
      </c>
      <c r="O389" s="145">
        <v>2</v>
      </c>
      <c r="P389" s="145">
        <v>0.013</v>
      </c>
      <c r="Q389" s="145">
        <f t="shared" si="107"/>
        <v>69.04</v>
      </c>
      <c r="R389" s="145">
        <f t="shared" si="108"/>
        <v>124.9</v>
      </c>
      <c r="S389" s="126">
        <f t="shared" si="124"/>
        <v>109</v>
      </c>
      <c r="T389" s="147">
        <f t="shared" si="109"/>
        <v>6.245</v>
      </c>
      <c r="U389" s="142" t="str">
        <f t="shared" si="125"/>
        <v>[{2,1,218000,218000},{5103001,1,20000,20000},{1,2,750,750},{50002,1,9000,11000},{30,1,11,14},{9,1,112,137}]</v>
      </c>
      <c r="V389" s="142" t="str">
        <f t="shared" si="126"/>
        <v>[{2,1,218000,218000},{5103001,1,40000,40000},{50002,1,6000,6000},{5203001,1,5000,5000},{21360,1,1000,1000},{5301000,1,900,1000},{5303001,1,1800,2200},{11,1,400,600}]</v>
      </c>
      <c r="X389" s="142" t="str">
        <f t="shared" si="110"/>
        <v>{2,1,218000,218000}</v>
      </c>
      <c r="Y389" s="142"/>
      <c r="Z389" s="142" t="str">
        <f t="shared" si="111"/>
        <v>{5103001,1,20000,20000}</v>
      </c>
      <c r="AA389" s="142" t="str">
        <f t="shared" si="128"/>
        <v>{1,2,750,750}</v>
      </c>
      <c r="AD389" s="142" t="str">
        <f t="shared" si="112"/>
        <v>{50002,1,9000,11000}</v>
      </c>
      <c r="AE389" s="142" t="str">
        <f t="shared" si="127"/>
        <v>{30,1,11,14}</v>
      </c>
      <c r="AG389" s="142" t="str">
        <f t="shared" si="113"/>
        <v>{9,1,112,137}</v>
      </c>
      <c r="AH389" s="142" t="str">
        <f t="shared" si="114"/>
        <v>{2,1,218000,218000}</v>
      </c>
      <c r="AI389" s="142" t="str">
        <f t="shared" si="115"/>
        <v>{5103001,1,40000,40000}</v>
      </c>
      <c r="AJ389" s="142" t="str">
        <f t="shared" si="116"/>
        <v>{50002,1,6000,6000}</v>
      </c>
      <c r="AK389" s="142" t="str">
        <f t="shared" si="117"/>
        <v>{5203001,1,5000,5000}</v>
      </c>
      <c r="AL389" s="142" t="str">
        <f t="shared" si="118"/>
        <v>{21360,1,1000,1000}</v>
      </c>
      <c r="AM389" s="142" t="str">
        <f t="shared" si="119"/>
        <v>{5301000,1,900,1000}</v>
      </c>
      <c r="AO389" s="142" t="str">
        <f t="shared" si="120"/>
        <v>{5303001,1,1800,2200}</v>
      </c>
      <c r="AP389" s="142" t="s">
        <v>210</v>
      </c>
      <c r="AQ389" s="142"/>
    </row>
    <row r="390" spans="1:43">
      <c r="A390" s="143" t="str">
        <f t="shared" si="121"/>
        <v>[{2,1,219000,219000},{5103001,1,20000,20000}]</v>
      </c>
      <c r="B390" s="98">
        <f t="shared" si="122"/>
        <v>80</v>
      </c>
      <c r="C390" s="144">
        <v>219</v>
      </c>
      <c r="D390" s="145">
        <f t="shared" si="123"/>
        <v>219</v>
      </c>
      <c r="E390" s="145">
        <v>40</v>
      </c>
      <c r="F390" s="145">
        <v>20</v>
      </c>
      <c r="G390" s="146">
        <v>1</v>
      </c>
      <c r="H390" s="146">
        <v>6</v>
      </c>
      <c r="I390" s="146">
        <v>10</v>
      </c>
      <c r="J390" s="146">
        <v>5</v>
      </c>
      <c r="K390" s="146">
        <v>1</v>
      </c>
      <c r="L390" s="146">
        <v>1.5</v>
      </c>
      <c r="M390" s="145">
        <v>0.125</v>
      </c>
      <c r="N390" s="145">
        <v>0.5</v>
      </c>
      <c r="O390" s="145">
        <v>2</v>
      </c>
      <c r="P390" s="145">
        <v>0.013</v>
      </c>
      <c r="Q390" s="145">
        <f t="shared" si="107"/>
        <v>69.09</v>
      </c>
      <c r="R390" s="145">
        <f t="shared" si="108"/>
        <v>124.95</v>
      </c>
      <c r="S390" s="126">
        <f t="shared" si="124"/>
        <v>109.5</v>
      </c>
      <c r="T390" s="147">
        <f t="shared" si="109"/>
        <v>6.2475</v>
      </c>
      <c r="U390" s="142" t="str">
        <f t="shared" si="125"/>
        <v>[{2,1,219000,219000},{5103001,1,20000,20000},{1,2,750,750},{50002,1,9000,11000},{30,1,11,14},{9,1,112,137}]</v>
      </c>
      <c r="V390" s="142" t="str">
        <f t="shared" si="126"/>
        <v>[{2,1,219000,219000},{5103001,1,40000,40000},{50002,1,6000,6000},{5203001,1,5000,5000},{21360,1,1000,1000},{5301000,1,900,1000},{5303001,1,1800,2200},{11,1,400,600}]</v>
      </c>
      <c r="X390" s="142" t="str">
        <f t="shared" si="110"/>
        <v>{2,1,219000,219000}</v>
      </c>
      <c r="Y390" s="142"/>
      <c r="Z390" s="142" t="str">
        <f t="shared" si="111"/>
        <v>{5103001,1,20000,20000}</v>
      </c>
      <c r="AA390" s="142" t="str">
        <f t="shared" si="128"/>
        <v>{1,2,750,750}</v>
      </c>
      <c r="AD390" s="142" t="str">
        <f t="shared" si="112"/>
        <v>{50002,1,9000,11000}</v>
      </c>
      <c r="AE390" s="142" t="str">
        <f t="shared" si="127"/>
        <v>{30,1,11,14}</v>
      </c>
      <c r="AG390" s="142" t="str">
        <f t="shared" si="113"/>
        <v>{9,1,112,137}</v>
      </c>
      <c r="AH390" s="142" t="str">
        <f t="shared" si="114"/>
        <v>{2,1,219000,219000}</v>
      </c>
      <c r="AI390" s="142" t="str">
        <f t="shared" si="115"/>
        <v>{5103001,1,40000,40000}</v>
      </c>
      <c r="AJ390" s="142" t="str">
        <f t="shared" si="116"/>
        <v>{50002,1,6000,6000}</v>
      </c>
      <c r="AK390" s="142" t="str">
        <f t="shared" si="117"/>
        <v>{5203001,1,5000,5000}</v>
      </c>
      <c r="AL390" s="142" t="str">
        <f t="shared" si="118"/>
        <v>{21360,1,1000,1000}</v>
      </c>
      <c r="AM390" s="142" t="str">
        <f t="shared" si="119"/>
        <v>{5301000,1,900,1000}</v>
      </c>
      <c r="AO390" s="142" t="str">
        <f t="shared" si="120"/>
        <v>{5303001,1,1800,2200}</v>
      </c>
      <c r="AP390" s="142" t="s">
        <v>210</v>
      </c>
      <c r="AQ390" s="142"/>
    </row>
    <row r="391" spans="1:43">
      <c r="A391" s="143" t="str">
        <f t="shared" si="121"/>
        <v>[{2,1,220000,220000},{5103001,1,20000,20000}]</v>
      </c>
      <c r="B391" s="98">
        <f t="shared" si="122"/>
        <v>81</v>
      </c>
      <c r="C391" s="144">
        <v>220</v>
      </c>
      <c r="D391" s="145">
        <f t="shared" si="123"/>
        <v>220</v>
      </c>
      <c r="E391" s="145">
        <v>40</v>
      </c>
      <c r="F391" s="145">
        <v>20</v>
      </c>
      <c r="G391" s="146">
        <v>1</v>
      </c>
      <c r="H391" s="146">
        <v>6</v>
      </c>
      <c r="I391" s="146">
        <v>10</v>
      </c>
      <c r="J391" s="146">
        <v>5</v>
      </c>
      <c r="K391" s="146">
        <v>1</v>
      </c>
      <c r="L391" s="146">
        <v>1.5</v>
      </c>
      <c r="M391" s="145">
        <v>0.125</v>
      </c>
      <c r="N391" s="145">
        <v>0.5</v>
      </c>
      <c r="O391" s="145">
        <v>2</v>
      </c>
      <c r="P391" s="145">
        <v>0.013</v>
      </c>
      <c r="Q391" s="145">
        <f t="shared" si="107"/>
        <v>69.14</v>
      </c>
      <c r="R391" s="145">
        <f t="shared" si="108"/>
        <v>125</v>
      </c>
      <c r="S391" s="126">
        <f t="shared" si="124"/>
        <v>110</v>
      </c>
      <c r="T391" s="147">
        <f t="shared" si="109"/>
        <v>6.25</v>
      </c>
      <c r="U391" s="142" t="str">
        <f t="shared" si="125"/>
        <v>[{2,1,220000,220000},{5103001,1,20000,20000},{1,2,750,750},{50002,1,9000,11000},{30,1,11,14},{9,1,112,137}]</v>
      </c>
      <c r="V391" s="142" t="str">
        <f t="shared" si="126"/>
        <v>[{2,1,220000,220000},{5103001,1,40000,40000},{50002,1,6000,6000},{5203001,1,5000,5000},{21360,1,1000,1000},{5301000,1,900,1000},{5303001,1,1800,2200},{11,1,400,600}]</v>
      </c>
      <c r="X391" s="142" t="str">
        <f t="shared" si="110"/>
        <v>{2,1,220000,220000}</v>
      </c>
      <c r="Y391" s="142"/>
      <c r="Z391" s="142" t="str">
        <f t="shared" si="111"/>
        <v>{5103001,1,20000,20000}</v>
      </c>
      <c r="AA391" s="142" t="str">
        <f t="shared" si="128"/>
        <v>{1,2,750,750}</v>
      </c>
      <c r="AD391" s="142" t="str">
        <f t="shared" si="112"/>
        <v>{50002,1,9000,11000}</v>
      </c>
      <c r="AE391" s="142" t="str">
        <f t="shared" si="127"/>
        <v>{30,1,11,14}</v>
      </c>
      <c r="AG391" s="142" t="str">
        <f t="shared" si="113"/>
        <v>{9,1,112,137}</v>
      </c>
      <c r="AH391" s="142" t="str">
        <f t="shared" si="114"/>
        <v>{2,1,220000,220000}</v>
      </c>
      <c r="AI391" s="142" t="str">
        <f t="shared" si="115"/>
        <v>{5103001,1,40000,40000}</v>
      </c>
      <c r="AJ391" s="142" t="str">
        <f t="shared" si="116"/>
        <v>{50002,1,6000,6000}</v>
      </c>
      <c r="AK391" s="142" t="str">
        <f t="shared" si="117"/>
        <v>{5203001,1,5000,5000}</v>
      </c>
      <c r="AL391" s="142" t="str">
        <f t="shared" si="118"/>
        <v>{21360,1,1000,1000}</v>
      </c>
      <c r="AM391" s="142" t="str">
        <f t="shared" si="119"/>
        <v>{5301000,1,900,1000}</v>
      </c>
      <c r="AO391" s="142" t="str">
        <f t="shared" si="120"/>
        <v>{5303001,1,1800,2200}</v>
      </c>
      <c r="AP391" s="142" t="s">
        <v>210</v>
      </c>
      <c r="AQ391" s="142"/>
    </row>
    <row r="392" spans="1:43">
      <c r="A392" s="143" t="str">
        <f t="shared" si="121"/>
        <v>[{2,1,221000,221000},{5103001,1,20000,20000}]</v>
      </c>
      <c r="B392" s="98">
        <f t="shared" si="122"/>
        <v>82</v>
      </c>
      <c r="C392" s="144">
        <v>221</v>
      </c>
      <c r="D392" s="145">
        <f t="shared" si="123"/>
        <v>221</v>
      </c>
      <c r="E392" s="145">
        <v>40</v>
      </c>
      <c r="F392" s="145">
        <v>20</v>
      </c>
      <c r="G392" s="146">
        <v>1</v>
      </c>
      <c r="H392" s="146">
        <v>6</v>
      </c>
      <c r="I392" s="146">
        <v>10</v>
      </c>
      <c r="J392" s="146">
        <v>5</v>
      </c>
      <c r="K392" s="146">
        <v>1</v>
      </c>
      <c r="L392" s="146">
        <v>1.5</v>
      </c>
      <c r="M392" s="145">
        <v>0.125</v>
      </c>
      <c r="N392" s="145">
        <v>0.5</v>
      </c>
      <c r="O392" s="145">
        <v>2</v>
      </c>
      <c r="P392" s="145">
        <v>0.013</v>
      </c>
      <c r="Q392" s="145">
        <f t="shared" si="107"/>
        <v>69.19</v>
      </c>
      <c r="R392" s="145">
        <f t="shared" si="108"/>
        <v>125.05</v>
      </c>
      <c r="S392" s="126">
        <f t="shared" si="124"/>
        <v>110.5</v>
      </c>
      <c r="T392" s="147">
        <f t="shared" si="109"/>
        <v>6.2525</v>
      </c>
      <c r="U392" s="142" t="str">
        <f t="shared" si="125"/>
        <v>[{2,1,221000,221000},{5103001,1,20000,20000},{1,2,750,750},{50002,1,9000,11000},{30,1,11,14},{9,1,112,137}]</v>
      </c>
      <c r="V392" s="142" t="str">
        <f t="shared" si="126"/>
        <v>[{2,1,221000,221000},{5103001,1,40000,40000},{50002,1,6000,6000},{5203001,1,5000,5000},{21360,1,1000,1000},{5301000,1,900,1000},{5303001,1,1800,2200},{11,1,400,600}]</v>
      </c>
      <c r="X392" s="142" t="str">
        <f t="shared" si="110"/>
        <v>{2,1,221000,221000}</v>
      </c>
      <c r="Y392" s="142"/>
      <c r="Z392" s="142" t="str">
        <f t="shared" si="111"/>
        <v>{5103001,1,20000,20000}</v>
      </c>
      <c r="AA392" s="142" t="str">
        <f t="shared" si="128"/>
        <v>{1,2,750,750}</v>
      </c>
      <c r="AD392" s="142" t="str">
        <f t="shared" si="112"/>
        <v>{50002,1,9000,11000}</v>
      </c>
      <c r="AE392" s="142" t="str">
        <f t="shared" si="127"/>
        <v>{30,1,11,14}</v>
      </c>
      <c r="AG392" s="142" t="str">
        <f t="shared" si="113"/>
        <v>{9,1,112,137}</v>
      </c>
      <c r="AH392" s="142" t="str">
        <f t="shared" si="114"/>
        <v>{2,1,221000,221000}</v>
      </c>
      <c r="AI392" s="142" t="str">
        <f t="shared" si="115"/>
        <v>{5103001,1,40000,40000}</v>
      </c>
      <c r="AJ392" s="142" t="str">
        <f t="shared" si="116"/>
        <v>{50002,1,6000,6000}</v>
      </c>
      <c r="AK392" s="142" t="str">
        <f t="shared" si="117"/>
        <v>{5203001,1,5000,5000}</v>
      </c>
      <c r="AL392" s="142" t="str">
        <f t="shared" si="118"/>
        <v>{21360,1,1000,1000}</v>
      </c>
      <c r="AM392" s="142" t="str">
        <f t="shared" si="119"/>
        <v>{5301000,1,900,1000}</v>
      </c>
      <c r="AO392" s="142" t="str">
        <f t="shared" si="120"/>
        <v>{5303001,1,1800,2200}</v>
      </c>
      <c r="AP392" s="142" t="s">
        <v>210</v>
      </c>
      <c r="AQ392" s="142"/>
    </row>
    <row r="393" spans="1:43">
      <c r="A393" s="143" t="str">
        <f t="shared" si="121"/>
        <v>[{2,1,222000,222000},{5103001,1,20000,20000}]</v>
      </c>
      <c r="B393" s="98">
        <f t="shared" si="122"/>
        <v>83</v>
      </c>
      <c r="C393" s="144">
        <v>222</v>
      </c>
      <c r="D393" s="145">
        <f t="shared" si="123"/>
        <v>222</v>
      </c>
      <c r="E393" s="145">
        <v>40</v>
      </c>
      <c r="F393" s="145">
        <v>20</v>
      </c>
      <c r="G393" s="146">
        <v>1</v>
      </c>
      <c r="H393" s="146">
        <v>6</v>
      </c>
      <c r="I393" s="146">
        <v>10</v>
      </c>
      <c r="J393" s="146">
        <v>5</v>
      </c>
      <c r="K393" s="146">
        <v>1</v>
      </c>
      <c r="L393" s="146">
        <v>1.5</v>
      </c>
      <c r="M393" s="145">
        <v>0.125</v>
      </c>
      <c r="N393" s="145">
        <v>0.5</v>
      </c>
      <c r="O393" s="145">
        <v>2</v>
      </c>
      <c r="P393" s="145">
        <v>0.013</v>
      </c>
      <c r="Q393" s="145">
        <f t="shared" si="107"/>
        <v>69.24</v>
      </c>
      <c r="R393" s="145">
        <f t="shared" si="108"/>
        <v>125.1</v>
      </c>
      <c r="S393" s="126">
        <f t="shared" si="124"/>
        <v>111</v>
      </c>
      <c r="T393" s="147">
        <f t="shared" si="109"/>
        <v>6.255</v>
      </c>
      <c r="U393" s="142" t="str">
        <f t="shared" si="125"/>
        <v>[{2,1,222000,222000},{5103001,1,20000,20000},{1,2,750,750},{50002,1,9000,11000},{30,1,11,14},{9,1,112,137}]</v>
      </c>
      <c r="V393" s="142" t="str">
        <f t="shared" si="126"/>
        <v>[{2,1,222000,222000},{5103001,1,40000,40000},{50002,1,6000,6000},{5203001,1,5000,5000},{21360,1,1000,1000},{5301000,1,900,1000},{5303001,1,1800,2200},{11,1,400,600}]</v>
      </c>
      <c r="X393" s="142" t="str">
        <f t="shared" si="110"/>
        <v>{2,1,222000,222000}</v>
      </c>
      <c r="Y393" s="142"/>
      <c r="Z393" s="142" t="str">
        <f t="shared" si="111"/>
        <v>{5103001,1,20000,20000}</v>
      </c>
      <c r="AA393" s="142" t="str">
        <f t="shared" si="128"/>
        <v>{1,2,750,750}</v>
      </c>
      <c r="AD393" s="142" t="str">
        <f t="shared" si="112"/>
        <v>{50002,1,9000,11000}</v>
      </c>
      <c r="AE393" s="142" t="str">
        <f t="shared" si="127"/>
        <v>{30,1,11,14}</v>
      </c>
      <c r="AG393" s="142" t="str">
        <f t="shared" si="113"/>
        <v>{9,1,112,137}</v>
      </c>
      <c r="AH393" s="142" t="str">
        <f t="shared" si="114"/>
        <v>{2,1,222000,222000}</v>
      </c>
      <c r="AI393" s="142" t="str">
        <f t="shared" si="115"/>
        <v>{5103001,1,40000,40000}</v>
      </c>
      <c r="AJ393" s="142" t="str">
        <f t="shared" si="116"/>
        <v>{50002,1,6000,6000}</v>
      </c>
      <c r="AK393" s="142" t="str">
        <f t="shared" si="117"/>
        <v>{5203001,1,5000,5000}</v>
      </c>
      <c r="AL393" s="142" t="str">
        <f t="shared" si="118"/>
        <v>{21360,1,1000,1000}</v>
      </c>
      <c r="AM393" s="142" t="str">
        <f t="shared" si="119"/>
        <v>{5301000,1,900,1000}</v>
      </c>
      <c r="AO393" s="142" t="str">
        <f t="shared" si="120"/>
        <v>{5303001,1,1800,2200}</v>
      </c>
      <c r="AP393" s="142" t="s">
        <v>210</v>
      </c>
      <c r="AQ393" s="142"/>
    </row>
    <row r="394" spans="1:43">
      <c r="A394" s="143" t="str">
        <f t="shared" si="121"/>
        <v>[{2,1,223000,223000},{5103001,1,20000,20000}]</v>
      </c>
      <c r="B394" s="98">
        <f t="shared" si="122"/>
        <v>84</v>
      </c>
      <c r="C394" s="144">
        <v>223</v>
      </c>
      <c r="D394" s="145">
        <f t="shared" si="123"/>
        <v>223</v>
      </c>
      <c r="E394" s="145">
        <v>40</v>
      </c>
      <c r="F394" s="145">
        <v>20</v>
      </c>
      <c r="G394" s="146">
        <v>1</v>
      </c>
      <c r="H394" s="146">
        <v>6</v>
      </c>
      <c r="I394" s="146">
        <v>10</v>
      </c>
      <c r="J394" s="146">
        <v>5</v>
      </c>
      <c r="K394" s="146">
        <v>1</v>
      </c>
      <c r="L394" s="146">
        <v>1.5</v>
      </c>
      <c r="M394" s="145">
        <v>0.125</v>
      </c>
      <c r="N394" s="145">
        <v>0.5</v>
      </c>
      <c r="O394" s="145">
        <v>2</v>
      </c>
      <c r="P394" s="145">
        <v>0.013</v>
      </c>
      <c r="Q394" s="145">
        <f t="shared" si="107"/>
        <v>69.29</v>
      </c>
      <c r="R394" s="145">
        <f t="shared" si="108"/>
        <v>125.15</v>
      </c>
      <c r="S394" s="126">
        <f t="shared" si="124"/>
        <v>111.5</v>
      </c>
      <c r="T394" s="147">
        <f t="shared" si="109"/>
        <v>6.2575</v>
      </c>
      <c r="U394" s="142" t="str">
        <f t="shared" si="125"/>
        <v>[{2,1,223000,223000},{5103001,1,20000,20000},{1,2,750,750},{50002,1,9000,11000},{30,1,11,14},{9,1,112,137}]</v>
      </c>
      <c r="V394" s="142" t="str">
        <f t="shared" si="126"/>
        <v>[{2,1,223000,223000},{5103001,1,40000,40000},{50002,1,6000,6000},{5203001,1,5000,5000},{21360,1,1000,1000},{5301000,1,900,1000},{5303001,1,1800,2200},{11,1,400,600}]</v>
      </c>
      <c r="X394" s="142" t="str">
        <f t="shared" si="110"/>
        <v>{2,1,223000,223000}</v>
      </c>
      <c r="Y394" s="142"/>
      <c r="Z394" s="142" t="str">
        <f t="shared" si="111"/>
        <v>{5103001,1,20000,20000}</v>
      </c>
      <c r="AA394" s="142" t="str">
        <f t="shared" si="128"/>
        <v>{1,2,750,750}</v>
      </c>
      <c r="AD394" s="142" t="str">
        <f t="shared" si="112"/>
        <v>{50002,1,9000,11000}</v>
      </c>
      <c r="AE394" s="142" t="str">
        <f t="shared" si="127"/>
        <v>{30,1,11,14}</v>
      </c>
      <c r="AG394" s="142" t="str">
        <f t="shared" si="113"/>
        <v>{9,1,112,137}</v>
      </c>
      <c r="AH394" s="142" t="str">
        <f t="shared" si="114"/>
        <v>{2,1,223000,223000}</v>
      </c>
      <c r="AI394" s="142" t="str">
        <f t="shared" si="115"/>
        <v>{5103001,1,40000,40000}</v>
      </c>
      <c r="AJ394" s="142" t="str">
        <f t="shared" si="116"/>
        <v>{50002,1,6000,6000}</v>
      </c>
      <c r="AK394" s="142" t="str">
        <f t="shared" si="117"/>
        <v>{5203001,1,5000,5000}</v>
      </c>
      <c r="AL394" s="142" t="str">
        <f t="shared" si="118"/>
        <v>{21360,1,1000,1000}</v>
      </c>
      <c r="AM394" s="142" t="str">
        <f t="shared" si="119"/>
        <v>{5301000,1,900,1000}</v>
      </c>
      <c r="AO394" s="142" t="str">
        <f t="shared" si="120"/>
        <v>{5303001,1,1800,2200}</v>
      </c>
      <c r="AP394" s="142" t="s">
        <v>210</v>
      </c>
      <c r="AQ394" s="142"/>
    </row>
    <row r="395" spans="1:43">
      <c r="A395" s="143" t="str">
        <f t="shared" si="121"/>
        <v>[{2,1,224000,224000},{5103001,1,20000,20000}]</v>
      </c>
      <c r="B395" s="98">
        <f t="shared" si="122"/>
        <v>85</v>
      </c>
      <c r="C395" s="144">
        <v>224</v>
      </c>
      <c r="D395" s="145">
        <f t="shared" si="123"/>
        <v>224</v>
      </c>
      <c r="E395" s="145">
        <v>40</v>
      </c>
      <c r="F395" s="145">
        <v>20</v>
      </c>
      <c r="G395" s="146">
        <v>1</v>
      </c>
      <c r="H395" s="146">
        <v>6</v>
      </c>
      <c r="I395" s="146">
        <v>10</v>
      </c>
      <c r="J395" s="146">
        <v>5</v>
      </c>
      <c r="K395" s="146">
        <v>1</v>
      </c>
      <c r="L395" s="146">
        <v>1.5</v>
      </c>
      <c r="M395" s="145">
        <v>0.125</v>
      </c>
      <c r="N395" s="145">
        <v>0.5</v>
      </c>
      <c r="O395" s="145">
        <v>2</v>
      </c>
      <c r="P395" s="145">
        <v>0.013</v>
      </c>
      <c r="Q395" s="145">
        <f t="shared" si="107"/>
        <v>69.34</v>
      </c>
      <c r="R395" s="145">
        <f t="shared" si="108"/>
        <v>125.2</v>
      </c>
      <c r="S395" s="126">
        <f t="shared" si="124"/>
        <v>112</v>
      </c>
      <c r="T395" s="147">
        <f t="shared" si="109"/>
        <v>6.26</v>
      </c>
      <c r="U395" s="142" t="str">
        <f t="shared" si="125"/>
        <v>[{2,1,224000,224000},{5103001,1,20000,20000},{1,2,750,750},{50002,1,9000,11000},{30,1,11,14},{9,1,112,137}]</v>
      </c>
      <c r="V395" s="142" t="str">
        <f t="shared" si="126"/>
        <v>[{2,1,224000,224000},{5103001,1,40000,40000},{50002,1,6000,6000},{5203001,1,5000,5000},{21360,1,1000,1000},{5301000,1,900,1000},{5303001,1,1800,2200},{11,1,400,600}]</v>
      </c>
      <c r="X395" s="142" t="str">
        <f t="shared" si="110"/>
        <v>{2,1,224000,224000}</v>
      </c>
      <c r="Y395" s="142"/>
      <c r="Z395" s="142" t="str">
        <f t="shared" si="111"/>
        <v>{5103001,1,20000,20000}</v>
      </c>
      <c r="AA395" s="142" t="str">
        <f t="shared" si="128"/>
        <v>{1,2,750,750}</v>
      </c>
      <c r="AD395" s="142" t="str">
        <f t="shared" si="112"/>
        <v>{50002,1,9000,11000}</v>
      </c>
      <c r="AE395" s="142" t="str">
        <f t="shared" si="127"/>
        <v>{30,1,11,14}</v>
      </c>
      <c r="AG395" s="142" t="str">
        <f t="shared" si="113"/>
        <v>{9,1,112,137}</v>
      </c>
      <c r="AH395" s="142" t="str">
        <f t="shared" si="114"/>
        <v>{2,1,224000,224000}</v>
      </c>
      <c r="AI395" s="142" t="str">
        <f t="shared" si="115"/>
        <v>{5103001,1,40000,40000}</v>
      </c>
      <c r="AJ395" s="142" t="str">
        <f t="shared" si="116"/>
        <v>{50002,1,6000,6000}</v>
      </c>
      <c r="AK395" s="142" t="str">
        <f t="shared" si="117"/>
        <v>{5203001,1,5000,5000}</v>
      </c>
      <c r="AL395" s="142" t="str">
        <f t="shared" si="118"/>
        <v>{21360,1,1000,1000}</v>
      </c>
      <c r="AM395" s="142" t="str">
        <f t="shared" si="119"/>
        <v>{5301000,1,900,1000}</v>
      </c>
      <c r="AO395" s="142" t="str">
        <f t="shared" si="120"/>
        <v>{5303001,1,1800,2200}</v>
      </c>
      <c r="AP395" s="142" t="s">
        <v>210</v>
      </c>
      <c r="AQ395" s="142"/>
    </row>
    <row r="396" spans="1:43">
      <c r="A396" s="143" t="str">
        <f t="shared" si="121"/>
        <v>[{2,1,225000,225000},{5103001,1,20000,20000}]</v>
      </c>
      <c r="B396" s="98">
        <f t="shared" si="122"/>
        <v>86</v>
      </c>
      <c r="C396" s="144">
        <v>225</v>
      </c>
      <c r="D396" s="145">
        <f t="shared" si="123"/>
        <v>225</v>
      </c>
      <c r="E396" s="145">
        <v>40</v>
      </c>
      <c r="F396" s="145">
        <v>20</v>
      </c>
      <c r="G396" s="146">
        <v>1</v>
      </c>
      <c r="H396" s="146">
        <v>6</v>
      </c>
      <c r="I396" s="146">
        <v>10</v>
      </c>
      <c r="J396" s="146">
        <v>5</v>
      </c>
      <c r="K396" s="146">
        <v>1</v>
      </c>
      <c r="L396" s="146">
        <v>1.5</v>
      </c>
      <c r="M396" s="145">
        <v>0.125</v>
      </c>
      <c r="N396" s="145">
        <v>0.5</v>
      </c>
      <c r="O396" s="145">
        <v>2</v>
      </c>
      <c r="P396" s="145">
        <v>0.013</v>
      </c>
      <c r="Q396" s="145">
        <f t="shared" si="107"/>
        <v>69.39</v>
      </c>
      <c r="R396" s="145">
        <f t="shared" si="108"/>
        <v>125.25</v>
      </c>
      <c r="S396" s="126">
        <f t="shared" si="124"/>
        <v>112.5</v>
      </c>
      <c r="T396" s="147">
        <f t="shared" si="109"/>
        <v>6.2625</v>
      </c>
      <c r="U396" s="142" t="str">
        <f t="shared" si="125"/>
        <v>[{2,1,225000,225000},{5103001,1,20000,20000},{1,2,750,750},{50002,1,9000,11000},{30,1,11,14},{9,1,112,137}]</v>
      </c>
      <c r="V396" s="142" t="str">
        <f t="shared" si="126"/>
        <v>[{2,1,225000,225000},{5103001,1,40000,40000},{50002,1,6000,6000},{5203001,1,5000,5000},{21360,1,1000,1000},{5301000,1,900,1000},{5303001,1,1800,2200},{11,1,400,600}]</v>
      </c>
      <c r="X396" s="142" t="str">
        <f t="shared" si="110"/>
        <v>{2,1,225000,225000}</v>
      </c>
      <c r="Y396" s="142"/>
      <c r="Z396" s="142" t="str">
        <f t="shared" si="111"/>
        <v>{5103001,1,20000,20000}</v>
      </c>
      <c r="AA396" s="142" t="str">
        <f t="shared" si="128"/>
        <v>{1,2,750,750}</v>
      </c>
      <c r="AD396" s="142" t="str">
        <f t="shared" si="112"/>
        <v>{50002,1,9000,11000}</v>
      </c>
      <c r="AE396" s="142" t="str">
        <f t="shared" si="127"/>
        <v>{30,1,11,14}</v>
      </c>
      <c r="AG396" s="142" t="str">
        <f t="shared" si="113"/>
        <v>{9,1,112,137}</v>
      </c>
      <c r="AH396" s="142" t="str">
        <f t="shared" si="114"/>
        <v>{2,1,225000,225000}</v>
      </c>
      <c r="AI396" s="142" t="str">
        <f t="shared" si="115"/>
        <v>{5103001,1,40000,40000}</v>
      </c>
      <c r="AJ396" s="142" t="str">
        <f t="shared" si="116"/>
        <v>{50002,1,6000,6000}</v>
      </c>
      <c r="AK396" s="142" t="str">
        <f t="shared" si="117"/>
        <v>{5203001,1,5000,5000}</v>
      </c>
      <c r="AL396" s="142" t="str">
        <f t="shared" si="118"/>
        <v>{21360,1,1000,1000}</v>
      </c>
      <c r="AM396" s="142" t="str">
        <f t="shared" si="119"/>
        <v>{5301000,1,900,1000}</v>
      </c>
      <c r="AO396" s="142" t="str">
        <f t="shared" si="120"/>
        <v>{5303001,1,1800,2200}</v>
      </c>
      <c r="AP396" s="142" t="s">
        <v>210</v>
      </c>
      <c r="AQ396" s="142"/>
    </row>
    <row r="397" spans="1:43">
      <c r="A397" s="143" t="str">
        <f t="shared" si="121"/>
        <v>[{2,1,226000,226000},{5103001,1,20000,20000}]</v>
      </c>
      <c r="B397" s="98">
        <f t="shared" si="122"/>
        <v>87</v>
      </c>
      <c r="C397" s="144">
        <v>226</v>
      </c>
      <c r="D397" s="145">
        <f t="shared" si="123"/>
        <v>226</v>
      </c>
      <c r="E397" s="145">
        <v>40</v>
      </c>
      <c r="F397" s="145">
        <v>20</v>
      </c>
      <c r="G397" s="146">
        <v>1</v>
      </c>
      <c r="H397" s="146">
        <v>6</v>
      </c>
      <c r="I397" s="146">
        <v>10</v>
      </c>
      <c r="J397" s="146">
        <v>5</v>
      </c>
      <c r="K397" s="146">
        <v>1</v>
      </c>
      <c r="L397" s="146">
        <v>1.5</v>
      </c>
      <c r="M397" s="145">
        <v>0.125</v>
      </c>
      <c r="N397" s="145">
        <v>0.5</v>
      </c>
      <c r="O397" s="145">
        <v>2</v>
      </c>
      <c r="P397" s="145">
        <v>0.013</v>
      </c>
      <c r="Q397" s="145">
        <f t="shared" si="107"/>
        <v>69.44</v>
      </c>
      <c r="R397" s="145">
        <f t="shared" si="108"/>
        <v>125.3</v>
      </c>
      <c r="S397" s="126">
        <f t="shared" si="124"/>
        <v>113</v>
      </c>
      <c r="T397" s="147">
        <f t="shared" si="109"/>
        <v>6.265</v>
      </c>
      <c r="U397" s="142" t="str">
        <f t="shared" si="125"/>
        <v>[{2,1,226000,226000},{5103001,1,20000,20000},{1,2,750,750},{50002,1,9000,11000},{30,1,11,14},{9,1,112,137}]</v>
      </c>
      <c r="V397" s="142" t="str">
        <f t="shared" si="126"/>
        <v>[{2,1,226000,226000},{5103001,1,40000,40000},{50002,1,6000,6000},{5203001,1,5000,5000},{21360,1,1000,1000},{5301000,1,900,1000},{5303001,1,1800,2200},{11,1,400,600}]</v>
      </c>
      <c r="X397" s="142" t="str">
        <f t="shared" si="110"/>
        <v>{2,1,226000,226000}</v>
      </c>
      <c r="Y397" s="142"/>
      <c r="Z397" s="142" t="str">
        <f t="shared" si="111"/>
        <v>{5103001,1,20000,20000}</v>
      </c>
      <c r="AA397" s="142" t="str">
        <f t="shared" si="128"/>
        <v>{1,2,750,750}</v>
      </c>
      <c r="AD397" s="142" t="str">
        <f t="shared" si="112"/>
        <v>{50002,1,9000,11000}</v>
      </c>
      <c r="AE397" s="142" t="str">
        <f t="shared" si="127"/>
        <v>{30,1,11,14}</v>
      </c>
      <c r="AG397" s="142" t="str">
        <f t="shared" si="113"/>
        <v>{9,1,112,137}</v>
      </c>
      <c r="AH397" s="142" t="str">
        <f t="shared" si="114"/>
        <v>{2,1,226000,226000}</v>
      </c>
      <c r="AI397" s="142" t="str">
        <f t="shared" si="115"/>
        <v>{5103001,1,40000,40000}</v>
      </c>
      <c r="AJ397" s="142" t="str">
        <f t="shared" si="116"/>
        <v>{50002,1,6000,6000}</v>
      </c>
      <c r="AK397" s="142" t="str">
        <f t="shared" si="117"/>
        <v>{5203001,1,5000,5000}</v>
      </c>
      <c r="AL397" s="142" t="str">
        <f t="shared" si="118"/>
        <v>{21360,1,1000,1000}</v>
      </c>
      <c r="AM397" s="142" t="str">
        <f t="shared" si="119"/>
        <v>{5301000,1,900,1000}</v>
      </c>
      <c r="AO397" s="142" t="str">
        <f t="shared" si="120"/>
        <v>{5303001,1,1800,2200}</v>
      </c>
      <c r="AP397" s="142" t="s">
        <v>210</v>
      </c>
      <c r="AQ397" s="142"/>
    </row>
    <row r="398" spans="1:43">
      <c r="A398" s="143" t="str">
        <f t="shared" si="121"/>
        <v>[{2,1,227000,227000},{5103001,1,20000,20000}]</v>
      </c>
      <c r="B398" s="98">
        <f t="shared" si="122"/>
        <v>88</v>
      </c>
      <c r="C398" s="144">
        <v>227</v>
      </c>
      <c r="D398" s="145">
        <f t="shared" si="123"/>
        <v>227</v>
      </c>
      <c r="E398" s="145">
        <v>40</v>
      </c>
      <c r="F398" s="145">
        <v>20</v>
      </c>
      <c r="G398" s="146">
        <v>1</v>
      </c>
      <c r="H398" s="146">
        <v>6</v>
      </c>
      <c r="I398" s="146">
        <v>10</v>
      </c>
      <c r="J398" s="146">
        <v>5</v>
      </c>
      <c r="K398" s="146">
        <v>1</v>
      </c>
      <c r="L398" s="146">
        <v>1.5</v>
      </c>
      <c r="M398" s="145">
        <v>0.125</v>
      </c>
      <c r="N398" s="145">
        <v>0.5</v>
      </c>
      <c r="O398" s="145">
        <v>2</v>
      </c>
      <c r="P398" s="145">
        <v>0.013</v>
      </c>
      <c r="Q398" s="145">
        <f t="shared" si="107"/>
        <v>69.49</v>
      </c>
      <c r="R398" s="145">
        <f t="shared" si="108"/>
        <v>125.35</v>
      </c>
      <c r="S398" s="126">
        <f t="shared" si="124"/>
        <v>113.5</v>
      </c>
      <c r="T398" s="147">
        <f t="shared" si="109"/>
        <v>6.2675</v>
      </c>
      <c r="U398" s="142" t="str">
        <f t="shared" si="125"/>
        <v>[{2,1,227000,227000},{5103001,1,20000,20000},{1,2,750,750},{50002,1,9000,11000},{30,1,11,14},{9,1,112,137}]</v>
      </c>
      <c r="V398" s="142" t="str">
        <f t="shared" si="126"/>
        <v>[{2,1,227000,227000},{5103001,1,40000,40000},{50002,1,6000,6000},{5203001,1,5000,5000},{21360,1,1000,1000},{5301000,1,900,1000},{5303001,1,1800,2200},{11,1,400,600}]</v>
      </c>
      <c r="X398" s="142" t="str">
        <f t="shared" si="110"/>
        <v>{2,1,227000,227000}</v>
      </c>
      <c r="Y398" s="142"/>
      <c r="Z398" s="142" t="str">
        <f t="shared" si="111"/>
        <v>{5103001,1,20000,20000}</v>
      </c>
      <c r="AA398" s="142" t="str">
        <f t="shared" si="128"/>
        <v>{1,2,750,750}</v>
      </c>
      <c r="AD398" s="142" t="str">
        <f t="shared" si="112"/>
        <v>{50002,1,9000,11000}</v>
      </c>
      <c r="AE398" s="142" t="str">
        <f t="shared" si="127"/>
        <v>{30,1,11,14}</v>
      </c>
      <c r="AG398" s="142" t="str">
        <f t="shared" si="113"/>
        <v>{9,1,112,137}</v>
      </c>
      <c r="AH398" s="142" t="str">
        <f t="shared" si="114"/>
        <v>{2,1,227000,227000}</v>
      </c>
      <c r="AI398" s="142" t="str">
        <f t="shared" si="115"/>
        <v>{5103001,1,40000,40000}</v>
      </c>
      <c r="AJ398" s="142" t="str">
        <f t="shared" si="116"/>
        <v>{50002,1,6000,6000}</v>
      </c>
      <c r="AK398" s="142" t="str">
        <f t="shared" si="117"/>
        <v>{5203001,1,5000,5000}</v>
      </c>
      <c r="AL398" s="142" t="str">
        <f t="shared" si="118"/>
        <v>{21360,1,1000,1000}</v>
      </c>
      <c r="AM398" s="142" t="str">
        <f t="shared" si="119"/>
        <v>{5301000,1,900,1000}</v>
      </c>
      <c r="AO398" s="142" t="str">
        <f t="shared" si="120"/>
        <v>{5303001,1,1800,2200}</v>
      </c>
      <c r="AP398" s="142" t="s">
        <v>210</v>
      </c>
      <c r="AQ398" s="142"/>
    </row>
    <row r="399" spans="1:43">
      <c r="A399" s="143" t="str">
        <f t="shared" si="121"/>
        <v>[{2,1,228000,228000},{5103001,1,20000,20000}]</v>
      </c>
      <c r="B399" s="98">
        <f t="shared" si="122"/>
        <v>89</v>
      </c>
      <c r="C399" s="144">
        <v>228</v>
      </c>
      <c r="D399" s="145">
        <f t="shared" si="123"/>
        <v>228</v>
      </c>
      <c r="E399" s="145">
        <v>40</v>
      </c>
      <c r="F399" s="145">
        <v>20</v>
      </c>
      <c r="G399" s="146">
        <v>1</v>
      </c>
      <c r="H399" s="146">
        <v>6</v>
      </c>
      <c r="I399" s="146">
        <v>10</v>
      </c>
      <c r="J399" s="146">
        <v>5</v>
      </c>
      <c r="K399" s="146">
        <v>1</v>
      </c>
      <c r="L399" s="146">
        <v>1.5</v>
      </c>
      <c r="M399" s="145">
        <v>0.125</v>
      </c>
      <c r="N399" s="145">
        <v>0.5</v>
      </c>
      <c r="O399" s="145">
        <v>2</v>
      </c>
      <c r="P399" s="145">
        <v>0.013</v>
      </c>
      <c r="Q399" s="145">
        <f t="shared" si="107"/>
        <v>69.54</v>
      </c>
      <c r="R399" s="145">
        <f t="shared" si="108"/>
        <v>125.4</v>
      </c>
      <c r="S399" s="126">
        <f t="shared" si="124"/>
        <v>114</v>
      </c>
      <c r="T399" s="147">
        <f t="shared" si="109"/>
        <v>6.27</v>
      </c>
      <c r="U399" s="142" t="str">
        <f t="shared" si="125"/>
        <v>[{2,1,228000,228000},{5103001,1,20000,20000},{1,2,750,750},{50002,1,9000,11000},{30,1,11,14},{9,1,112,137}]</v>
      </c>
      <c r="V399" s="142" t="str">
        <f t="shared" si="126"/>
        <v>[{2,1,228000,228000},{5103001,1,40000,40000},{50002,1,6000,6000},{5203001,1,5000,5000},{21360,1,1000,1000},{5301000,1,900,1000},{5303001,1,1800,2200},{11,1,400,600}]</v>
      </c>
      <c r="X399" s="142" t="str">
        <f t="shared" si="110"/>
        <v>{2,1,228000,228000}</v>
      </c>
      <c r="Y399" s="142"/>
      <c r="Z399" s="142" t="str">
        <f t="shared" si="111"/>
        <v>{5103001,1,20000,20000}</v>
      </c>
      <c r="AA399" s="142" t="str">
        <f t="shared" si="128"/>
        <v>{1,2,750,750}</v>
      </c>
      <c r="AD399" s="142" t="str">
        <f t="shared" si="112"/>
        <v>{50002,1,9000,11000}</v>
      </c>
      <c r="AE399" s="142" t="str">
        <f t="shared" si="127"/>
        <v>{30,1,11,14}</v>
      </c>
      <c r="AG399" s="142" t="str">
        <f t="shared" si="113"/>
        <v>{9,1,112,137}</v>
      </c>
      <c r="AH399" s="142" t="str">
        <f t="shared" si="114"/>
        <v>{2,1,228000,228000}</v>
      </c>
      <c r="AI399" s="142" t="str">
        <f t="shared" si="115"/>
        <v>{5103001,1,40000,40000}</v>
      </c>
      <c r="AJ399" s="142" t="str">
        <f t="shared" si="116"/>
        <v>{50002,1,6000,6000}</v>
      </c>
      <c r="AK399" s="142" t="str">
        <f t="shared" si="117"/>
        <v>{5203001,1,5000,5000}</v>
      </c>
      <c r="AL399" s="142" t="str">
        <f t="shared" si="118"/>
        <v>{21360,1,1000,1000}</v>
      </c>
      <c r="AM399" s="142" t="str">
        <f t="shared" si="119"/>
        <v>{5301000,1,900,1000}</v>
      </c>
      <c r="AO399" s="142" t="str">
        <f t="shared" si="120"/>
        <v>{5303001,1,1800,2200}</v>
      </c>
      <c r="AP399" s="142" t="s">
        <v>210</v>
      </c>
      <c r="AQ399" s="142"/>
    </row>
    <row r="400" spans="1:43">
      <c r="A400" s="143" t="str">
        <f t="shared" si="121"/>
        <v>[{2,1,229000,229000},{5103001,1,20000,20000}]</v>
      </c>
      <c r="B400" s="98">
        <f t="shared" si="122"/>
        <v>90</v>
      </c>
      <c r="C400" s="144">
        <v>229</v>
      </c>
      <c r="D400" s="145">
        <f t="shared" si="123"/>
        <v>229</v>
      </c>
      <c r="E400" s="145">
        <v>40</v>
      </c>
      <c r="F400" s="145">
        <v>20</v>
      </c>
      <c r="G400" s="146">
        <v>1</v>
      </c>
      <c r="H400" s="146">
        <v>6</v>
      </c>
      <c r="I400" s="146">
        <v>10</v>
      </c>
      <c r="J400" s="146">
        <v>5</v>
      </c>
      <c r="K400" s="146">
        <v>1</v>
      </c>
      <c r="L400" s="146">
        <v>1.5</v>
      </c>
      <c r="M400" s="145">
        <v>0.125</v>
      </c>
      <c r="N400" s="145">
        <v>0.5</v>
      </c>
      <c r="O400" s="145">
        <v>2</v>
      </c>
      <c r="P400" s="145">
        <v>0.013</v>
      </c>
      <c r="Q400" s="145">
        <f t="shared" si="107"/>
        <v>69.59</v>
      </c>
      <c r="R400" s="145">
        <f t="shared" si="108"/>
        <v>125.45</v>
      </c>
      <c r="S400" s="126">
        <f t="shared" si="124"/>
        <v>114.5</v>
      </c>
      <c r="T400" s="147">
        <f t="shared" si="109"/>
        <v>6.2725</v>
      </c>
      <c r="U400" s="142" t="str">
        <f t="shared" si="125"/>
        <v>[{2,1,229000,229000},{5103001,1,20000,20000},{1,2,750,750},{50002,1,9000,11000},{30,1,11,14},{9,1,112,137}]</v>
      </c>
      <c r="V400" s="142" t="str">
        <f t="shared" si="126"/>
        <v>[{2,1,229000,229000},{5103001,1,40000,40000},{50002,1,6000,6000},{5203001,1,5000,5000},{21360,1,1000,1000},{5301000,1,900,1000},{5303001,1,1800,2200},{11,1,400,600}]</v>
      </c>
      <c r="X400" s="142" t="str">
        <f t="shared" si="110"/>
        <v>{2,1,229000,229000}</v>
      </c>
      <c r="Y400" s="142"/>
      <c r="Z400" s="142" t="str">
        <f t="shared" si="111"/>
        <v>{5103001,1,20000,20000}</v>
      </c>
      <c r="AA400" s="142" t="str">
        <f t="shared" si="128"/>
        <v>{1,2,750,750}</v>
      </c>
      <c r="AD400" s="142" t="str">
        <f t="shared" si="112"/>
        <v>{50002,1,9000,11000}</v>
      </c>
      <c r="AE400" s="142" t="str">
        <f t="shared" si="127"/>
        <v>{30,1,11,14}</v>
      </c>
      <c r="AG400" s="142" t="str">
        <f t="shared" si="113"/>
        <v>{9,1,112,137}</v>
      </c>
      <c r="AH400" s="142" t="str">
        <f t="shared" si="114"/>
        <v>{2,1,229000,229000}</v>
      </c>
      <c r="AI400" s="142" t="str">
        <f t="shared" si="115"/>
        <v>{5103001,1,40000,40000}</v>
      </c>
      <c r="AJ400" s="142" t="str">
        <f t="shared" si="116"/>
        <v>{50002,1,6000,6000}</v>
      </c>
      <c r="AK400" s="142" t="str">
        <f t="shared" si="117"/>
        <v>{5203001,1,5000,5000}</v>
      </c>
      <c r="AL400" s="142" t="str">
        <f t="shared" si="118"/>
        <v>{21360,1,1000,1000}</v>
      </c>
      <c r="AM400" s="142" t="str">
        <f t="shared" si="119"/>
        <v>{5301000,1,900,1000}</v>
      </c>
      <c r="AO400" s="142" t="str">
        <f t="shared" si="120"/>
        <v>{5303001,1,1800,2200}</v>
      </c>
      <c r="AP400" s="142" t="s">
        <v>210</v>
      </c>
      <c r="AQ400" s="142"/>
    </row>
    <row r="401" spans="1:43">
      <c r="A401" s="143" t="str">
        <f t="shared" si="121"/>
        <v>[{2,1,230000,230000},{5103001,1,20000,20000}]</v>
      </c>
      <c r="B401" s="98">
        <f t="shared" si="122"/>
        <v>91</v>
      </c>
      <c r="C401" s="144">
        <v>230</v>
      </c>
      <c r="D401" s="145">
        <f t="shared" si="123"/>
        <v>230</v>
      </c>
      <c r="E401" s="145">
        <v>40</v>
      </c>
      <c r="F401" s="145">
        <v>20</v>
      </c>
      <c r="G401" s="146">
        <v>1</v>
      </c>
      <c r="H401" s="146">
        <v>6</v>
      </c>
      <c r="I401" s="146">
        <v>10</v>
      </c>
      <c r="J401" s="146">
        <v>5</v>
      </c>
      <c r="K401" s="146">
        <v>1</v>
      </c>
      <c r="L401" s="146">
        <v>1.5</v>
      </c>
      <c r="M401" s="145">
        <v>0.125</v>
      </c>
      <c r="N401" s="145">
        <v>0.5</v>
      </c>
      <c r="O401" s="145">
        <v>2</v>
      </c>
      <c r="P401" s="145">
        <v>0.013</v>
      </c>
      <c r="Q401" s="145">
        <f t="shared" si="107"/>
        <v>69.64</v>
      </c>
      <c r="R401" s="145">
        <f t="shared" si="108"/>
        <v>125.5</v>
      </c>
      <c r="S401" s="126">
        <f t="shared" si="124"/>
        <v>115</v>
      </c>
      <c r="T401" s="147">
        <f t="shared" si="109"/>
        <v>6.275</v>
      </c>
      <c r="U401" s="142" t="str">
        <f t="shared" si="125"/>
        <v>[{2,1,230000,230000},{5103001,1,20000,20000},{1,2,750,750},{50002,1,9000,11000},{30,1,11,14},{9,1,112,137}]</v>
      </c>
      <c r="V401" s="142" t="str">
        <f t="shared" si="126"/>
        <v>[{2,1,230000,230000},{5103001,1,40000,40000},{50002,1,6000,6000},{5203001,1,5000,5000},{21360,1,1000,1000},{5301000,1,900,1000},{5303001,1,1800,2200},{11,1,400,600}]</v>
      </c>
      <c r="X401" s="142" t="str">
        <f t="shared" si="110"/>
        <v>{2,1,230000,230000}</v>
      </c>
      <c r="Y401" s="142"/>
      <c r="Z401" s="142" t="str">
        <f t="shared" si="111"/>
        <v>{5103001,1,20000,20000}</v>
      </c>
      <c r="AA401" s="142" t="str">
        <f t="shared" si="128"/>
        <v>{1,2,750,750}</v>
      </c>
      <c r="AD401" s="142" t="str">
        <f t="shared" si="112"/>
        <v>{50002,1,9000,11000}</v>
      </c>
      <c r="AE401" s="142" t="str">
        <f t="shared" si="127"/>
        <v>{30,1,11,14}</v>
      </c>
      <c r="AG401" s="142" t="str">
        <f t="shared" si="113"/>
        <v>{9,1,112,137}</v>
      </c>
      <c r="AH401" s="142" t="str">
        <f t="shared" si="114"/>
        <v>{2,1,230000,230000}</v>
      </c>
      <c r="AI401" s="142" t="str">
        <f t="shared" si="115"/>
        <v>{5103001,1,40000,40000}</v>
      </c>
      <c r="AJ401" s="142" t="str">
        <f t="shared" si="116"/>
        <v>{50002,1,6000,6000}</v>
      </c>
      <c r="AK401" s="142" t="str">
        <f t="shared" si="117"/>
        <v>{5203001,1,5000,5000}</v>
      </c>
      <c r="AL401" s="142" t="str">
        <f t="shared" si="118"/>
        <v>{21360,1,1000,1000}</v>
      </c>
      <c r="AM401" s="142" t="str">
        <f t="shared" si="119"/>
        <v>{5301000,1,900,1000}</v>
      </c>
      <c r="AO401" s="142" t="str">
        <f t="shared" si="120"/>
        <v>{5303001,1,1800,2200}</v>
      </c>
      <c r="AP401" s="142" t="s">
        <v>210</v>
      </c>
      <c r="AQ401" s="142"/>
    </row>
    <row r="402" spans="1:43">
      <c r="A402" s="143" t="str">
        <f t="shared" si="121"/>
        <v>[{2,1,231000,231000},{5103001,1,20000,20000}]</v>
      </c>
      <c r="B402" s="98">
        <f t="shared" si="122"/>
        <v>92</v>
      </c>
      <c r="C402" s="144">
        <v>231</v>
      </c>
      <c r="D402" s="145">
        <f t="shared" si="123"/>
        <v>231</v>
      </c>
      <c r="E402" s="145">
        <v>40</v>
      </c>
      <c r="F402" s="145">
        <v>20</v>
      </c>
      <c r="G402" s="146">
        <v>1</v>
      </c>
      <c r="H402" s="146">
        <v>6</v>
      </c>
      <c r="I402" s="146">
        <v>10</v>
      </c>
      <c r="J402" s="146">
        <v>5</v>
      </c>
      <c r="K402" s="146">
        <v>1</v>
      </c>
      <c r="L402" s="146">
        <v>1.5</v>
      </c>
      <c r="M402" s="145">
        <v>0.125</v>
      </c>
      <c r="N402" s="145">
        <v>0.5</v>
      </c>
      <c r="O402" s="145">
        <v>2</v>
      </c>
      <c r="P402" s="145">
        <v>0.013</v>
      </c>
      <c r="Q402" s="145">
        <f t="shared" si="107"/>
        <v>69.69</v>
      </c>
      <c r="R402" s="145">
        <f t="shared" si="108"/>
        <v>125.55</v>
      </c>
      <c r="S402" s="126">
        <f t="shared" si="124"/>
        <v>115.5</v>
      </c>
      <c r="T402" s="147">
        <f t="shared" si="109"/>
        <v>6.2775</v>
      </c>
      <c r="U402" s="142" t="str">
        <f t="shared" si="125"/>
        <v>[{2,1,231000,231000},{5103001,1,20000,20000},{1,2,750,750},{50002,1,9000,11000},{30,1,11,14},{9,1,112,137}]</v>
      </c>
      <c r="V402" s="142" t="str">
        <f t="shared" si="126"/>
        <v>[{2,1,231000,231000},{5103001,1,40000,40000},{50002,1,6000,6000},{5203001,1,5000,5000},{21360,1,1000,1000},{5301000,1,900,1000},{5303001,1,1800,2200},{11,1,400,600}]</v>
      </c>
      <c r="X402" s="142" t="str">
        <f t="shared" si="110"/>
        <v>{2,1,231000,231000}</v>
      </c>
      <c r="Y402" s="142"/>
      <c r="Z402" s="142" t="str">
        <f t="shared" si="111"/>
        <v>{5103001,1,20000,20000}</v>
      </c>
      <c r="AA402" s="142" t="str">
        <f t="shared" si="128"/>
        <v>{1,2,750,750}</v>
      </c>
      <c r="AD402" s="142" t="str">
        <f t="shared" si="112"/>
        <v>{50002,1,9000,11000}</v>
      </c>
      <c r="AE402" s="142" t="str">
        <f t="shared" si="127"/>
        <v>{30,1,11,14}</v>
      </c>
      <c r="AG402" s="142" t="str">
        <f t="shared" si="113"/>
        <v>{9,1,112,137}</v>
      </c>
      <c r="AH402" s="142" t="str">
        <f t="shared" si="114"/>
        <v>{2,1,231000,231000}</v>
      </c>
      <c r="AI402" s="142" t="str">
        <f t="shared" si="115"/>
        <v>{5103001,1,40000,40000}</v>
      </c>
      <c r="AJ402" s="142" t="str">
        <f t="shared" si="116"/>
        <v>{50002,1,6000,6000}</v>
      </c>
      <c r="AK402" s="142" t="str">
        <f t="shared" si="117"/>
        <v>{5203001,1,5000,5000}</v>
      </c>
      <c r="AL402" s="142" t="str">
        <f t="shared" si="118"/>
        <v>{21360,1,1000,1000}</v>
      </c>
      <c r="AM402" s="142" t="str">
        <f t="shared" si="119"/>
        <v>{5301000,1,900,1000}</v>
      </c>
      <c r="AO402" s="142" t="str">
        <f t="shared" si="120"/>
        <v>{5303001,1,1800,2200}</v>
      </c>
      <c r="AP402" s="142" t="s">
        <v>210</v>
      </c>
      <c r="AQ402" s="142"/>
    </row>
    <row r="403" spans="1:43">
      <c r="A403" s="143" t="str">
        <f t="shared" si="121"/>
        <v>[{2,1,232000,232000},{5103001,1,20000,20000}]</v>
      </c>
      <c r="B403" s="98">
        <f t="shared" si="122"/>
        <v>93</v>
      </c>
      <c r="C403" s="144">
        <v>232</v>
      </c>
      <c r="D403" s="145">
        <f t="shared" si="123"/>
        <v>232</v>
      </c>
      <c r="E403" s="145">
        <v>40</v>
      </c>
      <c r="F403" s="145">
        <v>20</v>
      </c>
      <c r="G403" s="146">
        <v>1</v>
      </c>
      <c r="H403" s="146">
        <v>6</v>
      </c>
      <c r="I403" s="146">
        <v>10</v>
      </c>
      <c r="J403" s="146">
        <v>5</v>
      </c>
      <c r="K403" s="146">
        <v>1</v>
      </c>
      <c r="L403" s="146">
        <v>1.5</v>
      </c>
      <c r="M403" s="145">
        <v>0.125</v>
      </c>
      <c r="N403" s="145">
        <v>0.5</v>
      </c>
      <c r="O403" s="145">
        <v>2</v>
      </c>
      <c r="P403" s="145">
        <v>0.013</v>
      </c>
      <c r="Q403" s="145">
        <f t="shared" si="107"/>
        <v>69.74</v>
      </c>
      <c r="R403" s="145">
        <f t="shared" si="108"/>
        <v>125.6</v>
      </c>
      <c r="S403" s="126">
        <f t="shared" si="124"/>
        <v>116</v>
      </c>
      <c r="T403" s="147">
        <f t="shared" si="109"/>
        <v>6.28</v>
      </c>
      <c r="U403" s="142" t="str">
        <f t="shared" si="125"/>
        <v>[{2,1,232000,232000},{5103001,1,20000,20000},{1,2,750,750},{50002,1,9000,11000},{30,1,11,14},{9,1,112,137}]</v>
      </c>
      <c r="V403" s="142" t="str">
        <f t="shared" si="126"/>
        <v>[{2,1,232000,232000},{5103001,1,40000,40000},{50002,1,6000,6000},{5203001,1,5000,5000},{21360,1,1000,1000},{5301000,1,900,1000},{5303001,1,1800,2200},{11,1,400,600}]</v>
      </c>
      <c r="X403" s="142" t="str">
        <f t="shared" si="110"/>
        <v>{2,1,232000,232000}</v>
      </c>
      <c r="Y403" s="142"/>
      <c r="Z403" s="142" t="str">
        <f t="shared" si="111"/>
        <v>{5103001,1,20000,20000}</v>
      </c>
      <c r="AA403" s="142" t="str">
        <f t="shared" si="128"/>
        <v>{1,2,750,750}</v>
      </c>
      <c r="AD403" s="142" t="str">
        <f t="shared" si="112"/>
        <v>{50002,1,9000,11000}</v>
      </c>
      <c r="AE403" s="142" t="str">
        <f t="shared" si="127"/>
        <v>{30,1,11,14}</v>
      </c>
      <c r="AG403" s="142" t="str">
        <f t="shared" si="113"/>
        <v>{9,1,112,137}</v>
      </c>
      <c r="AH403" s="142" t="str">
        <f t="shared" si="114"/>
        <v>{2,1,232000,232000}</v>
      </c>
      <c r="AI403" s="142" t="str">
        <f t="shared" si="115"/>
        <v>{5103001,1,40000,40000}</v>
      </c>
      <c r="AJ403" s="142" t="str">
        <f t="shared" si="116"/>
        <v>{50002,1,6000,6000}</v>
      </c>
      <c r="AK403" s="142" t="str">
        <f t="shared" si="117"/>
        <v>{5203001,1,5000,5000}</v>
      </c>
      <c r="AL403" s="142" t="str">
        <f t="shared" si="118"/>
        <v>{21360,1,1000,1000}</v>
      </c>
      <c r="AM403" s="142" t="str">
        <f t="shared" si="119"/>
        <v>{5301000,1,900,1000}</v>
      </c>
      <c r="AO403" s="142" t="str">
        <f t="shared" si="120"/>
        <v>{5303001,1,1800,2200}</v>
      </c>
      <c r="AP403" s="142" t="s">
        <v>210</v>
      </c>
      <c r="AQ403" s="142"/>
    </row>
    <row r="404" spans="1:43">
      <c r="A404" s="143" t="str">
        <f t="shared" si="121"/>
        <v>[{2,1,233000,233000},{5103001,1,20000,20000}]</v>
      </c>
      <c r="B404" s="98">
        <f t="shared" si="122"/>
        <v>94</v>
      </c>
      <c r="C404" s="144">
        <v>233</v>
      </c>
      <c r="D404" s="145">
        <f t="shared" si="123"/>
        <v>233</v>
      </c>
      <c r="E404" s="145">
        <v>40</v>
      </c>
      <c r="F404" s="145">
        <v>20</v>
      </c>
      <c r="G404" s="146">
        <v>1</v>
      </c>
      <c r="H404" s="146">
        <v>6</v>
      </c>
      <c r="I404" s="146">
        <v>10</v>
      </c>
      <c r="J404" s="146">
        <v>5</v>
      </c>
      <c r="K404" s="146">
        <v>1</v>
      </c>
      <c r="L404" s="146">
        <v>1.5</v>
      </c>
      <c r="M404" s="145">
        <v>0.125</v>
      </c>
      <c r="N404" s="145">
        <v>0.5</v>
      </c>
      <c r="O404" s="145">
        <v>2</v>
      </c>
      <c r="P404" s="145">
        <v>0.013</v>
      </c>
      <c r="Q404" s="145">
        <f t="shared" si="107"/>
        <v>69.79</v>
      </c>
      <c r="R404" s="145">
        <f t="shared" si="108"/>
        <v>125.65</v>
      </c>
      <c r="S404" s="126">
        <f t="shared" si="124"/>
        <v>116.5</v>
      </c>
      <c r="T404" s="147">
        <f t="shared" si="109"/>
        <v>6.2825</v>
      </c>
      <c r="U404" s="142" t="str">
        <f t="shared" si="125"/>
        <v>[{2,1,233000,233000},{5103001,1,20000,20000},{1,2,750,750},{50002,1,9000,11000},{30,1,11,14},{9,1,112,137}]</v>
      </c>
      <c r="V404" s="142" t="str">
        <f t="shared" si="126"/>
        <v>[{2,1,233000,233000},{5103001,1,40000,40000},{50002,1,6000,6000},{5203001,1,5000,5000},{21360,1,1000,1000},{5301000,1,900,1000},{5303001,1,1800,2200},{11,1,400,600}]</v>
      </c>
      <c r="X404" s="142" t="str">
        <f t="shared" si="110"/>
        <v>{2,1,233000,233000}</v>
      </c>
      <c r="Y404" s="142"/>
      <c r="Z404" s="142" t="str">
        <f t="shared" si="111"/>
        <v>{5103001,1,20000,20000}</v>
      </c>
      <c r="AA404" s="142" t="str">
        <f t="shared" si="128"/>
        <v>{1,2,750,750}</v>
      </c>
      <c r="AD404" s="142" t="str">
        <f t="shared" si="112"/>
        <v>{50002,1,9000,11000}</v>
      </c>
      <c r="AE404" s="142" t="str">
        <f t="shared" si="127"/>
        <v>{30,1,11,14}</v>
      </c>
      <c r="AG404" s="142" t="str">
        <f t="shared" si="113"/>
        <v>{9,1,112,137}</v>
      </c>
      <c r="AH404" s="142" t="str">
        <f t="shared" si="114"/>
        <v>{2,1,233000,233000}</v>
      </c>
      <c r="AI404" s="142" t="str">
        <f t="shared" si="115"/>
        <v>{5103001,1,40000,40000}</v>
      </c>
      <c r="AJ404" s="142" t="str">
        <f t="shared" si="116"/>
        <v>{50002,1,6000,6000}</v>
      </c>
      <c r="AK404" s="142" t="str">
        <f t="shared" si="117"/>
        <v>{5203001,1,5000,5000}</v>
      </c>
      <c r="AL404" s="142" t="str">
        <f t="shared" si="118"/>
        <v>{21360,1,1000,1000}</v>
      </c>
      <c r="AM404" s="142" t="str">
        <f t="shared" si="119"/>
        <v>{5301000,1,900,1000}</v>
      </c>
      <c r="AO404" s="142" t="str">
        <f t="shared" si="120"/>
        <v>{5303001,1,1800,2200}</v>
      </c>
      <c r="AP404" s="142" t="s">
        <v>210</v>
      </c>
      <c r="AQ404" s="142"/>
    </row>
    <row r="405" spans="1:43">
      <c r="A405" s="143" t="str">
        <f t="shared" si="121"/>
        <v>[{2,1,234000,234000},{5103001,1,20000,20000}]</v>
      </c>
      <c r="B405" s="98">
        <f t="shared" si="122"/>
        <v>95</v>
      </c>
      <c r="C405" s="144">
        <v>234</v>
      </c>
      <c r="D405" s="145">
        <f t="shared" si="123"/>
        <v>234</v>
      </c>
      <c r="E405" s="145">
        <v>40</v>
      </c>
      <c r="F405" s="145">
        <v>20</v>
      </c>
      <c r="G405" s="146">
        <v>1</v>
      </c>
      <c r="H405" s="146">
        <v>6</v>
      </c>
      <c r="I405" s="146">
        <v>10</v>
      </c>
      <c r="J405" s="146">
        <v>5</v>
      </c>
      <c r="K405" s="146">
        <v>1</v>
      </c>
      <c r="L405" s="146">
        <v>1.5</v>
      </c>
      <c r="M405" s="145">
        <v>0.125</v>
      </c>
      <c r="N405" s="145">
        <v>0.5</v>
      </c>
      <c r="O405" s="145">
        <v>2</v>
      </c>
      <c r="P405" s="145">
        <v>0.013</v>
      </c>
      <c r="Q405" s="145">
        <f t="shared" si="107"/>
        <v>69.84</v>
      </c>
      <c r="R405" s="145">
        <f t="shared" si="108"/>
        <v>125.7</v>
      </c>
      <c r="S405" s="126">
        <f t="shared" si="124"/>
        <v>117</v>
      </c>
      <c r="T405" s="147">
        <f t="shared" si="109"/>
        <v>6.285</v>
      </c>
      <c r="U405" s="142" t="str">
        <f t="shared" si="125"/>
        <v>[{2,1,234000,234000},{5103001,1,20000,20000},{1,2,750,750},{50002,1,9000,11000},{30,1,11,14},{9,1,112,137}]</v>
      </c>
      <c r="V405" s="142" t="str">
        <f t="shared" si="126"/>
        <v>[{2,1,234000,234000},{5103001,1,40000,40000},{50002,1,6000,6000},{5203001,1,5000,5000},{21360,1,1000,1000},{5301000,1,900,1000},{5303001,1,1800,2200},{11,1,400,600}]</v>
      </c>
      <c r="X405" s="142" t="str">
        <f t="shared" si="110"/>
        <v>{2,1,234000,234000}</v>
      </c>
      <c r="Y405" s="142"/>
      <c r="Z405" s="142" t="str">
        <f t="shared" si="111"/>
        <v>{5103001,1,20000,20000}</v>
      </c>
      <c r="AA405" s="142" t="str">
        <f t="shared" si="128"/>
        <v>{1,2,750,750}</v>
      </c>
      <c r="AD405" s="142" t="str">
        <f t="shared" si="112"/>
        <v>{50002,1,9000,11000}</v>
      </c>
      <c r="AE405" s="142" t="str">
        <f t="shared" si="127"/>
        <v>{30,1,11,14}</v>
      </c>
      <c r="AG405" s="142" t="str">
        <f t="shared" si="113"/>
        <v>{9,1,112,137}</v>
      </c>
      <c r="AH405" s="142" t="str">
        <f t="shared" si="114"/>
        <v>{2,1,234000,234000}</v>
      </c>
      <c r="AI405" s="142" t="str">
        <f t="shared" si="115"/>
        <v>{5103001,1,40000,40000}</v>
      </c>
      <c r="AJ405" s="142" t="str">
        <f t="shared" si="116"/>
        <v>{50002,1,6000,6000}</v>
      </c>
      <c r="AK405" s="142" t="str">
        <f t="shared" si="117"/>
        <v>{5203001,1,5000,5000}</v>
      </c>
      <c r="AL405" s="142" t="str">
        <f t="shared" si="118"/>
        <v>{21360,1,1000,1000}</v>
      </c>
      <c r="AM405" s="142" t="str">
        <f t="shared" si="119"/>
        <v>{5301000,1,900,1000}</v>
      </c>
      <c r="AO405" s="142" t="str">
        <f t="shared" si="120"/>
        <v>{5303001,1,1800,2200}</v>
      </c>
      <c r="AP405" s="142" t="s">
        <v>210</v>
      </c>
      <c r="AQ405" s="142"/>
    </row>
    <row r="406" spans="1:43">
      <c r="A406" s="143" t="str">
        <f t="shared" si="121"/>
        <v>[{2,1,235000,235000},{5103001,1,20000,20000}]</v>
      </c>
      <c r="B406" s="98">
        <f t="shared" si="122"/>
        <v>96</v>
      </c>
      <c r="C406" s="144">
        <v>235</v>
      </c>
      <c r="D406" s="145">
        <f t="shared" si="123"/>
        <v>235</v>
      </c>
      <c r="E406" s="145">
        <v>40</v>
      </c>
      <c r="F406" s="145">
        <v>20</v>
      </c>
      <c r="G406" s="146">
        <v>1</v>
      </c>
      <c r="H406" s="146">
        <v>6</v>
      </c>
      <c r="I406" s="146">
        <v>10</v>
      </c>
      <c r="J406" s="146">
        <v>5</v>
      </c>
      <c r="K406" s="146">
        <v>1</v>
      </c>
      <c r="L406" s="146">
        <v>1.5</v>
      </c>
      <c r="M406" s="145">
        <v>0.125</v>
      </c>
      <c r="N406" s="145">
        <v>0.5</v>
      </c>
      <c r="O406" s="145">
        <v>2</v>
      </c>
      <c r="P406" s="145">
        <v>0.013</v>
      </c>
      <c r="Q406" s="145">
        <f t="shared" si="107"/>
        <v>69.89</v>
      </c>
      <c r="R406" s="145">
        <f t="shared" si="108"/>
        <v>125.75</v>
      </c>
      <c r="S406" s="126">
        <f t="shared" si="124"/>
        <v>117.5</v>
      </c>
      <c r="T406" s="147">
        <f t="shared" si="109"/>
        <v>6.2875</v>
      </c>
      <c r="U406" s="142" t="str">
        <f t="shared" si="125"/>
        <v>[{2,1,235000,235000},{5103001,1,20000,20000},{1,2,750,750},{50002,1,9000,11000},{30,1,11,14},{9,1,112,137}]</v>
      </c>
      <c r="V406" s="142" t="str">
        <f t="shared" si="126"/>
        <v>[{2,1,235000,235000},{5103001,1,40000,40000},{50002,1,6000,6000},{5203001,1,5000,5000},{21360,1,1000,1000},{5301000,1,900,1000},{5303001,1,1800,2200},{11,1,400,600}]</v>
      </c>
      <c r="X406" s="142" t="str">
        <f t="shared" si="110"/>
        <v>{2,1,235000,235000}</v>
      </c>
      <c r="Y406" s="142"/>
      <c r="Z406" s="142" t="str">
        <f t="shared" si="111"/>
        <v>{5103001,1,20000,20000}</v>
      </c>
      <c r="AA406" s="142" t="str">
        <f t="shared" si="128"/>
        <v>{1,2,750,750}</v>
      </c>
      <c r="AD406" s="142" t="str">
        <f t="shared" si="112"/>
        <v>{50002,1,9000,11000}</v>
      </c>
      <c r="AE406" s="142" t="str">
        <f t="shared" si="127"/>
        <v>{30,1,11,14}</v>
      </c>
      <c r="AG406" s="142" t="str">
        <f t="shared" si="113"/>
        <v>{9,1,112,137}</v>
      </c>
      <c r="AH406" s="142" t="str">
        <f t="shared" si="114"/>
        <v>{2,1,235000,235000}</v>
      </c>
      <c r="AI406" s="142" t="str">
        <f t="shared" si="115"/>
        <v>{5103001,1,40000,40000}</v>
      </c>
      <c r="AJ406" s="142" t="str">
        <f t="shared" si="116"/>
        <v>{50002,1,6000,6000}</v>
      </c>
      <c r="AK406" s="142" t="str">
        <f t="shared" si="117"/>
        <v>{5203001,1,5000,5000}</v>
      </c>
      <c r="AL406" s="142" t="str">
        <f t="shared" si="118"/>
        <v>{21360,1,1000,1000}</v>
      </c>
      <c r="AM406" s="142" t="str">
        <f t="shared" si="119"/>
        <v>{5301000,1,900,1000}</v>
      </c>
      <c r="AO406" s="142" t="str">
        <f t="shared" si="120"/>
        <v>{5303001,1,1800,2200}</v>
      </c>
      <c r="AP406" s="142" t="s">
        <v>210</v>
      </c>
      <c r="AQ406" s="142"/>
    </row>
    <row r="407" spans="1:43">
      <c r="A407" s="143" t="str">
        <f t="shared" si="121"/>
        <v>[{2,1,236000,236000},{5103001,1,20000,20000}]</v>
      </c>
      <c r="B407" s="98">
        <f t="shared" si="122"/>
        <v>97</v>
      </c>
      <c r="C407" s="144">
        <v>236</v>
      </c>
      <c r="D407" s="145">
        <f t="shared" si="123"/>
        <v>236</v>
      </c>
      <c r="E407" s="145">
        <v>40</v>
      </c>
      <c r="F407" s="145">
        <v>20</v>
      </c>
      <c r="G407" s="146">
        <v>1</v>
      </c>
      <c r="H407" s="146">
        <v>6</v>
      </c>
      <c r="I407" s="146">
        <v>10</v>
      </c>
      <c r="J407" s="146">
        <v>5</v>
      </c>
      <c r="K407" s="146">
        <v>1</v>
      </c>
      <c r="L407" s="146">
        <v>1.5</v>
      </c>
      <c r="M407" s="145">
        <v>0.125</v>
      </c>
      <c r="N407" s="145">
        <v>0.5</v>
      </c>
      <c r="O407" s="145">
        <v>2</v>
      </c>
      <c r="P407" s="145">
        <v>0.013</v>
      </c>
      <c r="Q407" s="145">
        <f t="shared" si="107"/>
        <v>69.94</v>
      </c>
      <c r="R407" s="145">
        <f t="shared" si="108"/>
        <v>125.8</v>
      </c>
      <c r="S407" s="126">
        <f t="shared" si="124"/>
        <v>118</v>
      </c>
      <c r="T407" s="147">
        <f t="shared" si="109"/>
        <v>6.29</v>
      </c>
      <c r="U407" s="142" t="str">
        <f t="shared" si="125"/>
        <v>[{2,1,236000,236000},{5103001,1,20000,20000},{1,2,750,750},{50002,1,9000,11000},{30,1,11,14},{9,1,112,137}]</v>
      </c>
      <c r="V407" s="142" t="str">
        <f t="shared" si="126"/>
        <v>[{2,1,236000,236000},{5103001,1,40000,40000},{50002,1,6000,6000},{5203001,1,5000,5000},{21360,1,1000,1000},{5301000,1,900,1000},{5303001,1,1800,2200},{11,1,400,600}]</v>
      </c>
      <c r="X407" s="142" t="str">
        <f t="shared" si="110"/>
        <v>{2,1,236000,236000}</v>
      </c>
      <c r="Y407" s="142"/>
      <c r="Z407" s="142" t="str">
        <f t="shared" si="111"/>
        <v>{5103001,1,20000,20000}</v>
      </c>
      <c r="AA407" s="142" t="str">
        <f t="shared" si="128"/>
        <v>{1,2,750,750}</v>
      </c>
      <c r="AD407" s="142" t="str">
        <f t="shared" si="112"/>
        <v>{50002,1,9000,11000}</v>
      </c>
      <c r="AE407" s="142" t="str">
        <f t="shared" si="127"/>
        <v>{30,1,11,14}</v>
      </c>
      <c r="AG407" s="142" t="str">
        <f t="shared" si="113"/>
        <v>{9,1,112,137}</v>
      </c>
      <c r="AH407" s="142" t="str">
        <f t="shared" si="114"/>
        <v>{2,1,236000,236000}</v>
      </c>
      <c r="AI407" s="142" t="str">
        <f t="shared" si="115"/>
        <v>{5103001,1,40000,40000}</v>
      </c>
      <c r="AJ407" s="142" t="str">
        <f t="shared" si="116"/>
        <v>{50002,1,6000,6000}</v>
      </c>
      <c r="AK407" s="142" t="str">
        <f t="shared" si="117"/>
        <v>{5203001,1,5000,5000}</v>
      </c>
      <c r="AL407" s="142" t="str">
        <f t="shared" si="118"/>
        <v>{21360,1,1000,1000}</v>
      </c>
      <c r="AM407" s="142" t="str">
        <f t="shared" si="119"/>
        <v>{5301000,1,900,1000}</v>
      </c>
      <c r="AO407" s="142" t="str">
        <f t="shared" si="120"/>
        <v>{5303001,1,1800,2200}</v>
      </c>
      <c r="AP407" s="142" t="s">
        <v>210</v>
      </c>
      <c r="AQ407" s="142"/>
    </row>
    <row r="408" spans="1:43">
      <c r="A408" s="143" t="str">
        <f t="shared" si="121"/>
        <v>[{2,1,237000,237000},{5103001,1,20000,20000}]</v>
      </c>
      <c r="B408" s="98">
        <f t="shared" si="122"/>
        <v>98</v>
      </c>
      <c r="C408" s="144">
        <v>237</v>
      </c>
      <c r="D408" s="145">
        <f t="shared" si="123"/>
        <v>237</v>
      </c>
      <c r="E408" s="145">
        <v>40</v>
      </c>
      <c r="F408" s="145">
        <v>20</v>
      </c>
      <c r="G408" s="146">
        <v>1</v>
      </c>
      <c r="H408" s="146">
        <v>6</v>
      </c>
      <c r="I408" s="146">
        <v>10</v>
      </c>
      <c r="J408" s="146">
        <v>5</v>
      </c>
      <c r="K408" s="146">
        <v>1</v>
      </c>
      <c r="L408" s="146">
        <v>1.5</v>
      </c>
      <c r="M408" s="145">
        <v>0.125</v>
      </c>
      <c r="N408" s="145">
        <v>0.5</v>
      </c>
      <c r="O408" s="145">
        <v>2</v>
      </c>
      <c r="P408" s="145">
        <v>0.013</v>
      </c>
      <c r="Q408" s="145">
        <f t="shared" si="107"/>
        <v>69.99</v>
      </c>
      <c r="R408" s="145">
        <f t="shared" si="108"/>
        <v>125.85</v>
      </c>
      <c r="S408" s="126">
        <f t="shared" si="124"/>
        <v>118.5</v>
      </c>
      <c r="T408" s="147">
        <f t="shared" si="109"/>
        <v>6.2925</v>
      </c>
      <c r="U408" s="142" t="str">
        <f t="shared" si="125"/>
        <v>[{2,1,237000,237000},{5103001,1,20000,20000},{1,2,750,750},{50002,1,9000,11000},{30,1,11,14},{9,1,112,137}]</v>
      </c>
      <c r="V408" s="142" t="str">
        <f t="shared" si="126"/>
        <v>[{2,1,237000,237000},{5103001,1,40000,40000},{50002,1,6000,6000},{5203001,1,5000,5000},{21360,1,1000,1000},{5301000,1,900,1000},{5303001,1,1800,2200},{11,1,400,600}]</v>
      </c>
      <c r="X408" s="142" t="str">
        <f t="shared" si="110"/>
        <v>{2,1,237000,237000}</v>
      </c>
      <c r="Y408" s="142"/>
      <c r="Z408" s="142" t="str">
        <f t="shared" si="111"/>
        <v>{5103001,1,20000,20000}</v>
      </c>
      <c r="AA408" s="142" t="str">
        <f t="shared" si="128"/>
        <v>{1,2,750,750}</v>
      </c>
      <c r="AD408" s="142" t="str">
        <f t="shared" si="112"/>
        <v>{50002,1,9000,11000}</v>
      </c>
      <c r="AE408" s="142" t="str">
        <f t="shared" si="127"/>
        <v>{30,1,11,14}</v>
      </c>
      <c r="AG408" s="142" t="str">
        <f t="shared" si="113"/>
        <v>{9,1,112,137}</v>
      </c>
      <c r="AH408" s="142" t="str">
        <f t="shared" si="114"/>
        <v>{2,1,237000,237000}</v>
      </c>
      <c r="AI408" s="142" t="str">
        <f t="shared" si="115"/>
        <v>{5103001,1,40000,40000}</v>
      </c>
      <c r="AJ408" s="142" t="str">
        <f t="shared" si="116"/>
        <v>{50002,1,6000,6000}</v>
      </c>
      <c r="AK408" s="142" t="str">
        <f t="shared" si="117"/>
        <v>{5203001,1,5000,5000}</v>
      </c>
      <c r="AL408" s="142" t="str">
        <f t="shared" si="118"/>
        <v>{21360,1,1000,1000}</v>
      </c>
      <c r="AM408" s="142" t="str">
        <f t="shared" si="119"/>
        <v>{5301000,1,900,1000}</v>
      </c>
      <c r="AO408" s="142" t="str">
        <f t="shared" si="120"/>
        <v>{5303001,1,1800,2200}</v>
      </c>
      <c r="AP408" s="142" t="s">
        <v>210</v>
      </c>
      <c r="AQ408" s="142"/>
    </row>
    <row r="409" spans="1:43">
      <c r="A409" s="143" t="str">
        <f t="shared" si="121"/>
        <v>[{2,1,238000,238000},{5103001,1,20000,20000}]</v>
      </c>
      <c r="B409" s="98">
        <f t="shared" si="122"/>
        <v>99</v>
      </c>
      <c r="C409" s="144">
        <v>238</v>
      </c>
      <c r="D409" s="145">
        <f t="shared" si="123"/>
        <v>238</v>
      </c>
      <c r="E409" s="145">
        <v>40</v>
      </c>
      <c r="F409" s="145">
        <v>20</v>
      </c>
      <c r="G409" s="146">
        <v>1</v>
      </c>
      <c r="H409" s="146">
        <v>6</v>
      </c>
      <c r="I409" s="146">
        <v>10</v>
      </c>
      <c r="J409" s="146">
        <v>5</v>
      </c>
      <c r="K409" s="146">
        <v>1</v>
      </c>
      <c r="L409" s="146">
        <v>1.5</v>
      </c>
      <c r="M409" s="145">
        <v>0.125</v>
      </c>
      <c r="N409" s="145">
        <v>0.5</v>
      </c>
      <c r="O409" s="145">
        <v>2</v>
      </c>
      <c r="P409" s="145">
        <v>0.013</v>
      </c>
      <c r="Q409" s="145">
        <f t="shared" si="107"/>
        <v>70.04</v>
      </c>
      <c r="R409" s="145">
        <f t="shared" si="108"/>
        <v>125.9</v>
      </c>
      <c r="S409" s="126">
        <f t="shared" si="124"/>
        <v>119</v>
      </c>
      <c r="T409" s="147">
        <f t="shared" si="109"/>
        <v>6.295</v>
      </c>
      <c r="U409" s="142" t="str">
        <f t="shared" si="125"/>
        <v>[{2,1,238000,238000},{5103001,1,20000,20000},{1,2,750,750},{50002,1,9000,11000},{30,1,11,14},{9,1,112,137}]</v>
      </c>
      <c r="V409" s="142" t="str">
        <f t="shared" si="126"/>
        <v>[{2,1,238000,238000},{5103001,1,40000,40000},{50002,1,6000,6000},{5203001,1,5000,5000},{21360,1,1000,1000},{5301000,1,900,1000},{5303001,1,1800,2200},{11,1,400,600}]</v>
      </c>
      <c r="X409" s="142" t="str">
        <f t="shared" si="110"/>
        <v>{2,1,238000,238000}</v>
      </c>
      <c r="Y409" s="142"/>
      <c r="Z409" s="142" t="str">
        <f t="shared" si="111"/>
        <v>{5103001,1,20000,20000}</v>
      </c>
      <c r="AA409" s="142" t="str">
        <f t="shared" si="128"/>
        <v>{1,2,750,750}</v>
      </c>
      <c r="AD409" s="142" t="str">
        <f t="shared" si="112"/>
        <v>{50002,1,9000,11000}</v>
      </c>
      <c r="AE409" s="142" t="str">
        <f t="shared" si="127"/>
        <v>{30,1,11,14}</v>
      </c>
      <c r="AG409" s="142" t="str">
        <f t="shared" si="113"/>
        <v>{9,1,112,137}</v>
      </c>
      <c r="AH409" s="142" t="str">
        <f t="shared" si="114"/>
        <v>{2,1,238000,238000}</v>
      </c>
      <c r="AI409" s="142" t="str">
        <f t="shared" si="115"/>
        <v>{5103001,1,40000,40000}</v>
      </c>
      <c r="AJ409" s="142" t="str">
        <f t="shared" si="116"/>
        <v>{50002,1,6000,6000}</v>
      </c>
      <c r="AK409" s="142" t="str">
        <f t="shared" si="117"/>
        <v>{5203001,1,5000,5000}</v>
      </c>
      <c r="AL409" s="142" t="str">
        <f t="shared" si="118"/>
        <v>{21360,1,1000,1000}</v>
      </c>
      <c r="AM409" s="142" t="str">
        <f t="shared" si="119"/>
        <v>{5301000,1,900,1000}</v>
      </c>
      <c r="AO409" s="142" t="str">
        <f t="shared" si="120"/>
        <v>{5303001,1,1800,2200}</v>
      </c>
      <c r="AP409" s="142" t="s">
        <v>210</v>
      </c>
      <c r="AQ409" s="142"/>
    </row>
    <row r="410" spans="1:43">
      <c r="A410" s="143" t="str">
        <f t="shared" si="121"/>
        <v>[{2,1,239000,239000},{5103001,1,20000,20000}]</v>
      </c>
      <c r="B410" s="98">
        <f t="shared" si="122"/>
        <v>100</v>
      </c>
      <c r="C410" s="144">
        <v>239</v>
      </c>
      <c r="D410" s="145">
        <f t="shared" si="123"/>
        <v>239</v>
      </c>
      <c r="E410" s="145">
        <v>40</v>
      </c>
      <c r="F410" s="145">
        <v>20</v>
      </c>
      <c r="G410" s="146">
        <v>1</v>
      </c>
      <c r="H410" s="146">
        <v>6</v>
      </c>
      <c r="I410" s="146">
        <v>10</v>
      </c>
      <c r="J410" s="146">
        <v>5</v>
      </c>
      <c r="K410" s="146">
        <v>1</v>
      </c>
      <c r="L410" s="146">
        <v>1.5</v>
      </c>
      <c r="M410" s="145">
        <v>0.125</v>
      </c>
      <c r="N410" s="145">
        <v>0.5</v>
      </c>
      <c r="O410" s="145">
        <v>2</v>
      </c>
      <c r="P410" s="145">
        <v>0.013</v>
      </c>
      <c r="Q410" s="145">
        <f t="shared" si="107"/>
        <v>70.09</v>
      </c>
      <c r="R410" s="145">
        <f t="shared" si="108"/>
        <v>125.95</v>
      </c>
      <c r="S410" s="126">
        <f t="shared" si="124"/>
        <v>119.5</v>
      </c>
      <c r="T410" s="147">
        <f t="shared" si="109"/>
        <v>6.2975</v>
      </c>
      <c r="U410" s="142" t="str">
        <f t="shared" si="125"/>
        <v>[{2,1,239000,239000},{5103001,1,20000,20000},{1,2,750,750},{50002,1,9000,11000},{30,1,11,14},{9,1,112,137}]</v>
      </c>
      <c r="V410" s="142" t="str">
        <f t="shared" si="126"/>
        <v>[{2,1,239000,239000},{5103001,1,40000,40000},{50002,1,6000,6000},{5203001,1,5000,5000},{21360,1,1000,1000},{5301000,1,900,1000},{5303001,1,1800,2200},{11,1,400,600}]</v>
      </c>
      <c r="X410" s="142" t="str">
        <f t="shared" si="110"/>
        <v>{2,1,239000,239000}</v>
      </c>
      <c r="Y410" s="142"/>
      <c r="Z410" s="142" t="str">
        <f t="shared" si="111"/>
        <v>{5103001,1,20000,20000}</v>
      </c>
      <c r="AA410" s="142" t="str">
        <f t="shared" si="128"/>
        <v>{1,2,750,750}</v>
      </c>
      <c r="AD410" s="142" t="str">
        <f t="shared" si="112"/>
        <v>{50002,1,9000,11000}</v>
      </c>
      <c r="AE410" s="142" t="str">
        <f t="shared" si="127"/>
        <v>{30,1,11,14}</v>
      </c>
      <c r="AG410" s="142" t="str">
        <f t="shared" si="113"/>
        <v>{9,1,112,137}</v>
      </c>
      <c r="AH410" s="142" t="str">
        <f t="shared" si="114"/>
        <v>{2,1,239000,239000}</v>
      </c>
      <c r="AI410" s="142" t="str">
        <f t="shared" si="115"/>
        <v>{5103001,1,40000,40000}</v>
      </c>
      <c r="AJ410" s="142" t="str">
        <f t="shared" si="116"/>
        <v>{50002,1,6000,6000}</v>
      </c>
      <c r="AK410" s="142" t="str">
        <f t="shared" si="117"/>
        <v>{5203001,1,5000,5000}</v>
      </c>
      <c r="AL410" s="142" t="str">
        <f t="shared" si="118"/>
        <v>{21360,1,1000,1000}</v>
      </c>
      <c r="AM410" s="142" t="str">
        <f t="shared" si="119"/>
        <v>{5301000,1,900,1000}</v>
      </c>
      <c r="AO410" s="142" t="str">
        <f t="shared" si="120"/>
        <v>{5303001,1,1800,2200}</v>
      </c>
      <c r="AP410" s="142" t="s">
        <v>210</v>
      </c>
      <c r="AQ410" s="142"/>
    </row>
    <row r="411" spans="1:43">
      <c r="A411" s="143" t="str">
        <f t="shared" si="121"/>
        <v>[{2,1,240000,240000},{5103001,1,20000,20000}]</v>
      </c>
      <c r="B411" s="98">
        <f t="shared" si="122"/>
        <v>101</v>
      </c>
      <c r="C411" s="144">
        <v>240</v>
      </c>
      <c r="D411" s="145">
        <f t="shared" si="123"/>
        <v>240</v>
      </c>
      <c r="E411" s="145">
        <v>40</v>
      </c>
      <c r="F411" s="145">
        <v>20</v>
      </c>
      <c r="G411" s="146">
        <v>1</v>
      </c>
      <c r="H411" s="146">
        <v>6</v>
      </c>
      <c r="I411" s="146">
        <v>10</v>
      </c>
      <c r="J411" s="146">
        <v>5</v>
      </c>
      <c r="K411" s="146">
        <v>1</v>
      </c>
      <c r="L411" s="146">
        <v>1.5</v>
      </c>
      <c r="M411" s="145">
        <v>0.125</v>
      </c>
      <c r="N411" s="145">
        <v>0.5</v>
      </c>
      <c r="O411" s="145">
        <v>2</v>
      </c>
      <c r="P411" s="145">
        <v>0.013</v>
      </c>
      <c r="Q411" s="145">
        <f t="shared" si="107"/>
        <v>70.14</v>
      </c>
      <c r="R411" s="145">
        <f t="shared" si="108"/>
        <v>126</v>
      </c>
      <c r="S411" s="126">
        <f t="shared" si="124"/>
        <v>120</v>
      </c>
      <c r="T411" s="147">
        <f t="shared" si="109"/>
        <v>6.3</v>
      </c>
      <c r="U411" s="142" t="str">
        <f t="shared" si="125"/>
        <v>[{2,1,240000,240000},{5103001,1,20000,20000},{1,2,750,750},{50002,1,9000,11000},{30,1,11,14},{9,1,112,137}]</v>
      </c>
      <c r="V411" s="142" t="str">
        <f t="shared" si="126"/>
        <v>[{2,1,240000,240000},{5103001,1,40000,40000},{50002,1,6000,6000},{5203001,1,5000,5000},{21360,1,1000,1000},{5301000,1,900,1000},{5303001,1,1800,2200},{11,1,400,600}]</v>
      </c>
      <c r="X411" s="142" t="str">
        <f t="shared" si="110"/>
        <v>{2,1,240000,240000}</v>
      </c>
      <c r="Y411" s="142"/>
      <c r="Z411" s="142" t="str">
        <f t="shared" si="111"/>
        <v>{5103001,1,20000,20000}</v>
      </c>
      <c r="AA411" s="142" t="str">
        <f t="shared" si="128"/>
        <v>{1,2,750,750}</v>
      </c>
      <c r="AD411" s="142" t="str">
        <f t="shared" si="112"/>
        <v>{50002,1,9000,11000}</v>
      </c>
      <c r="AE411" s="142" t="str">
        <f t="shared" si="127"/>
        <v>{30,1,11,14}</v>
      </c>
      <c r="AG411" s="142" t="str">
        <f t="shared" si="113"/>
        <v>{9,1,112,137}</v>
      </c>
      <c r="AH411" s="142" t="str">
        <f t="shared" si="114"/>
        <v>{2,1,240000,240000}</v>
      </c>
      <c r="AI411" s="142" t="str">
        <f t="shared" si="115"/>
        <v>{5103001,1,40000,40000}</v>
      </c>
      <c r="AJ411" s="142" t="str">
        <f t="shared" si="116"/>
        <v>{50002,1,6000,6000}</v>
      </c>
      <c r="AK411" s="142" t="str">
        <f t="shared" si="117"/>
        <v>{5203001,1,5000,5000}</v>
      </c>
      <c r="AL411" s="142" t="str">
        <f t="shared" si="118"/>
        <v>{21360,1,1000,1000}</v>
      </c>
      <c r="AM411" s="142" t="str">
        <f t="shared" si="119"/>
        <v>{5301000,1,900,1000}</v>
      </c>
      <c r="AO411" s="142" t="str">
        <f t="shared" si="120"/>
        <v>{5303001,1,1800,2200}</v>
      </c>
      <c r="AP411" s="142" t="s">
        <v>210</v>
      </c>
      <c r="AQ411" s="142"/>
    </row>
    <row r="412" spans="1:43">
      <c r="A412" s="143" t="str">
        <f t="shared" si="121"/>
        <v>[{2,1,241000,241000},{5103001,1,20000,20000}]</v>
      </c>
      <c r="B412" s="98">
        <f t="shared" si="122"/>
        <v>102</v>
      </c>
      <c r="C412" s="144">
        <v>241</v>
      </c>
      <c r="D412" s="145">
        <f t="shared" si="123"/>
        <v>241</v>
      </c>
      <c r="E412" s="145">
        <v>40</v>
      </c>
      <c r="F412" s="145">
        <v>20</v>
      </c>
      <c r="G412" s="146">
        <v>1</v>
      </c>
      <c r="H412" s="146">
        <v>6</v>
      </c>
      <c r="I412" s="146">
        <v>10</v>
      </c>
      <c r="J412" s="146">
        <v>5</v>
      </c>
      <c r="K412" s="146">
        <v>1</v>
      </c>
      <c r="L412" s="146">
        <v>1.5</v>
      </c>
      <c r="M412" s="145">
        <v>0.125</v>
      </c>
      <c r="N412" s="145">
        <v>0.5</v>
      </c>
      <c r="O412" s="145">
        <v>2</v>
      </c>
      <c r="P412" s="145">
        <v>0.013</v>
      </c>
      <c r="Q412" s="145">
        <f t="shared" si="107"/>
        <v>70.19</v>
      </c>
      <c r="R412" s="145">
        <f t="shared" si="108"/>
        <v>126.05</v>
      </c>
      <c r="S412" s="126">
        <f t="shared" si="124"/>
        <v>120.5</v>
      </c>
      <c r="T412" s="147">
        <f t="shared" si="109"/>
        <v>6.3025</v>
      </c>
      <c r="U412" s="142" t="str">
        <f t="shared" si="125"/>
        <v>[{2,1,241000,241000},{5103001,1,20000,20000},{1,2,750,750},{50002,1,9000,11000},{30,1,11,14},{9,1,112,137}]</v>
      </c>
      <c r="V412" s="142" t="str">
        <f t="shared" si="126"/>
        <v>[{2,1,241000,241000},{5103001,1,40000,40000},{50002,1,6000,6000},{5203001,1,5000,5000},{21360,1,1000,1000},{5301000,1,900,1000},{5303001,1,1800,2200},{11,1,400,600}]</v>
      </c>
      <c r="X412" s="142" t="str">
        <f t="shared" si="110"/>
        <v>{2,1,241000,241000}</v>
      </c>
      <c r="Y412" s="142"/>
      <c r="Z412" s="142" t="str">
        <f t="shared" si="111"/>
        <v>{5103001,1,20000,20000}</v>
      </c>
      <c r="AA412" s="142" t="str">
        <f t="shared" si="128"/>
        <v>{1,2,750,750}</v>
      </c>
      <c r="AD412" s="142" t="str">
        <f t="shared" si="112"/>
        <v>{50002,1,9000,11000}</v>
      </c>
      <c r="AE412" s="142" t="str">
        <f t="shared" si="127"/>
        <v>{30,1,11,14}</v>
      </c>
      <c r="AG412" s="142" t="str">
        <f t="shared" si="113"/>
        <v>{9,1,112,137}</v>
      </c>
      <c r="AH412" s="142" t="str">
        <f t="shared" si="114"/>
        <v>{2,1,241000,241000}</v>
      </c>
      <c r="AI412" s="142" t="str">
        <f t="shared" si="115"/>
        <v>{5103001,1,40000,40000}</v>
      </c>
      <c r="AJ412" s="142" t="str">
        <f t="shared" si="116"/>
        <v>{50002,1,6000,6000}</v>
      </c>
      <c r="AK412" s="142" t="str">
        <f t="shared" si="117"/>
        <v>{5203001,1,5000,5000}</v>
      </c>
      <c r="AL412" s="142" t="str">
        <f t="shared" si="118"/>
        <v>{21360,1,1000,1000}</v>
      </c>
      <c r="AM412" s="142" t="str">
        <f t="shared" si="119"/>
        <v>{5301000,1,900,1000}</v>
      </c>
      <c r="AO412" s="142" t="str">
        <f t="shared" si="120"/>
        <v>{5303001,1,1800,2200}</v>
      </c>
      <c r="AP412" s="142" t="s">
        <v>210</v>
      </c>
      <c r="AQ412" s="142"/>
    </row>
    <row r="413" spans="1:43">
      <c r="A413" s="143" t="str">
        <f t="shared" si="121"/>
        <v>[{2,1,242000,242000},{5103001,1,20000,20000}]</v>
      </c>
      <c r="B413" s="98">
        <f t="shared" si="122"/>
        <v>103</v>
      </c>
      <c r="C413" s="144">
        <v>242</v>
      </c>
      <c r="D413" s="145">
        <f t="shared" si="123"/>
        <v>242</v>
      </c>
      <c r="E413" s="145">
        <v>40</v>
      </c>
      <c r="F413" s="145">
        <v>20</v>
      </c>
      <c r="G413" s="146">
        <v>1</v>
      </c>
      <c r="H413" s="146">
        <v>6</v>
      </c>
      <c r="I413" s="146">
        <v>10</v>
      </c>
      <c r="J413" s="146">
        <v>5</v>
      </c>
      <c r="K413" s="146">
        <v>1</v>
      </c>
      <c r="L413" s="146">
        <v>1.5</v>
      </c>
      <c r="M413" s="145">
        <v>0.125</v>
      </c>
      <c r="N413" s="145">
        <v>0.5</v>
      </c>
      <c r="O413" s="145">
        <v>2</v>
      </c>
      <c r="P413" s="145">
        <v>0.013</v>
      </c>
      <c r="Q413" s="145">
        <f t="shared" si="107"/>
        <v>70.24</v>
      </c>
      <c r="R413" s="145">
        <f t="shared" si="108"/>
        <v>126.1</v>
      </c>
      <c r="S413" s="126">
        <f t="shared" si="124"/>
        <v>121</v>
      </c>
      <c r="T413" s="147">
        <f t="shared" si="109"/>
        <v>6.305</v>
      </c>
      <c r="U413" s="142" t="str">
        <f t="shared" si="125"/>
        <v>[{2,1,242000,242000},{5103001,1,20000,20000},{1,2,750,750},{50002,1,9000,11000},{30,1,11,14},{9,1,112,137}]</v>
      </c>
      <c r="V413" s="142" t="str">
        <f t="shared" si="126"/>
        <v>[{2,1,242000,242000},{5103001,1,40000,40000},{50002,1,6000,6000},{5203001,1,5000,5000},{21360,1,1000,1000},{5301000,1,900,1000},{5303001,1,1800,2200},{11,1,400,600}]</v>
      </c>
      <c r="X413" s="142" t="str">
        <f t="shared" si="110"/>
        <v>{2,1,242000,242000}</v>
      </c>
      <c r="Y413" s="142"/>
      <c r="Z413" s="142" t="str">
        <f t="shared" si="111"/>
        <v>{5103001,1,20000,20000}</v>
      </c>
      <c r="AA413" s="142" t="str">
        <f t="shared" si="128"/>
        <v>{1,2,750,750}</v>
      </c>
      <c r="AD413" s="142" t="str">
        <f t="shared" si="112"/>
        <v>{50002,1,9000,11000}</v>
      </c>
      <c r="AE413" s="142" t="str">
        <f t="shared" si="127"/>
        <v>{30,1,11,14}</v>
      </c>
      <c r="AG413" s="142" t="str">
        <f t="shared" si="113"/>
        <v>{9,1,112,137}</v>
      </c>
      <c r="AH413" s="142" t="str">
        <f t="shared" si="114"/>
        <v>{2,1,242000,242000}</v>
      </c>
      <c r="AI413" s="142" t="str">
        <f t="shared" si="115"/>
        <v>{5103001,1,40000,40000}</v>
      </c>
      <c r="AJ413" s="142" t="str">
        <f t="shared" si="116"/>
        <v>{50002,1,6000,6000}</v>
      </c>
      <c r="AK413" s="142" t="str">
        <f t="shared" si="117"/>
        <v>{5203001,1,5000,5000}</v>
      </c>
      <c r="AL413" s="142" t="str">
        <f t="shared" si="118"/>
        <v>{21360,1,1000,1000}</v>
      </c>
      <c r="AM413" s="142" t="str">
        <f t="shared" si="119"/>
        <v>{5301000,1,900,1000}</v>
      </c>
      <c r="AO413" s="142" t="str">
        <f t="shared" si="120"/>
        <v>{5303001,1,1800,2200}</v>
      </c>
      <c r="AP413" s="142" t="s">
        <v>210</v>
      </c>
      <c r="AQ413" s="142"/>
    </row>
    <row r="414" spans="1:43">
      <c r="A414" s="143" t="str">
        <f t="shared" si="121"/>
        <v>[{2,1,243000,243000},{5103001,1,20000,20000}]</v>
      </c>
      <c r="B414" s="98">
        <f t="shared" si="122"/>
        <v>104</v>
      </c>
      <c r="C414" s="144">
        <v>243</v>
      </c>
      <c r="D414" s="145">
        <f t="shared" si="123"/>
        <v>243</v>
      </c>
      <c r="E414" s="145">
        <v>40</v>
      </c>
      <c r="F414" s="145">
        <v>20</v>
      </c>
      <c r="G414" s="146">
        <v>1</v>
      </c>
      <c r="H414" s="146">
        <v>6</v>
      </c>
      <c r="I414" s="146">
        <v>10</v>
      </c>
      <c r="J414" s="146">
        <v>5</v>
      </c>
      <c r="K414" s="146">
        <v>1</v>
      </c>
      <c r="L414" s="146">
        <v>1.5</v>
      </c>
      <c r="M414" s="145">
        <v>0.125</v>
      </c>
      <c r="N414" s="145">
        <v>0.5</v>
      </c>
      <c r="O414" s="145">
        <v>2</v>
      </c>
      <c r="P414" s="145">
        <v>0.013</v>
      </c>
      <c r="Q414" s="145">
        <f t="shared" si="107"/>
        <v>70.29</v>
      </c>
      <c r="R414" s="145">
        <f t="shared" si="108"/>
        <v>126.15</v>
      </c>
      <c r="S414" s="126">
        <f t="shared" si="124"/>
        <v>121.5</v>
      </c>
      <c r="T414" s="147">
        <f t="shared" si="109"/>
        <v>6.3075</v>
      </c>
      <c r="U414" s="142" t="str">
        <f t="shared" si="125"/>
        <v>[{2,1,243000,243000},{5103001,1,20000,20000},{1,2,750,750},{50002,1,9000,11000},{30,1,11,14},{9,1,112,137}]</v>
      </c>
      <c r="V414" s="142" t="str">
        <f t="shared" si="126"/>
        <v>[{2,1,243000,243000},{5103001,1,40000,40000},{50002,1,6000,6000},{5203001,1,5000,5000},{21360,1,1000,1000},{5301000,1,900,1000},{5303001,1,1800,2200},{11,1,400,600}]</v>
      </c>
      <c r="X414" s="142" t="str">
        <f t="shared" si="110"/>
        <v>{2,1,243000,243000}</v>
      </c>
      <c r="Y414" s="142"/>
      <c r="Z414" s="142" t="str">
        <f t="shared" si="111"/>
        <v>{5103001,1,20000,20000}</v>
      </c>
      <c r="AA414" s="142" t="str">
        <f t="shared" si="128"/>
        <v>{1,2,750,750}</v>
      </c>
      <c r="AD414" s="142" t="str">
        <f t="shared" si="112"/>
        <v>{50002,1,9000,11000}</v>
      </c>
      <c r="AE414" s="142" t="str">
        <f t="shared" si="127"/>
        <v>{30,1,11,14}</v>
      </c>
      <c r="AG414" s="142" t="str">
        <f t="shared" si="113"/>
        <v>{9,1,112,137}</v>
      </c>
      <c r="AH414" s="142" t="str">
        <f t="shared" si="114"/>
        <v>{2,1,243000,243000}</v>
      </c>
      <c r="AI414" s="142" t="str">
        <f t="shared" si="115"/>
        <v>{5103001,1,40000,40000}</v>
      </c>
      <c r="AJ414" s="142" t="str">
        <f t="shared" si="116"/>
        <v>{50002,1,6000,6000}</v>
      </c>
      <c r="AK414" s="142" t="str">
        <f t="shared" si="117"/>
        <v>{5203001,1,5000,5000}</v>
      </c>
      <c r="AL414" s="142" t="str">
        <f t="shared" si="118"/>
        <v>{21360,1,1000,1000}</v>
      </c>
      <c r="AM414" s="142" t="str">
        <f t="shared" si="119"/>
        <v>{5301000,1,900,1000}</v>
      </c>
      <c r="AO414" s="142" t="str">
        <f t="shared" si="120"/>
        <v>{5303001,1,1800,2200}</v>
      </c>
      <c r="AP414" s="142" t="s">
        <v>210</v>
      </c>
      <c r="AQ414" s="142"/>
    </row>
    <row r="415" spans="1:43">
      <c r="A415" s="143" t="str">
        <f t="shared" si="121"/>
        <v>[{2,1,244000,244000},{5103001,1,20000,20000}]</v>
      </c>
      <c r="B415" s="98">
        <f t="shared" si="122"/>
        <v>105</v>
      </c>
      <c r="C415" s="144">
        <v>244</v>
      </c>
      <c r="D415" s="145">
        <f t="shared" si="123"/>
        <v>244</v>
      </c>
      <c r="E415" s="145">
        <v>40</v>
      </c>
      <c r="F415" s="145">
        <v>20</v>
      </c>
      <c r="G415" s="146">
        <v>1</v>
      </c>
      <c r="H415" s="146">
        <v>6</v>
      </c>
      <c r="I415" s="146">
        <v>10</v>
      </c>
      <c r="J415" s="146">
        <v>5</v>
      </c>
      <c r="K415" s="146">
        <v>1</v>
      </c>
      <c r="L415" s="146">
        <v>1.5</v>
      </c>
      <c r="M415" s="145">
        <v>0.125</v>
      </c>
      <c r="N415" s="145">
        <v>0.5</v>
      </c>
      <c r="O415" s="145">
        <v>2</v>
      </c>
      <c r="P415" s="145">
        <v>0.013</v>
      </c>
      <c r="Q415" s="145">
        <f t="shared" si="107"/>
        <v>70.34</v>
      </c>
      <c r="R415" s="145">
        <f t="shared" si="108"/>
        <v>126.2</v>
      </c>
      <c r="S415" s="126">
        <f t="shared" si="124"/>
        <v>122</v>
      </c>
      <c r="T415" s="147">
        <f t="shared" si="109"/>
        <v>6.31</v>
      </c>
      <c r="U415" s="142" t="str">
        <f t="shared" si="125"/>
        <v>[{2,1,244000,244000},{5103001,1,20000,20000},{1,2,750,750},{50002,1,9000,11000},{30,1,11,14},{9,1,112,137}]</v>
      </c>
      <c r="V415" s="142" t="str">
        <f t="shared" si="126"/>
        <v>[{2,1,244000,244000},{5103001,1,40000,40000},{50002,1,6000,6000},{5203001,1,5000,5000},{21360,1,1000,1000},{5301000,1,900,1000},{5303001,1,1800,2200},{11,1,400,600}]</v>
      </c>
      <c r="X415" s="142" t="str">
        <f t="shared" si="110"/>
        <v>{2,1,244000,244000}</v>
      </c>
      <c r="Y415" s="142"/>
      <c r="Z415" s="142" t="str">
        <f t="shared" si="111"/>
        <v>{5103001,1,20000,20000}</v>
      </c>
      <c r="AA415" s="142" t="str">
        <f t="shared" si="128"/>
        <v>{1,2,750,750}</v>
      </c>
      <c r="AD415" s="142" t="str">
        <f t="shared" si="112"/>
        <v>{50002,1,9000,11000}</v>
      </c>
      <c r="AE415" s="142" t="str">
        <f t="shared" si="127"/>
        <v>{30,1,11,14}</v>
      </c>
      <c r="AG415" s="142" t="str">
        <f t="shared" si="113"/>
        <v>{9,1,112,137}</v>
      </c>
      <c r="AH415" s="142" t="str">
        <f t="shared" si="114"/>
        <v>{2,1,244000,244000}</v>
      </c>
      <c r="AI415" s="142" t="str">
        <f t="shared" si="115"/>
        <v>{5103001,1,40000,40000}</v>
      </c>
      <c r="AJ415" s="142" t="str">
        <f t="shared" si="116"/>
        <v>{50002,1,6000,6000}</v>
      </c>
      <c r="AK415" s="142" t="str">
        <f t="shared" si="117"/>
        <v>{5203001,1,5000,5000}</v>
      </c>
      <c r="AL415" s="142" t="str">
        <f t="shared" si="118"/>
        <v>{21360,1,1000,1000}</v>
      </c>
      <c r="AM415" s="142" t="str">
        <f t="shared" si="119"/>
        <v>{5301000,1,900,1000}</v>
      </c>
      <c r="AO415" s="142" t="str">
        <f t="shared" si="120"/>
        <v>{5303001,1,1800,2200}</v>
      </c>
      <c r="AP415" s="142" t="s">
        <v>210</v>
      </c>
      <c r="AQ415" s="142"/>
    </row>
    <row r="416" spans="1:43">
      <c r="A416" s="143" t="str">
        <f t="shared" si="121"/>
        <v>[{2,1,245000,245000},{5103001,1,20000,20000}]</v>
      </c>
      <c r="B416" s="98">
        <f t="shared" si="122"/>
        <v>106</v>
      </c>
      <c r="C416" s="144">
        <v>245</v>
      </c>
      <c r="D416" s="145">
        <f t="shared" si="123"/>
        <v>245</v>
      </c>
      <c r="E416" s="145">
        <v>40</v>
      </c>
      <c r="F416" s="145">
        <v>20</v>
      </c>
      <c r="G416" s="146">
        <v>1</v>
      </c>
      <c r="H416" s="146">
        <v>6</v>
      </c>
      <c r="I416" s="146">
        <v>10</v>
      </c>
      <c r="J416" s="146">
        <v>5</v>
      </c>
      <c r="K416" s="146">
        <v>1</v>
      </c>
      <c r="L416" s="146">
        <v>1.5</v>
      </c>
      <c r="M416" s="145">
        <v>0.125</v>
      </c>
      <c r="N416" s="145">
        <v>0.5</v>
      </c>
      <c r="O416" s="145">
        <v>2</v>
      </c>
      <c r="P416" s="145">
        <v>0.013</v>
      </c>
      <c r="Q416" s="145">
        <f t="shared" si="107"/>
        <v>70.39</v>
      </c>
      <c r="R416" s="145">
        <f t="shared" si="108"/>
        <v>126.25</v>
      </c>
      <c r="S416" s="126">
        <f t="shared" si="124"/>
        <v>122.5</v>
      </c>
      <c r="T416" s="147">
        <f t="shared" si="109"/>
        <v>6.3125</v>
      </c>
      <c r="U416" s="142" t="str">
        <f t="shared" si="125"/>
        <v>[{2,1,245000,245000},{5103001,1,20000,20000},{1,2,750,750},{50002,1,9000,11000},{30,1,11,14},{9,1,112,137}]</v>
      </c>
      <c r="V416" s="142" t="str">
        <f t="shared" si="126"/>
        <v>[{2,1,245000,245000},{5103001,1,40000,40000},{50002,1,6000,6000},{5203001,1,5000,5000},{21360,1,1000,1000},{5301000,1,900,1000},{5303001,1,1800,2200},{11,1,400,600}]</v>
      </c>
      <c r="X416" s="142" t="str">
        <f t="shared" si="110"/>
        <v>{2,1,245000,245000}</v>
      </c>
      <c r="Y416" s="142"/>
      <c r="Z416" s="142" t="str">
        <f t="shared" si="111"/>
        <v>{5103001,1,20000,20000}</v>
      </c>
      <c r="AA416" s="142" t="str">
        <f t="shared" si="128"/>
        <v>{1,2,750,750}</v>
      </c>
      <c r="AD416" s="142" t="str">
        <f t="shared" si="112"/>
        <v>{50002,1,9000,11000}</v>
      </c>
      <c r="AE416" s="142" t="str">
        <f t="shared" si="127"/>
        <v>{30,1,11,14}</v>
      </c>
      <c r="AG416" s="142" t="str">
        <f t="shared" si="113"/>
        <v>{9,1,112,137}</v>
      </c>
      <c r="AH416" s="142" t="str">
        <f t="shared" si="114"/>
        <v>{2,1,245000,245000}</v>
      </c>
      <c r="AI416" s="142" t="str">
        <f t="shared" si="115"/>
        <v>{5103001,1,40000,40000}</v>
      </c>
      <c r="AJ416" s="142" t="str">
        <f t="shared" si="116"/>
        <v>{50002,1,6000,6000}</v>
      </c>
      <c r="AK416" s="142" t="str">
        <f t="shared" si="117"/>
        <v>{5203001,1,5000,5000}</v>
      </c>
      <c r="AL416" s="142" t="str">
        <f t="shared" si="118"/>
        <v>{21360,1,1000,1000}</v>
      </c>
      <c r="AM416" s="142" t="str">
        <f t="shared" si="119"/>
        <v>{5301000,1,900,1000}</v>
      </c>
      <c r="AO416" s="142" t="str">
        <f t="shared" si="120"/>
        <v>{5303001,1,1800,2200}</v>
      </c>
      <c r="AP416" s="142" t="s">
        <v>210</v>
      </c>
      <c r="AQ416" s="142"/>
    </row>
    <row r="417" spans="1:43">
      <c r="A417" s="143" t="str">
        <f t="shared" si="121"/>
        <v>[{2,1,246000,246000},{5103001,1,20000,20000}]</v>
      </c>
      <c r="B417" s="98">
        <f t="shared" si="122"/>
        <v>107</v>
      </c>
      <c r="C417" s="144">
        <v>246</v>
      </c>
      <c r="D417" s="145">
        <f t="shared" si="123"/>
        <v>246</v>
      </c>
      <c r="E417" s="145">
        <v>40</v>
      </c>
      <c r="F417" s="145">
        <v>20</v>
      </c>
      <c r="G417" s="146">
        <v>1</v>
      </c>
      <c r="H417" s="146">
        <v>6</v>
      </c>
      <c r="I417" s="146">
        <v>10</v>
      </c>
      <c r="J417" s="146">
        <v>5</v>
      </c>
      <c r="K417" s="146">
        <v>1</v>
      </c>
      <c r="L417" s="146">
        <v>1.5</v>
      </c>
      <c r="M417" s="145">
        <v>0.125</v>
      </c>
      <c r="N417" s="145">
        <v>0.5</v>
      </c>
      <c r="O417" s="145">
        <v>2</v>
      </c>
      <c r="P417" s="145">
        <v>0.013</v>
      </c>
      <c r="Q417" s="145">
        <f t="shared" si="107"/>
        <v>70.44</v>
      </c>
      <c r="R417" s="145">
        <f t="shared" si="108"/>
        <v>126.3</v>
      </c>
      <c r="S417" s="126">
        <f t="shared" si="124"/>
        <v>123</v>
      </c>
      <c r="T417" s="147">
        <f t="shared" si="109"/>
        <v>6.315</v>
      </c>
      <c r="U417" s="142" t="str">
        <f t="shared" si="125"/>
        <v>[{2,1,246000,246000},{5103001,1,20000,20000},{1,2,750,750},{50002,1,9000,11000},{30,1,11,14},{9,1,112,137}]</v>
      </c>
      <c r="V417" s="142" t="str">
        <f t="shared" si="126"/>
        <v>[{2,1,246000,246000},{5103001,1,40000,40000},{50002,1,6000,6000},{5203001,1,5000,5000},{21360,1,1000,1000},{5301000,1,900,1000},{5303001,1,1800,2200},{11,1,400,600}]</v>
      </c>
      <c r="X417" s="142" t="str">
        <f t="shared" si="110"/>
        <v>{2,1,246000,246000}</v>
      </c>
      <c r="Y417" s="142"/>
      <c r="Z417" s="142" t="str">
        <f t="shared" si="111"/>
        <v>{5103001,1,20000,20000}</v>
      </c>
      <c r="AA417" s="142" t="str">
        <f t="shared" si="128"/>
        <v>{1,2,750,750}</v>
      </c>
      <c r="AD417" s="142" t="str">
        <f t="shared" si="112"/>
        <v>{50002,1,9000,11000}</v>
      </c>
      <c r="AE417" s="142" t="str">
        <f t="shared" si="127"/>
        <v>{30,1,11,14}</v>
      </c>
      <c r="AG417" s="142" t="str">
        <f t="shared" si="113"/>
        <v>{9,1,112,137}</v>
      </c>
      <c r="AH417" s="142" t="str">
        <f t="shared" si="114"/>
        <v>{2,1,246000,246000}</v>
      </c>
      <c r="AI417" s="142" t="str">
        <f t="shared" si="115"/>
        <v>{5103001,1,40000,40000}</v>
      </c>
      <c r="AJ417" s="142" t="str">
        <f t="shared" si="116"/>
        <v>{50002,1,6000,6000}</v>
      </c>
      <c r="AK417" s="142" t="str">
        <f t="shared" si="117"/>
        <v>{5203001,1,5000,5000}</v>
      </c>
      <c r="AL417" s="142" t="str">
        <f t="shared" si="118"/>
        <v>{21360,1,1000,1000}</v>
      </c>
      <c r="AM417" s="142" t="str">
        <f t="shared" si="119"/>
        <v>{5301000,1,900,1000}</v>
      </c>
      <c r="AO417" s="142" t="str">
        <f t="shared" si="120"/>
        <v>{5303001,1,1800,2200}</v>
      </c>
      <c r="AP417" s="142" t="s">
        <v>210</v>
      </c>
      <c r="AQ417" s="142"/>
    </row>
    <row r="418" spans="1:43">
      <c r="A418" s="143" t="str">
        <f t="shared" si="121"/>
        <v>[{2,1,247000,247000},{5103001,1,20000,20000}]</v>
      </c>
      <c r="B418" s="98">
        <f t="shared" si="122"/>
        <v>108</v>
      </c>
      <c r="C418" s="144">
        <v>247</v>
      </c>
      <c r="D418" s="145">
        <f t="shared" si="123"/>
        <v>247</v>
      </c>
      <c r="E418" s="145">
        <v>40</v>
      </c>
      <c r="F418" s="145">
        <v>20</v>
      </c>
      <c r="G418" s="146">
        <v>1</v>
      </c>
      <c r="H418" s="146">
        <v>6</v>
      </c>
      <c r="I418" s="146">
        <v>10</v>
      </c>
      <c r="J418" s="146">
        <v>5</v>
      </c>
      <c r="K418" s="146">
        <v>1</v>
      </c>
      <c r="L418" s="146">
        <v>1.5</v>
      </c>
      <c r="M418" s="145">
        <v>0.125</v>
      </c>
      <c r="N418" s="145">
        <v>0.5</v>
      </c>
      <c r="O418" s="145">
        <v>2</v>
      </c>
      <c r="P418" s="145">
        <v>0.013</v>
      </c>
      <c r="Q418" s="145">
        <f t="shared" si="107"/>
        <v>70.49</v>
      </c>
      <c r="R418" s="145">
        <f t="shared" si="108"/>
        <v>126.35</v>
      </c>
      <c r="S418" s="126">
        <f t="shared" si="124"/>
        <v>123.5</v>
      </c>
      <c r="T418" s="147">
        <f t="shared" si="109"/>
        <v>6.3175</v>
      </c>
      <c r="U418" s="142" t="str">
        <f t="shared" si="125"/>
        <v>[{2,1,247000,247000},{5103001,1,20000,20000},{1,2,750,750},{50002,1,9000,11000},{30,1,11,14},{9,1,112,137}]</v>
      </c>
      <c r="V418" s="142" t="str">
        <f t="shared" si="126"/>
        <v>[{2,1,247000,247000},{5103001,1,40000,40000},{50002,1,6000,6000},{5203001,1,5000,5000},{21360,1,1000,1000},{5301000,1,900,1000},{5303001,1,1800,2200},{11,1,400,600}]</v>
      </c>
      <c r="X418" s="142" t="str">
        <f t="shared" si="110"/>
        <v>{2,1,247000,247000}</v>
      </c>
      <c r="Y418" s="142"/>
      <c r="Z418" s="142" t="str">
        <f t="shared" si="111"/>
        <v>{5103001,1,20000,20000}</v>
      </c>
      <c r="AA418" s="142" t="str">
        <f t="shared" si="128"/>
        <v>{1,2,750,750}</v>
      </c>
      <c r="AD418" s="142" t="str">
        <f t="shared" si="112"/>
        <v>{50002,1,9000,11000}</v>
      </c>
      <c r="AE418" s="142" t="str">
        <f t="shared" si="127"/>
        <v>{30,1,11,14}</v>
      </c>
      <c r="AG418" s="142" t="str">
        <f t="shared" si="113"/>
        <v>{9,1,112,137}</v>
      </c>
      <c r="AH418" s="142" t="str">
        <f t="shared" si="114"/>
        <v>{2,1,247000,247000}</v>
      </c>
      <c r="AI418" s="142" t="str">
        <f t="shared" si="115"/>
        <v>{5103001,1,40000,40000}</v>
      </c>
      <c r="AJ418" s="142" t="str">
        <f t="shared" si="116"/>
        <v>{50002,1,6000,6000}</v>
      </c>
      <c r="AK418" s="142" t="str">
        <f t="shared" si="117"/>
        <v>{5203001,1,5000,5000}</v>
      </c>
      <c r="AL418" s="142" t="str">
        <f t="shared" si="118"/>
        <v>{21360,1,1000,1000}</v>
      </c>
      <c r="AM418" s="142" t="str">
        <f t="shared" si="119"/>
        <v>{5301000,1,900,1000}</v>
      </c>
      <c r="AO418" s="142" t="str">
        <f t="shared" si="120"/>
        <v>{5303001,1,1800,2200}</v>
      </c>
      <c r="AP418" s="142" t="s">
        <v>210</v>
      </c>
      <c r="AQ418" s="142"/>
    </row>
    <row r="419" spans="1:43">
      <c r="A419" s="143" t="str">
        <f t="shared" si="121"/>
        <v>[{2,1,248000,248000},{5103001,1,20000,20000}]</v>
      </c>
      <c r="B419" s="98">
        <f t="shared" si="122"/>
        <v>109</v>
      </c>
      <c r="C419" s="144">
        <v>248</v>
      </c>
      <c r="D419" s="145">
        <f t="shared" si="123"/>
        <v>248</v>
      </c>
      <c r="E419" s="145">
        <v>40</v>
      </c>
      <c r="F419" s="145">
        <v>20</v>
      </c>
      <c r="G419" s="146">
        <v>1</v>
      </c>
      <c r="H419" s="146">
        <v>6</v>
      </c>
      <c r="I419" s="146">
        <v>10</v>
      </c>
      <c r="J419" s="146">
        <v>5</v>
      </c>
      <c r="K419" s="146">
        <v>1</v>
      </c>
      <c r="L419" s="146">
        <v>1.5</v>
      </c>
      <c r="M419" s="145">
        <v>0.125</v>
      </c>
      <c r="N419" s="145">
        <v>0.5</v>
      </c>
      <c r="O419" s="145">
        <v>2</v>
      </c>
      <c r="P419" s="145">
        <v>0.013</v>
      </c>
      <c r="Q419" s="145">
        <f t="shared" si="107"/>
        <v>70.54</v>
      </c>
      <c r="R419" s="145">
        <f t="shared" si="108"/>
        <v>126.4</v>
      </c>
      <c r="S419" s="126">
        <f t="shared" si="124"/>
        <v>124</v>
      </c>
      <c r="T419" s="147">
        <f t="shared" si="109"/>
        <v>6.32</v>
      </c>
      <c r="U419" s="142" t="str">
        <f t="shared" si="125"/>
        <v>[{2,1,248000,248000},{5103001,1,20000,20000},{1,2,750,750},{50002,1,9000,11000},{30,1,11,14},{9,1,112,137}]</v>
      </c>
      <c r="V419" s="142" t="str">
        <f t="shared" si="126"/>
        <v>[{2,1,248000,248000},{5103001,1,40000,40000},{50002,1,6000,6000},{5203001,1,5000,5000},{21360,1,1000,1000},{5301000,1,900,1000},{5303001,1,1800,2200},{11,1,400,600}]</v>
      </c>
      <c r="X419" s="142" t="str">
        <f t="shared" si="110"/>
        <v>{2,1,248000,248000}</v>
      </c>
      <c r="Y419" s="142"/>
      <c r="Z419" s="142" t="str">
        <f t="shared" si="111"/>
        <v>{5103001,1,20000,20000}</v>
      </c>
      <c r="AA419" s="142" t="str">
        <f t="shared" si="128"/>
        <v>{1,2,750,750}</v>
      </c>
      <c r="AD419" s="142" t="str">
        <f t="shared" si="112"/>
        <v>{50002,1,9000,11000}</v>
      </c>
      <c r="AE419" s="142" t="str">
        <f t="shared" si="127"/>
        <v>{30,1,11,14}</v>
      </c>
      <c r="AG419" s="142" t="str">
        <f t="shared" si="113"/>
        <v>{9,1,112,137}</v>
      </c>
      <c r="AH419" s="142" t="str">
        <f t="shared" si="114"/>
        <v>{2,1,248000,248000}</v>
      </c>
      <c r="AI419" s="142" t="str">
        <f t="shared" si="115"/>
        <v>{5103001,1,40000,40000}</v>
      </c>
      <c r="AJ419" s="142" t="str">
        <f t="shared" si="116"/>
        <v>{50002,1,6000,6000}</v>
      </c>
      <c r="AK419" s="142" t="str">
        <f t="shared" si="117"/>
        <v>{5203001,1,5000,5000}</v>
      </c>
      <c r="AL419" s="142" t="str">
        <f t="shared" si="118"/>
        <v>{21360,1,1000,1000}</v>
      </c>
      <c r="AM419" s="142" t="str">
        <f t="shared" si="119"/>
        <v>{5301000,1,900,1000}</v>
      </c>
      <c r="AO419" s="142" t="str">
        <f t="shared" si="120"/>
        <v>{5303001,1,1800,2200}</v>
      </c>
      <c r="AP419" s="142" t="s">
        <v>210</v>
      </c>
      <c r="AQ419" s="142"/>
    </row>
    <row r="420" spans="1:43">
      <c r="A420" s="143" t="str">
        <f t="shared" si="121"/>
        <v>[{2,1,249000,249000},{5103001,1,20000,20000}]</v>
      </c>
      <c r="B420" s="98">
        <f t="shared" si="122"/>
        <v>110</v>
      </c>
      <c r="C420" s="144">
        <v>249</v>
      </c>
      <c r="D420" s="145">
        <f t="shared" si="123"/>
        <v>249</v>
      </c>
      <c r="E420" s="145">
        <v>40</v>
      </c>
      <c r="F420" s="145">
        <v>20</v>
      </c>
      <c r="G420" s="146">
        <v>1</v>
      </c>
      <c r="H420" s="146">
        <v>6</v>
      </c>
      <c r="I420" s="146">
        <v>10</v>
      </c>
      <c r="J420" s="146">
        <v>5</v>
      </c>
      <c r="K420" s="146">
        <v>1</v>
      </c>
      <c r="L420" s="146">
        <v>1.5</v>
      </c>
      <c r="M420" s="145">
        <v>0.125</v>
      </c>
      <c r="N420" s="145">
        <v>0.5</v>
      </c>
      <c r="O420" s="145">
        <v>2</v>
      </c>
      <c r="P420" s="145">
        <v>0.013</v>
      </c>
      <c r="Q420" s="145">
        <f t="shared" si="107"/>
        <v>70.59</v>
      </c>
      <c r="R420" s="145">
        <f t="shared" si="108"/>
        <v>126.45</v>
      </c>
      <c r="S420" s="126">
        <f t="shared" si="124"/>
        <v>124.5</v>
      </c>
      <c r="T420" s="147">
        <f t="shared" si="109"/>
        <v>6.3225</v>
      </c>
      <c r="U420" s="142" t="str">
        <f t="shared" si="125"/>
        <v>[{2,1,249000,249000},{5103001,1,20000,20000},{1,2,750,750},{50002,1,9000,11000},{30,1,11,14},{9,1,112,137}]</v>
      </c>
      <c r="V420" s="142" t="str">
        <f t="shared" si="126"/>
        <v>[{2,1,249000,249000},{5103001,1,40000,40000},{50002,1,6000,6000},{5203001,1,5000,5000},{21360,1,1000,1000},{5301000,1,900,1000},{5303001,1,1800,2200},{11,1,400,600}]</v>
      </c>
      <c r="X420" s="142" t="str">
        <f t="shared" si="110"/>
        <v>{2,1,249000,249000}</v>
      </c>
      <c r="Y420" s="142"/>
      <c r="Z420" s="142" t="str">
        <f t="shared" si="111"/>
        <v>{5103001,1,20000,20000}</v>
      </c>
      <c r="AA420" s="142" t="str">
        <f t="shared" si="128"/>
        <v>{1,2,750,750}</v>
      </c>
      <c r="AD420" s="142" t="str">
        <f t="shared" si="112"/>
        <v>{50002,1,9000,11000}</v>
      </c>
      <c r="AE420" s="142" t="str">
        <f t="shared" si="127"/>
        <v>{30,1,11,14}</v>
      </c>
      <c r="AG420" s="142" t="str">
        <f t="shared" si="113"/>
        <v>{9,1,112,137}</v>
      </c>
      <c r="AH420" s="142" t="str">
        <f t="shared" si="114"/>
        <v>{2,1,249000,249000}</v>
      </c>
      <c r="AI420" s="142" t="str">
        <f t="shared" si="115"/>
        <v>{5103001,1,40000,40000}</v>
      </c>
      <c r="AJ420" s="142" t="str">
        <f t="shared" si="116"/>
        <v>{50002,1,6000,6000}</v>
      </c>
      <c r="AK420" s="142" t="str">
        <f t="shared" si="117"/>
        <v>{5203001,1,5000,5000}</v>
      </c>
      <c r="AL420" s="142" t="str">
        <f t="shared" si="118"/>
        <v>{21360,1,1000,1000}</v>
      </c>
      <c r="AM420" s="142" t="str">
        <f t="shared" si="119"/>
        <v>{5301000,1,900,1000}</v>
      </c>
      <c r="AO420" s="142" t="str">
        <f t="shared" si="120"/>
        <v>{5303001,1,1800,2200}</v>
      </c>
      <c r="AP420" s="142" t="s">
        <v>210</v>
      </c>
      <c r="AQ420" s="142"/>
    </row>
    <row r="421" spans="1:43">
      <c r="A421" s="143" t="str">
        <f t="shared" si="121"/>
        <v>[{2,1,250000,250000},{5103001,1,20000,20000}]</v>
      </c>
      <c r="B421" s="98">
        <f t="shared" si="122"/>
        <v>111</v>
      </c>
      <c r="C421" s="144">
        <v>250</v>
      </c>
      <c r="D421" s="145">
        <f t="shared" si="123"/>
        <v>250</v>
      </c>
      <c r="E421" s="145">
        <v>40</v>
      </c>
      <c r="F421" s="145">
        <v>20</v>
      </c>
      <c r="G421" s="146">
        <v>1</v>
      </c>
      <c r="H421" s="146">
        <v>6</v>
      </c>
      <c r="I421" s="146">
        <v>10</v>
      </c>
      <c r="J421" s="146">
        <v>5</v>
      </c>
      <c r="K421" s="146">
        <v>1</v>
      </c>
      <c r="L421" s="146">
        <v>1.5</v>
      </c>
      <c r="M421" s="145">
        <v>0.125</v>
      </c>
      <c r="N421" s="145">
        <v>0.5</v>
      </c>
      <c r="O421" s="145">
        <v>2</v>
      </c>
      <c r="P421" s="145">
        <v>0.013</v>
      </c>
      <c r="Q421" s="145">
        <f t="shared" si="107"/>
        <v>70.64</v>
      </c>
      <c r="R421" s="145">
        <f t="shared" si="108"/>
        <v>126.5</v>
      </c>
      <c r="S421" s="126">
        <f t="shared" si="124"/>
        <v>125</v>
      </c>
      <c r="T421" s="147">
        <f t="shared" si="109"/>
        <v>6.325</v>
      </c>
      <c r="U421" s="142" t="str">
        <f t="shared" si="125"/>
        <v>[{2,1,250000,250000},{5103001,1,20000,20000},{1,2,750,750},{50002,1,9000,11000},{30,1,11,14},{9,1,112,137}]</v>
      </c>
      <c r="V421" s="142" t="str">
        <f t="shared" si="126"/>
        <v>[{2,1,250000,250000},{5103001,1,40000,40000},{50002,1,6000,6000},{5203001,1,5000,5000},{21360,1,1000,1000},{5301000,1,900,1000},{5303001,1,1800,2200},{11,1,400,600}]</v>
      </c>
      <c r="X421" s="142" t="str">
        <f t="shared" si="110"/>
        <v>{2,1,250000,250000}</v>
      </c>
      <c r="Y421" s="142"/>
      <c r="Z421" s="142" t="str">
        <f t="shared" si="111"/>
        <v>{5103001,1,20000,20000}</v>
      </c>
      <c r="AA421" s="142" t="str">
        <f t="shared" si="128"/>
        <v>{1,2,750,750}</v>
      </c>
      <c r="AD421" s="142" t="str">
        <f t="shared" si="112"/>
        <v>{50002,1,9000,11000}</v>
      </c>
      <c r="AE421" s="142" t="str">
        <f t="shared" si="127"/>
        <v>{30,1,11,14}</v>
      </c>
      <c r="AG421" s="142" t="str">
        <f t="shared" si="113"/>
        <v>{9,1,112,137}</v>
      </c>
      <c r="AH421" s="142" t="str">
        <f t="shared" si="114"/>
        <v>{2,1,250000,250000}</v>
      </c>
      <c r="AI421" s="142" t="str">
        <f t="shared" si="115"/>
        <v>{5103001,1,40000,40000}</v>
      </c>
      <c r="AJ421" s="142" t="str">
        <f t="shared" si="116"/>
        <v>{50002,1,6000,6000}</v>
      </c>
      <c r="AK421" s="142" t="str">
        <f t="shared" si="117"/>
        <v>{5203001,1,5000,5000}</v>
      </c>
      <c r="AL421" s="142" t="str">
        <f t="shared" si="118"/>
        <v>{21360,1,1000,1000}</v>
      </c>
      <c r="AM421" s="142" t="str">
        <f t="shared" si="119"/>
        <v>{5301000,1,900,1000}</v>
      </c>
      <c r="AO421" s="142" t="str">
        <f t="shared" si="120"/>
        <v>{5303001,1,1800,2200}</v>
      </c>
      <c r="AP421" s="142" t="s">
        <v>210</v>
      </c>
      <c r="AQ421" s="142"/>
    </row>
    <row r="422" spans="1:43">
      <c r="A422" s="143" t="str">
        <f t="shared" si="121"/>
        <v>[{2,1,251000,251000},{5103001,1,20000,20000}]</v>
      </c>
      <c r="B422" s="98">
        <f t="shared" si="122"/>
        <v>112</v>
      </c>
      <c r="C422" s="144">
        <v>251</v>
      </c>
      <c r="D422" s="145">
        <f t="shared" si="123"/>
        <v>251</v>
      </c>
      <c r="E422" s="145">
        <v>40</v>
      </c>
      <c r="F422" s="145">
        <v>20</v>
      </c>
      <c r="G422" s="146">
        <v>1</v>
      </c>
      <c r="H422" s="146">
        <v>6</v>
      </c>
      <c r="I422" s="146">
        <v>10</v>
      </c>
      <c r="J422" s="146">
        <v>5</v>
      </c>
      <c r="K422" s="146">
        <v>1</v>
      </c>
      <c r="L422" s="146">
        <v>1.5</v>
      </c>
      <c r="M422" s="145">
        <v>0.125</v>
      </c>
      <c r="N422" s="145">
        <v>0.5</v>
      </c>
      <c r="O422" s="145">
        <v>2</v>
      </c>
      <c r="P422" s="145">
        <v>0.013</v>
      </c>
      <c r="Q422" s="145">
        <f t="shared" si="107"/>
        <v>70.69</v>
      </c>
      <c r="R422" s="145">
        <f t="shared" si="108"/>
        <v>126.55</v>
      </c>
      <c r="S422" s="126">
        <f t="shared" si="124"/>
        <v>125.5</v>
      </c>
      <c r="T422" s="147">
        <f t="shared" si="109"/>
        <v>6.3275</v>
      </c>
      <c r="U422" s="142" t="str">
        <f t="shared" si="125"/>
        <v>[{2,1,251000,251000},{5103001,1,20000,20000},{1,2,750,750},{50002,1,9000,11000},{30,1,11,14},{9,1,112,137}]</v>
      </c>
      <c r="V422" s="142" t="str">
        <f t="shared" si="126"/>
        <v>[{2,1,251000,251000},{5103001,1,40000,40000},{50002,1,6000,6000},{5203001,1,5000,5000},{21360,1,1000,1000},{5301000,1,900,1000},{5303001,1,1800,2200},{11,1,400,600}]</v>
      </c>
      <c r="X422" s="142" t="str">
        <f t="shared" si="110"/>
        <v>{2,1,251000,251000}</v>
      </c>
      <c r="Y422" s="142"/>
      <c r="Z422" s="142" t="str">
        <f t="shared" si="111"/>
        <v>{5103001,1,20000,20000}</v>
      </c>
      <c r="AA422" s="142" t="str">
        <f t="shared" si="128"/>
        <v>{1,2,750,750}</v>
      </c>
      <c r="AD422" s="142" t="str">
        <f t="shared" si="112"/>
        <v>{50002,1,9000,11000}</v>
      </c>
      <c r="AE422" s="142" t="str">
        <f t="shared" si="127"/>
        <v>{30,1,11,14}</v>
      </c>
      <c r="AG422" s="142" t="str">
        <f t="shared" si="113"/>
        <v>{9,1,112,137}</v>
      </c>
      <c r="AH422" s="142" t="str">
        <f t="shared" si="114"/>
        <v>{2,1,251000,251000}</v>
      </c>
      <c r="AI422" s="142" t="str">
        <f t="shared" si="115"/>
        <v>{5103001,1,40000,40000}</v>
      </c>
      <c r="AJ422" s="142" t="str">
        <f t="shared" si="116"/>
        <v>{50002,1,6000,6000}</v>
      </c>
      <c r="AK422" s="142" t="str">
        <f t="shared" si="117"/>
        <v>{5203001,1,5000,5000}</v>
      </c>
      <c r="AL422" s="142" t="str">
        <f t="shared" si="118"/>
        <v>{21360,1,1000,1000}</v>
      </c>
      <c r="AM422" s="142" t="str">
        <f t="shared" si="119"/>
        <v>{5301000,1,900,1000}</v>
      </c>
      <c r="AO422" s="142" t="str">
        <f t="shared" si="120"/>
        <v>{5303001,1,1800,2200}</v>
      </c>
      <c r="AP422" s="142" t="s">
        <v>210</v>
      </c>
      <c r="AQ422" s="142"/>
    </row>
    <row r="423" spans="1:43">
      <c r="A423" s="143" t="str">
        <f t="shared" si="121"/>
        <v>[{2,1,252000,252000},{5103001,1,20000,20000}]</v>
      </c>
      <c r="B423" s="98">
        <f t="shared" si="122"/>
        <v>113</v>
      </c>
      <c r="C423" s="144">
        <v>252</v>
      </c>
      <c r="D423" s="145">
        <f t="shared" si="123"/>
        <v>252</v>
      </c>
      <c r="E423" s="145">
        <v>40</v>
      </c>
      <c r="F423" s="145">
        <v>20</v>
      </c>
      <c r="G423" s="146">
        <v>1</v>
      </c>
      <c r="H423" s="146">
        <v>6</v>
      </c>
      <c r="I423" s="146">
        <v>10</v>
      </c>
      <c r="J423" s="146">
        <v>5</v>
      </c>
      <c r="K423" s="146">
        <v>1</v>
      </c>
      <c r="L423" s="146">
        <v>1.5</v>
      </c>
      <c r="M423" s="145">
        <v>0.125</v>
      </c>
      <c r="N423" s="145">
        <v>0.5</v>
      </c>
      <c r="O423" s="145">
        <v>2</v>
      </c>
      <c r="P423" s="145">
        <v>0.013</v>
      </c>
      <c r="Q423" s="145">
        <f t="shared" si="107"/>
        <v>70.74</v>
      </c>
      <c r="R423" s="145">
        <f t="shared" si="108"/>
        <v>126.6</v>
      </c>
      <c r="S423" s="126">
        <f t="shared" si="124"/>
        <v>126</v>
      </c>
      <c r="T423" s="147">
        <f t="shared" si="109"/>
        <v>6.33</v>
      </c>
      <c r="U423" s="142" t="str">
        <f t="shared" si="125"/>
        <v>[{2,1,252000,252000},{5103001,1,20000,20000},{1,2,750,750},{50002,1,9000,11000},{30,1,11,14},{9,1,112,137}]</v>
      </c>
      <c r="V423" s="142" t="str">
        <f t="shared" si="126"/>
        <v>[{2,1,252000,252000},{5103001,1,40000,40000},{50002,1,6000,6000},{5203001,1,5000,5000},{21360,1,1000,1000},{5301000,1,900,1000},{5303001,1,1800,2200},{11,1,400,600}]</v>
      </c>
      <c r="X423" s="142" t="str">
        <f t="shared" si="110"/>
        <v>{2,1,252000,252000}</v>
      </c>
      <c r="Y423" s="142"/>
      <c r="Z423" s="142" t="str">
        <f t="shared" si="111"/>
        <v>{5103001,1,20000,20000}</v>
      </c>
      <c r="AA423" s="142" t="str">
        <f t="shared" si="128"/>
        <v>{1,2,750,750}</v>
      </c>
      <c r="AD423" s="142" t="str">
        <f t="shared" si="112"/>
        <v>{50002,1,9000,11000}</v>
      </c>
      <c r="AE423" s="142" t="str">
        <f t="shared" si="127"/>
        <v>{30,1,11,14}</v>
      </c>
      <c r="AG423" s="142" t="str">
        <f t="shared" si="113"/>
        <v>{9,1,112,137}</v>
      </c>
      <c r="AH423" s="142" t="str">
        <f t="shared" si="114"/>
        <v>{2,1,252000,252000}</v>
      </c>
      <c r="AI423" s="142" t="str">
        <f t="shared" si="115"/>
        <v>{5103001,1,40000,40000}</v>
      </c>
      <c r="AJ423" s="142" t="str">
        <f t="shared" si="116"/>
        <v>{50002,1,6000,6000}</v>
      </c>
      <c r="AK423" s="142" t="str">
        <f t="shared" si="117"/>
        <v>{5203001,1,5000,5000}</v>
      </c>
      <c r="AL423" s="142" t="str">
        <f t="shared" si="118"/>
        <v>{21360,1,1000,1000}</v>
      </c>
      <c r="AM423" s="142" t="str">
        <f t="shared" si="119"/>
        <v>{5301000,1,900,1000}</v>
      </c>
      <c r="AO423" s="142" t="str">
        <f t="shared" si="120"/>
        <v>{5303001,1,1800,2200}</v>
      </c>
      <c r="AP423" s="142" t="s">
        <v>210</v>
      </c>
      <c r="AQ423" s="142"/>
    </row>
    <row r="424" spans="1:43">
      <c r="A424" s="143" t="str">
        <f t="shared" si="121"/>
        <v>[{2,1,253000,253000},{5103001,1,20000,20000}]</v>
      </c>
      <c r="B424" s="98">
        <f t="shared" si="122"/>
        <v>114</v>
      </c>
      <c r="C424" s="144">
        <v>253</v>
      </c>
      <c r="D424" s="145">
        <f t="shared" si="123"/>
        <v>253</v>
      </c>
      <c r="E424" s="145">
        <v>40</v>
      </c>
      <c r="F424" s="145">
        <v>20</v>
      </c>
      <c r="G424" s="146">
        <v>1</v>
      </c>
      <c r="H424" s="146">
        <v>6</v>
      </c>
      <c r="I424" s="146">
        <v>10</v>
      </c>
      <c r="J424" s="146">
        <v>5</v>
      </c>
      <c r="K424" s="146">
        <v>1</v>
      </c>
      <c r="L424" s="146">
        <v>1.5</v>
      </c>
      <c r="M424" s="145">
        <v>0.125</v>
      </c>
      <c r="N424" s="145">
        <v>0.5</v>
      </c>
      <c r="O424" s="145">
        <v>2</v>
      </c>
      <c r="P424" s="145">
        <v>0.013</v>
      </c>
      <c r="Q424" s="145">
        <f t="shared" si="107"/>
        <v>70.79</v>
      </c>
      <c r="R424" s="145">
        <f t="shared" si="108"/>
        <v>126.65</v>
      </c>
      <c r="S424" s="126">
        <f t="shared" si="124"/>
        <v>126.5</v>
      </c>
      <c r="T424" s="147">
        <f t="shared" si="109"/>
        <v>6.3325</v>
      </c>
      <c r="U424" s="142" t="str">
        <f t="shared" si="125"/>
        <v>[{2,1,253000,253000},{5103001,1,20000,20000},{1,2,750,750},{50002,1,9000,11000},{30,1,11,14},{9,1,112,137}]</v>
      </c>
      <c r="V424" s="142" t="str">
        <f t="shared" si="126"/>
        <v>[{2,1,253000,253000},{5103001,1,40000,40000},{50002,1,6000,6000},{5203001,1,5000,5000},{21360,1,1000,1000},{5301000,1,900,1000},{5303001,1,1800,2200},{11,1,400,600}]</v>
      </c>
      <c r="X424" s="142" t="str">
        <f t="shared" si="110"/>
        <v>{2,1,253000,253000}</v>
      </c>
      <c r="Y424" s="142"/>
      <c r="Z424" s="142" t="str">
        <f t="shared" si="111"/>
        <v>{5103001,1,20000,20000}</v>
      </c>
      <c r="AA424" s="142" t="str">
        <f t="shared" si="128"/>
        <v>{1,2,750,750}</v>
      </c>
      <c r="AD424" s="142" t="str">
        <f t="shared" si="112"/>
        <v>{50002,1,9000,11000}</v>
      </c>
      <c r="AE424" s="142" t="str">
        <f t="shared" si="127"/>
        <v>{30,1,11,14}</v>
      </c>
      <c r="AG424" s="142" t="str">
        <f t="shared" si="113"/>
        <v>{9,1,112,137}</v>
      </c>
      <c r="AH424" s="142" t="str">
        <f t="shared" si="114"/>
        <v>{2,1,253000,253000}</v>
      </c>
      <c r="AI424" s="142" t="str">
        <f t="shared" si="115"/>
        <v>{5103001,1,40000,40000}</v>
      </c>
      <c r="AJ424" s="142" t="str">
        <f t="shared" si="116"/>
        <v>{50002,1,6000,6000}</v>
      </c>
      <c r="AK424" s="142" t="str">
        <f t="shared" si="117"/>
        <v>{5203001,1,5000,5000}</v>
      </c>
      <c r="AL424" s="142" t="str">
        <f t="shared" si="118"/>
        <v>{21360,1,1000,1000}</v>
      </c>
      <c r="AM424" s="142" t="str">
        <f t="shared" si="119"/>
        <v>{5301000,1,900,1000}</v>
      </c>
      <c r="AO424" s="142" t="str">
        <f t="shared" si="120"/>
        <v>{5303001,1,1800,2200}</v>
      </c>
      <c r="AP424" s="142" t="s">
        <v>210</v>
      </c>
      <c r="AQ424" s="142"/>
    </row>
    <row r="425" spans="1:43">
      <c r="A425" s="143" t="str">
        <f t="shared" si="121"/>
        <v>[{2,1,254000,254000},{5103001,1,20000,20000}]</v>
      </c>
      <c r="B425" s="98">
        <f t="shared" si="122"/>
        <v>115</v>
      </c>
      <c r="C425" s="144">
        <v>254</v>
      </c>
      <c r="D425" s="145">
        <f t="shared" si="123"/>
        <v>254</v>
      </c>
      <c r="E425" s="145">
        <v>40</v>
      </c>
      <c r="F425" s="145">
        <v>20</v>
      </c>
      <c r="G425" s="146">
        <v>1</v>
      </c>
      <c r="H425" s="146">
        <v>6</v>
      </c>
      <c r="I425" s="146">
        <v>10</v>
      </c>
      <c r="J425" s="146">
        <v>5</v>
      </c>
      <c r="K425" s="146">
        <v>1</v>
      </c>
      <c r="L425" s="146">
        <v>1.5</v>
      </c>
      <c r="M425" s="145">
        <v>0.125</v>
      </c>
      <c r="N425" s="145">
        <v>0.5</v>
      </c>
      <c r="O425" s="145">
        <v>2</v>
      </c>
      <c r="P425" s="145">
        <v>0.013</v>
      </c>
      <c r="Q425" s="145">
        <f t="shared" si="107"/>
        <v>70.84</v>
      </c>
      <c r="R425" s="145">
        <f t="shared" si="108"/>
        <v>126.7</v>
      </c>
      <c r="S425" s="126">
        <f t="shared" si="124"/>
        <v>127</v>
      </c>
      <c r="T425" s="147">
        <f t="shared" si="109"/>
        <v>6.335</v>
      </c>
      <c r="U425" s="142" t="str">
        <f t="shared" si="125"/>
        <v>[{2,1,254000,254000},{5103001,1,20000,20000},{1,2,750,750},{50002,1,9000,11000},{30,1,11,14},{9,1,112,137}]</v>
      </c>
      <c r="V425" s="142" t="str">
        <f t="shared" si="126"/>
        <v>[{2,1,254000,254000},{5103001,1,40000,40000},{50002,1,6000,6000},{5203001,1,5000,5000},{21360,1,1000,1000},{5301000,1,900,1000},{5303001,1,1800,2200},{11,1,400,600}]</v>
      </c>
      <c r="X425" s="142" t="str">
        <f t="shared" si="110"/>
        <v>{2,1,254000,254000}</v>
      </c>
      <c r="Y425" s="142"/>
      <c r="Z425" s="142" t="str">
        <f t="shared" si="111"/>
        <v>{5103001,1,20000,20000}</v>
      </c>
      <c r="AA425" s="142" t="str">
        <f t="shared" si="128"/>
        <v>{1,2,750,750}</v>
      </c>
      <c r="AD425" s="142" t="str">
        <f t="shared" si="112"/>
        <v>{50002,1,9000,11000}</v>
      </c>
      <c r="AE425" s="142" t="str">
        <f t="shared" si="127"/>
        <v>{30,1,11,14}</v>
      </c>
      <c r="AG425" s="142" t="str">
        <f t="shared" si="113"/>
        <v>{9,1,112,137}</v>
      </c>
      <c r="AH425" s="142" t="str">
        <f t="shared" si="114"/>
        <v>{2,1,254000,254000}</v>
      </c>
      <c r="AI425" s="142" t="str">
        <f t="shared" si="115"/>
        <v>{5103001,1,40000,40000}</v>
      </c>
      <c r="AJ425" s="142" t="str">
        <f t="shared" si="116"/>
        <v>{50002,1,6000,6000}</v>
      </c>
      <c r="AK425" s="142" t="str">
        <f t="shared" si="117"/>
        <v>{5203001,1,5000,5000}</v>
      </c>
      <c r="AL425" s="142" t="str">
        <f t="shared" si="118"/>
        <v>{21360,1,1000,1000}</v>
      </c>
      <c r="AM425" s="142" t="str">
        <f t="shared" si="119"/>
        <v>{5301000,1,900,1000}</v>
      </c>
      <c r="AO425" s="142" t="str">
        <f t="shared" si="120"/>
        <v>{5303001,1,1800,2200}</v>
      </c>
      <c r="AP425" s="142" t="s">
        <v>210</v>
      </c>
      <c r="AQ425" s="142"/>
    </row>
    <row r="426" spans="1:43">
      <c r="A426" s="143" t="str">
        <f t="shared" si="121"/>
        <v>[{2,1,255000,255000},{5103001,1,20000,20000}]</v>
      </c>
      <c r="B426" s="98">
        <f t="shared" si="122"/>
        <v>116</v>
      </c>
      <c r="C426" s="144">
        <v>255</v>
      </c>
      <c r="D426" s="145">
        <f t="shared" si="123"/>
        <v>255</v>
      </c>
      <c r="E426" s="145">
        <v>40</v>
      </c>
      <c r="F426" s="145">
        <v>20</v>
      </c>
      <c r="G426" s="146">
        <v>1</v>
      </c>
      <c r="H426" s="146">
        <v>6</v>
      </c>
      <c r="I426" s="146">
        <v>10</v>
      </c>
      <c r="J426" s="146">
        <v>5</v>
      </c>
      <c r="K426" s="146">
        <v>1</v>
      </c>
      <c r="L426" s="146">
        <v>1.5</v>
      </c>
      <c r="M426" s="145">
        <v>0.125</v>
      </c>
      <c r="N426" s="145">
        <v>0.5</v>
      </c>
      <c r="O426" s="145">
        <v>2</v>
      </c>
      <c r="P426" s="145">
        <v>0.013</v>
      </c>
      <c r="Q426" s="145">
        <f t="shared" si="107"/>
        <v>70.89</v>
      </c>
      <c r="R426" s="145">
        <f t="shared" si="108"/>
        <v>126.75</v>
      </c>
      <c r="S426" s="126">
        <f t="shared" si="124"/>
        <v>127.5</v>
      </c>
      <c r="T426" s="147">
        <f t="shared" si="109"/>
        <v>6.3375</v>
      </c>
      <c r="U426" s="142" t="str">
        <f t="shared" si="125"/>
        <v>[{2,1,255000,255000},{5103001,1,20000,20000},{1,2,750,750},{50002,1,9000,11000},{30,1,11,14},{9,1,112,137}]</v>
      </c>
      <c r="V426" s="142" t="str">
        <f t="shared" si="126"/>
        <v>[{2,1,255000,255000},{5103001,1,40000,40000},{50002,1,6000,6000},{5203001,1,5000,5000},{21360,1,1000,1000},{5301000,1,900,1000},{5303001,1,1800,2200},{11,1,400,600}]</v>
      </c>
      <c r="X426" s="142" t="str">
        <f t="shared" si="110"/>
        <v>{2,1,255000,255000}</v>
      </c>
      <c r="Y426" s="142"/>
      <c r="Z426" s="142" t="str">
        <f t="shared" si="111"/>
        <v>{5103001,1,20000,20000}</v>
      </c>
      <c r="AA426" s="142" t="str">
        <f t="shared" si="128"/>
        <v>{1,2,750,750}</v>
      </c>
      <c r="AD426" s="142" t="str">
        <f t="shared" si="112"/>
        <v>{50002,1,9000,11000}</v>
      </c>
      <c r="AE426" s="142" t="str">
        <f t="shared" si="127"/>
        <v>{30,1,11,14}</v>
      </c>
      <c r="AG426" s="142" t="str">
        <f t="shared" si="113"/>
        <v>{9,1,112,137}</v>
      </c>
      <c r="AH426" s="142" t="str">
        <f t="shared" si="114"/>
        <v>{2,1,255000,255000}</v>
      </c>
      <c r="AI426" s="142" t="str">
        <f t="shared" si="115"/>
        <v>{5103001,1,40000,40000}</v>
      </c>
      <c r="AJ426" s="142" t="str">
        <f t="shared" si="116"/>
        <v>{50002,1,6000,6000}</v>
      </c>
      <c r="AK426" s="142" t="str">
        <f t="shared" si="117"/>
        <v>{5203001,1,5000,5000}</v>
      </c>
      <c r="AL426" s="142" t="str">
        <f t="shared" si="118"/>
        <v>{21360,1,1000,1000}</v>
      </c>
      <c r="AM426" s="142" t="str">
        <f t="shared" si="119"/>
        <v>{5301000,1,900,1000}</v>
      </c>
      <c r="AO426" s="142" t="str">
        <f t="shared" si="120"/>
        <v>{5303001,1,1800,2200}</v>
      </c>
      <c r="AP426" s="142" t="s">
        <v>210</v>
      </c>
      <c r="AQ426" s="142"/>
    </row>
    <row r="427" spans="1:43">
      <c r="A427" s="143" t="str">
        <f t="shared" si="121"/>
        <v>[{2,1,256000,256000},{5103001,1,20000,20000}]</v>
      </c>
      <c r="B427" s="98">
        <f t="shared" si="122"/>
        <v>117</v>
      </c>
      <c r="C427" s="144">
        <v>256</v>
      </c>
      <c r="D427" s="145">
        <f t="shared" si="123"/>
        <v>256</v>
      </c>
      <c r="E427" s="145">
        <v>40</v>
      </c>
      <c r="F427" s="145">
        <v>20</v>
      </c>
      <c r="G427" s="146">
        <v>1</v>
      </c>
      <c r="H427" s="146">
        <v>6</v>
      </c>
      <c r="I427" s="146">
        <v>10</v>
      </c>
      <c r="J427" s="146">
        <v>5</v>
      </c>
      <c r="K427" s="146">
        <v>1</v>
      </c>
      <c r="L427" s="146">
        <v>1.5</v>
      </c>
      <c r="M427" s="145">
        <v>0.125</v>
      </c>
      <c r="N427" s="145">
        <v>0.5</v>
      </c>
      <c r="O427" s="145">
        <v>2</v>
      </c>
      <c r="P427" s="145">
        <v>0.013</v>
      </c>
      <c r="Q427" s="145">
        <f t="shared" si="107"/>
        <v>70.94</v>
      </c>
      <c r="R427" s="145">
        <f t="shared" si="108"/>
        <v>126.8</v>
      </c>
      <c r="S427" s="126">
        <f t="shared" si="124"/>
        <v>128</v>
      </c>
      <c r="T427" s="147">
        <f t="shared" si="109"/>
        <v>6.34</v>
      </c>
      <c r="U427" s="142" t="str">
        <f t="shared" si="125"/>
        <v>[{2,1,256000,256000},{5103001,1,20000,20000},{1,2,750,750},{50002,1,9000,11000},{30,1,11,14},{9,1,112,137}]</v>
      </c>
      <c r="V427" s="142" t="str">
        <f t="shared" si="126"/>
        <v>[{2,1,256000,256000},{5103001,1,40000,40000},{50002,1,6000,6000},{5203001,1,5000,5000},{21360,1,1000,1000},{5301000,1,900,1000},{5303001,1,1800,2200},{11,1,400,600}]</v>
      </c>
      <c r="X427" s="142" t="str">
        <f t="shared" si="110"/>
        <v>{2,1,256000,256000}</v>
      </c>
      <c r="Y427" s="142"/>
      <c r="Z427" s="142" t="str">
        <f t="shared" si="111"/>
        <v>{5103001,1,20000,20000}</v>
      </c>
      <c r="AA427" s="142" t="str">
        <f t="shared" si="128"/>
        <v>{1,2,750,750}</v>
      </c>
      <c r="AD427" s="142" t="str">
        <f t="shared" si="112"/>
        <v>{50002,1,9000,11000}</v>
      </c>
      <c r="AE427" s="142" t="str">
        <f t="shared" si="127"/>
        <v>{30,1,11,14}</v>
      </c>
      <c r="AG427" s="142" t="str">
        <f t="shared" si="113"/>
        <v>{9,1,112,137}</v>
      </c>
      <c r="AH427" s="142" t="str">
        <f t="shared" si="114"/>
        <v>{2,1,256000,256000}</v>
      </c>
      <c r="AI427" s="142" t="str">
        <f t="shared" si="115"/>
        <v>{5103001,1,40000,40000}</v>
      </c>
      <c r="AJ427" s="142" t="str">
        <f t="shared" si="116"/>
        <v>{50002,1,6000,6000}</v>
      </c>
      <c r="AK427" s="142" t="str">
        <f t="shared" si="117"/>
        <v>{5203001,1,5000,5000}</v>
      </c>
      <c r="AL427" s="142" t="str">
        <f t="shared" si="118"/>
        <v>{21360,1,1000,1000}</v>
      </c>
      <c r="AM427" s="142" t="str">
        <f t="shared" si="119"/>
        <v>{5301000,1,900,1000}</v>
      </c>
      <c r="AO427" s="142" t="str">
        <f t="shared" si="120"/>
        <v>{5303001,1,1800,2200}</v>
      </c>
      <c r="AP427" s="142" t="s">
        <v>210</v>
      </c>
      <c r="AQ427" s="142"/>
    </row>
    <row r="428" spans="1:43">
      <c r="A428" s="143" t="str">
        <f t="shared" si="121"/>
        <v>[{2,1,257000,257000},{5103001,1,20000,20000}]</v>
      </c>
      <c r="B428" s="98">
        <f t="shared" si="122"/>
        <v>118</v>
      </c>
      <c r="C428" s="144">
        <v>257</v>
      </c>
      <c r="D428" s="145">
        <f t="shared" si="123"/>
        <v>257</v>
      </c>
      <c r="E428" s="145">
        <v>40</v>
      </c>
      <c r="F428" s="145">
        <v>20</v>
      </c>
      <c r="G428" s="146">
        <v>1</v>
      </c>
      <c r="H428" s="146">
        <v>6</v>
      </c>
      <c r="I428" s="146">
        <v>10</v>
      </c>
      <c r="J428" s="146">
        <v>5</v>
      </c>
      <c r="K428" s="146">
        <v>1</v>
      </c>
      <c r="L428" s="146">
        <v>1.5</v>
      </c>
      <c r="M428" s="145">
        <v>0.125</v>
      </c>
      <c r="N428" s="145">
        <v>0.5</v>
      </c>
      <c r="O428" s="145">
        <v>2</v>
      </c>
      <c r="P428" s="145">
        <v>0.013</v>
      </c>
      <c r="Q428" s="145">
        <f t="shared" si="107"/>
        <v>70.99</v>
      </c>
      <c r="R428" s="145">
        <f t="shared" si="108"/>
        <v>126.85</v>
      </c>
      <c r="S428" s="126">
        <f t="shared" si="124"/>
        <v>128.5</v>
      </c>
      <c r="T428" s="147">
        <f t="shared" si="109"/>
        <v>6.3425</v>
      </c>
      <c r="U428" s="142" t="str">
        <f t="shared" si="125"/>
        <v>[{2,1,257000,257000},{5103001,1,20000,20000},{1,2,750,750},{50002,1,9000,11000},{30,1,11,14},{9,1,112,137}]</v>
      </c>
      <c r="V428" s="142" t="str">
        <f t="shared" si="126"/>
        <v>[{2,1,257000,257000},{5103001,1,40000,40000},{50002,1,6000,6000},{5203001,1,5000,5000},{21360,1,1000,1000},{5301000,1,900,1000},{5303001,1,1800,2200},{11,1,400,600}]</v>
      </c>
      <c r="X428" s="142" t="str">
        <f t="shared" si="110"/>
        <v>{2,1,257000,257000}</v>
      </c>
      <c r="Y428" s="142"/>
      <c r="Z428" s="142" t="str">
        <f t="shared" si="111"/>
        <v>{5103001,1,20000,20000}</v>
      </c>
      <c r="AA428" s="142" t="str">
        <f t="shared" si="128"/>
        <v>{1,2,750,750}</v>
      </c>
      <c r="AD428" s="142" t="str">
        <f t="shared" si="112"/>
        <v>{50002,1,9000,11000}</v>
      </c>
      <c r="AE428" s="142" t="str">
        <f t="shared" si="127"/>
        <v>{30,1,11,14}</v>
      </c>
      <c r="AG428" s="142" t="str">
        <f t="shared" si="113"/>
        <v>{9,1,112,137}</v>
      </c>
      <c r="AH428" s="142" t="str">
        <f t="shared" si="114"/>
        <v>{2,1,257000,257000}</v>
      </c>
      <c r="AI428" s="142" t="str">
        <f t="shared" si="115"/>
        <v>{5103001,1,40000,40000}</v>
      </c>
      <c r="AJ428" s="142" t="str">
        <f t="shared" si="116"/>
        <v>{50002,1,6000,6000}</v>
      </c>
      <c r="AK428" s="142" t="str">
        <f t="shared" si="117"/>
        <v>{5203001,1,5000,5000}</v>
      </c>
      <c r="AL428" s="142" t="str">
        <f t="shared" si="118"/>
        <v>{21360,1,1000,1000}</v>
      </c>
      <c r="AM428" s="142" t="str">
        <f t="shared" si="119"/>
        <v>{5301000,1,900,1000}</v>
      </c>
      <c r="AO428" s="142" t="str">
        <f t="shared" si="120"/>
        <v>{5303001,1,1800,2200}</v>
      </c>
      <c r="AP428" s="142" t="s">
        <v>210</v>
      </c>
      <c r="AQ428" s="142"/>
    </row>
    <row r="429" spans="1:43">
      <c r="A429" s="143" t="str">
        <f t="shared" si="121"/>
        <v>[{2,1,258000,258000},{5103001,1,20000,20000}]</v>
      </c>
      <c r="B429" s="98">
        <f t="shared" si="122"/>
        <v>119</v>
      </c>
      <c r="C429" s="144">
        <v>258</v>
      </c>
      <c r="D429" s="145">
        <f t="shared" si="123"/>
        <v>258</v>
      </c>
      <c r="E429" s="145">
        <v>40</v>
      </c>
      <c r="F429" s="145">
        <v>20</v>
      </c>
      <c r="G429" s="146">
        <v>1</v>
      </c>
      <c r="H429" s="146">
        <v>6</v>
      </c>
      <c r="I429" s="146">
        <v>10</v>
      </c>
      <c r="J429" s="146">
        <v>5</v>
      </c>
      <c r="K429" s="146">
        <v>1</v>
      </c>
      <c r="L429" s="146">
        <v>1.5</v>
      </c>
      <c r="M429" s="145">
        <v>0.125</v>
      </c>
      <c r="N429" s="145">
        <v>0.5</v>
      </c>
      <c r="O429" s="145">
        <v>2</v>
      </c>
      <c r="P429" s="145">
        <v>0.013</v>
      </c>
      <c r="Q429" s="145">
        <f t="shared" si="107"/>
        <v>71.04</v>
      </c>
      <c r="R429" s="145">
        <f t="shared" si="108"/>
        <v>126.9</v>
      </c>
      <c r="S429" s="126">
        <f t="shared" si="124"/>
        <v>129</v>
      </c>
      <c r="T429" s="147">
        <f t="shared" si="109"/>
        <v>6.345</v>
      </c>
      <c r="U429" s="142" t="str">
        <f t="shared" si="125"/>
        <v>[{2,1,258000,258000},{5103001,1,20000,20000},{1,2,750,750},{50002,1,9000,11000},{30,1,11,14},{9,1,112,137}]</v>
      </c>
      <c r="V429" s="142" t="str">
        <f t="shared" si="126"/>
        <v>[{2,1,258000,258000},{5103001,1,40000,40000},{50002,1,6000,6000},{5203001,1,5000,5000},{21360,1,1000,1000},{5301000,1,900,1000},{5303001,1,1800,2200},{11,1,400,600}]</v>
      </c>
      <c r="X429" s="142" t="str">
        <f t="shared" si="110"/>
        <v>{2,1,258000,258000}</v>
      </c>
      <c r="Y429" s="142"/>
      <c r="Z429" s="142" t="str">
        <f t="shared" si="111"/>
        <v>{5103001,1,20000,20000}</v>
      </c>
      <c r="AA429" s="142" t="str">
        <f t="shared" si="128"/>
        <v>{1,2,750,750}</v>
      </c>
      <c r="AD429" s="142" t="str">
        <f t="shared" si="112"/>
        <v>{50002,1,9000,11000}</v>
      </c>
      <c r="AE429" s="142" t="str">
        <f t="shared" si="127"/>
        <v>{30,1,11,14}</v>
      </c>
      <c r="AG429" s="142" t="str">
        <f t="shared" si="113"/>
        <v>{9,1,112,137}</v>
      </c>
      <c r="AH429" s="142" t="str">
        <f t="shared" si="114"/>
        <v>{2,1,258000,258000}</v>
      </c>
      <c r="AI429" s="142" t="str">
        <f t="shared" si="115"/>
        <v>{5103001,1,40000,40000}</v>
      </c>
      <c r="AJ429" s="142" t="str">
        <f t="shared" si="116"/>
        <v>{50002,1,6000,6000}</v>
      </c>
      <c r="AK429" s="142" t="str">
        <f t="shared" si="117"/>
        <v>{5203001,1,5000,5000}</v>
      </c>
      <c r="AL429" s="142" t="str">
        <f t="shared" si="118"/>
        <v>{21360,1,1000,1000}</v>
      </c>
      <c r="AM429" s="142" t="str">
        <f t="shared" si="119"/>
        <v>{5301000,1,900,1000}</v>
      </c>
      <c r="AO429" s="142" t="str">
        <f t="shared" si="120"/>
        <v>{5303001,1,1800,2200}</v>
      </c>
      <c r="AP429" s="142" t="s">
        <v>210</v>
      </c>
      <c r="AQ429" s="142"/>
    </row>
    <row r="430" spans="1:43">
      <c r="A430" s="143" t="str">
        <f t="shared" si="121"/>
        <v>[{2,1,259000,259000},{5103001,1,20000,20000}]</v>
      </c>
      <c r="B430" s="98">
        <f t="shared" si="122"/>
        <v>120</v>
      </c>
      <c r="C430" s="144">
        <v>259</v>
      </c>
      <c r="D430" s="145">
        <f t="shared" si="123"/>
        <v>259</v>
      </c>
      <c r="E430" s="145">
        <v>40</v>
      </c>
      <c r="F430" s="145">
        <v>20</v>
      </c>
      <c r="G430" s="146">
        <v>1</v>
      </c>
      <c r="H430" s="146">
        <v>6</v>
      </c>
      <c r="I430" s="146">
        <v>10</v>
      </c>
      <c r="J430" s="146">
        <v>5</v>
      </c>
      <c r="K430" s="146">
        <v>1</v>
      </c>
      <c r="L430" s="146">
        <v>1.5</v>
      </c>
      <c r="M430" s="145">
        <v>0.125</v>
      </c>
      <c r="N430" s="145">
        <v>0.5</v>
      </c>
      <c r="O430" s="145">
        <v>2</v>
      </c>
      <c r="P430" s="145">
        <v>0.013</v>
      </c>
      <c r="Q430" s="145">
        <f t="shared" si="107"/>
        <v>71.09</v>
      </c>
      <c r="R430" s="145">
        <f t="shared" si="108"/>
        <v>126.95</v>
      </c>
      <c r="S430" s="126">
        <f t="shared" si="124"/>
        <v>129.5</v>
      </c>
      <c r="T430" s="147">
        <f t="shared" si="109"/>
        <v>6.3475</v>
      </c>
      <c r="U430" s="142" t="str">
        <f t="shared" si="125"/>
        <v>[{2,1,259000,259000},{5103001,1,20000,20000},{1,2,750,750},{50002,1,9000,11000},{30,1,11,14},{9,1,112,137}]</v>
      </c>
      <c r="V430" s="142" t="str">
        <f t="shared" si="126"/>
        <v>[{2,1,259000,259000},{5103001,1,40000,40000},{50002,1,6000,6000},{5203001,1,5000,5000},{21360,1,1000,1000},{5301000,1,900,1000},{5303001,1,1800,2200},{11,1,400,600}]</v>
      </c>
      <c r="X430" s="142" t="str">
        <f t="shared" si="110"/>
        <v>{2,1,259000,259000}</v>
      </c>
      <c r="Y430" s="142"/>
      <c r="Z430" s="142" t="str">
        <f t="shared" si="111"/>
        <v>{5103001,1,20000,20000}</v>
      </c>
      <c r="AA430" s="142" t="str">
        <f t="shared" si="128"/>
        <v>{1,2,750,750}</v>
      </c>
      <c r="AD430" s="142" t="str">
        <f t="shared" si="112"/>
        <v>{50002,1,9000,11000}</v>
      </c>
      <c r="AE430" s="142" t="str">
        <f t="shared" si="127"/>
        <v>{30,1,11,14}</v>
      </c>
      <c r="AG430" s="142" t="str">
        <f t="shared" si="113"/>
        <v>{9,1,112,137}</v>
      </c>
      <c r="AH430" s="142" t="str">
        <f t="shared" si="114"/>
        <v>{2,1,259000,259000}</v>
      </c>
      <c r="AI430" s="142" t="str">
        <f t="shared" si="115"/>
        <v>{5103001,1,40000,40000}</v>
      </c>
      <c r="AJ430" s="142" t="str">
        <f t="shared" si="116"/>
        <v>{50002,1,6000,6000}</v>
      </c>
      <c r="AK430" s="142" t="str">
        <f t="shared" si="117"/>
        <v>{5203001,1,5000,5000}</v>
      </c>
      <c r="AL430" s="142" t="str">
        <f t="shared" si="118"/>
        <v>{21360,1,1000,1000}</v>
      </c>
      <c r="AM430" s="142" t="str">
        <f t="shared" si="119"/>
        <v>{5301000,1,900,1000}</v>
      </c>
      <c r="AO430" s="142" t="str">
        <f t="shared" si="120"/>
        <v>{5303001,1,1800,2200}</v>
      </c>
      <c r="AP430" s="142" t="s">
        <v>210</v>
      </c>
      <c r="AQ430" s="142"/>
    </row>
    <row r="431" spans="1:43">
      <c r="A431" s="143" t="str">
        <f t="shared" si="121"/>
        <v>[{2,1,260000,260000},{5103001,1,20000,20000}]</v>
      </c>
      <c r="B431" s="98">
        <f t="shared" si="122"/>
        <v>121</v>
      </c>
      <c r="C431" s="144">
        <v>260</v>
      </c>
      <c r="D431" s="145">
        <f t="shared" si="123"/>
        <v>260</v>
      </c>
      <c r="E431" s="145">
        <v>40</v>
      </c>
      <c r="F431" s="145">
        <v>20</v>
      </c>
      <c r="G431" s="146">
        <v>1</v>
      </c>
      <c r="H431" s="146">
        <v>6</v>
      </c>
      <c r="I431" s="146">
        <v>10</v>
      </c>
      <c r="J431" s="146">
        <v>5</v>
      </c>
      <c r="K431" s="146">
        <v>1</v>
      </c>
      <c r="L431" s="146">
        <v>1.5</v>
      </c>
      <c r="M431" s="145">
        <v>0.125</v>
      </c>
      <c r="N431" s="145">
        <v>0.5</v>
      </c>
      <c r="O431" s="145">
        <v>2</v>
      </c>
      <c r="P431" s="145">
        <v>0.013</v>
      </c>
      <c r="Q431" s="145">
        <f t="shared" si="107"/>
        <v>71.14</v>
      </c>
      <c r="R431" s="145">
        <f t="shared" si="108"/>
        <v>127</v>
      </c>
      <c r="S431" s="126">
        <f t="shared" si="124"/>
        <v>130</v>
      </c>
      <c r="T431" s="147">
        <f t="shared" si="109"/>
        <v>6.35</v>
      </c>
      <c r="U431" s="142" t="str">
        <f t="shared" si="125"/>
        <v>[{2,1,260000,260000},{5103001,1,20000,20000},{1,2,750,750},{50002,1,9000,11000},{30,1,11,14},{9,1,112,137}]</v>
      </c>
      <c r="V431" s="142" t="str">
        <f t="shared" si="126"/>
        <v>[{2,1,260000,260000},{5103001,1,40000,40000},{50002,1,6000,6000},{5203001,1,5000,5000},{21360,1,1000,1000},{5301000,1,900,1000},{5303001,1,1800,2200},{11,1,400,600}]</v>
      </c>
      <c r="X431" s="142" t="str">
        <f t="shared" si="110"/>
        <v>{2,1,260000,260000}</v>
      </c>
      <c r="Y431" s="142"/>
      <c r="Z431" s="142" t="str">
        <f t="shared" si="111"/>
        <v>{5103001,1,20000,20000}</v>
      </c>
      <c r="AA431" s="142" t="str">
        <f t="shared" si="128"/>
        <v>{1,2,750,750}</v>
      </c>
      <c r="AD431" s="142" t="str">
        <f t="shared" si="112"/>
        <v>{50002,1,9000,11000}</v>
      </c>
      <c r="AE431" s="142" t="str">
        <f t="shared" si="127"/>
        <v>{30,1,11,14}</v>
      </c>
      <c r="AG431" s="142" t="str">
        <f t="shared" si="113"/>
        <v>{9,1,112,137}</v>
      </c>
      <c r="AH431" s="142" t="str">
        <f t="shared" si="114"/>
        <v>{2,1,260000,260000}</v>
      </c>
      <c r="AI431" s="142" t="str">
        <f t="shared" si="115"/>
        <v>{5103001,1,40000,40000}</v>
      </c>
      <c r="AJ431" s="142" t="str">
        <f t="shared" si="116"/>
        <v>{50002,1,6000,6000}</v>
      </c>
      <c r="AK431" s="142" t="str">
        <f t="shared" si="117"/>
        <v>{5203001,1,5000,5000}</v>
      </c>
      <c r="AL431" s="142" t="str">
        <f t="shared" si="118"/>
        <v>{21360,1,1000,1000}</v>
      </c>
      <c r="AM431" s="142" t="str">
        <f t="shared" si="119"/>
        <v>{5301000,1,900,1000}</v>
      </c>
      <c r="AO431" s="142" t="str">
        <f t="shared" si="120"/>
        <v>{5303001,1,1800,2200}</v>
      </c>
      <c r="AP431" s="142" t="s">
        <v>210</v>
      </c>
      <c r="AQ431" s="142"/>
    </row>
    <row r="432" spans="1:43">
      <c r="A432" s="143" t="str">
        <f t="shared" si="121"/>
        <v>[{2,1,261000,261000},{5103001,1,20000,20000}]</v>
      </c>
      <c r="B432" s="98">
        <f t="shared" si="122"/>
        <v>122</v>
      </c>
      <c r="C432" s="144">
        <v>261</v>
      </c>
      <c r="D432" s="145">
        <f t="shared" si="123"/>
        <v>261</v>
      </c>
      <c r="E432" s="145">
        <v>40</v>
      </c>
      <c r="F432" s="145">
        <v>20</v>
      </c>
      <c r="G432" s="146">
        <v>1</v>
      </c>
      <c r="H432" s="146">
        <v>6</v>
      </c>
      <c r="I432" s="146">
        <v>10</v>
      </c>
      <c r="J432" s="146">
        <v>5</v>
      </c>
      <c r="K432" s="146">
        <v>1</v>
      </c>
      <c r="L432" s="146">
        <v>1.5</v>
      </c>
      <c r="M432" s="145">
        <v>0.125</v>
      </c>
      <c r="N432" s="145">
        <v>0.5</v>
      </c>
      <c r="O432" s="145">
        <v>2</v>
      </c>
      <c r="P432" s="145">
        <v>0.013</v>
      </c>
      <c r="Q432" s="145">
        <f t="shared" si="107"/>
        <v>71.19</v>
      </c>
      <c r="R432" s="145">
        <f t="shared" si="108"/>
        <v>127.05</v>
      </c>
      <c r="S432" s="126">
        <f t="shared" si="124"/>
        <v>130.5</v>
      </c>
      <c r="T432" s="147">
        <f t="shared" si="109"/>
        <v>6.3525</v>
      </c>
      <c r="U432" s="142" t="str">
        <f t="shared" si="125"/>
        <v>[{2,1,261000,261000},{5103001,1,20000,20000},{1,2,750,750},{50002,1,9000,11000},{30,1,11,14},{9,1,112,137}]</v>
      </c>
      <c r="V432" s="142" t="str">
        <f t="shared" si="126"/>
        <v>[{2,1,261000,261000},{5103001,1,40000,40000},{50002,1,6000,6000},{5203001,1,5000,5000},{21360,1,1000,1000},{5301000,1,900,1000},{5303001,1,1800,2200},{11,1,400,600}]</v>
      </c>
      <c r="X432" s="142" t="str">
        <f t="shared" si="110"/>
        <v>{2,1,261000,261000}</v>
      </c>
      <c r="Y432" s="142"/>
      <c r="Z432" s="142" t="str">
        <f t="shared" si="111"/>
        <v>{5103001,1,20000,20000}</v>
      </c>
      <c r="AA432" s="142" t="str">
        <f t="shared" si="128"/>
        <v>{1,2,750,750}</v>
      </c>
      <c r="AD432" s="142" t="str">
        <f t="shared" si="112"/>
        <v>{50002,1,9000,11000}</v>
      </c>
      <c r="AE432" s="142" t="str">
        <f t="shared" si="127"/>
        <v>{30,1,11,14}</v>
      </c>
      <c r="AG432" s="142" t="str">
        <f t="shared" si="113"/>
        <v>{9,1,112,137}</v>
      </c>
      <c r="AH432" s="142" t="str">
        <f t="shared" si="114"/>
        <v>{2,1,261000,261000}</v>
      </c>
      <c r="AI432" s="142" t="str">
        <f t="shared" si="115"/>
        <v>{5103001,1,40000,40000}</v>
      </c>
      <c r="AJ432" s="142" t="str">
        <f t="shared" si="116"/>
        <v>{50002,1,6000,6000}</v>
      </c>
      <c r="AK432" s="142" t="str">
        <f t="shared" si="117"/>
        <v>{5203001,1,5000,5000}</v>
      </c>
      <c r="AL432" s="142" t="str">
        <f t="shared" si="118"/>
        <v>{21360,1,1000,1000}</v>
      </c>
      <c r="AM432" s="142" t="str">
        <f t="shared" si="119"/>
        <v>{5301000,1,900,1000}</v>
      </c>
      <c r="AO432" s="142" t="str">
        <f t="shared" si="120"/>
        <v>{5303001,1,1800,2200}</v>
      </c>
      <c r="AP432" s="142" t="s">
        <v>210</v>
      </c>
      <c r="AQ432" s="142"/>
    </row>
    <row r="433" spans="1:43">
      <c r="A433" s="143" t="str">
        <f t="shared" si="121"/>
        <v>[{2,1,262000,262000},{5103001,1,20000,20000}]</v>
      </c>
      <c r="B433" s="98">
        <f t="shared" si="122"/>
        <v>123</v>
      </c>
      <c r="C433" s="144">
        <v>262</v>
      </c>
      <c r="D433" s="145">
        <f t="shared" si="123"/>
        <v>262</v>
      </c>
      <c r="E433" s="145">
        <v>40</v>
      </c>
      <c r="F433" s="145">
        <v>20</v>
      </c>
      <c r="G433" s="146">
        <v>1</v>
      </c>
      <c r="H433" s="146">
        <v>6</v>
      </c>
      <c r="I433" s="146">
        <v>10</v>
      </c>
      <c r="J433" s="146">
        <v>5</v>
      </c>
      <c r="K433" s="146">
        <v>1</v>
      </c>
      <c r="L433" s="146">
        <v>1.5</v>
      </c>
      <c r="M433" s="145">
        <v>0.125</v>
      </c>
      <c r="N433" s="145">
        <v>0.5</v>
      </c>
      <c r="O433" s="145">
        <v>2</v>
      </c>
      <c r="P433" s="145">
        <v>0.013</v>
      </c>
      <c r="Q433" s="145">
        <f t="shared" si="107"/>
        <v>71.24</v>
      </c>
      <c r="R433" s="145">
        <f t="shared" si="108"/>
        <v>127.1</v>
      </c>
      <c r="S433" s="126">
        <f t="shared" si="124"/>
        <v>131</v>
      </c>
      <c r="T433" s="147">
        <f t="shared" si="109"/>
        <v>6.355</v>
      </c>
      <c r="U433" s="142" t="str">
        <f t="shared" si="125"/>
        <v>[{2,1,262000,262000},{5103001,1,20000,20000},{1,2,750,750},{50002,1,9000,11000},{30,1,11,14},{9,1,112,137}]</v>
      </c>
      <c r="V433" s="142" t="str">
        <f t="shared" si="126"/>
        <v>[{2,1,262000,262000},{5103001,1,40000,40000},{50002,1,6000,6000},{5203001,1,5000,5000},{21360,1,1000,1000},{5301000,1,900,1000},{5303001,1,1800,2200},{11,1,400,600}]</v>
      </c>
      <c r="X433" s="142" t="str">
        <f t="shared" si="110"/>
        <v>{2,1,262000,262000}</v>
      </c>
      <c r="Y433" s="142"/>
      <c r="Z433" s="142" t="str">
        <f t="shared" si="111"/>
        <v>{5103001,1,20000,20000}</v>
      </c>
      <c r="AA433" s="142" t="str">
        <f t="shared" si="128"/>
        <v>{1,2,750,750}</v>
      </c>
      <c r="AD433" s="142" t="str">
        <f t="shared" si="112"/>
        <v>{50002,1,9000,11000}</v>
      </c>
      <c r="AE433" s="142" t="str">
        <f t="shared" si="127"/>
        <v>{30,1,11,14}</v>
      </c>
      <c r="AG433" s="142" t="str">
        <f t="shared" si="113"/>
        <v>{9,1,112,137}</v>
      </c>
      <c r="AH433" s="142" t="str">
        <f t="shared" si="114"/>
        <v>{2,1,262000,262000}</v>
      </c>
      <c r="AI433" s="142" t="str">
        <f t="shared" si="115"/>
        <v>{5103001,1,40000,40000}</v>
      </c>
      <c r="AJ433" s="142" t="str">
        <f t="shared" si="116"/>
        <v>{50002,1,6000,6000}</v>
      </c>
      <c r="AK433" s="142" t="str">
        <f t="shared" si="117"/>
        <v>{5203001,1,5000,5000}</v>
      </c>
      <c r="AL433" s="142" t="str">
        <f t="shared" si="118"/>
        <v>{21360,1,1000,1000}</v>
      </c>
      <c r="AM433" s="142" t="str">
        <f t="shared" si="119"/>
        <v>{5301000,1,900,1000}</v>
      </c>
      <c r="AO433" s="142" t="str">
        <f t="shared" si="120"/>
        <v>{5303001,1,1800,2200}</v>
      </c>
      <c r="AP433" s="142" t="s">
        <v>210</v>
      </c>
      <c r="AQ433" s="142"/>
    </row>
    <row r="434" spans="1:43">
      <c r="A434" s="143" t="str">
        <f t="shared" si="121"/>
        <v>[{2,1,263000,263000},{5103001,1,20000,20000}]</v>
      </c>
      <c r="B434" s="98">
        <f t="shared" si="122"/>
        <v>124</v>
      </c>
      <c r="C434" s="144">
        <v>263</v>
      </c>
      <c r="D434" s="145">
        <f t="shared" si="123"/>
        <v>263</v>
      </c>
      <c r="E434" s="145">
        <v>40</v>
      </c>
      <c r="F434" s="145">
        <v>20</v>
      </c>
      <c r="G434" s="146">
        <v>1</v>
      </c>
      <c r="H434" s="146">
        <v>6</v>
      </c>
      <c r="I434" s="146">
        <v>10</v>
      </c>
      <c r="J434" s="146">
        <v>5</v>
      </c>
      <c r="K434" s="146">
        <v>1</v>
      </c>
      <c r="L434" s="146">
        <v>1.5</v>
      </c>
      <c r="M434" s="145">
        <v>0.125</v>
      </c>
      <c r="N434" s="145">
        <v>0.5</v>
      </c>
      <c r="O434" s="145">
        <v>2</v>
      </c>
      <c r="P434" s="145">
        <v>0.013</v>
      </c>
      <c r="Q434" s="145">
        <f t="shared" si="107"/>
        <v>71.29</v>
      </c>
      <c r="R434" s="145">
        <f t="shared" si="108"/>
        <v>127.15</v>
      </c>
      <c r="S434" s="126">
        <f t="shared" si="124"/>
        <v>131.5</v>
      </c>
      <c r="T434" s="147">
        <f t="shared" si="109"/>
        <v>6.3575</v>
      </c>
      <c r="U434" s="142" t="str">
        <f t="shared" si="125"/>
        <v>[{2,1,263000,263000},{5103001,1,20000,20000},{1,2,750,750},{50002,1,9000,11000},{30,1,11,14},{9,1,112,137}]</v>
      </c>
      <c r="V434" s="142" t="str">
        <f t="shared" si="126"/>
        <v>[{2,1,263000,263000},{5103001,1,40000,40000},{50002,1,6000,6000},{5203001,1,5000,5000},{21360,1,1000,1000},{5301000,1,900,1000},{5303001,1,1800,2200},{11,1,400,600}]</v>
      </c>
      <c r="X434" s="142" t="str">
        <f t="shared" si="110"/>
        <v>{2,1,263000,263000}</v>
      </c>
      <c r="Y434" s="142"/>
      <c r="Z434" s="142" t="str">
        <f t="shared" si="111"/>
        <v>{5103001,1,20000,20000}</v>
      </c>
      <c r="AA434" s="142" t="str">
        <f t="shared" si="128"/>
        <v>{1,2,750,750}</v>
      </c>
      <c r="AD434" s="142" t="str">
        <f t="shared" si="112"/>
        <v>{50002,1,9000,11000}</v>
      </c>
      <c r="AE434" s="142" t="str">
        <f t="shared" si="127"/>
        <v>{30,1,11,14}</v>
      </c>
      <c r="AG434" s="142" t="str">
        <f t="shared" si="113"/>
        <v>{9,1,112,137}</v>
      </c>
      <c r="AH434" s="142" t="str">
        <f t="shared" si="114"/>
        <v>{2,1,263000,263000}</v>
      </c>
      <c r="AI434" s="142" t="str">
        <f t="shared" si="115"/>
        <v>{5103001,1,40000,40000}</v>
      </c>
      <c r="AJ434" s="142" t="str">
        <f t="shared" si="116"/>
        <v>{50002,1,6000,6000}</v>
      </c>
      <c r="AK434" s="142" t="str">
        <f t="shared" si="117"/>
        <v>{5203001,1,5000,5000}</v>
      </c>
      <c r="AL434" s="142" t="str">
        <f t="shared" si="118"/>
        <v>{21360,1,1000,1000}</v>
      </c>
      <c r="AM434" s="142" t="str">
        <f t="shared" si="119"/>
        <v>{5301000,1,900,1000}</v>
      </c>
      <c r="AO434" s="142" t="str">
        <f t="shared" si="120"/>
        <v>{5303001,1,1800,2200}</v>
      </c>
      <c r="AP434" s="142" t="s">
        <v>210</v>
      </c>
      <c r="AQ434" s="142"/>
    </row>
    <row r="435" spans="1:43">
      <c r="A435" s="143" t="str">
        <f t="shared" si="121"/>
        <v>[{2,1,264000,264000},{5103001,1,20000,20000}]</v>
      </c>
      <c r="B435" s="98">
        <f t="shared" si="122"/>
        <v>125</v>
      </c>
      <c r="C435" s="144">
        <v>264</v>
      </c>
      <c r="D435" s="145">
        <f t="shared" si="123"/>
        <v>264</v>
      </c>
      <c r="E435" s="145">
        <v>40</v>
      </c>
      <c r="F435" s="145">
        <v>20</v>
      </c>
      <c r="G435" s="146">
        <v>1</v>
      </c>
      <c r="H435" s="146">
        <v>6</v>
      </c>
      <c r="I435" s="146">
        <v>10</v>
      </c>
      <c r="J435" s="146">
        <v>5</v>
      </c>
      <c r="K435" s="146">
        <v>1</v>
      </c>
      <c r="L435" s="146">
        <v>1.5</v>
      </c>
      <c r="M435" s="145">
        <v>0.125</v>
      </c>
      <c r="N435" s="145">
        <v>0.5</v>
      </c>
      <c r="O435" s="145">
        <v>2</v>
      </c>
      <c r="P435" s="145">
        <v>0.013</v>
      </c>
      <c r="Q435" s="145">
        <f t="shared" si="107"/>
        <v>71.34</v>
      </c>
      <c r="R435" s="145">
        <f t="shared" si="108"/>
        <v>127.2</v>
      </c>
      <c r="S435" s="126">
        <f t="shared" si="124"/>
        <v>132</v>
      </c>
      <c r="T435" s="147">
        <f t="shared" si="109"/>
        <v>6.36</v>
      </c>
      <c r="U435" s="142" t="str">
        <f t="shared" si="125"/>
        <v>[{2,1,264000,264000},{5103001,1,20000,20000},{1,2,750,750},{50002,1,9000,11000},{30,1,11,14},{9,1,112,137}]</v>
      </c>
      <c r="V435" s="142" t="str">
        <f t="shared" si="126"/>
        <v>[{2,1,264000,264000},{5103001,1,40000,40000},{50002,1,6000,6000},{5203001,1,5000,5000},{21360,1,1000,1000},{5301000,1,900,1000},{5303001,1,1800,2200},{11,1,400,600}]</v>
      </c>
      <c r="X435" s="142" t="str">
        <f t="shared" si="110"/>
        <v>{2,1,264000,264000}</v>
      </c>
      <c r="Y435" s="142"/>
      <c r="Z435" s="142" t="str">
        <f t="shared" si="111"/>
        <v>{5103001,1,20000,20000}</v>
      </c>
      <c r="AA435" s="142" t="str">
        <f t="shared" si="128"/>
        <v>{1,2,750,750}</v>
      </c>
      <c r="AD435" s="142" t="str">
        <f t="shared" si="112"/>
        <v>{50002,1,9000,11000}</v>
      </c>
      <c r="AE435" s="142" t="str">
        <f t="shared" si="127"/>
        <v>{30,1,11,14}</v>
      </c>
      <c r="AG435" s="142" t="str">
        <f t="shared" si="113"/>
        <v>{9,1,112,137}</v>
      </c>
      <c r="AH435" s="142" t="str">
        <f t="shared" si="114"/>
        <v>{2,1,264000,264000}</v>
      </c>
      <c r="AI435" s="142" t="str">
        <f t="shared" si="115"/>
        <v>{5103001,1,40000,40000}</v>
      </c>
      <c r="AJ435" s="142" t="str">
        <f t="shared" si="116"/>
        <v>{50002,1,6000,6000}</v>
      </c>
      <c r="AK435" s="142" t="str">
        <f t="shared" si="117"/>
        <v>{5203001,1,5000,5000}</v>
      </c>
      <c r="AL435" s="142" t="str">
        <f t="shared" si="118"/>
        <v>{21360,1,1000,1000}</v>
      </c>
      <c r="AM435" s="142" t="str">
        <f t="shared" si="119"/>
        <v>{5301000,1,900,1000}</v>
      </c>
      <c r="AO435" s="142" t="str">
        <f t="shared" si="120"/>
        <v>{5303001,1,1800,2200}</v>
      </c>
      <c r="AP435" s="142" t="s">
        <v>210</v>
      </c>
      <c r="AQ435" s="142"/>
    </row>
    <row r="436" spans="1:43">
      <c r="A436" s="143" t="str">
        <f t="shared" si="121"/>
        <v>[{2,1,265000,265000},{5103001,1,20000,20000}]</v>
      </c>
      <c r="B436" s="98">
        <f t="shared" si="122"/>
        <v>126</v>
      </c>
      <c r="C436" s="144">
        <v>265</v>
      </c>
      <c r="D436" s="145">
        <f t="shared" si="123"/>
        <v>265</v>
      </c>
      <c r="E436" s="145">
        <v>40</v>
      </c>
      <c r="F436" s="145">
        <v>20</v>
      </c>
      <c r="G436" s="146">
        <v>1</v>
      </c>
      <c r="H436" s="146">
        <v>6</v>
      </c>
      <c r="I436" s="146">
        <v>10</v>
      </c>
      <c r="J436" s="146">
        <v>5</v>
      </c>
      <c r="K436" s="146">
        <v>1</v>
      </c>
      <c r="L436" s="146">
        <v>1.5</v>
      </c>
      <c r="M436" s="145">
        <v>0.125</v>
      </c>
      <c r="N436" s="145">
        <v>0.5</v>
      </c>
      <c r="O436" s="145">
        <v>2</v>
      </c>
      <c r="P436" s="145">
        <v>0.013</v>
      </c>
      <c r="Q436" s="145">
        <f t="shared" si="107"/>
        <v>71.39</v>
      </c>
      <c r="R436" s="145">
        <f t="shared" si="108"/>
        <v>127.25</v>
      </c>
      <c r="S436" s="126">
        <f t="shared" si="124"/>
        <v>132.5</v>
      </c>
      <c r="T436" s="147">
        <f t="shared" si="109"/>
        <v>6.3625</v>
      </c>
      <c r="U436" s="142" t="str">
        <f t="shared" si="125"/>
        <v>[{2,1,265000,265000},{5103001,1,20000,20000},{1,2,750,750},{50002,1,9000,11000},{30,1,11,14},{9,1,112,137}]</v>
      </c>
      <c r="V436" s="142" t="str">
        <f t="shared" si="126"/>
        <v>[{2,1,265000,265000},{5103001,1,40000,40000},{50002,1,6000,6000},{5203001,1,5000,5000},{21360,1,1000,1000},{5301000,1,900,1000},{5303001,1,1800,2200},{11,1,400,600}]</v>
      </c>
      <c r="X436" s="142" t="str">
        <f t="shared" si="110"/>
        <v>{2,1,265000,265000}</v>
      </c>
      <c r="Y436" s="142"/>
      <c r="Z436" s="142" t="str">
        <f t="shared" si="111"/>
        <v>{5103001,1,20000,20000}</v>
      </c>
      <c r="AA436" s="142" t="str">
        <f t="shared" si="128"/>
        <v>{1,2,750,750}</v>
      </c>
      <c r="AD436" s="142" t="str">
        <f t="shared" si="112"/>
        <v>{50002,1,9000,11000}</v>
      </c>
      <c r="AE436" s="142" t="str">
        <f t="shared" si="127"/>
        <v>{30,1,11,14}</v>
      </c>
      <c r="AG436" s="142" t="str">
        <f t="shared" si="113"/>
        <v>{9,1,112,137}</v>
      </c>
      <c r="AH436" s="142" t="str">
        <f t="shared" si="114"/>
        <v>{2,1,265000,265000}</v>
      </c>
      <c r="AI436" s="142" t="str">
        <f t="shared" si="115"/>
        <v>{5103001,1,40000,40000}</v>
      </c>
      <c r="AJ436" s="142" t="str">
        <f t="shared" si="116"/>
        <v>{50002,1,6000,6000}</v>
      </c>
      <c r="AK436" s="142" t="str">
        <f t="shared" si="117"/>
        <v>{5203001,1,5000,5000}</v>
      </c>
      <c r="AL436" s="142" t="str">
        <f t="shared" si="118"/>
        <v>{21360,1,1000,1000}</v>
      </c>
      <c r="AM436" s="142" t="str">
        <f t="shared" si="119"/>
        <v>{5301000,1,900,1000}</v>
      </c>
      <c r="AO436" s="142" t="str">
        <f t="shared" si="120"/>
        <v>{5303001,1,1800,2200}</v>
      </c>
      <c r="AP436" s="142" t="s">
        <v>210</v>
      </c>
      <c r="AQ436" s="142"/>
    </row>
    <row r="437" spans="1:43">
      <c r="A437" s="143" t="str">
        <f t="shared" si="121"/>
        <v>[{2,1,266000,266000},{5103001,1,20000,20000}]</v>
      </c>
      <c r="B437" s="98">
        <f t="shared" si="122"/>
        <v>127</v>
      </c>
      <c r="C437" s="144">
        <v>266</v>
      </c>
      <c r="D437" s="145">
        <f t="shared" si="123"/>
        <v>266</v>
      </c>
      <c r="E437" s="145">
        <v>40</v>
      </c>
      <c r="F437" s="145">
        <v>20</v>
      </c>
      <c r="G437" s="146">
        <v>1</v>
      </c>
      <c r="H437" s="146">
        <v>6</v>
      </c>
      <c r="I437" s="146">
        <v>10</v>
      </c>
      <c r="J437" s="146">
        <v>5</v>
      </c>
      <c r="K437" s="146">
        <v>1</v>
      </c>
      <c r="L437" s="146">
        <v>1.5</v>
      </c>
      <c r="M437" s="145">
        <v>0.125</v>
      </c>
      <c r="N437" s="145">
        <v>0.5</v>
      </c>
      <c r="O437" s="145">
        <v>2</v>
      </c>
      <c r="P437" s="145">
        <v>0.013</v>
      </c>
      <c r="Q437" s="145">
        <f t="shared" si="107"/>
        <v>71.44</v>
      </c>
      <c r="R437" s="145">
        <f t="shared" si="108"/>
        <v>127.3</v>
      </c>
      <c r="S437" s="126">
        <f t="shared" si="124"/>
        <v>133</v>
      </c>
      <c r="T437" s="147">
        <f t="shared" si="109"/>
        <v>6.365</v>
      </c>
      <c r="U437" s="142" t="str">
        <f t="shared" si="125"/>
        <v>[{2,1,266000,266000},{5103001,1,20000,20000},{1,2,750,750},{50002,1,9000,11000},{30,1,11,14},{9,1,112,137}]</v>
      </c>
      <c r="V437" s="142" t="str">
        <f t="shared" si="126"/>
        <v>[{2,1,266000,266000},{5103001,1,40000,40000},{50002,1,6000,6000},{5203001,1,5000,5000},{21360,1,1000,1000},{5301000,1,900,1000},{5303001,1,1800,2200},{11,1,400,600}]</v>
      </c>
      <c r="X437" s="142" t="str">
        <f t="shared" si="110"/>
        <v>{2,1,266000,266000}</v>
      </c>
      <c r="Y437" s="142"/>
      <c r="Z437" s="142" t="str">
        <f t="shared" si="111"/>
        <v>{5103001,1,20000,20000}</v>
      </c>
      <c r="AA437" s="142" t="str">
        <f t="shared" si="128"/>
        <v>{1,2,750,750}</v>
      </c>
      <c r="AD437" s="142" t="str">
        <f t="shared" si="112"/>
        <v>{50002,1,9000,11000}</v>
      </c>
      <c r="AE437" s="142" t="str">
        <f t="shared" si="127"/>
        <v>{30,1,11,14}</v>
      </c>
      <c r="AG437" s="142" t="str">
        <f t="shared" si="113"/>
        <v>{9,1,112,137}</v>
      </c>
      <c r="AH437" s="142" t="str">
        <f t="shared" si="114"/>
        <v>{2,1,266000,266000}</v>
      </c>
      <c r="AI437" s="142" t="str">
        <f t="shared" si="115"/>
        <v>{5103001,1,40000,40000}</v>
      </c>
      <c r="AJ437" s="142" t="str">
        <f t="shared" si="116"/>
        <v>{50002,1,6000,6000}</v>
      </c>
      <c r="AK437" s="142" t="str">
        <f t="shared" si="117"/>
        <v>{5203001,1,5000,5000}</v>
      </c>
      <c r="AL437" s="142" t="str">
        <f t="shared" si="118"/>
        <v>{21360,1,1000,1000}</v>
      </c>
      <c r="AM437" s="142" t="str">
        <f t="shared" si="119"/>
        <v>{5301000,1,900,1000}</v>
      </c>
      <c r="AO437" s="142" t="str">
        <f t="shared" si="120"/>
        <v>{5303001,1,1800,2200}</v>
      </c>
      <c r="AP437" s="142" t="s">
        <v>210</v>
      </c>
      <c r="AQ437" s="142"/>
    </row>
    <row r="438" spans="1:43">
      <c r="A438" s="143" t="str">
        <f t="shared" si="121"/>
        <v>[{2,1,267000,267000},{5103001,1,20000,20000}]</v>
      </c>
      <c r="B438" s="98">
        <f t="shared" si="122"/>
        <v>128</v>
      </c>
      <c r="C438" s="144">
        <v>267</v>
      </c>
      <c r="D438" s="145">
        <f t="shared" si="123"/>
        <v>267</v>
      </c>
      <c r="E438" s="145">
        <v>40</v>
      </c>
      <c r="F438" s="145">
        <v>20</v>
      </c>
      <c r="G438" s="146">
        <v>1</v>
      </c>
      <c r="H438" s="146">
        <v>6</v>
      </c>
      <c r="I438" s="146">
        <v>10</v>
      </c>
      <c r="J438" s="146">
        <v>5</v>
      </c>
      <c r="K438" s="146">
        <v>1</v>
      </c>
      <c r="L438" s="146">
        <v>1.5</v>
      </c>
      <c r="M438" s="145">
        <v>0.125</v>
      </c>
      <c r="N438" s="145">
        <v>0.5</v>
      </c>
      <c r="O438" s="145">
        <v>2</v>
      </c>
      <c r="P438" s="145">
        <v>0.013</v>
      </c>
      <c r="Q438" s="145">
        <f t="shared" si="107"/>
        <v>71.49</v>
      </c>
      <c r="R438" s="145">
        <f t="shared" si="108"/>
        <v>127.35</v>
      </c>
      <c r="S438" s="126">
        <f t="shared" si="124"/>
        <v>133.5</v>
      </c>
      <c r="T438" s="147">
        <f t="shared" si="109"/>
        <v>6.3675</v>
      </c>
      <c r="U438" s="142" t="str">
        <f t="shared" si="125"/>
        <v>[{2,1,267000,267000},{5103001,1,20000,20000},{1,2,750,750},{50002,1,9000,11000},{30,1,11,14},{9,1,112,137}]</v>
      </c>
      <c r="V438" s="142" t="str">
        <f t="shared" si="126"/>
        <v>[{2,1,267000,267000},{5103001,1,40000,40000},{50002,1,6000,6000},{5203001,1,5000,5000},{21360,1,1000,1000},{5301000,1,900,1000},{5303001,1,1800,2200},{11,1,400,600}]</v>
      </c>
      <c r="X438" s="142" t="str">
        <f t="shared" si="110"/>
        <v>{2,1,267000,267000}</v>
      </c>
      <c r="Y438" s="142"/>
      <c r="Z438" s="142" t="str">
        <f t="shared" si="111"/>
        <v>{5103001,1,20000,20000}</v>
      </c>
      <c r="AA438" s="142" t="str">
        <f t="shared" si="128"/>
        <v>{1,2,750,750}</v>
      </c>
      <c r="AD438" s="142" t="str">
        <f t="shared" si="112"/>
        <v>{50002,1,9000,11000}</v>
      </c>
      <c r="AE438" s="142" t="str">
        <f t="shared" si="127"/>
        <v>{30,1,11,14}</v>
      </c>
      <c r="AG438" s="142" t="str">
        <f t="shared" si="113"/>
        <v>{9,1,112,137}</v>
      </c>
      <c r="AH438" s="142" t="str">
        <f t="shared" si="114"/>
        <v>{2,1,267000,267000}</v>
      </c>
      <c r="AI438" s="142" t="str">
        <f t="shared" si="115"/>
        <v>{5103001,1,40000,40000}</v>
      </c>
      <c r="AJ438" s="142" t="str">
        <f t="shared" si="116"/>
        <v>{50002,1,6000,6000}</v>
      </c>
      <c r="AK438" s="142" t="str">
        <f t="shared" si="117"/>
        <v>{5203001,1,5000,5000}</v>
      </c>
      <c r="AL438" s="142" t="str">
        <f t="shared" si="118"/>
        <v>{21360,1,1000,1000}</v>
      </c>
      <c r="AM438" s="142" t="str">
        <f t="shared" si="119"/>
        <v>{5301000,1,900,1000}</v>
      </c>
      <c r="AO438" s="142" t="str">
        <f t="shared" si="120"/>
        <v>{5303001,1,1800,2200}</v>
      </c>
      <c r="AP438" s="142" t="s">
        <v>210</v>
      </c>
      <c r="AQ438" s="142"/>
    </row>
    <row r="439" spans="1:43">
      <c r="A439" s="143" t="str">
        <f t="shared" si="121"/>
        <v>[{2,1,268000,268000},{5103001,1,20000,20000}]</v>
      </c>
      <c r="B439" s="98">
        <f t="shared" si="122"/>
        <v>129</v>
      </c>
      <c r="C439" s="144">
        <v>268</v>
      </c>
      <c r="D439" s="145">
        <f t="shared" si="123"/>
        <v>268</v>
      </c>
      <c r="E439" s="145">
        <v>40</v>
      </c>
      <c r="F439" s="145">
        <v>20</v>
      </c>
      <c r="G439" s="146">
        <v>1</v>
      </c>
      <c r="H439" s="146">
        <v>6</v>
      </c>
      <c r="I439" s="146">
        <v>10</v>
      </c>
      <c r="J439" s="146">
        <v>5</v>
      </c>
      <c r="K439" s="146">
        <v>1</v>
      </c>
      <c r="L439" s="146">
        <v>1.5</v>
      </c>
      <c r="M439" s="145">
        <v>0.125</v>
      </c>
      <c r="N439" s="145">
        <v>0.5</v>
      </c>
      <c r="O439" s="145">
        <v>2</v>
      </c>
      <c r="P439" s="145">
        <v>0.013</v>
      </c>
      <c r="Q439" s="145">
        <f t="shared" ref="Q439:Q502" si="129">SUMPRODUCT($C$306:$P$306,--($C$307:$P$307=Q$310),$C439:$P439)</f>
        <v>71.54</v>
      </c>
      <c r="R439" s="145">
        <f t="shared" ref="R439:R502" si="130">SUMPRODUCT($C$306:$P$306,--($C$307:$P$307=R$310),$C439:$P439)</f>
        <v>127.4</v>
      </c>
      <c r="S439" s="126">
        <f t="shared" si="124"/>
        <v>134</v>
      </c>
      <c r="T439" s="147">
        <f t="shared" ref="T439:T502" si="131">R439/20</f>
        <v>6.37</v>
      </c>
      <c r="U439" s="142" t="str">
        <f t="shared" si="125"/>
        <v>[{2,1,268000,268000},{5103001,1,20000,20000},{1,2,750,750},{50002,1,9000,11000},{30,1,11,14},{9,1,112,137}]</v>
      </c>
      <c r="V439" s="142" t="str">
        <f t="shared" si="126"/>
        <v>[{2,1,268000,268000},{5103001,1,40000,40000},{50002,1,6000,6000},{5203001,1,5000,5000},{21360,1,1000,1000},{5301000,1,900,1000},{5303001,1,1800,2200},{11,1,400,600}]</v>
      </c>
      <c r="X439" s="142" t="str">
        <f t="shared" ref="X439:X502" si="132">IF(D439="","","{"&amp;D$308&amp;","&amp;1&amp;","&amp;INT(D439/10*10000)&amp;","&amp;INT(D439/10*10000)&amp;"}")</f>
        <v>{2,1,268000,268000}</v>
      </c>
      <c r="Y439" s="142"/>
      <c r="Z439" s="142" t="str">
        <f t="shared" ref="Z439:Z502" si="133">IF(F439="","","{"&amp;F$308&amp;","&amp;1&amp;","&amp;INT(F439/10*10000)&amp;","&amp;INT(F439/10*10000)&amp;"}")</f>
        <v>{5103001,1,20000,20000}</v>
      </c>
      <c r="AA439" s="142" t="str">
        <f t="shared" si="128"/>
        <v>{1,2,750,750}</v>
      </c>
      <c r="AD439" s="142" t="str">
        <f t="shared" ref="AD439:AD502" si="134">IF(I439="","","{"&amp;I$308&amp;","&amp;1&amp;","&amp;INT(I439/10*9000)&amp;","&amp;INT(I439/10*11000)&amp;"}")</f>
        <v>{50002,1,9000,11000}</v>
      </c>
      <c r="AE439" s="142" t="str">
        <f t="shared" si="127"/>
        <v>{30,1,11,14}</v>
      </c>
      <c r="AG439" s="142" t="str">
        <f t="shared" ref="AG439:AG502" si="135">IF(M439="","","{"&amp;M$308&amp;","&amp;1&amp;","&amp;INT(M439/10*9000)&amp;","&amp;INT(M439/10*11000)&amp;"}")</f>
        <v>{9,1,112,137}</v>
      </c>
      <c r="AH439" s="142" t="str">
        <f t="shared" ref="AH439:AH502" si="136">IF(C439="","","{"&amp;D$308&amp;","&amp;1&amp;","&amp;INT(C439/10*10000)&amp;","&amp;INT(C439/10*10000)&amp;"}")</f>
        <v>{2,1,268000,268000}</v>
      </c>
      <c r="AI439" s="142" t="str">
        <f t="shared" ref="AI439:AI502" si="137">IF(E439="","","{"&amp;F$308&amp;","&amp;1&amp;","&amp;INT(E439/10*10000)&amp;","&amp;INT(E439/10*10000)&amp;"}")</f>
        <v>{5103001,1,40000,40000}</v>
      </c>
      <c r="AJ439" s="142" t="str">
        <f t="shared" ref="AJ439:AJ502" si="138">IF(H439="","","{"&amp;H$308&amp;","&amp;1&amp;","&amp;INT(H439/10*10000)&amp;","&amp;INT(H439/10*10000)&amp;"}")</f>
        <v>{50002,1,6000,6000}</v>
      </c>
      <c r="AK439" s="142" t="str">
        <f t="shared" ref="AK439:AK502" si="139">IF(J439="","","{"&amp;J$308&amp;","&amp;1&amp;","&amp;INT(J439/10*10000)&amp;","&amp;INT(J439/10*10000)&amp;"}")</f>
        <v>{5203001,1,5000,5000}</v>
      </c>
      <c r="AL439" s="142" t="str">
        <f t="shared" ref="AL439:AL502" si="140">IF(K439="","","{"&amp;K$308&amp;","&amp;1&amp;","&amp;INT(K439/10*10000)&amp;","&amp;INT(K439/10*10000)&amp;"}")</f>
        <v>{21360,1,1000,1000}</v>
      </c>
      <c r="AM439" s="142" t="str">
        <f t="shared" ref="AM439:AM502" si="141">IF(G439="","","{"&amp;G$308&amp;","&amp;1&amp;","&amp;INT(G439/10*9000)&amp;","&amp;INT(G439/10*10000)&amp;"}")</f>
        <v>{5301000,1,900,1000}</v>
      </c>
      <c r="AO439" s="142" t="str">
        <f t="shared" ref="AO439:AO502" si="142">IF(O439="","","{"&amp;O$308&amp;","&amp;1&amp;","&amp;INT(O439/10*9000)&amp;","&amp;INT(O439/10*11000)&amp;"}")</f>
        <v>{5303001,1,1800,2200}</v>
      </c>
      <c r="AP439" s="142" t="s">
        <v>210</v>
      </c>
      <c r="AQ439" s="142"/>
    </row>
    <row r="440" spans="1:43">
      <c r="A440" s="143" t="str">
        <f t="shared" ref="A440:A503" si="143">"[{2,1,"&amp;C440*1000&amp;","&amp;C440*1000&amp;"},{5103001,1,"&amp;F440*1000&amp;","&amp;F440*1000&amp;"}]"</f>
        <v>[{2,1,269000,269000},{5103001,1,20000,20000}]</v>
      </c>
      <c r="B440" s="98">
        <f t="shared" ref="B440:B503" si="144">B439+1</f>
        <v>130</v>
      </c>
      <c r="C440" s="144">
        <v>269</v>
      </c>
      <c r="D440" s="145">
        <f t="shared" ref="D440:D503" si="145">C440</f>
        <v>269</v>
      </c>
      <c r="E440" s="145">
        <v>40</v>
      </c>
      <c r="F440" s="145">
        <v>20</v>
      </c>
      <c r="G440" s="146">
        <v>1</v>
      </c>
      <c r="H440" s="146">
        <v>6</v>
      </c>
      <c r="I440" s="146">
        <v>10</v>
      </c>
      <c r="J440" s="146">
        <v>5</v>
      </c>
      <c r="K440" s="146">
        <v>1</v>
      </c>
      <c r="L440" s="146">
        <v>1.5</v>
      </c>
      <c r="M440" s="145">
        <v>0.125</v>
      </c>
      <c r="N440" s="145">
        <v>0.5</v>
      </c>
      <c r="O440" s="145">
        <v>2</v>
      </c>
      <c r="P440" s="145">
        <v>0.013</v>
      </c>
      <c r="Q440" s="145">
        <f t="shared" si="129"/>
        <v>71.59</v>
      </c>
      <c r="R440" s="145">
        <f t="shared" si="130"/>
        <v>127.45</v>
      </c>
      <c r="S440" s="126">
        <f t="shared" ref="S440:S503" si="146">C440/2</f>
        <v>134.5</v>
      </c>
      <c r="T440" s="147">
        <f t="shared" si="131"/>
        <v>6.3725</v>
      </c>
      <c r="U440" s="142" t="str">
        <f t="shared" ref="U440:U503" si="147">"["&amp;_xlfn.TEXTJOIN(",",1,X440:AG440)&amp;"]"</f>
        <v>[{2,1,269000,269000},{5103001,1,20000,20000},{1,2,750,750},{50002,1,9000,11000},{30,1,11,14},{9,1,112,137}]</v>
      </c>
      <c r="V440" s="142" t="str">
        <f t="shared" ref="V440:V503" si="148">"["&amp;_xlfn.TEXTJOIN(",",1,AH440:AQ440)&amp;"]"</f>
        <v>[{2,1,269000,269000},{5103001,1,40000,40000},{50002,1,6000,6000},{5203001,1,5000,5000},{21360,1,1000,1000},{5301000,1,900,1000},{5303001,1,1800,2200},{11,1,400,600}]</v>
      </c>
      <c r="X440" s="142" t="str">
        <f t="shared" si="132"/>
        <v>{2,1,269000,269000}</v>
      </c>
      <c r="Y440" s="142"/>
      <c r="Z440" s="142" t="str">
        <f t="shared" si="133"/>
        <v>{5103001,1,20000,20000}</v>
      </c>
      <c r="AA440" s="142" t="str">
        <f t="shared" si="128"/>
        <v>{1,2,750,750}</v>
      </c>
      <c r="AD440" s="142" t="str">
        <f t="shared" si="134"/>
        <v>{50002,1,9000,11000}</v>
      </c>
      <c r="AE440" s="142" t="str">
        <f t="shared" ref="AE440:AE503" si="149">IF(P440="","","{"&amp;P$308&amp;","&amp;1&amp;","&amp;INT(P440/10*9000)&amp;","&amp;INT(P440/10*11000)&amp;"}")</f>
        <v>{30,1,11,14}</v>
      </c>
      <c r="AG440" s="142" t="str">
        <f t="shared" si="135"/>
        <v>{9,1,112,137}</v>
      </c>
      <c r="AH440" s="142" t="str">
        <f t="shared" si="136"/>
        <v>{2,1,269000,269000}</v>
      </c>
      <c r="AI440" s="142" t="str">
        <f t="shared" si="137"/>
        <v>{5103001,1,40000,40000}</v>
      </c>
      <c r="AJ440" s="142" t="str">
        <f t="shared" si="138"/>
        <v>{50002,1,6000,6000}</v>
      </c>
      <c r="AK440" s="142" t="str">
        <f t="shared" si="139"/>
        <v>{5203001,1,5000,5000}</v>
      </c>
      <c r="AL440" s="142" t="str">
        <f t="shared" si="140"/>
        <v>{21360,1,1000,1000}</v>
      </c>
      <c r="AM440" s="142" t="str">
        <f t="shared" si="141"/>
        <v>{5301000,1,900,1000}</v>
      </c>
      <c r="AO440" s="142" t="str">
        <f t="shared" si="142"/>
        <v>{5303001,1,1800,2200}</v>
      </c>
      <c r="AP440" s="142" t="s">
        <v>210</v>
      </c>
      <c r="AQ440" s="142"/>
    </row>
    <row r="441" spans="1:43">
      <c r="A441" s="143" t="str">
        <f t="shared" si="143"/>
        <v>[{2,1,270000,270000},{5103001,1,20000,20000}]</v>
      </c>
      <c r="B441" s="98">
        <f t="shared" si="144"/>
        <v>131</v>
      </c>
      <c r="C441" s="144">
        <v>270</v>
      </c>
      <c r="D441" s="145">
        <f t="shared" si="145"/>
        <v>270</v>
      </c>
      <c r="E441" s="145">
        <v>40</v>
      </c>
      <c r="F441" s="145">
        <v>20</v>
      </c>
      <c r="G441" s="146">
        <v>1</v>
      </c>
      <c r="H441" s="146">
        <v>6</v>
      </c>
      <c r="I441" s="146">
        <v>10</v>
      </c>
      <c r="J441" s="146">
        <v>5</v>
      </c>
      <c r="K441" s="146">
        <v>1</v>
      </c>
      <c r="L441" s="146">
        <v>1.5</v>
      </c>
      <c r="M441" s="145">
        <v>0.125</v>
      </c>
      <c r="N441" s="145">
        <v>0.5</v>
      </c>
      <c r="O441" s="145">
        <v>2</v>
      </c>
      <c r="P441" s="145">
        <v>0.013</v>
      </c>
      <c r="Q441" s="145">
        <f t="shared" si="129"/>
        <v>71.64</v>
      </c>
      <c r="R441" s="145">
        <f t="shared" si="130"/>
        <v>127.5</v>
      </c>
      <c r="S441" s="126">
        <f t="shared" si="146"/>
        <v>135</v>
      </c>
      <c r="T441" s="147">
        <f t="shared" si="131"/>
        <v>6.375</v>
      </c>
      <c r="U441" s="142" t="str">
        <f t="shared" si="147"/>
        <v>[{2,1,270000,270000},{5103001,1,20000,20000},{1,2,750,750},{50002,1,9000,11000},{30,1,11,14},{9,1,112,137}]</v>
      </c>
      <c r="V441" s="142" t="str">
        <f t="shared" si="148"/>
        <v>[{2,1,270000,270000},{5103001,1,40000,40000},{50002,1,6000,6000},{5203001,1,5000,5000},{21360,1,1000,1000},{5301000,1,900,1000},{5303001,1,1800,2200},{11,1,400,600}]</v>
      </c>
      <c r="X441" s="142" t="str">
        <f t="shared" si="132"/>
        <v>{2,1,270000,270000}</v>
      </c>
      <c r="Y441" s="142"/>
      <c r="Z441" s="142" t="str">
        <f t="shared" si="133"/>
        <v>{5103001,1,20000,20000}</v>
      </c>
      <c r="AA441" s="142" t="str">
        <f t="shared" ref="AA441:AA504" si="150">AA440</f>
        <v>{1,2,750,750}</v>
      </c>
      <c r="AD441" s="142" t="str">
        <f t="shared" si="134"/>
        <v>{50002,1,9000,11000}</v>
      </c>
      <c r="AE441" s="142" t="str">
        <f t="shared" si="149"/>
        <v>{30,1,11,14}</v>
      </c>
      <c r="AG441" s="142" t="str">
        <f t="shared" si="135"/>
        <v>{9,1,112,137}</v>
      </c>
      <c r="AH441" s="142" t="str">
        <f t="shared" si="136"/>
        <v>{2,1,270000,270000}</v>
      </c>
      <c r="AI441" s="142" t="str">
        <f t="shared" si="137"/>
        <v>{5103001,1,40000,40000}</v>
      </c>
      <c r="AJ441" s="142" t="str">
        <f t="shared" si="138"/>
        <v>{50002,1,6000,6000}</v>
      </c>
      <c r="AK441" s="142" t="str">
        <f t="shared" si="139"/>
        <v>{5203001,1,5000,5000}</v>
      </c>
      <c r="AL441" s="142" t="str">
        <f t="shared" si="140"/>
        <v>{21360,1,1000,1000}</v>
      </c>
      <c r="AM441" s="142" t="str">
        <f t="shared" si="141"/>
        <v>{5301000,1,900,1000}</v>
      </c>
      <c r="AO441" s="142" t="str">
        <f t="shared" si="142"/>
        <v>{5303001,1,1800,2200}</v>
      </c>
      <c r="AP441" s="142" t="s">
        <v>210</v>
      </c>
      <c r="AQ441" s="142"/>
    </row>
    <row r="442" spans="1:43">
      <c r="A442" s="143" t="str">
        <f t="shared" si="143"/>
        <v>[{2,1,271000,271000},{5103001,1,20000,20000}]</v>
      </c>
      <c r="B442" s="98">
        <f t="shared" si="144"/>
        <v>132</v>
      </c>
      <c r="C442" s="144">
        <v>271</v>
      </c>
      <c r="D442" s="145">
        <f t="shared" si="145"/>
        <v>271</v>
      </c>
      <c r="E442" s="145">
        <v>40</v>
      </c>
      <c r="F442" s="145">
        <v>20</v>
      </c>
      <c r="G442" s="146">
        <v>1</v>
      </c>
      <c r="H442" s="146">
        <v>6</v>
      </c>
      <c r="I442" s="146">
        <v>10</v>
      </c>
      <c r="J442" s="146">
        <v>5</v>
      </c>
      <c r="K442" s="146">
        <v>1</v>
      </c>
      <c r="L442" s="146">
        <v>1.5</v>
      </c>
      <c r="M442" s="145">
        <v>0.125</v>
      </c>
      <c r="N442" s="145">
        <v>0.5</v>
      </c>
      <c r="O442" s="145">
        <v>2</v>
      </c>
      <c r="P442" s="145">
        <v>0.013</v>
      </c>
      <c r="Q442" s="145">
        <f t="shared" si="129"/>
        <v>71.69</v>
      </c>
      <c r="R442" s="145">
        <f t="shared" si="130"/>
        <v>127.55</v>
      </c>
      <c r="S442" s="126">
        <f t="shared" si="146"/>
        <v>135.5</v>
      </c>
      <c r="T442" s="147">
        <f t="shared" si="131"/>
        <v>6.3775</v>
      </c>
      <c r="U442" s="142" t="str">
        <f t="shared" si="147"/>
        <v>[{2,1,271000,271000},{5103001,1,20000,20000},{1,2,750,750},{50002,1,9000,11000},{30,1,11,14},{9,1,112,137}]</v>
      </c>
      <c r="V442" s="142" t="str">
        <f t="shared" si="148"/>
        <v>[{2,1,271000,271000},{5103001,1,40000,40000},{50002,1,6000,6000},{5203001,1,5000,5000},{21360,1,1000,1000},{5301000,1,900,1000},{5303001,1,1800,2200},{11,1,400,600}]</v>
      </c>
      <c r="X442" s="142" t="str">
        <f t="shared" si="132"/>
        <v>{2,1,271000,271000}</v>
      </c>
      <c r="Y442" s="142"/>
      <c r="Z442" s="142" t="str">
        <f t="shared" si="133"/>
        <v>{5103001,1,20000,20000}</v>
      </c>
      <c r="AA442" s="142" t="str">
        <f t="shared" si="150"/>
        <v>{1,2,750,750}</v>
      </c>
      <c r="AD442" s="142" t="str">
        <f t="shared" si="134"/>
        <v>{50002,1,9000,11000}</v>
      </c>
      <c r="AE442" s="142" t="str">
        <f t="shared" si="149"/>
        <v>{30,1,11,14}</v>
      </c>
      <c r="AG442" s="142" t="str">
        <f t="shared" si="135"/>
        <v>{9,1,112,137}</v>
      </c>
      <c r="AH442" s="142" t="str">
        <f t="shared" si="136"/>
        <v>{2,1,271000,271000}</v>
      </c>
      <c r="AI442" s="142" t="str">
        <f t="shared" si="137"/>
        <v>{5103001,1,40000,40000}</v>
      </c>
      <c r="AJ442" s="142" t="str">
        <f t="shared" si="138"/>
        <v>{50002,1,6000,6000}</v>
      </c>
      <c r="AK442" s="142" t="str">
        <f t="shared" si="139"/>
        <v>{5203001,1,5000,5000}</v>
      </c>
      <c r="AL442" s="142" t="str">
        <f t="shared" si="140"/>
        <v>{21360,1,1000,1000}</v>
      </c>
      <c r="AM442" s="142" t="str">
        <f t="shared" si="141"/>
        <v>{5301000,1,900,1000}</v>
      </c>
      <c r="AO442" s="142" t="str">
        <f t="shared" si="142"/>
        <v>{5303001,1,1800,2200}</v>
      </c>
      <c r="AP442" s="142" t="s">
        <v>210</v>
      </c>
      <c r="AQ442" s="142"/>
    </row>
    <row r="443" spans="1:43">
      <c r="A443" s="143" t="str">
        <f t="shared" si="143"/>
        <v>[{2,1,272000,272000},{5103001,1,20000,20000}]</v>
      </c>
      <c r="B443" s="98">
        <f t="shared" si="144"/>
        <v>133</v>
      </c>
      <c r="C443" s="144">
        <v>272</v>
      </c>
      <c r="D443" s="145">
        <f t="shared" si="145"/>
        <v>272</v>
      </c>
      <c r="E443" s="145">
        <v>40</v>
      </c>
      <c r="F443" s="145">
        <v>20</v>
      </c>
      <c r="G443" s="146">
        <v>1</v>
      </c>
      <c r="H443" s="146">
        <v>6</v>
      </c>
      <c r="I443" s="146">
        <v>10</v>
      </c>
      <c r="J443" s="146">
        <v>5</v>
      </c>
      <c r="K443" s="146">
        <v>1</v>
      </c>
      <c r="L443" s="146">
        <v>1.5</v>
      </c>
      <c r="M443" s="145">
        <v>0.125</v>
      </c>
      <c r="N443" s="145">
        <v>0.5</v>
      </c>
      <c r="O443" s="145">
        <v>2</v>
      </c>
      <c r="P443" s="145">
        <v>0.013</v>
      </c>
      <c r="Q443" s="145">
        <f t="shared" si="129"/>
        <v>71.74</v>
      </c>
      <c r="R443" s="145">
        <f t="shared" si="130"/>
        <v>127.6</v>
      </c>
      <c r="S443" s="126">
        <f t="shared" si="146"/>
        <v>136</v>
      </c>
      <c r="T443" s="147">
        <f t="shared" si="131"/>
        <v>6.38</v>
      </c>
      <c r="U443" s="142" t="str">
        <f t="shared" si="147"/>
        <v>[{2,1,272000,272000},{5103001,1,20000,20000},{1,2,750,750},{50002,1,9000,11000},{30,1,11,14},{9,1,112,137}]</v>
      </c>
      <c r="V443" s="142" t="str">
        <f t="shared" si="148"/>
        <v>[{2,1,272000,272000},{5103001,1,40000,40000},{50002,1,6000,6000},{5203001,1,5000,5000},{21360,1,1000,1000},{5301000,1,900,1000},{5303001,1,1800,2200},{11,1,400,600}]</v>
      </c>
      <c r="X443" s="142" t="str">
        <f t="shared" si="132"/>
        <v>{2,1,272000,272000}</v>
      </c>
      <c r="Y443" s="142"/>
      <c r="Z443" s="142" t="str">
        <f t="shared" si="133"/>
        <v>{5103001,1,20000,20000}</v>
      </c>
      <c r="AA443" s="142" t="str">
        <f t="shared" si="150"/>
        <v>{1,2,750,750}</v>
      </c>
      <c r="AD443" s="142" t="str">
        <f t="shared" si="134"/>
        <v>{50002,1,9000,11000}</v>
      </c>
      <c r="AE443" s="142" t="str">
        <f t="shared" si="149"/>
        <v>{30,1,11,14}</v>
      </c>
      <c r="AG443" s="142" t="str">
        <f t="shared" si="135"/>
        <v>{9,1,112,137}</v>
      </c>
      <c r="AH443" s="142" t="str">
        <f t="shared" si="136"/>
        <v>{2,1,272000,272000}</v>
      </c>
      <c r="AI443" s="142" t="str">
        <f t="shared" si="137"/>
        <v>{5103001,1,40000,40000}</v>
      </c>
      <c r="AJ443" s="142" t="str">
        <f t="shared" si="138"/>
        <v>{50002,1,6000,6000}</v>
      </c>
      <c r="AK443" s="142" t="str">
        <f t="shared" si="139"/>
        <v>{5203001,1,5000,5000}</v>
      </c>
      <c r="AL443" s="142" t="str">
        <f t="shared" si="140"/>
        <v>{21360,1,1000,1000}</v>
      </c>
      <c r="AM443" s="142" t="str">
        <f t="shared" si="141"/>
        <v>{5301000,1,900,1000}</v>
      </c>
      <c r="AO443" s="142" t="str">
        <f t="shared" si="142"/>
        <v>{5303001,1,1800,2200}</v>
      </c>
      <c r="AP443" s="142" t="s">
        <v>210</v>
      </c>
      <c r="AQ443" s="142"/>
    </row>
    <row r="444" spans="1:43">
      <c r="A444" s="143" t="str">
        <f t="shared" si="143"/>
        <v>[{2,1,273000,273000},{5103001,1,20000,20000}]</v>
      </c>
      <c r="B444" s="98">
        <f t="shared" si="144"/>
        <v>134</v>
      </c>
      <c r="C444" s="144">
        <v>273</v>
      </c>
      <c r="D444" s="145">
        <f t="shared" si="145"/>
        <v>273</v>
      </c>
      <c r="E444" s="145">
        <v>40</v>
      </c>
      <c r="F444" s="145">
        <v>20</v>
      </c>
      <c r="G444" s="146">
        <v>1</v>
      </c>
      <c r="H444" s="146">
        <v>6</v>
      </c>
      <c r="I444" s="146">
        <v>10</v>
      </c>
      <c r="J444" s="146">
        <v>5</v>
      </c>
      <c r="K444" s="146">
        <v>1</v>
      </c>
      <c r="L444" s="146">
        <v>1.5</v>
      </c>
      <c r="M444" s="145">
        <v>0.125</v>
      </c>
      <c r="N444" s="145">
        <v>0.5</v>
      </c>
      <c r="O444" s="145">
        <v>2</v>
      </c>
      <c r="P444" s="145">
        <v>0.013</v>
      </c>
      <c r="Q444" s="145">
        <f t="shared" si="129"/>
        <v>71.79</v>
      </c>
      <c r="R444" s="145">
        <f t="shared" si="130"/>
        <v>127.65</v>
      </c>
      <c r="S444" s="126">
        <f t="shared" si="146"/>
        <v>136.5</v>
      </c>
      <c r="T444" s="147">
        <f t="shared" si="131"/>
        <v>6.3825</v>
      </c>
      <c r="U444" s="142" t="str">
        <f t="shared" si="147"/>
        <v>[{2,1,273000,273000},{5103001,1,20000,20000},{1,2,750,750},{50002,1,9000,11000},{30,1,11,14},{9,1,112,137}]</v>
      </c>
      <c r="V444" s="142" t="str">
        <f t="shared" si="148"/>
        <v>[{2,1,273000,273000},{5103001,1,40000,40000},{50002,1,6000,6000},{5203001,1,5000,5000},{21360,1,1000,1000},{5301000,1,900,1000},{5303001,1,1800,2200},{11,1,400,600}]</v>
      </c>
      <c r="X444" s="142" t="str">
        <f t="shared" si="132"/>
        <v>{2,1,273000,273000}</v>
      </c>
      <c r="Y444" s="142"/>
      <c r="Z444" s="142" t="str">
        <f t="shared" si="133"/>
        <v>{5103001,1,20000,20000}</v>
      </c>
      <c r="AA444" s="142" t="str">
        <f t="shared" si="150"/>
        <v>{1,2,750,750}</v>
      </c>
      <c r="AD444" s="142" t="str">
        <f t="shared" si="134"/>
        <v>{50002,1,9000,11000}</v>
      </c>
      <c r="AE444" s="142" t="str">
        <f t="shared" si="149"/>
        <v>{30,1,11,14}</v>
      </c>
      <c r="AG444" s="142" t="str">
        <f t="shared" si="135"/>
        <v>{9,1,112,137}</v>
      </c>
      <c r="AH444" s="142" t="str">
        <f t="shared" si="136"/>
        <v>{2,1,273000,273000}</v>
      </c>
      <c r="AI444" s="142" t="str">
        <f t="shared" si="137"/>
        <v>{5103001,1,40000,40000}</v>
      </c>
      <c r="AJ444" s="142" t="str">
        <f t="shared" si="138"/>
        <v>{50002,1,6000,6000}</v>
      </c>
      <c r="AK444" s="142" t="str">
        <f t="shared" si="139"/>
        <v>{5203001,1,5000,5000}</v>
      </c>
      <c r="AL444" s="142" t="str">
        <f t="shared" si="140"/>
        <v>{21360,1,1000,1000}</v>
      </c>
      <c r="AM444" s="142" t="str">
        <f t="shared" si="141"/>
        <v>{5301000,1,900,1000}</v>
      </c>
      <c r="AO444" s="142" t="str">
        <f t="shared" si="142"/>
        <v>{5303001,1,1800,2200}</v>
      </c>
      <c r="AP444" s="142" t="s">
        <v>210</v>
      </c>
      <c r="AQ444" s="142"/>
    </row>
    <row r="445" spans="1:43">
      <c r="A445" s="143" t="str">
        <f t="shared" si="143"/>
        <v>[{2,1,274000,274000},{5103001,1,20000,20000}]</v>
      </c>
      <c r="B445" s="98">
        <f t="shared" si="144"/>
        <v>135</v>
      </c>
      <c r="C445" s="144">
        <v>274</v>
      </c>
      <c r="D445" s="145">
        <f t="shared" si="145"/>
        <v>274</v>
      </c>
      <c r="E445" s="145">
        <v>40</v>
      </c>
      <c r="F445" s="145">
        <v>20</v>
      </c>
      <c r="G445" s="146">
        <v>1</v>
      </c>
      <c r="H445" s="146">
        <v>6</v>
      </c>
      <c r="I445" s="146">
        <v>10</v>
      </c>
      <c r="J445" s="146">
        <v>5</v>
      </c>
      <c r="K445" s="146">
        <v>1</v>
      </c>
      <c r="L445" s="146">
        <v>1.5</v>
      </c>
      <c r="M445" s="145">
        <v>0.125</v>
      </c>
      <c r="N445" s="145">
        <v>0.5</v>
      </c>
      <c r="O445" s="145">
        <v>2</v>
      </c>
      <c r="P445" s="145">
        <v>0.013</v>
      </c>
      <c r="Q445" s="145">
        <f t="shared" si="129"/>
        <v>71.84</v>
      </c>
      <c r="R445" s="145">
        <f t="shared" si="130"/>
        <v>127.7</v>
      </c>
      <c r="S445" s="126">
        <f t="shared" si="146"/>
        <v>137</v>
      </c>
      <c r="T445" s="147">
        <f t="shared" si="131"/>
        <v>6.385</v>
      </c>
      <c r="U445" s="142" t="str">
        <f t="shared" si="147"/>
        <v>[{2,1,274000,274000},{5103001,1,20000,20000},{1,2,750,750},{50002,1,9000,11000},{30,1,11,14},{9,1,112,137}]</v>
      </c>
      <c r="V445" s="142" t="str">
        <f t="shared" si="148"/>
        <v>[{2,1,274000,274000},{5103001,1,40000,40000},{50002,1,6000,6000},{5203001,1,5000,5000},{21360,1,1000,1000},{5301000,1,900,1000},{5303001,1,1800,2200},{11,1,400,600}]</v>
      </c>
      <c r="X445" s="142" t="str">
        <f t="shared" si="132"/>
        <v>{2,1,274000,274000}</v>
      </c>
      <c r="Y445" s="142"/>
      <c r="Z445" s="142" t="str">
        <f t="shared" si="133"/>
        <v>{5103001,1,20000,20000}</v>
      </c>
      <c r="AA445" s="142" t="str">
        <f t="shared" si="150"/>
        <v>{1,2,750,750}</v>
      </c>
      <c r="AD445" s="142" t="str">
        <f t="shared" si="134"/>
        <v>{50002,1,9000,11000}</v>
      </c>
      <c r="AE445" s="142" t="str">
        <f t="shared" si="149"/>
        <v>{30,1,11,14}</v>
      </c>
      <c r="AG445" s="142" t="str">
        <f t="shared" si="135"/>
        <v>{9,1,112,137}</v>
      </c>
      <c r="AH445" s="142" t="str">
        <f t="shared" si="136"/>
        <v>{2,1,274000,274000}</v>
      </c>
      <c r="AI445" s="142" t="str">
        <f t="shared" si="137"/>
        <v>{5103001,1,40000,40000}</v>
      </c>
      <c r="AJ445" s="142" t="str">
        <f t="shared" si="138"/>
        <v>{50002,1,6000,6000}</v>
      </c>
      <c r="AK445" s="142" t="str">
        <f t="shared" si="139"/>
        <v>{5203001,1,5000,5000}</v>
      </c>
      <c r="AL445" s="142" t="str">
        <f t="shared" si="140"/>
        <v>{21360,1,1000,1000}</v>
      </c>
      <c r="AM445" s="142" t="str">
        <f t="shared" si="141"/>
        <v>{5301000,1,900,1000}</v>
      </c>
      <c r="AO445" s="142" t="str">
        <f t="shared" si="142"/>
        <v>{5303001,1,1800,2200}</v>
      </c>
      <c r="AP445" s="142" t="s">
        <v>210</v>
      </c>
      <c r="AQ445" s="142"/>
    </row>
    <row r="446" spans="1:43">
      <c r="A446" s="143" t="str">
        <f t="shared" si="143"/>
        <v>[{2,1,275000,275000},{5103001,1,20000,20000}]</v>
      </c>
      <c r="B446" s="98">
        <f t="shared" si="144"/>
        <v>136</v>
      </c>
      <c r="C446" s="144">
        <v>275</v>
      </c>
      <c r="D446" s="145">
        <f t="shared" si="145"/>
        <v>275</v>
      </c>
      <c r="E446" s="145">
        <v>40</v>
      </c>
      <c r="F446" s="145">
        <v>20</v>
      </c>
      <c r="G446" s="146">
        <v>1</v>
      </c>
      <c r="H446" s="146">
        <v>6</v>
      </c>
      <c r="I446" s="146">
        <v>10</v>
      </c>
      <c r="J446" s="146">
        <v>5</v>
      </c>
      <c r="K446" s="146">
        <v>1</v>
      </c>
      <c r="L446" s="146">
        <v>1.5</v>
      </c>
      <c r="M446" s="145">
        <v>0.125</v>
      </c>
      <c r="N446" s="145">
        <v>0.5</v>
      </c>
      <c r="O446" s="145">
        <v>2</v>
      </c>
      <c r="P446" s="145">
        <v>0.013</v>
      </c>
      <c r="Q446" s="145">
        <f t="shared" si="129"/>
        <v>71.89</v>
      </c>
      <c r="R446" s="145">
        <f t="shared" si="130"/>
        <v>127.75</v>
      </c>
      <c r="S446" s="126">
        <f t="shared" si="146"/>
        <v>137.5</v>
      </c>
      <c r="T446" s="147">
        <f t="shared" si="131"/>
        <v>6.3875</v>
      </c>
      <c r="U446" s="142" t="str">
        <f t="shared" si="147"/>
        <v>[{2,1,275000,275000},{5103001,1,20000,20000},{1,2,750,750},{50002,1,9000,11000},{30,1,11,14},{9,1,112,137}]</v>
      </c>
      <c r="V446" s="142" t="str">
        <f t="shared" si="148"/>
        <v>[{2,1,275000,275000},{5103001,1,40000,40000},{50002,1,6000,6000},{5203001,1,5000,5000},{21360,1,1000,1000},{5301000,1,900,1000},{5303001,1,1800,2200},{11,1,400,600}]</v>
      </c>
      <c r="X446" s="142" t="str">
        <f t="shared" si="132"/>
        <v>{2,1,275000,275000}</v>
      </c>
      <c r="Y446" s="142"/>
      <c r="Z446" s="142" t="str">
        <f t="shared" si="133"/>
        <v>{5103001,1,20000,20000}</v>
      </c>
      <c r="AA446" s="142" t="str">
        <f t="shared" si="150"/>
        <v>{1,2,750,750}</v>
      </c>
      <c r="AD446" s="142" t="str">
        <f t="shared" si="134"/>
        <v>{50002,1,9000,11000}</v>
      </c>
      <c r="AE446" s="142" t="str">
        <f t="shared" si="149"/>
        <v>{30,1,11,14}</v>
      </c>
      <c r="AG446" s="142" t="str">
        <f t="shared" si="135"/>
        <v>{9,1,112,137}</v>
      </c>
      <c r="AH446" s="142" t="str">
        <f t="shared" si="136"/>
        <v>{2,1,275000,275000}</v>
      </c>
      <c r="AI446" s="142" t="str">
        <f t="shared" si="137"/>
        <v>{5103001,1,40000,40000}</v>
      </c>
      <c r="AJ446" s="142" t="str">
        <f t="shared" si="138"/>
        <v>{50002,1,6000,6000}</v>
      </c>
      <c r="AK446" s="142" t="str">
        <f t="shared" si="139"/>
        <v>{5203001,1,5000,5000}</v>
      </c>
      <c r="AL446" s="142" t="str">
        <f t="shared" si="140"/>
        <v>{21360,1,1000,1000}</v>
      </c>
      <c r="AM446" s="142" t="str">
        <f t="shared" si="141"/>
        <v>{5301000,1,900,1000}</v>
      </c>
      <c r="AO446" s="142" t="str">
        <f t="shared" si="142"/>
        <v>{5303001,1,1800,2200}</v>
      </c>
      <c r="AP446" s="142" t="s">
        <v>210</v>
      </c>
      <c r="AQ446" s="142"/>
    </row>
    <row r="447" spans="1:43">
      <c r="A447" s="143" t="str">
        <f t="shared" si="143"/>
        <v>[{2,1,276000,276000},{5103001,1,20000,20000}]</v>
      </c>
      <c r="B447" s="98">
        <f t="shared" si="144"/>
        <v>137</v>
      </c>
      <c r="C447" s="144">
        <v>276</v>
      </c>
      <c r="D447" s="145">
        <f t="shared" si="145"/>
        <v>276</v>
      </c>
      <c r="E447" s="145">
        <v>40</v>
      </c>
      <c r="F447" s="145">
        <v>20</v>
      </c>
      <c r="G447" s="146">
        <v>1</v>
      </c>
      <c r="H447" s="146">
        <v>6</v>
      </c>
      <c r="I447" s="146">
        <v>10</v>
      </c>
      <c r="J447" s="146">
        <v>5</v>
      </c>
      <c r="K447" s="146">
        <v>1</v>
      </c>
      <c r="L447" s="146">
        <v>1.5</v>
      </c>
      <c r="M447" s="145">
        <v>0.125</v>
      </c>
      <c r="N447" s="145">
        <v>0.5</v>
      </c>
      <c r="O447" s="145">
        <v>2</v>
      </c>
      <c r="P447" s="145">
        <v>0.013</v>
      </c>
      <c r="Q447" s="145">
        <f t="shared" si="129"/>
        <v>71.94</v>
      </c>
      <c r="R447" s="145">
        <f t="shared" si="130"/>
        <v>127.8</v>
      </c>
      <c r="S447" s="126">
        <f t="shared" si="146"/>
        <v>138</v>
      </c>
      <c r="T447" s="147">
        <f t="shared" si="131"/>
        <v>6.39</v>
      </c>
      <c r="U447" s="142" t="str">
        <f t="shared" si="147"/>
        <v>[{2,1,276000,276000},{5103001,1,20000,20000},{1,2,750,750},{50002,1,9000,11000},{30,1,11,14},{9,1,112,137}]</v>
      </c>
      <c r="V447" s="142" t="str">
        <f t="shared" si="148"/>
        <v>[{2,1,276000,276000},{5103001,1,40000,40000},{50002,1,6000,6000},{5203001,1,5000,5000},{21360,1,1000,1000},{5301000,1,900,1000},{5303001,1,1800,2200},{11,1,400,600}]</v>
      </c>
      <c r="X447" s="142" t="str">
        <f t="shared" si="132"/>
        <v>{2,1,276000,276000}</v>
      </c>
      <c r="Y447" s="142"/>
      <c r="Z447" s="142" t="str">
        <f t="shared" si="133"/>
        <v>{5103001,1,20000,20000}</v>
      </c>
      <c r="AA447" s="142" t="str">
        <f t="shared" si="150"/>
        <v>{1,2,750,750}</v>
      </c>
      <c r="AD447" s="142" t="str">
        <f t="shared" si="134"/>
        <v>{50002,1,9000,11000}</v>
      </c>
      <c r="AE447" s="142" t="str">
        <f t="shared" si="149"/>
        <v>{30,1,11,14}</v>
      </c>
      <c r="AG447" s="142" t="str">
        <f t="shared" si="135"/>
        <v>{9,1,112,137}</v>
      </c>
      <c r="AH447" s="142" t="str">
        <f t="shared" si="136"/>
        <v>{2,1,276000,276000}</v>
      </c>
      <c r="AI447" s="142" t="str">
        <f t="shared" si="137"/>
        <v>{5103001,1,40000,40000}</v>
      </c>
      <c r="AJ447" s="142" t="str">
        <f t="shared" si="138"/>
        <v>{50002,1,6000,6000}</v>
      </c>
      <c r="AK447" s="142" t="str">
        <f t="shared" si="139"/>
        <v>{5203001,1,5000,5000}</v>
      </c>
      <c r="AL447" s="142" t="str">
        <f t="shared" si="140"/>
        <v>{21360,1,1000,1000}</v>
      </c>
      <c r="AM447" s="142" t="str">
        <f t="shared" si="141"/>
        <v>{5301000,1,900,1000}</v>
      </c>
      <c r="AO447" s="142" t="str">
        <f t="shared" si="142"/>
        <v>{5303001,1,1800,2200}</v>
      </c>
      <c r="AP447" s="142" t="s">
        <v>210</v>
      </c>
      <c r="AQ447" s="142"/>
    </row>
    <row r="448" spans="1:43">
      <c r="A448" s="143" t="str">
        <f t="shared" si="143"/>
        <v>[{2,1,277000,277000},{5103001,1,20000,20000}]</v>
      </c>
      <c r="B448" s="98">
        <f t="shared" si="144"/>
        <v>138</v>
      </c>
      <c r="C448" s="144">
        <v>277</v>
      </c>
      <c r="D448" s="145">
        <f t="shared" si="145"/>
        <v>277</v>
      </c>
      <c r="E448" s="145">
        <v>40</v>
      </c>
      <c r="F448" s="145">
        <v>20</v>
      </c>
      <c r="G448" s="146">
        <v>1</v>
      </c>
      <c r="H448" s="146">
        <v>6</v>
      </c>
      <c r="I448" s="146">
        <v>10</v>
      </c>
      <c r="J448" s="146">
        <v>5</v>
      </c>
      <c r="K448" s="146">
        <v>1</v>
      </c>
      <c r="L448" s="146">
        <v>1.5</v>
      </c>
      <c r="M448" s="145">
        <v>0.125</v>
      </c>
      <c r="N448" s="145">
        <v>0.5</v>
      </c>
      <c r="O448" s="145">
        <v>2</v>
      </c>
      <c r="P448" s="145">
        <v>0.013</v>
      </c>
      <c r="Q448" s="145">
        <f t="shared" si="129"/>
        <v>71.99</v>
      </c>
      <c r="R448" s="145">
        <f t="shared" si="130"/>
        <v>127.85</v>
      </c>
      <c r="S448" s="126">
        <f t="shared" si="146"/>
        <v>138.5</v>
      </c>
      <c r="T448" s="147">
        <f t="shared" si="131"/>
        <v>6.3925</v>
      </c>
      <c r="U448" s="142" t="str">
        <f t="shared" si="147"/>
        <v>[{2,1,277000,277000},{5103001,1,20000,20000},{1,2,750,750},{50002,1,9000,11000},{30,1,11,14},{9,1,112,137}]</v>
      </c>
      <c r="V448" s="142" t="str">
        <f t="shared" si="148"/>
        <v>[{2,1,277000,277000},{5103001,1,40000,40000},{50002,1,6000,6000},{5203001,1,5000,5000},{21360,1,1000,1000},{5301000,1,900,1000},{5303001,1,1800,2200},{11,1,400,600}]</v>
      </c>
      <c r="X448" s="142" t="str">
        <f t="shared" si="132"/>
        <v>{2,1,277000,277000}</v>
      </c>
      <c r="Y448" s="142"/>
      <c r="Z448" s="142" t="str">
        <f t="shared" si="133"/>
        <v>{5103001,1,20000,20000}</v>
      </c>
      <c r="AA448" s="142" t="str">
        <f t="shared" si="150"/>
        <v>{1,2,750,750}</v>
      </c>
      <c r="AD448" s="142" t="str">
        <f t="shared" si="134"/>
        <v>{50002,1,9000,11000}</v>
      </c>
      <c r="AE448" s="142" t="str">
        <f t="shared" si="149"/>
        <v>{30,1,11,14}</v>
      </c>
      <c r="AG448" s="142" t="str">
        <f t="shared" si="135"/>
        <v>{9,1,112,137}</v>
      </c>
      <c r="AH448" s="142" t="str">
        <f t="shared" si="136"/>
        <v>{2,1,277000,277000}</v>
      </c>
      <c r="AI448" s="142" t="str">
        <f t="shared" si="137"/>
        <v>{5103001,1,40000,40000}</v>
      </c>
      <c r="AJ448" s="142" t="str">
        <f t="shared" si="138"/>
        <v>{50002,1,6000,6000}</v>
      </c>
      <c r="AK448" s="142" t="str">
        <f t="shared" si="139"/>
        <v>{5203001,1,5000,5000}</v>
      </c>
      <c r="AL448" s="142" t="str">
        <f t="shared" si="140"/>
        <v>{21360,1,1000,1000}</v>
      </c>
      <c r="AM448" s="142" t="str">
        <f t="shared" si="141"/>
        <v>{5301000,1,900,1000}</v>
      </c>
      <c r="AO448" s="142" t="str">
        <f t="shared" si="142"/>
        <v>{5303001,1,1800,2200}</v>
      </c>
      <c r="AP448" s="142" t="s">
        <v>210</v>
      </c>
      <c r="AQ448" s="142"/>
    </row>
    <row r="449" spans="1:43">
      <c r="A449" s="143" t="str">
        <f t="shared" si="143"/>
        <v>[{2,1,278000,278000},{5103001,1,20000,20000}]</v>
      </c>
      <c r="B449" s="98">
        <f t="shared" si="144"/>
        <v>139</v>
      </c>
      <c r="C449" s="144">
        <v>278</v>
      </c>
      <c r="D449" s="145">
        <f t="shared" si="145"/>
        <v>278</v>
      </c>
      <c r="E449" s="145">
        <v>40</v>
      </c>
      <c r="F449" s="145">
        <v>20</v>
      </c>
      <c r="G449" s="146">
        <v>1</v>
      </c>
      <c r="H449" s="146">
        <v>6</v>
      </c>
      <c r="I449" s="146">
        <v>10</v>
      </c>
      <c r="J449" s="146">
        <v>5</v>
      </c>
      <c r="K449" s="146">
        <v>1</v>
      </c>
      <c r="L449" s="146">
        <v>1.5</v>
      </c>
      <c r="M449" s="145">
        <v>0.125</v>
      </c>
      <c r="N449" s="145">
        <v>0.5</v>
      </c>
      <c r="O449" s="145">
        <v>2</v>
      </c>
      <c r="P449" s="145">
        <v>0.013</v>
      </c>
      <c r="Q449" s="145">
        <f t="shared" si="129"/>
        <v>72.04</v>
      </c>
      <c r="R449" s="145">
        <f t="shared" si="130"/>
        <v>127.9</v>
      </c>
      <c r="S449" s="126">
        <f t="shared" si="146"/>
        <v>139</v>
      </c>
      <c r="T449" s="147">
        <f t="shared" si="131"/>
        <v>6.395</v>
      </c>
      <c r="U449" s="142" t="str">
        <f t="shared" si="147"/>
        <v>[{2,1,278000,278000},{5103001,1,20000,20000},{1,2,750,750},{50002,1,9000,11000},{30,1,11,14},{9,1,112,137}]</v>
      </c>
      <c r="V449" s="142" t="str">
        <f t="shared" si="148"/>
        <v>[{2,1,278000,278000},{5103001,1,40000,40000},{50002,1,6000,6000},{5203001,1,5000,5000},{21360,1,1000,1000},{5301000,1,900,1000},{5303001,1,1800,2200},{11,1,400,600}]</v>
      </c>
      <c r="X449" s="142" t="str">
        <f t="shared" si="132"/>
        <v>{2,1,278000,278000}</v>
      </c>
      <c r="Y449" s="142"/>
      <c r="Z449" s="142" t="str">
        <f t="shared" si="133"/>
        <v>{5103001,1,20000,20000}</v>
      </c>
      <c r="AA449" s="142" t="str">
        <f t="shared" si="150"/>
        <v>{1,2,750,750}</v>
      </c>
      <c r="AD449" s="142" t="str">
        <f t="shared" si="134"/>
        <v>{50002,1,9000,11000}</v>
      </c>
      <c r="AE449" s="142" t="str">
        <f t="shared" si="149"/>
        <v>{30,1,11,14}</v>
      </c>
      <c r="AG449" s="142" t="str">
        <f t="shared" si="135"/>
        <v>{9,1,112,137}</v>
      </c>
      <c r="AH449" s="142" t="str">
        <f t="shared" si="136"/>
        <v>{2,1,278000,278000}</v>
      </c>
      <c r="AI449" s="142" t="str">
        <f t="shared" si="137"/>
        <v>{5103001,1,40000,40000}</v>
      </c>
      <c r="AJ449" s="142" t="str">
        <f t="shared" si="138"/>
        <v>{50002,1,6000,6000}</v>
      </c>
      <c r="AK449" s="142" t="str">
        <f t="shared" si="139"/>
        <v>{5203001,1,5000,5000}</v>
      </c>
      <c r="AL449" s="142" t="str">
        <f t="shared" si="140"/>
        <v>{21360,1,1000,1000}</v>
      </c>
      <c r="AM449" s="142" t="str">
        <f t="shared" si="141"/>
        <v>{5301000,1,900,1000}</v>
      </c>
      <c r="AO449" s="142" t="str">
        <f t="shared" si="142"/>
        <v>{5303001,1,1800,2200}</v>
      </c>
      <c r="AP449" s="142" t="s">
        <v>210</v>
      </c>
      <c r="AQ449" s="142"/>
    </row>
    <row r="450" spans="1:43">
      <c r="A450" s="143" t="str">
        <f t="shared" si="143"/>
        <v>[{2,1,279000,279000},{5103001,1,20000,20000}]</v>
      </c>
      <c r="B450" s="98">
        <f t="shared" si="144"/>
        <v>140</v>
      </c>
      <c r="C450" s="144">
        <v>279</v>
      </c>
      <c r="D450" s="145">
        <f t="shared" si="145"/>
        <v>279</v>
      </c>
      <c r="E450" s="145">
        <v>40</v>
      </c>
      <c r="F450" s="145">
        <v>20</v>
      </c>
      <c r="G450" s="146">
        <v>1</v>
      </c>
      <c r="H450" s="146">
        <v>6</v>
      </c>
      <c r="I450" s="146">
        <v>10</v>
      </c>
      <c r="J450" s="146">
        <v>5</v>
      </c>
      <c r="K450" s="146">
        <v>1</v>
      </c>
      <c r="L450" s="146">
        <v>1.5</v>
      </c>
      <c r="M450" s="145">
        <v>0.125</v>
      </c>
      <c r="N450" s="145">
        <v>0.5</v>
      </c>
      <c r="O450" s="145">
        <v>2</v>
      </c>
      <c r="P450" s="145">
        <v>0.013</v>
      </c>
      <c r="Q450" s="145">
        <f t="shared" si="129"/>
        <v>72.09</v>
      </c>
      <c r="R450" s="145">
        <f t="shared" si="130"/>
        <v>127.95</v>
      </c>
      <c r="S450" s="126">
        <f t="shared" si="146"/>
        <v>139.5</v>
      </c>
      <c r="T450" s="147">
        <f t="shared" si="131"/>
        <v>6.3975</v>
      </c>
      <c r="U450" s="142" t="str">
        <f t="shared" si="147"/>
        <v>[{2,1,279000,279000},{5103001,1,20000,20000},{1,2,750,750},{50002,1,9000,11000},{30,1,11,14},{9,1,112,137}]</v>
      </c>
      <c r="V450" s="142" t="str">
        <f t="shared" si="148"/>
        <v>[{2,1,279000,279000},{5103001,1,40000,40000},{50002,1,6000,6000},{5203001,1,5000,5000},{21360,1,1000,1000},{5301000,1,900,1000},{5303001,1,1800,2200},{11,1,400,600}]</v>
      </c>
      <c r="X450" s="142" t="str">
        <f t="shared" si="132"/>
        <v>{2,1,279000,279000}</v>
      </c>
      <c r="Y450" s="142"/>
      <c r="Z450" s="142" t="str">
        <f t="shared" si="133"/>
        <v>{5103001,1,20000,20000}</v>
      </c>
      <c r="AA450" s="142" t="str">
        <f t="shared" si="150"/>
        <v>{1,2,750,750}</v>
      </c>
      <c r="AD450" s="142" t="str">
        <f t="shared" si="134"/>
        <v>{50002,1,9000,11000}</v>
      </c>
      <c r="AE450" s="142" t="str">
        <f t="shared" si="149"/>
        <v>{30,1,11,14}</v>
      </c>
      <c r="AG450" s="142" t="str">
        <f t="shared" si="135"/>
        <v>{9,1,112,137}</v>
      </c>
      <c r="AH450" s="142" t="str">
        <f t="shared" si="136"/>
        <v>{2,1,279000,279000}</v>
      </c>
      <c r="AI450" s="142" t="str">
        <f t="shared" si="137"/>
        <v>{5103001,1,40000,40000}</v>
      </c>
      <c r="AJ450" s="142" t="str">
        <f t="shared" si="138"/>
        <v>{50002,1,6000,6000}</v>
      </c>
      <c r="AK450" s="142" t="str">
        <f t="shared" si="139"/>
        <v>{5203001,1,5000,5000}</v>
      </c>
      <c r="AL450" s="142" t="str">
        <f t="shared" si="140"/>
        <v>{21360,1,1000,1000}</v>
      </c>
      <c r="AM450" s="142" t="str">
        <f t="shared" si="141"/>
        <v>{5301000,1,900,1000}</v>
      </c>
      <c r="AO450" s="142" t="str">
        <f t="shared" si="142"/>
        <v>{5303001,1,1800,2200}</v>
      </c>
      <c r="AP450" s="142" t="s">
        <v>210</v>
      </c>
      <c r="AQ450" s="142"/>
    </row>
    <row r="451" spans="1:43">
      <c r="A451" s="143" t="str">
        <f t="shared" si="143"/>
        <v>[{2,1,280000,280000},{5103001,1,20000,20000}]</v>
      </c>
      <c r="B451" s="98">
        <f t="shared" si="144"/>
        <v>141</v>
      </c>
      <c r="C451" s="144">
        <v>280</v>
      </c>
      <c r="D451" s="145">
        <f t="shared" si="145"/>
        <v>280</v>
      </c>
      <c r="E451" s="145">
        <v>40</v>
      </c>
      <c r="F451" s="145">
        <v>20</v>
      </c>
      <c r="G451" s="146">
        <v>1</v>
      </c>
      <c r="H451" s="146">
        <v>6</v>
      </c>
      <c r="I451" s="146">
        <v>10</v>
      </c>
      <c r="J451" s="146">
        <v>5</v>
      </c>
      <c r="K451" s="146">
        <v>1</v>
      </c>
      <c r="L451" s="146">
        <v>1.5</v>
      </c>
      <c r="M451" s="145">
        <v>0.125</v>
      </c>
      <c r="N451" s="145">
        <v>0.5</v>
      </c>
      <c r="O451" s="145">
        <v>2</v>
      </c>
      <c r="P451" s="145">
        <v>0.013</v>
      </c>
      <c r="Q451" s="145">
        <f t="shared" si="129"/>
        <v>72.14</v>
      </c>
      <c r="R451" s="145">
        <f t="shared" si="130"/>
        <v>128</v>
      </c>
      <c r="S451" s="126">
        <f t="shared" si="146"/>
        <v>140</v>
      </c>
      <c r="T451" s="147">
        <f t="shared" si="131"/>
        <v>6.4</v>
      </c>
      <c r="U451" s="142" t="str">
        <f t="shared" si="147"/>
        <v>[{2,1,280000,280000},{5103001,1,20000,20000},{1,2,750,750},{50002,1,9000,11000},{30,1,11,14},{9,1,112,137}]</v>
      </c>
      <c r="V451" s="142" t="str">
        <f t="shared" si="148"/>
        <v>[{2,1,280000,280000},{5103001,1,40000,40000},{50002,1,6000,6000},{5203001,1,5000,5000},{21360,1,1000,1000},{5301000,1,900,1000},{5303001,1,1800,2200},{11,1,400,600}]</v>
      </c>
      <c r="X451" s="142" t="str">
        <f t="shared" si="132"/>
        <v>{2,1,280000,280000}</v>
      </c>
      <c r="Y451" s="142"/>
      <c r="Z451" s="142" t="str">
        <f t="shared" si="133"/>
        <v>{5103001,1,20000,20000}</v>
      </c>
      <c r="AA451" s="142" t="str">
        <f t="shared" si="150"/>
        <v>{1,2,750,750}</v>
      </c>
      <c r="AD451" s="142" t="str">
        <f t="shared" si="134"/>
        <v>{50002,1,9000,11000}</v>
      </c>
      <c r="AE451" s="142" t="str">
        <f t="shared" si="149"/>
        <v>{30,1,11,14}</v>
      </c>
      <c r="AG451" s="142" t="str">
        <f t="shared" si="135"/>
        <v>{9,1,112,137}</v>
      </c>
      <c r="AH451" s="142" t="str">
        <f t="shared" si="136"/>
        <v>{2,1,280000,280000}</v>
      </c>
      <c r="AI451" s="142" t="str">
        <f t="shared" si="137"/>
        <v>{5103001,1,40000,40000}</v>
      </c>
      <c r="AJ451" s="142" t="str">
        <f t="shared" si="138"/>
        <v>{50002,1,6000,6000}</v>
      </c>
      <c r="AK451" s="142" t="str">
        <f t="shared" si="139"/>
        <v>{5203001,1,5000,5000}</v>
      </c>
      <c r="AL451" s="142" t="str">
        <f t="shared" si="140"/>
        <v>{21360,1,1000,1000}</v>
      </c>
      <c r="AM451" s="142" t="str">
        <f t="shared" si="141"/>
        <v>{5301000,1,900,1000}</v>
      </c>
      <c r="AO451" s="142" t="str">
        <f t="shared" si="142"/>
        <v>{5303001,1,1800,2200}</v>
      </c>
      <c r="AP451" s="142" t="s">
        <v>210</v>
      </c>
      <c r="AQ451" s="142"/>
    </row>
    <row r="452" spans="1:43">
      <c r="A452" s="143" t="str">
        <f t="shared" si="143"/>
        <v>[{2,1,281000,281000},{5103001,1,20000,20000}]</v>
      </c>
      <c r="B452" s="98">
        <f t="shared" si="144"/>
        <v>142</v>
      </c>
      <c r="C452" s="144">
        <v>281</v>
      </c>
      <c r="D452" s="145">
        <f t="shared" si="145"/>
        <v>281</v>
      </c>
      <c r="E452" s="145">
        <v>40</v>
      </c>
      <c r="F452" s="145">
        <v>20</v>
      </c>
      <c r="G452" s="146">
        <v>1</v>
      </c>
      <c r="H452" s="146">
        <v>6</v>
      </c>
      <c r="I452" s="146">
        <v>10</v>
      </c>
      <c r="J452" s="146">
        <v>5</v>
      </c>
      <c r="K452" s="146">
        <v>1</v>
      </c>
      <c r="L452" s="146">
        <v>1.5</v>
      </c>
      <c r="M452" s="145">
        <v>0.125</v>
      </c>
      <c r="N452" s="145">
        <v>0.5</v>
      </c>
      <c r="O452" s="145">
        <v>2</v>
      </c>
      <c r="P452" s="145">
        <v>0.013</v>
      </c>
      <c r="Q452" s="145">
        <f t="shared" si="129"/>
        <v>72.19</v>
      </c>
      <c r="R452" s="145">
        <f t="shared" si="130"/>
        <v>128.05</v>
      </c>
      <c r="S452" s="126">
        <f t="shared" si="146"/>
        <v>140.5</v>
      </c>
      <c r="T452" s="147">
        <f t="shared" si="131"/>
        <v>6.4025</v>
      </c>
      <c r="U452" s="142" t="str">
        <f t="shared" si="147"/>
        <v>[{2,1,281000,281000},{5103001,1,20000,20000},{1,2,750,750},{50002,1,9000,11000},{30,1,11,14},{9,1,112,137}]</v>
      </c>
      <c r="V452" s="142" t="str">
        <f t="shared" si="148"/>
        <v>[{2,1,281000,281000},{5103001,1,40000,40000},{50002,1,6000,6000},{5203001,1,5000,5000},{21360,1,1000,1000},{5301000,1,900,1000},{5303001,1,1800,2200},{11,1,400,600}]</v>
      </c>
      <c r="X452" s="142" t="str">
        <f t="shared" si="132"/>
        <v>{2,1,281000,281000}</v>
      </c>
      <c r="Y452" s="142"/>
      <c r="Z452" s="142" t="str">
        <f t="shared" si="133"/>
        <v>{5103001,1,20000,20000}</v>
      </c>
      <c r="AA452" s="142" t="str">
        <f t="shared" si="150"/>
        <v>{1,2,750,750}</v>
      </c>
      <c r="AD452" s="142" t="str">
        <f t="shared" si="134"/>
        <v>{50002,1,9000,11000}</v>
      </c>
      <c r="AE452" s="142" t="str">
        <f t="shared" si="149"/>
        <v>{30,1,11,14}</v>
      </c>
      <c r="AG452" s="142" t="str">
        <f t="shared" si="135"/>
        <v>{9,1,112,137}</v>
      </c>
      <c r="AH452" s="142" t="str">
        <f t="shared" si="136"/>
        <v>{2,1,281000,281000}</v>
      </c>
      <c r="AI452" s="142" t="str">
        <f t="shared" si="137"/>
        <v>{5103001,1,40000,40000}</v>
      </c>
      <c r="AJ452" s="142" t="str">
        <f t="shared" si="138"/>
        <v>{50002,1,6000,6000}</v>
      </c>
      <c r="AK452" s="142" t="str">
        <f t="shared" si="139"/>
        <v>{5203001,1,5000,5000}</v>
      </c>
      <c r="AL452" s="142" t="str">
        <f t="shared" si="140"/>
        <v>{21360,1,1000,1000}</v>
      </c>
      <c r="AM452" s="142" t="str">
        <f t="shared" si="141"/>
        <v>{5301000,1,900,1000}</v>
      </c>
      <c r="AO452" s="142" t="str">
        <f t="shared" si="142"/>
        <v>{5303001,1,1800,2200}</v>
      </c>
      <c r="AP452" s="142" t="s">
        <v>210</v>
      </c>
      <c r="AQ452" s="142"/>
    </row>
    <row r="453" spans="1:43">
      <c r="A453" s="143" t="str">
        <f t="shared" si="143"/>
        <v>[{2,1,282000,282000},{5103001,1,20000,20000}]</v>
      </c>
      <c r="B453" s="98">
        <f t="shared" si="144"/>
        <v>143</v>
      </c>
      <c r="C453" s="144">
        <v>282</v>
      </c>
      <c r="D453" s="145">
        <f t="shared" si="145"/>
        <v>282</v>
      </c>
      <c r="E453" s="145">
        <v>40</v>
      </c>
      <c r="F453" s="145">
        <v>20</v>
      </c>
      <c r="G453" s="146">
        <v>1</v>
      </c>
      <c r="H453" s="146">
        <v>6</v>
      </c>
      <c r="I453" s="146">
        <v>10</v>
      </c>
      <c r="J453" s="146">
        <v>5</v>
      </c>
      <c r="K453" s="146">
        <v>1</v>
      </c>
      <c r="L453" s="146">
        <v>1.5</v>
      </c>
      <c r="M453" s="145">
        <v>0.125</v>
      </c>
      <c r="N453" s="145">
        <v>0.5</v>
      </c>
      <c r="O453" s="145">
        <v>2</v>
      </c>
      <c r="P453" s="145">
        <v>0.013</v>
      </c>
      <c r="Q453" s="145">
        <f t="shared" si="129"/>
        <v>72.24</v>
      </c>
      <c r="R453" s="145">
        <f t="shared" si="130"/>
        <v>128.1</v>
      </c>
      <c r="S453" s="126">
        <f t="shared" si="146"/>
        <v>141</v>
      </c>
      <c r="T453" s="147">
        <f t="shared" si="131"/>
        <v>6.405</v>
      </c>
      <c r="U453" s="142" t="str">
        <f t="shared" si="147"/>
        <v>[{2,1,282000,282000},{5103001,1,20000,20000},{1,2,750,750},{50002,1,9000,11000},{30,1,11,14},{9,1,112,137}]</v>
      </c>
      <c r="V453" s="142" t="str">
        <f t="shared" si="148"/>
        <v>[{2,1,282000,282000},{5103001,1,40000,40000},{50002,1,6000,6000},{5203001,1,5000,5000},{21360,1,1000,1000},{5301000,1,900,1000},{5303001,1,1800,2200},{11,1,400,600}]</v>
      </c>
      <c r="X453" s="142" t="str">
        <f t="shared" si="132"/>
        <v>{2,1,282000,282000}</v>
      </c>
      <c r="Y453" s="142"/>
      <c r="Z453" s="142" t="str">
        <f t="shared" si="133"/>
        <v>{5103001,1,20000,20000}</v>
      </c>
      <c r="AA453" s="142" t="str">
        <f t="shared" si="150"/>
        <v>{1,2,750,750}</v>
      </c>
      <c r="AD453" s="142" t="str">
        <f t="shared" si="134"/>
        <v>{50002,1,9000,11000}</v>
      </c>
      <c r="AE453" s="142" t="str">
        <f t="shared" si="149"/>
        <v>{30,1,11,14}</v>
      </c>
      <c r="AG453" s="142" t="str">
        <f t="shared" si="135"/>
        <v>{9,1,112,137}</v>
      </c>
      <c r="AH453" s="142" t="str">
        <f t="shared" si="136"/>
        <v>{2,1,282000,282000}</v>
      </c>
      <c r="AI453" s="142" t="str">
        <f t="shared" si="137"/>
        <v>{5103001,1,40000,40000}</v>
      </c>
      <c r="AJ453" s="142" t="str">
        <f t="shared" si="138"/>
        <v>{50002,1,6000,6000}</v>
      </c>
      <c r="AK453" s="142" t="str">
        <f t="shared" si="139"/>
        <v>{5203001,1,5000,5000}</v>
      </c>
      <c r="AL453" s="142" t="str">
        <f t="shared" si="140"/>
        <v>{21360,1,1000,1000}</v>
      </c>
      <c r="AM453" s="142" t="str">
        <f t="shared" si="141"/>
        <v>{5301000,1,900,1000}</v>
      </c>
      <c r="AO453" s="142" t="str">
        <f t="shared" si="142"/>
        <v>{5303001,1,1800,2200}</v>
      </c>
      <c r="AP453" s="142" t="s">
        <v>210</v>
      </c>
      <c r="AQ453" s="142"/>
    </row>
    <row r="454" spans="1:43">
      <c r="A454" s="143" t="str">
        <f t="shared" si="143"/>
        <v>[{2,1,283000,283000},{5103001,1,20000,20000}]</v>
      </c>
      <c r="B454" s="98">
        <f t="shared" si="144"/>
        <v>144</v>
      </c>
      <c r="C454" s="144">
        <v>283</v>
      </c>
      <c r="D454" s="145">
        <f t="shared" si="145"/>
        <v>283</v>
      </c>
      <c r="E454" s="145">
        <v>40</v>
      </c>
      <c r="F454" s="145">
        <v>20</v>
      </c>
      <c r="G454" s="146">
        <v>1</v>
      </c>
      <c r="H454" s="146">
        <v>6</v>
      </c>
      <c r="I454" s="146">
        <v>10</v>
      </c>
      <c r="J454" s="146">
        <v>5</v>
      </c>
      <c r="K454" s="146">
        <v>1</v>
      </c>
      <c r="L454" s="146">
        <v>1.5</v>
      </c>
      <c r="M454" s="145">
        <v>0.125</v>
      </c>
      <c r="N454" s="145">
        <v>0.5</v>
      </c>
      <c r="O454" s="145">
        <v>2</v>
      </c>
      <c r="P454" s="145">
        <v>0.013</v>
      </c>
      <c r="Q454" s="145">
        <f t="shared" si="129"/>
        <v>72.29</v>
      </c>
      <c r="R454" s="145">
        <f t="shared" si="130"/>
        <v>128.15</v>
      </c>
      <c r="S454" s="126">
        <f t="shared" si="146"/>
        <v>141.5</v>
      </c>
      <c r="T454" s="147">
        <f t="shared" si="131"/>
        <v>6.4075</v>
      </c>
      <c r="U454" s="142" t="str">
        <f t="shared" si="147"/>
        <v>[{2,1,283000,283000},{5103001,1,20000,20000},{1,2,750,750},{50002,1,9000,11000},{30,1,11,14},{9,1,112,137}]</v>
      </c>
      <c r="V454" s="142" t="str">
        <f t="shared" si="148"/>
        <v>[{2,1,283000,283000},{5103001,1,40000,40000},{50002,1,6000,6000},{5203001,1,5000,5000},{21360,1,1000,1000},{5301000,1,900,1000},{5303001,1,1800,2200},{11,1,400,600}]</v>
      </c>
      <c r="X454" s="142" t="str">
        <f t="shared" si="132"/>
        <v>{2,1,283000,283000}</v>
      </c>
      <c r="Y454" s="142"/>
      <c r="Z454" s="142" t="str">
        <f t="shared" si="133"/>
        <v>{5103001,1,20000,20000}</v>
      </c>
      <c r="AA454" s="142" t="str">
        <f t="shared" si="150"/>
        <v>{1,2,750,750}</v>
      </c>
      <c r="AD454" s="142" t="str">
        <f t="shared" si="134"/>
        <v>{50002,1,9000,11000}</v>
      </c>
      <c r="AE454" s="142" t="str">
        <f t="shared" si="149"/>
        <v>{30,1,11,14}</v>
      </c>
      <c r="AG454" s="142" t="str">
        <f t="shared" si="135"/>
        <v>{9,1,112,137}</v>
      </c>
      <c r="AH454" s="142" t="str">
        <f t="shared" si="136"/>
        <v>{2,1,283000,283000}</v>
      </c>
      <c r="AI454" s="142" t="str">
        <f t="shared" si="137"/>
        <v>{5103001,1,40000,40000}</v>
      </c>
      <c r="AJ454" s="142" t="str">
        <f t="shared" si="138"/>
        <v>{50002,1,6000,6000}</v>
      </c>
      <c r="AK454" s="142" t="str">
        <f t="shared" si="139"/>
        <v>{5203001,1,5000,5000}</v>
      </c>
      <c r="AL454" s="142" t="str">
        <f t="shared" si="140"/>
        <v>{21360,1,1000,1000}</v>
      </c>
      <c r="AM454" s="142" t="str">
        <f t="shared" si="141"/>
        <v>{5301000,1,900,1000}</v>
      </c>
      <c r="AO454" s="142" t="str">
        <f t="shared" si="142"/>
        <v>{5303001,1,1800,2200}</v>
      </c>
      <c r="AP454" s="142" t="s">
        <v>210</v>
      </c>
      <c r="AQ454" s="142"/>
    </row>
    <row r="455" spans="1:43">
      <c r="A455" s="143" t="str">
        <f t="shared" si="143"/>
        <v>[{2,1,284000,284000},{5103001,1,20000,20000}]</v>
      </c>
      <c r="B455" s="98">
        <f t="shared" si="144"/>
        <v>145</v>
      </c>
      <c r="C455" s="144">
        <v>284</v>
      </c>
      <c r="D455" s="145">
        <f t="shared" si="145"/>
        <v>284</v>
      </c>
      <c r="E455" s="145">
        <v>40</v>
      </c>
      <c r="F455" s="145">
        <v>20</v>
      </c>
      <c r="G455" s="146">
        <v>1</v>
      </c>
      <c r="H455" s="146">
        <v>6</v>
      </c>
      <c r="I455" s="146">
        <v>10</v>
      </c>
      <c r="J455" s="146">
        <v>5</v>
      </c>
      <c r="K455" s="146">
        <v>1</v>
      </c>
      <c r="L455" s="146">
        <v>1.5</v>
      </c>
      <c r="M455" s="145">
        <v>0.125</v>
      </c>
      <c r="N455" s="145">
        <v>0.5</v>
      </c>
      <c r="O455" s="145">
        <v>2</v>
      </c>
      <c r="P455" s="145">
        <v>0.013</v>
      </c>
      <c r="Q455" s="145">
        <f t="shared" si="129"/>
        <v>72.34</v>
      </c>
      <c r="R455" s="145">
        <f t="shared" si="130"/>
        <v>128.2</v>
      </c>
      <c r="S455" s="126">
        <f t="shared" si="146"/>
        <v>142</v>
      </c>
      <c r="T455" s="147">
        <f t="shared" si="131"/>
        <v>6.41</v>
      </c>
      <c r="U455" s="142" t="str">
        <f t="shared" si="147"/>
        <v>[{2,1,284000,284000},{5103001,1,20000,20000},{1,2,750,750},{50002,1,9000,11000},{30,1,11,14},{9,1,112,137}]</v>
      </c>
      <c r="V455" s="142" t="str">
        <f t="shared" si="148"/>
        <v>[{2,1,284000,284000},{5103001,1,40000,40000},{50002,1,6000,6000},{5203001,1,5000,5000},{21360,1,1000,1000},{5301000,1,900,1000},{5303001,1,1800,2200},{11,1,400,600}]</v>
      </c>
      <c r="X455" s="142" t="str">
        <f t="shared" si="132"/>
        <v>{2,1,284000,284000}</v>
      </c>
      <c r="Y455" s="142"/>
      <c r="Z455" s="142" t="str">
        <f t="shared" si="133"/>
        <v>{5103001,1,20000,20000}</v>
      </c>
      <c r="AA455" s="142" t="str">
        <f t="shared" si="150"/>
        <v>{1,2,750,750}</v>
      </c>
      <c r="AD455" s="142" t="str">
        <f t="shared" si="134"/>
        <v>{50002,1,9000,11000}</v>
      </c>
      <c r="AE455" s="142" t="str">
        <f t="shared" si="149"/>
        <v>{30,1,11,14}</v>
      </c>
      <c r="AG455" s="142" t="str">
        <f t="shared" si="135"/>
        <v>{9,1,112,137}</v>
      </c>
      <c r="AH455" s="142" t="str">
        <f t="shared" si="136"/>
        <v>{2,1,284000,284000}</v>
      </c>
      <c r="AI455" s="142" t="str">
        <f t="shared" si="137"/>
        <v>{5103001,1,40000,40000}</v>
      </c>
      <c r="AJ455" s="142" t="str">
        <f t="shared" si="138"/>
        <v>{50002,1,6000,6000}</v>
      </c>
      <c r="AK455" s="142" t="str">
        <f t="shared" si="139"/>
        <v>{5203001,1,5000,5000}</v>
      </c>
      <c r="AL455" s="142" t="str">
        <f t="shared" si="140"/>
        <v>{21360,1,1000,1000}</v>
      </c>
      <c r="AM455" s="142" t="str">
        <f t="shared" si="141"/>
        <v>{5301000,1,900,1000}</v>
      </c>
      <c r="AO455" s="142" t="str">
        <f t="shared" si="142"/>
        <v>{5303001,1,1800,2200}</v>
      </c>
      <c r="AP455" s="142" t="s">
        <v>210</v>
      </c>
      <c r="AQ455" s="142"/>
    </row>
    <row r="456" spans="1:43">
      <c r="A456" s="143" t="str">
        <f t="shared" si="143"/>
        <v>[{2,1,285000,285000},{5103001,1,20000,20000}]</v>
      </c>
      <c r="B456" s="98">
        <f t="shared" si="144"/>
        <v>146</v>
      </c>
      <c r="C456" s="144">
        <v>285</v>
      </c>
      <c r="D456" s="145">
        <f t="shared" si="145"/>
        <v>285</v>
      </c>
      <c r="E456" s="145">
        <v>40</v>
      </c>
      <c r="F456" s="145">
        <v>20</v>
      </c>
      <c r="G456" s="146">
        <v>1</v>
      </c>
      <c r="H456" s="146">
        <v>6</v>
      </c>
      <c r="I456" s="146">
        <v>10</v>
      </c>
      <c r="J456" s="146">
        <v>5</v>
      </c>
      <c r="K456" s="146">
        <v>1</v>
      </c>
      <c r="L456" s="146">
        <v>1.5</v>
      </c>
      <c r="M456" s="145">
        <v>0.125</v>
      </c>
      <c r="N456" s="145">
        <v>0.5</v>
      </c>
      <c r="O456" s="145">
        <v>2</v>
      </c>
      <c r="P456" s="145">
        <v>0.013</v>
      </c>
      <c r="Q456" s="145">
        <f t="shared" si="129"/>
        <v>72.39</v>
      </c>
      <c r="R456" s="145">
        <f t="shared" si="130"/>
        <v>128.25</v>
      </c>
      <c r="S456" s="126">
        <f t="shared" si="146"/>
        <v>142.5</v>
      </c>
      <c r="T456" s="147">
        <f t="shared" si="131"/>
        <v>6.4125</v>
      </c>
      <c r="U456" s="142" t="str">
        <f t="shared" si="147"/>
        <v>[{2,1,285000,285000},{5103001,1,20000,20000},{1,2,750,750},{50002,1,9000,11000},{30,1,11,14},{9,1,112,137}]</v>
      </c>
      <c r="V456" s="142" t="str">
        <f t="shared" si="148"/>
        <v>[{2,1,285000,285000},{5103001,1,40000,40000},{50002,1,6000,6000},{5203001,1,5000,5000},{21360,1,1000,1000},{5301000,1,900,1000},{5303001,1,1800,2200},{11,1,400,600}]</v>
      </c>
      <c r="X456" s="142" t="str">
        <f t="shared" si="132"/>
        <v>{2,1,285000,285000}</v>
      </c>
      <c r="Y456" s="142"/>
      <c r="Z456" s="142" t="str">
        <f t="shared" si="133"/>
        <v>{5103001,1,20000,20000}</v>
      </c>
      <c r="AA456" s="142" t="str">
        <f t="shared" si="150"/>
        <v>{1,2,750,750}</v>
      </c>
      <c r="AD456" s="142" t="str">
        <f t="shared" si="134"/>
        <v>{50002,1,9000,11000}</v>
      </c>
      <c r="AE456" s="142" t="str">
        <f t="shared" si="149"/>
        <v>{30,1,11,14}</v>
      </c>
      <c r="AG456" s="142" t="str">
        <f t="shared" si="135"/>
        <v>{9,1,112,137}</v>
      </c>
      <c r="AH456" s="142" t="str">
        <f t="shared" si="136"/>
        <v>{2,1,285000,285000}</v>
      </c>
      <c r="AI456" s="142" t="str">
        <f t="shared" si="137"/>
        <v>{5103001,1,40000,40000}</v>
      </c>
      <c r="AJ456" s="142" t="str">
        <f t="shared" si="138"/>
        <v>{50002,1,6000,6000}</v>
      </c>
      <c r="AK456" s="142" t="str">
        <f t="shared" si="139"/>
        <v>{5203001,1,5000,5000}</v>
      </c>
      <c r="AL456" s="142" t="str">
        <f t="shared" si="140"/>
        <v>{21360,1,1000,1000}</v>
      </c>
      <c r="AM456" s="142" t="str">
        <f t="shared" si="141"/>
        <v>{5301000,1,900,1000}</v>
      </c>
      <c r="AO456" s="142" t="str">
        <f t="shared" si="142"/>
        <v>{5303001,1,1800,2200}</v>
      </c>
      <c r="AP456" s="142" t="s">
        <v>210</v>
      </c>
      <c r="AQ456" s="142"/>
    </row>
    <row r="457" spans="1:43">
      <c r="A457" s="143" t="str">
        <f t="shared" si="143"/>
        <v>[{2,1,286000,286000},{5103001,1,20000,20000}]</v>
      </c>
      <c r="B457" s="98">
        <f t="shared" si="144"/>
        <v>147</v>
      </c>
      <c r="C457" s="144">
        <v>286</v>
      </c>
      <c r="D457" s="145">
        <f t="shared" si="145"/>
        <v>286</v>
      </c>
      <c r="E457" s="145">
        <v>40</v>
      </c>
      <c r="F457" s="145">
        <v>20</v>
      </c>
      <c r="G457" s="146">
        <v>1</v>
      </c>
      <c r="H457" s="146">
        <v>6</v>
      </c>
      <c r="I457" s="146">
        <v>10</v>
      </c>
      <c r="J457" s="146">
        <v>5</v>
      </c>
      <c r="K457" s="146">
        <v>1</v>
      </c>
      <c r="L457" s="146">
        <v>1.5</v>
      </c>
      <c r="M457" s="145">
        <v>0.125</v>
      </c>
      <c r="N457" s="145">
        <v>0.5</v>
      </c>
      <c r="O457" s="145">
        <v>2</v>
      </c>
      <c r="P457" s="145">
        <v>0.013</v>
      </c>
      <c r="Q457" s="145">
        <f t="shared" si="129"/>
        <v>72.44</v>
      </c>
      <c r="R457" s="145">
        <f t="shared" si="130"/>
        <v>128.3</v>
      </c>
      <c r="S457" s="126">
        <f t="shared" si="146"/>
        <v>143</v>
      </c>
      <c r="T457" s="147">
        <f t="shared" si="131"/>
        <v>6.415</v>
      </c>
      <c r="U457" s="142" t="str">
        <f t="shared" si="147"/>
        <v>[{2,1,286000,286000},{5103001,1,20000,20000},{1,2,750,750},{50002,1,9000,11000},{30,1,11,14},{9,1,112,137}]</v>
      </c>
      <c r="V457" s="142" t="str">
        <f t="shared" si="148"/>
        <v>[{2,1,286000,286000},{5103001,1,40000,40000},{50002,1,6000,6000},{5203001,1,5000,5000},{21360,1,1000,1000},{5301000,1,900,1000},{5303001,1,1800,2200},{11,1,400,600}]</v>
      </c>
      <c r="X457" s="142" t="str">
        <f t="shared" si="132"/>
        <v>{2,1,286000,286000}</v>
      </c>
      <c r="Y457" s="142"/>
      <c r="Z457" s="142" t="str">
        <f t="shared" si="133"/>
        <v>{5103001,1,20000,20000}</v>
      </c>
      <c r="AA457" s="142" t="str">
        <f t="shared" si="150"/>
        <v>{1,2,750,750}</v>
      </c>
      <c r="AD457" s="142" t="str">
        <f t="shared" si="134"/>
        <v>{50002,1,9000,11000}</v>
      </c>
      <c r="AE457" s="142" t="str">
        <f t="shared" si="149"/>
        <v>{30,1,11,14}</v>
      </c>
      <c r="AG457" s="142" t="str">
        <f t="shared" si="135"/>
        <v>{9,1,112,137}</v>
      </c>
      <c r="AH457" s="142" t="str">
        <f t="shared" si="136"/>
        <v>{2,1,286000,286000}</v>
      </c>
      <c r="AI457" s="142" t="str">
        <f t="shared" si="137"/>
        <v>{5103001,1,40000,40000}</v>
      </c>
      <c r="AJ457" s="142" t="str">
        <f t="shared" si="138"/>
        <v>{50002,1,6000,6000}</v>
      </c>
      <c r="AK457" s="142" t="str">
        <f t="shared" si="139"/>
        <v>{5203001,1,5000,5000}</v>
      </c>
      <c r="AL457" s="142" t="str">
        <f t="shared" si="140"/>
        <v>{21360,1,1000,1000}</v>
      </c>
      <c r="AM457" s="142" t="str">
        <f t="shared" si="141"/>
        <v>{5301000,1,900,1000}</v>
      </c>
      <c r="AO457" s="142" t="str">
        <f t="shared" si="142"/>
        <v>{5303001,1,1800,2200}</v>
      </c>
      <c r="AP457" s="142" t="s">
        <v>210</v>
      </c>
      <c r="AQ457" s="142"/>
    </row>
    <row r="458" spans="1:43">
      <c r="A458" s="143" t="str">
        <f t="shared" si="143"/>
        <v>[{2,1,287000,287000},{5103001,1,20000,20000}]</v>
      </c>
      <c r="B458" s="98">
        <f t="shared" si="144"/>
        <v>148</v>
      </c>
      <c r="C458" s="144">
        <v>287</v>
      </c>
      <c r="D458" s="145">
        <f t="shared" si="145"/>
        <v>287</v>
      </c>
      <c r="E458" s="145">
        <v>40</v>
      </c>
      <c r="F458" s="145">
        <v>20</v>
      </c>
      <c r="G458" s="146">
        <v>1</v>
      </c>
      <c r="H458" s="146">
        <v>6</v>
      </c>
      <c r="I458" s="146">
        <v>10</v>
      </c>
      <c r="J458" s="146">
        <v>5</v>
      </c>
      <c r="K458" s="146">
        <v>1</v>
      </c>
      <c r="L458" s="146">
        <v>1.5</v>
      </c>
      <c r="M458" s="145">
        <v>0.125</v>
      </c>
      <c r="N458" s="145">
        <v>0.5</v>
      </c>
      <c r="O458" s="145">
        <v>2</v>
      </c>
      <c r="P458" s="145">
        <v>0.013</v>
      </c>
      <c r="Q458" s="145">
        <f t="shared" si="129"/>
        <v>72.49</v>
      </c>
      <c r="R458" s="145">
        <f t="shared" si="130"/>
        <v>128.35</v>
      </c>
      <c r="S458" s="126">
        <f t="shared" si="146"/>
        <v>143.5</v>
      </c>
      <c r="T458" s="147">
        <f t="shared" si="131"/>
        <v>6.4175</v>
      </c>
      <c r="U458" s="142" t="str">
        <f t="shared" si="147"/>
        <v>[{2,1,287000,287000},{5103001,1,20000,20000},{1,2,750,750},{50002,1,9000,11000},{30,1,11,14},{9,1,112,137}]</v>
      </c>
      <c r="V458" s="142" t="str">
        <f t="shared" si="148"/>
        <v>[{2,1,287000,287000},{5103001,1,40000,40000},{50002,1,6000,6000},{5203001,1,5000,5000},{21360,1,1000,1000},{5301000,1,900,1000},{5303001,1,1800,2200},{11,1,400,600}]</v>
      </c>
      <c r="X458" s="142" t="str">
        <f t="shared" si="132"/>
        <v>{2,1,287000,287000}</v>
      </c>
      <c r="Y458" s="142"/>
      <c r="Z458" s="142" t="str">
        <f t="shared" si="133"/>
        <v>{5103001,1,20000,20000}</v>
      </c>
      <c r="AA458" s="142" t="str">
        <f t="shared" si="150"/>
        <v>{1,2,750,750}</v>
      </c>
      <c r="AD458" s="142" t="str">
        <f t="shared" si="134"/>
        <v>{50002,1,9000,11000}</v>
      </c>
      <c r="AE458" s="142" t="str">
        <f t="shared" si="149"/>
        <v>{30,1,11,14}</v>
      </c>
      <c r="AG458" s="142" t="str">
        <f t="shared" si="135"/>
        <v>{9,1,112,137}</v>
      </c>
      <c r="AH458" s="142" t="str">
        <f t="shared" si="136"/>
        <v>{2,1,287000,287000}</v>
      </c>
      <c r="AI458" s="142" t="str">
        <f t="shared" si="137"/>
        <v>{5103001,1,40000,40000}</v>
      </c>
      <c r="AJ458" s="142" t="str">
        <f t="shared" si="138"/>
        <v>{50002,1,6000,6000}</v>
      </c>
      <c r="AK458" s="142" t="str">
        <f t="shared" si="139"/>
        <v>{5203001,1,5000,5000}</v>
      </c>
      <c r="AL458" s="142" t="str">
        <f t="shared" si="140"/>
        <v>{21360,1,1000,1000}</v>
      </c>
      <c r="AM458" s="142" t="str">
        <f t="shared" si="141"/>
        <v>{5301000,1,900,1000}</v>
      </c>
      <c r="AO458" s="142" t="str">
        <f t="shared" si="142"/>
        <v>{5303001,1,1800,2200}</v>
      </c>
      <c r="AP458" s="142" t="s">
        <v>210</v>
      </c>
      <c r="AQ458" s="142"/>
    </row>
    <row r="459" spans="1:43">
      <c r="A459" s="143" t="str">
        <f t="shared" si="143"/>
        <v>[{2,1,288000,288000},{5103001,1,20000,20000}]</v>
      </c>
      <c r="B459" s="98">
        <f t="shared" si="144"/>
        <v>149</v>
      </c>
      <c r="C459" s="144">
        <v>288</v>
      </c>
      <c r="D459" s="145">
        <f t="shared" si="145"/>
        <v>288</v>
      </c>
      <c r="E459" s="145">
        <v>40</v>
      </c>
      <c r="F459" s="145">
        <v>20</v>
      </c>
      <c r="G459" s="146">
        <v>1</v>
      </c>
      <c r="H459" s="146">
        <v>6</v>
      </c>
      <c r="I459" s="146">
        <v>10</v>
      </c>
      <c r="J459" s="146">
        <v>5</v>
      </c>
      <c r="K459" s="146">
        <v>1</v>
      </c>
      <c r="L459" s="146">
        <v>1.5</v>
      </c>
      <c r="M459" s="145">
        <v>0.125</v>
      </c>
      <c r="N459" s="145">
        <v>0.5</v>
      </c>
      <c r="O459" s="145">
        <v>2</v>
      </c>
      <c r="P459" s="145">
        <v>0.013</v>
      </c>
      <c r="Q459" s="145">
        <f t="shared" si="129"/>
        <v>72.54</v>
      </c>
      <c r="R459" s="145">
        <f t="shared" si="130"/>
        <v>128.4</v>
      </c>
      <c r="S459" s="126">
        <f t="shared" si="146"/>
        <v>144</v>
      </c>
      <c r="T459" s="147">
        <f t="shared" si="131"/>
        <v>6.42</v>
      </c>
      <c r="U459" s="142" t="str">
        <f t="shared" si="147"/>
        <v>[{2,1,288000,288000},{5103001,1,20000,20000},{1,2,750,750},{50002,1,9000,11000},{30,1,11,14},{9,1,112,137}]</v>
      </c>
      <c r="V459" s="142" t="str">
        <f t="shared" si="148"/>
        <v>[{2,1,288000,288000},{5103001,1,40000,40000},{50002,1,6000,6000},{5203001,1,5000,5000},{21360,1,1000,1000},{5301000,1,900,1000},{5303001,1,1800,2200},{11,1,400,600}]</v>
      </c>
      <c r="X459" s="142" t="str">
        <f t="shared" si="132"/>
        <v>{2,1,288000,288000}</v>
      </c>
      <c r="Y459" s="142"/>
      <c r="Z459" s="142" t="str">
        <f t="shared" si="133"/>
        <v>{5103001,1,20000,20000}</v>
      </c>
      <c r="AA459" s="142" t="str">
        <f t="shared" si="150"/>
        <v>{1,2,750,750}</v>
      </c>
      <c r="AD459" s="142" t="str">
        <f t="shared" si="134"/>
        <v>{50002,1,9000,11000}</v>
      </c>
      <c r="AE459" s="142" t="str">
        <f t="shared" si="149"/>
        <v>{30,1,11,14}</v>
      </c>
      <c r="AG459" s="142" t="str">
        <f t="shared" si="135"/>
        <v>{9,1,112,137}</v>
      </c>
      <c r="AH459" s="142" t="str">
        <f t="shared" si="136"/>
        <v>{2,1,288000,288000}</v>
      </c>
      <c r="AI459" s="142" t="str">
        <f t="shared" si="137"/>
        <v>{5103001,1,40000,40000}</v>
      </c>
      <c r="AJ459" s="142" t="str">
        <f t="shared" si="138"/>
        <v>{50002,1,6000,6000}</v>
      </c>
      <c r="AK459" s="142" t="str">
        <f t="shared" si="139"/>
        <v>{5203001,1,5000,5000}</v>
      </c>
      <c r="AL459" s="142" t="str">
        <f t="shared" si="140"/>
        <v>{21360,1,1000,1000}</v>
      </c>
      <c r="AM459" s="142" t="str">
        <f t="shared" si="141"/>
        <v>{5301000,1,900,1000}</v>
      </c>
      <c r="AO459" s="142" t="str">
        <f t="shared" si="142"/>
        <v>{5303001,1,1800,2200}</v>
      </c>
      <c r="AP459" s="142" t="s">
        <v>210</v>
      </c>
      <c r="AQ459" s="142"/>
    </row>
    <row r="460" spans="1:43">
      <c r="A460" s="143" t="str">
        <f t="shared" si="143"/>
        <v>[{2,1,289000,289000},{5103001,1,20000,20000}]</v>
      </c>
      <c r="B460" s="98">
        <f t="shared" si="144"/>
        <v>150</v>
      </c>
      <c r="C460" s="144">
        <v>289</v>
      </c>
      <c r="D460" s="145">
        <f t="shared" si="145"/>
        <v>289</v>
      </c>
      <c r="E460" s="145">
        <v>40</v>
      </c>
      <c r="F460" s="145">
        <v>20</v>
      </c>
      <c r="G460" s="146">
        <v>1</v>
      </c>
      <c r="H460" s="146">
        <v>6</v>
      </c>
      <c r="I460" s="146">
        <v>10</v>
      </c>
      <c r="J460" s="146">
        <v>5</v>
      </c>
      <c r="K460" s="146">
        <v>1</v>
      </c>
      <c r="L460" s="146">
        <v>1.5</v>
      </c>
      <c r="M460" s="145">
        <v>0.125</v>
      </c>
      <c r="N460" s="145">
        <v>0.5</v>
      </c>
      <c r="O460" s="145">
        <v>2</v>
      </c>
      <c r="P460" s="145">
        <v>0.013</v>
      </c>
      <c r="Q460" s="145">
        <f t="shared" si="129"/>
        <v>72.59</v>
      </c>
      <c r="R460" s="145">
        <f t="shared" si="130"/>
        <v>128.45</v>
      </c>
      <c r="S460" s="126">
        <f t="shared" si="146"/>
        <v>144.5</v>
      </c>
      <c r="T460" s="147">
        <f t="shared" si="131"/>
        <v>6.4225</v>
      </c>
      <c r="U460" s="142" t="str">
        <f t="shared" si="147"/>
        <v>[{2,1,289000,289000},{5103001,1,20000,20000},{1,2,750,750},{50002,1,9000,11000},{30,1,11,14},{9,1,112,137}]</v>
      </c>
      <c r="V460" s="142" t="str">
        <f t="shared" si="148"/>
        <v>[{2,1,289000,289000},{5103001,1,40000,40000},{50002,1,6000,6000},{5203001,1,5000,5000},{21360,1,1000,1000},{5301000,1,900,1000},{5303001,1,1800,2200},{11,1,400,600}]</v>
      </c>
      <c r="X460" s="142" t="str">
        <f t="shared" si="132"/>
        <v>{2,1,289000,289000}</v>
      </c>
      <c r="Y460" s="142"/>
      <c r="Z460" s="142" t="str">
        <f t="shared" si="133"/>
        <v>{5103001,1,20000,20000}</v>
      </c>
      <c r="AA460" s="142" t="str">
        <f t="shared" si="150"/>
        <v>{1,2,750,750}</v>
      </c>
      <c r="AD460" s="142" t="str">
        <f t="shared" si="134"/>
        <v>{50002,1,9000,11000}</v>
      </c>
      <c r="AE460" s="142" t="str">
        <f t="shared" si="149"/>
        <v>{30,1,11,14}</v>
      </c>
      <c r="AG460" s="142" t="str">
        <f t="shared" si="135"/>
        <v>{9,1,112,137}</v>
      </c>
      <c r="AH460" s="142" t="str">
        <f t="shared" si="136"/>
        <v>{2,1,289000,289000}</v>
      </c>
      <c r="AI460" s="142" t="str">
        <f t="shared" si="137"/>
        <v>{5103001,1,40000,40000}</v>
      </c>
      <c r="AJ460" s="142" t="str">
        <f t="shared" si="138"/>
        <v>{50002,1,6000,6000}</v>
      </c>
      <c r="AK460" s="142" t="str">
        <f t="shared" si="139"/>
        <v>{5203001,1,5000,5000}</v>
      </c>
      <c r="AL460" s="142" t="str">
        <f t="shared" si="140"/>
        <v>{21360,1,1000,1000}</v>
      </c>
      <c r="AM460" s="142" t="str">
        <f t="shared" si="141"/>
        <v>{5301000,1,900,1000}</v>
      </c>
      <c r="AO460" s="142" t="str">
        <f t="shared" si="142"/>
        <v>{5303001,1,1800,2200}</v>
      </c>
      <c r="AP460" s="142" t="s">
        <v>210</v>
      </c>
      <c r="AQ460" s="142"/>
    </row>
    <row r="461" spans="1:43">
      <c r="A461" s="143" t="str">
        <f t="shared" si="143"/>
        <v>[{2,1,290000,290000},{5103001,1,20000,20000}]</v>
      </c>
      <c r="B461" s="98">
        <f t="shared" si="144"/>
        <v>151</v>
      </c>
      <c r="C461" s="144">
        <v>290</v>
      </c>
      <c r="D461" s="145">
        <f t="shared" si="145"/>
        <v>290</v>
      </c>
      <c r="E461" s="145">
        <v>40</v>
      </c>
      <c r="F461" s="145">
        <v>20</v>
      </c>
      <c r="G461" s="146">
        <v>1</v>
      </c>
      <c r="H461" s="146">
        <v>6</v>
      </c>
      <c r="I461" s="146">
        <v>10</v>
      </c>
      <c r="J461" s="146">
        <v>5</v>
      </c>
      <c r="K461" s="146">
        <v>1</v>
      </c>
      <c r="L461" s="146">
        <v>1.5</v>
      </c>
      <c r="M461" s="145">
        <v>0.125</v>
      </c>
      <c r="N461" s="145">
        <v>0.5</v>
      </c>
      <c r="O461" s="145">
        <v>2</v>
      </c>
      <c r="P461" s="145">
        <v>0.013</v>
      </c>
      <c r="Q461" s="145">
        <f t="shared" si="129"/>
        <v>72.64</v>
      </c>
      <c r="R461" s="145">
        <f t="shared" si="130"/>
        <v>128.5</v>
      </c>
      <c r="S461" s="126">
        <f t="shared" si="146"/>
        <v>145</v>
      </c>
      <c r="T461" s="147">
        <f t="shared" si="131"/>
        <v>6.425</v>
      </c>
      <c r="U461" s="142" t="str">
        <f t="shared" si="147"/>
        <v>[{2,1,290000,290000},{5103001,1,20000,20000},{1,2,750,750},{50002,1,9000,11000},{30,1,11,14},{9,1,112,137}]</v>
      </c>
      <c r="V461" s="142" t="str">
        <f t="shared" si="148"/>
        <v>[{2,1,290000,290000},{5103001,1,40000,40000},{50002,1,6000,6000},{5203001,1,5000,5000},{21360,1,1000,1000},{5301000,1,900,1000},{5303001,1,1800,2200},{11,1,400,600}]</v>
      </c>
      <c r="X461" s="142" t="str">
        <f t="shared" si="132"/>
        <v>{2,1,290000,290000}</v>
      </c>
      <c r="Y461" s="142"/>
      <c r="Z461" s="142" t="str">
        <f t="shared" si="133"/>
        <v>{5103001,1,20000,20000}</v>
      </c>
      <c r="AA461" s="142" t="str">
        <f t="shared" si="150"/>
        <v>{1,2,750,750}</v>
      </c>
      <c r="AD461" s="142" t="str">
        <f t="shared" si="134"/>
        <v>{50002,1,9000,11000}</v>
      </c>
      <c r="AE461" s="142" t="str">
        <f t="shared" si="149"/>
        <v>{30,1,11,14}</v>
      </c>
      <c r="AG461" s="142" t="str">
        <f t="shared" si="135"/>
        <v>{9,1,112,137}</v>
      </c>
      <c r="AH461" s="142" t="str">
        <f t="shared" si="136"/>
        <v>{2,1,290000,290000}</v>
      </c>
      <c r="AI461" s="142" t="str">
        <f t="shared" si="137"/>
        <v>{5103001,1,40000,40000}</v>
      </c>
      <c r="AJ461" s="142" t="str">
        <f t="shared" si="138"/>
        <v>{50002,1,6000,6000}</v>
      </c>
      <c r="AK461" s="142" t="str">
        <f t="shared" si="139"/>
        <v>{5203001,1,5000,5000}</v>
      </c>
      <c r="AL461" s="142" t="str">
        <f t="shared" si="140"/>
        <v>{21360,1,1000,1000}</v>
      </c>
      <c r="AM461" s="142" t="str">
        <f t="shared" si="141"/>
        <v>{5301000,1,900,1000}</v>
      </c>
      <c r="AO461" s="142" t="str">
        <f t="shared" si="142"/>
        <v>{5303001,1,1800,2200}</v>
      </c>
      <c r="AP461" s="142" t="s">
        <v>210</v>
      </c>
      <c r="AQ461" s="142"/>
    </row>
    <row r="462" spans="1:43">
      <c r="A462" s="143" t="str">
        <f t="shared" si="143"/>
        <v>[{2,1,291000,291000},{5103001,1,20000,20000}]</v>
      </c>
      <c r="B462" s="98">
        <f t="shared" si="144"/>
        <v>152</v>
      </c>
      <c r="C462" s="144">
        <v>291</v>
      </c>
      <c r="D462" s="145">
        <f t="shared" si="145"/>
        <v>291</v>
      </c>
      <c r="E462" s="145">
        <v>40</v>
      </c>
      <c r="F462" s="145">
        <v>20</v>
      </c>
      <c r="G462" s="146">
        <v>1</v>
      </c>
      <c r="H462" s="146">
        <v>6</v>
      </c>
      <c r="I462" s="146">
        <v>10</v>
      </c>
      <c r="J462" s="146">
        <v>5</v>
      </c>
      <c r="K462" s="146">
        <v>1</v>
      </c>
      <c r="L462" s="146">
        <v>1.5</v>
      </c>
      <c r="M462" s="145">
        <v>0.125</v>
      </c>
      <c r="N462" s="145">
        <v>0.5</v>
      </c>
      <c r="O462" s="145">
        <v>2</v>
      </c>
      <c r="P462" s="145">
        <v>0.013</v>
      </c>
      <c r="Q462" s="145">
        <f t="shared" si="129"/>
        <v>72.69</v>
      </c>
      <c r="R462" s="145">
        <f t="shared" si="130"/>
        <v>128.55</v>
      </c>
      <c r="S462" s="126">
        <f t="shared" si="146"/>
        <v>145.5</v>
      </c>
      <c r="T462" s="147">
        <f t="shared" si="131"/>
        <v>6.4275</v>
      </c>
      <c r="U462" s="142" t="str">
        <f t="shared" si="147"/>
        <v>[{2,1,291000,291000},{5103001,1,20000,20000},{1,2,750,750},{50002,1,9000,11000},{30,1,11,14},{9,1,112,137}]</v>
      </c>
      <c r="V462" s="142" t="str">
        <f t="shared" si="148"/>
        <v>[{2,1,291000,291000},{5103001,1,40000,40000},{50002,1,6000,6000},{5203001,1,5000,5000},{21360,1,1000,1000},{5301000,1,900,1000},{5303001,1,1800,2200},{11,1,400,600}]</v>
      </c>
      <c r="X462" s="142" t="str">
        <f t="shared" si="132"/>
        <v>{2,1,291000,291000}</v>
      </c>
      <c r="Y462" s="142"/>
      <c r="Z462" s="142" t="str">
        <f t="shared" si="133"/>
        <v>{5103001,1,20000,20000}</v>
      </c>
      <c r="AA462" s="142" t="str">
        <f t="shared" si="150"/>
        <v>{1,2,750,750}</v>
      </c>
      <c r="AD462" s="142" t="str">
        <f t="shared" si="134"/>
        <v>{50002,1,9000,11000}</v>
      </c>
      <c r="AE462" s="142" t="str">
        <f t="shared" si="149"/>
        <v>{30,1,11,14}</v>
      </c>
      <c r="AG462" s="142" t="str">
        <f t="shared" si="135"/>
        <v>{9,1,112,137}</v>
      </c>
      <c r="AH462" s="142" t="str">
        <f t="shared" si="136"/>
        <v>{2,1,291000,291000}</v>
      </c>
      <c r="AI462" s="142" t="str">
        <f t="shared" si="137"/>
        <v>{5103001,1,40000,40000}</v>
      </c>
      <c r="AJ462" s="142" t="str">
        <f t="shared" si="138"/>
        <v>{50002,1,6000,6000}</v>
      </c>
      <c r="AK462" s="142" t="str">
        <f t="shared" si="139"/>
        <v>{5203001,1,5000,5000}</v>
      </c>
      <c r="AL462" s="142" t="str">
        <f t="shared" si="140"/>
        <v>{21360,1,1000,1000}</v>
      </c>
      <c r="AM462" s="142" t="str">
        <f t="shared" si="141"/>
        <v>{5301000,1,900,1000}</v>
      </c>
      <c r="AO462" s="142" t="str">
        <f t="shared" si="142"/>
        <v>{5303001,1,1800,2200}</v>
      </c>
      <c r="AP462" s="142" t="s">
        <v>210</v>
      </c>
      <c r="AQ462" s="142"/>
    </row>
    <row r="463" spans="1:43">
      <c r="A463" s="143" t="str">
        <f t="shared" si="143"/>
        <v>[{2,1,292000,292000},{5103001,1,20000,20000}]</v>
      </c>
      <c r="B463" s="98">
        <f t="shared" si="144"/>
        <v>153</v>
      </c>
      <c r="C463" s="144">
        <v>292</v>
      </c>
      <c r="D463" s="145">
        <f t="shared" si="145"/>
        <v>292</v>
      </c>
      <c r="E463" s="145">
        <v>40</v>
      </c>
      <c r="F463" s="145">
        <v>20</v>
      </c>
      <c r="G463" s="146">
        <v>1</v>
      </c>
      <c r="H463" s="146">
        <v>6</v>
      </c>
      <c r="I463" s="146">
        <v>10</v>
      </c>
      <c r="J463" s="146">
        <v>5</v>
      </c>
      <c r="K463" s="146">
        <v>1</v>
      </c>
      <c r="L463" s="146">
        <v>1.5</v>
      </c>
      <c r="M463" s="145">
        <v>0.125</v>
      </c>
      <c r="N463" s="145">
        <v>0.5</v>
      </c>
      <c r="O463" s="145">
        <v>2</v>
      </c>
      <c r="P463" s="145">
        <v>0.013</v>
      </c>
      <c r="Q463" s="145">
        <f t="shared" si="129"/>
        <v>72.74</v>
      </c>
      <c r="R463" s="145">
        <f t="shared" si="130"/>
        <v>128.6</v>
      </c>
      <c r="S463" s="126">
        <f t="shared" si="146"/>
        <v>146</v>
      </c>
      <c r="T463" s="147">
        <f t="shared" si="131"/>
        <v>6.43</v>
      </c>
      <c r="U463" s="142" t="str">
        <f t="shared" si="147"/>
        <v>[{2,1,292000,292000},{5103001,1,20000,20000},{1,2,750,750},{50002,1,9000,11000},{30,1,11,14},{9,1,112,137}]</v>
      </c>
      <c r="V463" s="142" t="str">
        <f t="shared" si="148"/>
        <v>[{2,1,292000,292000},{5103001,1,40000,40000},{50002,1,6000,6000},{5203001,1,5000,5000},{21360,1,1000,1000},{5301000,1,900,1000},{5303001,1,1800,2200},{11,1,400,600}]</v>
      </c>
      <c r="X463" s="142" t="str">
        <f t="shared" si="132"/>
        <v>{2,1,292000,292000}</v>
      </c>
      <c r="Y463" s="142"/>
      <c r="Z463" s="142" t="str">
        <f t="shared" si="133"/>
        <v>{5103001,1,20000,20000}</v>
      </c>
      <c r="AA463" s="142" t="str">
        <f t="shared" si="150"/>
        <v>{1,2,750,750}</v>
      </c>
      <c r="AD463" s="142" t="str">
        <f t="shared" si="134"/>
        <v>{50002,1,9000,11000}</v>
      </c>
      <c r="AE463" s="142" t="str">
        <f t="shared" si="149"/>
        <v>{30,1,11,14}</v>
      </c>
      <c r="AG463" s="142" t="str">
        <f t="shared" si="135"/>
        <v>{9,1,112,137}</v>
      </c>
      <c r="AH463" s="142" t="str">
        <f t="shared" si="136"/>
        <v>{2,1,292000,292000}</v>
      </c>
      <c r="AI463" s="142" t="str">
        <f t="shared" si="137"/>
        <v>{5103001,1,40000,40000}</v>
      </c>
      <c r="AJ463" s="142" t="str">
        <f t="shared" si="138"/>
        <v>{50002,1,6000,6000}</v>
      </c>
      <c r="AK463" s="142" t="str">
        <f t="shared" si="139"/>
        <v>{5203001,1,5000,5000}</v>
      </c>
      <c r="AL463" s="142" t="str">
        <f t="shared" si="140"/>
        <v>{21360,1,1000,1000}</v>
      </c>
      <c r="AM463" s="142" t="str">
        <f t="shared" si="141"/>
        <v>{5301000,1,900,1000}</v>
      </c>
      <c r="AO463" s="142" t="str">
        <f t="shared" si="142"/>
        <v>{5303001,1,1800,2200}</v>
      </c>
      <c r="AP463" s="142" t="s">
        <v>210</v>
      </c>
      <c r="AQ463" s="142"/>
    </row>
    <row r="464" spans="1:43">
      <c r="A464" s="143" t="str">
        <f t="shared" si="143"/>
        <v>[{2,1,293000,293000},{5103001,1,20000,20000}]</v>
      </c>
      <c r="B464" s="98">
        <f t="shared" si="144"/>
        <v>154</v>
      </c>
      <c r="C464" s="144">
        <v>293</v>
      </c>
      <c r="D464" s="145">
        <f t="shared" si="145"/>
        <v>293</v>
      </c>
      <c r="E464" s="145">
        <v>40</v>
      </c>
      <c r="F464" s="145">
        <v>20</v>
      </c>
      <c r="G464" s="146">
        <v>1</v>
      </c>
      <c r="H464" s="146">
        <v>6</v>
      </c>
      <c r="I464" s="146">
        <v>10</v>
      </c>
      <c r="J464" s="146">
        <v>5</v>
      </c>
      <c r="K464" s="146">
        <v>1</v>
      </c>
      <c r="L464" s="146">
        <v>1.5</v>
      </c>
      <c r="M464" s="145">
        <v>0.125</v>
      </c>
      <c r="N464" s="145">
        <v>0.5</v>
      </c>
      <c r="O464" s="145">
        <v>2</v>
      </c>
      <c r="P464" s="145">
        <v>0.013</v>
      </c>
      <c r="Q464" s="145">
        <f t="shared" si="129"/>
        <v>72.79</v>
      </c>
      <c r="R464" s="145">
        <f t="shared" si="130"/>
        <v>128.65</v>
      </c>
      <c r="S464" s="126">
        <f t="shared" si="146"/>
        <v>146.5</v>
      </c>
      <c r="T464" s="147">
        <f t="shared" si="131"/>
        <v>6.4325</v>
      </c>
      <c r="U464" s="142" t="str">
        <f t="shared" si="147"/>
        <v>[{2,1,293000,293000},{5103001,1,20000,20000},{1,2,750,750},{50002,1,9000,11000},{30,1,11,14},{9,1,112,137}]</v>
      </c>
      <c r="V464" s="142" t="str">
        <f t="shared" si="148"/>
        <v>[{2,1,293000,293000},{5103001,1,40000,40000},{50002,1,6000,6000},{5203001,1,5000,5000},{21360,1,1000,1000},{5301000,1,900,1000},{5303001,1,1800,2200},{11,1,400,600}]</v>
      </c>
      <c r="X464" s="142" t="str">
        <f t="shared" si="132"/>
        <v>{2,1,293000,293000}</v>
      </c>
      <c r="Y464" s="142"/>
      <c r="Z464" s="142" t="str">
        <f t="shared" si="133"/>
        <v>{5103001,1,20000,20000}</v>
      </c>
      <c r="AA464" s="142" t="str">
        <f t="shared" si="150"/>
        <v>{1,2,750,750}</v>
      </c>
      <c r="AD464" s="142" t="str">
        <f t="shared" si="134"/>
        <v>{50002,1,9000,11000}</v>
      </c>
      <c r="AE464" s="142" t="str">
        <f t="shared" si="149"/>
        <v>{30,1,11,14}</v>
      </c>
      <c r="AG464" s="142" t="str">
        <f t="shared" si="135"/>
        <v>{9,1,112,137}</v>
      </c>
      <c r="AH464" s="142" t="str">
        <f t="shared" si="136"/>
        <v>{2,1,293000,293000}</v>
      </c>
      <c r="AI464" s="142" t="str">
        <f t="shared" si="137"/>
        <v>{5103001,1,40000,40000}</v>
      </c>
      <c r="AJ464" s="142" t="str">
        <f t="shared" si="138"/>
        <v>{50002,1,6000,6000}</v>
      </c>
      <c r="AK464" s="142" t="str">
        <f t="shared" si="139"/>
        <v>{5203001,1,5000,5000}</v>
      </c>
      <c r="AL464" s="142" t="str">
        <f t="shared" si="140"/>
        <v>{21360,1,1000,1000}</v>
      </c>
      <c r="AM464" s="142" t="str">
        <f t="shared" si="141"/>
        <v>{5301000,1,900,1000}</v>
      </c>
      <c r="AO464" s="142" t="str">
        <f t="shared" si="142"/>
        <v>{5303001,1,1800,2200}</v>
      </c>
      <c r="AP464" s="142" t="s">
        <v>210</v>
      </c>
      <c r="AQ464" s="142"/>
    </row>
    <row r="465" spans="1:43">
      <c r="A465" s="143" t="str">
        <f t="shared" si="143"/>
        <v>[{2,1,294000,294000},{5103001,1,20000,20000}]</v>
      </c>
      <c r="B465" s="98">
        <f t="shared" si="144"/>
        <v>155</v>
      </c>
      <c r="C465" s="144">
        <v>294</v>
      </c>
      <c r="D465" s="145">
        <f t="shared" si="145"/>
        <v>294</v>
      </c>
      <c r="E465" s="145">
        <v>40</v>
      </c>
      <c r="F465" s="145">
        <v>20</v>
      </c>
      <c r="G465" s="146">
        <v>1</v>
      </c>
      <c r="H465" s="146">
        <v>6</v>
      </c>
      <c r="I465" s="146">
        <v>10</v>
      </c>
      <c r="J465" s="146">
        <v>5</v>
      </c>
      <c r="K465" s="146">
        <v>1</v>
      </c>
      <c r="L465" s="146">
        <v>1.5</v>
      </c>
      <c r="M465" s="145">
        <v>0.125</v>
      </c>
      <c r="N465" s="145">
        <v>0.5</v>
      </c>
      <c r="O465" s="145">
        <v>2</v>
      </c>
      <c r="P465" s="145">
        <v>0.013</v>
      </c>
      <c r="Q465" s="145">
        <f t="shared" si="129"/>
        <v>72.84</v>
      </c>
      <c r="R465" s="145">
        <f t="shared" si="130"/>
        <v>128.7</v>
      </c>
      <c r="S465" s="126">
        <f t="shared" si="146"/>
        <v>147</v>
      </c>
      <c r="T465" s="147">
        <f t="shared" si="131"/>
        <v>6.435</v>
      </c>
      <c r="U465" s="142" t="str">
        <f t="shared" si="147"/>
        <v>[{2,1,294000,294000},{5103001,1,20000,20000},{1,2,750,750},{50002,1,9000,11000},{30,1,11,14},{9,1,112,137}]</v>
      </c>
      <c r="V465" s="142" t="str">
        <f t="shared" si="148"/>
        <v>[{2,1,294000,294000},{5103001,1,40000,40000},{50002,1,6000,6000},{5203001,1,5000,5000},{21360,1,1000,1000},{5301000,1,900,1000},{5303001,1,1800,2200},{11,1,400,600}]</v>
      </c>
      <c r="X465" s="142" t="str">
        <f t="shared" si="132"/>
        <v>{2,1,294000,294000}</v>
      </c>
      <c r="Y465" s="142"/>
      <c r="Z465" s="142" t="str">
        <f t="shared" si="133"/>
        <v>{5103001,1,20000,20000}</v>
      </c>
      <c r="AA465" s="142" t="str">
        <f t="shared" si="150"/>
        <v>{1,2,750,750}</v>
      </c>
      <c r="AD465" s="142" t="str">
        <f t="shared" si="134"/>
        <v>{50002,1,9000,11000}</v>
      </c>
      <c r="AE465" s="142" t="str">
        <f t="shared" si="149"/>
        <v>{30,1,11,14}</v>
      </c>
      <c r="AG465" s="142" t="str">
        <f t="shared" si="135"/>
        <v>{9,1,112,137}</v>
      </c>
      <c r="AH465" s="142" t="str">
        <f t="shared" si="136"/>
        <v>{2,1,294000,294000}</v>
      </c>
      <c r="AI465" s="142" t="str">
        <f t="shared" si="137"/>
        <v>{5103001,1,40000,40000}</v>
      </c>
      <c r="AJ465" s="142" t="str">
        <f t="shared" si="138"/>
        <v>{50002,1,6000,6000}</v>
      </c>
      <c r="AK465" s="142" t="str">
        <f t="shared" si="139"/>
        <v>{5203001,1,5000,5000}</v>
      </c>
      <c r="AL465" s="142" t="str">
        <f t="shared" si="140"/>
        <v>{21360,1,1000,1000}</v>
      </c>
      <c r="AM465" s="142" t="str">
        <f t="shared" si="141"/>
        <v>{5301000,1,900,1000}</v>
      </c>
      <c r="AO465" s="142" t="str">
        <f t="shared" si="142"/>
        <v>{5303001,1,1800,2200}</v>
      </c>
      <c r="AP465" s="142" t="s">
        <v>210</v>
      </c>
      <c r="AQ465" s="142"/>
    </row>
    <row r="466" spans="1:43">
      <c r="A466" s="143" t="str">
        <f t="shared" si="143"/>
        <v>[{2,1,295000,295000},{5103001,1,20000,20000}]</v>
      </c>
      <c r="B466" s="98">
        <f t="shared" si="144"/>
        <v>156</v>
      </c>
      <c r="C466" s="144">
        <v>295</v>
      </c>
      <c r="D466" s="145">
        <f t="shared" si="145"/>
        <v>295</v>
      </c>
      <c r="E466" s="145">
        <v>40</v>
      </c>
      <c r="F466" s="145">
        <v>20</v>
      </c>
      <c r="G466" s="146">
        <v>1</v>
      </c>
      <c r="H466" s="146">
        <v>6</v>
      </c>
      <c r="I466" s="146">
        <v>10</v>
      </c>
      <c r="J466" s="146">
        <v>5</v>
      </c>
      <c r="K466" s="146">
        <v>1</v>
      </c>
      <c r="L466" s="146">
        <v>1.5</v>
      </c>
      <c r="M466" s="145">
        <v>0.125</v>
      </c>
      <c r="N466" s="145">
        <v>0.5</v>
      </c>
      <c r="O466" s="145">
        <v>2</v>
      </c>
      <c r="P466" s="145">
        <v>0.013</v>
      </c>
      <c r="Q466" s="145">
        <f t="shared" si="129"/>
        <v>72.89</v>
      </c>
      <c r="R466" s="145">
        <f t="shared" si="130"/>
        <v>128.75</v>
      </c>
      <c r="S466" s="126">
        <f t="shared" si="146"/>
        <v>147.5</v>
      </c>
      <c r="T466" s="147">
        <f t="shared" si="131"/>
        <v>6.4375</v>
      </c>
      <c r="U466" s="142" t="str">
        <f t="shared" si="147"/>
        <v>[{2,1,295000,295000},{5103001,1,20000,20000},{1,2,750,750},{50002,1,9000,11000},{30,1,11,14},{9,1,112,137}]</v>
      </c>
      <c r="V466" s="142" t="str">
        <f t="shared" si="148"/>
        <v>[{2,1,295000,295000},{5103001,1,40000,40000},{50002,1,6000,6000},{5203001,1,5000,5000},{21360,1,1000,1000},{5301000,1,900,1000},{5303001,1,1800,2200},{11,1,400,600}]</v>
      </c>
      <c r="X466" s="142" t="str">
        <f t="shared" si="132"/>
        <v>{2,1,295000,295000}</v>
      </c>
      <c r="Y466" s="142"/>
      <c r="Z466" s="142" t="str">
        <f t="shared" si="133"/>
        <v>{5103001,1,20000,20000}</v>
      </c>
      <c r="AA466" s="142" t="str">
        <f t="shared" si="150"/>
        <v>{1,2,750,750}</v>
      </c>
      <c r="AD466" s="142" t="str">
        <f t="shared" si="134"/>
        <v>{50002,1,9000,11000}</v>
      </c>
      <c r="AE466" s="142" t="str">
        <f t="shared" si="149"/>
        <v>{30,1,11,14}</v>
      </c>
      <c r="AG466" s="142" t="str">
        <f t="shared" si="135"/>
        <v>{9,1,112,137}</v>
      </c>
      <c r="AH466" s="142" t="str">
        <f t="shared" si="136"/>
        <v>{2,1,295000,295000}</v>
      </c>
      <c r="AI466" s="142" t="str">
        <f t="shared" si="137"/>
        <v>{5103001,1,40000,40000}</v>
      </c>
      <c r="AJ466" s="142" t="str">
        <f t="shared" si="138"/>
        <v>{50002,1,6000,6000}</v>
      </c>
      <c r="AK466" s="142" t="str">
        <f t="shared" si="139"/>
        <v>{5203001,1,5000,5000}</v>
      </c>
      <c r="AL466" s="142" t="str">
        <f t="shared" si="140"/>
        <v>{21360,1,1000,1000}</v>
      </c>
      <c r="AM466" s="142" t="str">
        <f t="shared" si="141"/>
        <v>{5301000,1,900,1000}</v>
      </c>
      <c r="AO466" s="142" t="str">
        <f t="shared" si="142"/>
        <v>{5303001,1,1800,2200}</v>
      </c>
      <c r="AP466" s="142" t="s">
        <v>210</v>
      </c>
      <c r="AQ466" s="142"/>
    </row>
    <row r="467" spans="1:43">
      <c r="A467" s="143" t="str">
        <f t="shared" si="143"/>
        <v>[{2,1,296000,296000},{5103001,1,20000,20000}]</v>
      </c>
      <c r="B467" s="98">
        <f t="shared" si="144"/>
        <v>157</v>
      </c>
      <c r="C467" s="144">
        <v>296</v>
      </c>
      <c r="D467" s="145">
        <f t="shared" si="145"/>
        <v>296</v>
      </c>
      <c r="E467" s="145">
        <v>40</v>
      </c>
      <c r="F467" s="145">
        <v>20</v>
      </c>
      <c r="G467" s="146">
        <v>1</v>
      </c>
      <c r="H467" s="146">
        <v>6</v>
      </c>
      <c r="I467" s="146">
        <v>10</v>
      </c>
      <c r="J467" s="146">
        <v>5</v>
      </c>
      <c r="K467" s="146">
        <v>1</v>
      </c>
      <c r="L467" s="146">
        <v>1.5</v>
      </c>
      <c r="M467" s="145">
        <v>0.125</v>
      </c>
      <c r="N467" s="145">
        <v>0.5</v>
      </c>
      <c r="O467" s="145">
        <v>2</v>
      </c>
      <c r="P467" s="145">
        <v>0.013</v>
      </c>
      <c r="Q467" s="145">
        <f t="shared" si="129"/>
        <v>72.94</v>
      </c>
      <c r="R467" s="145">
        <f t="shared" si="130"/>
        <v>128.8</v>
      </c>
      <c r="S467" s="126">
        <f t="shared" si="146"/>
        <v>148</v>
      </c>
      <c r="T467" s="147">
        <f t="shared" si="131"/>
        <v>6.44</v>
      </c>
      <c r="U467" s="142" t="str">
        <f t="shared" si="147"/>
        <v>[{2,1,296000,296000},{5103001,1,20000,20000},{1,2,750,750},{50002,1,9000,11000},{30,1,11,14},{9,1,112,137}]</v>
      </c>
      <c r="V467" s="142" t="str">
        <f t="shared" si="148"/>
        <v>[{2,1,296000,296000},{5103001,1,40000,40000},{50002,1,6000,6000},{5203001,1,5000,5000},{21360,1,1000,1000},{5301000,1,900,1000},{5303001,1,1800,2200},{11,1,400,600}]</v>
      </c>
      <c r="X467" s="142" t="str">
        <f t="shared" si="132"/>
        <v>{2,1,296000,296000}</v>
      </c>
      <c r="Y467" s="142"/>
      <c r="Z467" s="142" t="str">
        <f t="shared" si="133"/>
        <v>{5103001,1,20000,20000}</v>
      </c>
      <c r="AA467" s="142" t="str">
        <f t="shared" si="150"/>
        <v>{1,2,750,750}</v>
      </c>
      <c r="AD467" s="142" t="str">
        <f t="shared" si="134"/>
        <v>{50002,1,9000,11000}</v>
      </c>
      <c r="AE467" s="142" t="str">
        <f t="shared" si="149"/>
        <v>{30,1,11,14}</v>
      </c>
      <c r="AG467" s="142" t="str">
        <f t="shared" si="135"/>
        <v>{9,1,112,137}</v>
      </c>
      <c r="AH467" s="142" t="str">
        <f t="shared" si="136"/>
        <v>{2,1,296000,296000}</v>
      </c>
      <c r="AI467" s="142" t="str">
        <f t="shared" si="137"/>
        <v>{5103001,1,40000,40000}</v>
      </c>
      <c r="AJ467" s="142" t="str">
        <f t="shared" si="138"/>
        <v>{50002,1,6000,6000}</v>
      </c>
      <c r="AK467" s="142" t="str">
        <f t="shared" si="139"/>
        <v>{5203001,1,5000,5000}</v>
      </c>
      <c r="AL467" s="142" t="str">
        <f t="shared" si="140"/>
        <v>{21360,1,1000,1000}</v>
      </c>
      <c r="AM467" s="142" t="str">
        <f t="shared" si="141"/>
        <v>{5301000,1,900,1000}</v>
      </c>
      <c r="AO467" s="142" t="str">
        <f t="shared" si="142"/>
        <v>{5303001,1,1800,2200}</v>
      </c>
      <c r="AP467" s="142" t="s">
        <v>210</v>
      </c>
      <c r="AQ467" s="142"/>
    </row>
    <row r="468" spans="1:43">
      <c r="A468" s="143" t="str">
        <f t="shared" si="143"/>
        <v>[{2,1,297000,297000},{5103001,1,20000,20000}]</v>
      </c>
      <c r="B468" s="98">
        <f t="shared" si="144"/>
        <v>158</v>
      </c>
      <c r="C468" s="144">
        <v>297</v>
      </c>
      <c r="D468" s="145">
        <f t="shared" si="145"/>
        <v>297</v>
      </c>
      <c r="E468" s="145">
        <v>40</v>
      </c>
      <c r="F468" s="145">
        <v>20</v>
      </c>
      <c r="G468" s="146">
        <v>1</v>
      </c>
      <c r="H468" s="146">
        <v>6</v>
      </c>
      <c r="I468" s="146">
        <v>10</v>
      </c>
      <c r="J468" s="146">
        <v>5</v>
      </c>
      <c r="K468" s="146">
        <v>1</v>
      </c>
      <c r="L468" s="146">
        <v>1.5</v>
      </c>
      <c r="M468" s="145">
        <v>0.125</v>
      </c>
      <c r="N468" s="145">
        <v>0.5</v>
      </c>
      <c r="O468" s="145">
        <v>2</v>
      </c>
      <c r="P468" s="145">
        <v>0.013</v>
      </c>
      <c r="Q468" s="145">
        <f t="shared" si="129"/>
        <v>72.99</v>
      </c>
      <c r="R468" s="145">
        <f t="shared" si="130"/>
        <v>128.85</v>
      </c>
      <c r="S468" s="126">
        <f t="shared" si="146"/>
        <v>148.5</v>
      </c>
      <c r="T468" s="147">
        <f t="shared" si="131"/>
        <v>6.4425</v>
      </c>
      <c r="U468" s="142" t="str">
        <f t="shared" si="147"/>
        <v>[{2,1,297000,297000},{5103001,1,20000,20000},{1,2,750,750},{50002,1,9000,11000},{30,1,11,14},{9,1,112,137}]</v>
      </c>
      <c r="V468" s="142" t="str">
        <f t="shared" si="148"/>
        <v>[{2,1,297000,297000},{5103001,1,40000,40000},{50002,1,6000,6000},{5203001,1,5000,5000},{21360,1,1000,1000},{5301000,1,900,1000},{5303001,1,1800,2200},{11,1,400,600}]</v>
      </c>
      <c r="X468" s="142" t="str">
        <f t="shared" si="132"/>
        <v>{2,1,297000,297000}</v>
      </c>
      <c r="Y468" s="142"/>
      <c r="Z468" s="142" t="str">
        <f t="shared" si="133"/>
        <v>{5103001,1,20000,20000}</v>
      </c>
      <c r="AA468" s="142" t="str">
        <f t="shared" si="150"/>
        <v>{1,2,750,750}</v>
      </c>
      <c r="AD468" s="142" t="str">
        <f t="shared" si="134"/>
        <v>{50002,1,9000,11000}</v>
      </c>
      <c r="AE468" s="142" t="str">
        <f t="shared" si="149"/>
        <v>{30,1,11,14}</v>
      </c>
      <c r="AG468" s="142" t="str">
        <f t="shared" si="135"/>
        <v>{9,1,112,137}</v>
      </c>
      <c r="AH468" s="142" t="str">
        <f t="shared" si="136"/>
        <v>{2,1,297000,297000}</v>
      </c>
      <c r="AI468" s="142" t="str">
        <f t="shared" si="137"/>
        <v>{5103001,1,40000,40000}</v>
      </c>
      <c r="AJ468" s="142" t="str">
        <f t="shared" si="138"/>
        <v>{50002,1,6000,6000}</v>
      </c>
      <c r="AK468" s="142" t="str">
        <f t="shared" si="139"/>
        <v>{5203001,1,5000,5000}</v>
      </c>
      <c r="AL468" s="142" t="str">
        <f t="shared" si="140"/>
        <v>{21360,1,1000,1000}</v>
      </c>
      <c r="AM468" s="142" t="str">
        <f t="shared" si="141"/>
        <v>{5301000,1,900,1000}</v>
      </c>
      <c r="AO468" s="142" t="str">
        <f t="shared" si="142"/>
        <v>{5303001,1,1800,2200}</v>
      </c>
      <c r="AP468" s="142" t="s">
        <v>210</v>
      </c>
      <c r="AQ468" s="142"/>
    </row>
    <row r="469" spans="1:43">
      <c r="A469" s="143" t="str">
        <f t="shared" si="143"/>
        <v>[{2,1,298000,298000},{5103001,1,20000,20000}]</v>
      </c>
      <c r="B469" s="98">
        <f t="shared" si="144"/>
        <v>159</v>
      </c>
      <c r="C469" s="144">
        <v>298</v>
      </c>
      <c r="D469" s="145">
        <f t="shared" si="145"/>
        <v>298</v>
      </c>
      <c r="E469" s="145">
        <v>40</v>
      </c>
      <c r="F469" s="145">
        <v>20</v>
      </c>
      <c r="G469" s="146">
        <v>1</v>
      </c>
      <c r="H469" s="146">
        <v>6</v>
      </c>
      <c r="I469" s="146">
        <v>10</v>
      </c>
      <c r="J469" s="146">
        <v>5</v>
      </c>
      <c r="K469" s="146">
        <v>1</v>
      </c>
      <c r="L469" s="146">
        <v>1.5</v>
      </c>
      <c r="M469" s="145">
        <v>0.125</v>
      </c>
      <c r="N469" s="145">
        <v>0.5</v>
      </c>
      <c r="O469" s="145">
        <v>2</v>
      </c>
      <c r="P469" s="145">
        <v>0.013</v>
      </c>
      <c r="Q469" s="145">
        <f t="shared" si="129"/>
        <v>73.04</v>
      </c>
      <c r="R469" s="145">
        <f t="shared" si="130"/>
        <v>128.9</v>
      </c>
      <c r="S469" s="126">
        <f t="shared" si="146"/>
        <v>149</v>
      </c>
      <c r="T469" s="147">
        <f t="shared" si="131"/>
        <v>6.445</v>
      </c>
      <c r="U469" s="142" t="str">
        <f t="shared" si="147"/>
        <v>[{2,1,298000,298000},{5103001,1,20000,20000},{1,2,750,750},{50002,1,9000,11000},{30,1,11,14},{9,1,112,137}]</v>
      </c>
      <c r="V469" s="142" t="str">
        <f t="shared" si="148"/>
        <v>[{2,1,298000,298000},{5103001,1,40000,40000},{50002,1,6000,6000},{5203001,1,5000,5000},{21360,1,1000,1000},{5301000,1,900,1000},{5303001,1,1800,2200},{11,1,400,600}]</v>
      </c>
      <c r="X469" s="142" t="str">
        <f t="shared" si="132"/>
        <v>{2,1,298000,298000}</v>
      </c>
      <c r="Y469" s="142"/>
      <c r="Z469" s="142" t="str">
        <f t="shared" si="133"/>
        <v>{5103001,1,20000,20000}</v>
      </c>
      <c r="AA469" s="142" t="str">
        <f t="shared" si="150"/>
        <v>{1,2,750,750}</v>
      </c>
      <c r="AD469" s="142" t="str">
        <f t="shared" si="134"/>
        <v>{50002,1,9000,11000}</v>
      </c>
      <c r="AE469" s="142" t="str">
        <f t="shared" si="149"/>
        <v>{30,1,11,14}</v>
      </c>
      <c r="AG469" s="142" t="str">
        <f t="shared" si="135"/>
        <v>{9,1,112,137}</v>
      </c>
      <c r="AH469" s="142" t="str">
        <f t="shared" si="136"/>
        <v>{2,1,298000,298000}</v>
      </c>
      <c r="AI469" s="142" t="str">
        <f t="shared" si="137"/>
        <v>{5103001,1,40000,40000}</v>
      </c>
      <c r="AJ469" s="142" t="str">
        <f t="shared" si="138"/>
        <v>{50002,1,6000,6000}</v>
      </c>
      <c r="AK469" s="142" t="str">
        <f t="shared" si="139"/>
        <v>{5203001,1,5000,5000}</v>
      </c>
      <c r="AL469" s="142" t="str">
        <f t="shared" si="140"/>
        <v>{21360,1,1000,1000}</v>
      </c>
      <c r="AM469" s="142" t="str">
        <f t="shared" si="141"/>
        <v>{5301000,1,900,1000}</v>
      </c>
      <c r="AO469" s="142" t="str">
        <f t="shared" si="142"/>
        <v>{5303001,1,1800,2200}</v>
      </c>
      <c r="AP469" s="142" t="s">
        <v>210</v>
      </c>
      <c r="AQ469" s="142"/>
    </row>
    <row r="470" spans="1:43">
      <c r="A470" s="143" t="str">
        <f t="shared" si="143"/>
        <v>[{2,1,299000,299000},{5103001,1,20000,20000}]</v>
      </c>
      <c r="B470" s="98">
        <f t="shared" si="144"/>
        <v>160</v>
      </c>
      <c r="C470" s="144">
        <v>299</v>
      </c>
      <c r="D470" s="145">
        <f t="shared" si="145"/>
        <v>299</v>
      </c>
      <c r="E470" s="145">
        <v>40</v>
      </c>
      <c r="F470" s="145">
        <v>20</v>
      </c>
      <c r="G470" s="146">
        <v>1</v>
      </c>
      <c r="H470" s="146">
        <v>6</v>
      </c>
      <c r="I470" s="146">
        <v>10</v>
      </c>
      <c r="J470" s="146">
        <v>5</v>
      </c>
      <c r="K470" s="146">
        <v>1</v>
      </c>
      <c r="L470" s="146">
        <v>1.5</v>
      </c>
      <c r="M470" s="145">
        <v>0.125</v>
      </c>
      <c r="N470" s="145">
        <v>0.5</v>
      </c>
      <c r="O470" s="145">
        <v>2</v>
      </c>
      <c r="P470" s="145">
        <v>0.013</v>
      </c>
      <c r="Q470" s="145">
        <f t="shared" si="129"/>
        <v>73.09</v>
      </c>
      <c r="R470" s="145">
        <f t="shared" si="130"/>
        <v>128.95</v>
      </c>
      <c r="S470" s="126">
        <f t="shared" si="146"/>
        <v>149.5</v>
      </c>
      <c r="T470" s="147">
        <f t="shared" si="131"/>
        <v>6.4475</v>
      </c>
      <c r="U470" s="142" t="str">
        <f t="shared" si="147"/>
        <v>[{2,1,299000,299000},{5103001,1,20000,20000},{1,2,750,750},{50002,1,9000,11000},{30,1,11,14},{9,1,112,137}]</v>
      </c>
      <c r="V470" s="142" t="str">
        <f t="shared" si="148"/>
        <v>[{2,1,299000,299000},{5103001,1,40000,40000},{50002,1,6000,6000},{5203001,1,5000,5000},{21360,1,1000,1000},{5301000,1,900,1000},{5303001,1,1800,2200},{11,1,400,600}]</v>
      </c>
      <c r="X470" s="142" t="str">
        <f t="shared" si="132"/>
        <v>{2,1,299000,299000}</v>
      </c>
      <c r="Y470" s="142"/>
      <c r="Z470" s="142" t="str">
        <f t="shared" si="133"/>
        <v>{5103001,1,20000,20000}</v>
      </c>
      <c r="AA470" s="142" t="str">
        <f t="shared" si="150"/>
        <v>{1,2,750,750}</v>
      </c>
      <c r="AD470" s="142" t="str">
        <f t="shared" si="134"/>
        <v>{50002,1,9000,11000}</v>
      </c>
      <c r="AE470" s="142" t="str">
        <f t="shared" si="149"/>
        <v>{30,1,11,14}</v>
      </c>
      <c r="AG470" s="142" t="str">
        <f t="shared" si="135"/>
        <v>{9,1,112,137}</v>
      </c>
      <c r="AH470" s="142" t="str">
        <f t="shared" si="136"/>
        <v>{2,1,299000,299000}</v>
      </c>
      <c r="AI470" s="142" t="str">
        <f t="shared" si="137"/>
        <v>{5103001,1,40000,40000}</v>
      </c>
      <c r="AJ470" s="142" t="str">
        <f t="shared" si="138"/>
        <v>{50002,1,6000,6000}</v>
      </c>
      <c r="AK470" s="142" t="str">
        <f t="shared" si="139"/>
        <v>{5203001,1,5000,5000}</v>
      </c>
      <c r="AL470" s="142" t="str">
        <f t="shared" si="140"/>
        <v>{21360,1,1000,1000}</v>
      </c>
      <c r="AM470" s="142" t="str">
        <f t="shared" si="141"/>
        <v>{5301000,1,900,1000}</v>
      </c>
      <c r="AO470" s="142" t="str">
        <f t="shared" si="142"/>
        <v>{5303001,1,1800,2200}</v>
      </c>
      <c r="AP470" s="142" t="s">
        <v>210</v>
      </c>
      <c r="AQ470" s="142"/>
    </row>
    <row r="471" spans="1:43">
      <c r="A471" s="143" t="str">
        <f t="shared" si="143"/>
        <v>[{2,1,300000,300000},{5103001,1,20000,20000}]</v>
      </c>
      <c r="B471" s="98">
        <f t="shared" si="144"/>
        <v>161</v>
      </c>
      <c r="C471" s="144">
        <v>300</v>
      </c>
      <c r="D471" s="145">
        <f t="shared" si="145"/>
        <v>300</v>
      </c>
      <c r="E471" s="145">
        <v>40</v>
      </c>
      <c r="F471" s="145">
        <v>20</v>
      </c>
      <c r="G471" s="146">
        <v>1</v>
      </c>
      <c r="H471" s="146">
        <v>6</v>
      </c>
      <c r="I471" s="146">
        <v>10</v>
      </c>
      <c r="J471" s="146">
        <v>5</v>
      </c>
      <c r="K471" s="146">
        <v>1</v>
      </c>
      <c r="L471" s="146">
        <v>1.5</v>
      </c>
      <c r="M471" s="145">
        <v>0.125</v>
      </c>
      <c r="N471" s="145">
        <v>0.5</v>
      </c>
      <c r="O471" s="145">
        <v>2</v>
      </c>
      <c r="P471" s="145">
        <v>0.013</v>
      </c>
      <c r="Q471" s="145">
        <f t="shared" si="129"/>
        <v>73.14</v>
      </c>
      <c r="R471" s="145">
        <f t="shared" si="130"/>
        <v>129</v>
      </c>
      <c r="S471" s="126">
        <f t="shared" si="146"/>
        <v>150</v>
      </c>
      <c r="T471" s="147">
        <f t="shared" si="131"/>
        <v>6.45</v>
      </c>
      <c r="U471" s="142" t="str">
        <f t="shared" si="147"/>
        <v>[{2,1,300000,300000},{5103001,1,20000,20000},{1,2,750,750},{50002,1,9000,11000},{30,1,11,14},{9,1,112,137}]</v>
      </c>
      <c r="V471" s="142" t="str">
        <f t="shared" si="148"/>
        <v>[{2,1,300000,300000},{5103001,1,40000,40000},{50002,1,6000,6000},{5203001,1,5000,5000},{21360,1,1000,1000},{5301000,1,900,1000},{5303001,1,1800,2200},{11,1,400,600}]</v>
      </c>
      <c r="X471" s="142" t="str">
        <f t="shared" si="132"/>
        <v>{2,1,300000,300000}</v>
      </c>
      <c r="Y471" s="142"/>
      <c r="Z471" s="142" t="str">
        <f t="shared" si="133"/>
        <v>{5103001,1,20000,20000}</v>
      </c>
      <c r="AA471" s="142" t="str">
        <f t="shared" si="150"/>
        <v>{1,2,750,750}</v>
      </c>
      <c r="AD471" s="142" t="str">
        <f t="shared" si="134"/>
        <v>{50002,1,9000,11000}</v>
      </c>
      <c r="AE471" s="142" t="str">
        <f t="shared" si="149"/>
        <v>{30,1,11,14}</v>
      </c>
      <c r="AG471" s="142" t="str">
        <f t="shared" si="135"/>
        <v>{9,1,112,137}</v>
      </c>
      <c r="AH471" s="142" t="str">
        <f t="shared" si="136"/>
        <v>{2,1,300000,300000}</v>
      </c>
      <c r="AI471" s="142" t="str">
        <f t="shared" si="137"/>
        <v>{5103001,1,40000,40000}</v>
      </c>
      <c r="AJ471" s="142" t="str">
        <f t="shared" si="138"/>
        <v>{50002,1,6000,6000}</v>
      </c>
      <c r="AK471" s="142" t="str">
        <f t="shared" si="139"/>
        <v>{5203001,1,5000,5000}</v>
      </c>
      <c r="AL471" s="142" t="str">
        <f t="shared" si="140"/>
        <v>{21360,1,1000,1000}</v>
      </c>
      <c r="AM471" s="142" t="str">
        <f t="shared" si="141"/>
        <v>{5301000,1,900,1000}</v>
      </c>
      <c r="AO471" s="142" t="str">
        <f t="shared" si="142"/>
        <v>{5303001,1,1800,2200}</v>
      </c>
      <c r="AP471" s="142" t="s">
        <v>210</v>
      </c>
      <c r="AQ471" s="142"/>
    </row>
    <row r="472" spans="1:43">
      <c r="A472" s="143" t="str">
        <f t="shared" si="143"/>
        <v>[{2,1,301000,301000},{5103001,1,20000,20000}]</v>
      </c>
      <c r="B472" s="98">
        <f t="shared" si="144"/>
        <v>162</v>
      </c>
      <c r="C472" s="144">
        <v>301</v>
      </c>
      <c r="D472" s="145">
        <f t="shared" si="145"/>
        <v>301</v>
      </c>
      <c r="E472" s="145">
        <v>40</v>
      </c>
      <c r="F472" s="145">
        <v>20</v>
      </c>
      <c r="G472" s="146">
        <v>1</v>
      </c>
      <c r="H472" s="146">
        <v>6</v>
      </c>
      <c r="I472" s="146">
        <v>10</v>
      </c>
      <c r="J472" s="146">
        <v>5</v>
      </c>
      <c r="K472" s="146">
        <v>1</v>
      </c>
      <c r="L472" s="146">
        <v>1.5</v>
      </c>
      <c r="M472" s="145">
        <v>0.125</v>
      </c>
      <c r="N472" s="145">
        <v>0.5</v>
      </c>
      <c r="O472" s="145">
        <v>2</v>
      </c>
      <c r="P472" s="145">
        <v>0.013</v>
      </c>
      <c r="Q472" s="145">
        <f t="shared" si="129"/>
        <v>73.19</v>
      </c>
      <c r="R472" s="145">
        <f t="shared" si="130"/>
        <v>129.05</v>
      </c>
      <c r="S472" s="126">
        <f t="shared" si="146"/>
        <v>150.5</v>
      </c>
      <c r="T472" s="147">
        <f t="shared" si="131"/>
        <v>6.4525</v>
      </c>
      <c r="U472" s="142" t="str">
        <f t="shared" si="147"/>
        <v>[{2,1,301000,301000},{5103001,1,20000,20000},{1,2,750,750},{50002,1,9000,11000},{30,1,11,14},{9,1,112,137}]</v>
      </c>
      <c r="V472" s="142" t="str">
        <f t="shared" si="148"/>
        <v>[{2,1,301000,301000},{5103001,1,40000,40000},{50002,1,6000,6000},{5203001,1,5000,5000},{21360,1,1000,1000},{5301000,1,900,1000},{5303001,1,1800,2200},{11,1,400,600}]</v>
      </c>
      <c r="X472" s="142" t="str">
        <f t="shared" si="132"/>
        <v>{2,1,301000,301000}</v>
      </c>
      <c r="Y472" s="142"/>
      <c r="Z472" s="142" t="str">
        <f t="shared" si="133"/>
        <v>{5103001,1,20000,20000}</v>
      </c>
      <c r="AA472" s="142" t="str">
        <f t="shared" si="150"/>
        <v>{1,2,750,750}</v>
      </c>
      <c r="AD472" s="142" t="str">
        <f t="shared" si="134"/>
        <v>{50002,1,9000,11000}</v>
      </c>
      <c r="AE472" s="142" t="str">
        <f t="shared" si="149"/>
        <v>{30,1,11,14}</v>
      </c>
      <c r="AG472" s="142" t="str">
        <f t="shared" si="135"/>
        <v>{9,1,112,137}</v>
      </c>
      <c r="AH472" s="142" t="str">
        <f t="shared" si="136"/>
        <v>{2,1,301000,301000}</v>
      </c>
      <c r="AI472" s="142" t="str">
        <f t="shared" si="137"/>
        <v>{5103001,1,40000,40000}</v>
      </c>
      <c r="AJ472" s="142" t="str">
        <f t="shared" si="138"/>
        <v>{50002,1,6000,6000}</v>
      </c>
      <c r="AK472" s="142" t="str">
        <f t="shared" si="139"/>
        <v>{5203001,1,5000,5000}</v>
      </c>
      <c r="AL472" s="142" t="str">
        <f t="shared" si="140"/>
        <v>{21360,1,1000,1000}</v>
      </c>
      <c r="AM472" s="142" t="str">
        <f t="shared" si="141"/>
        <v>{5301000,1,900,1000}</v>
      </c>
      <c r="AO472" s="142" t="str">
        <f t="shared" si="142"/>
        <v>{5303001,1,1800,2200}</v>
      </c>
      <c r="AP472" s="142" t="s">
        <v>210</v>
      </c>
      <c r="AQ472" s="142"/>
    </row>
    <row r="473" spans="1:43">
      <c r="A473" s="143" t="str">
        <f t="shared" si="143"/>
        <v>[{2,1,302000,302000},{5103001,1,20000,20000}]</v>
      </c>
      <c r="B473" s="98">
        <f t="shared" si="144"/>
        <v>163</v>
      </c>
      <c r="C473" s="144">
        <v>302</v>
      </c>
      <c r="D473" s="145">
        <f t="shared" si="145"/>
        <v>302</v>
      </c>
      <c r="E473" s="145">
        <v>40</v>
      </c>
      <c r="F473" s="145">
        <v>20</v>
      </c>
      <c r="G473" s="146">
        <v>1</v>
      </c>
      <c r="H473" s="146">
        <v>6</v>
      </c>
      <c r="I473" s="146">
        <v>10</v>
      </c>
      <c r="J473" s="146">
        <v>5</v>
      </c>
      <c r="K473" s="146">
        <v>1</v>
      </c>
      <c r="L473" s="146">
        <v>1.5</v>
      </c>
      <c r="M473" s="145">
        <v>0.125</v>
      </c>
      <c r="N473" s="145">
        <v>0.5</v>
      </c>
      <c r="O473" s="145">
        <v>2</v>
      </c>
      <c r="P473" s="145">
        <v>0.013</v>
      </c>
      <c r="Q473" s="145">
        <f t="shared" si="129"/>
        <v>73.24</v>
      </c>
      <c r="R473" s="145">
        <f t="shared" si="130"/>
        <v>129.1</v>
      </c>
      <c r="S473" s="126">
        <f t="shared" si="146"/>
        <v>151</v>
      </c>
      <c r="T473" s="147">
        <f t="shared" si="131"/>
        <v>6.455</v>
      </c>
      <c r="U473" s="142" t="str">
        <f t="shared" si="147"/>
        <v>[{2,1,302000,302000},{5103001,1,20000,20000},{1,2,750,750},{50002,1,9000,11000},{30,1,11,14},{9,1,112,137}]</v>
      </c>
      <c r="V473" s="142" t="str">
        <f t="shared" si="148"/>
        <v>[{2,1,302000,302000},{5103001,1,40000,40000},{50002,1,6000,6000},{5203001,1,5000,5000},{21360,1,1000,1000},{5301000,1,900,1000},{5303001,1,1800,2200},{11,1,400,600}]</v>
      </c>
      <c r="X473" s="142" t="str">
        <f t="shared" si="132"/>
        <v>{2,1,302000,302000}</v>
      </c>
      <c r="Y473" s="142"/>
      <c r="Z473" s="142" t="str">
        <f t="shared" si="133"/>
        <v>{5103001,1,20000,20000}</v>
      </c>
      <c r="AA473" s="142" t="str">
        <f t="shared" si="150"/>
        <v>{1,2,750,750}</v>
      </c>
      <c r="AD473" s="142" t="str">
        <f t="shared" si="134"/>
        <v>{50002,1,9000,11000}</v>
      </c>
      <c r="AE473" s="142" t="str">
        <f t="shared" si="149"/>
        <v>{30,1,11,14}</v>
      </c>
      <c r="AG473" s="142" t="str">
        <f t="shared" si="135"/>
        <v>{9,1,112,137}</v>
      </c>
      <c r="AH473" s="142" t="str">
        <f t="shared" si="136"/>
        <v>{2,1,302000,302000}</v>
      </c>
      <c r="AI473" s="142" t="str">
        <f t="shared" si="137"/>
        <v>{5103001,1,40000,40000}</v>
      </c>
      <c r="AJ473" s="142" t="str">
        <f t="shared" si="138"/>
        <v>{50002,1,6000,6000}</v>
      </c>
      <c r="AK473" s="142" t="str">
        <f t="shared" si="139"/>
        <v>{5203001,1,5000,5000}</v>
      </c>
      <c r="AL473" s="142" t="str">
        <f t="shared" si="140"/>
        <v>{21360,1,1000,1000}</v>
      </c>
      <c r="AM473" s="142" t="str">
        <f t="shared" si="141"/>
        <v>{5301000,1,900,1000}</v>
      </c>
      <c r="AO473" s="142" t="str">
        <f t="shared" si="142"/>
        <v>{5303001,1,1800,2200}</v>
      </c>
      <c r="AP473" s="142" t="s">
        <v>210</v>
      </c>
      <c r="AQ473" s="142"/>
    </row>
    <row r="474" spans="1:43">
      <c r="A474" s="143" t="str">
        <f t="shared" si="143"/>
        <v>[{2,1,303000,303000},{5103001,1,20000,20000}]</v>
      </c>
      <c r="B474" s="98">
        <f t="shared" si="144"/>
        <v>164</v>
      </c>
      <c r="C474" s="144">
        <v>303</v>
      </c>
      <c r="D474" s="145">
        <f t="shared" si="145"/>
        <v>303</v>
      </c>
      <c r="E474" s="145">
        <v>40</v>
      </c>
      <c r="F474" s="145">
        <v>20</v>
      </c>
      <c r="G474" s="146">
        <v>1</v>
      </c>
      <c r="H474" s="146">
        <v>6</v>
      </c>
      <c r="I474" s="146">
        <v>10</v>
      </c>
      <c r="J474" s="146">
        <v>5</v>
      </c>
      <c r="K474" s="146">
        <v>1</v>
      </c>
      <c r="L474" s="146">
        <v>1.5</v>
      </c>
      <c r="M474" s="145">
        <v>0.125</v>
      </c>
      <c r="N474" s="145">
        <v>0.5</v>
      </c>
      <c r="O474" s="145">
        <v>2</v>
      </c>
      <c r="P474" s="145">
        <v>0.013</v>
      </c>
      <c r="Q474" s="145">
        <f t="shared" si="129"/>
        <v>73.29</v>
      </c>
      <c r="R474" s="145">
        <f t="shared" si="130"/>
        <v>129.15</v>
      </c>
      <c r="S474" s="126">
        <f t="shared" si="146"/>
        <v>151.5</v>
      </c>
      <c r="T474" s="147">
        <f t="shared" si="131"/>
        <v>6.4575</v>
      </c>
      <c r="U474" s="142" t="str">
        <f t="shared" si="147"/>
        <v>[{2,1,303000,303000},{5103001,1,20000,20000},{1,2,750,750},{50002,1,9000,11000},{30,1,11,14},{9,1,112,137}]</v>
      </c>
      <c r="V474" s="142" t="str">
        <f t="shared" si="148"/>
        <v>[{2,1,303000,303000},{5103001,1,40000,40000},{50002,1,6000,6000},{5203001,1,5000,5000},{21360,1,1000,1000},{5301000,1,900,1000},{5303001,1,1800,2200},{11,1,400,600}]</v>
      </c>
      <c r="X474" s="142" t="str">
        <f t="shared" si="132"/>
        <v>{2,1,303000,303000}</v>
      </c>
      <c r="Y474" s="142"/>
      <c r="Z474" s="142" t="str">
        <f t="shared" si="133"/>
        <v>{5103001,1,20000,20000}</v>
      </c>
      <c r="AA474" s="142" t="str">
        <f t="shared" si="150"/>
        <v>{1,2,750,750}</v>
      </c>
      <c r="AD474" s="142" t="str">
        <f t="shared" si="134"/>
        <v>{50002,1,9000,11000}</v>
      </c>
      <c r="AE474" s="142" t="str">
        <f t="shared" si="149"/>
        <v>{30,1,11,14}</v>
      </c>
      <c r="AG474" s="142" t="str">
        <f t="shared" si="135"/>
        <v>{9,1,112,137}</v>
      </c>
      <c r="AH474" s="142" t="str">
        <f t="shared" si="136"/>
        <v>{2,1,303000,303000}</v>
      </c>
      <c r="AI474" s="142" t="str">
        <f t="shared" si="137"/>
        <v>{5103001,1,40000,40000}</v>
      </c>
      <c r="AJ474" s="142" t="str">
        <f t="shared" si="138"/>
        <v>{50002,1,6000,6000}</v>
      </c>
      <c r="AK474" s="142" t="str">
        <f t="shared" si="139"/>
        <v>{5203001,1,5000,5000}</v>
      </c>
      <c r="AL474" s="142" t="str">
        <f t="shared" si="140"/>
        <v>{21360,1,1000,1000}</v>
      </c>
      <c r="AM474" s="142" t="str">
        <f t="shared" si="141"/>
        <v>{5301000,1,900,1000}</v>
      </c>
      <c r="AO474" s="142" t="str">
        <f t="shared" si="142"/>
        <v>{5303001,1,1800,2200}</v>
      </c>
      <c r="AP474" s="142" t="s">
        <v>210</v>
      </c>
      <c r="AQ474" s="142"/>
    </row>
    <row r="475" spans="1:43">
      <c r="A475" s="143" t="str">
        <f t="shared" si="143"/>
        <v>[{2,1,304000,304000},{5103001,1,20000,20000}]</v>
      </c>
      <c r="B475" s="98">
        <f t="shared" si="144"/>
        <v>165</v>
      </c>
      <c r="C475" s="144">
        <v>304</v>
      </c>
      <c r="D475" s="145">
        <f t="shared" si="145"/>
        <v>304</v>
      </c>
      <c r="E475" s="145">
        <v>40</v>
      </c>
      <c r="F475" s="145">
        <v>20</v>
      </c>
      <c r="G475" s="146">
        <v>1</v>
      </c>
      <c r="H475" s="146">
        <v>6</v>
      </c>
      <c r="I475" s="146">
        <v>10</v>
      </c>
      <c r="J475" s="146">
        <v>5</v>
      </c>
      <c r="K475" s="146">
        <v>1</v>
      </c>
      <c r="L475" s="146">
        <v>1.5</v>
      </c>
      <c r="M475" s="145">
        <v>0.125</v>
      </c>
      <c r="N475" s="145">
        <v>0.5</v>
      </c>
      <c r="O475" s="145">
        <v>2</v>
      </c>
      <c r="P475" s="145">
        <v>0.013</v>
      </c>
      <c r="Q475" s="145">
        <f t="shared" si="129"/>
        <v>73.34</v>
      </c>
      <c r="R475" s="145">
        <f t="shared" si="130"/>
        <v>129.2</v>
      </c>
      <c r="S475" s="126">
        <f t="shared" si="146"/>
        <v>152</v>
      </c>
      <c r="T475" s="147">
        <f t="shared" si="131"/>
        <v>6.46</v>
      </c>
      <c r="U475" s="142" t="str">
        <f t="shared" si="147"/>
        <v>[{2,1,304000,304000},{5103001,1,20000,20000},{1,2,750,750},{50002,1,9000,11000},{30,1,11,14},{9,1,112,137}]</v>
      </c>
      <c r="V475" s="142" t="str">
        <f t="shared" si="148"/>
        <v>[{2,1,304000,304000},{5103001,1,40000,40000},{50002,1,6000,6000},{5203001,1,5000,5000},{21360,1,1000,1000},{5301000,1,900,1000},{5303001,1,1800,2200},{11,1,400,600}]</v>
      </c>
      <c r="X475" s="142" t="str">
        <f t="shared" si="132"/>
        <v>{2,1,304000,304000}</v>
      </c>
      <c r="Y475" s="142"/>
      <c r="Z475" s="142" t="str">
        <f t="shared" si="133"/>
        <v>{5103001,1,20000,20000}</v>
      </c>
      <c r="AA475" s="142" t="str">
        <f t="shared" si="150"/>
        <v>{1,2,750,750}</v>
      </c>
      <c r="AD475" s="142" t="str">
        <f t="shared" si="134"/>
        <v>{50002,1,9000,11000}</v>
      </c>
      <c r="AE475" s="142" t="str">
        <f t="shared" si="149"/>
        <v>{30,1,11,14}</v>
      </c>
      <c r="AG475" s="142" t="str">
        <f t="shared" si="135"/>
        <v>{9,1,112,137}</v>
      </c>
      <c r="AH475" s="142" t="str">
        <f t="shared" si="136"/>
        <v>{2,1,304000,304000}</v>
      </c>
      <c r="AI475" s="142" t="str">
        <f t="shared" si="137"/>
        <v>{5103001,1,40000,40000}</v>
      </c>
      <c r="AJ475" s="142" t="str">
        <f t="shared" si="138"/>
        <v>{50002,1,6000,6000}</v>
      </c>
      <c r="AK475" s="142" t="str">
        <f t="shared" si="139"/>
        <v>{5203001,1,5000,5000}</v>
      </c>
      <c r="AL475" s="142" t="str">
        <f t="shared" si="140"/>
        <v>{21360,1,1000,1000}</v>
      </c>
      <c r="AM475" s="142" t="str">
        <f t="shared" si="141"/>
        <v>{5301000,1,900,1000}</v>
      </c>
      <c r="AO475" s="142" t="str">
        <f t="shared" si="142"/>
        <v>{5303001,1,1800,2200}</v>
      </c>
      <c r="AP475" s="142" t="s">
        <v>210</v>
      </c>
      <c r="AQ475" s="142"/>
    </row>
    <row r="476" spans="1:43">
      <c r="A476" s="143" t="str">
        <f t="shared" si="143"/>
        <v>[{2,1,305000,305000},{5103001,1,20000,20000}]</v>
      </c>
      <c r="B476" s="98">
        <f t="shared" si="144"/>
        <v>166</v>
      </c>
      <c r="C476" s="144">
        <v>305</v>
      </c>
      <c r="D476" s="145">
        <f t="shared" si="145"/>
        <v>305</v>
      </c>
      <c r="E476" s="145">
        <v>40</v>
      </c>
      <c r="F476" s="145">
        <v>20</v>
      </c>
      <c r="G476" s="146">
        <v>1</v>
      </c>
      <c r="H476" s="146">
        <v>6</v>
      </c>
      <c r="I476" s="146">
        <v>10</v>
      </c>
      <c r="J476" s="146">
        <v>5</v>
      </c>
      <c r="K476" s="146">
        <v>1</v>
      </c>
      <c r="L476" s="146">
        <v>1.5</v>
      </c>
      <c r="M476" s="145">
        <v>0.125</v>
      </c>
      <c r="N476" s="145">
        <v>0.5</v>
      </c>
      <c r="O476" s="145">
        <v>2</v>
      </c>
      <c r="P476" s="145">
        <v>0.013</v>
      </c>
      <c r="Q476" s="145">
        <f t="shared" si="129"/>
        <v>73.39</v>
      </c>
      <c r="R476" s="145">
        <f t="shared" si="130"/>
        <v>129.25</v>
      </c>
      <c r="S476" s="126">
        <f t="shared" si="146"/>
        <v>152.5</v>
      </c>
      <c r="T476" s="147">
        <f t="shared" si="131"/>
        <v>6.4625</v>
      </c>
      <c r="U476" s="142" t="str">
        <f t="shared" si="147"/>
        <v>[{2,1,305000,305000},{5103001,1,20000,20000},{1,2,750,750},{50002,1,9000,11000},{30,1,11,14},{9,1,112,137}]</v>
      </c>
      <c r="V476" s="142" t="str">
        <f t="shared" si="148"/>
        <v>[{2,1,305000,305000},{5103001,1,40000,40000},{50002,1,6000,6000},{5203001,1,5000,5000},{21360,1,1000,1000},{5301000,1,900,1000},{5303001,1,1800,2200},{11,1,400,600}]</v>
      </c>
      <c r="X476" s="142" t="str">
        <f t="shared" si="132"/>
        <v>{2,1,305000,305000}</v>
      </c>
      <c r="Y476" s="142"/>
      <c r="Z476" s="142" t="str">
        <f t="shared" si="133"/>
        <v>{5103001,1,20000,20000}</v>
      </c>
      <c r="AA476" s="142" t="str">
        <f t="shared" si="150"/>
        <v>{1,2,750,750}</v>
      </c>
      <c r="AD476" s="142" t="str">
        <f t="shared" si="134"/>
        <v>{50002,1,9000,11000}</v>
      </c>
      <c r="AE476" s="142" t="str">
        <f t="shared" si="149"/>
        <v>{30,1,11,14}</v>
      </c>
      <c r="AG476" s="142" t="str">
        <f t="shared" si="135"/>
        <v>{9,1,112,137}</v>
      </c>
      <c r="AH476" s="142" t="str">
        <f t="shared" si="136"/>
        <v>{2,1,305000,305000}</v>
      </c>
      <c r="AI476" s="142" t="str">
        <f t="shared" si="137"/>
        <v>{5103001,1,40000,40000}</v>
      </c>
      <c r="AJ476" s="142" t="str">
        <f t="shared" si="138"/>
        <v>{50002,1,6000,6000}</v>
      </c>
      <c r="AK476" s="142" t="str">
        <f t="shared" si="139"/>
        <v>{5203001,1,5000,5000}</v>
      </c>
      <c r="AL476" s="142" t="str">
        <f t="shared" si="140"/>
        <v>{21360,1,1000,1000}</v>
      </c>
      <c r="AM476" s="142" t="str">
        <f t="shared" si="141"/>
        <v>{5301000,1,900,1000}</v>
      </c>
      <c r="AO476" s="142" t="str">
        <f t="shared" si="142"/>
        <v>{5303001,1,1800,2200}</v>
      </c>
      <c r="AP476" s="142" t="s">
        <v>210</v>
      </c>
      <c r="AQ476" s="142"/>
    </row>
    <row r="477" spans="1:43">
      <c r="A477" s="143" t="str">
        <f t="shared" si="143"/>
        <v>[{2,1,306000,306000},{5103001,1,20000,20000}]</v>
      </c>
      <c r="B477" s="98">
        <f t="shared" si="144"/>
        <v>167</v>
      </c>
      <c r="C477" s="144">
        <v>306</v>
      </c>
      <c r="D477" s="145">
        <f t="shared" si="145"/>
        <v>306</v>
      </c>
      <c r="E477" s="145">
        <v>40</v>
      </c>
      <c r="F477" s="145">
        <v>20</v>
      </c>
      <c r="G477" s="146">
        <v>1</v>
      </c>
      <c r="H477" s="146">
        <v>6</v>
      </c>
      <c r="I477" s="146">
        <v>10</v>
      </c>
      <c r="J477" s="146">
        <v>5</v>
      </c>
      <c r="K477" s="146">
        <v>1</v>
      </c>
      <c r="L477" s="146">
        <v>1.5</v>
      </c>
      <c r="M477" s="145">
        <v>0.125</v>
      </c>
      <c r="N477" s="145">
        <v>0.5</v>
      </c>
      <c r="O477" s="145">
        <v>2</v>
      </c>
      <c r="P477" s="145">
        <v>0.013</v>
      </c>
      <c r="Q477" s="145">
        <f t="shared" si="129"/>
        <v>73.44</v>
      </c>
      <c r="R477" s="145">
        <f t="shared" si="130"/>
        <v>129.3</v>
      </c>
      <c r="S477" s="126">
        <f t="shared" si="146"/>
        <v>153</v>
      </c>
      <c r="T477" s="147">
        <f t="shared" si="131"/>
        <v>6.465</v>
      </c>
      <c r="U477" s="142" t="str">
        <f t="shared" si="147"/>
        <v>[{2,1,306000,306000},{5103001,1,20000,20000},{1,2,750,750},{50002,1,9000,11000},{30,1,11,14},{9,1,112,137}]</v>
      </c>
      <c r="V477" s="142" t="str">
        <f t="shared" si="148"/>
        <v>[{2,1,306000,306000},{5103001,1,40000,40000},{50002,1,6000,6000},{5203001,1,5000,5000},{21360,1,1000,1000},{5301000,1,900,1000},{5303001,1,1800,2200},{11,1,400,600}]</v>
      </c>
      <c r="X477" s="142" t="str">
        <f t="shared" si="132"/>
        <v>{2,1,306000,306000}</v>
      </c>
      <c r="Y477" s="142"/>
      <c r="Z477" s="142" t="str">
        <f t="shared" si="133"/>
        <v>{5103001,1,20000,20000}</v>
      </c>
      <c r="AA477" s="142" t="str">
        <f t="shared" si="150"/>
        <v>{1,2,750,750}</v>
      </c>
      <c r="AD477" s="142" t="str">
        <f t="shared" si="134"/>
        <v>{50002,1,9000,11000}</v>
      </c>
      <c r="AE477" s="142" t="str">
        <f t="shared" si="149"/>
        <v>{30,1,11,14}</v>
      </c>
      <c r="AG477" s="142" t="str">
        <f t="shared" si="135"/>
        <v>{9,1,112,137}</v>
      </c>
      <c r="AH477" s="142" t="str">
        <f t="shared" si="136"/>
        <v>{2,1,306000,306000}</v>
      </c>
      <c r="AI477" s="142" t="str">
        <f t="shared" si="137"/>
        <v>{5103001,1,40000,40000}</v>
      </c>
      <c r="AJ477" s="142" t="str">
        <f t="shared" si="138"/>
        <v>{50002,1,6000,6000}</v>
      </c>
      <c r="AK477" s="142" t="str">
        <f t="shared" si="139"/>
        <v>{5203001,1,5000,5000}</v>
      </c>
      <c r="AL477" s="142" t="str">
        <f t="shared" si="140"/>
        <v>{21360,1,1000,1000}</v>
      </c>
      <c r="AM477" s="142" t="str">
        <f t="shared" si="141"/>
        <v>{5301000,1,900,1000}</v>
      </c>
      <c r="AO477" s="142" t="str">
        <f t="shared" si="142"/>
        <v>{5303001,1,1800,2200}</v>
      </c>
      <c r="AP477" s="142" t="s">
        <v>210</v>
      </c>
      <c r="AQ477" s="142"/>
    </row>
    <row r="478" spans="1:43">
      <c r="A478" s="143" t="str">
        <f t="shared" si="143"/>
        <v>[{2,1,307000,307000},{5103001,1,20000,20000}]</v>
      </c>
      <c r="B478" s="98">
        <f t="shared" si="144"/>
        <v>168</v>
      </c>
      <c r="C478" s="144">
        <v>307</v>
      </c>
      <c r="D478" s="145">
        <f t="shared" si="145"/>
        <v>307</v>
      </c>
      <c r="E478" s="145">
        <v>40</v>
      </c>
      <c r="F478" s="145">
        <v>20</v>
      </c>
      <c r="G478" s="146">
        <v>1</v>
      </c>
      <c r="H478" s="146">
        <v>6</v>
      </c>
      <c r="I478" s="146">
        <v>10</v>
      </c>
      <c r="J478" s="146">
        <v>5</v>
      </c>
      <c r="K478" s="146">
        <v>1</v>
      </c>
      <c r="L478" s="146">
        <v>1.5</v>
      </c>
      <c r="M478" s="145">
        <v>0.125</v>
      </c>
      <c r="N478" s="145">
        <v>0.5</v>
      </c>
      <c r="O478" s="145">
        <v>2</v>
      </c>
      <c r="P478" s="145">
        <v>0.013</v>
      </c>
      <c r="Q478" s="145">
        <f t="shared" si="129"/>
        <v>73.49</v>
      </c>
      <c r="R478" s="145">
        <f t="shared" si="130"/>
        <v>129.35</v>
      </c>
      <c r="S478" s="126">
        <f t="shared" si="146"/>
        <v>153.5</v>
      </c>
      <c r="T478" s="147">
        <f t="shared" si="131"/>
        <v>6.4675</v>
      </c>
      <c r="U478" s="142" t="str">
        <f t="shared" si="147"/>
        <v>[{2,1,307000,307000},{5103001,1,20000,20000},{1,2,750,750},{50002,1,9000,11000},{30,1,11,14},{9,1,112,137}]</v>
      </c>
      <c r="V478" s="142" t="str">
        <f t="shared" si="148"/>
        <v>[{2,1,307000,307000},{5103001,1,40000,40000},{50002,1,6000,6000},{5203001,1,5000,5000},{21360,1,1000,1000},{5301000,1,900,1000},{5303001,1,1800,2200},{11,1,400,600}]</v>
      </c>
      <c r="X478" s="142" t="str">
        <f t="shared" si="132"/>
        <v>{2,1,307000,307000}</v>
      </c>
      <c r="Y478" s="142"/>
      <c r="Z478" s="142" t="str">
        <f t="shared" si="133"/>
        <v>{5103001,1,20000,20000}</v>
      </c>
      <c r="AA478" s="142" t="str">
        <f t="shared" si="150"/>
        <v>{1,2,750,750}</v>
      </c>
      <c r="AD478" s="142" t="str">
        <f t="shared" si="134"/>
        <v>{50002,1,9000,11000}</v>
      </c>
      <c r="AE478" s="142" t="str">
        <f t="shared" si="149"/>
        <v>{30,1,11,14}</v>
      </c>
      <c r="AG478" s="142" t="str">
        <f t="shared" si="135"/>
        <v>{9,1,112,137}</v>
      </c>
      <c r="AH478" s="142" t="str">
        <f t="shared" si="136"/>
        <v>{2,1,307000,307000}</v>
      </c>
      <c r="AI478" s="142" t="str">
        <f t="shared" si="137"/>
        <v>{5103001,1,40000,40000}</v>
      </c>
      <c r="AJ478" s="142" t="str">
        <f t="shared" si="138"/>
        <v>{50002,1,6000,6000}</v>
      </c>
      <c r="AK478" s="142" t="str">
        <f t="shared" si="139"/>
        <v>{5203001,1,5000,5000}</v>
      </c>
      <c r="AL478" s="142" t="str">
        <f t="shared" si="140"/>
        <v>{21360,1,1000,1000}</v>
      </c>
      <c r="AM478" s="142" t="str">
        <f t="shared" si="141"/>
        <v>{5301000,1,900,1000}</v>
      </c>
      <c r="AO478" s="142" t="str">
        <f t="shared" si="142"/>
        <v>{5303001,1,1800,2200}</v>
      </c>
      <c r="AP478" s="142" t="s">
        <v>210</v>
      </c>
      <c r="AQ478" s="142"/>
    </row>
    <row r="479" spans="1:43">
      <c r="A479" s="143" t="str">
        <f t="shared" si="143"/>
        <v>[{2,1,308000,308000},{5103001,1,20000,20000}]</v>
      </c>
      <c r="B479" s="98">
        <f t="shared" si="144"/>
        <v>169</v>
      </c>
      <c r="C479" s="144">
        <v>308</v>
      </c>
      <c r="D479" s="145">
        <f t="shared" si="145"/>
        <v>308</v>
      </c>
      <c r="E479" s="145">
        <v>40</v>
      </c>
      <c r="F479" s="145">
        <v>20</v>
      </c>
      <c r="G479" s="146">
        <v>1</v>
      </c>
      <c r="H479" s="146">
        <v>6</v>
      </c>
      <c r="I479" s="146">
        <v>10</v>
      </c>
      <c r="J479" s="146">
        <v>5</v>
      </c>
      <c r="K479" s="146">
        <v>1</v>
      </c>
      <c r="L479" s="146">
        <v>1.5</v>
      </c>
      <c r="M479" s="145">
        <v>0.125</v>
      </c>
      <c r="N479" s="145">
        <v>0.5</v>
      </c>
      <c r="O479" s="145">
        <v>2</v>
      </c>
      <c r="P479" s="145">
        <v>0.013</v>
      </c>
      <c r="Q479" s="145">
        <f t="shared" si="129"/>
        <v>73.54</v>
      </c>
      <c r="R479" s="145">
        <f t="shared" si="130"/>
        <v>129.4</v>
      </c>
      <c r="S479" s="126">
        <f t="shared" si="146"/>
        <v>154</v>
      </c>
      <c r="T479" s="147">
        <f t="shared" si="131"/>
        <v>6.47</v>
      </c>
      <c r="U479" s="142" t="str">
        <f t="shared" si="147"/>
        <v>[{2,1,308000,308000},{5103001,1,20000,20000},{1,2,750,750},{50002,1,9000,11000},{30,1,11,14},{9,1,112,137}]</v>
      </c>
      <c r="V479" s="142" t="str">
        <f t="shared" si="148"/>
        <v>[{2,1,308000,308000},{5103001,1,40000,40000},{50002,1,6000,6000},{5203001,1,5000,5000},{21360,1,1000,1000},{5301000,1,900,1000},{5303001,1,1800,2200},{11,1,400,600}]</v>
      </c>
      <c r="X479" s="142" t="str">
        <f t="shared" si="132"/>
        <v>{2,1,308000,308000}</v>
      </c>
      <c r="Y479" s="142"/>
      <c r="Z479" s="142" t="str">
        <f t="shared" si="133"/>
        <v>{5103001,1,20000,20000}</v>
      </c>
      <c r="AA479" s="142" t="str">
        <f t="shared" si="150"/>
        <v>{1,2,750,750}</v>
      </c>
      <c r="AD479" s="142" t="str">
        <f t="shared" si="134"/>
        <v>{50002,1,9000,11000}</v>
      </c>
      <c r="AE479" s="142" t="str">
        <f t="shared" si="149"/>
        <v>{30,1,11,14}</v>
      </c>
      <c r="AG479" s="142" t="str">
        <f t="shared" si="135"/>
        <v>{9,1,112,137}</v>
      </c>
      <c r="AH479" s="142" t="str">
        <f t="shared" si="136"/>
        <v>{2,1,308000,308000}</v>
      </c>
      <c r="AI479" s="142" t="str">
        <f t="shared" si="137"/>
        <v>{5103001,1,40000,40000}</v>
      </c>
      <c r="AJ479" s="142" t="str">
        <f t="shared" si="138"/>
        <v>{50002,1,6000,6000}</v>
      </c>
      <c r="AK479" s="142" t="str">
        <f t="shared" si="139"/>
        <v>{5203001,1,5000,5000}</v>
      </c>
      <c r="AL479" s="142" t="str">
        <f t="shared" si="140"/>
        <v>{21360,1,1000,1000}</v>
      </c>
      <c r="AM479" s="142" t="str">
        <f t="shared" si="141"/>
        <v>{5301000,1,900,1000}</v>
      </c>
      <c r="AO479" s="142" t="str">
        <f t="shared" si="142"/>
        <v>{5303001,1,1800,2200}</v>
      </c>
      <c r="AP479" s="142" t="s">
        <v>210</v>
      </c>
      <c r="AQ479" s="142"/>
    </row>
    <row r="480" spans="1:43">
      <c r="A480" s="143" t="str">
        <f t="shared" si="143"/>
        <v>[{2,1,309000,309000},{5103001,1,20000,20000}]</v>
      </c>
      <c r="B480" s="98">
        <f t="shared" si="144"/>
        <v>170</v>
      </c>
      <c r="C480" s="144">
        <v>309</v>
      </c>
      <c r="D480" s="145">
        <f t="shared" si="145"/>
        <v>309</v>
      </c>
      <c r="E480" s="145">
        <v>40</v>
      </c>
      <c r="F480" s="145">
        <v>20</v>
      </c>
      <c r="G480" s="146">
        <v>1</v>
      </c>
      <c r="H480" s="146">
        <v>6</v>
      </c>
      <c r="I480" s="146">
        <v>10</v>
      </c>
      <c r="J480" s="146">
        <v>5</v>
      </c>
      <c r="K480" s="146">
        <v>1</v>
      </c>
      <c r="L480" s="146">
        <v>1.5</v>
      </c>
      <c r="M480" s="145">
        <v>0.125</v>
      </c>
      <c r="N480" s="145">
        <v>0.5</v>
      </c>
      <c r="O480" s="145">
        <v>2</v>
      </c>
      <c r="P480" s="145">
        <v>0.013</v>
      </c>
      <c r="Q480" s="145">
        <f t="shared" si="129"/>
        <v>73.59</v>
      </c>
      <c r="R480" s="145">
        <f t="shared" si="130"/>
        <v>129.45</v>
      </c>
      <c r="S480" s="126">
        <f t="shared" si="146"/>
        <v>154.5</v>
      </c>
      <c r="T480" s="147">
        <f t="shared" si="131"/>
        <v>6.4725</v>
      </c>
      <c r="U480" s="142" t="str">
        <f t="shared" si="147"/>
        <v>[{2,1,309000,309000},{5103001,1,20000,20000},{1,2,750,750},{50002,1,9000,11000},{30,1,11,14},{9,1,112,137}]</v>
      </c>
      <c r="V480" s="142" t="str">
        <f t="shared" si="148"/>
        <v>[{2,1,309000,309000},{5103001,1,40000,40000},{50002,1,6000,6000},{5203001,1,5000,5000},{21360,1,1000,1000},{5301000,1,900,1000},{5303001,1,1800,2200},{11,1,400,600}]</v>
      </c>
      <c r="X480" s="142" t="str">
        <f t="shared" si="132"/>
        <v>{2,1,309000,309000}</v>
      </c>
      <c r="Y480" s="142"/>
      <c r="Z480" s="142" t="str">
        <f t="shared" si="133"/>
        <v>{5103001,1,20000,20000}</v>
      </c>
      <c r="AA480" s="142" t="str">
        <f t="shared" si="150"/>
        <v>{1,2,750,750}</v>
      </c>
      <c r="AD480" s="142" t="str">
        <f t="shared" si="134"/>
        <v>{50002,1,9000,11000}</v>
      </c>
      <c r="AE480" s="142" t="str">
        <f t="shared" si="149"/>
        <v>{30,1,11,14}</v>
      </c>
      <c r="AG480" s="142" t="str">
        <f t="shared" si="135"/>
        <v>{9,1,112,137}</v>
      </c>
      <c r="AH480" s="142" t="str">
        <f t="shared" si="136"/>
        <v>{2,1,309000,309000}</v>
      </c>
      <c r="AI480" s="142" t="str">
        <f t="shared" si="137"/>
        <v>{5103001,1,40000,40000}</v>
      </c>
      <c r="AJ480" s="142" t="str">
        <f t="shared" si="138"/>
        <v>{50002,1,6000,6000}</v>
      </c>
      <c r="AK480" s="142" t="str">
        <f t="shared" si="139"/>
        <v>{5203001,1,5000,5000}</v>
      </c>
      <c r="AL480" s="142" t="str">
        <f t="shared" si="140"/>
        <v>{21360,1,1000,1000}</v>
      </c>
      <c r="AM480" s="142" t="str">
        <f t="shared" si="141"/>
        <v>{5301000,1,900,1000}</v>
      </c>
      <c r="AO480" s="142" t="str">
        <f t="shared" si="142"/>
        <v>{5303001,1,1800,2200}</v>
      </c>
      <c r="AP480" s="142" t="s">
        <v>210</v>
      </c>
      <c r="AQ480" s="142"/>
    </row>
    <row r="481" spans="1:43">
      <c r="A481" s="143" t="str">
        <f t="shared" si="143"/>
        <v>[{2,1,310000,310000},{5103001,1,20000,20000}]</v>
      </c>
      <c r="B481" s="98">
        <f t="shared" si="144"/>
        <v>171</v>
      </c>
      <c r="C481" s="144">
        <v>310</v>
      </c>
      <c r="D481" s="145">
        <f t="shared" si="145"/>
        <v>310</v>
      </c>
      <c r="E481" s="145">
        <v>40</v>
      </c>
      <c r="F481" s="145">
        <v>20</v>
      </c>
      <c r="G481" s="146">
        <v>1</v>
      </c>
      <c r="H481" s="146">
        <v>6</v>
      </c>
      <c r="I481" s="146">
        <v>10</v>
      </c>
      <c r="J481" s="146">
        <v>5</v>
      </c>
      <c r="K481" s="146">
        <v>1</v>
      </c>
      <c r="L481" s="146">
        <v>1.5</v>
      </c>
      <c r="M481" s="145">
        <v>0.125</v>
      </c>
      <c r="N481" s="145">
        <v>0.5</v>
      </c>
      <c r="O481" s="145">
        <v>2</v>
      </c>
      <c r="P481" s="145">
        <v>0.013</v>
      </c>
      <c r="Q481" s="145">
        <f t="shared" si="129"/>
        <v>73.64</v>
      </c>
      <c r="R481" s="145">
        <f t="shared" si="130"/>
        <v>129.5</v>
      </c>
      <c r="S481" s="126">
        <f t="shared" si="146"/>
        <v>155</v>
      </c>
      <c r="T481" s="147">
        <f t="shared" si="131"/>
        <v>6.475</v>
      </c>
      <c r="U481" s="142" t="str">
        <f t="shared" si="147"/>
        <v>[{2,1,310000,310000},{5103001,1,20000,20000},{1,2,750,750},{50002,1,9000,11000},{30,1,11,14},{9,1,112,137}]</v>
      </c>
      <c r="V481" s="142" t="str">
        <f t="shared" si="148"/>
        <v>[{2,1,310000,310000},{5103001,1,40000,40000},{50002,1,6000,6000},{5203001,1,5000,5000},{21360,1,1000,1000},{5301000,1,900,1000},{5303001,1,1800,2200},{11,1,400,600}]</v>
      </c>
      <c r="X481" s="142" t="str">
        <f t="shared" si="132"/>
        <v>{2,1,310000,310000}</v>
      </c>
      <c r="Y481" s="142"/>
      <c r="Z481" s="142" t="str">
        <f t="shared" si="133"/>
        <v>{5103001,1,20000,20000}</v>
      </c>
      <c r="AA481" s="142" t="str">
        <f t="shared" si="150"/>
        <v>{1,2,750,750}</v>
      </c>
      <c r="AD481" s="142" t="str">
        <f t="shared" si="134"/>
        <v>{50002,1,9000,11000}</v>
      </c>
      <c r="AE481" s="142" t="str">
        <f t="shared" si="149"/>
        <v>{30,1,11,14}</v>
      </c>
      <c r="AG481" s="142" t="str">
        <f t="shared" si="135"/>
        <v>{9,1,112,137}</v>
      </c>
      <c r="AH481" s="142" t="str">
        <f t="shared" si="136"/>
        <v>{2,1,310000,310000}</v>
      </c>
      <c r="AI481" s="142" t="str">
        <f t="shared" si="137"/>
        <v>{5103001,1,40000,40000}</v>
      </c>
      <c r="AJ481" s="142" t="str">
        <f t="shared" si="138"/>
        <v>{50002,1,6000,6000}</v>
      </c>
      <c r="AK481" s="142" t="str">
        <f t="shared" si="139"/>
        <v>{5203001,1,5000,5000}</v>
      </c>
      <c r="AL481" s="142" t="str">
        <f t="shared" si="140"/>
        <v>{21360,1,1000,1000}</v>
      </c>
      <c r="AM481" s="142" t="str">
        <f t="shared" si="141"/>
        <v>{5301000,1,900,1000}</v>
      </c>
      <c r="AO481" s="142" t="str">
        <f t="shared" si="142"/>
        <v>{5303001,1,1800,2200}</v>
      </c>
      <c r="AP481" s="142" t="s">
        <v>210</v>
      </c>
      <c r="AQ481" s="142"/>
    </row>
    <row r="482" spans="1:43">
      <c r="A482" s="143" t="str">
        <f t="shared" si="143"/>
        <v>[{2,1,311000,311000},{5103001,1,20000,20000}]</v>
      </c>
      <c r="B482" s="98">
        <f t="shared" si="144"/>
        <v>172</v>
      </c>
      <c r="C482" s="144">
        <v>311</v>
      </c>
      <c r="D482" s="145">
        <f t="shared" si="145"/>
        <v>311</v>
      </c>
      <c r="E482" s="145">
        <v>40</v>
      </c>
      <c r="F482" s="145">
        <v>20</v>
      </c>
      <c r="G482" s="146">
        <v>1</v>
      </c>
      <c r="H482" s="146">
        <v>6</v>
      </c>
      <c r="I482" s="146">
        <v>10</v>
      </c>
      <c r="J482" s="146">
        <v>5</v>
      </c>
      <c r="K482" s="146">
        <v>1</v>
      </c>
      <c r="L482" s="146">
        <v>1.5</v>
      </c>
      <c r="M482" s="145">
        <v>0.125</v>
      </c>
      <c r="N482" s="145">
        <v>0.5</v>
      </c>
      <c r="O482" s="145">
        <v>2</v>
      </c>
      <c r="P482" s="145">
        <v>0.013</v>
      </c>
      <c r="Q482" s="145">
        <f t="shared" si="129"/>
        <v>73.69</v>
      </c>
      <c r="R482" s="145">
        <f t="shared" si="130"/>
        <v>129.55</v>
      </c>
      <c r="S482" s="126">
        <f t="shared" si="146"/>
        <v>155.5</v>
      </c>
      <c r="T482" s="147">
        <f t="shared" si="131"/>
        <v>6.4775</v>
      </c>
      <c r="U482" s="142" t="str">
        <f t="shared" si="147"/>
        <v>[{2,1,311000,311000},{5103001,1,20000,20000},{1,2,750,750},{50002,1,9000,11000},{30,1,11,14},{9,1,112,137}]</v>
      </c>
      <c r="V482" s="142" t="str">
        <f t="shared" si="148"/>
        <v>[{2,1,311000,311000},{5103001,1,40000,40000},{50002,1,6000,6000},{5203001,1,5000,5000},{21360,1,1000,1000},{5301000,1,900,1000},{5303001,1,1800,2200},{11,1,400,600}]</v>
      </c>
      <c r="X482" s="142" t="str">
        <f t="shared" si="132"/>
        <v>{2,1,311000,311000}</v>
      </c>
      <c r="Y482" s="142"/>
      <c r="Z482" s="142" t="str">
        <f t="shared" si="133"/>
        <v>{5103001,1,20000,20000}</v>
      </c>
      <c r="AA482" s="142" t="str">
        <f t="shared" si="150"/>
        <v>{1,2,750,750}</v>
      </c>
      <c r="AD482" s="142" t="str">
        <f t="shared" si="134"/>
        <v>{50002,1,9000,11000}</v>
      </c>
      <c r="AE482" s="142" t="str">
        <f t="shared" si="149"/>
        <v>{30,1,11,14}</v>
      </c>
      <c r="AG482" s="142" t="str">
        <f t="shared" si="135"/>
        <v>{9,1,112,137}</v>
      </c>
      <c r="AH482" s="142" t="str">
        <f t="shared" si="136"/>
        <v>{2,1,311000,311000}</v>
      </c>
      <c r="AI482" s="142" t="str">
        <f t="shared" si="137"/>
        <v>{5103001,1,40000,40000}</v>
      </c>
      <c r="AJ482" s="142" t="str">
        <f t="shared" si="138"/>
        <v>{50002,1,6000,6000}</v>
      </c>
      <c r="AK482" s="142" t="str">
        <f t="shared" si="139"/>
        <v>{5203001,1,5000,5000}</v>
      </c>
      <c r="AL482" s="142" t="str">
        <f t="shared" si="140"/>
        <v>{21360,1,1000,1000}</v>
      </c>
      <c r="AM482" s="142" t="str">
        <f t="shared" si="141"/>
        <v>{5301000,1,900,1000}</v>
      </c>
      <c r="AO482" s="142" t="str">
        <f t="shared" si="142"/>
        <v>{5303001,1,1800,2200}</v>
      </c>
      <c r="AP482" s="142" t="s">
        <v>210</v>
      </c>
      <c r="AQ482" s="142"/>
    </row>
    <row r="483" spans="1:43">
      <c r="A483" s="143" t="str">
        <f t="shared" si="143"/>
        <v>[{2,1,312000,312000},{5103001,1,20000,20000}]</v>
      </c>
      <c r="B483" s="98">
        <f t="shared" si="144"/>
        <v>173</v>
      </c>
      <c r="C483" s="144">
        <v>312</v>
      </c>
      <c r="D483" s="145">
        <f t="shared" si="145"/>
        <v>312</v>
      </c>
      <c r="E483" s="145">
        <v>40</v>
      </c>
      <c r="F483" s="145">
        <v>20</v>
      </c>
      <c r="G483" s="146">
        <v>1</v>
      </c>
      <c r="H483" s="146">
        <v>6</v>
      </c>
      <c r="I483" s="146">
        <v>10</v>
      </c>
      <c r="J483" s="146">
        <v>5</v>
      </c>
      <c r="K483" s="146">
        <v>1</v>
      </c>
      <c r="L483" s="146">
        <v>1.5</v>
      </c>
      <c r="M483" s="145">
        <v>0.125</v>
      </c>
      <c r="N483" s="145">
        <v>0.5</v>
      </c>
      <c r="O483" s="145">
        <v>2</v>
      </c>
      <c r="P483" s="145">
        <v>0.013</v>
      </c>
      <c r="Q483" s="145">
        <f t="shared" si="129"/>
        <v>73.74</v>
      </c>
      <c r="R483" s="145">
        <f t="shared" si="130"/>
        <v>129.6</v>
      </c>
      <c r="S483" s="126">
        <f t="shared" si="146"/>
        <v>156</v>
      </c>
      <c r="T483" s="147">
        <f t="shared" si="131"/>
        <v>6.48</v>
      </c>
      <c r="U483" s="142" t="str">
        <f t="shared" si="147"/>
        <v>[{2,1,312000,312000},{5103001,1,20000,20000},{1,2,750,750},{50002,1,9000,11000},{30,1,11,14},{9,1,112,137}]</v>
      </c>
      <c r="V483" s="142" t="str">
        <f t="shared" si="148"/>
        <v>[{2,1,312000,312000},{5103001,1,40000,40000},{50002,1,6000,6000},{5203001,1,5000,5000},{21360,1,1000,1000},{5301000,1,900,1000},{5303001,1,1800,2200},{11,1,400,600}]</v>
      </c>
      <c r="X483" s="142" t="str">
        <f t="shared" si="132"/>
        <v>{2,1,312000,312000}</v>
      </c>
      <c r="Y483" s="142"/>
      <c r="Z483" s="142" t="str">
        <f t="shared" si="133"/>
        <v>{5103001,1,20000,20000}</v>
      </c>
      <c r="AA483" s="142" t="str">
        <f t="shared" si="150"/>
        <v>{1,2,750,750}</v>
      </c>
      <c r="AD483" s="142" t="str">
        <f t="shared" si="134"/>
        <v>{50002,1,9000,11000}</v>
      </c>
      <c r="AE483" s="142" t="str">
        <f t="shared" si="149"/>
        <v>{30,1,11,14}</v>
      </c>
      <c r="AG483" s="142" t="str">
        <f t="shared" si="135"/>
        <v>{9,1,112,137}</v>
      </c>
      <c r="AH483" s="142" t="str">
        <f t="shared" si="136"/>
        <v>{2,1,312000,312000}</v>
      </c>
      <c r="AI483" s="142" t="str">
        <f t="shared" si="137"/>
        <v>{5103001,1,40000,40000}</v>
      </c>
      <c r="AJ483" s="142" t="str">
        <f t="shared" si="138"/>
        <v>{50002,1,6000,6000}</v>
      </c>
      <c r="AK483" s="142" t="str">
        <f t="shared" si="139"/>
        <v>{5203001,1,5000,5000}</v>
      </c>
      <c r="AL483" s="142" t="str">
        <f t="shared" si="140"/>
        <v>{21360,1,1000,1000}</v>
      </c>
      <c r="AM483" s="142" t="str">
        <f t="shared" si="141"/>
        <v>{5301000,1,900,1000}</v>
      </c>
      <c r="AO483" s="142" t="str">
        <f t="shared" si="142"/>
        <v>{5303001,1,1800,2200}</v>
      </c>
      <c r="AP483" s="142" t="s">
        <v>210</v>
      </c>
      <c r="AQ483" s="142"/>
    </row>
    <row r="484" spans="1:43">
      <c r="A484" s="143" t="str">
        <f t="shared" si="143"/>
        <v>[{2,1,313000,313000},{5103001,1,20000,20000}]</v>
      </c>
      <c r="B484" s="98">
        <f t="shared" si="144"/>
        <v>174</v>
      </c>
      <c r="C484" s="144">
        <v>313</v>
      </c>
      <c r="D484" s="145">
        <f t="shared" si="145"/>
        <v>313</v>
      </c>
      <c r="E484" s="145">
        <v>40</v>
      </c>
      <c r="F484" s="145">
        <v>20</v>
      </c>
      <c r="G484" s="146">
        <v>1</v>
      </c>
      <c r="H484" s="146">
        <v>6</v>
      </c>
      <c r="I484" s="146">
        <v>10</v>
      </c>
      <c r="J484" s="146">
        <v>5</v>
      </c>
      <c r="K484" s="146">
        <v>1</v>
      </c>
      <c r="L484" s="146">
        <v>1.5</v>
      </c>
      <c r="M484" s="145">
        <v>0.125</v>
      </c>
      <c r="N484" s="145">
        <v>0.5</v>
      </c>
      <c r="O484" s="145">
        <v>2</v>
      </c>
      <c r="P484" s="145">
        <v>0.013</v>
      </c>
      <c r="Q484" s="145">
        <f t="shared" si="129"/>
        <v>73.79</v>
      </c>
      <c r="R484" s="145">
        <f t="shared" si="130"/>
        <v>129.65</v>
      </c>
      <c r="S484" s="126">
        <f t="shared" si="146"/>
        <v>156.5</v>
      </c>
      <c r="T484" s="147">
        <f t="shared" si="131"/>
        <v>6.4825</v>
      </c>
      <c r="U484" s="142" t="str">
        <f t="shared" si="147"/>
        <v>[{2,1,313000,313000},{5103001,1,20000,20000},{1,2,750,750},{50002,1,9000,11000},{30,1,11,14},{9,1,112,137}]</v>
      </c>
      <c r="V484" s="142" t="str">
        <f t="shared" si="148"/>
        <v>[{2,1,313000,313000},{5103001,1,40000,40000},{50002,1,6000,6000},{5203001,1,5000,5000},{21360,1,1000,1000},{5301000,1,900,1000},{5303001,1,1800,2200},{11,1,400,600}]</v>
      </c>
      <c r="X484" s="142" t="str">
        <f t="shared" si="132"/>
        <v>{2,1,313000,313000}</v>
      </c>
      <c r="Y484" s="142"/>
      <c r="Z484" s="142" t="str">
        <f t="shared" si="133"/>
        <v>{5103001,1,20000,20000}</v>
      </c>
      <c r="AA484" s="142" t="str">
        <f t="shared" si="150"/>
        <v>{1,2,750,750}</v>
      </c>
      <c r="AD484" s="142" t="str">
        <f t="shared" si="134"/>
        <v>{50002,1,9000,11000}</v>
      </c>
      <c r="AE484" s="142" t="str">
        <f t="shared" si="149"/>
        <v>{30,1,11,14}</v>
      </c>
      <c r="AG484" s="142" t="str">
        <f t="shared" si="135"/>
        <v>{9,1,112,137}</v>
      </c>
      <c r="AH484" s="142" t="str">
        <f t="shared" si="136"/>
        <v>{2,1,313000,313000}</v>
      </c>
      <c r="AI484" s="142" t="str">
        <f t="shared" si="137"/>
        <v>{5103001,1,40000,40000}</v>
      </c>
      <c r="AJ484" s="142" t="str">
        <f t="shared" si="138"/>
        <v>{50002,1,6000,6000}</v>
      </c>
      <c r="AK484" s="142" t="str">
        <f t="shared" si="139"/>
        <v>{5203001,1,5000,5000}</v>
      </c>
      <c r="AL484" s="142" t="str">
        <f t="shared" si="140"/>
        <v>{21360,1,1000,1000}</v>
      </c>
      <c r="AM484" s="142" t="str">
        <f t="shared" si="141"/>
        <v>{5301000,1,900,1000}</v>
      </c>
      <c r="AO484" s="142" t="str">
        <f t="shared" si="142"/>
        <v>{5303001,1,1800,2200}</v>
      </c>
      <c r="AP484" s="142" t="s">
        <v>210</v>
      </c>
      <c r="AQ484" s="142"/>
    </row>
    <row r="485" spans="1:43">
      <c r="A485" s="143" t="str">
        <f t="shared" si="143"/>
        <v>[{2,1,314000,314000},{5103001,1,20000,20000}]</v>
      </c>
      <c r="B485" s="98">
        <f t="shared" si="144"/>
        <v>175</v>
      </c>
      <c r="C485" s="144">
        <v>314</v>
      </c>
      <c r="D485" s="145">
        <f t="shared" si="145"/>
        <v>314</v>
      </c>
      <c r="E485" s="145">
        <v>40</v>
      </c>
      <c r="F485" s="145">
        <v>20</v>
      </c>
      <c r="G485" s="146">
        <v>1</v>
      </c>
      <c r="H485" s="146">
        <v>6</v>
      </c>
      <c r="I485" s="146">
        <v>10</v>
      </c>
      <c r="J485" s="146">
        <v>5</v>
      </c>
      <c r="K485" s="146">
        <v>1</v>
      </c>
      <c r="L485" s="146">
        <v>1.5</v>
      </c>
      <c r="M485" s="145">
        <v>0.125</v>
      </c>
      <c r="N485" s="145">
        <v>0.5</v>
      </c>
      <c r="O485" s="145">
        <v>2</v>
      </c>
      <c r="P485" s="145">
        <v>0.013</v>
      </c>
      <c r="Q485" s="145">
        <f t="shared" si="129"/>
        <v>73.84</v>
      </c>
      <c r="R485" s="145">
        <f t="shared" si="130"/>
        <v>129.7</v>
      </c>
      <c r="S485" s="126">
        <f t="shared" si="146"/>
        <v>157</v>
      </c>
      <c r="T485" s="147">
        <f t="shared" si="131"/>
        <v>6.485</v>
      </c>
      <c r="U485" s="142" t="str">
        <f t="shared" si="147"/>
        <v>[{2,1,314000,314000},{5103001,1,20000,20000},{1,2,750,750},{50002,1,9000,11000},{30,1,11,14},{9,1,112,137}]</v>
      </c>
      <c r="V485" s="142" t="str">
        <f t="shared" si="148"/>
        <v>[{2,1,314000,314000},{5103001,1,40000,40000},{50002,1,6000,6000},{5203001,1,5000,5000},{21360,1,1000,1000},{5301000,1,900,1000},{5303001,1,1800,2200},{11,1,400,600}]</v>
      </c>
      <c r="X485" s="142" t="str">
        <f t="shared" si="132"/>
        <v>{2,1,314000,314000}</v>
      </c>
      <c r="Y485" s="142"/>
      <c r="Z485" s="142" t="str">
        <f t="shared" si="133"/>
        <v>{5103001,1,20000,20000}</v>
      </c>
      <c r="AA485" s="142" t="str">
        <f t="shared" si="150"/>
        <v>{1,2,750,750}</v>
      </c>
      <c r="AD485" s="142" t="str">
        <f t="shared" si="134"/>
        <v>{50002,1,9000,11000}</v>
      </c>
      <c r="AE485" s="142" t="str">
        <f t="shared" si="149"/>
        <v>{30,1,11,14}</v>
      </c>
      <c r="AG485" s="142" t="str">
        <f t="shared" si="135"/>
        <v>{9,1,112,137}</v>
      </c>
      <c r="AH485" s="142" t="str">
        <f t="shared" si="136"/>
        <v>{2,1,314000,314000}</v>
      </c>
      <c r="AI485" s="142" t="str">
        <f t="shared" si="137"/>
        <v>{5103001,1,40000,40000}</v>
      </c>
      <c r="AJ485" s="142" t="str">
        <f t="shared" si="138"/>
        <v>{50002,1,6000,6000}</v>
      </c>
      <c r="AK485" s="142" t="str">
        <f t="shared" si="139"/>
        <v>{5203001,1,5000,5000}</v>
      </c>
      <c r="AL485" s="142" t="str">
        <f t="shared" si="140"/>
        <v>{21360,1,1000,1000}</v>
      </c>
      <c r="AM485" s="142" t="str">
        <f t="shared" si="141"/>
        <v>{5301000,1,900,1000}</v>
      </c>
      <c r="AO485" s="142" t="str">
        <f t="shared" si="142"/>
        <v>{5303001,1,1800,2200}</v>
      </c>
      <c r="AP485" s="142" t="s">
        <v>210</v>
      </c>
      <c r="AQ485" s="142"/>
    </row>
    <row r="486" spans="1:43">
      <c r="A486" s="143" t="str">
        <f t="shared" si="143"/>
        <v>[{2,1,315000,315000},{5103001,1,20000,20000}]</v>
      </c>
      <c r="B486" s="98">
        <f t="shared" si="144"/>
        <v>176</v>
      </c>
      <c r="C486" s="144">
        <v>315</v>
      </c>
      <c r="D486" s="145">
        <f t="shared" si="145"/>
        <v>315</v>
      </c>
      <c r="E486" s="145">
        <v>40</v>
      </c>
      <c r="F486" s="145">
        <v>20</v>
      </c>
      <c r="G486" s="146">
        <v>1</v>
      </c>
      <c r="H486" s="146">
        <v>6</v>
      </c>
      <c r="I486" s="146">
        <v>10</v>
      </c>
      <c r="J486" s="146">
        <v>5</v>
      </c>
      <c r="K486" s="146">
        <v>1</v>
      </c>
      <c r="L486" s="146">
        <v>1.5</v>
      </c>
      <c r="M486" s="145">
        <v>0.125</v>
      </c>
      <c r="N486" s="145">
        <v>0.5</v>
      </c>
      <c r="O486" s="145">
        <v>2</v>
      </c>
      <c r="P486" s="145">
        <v>0.013</v>
      </c>
      <c r="Q486" s="145">
        <f t="shared" si="129"/>
        <v>73.89</v>
      </c>
      <c r="R486" s="145">
        <f t="shared" si="130"/>
        <v>129.75</v>
      </c>
      <c r="S486" s="126">
        <f t="shared" si="146"/>
        <v>157.5</v>
      </c>
      <c r="T486" s="147">
        <f t="shared" si="131"/>
        <v>6.4875</v>
      </c>
      <c r="U486" s="142" t="str">
        <f t="shared" si="147"/>
        <v>[{2,1,315000,315000},{5103001,1,20000,20000},{1,2,750,750},{50002,1,9000,11000},{30,1,11,14},{9,1,112,137}]</v>
      </c>
      <c r="V486" s="142" t="str">
        <f t="shared" si="148"/>
        <v>[{2,1,315000,315000},{5103001,1,40000,40000},{50002,1,6000,6000},{5203001,1,5000,5000},{21360,1,1000,1000},{5301000,1,900,1000},{5303001,1,1800,2200},{11,1,400,600}]</v>
      </c>
      <c r="X486" s="142" t="str">
        <f t="shared" si="132"/>
        <v>{2,1,315000,315000}</v>
      </c>
      <c r="Y486" s="142"/>
      <c r="Z486" s="142" t="str">
        <f t="shared" si="133"/>
        <v>{5103001,1,20000,20000}</v>
      </c>
      <c r="AA486" s="142" t="str">
        <f t="shared" si="150"/>
        <v>{1,2,750,750}</v>
      </c>
      <c r="AD486" s="142" t="str">
        <f t="shared" si="134"/>
        <v>{50002,1,9000,11000}</v>
      </c>
      <c r="AE486" s="142" t="str">
        <f t="shared" si="149"/>
        <v>{30,1,11,14}</v>
      </c>
      <c r="AG486" s="142" t="str">
        <f t="shared" si="135"/>
        <v>{9,1,112,137}</v>
      </c>
      <c r="AH486" s="142" t="str">
        <f t="shared" si="136"/>
        <v>{2,1,315000,315000}</v>
      </c>
      <c r="AI486" s="142" t="str">
        <f t="shared" si="137"/>
        <v>{5103001,1,40000,40000}</v>
      </c>
      <c r="AJ486" s="142" t="str">
        <f t="shared" si="138"/>
        <v>{50002,1,6000,6000}</v>
      </c>
      <c r="AK486" s="142" t="str">
        <f t="shared" si="139"/>
        <v>{5203001,1,5000,5000}</v>
      </c>
      <c r="AL486" s="142" t="str">
        <f t="shared" si="140"/>
        <v>{21360,1,1000,1000}</v>
      </c>
      <c r="AM486" s="142" t="str">
        <f t="shared" si="141"/>
        <v>{5301000,1,900,1000}</v>
      </c>
      <c r="AO486" s="142" t="str">
        <f t="shared" si="142"/>
        <v>{5303001,1,1800,2200}</v>
      </c>
      <c r="AP486" s="142" t="s">
        <v>210</v>
      </c>
      <c r="AQ486" s="142"/>
    </row>
    <row r="487" spans="1:43">
      <c r="A487" s="143" t="str">
        <f t="shared" si="143"/>
        <v>[{2,1,316000,316000},{5103001,1,20000,20000}]</v>
      </c>
      <c r="B487" s="98">
        <f t="shared" si="144"/>
        <v>177</v>
      </c>
      <c r="C487" s="144">
        <v>316</v>
      </c>
      <c r="D487" s="145">
        <f t="shared" si="145"/>
        <v>316</v>
      </c>
      <c r="E487" s="145">
        <v>40</v>
      </c>
      <c r="F487" s="145">
        <v>20</v>
      </c>
      <c r="G487" s="146">
        <v>1</v>
      </c>
      <c r="H487" s="146">
        <v>6</v>
      </c>
      <c r="I487" s="146">
        <v>10</v>
      </c>
      <c r="J487" s="146">
        <v>5</v>
      </c>
      <c r="K487" s="146">
        <v>1</v>
      </c>
      <c r="L487" s="146">
        <v>1.5</v>
      </c>
      <c r="M487" s="145">
        <v>0.125</v>
      </c>
      <c r="N487" s="145">
        <v>0.5</v>
      </c>
      <c r="O487" s="145">
        <v>2</v>
      </c>
      <c r="P487" s="145">
        <v>0.013</v>
      </c>
      <c r="Q487" s="145">
        <f t="shared" si="129"/>
        <v>73.94</v>
      </c>
      <c r="R487" s="145">
        <f t="shared" si="130"/>
        <v>129.8</v>
      </c>
      <c r="S487" s="126">
        <f t="shared" si="146"/>
        <v>158</v>
      </c>
      <c r="T487" s="147">
        <f t="shared" si="131"/>
        <v>6.49</v>
      </c>
      <c r="U487" s="142" t="str">
        <f t="shared" si="147"/>
        <v>[{2,1,316000,316000},{5103001,1,20000,20000},{1,2,750,750},{50002,1,9000,11000},{30,1,11,14},{9,1,112,137}]</v>
      </c>
      <c r="V487" s="142" t="str">
        <f t="shared" si="148"/>
        <v>[{2,1,316000,316000},{5103001,1,40000,40000},{50002,1,6000,6000},{5203001,1,5000,5000},{21360,1,1000,1000},{5301000,1,900,1000},{5303001,1,1800,2200},{11,1,400,600}]</v>
      </c>
      <c r="X487" s="142" t="str">
        <f t="shared" si="132"/>
        <v>{2,1,316000,316000}</v>
      </c>
      <c r="Y487" s="142"/>
      <c r="Z487" s="142" t="str">
        <f t="shared" si="133"/>
        <v>{5103001,1,20000,20000}</v>
      </c>
      <c r="AA487" s="142" t="str">
        <f t="shared" si="150"/>
        <v>{1,2,750,750}</v>
      </c>
      <c r="AD487" s="142" t="str">
        <f t="shared" si="134"/>
        <v>{50002,1,9000,11000}</v>
      </c>
      <c r="AE487" s="142" t="str">
        <f t="shared" si="149"/>
        <v>{30,1,11,14}</v>
      </c>
      <c r="AG487" s="142" t="str">
        <f t="shared" si="135"/>
        <v>{9,1,112,137}</v>
      </c>
      <c r="AH487" s="142" t="str">
        <f t="shared" si="136"/>
        <v>{2,1,316000,316000}</v>
      </c>
      <c r="AI487" s="142" t="str">
        <f t="shared" si="137"/>
        <v>{5103001,1,40000,40000}</v>
      </c>
      <c r="AJ487" s="142" t="str">
        <f t="shared" si="138"/>
        <v>{50002,1,6000,6000}</v>
      </c>
      <c r="AK487" s="142" t="str">
        <f t="shared" si="139"/>
        <v>{5203001,1,5000,5000}</v>
      </c>
      <c r="AL487" s="142" t="str">
        <f t="shared" si="140"/>
        <v>{21360,1,1000,1000}</v>
      </c>
      <c r="AM487" s="142" t="str">
        <f t="shared" si="141"/>
        <v>{5301000,1,900,1000}</v>
      </c>
      <c r="AO487" s="142" t="str">
        <f t="shared" si="142"/>
        <v>{5303001,1,1800,2200}</v>
      </c>
      <c r="AP487" s="142" t="s">
        <v>210</v>
      </c>
      <c r="AQ487" s="142"/>
    </row>
    <row r="488" spans="1:43">
      <c r="A488" s="143" t="str">
        <f t="shared" si="143"/>
        <v>[{2,1,317000,317000},{5103001,1,20000,20000}]</v>
      </c>
      <c r="B488" s="98">
        <f t="shared" si="144"/>
        <v>178</v>
      </c>
      <c r="C488" s="144">
        <v>317</v>
      </c>
      <c r="D488" s="145">
        <f t="shared" si="145"/>
        <v>317</v>
      </c>
      <c r="E488" s="145">
        <v>40</v>
      </c>
      <c r="F488" s="145">
        <v>20</v>
      </c>
      <c r="G488" s="146">
        <v>1</v>
      </c>
      <c r="H488" s="146">
        <v>6</v>
      </c>
      <c r="I488" s="146">
        <v>10</v>
      </c>
      <c r="J488" s="146">
        <v>5</v>
      </c>
      <c r="K488" s="146">
        <v>1</v>
      </c>
      <c r="L488" s="146">
        <v>1.5</v>
      </c>
      <c r="M488" s="145">
        <v>0.125</v>
      </c>
      <c r="N488" s="145">
        <v>0.5</v>
      </c>
      <c r="O488" s="145">
        <v>2</v>
      </c>
      <c r="P488" s="145">
        <v>0.013</v>
      </c>
      <c r="Q488" s="145">
        <f t="shared" si="129"/>
        <v>73.99</v>
      </c>
      <c r="R488" s="145">
        <f t="shared" si="130"/>
        <v>129.85</v>
      </c>
      <c r="S488" s="126">
        <f t="shared" si="146"/>
        <v>158.5</v>
      </c>
      <c r="T488" s="147">
        <f t="shared" si="131"/>
        <v>6.4925</v>
      </c>
      <c r="U488" s="142" t="str">
        <f t="shared" si="147"/>
        <v>[{2,1,317000,317000},{5103001,1,20000,20000},{1,2,750,750},{50002,1,9000,11000},{30,1,11,14},{9,1,112,137}]</v>
      </c>
      <c r="V488" s="142" t="str">
        <f t="shared" si="148"/>
        <v>[{2,1,317000,317000},{5103001,1,40000,40000},{50002,1,6000,6000},{5203001,1,5000,5000},{21360,1,1000,1000},{5301000,1,900,1000},{5303001,1,1800,2200},{11,1,400,600}]</v>
      </c>
      <c r="X488" s="142" t="str">
        <f t="shared" si="132"/>
        <v>{2,1,317000,317000}</v>
      </c>
      <c r="Y488" s="142"/>
      <c r="Z488" s="142" t="str">
        <f t="shared" si="133"/>
        <v>{5103001,1,20000,20000}</v>
      </c>
      <c r="AA488" s="142" t="str">
        <f t="shared" si="150"/>
        <v>{1,2,750,750}</v>
      </c>
      <c r="AD488" s="142" t="str">
        <f t="shared" si="134"/>
        <v>{50002,1,9000,11000}</v>
      </c>
      <c r="AE488" s="142" t="str">
        <f t="shared" si="149"/>
        <v>{30,1,11,14}</v>
      </c>
      <c r="AG488" s="142" t="str">
        <f t="shared" si="135"/>
        <v>{9,1,112,137}</v>
      </c>
      <c r="AH488" s="142" t="str">
        <f t="shared" si="136"/>
        <v>{2,1,317000,317000}</v>
      </c>
      <c r="AI488" s="142" t="str">
        <f t="shared" si="137"/>
        <v>{5103001,1,40000,40000}</v>
      </c>
      <c r="AJ488" s="142" t="str">
        <f t="shared" si="138"/>
        <v>{50002,1,6000,6000}</v>
      </c>
      <c r="AK488" s="142" t="str">
        <f t="shared" si="139"/>
        <v>{5203001,1,5000,5000}</v>
      </c>
      <c r="AL488" s="142" t="str">
        <f t="shared" si="140"/>
        <v>{21360,1,1000,1000}</v>
      </c>
      <c r="AM488" s="142" t="str">
        <f t="shared" si="141"/>
        <v>{5301000,1,900,1000}</v>
      </c>
      <c r="AO488" s="142" t="str">
        <f t="shared" si="142"/>
        <v>{5303001,1,1800,2200}</v>
      </c>
      <c r="AP488" s="142" t="s">
        <v>210</v>
      </c>
      <c r="AQ488" s="142"/>
    </row>
    <row r="489" spans="1:43">
      <c r="A489" s="143" t="str">
        <f t="shared" si="143"/>
        <v>[{2,1,318000,318000},{5103001,1,20000,20000}]</v>
      </c>
      <c r="B489" s="98">
        <f t="shared" si="144"/>
        <v>179</v>
      </c>
      <c r="C489" s="144">
        <v>318</v>
      </c>
      <c r="D489" s="145">
        <f t="shared" si="145"/>
        <v>318</v>
      </c>
      <c r="E489" s="145">
        <v>40</v>
      </c>
      <c r="F489" s="145">
        <v>20</v>
      </c>
      <c r="G489" s="146">
        <v>1</v>
      </c>
      <c r="H489" s="146">
        <v>6</v>
      </c>
      <c r="I489" s="146">
        <v>10</v>
      </c>
      <c r="J489" s="146">
        <v>5</v>
      </c>
      <c r="K489" s="146">
        <v>1</v>
      </c>
      <c r="L489" s="146">
        <v>1.5</v>
      </c>
      <c r="M489" s="145">
        <v>0.125</v>
      </c>
      <c r="N489" s="145">
        <v>0.5</v>
      </c>
      <c r="O489" s="145">
        <v>2</v>
      </c>
      <c r="P489" s="145">
        <v>0.013</v>
      </c>
      <c r="Q489" s="145">
        <f t="shared" si="129"/>
        <v>74.04</v>
      </c>
      <c r="R489" s="145">
        <f t="shared" si="130"/>
        <v>129.9</v>
      </c>
      <c r="S489" s="126">
        <f t="shared" si="146"/>
        <v>159</v>
      </c>
      <c r="T489" s="147">
        <f t="shared" si="131"/>
        <v>6.495</v>
      </c>
      <c r="U489" s="142" t="str">
        <f t="shared" si="147"/>
        <v>[{2,1,318000,318000},{5103001,1,20000,20000},{1,2,750,750},{50002,1,9000,11000},{30,1,11,14},{9,1,112,137}]</v>
      </c>
      <c r="V489" s="142" t="str">
        <f t="shared" si="148"/>
        <v>[{2,1,318000,318000},{5103001,1,40000,40000},{50002,1,6000,6000},{5203001,1,5000,5000},{21360,1,1000,1000},{5301000,1,900,1000},{5303001,1,1800,2200},{11,1,400,600}]</v>
      </c>
      <c r="X489" s="142" t="str">
        <f t="shared" si="132"/>
        <v>{2,1,318000,318000}</v>
      </c>
      <c r="Y489" s="142"/>
      <c r="Z489" s="142" t="str">
        <f t="shared" si="133"/>
        <v>{5103001,1,20000,20000}</v>
      </c>
      <c r="AA489" s="142" t="str">
        <f t="shared" si="150"/>
        <v>{1,2,750,750}</v>
      </c>
      <c r="AD489" s="142" t="str">
        <f t="shared" si="134"/>
        <v>{50002,1,9000,11000}</v>
      </c>
      <c r="AE489" s="142" t="str">
        <f t="shared" si="149"/>
        <v>{30,1,11,14}</v>
      </c>
      <c r="AG489" s="142" t="str">
        <f t="shared" si="135"/>
        <v>{9,1,112,137}</v>
      </c>
      <c r="AH489" s="142" t="str">
        <f t="shared" si="136"/>
        <v>{2,1,318000,318000}</v>
      </c>
      <c r="AI489" s="142" t="str">
        <f t="shared" si="137"/>
        <v>{5103001,1,40000,40000}</v>
      </c>
      <c r="AJ489" s="142" t="str">
        <f t="shared" si="138"/>
        <v>{50002,1,6000,6000}</v>
      </c>
      <c r="AK489" s="142" t="str">
        <f t="shared" si="139"/>
        <v>{5203001,1,5000,5000}</v>
      </c>
      <c r="AL489" s="142" t="str">
        <f t="shared" si="140"/>
        <v>{21360,1,1000,1000}</v>
      </c>
      <c r="AM489" s="142" t="str">
        <f t="shared" si="141"/>
        <v>{5301000,1,900,1000}</v>
      </c>
      <c r="AO489" s="142" t="str">
        <f t="shared" si="142"/>
        <v>{5303001,1,1800,2200}</v>
      </c>
      <c r="AP489" s="142" t="s">
        <v>210</v>
      </c>
      <c r="AQ489" s="142"/>
    </row>
    <row r="490" spans="1:43">
      <c r="A490" s="143" t="str">
        <f t="shared" si="143"/>
        <v>[{2,1,319000,319000},{5103001,1,20000,20000}]</v>
      </c>
      <c r="B490" s="98">
        <f t="shared" si="144"/>
        <v>180</v>
      </c>
      <c r="C490" s="144">
        <v>319</v>
      </c>
      <c r="D490" s="145">
        <f t="shared" si="145"/>
        <v>319</v>
      </c>
      <c r="E490" s="145">
        <v>40</v>
      </c>
      <c r="F490" s="145">
        <v>20</v>
      </c>
      <c r="G490" s="146">
        <v>1</v>
      </c>
      <c r="H490" s="146">
        <v>6</v>
      </c>
      <c r="I490" s="146">
        <v>10</v>
      </c>
      <c r="J490" s="146">
        <v>5</v>
      </c>
      <c r="K490" s="146">
        <v>1</v>
      </c>
      <c r="L490" s="146">
        <v>1.5</v>
      </c>
      <c r="M490" s="145">
        <v>0.125</v>
      </c>
      <c r="N490" s="145">
        <v>0.5</v>
      </c>
      <c r="O490" s="145">
        <v>2</v>
      </c>
      <c r="P490" s="145">
        <v>0.013</v>
      </c>
      <c r="Q490" s="145">
        <f t="shared" si="129"/>
        <v>74.09</v>
      </c>
      <c r="R490" s="145">
        <f t="shared" si="130"/>
        <v>129.95</v>
      </c>
      <c r="S490" s="126">
        <f t="shared" si="146"/>
        <v>159.5</v>
      </c>
      <c r="T490" s="147">
        <f t="shared" si="131"/>
        <v>6.4975</v>
      </c>
      <c r="U490" s="142" t="str">
        <f t="shared" si="147"/>
        <v>[{2,1,319000,319000},{5103001,1,20000,20000},{1,2,750,750},{50002,1,9000,11000},{30,1,11,14},{9,1,112,137}]</v>
      </c>
      <c r="V490" s="142" t="str">
        <f t="shared" si="148"/>
        <v>[{2,1,319000,319000},{5103001,1,40000,40000},{50002,1,6000,6000},{5203001,1,5000,5000},{21360,1,1000,1000},{5301000,1,900,1000},{5303001,1,1800,2200},{11,1,400,600}]</v>
      </c>
      <c r="X490" s="142" t="str">
        <f t="shared" si="132"/>
        <v>{2,1,319000,319000}</v>
      </c>
      <c r="Y490" s="142"/>
      <c r="Z490" s="142" t="str">
        <f t="shared" si="133"/>
        <v>{5103001,1,20000,20000}</v>
      </c>
      <c r="AA490" s="142" t="str">
        <f t="shared" si="150"/>
        <v>{1,2,750,750}</v>
      </c>
      <c r="AD490" s="142" t="str">
        <f t="shared" si="134"/>
        <v>{50002,1,9000,11000}</v>
      </c>
      <c r="AE490" s="142" t="str">
        <f t="shared" si="149"/>
        <v>{30,1,11,14}</v>
      </c>
      <c r="AG490" s="142" t="str">
        <f t="shared" si="135"/>
        <v>{9,1,112,137}</v>
      </c>
      <c r="AH490" s="142" t="str">
        <f t="shared" si="136"/>
        <v>{2,1,319000,319000}</v>
      </c>
      <c r="AI490" s="142" t="str">
        <f t="shared" si="137"/>
        <v>{5103001,1,40000,40000}</v>
      </c>
      <c r="AJ490" s="142" t="str">
        <f t="shared" si="138"/>
        <v>{50002,1,6000,6000}</v>
      </c>
      <c r="AK490" s="142" t="str">
        <f t="shared" si="139"/>
        <v>{5203001,1,5000,5000}</v>
      </c>
      <c r="AL490" s="142" t="str">
        <f t="shared" si="140"/>
        <v>{21360,1,1000,1000}</v>
      </c>
      <c r="AM490" s="142" t="str">
        <f t="shared" si="141"/>
        <v>{5301000,1,900,1000}</v>
      </c>
      <c r="AO490" s="142" t="str">
        <f t="shared" si="142"/>
        <v>{5303001,1,1800,2200}</v>
      </c>
      <c r="AP490" s="142" t="s">
        <v>210</v>
      </c>
      <c r="AQ490" s="142"/>
    </row>
    <row r="491" spans="1:43">
      <c r="A491" s="143" t="str">
        <f t="shared" si="143"/>
        <v>[{2,1,320000,320000},{5103001,1,20000,20000}]</v>
      </c>
      <c r="B491" s="98">
        <f t="shared" si="144"/>
        <v>181</v>
      </c>
      <c r="C491" s="144">
        <v>320</v>
      </c>
      <c r="D491" s="145">
        <f t="shared" si="145"/>
        <v>320</v>
      </c>
      <c r="E491" s="145">
        <v>40</v>
      </c>
      <c r="F491" s="145">
        <v>20</v>
      </c>
      <c r="G491" s="146">
        <v>1</v>
      </c>
      <c r="H491" s="146">
        <v>6</v>
      </c>
      <c r="I491" s="146">
        <v>10</v>
      </c>
      <c r="J491" s="146">
        <v>5</v>
      </c>
      <c r="K491" s="146">
        <v>1</v>
      </c>
      <c r="L491" s="146">
        <v>1.5</v>
      </c>
      <c r="M491" s="145">
        <v>0.125</v>
      </c>
      <c r="N491" s="145">
        <v>0.5</v>
      </c>
      <c r="O491" s="145">
        <v>2</v>
      </c>
      <c r="P491" s="145">
        <v>0.013</v>
      </c>
      <c r="Q491" s="145">
        <f t="shared" si="129"/>
        <v>74.14</v>
      </c>
      <c r="R491" s="145">
        <f t="shared" si="130"/>
        <v>130</v>
      </c>
      <c r="S491" s="126">
        <f t="shared" si="146"/>
        <v>160</v>
      </c>
      <c r="T491" s="147">
        <f t="shared" si="131"/>
        <v>6.5</v>
      </c>
      <c r="U491" s="142" t="str">
        <f t="shared" si="147"/>
        <v>[{2,1,320000,320000},{5103001,1,20000,20000},{1,2,750,750},{50002,1,9000,11000},{30,1,11,14},{9,1,112,137}]</v>
      </c>
      <c r="V491" s="142" t="str">
        <f t="shared" si="148"/>
        <v>[{2,1,320000,320000},{5103001,1,40000,40000},{50002,1,6000,6000},{5203001,1,5000,5000},{21360,1,1000,1000},{5301000,1,900,1000},{5303001,1,1800,2200},{11,1,400,600}]</v>
      </c>
      <c r="X491" s="142" t="str">
        <f t="shared" si="132"/>
        <v>{2,1,320000,320000}</v>
      </c>
      <c r="Y491" s="142"/>
      <c r="Z491" s="142" t="str">
        <f t="shared" si="133"/>
        <v>{5103001,1,20000,20000}</v>
      </c>
      <c r="AA491" s="142" t="str">
        <f t="shared" si="150"/>
        <v>{1,2,750,750}</v>
      </c>
      <c r="AD491" s="142" t="str">
        <f t="shared" si="134"/>
        <v>{50002,1,9000,11000}</v>
      </c>
      <c r="AE491" s="142" t="str">
        <f t="shared" si="149"/>
        <v>{30,1,11,14}</v>
      </c>
      <c r="AG491" s="142" t="str">
        <f t="shared" si="135"/>
        <v>{9,1,112,137}</v>
      </c>
      <c r="AH491" s="142" t="str">
        <f t="shared" si="136"/>
        <v>{2,1,320000,320000}</v>
      </c>
      <c r="AI491" s="142" t="str">
        <f t="shared" si="137"/>
        <v>{5103001,1,40000,40000}</v>
      </c>
      <c r="AJ491" s="142" t="str">
        <f t="shared" si="138"/>
        <v>{50002,1,6000,6000}</v>
      </c>
      <c r="AK491" s="142" t="str">
        <f t="shared" si="139"/>
        <v>{5203001,1,5000,5000}</v>
      </c>
      <c r="AL491" s="142" t="str">
        <f t="shared" si="140"/>
        <v>{21360,1,1000,1000}</v>
      </c>
      <c r="AM491" s="142" t="str">
        <f t="shared" si="141"/>
        <v>{5301000,1,900,1000}</v>
      </c>
      <c r="AO491" s="142" t="str">
        <f t="shared" si="142"/>
        <v>{5303001,1,1800,2200}</v>
      </c>
      <c r="AP491" s="142" t="s">
        <v>210</v>
      </c>
      <c r="AQ491" s="142"/>
    </row>
    <row r="492" spans="1:43">
      <c r="A492" s="143" t="str">
        <f t="shared" si="143"/>
        <v>[{2,1,321000,321000},{5103001,1,20000,20000}]</v>
      </c>
      <c r="B492" s="98">
        <f t="shared" si="144"/>
        <v>182</v>
      </c>
      <c r="C492" s="144">
        <v>321</v>
      </c>
      <c r="D492" s="145">
        <f t="shared" si="145"/>
        <v>321</v>
      </c>
      <c r="E492" s="145">
        <v>40</v>
      </c>
      <c r="F492" s="145">
        <v>20</v>
      </c>
      <c r="G492" s="146">
        <v>1</v>
      </c>
      <c r="H492" s="146">
        <v>6</v>
      </c>
      <c r="I492" s="146">
        <v>10</v>
      </c>
      <c r="J492" s="146">
        <v>5</v>
      </c>
      <c r="K492" s="146">
        <v>1</v>
      </c>
      <c r="L492" s="146">
        <v>1.5</v>
      </c>
      <c r="M492" s="145">
        <v>0.125</v>
      </c>
      <c r="N492" s="145">
        <v>0.5</v>
      </c>
      <c r="O492" s="145">
        <v>2</v>
      </c>
      <c r="P492" s="145">
        <v>0.013</v>
      </c>
      <c r="Q492" s="145">
        <f t="shared" si="129"/>
        <v>74.19</v>
      </c>
      <c r="R492" s="145">
        <f t="shared" si="130"/>
        <v>130.05</v>
      </c>
      <c r="S492" s="126">
        <f t="shared" si="146"/>
        <v>160.5</v>
      </c>
      <c r="T492" s="147">
        <f t="shared" si="131"/>
        <v>6.5025</v>
      </c>
      <c r="U492" s="142" t="str">
        <f t="shared" si="147"/>
        <v>[{2,1,321000,321000},{5103001,1,20000,20000},{1,2,750,750},{50002,1,9000,11000},{30,1,11,14},{9,1,112,137}]</v>
      </c>
      <c r="V492" s="142" t="str">
        <f t="shared" si="148"/>
        <v>[{2,1,321000,321000},{5103001,1,40000,40000},{50002,1,6000,6000},{5203001,1,5000,5000},{21360,1,1000,1000},{5301000,1,900,1000},{5303001,1,1800,2200},{11,1,400,600}]</v>
      </c>
      <c r="X492" s="142" t="str">
        <f t="shared" si="132"/>
        <v>{2,1,321000,321000}</v>
      </c>
      <c r="Y492" s="142"/>
      <c r="Z492" s="142" t="str">
        <f t="shared" si="133"/>
        <v>{5103001,1,20000,20000}</v>
      </c>
      <c r="AA492" s="142" t="str">
        <f t="shared" si="150"/>
        <v>{1,2,750,750}</v>
      </c>
      <c r="AD492" s="142" t="str">
        <f t="shared" si="134"/>
        <v>{50002,1,9000,11000}</v>
      </c>
      <c r="AE492" s="142" t="str">
        <f t="shared" si="149"/>
        <v>{30,1,11,14}</v>
      </c>
      <c r="AG492" s="142" t="str">
        <f t="shared" si="135"/>
        <v>{9,1,112,137}</v>
      </c>
      <c r="AH492" s="142" t="str">
        <f t="shared" si="136"/>
        <v>{2,1,321000,321000}</v>
      </c>
      <c r="AI492" s="142" t="str">
        <f t="shared" si="137"/>
        <v>{5103001,1,40000,40000}</v>
      </c>
      <c r="AJ492" s="142" t="str">
        <f t="shared" si="138"/>
        <v>{50002,1,6000,6000}</v>
      </c>
      <c r="AK492" s="142" t="str">
        <f t="shared" si="139"/>
        <v>{5203001,1,5000,5000}</v>
      </c>
      <c r="AL492" s="142" t="str">
        <f t="shared" si="140"/>
        <v>{21360,1,1000,1000}</v>
      </c>
      <c r="AM492" s="142" t="str">
        <f t="shared" si="141"/>
        <v>{5301000,1,900,1000}</v>
      </c>
      <c r="AO492" s="142" t="str">
        <f t="shared" si="142"/>
        <v>{5303001,1,1800,2200}</v>
      </c>
      <c r="AP492" s="142" t="s">
        <v>210</v>
      </c>
      <c r="AQ492" s="142"/>
    </row>
    <row r="493" spans="1:43">
      <c r="A493" s="143" t="str">
        <f t="shared" si="143"/>
        <v>[{2,1,322000,322000},{5103001,1,20000,20000}]</v>
      </c>
      <c r="B493" s="98">
        <f t="shared" si="144"/>
        <v>183</v>
      </c>
      <c r="C493" s="144">
        <v>322</v>
      </c>
      <c r="D493" s="145">
        <f t="shared" si="145"/>
        <v>322</v>
      </c>
      <c r="E493" s="145">
        <v>40</v>
      </c>
      <c r="F493" s="145">
        <v>20</v>
      </c>
      <c r="G493" s="146">
        <v>1</v>
      </c>
      <c r="H493" s="146">
        <v>6</v>
      </c>
      <c r="I493" s="146">
        <v>10</v>
      </c>
      <c r="J493" s="146">
        <v>5</v>
      </c>
      <c r="K493" s="146">
        <v>1</v>
      </c>
      <c r="L493" s="146">
        <v>1.5</v>
      </c>
      <c r="M493" s="145">
        <v>0.125</v>
      </c>
      <c r="N493" s="145">
        <v>0.5</v>
      </c>
      <c r="O493" s="145">
        <v>2</v>
      </c>
      <c r="P493" s="145">
        <v>0.013</v>
      </c>
      <c r="Q493" s="145">
        <f t="shared" si="129"/>
        <v>74.24</v>
      </c>
      <c r="R493" s="145">
        <f t="shared" si="130"/>
        <v>130.1</v>
      </c>
      <c r="S493" s="126">
        <f t="shared" si="146"/>
        <v>161</v>
      </c>
      <c r="T493" s="147">
        <f t="shared" si="131"/>
        <v>6.505</v>
      </c>
      <c r="U493" s="142" t="str">
        <f t="shared" si="147"/>
        <v>[{2,1,322000,322000},{5103001,1,20000,20000},{1,2,750,750},{50002,1,9000,11000},{30,1,11,14},{9,1,112,137}]</v>
      </c>
      <c r="V493" s="142" t="str">
        <f t="shared" si="148"/>
        <v>[{2,1,322000,322000},{5103001,1,40000,40000},{50002,1,6000,6000},{5203001,1,5000,5000},{21360,1,1000,1000},{5301000,1,900,1000},{5303001,1,1800,2200},{11,1,400,600}]</v>
      </c>
      <c r="X493" s="142" t="str">
        <f t="shared" si="132"/>
        <v>{2,1,322000,322000}</v>
      </c>
      <c r="Y493" s="142"/>
      <c r="Z493" s="142" t="str">
        <f t="shared" si="133"/>
        <v>{5103001,1,20000,20000}</v>
      </c>
      <c r="AA493" s="142" t="str">
        <f t="shared" si="150"/>
        <v>{1,2,750,750}</v>
      </c>
      <c r="AD493" s="142" t="str">
        <f t="shared" si="134"/>
        <v>{50002,1,9000,11000}</v>
      </c>
      <c r="AE493" s="142" t="str">
        <f t="shared" si="149"/>
        <v>{30,1,11,14}</v>
      </c>
      <c r="AG493" s="142" t="str">
        <f t="shared" si="135"/>
        <v>{9,1,112,137}</v>
      </c>
      <c r="AH493" s="142" t="str">
        <f t="shared" si="136"/>
        <v>{2,1,322000,322000}</v>
      </c>
      <c r="AI493" s="142" t="str">
        <f t="shared" si="137"/>
        <v>{5103001,1,40000,40000}</v>
      </c>
      <c r="AJ493" s="142" t="str">
        <f t="shared" si="138"/>
        <v>{50002,1,6000,6000}</v>
      </c>
      <c r="AK493" s="142" t="str">
        <f t="shared" si="139"/>
        <v>{5203001,1,5000,5000}</v>
      </c>
      <c r="AL493" s="142" t="str">
        <f t="shared" si="140"/>
        <v>{21360,1,1000,1000}</v>
      </c>
      <c r="AM493" s="142" t="str">
        <f t="shared" si="141"/>
        <v>{5301000,1,900,1000}</v>
      </c>
      <c r="AO493" s="142" t="str">
        <f t="shared" si="142"/>
        <v>{5303001,1,1800,2200}</v>
      </c>
      <c r="AP493" s="142" t="s">
        <v>210</v>
      </c>
      <c r="AQ493" s="142"/>
    </row>
    <row r="494" spans="1:43">
      <c r="A494" s="143" t="str">
        <f t="shared" si="143"/>
        <v>[{2,1,323000,323000},{5103001,1,20000,20000}]</v>
      </c>
      <c r="B494" s="98">
        <f t="shared" si="144"/>
        <v>184</v>
      </c>
      <c r="C494" s="144">
        <v>323</v>
      </c>
      <c r="D494" s="145">
        <f t="shared" si="145"/>
        <v>323</v>
      </c>
      <c r="E494" s="145">
        <v>40</v>
      </c>
      <c r="F494" s="145">
        <v>20</v>
      </c>
      <c r="G494" s="146">
        <v>1</v>
      </c>
      <c r="H494" s="146">
        <v>6</v>
      </c>
      <c r="I494" s="146">
        <v>10</v>
      </c>
      <c r="J494" s="146">
        <v>5</v>
      </c>
      <c r="K494" s="146">
        <v>1</v>
      </c>
      <c r="L494" s="146">
        <v>1.5</v>
      </c>
      <c r="M494" s="145">
        <v>0.125</v>
      </c>
      <c r="N494" s="145">
        <v>0.5</v>
      </c>
      <c r="O494" s="145">
        <v>2</v>
      </c>
      <c r="P494" s="145">
        <v>0.013</v>
      </c>
      <c r="Q494" s="145">
        <f t="shared" si="129"/>
        <v>74.29</v>
      </c>
      <c r="R494" s="145">
        <f t="shared" si="130"/>
        <v>130.15</v>
      </c>
      <c r="S494" s="126">
        <f t="shared" si="146"/>
        <v>161.5</v>
      </c>
      <c r="T494" s="147">
        <f t="shared" si="131"/>
        <v>6.5075</v>
      </c>
      <c r="U494" s="142" t="str">
        <f t="shared" si="147"/>
        <v>[{2,1,323000,323000},{5103001,1,20000,20000},{1,2,750,750},{50002,1,9000,11000},{30,1,11,14},{9,1,112,137}]</v>
      </c>
      <c r="V494" s="142" t="str">
        <f t="shared" si="148"/>
        <v>[{2,1,323000,323000},{5103001,1,40000,40000},{50002,1,6000,6000},{5203001,1,5000,5000},{21360,1,1000,1000},{5301000,1,900,1000},{5303001,1,1800,2200},{11,1,400,600}]</v>
      </c>
      <c r="X494" s="142" t="str">
        <f t="shared" si="132"/>
        <v>{2,1,323000,323000}</v>
      </c>
      <c r="Y494" s="142"/>
      <c r="Z494" s="142" t="str">
        <f t="shared" si="133"/>
        <v>{5103001,1,20000,20000}</v>
      </c>
      <c r="AA494" s="142" t="str">
        <f t="shared" si="150"/>
        <v>{1,2,750,750}</v>
      </c>
      <c r="AD494" s="142" t="str">
        <f t="shared" si="134"/>
        <v>{50002,1,9000,11000}</v>
      </c>
      <c r="AE494" s="142" t="str">
        <f t="shared" si="149"/>
        <v>{30,1,11,14}</v>
      </c>
      <c r="AG494" s="142" t="str">
        <f t="shared" si="135"/>
        <v>{9,1,112,137}</v>
      </c>
      <c r="AH494" s="142" t="str">
        <f t="shared" si="136"/>
        <v>{2,1,323000,323000}</v>
      </c>
      <c r="AI494" s="142" t="str">
        <f t="shared" si="137"/>
        <v>{5103001,1,40000,40000}</v>
      </c>
      <c r="AJ494" s="142" t="str">
        <f t="shared" si="138"/>
        <v>{50002,1,6000,6000}</v>
      </c>
      <c r="AK494" s="142" t="str">
        <f t="shared" si="139"/>
        <v>{5203001,1,5000,5000}</v>
      </c>
      <c r="AL494" s="142" t="str">
        <f t="shared" si="140"/>
        <v>{21360,1,1000,1000}</v>
      </c>
      <c r="AM494" s="142" t="str">
        <f t="shared" si="141"/>
        <v>{5301000,1,900,1000}</v>
      </c>
      <c r="AO494" s="142" t="str">
        <f t="shared" si="142"/>
        <v>{5303001,1,1800,2200}</v>
      </c>
      <c r="AP494" s="142" t="s">
        <v>210</v>
      </c>
      <c r="AQ494" s="142"/>
    </row>
    <row r="495" spans="1:43">
      <c r="A495" s="143" t="str">
        <f t="shared" si="143"/>
        <v>[{2,1,324000,324000},{5103001,1,20000,20000}]</v>
      </c>
      <c r="B495" s="98">
        <f t="shared" si="144"/>
        <v>185</v>
      </c>
      <c r="C495" s="144">
        <v>324</v>
      </c>
      <c r="D495" s="145">
        <f t="shared" si="145"/>
        <v>324</v>
      </c>
      <c r="E495" s="145">
        <v>40</v>
      </c>
      <c r="F495" s="145">
        <v>20</v>
      </c>
      <c r="G495" s="146">
        <v>1</v>
      </c>
      <c r="H495" s="146">
        <v>6</v>
      </c>
      <c r="I495" s="146">
        <v>10</v>
      </c>
      <c r="J495" s="146">
        <v>5</v>
      </c>
      <c r="K495" s="146">
        <v>1</v>
      </c>
      <c r="L495" s="146">
        <v>1.5</v>
      </c>
      <c r="M495" s="145">
        <v>0.125</v>
      </c>
      <c r="N495" s="145">
        <v>0.5</v>
      </c>
      <c r="O495" s="145">
        <v>2</v>
      </c>
      <c r="P495" s="145">
        <v>0.013</v>
      </c>
      <c r="Q495" s="145">
        <f t="shared" si="129"/>
        <v>74.34</v>
      </c>
      <c r="R495" s="145">
        <f t="shared" si="130"/>
        <v>130.2</v>
      </c>
      <c r="S495" s="126">
        <f t="shared" si="146"/>
        <v>162</v>
      </c>
      <c r="T495" s="147">
        <f t="shared" si="131"/>
        <v>6.51</v>
      </c>
      <c r="U495" s="142" t="str">
        <f t="shared" si="147"/>
        <v>[{2,1,324000,324000},{5103001,1,20000,20000},{1,2,750,750},{50002,1,9000,11000},{30,1,11,14},{9,1,112,137}]</v>
      </c>
      <c r="V495" s="142" t="str">
        <f t="shared" si="148"/>
        <v>[{2,1,324000,324000},{5103001,1,40000,40000},{50002,1,6000,6000},{5203001,1,5000,5000},{21360,1,1000,1000},{5301000,1,900,1000},{5303001,1,1800,2200},{11,1,400,600}]</v>
      </c>
      <c r="X495" s="142" t="str">
        <f t="shared" si="132"/>
        <v>{2,1,324000,324000}</v>
      </c>
      <c r="Y495" s="142"/>
      <c r="Z495" s="142" t="str">
        <f t="shared" si="133"/>
        <v>{5103001,1,20000,20000}</v>
      </c>
      <c r="AA495" s="142" t="str">
        <f t="shared" si="150"/>
        <v>{1,2,750,750}</v>
      </c>
      <c r="AD495" s="142" t="str">
        <f t="shared" si="134"/>
        <v>{50002,1,9000,11000}</v>
      </c>
      <c r="AE495" s="142" t="str">
        <f t="shared" si="149"/>
        <v>{30,1,11,14}</v>
      </c>
      <c r="AG495" s="142" t="str">
        <f t="shared" si="135"/>
        <v>{9,1,112,137}</v>
      </c>
      <c r="AH495" s="142" t="str">
        <f t="shared" si="136"/>
        <v>{2,1,324000,324000}</v>
      </c>
      <c r="AI495" s="142" t="str">
        <f t="shared" si="137"/>
        <v>{5103001,1,40000,40000}</v>
      </c>
      <c r="AJ495" s="142" t="str">
        <f t="shared" si="138"/>
        <v>{50002,1,6000,6000}</v>
      </c>
      <c r="AK495" s="142" t="str">
        <f t="shared" si="139"/>
        <v>{5203001,1,5000,5000}</v>
      </c>
      <c r="AL495" s="142" t="str">
        <f t="shared" si="140"/>
        <v>{21360,1,1000,1000}</v>
      </c>
      <c r="AM495" s="142" t="str">
        <f t="shared" si="141"/>
        <v>{5301000,1,900,1000}</v>
      </c>
      <c r="AO495" s="142" t="str">
        <f t="shared" si="142"/>
        <v>{5303001,1,1800,2200}</v>
      </c>
      <c r="AP495" s="142" t="s">
        <v>210</v>
      </c>
      <c r="AQ495" s="142"/>
    </row>
    <row r="496" spans="1:43">
      <c r="A496" s="143" t="str">
        <f t="shared" si="143"/>
        <v>[{2,1,325000,325000},{5103001,1,20000,20000}]</v>
      </c>
      <c r="B496" s="98">
        <f t="shared" si="144"/>
        <v>186</v>
      </c>
      <c r="C496" s="144">
        <v>325</v>
      </c>
      <c r="D496" s="145">
        <f t="shared" si="145"/>
        <v>325</v>
      </c>
      <c r="E496" s="145">
        <v>40</v>
      </c>
      <c r="F496" s="145">
        <v>20</v>
      </c>
      <c r="G496" s="146">
        <v>1</v>
      </c>
      <c r="H496" s="146">
        <v>6</v>
      </c>
      <c r="I496" s="146">
        <v>10</v>
      </c>
      <c r="J496" s="146">
        <v>5</v>
      </c>
      <c r="K496" s="146">
        <v>1</v>
      </c>
      <c r="L496" s="146">
        <v>1.5</v>
      </c>
      <c r="M496" s="145">
        <v>0.125</v>
      </c>
      <c r="N496" s="145">
        <v>0.5</v>
      </c>
      <c r="O496" s="145">
        <v>2</v>
      </c>
      <c r="P496" s="145">
        <v>0.013</v>
      </c>
      <c r="Q496" s="145">
        <f t="shared" si="129"/>
        <v>74.39</v>
      </c>
      <c r="R496" s="145" cm="1">
        <f t="array" ref="R496">SUMPRODUCT($C$306:$P$306,--($C$307:$P$307=R$310),$C496:$P496)</f>
        <v>130.25</v>
      </c>
      <c r="S496" s="126">
        <f t="shared" si="146"/>
        <v>162.5</v>
      </c>
      <c r="T496" s="147">
        <f t="shared" si="131"/>
        <v>6.5125</v>
      </c>
      <c r="U496" s="142" t="str">
        <f t="shared" si="147"/>
        <v>[{2,1,325000,325000},{5103001,1,20000,20000},{1,2,750,750},{50002,1,9000,11000},{30,1,11,14},{9,1,112,137}]</v>
      </c>
      <c r="V496" s="142" t="str">
        <f t="shared" si="148"/>
        <v>[{2,1,325000,325000},{5103001,1,40000,40000},{50002,1,6000,6000},{5203001,1,5000,5000},{21360,1,1000,1000},{5301000,1,900,1000},{5303001,1,1800,2200},{11,1,400,600}]</v>
      </c>
      <c r="X496" s="142" t="str">
        <f t="shared" si="132"/>
        <v>{2,1,325000,325000}</v>
      </c>
      <c r="Y496" s="142"/>
      <c r="Z496" s="142" t="str">
        <f t="shared" si="133"/>
        <v>{5103001,1,20000,20000}</v>
      </c>
      <c r="AA496" s="142" t="str">
        <f t="shared" si="150"/>
        <v>{1,2,750,750}</v>
      </c>
      <c r="AD496" s="142" t="str">
        <f t="shared" si="134"/>
        <v>{50002,1,9000,11000}</v>
      </c>
      <c r="AE496" s="142" t="str">
        <f t="shared" si="149"/>
        <v>{30,1,11,14}</v>
      </c>
      <c r="AG496" s="142" t="str">
        <f t="shared" si="135"/>
        <v>{9,1,112,137}</v>
      </c>
      <c r="AH496" s="142" t="str">
        <f t="shared" si="136"/>
        <v>{2,1,325000,325000}</v>
      </c>
      <c r="AI496" s="142" t="str">
        <f t="shared" si="137"/>
        <v>{5103001,1,40000,40000}</v>
      </c>
      <c r="AJ496" s="142" t="str">
        <f t="shared" si="138"/>
        <v>{50002,1,6000,6000}</v>
      </c>
      <c r="AK496" s="142" t="str">
        <f t="shared" si="139"/>
        <v>{5203001,1,5000,5000}</v>
      </c>
      <c r="AL496" s="142" t="str">
        <f t="shared" si="140"/>
        <v>{21360,1,1000,1000}</v>
      </c>
      <c r="AM496" s="142" t="str">
        <f t="shared" si="141"/>
        <v>{5301000,1,900,1000}</v>
      </c>
      <c r="AO496" s="142" t="str">
        <f t="shared" si="142"/>
        <v>{5303001,1,1800,2200}</v>
      </c>
      <c r="AP496" s="142" t="s">
        <v>210</v>
      </c>
      <c r="AQ496" s="142"/>
    </row>
    <row r="497" spans="1:43">
      <c r="A497" s="143" t="str">
        <f t="shared" si="143"/>
        <v>[{2,1,326000,326000},{5103001,1,20000,20000}]</v>
      </c>
      <c r="B497" s="98">
        <f t="shared" si="144"/>
        <v>187</v>
      </c>
      <c r="C497" s="144">
        <v>326</v>
      </c>
      <c r="D497" s="145">
        <f t="shared" si="145"/>
        <v>326</v>
      </c>
      <c r="E497" s="145">
        <v>40</v>
      </c>
      <c r="F497" s="145">
        <v>20</v>
      </c>
      <c r="G497" s="146">
        <v>1</v>
      </c>
      <c r="H497" s="146">
        <v>6</v>
      </c>
      <c r="I497" s="146">
        <v>10</v>
      </c>
      <c r="J497" s="146">
        <v>5</v>
      </c>
      <c r="K497" s="146">
        <v>1</v>
      </c>
      <c r="L497" s="146">
        <v>1.5</v>
      </c>
      <c r="M497" s="145">
        <v>0.125</v>
      </c>
      <c r="N497" s="145">
        <v>0.5</v>
      </c>
      <c r="O497" s="145">
        <v>2</v>
      </c>
      <c r="P497" s="145">
        <v>0.013</v>
      </c>
      <c r="Q497" s="145">
        <f t="shared" si="129"/>
        <v>74.44</v>
      </c>
      <c r="R497" s="145">
        <f t="shared" si="130"/>
        <v>130.3</v>
      </c>
      <c r="S497" s="126">
        <f t="shared" si="146"/>
        <v>163</v>
      </c>
      <c r="T497" s="147">
        <f t="shared" si="131"/>
        <v>6.515</v>
      </c>
      <c r="U497" s="142" t="str">
        <f t="shared" si="147"/>
        <v>[{2,1,326000,326000},{5103001,1,20000,20000},{1,2,750,750},{50002,1,9000,11000},{30,1,11,14},{9,1,112,137}]</v>
      </c>
      <c r="V497" s="142" t="str">
        <f t="shared" si="148"/>
        <v>[{2,1,326000,326000},{5103001,1,40000,40000},{50002,1,6000,6000},{5203001,1,5000,5000},{21360,1,1000,1000},{5301000,1,900,1000},{5303001,1,1800,2200},{11,1,400,600}]</v>
      </c>
      <c r="X497" s="142" t="str">
        <f t="shared" si="132"/>
        <v>{2,1,326000,326000}</v>
      </c>
      <c r="Y497" s="142"/>
      <c r="Z497" s="142" t="str">
        <f t="shared" si="133"/>
        <v>{5103001,1,20000,20000}</v>
      </c>
      <c r="AA497" s="142" t="str">
        <f t="shared" si="150"/>
        <v>{1,2,750,750}</v>
      </c>
      <c r="AD497" s="142" t="str">
        <f t="shared" si="134"/>
        <v>{50002,1,9000,11000}</v>
      </c>
      <c r="AE497" s="142" t="str">
        <f t="shared" si="149"/>
        <v>{30,1,11,14}</v>
      </c>
      <c r="AG497" s="142" t="str">
        <f t="shared" si="135"/>
        <v>{9,1,112,137}</v>
      </c>
      <c r="AH497" s="142" t="str">
        <f t="shared" si="136"/>
        <v>{2,1,326000,326000}</v>
      </c>
      <c r="AI497" s="142" t="str">
        <f t="shared" si="137"/>
        <v>{5103001,1,40000,40000}</v>
      </c>
      <c r="AJ497" s="142" t="str">
        <f t="shared" si="138"/>
        <v>{50002,1,6000,6000}</v>
      </c>
      <c r="AK497" s="142" t="str">
        <f t="shared" si="139"/>
        <v>{5203001,1,5000,5000}</v>
      </c>
      <c r="AL497" s="142" t="str">
        <f t="shared" si="140"/>
        <v>{21360,1,1000,1000}</v>
      </c>
      <c r="AM497" s="142" t="str">
        <f t="shared" si="141"/>
        <v>{5301000,1,900,1000}</v>
      </c>
      <c r="AO497" s="142" t="str">
        <f t="shared" si="142"/>
        <v>{5303001,1,1800,2200}</v>
      </c>
      <c r="AP497" s="142" t="s">
        <v>210</v>
      </c>
      <c r="AQ497" s="142"/>
    </row>
    <row r="498" spans="1:43">
      <c r="A498" s="143" t="str">
        <f t="shared" si="143"/>
        <v>[{2,1,327000,327000},{5103001,1,20000,20000}]</v>
      </c>
      <c r="B498" s="98">
        <f t="shared" si="144"/>
        <v>188</v>
      </c>
      <c r="C498" s="144">
        <v>327</v>
      </c>
      <c r="D498" s="145">
        <f t="shared" si="145"/>
        <v>327</v>
      </c>
      <c r="E498" s="145">
        <v>40</v>
      </c>
      <c r="F498" s="145">
        <v>20</v>
      </c>
      <c r="G498" s="146">
        <v>1</v>
      </c>
      <c r="H498" s="146">
        <v>6</v>
      </c>
      <c r="I498" s="146">
        <v>10</v>
      </c>
      <c r="J498" s="146">
        <v>5</v>
      </c>
      <c r="K498" s="146">
        <v>1</v>
      </c>
      <c r="L498" s="146">
        <v>1.5</v>
      </c>
      <c r="M498" s="145">
        <v>0.125</v>
      </c>
      <c r="N498" s="145">
        <v>0.5</v>
      </c>
      <c r="O498" s="145">
        <v>2</v>
      </c>
      <c r="P498" s="145">
        <v>0.013</v>
      </c>
      <c r="Q498" s="145">
        <f t="shared" si="129"/>
        <v>74.49</v>
      </c>
      <c r="R498" s="145">
        <f t="shared" si="130"/>
        <v>130.35</v>
      </c>
      <c r="S498" s="126">
        <f t="shared" si="146"/>
        <v>163.5</v>
      </c>
      <c r="T498" s="147">
        <f t="shared" si="131"/>
        <v>6.5175</v>
      </c>
      <c r="U498" s="142" t="str">
        <f t="shared" si="147"/>
        <v>[{2,1,327000,327000},{5103001,1,20000,20000},{1,2,750,750},{50002,1,9000,11000},{30,1,11,14},{9,1,112,137}]</v>
      </c>
      <c r="V498" s="142" t="str">
        <f t="shared" si="148"/>
        <v>[{2,1,327000,327000},{5103001,1,40000,40000},{50002,1,6000,6000},{5203001,1,5000,5000},{21360,1,1000,1000},{5301000,1,900,1000},{5303001,1,1800,2200},{11,1,400,600}]</v>
      </c>
      <c r="X498" s="142" t="str">
        <f t="shared" si="132"/>
        <v>{2,1,327000,327000}</v>
      </c>
      <c r="Y498" s="142"/>
      <c r="Z498" s="142" t="str">
        <f t="shared" si="133"/>
        <v>{5103001,1,20000,20000}</v>
      </c>
      <c r="AA498" s="142" t="str">
        <f t="shared" si="150"/>
        <v>{1,2,750,750}</v>
      </c>
      <c r="AD498" s="142" t="str">
        <f t="shared" si="134"/>
        <v>{50002,1,9000,11000}</v>
      </c>
      <c r="AE498" s="142" t="str">
        <f t="shared" si="149"/>
        <v>{30,1,11,14}</v>
      </c>
      <c r="AG498" s="142" t="str">
        <f t="shared" si="135"/>
        <v>{9,1,112,137}</v>
      </c>
      <c r="AH498" s="142" t="str">
        <f t="shared" si="136"/>
        <v>{2,1,327000,327000}</v>
      </c>
      <c r="AI498" s="142" t="str">
        <f t="shared" si="137"/>
        <v>{5103001,1,40000,40000}</v>
      </c>
      <c r="AJ498" s="142" t="str">
        <f t="shared" si="138"/>
        <v>{50002,1,6000,6000}</v>
      </c>
      <c r="AK498" s="142" t="str">
        <f t="shared" si="139"/>
        <v>{5203001,1,5000,5000}</v>
      </c>
      <c r="AL498" s="142" t="str">
        <f t="shared" si="140"/>
        <v>{21360,1,1000,1000}</v>
      </c>
      <c r="AM498" s="142" t="str">
        <f t="shared" si="141"/>
        <v>{5301000,1,900,1000}</v>
      </c>
      <c r="AO498" s="142" t="str">
        <f t="shared" si="142"/>
        <v>{5303001,1,1800,2200}</v>
      </c>
      <c r="AP498" s="142" t="s">
        <v>210</v>
      </c>
      <c r="AQ498" s="142"/>
    </row>
    <row r="499" spans="1:43">
      <c r="A499" s="143" t="str">
        <f t="shared" si="143"/>
        <v>[{2,1,328000,328000},{5103001,1,20000,20000}]</v>
      </c>
      <c r="B499" s="98">
        <f t="shared" si="144"/>
        <v>189</v>
      </c>
      <c r="C499" s="144">
        <v>328</v>
      </c>
      <c r="D499" s="145">
        <f t="shared" si="145"/>
        <v>328</v>
      </c>
      <c r="E499" s="145">
        <v>40</v>
      </c>
      <c r="F499" s="145">
        <v>20</v>
      </c>
      <c r="G499" s="146">
        <v>1</v>
      </c>
      <c r="H499" s="146">
        <v>6</v>
      </c>
      <c r="I499" s="146">
        <v>10</v>
      </c>
      <c r="J499" s="146">
        <v>5</v>
      </c>
      <c r="K499" s="146">
        <v>1</v>
      </c>
      <c r="L499" s="146">
        <v>1.5</v>
      </c>
      <c r="M499" s="145">
        <v>0.125</v>
      </c>
      <c r="N499" s="145">
        <v>0.5</v>
      </c>
      <c r="O499" s="145">
        <v>2</v>
      </c>
      <c r="P499" s="145">
        <v>0.013</v>
      </c>
      <c r="Q499" s="145">
        <f t="shared" si="129"/>
        <v>74.54</v>
      </c>
      <c r="R499" s="145">
        <f t="shared" si="130"/>
        <v>130.4</v>
      </c>
      <c r="S499" s="126">
        <f t="shared" si="146"/>
        <v>164</v>
      </c>
      <c r="T499" s="147">
        <f t="shared" si="131"/>
        <v>6.52</v>
      </c>
      <c r="U499" s="142" t="str">
        <f t="shared" si="147"/>
        <v>[{2,1,328000,328000},{5103001,1,20000,20000},{1,2,750,750},{50002,1,9000,11000},{30,1,11,14},{9,1,112,137}]</v>
      </c>
      <c r="V499" s="142" t="str">
        <f t="shared" si="148"/>
        <v>[{2,1,328000,328000},{5103001,1,40000,40000},{50002,1,6000,6000},{5203001,1,5000,5000},{21360,1,1000,1000},{5301000,1,900,1000},{5303001,1,1800,2200},{11,1,400,600}]</v>
      </c>
      <c r="X499" s="142" t="str">
        <f t="shared" si="132"/>
        <v>{2,1,328000,328000}</v>
      </c>
      <c r="Y499" s="142"/>
      <c r="Z499" s="142" t="str">
        <f t="shared" si="133"/>
        <v>{5103001,1,20000,20000}</v>
      </c>
      <c r="AA499" s="142" t="str">
        <f t="shared" si="150"/>
        <v>{1,2,750,750}</v>
      </c>
      <c r="AD499" s="142" t="str">
        <f t="shared" si="134"/>
        <v>{50002,1,9000,11000}</v>
      </c>
      <c r="AE499" s="142" t="str">
        <f t="shared" si="149"/>
        <v>{30,1,11,14}</v>
      </c>
      <c r="AG499" s="142" t="str">
        <f t="shared" si="135"/>
        <v>{9,1,112,137}</v>
      </c>
      <c r="AH499" s="142" t="str">
        <f t="shared" si="136"/>
        <v>{2,1,328000,328000}</v>
      </c>
      <c r="AI499" s="142" t="str">
        <f t="shared" si="137"/>
        <v>{5103001,1,40000,40000}</v>
      </c>
      <c r="AJ499" s="142" t="str">
        <f t="shared" si="138"/>
        <v>{50002,1,6000,6000}</v>
      </c>
      <c r="AK499" s="142" t="str">
        <f t="shared" si="139"/>
        <v>{5203001,1,5000,5000}</v>
      </c>
      <c r="AL499" s="142" t="str">
        <f t="shared" si="140"/>
        <v>{21360,1,1000,1000}</v>
      </c>
      <c r="AM499" s="142" t="str">
        <f t="shared" si="141"/>
        <v>{5301000,1,900,1000}</v>
      </c>
      <c r="AO499" s="142" t="str">
        <f t="shared" si="142"/>
        <v>{5303001,1,1800,2200}</v>
      </c>
      <c r="AP499" s="142" t="s">
        <v>210</v>
      </c>
      <c r="AQ499" s="142"/>
    </row>
    <row r="500" spans="1:43">
      <c r="A500" s="143" t="str">
        <f t="shared" si="143"/>
        <v>[{2,1,329000,329000},{5103001,1,20000,20000}]</v>
      </c>
      <c r="B500" s="98">
        <f t="shared" si="144"/>
        <v>190</v>
      </c>
      <c r="C500" s="144">
        <v>329</v>
      </c>
      <c r="D500" s="145">
        <f t="shared" si="145"/>
        <v>329</v>
      </c>
      <c r="E500" s="145">
        <v>40</v>
      </c>
      <c r="F500" s="145">
        <v>20</v>
      </c>
      <c r="G500" s="146">
        <v>1</v>
      </c>
      <c r="H500" s="146">
        <v>6</v>
      </c>
      <c r="I500" s="146">
        <v>10</v>
      </c>
      <c r="J500" s="146">
        <v>5</v>
      </c>
      <c r="K500" s="146">
        <v>1</v>
      </c>
      <c r="L500" s="146">
        <v>1.5</v>
      </c>
      <c r="M500" s="145">
        <v>0.125</v>
      </c>
      <c r="N500" s="145">
        <v>0.5</v>
      </c>
      <c r="O500" s="145">
        <v>2</v>
      </c>
      <c r="P500" s="145">
        <v>0.013</v>
      </c>
      <c r="Q500" s="145">
        <f t="shared" si="129"/>
        <v>74.59</v>
      </c>
      <c r="R500" s="145">
        <f t="shared" si="130"/>
        <v>130.45</v>
      </c>
      <c r="S500" s="126">
        <f t="shared" si="146"/>
        <v>164.5</v>
      </c>
      <c r="T500" s="147">
        <f t="shared" si="131"/>
        <v>6.5225</v>
      </c>
      <c r="U500" s="142" t="str">
        <f t="shared" si="147"/>
        <v>[{2,1,329000,329000},{5103001,1,20000,20000},{1,2,750,750},{50002,1,9000,11000},{30,1,11,14},{9,1,112,137}]</v>
      </c>
      <c r="V500" s="142" t="str">
        <f t="shared" si="148"/>
        <v>[{2,1,329000,329000},{5103001,1,40000,40000},{50002,1,6000,6000},{5203001,1,5000,5000},{21360,1,1000,1000},{5301000,1,900,1000},{5303001,1,1800,2200},{11,1,400,600}]</v>
      </c>
      <c r="X500" s="142" t="str">
        <f t="shared" si="132"/>
        <v>{2,1,329000,329000}</v>
      </c>
      <c r="Y500" s="142"/>
      <c r="Z500" s="142" t="str">
        <f t="shared" si="133"/>
        <v>{5103001,1,20000,20000}</v>
      </c>
      <c r="AA500" s="142" t="str">
        <f t="shared" si="150"/>
        <v>{1,2,750,750}</v>
      </c>
      <c r="AD500" s="142" t="str">
        <f t="shared" si="134"/>
        <v>{50002,1,9000,11000}</v>
      </c>
      <c r="AE500" s="142" t="str">
        <f t="shared" si="149"/>
        <v>{30,1,11,14}</v>
      </c>
      <c r="AG500" s="142" t="str">
        <f t="shared" si="135"/>
        <v>{9,1,112,137}</v>
      </c>
      <c r="AH500" s="142" t="str">
        <f t="shared" si="136"/>
        <v>{2,1,329000,329000}</v>
      </c>
      <c r="AI500" s="142" t="str">
        <f t="shared" si="137"/>
        <v>{5103001,1,40000,40000}</v>
      </c>
      <c r="AJ500" s="142" t="str">
        <f t="shared" si="138"/>
        <v>{50002,1,6000,6000}</v>
      </c>
      <c r="AK500" s="142" t="str">
        <f t="shared" si="139"/>
        <v>{5203001,1,5000,5000}</v>
      </c>
      <c r="AL500" s="142" t="str">
        <f t="shared" si="140"/>
        <v>{21360,1,1000,1000}</v>
      </c>
      <c r="AM500" s="142" t="str">
        <f t="shared" si="141"/>
        <v>{5301000,1,900,1000}</v>
      </c>
      <c r="AO500" s="142" t="str">
        <f t="shared" si="142"/>
        <v>{5303001,1,1800,2200}</v>
      </c>
      <c r="AP500" s="142" t="s">
        <v>210</v>
      </c>
      <c r="AQ500" s="142"/>
    </row>
    <row r="501" spans="1:43">
      <c r="A501" s="143" t="str">
        <f t="shared" si="143"/>
        <v>[{2,1,330000,330000},{5103001,1,20000,20000}]</v>
      </c>
      <c r="B501" s="98">
        <f t="shared" si="144"/>
        <v>191</v>
      </c>
      <c r="C501" s="144">
        <v>330</v>
      </c>
      <c r="D501" s="145">
        <f t="shared" si="145"/>
        <v>330</v>
      </c>
      <c r="E501" s="145">
        <v>40</v>
      </c>
      <c r="F501" s="145">
        <v>20</v>
      </c>
      <c r="G501" s="146">
        <v>1</v>
      </c>
      <c r="H501" s="146">
        <v>6</v>
      </c>
      <c r="I501" s="146">
        <v>10</v>
      </c>
      <c r="J501" s="146">
        <v>5</v>
      </c>
      <c r="K501" s="146">
        <v>1</v>
      </c>
      <c r="L501" s="146">
        <v>1.5</v>
      </c>
      <c r="M501" s="145">
        <v>0.125</v>
      </c>
      <c r="N501" s="145">
        <v>0.5</v>
      </c>
      <c r="O501" s="145">
        <v>2</v>
      </c>
      <c r="P501" s="145">
        <v>0.013</v>
      </c>
      <c r="Q501" s="145">
        <f t="shared" si="129"/>
        <v>74.64</v>
      </c>
      <c r="R501" s="145">
        <f t="shared" si="130"/>
        <v>130.5</v>
      </c>
      <c r="S501" s="126">
        <f t="shared" si="146"/>
        <v>165</v>
      </c>
      <c r="T501" s="147">
        <f t="shared" si="131"/>
        <v>6.525</v>
      </c>
      <c r="U501" s="142" t="str">
        <f t="shared" si="147"/>
        <v>[{2,1,330000,330000},{5103001,1,20000,20000},{1,2,750,750},{50002,1,9000,11000},{30,1,11,14},{9,1,112,137}]</v>
      </c>
      <c r="V501" s="142" t="str">
        <f t="shared" si="148"/>
        <v>[{2,1,330000,330000},{5103001,1,40000,40000},{50002,1,6000,6000},{5203001,1,5000,5000},{21360,1,1000,1000},{5301000,1,900,1000},{5303001,1,1800,2200},{11,1,400,600}]</v>
      </c>
      <c r="X501" s="142" t="str">
        <f t="shared" si="132"/>
        <v>{2,1,330000,330000}</v>
      </c>
      <c r="Y501" s="142"/>
      <c r="Z501" s="142" t="str">
        <f t="shared" si="133"/>
        <v>{5103001,1,20000,20000}</v>
      </c>
      <c r="AA501" s="142" t="str">
        <f t="shared" si="150"/>
        <v>{1,2,750,750}</v>
      </c>
      <c r="AD501" s="142" t="str">
        <f t="shared" si="134"/>
        <v>{50002,1,9000,11000}</v>
      </c>
      <c r="AE501" s="142" t="str">
        <f t="shared" si="149"/>
        <v>{30,1,11,14}</v>
      </c>
      <c r="AG501" s="142" t="str">
        <f t="shared" si="135"/>
        <v>{9,1,112,137}</v>
      </c>
      <c r="AH501" s="142" t="str">
        <f t="shared" si="136"/>
        <v>{2,1,330000,330000}</v>
      </c>
      <c r="AI501" s="142" t="str">
        <f t="shared" si="137"/>
        <v>{5103001,1,40000,40000}</v>
      </c>
      <c r="AJ501" s="142" t="str">
        <f t="shared" si="138"/>
        <v>{50002,1,6000,6000}</v>
      </c>
      <c r="AK501" s="142" t="str">
        <f t="shared" si="139"/>
        <v>{5203001,1,5000,5000}</v>
      </c>
      <c r="AL501" s="142" t="str">
        <f t="shared" si="140"/>
        <v>{21360,1,1000,1000}</v>
      </c>
      <c r="AM501" s="142" t="str">
        <f t="shared" si="141"/>
        <v>{5301000,1,900,1000}</v>
      </c>
      <c r="AO501" s="142" t="str">
        <f t="shared" si="142"/>
        <v>{5303001,1,1800,2200}</v>
      </c>
      <c r="AP501" s="142" t="s">
        <v>210</v>
      </c>
      <c r="AQ501" s="142"/>
    </row>
    <row r="502" spans="1:43">
      <c r="A502" s="143" t="str">
        <f t="shared" si="143"/>
        <v>[{2,1,331000,331000},{5103001,1,20000,20000}]</v>
      </c>
      <c r="B502" s="98">
        <f t="shared" si="144"/>
        <v>192</v>
      </c>
      <c r="C502" s="144">
        <v>331</v>
      </c>
      <c r="D502" s="145">
        <f t="shared" si="145"/>
        <v>331</v>
      </c>
      <c r="E502" s="145">
        <v>40</v>
      </c>
      <c r="F502" s="145">
        <v>20</v>
      </c>
      <c r="G502" s="146">
        <v>1</v>
      </c>
      <c r="H502" s="146">
        <v>6</v>
      </c>
      <c r="I502" s="146">
        <v>10</v>
      </c>
      <c r="J502" s="146">
        <v>5</v>
      </c>
      <c r="K502" s="146">
        <v>1</v>
      </c>
      <c r="L502" s="146">
        <v>1.5</v>
      </c>
      <c r="M502" s="145">
        <v>0.125</v>
      </c>
      <c r="N502" s="145">
        <v>0.5</v>
      </c>
      <c r="O502" s="145">
        <v>2</v>
      </c>
      <c r="P502" s="145">
        <v>0.013</v>
      </c>
      <c r="Q502" s="145">
        <f t="shared" si="129"/>
        <v>74.69</v>
      </c>
      <c r="R502" s="145">
        <f t="shared" si="130"/>
        <v>130.55</v>
      </c>
      <c r="S502" s="126">
        <f t="shared" si="146"/>
        <v>165.5</v>
      </c>
      <c r="T502" s="147">
        <f t="shared" si="131"/>
        <v>6.5275</v>
      </c>
      <c r="U502" s="142" t="str">
        <f t="shared" si="147"/>
        <v>[{2,1,331000,331000},{5103001,1,20000,20000},{1,2,750,750},{50002,1,9000,11000},{30,1,11,14},{9,1,112,137}]</v>
      </c>
      <c r="V502" s="142" t="str">
        <f t="shared" si="148"/>
        <v>[{2,1,331000,331000},{5103001,1,40000,40000},{50002,1,6000,6000},{5203001,1,5000,5000},{21360,1,1000,1000},{5301000,1,900,1000},{5303001,1,1800,2200},{11,1,400,600}]</v>
      </c>
      <c r="X502" s="142" t="str">
        <f t="shared" si="132"/>
        <v>{2,1,331000,331000}</v>
      </c>
      <c r="Y502" s="142"/>
      <c r="Z502" s="142" t="str">
        <f t="shared" si="133"/>
        <v>{5103001,1,20000,20000}</v>
      </c>
      <c r="AA502" s="142" t="str">
        <f t="shared" si="150"/>
        <v>{1,2,750,750}</v>
      </c>
      <c r="AD502" s="142" t="str">
        <f t="shared" si="134"/>
        <v>{50002,1,9000,11000}</v>
      </c>
      <c r="AE502" s="142" t="str">
        <f t="shared" si="149"/>
        <v>{30,1,11,14}</v>
      </c>
      <c r="AG502" s="142" t="str">
        <f t="shared" si="135"/>
        <v>{9,1,112,137}</v>
      </c>
      <c r="AH502" s="142" t="str">
        <f t="shared" si="136"/>
        <v>{2,1,331000,331000}</v>
      </c>
      <c r="AI502" s="142" t="str">
        <f t="shared" si="137"/>
        <v>{5103001,1,40000,40000}</v>
      </c>
      <c r="AJ502" s="142" t="str">
        <f t="shared" si="138"/>
        <v>{50002,1,6000,6000}</v>
      </c>
      <c r="AK502" s="142" t="str">
        <f t="shared" si="139"/>
        <v>{5203001,1,5000,5000}</v>
      </c>
      <c r="AL502" s="142" t="str">
        <f t="shared" si="140"/>
        <v>{21360,1,1000,1000}</v>
      </c>
      <c r="AM502" s="142" t="str">
        <f t="shared" si="141"/>
        <v>{5301000,1,900,1000}</v>
      </c>
      <c r="AO502" s="142" t="str">
        <f t="shared" si="142"/>
        <v>{5303001,1,1800,2200}</v>
      </c>
      <c r="AP502" s="142" t="s">
        <v>210</v>
      </c>
      <c r="AQ502" s="142"/>
    </row>
    <row r="503" spans="1:43">
      <c r="A503" s="143" t="str">
        <f t="shared" si="143"/>
        <v>[{2,1,332000,332000},{5103001,1,20000,20000}]</v>
      </c>
      <c r="B503" s="98">
        <f t="shared" si="144"/>
        <v>193</v>
      </c>
      <c r="C503" s="144">
        <v>332</v>
      </c>
      <c r="D503" s="145">
        <f t="shared" si="145"/>
        <v>332</v>
      </c>
      <c r="E503" s="145">
        <v>40</v>
      </c>
      <c r="F503" s="145">
        <v>20</v>
      </c>
      <c r="G503" s="146">
        <v>1</v>
      </c>
      <c r="H503" s="146">
        <v>6</v>
      </c>
      <c r="I503" s="146">
        <v>10</v>
      </c>
      <c r="J503" s="146">
        <v>5</v>
      </c>
      <c r="K503" s="146">
        <v>1</v>
      </c>
      <c r="L503" s="146">
        <v>1.5</v>
      </c>
      <c r="M503" s="145">
        <v>0.125</v>
      </c>
      <c r="N503" s="145">
        <v>0.5</v>
      </c>
      <c r="O503" s="145">
        <v>2</v>
      </c>
      <c r="P503" s="145">
        <v>0.013</v>
      </c>
      <c r="Q503" s="145">
        <f t="shared" ref="Q503:Q566" si="151">SUMPRODUCT($C$306:$P$306,--($C$307:$P$307=Q$310),$C503:$P503)</f>
        <v>74.74</v>
      </c>
      <c r="R503" s="145">
        <f t="shared" ref="R503:R566" si="152">SUMPRODUCT($C$306:$P$306,--($C$307:$P$307=R$310),$C503:$P503)</f>
        <v>130.6</v>
      </c>
      <c r="S503" s="126">
        <f t="shared" si="146"/>
        <v>166</v>
      </c>
      <c r="T503" s="147">
        <f t="shared" ref="T503:T566" si="153">R503/20</f>
        <v>6.53</v>
      </c>
      <c r="U503" s="142" t="str">
        <f t="shared" si="147"/>
        <v>[{2,1,332000,332000},{5103001,1,20000,20000},{1,2,750,750},{50002,1,9000,11000},{30,1,11,14},{9,1,112,137}]</v>
      </c>
      <c r="V503" s="142" t="str">
        <f t="shared" si="148"/>
        <v>[{2,1,332000,332000},{5103001,1,40000,40000},{50002,1,6000,6000},{5203001,1,5000,5000},{21360,1,1000,1000},{5301000,1,900,1000},{5303001,1,1800,2200},{11,1,400,600}]</v>
      </c>
      <c r="X503" s="142" t="str">
        <f t="shared" ref="X503:X566" si="154">IF(D503="","","{"&amp;D$308&amp;","&amp;1&amp;","&amp;INT(D503/10*10000)&amp;","&amp;INT(D503/10*10000)&amp;"}")</f>
        <v>{2,1,332000,332000}</v>
      </c>
      <c r="Y503" s="142"/>
      <c r="Z503" s="142" t="str">
        <f t="shared" ref="Z503:Z566" si="155">IF(F503="","","{"&amp;F$308&amp;","&amp;1&amp;","&amp;INT(F503/10*10000)&amp;","&amp;INT(F503/10*10000)&amp;"}")</f>
        <v>{5103001,1,20000,20000}</v>
      </c>
      <c r="AA503" s="142" t="str">
        <f t="shared" si="150"/>
        <v>{1,2,750,750}</v>
      </c>
      <c r="AD503" s="142" t="str">
        <f t="shared" ref="AD503:AD566" si="156">IF(I503="","","{"&amp;I$308&amp;","&amp;1&amp;","&amp;INT(I503/10*9000)&amp;","&amp;INT(I503/10*11000)&amp;"}")</f>
        <v>{50002,1,9000,11000}</v>
      </c>
      <c r="AE503" s="142" t="str">
        <f t="shared" si="149"/>
        <v>{30,1,11,14}</v>
      </c>
      <c r="AG503" s="142" t="str">
        <f t="shared" ref="AG503:AG566" si="157">IF(M503="","","{"&amp;M$308&amp;","&amp;1&amp;","&amp;INT(M503/10*9000)&amp;","&amp;INT(M503/10*11000)&amp;"}")</f>
        <v>{9,1,112,137}</v>
      </c>
      <c r="AH503" s="142" t="str">
        <f t="shared" ref="AH503:AH566" si="158">IF(C503="","","{"&amp;D$308&amp;","&amp;1&amp;","&amp;INT(C503/10*10000)&amp;","&amp;INT(C503/10*10000)&amp;"}")</f>
        <v>{2,1,332000,332000}</v>
      </c>
      <c r="AI503" s="142" t="str">
        <f t="shared" ref="AI503:AI566" si="159">IF(E503="","","{"&amp;F$308&amp;","&amp;1&amp;","&amp;INT(E503/10*10000)&amp;","&amp;INT(E503/10*10000)&amp;"}")</f>
        <v>{5103001,1,40000,40000}</v>
      </c>
      <c r="AJ503" s="142" t="str">
        <f t="shared" ref="AJ503:AJ566" si="160">IF(H503="","","{"&amp;H$308&amp;","&amp;1&amp;","&amp;INT(H503/10*10000)&amp;","&amp;INT(H503/10*10000)&amp;"}")</f>
        <v>{50002,1,6000,6000}</v>
      </c>
      <c r="AK503" s="142" t="str">
        <f t="shared" ref="AK503:AK566" si="161">IF(J503="","","{"&amp;J$308&amp;","&amp;1&amp;","&amp;INT(J503/10*10000)&amp;","&amp;INT(J503/10*10000)&amp;"}")</f>
        <v>{5203001,1,5000,5000}</v>
      </c>
      <c r="AL503" s="142" t="str">
        <f t="shared" ref="AL503:AL566" si="162">IF(K503="","","{"&amp;K$308&amp;","&amp;1&amp;","&amp;INT(K503/10*10000)&amp;","&amp;INT(K503/10*10000)&amp;"}")</f>
        <v>{21360,1,1000,1000}</v>
      </c>
      <c r="AM503" s="142" t="str">
        <f t="shared" ref="AM503:AM566" si="163">IF(G503="","","{"&amp;G$308&amp;","&amp;1&amp;","&amp;INT(G503/10*9000)&amp;","&amp;INT(G503/10*10000)&amp;"}")</f>
        <v>{5301000,1,900,1000}</v>
      </c>
      <c r="AO503" s="142" t="str">
        <f t="shared" ref="AO503:AO566" si="164">IF(O503="","","{"&amp;O$308&amp;","&amp;1&amp;","&amp;INT(O503/10*9000)&amp;","&amp;INT(O503/10*11000)&amp;"}")</f>
        <v>{5303001,1,1800,2200}</v>
      </c>
      <c r="AP503" s="142" t="s">
        <v>210</v>
      </c>
      <c r="AQ503" s="142"/>
    </row>
    <row r="504" spans="1:43">
      <c r="A504" s="143" t="str">
        <f t="shared" ref="A504:A567" si="165">"[{2,1,"&amp;C504*1000&amp;","&amp;C504*1000&amp;"},{5103001,1,"&amp;F504*1000&amp;","&amp;F504*1000&amp;"}]"</f>
        <v>[{2,1,333000,333000},{5103001,1,20000,20000}]</v>
      </c>
      <c r="B504" s="98">
        <f t="shared" ref="B504:B567" si="166">B503+1</f>
        <v>194</v>
      </c>
      <c r="C504" s="144">
        <v>333</v>
      </c>
      <c r="D504" s="145">
        <f t="shared" ref="D504:D567" si="167">C504</f>
        <v>333</v>
      </c>
      <c r="E504" s="145">
        <v>40</v>
      </c>
      <c r="F504" s="145">
        <v>20</v>
      </c>
      <c r="G504" s="146">
        <v>1</v>
      </c>
      <c r="H504" s="146">
        <v>6</v>
      </c>
      <c r="I504" s="146">
        <v>10</v>
      </c>
      <c r="J504" s="146">
        <v>5</v>
      </c>
      <c r="K504" s="146">
        <v>1</v>
      </c>
      <c r="L504" s="146">
        <v>1.5</v>
      </c>
      <c r="M504" s="145">
        <v>0.125</v>
      </c>
      <c r="N504" s="145">
        <v>0.5</v>
      </c>
      <c r="O504" s="145">
        <v>2</v>
      </c>
      <c r="P504" s="145">
        <v>0.013</v>
      </c>
      <c r="Q504" s="145">
        <f t="shared" si="151"/>
        <v>74.79</v>
      </c>
      <c r="R504" s="145">
        <f t="shared" si="152"/>
        <v>130.65</v>
      </c>
      <c r="S504" s="126">
        <f t="shared" ref="S504:S567" si="168">C504/2</f>
        <v>166.5</v>
      </c>
      <c r="T504" s="147">
        <f t="shared" si="153"/>
        <v>6.5325</v>
      </c>
      <c r="U504" s="142" t="str">
        <f t="shared" ref="U504:U567" si="169">"["&amp;_xlfn.TEXTJOIN(",",1,X504:AG504)&amp;"]"</f>
        <v>[{2,1,333000,333000},{5103001,1,20000,20000},{1,2,750,750},{50002,1,9000,11000},{30,1,11,14},{9,1,112,137}]</v>
      </c>
      <c r="V504" s="142" t="str">
        <f t="shared" ref="V504:V567" si="170">"["&amp;_xlfn.TEXTJOIN(",",1,AH504:AQ504)&amp;"]"</f>
        <v>[{2,1,333000,333000},{5103001,1,40000,40000},{50002,1,6000,6000},{5203001,1,5000,5000},{21360,1,1000,1000},{5301000,1,900,1000},{5303001,1,1800,2200},{11,1,400,600}]</v>
      </c>
      <c r="X504" s="142" t="str">
        <f t="shared" si="154"/>
        <v>{2,1,333000,333000}</v>
      </c>
      <c r="Y504" s="142"/>
      <c r="Z504" s="142" t="str">
        <f t="shared" si="155"/>
        <v>{5103001,1,20000,20000}</v>
      </c>
      <c r="AA504" s="142" t="str">
        <f t="shared" si="150"/>
        <v>{1,2,750,750}</v>
      </c>
      <c r="AD504" s="142" t="str">
        <f t="shared" si="156"/>
        <v>{50002,1,9000,11000}</v>
      </c>
      <c r="AE504" s="142" t="str">
        <f t="shared" ref="AE504:AE567" si="171">IF(P504="","","{"&amp;P$308&amp;","&amp;1&amp;","&amp;INT(P504/10*9000)&amp;","&amp;INT(P504/10*11000)&amp;"}")</f>
        <v>{30,1,11,14}</v>
      </c>
      <c r="AG504" s="142" t="str">
        <f t="shared" si="157"/>
        <v>{9,1,112,137}</v>
      </c>
      <c r="AH504" s="142" t="str">
        <f t="shared" si="158"/>
        <v>{2,1,333000,333000}</v>
      </c>
      <c r="AI504" s="142" t="str">
        <f t="shared" si="159"/>
        <v>{5103001,1,40000,40000}</v>
      </c>
      <c r="AJ504" s="142" t="str">
        <f t="shared" si="160"/>
        <v>{50002,1,6000,6000}</v>
      </c>
      <c r="AK504" s="142" t="str">
        <f t="shared" si="161"/>
        <v>{5203001,1,5000,5000}</v>
      </c>
      <c r="AL504" s="142" t="str">
        <f t="shared" si="162"/>
        <v>{21360,1,1000,1000}</v>
      </c>
      <c r="AM504" s="142" t="str">
        <f t="shared" si="163"/>
        <v>{5301000,1,900,1000}</v>
      </c>
      <c r="AO504" s="142" t="str">
        <f t="shared" si="164"/>
        <v>{5303001,1,1800,2200}</v>
      </c>
      <c r="AP504" s="142" t="s">
        <v>210</v>
      </c>
      <c r="AQ504" s="142"/>
    </row>
    <row r="505" spans="1:43">
      <c r="A505" s="143" t="str">
        <f t="shared" si="165"/>
        <v>[{2,1,334000,334000},{5103001,1,20000,20000}]</v>
      </c>
      <c r="B505" s="98">
        <f t="shared" si="166"/>
        <v>195</v>
      </c>
      <c r="C505" s="144">
        <v>334</v>
      </c>
      <c r="D505" s="145">
        <f t="shared" si="167"/>
        <v>334</v>
      </c>
      <c r="E505" s="145">
        <v>40</v>
      </c>
      <c r="F505" s="145">
        <v>20</v>
      </c>
      <c r="G505" s="146">
        <v>1</v>
      </c>
      <c r="H505" s="146">
        <v>6</v>
      </c>
      <c r="I505" s="146">
        <v>10</v>
      </c>
      <c r="J505" s="146">
        <v>5</v>
      </c>
      <c r="K505" s="146">
        <v>1</v>
      </c>
      <c r="L505" s="146">
        <v>1.5</v>
      </c>
      <c r="M505" s="145">
        <v>0.125</v>
      </c>
      <c r="N505" s="145">
        <v>0.5</v>
      </c>
      <c r="O505" s="145">
        <v>2</v>
      </c>
      <c r="P505" s="145">
        <v>0.013</v>
      </c>
      <c r="Q505" s="145">
        <f t="shared" si="151"/>
        <v>74.84</v>
      </c>
      <c r="R505" s="145">
        <f t="shared" si="152"/>
        <v>130.7</v>
      </c>
      <c r="S505" s="126">
        <f t="shared" si="168"/>
        <v>167</v>
      </c>
      <c r="T505" s="147">
        <f t="shared" si="153"/>
        <v>6.535</v>
      </c>
      <c r="U505" s="142" t="str">
        <f t="shared" si="169"/>
        <v>[{2,1,334000,334000},{5103001,1,20000,20000},{1,2,750,750},{50002,1,9000,11000},{30,1,11,14},{9,1,112,137}]</v>
      </c>
      <c r="V505" s="142" t="str">
        <f t="shared" si="170"/>
        <v>[{2,1,334000,334000},{5103001,1,40000,40000},{50002,1,6000,6000},{5203001,1,5000,5000},{21360,1,1000,1000},{5301000,1,900,1000},{5303001,1,1800,2200},{11,1,400,600}]</v>
      </c>
      <c r="X505" s="142" t="str">
        <f t="shared" si="154"/>
        <v>{2,1,334000,334000}</v>
      </c>
      <c r="Y505" s="142"/>
      <c r="Z505" s="142" t="str">
        <f t="shared" si="155"/>
        <v>{5103001,1,20000,20000}</v>
      </c>
      <c r="AA505" s="142" t="str">
        <f t="shared" ref="AA505:AA568" si="172">AA504</f>
        <v>{1,2,750,750}</v>
      </c>
      <c r="AD505" s="142" t="str">
        <f t="shared" si="156"/>
        <v>{50002,1,9000,11000}</v>
      </c>
      <c r="AE505" s="142" t="str">
        <f t="shared" si="171"/>
        <v>{30,1,11,14}</v>
      </c>
      <c r="AG505" s="142" t="str">
        <f t="shared" si="157"/>
        <v>{9,1,112,137}</v>
      </c>
      <c r="AH505" s="142" t="str">
        <f t="shared" si="158"/>
        <v>{2,1,334000,334000}</v>
      </c>
      <c r="AI505" s="142" t="str">
        <f t="shared" si="159"/>
        <v>{5103001,1,40000,40000}</v>
      </c>
      <c r="AJ505" s="142" t="str">
        <f t="shared" si="160"/>
        <v>{50002,1,6000,6000}</v>
      </c>
      <c r="AK505" s="142" t="str">
        <f t="shared" si="161"/>
        <v>{5203001,1,5000,5000}</v>
      </c>
      <c r="AL505" s="142" t="str">
        <f t="shared" si="162"/>
        <v>{21360,1,1000,1000}</v>
      </c>
      <c r="AM505" s="142" t="str">
        <f t="shared" si="163"/>
        <v>{5301000,1,900,1000}</v>
      </c>
      <c r="AO505" s="142" t="str">
        <f t="shared" si="164"/>
        <v>{5303001,1,1800,2200}</v>
      </c>
      <c r="AP505" s="142" t="s">
        <v>210</v>
      </c>
      <c r="AQ505" s="142"/>
    </row>
    <row r="506" spans="1:43">
      <c r="A506" s="143" t="str">
        <f t="shared" si="165"/>
        <v>[{2,1,335000,335000},{5103001,1,20000,20000}]</v>
      </c>
      <c r="B506" s="98">
        <f t="shared" si="166"/>
        <v>196</v>
      </c>
      <c r="C506" s="144">
        <v>335</v>
      </c>
      <c r="D506" s="145">
        <f t="shared" si="167"/>
        <v>335</v>
      </c>
      <c r="E506" s="145">
        <v>40</v>
      </c>
      <c r="F506" s="145">
        <v>20</v>
      </c>
      <c r="G506" s="146">
        <v>1</v>
      </c>
      <c r="H506" s="146">
        <v>6</v>
      </c>
      <c r="I506" s="146">
        <v>10</v>
      </c>
      <c r="J506" s="146">
        <v>5</v>
      </c>
      <c r="K506" s="146">
        <v>1</v>
      </c>
      <c r="L506" s="146">
        <v>1.5</v>
      </c>
      <c r="M506" s="145">
        <v>0.125</v>
      </c>
      <c r="N506" s="145">
        <v>0.5</v>
      </c>
      <c r="O506" s="145">
        <v>2</v>
      </c>
      <c r="P506" s="145">
        <v>0.013</v>
      </c>
      <c r="Q506" s="145">
        <f t="shared" si="151"/>
        <v>74.89</v>
      </c>
      <c r="R506" s="145">
        <f t="shared" si="152"/>
        <v>130.75</v>
      </c>
      <c r="S506" s="126">
        <f t="shared" si="168"/>
        <v>167.5</v>
      </c>
      <c r="T506" s="147">
        <f t="shared" si="153"/>
        <v>6.5375</v>
      </c>
      <c r="U506" s="142" t="str">
        <f t="shared" si="169"/>
        <v>[{2,1,335000,335000},{5103001,1,20000,20000},{1,2,750,750},{50002,1,9000,11000},{30,1,11,14},{9,1,112,137}]</v>
      </c>
      <c r="V506" s="142" t="str">
        <f t="shared" si="170"/>
        <v>[{2,1,335000,335000},{5103001,1,40000,40000},{50002,1,6000,6000},{5203001,1,5000,5000},{21360,1,1000,1000},{5301000,1,900,1000},{5303001,1,1800,2200},{11,1,400,600}]</v>
      </c>
      <c r="X506" s="142" t="str">
        <f t="shared" si="154"/>
        <v>{2,1,335000,335000}</v>
      </c>
      <c r="Y506" s="142"/>
      <c r="Z506" s="142" t="str">
        <f t="shared" si="155"/>
        <v>{5103001,1,20000,20000}</v>
      </c>
      <c r="AA506" s="142" t="str">
        <f t="shared" si="172"/>
        <v>{1,2,750,750}</v>
      </c>
      <c r="AD506" s="142" t="str">
        <f t="shared" si="156"/>
        <v>{50002,1,9000,11000}</v>
      </c>
      <c r="AE506" s="142" t="str">
        <f t="shared" si="171"/>
        <v>{30,1,11,14}</v>
      </c>
      <c r="AG506" s="142" t="str">
        <f t="shared" si="157"/>
        <v>{9,1,112,137}</v>
      </c>
      <c r="AH506" s="142" t="str">
        <f t="shared" si="158"/>
        <v>{2,1,335000,335000}</v>
      </c>
      <c r="AI506" s="142" t="str">
        <f t="shared" si="159"/>
        <v>{5103001,1,40000,40000}</v>
      </c>
      <c r="AJ506" s="142" t="str">
        <f t="shared" si="160"/>
        <v>{50002,1,6000,6000}</v>
      </c>
      <c r="AK506" s="142" t="str">
        <f t="shared" si="161"/>
        <v>{5203001,1,5000,5000}</v>
      </c>
      <c r="AL506" s="142" t="str">
        <f t="shared" si="162"/>
        <v>{21360,1,1000,1000}</v>
      </c>
      <c r="AM506" s="142" t="str">
        <f t="shared" si="163"/>
        <v>{5301000,1,900,1000}</v>
      </c>
      <c r="AO506" s="142" t="str">
        <f t="shared" si="164"/>
        <v>{5303001,1,1800,2200}</v>
      </c>
      <c r="AP506" s="142" t="s">
        <v>210</v>
      </c>
      <c r="AQ506" s="142"/>
    </row>
    <row r="507" spans="1:43">
      <c r="A507" s="143" t="str">
        <f t="shared" si="165"/>
        <v>[{2,1,336000,336000},{5103001,1,20000,20000}]</v>
      </c>
      <c r="B507" s="98">
        <f t="shared" si="166"/>
        <v>197</v>
      </c>
      <c r="C507" s="144">
        <v>336</v>
      </c>
      <c r="D507" s="145">
        <f t="shared" si="167"/>
        <v>336</v>
      </c>
      <c r="E507" s="145">
        <v>40</v>
      </c>
      <c r="F507" s="145">
        <v>20</v>
      </c>
      <c r="G507" s="146">
        <v>1</v>
      </c>
      <c r="H507" s="146">
        <v>6</v>
      </c>
      <c r="I507" s="146">
        <v>10</v>
      </c>
      <c r="J507" s="146">
        <v>5</v>
      </c>
      <c r="K507" s="146">
        <v>1</v>
      </c>
      <c r="L507" s="146">
        <v>1.5</v>
      </c>
      <c r="M507" s="145">
        <v>0.125</v>
      </c>
      <c r="N507" s="145">
        <v>0.5</v>
      </c>
      <c r="O507" s="145">
        <v>2</v>
      </c>
      <c r="P507" s="145">
        <v>0.013</v>
      </c>
      <c r="Q507" s="145">
        <f t="shared" si="151"/>
        <v>74.94</v>
      </c>
      <c r="R507" s="145">
        <f t="shared" si="152"/>
        <v>130.8</v>
      </c>
      <c r="S507" s="126">
        <f t="shared" si="168"/>
        <v>168</v>
      </c>
      <c r="T507" s="147">
        <f t="shared" si="153"/>
        <v>6.54</v>
      </c>
      <c r="U507" s="142" t="str">
        <f t="shared" si="169"/>
        <v>[{2,1,336000,336000},{5103001,1,20000,20000},{1,2,750,750},{50002,1,9000,11000},{30,1,11,14},{9,1,112,137}]</v>
      </c>
      <c r="V507" s="142" t="str">
        <f t="shared" si="170"/>
        <v>[{2,1,336000,336000},{5103001,1,40000,40000},{50002,1,6000,6000},{5203001,1,5000,5000},{21360,1,1000,1000},{5301000,1,900,1000},{5303001,1,1800,2200},{11,1,400,600}]</v>
      </c>
      <c r="X507" s="142" t="str">
        <f t="shared" si="154"/>
        <v>{2,1,336000,336000}</v>
      </c>
      <c r="Y507" s="142"/>
      <c r="Z507" s="142" t="str">
        <f t="shared" si="155"/>
        <v>{5103001,1,20000,20000}</v>
      </c>
      <c r="AA507" s="142" t="str">
        <f t="shared" si="172"/>
        <v>{1,2,750,750}</v>
      </c>
      <c r="AD507" s="142" t="str">
        <f t="shared" si="156"/>
        <v>{50002,1,9000,11000}</v>
      </c>
      <c r="AE507" s="142" t="str">
        <f t="shared" si="171"/>
        <v>{30,1,11,14}</v>
      </c>
      <c r="AG507" s="142" t="str">
        <f t="shared" si="157"/>
        <v>{9,1,112,137}</v>
      </c>
      <c r="AH507" s="142" t="str">
        <f t="shared" si="158"/>
        <v>{2,1,336000,336000}</v>
      </c>
      <c r="AI507" s="142" t="str">
        <f t="shared" si="159"/>
        <v>{5103001,1,40000,40000}</v>
      </c>
      <c r="AJ507" s="142" t="str">
        <f t="shared" si="160"/>
        <v>{50002,1,6000,6000}</v>
      </c>
      <c r="AK507" s="142" t="str">
        <f t="shared" si="161"/>
        <v>{5203001,1,5000,5000}</v>
      </c>
      <c r="AL507" s="142" t="str">
        <f t="shared" si="162"/>
        <v>{21360,1,1000,1000}</v>
      </c>
      <c r="AM507" s="142" t="str">
        <f t="shared" si="163"/>
        <v>{5301000,1,900,1000}</v>
      </c>
      <c r="AO507" s="142" t="str">
        <f t="shared" si="164"/>
        <v>{5303001,1,1800,2200}</v>
      </c>
      <c r="AP507" s="142" t="s">
        <v>210</v>
      </c>
      <c r="AQ507" s="142"/>
    </row>
    <row r="508" spans="1:43">
      <c r="A508" s="143" t="str">
        <f t="shared" si="165"/>
        <v>[{2,1,337000,337000},{5103001,1,20000,20000}]</v>
      </c>
      <c r="B508" s="98">
        <f t="shared" si="166"/>
        <v>198</v>
      </c>
      <c r="C508" s="144">
        <v>337</v>
      </c>
      <c r="D508" s="145">
        <f t="shared" si="167"/>
        <v>337</v>
      </c>
      <c r="E508" s="145">
        <v>40</v>
      </c>
      <c r="F508" s="145">
        <v>20</v>
      </c>
      <c r="G508" s="146">
        <v>1</v>
      </c>
      <c r="H508" s="146">
        <v>6</v>
      </c>
      <c r="I508" s="146">
        <v>10</v>
      </c>
      <c r="J508" s="146">
        <v>5</v>
      </c>
      <c r="K508" s="146">
        <v>1</v>
      </c>
      <c r="L508" s="146">
        <v>1.5</v>
      </c>
      <c r="M508" s="145">
        <v>0.125</v>
      </c>
      <c r="N508" s="145">
        <v>0.5</v>
      </c>
      <c r="O508" s="145">
        <v>2</v>
      </c>
      <c r="P508" s="145">
        <v>0.013</v>
      </c>
      <c r="Q508" s="145">
        <f t="shared" si="151"/>
        <v>74.99</v>
      </c>
      <c r="R508" s="145">
        <f t="shared" si="152"/>
        <v>130.85</v>
      </c>
      <c r="S508" s="126">
        <f t="shared" si="168"/>
        <v>168.5</v>
      </c>
      <c r="T508" s="147">
        <f t="shared" si="153"/>
        <v>6.5425</v>
      </c>
      <c r="U508" s="142" t="str">
        <f t="shared" si="169"/>
        <v>[{2,1,337000,337000},{5103001,1,20000,20000},{1,2,750,750},{50002,1,9000,11000},{30,1,11,14},{9,1,112,137}]</v>
      </c>
      <c r="V508" s="142" t="str">
        <f t="shared" si="170"/>
        <v>[{2,1,337000,337000},{5103001,1,40000,40000},{50002,1,6000,6000},{5203001,1,5000,5000},{21360,1,1000,1000},{5301000,1,900,1000},{5303001,1,1800,2200},{11,1,400,600}]</v>
      </c>
      <c r="X508" s="142" t="str">
        <f t="shared" si="154"/>
        <v>{2,1,337000,337000}</v>
      </c>
      <c r="Y508" s="142"/>
      <c r="Z508" s="142" t="str">
        <f t="shared" si="155"/>
        <v>{5103001,1,20000,20000}</v>
      </c>
      <c r="AA508" s="142" t="str">
        <f t="shared" si="172"/>
        <v>{1,2,750,750}</v>
      </c>
      <c r="AD508" s="142" t="str">
        <f t="shared" si="156"/>
        <v>{50002,1,9000,11000}</v>
      </c>
      <c r="AE508" s="142" t="str">
        <f t="shared" si="171"/>
        <v>{30,1,11,14}</v>
      </c>
      <c r="AG508" s="142" t="str">
        <f t="shared" si="157"/>
        <v>{9,1,112,137}</v>
      </c>
      <c r="AH508" s="142" t="str">
        <f t="shared" si="158"/>
        <v>{2,1,337000,337000}</v>
      </c>
      <c r="AI508" s="142" t="str">
        <f t="shared" si="159"/>
        <v>{5103001,1,40000,40000}</v>
      </c>
      <c r="AJ508" s="142" t="str">
        <f t="shared" si="160"/>
        <v>{50002,1,6000,6000}</v>
      </c>
      <c r="AK508" s="142" t="str">
        <f t="shared" si="161"/>
        <v>{5203001,1,5000,5000}</v>
      </c>
      <c r="AL508" s="142" t="str">
        <f t="shared" si="162"/>
        <v>{21360,1,1000,1000}</v>
      </c>
      <c r="AM508" s="142" t="str">
        <f t="shared" si="163"/>
        <v>{5301000,1,900,1000}</v>
      </c>
      <c r="AO508" s="142" t="str">
        <f t="shared" si="164"/>
        <v>{5303001,1,1800,2200}</v>
      </c>
      <c r="AP508" s="142" t="s">
        <v>210</v>
      </c>
      <c r="AQ508" s="142"/>
    </row>
    <row r="509" spans="1:43">
      <c r="A509" s="143" t="str">
        <f t="shared" si="165"/>
        <v>[{2,1,338000,338000},{5103001,1,20000,20000}]</v>
      </c>
      <c r="B509" s="98">
        <f t="shared" si="166"/>
        <v>199</v>
      </c>
      <c r="C509" s="144">
        <v>338</v>
      </c>
      <c r="D509" s="145">
        <f t="shared" si="167"/>
        <v>338</v>
      </c>
      <c r="E509" s="145">
        <v>40</v>
      </c>
      <c r="F509" s="145">
        <v>20</v>
      </c>
      <c r="G509" s="146">
        <v>1</v>
      </c>
      <c r="H509" s="146">
        <v>6</v>
      </c>
      <c r="I509" s="146">
        <v>10</v>
      </c>
      <c r="J509" s="146">
        <v>5</v>
      </c>
      <c r="K509" s="146">
        <v>1</v>
      </c>
      <c r="L509" s="146">
        <v>1.5</v>
      </c>
      <c r="M509" s="145">
        <v>0.125</v>
      </c>
      <c r="N509" s="145">
        <v>0.5</v>
      </c>
      <c r="O509" s="145">
        <v>2</v>
      </c>
      <c r="P509" s="145">
        <v>0.013</v>
      </c>
      <c r="Q509" s="145">
        <f t="shared" si="151"/>
        <v>75.04</v>
      </c>
      <c r="R509" s="145">
        <f t="shared" si="152"/>
        <v>130.9</v>
      </c>
      <c r="S509" s="126">
        <f t="shared" si="168"/>
        <v>169</v>
      </c>
      <c r="T509" s="147">
        <f t="shared" si="153"/>
        <v>6.545</v>
      </c>
      <c r="U509" s="142" t="str">
        <f t="shared" si="169"/>
        <v>[{2,1,338000,338000},{5103001,1,20000,20000},{1,2,750,750},{50002,1,9000,11000},{30,1,11,14},{9,1,112,137}]</v>
      </c>
      <c r="V509" s="142" t="str">
        <f t="shared" si="170"/>
        <v>[{2,1,338000,338000},{5103001,1,40000,40000},{50002,1,6000,6000},{5203001,1,5000,5000},{21360,1,1000,1000},{5301000,1,900,1000},{5303001,1,1800,2200},{11,1,400,600}]</v>
      </c>
      <c r="X509" s="142" t="str">
        <f t="shared" si="154"/>
        <v>{2,1,338000,338000}</v>
      </c>
      <c r="Y509" s="142"/>
      <c r="Z509" s="142" t="str">
        <f t="shared" si="155"/>
        <v>{5103001,1,20000,20000}</v>
      </c>
      <c r="AA509" s="142" t="str">
        <f t="shared" si="172"/>
        <v>{1,2,750,750}</v>
      </c>
      <c r="AD509" s="142" t="str">
        <f t="shared" si="156"/>
        <v>{50002,1,9000,11000}</v>
      </c>
      <c r="AE509" s="142" t="str">
        <f t="shared" si="171"/>
        <v>{30,1,11,14}</v>
      </c>
      <c r="AG509" s="142" t="str">
        <f t="shared" si="157"/>
        <v>{9,1,112,137}</v>
      </c>
      <c r="AH509" s="142" t="str">
        <f t="shared" si="158"/>
        <v>{2,1,338000,338000}</v>
      </c>
      <c r="AI509" s="142" t="str">
        <f t="shared" si="159"/>
        <v>{5103001,1,40000,40000}</v>
      </c>
      <c r="AJ509" s="142" t="str">
        <f t="shared" si="160"/>
        <v>{50002,1,6000,6000}</v>
      </c>
      <c r="AK509" s="142" t="str">
        <f t="shared" si="161"/>
        <v>{5203001,1,5000,5000}</v>
      </c>
      <c r="AL509" s="142" t="str">
        <f t="shared" si="162"/>
        <v>{21360,1,1000,1000}</v>
      </c>
      <c r="AM509" s="142" t="str">
        <f t="shared" si="163"/>
        <v>{5301000,1,900,1000}</v>
      </c>
      <c r="AO509" s="142" t="str">
        <f t="shared" si="164"/>
        <v>{5303001,1,1800,2200}</v>
      </c>
      <c r="AP509" s="142" t="s">
        <v>210</v>
      </c>
      <c r="AQ509" s="142"/>
    </row>
    <row r="510" spans="1:43">
      <c r="A510" s="143" t="str">
        <f t="shared" si="165"/>
        <v>[{2,1,339000,339000},{5103001,1,20000,20000}]</v>
      </c>
      <c r="B510" s="98">
        <f t="shared" si="166"/>
        <v>200</v>
      </c>
      <c r="C510" s="144">
        <v>339</v>
      </c>
      <c r="D510" s="145">
        <f t="shared" si="167"/>
        <v>339</v>
      </c>
      <c r="E510" s="145">
        <v>40</v>
      </c>
      <c r="F510" s="145">
        <v>20</v>
      </c>
      <c r="G510" s="146">
        <v>1</v>
      </c>
      <c r="H510" s="146">
        <v>6</v>
      </c>
      <c r="I510" s="146">
        <v>10</v>
      </c>
      <c r="J510" s="146">
        <v>5</v>
      </c>
      <c r="K510" s="146">
        <v>1</v>
      </c>
      <c r="L510" s="146">
        <v>1.5</v>
      </c>
      <c r="M510" s="145">
        <v>0.125</v>
      </c>
      <c r="N510" s="145">
        <v>0.5</v>
      </c>
      <c r="O510" s="145">
        <v>2</v>
      </c>
      <c r="P510" s="145">
        <v>0.013</v>
      </c>
      <c r="Q510" s="145">
        <f t="shared" si="151"/>
        <v>75.09</v>
      </c>
      <c r="R510" s="145">
        <f t="shared" si="152"/>
        <v>130.95</v>
      </c>
      <c r="S510" s="126">
        <f t="shared" si="168"/>
        <v>169.5</v>
      </c>
      <c r="T510" s="147">
        <f t="shared" si="153"/>
        <v>6.5475</v>
      </c>
      <c r="U510" s="142" t="str">
        <f t="shared" si="169"/>
        <v>[{2,1,339000,339000},{5103001,1,20000,20000},{1,2,750,750},{50002,1,9000,11000},{30,1,11,14},{9,1,112,137}]</v>
      </c>
      <c r="V510" s="142" t="str">
        <f t="shared" si="170"/>
        <v>[{2,1,339000,339000},{5103001,1,40000,40000},{50002,1,6000,6000},{5203001,1,5000,5000},{21360,1,1000,1000},{5301000,1,900,1000},{5303001,1,1800,2200},{11,1,400,600}]</v>
      </c>
      <c r="X510" s="142" t="str">
        <f t="shared" si="154"/>
        <v>{2,1,339000,339000}</v>
      </c>
      <c r="Y510" s="142"/>
      <c r="Z510" s="142" t="str">
        <f t="shared" si="155"/>
        <v>{5103001,1,20000,20000}</v>
      </c>
      <c r="AA510" s="142" t="str">
        <f t="shared" si="172"/>
        <v>{1,2,750,750}</v>
      </c>
      <c r="AD510" s="142" t="str">
        <f t="shared" si="156"/>
        <v>{50002,1,9000,11000}</v>
      </c>
      <c r="AE510" s="142" t="str">
        <f t="shared" si="171"/>
        <v>{30,1,11,14}</v>
      </c>
      <c r="AG510" s="142" t="str">
        <f t="shared" si="157"/>
        <v>{9,1,112,137}</v>
      </c>
      <c r="AH510" s="142" t="str">
        <f t="shared" si="158"/>
        <v>{2,1,339000,339000}</v>
      </c>
      <c r="AI510" s="142" t="str">
        <f t="shared" si="159"/>
        <v>{5103001,1,40000,40000}</v>
      </c>
      <c r="AJ510" s="142" t="str">
        <f t="shared" si="160"/>
        <v>{50002,1,6000,6000}</v>
      </c>
      <c r="AK510" s="142" t="str">
        <f t="shared" si="161"/>
        <v>{5203001,1,5000,5000}</v>
      </c>
      <c r="AL510" s="142" t="str">
        <f t="shared" si="162"/>
        <v>{21360,1,1000,1000}</v>
      </c>
      <c r="AM510" s="142" t="str">
        <f t="shared" si="163"/>
        <v>{5301000,1,900,1000}</v>
      </c>
      <c r="AO510" s="142" t="str">
        <f t="shared" si="164"/>
        <v>{5303001,1,1800,2200}</v>
      </c>
      <c r="AP510" s="142" t="s">
        <v>210</v>
      </c>
      <c r="AQ510" s="142"/>
    </row>
    <row r="511" spans="1:43">
      <c r="A511" s="143" t="str">
        <f t="shared" si="165"/>
        <v>[{2,1,340000,340000},{5103001,1,20000,20000}]</v>
      </c>
      <c r="B511" s="98">
        <f t="shared" si="166"/>
        <v>201</v>
      </c>
      <c r="C511" s="144">
        <v>340</v>
      </c>
      <c r="D511" s="145">
        <f t="shared" si="167"/>
        <v>340</v>
      </c>
      <c r="E511" s="145">
        <v>40</v>
      </c>
      <c r="F511" s="145">
        <v>20</v>
      </c>
      <c r="G511" s="146">
        <v>1</v>
      </c>
      <c r="H511" s="146">
        <v>6</v>
      </c>
      <c r="I511" s="146">
        <v>10</v>
      </c>
      <c r="J511" s="146">
        <v>5</v>
      </c>
      <c r="K511" s="146">
        <v>1</v>
      </c>
      <c r="L511" s="146">
        <v>1.5</v>
      </c>
      <c r="M511" s="145">
        <v>0.125</v>
      </c>
      <c r="N511" s="145">
        <v>0.5</v>
      </c>
      <c r="O511" s="145">
        <v>2</v>
      </c>
      <c r="P511" s="145">
        <v>0.013</v>
      </c>
      <c r="Q511" s="145">
        <f t="shared" si="151"/>
        <v>75.14</v>
      </c>
      <c r="R511" s="145">
        <f t="shared" si="152"/>
        <v>131</v>
      </c>
      <c r="S511" s="126">
        <f t="shared" si="168"/>
        <v>170</v>
      </c>
      <c r="T511" s="147">
        <f t="shared" si="153"/>
        <v>6.55</v>
      </c>
      <c r="U511" s="142" t="str">
        <f t="shared" si="169"/>
        <v>[{2,1,340000,340000},{5103001,1,20000,20000},{1,2,750,750},{50002,1,9000,11000},{30,1,11,14},{9,1,112,137}]</v>
      </c>
      <c r="V511" s="142" t="str">
        <f t="shared" si="170"/>
        <v>[{2,1,340000,340000},{5103001,1,40000,40000},{50002,1,6000,6000},{5203001,1,5000,5000},{21360,1,1000,1000},{5301000,1,900,1000},{5303001,1,1800,2200},{11,1,400,600}]</v>
      </c>
      <c r="X511" s="142" t="str">
        <f t="shared" si="154"/>
        <v>{2,1,340000,340000}</v>
      </c>
      <c r="Y511" s="142"/>
      <c r="Z511" s="142" t="str">
        <f t="shared" si="155"/>
        <v>{5103001,1,20000,20000}</v>
      </c>
      <c r="AA511" s="142" t="str">
        <f t="shared" si="172"/>
        <v>{1,2,750,750}</v>
      </c>
      <c r="AD511" s="142" t="str">
        <f t="shared" si="156"/>
        <v>{50002,1,9000,11000}</v>
      </c>
      <c r="AE511" s="142" t="str">
        <f t="shared" si="171"/>
        <v>{30,1,11,14}</v>
      </c>
      <c r="AG511" s="142" t="str">
        <f t="shared" si="157"/>
        <v>{9,1,112,137}</v>
      </c>
      <c r="AH511" s="142" t="str">
        <f t="shared" si="158"/>
        <v>{2,1,340000,340000}</v>
      </c>
      <c r="AI511" s="142" t="str">
        <f t="shared" si="159"/>
        <v>{5103001,1,40000,40000}</v>
      </c>
      <c r="AJ511" s="142" t="str">
        <f t="shared" si="160"/>
        <v>{50002,1,6000,6000}</v>
      </c>
      <c r="AK511" s="142" t="str">
        <f t="shared" si="161"/>
        <v>{5203001,1,5000,5000}</v>
      </c>
      <c r="AL511" s="142" t="str">
        <f t="shared" si="162"/>
        <v>{21360,1,1000,1000}</v>
      </c>
      <c r="AM511" s="142" t="str">
        <f t="shared" si="163"/>
        <v>{5301000,1,900,1000}</v>
      </c>
      <c r="AO511" s="142" t="str">
        <f t="shared" si="164"/>
        <v>{5303001,1,1800,2200}</v>
      </c>
      <c r="AP511" s="142" t="s">
        <v>210</v>
      </c>
      <c r="AQ511" s="142"/>
    </row>
    <row r="512" spans="1:43">
      <c r="A512" s="143" t="str">
        <f t="shared" si="165"/>
        <v>[{2,1,341000,341000},{5103001,1,20000,20000}]</v>
      </c>
      <c r="B512" s="98">
        <f t="shared" si="166"/>
        <v>202</v>
      </c>
      <c r="C512" s="144">
        <v>341</v>
      </c>
      <c r="D512" s="145">
        <f t="shared" si="167"/>
        <v>341</v>
      </c>
      <c r="E512" s="145">
        <v>40</v>
      </c>
      <c r="F512" s="145">
        <v>20</v>
      </c>
      <c r="G512" s="146">
        <v>1</v>
      </c>
      <c r="H512" s="146">
        <v>6</v>
      </c>
      <c r="I512" s="146">
        <v>10</v>
      </c>
      <c r="J512" s="146">
        <v>5</v>
      </c>
      <c r="K512" s="146">
        <v>1</v>
      </c>
      <c r="L512" s="146">
        <v>1.5</v>
      </c>
      <c r="M512" s="145">
        <v>0.125</v>
      </c>
      <c r="N512" s="145">
        <v>0.5</v>
      </c>
      <c r="O512" s="145">
        <v>2</v>
      </c>
      <c r="P512" s="145">
        <v>0.013</v>
      </c>
      <c r="Q512" s="145">
        <f t="shared" si="151"/>
        <v>75.19</v>
      </c>
      <c r="R512" s="145">
        <f t="shared" si="152"/>
        <v>131.05</v>
      </c>
      <c r="S512" s="126">
        <f t="shared" si="168"/>
        <v>170.5</v>
      </c>
      <c r="T512" s="147">
        <f t="shared" si="153"/>
        <v>6.5525</v>
      </c>
      <c r="U512" s="142" t="str">
        <f t="shared" si="169"/>
        <v>[{2,1,341000,341000},{5103001,1,20000,20000},{1,2,750,750},{50002,1,9000,11000},{30,1,11,14},{9,1,112,137}]</v>
      </c>
      <c r="V512" s="142" t="str">
        <f t="shared" si="170"/>
        <v>[{2,1,341000,341000},{5103001,1,40000,40000},{50002,1,6000,6000},{5203001,1,5000,5000},{21360,1,1000,1000},{5301000,1,900,1000},{5303001,1,1800,2200},{11,1,400,600}]</v>
      </c>
      <c r="X512" s="142" t="str">
        <f t="shared" si="154"/>
        <v>{2,1,341000,341000}</v>
      </c>
      <c r="Y512" s="142"/>
      <c r="Z512" s="142" t="str">
        <f t="shared" si="155"/>
        <v>{5103001,1,20000,20000}</v>
      </c>
      <c r="AA512" s="142" t="str">
        <f t="shared" si="172"/>
        <v>{1,2,750,750}</v>
      </c>
      <c r="AD512" s="142" t="str">
        <f t="shared" si="156"/>
        <v>{50002,1,9000,11000}</v>
      </c>
      <c r="AE512" s="142" t="str">
        <f t="shared" si="171"/>
        <v>{30,1,11,14}</v>
      </c>
      <c r="AG512" s="142" t="str">
        <f t="shared" si="157"/>
        <v>{9,1,112,137}</v>
      </c>
      <c r="AH512" s="142" t="str">
        <f t="shared" si="158"/>
        <v>{2,1,341000,341000}</v>
      </c>
      <c r="AI512" s="142" t="str">
        <f t="shared" si="159"/>
        <v>{5103001,1,40000,40000}</v>
      </c>
      <c r="AJ512" s="142" t="str">
        <f t="shared" si="160"/>
        <v>{50002,1,6000,6000}</v>
      </c>
      <c r="AK512" s="142" t="str">
        <f t="shared" si="161"/>
        <v>{5203001,1,5000,5000}</v>
      </c>
      <c r="AL512" s="142" t="str">
        <f t="shared" si="162"/>
        <v>{21360,1,1000,1000}</v>
      </c>
      <c r="AM512" s="142" t="str">
        <f t="shared" si="163"/>
        <v>{5301000,1,900,1000}</v>
      </c>
      <c r="AO512" s="142" t="str">
        <f t="shared" si="164"/>
        <v>{5303001,1,1800,2200}</v>
      </c>
      <c r="AP512" s="142" t="s">
        <v>210</v>
      </c>
      <c r="AQ512" s="142"/>
    </row>
    <row r="513" spans="1:43">
      <c r="A513" s="143" t="str">
        <f t="shared" si="165"/>
        <v>[{2,1,342000,342000},{5103001,1,20000,20000}]</v>
      </c>
      <c r="B513" s="98">
        <f t="shared" si="166"/>
        <v>203</v>
      </c>
      <c r="C513" s="144">
        <v>342</v>
      </c>
      <c r="D513" s="145">
        <f t="shared" si="167"/>
        <v>342</v>
      </c>
      <c r="E513" s="145">
        <v>40</v>
      </c>
      <c r="F513" s="145">
        <v>20</v>
      </c>
      <c r="G513" s="146">
        <v>1</v>
      </c>
      <c r="H513" s="146">
        <v>6</v>
      </c>
      <c r="I513" s="146">
        <v>10</v>
      </c>
      <c r="J513" s="146">
        <v>5</v>
      </c>
      <c r="K513" s="146">
        <v>1</v>
      </c>
      <c r="L513" s="146">
        <v>1.5</v>
      </c>
      <c r="M513" s="145">
        <v>0.125</v>
      </c>
      <c r="N513" s="145">
        <v>0.5</v>
      </c>
      <c r="O513" s="145">
        <v>2</v>
      </c>
      <c r="P513" s="145">
        <v>0.013</v>
      </c>
      <c r="Q513" s="145">
        <f t="shared" si="151"/>
        <v>75.24</v>
      </c>
      <c r="R513" s="145">
        <f t="shared" si="152"/>
        <v>131.1</v>
      </c>
      <c r="S513" s="126">
        <f t="shared" si="168"/>
        <v>171</v>
      </c>
      <c r="T513" s="147">
        <f t="shared" si="153"/>
        <v>6.555</v>
      </c>
      <c r="U513" s="142" t="str">
        <f t="shared" si="169"/>
        <v>[{2,1,342000,342000},{5103001,1,20000,20000},{1,2,750,750},{50002,1,9000,11000},{30,1,11,14},{9,1,112,137}]</v>
      </c>
      <c r="V513" s="142" t="str">
        <f t="shared" si="170"/>
        <v>[{2,1,342000,342000},{5103001,1,40000,40000},{50002,1,6000,6000},{5203001,1,5000,5000},{21360,1,1000,1000},{5301000,1,900,1000},{5303001,1,1800,2200},{11,1,400,600}]</v>
      </c>
      <c r="X513" s="142" t="str">
        <f t="shared" si="154"/>
        <v>{2,1,342000,342000}</v>
      </c>
      <c r="Y513" s="142"/>
      <c r="Z513" s="142" t="str">
        <f t="shared" si="155"/>
        <v>{5103001,1,20000,20000}</v>
      </c>
      <c r="AA513" s="142" t="str">
        <f t="shared" si="172"/>
        <v>{1,2,750,750}</v>
      </c>
      <c r="AD513" s="142" t="str">
        <f t="shared" si="156"/>
        <v>{50002,1,9000,11000}</v>
      </c>
      <c r="AE513" s="142" t="str">
        <f t="shared" si="171"/>
        <v>{30,1,11,14}</v>
      </c>
      <c r="AG513" s="142" t="str">
        <f t="shared" si="157"/>
        <v>{9,1,112,137}</v>
      </c>
      <c r="AH513" s="142" t="str">
        <f t="shared" si="158"/>
        <v>{2,1,342000,342000}</v>
      </c>
      <c r="AI513" s="142" t="str">
        <f t="shared" si="159"/>
        <v>{5103001,1,40000,40000}</v>
      </c>
      <c r="AJ513" s="142" t="str">
        <f t="shared" si="160"/>
        <v>{50002,1,6000,6000}</v>
      </c>
      <c r="AK513" s="142" t="str">
        <f t="shared" si="161"/>
        <v>{5203001,1,5000,5000}</v>
      </c>
      <c r="AL513" s="142" t="str">
        <f t="shared" si="162"/>
        <v>{21360,1,1000,1000}</v>
      </c>
      <c r="AM513" s="142" t="str">
        <f t="shared" si="163"/>
        <v>{5301000,1,900,1000}</v>
      </c>
      <c r="AO513" s="142" t="str">
        <f t="shared" si="164"/>
        <v>{5303001,1,1800,2200}</v>
      </c>
      <c r="AP513" s="142" t="s">
        <v>210</v>
      </c>
      <c r="AQ513" s="142"/>
    </row>
    <row r="514" spans="1:43">
      <c r="A514" s="143" t="str">
        <f t="shared" si="165"/>
        <v>[{2,1,343000,343000},{5103001,1,20000,20000}]</v>
      </c>
      <c r="B514" s="98">
        <f t="shared" si="166"/>
        <v>204</v>
      </c>
      <c r="C514" s="144">
        <v>343</v>
      </c>
      <c r="D514" s="145">
        <f t="shared" si="167"/>
        <v>343</v>
      </c>
      <c r="E514" s="145">
        <v>40</v>
      </c>
      <c r="F514" s="145">
        <v>20</v>
      </c>
      <c r="G514" s="146">
        <v>1</v>
      </c>
      <c r="H514" s="146">
        <v>6</v>
      </c>
      <c r="I514" s="146">
        <v>10</v>
      </c>
      <c r="J514" s="146">
        <v>5</v>
      </c>
      <c r="K514" s="146">
        <v>1</v>
      </c>
      <c r="L514" s="146">
        <v>1.5</v>
      </c>
      <c r="M514" s="145">
        <v>0.125</v>
      </c>
      <c r="N514" s="145">
        <v>0.5</v>
      </c>
      <c r="O514" s="145">
        <v>2</v>
      </c>
      <c r="P514" s="145">
        <v>0.013</v>
      </c>
      <c r="Q514" s="145">
        <f t="shared" si="151"/>
        <v>75.29</v>
      </c>
      <c r="R514" s="145">
        <f t="shared" si="152"/>
        <v>131.15</v>
      </c>
      <c r="S514" s="126">
        <f t="shared" si="168"/>
        <v>171.5</v>
      </c>
      <c r="T514" s="147">
        <f t="shared" si="153"/>
        <v>6.5575</v>
      </c>
      <c r="U514" s="142" t="str">
        <f t="shared" si="169"/>
        <v>[{2,1,343000,343000},{5103001,1,20000,20000},{1,2,750,750},{50002,1,9000,11000},{30,1,11,14},{9,1,112,137}]</v>
      </c>
      <c r="V514" s="142" t="str">
        <f t="shared" si="170"/>
        <v>[{2,1,343000,343000},{5103001,1,40000,40000},{50002,1,6000,6000},{5203001,1,5000,5000},{21360,1,1000,1000},{5301000,1,900,1000},{5303001,1,1800,2200},{11,1,400,600}]</v>
      </c>
      <c r="X514" s="142" t="str">
        <f t="shared" si="154"/>
        <v>{2,1,343000,343000}</v>
      </c>
      <c r="Y514" s="142"/>
      <c r="Z514" s="142" t="str">
        <f t="shared" si="155"/>
        <v>{5103001,1,20000,20000}</v>
      </c>
      <c r="AA514" s="142" t="str">
        <f t="shared" si="172"/>
        <v>{1,2,750,750}</v>
      </c>
      <c r="AD514" s="142" t="str">
        <f t="shared" si="156"/>
        <v>{50002,1,9000,11000}</v>
      </c>
      <c r="AE514" s="142" t="str">
        <f t="shared" si="171"/>
        <v>{30,1,11,14}</v>
      </c>
      <c r="AG514" s="142" t="str">
        <f t="shared" si="157"/>
        <v>{9,1,112,137}</v>
      </c>
      <c r="AH514" s="142" t="str">
        <f t="shared" si="158"/>
        <v>{2,1,343000,343000}</v>
      </c>
      <c r="AI514" s="142" t="str">
        <f t="shared" si="159"/>
        <v>{5103001,1,40000,40000}</v>
      </c>
      <c r="AJ514" s="142" t="str">
        <f t="shared" si="160"/>
        <v>{50002,1,6000,6000}</v>
      </c>
      <c r="AK514" s="142" t="str">
        <f t="shared" si="161"/>
        <v>{5203001,1,5000,5000}</v>
      </c>
      <c r="AL514" s="142" t="str">
        <f t="shared" si="162"/>
        <v>{21360,1,1000,1000}</v>
      </c>
      <c r="AM514" s="142" t="str">
        <f t="shared" si="163"/>
        <v>{5301000,1,900,1000}</v>
      </c>
      <c r="AO514" s="142" t="str">
        <f t="shared" si="164"/>
        <v>{5303001,1,1800,2200}</v>
      </c>
      <c r="AP514" s="142" t="s">
        <v>210</v>
      </c>
      <c r="AQ514" s="142"/>
    </row>
    <row r="515" spans="1:43">
      <c r="A515" s="143" t="str">
        <f t="shared" si="165"/>
        <v>[{2,1,344000,344000},{5103001,1,20000,20000}]</v>
      </c>
      <c r="B515" s="98">
        <f t="shared" si="166"/>
        <v>205</v>
      </c>
      <c r="C515" s="144">
        <v>344</v>
      </c>
      <c r="D515" s="145">
        <f t="shared" si="167"/>
        <v>344</v>
      </c>
      <c r="E515" s="145">
        <v>40</v>
      </c>
      <c r="F515" s="145">
        <v>20</v>
      </c>
      <c r="G515" s="146">
        <v>1</v>
      </c>
      <c r="H515" s="146">
        <v>6</v>
      </c>
      <c r="I515" s="146">
        <v>10</v>
      </c>
      <c r="J515" s="146">
        <v>5</v>
      </c>
      <c r="K515" s="146">
        <v>1</v>
      </c>
      <c r="L515" s="146">
        <v>1.5</v>
      </c>
      <c r="M515" s="145">
        <v>0.125</v>
      </c>
      <c r="N515" s="145">
        <v>0.5</v>
      </c>
      <c r="O515" s="145">
        <v>2</v>
      </c>
      <c r="P515" s="145">
        <v>0.013</v>
      </c>
      <c r="Q515" s="145">
        <f t="shared" si="151"/>
        <v>75.34</v>
      </c>
      <c r="R515" s="145">
        <f t="shared" si="152"/>
        <v>131.2</v>
      </c>
      <c r="S515" s="126">
        <f t="shared" si="168"/>
        <v>172</v>
      </c>
      <c r="T515" s="147">
        <f t="shared" si="153"/>
        <v>6.56</v>
      </c>
      <c r="U515" s="142" t="str">
        <f t="shared" si="169"/>
        <v>[{2,1,344000,344000},{5103001,1,20000,20000},{1,2,750,750},{50002,1,9000,11000},{30,1,11,14},{9,1,112,137}]</v>
      </c>
      <c r="V515" s="142" t="str">
        <f t="shared" si="170"/>
        <v>[{2,1,344000,344000},{5103001,1,40000,40000},{50002,1,6000,6000},{5203001,1,5000,5000},{21360,1,1000,1000},{5301000,1,900,1000},{5303001,1,1800,2200},{11,1,400,600}]</v>
      </c>
      <c r="X515" s="142" t="str">
        <f t="shared" si="154"/>
        <v>{2,1,344000,344000}</v>
      </c>
      <c r="Y515" s="142"/>
      <c r="Z515" s="142" t="str">
        <f t="shared" si="155"/>
        <v>{5103001,1,20000,20000}</v>
      </c>
      <c r="AA515" s="142" t="str">
        <f t="shared" si="172"/>
        <v>{1,2,750,750}</v>
      </c>
      <c r="AD515" s="142" t="str">
        <f t="shared" si="156"/>
        <v>{50002,1,9000,11000}</v>
      </c>
      <c r="AE515" s="142" t="str">
        <f t="shared" si="171"/>
        <v>{30,1,11,14}</v>
      </c>
      <c r="AG515" s="142" t="str">
        <f t="shared" si="157"/>
        <v>{9,1,112,137}</v>
      </c>
      <c r="AH515" s="142" t="str">
        <f t="shared" si="158"/>
        <v>{2,1,344000,344000}</v>
      </c>
      <c r="AI515" s="142" t="str">
        <f t="shared" si="159"/>
        <v>{5103001,1,40000,40000}</v>
      </c>
      <c r="AJ515" s="142" t="str">
        <f t="shared" si="160"/>
        <v>{50002,1,6000,6000}</v>
      </c>
      <c r="AK515" s="142" t="str">
        <f t="shared" si="161"/>
        <v>{5203001,1,5000,5000}</v>
      </c>
      <c r="AL515" s="142" t="str">
        <f t="shared" si="162"/>
        <v>{21360,1,1000,1000}</v>
      </c>
      <c r="AM515" s="142" t="str">
        <f t="shared" si="163"/>
        <v>{5301000,1,900,1000}</v>
      </c>
      <c r="AO515" s="142" t="str">
        <f t="shared" si="164"/>
        <v>{5303001,1,1800,2200}</v>
      </c>
      <c r="AP515" s="142" t="s">
        <v>210</v>
      </c>
      <c r="AQ515" s="142"/>
    </row>
    <row r="516" spans="1:43">
      <c r="A516" s="143" t="str">
        <f t="shared" si="165"/>
        <v>[{2,1,345000,345000},{5103001,1,20000,20000}]</v>
      </c>
      <c r="B516" s="98">
        <f t="shared" si="166"/>
        <v>206</v>
      </c>
      <c r="C516" s="144">
        <v>345</v>
      </c>
      <c r="D516" s="145">
        <f t="shared" si="167"/>
        <v>345</v>
      </c>
      <c r="E516" s="145">
        <v>40</v>
      </c>
      <c r="F516" s="145">
        <v>20</v>
      </c>
      <c r="G516" s="146">
        <v>1</v>
      </c>
      <c r="H516" s="146">
        <v>6</v>
      </c>
      <c r="I516" s="146">
        <v>10</v>
      </c>
      <c r="J516" s="146">
        <v>5</v>
      </c>
      <c r="K516" s="146">
        <v>1</v>
      </c>
      <c r="L516" s="146">
        <v>1.5</v>
      </c>
      <c r="M516" s="145">
        <v>0.125</v>
      </c>
      <c r="N516" s="145">
        <v>0.5</v>
      </c>
      <c r="O516" s="145">
        <v>2</v>
      </c>
      <c r="P516" s="145">
        <v>0.013</v>
      </c>
      <c r="Q516" s="145">
        <f t="shared" si="151"/>
        <v>75.39</v>
      </c>
      <c r="R516" s="145">
        <f t="shared" si="152"/>
        <v>131.25</v>
      </c>
      <c r="S516" s="126">
        <f t="shared" si="168"/>
        <v>172.5</v>
      </c>
      <c r="T516" s="147">
        <f t="shared" si="153"/>
        <v>6.5625</v>
      </c>
      <c r="U516" s="142" t="str">
        <f t="shared" si="169"/>
        <v>[{2,1,345000,345000},{5103001,1,20000,20000},{1,2,750,750},{50002,1,9000,11000},{30,1,11,14},{9,1,112,137}]</v>
      </c>
      <c r="V516" s="142" t="str">
        <f t="shared" si="170"/>
        <v>[{2,1,345000,345000},{5103001,1,40000,40000},{50002,1,6000,6000},{5203001,1,5000,5000},{21360,1,1000,1000},{5301000,1,900,1000},{5303001,1,1800,2200},{11,1,400,600}]</v>
      </c>
      <c r="X516" s="142" t="str">
        <f t="shared" si="154"/>
        <v>{2,1,345000,345000}</v>
      </c>
      <c r="Y516" s="142"/>
      <c r="Z516" s="142" t="str">
        <f t="shared" si="155"/>
        <v>{5103001,1,20000,20000}</v>
      </c>
      <c r="AA516" s="142" t="str">
        <f t="shared" si="172"/>
        <v>{1,2,750,750}</v>
      </c>
      <c r="AD516" s="142" t="str">
        <f t="shared" si="156"/>
        <v>{50002,1,9000,11000}</v>
      </c>
      <c r="AE516" s="142" t="str">
        <f t="shared" si="171"/>
        <v>{30,1,11,14}</v>
      </c>
      <c r="AG516" s="142" t="str">
        <f t="shared" si="157"/>
        <v>{9,1,112,137}</v>
      </c>
      <c r="AH516" s="142" t="str">
        <f t="shared" si="158"/>
        <v>{2,1,345000,345000}</v>
      </c>
      <c r="AI516" s="142" t="str">
        <f t="shared" si="159"/>
        <v>{5103001,1,40000,40000}</v>
      </c>
      <c r="AJ516" s="142" t="str">
        <f t="shared" si="160"/>
        <v>{50002,1,6000,6000}</v>
      </c>
      <c r="AK516" s="142" t="str">
        <f t="shared" si="161"/>
        <v>{5203001,1,5000,5000}</v>
      </c>
      <c r="AL516" s="142" t="str">
        <f t="shared" si="162"/>
        <v>{21360,1,1000,1000}</v>
      </c>
      <c r="AM516" s="142" t="str">
        <f t="shared" si="163"/>
        <v>{5301000,1,900,1000}</v>
      </c>
      <c r="AO516" s="142" t="str">
        <f t="shared" si="164"/>
        <v>{5303001,1,1800,2200}</v>
      </c>
      <c r="AP516" s="142" t="s">
        <v>210</v>
      </c>
      <c r="AQ516" s="142"/>
    </row>
    <row r="517" spans="1:43">
      <c r="A517" s="143" t="str">
        <f t="shared" si="165"/>
        <v>[{2,1,346000,346000},{5103001,1,20000,20000}]</v>
      </c>
      <c r="B517" s="98">
        <f t="shared" si="166"/>
        <v>207</v>
      </c>
      <c r="C517" s="144">
        <v>346</v>
      </c>
      <c r="D517" s="145">
        <f t="shared" si="167"/>
        <v>346</v>
      </c>
      <c r="E517" s="145">
        <v>40</v>
      </c>
      <c r="F517" s="145">
        <v>20</v>
      </c>
      <c r="G517" s="146">
        <v>1</v>
      </c>
      <c r="H517" s="146">
        <v>6</v>
      </c>
      <c r="I517" s="146">
        <v>10</v>
      </c>
      <c r="J517" s="146">
        <v>5</v>
      </c>
      <c r="K517" s="146">
        <v>1</v>
      </c>
      <c r="L517" s="146">
        <v>1.5</v>
      </c>
      <c r="M517" s="145">
        <v>0.125</v>
      </c>
      <c r="N517" s="145">
        <v>0.5</v>
      </c>
      <c r="O517" s="145">
        <v>2</v>
      </c>
      <c r="P517" s="145">
        <v>0.013</v>
      </c>
      <c r="Q517" s="145">
        <f t="shared" si="151"/>
        <v>75.44</v>
      </c>
      <c r="R517" s="145">
        <f t="shared" si="152"/>
        <v>131.3</v>
      </c>
      <c r="S517" s="126">
        <f t="shared" si="168"/>
        <v>173</v>
      </c>
      <c r="T517" s="147">
        <f t="shared" si="153"/>
        <v>6.565</v>
      </c>
      <c r="U517" s="142" t="str">
        <f t="shared" si="169"/>
        <v>[{2,1,346000,346000},{5103001,1,20000,20000},{1,2,750,750},{50002,1,9000,11000},{30,1,11,14},{9,1,112,137}]</v>
      </c>
      <c r="V517" s="142" t="str">
        <f t="shared" si="170"/>
        <v>[{2,1,346000,346000},{5103001,1,40000,40000},{50002,1,6000,6000},{5203001,1,5000,5000},{21360,1,1000,1000},{5301000,1,900,1000},{5303001,1,1800,2200},{11,1,400,600}]</v>
      </c>
      <c r="X517" s="142" t="str">
        <f t="shared" si="154"/>
        <v>{2,1,346000,346000}</v>
      </c>
      <c r="Y517" s="142"/>
      <c r="Z517" s="142" t="str">
        <f t="shared" si="155"/>
        <v>{5103001,1,20000,20000}</v>
      </c>
      <c r="AA517" s="142" t="str">
        <f t="shared" si="172"/>
        <v>{1,2,750,750}</v>
      </c>
      <c r="AD517" s="142" t="str">
        <f t="shared" si="156"/>
        <v>{50002,1,9000,11000}</v>
      </c>
      <c r="AE517" s="142" t="str">
        <f t="shared" si="171"/>
        <v>{30,1,11,14}</v>
      </c>
      <c r="AG517" s="142" t="str">
        <f t="shared" si="157"/>
        <v>{9,1,112,137}</v>
      </c>
      <c r="AH517" s="142" t="str">
        <f t="shared" si="158"/>
        <v>{2,1,346000,346000}</v>
      </c>
      <c r="AI517" s="142" t="str">
        <f t="shared" si="159"/>
        <v>{5103001,1,40000,40000}</v>
      </c>
      <c r="AJ517" s="142" t="str">
        <f t="shared" si="160"/>
        <v>{50002,1,6000,6000}</v>
      </c>
      <c r="AK517" s="142" t="str">
        <f t="shared" si="161"/>
        <v>{5203001,1,5000,5000}</v>
      </c>
      <c r="AL517" s="142" t="str">
        <f t="shared" si="162"/>
        <v>{21360,1,1000,1000}</v>
      </c>
      <c r="AM517" s="142" t="str">
        <f t="shared" si="163"/>
        <v>{5301000,1,900,1000}</v>
      </c>
      <c r="AO517" s="142" t="str">
        <f t="shared" si="164"/>
        <v>{5303001,1,1800,2200}</v>
      </c>
      <c r="AP517" s="142" t="s">
        <v>210</v>
      </c>
      <c r="AQ517" s="142"/>
    </row>
    <row r="518" spans="1:43">
      <c r="A518" s="143" t="str">
        <f t="shared" si="165"/>
        <v>[{2,1,347000,347000},{5103001,1,20000,20000}]</v>
      </c>
      <c r="B518" s="98">
        <f t="shared" si="166"/>
        <v>208</v>
      </c>
      <c r="C518" s="144">
        <v>347</v>
      </c>
      <c r="D518" s="145">
        <f t="shared" si="167"/>
        <v>347</v>
      </c>
      <c r="E518" s="145">
        <v>40</v>
      </c>
      <c r="F518" s="145">
        <v>20</v>
      </c>
      <c r="G518" s="146">
        <v>1</v>
      </c>
      <c r="H518" s="146">
        <v>6</v>
      </c>
      <c r="I518" s="146">
        <v>10</v>
      </c>
      <c r="J518" s="146">
        <v>5</v>
      </c>
      <c r="K518" s="146">
        <v>1</v>
      </c>
      <c r="L518" s="146">
        <v>1.5</v>
      </c>
      <c r="M518" s="145">
        <v>0.125</v>
      </c>
      <c r="N518" s="145">
        <v>0.5</v>
      </c>
      <c r="O518" s="145">
        <v>2</v>
      </c>
      <c r="P518" s="145">
        <v>0.013</v>
      </c>
      <c r="Q518" s="145">
        <f t="shared" si="151"/>
        <v>75.49</v>
      </c>
      <c r="R518" s="145">
        <f t="shared" si="152"/>
        <v>131.35</v>
      </c>
      <c r="S518" s="126">
        <f t="shared" si="168"/>
        <v>173.5</v>
      </c>
      <c r="T518" s="147">
        <f t="shared" si="153"/>
        <v>6.5675</v>
      </c>
      <c r="U518" s="142" t="str">
        <f t="shared" si="169"/>
        <v>[{2,1,347000,347000},{5103001,1,20000,20000},{1,2,750,750},{50002,1,9000,11000},{30,1,11,14},{9,1,112,137}]</v>
      </c>
      <c r="V518" s="142" t="str">
        <f t="shared" si="170"/>
        <v>[{2,1,347000,347000},{5103001,1,40000,40000},{50002,1,6000,6000},{5203001,1,5000,5000},{21360,1,1000,1000},{5301000,1,900,1000},{5303001,1,1800,2200},{11,1,400,600}]</v>
      </c>
      <c r="X518" s="142" t="str">
        <f t="shared" si="154"/>
        <v>{2,1,347000,347000}</v>
      </c>
      <c r="Y518" s="142"/>
      <c r="Z518" s="142" t="str">
        <f t="shared" si="155"/>
        <v>{5103001,1,20000,20000}</v>
      </c>
      <c r="AA518" s="142" t="str">
        <f t="shared" si="172"/>
        <v>{1,2,750,750}</v>
      </c>
      <c r="AD518" s="142" t="str">
        <f t="shared" si="156"/>
        <v>{50002,1,9000,11000}</v>
      </c>
      <c r="AE518" s="142" t="str">
        <f t="shared" si="171"/>
        <v>{30,1,11,14}</v>
      </c>
      <c r="AG518" s="142" t="str">
        <f t="shared" si="157"/>
        <v>{9,1,112,137}</v>
      </c>
      <c r="AH518" s="142" t="str">
        <f t="shared" si="158"/>
        <v>{2,1,347000,347000}</v>
      </c>
      <c r="AI518" s="142" t="str">
        <f t="shared" si="159"/>
        <v>{5103001,1,40000,40000}</v>
      </c>
      <c r="AJ518" s="142" t="str">
        <f t="shared" si="160"/>
        <v>{50002,1,6000,6000}</v>
      </c>
      <c r="AK518" s="142" t="str">
        <f t="shared" si="161"/>
        <v>{5203001,1,5000,5000}</v>
      </c>
      <c r="AL518" s="142" t="str">
        <f t="shared" si="162"/>
        <v>{21360,1,1000,1000}</v>
      </c>
      <c r="AM518" s="142" t="str">
        <f t="shared" si="163"/>
        <v>{5301000,1,900,1000}</v>
      </c>
      <c r="AO518" s="142" t="str">
        <f t="shared" si="164"/>
        <v>{5303001,1,1800,2200}</v>
      </c>
      <c r="AP518" s="142" t="s">
        <v>210</v>
      </c>
      <c r="AQ518" s="142"/>
    </row>
    <row r="519" spans="1:43">
      <c r="A519" s="143" t="str">
        <f t="shared" si="165"/>
        <v>[{2,1,348000,348000},{5103001,1,20000,20000}]</v>
      </c>
      <c r="B519" s="98">
        <f t="shared" si="166"/>
        <v>209</v>
      </c>
      <c r="C519" s="144">
        <v>348</v>
      </c>
      <c r="D519" s="145">
        <f t="shared" si="167"/>
        <v>348</v>
      </c>
      <c r="E519" s="145">
        <v>40</v>
      </c>
      <c r="F519" s="145">
        <v>20</v>
      </c>
      <c r="G519" s="146">
        <v>1</v>
      </c>
      <c r="H519" s="146">
        <v>6</v>
      </c>
      <c r="I519" s="146">
        <v>10</v>
      </c>
      <c r="J519" s="146">
        <v>5</v>
      </c>
      <c r="K519" s="146">
        <v>1</v>
      </c>
      <c r="L519" s="146">
        <v>1.5</v>
      </c>
      <c r="M519" s="145">
        <v>0.125</v>
      </c>
      <c r="N519" s="145">
        <v>0.5</v>
      </c>
      <c r="O519" s="145">
        <v>2</v>
      </c>
      <c r="P519" s="145">
        <v>0.013</v>
      </c>
      <c r="Q519" s="145">
        <f t="shared" si="151"/>
        <v>75.54</v>
      </c>
      <c r="R519" s="145">
        <f t="shared" si="152"/>
        <v>131.4</v>
      </c>
      <c r="S519" s="126">
        <f t="shared" si="168"/>
        <v>174</v>
      </c>
      <c r="T519" s="147">
        <f t="shared" si="153"/>
        <v>6.57</v>
      </c>
      <c r="U519" s="142" t="str">
        <f t="shared" si="169"/>
        <v>[{2,1,348000,348000},{5103001,1,20000,20000},{1,2,750,750},{50002,1,9000,11000},{30,1,11,14},{9,1,112,137}]</v>
      </c>
      <c r="V519" s="142" t="str">
        <f t="shared" si="170"/>
        <v>[{2,1,348000,348000},{5103001,1,40000,40000},{50002,1,6000,6000},{5203001,1,5000,5000},{21360,1,1000,1000},{5301000,1,900,1000},{5303001,1,1800,2200},{11,1,400,600}]</v>
      </c>
      <c r="X519" s="142" t="str">
        <f t="shared" si="154"/>
        <v>{2,1,348000,348000}</v>
      </c>
      <c r="Y519" s="142"/>
      <c r="Z519" s="142" t="str">
        <f t="shared" si="155"/>
        <v>{5103001,1,20000,20000}</v>
      </c>
      <c r="AA519" s="142" t="str">
        <f t="shared" si="172"/>
        <v>{1,2,750,750}</v>
      </c>
      <c r="AD519" s="142" t="str">
        <f t="shared" si="156"/>
        <v>{50002,1,9000,11000}</v>
      </c>
      <c r="AE519" s="142" t="str">
        <f t="shared" si="171"/>
        <v>{30,1,11,14}</v>
      </c>
      <c r="AG519" s="142" t="str">
        <f t="shared" si="157"/>
        <v>{9,1,112,137}</v>
      </c>
      <c r="AH519" s="142" t="str">
        <f t="shared" si="158"/>
        <v>{2,1,348000,348000}</v>
      </c>
      <c r="AI519" s="142" t="str">
        <f t="shared" si="159"/>
        <v>{5103001,1,40000,40000}</v>
      </c>
      <c r="AJ519" s="142" t="str">
        <f t="shared" si="160"/>
        <v>{50002,1,6000,6000}</v>
      </c>
      <c r="AK519" s="142" t="str">
        <f t="shared" si="161"/>
        <v>{5203001,1,5000,5000}</v>
      </c>
      <c r="AL519" s="142" t="str">
        <f t="shared" si="162"/>
        <v>{21360,1,1000,1000}</v>
      </c>
      <c r="AM519" s="142" t="str">
        <f t="shared" si="163"/>
        <v>{5301000,1,900,1000}</v>
      </c>
      <c r="AO519" s="142" t="str">
        <f t="shared" si="164"/>
        <v>{5303001,1,1800,2200}</v>
      </c>
      <c r="AP519" s="142" t="s">
        <v>210</v>
      </c>
      <c r="AQ519" s="142"/>
    </row>
    <row r="520" spans="1:43">
      <c r="A520" s="143" t="str">
        <f t="shared" si="165"/>
        <v>[{2,1,349000,349000},{5103001,1,20000,20000}]</v>
      </c>
      <c r="B520" s="98">
        <f t="shared" si="166"/>
        <v>210</v>
      </c>
      <c r="C520" s="144">
        <v>349</v>
      </c>
      <c r="D520" s="145">
        <f t="shared" si="167"/>
        <v>349</v>
      </c>
      <c r="E520" s="145">
        <v>40</v>
      </c>
      <c r="F520" s="145">
        <v>20</v>
      </c>
      <c r="G520" s="146">
        <v>1</v>
      </c>
      <c r="H520" s="146">
        <v>6</v>
      </c>
      <c r="I520" s="146">
        <v>10</v>
      </c>
      <c r="J520" s="146">
        <v>5</v>
      </c>
      <c r="K520" s="146">
        <v>1</v>
      </c>
      <c r="L520" s="146">
        <v>1.5</v>
      </c>
      <c r="M520" s="145">
        <v>0.125</v>
      </c>
      <c r="N520" s="145">
        <v>0.5</v>
      </c>
      <c r="O520" s="145">
        <v>2</v>
      </c>
      <c r="P520" s="145">
        <v>0.013</v>
      </c>
      <c r="Q520" s="145">
        <f t="shared" si="151"/>
        <v>75.59</v>
      </c>
      <c r="R520" s="145">
        <f t="shared" si="152"/>
        <v>131.45</v>
      </c>
      <c r="S520" s="126">
        <f t="shared" si="168"/>
        <v>174.5</v>
      </c>
      <c r="T520" s="147">
        <f t="shared" si="153"/>
        <v>6.5725</v>
      </c>
      <c r="U520" s="142" t="str">
        <f t="shared" si="169"/>
        <v>[{2,1,349000,349000},{5103001,1,20000,20000},{1,2,750,750},{50002,1,9000,11000},{30,1,11,14},{9,1,112,137}]</v>
      </c>
      <c r="V520" s="142" t="str">
        <f t="shared" si="170"/>
        <v>[{2,1,349000,349000},{5103001,1,40000,40000},{50002,1,6000,6000},{5203001,1,5000,5000},{21360,1,1000,1000},{5301000,1,900,1000},{5303001,1,1800,2200},{11,1,400,600}]</v>
      </c>
      <c r="X520" s="142" t="str">
        <f t="shared" si="154"/>
        <v>{2,1,349000,349000}</v>
      </c>
      <c r="Y520" s="142"/>
      <c r="Z520" s="142" t="str">
        <f t="shared" si="155"/>
        <v>{5103001,1,20000,20000}</v>
      </c>
      <c r="AA520" s="142" t="str">
        <f t="shared" si="172"/>
        <v>{1,2,750,750}</v>
      </c>
      <c r="AD520" s="142" t="str">
        <f t="shared" si="156"/>
        <v>{50002,1,9000,11000}</v>
      </c>
      <c r="AE520" s="142" t="str">
        <f t="shared" si="171"/>
        <v>{30,1,11,14}</v>
      </c>
      <c r="AG520" s="142" t="str">
        <f t="shared" si="157"/>
        <v>{9,1,112,137}</v>
      </c>
      <c r="AH520" s="142" t="str">
        <f t="shared" si="158"/>
        <v>{2,1,349000,349000}</v>
      </c>
      <c r="AI520" s="142" t="str">
        <f t="shared" si="159"/>
        <v>{5103001,1,40000,40000}</v>
      </c>
      <c r="AJ520" s="142" t="str">
        <f t="shared" si="160"/>
        <v>{50002,1,6000,6000}</v>
      </c>
      <c r="AK520" s="142" t="str">
        <f t="shared" si="161"/>
        <v>{5203001,1,5000,5000}</v>
      </c>
      <c r="AL520" s="142" t="str">
        <f t="shared" si="162"/>
        <v>{21360,1,1000,1000}</v>
      </c>
      <c r="AM520" s="142" t="str">
        <f t="shared" si="163"/>
        <v>{5301000,1,900,1000}</v>
      </c>
      <c r="AO520" s="142" t="str">
        <f t="shared" si="164"/>
        <v>{5303001,1,1800,2200}</v>
      </c>
      <c r="AP520" s="142" t="s">
        <v>210</v>
      </c>
      <c r="AQ520" s="142"/>
    </row>
    <row r="521" spans="1:43">
      <c r="A521" s="143" t="str">
        <f t="shared" si="165"/>
        <v>[{2,1,350000,350000},{5103001,1,20000,20000}]</v>
      </c>
      <c r="B521" s="98">
        <f t="shared" si="166"/>
        <v>211</v>
      </c>
      <c r="C521" s="144">
        <v>350</v>
      </c>
      <c r="D521" s="145">
        <f t="shared" si="167"/>
        <v>350</v>
      </c>
      <c r="E521" s="145">
        <v>40</v>
      </c>
      <c r="F521" s="145">
        <v>20</v>
      </c>
      <c r="G521" s="146">
        <v>1</v>
      </c>
      <c r="H521" s="146">
        <v>6</v>
      </c>
      <c r="I521" s="146">
        <v>10</v>
      </c>
      <c r="J521" s="146">
        <v>5</v>
      </c>
      <c r="K521" s="146">
        <v>1</v>
      </c>
      <c r="L521" s="146">
        <v>1.5</v>
      </c>
      <c r="M521" s="145">
        <v>0.125</v>
      </c>
      <c r="N521" s="145">
        <v>0.5</v>
      </c>
      <c r="O521" s="145">
        <v>2</v>
      </c>
      <c r="P521" s="145">
        <v>0.013</v>
      </c>
      <c r="Q521" s="145">
        <f t="shared" si="151"/>
        <v>75.64</v>
      </c>
      <c r="R521" s="145">
        <f t="shared" si="152"/>
        <v>131.5</v>
      </c>
      <c r="S521" s="126">
        <f t="shared" si="168"/>
        <v>175</v>
      </c>
      <c r="T521" s="147">
        <f t="shared" si="153"/>
        <v>6.575</v>
      </c>
      <c r="U521" s="142" t="str">
        <f t="shared" si="169"/>
        <v>[{2,1,350000,350000},{5103001,1,20000,20000},{1,2,750,750},{50002,1,9000,11000},{30,1,11,14},{9,1,112,137}]</v>
      </c>
      <c r="V521" s="142" t="str">
        <f t="shared" si="170"/>
        <v>[{2,1,350000,350000},{5103001,1,40000,40000},{50002,1,6000,6000},{5203001,1,5000,5000},{21360,1,1000,1000},{5301000,1,900,1000},{5303001,1,1800,2200},{11,1,400,600}]</v>
      </c>
      <c r="X521" s="142" t="str">
        <f t="shared" si="154"/>
        <v>{2,1,350000,350000}</v>
      </c>
      <c r="Y521" s="142"/>
      <c r="Z521" s="142" t="str">
        <f t="shared" si="155"/>
        <v>{5103001,1,20000,20000}</v>
      </c>
      <c r="AA521" s="142" t="str">
        <f t="shared" si="172"/>
        <v>{1,2,750,750}</v>
      </c>
      <c r="AD521" s="142" t="str">
        <f t="shared" si="156"/>
        <v>{50002,1,9000,11000}</v>
      </c>
      <c r="AE521" s="142" t="str">
        <f t="shared" si="171"/>
        <v>{30,1,11,14}</v>
      </c>
      <c r="AG521" s="142" t="str">
        <f t="shared" si="157"/>
        <v>{9,1,112,137}</v>
      </c>
      <c r="AH521" s="142" t="str">
        <f t="shared" si="158"/>
        <v>{2,1,350000,350000}</v>
      </c>
      <c r="AI521" s="142" t="str">
        <f t="shared" si="159"/>
        <v>{5103001,1,40000,40000}</v>
      </c>
      <c r="AJ521" s="142" t="str">
        <f t="shared" si="160"/>
        <v>{50002,1,6000,6000}</v>
      </c>
      <c r="AK521" s="142" t="str">
        <f t="shared" si="161"/>
        <v>{5203001,1,5000,5000}</v>
      </c>
      <c r="AL521" s="142" t="str">
        <f t="shared" si="162"/>
        <v>{21360,1,1000,1000}</v>
      </c>
      <c r="AM521" s="142" t="str">
        <f t="shared" si="163"/>
        <v>{5301000,1,900,1000}</v>
      </c>
      <c r="AO521" s="142" t="str">
        <f t="shared" si="164"/>
        <v>{5303001,1,1800,2200}</v>
      </c>
      <c r="AP521" s="142" t="s">
        <v>210</v>
      </c>
      <c r="AQ521" s="142"/>
    </row>
    <row r="522" spans="1:43">
      <c r="A522" s="143" t="str">
        <f t="shared" si="165"/>
        <v>[{2,1,351000,351000},{5103001,1,20000,20000}]</v>
      </c>
      <c r="B522" s="98">
        <f t="shared" si="166"/>
        <v>212</v>
      </c>
      <c r="C522" s="144">
        <v>351</v>
      </c>
      <c r="D522" s="145">
        <f t="shared" si="167"/>
        <v>351</v>
      </c>
      <c r="E522" s="145">
        <v>40</v>
      </c>
      <c r="F522" s="145">
        <v>20</v>
      </c>
      <c r="G522" s="146">
        <v>1</v>
      </c>
      <c r="H522" s="146">
        <v>6</v>
      </c>
      <c r="I522" s="146">
        <v>10</v>
      </c>
      <c r="J522" s="146">
        <v>5</v>
      </c>
      <c r="K522" s="146">
        <v>1</v>
      </c>
      <c r="L522" s="146">
        <v>1.5</v>
      </c>
      <c r="M522" s="145">
        <v>0.125</v>
      </c>
      <c r="N522" s="145">
        <v>0.5</v>
      </c>
      <c r="O522" s="145">
        <v>2</v>
      </c>
      <c r="P522" s="145">
        <v>0.013</v>
      </c>
      <c r="Q522" s="145">
        <f t="shared" si="151"/>
        <v>75.69</v>
      </c>
      <c r="R522" s="145">
        <f t="shared" si="152"/>
        <v>131.55</v>
      </c>
      <c r="S522" s="126">
        <f t="shared" si="168"/>
        <v>175.5</v>
      </c>
      <c r="T522" s="147">
        <f t="shared" si="153"/>
        <v>6.5775</v>
      </c>
      <c r="U522" s="142" t="str">
        <f t="shared" si="169"/>
        <v>[{2,1,351000,351000},{5103001,1,20000,20000},{1,2,750,750},{50002,1,9000,11000},{30,1,11,14},{9,1,112,137}]</v>
      </c>
      <c r="V522" s="142" t="str">
        <f t="shared" si="170"/>
        <v>[{2,1,351000,351000},{5103001,1,40000,40000},{50002,1,6000,6000},{5203001,1,5000,5000},{21360,1,1000,1000},{5301000,1,900,1000},{5303001,1,1800,2200},{11,1,400,600}]</v>
      </c>
      <c r="X522" s="142" t="str">
        <f t="shared" si="154"/>
        <v>{2,1,351000,351000}</v>
      </c>
      <c r="Y522" s="142"/>
      <c r="Z522" s="142" t="str">
        <f t="shared" si="155"/>
        <v>{5103001,1,20000,20000}</v>
      </c>
      <c r="AA522" s="142" t="str">
        <f t="shared" si="172"/>
        <v>{1,2,750,750}</v>
      </c>
      <c r="AD522" s="142" t="str">
        <f t="shared" si="156"/>
        <v>{50002,1,9000,11000}</v>
      </c>
      <c r="AE522" s="142" t="str">
        <f t="shared" si="171"/>
        <v>{30,1,11,14}</v>
      </c>
      <c r="AG522" s="142" t="str">
        <f t="shared" si="157"/>
        <v>{9,1,112,137}</v>
      </c>
      <c r="AH522" s="142" t="str">
        <f t="shared" si="158"/>
        <v>{2,1,351000,351000}</v>
      </c>
      <c r="AI522" s="142" t="str">
        <f t="shared" si="159"/>
        <v>{5103001,1,40000,40000}</v>
      </c>
      <c r="AJ522" s="142" t="str">
        <f t="shared" si="160"/>
        <v>{50002,1,6000,6000}</v>
      </c>
      <c r="AK522" s="142" t="str">
        <f t="shared" si="161"/>
        <v>{5203001,1,5000,5000}</v>
      </c>
      <c r="AL522" s="142" t="str">
        <f t="shared" si="162"/>
        <v>{21360,1,1000,1000}</v>
      </c>
      <c r="AM522" s="142" t="str">
        <f t="shared" si="163"/>
        <v>{5301000,1,900,1000}</v>
      </c>
      <c r="AO522" s="142" t="str">
        <f t="shared" si="164"/>
        <v>{5303001,1,1800,2200}</v>
      </c>
      <c r="AP522" s="142" t="s">
        <v>210</v>
      </c>
      <c r="AQ522" s="142"/>
    </row>
    <row r="523" spans="1:43">
      <c r="A523" s="143" t="str">
        <f t="shared" si="165"/>
        <v>[{2,1,352000,352000},{5103001,1,20000,20000}]</v>
      </c>
      <c r="B523" s="98">
        <f t="shared" si="166"/>
        <v>213</v>
      </c>
      <c r="C523" s="144">
        <v>352</v>
      </c>
      <c r="D523" s="145">
        <f t="shared" si="167"/>
        <v>352</v>
      </c>
      <c r="E523" s="145">
        <v>40</v>
      </c>
      <c r="F523" s="145">
        <v>20</v>
      </c>
      <c r="G523" s="146">
        <v>1</v>
      </c>
      <c r="H523" s="146">
        <v>6</v>
      </c>
      <c r="I523" s="146">
        <v>10</v>
      </c>
      <c r="J523" s="146">
        <v>5</v>
      </c>
      <c r="K523" s="146">
        <v>1</v>
      </c>
      <c r="L523" s="146">
        <v>1.5</v>
      </c>
      <c r="M523" s="145">
        <v>0.125</v>
      </c>
      <c r="N523" s="145">
        <v>0.5</v>
      </c>
      <c r="O523" s="145">
        <v>2</v>
      </c>
      <c r="P523" s="145">
        <v>0.013</v>
      </c>
      <c r="Q523" s="145">
        <f t="shared" si="151"/>
        <v>75.74</v>
      </c>
      <c r="R523" s="145">
        <f t="shared" si="152"/>
        <v>131.6</v>
      </c>
      <c r="S523" s="126">
        <f t="shared" si="168"/>
        <v>176</v>
      </c>
      <c r="T523" s="147">
        <f t="shared" si="153"/>
        <v>6.58</v>
      </c>
      <c r="U523" s="142" t="str">
        <f t="shared" si="169"/>
        <v>[{2,1,352000,352000},{5103001,1,20000,20000},{1,2,750,750},{50002,1,9000,11000},{30,1,11,14},{9,1,112,137}]</v>
      </c>
      <c r="V523" s="142" t="str">
        <f t="shared" si="170"/>
        <v>[{2,1,352000,352000},{5103001,1,40000,40000},{50002,1,6000,6000},{5203001,1,5000,5000},{21360,1,1000,1000},{5301000,1,900,1000},{5303001,1,1800,2200},{11,1,400,600}]</v>
      </c>
      <c r="X523" s="142" t="str">
        <f t="shared" si="154"/>
        <v>{2,1,352000,352000}</v>
      </c>
      <c r="Y523" s="142"/>
      <c r="Z523" s="142" t="str">
        <f t="shared" si="155"/>
        <v>{5103001,1,20000,20000}</v>
      </c>
      <c r="AA523" s="142" t="str">
        <f t="shared" si="172"/>
        <v>{1,2,750,750}</v>
      </c>
      <c r="AD523" s="142" t="str">
        <f t="shared" si="156"/>
        <v>{50002,1,9000,11000}</v>
      </c>
      <c r="AE523" s="142" t="str">
        <f t="shared" si="171"/>
        <v>{30,1,11,14}</v>
      </c>
      <c r="AG523" s="142" t="str">
        <f t="shared" si="157"/>
        <v>{9,1,112,137}</v>
      </c>
      <c r="AH523" s="142" t="str">
        <f t="shared" si="158"/>
        <v>{2,1,352000,352000}</v>
      </c>
      <c r="AI523" s="142" t="str">
        <f t="shared" si="159"/>
        <v>{5103001,1,40000,40000}</v>
      </c>
      <c r="AJ523" s="142" t="str">
        <f t="shared" si="160"/>
        <v>{50002,1,6000,6000}</v>
      </c>
      <c r="AK523" s="142" t="str">
        <f t="shared" si="161"/>
        <v>{5203001,1,5000,5000}</v>
      </c>
      <c r="AL523" s="142" t="str">
        <f t="shared" si="162"/>
        <v>{21360,1,1000,1000}</v>
      </c>
      <c r="AM523" s="142" t="str">
        <f t="shared" si="163"/>
        <v>{5301000,1,900,1000}</v>
      </c>
      <c r="AO523" s="142" t="str">
        <f t="shared" si="164"/>
        <v>{5303001,1,1800,2200}</v>
      </c>
      <c r="AP523" s="142" t="s">
        <v>210</v>
      </c>
      <c r="AQ523" s="142"/>
    </row>
    <row r="524" spans="1:43">
      <c r="A524" s="143" t="str">
        <f t="shared" si="165"/>
        <v>[{2,1,353000,353000},{5103001,1,20000,20000}]</v>
      </c>
      <c r="B524" s="98">
        <f t="shared" si="166"/>
        <v>214</v>
      </c>
      <c r="C524" s="144">
        <v>353</v>
      </c>
      <c r="D524" s="145">
        <f t="shared" si="167"/>
        <v>353</v>
      </c>
      <c r="E524" s="145">
        <v>40</v>
      </c>
      <c r="F524" s="145">
        <v>20</v>
      </c>
      <c r="G524" s="146">
        <v>1</v>
      </c>
      <c r="H524" s="146">
        <v>6</v>
      </c>
      <c r="I524" s="146">
        <v>10</v>
      </c>
      <c r="J524" s="146">
        <v>5</v>
      </c>
      <c r="K524" s="146">
        <v>1</v>
      </c>
      <c r="L524" s="146">
        <v>1.5</v>
      </c>
      <c r="M524" s="145">
        <v>0.125</v>
      </c>
      <c r="N524" s="145">
        <v>0.5</v>
      </c>
      <c r="O524" s="145">
        <v>2</v>
      </c>
      <c r="P524" s="145">
        <v>0.013</v>
      </c>
      <c r="Q524" s="145">
        <f t="shared" si="151"/>
        <v>75.79</v>
      </c>
      <c r="R524" s="145">
        <f t="shared" si="152"/>
        <v>131.65</v>
      </c>
      <c r="S524" s="126">
        <f t="shared" si="168"/>
        <v>176.5</v>
      </c>
      <c r="T524" s="147">
        <f t="shared" si="153"/>
        <v>6.5825</v>
      </c>
      <c r="U524" s="142" t="str">
        <f t="shared" si="169"/>
        <v>[{2,1,353000,353000},{5103001,1,20000,20000},{1,2,750,750},{50002,1,9000,11000},{30,1,11,14},{9,1,112,137}]</v>
      </c>
      <c r="V524" s="142" t="str">
        <f t="shared" si="170"/>
        <v>[{2,1,353000,353000},{5103001,1,40000,40000},{50002,1,6000,6000},{5203001,1,5000,5000},{21360,1,1000,1000},{5301000,1,900,1000},{5303001,1,1800,2200},{11,1,400,600}]</v>
      </c>
      <c r="X524" s="142" t="str">
        <f t="shared" si="154"/>
        <v>{2,1,353000,353000}</v>
      </c>
      <c r="Y524" s="142"/>
      <c r="Z524" s="142" t="str">
        <f t="shared" si="155"/>
        <v>{5103001,1,20000,20000}</v>
      </c>
      <c r="AA524" s="142" t="str">
        <f t="shared" si="172"/>
        <v>{1,2,750,750}</v>
      </c>
      <c r="AD524" s="142" t="str">
        <f t="shared" si="156"/>
        <v>{50002,1,9000,11000}</v>
      </c>
      <c r="AE524" s="142" t="str">
        <f t="shared" si="171"/>
        <v>{30,1,11,14}</v>
      </c>
      <c r="AG524" s="142" t="str">
        <f t="shared" si="157"/>
        <v>{9,1,112,137}</v>
      </c>
      <c r="AH524" s="142" t="str">
        <f t="shared" si="158"/>
        <v>{2,1,353000,353000}</v>
      </c>
      <c r="AI524" s="142" t="str">
        <f t="shared" si="159"/>
        <v>{5103001,1,40000,40000}</v>
      </c>
      <c r="AJ524" s="142" t="str">
        <f t="shared" si="160"/>
        <v>{50002,1,6000,6000}</v>
      </c>
      <c r="AK524" s="142" t="str">
        <f t="shared" si="161"/>
        <v>{5203001,1,5000,5000}</v>
      </c>
      <c r="AL524" s="142" t="str">
        <f t="shared" si="162"/>
        <v>{21360,1,1000,1000}</v>
      </c>
      <c r="AM524" s="142" t="str">
        <f t="shared" si="163"/>
        <v>{5301000,1,900,1000}</v>
      </c>
      <c r="AO524" s="142" t="str">
        <f t="shared" si="164"/>
        <v>{5303001,1,1800,2200}</v>
      </c>
      <c r="AP524" s="142" t="s">
        <v>210</v>
      </c>
      <c r="AQ524" s="142"/>
    </row>
    <row r="525" spans="1:43">
      <c r="A525" s="143" t="str">
        <f t="shared" si="165"/>
        <v>[{2,1,354000,354000},{5103001,1,20000,20000}]</v>
      </c>
      <c r="B525" s="98">
        <f t="shared" si="166"/>
        <v>215</v>
      </c>
      <c r="C525" s="144">
        <v>354</v>
      </c>
      <c r="D525" s="145">
        <f t="shared" si="167"/>
        <v>354</v>
      </c>
      <c r="E525" s="145">
        <v>40</v>
      </c>
      <c r="F525" s="145">
        <v>20</v>
      </c>
      <c r="G525" s="146">
        <v>1</v>
      </c>
      <c r="H525" s="146">
        <v>6</v>
      </c>
      <c r="I525" s="146">
        <v>10</v>
      </c>
      <c r="J525" s="146">
        <v>5</v>
      </c>
      <c r="K525" s="146">
        <v>1</v>
      </c>
      <c r="L525" s="146">
        <v>1.5</v>
      </c>
      <c r="M525" s="145">
        <v>0.125</v>
      </c>
      <c r="N525" s="145">
        <v>0.5</v>
      </c>
      <c r="O525" s="145">
        <v>2</v>
      </c>
      <c r="P525" s="145">
        <v>0.013</v>
      </c>
      <c r="Q525" s="145">
        <f t="shared" si="151"/>
        <v>75.84</v>
      </c>
      <c r="R525" s="145">
        <f t="shared" si="152"/>
        <v>131.7</v>
      </c>
      <c r="S525" s="126">
        <f t="shared" si="168"/>
        <v>177</v>
      </c>
      <c r="T525" s="147">
        <f t="shared" si="153"/>
        <v>6.585</v>
      </c>
      <c r="U525" s="142" t="str">
        <f t="shared" si="169"/>
        <v>[{2,1,354000,354000},{5103001,1,20000,20000},{1,2,750,750},{50002,1,9000,11000},{30,1,11,14},{9,1,112,137}]</v>
      </c>
      <c r="V525" s="142" t="str">
        <f t="shared" si="170"/>
        <v>[{2,1,354000,354000},{5103001,1,40000,40000},{50002,1,6000,6000},{5203001,1,5000,5000},{21360,1,1000,1000},{5301000,1,900,1000},{5303001,1,1800,2200},{11,1,400,600}]</v>
      </c>
      <c r="X525" s="142" t="str">
        <f t="shared" si="154"/>
        <v>{2,1,354000,354000}</v>
      </c>
      <c r="Y525" s="142"/>
      <c r="Z525" s="142" t="str">
        <f t="shared" si="155"/>
        <v>{5103001,1,20000,20000}</v>
      </c>
      <c r="AA525" s="142" t="str">
        <f t="shared" si="172"/>
        <v>{1,2,750,750}</v>
      </c>
      <c r="AD525" s="142" t="str">
        <f t="shared" si="156"/>
        <v>{50002,1,9000,11000}</v>
      </c>
      <c r="AE525" s="142" t="str">
        <f t="shared" si="171"/>
        <v>{30,1,11,14}</v>
      </c>
      <c r="AG525" s="142" t="str">
        <f t="shared" si="157"/>
        <v>{9,1,112,137}</v>
      </c>
      <c r="AH525" s="142" t="str">
        <f t="shared" si="158"/>
        <v>{2,1,354000,354000}</v>
      </c>
      <c r="AI525" s="142" t="str">
        <f t="shared" si="159"/>
        <v>{5103001,1,40000,40000}</v>
      </c>
      <c r="AJ525" s="142" t="str">
        <f t="shared" si="160"/>
        <v>{50002,1,6000,6000}</v>
      </c>
      <c r="AK525" s="142" t="str">
        <f t="shared" si="161"/>
        <v>{5203001,1,5000,5000}</v>
      </c>
      <c r="AL525" s="142" t="str">
        <f t="shared" si="162"/>
        <v>{21360,1,1000,1000}</v>
      </c>
      <c r="AM525" s="142" t="str">
        <f t="shared" si="163"/>
        <v>{5301000,1,900,1000}</v>
      </c>
      <c r="AO525" s="142" t="str">
        <f t="shared" si="164"/>
        <v>{5303001,1,1800,2200}</v>
      </c>
      <c r="AP525" s="142" t="s">
        <v>210</v>
      </c>
      <c r="AQ525" s="142"/>
    </row>
    <row r="526" spans="1:43">
      <c r="A526" s="143" t="str">
        <f t="shared" si="165"/>
        <v>[{2,1,355000,355000},{5103001,1,20000,20000}]</v>
      </c>
      <c r="B526" s="98">
        <f t="shared" si="166"/>
        <v>216</v>
      </c>
      <c r="C526" s="144">
        <v>355</v>
      </c>
      <c r="D526" s="145">
        <f t="shared" si="167"/>
        <v>355</v>
      </c>
      <c r="E526" s="145">
        <v>40</v>
      </c>
      <c r="F526" s="145">
        <v>20</v>
      </c>
      <c r="G526" s="146">
        <v>1</v>
      </c>
      <c r="H526" s="146">
        <v>6</v>
      </c>
      <c r="I526" s="146">
        <v>10</v>
      </c>
      <c r="J526" s="146">
        <v>5</v>
      </c>
      <c r="K526" s="146">
        <v>1</v>
      </c>
      <c r="L526" s="146">
        <v>1.5</v>
      </c>
      <c r="M526" s="145">
        <v>0.125</v>
      </c>
      <c r="N526" s="145">
        <v>0.5</v>
      </c>
      <c r="O526" s="145">
        <v>2</v>
      </c>
      <c r="P526" s="145">
        <v>0.013</v>
      </c>
      <c r="Q526" s="145">
        <f t="shared" si="151"/>
        <v>75.89</v>
      </c>
      <c r="R526" s="145">
        <f t="shared" si="152"/>
        <v>131.75</v>
      </c>
      <c r="S526" s="126">
        <f t="shared" si="168"/>
        <v>177.5</v>
      </c>
      <c r="T526" s="147">
        <f t="shared" si="153"/>
        <v>6.5875</v>
      </c>
      <c r="U526" s="142" t="str">
        <f t="shared" si="169"/>
        <v>[{2,1,355000,355000},{5103001,1,20000,20000},{1,2,750,750},{50002,1,9000,11000},{30,1,11,14},{9,1,112,137}]</v>
      </c>
      <c r="V526" s="142" t="str">
        <f t="shared" si="170"/>
        <v>[{2,1,355000,355000},{5103001,1,40000,40000},{50002,1,6000,6000},{5203001,1,5000,5000},{21360,1,1000,1000},{5301000,1,900,1000},{5303001,1,1800,2200},{11,1,400,600}]</v>
      </c>
      <c r="X526" s="142" t="str">
        <f t="shared" si="154"/>
        <v>{2,1,355000,355000}</v>
      </c>
      <c r="Y526" s="142"/>
      <c r="Z526" s="142" t="str">
        <f t="shared" si="155"/>
        <v>{5103001,1,20000,20000}</v>
      </c>
      <c r="AA526" s="142" t="str">
        <f t="shared" si="172"/>
        <v>{1,2,750,750}</v>
      </c>
      <c r="AD526" s="142" t="str">
        <f t="shared" si="156"/>
        <v>{50002,1,9000,11000}</v>
      </c>
      <c r="AE526" s="142" t="str">
        <f t="shared" si="171"/>
        <v>{30,1,11,14}</v>
      </c>
      <c r="AG526" s="142" t="str">
        <f t="shared" si="157"/>
        <v>{9,1,112,137}</v>
      </c>
      <c r="AH526" s="142" t="str">
        <f t="shared" si="158"/>
        <v>{2,1,355000,355000}</v>
      </c>
      <c r="AI526" s="142" t="str">
        <f t="shared" si="159"/>
        <v>{5103001,1,40000,40000}</v>
      </c>
      <c r="AJ526" s="142" t="str">
        <f t="shared" si="160"/>
        <v>{50002,1,6000,6000}</v>
      </c>
      <c r="AK526" s="142" t="str">
        <f t="shared" si="161"/>
        <v>{5203001,1,5000,5000}</v>
      </c>
      <c r="AL526" s="142" t="str">
        <f t="shared" si="162"/>
        <v>{21360,1,1000,1000}</v>
      </c>
      <c r="AM526" s="142" t="str">
        <f t="shared" si="163"/>
        <v>{5301000,1,900,1000}</v>
      </c>
      <c r="AO526" s="142" t="str">
        <f t="shared" si="164"/>
        <v>{5303001,1,1800,2200}</v>
      </c>
      <c r="AP526" s="142" t="s">
        <v>210</v>
      </c>
      <c r="AQ526" s="142"/>
    </row>
    <row r="527" spans="1:43">
      <c r="A527" s="143" t="str">
        <f t="shared" si="165"/>
        <v>[{2,1,356000,356000},{5103001,1,20000,20000}]</v>
      </c>
      <c r="B527" s="98">
        <f t="shared" si="166"/>
        <v>217</v>
      </c>
      <c r="C527" s="144">
        <v>356</v>
      </c>
      <c r="D527" s="145">
        <f t="shared" si="167"/>
        <v>356</v>
      </c>
      <c r="E527" s="145">
        <v>40</v>
      </c>
      <c r="F527" s="145">
        <v>20</v>
      </c>
      <c r="G527" s="146">
        <v>1</v>
      </c>
      <c r="H527" s="146">
        <v>6</v>
      </c>
      <c r="I527" s="146">
        <v>10</v>
      </c>
      <c r="J527" s="146">
        <v>5</v>
      </c>
      <c r="K527" s="146">
        <v>1</v>
      </c>
      <c r="L527" s="146">
        <v>1.5</v>
      </c>
      <c r="M527" s="145">
        <v>0.125</v>
      </c>
      <c r="N527" s="145">
        <v>0.5</v>
      </c>
      <c r="O527" s="145">
        <v>2</v>
      </c>
      <c r="P527" s="145">
        <v>0.013</v>
      </c>
      <c r="Q527" s="145">
        <f t="shared" si="151"/>
        <v>75.94</v>
      </c>
      <c r="R527" s="145">
        <f t="shared" si="152"/>
        <v>131.8</v>
      </c>
      <c r="S527" s="126">
        <f t="shared" si="168"/>
        <v>178</v>
      </c>
      <c r="T527" s="147">
        <f t="shared" si="153"/>
        <v>6.59</v>
      </c>
      <c r="U527" s="142" t="str">
        <f t="shared" si="169"/>
        <v>[{2,1,356000,356000},{5103001,1,20000,20000},{1,2,750,750},{50002,1,9000,11000},{30,1,11,14},{9,1,112,137}]</v>
      </c>
      <c r="V527" s="142" t="str">
        <f t="shared" si="170"/>
        <v>[{2,1,356000,356000},{5103001,1,40000,40000},{50002,1,6000,6000},{5203001,1,5000,5000},{21360,1,1000,1000},{5301000,1,900,1000},{5303001,1,1800,2200},{11,1,400,600}]</v>
      </c>
      <c r="X527" s="142" t="str">
        <f t="shared" si="154"/>
        <v>{2,1,356000,356000}</v>
      </c>
      <c r="Y527" s="142"/>
      <c r="Z527" s="142" t="str">
        <f t="shared" si="155"/>
        <v>{5103001,1,20000,20000}</v>
      </c>
      <c r="AA527" s="142" t="str">
        <f t="shared" si="172"/>
        <v>{1,2,750,750}</v>
      </c>
      <c r="AD527" s="142" t="str">
        <f t="shared" si="156"/>
        <v>{50002,1,9000,11000}</v>
      </c>
      <c r="AE527" s="142" t="str">
        <f t="shared" si="171"/>
        <v>{30,1,11,14}</v>
      </c>
      <c r="AG527" s="142" t="str">
        <f t="shared" si="157"/>
        <v>{9,1,112,137}</v>
      </c>
      <c r="AH527" s="142" t="str">
        <f t="shared" si="158"/>
        <v>{2,1,356000,356000}</v>
      </c>
      <c r="AI527" s="142" t="str">
        <f t="shared" si="159"/>
        <v>{5103001,1,40000,40000}</v>
      </c>
      <c r="AJ527" s="142" t="str">
        <f t="shared" si="160"/>
        <v>{50002,1,6000,6000}</v>
      </c>
      <c r="AK527" s="142" t="str">
        <f t="shared" si="161"/>
        <v>{5203001,1,5000,5000}</v>
      </c>
      <c r="AL527" s="142" t="str">
        <f t="shared" si="162"/>
        <v>{21360,1,1000,1000}</v>
      </c>
      <c r="AM527" s="142" t="str">
        <f t="shared" si="163"/>
        <v>{5301000,1,900,1000}</v>
      </c>
      <c r="AO527" s="142" t="str">
        <f t="shared" si="164"/>
        <v>{5303001,1,1800,2200}</v>
      </c>
      <c r="AP527" s="142" t="s">
        <v>210</v>
      </c>
      <c r="AQ527" s="142"/>
    </row>
    <row r="528" spans="1:43">
      <c r="A528" s="143" t="str">
        <f t="shared" si="165"/>
        <v>[{2,1,357000,357000},{5103001,1,20000,20000}]</v>
      </c>
      <c r="B528" s="98">
        <f t="shared" si="166"/>
        <v>218</v>
      </c>
      <c r="C528" s="144">
        <v>357</v>
      </c>
      <c r="D528" s="145">
        <f t="shared" si="167"/>
        <v>357</v>
      </c>
      <c r="E528" s="145">
        <v>40</v>
      </c>
      <c r="F528" s="145">
        <v>20</v>
      </c>
      <c r="G528" s="146">
        <v>1</v>
      </c>
      <c r="H528" s="146">
        <v>6</v>
      </c>
      <c r="I528" s="146">
        <v>10</v>
      </c>
      <c r="J528" s="146">
        <v>5</v>
      </c>
      <c r="K528" s="146">
        <v>1</v>
      </c>
      <c r="L528" s="146">
        <v>1.5</v>
      </c>
      <c r="M528" s="145">
        <v>0.125</v>
      </c>
      <c r="N528" s="145">
        <v>0.5</v>
      </c>
      <c r="O528" s="145">
        <v>2</v>
      </c>
      <c r="P528" s="145">
        <v>0.013</v>
      </c>
      <c r="Q528" s="145">
        <f t="shared" si="151"/>
        <v>75.99</v>
      </c>
      <c r="R528" s="145">
        <f t="shared" si="152"/>
        <v>131.85</v>
      </c>
      <c r="S528" s="126">
        <f t="shared" si="168"/>
        <v>178.5</v>
      </c>
      <c r="T528" s="147">
        <f t="shared" si="153"/>
        <v>6.5925</v>
      </c>
      <c r="U528" s="142" t="str">
        <f t="shared" si="169"/>
        <v>[{2,1,357000,357000},{5103001,1,20000,20000},{1,2,750,750},{50002,1,9000,11000},{30,1,11,14},{9,1,112,137}]</v>
      </c>
      <c r="V528" s="142" t="str">
        <f t="shared" si="170"/>
        <v>[{2,1,357000,357000},{5103001,1,40000,40000},{50002,1,6000,6000},{5203001,1,5000,5000},{21360,1,1000,1000},{5301000,1,900,1000},{5303001,1,1800,2200},{11,1,400,600}]</v>
      </c>
      <c r="X528" s="142" t="str">
        <f t="shared" si="154"/>
        <v>{2,1,357000,357000}</v>
      </c>
      <c r="Y528" s="142"/>
      <c r="Z528" s="142" t="str">
        <f t="shared" si="155"/>
        <v>{5103001,1,20000,20000}</v>
      </c>
      <c r="AA528" s="142" t="str">
        <f t="shared" si="172"/>
        <v>{1,2,750,750}</v>
      </c>
      <c r="AD528" s="142" t="str">
        <f t="shared" si="156"/>
        <v>{50002,1,9000,11000}</v>
      </c>
      <c r="AE528" s="142" t="str">
        <f t="shared" si="171"/>
        <v>{30,1,11,14}</v>
      </c>
      <c r="AG528" s="142" t="str">
        <f t="shared" si="157"/>
        <v>{9,1,112,137}</v>
      </c>
      <c r="AH528" s="142" t="str">
        <f t="shared" si="158"/>
        <v>{2,1,357000,357000}</v>
      </c>
      <c r="AI528" s="142" t="str">
        <f t="shared" si="159"/>
        <v>{5103001,1,40000,40000}</v>
      </c>
      <c r="AJ528" s="142" t="str">
        <f t="shared" si="160"/>
        <v>{50002,1,6000,6000}</v>
      </c>
      <c r="AK528" s="142" t="str">
        <f t="shared" si="161"/>
        <v>{5203001,1,5000,5000}</v>
      </c>
      <c r="AL528" s="142" t="str">
        <f t="shared" si="162"/>
        <v>{21360,1,1000,1000}</v>
      </c>
      <c r="AM528" s="142" t="str">
        <f t="shared" si="163"/>
        <v>{5301000,1,900,1000}</v>
      </c>
      <c r="AO528" s="142" t="str">
        <f t="shared" si="164"/>
        <v>{5303001,1,1800,2200}</v>
      </c>
      <c r="AP528" s="142" t="s">
        <v>210</v>
      </c>
      <c r="AQ528" s="142"/>
    </row>
    <row r="529" spans="1:43">
      <c r="A529" s="143" t="str">
        <f t="shared" si="165"/>
        <v>[{2,1,358000,358000},{5103001,1,20000,20000}]</v>
      </c>
      <c r="B529" s="98">
        <f t="shared" si="166"/>
        <v>219</v>
      </c>
      <c r="C529" s="144">
        <v>358</v>
      </c>
      <c r="D529" s="145">
        <f t="shared" si="167"/>
        <v>358</v>
      </c>
      <c r="E529" s="145">
        <v>40</v>
      </c>
      <c r="F529" s="145">
        <v>20</v>
      </c>
      <c r="G529" s="146">
        <v>1</v>
      </c>
      <c r="H529" s="146">
        <v>6</v>
      </c>
      <c r="I529" s="146">
        <v>10</v>
      </c>
      <c r="J529" s="146">
        <v>5</v>
      </c>
      <c r="K529" s="146">
        <v>1</v>
      </c>
      <c r="L529" s="146">
        <v>1.5</v>
      </c>
      <c r="M529" s="145">
        <v>0.125</v>
      </c>
      <c r="N529" s="145">
        <v>0.5</v>
      </c>
      <c r="O529" s="145">
        <v>2</v>
      </c>
      <c r="P529" s="145">
        <v>0.013</v>
      </c>
      <c r="Q529" s="145">
        <f t="shared" si="151"/>
        <v>76.04</v>
      </c>
      <c r="R529" s="145">
        <f t="shared" si="152"/>
        <v>131.9</v>
      </c>
      <c r="S529" s="126">
        <f t="shared" si="168"/>
        <v>179</v>
      </c>
      <c r="T529" s="147">
        <f t="shared" si="153"/>
        <v>6.595</v>
      </c>
      <c r="U529" s="142" t="str">
        <f t="shared" si="169"/>
        <v>[{2,1,358000,358000},{5103001,1,20000,20000},{1,2,750,750},{50002,1,9000,11000},{30,1,11,14},{9,1,112,137}]</v>
      </c>
      <c r="V529" s="142" t="str">
        <f t="shared" si="170"/>
        <v>[{2,1,358000,358000},{5103001,1,40000,40000},{50002,1,6000,6000},{5203001,1,5000,5000},{21360,1,1000,1000},{5301000,1,900,1000},{5303001,1,1800,2200},{11,1,400,600}]</v>
      </c>
      <c r="X529" s="142" t="str">
        <f t="shared" si="154"/>
        <v>{2,1,358000,358000}</v>
      </c>
      <c r="Y529" s="142"/>
      <c r="Z529" s="142" t="str">
        <f t="shared" si="155"/>
        <v>{5103001,1,20000,20000}</v>
      </c>
      <c r="AA529" s="142" t="str">
        <f t="shared" si="172"/>
        <v>{1,2,750,750}</v>
      </c>
      <c r="AD529" s="142" t="str">
        <f t="shared" si="156"/>
        <v>{50002,1,9000,11000}</v>
      </c>
      <c r="AE529" s="142" t="str">
        <f t="shared" si="171"/>
        <v>{30,1,11,14}</v>
      </c>
      <c r="AG529" s="142" t="str">
        <f t="shared" si="157"/>
        <v>{9,1,112,137}</v>
      </c>
      <c r="AH529" s="142" t="str">
        <f t="shared" si="158"/>
        <v>{2,1,358000,358000}</v>
      </c>
      <c r="AI529" s="142" t="str">
        <f t="shared" si="159"/>
        <v>{5103001,1,40000,40000}</v>
      </c>
      <c r="AJ529" s="142" t="str">
        <f t="shared" si="160"/>
        <v>{50002,1,6000,6000}</v>
      </c>
      <c r="AK529" s="142" t="str">
        <f t="shared" si="161"/>
        <v>{5203001,1,5000,5000}</v>
      </c>
      <c r="AL529" s="142" t="str">
        <f t="shared" si="162"/>
        <v>{21360,1,1000,1000}</v>
      </c>
      <c r="AM529" s="142" t="str">
        <f t="shared" si="163"/>
        <v>{5301000,1,900,1000}</v>
      </c>
      <c r="AO529" s="142" t="str">
        <f t="shared" si="164"/>
        <v>{5303001,1,1800,2200}</v>
      </c>
      <c r="AP529" s="142" t="s">
        <v>210</v>
      </c>
      <c r="AQ529" s="142"/>
    </row>
    <row r="530" spans="1:43">
      <c r="A530" s="143" t="str">
        <f t="shared" si="165"/>
        <v>[{2,1,359000,359000},{5103001,1,20000,20000}]</v>
      </c>
      <c r="B530" s="98">
        <f t="shared" si="166"/>
        <v>220</v>
      </c>
      <c r="C530" s="144">
        <v>359</v>
      </c>
      <c r="D530" s="145">
        <f t="shared" si="167"/>
        <v>359</v>
      </c>
      <c r="E530" s="145">
        <v>40</v>
      </c>
      <c r="F530" s="145">
        <v>20</v>
      </c>
      <c r="G530" s="146">
        <v>1</v>
      </c>
      <c r="H530" s="146">
        <v>6</v>
      </c>
      <c r="I530" s="146">
        <v>10</v>
      </c>
      <c r="J530" s="146">
        <v>5</v>
      </c>
      <c r="K530" s="146">
        <v>1</v>
      </c>
      <c r="L530" s="146">
        <v>1.5</v>
      </c>
      <c r="M530" s="145">
        <v>0.125</v>
      </c>
      <c r="N530" s="145">
        <v>0.5</v>
      </c>
      <c r="O530" s="145">
        <v>2</v>
      </c>
      <c r="P530" s="145">
        <v>0.013</v>
      </c>
      <c r="Q530" s="145">
        <f t="shared" si="151"/>
        <v>76.09</v>
      </c>
      <c r="R530" s="145">
        <f t="shared" si="152"/>
        <v>131.95</v>
      </c>
      <c r="S530" s="126">
        <f t="shared" si="168"/>
        <v>179.5</v>
      </c>
      <c r="T530" s="147">
        <f t="shared" si="153"/>
        <v>6.5975</v>
      </c>
      <c r="U530" s="142" t="str">
        <f t="shared" si="169"/>
        <v>[{2,1,359000,359000},{5103001,1,20000,20000},{1,2,750,750},{50002,1,9000,11000},{30,1,11,14},{9,1,112,137}]</v>
      </c>
      <c r="V530" s="142" t="str">
        <f t="shared" si="170"/>
        <v>[{2,1,359000,359000},{5103001,1,40000,40000},{50002,1,6000,6000},{5203001,1,5000,5000},{21360,1,1000,1000},{5301000,1,900,1000},{5303001,1,1800,2200},{11,1,400,600}]</v>
      </c>
      <c r="X530" s="142" t="str">
        <f t="shared" si="154"/>
        <v>{2,1,359000,359000}</v>
      </c>
      <c r="Y530" s="142"/>
      <c r="Z530" s="142" t="str">
        <f t="shared" si="155"/>
        <v>{5103001,1,20000,20000}</v>
      </c>
      <c r="AA530" s="142" t="str">
        <f t="shared" si="172"/>
        <v>{1,2,750,750}</v>
      </c>
      <c r="AD530" s="142" t="str">
        <f t="shared" si="156"/>
        <v>{50002,1,9000,11000}</v>
      </c>
      <c r="AE530" s="142" t="str">
        <f t="shared" si="171"/>
        <v>{30,1,11,14}</v>
      </c>
      <c r="AG530" s="142" t="str">
        <f t="shared" si="157"/>
        <v>{9,1,112,137}</v>
      </c>
      <c r="AH530" s="142" t="str">
        <f t="shared" si="158"/>
        <v>{2,1,359000,359000}</v>
      </c>
      <c r="AI530" s="142" t="str">
        <f t="shared" si="159"/>
        <v>{5103001,1,40000,40000}</v>
      </c>
      <c r="AJ530" s="142" t="str">
        <f t="shared" si="160"/>
        <v>{50002,1,6000,6000}</v>
      </c>
      <c r="AK530" s="142" t="str">
        <f t="shared" si="161"/>
        <v>{5203001,1,5000,5000}</v>
      </c>
      <c r="AL530" s="142" t="str">
        <f t="shared" si="162"/>
        <v>{21360,1,1000,1000}</v>
      </c>
      <c r="AM530" s="142" t="str">
        <f t="shared" si="163"/>
        <v>{5301000,1,900,1000}</v>
      </c>
      <c r="AO530" s="142" t="str">
        <f t="shared" si="164"/>
        <v>{5303001,1,1800,2200}</v>
      </c>
      <c r="AP530" s="142" t="s">
        <v>210</v>
      </c>
      <c r="AQ530" s="142"/>
    </row>
    <row r="531" spans="1:43">
      <c r="A531" s="143" t="str">
        <f t="shared" si="165"/>
        <v>[{2,1,360000,360000},{5103001,1,20000,20000}]</v>
      </c>
      <c r="B531" s="98">
        <f t="shared" si="166"/>
        <v>221</v>
      </c>
      <c r="C531" s="144">
        <v>360</v>
      </c>
      <c r="D531" s="145">
        <f t="shared" si="167"/>
        <v>360</v>
      </c>
      <c r="E531" s="145">
        <v>40</v>
      </c>
      <c r="F531" s="145">
        <v>20</v>
      </c>
      <c r="G531" s="146">
        <v>1</v>
      </c>
      <c r="H531" s="146">
        <v>6</v>
      </c>
      <c r="I531" s="146">
        <v>10</v>
      </c>
      <c r="J531" s="146">
        <v>5</v>
      </c>
      <c r="K531" s="146">
        <v>1</v>
      </c>
      <c r="L531" s="146">
        <v>1.5</v>
      </c>
      <c r="M531" s="145">
        <v>0.125</v>
      </c>
      <c r="N531" s="145">
        <v>0.5</v>
      </c>
      <c r="O531" s="145">
        <v>2</v>
      </c>
      <c r="P531" s="145">
        <v>0.013</v>
      </c>
      <c r="Q531" s="145">
        <f t="shared" si="151"/>
        <v>76.14</v>
      </c>
      <c r="R531" s="145">
        <f t="shared" si="152"/>
        <v>132</v>
      </c>
      <c r="S531" s="126">
        <f t="shared" si="168"/>
        <v>180</v>
      </c>
      <c r="T531" s="147">
        <f t="shared" si="153"/>
        <v>6.6</v>
      </c>
      <c r="U531" s="142" t="str">
        <f t="shared" si="169"/>
        <v>[{2,1,360000,360000},{5103001,1,20000,20000},{1,2,750,750},{50002,1,9000,11000},{30,1,11,14},{9,1,112,137}]</v>
      </c>
      <c r="V531" s="142" t="str">
        <f t="shared" si="170"/>
        <v>[{2,1,360000,360000},{5103001,1,40000,40000},{50002,1,6000,6000},{5203001,1,5000,5000},{21360,1,1000,1000},{5301000,1,900,1000},{5303001,1,1800,2200},{11,1,400,600}]</v>
      </c>
      <c r="X531" s="142" t="str">
        <f t="shared" si="154"/>
        <v>{2,1,360000,360000}</v>
      </c>
      <c r="Y531" s="142"/>
      <c r="Z531" s="142" t="str">
        <f t="shared" si="155"/>
        <v>{5103001,1,20000,20000}</v>
      </c>
      <c r="AA531" s="142" t="str">
        <f t="shared" si="172"/>
        <v>{1,2,750,750}</v>
      </c>
      <c r="AD531" s="142" t="str">
        <f t="shared" si="156"/>
        <v>{50002,1,9000,11000}</v>
      </c>
      <c r="AE531" s="142" t="str">
        <f t="shared" si="171"/>
        <v>{30,1,11,14}</v>
      </c>
      <c r="AG531" s="142" t="str">
        <f t="shared" si="157"/>
        <v>{9,1,112,137}</v>
      </c>
      <c r="AH531" s="142" t="str">
        <f t="shared" si="158"/>
        <v>{2,1,360000,360000}</v>
      </c>
      <c r="AI531" s="142" t="str">
        <f t="shared" si="159"/>
        <v>{5103001,1,40000,40000}</v>
      </c>
      <c r="AJ531" s="142" t="str">
        <f t="shared" si="160"/>
        <v>{50002,1,6000,6000}</v>
      </c>
      <c r="AK531" s="142" t="str">
        <f t="shared" si="161"/>
        <v>{5203001,1,5000,5000}</v>
      </c>
      <c r="AL531" s="142" t="str">
        <f t="shared" si="162"/>
        <v>{21360,1,1000,1000}</v>
      </c>
      <c r="AM531" s="142" t="str">
        <f t="shared" si="163"/>
        <v>{5301000,1,900,1000}</v>
      </c>
      <c r="AO531" s="142" t="str">
        <f t="shared" si="164"/>
        <v>{5303001,1,1800,2200}</v>
      </c>
      <c r="AP531" s="142" t="s">
        <v>210</v>
      </c>
      <c r="AQ531" s="142"/>
    </row>
    <row r="532" spans="1:43">
      <c r="A532" s="143" t="str">
        <f t="shared" si="165"/>
        <v>[{2,1,361000,361000},{5103001,1,20000,20000}]</v>
      </c>
      <c r="B532" s="98">
        <f t="shared" si="166"/>
        <v>222</v>
      </c>
      <c r="C532" s="144">
        <v>361</v>
      </c>
      <c r="D532" s="145">
        <f t="shared" si="167"/>
        <v>361</v>
      </c>
      <c r="E532" s="145">
        <v>40</v>
      </c>
      <c r="F532" s="145">
        <v>20</v>
      </c>
      <c r="G532" s="146">
        <v>1</v>
      </c>
      <c r="H532" s="146">
        <v>6</v>
      </c>
      <c r="I532" s="146">
        <v>10</v>
      </c>
      <c r="J532" s="146">
        <v>5</v>
      </c>
      <c r="K532" s="146">
        <v>1</v>
      </c>
      <c r="L532" s="146">
        <v>1.5</v>
      </c>
      <c r="M532" s="145">
        <v>0.125</v>
      </c>
      <c r="N532" s="145">
        <v>0.5</v>
      </c>
      <c r="O532" s="145">
        <v>2</v>
      </c>
      <c r="P532" s="145">
        <v>0.013</v>
      </c>
      <c r="Q532" s="145">
        <f t="shared" si="151"/>
        <v>76.19</v>
      </c>
      <c r="R532" s="145">
        <f t="shared" si="152"/>
        <v>132.05</v>
      </c>
      <c r="S532" s="126">
        <f t="shared" si="168"/>
        <v>180.5</v>
      </c>
      <c r="T532" s="147">
        <f t="shared" si="153"/>
        <v>6.6025</v>
      </c>
      <c r="U532" s="142" t="str">
        <f t="shared" si="169"/>
        <v>[{2,1,361000,361000},{5103001,1,20000,20000},{1,2,750,750},{50002,1,9000,11000},{30,1,11,14},{9,1,112,137}]</v>
      </c>
      <c r="V532" s="142" t="str">
        <f t="shared" si="170"/>
        <v>[{2,1,361000,361000},{5103001,1,40000,40000},{50002,1,6000,6000},{5203001,1,5000,5000},{21360,1,1000,1000},{5301000,1,900,1000},{5303001,1,1800,2200},{11,1,400,600}]</v>
      </c>
      <c r="X532" s="142" t="str">
        <f t="shared" si="154"/>
        <v>{2,1,361000,361000}</v>
      </c>
      <c r="Y532" s="142"/>
      <c r="Z532" s="142" t="str">
        <f t="shared" si="155"/>
        <v>{5103001,1,20000,20000}</v>
      </c>
      <c r="AA532" s="142" t="str">
        <f t="shared" si="172"/>
        <v>{1,2,750,750}</v>
      </c>
      <c r="AD532" s="142" t="str">
        <f t="shared" si="156"/>
        <v>{50002,1,9000,11000}</v>
      </c>
      <c r="AE532" s="142" t="str">
        <f t="shared" si="171"/>
        <v>{30,1,11,14}</v>
      </c>
      <c r="AG532" s="142" t="str">
        <f t="shared" si="157"/>
        <v>{9,1,112,137}</v>
      </c>
      <c r="AH532" s="142" t="str">
        <f t="shared" si="158"/>
        <v>{2,1,361000,361000}</v>
      </c>
      <c r="AI532" s="142" t="str">
        <f t="shared" si="159"/>
        <v>{5103001,1,40000,40000}</v>
      </c>
      <c r="AJ532" s="142" t="str">
        <f t="shared" si="160"/>
        <v>{50002,1,6000,6000}</v>
      </c>
      <c r="AK532" s="142" t="str">
        <f t="shared" si="161"/>
        <v>{5203001,1,5000,5000}</v>
      </c>
      <c r="AL532" s="142" t="str">
        <f t="shared" si="162"/>
        <v>{21360,1,1000,1000}</v>
      </c>
      <c r="AM532" s="142" t="str">
        <f t="shared" si="163"/>
        <v>{5301000,1,900,1000}</v>
      </c>
      <c r="AO532" s="142" t="str">
        <f t="shared" si="164"/>
        <v>{5303001,1,1800,2200}</v>
      </c>
      <c r="AP532" s="142" t="s">
        <v>210</v>
      </c>
      <c r="AQ532" s="142"/>
    </row>
    <row r="533" spans="1:43">
      <c r="A533" s="143" t="str">
        <f t="shared" si="165"/>
        <v>[{2,1,362000,362000},{5103001,1,20000,20000}]</v>
      </c>
      <c r="B533" s="98">
        <f t="shared" si="166"/>
        <v>223</v>
      </c>
      <c r="C533" s="144">
        <v>362</v>
      </c>
      <c r="D533" s="145">
        <f t="shared" si="167"/>
        <v>362</v>
      </c>
      <c r="E533" s="145">
        <v>40</v>
      </c>
      <c r="F533" s="145">
        <v>20</v>
      </c>
      <c r="G533" s="146">
        <v>1</v>
      </c>
      <c r="H533" s="146">
        <v>6</v>
      </c>
      <c r="I533" s="146">
        <v>10</v>
      </c>
      <c r="J533" s="146">
        <v>5</v>
      </c>
      <c r="K533" s="146">
        <v>1</v>
      </c>
      <c r="L533" s="146">
        <v>1.5</v>
      </c>
      <c r="M533" s="145">
        <v>0.125</v>
      </c>
      <c r="N533" s="145">
        <v>0.5</v>
      </c>
      <c r="O533" s="145">
        <v>2</v>
      </c>
      <c r="P533" s="145">
        <v>0.013</v>
      </c>
      <c r="Q533" s="145">
        <f t="shared" si="151"/>
        <v>76.24</v>
      </c>
      <c r="R533" s="145">
        <f t="shared" si="152"/>
        <v>132.1</v>
      </c>
      <c r="S533" s="126">
        <f t="shared" si="168"/>
        <v>181</v>
      </c>
      <c r="T533" s="147">
        <f t="shared" si="153"/>
        <v>6.605</v>
      </c>
      <c r="U533" s="142" t="str">
        <f t="shared" si="169"/>
        <v>[{2,1,362000,362000},{5103001,1,20000,20000},{1,2,750,750},{50002,1,9000,11000},{30,1,11,14},{9,1,112,137}]</v>
      </c>
      <c r="V533" s="142" t="str">
        <f t="shared" si="170"/>
        <v>[{2,1,362000,362000},{5103001,1,40000,40000},{50002,1,6000,6000},{5203001,1,5000,5000},{21360,1,1000,1000},{5301000,1,900,1000},{5303001,1,1800,2200},{11,1,400,600}]</v>
      </c>
      <c r="X533" s="142" t="str">
        <f t="shared" si="154"/>
        <v>{2,1,362000,362000}</v>
      </c>
      <c r="Y533" s="142"/>
      <c r="Z533" s="142" t="str">
        <f t="shared" si="155"/>
        <v>{5103001,1,20000,20000}</v>
      </c>
      <c r="AA533" s="142" t="str">
        <f t="shared" si="172"/>
        <v>{1,2,750,750}</v>
      </c>
      <c r="AD533" s="142" t="str">
        <f t="shared" si="156"/>
        <v>{50002,1,9000,11000}</v>
      </c>
      <c r="AE533" s="142" t="str">
        <f t="shared" si="171"/>
        <v>{30,1,11,14}</v>
      </c>
      <c r="AG533" s="142" t="str">
        <f t="shared" si="157"/>
        <v>{9,1,112,137}</v>
      </c>
      <c r="AH533" s="142" t="str">
        <f t="shared" si="158"/>
        <v>{2,1,362000,362000}</v>
      </c>
      <c r="AI533" s="142" t="str">
        <f t="shared" si="159"/>
        <v>{5103001,1,40000,40000}</v>
      </c>
      <c r="AJ533" s="142" t="str">
        <f t="shared" si="160"/>
        <v>{50002,1,6000,6000}</v>
      </c>
      <c r="AK533" s="142" t="str">
        <f t="shared" si="161"/>
        <v>{5203001,1,5000,5000}</v>
      </c>
      <c r="AL533" s="142" t="str">
        <f t="shared" si="162"/>
        <v>{21360,1,1000,1000}</v>
      </c>
      <c r="AM533" s="142" t="str">
        <f t="shared" si="163"/>
        <v>{5301000,1,900,1000}</v>
      </c>
      <c r="AO533" s="142" t="str">
        <f t="shared" si="164"/>
        <v>{5303001,1,1800,2200}</v>
      </c>
      <c r="AP533" s="142" t="s">
        <v>210</v>
      </c>
      <c r="AQ533" s="142"/>
    </row>
    <row r="534" spans="1:43">
      <c r="A534" s="143" t="str">
        <f t="shared" si="165"/>
        <v>[{2,1,363000,363000},{5103001,1,20000,20000}]</v>
      </c>
      <c r="B534" s="98">
        <f t="shared" si="166"/>
        <v>224</v>
      </c>
      <c r="C534" s="144">
        <v>363</v>
      </c>
      <c r="D534" s="145">
        <f t="shared" si="167"/>
        <v>363</v>
      </c>
      <c r="E534" s="145">
        <v>40</v>
      </c>
      <c r="F534" s="145">
        <v>20</v>
      </c>
      <c r="G534" s="146">
        <v>1</v>
      </c>
      <c r="H534" s="146">
        <v>6</v>
      </c>
      <c r="I534" s="146">
        <v>10</v>
      </c>
      <c r="J534" s="146">
        <v>5</v>
      </c>
      <c r="K534" s="146">
        <v>1</v>
      </c>
      <c r="L534" s="146">
        <v>1.5</v>
      </c>
      <c r="M534" s="145">
        <v>0.125</v>
      </c>
      <c r="N534" s="145">
        <v>0.5</v>
      </c>
      <c r="O534" s="145">
        <v>2</v>
      </c>
      <c r="P534" s="145">
        <v>0.013</v>
      </c>
      <c r="Q534" s="145">
        <f t="shared" si="151"/>
        <v>76.29</v>
      </c>
      <c r="R534" s="145">
        <f t="shared" si="152"/>
        <v>132.15</v>
      </c>
      <c r="S534" s="126">
        <f t="shared" si="168"/>
        <v>181.5</v>
      </c>
      <c r="T534" s="147">
        <f t="shared" si="153"/>
        <v>6.6075</v>
      </c>
      <c r="U534" s="142" t="str">
        <f t="shared" si="169"/>
        <v>[{2,1,363000,363000},{5103001,1,20000,20000},{1,2,750,750},{50002,1,9000,11000},{30,1,11,14},{9,1,112,137}]</v>
      </c>
      <c r="V534" s="142" t="str">
        <f t="shared" si="170"/>
        <v>[{2,1,363000,363000},{5103001,1,40000,40000},{50002,1,6000,6000},{5203001,1,5000,5000},{21360,1,1000,1000},{5301000,1,900,1000},{5303001,1,1800,2200},{11,1,400,600}]</v>
      </c>
      <c r="X534" s="142" t="str">
        <f t="shared" si="154"/>
        <v>{2,1,363000,363000}</v>
      </c>
      <c r="Y534" s="142"/>
      <c r="Z534" s="142" t="str">
        <f t="shared" si="155"/>
        <v>{5103001,1,20000,20000}</v>
      </c>
      <c r="AA534" s="142" t="str">
        <f t="shared" si="172"/>
        <v>{1,2,750,750}</v>
      </c>
      <c r="AD534" s="142" t="str">
        <f t="shared" si="156"/>
        <v>{50002,1,9000,11000}</v>
      </c>
      <c r="AE534" s="142" t="str">
        <f t="shared" si="171"/>
        <v>{30,1,11,14}</v>
      </c>
      <c r="AG534" s="142" t="str">
        <f t="shared" si="157"/>
        <v>{9,1,112,137}</v>
      </c>
      <c r="AH534" s="142" t="str">
        <f t="shared" si="158"/>
        <v>{2,1,363000,363000}</v>
      </c>
      <c r="AI534" s="142" t="str">
        <f t="shared" si="159"/>
        <v>{5103001,1,40000,40000}</v>
      </c>
      <c r="AJ534" s="142" t="str">
        <f t="shared" si="160"/>
        <v>{50002,1,6000,6000}</v>
      </c>
      <c r="AK534" s="142" t="str">
        <f t="shared" si="161"/>
        <v>{5203001,1,5000,5000}</v>
      </c>
      <c r="AL534" s="142" t="str">
        <f t="shared" si="162"/>
        <v>{21360,1,1000,1000}</v>
      </c>
      <c r="AM534" s="142" t="str">
        <f t="shared" si="163"/>
        <v>{5301000,1,900,1000}</v>
      </c>
      <c r="AO534" s="142" t="str">
        <f t="shared" si="164"/>
        <v>{5303001,1,1800,2200}</v>
      </c>
      <c r="AP534" s="142" t="s">
        <v>210</v>
      </c>
      <c r="AQ534" s="142"/>
    </row>
    <row r="535" spans="1:43">
      <c r="A535" s="143" t="str">
        <f t="shared" si="165"/>
        <v>[{2,1,364000,364000},{5103001,1,20000,20000}]</v>
      </c>
      <c r="B535" s="98">
        <f t="shared" si="166"/>
        <v>225</v>
      </c>
      <c r="C535" s="144">
        <v>364</v>
      </c>
      <c r="D535" s="145">
        <f t="shared" si="167"/>
        <v>364</v>
      </c>
      <c r="E535" s="145">
        <v>40</v>
      </c>
      <c r="F535" s="145">
        <v>20</v>
      </c>
      <c r="G535" s="146">
        <v>1</v>
      </c>
      <c r="H535" s="146">
        <v>6</v>
      </c>
      <c r="I535" s="146">
        <v>10</v>
      </c>
      <c r="J535" s="146">
        <v>5</v>
      </c>
      <c r="K535" s="146">
        <v>1</v>
      </c>
      <c r="L535" s="146">
        <v>1.5</v>
      </c>
      <c r="M535" s="145">
        <v>0.125</v>
      </c>
      <c r="N535" s="145">
        <v>0.5</v>
      </c>
      <c r="O535" s="145">
        <v>2</v>
      </c>
      <c r="P535" s="145">
        <v>0.013</v>
      </c>
      <c r="Q535" s="145">
        <f t="shared" si="151"/>
        <v>76.34</v>
      </c>
      <c r="R535" s="145">
        <f t="shared" si="152"/>
        <v>132.2</v>
      </c>
      <c r="S535" s="126">
        <f t="shared" si="168"/>
        <v>182</v>
      </c>
      <c r="T535" s="147">
        <f t="shared" si="153"/>
        <v>6.61</v>
      </c>
      <c r="U535" s="142" t="str">
        <f t="shared" si="169"/>
        <v>[{2,1,364000,364000},{5103001,1,20000,20000},{1,2,750,750},{50002,1,9000,11000},{30,1,11,14},{9,1,112,137}]</v>
      </c>
      <c r="V535" s="142" t="str">
        <f t="shared" si="170"/>
        <v>[{2,1,364000,364000},{5103001,1,40000,40000},{50002,1,6000,6000},{5203001,1,5000,5000},{21360,1,1000,1000},{5301000,1,900,1000},{5303001,1,1800,2200},{11,1,400,600}]</v>
      </c>
      <c r="X535" s="142" t="str">
        <f t="shared" si="154"/>
        <v>{2,1,364000,364000}</v>
      </c>
      <c r="Y535" s="142"/>
      <c r="Z535" s="142" t="str">
        <f t="shared" si="155"/>
        <v>{5103001,1,20000,20000}</v>
      </c>
      <c r="AA535" s="142" t="str">
        <f t="shared" si="172"/>
        <v>{1,2,750,750}</v>
      </c>
      <c r="AD535" s="142" t="str">
        <f t="shared" si="156"/>
        <v>{50002,1,9000,11000}</v>
      </c>
      <c r="AE535" s="142" t="str">
        <f t="shared" si="171"/>
        <v>{30,1,11,14}</v>
      </c>
      <c r="AG535" s="142" t="str">
        <f t="shared" si="157"/>
        <v>{9,1,112,137}</v>
      </c>
      <c r="AH535" s="142" t="str">
        <f t="shared" si="158"/>
        <v>{2,1,364000,364000}</v>
      </c>
      <c r="AI535" s="142" t="str">
        <f t="shared" si="159"/>
        <v>{5103001,1,40000,40000}</v>
      </c>
      <c r="AJ535" s="142" t="str">
        <f t="shared" si="160"/>
        <v>{50002,1,6000,6000}</v>
      </c>
      <c r="AK535" s="142" t="str">
        <f t="shared" si="161"/>
        <v>{5203001,1,5000,5000}</v>
      </c>
      <c r="AL535" s="142" t="str">
        <f t="shared" si="162"/>
        <v>{21360,1,1000,1000}</v>
      </c>
      <c r="AM535" s="142" t="str">
        <f t="shared" si="163"/>
        <v>{5301000,1,900,1000}</v>
      </c>
      <c r="AO535" s="142" t="str">
        <f t="shared" si="164"/>
        <v>{5303001,1,1800,2200}</v>
      </c>
      <c r="AP535" s="142" t="s">
        <v>210</v>
      </c>
      <c r="AQ535" s="142"/>
    </row>
    <row r="536" spans="1:43">
      <c r="A536" s="143" t="str">
        <f t="shared" si="165"/>
        <v>[{2,1,365000,365000},{5103001,1,20000,20000}]</v>
      </c>
      <c r="B536" s="98">
        <f t="shared" si="166"/>
        <v>226</v>
      </c>
      <c r="C536" s="144">
        <v>365</v>
      </c>
      <c r="D536" s="145">
        <f t="shared" si="167"/>
        <v>365</v>
      </c>
      <c r="E536" s="145">
        <v>40</v>
      </c>
      <c r="F536" s="145">
        <v>20</v>
      </c>
      <c r="G536" s="146">
        <v>1</v>
      </c>
      <c r="H536" s="146">
        <v>6</v>
      </c>
      <c r="I536" s="146">
        <v>10</v>
      </c>
      <c r="J536" s="146">
        <v>5</v>
      </c>
      <c r="K536" s="146">
        <v>1</v>
      </c>
      <c r="L536" s="146">
        <v>1.5</v>
      </c>
      <c r="M536" s="145">
        <v>0.125</v>
      </c>
      <c r="N536" s="145">
        <v>0.5</v>
      </c>
      <c r="O536" s="145">
        <v>2</v>
      </c>
      <c r="P536" s="145">
        <v>0.013</v>
      </c>
      <c r="Q536" s="145">
        <f t="shared" si="151"/>
        <v>76.39</v>
      </c>
      <c r="R536" s="145">
        <f t="shared" si="152"/>
        <v>132.25</v>
      </c>
      <c r="S536" s="126">
        <f t="shared" si="168"/>
        <v>182.5</v>
      </c>
      <c r="T536" s="147">
        <f t="shared" si="153"/>
        <v>6.6125</v>
      </c>
      <c r="U536" s="142" t="str">
        <f t="shared" si="169"/>
        <v>[{2,1,365000,365000},{5103001,1,20000,20000},{1,2,750,750},{50002,1,9000,11000},{30,1,11,14},{9,1,112,137}]</v>
      </c>
      <c r="V536" s="142" t="str">
        <f t="shared" si="170"/>
        <v>[{2,1,365000,365000},{5103001,1,40000,40000},{50002,1,6000,6000},{5203001,1,5000,5000},{21360,1,1000,1000},{5301000,1,900,1000},{5303001,1,1800,2200},{11,1,400,600}]</v>
      </c>
      <c r="X536" s="142" t="str">
        <f t="shared" si="154"/>
        <v>{2,1,365000,365000}</v>
      </c>
      <c r="Y536" s="142"/>
      <c r="Z536" s="142" t="str">
        <f t="shared" si="155"/>
        <v>{5103001,1,20000,20000}</v>
      </c>
      <c r="AA536" s="142" t="str">
        <f t="shared" si="172"/>
        <v>{1,2,750,750}</v>
      </c>
      <c r="AD536" s="142" t="str">
        <f t="shared" si="156"/>
        <v>{50002,1,9000,11000}</v>
      </c>
      <c r="AE536" s="142" t="str">
        <f t="shared" si="171"/>
        <v>{30,1,11,14}</v>
      </c>
      <c r="AG536" s="142" t="str">
        <f t="shared" si="157"/>
        <v>{9,1,112,137}</v>
      </c>
      <c r="AH536" s="142" t="str">
        <f t="shared" si="158"/>
        <v>{2,1,365000,365000}</v>
      </c>
      <c r="AI536" s="142" t="str">
        <f t="shared" si="159"/>
        <v>{5103001,1,40000,40000}</v>
      </c>
      <c r="AJ536" s="142" t="str">
        <f t="shared" si="160"/>
        <v>{50002,1,6000,6000}</v>
      </c>
      <c r="AK536" s="142" t="str">
        <f t="shared" si="161"/>
        <v>{5203001,1,5000,5000}</v>
      </c>
      <c r="AL536" s="142" t="str">
        <f t="shared" si="162"/>
        <v>{21360,1,1000,1000}</v>
      </c>
      <c r="AM536" s="142" t="str">
        <f t="shared" si="163"/>
        <v>{5301000,1,900,1000}</v>
      </c>
      <c r="AO536" s="142" t="str">
        <f t="shared" si="164"/>
        <v>{5303001,1,1800,2200}</v>
      </c>
      <c r="AP536" s="142" t="s">
        <v>210</v>
      </c>
      <c r="AQ536" s="142"/>
    </row>
    <row r="537" spans="1:43">
      <c r="A537" s="143" t="str">
        <f t="shared" si="165"/>
        <v>[{2,1,366000,366000},{5103001,1,20000,20000}]</v>
      </c>
      <c r="B537" s="98">
        <f t="shared" si="166"/>
        <v>227</v>
      </c>
      <c r="C537" s="144">
        <v>366</v>
      </c>
      <c r="D537" s="145">
        <f t="shared" si="167"/>
        <v>366</v>
      </c>
      <c r="E537" s="145">
        <v>40</v>
      </c>
      <c r="F537" s="145">
        <v>20</v>
      </c>
      <c r="G537" s="146">
        <v>1</v>
      </c>
      <c r="H537" s="146">
        <v>6</v>
      </c>
      <c r="I537" s="146">
        <v>10</v>
      </c>
      <c r="J537" s="146">
        <v>5</v>
      </c>
      <c r="K537" s="146">
        <v>1</v>
      </c>
      <c r="L537" s="146">
        <v>1.5</v>
      </c>
      <c r="M537" s="145">
        <v>0.125</v>
      </c>
      <c r="N537" s="145">
        <v>0.5</v>
      </c>
      <c r="O537" s="145">
        <v>2</v>
      </c>
      <c r="P537" s="145">
        <v>0.013</v>
      </c>
      <c r="Q537" s="145">
        <f t="shared" si="151"/>
        <v>76.44</v>
      </c>
      <c r="R537" s="145">
        <f t="shared" si="152"/>
        <v>132.3</v>
      </c>
      <c r="S537" s="126">
        <f t="shared" si="168"/>
        <v>183</v>
      </c>
      <c r="T537" s="147">
        <f t="shared" si="153"/>
        <v>6.615</v>
      </c>
      <c r="U537" s="142" t="str">
        <f t="shared" si="169"/>
        <v>[{2,1,366000,366000},{5103001,1,20000,20000},{1,2,750,750},{50002,1,9000,11000},{30,1,11,14},{9,1,112,137}]</v>
      </c>
      <c r="V537" s="142" t="str">
        <f t="shared" si="170"/>
        <v>[{2,1,366000,366000},{5103001,1,40000,40000},{50002,1,6000,6000},{5203001,1,5000,5000},{21360,1,1000,1000},{5301000,1,900,1000},{5303001,1,1800,2200},{11,1,400,600}]</v>
      </c>
      <c r="X537" s="142" t="str">
        <f t="shared" si="154"/>
        <v>{2,1,366000,366000}</v>
      </c>
      <c r="Y537" s="142"/>
      <c r="Z537" s="142" t="str">
        <f t="shared" si="155"/>
        <v>{5103001,1,20000,20000}</v>
      </c>
      <c r="AA537" s="142" t="str">
        <f t="shared" si="172"/>
        <v>{1,2,750,750}</v>
      </c>
      <c r="AD537" s="142" t="str">
        <f t="shared" si="156"/>
        <v>{50002,1,9000,11000}</v>
      </c>
      <c r="AE537" s="142" t="str">
        <f t="shared" si="171"/>
        <v>{30,1,11,14}</v>
      </c>
      <c r="AG537" s="142" t="str">
        <f t="shared" si="157"/>
        <v>{9,1,112,137}</v>
      </c>
      <c r="AH537" s="142" t="str">
        <f t="shared" si="158"/>
        <v>{2,1,366000,366000}</v>
      </c>
      <c r="AI537" s="142" t="str">
        <f t="shared" si="159"/>
        <v>{5103001,1,40000,40000}</v>
      </c>
      <c r="AJ537" s="142" t="str">
        <f t="shared" si="160"/>
        <v>{50002,1,6000,6000}</v>
      </c>
      <c r="AK537" s="142" t="str">
        <f t="shared" si="161"/>
        <v>{5203001,1,5000,5000}</v>
      </c>
      <c r="AL537" s="142" t="str">
        <f t="shared" si="162"/>
        <v>{21360,1,1000,1000}</v>
      </c>
      <c r="AM537" s="142" t="str">
        <f t="shared" si="163"/>
        <v>{5301000,1,900,1000}</v>
      </c>
      <c r="AO537" s="142" t="str">
        <f t="shared" si="164"/>
        <v>{5303001,1,1800,2200}</v>
      </c>
      <c r="AP537" s="142" t="s">
        <v>210</v>
      </c>
      <c r="AQ537" s="142"/>
    </row>
    <row r="538" spans="1:43">
      <c r="A538" s="143" t="str">
        <f t="shared" si="165"/>
        <v>[{2,1,367000,367000},{5103001,1,20000,20000}]</v>
      </c>
      <c r="B538" s="98">
        <f t="shared" si="166"/>
        <v>228</v>
      </c>
      <c r="C538" s="144">
        <v>367</v>
      </c>
      <c r="D538" s="145">
        <f t="shared" si="167"/>
        <v>367</v>
      </c>
      <c r="E538" s="145">
        <v>40</v>
      </c>
      <c r="F538" s="145">
        <v>20</v>
      </c>
      <c r="G538" s="146">
        <v>1</v>
      </c>
      <c r="H538" s="146">
        <v>6</v>
      </c>
      <c r="I538" s="146">
        <v>10</v>
      </c>
      <c r="J538" s="146">
        <v>5</v>
      </c>
      <c r="K538" s="146">
        <v>1</v>
      </c>
      <c r="L538" s="146">
        <v>1.5</v>
      </c>
      <c r="M538" s="145">
        <v>0.125</v>
      </c>
      <c r="N538" s="145">
        <v>0.5</v>
      </c>
      <c r="O538" s="145">
        <v>2</v>
      </c>
      <c r="P538" s="145">
        <v>0.013</v>
      </c>
      <c r="Q538" s="145">
        <f t="shared" si="151"/>
        <v>76.49</v>
      </c>
      <c r="R538" s="145">
        <f t="shared" si="152"/>
        <v>132.35</v>
      </c>
      <c r="S538" s="126">
        <f t="shared" si="168"/>
        <v>183.5</v>
      </c>
      <c r="T538" s="147">
        <f t="shared" si="153"/>
        <v>6.6175</v>
      </c>
      <c r="U538" s="142" t="str">
        <f t="shared" si="169"/>
        <v>[{2,1,367000,367000},{5103001,1,20000,20000},{1,2,750,750},{50002,1,9000,11000},{30,1,11,14},{9,1,112,137}]</v>
      </c>
      <c r="V538" s="142" t="str">
        <f t="shared" si="170"/>
        <v>[{2,1,367000,367000},{5103001,1,40000,40000},{50002,1,6000,6000},{5203001,1,5000,5000},{21360,1,1000,1000},{5301000,1,900,1000},{5303001,1,1800,2200},{11,1,400,600}]</v>
      </c>
      <c r="X538" s="142" t="str">
        <f t="shared" si="154"/>
        <v>{2,1,367000,367000}</v>
      </c>
      <c r="Y538" s="142"/>
      <c r="Z538" s="142" t="str">
        <f t="shared" si="155"/>
        <v>{5103001,1,20000,20000}</v>
      </c>
      <c r="AA538" s="142" t="str">
        <f t="shared" si="172"/>
        <v>{1,2,750,750}</v>
      </c>
      <c r="AD538" s="142" t="str">
        <f t="shared" si="156"/>
        <v>{50002,1,9000,11000}</v>
      </c>
      <c r="AE538" s="142" t="str">
        <f t="shared" si="171"/>
        <v>{30,1,11,14}</v>
      </c>
      <c r="AG538" s="142" t="str">
        <f t="shared" si="157"/>
        <v>{9,1,112,137}</v>
      </c>
      <c r="AH538" s="142" t="str">
        <f t="shared" si="158"/>
        <v>{2,1,367000,367000}</v>
      </c>
      <c r="AI538" s="142" t="str">
        <f t="shared" si="159"/>
        <v>{5103001,1,40000,40000}</v>
      </c>
      <c r="AJ538" s="142" t="str">
        <f t="shared" si="160"/>
        <v>{50002,1,6000,6000}</v>
      </c>
      <c r="AK538" s="142" t="str">
        <f t="shared" si="161"/>
        <v>{5203001,1,5000,5000}</v>
      </c>
      <c r="AL538" s="142" t="str">
        <f t="shared" si="162"/>
        <v>{21360,1,1000,1000}</v>
      </c>
      <c r="AM538" s="142" t="str">
        <f t="shared" si="163"/>
        <v>{5301000,1,900,1000}</v>
      </c>
      <c r="AO538" s="142" t="str">
        <f t="shared" si="164"/>
        <v>{5303001,1,1800,2200}</v>
      </c>
      <c r="AP538" s="142" t="s">
        <v>210</v>
      </c>
      <c r="AQ538" s="142"/>
    </row>
    <row r="539" spans="1:43">
      <c r="A539" s="143" t="str">
        <f t="shared" si="165"/>
        <v>[{2,1,368000,368000},{5103001,1,20000,20000}]</v>
      </c>
      <c r="B539" s="98">
        <f t="shared" si="166"/>
        <v>229</v>
      </c>
      <c r="C539" s="144">
        <v>368</v>
      </c>
      <c r="D539" s="145">
        <f t="shared" si="167"/>
        <v>368</v>
      </c>
      <c r="E539" s="145">
        <v>40</v>
      </c>
      <c r="F539" s="145">
        <v>20</v>
      </c>
      <c r="G539" s="146">
        <v>1</v>
      </c>
      <c r="H539" s="146">
        <v>6</v>
      </c>
      <c r="I539" s="146">
        <v>10</v>
      </c>
      <c r="J539" s="146">
        <v>5</v>
      </c>
      <c r="K539" s="146">
        <v>1</v>
      </c>
      <c r="L539" s="146">
        <v>1.5</v>
      </c>
      <c r="M539" s="145">
        <v>0.125</v>
      </c>
      <c r="N539" s="145">
        <v>0.5</v>
      </c>
      <c r="O539" s="145">
        <v>2</v>
      </c>
      <c r="P539" s="145">
        <v>0.013</v>
      </c>
      <c r="Q539" s="145">
        <f t="shared" si="151"/>
        <v>76.54</v>
      </c>
      <c r="R539" s="145">
        <f t="shared" si="152"/>
        <v>132.4</v>
      </c>
      <c r="S539" s="126">
        <f t="shared" si="168"/>
        <v>184</v>
      </c>
      <c r="T539" s="147">
        <f t="shared" si="153"/>
        <v>6.62</v>
      </c>
      <c r="U539" s="142" t="str">
        <f t="shared" si="169"/>
        <v>[{2,1,368000,368000},{5103001,1,20000,20000},{1,2,750,750},{50002,1,9000,11000},{30,1,11,14},{9,1,112,137}]</v>
      </c>
      <c r="V539" s="142" t="str">
        <f t="shared" si="170"/>
        <v>[{2,1,368000,368000},{5103001,1,40000,40000},{50002,1,6000,6000},{5203001,1,5000,5000},{21360,1,1000,1000},{5301000,1,900,1000},{5303001,1,1800,2200},{11,1,400,600}]</v>
      </c>
      <c r="X539" s="142" t="str">
        <f t="shared" si="154"/>
        <v>{2,1,368000,368000}</v>
      </c>
      <c r="Y539" s="142"/>
      <c r="Z539" s="142" t="str">
        <f t="shared" si="155"/>
        <v>{5103001,1,20000,20000}</v>
      </c>
      <c r="AA539" s="142" t="str">
        <f t="shared" si="172"/>
        <v>{1,2,750,750}</v>
      </c>
      <c r="AD539" s="142" t="str">
        <f t="shared" si="156"/>
        <v>{50002,1,9000,11000}</v>
      </c>
      <c r="AE539" s="142" t="str">
        <f t="shared" si="171"/>
        <v>{30,1,11,14}</v>
      </c>
      <c r="AG539" s="142" t="str">
        <f t="shared" si="157"/>
        <v>{9,1,112,137}</v>
      </c>
      <c r="AH539" s="142" t="str">
        <f t="shared" si="158"/>
        <v>{2,1,368000,368000}</v>
      </c>
      <c r="AI539" s="142" t="str">
        <f t="shared" si="159"/>
        <v>{5103001,1,40000,40000}</v>
      </c>
      <c r="AJ539" s="142" t="str">
        <f t="shared" si="160"/>
        <v>{50002,1,6000,6000}</v>
      </c>
      <c r="AK539" s="142" t="str">
        <f t="shared" si="161"/>
        <v>{5203001,1,5000,5000}</v>
      </c>
      <c r="AL539" s="142" t="str">
        <f t="shared" si="162"/>
        <v>{21360,1,1000,1000}</v>
      </c>
      <c r="AM539" s="142" t="str">
        <f t="shared" si="163"/>
        <v>{5301000,1,900,1000}</v>
      </c>
      <c r="AO539" s="142" t="str">
        <f t="shared" si="164"/>
        <v>{5303001,1,1800,2200}</v>
      </c>
      <c r="AP539" s="142" t="s">
        <v>210</v>
      </c>
      <c r="AQ539" s="142"/>
    </row>
    <row r="540" spans="1:43">
      <c r="A540" s="143" t="str">
        <f t="shared" si="165"/>
        <v>[{2,1,369000,369000},{5103001,1,20000,20000}]</v>
      </c>
      <c r="B540" s="98">
        <f t="shared" si="166"/>
        <v>230</v>
      </c>
      <c r="C540" s="144">
        <v>369</v>
      </c>
      <c r="D540" s="145">
        <f t="shared" si="167"/>
        <v>369</v>
      </c>
      <c r="E540" s="145">
        <v>40</v>
      </c>
      <c r="F540" s="145">
        <v>20</v>
      </c>
      <c r="G540" s="146">
        <v>1</v>
      </c>
      <c r="H540" s="146">
        <v>6</v>
      </c>
      <c r="I540" s="146">
        <v>10</v>
      </c>
      <c r="J540" s="146">
        <v>5</v>
      </c>
      <c r="K540" s="146">
        <v>1</v>
      </c>
      <c r="L540" s="146">
        <v>1.5</v>
      </c>
      <c r="M540" s="145">
        <v>0.125</v>
      </c>
      <c r="N540" s="145">
        <v>0.5</v>
      </c>
      <c r="O540" s="145">
        <v>2</v>
      </c>
      <c r="P540" s="145">
        <v>0.013</v>
      </c>
      <c r="Q540" s="145">
        <f t="shared" si="151"/>
        <v>76.59</v>
      </c>
      <c r="R540" s="145">
        <f t="shared" si="152"/>
        <v>132.45</v>
      </c>
      <c r="S540" s="126">
        <f t="shared" si="168"/>
        <v>184.5</v>
      </c>
      <c r="T540" s="147">
        <f t="shared" si="153"/>
        <v>6.6225</v>
      </c>
      <c r="U540" s="142" t="str">
        <f t="shared" si="169"/>
        <v>[{2,1,369000,369000},{5103001,1,20000,20000},{1,2,750,750},{50002,1,9000,11000},{30,1,11,14},{9,1,112,137}]</v>
      </c>
      <c r="V540" s="142" t="str">
        <f t="shared" si="170"/>
        <v>[{2,1,369000,369000},{5103001,1,40000,40000},{50002,1,6000,6000},{5203001,1,5000,5000},{21360,1,1000,1000},{5301000,1,900,1000},{5303001,1,1800,2200},{11,1,400,600}]</v>
      </c>
      <c r="X540" s="142" t="str">
        <f t="shared" si="154"/>
        <v>{2,1,369000,369000}</v>
      </c>
      <c r="Y540" s="142"/>
      <c r="Z540" s="142" t="str">
        <f t="shared" si="155"/>
        <v>{5103001,1,20000,20000}</v>
      </c>
      <c r="AA540" s="142" t="str">
        <f t="shared" si="172"/>
        <v>{1,2,750,750}</v>
      </c>
      <c r="AD540" s="142" t="str">
        <f t="shared" si="156"/>
        <v>{50002,1,9000,11000}</v>
      </c>
      <c r="AE540" s="142" t="str">
        <f t="shared" si="171"/>
        <v>{30,1,11,14}</v>
      </c>
      <c r="AG540" s="142" t="str">
        <f t="shared" si="157"/>
        <v>{9,1,112,137}</v>
      </c>
      <c r="AH540" s="142" t="str">
        <f t="shared" si="158"/>
        <v>{2,1,369000,369000}</v>
      </c>
      <c r="AI540" s="142" t="str">
        <f t="shared" si="159"/>
        <v>{5103001,1,40000,40000}</v>
      </c>
      <c r="AJ540" s="142" t="str">
        <f t="shared" si="160"/>
        <v>{50002,1,6000,6000}</v>
      </c>
      <c r="AK540" s="142" t="str">
        <f t="shared" si="161"/>
        <v>{5203001,1,5000,5000}</v>
      </c>
      <c r="AL540" s="142" t="str">
        <f t="shared" si="162"/>
        <v>{21360,1,1000,1000}</v>
      </c>
      <c r="AM540" s="142" t="str">
        <f t="shared" si="163"/>
        <v>{5301000,1,900,1000}</v>
      </c>
      <c r="AO540" s="142" t="str">
        <f t="shared" si="164"/>
        <v>{5303001,1,1800,2200}</v>
      </c>
      <c r="AP540" s="142" t="s">
        <v>210</v>
      </c>
      <c r="AQ540" s="142"/>
    </row>
    <row r="541" spans="1:43">
      <c r="A541" s="143" t="str">
        <f t="shared" si="165"/>
        <v>[{2,1,370000,370000},{5103001,1,20000,20000}]</v>
      </c>
      <c r="B541" s="98">
        <f t="shared" si="166"/>
        <v>231</v>
      </c>
      <c r="C541" s="144">
        <v>370</v>
      </c>
      <c r="D541" s="145">
        <f t="shared" si="167"/>
        <v>370</v>
      </c>
      <c r="E541" s="145">
        <v>40</v>
      </c>
      <c r="F541" s="145">
        <v>20</v>
      </c>
      <c r="G541" s="146">
        <v>1</v>
      </c>
      <c r="H541" s="146">
        <v>6</v>
      </c>
      <c r="I541" s="146">
        <v>10</v>
      </c>
      <c r="J541" s="146">
        <v>5</v>
      </c>
      <c r="K541" s="146">
        <v>1</v>
      </c>
      <c r="L541" s="146">
        <v>1.5</v>
      </c>
      <c r="M541" s="145">
        <v>0.125</v>
      </c>
      <c r="N541" s="145">
        <v>0.5</v>
      </c>
      <c r="O541" s="145">
        <v>2</v>
      </c>
      <c r="P541" s="145">
        <v>0.013</v>
      </c>
      <c r="Q541" s="145">
        <f t="shared" si="151"/>
        <v>76.64</v>
      </c>
      <c r="R541" s="145">
        <f t="shared" si="152"/>
        <v>132.5</v>
      </c>
      <c r="S541" s="126">
        <f t="shared" si="168"/>
        <v>185</v>
      </c>
      <c r="T541" s="147">
        <f t="shared" si="153"/>
        <v>6.625</v>
      </c>
      <c r="U541" s="142" t="str">
        <f t="shared" si="169"/>
        <v>[{2,1,370000,370000},{5103001,1,20000,20000},{1,2,750,750},{50002,1,9000,11000},{30,1,11,14},{9,1,112,137}]</v>
      </c>
      <c r="V541" s="142" t="str">
        <f t="shared" si="170"/>
        <v>[{2,1,370000,370000},{5103001,1,40000,40000},{50002,1,6000,6000},{5203001,1,5000,5000},{21360,1,1000,1000},{5301000,1,900,1000},{5303001,1,1800,2200},{11,1,400,600}]</v>
      </c>
      <c r="X541" s="142" t="str">
        <f t="shared" si="154"/>
        <v>{2,1,370000,370000}</v>
      </c>
      <c r="Y541" s="142"/>
      <c r="Z541" s="142" t="str">
        <f t="shared" si="155"/>
        <v>{5103001,1,20000,20000}</v>
      </c>
      <c r="AA541" s="142" t="str">
        <f t="shared" si="172"/>
        <v>{1,2,750,750}</v>
      </c>
      <c r="AD541" s="142" t="str">
        <f t="shared" si="156"/>
        <v>{50002,1,9000,11000}</v>
      </c>
      <c r="AE541" s="142" t="str">
        <f t="shared" si="171"/>
        <v>{30,1,11,14}</v>
      </c>
      <c r="AG541" s="142" t="str">
        <f t="shared" si="157"/>
        <v>{9,1,112,137}</v>
      </c>
      <c r="AH541" s="142" t="str">
        <f t="shared" si="158"/>
        <v>{2,1,370000,370000}</v>
      </c>
      <c r="AI541" s="142" t="str">
        <f t="shared" si="159"/>
        <v>{5103001,1,40000,40000}</v>
      </c>
      <c r="AJ541" s="142" t="str">
        <f t="shared" si="160"/>
        <v>{50002,1,6000,6000}</v>
      </c>
      <c r="AK541" s="142" t="str">
        <f t="shared" si="161"/>
        <v>{5203001,1,5000,5000}</v>
      </c>
      <c r="AL541" s="142" t="str">
        <f t="shared" si="162"/>
        <v>{21360,1,1000,1000}</v>
      </c>
      <c r="AM541" s="142" t="str">
        <f t="shared" si="163"/>
        <v>{5301000,1,900,1000}</v>
      </c>
      <c r="AO541" s="142" t="str">
        <f t="shared" si="164"/>
        <v>{5303001,1,1800,2200}</v>
      </c>
      <c r="AP541" s="142" t="s">
        <v>210</v>
      </c>
      <c r="AQ541" s="142"/>
    </row>
    <row r="542" spans="1:43">
      <c r="A542" s="143" t="str">
        <f t="shared" si="165"/>
        <v>[{2,1,371000,371000},{5103001,1,20000,20000}]</v>
      </c>
      <c r="B542" s="98">
        <f t="shared" si="166"/>
        <v>232</v>
      </c>
      <c r="C542" s="144">
        <v>371</v>
      </c>
      <c r="D542" s="145">
        <f t="shared" si="167"/>
        <v>371</v>
      </c>
      <c r="E542" s="145">
        <v>40</v>
      </c>
      <c r="F542" s="145">
        <v>20</v>
      </c>
      <c r="G542" s="146">
        <v>1</v>
      </c>
      <c r="H542" s="146">
        <v>6</v>
      </c>
      <c r="I542" s="146">
        <v>10</v>
      </c>
      <c r="J542" s="146">
        <v>5</v>
      </c>
      <c r="K542" s="146">
        <v>1</v>
      </c>
      <c r="L542" s="146">
        <v>1.5</v>
      </c>
      <c r="M542" s="145">
        <v>0.125</v>
      </c>
      <c r="N542" s="145">
        <v>0.5</v>
      </c>
      <c r="O542" s="145">
        <v>2</v>
      </c>
      <c r="P542" s="145">
        <v>0.013</v>
      </c>
      <c r="Q542" s="145">
        <f t="shared" si="151"/>
        <v>76.69</v>
      </c>
      <c r="R542" s="145">
        <f t="shared" si="152"/>
        <v>132.55</v>
      </c>
      <c r="S542" s="126">
        <f t="shared" si="168"/>
        <v>185.5</v>
      </c>
      <c r="T542" s="147">
        <f t="shared" si="153"/>
        <v>6.6275</v>
      </c>
      <c r="U542" s="142" t="str">
        <f t="shared" si="169"/>
        <v>[{2,1,371000,371000},{5103001,1,20000,20000},{1,2,750,750},{50002,1,9000,11000},{30,1,11,14},{9,1,112,137}]</v>
      </c>
      <c r="V542" s="142" t="str">
        <f t="shared" si="170"/>
        <v>[{2,1,371000,371000},{5103001,1,40000,40000},{50002,1,6000,6000},{5203001,1,5000,5000},{21360,1,1000,1000},{5301000,1,900,1000},{5303001,1,1800,2200},{11,1,400,600}]</v>
      </c>
      <c r="X542" s="142" t="str">
        <f t="shared" si="154"/>
        <v>{2,1,371000,371000}</v>
      </c>
      <c r="Y542" s="142"/>
      <c r="Z542" s="142" t="str">
        <f t="shared" si="155"/>
        <v>{5103001,1,20000,20000}</v>
      </c>
      <c r="AA542" s="142" t="str">
        <f t="shared" si="172"/>
        <v>{1,2,750,750}</v>
      </c>
      <c r="AD542" s="142" t="str">
        <f t="shared" si="156"/>
        <v>{50002,1,9000,11000}</v>
      </c>
      <c r="AE542" s="142" t="str">
        <f t="shared" si="171"/>
        <v>{30,1,11,14}</v>
      </c>
      <c r="AG542" s="142" t="str">
        <f t="shared" si="157"/>
        <v>{9,1,112,137}</v>
      </c>
      <c r="AH542" s="142" t="str">
        <f t="shared" si="158"/>
        <v>{2,1,371000,371000}</v>
      </c>
      <c r="AI542" s="142" t="str">
        <f t="shared" si="159"/>
        <v>{5103001,1,40000,40000}</v>
      </c>
      <c r="AJ542" s="142" t="str">
        <f t="shared" si="160"/>
        <v>{50002,1,6000,6000}</v>
      </c>
      <c r="AK542" s="142" t="str">
        <f t="shared" si="161"/>
        <v>{5203001,1,5000,5000}</v>
      </c>
      <c r="AL542" s="142" t="str">
        <f t="shared" si="162"/>
        <v>{21360,1,1000,1000}</v>
      </c>
      <c r="AM542" s="142" t="str">
        <f t="shared" si="163"/>
        <v>{5301000,1,900,1000}</v>
      </c>
      <c r="AO542" s="142" t="str">
        <f t="shared" si="164"/>
        <v>{5303001,1,1800,2200}</v>
      </c>
      <c r="AP542" s="142" t="s">
        <v>210</v>
      </c>
      <c r="AQ542" s="142"/>
    </row>
    <row r="543" spans="1:43">
      <c r="A543" s="143" t="str">
        <f t="shared" si="165"/>
        <v>[{2,1,372000,372000},{5103001,1,20000,20000}]</v>
      </c>
      <c r="B543" s="98">
        <f t="shared" si="166"/>
        <v>233</v>
      </c>
      <c r="C543" s="144">
        <v>372</v>
      </c>
      <c r="D543" s="145">
        <f t="shared" si="167"/>
        <v>372</v>
      </c>
      <c r="E543" s="145">
        <v>40</v>
      </c>
      <c r="F543" s="145">
        <v>20</v>
      </c>
      <c r="G543" s="146">
        <v>1</v>
      </c>
      <c r="H543" s="146">
        <v>6</v>
      </c>
      <c r="I543" s="146">
        <v>10</v>
      </c>
      <c r="J543" s="146">
        <v>5</v>
      </c>
      <c r="K543" s="146">
        <v>1</v>
      </c>
      <c r="L543" s="146">
        <v>1.5</v>
      </c>
      <c r="M543" s="145">
        <v>0.125</v>
      </c>
      <c r="N543" s="145">
        <v>0.5</v>
      </c>
      <c r="O543" s="145">
        <v>2</v>
      </c>
      <c r="P543" s="145">
        <v>0.013</v>
      </c>
      <c r="Q543" s="145">
        <f t="shared" si="151"/>
        <v>76.74</v>
      </c>
      <c r="R543" s="145">
        <f t="shared" si="152"/>
        <v>132.6</v>
      </c>
      <c r="S543" s="126">
        <f t="shared" si="168"/>
        <v>186</v>
      </c>
      <c r="T543" s="147">
        <f t="shared" si="153"/>
        <v>6.63</v>
      </c>
      <c r="U543" s="142" t="str">
        <f t="shared" si="169"/>
        <v>[{2,1,372000,372000},{5103001,1,20000,20000},{1,2,750,750},{50002,1,9000,11000},{30,1,11,14},{9,1,112,137}]</v>
      </c>
      <c r="V543" s="142" t="str">
        <f t="shared" si="170"/>
        <v>[{2,1,372000,372000},{5103001,1,40000,40000},{50002,1,6000,6000},{5203001,1,5000,5000},{21360,1,1000,1000},{5301000,1,900,1000},{5303001,1,1800,2200},{11,1,400,600}]</v>
      </c>
      <c r="X543" s="142" t="str">
        <f t="shared" si="154"/>
        <v>{2,1,372000,372000}</v>
      </c>
      <c r="Y543" s="142"/>
      <c r="Z543" s="142" t="str">
        <f t="shared" si="155"/>
        <v>{5103001,1,20000,20000}</v>
      </c>
      <c r="AA543" s="142" t="str">
        <f t="shared" si="172"/>
        <v>{1,2,750,750}</v>
      </c>
      <c r="AD543" s="142" t="str">
        <f t="shared" si="156"/>
        <v>{50002,1,9000,11000}</v>
      </c>
      <c r="AE543" s="142" t="str">
        <f t="shared" si="171"/>
        <v>{30,1,11,14}</v>
      </c>
      <c r="AG543" s="142" t="str">
        <f t="shared" si="157"/>
        <v>{9,1,112,137}</v>
      </c>
      <c r="AH543" s="142" t="str">
        <f t="shared" si="158"/>
        <v>{2,1,372000,372000}</v>
      </c>
      <c r="AI543" s="142" t="str">
        <f t="shared" si="159"/>
        <v>{5103001,1,40000,40000}</v>
      </c>
      <c r="AJ543" s="142" t="str">
        <f t="shared" si="160"/>
        <v>{50002,1,6000,6000}</v>
      </c>
      <c r="AK543" s="142" t="str">
        <f t="shared" si="161"/>
        <v>{5203001,1,5000,5000}</v>
      </c>
      <c r="AL543" s="142" t="str">
        <f t="shared" si="162"/>
        <v>{21360,1,1000,1000}</v>
      </c>
      <c r="AM543" s="142" t="str">
        <f t="shared" si="163"/>
        <v>{5301000,1,900,1000}</v>
      </c>
      <c r="AO543" s="142" t="str">
        <f t="shared" si="164"/>
        <v>{5303001,1,1800,2200}</v>
      </c>
      <c r="AP543" s="142" t="s">
        <v>210</v>
      </c>
      <c r="AQ543" s="142"/>
    </row>
    <row r="544" spans="1:43">
      <c r="A544" s="143" t="str">
        <f t="shared" si="165"/>
        <v>[{2,1,373000,373000},{5103001,1,20000,20000}]</v>
      </c>
      <c r="B544" s="98">
        <f t="shared" si="166"/>
        <v>234</v>
      </c>
      <c r="C544" s="144">
        <v>373</v>
      </c>
      <c r="D544" s="145">
        <f t="shared" si="167"/>
        <v>373</v>
      </c>
      <c r="E544" s="145">
        <v>40</v>
      </c>
      <c r="F544" s="145">
        <v>20</v>
      </c>
      <c r="G544" s="146">
        <v>1</v>
      </c>
      <c r="H544" s="146">
        <v>6</v>
      </c>
      <c r="I544" s="146">
        <v>10</v>
      </c>
      <c r="J544" s="146">
        <v>5</v>
      </c>
      <c r="K544" s="146">
        <v>1</v>
      </c>
      <c r="L544" s="146">
        <v>1.5</v>
      </c>
      <c r="M544" s="145">
        <v>0.125</v>
      </c>
      <c r="N544" s="145">
        <v>0.5</v>
      </c>
      <c r="O544" s="145">
        <v>2</v>
      </c>
      <c r="P544" s="145">
        <v>0.013</v>
      </c>
      <c r="Q544" s="145">
        <f t="shared" si="151"/>
        <v>76.79</v>
      </c>
      <c r="R544" s="145">
        <f t="shared" si="152"/>
        <v>132.65</v>
      </c>
      <c r="S544" s="126">
        <f t="shared" si="168"/>
        <v>186.5</v>
      </c>
      <c r="T544" s="147">
        <f t="shared" si="153"/>
        <v>6.6325</v>
      </c>
      <c r="U544" s="142" t="str">
        <f t="shared" si="169"/>
        <v>[{2,1,373000,373000},{5103001,1,20000,20000},{1,2,750,750},{50002,1,9000,11000},{30,1,11,14},{9,1,112,137}]</v>
      </c>
      <c r="V544" s="142" t="str">
        <f t="shared" si="170"/>
        <v>[{2,1,373000,373000},{5103001,1,40000,40000},{50002,1,6000,6000},{5203001,1,5000,5000},{21360,1,1000,1000},{5301000,1,900,1000},{5303001,1,1800,2200},{11,1,400,600}]</v>
      </c>
      <c r="X544" s="142" t="str">
        <f t="shared" si="154"/>
        <v>{2,1,373000,373000}</v>
      </c>
      <c r="Y544" s="142"/>
      <c r="Z544" s="142" t="str">
        <f t="shared" si="155"/>
        <v>{5103001,1,20000,20000}</v>
      </c>
      <c r="AA544" s="142" t="str">
        <f t="shared" si="172"/>
        <v>{1,2,750,750}</v>
      </c>
      <c r="AD544" s="142" t="str">
        <f t="shared" si="156"/>
        <v>{50002,1,9000,11000}</v>
      </c>
      <c r="AE544" s="142" t="str">
        <f t="shared" si="171"/>
        <v>{30,1,11,14}</v>
      </c>
      <c r="AG544" s="142" t="str">
        <f t="shared" si="157"/>
        <v>{9,1,112,137}</v>
      </c>
      <c r="AH544" s="142" t="str">
        <f t="shared" si="158"/>
        <v>{2,1,373000,373000}</v>
      </c>
      <c r="AI544" s="142" t="str">
        <f t="shared" si="159"/>
        <v>{5103001,1,40000,40000}</v>
      </c>
      <c r="AJ544" s="142" t="str">
        <f t="shared" si="160"/>
        <v>{50002,1,6000,6000}</v>
      </c>
      <c r="AK544" s="142" t="str">
        <f t="shared" si="161"/>
        <v>{5203001,1,5000,5000}</v>
      </c>
      <c r="AL544" s="142" t="str">
        <f t="shared" si="162"/>
        <v>{21360,1,1000,1000}</v>
      </c>
      <c r="AM544" s="142" t="str">
        <f t="shared" si="163"/>
        <v>{5301000,1,900,1000}</v>
      </c>
      <c r="AO544" s="142" t="str">
        <f t="shared" si="164"/>
        <v>{5303001,1,1800,2200}</v>
      </c>
      <c r="AP544" s="142" t="s">
        <v>210</v>
      </c>
      <c r="AQ544" s="142"/>
    </row>
    <row r="545" spans="1:43">
      <c r="A545" s="143" t="str">
        <f t="shared" si="165"/>
        <v>[{2,1,374000,374000},{5103001,1,20000,20000}]</v>
      </c>
      <c r="B545" s="98">
        <f t="shared" si="166"/>
        <v>235</v>
      </c>
      <c r="C545" s="144">
        <v>374</v>
      </c>
      <c r="D545" s="145">
        <f t="shared" si="167"/>
        <v>374</v>
      </c>
      <c r="E545" s="145">
        <v>40</v>
      </c>
      <c r="F545" s="145">
        <v>20</v>
      </c>
      <c r="G545" s="146">
        <v>1</v>
      </c>
      <c r="H545" s="146">
        <v>6</v>
      </c>
      <c r="I545" s="146">
        <v>10</v>
      </c>
      <c r="J545" s="146">
        <v>5</v>
      </c>
      <c r="K545" s="146">
        <v>1</v>
      </c>
      <c r="L545" s="146">
        <v>1.5</v>
      </c>
      <c r="M545" s="145">
        <v>0.125</v>
      </c>
      <c r="N545" s="145">
        <v>0.5</v>
      </c>
      <c r="O545" s="145">
        <v>2</v>
      </c>
      <c r="P545" s="145">
        <v>0.013</v>
      </c>
      <c r="Q545" s="145">
        <f t="shared" si="151"/>
        <v>76.84</v>
      </c>
      <c r="R545" s="145">
        <f t="shared" si="152"/>
        <v>132.7</v>
      </c>
      <c r="S545" s="126">
        <f t="shared" si="168"/>
        <v>187</v>
      </c>
      <c r="T545" s="147">
        <f t="shared" si="153"/>
        <v>6.635</v>
      </c>
      <c r="U545" s="142" t="str">
        <f t="shared" si="169"/>
        <v>[{2,1,374000,374000},{5103001,1,20000,20000},{1,2,750,750},{50002,1,9000,11000},{30,1,11,14},{9,1,112,137}]</v>
      </c>
      <c r="V545" s="142" t="str">
        <f t="shared" si="170"/>
        <v>[{2,1,374000,374000},{5103001,1,40000,40000},{50002,1,6000,6000},{5203001,1,5000,5000},{21360,1,1000,1000},{5301000,1,900,1000},{5303001,1,1800,2200},{11,1,400,600}]</v>
      </c>
      <c r="X545" s="142" t="str">
        <f t="shared" si="154"/>
        <v>{2,1,374000,374000}</v>
      </c>
      <c r="Y545" s="142"/>
      <c r="Z545" s="142" t="str">
        <f t="shared" si="155"/>
        <v>{5103001,1,20000,20000}</v>
      </c>
      <c r="AA545" s="142" t="str">
        <f t="shared" si="172"/>
        <v>{1,2,750,750}</v>
      </c>
      <c r="AD545" s="142" t="str">
        <f t="shared" si="156"/>
        <v>{50002,1,9000,11000}</v>
      </c>
      <c r="AE545" s="142" t="str">
        <f t="shared" si="171"/>
        <v>{30,1,11,14}</v>
      </c>
      <c r="AG545" s="142" t="str">
        <f t="shared" si="157"/>
        <v>{9,1,112,137}</v>
      </c>
      <c r="AH545" s="142" t="str">
        <f t="shared" si="158"/>
        <v>{2,1,374000,374000}</v>
      </c>
      <c r="AI545" s="142" t="str">
        <f t="shared" si="159"/>
        <v>{5103001,1,40000,40000}</v>
      </c>
      <c r="AJ545" s="142" t="str">
        <f t="shared" si="160"/>
        <v>{50002,1,6000,6000}</v>
      </c>
      <c r="AK545" s="142" t="str">
        <f t="shared" si="161"/>
        <v>{5203001,1,5000,5000}</v>
      </c>
      <c r="AL545" s="142" t="str">
        <f t="shared" si="162"/>
        <v>{21360,1,1000,1000}</v>
      </c>
      <c r="AM545" s="142" t="str">
        <f t="shared" si="163"/>
        <v>{5301000,1,900,1000}</v>
      </c>
      <c r="AO545" s="142" t="str">
        <f t="shared" si="164"/>
        <v>{5303001,1,1800,2200}</v>
      </c>
      <c r="AP545" s="142" t="s">
        <v>210</v>
      </c>
      <c r="AQ545" s="142"/>
    </row>
    <row r="546" spans="1:43">
      <c r="A546" s="143" t="str">
        <f t="shared" si="165"/>
        <v>[{2,1,375000,375000},{5103001,1,20000,20000}]</v>
      </c>
      <c r="B546" s="98">
        <f t="shared" si="166"/>
        <v>236</v>
      </c>
      <c r="C546" s="144">
        <v>375</v>
      </c>
      <c r="D546" s="145">
        <f t="shared" si="167"/>
        <v>375</v>
      </c>
      <c r="E546" s="145">
        <v>40</v>
      </c>
      <c r="F546" s="145">
        <v>20</v>
      </c>
      <c r="G546" s="146">
        <v>1</v>
      </c>
      <c r="H546" s="146">
        <v>6</v>
      </c>
      <c r="I546" s="146">
        <v>10</v>
      </c>
      <c r="J546" s="146">
        <v>5</v>
      </c>
      <c r="K546" s="146">
        <v>1</v>
      </c>
      <c r="L546" s="146">
        <v>1.5</v>
      </c>
      <c r="M546" s="145">
        <v>0.125</v>
      </c>
      <c r="N546" s="145">
        <v>0.5</v>
      </c>
      <c r="O546" s="145">
        <v>2</v>
      </c>
      <c r="P546" s="145">
        <v>0.013</v>
      </c>
      <c r="Q546" s="145">
        <f t="shared" si="151"/>
        <v>76.89</v>
      </c>
      <c r="R546" s="145">
        <f t="shared" si="152"/>
        <v>132.75</v>
      </c>
      <c r="S546" s="126">
        <f t="shared" si="168"/>
        <v>187.5</v>
      </c>
      <c r="T546" s="147">
        <f t="shared" si="153"/>
        <v>6.6375</v>
      </c>
      <c r="U546" s="142" t="str">
        <f t="shared" si="169"/>
        <v>[{2,1,375000,375000},{5103001,1,20000,20000},{1,2,750,750},{50002,1,9000,11000},{30,1,11,14},{9,1,112,137}]</v>
      </c>
      <c r="V546" s="142" t="str">
        <f t="shared" si="170"/>
        <v>[{2,1,375000,375000},{5103001,1,40000,40000},{50002,1,6000,6000},{5203001,1,5000,5000},{21360,1,1000,1000},{5301000,1,900,1000},{5303001,1,1800,2200},{11,1,400,600}]</v>
      </c>
      <c r="X546" s="142" t="str">
        <f t="shared" si="154"/>
        <v>{2,1,375000,375000}</v>
      </c>
      <c r="Y546" s="142"/>
      <c r="Z546" s="142" t="str">
        <f t="shared" si="155"/>
        <v>{5103001,1,20000,20000}</v>
      </c>
      <c r="AA546" s="142" t="str">
        <f t="shared" si="172"/>
        <v>{1,2,750,750}</v>
      </c>
      <c r="AD546" s="142" t="str">
        <f t="shared" si="156"/>
        <v>{50002,1,9000,11000}</v>
      </c>
      <c r="AE546" s="142" t="str">
        <f t="shared" si="171"/>
        <v>{30,1,11,14}</v>
      </c>
      <c r="AG546" s="142" t="str">
        <f t="shared" si="157"/>
        <v>{9,1,112,137}</v>
      </c>
      <c r="AH546" s="142" t="str">
        <f t="shared" si="158"/>
        <v>{2,1,375000,375000}</v>
      </c>
      <c r="AI546" s="142" t="str">
        <f t="shared" si="159"/>
        <v>{5103001,1,40000,40000}</v>
      </c>
      <c r="AJ546" s="142" t="str">
        <f t="shared" si="160"/>
        <v>{50002,1,6000,6000}</v>
      </c>
      <c r="AK546" s="142" t="str">
        <f t="shared" si="161"/>
        <v>{5203001,1,5000,5000}</v>
      </c>
      <c r="AL546" s="142" t="str">
        <f t="shared" si="162"/>
        <v>{21360,1,1000,1000}</v>
      </c>
      <c r="AM546" s="142" t="str">
        <f t="shared" si="163"/>
        <v>{5301000,1,900,1000}</v>
      </c>
      <c r="AO546" s="142" t="str">
        <f t="shared" si="164"/>
        <v>{5303001,1,1800,2200}</v>
      </c>
      <c r="AP546" s="142" t="s">
        <v>210</v>
      </c>
      <c r="AQ546" s="142"/>
    </row>
    <row r="547" spans="1:43">
      <c r="A547" s="143" t="str">
        <f t="shared" si="165"/>
        <v>[{2,1,376000,376000},{5103001,1,20000,20000}]</v>
      </c>
      <c r="B547" s="98">
        <f t="shared" si="166"/>
        <v>237</v>
      </c>
      <c r="C547" s="144">
        <v>376</v>
      </c>
      <c r="D547" s="145">
        <f t="shared" si="167"/>
        <v>376</v>
      </c>
      <c r="E547" s="145">
        <v>40</v>
      </c>
      <c r="F547" s="145">
        <v>20</v>
      </c>
      <c r="G547" s="146">
        <v>1</v>
      </c>
      <c r="H547" s="146">
        <v>6</v>
      </c>
      <c r="I547" s="146">
        <v>10</v>
      </c>
      <c r="J547" s="146">
        <v>5</v>
      </c>
      <c r="K547" s="146">
        <v>1</v>
      </c>
      <c r="L547" s="146">
        <v>1.5</v>
      </c>
      <c r="M547" s="145">
        <v>0.125</v>
      </c>
      <c r="N547" s="145">
        <v>0.5</v>
      </c>
      <c r="O547" s="145">
        <v>2</v>
      </c>
      <c r="P547" s="145">
        <v>0.013</v>
      </c>
      <c r="Q547" s="145">
        <f t="shared" si="151"/>
        <v>76.94</v>
      </c>
      <c r="R547" s="145">
        <f t="shared" si="152"/>
        <v>132.8</v>
      </c>
      <c r="S547" s="126">
        <f t="shared" si="168"/>
        <v>188</v>
      </c>
      <c r="T547" s="147">
        <f t="shared" si="153"/>
        <v>6.64</v>
      </c>
      <c r="U547" s="142" t="str">
        <f t="shared" si="169"/>
        <v>[{2,1,376000,376000},{5103001,1,20000,20000},{1,2,750,750},{50002,1,9000,11000},{30,1,11,14},{9,1,112,137}]</v>
      </c>
      <c r="V547" s="142" t="str">
        <f t="shared" si="170"/>
        <v>[{2,1,376000,376000},{5103001,1,40000,40000},{50002,1,6000,6000},{5203001,1,5000,5000},{21360,1,1000,1000},{5301000,1,900,1000},{5303001,1,1800,2200},{11,1,400,600}]</v>
      </c>
      <c r="X547" s="142" t="str">
        <f t="shared" si="154"/>
        <v>{2,1,376000,376000}</v>
      </c>
      <c r="Y547" s="142"/>
      <c r="Z547" s="142" t="str">
        <f t="shared" si="155"/>
        <v>{5103001,1,20000,20000}</v>
      </c>
      <c r="AA547" s="142" t="str">
        <f t="shared" si="172"/>
        <v>{1,2,750,750}</v>
      </c>
      <c r="AD547" s="142" t="str">
        <f t="shared" si="156"/>
        <v>{50002,1,9000,11000}</v>
      </c>
      <c r="AE547" s="142" t="str">
        <f t="shared" si="171"/>
        <v>{30,1,11,14}</v>
      </c>
      <c r="AG547" s="142" t="str">
        <f t="shared" si="157"/>
        <v>{9,1,112,137}</v>
      </c>
      <c r="AH547" s="142" t="str">
        <f t="shared" si="158"/>
        <v>{2,1,376000,376000}</v>
      </c>
      <c r="AI547" s="142" t="str">
        <f t="shared" si="159"/>
        <v>{5103001,1,40000,40000}</v>
      </c>
      <c r="AJ547" s="142" t="str">
        <f t="shared" si="160"/>
        <v>{50002,1,6000,6000}</v>
      </c>
      <c r="AK547" s="142" t="str">
        <f t="shared" si="161"/>
        <v>{5203001,1,5000,5000}</v>
      </c>
      <c r="AL547" s="142" t="str">
        <f t="shared" si="162"/>
        <v>{21360,1,1000,1000}</v>
      </c>
      <c r="AM547" s="142" t="str">
        <f t="shared" si="163"/>
        <v>{5301000,1,900,1000}</v>
      </c>
      <c r="AO547" s="142" t="str">
        <f t="shared" si="164"/>
        <v>{5303001,1,1800,2200}</v>
      </c>
      <c r="AP547" s="142" t="s">
        <v>210</v>
      </c>
      <c r="AQ547" s="142"/>
    </row>
    <row r="548" spans="1:43">
      <c r="A548" s="143" t="str">
        <f t="shared" si="165"/>
        <v>[{2,1,377000,377000},{5103001,1,20000,20000}]</v>
      </c>
      <c r="B548" s="98">
        <f t="shared" si="166"/>
        <v>238</v>
      </c>
      <c r="C548" s="144">
        <v>377</v>
      </c>
      <c r="D548" s="145">
        <f t="shared" si="167"/>
        <v>377</v>
      </c>
      <c r="E548" s="145">
        <v>40</v>
      </c>
      <c r="F548" s="145">
        <v>20</v>
      </c>
      <c r="G548" s="146">
        <v>1</v>
      </c>
      <c r="H548" s="146">
        <v>6</v>
      </c>
      <c r="I548" s="146">
        <v>10</v>
      </c>
      <c r="J548" s="146">
        <v>5</v>
      </c>
      <c r="K548" s="146">
        <v>1</v>
      </c>
      <c r="L548" s="146">
        <v>1.5</v>
      </c>
      <c r="M548" s="145">
        <v>0.125</v>
      </c>
      <c r="N548" s="145">
        <v>0.5</v>
      </c>
      <c r="O548" s="145">
        <v>2</v>
      </c>
      <c r="P548" s="145">
        <v>0.013</v>
      </c>
      <c r="Q548" s="145">
        <f t="shared" si="151"/>
        <v>76.99</v>
      </c>
      <c r="R548" s="145">
        <f t="shared" si="152"/>
        <v>132.85</v>
      </c>
      <c r="S548" s="126">
        <f t="shared" si="168"/>
        <v>188.5</v>
      </c>
      <c r="T548" s="147">
        <f t="shared" si="153"/>
        <v>6.6425</v>
      </c>
      <c r="U548" s="142" t="str">
        <f t="shared" si="169"/>
        <v>[{2,1,377000,377000},{5103001,1,20000,20000},{1,2,750,750},{50002,1,9000,11000},{30,1,11,14},{9,1,112,137}]</v>
      </c>
      <c r="V548" s="142" t="str">
        <f t="shared" si="170"/>
        <v>[{2,1,377000,377000},{5103001,1,40000,40000},{50002,1,6000,6000},{5203001,1,5000,5000},{21360,1,1000,1000},{5301000,1,900,1000},{5303001,1,1800,2200},{11,1,400,600}]</v>
      </c>
      <c r="X548" s="142" t="str">
        <f t="shared" si="154"/>
        <v>{2,1,377000,377000}</v>
      </c>
      <c r="Y548" s="142"/>
      <c r="Z548" s="142" t="str">
        <f t="shared" si="155"/>
        <v>{5103001,1,20000,20000}</v>
      </c>
      <c r="AA548" s="142" t="str">
        <f t="shared" si="172"/>
        <v>{1,2,750,750}</v>
      </c>
      <c r="AD548" s="142" t="str">
        <f t="shared" si="156"/>
        <v>{50002,1,9000,11000}</v>
      </c>
      <c r="AE548" s="142" t="str">
        <f t="shared" si="171"/>
        <v>{30,1,11,14}</v>
      </c>
      <c r="AG548" s="142" t="str">
        <f t="shared" si="157"/>
        <v>{9,1,112,137}</v>
      </c>
      <c r="AH548" s="142" t="str">
        <f t="shared" si="158"/>
        <v>{2,1,377000,377000}</v>
      </c>
      <c r="AI548" s="142" t="str">
        <f t="shared" si="159"/>
        <v>{5103001,1,40000,40000}</v>
      </c>
      <c r="AJ548" s="142" t="str">
        <f t="shared" si="160"/>
        <v>{50002,1,6000,6000}</v>
      </c>
      <c r="AK548" s="142" t="str">
        <f t="shared" si="161"/>
        <v>{5203001,1,5000,5000}</v>
      </c>
      <c r="AL548" s="142" t="str">
        <f t="shared" si="162"/>
        <v>{21360,1,1000,1000}</v>
      </c>
      <c r="AM548" s="142" t="str">
        <f t="shared" si="163"/>
        <v>{5301000,1,900,1000}</v>
      </c>
      <c r="AO548" s="142" t="str">
        <f t="shared" si="164"/>
        <v>{5303001,1,1800,2200}</v>
      </c>
      <c r="AP548" s="142" t="s">
        <v>210</v>
      </c>
      <c r="AQ548" s="142"/>
    </row>
    <row r="549" spans="1:43">
      <c r="A549" s="143" t="str">
        <f t="shared" si="165"/>
        <v>[{2,1,378000,378000},{5103001,1,20000,20000}]</v>
      </c>
      <c r="B549" s="98">
        <f t="shared" si="166"/>
        <v>239</v>
      </c>
      <c r="C549" s="144">
        <v>378</v>
      </c>
      <c r="D549" s="145">
        <f t="shared" si="167"/>
        <v>378</v>
      </c>
      <c r="E549" s="145">
        <v>40</v>
      </c>
      <c r="F549" s="145">
        <v>20</v>
      </c>
      <c r="G549" s="146">
        <v>1</v>
      </c>
      <c r="H549" s="146">
        <v>6</v>
      </c>
      <c r="I549" s="146">
        <v>10</v>
      </c>
      <c r="J549" s="146">
        <v>5</v>
      </c>
      <c r="K549" s="146">
        <v>1</v>
      </c>
      <c r="L549" s="146">
        <v>1.5</v>
      </c>
      <c r="M549" s="145">
        <v>0.125</v>
      </c>
      <c r="N549" s="145">
        <v>0.5</v>
      </c>
      <c r="O549" s="145">
        <v>2</v>
      </c>
      <c r="P549" s="145">
        <v>0.013</v>
      </c>
      <c r="Q549" s="145">
        <f t="shared" si="151"/>
        <v>77.04</v>
      </c>
      <c r="R549" s="145">
        <f t="shared" si="152"/>
        <v>132.9</v>
      </c>
      <c r="S549" s="126">
        <f t="shared" si="168"/>
        <v>189</v>
      </c>
      <c r="T549" s="147">
        <f t="shared" si="153"/>
        <v>6.645</v>
      </c>
      <c r="U549" s="142" t="str">
        <f t="shared" si="169"/>
        <v>[{2,1,378000,378000},{5103001,1,20000,20000},{1,2,750,750},{50002,1,9000,11000},{30,1,11,14},{9,1,112,137}]</v>
      </c>
      <c r="V549" s="142" t="str">
        <f t="shared" si="170"/>
        <v>[{2,1,378000,378000},{5103001,1,40000,40000},{50002,1,6000,6000},{5203001,1,5000,5000},{21360,1,1000,1000},{5301000,1,900,1000},{5303001,1,1800,2200},{11,1,400,600}]</v>
      </c>
      <c r="X549" s="142" t="str">
        <f t="shared" si="154"/>
        <v>{2,1,378000,378000}</v>
      </c>
      <c r="Y549" s="142"/>
      <c r="Z549" s="142" t="str">
        <f t="shared" si="155"/>
        <v>{5103001,1,20000,20000}</v>
      </c>
      <c r="AA549" s="142" t="str">
        <f t="shared" si="172"/>
        <v>{1,2,750,750}</v>
      </c>
      <c r="AD549" s="142" t="str">
        <f t="shared" si="156"/>
        <v>{50002,1,9000,11000}</v>
      </c>
      <c r="AE549" s="142" t="str">
        <f t="shared" si="171"/>
        <v>{30,1,11,14}</v>
      </c>
      <c r="AG549" s="142" t="str">
        <f t="shared" si="157"/>
        <v>{9,1,112,137}</v>
      </c>
      <c r="AH549" s="142" t="str">
        <f t="shared" si="158"/>
        <v>{2,1,378000,378000}</v>
      </c>
      <c r="AI549" s="142" t="str">
        <f t="shared" si="159"/>
        <v>{5103001,1,40000,40000}</v>
      </c>
      <c r="AJ549" s="142" t="str">
        <f t="shared" si="160"/>
        <v>{50002,1,6000,6000}</v>
      </c>
      <c r="AK549" s="142" t="str">
        <f t="shared" si="161"/>
        <v>{5203001,1,5000,5000}</v>
      </c>
      <c r="AL549" s="142" t="str">
        <f t="shared" si="162"/>
        <v>{21360,1,1000,1000}</v>
      </c>
      <c r="AM549" s="142" t="str">
        <f t="shared" si="163"/>
        <v>{5301000,1,900,1000}</v>
      </c>
      <c r="AO549" s="142" t="str">
        <f t="shared" si="164"/>
        <v>{5303001,1,1800,2200}</v>
      </c>
      <c r="AP549" s="142" t="s">
        <v>210</v>
      </c>
      <c r="AQ549" s="142"/>
    </row>
    <row r="550" spans="1:43">
      <c r="A550" s="143" t="str">
        <f t="shared" si="165"/>
        <v>[{2,1,379000,379000},{5103001,1,20000,20000}]</v>
      </c>
      <c r="B550" s="98">
        <f t="shared" si="166"/>
        <v>240</v>
      </c>
      <c r="C550" s="144">
        <v>379</v>
      </c>
      <c r="D550" s="145">
        <f t="shared" si="167"/>
        <v>379</v>
      </c>
      <c r="E550" s="145">
        <v>40</v>
      </c>
      <c r="F550" s="145">
        <v>20</v>
      </c>
      <c r="G550" s="146">
        <v>1</v>
      </c>
      <c r="H550" s="146">
        <v>6</v>
      </c>
      <c r="I550" s="146">
        <v>10</v>
      </c>
      <c r="J550" s="146">
        <v>5</v>
      </c>
      <c r="K550" s="146">
        <v>1</v>
      </c>
      <c r="L550" s="146">
        <v>1.5</v>
      </c>
      <c r="M550" s="145">
        <v>0.125</v>
      </c>
      <c r="N550" s="145">
        <v>0.5</v>
      </c>
      <c r="O550" s="145">
        <v>2</v>
      </c>
      <c r="P550" s="145">
        <v>0.013</v>
      </c>
      <c r="Q550" s="145">
        <f t="shared" si="151"/>
        <v>77.09</v>
      </c>
      <c r="R550" s="145">
        <f t="shared" si="152"/>
        <v>132.95</v>
      </c>
      <c r="S550" s="126">
        <f t="shared" si="168"/>
        <v>189.5</v>
      </c>
      <c r="T550" s="147">
        <f t="shared" si="153"/>
        <v>6.6475</v>
      </c>
      <c r="U550" s="142" t="str">
        <f t="shared" si="169"/>
        <v>[{2,1,379000,379000},{5103001,1,20000,20000},{1,2,750,750},{50002,1,9000,11000},{30,1,11,14},{9,1,112,137}]</v>
      </c>
      <c r="V550" s="142" t="str">
        <f t="shared" si="170"/>
        <v>[{2,1,379000,379000},{5103001,1,40000,40000},{50002,1,6000,6000},{5203001,1,5000,5000},{21360,1,1000,1000},{5301000,1,900,1000},{5303001,1,1800,2200},{11,1,400,600}]</v>
      </c>
      <c r="X550" s="142" t="str">
        <f t="shared" si="154"/>
        <v>{2,1,379000,379000}</v>
      </c>
      <c r="Y550" s="142"/>
      <c r="Z550" s="142" t="str">
        <f t="shared" si="155"/>
        <v>{5103001,1,20000,20000}</v>
      </c>
      <c r="AA550" s="142" t="str">
        <f t="shared" si="172"/>
        <v>{1,2,750,750}</v>
      </c>
      <c r="AD550" s="142" t="str">
        <f t="shared" si="156"/>
        <v>{50002,1,9000,11000}</v>
      </c>
      <c r="AE550" s="142" t="str">
        <f t="shared" si="171"/>
        <v>{30,1,11,14}</v>
      </c>
      <c r="AG550" s="142" t="str">
        <f t="shared" si="157"/>
        <v>{9,1,112,137}</v>
      </c>
      <c r="AH550" s="142" t="str">
        <f t="shared" si="158"/>
        <v>{2,1,379000,379000}</v>
      </c>
      <c r="AI550" s="142" t="str">
        <f t="shared" si="159"/>
        <v>{5103001,1,40000,40000}</v>
      </c>
      <c r="AJ550" s="142" t="str">
        <f t="shared" si="160"/>
        <v>{50002,1,6000,6000}</v>
      </c>
      <c r="AK550" s="142" t="str">
        <f t="shared" si="161"/>
        <v>{5203001,1,5000,5000}</v>
      </c>
      <c r="AL550" s="142" t="str">
        <f t="shared" si="162"/>
        <v>{21360,1,1000,1000}</v>
      </c>
      <c r="AM550" s="142" t="str">
        <f t="shared" si="163"/>
        <v>{5301000,1,900,1000}</v>
      </c>
      <c r="AO550" s="142" t="str">
        <f t="shared" si="164"/>
        <v>{5303001,1,1800,2200}</v>
      </c>
      <c r="AP550" s="142" t="s">
        <v>210</v>
      </c>
      <c r="AQ550" s="142"/>
    </row>
    <row r="551" spans="1:43">
      <c r="A551" s="143" t="str">
        <f t="shared" si="165"/>
        <v>[{2,1,380000,380000},{5103001,1,20000,20000}]</v>
      </c>
      <c r="B551" s="98">
        <f t="shared" si="166"/>
        <v>241</v>
      </c>
      <c r="C551" s="144">
        <v>380</v>
      </c>
      <c r="D551" s="145">
        <f t="shared" si="167"/>
        <v>380</v>
      </c>
      <c r="E551" s="145">
        <v>40</v>
      </c>
      <c r="F551" s="145">
        <v>20</v>
      </c>
      <c r="G551" s="146">
        <v>1</v>
      </c>
      <c r="H551" s="146">
        <v>6</v>
      </c>
      <c r="I551" s="146">
        <v>10</v>
      </c>
      <c r="J551" s="146">
        <v>5</v>
      </c>
      <c r="K551" s="146">
        <v>1</v>
      </c>
      <c r="L551" s="146">
        <v>1.5</v>
      </c>
      <c r="M551" s="145">
        <v>0.125</v>
      </c>
      <c r="N551" s="145">
        <v>0.5</v>
      </c>
      <c r="O551" s="145">
        <v>2</v>
      </c>
      <c r="P551" s="145">
        <v>0.013</v>
      </c>
      <c r="Q551" s="145">
        <f t="shared" si="151"/>
        <v>77.14</v>
      </c>
      <c r="R551" s="145">
        <f t="shared" si="152"/>
        <v>133</v>
      </c>
      <c r="S551" s="126">
        <f t="shared" si="168"/>
        <v>190</v>
      </c>
      <c r="T551" s="147">
        <f t="shared" si="153"/>
        <v>6.65</v>
      </c>
      <c r="U551" s="142" t="str">
        <f t="shared" si="169"/>
        <v>[{2,1,380000,380000},{5103001,1,20000,20000},{1,2,750,750},{50002,1,9000,11000},{30,1,11,14},{9,1,112,137}]</v>
      </c>
      <c r="V551" s="142" t="str">
        <f t="shared" si="170"/>
        <v>[{2,1,380000,380000},{5103001,1,40000,40000},{50002,1,6000,6000},{5203001,1,5000,5000},{21360,1,1000,1000},{5301000,1,900,1000},{5303001,1,1800,2200},{11,1,400,600}]</v>
      </c>
      <c r="X551" s="142" t="str">
        <f t="shared" si="154"/>
        <v>{2,1,380000,380000}</v>
      </c>
      <c r="Y551" s="142"/>
      <c r="Z551" s="142" t="str">
        <f t="shared" si="155"/>
        <v>{5103001,1,20000,20000}</v>
      </c>
      <c r="AA551" s="142" t="str">
        <f t="shared" si="172"/>
        <v>{1,2,750,750}</v>
      </c>
      <c r="AD551" s="142" t="str">
        <f t="shared" si="156"/>
        <v>{50002,1,9000,11000}</v>
      </c>
      <c r="AE551" s="142" t="str">
        <f t="shared" si="171"/>
        <v>{30,1,11,14}</v>
      </c>
      <c r="AG551" s="142" t="str">
        <f t="shared" si="157"/>
        <v>{9,1,112,137}</v>
      </c>
      <c r="AH551" s="142" t="str">
        <f t="shared" si="158"/>
        <v>{2,1,380000,380000}</v>
      </c>
      <c r="AI551" s="142" t="str">
        <f t="shared" si="159"/>
        <v>{5103001,1,40000,40000}</v>
      </c>
      <c r="AJ551" s="142" t="str">
        <f t="shared" si="160"/>
        <v>{50002,1,6000,6000}</v>
      </c>
      <c r="AK551" s="142" t="str">
        <f t="shared" si="161"/>
        <v>{5203001,1,5000,5000}</v>
      </c>
      <c r="AL551" s="142" t="str">
        <f t="shared" si="162"/>
        <v>{21360,1,1000,1000}</v>
      </c>
      <c r="AM551" s="142" t="str">
        <f t="shared" si="163"/>
        <v>{5301000,1,900,1000}</v>
      </c>
      <c r="AO551" s="142" t="str">
        <f t="shared" si="164"/>
        <v>{5303001,1,1800,2200}</v>
      </c>
      <c r="AP551" s="142" t="s">
        <v>210</v>
      </c>
      <c r="AQ551" s="142"/>
    </row>
    <row r="552" spans="1:43">
      <c r="A552" s="143" t="str">
        <f t="shared" si="165"/>
        <v>[{2,1,381000,381000},{5103001,1,20000,20000}]</v>
      </c>
      <c r="B552" s="98">
        <f t="shared" si="166"/>
        <v>242</v>
      </c>
      <c r="C552" s="144">
        <v>381</v>
      </c>
      <c r="D552" s="145">
        <f t="shared" si="167"/>
        <v>381</v>
      </c>
      <c r="E552" s="145">
        <v>40</v>
      </c>
      <c r="F552" s="145">
        <v>20</v>
      </c>
      <c r="G552" s="146">
        <v>1</v>
      </c>
      <c r="H552" s="146">
        <v>6</v>
      </c>
      <c r="I552" s="146">
        <v>10</v>
      </c>
      <c r="J552" s="146">
        <v>5</v>
      </c>
      <c r="K552" s="146">
        <v>1</v>
      </c>
      <c r="L552" s="146">
        <v>1.5</v>
      </c>
      <c r="M552" s="145">
        <v>0.125</v>
      </c>
      <c r="N552" s="145">
        <v>0.5</v>
      </c>
      <c r="O552" s="145">
        <v>2</v>
      </c>
      <c r="P552" s="145">
        <v>0.013</v>
      </c>
      <c r="Q552" s="145">
        <f t="shared" si="151"/>
        <v>77.19</v>
      </c>
      <c r="R552" s="145">
        <f t="shared" si="152"/>
        <v>133.05</v>
      </c>
      <c r="S552" s="126">
        <f t="shared" si="168"/>
        <v>190.5</v>
      </c>
      <c r="T552" s="147">
        <f t="shared" si="153"/>
        <v>6.6525</v>
      </c>
      <c r="U552" s="142" t="str">
        <f t="shared" si="169"/>
        <v>[{2,1,381000,381000},{5103001,1,20000,20000},{1,2,750,750},{50002,1,9000,11000},{30,1,11,14},{9,1,112,137}]</v>
      </c>
      <c r="V552" s="142" t="str">
        <f t="shared" si="170"/>
        <v>[{2,1,381000,381000},{5103001,1,40000,40000},{50002,1,6000,6000},{5203001,1,5000,5000},{21360,1,1000,1000},{5301000,1,900,1000},{5303001,1,1800,2200},{11,1,400,600}]</v>
      </c>
      <c r="X552" s="142" t="str">
        <f t="shared" si="154"/>
        <v>{2,1,381000,381000}</v>
      </c>
      <c r="Y552" s="142"/>
      <c r="Z552" s="142" t="str">
        <f t="shared" si="155"/>
        <v>{5103001,1,20000,20000}</v>
      </c>
      <c r="AA552" s="142" t="str">
        <f t="shared" si="172"/>
        <v>{1,2,750,750}</v>
      </c>
      <c r="AD552" s="142" t="str">
        <f t="shared" si="156"/>
        <v>{50002,1,9000,11000}</v>
      </c>
      <c r="AE552" s="142" t="str">
        <f t="shared" si="171"/>
        <v>{30,1,11,14}</v>
      </c>
      <c r="AG552" s="142" t="str">
        <f t="shared" si="157"/>
        <v>{9,1,112,137}</v>
      </c>
      <c r="AH552" s="142" t="str">
        <f t="shared" si="158"/>
        <v>{2,1,381000,381000}</v>
      </c>
      <c r="AI552" s="142" t="str">
        <f t="shared" si="159"/>
        <v>{5103001,1,40000,40000}</v>
      </c>
      <c r="AJ552" s="142" t="str">
        <f t="shared" si="160"/>
        <v>{50002,1,6000,6000}</v>
      </c>
      <c r="AK552" s="142" t="str">
        <f t="shared" si="161"/>
        <v>{5203001,1,5000,5000}</v>
      </c>
      <c r="AL552" s="142" t="str">
        <f t="shared" si="162"/>
        <v>{21360,1,1000,1000}</v>
      </c>
      <c r="AM552" s="142" t="str">
        <f t="shared" si="163"/>
        <v>{5301000,1,900,1000}</v>
      </c>
      <c r="AO552" s="142" t="str">
        <f t="shared" si="164"/>
        <v>{5303001,1,1800,2200}</v>
      </c>
      <c r="AP552" s="142" t="s">
        <v>210</v>
      </c>
      <c r="AQ552" s="142"/>
    </row>
    <row r="553" spans="1:43">
      <c r="A553" s="143" t="str">
        <f t="shared" si="165"/>
        <v>[{2,1,382000,382000},{5103001,1,20000,20000}]</v>
      </c>
      <c r="B553" s="98">
        <f t="shared" si="166"/>
        <v>243</v>
      </c>
      <c r="C553" s="144">
        <v>382</v>
      </c>
      <c r="D553" s="145">
        <f t="shared" si="167"/>
        <v>382</v>
      </c>
      <c r="E553" s="145">
        <v>40</v>
      </c>
      <c r="F553" s="145">
        <v>20</v>
      </c>
      <c r="G553" s="146">
        <v>1</v>
      </c>
      <c r="H553" s="146">
        <v>6</v>
      </c>
      <c r="I553" s="146">
        <v>10</v>
      </c>
      <c r="J553" s="146">
        <v>5</v>
      </c>
      <c r="K553" s="146">
        <v>1</v>
      </c>
      <c r="L553" s="146">
        <v>1.5</v>
      </c>
      <c r="M553" s="145">
        <v>0.125</v>
      </c>
      <c r="N553" s="145">
        <v>0.5</v>
      </c>
      <c r="O553" s="145">
        <v>2</v>
      </c>
      <c r="P553" s="145">
        <v>0.013</v>
      </c>
      <c r="Q553" s="145">
        <f t="shared" si="151"/>
        <v>77.24</v>
      </c>
      <c r="R553" s="145">
        <f t="shared" si="152"/>
        <v>133.1</v>
      </c>
      <c r="S553" s="126">
        <f t="shared" si="168"/>
        <v>191</v>
      </c>
      <c r="T553" s="147">
        <f t="shared" si="153"/>
        <v>6.655</v>
      </c>
      <c r="U553" s="142" t="str">
        <f t="shared" si="169"/>
        <v>[{2,1,382000,382000},{5103001,1,20000,20000},{1,2,750,750},{50002,1,9000,11000},{30,1,11,14},{9,1,112,137}]</v>
      </c>
      <c r="V553" s="142" t="str">
        <f t="shared" si="170"/>
        <v>[{2,1,382000,382000},{5103001,1,40000,40000},{50002,1,6000,6000},{5203001,1,5000,5000},{21360,1,1000,1000},{5301000,1,900,1000},{5303001,1,1800,2200},{11,1,400,600}]</v>
      </c>
      <c r="X553" s="142" t="str">
        <f t="shared" si="154"/>
        <v>{2,1,382000,382000}</v>
      </c>
      <c r="Y553" s="142"/>
      <c r="Z553" s="142" t="str">
        <f t="shared" si="155"/>
        <v>{5103001,1,20000,20000}</v>
      </c>
      <c r="AA553" s="142" t="str">
        <f t="shared" si="172"/>
        <v>{1,2,750,750}</v>
      </c>
      <c r="AD553" s="142" t="str">
        <f t="shared" si="156"/>
        <v>{50002,1,9000,11000}</v>
      </c>
      <c r="AE553" s="142" t="str">
        <f t="shared" si="171"/>
        <v>{30,1,11,14}</v>
      </c>
      <c r="AG553" s="142" t="str">
        <f t="shared" si="157"/>
        <v>{9,1,112,137}</v>
      </c>
      <c r="AH553" s="142" t="str">
        <f t="shared" si="158"/>
        <v>{2,1,382000,382000}</v>
      </c>
      <c r="AI553" s="142" t="str">
        <f t="shared" si="159"/>
        <v>{5103001,1,40000,40000}</v>
      </c>
      <c r="AJ553" s="142" t="str">
        <f t="shared" si="160"/>
        <v>{50002,1,6000,6000}</v>
      </c>
      <c r="AK553" s="142" t="str">
        <f t="shared" si="161"/>
        <v>{5203001,1,5000,5000}</v>
      </c>
      <c r="AL553" s="142" t="str">
        <f t="shared" si="162"/>
        <v>{21360,1,1000,1000}</v>
      </c>
      <c r="AM553" s="142" t="str">
        <f t="shared" si="163"/>
        <v>{5301000,1,900,1000}</v>
      </c>
      <c r="AO553" s="142" t="str">
        <f t="shared" si="164"/>
        <v>{5303001,1,1800,2200}</v>
      </c>
      <c r="AP553" s="142" t="s">
        <v>210</v>
      </c>
      <c r="AQ553" s="142"/>
    </row>
    <row r="554" spans="1:43">
      <c r="A554" s="143" t="str">
        <f t="shared" si="165"/>
        <v>[{2,1,383000,383000},{5103001,1,20000,20000}]</v>
      </c>
      <c r="B554" s="98">
        <f t="shared" si="166"/>
        <v>244</v>
      </c>
      <c r="C554" s="144">
        <v>383</v>
      </c>
      <c r="D554" s="145">
        <f t="shared" si="167"/>
        <v>383</v>
      </c>
      <c r="E554" s="145">
        <v>40</v>
      </c>
      <c r="F554" s="145">
        <v>20</v>
      </c>
      <c r="G554" s="146">
        <v>1</v>
      </c>
      <c r="H554" s="146">
        <v>6</v>
      </c>
      <c r="I554" s="146">
        <v>10</v>
      </c>
      <c r="J554" s="146">
        <v>5</v>
      </c>
      <c r="K554" s="146">
        <v>1</v>
      </c>
      <c r="L554" s="146">
        <v>1.5</v>
      </c>
      <c r="M554" s="145">
        <v>0.125</v>
      </c>
      <c r="N554" s="145">
        <v>0.5</v>
      </c>
      <c r="O554" s="145">
        <v>2</v>
      </c>
      <c r="P554" s="145">
        <v>0.013</v>
      </c>
      <c r="Q554" s="145">
        <f t="shared" si="151"/>
        <v>77.29</v>
      </c>
      <c r="R554" s="145">
        <f t="shared" si="152"/>
        <v>133.15</v>
      </c>
      <c r="S554" s="126">
        <f t="shared" si="168"/>
        <v>191.5</v>
      </c>
      <c r="T554" s="147">
        <f t="shared" si="153"/>
        <v>6.6575</v>
      </c>
      <c r="U554" s="142" t="str">
        <f t="shared" si="169"/>
        <v>[{2,1,383000,383000},{5103001,1,20000,20000},{1,2,750,750},{50002,1,9000,11000},{30,1,11,14},{9,1,112,137}]</v>
      </c>
      <c r="V554" s="142" t="str">
        <f t="shared" si="170"/>
        <v>[{2,1,383000,383000},{5103001,1,40000,40000},{50002,1,6000,6000},{5203001,1,5000,5000},{21360,1,1000,1000},{5301000,1,900,1000},{5303001,1,1800,2200},{11,1,400,600}]</v>
      </c>
      <c r="X554" s="142" t="str">
        <f t="shared" si="154"/>
        <v>{2,1,383000,383000}</v>
      </c>
      <c r="Y554" s="142"/>
      <c r="Z554" s="142" t="str">
        <f t="shared" si="155"/>
        <v>{5103001,1,20000,20000}</v>
      </c>
      <c r="AA554" s="142" t="str">
        <f t="shared" si="172"/>
        <v>{1,2,750,750}</v>
      </c>
      <c r="AD554" s="142" t="str">
        <f t="shared" si="156"/>
        <v>{50002,1,9000,11000}</v>
      </c>
      <c r="AE554" s="142" t="str">
        <f t="shared" si="171"/>
        <v>{30,1,11,14}</v>
      </c>
      <c r="AG554" s="142" t="str">
        <f t="shared" si="157"/>
        <v>{9,1,112,137}</v>
      </c>
      <c r="AH554" s="142" t="str">
        <f t="shared" si="158"/>
        <v>{2,1,383000,383000}</v>
      </c>
      <c r="AI554" s="142" t="str">
        <f t="shared" si="159"/>
        <v>{5103001,1,40000,40000}</v>
      </c>
      <c r="AJ554" s="142" t="str">
        <f t="shared" si="160"/>
        <v>{50002,1,6000,6000}</v>
      </c>
      <c r="AK554" s="142" t="str">
        <f t="shared" si="161"/>
        <v>{5203001,1,5000,5000}</v>
      </c>
      <c r="AL554" s="142" t="str">
        <f t="shared" si="162"/>
        <v>{21360,1,1000,1000}</v>
      </c>
      <c r="AM554" s="142" t="str">
        <f t="shared" si="163"/>
        <v>{5301000,1,900,1000}</v>
      </c>
      <c r="AO554" s="142" t="str">
        <f t="shared" si="164"/>
        <v>{5303001,1,1800,2200}</v>
      </c>
      <c r="AP554" s="142" t="s">
        <v>210</v>
      </c>
      <c r="AQ554" s="142"/>
    </row>
    <row r="555" spans="1:43">
      <c r="A555" s="143" t="str">
        <f t="shared" si="165"/>
        <v>[{2,1,384000,384000},{5103001,1,20000,20000}]</v>
      </c>
      <c r="B555" s="98">
        <f t="shared" si="166"/>
        <v>245</v>
      </c>
      <c r="C555" s="144">
        <v>384</v>
      </c>
      <c r="D555" s="145">
        <f t="shared" si="167"/>
        <v>384</v>
      </c>
      <c r="E555" s="145">
        <v>40</v>
      </c>
      <c r="F555" s="145">
        <v>20</v>
      </c>
      <c r="G555" s="146">
        <v>1</v>
      </c>
      <c r="H555" s="146">
        <v>6</v>
      </c>
      <c r="I555" s="146">
        <v>10</v>
      </c>
      <c r="J555" s="146">
        <v>5</v>
      </c>
      <c r="K555" s="146">
        <v>1</v>
      </c>
      <c r="L555" s="146">
        <v>1.5</v>
      </c>
      <c r="M555" s="145">
        <v>0.125</v>
      </c>
      <c r="N555" s="145">
        <v>0.5</v>
      </c>
      <c r="O555" s="145">
        <v>2</v>
      </c>
      <c r="P555" s="145">
        <v>0.013</v>
      </c>
      <c r="Q555" s="145">
        <f t="shared" si="151"/>
        <v>77.34</v>
      </c>
      <c r="R555" s="145">
        <f t="shared" si="152"/>
        <v>133.2</v>
      </c>
      <c r="S555" s="126">
        <f t="shared" si="168"/>
        <v>192</v>
      </c>
      <c r="T555" s="147">
        <f t="shared" si="153"/>
        <v>6.66</v>
      </c>
      <c r="U555" s="142" t="str">
        <f t="shared" si="169"/>
        <v>[{2,1,384000,384000},{5103001,1,20000,20000},{1,2,750,750},{50002,1,9000,11000},{30,1,11,14},{9,1,112,137}]</v>
      </c>
      <c r="V555" s="142" t="str">
        <f t="shared" si="170"/>
        <v>[{2,1,384000,384000},{5103001,1,40000,40000},{50002,1,6000,6000},{5203001,1,5000,5000},{21360,1,1000,1000},{5301000,1,900,1000},{5303001,1,1800,2200},{11,1,400,600}]</v>
      </c>
      <c r="X555" s="142" t="str">
        <f t="shared" si="154"/>
        <v>{2,1,384000,384000}</v>
      </c>
      <c r="Y555" s="142"/>
      <c r="Z555" s="142" t="str">
        <f t="shared" si="155"/>
        <v>{5103001,1,20000,20000}</v>
      </c>
      <c r="AA555" s="142" t="str">
        <f t="shared" si="172"/>
        <v>{1,2,750,750}</v>
      </c>
      <c r="AD555" s="142" t="str">
        <f t="shared" si="156"/>
        <v>{50002,1,9000,11000}</v>
      </c>
      <c r="AE555" s="142" t="str">
        <f t="shared" si="171"/>
        <v>{30,1,11,14}</v>
      </c>
      <c r="AG555" s="142" t="str">
        <f t="shared" si="157"/>
        <v>{9,1,112,137}</v>
      </c>
      <c r="AH555" s="142" t="str">
        <f t="shared" si="158"/>
        <v>{2,1,384000,384000}</v>
      </c>
      <c r="AI555" s="142" t="str">
        <f t="shared" si="159"/>
        <v>{5103001,1,40000,40000}</v>
      </c>
      <c r="AJ555" s="142" t="str">
        <f t="shared" si="160"/>
        <v>{50002,1,6000,6000}</v>
      </c>
      <c r="AK555" s="142" t="str">
        <f t="shared" si="161"/>
        <v>{5203001,1,5000,5000}</v>
      </c>
      <c r="AL555" s="142" t="str">
        <f t="shared" si="162"/>
        <v>{21360,1,1000,1000}</v>
      </c>
      <c r="AM555" s="142" t="str">
        <f t="shared" si="163"/>
        <v>{5301000,1,900,1000}</v>
      </c>
      <c r="AO555" s="142" t="str">
        <f t="shared" si="164"/>
        <v>{5303001,1,1800,2200}</v>
      </c>
      <c r="AP555" s="142" t="s">
        <v>210</v>
      </c>
      <c r="AQ555" s="142"/>
    </row>
    <row r="556" spans="1:43">
      <c r="A556" s="143" t="str">
        <f t="shared" si="165"/>
        <v>[{2,1,385000,385000},{5103001,1,20000,20000}]</v>
      </c>
      <c r="B556" s="98">
        <f t="shared" si="166"/>
        <v>246</v>
      </c>
      <c r="C556" s="144">
        <v>385</v>
      </c>
      <c r="D556" s="145">
        <f t="shared" si="167"/>
        <v>385</v>
      </c>
      <c r="E556" s="145">
        <v>40</v>
      </c>
      <c r="F556" s="145">
        <v>20</v>
      </c>
      <c r="G556" s="146">
        <v>1</v>
      </c>
      <c r="H556" s="146">
        <v>6</v>
      </c>
      <c r="I556" s="146">
        <v>10</v>
      </c>
      <c r="J556" s="146">
        <v>5</v>
      </c>
      <c r="K556" s="146">
        <v>1</v>
      </c>
      <c r="L556" s="146">
        <v>1.5</v>
      </c>
      <c r="M556" s="145">
        <v>0.125</v>
      </c>
      <c r="N556" s="145">
        <v>0.5</v>
      </c>
      <c r="O556" s="145">
        <v>2</v>
      </c>
      <c r="P556" s="145">
        <v>0.013</v>
      </c>
      <c r="Q556" s="145">
        <f t="shared" si="151"/>
        <v>77.39</v>
      </c>
      <c r="R556" s="145">
        <f t="shared" si="152"/>
        <v>133.25</v>
      </c>
      <c r="S556" s="126">
        <f t="shared" si="168"/>
        <v>192.5</v>
      </c>
      <c r="T556" s="147">
        <f t="shared" si="153"/>
        <v>6.6625</v>
      </c>
      <c r="U556" s="142" t="str">
        <f t="shared" si="169"/>
        <v>[{2,1,385000,385000},{5103001,1,20000,20000},{1,2,750,750},{50002,1,9000,11000},{30,1,11,14},{9,1,112,137}]</v>
      </c>
      <c r="V556" s="142" t="str">
        <f t="shared" si="170"/>
        <v>[{2,1,385000,385000},{5103001,1,40000,40000},{50002,1,6000,6000},{5203001,1,5000,5000},{21360,1,1000,1000},{5301000,1,900,1000},{5303001,1,1800,2200},{11,1,400,600}]</v>
      </c>
      <c r="X556" s="142" t="str">
        <f t="shared" si="154"/>
        <v>{2,1,385000,385000}</v>
      </c>
      <c r="Y556" s="142"/>
      <c r="Z556" s="142" t="str">
        <f t="shared" si="155"/>
        <v>{5103001,1,20000,20000}</v>
      </c>
      <c r="AA556" s="142" t="str">
        <f t="shared" si="172"/>
        <v>{1,2,750,750}</v>
      </c>
      <c r="AD556" s="142" t="str">
        <f t="shared" si="156"/>
        <v>{50002,1,9000,11000}</v>
      </c>
      <c r="AE556" s="142" t="str">
        <f t="shared" si="171"/>
        <v>{30,1,11,14}</v>
      </c>
      <c r="AG556" s="142" t="str">
        <f t="shared" si="157"/>
        <v>{9,1,112,137}</v>
      </c>
      <c r="AH556" s="142" t="str">
        <f t="shared" si="158"/>
        <v>{2,1,385000,385000}</v>
      </c>
      <c r="AI556" s="142" t="str">
        <f t="shared" si="159"/>
        <v>{5103001,1,40000,40000}</v>
      </c>
      <c r="AJ556" s="142" t="str">
        <f t="shared" si="160"/>
        <v>{50002,1,6000,6000}</v>
      </c>
      <c r="AK556" s="142" t="str">
        <f t="shared" si="161"/>
        <v>{5203001,1,5000,5000}</v>
      </c>
      <c r="AL556" s="142" t="str">
        <f t="shared" si="162"/>
        <v>{21360,1,1000,1000}</v>
      </c>
      <c r="AM556" s="142" t="str">
        <f t="shared" si="163"/>
        <v>{5301000,1,900,1000}</v>
      </c>
      <c r="AO556" s="142" t="str">
        <f t="shared" si="164"/>
        <v>{5303001,1,1800,2200}</v>
      </c>
      <c r="AP556" s="142" t="s">
        <v>210</v>
      </c>
      <c r="AQ556" s="142"/>
    </row>
    <row r="557" spans="1:43">
      <c r="A557" s="143" t="str">
        <f t="shared" si="165"/>
        <v>[{2,1,386000,386000},{5103001,1,20000,20000}]</v>
      </c>
      <c r="B557" s="98">
        <f t="shared" si="166"/>
        <v>247</v>
      </c>
      <c r="C557" s="144">
        <v>386</v>
      </c>
      <c r="D557" s="145">
        <f t="shared" si="167"/>
        <v>386</v>
      </c>
      <c r="E557" s="145">
        <v>40</v>
      </c>
      <c r="F557" s="145">
        <v>20</v>
      </c>
      <c r="G557" s="146">
        <v>1</v>
      </c>
      <c r="H557" s="146">
        <v>6</v>
      </c>
      <c r="I557" s="146">
        <v>10</v>
      </c>
      <c r="J557" s="146">
        <v>5</v>
      </c>
      <c r="K557" s="146">
        <v>1</v>
      </c>
      <c r="L557" s="146">
        <v>1.5</v>
      </c>
      <c r="M557" s="145">
        <v>0.125</v>
      </c>
      <c r="N557" s="145">
        <v>0.5</v>
      </c>
      <c r="O557" s="145">
        <v>2</v>
      </c>
      <c r="P557" s="145">
        <v>0.013</v>
      </c>
      <c r="Q557" s="145">
        <f t="shared" si="151"/>
        <v>77.44</v>
      </c>
      <c r="R557" s="145">
        <f t="shared" si="152"/>
        <v>133.3</v>
      </c>
      <c r="S557" s="126">
        <f t="shared" si="168"/>
        <v>193</v>
      </c>
      <c r="T557" s="147">
        <f t="shared" si="153"/>
        <v>6.665</v>
      </c>
      <c r="U557" s="142" t="str">
        <f t="shared" si="169"/>
        <v>[{2,1,386000,386000},{5103001,1,20000,20000},{1,2,750,750},{50002,1,9000,11000},{30,1,11,14},{9,1,112,137}]</v>
      </c>
      <c r="V557" s="142" t="str">
        <f t="shared" si="170"/>
        <v>[{2,1,386000,386000},{5103001,1,40000,40000},{50002,1,6000,6000},{5203001,1,5000,5000},{21360,1,1000,1000},{5301000,1,900,1000},{5303001,1,1800,2200},{11,1,400,600}]</v>
      </c>
      <c r="X557" s="142" t="str">
        <f t="shared" si="154"/>
        <v>{2,1,386000,386000}</v>
      </c>
      <c r="Y557" s="142"/>
      <c r="Z557" s="142" t="str">
        <f t="shared" si="155"/>
        <v>{5103001,1,20000,20000}</v>
      </c>
      <c r="AA557" s="142" t="str">
        <f t="shared" si="172"/>
        <v>{1,2,750,750}</v>
      </c>
      <c r="AD557" s="142" t="str">
        <f t="shared" si="156"/>
        <v>{50002,1,9000,11000}</v>
      </c>
      <c r="AE557" s="142" t="str">
        <f t="shared" si="171"/>
        <v>{30,1,11,14}</v>
      </c>
      <c r="AG557" s="142" t="str">
        <f t="shared" si="157"/>
        <v>{9,1,112,137}</v>
      </c>
      <c r="AH557" s="142" t="str">
        <f t="shared" si="158"/>
        <v>{2,1,386000,386000}</v>
      </c>
      <c r="AI557" s="142" t="str">
        <f t="shared" si="159"/>
        <v>{5103001,1,40000,40000}</v>
      </c>
      <c r="AJ557" s="142" t="str">
        <f t="shared" si="160"/>
        <v>{50002,1,6000,6000}</v>
      </c>
      <c r="AK557" s="142" t="str">
        <f t="shared" si="161"/>
        <v>{5203001,1,5000,5000}</v>
      </c>
      <c r="AL557" s="142" t="str">
        <f t="shared" si="162"/>
        <v>{21360,1,1000,1000}</v>
      </c>
      <c r="AM557" s="142" t="str">
        <f t="shared" si="163"/>
        <v>{5301000,1,900,1000}</v>
      </c>
      <c r="AO557" s="142" t="str">
        <f t="shared" si="164"/>
        <v>{5303001,1,1800,2200}</v>
      </c>
      <c r="AP557" s="142" t="s">
        <v>210</v>
      </c>
      <c r="AQ557" s="142"/>
    </row>
    <row r="558" spans="1:43">
      <c r="A558" s="143" t="str">
        <f t="shared" si="165"/>
        <v>[{2,1,387000,387000},{5103001,1,20000,20000}]</v>
      </c>
      <c r="B558" s="98">
        <f t="shared" si="166"/>
        <v>248</v>
      </c>
      <c r="C558" s="144">
        <v>387</v>
      </c>
      <c r="D558" s="145">
        <f t="shared" si="167"/>
        <v>387</v>
      </c>
      <c r="E558" s="145">
        <v>40</v>
      </c>
      <c r="F558" s="145">
        <v>20</v>
      </c>
      <c r="G558" s="146">
        <v>1</v>
      </c>
      <c r="H558" s="146">
        <v>6</v>
      </c>
      <c r="I558" s="146">
        <v>10</v>
      </c>
      <c r="J558" s="146">
        <v>5</v>
      </c>
      <c r="K558" s="146">
        <v>1</v>
      </c>
      <c r="L558" s="146">
        <v>1.5</v>
      </c>
      <c r="M558" s="145">
        <v>0.125</v>
      </c>
      <c r="N558" s="145">
        <v>0.5</v>
      </c>
      <c r="O558" s="145">
        <v>2</v>
      </c>
      <c r="P558" s="145">
        <v>0.013</v>
      </c>
      <c r="Q558" s="145">
        <f t="shared" si="151"/>
        <v>77.49</v>
      </c>
      <c r="R558" s="145">
        <f t="shared" si="152"/>
        <v>133.35</v>
      </c>
      <c r="S558" s="126">
        <f t="shared" si="168"/>
        <v>193.5</v>
      </c>
      <c r="T558" s="147">
        <f t="shared" si="153"/>
        <v>6.6675</v>
      </c>
      <c r="U558" s="142" t="str">
        <f t="shared" si="169"/>
        <v>[{2,1,387000,387000},{5103001,1,20000,20000},{1,2,750,750},{50002,1,9000,11000},{30,1,11,14},{9,1,112,137}]</v>
      </c>
      <c r="V558" s="142" t="str">
        <f t="shared" si="170"/>
        <v>[{2,1,387000,387000},{5103001,1,40000,40000},{50002,1,6000,6000},{5203001,1,5000,5000},{21360,1,1000,1000},{5301000,1,900,1000},{5303001,1,1800,2200},{11,1,400,600}]</v>
      </c>
      <c r="X558" s="142" t="str">
        <f t="shared" si="154"/>
        <v>{2,1,387000,387000}</v>
      </c>
      <c r="Y558" s="142"/>
      <c r="Z558" s="142" t="str">
        <f t="shared" si="155"/>
        <v>{5103001,1,20000,20000}</v>
      </c>
      <c r="AA558" s="142" t="str">
        <f t="shared" si="172"/>
        <v>{1,2,750,750}</v>
      </c>
      <c r="AD558" s="142" t="str">
        <f t="shared" si="156"/>
        <v>{50002,1,9000,11000}</v>
      </c>
      <c r="AE558" s="142" t="str">
        <f t="shared" si="171"/>
        <v>{30,1,11,14}</v>
      </c>
      <c r="AG558" s="142" t="str">
        <f t="shared" si="157"/>
        <v>{9,1,112,137}</v>
      </c>
      <c r="AH558" s="142" t="str">
        <f t="shared" si="158"/>
        <v>{2,1,387000,387000}</v>
      </c>
      <c r="AI558" s="142" t="str">
        <f t="shared" si="159"/>
        <v>{5103001,1,40000,40000}</v>
      </c>
      <c r="AJ558" s="142" t="str">
        <f t="shared" si="160"/>
        <v>{50002,1,6000,6000}</v>
      </c>
      <c r="AK558" s="142" t="str">
        <f t="shared" si="161"/>
        <v>{5203001,1,5000,5000}</v>
      </c>
      <c r="AL558" s="142" t="str">
        <f t="shared" si="162"/>
        <v>{21360,1,1000,1000}</v>
      </c>
      <c r="AM558" s="142" t="str">
        <f t="shared" si="163"/>
        <v>{5301000,1,900,1000}</v>
      </c>
      <c r="AO558" s="142" t="str">
        <f t="shared" si="164"/>
        <v>{5303001,1,1800,2200}</v>
      </c>
      <c r="AP558" s="142" t="s">
        <v>210</v>
      </c>
      <c r="AQ558" s="142"/>
    </row>
    <row r="559" spans="1:43">
      <c r="A559" s="143" t="str">
        <f t="shared" si="165"/>
        <v>[{2,1,388000,388000},{5103001,1,20000,20000}]</v>
      </c>
      <c r="B559" s="98">
        <f t="shared" si="166"/>
        <v>249</v>
      </c>
      <c r="C559" s="144">
        <v>388</v>
      </c>
      <c r="D559" s="145">
        <f t="shared" si="167"/>
        <v>388</v>
      </c>
      <c r="E559" s="145">
        <v>40</v>
      </c>
      <c r="F559" s="145">
        <v>20</v>
      </c>
      <c r="G559" s="146">
        <v>1</v>
      </c>
      <c r="H559" s="146">
        <v>6</v>
      </c>
      <c r="I559" s="146">
        <v>10</v>
      </c>
      <c r="J559" s="146">
        <v>5</v>
      </c>
      <c r="K559" s="146">
        <v>1</v>
      </c>
      <c r="L559" s="146">
        <v>1.5</v>
      </c>
      <c r="M559" s="145">
        <v>0.125</v>
      </c>
      <c r="N559" s="145">
        <v>0.5</v>
      </c>
      <c r="O559" s="145">
        <v>2</v>
      </c>
      <c r="P559" s="145">
        <v>0.013</v>
      </c>
      <c r="Q559" s="145">
        <f t="shared" si="151"/>
        <v>77.54</v>
      </c>
      <c r="R559" s="145">
        <f t="shared" si="152"/>
        <v>133.4</v>
      </c>
      <c r="S559" s="126">
        <f t="shared" si="168"/>
        <v>194</v>
      </c>
      <c r="T559" s="147">
        <f t="shared" si="153"/>
        <v>6.67</v>
      </c>
      <c r="U559" s="142" t="str">
        <f t="shared" si="169"/>
        <v>[{2,1,388000,388000},{5103001,1,20000,20000},{1,2,750,750},{50002,1,9000,11000},{30,1,11,14},{9,1,112,137}]</v>
      </c>
      <c r="V559" s="142" t="str">
        <f t="shared" si="170"/>
        <v>[{2,1,388000,388000},{5103001,1,40000,40000},{50002,1,6000,6000},{5203001,1,5000,5000},{21360,1,1000,1000},{5301000,1,900,1000},{5303001,1,1800,2200},{11,1,400,600}]</v>
      </c>
      <c r="X559" s="142" t="str">
        <f t="shared" si="154"/>
        <v>{2,1,388000,388000}</v>
      </c>
      <c r="Y559" s="142"/>
      <c r="Z559" s="142" t="str">
        <f t="shared" si="155"/>
        <v>{5103001,1,20000,20000}</v>
      </c>
      <c r="AA559" s="142" t="str">
        <f t="shared" si="172"/>
        <v>{1,2,750,750}</v>
      </c>
      <c r="AD559" s="142" t="str">
        <f t="shared" si="156"/>
        <v>{50002,1,9000,11000}</v>
      </c>
      <c r="AE559" s="142" t="str">
        <f t="shared" si="171"/>
        <v>{30,1,11,14}</v>
      </c>
      <c r="AG559" s="142" t="str">
        <f t="shared" si="157"/>
        <v>{9,1,112,137}</v>
      </c>
      <c r="AH559" s="142" t="str">
        <f t="shared" si="158"/>
        <v>{2,1,388000,388000}</v>
      </c>
      <c r="AI559" s="142" t="str">
        <f t="shared" si="159"/>
        <v>{5103001,1,40000,40000}</v>
      </c>
      <c r="AJ559" s="142" t="str">
        <f t="shared" si="160"/>
        <v>{50002,1,6000,6000}</v>
      </c>
      <c r="AK559" s="142" t="str">
        <f t="shared" si="161"/>
        <v>{5203001,1,5000,5000}</v>
      </c>
      <c r="AL559" s="142" t="str">
        <f t="shared" si="162"/>
        <v>{21360,1,1000,1000}</v>
      </c>
      <c r="AM559" s="142" t="str">
        <f t="shared" si="163"/>
        <v>{5301000,1,900,1000}</v>
      </c>
      <c r="AO559" s="142" t="str">
        <f t="shared" si="164"/>
        <v>{5303001,1,1800,2200}</v>
      </c>
      <c r="AP559" s="142" t="s">
        <v>210</v>
      </c>
      <c r="AQ559" s="142"/>
    </row>
    <row r="560" spans="1:43">
      <c r="A560" s="143" t="str">
        <f t="shared" si="165"/>
        <v>[{2,1,389000,389000},{5103001,1,20000,20000}]</v>
      </c>
      <c r="B560" s="98">
        <f t="shared" si="166"/>
        <v>250</v>
      </c>
      <c r="C560" s="144">
        <v>389</v>
      </c>
      <c r="D560" s="145">
        <f t="shared" si="167"/>
        <v>389</v>
      </c>
      <c r="E560" s="145">
        <v>40</v>
      </c>
      <c r="F560" s="145">
        <v>20</v>
      </c>
      <c r="G560" s="146">
        <v>1</v>
      </c>
      <c r="H560" s="146">
        <v>6</v>
      </c>
      <c r="I560" s="146">
        <v>10</v>
      </c>
      <c r="J560" s="146">
        <v>5</v>
      </c>
      <c r="K560" s="146">
        <v>1</v>
      </c>
      <c r="L560" s="146">
        <v>1.5</v>
      </c>
      <c r="M560" s="145">
        <v>0.125</v>
      </c>
      <c r="N560" s="145">
        <v>0.5</v>
      </c>
      <c r="O560" s="145">
        <v>2</v>
      </c>
      <c r="P560" s="145">
        <v>0.013</v>
      </c>
      <c r="Q560" s="145">
        <f t="shared" si="151"/>
        <v>77.59</v>
      </c>
      <c r="R560" s="145">
        <f t="shared" si="152"/>
        <v>133.45</v>
      </c>
      <c r="S560" s="126">
        <f t="shared" si="168"/>
        <v>194.5</v>
      </c>
      <c r="T560" s="147">
        <f t="shared" si="153"/>
        <v>6.6725</v>
      </c>
      <c r="U560" s="142" t="str">
        <f t="shared" si="169"/>
        <v>[{2,1,389000,389000},{5103001,1,20000,20000},{1,2,750,750},{50002,1,9000,11000},{30,1,11,14},{9,1,112,137}]</v>
      </c>
      <c r="V560" s="142" t="str">
        <f t="shared" si="170"/>
        <v>[{2,1,389000,389000},{5103001,1,40000,40000},{50002,1,6000,6000},{5203001,1,5000,5000},{21360,1,1000,1000},{5301000,1,900,1000},{5303001,1,1800,2200},{11,1,400,600}]</v>
      </c>
      <c r="X560" s="142" t="str">
        <f t="shared" si="154"/>
        <v>{2,1,389000,389000}</v>
      </c>
      <c r="Y560" s="142"/>
      <c r="Z560" s="142" t="str">
        <f t="shared" si="155"/>
        <v>{5103001,1,20000,20000}</v>
      </c>
      <c r="AA560" s="142" t="str">
        <f t="shared" si="172"/>
        <v>{1,2,750,750}</v>
      </c>
      <c r="AD560" s="142" t="str">
        <f t="shared" si="156"/>
        <v>{50002,1,9000,11000}</v>
      </c>
      <c r="AE560" s="142" t="str">
        <f t="shared" si="171"/>
        <v>{30,1,11,14}</v>
      </c>
      <c r="AG560" s="142" t="str">
        <f t="shared" si="157"/>
        <v>{9,1,112,137}</v>
      </c>
      <c r="AH560" s="142" t="str">
        <f t="shared" si="158"/>
        <v>{2,1,389000,389000}</v>
      </c>
      <c r="AI560" s="142" t="str">
        <f t="shared" si="159"/>
        <v>{5103001,1,40000,40000}</v>
      </c>
      <c r="AJ560" s="142" t="str">
        <f t="shared" si="160"/>
        <v>{50002,1,6000,6000}</v>
      </c>
      <c r="AK560" s="142" t="str">
        <f t="shared" si="161"/>
        <v>{5203001,1,5000,5000}</v>
      </c>
      <c r="AL560" s="142" t="str">
        <f t="shared" si="162"/>
        <v>{21360,1,1000,1000}</v>
      </c>
      <c r="AM560" s="142" t="str">
        <f t="shared" si="163"/>
        <v>{5301000,1,900,1000}</v>
      </c>
      <c r="AO560" s="142" t="str">
        <f t="shared" si="164"/>
        <v>{5303001,1,1800,2200}</v>
      </c>
      <c r="AP560" s="142" t="s">
        <v>210</v>
      </c>
      <c r="AQ560" s="142"/>
    </row>
    <row r="561" spans="1:43">
      <c r="A561" s="143" t="str">
        <f t="shared" si="165"/>
        <v>[{2,1,390000,390000},{5103001,1,20000,20000}]</v>
      </c>
      <c r="B561" s="98">
        <f t="shared" si="166"/>
        <v>251</v>
      </c>
      <c r="C561" s="144">
        <v>390</v>
      </c>
      <c r="D561" s="145">
        <f t="shared" si="167"/>
        <v>390</v>
      </c>
      <c r="E561" s="145">
        <v>40</v>
      </c>
      <c r="F561" s="145">
        <v>20</v>
      </c>
      <c r="G561" s="146">
        <v>1</v>
      </c>
      <c r="H561" s="146">
        <v>6</v>
      </c>
      <c r="I561" s="146">
        <v>10</v>
      </c>
      <c r="J561" s="146">
        <v>5</v>
      </c>
      <c r="K561" s="146">
        <v>1</v>
      </c>
      <c r="L561" s="146">
        <v>1.5</v>
      </c>
      <c r="M561" s="145">
        <v>0.125</v>
      </c>
      <c r="N561" s="145">
        <v>0.5</v>
      </c>
      <c r="O561" s="145">
        <v>2</v>
      </c>
      <c r="P561" s="145">
        <v>0.013</v>
      </c>
      <c r="Q561" s="145">
        <f t="shared" si="151"/>
        <v>77.64</v>
      </c>
      <c r="R561" s="145">
        <f t="shared" si="152"/>
        <v>133.5</v>
      </c>
      <c r="S561" s="126">
        <f t="shared" si="168"/>
        <v>195</v>
      </c>
      <c r="T561" s="147">
        <f t="shared" si="153"/>
        <v>6.675</v>
      </c>
      <c r="U561" s="142" t="str">
        <f t="shared" si="169"/>
        <v>[{2,1,390000,390000},{5103001,1,20000,20000},{1,2,750,750},{50002,1,9000,11000},{30,1,11,14},{9,1,112,137}]</v>
      </c>
      <c r="V561" s="142" t="str">
        <f t="shared" si="170"/>
        <v>[{2,1,390000,390000},{5103001,1,40000,40000},{50002,1,6000,6000},{5203001,1,5000,5000},{21360,1,1000,1000},{5301000,1,900,1000},{5303001,1,1800,2200},{11,1,400,600}]</v>
      </c>
      <c r="X561" s="142" t="str">
        <f t="shared" si="154"/>
        <v>{2,1,390000,390000}</v>
      </c>
      <c r="Y561" s="142"/>
      <c r="Z561" s="142" t="str">
        <f t="shared" si="155"/>
        <v>{5103001,1,20000,20000}</v>
      </c>
      <c r="AA561" s="142" t="str">
        <f t="shared" si="172"/>
        <v>{1,2,750,750}</v>
      </c>
      <c r="AD561" s="142" t="str">
        <f t="shared" si="156"/>
        <v>{50002,1,9000,11000}</v>
      </c>
      <c r="AE561" s="142" t="str">
        <f t="shared" si="171"/>
        <v>{30,1,11,14}</v>
      </c>
      <c r="AG561" s="142" t="str">
        <f t="shared" si="157"/>
        <v>{9,1,112,137}</v>
      </c>
      <c r="AH561" s="142" t="str">
        <f t="shared" si="158"/>
        <v>{2,1,390000,390000}</v>
      </c>
      <c r="AI561" s="142" t="str">
        <f t="shared" si="159"/>
        <v>{5103001,1,40000,40000}</v>
      </c>
      <c r="AJ561" s="142" t="str">
        <f t="shared" si="160"/>
        <v>{50002,1,6000,6000}</v>
      </c>
      <c r="AK561" s="142" t="str">
        <f t="shared" si="161"/>
        <v>{5203001,1,5000,5000}</v>
      </c>
      <c r="AL561" s="142" t="str">
        <f t="shared" si="162"/>
        <v>{21360,1,1000,1000}</v>
      </c>
      <c r="AM561" s="142" t="str">
        <f t="shared" si="163"/>
        <v>{5301000,1,900,1000}</v>
      </c>
      <c r="AO561" s="142" t="str">
        <f t="shared" si="164"/>
        <v>{5303001,1,1800,2200}</v>
      </c>
      <c r="AP561" s="142" t="s">
        <v>210</v>
      </c>
      <c r="AQ561" s="142"/>
    </row>
    <row r="562" spans="1:43">
      <c r="A562" s="143" t="str">
        <f t="shared" si="165"/>
        <v>[{2,1,391000,391000},{5103001,1,20000,20000}]</v>
      </c>
      <c r="B562" s="98">
        <f t="shared" si="166"/>
        <v>252</v>
      </c>
      <c r="C562" s="144">
        <v>391</v>
      </c>
      <c r="D562" s="145">
        <f t="shared" si="167"/>
        <v>391</v>
      </c>
      <c r="E562" s="145">
        <v>40</v>
      </c>
      <c r="F562" s="145">
        <v>20</v>
      </c>
      <c r="G562" s="146">
        <v>1</v>
      </c>
      <c r="H562" s="146">
        <v>6</v>
      </c>
      <c r="I562" s="146">
        <v>10</v>
      </c>
      <c r="J562" s="146">
        <v>5</v>
      </c>
      <c r="K562" s="146">
        <v>1</v>
      </c>
      <c r="L562" s="146">
        <v>1.5</v>
      </c>
      <c r="M562" s="145">
        <v>0.125</v>
      </c>
      <c r="N562" s="145">
        <v>0.5</v>
      </c>
      <c r="O562" s="145">
        <v>2</v>
      </c>
      <c r="P562" s="145">
        <v>0.013</v>
      </c>
      <c r="Q562" s="145">
        <f t="shared" si="151"/>
        <v>77.69</v>
      </c>
      <c r="R562" s="145">
        <f t="shared" si="152"/>
        <v>133.55</v>
      </c>
      <c r="S562" s="126">
        <f t="shared" si="168"/>
        <v>195.5</v>
      </c>
      <c r="T562" s="147">
        <f t="shared" si="153"/>
        <v>6.6775</v>
      </c>
      <c r="U562" s="142" t="str">
        <f t="shared" si="169"/>
        <v>[{2,1,391000,391000},{5103001,1,20000,20000},{1,2,750,750},{50002,1,9000,11000},{30,1,11,14},{9,1,112,137}]</v>
      </c>
      <c r="V562" s="142" t="str">
        <f t="shared" si="170"/>
        <v>[{2,1,391000,391000},{5103001,1,40000,40000},{50002,1,6000,6000},{5203001,1,5000,5000},{21360,1,1000,1000},{5301000,1,900,1000},{5303001,1,1800,2200},{11,1,400,600}]</v>
      </c>
      <c r="X562" s="142" t="str">
        <f t="shared" si="154"/>
        <v>{2,1,391000,391000}</v>
      </c>
      <c r="Y562" s="142"/>
      <c r="Z562" s="142" t="str">
        <f t="shared" si="155"/>
        <v>{5103001,1,20000,20000}</v>
      </c>
      <c r="AA562" s="142" t="str">
        <f t="shared" si="172"/>
        <v>{1,2,750,750}</v>
      </c>
      <c r="AD562" s="142" t="str">
        <f t="shared" si="156"/>
        <v>{50002,1,9000,11000}</v>
      </c>
      <c r="AE562" s="142" t="str">
        <f t="shared" si="171"/>
        <v>{30,1,11,14}</v>
      </c>
      <c r="AG562" s="142" t="str">
        <f t="shared" si="157"/>
        <v>{9,1,112,137}</v>
      </c>
      <c r="AH562" s="142" t="str">
        <f t="shared" si="158"/>
        <v>{2,1,391000,391000}</v>
      </c>
      <c r="AI562" s="142" t="str">
        <f t="shared" si="159"/>
        <v>{5103001,1,40000,40000}</v>
      </c>
      <c r="AJ562" s="142" t="str">
        <f t="shared" si="160"/>
        <v>{50002,1,6000,6000}</v>
      </c>
      <c r="AK562" s="142" t="str">
        <f t="shared" si="161"/>
        <v>{5203001,1,5000,5000}</v>
      </c>
      <c r="AL562" s="142" t="str">
        <f t="shared" si="162"/>
        <v>{21360,1,1000,1000}</v>
      </c>
      <c r="AM562" s="142" t="str">
        <f t="shared" si="163"/>
        <v>{5301000,1,900,1000}</v>
      </c>
      <c r="AO562" s="142" t="str">
        <f t="shared" si="164"/>
        <v>{5303001,1,1800,2200}</v>
      </c>
      <c r="AP562" s="142" t="s">
        <v>210</v>
      </c>
      <c r="AQ562" s="142"/>
    </row>
    <row r="563" spans="1:43">
      <c r="A563" s="143" t="str">
        <f t="shared" si="165"/>
        <v>[{2,1,392000,392000},{5103001,1,20000,20000}]</v>
      </c>
      <c r="B563" s="98">
        <f t="shared" si="166"/>
        <v>253</v>
      </c>
      <c r="C563" s="144">
        <v>392</v>
      </c>
      <c r="D563" s="145">
        <f t="shared" si="167"/>
        <v>392</v>
      </c>
      <c r="E563" s="145">
        <v>40</v>
      </c>
      <c r="F563" s="145">
        <v>20</v>
      </c>
      <c r="G563" s="146">
        <v>1</v>
      </c>
      <c r="H563" s="146">
        <v>6</v>
      </c>
      <c r="I563" s="146">
        <v>10</v>
      </c>
      <c r="J563" s="146">
        <v>5</v>
      </c>
      <c r="K563" s="146">
        <v>1</v>
      </c>
      <c r="L563" s="146">
        <v>1.5</v>
      </c>
      <c r="M563" s="145">
        <v>0.125</v>
      </c>
      <c r="N563" s="145">
        <v>0.5</v>
      </c>
      <c r="O563" s="145">
        <v>2</v>
      </c>
      <c r="P563" s="145">
        <v>0.013</v>
      </c>
      <c r="Q563" s="145">
        <f t="shared" si="151"/>
        <v>77.74</v>
      </c>
      <c r="R563" s="145">
        <f t="shared" si="152"/>
        <v>133.6</v>
      </c>
      <c r="S563" s="126">
        <f t="shared" si="168"/>
        <v>196</v>
      </c>
      <c r="T563" s="147">
        <f t="shared" si="153"/>
        <v>6.68</v>
      </c>
      <c r="U563" s="142" t="str">
        <f t="shared" si="169"/>
        <v>[{2,1,392000,392000},{5103001,1,20000,20000},{1,2,750,750},{50002,1,9000,11000},{30,1,11,14},{9,1,112,137}]</v>
      </c>
      <c r="V563" s="142" t="str">
        <f t="shared" si="170"/>
        <v>[{2,1,392000,392000},{5103001,1,40000,40000},{50002,1,6000,6000},{5203001,1,5000,5000},{21360,1,1000,1000},{5301000,1,900,1000},{5303001,1,1800,2200},{11,1,400,600}]</v>
      </c>
      <c r="X563" s="142" t="str">
        <f t="shared" si="154"/>
        <v>{2,1,392000,392000}</v>
      </c>
      <c r="Y563" s="142"/>
      <c r="Z563" s="142" t="str">
        <f t="shared" si="155"/>
        <v>{5103001,1,20000,20000}</v>
      </c>
      <c r="AA563" s="142" t="str">
        <f t="shared" si="172"/>
        <v>{1,2,750,750}</v>
      </c>
      <c r="AD563" s="142" t="str">
        <f t="shared" si="156"/>
        <v>{50002,1,9000,11000}</v>
      </c>
      <c r="AE563" s="142" t="str">
        <f t="shared" si="171"/>
        <v>{30,1,11,14}</v>
      </c>
      <c r="AG563" s="142" t="str">
        <f t="shared" si="157"/>
        <v>{9,1,112,137}</v>
      </c>
      <c r="AH563" s="142" t="str">
        <f t="shared" si="158"/>
        <v>{2,1,392000,392000}</v>
      </c>
      <c r="AI563" s="142" t="str">
        <f t="shared" si="159"/>
        <v>{5103001,1,40000,40000}</v>
      </c>
      <c r="AJ563" s="142" t="str">
        <f t="shared" si="160"/>
        <v>{50002,1,6000,6000}</v>
      </c>
      <c r="AK563" s="142" t="str">
        <f t="shared" si="161"/>
        <v>{5203001,1,5000,5000}</v>
      </c>
      <c r="AL563" s="142" t="str">
        <f t="shared" si="162"/>
        <v>{21360,1,1000,1000}</v>
      </c>
      <c r="AM563" s="142" t="str">
        <f t="shared" si="163"/>
        <v>{5301000,1,900,1000}</v>
      </c>
      <c r="AO563" s="142" t="str">
        <f t="shared" si="164"/>
        <v>{5303001,1,1800,2200}</v>
      </c>
      <c r="AP563" s="142" t="s">
        <v>210</v>
      </c>
      <c r="AQ563" s="142"/>
    </row>
    <row r="564" spans="1:43">
      <c r="A564" s="143" t="str">
        <f t="shared" si="165"/>
        <v>[{2,1,393000,393000},{5103001,1,20000,20000}]</v>
      </c>
      <c r="B564" s="98">
        <f t="shared" si="166"/>
        <v>254</v>
      </c>
      <c r="C564" s="144">
        <v>393</v>
      </c>
      <c r="D564" s="145">
        <f t="shared" si="167"/>
        <v>393</v>
      </c>
      <c r="E564" s="145">
        <v>40</v>
      </c>
      <c r="F564" s="145">
        <v>20</v>
      </c>
      <c r="G564" s="146">
        <v>1</v>
      </c>
      <c r="H564" s="146">
        <v>6</v>
      </c>
      <c r="I564" s="146">
        <v>10</v>
      </c>
      <c r="J564" s="146">
        <v>5</v>
      </c>
      <c r="K564" s="146">
        <v>1</v>
      </c>
      <c r="L564" s="146">
        <v>1.5</v>
      </c>
      <c r="M564" s="145">
        <v>0.125</v>
      </c>
      <c r="N564" s="145">
        <v>0.5</v>
      </c>
      <c r="O564" s="145">
        <v>2</v>
      </c>
      <c r="P564" s="145">
        <v>0.013</v>
      </c>
      <c r="Q564" s="145">
        <f t="shared" si="151"/>
        <v>77.79</v>
      </c>
      <c r="R564" s="145">
        <f t="shared" si="152"/>
        <v>133.65</v>
      </c>
      <c r="S564" s="126">
        <f t="shared" si="168"/>
        <v>196.5</v>
      </c>
      <c r="T564" s="147">
        <f t="shared" si="153"/>
        <v>6.6825</v>
      </c>
      <c r="U564" s="142" t="str">
        <f t="shared" si="169"/>
        <v>[{2,1,393000,393000},{5103001,1,20000,20000},{1,2,750,750},{50002,1,9000,11000},{30,1,11,14},{9,1,112,137}]</v>
      </c>
      <c r="V564" s="142" t="str">
        <f t="shared" si="170"/>
        <v>[{2,1,393000,393000},{5103001,1,40000,40000},{50002,1,6000,6000},{5203001,1,5000,5000},{21360,1,1000,1000},{5301000,1,900,1000},{5303001,1,1800,2200},{11,1,400,600}]</v>
      </c>
      <c r="X564" s="142" t="str">
        <f t="shared" si="154"/>
        <v>{2,1,393000,393000}</v>
      </c>
      <c r="Y564" s="142"/>
      <c r="Z564" s="142" t="str">
        <f t="shared" si="155"/>
        <v>{5103001,1,20000,20000}</v>
      </c>
      <c r="AA564" s="142" t="str">
        <f t="shared" si="172"/>
        <v>{1,2,750,750}</v>
      </c>
      <c r="AD564" s="142" t="str">
        <f t="shared" si="156"/>
        <v>{50002,1,9000,11000}</v>
      </c>
      <c r="AE564" s="142" t="str">
        <f t="shared" si="171"/>
        <v>{30,1,11,14}</v>
      </c>
      <c r="AG564" s="142" t="str">
        <f t="shared" si="157"/>
        <v>{9,1,112,137}</v>
      </c>
      <c r="AH564" s="142" t="str">
        <f t="shared" si="158"/>
        <v>{2,1,393000,393000}</v>
      </c>
      <c r="AI564" s="142" t="str">
        <f t="shared" si="159"/>
        <v>{5103001,1,40000,40000}</v>
      </c>
      <c r="AJ564" s="142" t="str">
        <f t="shared" si="160"/>
        <v>{50002,1,6000,6000}</v>
      </c>
      <c r="AK564" s="142" t="str">
        <f t="shared" si="161"/>
        <v>{5203001,1,5000,5000}</v>
      </c>
      <c r="AL564" s="142" t="str">
        <f t="shared" si="162"/>
        <v>{21360,1,1000,1000}</v>
      </c>
      <c r="AM564" s="142" t="str">
        <f t="shared" si="163"/>
        <v>{5301000,1,900,1000}</v>
      </c>
      <c r="AO564" s="142" t="str">
        <f t="shared" si="164"/>
        <v>{5303001,1,1800,2200}</v>
      </c>
      <c r="AP564" s="142" t="s">
        <v>210</v>
      </c>
      <c r="AQ564" s="142"/>
    </row>
    <row r="565" spans="1:43">
      <c r="A565" s="143" t="str">
        <f t="shared" si="165"/>
        <v>[{2,1,394000,394000},{5103001,1,20000,20000}]</v>
      </c>
      <c r="B565" s="98">
        <f t="shared" si="166"/>
        <v>255</v>
      </c>
      <c r="C565" s="144">
        <v>394</v>
      </c>
      <c r="D565" s="145">
        <f t="shared" si="167"/>
        <v>394</v>
      </c>
      <c r="E565" s="145">
        <v>40</v>
      </c>
      <c r="F565" s="145">
        <v>20</v>
      </c>
      <c r="G565" s="146">
        <v>1</v>
      </c>
      <c r="H565" s="146">
        <v>6</v>
      </c>
      <c r="I565" s="146">
        <v>10</v>
      </c>
      <c r="J565" s="146">
        <v>5</v>
      </c>
      <c r="K565" s="146">
        <v>1</v>
      </c>
      <c r="L565" s="146">
        <v>1.5</v>
      </c>
      <c r="M565" s="145">
        <v>0.125</v>
      </c>
      <c r="N565" s="145">
        <v>0.5</v>
      </c>
      <c r="O565" s="145">
        <v>2</v>
      </c>
      <c r="P565" s="145">
        <v>0.013</v>
      </c>
      <c r="Q565" s="145">
        <f t="shared" si="151"/>
        <v>77.84</v>
      </c>
      <c r="R565" s="145">
        <f t="shared" si="152"/>
        <v>133.7</v>
      </c>
      <c r="S565" s="126">
        <f t="shared" si="168"/>
        <v>197</v>
      </c>
      <c r="T565" s="147">
        <f t="shared" si="153"/>
        <v>6.685</v>
      </c>
      <c r="U565" s="142" t="str">
        <f t="shared" si="169"/>
        <v>[{2,1,394000,394000},{5103001,1,20000,20000},{1,2,750,750},{50002,1,9000,11000},{30,1,11,14},{9,1,112,137}]</v>
      </c>
      <c r="V565" s="142" t="str">
        <f t="shared" si="170"/>
        <v>[{2,1,394000,394000},{5103001,1,40000,40000},{50002,1,6000,6000},{5203001,1,5000,5000},{21360,1,1000,1000},{5301000,1,900,1000},{5303001,1,1800,2200},{11,1,400,600}]</v>
      </c>
      <c r="X565" s="142" t="str">
        <f t="shared" si="154"/>
        <v>{2,1,394000,394000}</v>
      </c>
      <c r="Y565" s="142"/>
      <c r="Z565" s="142" t="str">
        <f t="shared" si="155"/>
        <v>{5103001,1,20000,20000}</v>
      </c>
      <c r="AA565" s="142" t="str">
        <f t="shared" si="172"/>
        <v>{1,2,750,750}</v>
      </c>
      <c r="AD565" s="142" t="str">
        <f t="shared" si="156"/>
        <v>{50002,1,9000,11000}</v>
      </c>
      <c r="AE565" s="142" t="str">
        <f t="shared" si="171"/>
        <v>{30,1,11,14}</v>
      </c>
      <c r="AG565" s="142" t="str">
        <f t="shared" si="157"/>
        <v>{9,1,112,137}</v>
      </c>
      <c r="AH565" s="142" t="str">
        <f t="shared" si="158"/>
        <v>{2,1,394000,394000}</v>
      </c>
      <c r="AI565" s="142" t="str">
        <f t="shared" si="159"/>
        <v>{5103001,1,40000,40000}</v>
      </c>
      <c r="AJ565" s="142" t="str">
        <f t="shared" si="160"/>
        <v>{50002,1,6000,6000}</v>
      </c>
      <c r="AK565" s="142" t="str">
        <f t="shared" si="161"/>
        <v>{5203001,1,5000,5000}</v>
      </c>
      <c r="AL565" s="142" t="str">
        <f t="shared" si="162"/>
        <v>{21360,1,1000,1000}</v>
      </c>
      <c r="AM565" s="142" t="str">
        <f t="shared" si="163"/>
        <v>{5301000,1,900,1000}</v>
      </c>
      <c r="AO565" s="142" t="str">
        <f t="shared" si="164"/>
        <v>{5303001,1,1800,2200}</v>
      </c>
      <c r="AP565" s="142" t="s">
        <v>210</v>
      </c>
      <c r="AQ565" s="142"/>
    </row>
    <row r="566" spans="1:43">
      <c r="A566" s="143" t="str">
        <f t="shared" si="165"/>
        <v>[{2,1,395000,395000},{5103001,1,20000,20000}]</v>
      </c>
      <c r="B566" s="98">
        <f t="shared" si="166"/>
        <v>256</v>
      </c>
      <c r="C566" s="144">
        <v>395</v>
      </c>
      <c r="D566" s="145">
        <f t="shared" si="167"/>
        <v>395</v>
      </c>
      <c r="E566" s="145">
        <v>40</v>
      </c>
      <c r="F566" s="145">
        <v>20</v>
      </c>
      <c r="G566" s="146">
        <v>1</v>
      </c>
      <c r="H566" s="146">
        <v>6</v>
      </c>
      <c r="I566" s="146">
        <v>10</v>
      </c>
      <c r="J566" s="146">
        <v>5</v>
      </c>
      <c r="K566" s="146">
        <v>1</v>
      </c>
      <c r="L566" s="146">
        <v>1.5</v>
      </c>
      <c r="M566" s="145">
        <v>0.125</v>
      </c>
      <c r="N566" s="145">
        <v>0.5</v>
      </c>
      <c r="O566" s="145">
        <v>2</v>
      </c>
      <c r="P566" s="145">
        <v>0.013</v>
      </c>
      <c r="Q566" s="145">
        <f t="shared" si="151"/>
        <v>77.89</v>
      </c>
      <c r="R566" s="145">
        <f t="shared" si="152"/>
        <v>133.75</v>
      </c>
      <c r="S566" s="126">
        <f t="shared" si="168"/>
        <v>197.5</v>
      </c>
      <c r="T566" s="147">
        <f t="shared" si="153"/>
        <v>6.6875</v>
      </c>
      <c r="U566" s="142" t="str">
        <f t="shared" si="169"/>
        <v>[{2,1,395000,395000},{5103001,1,20000,20000},{1,2,750,750},{50002,1,9000,11000},{30,1,11,14},{9,1,112,137}]</v>
      </c>
      <c r="V566" s="142" t="str">
        <f t="shared" si="170"/>
        <v>[{2,1,395000,395000},{5103001,1,40000,40000},{50002,1,6000,6000},{5203001,1,5000,5000},{21360,1,1000,1000},{5301000,1,900,1000},{5303001,1,1800,2200},{11,1,400,600}]</v>
      </c>
      <c r="X566" s="142" t="str">
        <f t="shared" si="154"/>
        <v>{2,1,395000,395000}</v>
      </c>
      <c r="Y566" s="142"/>
      <c r="Z566" s="142" t="str">
        <f t="shared" si="155"/>
        <v>{5103001,1,20000,20000}</v>
      </c>
      <c r="AA566" s="142" t="str">
        <f t="shared" si="172"/>
        <v>{1,2,750,750}</v>
      </c>
      <c r="AD566" s="142" t="str">
        <f t="shared" si="156"/>
        <v>{50002,1,9000,11000}</v>
      </c>
      <c r="AE566" s="142" t="str">
        <f t="shared" si="171"/>
        <v>{30,1,11,14}</v>
      </c>
      <c r="AG566" s="142" t="str">
        <f t="shared" si="157"/>
        <v>{9,1,112,137}</v>
      </c>
      <c r="AH566" s="142" t="str">
        <f t="shared" si="158"/>
        <v>{2,1,395000,395000}</v>
      </c>
      <c r="AI566" s="142" t="str">
        <f t="shared" si="159"/>
        <v>{5103001,1,40000,40000}</v>
      </c>
      <c r="AJ566" s="142" t="str">
        <f t="shared" si="160"/>
        <v>{50002,1,6000,6000}</v>
      </c>
      <c r="AK566" s="142" t="str">
        <f t="shared" si="161"/>
        <v>{5203001,1,5000,5000}</v>
      </c>
      <c r="AL566" s="142" t="str">
        <f t="shared" si="162"/>
        <v>{21360,1,1000,1000}</v>
      </c>
      <c r="AM566" s="142" t="str">
        <f t="shared" si="163"/>
        <v>{5301000,1,900,1000}</v>
      </c>
      <c r="AO566" s="142" t="str">
        <f t="shared" si="164"/>
        <v>{5303001,1,1800,2200}</v>
      </c>
      <c r="AP566" s="142" t="s">
        <v>210</v>
      </c>
      <c r="AQ566" s="142"/>
    </row>
    <row r="567" spans="1:43">
      <c r="A567" s="143" t="str">
        <f t="shared" si="165"/>
        <v>[{2,1,396000,396000},{5103001,1,20000,20000}]</v>
      </c>
      <c r="B567" s="98">
        <f t="shared" si="166"/>
        <v>257</v>
      </c>
      <c r="C567" s="144">
        <v>396</v>
      </c>
      <c r="D567" s="145">
        <f t="shared" si="167"/>
        <v>396</v>
      </c>
      <c r="E567" s="145">
        <v>40</v>
      </c>
      <c r="F567" s="145">
        <v>20</v>
      </c>
      <c r="G567" s="146">
        <v>1</v>
      </c>
      <c r="H567" s="146">
        <v>6</v>
      </c>
      <c r="I567" s="146">
        <v>10</v>
      </c>
      <c r="J567" s="146">
        <v>5</v>
      </c>
      <c r="K567" s="146">
        <v>1</v>
      </c>
      <c r="L567" s="146">
        <v>1.5</v>
      </c>
      <c r="M567" s="145">
        <v>0.125</v>
      </c>
      <c r="N567" s="145">
        <v>0.5</v>
      </c>
      <c r="O567" s="145">
        <v>2</v>
      </c>
      <c r="P567" s="145">
        <v>0.013</v>
      </c>
      <c r="Q567" s="145">
        <f t="shared" ref="Q567:Q610" si="173">SUMPRODUCT($C$306:$P$306,--($C$307:$P$307=Q$310),$C567:$P567)</f>
        <v>77.94</v>
      </c>
      <c r="R567" s="145">
        <f t="shared" ref="R567:R610" si="174">SUMPRODUCT($C$306:$P$306,--($C$307:$P$307=R$310),$C567:$P567)</f>
        <v>133.8</v>
      </c>
      <c r="S567" s="126">
        <f t="shared" si="168"/>
        <v>198</v>
      </c>
      <c r="T567" s="147">
        <f t="shared" ref="T567:T610" si="175">R567/20</f>
        <v>6.69</v>
      </c>
      <c r="U567" s="142" t="str">
        <f t="shared" si="169"/>
        <v>[{2,1,396000,396000},{5103001,1,20000,20000},{1,2,750,750},{50002,1,9000,11000},{30,1,11,14},{9,1,112,137}]</v>
      </c>
      <c r="V567" s="142" t="str">
        <f t="shared" si="170"/>
        <v>[{2,1,396000,396000},{5103001,1,40000,40000},{50002,1,6000,6000},{5203001,1,5000,5000},{21360,1,1000,1000},{5301000,1,900,1000},{5303001,1,1800,2200},{11,1,400,600}]</v>
      </c>
      <c r="X567" s="142" t="str">
        <f t="shared" ref="X567:X610" si="176">IF(D567="","","{"&amp;D$308&amp;","&amp;1&amp;","&amp;INT(D567/10*10000)&amp;","&amp;INT(D567/10*10000)&amp;"}")</f>
        <v>{2,1,396000,396000}</v>
      </c>
      <c r="Y567" s="142"/>
      <c r="Z567" s="142" t="str">
        <f t="shared" ref="Z567:Z610" si="177">IF(F567="","","{"&amp;F$308&amp;","&amp;1&amp;","&amp;INT(F567/10*10000)&amp;","&amp;INT(F567/10*10000)&amp;"}")</f>
        <v>{5103001,1,20000,20000}</v>
      </c>
      <c r="AA567" s="142" t="str">
        <f t="shared" si="172"/>
        <v>{1,2,750,750}</v>
      </c>
      <c r="AD567" s="142" t="str">
        <f t="shared" ref="AD567:AD610" si="178">IF(I567="","","{"&amp;I$308&amp;","&amp;1&amp;","&amp;INT(I567/10*9000)&amp;","&amp;INT(I567/10*11000)&amp;"}")</f>
        <v>{50002,1,9000,11000}</v>
      </c>
      <c r="AE567" s="142" t="str">
        <f t="shared" si="171"/>
        <v>{30,1,11,14}</v>
      </c>
      <c r="AG567" s="142" t="str">
        <f t="shared" ref="AG567:AG610" si="179">IF(M567="","","{"&amp;M$308&amp;","&amp;1&amp;","&amp;INT(M567/10*9000)&amp;","&amp;INT(M567/10*11000)&amp;"}")</f>
        <v>{9,1,112,137}</v>
      </c>
      <c r="AH567" s="142" t="str">
        <f t="shared" ref="AH567:AH610" si="180">IF(C567="","","{"&amp;D$308&amp;","&amp;1&amp;","&amp;INT(C567/10*10000)&amp;","&amp;INT(C567/10*10000)&amp;"}")</f>
        <v>{2,1,396000,396000}</v>
      </c>
      <c r="AI567" s="142" t="str">
        <f t="shared" ref="AI567:AI610" si="181">IF(E567="","","{"&amp;F$308&amp;","&amp;1&amp;","&amp;INT(E567/10*10000)&amp;","&amp;INT(E567/10*10000)&amp;"}")</f>
        <v>{5103001,1,40000,40000}</v>
      </c>
      <c r="AJ567" s="142" t="str">
        <f t="shared" ref="AJ567:AJ610" si="182">IF(H567="","","{"&amp;H$308&amp;","&amp;1&amp;","&amp;INT(H567/10*10000)&amp;","&amp;INT(H567/10*10000)&amp;"}")</f>
        <v>{50002,1,6000,6000}</v>
      </c>
      <c r="AK567" s="142" t="str">
        <f t="shared" ref="AK567:AK610" si="183">IF(J567="","","{"&amp;J$308&amp;","&amp;1&amp;","&amp;INT(J567/10*10000)&amp;","&amp;INT(J567/10*10000)&amp;"}")</f>
        <v>{5203001,1,5000,5000}</v>
      </c>
      <c r="AL567" s="142" t="str">
        <f t="shared" ref="AL567:AL610" si="184">IF(K567="","","{"&amp;K$308&amp;","&amp;1&amp;","&amp;INT(K567/10*10000)&amp;","&amp;INT(K567/10*10000)&amp;"}")</f>
        <v>{21360,1,1000,1000}</v>
      </c>
      <c r="AM567" s="142" t="str">
        <f t="shared" ref="AM567:AM610" si="185">IF(G567="","","{"&amp;G$308&amp;","&amp;1&amp;","&amp;INT(G567/10*9000)&amp;","&amp;INT(G567/10*10000)&amp;"}")</f>
        <v>{5301000,1,900,1000}</v>
      </c>
      <c r="AO567" s="142" t="str">
        <f t="shared" ref="AO567:AO610" si="186">IF(O567="","","{"&amp;O$308&amp;","&amp;1&amp;","&amp;INT(O567/10*9000)&amp;","&amp;INT(O567/10*11000)&amp;"}")</f>
        <v>{5303001,1,1800,2200}</v>
      </c>
      <c r="AP567" s="142" t="s">
        <v>210</v>
      </c>
      <c r="AQ567" s="142"/>
    </row>
    <row r="568" spans="1:43">
      <c r="A568" s="143" t="str">
        <f t="shared" ref="A568:A610" si="187">"[{2,1,"&amp;C568*1000&amp;","&amp;C568*1000&amp;"},{5103001,1,"&amp;F568*1000&amp;","&amp;F568*1000&amp;"}]"</f>
        <v>[{2,1,397000,397000},{5103001,1,20000,20000}]</v>
      </c>
      <c r="B568" s="98">
        <f t="shared" ref="B568:B610" si="188">B567+1</f>
        <v>258</v>
      </c>
      <c r="C568" s="144">
        <v>397</v>
      </c>
      <c r="D568" s="145">
        <f t="shared" ref="D568:D610" si="189">C568</f>
        <v>397</v>
      </c>
      <c r="E568" s="145">
        <v>40</v>
      </c>
      <c r="F568" s="145">
        <v>20</v>
      </c>
      <c r="G568" s="146">
        <v>1</v>
      </c>
      <c r="H568" s="146">
        <v>6</v>
      </c>
      <c r="I568" s="146">
        <v>10</v>
      </c>
      <c r="J568" s="146">
        <v>5</v>
      </c>
      <c r="K568" s="146">
        <v>1</v>
      </c>
      <c r="L568" s="146">
        <v>1.5</v>
      </c>
      <c r="M568" s="145">
        <v>0.125</v>
      </c>
      <c r="N568" s="145">
        <v>0.5</v>
      </c>
      <c r="O568" s="145">
        <v>2</v>
      </c>
      <c r="P568" s="145">
        <v>0.013</v>
      </c>
      <c r="Q568" s="145">
        <f t="shared" si="173"/>
        <v>77.99</v>
      </c>
      <c r="R568" s="145">
        <f t="shared" si="174"/>
        <v>133.85</v>
      </c>
      <c r="S568" s="126">
        <f t="shared" ref="S568:S610" si="190">C568/2</f>
        <v>198.5</v>
      </c>
      <c r="T568" s="147">
        <f t="shared" si="175"/>
        <v>6.6925</v>
      </c>
      <c r="U568" s="142" t="str">
        <f t="shared" ref="U568:U610" si="191">"["&amp;_xlfn.TEXTJOIN(",",1,X568:AG568)&amp;"]"</f>
        <v>[{2,1,397000,397000},{5103001,1,20000,20000},{1,2,750,750},{50002,1,9000,11000},{30,1,11,14},{9,1,112,137}]</v>
      </c>
      <c r="V568" s="142" t="str">
        <f t="shared" ref="V568:V610" si="192">"["&amp;_xlfn.TEXTJOIN(",",1,AH568:AQ568)&amp;"]"</f>
        <v>[{2,1,397000,397000},{5103001,1,40000,40000},{50002,1,6000,6000},{5203001,1,5000,5000},{21360,1,1000,1000},{5301000,1,900,1000},{5303001,1,1800,2200},{11,1,400,600}]</v>
      </c>
      <c r="X568" s="142" t="str">
        <f t="shared" si="176"/>
        <v>{2,1,397000,397000}</v>
      </c>
      <c r="Y568" s="142"/>
      <c r="Z568" s="142" t="str">
        <f t="shared" si="177"/>
        <v>{5103001,1,20000,20000}</v>
      </c>
      <c r="AA568" s="142" t="str">
        <f t="shared" si="172"/>
        <v>{1,2,750,750}</v>
      </c>
      <c r="AD568" s="142" t="str">
        <f t="shared" si="178"/>
        <v>{50002,1,9000,11000}</v>
      </c>
      <c r="AE568" s="142" t="str">
        <f t="shared" ref="AE568:AE610" si="193">IF(P568="","","{"&amp;P$308&amp;","&amp;1&amp;","&amp;INT(P568/10*9000)&amp;","&amp;INT(P568/10*11000)&amp;"}")</f>
        <v>{30,1,11,14}</v>
      </c>
      <c r="AG568" s="142" t="str">
        <f t="shared" si="179"/>
        <v>{9,1,112,137}</v>
      </c>
      <c r="AH568" s="142" t="str">
        <f t="shared" si="180"/>
        <v>{2,1,397000,397000}</v>
      </c>
      <c r="AI568" s="142" t="str">
        <f t="shared" si="181"/>
        <v>{5103001,1,40000,40000}</v>
      </c>
      <c r="AJ568" s="142" t="str">
        <f t="shared" si="182"/>
        <v>{50002,1,6000,6000}</v>
      </c>
      <c r="AK568" s="142" t="str">
        <f t="shared" si="183"/>
        <v>{5203001,1,5000,5000}</v>
      </c>
      <c r="AL568" s="142" t="str">
        <f t="shared" si="184"/>
        <v>{21360,1,1000,1000}</v>
      </c>
      <c r="AM568" s="142" t="str">
        <f t="shared" si="185"/>
        <v>{5301000,1,900,1000}</v>
      </c>
      <c r="AO568" s="142" t="str">
        <f t="shared" si="186"/>
        <v>{5303001,1,1800,2200}</v>
      </c>
      <c r="AP568" s="142" t="s">
        <v>210</v>
      </c>
      <c r="AQ568" s="142"/>
    </row>
    <row r="569" spans="1:43">
      <c r="A569" s="143" t="str">
        <f t="shared" si="187"/>
        <v>[{2,1,398000,398000},{5103001,1,20000,20000}]</v>
      </c>
      <c r="B569" s="98">
        <f t="shared" si="188"/>
        <v>259</v>
      </c>
      <c r="C569" s="144">
        <v>398</v>
      </c>
      <c r="D569" s="145">
        <f t="shared" si="189"/>
        <v>398</v>
      </c>
      <c r="E569" s="145">
        <v>40</v>
      </c>
      <c r="F569" s="145">
        <v>20</v>
      </c>
      <c r="G569" s="146">
        <v>1</v>
      </c>
      <c r="H569" s="146">
        <v>6</v>
      </c>
      <c r="I569" s="146">
        <v>10</v>
      </c>
      <c r="J569" s="146">
        <v>5</v>
      </c>
      <c r="K569" s="146">
        <v>1</v>
      </c>
      <c r="L569" s="146">
        <v>1.5</v>
      </c>
      <c r="M569" s="145">
        <v>0.125</v>
      </c>
      <c r="N569" s="145">
        <v>0.5</v>
      </c>
      <c r="O569" s="145">
        <v>2</v>
      </c>
      <c r="P569" s="145">
        <v>0.013</v>
      </c>
      <c r="Q569" s="145">
        <f t="shared" si="173"/>
        <v>78.04</v>
      </c>
      <c r="R569" s="145">
        <f t="shared" si="174"/>
        <v>133.9</v>
      </c>
      <c r="S569" s="126">
        <f t="shared" si="190"/>
        <v>199</v>
      </c>
      <c r="T569" s="147">
        <f t="shared" si="175"/>
        <v>6.695</v>
      </c>
      <c r="U569" s="142" t="str">
        <f t="shared" si="191"/>
        <v>[{2,1,398000,398000},{5103001,1,20000,20000},{1,2,750,750},{50002,1,9000,11000},{30,1,11,14},{9,1,112,137}]</v>
      </c>
      <c r="V569" s="142" t="str">
        <f t="shared" si="192"/>
        <v>[{2,1,398000,398000},{5103001,1,40000,40000},{50002,1,6000,6000},{5203001,1,5000,5000},{21360,1,1000,1000},{5301000,1,900,1000},{5303001,1,1800,2200},{11,1,400,600}]</v>
      </c>
      <c r="X569" s="142" t="str">
        <f t="shared" si="176"/>
        <v>{2,1,398000,398000}</v>
      </c>
      <c r="Y569" s="142"/>
      <c r="Z569" s="142" t="str">
        <f t="shared" si="177"/>
        <v>{5103001,1,20000,20000}</v>
      </c>
      <c r="AA569" s="142" t="str">
        <f t="shared" ref="AA569:AA610" si="194">AA568</f>
        <v>{1,2,750,750}</v>
      </c>
      <c r="AD569" s="142" t="str">
        <f t="shared" si="178"/>
        <v>{50002,1,9000,11000}</v>
      </c>
      <c r="AE569" s="142" t="str">
        <f t="shared" si="193"/>
        <v>{30,1,11,14}</v>
      </c>
      <c r="AG569" s="142" t="str">
        <f t="shared" si="179"/>
        <v>{9,1,112,137}</v>
      </c>
      <c r="AH569" s="142" t="str">
        <f t="shared" si="180"/>
        <v>{2,1,398000,398000}</v>
      </c>
      <c r="AI569" s="142" t="str">
        <f t="shared" si="181"/>
        <v>{5103001,1,40000,40000}</v>
      </c>
      <c r="AJ569" s="142" t="str">
        <f t="shared" si="182"/>
        <v>{50002,1,6000,6000}</v>
      </c>
      <c r="AK569" s="142" t="str">
        <f t="shared" si="183"/>
        <v>{5203001,1,5000,5000}</v>
      </c>
      <c r="AL569" s="142" t="str">
        <f t="shared" si="184"/>
        <v>{21360,1,1000,1000}</v>
      </c>
      <c r="AM569" s="142" t="str">
        <f t="shared" si="185"/>
        <v>{5301000,1,900,1000}</v>
      </c>
      <c r="AO569" s="142" t="str">
        <f t="shared" si="186"/>
        <v>{5303001,1,1800,2200}</v>
      </c>
      <c r="AP569" s="142" t="s">
        <v>210</v>
      </c>
      <c r="AQ569" s="142"/>
    </row>
    <row r="570" spans="1:43">
      <c r="A570" s="143" t="str">
        <f t="shared" si="187"/>
        <v>[{2,1,399000,399000},{5103001,1,20000,20000}]</v>
      </c>
      <c r="B570" s="98">
        <f t="shared" si="188"/>
        <v>260</v>
      </c>
      <c r="C570" s="144">
        <v>399</v>
      </c>
      <c r="D570" s="145">
        <f t="shared" si="189"/>
        <v>399</v>
      </c>
      <c r="E570" s="145">
        <v>40</v>
      </c>
      <c r="F570" s="145">
        <v>20</v>
      </c>
      <c r="G570" s="146">
        <v>1</v>
      </c>
      <c r="H570" s="146">
        <v>6</v>
      </c>
      <c r="I570" s="146">
        <v>10</v>
      </c>
      <c r="J570" s="146">
        <v>5</v>
      </c>
      <c r="K570" s="146">
        <v>1</v>
      </c>
      <c r="L570" s="146">
        <v>1.5</v>
      </c>
      <c r="M570" s="145">
        <v>0.125</v>
      </c>
      <c r="N570" s="145">
        <v>0.5</v>
      </c>
      <c r="O570" s="145">
        <v>2</v>
      </c>
      <c r="P570" s="145">
        <v>0.013</v>
      </c>
      <c r="Q570" s="145">
        <f t="shared" si="173"/>
        <v>78.09</v>
      </c>
      <c r="R570" s="145">
        <f t="shared" si="174"/>
        <v>133.95</v>
      </c>
      <c r="S570" s="126">
        <f t="shared" si="190"/>
        <v>199.5</v>
      </c>
      <c r="T570" s="147">
        <f t="shared" si="175"/>
        <v>6.6975</v>
      </c>
      <c r="U570" s="142" t="str">
        <f t="shared" si="191"/>
        <v>[{2,1,399000,399000},{5103001,1,20000,20000},{1,2,750,750},{50002,1,9000,11000},{30,1,11,14},{9,1,112,137}]</v>
      </c>
      <c r="V570" s="142" t="str">
        <f t="shared" si="192"/>
        <v>[{2,1,399000,399000},{5103001,1,40000,40000},{50002,1,6000,6000},{5203001,1,5000,5000},{21360,1,1000,1000},{5301000,1,900,1000},{5303001,1,1800,2200},{11,1,400,600}]</v>
      </c>
      <c r="X570" s="142" t="str">
        <f t="shared" si="176"/>
        <v>{2,1,399000,399000}</v>
      </c>
      <c r="Y570" s="142"/>
      <c r="Z570" s="142" t="str">
        <f t="shared" si="177"/>
        <v>{5103001,1,20000,20000}</v>
      </c>
      <c r="AA570" s="142" t="str">
        <f t="shared" si="194"/>
        <v>{1,2,750,750}</v>
      </c>
      <c r="AD570" s="142" t="str">
        <f t="shared" si="178"/>
        <v>{50002,1,9000,11000}</v>
      </c>
      <c r="AE570" s="142" t="str">
        <f t="shared" si="193"/>
        <v>{30,1,11,14}</v>
      </c>
      <c r="AG570" s="142" t="str">
        <f t="shared" si="179"/>
        <v>{9,1,112,137}</v>
      </c>
      <c r="AH570" s="142" t="str">
        <f t="shared" si="180"/>
        <v>{2,1,399000,399000}</v>
      </c>
      <c r="AI570" s="142" t="str">
        <f t="shared" si="181"/>
        <v>{5103001,1,40000,40000}</v>
      </c>
      <c r="AJ570" s="142" t="str">
        <f t="shared" si="182"/>
        <v>{50002,1,6000,6000}</v>
      </c>
      <c r="AK570" s="142" t="str">
        <f t="shared" si="183"/>
        <v>{5203001,1,5000,5000}</v>
      </c>
      <c r="AL570" s="142" t="str">
        <f t="shared" si="184"/>
        <v>{21360,1,1000,1000}</v>
      </c>
      <c r="AM570" s="142" t="str">
        <f t="shared" si="185"/>
        <v>{5301000,1,900,1000}</v>
      </c>
      <c r="AO570" s="142" t="str">
        <f t="shared" si="186"/>
        <v>{5303001,1,1800,2200}</v>
      </c>
      <c r="AP570" s="142" t="s">
        <v>210</v>
      </c>
      <c r="AQ570" s="142"/>
    </row>
    <row r="571" spans="1:43">
      <c r="A571" s="143" t="str">
        <f t="shared" si="187"/>
        <v>[{2,1,400000,400000},{5103001,1,20000,20000}]</v>
      </c>
      <c r="B571" s="98">
        <f t="shared" si="188"/>
        <v>261</v>
      </c>
      <c r="C571" s="144">
        <v>400</v>
      </c>
      <c r="D571" s="145">
        <f t="shared" si="189"/>
        <v>400</v>
      </c>
      <c r="E571" s="145">
        <v>40</v>
      </c>
      <c r="F571" s="145">
        <v>20</v>
      </c>
      <c r="G571" s="146">
        <v>1</v>
      </c>
      <c r="H571" s="146">
        <v>6</v>
      </c>
      <c r="I571" s="146">
        <v>10</v>
      </c>
      <c r="J571" s="146">
        <v>5</v>
      </c>
      <c r="K571" s="146">
        <v>1</v>
      </c>
      <c r="L571" s="146">
        <v>1.5</v>
      </c>
      <c r="M571" s="145">
        <v>0.125</v>
      </c>
      <c r="N571" s="145">
        <v>0.5</v>
      </c>
      <c r="O571" s="145">
        <v>2</v>
      </c>
      <c r="P571" s="145">
        <v>0.013</v>
      </c>
      <c r="Q571" s="145">
        <f t="shared" si="173"/>
        <v>78.14</v>
      </c>
      <c r="R571" s="145">
        <f t="shared" si="174"/>
        <v>134</v>
      </c>
      <c r="S571" s="126">
        <f t="shared" si="190"/>
        <v>200</v>
      </c>
      <c r="T571" s="147">
        <f t="shared" si="175"/>
        <v>6.7</v>
      </c>
      <c r="U571" s="142" t="str">
        <f t="shared" si="191"/>
        <v>[{2,1,400000,400000},{5103001,1,20000,20000},{1,2,750,750},{50002,1,9000,11000},{30,1,11,14},{9,1,112,137}]</v>
      </c>
      <c r="V571" s="142" t="str">
        <f t="shared" si="192"/>
        <v>[{2,1,400000,400000},{5103001,1,40000,40000},{50002,1,6000,6000},{5203001,1,5000,5000},{21360,1,1000,1000},{5301000,1,900,1000},{5303001,1,1800,2200},{11,1,400,600}]</v>
      </c>
      <c r="X571" s="142" t="str">
        <f t="shared" si="176"/>
        <v>{2,1,400000,400000}</v>
      </c>
      <c r="Y571" s="142"/>
      <c r="Z571" s="142" t="str">
        <f t="shared" si="177"/>
        <v>{5103001,1,20000,20000}</v>
      </c>
      <c r="AA571" s="142" t="str">
        <f t="shared" si="194"/>
        <v>{1,2,750,750}</v>
      </c>
      <c r="AD571" s="142" t="str">
        <f t="shared" si="178"/>
        <v>{50002,1,9000,11000}</v>
      </c>
      <c r="AE571" s="142" t="str">
        <f t="shared" si="193"/>
        <v>{30,1,11,14}</v>
      </c>
      <c r="AG571" s="142" t="str">
        <f t="shared" si="179"/>
        <v>{9,1,112,137}</v>
      </c>
      <c r="AH571" s="142" t="str">
        <f t="shared" si="180"/>
        <v>{2,1,400000,400000}</v>
      </c>
      <c r="AI571" s="142" t="str">
        <f t="shared" si="181"/>
        <v>{5103001,1,40000,40000}</v>
      </c>
      <c r="AJ571" s="142" t="str">
        <f t="shared" si="182"/>
        <v>{50002,1,6000,6000}</v>
      </c>
      <c r="AK571" s="142" t="str">
        <f t="shared" si="183"/>
        <v>{5203001,1,5000,5000}</v>
      </c>
      <c r="AL571" s="142" t="str">
        <f t="shared" si="184"/>
        <v>{21360,1,1000,1000}</v>
      </c>
      <c r="AM571" s="142" t="str">
        <f t="shared" si="185"/>
        <v>{5301000,1,900,1000}</v>
      </c>
      <c r="AO571" s="142" t="str">
        <f t="shared" si="186"/>
        <v>{5303001,1,1800,2200}</v>
      </c>
      <c r="AP571" s="142" t="s">
        <v>210</v>
      </c>
      <c r="AQ571" s="142"/>
    </row>
    <row r="572" spans="1:43">
      <c r="A572" s="143" t="str">
        <f t="shared" si="187"/>
        <v>[{2,1,401000,401000},{5103001,1,20000,20000}]</v>
      </c>
      <c r="B572" s="98">
        <f t="shared" si="188"/>
        <v>262</v>
      </c>
      <c r="C572" s="144">
        <v>401</v>
      </c>
      <c r="D572" s="145">
        <f t="shared" si="189"/>
        <v>401</v>
      </c>
      <c r="E572" s="145">
        <v>40</v>
      </c>
      <c r="F572" s="145">
        <v>20</v>
      </c>
      <c r="G572" s="146">
        <v>1</v>
      </c>
      <c r="H572" s="146">
        <v>6</v>
      </c>
      <c r="I572" s="146">
        <v>10</v>
      </c>
      <c r="J572" s="146">
        <v>5</v>
      </c>
      <c r="K572" s="146">
        <v>1</v>
      </c>
      <c r="L572" s="146">
        <v>1.5</v>
      </c>
      <c r="M572" s="145">
        <v>0.125</v>
      </c>
      <c r="N572" s="145">
        <v>0.5</v>
      </c>
      <c r="O572" s="145">
        <v>2</v>
      </c>
      <c r="P572" s="145">
        <v>0.013</v>
      </c>
      <c r="Q572" s="145">
        <f t="shared" si="173"/>
        <v>78.19</v>
      </c>
      <c r="R572" s="145">
        <f t="shared" si="174"/>
        <v>134.05</v>
      </c>
      <c r="S572" s="126">
        <f t="shared" si="190"/>
        <v>200.5</v>
      </c>
      <c r="T572" s="147">
        <f t="shared" si="175"/>
        <v>6.7025</v>
      </c>
      <c r="U572" s="142" t="str">
        <f t="shared" si="191"/>
        <v>[{2,1,401000,401000},{5103001,1,20000,20000},{1,2,750,750},{50002,1,9000,11000},{30,1,11,14},{9,1,112,137}]</v>
      </c>
      <c r="V572" s="142" t="str">
        <f t="shared" si="192"/>
        <v>[{2,1,401000,401000},{5103001,1,40000,40000},{50002,1,6000,6000},{5203001,1,5000,5000},{21360,1,1000,1000},{5301000,1,900,1000},{5303001,1,1800,2200},{11,1,400,600}]</v>
      </c>
      <c r="X572" s="142" t="str">
        <f t="shared" si="176"/>
        <v>{2,1,401000,401000}</v>
      </c>
      <c r="Y572" s="142"/>
      <c r="Z572" s="142" t="str">
        <f t="shared" si="177"/>
        <v>{5103001,1,20000,20000}</v>
      </c>
      <c r="AA572" s="142" t="str">
        <f t="shared" si="194"/>
        <v>{1,2,750,750}</v>
      </c>
      <c r="AD572" s="142" t="str">
        <f t="shared" si="178"/>
        <v>{50002,1,9000,11000}</v>
      </c>
      <c r="AE572" s="142" t="str">
        <f t="shared" si="193"/>
        <v>{30,1,11,14}</v>
      </c>
      <c r="AG572" s="142" t="str">
        <f t="shared" si="179"/>
        <v>{9,1,112,137}</v>
      </c>
      <c r="AH572" s="142" t="str">
        <f t="shared" si="180"/>
        <v>{2,1,401000,401000}</v>
      </c>
      <c r="AI572" s="142" t="str">
        <f t="shared" si="181"/>
        <v>{5103001,1,40000,40000}</v>
      </c>
      <c r="AJ572" s="142" t="str">
        <f t="shared" si="182"/>
        <v>{50002,1,6000,6000}</v>
      </c>
      <c r="AK572" s="142" t="str">
        <f t="shared" si="183"/>
        <v>{5203001,1,5000,5000}</v>
      </c>
      <c r="AL572" s="142" t="str">
        <f t="shared" si="184"/>
        <v>{21360,1,1000,1000}</v>
      </c>
      <c r="AM572" s="142" t="str">
        <f t="shared" si="185"/>
        <v>{5301000,1,900,1000}</v>
      </c>
      <c r="AO572" s="142" t="str">
        <f t="shared" si="186"/>
        <v>{5303001,1,1800,2200}</v>
      </c>
      <c r="AP572" s="142" t="s">
        <v>210</v>
      </c>
      <c r="AQ572" s="142"/>
    </row>
    <row r="573" spans="1:43">
      <c r="A573" s="143" t="str">
        <f t="shared" si="187"/>
        <v>[{2,1,402000,402000},{5103001,1,20000,20000}]</v>
      </c>
      <c r="B573" s="98">
        <f t="shared" si="188"/>
        <v>263</v>
      </c>
      <c r="C573" s="144">
        <v>402</v>
      </c>
      <c r="D573" s="145">
        <f t="shared" si="189"/>
        <v>402</v>
      </c>
      <c r="E573" s="145">
        <v>40</v>
      </c>
      <c r="F573" s="145">
        <v>20</v>
      </c>
      <c r="G573" s="146">
        <v>1</v>
      </c>
      <c r="H573" s="146">
        <v>6</v>
      </c>
      <c r="I573" s="146">
        <v>10</v>
      </c>
      <c r="J573" s="146">
        <v>5</v>
      </c>
      <c r="K573" s="146">
        <v>1</v>
      </c>
      <c r="L573" s="146">
        <v>1.5</v>
      </c>
      <c r="M573" s="145">
        <v>0.125</v>
      </c>
      <c r="N573" s="145">
        <v>0.5</v>
      </c>
      <c r="O573" s="145">
        <v>2</v>
      </c>
      <c r="P573" s="145">
        <v>0.013</v>
      </c>
      <c r="Q573" s="145">
        <f t="shared" si="173"/>
        <v>78.24</v>
      </c>
      <c r="R573" s="145">
        <f t="shared" si="174"/>
        <v>134.1</v>
      </c>
      <c r="S573" s="126">
        <f t="shared" si="190"/>
        <v>201</v>
      </c>
      <c r="T573" s="147">
        <f t="shared" si="175"/>
        <v>6.705</v>
      </c>
      <c r="U573" s="142" t="str">
        <f t="shared" si="191"/>
        <v>[{2,1,402000,402000},{5103001,1,20000,20000},{1,2,750,750},{50002,1,9000,11000},{30,1,11,14},{9,1,112,137}]</v>
      </c>
      <c r="V573" s="142" t="str">
        <f t="shared" si="192"/>
        <v>[{2,1,402000,402000},{5103001,1,40000,40000},{50002,1,6000,6000},{5203001,1,5000,5000},{21360,1,1000,1000},{5301000,1,900,1000},{5303001,1,1800,2200},{11,1,400,600}]</v>
      </c>
      <c r="X573" s="142" t="str">
        <f t="shared" si="176"/>
        <v>{2,1,402000,402000}</v>
      </c>
      <c r="Y573" s="142"/>
      <c r="Z573" s="142" t="str">
        <f t="shared" si="177"/>
        <v>{5103001,1,20000,20000}</v>
      </c>
      <c r="AA573" s="142" t="str">
        <f t="shared" si="194"/>
        <v>{1,2,750,750}</v>
      </c>
      <c r="AD573" s="142" t="str">
        <f t="shared" si="178"/>
        <v>{50002,1,9000,11000}</v>
      </c>
      <c r="AE573" s="142" t="str">
        <f t="shared" si="193"/>
        <v>{30,1,11,14}</v>
      </c>
      <c r="AG573" s="142" t="str">
        <f t="shared" si="179"/>
        <v>{9,1,112,137}</v>
      </c>
      <c r="AH573" s="142" t="str">
        <f t="shared" si="180"/>
        <v>{2,1,402000,402000}</v>
      </c>
      <c r="AI573" s="142" t="str">
        <f t="shared" si="181"/>
        <v>{5103001,1,40000,40000}</v>
      </c>
      <c r="AJ573" s="142" t="str">
        <f t="shared" si="182"/>
        <v>{50002,1,6000,6000}</v>
      </c>
      <c r="AK573" s="142" t="str">
        <f t="shared" si="183"/>
        <v>{5203001,1,5000,5000}</v>
      </c>
      <c r="AL573" s="142" t="str">
        <f t="shared" si="184"/>
        <v>{21360,1,1000,1000}</v>
      </c>
      <c r="AM573" s="142" t="str">
        <f t="shared" si="185"/>
        <v>{5301000,1,900,1000}</v>
      </c>
      <c r="AO573" s="142" t="str">
        <f t="shared" si="186"/>
        <v>{5303001,1,1800,2200}</v>
      </c>
      <c r="AP573" s="142" t="s">
        <v>210</v>
      </c>
      <c r="AQ573" s="142"/>
    </row>
    <row r="574" spans="1:43">
      <c r="A574" s="143" t="str">
        <f t="shared" si="187"/>
        <v>[{2,1,403000,403000},{5103001,1,20000,20000}]</v>
      </c>
      <c r="B574" s="98">
        <f t="shared" si="188"/>
        <v>264</v>
      </c>
      <c r="C574" s="144">
        <v>403</v>
      </c>
      <c r="D574" s="145">
        <f t="shared" si="189"/>
        <v>403</v>
      </c>
      <c r="E574" s="145">
        <v>40</v>
      </c>
      <c r="F574" s="145">
        <v>20</v>
      </c>
      <c r="G574" s="146">
        <v>1</v>
      </c>
      <c r="H574" s="146">
        <v>6</v>
      </c>
      <c r="I574" s="146">
        <v>10</v>
      </c>
      <c r="J574" s="146">
        <v>5</v>
      </c>
      <c r="K574" s="146">
        <v>1</v>
      </c>
      <c r="L574" s="146">
        <v>1.5</v>
      </c>
      <c r="M574" s="145">
        <v>0.125</v>
      </c>
      <c r="N574" s="145">
        <v>0.5</v>
      </c>
      <c r="O574" s="145">
        <v>2</v>
      </c>
      <c r="P574" s="145">
        <v>0.013</v>
      </c>
      <c r="Q574" s="145">
        <f t="shared" si="173"/>
        <v>78.29</v>
      </c>
      <c r="R574" s="145">
        <f t="shared" si="174"/>
        <v>134.15</v>
      </c>
      <c r="S574" s="126">
        <f t="shared" si="190"/>
        <v>201.5</v>
      </c>
      <c r="T574" s="147">
        <f t="shared" si="175"/>
        <v>6.7075</v>
      </c>
      <c r="U574" s="142" t="str">
        <f t="shared" si="191"/>
        <v>[{2,1,403000,403000},{5103001,1,20000,20000},{1,2,750,750},{50002,1,9000,11000},{30,1,11,14},{9,1,112,137}]</v>
      </c>
      <c r="V574" s="142" t="str">
        <f t="shared" si="192"/>
        <v>[{2,1,403000,403000},{5103001,1,40000,40000},{50002,1,6000,6000},{5203001,1,5000,5000},{21360,1,1000,1000},{5301000,1,900,1000},{5303001,1,1800,2200},{11,1,400,600}]</v>
      </c>
      <c r="X574" s="142" t="str">
        <f t="shared" si="176"/>
        <v>{2,1,403000,403000}</v>
      </c>
      <c r="Y574" s="142"/>
      <c r="Z574" s="142" t="str">
        <f t="shared" si="177"/>
        <v>{5103001,1,20000,20000}</v>
      </c>
      <c r="AA574" s="142" t="str">
        <f t="shared" si="194"/>
        <v>{1,2,750,750}</v>
      </c>
      <c r="AD574" s="142" t="str">
        <f t="shared" si="178"/>
        <v>{50002,1,9000,11000}</v>
      </c>
      <c r="AE574" s="142" t="str">
        <f t="shared" si="193"/>
        <v>{30,1,11,14}</v>
      </c>
      <c r="AG574" s="142" t="str">
        <f t="shared" si="179"/>
        <v>{9,1,112,137}</v>
      </c>
      <c r="AH574" s="142" t="str">
        <f t="shared" si="180"/>
        <v>{2,1,403000,403000}</v>
      </c>
      <c r="AI574" s="142" t="str">
        <f t="shared" si="181"/>
        <v>{5103001,1,40000,40000}</v>
      </c>
      <c r="AJ574" s="142" t="str">
        <f t="shared" si="182"/>
        <v>{50002,1,6000,6000}</v>
      </c>
      <c r="AK574" s="142" t="str">
        <f t="shared" si="183"/>
        <v>{5203001,1,5000,5000}</v>
      </c>
      <c r="AL574" s="142" t="str">
        <f t="shared" si="184"/>
        <v>{21360,1,1000,1000}</v>
      </c>
      <c r="AM574" s="142" t="str">
        <f t="shared" si="185"/>
        <v>{5301000,1,900,1000}</v>
      </c>
      <c r="AO574" s="142" t="str">
        <f t="shared" si="186"/>
        <v>{5303001,1,1800,2200}</v>
      </c>
      <c r="AP574" s="142" t="s">
        <v>210</v>
      </c>
      <c r="AQ574" s="142"/>
    </row>
    <row r="575" spans="1:43">
      <c r="A575" s="143" t="str">
        <f t="shared" si="187"/>
        <v>[{2,1,404000,404000},{5103001,1,20000,20000}]</v>
      </c>
      <c r="B575" s="98">
        <f t="shared" si="188"/>
        <v>265</v>
      </c>
      <c r="C575" s="144">
        <v>404</v>
      </c>
      <c r="D575" s="145">
        <f t="shared" si="189"/>
        <v>404</v>
      </c>
      <c r="E575" s="145">
        <v>40</v>
      </c>
      <c r="F575" s="145">
        <v>20</v>
      </c>
      <c r="G575" s="146">
        <v>1</v>
      </c>
      <c r="H575" s="146">
        <v>6</v>
      </c>
      <c r="I575" s="146">
        <v>10</v>
      </c>
      <c r="J575" s="146">
        <v>5</v>
      </c>
      <c r="K575" s="146">
        <v>1</v>
      </c>
      <c r="L575" s="146">
        <v>1.5</v>
      </c>
      <c r="M575" s="145">
        <v>0.125</v>
      </c>
      <c r="N575" s="145">
        <v>0.5</v>
      </c>
      <c r="O575" s="145">
        <v>2</v>
      </c>
      <c r="P575" s="145">
        <v>0.013</v>
      </c>
      <c r="Q575" s="145">
        <f t="shared" si="173"/>
        <v>78.34</v>
      </c>
      <c r="R575" s="145">
        <f t="shared" si="174"/>
        <v>134.2</v>
      </c>
      <c r="S575" s="126">
        <f t="shared" si="190"/>
        <v>202</v>
      </c>
      <c r="T575" s="147">
        <f t="shared" si="175"/>
        <v>6.71</v>
      </c>
      <c r="U575" s="142" t="str">
        <f t="shared" si="191"/>
        <v>[{2,1,404000,404000},{5103001,1,20000,20000},{1,2,750,750},{50002,1,9000,11000},{30,1,11,14},{9,1,112,137}]</v>
      </c>
      <c r="V575" s="142" t="str">
        <f t="shared" si="192"/>
        <v>[{2,1,404000,404000},{5103001,1,40000,40000},{50002,1,6000,6000},{5203001,1,5000,5000},{21360,1,1000,1000},{5301000,1,900,1000},{5303001,1,1800,2200},{11,1,400,600}]</v>
      </c>
      <c r="X575" s="142" t="str">
        <f t="shared" si="176"/>
        <v>{2,1,404000,404000}</v>
      </c>
      <c r="Y575" s="142"/>
      <c r="Z575" s="142" t="str">
        <f t="shared" si="177"/>
        <v>{5103001,1,20000,20000}</v>
      </c>
      <c r="AA575" s="142" t="str">
        <f t="shared" si="194"/>
        <v>{1,2,750,750}</v>
      </c>
      <c r="AD575" s="142" t="str">
        <f t="shared" si="178"/>
        <v>{50002,1,9000,11000}</v>
      </c>
      <c r="AE575" s="142" t="str">
        <f t="shared" si="193"/>
        <v>{30,1,11,14}</v>
      </c>
      <c r="AG575" s="142" t="str">
        <f t="shared" si="179"/>
        <v>{9,1,112,137}</v>
      </c>
      <c r="AH575" s="142" t="str">
        <f t="shared" si="180"/>
        <v>{2,1,404000,404000}</v>
      </c>
      <c r="AI575" s="142" t="str">
        <f t="shared" si="181"/>
        <v>{5103001,1,40000,40000}</v>
      </c>
      <c r="AJ575" s="142" t="str">
        <f t="shared" si="182"/>
        <v>{50002,1,6000,6000}</v>
      </c>
      <c r="AK575" s="142" t="str">
        <f t="shared" si="183"/>
        <v>{5203001,1,5000,5000}</v>
      </c>
      <c r="AL575" s="142" t="str">
        <f t="shared" si="184"/>
        <v>{21360,1,1000,1000}</v>
      </c>
      <c r="AM575" s="142" t="str">
        <f t="shared" si="185"/>
        <v>{5301000,1,900,1000}</v>
      </c>
      <c r="AO575" s="142" t="str">
        <f t="shared" si="186"/>
        <v>{5303001,1,1800,2200}</v>
      </c>
      <c r="AP575" s="142" t="s">
        <v>210</v>
      </c>
      <c r="AQ575" s="142"/>
    </row>
    <row r="576" spans="1:43">
      <c r="A576" s="143" t="str">
        <f t="shared" si="187"/>
        <v>[{2,1,405000,405000},{5103001,1,20000,20000}]</v>
      </c>
      <c r="B576" s="98">
        <f t="shared" si="188"/>
        <v>266</v>
      </c>
      <c r="C576" s="144">
        <v>405</v>
      </c>
      <c r="D576" s="145">
        <f t="shared" si="189"/>
        <v>405</v>
      </c>
      <c r="E576" s="145">
        <v>40</v>
      </c>
      <c r="F576" s="145">
        <v>20</v>
      </c>
      <c r="G576" s="146">
        <v>1</v>
      </c>
      <c r="H576" s="146">
        <v>6</v>
      </c>
      <c r="I576" s="146">
        <v>10</v>
      </c>
      <c r="J576" s="146">
        <v>5</v>
      </c>
      <c r="K576" s="146">
        <v>1</v>
      </c>
      <c r="L576" s="146">
        <v>1.5</v>
      </c>
      <c r="M576" s="145">
        <v>0.125</v>
      </c>
      <c r="N576" s="145">
        <v>0.5</v>
      </c>
      <c r="O576" s="145">
        <v>2</v>
      </c>
      <c r="P576" s="145">
        <v>0.013</v>
      </c>
      <c r="Q576" s="145">
        <f t="shared" si="173"/>
        <v>78.39</v>
      </c>
      <c r="R576" s="145">
        <f t="shared" si="174"/>
        <v>134.25</v>
      </c>
      <c r="S576" s="126">
        <f t="shared" si="190"/>
        <v>202.5</v>
      </c>
      <c r="T576" s="147">
        <f t="shared" si="175"/>
        <v>6.7125</v>
      </c>
      <c r="U576" s="142" t="str">
        <f t="shared" si="191"/>
        <v>[{2,1,405000,405000},{5103001,1,20000,20000},{1,2,750,750},{50002,1,9000,11000},{30,1,11,14},{9,1,112,137}]</v>
      </c>
      <c r="V576" s="142" t="str">
        <f t="shared" si="192"/>
        <v>[{2,1,405000,405000},{5103001,1,40000,40000},{50002,1,6000,6000},{5203001,1,5000,5000},{21360,1,1000,1000},{5301000,1,900,1000},{5303001,1,1800,2200},{11,1,400,600}]</v>
      </c>
      <c r="X576" s="142" t="str">
        <f t="shared" si="176"/>
        <v>{2,1,405000,405000}</v>
      </c>
      <c r="Y576" s="142"/>
      <c r="Z576" s="142" t="str">
        <f t="shared" si="177"/>
        <v>{5103001,1,20000,20000}</v>
      </c>
      <c r="AA576" s="142" t="str">
        <f t="shared" si="194"/>
        <v>{1,2,750,750}</v>
      </c>
      <c r="AD576" s="142" t="str">
        <f t="shared" si="178"/>
        <v>{50002,1,9000,11000}</v>
      </c>
      <c r="AE576" s="142" t="str">
        <f t="shared" si="193"/>
        <v>{30,1,11,14}</v>
      </c>
      <c r="AG576" s="142" t="str">
        <f t="shared" si="179"/>
        <v>{9,1,112,137}</v>
      </c>
      <c r="AH576" s="142" t="str">
        <f t="shared" si="180"/>
        <v>{2,1,405000,405000}</v>
      </c>
      <c r="AI576" s="142" t="str">
        <f t="shared" si="181"/>
        <v>{5103001,1,40000,40000}</v>
      </c>
      <c r="AJ576" s="142" t="str">
        <f t="shared" si="182"/>
        <v>{50002,1,6000,6000}</v>
      </c>
      <c r="AK576" s="142" t="str">
        <f t="shared" si="183"/>
        <v>{5203001,1,5000,5000}</v>
      </c>
      <c r="AL576" s="142" t="str">
        <f t="shared" si="184"/>
        <v>{21360,1,1000,1000}</v>
      </c>
      <c r="AM576" s="142" t="str">
        <f t="shared" si="185"/>
        <v>{5301000,1,900,1000}</v>
      </c>
      <c r="AO576" s="142" t="str">
        <f t="shared" si="186"/>
        <v>{5303001,1,1800,2200}</v>
      </c>
      <c r="AP576" s="142" t="s">
        <v>210</v>
      </c>
      <c r="AQ576" s="142"/>
    </row>
    <row r="577" spans="1:43">
      <c r="A577" s="143" t="str">
        <f t="shared" si="187"/>
        <v>[{2,1,406000,406000},{5103001,1,20000,20000}]</v>
      </c>
      <c r="B577" s="98">
        <f t="shared" si="188"/>
        <v>267</v>
      </c>
      <c r="C577" s="144">
        <v>406</v>
      </c>
      <c r="D577" s="145">
        <f t="shared" si="189"/>
        <v>406</v>
      </c>
      <c r="E577" s="145">
        <v>40</v>
      </c>
      <c r="F577" s="145">
        <v>20</v>
      </c>
      <c r="G577" s="146">
        <v>1</v>
      </c>
      <c r="H577" s="146">
        <v>6</v>
      </c>
      <c r="I577" s="146">
        <v>10</v>
      </c>
      <c r="J577" s="146">
        <v>5</v>
      </c>
      <c r="K577" s="146">
        <v>1</v>
      </c>
      <c r="L577" s="146">
        <v>1.5</v>
      </c>
      <c r="M577" s="145">
        <v>0.125</v>
      </c>
      <c r="N577" s="145">
        <v>0.5</v>
      </c>
      <c r="O577" s="145">
        <v>2</v>
      </c>
      <c r="P577" s="145">
        <v>0.013</v>
      </c>
      <c r="Q577" s="145">
        <f t="shared" si="173"/>
        <v>78.44</v>
      </c>
      <c r="R577" s="145">
        <f t="shared" si="174"/>
        <v>134.3</v>
      </c>
      <c r="S577" s="126">
        <f t="shared" si="190"/>
        <v>203</v>
      </c>
      <c r="T577" s="147">
        <f t="shared" si="175"/>
        <v>6.715</v>
      </c>
      <c r="U577" s="142" t="str">
        <f t="shared" si="191"/>
        <v>[{2,1,406000,406000},{5103001,1,20000,20000},{1,2,750,750},{50002,1,9000,11000},{30,1,11,14},{9,1,112,137}]</v>
      </c>
      <c r="V577" s="142" t="str">
        <f t="shared" si="192"/>
        <v>[{2,1,406000,406000},{5103001,1,40000,40000},{50002,1,6000,6000},{5203001,1,5000,5000},{21360,1,1000,1000},{5301000,1,900,1000},{5303001,1,1800,2200},{11,1,400,600}]</v>
      </c>
      <c r="X577" s="142" t="str">
        <f t="shared" si="176"/>
        <v>{2,1,406000,406000}</v>
      </c>
      <c r="Y577" s="142"/>
      <c r="Z577" s="142" t="str">
        <f t="shared" si="177"/>
        <v>{5103001,1,20000,20000}</v>
      </c>
      <c r="AA577" s="142" t="str">
        <f t="shared" si="194"/>
        <v>{1,2,750,750}</v>
      </c>
      <c r="AD577" s="142" t="str">
        <f t="shared" si="178"/>
        <v>{50002,1,9000,11000}</v>
      </c>
      <c r="AE577" s="142" t="str">
        <f t="shared" si="193"/>
        <v>{30,1,11,14}</v>
      </c>
      <c r="AG577" s="142" t="str">
        <f t="shared" si="179"/>
        <v>{9,1,112,137}</v>
      </c>
      <c r="AH577" s="142" t="str">
        <f t="shared" si="180"/>
        <v>{2,1,406000,406000}</v>
      </c>
      <c r="AI577" s="142" t="str">
        <f t="shared" si="181"/>
        <v>{5103001,1,40000,40000}</v>
      </c>
      <c r="AJ577" s="142" t="str">
        <f t="shared" si="182"/>
        <v>{50002,1,6000,6000}</v>
      </c>
      <c r="AK577" s="142" t="str">
        <f t="shared" si="183"/>
        <v>{5203001,1,5000,5000}</v>
      </c>
      <c r="AL577" s="142" t="str">
        <f t="shared" si="184"/>
        <v>{21360,1,1000,1000}</v>
      </c>
      <c r="AM577" s="142" t="str">
        <f t="shared" si="185"/>
        <v>{5301000,1,900,1000}</v>
      </c>
      <c r="AO577" s="142" t="str">
        <f t="shared" si="186"/>
        <v>{5303001,1,1800,2200}</v>
      </c>
      <c r="AP577" s="142" t="s">
        <v>210</v>
      </c>
      <c r="AQ577" s="142"/>
    </row>
    <row r="578" spans="1:43">
      <c r="A578" s="143" t="str">
        <f t="shared" si="187"/>
        <v>[{2,1,407000,407000},{5103001,1,20000,20000}]</v>
      </c>
      <c r="B578" s="98">
        <f t="shared" si="188"/>
        <v>268</v>
      </c>
      <c r="C578" s="144">
        <v>407</v>
      </c>
      <c r="D578" s="145">
        <f t="shared" si="189"/>
        <v>407</v>
      </c>
      <c r="E578" s="145">
        <v>40</v>
      </c>
      <c r="F578" s="145">
        <v>20</v>
      </c>
      <c r="G578" s="146">
        <v>1</v>
      </c>
      <c r="H578" s="146">
        <v>6</v>
      </c>
      <c r="I578" s="146">
        <v>10</v>
      </c>
      <c r="J578" s="146">
        <v>5</v>
      </c>
      <c r="K578" s="146">
        <v>1</v>
      </c>
      <c r="L578" s="146">
        <v>1.5</v>
      </c>
      <c r="M578" s="145">
        <v>0.125</v>
      </c>
      <c r="N578" s="145">
        <v>0.5</v>
      </c>
      <c r="O578" s="145">
        <v>2</v>
      </c>
      <c r="P578" s="145">
        <v>0.013</v>
      </c>
      <c r="Q578" s="145">
        <f t="shared" si="173"/>
        <v>78.49</v>
      </c>
      <c r="R578" s="145">
        <f t="shared" si="174"/>
        <v>134.35</v>
      </c>
      <c r="S578" s="126">
        <f t="shared" si="190"/>
        <v>203.5</v>
      </c>
      <c r="T578" s="147">
        <f t="shared" si="175"/>
        <v>6.7175</v>
      </c>
      <c r="U578" s="142" t="str">
        <f t="shared" si="191"/>
        <v>[{2,1,407000,407000},{5103001,1,20000,20000},{1,2,750,750},{50002,1,9000,11000},{30,1,11,14},{9,1,112,137}]</v>
      </c>
      <c r="V578" s="142" t="str">
        <f t="shared" si="192"/>
        <v>[{2,1,407000,407000},{5103001,1,40000,40000},{50002,1,6000,6000},{5203001,1,5000,5000},{21360,1,1000,1000},{5301000,1,900,1000},{5303001,1,1800,2200},{11,1,400,600}]</v>
      </c>
      <c r="X578" s="142" t="str">
        <f t="shared" si="176"/>
        <v>{2,1,407000,407000}</v>
      </c>
      <c r="Y578" s="142"/>
      <c r="Z578" s="142" t="str">
        <f t="shared" si="177"/>
        <v>{5103001,1,20000,20000}</v>
      </c>
      <c r="AA578" s="142" t="str">
        <f t="shared" si="194"/>
        <v>{1,2,750,750}</v>
      </c>
      <c r="AD578" s="142" t="str">
        <f t="shared" si="178"/>
        <v>{50002,1,9000,11000}</v>
      </c>
      <c r="AE578" s="142" t="str">
        <f t="shared" si="193"/>
        <v>{30,1,11,14}</v>
      </c>
      <c r="AG578" s="142" t="str">
        <f t="shared" si="179"/>
        <v>{9,1,112,137}</v>
      </c>
      <c r="AH578" s="142" t="str">
        <f t="shared" si="180"/>
        <v>{2,1,407000,407000}</v>
      </c>
      <c r="AI578" s="142" t="str">
        <f t="shared" si="181"/>
        <v>{5103001,1,40000,40000}</v>
      </c>
      <c r="AJ578" s="142" t="str">
        <f t="shared" si="182"/>
        <v>{50002,1,6000,6000}</v>
      </c>
      <c r="AK578" s="142" t="str">
        <f t="shared" si="183"/>
        <v>{5203001,1,5000,5000}</v>
      </c>
      <c r="AL578" s="142" t="str">
        <f t="shared" si="184"/>
        <v>{21360,1,1000,1000}</v>
      </c>
      <c r="AM578" s="142" t="str">
        <f t="shared" si="185"/>
        <v>{5301000,1,900,1000}</v>
      </c>
      <c r="AO578" s="142" t="str">
        <f t="shared" si="186"/>
        <v>{5303001,1,1800,2200}</v>
      </c>
      <c r="AP578" s="142" t="s">
        <v>210</v>
      </c>
      <c r="AQ578" s="142"/>
    </row>
    <row r="579" spans="1:43">
      <c r="A579" s="143" t="str">
        <f t="shared" si="187"/>
        <v>[{2,1,408000,408000},{5103001,1,20000,20000}]</v>
      </c>
      <c r="B579" s="98">
        <f t="shared" si="188"/>
        <v>269</v>
      </c>
      <c r="C579" s="144">
        <v>408</v>
      </c>
      <c r="D579" s="145">
        <f t="shared" si="189"/>
        <v>408</v>
      </c>
      <c r="E579" s="145">
        <v>40</v>
      </c>
      <c r="F579" s="145">
        <v>20</v>
      </c>
      <c r="G579" s="146">
        <v>1</v>
      </c>
      <c r="H579" s="146">
        <v>6</v>
      </c>
      <c r="I579" s="146">
        <v>10</v>
      </c>
      <c r="J579" s="146">
        <v>5</v>
      </c>
      <c r="K579" s="146">
        <v>1</v>
      </c>
      <c r="L579" s="146">
        <v>1.5</v>
      </c>
      <c r="M579" s="145">
        <v>0.125</v>
      </c>
      <c r="N579" s="145">
        <v>0.5</v>
      </c>
      <c r="O579" s="145">
        <v>2</v>
      </c>
      <c r="P579" s="145">
        <v>0.013</v>
      </c>
      <c r="Q579" s="145">
        <f t="shared" si="173"/>
        <v>78.54</v>
      </c>
      <c r="R579" s="145">
        <f t="shared" si="174"/>
        <v>134.4</v>
      </c>
      <c r="S579" s="126">
        <f t="shared" si="190"/>
        <v>204</v>
      </c>
      <c r="T579" s="147">
        <f t="shared" si="175"/>
        <v>6.72</v>
      </c>
      <c r="U579" s="142" t="str">
        <f t="shared" si="191"/>
        <v>[{2,1,408000,408000},{5103001,1,20000,20000},{1,2,750,750},{50002,1,9000,11000},{30,1,11,14},{9,1,112,137}]</v>
      </c>
      <c r="V579" s="142" t="str">
        <f t="shared" si="192"/>
        <v>[{2,1,408000,408000},{5103001,1,40000,40000},{50002,1,6000,6000},{5203001,1,5000,5000},{21360,1,1000,1000},{5301000,1,900,1000},{5303001,1,1800,2200},{11,1,400,600}]</v>
      </c>
      <c r="X579" s="142" t="str">
        <f t="shared" si="176"/>
        <v>{2,1,408000,408000}</v>
      </c>
      <c r="Y579" s="142"/>
      <c r="Z579" s="142" t="str">
        <f t="shared" si="177"/>
        <v>{5103001,1,20000,20000}</v>
      </c>
      <c r="AA579" s="142" t="str">
        <f t="shared" si="194"/>
        <v>{1,2,750,750}</v>
      </c>
      <c r="AD579" s="142" t="str">
        <f t="shared" si="178"/>
        <v>{50002,1,9000,11000}</v>
      </c>
      <c r="AE579" s="142" t="str">
        <f t="shared" si="193"/>
        <v>{30,1,11,14}</v>
      </c>
      <c r="AG579" s="142" t="str">
        <f t="shared" si="179"/>
        <v>{9,1,112,137}</v>
      </c>
      <c r="AH579" s="142" t="str">
        <f t="shared" si="180"/>
        <v>{2,1,408000,408000}</v>
      </c>
      <c r="AI579" s="142" t="str">
        <f t="shared" si="181"/>
        <v>{5103001,1,40000,40000}</v>
      </c>
      <c r="AJ579" s="142" t="str">
        <f t="shared" si="182"/>
        <v>{50002,1,6000,6000}</v>
      </c>
      <c r="AK579" s="142" t="str">
        <f t="shared" si="183"/>
        <v>{5203001,1,5000,5000}</v>
      </c>
      <c r="AL579" s="142" t="str">
        <f t="shared" si="184"/>
        <v>{21360,1,1000,1000}</v>
      </c>
      <c r="AM579" s="142" t="str">
        <f t="shared" si="185"/>
        <v>{5301000,1,900,1000}</v>
      </c>
      <c r="AO579" s="142" t="str">
        <f t="shared" si="186"/>
        <v>{5303001,1,1800,2200}</v>
      </c>
      <c r="AP579" s="142" t="s">
        <v>210</v>
      </c>
      <c r="AQ579" s="142"/>
    </row>
    <row r="580" spans="1:43">
      <c r="A580" s="143" t="str">
        <f t="shared" si="187"/>
        <v>[{2,1,409000,409000},{5103001,1,20000,20000}]</v>
      </c>
      <c r="B580" s="98">
        <f t="shared" si="188"/>
        <v>270</v>
      </c>
      <c r="C580" s="144">
        <v>409</v>
      </c>
      <c r="D580" s="145">
        <f t="shared" si="189"/>
        <v>409</v>
      </c>
      <c r="E580" s="145">
        <v>40</v>
      </c>
      <c r="F580" s="145">
        <v>20</v>
      </c>
      <c r="G580" s="146">
        <v>1</v>
      </c>
      <c r="H580" s="146">
        <v>6</v>
      </c>
      <c r="I580" s="146">
        <v>10</v>
      </c>
      <c r="J580" s="146">
        <v>5</v>
      </c>
      <c r="K580" s="146">
        <v>1</v>
      </c>
      <c r="L580" s="146">
        <v>1.5</v>
      </c>
      <c r="M580" s="145">
        <v>0.125</v>
      </c>
      <c r="N580" s="145">
        <v>0.5</v>
      </c>
      <c r="O580" s="145">
        <v>2</v>
      </c>
      <c r="P580" s="145">
        <v>0.013</v>
      </c>
      <c r="Q580" s="145">
        <f t="shared" si="173"/>
        <v>78.59</v>
      </c>
      <c r="R580" s="145">
        <f t="shared" si="174"/>
        <v>134.45</v>
      </c>
      <c r="S580" s="126">
        <f t="shared" si="190"/>
        <v>204.5</v>
      </c>
      <c r="T580" s="147">
        <f t="shared" si="175"/>
        <v>6.7225</v>
      </c>
      <c r="U580" s="142" t="str">
        <f t="shared" si="191"/>
        <v>[{2,1,409000,409000},{5103001,1,20000,20000},{1,2,750,750},{50002,1,9000,11000},{30,1,11,14},{9,1,112,137}]</v>
      </c>
      <c r="V580" s="142" t="str">
        <f t="shared" si="192"/>
        <v>[{2,1,409000,409000},{5103001,1,40000,40000},{50002,1,6000,6000},{5203001,1,5000,5000},{21360,1,1000,1000},{5301000,1,900,1000},{5303001,1,1800,2200},{11,1,400,600}]</v>
      </c>
      <c r="X580" s="142" t="str">
        <f t="shared" si="176"/>
        <v>{2,1,409000,409000}</v>
      </c>
      <c r="Y580" s="142"/>
      <c r="Z580" s="142" t="str">
        <f t="shared" si="177"/>
        <v>{5103001,1,20000,20000}</v>
      </c>
      <c r="AA580" s="142" t="str">
        <f t="shared" si="194"/>
        <v>{1,2,750,750}</v>
      </c>
      <c r="AD580" s="142" t="str">
        <f t="shared" si="178"/>
        <v>{50002,1,9000,11000}</v>
      </c>
      <c r="AE580" s="142" t="str">
        <f t="shared" si="193"/>
        <v>{30,1,11,14}</v>
      </c>
      <c r="AG580" s="142" t="str">
        <f t="shared" si="179"/>
        <v>{9,1,112,137}</v>
      </c>
      <c r="AH580" s="142" t="str">
        <f t="shared" si="180"/>
        <v>{2,1,409000,409000}</v>
      </c>
      <c r="AI580" s="142" t="str">
        <f t="shared" si="181"/>
        <v>{5103001,1,40000,40000}</v>
      </c>
      <c r="AJ580" s="142" t="str">
        <f t="shared" si="182"/>
        <v>{50002,1,6000,6000}</v>
      </c>
      <c r="AK580" s="142" t="str">
        <f t="shared" si="183"/>
        <v>{5203001,1,5000,5000}</v>
      </c>
      <c r="AL580" s="142" t="str">
        <f t="shared" si="184"/>
        <v>{21360,1,1000,1000}</v>
      </c>
      <c r="AM580" s="142" t="str">
        <f t="shared" si="185"/>
        <v>{5301000,1,900,1000}</v>
      </c>
      <c r="AO580" s="142" t="str">
        <f t="shared" si="186"/>
        <v>{5303001,1,1800,2200}</v>
      </c>
      <c r="AP580" s="142" t="s">
        <v>210</v>
      </c>
      <c r="AQ580" s="142"/>
    </row>
    <row r="581" spans="1:43">
      <c r="A581" s="143" t="str">
        <f t="shared" si="187"/>
        <v>[{2,1,410000,410000},{5103001,1,20000,20000}]</v>
      </c>
      <c r="B581" s="98">
        <f t="shared" si="188"/>
        <v>271</v>
      </c>
      <c r="C581" s="144">
        <v>410</v>
      </c>
      <c r="D581" s="145">
        <f t="shared" si="189"/>
        <v>410</v>
      </c>
      <c r="E581" s="145">
        <v>40</v>
      </c>
      <c r="F581" s="145">
        <v>20</v>
      </c>
      <c r="G581" s="146">
        <v>1</v>
      </c>
      <c r="H581" s="146">
        <v>6</v>
      </c>
      <c r="I581" s="146">
        <v>10</v>
      </c>
      <c r="J581" s="146">
        <v>5</v>
      </c>
      <c r="K581" s="146">
        <v>1</v>
      </c>
      <c r="L581" s="146">
        <v>1.5</v>
      </c>
      <c r="M581" s="145">
        <v>0.125</v>
      </c>
      <c r="N581" s="145">
        <v>0.5</v>
      </c>
      <c r="O581" s="145">
        <v>2</v>
      </c>
      <c r="P581" s="145">
        <v>0.013</v>
      </c>
      <c r="Q581" s="145">
        <f t="shared" si="173"/>
        <v>78.64</v>
      </c>
      <c r="R581" s="145">
        <f t="shared" si="174"/>
        <v>134.5</v>
      </c>
      <c r="S581" s="126">
        <f t="shared" si="190"/>
        <v>205</v>
      </c>
      <c r="T581" s="147">
        <f t="shared" si="175"/>
        <v>6.725</v>
      </c>
      <c r="U581" s="142" t="str">
        <f t="shared" si="191"/>
        <v>[{2,1,410000,410000},{5103001,1,20000,20000},{1,2,750,750},{50002,1,9000,11000},{30,1,11,14},{9,1,112,137}]</v>
      </c>
      <c r="V581" s="142" t="str">
        <f t="shared" si="192"/>
        <v>[{2,1,410000,410000},{5103001,1,40000,40000},{50002,1,6000,6000},{5203001,1,5000,5000},{21360,1,1000,1000},{5301000,1,900,1000},{5303001,1,1800,2200},{11,1,400,600}]</v>
      </c>
      <c r="X581" s="142" t="str">
        <f t="shared" si="176"/>
        <v>{2,1,410000,410000}</v>
      </c>
      <c r="Y581" s="142"/>
      <c r="Z581" s="142" t="str">
        <f t="shared" si="177"/>
        <v>{5103001,1,20000,20000}</v>
      </c>
      <c r="AA581" s="142" t="str">
        <f t="shared" si="194"/>
        <v>{1,2,750,750}</v>
      </c>
      <c r="AD581" s="142" t="str">
        <f t="shared" si="178"/>
        <v>{50002,1,9000,11000}</v>
      </c>
      <c r="AE581" s="142" t="str">
        <f t="shared" si="193"/>
        <v>{30,1,11,14}</v>
      </c>
      <c r="AG581" s="142" t="str">
        <f t="shared" si="179"/>
        <v>{9,1,112,137}</v>
      </c>
      <c r="AH581" s="142" t="str">
        <f t="shared" si="180"/>
        <v>{2,1,410000,410000}</v>
      </c>
      <c r="AI581" s="142" t="str">
        <f t="shared" si="181"/>
        <v>{5103001,1,40000,40000}</v>
      </c>
      <c r="AJ581" s="142" t="str">
        <f t="shared" si="182"/>
        <v>{50002,1,6000,6000}</v>
      </c>
      <c r="AK581" s="142" t="str">
        <f t="shared" si="183"/>
        <v>{5203001,1,5000,5000}</v>
      </c>
      <c r="AL581" s="142" t="str">
        <f t="shared" si="184"/>
        <v>{21360,1,1000,1000}</v>
      </c>
      <c r="AM581" s="142" t="str">
        <f t="shared" si="185"/>
        <v>{5301000,1,900,1000}</v>
      </c>
      <c r="AO581" s="142" t="str">
        <f t="shared" si="186"/>
        <v>{5303001,1,1800,2200}</v>
      </c>
      <c r="AP581" s="142" t="s">
        <v>210</v>
      </c>
      <c r="AQ581" s="142"/>
    </row>
    <row r="582" spans="1:43">
      <c r="A582" s="143" t="str">
        <f t="shared" si="187"/>
        <v>[{2,1,411000,411000},{5103001,1,20000,20000}]</v>
      </c>
      <c r="B582" s="98">
        <f t="shared" si="188"/>
        <v>272</v>
      </c>
      <c r="C582" s="144">
        <v>411</v>
      </c>
      <c r="D582" s="145">
        <f t="shared" si="189"/>
        <v>411</v>
      </c>
      <c r="E582" s="145">
        <v>40</v>
      </c>
      <c r="F582" s="145">
        <v>20</v>
      </c>
      <c r="G582" s="146">
        <v>1</v>
      </c>
      <c r="H582" s="146">
        <v>6</v>
      </c>
      <c r="I582" s="146">
        <v>10</v>
      </c>
      <c r="J582" s="146">
        <v>5</v>
      </c>
      <c r="K582" s="146">
        <v>1</v>
      </c>
      <c r="L582" s="146">
        <v>1.5</v>
      </c>
      <c r="M582" s="145">
        <v>0.125</v>
      </c>
      <c r="N582" s="145">
        <v>0.5</v>
      </c>
      <c r="O582" s="145">
        <v>2</v>
      </c>
      <c r="P582" s="145">
        <v>0.013</v>
      </c>
      <c r="Q582" s="145">
        <f t="shared" si="173"/>
        <v>78.69</v>
      </c>
      <c r="R582" s="145">
        <f t="shared" si="174"/>
        <v>134.55</v>
      </c>
      <c r="S582" s="126">
        <f t="shared" si="190"/>
        <v>205.5</v>
      </c>
      <c r="T582" s="147">
        <f t="shared" si="175"/>
        <v>6.7275</v>
      </c>
      <c r="U582" s="142" t="str">
        <f t="shared" si="191"/>
        <v>[{2,1,411000,411000},{5103001,1,20000,20000},{1,2,750,750},{50002,1,9000,11000},{30,1,11,14},{9,1,112,137}]</v>
      </c>
      <c r="V582" s="142" t="str">
        <f t="shared" si="192"/>
        <v>[{2,1,411000,411000},{5103001,1,40000,40000},{50002,1,6000,6000},{5203001,1,5000,5000},{21360,1,1000,1000},{5301000,1,900,1000},{5303001,1,1800,2200},{11,1,400,600}]</v>
      </c>
      <c r="X582" s="142" t="str">
        <f t="shared" si="176"/>
        <v>{2,1,411000,411000}</v>
      </c>
      <c r="Y582" s="142"/>
      <c r="Z582" s="142" t="str">
        <f t="shared" si="177"/>
        <v>{5103001,1,20000,20000}</v>
      </c>
      <c r="AA582" s="142" t="str">
        <f t="shared" si="194"/>
        <v>{1,2,750,750}</v>
      </c>
      <c r="AD582" s="142" t="str">
        <f t="shared" si="178"/>
        <v>{50002,1,9000,11000}</v>
      </c>
      <c r="AE582" s="142" t="str">
        <f t="shared" si="193"/>
        <v>{30,1,11,14}</v>
      </c>
      <c r="AG582" s="142" t="str">
        <f t="shared" si="179"/>
        <v>{9,1,112,137}</v>
      </c>
      <c r="AH582" s="142" t="str">
        <f t="shared" si="180"/>
        <v>{2,1,411000,411000}</v>
      </c>
      <c r="AI582" s="142" t="str">
        <f t="shared" si="181"/>
        <v>{5103001,1,40000,40000}</v>
      </c>
      <c r="AJ582" s="142" t="str">
        <f t="shared" si="182"/>
        <v>{50002,1,6000,6000}</v>
      </c>
      <c r="AK582" s="142" t="str">
        <f t="shared" si="183"/>
        <v>{5203001,1,5000,5000}</v>
      </c>
      <c r="AL582" s="142" t="str">
        <f t="shared" si="184"/>
        <v>{21360,1,1000,1000}</v>
      </c>
      <c r="AM582" s="142" t="str">
        <f t="shared" si="185"/>
        <v>{5301000,1,900,1000}</v>
      </c>
      <c r="AO582" s="142" t="str">
        <f t="shared" si="186"/>
        <v>{5303001,1,1800,2200}</v>
      </c>
      <c r="AP582" s="142" t="s">
        <v>210</v>
      </c>
      <c r="AQ582" s="142"/>
    </row>
    <row r="583" spans="1:43">
      <c r="A583" s="143" t="str">
        <f t="shared" si="187"/>
        <v>[{2,1,412000,412000},{5103001,1,20000,20000}]</v>
      </c>
      <c r="B583" s="98">
        <f t="shared" si="188"/>
        <v>273</v>
      </c>
      <c r="C583" s="144">
        <v>412</v>
      </c>
      <c r="D583" s="145">
        <f t="shared" si="189"/>
        <v>412</v>
      </c>
      <c r="E583" s="145">
        <v>40</v>
      </c>
      <c r="F583" s="145">
        <v>20</v>
      </c>
      <c r="G583" s="146">
        <v>1</v>
      </c>
      <c r="H583" s="146">
        <v>6</v>
      </c>
      <c r="I583" s="146">
        <v>10</v>
      </c>
      <c r="J583" s="146">
        <v>5</v>
      </c>
      <c r="K583" s="146">
        <v>1</v>
      </c>
      <c r="L583" s="146">
        <v>1.5</v>
      </c>
      <c r="M583" s="145">
        <v>0.125</v>
      </c>
      <c r="N583" s="145">
        <v>0.5</v>
      </c>
      <c r="O583" s="145">
        <v>2</v>
      </c>
      <c r="P583" s="145">
        <v>0.013</v>
      </c>
      <c r="Q583" s="145">
        <f t="shared" si="173"/>
        <v>78.74</v>
      </c>
      <c r="R583" s="145">
        <f t="shared" si="174"/>
        <v>134.6</v>
      </c>
      <c r="S583" s="126">
        <f t="shared" si="190"/>
        <v>206</v>
      </c>
      <c r="T583" s="147">
        <f t="shared" si="175"/>
        <v>6.73</v>
      </c>
      <c r="U583" s="142" t="str">
        <f t="shared" si="191"/>
        <v>[{2,1,412000,412000},{5103001,1,20000,20000},{1,2,750,750},{50002,1,9000,11000},{30,1,11,14},{9,1,112,137}]</v>
      </c>
      <c r="V583" s="142" t="str">
        <f t="shared" si="192"/>
        <v>[{2,1,412000,412000},{5103001,1,40000,40000},{50002,1,6000,6000},{5203001,1,5000,5000},{21360,1,1000,1000},{5301000,1,900,1000},{5303001,1,1800,2200},{11,1,400,600}]</v>
      </c>
      <c r="X583" s="142" t="str">
        <f t="shared" si="176"/>
        <v>{2,1,412000,412000}</v>
      </c>
      <c r="Y583" s="142"/>
      <c r="Z583" s="142" t="str">
        <f t="shared" si="177"/>
        <v>{5103001,1,20000,20000}</v>
      </c>
      <c r="AA583" s="142" t="str">
        <f t="shared" si="194"/>
        <v>{1,2,750,750}</v>
      </c>
      <c r="AD583" s="142" t="str">
        <f t="shared" si="178"/>
        <v>{50002,1,9000,11000}</v>
      </c>
      <c r="AE583" s="142" t="str">
        <f t="shared" si="193"/>
        <v>{30,1,11,14}</v>
      </c>
      <c r="AG583" s="142" t="str">
        <f t="shared" si="179"/>
        <v>{9,1,112,137}</v>
      </c>
      <c r="AH583" s="142" t="str">
        <f t="shared" si="180"/>
        <v>{2,1,412000,412000}</v>
      </c>
      <c r="AI583" s="142" t="str">
        <f t="shared" si="181"/>
        <v>{5103001,1,40000,40000}</v>
      </c>
      <c r="AJ583" s="142" t="str">
        <f t="shared" si="182"/>
        <v>{50002,1,6000,6000}</v>
      </c>
      <c r="AK583" s="142" t="str">
        <f t="shared" si="183"/>
        <v>{5203001,1,5000,5000}</v>
      </c>
      <c r="AL583" s="142" t="str">
        <f t="shared" si="184"/>
        <v>{21360,1,1000,1000}</v>
      </c>
      <c r="AM583" s="142" t="str">
        <f t="shared" si="185"/>
        <v>{5301000,1,900,1000}</v>
      </c>
      <c r="AO583" s="142" t="str">
        <f t="shared" si="186"/>
        <v>{5303001,1,1800,2200}</v>
      </c>
      <c r="AP583" s="142" t="s">
        <v>210</v>
      </c>
      <c r="AQ583" s="142"/>
    </row>
    <row r="584" spans="1:43">
      <c r="A584" s="143" t="str">
        <f t="shared" si="187"/>
        <v>[{2,1,413000,413000},{5103001,1,20000,20000}]</v>
      </c>
      <c r="B584" s="98">
        <f t="shared" si="188"/>
        <v>274</v>
      </c>
      <c r="C584" s="144">
        <v>413</v>
      </c>
      <c r="D584" s="145">
        <f t="shared" si="189"/>
        <v>413</v>
      </c>
      <c r="E584" s="145">
        <v>40</v>
      </c>
      <c r="F584" s="145">
        <v>20</v>
      </c>
      <c r="G584" s="146">
        <v>1</v>
      </c>
      <c r="H584" s="146">
        <v>6</v>
      </c>
      <c r="I584" s="146">
        <v>10</v>
      </c>
      <c r="J584" s="146">
        <v>5</v>
      </c>
      <c r="K584" s="146">
        <v>1</v>
      </c>
      <c r="L584" s="146">
        <v>1.5</v>
      </c>
      <c r="M584" s="145">
        <v>0.125</v>
      </c>
      <c r="N584" s="145">
        <v>0.5</v>
      </c>
      <c r="O584" s="145">
        <v>2</v>
      </c>
      <c r="P584" s="145">
        <v>0.013</v>
      </c>
      <c r="Q584" s="145">
        <f t="shared" si="173"/>
        <v>78.79</v>
      </c>
      <c r="R584" s="145">
        <f t="shared" si="174"/>
        <v>134.65</v>
      </c>
      <c r="S584" s="126">
        <f t="shared" si="190"/>
        <v>206.5</v>
      </c>
      <c r="T584" s="147">
        <f t="shared" si="175"/>
        <v>6.7325</v>
      </c>
      <c r="U584" s="142" t="str">
        <f t="shared" si="191"/>
        <v>[{2,1,413000,413000},{5103001,1,20000,20000},{1,2,750,750},{50002,1,9000,11000},{30,1,11,14},{9,1,112,137}]</v>
      </c>
      <c r="V584" s="142" t="str">
        <f t="shared" si="192"/>
        <v>[{2,1,413000,413000},{5103001,1,40000,40000},{50002,1,6000,6000},{5203001,1,5000,5000},{21360,1,1000,1000},{5301000,1,900,1000},{5303001,1,1800,2200},{11,1,400,600}]</v>
      </c>
      <c r="X584" s="142" t="str">
        <f t="shared" si="176"/>
        <v>{2,1,413000,413000}</v>
      </c>
      <c r="Y584" s="142"/>
      <c r="Z584" s="142" t="str">
        <f t="shared" si="177"/>
        <v>{5103001,1,20000,20000}</v>
      </c>
      <c r="AA584" s="142" t="str">
        <f t="shared" si="194"/>
        <v>{1,2,750,750}</v>
      </c>
      <c r="AD584" s="142" t="str">
        <f t="shared" si="178"/>
        <v>{50002,1,9000,11000}</v>
      </c>
      <c r="AE584" s="142" t="str">
        <f t="shared" si="193"/>
        <v>{30,1,11,14}</v>
      </c>
      <c r="AG584" s="142" t="str">
        <f t="shared" si="179"/>
        <v>{9,1,112,137}</v>
      </c>
      <c r="AH584" s="142" t="str">
        <f t="shared" si="180"/>
        <v>{2,1,413000,413000}</v>
      </c>
      <c r="AI584" s="142" t="str">
        <f t="shared" si="181"/>
        <v>{5103001,1,40000,40000}</v>
      </c>
      <c r="AJ584" s="142" t="str">
        <f t="shared" si="182"/>
        <v>{50002,1,6000,6000}</v>
      </c>
      <c r="AK584" s="142" t="str">
        <f t="shared" si="183"/>
        <v>{5203001,1,5000,5000}</v>
      </c>
      <c r="AL584" s="142" t="str">
        <f t="shared" si="184"/>
        <v>{21360,1,1000,1000}</v>
      </c>
      <c r="AM584" s="142" t="str">
        <f t="shared" si="185"/>
        <v>{5301000,1,900,1000}</v>
      </c>
      <c r="AO584" s="142" t="str">
        <f t="shared" si="186"/>
        <v>{5303001,1,1800,2200}</v>
      </c>
      <c r="AP584" s="142" t="s">
        <v>210</v>
      </c>
      <c r="AQ584" s="142"/>
    </row>
    <row r="585" spans="1:43">
      <c r="A585" s="143" t="str">
        <f t="shared" si="187"/>
        <v>[{2,1,414000,414000},{5103001,1,20000,20000}]</v>
      </c>
      <c r="B585" s="98">
        <f t="shared" si="188"/>
        <v>275</v>
      </c>
      <c r="C585" s="144">
        <v>414</v>
      </c>
      <c r="D585" s="145">
        <f t="shared" si="189"/>
        <v>414</v>
      </c>
      <c r="E585" s="145">
        <v>40</v>
      </c>
      <c r="F585" s="145">
        <v>20</v>
      </c>
      <c r="G585" s="146">
        <v>1</v>
      </c>
      <c r="H585" s="146">
        <v>6</v>
      </c>
      <c r="I585" s="146">
        <v>10</v>
      </c>
      <c r="J585" s="146">
        <v>5</v>
      </c>
      <c r="K585" s="146">
        <v>1</v>
      </c>
      <c r="L585" s="146">
        <v>1.5</v>
      </c>
      <c r="M585" s="145">
        <v>0.125</v>
      </c>
      <c r="N585" s="145">
        <v>0.5</v>
      </c>
      <c r="O585" s="145">
        <v>2</v>
      </c>
      <c r="P585" s="145">
        <v>0.013</v>
      </c>
      <c r="Q585" s="145">
        <f t="shared" si="173"/>
        <v>78.84</v>
      </c>
      <c r="R585" s="145">
        <f t="shared" si="174"/>
        <v>134.7</v>
      </c>
      <c r="S585" s="126">
        <f t="shared" si="190"/>
        <v>207</v>
      </c>
      <c r="T585" s="147">
        <f t="shared" si="175"/>
        <v>6.735</v>
      </c>
      <c r="U585" s="142" t="str">
        <f t="shared" si="191"/>
        <v>[{2,1,414000,414000},{5103001,1,20000,20000},{1,2,750,750},{50002,1,9000,11000},{30,1,11,14},{9,1,112,137}]</v>
      </c>
      <c r="V585" s="142" t="str">
        <f t="shared" si="192"/>
        <v>[{2,1,414000,414000},{5103001,1,40000,40000},{50002,1,6000,6000},{5203001,1,5000,5000},{21360,1,1000,1000},{5301000,1,900,1000},{5303001,1,1800,2200},{11,1,400,600}]</v>
      </c>
      <c r="X585" s="142" t="str">
        <f t="shared" si="176"/>
        <v>{2,1,414000,414000}</v>
      </c>
      <c r="Y585" s="142"/>
      <c r="Z585" s="142" t="str">
        <f t="shared" si="177"/>
        <v>{5103001,1,20000,20000}</v>
      </c>
      <c r="AA585" s="142" t="str">
        <f t="shared" si="194"/>
        <v>{1,2,750,750}</v>
      </c>
      <c r="AD585" s="142" t="str">
        <f t="shared" si="178"/>
        <v>{50002,1,9000,11000}</v>
      </c>
      <c r="AE585" s="142" t="str">
        <f t="shared" si="193"/>
        <v>{30,1,11,14}</v>
      </c>
      <c r="AG585" s="142" t="str">
        <f t="shared" si="179"/>
        <v>{9,1,112,137}</v>
      </c>
      <c r="AH585" s="142" t="str">
        <f t="shared" si="180"/>
        <v>{2,1,414000,414000}</v>
      </c>
      <c r="AI585" s="142" t="str">
        <f t="shared" si="181"/>
        <v>{5103001,1,40000,40000}</v>
      </c>
      <c r="AJ585" s="142" t="str">
        <f t="shared" si="182"/>
        <v>{50002,1,6000,6000}</v>
      </c>
      <c r="AK585" s="142" t="str">
        <f t="shared" si="183"/>
        <v>{5203001,1,5000,5000}</v>
      </c>
      <c r="AL585" s="142" t="str">
        <f t="shared" si="184"/>
        <v>{21360,1,1000,1000}</v>
      </c>
      <c r="AM585" s="142" t="str">
        <f t="shared" si="185"/>
        <v>{5301000,1,900,1000}</v>
      </c>
      <c r="AO585" s="142" t="str">
        <f t="shared" si="186"/>
        <v>{5303001,1,1800,2200}</v>
      </c>
      <c r="AP585" s="142" t="s">
        <v>210</v>
      </c>
      <c r="AQ585" s="142"/>
    </row>
    <row r="586" spans="1:43">
      <c r="A586" s="143" t="str">
        <f t="shared" si="187"/>
        <v>[{2,1,415000,415000},{5103001,1,20000,20000}]</v>
      </c>
      <c r="B586" s="98">
        <f t="shared" si="188"/>
        <v>276</v>
      </c>
      <c r="C586" s="144">
        <v>415</v>
      </c>
      <c r="D586" s="145">
        <f t="shared" si="189"/>
        <v>415</v>
      </c>
      <c r="E586" s="145">
        <v>40</v>
      </c>
      <c r="F586" s="145">
        <v>20</v>
      </c>
      <c r="G586" s="146">
        <v>1</v>
      </c>
      <c r="H586" s="146">
        <v>6</v>
      </c>
      <c r="I586" s="146">
        <v>10</v>
      </c>
      <c r="J586" s="146">
        <v>5</v>
      </c>
      <c r="K586" s="146">
        <v>1</v>
      </c>
      <c r="L586" s="146">
        <v>1.5</v>
      </c>
      <c r="M586" s="145">
        <v>0.125</v>
      </c>
      <c r="N586" s="145">
        <v>0.5</v>
      </c>
      <c r="O586" s="145">
        <v>2</v>
      </c>
      <c r="P586" s="145">
        <v>0.013</v>
      </c>
      <c r="Q586" s="145">
        <f t="shared" si="173"/>
        <v>78.89</v>
      </c>
      <c r="R586" s="145">
        <f t="shared" si="174"/>
        <v>134.75</v>
      </c>
      <c r="S586" s="126">
        <f t="shared" si="190"/>
        <v>207.5</v>
      </c>
      <c r="T586" s="147">
        <f t="shared" si="175"/>
        <v>6.7375</v>
      </c>
      <c r="U586" s="142" t="str">
        <f t="shared" si="191"/>
        <v>[{2,1,415000,415000},{5103001,1,20000,20000},{1,2,750,750},{50002,1,9000,11000},{30,1,11,14},{9,1,112,137}]</v>
      </c>
      <c r="V586" s="142" t="str">
        <f t="shared" si="192"/>
        <v>[{2,1,415000,415000},{5103001,1,40000,40000},{50002,1,6000,6000},{5203001,1,5000,5000},{21360,1,1000,1000},{5301000,1,900,1000},{5303001,1,1800,2200},{11,1,400,600}]</v>
      </c>
      <c r="X586" s="142" t="str">
        <f t="shared" si="176"/>
        <v>{2,1,415000,415000}</v>
      </c>
      <c r="Y586" s="142"/>
      <c r="Z586" s="142" t="str">
        <f t="shared" si="177"/>
        <v>{5103001,1,20000,20000}</v>
      </c>
      <c r="AA586" s="142" t="str">
        <f t="shared" si="194"/>
        <v>{1,2,750,750}</v>
      </c>
      <c r="AD586" s="142" t="str">
        <f t="shared" si="178"/>
        <v>{50002,1,9000,11000}</v>
      </c>
      <c r="AE586" s="142" t="str">
        <f t="shared" si="193"/>
        <v>{30,1,11,14}</v>
      </c>
      <c r="AG586" s="142" t="str">
        <f t="shared" si="179"/>
        <v>{9,1,112,137}</v>
      </c>
      <c r="AH586" s="142" t="str">
        <f t="shared" si="180"/>
        <v>{2,1,415000,415000}</v>
      </c>
      <c r="AI586" s="142" t="str">
        <f t="shared" si="181"/>
        <v>{5103001,1,40000,40000}</v>
      </c>
      <c r="AJ586" s="142" t="str">
        <f t="shared" si="182"/>
        <v>{50002,1,6000,6000}</v>
      </c>
      <c r="AK586" s="142" t="str">
        <f t="shared" si="183"/>
        <v>{5203001,1,5000,5000}</v>
      </c>
      <c r="AL586" s="142" t="str">
        <f t="shared" si="184"/>
        <v>{21360,1,1000,1000}</v>
      </c>
      <c r="AM586" s="142" t="str">
        <f t="shared" si="185"/>
        <v>{5301000,1,900,1000}</v>
      </c>
      <c r="AO586" s="142" t="str">
        <f t="shared" si="186"/>
        <v>{5303001,1,1800,2200}</v>
      </c>
      <c r="AP586" s="142" t="s">
        <v>210</v>
      </c>
      <c r="AQ586" s="142"/>
    </row>
    <row r="587" spans="1:43">
      <c r="A587" s="143" t="str">
        <f t="shared" si="187"/>
        <v>[{2,1,416000,416000},{5103001,1,20000,20000}]</v>
      </c>
      <c r="B587" s="98">
        <f t="shared" si="188"/>
        <v>277</v>
      </c>
      <c r="C587" s="144">
        <v>416</v>
      </c>
      <c r="D587" s="145">
        <f t="shared" si="189"/>
        <v>416</v>
      </c>
      <c r="E587" s="145">
        <v>40</v>
      </c>
      <c r="F587" s="145">
        <v>20</v>
      </c>
      <c r="G587" s="146">
        <v>1</v>
      </c>
      <c r="H587" s="146">
        <v>6</v>
      </c>
      <c r="I587" s="146">
        <v>10</v>
      </c>
      <c r="J587" s="146">
        <v>5</v>
      </c>
      <c r="K587" s="146">
        <v>1</v>
      </c>
      <c r="L587" s="146">
        <v>1.5</v>
      </c>
      <c r="M587" s="145">
        <v>0.125</v>
      </c>
      <c r="N587" s="145">
        <v>0.5</v>
      </c>
      <c r="O587" s="145">
        <v>2</v>
      </c>
      <c r="P587" s="145">
        <v>0.013</v>
      </c>
      <c r="Q587" s="145">
        <f t="shared" si="173"/>
        <v>78.94</v>
      </c>
      <c r="R587" s="145">
        <f t="shared" si="174"/>
        <v>134.8</v>
      </c>
      <c r="S587" s="126">
        <f t="shared" si="190"/>
        <v>208</v>
      </c>
      <c r="T587" s="147">
        <f t="shared" si="175"/>
        <v>6.74</v>
      </c>
      <c r="U587" s="142" t="str">
        <f t="shared" si="191"/>
        <v>[{2,1,416000,416000},{5103001,1,20000,20000},{1,2,750,750},{50002,1,9000,11000},{30,1,11,14},{9,1,112,137}]</v>
      </c>
      <c r="V587" s="142" t="str">
        <f t="shared" si="192"/>
        <v>[{2,1,416000,416000},{5103001,1,40000,40000},{50002,1,6000,6000},{5203001,1,5000,5000},{21360,1,1000,1000},{5301000,1,900,1000},{5303001,1,1800,2200},{11,1,400,600}]</v>
      </c>
      <c r="X587" s="142" t="str">
        <f t="shared" si="176"/>
        <v>{2,1,416000,416000}</v>
      </c>
      <c r="Y587" s="142"/>
      <c r="Z587" s="142" t="str">
        <f t="shared" si="177"/>
        <v>{5103001,1,20000,20000}</v>
      </c>
      <c r="AA587" s="142" t="str">
        <f t="shared" si="194"/>
        <v>{1,2,750,750}</v>
      </c>
      <c r="AD587" s="142" t="str">
        <f t="shared" si="178"/>
        <v>{50002,1,9000,11000}</v>
      </c>
      <c r="AE587" s="142" t="str">
        <f t="shared" si="193"/>
        <v>{30,1,11,14}</v>
      </c>
      <c r="AG587" s="142" t="str">
        <f t="shared" si="179"/>
        <v>{9,1,112,137}</v>
      </c>
      <c r="AH587" s="142" t="str">
        <f t="shared" si="180"/>
        <v>{2,1,416000,416000}</v>
      </c>
      <c r="AI587" s="142" t="str">
        <f t="shared" si="181"/>
        <v>{5103001,1,40000,40000}</v>
      </c>
      <c r="AJ587" s="142" t="str">
        <f t="shared" si="182"/>
        <v>{50002,1,6000,6000}</v>
      </c>
      <c r="AK587" s="142" t="str">
        <f t="shared" si="183"/>
        <v>{5203001,1,5000,5000}</v>
      </c>
      <c r="AL587" s="142" t="str">
        <f t="shared" si="184"/>
        <v>{21360,1,1000,1000}</v>
      </c>
      <c r="AM587" s="142" t="str">
        <f t="shared" si="185"/>
        <v>{5301000,1,900,1000}</v>
      </c>
      <c r="AO587" s="142" t="str">
        <f t="shared" si="186"/>
        <v>{5303001,1,1800,2200}</v>
      </c>
      <c r="AP587" s="142" t="s">
        <v>210</v>
      </c>
      <c r="AQ587" s="142"/>
    </row>
    <row r="588" spans="1:43">
      <c r="A588" s="143" t="str">
        <f t="shared" si="187"/>
        <v>[{2,1,417000,417000},{5103001,1,20000,20000}]</v>
      </c>
      <c r="B588" s="98">
        <f t="shared" si="188"/>
        <v>278</v>
      </c>
      <c r="C588" s="144">
        <v>417</v>
      </c>
      <c r="D588" s="145">
        <f t="shared" si="189"/>
        <v>417</v>
      </c>
      <c r="E588" s="145">
        <v>40</v>
      </c>
      <c r="F588" s="145">
        <v>20</v>
      </c>
      <c r="G588" s="146">
        <v>1</v>
      </c>
      <c r="H588" s="146">
        <v>6</v>
      </c>
      <c r="I588" s="146">
        <v>10</v>
      </c>
      <c r="J588" s="146">
        <v>5</v>
      </c>
      <c r="K588" s="146">
        <v>1</v>
      </c>
      <c r="L588" s="146">
        <v>1.5</v>
      </c>
      <c r="M588" s="145">
        <v>0.125</v>
      </c>
      <c r="N588" s="145">
        <v>0.5</v>
      </c>
      <c r="O588" s="145">
        <v>2</v>
      </c>
      <c r="P588" s="145">
        <v>0.013</v>
      </c>
      <c r="Q588" s="145">
        <f t="shared" si="173"/>
        <v>78.99</v>
      </c>
      <c r="R588" s="145">
        <f t="shared" si="174"/>
        <v>134.85</v>
      </c>
      <c r="S588" s="126">
        <f t="shared" si="190"/>
        <v>208.5</v>
      </c>
      <c r="T588" s="147">
        <f t="shared" si="175"/>
        <v>6.7425</v>
      </c>
      <c r="U588" s="142" t="str">
        <f t="shared" si="191"/>
        <v>[{2,1,417000,417000},{5103001,1,20000,20000},{1,2,750,750},{50002,1,9000,11000},{30,1,11,14},{9,1,112,137}]</v>
      </c>
      <c r="V588" s="142" t="str">
        <f t="shared" si="192"/>
        <v>[{2,1,417000,417000},{5103001,1,40000,40000},{50002,1,6000,6000},{5203001,1,5000,5000},{21360,1,1000,1000},{5301000,1,900,1000},{5303001,1,1800,2200},{11,1,400,600}]</v>
      </c>
      <c r="X588" s="142" t="str">
        <f t="shared" si="176"/>
        <v>{2,1,417000,417000}</v>
      </c>
      <c r="Y588" s="142"/>
      <c r="Z588" s="142" t="str">
        <f t="shared" si="177"/>
        <v>{5103001,1,20000,20000}</v>
      </c>
      <c r="AA588" s="142" t="str">
        <f t="shared" si="194"/>
        <v>{1,2,750,750}</v>
      </c>
      <c r="AD588" s="142" t="str">
        <f t="shared" si="178"/>
        <v>{50002,1,9000,11000}</v>
      </c>
      <c r="AE588" s="142" t="str">
        <f t="shared" si="193"/>
        <v>{30,1,11,14}</v>
      </c>
      <c r="AG588" s="142" t="str">
        <f t="shared" si="179"/>
        <v>{9,1,112,137}</v>
      </c>
      <c r="AH588" s="142" t="str">
        <f t="shared" si="180"/>
        <v>{2,1,417000,417000}</v>
      </c>
      <c r="AI588" s="142" t="str">
        <f t="shared" si="181"/>
        <v>{5103001,1,40000,40000}</v>
      </c>
      <c r="AJ588" s="142" t="str">
        <f t="shared" si="182"/>
        <v>{50002,1,6000,6000}</v>
      </c>
      <c r="AK588" s="142" t="str">
        <f t="shared" si="183"/>
        <v>{5203001,1,5000,5000}</v>
      </c>
      <c r="AL588" s="142" t="str">
        <f t="shared" si="184"/>
        <v>{21360,1,1000,1000}</v>
      </c>
      <c r="AM588" s="142" t="str">
        <f t="shared" si="185"/>
        <v>{5301000,1,900,1000}</v>
      </c>
      <c r="AO588" s="142" t="str">
        <f t="shared" si="186"/>
        <v>{5303001,1,1800,2200}</v>
      </c>
      <c r="AP588" s="142" t="s">
        <v>210</v>
      </c>
      <c r="AQ588" s="142"/>
    </row>
    <row r="589" spans="1:43">
      <c r="A589" s="143" t="str">
        <f t="shared" si="187"/>
        <v>[{2,1,418000,418000},{5103001,1,20000,20000}]</v>
      </c>
      <c r="B589" s="98">
        <f t="shared" si="188"/>
        <v>279</v>
      </c>
      <c r="C589" s="144">
        <v>418</v>
      </c>
      <c r="D589" s="145">
        <f t="shared" si="189"/>
        <v>418</v>
      </c>
      <c r="E589" s="145">
        <v>40</v>
      </c>
      <c r="F589" s="145">
        <v>20</v>
      </c>
      <c r="G589" s="146">
        <v>1</v>
      </c>
      <c r="H589" s="146">
        <v>6</v>
      </c>
      <c r="I589" s="146">
        <v>10</v>
      </c>
      <c r="J589" s="146">
        <v>5</v>
      </c>
      <c r="K589" s="146">
        <v>1</v>
      </c>
      <c r="L589" s="146">
        <v>1.5</v>
      </c>
      <c r="M589" s="145">
        <v>0.125</v>
      </c>
      <c r="N589" s="145">
        <v>0.5</v>
      </c>
      <c r="O589" s="145">
        <v>2</v>
      </c>
      <c r="P589" s="145">
        <v>0.013</v>
      </c>
      <c r="Q589" s="145">
        <f t="shared" si="173"/>
        <v>79.04</v>
      </c>
      <c r="R589" s="145">
        <f t="shared" si="174"/>
        <v>134.9</v>
      </c>
      <c r="S589" s="126">
        <f t="shared" si="190"/>
        <v>209</v>
      </c>
      <c r="T589" s="147">
        <f t="shared" si="175"/>
        <v>6.745</v>
      </c>
      <c r="U589" s="142" t="str">
        <f t="shared" si="191"/>
        <v>[{2,1,418000,418000},{5103001,1,20000,20000},{1,2,750,750},{50002,1,9000,11000},{30,1,11,14},{9,1,112,137}]</v>
      </c>
      <c r="V589" s="142" t="str">
        <f t="shared" si="192"/>
        <v>[{2,1,418000,418000},{5103001,1,40000,40000},{50002,1,6000,6000},{5203001,1,5000,5000},{21360,1,1000,1000},{5301000,1,900,1000},{5303001,1,1800,2200},{11,1,400,600}]</v>
      </c>
      <c r="X589" s="142" t="str">
        <f t="shared" si="176"/>
        <v>{2,1,418000,418000}</v>
      </c>
      <c r="Y589" s="142"/>
      <c r="Z589" s="142" t="str">
        <f t="shared" si="177"/>
        <v>{5103001,1,20000,20000}</v>
      </c>
      <c r="AA589" s="142" t="str">
        <f t="shared" si="194"/>
        <v>{1,2,750,750}</v>
      </c>
      <c r="AD589" s="142" t="str">
        <f t="shared" si="178"/>
        <v>{50002,1,9000,11000}</v>
      </c>
      <c r="AE589" s="142" t="str">
        <f t="shared" si="193"/>
        <v>{30,1,11,14}</v>
      </c>
      <c r="AG589" s="142" t="str">
        <f t="shared" si="179"/>
        <v>{9,1,112,137}</v>
      </c>
      <c r="AH589" s="142" t="str">
        <f t="shared" si="180"/>
        <v>{2,1,418000,418000}</v>
      </c>
      <c r="AI589" s="142" t="str">
        <f t="shared" si="181"/>
        <v>{5103001,1,40000,40000}</v>
      </c>
      <c r="AJ589" s="142" t="str">
        <f t="shared" si="182"/>
        <v>{50002,1,6000,6000}</v>
      </c>
      <c r="AK589" s="142" t="str">
        <f t="shared" si="183"/>
        <v>{5203001,1,5000,5000}</v>
      </c>
      <c r="AL589" s="142" t="str">
        <f t="shared" si="184"/>
        <v>{21360,1,1000,1000}</v>
      </c>
      <c r="AM589" s="142" t="str">
        <f t="shared" si="185"/>
        <v>{5301000,1,900,1000}</v>
      </c>
      <c r="AO589" s="142" t="str">
        <f t="shared" si="186"/>
        <v>{5303001,1,1800,2200}</v>
      </c>
      <c r="AP589" s="142" t="s">
        <v>210</v>
      </c>
      <c r="AQ589" s="142"/>
    </row>
    <row r="590" spans="1:43">
      <c r="A590" s="143" t="str">
        <f t="shared" si="187"/>
        <v>[{2,1,419000,419000},{5103001,1,20000,20000}]</v>
      </c>
      <c r="B590" s="98">
        <f t="shared" si="188"/>
        <v>280</v>
      </c>
      <c r="C590" s="144">
        <v>419</v>
      </c>
      <c r="D590" s="145">
        <f t="shared" si="189"/>
        <v>419</v>
      </c>
      <c r="E590" s="145">
        <v>40</v>
      </c>
      <c r="F590" s="145">
        <v>20</v>
      </c>
      <c r="G590" s="146">
        <v>1</v>
      </c>
      <c r="H590" s="146">
        <v>6</v>
      </c>
      <c r="I590" s="146">
        <v>10</v>
      </c>
      <c r="J590" s="146">
        <v>5</v>
      </c>
      <c r="K590" s="146">
        <v>1</v>
      </c>
      <c r="L590" s="146">
        <v>1.5</v>
      </c>
      <c r="M590" s="145">
        <v>0.125</v>
      </c>
      <c r="N590" s="145">
        <v>0.5</v>
      </c>
      <c r="O590" s="145">
        <v>2</v>
      </c>
      <c r="P590" s="145">
        <v>0.013</v>
      </c>
      <c r="Q590" s="145">
        <f t="shared" si="173"/>
        <v>79.09</v>
      </c>
      <c r="R590" s="145">
        <f t="shared" si="174"/>
        <v>134.95</v>
      </c>
      <c r="S590" s="126">
        <f t="shared" si="190"/>
        <v>209.5</v>
      </c>
      <c r="T590" s="147">
        <f t="shared" si="175"/>
        <v>6.7475</v>
      </c>
      <c r="U590" s="142" t="str">
        <f t="shared" si="191"/>
        <v>[{2,1,419000,419000},{5103001,1,20000,20000},{1,2,750,750},{50002,1,9000,11000},{30,1,11,14},{9,1,112,137}]</v>
      </c>
      <c r="V590" s="142" t="str">
        <f t="shared" si="192"/>
        <v>[{2,1,419000,419000},{5103001,1,40000,40000},{50002,1,6000,6000},{5203001,1,5000,5000},{21360,1,1000,1000},{5301000,1,900,1000},{5303001,1,1800,2200},{11,1,400,600}]</v>
      </c>
      <c r="X590" s="142" t="str">
        <f t="shared" si="176"/>
        <v>{2,1,419000,419000}</v>
      </c>
      <c r="Y590" s="142"/>
      <c r="Z590" s="142" t="str">
        <f t="shared" si="177"/>
        <v>{5103001,1,20000,20000}</v>
      </c>
      <c r="AA590" s="142" t="str">
        <f t="shared" si="194"/>
        <v>{1,2,750,750}</v>
      </c>
      <c r="AD590" s="142" t="str">
        <f t="shared" si="178"/>
        <v>{50002,1,9000,11000}</v>
      </c>
      <c r="AE590" s="142" t="str">
        <f t="shared" si="193"/>
        <v>{30,1,11,14}</v>
      </c>
      <c r="AG590" s="142" t="str">
        <f t="shared" si="179"/>
        <v>{9,1,112,137}</v>
      </c>
      <c r="AH590" s="142" t="str">
        <f t="shared" si="180"/>
        <v>{2,1,419000,419000}</v>
      </c>
      <c r="AI590" s="142" t="str">
        <f t="shared" si="181"/>
        <v>{5103001,1,40000,40000}</v>
      </c>
      <c r="AJ590" s="142" t="str">
        <f t="shared" si="182"/>
        <v>{50002,1,6000,6000}</v>
      </c>
      <c r="AK590" s="142" t="str">
        <f t="shared" si="183"/>
        <v>{5203001,1,5000,5000}</v>
      </c>
      <c r="AL590" s="142" t="str">
        <f t="shared" si="184"/>
        <v>{21360,1,1000,1000}</v>
      </c>
      <c r="AM590" s="142" t="str">
        <f t="shared" si="185"/>
        <v>{5301000,1,900,1000}</v>
      </c>
      <c r="AO590" s="142" t="str">
        <f t="shared" si="186"/>
        <v>{5303001,1,1800,2200}</v>
      </c>
      <c r="AP590" s="142" t="s">
        <v>210</v>
      </c>
      <c r="AQ590" s="142"/>
    </row>
    <row r="591" spans="1:43">
      <c r="A591" s="143" t="str">
        <f t="shared" si="187"/>
        <v>[{2,1,420000,420000},{5103001,1,20000,20000}]</v>
      </c>
      <c r="B591" s="98">
        <f t="shared" si="188"/>
        <v>281</v>
      </c>
      <c r="C591" s="144">
        <v>420</v>
      </c>
      <c r="D591" s="145">
        <f t="shared" si="189"/>
        <v>420</v>
      </c>
      <c r="E591" s="145">
        <v>40</v>
      </c>
      <c r="F591" s="145">
        <v>20</v>
      </c>
      <c r="G591" s="146">
        <v>1</v>
      </c>
      <c r="H591" s="146">
        <v>6</v>
      </c>
      <c r="I591" s="146">
        <v>10</v>
      </c>
      <c r="J591" s="146">
        <v>5</v>
      </c>
      <c r="K591" s="146">
        <v>1</v>
      </c>
      <c r="L591" s="146">
        <v>1.5</v>
      </c>
      <c r="M591" s="145">
        <v>0.125</v>
      </c>
      <c r="N591" s="145">
        <v>0.5</v>
      </c>
      <c r="O591" s="145">
        <v>2</v>
      </c>
      <c r="P591" s="145">
        <v>0.013</v>
      </c>
      <c r="Q591" s="145">
        <f t="shared" si="173"/>
        <v>79.14</v>
      </c>
      <c r="R591" s="145">
        <f t="shared" si="174"/>
        <v>135</v>
      </c>
      <c r="S591" s="126">
        <f t="shared" si="190"/>
        <v>210</v>
      </c>
      <c r="T591" s="147">
        <f t="shared" si="175"/>
        <v>6.75</v>
      </c>
      <c r="U591" s="142" t="str">
        <f t="shared" si="191"/>
        <v>[{2,1,420000,420000},{5103001,1,20000,20000},{1,2,750,750},{50002,1,9000,11000},{30,1,11,14},{9,1,112,137}]</v>
      </c>
      <c r="V591" s="142" t="str">
        <f t="shared" si="192"/>
        <v>[{2,1,420000,420000},{5103001,1,40000,40000},{50002,1,6000,6000},{5203001,1,5000,5000},{21360,1,1000,1000},{5301000,1,900,1000},{5303001,1,1800,2200},{11,1,400,600}]</v>
      </c>
      <c r="X591" s="142" t="str">
        <f t="shared" si="176"/>
        <v>{2,1,420000,420000}</v>
      </c>
      <c r="Y591" s="142"/>
      <c r="Z591" s="142" t="str">
        <f t="shared" si="177"/>
        <v>{5103001,1,20000,20000}</v>
      </c>
      <c r="AA591" s="142" t="str">
        <f t="shared" si="194"/>
        <v>{1,2,750,750}</v>
      </c>
      <c r="AD591" s="142" t="str">
        <f t="shared" si="178"/>
        <v>{50002,1,9000,11000}</v>
      </c>
      <c r="AE591" s="142" t="str">
        <f t="shared" si="193"/>
        <v>{30,1,11,14}</v>
      </c>
      <c r="AG591" s="142" t="str">
        <f t="shared" si="179"/>
        <v>{9,1,112,137}</v>
      </c>
      <c r="AH591" s="142" t="str">
        <f t="shared" si="180"/>
        <v>{2,1,420000,420000}</v>
      </c>
      <c r="AI591" s="142" t="str">
        <f t="shared" si="181"/>
        <v>{5103001,1,40000,40000}</v>
      </c>
      <c r="AJ591" s="142" t="str">
        <f t="shared" si="182"/>
        <v>{50002,1,6000,6000}</v>
      </c>
      <c r="AK591" s="142" t="str">
        <f t="shared" si="183"/>
        <v>{5203001,1,5000,5000}</v>
      </c>
      <c r="AL591" s="142" t="str">
        <f t="shared" si="184"/>
        <v>{21360,1,1000,1000}</v>
      </c>
      <c r="AM591" s="142" t="str">
        <f t="shared" si="185"/>
        <v>{5301000,1,900,1000}</v>
      </c>
      <c r="AO591" s="142" t="str">
        <f t="shared" si="186"/>
        <v>{5303001,1,1800,2200}</v>
      </c>
      <c r="AP591" s="142" t="s">
        <v>210</v>
      </c>
      <c r="AQ591" s="142"/>
    </row>
    <row r="592" spans="1:43">
      <c r="A592" s="143" t="str">
        <f t="shared" si="187"/>
        <v>[{2,1,421000,421000},{5103001,1,20000,20000}]</v>
      </c>
      <c r="B592" s="98">
        <f t="shared" si="188"/>
        <v>282</v>
      </c>
      <c r="C592" s="144">
        <v>421</v>
      </c>
      <c r="D592" s="145">
        <f t="shared" si="189"/>
        <v>421</v>
      </c>
      <c r="E592" s="145">
        <v>40</v>
      </c>
      <c r="F592" s="145">
        <v>20</v>
      </c>
      <c r="G592" s="146">
        <v>1</v>
      </c>
      <c r="H592" s="146">
        <v>6</v>
      </c>
      <c r="I592" s="146">
        <v>10</v>
      </c>
      <c r="J592" s="146">
        <v>5</v>
      </c>
      <c r="K592" s="146">
        <v>1</v>
      </c>
      <c r="L592" s="146">
        <v>1.5</v>
      </c>
      <c r="M592" s="145">
        <v>0.125</v>
      </c>
      <c r="N592" s="145">
        <v>0.5</v>
      </c>
      <c r="O592" s="145">
        <v>2</v>
      </c>
      <c r="P592" s="145">
        <v>0.013</v>
      </c>
      <c r="Q592" s="145">
        <f t="shared" si="173"/>
        <v>79.19</v>
      </c>
      <c r="R592" s="145">
        <f t="shared" si="174"/>
        <v>135.05</v>
      </c>
      <c r="S592" s="126">
        <f t="shared" si="190"/>
        <v>210.5</v>
      </c>
      <c r="T592" s="147">
        <f t="shared" si="175"/>
        <v>6.7525</v>
      </c>
      <c r="U592" s="142" t="str">
        <f t="shared" si="191"/>
        <v>[{2,1,421000,421000},{5103001,1,20000,20000},{1,2,750,750},{50002,1,9000,11000},{30,1,11,14},{9,1,112,137}]</v>
      </c>
      <c r="V592" s="142" t="str">
        <f t="shared" si="192"/>
        <v>[{2,1,421000,421000},{5103001,1,40000,40000},{50002,1,6000,6000},{5203001,1,5000,5000},{21360,1,1000,1000},{5301000,1,900,1000},{5303001,1,1800,2200},{11,1,400,600}]</v>
      </c>
      <c r="X592" s="142" t="str">
        <f t="shared" si="176"/>
        <v>{2,1,421000,421000}</v>
      </c>
      <c r="Y592" s="142"/>
      <c r="Z592" s="142" t="str">
        <f t="shared" si="177"/>
        <v>{5103001,1,20000,20000}</v>
      </c>
      <c r="AA592" s="142" t="str">
        <f t="shared" si="194"/>
        <v>{1,2,750,750}</v>
      </c>
      <c r="AD592" s="142" t="str">
        <f t="shared" si="178"/>
        <v>{50002,1,9000,11000}</v>
      </c>
      <c r="AE592" s="142" t="str">
        <f t="shared" si="193"/>
        <v>{30,1,11,14}</v>
      </c>
      <c r="AG592" s="142" t="str">
        <f t="shared" si="179"/>
        <v>{9,1,112,137}</v>
      </c>
      <c r="AH592" s="142" t="str">
        <f t="shared" si="180"/>
        <v>{2,1,421000,421000}</v>
      </c>
      <c r="AI592" s="142" t="str">
        <f t="shared" si="181"/>
        <v>{5103001,1,40000,40000}</v>
      </c>
      <c r="AJ592" s="142" t="str">
        <f t="shared" si="182"/>
        <v>{50002,1,6000,6000}</v>
      </c>
      <c r="AK592" s="142" t="str">
        <f t="shared" si="183"/>
        <v>{5203001,1,5000,5000}</v>
      </c>
      <c r="AL592" s="142" t="str">
        <f t="shared" si="184"/>
        <v>{21360,1,1000,1000}</v>
      </c>
      <c r="AM592" s="142" t="str">
        <f t="shared" si="185"/>
        <v>{5301000,1,900,1000}</v>
      </c>
      <c r="AO592" s="142" t="str">
        <f t="shared" si="186"/>
        <v>{5303001,1,1800,2200}</v>
      </c>
      <c r="AP592" s="142" t="s">
        <v>210</v>
      </c>
      <c r="AQ592" s="142"/>
    </row>
    <row r="593" spans="1:43">
      <c r="A593" s="143" t="str">
        <f t="shared" si="187"/>
        <v>[{2,1,422000,422000},{5103001,1,20000,20000}]</v>
      </c>
      <c r="B593" s="98">
        <f t="shared" si="188"/>
        <v>283</v>
      </c>
      <c r="C593" s="144">
        <v>422</v>
      </c>
      <c r="D593" s="145">
        <f t="shared" si="189"/>
        <v>422</v>
      </c>
      <c r="E593" s="145">
        <v>40</v>
      </c>
      <c r="F593" s="145">
        <v>20</v>
      </c>
      <c r="G593" s="146">
        <v>1</v>
      </c>
      <c r="H593" s="146">
        <v>6</v>
      </c>
      <c r="I593" s="146">
        <v>10</v>
      </c>
      <c r="J593" s="146">
        <v>5</v>
      </c>
      <c r="K593" s="146">
        <v>1</v>
      </c>
      <c r="L593" s="146">
        <v>1.5</v>
      </c>
      <c r="M593" s="145">
        <v>0.125</v>
      </c>
      <c r="N593" s="145">
        <v>0.5</v>
      </c>
      <c r="O593" s="145">
        <v>2</v>
      </c>
      <c r="P593" s="145">
        <v>0.013</v>
      </c>
      <c r="Q593" s="145">
        <f t="shared" si="173"/>
        <v>79.24</v>
      </c>
      <c r="R593" s="145">
        <f t="shared" si="174"/>
        <v>135.1</v>
      </c>
      <c r="S593" s="126">
        <f t="shared" si="190"/>
        <v>211</v>
      </c>
      <c r="T593" s="147">
        <f t="shared" si="175"/>
        <v>6.755</v>
      </c>
      <c r="U593" s="142" t="str">
        <f t="shared" si="191"/>
        <v>[{2,1,422000,422000},{5103001,1,20000,20000},{1,2,750,750},{50002,1,9000,11000},{30,1,11,14},{9,1,112,137}]</v>
      </c>
      <c r="V593" s="142" t="str">
        <f t="shared" si="192"/>
        <v>[{2,1,422000,422000},{5103001,1,40000,40000},{50002,1,6000,6000},{5203001,1,5000,5000},{21360,1,1000,1000},{5301000,1,900,1000},{5303001,1,1800,2200},{11,1,400,600}]</v>
      </c>
      <c r="X593" s="142" t="str">
        <f t="shared" si="176"/>
        <v>{2,1,422000,422000}</v>
      </c>
      <c r="Y593" s="142"/>
      <c r="Z593" s="142" t="str">
        <f t="shared" si="177"/>
        <v>{5103001,1,20000,20000}</v>
      </c>
      <c r="AA593" s="142" t="str">
        <f t="shared" si="194"/>
        <v>{1,2,750,750}</v>
      </c>
      <c r="AD593" s="142" t="str">
        <f t="shared" si="178"/>
        <v>{50002,1,9000,11000}</v>
      </c>
      <c r="AE593" s="142" t="str">
        <f t="shared" si="193"/>
        <v>{30,1,11,14}</v>
      </c>
      <c r="AG593" s="142" t="str">
        <f t="shared" si="179"/>
        <v>{9,1,112,137}</v>
      </c>
      <c r="AH593" s="142" t="str">
        <f t="shared" si="180"/>
        <v>{2,1,422000,422000}</v>
      </c>
      <c r="AI593" s="142" t="str">
        <f t="shared" si="181"/>
        <v>{5103001,1,40000,40000}</v>
      </c>
      <c r="AJ593" s="142" t="str">
        <f t="shared" si="182"/>
        <v>{50002,1,6000,6000}</v>
      </c>
      <c r="AK593" s="142" t="str">
        <f t="shared" si="183"/>
        <v>{5203001,1,5000,5000}</v>
      </c>
      <c r="AL593" s="142" t="str">
        <f t="shared" si="184"/>
        <v>{21360,1,1000,1000}</v>
      </c>
      <c r="AM593" s="142" t="str">
        <f t="shared" si="185"/>
        <v>{5301000,1,900,1000}</v>
      </c>
      <c r="AO593" s="142" t="str">
        <f t="shared" si="186"/>
        <v>{5303001,1,1800,2200}</v>
      </c>
      <c r="AP593" s="142" t="s">
        <v>210</v>
      </c>
      <c r="AQ593" s="142"/>
    </row>
    <row r="594" spans="1:43">
      <c r="A594" s="143" t="str">
        <f t="shared" si="187"/>
        <v>[{2,1,423000,423000},{5103001,1,20000,20000}]</v>
      </c>
      <c r="B594" s="98">
        <f t="shared" si="188"/>
        <v>284</v>
      </c>
      <c r="C594" s="144">
        <v>423</v>
      </c>
      <c r="D594" s="145">
        <f t="shared" si="189"/>
        <v>423</v>
      </c>
      <c r="E594" s="145">
        <v>40</v>
      </c>
      <c r="F594" s="145">
        <v>20</v>
      </c>
      <c r="G594" s="146">
        <v>1</v>
      </c>
      <c r="H594" s="146">
        <v>6</v>
      </c>
      <c r="I594" s="146">
        <v>10</v>
      </c>
      <c r="J594" s="146">
        <v>5</v>
      </c>
      <c r="K594" s="146">
        <v>1</v>
      </c>
      <c r="L594" s="146">
        <v>1.5</v>
      </c>
      <c r="M594" s="145">
        <v>0.125</v>
      </c>
      <c r="N594" s="145">
        <v>0.5</v>
      </c>
      <c r="O594" s="145">
        <v>2</v>
      </c>
      <c r="P594" s="145">
        <v>0.013</v>
      </c>
      <c r="Q594" s="145">
        <f t="shared" si="173"/>
        <v>79.29</v>
      </c>
      <c r="R594" s="145">
        <f t="shared" si="174"/>
        <v>135.15</v>
      </c>
      <c r="S594" s="126">
        <f t="shared" si="190"/>
        <v>211.5</v>
      </c>
      <c r="T594" s="147">
        <f t="shared" si="175"/>
        <v>6.7575</v>
      </c>
      <c r="U594" s="142" t="str">
        <f t="shared" si="191"/>
        <v>[{2,1,423000,423000},{5103001,1,20000,20000},{1,2,750,750},{50002,1,9000,11000},{30,1,11,14},{9,1,112,137}]</v>
      </c>
      <c r="V594" s="142" t="str">
        <f t="shared" si="192"/>
        <v>[{2,1,423000,423000},{5103001,1,40000,40000},{50002,1,6000,6000},{5203001,1,5000,5000},{21360,1,1000,1000},{5301000,1,900,1000},{5303001,1,1800,2200},{11,1,400,600}]</v>
      </c>
      <c r="X594" s="142" t="str">
        <f t="shared" si="176"/>
        <v>{2,1,423000,423000}</v>
      </c>
      <c r="Y594" s="142"/>
      <c r="Z594" s="142" t="str">
        <f t="shared" si="177"/>
        <v>{5103001,1,20000,20000}</v>
      </c>
      <c r="AA594" s="142" t="str">
        <f t="shared" si="194"/>
        <v>{1,2,750,750}</v>
      </c>
      <c r="AD594" s="142" t="str">
        <f t="shared" si="178"/>
        <v>{50002,1,9000,11000}</v>
      </c>
      <c r="AE594" s="142" t="str">
        <f t="shared" si="193"/>
        <v>{30,1,11,14}</v>
      </c>
      <c r="AG594" s="142" t="str">
        <f t="shared" si="179"/>
        <v>{9,1,112,137}</v>
      </c>
      <c r="AH594" s="142" t="str">
        <f t="shared" si="180"/>
        <v>{2,1,423000,423000}</v>
      </c>
      <c r="AI594" s="142" t="str">
        <f t="shared" si="181"/>
        <v>{5103001,1,40000,40000}</v>
      </c>
      <c r="AJ594" s="142" t="str">
        <f t="shared" si="182"/>
        <v>{50002,1,6000,6000}</v>
      </c>
      <c r="AK594" s="142" t="str">
        <f t="shared" si="183"/>
        <v>{5203001,1,5000,5000}</v>
      </c>
      <c r="AL594" s="142" t="str">
        <f t="shared" si="184"/>
        <v>{21360,1,1000,1000}</v>
      </c>
      <c r="AM594" s="142" t="str">
        <f t="shared" si="185"/>
        <v>{5301000,1,900,1000}</v>
      </c>
      <c r="AO594" s="142" t="str">
        <f t="shared" si="186"/>
        <v>{5303001,1,1800,2200}</v>
      </c>
      <c r="AP594" s="142" t="s">
        <v>210</v>
      </c>
      <c r="AQ594" s="142"/>
    </row>
    <row r="595" spans="1:43">
      <c r="A595" s="143" t="str">
        <f t="shared" si="187"/>
        <v>[{2,1,424000,424000},{5103001,1,20000,20000}]</v>
      </c>
      <c r="B595" s="98">
        <f t="shared" si="188"/>
        <v>285</v>
      </c>
      <c r="C595" s="144">
        <v>424</v>
      </c>
      <c r="D595" s="145">
        <f t="shared" si="189"/>
        <v>424</v>
      </c>
      <c r="E595" s="145">
        <v>40</v>
      </c>
      <c r="F595" s="145">
        <v>20</v>
      </c>
      <c r="G595" s="146">
        <v>1</v>
      </c>
      <c r="H595" s="146">
        <v>6</v>
      </c>
      <c r="I595" s="146">
        <v>10</v>
      </c>
      <c r="J595" s="146">
        <v>5</v>
      </c>
      <c r="K595" s="146">
        <v>1</v>
      </c>
      <c r="L595" s="146">
        <v>1.5</v>
      </c>
      <c r="M595" s="145">
        <v>0.125</v>
      </c>
      <c r="N595" s="145">
        <v>0.5</v>
      </c>
      <c r="O595" s="145">
        <v>2</v>
      </c>
      <c r="P595" s="145">
        <v>0.013</v>
      </c>
      <c r="Q595" s="145">
        <f t="shared" si="173"/>
        <v>79.34</v>
      </c>
      <c r="R595" s="145">
        <f t="shared" si="174"/>
        <v>135.2</v>
      </c>
      <c r="S595" s="126">
        <f t="shared" si="190"/>
        <v>212</v>
      </c>
      <c r="T595" s="147">
        <f t="shared" si="175"/>
        <v>6.76</v>
      </c>
      <c r="U595" s="142" t="str">
        <f t="shared" si="191"/>
        <v>[{2,1,424000,424000},{5103001,1,20000,20000},{1,2,750,750},{50002,1,9000,11000},{30,1,11,14},{9,1,112,137}]</v>
      </c>
      <c r="V595" s="142" t="str">
        <f t="shared" si="192"/>
        <v>[{2,1,424000,424000},{5103001,1,40000,40000},{50002,1,6000,6000},{5203001,1,5000,5000},{21360,1,1000,1000},{5301000,1,900,1000},{5303001,1,1800,2200},{11,1,400,600}]</v>
      </c>
      <c r="X595" s="142" t="str">
        <f t="shared" si="176"/>
        <v>{2,1,424000,424000}</v>
      </c>
      <c r="Y595" s="142"/>
      <c r="Z595" s="142" t="str">
        <f t="shared" si="177"/>
        <v>{5103001,1,20000,20000}</v>
      </c>
      <c r="AA595" s="142" t="str">
        <f t="shared" si="194"/>
        <v>{1,2,750,750}</v>
      </c>
      <c r="AD595" s="142" t="str">
        <f t="shared" si="178"/>
        <v>{50002,1,9000,11000}</v>
      </c>
      <c r="AE595" s="142" t="str">
        <f t="shared" si="193"/>
        <v>{30,1,11,14}</v>
      </c>
      <c r="AG595" s="142" t="str">
        <f t="shared" si="179"/>
        <v>{9,1,112,137}</v>
      </c>
      <c r="AH595" s="142" t="str">
        <f t="shared" si="180"/>
        <v>{2,1,424000,424000}</v>
      </c>
      <c r="AI595" s="142" t="str">
        <f t="shared" si="181"/>
        <v>{5103001,1,40000,40000}</v>
      </c>
      <c r="AJ595" s="142" t="str">
        <f t="shared" si="182"/>
        <v>{50002,1,6000,6000}</v>
      </c>
      <c r="AK595" s="142" t="str">
        <f t="shared" si="183"/>
        <v>{5203001,1,5000,5000}</v>
      </c>
      <c r="AL595" s="142" t="str">
        <f t="shared" si="184"/>
        <v>{21360,1,1000,1000}</v>
      </c>
      <c r="AM595" s="142" t="str">
        <f t="shared" si="185"/>
        <v>{5301000,1,900,1000}</v>
      </c>
      <c r="AO595" s="142" t="str">
        <f t="shared" si="186"/>
        <v>{5303001,1,1800,2200}</v>
      </c>
      <c r="AP595" s="142" t="s">
        <v>210</v>
      </c>
      <c r="AQ595" s="142"/>
    </row>
    <row r="596" spans="1:43">
      <c r="A596" s="143" t="str">
        <f t="shared" si="187"/>
        <v>[{2,1,425000,425000},{5103001,1,20000,20000}]</v>
      </c>
      <c r="B596" s="98">
        <f t="shared" si="188"/>
        <v>286</v>
      </c>
      <c r="C596" s="144">
        <v>425</v>
      </c>
      <c r="D596" s="145">
        <f t="shared" si="189"/>
        <v>425</v>
      </c>
      <c r="E596" s="145">
        <v>40</v>
      </c>
      <c r="F596" s="145">
        <v>20</v>
      </c>
      <c r="G596" s="146">
        <v>1</v>
      </c>
      <c r="H596" s="146">
        <v>6</v>
      </c>
      <c r="I596" s="146">
        <v>10</v>
      </c>
      <c r="J596" s="146">
        <v>5</v>
      </c>
      <c r="K596" s="146">
        <v>1</v>
      </c>
      <c r="L596" s="146">
        <v>1.5</v>
      </c>
      <c r="M596" s="145">
        <v>0.125</v>
      </c>
      <c r="N596" s="145">
        <v>0.5</v>
      </c>
      <c r="O596" s="145">
        <v>2</v>
      </c>
      <c r="P596" s="145">
        <v>0.013</v>
      </c>
      <c r="Q596" s="145">
        <f t="shared" si="173"/>
        <v>79.39</v>
      </c>
      <c r="R596" s="145">
        <f t="shared" si="174"/>
        <v>135.25</v>
      </c>
      <c r="S596" s="126">
        <f t="shared" si="190"/>
        <v>212.5</v>
      </c>
      <c r="T596" s="147">
        <f t="shared" si="175"/>
        <v>6.7625</v>
      </c>
      <c r="U596" s="142" t="str">
        <f t="shared" si="191"/>
        <v>[{2,1,425000,425000},{5103001,1,20000,20000},{1,2,750,750},{50002,1,9000,11000},{30,1,11,14},{9,1,112,137}]</v>
      </c>
      <c r="V596" s="142" t="str">
        <f t="shared" si="192"/>
        <v>[{2,1,425000,425000},{5103001,1,40000,40000},{50002,1,6000,6000},{5203001,1,5000,5000},{21360,1,1000,1000},{5301000,1,900,1000},{5303001,1,1800,2200},{11,1,400,600}]</v>
      </c>
      <c r="X596" s="142" t="str">
        <f t="shared" si="176"/>
        <v>{2,1,425000,425000}</v>
      </c>
      <c r="Y596" s="142"/>
      <c r="Z596" s="142" t="str">
        <f t="shared" si="177"/>
        <v>{5103001,1,20000,20000}</v>
      </c>
      <c r="AA596" s="142" t="str">
        <f t="shared" si="194"/>
        <v>{1,2,750,750}</v>
      </c>
      <c r="AD596" s="142" t="str">
        <f t="shared" si="178"/>
        <v>{50002,1,9000,11000}</v>
      </c>
      <c r="AE596" s="142" t="str">
        <f t="shared" si="193"/>
        <v>{30,1,11,14}</v>
      </c>
      <c r="AG596" s="142" t="str">
        <f t="shared" si="179"/>
        <v>{9,1,112,137}</v>
      </c>
      <c r="AH596" s="142" t="str">
        <f t="shared" si="180"/>
        <v>{2,1,425000,425000}</v>
      </c>
      <c r="AI596" s="142" t="str">
        <f t="shared" si="181"/>
        <v>{5103001,1,40000,40000}</v>
      </c>
      <c r="AJ596" s="142" t="str">
        <f t="shared" si="182"/>
        <v>{50002,1,6000,6000}</v>
      </c>
      <c r="AK596" s="142" t="str">
        <f t="shared" si="183"/>
        <v>{5203001,1,5000,5000}</v>
      </c>
      <c r="AL596" s="142" t="str">
        <f t="shared" si="184"/>
        <v>{21360,1,1000,1000}</v>
      </c>
      <c r="AM596" s="142" t="str">
        <f t="shared" si="185"/>
        <v>{5301000,1,900,1000}</v>
      </c>
      <c r="AO596" s="142" t="str">
        <f t="shared" si="186"/>
        <v>{5303001,1,1800,2200}</v>
      </c>
      <c r="AP596" s="142" t="s">
        <v>210</v>
      </c>
      <c r="AQ596" s="142"/>
    </row>
    <row r="597" spans="1:43">
      <c r="A597" s="143" t="str">
        <f t="shared" si="187"/>
        <v>[{2,1,426000,426000},{5103001,1,20000,20000}]</v>
      </c>
      <c r="B597" s="98">
        <f t="shared" si="188"/>
        <v>287</v>
      </c>
      <c r="C597" s="144">
        <v>426</v>
      </c>
      <c r="D597" s="145">
        <f t="shared" si="189"/>
        <v>426</v>
      </c>
      <c r="E597" s="145">
        <v>40</v>
      </c>
      <c r="F597" s="145">
        <v>20</v>
      </c>
      <c r="G597" s="146">
        <v>1</v>
      </c>
      <c r="H597" s="146">
        <v>6</v>
      </c>
      <c r="I597" s="146">
        <v>10</v>
      </c>
      <c r="J597" s="146">
        <v>5</v>
      </c>
      <c r="K597" s="146">
        <v>1</v>
      </c>
      <c r="L597" s="146">
        <v>1.5</v>
      </c>
      <c r="M597" s="145">
        <v>0.125</v>
      </c>
      <c r="N597" s="145">
        <v>0.5</v>
      </c>
      <c r="O597" s="145">
        <v>2</v>
      </c>
      <c r="P597" s="145">
        <v>0.013</v>
      </c>
      <c r="Q597" s="145">
        <f t="shared" si="173"/>
        <v>79.44</v>
      </c>
      <c r="R597" s="145">
        <f t="shared" si="174"/>
        <v>135.3</v>
      </c>
      <c r="S597" s="126">
        <f t="shared" si="190"/>
        <v>213</v>
      </c>
      <c r="T597" s="147">
        <f t="shared" si="175"/>
        <v>6.765</v>
      </c>
      <c r="U597" s="142" t="str">
        <f t="shared" si="191"/>
        <v>[{2,1,426000,426000},{5103001,1,20000,20000},{1,2,750,750},{50002,1,9000,11000},{30,1,11,14},{9,1,112,137}]</v>
      </c>
      <c r="V597" s="142" t="str">
        <f t="shared" si="192"/>
        <v>[{2,1,426000,426000},{5103001,1,40000,40000},{50002,1,6000,6000},{5203001,1,5000,5000},{21360,1,1000,1000},{5301000,1,900,1000},{5303001,1,1800,2200},{11,1,400,600}]</v>
      </c>
      <c r="X597" s="142" t="str">
        <f t="shared" si="176"/>
        <v>{2,1,426000,426000}</v>
      </c>
      <c r="Y597" s="142"/>
      <c r="Z597" s="142" t="str">
        <f t="shared" si="177"/>
        <v>{5103001,1,20000,20000}</v>
      </c>
      <c r="AA597" s="142" t="str">
        <f t="shared" si="194"/>
        <v>{1,2,750,750}</v>
      </c>
      <c r="AD597" s="142" t="str">
        <f t="shared" si="178"/>
        <v>{50002,1,9000,11000}</v>
      </c>
      <c r="AE597" s="142" t="str">
        <f t="shared" si="193"/>
        <v>{30,1,11,14}</v>
      </c>
      <c r="AG597" s="142" t="str">
        <f t="shared" si="179"/>
        <v>{9,1,112,137}</v>
      </c>
      <c r="AH597" s="142" t="str">
        <f t="shared" si="180"/>
        <v>{2,1,426000,426000}</v>
      </c>
      <c r="AI597" s="142" t="str">
        <f t="shared" si="181"/>
        <v>{5103001,1,40000,40000}</v>
      </c>
      <c r="AJ597" s="142" t="str">
        <f t="shared" si="182"/>
        <v>{50002,1,6000,6000}</v>
      </c>
      <c r="AK597" s="142" t="str">
        <f t="shared" si="183"/>
        <v>{5203001,1,5000,5000}</v>
      </c>
      <c r="AL597" s="142" t="str">
        <f t="shared" si="184"/>
        <v>{21360,1,1000,1000}</v>
      </c>
      <c r="AM597" s="142" t="str">
        <f t="shared" si="185"/>
        <v>{5301000,1,900,1000}</v>
      </c>
      <c r="AO597" s="142" t="str">
        <f t="shared" si="186"/>
        <v>{5303001,1,1800,2200}</v>
      </c>
      <c r="AP597" s="142" t="s">
        <v>210</v>
      </c>
      <c r="AQ597" s="142"/>
    </row>
    <row r="598" spans="1:43">
      <c r="A598" s="143" t="str">
        <f t="shared" si="187"/>
        <v>[{2,1,427000,427000},{5103001,1,20000,20000}]</v>
      </c>
      <c r="B598" s="98">
        <f t="shared" si="188"/>
        <v>288</v>
      </c>
      <c r="C598" s="144">
        <v>427</v>
      </c>
      <c r="D598" s="145">
        <f t="shared" si="189"/>
        <v>427</v>
      </c>
      <c r="E598" s="145">
        <v>40</v>
      </c>
      <c r="F598" s="145">
        <v>20</v>
      </c>
      <c r="G598" s="146">
        <v>1</v>
      </c>
      <c r="H598" s="146">
        <v>6</v>
      </c>
      <c r="I598" s="146">
        <v>10</v>
      </c>
      <c r="J598" s="146">
        <v>5</v>
      </c>
      <c r="K598" s="146">
        <v>1</v>
      </c>
      <c r="L598" s="146">
        <v>1.5</v>
      </c>
      <c r="M598" s="145">
        <v>0.125</v>
      </c>
      <c r="N598" s="145">
        <v>0.5</v>
      </c>
      <c r="O598" s="145">
        <v>2</v>
      </c>
      <c r="P598" s="145">
        <v>0.013</v>
      </c>
      <c r="Q598" s="145">
        <f t="shared" si="173"/>
        <v>79.49</v>
      </c>
      <c r="R598" s="145">
        <f t="shared" si="174"/>
        <v>135.35</v>
      </c>
      <c r="S598" s="126">
        <f t="shared" si="190"/>
        <v>213.5</v>
      </c>
      <c r="T598" s="147">
        <f t="shared" si="175"/>
        <v>6.7675</v>
      </c>
      <c r="U598" s="142" t="str">
        <f t="shared" si="191"/>
        <v>[{2,1,427000,427000},{5103001,1,20000,20000},{1,2,750,750},{50002,1,9000,11000},{30,1,11,14},{9,1,112,137}]</v>
      </c>
      <c r="V598" s="142" t="str">
        <f t="shared" si="192"/>
        <v>[{2,1,427000,427000},{5103001,1,40000,40000},{50002,1,6000,6000},{5203001,1,5000,5000},{21360,1,1000,1000},{5301000,1,900,1000},{5303001,1,1800,2200},{11,1,400,600}]</v>
      </c>
      <c r="X598" s="142" t="str">
        <f t="shared" si="176"/>
        <v>{2,1,427000,427000}</v>
      </c>
      <c r="Y598" s="142"/>
      <c r="Z598" s="142" t="str">
        <f t="shared" si="177"/>
        <v>{5103001,1,20000,20000}</v>
      </c>
      <c r="AA598" s="142" t="str">
        <f t="shared" si="194"/>
        <v>{1,2,750,750}</v>
      </c>
      <c r="AD598" s="142" t="str">
        <f t="shared" si="178"/>
        <v>{50002,1,9000,11000}</v>
      </c>
      <c r="AE598" s="142" t="str">
        <f t="shared" si="193"/>
        <v>{30,1,11,14}</v>
      </c>
      <c r="AG598" s="142" t="str">
        <f t="shared" si="179"/>
        <v>{9,1,112,137}</v>
      </c>
      <c r="AH598" s="142" t="str">
        <f t="shared" si="180"/>
        <v>{2,1,427000,427000}</v>
      </c>
      <c r="AI598" s="142" t="str">
        <f t="shared" si="181"/>
        <v>{5103001,1,40000,40000}</v>
      </c>
      <c r="AJ598" s="142" t="str">
        <f t="shared" si="182"/>
        <v>{50002,1,6000,6000}</v>
      </c>
      <c r="AK598" s="142" t="str">
        <f t="shared" si="183"/>
        <v>{5203001,1,5000,5000}</v>
      </c>
      <c r="AL598" s="142" t="str">
        <f t="shared" si="184"/>
        <v>{21360,1,1000,1000}</v>
      </c>
      <c r="AM598" s="142" t="str">
        <f t="shared" si="185"/>
        <v>{5301000,1,900,1000}</v>
      </c>
      <c r="AO598" s="142" t="str">
        <f t="shared" si="186"/>
        <v>{5303001,1,1800,2200}</v>
      </c>
      <c r="AP598" s="142" t="s">
        <v>210</v>
      </c>
      <c r="AQ598" s="142"/>
    </row>
    <row r="599" spans="1:43">
      <c r="A599" s="143" t="str">
        <f t="shared" si="187"/>
        <v>[{2,1,428000,428000},{5103001,1,20000,20000}]</v>
      </c>
      <c r="B599" s="98">
        <f t="shared" si="188"/>
        <v>289</v>
      </c>
      <c r="C599" s="144">
        <v>428</v>
      </c>
      <c r="D599" s="145">
        <f t="shared" si="189"/>
        <v>428</v>
      </c>
      <c r="E599" s="145">
        <v>40</v>
      </c>
      <c r="F599" s="145">
        <v>20</v>
      </c>
      <c r="G599" s="146">
        <v>1</v>
      </c>
      <c r="H599" s="146">
        <v>6</v>
      </c>
      <c r="I599" s="146">
        <v>10</v>
      </c>
      <c r="J599" s="146">
        <v>5</v>
      </c>
      <c r="K599" s="146">
        <v>1</v>
      </c>
      <c r="L599" s="146">
        <v>1.5</v>
      </c>
      <c r="M599" s="145">
        <v>0.125</v>
      </c>
      <c r="N599" s="145">
        <v>0.5</v>
      </c>
      <c r="O599" s="145">
        <v>2</v>
      </c>
      <c r="P599" s="145">
        <v>0.013</v>
      </c>
      <c r="Q599" s="145">
        <f t="shared" si="173"/>
        <v>79.54</v>
      </c>
      <c r="R599" s="145">
        <f t="shared" si="174"/>
        <v>135.4</v>
      </c>
      <c r="S599" s="126">
        <f t="shared" si="190"/>
        <v>214</v>
      </c>
      <c r="T599" s="147">
        <f t="shared" si="175"/>
        <v>6.77</v>
      </c>
      <c r="U599" s="142" t="str">
        <f t="shared" si="191"/>
        <v>[{2,1,428000,428000},{5103001,1,20000,20000},{1,2,750,750},{50002,1,9000,11000},{30,1,11,14},{9,1,112,137}]</v>
      </c>
      <c r="V599" s="142" t="str">
        <f t="shared" si="192"/>
        <v>[{2,1,428000,428000},{5103001,1,40000,40000},{50002,1,6000,6000},{5203001,1,5000,5000},{21360,1,1000,1000},{5301000,1,900,1000},{5303001,1,1800,2200},{11,1,400,600}]</v>
      </c>
      <c r="X599" s="142" t="str">
        <f t="shared" si="176"/>
        <v>{2,1,428000,428000}</v>
      </c>
      <c r="Y599" s="142"/>
      <c r="Z599" s="142" t="str">
        <f t="shared" si="177"/>
        <v>{5103001,1,20000,20000}</v>
      </c>
      <c r="AA599" s="142" t="str">
        <f t="shared" si="194"/>
        <v>{1,2,750,750}</v>
      </c>
      <c r="AD599" s="142" t="str">
        <f t="shared" si="178"/>
        <v>{50002,1,9000,11000}</v>
      </c>
      <c r="AE599" s="142" t="str">
        <f t="shared" si="193"/>
        <v>{30,1,11,14}</v>
      </c>
      <c r="AG599" s="142" t="str">
        <f t="shared" si="179"/>
        <v>{9,1,112,137}</v>
      </c>
      <c r="AH599" s="142" t="str">
        <f t="shared" si="180"/>
        <v>{2,1,428000,428000}</v>
      </c>
      <c r="AI599" s="142" t="str">
        <f t="shared" si="181"/>
        <v>{5103001,1,40000,40000}</v>
      </c>
      <c r="AJ599" s="142" t="str">
        <f t="shared" si="182"/>
        <v>{50002,1,6000,6000}</v>
      </c>
      <c r="AK599" s="142" t="str">
        <f t="shared" si="183"/>
        <v>{5203001,1,5000,5000}</v>
      </c>
      <c r="AL599" s="142" t="str">
        <f t="shared" si="184"/>
        <v>{21360,1,1000,1000}</v>
      </c>
      <c r="AM599" s="142" t="str">
        <f t="shared" si="185"/>
        <v>{5301000,1,900,1000}</v>
      </c>
      <c r="AO599" s="142" t="str">
        <f t="shared" si="186"/>
        <v>{5303001,1,1800,2200}</v>
      </c>
      <c r="AP599" s="142" t="s">
        <v>210</v>
      </c>
      <c r="AQ599" s="142"/>
    </row>
    <row r="600" spans="1:43">
      <c r="A600" s="143" t="str">
        <f t="shared" si="187"/>
        <v>[{2,1,429000,429000},{5103001,1,20000,20000}]</v>
      </c>
      <c r="B600" s="98">
        <f t="shared" si="188"/>
        <v>290</v>
      </c>
      <c r="C600" s="144">
        <v>429</v>
      </c>
      <c r="D600" s="145">
        <f t="shared" si="189"/>
        <v>429</v>
      </c>
      <c r="E600" s="145">
        <v>40</v>
      </c>
      <c r="F600" s="145">
        <v>20</v>
      </c>
      <c r="G600" s="146">
        <v>1</v>
      </c>
      <c r="H600" s="146">
        <v>6</v>
      </c>
      <c r="I600" s="146">
        <v>10</v>
      </c>
      <c r="J600" s="146">
        <v>5</v>
      </c>
      <c r="K600" s="146">
        <v>1</v>
      </c>
      <c r="L600" s="146">
        <v>1.5</v>
      </c>
      <c r="M600" s="145">
        <v>0.125</v>
      </c>
      <c r="N600" s="145">
        <v>0.5</v>
      </c>
      <c r="O600" s="145">
        <v>2</v>
      </c>
      <c r="P600" s="145">
        <v>0.013</v>
      </c>
      <c r="Q600" s="145">
        <f t="shared" si="173"/>
        <v>79.59</v>
      </c>
      <c r="R600" s="145">
        <f t="shared" si="174"/>
        <v>135.45</v>
      </c>
      <c r="S600" s="126">
        <f t="shared" si="190"/>
        <v>214.5</v>
      </c>
      <c r="T600" s="147">
        <f t="shared" si="175"/>
        <v>6.7725</v>
      </c>
      <c r="U600" s="142" t="str">
        <f t="shared" si="191"/>
        <v>[{2,1,429000,429000},{5103001,1,20000,20000},{1,2,750,750},{50002,1,9000,11000},{30,1,11,14},{9,1,112,137}]</v>
      </c>
      <c r="V600" s="142" t="str">
        <f t="shared" si="192"/>
        <v>[{2,1,429000,429000},{5103001,1,40000,40000},{50002,1,6000,6000},{5203001,1,5000,5000},{21360,1,1000,1000},{5301000,1,900,1000},{5303001,1,1800,2200},{11,1,400,600}]</v>
      </c>
      <c r="X600" s="142" t="str">
        <f t="shared" si="176"/>
        <v>{2,1,429000,429000}</v>
      </c>
      <c r="Y600" s="142"/>
      <c r="Z600" s="142" t="str">
        <f t="shared" si="177"/>
        <v>{5103001,1,20000,20000}</v>
      </c>
      <c r="AA600" s="142" t="str">
        <f t="shared" si="194"/>
        <v>{1,2,750,750}</v>
      </c>
      <c r="AD600" s="142" t="str">
        <f t="shared" si="178"/>
        <v>{50002,1,9000,11000}</v>
      </c>
      <c r="AE600" s="142" t="str">
        <f t="shared" si="193"/>
        <v>{30,1,11,14}</v>
      </c>
      <c r="AG600" s="142" t="str">
        <f t="shared" si="179"/>
        <v>{9,1,112,137}</v>
      </c>
      <c r="AH600" s="142" t="str">
        <f t="shared" si="180"/>
        <v>{2,1,429000,429000}</v>
      </c>
      <c r="AI600" s="142" t="str">
        <f t="shared" si="181"/>
        <v>{5103001,1,40000,40000}</v>
      </c>
      <c r="AJ600" s="142" t="str">
        <f t="shared" si="182"/>
        <v>{50002,1,6000,6000}</v>
      </c>
      <c r="AK600" s="142" t="str">
        <f t="shared" si="183"/>
        <v>{5203001,1,5000,5000}</v>
      </c>
      <c r="AL600" s="142" t="str">
        <f t="shared" si="184"/>
        <v>{21360,1,1000,1000}</v>
      </c>
      <c r="AM600" s="142" t="str">
        <f t="shared" si="185"/>
        <v>{5301000,1,900,1000}</v>
      </c>
      <c r="AO600" s="142" t="str">
        <f t="shared" si="186"/>
        <v>{5303001,1,1800,2200}</v>
      </c>
      <c r="AP600" s="142" t="s">
        <v>210</v>
      </c>
      <c r="AQ600" s="142"/>
    </row>
    <row r="601" spans="1:43">
      <c r="A601" s="143" t="str">
        <f t="shared" si="187"/>
        <v>[{2,1,430000,430000},{5103001,1,20000,20000}]</v>
      </c>
      <c r="B601" s="98">
        <f t="shared" si="188"/>
        <v>291</v>
      </c>
      <c r="C601" s="144">
        <v>430</v>
      </c>
      <c r="D601" s="145">
        <f t="shared" si="189"/>
        <v>430</v>
      </c>
      <c r="E601" s="145">
        <v>40</v>
      </c>
      <c r="F601" s="145">
        <v>20</v>
      </c>
      <c r="G601" s="146">
        <v>1</v>
      </c>
      <c r="H601" s="146">
        <v>6</v>
      </c>
      <c r="I601" s="146">
        <v>10</v>
      </c>
      <c r="J601" s="146">
        <v>5</v>
      </c>
      <c r="K601" s="146">
        <v>1</v>
      </c>
      <c r="L601" s="146">
        <v>1.5</v>
      </c>
      <c r="M601" s="145">
        <v>0.125</v>
      </c>
      <c r="N601" s="145">
        <v>0.5</v>
      </c>
      <c r="O601" s="145">
        <v>2</v>
      </c>
      <c r="P601" s="145">
        <v>0.013</v>
      </c>
      <c r="Q601" s="145">
        <f t="shared" si="173"/>
        <v>79.64</v>
      </c>
      <c r="R601" s="145">
        <f t="shared" si="174"/>
        <v>135.5</v>
      </c>
      <c r="S601" s="126">
        <f t="shared" si="190"/>
        <v>215</v>
      </c>
      <c r="T601" s="147">
        <f t="shared" si="175"/>
        <v>6.775</v>
      </c>
      <c r="U601" s="142" t="str">
        <f t="shared" si="191"/>
        <v>[{2,1,430000,430000},{5103001,1,20000,20000},{1,2,750,750},{50002,1,9000,11000},{30,1,11,14},{9,1,112,137}]</v>
      </c>
      <c r="V601" s="142" t="str">
        <f t="shared" si="192"/>
        <v>[{2,1,430000,430000},{5103001,1,40000,40000},{50002,1,6000,6000},{5203001,1,5000,5000},{21360,1,1000,1000},{5301000,1,900,1000},{5303001,1,1800,2200},{11,1,400,600}]</v>
      </c>
      <c r="X601" s="142" t="str">
        <f t="shared" si="176"/>
        <v>{2,1,430000,430000}</v>
      </c>
      <c r="Y601" s="142"/>
      <c r="Z601" s="142" t="str">
        <f t="shared" si="177"/>
        <v>{5103001,1,20000,20000}</v>
      </c>
      <c r="AA601" s="142" t="str">
        <f t="shared" si="194"/>
        <v>{1,2,750,750}</v>
      </c>
      <c r="AD601" s="142" t="str">
        <f t="shared" si="178"/>
        <v>{50002,1,9000,11000}</v>
      </c>
      <c r="AE601" s="142" t="str">
        <f t="shared" si="193"/>
        <v>{30,1,11,14}</v>
      </c>
      <c r="AG601" s="142" t="str">
        <f t="shared" si="179"/>
        <v>{9,1,112,137}</v>
      </c>
      <c r="AH601" s="142" t="str">
        <f t="shared" si="180"/>
        <v>{2,1,430000,430000}</v>
      </c>
      <c r="AI601" s="142" t="str">
        <f t="shared" si="181"/>
        <v>{5103001,1,40000,40000}</v>
      </c>
      <c r="AJ601" s="142" t="str">
        <f t="shared" si="182"/>
        <v>{50002,1,6000,6000}</v>
      </c>
      <c r="AK601" s="142" t="str">
        <f t="shared" si="183"/>
        <v>{5203001,1,5000,5000}</v>
      </c>
      <c r="AL601" s="142" t="str">
        <f t="shared" si="184"/>
        <v>{21360,1,1000,1000}</v>
      </c>
      <c r="AM601" s="142" t="str">
        <f t="shared" si="185"/>
        <v>{5301000,1,900,1000}</v>
      </c>
      <c r="AO601" s="142" t="str">
        <f t="shared" si="186"/>
        <v>{5303001,1,1800,2200}</v>
      </c>
      <c r="AP601" s="142" t="s">
        <v>210</v>
      </c>
      <c r="AQ601" s="142"/>
    </row>
    <row r="602" spans="1:43">
      <c r="A602" s="143" t="str">
        <f t="shared" si="187"/>
        <v>[{2,1,431000,431000},{5103001,1,20000,20000}]</v>
      </c>
      <c r="B602" s="98">
        <f t="shared" si="188"/>
        <v>292</v>
      </c>
      <c r="C602" s="144">
        <v>431</v>
      </c>
      <c r="D602" s="145">
        <f t="shared" si="189"/>
        <v>431</v>
      </c>
      <c r="E602" s="145">
        <v>40</v>
      </c>
      <c r="F602" s="145">
        <v>20</v>
      </c>
      <c r="G602" s="146">
        <v>1</v>
      </c>
      <c r="H602" s="146">
        <v>6</v>
      </c>
      <c r="I602" s="146">
        <v>10</v>
      </c>
      <c r="J602" s="146">
        <v>5</v>
      </c>
      <c r="K602" s="146">
        <v>1</v>
      </c>
      <c r="L602" s="146">
        <v>1.5</v>
      </c>
      <c r="M602" s="145">
        <v>0.125</v>
      </c>
      <c r="N602" s="145">
        <v>0.5</v>
      </c>
      <c r="O602" s="145">
        <v>2</v>
      </c>
      <c r="P602" s="145">
        <v>0.013</v>
      </c>
      <c r="Q602" s="145">
        <f t="shared" si="173"/>
        <v>79.69</v>
      </c>
      <c r="R602" s="145">
        <f t="shared" si="174"/>
        <v>135.55</v>
      </c>
      <c r="S602" s="126">
        <f t="shared" si="190"/>
        <v>215.5</v>
      </c>
      <c r="T602" s="147">
        <f t="shared" si="175"/>
        <v>6.7775</v>
      </c>
      <c r="U602" s="142" t="str">
        <f t="shared" si="191"/>
        <v>[{2,1,431000,431000},{5103001,1,20000,20000},{1,2,750,750},{50002,1,9000,11000},{30,1,11,14},{9,1,112,137}]</v>
      </c>
      <c r="V602" s="142" t="str">
        <f t="shared" si="192"/>
        <v>[{2,1,431000,431000},{5103001,1,40000,40000},{50002,1,6000,6000},{5203001,1,5000,5000},{21360,1,1000,1000},{5301000,1,900,1000},{5303001,1,1800,2200},{11,1,400,600}]</v>
      </c>
      <c r="X602" s="142" t="str">
        <f t="shared" si="176"/>
        <v>{2,1,431000,431000}</v>
      </c>
      <c r="Y602" s="142"/>
      <c r="Z602" s="142" t="str">
        <f t="shared" si="177"/>
        <v>{5103001,1,20000,20000}</v>
      </c>
      <c r="AA602" s="142" t="str">
        <f t="shared" si="194"/>
        <v>{1,2,750,750}</v>
      </c>
      <c r="AD602" s="142" t="str">
        <f t="shared" si="178"/>
        <v>{50002,1,9000,11000}</v>
      </c>
      <c r="AE602" s="142" t="str">
        <f t="shared" si="193"/>
        <v>{30,1,11,14}</v>
      </c>
      <c r="AG602" s="142" t="str">
        <f t="shared" si="179"/>
        <v>{9,1,112,137}</v>
      </c>
      <c r="AH602" s="142" t="str">
        <f t="shared" si="180"/>
        <v>{2,1,431000,431000}</v>
      </c>
      <c r="AI602" s="142" t="str">
        <f t="shared" si="181"/>
        <v>{5103001,1,40000,40000}</v>
      </c>
      <c r="AJ602" s="142" t="str">
        <f t="shared" si="182"/>
        <v>{50002,1,6000,6000}</v>
      </c>
      <c r="AK602" s="142" t="str">
        <f t="shared" si="183"/>
        <v>{5203001,1,5000,5000}</v>
      </c>
      <c r="AL602" s="142" t="str">
        <f t="shared" si="184"/>
        <v>{21360,1,1000,1000}</v>
      </c>
      <c r="AM602" s="142" t="str">
        <f t="shared" si="185"/>
        <v>{5301000,1,900,1000}</v>
      </c>
      <c r="AO602" s="142" t="str">
        <f t="shared" si="186"/>
        <v>{5303001,1,1800,2200}</v>
      </c>
      <c r="AP602" s="142" t="s">
        <v>210</v>
      </c>
      <c r="AQ602" s="142"/>
    </row>
    <row r="603" spans="1:43">
      <c r="A603" s="143" t="str">
        <f t="shared" si="187"/>
        <v>[{2,1,432000,432000},{5103001,1,20000,20000}]</v>
      </c>
      <c r="B603" s="98">
        <f t="shared" si="188"/>
        <v>293</v>
      </c>
      <c r="C603" s="144">
        <v>432</v>
      </c>
      <c r="D603" s="145">
        <f t="shared" si="189"/>
        <v>432</v>
      </c>
      <c r="E603" s="145">
        <v>40</v>
      </c>
      <c r="F603" s="145">
        <v>20</v>
      </c>
      <c r="G603" s="146">
        <v>1</v>
      </c>
      <c r="H603" s="146">
        <v>6</v>
      </c>
      <c r="I603" s="146">
        <v>10</v>
      </c>
      <c r="J603" s="146">
        <v>5</v>
      </c>
      <c r="K603" s="146">
        <v>1</v>
      </c>
      <c r="L603" s="146">
        <v>1.5</v>
      </c>
      <c r="M603" s="145">
        <v>0.125</v>
      </c>
      <c r="N603" s="145">
        <v>0.5</v>
      </c>
      <c r="O603" s="145">
        <v>2</v>
      </c>
      <c r="P603" s="145">
        <v>0.013</v>
      </c>
      <c r="Q603" s="145">
        <f t="shared" si="173"/>
        <v>79.74</v>
      </c>
      <c r="R603" s="145">
        <f t="shared" si="174"/>
        <v>135.6</v>
      </c>
      <c r="S603" s="126">
        <f t="shared" si="190"/>
        <v>216</v>
      </c>
      <c r="T603" s="147">
        <f t="shared" si="175"/>
        <v>6.78</v>
      </c>
      <c r="U603" s="142" t="str">
        <f t="shared" si="191"/>
        <v>[{2,1,432000,432000},{5103001,1,20000,20000},{1,2,750,750},{50002,1,9000,11000},{30,1,11,14},{9,1,112,137}]</v>
      </c>
      <c r="V603" s="142" t="str">
        <f t="shared" si="192"/>
        <v>[{2,1,432000,432000},{5103001,1,40000,40000},{50002,1,6000,6000},{5203001,1,5000,5000},{21360,1,1000,1000},{5301000,1,900,1000},{5303001,1,1800,2200},{11,1,400,600}]</v>
      </c>
      <c r="X603" s="142" t="str">
        <f t="shared" si="176"/>
        <v>{2,1,432000,432000}</v>
      </c>
      <c r="Y603" s="142"/>
      <c r="Z603" s="142" t="str">
        <f t="shared" si="177"/>
        <v>{5103001,1,20000,20000}</v>
      </c>
      <c r="AA603" s="142" t="str">
        <f t="shared" si="194"/>
        <v>{1,2,750,750}</v>
      </c>
      <c r="AD603" s="142" t="str">
        <f t="shared" si="178"/>
        <v>{50002,1,9000,11000}</v>
      </c>
      <c r="AE603" s="142" t="str">
        <f t="shared" si="193"/>
        <v>{30,1,11,14}</v>
      </c>
      <c r="AG603" s="142" t="str">
        <f t="shared" si="179"/>
        <v>{9,1,112,137}</v>
      </c>
      <c r="AH603" s="142" t="str">
        <f t="shared" si="180"/>
        <v>{2,1,432000,432000}</v>
      </c>
      <c r="AI603" s="142" t="str">
        <f t="shared" si="181"/>
        <v>{5103001,1,40000,40000}</v>
      </c>
      <c r="AJ603" s="142" t="str">
        <f t="shared" si="182"/>
        <v>{50002,1,6000,6000}</v>
      </c>
      <c r="AK603" s="142" t="str">
        <f t="shared" si="183"/>
        <v>{5203001,1,5000,5000}</v>
      </c>
      <c r="AL603" s="142" t="str">
        <f t="shared" si="184"/>
        <v>{21360,1,1000,1000}</v>
      </c>
      <c r="AM603" s="142" t="str">
        <f t="shared" si="185"/>
        <v>{5301000,1,900,1000}</v>
      </c>
      <c r="AO603" s="142" t="str">
        <f t="shared" si="186"/>
        <v>{5303001,1,1800,2200}</v>
      </c>
      <c r="AP603" s="142" t="s">
        <v>210</v>
      </c>
      <c r="AQ603" s="142"/>
    </row>
    <row r="604" spans="1:43">
      <c r="A604" s="143" t="str">
        <f t="shared" si="187"/>
        <v>[{2,1,433000,433000},{5103001,1,20000,20000}]</v>
      </c>
      <c r="B604" s="98">
        <f t="shared" si="188"/>
        <v>294</v>
      </c>
      <c r="C604" s="144">
        <v>433</v>
      </c>
      <c r="D604" s="145">
        <f t="shared" si="189"/>
        <v>433</v>
      </c>
      <c r="E604" s="145">
        <v>40</v>
      </c>
      <c r="F604" s="145">
        <v>20</v>
      </c>
      <c r="G604" s="146">
        <v>1</v>
      </c>
      <c r="H604" s="146">
        <v>6</v>
      </c>
      <c r="I604" s="146">
        <v>10</v>
      </c>
      <c r="J604" s="146">
        <v>5</v>
      </c>
      <c r="K604" s="146">
        <v>1</v>
      </c>
      <c r="L604" s="146">
        <v>1.5</v>
      </c>
      <c r="M604" s="145">
        <v>0.125</v>
      </c>
      <c r="N604" s="145">
        <v>0.5</v>
      </c>
      <c r="O604" s="145">
        <v>2</v>
      </c>
      <c r="P604" s="145">
        <v>0.013</v>
      </c>
      <c r="Q604" s="145">
        <f t="shared" si="173"/>
        <v>79.79</v>
      </c>
      <c r="R604" s="145">
        <f t="shared" si="174"/>
        <v>135.65</v>
      </c>
      <c r="S604" s="126">
        <f t="shared" si="190"/>
        <v>216.5</v>
      </c>
      <c r="T604" s="147">
        <f t="shared" si="175"/>
        <v>6.7825</v>
      </c>
      <c r="U604" s="142" t="str">
        <f t="shared" si="191"/>
        <v>[{2,1,433000,433000},{5103001,1,20000,20000},{1,2,750,750},{50002,1,9000,11000},{30,1,11,14},{9,1,112,137}]</v>
      </c>
      <c r="V604" s="142" t="str">
        <f t="shared" si="192"/>
        <v>[{2,1,433000,433000},{5103001,1,40000,40000},{50002,1,6000,6000},{5203001,1,5000,5000},{21360,1,1000,1000},{5301000,1,900,1000},{5303001,1,1800,2200},{11,1,400,600}]</v>
      </c>
      <c r="X604" s="142" t="str">
        <f t="shared" si="176"/>
        <v>{2,1,433000,433000}</v>
      </c>
      <c r="Y604" s="142"/>
      <c r="Z604" s="142" t="str">
        <f t="shared" si="177"/>
        <v>{5103001,1,20000,20000}</v>
      </c>
      <c r="AA604" s="142" t="str">
        <f t="shared" si="194"/>
        <v>{1,2,750,750}</v>
      </c>
      <c r="AD604" s="142" t="str">
        <f t="shared" si="178"/>
        <v>{50002,1,9000,11000}</v>
      </c>
      <c r="AE604" s="142" t="str">
        <f t="shared" si="193"/>
        <v>{30,1,11,14}</v>
      </c>
      <c r="AG604" s="142" t="str">
        <f t="shared" si="179"/>
        <v>{9,1,112,137}</v>
      </c>
      <c r="AH604" s="142" t="str">
        <f t="shared" si="180"/>
        <v>{2,1,433000,433000}</v>
      </c>
      <c r="AI604" s="142" t="str">
        <f t="shared" si="181"/>
        <v>{5103001,1,40000,40000}</v>
      </c>
      <c r="AJ604" s="142" t="str">
        <f t="shared" si="182"/>
        <v>{50002,1,6000,6000}</v>
      </c>
      <c r="AK604" s="142" t="str">
        <f t="shared" si="183"/>
        <v>{5203001,1,5000,5000}</v>
      </c>
      <c r="AL604" s="142" t="str">
        <f t="shared" si="184"/>
        <v>{21360,1,1000,1000}</v>
      </c>
      <c r="AM604" s="142" t="str">
        <f t="shared" si="185"/>
        <v>{5301000,1,900,1000}</v>
      </c>
      <c r="AO604" s="142" t="str">
        <f t="shared" si="186"/>
        <v>{5303001,1,1800,2200}</v>
      </c>
      <c r="AP604" s="142" t="s">
        <v>210</v>
      </c>
      <c r="AQ604" s="142"/>
    </row>
    <row r="605" spans="1:43">
      <c r="A605" s="143" t="str">
        <f t="shared" si="187"/>
        <v>[{2,1,434000,434000},{5103001,1,20000,20000}]</v>
      </c>
      <c r="B605" s="98">
        <f t="shared" si="188"/>
        <v>295</v>
      </c>
      <c r="C605" s="144">
        <v>434</v>
      </c>
      <c r="D605" s="145">
        <f t="shared" si="189"/>
        <v>434</v>
      </c>
      <c r="E605" s="145">
        <v>40</v>
      </c>
      <c r="F605" s="145">
        <v>20</v>
      </c>
      <c r="G605" s="146">
        <v>1</v>
      </c>
      <c r="H605" s="146">
        <v>6</v>
      </c>
      <c r="I605" s="146">
        <v>10</v>
      </c>
      <c r="J605" s="146">
        <v>5</v>
      </c>
      <c r="K605" s="146">
        <v>1</v>
      </c>
      <c r="L605" s="146">
        <v>1.5</v>
      </c>
      <c r="M605" s="145">
        <v>0.125</v>
      </c>
      <c r="N605" s="145">
        <v>0.5</v>
      </c>
      <c r="O605" s="145">
        <v>2</v>
      </c>
      <c r="P605" s="145">
        <v>0.013</v>
      </c>
      <c r="Q605" s="145">
        <f t="shared" si="173"/>
        <v>79.84</v>
      </c>
      <c r="R605" s="145">
        <f t="shared" si="174"/>
        <v>135.7</v>
      </c>
      <c r="S605" s="126">
        <f t="shared" si="190"/>
        <v>217</v>
      </c>
      <c r="T605" s="147">
        <f t="shared" si="175"/>
        <v>6.785</v>
      </c>
      <c r="U605" s="142" t="str">
        <f t="shared" si="191"/>
        <v>[{2,1,434000,434000},{5103001,1,20000,20000},{1,2,750,750},{50002,1,9000,11000},{30,1,11,14},{9,1,112,137}]</v>
      </c>
      <c r="V605" s="142" t="str">
        <f t="shared" si="192"/>
        <v>[{2,1,434000,434000},{5103001,1,40000,40000},{50002,1,6000,6000},{5203001,1,5000,5000},{21360,1,1000,1000},{5301000,1,900,1000},{5303001,1,1800,2200},{11,1,400,600}]</v>
      </c>
      <c r="X605" s="142" t="str">
        <f t="shared" si="176"/>
        <v>{2,1,434000,434000}</v>
      </c>
      <c r="Y605" s="142"/>
      <c r="Z605" s="142" t="str">
        <f t="shared" si="177"/>
        <v>{5103001,1,20000,20000}</v>
      </c>
      <c r="AA605" s="142" t="str">
        <f t="shared" si="194"/>
        <v>{1,2,750,750}</v>
      </c>
      <c r="AD605" s="142" t="str">
        <f t="shared" si="178"/>
        <v>{50002,1,9000,11000}</v>
      </c>
      <c r="AE605" s="142" t="str">
        <f t="shared" si="193"/>
        <v>{30,1,11,14}</v>
      </c>
      <c r="AG605" s="142" t="str">
        <f t="shared" si="179"/>
        <v>{9,1,112,137}</v>
      </c>
      <c r="AH605" s="142" t="str">
        <f t="shared" si="180"/>
        <v>{2,1,434000,434000}</v>
      </c>
      <c r="AI605" s="142" t="str">
        <f t="shared" si="181"/>
        <v>{5103001,1,40000,40000}</v>
      </c>
      <c r="AJ605" s="142" t="str">
        <f t="shared" si="182"/>
        <v>{50002,1,6000,6000}</v>
      </c>
      <c r="AK605" s="142" t="str">
        <f t="shared" si="183"/>
        <v>{5203001,1,5000,5000}</v>
      </c>
      <c r="AL605" s="142" t="str">
        <f t="shared" si="184"/>
        <v>{21360,1,1000,1000}</v>
      </c>
      <c r="AM605" s="142" t="str">
        <f t="shared" si="185"/>
        <v>{5301000,1,900,1000}</v>
      </c>
      <c r="AO605" s="142" t="str">
        <f t="shared" si="186"/>
        <v>{5303001,1,1800,2200}</v>
      </c>
      <c r="AP605" s="142" t="s">
        <v>210</v>
      </c>
      <c r="AQ605" s="142"/>
    </row>
    <row r="606" spans="1:43">
      <c r="A606" s="143" t="str">
        <f t="shared" si="187"/>
        <v>[{2,1,435000,435000},{5103001,1,20000,20000}]</v>
      </c>
      <c r="B606" s="98">
        <f t="shared" si="188"/>
        <v>296</v>
      </c>
      <c r="C606" s="144">
        <v>435</v>
      </c>
      <c r="D606" s="145">
        <f t="shared" si="189"/>
        <v>435</v>
      </c>
      <c r="E606" s="145">
        <v>40</v>
      </c>
      <c r="F606" s="145">
        <v>20</v>
      </c>
      <c r="G606" s="146">
        <v>1</v>
      </c>
      <c r="H606" s="146">
        <v>6</v>
      </c>
      <c r="I606" s="146">
        <v>10</v>
      </c>
      <c r="J606" s="146">
        <v>5</v>
      </c>
      <c r="K606" s="146">
        <v>1</v>
      </c>
      <c r="L606" s="146">
        <v>1.5</v>
      </c>
      <c r="M606" s="145">
        <v>0.125</v>
      </c>
      <c r="N606" s="145">
        <v>0.5</v>
      </c>
      <c r="O606" s="145">
        <v>2</v>
      </c>
      <c r="P606" s="145">
        <v>0.013</v>
      </c>
      <c r="Q606" s="145">
        <f t="shared" si="173"/>
        <v>79.89</v>
      </c>
      <c r="R606" s="145">
        <f t="shared" si="174"/>
        <v>135.75</v>
      </c>
      <c r="S606" s="126">
        <f t="shared" si="190"/>
        <v>217.5</v>
      </c>
      <c r="T606" s="147">
        <f t="shared" si="175"/>
        <v>6.7875</v>
      </c>
      <c r="U606" s="142" t="str">
        <f t="shared" si="191"/>
        <v>[{2,1,435000,435000},{5103001,1,20000,20000},{1,2,750,750},{50002,1,9000,11000},{30,1,11,14},{9,1,112,137}]</v>
      </c>
      <c r="V606" s="142" t="str">
        <f t="shared" si="192"/>
        <v>[{2,1,435000,435000},{5103001,1,40000,40000},{50002,1,6000,6000},{5203001,1,5000,5000},{21360,1,1000,1000},{5301000,1,900,1000},{5303001,1,1800,2200},{11,1,400,600}]</v>
      </c>
      <c r="X606" s="142" t="str">
        <f t="shared" si="176"/>
        <v>{2,1,435000,435000}</v>
      </c>
      <c r="Y606" s="142"/>
      <c r="Z606" s="142" t="str">
        <f t="shared" si="177"/>
        <v>{5103001,1,20000,20000}</v>
      </c>
      <c r="AA606" s="142" t="str">
        <f t="shared" si="194"/>
        <v>{1,2,750,750}</v>
      </c>
      <c r="AD606" s="142" t="str">
        <f t="shared" si="178"/>
        <v>{50002,1,9000,11000}</v>
      </c>
      <c r="AE606" s="142" t="str">
        <f t="shared" si="193"/>
        <v>{30,1,11,14}</v>
      </c>
      <c r="AG606" s="142" t="str">
        <f t="shared" si="179"/>
        <v>{9,1,112,137}</v>
      </c>
      <c r="AH606" s="142" t="str">
        <f t="shared" si="180"/>
        <v>{2,1,435000,435000}</v>
      </c>
      <c r="AI606" s="142" t="str">
        <f t="shared" si="181"/>
        <v>{5103001,1,40000,40000}</v>
      </c>
      <c r="AJ606" s="142" t="str">
        <f t="shared" si="182"/>
        <v>{50002,1,6000,6000}</v>
      </c>
      <c r="AK606" s="142" t="str">
        <f t="shared" si="183"/>
        <v>{5203001,1,5000,5000}</v>
      </c>
      <c r="AL606" s="142" t="str">
        <f t="shared" si="184"/>
        <v>{21360,1,1000,1000}</v>
      </c>
      <c r="AM606" s="142" t="str">
        <f t="shared" si="185"/>
        <v>{5301000,1,900,1000}</v>
      </c>
      <c r="AO606" s="142" t="str">
        <f t="shared" si="186"/>
        <v>{5303001,1,1800,2200}</v>
      </c>
      <c r="AP606" s="142" t="s">
        <v>210</v>
      </c>
      <c r="AQ606" s="142"/>
    </row>
    <row r="607" spans="1:43">
      <c r="A607" s="143" t="str">
        <f t="shared" si="187"/>
        <v>[{2,1,436000,436000},{5103001,1,20000,20000}]</v>
      </c>
      <c r="B607" s="98">
        <f t="shared" si="188"/>
        <v>297</v>
      </c>
      <c r="C607" s="144">
        <v>436</v>
      </c>
      <c r="D607" s="145">
        <f t="shared" si="189"/>
        <v>436</v>
      </c>
      <c r="E607" s="145">
        <v>40</v>
      </c>
      <c r="F607" s="145">
        <v>20</v>
      </c>
      <c r="G607" s="146">
        <v>1</v>
      </c>
      <c r="H607" s="146">
        <v>6</v>
      </c>
      <c r="I607" s="146">
        <v>10</v>
      </c>
      <c r="J607" s="146">
        <v>5</v>
      </c>
      <c r="K607" s="146">
        <v>1</v>
      </c>
      <c r="L607" s="146">
        <v>1.5</v>
      </c>
      <c r="M607" s="145">
        <v>0.125</v>
      </c>
      <c r="N607" s="145">
        <v>0.5</v>
      </c>
      <c r="O607" s="145">
        <v>2</v>
      </c>
      <c r="P607" s="145">
        <v>0.013</v>
      </c>
      <c r="Q607" s="145">
        <f t="shared" si="173"/>
        <v>79.94</v>
      </c>
      <c r="R607" s="145">
        <f t="shared" si="174"/>
        <v>135.8</v>
      </c>
      <c r="S607" s="126">
        <f t="shared" si="190"/>
        <v>218</v>
      </c>
      <c r="T607" s="147">
        <f t="shared" si="175"/>
        <v>6.79</v>
      </c>
      <c r="U607" s="142" t="str">
        <f t="shared" si="191"/>
        <v>[{2,1,436000,436000},{5103001,1,20000,20000},{1,2,750,750},{50002,1,9000,11000},{30,1,11,14},{9,1,112,137}]</v>
      </c>
      <c r="V607" s="142" t="str">
        <f t="shared" si="192"/>
        <v>[{2,1,436000,436000},{5103001,1,40000,40000},{50002,1,6000,6000},{5203001,1,5000,5000},{21360,1,1000,1000},{5301000,1,900,1000},{5303001,1,1800,2200},{11,1,400,600}]</v>
      </c>
      <c r="X607" s="142" t="str">
        <f t="shared" si="176"/>
        <v>{2,1,436000,436000}</v>
      </c>
      <c r="Y607" s="142"/>
      <c r="Z607" s="142" t="str">
        <f t="shared" si="177"/>
        <v>{5103001,1,20000,20000}</v>
      </c>
      <c r="AA607" s="142" t="str">
        <f t="shared" si="194"/>
        <v>{1,2,750,750}</v>
      </c>
      <c r="AD607" s="142" t="str">
        <f t="shared" si="178"/>
        <v>{50002,1,9000,11000}</v>
      </c>
      <c r="AE607" s="142" t="str">
        <f t="shared" si="193"/>
        <v>{30,1,11,14}</v>
      </c>
      <c r="AG607" s="142" t="str">
        <f t="shared" si="179"/>
        <v>{9,1,112,137}</v>
      </c>
      <c r="AH607" s="142" t="str">
        <f t="shared" si="180"/>
        <v>{2,1,436000,436000}</v>
      </c>
      <c r="AI607" s="142" t="str">
        <f t="shared" si="181"/>
        <v>{5103001,1,40000,40000}</v>
      </c>
      <c r="AJ607" s="142" t="str">
        <f t="shared" si="182"/>
        <v>{50002,1,6000,6000}</v>
      </c>
      <c r="AK607" s="142" t="str">
        <f t="shared" si="183"/>
        <v>{5203001,1,5000,5000}</v>
      </c>
      <c r="AL607" s="142" t="str">
        <f t="shared" si="184"/>
        <v>{21360,1,1000,1000}</v>
      </c>
      <c r="AM607" s="142" t="str">
        <f t="shared" si="185"/>
        <v>{5301000,1,900,1000}</v>
      </c>
      <c r="AO607" s="142" t="str">
        <f t="shared" si="186"/>
        <v>{5303001,1,1800,2200}</v>
      </c>
      <c r="AP607" s="142" t="s">
        <v>210</v>
      </c>
      <c r="AQ607" s="142"/>
    </row>
    <row r="608" spans="1:43">
      <c r="A608" s="143" t="str">
        <f t="shared" si="187"/>
        <v>[{2,1,437000,437000},{5103001,1,20000,20000}]</v>
      </c>
      <c r="B608" s="98">
        <f t="shared" si="188"/>
        <v>298</v>
      </c>
      <c r="C608" s="144">
        <v>437</v>
      </c>
      <c r="D608" s="145">
        <f t="shared" si="189"/>
        <v>437</v>
      </c>
      <c r="E608" s="145">
        <v>40</v>
      </c>
      <c r="F608" s="145">
        <v>20</v>
      </c>
      <c r="G608" s="146">
        <v>1</v>
      </c>
      <c r="H608" s="146">
        <v>6</v>
      </c>
      <c r="I608" s="146">
        <v>10</v>
      </c>
      <c r="J608" s="146">
        <v>5</v>
      </c>
      <c r="K608" s="146">
        <v>1</v>
      </c>
      <c r="L608" s="146">
        <v>1.5</v>
      </c>
      <c r="M608" s="145">
        <v>0.125</v>
      </c>
      <c r="N608" s="145">
        <v>0.5</v>
      </c>
      <c r="O608" s="145">
        <v>2</v>
      </c>
      <c r="P608" s="145">
        <v>0.013</v>
      </c>
      <c r="Q608" s="145">
        <f t="shared" si="173"/>
        <v>79.99</v>
      </c>
      <c r="R608" s="145">
        <f t="shared" si="174"/>
        <v>135.85</v>
      </c>
      <c r="S608" s="126">
        <f t="shared" si="190"/>
        <v>218.5</v>
      </c>
      <c r="T608" s="147">
        <f t="shared" si="175"/>
        <v>6.7925</v>
      </c>
      <c r="U608" s="142" t="str">
        <f t="shared" si="191"/>
        <v>[{2,1,437000,437000},{5103001,1,20000,20000},{1,2,750,750},{50002,1,9000,11000},{30,1,11,14},{9,1,112,137}]</v>
      </c>
      <c r="V608" s="142" t="str">
        <f t="shared" si="192"/>
        <v>[{2,1,437000,437000},{5103001,1,40000,40000},{50002,1,6000,6000},{5203001,1,5000,5000},{21360,1,1000,1000},{5301000,1,900,1000},{5303001,1,1800,2200},{11,1,400,600}]</v>
      </c>
      <c r="X608" s="142" t="str">
        <f t="shared" si="176"/>
        <v>{2,1,437000,437000}</v>
      </c>
      <c r="Y608" s="142"/>
      <c r="Z608" s="142" t="str">
        <f t="shared" si="177"/>
        <v>{5103001,1,20000,20000}</v>
      </c>
      <c r="AA608" s="142" t="str">
        <f t="shared" si="194"/>
        <v>{1,2,750,750}</v>
      </c>
      <c r="AD608" s="142" t="str">
        <f t="shared" si="178"/>
        <v>{50002,1,9000,11000}</v>
      </c>
      <c r="AE608" s="142" t="str">
        <f t="shared" si="193"/>
        <v>{30,1,11,14}</v>
      </c>
      <c r="AG608" s="142" t="str">
        <f t="shared" si="179"/>
        <v>{9,1,112,137}</v>
      </c>
      <c r="AH608" s="142" t="str">
        <f t="shared" si="180"/>
        <v>{2,1,437000,437000}</v>
      </c>
      <c r="AI608" s="142" t="str">
        <f t="shared" si="181"/>
        <v>{5103001,1,40000,40000}</v>
      </c>
      <c r="AJ608" s="142" t="str">
        <f t="shared" si="182"/>
        <v>{50002,1,6000,6000}</v>
      </c>
      <c r="AK608" s="142" t="str">
        <f t="shared" si="183"/>
        <v>{5203001,1,5000,5000}</v>
      </c>
      <c r="AL608" s="142" t="str">
        <f t="shared" si="184"/>
        <v>{21360,1,1000,1000}</v>
      </c>
      <c r="AM608" s="142" t="str">
        <f t="shared" si="185"/>
        <v>{5301000,1,900,1000}</v>
      </c>
      <c r="AO608" s="142" t="str">
        <f t="shared" si="186"/>
        <v>{5303001,1,1800,2200}</v>
      </c>
      <c r="AP608" s="142" t="s">
        <v>210</v>
      </c>
      <c r="AQ608" s="142"/>
    </row>
    <row r="609" spans="1:43">
      <c r="A609" s="143" t="str">
        <f t="shared" si="187"/>
        <v>[{2,1,438000,438000},{5103001,1,20000,20000}]</v>
      </c>
      <c r="B609" s="98">
        <f t="shared" si="188"/>
        <v>299</v>
      </c>
      <c r="C609" s="144">
        <v>438</v>
      </c>
      <c r="D609" s="145">
        <f t="shared" si="189"/>
        <v>438</v>
      </c>
      <c r="E609" s="145">
        <v>40</v>
      </c>
      <c r="F609" s="145">
        <v>20</v>
      </c>
      <c r="G609" s="146">
        <v>1</v>
      </c>
      <c r="H609" s="146">
        <v>6</v>
      </c>
      <c r="I609" s="146">
        <v>10</v>
      </c>
      <c r="J609" s="146">
        <v>5</v>
      </c>
      <c r="K609" s="146">
        <v>1</v>
      </c>
      <c r="L609" s="146">
        <v>1.5</v>
      </c>
      <c r="M609" s="145">
        <v>0.125</v>
      </c>
      <c r="N609" s="145">
        <v>0.5</v>
      </c>
      <c r="O609" s="145">
        <v>2</v>
      </c>
      <c r="P609" s="145">
        <v>0.013</v>
      </c>
      <c r="Q609" s="145">
        <f t="shared" si="173"/>
        <v>80.04</v>
      </c>
      <c r="R609" s="145">
        <f t="shared" si="174"/>
        <v>135.9</v>
      </c>
      <c r="S609" s="126">
        <f t="shared" si="190"/>
        <v>219</v>
      </c>
      <c r="T609" s="147">
        <f t="shared" si="175"/>
        <v>6.795</v>
      </c>
      <c r="U609" s="142" t="str">
        <f t="shared" si="191"/>
        <v>[{2,1,438000,438000},{5103001,1,20000,20000},{1,2,750,750},{50002,1,9000,11000},{30,1,11,14},{9,1,112,137}]</v>
      </c>
      <c r="V609" s="142" t="str">
        <f t="shared" si="192"/>
        <v>[{2,1,438000,438000},{5103001,1,40000,40000},{50002,1,6000,6000},{5203001,1,5000,5000},{21360,1,1000,1000},{5301000,1,900,1000},{5303001,1,1800,2200},{11,1,400,600}]</v>
      </c>
      <c r="X609" s="142" t="str">
        <f t="shared" si="176"/>
        <v>{2,1,438000,438000}</v>
      </c>
      <c r="Y609" s="142"/>
      <c r="Z609" s="142" t="str">
        <f t="shared" si="177"/>
        <v>{5103001,1,20000,20000}</v>
      </c>
      <c r="AA609" s="142" t="str">
        <f t="shared" si="194"/>
        <v>{1,2,750,750}</v>
      </c>
      <c r="AD609" s="142" t="str">
        <f t="shared" si="178"/>
        <v>{50002,1,9000,11000}</v>
      </c>
      <c r="AE609" s="142" t="str">
        <f t="shared" si="193"/>
        <v>{30,1,11,14}</v>
      </c>
      <c r="AG609" s="142" t="str">
        <f t="shared" si="179"/>
        <v>{9,1,112,137}</v>
      </c>
      <c r="AH609" s="142" t="str">
        <f t="shared" si="180"/>
        <v>{2,1,438000,438000}</v>
      </c>
      <c r="AI609" s="142" t="str">
        <f t="shared" si="181"/>
        <v>{5103001,1,40000,40000}</v>
      </c>
      <c r="AJ609" s="142" t="str">
        <f t="shared" si="182"/>
        <v>{50002,1,6000,6000}</v>
      </c>
      <c r="AK609" s="142" t="str">
        <f t="shared" si="183"/>
        <v>{5203001,1,5000,5000}</v>
      </c>
      <c r="AL609" s="142" t="str">
        <f t="shared" si="184"/>
        <v>{21360,1,1000,1000}</v>
      </c>
      <c r="AM609" s="142" t="str">
        <f t="shared" si="185"/>
        <v>{5301000,1,900,1000}</v>
      </c>
      <c r="AO609" s="142" t="str">
        <f t="shared" si="186"/>
        <v>{5303001,1,1800,2200}</v>
      </c>
      <c r="AP609" s="142" t="s">
        <v>210</v>
      </c>
      <c r="AQ609" s="142"/>
    </row>
    <row r="610" spans="1:43">
      <c r="A610" s="143" t="str">
        <f t="shared" si="187"/>
        <v>[{2,1,439000,439000},{5103001,1,20000,20000}]</v>
      </c>
      <c r="B610" s="98">
        <f t="shared" si="188"/>
        <v>300</v>
      </c>
      <c r="C610" s="144">
        <v>439</v>
      </c>
      <c r="D610" s="145">
        <f t="shared" si="189"/>
        <v>439</v>
      </c>
      <c r="E610" s="145">
        <v>40</v>
      </c>
      <c r="F610" s="145">
        <v>20</v>
      </c>
      <c r="G610" s="146">
        <v>1</v>
      </c>
      <c r="H610" s="146">
        <v>6</v>
      </c>
      <c r="I610" s="146">
        <v>10</v>
      </c>
      <c r="J610" s="146">
        <v>5</v>
      </c>
      <c r="K610" s="146">
        <v>1</v>
      </c>
      <c r="L610" s="146">
        <v>1.5</v>
      </c>
      <c r="M610" s="145">
        <v>0.125</v>
      </c>
      <c r="N610" s="145">
        <v>0.5</v>
      </c>
      <c r="O610" s="145">
        <v>2</v>
      </c>
      <c r="P610" s="145">
        <v>0.013</v>
      </c>
      <c r="Q610" s="145">
        <f t="shared" si="173"/>
        <v>80.09</v>
      </c>
      <c r="R610" s="145">
        <f t="shared" si="174"/>
        <v>135.95</v>
      </c>
      <c r="S610" s="126">
        <f t="shared" si="190"/>
        <v>219.5</v>
      </c>
      <c r="T610" s="147">
        <f t="shared" si="175"/>
        <v>6.7975</v>
      </c>
      <c r="U610" s="142" t="str">
        <f t="shared" si="191"/>
        <v>[{2,1,439000,439000},{5103001,1,20000,20000},{1,2,750,750},{50002,1,9000,11000},{30,1,11,14},{9,1,112,137}]</v>
      </c>
      <c r="V610" s="142" t="str">
        <f t="shared" si="192"/>
        <v>[{2,1,439000,439000},{5103001,1,40000,40000},{50002,1,6000,6000},{5203001,1,5000,5000},{21360,1,1000,1000},{5301000,1,900,1000},{5303001,1,1800,2200},{11,1,400,600}]</v>
      </c>
      <c r="X610" s="142" t="str">
        <f t="shared" si="176"/>
        <v>{2,1,439000,439000}</v>
      </c>
      <c r="Y610" s="142"/>
      <c r="Z610" s="142" t="str">
        <f t="shared" si="177"/>
        <v>{5103001,1,20000,20000}</v>
      </c>
      <c r="AA610" s="142" t="str">
        <f t="shared" si="194"/>
        <v>{1,2,750,750}</v>
      </c>
      <c r="AD610" s="142" t="str">
        <f t="shared" si="178"/>
        <v>{50002,1,9000,11000}</v>
      </c>
      <c r="AE610" s="142" t="str">
        <f t="shared" si="193"/>
        <v>{30,1,11,14}</v>
      </c>
      <c r="AG610" s="142" t="str">
        <f t="shared" si="179"/>
        <v>{9,1,112,137}</v>
      </c>
      <c r="AH610" s="142" t="str">
        <f t="shared" si="180"/>
        <v>{2,1,439000,439000}</v>
      </c>
      <c r="AI610" s="142" t="str">
        <f t="shared" si="181"/>
        <v>{5103001,1,40000,40000}</v>
      </c>
      <c r="AJ610" s="142" t="str">
        <f t="shared" si="182"/>
        <v>{50002,1,6000,6000}</v>
      </c>
      <c r="AK610" s="142" t="str">
        <f t="shared" si="183"/>
        <v>{5203001,1,5000,5000}</v>
      </c>
      <c r="AL610" s="142" t="str">
        <f t="shared" si="184"/>
        <v>{21360,1,1000,1000}</v>
      </c>
      <c r="AM610" s="142" t="str">
        <f t="shared" si="185"/>
        <v>{5301000,1,900,1000}</v>
      </c>
      <c r="AO610" s="142" t="str">
        <f t="shared" si="186"/>
        <v>{5303001,1,1800,2200}</v>
      </c>
      <c r="AP610" s="142" t="s">
        <v>210</v>
      </c>
      <c r="AQ610" s="142"/>
    </row>
  </sheetData>
  <mergeCells count="1">
    <mergeCell ref="Q308:R308"/>
  </mergeCells>
  <conditionalFormatting sqref="W2">
    <cfRule type="duplicateValues" dxfId="30" priority="1"/>
  </conditionalFormatting>
  <conditionalFormatting sqref="X2">
    <cfRule type="duplicateValues" dxfId="30" priority="2"/>
  </conditionalFormatting>
  <conditionalFormatting sqref="K308">
    <cfRule type="duplicateValues" dxfId="30" priority="5"/>
  </conditionalFormatting>
  <conditionalFormatting sqref="L308">
    <cfRule type="duplicateValues" dxfId="30" priority="6"/>
  </conditionalFormatting>
  <pageMargins left="0.75" right="0.75" top="1" bottom="1" header="0.5" footer="0.5"/>
  <headerFooter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theme="4"/>
  </sheetPr>
  <dimension ref="B2:W45"/>
  <sheetViews>
    <sheetView topLeftCell="C1" workbookViewId="0">
      <selection activeCell="P30" sqref="P30"/>
    </sheetView>
  </sheetViews>
  <sheetFormatPr defaultColWidth="9" defaultRowHeight="13.5"/>
  <cols>
    <col min="6" max="6" width="9.25"/>
    <col min="14" max="14" width="12.625"/>
    <col min="19" max="19" width="9.70833333333333" customWidth="1"/>
  </cols>
  <sheetData>
    <row r="2" spans="2:22">
      <c r="L2" s="23"/>
      <c r="M2" s="23"/>
      <c r="N2" s="23"/>
      <c r="O2" s="23"/>
    </row>
    <row r="3" spans="2:22">
      <c r="C3" s="23">
        <f>_xlfn.XLOOKUP(C4,价值表!$D:$D,价值表!$F:$F)</f>
        <v>0.05</v>
      </c>
      <c r="D3" s="23">
        <f>_xlfn.XLOOKUP(D4,价值表!$D:$D,价值表!$F:$F)</f>
        <v>1</v>
      </c>
      <c r="E3" s="23">
        <f>_xlfn.XLOOKUP(E4,价值表!$D:$D,价值表!$F:$F)</f>
        <v>5</v>
      </c>
      <c r="F3" s="23">
        <f>_xlfn.XLOOKUP(F4,价值表!$D:$D,价值表!$F:$F)</f>
        <v>3</v>
      </c>
      <c r="G3" s="23">
        <f>_xlfn.XLOOKUP(G4,价值表!$D:$D,价值表!$F:$F)</f>
        <v>3</v>
      </c>
      <c r="H3" s="23">
        <f>_xlfn.XLOOKUP(H4,价值表!$D:$D,价值表!$F:$F)</f>
        <v>50</v>
      </c>
      <c r="I3" s="23">
        <f>_xlfn.XLOOKUP(I4,价值表!$D:$D,价值表!$F:$F)</f>
        <v>15</v>
      </c>
      <c r="J3" s="23">
        <f>_xlfn.XLOOKUP(J4,价值表!$D:$D,价值表!$F:$F)</f>
        <v>16</v>
      </c>
      <c r="K3" s="23">
        <f>_xlfn.XLOOKUP(K4,价值表!$D:$D,价值表!$F:$F)</f>
        <v>5</v>
      </c>
      <c r="P3" s="23"/>
    </row>
    <row r="4" ht="16.5" spans="2:22">
      <c r="B4" s="23" t="s">
        <v>211</v>
      </c>
      <c r="C4" s="23" t="s">
        <v>96</v>
      </c>
      <c r="D4" s="23" t="s">
        <v>128</v>
      </c>
      <c r="E4" s="23" t="s">
        <v>132</v>
      </c>
      <c r="F4" s="48" t="s">
        <v>131</v>
      </c>
      <c r="G4" s="23" t="s">
        <v>129</v>
      </c>
      <c r="H4" s="23" t="s">
        <v>212</v>
      </c>
      <c r="I4" s="23" t="s">
        <v>213</v>
      </c>
      <c r="J4" s="23" t="s">
        <v>133</v>
      </c>
      <c r="K4" s="23" t="s">
        <v>214</v>
      </c>
      <c r="L4" s="23" t="s">
        <v>215</v>
      </c>
      <c r="M4" s="23" t="s">
        <v>216</v>
      </c>
      <c r="N4" s="32" t="s">
        <v>217</v>
      </c>
      <c r="O4" s="32" t="s">
        <v>218</v>
      </c>
      <c r="P4" s="32" t="s">
        <v>219</v>
      </c>
      <c r="Q4" s="32" t="s">
        <v>220</v>
      </c>
      <c r="R4" s="32" t="s">
        <v>221</v>
      </c>
      <c r="S4" s="32" t="s">
        <v>222</v>
      </c>
      <c r="T4" s="32" t="s">
        <v>223</v>
      </c>
      <c r="U4" s="32" t="s">
        <v>224</v>
      </c>
      <c r="V4" t="s">
        <v>91</v>
      </c>
    </row>
    <row r="5" spans="2:22">
      <c r="B5" s="23">
        <v>1</v>
      </c>
      <c r="C5" s="48">
        <f>(C25+D25)</f>
        <v>636</v>
      </c>
      <c r="D5" s="23">
        <f>E25+F25+H25</f>
        <v>80</v>
      </c>
      <c r="E5" s="23">
        <f>G25</f>
        <v>4</v>
      </c>
      <c r="F5" s="23">
        <f>I25</f>
        <v>10</v>
      </c>
      <c r="G5" s="23">
        <v>8</v>
      </c>
      <c r="H5" s="23">
        <v>2</v>
      </c>
      <c r="I5" s="23">
        <v>3</v>
      </c>
      <c r="J5" s="23">
        <v>5</v>
      </c>
      <c r="K5" s="23">
        <v>2</v>
      </c>
      <c r="L5" s="23">
        <v>4500</v>
      </c>
      <c r="M5" s="23">
        <v>390</v>
      </c>
      <c r="N5" s="128">
        <v>0.5</v>
      </c>
      <c r="O5" s="128">
        <v>1.75</v>
      </c>
      <c r="P5" s="128">
        <v>1.5</v>
      </c>
      <c r="Q5" s="128">
        <v>1</v>
      </c>
      <c r="R5" s="128">
        <v>0.25</v>
      </c>
      <c r="S5" s="128">
        <v>0</v>
      </c>
      <c r="T5" s="128">
        <v>0</v>
      </c>
      <c r="U5" s="128">
        <v>0</v>
      </c>
      <c r="V5" s="129" cm="1">
        <f t="array" ref="V5">SUMPRODUCT(C5:K5,$C$3:$K$3)/40</f>
        <v>10.52</v>
      </c>
    </row>
    <row r="6" spans="2:22">
      <c r="B6" s="23">
        <v>2</v>
      </c>
      <c r="C6" s="48">
        <f t="shared" ref="C6:C19" si="0">(C26+D26)</f>
        <v>676</v>
      </c>
      <c r="D6" s="23">
        <f t="shared" ref="D6:D19" si="1">E26+F26+H26</f>
        <v>80</v>
      </c>
      <c r="E6" s="23">
        <f t="shared" ref="E6:E19" si="2">G26</f>
        <v>4</v>
      </c>
      <c r="F6" s="23">
        <f t="shared" ref="F6:F19" si="3">I26</f>
        <v>10</v>
      </c>
      <c r="G6" s="23">
        <v>8</v>
      </c>
      <c r="H6" s="23">
        <v>2</v>
      </c>
      <c r="I6" s="23">
        <v>3</v>
      </c>
      <c r="J6" s="23">
        <v>5</v>
      </c>
      <c r="K6" s="23">
        <v>2</v>
      </c>
      <c r="L6" s="23">
        <v>4500</v>
      </c>
      <c r="M6" s="23">
        <v>444</v>
      </c>
      <c r="N6" s="128">
        <v>0.5</v>
      </c>
      <c r="O6" s="128">
        <v>0.75</v>
      </c>
      <c r="P6" s="128">
        <v>2</v>
      </c>
      <c r="Q6" s="128">
        <v>1.25</v>
      </c>
      <c r="R6" s="128">
        <v>0.5</v>
      </c>
      <c r="S6" s="128">
        <v>0</v>
      </c>
      <c r="T6" s="128">
        <v>0</v>
      </c>
      <c r="U6" s="128">
        <v>0</v>
      </c>
      <c r="V6" s="129" cm="1">
        <f t="array" ref="V6">SUMPRODUCT(C6:K6,$C$3:$K$3)/40</f>
        <v>10.57</v>
      </c>
    </row>
    <row r="7" spans="2:22">
      <c r="B7" s="23">
        <v>3</v>
      </c>
      <c r="C7" s="48">
        <f t="shared" si="0"/>
        <v>716</v>
      </c>
      <c r="D7" s="23">
        <f t="shared" si="1"/>
        <v>80</v>
      </c>
      <c r="E7" s="23">
        <f t="shared" si="2"/>
        <v>4</v>
      </c>
      <c r="F7" s="23">
        <f t="shared" si="3"/>
        <v>10</v>
      </c>
      <c r="G7" s="23">
        <v>8</v>
      </c>
      <c r="H7" s="23">
        <v>2</v>
      </c>
      <c r="I7" s="23">
        <v>3</v>
      </c>
      <c r="J7" s="23">
        <v>5</v>
      </c>
      <c r="K7" s="23">
        <v>2</v>
      </c>
      <c r="L7" s="23">
        <f t="shared" ref="L7:L19" si="4">L5+1500</f>
        <v>6000</v>
      </c>
      <c r="M7" s="23">
        <v>566</v>
      </c>
      <c r="N7" s="128">
        <v>0.25</v>
      </c>
      <c r="O7" s="128">
        <v>0.75</v>
      </c>
      <c r="P7" s="128">
        <v>2</v>
      </c>
      <c r="Q7" s="128">
        <v>1.25</v>
      </c>
      <c r="R7" s="128">
        <v>0.625</v>
      </c>
      <c r="S7" s="128">
        <v>0.125</v>
      </c>
      <c r="T7" s="128">
        <v>0</v>
      </c>
      <c r="U7" s="128">
        <v>0</v>
      </c>
      <c r="V7" s="129" cm="1">
        <f t="array" ref="V7">SUMPRODUCT(C7:K7,$C$3:$K$3)/40</f>
        <v>10.62</v>
      </c>
    </row>
    <row r="8" spans="2:22">
      <c r="B8" s="23">
        <v>4</v>
      </c>
      <c r="C8" s="48">
        <f t="shared" si="0"/>
        <v>756</v>
      </c>
      <c r="D8" s="23">
        <f t="shared" si="1"/>
        <v>80</v>
      </c>
      <c r="E8" s="23">
        <f t="shared" si="2"/>
        <v>4</v>
      </c>
      <c r="F8" s="23">
        <f t="shared" si="3"/>
        <v>10</v>
      </c>
      <c r="G8" s="23">
        <v>8</v>
      </c>
      <c r="H8" s="23">
        <v>2</v>
      </c>
      <c r="I8" s="23">
        <v>3</v>
      </c>
      <c r="J8" s="23">
        <v>5</v>
      </c>
      <c r="K8" s="23">
        <v>2</v>
      </c>
      <c r="L8" s="23">
        <f t="shared" si="4"/>
        <v>6000</v>
      </c>
      <c r="M8" s="23">
        <v>820</v>
      </c>
      <c r="N8" s="128">
        <v>0.125</v>
      </c>
      <c r="O8" s="128">
        <v>0.75</v>
      </c>
      <c r="P8" s="128">
        <v>2</v>
      </c>
      <c r="Q8" s="128">
        <v>1.25</v>
      </c>
      <c r="R8" s="128">
        <v>0.625</v>
      </c>
      <c r="S8" s="128">
        <v>0.25</v>
      </c>
      <c r="T8" s="128">
        <v>0</v>
      </c>
      <c r="U8" s="128">
        <v>0</v>
      </c>
      <c r="V8" s="129" cm="1">
        <f t="array" ref="V8">SUMPRODUCT(C8:K8,$C$3:$K$3)/40</f>
        <v>10.67</v>
      </c>
    </row>
    <row r="9" spans="2:22">
      <c r="B9" s="23">
        <v>5</v>
      </c>
      <c r="C9" s="48">
        <f t="shared" si="0"/>
        <v>796</v>
      </c>
      <c r="D9" s="23">
        <f t="shared" si="1"/>
        <v>80</v>
      </c>
      <c r="E9" s="23">
        <f t="shared" si="2"/>
        <v>4</v>
      </c>
      <c r="F9" s="23">
        <f t="shared" si="3"/>
        <v>10</v>
      </c>
      <c r="G9" s="23">
        <v>8</v>
      </c>
      <c r="H9" s="23">
        <v>2</v>
      </c>
      <c r="I9" s="23">
        <v>3</v>
      </c>
      <c r="J9" s="23">
        <v>5</v>
      </c>
      <c r="K9" s="23">
        <v>2</v>
      </c>
      <c r="L9" s="23">
        <f t="shared" si="4"/>
        <v>7500</v>
      </c>
      <c r="M9" s="23">
        <v>1023</v>
      </c>
      <c r="N9" s="128">
        <v>0</v>
      </c>
      <c r="O9" s="128">
        <v>0.625</v>
      </c>
      <c r="P9" s="128">
        <v>2</v>
      </c>
      <c r="Q9" s="128">
        <v>1.25</v>
      </c>
      <c r="R9" s="128">
        <v>0.75</v>
      </c>
      <c r="S9" s="128">
        <v>0.375</v>
      </c>
      <c r="T9" s="128">
        <v>0</v>
      </c>
      <c r="U9" s="128">
        <v>0</v>
      </c>
      <c r="V9" s="129" cm="1">
        <f t="array" ref="V9">SUMPRODUCT(C9:K9,$C$3:$K$3)/40</f>
        <v>10.72</v>
      </c>
    </row>
    <row r="10" spans="2:22">
      <c r="B10" s="23">
        <v>6</v>
      </c>
      <c r="C10" s="48">
        <f t="shared" si="0"/>
        <v>836</v>
      </c>
      <c r="D10" s="23">
        <f t="shared" si="1"/>
        <v>80</v>
      </c>
      <c r="E10" s="23">
        <f t="shared" si="2"/>
        <v>4</v>
      </c>
      <c r="F10" s="23">
        <f t="shared" si="3"/>
        <v>10</v>
      </c>
      <c r="G10" s="23">
        <v>8</v>
      </c>
      <c r="H10" s="23">
        <v>2</v>
      </c>
      <c r="I10" s="23">
        <v>3</v>
      </c>
      <c r="J10" s="23">
        <v>5</v>
      </c>
      <c r="K10" s="23">
        <v>2</v>
      </c>
      <c r="L10" s="23">
        <f t="shared" si="4"/>
        <v>7500</v>
      </c>
      <c r="M10" s="23">
        <v>1079</v>
      </c>
      <c r="N10" s="128">
        <v>0</v>
      </c>
      <c r="O10" s="128">
        <v>0.375</v>
      </c>
      <c r="P10" s="128">
        <v>2</v>
      </c>
      <c r="Q10" s="128">
        <v>1.25</v>
      </c>
      <c r="R10" s="128">
        <v>0.75</v>
      </c>
      <c r="S10" s="128">
        <v>0.5</v>
      </c>
      <c r="T10" s="128">
        <v>0.125</v>
      </c>
      <c r="U10" s="128">
        <v>0</v>
      </c>
      <c r="V10" s="129" cm="1">
        <f t="array" ref="V10">SUMPRODUCT(C10:K10,$C$3:$K$3)/40</f>
        <v>10.77</v>
      </c>
    </row>
    <row r="11" spans="2:22">
      <c r="B11" s="23">
        <v>7</v>
      </c>
      <c r="C11" s="48">
        <f t="shared" si="0"/>
        <v>876</v>
      </c>
      <c r="D11" s="23">
        <f t="shared" si="1"/>
        <v>80</v>
      </c>
      <c r="E11" s="23">
        <f t="shared" si="2"/>
        <v>4</v>
      </c>
      <c r="F11" s="23">
        <f t="shared" si="3"/>
        <v>10</v>
      </c>
      <c r="G11" s="23">
        <v>8</v>
      </c>
      <c r="H11" s="23">
        <v>2</v>
      </c>
      <c r="I11" s="23">
        <v>3</v>
      </c>
      <c r="J11" s="23">
        <v>5</v>
      </c>
      <c r="K11" s="23">
        <v>2</v>
      </c>
      <c r="L11" s="23">
        <f t="shared" si="4"/>
        <v>9000</v>
      </c>
      <c r="M11" s="23">
        <v>1378</v>
      </c>
      <c r="N11" s="128">
        <v>0</v>
      </c>
      <c r="O11" s="128">
        <v>0.175</v>
      </c>
      <c r="P11" s="128">
        <v>2</v>
      </c>
      <c r="Q11" s="128">
        <v>1.25</v>
      </c>
      <c r="R11" s="128">
        <v>0.8</v>
      </c>
      <c r="S11" s="128">
        <v>0.575</v>
      </c>
      <c r="T11" s="128">
        <v>0.2</v>
      </c>
      <c r="U11" s="128">
        <v>0</v>
      </c>
      <c r="V11" s="129" cm="1">
        <f t="array" ref="V11">SUMPRODUCT(C11:K11,$C$3:$K$3)/40</f>
        <v>10.82</v>
      </c>
    </row>
    <row r="12" spans="2:22">
      <c r="B12" s="23">
        <v>8</v>
      </c>
      <c r="C12" s="48">
        <f t="shared" si="0"/>
        <v>916</v>
      </c>
      <c r="D12" s="23">
        <f t="shared" si="1"/>
        <v>80</v>
      </c>
      <c r="E12" s="23">
        <f t="shared" si="2"/>
        <v>4</v>
      </c>
      <c r="F12" s="23">
        <f t="shared" si="3"/>
        <v>10</v>
      </c>
      <c r="G12" s="23">
        <v>8</v>
      </c>
      <c r="H12" s="23">
        <v>2</v>
      </c>
      <c r="I12" s="23">
        <v>3</v>
      </c>
      <c r="J12" s="23">
        <v>5</v>
      </c>
      <c r="K12" s="23">
        <v>2</v>
      </c>
      <c r="L12" s="23">
        <f t="shared" si="4"/>
        <v>9000</v>
      </c>
      <c r="M12" s="23">
        <v>1677</v>
      </c>
      <c r="N12" s="128">
        <v>0</v>
      </c>
      <c r="O12" s="128">
        <v>0</v>
      </c>
      <c r="P12" s="128">
        <v>1.725</v>
      </c>
      <c r="Q12" s="128">
        <v>1.5</v>
      </c>
      <c r="R12" s="128">
        <v>0.85</v>
      </c>
      <c r="S12" s="128">
        <v>0.65</v>
      </c>
      <c r="T12" s="128">
        <v>0.275</v>
      </c>
      <c r="U12" s="128">
        <v>0</v>
      </c>
      <c r="V12" s="129" cm="1">
        <f t="array" ref="V12">SUMPRODUCT(C12:K12,$C$3:$K$3)/40</f>
        <v>10.87</v>
      </c>
    </row>
    <row r="13" spans="2:22">
      <c r="B13" s="23">
        <v>9</v>
      </c>
      <c r="C13" s="48">
        <f t="shared" si="0"/>
        <v>956</v>
      </c>
      <c r="D13" s="23">
        <f t="shared" si="1"/>
        <v>80</v>
      </c>
      <c r="E13" s="23">
        <f t="shared" si="2"/>
        <v>4</v>
      </c>
      <c r="F13" s="23">
        <f t="shared" si="3"/>
        <v>10</v>
      </c>
      <c r="G13" s="23">
        <v>8</v>
      </c>
      <c r="H13" s="23">
        <v>2</v>
      </c>
      <c r="I13" s="23">
        <v>3</v>
      </c>
      <c r="J13" s="23">
        <v>5</v>
      </c>
      <c r="K13" s="23">
        <v>2</v>
      </c>
      <c r="L13" s="23">
        <f t="shared" si="4"/>
        <v>10500</v>
      </c>
      <c r="M13" s="23">
        <v>2073</v>
      </c>
      <c r="N13" s="128">
        <v>0</v>
      </c>
      <c r="O13" s="128">
        <v>0</v>
      </c>
      <c r="P13" s="128">
        <v>1.25</v>
      </c>
      <c r="Q13" s="128">
        <v>1.75</v>
      </c>
      <c r="R13" s="128">
        <v>0.9</v>
      </c>
      <c r="S13" s="128">
        <v>0.725</v>
      </c>
      <c r="T13" s="128">
        <v>0.375</v>
      </c>
      <c r="U13" s="128">
        <v>0</v>
      </c>
      <c r="V13" s="129" cm="1">
        <f t="array" ref="V13">SUMPRODUCT(C13:K13,$C$3:$K$3)/40</f>
        <v>10.92</v>
      </c>
    </row>
    <row r="14" spans="2:22">
      <c r="B14" s="23">
        <v>10</v>
      </c>
      <c r="C14" s="48">
        <f t="shared" si="0"/>
        <v>996</v>
      </c>
      <c r="D14" s="23">
        <f t="shared" si="1"/>
        <v>80</v>
      </c>
      <c r="E14" s="23">
        <f t="shared" si="2"/>
        <v>4</v>
      </c>
      <c r="F14" s="23">
        <f t="shared" si="3"/>
        <v>10</v>
      </c>
      <c r="G14" s="23">
        <v>8</v>
      </c>
      <c r="H14" s="23">
        <v>2</v>
      </c>
      <c r="I14" s="23">
        <v>3</v>
      </c>
      <c r="J14" s="23">
        <v>5</v>
      </c>
      <c r="K14" s="23">
        <v>2</v>
      </c>
      <c r="L14" s="23">
        <f t="shared" si="4"/>
        <v>10500</v>
      </c>
      <c r="M14" s="23">
        <v>2178</v>
      </c>
      <c r="N14" s="128">
        <v>0</v>
      </c>
      <c r="O14" s="128">
        <v>0</v>
      </c>
      <c r="P14" s="128">
        <v>0.675</v>
      </c>
      <c r="Q14" s="128">
        <v>2</v>
      </c>
      <c r="R14" s="128">
        <v>1</v>
      </c>
      <c r="S14" s="128">
        <v>0.8</v>
      </c>
      <c r="T14" s="128">
        <v>0.45</v>
      </c>
      <c r="U14" s="128">
        <v>0.075</v>
      </c>
      <c r="V14" s="129" cm="1">
        <f t="array" ref="V14">SUMPRODUCT(C14:K14,$C$3:$K$3)/40</f>
        <v>10.97</v>
      </c>
    </row>
    <row r="15" spans="2:22">
      <c r="B15" s="23">
        <v>11</v>
      </c>
      <c r="C15" s="48">
        <f t="shared" si="0"/>
        <v>1036</v>
      </c>
      <c r="D15" s="23">
        <f t="shared" si="1"/>
        <v>80</v>
      </c>
      <c r="E15" s="23">
        <f t="shared" si="2"/>
        <v>4</v>
      </c>
      <c r="F15" s="23">
        <f t="shared" si="3"/>
        <v>10</v>
      </c>
      <c r="G15" s="23">
        <v>8</v>
      </c>
      <c r="H15" s="23">
        <v>2</v>
      </c>
      <c r="I15" s="23">
        <v>3</v>
      </c>
      <c r="J15" s="23">
        <v>5</v>
      </c>
      <c r="K15" s="23">
        <v>2</v>
      </c>
      <c r="L15" s="23">
        <f t="shared" si="4"/>
        <v>12000</v>
      </c>
      <c r="M15" s="23">
        <v>2750</v>
      </c>
      <c r="N15" s="128">
        <v>0</v>
      </c>
      <c r="O15" s="128">
        <v>0</v>
      </c>
      <c r="P15" s="128">
        <v>0</v>
      </c>
      <c r="Q15" s="128">
        <v>2.275</v>
      </c>
      <c r="R15" s="128">
        <v>1.25</v>
      </c>
      <c r="S15" s="128">
        <v>0.85</v>
      </c>
      <c r="T15" s="128">
        <v>0.5</v>
      </c>
      <c r="U15" s="128">
        <v>0.125</v>
      </c>
      <c r="V15" s="129" cm="1">
        <f t="array" ref="V15">SUMPRODUCT(C15:K15,$C$3:$K$3)/40</f>
        <v>11.02</v>
      </c>
    </row>
    <row r="16" spans="2:22">
      <c r="B16" s="23">
        <v>12</v>
      </c>
      <c r="C16" s="48">
        <f t="shared" si="0"/>
        <v>1076</v>
      </c>
      <c r="D16" s="23">
        <f t="shared" si="1"/>
        <v>80</v>
      </c>
      <c r="E16" s="23">
        <f t="shared" si="2"/>
        <v>4</v>
      </c>
      <c r="F16" s="23">
        <f t="shared" si="3"/>
        <v>10</v>
      </c>
      <c r="G16" s="23">
        <v>8</v>
      </c>
      <c r="H16" s="23">
        <v>2</v>
      </c>
      <c r="I16" s="23">
        <v>3</v>
      </c>
      <c r="J16" s="23">
        <v>5</v>
      </c>
      <c r="K16" s="23">
        <v>2</v>
      </c>
      <c r="L16" s="23">
        <f t="shared" si="4"/>
        <v>12000</v>
      </c>
      <c r="M16" s="23">
        <v>2933</v>
      </c>
      <c r="N16" s="128">
        <v>0</v>
      </c>
      <c r="O16" s="128">
        <v>0</v>
      </c>
      <c r="P16" s="128">
        <v>0</v>
      </c>
      <c r="Q16" s="128">
        <v>1.85</v>
      </c>
      <c r="R16" s="128">
        <v>1.5</v>
      </c>
      <c r="S16" s="128">
        <v>0.9</v>
      </c>
      <c r="T16" s="128">
        <v>0.55</v>
      </c>
      <c r="U16" s="128">
        <v>0.2</v>
      </c>
      <c r="V16" s="129" cm="1">
        <f t="array" ref="V16">SUMPRODUCT(C16:K16,$C$3:$K$3)/40</f>
        <v>11.07</v>
      </c>
    </row>
    <row r="17" spans="2:23">
      <c r="B17" s="23">
        <v>13</v>
      </c>
      <c r="C17" s="48">
        <f t="shared" si="0"/>
        <v>1116</v>
      </c>
      <c r="D17" s="23">
        <f t="shared" si="1"/>
        <v>80</v>
      </c>
      <c r="E17" s="23">
        <f t="shared" si="2"/>
        <v>4</v>
      </c>
      <c r="F17" s="23">
        <f t="shared" si="3"/>
        <v>10</v>
      </c>
      <c r="G17" s="23">
        <v>8</v>
      </c>
      <c r="H17" s="23">
        <v>2</v>
      </c>
      <c r="I17" s="23">
        <v>3</v>
      </c>
      <c r="J17" s="23">
        <v>5</v>
      </c>
      <c r="K17" s="23">
        <v>2</v>
      </c>
      <c r="L17" s="23">
        <f t="shared" si="4"/>
        <v>13500</v>
      </c>
      <c r="M17" s="23">
        <v>3073</v>
      </c>
      <c r="N17" s="128">
        <v>0</v>
      </c>
      <c r="O17" s="128">
        <v>0</v>
      </c>
      <c r="P17" s="128">
        <v>0</v>
      </c>
      <c r="Q17" s="128">
        <v>1.475</v>
      </c>
      <c r="R17" s="128">
        <v>1.75</v>
      </c>
      <c r="S17" s="128">
        <v>0.95</v>
      </c>
      <c r="T17" s="128">
        <v>0.6</v>
      </c>
      <c r="U17" s="128">
        <v>0.225</v>
      </c>
      <c r="V17" s="129" cm="1">
        <f t="array" ref="V17">SUMPRODUCT(C17:K17,$C$3:$K$3)/40</f>
        <v>11.12</v>
      </c>
    </row>
    <row r="18" spans="2:23">
      <c r="B18" s="23">
        <v>14</v>
      </c>
      <c r="C18" s="48">
        <f t="shared" si="0"/>
        <v>1156</v>
      </c>
      <c r="D18" s="23">
        <f t="shared" si="1"/>
        <v>80</v>
      </c>
      <c r="E18" s="23">
        <f t="shared" si="2"/>
        <v>4</v>
      </c>
      <c r="F18" s="23">
        <f t="shared" si="3"/>
        <v>10</v>
      </c>
      <c r="G18" s="23">
        <v>8</v>
      </c>
      <c r="H18" s="23">
        <v>2</v>
      </c>
      <c r="I18" s="23">
        <v>3</v>
      </c>
      <c r="J18" s="23">
        <v>5</v>
      </c>
      <c r="K18" s="23">
        <v>2</v>
      </c>
      <c r="L18" s="23">
        <f t="shared" si="4"/>
        <v>13500</v>
      </c>
      <c r="M18" s="23">
        <v>3275</v>
      </c>
      <c r="N18" s="128">
        <v>0</v>
      </c>
      <c r="O18" s="128">
        <v>0</v>
      </c>
      <c r="P18" s="128">
        <v>0</v>
      </c>
      <c r="Q18" s="128">
        <v>1.225</v>
      </c>
      <c r="R18" s="128">
        <v>1.875</v>
      </c>
      <c r="S18" s="128">
        <v>1</v>
      </c>
      <c r="T18" s="128">
        <v>0.65</v>
      </c>
      <c r="U18" s="128">
        <v>0.25</v>
      </c>
      <c r="V18" s="129" cm="1">
        <f t="array" ref="V18">SUMPRODUCT(C18:K18,$C$3:$K$3)/40</f>
        <v>11.17</v>
      </c>
    </row>
    <row r="19" spans="2:23">
      <c r="B19" s="23">
        <v>15</v>
      </c>
      <c r="C19" s="48">
        <f t="shared" si="0"/>
        <v>1196</v>
      </c>
      <c r="D19" s="23">
        <f t="shared" si="1"/>
        <v>80</v>
      </c>
      <c r="E19" s="23">
        <f t="shared" si="2"/>
        <v>4</v>
      </c>
      <c r="F19" s="23">
        <f t="shared" si="3"/>
        <v>10</v>
      </c>
      <c r="G19" s="23">
        <v>8</v>
      </c>
      <c r="H19" s="23">
        <v>2</v>
      </c>
      <c r="I19" s="23">
        <v>3</v>
      </c>
      <c r="J19" s="23">
        <v>5</v>
      </c>
      <c r="K19" s="23">
        <v>2</v>
      </c>
      <c r="L19" s="23">
        <f t="shared" si="4"/>
        <v>15000</v>
      </c>
      <c r="M19" s="23">
        <v>3482</v>
      </c>
      <c r="N19" s="128">
        <v>0</v>
      </c>
      <c r="O19" s="128">
        <v>0</v>
      </c>
      <c r="P19" s="128">
        <v>0</v>
      </c>
      <c r="Q19" s="128">
        <v>1</v>
      </c>
      <c r="R19" s="128">
        <v>2</v>
      </c>
      <c r="S19" s="128">
        <v>1.05</v>
      </c>
      <c r="T19" s="128">
        <v>0.675</v>
      </c>
      <c r="U19" s="128">
        <v>0.275</v>
      </c>
      <c r="V19" s="129" cm="1">
        <f t="array" ref="V19">SUMPRODUCT(C19:K19,$C$3:$K$3)/40</f>
        <v>11.22</v>
      </c>
    </row>
    <row r="20" spans="2:23">
      <c r="B20" s="23"/>
      <c r="W20">
        <f>40+32+10</f>
        <v>82</v>
      </c>
    </row>
    <row r="21" spans="2:23">
      <c r="B21" s="23"/>
      <c r="C21">
        <f t="shared" ref="C21:O21" si="5">C22*C25</f>
        <v>7.95</v>
      </c>
      <c r="D21">
        <f t="shared" si="5"/>
        <v>23.85</v>
      </c>
      <c r="E21">
        <f t="shared" si="5"/>
        <v>20</v>
      </c>
      <c r="F21">
        <f t="shared" si="5"/>
        <v>20</v>
      </c>
      <c r="G21">
        <f t="shared" si="5"/>
        <v>20</v>
      </c>
      <c r="H21">
        <f t="shared" si="5"/>
        <v>40</v>
      </c>
      <c r="I21">
        <f t="shared" si="5"/>
        <v>30</v>
      </c>
      <c r="J21">
        <f t="shared" si="5"/>
        <v>24</v>
      </c>
      <c r="K21">
        <f t="shared" si="5"/>
        <v>24</v>
      </c>
      <c r="L21">
        <f t="shared" si="5"/>
        <v>0</v>
      </c>
      <c r="M21">
        <f t="shared" si="5"/>
        <v>75</v>
      </c>
      <c r="N21">
        <f t="shared" si="5"/>
        <v>64</v>
      </c>
      <c r="O21">
        <f t="shared" si="5"/>
        <v>10</v>
      </c>
      <c r="W21">
        <f>W20+140</f>
        <v>222</v>
      </c>
    </row>
    <row r="22" spans="2:23">
      <c r="C22" s="23">
        <f>_xlfn.XLOOKUP(C23,价值表!$D:$D,价值表!$F:$F)</f>
        <v>0.05</v>
      </c>
      <c r="D22" s="23">
        <f>_xlfn.XLOOKUP(D23,价值表!$D:$D,价值表!$F:$F)</f>
        <v>0.05</v>
      </c>
      <c r="E22" s="23">
        <f>_xlfn.XLOOKUP(E23,价值表!$D:$D,价值表!$F:$F)</f>
        <v>1</v>
      </c>
      <c r="F22" s="23">
        <f>_xlfn.XLOOKUP(F23,价值表!$D:$D,价值表!$F:$F)</f>
        <v>1</v>
      </c>
      <c r="G22" s="23">
        <f>_xlfn.XLOOKUP(G23,价值表!$D:$D,价值表!$F:$F)</f>
        <v>5</v>
      </c>
      <c r="H22" s="23">
        <f>_xlfn.XLOOKUP(H23,价值表!$D:$D,价值表!$F:$F)</f>
        <v>1</v>
      </c>
      <c r="I22" s="23">
        <f>_xlfn.XLOOKUP(I23,价值表!$D:$D,价值表!$F:$F)</f>
        <v>3</v>
      </c>
      <c r="J22" s="23">
        <f>_xlfn.XLOOKUP(J23,价值表!$D:$D,价值表!$F:$F)</f>
        <v>3</v>
      </c>
      <c r="K22" s="23">
        <f>_xlfn.XLOOKUP(K23,价值表!$D:$D,价值表!$F:$F)</f>
        <v>3</v>
      </c>
      <c r="L22" s="23">
        <f>_xlfn.XLOOKUP(L23,价值表!$D:$D,价值表!$F:$F)</f>
        <v>50</v>
      </c>
      <c r="M22" s="23">
        <f>_xlfn.XLOOKUP(M23,价值表!$D:$D,价值表!$F:$F)</f>
        <v>15</v>
      </c>
      <c r="N22" s="23">
        <f>_xlfn.XLOOKUP(N23,价值表!$D:$D,价值表!$F:$F)</f>
        <v>16</v>
      </c>
      <c r="O22" s="23">
        <f>_xlfn.XLOOKUP(O23,价值表!$D:$D,价值表!$F:$F)</f>
        <v>5</v>
      </c>
    </row>
    <row r="23" ht="15" spans="2:23">
      <c r="C23" s="130" t="s">
        <v>96</v>
      </c>
      <c r="D23" s="130" t="s">
        <v>96</v>
      </c>
      <c r="E23" s="130" t="s">
        <v>128</v>
      </c>
      <c r="F23" s="130" t="s">
        <v>128</v>
      </c>
      <c r="G23" s="130" t="s">
        <v>132</v>
      </c>
      <c r="H23" s="130" t="s">
        <v>128</v>
      </c>
      <c r="I23" s="130" t="s">
        <v>131</v>
      </c>
      <c r="J23" s="130" t="s">
        <v>129</v>
      </c>
      <c r="K23" s="130" t="s">
        <v>129</v>
      </c>
      <c r="L23" s="130" t="s">
        <v>212</v>
      </c>
      <c r="M23" s="130" t="s">
        <v>213</v>
      </c>
      <c r="N23" s="130" t="s">
        <v>133</v>
      </c>
      <c r="O23" s="130" t="s">
        <v>214</v>
      </c>
      <c r="P23" s="23"/>
      <c r="U23" t="s">
        <v>225</v>
      </c>
    </row>
    <row r="24" ht="15" spans="2:23">
      <c r="B24" s="23" t="s">
        <v>211</v>
      </c>
      <c r="C24" s="130" t="s">
        <v>157</v>
      </c>
      <c r="D24" s="130" t="s">
        <v>158</v>
      </c>
      <c r="E24" s="130" t="s">
        <v>159</v>
      </c>
      <c r="F24" s="130" t="s">
        <v>160</v>
      </c>
      <c r="G24" s="130" t="s">
        <v>161</v>
      </c>
      <c r="H24" s="130" t="s">
        <v>162</v>
      </c>
      <c r="I24" s="130" t="s">
        <v>163</v>
      </c>
      <c r="J24" s="130" t="s">
        <v>164</v>
      </c>
      <c r="K24" s="130" t="s">
        <v>165</v>
      </c>
      <c r="L24" s="130" t="s">
        <v>166</v>
      </c>
      <c r="M24" s="130" t="s">
        <v>167</v>
      </c>
      <c r="N24" s="130" t="s">
        <v>168</v>
      </c>
      <c r="O24" s="130" t="s">
        <v>169</v>
      </c>
      <c r="P24" s="130" t="s">
        <v>17</v>
      </c>
      <c r="Q24" s="130" t="s">
        <v>226</v>
      </c>
      <c r="R24" s="130" t="s">
        <v>215</v>
      </c>
      <c r="S24" s="130" t="s">
        <v>96</v>
      </c>
    </row>
    <row r="25" ht="14.25" spans="2:23">
      <c r="B25" s="23">
        <v>1</v>
      </c>
      <c r="C25" s="48">
        <f>INT(D25/3)</f>
        <v>159</v>
      </c>
      <c r="D25" s="48">
        <f>INT(_xlfn.XLOOKUP(B25*10+10,主线推图!$B$4:$B$303,主线推图!$C$4:$C$303)*1.5)</f>
        <v>477</v>
      </c>
      <c r="E25" s="23">
        <v>20</v>
      </c>
      <c r="F25" s="23">
        <v>20</v>
      </c>
      <c r="G25" s="23">
        <v>4</v>
      </c>
      <c r="H25" s="23">
        <v>40</v>
      </c>
      <c r="I25" s="23">
        <v>10</v>
      </c>
      <c r="J25" s="23">
        <v>8</v>
      </c>
      <c r="K25" s="23">
        <v>8</v>
      </c>
      <c r="L25" s="23">
        <v>0</v>
      </c>
      <c r="M25" s="23">
        <v>5</v>
      </c>
      <c r="N25" s="23">
        <v>4</v>
      </c>
      <c r="O25" s="23">
        <v>2</v>
      </c>
      <c r="P25" s="48" cm="1">
        <f t="array" ref="P25">SUMPRODUCT(C25:O25,$C$22:$O$22)</f>
        <v>358.8</v>
      </c>
      <c r="Q25" s="27">
        <f t="shared" ref="Q25:Q39" si="6">P25/40</f>
        <v>8.97</v>
      </c>
      <c r="R25" s="23">
        <v>4500</v>
      </c>
      <c r="S25" s="131">
        <v>390</v>
      </c>
      <c r="U25">
        <f>C5/2</f>
        <v>318</v>
      </c>
      <c r="V25" t="str">
        <f>"[{progress_rate,2,"&amp;C25&amp;"},{progress,0,2,"&amp;D25&amp;"}"</f>
        <v>[{progress_rate,2,159},{progress,0,2,477}</v>
      </c>
    </row>
    <row r="26" ht="14.25" spans="2:23">
      <c r="B26" s="23">
        <v>2</v>
      </c>
      <c r="C26" s="48">
        <f t="shared" ref="C26:C39" si="7">INT(D26/3)</f>
        <v>169</v>
      </c>
      <c r="D26" s="48">
        <f>INT(_xlfn.XLOOKUP(B26*10+10,主线推图!$B$4:$B$303,主线推图!$C$4:$C$303)*1.5)</f>
        <v>507</v>
      </c>
      <c r="E26" s="23">
        <v>20</v>
      </c>
      <c r="F26" s="23">
        <v>20</v>
      </c>
      <c r="G26" s="23">
        <v>4</v>
      </c>
      <c r="H26" s="23">
        <v>40</v>
      </c>
      <c r="I26" s="23">
        <v>10</v>
      </c>
      <c r="J26" s="23">
        <v>8</v>
      </c>
      <c r="K26" s="23">
        <v>8</v>
      </c>
      <c r="L26" s="23">
        <v>0</v>
      </c>
      <c r="M26" s="23">
        <v>5</v>
      </c>
      <c r="N26" s="23">
        <v>4</v>
      </c>
      <c r="O26" s="23">
        <v>2</v>
      </c>
      <c r="P26" s="48" cm="1">
        <f t="array" ref="P26">SUMPRODUCT(C26:O26,$C$22:$O$22)</f>
        <v>360.8</v>
      </c>
      <c r="Q26" s="27">
        <f t="shared" si="6"/>
        <v>9.02</v>
      </c>
      <c r="R26" s="23">
        <v>4500</v>
      </c>
      <c r="S26" s="131">
        <v>444</v>
      </c>
      <c r="U26">
        <f t="shared" ref="U26:U39" si="8">C6/2</f>
        <v>338</v>
      </c>
      <c r="V26" t="str">
        <f t="shared" ref="V26:V39" si="9">"[{progress_rate,2,"&amp;C26&amp;"},{progress,0,2,"&amp;D26&amp;"}"</f>
        <v>[{progress_rate,2,169},{progress,0,2,507}</v>
      </c>
    </row>
    <row r="27" ht="14.25" spans="2:23">
      <c r="B27" s="23">
        <v>3</v>
      </c>
      <c r="C27" s="48">
        <f t="shared" si="7"/>
        <v>179</v>
      </c>
      <c r="D27" s="48">
        <f>INT(_xlfn.XLOOKUP(B27*10+10,主线推图!$B$4:$B$303,主线推图!$C$4:$C$303)*1.5)</f>
        <v>537</v>
      </c>
      <c r="E27" s="23">
        <v>20</v>
      </c>
      <c r="F27" s="23">
        <v>20</v>
      </c>
      <c r="G27" s="23">
        <v>4</v>
      </c>
      <c r="H27" s="23">
        <v>40</v>
      </c>
      <c r="I27" s="23">
        <v>10</v>
      </c>
      <c r="J27" s="23">
        <v>8</v>
      </c>
      <c r="K27" s="23">
        <v>8</v>
      </c>
      <c r="L27" s="23">
        <v>0</v>
      </c>
      <c r="M27" s="23">
        <v>5</v>
      </c>
      <c r="N27" s="23">
        <v>4</v>
      </c>
      <c r="O27" s="23">
        <v>2</v>
      </c>
      <c r="P27" s="48" cm="1">
        <f t="array" ref="P27">SUMPRODUCT(C27:O27,$C$22:$O$22)</f>
        <v>362.8</v>
      </c>
      <c r="Q27" s="27">
        <f t="shared" si="6"/>
        <v>9.07</v>
      </c>
      <c r="R27" s="23">
        <f t="shared" ref="R27:R39" si="10">R25+1500</f>
        <v>6000</v>
      </c>
      <c r="S27" s="131">
        <v>566</v>
      </c>
      <c r="U27">
        <f t="shared" si="8"/>
        <v>358</v>
      </c>
      <c r="V27" t="str">
        <f t="shared" si="9"/>
        <v>[{progress_rate,2,179},{progress,0,2,537}</v>
      </c>
    </row>
    <row r="28" ht="14.25" spans="2:23">
      <c r="B28" s="23">
        <v>4</v>
      </c>
      <c r="C28" s="48">
        <f t="shared" si="7"/>
        <v>189</v>
      </c>
      <c r="D28" s="48">
        <f>INT(_xlfn.XLOOKUP(B28*10+10,主线推图!$B$4:$B$303,主线推图!$C$4:$C$303)*1.5)</f>
        <v>567</v>
      </c>
      <c r="E28" s="23">
        <v>20</v>
      </c>
      <c r="F28" s="23">
        <v>20</v>
      </c>
      <c r="G28" s="23">
        <v>4</v>
      </c>
      <c r="H28" s="23">
        <v>40</v>
      </c>
      <c r="I28" s="23">
        <v>10</v>
      </c>
      <c r="J28" s="23">
        <v>8</v>
      </c>
      <c r="K28" s="23">
        <v>8</v>
      </c>
      <c r="L28" s="23">
        <v>0</v>
      </c>
      <c r="M28" s="23">
        <v>5</v>
      </c>
      <c r="N28" s="23">
        <v>4</v>
      </c>
      <c r="O28" s="23">
        <v>2</v>
      </c>
      <c r="P28" s="48" cm="1">
        <f t="array" ref="P28">SUMPRODUCT(C28:O28,$C$22:$O$22)</f>
        <v>364.8</v>
      </c>
      <c r="Q28" s="27">
        <f t="shared" si="6"/>
        <v>9.12</v>
      </c>
      <c r="R28" s="23">
        <f t="shared" si="10"/>
        <v>6000</v>
      </c>
      <c r="S28" s="131">
        <v>820</v>
      </c>
      <c r="U28">
        <f t="shared" si="8"/>
        <v>378</v>
      </c>
      <c r="V28" t="str">
        <f t="shared" si="9"/>
        <v>[{progress_rate,2,189},{progress,0,2,567}</v>
      </c>
    </row>
    <row r="29" ht="14.25" spans="2:23">
      <c r="B29" s="23">
        <v>5</v>
      </c>
      <c r="C29" s="48">
        <f t="shared" si="7"/>
        <v>199</v>
      </c>
      <c r="D29" s="48">
        <f>INT(_xlfn.XLOOKUP(B29*10+10,主线推图!$B$4:$B$303,主线推图!$C$4:$C$303)*1.5)</f>
        <v>597</v>
      </c>
      <c r="E29" s="23">
        <v>20</v>
      </c>
      <c r="F29" s="23">
        <v>20</v>
      </c>
      <c r="G29" s="23">
        <v>4</v>
      </c>
      <c r="H29" s="23">
        <v>40</v>
      </c>
      <c r="I29" s="23">
        <v>10</v>
      </c>
      <c r="J29" s="23">
        <v>8</v>
      </c>
      <c r="K29" s="23">
        <v>8</v>
      </c>
      <c r="L29" s="23">
        <v>0</v>
      </c>
      <c r="M29" s="23">
        <v>5</v>
      </c>
      <c r="N29" s="23">
        <v>4</v>
      </c>
      <c r="O29" s="23">
        <v>2</v>
      </c>
      <c r="P29" s="48" cm="1">
        <f t="array" ref="P29">SUMPRODUCT(C29:O29,$C$22:$O$22)</f>
        <v>366.8</v>
      </c>
      <c r="Q29" s="27">
        <f t="shared" si="6"/>
        <v>9.17</v>
      </c>
      <c r="R29" s="23">
        <f t="shared" si="10"/>
        <v>7500</v>
      </c>
      <c r="S29" s="131">
        <v>1023</v>
      </c>
      <c r="U29">
        <f t="shared" si="8"/>
        <v>398</v>
      </c>
      <c r="V29" t="str">
        <f t="shared" si="9"/>
        <v>[{progress_rate,2,199},{progress,0,2,597}</v>
      </c>
    </row>
    <row r="30" ht="14.25" spans="2:23">
      <c r="B30" s="23">
        <v>6</v>
      </c>
      <c r="C30" s="48">
        <f t="shared" si="7"/>
        <v>209</v>
      </c>
      <c r="D30" s="48">
        <f>INT(_xlfn.XLOOKUP(B30*10+10,主线推图!$B$4:$B$303,主线推图!$C$4:$C$303)*1.5)</f>
        <v>627</v>
      </c>
      <c r="E30" s="23">
        <v>20</v>
      </c>
      <c r="F30" s="23">
        <v>20</v>
      </c>
      <c r="G30" s="23">
        <v>4</v>
      </c>
      <c r="H30" s="23">
        <v>40</v>
      </c>
      <c r="I30" s="23">
        <v>10</v>
      </c>
      <c r="J30" s="23">
        <v>8</v>
      </c>
      <c r="K30" s="23">
        <v>8</v>
      </c>
      <c r="L30" s="23">
        <v>0</v>
      </c>
      <c r="M30" s="23">
        <v>5</v>
      </c>
      <c r="N30" s="23">
        <v>4</v>
      </c>
      <c r="O30" s="23">
        <v>2</v>
      </c>
      <c r="P30" s="48" cm="1">
        <f t="array" ref="P30">SUMPRODUCT(C30:O30,$C$22:$O$22)</f>
        <v>368.8</v>
      </c>
      <c r="Q30" s="27">
        <f t="shared" si="6"/>
        <v>9.22</v>
      </c>
      <c r="R30" s="23">
        <f t="shared" si="10"/>
        <v>7500</v>
      </c>
      <c r="S30" s="131">
        <v>1079</v>
      </c>
      <c r="U30">
        <f t="shared" si="8"/>
        <v>418</v>
      </c>
      <c r="V30" t="str">
        <f t="shared" si="9"/>
        <v>[{progress_rate,2,209},{progress,0,2,627}</v>
      </c>
    </row>
    <row r="31" ht="14.25" spans="2:23">
      <c r="B31" s="23">
        <v>7</v>
      </c>
      <c r="C31" s="48">
        <f t="shared" si="7"/>
        <v>219</v>
      </c>
      <c r="D31" s="48">
        <f>INT(_xlfn.XLOOKUP(B31*10+10,主线推图!$B$4:$B$303,主线推图!$C$4:$C$303)*1.5)</f>
        <v>657</v>
      </c>
      <c r="E31" s="23">
        <v>20</v>
      </c>
      <c r="F31" s="23">
        <v>20</v>
      </c>
      <c r="G31" s="23">
        <v>4</v>
      </c>
      <c r="H31" s="23">
        <v>40</v>
      </c>
      <c r="I31" s="23">
        <v>10</v>
      </c>
      <c r="J31" s="23">
        <v>8</v>
      </c>
      <c r="K31" s="23">
        <v>8</v>
      </c>
      <c r="L31" s="23">
        <v>0</v>
      </c>
      <c r="M31" s="23">
        <v>5</v>
      </c>
      <c r="N31" s="23">
        <v>4</v>
      </c>
      <c r="O31" s="23">
        <v>2</v>
      </c>
      <c r="P31" s="48" cm="1">
        <f t="array" ref="P31">SUMPRODUCT(C31:O31,$C$22:$O$22)</f>
        <v>370.8</v>
      </c>
      <c r="Q31" s="27">
        <f t="shared" si="6"/>
        <v>9.27</v>
      </c>
      <c r="R31" s="23">
        <f t="shared" si="10"/>
        <v>9000</v>
      </c>
      <c r="S31" s="131">
        <v>1378</v>
      </c>
      <c r="U31">
        <f t="shared" si="8"/>
        <v>438</v>
      </c>
      <c r="V31" t="str">
        <f t="shared" si="9"/>
        <v>[{progress_rate,2,219},{progress,0,2,657}</v>
      </c>
    </row>
    <row r="32" ht="14.25" spans="2:23">
      <c r="B32" s="23">
        <v>8</v>
      </c>
      <c r="C32" s="48">
        <f t="shared" si="7"/>
        <v>229</v>
      </c>
      <c r="D32" s="48">
        <f>INT(_xlfn.XLOOKUP(B32*10+10,主线推图!$B$4:$B$303,主线推图!$C$4:$C$303)*1.5)</f>
        <v>687</v>
      </c>
      <c r="E32" s="23">
        <v>20</v>
      </c>
      <c r="F32" s="23">
        <v>20</v>
      </c>
      <c r="G32" s="23">
        <v>4</v>
      </c>
      <c r="H32" s="23">
        <v>40</v>
      </c>
      <c r="I32" s="23">
        <v>10</v>
      </c>
      <c r="J32" s="23">
        <v>8</v>
      </c>
      <c r="K32" s="23">
        <v>8</v>
      </c>
      <c r="L32" s="23">
        <v>0</v>
      </c>
      <c r="M32" s="23">
        <v>5</v>
      </c>
      <c r="N32" s="23">
        <v>4</v>
      </c>
      <c r="O32" s="23">
        <v>2</v>
      </c>
      <c r="P32" s="48" cm="1">
        <f t="array" ref="P32">SUMPRODUCT(C32:O32,$C$22:$O$22)</f>
        <v>372.8</v>
      </c>
      <c r="Q32" s="27">
        <f t="shared" si="6"/>
        <v>9.32</v>
      </c>
      <c r="R32" s="23">
        <f t="shared" si="10"/>
        <v>9000</v>
      </c>
      <c r="S32" s="131">
        <v>1677</v>
      </c>
      <c r="U32">
        <f t="shared" si="8"/>
        <v>458</v>
      </c>
      <c r="V32" t="str">
        <f t="shared" si="9"/>
        <v>[{progress_rate,2,229},{progress,0,2,687}</v>
      </c>
    </row>
    <row r="33" ht="14.25" spans="2:22">
      <c r="B33" s="23">
        <v>9</v>
      </c>
      <c r="C33" s="48">
        <f t="shared" si="7"/>
        <v>239</v>
      </c>
      <c r="D33" s="48">
        <f>INT(_xlfn.XLOOKUP(B33*10+10,主线推图!$B$4:$B$303,主线推图!$C$4:$C$303)*1.5)</f>
        <v>717</v>
      </c>
      <c r="E33" s="23">
        <v>20</v>
      </c>
      <c r="F33" s="23">
        <v>20</v>
      </c>
      <c r="G33" s="23">
        <v>4</v>
      </c>
      <c r="H33" s="23">
        <v>40</v>
      </c>
      <c r="I33" s="23">
        <v>10</v>
      </c>
      <c r="J33" s="23">
        <v>8</v>
      </c>
      <c r="K33" s="23">
        <v>8</v>
      </c>
      <c r="L33" s="23">
        <v>0</v>
      </c>
      <c r="M33" s="23">
        <v>5</v>
      </c>
      <c r="N33" s="23">
        <v>4</v>
      </c>
      <c r="O33" s="23">
        <v>2</v>
      </c>
      <c r="P33" s="48" cm="1">
        <f t="array" ref="P33">SUMPRODUCT(C33:O33,$C$22:$O$22)</f>
        <v>374.8</v>
      </c>
      <c r="Q33" s="27">
        <f t="shared" si="6"/>
        <v>9.37</v>
      </c>
      <c r="R33" s="23">
        <f t="shared" si="10"/>
        <v>10500</v>
      </c>
      <c r="S33" s="131">
        <v>2073</v>
      </c>
      <c r="U33">
        <f t="shared" si="8"/>
        <v>478</v>
      </c>
      <c r="V33" t="str">
        <f t="shared" si="9"/>
        <v>[{progress_rate,2,239},{progress,0,2,717}</v>
      </c>
    </row>
    <row r="34" ht="14.25" spans="2:22">
      <c r="B34" s="23">
        <v>10</v>
      </c>
      <c r="C34" s="48">
        <f t="shared" si="7"/>
        <v>249</v>
      </c>
      <c r="D34" s="48">
        <f>INT(_xlfn.XLOOKUP(B34*10+10,主线推图!$B$4:$B$303,主线推图!$C$4:$C$303)*1.5)</f>
        <v>747</v>
      </c>
      <c r="E34" s="23">
        <v>20</v>
      </c>
      <c r="F34" s="23">
        <v>20</v>
      </c>
      <c r="G34" s="23">
        <v>4</v>
      </c>
      <c r="H34" s="23">
        <v>40</v>
      </c>
      <c r="I34" s="23">
        <v>10</v>
      </c>
      <c r="J34" s="23">
        <v>8</v>
      </c>
      <c r="K34" s="23">
        <v>8</v>
      </c>
      <c r="L34" s="23">
        <v>0</v>
      </c>
      <c r="M34" s="23">
        <v>5</v>
      </c>
      <c r="N34" s="23">
        <v>4</v>
      </c>
      <c r="O34" s="23">
        <v>2</v>
      </c>
      <c r="P34" s="48" cm="1">
        <f t="array" ref="P34">SUMPRODUCT(C34:O34,$C$22:$O$22)</f>
        <v>376.8</v>
      </c>
      <c r="Q34" s="27">
        <f t="shared" si="6"/>
        <v>9.42</v>
      </c>
      <c r="R34" s="23">
        <f t="shared" si="10"/>
        <v>10500</v>
      </c>
      <c r="S34" s="131">
        <v>2178</v>
      </c>
      <c r="U34">
        <f t="shared" si="8"/>
        <v>498</v>
      </c>
      <c r="V34" t="str">
        <f t="shared" si="9"/>
        <v>[{progress_rate,2,249},{progress,0,2,747}</v>
      </c>
    </row>
    <row r="35" ht="14.25" spans="2:22">
      <c r="B35" s="23">
        <v>11</v>
      </c>
      <c r="C35" s="48">
        <f t="shared" si="7"/>
        <v>259</v>
      </c>
      <c r="D35" s="48">
        <f>INT(_xlfn.XLOOKUP(B35*10+10,主线推图!$B$4:$B$303,主线推图!$C$4:$C$303)*1.5)</f>
        <v>777</v>
      </c>
      <c r="E35" s="23">
        <v>20</v>
      </c>
      <c r="F35" s="23">
        <v>20</v>
      </c>
      <c r="G35" s="23">
        <v>4</v>
      </c>
      <c r="H35" s="23">
        <v>40</v>
      </c>
      <c r="I35" s="23">
        <v>10</v>
      </c>
      <c r="J35" s="23">
        <v>8</v>
      </c>
      <c r="K35" s="23">
        <v>8</v>
      </c>
      <c r="L35" s="23">
        <v>0</v>
      </c>
      <c r="M35" s="23">
        <v>5</v>
      </c>
      <c r="N35" s="23">
        <v>4</v>
      </c>
      <c r="O35" s="23">
        <v>2</v>
      </c>
      <c r="P35" s="48" cm="1">
        <f t="array" ref="P35">SUMPRODUCT(C35:O35,$C$22:$O$22)</f>
        <v>378.8</v>
      </c>
      <c r="Q35" s="27">
        <f t="shared" si="6"/>
        <v>9.47</v>
      </c>
      <c r="R35" s="23">
        <f t="shared" si="10"/>
        <v>12000</v>
      </c>
      <c r="S35" s="131">
        <v>2750</v>
      </c>
      <c r="U35">
        <f t="shared" si="8"/>
        <v>518</v>
      </c>
      <c r="V35" t="str">
        <f t="shared" si="9"/>
        <v>[{progress_rate,2,259},{progress,0,2,777}</v>
      </c>
    </row>
    <row r="36" ht="14.25" spans="2:22">
      <c r="B36" s="23">
        <v>12</v>
      </c>
      <c r="C36" s="48">
        <f t="shared" si="7"/>
        <v>269</v>
      </c>
      <c r="D36" s="48">
        <f>INT(_xlfn.XLOOKUP(B36*10+10,主线推图!$B$4:$B$303,主线推图!$C$4:$C$303)*1.5)</f>
        <v>807</v>
      </c>
      <c r="E36" s="23">
        <v>20</v>
      </c>
      <c r="F36" s="23">
        <v>20</v>
      </c>
      <c r="G36" s="23">
        <v>4</v>
      </c>
      <c r="H36" s="23">
        <v>40</v>
      </c>
      <c r="I36" s="23">
        <v>10</v>
      </c>
      <c r="J36" s="23">
        <v>8</v>
      </c>
      <c r="K36" s="23">
        <v>8</v>
      </c>
      <c r="L36" s="23">
        <v>0</v>
      </c>
      <c r="M36" s="23">
        <v>5</v>
      </c>
      <c r="N36" s="23">
        <v>4</v>
      </c>
      <c r="O36" s="23">
        <v>2</v>
      </c>
      <c r="P36" s="48" cm="1">
        <f t="array" ref="P36">SUMPRODUCT(C36:O36,$C$22:$O$22)</f>
        <v>380.8</v>
      </c>
      <c r="Q36" s="27">
        <f t="shared" si="6"/>
        <v>9.52</v>
      </c>
      <c r="R36" s="23">
        <f t="shared" si="10"/>
        <v>12000</v>
      </c>
      <c r="S36" s="131">
        <v>2933</v>
      </c>
      <c r="U36">
        <f t="shared" si="8"/>
        <v>538</v>
      </c>
      <c r="V36" t="str">
        <f t="shared" si="9"/>
        <v>[{progress_rate,2,269},{progress,0,2,807}</v>
      </c>
    </row>
    <row r="37" ht="14.25" spans="2:22">
      <c r="B37" s="23">
        <v>13</v>
      </c>
      <c r="C37" s="48">
        <f t="shared" si="7"/>
        <v>279</v>
      </c>
      <c r="D37" s="48">
        <f>INT(_xlfn.XLOOKUP(B37*10+10,主线推图!$B$4:$B$303,主线推图!$C$4:$C$303)*1.5)</f>
        <v>837</v>
      </c>
      <c r="E37" s="23">
        <v>20</v>
      </c>
      <c r="F37" s="23">
        <v>20</v>
      </c>
      <c r="G37" s="23">
        <v>4</v>
      </c>
      <c r="H37" s="23">
        <v>40</v>
      </c>
      <c r="I37" s="23">
        <v>10</v>
      </c>
      <c r="J37" s="23">
        <v>8</v>
      </c>
      <c r="K37" s="23">
        <v>8</v>
      </c>
      <c r="L37" s="23">
        <v>0</v>
      </c>
      <c r="M37" s="23">
        <v>5</v>
      </c>
      <c r="N37" s="23">
        <v>4</v>
      </c>
      <c r="O37" s="23">
        <v>2</v>
      </c>
      <c r="P37" s="48" cm="1">
        <f t="array" ref="P37">SUMPRODUCT(C37:O37,$C$22:$O$22)</f>
        <v>382.8</v>
      </c>
      <c r="Q37" s="27">
        <f t="shared" si="6"/>
        <v>9.57</v>
      </c>
      <c r="R37" s="23">
        <f t="shared" si="10"/>
        <v>13500</v>
      </c>
      <c r="S37" s="131">
        <v>3073</v>
      </c>
      <c r="U37">
        <f t="shared" si="8"/>
        <v>558</v>
      </c>
      <c r="V37" t="str">
        <f t="shared" si="9"/>
        <v>[{progress_rate,2,279},{progress,0,2,837}</v>
      </c>
    </row>
    <row r="38" ht="14.25" spans="2:22">
      <c r="B38" s="23">
        <v>14</v>
      </c>
      <c r="C38" s="48">
        <f t="shared" si="7"/>
        <v>289</v>
      </c>
      <c r="D38" s="48">
        <f>INT(_xlfn.XLOOKUP(B38*10+10,主线推图!$B$4:$B$303,主线推图!$C$4:$C$303)*1.5)</f>
        <v>867</v>
      </c>
      <c r="E38" s="23">
        <v>20</v>
      </c>
      <c r="F38" s="23">
        <v>20</v>
      </c>
      <c r="G38" s="23">
        <v>4</v>
      </c>
      <c r="H38" s="23">
        <v>40</v>
      </c>
      <c r="I38" s="23">
        <v>10</v>
      </c>
      <c r="J38" s="23">
        <v>8</v>
      </c>
      <c r="K38" s="23">
        <v>8</v>
      </c>
      <c r="L38" s="23">
        <v>0</v>
      </c>
      <c r="M38" s="23">
        <v>5</v>
      </c>
      <c r="N38" s="23">
        <v>4</v>
      </c>
      <c r="O38" s="23">
        <v>2</v>
      </c>
      <c r="P38" s="48" cm="1">
        <f t="array" ref="P38">SUMPRODUCT(C38:O38,$C$22:$O$22)</f>
        <v>384.8</v>
      </c>
      <c r="Q38" s="27">
        <f t="shared" si="6"/>
        <v>9.62</v>
      </c>
      <c r="R38" s="23">
        <f t="shared" si="10"/>
        <v>13500</v>
      </c>
      <c r="S38" s="131">
        <v>3275</v>
      </c>
      <c r="U38">
        <f t="shared" si="8"/>
        <v>578</v>
      </c>
      <c r="V38" t="str">
        <f t="shared" si="9"/>
        <v>[{progress_rate,2,289},{progress,0,2,867}</v>
      </c>
    </row>
    <row r="39" ht="14.25" spans="2:22">
      <c r="B39" s="23">
        <v>15</v>
      </c>
      <c r="C39" s="48">
        <f t="shared" si="7"/>
        <v>299</v>
      </c>
      <c r="D39" s="48">
        <f>INT(_xlfn.XLOOKUP(B39*10+10,主线推图!$B$4:$B$303,主线推图!$C$4:$C$303)*1.5)</f>
        <v>897</v>
      </c>
      <c r="E39" s="23">
        <v>20</v>
      </c>
      <c r="F39" s="23">
        <v>20</v>
      </c>
      <c r="G39" s="23">
        <v>4</v>
      </c>
      <c r="H39" s="23">
        <v>40</v>
      </c>
      <c r="I39" s="23">
        <v>10</v>
      </c>
      <c r="J39" s="23">
        <v>8</v>
      </c>
      <c r="K39" s="23">
        <v>8</v>
      </c>
      <c r="L39" s="23">
        <v>0</v>
      </c>
      <c r="M39" s="23">
        <v>5</v>
      </c>
      <c r="N39" s="23">
        <v>4</v>
      </c>
      <c r="O39" s="23">
        <v>2</v>
      </c>
      <c r="P39" s="48" cm="1">
        <f t="array" ref="P39">SUMPRODUCT(C39:O39,$C$22:$O$22)</f>
        <v>386.8</v>
      </c>
      <c r="Q39" s="27">
        <f t="shared" si="6"/>
        <v>9.67</v>
      </c>
      <c r="R39" s="23">
        <f t="shared" si="10"/>
        <v>15000</v>
      </c>
      <c r="S39" s="131">
        <v>3482</v>
      </c>
      <c r="U39">
        <f t="shared" si="8"/>
        <v>598</v>
      </c>
      <c r="V39" t="str">
        <f t="shared" si="9"/>
        <v>[{progress_rate,2,299},{progress,0,2,897}</v>
      </c>
    </row>
    <row r="40" spans="2:22">
      <c r="B40" s="23"/>
    </row>
    <row r="41" spans="2:22">
      <c r="N41">
        <f>N25*N22+M25*M22</f>
        <v>139</v>
      </c>
    </row>
    <row r="42" spans="2:22">
      <c r="N42">
        <v>369.8</v>
      </c>
      <c r="P42">
        <f>372.8+65.8</f>
        <v>438.6</v>
      </c>
    </row>
    <row r="43" spans="2:22">
      <c r="N43">
        <v>65.8</v>
      </c>
      <c r="P43">
        <f>P42/40</f>
        <v>10.965</v>
      </c>
    </row>
    <row r="44" spans="2:22">
      <c r="N44">
        <f>N42+N43</f>
        <v>435.6</v>
      </c>
    </row>
    <row r="45" spans="2:22">
      <c r="O45">
        <f>N44/2</f>
        <v>217.8</v>
      </c>
    </row>
  </sheetData>
  <pageMargins left="0.75" right="0.75" top="1" bottom="1" header="0.5" footer="0.5"/>
  <headerFooter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theme="4"/>
  </sheetPr>
  <dimension ref="B2:V43"/>
  <sheetViews>
    <sheetView topLeftCell="A14" workbookViewId="0">
      <selection activeCell="AG65" sqref="AG65"/>
    </sheetView>
  </sheetViews>
  <sheetFormatPr defaultColWidth="9" defaultRowHeight="13.5"/>
  <cols>
    <col min="10" max="10" width="12.625"/>
    <col min="11" max="11" width="9.25" customWidth="1"/>
    <col min="12" max="12" width="9.5" customWidth="1"/>
    <col min="14" max="15" width="9.25"/>
  </cols>
  <sheetData>
    <row r="2" ht="16.5" spans="2:19">
      <c r="B2" s="118"/>
      <c r="C2" s="118" t="s">
        <v>227</v>
      </c>
      <c r="D2" s="118" t="s">
        <v>228</v>
      </c>
      <c r="E2" s="118" t="s">
        <v>229</v>
      </c>
      <c r="F2" s="118" t="s">
        <v>205</v>
      </c>
      <c r="G2" s="118" t="s">
        <v>230</v>
      </c>
      <c r="I2" s="119"/>
      <c r="J2" s="120" t="s">
        <v>231</v>
      </c>
      <c r="K2" s="120">
        <v>30</v>
      </c>
      <c r="L2" s="120">
        <v>50</v>
      </c>
      <c r="M2" s="120">
        <v>3</v>
      </c>
      <c r="N2" s="120">
        <v>0.02</v>
      </c>
      <c r="O2" s="120">
        <v>1</v>
      </c>
      <c r="P2" s="119"/>
      <c r="Q2" s="119"/>
      <c r="R2" s="119"/>
      <c r="S2" s="119"/>
    </row>
    <row r="3" ht="16.5" spans="2:19">
      <c r="B3" s="98" t="str">
        <f>_xlfn.XLOOKUP(E3,价值表!C:C,价值表!D:D)</f>
        <v>梦境招募券</v>
      </c>
      <c r="C3" s="98">
        <v>5</v>
      </c>
      <c r="D3" s="98">
        <v>3</v>
      </c>
      <c r="E3" s="98">
        <v>11</v>
      </c>
      <c r="F3" s="98">
        <f>_xlfn.XLOOKUP(E3,价值表!$C:$C,价值表!$F:$F)</f>
        <v>30</v>
      </c>
      <c r="G3" s="98">
        <f>SUMPRODUCT(F3:F7,C3:C7)</f>
        <v>350</v>
      </c>
      <c r="I3" s="119"/>
      <c r="J3" s="121" t="s">
        <v>232</v>
      </c>
      <c r="K3" s="122" t="s">
        <v>130</v>
      </c>
      <c r="L3" s="122" t="s">
        <v>203</v>
      </c>
      <c r="M3" s="122" t="s">
        <v>129</v>
      </c>
      <c r="N3" s="122" t="s">
        <v>233</v>
      </c>
      <c r="O3" s="122" t="s">
        <v>128</v>
      </c>
      <c r="P3" s="122" t="s">
        <v>205</v>
      </c>
      <c r="Q3" s="119"/>
      <c r="R3" s="119"/>
      <c r="S3" s="119"/>
    </row>
    <row r="4" ht="16.5" spans="2:19">
      <c r="B4" s="98" t="str">
        <f>_xlfn.XLOOKUP(E4,价值表!C:C,价值表!D:D)</f>
        <v>初愿摇杆</v>
      </c>
      <c r="C4" s="98">
        <v>0</v>
      </c>
      <c r="D4" s="98">
        <v>0</v>
      </c>
      <c r="E4" s="98">
        <v>9</v>
      </c>
      <c r="F4" s="98">
        <f>_xlfn.XLOOKUP(E4,价值表!$C:$C,价值表!$F:$F)</f>
        <v>50</v>
      </c>
      <c r="G4" s="98"/>
      <c r="I4" s="119"/>
      <c r="J4" s="120" t="s">
        <v>227</v>
      </c>
      <c r="K4" s="120">
        <v>5</v>
      </c>
      <c r="L4" s="120">
        <v>0</v>
      </c>
      <c r="M4" s="120">
        <v>20</v>
      </c>
      <c r="N4" s="120">
        <v>1300</v>
      </c>
      <c r="O4" s="120">
        <v>50</v>
      </c>
      <c r="P4" s="120" cm="1">
        <f t="array" ref="P4">SUMPRODUCT($K$2:$O$2,K4:O4)</f>
        <v>350</v>
      </c>
      <c r="Q4" s="119"/>
      <c r="R4" s="119"/>
      <c r="S4" s="119"/>
    </row>
    <row r="5" ht="16.5" spans="2:19">
      <c r="B5" s="98" t="str">
        <f>_xlfn.XLOOKUP(E5,价值表!C:C,价值表!D:D)</f>
        <v>装备强化书</v>
      </c>
      <c r="C5" s="98">
        <v>20</v>
      </c>
      <c r="D5" s="98">
        <v>15</v>
      </c>
      <c r="E5" s="98">
        <v>50002</v>
      </c>
      <c r="F5" s="98">
        <f>_xlfn.XLOOKUP(E5,价值表!$C:$C,价值表!$F:$F)</f>
        <v>3</v>
      </c>
      <c r="G5" s="98"/>
      <c r="I5" s="119"/>
      <c r="J5" s="120" t="s">
        <v>228</v>
      </c>
      <c r="K5" s="120">
        <v>3</v>
      </c>
      <c r="L5" s="120">
        <v>0</v>
      </c>
      <c r="M5" s="120">
        <v>15</v>
      </c>
      <c r="N5" s="120">
        <v>750</v>
      </c>
      <c r="O5" s="120">
        <v>50</v>
      </c>
      <c r="P5" s="120" cm="1">
        <f t="array" ref="P5">SUMPRODUCT($K$2:$O$2,K5:O5)</f>
        <v>221</v>
      </c>
      <c r="Q5" s="119"/>
      <c r="R5" s="119"/>
      <c r="S5" s="119"/>
    </row>
    <row r="6" ht="16.5" spans="2:19">
      <c r="B6" s="98" t="s">
        <v>233</v>
      </c>
      <c r="C6" s="98">
        <v>1300</v>
      </c>
      <c r="D6" s="98">
        <v>750</v>
      </c>
      <c r="E6" s="98">
        <v>46</v>
      </c>
      <c r="F6" s="98">
        <v>0.02</v>
      </c>
      <c r="G6" s="98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</row>
    <row r="7" ht="16.5" spans="2:19">
      <c r="B7" s="98" t="str">
        <f>_xlfn.XLOOKUP(E7,价值表!C:C,价值表!D:D)</f>
        <v>能量特饮</v>
      </c>
      <c r="C7" s="98">
        <v>50</v>
      </c>
      <c r="D7" s="98">
        <v>50</v>
      </c>
      <c r="E7" s="98">
        <v>5103001</v>
      </c>
      <c r="F7" s="98">
        <f>_xlfn.XLOOKUP(E7,价值表!$C:$C,价值表!$F:$F)</f>
        <v>1</v>
      </c>
      <c r="G7" s="98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</row>
    <row r="8" spans="2:19"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</row>
    <row r="9" ht="16.5" spans="2:19">
      <c r="I9" s="119"/>
      <c r="J9" s="120" t="s">
        <v>234</v>
      </c>
      <c r="K9" s="120">
        <f>_xlfn.XLOOKUP(K10,价值表!$D:$D,价值表!$F:$F)</f>
        <v>1</v>
      </c>
      <c r="L9" s="120">
        <f>_xlfn.XLOOKUP(L10,价值表!$D:$D,价值表!$F:$F)</f>
        <v>30</v>
      </c>
      <c r="M9" s="120">
        <f>_xlfn.XLOOKUP(M10,价值表!$D:$D,价值表!$F:$F)</f>
        <v>1</v>
      </c>
      <c r="N9" s="120"/>
      <c r="O9" s="119"/>
      <c r="P9" s="119"/>
      <c r="Q9" s="119"/>
      <c r="R9" s="119"/>
      <c r="S9" s="119"/>
    </row>
    <row r="10" ht="16.5" spans="2:19">
      <c r="G10" s="98"/>
      <c r="I10" s="119"/>
      <c r="J10" s="121" t="s">
        <v>235</v>
      </c>
      <c r="K10" s="122" t="s">
        <v>202</v>
      </c>
      <c r="L10" s="122" t="s">
        <v>130</v>
      </c>
      <c r="M10" s="122" t="s">
        <v>128</v>
      </c>
      <c r="N10" s="122" t="s">
        <v>205</v>
      </c>
      <c r="O10" s="119"/>
      <c r="P10" s="119"/>
      <c r="Q10" s="119"/>
      <c r="R10" s="119"/>
      <c r="S10" s="119"/>
    </row>
    <row r="11" ht="16.5" spans="2:19">
      <c r="G11" s="98"/>
      <c r="I11" s="119"/>
      <c r="J11" s="123">
        <v>1</v>
      </c>
      <c r="K11" s="120">
        <v>100</v>
      </c>
      <c r="L11" s="120">
        <v>20</v>
      </c>
      <c r="M11" s="120">
        <v>50</v>
      </c>
      <c r="N11" s="120">
        <f t="shared" ref="N11:N17" si="0">SUMPRODUCT(K11:M11,$K$9:$M$9)</f>
        <v>750</v>
      </c>
      <c r="O11" s="119"/>
      <c r="P11" s="119"/>
      <c r="Q11" s="119"/>
      <c r="R11" s="119"/>
      <c r="S11" s="119"/>
    </row>
    <row r="12" ht="16.5" spans="2:19">
      <c r="G12" s="98"/>
      <c r="I12" s="119"/>
      <c r="J12" s="123">
        <v>2</v>
      </c>
      <c r="K12" s="120">
        <v>80</v>
      </c>
      <c r="L12" s="120">
        <v>16</v>
      </c>
      <c r="M12" s="120">
        <v>50</v>
      </c>
      <c r="N12" s="120">
        <f t="shared" si="0"/>
        <v>610</v>
      </c>
      <c r="O12" s="119"/>
      <c r="P12" s="119"/>
      <c r="Q12" s="119"/>
      <c r="R12" s="119"/>
      <c r="S12" s="119"/>
    </row>
    <row r="13" ht="16.5" spans="2:19">
      <c r="G13" s="98"/>
      <c r="I13" s="119"/>
      <c r="J13" s="123">
        <v>3</v>
      </c>
      <c r="K13" s="120">
        <v>60</v>
      </c>
      <c r="L13" s="120">
        <v>12</v>
      </c>
      <c r="M13" s="120">
        <v>50</v>
      </c>
      <c r="N13" s="120">
        <f t="shared" si="0"/>
        <v>470</v>
      </c>
      <c r="O13" s="119"/>
      <c r="P13" s="119"/>
      <c r="Q13" s="119"/>
      <c r="R13" s="119"/>
      <c r="S13" s="119"/>
    </row>
    <row r="14" ht="16.5" spans="2:19">
      <c r="G14" s="98"/>
      <c r="I14" s="119"/>
      <c r="J14" s="123">
        <v>10</v>
      </c>
      <c r="K14" s="120"/>
      <c r="L14" s="120">
        <v>10</v>
      </c>
      <c r="M14" s="120">
        <v>30</v>
      </c>
      <c r="N14" s="120">
        <f t="shared" si="0"/>
        <v>330</v>
      </c>
      <c r="O14" s="119"/>
      <c r="P14" s="119"/>
      <c r="Q14" s="119"/>
      <c r="R14" s="119"/>
      <c r="S14" s="119"/>
    </row>
    <row r="15" ht="16.5" spans="2:19">
      <c r="G15" s="98"/>
      <c r="I15" s="119"/>
      <c r="J15" s="123">
        <v>20</v>
      </c>
      <c r="K15" s="120"/>
      <c r="L15" s="120">
        <v>8</v>
      </c>
      <c r="M15" s="120">
        <v>30</v>
      </c>
      <c r="N15" s="120">
        <f t="shared" si="0"/>
        <v>270</v>
      </c>
      <c r="O15" s="119"/>
      <c r="P15" s="119"/>
      <c r="Q15" s="119"/>
      <c r="R15" s="119"/>
      <c r="S15" s="119"/>
    </row>
    <row r="16" ht="16.5" spans="2:19">
      <c r="G16" s="98" t="str">
        <f>IF(K15="","","{"&amp;C$191&amp;","&amp;K15&amp;"}")</f>
        <v/>
      </c>
      <c r="I16" s="119"/>
      <c r="J16" s="123">
        <v>50</v>
      </c>
      <c r="K16" s="120"/>
      <c r="L16" s="120">
        <v>6</v>
      </c>
      <c r="M16" s="120">
        <v>20</v>
      </c>
      <c r="N16" s="120">
        <f t="shared" si="0"/>
        <v>200</v>
      </c>
      <c r="O16" s="119"/>
      <c r="P16" s="119"/>
      <c r="Q16" s="119"/>
      <c r="R16" s="119"/>
      <c r="S16" s="119"/>
    </row>
    <row r="17" ht="16.5" spans="2:22">
      <c r="G17" s="98" t="str">
        <f>IF(K16="","","{"&amp;C$191&amp;","&amp;K16&amp;"}")</f>
        <v/>
      </c>
      <c r="I17" s="119"/>
      <c r="J17" s="123">
        <v>9999</v>
      </c>
      <c r="K17" s="120"/>
      <c r="L17" s="120">
        <v>5</v>
      </c>
      <c r="M17" s="120">
        <v>20</v>
      </c>
      <c r="N17" s="120">
        <f t="shared" si="0"/>
        <v>170</v>
      </c>
      <c r="O17" s="119"/>
      <c r="P17" s="119"/>
      <c r="Q17" s="119"/>
      <c r="R17" s="119"/>
      <c r="S17" s="119"/>
    </row>
    <row r="18" ht="16.5" spans="2:22">
      <c r="G18" s="98" t="str">
        <f>IF(K17="","","{"&amp;C$191&amp;","&amp;K17&amp;"}")</f>
        <v/>
      </c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</row>
    <row r="19" ht="16.5" spans="2:22">
      <c r="B19" s="98"/>
      <c r="C19" s="98"/>
      <c r="D19" s="98"/>
      <c r="E19" s="98"/>
      <c r="F19" s="98"/>
      <c r="G19" s="98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</row>
    <row r="20" ht="16.5" spans="2:22">
      <c r="I20" s="119"/>
      <c r="J20" s="120" t="s">
        <v>236</v>
      </c>
      <c r="K20" s="120">
        <f>_xlfn.XLOOKUP(K21,价值表!$D:$D,价值表!$F:$F)</f>
        <v>10</v>
      </c>
      <c r="L20" s="120">
        <f>_xlfn.XLOOKUP(L21,价值表!$D:$D,价值表!$F:$F)</f>
        <v>1</v>
      </c>
      <c r="M20" s="120">
        <f>_xlfn.XLOOKUP(M21,价值表!$D:$D,价值表!$F:$F)</f>
        <v>280</v>
      </c>
      <c r="N20" s="120">
        <f>_xlfn.XLOOKUP(N21,价值表!$D:$D,价值表!$F:$F)</f>
        <v>50</v>
      </c>
      <c r="O20" s="120"/>
      <c r="P20" s="119"/>
      <c r="Q20" s="119"/>
      <c r="R20" s="119"/>
      <c r="S20" s="119"/>
    </row>
    <row r="21" ht="16.5" spans="2:22">
      <c r="I21" s="119"/>
      <c r="J21" s="121" t="s">
        <v>235</v>
      </c>
      <c r="K21" s="122" t="s">
        <v>237</v>
      </c>
      <c r="L21" s="122" t="s">
        <v>202</v>
      </c>
      <c r="M21" s="122" t="s">
        <v>238</v>
      </c>
      <c r="N21" s="122" t="s">
        <v>203</v>
      </c>
      <c r="O21" s="122" t="s">
        <v>205</v>
      </c>
      <c r="P21" s="119"/>
      <c r="Q21" s="121" t="s">
        <v>235</v>
      </c>
      <c r="R21" s="122" t="s">
        <v>237</v>
      </c>
      <c r="S21" s="122" t="s">
        <v>202</v>
      </c>
      <c r="T21" s="122" t="s">
        <v>238</v>
      </c>
      <c r="U21" s="122" t="s">
        <v>203</v>
      </c>
      <c r="V21" s="122" t="s">
        <v>205</v>
      </c>
    </row>
    <row r="22" ht="16.5" spans="2:22">
      <c r="I22" s="119"/>
      <c r="J22" s="123">
        <v>1</v>
      </c>
      <c r="K22" s="124">
        <f>R22/7</f>
        <v>7.14285714285714</v>
      </c>
      <c r="L22" s="124">
        <f>S22/7</f>
        <v>0</v>
      </c>
      <c r="M22" s="124">
        <f>T22/7</f>
        <v>0.714285714285714</v>
      </c>
      <c r="N22" s="124">
        <f>U22/7</f>
        <v>0</v>
      </c>
      <c r="O22" s="120">
        <f t="shared" ref="O22:O28" si="1">SUMPRODUCT(K22:N22,$K$20:$N$20)</f>
        <v>271.428571428571</v>
      </c>
      <c r="P22" s="119"/>
      <c r="Q22" s="123">
        <v>1</v>
      </c>
      <c r="R22" s="120">
        <v>50</v>
      </c>
      <c r="S22" s="120"/>
      <c r="T22" s="120">
        <v>5</v>
      </c>
      <c r="U22" s="120"/>
      <c r="V22" s="125" cm="1">
        <f t="array" ref="V22">SUMPRODUCT(R22:U22,$K$20:$N$20)</f>
        <v>1900</v>
      </c>
    </row>
    <row r="23" ht="16.5" spans="2:22">
      <c r="I23" s="119"/>
      <c r="J23" s="123">
        <v>2</v>
      </c>
      <c r="K23" s="124">
        <f t="shared" ref="K23:K28" si="2">R23/7</f>
        <v>0</v>
      </c>
      <c r="L23" s="124">
        <f t="shared" ref="L23:L28" si="3">S23/7</f>
        <v>42.8571428571429</v>
      </c>
      <c r="M23" s="124">
        <f t="shared" ref="M23:M28" si="4">T23/7</f>
        <v>0.571428571428571</v>
      </c>
      <c r="N23" s="124">
        <f t="shared" ref="N23:N28" si="5">U23/7</f>
        <v>0</v>
      </c>
      <c r="O23" s="120">
        <f t="shared" si="1"/>
        <v>202.857142857143</v>
      </c>
      <c r="P23" s="119"/>
      <c r="Q23" s="123">
        <v>2</v>
      </c>
      <c r="R23" s="120"/>
      <c r="S23" s="120">
        <v>300</v>
      </c>
      <c r="T23" s="120">
        <v>4</v>
      </c>
      <c r="U23" s="120"/>
      <c r="V23" s="125" cm="1">
        <f t="array" ref="V23">SUMPRODUCT(R23:U23,$K$20:$N$20)</f>
        <v>1420</v>
      </c>
    </row>
    <row r="24" ht="16.5" spans="2:22">
      <c r="I24" s="119"/>
      <c r="J24" s="123">
        <v>3</v>
      </c>
      <c r="K24" s="124">
        <f t="shared" si="2"/>
        <v>0</v>
      </c>
      <c r="L24" s="124">
        <f t="shared" si="3"/>
        <v>28.5714285714286</v>
      </c>
      <c r="M24" s="124">
        <f t="shared" si="4"/>
        <v>0.428571428571429</v>
      </c>
      <c r="N24" s="124">
        <f t="shared" si="5"/>
        <v>0</v>
      </c>
      <c r="O24" s="120">
        <f t="shared" si="1"/>
        <v>148.571428571429</v>
      </c>
      <c r="P24" s="119"/>
      <c r="Q24" s="123">
        <v>3</v>
      </c>
      <c r="R24" s="120"/>
      <c r="S24" s="120">
        <v>200</v>
      </c>
      <c r="T24" s="120">
        <v>3</v>
      </c>
      <c r="U24" s="120"/>
      <c r="V24" s="125" cm="1">
        <f t="array" ref="V24">SUMPRODUCT(R24:U24,$K$20:$N$20)</f>
        <v>1040</v>
      </c>
    </row>
    <row r="25" ht="16.5" spans="2:22">
      <c r="I25" s="119"/>
      <c r="J25" s="123">
        <v>10</v>
      </c>
      <c r="K25" s="124">
        <f t="shared" si="2"/>
        <v>0</v>
      </c>
      <c r="L25" s="124">
        <f t="shared" si="3"/>
        <v>0</v>
      </c>
      <c r="M25" s="124">
        <f t="shared" si="4"/>
        <v>0.285714285714286</v>
      </c>
      <c r="N25" s="124">
        <f t="shared" si="5"/>
        <v>0.428571428571429</v>
      </c>
      <c r="O25" s="120">
        <f t="shared" si="1"/>
        <v>101.428571428571</v>
      </c>
      <c r="P25" s="119"/>
      <c r="Q25" s="123">
        <v>10</v>
      </c>
      <c r="R25" s="120"/>
      <c r="S25" s="120"/>
      <c r="T25" s="120">
        <v>2</v>
      </c>
      <c r="U25" s="120">
        <v>3</v>
      </c>
      <c r="V25" s="125" cm="1">
        <f t="array" ref="V25">SUMPRODUCT(R25:U25,$K$20:$N$20)</f>
        <v>710</v>
      </c>
    </row>
    <row r="26" ht="16.5" spans="2:22">
      <c r="I26" s="119"/>
      <c r="J26" s="123">
        <v>20</v>
      </c>
      <c r="K26" s="124">
        <f t="shared" si="2"/>
        <v>0</v>
      </c>
      <c r="L26" s="124">
        <f t="shared" si="3"/>
        <v>0</v>
      </c>
      <c r="M26" s="124">
        <f t="shared" si="4"/>
        <v>0.285714285714286</v>
      </c>
      <c r="N26" s="124">
        <f t="shared" si="5"/>
        <v>0.142857142857143</v>
      </c>
      <c r="O26" s="120">
        <f t="shared" si="1"/>
        <v>87.1428571428571</v>
      </c>
      <c r="P26" s="119"/>
      <c r="Q26" s="123">
        <v>20</v>
      </c>
      <c r="R26" s="120"/>
      <c r="S26" s="120"/>
      <c r="T26" s="120">
        <v>2</v>
      </c>
      <c r="U26" s="120">
        <v>1</v>
      </c>
      <c r="V26" s="125" cm="1">
        <f t="array" ref="V26">SUMPRODUCT(R26:U26,$K$20:$N$20)</f>
        <v>610</v>
      </c>
    </row>
    <row r="27" ht="16.5" spans="2:22">
      <c r="I27" s="119"/>
      <c r="J27" s="123">
        <v>50</v>
      </c>
      <c r="K27" s="124">
        <f t="shared" si="2"/>
        <v>0</v>
      </c>
      <c r="L27" s="124">
        <f t="shared" si="3"/>
        <v>0</v>
      </c>
      <c r="M27" s="124">
        <f t="shared" si="4"/>
        <v>0.142857142857143</v>
      </c>
      <c r="N27" s="124">
        <f t="shared" si="5"/>
        <v>0.428571428571429</v>
      </c>
      <c r="O27" s="120">
        <f t="shared" si="1"/>
        <v>61.4285714285714</v>
      </c>
      <c r="P27" s="119"/>
      <c r="Q27" s="123">
        <v>50</v>
      </c>
      <c r="R27" s="120"/>
      <c r="S27" s="120"/>
      <c r="T27" s="120">
        <v>1</v>
      </c>
      <c r="U27" s="120">
        <v>3</v>
      </c>
      <c r="V27" s="125" cm="1">
        <f t="array" ref="V27">SUMPRODUCT(R27:U27,$K$20:$N$20)</f>
        <v>430</v>
      </c>
    </row>
    <row r="28" ht="16.5" spans="2:22">
      <c r="I28" s="119"/>
      <c r="J28" s="123">
        <v>9999</v>
      </c>
      <c r="K28" s="124">
        <f t="shared" si="2"/>
        <v>0</v>
      </c>
      <c r="L28" s="124">
        <f t="shared" si="3"/>
        <v>0</v>
      </c>
      <c r="M28" s="124">
        <f t="shared" si="4"/>
        <v>0.142857142857143</v>
      </c>
      <c r="N28" s="124">
        <f t="shared" si="5"/>
        <v>0.142857142857143</v>
      </c>
      <c r="O28" s="120">
        <f t="shared" si="1"/>
        <v>47.1428571428571</v>
      </c>
      <c r="P28" s="119"/>
      <c r="Q28" s="123">
        <v>9999</v>
      </c>
      <c r="R28" s="120"/>
      <c r="S28" s="120"/>
      <c r="T28" s="120">
        <v>1</v>
      </c>
      <c r="U28" s="120">
        <v>1</v>
      </c>
      <c r="V28" s="125" cm="1">
        <f t="array" ref="V28">SUMPRODUCT(R28:U28,$K$20:$N$20)</f>
        <v>330</v>
      </c>
    </row>
    <row r="29" spans="2:22"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</row>
    <row r="30" spans="2:22"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</row>
    <row r="31" spans="2:22"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</row>
    <row r="33" ht="16.5" spans="8:18">
      <c r="H33" s="126"/>
      <c r="I33" t="s">
        <v>239</v>
      </c>
      <c r="J33" s="126" t="s">
        <v>240</v>
      </c>
      <c r="K33" s="126" t="s">
        <v>132</v>
      </c>
      <c r="L33" s="126" t="s">
        <v>129</v>
      </c>
      <c r="M33" s="126" t="s">
        <v>241</v>
      </c>
      <c r="N33" s="98" t="s">
        <v>109</v>
      </c>
      <c r="O33" s="98" t="s">
        <v>242</v>
      </c>
      <c r="P33" s="126" t="s">
        <v>96</v>
      </c>
      <c r="Q33" s="126" t="s">
        <v>243</v>
      </c>
      <c r="R33" s="126" t="s">
        <v>244</v>
      </c>
    </row>
    <row r="34" ht="16.5" spans="8:18">
      <c r="H34" s="126"/>
      <c r="I34" s="23" t="s">
        <v>245</v>
      </c>
      <c r="J34">
        <f>5/7</f>
        <v>0.714285714285714</v>
      </c>
      <c r="L34" s="108">
        <f t="shared" ref="L34:Q34" si="6">L35*L36/7</f>
        <v>14.2857142857143</v>
      </c>
      <c r="N34" s="108">
        <f t="shared" si="6"/>
        <v>28.5714285714286</v>
      </c>
      <c r="Q34" s="108">
        <f t="shared" si="6"/>
        <v>1.42857142857143</v>
      </c>
    </row>
    <row r="35" ht="16.5" spans="8:18">
      <c r="H35" s="126"/>
      <c r="I35" s="98" t="s">
        <v>246</v>
      </c>
      <c r="J35" s="98">
        <v>1</v>
      </c>
      <c r="K35" s="98">
        <v>10</v>
      </c>
      <c r="L35" s="98">
        <v>10</v>
      </c>
      <c r="M35" s="98">
        <v>30</v>
      </c>
      <c r="N35" s="98">
        <v>10</v>
      </c>
      <c r="O35" s="98">
        <v>1</v>
      </c>
      <c r="P35" s="98">
        <v>1000</v>
      </c>
      <c r="Q35" s="98">
        <v>1</v>
      </c>
      <c r="R35" s="98">
        <v>1</v>
      </c>
    </row>
    <row r="36" ht="16.5" spans="8:18">
      <c r="H36" s="126"/>
      <c r="I36" s="127" t="s">
        <v>247</v>
      </c>
      <c r="J36" s="126">
        <v>5</v>
      </c>
      <c r="K36" s="126">
        <v>10</v>
      </c>
      <c r="L36" s="126">
        <v>10</v>
      </c>
      <c r="M36" s="126">
        <v>10</v>
      </c>
      <c r="N36" s="126">
        <v>20</v>
      </c>
      <c r="O36" s="126">
        <v>10</v>
      </c>
      <c r="P36" s="126">
        <v>10</v>
      </c>
      <c r="Q36" s="126">
        <v>10</v>
      </c>
      <c r="R36" s="126">
        <v>1</v>
      </c>
    </row>
    <row r="37" ht="16.5" spans="8:18">
      <c r="H37" s="126"/>
    </row>
    <row r="38" ht="16.5" spans="8:18">
      <c r="H38" s="98"/>
      <c r="I38" s="98"/>
      <c r="J38" s="98"/>
      <c r="K38" s="126"/>
    </row>
    <row r="39" ht="16.5" spans="8:18">
      <c r="H39" s="98"/>
      <c r="I39" s="98"/>
      <c r="J39" s="98"/>
      <c r="K39" s="126"/>
    </row>
    <row r="40" ht="16.5" spans="8:18">
      <c r="H40" s="98"/>
      <c r="I40" s="98"/>
      <c r="J40" s="98"/>
      <c r="K40" s="126"/>
    </row>
    <row r="41" ht="16.5" spans="8:18">
      <c r="H41" s="126"/>
      <c r="I41" s="98"/>
      <c r="J41" s="98"/>
      <c r="K41" s="126"/>
    </row>
    <row r="42" ht="16.5" spans="8:18">
      <c r="H42" s="126"/>
      <c r="I42" s="98"/>
      <c r="J42" s="98"/>
      <c r="K42" s="126"/>
    </row>
    <row r="43" ht="16.5" spans="8:18">
      <c r="H43" s="126"/>
      <c r="I43" s="98"/>
      <c r="J43" s="98"/>
      <c r="K43" s="126"/>
    </row>
  </sheetData>
  <pageMargins left="0.75" right="0.75" top="1" bottom="1" header="0.5" footer="0.5"/>
  <headerFooter/>
  <tableParts count="5">
    <tablePart r:id="rId1"/>
    <tablePart r:id="rId2"/>
    <tablePart r:id="rId3"/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tabColor theme="4"/>
  </sheetPr>
  <dimension ref="B3:O40"/>
  <sheetViews>
    <sheetView workbookViewId="0">
      <selection activeCell="AG65" sqref="AG65"/>
    </sheetView>
  </sheetViews>
  <sheetFormatPr defaultColWidth="9" defaultRowHeight="13.5"/>
  <cols>
    <col min="3" max="3" width="9" customWidth="1"/>
  </cols>
  <sheetData>
    <row r="3" spans="2:15">
      <c r="C3" s="23">
        <f>_xlfn.XLOOKUP(C5,价值表!$D:$D,价值表!$F:$F)</f>
        <v>3</v>
      </c>
      <c r="D3" s="23">
        <f>_xlfn.XLOOKUP(D5,价值表!$D:$D,价值表!$F:$F)</f>
        <v>50</v>
      </c>
      <c r="E3" s="23">
        <f>_xlfn.XLOOKUP(E5,价值表!$D:$D,价值表!$F:$F)</f>
        <v>30</v>
      </c>
      <c r="F3" s="23">
        <f>_xlfn.XLOOKUP(F5,价值表!$D:$D,价值表!$F:$F)</f>
        <v>60</v>
      </c>
      <c r="J3" s="23">
        <f>_xlfn.XLOOKUP(J5,价值表!$D:$D,价值表!$F:$F)</f>
        <v>5</v>
      </c>
      <c r="K3" s="23">
        <f>_xlfn.XLOOKUP(K5,价值表!$D:$D,价值表!$F:$F)</f>
        <v>30</v>
      </c>
      <c r="L3" s="23">
        <f>_xlfn.XLOOKUP(L5,价值表!$D:$D,价值表!$F:$F)</f>
        <v>100</v>
      </c>
      <c r="M3" s="23">
        <f>_xlfn.XLOOKUP(M5,价值表!$D:$D,价值表!$F:$F)</f>
        <v>280</v>
      </c>
      <c r="N3" s="23">
        <f>_xlfn.XLOOKUP(N5,价值表!$D:$D,价值表!$F:$F)</f>
        <v>60</v>
      </c>
    </row>
    <row r="4" spans="2:15">
      <c r="B4" s="74" t="s">
        <v>248</v>
      </c>
      <c r="C4" s="71">
        <v>30</v>
      </c>
      <c r="D4" s="71">
        <v>60</v>
      </c>
      <c r="E4" s="71">
        <v>100</v>
      </c>
      <c r="F4" s="71">
        <v>120</v>
      </c>
      <c r="I4" s="74" t="s">
        <v>248</v>
      </c>
      <c r="J4" s="71">
        <v>30</v>
      </c>
      <c r="K4" s="71">
        <v>50</v>
      </c>
      <c r="L4" s="71">
        <v>100</v>
      </c>
      <c r="M4" s="71">
        <v>150</v>
      </c>
      <c r="N4" s="71">
        <v>200</v>
      </c>
    </row>
    <row r="5" ht="16.5" spans="2:15">
      <c r="B5" s="74" t="s">
        <v>249</v>
      </c>
      <c r="C5" s="71" t="s">
        <v>129</v>
      </c>
      <c r="D5" s="71" t="s">
        <v>203</v>
      </c>
      <c r="E5" s="20" t="s">
        <v>130</v>
      </c>
      <c r="F5" s="32" t="s">
        <v>250</v>
      </c>
      <c r="I5" s="74" t="s">
        <v>249</v>
      </c>
      <c r="J5" s="71" t="s">
        <v>132</v>
      </c>
      <c r="K5" s="20" t="s">
        <v>130</v>
      </c>
      <c r="L5" s="20" t="s">
        <v>240</v>
      </c>
      <c r="M5" s="32" t="s">
        <v>238</v>
      </c>
      <c r="N5" s="32" t="s">
        <v>250</v>
      </c>
    </row>
    <row r="6" spans="2:15">
      <c r="B6" s="109" t="s">
        <v>246</v>
      </c>
      <c r="C6" s="71">
        <v>30</v>
      </c>
      <c r="D6" s="71">
        <v>1</v>
      </c>
      <c r="E6" s="71">
        <v>10</v>
      </c>
      <c r="F6" s="71">
        <v>2</v>
      </c>
      <c r="G6">
        <f>SUMPRODUCT(C3:F3,C6:F6)</f>
        <v>560</v>
      </c>
      <c r="I6" s="109" t="s">
        <v>246</v>
      </c>
      <c r="J6" s="71">
        <v>30</v>
      </c>
      <c r="K6" s="71">
        <v>10</v>
      </c>
      <c r="L6" s="71">
        <v>1</v>
      </c>
      <c r="M6" s="71">
        <v>1</v>
      </c>
      <c r="N6" s="71">
        <v>6</v>
      </c>
      <c r="O6" s="23">
        <f>SUMPRODUCT(J3:N3,J6:N6)</f>
        <v>1190</v>
      </c>
    </row>
    <row r="7" spans="2:15">
      <c r="B7" s="110" t="inlineStr">
        <is>
          <t>2026-10-20 按配置R_任务改写：每日16选10、每周18选10，活跃度与道具数量均为期望值；周常最多150活跃，200档宝箱不可达(仍保留在活跃表供核对)</t>
        </is>
      </c>
      <c r="C7" s="110"/>
      <c r="D7" s="110"/>
      <c r="E7" s="110"/>
      <c r="F7" s="110"/>
    </row>
    <row r="8" spans="2:15">
      <c r="B8" s="110" t="s">
        <v>251</v>
      </c>
      <c r="C8" s="110"/>
      <c r="D8" s="110" t="s">
        <v>252</v>
      </c>
      <c r="E8" s="110"/>
      <c r="F8" s="110"/>
      <c r="G8" s="110"/>
      <c r="I8" t="s">
        <v>253</v>
      </c>
      <c r="K8" t="s">
        <v>254</v>
      </c>
    </row>
    <row r="9" spans="2:15">
      <c r="B9" s="74" t="s">
        <v>255</v>
      </c>
      <c r="C9" s="74" t="s">
        <v>256</v>
      </c>
      <c r="D9" s="74" t="s">
        <v>257</v>
      </c>
      <c r="E9" s="74" t="s">
        <v>258</v>
      </c>
      <c r="F9" s="74" t="s">
        <v>246</v>
      </c>
      <c r="G9" s="20">
        <f>SUM(G10:G23)</f>
        <v>335</v>
      </c>
      <c r="I9" s="74" t="s">
        <v>255</v>
      </c>
      <c r="J9" s="74" t="s">
        <v>256</v>
      </c>
      <c r="K9" s="74" t="s">
        <v>257</v>
      </c>
      <c r="L9" s="74" t="s">
        <v>258</v>
      </c>
      <c r="M9" s="74" t="s">
        <v>246</v>
      </c>
      <c r="N9" s="20">
        <f>SUM(N10:N27)</f>
        <v>1040</v>
      </c>
    </row>
    <row r="10" spans="2:15">
      <c r="B10" s="71" t="s">
        <v>259</v>
      </c>
      <c r="C10" s="71" t="s">
        <v>260</v>
      </c>
      <c r="D10" s="111">
        <v>7.5</v>
      </c>
      <c r="E10" s="20" t="s">
        <v>130</v>
      </c>
      <c r="F10" s="71">
        <v>1.25</v>
      </c>
      <c r="G10" s="20">
        <f>_xlfn.XLOOKUP(E10,价值表!$D:$D,价值表!$F:$F)*F10</f>
        <v>60</v>
      </c>
      <c r="I10" s="71" t="s">
        <v>259</v>
      </c>
      <c r="J10" s="71" t="s">
        <v>261</v>
      </c>
      <c r="K10" s="111">
        <v>8.3333</v>
      </c>
      <c r="L10" s="71" t="s">
        <v>96</v>
      </c>
      <c r="M10" s="71">
        <v>277.7778</v>
      </c>
      <c r="N10" s="20">
        <f>_xlfn.XLOOKUP(L10,价值表!$D:$D,价值表!$F:$F)*M10</f>
        <v>25</v>
      </c>
    </row>
    <row r="11" spans="2:15">
      <c r="B11" s="71" t="s">
        <v>259</v>
      </c>
      <c r="C11" s="71" t="s">
        <v>262</v>
      </c>
      <c r="D11" s="111">
        <v>7.5</v>
      </c>
      <c r="E11" s="71" t="s">
        <v>96</v>
      </c>
      <c r="F11" s="71">
        <v>125</v>
      </c>
      <c r="G11" s="20">
        <f>_xlfn.XLOOKUP(E11,价值表!$D:$D,价值表!$F:$F)*F11</f>
        <v>10</v>
      </c>
      <c r="I11" s="71" t="s">
        <v>259</v>
      </c>
      <c r="J11" s="71" t="s">
        <v>263</v>
      </c>
      <c r="K11" s="111">
        <v>8.3333</v>
      </c>
      <c r="L11" s="71" t="s">
        <v>96</v>
      </c>
      <c r="M11" s="71">
        <v>277.7778</v>
      </c>
      <c r="N11" s="20">
        <f>_xlfn.XLOOKUP(L11,价值表!$D:$D,价值表!$F:$F)*M11</f>
        <v>25</v>
      </c>
    </row>
    <row r="12" spans="2:15">
      <c r="B12" s="71" t="s">
        <v>259</v>
      </c>
      <c r="C12" s="112" t="s">
        <v>264</v>
      </c>
      <c r="D12" s="111">
        <v>7.5</v>
      </c>
      <c r="E12" s="71" t="s">
        <v>132</v>
      </c>
      <c r="F12" s="71">
        <v>6.25</v>
      </c>
      <c r="G12" s="20">
        <f>_xlfn.XLOOKUP(E12,价值表!$D:$D,价值表!$F:$F)*F12</f>
        <v>50</v>
      </c>
      <c r="I12" s="71" t="s">
        <v>259</v>
      </c>
      <c r="J12" s="71" t="s">
        <v>265</v>
      </c>
      <c r="K12" s="111">
        <v>8.3333</v>
      </c>
      <c r="L12" s="71" t="s">
        <v>96</v>
      </c>
      <c r="M12" s="71">
        <v>277.7778</v>
      </c>
      <c r="N12" s="20">
        <f>_xlfn.XLOOKUP(L12,价值表!$D:$D,价值表!$F:$F)*M12</f>
        <v>25</v>
      </c>
    </row>
    <row r="13" spans="2:15">
      <c r="B13" s="71" t="s">
        <v>259</v>
      </c>
      <c r="C13" s="112" t="inlineStr">
        <is>
          <t>领取2次睡后收入</t>
        </is>
      </c>
      <c r="D13" s="111">
        <v>7.5</v>
      </c>
      <c r="E13" s="71" t="s">
        <v>96</v>
      </c>
      <c r="F13" s="71">
        <v>125</v>
      </c>
      <c r="G13" s="20">
        <f>_xlfn.XLOOKUP(E13,价值表!$D:$D,价值表!$F:$F)*F13</f>
        <v>10</v>
      </c>
      <c r="I13" s="71" t="s">
        <v>259</v>
      </c>
      <c r="J13" s="71" t="s">
        <v>267</v>
      </c>
      <c r="K13" s="111">
        <v>8.3333</v>
      </c>
      <c r="L13" s="71" t="s">
        <v>96</v>
      </c>
      <c r="M13" s="71">
        <v>277.7778</v>
      </c>
      <c r="N13" s="20">
        <f>_xlfn.XLOOKUP(L13,价值表!$D:$D,价值表!$F:$F)*M13</f>
        <v>25</v>
      </c>
    </row>
    <row r="14" ht="16.5" spans="2:15">
      <c r="B14" s="71" t="s">
        <v>259</v>
      </c>
      <c r="C14" s="112" t="inlineStr">
        <is>
          <t>能量站领取1次体力</t>
        </is>
      </c>
      <c r="D14" s="111">
        <v>7.5</v>
      </c>
      <c r="E14" s="71" t="s">
        <v>96</v>
      </c>
      <c r="F14" s="71">
        <v>125</v>
      </c>
      <c r="G14" s="20">
        <f>_xlfn.XLOOKUP(E14,价值表!$D:$D,价值表!$F:$F)*F14</f>
        <v>10</v>
      </c>
      <c r="I14" s="71" t="s">
        <v>269</v>
      </c>
      <c r="J14" s="71" t="s">
        <v>270</v>
      </c>
      <c r="K14" s="71">
        <v>8.3333</v>
      </c>
      <c r="L14" s="32" t="s">
        <v>128</v>
      </c>
      <c r="M14" s="71">
        <v>83.3333</v>
      </c>
      <c r="N14" s="20">
        <f>_xlfn.XLOOKUP(L14,价值表!$D:$D,价值表!$F:$F)*M14</f>
        <v>150</v>
      </c>
    </row>
    <row r="15" ht="16.5" spans="2:15">
      <c r="B15" s="71" t="s">
        <v>269</v>
      </c>
      <c r="C15" s="71" t="s">
        <v>271</v>
      </c>
      <c r="D15" s="111">
        <v>7.5</v>
      </c>
      <c r="E15" s="32" t="s">
        <v>128</v>
      </c>
      <c r="F15" s="71">
        <v>31.25</v>
      </c>
      <c r="G15" s="20">
        <f>_xlfn.XLOOKUP(E15,价值表!$D:$D,价值表!$F:$F)*F15</f>
        <v>50</v>
      </c>
      <c r="I15" s="71" t="s">
        <v>269</v>
      </c>
      <c r="J15" s="71" t="s">
        <v>272</v>
      </c>
      <c r="K15" s="71">
        <v>8.3333</v>
      </c>
      <c r="L15" s="71" t="s">
        <v>96</v>
      </c>
      <c r="M15" s="71">
        <v>277.7778</v>
      </c>
      <c r="N15" s="20">
        <f>_xlfn.XLOOKUP(L15,价值表!$D:$D,价值表!$F:$F)*M15</f>
        <v>25</v>
      </c>
    </row>
    <row r="16" spans="2:15">
      <c r="B16" s="71" t="s">
        <v>269</v>
      </c>
      <c r="C16" s="71" t="s">
        <v>273</v>
      </c>
      <c r="D16" s="111">
        <v>7.5</v>
      </c>
      <c r="E16" s="71" t="s">
        <v>96</v>
      </c>
      <c r="F16" s="71">
        <v>125</v>
      </c>
      <c r="G16" s="20">
        <f>_xlfn.XLOOKUP(E16,价值表!$D:$D,价值表!$F:$F)*F16</f>
        <v>10</v>
      </c>
      <c r="I16" s="71" t="s">
        <v>269</v>
      </c>
      <c r="J16" s="71" t="inlineStr">
        <is>
          <t>进行5次研究</t>
        </is>
      </c>
      <c r="K16" s="71">
        <v>8.3333</v>
      </c>
      <c r="L16" s="71" t="s">
        <v>96</v>
      </c>
      <c r="M16" s="71">
        <v>277.7778</v>
      </c>
      <c r="N16" s="20">
        <f>_xlfn.XLOOKUP(L16,价值表!$D:$D,价值表!$F:$F)*M16</f>
        <v>25</v>
      </c>
    </row>
    <row r="17" spans="2:14">
      <c r="B17" s="71" t="s">
        <v>275</v>
      </c>
      <c r="C17" s="71" t="s">
        <v>276</v>
      </c>
      <c r="D17" s="71">
        <v>7.5</v>
      </c>
      <c r="E17" s="71" t="s">
        <v>96</v>
      </c>
      <c r="F17" s="71">
        <v>125</v>
      </c>
      <c r="G17" s="20">
        <f>_xlfn.XLOOKUP(E17,价值表!$D:$D,价值表!$F:$F)*F17</f>
        <v>10</v>
      </c>
      <c r="I17" s="71" t="s">
        <v>269</v>
      </c>
      <c r="J17" s="71" t="inlineStr">
        <is>
          <t>符文初愿招募30次</t>
        </is>
      </c>
      <c r="K17" s="71">
        <v>8.3333</v>
      </c>
      <c r="L17" s="71" t="inlineStr">
        <is>
          <t>初愿摇杆</t>
        </is>
      </c>
      <c r="M17" s="71">
        <v>0.5556</v>
      </c>
      <c r="N17" s="20">
        <f>_xlfn.XLOOKUP(L17,价值表!$D:$D,价值表!$F:$F)*M17</f>
        <v>25</v>
      </c>
    </row>
    <row r="18" spans="2:14">
      <c r="B18" s="71" t="s">
        <v>275</v>
      </c>
      <c r="C18" s="71" t="s">
        <v>278</v>
      </c>
      <c r="D18" s="71">
        <v>7.5</v>
      </c>
      <c r="E18" s="71" t="s">
        <v>96</v>
      </c>
      <c r="F18" s="71">
        <v>125</v>
      </c>
      <c r="G18" s="20">
        <f>_xlfn.XLOOKUP(E18,价值表!$D:$D,价值表!$F:$F)*F18</f>
        <v>10</v>
      </c>
      <c r="I18" s="71" t="s">
        <v>275</v>
      </c>
      <c r="J18" s="71" t="inlineStr">
        <is>
          <t>符文秘藏招募10次</t>
        </is>
      </c>
      <c r="K18" s="111">
        <v>8.3333</v>
      </c>
      <c r="L18" s="71" t="inlineStr">
        <is>
          <t>金币</t>
        </is>
      </c>
      <c r="M18" s="71">
        <v>277.7778</v>
      </c>
      <c r="N18" s="20">
        <f>_xlfn.XLOOKUP(L18,价值表!$D:$D,价值表!$F:$F)*M18</f>
        <v>250</v>
      </c>
    </row>
    <row r="19" spans="2:14">
      <c r="B19" s="71" t="s">
        <v>275</v>
      </c>
      <c r="C19" s="71" t="s">
        <v>280</v>
      </c>
      <c r="D19" s="71">
        <v>7.5</v>
      </c>
      <c r="E19" s="71" t="s">
        <v>96</v>
      </c>
      <c r="F19" s="71">
        <v>125</v>
      </c>
      <c r="G19" s="20">
        <f>_xlfn.XLOOKUP(E19,价值表!$D:$D,价值表!$F:$F)*F19</f>
        <v>10</v>
      </c>
      <c r="I19" s="71" t="s">
        <v>269</v>
      </c>
      <c r="J19" s="71" t="inlineStr">
        <is>
          <t>领取10次体力</t>
        </is>
      </c>
      <c r="K19" s="111">
        <v>8.3333</v>
      </c>
      <c r="L19" s="71" t="s">
        <v>96</v>
      </c>
      <c r="M19" s="71">
        <v>277.7778</v>
      </c>
      <c r="N19" s="20">
        <f>_xlfn.XLOOKUP(L19,价值表!$D:$D,价值表!$F:$F)*M19</f>
        <v>25</v>
      </c>
    </row>
    <row r="20" spans="2:14">
      <c r="B20" s="71" t="s">
        <v>275</v>
      </c>
      <c r="C20" s="71" t="inlineStr">
        <is>
          <t>挑战1次巡航副本</t>
        </is>
      </c>
      <c r="D20" s="71">
        <v>7.5</v>
      </c>
      <c r="E20" s="71" t="s">
        <v>283</v>
      </c>
      <c r="F20" s="71">
        <v>125</v>
      </c>
      <c r="G20" s="20">
        <f>_xlfn.XLOOKUP(E20,价值表!$D:$D,价值表!$F:$F)*F20</f>
        <v>20</v>
      </c>
      <c r="I20" s="71" t="s">
        <v>275</v>
      </c>
      <c r="J20" s="71" t="s">
        <v>284</v>
      </c>
      <c r="K20" s="111">
        <v>8.3333</v>
      </c>
      <c r="L20" s="71" t="s">
        <v>96</v>
      </c>
      <c r="M20" s="71">
        <v>277.7778</v>
      </c>
      <c r="N20" s="20">
        <f>_xlfn.XLOOKUP(L20,价值表!$D:$D,价值表!$F:$F)*M20</f>
        <v>25</v>
      </c>
    </row>
    <row r="21" spans="2:14">
      <c r="B21" s="71" t="s">
        <v>275</v>
      </c>
      <c r="C21" s="71" t="inlineStr">
        <is>
          <t>挑战3次巡航副本</t>
        </is>
      </c>
      <c r="D21" s="71">
        <v>7.5</v>
      </c>
      <c r="E21" s="71" t="inlineStr">
        <is>
          <t>金币</t>
        </is>
      </c>
      <c r="F21" s="71">
        <v>125</v>
      </c>
      <c r="G21" s="20">
        <f>_xlfn.XLOOKUP(E21,价值表!$D:$D,价值表!$F:$F)*F21</f>
        <v>25</v>
      </c>
      <c r="I21" s="71" t="s">
        <v>275</v>
      </c>
      <c r="J21" s="71" t="inlineStr">
        <is>
          <t>购买10次体力</t>
        </is>
      </c>
      <c r="K21" s="111">
        <v>8.3333</v>
      </c>
      <c r="L21" s="71" t="inlineStr">
        <is>
          <t>金币</t>
        </is>
      </c>
      <c r="M21" s="71">
        <v>277.7778</v>
      </c>
      <c r="N21" s="20">
        <f>_xlfn.XLOOKUP(L21,价值表!$D:$D,价值表!$F:$F)*M21</f>
        <v>100</v>
      </c>
    </row>
    <row r="22" spans="2:14">
      <c r="B22" s="71" t="s">
        <v>275</v>
      </c>
      <c r="C22" s="71" t="inlineStr">
        <is>
          <t>击杀1000只怪物</t>
        </is>
      </c>
      <c r="D22" s="71">
        <v>7.5</v>
      </c>
      <c r="E22" s="71" t="s">
        <v>96</v>
      </c>
      <c r="F22" s="71">
        <v>125</v>
      </c>
      <c r="G22" s="20">
        <f>_xlfn.XLOOKUP(E22,价值表!$D:$D,价值表!$F:$F)*F22</f>
        <v>10</v>
      </c>
      <c r="I22" s="71" t="s">
        <v>275</v>
      </c>
      <c r="J22" s="71" t="inlineStr">
        <is>
          <t>消耗1000点体力</t>
        </is>
      </c>
      <c r="K22" s="111">
        <v>8.3333</v>
      </c>
      <c r="L22" s="71" t="inlineStr">
        <is>
          <t>符引结晶</t>
        </is>
      </c>
      <c r="M22" s="71">
        <v>27.7778</v>
      </c>
      <c r="N22" s="20">
        <f>_xlfn.XLOOKUP(L22,价值表!$D:$D,价值表!$F:$F)*M22</f>
        <v>50</v>
      </c>
    </row>
    <row r="23" spans="2:14">
      <c r="B23" s="71" t="s">
        <v>275</v>
      </c>
      <c r="C23" s="71" t="inlineStr">
        <is>
          <t>挂机快速入眠3次</t>
        </is>
      </c>
      <c r="D23" s="71">
        <v>7.5</v>
      </c>
      <c r="E23" s="71" t="inlineStr">
        <is>
          <t>金币</t>
        </is>
      </c>
      <c r="F23" s="71">
        <v>125</v>
      </c>
      <c r="G23" s="20">
        <v>50</v>
      </c>
      <c r="I23" s="71" t="s">
        <v>275</v>
      </c>
      <c r="J23" s="71" t="inlineStr">
        <is>
          <t>参与25次荧幕争锋</t>
        </is>
      </c>
      <c r="K23" s="111">
        <v>8.3333</v>
      </c>
      <c r="L23" s="71" t="inlineStr">
        <is>
          <t>装备强化书</t>
        </is>
      </c>
      <c r="M23" s="71">
        <v>16.6667</v>
      </c>
      <c r="N23" s="20">
        <f>_xlfn.XLOOKUP(L23,价值表!$D:$D,价值表!$F:$F)*M23</f>
        <v>25</v>
      </c>
    </row>
    <row r="24" spans="2:14">
      <c r="B24" s="113" t="s">
        <v>259</v>
      </c>
      <c r="C24" s="114" t="inlineStr">
        <is>
          <t>参与3次荧幕争锋</t>
        </is>
      </c>
      <c r="D24" s="113">
        <v>7.5</v>
      </c>
      <c r="E24" s="113" t="inlineStr">
        <is>
          <t>金币</t>
        </is>
      </c>
      <c r="F24" s="113">
        <v>125</v>
      </c>
      <c r="G24" s="110"/>
      <c r="I24" s="71" t="s">
        <v>275</v>
      </c>
      <c r="J24" s="71" t="inlineStr">
        <is>
          <t>击杀5000只怪物</t>
        </is>
      </c>
      <c r="K24" s="111">
        <v>8.3333</v>
      </c>
      <c r="L24" s="71" t="s">
        <v>96</v>
      </c>
      <c r="M24" s="71">
        <v>277.7778</v>
      </c>
      <c r="N24" s="20">
        <f>_xlfn.XLOOKUP(L24,价值表!$D:$D,价值表!$F:$F)*M24</f>
        <v>25</v>
      </c>
    </row>
    <row r="25" spans="2:14">
      <c r="B25" s="115"/>
      <c r="C25" s="115" t="inlineStr">
        <is>
          <t>扫荡1次海底捞金</t>
        </is>
      </c>
      <c r="D25" s="115">
        <v>7.5</v>
      </c>
      <c r="E25" s="115" t="inlineStr">
        <is>
          <t>金币</t>
        </is>
      </c>
      <c r="F25" s="115">
        <v>125</v>
      </c>
      <c r="G25" s="110"/>
      <c r="I25" s="71" t="s">
        <v>275</v>
      </c>
      <c r="J25" s="71" t="inlineStr">
        <is>
          <t>{pve_count,[8],15}</t>
        </is>
      </c>
      <c r="K25" s="111">
        <v>8.3333</v>
      </c>
      <c r="L25" s="71" t="inlineStr">
        <is>
          <t>钻石</t>
        </is>
      </c>
      <c r="M25" s="71">
        <v>55.5556</v>
      </c>
      <c r="N25" s="20">
        <f>_xlfn.XLOOKUP(L25,价值表!$D:$D,价值表!$F:$F)*M25</f>
        <v>90</v>
      </c>
    </row>
    <row r="26" spans="2:14">
      <c r="B26" s="115"/>
      <c r="C26" s="115"/>
      <c r="D26" s="115"/>
      <c r="E26" s="115"/>
      <c r="F26" s="115"/>
      <c r="G26" s="110"/>
      <c r="I26" s="71" t="s">
        <v>259</v>
      </c>
      <c r="J26" s="71" t="inlineStr">
        <is>
          <t>击杀20000只怪物</t>
        </is>
      </c>
      <c r="K26" s="111">
        <v>8.3333</v>
      </c>
      <c r="L26" s="71" t="inlineStr">
        <is>
          <t>金币</t>
        </is>
      </c>
      <c r="M26" s="71">
        <v>277.7778</v>
      </c>
      <c r="N26" s="20">
        <f>_xlfn.XLOOKUP(L26,价值表!$D:$D,价值表!$F:$F)*M26</f>
        <v>100</v>
      </c>
    </row>
    <row r="27" spans="2:14">
      <c r="B27" s="116"/>
      <c r="C27" s="116"/>
      <c r="D27" s="116"/>
      <c r="E27" s="116"/>
      <c r="F27" s="116"/>
      <c r="G27" s="110"/>
      <c r="I27" s="71" t="s">
        <v>275</v>
      </c>
      <c r="J27" s="71" t="inlineStr">
        <is>
          <t>{event_pve_help_win,10}</t>
        </is>
      </c>
      <c r="K27" s="111">
        <v>8.3333</v>
      </c>
      <c r="L27" s="71" t="inlineStr">
        <is>
          <t>钻石</t>
        </is>
      </c>
      <c r="M27" s="71">
        <v>55.5556</v>
      </c>
      <c r="N27" s="20">
        <f>_xlfn.XLOOKUP(L27,价值表!$D:$D,价值表!$F:$F)*M27</f>
        <v>25</v>
      </c>
    </row>
    <row r="28" spans="2:14">
      <c r="B28" s="116"/>
      <c r="C28" s="117"/>
      <c r="D28" s="116"/>
      <c r="E28" s="116"/>
      <c r="F28" s="116"/>
      <c r="G28" s="110"/>
    </row>
    <row r="29" spans="2:14">
      <c r="B29" s="115"/>
      <c r="C29" s="115"/>
      <c r="D29" s="115"/>
      <c r="E29" s="115"/>
      <c r="F29" s="115"/>
      <c r="G29" s="110"/>
    </row>
    <row r="30" spans="2:14">
      <c r="B30" s="116"/>
      <c r="C30" s="116"/>
      <c r="D30" s="116"/>
      <c r="E30" s="116"/>
      <c r="F30" s="116"/>
      <c r="G30" s="110"/>
    </row>
    <row r="31" spans="2:14">
      <c r="B31" s="116"/>
      <c r="C31" s="116"/>
      <c r="D31" s="116"/>
      <c r="E31" s="116"/>
      <c r="F31" s="116"/>
      <c r="G31" s="110"/>
    </row>
    <row r="35" spans="2:15">
      <c r="B35" s="23" t="s">
        <v>304</v>
      </c>
      <c r="C35" s="46" t="s">
        <v>130</v>
      </c>
      <c r="D35" s="46" t="s">
        <v>96</v>
      </c>
      <c r="E35" s="46" t="s">
        <v>132</v>
      </c>
      <c r="F35" s="46" t="s">
        <v>128</v>
      </c>
      <c r="G35" s="46" t="s">
        <v>283</v>
      </c>
      <c r="H35" s="46" t="s">
        <v>214</v>
      </c>
      <c r="I35" s="46" t="s">
        <v>290</v>
      </c>
      <c r="J35" s="46" t="s">
        <v>202</v>
      </c>
      <c r="K35" s="46" t="s">
        <v>129</v>
      </c>
      <c r="L35" s="46" t="s">
        <v>240</v>
      </c>
      <c r="M35" s="46" t="s">
        <v>238</v>
      </c>
      <c r="N35" s="46" t="s">
        <v>250</v>
      </c>
      <c r="O35" s="54" t="s">
        <v>203</v>
      </c>
    </row>
    <row r="36" spans="2:15">
      <c r="B36" s="23" t="s">
        <v>305</v>
      </c>
      <c r="C36" s="24">
        <f>C37+C38+C39/7+C40/7</f>
        <v>13.4285714285714</v>
      </c>
      <c r="D36" s="24">
        <f>D37+D38+D39/7+D40/7</f>
        <v>2457.14285714286</v>
      </c>
      <c r="E36" s="24">
        <f t="shared" ref="D36:O36" si="0">E37+E38+E39/7+E40/7</f>
        <v>21.4285714285714</v>
      </c>
      <c r="F36" s="24">
        <f t="shared" si="0"/>
        <v>71.4285714285714</v>
      </c>
      <c r="G36" s="24">
        <f t="shared" si="0"/>
        <v>200</v>
      </c>
      <c r="H36" s="24">
        <f t="shared" si="0"/>
        <v>6.42857142857143</v>
      </c>
      <c r="I36" s="24">
        <f t="shared" si="0"/>
        <v>1</v>
      </c>
      <c r="J36" s="24">
        <f t="shared" si="0"/>
        <v>28.5714285714286</v>
      </c>
      <c r="K36" s="24">
        <f t="shared" si="0"/>
        <v>34.2857142857143</v>
      </c>
      <c r="L36" s="24">
        <f t="shared" si="0"/>
        <v>0.142857142857143</v>
      </c>
      <c r="M36" s="24">
        <f t="shared" si="0"/>
        <v>0.142857142857143</v>
      </c>
      <c r="N36" s="24">
        <f t="shared" si="0"/>
        <v>2.85714285714286</v>
      </c>
      <c r="O36" s="24">
        <f t="shared" si="0"/>
        <v>1</v>
      </c>
    </row>
    <row r="37" spans="2:15">
      <c r="B37" s="23" t="s">
        <v>306</v>
      </c>
      <c r="C37" s="23" cm="1">
        <f t="array" ref="C37">SUMPRODUCT(--($E$10:$E$31=C$35),$F$10:$F$31)</f>
        <v>2</v>
      </c>
      <c r="D37" s="23" cm="1">
        <f t="array" ref="D37">SUMPRODUCT(--($E$10:$E$31=D$35),$F$10:$F$31)</f>
        <v>1600</v>
      </c>
      <c r="E37" s="23" cm="1">
        <f t="array" ref="E37">SUMPRODUCT(--($E$10:$E$31=E$35),$F$10:$F$31)</f>
        <v>10</v>
      </c>
      <c r="F37" s="23" cm="1">
        <f t="array" ref="F37">SUMPRODUCT(--($E$10:$E$31=F$35),$F$10:$F$31)</f>
        <v>50</v>
      </c>
      <c r="G37" s="23" cm="1">
        <f t="array" ref="G37">SUMPRODUCT(--($E$10:$E$31=G$35),$F$10:$F$31)</f>
        <v>200</v>
      </c>
      <c r="H37" s="23" cm="1">
        <f t="array" ref="H37">SUMPRODUCT(--($E$10:$E$31=H$35),$F$10:$F$31)</f>
        <v>5</v>
      </c>
      <c r="I37" s="23" cm="1">
        <f t="array" ref="I37">SUMPRODUCT(--($E$10:$E$31=I$35),$F$10:$F$31)</f>
        <v>1</v>
      </c>
      <c r="J37" s="23" cm="1">
        <f t="array" ref="J37">SUMPRODUCT(--($E$10:$E$31=J$35),$F$10:$F$31)</f>
        <v>0</v>
      </c>
      <c r="K37" s="23" cm="1">
        <f t="array" ref="K37">SUMPRODUCT(--($E$10:$E$31=K$35),$F$10:$F$31)</f>
        <v>0</v>
      </c>
      <c r="L37" s="23" cm="1">
        <f t="array" ref="L37">SUMPRODUCT(--($E$10:$E$31=L$35),$F$10:$F$31)</f>
        <v>0</v>
      </c>
      <c r="M37" s="23" cm="1">
        <f t="array" ref="M37">SUMPRODUCT(--($E$10:$E$31=M$35),$F$10:$F$31)</f>
        <v>0</v>
      </c>
      <c r="N37" s="23" cm="1">
        <f t="array" ref="N37">SUMPRODUCT(--($E$10:$E$31=N$35),$F$10:$F$31)</f>
        <v>0</v>
      </c>
      <c r="O37" s="23" cm="1">
        <f t="array" ref="O37">SUMPRODUCT(--($E$10:$E$31=O$35),$F$10:$F$31)</f>
        <v>0</v>
      </c>
    </row>
    <row r="38" spans="2:15">
      <c r="B38" s="23" t="s">
        <v>307</v>
      </c>
      <c r="C38" s="23" cm="1">
        <f t="array" ref="C38">SUMPRODUCT(--($C$5:$F$5=C$35),$C$6:$F$6)</f>
        <v>10</v>
      </c>
      <c r="D38" s="23" cm="1">
        <f t="array" ref="D38">SUMPRODUCT(--($C$5:$F$5=D$35),$C$6:$F$6)</f>
        <v>0</v>
      </c>
      <c r="E38" s="23" cm="1">
        <f t="array" ref="E38">SUMPRODUCT(--($C$5:$F$5=E$35),$C$6:$F$6)</f>
        <v>0</v>
      </c>
      <c r="F38" s="23" cm="1">
        <f t="array" ref="F38">SUMPRODUCT(--($C$5:$F$5=F$35),$C$6:$F$6)</f>
        <v>0</v>
      </c>
      <c r="G38" s="23" cm="1">
        <f t="array" ref="G38">SUMPRODUCT(--($C$5:$F$5=G$35),$C$6:$F$6)</f>
        <v>0</v>
      </c>
      <c r="H38" s="23" cm="1">
        <f t="array" ref="H38">SUMPRODUCT(--($C$5:$F$5=H$35),$C$6:$F$6)</f>
        <v>0</v>
      </c>
      <c r="I38" s="23" cm="1">
        <f t="array" ref="I38">SUMPRODUCT(--($C$5:$F$5=I$35),$C$6:$F$6)</f>
        <v>0</v>
      </c>
      <c r="J38" s="23" cm="1">
        <f t="array" ref="J38">SUMPRODUCT(--($C$5:$F$5=J$35),$C$6:$F$6)</f>
        <v>0</v>
      </c>
      <c r="K38" s="23" cm="1">
        <f t="array" ref="K38">SUMPRODUCT(--($C$5:$F$5=K$35),$C$6:$F$6)</f>
        <v>30</v>
      </c>
      <c r="L38" s="23" cm="1">
        <f t="array" ref="L38">SUMPRODUCT(--($C$5:$F$5=L$35),$C$6:$F$6)</f>
        <v>0</v>
      </c>
      <c r="M38" s="23" cm="1">
        <f t="array" ref="M38">SUMPRODUCT(--($C$5:$F$5=M$35),$C$6:$F$6)</f>
        <v>0</v>
      </c>
      <c r="N38" s="23" cm="1">
        <f t="array" ref="N38">SUMPRODUCT(--($C$5:$F$5=N$35),$C$6:$F$6)</f>
        <v>2</v>
      </c>
      <c r="O38" s="23" cm="1">
        <f t="array" ref="O38">SUMPRODUCT(--($C$5:$F$5=O$35),$C$6:$F$6)</f>
        <v>1</v>
      </c>
    </row>
    <row r="39" spans="2:15">
      <c r="B39" s="23" t="s">
        <v>308</v>
      </c>
      <c r="C39" s="23" cm="1">
        <f t="array" ref="C39">SUMPRODUCT(--($L$10:$L$31=C$35),$M$10:$M$31)</f>
        <v>0</v>
      </c>
      <c r="D39" s="23" cm="1">
        <f t="array" ref="D39">SUMPRODUCT(--($L$10:$L$31=D$35),$M$10:$M$31)</f>
        <v>6000</v>
      </c>
      <c r="E39" s="23" cm="1">
        <f t="array" ref="E39">SUMPRODUCT(--($L$10:$L$31=E$35),$M$10:$M$31)</f>
        <v>50</v>
      </c>
      <c r="F39" s="23" cm="1">
        <f t="array" ref="F39">SUMPRODUCT(--($L$10:$L$31=F$35),$M$10:$M$31)</f>
        <v>150</v>
      </c>
      <c r="G39" s="23" cm="1">
        <f t="array" ref="G39">SUMPRODUCT(--($L$10:$L$31=G$35),$M$10:$M$31)</f>
        <v>0</v>
      </c>
      <c r="H39" s="23" cm="1">
        <f t="array" ref="H39">SUMPRODUCT(--($L$10:$L$31=H$35),$M$10:$M$31)</f>
        <v>10</v>
      </c>
      <c r="I39" s="23" cm="1">
        <f t="array" ref="I39">SUMPRODUCT(--($L$10:$L$31=I$35),$M$10:$M$31)</f>
        <v>0</v>
      </c>
      <c r="J39" s="23" cm="1">
        <f t="array" ref="J39">SUMPRODUCT(--($L$10:$L$31=J$35),$M$10:$M$31)</f>
        <v>200</v>
      </c>
      <c r="K39" s="23" cm="1">
        <f t="array" ref="K39">SUMPRODUCT(--($L$10:$L$31=K$35),$M$10:$M$31)</f>
        <v>30</v>
      </c>
      <c r="L39" s="23" cm="1">
        <f t="array" ref="L39">SUMPRODUCT(--($L$10:$L$31=L$35),$M$10:$M$31)</f>
        <v>0</v>
      </c>
      <c r="M39" s="23" cm="1">
        <f t="array" ref="M39">SUMPRODUCT(--($L$10:$L$31=M$35),$M$10:$M$31)</f>
        <v>0</v>
      </c>
      <c r="N39" s="23" cm="1">
        <f t="array" ref="N39">SUMPRODUCT(--($L$10:$L$31=N$35),$M$10:$M$31)</f>
        <v>0</v>
      </c>
      <c r="O39" s="23" cm="1">
        <f t="array" ref="O39">SUMPRODUCT(--($L$10:$L$31=O$35),$M$10:$M$31)</f>
        <v>0</v>
      </c>
    </row>
    <row r="40" spans="2:15">
      <c r="B40" s="23" t="s">
        <v>309</v>
      </c>
      <c r="C40" s="23" cm="1">
        <f t="array" ref="C40">SUMPRODUCT(--($J$5:$N$5=C$35),$J$6:$N$6)</f>
        <v>10</v>
      </c>
      <c r="D40" s="23" cm="1">
        <f t="array" ref="D40">SUMPRODUCT(--($J$5:$N$5=D$35),$J$6:$N$6)</f>
        <v>0</v>
      </c>
      <c r="E40" s="23" cm="1">
        <f t="array" ref="E40">SUMPRODUCT(--($J$5:$N$5=E$35),$J$6:$N$6)</f>
        <v>30</v>
      </c>
      <c r="F40" s="23" cm="1">
        <f t="array" ref="F40">SUMPRODUCT(--($J$5:$N$5=F$35),$J$6:$N$6)</f>
        <v>0</v>
      </c>
      <c r="G40" s="23" cm="1">
        <f t="array" ref="G40">SUMPRODUCT(--($J$5:$N$5=G$35),$J$6:$N$6)</f>
        <v>0</v>
      </c>
      <c r="H40" s="23" cm="1">
        <f t="array" ref="H40">SUMPRODUCT(--($J$5:$N$5=H$35),$J$6:$N$6)</f>
        <v>0</v>
      </c>
      <c r="I40" s="23" cm="1">
        <f t="array" ref="I40">SUMPRODUCT(--($J$5:$N$5=I$35),$J$6:$N$6)</f>
        <v>0</v>
      </c>
      <c r="J40" s="23" cm="1">
        <f t="array" ref="J40">SUMPRODUCT(--($J$5:$N$5=J$35),$J$6:$N$6)</f>
        <v>0</v>
      </c>
      <c r="K40" s="23" cm="1">
        <f t="array" ref="K40">SUMPRODUCT(--($J$5:$N$5=K$35),$J$6:$N$6)</f>
        <v>0</v>
      </c>
      <c r="L40" s="23" cm="1">
        <f t="array" ref="L40">SUMPRODUCT(--($J$5:$N$5=L$35),$J$6:$N$6)</f>
        <v>1</v>
      </c>
      <c r="M40" s="23" cm="1">
        <f t="array" ref="M40">SUMPRODUCT(--($J$5:$N$5=M$35),$J$6:$N$6)</f>
        <v>1</v>
      </c>
      <c r="N40" s="23" cm="1">
        <f t="array" ref="N40">SUMPRODUCT(--($J$5:$N$5=N$35),$J$6:$N$6)</f>
        <v>6</v>
      </c>
      <c r="O40" s="23" cm="1">
        <f t="array" ref="O40">SUMPRODUCT(--($J$5:$N$5=O$35),$J$6:$N$6)</f>
        <v>0</v>
      </c>
    </row>
  </sheetData>
  <dataValidations count="1">
    <dataValidation type="textLength" operator="between" allowBlank="1" showInputMessage="1" showErrorMessage="1" errorTitle="输入有误" error="文本内容大长(0 ~ 9999999999)" sqref="C10 C13 B10:B31 I10:I27">
      <formula1>0</formula1>
      <formula2>65535</formula2>
    </dataValidation>
  </dataValidations>
  <pageMargins left="0.75" right="0.75" top="1" bottom="1" header="0.5" footer="0.5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tabColor theme="4"/>
  </sheetPr>
  <dimension ref="B2:Y322"/>
  <sheetViews>
    <sheetView workbookViewId="0">
      <selection activeCell="AG65" sqref="AG65"/>
    </sheetView>
  </sheetViews>
  <sheetFormatPr defaultColWidth="9" defaultRowHeight="13.5"/>
  <cols>
    <col min="4" max="18" width="9" customWidth="1"/>
    <col min="21" max="22" width="12.625"/>
    <col min="25" max="25" width="9.375"/>
  </cols>
  <sheetData>
    <row r="2" ht="15" spans="2:25">
      <c r="B2" s="96" t="s">
        <v>310</v>
      </c>
      <c r="C2" s="96" t="s">
        <v>129</v>
      </c>
      <c r="D2" s="96" t="s">
        <v>128</v>
      </c>
      <c r="E2" s="96" t="s">
        <v>214</v>
      </c>
      <c r="F2" s="96" t="s">
        <v>311</v>
      </c>
      <c r="G2" s="96" t="s">
        <v>312</v>
      </c>
      <c r="H2" s="96" t="s">
        <v>313</v>
      </c>
      <c r="I2" s="96" t="s">
        <v>311</v>
      </c>
      <c r="J2" s="96" t="s">
        <v>129</v>
      </c>
      <c r="K2" s="96" t="s">
        <v>312</v>
      </c>
      <c r="L2" s="96" t="s">
        <v>203</v>
      </c>
      <c r="M2" s="96" t="s">
        <v>132</v>
      </c>
      <c r="N2" s="96" t="s">
        <v>238</v>
      </c>
    </row>
    <row r="3" ht="16.5" spans="2:25">
      <c r="B3" s="97" t="s">
        <v>53</v>
      </c>
      <c r="C3" s="97">
        <v>5</v>
      </c>
      <c r="D3" s="97">
        <v>10</v>
      </c>
      <c r="E3" s="97">
        <v>1</v>
      </c>
      <c r="F3" s="97">
        <v>100</v>
      </c>
      <c r="G3" s="97">
        <v>1</v>
      </c>
      <c r="H3" s="97">
        <v>1</v>
      </c>
      <c r="I3" s="97">
        <v>100</v>
      </c>
      <c r="J3" s="97">
        <v>50</v>
      </c>
      <c r="K3" s="97">
        <v>1</v>
      </c>
      <c r="L3" s="97">
        <v>1</v>
      </c>
      <c r="M3" s="97">
        <v>30</v>
      </c>
      <c r="N3" s="97">
        <v>1</v>
      </c>
    </row>
    <row r="4" ht="16.5" spans="2:25">
      <c r="B4" s="97" t="s">
        <v>247</v>
      </c>
      <c r="C4" s="97">
        <v>10</v>
      </c>
      <c r="D4" s="97">
        <v>10</v>
      </c>
      <c r="E4" s="97">
        <v>5</v>
      </c>
      <c r="F4" s="97">
        <v>10</v>
      </c>
      <c r="G4" s="97">
        <v>3</v>
      </c>
      <c r="H4" s="97">
        <v>1</v>
      </c>
      <c r="I4" s="97">
        <v>10</v>
      </c>
      <c r="J4" s="97">
        <v>5</v>
      </c>
      <c r="K4" s="97">
        <v>2</v>
      </c>
      <c r="L4" s="97">
        <v>5</v>
      </c>
      <c r="M4" s="97">
        <v>5</v>
      </c>
      <c r="N4" s="97">
        <v>1</v>
      </c>
    </row>
    <row r="5" ht="16.5" spans="2:25">
      <c r="B5" s="97" t="s">
        <v>22</v>
      </c>
      <c r="C5" s="97">
        <v>0.2</v>
      </c>
      <c r="D5" s="97">
        <v>0.2</v>
      </c>
      <c r="E5" s="97">
        <v>0.2</v>
      </c>
      <c r="F5" s="97">
        <v>0.2</v>
      </c>
      <c r="G5" s="97">
        <v>1.5</v>
      </c>
      <c r="H5" s="97">
        <v>4.3</v>
      </c>
      <c r="I5" s="97">
        <v>8.5</v>
      </c>
      <c r="J5" s="97">
        <v>13.5</v>
      </c>
      <c r="K5" s="97">
        <v>22.5</v>
      </c>
      <c r="L5" s="97">
        <v>39.9</v>
      </c>
      <c r="M5" s="97">
        <v>63.9</v>
      </c>
      <c r="N5" s="97">
        <v>130.3</v>
      </c>
    </row>
    <row r="8" ht="16.5" spans="2:25">
      <c r="D8" s="98">
        <f>_xlfn.XLOOKUP(D9,价值表!$D:$D,价值表!$F:$F)</f>
        <v>0.1</v>
      </c>
      <c r="E8" s="98">
        <f>_xlfn.XLOOKUP(E9,价值表!$D:$D,价值表!$F:$F)</f>
        <v>0.33</v>
      </c>
      <c r="F8" s="98">
        <f>_xlfn.XLOOKUP(F9,价值表!$D:$D,价值表!$F:$F)</f>
        <v>3</v>
      </c>
      <c r="G8" s="98">
        <f>_xlfn.XLOOKUP(G9,价值表!$D:$D,价值表!$F:$F)</f>
        <v>280</v>
      </c>
      <c r="H8" s="98">
        <f>_xlfn.XLOOKUP(H9,价值表!$D:$D,价值表!$F:$F)</f>
        <v>50</v>
      </c>
      <c r="I8" s="98">
        <f>_xlfn.XLOOKUP(I9,价值表!$D:$D,价值表!$F:$F)</f>
        <v>1</v>
      </c>
      <c r="J8" s="98">
        <f>_xlfn.XLOOKUP(J9,价值表!$D:$D,价值表!$F:$F)</f>
        <v>1</v>
      </c>
      <c r="K8" s="98">
        <f>_xlfn.XLOOKUP(K9,价值表!$D:$D,价值表!$F:$F)</f>
        <v>30</v>
      </c>
      <c r="L8" s="98">
        <f>_xlfn.XLOOKUP(L9,价值表!$D:$D,价值表!$F:$F)</f>
        <v>0.688</v>
      </c>
      <c r="M8" s="98">
        <f>_xlfn.XLOOKUP(M9,价值表!$D:$D,价值表!$F:$F)</f>
        <v>0.05</v>
      </c>
      <c r="N8" s="98">
        <f>_xlfn.XLOOKUP(N9,价值表!$D:$D,价值表!$F:$F)</f>
        <v>5</v>
      </c>
      <c r="O8" s="98">
        <f>_xlfn.XLOOKUP(O9,价值表!$D:$D,价值表!$F:$F)</f>
        <v>60</v>
      </c>
      <c r="P8" s="98"/>
      <c r="Q8" s="98"/>
    </row>
    <row r="9" ht="16.5" spans="2:25">
      <c r="B9" t="s">
        <v>314</v>
      </c>
      <c r="D9" s="99" t="s">
        <v>315</v>
      </c>
      <c r="E9" s="99" t="s">
        <v>316</v>
      </c>
      <c r="F9" s="99" t="s">
        <v>129</v>
      </c>
      <c r="G9" s="99" t="s">
        <v>238</v>
      </c>
      <c r="H9" s="99" t="s">
        <v>203</v>
      </c>
      <c r="I9" s="99" t="s">
        <v>128</v>
      </c>
      <c r="J9" s="99" t="s">
        <v>202</v>
      </c>
      <c r="K9" s="99" t="s">
        <v>130</v>
      </c>
      <c r="L9" s="99" t="s">
        <v>317</v>
      </c>
      <c r="M9" s="99" t="s">
        <v>96</v>
      </c>
      <c r="N9" s="99" t="s">
        <v>214</v>
      </c>
      <c r="O9" s="99" t="s">
        <v>250</v>
      </c>
      <c r="P9" s="99" t="s">
        <v>318</v>
      </c>
      <c r="Q9" s="99" t="s">
        <v>319</v>
      </c>
      <c r="X9" s="100" t="s">
        <v>21</v>
      </c>
      <c r="Y9" s="100" t="s">
        <v>316</v>
      </c>
    </row>
    <row r="10" ht="16.5" spans="2:25">
      <c r="B10" s="99" t="s">
        <v>320</v>
      </c>
      <c r="C10" s="99" t="s">
        <v>231</v>
      </c>
      <c r="D10" s="99" t="s">
        <v>315</v>
      </c>
      <c r="E10" s="99" t="s">
        <v>316</v>
      </c>
      <c r="F10" s="99" t="s">
        <v>129</v>
      </c>
      <c r="G10" s="99" t="s">
        <v>238</v>
      </c>
      <c r="H10" s="99" t="s">
        <v>203</v>
      </c>
      <c r="I10" s="99" t="s">
        <v>128</v>
      </c>
      <c r="J10" s="99" t="s">
        <v>202</v>
      </c>
      <c r="K10" s="99" t="s">
        <v>130</v>
      </c>
      <c r="L10" s="99" t="s">
        <v>317</v>
      </c>
      <c r="M10" s="99" t="s">
        <v>96</v>
      </c>
      <c r="N10" s="99" t="s">
        <v>214</v>
      </c>
      <c r="O10" s="99" t="s">
        <v>250</v>
      </c>
      <c r="P10" s="99" t="s">
        <v>318</v>
      </c>
      <c r="Q10" s="99" t="s">
        <v>319</v>
      </c>
      <c r="R10" s="101" t="s">
        <v>230</v>
      </c>
      <c r="S10" s="101" t="s">
        <v>321</v>
      </c>
      <c r="T10" s="101" t="s">
        <v>322</v>
      </c>
      <c r="U10" s="101" t="s">
        <v>323</v>
      </c>
      <c r="X10" s="102">
        <v>0.2</v>
      </c>
      <c r="Y10" s="103">
        <v>1200.096</v>
      </c>
    </row>
    <row r="11" ht="17" customHeight="1" spans="2:25">
      <c r="B11" s="23" t="s">
        <v>53</v>
      </c>
      <c r="D11" s="98">
        <f>SUM(D12:D19)</f>
        <v>2000</v>
      </c>
      <c r="E11" s="98">
        <f>SUM(E12:E19)+I3*I4+1200</f>
        <v>3600</v>
      </c>
      <c r="F11" s="98">
        <f>SUM(F12:F19)+C3*C4+J3*J4</f>
        <v>800</v>
      </c>
      <c r="G11" s="98">
        <f t="shared" ref="D11:Q11" si="0">SUM(G12:G19)</f>
        <v>2</v>
      </c>
      <c r="H11" s="98">
        <f t="shared" si="0"/>
        <v>4</v>
      </c>
      <c r="I11" s="98">
        <f t="shared" si="0"/>
        <v>800</v>
      </c>
      <c r="J11" s="98">
        <f t="shared" si="0"/>
        <v>100</v>
      </c>
      <c r="K11" s="98">
        <f t="shared" si="0"/>
        <v>20</v>
      </c>
      <c r="L11" s="98">
        <f t="shared" si="0"/>
        <v>150</v>
      </c>
      <c r="M11" s="98">
        <f t="shared" si="0"/>
        <v>8000</v>
      </c>
      <c r="N11" s="98">
        <f t="shared" si="0"/>
        <v>20</v>
      </c>
      <c r="O11" s="98">
        <f t="shared" si="0"/>
        <v>24</v>
      </c>
      <c r="P11" s="98">
        <f t="shared" si="0"/>
        <v>3</v>
      </c>
      <c r="Q11" s="98">
        <f t="shared" si="0"/>
        <v>1</v>
      </c>
      <c r="R11" s="48" cm="1">
        <f t="array" ref="R11">SUMPRODUCT(D11:Q11,D$8:Q$8)</f>
        <v>8091.2</v>
      </c>
      <c r="U11" s="23">
        <f>SUM(U12:U19)</f>
        <v>2766.62857142857</v>
      </c>
      <c r="X11" s="102">
        <v>0.7</v>
      </c>
      <c r="Y11" s="102">
        <v>1241.424</v>
      </c>
    </row>
    <row r="12" ht="16.5" spans="2:25">
      <c r="B12" s="98" t="s">
        <v>324</v>
      </c>
      <c r="C12" s="98" t="s">
        <v>325</v>
      </c>
      <c r="D12" s="98">
        <v>1600</v>
      </c>
      <c r="E12" s="98">
        <v>1200</v>
      </c>
      <c r="F12" s="98">
        <v>100</v>
      </c>
      <c r="G12" s="98"/>
      <c r="H12" s="98"/>
      <c r="I12" s="98"/>
      <c r="J12" s="98"/>
      <c r="K12" s="98"/>
      <c r="L12" s="98"/>
      <c r="M12" s="98"/>
      <c r="N12" s="98">
        <v>10</v>
      </c>
      <c r="O12" s="98"/>
      <c r="P12" s="98">
        <v>1</v>
      </c>
      <c r="Q12" s="98">
        <v>1</v>
      </c>
      <c r="R12" s="48" cm="1">
        <f t="array" ref="R12">SUMPRODUCT(D12:Q12,D$8:Q$8)</f>
        <v>906</v>
      </c>
      <c r="S12" s="23">
        <v>5</v>
      </c>
      <c r="T12" s="23">
        <f t="shared" ref="T12:T19" si="1">R12/S12</f>
        <v>181.2</v>
      </c>
      <c r="U12" s="23">
        <f>R12*V12</f>
        <v>906</v>
      </c>
      <c r="V12">
        <v>1</v>
      </c>
      <c r="X12" s="102">
        <v>1.5</v>
      </c>
      <c r="Y12" s="102">
        <v>1282.896</v>
      </c>
    </row>
    <row r="13" ht="16.5" spans="2:25">
      <c r="B13" s="98"/>
      <c r="C13" s="98" t="s">
        <v>326</v>
      </c>
      <c r="D13" s="98">
        <v>250</v>
      </c>
      <c r="E13" s="98">
        <v>200</v>
      </c>
      <c r="F13" s="98">
        <v>50</v>
      </c>
      <c r="G13" s="98"/>
      <c r="H13" s="98"/>
      <c r="I13" s="98">
        <v>200</v>
      </c>
      <c r="J13" s="98"/>
      <c r="L13" s="23"/>
      <c r="P13" s="23"/>
      <c r="R13" s="48" cm="1">
        <f t="array" ref="R13">SUMPRODUCT(D13:Q13,D$8:Q$8)</f>
        <v>441</v>
      </c>
      <c r="S13" s="23">
        <v>50</v>
      </c>
      <c r="T13" s="23">
        <f t="shared" si="1"/>
        <v>8.82</v>
      </c>
      <c r="U13" s="23">
        <f>R13*V13</f>
        <v>441</v>
      </c>
      <c r="V13">
        <v>1</v>
      </c>
      <c r="X13" s="102">
        <v>2.5</v>
      </c>
      <c r="Y13" s="102">
        <v>1324.224</v>
      </c>
    </row>
    <row r="14" ht="16.5" spans="2:25">
      <c r="B14" s="98" t="s">
        <v>327</v>
      </c>
      <c r="C14" s="98" t="s">
        <v>328</v>
      </c>
      <c r="D14" s="98">
        <v>150</v>
      </c>
      <c r="E14" s="98"/>
      <c r="F14" s="98">
        <v>50</v>
      </c>
      <c r="G14" s="98"/>
      <c r="H14" s="98">
        <v>2</v>
      </c>
      <c r="I14" s="98">
        <v>200</v>
      </c>
      <c r="J14" s="98"/>
      <c r="L14" s="23">
        <v>50</v>
      </c>
      <c r="M14" s="23">
        <v>1000</v>
      </c>
      <c r="P14" s="23">
        <v>2</v>
      </c>
      <c r="R14" s="48" cm="1">
        <f t="array" ref="R14">SUMPRODUCT(D14:Q14,D$8:Q$8)</f>
        <v>549.4</v>
      </c>
      <c r="S14" s="23">
        <v>200</v>
      </c>
      <c r="T14" s="23">
        <f t="shared" si="1"/>
        <v>2.747</v>
      </c>
      <c r="U14" s="23">
        <f>R14*V14</f>
        <v>549.4</v>
      </c>
      <c r="V14">
        <v>1</v>
      </c>
      <c r="X14" s="102">
        <v>4.3</v>
      </c>
      <c r="Y14" s="102">
        <v>1365.552</v>
      </c>
    </row>
    <row r="15" ht="16.5" spans="2:25">
      <c r="C15" s="98" t="s">
        <v>329</v>
      </c>
      <c r="D15" s="98"/>
      <c r="E15" s="98"/>
      <c r="F15" s="98"/>
      <c r="G15" s="98">
        <v>1</v>
      </c>
      <c r="H15" s="98">
        <v>2</v>
      </c>
      <c r="I15" s="98"/>
      <c r="J15" s="98"/>
      <c r="K15" s="23"/>
      <c r="R15" s="48" cm="1">
        <f t="array" ref="R15">SUMPRODUCT(D15:Q15,D$8:Q$8)</f>
        <v>380</v>
      </c>
      <c r="S15" s="23">
        <v>1</v>
      </c>
      <c r="T15" s="23">
        <f t="shared" si="1"/>
        <v>380</v>
      </c>
      <c r="U15" s="23">
        <f t="shared" ref="U12:U19" si="2">R15*V15</f>
        <v>190</v>
      </c>
      <c r="V15">
        <v>0.5</v>
      </c>
      <c r="X15" s="102">
        <v>6.3</v>
      </c>
      <c r="Y15" s="102">
        <v>1407.024</v>
      </c>
    </row>
    <row r="16" ht="16.5" spans="2:25">
      <c r="B16" s="98" t="s">
        <v>330</v>
      </c>
      <c r="C16" s="98" t="s">
        <v>331</v>
      </c>
      <c r="D16" s="98"/>
      <c r="E16" s="98"/>
      <c r="F16" s="98"/>
      <c r="G16" s="98"/>
      <c r="H16" s="98"/>
      <c r="I16" s="98">
        <v>100</v>
      </c>
      <c r="J16" s="98"/>
      <c r="K16" s="98">
        <v>10</v>
      </c>
      <c r="L16" s="98"/>
      <c r="M16" s="98"/>
      <c r="N16" s="98"/>
      <c r="O16" s="98"/>
      <c r="P16" s="98"/>
      <c r="Q16" s="98"/>
      <c r="R16" s="48" cm="1">
        <f t="array" ref="R16">SUMPRODUCT(D16:Q16,D$8:Q$8)</f>
        <v>400</v>
      </c>
      <c r="S16" s="23">
        <v>1</v>
      </c>
      <c r="T16" s="23">
        <f t="shared" si="1"/>
        <v>400</v>
      </c>
      <c r="U16" s="23">
        <f t="shared" si="2"/>
        <v>80</v>
      </c>
      <c r="V16">
        <v>0.2</v>
      </c>
      <c r="X16" s="102">
        <v>8.5</v>
      </c>
      <c r="Y16" s="102">
        <v>1448.352</v>
      </c>
    </row>
    <row r="17" ht="16.5" spans="2:25">
      <c r="B17" s="98"/>
      <c r="C17" s="98" t="s">
        <v>332</v>
      </c>
      <c r="D17" s="98"/>
      <c r="E17" s="98"/>
      <c r="F17" s="98"/>
      <c r="G17" s="98"/>
      <c r="H17" s="98"/>
      <c r="I17" s="98"/>
      <c r="J17" s="98"/>
      <c r="K17" s="98"/>
      <c r="L17" s="98">
        <v>100</v>
      </c>
      <c r="M17" s="98"/>
      <c r="N17" s="98"/>
      <c r="O17" s="98"/>
      <c r="P17" s="98"/>
      <c r="Q17" s="98"/>
      <c r="R17" s="48" cm="1">
        <f t="array" ref="R17">SUMPRODUCT(D17:Q17,D$8:Q$8)</f>
        <v>68.8</v>
      </c>
      <c r="S17" s="23">
        <v>10</v>
      </c>
      <c r="T17" s="23">
        <f t="shared" si="1"/>
        <v>6.88</v>
      </c>
      <c r="U17" s="23">
        <f t="shared" si="2"/>
        <v>68.8</v>
      </c>
      <c r="V17">
        <v>1</v>
      </c>
      <c r="X17" s="102">
        <v>10.9</v>
      </c>
      <c r="Y17" s="102">
        <v>1489.824</v>
      </c>
    </row>
    <row r="18" ht="16.5" spans="2:25">
      <c r="B18" s="98" t="s">
        <v>333</v>
      </c>
      <c r="C18" s="98" t="s">
        <v>334</v>
      </c>
      <c r="D18" s="98"/>
      <c r="E18" s="98"/>
      <c r="F18" s="98">
        <v>300</v>
      </c>
      <c r="G18" s="98"/>
      <c r="H18" s="98"/>
      <c r="I18" s="98"/>
      <c r="J18" s="98">
        <v>100</v>
      </c>
      <c r="K18" s="98"/>
      <c r="L18" s="98"/>
      <c r="M18" s="98">
        <v>2000</v>
      </c>
      <c r="N18" s="98">
        <v>10</v>
      </c>
      <c r="O18" s="98"/>
      <c r="P18" s="98"/>
      <c r="Q18" s="98"/>
      <c r="R18" s="48" cm="1">
        <f t="array" ref="R18">SUMPRODUCT(D18:Q18,D$8:Q$8)</f>
        <v>1150</v>
      </c>
      <c r="S18" s="23">
        <v>1</v>
      </c>
      <c r="T18" s="23">
        <f t="shared" si="1"/>
        <v>1150</v>
      </c>
      <c r="U18" s="23">
        <f t="shared" si="2"/>
        <v>164.285714285714</v>
      </c>
      <c r="V18">
        <f>1/7</f>
        <v>0.142857142857143</v>
      </c>
      <c r="X18" s="102">
        <v>13.5</v>
      </c>
      <c r="Y18" s="102">
        <v>1531.152</v>
      </c>
    </row>
    <row r="19" ht="16.5" spans="2:25">
      <c r="C19" s="98" t="s">
        <v>335</v>
      </c>
      <c r="D19" s="98"/>
      <c r="E19" s="98"/>
      <c r="F19" s="98"/>
      <c r="G19" s="98">
        <v>1</v>
      </c>
      <c r="H19" s="98"/>
      <c r="I19" s="98">
        <v>300</v>
      </c>
      <c r="J19" s="98"/>
      <c r="K19" s="98">
        <v>10</v>
      </c>
      <c r="L19" s="98"/>
      <c r="M19" s="98">
        <v>5000</v>
      </c>
      <c r="N19" s="98"/>
      <c r="O19" s="98">
        <v>24</v>
      </c>
      <c r="P19" s="98"/>
      <c r="Q19" s="98"/>
      <c r="R19" s="48" cm="1">
        <f t="array" ref="R19">SUMPRODUCT(D19:Q19,D$8:Q$8)</f>
        <v>2570</v>
      </c>
      <c r="S19" s="23">
        <v>1</v>
      </c>
      <c r="T19" s="23">
        <f t="shared" si="1"/>
        <v>2570</v>
      </c>
      <c r="U19" s="23">
        <f t="shared" si="2"/>
        <v>367.142857142857</v>
      </c>
      <c r="V19">
        <f>1/7</f>
        <v>0.142857142857143</v>
      </c>
      <c r="X19" s="102">
        <v>16.3</v>
      </c>
      <c r="Y19" s="102">
        <v>1572.48</v>
      </c>
    </row>
    <row r="20" ht="16.5" spans="2:25"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X20" s="102">
        <v>19.3</v>
      </c>
      <c r="Y20" s="102">
        <v>1613.952</v>
      </c>
    </row>
    <row r="21" spans="2:25">
      <c r="X21" s="102">
        <v>22.5</v>
      </c>
      <c r="Y21" s="102">
        <v>1655.28</v>
      </c>
    </row>
    <row r="22" ht="15" spans="2:25">
      <c r="B22" s="96" t="s">
        <v>320</v>
      </c>
      <c r="C22" s="96" t="s">
        <v>231</v>
      </c>
      <c r="D22" s="96" t="s">
        <v>315</v>
      </c>
      <c r="E22" s="96" t="s">
        <v>316</v>
      </c>
      <c r="F22" s="96" t="s">
        <v>129</v>
      </c>
      <c r="G22" s="96" t="s">
        <v>238</v>
      </c>
      <c r="H22" s="96" t="s">
        <v>203</v>
      </c>
      <c r="I22" s="96" t="s">
        <v>128</v>
      </c>
      <c r="J22" s="96" t="s">
        <v>202</v>
      </c>
      <c r="K22" s="96" t="s">
        <v>130</v>
      </c>
      <c r="L22" s="96" t="s">
        <v>317</v>
      </c>
      <c r="M22" s="96" t="s">
        <v>96</v>
      </c>
      <c r="N22" s="96" t="s">
        <v>214</v>
      </c>
      <c r="O22" s="96" t="s">
        <v>250</v>
      </c>
      <c r="P22" s="96" t="s">
        <v>318</v>
      </c>
      <c r="Q22" s="96" t="s">
        <v>319</v>
      </c>
      <c r="R22" s="100" t="s">
        <v>230</v>
      </c>
      <c r="S22" s="100" t="s">
        <v>321</v>
      </c>
      <c r="T22" s="100" t="s">
        <v>322</v>
      </c>
      <c r="U22" s="100" t="s">
        <v>323</v>
      </c>
      <c r="X22" s="102">
        <v>25.9</v>
      </c>
      <c r="Y22" s="102">
        <v>1696.752</v>
      </c>
    </row>
    <row r="23" ht="16.5" spans="2:25">
      <c r="B23" s="104">
        <v>1</v>
      </c>
      <c r="C23" s="105"/>
      <c r="D23" s="106"/>
      <c r="E23" s="106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107"/>
      <c r="S23" s="105"/>
      <c r="T23" s="105"/>
      <c r="U23" s="103"/>
      <c r="X23" s="102">
        <v>32.7</v>
      </c>
      <c r="Y23" s="102">
        <v>1738.08</v>
      </c>
    </row>
    <row r="24" ht="16.5" spans="2:25">
      <c r="B24" s="105">
        <v>2</v>
      </c>
      <c r="C24" s="23"/>
      <c r="D24" s="106"/>
      <c r="E24" s="48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48"/>
      <c r="S24" s="23"/>
      <c r="T24" s="23"/>
      <c r="U24" s="23"/>
      <c r="X24" s="102">
        <v>39.9</v>
      </c>
      <c r="Y24" s="102">
        <v>1779.408</v>
      </c>
    </row>
    <row r="25" ht="16.5" spans="2:25">
      <c r="B25" s="104">
        <v>3</v>
      </c>
      <c r="C25" s="23"/>
      <c r="D25" s="106">
        <f>$D$12+$D$13+$D$14</f>
        <v>2000</v>
      </c>
      <c r="E25" s="25">
        <f ca="1">$E$12+$E$13+$F$3*$F$4+IF(B25&gt;$I$5+3,$I$3*$I$4,0)+OFFSET($Y$9,MATCH(B25,$X$10:$X$39,1),0)</f>
        <v>3724.224</v>
      </c>
      <c r="F25" s="24">
        <f>$F$12+$F$13+$F$14+$F$18/7+$C$3*$C$4+IF(B25&gt;$J$5+3,$J$3*$J$4,0)</f>
        <v>292.857142857143</v>
      </c>
      <c r="G25" s="23">
        <f>($G$15+$G$19/2/5)/3</f>
        <v>0.366666666666667</v>
      </c>
      <c r="H25" s="23">
        <f>$H$14+$H$15/3</f>
        <v>2.66666666666667</v>
      </c>
      <c r="I25" s="108">
        <f>$I$13+$I$14+$I$16/3+$I$19/7/5</f>
        <v>441.904761904762</v>
      </c>
      <c r="J25" s="23">
        <f>$J$18/7</f>
        <v>14.2857142857143</v>
      </c>
      <c r="K25" s="23">
        <f>$K$16/3+$K$19/7/5</f>
        <v>3.61904761904762</v>
      </c>
      <c r="L25" s="23"/>
      <c r="M25" s="23">
        <f>($M$18+$M$19/5)/7+$M$14</f>
        <v>1428.57142857143</v>
      </c>
      <c r="N25" s="23">
        <f>$N$12+$N$18/7</f>
        <v>11.4285714285714</v>
      </c>
      <c r="O25" s="23">
        <f>$O$19/7/5</f>
        <v>0.685714285714286</v>
      </c>
      <c r="P25" s="23"/>
      <c r="Q25" s="23"/>
      <c r="R25" s="48" cm="1">
        <f ca="1" t="array" ref="R25">SUMPRODUCT(D25:O25,$D$8:$O$8)</f>
        <v>3278.04153904762</v>
      </c>
      <c r="S25" s="23"/>
      <c r="T25" s="23"/>
      <c r="U25" s="23"/>
      <c r="X25" s="102">
        <v>47.5</v>
      </c>
      <c r="Y25" s="102">
        <v>1820.88</v>
      </c>
    </row>
    <row r="26" ht="16.5" spans="2:25">
      <c r="B26" s="105">
        <v>4</v>
      </c>
      <c r="C26" s="23"/>
      <c r="D26" s="106">
        <f t="shared" ref="D24:D87" si="3">$D$12+$D$13+$D$14</f>
        <v>2000</v>
      </c>
      <c r="E26" s="25">
        <f ca="1" t="shared" ref="E26:E89" si="4">$E$12+$E$13+$F$3*$F$4+IF(B26&gt;$I$5+3,$I$3*$I$4,0)+OFFSET($Y$9,MATCH(B26,$X$10:$X$39,1),0)</f>
        <v>3724.224</v>
      </c>
      <c r="F26" s="24">
        <f t="shared" ref="F26:F89" si="5">$F$12+$F$13+$F$14+$F$18/7+$C$3*$C$4+IF(B26&gt;$J$5+3,$J$3*$J$4,0)</f>
        <v>292.857142857143</v>
      </c>
      <c r="G26" s="23">
        <f t="shared" ref="G26:G89" si="6">($G$15+$G$19/2/5)/3</f>
        <v>0.366666666666667</v>
      </c>
      <c r="H26" s="23">
        <f>$H$14+$H$15/3</f>
        <v>2.66666666666667</v>
      </c>
      <c r="I26" s="108">
        <f t="shared" ref="I26:I89" si="7">$I$13+$I$14+$I$16/3+$I$19/7/5</f>
        <v>441.904761904762</v>
      </c>
      <c r="J26" s="23">
        <f>$J$18/7</f>
        <v>14.2857142857143</v>
      </c>
      <c r="K26" s="23">
        <f t="shared" ref="K26:K89" si="8">$K$16/3+$K$19/7/5</f>
        <v>3.61904761904762</v>
      </c>
      <c r="L26" s="23"/>
      <c r="M26" s="23">
        <f t="shared" ref="M26:M89" si="9">($M$18+$M$19/5)/7+$M$14</f>
        <v>1428.57142857143</v>
      </c>
      <c r="N26" s="23">
        <f>$N$12+$N$18/7</f>
        <v>11.4285714285714</v>
      </c>
      <c r="O26" s="23">
        <f t="shared" ref="O26:O89" si="10">$O$19/7/5</f>
        <v>0.685714285714286</v>
      </c>
      <c r="P26" s="23"/>
      <c r="Q26" s="23"/>
      <c r="R26" s="48" cm="1">
        <f ca="1" t="array" ref="R26">SUMPRODUCT(D26:O26,$D$8:$O$8)</f>
        <v>3278.04153904762</v>
      </c>
      <c r="S26" s="23"/>
      <c r="T26" s="23"/>
      <c r="U26" s="23"/>
      <c r="X26" s="102">
        <v>55.5</v>
      </c>
      <c r="Y26" s="102">
        <v>1862.208</v>
      </c>
    </row>
    <row r="27" ht="16.5" spans="2:25">
      <c r="B27" s="104">
        <v>5</v>
      </c>
      <c r="C27" s="23"/>
      <c r="D27" s="106">
        <f t="shared" si="3"/>
        <v>2000</v>
      </c>
      <c r="E27" s="25">
        <f ca="1" t="shared" si="4"/>
        <v>3765.552</v>
      </c>
      <c r="F27" s="24">
        <f t="shared" si="5"/>
        <v>292.857142857143</v>
      </c>
      <c r="G27" s="23">
        <f t="shared" si="6"/>
        <v>0.366666666666667</v>
      </c>
      <c r="H27" s="23">
        <f t="shared" ref="H27:H90" si="11">$H$14+$H$15/3</f>
        <v>2.66666666666667</v>
      </c>
      <c r="I27" s="108">
        <f t="shared" si="7"/>
        <v>441.904761904762</v>
      </c>
      <c r="J27" s="23">
        <f t="shared" ref="J27:J90" si="12">$J$18/7</f>
        <v>14.2857142857143</v>
      </c>
      <c r="K27" s="23">
        <f t="shared" si="8"/>
        <v>3.61904761904762</v>
      </c>
      <c r="L27" s="23"/>
      <c r="M27" s="23">
        <f t="shared" si="9"/>
        <v>1428.57142857143</v>
      </c>
      <c r="N27" s="23">
        <f t="shared" ref="N27:N90" si="13">$N$12+$N$18/7</f>
        <v>11.4285714285714</v>
      </c>
      <c r="O27" s="23">
        <f t="shared" si="10"/>
        <v>0.685714285714286</v>
      </c>
      <c r="P27" s="23"/>
      <c r="Q27" s="23"/>
      <c r="R27" s="48" cm="1">
        <f ca="1" t="array" ref="R27">SUMPRODUCT(D27:O27,$D$8:$O$8)</f>
        <v>3291.67977904762</v>
      </c>
      <c r="S27" s="23"/>
      <c r="T27" s="23"/>
      <c r="U27" s="23"/>
      <c r="X27" s="102">
        <v>63.9</v>
      </c>
      <c r="Y27" s="102">
        <v>1903.536</v>
      </c>
    </row>
    <row r="28" ht="16.5" spans="2:25">
      <c r="B28" s="105">
        <v>6</v>
      </c>
      <c r="C28" s="23"/>
      <c r="D28" s="106">
        <f t="shared" si="3"/>
        <v>2000</v>
      </c>
      <c r="E28" s="25">
        <f ca="1" t="shared" si="4"/>
        <v>3765.552</v>
      </c>
      <c r="F28" s="24">
        <f t="shared" si="5"/>
        <v>292.857142857143</v>
      </c>
      <c r="G28" s="23">
        <f t="shared" si="6"/>
        <v>0.366666666666667</v>
      </c>
      <c r="H28" s="23">
        <f t="shared" si="11"/>
        <v>2.66666666666667</v>
      </c>
      <c r="I28" s="108">
        <f t="shared" si="7"/>
        <v>441.904761904762</v>
      </c>
      <c r="J28" s="23">
        <f t="shared" si="12"/>
        <v>14.2857142857143</v>
      </c>
      <c r="K28" s="23">
        <f t="shared" si="8"/>
        <v>3.61904761904762</v>
      </c>
      <c r="L28" s="23"/>
      <c r="M28" s="23">
        <f t="shared" si="9"/>
        <v>1428.57142857143</v>
      </c>
      <c r="N28" s="23">
        <f t="shared" si="13"/>
        <v>11.4285714285714</v>
      </c>
      <c r="O28" s="23">
        <f t="shared" si="10"/>
        <v>0.685714285714286</v>
      </c>
      <c r="P28" s="23"/>
      <c r="Q28" s="23"/>
      <c r="R28" s="48" cm="1">
        <f ca="1" t="array" ref="R28">SUMPRODUCT(D28:O28,$D$8:$O$8)</f>
        <v>3291.67977904762</v>
      </c>
      <c r="S28" s="23"/>
      <c r="T28" s="23"/>
      <c r="U28" s="23"/>
      <c r="X28" s="102">
        <v>72.7</v>
      </c>
      <c r="Y28" s="102">
        <v>1945.008</v>
      </c>
    </row>
    <row r="29" ht="16.5" spans="2:25">
      <c r="B29" s="104">
        <v>7</v>
      </c>
      <c r="C29" s="23"/>
      <c r="D29" s="106">
        <f t="shared" si="3"/>
        <v>2000</v>
      </c>
      <c r="E29" s="25">
        <f ca="1" t="shared" si="4"/>
        <v>3807.024</v>
      </c>
      <c r="F29" s="24">
        <f t="shared" si="5"/>
        <v>292.857142857143</v>
      </c>
      <c r="G29" s="23">
        <f t="shared" si="6"/>
        <v>0.366666666666667</v>
      </c>
      <c r="H29" s="23">
        <f t="shared" si="11"/>
        <v>2.66666666666667</v>
      </c>
      <c r="I29" s="108">
        <f t="shared" si="7"/>
        <v>441.904761904762</v>
      </c>
      <c r="J29" s="23">
        <f t="shared" si="12"/>
        <v>14.2857142857143</v>
      </c>
      <c r="K29" s="23">
        <f t="shared" si="8"/>
        <v>3.61904761904762</v>
      </c>
      <c r="L29" s="23"/>
      <c r="M29" s="23">
        <f t="shared" si="9"/>
        <v>1428.57142857143</v>
      </c>
      <c r="N29" s="23">
        <f t="shared" si="13"/>
        <v>11.4285714285714</v>
      </c>
      <c r="O29" s="23">
        <f t="shared" si="10"/>
        <v>0.685714285714286</v>
      </c>
      <c r="P29" s="23"/>
      <c r="Q29" s="23"/>
      <c r="R29" s="48" cm="1">
        <f ca="1" t="array" ref="R29">SUMPRODUCT(D29:O29,$D$8:$O$8)</f>
        <v>3305.36553904762</v>
      </c>
      <c r="S29" s="23"/>
      <c r="T29" s="23"/>
      <c r="U29" s="23"/>
      <c r="X29" s="102">
        <v>85.9</v>
      </c>
      <c r="Y29" s="102">
        <v>1986.336</v>
      </c>
    </row>
    <row r="30" ht="16.5" spans="2:25">
      <c r="B30" s="105">
        <v>8</v>
      </c>
      <c r="C30" s="23"/>
      <c r="D30" s="106">
        <f t="shared" si="3"/>
        <v>2000</v>
      </c>
      <c r="E30" s="25">
        <f ca="1" t="shared" si="4"/>
        <v>3807.024</v>
      </c>
      <c r="F30" s="24">
        <f t="shared" si="5"/>
        <v>292.857142857143</v>
      </c>
      <c r="G30" s="23">
        <f t="shared" si="6"/>
        <v>0.366666666666667</v>
      </c>
      <c r="H30" s="23">
        <f t="shared" si="11"/>
        <v>2.66666666666667</v>
      </c>
      <c r="I30" s="108">
        <f t="shared" si="7"/>
        <v>441.904761904762</v>
      </c>
      <c r="J30" s="23">
        <f t="shared" si="12"/>
        <v>14.2857142857143</v>
      </c>
      <c r="K30" s="23">
        <f t="shared" si="8"/>
        <v>3.61904761904762</v>
      </c>
      <c r="L30" s="23"/>
      <c r="M30" s="23">
        <f t="shared" si="9"/>
        <v>1428.57142857143</v>
      </c>
      <c r="N30" s="23">
        <f t="shared" si="13"/>
        <v>11.4285714285714</v>
      </c>
      <c r="O30" s="23">
        <f t="shared" si="10"/>
        <v>0.685714285714286</v>
      </c>
      <c r="P30" s="23"/>
      <c r="Q30" s="23"/>
      <c r="R30" s="48" cm="1">
        <f ca="1" t="array" ref="R30">SUMPRODUCT(D30:O30,$D$8:$O$8)</f>
        <v>3305.36553904762</v>
      </c>
      <c r="S30" s="23"/>
      <c r="T30" s="23"/>
      <c r="U30" s="23"/>
      <c r="X30" s="102">
        <v>99.9</v>
      </c>
      <c r="Y30" s="102">
        <v>2027.808</v>
      </c>
    </row>
    <row r="31" ht="16.5" spans="2:25">
      <c r="B31" s="104">
        <v>9</v>
      </c>
      <c r="C31" s="23"/>
      <c r="D31" s="106">
        <f t="shared" si="3"/>
        <v>2000</v>
      </c>
      <c r="E31" s="25">
        <f ca="1" t="shared" si="4"/>
        <v>3848.352</v>
      </c>
      <c r="F31" s="24">
        <f t="shared" si="5"/>
        <v>292.857142857143</v>
      </c>
      <c r="G31" s="23">
        <f t="shared" si="6"/>
        <v>0.366666666666667</v>
      </c>
      <c r="H31" s="23">
        <f t="shared" si="11"/>
        <v>2.66666666666667</v>
      </c>
      <c r="I31" s="108">
        <f t="shared" si="7"/>
        <v>441.904761904762</v>
      </c>
      <c r="J31" s="23">
        <f t="shared" si="12"/>
        <v>14.2857142857143</v>
      </c>
      <c r="K31" s="23">
        <f t="shared" si="8"/>
        <v>3.61904761904762</v>
      </c>
      <c r="L31" s="23"/>
      <c r="M31" s="23">
        <f t="shared" si="9"/>
        <v>1428.57142857143</v>
      </c>
      <c r="N31" s="23">
        <f t="shared" si="13"/>
        <v>11.4285714285714</v>
      </c>
      <c r="O31" s="23">
        <f t="shared" si="10"/>
        <v>0.685714285714286</v>
      </c>
      <c r="P31" s="23"/>
      <c r="Q31" s="23"/>
      <c r="R31" s="48" cm="1">
        <f ca="1" t="array" ref="R31">SUMPRODUCT(D31:O31,$D$8:$O$8)</f>
        <v>3319.00377904762</v>
      </c>
      <c r="S31" s="23"/>
      <c r="T31" s="23"/>
      <c r="U31" s="23"/>
      <c r="X31" s="102">
        <v>114.7</v>
      </c>
      <c r="Y31" s="102">
        <v>2069.136</v>
      </c>
    </row>
    <row r="32" ht="16.5" spans="2:25">
      <c r="B32" s="105">
        <v>10</v>
      </c>
      <c r="C32" s="23"/>
      <c r="D32" s="106">
        <f t="shared" si="3"/>
        <v>2000</v>
      </c>
      <c r="E32" s="25">
        <f ca="1" t="shared" si="4"/>
        <v>3848.352</v>
      </c>
      <c r="F32" s="24">
        <f t="shared" si="5"/>
        <v>292.857142857143</v>
      </c>
      <c r="G32" s="23">
        <f t="shared" si="6"/>
        <v>0.366666666666667</v>
      </c>
      <c r="H32" s="23">
        <f t="shared" si="11"/>
        <v>2.66666666666667</v>
      </c>
      <c r="I32" s="108">
        <f t="shared" si="7"/>
        <v>441.904761904762</v>
      </c>
      <c r="J32" s="23">
        <f t="shared" si="12"/>
        <v>14.2857142857143</v>
      </c>
      <c r="K32" s="23">
        <f t="shared" si="8"/>
        <v>3.61904761904762</v>
      </c>
      <c r="L32" s="23"/>
      <c r="M32" s="23">
        <f t="shared" si="9"/>
        <v>1428.57142857143</v>
      </c>
      <c r="N32" s="23">
        <f t="shared" si="13"/>
        <v>11.4285714285714</v>
      </c>
      <c r="O32" s="23">
        <f t="shared" si="10"/>
        <v>0.685714285714286</v>
      </c>
      <c r="P32" s="23"/>
      <c r="Q32" s="23"/>
      <c r="R32" s="48" cm="1">
        <f ca="1" t="array" ref="R32">SUMPRODUCT(D32:O32,$D$8:$O$8)</f>
        <v>3319.00377904762</v>
      </c>
      <c r="S32" s="23"/>
      <c r="T32" s="23"/>
      <c r="U32" s="23"/>
      <c r="X32" s="102">
        <v>130.3</v>
      </c>
      <c r="Y32" s="102">
        <v>2110.464</v>
      </c>
    </row>
    <row r="33" ht="16.5" spans="2:25">
      <c r="B33" s="104">
        <v>11</v>
      </c>
      <c r="C33" s="23"/>
      <c r="D33" s="106">
        <f t="shared" si="3"/>
        <v>2000</v>
      </c>
      <c r="E33" s="25">
        <f ca="1" t="shared" si="4"/>
        <v>3889.824</v>
      </c>
      <c r="F33" s="24">
        <f t="shared" si="5"/>
        <v>292.857142857143</v>
      </c>
      <c r="G33" s="23">
        <f t="shared" si="6"/>
        <v>0.366666666666667</v>
      </c>
      <c r="H33" s="23">
        <f t="shared" si="11"/>
        <v>2.66666666666667</v>
      </c>
      <c r="I33" s="108">
        <f t="shared" si="7"/>
        <v>441.904761904762</v>
      </c>
      <c r="J33" s="23">
        <f t="shared" si="12"/>
        <v>14.2857142857143</v>
      </c>
      <c r="K33" s="23">
        <f t="shared" si="8"/>
        <v>3.61904761904762</v>
      </c>
      <c r="L33" s="23"/>
      <c r="M33" s="23">
        <f t="shared" si="9"/>
        <v>1428.57142857143</v>
      </c>
      <c r="N33" s="23">
        <f t="shared" si="13"/>
        <v>11.4285714285714</v>
      </c>
      <c r="O33" s="23">
        <f t="shared" si="10"/>
        <v>0.685714285714286</v>
      </c>
      <c r="P33" s="23"/>
      <c r="Q33" s="23"/>
      <c r="R33" s="48" cm="1">
        <f ca="1" t="array" ref="R33">SUMPRODUCT(D33:O33,$D$8:$O$8)</f>
        <v>3332.68953904762</v>
      </c>
      <c r="S33" s="23"/>
      <c r="T33" s="23"/>
      <c r="U33" s="23"/>
      <c r="X33" s="102">
        <v>146.7</v>
      </c>
      <c r="Y33" s="102">
        <v>2151.936</v>
      </c>
    </row>
    <row r="34" ht="16.5" spans="2:25">
      <c r="B34" s="105">
        <v>12</v>
      </c>
      <c r="C34" s="23"/>
      <c r="D34" s="106">
        <f t="shared" si="3"/>
        <v>2000</v>
      </c>
      <c r="E34" s="25">
        <f ca="1" t="shared" si="4"/>
        <v>4889.824</v>
      </c>
      <c r="F34" s="24">
        <f t="shared" si="5"/>
        <v>292.857142857143</v>
      </c>
      <c r="G34" s="23">
        <f t="shared" si="6"/>
        <v>0.366666666666667</v>
      </c>
      <c r="H34" s="23">
        <f t="shared" si="11"/>
        <v>2.66666666666667</v>
      </c>
      <c r="I34" s="108">
        <f t="shared" si="7"/>
        <v>441.904761904762</v>
      </c>
      <c r="J34" s="23">
        <f t="shared" si="12"/>
        <v>14.2857142857143</v>
      </c>
      <c r="K34" s="23">
        <f t="shared" si="8"/>
        <v>3.61904761904762</v>
      </c>
      <c r="L34" s="23"/>
      <c r="M34" s="23">
        <f t="shared" si="9"/>
        <v>1428.57142857143</v>
      </c>
      <c r="N34" s="23">
        <f t="shared" si="13"/>
        <v>11.4285714285714</v>
      </c>
      <c r="O34" s="23">
        <f t="shared" si="10"/>
        <v>0.685714285714286</v>
      </c>
      <c r="P34" s="23"/>
      <c r="Q34" s="23"/>
      <c r="R34" s="48" cm="1">
        <f ca="1" t="array" ref="R34">SUMPRODUCT(D34:O34,$D$8:$O$8)</f>
        <v>3662.68953904762</v>
      </c>
      <c r="S34" s="23"/>
      <c r="T34" s="23"/>
      <c r="U34" s="23"/>
      <c r="X34" s="102">
        <v>163.9</v>
      </c>
      <c r="Y34" s="102">
        <v>2193.264</v>
      </c>
    </row>
    <row r="35" ht="16.5" spans="2:25">
      <c r="B35" s="104">
        <v>13</v>
      </c>
      <c r="C35" s="23"/>
      <c r="D35" s="106">
        <f t="shared" si="3"/>
        <v>2000</v>
      </c>
      <c r="E35" s="25">
        <f ca="1" t="shared" si="4"/>
        <v>4889.824</v>
      </c>
      <c r="F35" s="24">
        <f t="shared" si="5"/>
        <v>292.857142857143</v>
      </c>
      <c r="G35" s="23">
        <f t="shared" si="6"/>
        <v>0.366666666666667</v>
      </c>
      <c r="H35" s="23">
        <f t="shared" si="11"/>
        <v>2.66666666666667</v>
      </c>
      <c r="I35" s="108">
        <f t="shared" si="7"/>
        <v>441.904761904762</v>
      </c>
      <c r="J35" s="23">
        <f t="shared" si="12"/>
        <v>14.2857142857143</v>
      </c>
      <c r="K35" s="23">
        <f t="shared" si="8"/>
        <v>3.61904761904762</v>
      </c>
      <c r="L35" s="23"/>
      <c r="M35" s="23">
        <f t="shared" si="9"/>
        <v>1428.57142857143</v>
      </c>
      <c r="N35" s="23">
        <f t="shared" si="13"/>
        <v>11.4285714285714</v>
      </c>
      <c r="O35" s="23">
        <f t="shared" si="10"/>
        <v>0.685714285714286</v>
      </c>
      <c r="P35" s="23"/>
      <c r="Q35" s="23"/>
      <c r="R35" s="48" cm="1">
        <f ca="1" t="array" ref="R35">SUMPRODUCT(D35:O35,$D$8:$O$8)</f>
        <v>3662.68953904762</v>
      </c>
      <c r="S35" s="23"/>
      <c r="T35" s="23"/>
      <c r="U35" s="23"/>
      <c r="X35" s="102">
        <v>182.7</v>
      </c>
      <c r="Y35" s="102">
        <v>2234.736</v>
      </c>
    </row>
    <row r="36" ht="16.5" spans="2:25">
      <c r="B36" s="105">
        <v>14</v>
      </c>
      <c r="C36" s="23"/>
      <c r="D36" s="106">
        <f t="shared" si="3"/>
        <v>2000</v>
      </c>
      <c r="E36" s="25">
        <f ca="1" t="shared" si="4"/>
        <v>4931.152</v>
      </c>
      <c r="F36" s="24">
        <f t="shared" si="5"/>
        <v>292.857142857143</v>
      </c>
      <c r="G36" s="23">
        <f t="shared" si="6"/>
        <v>0.366666666666667</v>
      </c>
      <c r="H36" s="23">
        <f t="shared" si="11"/>
        <v>2.66666666666667</v>
      </c>
      <c r="I36" s="108">
        <f t="shared" si="7"/>
        <v>441.904761904762</v>
      </c>
      <c r="J36" s="23">
        <f t="shared" si="12"/>
        <v>14.2857142857143</v>
      </c>
      <c r="K36" s="23">
        <f t="shared" si="8"/>
        <v>3.61904761904762</v>
      </c>
      <c r="L36" s="23"/>
      <c r="M36" s="23">
        <f t="shared" si="9"/>
        <v>1428.57142857143</v>
      </c>
      <c r="N36" s="23">
        <f t="shared" si="13"/>
        <v>11.4285714285714</v>
      </c>
      <c r="O36" s="23">
        <f t="shared" si="10"/>
        <v>0.685714285714286</v>
      </c>
      <c r="P36" s="23"/>
      <c r="Q36" s="23"/>
      <c r="R36" s="48" cm="1">
        <f ca="1" t="array" ref="R36">SUMPRODUCT(D36:O36,$D$8:$O$8)</f>
        <v>3676.32777904762</v>
      </c>
      <c r="S36" s="23"/>
      <c r="T36" s="23"/>
      <c r="U36" s="23"/>
      <c r="X36" s="102">
        <v>203.1</v>
      </c>
      <c r="Y36" s="102">
        <v>2276.064</v>
      </c>
    </row>
    <row r="37" ht="16.5" spans="2:25">
      <c r="B37" s="104">
        <v>15</v>
      </c>
      <c r="C37" s="23"/>
      <c r="D37" s="106">
        <f t="shared" si="3"/>
        <v>2000</v>
      </c>
      <c r="E37" s="25">
        <f ca="1" t="shared" si="4"/>
        <v>4931.152</v>
      </c>
      <c r="F37" s="24">
        <f t="shared" si="5"/>
        <v>292.857142857143</v>
      </c>
      <c r="G37" s="23">
        <f t="shared" si="6"/>
        <v>0.366666666666667</v>
      </c>
      <c r="H37" s="23">
        <f t="shared" si="11"/>
        <v>2.66666666666667</v>
      </c>
      <c r="I37" s="108">
        <f t="shared" si="7"/>
        <v>441.904761904762</v>
      </c>
      <c r="J37" s="23">
        <f t="shared" si="12"/>
        <v>14.2857142857143</v>
      </c>
      <c r="K37" s="23">
        <f t="shared" si="8"/>
        <v>3.61904761904762</v>
      </c>
      <c r="L37" s="23"/>
      <c r="M37" s="23">
        <f t="shared" si="9"/>
        <v>1428.57142857143</v>
      </c>
      <c r="N37" s="23">
        <f t="shared" si="13"/>
        <v>11.4285714285714</v>
      </c>
      <c r="O37" s="23">
        <f t="shared" si="10"/>
        <v>0.685714285714286</v>
      </c>
      <c r="P37" s="23"/>
      <c r="Q37" s="23"/>
      <c r="R37" s="48" cm="1">
        <f ca="1" t="array" ref="R37">SUMPRODUCT(D37:O37,$D$8:$O$8)</f>
        <v>3676.32777904762</v>
      </c>
      <c r="S37" s="23"/>
      <c r="T37" s="23"/>
      <c r="U37" s="23"/>
      <c r="X37" s="102">
        <v>225.1</v>
      </c>
      <c r="Y37" s="102">
        <v>2317.392</v>
      </c>
    </row>
    <row r="38" ht="16.5" spans="2:25">
      <c r="B38" s="105">
        <v>16</v>
      </c>
      <c r="C38" s="23"/>
      <c r="D38" s="106">
        <f t="shared" si="3"/>
        <v>2000</v>
      </c>
      <c r="E38" s="25">
        <f ca="1" t="shared" si="4"/>
        <v>4931.152</v>
      </c>
      <c r="F38" s="24">
        <f t="shared" si="5"/>
        <v>292.857142857143</v>
      </c>
      <c r="G38" s="23">
        <f t="shared" si="6"/>
        <v>0.366666666666667</v>
      </c>
      <c r="H38" s="23">
        <f t="shared" si="11"/>
        <v>2.66666666666667</v>
      </c>
      <c r="I38" s="108">
        <f t="shared" si="7"/>
        <v>441.904761904762</v>
      </c>
      <c r="J38" s="23">
        <f t="shared" si="12"/>
        <v>14.2857142857143</v>
      </c>
      <c r="K38" s="23">
        <f t="shared" si="8"/>
        <v>3.61904761904762</v>
      </c>
      <c r="L38" s="23"/>
      <c r="M38" s="23">
        <f t="shared" si="9"/>
        <v>1428.57142857143</v>
      </c>
      <c r="N38" s="23">
        <f t="shared" si="13"/>
        <v>11.4285714285714</v>
      </c>
      <c r="O38" s="23">
        <f t="shared" si="10"/>
        <v>0.685714285714286</v>
      </c>
      <c r="P38" s="23"/>
      <c r="Q38" s="23"/>
      <c r="R38" s="48" cm="1">
        <f ca="1" t="array" ref="R38">SUMPRODUCT(D38:O38,$D$8:$O$8)</f>
        <v>3676.32777904762</v>
      </c>
      <c r="S38" s="23"/>
      <c r="T38" s="23"/>
      <c r="U38" s="23"/>
      <c r="X38" s="102">
        <v>248.7</v>
      </c>
      <c r="Y38" s="102">
        <v>2358.864</v>
      </c>
    </row>
    <row r="39" ht="16.5" spans="2:25">
      <c r="B39" s="104">
        <v>17</v>
      </c>
      <c r="C39" s="23"/>
      <c r="D39" s="106">
        <f t="shared" si="3"/>
        <v>2000</v>
      </c>
      <c r="E39" s="25">
        <f ca="1" t="shared" si="4"/>
        <v>4972.48</v>
      </c>
      <c r="F39" s="24">
        <f t="shared" si="5"/>
        <v>542.857142857143</v>
      </c>
      <c r="G39" s="23">
        <f t="shared" si="6"/>
        <v>0.366666666666667</v>
      </c>
      <c r="H39" s="23">
        <f t="shared" si="11"/>
        <v>2.66666666666667</v>
      </c>
      <c r="I39" s="108">
        <f t="shared" si="7"/>
        <v>441.904761904762</v>
      </c>
      <c r="J39" s="23">
        <f t="shared" si="12"/>
        <v>14.2857142857143</v>
      </c>
      <c r="K39" s="23">
        <f t="shared" si="8"/>
        <v>3.61904761904762</v>
      </c>
      <c r="L39" s="23"/>
      <c r="M39" s="23">
        <f t="shared" si="9"/>
        <v>1428.57142857143</v>
      </c>
      <c r="N39" s="23">
        <f t="shared" si="13"/>
        <v>11.4285714285714</v>
      </c>
      <c r="O39" s="23">
        <f t="shared" si="10"/>
        <v>0.685714285714286</v>
      </c>
      <c r="P39" s="23"/>
      <c r="Q39" s="23"/>
      <c r="R39" s="48" cm="1">
        <f ca="1" t="array" ref="R39">SUMPRODUCT(D39:O39,$D$8:$O$8)</f>
        <v>4439.96601904762</v>
      </c>
      <c r="S39" s="23"/>
      <c r="T39" s="23"/>
      <c r="U39" s="23"/>
      <c r="X39" s="102">
        <v>273.9</v>
      </c>
      <c r="Y39" s="102">
        <v>2400.192</v>
      </c>
    </row>
    <row r="40" ht="16.5" spans="2:25">
      <c r="B40" s="105">
        <v>18</v>
      </c>
      <c r="C40" s="23"/>
      <c r="D40" s="106">
        <f t="shared" si="3"/>
        <v>2000</v>
      </c>
      <c r="E40" s="25">
        <f ca="1" t="shared" si="4"/>
        <v>4972.48</v>
      </c>
      <c r="F40" s="24">
        <f t="shared" si="5"/>
        <v>542.857142857143</v>
      </c>
      <c r="G40" s="23">
        <f t="shared" si="6"/>
        <v>0.366666666666667</v>
      </c>
      <c r="H40" s="23">
        <f t="shared" si="11"/>
        <v>2.66666666666667</v>
      </c>
      <c r="I40" s="108">
        <f t="shared" si="7"/>
        <v>441.904761904762</v>
      </c>
      <c r="J40" s="23">
        <f t="shared" si="12"/>
        <v>14.2857142857143</v>
      </c>
      <c r="K40" s="23">
        <f t="shared" si="8"/>
        <v>3.61904761904762</v>
      </c>
      <c r="L40" s="23"/>
      <c r="M40" s="23">
        <f t="shared" si="9"/>
        <v>1428.57142857143</v>
      </c>
      <c r="N40" s="23">
        <f t="shared" si="13"/>
        <v>11.4285714285714</v>
      </c>
      <c r="O40" s="23">
        <f t="shared" si="10"/>
        <v>0.685714285714286</v>
      </c>
      <c r="P40" s="23"/>
      <c r="Q40" s="23"/>
      <c r="R40" s="48" cm="1">
        <f ca="1" t="array" ref="R40">SUMPRODUCT(D40:O40,$D$8:$O$8)</f>
        <v>4439.96601904762</v>
      </c>
      <c r="S40" s="23"/>
      <c r="T40" s="23"/>
      <c r="U40" s="23"/>
    </row>
    <row r="41" ht="16.5" spans="2:25">
      <c r="B41" s="104">
        <v>19</v>
      </c>
      <c r="C41" s="23"/>
      <c r="D41" s="106">
        <f t="shared" si="3"/>
        <v>2000</v>
      </c>
      <c r="E41" s="25">
        <f ca="1" t="shared" si="4"/>
        <v>4972.48</v>
      </c>
      <c r="F41" s="24">
        <f t="shared" si="5"/>
        <v>542.857142857143</v>
      </c>
      <c r="G41" s="23">
        <f t="shared" si="6"/>
        <v>0.366666666666667</v>
      </c>
      <c r="H41" s="23">
        <f t="shared" si="11"/>
        <v>2.66666666666667</v>
      </c>
      <c r="I41" s="108">
        <f t="shared" si="7"/>
        <v>441.904761904762</v>
      </c>
      <c r="J41" s="23">
        <f t="shared" si="12"/>
        <v>14.2857142857143</v>
      </c>
      <c r="K41" s="23">
        <f t="shared" si="8"/>
        <v>3.61904761904762</v>
      </c>
      <c r="L41" s="23"/>
      <c r="M41" s="23">
        <f t="shared" si="9"/>
        <v>1428.57142857143</v>
      </c>
      <c r="N41" s="23">
        <f t="shared" si="13"/>
        <v>11.4285714285714</v>
      </c>
      <c r="O41" s="23">
        <f t="shared" si="10"/>
        <v>0.685714285714286</v>
      </c>
      <c r="P41" s="23"/>
      <c r="Q41" s="23"/>
      <c r="R41" s="48" cm="1">
        <f ca="1" t="array" ref="R41">SUMPRODUCT(D41:O41,$D$8:$O$8)</f>
        <v>4439.96601904762</v>
      </c>
      <c r="S41" s="23"/>
      <c r="T41" s="23"/>
      <c r="U41" s="23"/>
    </row>
    <row r="42" ht="16.5" spans="2:25">
      <c r="B42" s="105">
        <v>20</v>
      </c>
      <c r="C42" s="23"/>
      <c r="D42" s="106">
        <f t="shared" si="3"/>
        <v>2000</v>
      </c>
      <c r="E42" s="25">
        <f ca="1" t="shared" si="4"/>
        <v>5013.952</v>
      </c>
      <c r="F42" s="24">
        <f t="shared" si="5"/>
        <v>542.857142857143</v>
      </c>
      <c r="G42" s="23">
        <f t="shared" si="6"/>
        <v>0.366666666666667</v>
      </c>
      <c r="H42" s="23">
        <f t="shared" si="11"/>
        <v>2.66666666666667</v>
      </c>
      <c r="I42" s="108">
        <f t="shared" si="7"/>
        <v>441.904761904762</v>
      </c>
      <c r="J42" s="23">
        <f t="shared" si="12"/>
        <v>14.2857142857143</v>
      </c>
      <c r="K42" s="23">
        <f t="shared" si="8"/>
        <v>3.61904761904762</v>
      </c>
      <c r="L42" s="23"/>
      <c r="M42" s="23">
        <f t="shared" si="9"/>
        <v>1428.57142857143</v>
      </c>
      <c r="N42" s="23">
        <f t="shared" si="13"/>
        <v>11.4285714285714</v>
      </c>
      <c r="O42" s="23">
        <f t="shared" si="10"/>
        <v>0.685714285714286</v>
      </c>
      <c r="P42" s="23"/>
      <c r="Q42" s="23"/>
      <c r="R42" s="48" cm="1">
        <f ca="1" t="array" ref="R42">SUMPRODUCT(D42:O42,$D$8:$O$8)</f>
        <v>4453.65177904762</v>
      </c>
      <c r="S42" s="23"/>
      <c r="T42" s="23"/>
      <c r="U42" s="23"/>
    </row>
    <row r="43" ht="16.5" spans="2:25">
      <c r="B43" s="104">
        <v>21</v>
      </c>
      <c r="C43" s="23"/>
      <c r="D43" s="106">
        <f t="shared" si="3"/>
        <v>2000</v>
      </c>
      <c r="E43" s="25">
        <f ca="1" t="shared" si="4"/>
        <v>5013.952</v>
      </c>
      <c r="F43" s="24">
        <f t="shared" si="5"/>
        <v>542.857142857143</v>
      </c>
      <c r="G43" s="23">
        <f t="shared" si="6"/>
        <v>0.366666666666667</v>
      </c>
      <c r="H43" s="23">
        <f t="shared" si="11"/>
        <v>2.66666666666667</v>
      </c>
      <c r="I43" s="108">
        <f t="shared" si="7"/>
        <v>441.904761904762</v>
      </c>
      <c r="J43" s="23">
        <f t="shared" si="12"/>
        <v>14.2857142857143</v>
      </c>
      <c r="K43" s="23">
        <f t="shared" si="8"/>
        <v>3.61904761904762</v>
      </c>
      <c r="L43" s="23"/>
      <c r="M43" s="23">
        <f t="shared" si="9"/>
        <v>1428.57142857143</v>
      </c>
      <c r="N43" s="23">
        <f t="shared" si="13"/>
        <v>11.4285714285714</v>
      </c>
      <c r="O43" s="23">
        <f t="shared" si="10"/>
        <v>0.685714285714286</v>
      </c>
      <c r="P43" s="23"/>
      <c r="Q43" s="23"/>
      <c r="R43" s="48" cm="1">
        <f ca="1" t="array" ref="R43">SUMPRODUCT(D43:O43,$D$8:$O$8)</f>
        <v>4453.65177904762</v>
      </c>
      <c r="S43" s="23"/>
      <c r="T43" s="23"/>
      <c r="U43" s="23"/>
    </row>
    <row r="44" ht="16.5" spans="2:25">
      <c r="B44" s="105">
        <v>22</v>
      </c>
      <c r="C44" s="23"/>
      <c r="D44" s="106">
        <f t="shared" si="3"/>
        <v>2000</v>
      </c>
      <c r="E44" s="25">
        <f ca="1" t="shared" si="4"/>
        <v>5013.952</v>
      </c>
      <c r="F44" s="24">
        <f t="shared" si="5"/>
        <v>542.857142857143</v>
      </c>
      <c r="G44" s="23">
        <f t="shared" si="6"/>
        <v>0.366666666666667</v>
      </c>
      <c r="H44" s="23">
        <f t="shared" si="11"/>
        <v>2.66666666666667</v>
      </c>
      <c r="I44" s="108">
        <f t="shared" si="7"/>
        <v>441.904761904762</v>
      </c>
      <c r="J44" s="23">
        <f t="shared" si="12"/>
        <v>14.2857142857143</v>
      </c>
      <c r="K44" s="23">
        <f t="shared" si="8"/>
        <v>3.61904761904762</v>
      </c>
      <c r="L44" s="23"/>
      <c r="M44" s="23">
        <f t="shared" si="9"/>
        <v>1428.57142857143</v>
      </c>
      <c r="N44" s="23">
        <f t="shared" si="13"/>
        <v>11.4285714285714</v>
      </c>
      <c r="O44" s="23">
        <f t="shared" si="10"/>
        <v>0.685714285714286</v>
      </c>
      <c r="P44" s="23"/>
      <c r="Q44" s="23"/>
      <c r="R44" s="48" cm="1">
        <f ca="1" t="array" ref="R44">SUMPRODUCT(D44:O44,$D$8:$O$8)</f>
        <v>4453.65177904762</v>
      </c>
      <c r="S44" s="23"/>
      <c r="T44" s="23"/>
      <c r="U44" s="23"/>
    </row>
    <row r="45" ht="16.5" spans="2:25">
      <c r="B45" s="104">
        <v>23</v>
      </c>
      <c r="C45" s="23"/>
      <c r="D45" s="106">
        <f t="shared" si="3"/>
        <v>2000</v>
      </c>
      <c r="E45" s="25">
        <f ca="1" t="shared" si="4"/>
        <v>5055.28</v>
      </c>
      <c r="F45" s="24">
        <f t="shared" si="5"/>
        <v>542.857142857143</v>
      </c>
      <c r="G45" s="23">
        <f t="shared" si="6"/>
        <v>0.366666666666667</v>
      </c>
      <c r="H45" s="23">
        <f t="shared" si="11"/>
        <v>2.66666666666667</v>
      </c>
      <c r="I45" s="108">
        <f t="shared" si="7"/>
        <v>441.904761904762</v>
      </c>
      <c r="J45" s="23">
        <f t="shared" si="12"/>
        <v>14.2857142857143</v>
      </c>
      <c r="K45" s="23">
        <f t="shared" si="8"/>
        <v>3.61904761904762</v>
      </c>
      <c r="L45" s="23"/>
      <c r="M45" s="23">
        <f t="shared" si="9"/>
        <v>1428.57142857143</v>
      </c>
      <c r="N45" s="23">
        <f t="shared" si="13"/>
        <v>11.4285714285714</v>
      </c>
      <c r="O45" s="23">
        <f t="shared" si="10"/>
        <v>0.685714285714286</v>
      </c>
      <c r="P45" s="23"/>
      <c r="Q45" s="23"/>
      <c r="R45" s="48" cm="1">
        <f ca="1" t="array" ref="R45">SUMPRODUCT(D45:O45,$D$8:$O$8)</f>
        <v>4467.29001904762</v>
      </c>
      <c r="S45" s="23"/>
      <c r="T45" s="23"/>
      <c r="U45" s="23"/>
    </row>
    <row r="46" ht="16.5" spans="2:25">
      <c r="B46" s="105">
        <v>24</v>
      </c>
      <c r="C46" s="23"/>
      <c r="D46" s="106">
        <f t="shared" si="3"/>
        <v>2000</v>
      </c>
      <c r="E46" s="25">
        <f ca="1" t="shared" si="4"/>
        <v>5055.28</v>
      </c>
      <c r="F46" s="24">
        <f t="shared" si="5"/>
        <v>542.857142857143</v>
      </c>
      <c r="G46" s="23">
        <f t="shared" si="6"/>
        <v>0.366666666666667</v>
      </c>
      <c r="H46" s="23">
        <f t="shared" si="11"/>
        <v>2.66666666666667</v>
      </c>
      <c r="I46" s="108">
        <f t="shared" si="7"/>
        <v>441.904761904762</v>
      </c>
      <c r="J46" s="23">
        <f t="shared" si="12"/>
        <v>14.2857142857143</v>
      </c>
      <c r="K46" s="23">
        <f t="shared" si="8"/>
        <v>3.61904761904762</v>
      </c>
      <c r="L46" s="23"/>
      <c r="M46" s="23">
        <f t="shared" si="9"/>
        <v>1428.57142857143</v>
      </c>
      <c r="N46" s="23">
        <f t="shared" si="13"/>
        <v>11.4285714285714</v>
      </c>
      <c r="O46" s="23">
        <f t="shared" si="10"/>
        <v>0.685714285714286</v>
      </c>
      <c r="P46" s="23"/>
      <c r="Q46" s="23"/>
      <c r="R46" s="48" cm="1">
        <f ca="1" t="array" ref="R46">SUMPRODUCT(D46:O46,$D$8:$O$8)</f>
        <v>4467.29001904762</v>
      </c>
      <c r="S46" s="23"/>
      <c r="T46" s="23"/>
      <c r="U46" s="23"/>
    </row>
    <row r="47" ht="16.5" spans="2:25">
      <c r="B47" s="104">
        <v>25</v>
      </c>
      <c r="C47" s="23"/>
      <c r="D47" s="106">
        <f t="shared" si="3"/>
        <v>2000</v>
      </c>
      <c r="E47" s="25">
        <f ca="1" t="shared" si="4"/>
        <v>5055.28</v>
      </c>
      <c r="F47" s="24">
        <f t="shared" si="5"/>
        <v>542.857142857143</v>
      </c>
      <c r="G47" s="23">
        <f t="shared" si="6"/>
        <v>0.366666666666667</v>
      </c>
      <c r="H47" s="23">
        <f t="shared" si="11"/>
        <v>2.66666666666667</v>
      </c>
      <c r="I47" s="108">
        <f t="shared" si="7"/>
        <v>441.904761904762</v>
      </c>
      <c r="J47" s="23">
        <f t="shared" si="12"/>
        <v>14.2857142857143</v>
      </c>
      <c r="K47" s="23">
        <f t="shared" si="8"/>
        <v>3.61904761904762</v>
      </c>
      <c r="L47" s="23"/>
      <c r="M47" s="23">
        <f t="shared" si="9"/>
        <v>1428.57142857143</v>
      </c>
      <c r="N47" s="23">
        <f t="shared" si="13"/>
        <v>11.4285714285714</v>
      </c>
      <c r="O47" s="23">
        <f t="shared" si="10"/>
        <v>0.685714285714286</v>
      </c>
      <c r="P47" s="23"/>
      <c r="Q47" s="23"/>
      <c r="R47" s="48" cm="1">
        <f ca="1" t="array" ref="R47">SUMPRODUCT(D47:O47,$D$8:$O$8)</f>
        <v>4467.29001904762</v>
      </c>
      <c r="S47" s="23"/>
      <c r="T47" s="23"/>
      <c r="U47" s="23"/>
    </row>
    <row r="48" ht="16.5" spans="2:25">
      <c r="B48" s="105">
        <v>26</v>
      </c>
      <c r="C48" s="23"/>
      <c r="D48" s="106">
        <f t="shared" si="3"/>
        <v>2000</v>
      </c>
      <c r="E48" s="25">
        <f ca="1" t="shared" si="4"/>
        <v>5096.752</v>
      </c>
      <c r="F48" s="24">
        <f t="shared" si="5"/>
        <v>542.857142857143</v>
      </c>
      <c r="G48" s="23">
        <f t="shared" si="6"/>
        <v>0.366666666666667</v>
      </c>
      <c r="H48" s="23">
        <f t="shared" si="11"/>
        <v>2.66666666666667</v>
      </c>
      <c r="I48" s="108">
        <f t="shared" si="7"/>
        <v>441.904761904762</v>
      </c>
      <c r="J48" s="23">
        <f t="shared" si="12"/>
        <v>14.2857142857143</v>
      </c>
      <c r="K48" s="23">
        <f t="shared" si="8"/>
        <v>3.61904761904762</v>
      </c>
      <c r="L48" s="23"/>
      <c r="M48" s="23">
        <f t="shared" si="9"/>
        <v>1428.57142857143</v>
      </c>
      <c r="N48" s="23">
        <f t="shared" si="13"/>
        <v>11.4285714285714</v>
      </c>
      <c r="O48" s="23">
        <f t="shared" si="10"/>
        <v>0.685714285714286</v>
      </c>
      <c r="P48" s="23"/>
      <c r="Q48" s="23"/>
      <c r="R48" s="48" cm="1">
        <f ca="1" t="array" ref="R48">SUMPRODUCT(D48:O48,$D$8:$O$8)</f>
        <v>4480.97577904762</v>
      </c>
      <c r="S48" s="23"/>
      <c r="T48" s="23"/>
      <c r="U48" s="23"/>
    </row>
    <row r="49" ht="16.5" spans="2:21">
      <c r="B49" s="104">
        <v>27</v>
      </c>
      <c r="C49" s="23"/>
      <c r="D49" s="106">
        <f t="shared" si="3"/>
        <v>2000</v>
      </c>
      <c r="E49" s="25">
        <f ca="1" t="shared" si="4"/>
        <v>5096.752</v>
      </c>
      <c r="F49" s="24">
        <f t="shared" si="5"/>
        <v>542.857142857143</v>
      </c>
      <c r="G49" s="23">
        <f t="shared" si="6"/>
        <v>0.366666666666667</v>
      </c>
      <c r="H49" s="23">
        <f t="shared" si="11"/>
        <v>2.66666666666667</v>
      </c>
      <c r="I49" s="108">
        <f t="shared" si="7"/>
        <v>441.904761904762</v>
      </c>
      <c r="J49" s="23">
        <f t="shared" si="12"/>
        <v>14.2857142857143</v>
      </c>
      <c r="K49" s="23">
        <f t="shared" si="8"/>
        <v>3.61904761904762</v>
      </c>
      <c r="L49" s="23"/>
      <c r="M49" s="23">
        <f t="shared" si="9"/>
        <v>1428.57142857143</v>
      </c>
      <c r="N49" s="23">
        <f t="shared" si="13"/>
        <v>11.4285714285714</v>
      </c>
      <c r="O49" s="23">
        <f t="shared" si="10"/>
        <v>0.685714285714286</v>
      </c>
      <c r="P49" s="23"/>
      <c r="Q49" s="23"/>
      <c r="R49" s="48" cm="1">
        <f ca="1" t="array" ref="R49">SUMPRODUCT(D49:O49,$D$8:$O$8)</f>
        <v>4480.97577904762</v>
      </c>
      <c r="S49" s="23"/>
      <c r="T49" s="23"/>
      <c r="U49" s="23"/>
    </row>
    <row r="50" ht="16.5" spans="2:21">
      <c r="B50" s="105">
        <v>28</v>
      </c>
      <c r="C50" s="23"/>
      <c r="D50" s="106">
        <f t="shared" si="3"/>
        <v>2000</v>
      </c>
      <c r="E50" s="25">
        <f ca="1" t="shared" si="4"/>
        <v>5096.752</v>
      </c>
      <c r="F50" s="24">
        <f t="shared" si="5"/>
        <v>542.857142857143</v>
      </c>
      <c r="G50" s="23">
        <f t="shared" si="6"/>
        <v>0.366666666666667</v>
      </c>
      <c r="H50" s="23">
        <f t="shared" si="11"/>
        <v>2.66666666666667</v>
      </c>
      <c r="I50" s="108">
        <f t="shared" si="7"/>
        <v>441.904761904762</v>
      </c>
      <c r="J50" s="23">
        <f t="shared" si="12"/>
        <v>14.2857142857143</v>
      </c>
      <c r="K50" s="23">
        <f t="shared" si="8"/>
        <v>3.61904761904762</v>
      </c>
      <c r="L50" s="23"/>
      <c r="M50" s="23">
        <f t="shared" si="9"/>
        <v>1428.57142857143</v>
      </c>
      <c r="N50" s="23">
        <f t="shared" si="13"/>
        <v>11.4285714285714</v>
      </c>
      <c r="O50" s="23">
        <f t="shared" si="10"/>
        <v>0.685714285714286</v>
      </c>
      <c r="P50" s="23"/>
      <c r="Q50" s="23"/>
      <c r="R50" s="48" cm="1">
        <f ca="1" t="array" ref="R50">SUMPRODUCT(D50:O50,$D$8:$O$8)</f>
        <v>4480.97577904762</v>
      </c>
      <c r="S50" s="23"/>
      <c r="T50" s="23"/>
      <c r="U50" s="23"/>
    </row>
    <row r="51" ht="16.5" spans="2:21">
      <c r="B51" s="104">
        <v>29</v>
      </c>
      <c r="C51" s="23"/>
      <c r="D51" s="106">
        <f t="shared" si="3"/>
        <v>2000</v>
      </c>
      <c r="E51" s="25">
        <f ca="1" t="shared" si="4"/>
        <v>5096.752</v>
      </c>
      <c r="F51" s="24">
        <f t="shared" si="5"/>
        <v>542.857142857143</v>
      </c>
      <c r="G51" s="23">
        <f t="shared" si="6"/>
        <v>0.366666666666667</v>
      </c>
      <c r="H51" s="23">
        <f t="shared" si="11"/>
        <v>2.66666666666667</v>
      </c>
      <c r="I51" s="108">
        <f t="shared" si="7"/>
        <v>441.904761904762</v>
      </c>
      <c r="J51" s="23">
        <f t="shared" si="12"/>
        <v>14.2857142857143</v>
      </c>
      <c r="K51" s="23">
        <f t="shared" si="8"/>
        <v>3.61904761904762</v>
      </c>
      <c r="L51" s="23"/>
      <c r="M51" s="23">
        <f t="shared" si="9"/>
        <v>1428.57142857143</v>
      </c>
      <c r="N51" s="23">
        <f t="shared" si="13"/>
        <v>11.4285714285714</v>
      </c>
      <c r="O51" s="23">
        <f t="shared" si="10"/>
        <v>0.685714285714286</v>
      </c>
      <c r="P51" s="23"/>
      <c r="Q51" s="23"/>
      <c r="R51" s="48" cm="1">
        <f ca="1" t="array" ref="R51">SUMPRODUCT(D51:O51,$D$8:$O$8)</f>
        <v>4480.97577904762</v>
      </c>
      <c r="S51" s="23"/>
      <c r="T51" s="23"/>
      <c r="U51" s="23"/>
    </row>
    <row r="52" ht="16.5" spans="2:21">
      <c r="B52" s="105">
        <v>30</v>
      </c>
      <c r="C52" s="23"/>
      <c r="D52" s="106">
        <f t="shared" si="3"/>
        <v>2000</v>
      </c>
      <c r="E52" s="25">
        <f ca="1" t="shared" si="4"/>
        <v>5096.752</v>
      </c>
      <c r="F52" s="24">
        <f t="shared" si="5"/>
        <v>542.857142857143</v>
      </c>
      <c r="G52" s="23">
        <f t="shared" si="6"/>
        <v>0.366666666666667</v>
      </c>
      <c r="H52" s="23">
        <f t="shared" si="11"/>
        <v>2.66666666666667</v>
      </c>
      <c r="I52" s="108">
        <f t="shared" si="7"/>
        <v>441.904761904762</v>
      </c>
      <c r="J52" s="23">
        <f t="shared" si="12"/>
        <v>14.2857142857143</v>
      </c>
      <c r="K52" s="23">
        <f t="shared" si="8"/>
        <v>3.61904761904762</v>
      </c>
      <c r="L52" s="23"/>
      <c r="M52" s="23">
        <f t="shared" si="9"/>
        <v>1428.57142857143</v>
      </c>
      <c r="N52" s="23">
        <f t="shared" si="13"/>
        <v>11.4285714285714</v>
      </c>
      <c r="O52" s="23">
        <f t="shared" si="10"/>
        <v>0.685714285714286</v>
      </c>
      <c r="P52" s="23"/>
      <c r="Q52" s="23"/>
      <c r="R52" s="48" cm="1">
        <f ca="1" t="array" ref="R52">SUMPRODUCT(D52:O52,$D$8:$O$8)</f>
        <v>4480.97577904762</v>
      </c>
      <c r="S52" s="23"/>
      <c r="T52" s="23"/>
      <c r="U52" s="23"/>
    </row>
    <row r="53" ht="16.5" spans="2:21">
      <c r="B53" s="104">
        <v>31</v>
      </c>
      <c r="C53" s="23"/>
      <c r="D53" s="106">
        <f t="shared" si="3"/>
        <v>2000</v>
      </c>
      <c r="E53" s="25">
        <f ca="1" t="shared" si="4"/>
        <v>5096.752</v>
      </c>
      <c r="F53" s="24">
        <f t="shared" si="5"/>
        <v>542.857142857143</v>
      </c>
      <c r="G53" s="23">
        <f t="shared" si="6"/>
        <v>0.366666666666667</v>
      </c>
      <c r="H53" s="23">
        <f t="shared" si="11"/>
        <v>2.66666666666667</v>
      </c>
      <c r="I53" s="108">
        <f t="shared" si="7"/>
        <v>441.904761904762</v>
      </c>
      <c r="J53" s="23">
        <f t="shared" si="12"/>
        <v>14.2857142857143</v>
      </c>
      <c r="K53" s="23">
        <f t="shared" si="8"/>
        <v>3.61904761904762</v>
      </c>
      <c r="L53" s="23"/>
      <c r="M53" s="23">
        <f t="shared" si="9"/>
        <v>1428.57142857143</v>
      </c>
      <c r="N53" s="23">
        <f t="shared" si="13"/>
        <v>11.4285714285714</v>
      </c>
      <c r="O53" s="23">
        <f t="shared" si="10"/>
        <v>0.685714285714286</v>
      </c>
      <c r="P53" s="23"/>
      <c r="Q53" s="23"/>
      <c r="R53" s="48" cm="1">
        <f ca="1" t="array" ref="R53">SUMPRODUCT(D53:O53,$D$8:$O$8)</f>
        <v>4480.97577904762</v>
      </c>
      <c r="S53" s="23"/>
      <c r="T53" s="23"/>
      <c r="U53" s="23"/>
    </row>
    <row r="54" ht="16.5" spans="2:21">
      <c r="B54" s="105">
        <v>32</v>
      </c>
      <c r="C54" s="23"/>
      <c r="D54" s="106">
        <f t="shared" si="3"/>
        <v>2000</v>
      </c>
      <c r="E54" s="25">
        <f ca="1" t="shared" si="4"/>
        <v>5096.752</v>
      </c>
      <c r="F54" s="24">
        <f t="shared" si="5"/>
        <v>542.857142857143</v>
      </c>
      <c r="G54" s="23">
        <f t="shared" si="6"/>
        <v>0.366666666666667</v>
      </c>
      <c r="H54" s="23">
        <f t="shared" si="11"/>
        <v>2.66666666666667</v>
      </c>
      <c r="I54" s="108">
        <f t="shared" si="7"/>
        <v>441.904761904762</v>
      </c>
      <c r="J54" s="23">
        <f t="shared" si="12"/>
        <v>14.2857142857143</v>
      </c>
      <c r="K54" s="23">
        <f t="shared" si="8"/>
        <v>3.61904761904762</v>
      </c>
      <c r="L54" s="23"/>
      <c r="M54" s="23">
        <f t="shared" si="9"/>
        <v>1428.57142857143</v>
      </c>
      <c r="N54" s="23">
        <f t="shared" si="13"/>
        <v>11.4285714285714</v>
      </c>
      <c r="O54" s="23">
        <f t="shared" si="10"/>
        <v>0.685714285714286</v>
      </c>
      <c r="P54" s="23"/>
      <c r="Q54" s="23"/>
      <c r="R54" s="48" cm="1">
        <f ca="1" t="array" ref="R54">SUMPRODUCT(D54:O54,$D$8:$O$8)</f>
        <v>4480.97577904762</v>
      </c>
      <c r="S54" s="23"/>
      <c r="T54" s="23"/>
      <c r="U54" s="23"/>
    </row>
    <row r="55" ht="16.5" spans="2:21">
      <c r="B55" s="104">
        <v>33</v>
      </c>
      <c r="C55" s="23"/>
      <c r="D55" s="106">
        <f t="shared" si="3"/>
        <v>2000</v>
      </c>
      <c r="E55" s="25">
        <f ca="1" t="shared" si="4"/>
        <v>5138.08</v>
      </c>
      <c r="F55" s="24">
        <f t="shared" si="5"/>
        <v>542.857142857143</v>
      </c>
      <c r="G55" s="23">
        <f t="shared" si="6"/>
        <v>0.366666666666667</v>
      </c>
      <c r="H55" s="23">
        <f t="shared" si="11"/>
        <v>2.66666666666667</v>
      </c>
      <c r="I55" s="108">
        <f t="shared" si="7"/>
        <v>441.904761904762</v>
      </c>
      <c r="J55" s="23">
        <f t="shared" si="12"/>
        <v>14.2857142857143</v>
      </c>
      <c r="K55" s="23">
        <f t="shared" si="8"/>
        <v>3.61904761904762</v>
      </c>
      <c r="L55" s="23"/>
      <c r="M55" s="23">
        <f t="shared" si="9"/>
        <v>1428.57142857143</v>
      </c>
      <c r="N55" s="23">
        <f t="shared" si="13"/>
        <v>11.4285714285714</v>
      </c>
      <c r="O55" s="23">
        <f t="shared" si="10"/>
        <v>0.685714285714286</v>
      </c>
      <c r="P55" s="23"/>
      <c r="Q55" s="23"/>
      <c r="R55" s="48" cm="1">
        <f ca="1" t="array" ref="R55">SUMPRODUCT(D55:O55,$D$8:$O$8)</f>
        <v>4494.61401904762</v>
      </c>
      <c r="S55" s="23"/>
      <c r="T55" s="23"/>
      <c r="U55" s="23"/>
    </row>
    <row r="56" ht="16.5" spans="2:21">
      <c r="B56" s="105">
        <v>34</v>
      </c>
      <c r="C56" s="23"/>
      <c r="D56" s="106">
        <f t="shared" si="3"/>
        <v>2000</v>
      </c>
      <c r="E56" s="25">
        <f ca="1" t="shared" si="4"/>
        <v>5138.08</v>
      </c>
      <c r="F56" s="24">
        <f t="shared" si="5"/>
        <v>542.857142857143</v>
      </c>
      <c r="G56" s="23">
        <f t="shared" si="6"/>
        <v>0.366666666666667</v>
      </c>
      <c r="H56" s="23">
        <f t="shared" si="11"/>
        <v>2.66666666666667</v>
      </c>
      <c r="I56" s="108">
        <f t="shared" si="7"/>
        <v>441.904761904762</v>
      </c>
      <c r="J56" s="23">
        <f t="shared" si="12"/>
        <v>14.2857142857143</v>
      </c>
      <c r="K56" s="23">
        <f t="shared" si="8"/>
        <v>3.61904761904762</v>
      </c>
      <c r="L56" s="23"/>
      <c r="M56" s="23">
        <f t="shared" si="9"/>
        <v>1428.57142857143</v>
      </c>
      <c r="N56" s="23">
        <f t="shared" si="13"/>
        <v>11.4285714285714</v>
      </c>
      <c r="O56" s="23">
        <f t="shared" si="10"/>
        <v>0.685714285714286</v>
      </c>
      <c r="P56" s="23"/>
      <c r="Q56" s="23"/>
      <c r="R56" s="48" cm="1">
        <f ca="1" t="array" ref="R56">SUMPRODUCT(D56:O56,$D$8:$O$8)</f>
        <v>4494.61401904762</v>
      </c>
      <c r="S56" s="23"/>
      <c r="T56" s="23"/>
      <c r="U56" s="23"/>
    </row>
    <row r="57" ht="16.5" spans="2:21">
      <c r="B57" s="104">
        <v>35</v>
      </c>
      <c r="C57" s="23"/>
      <c r="D57" s="106">
        <f t="shared" si="3"/>
        <v>2000</v>
      </c>
      <c r="E57" s="25">
        <f ca="1" t="shared" si="4"/>
        <v>5138.08</v>
      </c>
      <c r="F57" s="24">
        <f t="shared" si="5"/>
        <v>542.857142857143</v>
      </c>
      <c r="G57" s="23">
        <f t="shared" si="6"/>
        <v>0.366666666666667</v>
      </c>
      <c r="H57" s="23">
        <f t="shared" si="11"/>
        <v>2.66666666666667</v>
      </c>
      <c r="I57" s="108">
        <f t="shared" si="7"/>
        <v>441.904761904762</v>
      </c>
      <c r="J57" s="23">
        <f t="shared" si="12"/>
        <v>14.2857142857143</v>
      </c>
      <c r="K57" s="23">
        <f t="shared" si="8"/>
        <v>3.61904761904762</v>
      </c>
      <c r="L57" s="23"/>
      <c r="M57" s="23">
        <f t="shared" si="9"/>
        <v>1428.57142857143</v>
      </c>
      <c r="N57" s="23">
        <f t="shared" si="13"/>
        <v>11.4285714285714</v>
      </c>
      <c r="O57" s="23">
        <f t="shared" si="10"/>
        <v>0.685714285714286</v>
      </c>
      <c r="P57" s="23"/>
      <c r="Q57" s="23"/>
      <c r="R57" s="48" cm="1">
        <f ca="1" t="array" ref="R57">SUMPRODUCT(D57:O57,$D$8:$O$8)</f>
        <v>4494.61401904762</v>
      </c>
      <c r="S57" s="23"/>
      <c r="T57" s="23"/>
      <c r="U57" s="23"/>
    </row>
    <row r="58" ht="16.5" spans="2:21">
      <c r="B58" s="105">
        <v>36</v>
      </c>
      <c r="C58" s="23"/>
      <c r="D58" s="106">
        <f t="shared" si="3"/>
        <v>2000</v>
      </c>
      <c r="E58" s="25">
        <f ca="1" t="shared" si="4"/>
        <v>5138.08</v>
      </c>
      <c r="F58" s="24">
        <f t="shared" si="5"/>
        <v>542.857142857143</v>
      </c>
      <c r="G58" s="23">
        <f t="shared" si="6"/>
        <v>0.366666666666667</v>
      </c>
      <c r="H58" s="23">
        <f t="shared" si="11"/>
        <v>2.66666666666667</v>
      </c>
      <c r="I58" s="108">
        <f t="shared" si="7"/>
        <v>441.904761904762</v>
      </c>
      <c r="J58" s="23">
        <f t="shared" si="12"/>
        <v>14.2857142857143</v>
      </c>
      <c r="K58" s="23">
        <f t="shared" si="8"/>
        <v>3.61904761904762</v>
      </c>
      <c r="L58" s="23"/>
      <c r="M58" s="23">
        <f t="shared" si="9"/>
        <v>1428.57142857143</v>
      </c>
      <c r="N58" s="23">
        <f t="shared" si="13"/>
        <v>11.4285714285714</v>
      </c>
      <c r="O58" s="23">
        <f t="shared" si="10"/>
        <v>0.685714285714286</v>
      </c>
      <c r="P58" s="23"/>
      <c r="Q58" s="23"/>
      <c r="R58" s="48" cm="1">
        <f ca="1" t="array" ref="R58">SUMPRODUCT(D58:O58,$D$8:$O$8)</f>
        <v>4494.61401904762</v>
      </c>
      <c r="S58" s="23"/>
      <c r="T58" s="23"/>
      <c r="U58" s="23"/>
    </row>
    <row r="59" ht="16.5" spans="2:21">
      <c r="B59" s="104">
        <v>37</v>
      </c>
      <c r="C59" s="23"/>
      <c r="D59" s="106">
        <f t="shared" si="3"/>
        <v>2000</v>
      </c>
      <c r="E59" s="25">
        <f ca="1" t="shared" si="4"/>
        <v>5138.08</v>
      </c>
      <c r="F59" s="24">
        <f t="shared" si="5"/>
        <v>542.857142857143</v>
      </c>
      <c r="G59" s="23">
        <f t="shared" si="6"/>
        <v>0.366666666666667</v>
      </c>
      <c r="H59" s="23">
        <f t="shared" si="11"/>
        <v>2.66666666666667</v>
      </c>
      <c r="I59" s="108">
        <f t="shared" si="7"/>
        <v>441.904761904762</v>
      </c>
      <c r="J59" s="23">
        <f t="shared" si="12"/>
        <v>14.2857142857143</v>
      </c>
      <c r="K59" s="23">
        <f t="shared" si="8"/>
        <v>3.61904761904762</v>
      </c>
      <c r="L59" s="23"/>
      <c r="M59" s="23">
        <f t="shared" si="9"/>
        <v>1428.57142857143</v>
      </c>
      <c r="N59" s="23">
        <f t="shared" si="13"/>
        <v>11.4285714285714</v>
      </c>
      <c r="O59" s="23">
        <f t="shared" si="10"/>
        <v>0.685714285714286</v>
      </c>
      <c r="P59" s="23"/>
      <c r="Q59" s="23"/>
      <c r="R59" s="48" cm="1">
        <f ca="1" t="array" ref="R59">SUMPRODUCT(D59:O59,$D$8:$O$8)</f>
        <v>4494.61401904762</v>
      </c>
      <c r="S59" s="23"/>
      <c r="T59" s="23"/>
      <c r="U59" s="23"/>
    </row>
    <row r="60" ht="16.5" spans="2:21">
      <c r="B60" s="105">
        <v>38</v>
      </c>
      <c r="C60" s="23"/>
      <c r="D60" s="106">
        <f t="shared" si="3"/>
        <v>2000</v>
      </c>
      <c r="E60" s="25">
        <f ca="1" t="shared" si="4"/>
        <v>5138.08</v>
      </c>
      <c r="F60" s="24">
        <f t="shared" si="5"/>
        <v>542.857142857143</v>
      </c>
      <c r="G60" s="23">
        <f t="shared" si="6"/>
        <v>0.366666666666667</v>
      </c>
      <c r="H60" s="23">
        <f t="shared" si="11"/>
        <v>2.66666666666667</v>
      </c>
      <c r="I60" s="108">
        <f t="shared" si="7"/>
        <v>441.904761904762</v>
      </c>
      <c r="J60" s="23">
        <f t="shared" si="12"/>
        <v>14.2857142857143</v>
      </c>
      <c r="K60" s="23">
        <f t="shared" si="8"/>
        <v>3.61904761904762</v>
      </c>
      <c r="L60" s="23"/>
      <c r="M60" s="23">
        <f t="shared" si="9"/>
        <v>1428.57142857143</v>
      </c>
      <c r="N60" s="23">
        <f t="shared" si="13"/>
        <v>11.4285714285714</v>
      </c>
      <c r="O60" s="23">
        <f t="shared" si="10"/>
        <v>0.685714285714286</v>
      </c>
      <c r="P60" s="23"/>
      <c r="Q60" s="23"/>
      <c r="R60" s="48" cm="1">
        <f ca="1" t="array" ref="R60">SUMPRODUCT(D60:O60,$D$8:$O$8)</f>
        <v>4494.61401904762</v>
      </c>
      <c r="S60" s="23"/>
      <c r="T60" s="23"/>
      <c r="U60" s="23"/>
    </row>
    <row r="61" ht="16.5" spans="2:21">
      <c r="B61" s="104">
        <v>39</v>
      </c>
      <c r="C61" s="23"/>
      <c r="D61" s="106">
        <f t="shared" si="3"/>
        <v>2000</v>
      </c>
      <c r="E61" s="25">
        <f ca="1" t="shared" si="4"/>
        <v>5138.08</v>
      </c>
      <c r="F61" s="24">
        <f t="shared" si="5"/>
        <v>542.857142857143</v>
      </c>
      <c r="G61" s="23">
        <f t="shared" si="6"/>
        <v>0.366666666666667</v>
      </c>
      <c r="H61" s="23">
        <f t="shared" si="11"/>
        <v>2.66666666666667</v>
      </c>
      <c r="I61" s="108">
        <f t="shared" si="7"/>
        <v>441.904761904762</v>
      </c>
      <c r="J61" s="23">
        <f t="shared" si="12"/>
        <v>14.2857142857143</v>
      </c>
      <c r="K61" s="23">
        <f t="shared" si="8"/>
        <v>3.61904761904762</v>
      </c>
      <c r="L61" s="23"/>
      <c r="M61" s="23">
        <f t="shared" si="9"/>
        <v>1428.57142857143</v>
      </c>
      <c r="N61" s="23">
        <f t="shared" si="13"/>
        <v>11.4285714285714</v>
      </c>
      <c r="O61" s="23">
        <f t="shared" si="10"/>
        <v>0.685714285714286</v>
      </c>
      <c r="P61" s="23"/>
      <c r="Q61" s="23"/>
      <c r="R61" s="48" cm="1">
        <f ca="1" t="array" ref="R61">SUMPRODUCT(D61:O61,$D$8:$O$8)</f>
        <v>4494.61401904762</v>
      </c>
      <c r="S61" s="23"/>
      <c r="T61" s="23"/>
      <c r="U61" s="23"/>
    </row>
    <row r="62" ht="16.5" spans="2:21">
      <c r="B62" s="105">
        <v>40</v>
      </c>
      <c r="C62" s="23"/>
      <c r="D62" s="106">
        <f t="shared" si="3"/>
        <v>2000</v>
      </c>
      <c r="E62" s="25">
        <f ca="1" t="shared" si="4"/>
        <v>5179.408</v>
      </c>
      <c r="F62" s="24">
        <f t="shared" si="5"/>
        <v>542.857142857143</v>
      </c>
      <c r="G62" s="23">
        <f t="shared" si="6"/>
        <v>0.366666666666667</v>
      </c>
      <c r="H62" s="23">
        <f t="shared" si="11"/>
        <v>2.66666666666667</v>
      </c>
      <c r="I62" s="108">
        <f t="shared" si="7"/>
        <v>441.904761904762</v>
      </c>
      <c r="J62" s="23">
        <f t="shared" si="12"/>
        <v>14.2857142857143</v>
      </c>
      <c r="K62" s="23">
        <f t="shared" si="8"/>
        <v>3.61904761904762</v>
      </c>
      <c r="L62" s="23"/>
      <c r="M62" s="23">
        <f t="shared" si="9"/>
        <v>1428.57142857143</v>
      </c>
      <c r="N62" s="23">
        <f t="shared" si="13"/>
        <v>11.4285714285714</v>
      </c>
      <c r="O62" s="23">
        <f t="shared" si="10"/>
        <v>0.685714285714286</v>
      </c>
      <c r="P62" s="23"/>
      <c r="Q62" s="23"/>
      <c r="R62" s="48" cm="1">
        <f ca="1" t="array" ref="R62">SUMPRODUCT(D62:O62,$D$8:$O$8)</f>
        <v>4508.25225904762</v>
      </c>
      <c r="S62" s="23"/>
      <c r="T62" s="23"/>
      <c r="U62" s="23"/>
    </row>
    <row r="63" ht="16.5" spans="2:21">
      <c r="B63" s="104">
        <v>41</v>
      </c>
      <c r="C63" s="23"/>
      <c r="D63" s="106">
        <f t="shared" si="3"/>
        <v>2000</v>
      </c>
      <c r="E63" s="25">
        <f ca="1" t="shared" si="4"/>
        <v>5179.408</v>
      </c>
      <c r="F63" s="24">
        <f t="shared" si="5"/>
        <v>542.857142857143</v>
      </c>
      <c r="G63" s="23">
        <f t="shared" si="6"/>
        <v>0.366666666666667</v>
      </c>
      <c r="H63" s="23">
        <f t="shared" si="11"/>
        <v>2.66666666666667</v>
      </c>
      <c r="I63" s="108">
        <f t="shared" si="7"/>
        <v>441.904761904762</v>
      </c>
      <c r="J63" s="23">
        <f t="shared" si="12"/>
        <v>14.2857142857143</v>
      </c>
      <c r="K63" s="23">
        <f t="shared" si="8"/>
        <v>3.61904761904762</v>
      </c>
      <c r="L63" s="23"/>
      <c r="M63" s="23">
        <f t="shared" si="9"/>
        <v>1428.57142857143</v>
      </c>
      <c r="N63" s="23">
        <f t="shared" si="13"/>
        <v>11.4285714285714</v>
      </c>
      <c r="O63" s="23">
        <f t="shared" si="10"/>
        <v>0.685714285714286</v>
      </c>
      <c r="P63" s="23"/>
      <c r="Q63" s="23"/>
      <c r="R63" s="48" cm="1">
        <f ca="1" t="array" ref="R63">SUMPRODUCT(D63:O63,$D$8:$O$8)</f>
        <v>4508.25225904762</v>
      </c>
      <c r="S63" s="23"/>
      <c r="T63" s="23"/>
      <c r="U63" s="23"/>
    </row>
    <row r="64" ht="16.5" spans="2:21">
      <c r="B64" s="105">
        <v>42</v>
      </c>
      <c r="C64" s="23"/>
      <c r="D64" s="106">
        <f t="shared" si="3"/>
        <v>2000</v>
      </c>
      <c r="E64" s="25">
        <f ca="1" t="shared" si="4"/>
        <v>5179.408</v>
      </c>
      <c r="F64" s="24">
        <f t="shared" si="5"/>
        <v>542.857142857143</v>
      </c>
      <c r="G64" s="23">
        <f t="shared" si="6"/>
        <v>0.366666666666667</v>
      </c>
      <c r="H64" s="23">
        <f t="shared" si="11"/>
        <v>2.66666666666667</v>
      </c>
      <c r="I64" s="108">
        <f t="shared" si="7"/>
        <v>441.904761904762</v>
      </c>
      <c r="J64" s="23">
        <f t="shared" si="12"/>
        <v>14.2857142857143</v>
      </c>
      <c r="K64" s="23">
        <f t="shared" si="8"/>
        <v>3.61904761904762</v>
      </c>
      <c r="L64" s="23"/>
      <c r="M64" s="23">
        <f t="shared" si="9"/>
        <v>1428.57142857143</v>
      </c>
      <c r="N64" s="23">
        <f t="shared" si="13"/>
        <v>11.4285714285714</v>
      </c>
      <c r="O64" s="23">
        <f t="shared" si="10"/>
        <v>0.685714285714286</v>
      </c>
      <c r="P64" s="23"/>
      <c r="Q64" s="23"/>
      <c r="R64" s="48" cm="1">
        <f ca="1" t="array" ref="R64">SUMPRODUCT(D64:O64,$D$8:$O$8)</f>
        <v>4508.25225904762</v>
      </c>
      <c r="S64" s="23"/>
      <c r="T64" s="23"/>
      <c r="U64" s="23"/>
    </row>
    <row r="65" ht="16.5" spans="2:21">
      <c r="B65" s="104">
        <v>43</v>
      </c>
      <c r="C65" s="23"/>
      <c r="D65" s="106">
        <f t="shared" si="3"/>
        <v>2000</v>
      </c>
      <c r="E65" s="25">
        <f ca="1" t="shared" si="4"/>
        <v>5179.408</v>
      </c>
      <c r="F65" s="24">
        <f t="shared" si="5"/>
        <v>542.857142857143</v>
      </c>
      <c r="G65" s="23">
        <f t="shared" si="6"/>
        <v>0.366666666666667</v>
      </c>
      <c r="H65" s="23">
        <f t="shared" si="11"/>
        <v>2.66666666666667</v>
      </c>
      <c r="I65" s="108">
        <f t="shared" si="7"/>
        <v>441.904761904762</v>
      </c>
      <c r="J65" s="23">
        <f t="shared" si="12"/>
        <v>14.2857142857143</v>
      </c>
      <c r="K65" s="23">
        <f t="shared" si="8"/>
        <v>3.61904761904762</v>
      </c>
      <c r="L65" s="23"/>
      <c r="M65" s="23">
        <f t="shared" si="9"/>
        <v>1428.57142857143</v>
      </c>
      <c r="N65" s="23">
        <f t="shared" si="13"/>
        <v>11.4285714285714</v>
      </c>
      <c r="O65" s="23">
        <f t="shared" si="10"/>
        <v>0.685714285714286</v>
      </c>
      <c r="P65" s="23"/>
      <c r="Q65" s="23"/>
      <c r="R65" s="48" cm="1">
        <f ca="1" t="array" ref="R65">SUMPRODUCT(D65:O65,$D$8:$O$8)</f>
        <v>4508.25225904762</v>
      </c>
      <c r="S65" s="23"/>
      <c r="T65" s="23"/>
      <c r="U65" s="23"/>
    </row>
    <row r="66" ht="16.5" spans="2:21">
      <c r="B66" s="105">
        <v>44</v>
      </c>
      <c r="C66" s="23"/>
      <c r="D66" s="106">
        <f t="shared" si="3"/>
        <v>2000</v>
      </c>
      <c r="E66" s="25">
        <f ca="1" t="shared" si="4"/>
        <v>5179.408</v>
      </c>
      <c r="F66" s="24">
        <f t="shared" si="5"/>
        <v>542.857142857143</v>
      </c>
      <c r="G66" s="23">
        <f t="shared" si="6"/>
        <v>0.366666666666667</v>
      </c>
      <c r="H66" s="23">
        <f t="shared" si="11"/>
        <v>2.66666666666667</v>
      </c>
      <c r="I66" s="108">
        <f t="shared" si="7"/>
        <v>441.904761904762</v>
      </c>
      <c r="J66" s="23">
        <f t="shared" si="12"/>
        <v>14.2857142857143</v>
      </c>
      <c r="K66" s="23">
        <f t="shared" si="8"/>
        <v>3.61904761904762</v>
      </c>
      <c r="L66" s="23"/>
      <c r="M66" s="23">
        <f t="shared" si="9"/>
        <v>1428.57142857143</v>
      </c>
      <c r="N66" s="23">
        <f t="shared" si="13"/>
        <v>11.4285714285714</v>
      </c>
      <c r="O66" s="23">
        <f t="shared" si="10"/>
        <v>0.685714285714286</v>
      </c>
      <c r="P66" s="23"/>
      <c r="Q66" s="23"/>
      <c r="R66" s="48" cm="1">
        <f ca="1" t="array" ref="R66">SUMPRODUCT(D66:O66,$D$8:$O$8)</f>
        <v>4508.25225904762</v>
      </c>
      <c r="S66" s="23"/>
      <c r="T66" s="23"/>
      <c r="U66" s="23"/>
    </row>
    <row r="67" ht="16.5" spans="2:21">
      <c r="B67" s="104">
        <v>45</v>
      </c>
      <c r="C67" s="23"/>
      <c r="D67" s="106">
        <f t="shared" si="3"/>
        <v>2000</v>
      </c>
      <c r="E67" s="25">
        <f ca="1" t="shared" si="4"/>
        <v>5179.408</v>
      </c>
      <c r="F67" s="24">
        <f t="shared" si="5"/>
        <v>542.857142857143</v>
      </c>
      <c r="G67" s="23">
        <f t="shared" si="6"/>
        <v>0.366666666666667</v>
      </c>
      <c r="H67" s="23">
        <f t="shared" si="11"/>
        <v>2.66666666666667</v>
      </c>
      <c r="I67" s="108">
        <f t="shared" si="7"/>
        <v>441.904761904762</v>
      </c>
      <c r="J67" s="23">
        <f t="shared" si="12"/>
        <v>14.2857142857143</v>
      </c>
      <c r="K67" s="23">
        <f t="shared" si="8"/>
        <v>3.61904761904762</v>
      </c>
      <c r="L67" s="23"/>
      <c r="M67" s="23">
        <f t="shared" si="9"/>
        <v>1428.57142857143</v>
      </c>
      <c r="N67" s="23">
        <f t="shared" si="13"/>
        <v>11.4285714285714</v>
      </c>
      <c r="O67" s="23">
        <f t="shared" si="10"/>
        <v>0.685714285714286</v>
      </c>
      <c r="P67" s="23"/>
      <c r="Q67" s="23"/>
      <c r="R67" s="48" cm="1">
        <f ca="1" t="array" ref="R67">SUMPRODUCT(D67:O67,$D$8:$O$8)</f>
        <v>4508.25225904762</v>
      </c>
      <c r="S67" s="23"/>
      <c r="T67" s="23"/>
      <c r="U67" s="23"/>
    </row>
    <row r="68" ht="16.5" spans="2:21">
      <c r="B68" s="105">
        <v>46</v>
      </c>
      <c r="C68" s="23"/>
      <c r="D68" s="106">
        <f t="shared" si="3"/>
        <v>2000</v>
      </c>
      <c r="E68" s="25">
        <f ca="1" t="shared" si="4"/>
        <v>5179.408</v>
      </c>
      <c r="F68" s="24">
        <f t="shared" si="5"/>
        <v>542.857142857143</v>
      </c>
      <c r="G68" s="23">
        <f t="shared" si="6"/>
        <v>0.366666666666667</v>
      </c>
      <c r="H68" s="23">
        <f t="shared" si="11"/>
        <v>2.66666666666667</v>
      </c>
      <c r="I68" s="108">
        <f t="shared" si="7"/>
        <v>441.904761904762</v>
      </c>
      <c r="J68" s="23">
        <f t="shared" si="12"/>
        <v>14.2857142857143</v>
      </c>
      <c r="K68" s="23">
        <f t="shared" si="8"/>
        <v>3.61904761904762</v>
      </c>
      <c r="L68" s="23"/>
      <c r="M68" s="23">
        <f t="shared" si="9"/>
        <v>1428.57142857143</v>
      </c>
      <c r="N68" s="23">
        <f t="shared" si="13"/>
        <v>11.4285714285714</v>
      </c>
      <c r="O68" s="23">
        <f t="shared" si="10"/>
        <v>0.685714285714286</v>
      </c>
      <c r="P68" s="23"/>
      <c r="Q68" s="23"/>
      <c r="R68" s="48" cm="1">
        <f ca="1" t="array" ref="R68">SUMPRODUCT(D68:O68,$D$8:$O$8)</f>
        <v>4508.25225904762</v>
      </c>
      <c r="S68" s="23"/>
      <c r="T68" s="23"/>
      <c r="U68" s="23"/>
    </row>
    <row r="69" ht="16.5" spans="2:21">
      <c r="B69" s="104">
        <v>47</v>
      </c>
      <c r="C69" s="23"/>
      <c r="D69" s="106">
        <f t="shared" si="3"/>
        <v>2000</v>
      </c>
      <c r="E69" s="25">
        <f ca="1" t="shared" si="4"/>
        <v>5179.408</v>
      </c>
      <c r="F69" s="24">
        <f t="shared" si="5"/>
        <v>542.857142857143</v>
      </c>
      <c r="G69" s="23">
        <f t="shared" si="6"/>
        <v>0.366666666666667</v>
      </c>
      <c r="H69" s="23">
        <f t="shared" si="11"/>
        <v>2.66666666666667</v>
      </c>
      <c r="I69" s="108">
        <f t="shared" si="7"/>
        <v>441.904761904762</v>
      </c>
      <c r="J69" s="23">
        <f t="shared" si="12"/>
        <v>14.2857142857143</v>
      </c>
      <c r="K69" s="23">
        <f t="shared" si="8"/>
        <v>3.61904761904762</v>
      </c>
      <c r="L69" s="23"/>
      <c r="M69" s="23">
        <f t="shared" si="9"/>
        <v>1428.57142857143</v>
      </c>
      <c r="N69" s="23">
        <f t="shared" si="13"/>
        <v>11.4285714285714</v>
      </c>
      <c r="O69" s="23">
        <f t="shared" si="10"/>
        <v>0.685714285714286</v>
      </c>
      <c r="P69" s="23"/>
      <c r="Q69" s="23"/>
      <c r="R69" s="48" cm="1">
        <f ca="1" t="array" ref="R69">SUMPRODUCT(D69:O69,$D$8:$O$8)</f>
        <v>4508.25225904762</v>
      </c>
      <c r="S69" s="23"/>
      <c r="T69" s="23"/>
      <c r="U69" s="23"/>
    </row>
    <row r="70" ht="16.5" spans="2:21">
      <c r="B70" s="105">
        <v>48</v>
      </c>
      <c r="C70" s="23"/>
      <c r="D70" s="106">
        <f t="shared" si="3"/>
        <v>2000</v>
      </c>
      <c r="E70" s="25">
        <f ca="1" t="shared" si="4"/>
        <v>5220.88</v>
      </c>
      <c r="F70" s="24">
        <f t="shared" si="5"/>
        <v>542.857142857143</v>
      </c>
      <c r="G70" s="23">
        <f t="shared" si="6"/>
        <v>0.366666666666667</v>
      </c>
      <c r="H70" s="23">
        <f t="shared" si="11"/>
        <v>2.66666666666667</v>
      </c>
      <c r="I70" s="108">
        <f t="shared" si="7"/>
        <v>441.904761904762</v>
      </c>
      <c r="J70" s="23">
        <f t="shared" si="12"/>
        <v>14.2857142857143</v>
      </c>
      <c r="K70" s="23">
        <f t="shared" si="8"/>
        <v>3.61904761904762</v>
      </c>
      <c r="L70" s="23"/>
      <c r="M70" s="23">
        <f t="shared" si="9"/>
        <v>1428.57142857143</v>
      </c>
      <c r="N70" s="23">
        <f t="shared" si="13"/>
        <v>11.4285714285714</v>
      </c>
      <c r="O70" s="23">
        <f t="shared" si="10"/>
        <v>0.685714285714286</v>
      </c>
      <c r="P70" s="23"/>
      <c r="Q70" s="23"/>
      <c r="R70" s="48" cm="1">
        <f ca="1" t="array" ref="R70">SUMPRODUCT(D70:O70,$D$8:$O$8)</f>
        <v>4521.93801904762</v>
      </c>
      <c r="S70" s="23"/>
      <c r="T70" s="23"/>
      <c r="U70" s="23"/>
    </row>
    <row r="71" ht="16.5" spans="2:21">
      <c r="B71" s="104">
        <v>49</v>
      </c>
      <c r="C71" s="23"/>
      <c r="D71" s="106">
        <f t="shared" si="3"/>
        <v>2000</v>
      </c>
      <c r="E71" s="25">
        <f ca="1" t="shared" si="4"/>
        <v>5220.88</v>
      </c>
      <c r="F71" s="24">
        <f t="shared" si="5"/>
        <v>542.857142857143</v>
      </c>
      <c r="G71" s="23">
        <f t="shared" si="6"/>
        <v>0.366666666666667</v>
      </c>
      <c r="H71" s="23">
        <f t="shared" si="11"/>
        <v>2.66666666666667</v>
      </c>
      <c r="I71" s="108">
        <f t="shared" si="7"/>
        <v>441.904761904762</v>
      </c>
      <c r="J71" s="23">
        <f t="shared" si="12"/>
        <v>14.2857142857143</v>
      </c>
      <c r="K71" s="23">
        <f t="shared" si="8"/>
        <v>3.61904761904762</v>
      </c>
      <c r="L71" s="23"/>
      <c r="M71" s="23">
        <f t="shared" si="9"/>
        <v>1428.57142857143</v>
      </c>
      <c r="N71" s="23">
        <f t="shared" si="13"/>
        <v>11.4285714285714</v>
      </c>
      <c r="O71" s="23">
        <f t="shared" si="10"/>
        <v>0.685714285714286</v>
      </c>
      <c r="P71" s="23"/>
      <c r="Q71" s="23"/>
      <c r="R71" s="48" cm="1">
        <f ca="1" t="array" ref="R71">SUMPRODUCT(D71:O71,$D$8:$O$8)</f>
        <v>4521.93801904762</v>
      </c>
      <c r="S71" s="23"/>
      <c r="T71" s="23"/>
      <c r="U71" s="23"/>
    </row>
    <row r="72" ht="16.5" spans="2:21">
      <c r="B72" s="105">
        <v>50</v>
      </c>
      <c r="C72" s="23"/>
      <c r="D72" s="106">
        <f t="shared" si="3"/>
        <v>2000</v>
      </c>
      <c r="E72" s="25">
        <f ca="1" t="shared" si="4"/>
        <v>5220.88</v>
      </c>
      <c r="F72" s="24">
        <f t="shared" si="5"/>
        <v>542.857142857143</v>
      </c>
      <c r="G72" s="23">
        <f t="shared" si="6"/>
        <v>0.366666666666667</v>
      </c>
      <c r="H72" s="23">
        <f t="shared" si="11"/>
        <v>2.66666666666667</v>
      </c>
      <c r="I72" s="108">
        <f t="shared" si="7"/>
        <v>441.904761904762</v>
      </c>
      <c r="J72" s="23">
        <f t="shared" si="12"/>
        <v>14.2857142857143</v>
      </c>
      <c r="K72" s="23">
        <f t="shared" si="8"/>
        <v>3.61904761904762</v>
      </c>
      <c r="L72" s="23"/>
      <c r="M72" s="23">
        <f t="shared" si="9"/>
        <v>1428.57142857143</v>
      </c>
      <c r="N72" s="23">
        <f t="shared" si="13"/>
        <v>11.4285714285714</v>
      </c>
      <c r="O72" s="23">
        <f t="shared" si="10"/>
        <v>0.685714285714286</v>
      </c>
      <c r="P72" s="23"/>
      <c r="Q72" s="23"/>
      <c r="R72" s="48" cm="1">
        <f ca="1" t="array" ref="R72">SUMPRODUCT(D72:O72,$D$8:$O$8)</f>
        <v>4521.93801904762</v>
      </c>
      <c r="S72" s="23"/>
      <c r="T72" s="23"/>
      <c r="U72" s="23"/>
    </row>
    <row r="73" ht="16.5" spans="2:21">
      <c r="B73" s="104">
        <v>51</v>
      </c>
      <c r="C73" s="23"/>
      <c r="D73" s="106">
        <f t="shared" si="3"/>
        <v>2000</v>
      </c>
      <c r="E73" s="25">
        <f ca="1" t="shared" si="4"/>
        <v>5220.88</v>
      </c>
      <c r="F73" s="24">
        <f t="shared" si="5"/>
        <v>542.857142857143</v>
      </c>
      <c r="G73" s="23">
        <f t="shared" si="6"/>
        <v>0.366666666666667</v>
      </c>
      <c r="H73" s="23">
        <f t="shared" si="11"/>
        <v>2.66666666666667</v>
      </c>
      <c r="I73" s="108">
        <f t="shared" si="7"/>
        <v>441.904761904762</v>
      </c>
      <c r="J73" s="23">
        <f t="shared" si="12"/>
        <v>14.2857142857143</v>
      </c>
      <c r="K73" s="23">
        <f t="shared" si="8"/>
        <v>3.61904761904762</v>
      </c>
      <c r="L73" s="23"/>
      <c r="M73" s="23">
        <f t="shared" si="9"/>
        <v>1428.57142857143</v>
      </c>
      <c r="N73" s="23">
        <f t="shared" si="13"/>
        <v>11.4285714285714</v>
      </c>
      <c r="O73" s="23">
        <f t="shared" si="10"/>
        <v>0.685714285714286</v>
      </c>
      <c r="P73" s="23"/>
      <c r="Q73" s="23"/>
      <c r="R73" s="48" cm="1">
        <f ca="1" t="array" ref="R73">SUMPRODUCT(D73:O73,$D$8:$O$8)</f>
        <v>4521.93801904762</v>
      </c>
      <c r="S73" s="23"/>
      <c r="T73" s="23"/>
      <c r="U73" s="23"/>
    </row>
    <row r="74" ht="16.5" spans="2:21">
      <c r="B74" s="105">
        <v>52</v>
      </c>
      <c r="C74" s="23"/>
      <c r="D74" s="106">
        <f t="shared" si="3"/>
        <v>2000</v>
      </c>
      <c r="E74" s="25">
        <f ca="1" t="shared" si="4"/>
        <v>5220.88</v>
      </c>
      <c r="F74" s="24">
        <f t="shared" si="5"/>
        <v>542.857142857143</v>
      </c>
      <c r="G74" s="23">
        <f t="shared" si="6"/>
        <v>0.366666666666667</v>
      </c>
      <c r="H74" s="23">
        <f t="shared" si="11"/>
        <v>2.66666666666667</v>
      </c>
      <c r="I74" s="108">
        <f t="shared" si="7"/>
        <v>441.904761904762</v>
      </c>
      <c r="J74" s="23">
        <f t="shared" si="12"/>
        <v>14.2857142857143</v>
      </c>
      <c r="K74" s="23">
        <f t="shared" si="8"/>
        <v>3.61904761904762</v>
      </c>
      <c r="L74" s="23"/>
      <c r="M74" s="23">
        <f t="shared" si="9"/>
        <v>1428.57142857143</v>
      </c>
      <c r="N74" s="23">
        <f t="shared" si="13"/>
        <v>11.4285714285714</v>
      </c>
      <c r="O74" s="23">
        <f t="shared" si="10"/>
        <v>0.685714285714286</v>
      </c>
      <c r="P74" s="23"/>
      <c r="Q74" s="23"/>
      <c r="R74" s="48" cm="1">
        <f ca="1" t="array" ref="R74">SUMPRODUCT(D74:O74,$D$8:$O$8)</f>
        <v>4521.93801904762</v>
      </c>
      <c r="S74" s="23"/>
      <c r="T74" s="23"/>
      <c r="U74" s="23"/>
    </row>
    <row r="75" ht="16.5" spans="2:21">
      <c r="B75" s="104">
        <v>53</v>
      </c>
      <c r="C75" s="23"/>
      <c r="D75" s="106">
        <f t="shared" si="3"/>
        <v>2000</v>
      </c>
      <c r="E75" s="25">
        <f ca="1" t="shared" si="4"/>
        <v>5220.88</v>
      </c>
      <c r="F75" s="24">
        <f t="shared" si="5"/>
        <v>542.857142857143</v>
      </c>
      <c r="G75" s="23">
        <f t="shared" si="6"/>
        <v>0.366666666666667</v>
      </c>
      <c r="H75" s="23">
        <f t="shared" si="11"/>
        <v>2.66666666666667</v>
      </c>
      <c r="I75" s="108">
        <f t="shared" si="7"/>
        <v>441.904761904762</v>
      </c>
      <c r="J75" s="23">
        <f t="shared" si="12"/>
        <v>14.2857142857143</v>
      </c>
      <c r="K75" s="23">
        <f t="shared" si="8"/>
        <v>3.61904761904762</v>
      </c>
      <c r="L75" s="23"/>
      <c r="M75" s="23">
        <f t="shared" si="9"/>
        <v>1428.57142857143</v>
      </c>
      <c r="N75" s="23">
        <f t="shared" si="13"/>
        <v>11.4285714285714</v>
      </c>
      <c r="O75" s="23">
        <f t="shared" si="10"/>
        <v>0.685714285714286</v>
      </c>
      <c r="P75" s="23"/>
      <c r="Q75" s="23"/>
      <c r="R75" s="48" cm="1">
        <f ca="1" t="array" ref="R75">SUMPRODUCT(D75:O75,$D$8:$O$8)</f>
        <v>4521.93801904762</v>
      </c>
      <c r="S75" s="23"/>
      <c r="T75" s="23"/>
      <c r="U75" s="23"/>
    </row>
    <row r="76" ht="16.5" spans="2:21">
      <c r="B76" s="105">
        <v>54</v>
      </c>
      <c r="C76" s="23"/>
      <c r="D76" s="106">
        <f t="shared" si="3"/>
        <v>2000</v>
      </c>
      <c r="E76" s="25">
        <f ca="1" t="shared" si="4"/>
        <v>5220.88</v>
      </c>
      <c r="F76" s="24">
        <f t="shared" si="5"/>
        <v>542.857142857143</v>
      </c>
      <c r="G76" s="23">
        <f t="shared" si="6"/>
        <v>0.366666666666667</v>
      </c>
      <c r="H76" s="23">
        <f t="shared" si="11"/>
        <v>2.66666666666667</v>
      </c>
      <c r="I76" s="108">
        <f t="shared" si="7"/>
        <v>441.904761904762</v>
      </c>
      <c r="J76" s="23">
        <f t="shared" si="12"/>
        <v>14.2857142857143</v>
      </c>
      <c r="K76" s="23">
        <f t="shared" si="8"/>
        <v>3.61904761904762</v>
      </c>
      <c r="L76" s="23"/>
      <c r="M76" s="23">
        <f t="shared" si="9"/>
        <v>1428.57142857143</v>
      </c>
      <c r="N76" s="23">
        <f t="shared" si="13"/>
        <v>11.4285714285714</v>
      </c>
      <c r="O76" s="23">
        <f t="shared" si="10"/>
        <v>0.685714285714286</v>
      </c>
      <c r="P76" s="23"/>
      <c r="Q76" s="23"/>
      <c r="R76" s="48" cm="1">
        <f ca="1" t="array" ref="R76">SUMPRODUCT(D76:O76,$D$8:$O$8)</f>
        <v>4521.93801904762</v>
      </c>
      <c r="S76" s="23"/>
      <c r="T76" s="23"/>
      <c r="U76" s="23"/>
    </row>
    <row r="77" ht="16.5" spans="2:21">
      <c r="B77" s="104">
        <v>55</v>
      </c>
      <c r="C77" s="23"/>
      <c r="D77" s="106">
        <f t="shared" si="3"/>
        <v>2000</v>
      </c>
      <c r="E77" s="25">
        <f ca="1" t="shared" si="4"/>
        <v>5220.88</v>
      </c>
      <c r="F77" s="24">
        <f t="shared" si="5"/>
        <v>542.857142857143</v>
      </c>
      <c r="G77" s="23">
        <f t="shared" si="6"/>
        <v>0.366666666666667</v>
      </c>
      <c r="H77" s="23">
        <f t="shared" si="11"/>
        <v>2.66666666666667</v>
      </c>
      <c r="I77" s="108">
        <f t="shared" si="7"/>
        <v>441.904761904762</v>
      </c>
      <c r="J77" s="23">
        <f t="shared" si="12"/>
        <v>14.2857142857143</v>
      </c>
      <c r="K77" s="23">
        <f t="shared" si="8"/>
        <v>3.61904761904762</v>
      </c>
      <c r="L77" s="23"/>
      <c r="M77" s="23">
        <f t="shared" si="9"/>
        <v>1428.57142857143</v>
      </c>
      <c r="N77" s="23">
        <f t="shared" si="13"/>
        <v>11.4285714285714</v>
      </c>
      <c r="O77" s="23">
        <f t="shared" si="10"/>
        <v>0.685714285714286</v>
      </c>
      <c r="P77" s="23"/>
      <c r="Q77" s="23"/>
      <c r="R77" s="48" cm="1">
        <f ca="1" t="array" ref="R77">SUMPRODUCT(D77:O77,$D$8:$O$8)</f>
        <v>4521.93801904762</v>
      </c>
      <c r="S77" s="23"/>
      <c r="T77" s="23"/>
      <c r="U77" s="23"/>
    </row>
    <row r="78" ht="16.5" spans="2:21">
      <c r="B78" s="105">
        <v>56</v>
      </c>
      <c r="C78" s="23"/>
      <c r="D78" s="106">
        <f t="shared" si="3"/>
        <v>2000</v>
      </c>
      <c r="E78" s="25">
        <f ca="1" t="shared" si="4"/>
        <v>5262.208</v>
      </c>
      <c r="F78" s="24">
        <f t="shared" si="5"/>
        <v>542.857142857143</v>
      </c>
      <c r="G78" s="23">
        <f t="shared" si="6"/>
        <v>0.366666666666667</v>
      </c>
      <c r="H78" s="23">
        <f t="shared" si="11"/>
        <v>2.66666666666667</v>
      </c>
      <c r="I78" s="108">
        <f t="shared" si="7"/>
        <v>441.904761904762</v>
      </c>
      <c r="J78" s="23">
        <f t="shared" si="12"/>
        <v>14.2857142857143</v>
      </c>
      <c r="K78" s="23">
        <f t="shared" si="8"/>
        <v>3.61904761904762</v>
      </c>
      <c r="L78" s="23"/>
      <c r="M78" s="23">
        <f t="shared" si="9"/>
        <v>1428.57142857143</v>
      </c>
      <c r="N78" s="23">
        <f t="shared" si="13"/>
        <v>11.4285714285714</v>
      </c>
      <c r="O78" s="23">
        <f t="shared" si="10"/>
        <v>0.685714285714286</v>
      </c>
      <c r="P78" s="23"/>
      <c r="Q78" s="23"/>
      <c r="R78" s="48" cm="1">
        <f ca="1" t="array" ref="R78">SUMPRODUCT(D78:O78,$D$8:$O$8)</f>
        <v>4535.57625904762</v>
      </c>
      <c r="S78" s="23"/>
      <c r="T78" s="23"/>
      <c r="U78" s="23"/>
    </row>
    <row r="79" ht="16.5" spans="2:21">
      <c r="B79" s="104">
        <v>57</v>
      </c>
      <c r="C79" s="23"/>
      <c r="D79" s="106">
        <f t="shared" si="3"/>
        <v>2000</v>
      </c>
      <c r="E79" s="25">
        <f ca="1" t="shared" si="4"/>
        <v>5262.208</v>
      </c>
      <c r="F79" s="24">
        <f t="shared" si="5"/>
        <v>542.857142857143</v>
      </c>
      <c r="G79" s="23">
        <f t="shared" si="6"/>
        <v>0.366666666666667</v>
      </c>
      <c r="H79" s="23">
        <f t="shared" si="11"/>
        <v>2.66666666666667</v>
      </c>
      <c r="I79" s="108">
        <f t="shared" si="7"/>
        <v>441.904761904762</v>
      </c>
      <c r="J79" s="23">
        <f t="shared" si="12"/>
        <v>14.2857142857143</v>
      </c>
      <c r="K79" s="23">
        <f t="shared" si="8"/>
        <v>3.61904761904762</v>
      </c>
      <c r="L79" s="23"/>
      <c r="M79" s="23">
        <f t="shared" si="9"/>
        <v>1428.57142857143</v>
      </c>
      <c r="N79" s="23">
        <f t="shared" si="13"/>
        <v>11.4285714285714</v>
      </c>
      <c r="O79" s="23">
        <f t="shared" si="10"/>
        <v>0.685714285714286</v>
      </c>
      <c r="P79" s="23"/>
      <c r="Q79" s="23"/>
      <c r="R79" s="48" cm="1">
        <f ca="1" t="array" ref="R79">SUMPRODUCT(D79:O79,$D$8:$O$8)</f>
        <v>4535.57625904762</v>
      </c>
      <c r="S79" s="23"/>
      <c r="T79" s="23"/>
      <c r="U79" s="23"/>
    </row>
    <row r="80" ht="16.5" spans="2:21">
      <c r="B80" s="105">
        <v>58</v>
      </c>
      <c r="C80" s="23"/>
      <c r="D80" s="106">
        <f t="shared" si="3"/>
        <v>2000</v>
      </c>
      <c r="E80" s="25">
        <f ca="1" t="shared" si="4"/>
        <v>5262.208</v>
      </c>
      <c r="F80" s="24">
        <f t="shared" si="5"/>
        <v>542.857142857143</v>
      </c>
      <c r="G80" s="23">
        <f t="shared" si="6"/>
        <v>0.366666666666667</v>
      </c>
      <c r="H80" s="23">
        <f t="shared" si="11"/>
        <v>2.66666666666667</v>
      </c>
      <c r="I80" s="108">
        <f t="shared" si="7"/>
        <v>441.904761904762</v>
      </c>
      <c r="J80" s="23">
        <f t="shared" si="12"/>
        <v>14.2857142857143</v>
      </c>
      <c r="K80" s="23">
        <f t="shared" si="8"/>
        <v>3.61904761904762</v>
      </c>
      <c r="L80" s="23"/>
      <c r="M80" s="23">
        <f t="shared" si="9"/>
        <v>1428.57142857143</v>
      </c>
      <c r="N80" s="23">
        <f t="shared" si="13"/>
        <v>11.4285714285714</v>
      </c>
      <c r="O80" s="23">
        <f t="shared" si="10"/>
        <v>0.685714285714286</v>
      </c>
      <c r="P80" s="23"/>
      <c r="Q80" s="23"/>
      <c r="R80" s="48" cm="1">
        <f ca="1" t="array" ref="R80">SUMPRODUCT(D80:O80,$D$8:$O$8)</f>
        <v>4535.57625904762</v>
      </c>
      <c r="S80" s="23"/>
      <c r="T80" s="23"/>
      <c r="U80" s="23"/>
    </row>
    <row r="81" ht="16.5" spans="2:21">
      <c r="B81" s="104">
        <v>59</v>
      </c>
      <c r="C81" s="23"/>
      <c r="D81" s="106">
        <f t="shared" si="3"/>
        <v>2000</v>
      </c>
      <c r="E81" s="25">
        <f ca="1" t="shared" si="4"/>
        <v>5262.208</v>
      </c>
      <c r="F81" s="24">
        <f t="shared" si="5"/>
        <v>542.857142857143</v>
      </c>
      <c r="G81" s="23">
        <f t="shared" si="6"/>
        <v>0.366666666666667</v>
      </c>
      <c r="H81" s="23">
        <f t="shared" si="11"/>
        <v>2.66666666666667</v>
      </c>
      <c r="I81" s="108">
        <f t="shared" si="7"/>
        <v>441.904761904762</v>
      </c>
      <c r="J81" s="23">
        <f t="shared" si="12"/>
        <v>14.2857142857143</v>
      </c>
      <c r="K81" s="23">
        <f t="shared" si="8"/>
        <v>3.61904761904762</v>
      </c>
      <c r="L81" s="23"/>
      <c r="M81" s="23">
        <f t="shared" si="9"/>
        <v>1428.57142857143</v>
      </c>
      <c r="N81" s="23">
        <f t="shared" si="13"/>
        <v>11.4285714285714</v>
      </c>
      <c r="O81" s="23">
        <f t="shared" si="10"/>
        <v>0.685714285714286</v>
      </c>
      <c r="P81" s="23"/>
      <c r="Q81" s="23"/>
      <c r="R81" s="48" cm="1">
        <f ca="1" t="array" ref="R81">SUMPRODUCT(D81:O81,$D$8:$O$8)</f>
        <v>4535.57625904762</v>
      </c>
      <c r="S81" s="23"/>
      <c r="T81" s="23"/>
      <c r="U81" s="23"/>
    </row>
    <row r="82" ht="16.5" spans="2:21">
      <c r="B82" s="105">
        <v>60</v>
      </c>
      <c r="C82" s="23"/>
      <c r="D82" s="106">
        <f t="shared" si="3"/>
        <v>2000</v>
      </c>
      <c r="E82" s="25">
        <f ca="1" t="shared" si="4"/>
        <v>5262.208</v>
      </c>
      <c r="F82" s="24">
        <f t="shared" si="5"/>
        <v>542.857142857143</v>
      </c>
      <c r="G82" s="23">
        <f t="shared" si="6"/>
        <v>0.366666666666667</v>
      </c>
      <c r="H82" s="23">
        <f t="shared" si="11"/>
        <v>2.66666666666667</v>
      </c>
      <c r="I82" s="108">
        <f t="shared" si="7"/>
        <v>441.904761904762</v>
      </c>
      <c r="J82" s="23">
        <f t="shared" si="12"/>
        <v>14.2857142857143</v>
      </c>
      <c r="K82" s="23">
        <f t="shared" si="8"/>
        <v>3.61904761904762</v>
      </c>
      <c r="L82" s="23"/>
      <c r="M82" s="23">
        <f t="shared" si="9"/>
        <v>1428.57142857143</v>
      </c>
      <c r="N82" s="23">
        <f t="shared" si="13"/>
        <v>11.4285714285714</v>
      </c>
      <c r="O82" s="23">
        <f t="shared" si="10"/>
        <v>0.685714285714286</v>
      </c>
      <c r="P82" s="23"/>
      <c r="Q82" s="23"/>
      <c r="R82" s="48" cm="1">
        <f ca="1" t="array" ref="R82">SUMPRODUCT(D82:O82,$D$8:$O$8)</f>
        <v>4535.57625904762</v>
      </c>
      <c r="S82" s="23"/>
      <c r="T82" s="23"/>
      <c r="U82" s="23"/>
    </row>
    <row r="83" ht="16.5" spans="2:21">
      <c r="B83" s="104">
        <v>61</v>
      </c>
      <c r="C83" s="23"/>
      <c r="D83" s="106">
        <f t="shared" si="3"/>
        <v>2000</v>
      </c>
      <c r="E83" s="25">
        <f ca="1" t="shared" si="4"/>
        <v>5262.208</v>
      </c>
      <c r="F83" s="24">
        <f t="shared" si="5"/>
        <v>542.857142857143</v>
      </c>
      <c r="G83" s="23">
        <f t="shared" si="6"/>
        <v>0.366666666666667</v>
      </c>
      <c r="H83" s="23">
        <f t="shared" si="11"/>
        <v>2.66666666666667</v>
      </c>
      <c r="I83" s="108">
        <f t="shared" si="7"/>
        <v>441.904761904762</v>
      </c>
      <c r="J83" s="23">
        <f t="shared" si="12"/>
        <v>14.2857142857143</v>
      </c>
      <c r="K83" s="23">
        <f t="shared" si="8"/>
        <v>3.61904761904762</v>
      </c>
      <c r="L83" s="23"/>
      <c r="M83" s="23">
        <f t="shared" si="9"/>
        <v>1428.57142857143</v>
      </c>
      <c r="N83" s="23">
        <f t="shared" si="13"/>
        <v>11.4285714285714</v>
      </c>
      <c r="O83" s="23">
        <f t="shared" si="10"/>
        <v>0.685714285714286</v>
      </c>
      <c r="P83" s="23"/>
      <c r="Q83" s="23"/>
      <c r="R83" s="48" cm="1">
        <f ca="1" t="array" ref="R83">SUMPRODUCT(D83:O83,$D$8:$O$8)</f>
        <v>4535.57625904762</v>
      </c>
      <c r="S83" s="23"/>
      <c r="T83" s="23"/>
      <c r="U83" s="23"/>
    </row>
    <row r="84" ht="16.5" spans="2:21">
      <c r="B84" s="105">
        <v>62</v>
      </c>
      <c r="C84" s="23"/>
      <c r="D84" s="106">
        <f t="shared" si="3"/>
        <v>2000</v>
      </c>
      <c r="E84" s="25">
        <f ca="1" t="shared" si="4"/>
        <v>5262.208</v>
      </c>
      <c r="F84" s="24">
        <f t="shared" si="5"/>
        <v>542.857142857143</v>
      </c>
      <c r="G84" s="23">
        <f t="shared" si="6"/>
        <v>0.366666666666667</v>
      </c>
      <c r="H84" s="23">
        <f t="shared" si="11"/>
        <v>2.66666666666667</v>
      </c>
      <c r="I84" s="108">
        <f t="shared" si="7"/>
        <v>441.904761904762</v>
      </c>
      <c r="J84" s="23">
        <f t="shared" si="12"/>
        <v>14.2857142857143</v>
      </c>
      <c r="K84" s="23">
        <f t="shared" si="8"/>
        <v>3.61904761904762</v>
      </c>
      <c r="L84" s="23"/>
      <c r="M84" s="23">
        <f t="shared" si="9"/>
        <v>1428.57142857143</v>
      </c>
      <c r="N84" s="23">
        <f t="shared" si="13"/>
        <v>11.4285714285714</v>
      </c>
      <c r="O84" s="23">
        <f t="shared" si="10"/>
        <v>0.685714285714286</v>
      </c>
      <c r="P84" s="23"/>
      <c r="Q84" s="23"/>
      <c r="R84" s="48" cm="1">
        <f ca="1" t="array" ref="R84">SUMPRODUCT(D84:O84,$D$8:$O$8)</f>
        <v>4535.57625904762</v>
      </c>
      <c r="S84" s="23"/>
      <c r="T84" s="23"/>
      <c r="U84" s="23"/>
    </row>
    <row r="85" ht="16.5" spans="2:21">
      <c r="B85" s="104">
        <v>63</v>
      </c>
      <c r="C85" s="23"/>
      <c r="D85" s="106">
        <f t="shared" si="3"/>
        <v>2000</v>
      </c>
      <c r="E85" s="25">
        <f ca="1" t="shared" si="4"/>
        <v>5262.208</v>
      </c>
      <c r="F85" s="24">
        <f t="shared" si="5"/>
        <v>542.857142857143</v>
      </c>
      <c r="G85" s="23">
        <f t="shared" si="6"/>
        <v>0.366666666666667</v>
      </c>
      <c r="H85" s="23">
        <f t="shared" si="11"/>
        <v>2.66666666666667</v>
      </c>
      <c r="I85" s="108">
        <f t="shared" si="7"/>
        <v>441.904761904762</v>
      </c>
      <c r="J85" s="23">
        <f t="shared" si="12"/>
        <v>14.2857142857143</v>
      </c>
      <c r="K85" s="23">
        <f t="shared" si="8"/>
        <v>3.61904761904762</v>
      </c>
      <c r="L85" s="23"/>
      <c r="M85" s="23">
        <f t="shared" si="9"/>
        <v>1428.57142857143</v>
      </c>
      <c r="N85" s="23">
        <f t="shared" si="13"/>
        <v>11.4285714285714</v>
      </c>
      <c r="O85" s="23">
        <f t="shared" si="10"/>
        <v>0.685714285714286</v>
      </c>
      <c r="P85" s="23"/>
      <c r="Q85" s="23"/>
      <c r="R85" s="48" cm="1">
        <f ca="1" t="array" ref="R85">SUMPRODUCT(D85:O85,$D$8:$O$8)</f>
        <v>4535.57625904762</v>
      </c>
      <c r="S85" s="23"/>
      <c r="T85" s="23"/>
      <c r="U85" s="23"/>
    </row>
    <row r="86" ht="16.5" spans="2:21">
      <c r="B86" s="105">
        <v>64</v>
      </c>
      <c r="C86" s="23"/>
      <c r="D86" s="106">
        <f t="shared" si="3"/>
        <v>2000</v>
      </c>
      <c r="E86" s="25">
        <f ca="1" t="shared" si="4"/>
        <v>5303.536</v>
      </c>
      <c r="F86" s="24">
        <f t="shared" si="5"/>
        <v>542.857142857143</v>
      </c>
      <c r="G86" s="23">
        <f t="shared" si="6"/>
        <v>0.366666666666667</v>
      </c>
      <c r="H86" s="23">
        <f t="shared" si="11"/>
        <v>2.66666666666667</v>
      </c>
      <c r="I86" s="108">
        <f t="shared" si="7"/>
        <v>441.904761904762</v>
      </c>
      <c r="J86" s="23">
        <f t="shared" si="12"/>
        <v>14.2857142857143</v>
      </c>
      <c r="K86" s="23">
        <f t="shared" si="8"/>
        <v>3.61904761904762</v>
      </c>
      <c r="L86" s="23"/>
      <c r="M86" s="23">
        <f t="shared" si="9"/>
        <v>1428.57142857143</v>
      </c>
      <c r="N86" s="23">
        <f t="shared" si="13"/>
        <v>11.4285714285714</v>
      </c>
      <c r="O86" s="23">
        <f t="shared" si="10"/>
        <v>0.685714285714286</v>
      </c>
      <c r="P86" s="23"/>
      <c r="Q86" s="23"/>
      <c r="R86" s="48" cm="1">
        <f ca="1" t="array" ref="R86">SUMPRODUCT(D86:O86,$D$8:$O$8)</f>
        <v>4549.21449904762</v>
      </c>
      <c r="S86" s="23"/>
      <c r="T86" s="23"/>
      <c r="U86" s="23"/>
    </row>
    <row r="87" ht="16.5" spans="2:21">
      <c r="B87" s="104">
        <v>65</v>
      </c>
      <c r="C87" s="23"/>
      <c r="D87" s="106">
        <f t="shared" si="3"/>
        <v>2000</v>
      </c>
      <c r="E87" s="25">
        <f ca="1" t="shared" si="4"/>
        <v>5303.536</v>
      </c>
      <c r="F87" s="24">
        <f t="shared" si="5"/>
        <v>542.857142857143</v>
      </c>
      <c r="G87" s="23">
        <f t="shared" si="6"/>
        <v>0.366666666666667</v>
      </c>
      <c r="H87" s="23">
        <f t="shared" si="11"/>
        <v>2.66666666666667</v>
      </c>
      <c r="I87" s="108">
        <f t="shared" si="7"/>
        <v>441.904761904762</v>
      </c>
      <c r="J87" s="23">
        <f t="shared" si="12"/>
        <v>14.2857142857143</v>
      </c>
      <c r="K87" s="23">
        <f t="shared" si="8"/>
        <v>3.61904761904762</v>
      </c>
      <c r="L87" s="23"/>
      <c r="M87" s="23">
        <f t="shared" si="9"/>
        <v>1428.57142857143</v>
      </c>
      <c r="N87" s="23">
        <f t="shared" si="13"/>
        <v>11.4285714285714</v>
      </c>
      <c r="O87" s="23">
        <f t="shared" si="10"/>
        <v>0.685714285714286</v>
      </c>
      <c r="P87" s="23"/>
      <c r="Q87" s="23"/>
      <c r="R87" s="48" cm="1">
        <f ca="1" t="array" ref="R87">SUMPRODUCT(D87:O87,$D$8:$O$8)</f>
        <v>4549.21449904762</v>
      </c>
      <c r="S87" s="23"/>
      <c r="T87" s="23"/>
      <c r="U87" s="23"/>
    </row>
    <row r="88" ht="16.5" spans="2:21">
      <c r="B88" s="105">
        <v>66</v>
      </c>
      <c r="C88" s="23"/>
      <c r="D88" s="106">
        <f t="shared" ref="D88:D151" si="14">$D$12+$D$13+$D$14</f>
        <v>2000</v>
      </c>
      <c r="E88" s="25">
        <f ca="1" t="shared" si="4"/>
        <v>5303.536</v>
      </c>
      <c r="F88" s="24">
        <f t="shared" si="5"/>
        <v>542.857142857143</v>
      </c>
      <c r="G88" s="23">
        <f t="shared" si="6"/>
        <v>0.366666666666667</v>
      </c>
      <c r="H88" s="23">
        <f t="shared" si="11"/>
        <v>2.66666666666667</v>
      </c>
      <c r="I88" s="108">
        <f t="shared" si="7"/>
        <v>441.904761904762</v>
      </c>
      <c r="J88" s="23">
        <f t="shared" si="12"/>
        <v>14.2857142857143</v>
      </c>
      <c r="K88" s="23">
        <f t="shared" si="8"/>
        <v>3.61904761904762</v>
      </c>
      <c r="L88" s="23"/>
      <c r="M88" s="23">
        <f t="shared" si="9"/>
        <v>1428.57142857143</v>
      </c>
      <c r="N88" s="23">
        <f t="shared" si="13"/>
        <v>11.4285714285714</v>
      </c>
      <c r="O88" s="23">
        <f t="shared" si="10"/>
        <v>0.685714285714286</v>
      </c>
      <c r="P88" s="23"/>
      <c r="Q88" s="23"/>
      <c r="R88" s="48" cm="1">
        <f ca="1" t="array" ref="R88">SUMPRODUCT(D88:O88,$D$8:$O$8)</f>
        <v>4549.21449904762</v>
      </c>
      <c r="S88" s="23"/>
      <c r="T88" s="23"/>
      <c r="U88" s="23"/>
    </row>
    <row r="89" ht="16.5" spans="2:21">
      <c r="B89" s="104">
        <v>67</v>
      </c>
      <c r="C89" s="23"/>
      <c r="D89" s="106">
        <f t="shared" si="14"/>
        <v>2000</v>
      </c>
      <c r="E89" s="25">
        <f ca="1" t="shared" si="4"/>
        <v>5303.536</v>
      </c>
      <c r="F89" s="24">
        <f t="shared" si="5"/>
        <v>542.857142857143</v>
      </c>
      <c r="G89" s="23">
        <f t="shared" si="6"/>
        <v>0.366666666666667</v>
      </c>
      <c r="H89" s="23">
        <f t="shared" si="11"/>
        <v>2.66666666666667</v>
      </c>
      <c r="I89" s="108">
        <f t="shared" si="7"/>
        <v>441.904761904762</v>
      </c>
      <c r="J89" s="23">
        <f t="shared" si="12"/>
        <v>14.2857142857143</v>
      </c>
      <c r="K89" s="23">
        <f t="shared" si="8"/>
        <v>3.61904761904762</v>
      </c>
      <c r="L89" s="23"/>
      <c r="M89" s="23">
        <f t="shared" si="9"/>
        <v>1428.57142857143</v>
      </c>
      <c r="N89" s="23">
        <f t="shared" si="13"/>
        <v>11.4285714285714</v>
      </c>
      <c r="O89" s="23">
        <f t="shared" si="10"/>
        <v>0.685714285714286</v>
      </c>
      <c r="P89" s="23"/>
      <c r="Q89" s="23"/>
      <c r="R89" s="48" cm="1">
        <f ca="1" t="array" ref="R89">SUMPRODUCT(D89:O89,$D$8:$O$8)</f>
        <v>4549.21449904762</v>
      </c>
      <c r="S89" s="23"/>
      <c r="T89" s="23"/>
      <c r="U89" s="23"/>
    </row>
    <row r="90" ht="16.5" spans="2:21">
      <c r="B90" s="105">
        <v>68</v>
      </c>
      <c r="C90" s="23"/>
      <c r="D90" s="106">
        <f t="shared" si="14"/>
        <v>2000</v>
      </c>
      <c r="E90" s="25">
        <f ca="1" t="shared" ref="E90:E153" si="15">$E$12+$E$13+$F$3*$F$4+IF(B90&gt;$I$5+3,$I$3*$I$4,0)+OFFSET($Y$9,MATCH(B90,$X$10:$X$39,1),0)</f>
        <v>5303.536</v>
      </c>
      <c r="F90" s="24">
        <f t="shared" ref="F90:F153" si="16">$F$12+$F$13+$F$14+$F$18/7+$C$3*$C$4+IF(B90&gt;$J$5+3,$J$3*$J$4,0)</f>
        <v>542.857142857143</v>
      </c>
      <c r="G90" s="23">
        <f t="shared" ref="G90:G153" si="17">($G$15+$G$19/2/5)/3</f>
        <v>0.366666666666667</v>
      </c>
      <c r="H90" s="23">
        <f t="shared" si="11"/>
        <v>2.66666666666667</v>
      </c>
      <c r="I90" s="108">
        <f t="shared" ref="I90:I153" si="18">$I$13+$I$14+$I$16/3+$I$19/7/5</f>
        <v>441.904761904762</v>
      </c>
      <c r="J90" s="23">
        <f t="shared" si="12"/>
        <v>14.2857142857143</v>
      </c>
      <c r="K90" s="23">
        <f t="shared" ref="K90:K153" si="19">$K$16/3+$K$19/7/5</f>
        <v>3.61904761904762</v>
      </c>
      <c r="L90" s="23"/>
      <c r="M90" s="23">
        <f t="shared" ref="M90:M153" si="20">($M$18+$M$19/5)/7+$M$14</f>
        <v>1428.57142857143</v>
      </c>
      <c r="N90" s="23">
        <f t="shared" si="13"/>
        <v>11.4285714285714</v>
      </c>
      <c r="O90" s="23">
        <f t="shared" ref="O90:O153" si="21">$O$19/7/5</f>
        <v>0.685714285714286</v>
      </c>
      <c r="P90" s="23"/>
      <c r="Q90" s="23"/>
      <c r="R90" s="48" cm="1">
        <f ca="1" t="array" ref="R90">SUMPRODUCT(D90:O90,$D$8:$O$8)</f>
        <v>4549.21449904762</v>
      </c>
      <c r="S90" s="23"/>
      <c r="T90" s="23"/>
      <c r="U90" s="23"/>
    </row>
    <row r="91" ht="16.5" spans="2:21">
      <c r="B91" s="104">
        <v>69</v>
      </c>
      <c r="C91" s="23"/>
      <c r="D91" s="106">
        <f t="shared" si="14"/>
        <v>2000</v>
      </c>
      <c r="E91" s="25">
        <f ca="1" t="shared" si="15"/>
        <v>5303.536</v>
      </c>
      <c r="F91" s="24">
        <f t="shared" si="16"/>
        <v>542.857142857143</v>
      </c>
      <c r="G91" s="23">
        <f t="shared" si="17"/>
        <v>0.366666666666667</v>
      </c>
      <c r="H91" s="23">
        <f t="shared" ref="H91:H154" si="22">$H$14+$H$15/3</f>
        <v>2.66666666666667</v>
      </c>
      <c r="I91" s="108">
        <f t="shared" si="18"/>
        <v>441.904761904762</v>
      </c>
      <c r="J91" s="23">
        <f t="shared" ref="J91:J154" si="23">$J$18/7</f>
        <v>14.2857142857143</v>
      </c>
      <c r="K91" s="23">
        <f t="shared" si="19"/>
        <v>3.61904761904762</v>
      </c>
      <c r="L91" s="23"/>
      <c r="M91" s="23">
        <f t="shared" si="20"/>
        <v>1428.57142857143</v>
      </c>
      <c r="N91" s="23">
        <f t="shared" ref="N91:N154" si="24">$N$12+$N$18/7</f>
        <v>11.4285714285714</v>
      </c>
      <c r="O91" s="23">
        <f t="shared" si="21"/>
        <v>0.685714285714286</v>
      </c>
      <c r="P91" s="23"/>
      <c r="Q91" s="23"/>
      <c r="R91" s="48" cm="1">
        <f ca="1" t="array" ref="R91">SUMPRODUCT(D91:O91,$D$8:$O$8)</f>
        <v>4549.21449904762</v>
      </c>
      <c r="S91" s="23"/>
      <c r="T91" s="23"/>
      <c r="U91" s="23"/>
    </row>
    <row r="92" ht="16.5" spans="2:21">
      <c r="B92" s="105">
        <v>70</v>
      </c>
      <c r="C92" s="23"/>
      <c r="D92" s="106">
        <f t="shared" si="14"/>
        <v>2000</v>
      </c>
      <c r="E92" s="25">
        <f ca="1" t="shared" si="15"/>
        <v>5303.536</v>
      </c>
      <c r="F92" s="24">
        <f t="shared" si="16"/>
        <v>542.857142857143</v>
      </c>
      <c r="G92" s="23">
        <f t="shared" si="17"/>
        <v>0.366666666666667</v>
      </c>
      <c r="H92" s="23">
        <f t="shared" si="22"/>
        <v>2.66666666666667</v>
      </c>
      <c r="I92" s="108">
        <f t="shared" si="18"/>
        <v>441.904761904762</v>
      </c>
      <c r="J92" s="23">
        <f t="shared" si="23"/>
        <v>14.2857142857143</v>
      </c>
      <c r="K92" s="23">
        <f t="shared" si="19"/>
        <v>3.61904761904762</v>
      </c>
      <c r="L92" s="23"/>
      <c r="M92" s="23">
        <f t="shared" si="20"/>
        <v>1428.57142857143</v>
      </c>
      <c r="N92" s="23">
        <f t="shared" si="24"/>
        <v>11.4285714285714</v>
      </c>
      <c r="O92" s="23">
        <f t="shared" si="21"/>
        <v>0.685714285714286</v>
      </c>
      <c r="P92" s="23"/>
      <c r="Q92" s="23"/>
      <c r="R92" s="48" cm="1">
        <f ca="1" t="array" ref="R92">SUMPRODUCT(D92:O92,$D$8:$O$8)</f>
        <v>4549.21449904762</v>
      </c>
      <c r="S92" s="23"/>
      <c r="T92" s="23"/>
      <c r="U92" s="23"/>
    </row>
    <row r="93" ht="16.5" spans="2:21">
      <c r="B93" s="104">
        <v>71</v>
      </c>
      <c r="C93" s="23"/>
      <c r="D93" s="106">
        <f t="shared" si="14"/>
        <v>2000</v>
      </c>
      <c r="E93" s="25">
        <f ca="1" t="shared" si="15"/>
        <v>5303.536</v>
      </c>
      <c r="F93" s="24">
        <f t="shared" si="16"/>
        <v>542.857142857143</v>
      </c>
      <c r="G93" s="23">
        <f t="shared" si="17"/>
        <v>0.366666666666667</v>
      </c>
      <c r="H93" s="23">
        <f t="shared" si="22"/>
        <v>2.66666666666667</v>
      </c>
      <c r="I93" s="108">
        <f t="shared" si="18"/>
        <v>441.904761904762</v>
      </c>
      <c r="J93" s="23">
        <f t="shared" si="23"/>
        <v>14.2857142857143</v>
      </c>
      <c r="K93" s="23">
        <f t="shared" si="19"/>
        <v>3.61904761904762</v>
      </c>
      <c r="L93" s="23"/>
      <c r="M93" s="23">
        <f t="shared" si="20"/>
        <v>1428.57142857143</v>
      </c>
      <c r="N93" s="23">
        <f t="shared" si="24"/>
        <v>11.4285714285714</v>
      </c>
      <c r="O93" s="23">
        <f t="shared" si="21"/>
        <v>0.685714285714286</v>
      </c>
      <c r="P93" s="23"/>
      <c r="Q93" s="23"/>
      <c r="R93" s="48" cm="1">
        <f ca="1" t="array" ref="R93">SUMPRODUCT(D93:O93,$D$8:$O$8)</f>
        <v>4549.21449904762</v>
      </c>
      <c r="S93" s="23"/>
      <c r="T93" s="23"/>
      <c r="U93" s="23"/>
    </row>
    <row r="94" ht="16.5" spans="2:21">
      <c r="B94" s="105">
        <v>72</v>
      </c>
      <c r="C94" s="23"/>
      <c r="D94" s="106">
        <f t="shared" si="14"/>
        <v>2000</v>
      </c>
      <c r="E94" s="25">
        <f ca="1" t="shared" si="15"/>
        <v>5303.536</v>
      </c>
      <c r="F94" s="24">
        <f t="shared" si="16"/>
        <v>542.857142857143</v>
      </c>
      <c r="G94" s="23">
        <f t="shared" si="17"/>
        <v>0.366666666666667</v>
      </c>
      <c r="H94" s="23">
        <f t="shared" si="22"/>
        <v>2.66666666666667</v>
      </c>
      <c r="I94" s="108">
        <f t="shared" si="18"/>
        <v>441.904761904762</v>
      </c>
      <c r="J94" s="23">
        <f t="shared" si="23"/>
        <v>14.2857142857143</v>
      </c>
      <c r="K94" s="23">
        <f t="shared" si="19"/>
        <v>3.61904761904762</v>
      </c>
      <c r="L94" s="23"/>
      <c r="M94" s="23">
        <f t="shared" si="20"/>
        <v>1428.57142857143</v>
      </c>
      <c r="N94" s="23">
        <f t="shared" si="24"/>
        <v>11.4285714285714</v>
      </c>
      <c r="O94" s="23">
        <f t="shared" si="21"/>
        <v>0.685714285714286</v>
      </c>
      <c r="P94" s="23"/>
      <c r="Q94" s="23"/>
      <c r="R94" s="48" cm="1">
        <f ca="1" t="array" ref="R94">SUMPRODUCT(D94:O94,$D$8:$O$8)</f>
        <v>4549.21449904762</v>
      </c>
      <c r="S94" s="23"/>
      <c r="T94" s="23"/>
      <c r="U94" s="23"/>
    </row>
    <row r="95" ht="16.5" spans="2:21">
      <c r="B95" s="104">
        <v>73</v>
      </c>
      <c r="C95" s="23"/>
      <c r="D95" s="106">
        <f t="shared" si="14"/>
        <v>2000</v>
      </c>
      <c r="E95" s="25">
        <f ca="1" t="shared" si="15"/>
        <v>5345.008</v>
      </c>
      <c r="F95" s="24">
        <f t="shared" si="16"/>
        <v>542.857142857143</v>
      </c>
      <c r="G95" s="23">
        <f t="shared" si="17"/>
        <v>0.366666666666667</v>
      </c>
      <c r="H95" s="23">
        <f t="shared" si="22"/>
        <v>2.66666666666667</v>
      </c>
      <c r="I95" s="108">
        <f t="shared" si="18"/>
        <v>441.904761904762</v>
      </c>
      <c r="J95" s="23">
        <f t="shared" si="23"/>
        <v>14.2857142857143</v>
      </c>
      <c r="K95" s="23">
        <f t="shared" si="19"/>
        <v>3.61904761904762</v>
      </c>
      <c r="L95" s="23"/>
      <c r="M95" s="23">
        <f t="shared" si="20"/>
        <v>1428.57142857143</v>
      </c>
      <c r="N95" s="23">
        <f t="shared" si="24"/>
        <v>11.4285714285714</v>
      </c>
      <c r="O95" s="23">
        <f t="shared" si="21"/>
        <v>0.685714285714286</v>
      </c>
      <c r="P95" s="23"/>
      <c r="Q95" s="23"/>
      <c r="R95" s="48" cm="1">
        <f ca="1" t="array" ref="R95">SUMPRODUCT(D95:O95,$D$8:$O$8)</f>
        <v>4562.90025904762</v>
      </c>
      <c r="S95" s="23"/>
      <c r="T95" s="23"/>
      <c r="U95" s="23"/>
    </row>
    <row r="96" ht="16.5" spans="2:21">
      <c r="B96" s="105">
        <v>74</v>
      </c>
      <c r="C96" s="23"/>
      <c r="D96" s="106">
        <f t="shared" si="14"/>
        <v>2000</v>
      </c>
      <c r="E96" s="25">
        <f ca="1" t="shared" si="15"/>
        <v>5345.008</v>
      </c>
      <c r="F96" s="24">
        <f t="shared" si="16"/>
        <v>542.857142857143</v>
      </c>
      <c r="G96" s="23">
        <f t="shared" si="17"/>
        <v>0.366666666666667</v>
      </c>
      <c r="H96" s="23">
        <f t="shared" si="22"/>
        <v>2.66666666666667</v>
      </c>
      <c r="I96" s="108">
        <f t="shared" si="18"/>
        <v>441.904761904762</v>
      </c>
      <c r="J96" s="23">
        <f t="shared" si="23"/>
        <v>14.2857142857143</v>
      </c>
      <c r="K96" s="23">
        <f t="shared" si="19"/>
        <v>3.61904761904762</v>
      </c>
      <c r="L96" s="23"/>
      <c r="M96" s="23">
        <f t="shared" si="20"/>
        <v>1428.57142857143</v>
      </c>
      <c r="N96" s="23">
        <f t="shared" si="24"/>
        <v>11.4285714285714</v>
      </c>
      <c r="O96" s="23">
        <f t="shared" si="21"/>
        <v>0.685714285714286</v>
      </c>
      <c r="P96" s="23"/>
      <c r="Q96" s="23"/>
      <c r="R96" s="48" cm="1">
        <f ca="1" t="array" ref="R96">SUMPRODUCT(D96:O96,$D$8:$O$8)</f>
        <v>4562.90025904762</v>
      </c>
      <c r="S96" s="23"/>
      <c r="T96" s="23"/>
      <c r="U96" s="23"/>
    </row>
    <row r="97" ht="16.5" spans="2:21">
      <c r="B97" s="104">
        <v>75</v>
      </c>
      <c r="C97" s="23"/>
      <c r="D97" s="106">
        <f t="shared" si="14"/>
        <v>2000</v>
      </c>
      <c r="E97" s="25">
        <f ca="1" t="shared" si="15"/>
        <v>5345.008</v>
      </c>
      <c r="F97" s="24">
        <f t="shared" si="16"/>
        <v>542.857142857143</v>
      </c>
      <c r="G97" s="23">
        <f t="shared" si="17"/>
        <v>0.366666666666667</v>
      </c>
      <c r="H97" s="23">
        <f t="shared" si="22"/>
        <v>2.66666666666667</v>
      </c>
      <c r="I97" s="108">
        <f t="shared" si="18"/>
        <v>441.904761904762</v>
      </c>
      <c r="J97" s="23">
        <f t="shared" si="23"/>
        <v>14.2857142857143</v>
      </c>
      <c r="K97" s="23">
        <f t="shared" si="19"/>
        <v>3.61904761904762</v>
      </c>
      <c r="L97" s="23"/>
      <c r="M97" s="23">
        <f t="shared" si="20"/>
        <v>1428.57142857143</v>
      </c>
      <c r="N97" s="23">
        <f t="shared" si="24"/>
        <v>11.4285714285714</v>
      </c>
      <c r="O97" s="23">
        <f t="shared" si="21"/>
        <v>0.685714285714286</v>
      </c>
      <c r="P97" s="23"/>
      <c r="Q97" s="23"/>
      <c r="R97" s="48" cm="1">
        <f ca="1" t="array" ref="R97">SUMPRODUCT(D97:O97,$D$8:$O$8)</f>
        <v>4562.90025904762</v>
      </c>
      <c r="S97" s="23"/>
      <c r="T97" s="23"/>
      <c r="U97" s="23"/>
    </row>
    <row r="98" ht="16.5" spans="2:21">
      <c r="B98" s="105">
        <v>76</v>
      </c>
      <c r="C98" s="23"/>
      <c r="D98" s="106">
        <f t="shared" si="14"/>
        <v>2000</v>
      </c>
      <c r="E98" s="25">
        <f ca="1" t="shared" si="15"/>
        <v>5345.008</v>
      </c>
      <c r="F98" s="24">
        <f t="shared" si="16"/>
        <v>542.857142857143</v>
      </c>
      <c r="G98" s="23">
        <f t="shared" si="17"/>
        <v>0.366666666666667</v>
      </c>
      <c r="H98" s="23">
        <f t="shared" si="22"/>
        <v>2.66666666666667</v>
      </c>
      <c r="I98" s="108">
        <f t="shared" si="18"/>
        <v>441.904761904762</v>
      </c>
      <c r="J98" s="23">
        <f t="shared" si="23"/>
        <v>14.2857142857143</v>
      </c>
      <c r="K98" s="23">
        <f t="shared" si="19"/>
        <v>3.61904761904762</v>
      </c>
      <c r="L98" s="23"/>
      <c r="M98" s="23">
        <f t="shared" si="20"/>
        <v>1428.57142857143</v>
      </c>
      <c r="N98" s="23">
        <f t="shared" si="24"/>
        <v>11.4285714285714</v>
      </c>
      <c r="O98" s="23">
        <f t="shared" si="21"/>
        <v>0.685714285714286</v>
      </c>
      <c r="P98" s="23"/>
      <c r="Q98" s="23"/>
      <c r="R98" s="48" cm="1">
        <f ca="1" t="array" ref="R98">SUMPRODUCT(D98:O98,$D$8:$O$8)</f>
        <v>4562.90025904762</v>
      </c>
      <c r="S98" s="23"/>
      <c r="T98" s="23"/>
      <c r="U98" s="23"/>
    </row>
    <row r="99" ht="16.5" spans="2:21">
      <c r="B99" s="104">
        <v>77</v>
      </c>
      <c r="C99" s="23"/>
      <c r="D99" s="106">
        <f t="shared" si="14"/>
        <v>2000</v>
      </c>
      <c r="E99" s="25">
        <f ca="1" t="shared" si="15"/>
        <v>5345.008</v>
      </c>
      <c r="F99" s="24">
        <f t="shared" si="16"/>
        <v>542.857142857143</v>
      </c>
      <c r="G99" s="23">
        <f t="shared" si="17"/>
        <v>0.366666666666667</v>
      </c>
      <c r="H99" s="23">
        <f t="shared" si="22"/>
        <v>2.66666666666667</v>
      </c>
      <c r="I99" s="108">
        <f t="shared" si="18"/>
        <v>441.904761904762</v>
      </c>
      <c r="J99" s="23">
        <f t="shared" si="23"/>
        <v>14.2857142857143</v>
      </c>
      <c r="K99" s="23">
        <f t="shared" si="19"/>
        <v>3.61904761904762</v>
      </c>
      <c r="L99" s="23"/>
      <c r="M99" s="23">
        <f t="shared" si="20"/>
        <v>1428.57142857143</v>
      </c>
      <c r="N99" s="23">
        <f t="shared" si="24"/>
        <v>11.4285714285714</v>
      </c>
      <c r="O99" s="23">
        <f t="shared" si="21"/>
        <v>0.685714285714286</v>
      </c>
      <c r="P99" s="23"/>
      <c r="Q99" s="23"/>
      <c r="R99" s="48" cm="1">
        <f ca="1" t="array" ref="R99">SUMPRODUCT(D99:O99,$D$8:$O$8)</f>
        <v>4562.90025904762</v>
      </c>
      <c r="S99" s="23"/>
      <c r="T99" s="23"/>
      <c r="U99" s="23"/>
    </row>
    <row r="100" ht="16.5" spans="2:21">
      <c r="B100" s="105">
        <v>78</v>
      </c>
      <c r="C100" s="23"/>
      <c r="D100" s="106">
        <f t="shared" si="14"/>
        <v>2000</v>
      </c>
      <c r="E100" s="25">
        <f ca="1" t="shared" si="15"/>
        <v>5345.008</v>
      </c>
      <c r="F100" s="24">
        <f t="shared" si="16"/>
        <v>542.857142857143</v>
      </c>
      <c r="G100" s="23">
        <f t="shared" si="17"/>
        <v>0.366666666666667</v>
      </c>
      <c r="H100" s="23">
        <f t="shared" si="22"/>
        <v>2.66666666666667</v>
      </c>
      <c r="I100" s="108">
        <f t="shared" si="18"/>
        <v>441.904761904762</v>
      </c>
      <c r="J100" s="23">
        <f t="shared" si="23"/>
        <v>14.2857142857143</v>
      </c>
      <c r="K100" s="23">
        <f t="shared" si="19"/>
        <v>3.61904761904762</v>
      </c>
      <c r="L100" s="23"/>
      <c r="M100" s="23">
        <f t="shared" si="20"/>
        <v>1428.57142857143</v>
      </c>
      <c r="N100" s="23">
        <f t="shared" si="24"/>
        <v>11.4285714285714</v>
      </c>
      <c r="O100" s="23">
        <f t="shared" si="21"/>
        <v>0.685714285714286</v>
      </c>
      <c r="P100" s="23"/>
      <c r="Q100" s="23"/>
      <c r="R100" s="48" cm="1">
        <f ca="1" t="array" ref="R100">SUMPRODUCT(D100:O100,$D$8:$O$8)</f>
        <v>4562.90025904762</v>
      </c>
      <c r="S100" s="23"/>
      <c r="T100" s="23"/>
      <c r="U100" s="23"/>
    </row>
    <row r="101" ht="16.5" spans="2:21">
      <c r="B101" s="104">
        <v>79</v>
      </c>
      <c r="C101" s="23"/>
      <c r="D101" s="106">
        <f t="shared" si="14"/>
        <v>2000</v>
      </c>
      <c r="E101" s="25">
        <f ca="1" t="shared" si="15"/>
        <v>5345.008</v>
      </c>
      <c r="F101" s="24">
        <f t="shared" si="16"/>
        <v>542.857142857143</v>
      </c>
      <c r="G101" s="23">
        <f t="shared" si="17"/>
        <v>0.366666666666667</v>
      </c>
      <c r="H101" s="23">
        <f t="shared" si="22"/>
        <v>2.66666666666667</v>
      </c>
      <c r="I101" s="108">
        <f t="shared" si="18"/>
        <v>441.904761904762</v>
      </c>
      <c r="J101" s="23">
        <f t="shared" si="23"/>
        <v>14.2857142857143</v>
      </c>
      <c r="K101" s="23">
        <f t="shared" si="19"/>
        <v>3.61904761904762</v>
      </c>
      <c r="L101" s="23"/>
      <c r="M101" s="23">
        <f t="shared" si="20"/>
        <v>1428.57142857143</v>
      </c>
      <c r="N101" s="23">
        <f t="shared" si="24"/>
        <v>11.4285714285714</v>
      </c>
      <c r="O101" s="23">
        <f t="shared" si="21"/>
        <v>0.685714285714286</v>
      </c>
      <c r="P101" s="23"/>
      <c r="Q101" s="23"/>
      <c r="R101" s="48" cm="1">
        <f ca="1" t="array" ref="R101">SUMPRODUCT(D101:O101,$D$8:$O$8)</f>
        <v>4562.90025904762</v>
      </c>
      <c r="S101" s="23"/>
      <c r="T101" s="23"/>
      <c r="U101" s="23"/>
    </row>
    <row r="102" ht="16.5" spans="2:21">
      <c r="B102" s="105">
        <v>80</v>
      </c>
      <c r="C102" s="23"/>
      <c r="D102" s="106">
        <f t="shared" si="14"/>
        <v>2000</v>
      </c>
      <c r="E102" s="25">
        <f ca="1" t="shared" si="15"/>
        <v>5345.008</v>
      </c>
      <c r="F102" s="24">
        <f t="shared" si="16"/>
        <v>542.857142857143</v>
      </c>
      <c r="G102" s="23">
        <f t="shared" si="17"/>
        <v>0.366666666666667</v>
      </c>
      <c r="H102" s="23">
        <f t="shared" si="22"/>
        <v>2.66666666666667</v>
      </c>
      <c r="I102" s="108">
        <f t="shared" si="18"/>
        <v>441.904761904762</v>
      </c>
      <c r="J102" s="23">
        <f t="shared" si="23"/>
        <v>14.2857142857143</v>
      </c>
      <c r="K102" s="23">
        <f t="shared" si="19"/>
        <v>3.61904761904762</v>
      </c>
      <c r="L102" s="23"/>
      <c r="M102" s="23">
        <f t="shared" si="20"/>
        <v>1428.57142857143</v>
      </c>
      <c r="N102" s="23">
        <f t="shared" si="24"/>
        <v>11.4285714285714</v>
      </c>
      <c r="O102" s="23">
        <f t="shared" si="21"/>
        <v>0.685714285714286</v>
      </c>
      <c r="P102" s="23"/>
      <c r="Q102" s="23"/>
      <c r="R102" s="48" cm="1">
        <f ca="1" t="array" ref="R102">SUMPRODUCT(D102:O102,$D$8:$O$8)</f>
        <v>4562.90025904762</v>
      </c>
      <c r="S102" s="23"/>
      <c r="T102" s="23"/>
      <c r="U102" s="23"/>
    </row>
    <row r="103" ht="16.5" spans="2:21">
      <c r="B103" s="104">
        <v>81</v>
      </c>
      <c r="C103" s="23"/>
      <c r="D103" s="106">
        <f t="shared" si="14"/>
        <v>2000</v>
      </c>
      <c r="E103" s="25">
        <f ca="1" t="shared" si="15"/>
        <v>5345.008</v>
      </c>
      <c r="F103" s="24">
        <f t="shared" si="16"/>
        <v>542.857142857143</v>
      </c>
      <c r="G103" s="23">
        <f t="shared" si="17"/>
        <v>0.366666666666667</v>
      </c>
      <c r="H103" s="23">
        <f t="shared" si="22"/>
        <v>2.66666666666667</v>
      </c>
      <c r="I103" s="108">
        <f t="shared" si="18"/>
        <v>441.904761904762</v>
      </c>
      <c r="J103" s="23">
        <f t="shared" si="23"/>
        <v>14.2857142857143</v>
      </c>
      <c r="K103" s="23">
        <f t="shared" si="19"/>
        <v>3.61904761904762</v>
      </c>
      <c r="L103" s="23"/>
      <c r="M103" s="23">
        <f t="shared" si="20"/>
        <v>1428.57142857143</v>
      </c>
      <c r="N103" s="23">
        <f t="shared" si="24"/>
        <v>11.4285714285714</v>
      </c>
      <c r="O103" s="23">
        <f t="shared" si="21"/>
        <v>0.685714285714286</v>
      </c>
      <c r="P103" s="23"/>
      <c r="Q103" s="23"/>
      <c r="R103" s="48" cm="1">
        <f ca="1" t="array" ref="R103">SUMPRODUCT(D103:O103,$D$8:$O$8)</f>
        <v>4562.90025904762</v>
      </c>
      <c r="S103" s="23"/>
      <c r="T103" s="23"/>
      <c r="U103" s="23"/>
    </row>
    <row r="104" ht="16.5" spans="2:21">
      <c r="B104" s="105">
        <v>82</v>
      </c>
      <c r="C104" s="23"/>
      <c r="D104" s="106">
        <f t="shared" si="14"/>
        <v>2000</v>
      </c>
      <c r="E104" s="25">
        <f ca="1" t="shared" si="15"/>
        <v>5345.008</v>
      </c>
      <c r="F104" s="24">
        <f t="shared" si="16"/>
        <v>542.857142857143</v>
      </c>
      <c r="G104" s="23">
        <f t="shared" si="17"/>
        <v>0.366666666666667</v>
      </c>
      <c r="H104" s="23">
        <f t="shared" si="22"/>
        <v>2.66666666666667</v>
      </c>
      <c r="I104" s="108">
        <f t="shared" si="18"/>
        <v>441.904761904762</v>
      </c>
      <c r="J104" s="23">
        <f t="shared" si="23"/>
        <v>14.2857142857143</v>
      </c>
      <c r="K104" s="23">
        <f t="shared" si="19"/>
        <v>3.61904761904762</v>
      </c>
      <c r="L104" s="23"/>
      <c r="M104" s="23">
        <f t="shared" si="20"/>
        <v>1428.57142857143</v>
      </c>
      <c r="N104" s="23">
        <f t="shared" si="24"/>
        <v>11.4285714285714</v>
      </c>
      <c r="O104" s="23">
        <f t="shared" si="21"/>
        <v>0.685714285714286</v>
      </c>
      <c r="P104" s="23"/>
      <c r="Q104" s="23"/>
      <c r="R104" s="48" cm="1">
        <f ca="1" t="array" ref="R104">SUMPRODUCT(D104:O104,$D$8:$O$8)</f>
        <v>4562.90025904762</v>
      </c>
      <c r="S104" s="23"/>
      <c r="T104" s="23"/>
      <c r="U104" s="23"/>
    </row>
    <row r="105" ht="16.5" spans="2:21">
      <c r="B105" s="104">
        <v>83</v>
      </c>
      <c r="C105" s="23"/>
      <c r="D105" s="106">
        <f t="shared" si="14"/>
        <v>2000</v>
      </c>
      <c r="E105" s="25">
        <f ca="1" t="shared" si="15"/>
        <v>5345.008</v>
      </c>
      <c r="F105" s="24">
        <f t="shared" si="16"/>
        <v>542.857142857143</v>
      </c>
      <c r="G105" s="23">
        <f t="shared" si="17"/>
        <v>0.366666666666667</v>
      </c>
      <c r="H105" s="23">
        <f t="shared" si="22"/>
        <v>2.66666666666667</v>
      </c>
      <c r="I105" s="108">
        <f t="shared" si="18"/>
        <v>441.904761904762</v>
      </c>
      <c r="J105" s="23">
        <f t="shared" si="23"/>
        <v>14.2857142857143</v>
      </c>
      <c r="K105" s="23">
        <f t="shared" si="19"/>
        <v>3.61904761904762</v>
      </c>
      <c r="L105" s="23"/>
      <c r="M105" s="23">
        <f t="shared" si="20"/>
        <v>1428.57142857143</v>
      </c>
      <c r="N105" s="23">
        <f t="shared" si="24"/>
        <v>11.4285714285714</v>
      </c>
      <c r="O105" s="23">
        <f t="shared" si="21"/>
        <v>0.685714285714286</v>
      </c>
      <c r="P105" s="23"/>
      <c r="Q105" s="23"/>
      <c r="R105" s="48" cm="1">
        <f ca="1" t="array" ref="R105">SUMPRODUCT(D105:O105,$D$8:$O$8)</f>
        <v>4562.90025904762</v>
      </c>
      <c r="S105" s="23"/>
      <c r="T105" s="23"/>
      <c r="U105" s="23"/>
    </row>
    <row r="106" ht="16.5" spans="2:21">
      <c r="B106" s="105">
        <v>84</v>
      </c>
      <c r="C106" s="23"/>
      <c r="D106" s="106">
        <f t="shared" si="14"/>
        <v>2000</v>
      </c>
      <c r="E106" s="25">
        <f ca="1" t="shared" si="15"/>
        <v>5345.008</v>
      </c>
      <c r="F106" s="24">
        <f t="shared" si="16"/>
        <v>542.857142857143</v>
      </c>
      <c r="G106" s="23">
        <f t="shared" si="17"/>
        <v>0.366666666666667</v>
      </c>
      <c r="H106" s="23">
        <f t="shared" si="22"/>
        <v>2.66666666666667</v>
      </c>
      <c r="I106" s="108">
        <f t="shared" si="18"/>
        <v>441.904761904762</v>
      </c>
      <c r="J106" s="23">
        <f t="shared" si="23"/>
        <v>14.2857142857143</v>
      </c>
      <c r="K106" s="23">
        <f t="shared" si="19"/>
        <v>3.61904761904762</v>
      </c>
      <c r="L106" s="23"/>
      <c r="M106" s="23">
        <f t="shared" si="20"/>
        <v>1428.57142857143</v>
      </c>
      <c r="N106" s="23">
        <f t="shared" si="24"/>
        <v>11.4285714285714</v>
      </c>
      <c r="O106" s="23">
        <f t="shared" si="21"/>
        <v>0.685714285714286</v>
      </c>
      <c r="P106" s="23"/>
      <c r="Q106" s="23"/>
      <c r="R106" s="48" cm="1">
        <f ca="1" t="array" ref="R106">SUMPRODUCT(D106:O106,$D$8:$O$8)</f>
        <v>4562.90025904762</v>
      </c>
      <c r="S106" s="23"/>
      <c r="T106" s="23"/>
      <c r="U106" s="23"/>
    </row>
    <row r="107" ht="16.5" spans="2:21">
      <c r="B107" s="104">
        <v>85</v>
      </c>
      <c r="C107" s="23"/>
      <c r="D107" s="106">
        <f t="shared" si="14"/>
        <v>2000</v>
      </c>
      <c r="E107" s="25">
        <f ca="1" t="shared" si="15"/>
        <v>5345.008</v>
      </c>
      <c r="F107" s="24">
        <f t="shared" si="16"/>
        <v>542.857142857143</v>
      </c>
      <c r="G107" s="23">
        <f t="shared" si="17"/>
        <v>0.366666666666667</v>
      </c>
      <c r="H107" s="23">
        <f t="shared" si="22"/>
        <v>2.66666666666667</v>
      </c>
      <c r="I107" s="108">
        <f t="shared" si="18"/>
        <v>441.904761904762</v>
      </c>
      <c r="J107" s="23">
        <f t="shared" si="23"/>
        <v>14.2857142857143</v>
      </c>
      <c r="K107" s="23">
        <f t="shared" si="19"/>
        <v>3.61904761904762</v>
      </c>
      <c r="L107" s="23"/>
      <c r="M107" s="23">
        <f t="shared" si="20"/>
        <v>1428.57142857143</v>
      </c>
      <c r="N107" s="23">
        <f t="shared" si="24"/>
        <v>11.4285714285714</v>
      </c>
      <c r="O107" s="23">
        <f t="shared" si="21"/>
        <v>0.685714285714286</v>
      </c>
      <c r="P107" s="23"/>
      <c r="Q107" s="23"/>
      <c r="R107" s="48" cm="1">
        <f ca="1" t="array" ref="R107">SUMPRODUCT(D107:O107,$D$8:$O$8)</f>
        <v>4562.90025904762</v>
      </c>
      <c r="S107" s="23"/>
      <c r="T107" s="23"/>
      <c r="U107" s="23"/>
    </row>
    <row r="108" ht="16.5" spans="2:21">
      <c r="B108" s="105">
        <v>86</v>
      </c>
      <c r="C108" s="23"/>
      <c r="D108" s="106">
        <f t="shared" si="14"/>
        <v>2000</v>
      </c>
      <c r="E108" s="25">
        <f ca="1" t="shared" si="15"/>
        <v>5386.336</v>
      </c>
      <c r="F108" s="24">
        <f t="shared" si="16"/>
        <v>542.857142857143</v>
      </c>
      <c r="G108" s="23">
        <f t="shared" si="17"/>
        <v>0.366666666666667</v>
      </c>
      <c r="H108" s="23">
        <f t="shared" si="22"/>
        <v>2.66666666666667</v>
      </c>
      <c r="I108" s="108">
        <f t="shared" si="18"/>
        <v>441.904761904762</v>
      </c>
      <c r="J108" s="23">
        <f t="shared" si="23"/>
        <v>14.2857142857143</v>
      </c>
      <c r="K108" s="23">
        <f t="shared" si="19"/>
        <v>3.61904761904762</v>
      </c>
      <c r="L108" s="23"/>
      <c r="M108" s="23">
        <f t="shared" si="20"/>
        <v>1428.57142857143</v>
      </c>
      <c r="N108" s="23">
        <f t="shared" si="24"/>
        <v>11.4285714285714</v>
      </c>
      <c r="O108" s="23">
        <f t="shared" si="21"/>
        <v>0.685714285714286</v>
      </c>
      <c r="P108" s="23"/>
      <c r="Q108" s="23"/>
      <c r="R108" s="48" cm="1">
        <f ca="1" t="array" ref="R108">SUMPRODUCT(D108:O108,$D$8:$O$8)</f>
        <v>4576.53849904762</v>
      </c>
      <c r="S108" s="23"/>
      <c r="T108" s="23"/>
      <c r="U108" s="23"/>
    </row>
    <row r="109" ht="16.5" spans="2:21">
      <c r="B109" s="104">
        <v>87</v>
      </c>
      <c r="C109" s="23"/>
      <c r="D109" s="106">
        <f t="shared" si="14"/>
        <v>2000</v>
      </c>
      <c r="E109" s="25">
        <f ca="1" t="shared" si="15"/>
        <v>5386.336</v>
      </c>
      <c r="F109" s="24">
        <f t="shared" si="16"/>
        <v>542.857142857143</v>
      </c>
      <c r="G109" s="23">
        <f t="shared" si="17"/>
        <v>0.366666666666667</v>
      </c>
      <c r="H109" s="23">
        <f t="shared" si="22"/>
        <v>2.66666666666667</v>
      </c>
      <c r="I109" s="108">
        <f t="shared" si="18"/>
        <v>441.904761904762</v>
      </c>
      <c r="J109" s="23">
        <f t="shared" si="23"/>
        <v>14.2857142857143</v>
      </c>
      <c r="K109" s="23">
        <f t="shared" si="19"/>
        <v>3.61904761904762</v>
      </c>
      <c r="L109" s="23"/>
      <c r="M109" s="23">
        <f t="shared" si="20"/>
        <v>1428.57142857143</v>
      </c>
      <c r="N109" s="23">
        <f t="shared" si="24"/>
        <v>11.4285714285714</v>
      </c>
      <c r="O109" s="23">
        <f t="shared" si="21"/>
        <v>0.685714285714286</v>
      </c>
      <c r="P109" s="23"/>
      <c r="Q109" s="23"/>
      <c r="R109" s="48" cm="1">
        <f ca="1" t="array" ref="R109">SUMPRODUCT(D109:O109,$D$8:$O$8)</f>
        <v>4576.53849904762</v>
      </c>
      <c r="S109" s="23"/>
      <c r="T109" s="23"/>
      <c r="U109" s="23"/>
    </row>
    <row r="110" ht="16.5" spans="2:21">
      <c r="B110" s="105">
        <v>88</v>
      </c>
      <c r="C110" s="23"/>
      <c r="D110" s="106">
        <f t="shared" si="14"/>
        <v>2000</v>
      </c>
      <c r="E110" s="25">
        <f ca="1" t="shared" si="15"/>
        <v>5386.336</v>
      </c>
      <c r="F110" s="24">
        <f t="shared" si="16"/>
        <v>542.857142857143</v>
      </c>
      <c r="G110" s="23">
        <f t="shared" si="17"/>
        <v>0.366666666666667</v>
      </c>
      <c r="H110" s="23">
        <f t="shared" si="22"/>
        <v>2.66666666666667</v>
      </c>
      <c r="I110" s="108">
        <f t="shared" si="18"/>
        <v>441.904761904762</v>
      </c>
      <c r="J110" s="23">
        <f t="shared" si="23"/>
        <v>14.2857142857143</v>
      </c>
      <c r="K110" s="23">
        <f t="shared" si="19"/>
        <v>3.61904761904762</v>
      </c>
      <c r="L110" s="23"/>
      <c r="M110" s="23">
        <f t="shared" si="20"/>
        <v>1428.57142857143</v>
      </c>
      <c r="N110" s="23">
        <f t="shared" si="24"/>
        <v>11.4285714285714</v>
      </c>
      <c r="O110" s="23">
        <f t="shared" si="21"/>
        <v>0.685714285714286</v>
      </c>
      <c r="P110" s="23"/>
      <c r="Q110" s="23"/>
      <c r="R110" s="48" cm="1">
        <f ca="1" t="array" ref="R110">SUMPRODUCT(D110:O110,$D$8:$O$8)</f>
        <v>4576.53849904762</v>
      </c>
      <c r="S110" s="23"/>
      <c r="T110" s="23"/>
      <c r="U110" s="23"/>
    </row>
    <row r="111" ht="16.5" spans="2:21">
      <c r="B111" s="104">
        <v>89</v>
      </c>
      <c r="C111" s="23"/>
      <c r="D111" s="106">
        <f t="shared" si="14"/>
        <v>2000</v>
      </c>
      <c r="E111" s="25">
        <f ca="1" t="shared" si="15"/>
        <v>5386.336</v>
      </c>
      <c r="F111" s="24">
        <f t="shared" si="16"/>
        <v>542.857142857143</v>
      </c>
      <c r="G111" s="23">
        <f t="shared" si="17"/>
        <v>0.366666666666667</v>
      </c>
      <c r="H111" s="23">
        <f t="shared" si="22"/>
        <v>2.66666666666667</v>
      </c>
      <c r="I111" s="108">
        <f t="shared" si="18"/>
        <v>441.904761904762</v>
      </c>
      <c r="J111" s="23">
        <f t="shared" si="23"/>
        <v>14.2857142857143</v>
      </c>
      <c r="K111" s="23">
        <f t="shared" si="19"/>
        <v>3.61904761904762</v>
      </c>
      <c r="L111" s="23"/>
      <c r="M111" s="23">
        <f t="shared" si="20"/>
        <v>1428.57142857143</v>
      </c>
      <c r="N111" s="23">
        <f t="shared" si="24"/>
        <v>11.4285714285714</v>
      </c>
      <c r="O111" s="23">
        <f t="shared" si="21"/>
        <v>0.685714285714286</v>
      </c>
      <c r="P111" s="23"/>
      <c r="Q111" s="23"/>
      <c r="R111" s="48" cm="1">
        <f ca="1" t="array" ref="R111">SUMPRODUCT(D111:O111,$D$8:$O$8)</f>
        <v>4576.53849904762</v>
      </c>
      <c r="S111" s="23"/>
      <c r="T111" s="23"/>
      <c r="U111" s="23"/>
    </row>
    <row r="112" ht="16.5" spans="2:21">
      <c r="B112" s="105">
        <v>90</v>
      </c>
      <c r="C112" s="23"/>
      <c r="D112" s="106">
        <f t="shared" si="14"/>
        <v>2000</v>
      </c>
      <c r="E112" s="25">
        <f ca="1" t="shared" si="15"/>
        <v>5386.336</v>
      </c>
      <c r="F112" s="24">
        <f t="shared" si="16"/>
        <v>542.857142857143</v>
      </c>
      <c r="G112" s="23">
        <f t="shared" si="17"/>
        <v>0.366666666666667</v>
      </c>
      <c r="H112" s="23">
        <f t="shared" si="22"/>
        <v>2.66666666666667</v>
      </c>
      <c r="I112" s="108">
        <f t="shared" si="18"/>
        <v>441.904761904762</v>
      </c>
      <c r="J112" s="23">
        <f t="shared" si="23"/>
        <v>14.2857142857143</v>
      </c>
      <c r="K112" s="23">
        <f t="shared" si="19"/>
        <v>3.61904761904762</v>
      </c>
      <c r="L112" s="23"/>
      <c r="M112" s="23">
        <f t="shared" si="20"/>
        <v>1428.57142857143</v>
      </c>
      <c r="N112" s="23">
        <f t="shared" si="24"/>
        <v>11.4285714285714</v>
      </c>
      <c r="O112" s="23">
        <f t="shared" si="21"/>
        <v>0.685714285714286</v>
      </c>
      <c r="P112" s="23"/>
      <c r="Q112" s="23"/>
      <c r="R112" s="48" cm="1">
        <f ca="1" t="array" ref="R112">SUMPRODUCT(D112:O112,$D$8:$O$8)</f>
        <v>4576.53849904762</v>
      </c>
      <c r="S112" s="23"/>
      <c r="T112" s="23"/>
      <c r="U112" s="23"/>
    </row>
    <row r="113" ht="16.5" spans="2:21">
      <c r="B113" s="104">
        <v>91</v>
      </c>
      <c r="C113" s="23"/>
      <c r="D113" s="106">
        <f t="shared" si="14"/>
        <v>2000</v>
      </c>
      <c r="E113" s="25">
        <f ca="1" t="shared" si="15"/>
        <v>5386.336</v>
      </c>
      <c r="F113" s="24">
        <f t="shared" si="16"/>
        <v>542.857142857143</v>
      </c>
      <c r="G113" s="23">
        <f t="shared" si="17"/>
        <v>0.366666666666667</v>
      </c>
      <c r="H113" s="23">
        <f t="shared" si="22"/>
        <v>2.66666666666667</v>
      </c>
      <c r="I113" s="108">
        <f t="shared" si="18"/>
        <v>441.904761904762</v>
      </c>
      <c r="J113" s="23">
        <f t="shared" si="23"/>
        <v>14.2857142857143</v>
      </c>
      <c r="K113" s="23">
        <f t="shared" si="19"/>
        <v>3.61904761904762</v>
      </c>
      <c r="L113" s="23"/>
      <c r="M113" s="23">
        <f t="shared" si="20"/>
        <v>1428.57142857143</v>
      </c>
      <c r="N113" s="23">
        <f t="shared" si="24"/>
        <v>11.4285714285714</v>
      </c>
      <c r="O113" s="23">
        <f t="shared" si="21"/>
        <v>0.685714285714286</v>
      </c>
      <c r="P113" s="23"/>
      <c r="Q113" s="23"/>
      <c r="R113" s="48" cm="1">
        <f ca="1" t="array" ref="R113">SUMPRODUCT(D113:O113,$D$8:$O$8)</f>
        <v>4576.53849904762</v>
      </c>
      <c r="S113" s="23"/>
      <c r="T113" s="23"/>
      <c r="U113" s="23"/>
    </row>
    <row r="114" ht="16.5" spans="2:21">
      <c r="B114" s="105">
        <v>92</v>
      </c>
      <c r="C114" s="23"/>
      <c r="D114" s="106">
        <f t="shared" si="14"/>
        <v>2000</v>
      </c>
      <c r="E114" s="25">
        <f ca="1" t="shared" si="15"/>
        <v>5386.336</v>
      </c>
      <c r="F114" s="24">
        <f t="shared" si="16"/>
        <v>542.857142857143</v>
      </c>
      <c r="G114" s="23">
        <f t="shared" si="17"/>
        <v>0.366666666666667</v>
      </c>
      <c r="H114" s="23">
        <f t="shared" si="22"/>
        <v>2.66666666666667</v>
      </c>
      <c r="I114" s="108">
        <f t="shared" si="18"/>
        <v>441.904761904762</v>
      </c>
      <c r="J114" s="23">
        <f t="shared" si="23"/>
        <v>14.2857142857143</v>
      </c>
      <c r="K114" s="23">
        <f t="shared" si="19"/>
        <v>3.61904761904762</v>
      </c>
      <c r="L114" s="23"/>
      <c r="M114" s="23">
        <f t="shared" si="20"/>
        <v>1428.57142857143</v>
      </c>
      <c r="N114" s="23">
        <f t="shared" si="24"/>
        <v>11.4285714285714</v>
      </c>
      <c r="O114" s="23">
        <f t="shared" si="21"/>
        <v>0.685714285714286</v>
      </c>
      <c r="P114" s="23"/>
      <c r="Q114" s="23"/>
      <c r="R114" s="48" cm="1">
        <f ca="1" t="array" ref="R114">SUMPRODUCT(D114:O114,$D$8:$O$8)</f>
        <v>4576.53849904762</v>
      </c>
      <c r="S114" s="23"/>
      <c r="T114" s="23"/>
      <c r="U114" s="23"/>
    </row>
    <row r="115" ht="16.5" spans="2:21">
      <c r="B115" s="104">
        <v>93</v>
      </c>
      <c r="C115" s="23"/>
      <c r="D115" s="106">
        <f t="shared" si="14"/>
        <v>2000</v>
      </c>
      <c r="E115" s="25">
        <f ca="1" t="shared" si="15"/>
        <v>5386.336</v>
      </c>
      <c r="F115" s="24">
        <f t="shared" si="16"/>
        <v>542.857142857143</v>
      </c>
      <c r="G115" s="23">
        <f t="shared" si="17"/>
        <v>0.366666666666667</v>
      </c>
      <c r="H115" s="23">
        <f t="shared" si="22"/>
        <v>2.66666666666667</v>
      </c>
      <c r="I115" s="108">
        <f t="shared" si="18"/>
        <v>441.904761904762</v>
      </c>
      <c r="J115" s="23">
        <f t="shared" si="23"/>
        <v>14.2857142857143</v>
      </c>
      <c r="K115" s="23">
        <f t="shared" si="19"/>
        <v>3.61904761904762</v>
      </c>
      <c r="L115" s="23"/>
      <c r="M115" s="23">
        <f t="shared" si="20"/>
        <v>1428.57142857143</v>
      </c>
      <c r="N115" s="23">
        <f t="shared" si="24"/>
        <v>11.4285714285714</v>
      </c>
      <c r="O115" s="23">
        <f t="shared" si="21"/>
        <v>0.685714285714286</v>
      </c>
      <c r="P115" s="23"/>
      <c r="Q115" s="23"/>
      <c r="R115" s="48" cm="1">
        <f ca="1" t="array" ref="R115">SUMPRODUCT(D115:O115,$D$8:$O$8)</f>
        <v>4576.53849904762</v>
      </c>
      <c r="S115" s="23"/>
      <c r="T115" s="23"/>
      <c r="U115" s="23"/>
    </row>
    <row r="116" ht="16.5" spans="2:21">
      <c r="B116" s="105">
        <v>94</v>
      </c>
      <c r="C116" s="23"/>
      <c r="D116" s="106">
        <f t="shared" si="14"/>
        <v>2000</v>
      </c>
      <c r="E116" s="25">
        <f ca="1" t="shared" si="15"/>
        <v>5386.336</v>
      </c>
      <c r="F116" s="24">
        <f t="shared" si="16"/>
        <v>542.857142857143</v>
      </c>
      <c r="G116" s="23">
        <f t="shared" si="17"/>
        <v>0.366666666666667</v>
      </c>
      <c r="H116" s="23">
        <f t="shared" si="22"/>
        <v>2.66666666666667</v>
      </c>
      <c r="I116" s="108">
        <f t="shared" si="18"/>
        <v>441.904761904762</v>
      </c>
      <c r="J116" s="23">
        <f t="shared" si="23"/>
        <v>14.2857142857143</v>
      </c>
      <c r="K116" s="23">
        <f t="shared" si="19"/>
        <v>3.61904761904762</v>
      </c>
      <c r="L116" s="23"/>
      <c r="M116" s="23">
        <f t="shared" si="20"/>
        <v>1428.57142857143</v>
      </c>
      <c r="N116" s="23">
        <f t="shared" si="24"/>
        <v>11.4285714285714</v>
      </c>
      <c r="O116" s="23">
        <f t="shared" si="21"/>
        <v>0.685714285714286</v>
      </c>
      <c r="P116" s="23"/>
      <c r="Q116" s="23"/>
      <c r="R116" s="48" cm="1">
        <f ca="1" t="array" ref="R116">SUMPRODUCT(D116:O116,$D$8:$O$8)</f>
        <v>4576.53849904762</v>
      </c>
      <c r="S116" s="23"/>
      <c r="T116" s="23"/>
      <c r="U116" s="23"/>
    </row>
    <row r="117" ht="16.5" spans="2:21">
      <c r="B117" s="104">
        <v>95</v>
      </c>
      <c r="C117" s="23"/>
      <c r="D117" s="106">
        <f t="shared" si="14"/>
        <v>2000</v>
      </c>
      <c r="E117" s="25">
        <f ca="1" t="shared" si="15"/>
        <v>5386.336</v>
      </c>
      <c r="F117" s="24">
        <f t="shared" si="16"/>
        <v>542.857142857143</v>
      </c>
      <c r="G117" s="23">
        <f t="shared" si="17"/>
        <v>0.366666666666667</v>
      </c>
      <c r="H117" s="23">
        <f t="shared" si="22"/>
        <v>2.66666666666667</v>
      </c>
      <c r="I117" s="108">
        <f t="shared" si="18"/>
        <v>441.904761904762</v>
      </c>
      <c r="J117" s="23">
        <f t="shared" si="23"/>
        <v>14.2857142857143</v>
      </c>
      <c r="K117" s="23">
        <f t="shared" si="19"/>
        <v>3.61904761904762</v>
      </c>
      <c r="L117" s="23"/>
      <c r="M117" s="23">
        <f t="shared" si="20"/>
        <v>1428.57142857143</v>
      </c>
      <c r="N117" s="23">
        <f t="shared" si="24"/>
        <v>11.4285714285714</v>
      </c>
      <c r="O117" s="23">
        <f t="shared" si="21"/>
        <v>0.685714285714286</v>
      </c>
      <c r="P117" s="23"/>
      <c r="Q117" s="23"/>
      <c r="R117" s="48" cm="1">
        <f ca="1" t="array" ref="R117">SUMPRODUCT(D117:O117,$D$8:$O$8)</f>
        <v>4576.53849904762</v>
      </c>
      <c r="S117" s="23"/>
      <c r="T117" s="23"/>
      <c r="U117" s="23"/>
    </row>
    <row r="118" ht="16.5" spans="2:21">
      <c r="B118" s="105">
        <v>96</v>
      </c>
      <c r="C118" s="23"/>
      <c r="D118" s="106">
        <f t="shared" si="14"/>
        <v>2000</v>
      </c>
      <c r="E118" s="25">
        <f ca="1" t="shared" si="15"/>
        <v>5386.336</v>
      </c>
      <c r="F118" s="24">
        <f t="shared" si="16"/>
        <v>542.857142857143</v>
      </c>
      <c r="G118" s="23">
        <f t="shared" si="17"/>
        <v>0.366666666666667</v>
      </c>
      <c r="H118" s="23">
        <f t="shared" si="22"/>
        <v>2.66666666666667</v>
      </c>
      <c r="I118" s="108">
        <f t="shared" si="18"/>
        <v>441.904761904762</v>
      </c>
      <c r="J118" s="23">
        <f t="shared" si="23"/>
        <v>14.2857142857143</v>
      </c>
      <c r="K118" s="23">
        <f t="shared" si="19"/>
        <v>3.61904761904762</v>
      </c>
      <c r="L118" s="23"/>
      <c r="M118" s="23">
        <f t="shared" si="20"/>
        <v>1428.57142857143</v>
      </c>
      <c r="N118" s="23">
        <f t="shared" si="24"/>
        <v>11.4285714285714</v>
      </c>
      <c r="O118" s="23">
        <f t="shared" si="21"/>
        <v>0.685714285714286</v>
      </c>
      <c r="P118" s="23"/>
      <c r="Q118" s="23"/>
      <c r="R118" s="48" cm="1">
        <f ca="1" t="array" ref="R118">SUMPRODUCT(D118:O118,$D$8:$O$8)</f>
        <v>4576.53849904762</v>
      </c>
      <c r="S118" s="23"/>
      <c r="T118" s="23"/>
      <c r="U118" s="23"/>
    </row>
    <row r="119" ht="16.5" spans="2:21">
      <c r="B119" s="104">
        <v>97</v>
      </c>
      <c r="C119" s="23"/>
      <c r="D119" s="106">
        <f t="shared" si="14"/>
        <v>2000</v>
      </c>
      <c r="E119" s="25">
        <f ca="1" t="shared" si="15"/>
        <v>5386.336</v>
      </c>
      <c r="F119" s="24">
        <f t="shared" si="16"/>
        <v>542.857142857143</v>
      </c>
      <c r="G119" s="23">
        <f t="shared" si="17"/>
        <v>0.366666666666667</v>
      </c>
      <c r="H119" s="23">
        <f t="shared" si="22"/>
        <v>2.66666666666667</v>
      </c>
      <c r="I119" s="108">
        <f t="shared" si="18"/>
        <v>441.904761904762</v>
      </c>
      <c r="J119" s="23">
        <f t="shared" si="23"/>
        <v>14.2857142857143</v>
      </c>
      <c r="K119" s="23">
        <f t="shared" si="19"/>
        <v>3.61904761904762</v>
      </c>
      <c r="L119" s="23"/>
      <c r="M119" s="23">
        <f t="shared" si="20"/>
        <v>1428.57142857143</v>
      </c>
      <c r="N119" s="23">
        <f t="shared" si="24"/>
        <v>11.4285714285714</v>
      </c>
      <c r="O119" s="23">
        <f t="shared" si="21"/>
        <v>0.685714285714286</v>
      </c>
      <c r="P119" s="23"/>
      <c r="Q119" s="23"/>
      <c r="R119" s="48" cm="1">
        <f ca="1" t="array" ref="R119">SUMPRODUCT(D119:O119,$D$8:$O$8)</f>
        <v>4576.53849904762</v>
      </c>
      <c r="S119" s="23"/>
      <c r="T119" s="23"/>
      <c r="U119" s="23"/>
    </row>
    <row r="120" ht="16.5" spans="2:21">
      <c r="B120" s="105">
        <v>98</v>
      </c>
      <c r="C120" s="23"/>
      <c r="D120" s="106">
        <f t="shared" si="14"/>
        <v>2000</v>
      </c>
      <c r="E120" s="25">
        <f ca="1" t="shared" si="15"/>
        <v>5386.336</v>
      </c>
      <c r="F120" s="24">
        <f t="shared" si="16"/>
        <v>542.857142857143</v>
      </c>
      <c r="G120" s="23">
        <f t="shared" si="17"/>
        <v>0.366666666666667</v>
      </c>
      <c r="H120" s="23">
        <f t="shared" si="22"/>
        <v>2.66666666666667</v>
      </c>
      <c r="I120" s="108">
        <f t="shared" si="18"/>
        <v>441.904761904762</v>
      </c>
      <c r="J120" s="23">
        <f t="shared" si="23"/>
        <v>14.2857142857143</v>
      </c>
      <c r="K120" s="23">
        <f t="shared" si="19"/>
        <v>3.61904761904762</v>
      </c>
      <c r="L120" s="23"/>
      <c r="M120" s="23">
        <f t="shared" si="20"/>
        <v>1428.57142857143</v>
      </c>
      <c r="N120" s="23">
        <f t="shared" si="24"/>
        <v>11.4285714285714</v>
      </c>
      <c r="O120" s="23">
        <f t="shared" si="21"/>
        <v>0.685714285714286</v>
      </c>
      <c r="P120" s="23"/>
      <c r="Q120" s="23"/>
      <c r="R120" s="48" cm="1">
        <f ca="1" t="array" ref="R120">SUMPRODUCT(D120:O120,$D$8:$O$8)</f>
        <v>4576.53849904762</v>
      </c>
      <c r="S120" s="23"/>
      <c r="T120" s="23"/>
      <c r="U120" s="23"/>
    </row>
    <row r="121" ht="16.5" spans="2:21">
      <c r="B121" s="104">
        <v>99</v>
      </c>
      <c r="C121" s="23"/>
      <c r="D121" s="106">
        <f t="shared" si="14"/>
        <v>2000</v>
      </c>
      <c r="E121" s="25">
        <f ca="1" t="shared" si="15"/>
        <v>5386.336</v>
      </c>
      <c r="F121" s="24">
        <f t="shared" si="16"/>
        <v>542.857142857143</v>
      </c>
      <c r="G121" s="23">
        <f t="shared" si="17"/>
        <v>0.366666666666667</v>
      </c>
      <c r="H121" s="23">
        <f t="shared" si="22"/>
        <v>2.66666666666667</v>
      </c>
      <c r="I121" s="108">
        <f t="shared" si="18"/>
        <v>441.904761904762</v>
      </c>
      <c r="J121" s="23">
        <f t="shared" si="23"/>
        <v>14.2857142857143</v>
      </c>
      <c r="K121" s="23">
        <f t="shared" si="19"/>
        <v>3.61904761904762</v>
      </c>
      <c r="L121" s="23"/>
      <c r="M121" s="23">
        <f t="shared" si="20"/>
        <v>1428.57142857143</v>
      </c>
      <c r="N121" s="23">
        <f t="shared" si="24"/>
        <v>11.4285714285714</v>
      </c>
      <c r="O121" s="23">
        <f t="shared" si="21"/>
        <v>0.685714285714286</v>
      </c>
      <c r="P121" s="23"/>
      <c r="Q121" s="23"/>
      <c r="R121" s="48" cm="1">
        <f ca="1" t="array" ref="R121">SUMPRODUCT(D121:O121,$D$8:$O$8)</f>
        <v>4576.53849904762</v>
      </c>
      <c r="S121" s="23"/>
      <c r="T121" s="23"/>
      <c r="U121" s="23"/>
    </row>
    <row r="122" ht="16.5" spans="2:21">
      <c r="B122" s="105">
        <v>100</v>
      </c>
      <c r="C122" s="23"/>
      <c r="D122" s="106">
        <f t="shared" si="14"/>
        <v>2000</v>
      </c>
      <c r="E122" s="25">
        <f ca="1" t="shared" si="15"/>
        <v>5427.808</v>
      </c>
      <c r="F122" s="24">
        <f t="shared" si="16"/>
        <v>542.857142857143</v>
      </c>
      <c r="G122" s="23">
        <f t="shared" si="17"/>
        <v>0.366666666666667</v>
      </c>
      <c r="H122" s="23">
        <f t="shared" si="22"/>
        <v>2.66666666666667</v>
      </c>
      <c r="I122" s="108">
        <f t="shared" si="18"/>
        <v>441.904761904762</v>
      </c>
      <c r="J122" s="23">
        <f t="shared" si="23"/>
        <v>14.2857142857143</v>
      </c>
      <c r="K122" s="23">
        <f t="shared" si="19"/>
        <v>3.61904761904762</v>
      </c>
      <c r="L122" s="23"/>
      <c r="M122" s="23">
        <f t="shared" si="20"/>
        <v>1428.57142857143</v>
      </c>
      <c r="N122" s="23">
        <f t="shared" si="24"/>
        <v>11.4285714285714</v>
      </c>
      <c r="O122" s="23">
        <f t="shared" si="21"/>
        <v>0.685714285714286</v>
      </c>
      <c r="P122" s="23"/>
      <c r="Q122" s="23"/>
      <c r="R122" s="48" cm="1">
        <f ca="1" t="array" ref="R122">SUMPRODUCT(D122:O122,$D$8:$O$8)</f>
        <v>4590.22425904762</v>
      </c>
      <c r="S122" s="23"/>
      <c r="T122" s="23"/>
      <c r="U122" s="23"/>
    </row>
    <row r="123" ht="16.5" spans="2:21">
      <c r="B123" s="104">
        <v>101</v>
      </c>
      <c r="C123" s="23"/>
      <c r="D123" s="106">
        <f t="shared" si="14"/>
        <v>2000</v>
      </c>
      <c r="E123" s="25">
        <f ca="1" t="shared" si="15"/>
        <v>5427.808</v>
      </c>
      <c r="F123" s="24">
        <f t="shared" si="16"/>
        <v>542.857142857143</v>
      </c>
      <c r="G123" s="23">
        <f t="shared" si="17"/>
        <v>0.366666666666667</v>
      </c>
      <c r="H123" s="23">
        <f t="shared" si="22"/>
        <v>2.66666666666667</v>
      </c>
      <c r="I123" s="108">
        <f t="shared" si="18"/>
        <v>441.904761904762</v>
      </c>
      <c r="J123" s="23">
        <f t="shared" si="23"/>
        <v>14.2857142857143</v>
      </c>
      <c r="K123" s="23">
        <f t="shared" si="19"/>
        <v>3.61904761904762</v>
      </c>
      <c r="L123" s="23"/>
      <c r="M123" s="23">
        <f t="shared" si="20"/>
        <v>1428.57142857143</v>
      </c>
      <c r="N123" s="23">
        <f t="shared" si="24"/>
        <v>11.4285714285714</v>
      </c>
      <c r="O123" s="23">
        <f t="shared" si="21"/>
        <v>0.685714285714286</v>
      </c>
      <c r="P123" s="23"/>
      <c r="Q123" s="23"/>
      <c r="R123" s="48" cm="1">
        <f ca="1" t="array" ref="R123">SUMPRODUCT(D123:O123,$D$8:$O$8)</f>
        <v>4590.22425904762</v>
      </c>
      <c r="S123" s="23"/>
      <c r="T123" s="23"/>
      <c r="U123" s="23"/>
    </row>
    <row r="124" ht="16.5" spans="2:21">
      <c r="B124" s="105">
        <v>102</v>
      </c>
      <c r="C124" s="23"/>
      <c r="D124" s="106">
        <f t="shared" si="14"/>
        <v>2000</v>
      </c>
      <c r="E124" s="25">
        <f ca="1" t="shared" si="15"/>
        <v>5427.808</v>
      </c>
      <c r="F124" s="24">
        <f t="shared" si="16"/>
        <v>542.857142857143</v>
      </c>
      <c r="G124" s="23">
        <f t="shared" si="17"/>
        <v>0.366666666666667</v>
      </c>
      <c r="H124" s="23">
        <f t="shared" si="22"/>
        <v>2.66666666666667</v>
      </c>
      <c r="I124" s="108">
        <f t="shared" si="18"/>
        <v>441.904761904762</v>
      </c>
      <c r="J124" s="23">
        <f t="shared" si="23"/>
        <v>14.2857142857143</v>
      </c>
      <c r="K124" s="23">
        <f t="shared" si="19"/>
        <v>3.61904761904762</v>
      </c>
      <c r="L124" s="23"/>
      <c r="M124" s="23">
        <f t="shared" si="20"/>
        <v>1428.57142857143</v>
      </c>
      <c r="N124" s="23">
        <f t="shared" si="24"/>
        <v>11.4285714285714</v>
      </c>
      <c r="O124" s="23">
        <f t="shared" si="21"/>
        <v>0.685714285714286</v>
      </c>
      <c r="P124" s="23"/>
      <c r="Q124" s="23"/>
      <c r="R124" s="48" cm="1">
        <f ca="1" t="array" ref="R124">SUMPRODUCT(D124:O124,$D$8:$O$8)</f>
        <v>4590.22425904762</v>
      </c>
      <c r="S124" s="23"/>
      <c r="T124" s="23"/>
      <c r="U124" s="23"/>
    </row>
    <row r="125" ht="16.5" spans="2:21">
      <c r="B125" s="104">
        <v>103</v>
      </c>
      <c r="C125" s="23"/>
      <c r="D125" s="106">
        <f t="shared" si="14"/>
        <v>2000</v>
      </c>
      <c r="E125" s="25">
        <f ca="1" t="shared" si="15"/>
        <v>5427.808</v>
      </c>
      <c r="F125" s="24">
        <f t="shared" si="16"/>
        <v>542.857142857143</v>
      </c>
      <c r="G125" s="23">
        <f t="shared" si="17"/>
        <v>0.366666666666667</v>
      </c>
      <c r="H125" s="23">
        <f t="shared" si="22"/>
        <v>2.66666666666667</v>
      </c>
      <c r="I125" s="108">
        <f t="shared" si="18"/>
        <v>441.904761904762</v>
      </c>
      <c r="J125" s="23">
        <f t="shared" si="23"/>
        <v>14.2857142857143</v>
      </c>
      <c r="K125" s="23">
        <f t="shared" si="19"/>
        <v>3.61904761904762</v>
      </c>
      <c r="L125" s="23"/>
      <c r="M125" s="23">
        <f t="shared" si="20"/>
        <v>1428.57142857143</v>
      </c>
      <c r="N125" s="23">
        <f t="shared" si="24"/>
        <v>11.4285714285714</v>
      </c>
      <c r="O125" s="23">
        <f t="shared" si="21"/>
        <v>0.685714285714286</v>
      </c>
      <c r="P125" s="23"/>
      <c r="Q125" s="23"/>
      <c r="R125" s="48" cm="1">
        <f ca="1" t="array" ref="R125">SUMPRODUCT(D125:O125,$D$8:$O$8)</f>
        <v>4590.22425904762</v>
      </c>
      <c r="S125" s="23"/>
      <c r="T125" s="23"/>
      <c r="U125" s="23"/>
    </row>
    <row r="126" ht="16.5" spans="2:21">
      <c r="B126" s="105">
        <v>104</v>
      </c>
      <c r="C126" s="23"/>
      <c r="D126" s="106">
        <f t="shared" si="14"/>
        <v>2000</v>
      </c>
      <c r="E126" s="25">
        <f ca="1" t="shared" si="15"/>
        <v>5427.808</v>
      </c>
      <c r="F126" s="24">
        <f t="shared" si="16"/>
        <v>542.857142857143</v>
      </c>
      <c r="G126" s="23">
        <f t="shared" si="17"/>
        <v>0.366666666666667</v>
      </c>
      <c r="H126" s="23">
        <f t="shared" si="22"/>
        <v>2.66666666666667</v>
      </c>
      <c r="I126" s="108">
        <f t="shared" si="18"/>
        <v>441.904761904762</v>
      </c>
      <c r="J126" s="23">
        <f t="shared" si="23"/>
        <v>14.2857142857143</v>
      </c>
      <c r="K126" s="23">
        <f t="shared" si="19"/>
        <v>3.61904761904762</v>
      </c>
      <c r="L126" s="23"/>
      <c r="M126" s="23">
        <f t="shared" si="20"/>
        <v>1428.57142857143</v>
      </c>
      <c r="N126" s="23">
        <f t="shared" si="24"/>
        <v>11.4285714285714</v>
      </c>
      <c r="O126" s="23">
        <f t="shared" si="21"/>
        <v>0.685714285714286</v>
      </c>
      <c r="P126" s="23"/>
      <c r="Q126" s="23"/>
      <c r="R126" s="48" cm="1">
        <f ca="1" t="array" ref="R126">SUMPRODUCT(D126:O126,$D$8:$O$8)</f>
        <v>4590.22425904762</v>
      </c>
      <c r="S126" s="23"/>
      <c r="T126" s="23"/>
      <c r="U126" s="23"/>
    </row>
    <row r="127" ht="16.5" spans="2:21">
      <c r="B127" s="104">
        <v>105</v>
      </c>
      <c r="C127" s="23"/>
      <c r="D127" s="106">
        <f t="shared" si="14"/>
        <v>2000</v>
      </c>
      <c r="E127" s="25">
        <f ca="1" t="shared" si="15"/>
        <v>5427.808</v>
      </c>
      <c r="F127" s="24">
        <f t="shared" si="16"/>
        <v>542.857142857143</v>
      </c>
      <c r="G127" s="23">
        <f t="shared" si="17"/>
        <v>0.366666666666667</v>
      </c>
      <c r="H127" s="23">
        <f t="shared" si="22"/>
        <v>2.66666666666667</v>
      </c>
      <c r="I127" s="108">
        <f t="shared" si="18"/>
        <v>441.904761904762</v>
      </c>
      <c r="J127" s="23">
        <f t="shared" si="23"/>
        <v>14.2857142857143</v>
      </c>
      <c r="K127" s="23">
        <f t="shared" si="19"/>
        <v>3.61904761904762</v>
      </c>
      <c r="L127" s="23"/>
      <c r="M127" s="23">
        <f t="shared" si="20"/>
        <v>1428.57142857143</v>
      </c>
      <c r="N127" s="23">
        <f t="shared" si="24"/>
        <v>11.4285714285714</v>
      </c>
      <c r="O127" s="23">
        <f t="shared" si="21"/>
        <v>0.685714285714286</v>
      </c>
      <c r="P127" s="23"/>
      <c r="Q127" s="23"/>
      <c r="R127" s="48" cm="1">
        <f ca="1" t="array" ref="R127">SUMPRODUCT(D127:O127,$D$8:$O$8)</f>
        <v>4590.22425904762</v>
      </c>
      <c r="S127" s="23"/>
      <c r="T127" s="23"/>
      <c r="U127" s="23"/>
    </row>
    <row r="128" ht="16.5" spans="2:21">
      <c r="B128" s="105">
        <v>106</v>
      </c>
      <c r="C128" s="23"/>
      <c r="D128" s="106">
        <f t="shared" si="14"/>
        <v>2000</v>
      </c>
      <c r="E128" s="25">
        <f ca="1" t="shared" si="15"/>
        <v>5427.808</v>
      </c>
      <c r="F128" s="24">
        <f t="shared" si="16"/>
        <v>542.857142857143</v>
      </c>
      <c r="G128" s="23">
        <f t="shared" si="17"/>
        <v>0.366666666666667</v>
      </c>
      <c r="H128" s="23">
        <f t="shared" si="22"/>
        <v>2.66666666666667</v>
      </c>
      <c r="I128" s="108">
        <f t="shared" si="18"/>
        <v>441.904761904762</v>
      </c>
      <c r="J128" s="23">
        <f t="shared" si="23"/>
        <v>14.2857142857143</v>
      </c>
      <c r="K128" s="23">
        <f t="shared" si="19"/>
        <v>3.61904761904762</v>
      </c>
      <c r="L128" s="23"/>
      <c r="M128" s="23">
        <f t="shared" si="20"/>
        <v>1428.57142857143</v>
      </c>
      <c r="N128" s="23">
        <f t="shared" si="24"/>
        <v>11.4285714285714</v>
      </c>
      <c r="O128" s="23">
        <f t="shared" si="21"/>
        <v>0.685714285714286</v>
      </c>
      <c r="P128" s="23"/>
      <c r="Q128" s="23"/>
      <c r="R128" s="48" cm="1">
        <f ca="1" t="array" ref="R128">SUMPRODUCT(D128:O128,$D$8:$O$8)</f>
        <v>4590.22425904762</v>
      </c>
      <c r="S128" s="23"/>
      <c r="T128" s="23"/>
      <c r="U128" s="23"/>
    </row>
    <row r="129" ht="16.5" spans="2:21">
      <c r="B129" s="104">
        <v>107</v>
      </c>
      <c r="C129" s="23"/>
      <c r="D129" s="106">
        <f t="shared" si="14"/>
        <v>2000</v>
      </c>
      <c r="E129" s="25">
        <f ca="1" t="shared" si="15"/>
        <v>5427.808</v>
      </c>
      <c r="F129" s="24">
        <f t="shared" si="16"/>
        <v>542.857142857143</v>
      </c>
      <c r="G129" s="23">
        <f t="shared" si="17"/>
        <v>0.366666666666667</v>
      </c>
      <c r="H129" s="23">
        <f t="shared" si="22"/>
        <v>2.66666666666667</v>
      </c>
      <c r="I129" s="108">
        <f t="shared" si="18"/>
        <v>441.904761904762</v>
      </c>
      <c r="J129" s="23">
        <f t="shared" si="23"/>
        <v>14.2857142857143</v>
      </c>
      <c r="K129" s="23">
        <f t="shared" si="19"/>
        <v>3.61904761904762</v>
      </c>
      <c r="L129" s="23"/>
      <c r="M129" s="23">
        <f t="shared" si="20"/>
        <v>1428.57142857143</v>
      </c>
      <c r="N129" s="23">
        <f t="shared" si="24"/>
        <v>11.4285714285714</v>
      </c>
      <c r="O129" s="23">
        <f t="shared" si="21"/>
        <v>0.685714285714286</v>
      </c>
      <c r="P129" s="23"/>
      <c r="Q129" s="23"/>
      <c r="R129" s="48" cm="1">
        <f ca="1" t="array" ref="R129">SUMPRODUCT(D129:O129,$D$8:$O$8)</f>
        <v>4590.22425904762</v>
      </c>
      <c r="S129" s="23"/>
      <c r="T129" s="23"/>
      <c r="U129" s="23"/>
    </row>
    <row r="130" ht="16.5" spans="2:21">
      <c r="B130" s="105">
        <v>108</v>
      </c>
      <c r="C130" s="23"/>
      <c r="D130" s="106">
        <f t="shared" si="14"/>
        <v>2000</v>
      </c>
      <c r="E130" s="25">
        <f ca="1" t="shared" si="15"/>
        <v>5427.808</v>
      </c>
      <c r="F130" s="24">
        <f t="shared" si="16"/>
        <v>542.857142857143</v>
      </c>
      <c r="G130" s="23">
        <f t="shared" si="17"/>
        <v>0.366666666666667</v>
      </c>
      <c r="H130" s="23">
        <f t="shared" si="22"/>
        <v>2.66666666666667</v>
      </c>
      <c r="I130" s="108">
        <f t="shared" si="18"/>
        <v>441.904761904762</v>
      </c>
      <c r="J130" s="23">
        <f t="shared" si="23"/>
        <v>14.2857142857143</v>
      </c>
      <c r="K130" s="23">
        <f t="shared" si="19"/>
        <v>3.61904761904762</v>
      </c>
      <c r="L130" s="23"/>
      <c r="M130" s="23">
        <f t="shared" si="20"/>
        <v>1428.57142857143</v>
      </c>
      <c r="N130" s="23">
        <f t="shared" si="24"/>
        <v>11.4285714285714</v>
      </c>
      <c r="O130" s="23">
        <f t="shared" si="21"/>
        <v>0.685714285714286</v>
      </c>
      <c r="P130" s="23"/>
      <c r="Q130" s="23"/>
      <c r="R130" s="48" cm="1">
        <f ca="1" t="array" ref="R130">SUMPRODUCT(D130:O130,$D$8:$O$8)</f>
        <v>4590.22425904762</v>
      </c>
      <c r="S130" s="23"/>
      <c r="T130" s="23"/>
      <c r="U130" s="23"/>
    </row>
    <row r="131" ht="16.5" spans="2:21">
      <c r="B131" s="104">
        <v>109</v>
      </c>
      <c r="C131" s="23"/>
      <c r="D131" s="106">
        <f t="shared" si="14"/>
        <v>2000</v>
      </c>
      <c r="E131" s="25">
        <f ca="1" t="shared" si="15"/>
        <v>5427.808</v>
      </c>
      <c r="F131" s="24">
        <f t="shared" si="16"/>
        <v>542.857142857143</v>
      </c>
      <c r="G131" s="23">
        <f t="shared" si="17"/>
        <v>0.366666666666667</v>
      </c>
      <c r="H131" s="23">
        <f t="shared" si="22"/>
        <v>2.66666666666667</v>
      </c>
      <c r="I131" s="108">
        <f t="shared" si="18"/>
        <v>441.904761904762</v>
      </c>
      <c r="J131" s="23">
        <f t="shared" si="23"/>
        <v>14.2857142857143</v>
      </c>
      <c r="K131" s="23">
        <f t="shared" si="19"/>
        <v>3.61904761904762</v>
      </c>
      <c r="L131" s="23"/>
      <c r="M131" s="23">
        <f t="shared" si="20"/>
        <v>1428.57142857143</v>
      </c>
      <c r="N131" s="23">
        <f t="shared" si="24"/>
        <v>11.4285714285714</v>
      </c>
      <c r="O131" s="23">
        <f t="shared" si="21"/>
        <v>0.685714285714286</v>
      </c>
      <c r="P131" s="23"/>
      <c r="Q131" s="23"/>
      <c r="R131" s="48" cm="1">
        <f ca="1" t="array" ref="R131">SUMPRODUCT(D131:O131,$D$8:$O$8)</f>
        <v>4590.22425904762</v>
      </c>
      <c r="S131" s="23"/>
      <c r="T131" s="23"/>
      <c r="U131" s="23"/>
    </row>
    <row r="132" ht="16.5" spans="2:21">
      <c r="B132" s="105">
        <v>110</v>
      </c>
      <c r="C132" s="23"/>
      <c r="D132" s="106">
        <f t="shared" si="14"/>
        <v>2000</v>
      </c>
      <c r="E132" s="25">
        <f ca="1" t="shared" si="15"/>
        <v>5427.808</v>
      </c>
      <c r="F132" s="24">
        <f t="shared" si="16"/>
        <v>542.857142857143</v>
      </c>
      <c r="G132" s="23">
        <f t="shared" si="17"/>
        <v>0.366666666666667</v>
      </c>
      <c r="H132" s="23">
        <f t="shared" si="22"/>
        <v>2.66666666666667</v>
      </c>
      <c r="I132" s="108">
        <f t="shared" si="18"/>
        <v>441.904761904762</v>
      </c>
      <c r="J132" s="23">
        <f t="shared" si="23"/>
        <v>14.2857142857143</v>
      </c>
      <c r="K132" s="23">
        <f t="shared" si="19"/>
        <v>3.61904761904762</v>
      </c>
      <c r="L132" s="23"/>
      <c r="M132" s="23">
        <f t="shared" si="20"/>
        <v>1428.57142857143</v>
      </c>
      <c r="N132" s="23">
        <f t="shared" si="24"/>
        <v>11.4285714285714</v>
      </c>
      <c r="O132" s="23">
        <f t="shared" si="21"/>
        <v>0.685714285714286</v>
      </c>
      <c r="P132" s="23"/>
      <c r="Q132" s="23"/>
      <c r="R132" s="48" cm="1">
        <f ca="1" t="array" ref="R132">SUMPRODUCT(D132:O132,$D$8:$O$8)</f>
        <v>4590.22425904762</v>
      </c>
      <c r="S132" s="23"/>
      <c r="T132" s="23"/>
      <c r="U132" s="23"/>
    </row>
    <row r="133" ht="16.5" spans="2:21">
      <c r="B133" s="104">
        <v>111</v>
      </c>
      <c r="C133" s="23"/>
      <c r="D133" s="106">
        <f t="shared" si="14"/>
        <v>2000</v>
      </c>
      <c r="E133" s="25">
        <f ca="1" t="shared" si="15"/>
        <v>5427.808</v>
      </c>
      <c r="F133" s="24">
        <f t="shared" si="16"/>
        <v>542.857142857143</v>
      </c>
      <c r="G133" s="23">
        <f t="shared" si="17"/>
        <v>0.366666666666667</v>
      </c>
      <c r="H133" s="23">
        <f t="shared" si="22"/>
        <v>2.66666666666667</v>
      </c>
      <c r="I133" s="108">
        <f t="shared" si="18"/>
        <v>441.904761904762</v>
      </c>
      <c r="J133" s="23">
        <f t="shared" si="23"/>
        <v>14.2857142857143</v>
      </c>
      <c r="K133" s="23">
        <f t="shared" si="19"/>
        <v>3.61904761904762</v>
      </c>
      <c r="L133" s="23"/>
      <c r="M133" s="23">
        <f t="shared" si="20"/>
        <v>1428.57142857143</v>
      </c>
      <c r="N133" s="23">
        <f t="shared" si="24"/>
        <v>11.4285714285714</v>
      </c>
      <c r="O133" s="23">
        <f t="shared" si="21"/>
        <v>0.685714285714286</v>
      </c>
      <c r="P133" s="23"/>
      <c r="Q133" s="23"/>
      <c r="R133" s="48" cm="1">
        <f ca="1" t="array" ref="R133">SUMPRODUCT(D133:O133,$D$8:$O$8)</f>
        <v>4590.22425904762</v>
      </c>
      <c r="S133" s="23"/>
      <c r="T133" s="23"/>
      <c r="U133" s="23"/>
    </row>
    <row r="134" ht="16.5" spans="2:21">
      <c r="B134" s="105">
        <v>112</v>
      </c>
      <c r="C134" s="23"/>
      <c r="D134" s="106">
        <f t="shared" si="14"/>
        <v>2000</v>
      </c>
      <c r="E134" s="25">
        <f ca="1" t="shared" si="15"/>
        <v>5427.808</v>
      </c>
      <c r="F134" s="24">
        <f t="shared" si="16"/>
        <v>542.857142857143</v>
      </c>
      <c r="G134" s="23">
        <f t="shared" si="17"/>
        <v>0.366666666666667</v>
      </c>
      <c r="H134" s="23">
        <f t="shared" si="22"/>
        <v>2.66666666666667</v>
      </c>
      <c r="I134" s="108">
        <f t="shared" si="18"/>
        <v>441.904761904762</v>
      </c>
      <c r="J134" s="23">
        <f t="shared" si="23"/>
        <v>14.2857142857143</v>
      </c>
      <c r="K134" s="23">
        <f t="shared" si="19"/>
        <v>3.61904761904762</v>
      </c>
      <c r="L134" s="23"/>
      <c r="M134" s="23">
        <f t="shared" si="20"/>
        <v>1428.57142857143</v>
      </c>
      <c r="N134" s="23">
        <f t="shared" si="24"/>
        <v>11.4285714285714</v>
      </c>
      <c r="O134" s="23">
        <f t="shared" si="21"/>
        <v>0.685714285714286</v>
      </c>
      <c r="P134" s="23"/>
      <c r="Q134" s="23"/>
      <c r="R134" s="48" cm="1">
        <f ca="1" t="array" ref="R134">SUMPRODUCT(D134:O134,$D$8:$O$8)</f>
        <v>4590.22425904762</v>
      </c>
      <c r="S134" s="23"/>
      <c r="T134" s="23"/>
      <c r="U134" s="23"/>
    </row>
    <row r="135" ht="16.5" spans="2:21">
      <c r="B135" s="104">
        <v>113</v>
      </c>
      <c r="C135" s="23"/>
      <c r="D135" s="106">
        <f t="shared" si="14"/>
        <v>2000</v>
      </c>
      <c r="E135" s="25">
        <f ca="1" t="shared" si="15"/>
        <v>5427.808</v>
      </c>
      <c r="F135" s="24">
        <f t="shared" si="16"/>
        <v>542.857142857143</v>
      </c>
      <c r="G135" s="23">
        <f t="shared" si="17"/>
        <v>0.366666666666667</v>
      </c>
      <c r="H135" s="23">
        <f t="shared" si="22"/>
        <v>2.66666666666667</v>
      </c>
      <c r="I135" s="108">
        <f t="shared" si="18"/>
        <v>441.904761904762</v>
      </c>
      <c r="J135" s="23">
        <f t="shared" si="23"/>
        <v>14.2857142857143</v>
      </c>
      <c r="K135" s="23">
        <f t="shared" si="19"/>
        <v>3.61904761904762</v>
      </c>
      <c r="L135" s="23"/>
      <c r="M135" s="23">
        <f t="shared" si="20"/>
        <v>1428.57142857143</v>
      </c>
      <c r="N135" s="23">
        <f t="shared" si="24"/>
        <v>11.4285714285714</v>
      </c>
      <c r="O135" s="23">
        <f t="shared" si="21"/>
        <v>0.685714285714286</v>
      </c>
      <c r="P135" s="23"/>
      <c r="Q135" s="23"/>
      <c r="R135" s="48" cm="1">
        <f ca="1" t="array" ref="R135">SUMPRODUCT(D135:O135,$D$8:$O$8)</f>
        <v>4590.22425904762</v>
      </c>
      <c r="S135" s="23"/>
      <c r="T135" s="23"/>
      <c r="U135" s="23"/>
    </row>
    <row r="136" ht="16.5" spans="2:21">
      <c r="B136" s="105">
        <v>114</v>
      </c>
      <c r="C136" s="23"/>
      <c r="D136" s="106">
        <f t="shared" si="14"/>
        <v>2000</v>
      </c>
      <c r="E136" s="25">
        <f ca="1" t="shared" si="15"/>
        <v>5427.808</v>
      </c>
      <c r="F136" s="24">
        <f t="shared" si="16"/>
        <v>542.857142857143</v>
      </c>
      <c r="G136" s="23">
        <f t="shared" si="17"/>
        <v>0.366666666666667</v>
      </c>
      <c r="H136" s="23">
        <f t="shared" si="22"/>
        <v>2.66666666666667</v>
      </c>
      <c r="I136" s="108">
        <f t="shared" si="18"/>
        <v>441.904761904762</v>
      </c>
      <c r="J136" s="23">
        <f t="shared" si="23"/>
        <v>14.2857142857143</v>
      </c>
      <c r="K136" s="23">
        <f t="shared" si="19"/>
        <v>3.61904761904762</v>
      </c>
      <c r="L136" s="23"/>
      <c r="M136" s="23">
        <f t="shared" si="20"/>
        <v>1428.57142857143</v>
      </c>
      <c r="N136" s="23">
        <f t="shared" si="24"/>
        <v>11.4285714285714</v>
      </c>
      <c r="O136" s="23">
        <f t="shared" si="21"/>
        <v>0.685714285714286</v>
      </c>
      <c r="P136" s="23"/>
      <c r="Q136" s="23"/>
      <c r="R136" s="48" cm="1">
        <f ca="1" t="array" ref="R136">SUMPRODUCT(D136:O136,$D$8:$O$8)</f>
        <v>4590.22425904762</v>
      </c>
      <c r="S136" s="23"/>
      <c r="T136" s="23"/>
      <c r="U136" s="23"/>
    </row>
    <row r="137" ht="16.5" spans="2:21">
      <c r="B137" s="104">
        <v>115</v>
      </c>
      <c r="C137" s="23"/>
      <c r="D137" s="106">
        <f t="shared" si="14"/>
        <v>2000</v>
      </c>
      <c r="E137" s="25">
        <f ca="1" t="shared" si="15"/>
        <v>5469.136</v>
      </c>
      <c r="F137" s="24">
        <f t="shared" si="16"/>
        <v>542.857142857143</v>
      </c>
      <c r="G137" s="23">
        <f t="shared" si="17"/>
        <v>0.366666666666667</v>
      </c>
      <c r="H137" s="23">
        <f t="shared" si="22"/>
        <v>2.66666666666667</v>
      </c>
      <c r="I137" s="108">
        <f t="shared" si="18"/>
        <v>441.904761904762</v>
      </c>
      <c r="J137" s="23">
        <f t="shared" si="23"/>
        <v>14.2857142857143</v>
      </c>
      <c r="K137" s="23">
        <f t="shared" si="19"/>
        <v>3.61904761904762</v>
      </c>
      <c r="L137" s="23"/>
      <c r="M137" s="23">
        <f t="shared" si="20"/>
        <v>1428.57142857143</v>
      </c>
      <c r="N137" s="23">
        <f t="shared" si="24"/>
        <v>11.4285714285714</v>
      </c>
      <c r="O137" s="23">
        <f t="shared" si="21"/>
        <v>0.685714285714286</v>
      </c>
      <c r="P137" s="23"/>
      <c r="Q137" s="23"/>
      <c r="R137" s="48" cm="1">
        <f ca="1" t="array" ref="R137">SUMPRODUCT(D137:O137,$D$8:$O$8)</f>
        <v>4603.86249904762</v>
      </c>
      <c r="S137" s="23"/>
      <c r="T137" s="23"/>
      <c r="U137" s="23"/>
    </row>
    <row r="138" ht="16.5" spans="2:21">
      <c r="B138" s="105">
        <v>116</v>
      </c>
      <c r="C138" s="23"/>
      <c r="D138" s="106">
        <f t="shared" si="14"/>
        <v>2000</v>
      </c>
      <c r="E138" s="25">
        <f ca="1" t="shared" si="15"/>
        <v>5469.136</v>
      </c>
      <c r="F138" s="24">
        <f t="shared" si="16"/>
        <v>542.857142857143</v>
      </c>
      <c r="G138" s="23">
        <f t="shared" si="17"/>
        <v>0.366666666666667</v>
      </c>
      <c r="H138" s="23">
        <f t="shared" si="22"/>
        <v>2.66666666666667</v>
      </c>
      <c r="I138" s="108">
        <f t="shared" si="18"/>
        <v>441.904761904762</v>
      </c>
      <c r="J138" s="23">
        <f t="shared" si="23"/>
        <v>14.2857142857143</v>
      </c>
      <c r="K138" s="23">
        <f t="shared" si="19"/>
        <v>3.61904761904762</v>
      </c>
      <c r="L138" s="23"/>
      <c r="M138" s="23">
        <f t="shared" si="20"/>
        <v>1428.57142857143</v>
      </c>
      <c r="N138" s="23">
        <f t="shared" si="24"/>
        <v>11.4285714285714</v>
      </c>
      <c r="O138" s="23">
        <f t="shared" si="21"/>
        <v>0.685714285714286</v>
      </c>
      <c r="P138" s="23"/>
      <c r="Q138" s="23"/>
      <c r="R138" s="48" cm="1">
        <f ca="1" t="array" ref="R138">SUMPRODUCT(D138:O138,$D$8:$O$8)</f>
        <v>4603.86249904762</v>
      </c>
      <c r="S138" s="23"/>
      <c r="T138" s="23"/>
      <c r="U138" s="23"/>
    </row>
    <row r="139" ht="16.5" spans="2:21">
      <c r="B139" s="104">
        <v>117</v>
      </c>
      <c r="C139" s="23"/>
      <c r="D139" s="106">
        <f t="shared" si="14"/>
        <v>2000</v>
      </c>
      <c r="E139" s="25">
        <f ca="1" t="shared" si="15"/>
        <v>5469.136</v>
      </c>
      <c r="F139" s="24">
        <f t="shared" si="16"/>
        <v>542.857142857143</v>
      </c>
      <c r="G139" s="23">
        <f t="shared" si="17"/>
        <v>0.366666666666667</v>
      </c>
      <c r="H139" s="23">
        <f t="shared" si="22"/>
        <v>2.66666666666667</v>
      </c>
      <c r="I139" s="108">
        <f t="shared" si="18"/>
        <v>441.904761904762</v>
      </c>
      <c r="J139" s="23">
        <f t="shared" si="23"/>
        <v>14.2857142857143</v>
      </c>
      <c r="K139" s="23">
        <f t="shared" si="19"/>
        <v>3.61904761904762</v>
      </c>
      <c r="L139" s="23"/>
      <c r="M139" s="23">
        <f t="shared" si="20"/>
        <v>1428.57142857143</v>
      </c>
      <c r="N139" s="23">
        <f t="shared" si="24"/>
        <v>11.4285714285714</v>
      </c>
      <c r="O139" s="23">
        <f t="shared" si="21"/>
        <v>0.685714285714286</v>
      </c>
      <c r="P139" s="23"/>
      <c r="Q139" s="23"/>
      <c r="R139" s="48" cm="1">
        <f ca="1" t="array" ref="R139">SUMPRODUCT(D139:O139,$D$8:$O$8)</f>
        <v>4603.86249904762</v>
      </c>
      <c r="S139" s="23"/>
      <c r="T139" s="23"/>
      <c r="U139" s="23"/>
    </row>
    <row r="140" ht="16.5" spans="2:21">
      <c r="B140" s="105">
        <v>118</v>
      </c>
      <c r="C140" s="23"/>
      <c r="D140" s="106">
        <f t="shared" si="14"/>
        <v>2000</v>
      </c>
      <c r="E140" s="25">
        <f ca="1" t="shared" si="15"/>
        <v>5469.136</v>
      </c>
      <c r="F140" s="24">
        <f t="shared" si="16"/>
        <v>542.857142857143</v>
      </c>
      <c r="G140" s="23">
        <f t="shared" si="17"/>
        <v>0.366666666666667</v>
      </c>
      <c r="H140" s="23">
        <f t="shared" si="22"/>
        <v>2.66666666666667</v>
      </c>
      <c r="I140" s="108">
        <f t="shared" si="18"/>
        <v>441.904761904762</v>
      </c>
      <c r="J140" s="23">
        <f t="shared" si="23"/>
        <v>14.2857142857143</v>
      </c>
      <c r="K140" s="23">
        <f t="shared" si="19"/>
        <v>3.61904761904762</v>
      </c>
      <c r="L140" s="23"/>
      <c r="M140" s="23">
        <f t="shared" si="20"/>
        <v>1428.57142857143</v>
      </c>
      <c r="N140" s="23">
        <f t="shared" si="24"/>
        <v>11.4285714285714</v>
      </c>
      <c r="O140" s="23">
        <f t="shared" si="21"/>
        <v>0.685714285714286</v>
      </c>
      <c r="P140" s="23"/>
      <c r="Q140" s="23"/>
      <c r="R140" s="48" cm="1">
        <f ca="1" t="array" ref="R140">SUMPRODUCT(D140:O140,$D$8:$O$8)</f>
        <v>4603.86249904762</v>
      </c>
      <c r="S140" s="23"/>
      <c r="T140" s="23"/>
      <c r="U140" s="23"/>
    </row>
    <row r="141" ht="16.5" spans="2:21">
      <c r="B141" s="104">
        <v>119</v>
      </c>
      <c r="C141" s="23"/>
      <c r="D141" s="106">
        <f t="shared" si="14"/>
        <v>2000</v>
      </c>
      <c r="E141" s="25">
        <f ca="1" t="shared" si="15"/>
        <v>5469.136</v>
      </c>
      <c r="F141" s="24">
        <f t="shared" si="16"/>
        <v>542.857142857143</v>
      </c>
      <c r="G141" s="23">
        <f t="shared" si="17"/>
        <v>0.366666666666667</v>
      </c>
      <c r="H141" s="23">
        <f t="shared" si="22"/>
        <v>2.66666666666667</v>
      </c>
      <c r="I141" s="108">
        <f t="shared" si="18"/>
        <v>441.904761904762</v>
      </c>
      <c r="J141" s="23">
        <f t="shared" si="23"/>
        <v>14.2857142857143</v>
      </c>
      <c r="K141" s="23">
        <f t="shared" si="19"/>
        <v>3.61904761904762</v>
      </c>
      <c r="L141" s="23"/>
      <c r="M141" s="23">
        <f t="shared" si="20"/>
        <v>1428.57142857143</v>
      </c>
      <c r="N141" s="23">
        <f t="shared" si="24"/>
        <v>11.4285714285714</v>
      </c>
      <c r="O141" s="23">
        <f t="shared" si="21"/>
        <v>0.685714285714286</v>
      </c>
      <c r="P141" s="23"/>
      <c r="Q141" s="23"/>
      <c r="R141" s="48" cm="1">
        <f ca="1" t="array" ref="R141">SUMPRODUCT(D141:O141,$D$8:$O$8)</f>
        <v>4603.86249904762</v>
      </c>
      <c r="S141" s="23"/>
      <c r="T141" s="23"/>
      <c r="U141" s="23"/>
    </row>
    <row r="142" ht="16.5" spans="2:21">
      <c r="B142" s="105">
        <v>120</v>
      </c>
      <c r="C142" s="23"/>
      <c r="D142" s="106">
        <f t="shared" si="14"/>
        <v>2000</v>
      </c>
      <c r="E142" s="25">
        <f ca="1" t="shared" si="15"/>
        <v>5469.136</v>
      </c>
      <c r="F142" s="24">
        <f t="shared" si="16"/>
        <v>542.857142857143</v>
      </c>
      <c r="G142" s="23">
        <f t="shared" si="17"/>
        <v>0.366666666666667</v>
      </c>
      <c r="H142" s="23">
        <f t="shared" si="22"/>
        <v>2.66666666666667</v>
      </c>
      <c r="I142" s="108">
        <f t="shared" si="18"/>
        <v>441.904761904762</v>
      </c>
      <c r="J142" s="23">
        <f t="shared" si="23"/>
        <v>14.2857142857143</v>
      </c>
      <c r="K142" s="23">
        <f t="shared" si="19"/>
        <v>3.61904761904762</v>
      </c>
      <c r="L142" s="23"/>
      <c r="M142" s="23">
        <f t="shared" si="20"/>
        <v>1428.57142857143</v>
      </c>
      <c r="N142" s="23">
        <f t="shared" si="24"/>
        <v>11.4285714285714</v>
      </c>
      <c r="O142" s="23">
        <f t="shared" si="21"/>
        <v>0.685714285714286</v>
      </c>
      <c r="P142" s="23"/>
      <c r="Q142" s="23"/>
      <c r="R142" s="48" cm="1">
        <f ca="1" t="array" ref="R142">SUMPRODUCT(D142:O142,$D$8:$O$8)</f>
        <v>4603.86249904762</v>
      </c>
      <c r="S142" s="23"/>
      <c r="T142" s="23"/>
      <c r="U142" s="23"/>
    </row>
    <row r="143" ht="16.5" spans="2:21">
      <c r="B143" s="104">
        <v>121</v>
      </c>
      <c r="C143" s="23"/>
      <c r="D143" s="106">
        <f t="shared" si="14"/>
        <v>2000</v>
      </c>
      <c r="E143" s="25">
        <f ca="1" t="shared" si="15"/>
        <v>5469.136</v>
      </c>
      <c r="F143" s="24">
        <f t="shared" si="16"/>
        <v>542.857142857143</v>
      </c>
      <c r="G143" s="23">
        <f t="shared" si="17"/>
        <v>0.366666666666667</v>
      </c>
      <c r="H143" s="23">
        <f t="shared" si="22"/>
        <v>2.66666666666667</v>
      </c>
      <c r="I143" s="108">
        <f t="shared" si="18"/>
        <v>441.904761904762</v>
      </c>
      <c r="J143" s="23">
        <f t="shared" si="23"/>
        <v>14.2857142857143</v>
      </c>
      <c r="K143" s="23">
        <f t="shared" si="19"/>
        <v>3.61904761904762</v>
      </c>
      <c r="L143" s="23"/>
      <c r="M143" s="23">
        <f t="shared" si="20"/>
        <v>1428.57142857143</v>
      </c>
      <c r="N143" s="23">
        <f t="shared" si="24"/>
        <v>11.4285714285714</v>
      </c>
      <c r="O143" s="23">
        <f t="shared" si="21"/>
        <v>0.685714285714286</v>
      </c>
      <c r="P143" s="23"/>
      <c r="Q143" s="23"/>
      <c r="R143" s="48" cm="1">
        <f ca="1" t="array" ref="R143">SUMPRODUCT(D143:O143,$D$8:$O$8)</f>
        <v>4603.86249904762</v>
      </c>
      <c r="S143" s="23"/>
      <c r="T143" s="23"/>
      <c r="U143" s="23"/>
    </row>
    <row r="144" ht="16.5" spans="2:21">
      <c r="B144" s="105">
        <v>122</v>
      </c>
      <c r="C144" s="23"/>
      <c r="D144" s="106">
        <f t="shared" si="14"/>
        <v>2000</v>
      </c>
      <c r="E144" s="25">
        <f ca="1" t="shared" si="15"/>
        <v>5469.136</v>
      </c>
      <c r="F144" s="24">
        <f t="shared" si="16"/>
        <v>542.857142857143</v>
      </c>
      <c r="G144" s="23">
        <f t="shared" si="17"/>
        <v>0.366666666666667</v>
      </c>
      <c r="H144" s="23">
        <f t="shared" si="22"/>
        <v>2.66666666666667</v>
      </c>
      <c r="I144" s="108">
        <f t="shared" si="18"/>
        <v>441.904761904762</v>
      </c>
      <c r="J144" s="23">
        <f t="shared" si="23"/>
        <v>14.2857142857143</v>
      </c>
      <c r="K144" s="23">
        <f t="shared" si="19"/>
        <v>3.61904761904762</v>
      </c>
      <c r="L144" s="23"/>
      <c r="M144" s="23">
        <f t="shared" si="20"/>
        <v>1428.57142857143</v>
      </c>
      <c r="N144" s="23">
        <f t="shared" si="24"/>
        <v>11.4285714285714</v>
      </c>
      <c r="O144" s="23">
        <f t="shared" si="21"/>
        <v>0.685714285714286</v>
      </c>
      <c r="P144" s="23"/>
      <c r="Q144" s="23"/>
      <c r="R144" s="48" cm="1">
        <f ca="1" t="array" ref="R144">SUMPRODUCT(D144:O144,$D$8:$O$8)</f>
        <v>4603.86249904762</v>
      </c>
      <c r="S144" s="23"/>
      <c r="T144" s="23"/>
      <c r="U144" s="23"/>
    </row>
    <row r="145" ht="16.5" spans="2:21">
      <c r="B145" s="104">
        <v>123</v>
      </c>
      <c r="C145" s="23"/>
      <c r="D145" s="106">
        <f t="shared" si="14"/>
        <v>2000</v>
      </c>
      <c r="E145" s="25">
        <f ca="1" t="shared" si="15"/>
        <v>5469.136</v>
      </c>
      <c r="F145" s="24">
        <f t="shared" si="16"/>
        <v>542.857142857143</v>
      </c>
      <c r="G145" s="23">
        <f t="shared" si="17"/>
        <v>0.366666666666667</v>
      </c>
      <c r="H145" s="23">
        <f t="shared" si="22"/>
        <v>2.66666666666667</v>
      </c>
      <c r="I145" s="108">
        <f t="shared" si="18"/>
        <v>441.904761904762</v>
      </c>
      <c r="J145" s="23">
        <f t="shared" si="23"/>
        <v>14.2857142857143</v>
      </c>
      <c r="K145" s="23">
        <f t="shared" si="19"/>
        <v>3.61904761904762</v>
      </c>
      <c r="L145" s="23"/>
      <c r="M145" s="23">
        <f t="shared" si="20"/>
        <v>1428.57142857143</v>
      </c>
      <c r="N145" s="23">
        <f t="shared" si="24"/>
        <v>11.4285714285714</v>
      </c>
      <c r="O145" s="23">
        <f t="shared" si="21"/>
        <v>0.685714285714286</v>
      </c>
      <c r="P145" s="23"/>
      <c r="Q145" s="23"/>
      <c r="R145" s="48" cm="1">
        <f ca="1" t="array" ref="R145">SUMPRODUCT(D145:O145,$D$8:$O$8)</f>
        <v>4603.86249904762</v>
      </c>
      <c r="S145" s="23"/>
      <c r="T145" s="23"/>
      <c r="U145" s="23"/>
    </row>
    <row r="146" ht="16.5" spans="2:21">
      <c r="B146" s="105">
        <v>124</v>
      </c>
      <c r="C146" s="23"/>
      <c r="D146" s="106">
        <f t="shared" si="14"/>
        <v>2000</v>
      </c>
      <c r="E146" s="25">
        <f ca="1" t="shared" si="15"/>
        <v>5469.136</v>
      </c>
      <c r="F146" s="24">
        <f t="shared" si="16"/>
        <v>542.857142857143</v>
      </c>
      <c r="G146" s="23">
        <f t="shared" si="17"/>
        <v>0.366666666666667</v>
      </c>
      <c r="H146" s="23">
        <f t="shared" si="22"/>
        <v>2.66666666666667</v>
      </c>
      <c r="I146" s="108">
        <f t="shared" si="18"/>
        <v>441.904761904762</v>
      </c>
      <c r="J146" s="23">
        <f t="shared" si="23"/>
        <v>14.2857142857143</v>
      </c>
      <c r="K146" s="23">
        <f t="shared" si="19"/>
        <v>3.61904761904762</v>
      </c>
      <c r="L146" s="23"/>
      <c r="M146" s="23">
        <f t="shared" si="20"/>
        <v>1428.57142857143</v>
      </c>
      <c r="N146" s="23">
        <f t="shared" si="24"/>
        <v>11.4285714285714</v>
      </c>
      <c r="O146" s="23">
        <f t="shared" si="21"/>
        <v>0.685714285714286</v>
      </c>
      <c r="P146" s="23"/>
      <c r="Q146" s="23"/>
      <c r="R146" s="48" cm="1">
        <f ca="1" t="array" ref="R146">SUMPRODUCT(D146:O146,$D$8:$O$8)</f>
        <v>4603.86249904762</v>
      </c>
      <c r="S146" s="23"/>
      <c r="T146" s="23"/>
      <c r="U146" s="23"/>
    </row>
    <row r="147" ht="16.5" spans="2:21">
      <c r="B147" s="104">
        <v>125</v>
      </c>
      <c r="C147" s="23"/>
      <c r="D147" s="106">
        <f t="shared" si="14"/>
        <v>2000</v>
      </c>
      <c r="E147" s="25">
        <f ca="1" t="shared" si="15"/>
        <v>5469.136</v>
      </c>
      <c r="F147" s="24">
        <f t="shared" si="16"/>
        <v>542.857142857143</v>
      </c>
      <c r="G147" s="23">
        <f t="shared" si="17"/>
        <v>0.366666666666667</v>
      </c>
      <c r="H147" s="23">
        <f t="shared" si="22"/>
        <v>2.66666666666667</v>
      </c>
      <c r="I147" s="108">
        <f t="shared" si="18"/>
        <v>441.904761904762</v>
      </c>
      <c r="J147" s="23">
        <f t="shared" si="23"/>
        <v>14.2857142857143</v>
      </c>
      <c r="K147" s="23">
        <f t="shared" si="19"/>
        <v>3.61904761904762</v>
      </c>
      <c r="L147" s="23"/>
      <c r="M147" s="23">
        <f t="shared" si="20"/>
        <v>1428.57142857143</v>
      </c>
      <c r="N147" s="23">
        <f t="shared" si="24"/>
        <v>11.4285714285714</v>
      </c>
      <c r="O147" s="23">
        <f t="shared" si="21"/>
        <v>0.685714285714286</v>
      </c>
      <c r="P147" s="23"/>
      <c r="Q147" s="23"/>
      <c r="R147" s="48" cm="1">
        <f ca="1" t="array" ref="R147">SUMPRODUCT(D147:O147,$D$8:$O$8)</f>
        <v>4603.86249904762</v>
      </c>
      <c r="S147" s="23"/>
      <c r="T147" s="23"/>
      <c r="U147" s="23"/>
    </row>
    <row r="148" ht="16.5" spans="2:21">
      <c r="B148" s="105">
        <v>126</v>
      </c>
      <c r="C148" s="23"/>
      <c r="D148" s="106">
        <f t="shared" si="14"/>
        <v>2000</v>
      </c>
      <c r="E148" s="25">
        <f ca="1" t="shared" si="15"/>
        <v>5469.136</v>
      </c>
      <c r="F148" s="24">
        <f t="shared" si="16"/>
        <v>542.857142857143</v>
      </c>
      <c r="G148" s="23">
        <f t="shared" si="17"/>
        <v>0.366666666666667</v>
      </c>
      <c r="H148" s="23">
        <f t="shared" si="22"/>
        <v>2.66666666666667</v>
      </c>
      <c r="I148" s="108">
        <f t="shared" si="18"/>
        <v>441.904761904762</v>
      </c>
      <c r="J148" s="23">
        <f t="shared" si="23"/>
        <v>14.2857142857143</v>
      </c>
      <c r="K148" s="23">
        <f t="shared" si="19"/>
        <v>3.61904761904762</v>
      </c>
      <c r="L148" s="23"/>
      <c r="M148" s="23">
        <f t="shared" si="20"/>
        <v>1428.57142857143</v>
      </c>
      <c r="N148" s="23">
        <f t="shared" si="24"/>
        <v>11.4285714285714</v>
      </c>
      <c r="O148" s="23">
        <f t="shared" si="21"/>
        <v>0.685714285714286</v>
      </c>
      <c r="P148" s="23"/>
      <c r="Q148" s="23"/>
      <c r="R148" s="48" cm="1">
        <f ca="1" t="array" ref="R148">SUMPRODUCT(D148:O148,$D$8:$O$8)</f>
        <v>4603.86249904762</v>
      </c>
      <c r="S148" s="23"/>
      <c r="T148" s="23"/>
      <c r="U148" s="23"/>
    </row>
    <row r="149" ht="16.5" spans="2:21">
      <c r="B149" s="104">
        <v>127</v>
      </c>
      <c r="C149" s="23"/>
      <c r="D149" s="106">
        <f t="shared" si="14"/>
        <v>2000</v>
      </c>
      <c r="E149" s="25">
        <f ca="1" t="shared" si="15"/>
        <v>5469.136</v>
      </c>
      <c r="F149" s="24">
        <f t="shared" si="16"/>
        <v>542.857142857143</v>
      </c>
      <c r="G149" s="23">
        <f t="shared" si="17"/>
        <v>0.366666666666667</v>
      </c>
      <c r="H149" s="23">
        <f t="shared" si="22"/>
        <v>2.66666666666667</v>
      </c>
      <c r="I149" s="108">
        <f t="shared" si="18"/>
        <v>441.904761904762</v>
      </c>
      <c r="J149" s="23">
        <f t="shared" si="23"/>
        <v>14.2857142857143</v>
      </c>
      <c r="K149" s="23">
        <f t="shared" si="19"/>
        <v>3.61904761904762</v>
      </c>
      <c r="L149" s="23"/>
      <c r="M149" s="23">
        <f t="shared" si="20"/>
        <v>1428.57142857143</v>
      </c>
      <c r="N149" s="23">
        <f t="shared" si="24"/>
        <v>11.4285714285714</v>
      </c>
      <c r="O149" s="23">
        <f t="shared" si="21"/>
        <v>0.685714285714286</v>
      </c>
      <c r="P149" s="23"/>
      <c r="Q149" s="23"/>
      <c r="R149" s="48" cm="1">
        <f ca="1" t="array" ref="R149">SUMPRODUCT(D149:O149,$D$8:$O$8)</f>
        <v>4603.86249904762</v>
      </c>
      <c r="S149" s="23"/>
      <c r="T149" s="23"/>
      <c r="U149" s="23"/>
    </row>
    <row r="150" ht="16.5" spans="2:21">
      <c r="B150" s="105">
        <v>128</v>
      </c>
      <c r="C150" s="23"/>
      <c r="D150" s="106">
        <f t="shared" si="14"/>
        <v>2000</v>
      </c>
      <c r="E150" s="25">
        <f ca="1" t="shared" si="15"/>
        <v>5469.136</v>
      </c>
      <c r="F150" s="24">
        <f t="shared" si="16"/>
        <v>542.857142857143</v>
      </c>
      <c r="G150" s="23">
        <f t="shared" si="17"/>
        <v>0.366666666666667</v>
      </c>
      <c r="H150" s="23">
        <f t="shared" si="22"/>
        <v>2.66666666666667</v>
      </c>
      <c r="I150" s="108">
        <f t="shared" si="18"/>
        <v>441.904761904762</v>
      </c>
      <c r="J150" s="23">
        <f t="shared" si="23"/>
        <v>14.2857142857143</v>
      </c>
      <c r="K150" s="23">
        <f t="shared" si="19"/>
        <v>3.61904761904762</v>
      </c>
      <c r="L150" s="23"/>
      <c r="M150" s="23">
        <f t="shared" si="20"/>
        <v>1428.57142857143</v>
      </c>
      <c r="N150" s="23">
        <f t="shared" si="24"/>
        <v>11.4285714285714</v>
      </c>
      <c r="O150" s="23">
        <f t="shared" si="21"/>
        <v>0.685714285714286</v>
      </c>
      <c r="P150" s="23"/>
      <c r="Q150" s="23"/>
      <c r="R150" s="48" cm="1">
        <f ca="1" t="array" ref="R150">SUMPRODUCT(D150:O150,$D$8:$O$8)</f>
        <v>4603.86249904762</v>
      </c>
      <c r="S150" s="23"/>
      <c r="T150" s="23"/>
      <c r="U150" s="23"/>
    </row>
    <row r="151" ht="16.5" spans="2:21">
      <c r="B151" s="104">
        <v>129</v>
      </c>
      <c r="C151" s="23"/>
      <c r="D151" s="106">
        <f t="shared" si="14"/>
        <v>2000</v>
      </c>
      <c r="E151" s="25">
        <f ca="1" t="shared" si="15"/>
        <v>5469.136</v>
      </c>
      <c r="F151" s="24">
        <f t="shared" si="16"/>
        <v>542.857142857143</v>
      </c>
      <c r="G151" s="23">
        <f t="shared" si="17"/>
        <v>0.366666666666667</v>
      </c>
      <c r="H151" s="23">
        <f t="shared" si="22"/>
        <v>2.66666666666667</v>
      </c>
      <c r="I151" s="108">
        <f t="shared" si="18"/>
        <v>441.904761904762</v>
      </c>
      <c r="J151" s="23">
        <f t="shared" si="23"/>
        <v>14.2857142857143</v>
      </c>
      <c r="K151" s="23">
        <f t="shared" si="19"/>
        <v>3.61904761904762</v>
      </c>
      <c r="L151" s="23"/>
      <c r="M151" s="23">
        <f t="shared" si="20"/>
        <v>1428.57142857143</v>
      </c>
      <c r="N151" s="23">
        <f t="shared" si="24"/>
        <v>11.4285714285714</v>
      </c>
      <c r="O151" s="23">
        <f t="shared" si="21"/>
        <v>0.685714285714286</v>
      </c>
      <c r="P151" s="23"/>
      <c r="Q151" s="23"/>
      <c r="R151" s="48" cm="1">
        <f ca="1" t="array" ref="R151">SUMPRODUCT(D151:O151,$D$8:$O$8)</f>
        <v>4603.86249904762</v>
      </c>
      <c r="S151" s="23"/>
      <c r="T151" s="23"/>
      <c r="U151" s="23"/>
    </row>
    <row r="152" ht="16.5" spans="2:21">
      <c r="B152" s="105">
        <v>130</v>
      </c>
      <c r="C152" s="23"/>
      <c r="D152" s="106">
        <f t="shared" ref="D152:D215" si="25">$D$12+$D$13+$D$14</f>
        <v>2000</v>
      </c>
      <c r="E152" s="25">
        <f ca="1" t="shared" si="15"/>
        <v>5469.136</v>
      </c>
      <c r="F152" s="24">
        <f t="shared" si="16"/>
        <v>542.857142857143</v>
      </c>
      <c r="G152" s="23">
        <f t="shared" si="17"/>
        <v>0.366666666666667</v>
      </c>
      <c r="H152" s="23">
        <f t="shared" si="22"/>
        <v>2.66666666666667</v>
      </c>
      <c r="I152" s="108">
        <f t="shared" si="18"/>
        <v>441.904761904762</v>
      </c>
      <c r="J152" s="23">
        <f t="shared" si="23"/>
        <v>14.2857142857143</v>
      </c>
      <c r="K152" s="23">
        <f t="shared" si="19"/>
        <v>3.61904761904762</v>
      </c>
      <c r="L152" s="23"/>
      <c r="M152" s="23">
        <f t="shared" si="20"/>
        <v>1428.57142857143</v>
      </c>
      <c r="N152" s="23">
        <f t="shared" si="24"/>
        <v>11.4285714285714</v>
      </c>
      <c r="O152" s="23">
        <f t="shared" si="21"/>
        <v>0.685714285714286</v>
      </c>
      <c r="P152" s="23"/>
      <c r="Q152" s="23"/>
      <c r="R152" s="48" cm="1">
        <f ca="1" t="array" ref="R152">SUMPRODUCT(D152:O152,$D$8:$O$8)</f>
        <v>4603.86249904762</v>
      </c>
      <c r="S152" s="23"/>
      <c r="T152" s="23"/>
      <c r="U152" s="23"/>
    </row>
    <row r="153" ht="16.5" spans="2:21">
      <c r="B153" s="104">
        <v>131</v>
      </c>
      <c r="C153" s="23"/>
      <c r="D153" s="106">
        <f t="shared" si="25"/>
        <v>2000</v>
      </c>
      <c r="E153" s="25">
        <f ca="1" t="shared" si="15"/>
        <v>5510.464</v>
      </c>
      <c r="F153" s="24">
        <f t="shared" si="16"/>
        <v>542.857142857143</v>
      </c>
      <c r="G153" s="23">
        <f t="shared" si="17"/>
        <v>0.366666666666667</v>
      </c>
      <c r="H153" s="23">
        <f t="shared" si="22"/>
        <v>2.66666666666667</v>
      </c>
      <c r="I153" s="108">
        <f t="shared" si="18"/>
        <v>441.904761904762</v>
      </c>
      <c r="J153" s="23">
        <f t="shared" si="23"/>
        <v>14.2857142857143</v>
      </c>
      <c r="K153" s="23">
        <f t="shared" si="19"/>
        <v>3.61904761904762</v>
      </c>
      <c r="L153" s="23"/>
      <c r="M153" s="23">
        <f t="shared" si="20"/>
        <v>1428.57142857143</v>
      </c>
      <c r="N153" s="23">
        <f t="shared" si="24"/>
        <v>11.4285714285714</v>
      </c>
      <c r="O153" s="23">
        <f t="shared" si="21"/>
        <v>0.685714285714286</v>
      </c>
      <c r="P153" s="23"/>
      <c r="Q153" s="23"/>
      <c r="R153" s="48" cm="1">
        <f ca="1" t="array" ref="R153">SUMPRODUCT(D153:O153,$D$8:$O$8)</f>
        <v>4617.50073904762</v>
      </c>
      <c r="S153" s="23"/>
      <c r="T153" s="23"/>
      <c r="U153" s="23"/>
    </row>
    <row r="154" ht="16.5" spans="2:21">
      <c r="B154" s="105">
        <v>132</v>
      </c>
      <c r="C154" s="23"/>
      <c r="D154" s="106">
        <f t="shared" si="25"/>
        <v>2000</v>
      </c>
      <c r="E154" s="25">
        <f ca="1" t="shared" ref="E154:E217" si="26">$E$12+$E$13+$F$3*$F$4+IF(B154&gt;$I$5+3,$I$3*$I$4,0)+OFFSET($Y$9,MATCH(B154,$X$10:$X$39,1),0)</f>
        <v>5510.464</v>
      </c>
      <c r="F154" s="24">
        <f t="shared" ref="F154:F217" si="27">$F$12+$F$13+$F$14+$F$18/7+$C$3*$C$4+IF(B154&gt;$J$5+3,$J$3*$J$4,0)</f>
        <v>542.857142857143</v>
      </c>
      <c r="G154" s="23">
        <f t="shared" ref="G154:G217" si="28">($G$15+$G$19/2/5)/3</f>
        <v>0.366666666666667</v>
      </c>
      <c r="H154" s="23">
        <f t="shared" si="22"/>
        <v>2.66666666666667</v>
      </c>
      <c r="I154" s="108">
        <f t="shared" ref="I154:I217" si="29">$I$13+$I$14+$I$16/3+$I$19/7/5</f>
        <v>441.904761904762</v>
      </c>
      <c r="J154" s="23">
        <f t="shared" si="23"/>
        <v>14.2857142857143</v>
      </c>
      <c r="K154" s="23">
        <f t="shared" ref="K154:K217" si="30">$K$16/3+$K$19/7/5</f>
        <v>3.61904761904762</v>
      </c>
      <c r="L154" s="23"/>
      <c r="M154" s="23">
        <f t="shared" ref="M154:M217" si="31">($M$18+$M$19/5)/7+$M$14</f>
        <v>1428.57142857143</v>
      </c>
      <c r="N154" s="23">
        <f t="shared" si="24"/>
        <v>11.4285714285714</v>
      </c>
      <c r="O154" s="23">
        <f t="shared" ref="O154:O217" si="32">$O$19/7/5</f>
        <v>0.685714285714286</v>
      </c>
      <c r="P154" s="23"/>
      <c r="Q154" s="23"/>
      <c r="R154" s="48" cm="1">
        <f ca="1" t="array" ref="R154">SUMPRODUCT(D154:O154,$D$8:$O$8)</f>
        <v>4617.50073904762</v>
      </c>
      <c r="S154" s="23"/>
      <c r="T154" s="23"/>
      <c r="U154" s="23"/>
    </row>
    <row r="155" ht="16.5" spans="2:21">
      <c r="B155" s="104">
        <v>133</v>
      </c>
      <c r="C155" s="23"/>
      <c r="D155" s="106">
        <f t="shared" si="25"/>
        <v>2000</v>
      </c>
      <c r="E155" s="25">
        <f ca="1" t="shared" si="26"/>
        <v>5510.464</v>
      </c>
      <c r="F155" s="24">
        <f t="shared" si="27"/>
        <v>542.857142857143</v>
      </c>
      <c r="G155" s="23">
        <f t="shared" si="28"/>
        <v>0.366666666666667</v>
      </c>
      <c r="H155" s="23">
        <f t="shared" ref="H155:H218" si="33">$H$14+$H$15/3</f>
        <v>2.66666666666667</v>
      </c>
      <c r="I155" s="108">
        <f t="shared" si="29"/>
        <v>441.904761904762</v>
      </c>
      <c r="J155" s="23">
        <f t="shared" ref="J155:J218" si="34">$J$18/7</f>
        <v>14.2857142857143</v>
      </c>
      <c r="K155" s="23">
        <f t="shared" si="30"/>
        <v>3.61904761904762</v>
      </c>
      <c r="L155" s="23"/>
      <c r="M155" s="23">
        <f t="shared" si="31"/>
        <v>1428.57142857143</v>
      </c>
      <c r="N155" s="23">
        <f t="shared" ref="N155:N218" si="35">$N$12+$N$18/7</f>
        <v>11.4285714285714</v>
      </c>
      <c r="O155" s="23">
        <f t="shared" si="32"/>
        <v>0.685714285714286</v>
      </c>
      <c r="P155" s="23"/>
      <c r="Q155" s="23"/>
      <c r="R155" s="48" cm="1">
        <f ca="1" t="array" ref="R155">SUMPRODUCT(D155:O155,$D$8:$O$8)</f>
        <v>4617.50073904762</v>
      </c>
      <c r="S155" s="23"/>
      <c r="T155" s="23"/>
      <c r="U155" s="23"/>
    </row>
    <row r="156" ht="16.5" spans="2:21">
      <c r="B156" s="105">
        <v>134</v>
      </c>
      <c r="C156" s="23"/>
      <c r="D156" s="106">
        <f t="shared" si="25"/>
        <v>2000</v>
      </c>
      <c r="E156" s="25">
        <f ca="1" t="shared" si="26"/>
        <v>5510.464</v>
      </c>
      <c r="F156" s="24">
        <f t="shared" si="27"/>
        <v>542.857142857143</v>
      </c>
      <c r="G156" s="23">
        <f t="shared" si="28"/>
        <v>0.366666666666667</v>
      </c>
      <c r="H156" s="23">
        <f t="shared" si="33"/>
        <v>2.66666666666667</v>
      </c>
      <c r="I156" s="108">
        <f t="shared" si="29"/>
        <v>441.904761904762</v>
      </c>
      <c r="J156" s="23">
        <f t="shared" si="34"/>
        <v>14.2857142857143</v>
      </c>
      <c r="K156" s="23">
        <f t="shared" si="30"/>
        <v>3.61904761904762</v>
      </c>
      <c r="L156" s="23"/>
      <c r="M156" s="23">
        <f t="shared" si="31"/>
        <v>1428.57142857143</v>
      </c>
      <c r="N156" s="23">
        <f t="shared" si="35"/>
        <v>11.4285714285714</v>
      </c>
      <c r="O156" s="23">
        <f t="shared" si="32"/>
        <v>0.685714285714286</v>
      </c>
      <c r="P156" s="23"/>
      <c r="Q156" s="23"/>
      <c r="R156" s="48" cm="1">
        <f ca="1" t="array" ref="R156">SUMPRODUCT(D156:O156,$D$8:$O$8)</f>
        <v>4617.50073904762</v>
      </c>
      <c r="S156" s="23"/>
      <c r="T156" s="23"/>
      <c r="U156" s="23"/>
    </row>
    <row r="157" ht="16.5" spans="2:21">
      <c r="B157" s="104">
        <v>135</v>
      </c>
      <c r="C157" s="23"/>
      <c r="D157" s="106">
        <f t="shared" si="25"/>
        <v>2000</v>
      </c>
      <c r="E157" s="25">
        <f ca="1" t="shared" si="26"/>
        <v>5510.464</v>
      </c>
      <c r="F157" s="24">
        <f t="shared" si="27"/>
        <v>542.857142857143</v>
      </c>
      <c r="G157" s="23">
        <f t="shared" si="28"/>
        <v>0.366666666666667</v>
      </c>
      <c r="H157" s="23">
        <f t="shared" si="33"/>
        <v>2.66666666666667</v>
      </c>
      <c r="I157" s="108">
        <f t="shared" si="29"/>
        <v>441.904761904762</v>
      </c>
      <c r="J157" s="23">
        <f t="shared" si="34"/>
        <v>14.2857142857143</v>
      </c>
      <c r="K157" s="23">
        <f t="shared" si="30"/>
        <v>3.61904761904762</v>
      </c>
      <c r="L157" s="23"/>
      <c r="M157" s="23">
        <f t="shared" si="31"/>
        <v>1428.57142857143</v>
      </c>
      <c r="N157" s="23">
        <f t="shared" si="35"/>
        <v>11.4285714285714</v>
      </c>
      <c r="O157" s="23">
        <f t="shared" si="32"/>
        <v>0.685714285714286</v>
      </c>
      <c r="P157" s="23"/>
      <c r="Q157" s="23"/>
      <c r="R157" s="48" cm="1">
        <f ca="1" t="array" ref="R157">SUMPRODUCT(D157:O157,$D$8:$O$8)</f>
        <v>4617.50073904762</v>
      </c>
      <c r="S157" s="23"/>
      <c r="T157" s="23"/>
      <c r="U157" s="23"/>
    </row>
    <row r="158" ht="16.5" spans="2:21">
      <c r="B158" s="105">
        <v>136</v>
      </c>
      <c r="C158" s="23"/>
      <c r="D158" s="106">
        <f t="shared" si="25"/>
        <v>2000</v>
      </c>
      <c r="E158" s="25">
        <f ca="1" t="shared" si="26"/>
        <v>5510.464</v>
      </c>
      <c r="F158" s="24">
        <f t="shared" si="27"/>
        <v>542.857142857143</v>
      </c>
      <c r="G158" s="23">
        <f t="shared" si="28"/>
        <v>0.366666666666667</v>
      </c>
      <c r="H158" s="23">
        <f t="shared" si="33"/>
        <v>2.66666666666667</v>
      </c>
      <c r="I158" s="108">
        <f t="shared" si="29"/>
        <v>441.904761904762</v>
      </c>
      <c r="J158" s="23">
        <f t="shared" si="34"/>
        <v>14.2857142857143</v>
      </c>
      <c r="K158" s="23">
        <f t="shared" si="30"/>
        <v>3.61904761904762</v>
      </c>
      <c r="L158" s="23"/>
      <c r="M158" s="23">
        <f t="shared" si="31"/>
        <v>1428.57142857143</v>
      </c>
      <c r="N158" s="23">
        <f t="shared" si="35"/>
        <v>11.4285714285714</v>
      </c>
      <c r="O158" s="23">
        <f t="shared" si="32"/>
        <v>0.685714285714286</v>
      </c>
      <c r="P158" s="23"/>
      <c r="Q158" s="23"/>
      <c r="R158" s="48" cm="1">
        <f ca="1" t="array" ref="R158">SUMPRODUCT(D158:O158,$D$8:$O$8)</f>
        <v>4617.50073904762</v>
      </c>
      <c r="S158" s="23"/>
      <c r="T158" s="23"/>
      <c r="U158" s="23"/>
    </row>
    <row r="159" ht="16.5" spans="2:21">
      <c r="B159" s="104">
        <v>137</v>
      </c>
      <c r="C159" s="23"/>
      <c r="D159" s="106">
        <f t="shared" si="25"/>
        <v>2000</v>
      </c>
      <c r="E159" s="25">
        <f ca="1" t="shared" si="26"/>
        <v>5510.464</v>
      </c>
      <c r="F159" s="24">
        <f t="shared" si="27"/>
        <v>542.857142857143</v>
      </c>
      <c r="G159" s="23">
        <f t="shared" si="28"/>
        <v>0.366666666666667</v>
      </c>
      <c r="H159" s="23">
        <f t="shared" si="33"/>
        <v>2.66666666666667</v>
      </c>
      <c r="I159" s="108">
        <f t="shared" si="29"/>
        <v>441.904761904762</v>
      </c>
      <c r="J159" s="23">
        <f t="shared" si="34"/>
        <v>14.2857142857143</v>
      </c>
      <c r="K159" s="23">
        <f t="shared" si="30"/>
        <v>3.61904761904762</v>
      </c>
      <c r="L159" s="23"/>
      <c r="M159" s="23">
        <f t="shared" si="31"/>
        <v>1428.57142857143</v>
      </c>
      <c r="N159" s="23">
        <f t="shared" si="35"/>
        <v>11.4285714285714</v>
      </c>
      <c r="O159" s="23">
        <f t="shared" si="32"/>
        <v>0.685714285714286</v>
      </c>
      <c r="P159" s="23"/>
      <c r="Q159" s="23"/>
      <c r="R159" s="48" cm="1">
        <f ca="1" t="array" ref="R159">SUMPRODUCT(D159:O159,$D$8:$O$8)</f>
        <v>4617.50073904762</v>
      </c>
      <c r="S159" s="23"/>
      <c r="T159" s="23"/>
      <c r="U159" s="23"/>
    </row>
    <row r="160" ht="16.5" spans="2:21">
      <c r="B160" s="105">
        <v>138</v>
      </c>
      <c r="C160" s="23"/>
      <c r="D160" s="106">
        <f t="shared" si="25"/>
        <v>2000</v>
      </c>
      <c r="E160" s="25">
        <f ca="1" t="shared" si="26"/>
        <v>5510.464</v>
      </c>
      <c r="F160" s="24">
        <f t="shared" si="27"/>
        <v>542.857142857143</v>
      </c>
      <c r="G160" s="23">
        <f t="shared" si="28"/>
        <v>0.366666666666667</v>
      </c>
      <c r="H160" s="23">
        <f t="shared" si="33"/>
        <v>2.66666666666667</v>
      </c>
      <c r="I160" s="108">
        <f t="shared" si="29"/>
        <v>441.904761904762</v>
      </c>
      <c r="J160" s="23">
        <f t="shared" si="34"/>
        <v>14.2857142857143</v>
      </c>
      <c r="K160" s="23">
        <f t="shared" si="30"/>
        <v>3.61904761904762</v>
      </c>
      <c r="L160" s="23"/>
      <c r="M160" s="23">
        <f t="shared" si="31"/>
        <v>1428.57142857143</v>
      </c>
      <c r="N160" s="23">
        <f t="shared" si="35"/>
        <v>11.4285714285714</v>
      </c>
      <c r="O160" s="23">
        <f t="shared" si="32"/>
        <v>0.685714285714286</v>
      </c>
      <c r="P160" s="23"/>
      <c r="Q160" s="23"/>
      <c r="R160" s="48" cm="1">
        <f ca="1" t="array" ref="R160">SUMPRODUCT(D160:O160,$D$8:$O$8)</f>
        <v>4617.50073904762</v>
      </c>
      <c r="S160" s="23"/>
      <c r="T160" s="23"/>
      <c r="U160" s="23"/>
    </row>
    <row r="161" ht="16.5" spans="2:21">
      <c r="B161" s="104">
        <v>139</v>
      </c>
      <c r="C161" s="23"/>
      <c r="D161" s="106">
        <f t="shared" si="25"/>
        <v>2000</v>
      </c>
      <c r="E161" s="25">
        <f ca="1" t="shared" si="26"/>
        <v>5510.464</v>
      </c>
      <c r="F161" s="24">
        <f t="shared" si="27"/>
        <v>542.857142857143</v>
      </c>
      <c r="G161" s="23">
        <f t="shared" si="28"/>
        <v>0.366666666666667</v>
      </c>
      <c r="H161" s="23">
        <f t="shared" si="33"/>
        <v>2.66666666666667</v>
      </c>
      <c r="I161" s="108">
        <f t="shared" si="29"/>
        <v>441.904761904762</v>
      </c>
      <c r="J161" s="23">
        <f t="shared" si="34"/>
        <v>14.2857142857143</v>
      </c>
      <c r="K161" s="23">
        <f t="shared" si="30"/>
        <v>3.61904761904762</v>
      </c>
      <c r="L161" s="23"/>
      <c r="M161" s="23">
        <f t="shared" si="31"/>
        <v>1428.57142857143</v>
      </c>
      <c r="N161" s="23">
        <f t="shared" si="35"/>
        <v>11.4285714285714</v>
      </c>
      <c r="O161" s="23">
        <f t="shared" si="32"/>
        <v>0.685714285714286</v>
      </c>
      <c r="P161" s="23"/>
      <c r="Q161" s="23"/>
      <c r="R161" s="48" cm="1">
        <f ca="1" t="array" ref="R161">SUMPRODUCT(D161:O161,$D$8:$O$8)</f>
        <v>4617.50073904762</v>
      </c>
      <c r="S161" s="23"/>
      <c r="T161" s="23"/>
      <c r="U161" s="23"/>
    </row>
    <row r="162" ht="16.5" spans="2:21">
      <c r="B162" s="105">
        <v>140</v>
      </c>
      <c r="C162" s="23"/>
      <c r="D162" s="106">
        <f t="shared" si="25"/>
        <v>2000</v>
      </c>
      <c r="E162" s="25">
        <f ca="1" t="shared" si="26"/>
        <v>5510.464</v>
      </c>
      <c r="F162" s="24">
        <f t="shared" si="27"/>
        <v>542.857142857143</v>
      </c>
      <c r="G162" s="23">
        <f t="shared" si="28"/>
        <v>0.366666666666667</v>
      </c>
      <c r="H162" s="23">
        <f t="shared" si="33"/>
        <v>2.66666666666667</v>
      </c>
      <c r="I162" s="108">
        <f t="shared" si="29"/>
        <v>441.904761904762</v>
      </c>
      <c r="J162" s="23">
        <f t="shared" si="34"/>
        <v>14.2857142857143</v>
      </c>
      <c r="K162" s="23">
        <f t="shared" si="30"/>
        <v>3.61904761904762</v>
      </c>
      <c r="L162" s="23"/>
      <c r="M162" s="23">
        <f t="shared" si="31"/>
        <v>1428.57142857143</v>
      </c>
      <c r="N162" s="23">
        <f t="shared" si="35"/>
        <v>11.4285714285714</v>
      </c>
      <c r="O162" s="23">
        <f t="shared" si="32"/>
        <v>0.685714285714286</v>
      </c>
      <c r="P162" s="23"/>
      <c r="Q162" s="23"/>
      <c r="R162" s="48" cm="1">
        <f ca="1" t="array" ref="R162">SUMPRODUCT(D162:O162,$D$8:$O$8)</f>
        <v>4617.50073904762</v>
      </c>
      <c r="S162" s="23"/>
      <c r="T162" s="23"/>
      <c r="U162" s="23"/>
    </row>
    <row r="163" ht="16.5" spans="2:21">
      <c r="B163" s="104">
        <v>141</v>
      </c>
      <c r="C163" s="23"/>
      <c r="D163" s="106">
        <f t="shared" si="25"/>
        <v>2000</v>
      </c>
      <c r="E163" s="25">
        <f ca="1" t="shared" si="26"/>
        <v>5510.464</v>
      </c>
      <c r="F163" s="24">
        <f t="shared" si="27"/>
        <v>542.857142857143</v>
      </c>
      <c r="G163" s="23">
        <f t="shared" si="28"/>
        <v>0.366666666666667</v>
      </c>
      <c r="H163" s="23">
        <f t="shared" si="33"/>
        <v>2.66666666666667</v>
      </c>
      <c r="I163" s="108">
        <f t="shared" si="29"/>
        <v>441.904761904762</v>
      </c>
      <c r="J163" s="23">
        <f t="shared" si="34"/>
        <v>14.2857142857143</v>
      </c>
      <c r="K163" s="23">
        <f t="shared" si="30"/>
        <v>3.61904761904762</v>
      </c>
      <c r="L163" s="23"/>
      <c r="M163" s="23">
        <f t="shared" si="31"/>
        <v>1428.57142857143</v>
      </c>
      <c r="N163" s="23">
        <f t="shared" si="35"/>
        <v>11.4285714285714</v>
      </c>
      <c r="O163" s="23">
        <f t="shared" si="32"/>
        <v>0.685714285714286</v>
      </c>
      <c r="P163" s="23"/>
      <c r="Q163" s="23"/>
      <c r="R163" s="48" cm="1">
        <f ca="1" t="array" ref="R163">SUMPRODUCT(D163:O163,$D$8:$O$8)</f>
        <v>4617.50073904762</v>
      </c>
      <c r="S163" s="23"/>
      <c r="T163" s="23"/>
      <c r="U163" s="23"/>
    </row>
    <row r="164" ht="16.5" spans="2:21">
      <c r="B164" s="105">
        <v>142</v>
      </c>
      <c r="C164" s="23"/>
      <c r="D164" s="106">
        <f t="shared" si="25"/>
        <v>2000</v>
      </c>
      <c r="E164" s="25">
        <f ca="1" t="shared" si="26"/>
        <v>5510.464</v>
      </c>
      <c r="F164" s="24">
        <f t="shared" si="27"/>
        <v>542.857142857143</v>
      </c>
      <c r="G164" s="23">
        <f t="shared" si="28"/>
        <v>0.366666666666667</v>
      </c>
      <c r="H164" s="23">
        <f t="shared" si="33"/>
        <v>2.66666666666667</v>
      </c>
      <c r="I164" s="108">
        <f t="shared" si="29"/>
        <v>441.904761904762</v>
      </c>
      <c r="J164" s="23">
        <f t="shared" si="34"/>
        <v>14.2857142857143</v>
      </c>
      <c r="K164" s="23">
        <f t="shared" si="30"/>
        <v>3.61904761904762</v>
      </c>
      <c r="L164" s="23"/>
      <c r="M164" s="23">
        <f t="shared" si="31"/>
        <v>1428.57142857143</v>
      </c>
      <c r="N164" s="23">
        <f t="shared" si="35"/>
        <v>11.4285714285714</v>
      </c>
      <c r="O164" s="23">
        <f t="shared" si="32"/>
        <v>0.685714285714286</v>
      </c>
      <c r="P164" s="23"/>
      <c r="Q164" s="23"/>
      <c r="R164" s="48" cm="1">
        <f ca="1" t="array" ref="R164">SUMPRODUCT(D164:O164,$D$8:$O$8)</f>
        <v>4617.50073904762</v>
      </c>
      <c r="S164" s="23"/>
      <c r="T164" s="23"/>
      <c r="U164" s="23"/>
    </row>
    <row r="165" ht="16.5" spans="2:21">
      <c r="B165" s="104">
        <v>143</v>
      </c>
      <c r="C165" s="23"/>
      <c r="D165" s="106">
        <f t="shared" si="25"/>
        <v>2000</v>
      </c>
      <c r="E165" s="25">
        <f ca="1" t="shared" si="26"/>
        <v>5510.464</v>
      </c>
      <c r="F165" s="24">
        <f t="shared" si="27"/>
        <v>542.857142857143</v>
      </c>
      <c r="G165" s="23">
        <f t="shared" si="28"/>
        <v>0.366666666666667</v>
      </c>
      <c r="H165" s="23">
        <f t="shared" si="33"/>
        <v>2.66666666666667</v>
      </c>
      <c r="I165" s="108">
        <f t="shared" si="29"/>
        <v>441.904761904762</v>
      </c>
      <c r="J165" s="23">
        <f t="shared" si="34"/>
        <v>14.2857142857143</v>
      </c>
      <c r="K165" s="23">
        <f t="shared" si="30"/>
        <v>3.61904761904762</v>
      </c>
      <c r="L165" s="23"/>
      <c r="M165" s="23">
        <f t="shared" si="31"/>
        <v>1428.57142857143</v>
      </c>
      <c r="N165" s="23">
        <f t="shared" si="35"/>
        <v>11.4285714285714</v>
      </c>
      <c r="O165" s="23">
        <f t="shared" si="32"/>
        <v>0.685714285714286</v>
      </c>
      <c r="P165" s="23"/>
      <c r="Q165" s="23"/>
      <c r="R165" s="48" cm="1">
        <f ca="1" t="array" ref="R165">SUMPRODUCT(D165:O165,$D$8:$O$8)</f>
        <v>4617.50073904762</v>
      </c>
      <c r="S165" s="23"/>
      <c r="T165" s="23"/>
      <c r="U165" s="23"/>
    </row>
    <row r="166" ht="16.5" spans="2:21">
      <c r="B166" s="105">
        <v>144</v>
      </c>
      <c r="C166" s="23"/>
      <c r="D166" s="106">
        <f t="shared" si="25"/>
        <v>2000</v>
      </c>
      <c r="E166" s="25">
        <f ca="1" t="shared" si="26"/>
        <v>5510.464</v>
      </c>
      <c r="F166" s="24">
        <f t="shared" si="27"/>
        <v>542.857142857143</v>
      </c>
      <c r="G166" s="23">
        <f t="shared" si="28"/>
        <v>0.366666666666667</v>
      </c>
      <c r="H166" s="23">
        <f t="shared" si="33"/>
        <v>2.66666666666667</v>
      </c>
      <c r="I166" s="108">
        <f t="shared" si="29"/>
        <v>441.904761904762</v>
      </c>
      <c r="J166" s="23">
        <f t="shared" si="34"/>
        <v>14.2857142857143</v>
      </c>
      <c r="K166" s="23">
        <f t="shared" si="30"/>
        <v>3.61904761904762</v>
      </c>
      <c r="L166" s="23"/>
      <c r="M166" s="23">
        <f t="shared" si="31"/>
        <v>1428.57142857143</v>
      </c>
      <c r="N166" s="23">
        <f t="shared" si="35"/>
        <v>11.4285714285714</v>
      </c>
      <c r="O166" s="23">
        <f t="shared" si="32"/>
        <v>0.685714285714286</v>
      </c>
      <c r="P166" s="23"/>
      <c r="Q166" s="23"/>
      <c r="R166" s="48" cm="1">
        <f ca="1" t="array" ref="R166">SUMPRODUCT(D166:O166,$D$8:$O$8)</f>
        <v>4617.50073904762</v>
      </c>
      <c r="S166" s="23"/>
      <c r="T166" s="23"/>
      <c r="U166" s="23"/>
    </row>
    <row r="167" ht="16.5" spans="2:21">
      <c r="B167" s="104">
        <v>145</v>
      </c>
      <c r="C167" s="23"/>
      <c r="D167" s="106">
        <f t="shared" si="25"/>
        <v>2000</v>
      </c>
      <c r="E167" s="25">
        <f ca="1" t="shared" si="26"/>
        <v>5510.464</v>
      </c>
      <c r="F167" s="24">
        <f t="shared" si="27"/>
        <v>542.857142857143</v>
      </c>
      <c r="G167" s="23">
        <f t="shared" si="28"/>
        <v>0.366666666666667</v>
      </c>
      <c r="H167" s="23">
        <f t="shared" si="33"/>
        <v>2.66666666666667</v>
      </c>
      <c r="I167" s="108">
        <f t="shared" si="29"/>
        <v>441.904761904762</v>
      </c>
      <c r="J167" s="23">
        <f t="shared" si="34"/>
        <v>14.2857142857143</v>
      </c>
      <c r="K167" s="23">
        <f t="shared" si="30"/>
        <v>3.61904761904762</v>
      </c>
      <c r="L167" s="23"/>
      <c r="M167" s="23">
        <f t="shared" si="31"/>
        <v>1428.57142857143</v>
      </c>
      <c r="N167" s="23">
        <f t="shared" si="35"/>
        <v>11.4285714285714</v>
      </c>
      <c r="O167" s="23">
        <f t="shared" si="32"/>
        <v>0.685714285714286</v>
      </c>
      <c r="P167" s="23"/>
      <c r="Q167" s="23"/>
      <c r="R167" s="48" cm="1">
        <f ca="1" t="array" ref="R167">SUMPRODUCT(D167:O167,$D$8:$O$8)</f>
        <v>4617.50073904762</v>
      </c>
      <c r="S167" s="23"/>
      <c r="T167" s="23"/>
      <c r="U167" s="23"/>
    </row>
    <row r="168" ht="16.5" spans="2:21">
      <c r="B168" s="105">
        <v>146</v>
      </c>
      <c r="C168" s="23"/>
      <c r="D168" s="106">
        <f t="shared" si="25"/>
        <v>2000</v>
      </c>
      <c r="E168" s="25">
        <f ca="1" t="shared" si="26"/>
        <v>5510.464</v>
      </c>
      <c r="F168" s="24">
        <f t="shared" si="27"/>
        <v>542.857142857143</v>
      </c>
      <c r="G168" s="23">
        <f t="shared" si="28"/>
        <v>0.366666666666667</v>
      </c>
      <c r="H168" s="23">
        <f t="shared" si="33"/>
        <v>2.66666666666667</v>
      </c>
      <c r="I168" s="108">
        <f t="shared" si="29"/>
        <v>441.904761904762</v>
      </c>
      <c r="J168" s="23">
        <f t="shared" si="34"/>
        <v>14.2857142857143</v>
      </c>
      <c r="K168" s="23">
        <f t="shared" si="30"/>
        <v>3.61904761904762</v>
      </c>
      <c r="L168" s="23"/>
      <c r="M168" s="23">
        <f t="shared" si="31"/>
        <v>1428.57142857143</v>
      </c>
      <c r="N168" s="23">
        <f t="shared" si="35"/>
        <v>11.4285714285714</v>
      </c>
      <c r="O168" s="23">
        <f t="shared" si="32"/>
        <v>0.685714285714286</v>
      </c>
      <c r="P168" s="23"/>
      <c r="Q168" s="23"/>
      <c r="R168" s="48" cm="1">
        <f ca="1" t="array" ref="R168">SUMPRODUCT(D168:O168,$D$8:$O$8)</f>
        <v>4617.50073904762</v>
      </c>
      <c r="S168" s="23"/>
      <c r="T168" s="23"/>
      <c r="U168" s="23"/>
    </row>
    <row r="169" ht="16.5" spans="2:21">
      <c r="B169" s="104">
        <v>147</v>
      </c>
      <c r="C169" s="23"/>
      <c r="D169" s="106">
        <f t="shared" si="25"/>
        <v>2000</v>
      </c>
      <c r="E169" s="25">
        <f ca="1" t="shared" si="26"/>
        <v>5551.936</v>
      </c>
      <c r="F169" s="24">
        <f t="shared" si="27"/>
        <v>542.857142857143</v>
      </c>
      <c r="G169" s="23">
        <f t="shared" si="28"/>
        <v>0.366666666666667</v>
      </c>
      <c r="H169" s="23">
        <f t="shared" si="33"/>
        <v>2.66666666666667</v>
      </c>
      <c r="I169" s="108">
        <f t="shared" si="29"/>
        <v>441.904761904762</v>
      </c>
      <c r="J169" s="23">
        <f t="shared" si="34"/>
        <v>14.2857142857143</v>
      </c>
      <c r="K169" s="23">
        <f t="shared" si="30"/>
        <v>3.61904761904762</v>
      </c>
      <c r="L169" s="23"/>
      <c r="M169" s="23">
        <f t="shared" si="31"/>
        <v>1428.57142857143</v>
      </c>
      <c r="N169" s="23">
        <f t="shared" si="35"/>
        <v>11.4285714285714</v>
      </c>
      <c r="O169" s="23">
        <f t="shared" si="32"/>
        <v>0.685714285714286</v>
      </c>
      <c r="P169" s="23"/>
      <c r="Q169" s="23"/>
      <c r="R169" s="48" cm="1">
        <f ca="1" t="array" ref="R169">SUMPRODUCT(D169:O169,$D$8:$O$8)</f>
        <v>4631.18649904762</v>
      </c>
      <c r="S169" s="23"/>
      <c r="T169" s="23"/>
      <c r="U169" s="23"/>
    </row>
    <row r="170" ht="16.5" spans="2:21">
      <c r="B170" s="105">
        <v>148</v>
      </c>
      <c r="C170" s="23"/>
      <c r="D170" s="106">
        <f t="shared" si="25"/>
        <v>2000</v>
      </c>
      <c r="E170" s="25">
        <f ca="1" t="shared" si="26"/>
        <v>5551.936</v>
      </c>
      <c r="F170" s="24">
        <f t="shared" si="27"/>
        <v>542.857142857143</v>
      </c>
      <c r="G170" s="23">
        <f t="shared" si="28"/>
        <v>0.366666666666667</v>
      </c>
      <c r="H170" s="23">
        <f t="shared" si="33"/>
        <v>2.66666666666667</v>
      </c>
      <c r="I170" s="108">
        <f t="shared" si="29"/>
        <v>441.904761904762</v>
      </c>
      <c r="J170" s="23">
        <f t="shared" si="34"/>
        <v>14.2857142857143</v>
      </c>
      <c r="K170" s="23">
        <f t="shared" si="30"/>
        <v>3.61904761904762</v>
      </c>
      <c r="L170" s="23"/>
      <c r="M170" s="23">
        <f t="shared" si="31"/>
        <v>1428.57142857143</v>
      </c>
      <c r="N170" s="23">
        <f t="shared" si="35"/>
        <v>11.4285714285714</v>
      </c>
      <c r="O170" s="23">
        <f t="shared" si="32"/>
        <v>0.685714285714286</v>
      </c>
      <c r="P170" s="23"/>
      <c r="Q170" s="23"/>
      <c r="R170" s="48" cm="1">
        <f ca="1" t="array" ref="R170">SUMPRODUCT(D170:O170,$D$8:$O$8)</f>
        <v>4631.18649904762</v>
      </c>
      <c r="S170" s="23"/>
      <c r="T170" s="23"/>
      <c r="U170" s="23"/>
    </row>
    <row r="171" ht="16.5" spans="2:21">
      <c r="B171" s="104">
        <v>149</v>
      </c>
      <c r="C171" s="23"/>
      <c r="D171" s="106">
        <f t="shared" si="25"/>
        <v>2000</v>
      </c>
      <c r="E171" s="25">
        <f ca="1" t="shared" si="26"/>
        <v>5551.936</v>
      </c>
      <c r="F171" s="24">
        <f t="shared" si="27"/>
        <v>542.857142857143</v>
      </c>
      <c r="G171" s="23">
        <f t="shared" si="28"/>
        <v>0.366666666666667</v>
      </c>
      <c r="H171" s="23">
        <f t="shared" si="33"/>
        <v>2.66666666666667</v>
      </c>
      <c r="I171" s="108">
        <f t="shared" si="29"/>
        <v>441.904761904762</v>
      </c>
      <c r="J171" s="23">
        <f t="shared" si="34"/>
        <v>14.2857142857143</v>
      </c>
      <c r="K171" s="23">
        <f t="shared" si="30"/>
        <v>3.61904761904762</v>
      </c>
      <c r="L171" s="23"/>
      <c r="M171" s="23">
        <f t="shared" si="31"/>
        <v>1428.57142857143</v>
      </c>
      <c r="N171" s="23">
        <f t="shared" si="35"/>
        <v>11.4285714285714</v>
      </c>
      <c r="O171" s="23">
        <f t="shared" si="32"/>
        <v>0.685714285714286</v>
      </c>
      <c r="P171" s="23"/>
      <c r="Q171" s="23"/>
      <c r="R171" s="48" cm="1">
        <f ca="1" t="array" ref="R171">SUMPRODUCT(D171:O171,$D$8:$O$8)</f>
        <v>4631.18649904762</v>
      </c>
      <c r="S171" s="23"/>
      <c r="T171" s="23"/>
      <c r="U171" s="23"/>
    </row>
    <row r="172" ht="16.5" spans="2:21">
      <c r="B172" s="105">
        <v>150</v>
      </c>
      <c r="C172" s="23"/>
      <c r="D172" s="106">
        <f t="shared" si="25"/>
        <v>2000</v>
      </c>
      <c r="E172" s="25">
        <f ca="1" t="shared" si="26"/>
        <v>5551.936</v>
      </c>
      <c r="F172" s="24">
        <f t="shared" si="27"/>
        <v>542.857142857143</v>
      </c>
      <c r="G172" s="23">
        <f t="shared" si="28"/>
        <v>0.366666666666667</v>
      </c>
      <c r="H172" s="23">
        <f t="shared" si="33"/>
        <v>2.66666666666667</v>
      </c>
      <c r="I172" s="108">
        <f t="shared" si="29"/>
        <v>441.904761904762</v>
      </c>
      <c r="J172" s="23">
        <f t="shared" si="34"/>
        <v>14.2857142857143</v>
      </c>
      <c r="K172" s="23">
        <f t="shared" si="30"/>
        <v>3.61904761904762</v>
      </c>
      <c r="L172" s="23"/>
      <c r="M172" s="23">
        <f t="shared" si="31"/>
        <v>1428.57142857143</v>
      </c>
      <c r="N172" s="23">
        <f t="shared" si="35"/>
        <v>11.4285714285714</v>
      </c>
      <c r="O172" s="23">
        <f t="shared" si="32"/>
        <v>0.685714285714286</v>
      </c>
      <c r="P172" s="23"/>
      <c r="Q172" s="23"/>
      <c r="R172" s="48" cm="1">
        <f ca="1" t="array" ref="R172">SUMPRODUCT(D172:O172,$D$8:$O$8)</f>
        <v>4631.18649904762</v>
      </c>
      <c r="S172" s="23"/>
      <c r="T172" s="23"/>
      <c r="U172" s="23"/>
    </row>
    <row r="173" ht="16.5" spans="2:21">
      <c r="B173" s="104">
        <v>151</v>
      </c>
      <c r="C173" s="23"/>
      <c r="D173" s="106">
        <f t="shared" si="25"/>
        <v>2000</v>
      </c>
      <c r="E173" s="25">
        <f ca="1" t="shared" si="26"/>
        <v>5551.936</v>
      </c>
      <c r="F173" s="24">
        <f t="shared" si="27"/>
        <v>542.857142857143</v>
      </c>
      <c r="G173" s="23">
        <f t="shared" si="28"/>
        <v>0.366666666666667</v>
      </c>
      <c r="H173" s="23">
        <f t="shared" si="33"/>
        <v>2.66666666666667</v>
      </c>
      <c r="I173" s="108">
        <f t="shared" si="29"/>
        <v>441.904761904762</v>
      </c>
      <c r="J173" s="23">
        <f t="shared" si="34"/>
        <v>14.2857142857143</v>
      </c>
      <c r="K173" s="23">
        <f t="shared" si="30"/>
        <v>3.61904761904762</v>
      </c>
      <c r="L173" s="23"/>
      <c r="M173" s="23">
        <f t="shared" si="31"/>
        <v>1428.57142857143</v>
      </c>
      <c r="N173" s="23">
        <f t="shared" si="35"/>
        <v>11.4285714285714</v>
      </c>
      <c r="O173" s="23">
        <f t="shared" si="32"/>
        <v>0.685714285714286</v>
      </c>
      <c r="P173" s="23"/>
      <c r="Q173" s="23"/>
      <c r="R173" s="48" cm="1">
        <f ca="1" t="array" ref="R173">SUMPRODUCT(D173:O173,$D$8:$O$8)</f>
        <v>4631.18649904762</v>
      </c>
      <c r="S173" s="23"/>
      <c r="T173" s="23"/>
      <c r="U173" s="23"/>
    </row>
    <row r="174" ht="16.5" spans="2:21">
      <c r="B174" s="105">
        <v>152</v>
      </c>
      <c r="C174" s="23"/>
      <c r="D174" s="106">
        <f t="shared" si="25"/>
        <v>2000</v>
      </c>
      <c r="E174" s="25">
        <f ca="1" t="shared" si="26"/>
        <v>5551.936</v>
      </c>
      <c r="F174" s="24">
        <f t="shared" si="27"/>
        <v>542.857142857143</v>
      </c>
      <c r="G174" s="23">
        <f t="shared" si="28"/>
        <v>0.366666666666667</v>
      </c>
      <c r="H174" s="23">
        <f t="shared" si="33"/>
        <v>2.66666666666667</v>
      </c>
      <c r="I174" s="108">
        <f t="shared" si="29"/>
        <v>441.904761904762</v>
      </c>
      <c r="J174" s="23">
        <f t="shared" si="34"/>
        <v>14.2857142857143</v>
      </c>
      <c r="K174" s="23">
        <f t="shared" si="30"/>
        <v>3.61904761904762</v>
      </c>
      <c r="L174" s="23"/>
      <c r="M174" s="23">
        <f t="shared" si="31"/>
        <v>1428.57142857143</v>
      </c>
      <c r="N174" s="23">
        <f t="shared" si="35"/>
        <v>11.4285714285714</v>
      </c>
      <c r="O174" s="23">
        <f t="shared" si="32"/>
        <v>0.685714285714286</v>
      </c>
      <c r="P174" s="23"/>
      <c r="Q174" s="23"/>
      <c r="R174" s="48" cm="1">
        <f ca="1" t="array" ref="R174">SUMPRODUCT(D174:O174,$D$8:$O$8)</f>
        <v>4631.18649904762</v>
      </c>
      <c r="S174" s="23"/>
      <c r="T174" s="23"/>
      <c r="U174" s="23"/>
    </row>
    <row r="175" ht="16.5" spans="2:21">
      <c r="B175" s="104">
        <v>153</v>
      </c>
      <c r="C175" s="23"/>
      <c r="D175" s="106">
        <f t="shared" si="25"/>
        <v>2000</v>
      </c>
      <c r="E175" s="25">
        <f ca="1" t="shared" si="26"/>
        <v>5551.936</v>
      </c>
      <c r="F175" s="24">
        <f t="shared" si="27"/>
        <v>542.857142857143</v>
      </c>
      <c r="G175" s="23">
        <f t="shared" si="28"/>
        <v>0.366666666666667</v>
      </c>
      <c r="H175" s="23">
        <f t="shared" si="33"/>
        <v>2.66666666666667</v>
      </c>
      <c r="I175" s="108">
        <f t="shared" si="29"/>
        <v>441.904761904762</v>
      </c>
      <c r="J175" s="23">
        <f t="shared" si="34"/>
        <v>14.2857142857143</v>
      </c>
      <c r="K175" s="23">
        <f t="shared" si="30"/>
        <v>3.61904761904762</v>
      </c>
      <c r="L175" s="23"/>
      <c r="M175" s="23">
        <f t="shared" si="31"/>
        <v>1428.57142857143</v>
      </c>
      <c r="N175" s="23">
        <f t="shared" si="35"/>
        <v>11.4285714285714</v>
      </c>
      <c r="O175" s="23">
        <f t="shared" si="32"/>
        <v>0.685714285714286</v>
      </c>
      <c r="P175" s="23"/>
      <c r="Q175" s="23"/>
      <c r="R175" s="48" cm="1">
        <f ca="1" t="array" ref="R175">SUMPRODUCT(D175:O175,$D$8:$O$8)</f>
        <v>4631.18649904762</v>
      </c>
      <c r="S175" s="23"/>
      <c r="T175" s="23"/>
      <c r="U175" s="23"/>
    </row>
    <row r="176" ht="16.5" spans="2:21">
      <c r="B176" s="105">
        <v>154</v>
      </c>
      <c r="C176" s="23"/>
      <c r="D176" s="106">
        <f t="shared" si="25"/>
        <v>2000</v>
      </c>
      <c r="E176" s="25">
        <f ca="1" t="shared" si="26"/>
        <v>5551.936</v>
      </c>
      <c r="F176" s="24">
        <f t="shared" si="27"/>
        <v>542.857142857143</v>
      </c>
      <c r="G176" s="23">
        <f t="shared" si="28"/>
        <v>0.366666666666667</v>
      </c>
      <c r="H176" s="23">
        <f t="shared" si="33"/>
        <v>2.66666666666667</v>
      </c>
      <c r="I176" s="108">
        <f t="shared" si="29"/>
        <v>441.904761904762</v>
      </c>
      <c r="J176" s="23">
        <f t="shared" si="34"/>
        <v>14.2857142857143</v>
      </c>
      <c r="K176" s="23">
        <f t="shared" si="30"/>
        <v>3.61904761904762</v>
      </c>
      <c r="L176" s="23"/>
      <c r="M176" s="23">
        <f t="shared" si="31"/>
        <v>1428.57142857143</v>
      </c>
      <c r="N176" s="23">
        <f t="shared" si="35"/>
        <v>11.4285714285714</v>
      </c>
      <c r="O176" s="23">
        <f t="shared" si="32"/>
        <v>0.685714285714286</v>
      </c>
      <c r="P176" s="23"/>
      <c r="Q176" s="23"/>
      <c r="R176" s="48" cm="1">
        <f ca="1" t="array" ref="R176">SUMPRODUCT(D176:O176,$D$8:$O$8)</f>
        <v>4631.18649904762</v>
      </c>
      <c r="S176" s="23"/>
      <c r="T176" s="23"/>
      <c r="U176" s="23"/>
    </row>
    <row r="177" ht="16.5" spans="2:21">
      <c r="B177" s="104">
        <v>155</v>
      </c>
      <c r="C177" s="23"/>
      <c r="D177" s="106">
        <f t="shared" si="25"/>
        <v>2000</v>
      </c>
      <c r="E177" s="25">
        <f ca="1" t="shared" si="26"/>
        <v>5551.936</v>
      </c>
      <c r="F177" s="24">
        <f t="shared" si="27"/>
        <v>542.857142857143</v>
      </c>
      <c r="G177" s="23">
        <f t="shared" si="28"/>
        <v>0.366666666666667</v>
      </c>
      <c r="H177" s="23">
        <f t="shared" si="33"/>
        <v>2.66666666666667</v>
      </c>
      <c r="I177" s="108">
        <f t="shared" si="29"/>
        <v>441.904761904762</v>
      </c>
      <c r="J177" s="23">
        <f t="shared" si="34"/>
        <v>14.2857142857143</v>
      </c>
      <c r="K177" s="23">
        <f t="shared" si="30"/>
        <v>3.61904761904762</v>
      </c>
      <c r="L177" s="23"/>
      <c r="M177" s="23">
        <f t="shared" si="31"/>
        <v>1428.57142857143</v>
      </c>
      <c r="N177" s="23">
        <f t="shared" si="35"/>
        <v>11.4285714285714</v>
      </c>
      <c r="O177" s="23">
        <f t="shared" si="32"/>
        <v>0.685714285714286</v>
      </c>
      <c r="P177" s="23"/>
      <c r="Q177" s="23"/>
      <c r="R177" s="48" cm="1">
        <f ca="1" t="array" ref="R177">SUMPRODUCT(D177:O177,$D$8:$O$8)</f>
        <v>4631.18649904762</v>
      </c>
      <c r="S177" s="23"/>
      <c r="T177" s="23"/>
      <c r="U177" s="23"/>
    </row>
    <row r="178" ht="16.5" spans="2:21">
      <c r="B178" s="105">
        <v>156</v>
      </c>
      <c r="C178" s="23"/>
      <c r="D178" s="106">
        <f t="shared" si="25"/>
        <v>2000</v>
      </c>
      <c r="E178" s="25">
        <f ca="1" t="shared" si="26"/>
        <v>5551.936</v>
      </c>
      <c r="F178" s="24">
        <f t="shared" si="27"/>
        <v>542.857142857143</v>
      </c>
      <c r="G178" s="23">
        <f t="shared" si="28"/>
        <v>0.366666666666667</v>
      </c>
      <c r="H178" s="23">
        <f t="shared" si="33"/>
        <v>2.66666666666667</v>
      </c>
      <c r="I178" s="108">
        <f t="shared" si="29"/>
        <v>441.904761904762</v>
      </c>
      <c r="J178" s="23">
        <f t="shared" si="34"/>
        <v>14.2857142857143</v>
      </c>
      <c r="K178" s="23">
        <f t="shared" si="30"/>
        <v>3.61904761904762</v>
      </c>
      <c r="L178" s="23"/>
      <c r="M178" s="23">
        <f t="shared" si="31"/>
        <v>1428.57142857143</v>
      </c>
      <c r="N178" s="23">
        <f t="shared" si="35"/>
        <v>11.4285714285714</v>
      </c>
      <c r="O178" s="23">
        <f t="shared" si="32"/>
        <v>0.685714285714286</v>
      </c>
      <c r="P178" s="23"/>
      <c r="Q178" s="23"/>
      <c r="R178" s="48" cm="1">
        <f ca="1" t="array" ref="R178">SUMPRODUCT(D178:O178,$D$8:$O$8)</f>
        <v>4631.18649904762</v>
      </c>
      <c r="S178" s="23"/>
      <c r="T178" s="23"/>
      <c r="U178" s="23"/>
    </row>
    <row r="179" ht="16.5" spans="2:21">
      <c r="B179" s="104">
        <v>157</v>
      </c>
      <c r="C179" s="23"/>
      <c r="D179" s="106">
        <f t="shared" si="25"/>
        <v>2000</v>
      </c>
      <c r="E179" s="25">
        <f ca="1" t="shared" si="26"/>
        <v>5551.936</v>
      </c>
      <c r="F179" s="24">
        <f t="shared" si="27"/>
        <v>542.857142857143</v>
      </c>
      <c r="G179" s="23">
        <f t="shared" si="28"/>
        <v>0.366666666666667</v>
      </c>
      <c r="H179" s="23">
        <f t="shared" si="33"/>
        <v>2.66666666666667</v>
      </c>
      <c r="I179" s="108">
        <f t="shared" si="29"/>
        <v>441.904761904762</v>
      </c>
      <c r="J179" s="23">
        <f t="shared" si="34"/>
        <v>14.2857142857143</v>
      </c>
      <c r="K179" s="23">
        <f t="shared" si="30"/>
        <v>3.61904761904762</v>
      </c>
      <c r="L179" s="23"/>
      <c r="M179" s="23">
        <f t="shared" si="31"/>
        <v>1428.57142857143</v>
      </c>
      <c r="N179" s="23">
        <f t="shared" si="35"/>
        <v>11.4285714285714</v>
      </c>
      <c r="O179" s="23">
        <f t="shared" si="32"/>
        <v>0.685714285714286</v>
      </c>
      <c r="P179" s="23"/>
      <c r="Q179" s="23"/>
      <c r="R179" s="48" cm="1">
        <f ca="1" t="array" ref="R179">SUMPRODUCT(D179:O179,$D$8:$O$8)</f>
        <v>4631.18649904762</v>
      </c>
      <c r="S179" s="23"/>
      <c r="T179" s="23"/>
      <c r="U179" s="23"/>
    </row>
    <row r="180" ht="16.5" spans="2:21">
      <c r="B180" s="105">
        <v>158</v>
      </c>
      <c r="C180" s="23"/>
      <c r="D180" s="106">
        <f t="shared" si="25"/>
        <v>2000</v>
      </c>
      <c r="E180" s="25">
        <f ca="1" t="shared" si="26"/>
        <v>5551.936</v>
      </c>
      <c r="F180" s="24">
        <f t="shared" si="27"/>
        <v>542.857142857143</v>
      </c>
      <c r="G180" s="23">
        <f t="shared" si="28"/>
        <v>0.366666666666667</v>
      </c>
      <c r="H180" s="23">
        <f t="shared" si="33"/>
        <v>2.66666666666667</v>
      </c>
      <c r="I180" s="108">
        <f t="shared" si="29"/>
        <v>441.904761904762</v>
      </c>
      <c r="J180" s="23">
        <f t="shared" si="34"/>
        <v>14.2857142857143</v>
      </c>
      <c r="K180" s="23">
        <f t="shared" si="30"/>
        <v>3.61904761904762</v>
      </c>
      <c r="L180" s="23"/>
      <c r="M180" s="23">
        <f t="shared" si="31"/>
        <v>1428.57142857143</v>
      </c>
      <c r="N180" s="23">
        <f t="shared" si="35"/>
        <v>11.4285714285714</v>
      </c>
      <c r="O180" s="23">
        <f t="shared" si="32"/>
        <v>0.685714285714286</v>
      </c>
      <c r="P180" s="23"/>
      <c r="Q180" s="23"/>
      <c r="R180" s="48" cm="1">
        <f ca="1" t="array" ref="R180">SUMPRODUCT(D180:O180,$D$8:$O$8)</f>
        <v>4631.18649904762</v>
      </c>
      <c r="S180" s="23"/>
      <c r="T180" s="23"/>
      <c r="U180" s="23"/>
    </row>
    <row r="181" ht="16.5" spans="2:21">
      <c r="B181" s="104">
        <v>159</v>
      </c>
      <c r="C181" s="23"/>
      <c r="D181" s="106">
        <f t="shared" si="25"/>
        <v>2000</v>
      </c>
      <c r="E181" s="25">
        <f ca="1" t="shared" si="26"/>
        <v>5551.936</v>
      </c>
      <c r="F181" s="24">
        <f t="shared" si="27"/>
        <v>542.857142857143</v>
      </c>
      <c r="G181" s="23">
        <f t="shared" si="28"/>
        <v>0.366666666666667</v>
      </c>
      <c r="H181" s="23">
        <f t="shared" si="33"/>
        <v>2.66666666666667</v>
      </c>
      <c r="I181" s="108">
        <f t="shared" si="29"/>
        <v>441.904761904762</v>
      </c>
      <c r="J181" s="23">
        <f t="shared" si="34"/>
        <v>14.2857142857143</v>
      </c>
      <c r="K181" s="23">
        <f t="shared" si="30"/>
        <v>3.61904761904762</v>
      </c>
      <c r="L181" s="23"/>
      <c r="M181" s="23">
        <f t="shared" si="31"/>
        <v>1428.57142857143</v>
      </c>
      <c r="N181" s="23">
        <f t="shared" si="35"/>
        <v>11.4285714285714</v>
      </c>
      <c r="O181" s="23">
        <f t="shared" si="32"/>
        <v>0.685714285714286</v>
      </c>
      <c r="P181" s="23"/>
      <c r="Q181" s="23"/>
      <c r="R181" s="48" cm="1">
        <f ca="1" t="array" ref="R181">SUMPRODUCT(D181:O181,$D$8:$O$8)</f>
        <v>4631.18649904762</v>
      </c>
      <c r="S181" s="23"/>
      <c r="T181" s="23"/>
      <c r="U181" s="23"/>
    </row>
    <row r="182" ht="16.5" spans="2:21">
      <c r="B182" s="105">
        <v>160</v>
      </c>
      <c r="C182" s="23"/>
      <c r="D182" s="106">
        <f t="shared" si="25"/>
        <v>2000</v>
      </c>
      <c r="E182" s="25">
        <f ca="1" t="shared" si="26"/>
        <v>5551.936</v>
      </c>
      <c r="F182" s="24">
        <f t="shared" si="27"/>
        <v>542.857142857143</v>
      </c>
      <c r="G182" s="23">
        <f t="shared" si="28"/>
        <v>0.366666666666667</v>
      </c>
      <c r="H182" s="23">
        <f t="shared" si="33"/>
        <v>2.66666666666667</v>
      </c>
      <c r="I182" s="108">
        <f t="shared" si="29"/>
        <v>441.904761904762</v>
      </c>
      <c r="J182" s="23">
        <f t="shared" si="34"/>
        <v>14.2857142857143</v>
      </c>
      <c r="K182" s="23">
        <f t="shared" si="30"/>
        <v>3.61904761904762</v>
      </c>
      <c r="L182" s="23"/>
      <c r="M182" s="23">
        <f t="shared" si="31"/>
        <v>1428.57142857143</v>
      </c>
      <c r="N182" s="23">
        <f t="shared" si="35"/>
        <v>11.4285714285714</v>
      </c>
      <c r="O182" s="23">
        <f t="shared" si="32"/>
        <v>0.685714285714286</v>
      </c>
      <c r="P182" s="23"/>
      <c r="Q182" s="23"/>
      <c r="R182" s="48" cm="1">
        <f ca="1" t="array" ref="R182">SUMPRODUCT(D182:O182,$D$8:$O$8)</f>
        <v>4631.18649904762</v>
      </c>
      <c r="S182" s="23"/>
      <c r="T182" s="23"/>
      <c r="U182" s="23"/>
    </row>
    <row r="183" ht="16.5" spans="2:21">
      <c r="B183" s="104">
        <v>161</v>
      </c>
      <c r="C183" s="23"/>
      <c r="D183" s="106">
        <f t="shared" si="25"/>
        <v>2000</v>
      </c>
      <c r="E183" s="25">
        <f ca="1" t="shared" si="26"/>
        <v>5551.936</v>
      </c>
      <c r="F183" s="24">
        <f t="shared" si="27"/>
        <v>542.857142857143</v>
      </c>
      <c r="G183" s="23">
        <f t="shared" si="28"/>
        <v>0.366666666666667</v>
      </c>
      <c r="H183" s="23">
        <f t="shared" si="33"/>
        <v>2.66666666666667</v>
      </c>
      <c r="I183" s="108">
        <f t="shared" si="29"/>
        <v>441.904761904762</v>
      </c>
      <c r="J183" s="23">
        <f t="shared" si="34"/>
        <v>14.2857142857143</v>
      </c>
      <c r="K183" s="23">
        <f t="shared" si="30"/>
        <v>3.61904761904762</v>
      </c>
      <c r="L183" s="23"/>
      <c r="M183" s="23">
        <f t="shared" si="31"/>
        <v>1428.57142857143</v>
      </c>
      <c r="N183" s="23">
        <f t="shared" si="35"/>
        <v>11.4285714285714</v>
      </c>
      <c r="O183" s="23">
        <f t="shared" si="32"/>
        <v>0.685714285714286</v>
      </c>
      <c r="P183" s="23"/>
      <c r="Q183" s="23"/>
      <c r="R183" s="48" cm="1">
        <f ca="1" t="array" ref="R183">SUMPRODUCT(D183:O183,$D$8:$O$8)</f>
        <v>4631.18649904762</v>
      </c>
      <c r="S183" s="23"/>
      <c r="T183" s="23"/>
      <c r="U183" s="23"/>
    </row>
    <row r="184" ht="16.5" spans="2:21">
      <c r="B184" s="105">
        <v>162</v>
      </c>
      <c r="C184" s="23"/>
      <c r="D184" s="106">
        <f t="shared" si="25"/>
        <v>2000</v>
      </c>
      <c r="E184" s="25">
        <f ca="1" t="shared" si="26"/>
        <v>5551.936</v>
      </c>
      <c r="F184" s="24">
        <f t="shared" si="27"/>
        <v>542.857142857143</v>
      </c>
      <c r="G184" s="23">
        <f t="shared" si="28"/>
        <v>0.366666666666667</v>
      </c>
      <c r="H184" s="23">
        <f t="shared" si="33"/>
        <v>2.66666666666667</v>
      </c>
      <c r="I184" s="108">
        <f t="shared" si="29"/>
        <v>441.904761904762</v>
      </c>
      <c r="J184" s="23">
        <f t="shared" si="34"/>
        <v>14.2857142857143</v>
      </c>
      <c r="K184" s="23">
        <f t="shared" si="30"/>
        <v>3.61904761904762</v>
      </c>
      <c r="L184" s="23"/>
      <c r="M184" s="23">
        <f t="shared" si="31"/>
        <v>1428.57142857143</v>
      </c>
      <c r="N184" s="23">
        <f t="shared" si="35"/>
        <v>11.4285714285714</v>
      </c>
      <c r="O184" s="23">
        <f t="shared" si="32"/>
        <v>0.685714285714286</v>
      </c>
      <c r="P184" s="23"/>
      <c r="Q184" s="23"/>
      <c r="R184" s="48" cm="1">
        <f ca="1" t="array" ref="R184">SUMPRODUCT(D184:O184,$D$8:$O$8)</f>
        <v>4631.18649904762</v>
      </c>
      <c r="S184" s="23"/>
      <c r="T184" s="23"/>
      <c r="U184" s="23"/>
    </row>
    <row r="185" ht="16.5" spans="2:21">
      <c r="B185" s="104">
        <v>163</v>
      </c>
      <c r="C185" s="23"/>
      <c r="D185" s="106">
        <f t="shared" si="25"/>
        <v>2000</v>
      </c>
      <c r="E185" s="25">
        <f ca="1" t="shared" si="26"/>
        <v>5551.936</v>
      </c>
      <c r="F185" s="24">
        <f t="shared" si="27"/>
        <v>542.857142857143</v>
      </c>
      <c r="G185" s="23">
        <f t="shared" si="28"/>
        <v>0.366666666666667</v>
      </c>
      <c r="H185" s="23">
        <f t="shared" si="33"/>
        <v>2.66666666666667</v>
      </c>
      <c r="I185" s="108">
        <f t="shared" si="29"/>
        <v>441.904761904762</v>
      </c>
      <c r="J185" s="23">
        <f t="shared" si="34"/>
        <v>14.2857142857143</v>
      </c>
      <c r="K185" s="23">
        <f t="shared" si="30"/>
        <v>3.61904761904762</v>
      </c>
      <c r="L185" s="23"/>
      <c r="M185" s="23">
        <f t="shared" si="31"/>
        <v>1428.57142857143</v>
      </c>
      <c r="N185" s="23">
        <f t="shared" si="35"/>
        <v>11.4285714285714</v>
      </c>
      <c r="O185" s="23">
        <f t="shared" si="32"/>
        <v>0.685714285714286</v>
      </c>
      <c r="P185" s="23"/>
      <c r="Q185" s="23"/>
      <c r="R185" s="48" cm="1">
        <f ca="1" t="array" ref="R185">SUMPRODUCT(D185:O185,$D$8:$O$8)</f>
        <v>4631.18649904762</v>
      </c>
      <c r="S185" s="23"/>
      <c r="T185" s="23"/>
      <c r="U185" s="23"/>
    </row>
    <row r="186" ht="16.5" spans="2:21">
      <c r="B186" s="105">
        <v>164</v>
      </c>
      <c r="C186" s="23"/>
      <c r="D186" s="106">
        <f t="shared" si="25"/>
        <v>2000</v>
      </c>
      <c r="E186" s="25">
        <f ca="1" t="shared" si="26"/>
        <v>5593.264</v>
      </c>
      <c r="F186" s="24">
        <f t="shared" si="27"/>
        <v>542.857142857143</v>
      </c>
      <c r="G186" s="23">
        <f t="shared" si="28"/>
        <v>0.366666666666667</v>
      </c>
      <c r="H186" s="23">
        <f t="shared" si="33"/>
        <v>2.66666666666667</v>
      </c>
      <c r="I186" s="108">
        <f t="shared" si="29"/>
        <v>441.904761904762</v>
      </c>
      <c r="J186" s="23">
        <f t="shared" si="34"/>
        <v>14.2857142857143</v>
      </c>
      <c r="K186" s="23">
        <f t="shared" si="30"/>
        <v>3.61904761904762</v>
      </c>
      <c r="L186" s="23"/>
      <c r="M186" s="23">
        <f t="shared" si="31"/>
        <v>1428.57142857143</v>
      </c>
      <c r="N186" s="23">
        <f t="shared" si="35"/>
        <v>11.4285714285714</v>
      </c>
      <c r="O186" s="23">
        <f t="shared" si="32"/>
        <v>0.685714285714286</v>
      </c>
      <c r="P186" s="23"/>
      <c r="Q186" s="23"/>
      <c r="R186" s="48" cm="1">
        <f ca="1" t="array" ref="R186">SUMPRODUCT(D186:O186,$D$8:$O$8)</f>
        <v>4644.82473904762</v>
      </c>
      <c r="S186" s="23"/>
      <c r="T186" s="23"/>
      <c r="U186" s="23"/>
    </row>
    <row r="187" ht="16.5" spans="2:21">
      <c r="B187" s="104">
        <v>165</v>
      </c>
      <c r="C187" s="23"/>
      <c r="D187" s="106">
        <f t="shared" si="25"/>
        <v>2000</v>
      </c>
      <c r="E187" s="25">
        <f ca="1" t="shared" si="26"/>
        <v>5593.264</v>
      </c>
      <c r="F187" s="24">
        <f t="shared" si="27"/>
        <v>542.857142857143</v>
      </c>
      <c r="G187" s="23">
        <f t="shared" si="28"/>
        <v>0.366666666666667</v>
      </c>
      <c r="H187" s="23">
        <f t="shared" si="33"/>
        <v>2.66666666666667</v>
      </c>
      <c r="I187" s="108">
        <f t="shared" si="29"/>
        <v>441.904761904762</v>
      </c>
      <c r="J187" s="23">
        <f t="shared" si="34"/>
        <v>14.2857142857143</v>
      </c>
      <c r="K187" s="23">
        <f t="shared" si="30"/>
        <v>3.61904761904762</v>
      </c>
      <c r="L187" s="23"/>
      <c r="M187" s="23">
        <f t="shared" si="31"/>
        <v>1428.57142857143</v>
      </c>
      <c r="N187" s="23">
        <f t="shared" si="35"/>
        <v>11.4285714285714</v>
      </c>
      <c r="O187" s="23">
        <f t="shared" si="32"/>
        <v>0.685714285714286</v>
      </c>
      <c r="P187" s="23"/>
      <c r="Q187" s="23"/>
      <c r="R187" s="48" cm="1">
        <f ca="1" t="array" ref="R187">SUMPRODUCT(D187:O187,$D$8:$O$8)</f>
        <v>4644.82473904762</v>
      </c>
      <c r="S187" s="23"/>
      <c r="T187" s="23"/>
      <c r="U187" s="23"/>
    </row>
    <row r="188" ht="16.5" spans="2:21">
      <c r="B188" s="105">
        <v>166</v>
      </c>
      <c r="C188" s="23"/>
      <c r="D188" s="106">
        <f t="shared" si="25"/>
        <v>2000</v>
      </c>
      <c r="E188" s="25">
        <f ca="1" t="shared" si="26"/>
        <v>5593.264</v>
      </c>
      <c r="F188" s="24">
        <f t="shared" si="27"/>
        <v>542.857142857143</v>
      </c>
      <c r="G188" s="23">
        <f t="shared" si="28"/>
        <v>0.366666666666667</v>
      </c>
      <c r="H188" s="23">
        <f t="shared" si="33"/>
        <v>2.66666666666667</v>
      </c>
      <c r="I188" s="108">
        <f t="shared" si="29"/>
        <v>441.904761904762</v>
      </c>
      <c r="J188" s="23">
        <f t="shared" si="34"/>
        <v>14.2857142857143</v>
      </c>
      <c r="K188" s="23">
        <f t="shared" si="30"/>
        <v>3.61904761904762</v>
      </c>
      <c r="L188" s="23"/>
      <c r="M188" s="23">
        <f t="shared" si="31"/>
        <v>1428.57142857143</v>
      </c>
      <c r="N188" s="23">
        <f t="shared" si="35"/>
        <v>11.4285714285714</v>
      </c>
      <c r="O188" s="23">
        <f t="shared" si="32"/>
        <v>0.685714285714286</v>
      </c>
      <c r="P188" s="23"/>
      <c r="Q188" s="23"/>
      <c r="R188" s="48" cm="1">
        <f ca="1" t="array" ref="R188">SUMPRODUCT(D188:O188,$D$8:$O$8)</f>
        <v>4644.82473904762</v>
      </c>
      <c r="S188" s="23"/>
      <c r="T188" s="23"/>
      <c r="U188" s="23"/>
    </row>
    <row r="189" ht="16.5" spans="2:21">
      <c r="B189" s="104">
        <v>167</v>
      </c>
      <c r="C189" s="23"/>
      <c r="D189" s="106">
        <f t="shared" si="25"/>
        <v>2000</v>
      </c>
      <c r="E189" s="25">
        <f ca="1" t="shared" si="26"/>
        <v>5593.264</v>
      </c>
      <c r="F189" s="24">
        <f t="shared" si="27"/>
        <v>542.857142857143</v>
      </c>
      <c r="G189" s="23">
        <f t="shared" si="28"/>
        <v>0.366666666666667</v>
      </c>
      <c r="H189" s="23">
        <f t="shared" si="33"/>
        <v>2.66666666666667</v>
      </c>
      <c r="I189" s="108">
        <f t="shared" si="29"/>
        <v>441.904761904762</v>
      </c>
      <c r="J189" s="23">
        <f t="shared" si="34"/>
        <v>14.2857142857143</v>
      </c>
      <c r="K189" s="23">
        <f t="shared" si="30"/>
        <v>3.61904761904762</v>
      </c>
      <c r="L189" s="23"/>
      <c r="M189" s="23">
        <f t="shared" si="31"/>
        <v>1428.57142857143</v>
      </c>
      <c r="N189" s="23">
        <f t="shared" si="35"/>
        <v>11.4285714285714</v>
      </c>
      <c r="O189" s="23">
        <f t="shared" si="32"/>
        <v>0.685714285714286</v>
      </c>
      <c r="P189" s="23"/>
      <c r="Q189" s="23"/>
      <c r="R189" s="48" cm="1">
        <f ca="1" t="array" ref="R189">SUMPRODUCT(D189:O189,$D$8:$O$8)</f>
        <v>4644.82473904762</v>
      </c>
      <c r="S189" s="23"/>
      <c r="T189" s="23"/>
      <c r="U189" s="23"/>
    </row>
    <row r="190" ht="16.5" spans="2:21">
      <c r="B190" s="105">
        <v>168</v>
      </c>
      <c r="C190" s="23"/>
      <c r="D190" s="106">
        <f t="shared" si="25"/>
        <v>2000</v>
      </c>
      <c r="E190" s="25">
        <f ca="1" t="shared" si="26"/>
        <v>5593.264</v>
      </c>
      <c r="F190" s="24">
        <f t="shared" si="27"/>
        <v>542.857142857143</v>
      </c>
      <c r="G190" s="23">
        <f t="shared" si="28"/>
        <v>0.366666666666667</v>
      </c>
      <c r="H190" s="23">
        <f t="shared" si="33"/>
        <v>2.66666666666667</v>
      </c>
      <c r="I190" s="108">
        <f t="shared" si="29"/>
        <v>441.904761904762</v>
      </c>
      <c r="J190" s="23">
        <f t="shared" si="34"/>
        <v>14.2857142857143</v>
      </c>
      <c r="K190" s="23">
        <f t="shared" si="30"/>
        <v>3.61904761904762</v>
      </c>
      <c r="L190" s="23"/>
      <c r="M190" s="23">
        <f t="shared" si="31"/>
        <v>1428.57142857143</v>
      </c>
      <c r="N190" s="23">
        <f t="shared" si="35"/>
        <v>11.4285714285714</v>
      </c>
      <c r="O190" s="23">
        <f t="shared" si="32"/>
        <v>0.685714285714286</v>
      </c>
      <c r="P190" s="23"/>
      <c r="Q190" s="23"/>
      <c r="R190" s="48" cm="1">
        <f ca="1" t="array" ref="R190">SUMPRODUCT(D190:O190,$D$8:$O$8)</f>
        <v>4644.82473904762</v>
      </c>
      <c r="S190" s="23"/>
      <c r="T190" s="23"/>
      <c r="U190" s="23"/>
    </row>
    <row r="191" ht="16.5" spans="2:21">
      <c r="B191" s="104">
        <v>169</v>
      </c>
      <c r="C191" s="23"/>
      <c r="D191" s="106">
        <f t="shared" si="25"/>
        <v>2000</v>
      </c>
      <c r="E191" s="25">
        <f ca="1" t="shared" si="26"/>
        <v>5593.264</v>
      </c>
      <c r="F191" s="24">
        <f t="shared" si="27"/>
        <v>542.857142857143</v>
      </c>
      <c r="G191" s="23">
        <f t="shared" si="28"/>
        <v>0.366666666666667</v>
      </c>
      <c r="H191" s="23">
        <f t="shared" si="33"/>
        <v>2.66666666666667</v>
      </c>
      <c r="I191" s="108">
        <f t="shared" si="29"/>
        <v>441.904761904762</v>
      </c>
      <c r="J191" s="23">
        <f t="shared" si="34"/>
        <v>14.2857142857143</v>
      </c>
      <c r="K191" s="23">
        <f t="shared" si="30"/>
        <v>3.61904761904762</v>
      </c>
      <c r="L191" s="23"/>
      <c r="M191" s="23">
        <f t="shared" si="31"/>
        <v>1428.57142857143</v>
      </c>
      <c r="N191" s="23">
        <f t="shared" si="35"/>
        <v>11.4285714285714</v>
      </c>
      <c r="O191" s="23">
        <f t="shared" si="32"/>
        <v>0.685714285714286</v>
      </c>
      <c r="P191" s="23"/>
      <c r="Q191" s="23"/>
      <c r="R191" s="48" cm="1">
        <f ca="1" t="array" ref="R191">SUMPRODUCT(D191:O191,$D$8:$O$8)</f>
        <v>4644.82473904762</v>
      </c>
      <c r="S191" s="23"/>
      <c r="T191" s="23"/>
      <c r="U191" s="23"/>
    </row>
    <row r="192" ht="16.5" spans="2:21">
      <c r="B192" s="105">
        <v>170</v>
      </c>
      <c r="C192" s="23"/>
      <c r="D192" s="106">
        <f t="shared" si="25"/>
        <v>2000</v>
      </c>
      <c r="E192" s="25">
        <f ca="1" t="shared" si="26"/>
        <v>5593.264</v>
      </c>
      <c r="F192" s="24">
        <f t="shared" si="27"/>
        <v>542.857142857143</v>
      </c>
      <c r="G192" s="23">
        <f t="shared" si="28"/>
        <v>0.366666666666667</v>
      </c>
      <c r="H192" s="23">
        <f t="shared" si="33"/>
        <v>2.66666666666667</v>
      </c>
      <c r="I192" s="108">
        <f t="shared" si="29"/>
        <v>441.904761904762</v>
      </c>
      <c r="J192" s="23">
        <f t="shared" si="34"/>
        <v>14.2857142857143</v>
      </c>
      <c r="K192" s="23">
        <f t="shared" si="30"/>
        <v>3.61904761904762</v>
      </c>
      <c r="L192" s="23"/>
      <c r="M192" s="23">
        <f t="shared" si="31"/>
        <v>1428.57142857143</v>
      </c>
      <c r="N192" s="23">
        <f t="shared" si="35"/>
        <v>11.4285714285714</v>
      </c>
      <c r="O192" s="23">
        <f t="shared" si="32"/>
        <v>0.685714285714286</v>
      </c>
      <c r="P192" s="23"/>
      <c r="Q192" s="23"/>
      <c r="R192" s="48" cm="1">
        <f ca="1" t="array" ref="R192">SUMPRODUCT(D192:O192,$D$8:$O$8)</f>
        <v>4644.82473904762</v>
      </c>
      <c r="S192" s="23"/>
      <c r="T192" s="23"/>
      <c r="U192" s="23"/>
    </row>
    <row r="193" ht="16.5" spans="2:21">
      <c r="B193" s="104">
        <v>171</v>
      </c>
      <c r="C193" s="23"/>
      <c r="D193" s="106">
        <f t="shared" si="25"/>
        <v>2000</v>
      </c>
      <c r="E193" s="25">
        <f ca="1" t="shared" si="26"/>
        <v>5593.264</v>
      </c>
      <c r="F193" s="24">
        <f t="shared" si="27"/>
        <v>542.857142857143</v>
      </c>
      <c r="G193" s="23">
        <f t="shared" si="28"/>
        <v>0.366666666666667</v>
      </c>
      <c r="H193" s="23">
        <f t="shared" si="33"/>
        <v>2.66666666666667</v>
      </c>
      <c r="I193" s="108">
        <f t="shared" si="29"/>
        <v>441.904761904762</v>
      </c>
      <c r="J193" s="23">
        <f t="shared" si="34"/>
        <v>14.2857142857143</v>
      </c>
      <c r="K193" s="23">
        <f t="shared" si="30"/>
        <v>3.61904761904762</v>
      </c>
      <c r="L193" s="23"/>
      <c r="M193" s="23">
        <f t="shared" si="31"/>
        <v>1428.57142857143</v>
      </c>
      <c r="N193" s="23">
        <f t="shared" si="35"/>
        <v>11.4285714285714</v>
      </c>
      <c r="O193" s="23">
        <f t="shared" si="32"/>
        <v>0.685714285714286</v>
      </c>
      <c r="P193" s="23"/>
      <c r="Q193" s="23"/>
      <c r="R193" s="48" cm="1">
        <f ca="1" t="array" ref="R193">SUMPRODUCT(D193:O193,$D$8:$O$8)</f>
        <v>4644.82473904762</v>
      </c>
      <c r="S193" s="23"/>
      <c r="T193" s="23"/>
      <c r="U193" s="23"/>
    </row>
    <row r="194" ht="16.5" spans="2:21">
      <c r="B194" s="105">
        <v>172</v>
      </c>
      <c r="C194" s="23"/>
      <c r="D194" s="106">
        <f t="shared" si="25"/>
        <v>2000</v>
      </c>
      <c r="E194" s="25">
        <f ca="1" t="shared" si="26"/>
        <v>5593.264</v>
      </c>
      <c r="F194" s="24">
        <f t="shared" si="27"/>
        <v>542.857142857143</v>
      </c>
      <c r="G194" s="23">
        <f t="shared" si="28"/>
        <v>0.366666666666667</v>
      </c>
      <c r="H194" s="23">
        <f t="shared" si="33"/>
        <v>2.66666666666667</v>
      </c>
      <c r="I194" s="108">
        <f t="shared" si="29"/>
        <v>441.904761904762</v>
      </c>
      <c r="J194" s="23">
        <f t="shared" si="34"/>
        <v>14.2857142857143</v>
      </c>
      <c r="K194" s="23">
        <f t="shared" si="30"/>
        <v>3.61904761904762</v>
      </c>
      <c r="L194" s="23"/>
      <c r="M194" s="23">
        <f t="shared" si="31"/>
        <v>1428.57142857143</v>
      </c>
      <c r="N194" s="23">
        <f t="shared" si="35"/>
        <v>11.4285714285714</v>
      </c>
      <c r="O194" s="23">
        <f t="shared" si="32"/>
        <v>0.685714285714286</v>
      </c>
      <c r="P194" s="23"/>
      <c r="Q194" s="23"/>
      <c r="R194" s="48" cm="1">
        <f ca="1" t="array" ref="R194">SUMPRODUCT(D194:O194,$D$8:$O$8)</f>
        <v>4644.82473904762</v>
      </c>
      <c r="S194" s="23"/>
      <c r="T194" s="23"/>
      <c r="U194" s="23"/>
    </row>
    <row r="195" ht="16.5" spans="2:21">
      <c r="B195" s="104">
        <v>173</v>
      </c>
      <c r="C195" s="23"/>
      <c r="D195" s="106">
        <f t="shared" si="25"/>
        <v>2000</v>
      </c>
      <c r="E195" s="25">
        <f ca="1" t="shared" si="26"/>
        <v>5593.264</v>
      </c>
      <c r="F195" s="24">
        <f t="shared" si="27"/>
        <v>542.857142857143</v>
      </c>
      <c r="G195" s="23">
        <f t="shared" si="28"/>
        <v>0.366666666666667</v>
      </c>
      <c r="H195" s="23">
        <f t="shared" si="33"/>
        <v>2.66666666666667</v>
      </c>
      <c r="I195" s="108">
        <f t="shared" si="29"/>
        <v>441.904761904762</v>
      </c>
      <c r="J195" s="23">
        <f t="shared" si="34"/>
        <v>14.2857142857143</v>
      </c>
      <c r="K195" s="23">
        <f t="shared" si="30"/>
        <v>3.61904761904762</v>
      </c>
      <c r="L195" s="23"/>
      <c r="M195" s="23">
        <f t="shared" si="31"/>
        <v>1428.57142857143</v>
      </c>
      <c r="N195" s="23">
        <f t="shared" si="35"/>
        <v>11.4285714285714</v>
      </c>
      <c r="O195" s="23">
        <f t="shared" si="32"/>
        <v>0.685714285714286</v>
      </c>
      <c r="P195" s="23"/>
      <c r="Q195" s="23"/>
      <c r="R195" s="48" cm="1">
        <f ca="1" t="array" ref="R195">SUMPRODUCT(D195:O195,$D$8:$O$8)</f>
        <v>4644.82473904762</v>
      </c>
      <c r="S195" s="23"/>
      <c r="T195" s="23"/>
      <c r="U195" s="23"/>
    </row>
    <row r="196" ht="16.5" spans="2:21">
      <c r="B196" s="105">
        <v>174</v>
      </c>
      <c r="C196" s="23"/>
      <c r="D196" s="106">
        <f t="shared" si="25"/>
        <v>2000</v>
      </c>
      <c r="E196" s="25">
        <f ca="1" t="shared" si="26"/>
        <v>5593.264</v>
      </c>
      <c r="F196" s="24">
        <f t="shared" si="27"/>
        <v>542.857142857143</v>
      </c>
      <c r="G196" s="23">
        <f t="shared" si="28"/>
        <v>0.366666666666667</v>
      </c>
      <c r="H196" s="23">
        <f t="shared" si="33"/>
        <v>2.66666666666667</v>
      </c>
      <c r="I196" s="108">
        <f t="shared" si="29"/>
        <v>441.904761904762</v>
      </c>
      <c r="J196" s="23">
        <f t="shared" si="34"/>
        <v>14.2857142857143</v>
      </c>
      <c r="K196" s="23">
        <f t="shared" si="30"/>
        <v>3.61904761904762</v>
      </c>
      <c r="L196" s="23"/>
      <c r="M196" s="23">
        <f t="shared" si="31"/>
        <v>1428.57142857143</v>
      </c>
      <c r="N196" s="23">
        <f t="shared" si="35"/>
        <v>11.4285714285714</v>
      </c>
      <c r="O196" s="23">
        <f t="shared" si="32"/>
        <v>0.685714285714286</v>
      </c>
      <c r="P196" s="23"/>
      <c r="Q196" s="23"/>
      <c r="R196" s="48" cm="1">
        <f ca="1" t="array" ref="R196">SUMPRODUCT(D196:O196,$D$8:$O$8)</f>
        <v>4644.82473904762</v>
      </c>
      <c r="S196" s="23"/>
      <c r="T196" s="23"/>
      <c r="U196" s="23"/>
    </row>
    <row r="197" ht="16.5" spans="2:21">
      <c r="B197" s="104">
        <v>175</v>
      </c>
      <c r="C197" s="23"/>
      <c r="D197" s="106">
        <f t="shared" si="25"/>
        <v>2000</v>
      </c>
      <c r="E197" s="25">
        <f ca="1" t="shared" si="26"/>
        <v>5593.264</v>
      </c>
      <c r="F197" s="24">
        <f t="shared" si="27"/>
        <v>542.857142857143</v>
      </c>
      <c r="G197" s="23">
        <f t="shared" si="28"/>
        <v>0.366666666666667</v>
      </c>
      <c r="H197" s="23">
        <f t="shared" si="33"/>
        <v>2.66666666666667</v>
      </c>
      <c r="I197" s="108">
        <f t="shared" si="29"/>
        <v>441.904761904762</v>
      </c>
      <c r="J197" s="23">
        <f t="shared" si="34"/>
        <v>14.2857142857143</v>
      </c>
      <c r="K197" s="23">
        <f t="shared" si="30"/>
        <v>3.61904761904762</v>
      </c>
      <c r="L197" s="23"/>
      <c r="M197" s="23">
        <f t="shared" si="31"/>
        <v>1428.57142857143</v>
      </c>
      <c r="N197" s="23">
        <f t="shared" si="35"/>
        <v>11.4285714285714</v>
      </c>
      <c r="O197" s="23">
        <f t="shared" si="32"/>
        <v>0.685714285714286</v>
      </c>
      <c r="P197" s="23"/>
      <c r="Q197" s="23"/>
      <c r="R197" s="48" cm="1">
        <f ca="1" t="array" ref="R197">SUMPRODUCT(D197:O197,$D$8:$O$8)</f>
        <v>4644.82473904762</v>
      </c>
      <c r="S197" s="23"/>
      <c r="T197" s="23"/>
      <c r="U197" s="23"/>
    </row>
    <row r="198" ht="16.5" spans="2:21">
      <c r="B198" s="105">
        <v>176</v>
      </c>
      <c r="C198" s="23"/>
      <c r="D198" s="106">
        <f t="shared" si="25"/>
        <v>2000</v>
      </c>
      <c r="E198" s="25">
        <f ca="1" t="shared" si="26"/>
        <v>5593.264</v>
      </c>
      <c r="F198" s="24">
        <f t="shared" si="27"/>
        <v>542.857142857143</v>
      </c>
      <c r="G198" s="23">
        <f t="shared" si="28"/>
        <v>0.366666666666667</v>
      </c>
      <c r="H198" s="23">
        <f t="shared" si="33"/>
        <v>2.66666666666667</v>
      </c>
      <c r="I198" s="108">
        <f t="shared" si="29"/>
        <v>441.904761904762</v>
      </c>
      <c r="J198" s="23">
        <f t="shared" si="34"/>
        <v>14.2857142857143</v>
      </c>
      <c r="K198" s="23">
        <f t="shared" si="30"/>
        <v>3.61904761904762</v>
      </c>
      <c r="L198" s="23"/>
      <c r="M198" s="23">
        <f t="shared" si="31"/>
        <v>1428.57142857143</v>
      </c>
      <c r="N198" s="23">
        <f t="shared" si="35"/>
        <v>11.4285714285714</v>
      </c>
      <c r="O198" s="23">
        <f t="shared" si="32"/>
        <v>0.685714285714286</v>
      </c>
      <c r="P198" s="23"/>
      <c r="Q198" s="23"/>
      <c r="R198" s="48" cm="1">
        <f ca="1" t="array" ref="R198">SUMPRODUCT(D198:O198,$D$8:$O$8)</f>
        <v>4644.82473904762</v>
      </c>
      <c r="S198" s="23"/>
      <c r="T198" s="23"/>
      <c r="U198" s="23"/>
    </row>
    <row r="199" ht="16.5" spans="2:21">
      <c r="B199" s="104">
        <v>177</v>
      </c>
      <c r="C199" s="23"/>
      <c r="D199" s="106">
        <f t="shared" si="25"/>
        <v>2000</v>
      </c>
      <c r="E199" s="25">
        <f ca="1" t="shared" si="26"/>
        <v>5593.264</v>
      </c>
      <c r="F199" s="24">
        <f t="shared" si="27"/>
        <v>542.857142857143</v>
      </c>
      <c r="G199" s="23">
        <f t="shared" si="28"/>
        <v>0.366666666666667</v>
      </c>
      <c r="H199" s="23">
        <f t="shared" si="33"/>
        <v>2.66666666666667</v>
      </c>
      <c r="I199" s="108">
        <f t="shared" si="29"/>
        <v>441.904761904762</v>
      </c>
      <c r="J199" s="23">
        <f t="shared" si="34"/>
        <v>14.2857142857143</v>
      </c>
      <c r="K199" s="23">
        <f t="shared" si="30"/>
        <v>3.61904761904762</v>
      </c>
      <c r="L199" s="23"/>
      <c r="M199" s="23">
        <f t="shared" si="31"/>
        <v>1428.57142857143</v>
      </c>
      <c r="N199" s="23">
        <f t="shared" si="35"/>
        <v>11.4285714285714</v>
      </c>
      <c r="O199" s="23">
        <f t="shared" si="32"/>
        <v>0.685714285714286</v>
      </c>
      <c r="P199" s="23"/>
      <c r="Q199" s="23"/>
      <c r="R199" s="48" cm="1">
        <f ca="1" t="array" ref="R199">SUMPRODUCT(D199:O199,$D$8:$O$8)</f>
        <v>4644.82473904762</v>
      </c>
      <c r="S199" s="23"/>
      <c r="T199" s="23"/>
      <c r="U199" s="23"/>
    </row>
    <row r="200" ht="16.5" spans="2:21">
      <c r="B200" s="105">
        <v>178</v>
      </c>
      <c r="C200" s="23"/>
      <c r="D200" s="106">
        <f t="shared" si="25"/>
        <v>2000</v>
      </c>
      <c r="E200" s="25">
        <f ca="1" t="shared" si="26"/>
        <v>5593.264</v>
      </c>
      <c r="F200" s="24">
        <f t="shared" si="27"/>
        <v>542.857142857143</v>
      </c>
      <c r="G200" s="23">
        <f t="shared" si="28"/>
        <v>0.366666666666667</v>
      </c>
      <c r="H200" s="23">
        <f t="shared" si="33"/>
        <v>2.66666666666667</v>
      </c>
      <c r="I200" s="108">
        <f t="shared" si="29"/>
        <v>441.904761904762</v>
      </c>
      <c r="J200" s="23">
        <f t="shared" si="34"/>
        <v>14.2857142857143</v>
      </c>
      <c r="K200" s="23">
        <f t="shared" si="30"/>
        <v>3.61904761904762</v>
      </c>
      <c r="L200" s="23"/>
      <c r="M200" s="23">
        <f t="shared" si="31"/>
        <v>1428.57142857143</v>
      </c>
      <c r="N200" s="23">
        <f t="shared" si="35"/>
        <v>11.4285714285714</v>
      </c>
      <c r="O200" s="23">
        <f t="shared" si="32"/>
        <v>0.685714285714286</v>
      </c>
      <c r="P200" s="23"/>
      <c r="Q200" s="23"/>
      <c r="R200" s="48" cm="1">
        <f ca="1" t="array" ref="R200">SUMPRODUCT(D200:O200,$D$8:$O$8)</f>
        <v>4644.82473904762</v>
      </c>
      <c r="S200" s="23"/>
      <c r="T200" s="23"/>
      <c r="U200" s="23"/>
    </row>
    <row r="201" ht="16.5" spans="2:21">
      <c r="B201" s="104">
        <v>179</v>
      </c>
      <c r="C201" s="23"/>
      <c r="D201" s="106">
        <f t="shared" si="25"/>
        <v>2000</v>
      </c>
      <c r="E201" s="25">
        <f ca="1" t="shared" si="26"/>
        <v>5593.264</v>
      </c>
      <c r="F201" s="24">
        <f t="shared" si="27"/>
        <v>542.857142857143</v>
      </c>
      <c r="G201" s="23">
        <f t="shared" si="28"/>
        <v>0.366666666666667</v>
      </c>
      <c r="H201" s="23">
        <f t="shared" si="33"/>
        <v>2.66666666666667</v>
      </c>
      <c r="I201" s="108">
        <f t="shared" si="29"/>
        <v>441.904761904762</v>
      </c>
      <c r="J201" s="23">
        <f t="shared" si="34"/>
        <v>14.2857142857143</v>
      </c>
      <c r="K201" s="23">
        <f t="shared" si="30"/>
        <v>3.61904761904762</v>
      </c>
      <c r="L201" s="23"/>
      <c r="M201" s="23">
        <f t="shared" si="31"/>
        <v>1428.57142857143</v>
      </c>
      <c r="N201" s="23">
        <f t="shared" si="35"/>
        <v>11.4285714285714</v>
      </c>
      <c r="O201" s="23">
        <f t="shared" si="32"/>
        <v>0.685714285714286</v>
      </c>
      <c r="P201" s="23"/>
      <c r="Q201" s="23"/>
      <c r="R201" s="48" cm="1">
        <f ca="1" t="array" ref="R201">SUMPRODUCT(D201:O201,$D$8:$O$8)</f>
        <v>4644.82473904762</v>
      </c>
      <c r="S201" s="23"/>
      <c r="T201" s="23"/>
      <c r="U201" s="23"/>
    </row>
    <row r="202" ht="16.5" spans="2:21">
      <c r="B202" s="105">
        <v>180</v>
      </c>
      <c r="C202" s="23"/>
      <c r="D202" s="106">
        <f t="shared" si="25"/>
        <v>2000</v>
      </c>
      <c r="E202" s="25">
        <f ca="1" t="shared" si="26"/>
        <v>5593.264</v>
      </c>
      <c r="F202" s="24">
        <f t="shared" si="27"/>
        <v>542.857142857143</v>
      </c>
      <c r="G202" s="23">
        <f t="shared" si="28"/>
        <v>0.366666666666667</v>
      </c>
      <c r="H202" s="23">
        <f t="shared" si="33"/>
        <v>2.66666666666667</v>
      </c>
      <c r="I202" s="108">
        <f t="shared" si="29"/>
        <v>441.904761904762</v>
      </c>
      <c r="J202" s="23">
        <f t="shared" si="34"/>
        <v>14.2857142857143</v>
      </c>
      <c r="K202" s="23">
        <f t="shared" si="30"/>
        <v>3.61904761904762</v>
      </c>
      <c r="L202" s="23"/>
      <c r="M202" s="23">
        <f t="shared" si="31"/>
        <v>1428.57142857143</v>
      </c>
      <c r="N202" s="23">
        <f t="shared" si="35"/>
        <v>11.4285714285714</v>
      </c>
      <c r="O202" s="23">
        <f t="shared" si="32"/>
        <v>0.685714285714286</v>
      </c>
      <c r="P202" s="23"/>
      <c r="Q202" s="23"/>
      <c r="R202" s="48" cm="1">
        <f ca="1" t="array" ref="R202">SUMPRODUCT(D202:O202,$D$8:$O$8)</f>
        <v>4644.82473904762</v>
      </c>
      <c r="S202" s="23"/>
      <c r="T202" s="23"/>
      <c r="U202" s="23"/>
    </row>
    <row r="203" ht="16.5" spans="2:21">
      <c r="B203" s="104">
        <v>181</v>
      </c>
      <c r="C203" s="23"/>
      <c r="D203" s="106">
        <f t="shared" si="25"/>
        <v>2000</v>
      </c>
      <c r="E203" s="25">
        <f ca="1" t="shared" si="26"/>
        <v>5593.264</v>
      </c>
      <c r="F203" s="24">
        <f t="shared" si="27"/>
        <v>542.857142857143</v>
      </c>
      <c r="G203" s="23">
        <f t="shared" si="28"/>
        <v>0.366666666666667</v>
      </c>
      <c r="H203" s="23">
        <f t="shared" si="33"/>
        <v>2.66666666666667</v>
      </c>
      <c r="I203" s="108">
        <f t="shared" si="29"/>
        <v>441.904761904762</v>
      </c>
      <c r="J203" s="23">
        <f t="shared" si="34"/>
        <v>14.2857142857143</v>
      </c>
      <c r="K203" s="23">
        <f t="shared" si="30"/>
        <v>3.61904761904762</v>
      </c>
      <c r="L203" s="23"/>
      <c r="M203" s="23">
        <f t="shared" si="31"/>
        <v>1428.57142857143</v>
      </c>
      <c r="N203" s="23">
        <f t="shared" si="35"/>
        <v>11.4285714285714</v>
      </c>
      <c r="O203" s="23">
        <f t="shared" si="32"/>
        <v>0.685714285714286</v>
      </c>
      <c r="P203" s="23"/>
      <c r="Q203" s="23"/>
      <c r="R203" s="48" cm="1">
        <f ca="1" t="array" ref="R203">SUMPRODUCT(D203:O203,$D$8:$O$8)</f>
        <v>4644.82473904762</v>
      </c>
      <c r="S203" s="23"/>
      <c r="T203" s="23"/>
      <c r="U203" s="23"/>
    </row>
    <row r="204" ht="16.5" spans="2:21">
      <c r="B204" s="105">
        <v>182</v>
      </c>
      <c r="C204" s="23"/>
      <c r="D204" s="106">
        <f t="shared" si="25"/>
        <v>2000</v>
      </c>
      <c r="E204" s="25">
        <f ca="1" t="shared" si="26"/>
        <v>5593.264</v>
      </c>
      <c r="F204" s="24">
        <f t="shared" si="27"/>
        <v>542.857142857143</v>
      </c>
      <c r="G204" s="23">
        <f t="shared" si="28"/>
        <v>0.366666666666667</v>
      </c>
      <c r="H204" s="23">
        <f t="shared" si="33"/>
        <v>2.66666666666667</v>
      </c>
      <c r="I204" s="108">
        <f t="shared" si="29"/>
        <v>441.904761904762</v>
      </c>
      <c r="J204" s="23">
        <f t="shared" si="34"/>
        <v>14.2857142857143</v>
      </c>
      <c r="K204" s="23">
        <f t="shared" si="30"/>
        <v>3.61904761904762</v>
      </c>
      <c r="L204" s="23"/>
      <c r="M204" s="23">
        <f t="shared" si="31"/>
        <v>1428.57142857143</v>
      </c>
      <c r="N204" s="23">
        <f t="shared" si="35"/>
        <v>11.4285714285714</v>
      </c>
      <c r="O204" s="23">
        <f t="shared" si="32"/>
        <v>0.685714285714286</v>
      </c>
      <c r="P204" s="23"/>
      <c r="Q204" s="23"/>
      <c r="R204" s="48" cm="1">
        <f ca="1" t="array" ref="R204">SUMPRODUCT(D204:O204,$D$8:$O$8)</f>
        <v>4644.82473904762</v>
      </c>
      <c r="S204" s="23"/>
      <c r="T204" s="23"/>
      <c r="U204" s="23"/>
    </row>
    <row r="205" ht="16.5" spans="2:21">
      <c r="B205" s="104">
        <v>183</v>
      </c>
      <c r="C205" s="23"/>
      <c r="D205" s="106">
        <f t="shared" si="25"/>
        <v>2000</v>
      </c>
      <c r="E205" s="25">
        <f ca="1" t="shared" si="26"/>
        <v>5634.736</v>
      </c>
      <c r="F205" s="24">
        <f t="shared" si="27"/>
        <v>542.857142857143</v>
      </c>
      <c r="G205" s="23">
        <f t="shared" si="28"/>
        <v>0.366666666666667</v>
      </c>
      <c r="H205" s="23">
        <f t="shared" si="33"/>
        <v>2.66666666666667</v>
      </c>
      <c r="I205" s="108">
        <f t="shared" si="29"/>
        <v>441.904761904762</v>
      </c>
      <c r="J205" s="23">
        <f t="shared" si="34"/>
        <v>14.2857142857143</v>
      </c>
      <c r="K205" s="23">
        <f t="shared" si="30"/>
        <v>3.61904761904762</v>
      </c>
      <c r="L205" s="23"/>
      <c r="M205" s="23">
        <f t="shared" si="31"/>
        <v>1428.57142857143</v>
      </c>
      <c r="N205" s="23">
        <f t="shared" si="35"/>
        <v>11.4285714285714</v>
      </c>
      <c r="O205" s="23">
        <f t="shared" si="32"/>
        <v>0.685714285714286</v>
      </c>
      <c r="P205" s="23"/>
      <c r="Q205" s="23"/>
      <c r="R205" s="48" cm="1">
        <f ca="1" t="array" ref="R205">SUMPRODUCT(D205:O205,$D$8:$O$8)</f>
        <v>4658.51049904762</v>
      </c>
      <c r="S205" s="23"/>
      <c r="T205" s="23"/>
      <c r="U205" s="23"/>
    </row>
    <row r="206" ht="16.5" spans="2:21">
      <c r="B206" s="105">
        <v>184</v>
      </c>
      <c r="C206" s="23"/>
      <c r="D206" s="106">
        <f t="shared" si="25"/>
        <v>2000</v>
      </c>
      <c r="E206" s="25">
        <f ca="1" t="shared" si="26"/>
        <v>5634.736</v>
      </c>
      <c r="F206" s="24">
        <f t="shared" si="27"/>
        <v>542.857142857143</v>
      </c>
      <c r="G206" s="23">
        <f t="shared" si="28"/>
        <v>0.366666666666667</v>
      </c>
      <c r="H206" s="23">
        <f t="shared" si="33"/>
        <v>2.66666666666667</v>
      </c>
      <c r="I206" s="108">
        <f t="shared" si="29"/>
        <v>441.904761904762</v>
      </c>
      <c r="J206" s="23">
        <f t="shared" si="34"/>
        <v>14.2857142857143</v>
      </c>
      <c r="K206" s="23">
        <f t="shared" si="30"/>
        <v>3.61904761904762</v>
      </c>
      <c r="L206" s="23"/>
      <c r="M206" s="23">
        <f t="shared" si="31"/>
        <v>1428.57142857143</v>
      </c>
      <c r="N206" s="23">
        <f t="shared" si="35"/>
        <v>11.4285714285714</v>
      </c>
      <c r="O206" s="23">
        <f t="shared" si="32"/>
        <v>0.685714285714286</v>
      </c>
      <c r="P206" s="23"/>
      <c r="Q206" s="23"/>
      <c r="R206" s="48" cm="1">
        <f ca="1" t="array" ref="R206">SUMPRODUCT(D206:O206,$D$8:$O$8)</f>
        <v>4658.51049904762</v>
      </c>
      <c r="S206" s="23"/>
      <c r="T206" s="23"/>
      <c r="U206" s="23"/>
    </row>
    <row r="207" ht="16.5" spans="2:21">
      <c r="B207" s="104">
        <v>185</v>
      </c>
      <c r="C207" s="23"/>
      <c r="D207" s="106">
        <f t="shared" si="25"/>
        <v>2000</v>
      </c>
      <c r="E207" s="25">
        <f ca="1" t="shared" si="26"/>
        <v>5634.736</v>
      </c>
      <c r="F207" s="24">
        <f t="shared" si="27"/>
        <v>542.857142857143</v>
      </c>
      <c r="G207" s="23">
        <f t="shared" si="28"/>
        <v>0.366666666666667</v>
      </c>
      <c r="H207" s="23">
        <f t="shared" si="33"/>
        <v>2.66666666666667</v>
      </c>
      <c r="I207" s="108">
        <f t="shared" si="29"/>
        <v>441.904761904762</v>
      </c>
      <c r="J207" s="23">
        <f t="shared" si="34"/>
        <v>14.2857142857143</v>
      </c>
      <c r="K207" s="23">
        <f t="shared" si="30"/>
        <v>3.61904761904762</v>
      </c>
      <c r="L207" s="23"/>
      <c r="M207" s="23">
        <f t="shared" si="31"/>
        <v>1428.57142857143</v>
      </c>
      <c r="N207" s="23">
        <f t="shared" si="35"/>
        <v>11.4285714285714</v>
      </c>
      <c r="O207" s="23">
        <f t="shared" si="32"/>
        <v>0.685714285714286</v>
      </c>
      <c r="P207" s="23"/>
      <c r="Q207" s="23"/>
      <c r="R207" s="48" cm="1">
        <f ca="1" t="array" ref="R207">SUMPRODUCT(D207:O207,$D$8:$O$8)</f>
        <v>4658.51049904762</v>
      </c>
      <c r="S207" s="23"/>
      <c r="T207" s="23"/>
      <c r="U207" s="23"/>
    </row>
    <row r="208" ht="16.5" spans="2:21">
      <c r="B208" s="105">
        <v>186</v>
      </c>
      <c r="C208" s="23"/>
      <c r="D208" s="106">
        <f t="shared" si="25"/>
        <v>2000</v>
      </c>
      <c r="E208" s="25">
        <f ca="1" t="shared" si="26"/>
        <v>5634.736</v>
      </c>
      <c r="F208" s="24">
        <f t="shared" si="27"/>
        <v>542.857142857143</v>
      </c>
      <c r="G208" s="23">
        <f t="shared" si="28"/>
        <v>0.366666666666667</v>
      </c>
      <c r="H208" s="23">
        <f t="shared" si="33"/>
        <v>2.66666666666667</v>
      </c>
      <c r="I208" s="108">
        <f t="shared" si="29"/>
        <v>441.904761904762</v>
      </c>
      <c r="J208" s="23">
        <f t="shared" si="34"/>
        <v>14.2857142857143</v>
      </c>
      <c r="K208" s="23">
        <f t="shared" si="30"/>
        <v>3.61904761904762</v>
      </c>
      <c r="L208" s="23"/>
      <c r="M208" s="23">
        <f t="shared" si="31"/>
        <v>1428.57142857143</v>
      </c>
      <c r="N208" s="23">
        <f t="shared" si="35"/>
        <v>11.4285714285714</v>
      </c>
      <c r="O208" s="23">
        <f t="shared" si="32"/>
        <v>0.685714285714286</v>
      </c>
      <c r="P208" s="23"/>
      <c r="Q208" s="23"/>
      <c r="R208" s="48" cm="1">
        <f ca="1" t="array" ref="R208">SUMPRODUCT(D208:O208,$D$8:$O$8)</f>
        <v>4658.51049904762</v>
      </c>
      <c r="S208" s="23"/>
      <c r="T208" s="23"/>
      <c r="U208" s="23"/>
    </row>
    <row r="209" ht="16.5" spans="2:21">
      <c r="B209" s="104">
        <v>187</v>
      </c>
      <c r="C209" s="23"/>
      <c r="D209" s="106">
        <f t="shared" si="25"/>
        <v>2000</v>
      </c>
      <c r="E209" s="25">
        <f ca="1" t="shared" si="26"/>
        <v>5634.736</v>
      </c>
      <c r="F209" s="24">
        <f t="shared" si="27"/>
        <v>542.857142857143</v>
      </c>
      <c r="G209" s="23">
        <f t="shared" si="28"/>
        <v>0.366666666666667</v>
      </c>
      <c r="H209" s="23">
        <f t="shared" si="33"/>
        <v>2.66666666666667</v>
      </c>
      <c r="I209" s="108">
        <f t="shared" si="29"/>
        <v>441.904761904762</v>
      </c>
      <c r="J209" s="23">
        <f t="shared" si="34"/>
        <v>14.2857142857143</v>
      </c>
      <c r="K209" s="23">
        <f t="shared" si="30"/>
        <v>3.61904761904762</v>
      </c>
      <c r="L209" s="23"/>
      <c r="M209" s="23">
        <f t="shared" si="31"/>
        <v>1428.57142857143</v>
      </c>
      <c r="N209" s="23">
        <f t="shared" si="35"/>
        <v>11.4285714285714</v>
      </c>
      <c r="O209" s="23">
        <f t="shared" si="32"/>
        <v>0.685714285714286</v>
      </c>
      <c r="P209" s="23"/>
      <c r="Q209" s="23"/>
      <c r="R209" s="48" cm="1">
        <f ca="1" t="array" ref="R209">SUMPRODUCT(D209:O209,$D$8:$O$8)</f>
        <v>4658.51049904762</v>
      </c>
      <c r="S209" s="23"/>
      <c r="T209" s="23"/>
      <c r="U209" s="23"/>
    </row>
    <row r="210" ht="16.5" spans="2:21">
      <c r="B210" s="105">
        <v>188</v>
      </c>
      <c r="C210" s="23"/>
      <c r="D210" s="106">
        <f t="shared" si="25"/>
        <v>2000</v>
      </c>
      <c r="E210" s="25">
        <f ca="1" t="shared" si="26"/>
        <v>5634.736</v>
      </c>
      <c r="F210" s="24">
        <f t="shared" si="27"/>
        <v>542.857142857143</v>
      </c>
      <c r="G210" s="23">
        <f t="shared" si="28"/>
        <v>0.366666666666667</v>
      </c>
      <c r="H210" s="23">
        <f t="shared" si="33"/>
        <v>2.66666666666667</v>
      </c>
      <c r="I210" s="108">
        <f t="shared" si="29"/>
        <v>441.904761904762</v>
      </c>
      <c r="J210" s="23">
        <f t="shared" si="34"/>
        <v>14.2857142857143</v>
      </c>
      <c r="K210" s="23">
        <f t="shared" si="30"/>
        <v>3.61904761904762</v>
      </c>
      <c r="L210" s="23"/>
      <c r="M210" s="23">
        <f t="shared" si="31"/>
        <v>1428.57142857143</v>
      </c>
      <c r="N210" s="23">
        <f t="shared" si="35"/>
        <v>11.4285714285714</v>
      </c>
      <c r="O210" s="23">
        <f t="shared" si="32"/>
        <v>0.685714285714286</v>
      </c>
      <c r="P210" s="23"/>
      <c r="Q210" s="23"/>
      <c r="R210" s="48" cm="1">
        <f ca="1" t="array" ref="R210">SUMPRODUCT(D210:O210,$D$8:$O$8)</f>
        <v>4658.51049904762</v>
      </c>
      <c r="S210" s="23"/>
      <c r="T210" s="23"/>
      <c r="U210" s="23"/>
    </row>
    <row r="211" ht="16.5" spans="2:21">
      <c r="B211" s="104">
        <v>189</v>
      </c>
      <c r="C211" s="23"/>
      <c r="D211" s="106">
        <f t="shared" si="25"/>
        <v>2000</v>
      </c>
      <c r="E211" s="25">
        <f ca="1" t="shared" si="26"/>
        <v>5634.736</v>
      </c>
      <c r="F211" s="24">
        <f t="shared" si="27"/>
        <v>542.857142857143</v>
      </c>
      <c r="G211" s="23">
        <f t="shared" si="28"/>
        <v>0.366666666666667</v>
      </c>
      <c r="H211" s="23">
        <f t="shared" si="33"/>
        <v>2.66666666666667</v>
      </c>
      <c r="I211" s="108">
        <f t="shared" si="29"/>
        <v>441.904761904762</v>
      </c>
      <c r="J211" s="23">
        <f t="shared" si="34"/>
        <v>14.2857142857143</v>
      </c>
      <c r="K211" s="23">
        <f t="shared" si="30"/>
        <v>3.61904761904762</v>
      </c>
      <c r="L211" s="23"/>
      <c r="M211" s="23">
        <f t="shared" si="31"/>
        <v>1428.57142857143</v>
      </c>
      <c r="N211" s="23">
        <f t="shared" si="35"/>
        <v>11.4285714285714</v>
      </c>
      <c r="O211" s="23">
        <f t="shared" si="32"/>
        <v>0.685714285714286</v>
      </c>
      <c r="P211" s="23"/>
      <c r="Q211" s="23"/>
      <c r="R211" s="48" cm="1">
        <f ca="1" t="array" ref="R211">SUMPRODUCT(D211:O211,$D$8:$O$8)</f>
        <v>4658.51049904762</v>
      </c>
      <c r="S211" s="23"/>
      <c r="T211" s="23"/>
      <c r="U211" s="23"/>
    </row>
    <row r="212" ht="16.5" spans="2:21">
      <c r="B212" s="105">
        <v>190</v>
      </c>
      <c r="C212" s="23"/>
      <c r="D212" s="106">
        <f t="shared" si="25"/>
        <v>2000</v>
      </c>
      <c r="E212" s="25">
        <f ca="1" t="shared" si="26"/>
        <v>5634.736</v>
      </c>
      <c r="F212" s="24">
        <f t="shared" si="27"/>
        <v>542.857142857143</v>
      </c>
      <c r="G212" s="23">
        <f t="shared" si="28"/>
        <v>0.366666666666667</v>
      </c>
      <c r="H212" s="23">
        <f t="shared" si="33"/>
        <v>2.66666666666667</v>
      </c>
      <c r="I212" s="108">
        <f t="shared" si="29"/>
        <v>441.904761904762</v>
      </c>
      <c r="J212" s="23">
        <f t="shared" si="34"/>
        <v>14.2857142857143</v>
      </c>
      <c r="K212" s="23">
        <f t="shared" si="30"/>
        <v>3.61904761904762</v>
      </c>
      <c r="L212" s="23"/>
      <c r="M212" s="23">
        <f t="shared" si="31"/>
        <v>1428.57142857143</v>
      </c>
      <c r="N212" s="23">
        <f t="shared" si="35"/>
        <v>11.4285714285714</v>
      </c>
      <c r="O212" s="23">
        <f t="shared" si="32"/>
        <v>0.685714285714286</v>
      </c>
      <c r="P212" s="23"/>
      <c r="Q212" s="23"/>
      <c r="R212" s="48" cm="1">
        <f ca="1" t="array" ref="R212">SUMPRODUCT(D212:O212,$D$8:$O$8)</f>
        <v>4658.51049904762</v>
      </c>
      <c r="S212" s="23"/>
      <c r="T212" s="23"/>
      <c r="U212" s="23"/>
    </row>
    <row r="213" ht="16.5" spans="2:21">
      <c r="B213" s="104">
        <v>191</v>
      </c>
      <c r="C213" s="23"/>
      <c r="D213" s="106">
        <f t="shared" si="25"/>
        <v>2000</v>
      </c>
      <c r="E213" s="25">
        <f ca="1" t="shared" si="26"/>
        <v>5634.736</v>
      </c>
      <c r="F213" s="24">
        <f t="shared" si="27"/>
        <v>542.857142857143</v>
      </c>
      <c r="G213" s="23">
        <f t="shared" si="28"/>
        <v>0.366666666666667</v>
      </c>
      <c r="H213" s="23">
        <f t="shared" si="33"/>
        <v>2.66666666666667</v>
      </c>
      <c r="I213" s="108">
        <f t="shared" si="29"/>
        <v>441.904761904762</v>
      </c>
      <c r="J213" s="23">
        <f t="shared" si="34"/>
        <v>14.2857142857143</v>
      </c>
      <c r="K213" s="23">
        <f t="shared" si="30"/>
        <v>3.61904761904762</v>
      </c>
      <c r="L213" s="23"/>
      <c r="M213" s="23">
        <f t="shared" si="31"/>
        <v>1428.57142857143</v>
      </c>
      <c r="N213" s="23">
        <f t="shared" si="35"/>
        <v>11.4285714285714</v>
      </c>
      <c r="O213" s="23">
        <f t="shared" si="32"/>
        <v>0.685714285714286</v>
      </c>
      <c r="P213" s="23"/>
      <c r="Q213" s="23"/>
      <c r="R213" s="48" cm="1">
        <f ca="1" t="array" ref="R213">SUMPRODUCT(D213:O213,$D$8:$O$8)</f>
        <v>4658.51049904762</v>
      </c>
      <c r="S213" s="23"/>
      <c r="T213" s="23"/>
      <c r="U213" s="23"/>
    </row>
    <row r="214" ht="16.5" spans="2:21">
      <c r="B214" s="105">
        <v>192</v>
      </c>
      <c r="C214" s="23"/>
      <c r="D214" s="106">
        <f t="shared" si="25"/>
        <v>2000</v>
      </c>
      <c r="E214" s="25">
        <f ca="1" t="shared" si="26"/>
        <v>5634.736</v>
      </c>
      <c r="F214" s="24">
        <f t="shared" si="27"/>
        <v>542.857142857143</v>
      </c>
      <c r="G214" s="23">
        <f t="shared" si="28"/>
        <v>0.366666666666667</v>
      </c>
      <c r="H214" s="23">
        <f t="shared" si="33"/>
        <v>2.66666666666667</v>
      </c>
      <c r="I214" s="108">
        <f t="shared" si="29"/>
        <v>441.904761904762</v>
      </c>
      <c r="J214" s="23">
        <f t="shared" si="34"/>
        <v>14.2857142857143</v>
      </c>
      <c r="K214" s="23">
        <f t="shared" si="30"/>
        <v>3.61904761904762</v>
      </c>
      <c r="L214" s="23"/>
      <c r="M214" s="23">
        <f t="shared" si="31"/>
        <v>1428.57142857143</v>
      </c>
      <c r="N214" s="23">
        <f t="shared" si="35"/>
        <v>11.4285714285714</v>
      </c>
      <c r="O214" s="23">
        <f t="shared" si="32"/>
        <v>0.685714285714286</v>
      </c>
      <c r="P214" s="23"/>
      <c r="Q214" s="23"/>
      <c r="R214" s="48" cm="1">
        <f ca="1" t="array" ref="R214">SUMPRODUCT(D214:O214,$D$8:$O$8)</f>
        <v>4658.51049904762</v>
      </c>
      <c r="S214" s="23"/>
      <c r="T214" s="23"/>
      <c r="U214" s="23"/>
    </row>
    <row r="215" ht="16.5" spans="2:21">
      <c r="B215" s="104">
        <v>193</v>
      </c>
      <c r="C215" s="23"/>
      <c r="D215" s="106">
        <f t="shared" si="25"/>
        <v>2000</v>
      </c>
      <c r="E215" s="25">
        <f ca="1" t="shared" si="26"/>
        <v>5634.736</v>
      </c>
      <c r="F215" s="24">
        <f t="shared" si="27"/>
        <v>542.857142857143</v>
      </c>
      <c r="G215" s="23">
        <f t="shared" si="28"/>
        <v>0.366666666666667</v>
      </c>
      <c r="H215" s="23">
        <f t="shared" si="33"/>
        <v>2.66666666666667</v>
      </c>
      <c r="I215" s="108">
        <f t="shared" si="29"/>
        <v>441.904761904762</v>
      </c>
      <c r="J215" s="23">
        <f t="shared" si="34"/>
        <v>14.2857142857143</v>
      </c>
      <c r="K215" s="23">
        <f t="shared" si="30"/>
        <v>3.61904761904762</v>
      </c>
      <c r="L215" s="23"/>
      <c r="M215" s="23">
        <f t="shared" si="31"/>
        <v>1428.57142857143</v>
      </c>
      <c r="N215" s="23">
        <f t="shared" si="35"/>
        <v>11.4285714285714</v>
      </c>
      <c r="O215" s="23">
        <f t="shared" si="32"/>
        <v>0.685714285714286</v>
      </c>
      <c r="P215" s="23"/>
      <c r="Q215" s="23"/>
      <c r="R215" s="48" cm="1">
        <f ca="1" t="array" ref="R215">SUMPRODUCT(D215:O215,$D$8:$O$8)</f>
        <v>4658.51049904762</v>
      </c>
      <c r="S215" s="23"/>
      <c r="T215" s="23"/>
      <c r="U215" s="23"/>
    </row>
    <row r="216" ht="16.5" spans="2:21">
      <c r="B216" s="105">
        <v>194</v>
      </c>
      <c r="C216" s="23"/>
      <c r="D216" s="106">
        <f t="shared" ref="D216:D279" si="36">$D$12+$D$13+$D$14</f>
        <v>2000</v>
      </c>
      <c r="E216" s="25">
        <f ca="1" t="shared" si="26"/>
        <v>5634.736</v>
      </c>
      <c r="F216" s="24">
        <f t="shared" si="27"/>
        <v>542.857142857143</v>
      </c>
      <c r="G216" s="23">
        <f t="shared" si="28"/>
        <v>0.366666666666667</v>
      </c>
      <c r="H216" s="23">
        <f t="shared" si="33"/>
        <v>2.66666666666667</v>
      </c>
      <c r="I216" s="108">
        <f t="shared" si="29"/>
        <v>441.904761904762</v>
      </c>
      <c r="J216" s="23">
        <f t="shared" si="34"/>
        <v>14.2857142857143</v>
      </c>
      <c r="K216" s="23">
        <f t="shared" si="30"/>
        <v>3.61904761904762</v>
      </c>
      <c r="L216" s="23"/>
      <c r="M216" s="23">
        <f t="shared" si="31"/>
        <v>1428.57142857143</v>
      </c>
      <c r="N216" s="23">
        <f t="shared" si="35"/>
        <v>11.4285714285714</v>
      </c>
      <c r="O216" s="23">
        <f t="shared" si="32"/>
        <v>0.685714285714286</v>
      </c>
      <c r="P216" s="23"/>
      <c r="Q216" s="23"/>
      <c r="R216" s="48" cm="1">
        <f ca="1" t="array" ref="R216">SUMPRODUCT(D216:O216,$D$8:$O$8)</f>
        <v>4658.51049904762</v>
      </c>
      <c r="S216" s="23"/>
      <c r="T216" s="23"/>
      <c r="U216" s="23"/>
    </row>
    <row r="217" ht="16.5" spans="2:21">
      <c r="B217" s="104">
        <v>195</v>
      </c>
      <c r="C217" s="23"/>
      <c r="D217" s="106">
        <f t="shared" si="36"/>
        <v>2000</v>
      </c>
      <c r="E217" s="25">
        <f ca="1" t="shared" si="26"/>
        <v>5634.736</v>
      </c>
      <c r="F217" s="24">
        <f t="shared" si="27"/>
        <v>542.857142857143</v>
      </c>
      <c r="G217" s="23">
        <f t="shared" si="28"/>
        <v>0.366666666666667</v>
      </c>
      <c r="H217" s="23">
        <f t="shared" si="33"/>
        <v>2.66666666666667</v>
      </c>
      <c r="I217" s="108">
        <f t="shared" si="29"/>
        <v>441.904761904762</v>
      </c>
      <c r="J217" s="23">
        <f t="shared" si="34"/>
        <v>14.2857142857143</v>
      </c>
      <c r="K217" s="23">
        <f t="shared" si="30"/>
        <v>3.61904761904762</v>
      </c>
      <c r="L217" s="23"/>
      <c r="M217" s="23">
        <f t="shared" si="31"/>
        <v>1428.57142857143</v>
      </c>
      <c r="N217" s="23">
        <f t="shared" si="35"/>
        <v>11.4285714285714</v>
      </c>
      <c r="O217" s="23">
        <f t="shared" si="32"/>
        <v>0.685714285714286</v>
      </c>
      <c r="P217" s="23"/>
      <c r="Q217" s="23"/>
      <c r="R217" s="48" cm="1">
        <f ca="1" t="array" ref="R217">SUMPRODUCT(D217:O217,$D$8:$O$8)</f>
        <v>4658.51049904762</v>
      </c>
      <c r="S217" s="23"/>
      <c r="T217" s="23"/>
      <c r="U217" s="23"/>
    </row>
    <row r="218" ht="16.5" spans="2:21">
      <c r="B218" s="105">
        <v>196</v>
      </c>
      <c r="C218" s="23"/>
      <c r="D218" s="106">
        <f t="shared" si="36"/>
        <v>2000</v>
      </c>
      <c r="E218" s="25">
        <f ca="1" t="shared" ref="E218:E281" si="37">$E$12+$E$13+$F$3*$F$4+IF(B218&gt;$I$5+3,$I$3*$I$4,0)+OFFSET($Y$9,MATCH(B218,$X$10:$X$39,1),0)</f>
        <v>5634.736</v>
      </c>
      <c r="F218" s="24">
        <f t="shared" ref="F218:F281" si="38">$F$12+$F$13+$F$14+$F$18/7+$C$3*$C$4+IF(B218&gt;$J$5+3,$J$3*$J$4,0)</f>
        <v>542.857142857143</v>
      </c>
      <c r="G218" s="23">
        <f t="shared" ref="G218:G281" si="39">($G$15+$G$19/2/5)/3</f>
        <v>0.366666666666667</v>
      </c>
      <c r="H218" s="23">
        <f t="shared" si="33"/>
        <v>2.66666666666667</v>
      </c>
      <c r="I218" s="108">
        <f t="shared" ref="I218:I281" si="40">$I$13+$I$14+$I$16/3+$I$19/7/5</f>
        <v>441.904761904762</v>
      </c>
      <c r="J218" s="23">
        <f t="shared" si="34"/>
        <v>14.2857142857143</v>
      </c>
      <c r="K218" s="23">
        <f t="shared" ref="K218:K281" si="41">$K$16/3+$K$19/7/5</f>
        <v>3.61904761904762</v>
      </c>
      <c r="L218" s="23"/>
      <c r="M218" s="23">
        <f t="shared" ref="M218:M281" si="42">($M$18+$M$19/5)/7+$M$14</f>
        <v>1428.57142857143</v>
      </c>
      <c r="N218" s="23">
        <f t="shared" si="35"/>
        <v>11.4285714285714</v>
      </c>
      <c r="O218" s="23">
        <f t="shared" ref="O218:O281" si="43">$O$19/7/5</f>
        <v>0.685714285714286</v>
      </c>
      <c r="P218" s="23"/>
      <c r="Q218" s="23"/>
      <c r="R218" s="48" cm="1">
        <f ca="1" t="array" ref="R218">SUMPRODUCT(D218:O218,$D$8:$O$8)</f>
        <v>4658.51049904762</v>
      </c>
      <c r="S218" s="23"/>
      <c r="T218" s="23"/>
      <c r="U218" s="23"/>
    </row>
    <row r="219" ht="16.5" spans="2:21">
      <c r="B219" s="104">
        <v>197</v>
      </c>
      <c r="C219" s="23"/>
      <c r="D219" s="106">
        <f t="shared" si="36"/>
        <v>2000</v>
      </c>
      <c r="E219" s="25">
        <f ca="1" t="shared" si="37"/>
        <v>5634.736</v>
      </c>
      <c r="F219" s="24">
        <f t="shared" si="38"/>
        <v>542.857142857143</v>
      </c>
      <c r="G219" s="23">
        <f t="shared" si="39"/>
        <v>0.366666666666667</v>
      </c>
      <c r="H219" s="23">
        <f t="shared" ref="H219:H282" si="44">$H$14+$H$15/3</f>
        <v>2.66666666666667</v>
      </c>
      <c r="I219" s="108">
        <f t="shared" si="40"/>
        <v>441.904761904762</v>
      </c>
      <c r="J219" s="23">
        <f t="shared" ref="J219:J282" si="45">$J$18/7</f>
        <v>14.2857142857143</v>
      </c>
      <c r="K219" s="23">
        <f t="shared" si="41"/>
        <v>3.61904761904762</v>
      </c>
      <c r="L219" s="23"/>
      <c r="M219" s="23">
        <f t="shared" si="42"/>
        <v>1428.57142857143</v>
      </c>
      <c r="N219" s="23">
        <f t="shared" ref="N219:N282" si="46">$N$12+$N$18/7</f>
        <v>11.4285714285714</v>
      </c>
      <c r="O219" s="23">
        <f t="shared" si="43"/>
        <v>0.685714285714286</v>
      </c>
      <c r="P219" s="23"/>
      <c r="Q219" s="23"/>
      <c r="R219" s="48" cm="1">
        <f ca="1" t="array" ref="R219">SUMPRODUCT(D219:O219,$D$8:$O$8)</f>
        <v>4658.51049904762</v>
      </c>
      <c r="S219" s="23"/>
      <c r="T219" s="23"/>
      <c r="U219" s="23"/>
    </row>
    <row r="220" ht="16.5" spans="2:21">
      <c r="B220" s="105">
        <v>198</v>
      </c>
      <c r="C220" s="23"/>
      <c r="D220" s="106">
        <f t="shared" si="36"/>
        <v>2000</v>
      </c>
      <c r="E220" s="25">
        <f ca="1" t="shared" si="37"/>
        <v>5634.736</v>
      </c>
      <c r="F220" s="24">
        <f t="shared" si="38"/>
        <v>542.857142857143</v>
      </c>
      <c r="G220" s="23">
        <f t="shared" si="39"/>
        <v>0.366666666666667</v>
      </c>
      <c r="H220" s="23">
        <f t="shared" si="44"/>
        <v>2.66666666666667</v>
      </c>
      <c r="I220" s="108">
        <f t="shared" si="40"/>
        <v>441.904761904762</v>
      </c>
      <c r="J220" s="23">
        <f t="shared" si="45"/>
        <v>14.2857142857143</v>
      </c>
      <c r="K220" s="23">
        <f t="shared" si="41"/>
        <v>3.61904761904762</v>
      </c>
      <c r="L220" s="23"/>
      <c r="M220" s="23">
        <f t="shared" si="42"/>
        <v>1428.57142857143</v>
      </c>
      <c r="N220" s="23">
        <f t="shared" si="46"/>
        <v>11.4285714285714</v>
      </c>
      <c r="O220" s="23">
        <f t="shared" si="43"/>
        <v>0.685714285714286</v>
      </c>
      <c r="P220" s="23"/>
      <c r="Q220" s="23"/>
      <c r="R220" s="48" cm="1">
        <f ca="1" t="array" ref="R220">SUMPRODUCT(D220:O220,$D$8:$O$8)</f>
        <v>4658.51049904762</v>
      </c>
      <c r="S220" s="23"/>
      <c r="T220" s="23"/>
      <c r="U220" s="23"/>
    </row>
    <row r="221" ht="16.5" spans="2:21">
      <c r="B221" s="104">
        <v>199</v>
      </c>
      <c r="C221" s="23"/>
      <c r="D221" s="106">
        <f t="shared" si="36"/>
        <v>2000</v>
      </c>
      <c r="E221" s="25">
        <f ca="1" t="shared" si="37"/>
        <v>5634.736</v>
      </c>
      <c r="F221" s="24">
        <f t="shared" si="38"/>
        <v>542.857142857143</v>
      </c>
      <c r="G221" s="23">
        <f t="shared" si="39"/>
        <v>0.366666666666667</v>
      </c>
      <c r="H221" s="23">
        <f t="shared" si="44"/>
        <v>2.66666666666667</v>
      </c>
      <c r="I221" s="108">
        <f t="shared" si="40"/>
        <v>441.904761904762</v>
      </c>
      <c r="J221" s="23">
        <f t="shared" si="45"/>
        <v>14.2857142857143</v>
      </c>
      <c r="K221" s="23">
        <f t="shared" si="41"/>
        <v>3.61904761904762</v>
      </c>
      <c r="L221" s="23"/>
      <c r="M221" s="23">
        <f t="shared" si="42"/>
        <v>1428.57142857143</v>
      </c>
      <c r="N221" s="23">
        <f t="shared" si="46"/>
        <v>11.4285714285714</v>
      </c>
      <c r="O221" s="23">
        <f t="shared" si="43"/>
        <v>0.685714285714286</v>
      </c>
      <c r="P221" s="23"/>
      <c r="Q221" s="23"/>
      <c r="R221" s="48" cm="1">
        <f ca="1" t="array" ref="R221">SUMPRODUCT(D221:O221,$D$8:$O$8)</f>
        <v>4658.51049904762</v>
      </c>
      <c r="S221" s="23"/>
      <c r="T221" s="23"/>
      <c r="U221" s="23"/>
    </row>
    <row r="222" ht="16.5" spans="2:21">
      <c r="B222" s="105">
        <v>200</v>
      </c>
      <c r="C222" s="23"/>
      <c r="D222" s="106">
        <f t="shared" si="36"/>
        <v>2000</v>
      </c>
      <c r="E222" s="25">
        <f ca="1" t="shared" si="37"/>
        <v>5634.736</v>
      </c>
      <c r="F222" s="24">
        <f t="shared" si="38"/>
        <v>542.857142857143</v>
      </c>
      <c r="G222" s="23">
        <f t="shared" si="39"/>
        <v>0.366666666666667</v>
      </c>
      <c r="H222" s="23">
        <f t="shared" si="44"/>
        <v>2.66666666666667</v>
      </c>
      <c r="I222" s="108">
        <f t="shared" si="40"/>
        <v>441.904761904762</v>
      </c>
      <c r="J222" s="23">
        <f t="shared" si="45"/>
        <v>14.2857142857143</v>
      </c>
      <c r="K222" s="23">
        <f t="shared" si="41"/>
        <v>3.61904761904762</v>
      </c>
      <c r="L222" s="23"/>
      <c r="M222" s="23">
        <f t="shared" si="42"/>
        <v>1428.57142857143</v>
      </c>
      <c r="N222" s="23">
        <f t="shared" si="46"/>
        <v>11.4285714285714</v>
      </c>
      <c r="O222" s="23">
        <f t="shared" si="43"/>
        <v>0.685714285714286</v>
      </c>
      <c r="P222" s="23"/>
      <c r="Q222" s="23"/>
      <c r="R222" s="48" cm="1">
        <f ca="1" t="array" ref="R222">SUMPRODUCT(D222:O222,$D$8:$O$8)</f>
        <v>4658.51049904762</v>
      </c>
      <c r="S222" s="23"/>
      <c r="T222" s="23"/>
      <c r="U222" s="23"/>
    </row>
    <row r="223" ht="16.5" spans="2:21">
      <c r="B223" s="104">
        <v>201</v>
      </c>
      <c r="C223" s="23"/>
      <c r="D223" s="106">
        <f t="shared" si="36"/>
        <v>2000</v>
      </c>
      <c r="E223" s="25">
        <f ca="1" t="shared" si="37"/>
        <v>5634.736</v>
      </c>
      <c r="F223" s="24">
        <f t="shared" si="38"/>
        <v>542.857142857143</v>
      </c>
      <c r="G223" s="23">
        <f t="shared" si="39"/>
        <v>0.366666666666667</v>
      </c>
      <c r="H223" s="23">
        <f t="shared" si="44"/>
        <v>2.66666666666667</v>
      </c>
      <c r="I223" s="108">
        <f t="shared" si="40"/>
        <v>441.904761904762</v>
      </c>
      <c r="J223" s="23">
        <f t="shared" si="45"/>
        <v>14.2857142857143</v>
      </c>
      <c r="K223" s="23">
        <f t="shared" si="41"/>
        <v>3.61904761904762</v>
      </c>
      <c r="L223" s="23"/>
      <c r="M223" s="23">
        <f t="shared" si="42"/>
        <v>1428.57142857143</v>
      </c>
      <c r="N223" s="23">
        <f t="shared" si="46"/>
        <v>11.4285714285714</v>
      </c>
      <c r="O223" s="23">
        <f t="shared" si="43"/>
        <v>0.685714285714286</v>
      </c>
      <c r="P223" s="23"/>
      <c r="Q223" s="23"/>
      <c r="R223" s="48" cm="1">
        <f ca="1" t="array" ref="R223">SUMPRODUCT(D223:O223,$D$8:$O$8)</f>
        <v>4658.51049904762</v>
      </c>
      <c r="S223" s="23"/>
      <c r="T223" s="23"/>
      <c r="U223" s="23"/>
    </row>
    <row r="224" ht="16.5" spans="2:21">
      <c r="B224" s="105">
        <v>202</v>
      </c>
      <c r="C224" s="23"/>
      <c r="D224" s="106">
        <f t="shared" si="36"/>
        <v>2000</v>
      </c>
      <c r="E224" s="25">
        <f ca="1" t="shared" si="37"/>
        <v>5634.736</v>
      </c>
      <c r="F224" s="24">
        <f t="shared" si="38"/>
        <v>542.857142857143</v>
      </c>
      <c r="G224" s="23">
        <f t="shared" si="39"/>
        <v>0.366666666666667</v>
      </c>
      <c r="H224" s="23">
        <f t="shared" si="44"/>
        <v>2.66666666666667</v>
      </c>
      <c r="I224" s="108">
        <f t="shared" si="40"/>
        <v>441.904761904762</v>
      </c>
      <c r="J224" s="23">
        <f t="shared" si="45"/>
        <v>14.2857142857143</v>
      </c>
      <c r="K224" s="23">
        <f t="shared" si="41"/>
        <v>3.61904761904762</v>
      </c>
      <c r="L224" s="23"/>
      <c r="M224" s="23">
        <f t="shared" si="42"/>
        <v>1428.57142857143</v>
      </c>
      <c r="N224" s="23">
        <f t="shared" si="46"/>
        <v>11.4285714285714</v>
      </c>
      <c r="O224" s="23">
        <f t="shared" si="43"/>
        <v>0.685714285714286</v>
      </c>
      <c r="P224" s="23"/>
      <c r="Q224" s="23"/>
      <c r="R224" s="48" cm="1">
        <f ca="1" t="array" ref="R224">SUMPRODUCT(D224:O224,$D$8:$O$8)</f>
        <v>4658.51049904762</v>
      </c>
      <c r="S224" s="23"/>
      <c r="T224" s="23"/>
      <c r="U224" s="23"/>
    </row>
    <row r="225" ht="16.5" spans="2:21">
      <c r="B225" s="104">
        <v>203</v>
      </c>
      <c r="C225" s="23"/>
      <c r="D225" s="106">
        <f t="shared" si="36"/>
        <v>2000</v>
      </c>
      <c r="E225" s="25">
        <f ca="1" t="shared" si="37"/>
        <v>5634.736</v>
      </c>
      <c r="F225" s="24">
        <f t="shared" si="38"/>
        <v>542.857142857143</v>
      </c>
      <c r="G225" s="23">
        <f t="shared" si="39"/>
        <v>0.366666666666667</v>
      </c>
      <c r="H225" s="23">
        <f t="shared" si="44"/>
        <v>2.66666666666667</v>
      </c>
      <c r="I225" s="108">
        <f t="shared" si="40"/>
        <v>441.904761904762</v>
      </c>
      <c r="J225" s="23">
        <f t="shared" si="45"/>
        <v>14.2857142857143</v>
      </c>
      <c r="K225" s="23">
        <f t="shared" si="41"/>
        <v>3.61904761904762</v>
      </c>
      <c r="L225" s="23"/>
      <c r="M225" s="23">
        <f t="shared" si="42"/>
        <v>1428.57142857143</v>
      </c>
      <c r="N225" s="23">
        <f t="shared" si="46"/>
        <v>11.4285714285714</v>
      </c>
      <c r="O225" s="23">
        <f t="shared" si="43"/>
        <v>0.685714285714286</v>
      </c>
      <c r="P225" s="23"/>
      <c r="Q225" s="23"/>
      <c r="R225" s="48" cm="1">
        <f ca="1" t="array" ref="R225">SUMPRODUCT(D225:O225,$D$8:$O$8)</f>
        <v>4658.51049904762</v>
      </c>
      <c r="S225" s="23"/>
      <c r="T225" s="23"/>
      <c r="U225" s="23"/>
    </row>
    <row r="226" ht="16.5" spans="2:21">
      <c r="B226" s="105">
        <v>204</v>
      </c>
      <c r="C226" s="23"/>
      <c r="D226" s="106">
        <f t="shared" si="36"/>
        <v>2000</v>
      </c>
      <c r="E226" s="25">
        <f ca="1" t="shared" si="37"/>
        <v>5676.064</v>
      </c>
      <c r="F226" s="24">
        <f t="shared" si="38"/>
        <v>542.857142857143</v>
      </c>
      <c r="G226" s="23">
        <f t="shared" si="39"/>
        <v>0.366666666666667</v>
      </c>
      <c r="H226" s="23">
        <f t="shared" si="44"/>
        <v>2.66666666666667</v>
      </c>
      <c r="I226" s="108">
        <f t="shared" si="40"/>
        <v>441.904761904762</v>
      </c>
      <c r="J226" s="23">
        <f t="shared" si="45"/>
        <v>14.2857142857143</v>
      </c>
      <c r="K226" s="23">
        <f t="shared" si="41"/>
        <v>3.61904761904762</v>
      </c>
      <c r="L226" s="23"/>
      <c r="M226" s="23">
        <f t="shared" si="42"/>
        <v>1428.57142857143</v>
      </c>
      <c r="N226" s="23">
        <f t="shared" si="46"/>
        <v>11.4285714285714</v>
      </c>
      <c r="O226" s="23">
        <f t="shared" si="43"/>
        <v>0.685714285714286</v>
      </c>
      <c r="P226" s="23"/>
      <c r="Q226" s="23"/>
      <c r="R226" s="48" cm="1">
        <f ca="1" t="array" ref="R226">SUMPRODUCT(D226:O226,$D$8:$O$8)</f>
        <v>4672.14873904762</v>
      </c>
      <c r="S226" s="23"/>
      <c r="T226" s="23"/>
      <c r="U226" s="23"/>
    </row>
    <row r="227" ht="16.5" spans="2:21">
      <c r="B227" s="104">
        <v>205</v>
      </c>
      <c r="C227" s="23"/>
      <c r="D227" s="106">
        <f t="shared" si="36"/>
        <v>2000</v>
      </c>
      <c r="E227" s="25">
        <f ca="1" t="shared" si="37"/>
        <v>5676.064</v>
      </c>
      <c r="F227" s="24">
        <f t="shared" si="38"/>
        <v>542.857142857143</v>
      </c>
      <c r="G227" s="23">
        <f t="shared" si="39"/>
        <v>0.366666666666667</v>
      </c>
      <c r="H227" s="23">
        <f t="shared" si="44"/>
        <v>2.66666666666667</v>
      </c>
      <c r="I227" s="108">
        <f t="shared" si="40"/>
        <v>441.904761904762</v>
      </c>
      <c r="J227" s="23">
        <f t="shared" si="45"/>
        <v>14.2857142857143</v>
      </c>
      <c r="K227" s="23">
        <f t="shared" si="41"/>
        <v>3.61904761904762</v>
      </c>
      <c r="L227" s="23"/>
      <c r="M227" s="23">
        <f t="shared" si="42"/>
        <v>1428.57142857143</v>
      </c>
      <c r="N227" s="23">
        <f t="shared" si="46"/>
        <v>11.4285714285714</v>
      </c>
      <c r="O227" s="23">
        <f t="shared" si="43"/>
        <v>0.685714285714286</v>
      </c>
      <c r="P227" s="23"/>
      <c r="Q227" s="23"/>
      <c r="R227" s="48" cm="1">
        <f ca="1" t="array" ref="R227">SUMPRODUCT(D227:O227,$D$8:$O$8)</f>
        <v>4672.14873904762</v>
      </c>
      <c r="S227" s="23"/>
      <c r="T227" s="23"/>
      <c r="U227" s="23"/>
    </row>
    <row r="228" ht="16.5" spans="2:21">
      <c r="B228" s="105">
        <v>206</v>
      </c>
      <c r="C228" s="23"/>
      <c r="D228" s="106">
        <f t="shared" si="36"/>
        <v>2000</v>
      </c>
      <c r="E228" s="25">
        <f ca="1" t="shared" si="37"/>
        <v>5676.064</v>
      </c>
      <c r="F228" s="24">
        <f t="shared" si="38"/>
        <v>542.857142857143</v>
      </c>
      <c r="G228" s="23">
        <f t="shared" si="39"/>
        <v>0.366666666666667</v>
      </c>
      <c r="H228" s="23">
        <f t="shared" si="44"/>
        <v>2.66666666666667</v>
      </c>
      <c r="I228" s="108">
        <f t="shared" si="40"/>
        <v>441.904761904762</v>
      </c>
      <c r="J228" s="23">
        <f t="shared" si="45"/>
        <v>14.2857142857143</v>
      </c>
      <c r="K228" s="23">
        <f t="shared" si="41"/>
        <v>3.61904761904762</v>
      </c>
      <c r="L228" s="23"/>
      <c r="M228" s="23">
        <f t="shared" si="42"/>
        <v>1428.57142857143</v>
      </c>
      <c r="N228" s="23">
        <f t="shared" si="46"/>
        <v>11.4285714285714</v>
      </c>
      <c r="O228" s="23">
        <f t="shared" si="43"/>
        <v>0.685714285714286</v>
      </c>
      <c r="P228" s="23"/>
      <c r="Q228" s="23"/>
      <c r="R228" s="48" cm="1">
        <f ca="1" t="array" ref="R228">SUMPRODUCT(D228:O228,$D$8:$O$8)</f>
        <v>4672.14873904762</v>
      </c>
      <c r="S228" s="23"/>
      <c r="T228" s="23"/>
      <c r="U228" s="23"/>
    </row>
    <row r="229" ht="16.5" spans="2:21">
      <c r="B229" s="104">
        <v>207</v>
      </c>
      <c r="C229" s="23"/>
      <c r="D229" s="106">
        <f t="shared" si="36"/>
        <v>2000</v>
      </c>
      <c r="E229" s="25">
        <f ca="1" t="shared" si="37"/>
        <v>5676.064</v>
      </c>
      <c r="F229" s="24">
        <f t="shared" si="38"/>
        <v>542.857142857143</v>
      </c>
      <c r="G229" s="23">
        <f t="shared" si="39"/>
        <v>0.366666666666667</v>
      </c>
      <c r="H229" s="23">
        <f t="shared" si="44"/>
        <v>2.66666666666667</v>
      </c>
      <c r="I229" s="108">
        <f t="shared" si="40"/>
        <v>441.904761904762</v>
      </c>
      <c r="J229" s="23">
        <f t="shared" si="45"/>
        <v>14.2857142857143</v>
      </c>
      <c r="K229" s="23">
        <f t="shared" si="41"/>
        <v>3.61904761904762</v>
      </c>
      <c r="L229" s="23"/>
      <c r="M229" s="23">
        <f t="shared" si="42"/>
        <v>1428.57142857143</v>
      </c>
      <c r="N229" s="23">
        <f t="shared" si="46"/>
        <v>11.4285714285714</v>
      </c>
      <c r="O229" s="23">
        <f t="shared" si="43"/>
        <v>0.685714285714286</v>
      </c>
      <c r="P229" s="23"/>
      <c r="Q229" s="23"/>
      <c r="R229" s="48" cm="1">
        <f ca="1" t="array" ref="R229">SUMPRODUCT(D229:O229,$D$8:$O$8)</f>
        <v>4672.14873904762</v>
      </c>
      <c r="S229" s="23"/>
      <c r="T229" s="23"/>
      <c r="U229" s="23"/>
    </row>
    <row r="230" ht="16.5" spans="2:21">
      <c r="B230" s="105">
        <v>208</v>
      </c>
      <c r="C230" s="23"/>
      <c r="D230" s="106">
        <f t="shared" si="36"/>
        <v>2000</v>
      </c>
      <c r="E230" s="25">
        <f ca="1" t="shared" si="37"/>
        <v>5676.064</v>
      </c>
      <c r="F230" s="24">
        <f t="shared" si="38"/>
        <v>542.857142857143</v>
      </c>
      <c r="G230" s="23">
        <f t="shared" si="39"/>
        <v>0.366666666666667</v>
      </c>
      <c r="H230" s="23">
        <f t="shared" si="44"/>
        <v>2.66666666666667</v>
      </c>
      <c r="I230" s="108">
        <f t="shared" si="40"/>
        <v>441.904761904762</v>
      </c>
      <c r="J230" s="23">
        <f t="shared" si="45"/>
        <v>14.2857142857143</v>
      </c>
      <c r="K230" s="23">
        <f t="shared" si="41"/>
        <v>3.61904761904762</v>
      </c>
      <c r="L230" s="23"/>
      <c r="M230" s="23">
        <f t="shared" si="42"/>
        <v>1428.57142857143</v>
      </c>
      <c r="N230" s="23">
        <f t="shared" si="46"/>
        <v>11.4285714285714</v>
      </c>
      <c r="O230" s="23">
        <f t="shared" si="43"/>
        <v>0.685714285714286</v>
      </c>
      <c r="P230" s="23"/>
      <c r="Q230" s="23"/>
      <c r="R230" s="48" cm="1">
        <f ca="1" t="array" ref="R230">SUMPRODUCT(D230:O230,$D$8:$O$8)</f>
        <v>4672.14873904762</v>
      </c>
      <c r="S230" s="23"/>
      <c r="T230" s="23"/>
      <c r="U230" s="23"/>
    </row>
    <row r="231" ht="16.5" spans="2:21">
      <c r="B231" s="104">
        <v>209</v>
      </c>
      <c r="C231" s="23"/>
      <c r="D231" s="106">
        <f t="shared" si="36"/>
        <v>2000</v>
      </c>
      <c r="E231" s="25">
        <f ca="1" t="shared" si="37"/>
        <v>5676.064</v>
      </c>
      <c r="F231" s="24">
        <f t="shared" si="38"/>
        <v>542.857142857143</v>
      </c>
      <c r="G231" s="23">
        <f t="shared" si="39"/>
        <v>0.366666666666667</v>
      </c>
      <c r="H231" s="23">
        <f t="shared" si="44"/>
        <v>2.66666666666667</v>
      </c>
      <c r="I231" s="108">
        <f t="shared" si="40"/>
        <v>441.904761904762</v>
      </c>
      <c r="J231" s="23">
        <f t="shared" si="45"/>
        <v>14.2857142857143</v>
      </c>
      <c r="K231" s="23">
        <f t="shared" si="41"/>
        <v>3.61904761904762</v>
      </c>
      <c r="L231" s="23"/>
      <c r="M231" s="23">
        <f t="shared" si="42"/>
        <v>1428.57142857143</v>
      </c>
      <c r="N231" s="23">
        <f t="shared" si="46"/>
        <v>11.4285714285714</v>
      </c>
      <c r="O231" s="23">
        <f t="shared" si="43"/>
        <v>0.685714285714286</v>
      </c>
      <c r="P231" s="23"/>
      <c r="Q231" s="23"/>
      <c r="R231" s="48" cm="1">
        <f ca="1" t="array" ref="R231">SUMPRODUCT(D231:O231,$D$8:$O$8)</f>
        <v>4672.14873904762</v>
      </c>
      <c r="S231" s="23"/>
      <c r="T231" s="23"/>
      <c r="U231" s="23"/>
    </row>
    <row r="232" ht="16.5" spans="2:21">
      <c r="B232" s="105">
        <v>210</v>
      </c>
      <c r="C232" s="23"/>
      <c r="D232" s="106">
        <f t="shared" si="36"/>
        <v>2000</v>
      </c>
      <c r="E232" s="25">
        <f ca="1" t="shared" si="37"/>
        <v>5676.064</v>
      </c>
      <c r="F232" s="24">
        <f t="shared" si="38"/>
        <v>542.857142857143</v>
      </c>
      <c r="G232" s="23">
        <f t="shared" si="39"/>
        <v>0.366666666666667</v>
      </c>
      <c r="H232" s="23">
        <f t="shared" si="44"/>
        <v>2.66666666666667</v>
      </c>
      <c r="I232" s="108">
        <f t="shared" si="40"/>
        <v>441.904761904762</v>
      </c>
      <c r="J232" s="23">
        <f t="shared" si="45"/>
        <v>14.2857142857143</v>
      </c>
      <c r="K232" s="23">
        <f t="shared" si="41"/>
        <v>3.61904761904762</v>
      </c>
      <c r="L232" s="23"/>
      <c r="M232" s="23">
        <f t="shared" si="42"/>
        <v>1428.57142857143</v>
      </c>
      <c r="N232" s="23">
        <f t="shared" si="46"/>
        <v>11.4285714285714</v>
      </c>
      <c r="O232" s="23">
        <f t="shared" si="43"/>
        <v>0.685714285714286</v>
      </c>
      <c r="P232" s="23"/>
      <c r="Q232" s="23"/>
      <c r="R232" s="48" cm="1">
        <f ca="1" t="array" ref="R232">SUMPRODUCT(D232:O232,$D$8:$O$8)</f>
        <v>4672.14873904762</v>
      </c>
      <c r="S232" s="23"/>
      <c r="T232" s="23"/>
      <c r="U232" s="23"/>
    </row>
    <row r="233" ht="16.5" spans="2:21">
      <c r="B233" s="104">
        <v>211</v>
      </c>
      <c r="C233" s="23"/>
      <c r="D233" s="106">
        <f t="shared" si="36"/>
        <v>2000</v>
      </c>
      <c r="E233" s="25">
        <f ca="1" t="shared" si="37"/>
        <v>5676.064</v>
      </c>
      <c r="F233" s="24">
        <f t="shared" si="38"/>
        <v>542.857142857143</v>
      </c>
      <c r="G233" s="23">
        <f t="shared" si="39"/>
        <v>0.366666666666667</v>
      </c>
      <c r="H233" s="23">
        <f t="shared" si="44"/>
        <v>2.66666666666667</v>
      </c>
      <c r="I233" s="108">
        <f t="shared" si="40"/>
        <v>441.904761904762</v>
      </c>
      <c r="J233" s="23">
        <f t="shared" si="45"/>
        <v>14.2857142857143</v>
      </c>
      <c r="K233" s="23">
        <f t="shared" si="41"/>
        <v>3.61904761904762</v>
      </c>
      <c r="L233" s="23"/>
      <c r="M233" s="23">
        <f t="shared" si="42"/>
        <v>1428.57142857143</v>
      </c>
      <c r="N233" s="23">
        <f t="shared" si="46"/>
        <v>11.4285714285714</v>
      </c>
      <c r="O233" s="23">
        <f t="shared" si="43"/>
        <v>0.685714285714286</v>
      </c>
      <c r="P233" s="23"/>
      <c r="Q233" s="23"/>
      <c r="R233" s="48" cm="1">
        <f ca="1" t="array" ref="R233">SUMPRODUCT(D233:O233,$D$8:$O$8)</f>
        <v>4672.14873904762</v>
      </c>
      <c r="S233" s="23"/>
      <c r="T233" s="23"/>
      <c r="U233" s="23"/>
    </row>
    <row r="234" ht="16.5" spans="2:21">
      <c r="B234" s="105">
        <v>212</v>
      </c>
      <c r="C234" s="23"/>
      <c r="D234" s="106">
        <f t="shared" si="36"/>
        <v>2000</v>
      </c>
      <c r="E234" s="25">
        <f ca="1" t="shared" si="37"/>
        <v>5676.064</v>
      </c>
      <c r="F234" s="24">
        <f t="shared" si="38"/>
        <v>542.857142857143</v>
      </c>
      <c r="G234" s="23">
        <f t="shared" si="39"/>
        <v>0.366666666666667</v>
      </c>
      <c r="H234" s="23">
        <f t="shared" si="44"/>
        <v>2.66666666666667</v>
      </c>
      <c r="I234" s="108">
        <f t="shared" si="40"/>
        <v>441.904761904762</v>
      </c>
      <c r="J234" s="23">
        <f t="shared" si="45"/>
        <v>14.2857142857143</v>
      </c>
      <c r="K234" s="23">
        <f t="shared" si="41"/>
        <v>3.61904761904762</v>
      </c>
      <c r="L234" s="23"/>
      <c r="M234" s="23">
        <f t="shared" si="42"/>
        <v>1428.57142857143</v>
      </c>
      <c r="N234" s="23">
        <f t="shared" si="46"/>
        <v>11.4285714285714</v>
      </c>
      <c r="O234" s="23">
        <f t="shared" si="43"/>
        <v>0.685714285714286</v>
      </c>
      <c r="P234" s="23"/>
      <c r="Q234" s="23"/>
      <c r="R234" s="48" cm="1">
        <f ca="1" t="array" ref="R234">SUMPRODUCT(D234:O234,$D$8:$O$8)</f>
        <v>4672.14873904762</v>
      </c>
      <c r="S234" s="23"/>
      <c r="T234" s="23"/>
      <c r="U234" s="23"/>
    </row>
    <row r="235" ht="16.5" spans="2:21">
      <c r="B235" s="104">
        <v>213</v>
      </c>
      <c r="C235" s="23"/>
      <c r="D235" s="106">
        <f t="shared" si="36"/>
        <v>2000</v>
      </c>
      <c r="E235" s="25">
        <f ca="1" t="shared" si="37"/>
        <v>5676.064</v>
      </c>
      <c r="F235" s="24">
        <f t="shared" si="38"/>
        <v>542.857142857143</v>
      </c>
      <c r="G235" s="23">
        <f t="shared" si="39"/>
        <v>0.366666666666667</v>
      </c>
      <c r="H235" s="23">
        <f t="shared" si="44"/>
        <v>2.66666666666667</v>
      </c>
      <c r="I235" s="108">
        <f t="shared" si="40"/>
        <v>441.904761904762</v>
      </c>
      <c r="J235" s="23">
        <f t="shared" si="45"/>
        <v>14.2857142857143</v>
      </c>
      <c r="K235" s="23">
        <f t="shared" si="41"/>
        <v>3.61904761904762</v>
      </c>
      <c r="L235" s="23"/>
      <c r="M235" s="23">
        <f t="shared" si="42"/>
        <v>1428.57142857143</v>
      </c>
      <c r="N235" s="23">
        <f t="shared" si="46"/>
        <v>11.4285714285714</v>
      </c>
      <c r="O235" s="23">
        <f t="shared" si="43"/>
        <v>0.685714285714286</v>
      </c>
      <c r="P235" s="23"/>
      <c r="Q235" s="23"/>
      <c r="R235" s="48" cm="1">
        <f ca="1" t="array" ref="R235">SUMPRODUCT(D235:O235,$D$8:$O$8)</f>
        <v>4672.14873904762</v>
      </c>
      <c r="S235" s="23"/>
      <c r="T235" s="23"/>
      <c r="U235" s="23"/>
    </row>
    <row r="236" ht="16.5" spans="2:21">
      <c r="B236" s="105">
        <v>214</v>
      </c>
      <c r="C236" s="23"/>
      <c r="D236" s="106">
        <f t="shared" si="36"/>
        <v>2000</v>
      </c>
      <c r="E236" s="25">
        <f ca="1" t="shared" si="37"/>
        <v>5676.064</v>
      </c>
      <c r="F236" s="24">
        <f t="shared" si="38"/>
        <v>542.857142857143</v>
      </c>
      <c r="G236" s="23">
        <f t="shared" si="39"/>
        <v>0.366666666666667</v>
      </c>
      <c r="H236" s="23">
        <f t="shared" si="44"/>
        <v>2.66666666666667</v>
      </c>
      <c r="I236" s="108">
        <f t="shared" si="40"/>
        <v>441.904761904762</v>
      </c>
      <c r="J236" s="23">
        <f t="shared" si="45"/>
        <v>14.2857142857143</v>
      </c>
      <c r="K236" s="23">
        <f t="shared" si="41"/>
        <v>3.61904761904762</v>
      </c>
      <c r="L236" s="23"/>
      <c r="M236" s="23">
        <f t="shared" si="42"/>
        <v>1428.57142857143</v>
      </c>
      <c r="N236" s="23">
        <f t="shared" si="46"/>
        <v>11.4285714285714</v>
      </c>
      <c r="O236" s="23">
        <f t="shared" si="43"/>
        <v>0.685714285714286</v>
      </c>
      <c r="P236" s="23"/>
      <c r="Q236" s="23"/>
      <c r="R236" s="48" cm="1">
        <f ca="1" t="array" ref="R236">SUMPRODUCT(D236:O236,$D$8:$O$8)</f>
        <v>4672.14873904762</v>
      </c>
      <c r="S236" s="23"/>
      <c r="T236" s="23"/>
      <c r="U236" s="23"/>
    </row>
    <row r="237" ht="16.5" spans="2:21">
      <c r="B237" s="104">
        <v>215</v>
      </c>
      <c r="C237" s="23"/>
      <c r="D237" s="106">
        <f t="shared" si="36"/>
        <v>2000</v>
      </c>
      <c r="E237" s="25">
        <f ca="1" t="shared" si="37"/>
        <v>5676.064</v>
      </c>
      <c r="F237" s="24">
        <f t="shared" si="38"/>
        <v>542.857142857143</v>
      </c>
      <c r="G237" s="23">
        <f t="shared" si="39"/>
        <v>0.366666666666667</v>
      </c>
      <c r="H237" s="23">
        <f t="shared" si="44"/>
        <v>2.66666666666667</v>
      </c>
      <c r="I237" s="108">
        <f t="shared" si="40"/>
        <v>441.904761904762</v>
      </c>
      <c r="J237" s="23">
        <f t="shared" si="45"/>
        <v>14.2857142857143</v>
      </c>
      <c r="K237" s="23">
        <f t="shared" si="41"/>
        <v>3.61904761904762</v>
      </c>
      <c r="L237" s="23"/>
      <c r="M237" s="23">
        <f t="shared" si="42"/>
        <v>1428.57142857143</v>
      </c>
      <c r="N237" s="23">
        <f t="shared" si="46"/>
        <v>11.4285714285714</v>
      </c>
      <c r="O237" s="23">
        <f t="shared" si="43"/>
        <v>0.685714285714286</v>
      </c>
      <c r="P237" s="23"/>
      <c r="Q237" s="23"/>
      <c r="R237" s="48" cm="1">
        <f ca="1" t="array" ref="R237">SUMPRODUCT(D237:O237,$D$8:$O$8)</f>
        <v>4672.14873904762</v>
      </c>
      <c r="S237" s="23"/>
      <c r="T237" s="23"/>
      <c r="U237" s="23"/>
    </row>
    <row r="238" ht="16.5" spans="2:21">
      <c r="B238" s="105">
        <v>216</v>
      </c>
      <c r="C238" s="23"/>
      <c r="D238" s="106">
        <f t="shared" si="36"/>
        <v>2000</v>
      </c>
      <c r="E238" s="25">
        <f ca="1" t="shared" si="37"/>
        <v>5676.064</v>
      </c>
      <c r="F238" s="24">
        <f t="shared" si="38"/>
        <v>542.857142857143</v>
      </c>
      <c r="G238" s="23">
        <f t="shared" si="39"/>
        <v>0.366666666666667</v>
      </c>
      <c r="H238" s="23">
        <f t="shared" si="44"/>
        <v>2.66666666666667</v>
      </c>
      <c r="I238" s="108">
        <f t="shared" si="40"/>
        <v>441.904761904762</v>
      </c>
      <c r="J238" s="23">
        <f t="shared" si="45"/>
        <v>14.2857142857143</v>
      </c>
      <c r="K238" s="23">
        <f t="shared" si="41"/>
        <v>3.61904761904762</v>
      </c>
      <c r="L238" s="23"/>
      <c r="M238" s="23">
        <f t="shared" si="42"/>
        <v>1428.57142857143</v>
      </c>
      <c r="N238" s="23">
        <f t="shared" si="46"/>
        <v>11.4285714285714</v>
      </c>
      <c r="O238" s="23">
        <f t="shared" si="43"/>
        <v>0.685714285714286</v>
      </c>
      <c r="P238" s="23"/>
      <c r="Q238" s="23"/>
      <c r="R238" s="48" cm="1">
        <f ca="1" t="array" ref="R238">SUMPRODUCT(D238:O238,$D$8:$O$8)</f>
        <v>4672.14873904762</v>
      </c>
      <c r="S238" s="23"/>
      <c r="T238" s="23"/>
      <c r="U238" s="23"/>
    </row>
    <row r="239" ht="16.5" spans="2:21">
      <c r="B239" s="104">
        <v>217</v>
      </c>
      <c r="C239" s="23"/>
      <c r="D239" s="106">
        <f t="shared" si="36"/>
        <v>2000</v>
      </c>
      <c r="E239" s="25">
        <f ca="1" t="shared" si="37"/>
        <v>5676.064</v>
      </c>
      <c r="F239" s="24">
        <f t="shared" si="38"/>
        <v>542.857142857143</v>
      </c>
      <c r="G239" s="23">
        <f t="shared" si="39"/>
        <v>0.366666666666667</v>
      </c>
      <c r="H239" s="23">
        <f t="shared" si="44"/>
        <v>2.66666666666667</v>
      </c>
      <c r="I239" s="108">
        <f t="shared" si="40"/>
        <v>441.904761904762</v>
      </c>
      <c r="J239" s="23">
        <f t="shared" si="45"/>
        <v>14.2857142857143</v>
      </c>
      <c r="K239" s="23">
        <f t="shared" si="41"/>
        <v>3.61904761904762</v>
      </c>
      <c r="L239" s="23"/>
      <c r="M239" s="23">
        <f t="shared" si="42"/>
        <v>1428.57142857143</v>
      </c>
      <c r="N239" s="23">
        <f t="shared" si="46"/>
        <v>11.4285714285714</v>
      </c>
      <c r="O239" s="23">
        <f t="shared" si="43"/>
        <v>0.685714285714286</v>
      </c>
      <c r="P239" s="23"/>
      <c r="Q239" s="23"/>
      <c r="R239" s="48" cm="1">
        <f ca="1" t="array" ref="R239">SUMPRODUCT(D239:O239,$D$8:$O$8)</f>
        <v>4672.14873904762</v>
      </c>
      <c r="S239" s="23"/>
      <c r="T239" s="23"/>
      <c r="U239" s="23"/>
    </row>
    <row r="240" ht="16.5" spans="2:21">
      <c r="B240" s="105">
        <v>218</v>
      </c>
      <c r="C240" s="23"/>
      <c r="D240" s="106">
        <f t="shared" si="36"/>
        <v>2000</v>
      </c>
      <c r="E240" s="25">
        <f ca="1" t="shared" si="37"/>
        <v>5676.064</v>
      </c>
      <c r="F240" s="24">
        <f t="shared" si="38"/>
        <v>542.857142857143</v>
      </c>
      <c r="G240" s="23">
        <f t="shared" si="39"/>
        <v>0.366666666666667</v>
      </c>
      <c r="H240" s="23">
        <f t="shared" si="44"/>
        <v>2.66666666666667</v>
      </c>
      <c r="I240" s="108">
        <f t="shared" si="40"/>
        <v>441.904761904762</v>
      </c>
      <c r="J240" s="23">
        <f t="shared" si="45"/>
        <v>14.2857142857143</v>
      </c>
      <c r="K240" s="23">
        <f t="shared" si="41"/>
        <v>3.61904761904762</v>
      </c>
      <c r="L240" s="23"/>
      <c r="M240" s="23">
        <f t="shared" si="42"/>
        <v>1428.57142857143</v>
      </c>
      <c r="N240" s="23">
        <f t="shared" si="46"/>
        <v>11.4285714285714</v>
      </c>
      <c r="O240" s="23">
        <f t="shared" si="43"/>
        <v>0.685714285714286</v>
      </c>
      <c r="P240" s="23"/>
      <c r="Q240" s="23"/>
      <c r="R240" s="48" cm="1">
        <f ca="1" t="array" ref="R240">SUMPRODUCT(D240:O240,$D$8:$O$8)</f>
        <v>4672.14873904762</v>
      </c>
      <c r="S240" s="23"/>
      <c r="T240" s="23"/>
      <c r="U240" s="23"/>
    </row>
    <row r="241" ht="16.5" spans="2:21">
      <c r="B241" s="104">
        <v>219</v>
      </c>
      <c r="C241" s="23"/>
      <c r="D241" s="106">
        <f t="shared" si="36"/>
        <v>2000</v>
      </c>
      <c r="E241" s="25">
        <f ca="1" t="shared" si="37"/>
        <v>5676.064</v>
      </c>
      <c r="F241" s="24">
        <f t="shared" si="38"/>
        <v>542.857142857143</v>
      </c>
      <c r="G241" s="23">
        <f t="shared" si="39"/>
        <v>0.366666666666667</v>
      </c>
      <c r="H241" s="23">
        <f t="shared" si="44"/>
        <v>2.66666666666667</v>
      </c>
      <c r="I241" s="108">
        <f t="shared" si="40"/>
        <v>441.904761904762</v>
      </c>
      <c r="J241" s="23">
        <f t="shared" si="45"/>
        <v>14.2857142857143</v>
      </c>
      <c r="K241" s="23">
        <f t="shared" si="41"/>
        <v>3.61904761904762</v>
      </c>
      <c r="L241" s="23"/>
      <c r="M241" s="23">
        <f t="shared" si="42"/>
        <v>1428.57142857143</v>
      </c>
      <c r="N241" s="23">
        <f t="shared" si="46"/>
        <v>11.4285714285714</v>
      </c>
      <c r="O241" s="23">
        <f t="shared" si="43"/>
        <v>0.685714285714286</v>
      </c>
      <c r="P241" s="23"/>
      <c r="Q241" s="23"/>
      <c r="R241" s="48" cm="1">
        <f ca="1" t="array" ref="R241">SUMPRODUCT(D241:O241,$D$8:$O$8)</f>
        <v>4672.14873904762</v>
      </c>
      <c r="S241" s="23"/>
      <c r="T241" s="23"/>
      <c r="U241" s="23"/>
    </row>
    <row r="242" ht="16.5" spans="2:21">
      <c r="B242" s="105">
        <v>220</v>
      </c>
      <c r="C242" s="23"/>
      <c r="D242" s="106">
        <f t="shared" si="36"/>
        <v>2000</v>
      </c>
      <c r="E242" s="25">
        <f ca="1" t="shared" si="37"/>
        <v>5676.064</v>
      </c>
      <c r="F242" s="24">
        <f t="shared" si="38"/>
        <v>542.857142857143</v>
      </c>
      <c r="G242" s="23">
        <f t="shared" si="39"/>
        <v>0.366666666666667</v>
      </c>
      <c r="H242" s="23">
        <f t="shared" si="44"/>
        <v>2.66666666666667</v>
      </c>
      <c r="I242" s="108">
        <f t="shared" si="40"/>
        <v>441.904761904762</v>
      </c>
      <c r="J242" s="23">
        <f t="shared" si="45"/>
        <v>14.2857142857143</v>
      </c>
      <c r="K242" s="23">
        <f t="shared" si="41"/>
        <v>3.61904761904762</v>
      </c>
      <c r="L242" s="23"/>
      <c r="M242" s="23">
        <f t="shared" si="42"/>
        <v>1428.57142857143</v>
      </c>
      <c r="N242" s="23">
        <f t="shared" si="46"/>
        <v>11.4285714285714</v>
      </c>
      <c r="O242" s="23">
        <f t="shared" si="43"/>
        <v>0.685714285714286</v>
      </c>
      <c r="P242" s="23"/>
      <c r="Q242" s="23"/>
      <c r="R242" s="48" cm="1">
        <f ca="1" t="array" ref="R242">SUMPRODUCT(D242:O242,$D$8:$O$8)</f>
        <v>4672.14873904762</v>
      </c>
      <c r="S242" s="23"/>
      <c r="T242" s="23"/>
      <c r="U242" s="23"/>
    </row>
    <row r="243" ht="16.5" spans="2:21">
      <c r="B243" s="104">
        <v>221</v>
      </c>
      <c r="C243" s="23"/>
      <c r="D243" s="106">
        <f t="shared" si="36"/>
        <v>2000</v>
      </c>
      <c r="E243" s="25">
        <f ca="1" t="shared" si="37"/>
        <v>5676.064</v>
      </c>
      <c r="F243" s="24">
        <f t="shared" si="38"/>
        <v>542.857142857143</v>
      </c>
      <c r="G243" s="23">
        <f t="shared" si="39"/>
        <v>0.366666666666667</v>
      </c>
      <c r="H243" s="23">
        <f t="shared" si="44"/>
        <v>2.66666666666667</v>
      </c>
      <c r="I243" s="108">
        <f t="shared" si="40"/>
        <v>441.904761904762</v>
      </c>
      <c r="J243" s="23">
        <f t="shared" si="45"/>
        <v>14.2857142857143</v>
      </c>
      <c r="K243" s="23">
        <f t="shared" si="41"/>
        <v>3.61904761904762</v>
      </c>
      <c r="L243" s="23"/>
      <c r="M243" s="23">
        <f t="shared" si="42"/>
        <v>1428.57142857143</v>
      </c>
      <c r="N243" s="23">
        <f t="shared" si="46"/>
        <v>11.4285714285714</v>
      </c>
      <c r="O243" s="23">
        <f t="shared" si="43"/>
        <v>0.685714285714286</v>
      </c>
      <c r="P243" s="23"/>
      <c r="Q243" s="23"/>
      <c r="R243" s="48" cm="1">
        <f ca="1" t="array" ref="R243">SUMPRODUCT(D243:O243,$D$8:$O$8)</f>
        <v>4672.14873904762</v>
      </c>
      <c r="S243" s="23"/>
      <c r="T243" s="23"/>
      <c r="U243" s="23"/>
    </row>
    <row r="244" ht="16.5" spans="2:21">
      <c r="B244" s="105">
        <v>222</v>
      </c>
      <c r="C244" s="23"/>
      <c r="D244" s="106">
        <f t="shared" si="36"/>
        <v>2000</v>
      </c>
      <c r="E244" s="25">
        <f ca="1" t="shared" si="37"/>
        <v>5676.064</v>
      </c>
      <c r="F244" s="24">
        <f t="shared" si="38"/>
        <v>542.857142857143</v>
      </c>
      <c r="G244" s="23">
        <f t="shared" si="39"/>
        <v>0.366666666666667</v>
      </c>
      <c r="H244" s="23">
        <f t="shared" si="44"/>
        <v>2.66666666666667</v>
      </c>
      <c r="I244" s="108">
        <f t="shared" si="40"/>
        <v>441.904761904762</v>
      </c>
      <c r="J244" s="23">
        <f t="shared" si="45"/>
        <v>14.2857142857143</v>
      </c>
      <c r="K244" s="23">
        <f t="shared" si="41"/>
        <v>3.61904761904762</v>
      </c>
      <c r="L244" s="23"/>
      <c r="M244" s="23">
        <f t="shared" si="42"/>
        <v>1428.57142857143</v>
      </c>
      <c r="N244" s="23">
        <f t="shared" si="46"/>
        <v>11.4285714285714</v>
      </c>
      <c r="O244" s="23">
        <f t="shared" si="43"/>
        <v>0.685714285714286</v>
      </c>
      <c r="P244" s="23"/>
      <c r="Q244" s="23"/>
      <c r="R244" s="48" cm="1">
        <f ca="1" t="array" ref="R244">SUMPRODUCT(D244:O244,$D$8:$O$8)</f>
        <v>4672.14873904762</v>
      </c>
      <c r="S244" s="23"/>
      <c r="T244" s="23"/>
      <c r="U244" s="23"/>
    </row>
    <row r="245" ht="16.5" spans="2:21">
      <c r="B245" s="104">
        <v>223</v>
      </c>
      <c r="C245" s="23"/>
      <c r="D245" s="106">
        <f t="shared" si="36"/>
        <v>2000</v>
      </c>
      <c r="E245" s="25">
        <f ca="1" t="shared" si="37"/>
        <v>5676.064</v>
      </c>
      <c r="F245" s="24">
        <f t="shared" si="38"/>
        <v>542.857142857143</v>
      </c>
      <c r="G245" s="23">
        <f t="shared" si="39"/>
        <v>0.366666666666667</v>
      </c>
      <c r="H245" s="23">
        <f t="shared" si="44"/>
        <v>2.66666666666667</v>
      </c>
      <c r="I245" s="108">
        <f t="shared" si="40"/>
        <v>441.904761904762</v>
      </c>
      <c r="J245" s="23">
        <f t="shared" si="45"/>
        <v>14.2857142857143</v>
      </c>
      <c r="K245" s="23">
        <f t="shared" si="41"/>
        <v>3.61904761904762</v>
      </c>
      <c r="L245" s="23"/>
      <c r="M245" s="23">
        <f t="shared" si="42"/>
        <v>1428.57142857143</v>
      </c>
      <c r="N245" s="23">
        <f t="shared" si="46"/>
        <v>11.4285714285714</v>
      </c>
      <c r="O245" s="23">
        <f t="shared" si="43"/>
        <v>0.685714285714286</v>
      </c>
      <c r="P245" s="23"/>
      <c r="Q245" s="23"/>
      <c r="R245" s="48" cm="1">
        <f ca="1" t="array" ref="R245">SUMPRODUCT(D245:O245,$D$8:$O$8)</f>
        <v>4672.14873904762</v>
      </c>
      <c r="S245" s="23"/>
      <c r="T245" s="23"/>
      <c r="U245" s="23"/>
    </row>
    <row r="246" ht="16.5" spans="2:21">
      <c r="B246" s="105">
        <v>224</v>
      </c>
      <c r="C246" s="23"/>
      <c r="D246" s="106">
        <f t="shared" si="36"/>
        <v>2000</v>
      </c>
      <c r="E246" s="25">
        <f ca="1" t="shared" si="37"/>
        <v>5676.064</v>
      </c>
      <c r="F246" s="24">
        <f t="shared" si="38"/>
        <v>542.857142857143</v>
      </c>
      <c r="G246" s="23">
        <f t="shared" si="39"/>
        <v>0.366666666666667</v>
      </c>
      <c r="H246" s="23">
        <f t="shared" si="44"/>
        <v>2.66666666666667</v>
      </c>
      <c r="I246" s="108">
        <f t="shared" si="40"/>
        <v>441.904761904762</v>
      </c>
      <c r="J246" s="23">
        <f t="shared" si="45"/>
        <v>14.2857142857143</v>
      </c>
      <c r="K246" s="23">
        <f t="shared" si="41"/>
        <v>3.61904761904762</v>
      </c>
      <c r="L246" s="23"/>
      <c r="M246" s="23">
        <f t="shared" si="42"/>
        <v>1428.57142857143</v>
      </c>
      <c r="N246" s="23">
        <f t="shared" si="46"/>
        <v>11.4285714285714</v>
      </c>
      <c r="O246" s="23">
        <f t="shared" si="43"/>
        <v>0.685714285714286</v>
      </c>
      <c r="P246" s="23"/>
      <c r="Q246" s="23"/>
      <c r="R246" s="48" cm="1">
        <f ca="1" t="array" ref="R246">SUMPRODUCT(D246:O246,$D$8:$O$8)</f>
        <v>4672.14873904762</v>
      </c>
      <c r="S246" s="23"/>
      <c r="T246" s="23"/>
      <c r="U246" s="23"/>
    </row>
    <row r="247" ht="16.5" spans="2:21">
      <c r="B247" s="104">
        <v>225</v>
      </c>
      <c r="C247" s="23"/>
      <c r="D247" s="106">
        <f t="shared" si="36"/>
        <v>2000</v>
      </c>
      <c r="E247" s="25">
        <f ca="1" t="shared" si="37"/>
        <v>5676.064</v>
      </c>
      <c r="F247" s="24">
        <f t="shared" si="38"/>
        <v>542.857142857143</v>
      </c>
      <c r="G247" s="23">
        <f t="shared" si="39"/>
        <v>0.366666666666667</v>
      </c>
      <c r="H247" s="23">
        <f t="shared" si="44"/>
        <v>2.66666666666667</v>
      </c>
      <c r="I247" s="108">
        <f t="shared" si="40"/>
        <v>441.904761904762</v>
      </c>
      <c r="J247" s="23">
        <f t="shared" si="45"/>
        <v>14.2857142857143</v>
      </c>
      <c r="K247" s="23">
        <f t="shared" si="41"/>
        <v>3.61904761904762</v>
      </c>
      <c r="L247" s="23"/>
      <c r="M247" s="23">
        <f t="shared" si="42"/>
        <v>1428.57142857143</v>
      </c>
      <c r="N247" s="23">
        <f t="shared" si="46"/>
        <v>11.4285714285714</v>
      </c>
      <c r="O247" s="23">
        <f t="shared" si="43"/>
        <v>0.685714285714286</v>
      </c>
      <c r="P247" s="23"/>
      <c r="Q247" s="23"/>
      <c r="R247" s="48" cm="1">
        <f ca="1" t="array" ref="R247">SUMPRODUCT(D247:O247,$D$8:$O$8)</f>
        <v>4672.14873904762</v>
      </c>
      <c r="S247" s="23"/>
      <c r="T247" s="23"/>
      <c r="U247" s="23"/>
    </row>
    <row r="248" ht="16.5" spans="2:21">
      <c r="B248" s="105">
        <v>226</v>
      </c>
      <c r="C248" s="23"/>
      <c r="D248" s="106">
        <f t="shared" si="36"/>
        <v>2000</v>
      </c>
      <c r="E248" s="25">
        <f ca="1" t="shared" si="37"/>
        <v>5717.392</v>
      </c>
      <c r="F248" s="24">
        <f t="shared" si="38"/>
        <v>542.857142857143</v>
      </c>
      <c r="G248" s="23">
        <f t="shared" si="39"/>
        <v>0.366666666666667</v>
      </c>
      <c r="H248" s="23">
        <f t="shared" si="44"/>
        <v>2.66666666666667</v>
      </c>
      <c r="I248" s="108">
        <f t="shared" si="40"/>
        <v>441.904761904762</v>
      </c>
      <c r="J248" s="23">
        <f t="shared" si="45"/>
        <v>14.2857142857143</v>
      </c>
      <c r="K248" s="23">
        <f t="shared" si="41"/>
        <v>3.61904761904762</v>
      </c>
      <c r="L248" s="23"/>
      <c r="M248" s="23">
        <f t="shared" si="42"/>
        <v>1428.57142857143</v>
      </c>
      <c r="N248" s="23">
        <f t="shared" si="46"/>
        <v>11.4285714285714</v>
      </c>
      <c r="O248" s="23">
        <f t="shared" si="43"/>
        <v>0.685714285714286</v>
      </c>
      <c r="P248" s="23"/>
      <c r="Q248" s="23"/>
      <c r="R248" s="48" cm="1">
        <f ca="1" t="array" ref="R248">SUMPRODUCT(D248:O248,$D$8:$O$8)</f>
        <v>4685.78697904762</v>
      </c>
      <c r="S248" s="23"/>
      <c r="T248" s="23"/>
      <c r="U248" s="23"/>
    </row>
    <row r="249" ht="16.5" spans="2:21">
      <c r="B249" s="104">
        <v>227</v>
      </c>
      <c r="C249" s="23"/>
      <c r="D249" s="106">
        <f t="shared" si="36"/>
        <v>2000</v>
      </c>
      <c r="E249" s="25">
        <f ca="1" t="shared" si="37"/>
        <v>5717.392</v>
      </c>
      <c r="F249" s="24">
        <f t="shared" si="38"/>
        <v>542.857142857143</v>
      </c>
      <c r="G249" s="23">
        <f t="shared" si="39"/>
        <v>0.366666666666667</v>
      </c>
      <c r="H249" s="23">
        <f t="shared" si="44"/>
        <v>2.66666666666667</v>
      </c>
      <c r="I249" s="108">
        <f t="shared" si="40"/>
        <v>441.904761904762</v>
      </c>
      <c r="J249" s="23">
        <f t="shared" si="45"/>
        <v>14.2857142857143</v>
      </c>
      <c r="K249" s="23">
        <f t="shared" si="41"/>
        <v>3.61904761904762</v>
      </c>
      <c r="L249" s="23"/>
      <c r="M249" s="23">
        <f t="shared" si="42"/>
        <v>1428.57142857143</v>
      </c>
      <c r="N249" s="23">
        <f t="shared" si="46"/>
        <v>11.4285714285714</v>
      </c>
      <c r="O249" s="23">
        <f t="shared" si="43"/>
        <v>0.685714285714286</v>
      </c>
      <c r="P249" s="23"/>
      <c r="Q249" s="23"/>
      <c r="R249" s="48" cm="1">
        <f ca="1" t="array" ref="R249">SUMPRODUCT(D249:O249,$D$8:$O$8)</f>
        <v>4685.78697904762</v>
      </c>
      <c r="S249" s="23"/>
      <c r="T249" s="23"/>
      <c r="U249" s="23"/>
    </row>
    <row r="250" ht="16.5" spans="2:21">
      <c r="B250" s="105">
        <v>228</v>
      </c>
      <c r="C250" s="23"/>
      <c r="D250" s="106">
        <f t="shared" si="36"/>
        <v>2000</v>
      </c>
      <c r="E250" s="25">
        <f ca="1" t="shared" si="37"/>
        <v>5717.392</v>
      </c>
      <c r="F250" s="24">
        <f t="shared" si="38"/>
        <v>542.857142857143</v>
      </c>
      <c r="G250" s="23">
        <f t="shared" si="39"/>
        <v>0.366666666666667</v>
      </c>
      <c r="H250" s="23">
        <f t="shared" si="44"/>
        <v>2.66666666666667</v>
      </c>
      <c r="I250" s="108">
        <f t="shared" si="40"/>
        <v>441.904761904762</v>
      </c>
      <c r="J250" s="23">
        <f t="shared" si="45"/>
        <v>14.2857142857143</v>
      </c>
      <c r="K250" s="23">
        <f t="shared" si="41"/>
        <v>3.61904761904762</v>
      </c>
      <c r="L250" s="23"/>
      <c r="M250" s="23">
        <f t="shared" si="42"/>
        <v>1428.57142857143</v>
      </c>
      <c r="N250" s="23">
        <f t="shared" si="46"/>
        <v>11.4285714285714</v>
      </c>
      <c r="O250" s="23">
        <f t="shared" si="43"/>
        <v>0.685714285714286</v>
      </c>
      <c r="P250" s="23"/>
      <c r="Q250" s="23"/>
      <c r="R250" s="48" cm="1">
        <f ca="1" t="array" ref="R250">SUMPRODUCT(D250:O250,$D$8:$O$8)</f>
        <v>4685.78697904762</v>
      </c>
      <c r="S250" s="23"/>
      <c r="T250" s="23"/>
      <c r="U250" s="23"/>
    </row>
    <row r="251" ht="16.5" spans="2:21">
      <c r="B251" s="104">
        <v>229</v>
      </c>
      <c r="C251" s="23"/>
      <c r="D251" s="106">
        <f t="shared" si="36"/>
        <v>2000</v>
      </c>
      <c r="E251" s="25">
        <f ca="1" t="shared" si="37"/>
        <v>5717.392</v>
      </c>
      <c r="F251" s="24">
        <f t="shared" si="38"/>
        <v>542.857142857143</v>
      </c>
      <c r="G251" s="23">
        <f t="shared" si="39"/>
        <v>0.366666666666667</v>
      </c>
      <c r="H251" s="23">
        <f t="shared" si="44"/>
        <v>2.66666666666667</v>
      </c>
      <c r="I251" s="108">
        <f t="shared" si="40"/>
        <v>441.904761904762</v>
      </c>
      <c r="J251" s="23">
        <f t="shared" si="45"/>
        <v>14.2857142857143</v>
      </c>
      <c r="K251" s="23">
        <f t="shared" si="41"/>
        <v>3.61904761904762</v>
      </c>
      <c r="L251" s="23"/>
      <c r="M251" s="23">
        <f t="shared" si="42"/>
        <v>1428.57142857143</v>
      </c>
      <c r="N251" s="23">
        <f t="shared" si="46"/>
        <v>11.4285714285714</v>
      </c>
      <c r="O251" s="23">
        <f t="shared" si="43"/>
        <v>0.685714285714286</v>
      </c>
      <c r="P251" s="23"/>
      <c r="Q251" s="23"/>
      <c r="R251" s="48" cm="1">
        <f ca="1" t="array" ref="R251">SUMPRODUCT(D251:O251,$D$8:$O$8)</f>
        <v>4685.78697904762</v>
      </c>
      <c r="S251" s="23"/>
      <c r="T251" s="23"/>
      <c r="U251" s="23"/>
    </row>
    <row r="252" ht="16.5" spans="2:21">
      <c r="B252" s="105">
        <v>230</v>
      </c>
      <c r="C252" s="23"/>
      <c r="D252" s="106">
        <f t="shared" si="36"/>
        <v>2000</v>
      </c>
      <c r="E252" s="25">
        <f ca="1" t="shared" si="37"/>
        <v>5717.392</v>
      </c>
      <c r="F252" s="24">
        <f t="shared" si="38"/>
        <v>542.857142857143</v>
      </c>
      <c r="G252" s="23">
        <f t="shared" si="39"/>
        <v>0.366666666666667</v>
      </c>
      <c r="H252" s="23">
        <f t="shared" si="44"/>
        <v>2.66666666666667</v>
      </c>
      <c r="I252" s="108">
        <f t="shared" si="40"/>
        <v>441.904761904762</v>
      </c>
      <c r="J252" s="23">
        <f t="shared" si="45"/>
        <v>14.2857142857143</v>
      </c>
      <c r="K252" s="23">
        <f t="shared" si="41"/>
        <v>3.61904761904762</v>
      </c>
      <c r="L252" s="23"/>
      <c r="M252" s="23">
        <f t="shared" si="42"/>
        <v>1428.57142857143</v>
      </c>
      <c r="N252" s="23">
        <f t="shared" si="46"/>
        <v>11.4285714285714</v>
      </c>
      <c r="O252" s="23">
        <f t="shared" si="43"/>
        <v>0.685714285714286</v>
      </c>
      <c r="P252" s="23"/>
      <c r="Q252" s="23"/>
      <c r="R252" s="48" cm="1">
        <f ca="1" t="array" ref="R252">SUMPRODUCT(D252:O252,$D$8:$O$8)</f>
        <v>4685.78697904762</v>
      </c>
      <c r="S252" s="23"/>
      <c r="T252" s="23"/>
      <c r="U252" s="23"/>
    </row>
    <row r="253" ht="16.5" spans="2:21">
      <c r="B253" s="104">
        <v>231</v>
      </c>
      <c r="C253" s="23"/>
      <c r="D253" s="106">
        <f t="shared" si="36"/>
        <v>2000</v>
      </c>
      <c r="E253" s="25">
        <f ca="1" t="shared" si="37"/>
        <v>5717.392</v>
      </c>
      <c r="F253" s="24">
        <f t="shared" si="38"/>
        <v>542.857142857143</v>
      </c>
      <c r="G253" s="23">
        <f t="shared" si="39"/>
        <v>0.366666666666667</v>
      </c>
      <c r="H253" s="23">
        <f t="shared" si="44"/>
        <v>2.66666666666667</v>
      </c>
      <c r="I253" s="108">
        <f t="shared" si="40"/>
        <v>441.904761904762</v>
      </c>
      <c r="J253" s="23">
        <f t="shared" si="45"/>
        <v>14.2857142857143</v>
      </c>
      <c r="K253" s="23">
        <f t="shared" si="41"/>
        <v>3.61904761904762</v>
      </c>
      <c r="L253" s="23"/>
      <c r="M253" s="23">
        <f t="shared" si="42"/>
        <v>1428.57142857143</v>
      </c>
      <c r="N253" s="23">
        <f t="shared" si="46"/>
        <v>11.4285714285714</v>
      </c>
      <c r="O253" s="23">
        <f t="shared" si="43"/>
        <v>0.685714285714286</v>
      </c>
      <c r="P253" s="23"/>
      <c r="Q253" s="23"/>
      <c r="R253" s="48" cm="1">
        <f ca="1" t="array" ref="R253">SUMPRODUCT(D253:O253,$D$8:$O$8)</f>
        <v>4685.78697904762</v>
      </c>
      <c r="S253" s="23"/>
      <c r="T253" s="23"/>
      <c r="U253" s="23"/>
    </row>
    <row r="254" ht="16.5" spans="2:21">
      <c r="B254" s="105">
        <v>232</v>
      </c>
      <c r="C254" s="23"/>
      <c r="D254" s="106">
        <f t="shared" si="36"/>
        <v>2000</v>
      </c>
      <c r="E254" s="25">
        <f ca="1" t="shared" si="37"/>
        <v>5717.392</v>
      </c>
      <c r="F254" s="24">
        <f t="shared" si="38"/>
        <v>542.857142857143</v>
      </c>
      <c r="G254" s="23">
        <f t="shared" si="39"/>
        <v>0.366666666666667</v>
      </c>
      <c r="H254" s="23">
        <f t="shared" si="44"/>
        <v>2.66666666666667</v>
      </c>
      <c r="I254" s="108">
        <f t="shared" si="40"/>
        <v>441.904761904762</v>
      </c>
      <c r="J254" s="23">
        <f t="shared" si="45"/>
        <v>14.2857142857143</v>
      </c>
      <c r="K254" s="23">
        <f t="shared" si="41"/>
        <v>3.61904761904762</v>
      </c>
      <c r="L254" s="23"/>
      <c r="M254" s="23">
        <f t="shared" si="42"/>
        <v>1428.57142857143</v>
      </c>
      <c r="N254" s="23">
        <f t="shared" si="46"/>
        <v>11.4285714285714</v>
      </c>
      <c r="O254" s="23">
        <f t="shared" si="43"/>
        <v>0.685714285714286</v>
      </c>
      <c r="P254" s="23"/>
      <c r="Q254" s="23"/>
      <c r="R254" s="48" cm="1">
        <f ca="1" t="array" ref="R254">SUMPRODUCT(D254:O254,$D$8:$O$8)</f>
        <v>4685.78697904762</v>
      </c>
      <c r="S254" s="23"/>
      <c r="T254" s="23"/>
      <c r="U254" s="23"/>
    </row>
    <row r="255" ht="16.5" spans="2:21">
      <c r="B255" s="104">
        <v>233</v>
      </c>
      <c r="C255" s="23"/>
      <c r="D255" s="106">
        <f t="shared" si="36"/>
        <v>2000</v>
      </c>
      <c r="E255" s="25">
        <f ca="1" t="shared" si="37"/>
        <v>5717.392</v>
      </c>
      <c r="F255" s="24">
        <f t="shared" si="38"/>
        <v>542.857142857143</v>
      </c>
      <c r="G255" s="23">
        <f t="shared" si="39"/>
        <v>0.366666666666667</v>
      </c>
      <c r="H255" s="23">
        <f t="shared" si="44"/>
        <v>2.66666666666667</v>
      </c>
      <c r="I255" s="108">
        <f t="shared" si="40"/>
        <v>441.904761904762</v>
      </c>
      <c r="J255" s="23">
        <f t="shared" si="45"/>
        <v>14.2857142857143</v>
      </c>
      <c r="K255" s="23">
        <f t="shared" si="41"/>
        <v>3.61904761904762</v>
      </c>
      <c r="L255" s="23"/>
      <c r="M255" s="23">
        <f t="shared" si="42"/>
        <v>1428.57142857143</v>
      </c>
      <c r="N255" s="23">
        <f t="shared" si="46"/>
        <v>11.4285714285714</v>
      </c>
      <c r="O255" s="23">
        <f t="shared" si="43"/>
        <v>0.685714285714286</v>
      </c>
      <c r="P255" s="23"/>
      <c r="Q255" s="23"/>
      <c r="R255" s="48" cm="1">
        <f ca="1" t="array" ref="R255">SUMPRODUCT(D255:O255,$D$8:$O$8)</f>
        <v>4685.78697904762</v>
      </c>
      <c r="S255" s="23"/>
      <c r="T255" s="23"/>
      <c r="U255" s="23"/>
    </row>
    <row r="256" ht="16.5" spans="2:21">
      <c r="B256" s="105">
        <v>234</v>
      </c>
      <c r="C256" s="23"/>
      <c r="D256" s="106">
        <f t="shared" si="36"/>
        <v>2000</v>
      </c>
      <c r="E256" s="25">
        <f ca="1" t="shared" si="37"/>
        <v>5717.392</v>
      </c>
      <c r="F256" s="24">
        <f t="shared" si="38"/>
        <v>542.857142857143</v>
      </c>
      <c r="G256" s="23">
        <f t="shared" si="39"/>
        <v>0.366666666666667</v>
      </c>
      <c r="H256" s="23">
        <f t="shared" si="44"/>
        <v>2.66666666666667</v>
      </c>
      <c r="I256" s="108">
        <f t="shared" si="40"/>
        <v>441.904761904762</v>
      </c>
      <c r="J256" s="23">
        <f t="shared" si="45"/>
        <v>14.2857142857143</v>
      </c>
      <c r="K256" s="23">
        <f t="shared" si="41"/>
        <v>3.61904761904762</v>
      </c>
      <c r="L256" s="23"/>
      <c r="M256" s="23">
        <f t="shared" si="42"/>
        <v>1428.57142857143</v>
      </c>
      <c r="N256" s="23">
        <f t="shared" si="46"/>
        <v>11.4285714285714</v>
      </c>
      <c r="O256" s="23">
        <f t="shared" si="43"/>
        <v>0.685714285714286</v>
      </c>
      <c r="P256" s="23"/>
      <c r="Q256" s="23"/>
      <c r="R256" s="48" cm="1">
        <f ca="1" t="array" ref="R256">SUMPRODUCT(D256:O256,$D$8:$O$8)</f>
        <v>4685.78697904762</v>
      </c>
      <c r="S256" s="23"/>
      <c r="T256" s="23"/>
      <c r="U256" s="23"/>
    </row>
    <row r="257" ht="16.5" spans="2:21">
      <c r="B257" s="104">
        <v>235</v>
      </c>
      <c r="C257" s="23"/>
      <c r="D257" s="106">
        <f t="shared" si="36"/>
        <v>2000</v>
      </c>
      <c r="E257" s="25">
        <f ca="1" t="shared" si="37"/>
        <v>5717.392</v>
      </c>
      <c r="F257" s="24">
        <f t="shared" si="38"/>
        <v>542.857142857143</v>
      </c>
      <c r="G257" s="23">
        <f t="shared" si="39"/>
        <v>0.366666666666667</v>
      </c>
      <c r="H257" s="23">
        <f t="shared" si="44"/>
        <v>2.66666666666667</v>
      </c>
      <c r="I257" s="108">
        <f t="shared" si="40"/>
        <v>441.904761904762</v>
      </c>
      <c r="J257" s="23">
        <f t="shared" si="45"/>
        <v>14.2857142857143</v>
      </c>
      <c r="K257" s="23">
        <f t="shared" si="41"/>
        <v>3.61904761904762</v>
      </c>
      <c r="L257" s="23"/>
      <c r="M257" s="23">
        <f t="shared" si="42"/>
        <v>1428.57142857143</v>
      </c>
      <c r="N257" s="23">
        <f t="shared" si="46"/>
        <v>11.4285714285714</v>
      </c>
      <c r="O257" s="23">
        <f t="shared" si="43"/>
        <v>0.685714285714286</v>
      </c>
      <c r="P257" s="23"/>
      <c r="Q257" s="23"/>
      <c r="R257" s="48" cm="1">
        <f ca="1" t="array" ref="R257">SUMPRODUCT(D257:O257,$D$8:$O$8)</f>
        <v>4685.78697904762</v>
      </c>
      <c r="S257" s="23"/>
      <c r="T257" s="23"/>
      <c r="U257" s="23"/>
    </row>
    <row r="258" ht="16.5" spans="2:21">
      <c r="B258" s="105">
        <v>236</v>
      </c>
      <c r="C258" s="23"/>
      <c r="D258" s="106">
        <f t="shared" si="36"/>
        <v>2000</v>
      </c>
      <c r="E258" s="25">
        <f ca="1" t="shared" si="37"/>
        <v>5717.392</v>
      </c>
      <c r="F258" s="24">
        <f t="shared" si="38"/>
        <v>542.857142857143</v>
      </c>
      <c r="G258" s="23">
        <f t="shared" si="39"/>
        <v>0.366666666666667</v>
      </c>
      <c r="H258" s="23">
        <f t="shared" si="44"/>
        <v>2.66666666666667</v>
      </c>
      <c r="I258" s="108">
        <f t="shared" si="40"/>
        <v>441.904761904762</v>
      </c>
      <c r="J258" s="23">
        <f t="shared" si="45"/>
        <v>14.2857142857143</v>
      </c>
      <c r="K258" s="23">
        <f t="shared" si="41"/>
        <v>3.61904761904762</v>
      </c>
      <c r="L258" s="23"/>
      <c r="M258" s="23">
        <f t="shared" si="42"/>
        <v>1428.57142857143</v>
      </c>
      <c r="N258" s="23">
        <f t="shared" si="46"/>
        <v>11.4285714285714</v>
      </c>
      <c r="O258" s="23">
        <f t="shared" si="43"/>
        <v>0.685714285714286</v>
      </c>
      <c r="P258" s="23"/>
      <c r="Q258" s="23"/>
      <c r="R258" s="48" cm="1">
        <f ca="1" t="array" ref="R258">SUMPRODUCT(D258:O258,$D$8:$O$8)</f>
        <v>4685.78697904762</v>
      </c>
      <c r="S258" s="23"/>
      <c r="T258" s="23"/>
      <c r="U258" s="23"/>
    </row>
    <row r="259" ht="16.5" spans="2:21">
      <c r="B259" s="104">
        <v>237</v>
      </c>
      <c r="C259" s="23"/>
      <c r="D259" s="106">
        <f t="shared" si="36"/>
        <v>2000</v>
      </c>
      <c r="E259" s="25">
        <f ca="1" t="shared" si="37"/>
        <v>5717.392</v>
      </c>
      <c r="F259" s="24">
        <f t="shared" si="38"/>
        <v>542.857142857143</v>
      </c>
      <c r="G259" s="23">
        <f t="shared" si="39"/>
        <v>0.366666666666667</v>
      </c>
      <c r="H259" s="23">
        <f t="shared" si="44"/>
        <v>2.66666666666667</v>
      </c>
      <c r="I259" s="108">
        <f t="shared" si="40"/>
        <v>441.904761904762</v>
      </c>
      <c r="J259" s="23">
        <f t="shared" si="45"/>
        <v>14.2857142857143</v>
      </c>
      <c r="K259" s="23">
        <f t="shared" si="41"/>
        <v>3.61904761904762</v>
      </c>
      <c r="L259" s="23"/>
      <c r="M259" s="23">
        <f t="shared" si="42"/>
        <v>1428.57142857143</v>
      </c>
      <c r="N259" s="23">
        <f t="shared" si="46"/>
        <v>11.4285714285714</v>
      </c>
      <c r="O259" s="23">
        <f t="shared" si="43"/>
        <v>0.685714285714286</v>
      </c>
      <c r="P259" s="23"/>
      <c r="Q259" s="23"/>
      <c r="R259" s="48" cm="1">
        <f ca="1" t="array" ref="R259">SUMPRODUCT(D259:O259,$D$8:$O$8)</f>
        <v>4685.78697904762</v>
      </c>
      <c r="S259" s="23"/>
      <c r="T259" s="23"/>
      <c r="U259" s="23"/>
    </row>
    <row r="260" ht="16.5" spans="2:21">
      <c r="B260" s="105">
        <v>238</v>
      </c>
      <c r="C260" s="23"/>
      <c r="D260" s="106">
        <f t="shared" si="36"/>
        <v>2000</v>
      </c>
      <c r="E260" s="25">
        <f ca="1" t="shared" si="37"/>
        <v>5717.392</v>
      </c>
      <c r="F260" s="24">
        <f t="shared" si="38"/>
        <v>542.857142857143</v>
      </c>
      <c r="G260" s="23">
        <f t="shared" si="39"/>
        <v>0.366666666666667</v>
      </c>
      <c r="H260" s="23">
        <f t="shared" si="44"/>
        <v>2.66666666666667</v>
      </c>
      <c r="I260" s="108">
        <f t="shared" si="40"/>
        <v>441.904761904762</v>
      </c>
      <c r="J260" s="23">
        <f t="shared" si="45"/>
        <v>14.2857142857143</v>
      </c>
      <c r="K260" s="23">
        <f t="shared" si="41"/>
        <v>3.61904761904762</v>
      </c>
      <c r="L260" s="23"/>
      <c r="M260" s="23">
        <f t="shared" si="42"/>
        <v>1428.57142857143</v>
      </c>
      <c r="N260" s="23">
        <f t="shared" si="46"/>
        <v>11.4285714285714</v>
      </c>
      <c r="O260" s="23">
        <f t="shared" si="43"/>
        <v>0.685714285714286</v>
      </c>
      <c r="P260" s="23"/>
      <c r="Q260" s="23"/>
      <c r="R260" s="48" cm="1">
        <f ca="1" t="array" ref="R260">SUMPRODUCT(D260:O260,$D$8:$O$8)</f>
        <v>4685.78697904762</v>
      </c>
      <c r="S260" s="23"/>
      <c r="T260" s="23"/>
      <c r="U260" s="23"/>
    </row>
    <row r="261" ht="16.5" spans="2:21">
      <c r="B261" s="104">
        <v>239</v>
      </c>
      <c r="C261" s="23"/>
      <c r="D261" s="106">
        <f t="shared" si="36"/>
        <v>2000</v>
      </c>
      <c r="E261" s="25">
        <f ca="1" t="shared" si="37"/>
        <v>5717.392</v>
      </c>
      <c r="F261" s="24">
        <f t="shared" si="38"/>
        <v>542.857142857143</v>
      </c>
      <c r="G261" s="23">
        <f t="shared" si="39"/>
        <v>0.366666666666667</v>
      </c>
      <c r="H261" s="23">
        <f t="shared" si="44"/>
        <v>2.66666666666667</v>
      </c>
      <c r="I261" s="108">
        <f t="shared" si="40"/>
        <v>441.904761904762</v>
      </c>
      <c r="J261" s="23">
        <f t="shared" si="45"/>
        <v>14.2857142857143</v>
      </c>
      <c r="K261" s="23">
        <f t="shared" si="41"/>
        <v>3.61904761904762</v>
      </c>
      <c r="L261" s="23"/>
      <c r="M261" s="23">
        <f t="shared" si="42"/>
        <v>1428.57142857143</v>
      </c>
      <c r="N261" s="23">
        <f t="shared" si="46"/>
        <v>11.4285714285714</v>
      </c>
      <c r="O261" s="23">
        <f t="shared" si="43"/>
        <v>0.685714285714286</v>
      </c>
      <c r="P261" s="23"/>
      <c r="Q261" s="23"/>
      <c r="R261" s="48" cm="1">
        <f ca="1" t="array" ref="R261">SUMPRODUCT(D261:O261,$D$8:$O$8)</f>
        <v>4685.78697904762</v>
      </c>
      <c r="S261" s="23"/>
      <c r="T261" s="23"/>
      <c r="U261" s="23"/>
    </row>
    <row r="262" ht="16.5" spans="2:21">
      <c r="B262" s="105">
        <v>240</v>
      </c>
      <c r="C262" s="23"/>
      <c r="D262" s="106">
        <f t="shared" si="36"/>
        <v>2000</v>
      </c>
      <c r="E262" s="25">
        <f ca="1" t="shared" si="37"/>
        <v>5717.392</v>
      </c>
      <c r="F262" s="24">
        <f t="shared" si="38"/>
        <v>542.857142857143</v>
      </c>
      <c r="G262" s="23">
        <f t="shared" si="39"/>
        <v>0.366666666666667</v>
      </c>
      <c r="H262" s="23">
        <f t="shared" si="44"/>
        <v>2.66666666666667</v>
      </c>
      <c r="I262" s="108">
        <f t="shared" si="40"/>
        <v>441.904761904762</v>
      </c>
      <c r="J262" s="23">
        <f t="shared" si="45"/>
        <v>14.2857142857143</v>
      </c>
      <c r="K262" s="23">
        <f t="shared" si="41"/>
        <v>3.61904761904762</v>
      </c>
      <c r="L262" s="23"/>
      <c r="M262" s="23">
        <f t="shared" si="42"/>
        <v>1428.57142857143</v>
      </c>
      <c r="N262" s="23">
        <f t="shared" si="46"/>
        <v>11.4285714285714</v>
      </c>
      <c r="O262" s="23">
        <f t="shared" si="43"/>
        <v>0.685714285714286</v>
      </c>
      <c r="P262" s="23"/>
      <c r="Q262" s="23"/>
      <c r="R262" s="48" cm="1">
        <f ca="1" t="array" ref="R262">SUMPRODUCT(D262:O262,$D$8:$O$8)</f>
        <v>4685.78697904762</v>
      </c>
      <c r="S262" s="23"/>
      <c r="T262" s="23"/>
      <c r="U262" s="23"/>
    </row>
    <row r="263" ht="16.5" spans="2:21">
      <c r="B263" s="104">
        <v>241</v>
      </c>
      <c r="C263" s="23"/>
      <c r="D263" s="106">
        <f t="shared" si="36"/>
        <v>2000</v>
      </c>
      <c r="E263" s="25">
        <f ca="1" t="shared" si="37"/>
        <v>5717.392</v>
      </c>
      <c r="F263" s="24">
        <f t="shared" si="38"/>
        <v>542.857142857143</v>
      </c>
      <c r="G263" s="23">
        <f t="shared" si="39"/>
        <v>0.366666666666667</v>
      </c>
      <c r="H263" s="23">
        <f t="shared" si="44"/>
        <v>2.66666666666667</v>
      </c>
      <c r="I263" s="108">
        <f t="shared" si="40"/>
        <v>441.904761904762</v>
      </c>
      <c r="J263" s="23">
        <f t="shared" si="45"/>
        <v>14.2857142857143</v>
      </c>
      <c r="K263" s="23">
        <f t="shared" si="41"/>
        <v>3.61904761904762</v>
      </c>
      <c r="L263" s="23"/>
      <c r="M263" s="23">
        <f t="shared" si="42"/>
        <v>1428.57142857143</v>
      </c>
      <c r="N263" s="23">
        <f t="shared" si="46"/>
        <v>11.4285714285714</v>
      </c>
      <c r="O263" s="23">
        <f t="shared" si="43"/>
        <v>0.685714285714286</v>
      </c>
      <c r="P263" s="23"/>
      <c r="Q263" s="23"/>
      <c r="R263" s="48" cm="1">
        <f ca="1" t="array" ref="R263">SUMPRODUCT(D263:O263,$D$8:$O$8)</f>
        <v>4685.78697904762</v>
      </c>
      <c r="S263" s="23"/>
      <c r="T263" s="23"/>
      <c r="U263" s="23"/>
    </row>
    <row r="264" ht="16.5" spans="2:21">
      <c r="B264" s="105">
        <v>242</v>
      </c>
      <c r="C264" s="23"/>
      <c r="D264" s="106">
        <f t="shared" si="36"/>
        <v>2000</v>
      </c>
      <c r="E264" s="25">
        <f ca="1" t="shared" si="37"/>
        <v>5717.392</v>
      </c>
      <c r="F264" s="24">
        <f t="shared" si="38"/>
        <v>542.857142857143</v>
      </c>
      <c r="G264" s="23">
        <f t="shared" si="39"/>
        <v>0.366666666666667</v>
      </c>
      <c r="H264" s="23">
        <f t="shared" si="44"/>
        <v>2.66666666666667</v>
      </c>
      <c r="I264" s="108">
        <f t="shared" si="40"/>
        <v>441.904761904762</v>
      </c>
      <c r="J264" s="23">
        <f t="shared" si="45"/>
        <v>14.2857142857143</v>
      </c>
      <c r="K264" s="23">
        <f t="shared" si="41"/>
        <v>3.61904761904762</v>
      </c>
      <c r="L264" s="23"/>
      <c r="M264" s="23">
        <f t="shared" si="42"/>
        <v>1428.57142857143</v>
      </c>
      <c r="N264" s="23">
        <f t="shared" si="46"/>
        <v>11.4285714285714</v>
      </c>
      <c r="O264" s="23">
        <f t="shared" si="43"/>
        <v>0.685714285714286</v>
      </c>
      <c r="P264" s="23"/>
      <c r="Q264" s="23"/>
      <c r="R264" s="48" cm="1">
        <f ca="1" t="array" ref="R264">SUMPRODUCT(D264:O264,$D$8:$O$8)</f>
        <v>4685.78697904762</v>
      </c>
      <c r="S264" s="23"/>
      <c r="T264" s="23"/>
      <c r="U264" s="23"/>
    </row>
    <row r="265" ht="16.5" spans="2:21">
      <c r="B265" s="104">
        <v>243</v>
      </c>
      <c r="C265" s="23"/>
      <c r="D265" s="106">
        <f t="shared" si="36"/>
        <v>2000</v>
      </c>
      <c r="E265" s="25">
        <f ca="1" t="shared" si="37"/>
        <v>5717.392</v>
      </c>
      <c r="F265" s="24">
        <f t="shared" si="38"/>
        <v>542.857142857143</v>
      </c>
      <c r="G265" s="23">
        <f t="shared" si="39"/>
        <v>0.366666666666667</v>
      </c>
      <c r="H265" s="23">
        <f t="shared" si="44"/>
        <v>2.66666666666667</v>
      </c>
      <c r="I265" s="108">
        <f t="shared" si="40"/>
        <v>441.904761904762</v>
      </c>
      <c r="J265" s="23">
        <f t="shared" si="45"/>
        <v>14.2857142857143</v>
      </c>
      <c r="K265" s="23">
        <f t="shared" si="41"/>
        <v>3.61904761904762</v>
      </c>
      <c r="L265" s="23"/>
      <c r="M265" s="23">
        <f t="shared" si="42"/>
        <v>1428.57142857143</v>
      </c>
      <c r="N265" s="23">
        <f t="shared" si="46"/>
        <v>11.4285714285714</v>
      </c>
      <c r="O265" s="23">
        <f t="shared" si="43"/>
        <v>0.685714285714286</v>
      </c>
      <c r="P265" s="23"/>
      <c r="Q265" s="23"/>
      <c r="R265" s="48" cm="1">
        <f ca="1" t="array" ref="R265">SUMPRODUCT(D265:O265,$D$8:$O$8)</f>
        <v>4685.78697904762</v>
      </c>
      <c r="S265" s="23"/>
      <c r="T265" s="23"/>
      <c r="U265" s="23"/>
    </row>
    <row r="266" ht="16.5" spans="2:21">
      <c r="B266" s="105">
        <v>244</v>
      </c>
      <c r="C266" s="23"/>
      <c r="D266" s="106">
        <f t="shared" si="36"/>
        <v>2000</v>
      </c>
      <c r="E266" s="25">
        <f ca="1" t="shared" si="37"/>
        <v>5717.392</v>
      </c>
      <c r="F266" s="24">
        <f t="shared" si="38"/>
        <v>542.857142857143</v>
      </c>
      <c r="G266" s="23">
        <f t="shared" si="39"/>
        <v>0.366666666666667</v>
      </c>
      <c r="H266" s="23">
        <f t="shared" si="44"/>
        <v>2.66666666666667</v>
      </c>
      <c r="I266" s="108">
        <f t="shared" si="40"/>
        <v>441.904761904762</v>
      </c>
      <c r="J266" s="23">
        <f t="shared" si="45"/>
        <v>14.2857142857143</v>
      </c>
      <c r="K266" s="23">
        <f t="shared" si="41"/>
        <v>3.61904761904762</v>
      </c>
      <c r="L266" s="23"/>
      <c r="M266" s="23">
        <f t="shared" si="42"/>
        <v>1428.57142857143</v>
      </c>
      <c r="N266" s="23">
        <f t="shared" si="46"/>
        <v>11.4285714285714</v>
      </c>
      <c r="O266" s="23">
        <f t="shared" si="43"/>
        <v>0.685714285714286</v>
      </c>
      <c r="P266" s="23"/>
      <c r="Q266" s="23"/>
      <c r="R266" s="48" cm="1">
        <f ca="1" t="array" ref="R266">SUMPRODUCT(D266:O266,$D$8:$O$8)</f>
        <v>4685.78697904762</v>
      </c>
      <c r="S266" s="23"/>
      <c r="T266" s="23"/>
      <c r="U266" s="23"/>
    </row>
    <row r="267" ht="16.5" spans="2:21">
      <c r="B267" s="104">
        <v>245</v>
      </c>
      <c r="C267" s="23"/>
      <c r="D267" s="106">
        <f t="shared" si="36"/>
        <v>2000</v>
      </c>
      <c r="E267" s="25">
        <f ca="1" t="shared" si="37"/>
        <v>5717.392</v>
      </c>
      <c r="F267" s="24">
        <f t="shared" si="38"/>
        <v>542.857142857143</v>
      </c>
      <c r="G267" s="23">
        <f t="shared" si="39"/>
        <v>0.366666666666667</v>
      </c>
      <c r="H267" s="23">
        <f t="shared" si="44"/>
        <v>2.66666666666667</v>
      </c>
      <c r="I267" s="108">
        <f t="shared" si="40"/>
        <v>441.904761904762</v>
      </c>
      <c r="J267" s="23">
        <f t="shared" si="45"/>
        <v>14.2857142857143</v>
      </c>
      <c r="K267" s="23">
        <f t="shared" si="41"/>
        <v>3.61904761904762</v>
      </c>
      <c r="L267" s="23"/>
      <c r="M267" s="23">
        <f t="shared" si="42"/>
        <v>1428.57142857143</v>
      </c>
      <c r="N267" s="23">
        <f t="shared" si="46"/>
        <v>11.4285714285714</v>
      </c>
      <c r="O267" s="23">
        <f t="shared" si="43"/>
        <v>0.685714285714286</v>
      </c>
      <c r="P267" s="23"/>
      <c r="Q267" s="23"/>
      <c r="R267" s="48" cm="1">
        <f ca="1" t="array" ref="R267">SUMPRODUCT(D267:O267,$D$8:$O$8)</f>
        <v>4685.78697904762</v>
      </c>
      <c r="S267" s="23"/>
      <c r="T267" s="23"/>
      <c r="U267" s="23"/>
    </row>
    <row r="268" ht="16.5" spans="2:21">
      <c r="B268" s="105">
        <v>246</v>
      </c>
      <c r="C268" s="23"/>
      <c r="D268" s="106">
        <f t="shared" si="36"/>
        <v>2000</v>
      </c>
      <c r="E268" s="25">
        <f ca="1" t="shared" si="37"/>
        <v>5717.392</v>
      </c>
      <c r="F268" s="24">
        <f t="shared" si="38"/>
        <v>542.857142857143</v>
      </c>
      <c r="G268" s="23">
        <f t="shared" si="39"/>
        <v>0.366666666666667</v>
      </c>
      <c r="H268" s="23">
        <f t="shared" si="44"/>
        <v>2.66666666666667</v>
      </c>
      <c r="I268" s="108">
        <f t="shared" si="40"/>
        <v>441.904761904762</v>
      </c>
      <c r="J268" s="23">
        <f t="shared" si="45"/>
        <v>14.2857142857143</v>
      </c>
      <c r="K268" s="23">
        <f t="shared" si="41"/>
        <v>3.61904761904762</v>
      </c>
      <c r="L268" s="23"/>
      <c r="M268" s="23">
        <f t="shared" si="42"/>
        <v>1428.57142857143</v>
      </c>
      <c r="N268" s="23">
        <f t="shared" si="46"/>
        <v>11.4285714285714</v>
      </c>
      <c r="O268" s="23">
        <f t="shared" si="43"/>
        <v>0.685714285714286</v>
      </c>
      <c r="P268" s="23"/>
      <c r="Q268" s="23"/>
      <c r="R268" s="48" cm="1">
        <f ca="1" t="array" ref="R268">SUMPRODUCT(D268:O268,$D$8:$O$8)</f>
        <v>4685.78697904762</v>
      </c>
      <c r="S268" s="23"/>
      <c r="T268" s="23"/>
      <c r="U268" s="23"/>
    </row>
    <row r="269" ht="16.5" spans="2:21">
      <c r="B269" s="104">
        <v>247</v>
      </c>
      <c r="C269" s="23"/>
      <c r="D269" s="106">
        <f t="shared" si="36"/>
        <v>2000</v>
      </c>
      <c r="E269" s="25">
        <f ca="1" t="shared" si="37"/>
        <v>5717.392</v>
      </c>
      <c r="F269" s="24">
        <f t="shared" si="38"/>
        <v>542.857142857143</v>
      </c>
      <c r="G269" s="23">
        <f t="shared" si="39"/>
        <v>0.366666666666667</v>
      </c>
      <c r="H269" s="23">
        <f t="shared" si="44"/>
        <v>2.66666666666667</v>
      </c>
      <c r="I269" s="108">
        <f t="shared" si="40"/>
        <v>441.904761904762</v>
      </c>
      <c r="J269" s="23">
        <f t="shared" si="45"/>
        <v>14.2857142857143</v>
      </c>
      <c r="K269" s="23">
        <f t="shared" si="41"/>
        <v>3.61904761904762</v>
      </c>
      <c r="L269" s="23"/>
      <c r="M269" s="23">
        <f t="shared" si="42"/>
        <v>1428.57142857143</v>
      </c>
      <c r="N269" s="23">
        <f t="shared" si="46"/>
        <v>11.4285714285714</v>
      </c>
      <c r="O269" s="23">
        <f t="shared" si="43"/>
        <v>0.685714285714286</v>
      </c>
      <c r="P269" s="23"/>
      <c r="Q269" s="23"/>
      <c r="R269" s="48" cm="1">
        <f ca="1" t="array" ref="R269">SUMPRODUCT(D269:O269,$D$8:$O$8)</f>
        <v>4685.78697904762</v>
      </c>
      <c r="S269" s="23"/>
      <c r="T269" s="23"/>
      <c r="U269" s="23"/>
    </row>
    <row r="270" ht="16.5" spans="2:21">
      <c r="B270" s="105">
        <v>248</v>
      </c>
      <c r="C270" s="23"/>
      <c r="D270" s="106">
        <f t="shared" si="36"/>
        <v>2000</v>
      </c>
      <c r="E270" s="25">
        <f ca="1" t="shared" si="37"/>
        <v>5717.392</v>
      </c>
      <c r="F270" s="24">
        <f t="shared" si="38"/>
        <v>542.857142857143</v>
      </c>
      <c r="G270" s="23">
        <f t="shared" si="39"/>
        <v>0.366666666666667</v>
      </c>
      <c r="H270" s="23">
        <f t="shared" si="44"/>
        <v>2.66666666666667</v>
      </c>
      <c r="I270" s="108">
        <f t="shared" si="40"/>
        <v>441.904761904762</v>
      </c>
      <c r="J270" s="23">
        <f t="shared" si="45"/>
        <v>14.2857142857143</v>
      </c>
      <c r="K270" s="23">
        <f t="shared" si="41"/>
        <v>3.61904761904762</v>
      </c>
      <c r="L270" s="23"/>
      <c r="M270" s="23">
        <f t="shared" si="42"/>
        <v>1428.57142857143</v>
      </c>
      <c r="N270" s="23">
        <f t="shared" si="46"/>
        <v>11.4285714285714</v>
      </c>
      <c r="O270" s="23">
        <f t="shared" si="43"/>
        <v>0.685714285714286</v>
      </c>
      <c r="P270" s="23"/>
      <c r="Q270" s="23"/>
      <c r="R270" s="48" cm="1">
        <f ca="1" t="array" ref="R270">SUMPRODUCT(D270:O270,$D$8:$O$8)</f>
        <v>4685.78697904762</v>
      </c>
      <c r="S270" s="23"/>
      <c r="T270" s="23"/>
      <c r="U270" s="23"/>
    </row>
    <row r="271" ht="16.5" spans="2:21">
      <c r="B271" s="104">
        <v>249</v>
      </c>
      <c r="C271" s="23"/>
      <c r="D271" s="106">
        <f t="shared" si="36"/>
        <v>2000</v>
      </c>
      <c r="E271" s="25">
        <f ca="1" t="shared" si="37"/>
        <v>5758.864</v>
      </c>
      <c r="F271" s="24">
        <f t="shared" si="38"/>
        <v>542.857142857143</v>
      </c>
      <c r="G271" s="23">
        <f t="shared" si="39"/>
        <v>0.366666666666667</v>
      </c>
      <c r="H271" s="23">
        <f t="shared" si="44"/>
        <v>2.66666666666667</v>
      </c>
      <c r="I271" s="108">
        <f t="shared" si="40"/>
        <v>441.904761904762</v>
      </c>
      <c r="J271" s="23">
        <f t="shared" si="45"/>
        <v>14.2857142857143</v>
      </c>
      <c r="K271" s="23">
        <f t="shared" si="41"/>
        <v>3.61904761904762</v>
      </c>
      <c r="L271" s="23"/>
      <c r="M271" s="23">
        <f t="shared" si="42"/>
        <v>1428.57142857143</v>
      </c>
      <c r="N271" s="23">
        <f t="shared" si="46"/>
        <v>11.4285714285714</v>
      </c>
      <c r="O271" s="23">
        <f t="shared" si="43"/>
        <v>0.685714285714286</v>
      </c>
      <c r="P271" s="23"/>
      <c r="Q271" s="23"/>
      <c r="R271" s="48" cm="1">
        <f ca="1" t="array" ref="R271">SUMPRODUCT(D271:O271,$D$8:$O$8)</f>
        <v>4699.47273904762</v>
      </c>
      <c r="S271" s="23"/>
      <c r="T271" s="23"/>
      <c r="U271" s="23"/>
    </row>
    <row r="272" ht="16.5" spans="2:21">
      <c r="B272" s="105">
        <v>250</v>
      </c>
      <c r="C272" s="23"/>
      <c r="D272" s="106">
        <f t="shared" si="36"/>
        <v>2000</v>
      </c>
      <c r="E272" s="25">
        <f ca="1" t="shared" si="37"/>
        <v>5758.864</v>
      </c>
      <c r="F272" s="24">
        <f t="shared" si="38"/>
        <v>542.857142857143</v>
      </c>
      <c r="G272" s="23">
        <f t="shared" si="39"/>
        <v>0.366666666666667</v>
      </c>
      <c r="H272" s="23">
        <f t="shared" si="44"/>
        <v>2.66666666666667</v>
      </c>
      <c r="I272" s="108">
        <f t="shared" si="40"/>
        <v>441.904761904762</v>
      </c>
      <c r="J272" s="23">
        <f t="shared" si="45"/>
        <v>14.2857142857143</v>
      </c>
      <c r="K272" s="23">
        <f t="shared" si="41"/>
        <v>3.61904761904762</v>
      </c>
      <c r="L272" s="23"/>
      <c r="M272" s="23">
        <f t="shared" si="42"/>
        <v>1428.57142857143</v>
      </c>
      <c r="N272" s="23">
        <f t="shared" si="46"/>
        <v>11.4285714285714</v>
      </c>
      <c r="O272" s="23">
        <f t="shared" si="43"/>
        <v>0.685714285714286</v>
      </c>
      <c r="P272" s="23"/>
      <c r="Q272" s="23"/>
      <c r="R272" s="48" cm="1">
        <f ca="1" t="array" ref="R272">SUMPRODUCT(D272:O272,$D$8:$O$8)</f>
        <v>4699.47273904762</v>
      </c>
      <c r="S272" s="23"/>
      <c r="T272" s="23"/>
      <c r="U272" s="23"/>
    </row>
    <row r="273" ht="16.5" spans="2:21">
      <c r="B273" s="104">
        <v>251</v>
      </c>
      <c r="C273" s="23"/>
      <c r="D273" s="106">
        <f t="shared" si="36"/>
        <v>2000</v>
      </c>
      <c r="E273" s="25">
        <f ca="1" t="shared" si="37"/>
        <v>5758.864</v>
      </c>
      <c r="F273" s="24">
        <f t="shared" si="38"/>
        <v>542.857142857143</v>
      </c>
      <c r="G273" s="23">
        <f t="shared" si="39"/>
        <v>0.366666666666667</v>
      </c>
      <c r="H273" s="23">
        <f t="shared" si="44"/>
        <v>2.66666666666667</v>
      </c>
      <c r="I273" s="108">
        <f t="shared" si="40"/>
        <v>441.904761904762</v>
      </c>
      <c r="J273" s="23">
        <f t="shared" si="45"/>
        <v>14.2857142857143</v>
      </c>
      <c r="K273" s="23">
        <f t="shared" si="41"/>
        <v>3.61904761904762</v>
      </c>
      <c r="L273" s="23"/>
      <c r="M273" s="23">
        <f t="shared" si="42"/>
        <v>1428.57142857143</v>
      </c>
      <c r="N273" s="23">
        <f t="shared" si="46"/>
        <v>11.4285714285714</v>
      </c>
      <c r="O273" s="23">
        <f t="shared" si="43"/>
        <v>0.685714285714286</v>
      </c>
      <c r="P273" s="23"/>
      <c r="Q273" s="23"/>
      <c r="R273" s="48" cm="1">
        <f ca="1" t="array" ref="R273">SUMPRODUCT(D273:O273,$D$8:$O$8)</f>
        <v>4699.47273904762</v>
      </c>
      <c r="S273" s="23"/>
      <c r="T273" s="23"/>
      <c r="U273" s="23"/>
    </row>
    <row r="274" ht="16.5" spans="2:21">
      <c r="B274" s="105">
        <v>252</v>
      </c>
      <c r="C274" s="23"/>
      <c r="D274" s="106">
        <f t="shared" si="36"/>
        <v>2000</v>
      </c>
      <c r="E274" s="25">
        <f ca="1" t="shared" si="37"/>
        <v>5758.864</v>
      </c>
      <c r="F274" s="24">
        <f t="shared" si="38"/>
        <v>542.857142857143</v>
      </c>
      <c r="G274" s="23">
        <f t="shared" si="39"/>
        <v>0.366666666666667</v>
      </c>
      <c r="H274" s="23">
        <f t="shared" si="44"/>
        <v>2.66666666666667</v>
      </c>
      <c r="I274" s="108">
        <f t="shared" si="40"/>
        <v>441.904761904762</v>
      </c>
      <c r="J274" s="23">
        <f t="shared" si="45"/>
        <v>14.2857142857143</v>
      </c>
      <c r="K274" s="23">
        <f t="shared" si="41"/>
        <v>3.61904761904762</v>
      </c>
      <c r="L274" s="23"/>
      <c r="M274" s="23">
        <f t="shared" si="42"/>
        <v>1428.57142857143</v>
      </c>
      <c r="N274" s="23">
        <f t="shared" si="46"/>
        <v>11.4285714285714</v>
      </c>
      <c r="O274" s="23">
        <f t="shared" si="43"/>
        <v>0.685714285714286</v>
      </c>
      <c r="P274" s="23"/>
      <c r="Q274" s="23"/>
      <c r="R274" s="48" cm="1">
        <f ca="1" t="array" ref="R274">SUMPRODUCT(D274:O274,$D$8:$O$8)</f>
        <v>4699.47273904762</v>
      </c>
      <c r="S274" s="23"/>
      <c r="T274" s="23"/>
      <c r="U274" s="23"/>
    </row>
    <row r="275" ht="16.5" spans="2:21">
      <c r="B275" s="104">
        <v>253</v>
      </c>
      <c r="C275" s="23"/>
      <c r="D275" s="106">
        <f t="shared" si="36"/>
        <v>2000</v>
      </c>
      <c r="E275" s="25">
        <f ca="1" t="shared" si="37"/>
        <v>5758.864</v>
      </c>
      <c r="F275" s="24">
        <f t="shared" si="38"/>
        <v>542.857142857143</v>
      </c>
      <c r="G275" s="23">
        <f t="shared" si="39"/>
        <v>0.366666666666667</v>
      </c>
      <c r="H275" s="23">
        <f t="shared" si="44"/>
        <v>2.66666666666667</v>
      </c>
      <c r="I275" s="108">
        <f t="shared" si="40"/>
        <v>441.904761904762</v>
      </c>
      <c r="J275" s="23">
        <f t="shared" si="45"/>
        <v>14.2857142857143</v>
      </c>
      <c r="K275" s="23">
        <f t="shared" si="41"/>
        <v>3.61904761904762</v>
      </c>
      <c r="L275" s="23"/>
      <c r="M275" s="23">
        <f t="shared" si="42"/>
        <v>1428.57142857143</v>
      </c>
      <c r="N275" s="23">
        <f t="shared" si="46"/>
        <v>11.4285714285714</v>
      </c>
      <c r="O275" s="23">
        <f t="shared" si="43"/>
        <v>0.685714285714286</v>
      </c>
      <c r="P275" s="23"/>
      <c r="Q275" s="23"/>
      <c r="R275" s="48" cm="1">
        <f ca="1" t="array" ref="R275">SUMPRODUCT(D275:O275,$D$8:$O$8)</f>
        <v>4699.47273904762</v>
      </c>
      <c r="S275" s="23"/>
      <c r="T275" s="23"/>
      <c r="U275" s="23"/>
    </row>
    <row r="276" ht="16.5" spans="2:21">
      <c r="B276" s="105">
        <v>254</v>
      </c>
      <c r="C276" s="23"/>
      <c r="D276" s="106">
        <f t="shared" si="36"/>
        <v>2000</v>
      </c>
      <c r="E276" s="25">
        <f ca="1" t="shared" si="37"/>
        <v>5758.864</v>
      </c>
      <c r="F276" s="24">
        <f t="shared" si="38"/>
        <v>542.857142857143</v>
      </c>
      <c r="G276" s="23">
        <f t="shared" si="39"/>
        <v>0.366666666666667</v>
      </c>
      <c r="H276" s="23">
        <f t="shared" si="44"/>
        <v>2.66666666666667</v>
      </c>
      <c r="I276" s="108">
        <f t="shared" si="40"/>
        <v>441.904761904762</v>
      </c>
      <c r="J276" s="23">
        <f t="shared" si="45"/>
        <v>14.2857142857143</v>
      </c>
      <c r="K276" s="23">
        <f t="shared" si="41"/>
        <v>3.61904761904762</v>
      </c>
      <c r="L276" s="23"/>
      <c r="M276" s="23">
        <f t="shared" si="42"/>
        <v>1428.57142857143</v>
      </c>
      <c r="N276" s="23">
        <f t="shared" si="46"/>
        <v>11.4285714285714</v>
      </c>
      <c r="O276" s="23">
        <f t="shared" si="43"/>
        <v>0.685714285714286</v>
      </c>
      <c r="P276" s="23"/>
      <c r="Q276" s="23"/>
      <c r="R276" s="48" cm="1">
        <f ca="1" t="array" ref="R276">SUMPRODUCT(D276:O276,$D$8:$O$8)</f>
        <v>4699.47273904762</v>
      </c>
      <c r="S276" s="23"/>
      <c r="T276" s="23"/>
      <c r="U276" s="23"/>
    </row>
    <row r="277" ht="16.5" spans="2:21">
      <c r="B277" s="104">
        <v>255</v>
      </c>
      <c r="C277" s="23"/>
      <c r="D277" s="106">
        <f t="shared" si="36"/>
        <v>2000</v>
      </c>
      <c r="E277" s="25">
        <f ca="1" t="shared" si="37"/>
        <v>5758.864</v>
      </c>
      <c r="F277" s="24">
        <f t="shared" si="38"/>
        <v>542.857142857143</v>
      </c>
      <c r="G277" s="23">
        <f t="shared" si="39"/>
        <v>0.366666666666667</v>
      </c>
      <c r="H277" s="23">
        <f t="shared" si="44"/>
        <v>2.66666666666667</v>
      </c>
      <c r="I277" s="108">
        <f t="shared" si="40"/>
        <v>441.904761904762</v>
      </c>
      <c r="J277" s="23">
        <f t="shared" si="45"/>
        <v>14.2857142857143</v>
      </c>
      <c r="K277" s="23">
        <f t="shared" si="41"/>
        <v>3.61904761904762</v>
      </c>
      <c r="L277" s="23"/>
      <c r="M277" s="23">
        <f t="shared" si="42"/>
        <v>1428.57142857143</v>
      </c>
      <c r="N277" s="23">
        <f t="shared" si="46"/>
        <v>11.4285714285714</v>
      </c>
      <c r="O277" s="23">
        <f t="shared" si="43"/>
        <v>0.685714285714286</v>
      </c>
      <c r="P277" s="23"/>
      <c r="Q277" s="23"/>
      <c r="R277" s="48" cm="1">
        <f ca="1" t="array" ref="R277">SUMPRODUCT(D277:O277,$D$8:$O$8)</f>
        <v>4699.47273904762</v>
      </c>
      <c r="S277" s="23"/>
      <c r="T277" s="23"/>
      <c r="U277" s="23"/>
    </row>
    <row r="278" ht="16.5" spans="2:21">
      <c r="B278" s="105">
        <v>256</v>
      </c>
      <c r="C278" s="23"/>
      <c r="D278" s="106">
        <f t="shared" si="36"/>
        <v>2000</v>
      </c>
      <c r="E278" s="25">
        <f ca="1" t="shared" si="37"/>
        <v>5758.864</v>
      </c>
      <c r="F278" s="24">
        <f t="shared" si="38"/>
        <v>542.857142857143</v>
      </c>
      <c r="G278" s="23">
        <f t="shared" si="39"/>
        <v>0.366666666666667</v>
      </c>
      <c r="H278" s="23">
        <f t="shared" si="44"/>
        <v>2.66666666666667</v>
      </c>
      <c r="I278" s="108">
        <f t="shared" si="40"/>
        <v>441.904761904762</v>
      </c>
      <c r="J278" s="23">
        <f t="shared" si="45"/>
        <v>14.2857142857143</v>
      </c>
      <c r="K278" s="23">
        <f t="shared" si="41"/>
        <v>3.61904761904762</v>
      </c>
      <c r="L278" s="23"/>
      <c r="M278" s="23">
        <f t="shared" si="42"/>
        <v>1428.57142857143</v>
      </c>
      <c r="N278" s="23">
        <f t="shared" si="46"/>
        <v>11.4285714285714</v>
      </c>
      <c r="O278" s="23">
        <f t="shared" si="43"/>
        <v>0.685714285714286</v>
      </c>
      <c r="P278" s="23"/>
      <c r="Q278" s="23"/>
      <c r="R278" s="48" cm="1">
        <f ca="1" t="array" ref="R278">SUMPRODUCT(D278:O278,$D$8:$O$8)</f>
        <v>4699.47273904762</v>
      </c>
      <c r="S278" s="23"/>
      <c r="T278" s="23"/>
      <c r="U278" s="23"/>
    </row>
    <row r="279" ht="16.5" spans="2:21">
      <c r="B279" s="104">
        <v>257</v>
      </c>
      <c r="C279" s="23"/>
      <c r="D279" s="106">
        <f t="shared" si="36"/>
        <v>2000</v>
      </c>
      <c r="E279" s="25">
        <f ca="1" t="shared" si="37"/>
        <v>5758.864</v>
      </c>
      <c r="F279" s="24">
        <f t="shared" si="38"/>
        <v>542.857142857143</v>
      </c>
      <c r="G279" s="23">
        <f t="shared" si="39"/>
        <v>0.366666666666667</v>
      </c>
      <c r="H279" s="23">
        <f t="shared" si="44"/>
        <v>2.66666666666667</v>
      </c>
      <c r="I279" s="108">
        <f t="shared" si="40"/>
        <v>441.904761904762</v>
      </c>
      <c r="J279" s="23">
        <f t="shared" si="45"/>
        <v>14.2857142857143</v>
      </c>
      <c r="K279" s="23">
        <f t="shared" si="41"/>
        <v>3.61904761904762</v>
      </c>
      <c r="L279" s="23"/>
      <c r="M279" s="23">
        <f t="shared" si="42"/>
        <v>1428.57142857143</v>
      </c>
      <c r="N279" s="23">
        <f t="shared" si="46"/>
        <v>11.4285714285714</v>
      </c>
      <c r="O279" s="23">
        <f t="shared" si="43"/>
        <v>0.685714285714286</v>
      </c>
      <c r="P279" s="23"/>
      <c r="Q279" s="23"/>
      <c r="R279" s="48" cm="1">
        <f ca="1" t="array" ref="R279">SUMPRODUCT(D279:O279,$D$8:$O$8)</f>
        <v>4699.47273904762</v>
      </c>
      <c r="S279" s="23"/>
      <c r="T279" s="23"/>
      <c r="U279" s="23"/>
    </row>
    <row r="280" ht="16.5" spans="2:21">
      <c r="B280" s="105">
        <v>258</v>
      </c>
      <c r="C280" s="23"/>
      <c r="D280" s="106">
        <f t="shared" ref="D280:D322" si="47">$D$12+$D$13+$D$14</f>
        <v>2000</v>
      </c>
      <c r="E280" s="25">
        <f ca="1" t="shared" si="37"/>
        <v>5758.864</v>
      </c>
      <c r="F280" s="24">
        <f t="shared" si="38"/>
        <v>542.857142857143</v>
      </c>
      <c r="G280" s="23">
        <f t="shared" si="39"/>
        <v>0.366666666666667</v>
      </c>
      <c r="H280" s="23">
        <f t="shared" si="44"/>
        <v>2.66666666666667</v>
      </c>
      <c r="I280" s="108">
        <f t="shared" si="40"/>
        <v>441.904761904762</v>
      </c>
      <c r="J280" s="23">
        <f t="shared" si="45"/>
        <v>14.2857142857143</v>
      </c>
      <c r="K280" s="23">
        <f t="shared" si="41"/>
        <v>3.61904761904762</v>
      </c>
      <c r="L280" s="23"/>
      <c r="M280" s="23">
        <f t="shared" si="42"/>
        <v>1428.57142857143</v>
      </c>
      <c r="N280" s="23">
        <f t="shared" si="46"/>
        <v>11.4285714285714</v>
      </c>
      <c r="O280" s="23">
        <f t="shared" si="43"/>
        <v>0.685714285714286</v>
      </c>
      <c r="P280" s="23"/>
      <c r="Q280" s="23"/>
      <c r="R280" s="48" cm="1">
        <f ca="1" t="array" ref="R280">SUMPRODUCT(D280:O280,$D$8:$O$8)</f>
        <v>4699.47273904762</v>
      </c>
      <c r="S280" s="23"/>
      <c r="T280" s="23"/>
      <c r="U280" s="23"/>
    </row>
    <row r="281" ht="16.5" spans="2:21">
      <c r="B281" s="104">
        <v>259</v>
      </c>
      <c r="C281" s="23"/>
      <c r="D281" s="106">
        <f t="shared" si="47"/>
        <v>2000</v>
      </c>
      <c r="E281" s="25">
        <f ca="1" t="shared" si="37"/>
        <v>5758.864</v>
      </c>
      <c r="F281" s="24">
        <f t="shared" si="38"/>
        <v>542.857142857143</v>
      </c>
      <c r="G281" s="23">
        <f t="shared" si="39"/>
        <v>0.366666666666667</v>
      </c>
      <c r="H281" s="23">
        <f t="shared" si="44"/>
        <v>2.66666666666667</v>
      </c>
      <c r="I281" s="108">
        <f t="shared" si="40"/>
        <v>441.904761904762</v>
      </c>
      <c r="J281" s="23">
        <f t="shared" si="45"/>
        <v>14.2857142857143</v>
      </c>
      <c r="K281" s="23">
        <f t="shared" si="41"/>
        <v>3.61904761904762</v>
      </c>
      <c r="L281" s="23"/>
      <c r="M281" s="23">
        <f t="shared" si="42"/>
        <v>1428.57142857143</v>
      </c>
      <c r="N281" s="23">
        <f t="shared" si="46"/>
        <v>11.4285714285714</v>
      </c>
      <c r="O281" s="23">
        <f t="shared" si="43"/>
        <v>0.685714285714286</v>
      </c>
      <c r="P281" s="23"/>
      <c r="Q281" s="23"/>
      <c r="R281" s="48" cm="1">
        <f ca="1" t="array" ref="R281">SUMPRODUCT(D281:O281,$D$8:$O$8)</f>
        <v>4699.47273904762</v>
      </c>
      <c r="S281" s="23"/>
      <c r="T281" s="23"/>
      <c r="U281" s="23"/>
    </row>
    <row r="282" ht="16.5" spans="2:21">
      <c r="B282" s="105">
        <v>260</v>
      </c>
      <c r="C282" s="23"/>
      <c r="D282" s="106">
        <f t="shared" si="47"/>
        <v>2000</v>
      </c>
      <c r="E282" s="25">
        <f ca="1" t="shared" ref="E282:E322" si="48">$E$12+$E$13+$F$3*$F$4+IF(B282&gt;$I$5+3,$I$3*$I$4,0)+OFFSET($Y$9,MATCH(B282,$X$10:$X$39,1),0)</f>
        <v>5758.864</v>
      </c>
      <c r="F282" s="24">
        <f t="shared" ref="F282:F322" si="49">$F$12+$F$13+$F$14+$F$18/7+$C$3*$C$4+IF(B282&gt;$J$5+3,$J$3*$J$4,0)</f>
        <v>542.857142857143</v>
      </c>
      <c r="G282" s="23">
        <f t="shared" ref="G282:G322" si="50">($G$15+$G$19/2/5)/3</f>
        <v>0.366666666666667</v>
      </c>
      <c r="H282" s="23">
        <f t="shared" si="44"/>
        <v>2.66666666666667</v>
      </c>
      <c r="I282" s="108">
        <f t="shared" ref="I282:I322" si="51">$I$13+$I$14+$I$16/3+$I$19/7/5</f>
        <v>441.904761904762</v>
      </c>
      <c r="J282" s="23">
        <f t="shared" si="45"/>
        <v>14.2857142857143</v>
      </c>
      <c r="K282" s="23">
        <f t="shared" ref="K282:K322" si="52">$K$16/3+$K$19/7/5</f>
        <v>3.61904761904762</v>
      </c>
      <c r="L282" s="23"/>
      <c r="M282" s="23">
        <f t="shared" ref="M282:M322" si="53">($M$18+$M$19/5)/7+$M$14</f>
        <v>1428.57142857143</v>
      </c>
      <c r="N282" s="23">
        <f t="shared" si="46"/>
        <v>11.4285714285714</v>
      </c>
      <c r="O282" s="23">
        <f t="shared" ref="O282:O322" si="54">$O$19/7/5</f>
        <v>0.685714285714286</v>
      </c>
      <c r="P282" s="23"/>
      <c r="Q282" s="23"/>
      <c r="R282" s="48" cm="1">
        <f ca="1" t="array" ref="R282">SUMPRODUCT(D282:O282,$D$8:$O$8)</f>
        <v>4699.47273904762</v>
      </c>
      <c r="S282" s="23"/>
      <c r="T282" s="23"/>
      <c r="U282" s="23"/>
    </row>
    <row r="283" ht="16.5" spans="2:21">
      <c r="B283" s="104">
        <v>261</v>
      </c>
      <c r="C283" s="23"/>
      <c r="D283" s="106">
        <f t="shared" si="47"/>
        <v>2000</v>
      </c>
      <c r="E283" s="25">
        <f ca="1" t="shared" si="48"/>
        <v>5758.864</v>
      </c>
      <c r="F283" s="24">
        <f t="shared" si="49"/>
        <v>542.857142857143</v>
      </c>
      <c r="G283" s="23">
        <f t="shared" si="50"/>
        <v>0.366666666666667</v>
      </c>
      <c r="H283" s="23">
        <f t="shared" ref="H283:H322" si="55">$H$14+$H$15/3</f>
        <v>2.66666666666667</v>
      </c>
      <c r="I283" s="108">
        <f t="shared" si="51"/>
        <v>441.904761904762</v>
      </c>
      <c r="J283" s="23">
        <f t="shared" ref="J283:J322" si="56">$J$18/7</f>
        <v>14.2857142857143</v>
      </c>
      <c r="K283" s="23">
        <f t="shared" si="52"/>
        <v>3.61904761904762</v>
      </c>
      <c r="L283" s="23"/>
      <c r="M283" s="23">
        <f t="shared" si="53"/>
        <v>1428.57142857143</v>
      </c>
      <c r="N283" s="23">
        <f t="shared" ref="N283:N322" si="57">$N$12+$N$18/7</f>
        <v>11.4285714285714</v>
      </c>
      <c r="O283" s="23">
        <f t="shared" si="54"/>
        <v>0.685714285714286</v>
      </c>
      <c r="P283" s="23"/>
      <c r="Q283" s="23"/>
      <c r="R283" s="48" cm="1">
        <f ca="1" t="array" ref="R283">SUMPRODUCT(D283:O283,$D$8:$O$8)</f>
        <v>4699.47273904762</v>
      </c>
      <c r="S283" s="23"/>
      <c r="T283" s="23"/>
      <c r="U283" s="23"/>
    </row>
    <row r="284" ht="16.5" spans="2:21">
      <c r="B284" s="105">
        <v>262</v>
      </c>
      <c r="C284" s="23"/>
      <c r="D284" s="106">
        <f t="shared" si="47"/>
        <v>2000</v>
      </c>
      <c r="E284" s="25">
        <f ca="1" t="shared" si="48"/>
        <v>5758.864</v>
      </c>
      <c r="F284" s="24">
        <f t="shared" si="49"/>
        <v>542.857142857143</v>
      </c>
      <c r="G284" s="23">
        <f t="shared" si="50"/>
        <v>0.366666666666667</v>
      </c>
      <c r="H284" s="23">
        <f t="shared" si="55"/>
        <v>2.66666666666667</v>
      </c>
      <c r="I284" s="108">
        <f t="shared" si="51"/>
        <v>441.904761904762</v>
      </c>
      <c r="J284" s="23">
        <f t="shared" si="56"/>
        <v>14.2857142857143</v>
      </c>
      <c r="K284" s="23">
        <f t="shared" si="52"/>
        <v>3.61904761904762</v>
      </c>
      <c r="L284" s="23"/>
      <c r="M284" s="23">
        <f t="shared" si="53"/>
        <v>1428.57142857143</v>
      </c>
      <c r="N284" s="23">
        <f t="shared" si="57"/>
        <v>11.4285714285714</v>
      </c>
      <c r="O284" s="23">
        <f t="shared" si="54"/>
        <v>0.685714285714286</v>
      </c>
      <c r="P284" s="23"/>
      <c r="Q284" s="23"/>
      <c r="R284" s="48" cm="1">
        <f ca="1" t="array" ref="R284">SUMPRODUCT(D284:O284,$D$8:$O$8)</f>
        <v>4699.47273904762</v>
      </c>
      <c r="S284" s="23"/>
      <c r="T284" s="23"/>
      <c r="U284" s="23"/>
    </row>
    <row r="285" ht="16.5" spans="2:21">
      <c r="B285" s="104">
        <v>263</v>
      </c>
      <c r="C285" s="23"/>
      <c r="D285" s="106">
        <f t="shared" si="47"/>
        <v>2000</v>
      </c>
      <c r="E285" s="25">
        <f ca="1" t="shared" si="48"/>
        <v>5758.864</v>
      </c>
      <c r="F285" s="24">
        <f t="shared" si="49"/>
        <v>542.857142857143</v>
      </c>
      <c r="G285" s="23">
        <f t="shared" si="50"/>
        <v>0.366666666666667</v>
      </c>
      <c r="H285" s="23">
        <f t="shared" si="55"/>
        <v>2.66666666666667</v>
      </c>
      <c r="I285" s="108">
        <f t="shared" si="51"/>
        <v>441.904761904762</v>
      </c>
      <c r="J285" s="23">
        <f t="shared" si="56"/>
        <v>14.2857142857143</v>
      </c>
      <c r="K285" s="23">
        <f t="shared" si="52"/>
        <v>3.61904761904762</v>
      </c>
      <c r="L285" s="23"/>
      <c r="M285" s="23">
        <f t="shared" si="53"/>
        <v>1428.57142857143</v>
      </c>
      <c r="N285" s="23">
        <f t="shared" si="57"/>
        <v>11.4285714285714</v>
      </c>
      <c r="O285" s="23">
        <f t="shared" si="54"/>
        <v>0.685714285714286</v>
      </c>
      <c r="P285" s="23"/>
      <c r="Q285" s="23"/>
      <c r="R285" s="48" cm="1">
        <f ca="1" t="array" ref="R285">SUMPRODUCT(D285:O285,$D$8:$O$8)</f>
        <v>4699.47273904762</v>
      </c>
      <c r="S285" s="23"/>
      <c r="T285" s="23"/>
      <c r="U285" s="23"/>
    </row>
    <row r="286" ht="16.5" spans="2:21">
      <c r="B286" s="105">
        <v>264</v>
      </c>
      <c r="C286" s="23"/>
      <c r="D286" s="106">
        <f t="shared" si="47"/>
        <v>2000</v>
      </c>
      <c r="E286" s="25">
        <f ca="1" t="shared" si="48"/>
        <v>5758.864</v>
      </c>
      <c r="F286" s="24">
        <f t="shared" si="49"/>
        <v>542.857142857143</v>
      </c>
      <c r="G286" s="23">
        <f t="shared" si="50"/>
        <v>0.366666666666667</v>
      </c>
      <c r="H286" s="23">
        <f t="shared" si="55"/>
        <v>2.66666666666667</v>
      </c>
      <c r="I286" s="108">
        <f t="shared" si="51"/>
        <v>441.904761904762</v>
      </c>
      <c r="J286" s="23">
        <f t="shared" si="56"/>
        <v>14.2857142857143</v>
      </c>
      <c r="K286" s="23">
        <f t="shared" si="52"/>
        <v>3.61904761904762</v>
      </c>
      <c r="L286" s="23"/>
      <c r="M286" s="23">
        <f t="shared" si="53"/>
        <v>1428.57142857143</v>
      </c>
      <c r="N286" s="23">
        <f t="shared" si="57"/>
        <v>11.4285714285714</v>
      </c>
      <c r="O286" s="23">
        <f t="shared" si="54"/>
        <v>0.685714285714286</v>
      </c>
      <c r="P286" s="23"/>
      <c r="Q286" s="23"/>
      <c r="R286" s="48" cm="1">
        <f ca="1" t="array" ref="R286">SUMPRODUCT(D286:O286,$D$8:$O$8)</f>
        <v>4699.47273904762</v>
      </c>
      <c r="S286" s="23"/>
      <c r="T286" s="23"/>
      <c r="U286" s="23"/>
    </row>
    <row r="287" ht="16.5" spans="2:21">
      <c r="B287" s="104">
        <v>265</v>
      </c>
      <c r="C287" s="23"/>
      <c r="D287" s="106">
        <f t="shared" si="47"/>
        <v>2000</v>
      </c>
      <c r="E287" s="25">
        <f ca="1" t="shared" si="48"/>
        <v>5758.864</v>
      </c>
      <c r="F287" s="24">
        <f t="shared" si="49"/>
        <v>542.857142857143</v>
      </c>
      <c r="G287" s="23">
        <f t="shared" si="50"/>
        <v>0.366666666666667</v>
      </c>
      <c r="H287" s="23">
        <f t="shared" si="55"/>
        <v>2.66666666666667</v>
      </c>
      <c r="I287" s="108">
        <f t="shared" si="51"/>
        <v>441.904761904762</v>
      </c>
      <c r="J287" s="23">
        <f t="shared" si="56"/>
        <v>14.2857142857143</v>
      </c>
      <c r="K287" s="23">
        <f t="shared" si="52"/>
        <v>3.61904761904762</v>
      </c>
      <c r="L287" s="23"/>
      <c r="M287" s="23">
        <f t="shared" si="53"/>
        <v>1428.57142857143</v>
      </c>
      <c r="N287" s="23">
        <f t="shared" si="57"/>
        <v>11.4285714285714</v>
      </c>
      <c r="O287" s="23">
        <f t="shared" si="54"/>
        <v>0.685714285714286</v>
      </c>
      <c r="P287" s="23"/>
      <c r="Q287" s="23"/>
      <c r="R287" s="48" cm="1">
        <f ca="1" t="array" ref="R287">SUMPRODUCT(D287:O287,$D$8:$O$8)</f>
        <v>4699.47273904762</v>
      </c>
      <c r="S287" s="23"/>
      <c r="T287" s="23"/>
      <c r="U287" s="23"/>
    </row>
    <row r="288" ht="16.5" spans="2:21">
      <c r="B288" s="105">
        <v>266</v>
      </c>
      <c r="C288" s="23"/>
      <c r="D288" s="106">
        <f t="shared" si="47"/>
        <v>2000</v>
      </c>
      <c r="E288" s="25">
        <f ca="1" t="shared" si="48"/>
        <v>5758.864</v>
      </c>
      <c r="F288" s="24">
        <f t="shared" si="49"/>
        <v>542.857142857143</v>
      </c>
      <c r="G288" s="23">
        <f t="shared" si="50"/>
        <v>0.366666666666667</v>
      </c>
      <c r="H288" s="23">
        <f t="shared" si="55"/>
        <v>2.66666666666667</v>
      </c>
      <c r="I288" s="108">
        <f t="shared" si="51"/>
        <v>441.904761904762</v>
      </c>
      <c r="J288" s="23">
        <f t="shared" si="56"/>
        <v>14.2857142857143</v>
      </c>
      <c r="K288" s="23">
        <f t="shared" si="52"/>
        <v>3.61904761904762</v>
      </c>
      <c r="L288" s="23"/>
      <c r="M288" s="23">
        <f t="shared" si="53"/>
        <v>1428.57142857143</v>
      </c>
      <c r="N288" s="23">
        <f t="shared" si="57"/>
        <v>11.4285714285714</v>
      </c>
      <c r="O288" s="23">
        <f t="shared" si="54"/>
        <v>0.685714285714286</v>
      </c>
      <c r="P288" s="23"/>
      <c r="Q288" s="23"/>
      <c r="R288" s="48" cm="1">
        <f ca="1" t="array" ref="R288">SUMPRODUCT(D288:O288,$D$8:$O$8)</f>
        <v>4699.47273904762</v>
      </c>
      <c r="S288" s="23"/>
      <c r="T288" s="23"/>
      <c r="U288" s="23"/>
    </row>
    <row r="289" ht="16.5" spans="2:21">
      <c r="B289" s="104">
        <v>267</v>
      </c>
      <c r="C289" s="23"/>
      <c r="D289" s="106">
        <f t="shared" si="47"/>
        <v>2000</v>
      </c>
      <c r="E289" s="25">
        <f ca="1" t="shared" si="48"/>
        <v>5758.864</v>
      </c>
      <c r="F289" s="24">
        <f t="shared" si="49"/>
        <v>542.857142857143</v>
      </c>
      <c r="G289" s="23">
        <f t="shared" si="50"/>
        <v>0.366666666666667</v>
      </c>
      <c r="H289" s="23">
        <f t="shared" si="55"/>
        <v>2.66666666666667</v>
      </c>
      <c r="I289" s="108">
        <f t="shared" si="51"/>
        <v>441.904761904762</v>
      </c>
      <c r="J289" s="23">
        <f t="shared" si="56"/>
        <v>14.2857142857143</v>
      </c>
      <c r="K289" s="23">
        <f t="shared" si="52"/>
        <v>3.61904761904762</v>
      </c>
      <c r="L289" s="23"/>
      <c r="M289" s="23">
        <f t="shared" si="53"/>
        <v>1428.57142857143</v>
      </c>
      <c r="N289" s="23">
        <f t="shared" si="57"/>
        <v>11.4285714285714</v>
      </c>
      <c r="O289" s="23">
        <f t="shared" si="54"/>
        <v>0.685714285714286</v>
      </c>
      <c r="P289" s="23"/>
      <c r="Q289" s="23"/>
      <c r="R289" s="48" cm="1">
        <f ca="1" t="array" ref="R289">SUMPRODUCT(D289:O289,$D$8:$O$8)</f>
        <v>4699.47273904762</v>
      </c>
      <c r="S289" s="23"/>
      <c r="T289" s="23"/>
      <c r="U289" s="23"/>
    </row>
    <row r="290" ht="16.5" spans="2:21">
      <c r="B290" s="105">
        <v>268</v>
      </c>
      <c r="C290" s="23"/>
      <c r="D290" s="106">
        <f t="shared" si="47"/>
        <v>2000</v>
      </c>
      <c r="E290" s="25">
        <f ca="1" t="shared" si="48"/>
        <v>5758.864</v>
      </c>
      <c r="F290" s="24">
        <f t="shared" si="49"/>
        <v>542.857142857143</v>
      </c>
      <c r="G290" s="23">
        <f t="shared" si="50"/>
        <v>0.366666666666667</v>
      </c>
      <c r="H290" s="23">
        <f t="shared" si="55"/>
        <v>2.66666666666667</v>
      </c>
      <c r="I290" s="108">
        <f t="shared" si="51"/>
        <v>441.904761904762</v>
      </c>
      <c r="J290" s="23">
        <f t="shared" si="56"/>
        <v>14.2857142857143</v>
      </c>
      <c r="K290" s="23">
        <f t="shared" si="52"/>
        <v>3.61904761904762</v>
      </c>
      <c r="L290" s="23"/>
      <c r="M290" s="23">
        <f t="shared" si="53"/>
        <v>1428.57142857143</v>
      </c>
      <c r="N290" s="23">
        <f t="shared" si="57"/>
        <v>11.4285714285714</v>
      </c>
      <c r="O290" s="23">
        <f t="shared" si="54"/>
        <v>0.685714285714286</v>
      </c>
      <c r="P290" s="23"/>
      <c r="Q290" s="23"/>
      <c r="R290" s="48" cm="1">
        <f ca="1" t="array" ref="R290">SUMPRODUCT(D290:O290,$D$8:$O$8)</f>
        <v>4699.47273904762</v>
      </c>
      <c r="S290" s="23"/>
      <c r="T290" s="23"/>
      <c r="U290" s="23"/>
    </row>
    <row r="291" ht="16.5" spans="2:21">
      <c r="B291" s="104">
        <v>269</v>
      </c>
      <c r="C291" s="23"/>
      <c r="D291" s="106">
        <f t="shared" si="47"/>
        <v>2000</v>
      </c>
      <c r="E291" s="25">
        <f ca="1" t="shared" si="48"/>
        <v>5758.864</v>
      </c>
      <c r="F291" s="24">
        <f t="shared" si="49"/>
        <v>542.857142857143</v>
      </c>
      <c r="G291" s="23">
        <f t="shared" si="50"/>
        <v>0.366666666666667</v>
      </c>
      <c r="H291" s="23">
        <f t="shared" si="55"/>
        <v>2.66666666666667</v>
      </c>
      <c r="I291" s="108">
        <f t="shared" si="51"/>
        <v>441.904761904762</v>
      </c>
      <c r="J291" s="23">
        <f t="shared" si="56"/>
        <v>14.2857142857143</v>
      </c>
      <c r="K291" s="23">
        <f t="shared" si="52"/>
        <v>3.61904761904762</v>
      </c>
      <c r="L291" s="23"/>
      <c r="M291" s="23">
        <f t="shared" si="53"/>
        <v>1428.57142857143</v>
      </c>
      <c r="N291" s="23">
        <f t="shared" si="57"/>
        <v>11.4285714285714</v>
      </c>
      <c r="O291" s="23">
        <f t="shared" si="54"/>
        <v>0.685714285714286</v>
      </c>
      <c r="P291" s="23"/>
      <c r="Q291" s="23"/>
      <c r="R291" s="48" cm="1">
        <f ca="1" t="array" ref="R291">SUMPRODUCT(D291:O291,$D$8:$O$8)</f>
        <v>4699.47273904762</v>
      </c>
      <c r="S291" s="23"/>
      <c r="T291" s="23"/>
      <c r="U291" s="23"/>
    </row>
    <row r="292" ht="16.5" spans="2:21">
      <c r="B292" s="105">
        <v>270</v>
      </c>
      <c r="C292" s="23"/>
      <c r="D292" s="106">
        <f t="shared" si="47"/>
        <v>2000</v>
      </c>
      <c r="E292" s="25">
        <f ca="1" t="shared" si="48"/>
        <v>5758.864</v>
      </c>
      <c r="F292" s="24">
        <f t="shared" si="49"/>
        <v>542.857142857143</v>
      </c>
      <c r="G292" s="23">
        <f t="shared" si="50"/>
        <v>0.366666666666667</v>
      </c>
      <c r="H292" s="23">
        <f t="shared" si="55"/>
        <v>2.66666666666667</v>
      </c>
      <c r="I292" s="108">
        <f t="shared" si="51"/>
        <v>441.904761904762</v>
      </c>
      <c r="J292" s="23">
        <f t="shared" si="56"/>
        <v>14.2857142857143</v>
      </c>
      <c r="K292" s="23">
        <f t="shared" si="52"/>
        <v>3.61904761904762</v>
      </c>
      <c r="L292" s="23"/>
      <c r="M292" s="23">
        <f t="shared" si="53"/>
        <v>1428.57142857143</v>
      </c>
      <c r="N292" s="23">
        <f t="shared" si="57"/>
        <v>11.4285714285714</v>
      </c>
      <c r="O292" s="23">
        <f t="shared" si="54"/>
        <v>0.685714285714286</v>
      </c>
      <c r="P292" s="23"/>
      <c r="Q292" s="23"/>
      <c r="R292" s="48" cm="1">
        <f ca="1" t="array" ref="R292">SUMPRODUCT(D292:O292,$D$8:$O$8)</f>
        <v>4699.47273904762</v>
      </c>
      <c r="S292" s="23"/>
      <c r="T292" s="23"/>
      <c r="U292" s="23"/>
    </row>
    <row r="293" ht="16.5" spans="2:21">
      <c r="B293" s="104">
        <v>271</v>
      </c>
      <c r="C293" s="23"/>
      <c r="D293" s="106">
        <f t="shared" si="47"/>
        <v>2000</v>
      </c>
      <c r="E293" s="25">
        <f ca="1" t="shared" si="48"/>
        <v>5758.864</v>
      </c>
      <c r="F293" s="24">
        <f t="shared" si="49"/>
        <v>542.857142857143</v>
      </c>
      <c r="G293" s="23">
        <f t="shared" si="50"/>
        <v>0.366666666666667</v>
      </c>
      <c r="H293" s="23">
        <f t="shared" si="55"/>
        <v>2.66666666666667</v>
      </c>
      <c r="I293" s="108">
        <f t="shared" si="51"/>
        <v>441.904761904762</v>
      </c>
      <c r="J293" s="23">
        <f t="shared" si="56"/>
        <v>14.2857142857143</v>
      </c>
      <c r="K293" s="23">
        <f t="shared" si="52"/>
        <v>3.61904761904762</v>
      </c>
      <c r="L293" s="23"/>
      <c r="M293" s="23">
        <f t="shared" si="53"/>
        <v>1428.57142857143</v>
      </c>
      <c r="N293" s="23">
        <f t="shared" si="57"/>
        <v>11.4285714285714</v>
      </c>
      <c r="O293" s="23">
        <f t="shared" si="54"/>
        <v>0.685714285714286</v>
      </c>
      <c r="P293" s="23"/>
      <c r="Q293" s="23"/>
      <c r="R293" s="48" cm="1">
        <f ca="1" t="array" ref="R293">SUMPRODUCT(D293:O293,$D$8:$O$8)</f>
        <v>4699.47273904762</v>
      </c>
      <c r="S293" s="23"/>
      <c r="T293" s="23"/>
      <c r="U293" s="23"/>
    </row>
    <row r="294" ht="16.5" spans="2:21">
      <c r="B294" s="105">
        <v>272</v>
      </c>
      <c r="C294" s="23"/>
      <c r="D294" s="106">
        <f t="shared" si="47"/>
        <v>2000</v>
      </c>
      <c r="E294" s="25">
        <f ca="1" t="shared" si="48"/>
        <v>5758.864</v>
      </c>
      <c r="F294" s="24">
        <f t="shared" si="49"/>
        <v>542.857142857143</v>
      </c>
      <c r="G294" s="23">
        <f t="shared" si="50"/>
        <v>0.366666666666667</v>
      </c>
      <c r="H294" s="23">
        <f t="shared" si="55"/>
        <v>2.66666666666667</v>
      </c>
      <c r="I294" s="108">
        <f t="shared" si="51"/>
        <v>441.904761904762</v>
      </c>
      <c r="J294" s="23">
        <f t="shared" si="56"/>
        <v>14.2857142857143</v>
      </c>
      <c r="K294" s="23">
        <f t="shared" si="52"/>
        <v>3.61904761904762</v>
      </c>
      <c r="L294" s="23"/>
      <c r="M294" s="23">
        <f t="shared" si="53"/>
        <v>1428.57142857143</v>
      </c>
      <c r="N294" s="23">
        <f t="shared" si="57"/>
        <v>11.4285714285714</v>
      </c>
      <c r="O294" s="23">
        <f t="shared" si="54"/>
        <v>0.685714285714286</v>
      </c>
      <c r="P294" s="23"/>
      <c r="Q294" s="23"/>
      <c r="R294" s="48" cm="1">
        <f ca="1" t="array" ref="R294">SUMPRODUCT(D294:O294,$D$8:$O$8)</f>
        <v>4699.47273904762</v>
      </c>
      <c r="S294" s="23"/>
      <c r="T294" s="23"/>
      <c r="U294" s="23"/>
    </row>
    <row r="295" ht="16.5" spans="2:21">
      <c r="B295" s="104">
        <v>273</v>
      </c>
      <c r="C295" s="23"/>
      <c r="D295" s="106">
        <f t="shared" si="47"/>
        <v>2000</v>
      </c>
      <c r="E295" s="25">
        <f ca="1" t="shared" si="48"/>
        <v>5758.864</v>
      </c>
      <c r="F295" s="24">
        <f t="shared" si="49"/>
        <v>542.857142857143</v>
      </c>
      <c r="G295" s="23">
        <f t="shared" si="50"/>
        <v>0.366666666666667</v>
      </c>
      <c r="H295" s="23">
        <f t="shared" si="55"/>
        <v>2.66666666666667</v>
      </c>
      <c r="I295" s="108">
        <f t="shared" si="51"/>
        <v>441.904761904762</v>
      </c>
      <c r="J295" s="23">
        <f t="shared" si="56"/>
        <v>14.2857142857143</v>
      </c>
      <c r="K295" s="23">
        <f t="shared" si="52"/>
        <v>3.61904761904762</v>
      </c>
      <c r="L295" s="23"/>
      <c r="M295" s="23">
        <f t="shared" si="53"/>
        <v>1428.57142857143</v>
      </c>
      <c r="N295" s="23">
        <f t="shared" si="57"/>
        <v>11.4285714285714</v>
      </c>
      <c r="O295" s="23">
        <f t="shared" si="54"/>
        <v>0.685714285714286</v>
      </c>
      <c r="P295" s="23"/>
      <c r="Q295" s="23"/>
      <c r="R295" s="48" cm="1">
        <f ca="1" t="array" ref="R295">SUMPRODUCT(D295:O295,$D$8:$O$8)</f>
        <v>4699.47273904762</v>
      </c>
      <c r="S295" s="23"/>
      <c r="T295" s="23"/>
      <c r="U295" s="23"/>
    </row>
    <row r="296" ht="16.5" spans="2:21">
      <c r="B296" s="105">
        <v>274</v>
      </c>
      <c r="C296" s="23"/>
      <c r="D296" s="106">
        <f t="shared" si="47"/>
        <v>2000</v>
      </c>
      <c r="E296" s="25">
        <f ca="1" t="shared" si="48"/>
        <v>5800.192</v>
      </c>
      <c r="F296" s="24">
        <f t="shared" si="49"/>
        <v>542.857142857143</v>
      </c>
      <c r="G296" s="23">
        <f t="shared" si="50"/>
        <v>0.366666666666667</v>
      </c>
      <c r="H296" s="23">
        <f t="shared" si="55"/>
        <v>2.66666666666667</v>
      </c>
      <c r="I296" s="108">
        <f t="shared" si="51"/>
        <v>441.904761904762</v>
      </c>
      <c r="J296" s="23">
        <f t="shared" si="56"/>
        <v>14.2857142857143</v>
      </c>
      <c r="K296" s="23">
        <f t="shared" si="52"/>
        <v>3.61904761904762</v>
      </c>
      <c r="L296" s="23"/>
      <c r="M296" s="23">
        <f t="shared" si="53"/>
        <v>1428.57142857143</v>
      </c>
      <c r="N296" s="23">
        <f t="shared" si="57"/>
        <v>11.4285714285714</v>
      </c>
      <c r="O296" s="23">
        <f t="shared" si="54"/>
        <v>0.685714285714286</v>
      </c>
      <c r="P296" s="23"/>
      <c r="Q296" s="23"/>
      <c r="R296" s="48" cm="1">
        <f ca="1" t="array" ref="R296">SUMPRODUCT(D296:O296,$D$8:$O$8)</f>
        <v>4713.11097904762</v>
      </c>
      <c r="S296" s="23"/>
      <c r="T296" s="23"/>
      <c r="U296" s="23"/>
    </row>
    <row r="297" ht="16.5" spans="2:21">
      <c r="B297" s="104">
        <v>275</v>
      </c>
      <c r="C297" s="23"/>
      <c r="D297" s="106">
        <f t="shared" si="47"/>
        <v>2000</v>
      </c>
      <c r="E297" s="25">
        <f ca="1" t="shared" si="48"/>
        <v>5800.192</v>
      </c>
      <c r="F297" s="24">
        <f t="shared" si="49"/>
        <v>542.857142857143</v>
      </c>
      <c r="G297" s="23">
        <f t="shared" si="50"/>
        <v>0.366666666666667</v>
      </c>
      <c r="H297" s="23">
        <f t="shared" si="55"/>
        <v>2.66666666666667</v>
      </c>
      <c r="I297" s="108">
        <f t="shared" si="51"/>
        <v>441.904761904762</v>
      </c>
      <c r="J297" s="23">
        <f t="shared" si="56"/>
        <v>14.2857142857143</v>
      </c>
      <c r="K297" s="23">
        <f t="shared" si="52"/>
        <v>3.61904761904762</v>
      </c>
      <c r="L297" s="23"/>
      <c r="M297" s="23">
        <f t="shared" si="53"/>
        <v>1428.57142857143</v>
      </c>
      <c r="N297" s="23">
        <f t="shared" si="57"/>
        <v>11.4285714285714</v>
      </c>
      <c r="O297" s="23">
        <f t="shared" si="54"/>
        <v>0.685714285714286</v>
      </c>
      <c r="P297" s="23"/>
      <c r="Q297" s="23"/>
      <c r="R297" s="48" cm="1">
        <f ca="1" t="array" ref="R297">SUMPRODUCT(D297:O297,$D$8:$O$8)</f>
        <v>4713.11097904762</v>
      </c>
      <c r="S297" s="23"/>
      <c r="T297" s="23"/>
      <c r="U297" s="23"/>
    </row>
    <row r="298" ht="16.5" spans="2:21">
      <c r="B298" s="105">
        <v>276</v>
      </c>
      <c r="C298" s="23"/>
      <c r="D298" s="106">
        <f t="shared" si="47"/>
        <v>2000</v>
      </c>
      <c r="E298" s="25">
        <f ca="1" t="shared" si="48"/>
        <v>5800.192</v>
      </c>
      <c r="F298" s="24">
        <f t="shared" si="49"/>
        <v>542.857142857143</v>
      </c>
      <c r="G298" s="23">
        <f t="shared" si="50"/>
        <v>0.366666666666667</v>
      </c>
      <c r="H298" s="23">
        <f t="shared" si="55"/>
        <v>2.66666666666667</v>
      </c>
      <c r="I298" s="108">
        <f t="shared" si="51"/>
        <v>441.904761904762</v>
      </c>
      <c r="J298" s="23">
        <f t="shared" si="56"/>
        <v>14.2857142857143</v>
      </c>
      <c r="K298" s="23">
        <f t="shared" si="52"/>
        <v>3.61904761904762</v>
      </c>
      <c r="L298" s="23"/>
      <c r="M298" s="23">
        <f t="shared" si="53"/>
        <v>1428.57142857143</v>
      </c>
      <c r="N298" s="23">
        <f t="shared" si="57"/>
        <v>11.4285714285714</v>
      </c>
      <c r="O298" s="23">
        <f t="shared" si="54"/>
        <v>0.685714285714286</v>
      </c>
      <c r="P298" s="23"/>
      <c r="Q298" s="23"/>
      <c r="R298" s="48" cm="1">
        <f ca="1" t="array" ref="R298">SUMPRODUCT(D298:O298,$D$8:$O$8)</f>
        <v>4713.11097904762</v>
      </c>
      <c r="S298" s="23"/>
      <c r="T298" s="23"/>
      <c r="U298" s="23"/>
    </row>
    <row r="299" ht="16.5" spans="2:21">
      <c r="B299" s="104">
        <v>277</v>
      </c>
      <c r="C299" s="23"/>
      <c r="D299" s="106">
        <f t="shared" si="47"/>
        <v>2000</v>
      </c>
      <c r="E299" s="25">
        <f ca="1" t="shared" si="48"/>
        <v>5800.192</v>
      </c>
      <c r="F299" s="24">
        <f t="shared" si="49"/>
        <v>542.857142857143</v>
      </c>
      <c r="G299" s="23">
        <f t="shared" si="50"/>
        <v>0.366666666666667</v>
      </c>
      <c r="H299" s="23">
        <f t="shared" si="55"/>
        <v>2.66666666666667</v>
      </c>
      <c r="I299" s="108">
        <f t="shared" si="51"/>
        <v>441.904761904762</v>
      </c>
      <c r="J299" s="23">
        <f t="shared" si="56"/>
        <v>14.2857142857143</v>
      </c>
      <c r="K299" s="23">
        <f t="shared" si="52"/>
        <v>3.61904761904762</v>
      </c>
      <c r="L299" s="23"/>
      <c r="M299" s="23">
        <f t="shared" si="53"/>
        <v>1428.57142857143</v>
      </c>
      <c r="N299" s="23">
        <f t="shared" si="57"/>
        <v>11.4285714285714</v>
      </c>
      <c r="O299" s="23">
        <f t="shared" si="54"/>
        <v>0.685714285714286</v>
      </c>
      <c r="P299" s="23"/>
      <c r="Q299" s="23"/>
      <c r="R299" s="48" cm="1">
        <f ca="1" t="array" ref="R299">SUMPRODUCT(D299:O299,$D$8:$O$8)</f>
        <v>4713.11097904762</v>
      </c>
      <c r="S299" s="23"/>
      <c r="T299" s="23"/>
      <c r="U299" s="23"/>
    </row>
    <row r="300" ht="16.5" spans="2:21">
      <c r="B300" s="105">
        <v>278</v>
      </c>
      <c r="C300" s="23"/>
      <c r="D300" s="106">
        <f t="shared" si="47"/>
        <v>2000</v>
      </c>
      <c r="E300" s="25">
        <f ca="1" t="shared" si="48"/>
        <v>5800.192</v>
      </c>
      <c r="F300" s="24">
        <f t="shared" si="49"/>
        <v>542.857142857143</v>
      </c>
      <c r="G300" s="23">
        <f t="shared" si="50"/>
        <v>0.366666666666667</v>
      </c>
      <c r="H300" s="23">
        <f t="shared" si="55"/>
        <v>2.66666666666667</v>
      </c>
      <c r="I300" s="108">
        <f t="shared" si="51"/>
        <v>441.904761904762</v>
      </c>
      <c r="J300" s="23">
        <f t="shared" si="56"/>
        <v>14.2857142857143</v>
      </c>
      <c r="K300" s="23">
        <f t="shared" si="52"/>
        <v>3.61904761904762</v>
      </c>
      <c r="L300" s="23"/>
      <c r="M300" s="23">
        <f t="shared" si="53"/>
        <v>1428.57142857143</v>
      </c>
      <c r="N300" s="23">
        <f t="shared" si="57"/>
        <v>11.4285714285714</v>
      </c>
      <c r="O300" s="23">
        <f t="shared" si="54"/>
        <v>0.685714285714286</v>
      </c>
      <c r="P300" s="23"/>
      <c r="Q300" s="23"/>
      <c r="R300" s="48" cm="1">
        <f ca="1" t="array" ref="R300">SUMPRODUCT(D300:O300,$D$8:$O$8)</f>
        <v>4713.11097904762</v>
      </c>
      <c r="S300" s="23"/>
      <c r="T300" s="23"/>
      <c r="U300" s="23"/>
    </row>
    <row r="301" ht="16.5" spans="2:21">
      <c r="B301" s="104">
        <v>279</v>
      </c>
      <c r="C301" s="23"/>
      <c r="D301" s="106">
        <f t="shared" si="47"/>
        <v>2000</v>
      </c>
      <c r="E301" s="25">
        <f ca="1" t="shared" si="48"/>
        <v>5800.192</v>
      </c>
      <c r="F301" s="24">
        <f t="shared" si="49"/>
        <v>542.857142857143</v>
      </c>
      <c r="G301" s="23">
        <f t="shared" si="50"/>
        <v>0.366666666666667</v>
      </c>
      <c r="H301" s="23">
        <f t="shared" si="55"/>
        <v>2.66666666666667</v>
      </c>
      <c r="I301" s="108">
        <f t="shared" si="51"/>
        <v>441.904761904762</v>
      </c>
      <c r="J301" s="23">
        <f t="shared" si="56"/>
        <v>14.2857142857143</v>
      </c>
      <c r="K301" s="23">
        <f t="shared" si="52"/>
        <v>3.61904761904762</v>
      </c>
      <c r="L301" s="23"/>
      <c r="M301" s="23">
        <f t="shared" si="53"/>
        <v>1428.57142857143</v>
      </c>
      <c r="N301" s="23">
        <f t="shared" si="57"/>
        <v>11.4285714285714</v>
      </c>
      <c r="O301" s="23">
        <f t="shared" si="54"/>
        <v>0.685714285714286</v>
      </c>
      <c r="P301" s="23"/>
      <c r="Q301" s="23"/>
      <c r="R301" s="48" cm="1">
        <f ca="1" t="array" ref="R301">SUMPRODUCT(D301:O301,$D$8:$O$8)</f>
        <v>4713.11097904762</v>
      </c>
      <c r="S301" s="23"/>
      <c r="T301" s="23"/>
      <c r="U301" s="23"/>
    </row>
    <row r="302" ht="16.5" spans="2:21">
      <c r="B302" s="105">
        <v>280</v>
      </c>
      <c r="C302" s="23"/>
      <c r="D302" s="106">
        <f t="shared" si="47"/>
        <v>2000</v>
      </c>
      <c r="E302" s="25">
        <f ca="1" t="shared" si="48"/>
        <v>5800.192</v>
      </c>
      <c r="F302" s="24">
        <f t="shared" si="49"/>
        <v>542.857142857143</v>
      </c>
      <c r="G302" s="23">
        <f t="shared" si="50"/>
        <v>0.366666666666667</v>
      </c>
      <c r="H302" s="23">
        <f t="shared" si="55"/>
        <v>2.66666666666667</v>
      </c>
      <c r="I302" s="108">
        <f t="shared" si="51"/>
        <v>441.904761904762</v>
      </c>
      <c r="J302" s="23">
        <f t="shared" si="56"/>
        <v>14.2857142857143</v>
      </c>
      <c r="K302" s="23">
        <f t="shared" si="52"/>
        <v>3.61904761904762</v>
      </c>
      <c r="L302" s="23"/>
      <c r="M302" s="23">
        <f t="shared" si="53"/>
        <v>1428.57142857143</v>
      </c>
      <c r="N302" s="23">
        <f t="shared" si="57"/>
        <v>11.4285714285714</v>
      </c>
      <c r="O302" s="23">
        <f t="shared" si="54"/>
        <v>0.685714285714286</v>
      </c>
      <c r="P302" s="23"/>
      <c r="Q302" s="23"/>
      <c r="R302" s="48" cm="1">
        <f ca="1" t="array" ref="R302">SUMPRODUCT(D302:O302,$D$8:$O$8)</f>
        <v>4713.11097904762</v>
      </c>
      <c r="S302" s="23"/>
      <c r="T302" s="23"/>
      <c r="U302" s="23"/>
    </row>
    <row r="303" ht="16.5" spans="2:21">
      <c r="B303" s="104">
        <v>281</v>
      </c>
      <c r="C303" s="23"/>
      <c r="D303" s="106">
        <f t="shared" si="47"/>
        <v>2000</v>
      </c>
      <c r="E303" s="25">
        <f ca="1" t="shared" si="48"/>
        <v>5800.192</v>
      </c>
      <c r="F303" s="24">
        <f t="shared" si="49"/>
        <v>542.857142857143</v>
      </c>
      <c r="G303" s="23">
        <f t="shared" si="50"/>
        <v>0.366666666666667</v>
      </c>
      <c r="H303" s="23">
        <f t="shared" si="55"/>
        <v>2.66666666666667</v>
      </c>
      <c r="I303" s="108">
        <f t="shared" si="51"/>
        <v>441.904761904762</v>
      </c>
      <c r="J303" s="23">
        <f t="shared" si="56"/>
        <v>14.2857142857143</v>
      </c>
      <c r="K303" s="23">
        <f t="shared" si="52"/>
        <v>3.61904761904762</v>
      </c>
      <c r="L303" s="23"/>
      <c r="M303" s="23">
        <f t="shared" si="53"/>
        <v>1428.57142857143</v>
      </c>
      <c r="N303" s="23">
        <f t="shared" si="57"/>
        <v>11.4285714285714</v>
      </c>
      <c r="O303" s="23">
        <f t="shared" si="54"/>
        <v>0.685714285714286</v>
      </c>
      <c r="P303" s="23"/>
      <c r="Q303" s="23"/>
      <c r="R303" s="48" cm="1">
        <f ca="1" t="array" ref="R303">SUMPRODUCT(D303:O303,$D$8:$O$8)</f>
        <v>4713.11097904762</v>
      </c>
      <c r="S303" s="23"/>
      <c r="T303" s="23"/>
      <c r="U303" s="23"/>
    </row>
    <row r="304" ht="16.5" spans="2:21">
      <c r="B304" s="105">
        <v>282</v>
      </c>
      <c r="C304" s="23"/>
      <c r="D304" s="106">
        <f t="shared" si="47"/>
        <v>2000</v>
      </c>
      <c r="E304" s="25">
        <f ca="1" t="shared" si="48"/>
        <v>5800.192</v>
      </c>
      <c r="F304" s="24">
        <f t="shared" si="49"/>
        <v>542.857142857143</v>
      </c>
      <c r="G304" s="23">
        <f t="shared" si="50"/>
        <v>0.366666666666667</v>
      </c>
      <c r="H304" s="23">
        <f t="shared" si="55"/>
        <v>2.66666666666667</v>
      </c>
      <c r="I304" s="108">
        <f t="shared" si="51"/>
        <v>441.904761904762</v>
      </c>
      <c r="J304" s="23">
        <f t="shared" si="56"/>
        <v>14.2857142857143</v>
      </c>
      <c r="K304" s="23">
        <f t="shared" si="52"/>
        <v>3.61904761904762</v>
      </c>
      <c r="L304" s="23"/>
      <c r="M304" s="23">
        <f t="shared" si="53"/>
        <v>1428.57142857143</v>
      </c>
      <c r="N304" s="23">
        <f t="shared" si="57"/>
        <v>11.4285714285714</v>
      </c>
      <c r="O304" s="23">
        <f t="shared" si="54"/>
        <v>0.685714285714286</v>
      </c>
      <c r="P304" s="23"/>
      <c r="Q304" s="23"/>
      <c r="R304" s="48" cm="1">
        <f ca="1" t="array" ref="R304">SUMPRODUCT(D304:O304,$D$8:$O$8)</f>
        <v>4713.11097904762</v>
      </c>
      <c r="S304" s="23"/>
      <c r="T304" s="23"/>
      <c r="U304" s="23"/>
    </row>
    <row r="305" ht="16.5" spans="2:21">
      <c r="B305" s="104">
        <v>283</v>
      </c>
      <c r="C305" s="23"/>
      <c r="D305" s="106">
        <f t="shared" si="47"/>
        <v>2000</v>
      </c>
      <c r="E305" s="25">
        <f ca="1" t="shared" si="48"/>
        <v>5800.192</v>
      </c>
      <c r="F305" s="24">
        <f t="shared" si="49"/>
        <v>542.857142857143</v>
      </c>
      <c r="G305" s="23">
        <f t="shared" si="50"/>
        <v>0.366666666666667</v>
      </c>
      <c r="H305" s="23">
        <f t="shared" si="55"/>
        <v>2.66666666666667</v>
      </c>
      <c r="I305" s="108">
        <f t="shared" si="51"/>
        <v>441.904761904762</v>
      </c>
      <c r="J305" s="23">
        <f t="shared" si="56"/>
        <v>14.2857142857143</v>
      </c>
      <c r="K305" s="23">
        <f t="shared" si="52"/>
        <v>3.61904761904762</v>
      </c>
      <c r="L305" s="23"/>
      <c r="M305" s="23">
        <f t="shared" si="53"/>
        <v>1428.57142857143</v>
      </c>
      <c r="N305" s="23">
        <f t="shared" si="57"/>
        <v>11.4285714285714</v>
      </c>
      <c r="O305" s="23">
        <f t="shared" si="54"/>
        <v>0.685714285714286</v>
      </c>
      <c r="P305" s="23"/>
      <c r="Q305" s="23"/>
      <c r="R305" s="48" cm="1">
        <f ca="1" t="array" ref="R305">SUMPRODUCT(D305:O305,$D$8:$O$8)</f>
        <v>4713.11097904762</v>
      </c>
      <c r="S305" s="23"/>
      <c r="T305" s="23"/>
      <c r="U305" s="23"/>
    </row>
    <row r="306" ht="16.5" spans="2:21">
      <c r="B306" s="105">
        <v>284</v>
      </c>
      <c r="C306" s="23"/>
      <c r="D306" s="106">
        <f t="shared" si="47"/>
        <v>2000</v>
      </c>
      <c r="E306" s="25">
        <f ca="1" t="shared" si="48"/>
        <v>5800.192</v>
      </c>
      <c r="F306" s="24">
        <f t="shared" si="49"/>
        <v>542.857142857143</v>
      </c>
      <c r="G306" s="23">
        <f t="shared" si="50"/>
        <v>0.366666666666667</v>
      </c>
      <c r="H306" s="23">
        <f t="shared" si="55"/>
        <v>2.66666666666667</v>
      </c>
      <c r="I306" s="108">
        <f t="shared" si="51"/>
        <v>441.904761904762</v>
      </c>
      <c r="J306" s="23">
        <f t="shared" si="56"/>
        <v>14.2857142857143</v>
      </c>
      <c r="K306" s="23">
        <f t="shared" si="52"/>
        <v>3.61904761904762</v>
      </c>
      <c r="L306" s="23"/>
      <c r="M306" s="23">
        <f t="shared" si="53"/>
        <v>1428.57142857143</v>
      </c>
      <c r="N306" s="23">
        <f t="shared" si="57"/>
        <v>11.4285714285714</v>
      </c>
      <c r="O306" s="23">
        <f t="shared" si="54"/>
        <v>0.685714285714286</v>
      </c>
      <c r="P306" s="23"/>
      <c r="Q306" s="23"/>
      <c r="R306" s="48" cm="1">
        <f ca="1" t="array" ref="R306">SUMPRODUCT(D306:O306,$D$8:$O$8)</f>
        <v>4713.11097904762</v>
      </c>
      <c r="S306" s="23"/>
      <c r="T306" s="23"/>
      <c r="U306" s="23"/>
    </row>
    <row r="307" ht="16.5" spans="2:21">
      <c r="B307" s="104">
        <v>285</v>
      </c>
      <c r="C307" s="23"/>
      <c r="D307" s="106">
        <f t="shared" si="47"/>
        <v>2000</v>
      </c>
      <c r="E307" s="25">
        <f ca="1" t="shared" si="48"/>
        <v>5800.192</v>
      </c>
      <c r="F307" s="24">
        <f t="shared" si="49"/>
        <v>542.857142857143</v>
      </c>
      <c r="G307" s="23">
        <f t="shared" si="50"/>
        <v>0.366666666666667</v>
      </c>
      <c r="H307" s="23">
        <f t="shared" si="55"/>
        <v>2.66666666666667</v>
      </c>
      <c r="I307" s="108">
        <f t="shared" si="51"/>
        <v>441.904761904762</v>
      </c>
      <c r="J307" s="23">
        <f t="shared" si="56"/>
        <v>14.2857142857143</v>
      </c>
      <c r="K307" s="23">
        <f t="shared" si="52"/>
        <v>3.61904761904762</v>
      </c>
      <c r="L307" s="23"/>
      <c r="M307" s="23">
        <f t="shared" si="53"/>
        <v>1428.57142857143</v>
      </c>
      <c r="N307" s="23">
        <f t="shared" si="57"/>
        <v>11.4285714285714</v>
      </c>
      <c r="O307" s="23">
        <f t="shared" si="54"/>
        <v>0.685714285714286</v>
      </c>
      <c r="P307" s="23"/>
      <c r="Q307" s="23"/>
      <c r="R307" s="48" cm="1">
        <f ca="1" t="array" ref="R307">SUMPRODUCT(D307:O307,$D$8:$O$8)</f>
        <v>4713.11097904762</v>
      </c>
      <c r="S307" s="23"/>
      <c r="T307" s="23"/>
      <c r="U307" s="23"/>
    </row>
    <row r="308" ht="16.5" spans="2:21">
      <c r="B308" s="105">
        <v>286</v>
      </c>
      <c r="C308" s="23"/>
      <c r="D308" s="106">
        <f t="shared" si="47"/>
        <v>2000</v>
      </c>
      <c r="E308" s="25">
        <f ca="1" t="shared" si="48"/>
        <v>5800.192</v>
      </c>
      <c r="F308" s="24">
        <f t="shared" si="49"/>
        <v>542.857142857143</v>
      </c>
      <c r="G308" s="23">
        <f t="shared" si="50"/>
        <v>0.366666666666667</v>
      </c>
      <c r="H308" s="23">
        <f t="shared" si="55"/>
        <v>2.66666666666667</v>
      </c>
      <c r="I308" s="108">
        <f t="shared" si="51"/>
        <v>441.904761904762</v>
      </c>
      <c r="J308" s="23">
        <f t="shared" si="56"/>
        <v>14.2857142857143</v>
      </c>
      <c r="K308" s="23">
        <f t="shared" si="52"/>
        <v>3.61904761904762</v>
      </c>
      <c r="L308" s="23"/>
      <c r="M308" s="23">
        <f t="shared" si="53"/>
        <v>1428.57142857143</v>
      </c>
      <c r="N308" s="23">
        <f t="shared" si="57"/>
        <v>11.4285714285714</v>
      </c>
      <c r="O308" s="23">
        <f t="shared" si="54"/>
        <v>0.685714285714286</v>
      </c>
      <c r="P308" s="23"/>
      <c r="Q308" s="23"/>
      <c r="R308" s="48" cm="1">
        <f ca="1" t="array" ref="R308">SUMPRODUCT(D308:O308,$D$8:$O$8)</f>
        <v>4713.11097904762</v>
      </c>
      <c r="S308" s="23"/>
      <c r="T308" s="23"/>
      <c r="U308" s="23"/>
    </row>
    <row r="309" ht="16.5" spans="2:21">
      <c r="B309" s="104">
        <v>287</v>
      </c>
      <c r="C309" s="23"/>
      <c r="D309" s="106">
        <f t="shared" si="47"/>
        <v>2000</v>
      </c>
      <c r="E309" s="25">
        <f ca="1" t="shared" si="48"/>
        <v>5800.192</v>
      </c>
      <c r="F309" s="24">
        <f t="shared" si="49"/>
        <v>542.857142857143</v>
      </c>
      <c r="G309" s="23">
        <f t="shared" si="50"/>
        <v>0.366666666666667</v>
      </c>
      <c r="H309" s="23">
        <f t="shared" si="55"/>
        <v>2.66666666666667</v>
      </c>
      <c r="I309" s="108">
        <f t="shared" si="51"/>
        <v>441.904761904762</v>
      </c>
      <c r="J309" s="23">
        <f t="shared" si="56"/>
        <v>14.2857142857143</v>
      </c>
      <c r="K309" s="23">
        <f t="shared" si="52"/>
        <v>3.61904761904762</v>
      </c>
      <c r="L309" s="23"/>
      <c r="M309" s="23">
        <f t="shared" si="53"/>
        <v>1428.57142857143</v>
      </c>
      <c r="N309" s="23">
        <f t="shared" si="57"/>
        <v>11.4285714285714</v>
      </c>
      <c r="O309" s="23">
        <f t="shared" si="54"/>
        <v>0.685714285714286</v>
      </c>
      <c r="P309" s="23"/>
      <c r="Q309" s="23"/>
      <c r="R309" s="48" cm="1">
        <f ca="1" t="array" ref="R309">SUMPRODUCT(D309:O309,$D$8:$O$8)</f>
        <v>4713.11097904762</v>
      </c>
      <c r="S309" s="23"/>
      <c r="T309" s="23"/>
      <c r="U309" s="23"/>
    </row>
    <row r="310" ht="16.5" spans="2:21">
      <c r="B310" s="105">
        <v>288</v>
      </c>
      <c r="C310" s="23"/>
      <c r="D310" s="106">
        <f t="shared" si="47"/>
        <v>2000</v>
      </c>
      <c r="E310" s="25">
        <f ca="1" t="shared" si="48"/>
        <v>5800.192</v>
      </c>
      <c r="F310" s="24">
        <f t="shared" si="49"/>
        <v>542.857142857143</v>
      </c>
      <c r="G310" s="23">
        <f t="shared" si="50"/>
        <v>0.366666666666667</v>
      </c>
      <c r="H310" s="23">
        <f t="shared" si="55"/>
        <v>2.66666666666667</v>
      </c>
      <c r="I310" s="108">
        <f t="shared" si="51"/>
        <v>441.904761904762</v>
      </c>
      <c r="J310" s="23">
        <f t="shared" si="56"/>
        <v>14.2857142857143</v>
      </c>
      <c r="K310" s="23">
        <f t="shared" si="52"/>
        <v>3.61904761904762</v>
      </c>
      <c r="L310" s="23"/>
      <c r="M310" s="23">
        <f t="shared" si="53"/>
        <v>1428.57142857143</v>
      </c>
      <c r="N310" s="23">
        <f t="shared" si="57"/>
        <v>11.4285714285714</v>
      </c>
      <c r="O310" s="23">
        <f t="shared" si="54"/>
        <v>0.685714285714286</v>
      </c>
      <c r="P310" s="23"/>
      <c r="Q310" s="23"/>
      <c r="R310" s="48" cm="1">
        <f ca="1" t="array" ref="R310">SUMPRODUCT(D310:O310,$D$8:$O$8)</f>
        <v>4713.11097904762</v>
      </c>
      <c r="S310" s="23"/>
      <c r="T310" s="23"/>
      <c r="U310" s="23"/>
    </row>
    <row r="311" ht="16.5" spans="2:21">
      <c r="B311" s="104">
        <v>289</v>
      </c>
      <c r="C311" s="23"/>
      <c r="D311" s="106">
        <f t="shared" si="47"/>
        <v>2000</v>
      </c>
      <c r="E311" s="25">
        <f ca="1" t="shared" si="48"/>
        <v>5800.192</v>
      </c>
      <c r="F311" s="24">
        <f t="shared" si="49"/>
        <v>542.857142857143</v>
      </c>
      <c r="G311" s="23">
        <f t="shared" si="50"/>
        <v>0.366666666666667</v>
      </c>
      <c r="H311" s="23">
        <f t="shared" si="55"/>
        <v>2.66666666666667</v>
      </c>
      <c r="I311" s="108">
        <f t="shared" si="51"/>
        <v>441.904761904762</v>
      </c>
      <c r="J311" s="23">
        <f t="shared" si="56"/>
        <v>14.2857142857143</v>
      </c>
      <c r="K311" s="23">
        <f t="shared" si="52"/>
        <v>3.61904761904762</v>
      </c>
      <c r="L311" s="23"/>
      <c r="M311" s="23">
        <f t="shared" si="53"/>
        <v>1428.57142857143</v>
      </c>
      <c r="N311" s="23">
        <f t="shared" si="57"/>
        <v>11.4285714285714</v>
      </c>
      <c r="O311" s="23">
        <f t="shared" si="54"/>
        <v>0.685714285714286</v>
      </c>
      <c r="P311" s="23"/>
      <c r="Q311" s="23"/>
      <c r="R311" s="48" cm="1">
        <f ca="1" t="array" ref="R311">SUMPRODUCT(D311:O311,$D$8:$O$8)</f>
        <v>4713.11097904762</v>
      </c>
      <c r="S311" s="23"/>
      <c r="T311" s="23"/>
      <c r="U311" s="23"/>
    </row>
    <row r="312" ht="16.5" spans="2:21">
      <c r="B312" s="105">
        <v>290</v>
      </c>
      <c r="C312" s="23"/>
      <c r="D312" s="106">
        <f t="shared" si="47"/>
        <v>2000</v>
      </c>
      <c r="E312" s="25">
        <f ca="1" t="shared" si="48"/>
        <v>5800.192</v>
      </c>
      <c r="F312" s="24">
        <f t="shared" si="49"/>
        <v>542.857142857143</v>
      </c>
      <c r="G312" s="23">
        <f t="shared" si="50"/>
        <v>0.366666666666667</v>
      </c>
      <c r="H312" s="23">
        <f t="shared" si="55"/>
        <v>2.66666666666667</v>
      </c>
      <c r="I312" s="108">
        <f t="shared" si="51"/>
        <v>441.904761904762</v>
      </c>
      <c r="J312" s="23">
        <f t="shared" si="56"/>
        <v>14.2857142857143</v>
      </c>
      <c r="K312" s="23">
        <f t="shared" si="52"/>
        <v>3.61904761904762</v>
      </c>
      <c r="L312" s="23"/>
      <c r="M312" s="23">
        <f t="shared" si="53"/>
        <v>1428.57142857143</v>
      </c>
      <c r="N312" s="23">
        <f t="shared" si="57"/>
        <v>11.4285714285714</v>
      </c>
      <c r="O312" s="23">
        <f t="shared" si="54"/>
        <v>0.685714285714286</v>
      </c>
      <c r="P312" s="23"/>
      <c r="Q312" s="23"/>
      <c r="R312" s="48" cm="1">
        <f ca="1" t="array" ref="R312">SUMPRODUCT(D312:O312,$D$8:$O$8)</f>
        <v>4713.11097904762</v>
      </c>
      <c r="S312" s="23"/>
      <c r="T312" s="23"/>
      <c r="U312" s="23"/>
    </row>
    <row r="313" ht="16.5" spans="2:21">
      <c r="B313" s="104">
        <v>291</v>
      </c>
      <c r="C313" s="23"/>
      <c r="D313" s="106">
        <f t="shared" si="47"/>
        <v>2000</v>
      </c>
      <c r="E313" s="25">
        <f ca="1" t="shared" si="48"/>
        <v>5800.192</v>
      </c>
      <c r="F313" s="24">
        <f t="shared" si="49"/>
        <v>542.857142857143</v>
      </c>
      <c r="G313" s="23">
        <f t="shared" si="50"/>
        <v>0.366666666666667</v>
      </c>
      <c r="H313" s="23">
        <f t="shared" si="55"/>
        <v>2.66666666666667</v>
      </c>
      <c r="I313" s="108">
        <f t="shared" si="51"/>
        <v>441.904761904762</v>
      </c>
      <c r="J313" s="23">
        <f t="shared" si="56"/>
        <v>14.2857142857143</v>
      </c>
      <c r="K313" s="23">
        <f t="shared" si="52"/>
        <v>3.61904761904762</v>
      </c>
      <c r="L313" s="23"/>
      <c r="M313" s="23">
        <f t="shared" si="53"/>
        <v>1428.57142857143</v>
      </c>
      <c r="N313" s="23">
        <f t="shared" si="57"/>
        <v>11.4285714285714</v>
      </c>
      <c r="O313" s="23">
        <f t="shared" si="54"/>
        <v>0.685714285714286</v>
      </c>
      <c r="P313" s="23"/>
      <c r="Q313" s="23"/>
      <c r="R313" s="48" cm="1">
        <f ca="1" t="array" ref="R313">SUMPRODUCT(D313:O313,$D$8:$O$8)</f>
        <v>4713.11097904762</v>
      </c>
      <c r="S313" s="23"/>
      <c r="T313" s="23"/>
      <c r="U313" s="23"/>
    </row>
    <row r="314" ht="16.5" spans="2:21">
      <c r="B314" s="105">
        <v>292</v>
      </c>
      <c r="C314" s="23"/>
      <c r="D314" s="106">
        <f t="shared" si="47"/>
        <v>2000</v>
      </c>
      <c r="E314" s="25">
        <f ca="1" t="shared" si="48"/>
        <v>5800.192</v>
      </c>
      <c r="F314" s="24">
        <f t="shared" si="49"/>
        <v>542.857142857143</v>
      </c>
      <c r="G314" s="23">
        <f t="shared" si="50"/>
        <v>0.366666666666667</v>
      </c>
      <c r="H314" s="23">
        <f t="shared" si="55"/>
        <v>2.66666666666667</v>
      </c>
      <c r="I314" s="108">
        <f t="shared" si="51"/>
        <v>441.904761904762</v>
      </c>
      <c r="J314" s="23">
        <f t="shared" si="56"/>
        <v>14.2857142857143</v>
      </c>
      <c r="K314" s="23">
        <f t="shared" si="52"/>
        <v>3.61904761904762</v>
      </c>
      <c r="L314" s="23"/>
      <c r="M314" s="23">
        <f t="shared" si="53"/>
        <v>1428.57142857143</v>
      </c>
      <c r="N314" s="23">
        <f t="shared" si="57"/>
        <v>11.4285714285714</v>
      </c>
      <c r="O314" s="23">
        <f t="shared" si="54"/>
        <v>0.685714285714286</v>
      </c>
      <c r="P314" s="23"/>
      <c r="Q314" s="23"/>
      <c r="R314" s="48" cm="1">
        <f ca="1" t="array" ref="R314">SUMPRODUCT(D314:O314,$D$8:$O$8)</f>
        <v>4713.11097904762</v>
      </c>
      <c r="S314" s="23"/>
      <c r="T314" s="23"/>
      <c r="U314" s="23"/>
    </row>
    <row r="315" ht="16.5" spans="2:21">
      <c r="B315" s="104">
        <v>293</v>
      </c>
      <c r="C315" s="23"/>
      <c r="D315" s="106">
        <f t="shared" si="47"/>
        <v>2000</v>
      </c>
      <c r="E315" s="25">
        <f ca="1" t="shared" si="48"/>
        <v>5800.192</v>
      </c>
      <c r="F315" s="24">
        <f t="shared" si="49"/>
        <v>542.857142857143</v>
      </c>
      <c r="G315" s="23">
        <f t="shared" si="50"/>
        <v>0.366666666666667</v>
      </c>
      <c r="H315" s="23">
        <f t="shared" si="55"/>
        <v>2.66666666666667</v>
      </c>
      <c r="I315" s="108">
        <f t="shared" si="51"/>
        <v>441.904761904762</v>
      </c>
      <c r="J315" s="23">
        <f t="shared" si="56"/>
        <v>14.2857142857143</v>
      </c>
      <c r="K315" s="23">
        <f t="shared" si="52"/>
        <v>3.61904761904762</v>
      </c>
      <c r="L315" s="23"/>
      <c r="M315" s="23">
        <f t="shared" si="53"/>
        <v>1428.57142857143</v>
      </c>
      <c r="N315" s="23">
        <f t="shared" si="57"/>
        <v>11.4285714285714</v>
      </c>
      <c r="O315" s="23">
        <f t="shared" si="54"/>
        <v>0.685714285714286</v>
      </c>
      <c r="P315" s="23"/>
      <c r="Q315" s="23"/>
      <c r="R315" s="48" cm="1">
        <f ca="1" t="array" ref="R315">SUMPRODUCT(D315:O315,$D$8:$O$8)</f>
        <v>4713.11097904762</v>
      </c>
      <c r="S315" s="23"/>
      <c r="T315" s="23"/>
      <c r="U315" s="23"/>
    </row>
    <row r="316" ht="16.5" spans="2:21">
      <c r="B316" s="105">
        <v>294</v>
      </c>
      <c r="C316" s="23"/>
      <c r="D316" s="106">
        <f t="shared" si="47"/>
        <v>2000</v>
      </c>
      <c r="E316" s="25">
        <f ca="1" t="shared" si="48"/>
        <v>5800.192</v>
      </c>
      <c r="F316" s="24">
        <f t="shared" si="49"/>
        <v>542.857142857143</v>
      </c>
      <c r="G316" s="23">
        <f t="shared" si="50"/>
        <v>0.366666666666667</v>
      </c>
      <c r="H316" s="23">
        <f t="shared" si="55"/>
        <v>2.66666666666667</v>
      </c>
      <c r="I316" s="108">
        <f t="shared" si="51"/>
        <v>441.904761904762</v>
      </c>
      <c r="J316" s="23">
        <f t="shared" si="56"/>
        <v>14.2857142857143</v>
      </c>
      <c r="K316" s="23">
        <f t="shared" si="52"/>
        <v>3.61904761904762</v>
      </c>
      <c r="L316" s="23"/>
      <c r="M316" s="23">
        <f t="shared" si="53"/>
        <v>1428.57142857143</v>
      </c>
      <c r="N316" s="23">
        <f t="shared" si="57"/>
        <v>11.4285714285714</v>
      </c>
      <c r="O316" s="23">
        <f t="shared" si="54"/>
        <v>0.685714285714286</v>
      </c>
      <c r="P316" s="23"/>
      <c r="Q316" s="23"/>
      <c r="R316" s="48" cm="1">
        <f ca="1" t="array" ref="R316">SUMPRODUCT(D316:O316,$D$8:$O$8)</f>
        <v>4713.11097904762</v>
      </c>
      <c r="S316" s="23"/>
      <c r="T316" s="23"/>
      <c r="U316" s="23"/>
    </row>
    <row r="317" ht="16.5" spans="2:21">
      <c r="B317" s="104">
        <v>295</v>
      </c>
      <c r="C317" s="23"/>
      <c r="D317" s="106">
        <f t="shared" si="47"/>
        <v>2000</v>
      </c>
      <c r="E317" s="25">
        <f ca="1" t="shared" si="48"/>
        <v>5800.192</v>
      </c>
      <c r="F317" s="24">
        <f t="shared" si="49"/>
        <v>542.857142857143</v>
      </c>
      <c r="G317" s="23">
        <f t="shared" si="50"/>
        <v>0.366666666666667</v>
      </c>
      <c r="H317" s="23">
        <f t="shared" si="55"/>
        <v>2.66666666666667</v>
      </c>
      <c r="I317" s="108">
        <f t="shared" si="51"/>
        <v>441.904761904762</v>
      </c>
      <c r="J317" s="23">
        <f t="shared" si="56"/>
        <v>14.2857142857143</v>
      </c>
      <c r="K317" s="23">
        <f t="shared" si="52"/>
        <v>3.61904761904762</v>
      </c>
      <c r="L317" s="23"/>
      <c r="M317" s="23">
        <f t="shared" si="53"/>
        <v>1428.57142857143</v>
      </c>
      <c r="N317" s="23">
        <f t="shared" si="57"/>
        <v>11.4285714285714</v>
      </c>
      <c r="O317" s="23">
        <f t="shared" si="54"/>
        <v>0.685714285714286</v>
      </c>
      <c r="P317" s="23"/>
      <c r="Q317" s="23"/>
      <c r="R317" s="48" cm="1">
        <f ca="1" t="array" ref="R317">SUMPRODUCT(D317:O317,$D$8:$O$8)</f>
        <v>4713.11097904762</v>
      </c>
      <c r="S317" s="23"/>
      <c r="T317" s="23"/>
      <c r="U317" s="23"/>
    </row>
    <row r="318" ht="16.5" spans="2:21">
      <c r="B318" s="105">
        <v>296</v>
      </c>
      <c r="C318" s="23"/>
      <c r="D318" s="106">
        <f t="shared" si="47"/>
        <v>2000</v>
      </c>
      <c r="E318" s="25">
        <f ca="1" t="shared" si="48"/>
        <v>5800.192</v>
      </c>
      <c r="F318" s="24">
        <f t="shared" si="49"/>
        <v>542.857142857143</v>
      </c>
      <c r="G318" s="23">
        <f t="shared" si="50"/>
        <v>0.366666666666667</v>
      </c>
      <c r="H318" s="23">
        <f t="shared" si="55"/>
        <v>2.66666666666667</v>
      </c>
      <c r="I318" s="108">
        <f t="shared" si="51"/>
        <v>441.904761904762</v>
      </c>
      <c r="J318" s="23">
        <f t="shared" si="56"/>
        <v>14.2857142857143</v>
      </c>
      <c r="K318" s="23">
        <f t="shared" si="52"/>
        <v>3.61904761904762</v>
      </c>
      <c r="L318" s="23"/>
      <c r="M318" s="23">
        <f t="shared" si="53"/>
        <v>1428.57142857143</v>
      </c>
      <c r="N318" s="23">
        <f t="shared" si="57"/>
        <v>11.4285714285714</v>
      </c>
      <c r="O318" s="23">
        <f t="shared" si="54"/>
        <v>0.685714285714286</v>
      </c>
      <c r="P318" s="23"/>
      <c r="Q318" s="23"/>
      <c r="R318" s="48" cm="1">
        <f ca="1" t="array" ref="R318">SUMPRODUCT(D318:O318,$D$8:$O$8)</f>
        <v>4713.11097904762</v>
      </c>
      <c r="S318" s="23"/>
      <c r="T318" s="23"/>
      <c r="U318" s="23"/>
    </row>
    <row r="319" ht="16.5" spans="2:21">
      <c r="B319" s="104">
        <v>297</v>
      </c>
      <c r="C319" s="23"/>
      <c r="D319" s="106">
        <f t="shared" si="47"/>
        <v>2000</v>
      </c>
      <c r="E319" s="25">
        <f ca="1" t="shared" si="48"/>
        <v>5800.192</v>
      </c>
      <c r="F319" s="24">
        <f t="shared" si="49"/>
        <v>542.857142857143</v>
      </c>
      <c r="G319" s="23">
        <f t="shared" si="50"/>
        <v>0.366666666666667</v>
      </c>
      <c r="H319" s="23">
        <f t="shared" si="55"/>
        <v>2.66666666666667</v>
      </c>
      <c r="I319" s="108">
        <f t="shared" si="51"/>
        <v>441.904761904762</v>
      </c>
      <c r="J319" s="23">
        <f t="shared" si="56"/>
        <v>14.2857142857143</v>
      </c>
      <c r="K319" s="23">
        <f t="shared" si="52"/>
        <v>3.61904761904762</v>
      </c>
      <c r="L319" s="23"/>
      <c r="M319" s="23">
        <f t="shared" si="53"/>
        <v>1428.57142857143</v>
      </c>
      <c r="N319" s="23">
        <f t="shared" si="57"/>
        <v>11.4285714285714</v>
      </c>
      <c r="O319" s="23">
        <f t="shared" si="54"/>
        <v>0.685714285714286</v>
      </c>
      <c r="P319" s="23"/>
      <c r="Q319" s="23"/>
      <c r="R319" s="48" cm="1">
        <f ca="1" t="array" ref="R319">SUMPRODUCT(D319:O319,$D$8:$O$8)</f>
        <v>4713.11097904762</v>
      </c>
      <c r="S319" s="23"/>
      <c r="T319" s="23"/>
      <c r="U319" s="23"/>
    </row>
    <row r="320" ht="16.5" spans="2:21">
      <c r="B320" s="105">
        <v>298</v>
      </c>
      <c r="C320" s="23"/>
      <c r="D320" s="106">
        <f t="shared" si="47"/>
        <v>2000</v>
      </c>
      <c r="E320" s="25">
        <f ca="1" t="shared" si="48"/>
        <v>5800.192</v>
      </c>
      <c r="F320" s="24">
        <f t="shared" si="49"/>
        <v>542.857142857143</v>
      </c>
      <c r="G320" s="23">
        <f t="shared" si="50"/>
        <v>0.366666666666667</v>
      </c>
      <c r="H320" s="23">
        <f t="shared" si="55"/>
        <v>2.66666666666667</v>
      </c>
      <c r="I320" s="108">
        <f t="shared" si="51"/>
        <v>441.904761904762</v>
      </c>
      <c r="J320" s="23">
        <f t="shared" si="56"/>
        <v>14.2857142857143</v>
      </c>
      <c r="K320" s="23">
        <f t="shared" si="52"/>
        <v>3.61904761904762</v>
      </c>
      <c r="L320" s="23"/>
      <c r="M320" s="23">
        <f t="shared" si="53"/>
        <v>1428.57142857143</v>
      </c>
      <c r="N320" s="23">
        <f t="shared" si="57"/>
        <v>11.4285714285714</v>
      </c>
      <c r="O320" s="23">
        <f t="shared" si="54"/>
        <v>0.685714285714286</v>
      </c>
      <c r="P320" s="23"/>
      <c r="Q320" s="23"/>
      <c r="R320" s="48" cm="1">
        <f ca="1" t="array" ref="R320">SUMPRODUCT(D320:O320,$D$8:$O$8)</f>
        <v>4713.11097904762</v>
      </c>
      <c r="S320" s="23"/>
      <c r="T320" s="23"/>
      <c r="U320" s="23"/>
    </row>
    <row r="321" ht="16.5" spans="2:21">
      <c r="B321" s="104">
        <v>299</v>
      </c>
      <c r="C321" s="23"/>
      <c r="D321" s="106">
        <f t="shared" si="47"/>
        <v>2000</v>
      </c>
      <c r="E321" s="25">
        <f ca="1" t="shared" si="48"/>
        <v>5800.192</v>
      </c>
      <c r="F321" s="24">
        <f t="shared" si="49"/>
        <v>542.857142857143</v>
      </c>
      <c r="G321" s="23">
        <f t="shared" si="50"/>
        <v>0.366666666666667</v>
      </c>
      <c r="H321" s="23">
        <f t="shared" si="55"/>
        <v>2.66666666666667</v>
      </c>
      <c r="I321" s="108">
        <f t="shared" si="51"/>
        <v>441.904761904762</v>
      </c>
      <c r="J321" s="23">
        <f t="shared" si="56"/>
        <v>14.2857142857143</v>
      </c>
      <c r="K321" s="23">
        <f t="shared" si="52"/>
        <v>3.61904761904762</v>
      </c>
      <c r="L321" s="23"/>
      <c r="M321" s="23">
        <f t="shared" si="53"/>
        <v>1428.57142857143</v>
      </c>
      <c r="N321" s="23">
        <f t="shared" si="57"/>
        <v>11.4285714285714</v>
      </c>
      <c r="O321" s="23">
        <f t="shared" si="54"/>
        <v>0.685714285714286</v>
      </c>
      <c r="P321" s="23"/>
      <c r="Q321" s="23"/>
      <c r="R321" s="48" cm="1">
        <f ca="1" t="array" ref="R321">SUMPRODUCT(D321:O321,$D$8:$O$8)</f>
        <v>4713.11097904762</v>
      </c>
      <c r="S321" s="23"/>
      <c r="T321" s="23"/>
      <c r="U321" s="23"/>
    </row>
    <row r="322" ht="16.5" spans="2:21">
      <c r="B322" s="105">
        <v>300</v>
      </c>
      <c r="C322" s="23"/>
      <c r="D322" s="106">
        <f t="shared" si="47"/>
        <v>2000</v>
      </c>
      <c r="E322" s="25">
        <f ca="1" t="shared" si="48"/>
        <v>5800.192</v>
      </c>
      <c r="F322" s="24">
        <f t="shared" si="49"/>
        <v>542.857142857143</v>
      </c>
      <c r="G322" s="23">
        <f t="shared" si="50"/>
        <v>0.366666666666667</v>
      </c>
      <c r="H322" s="23">
        <f t="shared" si="55"/>
        <v>2.66666666666667</v>
      </c>
      <c r="I322" s="108">
        <f t="shared" si="51"/>
        <v>441.904761904762</v>
      </c>
      <c r="J322" s="23">
        <f t="shared" si="56"/>
        <v>14.2857142857143</v>
      </c>
      <c r="K322" s="23">
        <f t="shared" si="52"/>
        <v>3.61904761904762</v>
      </c>
      <c r="L322" s="23"/>
      <c r="M322" s="23">
        <f t="shared" si="53"/>
        <v>1428.57142857143</v>
      </c>
      <c r="N322" s="23">
        <f t="shared" si="57"/>
        <v>11.4285714285714</v>
      </c>
      <c r="O322" s="23">
        <f t="shared" si="54"/>
        <v>0.685714285714286</v>
      </c>
      <c r="P322" s="23"/>
      <c r="Q322" s="23"/>
      <c r="R322" s="48" cm="1">
        <f ca="1" t="array" ref="R322">SUMPRODUCT(D322:O322,$D$8:$O$8)</f>
        <v>4713.11097904762</v>
      </c>
      <c r="S322" s="23"/>
      <c r="T322" s="23"/>
      <c r="U322" s="23"/>
    </row>
  </sheetData>
  <pageMargins left="0.75" right="0.75" top="1" bottom="1" header="0.5" footer="0.5"/>
  <headerFooter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>
    <tabColor theme="4"/>
  </sheetPr>
  <dimension ref="A1:AA200"/>
  <sheetViews>
    <sheetView topLeftCell="D17" workbookViewId="0">
      <selection activeCell="AG65" sqref="AG65"/>
    </sheetView>
  </sheetViews>
  <sheetFormatPr defaultColWidth="9" defaultRowHeight="13.5"/>
  <cols>
    <col min="17" max="17" width="9" customWidth="1"/>
    <col min="18" max="18" width="10.375"/>
    <col min="19" max="19" width="9.25"/>
  </cols>
  <sheetData>
    <row r="1" ht="16.5" spans="1:26">
      <c r="A1" s="80"/>
      <c r="B1" s="81"/>
      <c r="C1" s="82" t="s">
        <v>317</v>
      </c>
      <c r="D1" s="80"/>
      <c r="E1" s="80"/>
      <c r="F1" s="80"/>
      <c r="G1" s="80"/>
      <c r="H1" s="80"/>
      <c r="I1" s="80"/>
      <c r="J1" s="80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6.5" spans="1:26">
      <c r="A2" s="80"/>
      <c r="B2" s="80"/>
      <c r="C2" s="83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 ht="16.5" spans="1:26">
      <c r="A3" s="80"/>
      <c r="B3" s="80"/>
      <c r="C3" s="83"/>
      <c r="D3" s="83" t="s">
        <v>336</v>
      </c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</row>
    <row r="4" ht="16.5" spans="1:26">
      <c r="A4" s="80"/>
      <c r="B4" s="80"/>
      <c r="C4" s="83"/>
      <c r="D4" s="80"/>
      <c r="E4" s="83" t="s">
        <v>337</v>
      </c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</row>
    <row r="5" ht="16.5" spans="1:26">
      <c r="A5" s="80"/>
      <c r="B5" s="80"/>
      <c r="C5" s="83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 ht="16.5" spans="1:26">
      <c r="A6" s="80"/>
      <c r="B6" s="80"/>
      <c r="C6" s="83"/>
      <c r="D6" s="83" t="s">
        <v>338</v>
      </c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 ht="16.5" spans="1:26">
      <c r="A7" s="80"/>
      <c r="B7" s="80"/>
      <c r="C7" s="83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</row>
    <row r="8" ht="16.5" spans="1:26">
      <c r="A8" s="80"/>
      <c r="B8" s="80"/>
      <c r="C8" s="83"/>
      <c r="D8" s="80"/>
      <c r="E8" s="84" t="s">
        <v>339</v>
      </c>
      <c r="F8" s="85" t="s">
        <v>340</v>
      </c>
      <c r="G8" s="85" t="s">
        <v>341</v>
      </c>
      <c r="H8" s="85" t="s">
        <v>342</v>
      </c>
      <c r="I8" s="85" t="s">
        <v>343</v>
      </c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</row>
    <row r="9" ht="16.5" spans="1:26">
      <c r="A9" s="80"/>
      <c r="B9" s="80"/>
      <c r="C9" s="83"/>
      <c r="D9" s="80"/>
      <c r="E9" s="86" t="s">
        <v>344</v>
      </c>
      <c r="F9" s="80">
        <v>1</v>
      </c>
      <c r="G9" s="80">
        <v>70</v>
      </c>
      <c r="H9" s="80">
        <v>70</v>
      </c>
      <c r="I9" s="87" t="s">
        <v>345</v>
      </c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 ht="16.5" spans="1:26">
      <c r="A10" s="80"/>
      <c r="B10" s="80"/>
      <c r="C10" s="83"/>
      <c r="D10" s="80"/>
      <c r="E10" s="86"/>
      <c r="F10" s="80"/>
      <c r="G10" s="80"/>
      <c r="H10" s="80"/>
      <c r="I10" s="87" t="s">
        <v>346</v>
      </c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 ht="16.5" spans="1:26">
      <c r="A11" s="80"/>
      <c r="B11" s="80"/>
      <c r="C11" s="83"/>
      <c r="D11" s="80"/>
      <c r="E11" s="86" t="s">
        <v>347</v>
      </c>
      <c r="F11" s="80">
        <v>10</v>
      </c>
      <c r="G11" s="80">
        <v>28</v>
      </c>
      <c r="H11" s="80">
        <v>280</v>
      </c>
      <c r="I11" s="87" t="s">
        <v>348</v>
      </c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 ht="16.5" spans="1:26">
      <c r="A12" s="80"/>
      <c r="B12" s="80"/>
      <c r="C12" s="83"/>
      <c r="D12" s="80"/>
      <c r="E12" s="86" t="s">
        <v>349</v>
      </c>
      <c r="F12" s="80">
        <v>1</v>
      </c>
      <c r="G12" s="80">
        <v>70</v>
      </c>
      <c r="H12" s="80">
        <v>70</v>
      </c>
      <c r="I12" s="87" t="s">
        <v>350</v>
      </c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 ht="16.5" spans="1:26">
      <c r="A13" s="80"/>
      <c r="B13" s="80"/>
      <c r="C13" s="83"/>
      <c r="D13" s="80"/>
      <c r="E13" s="86"/>
      <c r="F13" s="80"/>
      <c r="G13" s="80"/>
      <c r="H13" s="80"/>
      <c r="I13" s="87" t="s">
        <v>351</v>
      </c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 ht="16.5" spans="1:26">
      <c r="A14" s="80"/>
      <c r="B14" s="80"/>
      <c r="C14" s="83"/>
      <c r="D14" s="80"/>
      <c r="E14" s="86" t="s">
        <v>347</v>
      </c>
      <c r="F14" s="80">
        <v>10</v>
      </c>
      <c r="G14" s="80"/>
      <c r="H14" s="80">
        <v>0</v>
      </c>
      <c r="I14" s="87" t="s">
        <v>352</v>
      </c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 ht="16.5" spans="1:26">
      <c r="A15" s="80"/>
      <c r="B15" s="80"/>
      <c r="C15" s="83"/>
      <c r="D15" s="80"/>
      <c r="E15" s="80"/>
      <c r="F15" s="80"/>
      <c r="G15" s="80"/>
      <c r="H15" s="80"/>
      <c r="I15" s="80">
        <v>420</v>
      </c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 ht="16.5" spans="1:26">
      <c r="A16" s="80"/>
      <c r="B16" s="80"/>
      <c r="C16" s="83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 ht="16.5" spans="1:26">
      <c r="A17" s="80"/>
      <c r="B17" s="80"/>
      <c r="C17" s="83"/>
      <c r="D17" s="80"/>
      <c r="E17" s="84" t="s">
        <v>327</v>
      </c>
      <c r="F17" s="85" t="s">
        <v>353</v>
      </c>
      <c r="G17" s="85" t="s">
        <v>354</v>
      </c>
      <c r="H17" s="85" t="s">
        <v>246</v>
      </c>
      <c r="I17" s="85" t="s">
        <v>205</v>
      </c>
      <c r="J17" s="80"/>
      <c r="K17" s="80"/>
      <c r="L17" s="80"/>
      <c r="M17" s="80"/>
      <c r="N17" s="80"/>
      <c r="O17" s="80"/>
      <c r="P17" s="80" t="s">
        <v>47</v>
      </c>
      <c r="Q17" s="80" t="s">
        <v>238</v>
      </c>
      <c r="R17" s="80" t="s">
        <v>130</v>
      </c>
      <c r="S17" s="80" t="s">
        <v>240</v>
      </c>
      <c r="T17" s="80" t="s">
        <v>132</v>
      </c>
      <c r="U17" s="80" t="s">
        <v>203</v>
      </c>
      <c r="V17" s="80" t="s">
        <v>355</v>
      </c>
      <c r="W17" s="80" t="s">
        <v>129</v>
      </c>
      <c r="X17" s="80" t="s">
        <v>128</v>
      </c>
      <c r="Y17" s="80" t="s">
        <v>96</v>
      </c>
      <c r="Z17" s="80" t="s">
        <v>283</v>
      </c>
    </row>
    <row r="18" ht="16.5" spans="1:26">
      <c r="A18" s="80"/>
      <c r="B18" s="80"/>
      <c r="C18" s="83"/>
      <c r="D18" s="80">
        <v>0.4</v>
      </c>
      <c r="E18" s="86">
        <v>1</v>
      </c>
      <c r="F18" s="88">
        <v>0.02</v>
      </c>
      <c r="G18" s="80" t="s">
        <v>238</v>
      </c>
      <c r="H18" s="80">
        <v>1</v>
      </c>
      <c r="I18" s="80">
        <v>280</v>
      </c>
      <c r="J18" s="80">
        <v>30</v>
      </c>
      <c r="K18" s="80">
        <v>1</v>
      </c>
      <c r="L18" s="80">
        <v>200</v>
      </c>
      <c r="M18" s="80">
        <v>68.8</v>
      </c>
      <c r="N18" s="80">
        <f>F18*H18*10</f>
        <v>0.2</v>
      </c>
      <c r="O18" s="89"/>
      <c r="P18" s="80">
        <v>1</v>
      </c>
      <c r="Q18" s="90">
        <f>SUMIF($G$18:$G$29,Q$17,$N$18:$N$29)/7</f>
        <v>0.0285714285714286</v>
      </c>
      <c r="R18" s="90">
        <f t="shared" ref="R18:Z18" si="0">SUMIF($G$18:$G$29,R$17,$N$18:$N$29)/7</f>
        <v>1.05714285714286</v>
      </c>
      <c r="S18" s="90">
        <f t="shared" si="0"/>
        <v>0.0285714285714286</v>
      </c>
      <c r="T18" s="90">
        <f t="shared" si="0"/>
        <v>2.28571428571429</v>
      </c>
      <c r="U18" s="90">
        <f t="shared" si="0"/>
        <v>0.114285714285714</v>
      </c>
      <c r="V18" s="90">
        <f t="shared" si="0"/>
        <v>8.57142857142857</v>
      </c>
      <c r="W18" s="90">
        <f t="shared" si="0"/>
        <v>1.71428571428571</v>
      </c>
      <c r="X18" s="90">
        <f t="shared" si="0"/>
        <v>8.57142857142857</v>
      </c>
      <c r="Y18" s="90">
        <f t="shared" si="0"/>
        <v>85.7142857142857</v>
      </c>
      <c r="Z18" s="90">
        <f t="shared" si="0"/>
        <v>34.2857142857143</v>
      </c>
    </row>
    <row r="19" ht="16.5" spans="1:26">
      <c r="A19" s="80"/>
      <c r="B19" s="80"/>
      <c r="C19" s="83"/>
      <c r="D19" s="80">
        <v>4.8</v>
      </c>
      <c r="E19" s="86"/>
      <c r="F19" s="88">
        <v>0.12</v>
      </c>
      <c r="G19" s="80" t="s">
        <v>130</v>
      </c>
      <c r="H19" s="80">
        <v>2</v>
      </c>
      <c r="I19" s="80">
        <v>60</v>
      </c>
      <c r="J19" s="80">
        <v>11</v>
      </c>
      <c r="K19" s="80">
        <v>2</v>
      </c>
      <c r="L19" s="80">
        <v>1200</v>
      </c>
      <c r="M19" s="80"/>
      <c r="N19" s="80">
        <f t="shared" ref="N19:N29" si="1">F19*H19*10</f>
        <v>2.4</v>
      </c>
      <c r="O19" s="89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 ht="16.5" spans="1:26">
      <c r="A20" s="80"/>
      <c r="B20" s="80"/>
      <c r="C20" s="83"/>
      <c r="D20" s="80">
        <v>6</v>
      </c>
      <c r="E20" s="86"/>
      <c r="F20" s="88">
        <v>0.06</v>
      </c>
      <c r="G20" s="80" t="s">
        <v>130</v>
      </c>
      <c r="H20" s="80">
        <v>5</v>
      </c>
      <c r="I20" s="80">
        <v>150</v>
      </c>
      <c r="J20" s="80">
        <v>11</v>
      </c>
      <c r="K20" s="80">
        <v>5</v>
      </c>
      <c r="L20" s="80">
        <v>600</v>
      </c>
      <c r="M20" s="80"/>
      <c r="N20" s="80">
        <f t="shared" si="1"/>
        <v>3</v>
      </c>
      <c r="O20" s="89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 ht="16.5" spans="1:26">
      <c r="A21" s="80"/>
      <c r="B21" s="80"/>
      <c r="C21" s="83"/>
      <c r="D21" s="80">
        <v>4</v>
      </c>
      <c r="E21" s="86"/>
      <c r="F21" s="88">
        <v>0.02</v>
      </c>
      <c r="G21" s="80" t="s">
        <v>130</v>
      </c>
      <c r="H21" s="80">
        <v>10</v>
      </c>
      <c r="I21" s="80">
        <v>300</v>
      </c>
      <c r="J21" s="80">
        <v>11</v>
      </c>
      <c r="K21" s="80">
        <v>10</v>
      </c>
      <c r="L21" s="80">
        <v>200</v>
      </c>
      <c r="M21" s="80"/>
      <c r="N21" s="80">
        <f t="shared" si="1"/>
        <v>2</v>
      </c>
      <c r="O21" s="89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 ht="16.5" spans="1:26">
      <c r="A22" s="80"/>
      <c r="B22" s="80"/>
      <c r="C22" s="83"/>
      <c r="D22" s="80">
        <v>0.4</v>
      </c>
      <c r="E22" s="86"/>
      <c r="F22" s="88">
        <v>0.02</v>
      </c>
      <c r="G22" s="80" t="s">
        <v>240</v>
      </c>
      <c r="H22" s="80">
        <v>1</v>
      </c>
      <c r="I22" s="80">
        <v>100</v>
      </c>
      <c r="J22" s="80">
        <v>35</v>
      </c>
      <c r="K22" s="80">
        <v>1</v>
      </c>
      <c r="L22" s="80">
        <v>200</v>
      </c>
      <c r="M22" s="80"/>
      <c r="N22" s="80">
        <f t="shared" si="1"/>
        <v>0.2</v>
      </c>
      <c r="O22" s="89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 ht="16.5" spans="1:26">
      <c r="A23" s="80"/>
      <c r="B23" s="80"/>
      <c r="C23" s="83"/>
      <c r="D23" s="80">
        <v>32</v>
      </c>
      <c r="E23" s="86"/>
      <c r="F23" s="91">
        <v>0.08</v>
      </c>
      <c r="G23" s="80" t="s">
        <v>132</v>
      </c>
      <c r="H23" s="80">
        <v>20</v>
      </c>
      <c r="I23" s="80">
        <v>100</v>
      </c>
      <c r="J23" s="80">
        <v>5303001</v>
      </c>
      <c r="K23" s="80">
        <v>20</v>
      </c>
      <c r="L23" s="80">
        <v>800</v>
      </c>
      <c r="M23" s="80"/>
      <c r="N23" s="80">
        <f t="shared" si="1"/>
        <v>16</v>
      </c>
      <c r="O23" s="8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 ht="16.5" spans="1:26">
      <c r="A24" s="80"/>
      <c r="B24" s="80"/>
      <c r="C24" s="83"/>
      <c r="D24" s="80">
        <v>1.6</v>
      </c>
      <c r="E24" s="86"/>
      <c r="F24" s="91">
        <v>0.08</v>
      </c>
      <c r="G24" s="80" t="s">
        <v>203</v>
      </c>
      <c r="H24" s="80">
        <v>1</v>
      </c>
      <c r="I24" s="80">
        <v>50</v>
      </c>
      <c r="J24" s="80">
        <v>9</v>
      </c>
      <c r="K24" s="80">
        <v>1</v>
      </c>
      <c r="L24" s="80">
        <v>800</v>
      </c>
      <c r="M24" s="80"/>
      <c r="N24" s="80">
        <f t="shared" si="1"/>
        <v>0.8</v>
      </c>
      <c r="O24" s="8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 ht="16.5" spans="1:26">
      <c r="A25" s="80"/>
      <c r="B25" s="80"/>
      <c r="C25" s="83"/>
      <c r="D25" s="80">
        <v>120</v>
      </c>
      <c r="E25" s="86"/>
      <c r="F25" s="91">
        <v>0.12</v>
      </c>
      <c r="G25" s="80" t="s">
        <v>355</v>
      </c>
      <c r="H25" s="80">
        <v>50</v>
      </c>
      <c r="I25" s="80">
        <v>100</v>
      </c>
      <c r="J25" s="80">
        <v>5104001</v>
      </c>
      <c r="K25" s="80">
        <v>50</v>
      </c>
      <c r="L25" s="80">
        <v>1200</v>
      </c>
      <c r="M25" s="80"/>
      <c r="N25" s="80">
        <f t="shared" si="1"/>
        <v>60</v>
      </c>
      <c r="O25" s="89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 ht="16.5" spans="1:26">
      <c r="A26" s="80"/>
      <c r="B26" s="80"/>
      <c r="C26" s="83"/>
      <c r="D26" s="80">
        <v>24</v>
      </c>
      <c r="E26" s="86"/>
      <c r="F26" s="91">
        <v>0.12</v>
      </c>
      <c r="G26" s="80" t="s">
        <v>129</v>
      </c>
      <c r="H26" s="80">
        <v>10</v>
      </c>
      <c r="I26" s="80">
        <v>30</v>
      </c>
      <c r="J26" s="80">
        <v>50002</v>
      </c>
      <c r="K26" s="80">
        <v>10</v>
      </c>
      <c r="L26" s="80">
        <v>1200</v>
      </c>
      <c r="M26" s="80"/>
      <c r="N26" s="80">
        <f t="shared" si="1"/>
        <v>12</v>
      </c>
      <c r="O26" s="89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 ht="16.5" spans="1:26">
      <c r="A27" s="80"/>
      <c r="B27" s="80"/>
      <c r="C27" s="83"/>
      <c r="D27" s="80">
        <v>120</v>
      </c>
      <c r="E27" s="86"/>
      <c r="F27" s="91">
        <v>0.12</v>
      </c>
      <c r="G27" s="80" t="s">
        <v>128</v>
      </c>
      <c r="H27" s="80">
        <v>50</v>
      </c>
      <c r="I27" s="80">
        <v>50</v>
      </c>
      <c r="J27" s="80">
        <v>5103001</v>
      </c>
      <c r="K27" s="80">
        <v>50</v>
      </c>
      <c r="L27" s="80">
        <v>1200</v>
      </c>
      <c r="M27" s="80"/>
      <c r="N27" s="80">
        <f t="shared" si="1"/>
        <v>60</v>
      </c>
      <c r="O27" s="89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 ht="16.5" spans="1:26">
      <c r="A28" s="80"/>
      <c r="B28" s="80"/>
      <c r="C28" s="83"/>
      <c r="D28" s="80">
        <v>1200</v>
      </c>
      <c r="E28" s="86"/>
      <c r="F28" s="91">
        <v>0.12</v>
      </c>
      <c r="G28" s="80" t="s">
        <v>96</v>
      </c>
      <c r="H28" s="80">
        <v>500</v>
      </c>
      <c r="I28" s="80">
        <v>25</v>
      </c>
      <c r="J28" s="80">
        <v>2</v>
      </c>
      <c r="K28" s="80">
        <v>500</v>
      </c>
      <c r="L28" s="80">
        <v>1200</v>
      </c>
      <c r="M28" s="80"/>
      <c r="N28" s="80">
        <f t="shared" si="1"/>
        <v>600</v>
      </c>
      <c r="O28" s="89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 ht="16.5" spans="1:26">
      <c r="A29" s="80"/>
      <c r="B29" s="80"/>
      <c r="C29" s="83"/>
      <c r="D29" s="80">
        <v>480</v>
      </c>
      <c r="E29" s="86"/>
      <c r="F29" s="91">
        <v>0.12</v>
      </c>
      <c r="G29" s="80" t="s">
        <v>283</v>
      </c>
      <c r="H29" s="80">
        <v>200</v>
      </c>
      <c r="I29" s="80">
        <v>20</v>
      </c>
      <c r="J29" s="80">
        <v>50001</v>
      </c>
      <c r="K29" s="80">
        <v>200</v>
      </c>
      <c r="L29" s="80">
        <v>1200</v>
      </c>
      <c r="M29" s="80"/>
      <c r="N29" s="80">
        <f t="shared" si="1"/>
        <v>240</v>
      </c>
      <c r="O29" s="89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 ht="16.5" spans="1:26">
      <c r="A30" s="80"/>
      <c r="B30" s="80"/>
      <c r="C30" s="83"/>
      <c r="D30" s="80"/>
      <c r="E30" s="86"/>
      <c r="F30" s="80"/>
      <c r="G30" s="80"/>
      <c r="H30" s="80"/>
      <c r="I30" s="80"/>
      <c r="J30" s="80"/>
      <c r="K30" s="80"/>
      <c r="L30" s="80"/>
      <c r="M30" s="80"/>
      <c r="N30" s="80">
        <v>0</v>
      </c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 ht="16.5" spans="1:26">
      <c r="A31" s="80"/>
      <c r="B31" s="80"/>
      <c r="C31" s="83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ht="16.5" spans="1:26">
      <c r="A32" s="80"/>
      <c r="B32" s="80"/>
      <c r="C32" s="83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 ht="16.5" spans="1:27">
      <c r="A33" s="80"/>
      <c r="B33" s="80"/>
      <c r="C33" s="83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 ht="16.5" spans="1:27">
      <c r="A34" s="80"/>
      <c r="B34" s="80"/>
      <c r="C34" s="83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 ht="16.5" spans="1:27">
      <c r="A35" s="80"/>
      <c r="B35" s="80"/>
      <c r="C35" s="83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>
        <v>55</v>
      </c>
      <c r="R35" s="80"/>
      <c r="S35" s="80"/>
      <c r="T35" s="80"/>
      <c r="U35" s="80"/>
      <c r="V35" s="80"/>
      <c r="W35" s="80"/>
      <c r="X35" s="80"/>
      <c r="Y35" s="80"/>
      <c r="Z35" s="80"/>
    </row>
    <row r="36" ht="16.5" spans="1:27">
      <c r="A36" s="80"/>
      <c r="B36" s="81"/>
      <c r="C36" s="82" t="s">
        <v>356</v>
      </c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ht="16.5" spans="1:27">
      <c r="A37" s="80"/>
      <c r="B37" s="80"/>
      <c r="C37" s="82"/>
      <c r="D37" s="80"/>
      <c r="E37" s="84" t="s">
        <v>357</v>
      </c>
      <c r="F37" s="85" t="s">
        <v>358</v>
      </c>
      <c r="G37" s="85" t="s">
        <v>359</v>
      </c>
      <c r="H37" s="85" t="s">
        <v>360</v>
      </c>
      <c r="I37" s="85" t="s">
        <v>353</v>
      </c>
      <c r="J37" s="85" t="s">
        <v>361</v>
      </c>
      <c r="K37" s="85" t="s">
        <v>362</v>
      </c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ht="16.5" spans="1:27">
      <c r="A38" s="80"/>
      <c r="B38" s="80"/>
      <c r="C38" s="82"/>
      <c r="D38" s="92">
        <v>1</v>
      </c>
      <c r="E38" s="86" t="s">
        <v>363</v>
      </c>
      <c r="F38" s="80">
        <v>1</v>
      </c>
      <c r="G38" s="80">
        <v>20</v>
      </c>
      <c r="H38" s="91">
        <v>0</v>
      </c>
      <c r="I38" s="91">
        <v>0.15</v>
      </c>
      <c r="J38" s="80">
        <v>3</v>
      </c>
      <c r="K38" s="80">
        <v>29.135</v>
      </c>
      <c r="L38" s="80">
        <v>0</v>
      </c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 ht="16.5" spans="1:27">
      <c r="A39" s="80"/>
      <c r="B39" s="80"/>
      <c r="C39" s="82"/>
      <c r="D39" s="92">
        <v>2</v>
      </c>
      <c r="E39" s="86" t="s">
        <v>364</v>
      </c>
      <c r="F39" s="80">
        <v>2</v>
      </c>
      <c r="G39" s="80">
        <v>50</v>
      </c>
      <c r="H39" s="91">
        <v>0.5</v>
      </c>
      <c r="I39" s="91">
        <v>0.45</v>
      </c>
      <c r="J39" s="80">
        <v>22.5</v>
      </c>
      <c r="K39" s="80"/>
      <c r="L39" s="80">
        <v>25</v>
      </c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 ht="16.5" spans="1:27">
      <c r="A40" s="80"/>
      <c r="B40" s="80"/>
      <c r="C40" s="82"/>
      <c r="D40" s="92">
        <v>3</v>
      </c>
      <c r="E40" s="86" t="s">
        <v>365</v>
      </c>
      <c r="F40" s="80">
        <v>2</v>
      </c>
      <c r="G40" s="80">
        <v>150</v>
      </c>
      <c r="H40" s="91">
        <v>0.5</v>
      </c>
      <c r="I40" s="91">
        <v>0.32</v>
      </c>
      <c r="J40" s="80">
        <v>48</v>
      </c>
      <c r="K40" s="80"/>
      <c r="L40" s="80">
        <v>75</v>
      </c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 ht="16.5" spans="1:27">
      <c r="A41" s="80"/>
      <c r="B41" s="80"/>
      <c r="C41" s="82"/>
      <c r="D41" s="92">
        <v>4</v>
      </c>
      <c r="E41" s="86" t="s">
        <v>366</v>
      </c>
      <c r="F41" s="80">
        <v>3</v>
      </c>
      <c r="G41" s="80">
        <v>500</v>
      </c>
      <c r="H41" s="91">
        <v>0.5</v>
      </c>
      <c r="I41" s="91">
        <v>0.08</v>
      </c>
      <c r="J41" s="80">
        <v>40</v>
      </c>
      <c r="K41" s="80"/>
      <c r="L41" s="80">
        <v>250</v>
      </c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 ht="16.5" spans="1:27">
      <c r="A42" s="80"/>
      <c r="B42" s="80"/>
      <c r="C42" s="82"/>
      <c r="D42" s="80"/>
      <c r="E42" s="80"/>
      <c r="F42" s="80"/>
      <c r="G42" s="80"/>
      <c r="H42" s="80"/>
      <c r="I42" s="80">
        <v>1</v>
      </c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 ht="16.5" spans="1:27">
      <c r="A43" s="80"/>
      <c r="B43" s="80"/>
      <c r="C43" s="82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 ht="16.5" spans="1:27">
      <c r="A44" s="80"/>
      <c r="B44" s="80"/>
      <c r="C44" s="82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 ht="16.5" spans="1:27">
      <c r="A45" s="80"/>
      <c r="B45" s="80"/>
      <c r="C45" s="82"/>
      <c r="D45" s="80"/>
      <c r="E45" s="80" t="s">
        <v>356</v>
      </c>
      <c r="F45" s="80"/>
      <c r="G45" s="80" t="s">
        <v>367</v>
      </c>
      <c r="H45" s="80"/>
      <c r="I45" s="80"/>
      <c r="J45" s="80" t="s">
        <v>368</v>
      </c>
      <c r="K45" s="80"/>
      <c r="L45" s="80" t="s">
        <v>369</v>
      </c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 ht="16.5" spans="1:27">
      <c r="A46" s="80"/>
      <c r="B46" s="80"/>
      <c r="C46" s="82"/>
      <c r="D46" s="80"/>
      <c r="E46" s="80"/>
      <c r="F46" s="80"/>
      <c r="G46" s="80">
        <v>30</v>
      </c>
      <c r="H46" s="80">
        <v>11</v>
      </c>
      <c r="I46" s="80">
        <v>1</v>
      </c>
      <c r="J46" s="80">
        <v>9</v>
      </c>
      <c r="K46" s="80">
        <v>5303001</v>
      </c>
      <c r="L46" s="80">
        <v>50002</v>
      </c>
      <c r="M46" s="80">
        <v>5103001</v>
      </c>
      <c r="N46" s="80">
        <v>2</v>
      </c>
      <c r="O46" s="80">
        <v>50001</v>
      </c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 ht="16.5" spans="1:27">
      <c r="A47" s="80"/>
      <c r="B47" s="80"/>
      <c r="C47" s="82"/>
      <c r="D47" s="80"/>
      <c r="E47" s="80"/>
      <c r="F47" s="80"/>
      <c r="G47" s="80">
        <v>280</v>
      </c>
      <c r="H47" s="80">
        <v>30</v>
      </c>
      <c r="I47" s="80">
        <v>1</v>
      </c>
      <c r="J47" s="80">
        <v>50</v>
      </c>
      <c r="K47" s="80">
        <v>5</v>
      </c>
      <c r="L47" s="80">
        <v>3</v>
      </c>
      <c r="M47" s="80">
        <v>1</v>
      </c>
      <c r="N47" s="80">
        <v>0.05</v>
      </c>
      <c r="O47" s="80">
        <v>0.1</v>
      </c>
      <c r="P47" s="80"/>
      <c r="Q47" s="80"/>
      <c r="R47" s="85" t="s">
        <v>356</v>
      </c>
      <c r="S47" s="85" t="s">
        <v>238</v>
      </c>
      <c r="T47" s="85" t="s">
        <v>130</v>
      </c>
      <c r="U47" s="85" t="s">
        <v>202</v>
      </c>
      <c r="V47" s="85" t="s">
        <v>203</v>
      </c>
      <c r="W47" s="85" t="s">
        <v>132</v>
      </c>
      <c r="X47" s="85" t="s">
        <v>129</v>
      </c>
      <c r="Y47" s="85" t="s">
        <v>128</v>
      </c>
      <c r="Z47" s="85" t="s">
        <v>96</v>
      </c>
      <c r="AA47" s="85" t="s">
        <v>283</v>
      </c>
    </row>
    <row r="48" ht="16.5" spans="1:27">
      <c r="A48" s="80"/>
      <c r="B48" s="80"/>
      <c r="C48" s="83"/>
      <c r="D48" s="80"/>
      <c r="E48" s="84" t="s">
        <v>327</v>
      </c>
      <c r="F48" s="85" t="s">
        <v>353</v>
      </c>
      <c r="G48" s="85" t="s">
        <v>238</v>
      </c>
      <c r="H48" s="85" t="s">
        <v>130</v>
      </c>
      <c r="I48" s="85" t="s">
        <v>202</v>
      </c>
      <c r="J48" s="85" t="s">
        <v>203</v>
      </c>
      <c r="K48" s="85" t="s">
        <v>132</v>
      </c>
      <c r="L48" s="85" t="s">
        <v>129</v>
      </c>
      <c r="M48" s="85" t="s">
        <v>128</v>
      </c>
      <c r="N48" s="85" t="s">
        <v>96</v>
      </c>
      <c r="O48" s="85" t="s">
        <v>283</v>
      </c>
      <c r="P48" s="85" t="s">
        <v>205</v>
      </c>
      <c r="Q48" s="80"/>
      <c r="R48" s="80">
        <v>1</v>
      </c>
      <c r="S48" s="23">
        <f ca="1">SUM(S49:S81)</f>
        <v>0.016</v>
      </c>
      <c r="T48" s="23">
        <f ca="1" t="shared" ref="T48:AA48" si="2">SUM(T49:T81)</f>
        <v>0.505</v>
      </c>
      <c r="U48" s="23">
        <f ca="1" t="shared" si="2"/>
        <v>0.8</v>
      </c>
      <c r="V48" s="23">
        <f ca="1" t="shared" si="2"/>
        <v>0.225</v>
      </c>
      <c r="W48" s="23">
        <f ca="1" t="shared" si="2"/>
        <v>0</v>
      </c>
      <c r="X48" s="23">
        <f ca="1" t="shared" si="2"/>
        <v>6.46</v>
      </c>
      <c r="Y48" s="23">
        <f ca="1" t="shared" si="2"/>
        <v>20.275</v>
      </c>
      <c r="Z48" s="23">
        <f ca="1" t="shared" si="2"/>
        <v>302.25</v>
      </c>
      <c r="AA48" s="23">
        <f ca="1" t="shared" si="2"/>
        <v>66.975</v>
      </c>
    </row>
    <row r="49" ht="16.5" spans="1:27">
      <c r="A49" s="80"/>
      <c r="B49" s="80"/>
      <c r="C49" s="83"/>
      <c r="D49" s="80"/>
      <c r="E49" s="86">
        <v>1</v>
      </c>
      <c r="F49" s="93">
        <v>2500</v>
      </c>
      <c r="G49" s="93"/>
      <c r="H49" s="93"/>
      <c r="I49" s="93"/>
      <c r="J49" s="93"/>
      <c r="K49" s="93"/>
      <c r="L49" s="93"/>
      <c r="M49" s="93">
        <v>30</v>
      </c>
      <c r="N49" s="93"/>
      <c r="O49" s="93"/>
      <c r="P49" s="80">
        <v>30</v>
      </c>
      <c r="Q49" s="80"/>
      <c r="S49" s="80">
        <f ca="1">G49*$F49/10000*OFFSET($I$37,$E49,0)</f>
        <v>0</v>
      </c>
      <c r="T49" s="80">
        <f ca="1" t="shared" ref="T49:AA49" si="3">H49*$F49/10000*OFFSET($I$37,$E49,0)</f>
        <v>0</v>
      </c>
      <c r="U49" s="80">
        <f ca="1" t="shared" si="3"/>
        <v>0</v>
      </c>
      <c r="V49" s="80">
        <f ca="1" t="shared" si="3"/>
        <v>0</v>
      </c>
      <c r="W49" s="80">
        <f ca="1" t="shared" si="3"/>
        <v>0</v>
      </c>
      <c r="X49" s="80">
        <f ca="1" t="shared" si="3"/>
        <v>0</v>
      </c>
      <c r="Y49" s="80">
        <f ca="1" t="shared" si="3"/>
        <v>1.125</v>
      </c>
      <c r="Z49" s="80">
        <f ca="1" t="shared" si="3"/>
        <v>0</v>
      </c>
      <c r="AA49" s="80">
        <f ca="1" t="shared" si="3"/>
        <v>0</v>
      </c>
    </row>
    <row r="50" ht="16.5" spans="1:27">
      <c r="A50" s="80"/>
      <c r="B50" s="80"/>
      <c r="C50" s="83"/>
      <c r="D50" s="80"/>
      <c r="E50" s="86">
        <v>1</v>
      </c>
      <c r="F50" s="93">
        <v>2500</v>
      </c>
      <c r="G50" s="93"/>
      <c r="H50" s="93"/>
      <c r="I50" s="93"/>
      <c r="J50" s="93"/>
      <c r="K50" s="93"/>
      <c r="L50" s="93"/>
      <c r="M50" s="93"/>
      <c r="N50" s="93">
        <v>200</v>
      </c>
      <c r="O50" s="93">
        <v>300</v>
      </c>
      <c r="P50" s="80">
        <v>40</v>
      </c>
      <c r="Q50" s="80"/>
      <c r="R50" s="80"/>
      <c r="S50" s="80">
        <f ca="1" t="shared" ref="S50:S81" si="4">G50*$F50/10000*OFFSET($I$37,$E50,0)</f>
        <v>0</v>
      </c>
      <c r="T50" s="80">
        <f ca="1" t="shared" ref="T50:T81" si="5">H50*$F50/10000*OFFSET($I$37,$E50,0)</f>
        <v>0</v>
      </c>
      <c r="U50" s="80">
        <f ca="1" t="shared" ref="U50:U81" si="6">I50*$F50/10000*OFFSET($I$37,$E50,0)</f>
        <v>0</v>
      </c>
      <c r="V50" s="80">
        <f ca="1" t="shared" ref="V50:V81" si="7">J50*$F50/10000*OFFSET($I$37,$E50,0)</f>
        <v>0</v>
      </c>
      <c r="W50" s="80">
        <f ca="1" t="shared" ref="W50:W81" si="8">K50*$F50/10000*OFFSET($I$37,$E50,0)</f>
        <v>0</v>
      </c>
      <c r="X50" s="80">
        <f ca="1" t="shared" ref="X50:X81" si="9">L50*$F50/10000*OFFSET($I$37,$E50,0)</f>
        <v>0</v>
      </c>
      <c r="Y50" s="80">
        <f ca="1" t="shared" ref="Y50:Y81" si="10">M50*$F50/10000*OFFSET($I$37,$E50,0)</f>
        <v>0</v>
      </c>
      <c r="Z50" s="80">
        <f ca="1" t="shared" ref="Z50:Z81" si="11">N50*$F50/10000*OFFSET($I$37,$E50,0)</f>
        <v>7.5</v>
      </c>
      <c r="AA50" s="80">
        <f ca="1" t="shared" ref="AA50:AA81" si="12">O50*$F50/10000*OFFSET($I$37,$E50,0)</f>
        <v>11.25</v>
      </c>
    </row>
    <row r="51" ht="16.5" spans="1:27">
      <c r="A51" s="80"/>
      <c r="B51" s="80"/>
      <c r="C51" s="83"/>
      <c r="D51" s="80"/>
      <c r="E51" s="86">
        <v>1</v>
      </c>
      <c r="F51" s="93">
        <v>2500</v>
      </c>
      <c r="G51" s="93"/>
      <c r="H51" s="93"/>
      <c r="I51" s="93"/>
      <c r="J51" s="93"/>
      <c r="K51" s="93"/>
      <c r="L51" s="93"/>
      <c r="M51" s="93"/>
      <c r="N51" s="93">
        <v>500</v>
      </c>
      <c r="O51" s="93"/>
      <c r="P51" s="80">
        <v>25</v>
      </c>
      <c r="Q51" s="80"/>
      <c r="R51" s="80"/>
      <c r="S51" s="80">
        <f ca="1" t="shared" si="4"/>
        <v>0</v>
      </c>
      <c r="T51" s="80">
        <f ca="1" t="shared" si="5"/>
        <v>0</v>
      </c>
      <c r="U51" s="80">
        <f ca="1" t="shared" si="6"/>
        <v>0</v>
      </c>
      <c r="V51" s="80">
        <f ca="1" t="shared" si="7"/>
        <v>0</v>
      </c>
      <c r="W51" s="80">
        <f ca="1" t="shared" si="8"/>
        <v>0</v>
      </c>
      <c r="X51" s="80">
        <f ca="1" t="shared" si="9"/>
        <v>0</v>
      </c>
      <c r="Y51" s="80">
        <f ca="1" t="shared" si="10"/>
        <v>0</v>
      </c>
      <c r="Z51" s="80">
        <f ca="1" t="shared" si="11"/>
        <v>18.75</v>
      </c>
      <c r="AA51" s="80">
        <f ca="1" t="shared" si="12"/>
        <v>0</v>
      </c>
    </row>
    <row r="52" ht="16.5" spans="1:27">
      <c r="A52" s="80"/>
      <c r="B52" s="80"/>
      <c r="C52" s="83"/>
      <c r="D52" s="80"/>
      <c r="E52" s="86">
        <v>1</v>
      </c>
      <c r="F52" s="93">
        <v>2500</v>
      </c>
      <c r="G52" s="93"/>
      <c r="H52" s="93"/>
      <c r="I52" s="93"/>
      <c r="J52" s="93"/>
      <c r="K52" s="93"/>
      <c r="L52" s="93">
        <v>5</v>
      </c>
      <c r="M52" s="93"/>
      <c r="N52" s="93">
        <v>200</v>
      </c>
      <c r="O52" s="93"/>
      <c r="P52" s="80">
        <v>25</v>
      </c>
      <c r="Q52" s="80"/>
      <c r="R52" s="80"/>
      <c r="S52" s="80">
        <f ca="1" t="shared" si="4"/>
        <v>0</v>
      </c>
      <c r="T52" s="80">
        <f ca="1" t="shared" si="5"/>
        <v>0</v>
      </c>
      <c r="U52" s="80">
        <f ca="1" t="shared" si="6"/>
        <v>0</v>
      </c>
      <c r="V52" s="80">
        <f ca="1" t="shared" si="7"/>
        <v>0</v>
      </c>
      <c r="W52" s="80">
        <f ca="1" t="shared" si="8"/>
        <v>0</v>
      </c>
      <c r="X52" s="80">
        <f ca="1" t="shared" si="9"/>
        <v>0.1875</v>
      </c>
      <c r="Y52" s="80">
        <f ca="1" t="shared" si="10"/>
        <v>0</v>
      </c>
      <c r="Z52" s="80">
        <f ca="1" t="shared" si="11"/>
        <v>7.5</v>
      </c>
      <c r="AA52" s="80">
        <f ca="1" t="shared" si="12"/>
        <v>0</v>
      </c>
    </row>
    <row r="53" ht="16.5" spans="1:27">
      <c r="A53" s="80"/>
      <c r="B53" s="80"/>
      <c r="C53" s="83"/>
      <c r="D53" s="80"/>
      <c r="E53" s="86">
        <v>2</v>
      </c>
      <c r="F53" s="94">
        <v>2000</v>
      </c>
      <c r="G53" s="94"/>
      <c r="H53" s="94"/>
      <c r="I53" s="94"/>
      <c r="J53" s="94"/>
      <c r="K53" s="94"/>
      <c r="L53" s="94">
        <v>10</v>
      </c>
      <c r="M53" s="94"/>
      <c r="N53" s="94">
        <v>500</v>
      </c>
      <c r="O53" s="94"/>
      <c r="P53" s="80">
        <v>55</v>
      </c>
      <c r="Q53" s="80"/>
      <c r="R53" s="80"/>
      <c r="S53" s="80">
        <f ca="1" t="shared" si="4"/>
        <v>0</v>
      </c>
      <c r="T53" s="80">
        <f ca="1" t="shared" si="5"/>
        <v>0</v>
      </c>
      <c r="U53" s="80">
        <f ca="1" t="shared" si="6"/>
        <v>0</v>
      </c>
      <c r="V53" s="80">
        <f ca="1" t="shared" si="7"/>
        <v>0</v>
      </c>
      <c r="W53" s="80">
        <f ca="1" t="shared" si="8"/>
        <v>0</v>
      </c>
      <c r="X53" s="80">
        <f ca="1" t="shared" si="9"/>
        <v>0.9</v>
      </c>
      <c r="Y53" s="80">
        <f ca="1" t="shared" si="10"/>
        <v>0</v>
      </c>
      <c r="Z53" s="80">
        <f ca="1" t="shared" si="11"/>
        <v>45</v>
      </c>
      <c r="AA53" s="80">
        <f ca="1" t="shared" si="12"/>
        <v>0</v>
      </c>
    </row>
    <row r="54" ht="16.5" spans="1:27">
      <c r="A54" s="80"/>
      <c r="B54" s="80"/>
      <c r="C54" s="83"/>
      <c r="D54" s="80"/>
      <c r="E54" s="86">
        <v>2</v>
      </c>
      <c r="F54" s="94">
        <v>2000</v>
      </c>
      <c r="G54" s="94"/>
      <c r="H54" s="94"/>
      <c r="I54" s="94"/>
      <c r="J54" s="94"/>
      <c r="K54" s="94"/>
      <c r="L54" s="94"/>
      <c r="M54" s="94">
        <v>30</v>
      </c>
      <c r="N54" s="94"/>
      <c r="O54" s="94">
        <v>200</v>
      </c>
      <c r="P54" s="80">
        <v>50</v>
      </c>
      <c r="Q54" s="80"/>
      <c r="R54" s="80"/>
      <c r="S54" s="80">
        <f ca="1" t="shared" si="4"/>
        <v>0</v>
      </c>
      <c r="T54" s="80">
        <f ca="1" t="shared" si="5"/>
        <v>0</v>
      </c>
      <c r="U54" s="80">
        <f ca="1" t="shared" si="6"/>
        <v>0</v>
      </c>
      <c r="V54" s="80">
        <f ca="1" t="shared" si="7"/>
        <v>0</v>
      </c>
      <c r="W54" s="80">
        <f ca="1" t="shared" si="8"/>
        <v>0</v>
      </c>
      <c r="X54" s="80">
        <f ca="1" t="shared" si="9"/>
        <v>0</v>
      </c>
      <c r="Y54" s="80">
        <f ca="1" t="shared" si="10"/>
        <v>2.7</v>
      </c>
      <c r="Z54" s="80">
        <f ca="1" t="shared" si="11"/>
        <v>0</v>
      </c>
      <c r="AA54" s="80">
        <f ca="1" t="shared" si="12"/>
        <v>18</v>
      </c>
    </row>
    <row r="55" ht="16.5" spans="1:27">
      <c r="A55" s="80"/>
      <c r="B55" s="80"/>
      <c r="C55" s="83"/>
      <c r="D55" s="80"/>
      <c r="E55" s="86">
        <v>2</v>
      </c>
      <c r="F55" s="94">
        <v>2000</v>
      </c>
      <c r="G55" s="94"/>
      <c r="H55" s="94"/>
      <c r="I55" s="94"/>
      <c r="J55" s="94"/>
      <c r="K55" s="94"/>
      <c r="L55" s="94">
        <v>10</v>
      </c>
      <c r="M55" s="94"/>
      <c r="N55" s="94">
        <v>300</v>
      </c>
      <c r="O55" s="94"/>
      <c r="P55" s="80">
        <v>45</v>
      </c>
      <c r="Q55" s="80"/>
      <c r="R55" s="80"/>
      <c r="S55" s="80">
        <f ca="1" t="shared" si="4"/>
        <v>0</v>
      </c>
      <c r="T55" s="80">
        <f ca="1" t="shared" si="5"/>
        <v>0</v>
      </c>
      <c r="U55" s="80">
        <f ca="1" t="shared" si="6"/>
        <v>0</v>
      </c>
      <c r="V55" s="80">
        <f ca="1" t="shared" si="7"/>
        <v>0</v>
      </c>
      <c r="W55" s="80">
        <f ca="1" t="shared" si="8"/>
        <v>0</v>
      </c>
      <c r="X55" s="80">
        <f ca="1" t="shared" si="9"/>
        <v>0.9</v>
      </c>
      <c r="Y55" s="80">
        <f ca="1" t="shared" si="10"/>
        <v>0</v>
      </c>
      <c r="Z55" s="80">
        <f ca="1" t="shared" si="11"/>
        <v>27</v>
      </c>
      <c r="AA55" s="80">
        <f ca="1" t="shared" si="12"/>
        <v>0</v>
      </c>
    </row>
    <row r="56" ht="16.5" spans="1:27">
      <c r="A56" s="80"/>
      <c r="B56" s="80"/>
      <c r="C56" s="83"/>
      <c r="D56" s="80"/>
      <c r="E56" s="86">
        <v>2</v>
      </c>
      <c r="F56" s="94">
        <v>2000</v>
      </c>
      <c r="G56" s="94"/>
      <c r="H56" s="94"/>
      <c r="I56" s="94"/>
      <c r="J56" s="94"/>
      <c r="K56" s="94"/>
      <c r="L56" s="94"/>
      <c r="M56" s="94">
        <v>20</v>
      </c>
      <c r="N56" s="94"/>
      <c r="O56" s="94">
        <v>300</v>
      </c>
      <c r="P56" s="80">
        <v>50</v>
      </c>
      <c r="Q56" s="80"/>
      <c r="R56" s="80"/>
      <c r="S56" s="80">
        <f ca="1" t="shared" si="4"/>
        <v>0</v>
      </c>
      <c r="T56" s="80">
        <f ca="1" t="shared" si="5"/>
        <v>0</v>
      </c>
      <c r="U56" s="80">
        <f ca="1" t="shared" si="6"/>
        <v>0</v>
      </c>
      <c r="V56" s="80">
        <f ca="1" t="shared" si="7"/>
        <v>0</v>
      </c>
      <c r="W56" s="80">
        <f ca="1" t="shared" si="8"/>
        <v>0</v>
      </c>
      <c r="X56" s="80">
        <f ca="1" t="shared" si="9"/>
        <v>0</v>
      </c>
      <c r="Y56" s="80">
        <f ca="1" t="shared" si="10"/>
        <v>1.8</v>
      </c>
      <c r="Z56" s="80">
        <f ca="1" t="shared" si="11"/>
        <v>0</v>
      </c>
      <c r="AA56" s="80">
        <f ca="1" t="shared" si="12"/>
        <v>27</v>
      </c>
    </row>
    <row r="57" ht="16.5" spans="1:27">
      <c r="A57" s="80"/>
      <c r="B57" s="80"/>
      <c r="C57" s="83"/>
      <c r="D57" s="80"/>
      <c r="E57" s="86">
        <v>2</v>
      </c>
      <c r="F57" s="94">
        <v>500</v>
      </c>
      <c r="G57" s="94"/>
      <c r="H57" s="94">
        <v>1</v>
      </c>
      <c r="I57" s="94"/>
      <c r="J57" s="94"/>
      <c r="K57" s="94"/>
      <c r="L57" s="94"/>
      <c r="M57" s="94">
        <v>20</v>
      </c>
      <c r="N57" s="94"/>
      <c r="O57" s="94"/>
      <c r="P57" s="80">
        <v>50</v>
      </c>
      <c r="Q57" s="80"/>
      <c r="R57" s="80"/>
      <c r="S57" s="80">
        <f ca="1" t="shared" si="4"/>
        <v>0</v>
      </c>
      <c r="T57" s="80">
        <f ca="1" t="shared" si="5"/>
        <v>0.0225</v>
      </c>
      <c r="U57" s="80">
        <f ca="1" t="shared" si="6"/>
        <v>0</v>
      </c>
      <c r="V57" s="80">
        <f ca="1" t="shared" si="7"/>
        <v>0</v>
      </c>
      <c r="W57" s="80">
        <f ca="1" t="shared" si="8"/>
        <v>0</v>
      </c>
      <c r="X57" s="80">
        <f ca="1" t="shared" si="9"/>
        <v>0</v>
      </c>
      <c r="Y57" s="80">
        <f ca="1" t="shared" si="10"/>
        <v>0.45</v>
      </c>
      <c r="Z57" s="80">
        <f ca="1" t="shared" si="11"/>
        <v>0</v>
      </c>
      <c r="AA57" s="80">
        <f ca="1" t="shared" si="12"/>
        <v>0</v>
      </c>
    </row>
    <row r="58" ht="16.5" spans="1:27">
      <c r="A58" s="80"/>
      <c r="B58" s="80"/>
      <c r="C58" s="83"/>
      <c r="D58" s="80"/>
      <c r="E58" s="86">
        <v>2</v>
      </c>
      <c r="F58" s="94">
        <v>500</v>
      </c>
      <c r="G58" s="94"/>
      <c r="H58" s="94">
        <v>1</v>
      </c>
      <c r="I58" s="94"/>
      <c r="J58" s="94"/>
      <c r="K58" s="94"/>
      <c r="L58" s="94"/>
      <c r="M58" s="94"/>
      <c r="N58" s="94">
        <v>200</v>
      </c>
      <c r="O58" s="94"/>
      <c r="P58" s="80">
        <v>40</v>
      </c>
      <c r="Q58" s="80"/>
      <c r="R58" s="80"/>
      <c r="S58" s="80">
        <f ca="1" t="shared" si="4"/>
        <v>0</v>
      </c>
      <c r="T58" s="80">
        <f ca="1" t="shared" si="5"/>
        <v>0.0225</v>
      </c>
      <c r="U58" s="80">
        <f ca="1" t="shared" si="6"/>
        <v>0</v>
      </c>
      <c r="V58" s="80">
        <f ca="1" t="shared" si="7"/>
        <v>0</v>
      </c>
      <c r="W58" s="80">
        <f ca="1" t="shared" si="8"/>
        <v>0</v>
      </c>
      <c r="X58" s="80">
        <f ca="1" t="shared" si="9"/>
        <v>0</v>
      </c>
      <c r="Y58" s="80">
        <f ca="1" t="shared" si="10"/>
        <v>0</v>
      </c>
      <c r="Z58" s="80">
        <f ca="1" t="shared" si="11"/>
        <v>4.5</v>
      </c>
      <c r="AA58" s="80">
        <f ca="1" t="shared" si="12"/>
        <v>0</v>
      </c>
    </row>
    <row r="59" ht="16.5" spans="1:27">
      <c r="A59" s="80"/>
      <c r="B59" s="80"/>
      <c r="C59" s="83"/>
      <c r="D59" s="80"/>
      <c r="E59" s="86">
        <v>2</v>
      </c>
      <c r="F59" s="94">
        <v>500</v>
      </c>
      <c r="G59" s="94"/>
      <c r="H59" s="94"/>
      <c r="I59" s="94"/>
      <c r="J59" s="94">
        <v>1</v>
      </c>
      <c r="K59" s="94"/>
      <c r="L59" s="94">
        <v>5</v>
      </c>
      <c r="M59" s="94"/>
      <c r="N59" s="94"/>
      <c r="O59" s="94"/>
      <c r="P59" s="80">
        <v>65</v>
      </c>
      <c r="Q59" s="80"/>
      <c r="R59" s="80"/>
      <c r="S59" s="80">
        <f ca="1" t="shared" si="4"/>
        <v>0</v>
      </c>
      <c r="T59" s="80">
        <f ca="1" t="shared" si="5"/>
        <v>0</v>
      </c>
      <c r="U59" s="80">
        <f ca="1" t="shared" si="6"/>
        <v>0</v>
      </c>
      <c r="V59" s="80">
        <f ca="1" t="shared" si="7"/>
        <v>0.0225</v>
      </c>
      <c r="W59" s="80">
        <f ca="1" t="shared" si="8"/>
        <v>0</v>
      </c>
      <c r="X59" s="80">
        <f ca="1" t="shared" si="9"/>
        <v>0.1125</v>
      </c>
      <c r="Y59" s="80">
        <f ca="1" t="shared" si="10"/>
        <v>0</v>
      </c>
      <c r="Z59" s="80">
        <f ca="1" t="shared" si="11"/>
        <v>0</v>
      </c>
      <c r="AA59" s="80">
        <f ca="1" t="shared" si="12"/>
        <v>0</v>
      </c>
    </row>
    <row r="60" ht="16.5" spans="1:27">
      <c r="A60" s="80"/>
      <c r="B60" s="80"/>
      <c r="C60" s="83"/>
      <c r="D60" s="80"/>
      <c r="E60" s="86">
        <v>2</v>
      </c>
      <c r="F60" s="94">
        <v>500</v>
      </c>
      <c r="G60" s="94"/>
      <c r="H60" s="94"/>
      <c r="I60" s="94"/>
      <c r="J60" s="94">
        <v>1</v>
      </c>
      <c r="K60" s="94"/>
      <c r="L60" s="94"/>
      <c r="M60" s="94"/>
      <c r="N60" s="94"/>
      <c r="O60" s="94">
        <v>50</v>
      </c>
      <c r="P60" s="80">
        <v>55</v>
      </c>
      <c r="Q60" s="80"/>
      <c r="R60" s="80"/>
      <c r="S60" s="80">
        <f ca="1" t="shared" si="4"/>
        <v>0</v>
      </c>
      <c r="T60" s="80">
        <f ca="1" t="shared" si="5"/>
        <v>0</v>
      </c>
      <c r="U60" s="80">
        <f ca="1" t="shared" si="6"/>
        <v>0</v>
      </c>
      <c r="V60" s="80">
        <f ca="1" t="shared" si="7"/>
        <v>0.0225</v>
      </c>
      <c r="W60" s="80">
        <f ca="1" t="shared" si="8"/>
        <v>0</v>
      </c>
      <c r="X60" s="80">
        <f ca="1" t="shared" si="9"/>
        <v>0</v>
      </c>
      <c r="Y60" s="80">
        <f ca="1" t="shared" si="10"/>
        <v>0</v>
      </c>
      <c r="Z60" s="80">
        <f ca="1" t="shared" si="11"/>
        <v>0</v>
      </c>
      <c r="AA60" s="80">
        <f ca="1" t="shared" si="12"/>
        <v>1.125</v>
      </c>
    </row>
    <row r="61" ht="16.5" spans="1:27">
      <c r="A61" s="80"/>
      <c r="B61" s="80"/>
      <c r="C61" s="83"/>
      <c r="D61" s="80"/>
      <c r="E61" s="86">
        <v>3</v>
      </c>
      <c r="F61" s="93">
        <v>2000</v>
      </c>
      <c r="G61" s="93"/>
      <c r="H61" s="93">
        <v>2</v>
      </c>
      <c r="I61" s="93"/>
      <c r="J61" s="93"/>
      <c r="K61" s="93"/>
      <c r="L61" s="93">
        <v>30</v>
      </c>
      <c r="M61" s="93"/>
      <c r="N61" s="93"/>
      <c r="O61" s="93"/>
      <c r="P61" s="80">
        <v>150</v>
      </c>
      <c r="Q61" s="80"/>
      <c r="R61" s="80"/>
      <c r="S61" s="80">
        <f ca="1" t="shared" si="4"/>
        <v>0</v>
      </c>
      <c r="T61" s="80">
        <f ca="1" t="shared" si="5"/>
        <v>0.128</v>
      </c>
      <c r="U61" s="80">
        <f ca="1" t="shared" si="6"/>
        <v>0</v>
      </c>
      <c r="V61" s="80">
        <f ca="1" t="shared" si="7"/>
        <v>0</v>
      </c>
      <c r="W61" s="80">
        <f ca="1" t="shared" si="8"/>
        <v>0</v>
      </c>
      <c r="X61" s="80">
        <f ca="1" t="shared" si="9"/>
        <v>1.92</v>
      </c>
      <c r="Y61" s="80">
        <f ca="1" t="shared" si="10"/>
        <v>0</v>
      </c>
      <c r="Z61" s="80">
        <f ca="1" t="shared" si="11"/>
        <v>0</v>
      </c>
      <c r="AA61" s="80">
        <f ca="1" t="shared" si="12"/>
        <v>0</v>
      </c>
    </row>
    <row r="62" ht="16.5" spans="1:27">
      <c r="A62" s="80"/>
      <c r="B62" s="80"/>
      <c r="C62" s="83"/>
      <c r="D62" s="80"/>
      <c r="E62" s="86">
        <v>3</v>
      </c>
      <c r="F62" s="93">
        <v>1500</v>
      </c>
      <c r="G62" s="93"/>
      <c r="H62" s="93">
        <v>2</v>
      </c>
      <c r="I62" s="93"/>
      <c r="J62" s="93"/>
      <c r="K62" s="93"/>
      <c r="L62" s="93"/>
      <c r="M62" s="93">
        <v>100</v>
      </c>
      <c r="N62" s="93"/>
      <c r="O62" s="93"/>
      <c r="P62" s="80">
        <v>160</v>
      </c>
      <c r="Q62" s="80"/>
      <c r="R62" s="80"/>
      <c r="S62" s="80">
        <f ca="1" t="shared" si="4"/>
        <v>0</v>
      </c>
      <c r="T62" s="80">
        <f ca="1" t="shared" si="5"/>
        <v>0.096</v>
      </c>
      <c r="U62" s="80">
        <f ca="1" t="shared" si="6"/>
        <v>0</v>
      </c>
      <c r="V62" s="80">
        <f ca="1" t="shared" si="7"/>
        <v>0</v>
      </c>
      <c r="W62" s="80">
        <f ca="1" t="shared" si="8"/>
        <v>0</v>
      </c>
      <c r="X62" s="80">
        <f ca="1" t="shared" si="9"/>
        <v>0</v>
      </c>
      <c r="Y62" s="80">
        <f ca="1" t="shared" si="10"/>
        <v>4.8</v>
      </c>
      <c r="Z62" s="80">
        <f ca="1" t="shared" si="11"/>
        <v>0</v>
      </c>
      <c r="AA62" s="80">
        <f ca="1" t="shared" si="12"/>
        <v>0</v>
      </c>
    </row>
    <row r="63" ht="16.5" spans="1:27">
      <c r="A63" s="80"/>
      <c r="B63" s="80"/>
      <c r="C63" s="83"/>
      <c r="D63" s="80"/>
      <c r="E63" s="86">
        <v>3</v>
      </c>
      <c r="F63" s="93">
        <v>1500</v>
      </c>
      <c r="G63" s="93"/>
      <c r="H63" s="93">
        <v>2</v>
      </c>
      <c r="I63" s="93"/>
      <c r="J63" s="93"/>
      <c r="K63" s="93"/>
      <c r="L63" s="93"/>
      <c r="M63" s="93"/>
      <c r="N63" s="93">
        <v>1000</v>
      </c>
      <c r="O63" s="93"/>
      <c r="P63" s="80">
        <v>110</v>
      </c>
      <c r="Q63" s="80"/>
      <c r="R63" s="80"/>
      <c r="S63" s="80">
        <f ca="1" t="shared" si="4"/>
        <v>0</v>
      </c>
      <c r="T63" s="80">
        <f ca="1" t="shared" si="5"/>
        <v>0.096</v>
      </c>
      <c r="U63" s="80">
        <f ca="1" t="shared" si="6"/>
        <v>0</v>
      </c>
      <c r="V63" s="80">
        <f ca="1" t="shared" si="7"/>
        <v>0</v>
      </c>
      <c r="W63" s="80">
        <f ca="1" t="shared" si="8"/>
        <v>0</v>
      </c>
      <c r="X63" s="80">
        <f ca="1" t="shared" si="9"/>
        <v>0</v>
      </c>
      <c r="Y63" s="80">
        <f ca="1" t="shared" si="10"/>
        <v>0</v>
      </c>
      <c r="Z63" s="80">
        <f ca="1" t="shared" si="11"/>
        <v>48</v>
      </c>
      <c r="AA63" s="80">
        <f ca="1" t="shared" si="12"/>
        <v>0</v>
      </c>
    </row>
    <row r="64" ht="16.5" spans="1:27">
      <c r="A64" s="80"/>
      <c r="B64" s="80"/>
      <c r="C64" s="83"/>
      <c r="D64" s="80"/>
      <c r="E64" s="86">
        <v>3</v>
      </c>
      <c r="F64" s="93">
        <v>0</v>
      </c>
      <c r="G64" s="93"/>
      <c r="H64" s="93"/>
      <c r="I64" s="93">
        <v>20</v>
      </c>
      <c r="J64" s="93"/>
      <c r="K64" s="93"/>
      <c r="L64" s="93"/>
      <c r="M64" s="93">
        <v>120</v>
      </c>
      <c r="N64" s="93"/>
      <c r="O64" s="93"/>
      <c r="P64" s="80">
        <v>140</v>
      </c>
      <c r="Q64" s="80"/>
      <c r="R64" s="80"/>
      <c r="S64" s="80">
        <f ca="1" t="shared" si="4"/>
        <v>0</v>
      </c>
      <c r="T64" s="80">
        <f ca="1" t="shared" si="5"/>
        <v>0</v>
      </c>
      <c r="U64" s="80">
        <f ca="1" t="shared" si="6"/>
        <v>0</v>
      </c>
      <c r="V64" s="80">
        <f ca="1" t="shared" si="7"/>
        <v>0</v>
      </c>
      <c r="W64" s="80">
        <f ca="1" t="shared" si="8"/>
        <v>0</v>
      </c>
      <c r="X64" s="80">
        <f ca="1" t="shared" si="9"/>
        <v>0</v>
      </c>
      <c r="Y64" s="80">
        <f ca="1" t="shared" si="10"/>
        <v>0</v>
      </c>
      <c r="Z64" s="80">
        <f ca="1" t="shared" si="11"/>
        <v>0</v>
      </c>
      <c r="AA64" s="80">
        <f ca="1" t="shared" si="12"/>
        <v>0</v>
      </c>
    </row>
    <row r="65" ht="16.5" spans="1:27">
      <c r="A65" s="80"/>
      <c r="B65" s="80"/>
      <c r="C65" s="83"/>
      <c r="D65" s="80"/>
      <c r="E65" s="86">
        <v>3</v>
      </c>
      <c r="F65" s="93">
        <v>0</v>
      </c>
      <c r="G65" s="93"/>
      <c r="H65" s="93"/>
      <c r="I65" s="93">
        <v>20</v>
      </c>
      <c r="J65" s="93"/>
      <c r="K65" s="93"/>
      <c r="L65" s="93"/>
      <c r="M65" s="93"/>
      <c r="N65" s="93">
        <v>500</v>
      </c>
      <c r="O65" s="93">
        <v>1000</v>
      </c>
      <c r="P65" s="80">
        <v>145</v>
      </c>
      <c r="Q65" s="80"/>
      <c r="R65" s="80"/>
      <c r="S65" s="80">
        <f ca="1" t="shared" si="4"/>
        <v>0</v>
      </c>
      <c r="T65" s="80">
        <f ca="1" t="shared" si="5"/>
        <v>0</v>
      </c>
      <c r="U65" s="80">
        <f ca="1" t="shared" si="6"/>
        <v>0</v>
      </c>
      <c r="V65" s="80">
        <f ca="1" t="shared" si="7"/>
        <v>0</v>
      </c>
      <c r="W65" s="80">
        <f ca="1" t="shared" si="8"/>
        <v>0</v>
      </c>
      <c r="X65" s="80">
        <f ca="1" t="shared" si="9"/>
        <v>0</v>
      </c>
      <c r="Y65" s="80">
        <f ca="1" t="shared" si="10"/>
        <v>0</v>
      </c>
      <c r="Z65" s="80">
        <f ca="1" t="shared" si="11"/>
        <v>0</v>
      </c>
      <c r="AA65" s="80">
        <f ca="1" t="shared" si="12"/>
        <v>0</v>
      </c>
    </row>
    <row r="66" ht="16.5" spans="1:27">
      <c r="A66" s="80"/>
      <c r="B66" s="80"/>
      <c r="C66" s="83"/>
      <c r="D66" s="80"/>
      <c r="E66" s="86">
        <v>3</v>
      </c>
      <c r="F66" s="93">
        <v>0</v>
      </c>
      <c r="G66" s="93"/>
      <c r="H66" s="93"/>
      <c r="I66" s="93">
        <v>20</v>
      </c>
      <c r="J66" s="93"/>
      <c r="K66" s="93"/>
      <c r="L66" s="93">
        <v>30</v>
      </c>
      <c r="M66" s="93"/>
      <c r="N66" s="93"/>
      <c r="O66" s="93"/>
      <c r="P66" s="80">
        <v>110</v>
      </c>
      <c r="Q66" s="80"/>
      <c r="R66" s="80"/>
      <c r="S66" s="80">
        <f ca="1" t="shared" si="4"/>
        <v>0</v>
      </c>
      <c r="T66" s="80">
        <f ca="1" t="shared" si="5"/>
        <v>0</v>
      </c>
      <c r="U66" s="80">
        <f ca="1" t="shared" si="6"/>
        <v>0</v>
      </c>
      <c r="V66" s="80">
        <f ca="1" t="shared" si="7"/>
        <v>0</v>
      </c>
      <c r="W66" s="80">
        <f ca="1" t="shared" si="8"/>
        <v>0</v>
      </c>
      <c r="X66" s="80">
        <f ca="1" t="shared" si="9"/>
        <v>0</v>
      </c>
      <c r="Y66" s="80">
        <f ca="1" t="shared" si="10"/>
        <v>0</v>
      </c>
      <c r="Z66" s="80">
        <f ca="1" t="shared" si="11"/>
        <v>0</v>
      </c>
      <c r="AA66" s="80">
        <f ca="1" t="shared" si="12"/>
        <v>0</v>
      </c>
    </row>
    <row r="67" ht="16.5" spans="1:27">
      <c r="A67" s="80"/>
      <c r="B67" s="80"/>
      <c r="C67" s="83"/>
      <c r="D67" s="80"/>
      <c r="E67" s="86">
        <v>3</v>
      </c>
      <c r="F67" s="93">
        <v>1500</v>
      </c>
      <c r="G67" s="93"/>
      <c r="H67" s="93"/>
      <c r="I67" s="93"/>
      <c r="J67" s="93">
        <v>1</v>
      </c>
      <c r="K67" s="93"/>
      <c r="L67" s="93">
        <v>30</v>
      </c>
      <c r="M67" s="93"/>
      <c r="N67" s="93"/>
      <c r="O67" s="93"/>
      <c r="P67" s="80">
        <v>140</v>
      </c>
      <c r="Q67" s="80"/>
      <c r="R67" s="80"/>
      <c r="S67" s="80">
        <f ca="1" t="shared" si="4"/>
        <v>0</v>
      </c>
      <c r="T67" s="80">
        <f ca="1" t="shared" si="5"/>
        <v>0</v>
      </c>
      <c r="U67" s="80">
        <f ca="1" t="shared" si="6"/>
        <v>0</v>
      </c>
      <c r="V67" s="80">
        <f ca="1" t="shared" si="7"/>
        <v>0.048</v>
      </c>
      <c r="W67" s="80">
        <f ca="1" t="shared" si="8"/>
        <v>0</v>
      </c>
      <c r="X67" s="80">
        <f ca="1" t="shared" si="9"/>
        <v>1.44</v>
      </c>
      <c r="Y67" s="80">
        <f ca="1" t="shared" si="10"/>
        <v>0</v>
      </c>
      <c r="Z67" s="80">
        <f ca="1" t="shared" si="11"/>
        <v>0</v>
      </c>
      <c r="AA67" s="80">
        <f ca="1" t="shared" si="12"/>
        <v>0</v>
      </c>
    </row>
    <row r="68" ht="16.5" spans="1:27">
      <c r="A68" s="80"/>
      <c r="B68" s="80"/>
      <c r="C68" s="83"/>
      <c r="D68" s="80"/>
      <c r="E68" s="86">
        <v>3</v>
      </c>
      <c r="F68" s="93">
        <v>1500</v>
      </c>
      <c r="G68" s="93"/>
      <c r="H68" s="93"/>
      <c r="I68" s="93"/>
      <c r="J68" s="93">
        <v>1</v>
      </c>
      <c r="K68" s="93"/>
      <c r="L68" s="93"/>
      <c r="M68" s="93">
        <v>100</v>
      </c>
      <c r="N68" s="93"/>
      <c r="O68" s="93"/>
      <c r="P68" s="80">
        <v>150</v>
      </c>
      <c r="Q68" s="80"/>
      <c r="R68" s="80"/>
      <c r="S68" s="80">
        <f ca="1" t="shared" si="4"/>
        <v>0</v>
      </c>
      <c r="T68" s="80">
        <f ca="1" t="shared" si="5"/>
        <v>0</v>
      </c>
      <c r="U68" s="80">
        <f ca="1" t="shared" si="6"/>
        <v>0</v>
      </c>
      <c r="V68" s="80">
        <f ca="1" t="shared" si="7"/>
        <v>0.048</v>
      </c>
      <c r="W68" s="80">
        <f ca="1" t="shared" si="8"/>
        <v>0</v>
      </c>
      <c r="X68" s="80">
        <f ca="1" t="shared" si="9"/>
        <v>0</v>
      </c>
      <c r="Y68" s="80">
        <f ca="1" t="shared" si="10"/>
        <v>4.8</v>
      </c>
      <c r="Z68" s="80">
        <f ca="1" t="shared" si="11"/>
        <v>0</v>
      </c>
      <c r="AA68" s="80">
        <f ca="1" t="shared" si="12"/>
        <v>0</v>
      </c>
    </row>
    <row r="69" ht="16.5" spans="1:27">
      <c r="A69" s="80"/>
      <c r="B69" s="80"/>
      <c r="C69" s="83"/>
      <c r="D69" s="80"/>
      <c r="E69" s="86">
        <v>3</v>
      </c>
      <c r="F69" s="93">
        <v>1500</v>
      </c>
      <c r="G69" s="93"/>
      <c r="H69" s="93"/>
      <c r="I69" s="93"/>
      <c r="J69" s="93">
        <v>1</v>
      </c>
      <c r="K69" s="93"/>
      <c r="L69" s="93"/>
      <c r="M69" s="93"/>
      <c r="N69" s="93">
        <v>1000</v>
      </c>
      <c r="O69" s="93">
        <v>200</v>
      </c>
      <c r="P69" s="80">
        <v>120</v>
      </c>
      <c r="Q69" s="80"/>
      <c r="R69" s="80"/>
      <c r="S69" s="80">
        <f ca="1" t="shared" si="4"/>
        <v>0</v>
      </c>
      <c r="T69" s="80">
        <f ca="1" t="shared" si="5"/>
        <v>0</v>
      </c>
      <c r="U69" s="80">
        <f ca="1" t="shared" si="6"/>
        <v>0</v>
      </c>
      <c r="V69" s="80">
        <f ca="1" t="shared" si="7"/>
        <v>0.048</v>
      </c>
      <c r="W69" s="80">
        <f ca="1" t="shared" si="8"/>
        <v>0</v>
      </c>
      <c r="X69" s="80">
        <f ca="1" t="shared" si="9"/>
        <v>0</v>
      </c>
      <c r="Y69" s="80">
        <f ca="1" t="shared" si="10"/>
        <v>0</v>
      </c>
      <c r="Z69" s="80">
        <f ca="1" t="shared" si="11"/>
        <v>48</v>
      </c>
      <c r="AA69" s="80">
        <f ca="1" t="shared" si="12"/>
        <v>9.6</v>
      </c>
    </row>
    <row r="70" ht="16.5" spans="1:27">
      <c r="A70" s="80"/>
      <c r="B70" s="80"/>
      <c r="C70" s="83"/>
      <c r="D70" s="80"/>
      <c r="E70" s="86">
        <v>3</v>
      </c>
      <c r="F70" s="95">
        <v>0</v>
      </c>
      <c r="G70" s="93"/>
      <c r="H70" s="93"/>
      <c r="I70" s="93"/>
      <c r="J70" s="93"/>
      <c r="K70" s="93"/>
      <c r="L70" s="93"/>
      <c r="M70" s="93">
        <v>50</v>
      </c>
      <c r="N70" s="93">
        <v>2000</v>
      </c>
      <c r="O70" s="93"/>
      <c r="P70" s="80">
        <v>150</v>
      </c>
      <c r="Q70" s="80"/>
      <c r="R70" s="80"/>
      <c r="S70" s="80">
        <f ca="1" t="shared" si="4"/>
        <v>0</v>
      </c>
      <c r="T70" s="80">
        <f ca="1" t="shared" si="5"/>
        <v>0</v>
      </c>
      <c r="U70" s="80">
        <f ca="1" t="shared" si="6"/>
        <v>0</v>
      </c>
      <c r="V70" s="80">
        <f ca="1" t="shared" si="7"/>
        <v>0</v>
      </c>
      <c r="W70" s="80">
        <f ca="1" t="shared" si="8"/>
        <v>0</v>
      </c>
      <c r="X70" s="80">
        <f ca="1" t="shared" si="9"/>
        <v>0</v>
      </c>
      <c r="Y70" s="80">
        <f ca="1" t="shared" si="10"/>
        <v>0</v>
      </c>
      <c r="Z70" s="80">
        <f ca="1" t="shared" si="11"/>
        <v>0</v>
      </c>
      <c r="AA70" s="80">
        <f ca="1" t="shared" si="12"/>
        <v>0</v>
      </c>
    </row>
    <row r="71" ht="16.5" spans="1:27">
      <c r="A71" s="80"/>
      <c r="B71" s="80"/>
      <c r="C71" s="83"/>
      <c r="D71" s="80"/>
      <c r="E71" s="86">
        <v>3</v>
      </c>
      <c r="F71" s="95">
        <v>0</v>
      </c>
      <c r="G71" s="93"/>
      <c r="H71" s="93"/>
      <c r="I71" s="93"/>
      <c r="J71" s="93"/>
      <c r="K71" s="93"/>
      <c r="L71" s="93"/>
      <c r="M71" s="93">
        <v>100</v>
      </c>
      <c r="N71" s="93"/>
      <c r="O71" s="93">
        <v>500</v>
      </c>
      <c r="P71" s="80">
        <v>150</v>
      </c>
      <c r="Q71" s="80"/>
      <c r="R71" s="80"/>
      <c r="S71" s="80">
        <f ca="1" t="shared" si="4"/>
        <v>0</v>
      </c>
      <c r="T71" s="80">
        <f ca="1" t="shared" si="5"/>
        <v>0</v>
      </c>
      <c r="U71" s="80">
        <f ca="1" t="shared" si="6"/>
        <v>0</v>
      </c>
      <c r="V71" s="80">
        <f ca="1" t="shared" si="7"/>
        <v>0</v>
      </c>
      <c r="W71" s="80">
        <f ca="1" t="shared" si="8"/>
        <v>0</v>
      </c>
      <c r="X71" s="80">
        <f ca="1" t="shared" si="9"/>
        <v>0</v>
      </c>
      <c r="Y71" s="80">
        <f ca="1" t="shared" si="10"/>
        <v>0</v>
      </c>
      <c r="Z71" s="80">
        <f ca="1" t="shared" si="11"/>
        <v>0</v>
      </c>
      <c r="AA71" s="80">
        <f ca="1" t="shared" si="12"/>
        <v>0</v>
      </c>
    </row>
    <row r="72" ht="16.5" spans="1:27">
      <c r="A72" s="80"/>
      <c r="B72" s="80"/>
      <c r="C72" s="83"/>
      <c r="D72" s="80"/>
      <c r="E72" s="86">
        <v>3</v>
      </c>
      <c r="F72" s="95">
        <v>0</v>
      </c>
      <c r="G72" s="93"/>
      <c r="H72" s="93"/>
      <c r="I72" s="93"/>
      <c r="J72" s="93"/>
      <c r="K72" s="93"/>
      <c r="L72" s="93"/>
      <c r="M72" s="93">
        <v>100</v>
      </c>
      <c r="N72" s="93">
        <v>1000</v>
      </c>
      <c r="O72" s="93"/>
      <c r="P72" s="80">
        <v>150</v>
      </c>
      <c r="Q72" s="80"/>
      <c r="R72" s="80"/>
      <c r="S72" s="80">
        <f ca="1" t="shared" si="4"/>
        <v>0</v>
      </c>
      <c r="T72" s="80">
        <f ca="1" t="shared" si="5"/>
        <v>0</v>
      </c>
      <c r="U72" s="80">
        <f ca="1" t="shared" si="6"/>
        <v>0</v>
      </c>
      <c r="V72" s="80">
        <f ca="1" t="shared" si="7"/>
        <v>0</v>
      </c>
      <c r="W72" s="80">
        <f ca="1" t="shared" si="8"/>
        <v>0</v>
      </c>
      <c r="X72" s="80">
        <f ca="1" t="shared" si="9"/>
        <v>0</v>
      </c>
      <c r="Y72" s="80">
        <f ca="1" t="shared" si="10"/>
        <v>0</v>
      </c>
      <c r="Z72" s="80">
        <f ca="1" t="shared" si="11"/>
        <v>0</v>
      </c>
      <c r="AA72" s="80">
        <f ca="1" t="shared" si="12"/>
        <v>0</v>
      </c>
    </row>
    <row r="73" ht="16.5" spans="1:27">
      <c r="A73" s="80"/>
      <c r="B73" s="80"/>
      <c r="C73" s="83"/>
      <c r="D73" s="80"/>
      <c r="E73" s="86">
        <v>3</v>
      </c>
      <c r="F73" s="95">
        <v>0</v>
      </c>
      <c r="G73" s="93"/>
      <c r="H73" s="93"/>
      <c r="I73" s="93"/>
      <c r="J73" s="93"/>
      <c r="K73" s="93">
        <v>20</v>
      </c>
      <c r="L73" s="93"/>
      <c r="M73" s="93">
        <v>50</v>
      </c>
      <c r="N73" s="93"/>
      <c r="O73" s="93"/>
      <c r="P73" s="80">
        <v>150</v>
      </c>
      <c r="Q73" s="80"/>
      <c r="R73" s="80"/>
      <c r="S73" s="80">
        <f ca="1" t="shared" si="4"/>
        <v>0</v>
      </c>
      <c r="T73" s="80">
        <f ca="1" t="shared" si="5"/>
        <v>0</v>
      </c>
      <c r="U73" s="80">
        <f ca="1" t="shared" si="6"/>
        <v>0</v>
      </c>
      <c r="V73" s="80">
        <f ca="1" t="shared" si="7"/>
        <v>0</v>
      </c>
      <c r="W73" s="80">
        <f ca="1" t="shared" si="8"/>
        <v>0</v>
      </c>
      <c r="X73" s="80">
        <f ca="1" t="shared" si="9"/>
        <v>0</v>
      </c>
      <c r="Y73" s="80">
        <f ca="1" t="shared" si="10"/>
        <v>0</v>
      </c>
      <c r="Z73" s="80">
        <f ca="1" t="shared" si="11"/>
        <v>0</v>
      </c>
      <c r="AA73" s="80">
        <f ca="1" t="shared" si="12"/>
        <v>0</v>
      </c>
    </row>
    <row r="74" ht="16.5" spans="1:27">
      <c r="A74" s="80"/>
      <c r="B74" s="80"/>
      <c r="C74" s="83"/>
      <c r="D74" s="80"/>
      <c r="E74" s="86">
        <v>3</v>
      </c>
      <c r="F74" s="95">
        <v>0</v>
      </c>
      <c r="G74" s="93"/>
      <c r="H74" s="93"/>
      <c r="I74" s="93"/>
      <c r="J74" s="93"/>
      <c r="K74" s="93">
        <v>20</v>
      </c>
      <c r="L74" s="93"/>
      <c r="M74" s="93"/>
      <c r="N74" s="93"/>
      <c r="O74" s="93">
        <v>500</v>
      </c>
      <c r="P74" s="80">
        <v>150</v>
      </c>
      <c r="Q74" s="80"/>
      <c r="R74" s="80"/>
      <c r="S74" s="80">
        <f ca="1" t="shared" si="4"/>
        <v>0</v>
      </c>
      <c r="T74" s="80">
        <f ca="1" t="shared" si="5"/>
        <v>0</v>
      </c>
      <c r="U74" s="80">
        <f ca="1" t="shared" si="6"/>
        <v>0</v>
      </c>
      <c r="V74" s="80">
        <f ca="1" t="shared" si="7"/>
        <v>0</v>
      </c>
      <c r="W74" s="80">
        <f ca="1" t="shared" si="8"/>
        <v>0</v>
      </c>
      <c r="X74" s="80">
        <f ca="1" t="shared" si="9"/>
        <v>0</v>
      </c>
      <c r="Y74" s="80">
        <f ca="1" t="shared" si="10"/>
        <v>0</v>
      </c>
      <c r="Z74" s="80">
        <f ca="1" t="shared" si="11"/>
        <v>0</v>
      </c>
      <c r="AA74" s="80">
        <f ca="1" t="shared" si="12"/>
        <v>0</v>
      </c>
    </row>
    <row r="75" ht="16.5" spans="1:27">
      <c r="A75" s="80"/>
      <c r="B75" s="80"/>
      <c r="C75" s="83"/>
      <c r="D75" s="80"/>
      <c r="E75" s="86">
        <v>3</v>
      </c>
      <c r="F75" s="95">
        <v>0</v>
      </c>
      <c r="G75" s="93"/>
      <c r="H75" s="93"/>
      <c r="I75" s="93"/>
      <c r="J75" s="93"/>
      <c r="K75" s="93">
        <v>20</v>
      </c>
      <c r="L75" s="93"/>
      <c r="M75" s="93"/>
      <c r="N75" s="93">
        <v>1000</v>
      </c>
      <c r="O75" s="93"/>
      <c r="P75" s="80">
        <v>150</v>
      </c>
      <c r="Q75" s="80"/>
      <c r="R75" s="80"/>
      <c r="S75" s="80">
        <f ca="1" t="shared" si="4"/>
        <v>0</v>
      </c>
      <c r="T75" s="80">
        <f ca="1" t="shared" si="5"/>
        <v>0</v>
      </c>
      <c r="U75" s="80">
        <f ca="1" t="shared" si="6"/>
        <v>0</v>
      </c>
      <c r="V75" s="80">
        <f ca="1" t="shared" si="7"/>
        <v>0</v>
      </c>
      <c r="W75" s="80">
        <f ca="1" t="shared" si="8"/>
        <v>0</v>
      </c>
      <c r="X75" s="80">
        <f ca="1" t="shared" si="9"/>
        <v>0</v>
      </c>
      <c r="Y75" s="80">
        <f ca="1" t="shared" si="10"/>
        <v>0</v>
      </c>
      <c r="Z75" s="80">
        <f ca="1" t="shared" si="11"/>
        <v>0</v>
      </c>
      <c r="AA75" s="80">
        <f ca="1" t="shared" si="12"/>
        <v>0</v>
      </c>
    </row>
    <row r="76" ht="16.5" spans="1:27">
      <c r="A76" s="80"/>
      <c r="B76" s="80"/>
      <c r="C76" s="83"/>
      <c r="D76" s="80"/>
      <c r="E76" s="86">
        <v>4</v>
      </c>
      <c r="F76" s="94">
        <v>2000</v>
      </c>
      <c r="G76" s="94">
        <v>1</v>
      </c>
      <c r="H76" s="94"/>
      <c r="I76" s="94"/>
      <c r="J76" s="94"/>
      <c r="K76" s="94"/>
      <c r="L76" s="94"/>
      <c r="M76" s="94"/>
      <c r="N76" s="94">
        <v>1000</v>
      </c>
      <c r="O76" s="94"/>
      <c r="P76" s="80">
        <v>330</v>
      </c>
      <c r="Q76" s="80"/>
      <c r="R76" s="80"/>
      <c r="S76" s="80">
        <f ca="1" t="shared" si="4"/>
        <v>0.016</v>
      </c>
      <c r="T76" s="80">
        <f ca="1" t="shared" si="5"/>
        <v>0</v>
      </c>
      <c r="U76" s="80">
        <f ca="1" t="shared" si="6"/>
        <v>0</v>
      </c>
      <c r="V76" s="80">
        <f ca="1" t="shared" si="7"/>
        <v>0</v>
      </c>
      <c r="W76" s="80">
        <f ca="1" t="shared" si="8"/>
        <v>0</v>
      </c>
      <c r="X76" s="80">
        <f ca="1" t="shared" si="9"/>
        <v>0</v>
      </c>
      <c r="Y76" s="80">
        <f ca="1" t="shared" si="10"/>
        <v>0</v>
      </c>
      <c r="Z76" s="80">
        <f ca="1" t="shared" si="11"/>
        <v>16</v>
      </c>
      <c r="AA76" s="80">
        <f ca="1" t="shared" si="12"/>
        <v>0</v>
      </c>
    </row>
    <row r="77" ht="16.5" spans="1:27">
      <c r="A77" s="80"/>
      <c r="B77" s="80"/>
      <c r="C77" s="83"/>
      <c r="D77" s="80"/>
      <c r="E77" s="86">
        <v>4</v>
      </c>
      <c r="F77" s="94">
        <v>2500</v>
      </c>
      <c r="G77" s="94"/>
      <c r="H77" s="94">
        <v>5</v>
      </c>
      <c r="I77" s="94"/>
      <c r="J77" s="94"/>
      <c r="K77" s="94"/>
      <c r="L77" s="94">
        <v>50</v>
      </c>
      <c r="M77" s="94"/>
      <c r="N77" s="94"/>
      <c r="O77" s="94"/>
      <c r="P77" s="80">
        <v>300</v>
      </c>
      <c r="Q77" s="80"/>
      <c r="R77" s="80"/>
      <c r="S77" s="80">
        <f ca="1" t="shared" si="4"/>
        <v>0</v>
      </c>
      <c r="T77" s="80">
        <f ca="1" t="shared" si="5"/>
        <v>0.1</v>
      </c>
      <c r="U77" s="80">
        <f ca="1" t="shared" si="6"/>
        <v>0</v>
      </c>
      <c r="V77" s="80">
        <f ca="1" t="shared" si="7"/>
        <v>0</v>
      </c>
      <c r="W77" s="80">
        <f ca="1" t="shared" si="8"/>
        <v>0</v>
      </c>
      <c r="X77" s="80">
        <f ca="1" t="shared" si="9"/>
        <v>1</v>
      </c>
      <c r="Y77" s="80">
        <f ca="1" t="shared" si="10"/>
        <v>0</v>
      </c>
      <c r="Z77" s="80">
        <f ca="1" t="shared" si="11"/>
        <v>0</v>
      </c>
      <c r="AA77" s="80">
        <f ca="1" t="shared" si="12"/>
        <v>0</v>
      </c>
    </row>
    <row r="78" ht="16.5" spans="1:27">
      <c r="A78" s="80"/>
      <c r="B78" s="80"/>
      <c r="C78" s="83"/>
      <c r="D78" s="80"/>
      <c r="E78" s="86">
        <v>4</v>
      </c>
      <c r="F78" s="94">
        <v>2500</v>
      </c>
      <c r="G78" s="94"/>
      <c r="H78" s="94">
        <v>2</v>
      </c>
      <c r="I78" s="94"/>
      <c r="J78" s="94">
        <v>1</v>
      </c>
      <c r="K78" s="94"/>
      <c r="L78" s="94"/>
      <c r="M78" s="94">
        <v>150</v>
      </c>
      <c r="N78" s="94"/>
      <c r="O78" s="94"/>
      <c r="P78" s="80">
        <v>260</v>
      </c>
      <c r="Q78" s="80"/>
      <c r="R78" s="80"/>
      <c r="S78" s="80">
        <f ca="1" t="shared" si="4"/>
        <v>0</v>
      </c>
      <c r="T78" s="80">
        <f ca="1" t="shared" si="5"/>
        <v>0.04</v>
      </c>
      <c r="U78" s="80">
        <f ca="1" t="shared" si="6"/>
        <v>0</v>
      </c>
      <c r="V78" s="80">
        <f ca="1" t="shared" si="7"/>
        <v>0.02</v>
      </c>
      <c r="W78" s="80">
        <f ca="1" t="shared" si="8"/>
        <v>0</v>
      </c>
      <c r="X78" s="80">
        <f ca="1" t="shared" si="9"/>
        <v>0</v>
      </c>
      <c r="Y78" s="80">
        <f ca="1" t="shared" si="10"/>
        <v>3</v>
      </c>
      <c r="Z78" s="80">
        <f ca="1" t="shared" si="11"/>
        <v>0</v>
      </c>
      <c r="AA78" s="80">
        <f ca="1" t="shared" si="12"/>
        <v>0</v>
      </c>
    </row>
    <row r="79" ht="16.5" spans="1:27">
      <c r="A79" s="80"/>
      <c r="B79" s="80"/>
      <c r="C79" s="83"/>
      <c r="D79" s="80"/>
      <c r="E79" s="86">
        <v>4</v>
      </c>
      <c r="F79" s="94">
        <v>1000</v>
      </c>
      <c r="G79" s="94"/>
      <c r="H79" s="94"/>
      <c r="I79" s="94">
        <v>100</v>
      </c>
      <c r="J79" s="94"/>
      <c r="K79" s="94"/>
      <c r="L79" s="94"/>
      <c r="M79" s="94">
        <v>200</v>
      </c>
      <c r="N79" s="94"/>
      <c r="O79" s="94"/>
      <c r="P79" s="80">
        <v>300</v>
      </c>
      <c r="Q79" s="80"/>
      <c r="R79" s="80"/>
      <c r="S79" s="80">
        <f ca="1" t="shared" si="4"/>
        <v>0</v>
      </c>
      <c r="T79" s="80">
        <f ca="1" t="shared" si="5"/>
        <v>0</v>
      </c>
      <c r="U79" s="80">
        <f ca="1" t="shared" si="6"/>
        <v>0.8</v>
      </c>
      <c r="V79" s="80">
        <f ca="1" t="shared" si="7"/>
        <v>0</v>
      </c>
      <c r="W79" s="80">
        <f ca="1" t="shared" si="8"/>
        <v>0</v>
      </c>
      <c r="X79" s="80">
        <f ca="1" t="shared" si="9"/>
        <v>0</v>
      </c>
      <c r="Y79" s="80">
        <f ca="1" t="shared" si="10"/>
        <v>1.6</v>
      </c>
      <c r="Z79" s="80">
        <f ca="1" t="shared" si="11"/>
        <v>0</v>
      </c>
      <c r="AA79" s="80">
        <f ca="1" t="shared" si="12"/>
        <v>0</v>
      </c>
    </row>
    <row r="80" ht="16.5" spans="1:27">
      <c r="A80" s="80"/>
      <c r="B80" s="80"/>
      <c r="C80" s="83"/>
      <c r="D80" s="80"/>
      <c r="E80" s="86">
        <v>4</v>
      </c>
      <c r="F80" s="94">
        <v>2000</v>
      </c>
      <c r="G80" s="94"/>
      <c r="H80" s="94"/>
      <c r="I80" s="94"/>
      <c r="J80" s="94">
        <v>1</v>
      </c>
      <c r="K80" s="94"/>
      <c r="L80" s="94"/>
      <c r="M80" s="94"/>
      <c r="N80" s="94">
        <v>5000</v>
      </c>
      <c r="O80" s="94"/>
      <c r="P80" s="80">
        <v>300</v>
      </c>
      <c r="Q80" s="80"/>
      <c r="R80" s="80"/>
      <c r="S80" s="80">
        <f ca="1" t="shared" si="4"/>
        <v>0</v>
      </c>
      <c r="T80" s="80">
        <f ca="1" t="shared" si="5"/>
        <v>0</v>
      </c>
      <c r="U80" s="80">
        <f ca="1" t="shared" si="6"/>
        <v>0</v>
      </c>
      <c r="V80" s="80">
        <f ca="1" t="shared" si="7"/>
        <v>0.016</v>
      </c>
      <c r="W80" s="80">
        <f ca="1" t="shared" si="8"/>
        <v>0</v>
      </c>
      <c r="X80" s="80">
        <f ca="1" t="shared" si="9"/>
        <v>0</v>
      </c>
      <c r="Y80" s="80">
        <f ca="1" t="shared" si="10"/>
        <v>0</v>
      </c>
      <c r="Z80" s="80">
        <f ca="1" t="shared" si="11"/>
        <v>80</v>
      </c>
      <c r="AA80" s="80">
        <f ca="1" t="shared" si="12"/>
        <v>0</v>
      </c>
    </row>
    <row r="81" ht="16.5" spans="1:27">
      <c r="A81" s="80"/>
      <c r="B81" s="80"/>
      <c r="C81" s="83"/>
      <c r="D81" s="80"/>
      <c r="E81" s="86">
        <v>4</v>
      </c>
      <c r="F81" s="94">
        <v>0</v>
      </c>
      <c r="G81" s="94"/>
      <c r="H81" s="94"/>
      <c r="I81" s="94">
        <v>100</v>
      </c>
      <c r="J81" s="94"/>
      <c r="K81" s="94"/>
      <c r="L81" s="94">
        <v>80</v>
      </c>
      <c r="M81" s="94"/>
      <c r="N81" s="94"/>
      <c r="O81" s="94"/>
      <c r="P81" s="80">
        <v>340</v>
      </c>
      <c r="Q81" s="80"/>
      <c r="R81" s="80"/>
      <c r="S81" s="80">
        <f ca="1" t="shared" si="4"/>
        <v>0</v>
      </c>
      <c r="T81" s="80">
        <f ca="1" t="shared" si="5"/>
        <v>0</v>
      </c>
      <c r="U81" s="80">
        <f ca="1" t="shared" si="6"/>
        <v>0</v>
      </c>
      <c r="V81" s="80">
        <f ca="1" t="shared" si="7"/>
        <v>0</v>
      </c>
      <c r="W81" s="80">
        <f ca="1" t="shared" si="8"/>
        <v>0</v>
      </c>
      <c r="X81" s="80">
        <f ca="1" t="shared" si="9"/>
        <v>0</v>
      </c>
      <c r="Y81" s="80">
        <f ca="1" t="shared" si="10"/>
        <v>0</v>
      </c>
      <c r="Z81" s="80">
        <f ca="1" t="shared" si="11"/>
        <v>0</v>
      </c>
      <c r="AA81" s="80">
        <f ca="1" t="shared" si="12"/>
        <v>0</v>
      </c>
    </row>
    <row r="82" ht="16.5" spans="1:27">
      <c r="A82" s="80"/>
      <c r="B82" s="80"/>
      <c r="C82" s="83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 ht="16.5" spans="1:27">
      <c r="A83" s="80"/>
      <c r="B83" s="80"/>
      <c r="C83" s="83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 ht="16.5" spans="1:27">
      <c r="A84" s="80"/>
      <c r="B84" s="80"/>
      <c r="C84" s="83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 ht="16.5" spans="1:27">
      <c r="A85" s="80"/>
      <c r="B85" s="80"/>
      <c r="C85" s="83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 ht="16.5" spans="1:27">
      <c r="A86" s="80"/>
      <c r="B86" s="80"/>
      <c r="C86" s="83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 ht="16.5" spans="1:27">
      <c r="A87" s="80"/>
      <c r="B87" s="80"/>
      <c r="C87" s="83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 ht="16.5" spans="1:27">
      <c r="A88" s="80"/>
      <c r="B88" s="80"/>
      <c r="C88" s="83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 ht="16.5" spans="1:27">
      <c r="A89" s="80"/>
      <c r="B89" s="80"/>
      <c r="C89" s="83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 ht="16.5" spans="1:27">
      <c r="A90" s="80"/>
      <c r="B90" s="80"/>
      <c r="C90" s="83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 ht="16.5" spans="1:27">
      <c r="A91" s="80"/>
      <c r="B91" s="80"/>
      <c r="C91" s="83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 ht="16.5" spans="1:27">
      <c r="A92" s="80"/>
      <c r="B92" s="80"/>
      <c r="C92" s="83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 ht="16.5" spans="1:27">
      <c r="A93" s="80"/>
      <c r="B93" s="80"/>
      <c r="C93" s="83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 ht="16.5" spans="1:27">
      <c r="A94" s="80"/>
      <c r="B94" s="80"/>
      <c r="C94" s="83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 ht="16.5" spans="1:27">
      <c r="A95" s="80"/>
      <c r="B95" s="80"/>
      <c r="C95" s="83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 ht="16.5" spans="1:27">
      <c r="A96" s="80"/>
      <c r="B96" s="80"/>
      <c r="C96" s="83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 ht="16.5" spans="1:26">
      <c r="A97" s="80"/>
      <c r="B97" s="80"/>
      <c r="C97" s="83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 ht="16.5" spans="1:26">
      <c r="A98" s="80"/>
      <c r="B98" s="80"/>
      <c r="C98" s="83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 ht="16.5" spans="1:26">
      <c r="A99" s="80"/>
      <c r="B99" s="80"/>
      <c r="C99" s="83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 ht="16.5" spans="1:26">
      <c r="A100" s="80"/>
      <c r="B100" s="80"/>
      <c r="C100" s="83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 ht="16.5" spans="1:26">
      <c r="A101" s="80"/>
      <c r="B101" s="80"/>
      <c r="C101" s="83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 ht="16.5" spans="1:26">
      <c r="A102" s="80"/>
      <c r="B102" s="80"/>
      <c r="C102" s="83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 ht="16.5" spans="1:26">
      <c r="A103" s="80"/>
      <c r="B103" s="80"/>
      <c r="C103" s="83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 ht="16.5" spans="1:26">
      <c r="A104" s="80"/>
      <c r="B104" s="80"/>
      <c r="C104" s="83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 ht="16.5" spans="1:26">
      <c r="A105" s="80"/>
      <c r="B105" s="80"/>
      <c r="C105" s="83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 ht="16.5" spans="1:26">
      <c r="A106" s="80"/>
      <c r="B106" s="80"/>
      <c r="C106" s="83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 ht="16.5" spans="1:26">
      <c r="A107" s="80"/>
      <c r="B107" s="80"/>
      <c r="C107" s="83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 ht="16.5" spans="1:26">
      <c r="A108" s="80"/>
      <c r="B108" s="80"/>
      <c r="C108" s="83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 ht="16.5" spans="1:26">
      <c r="A109" s="80"/>
      <c r="B109" s="80"/>
      <c r="C109" s="83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 ht="16.5" spans="1:26">
      <c r="A110" s="80"/>
      <c r="B110" s="80"/>
      <c r="C110" s="83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 ht="16.5" spans="1:26">
      <c r="A111" s="80"/>
      <c r="B111" s="80"/>
      <c r="C111" s="83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 ht="16.5" spans="1:26">
      <c r="A112" s="80"/>
      <c r="B112" s="80"/>
      <c r="C112" s="83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 ht="16.5" spans="1:26">
      <c r="A113" s="80"/>
      <c r="B113" s="80"/>
      <c r="C113" s="83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 ht="16.5" spans="1:26">
      <c r="A114" s="80"/>
      <c r="B114" s="80"/>
      <c r="C114" s="83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 ht="16.5" spans="1:26">
      <c r="A115" s="80"/>
      <c r="B115" s="80"/>
      <c r="C115" s="83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 ht="16.5" spans="1:26">
      <c r="A116" s="80"/>
      <c r="B116" s="80"/>
      <c r="C116" s="83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 ht="16.5" spans="1:26">
      <c r="A117" s="80"/>
      <c r="B117" s="80"/>
      <c r="C117" s="83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 ht="16.5" spans="1:26">
      <c r="A118" s="80"/>
      <c r="B118" s="80"/>
      <c r="C118" s="83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 ht="16.5" spans="1:26">
      <c r="A119" s="80"/>
      <c r="B119" s="80"/>
      <c r="C119" s="83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 ht="16.5" spans="1:26">
      <c r="A120" s="80"/>
      <c r="B120" s="80"/>
      <c r="C120" s="83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 ht="16.5" spans="1:26">
      <c r="A121" s="80"/>
      <c r="B121" s="80"/>
      <c r="C121" s="83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 ht="16.5" spans="1:26">
      <c r="A122" s="80"/>
      <c r="B122" s="80"/>
      <c r="C122" s="83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 ht="16.5" spans="1:26">
      <c r="A123" s="80"/>
      <c r="B123" s="80"/>
      <c r="C123" s="83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 ht="16.5" spans="1:26">
      <c r="A124" s="80"/>
      <c r="B124" s="80"/>
      <c r="C124" s="83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 ht="16.5" spans="1:26">
      <c r="A125" s="80"/>
      <c r="B125" s="80"/>
      <c r="C125" s="83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 ht="16.5" spans="1:26">
      <c r="A126" s="80"/>
      <c r="B126" s="80"/>
      <c r="C126" s="83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 ht="16.5" spans="1:26">
      <c r="A127" s="80"/>
      <c r="B127" s="80"/>
      <c r="C127" s="83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 ht="16.5" spans="1:26">
      <c r="A128" s="80"/>
      <c r="B128" s="80"/>
      <c r="C128" s="83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 ht="16.5" spans="1:26">
      <c r="A129" s="80"/>
      <c r="B129" s="80"/>
      <c r="C129" s="83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 ht="16.5" spans="1:26">
      <c r="A130" s="80"/>
      <c r="B130" s="80"/>
      <c r="C130" s="83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 ht="16.5" spans="1:26">
      <c r="A131" s="80"/>
      <c r="B131" s="80"/>
      <c r="C131" s="83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 ht="16.5" spans="1:26">
      <c r="A132" s="80"/>
      <c r="B132" s="80"/>
      <c r="C132" s="83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 ht="16.5" spans="1:26">
      <c r="A133" s="80"/>
      <c r="B133" s="80"/>
      <c r="C133" s="83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 ht="16.5" spans="1:26">
      <c r="A134" s="80"/>
      <c r="B134" s="80"/>
      <c r="C134" s="83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 ht="16.5" spans="1:26">
      <c r="A135" s="80"/>
      <c r="B135" s="80"/>
      <c r="C135" s="83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 ht="16.5" spans="1:26">
      <c r="A136" s="80"/>
      <c r="B136" s="80"/>
      <c r="C136" s="83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 ht="16.5" spans="1:26">
      <c r="A137" s="80"/>
      <c r="B137" s="80"/>
      <c r="C137" s="83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 ht="16.5" spans="1:26">
      <c r="A138" s="80"/>
      <c r="B138" s="80"/>
      <c r="C138" s="83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 ht="16.5" spans="1:26">
      <c r="A139" s="80"/>
      <c r="B139" s="80"/>
      <c r="C139" s="83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 ht="16.5" spans="1:26">
      <c r="A140" s="80"/>
      <c r="B140" s="80"/>
      <c r="C140" s="83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 ht="16.5" spans="1:26">
      <c r="A141" s="80"/>
      <c r="B141" s="80"/>
      <c r="C141" s="83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 ht="16.5" spans="1:26">
      <c r="A142" s="80"/>
      <c r="B142" s="80"/>
      <c r="C142" s="83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 ht="16.5" spans="1:26">
      <c r="A143" s="80"/>
      <c r="B143" s="80"/>
      <c r="C143" s="83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 ht="16.5" spans="1:26">
      <c r="A144" s="80"/>
      <c r="B144" s="80"/>
      <c r="C144" s="83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 ht="16.5" spans="1:26">
      <c r="A145" s="80"/>
      <c r="B145" s="80"/>
      <c r="C145" s="83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 ht="16.5" spans="1:26">
      <c r="A146" s="80"/>
      <c r="B146" s="80"/>
      <c r="C146" s="83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 ht="16.5" spans="1:26">
      <c r="A147" s="80"/>
      <c r="B147" s="80"/>
      <c r="C147" s="83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 ht="16.5" spans="1:26">
      <c r="A148" s="80"/>
      <c r="B148" s="80"/>
      <c r="C148" s="83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 ht="16.5" spans="1:26">
      <c r="A149" s="80"/>
      <c r="B149" s="80"/>
      <c r="C149" s="83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 ht="16.5" spans="1:26">
      <c r="A150" s="80"/>
      <c r="B150" s="80"/>
      <c r="C150" s="83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 ht="16.5" spans="1:26">
      <c r="A151" s="80"/>
      <c r="B151" s="80"/>
      <c r="C151" s="83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 ht="16.5" spans="1:26">
      <c r="A152" s="80"/>
      <c r="B152" s="80"/>
      <c r="C152" s="83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 ht="16.5" spans="1:26">
      <c r="A153" s="80"/>
      <c r="B153" s="80"/>
      <c r="C153" s="83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 ht="16.5" spans="1:26">
      <c r="A154" s="80"/>
      <c r="B154" s="80"/>
      <c r="C154" s="83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 ht="16.5" spans="1:26">
      <c r="A155" s="80"/>
      <c r="B155" s="80"/>
      <c r="C155" s="83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 ht="16.5" spans="1:26">
      <c r="A156" s="80"/>
      <c r="B156" s="80"/>
      <c r="C156" s="83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 ht="16.5" spans="1:26">
      <c r="A157" s="80"/>
      <c r="B157" s="80"/>
      <c r="C157" s="83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 ht="16.5" spans="1:26">
      <c r="A158" s="80"/>
      <c r="B158" s="80"/>
      <c r="C158" s="83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 ht="16.5" spans="1:26">
      <c r="A159" s="80"/>
      <c r="B159" s="80"/>
      <c r="C159" s="83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 ht="16.5" spans="1:26">
      <c r="A160" s="80"/>
      <c r="B160" s="80"/>
      <c r="C160" s="83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 ht="16.5" spans="1:26">
      <c r="A161" s="80"/>
      <c r="B161" s="80"/>
      <c r="C161" s="83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 ht="16.5" spans="1:26">
      <c r="A162" s="80"/>
      <c r="B162" s="80"/>
      <c r="C162" s="83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 ht="16.5" spans="1:26">
      <c r="A163" s="80"/>
      <c r="B163" s="80"/>
      <c r="C163" s="83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 ht="16.5" spans="1:26">
      <c r="A164" s="80"/>
      <c r="B164" s="80"/>
      <c r="C164" s="83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 ht="16.5" spans="1:26">
      <c r="A165" s="80"/>
      <c r="B165" s="80"/>
      <c r="C165" s="83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 ht="16.5" spans="1:26">
      <c r="A166" s="80"/>
      <c r="B166" s="80"/>
      <c r="C166" s="83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 ht="16.5" spans="1:26">
      <c r="A167" s="80"/>
      <c r="B167" s="80"/>
      <c r="C167" s="83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 ht="16.5" spans="1:26">
      <c r="A168" s="80"/>
      <c r="B168" s="80"/>
      <c r="C168" s="83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 ht="16.5" spans="1:26">
      <c r="A169" s="80"/>
      <c r="B169" s="80"/>
      <c r="C169" s="83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 ht="16.5" spans="1:26">
      <c r="A170" s="80"/>
      <c r="B170" s="80"/>
      <c r="C170" s="83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 ht="16.5" spans="1:26">
      <c r="A171" s="80"/>
      <c r="B171" s="80"/>
      <c r="C171" s="83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 ht="16.5" spans="1:26">
      <c r="A172" s="80"/>
      <c r="B172" s="80"/>
      <c r="C172" s="83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 ht="16.5" spans="1:26">
      <c r="A173" s="80"/>
      <c r="B173" s="80"/>
      <c r="C173" s="83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 ht="16.5" spans="1:26">
      <c r="A174" s="80"/>
      <c r="B174" s="80"/>
      <c r="C174" s="83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 ht="16.5" spans="1:26">
      <c r="A175" s="80"/>
      <c r="B175" s="80"/>
      <c r="C175" s="83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 ht="16.5" spans="1:26">
      <c r="A176" s="80"/>
      <c r="B176" s="80"/>
      <c r="C176" s="83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 ht="16.5" spans="1:26">
      <c r="A177" s="80"/>
      <c r="B177" s="80"/>
      <c r="C177" s="83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 ht="16.5" spans="1:26">
      <c r="A178" s="80"/>
      <c r="B178" s="80"/>
      <c r="C178" s="83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 ht="16.5" spans="1:26">
      <c r="A179" s="80"/>
      <c r="B179" s="80"/>
      <c r="C179" s="83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 ht="16.5" spans="1:26">
      <c r="A180" s="80"/>
      <c r="B180" s="80"/>
      <c r="C180" s="83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 ht="16.5" spans="1:26">
      <c r="A181" s="80"/>
      <c r="B181" s="80"/>
      <c r="C181" s="83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 ht="16.5" spans="1:26">
      <c r="A182" s="80"/>
      <c r="B182" s="80"/>
      <c r="C182" s="83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 ht="16.5" spans="1:26">
      <c r="A183" s="80"/>
      <c r="B183" s="80"/>
      <c r="C183" s="83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 ht="16.5" spans="1:26">
      <c r="A184" s="80"/>
      <c r="B184" s="80"/>
      <c r="C184" s="83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 ht="16.5" spans="1:26">
      <c r="A185" s="80"/>
      <c r="B185" s="80"/>
      <c r="C185" s="83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 ht="16.5" spans="1:26">
      <c r="A186" s="80"/>
      <c r="B186" s="80"/>
      <c r="C186" s="83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 ht="16.5" spans="1:26">
      <c r="A187" s="80"/>
      <c r="B187" s="80"/>
      <c r="C187" s="83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 ht="16.5" spans="1:26">
      <c r="A188" s="80"/>
      <c r="B188" s="80"/>
      <c r="C188" s="83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 ht="16.5" spans="1:26">
      <c r="A189" s="80"/>
      <c r="B189" s="80"/>
      <c r="C189" s="83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 ht="16.5" spans="1:26">
      <c r="A190" s="80"/>
      <c r="B190" s="80"/>
      <c r="C190" s="83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 ht="16.5" spans="1:26">
      <c r="A191" s="80"/>
      <c r="B191" s="80"/>
      <c r="C191" s="83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 ht="16.5" spans="1:26">
      <c r="A192" s="80"/>
      <c r="B192" s="80"/>
      <c r="C192" s="83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 ht="16.5" spans="1:26">
      <c r="A193" s="80"/>
      <c r="B193" s="80"/>
      <c r="C193" s="83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 ht="16.5" spans="1:26">
      <c r="A194" s="80"/>
      <c r="B194" s="80"/>
      <c r="C194" s="83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 ht="16.5" spans="1:26">
      <c r="A195" s="80"/>
      <c r="B195" s="80"/>
      <c r="C195" s="83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 ht="16.5" spans="1:26">
      <c r="A196" s="80"/>
      <c r="B196" s="80"/>
      <c r="C196" s="83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 ht="16.5" spans="1:26">
      <c r="A197" s="80"/>
      <c r="B197" s="80"/>
      <c r="C197" s="83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 ht="16.5" spans="1:26">
      <c r="A198" s="80"/>
      <c r="B198" s="80"/>
      <c r="C198" s="83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 ht="16.5" spans="1:26">
      <c r="A199" s="80"/>
      <c r="B199" s="80"/>
      <c r="C199" s="83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 ht="16.5" spans="1:26">
      <c r="A200" s="80"/>
      <c r="B200" s="80"/>
      <c r="C200" s="83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</sheetData>
  <pageMargins left="0.75" right="0.75" top="1" bottom="1" header="0.5" footer="0.5"/>
  <headerFooter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>
    <tabColor theme="4"/>
  </sheetPr>
  <dimension ref="B1:N302"/>
  <sheetViews>
    <sheetView topLeftCell="A7" workbookViewId="0">
      <selection activeCell="AG65" sqref="AG65"/>
    </sheetView>
  </sheetViews>
  <sheetFormatPr defaultColWidth="9" defaultRowHeight="13.5"/>
  <sheetData>
    <row r="1" spans="2:14">
      <c r="D1" t="s">
        <v>96</v>
      </c>
      <c r="E1" t="s">
        <v>96</v>
      </c>
    </row>
    <row r="2" spans="2:14">
      <c r="B2" s="78" t="s">
        <v>370</v>
      </c>
      <c r="C2" s="78" t="s">
        <v>371</v>
      </c>
      <c r="D2" s="78" t="s">
        <v>137</v>
      </c>
      <c r="E2" s="78" t="s">
        <v>372</v>
      </c>
      <c r="F2" s="78" t="s">
        <v>201</v>
      </c>
      <c r="I2" t="s">
        <v>37</v>
      </c>
      <c r="J2" s="78" t="s">
        <v>96</v>
      </c>
      <c r="L2" t="s">
        <v>21</v>
      </c>
      <c r="M2" s="78" t="s">
        <v>96</v>
      </c>
      <c r="N2" t="s">
        <v>170</v>
      </c>
    </row>
    <row r="3" spans="2:14">
      <c r="B3" s="47">
        <v>1</v>
      </c>
      <c r="C3" s="47">
        <v>750</v>
      </c>
      <c r="D3" s="47">
        <v>4000</v>
      </c>
      <c r="E3" s="79">
        <v>1000</v>
      </c>
      <c r="F3" s="47">
        <v>14</v>
      </c>
      <c r="G3">
        <f t="shared" ref="G3:G52" si="0">E3*2</f>
        <v>2000</v>
      </c>
      <c r="I3">
        <v>1</v>
      </c>
      <c r="J3" s="51">
        <f t="shared" ref="J3:J66" si="1">SUMIF($F$3:$F$302,I3,$D$3:$D$302)</f>
        <v>0</v>
      </c>
      <c r="L3">
        <v>1</v>
      </c>
      <c r="M3" s="51">
        <f ca="1">IFERROR(OFFSET($E$2,MATCH(金币平衡!C28,$F$3:$F$302,1),0),0)</f>
        <v>2500</v>
      </c>
      <c r="N3" s="51">
        <f t="shared" ref="N3:N66" si="2">E3/2</f>
        <v>500</v>
      </c>
    </row>
    <row r="4" spans="2:14">
      <c r="B4" s="47">
        <v>2</v>
      </c>
      <c r="C4" s="47">
        <v>850</v>
      </c>
      <c r="D4" s="47">
        <v>6000</v>
      </c>
      <c r="E4" s="79">
        <v>1500</v>
      </c>
      <c r="F4" s="47">
        <v>18</v>
      </c>
      <c r="G4">
        <f t="shared" si="0"/>
        <v>2500</v>
      </c>
      <c r="I4">
        <v>2</v>
      </c>
      <c r="J4" s="51">
        <f t="shared" si="1"/>
        <v>0</v>
      </c>
      <c r="L4">
        <v>2</v>
      </c>
      <c r="M4" s="51">
        <f ca="1">IFERROR(OFFSET($E$2,MATCH(金币平衡!C29,$F$3:$F$302,1),0),0)</f>
        <v>3000</v>
      </c>
      <c r="N4" s="51">
        <f t="shared" si="2"/>
        <v>625</v>
      </c>
    </row>
    <row r="5" spans="2:14">
      <c r="B5" s="47">
        <v>3</v>
      </c>
      <c r="C5" s="47">
        <v>1000</v>
      </c>
      <c r="D5" s="47">
        <v>8000</v>
      </c>
      <c r="E5" s="79">
        <v>2000</v>
      </c>
      <c r="F5" s="47">
        <v>22</v>
      </c>
      <c r="G5">
        <f t="shared" si="0"/>
        <v>3000</v>
      </c>
      <c r="I5">
        <v>3</v>
      </c>
      <c r="J5" s="51">
        <f t="shared" si="1"/>
        <v>0</v>
      </c>
      <c r="L5">
        <v>3</v>
      </c>
      <c r="M5" s="51">
        <f ca="1">IFERROR(OFFSET($E$2,MATCH(金币平衡!C30,$F$3:$F$302,1),0),0)</f>
        <v>3250</v>
      </c>
      <c r="N5" s="51">
        <f t="shared" si="2"/>
        <v>750</v>
      </c>
    </row>
    <row r="6" spans="2:14">
      <c r="B6" s="47">
        <v>4</v>
      </c>
      <c r="C6" s="47">
        <v>1244</v>
      </c>
      <c r="D6" s="47">
        <v>10000</v>
      </c>
      <c r="E6" s="79">
        <v>2500</v>
      </c>
      <c r="F6" s="47">
        <v>27</v>
      </c>
      <c r="G6">
        <f t="shared" si="0"/>
        <v>3500</v>
      </c>
      <c r="I6">
        <v>4</v>
      </c>
      <c r="J6" s="51">
        <f t="shared" si="1"/>
        <v>0</v>
      </c>
      <c r="L6">
        <v>4</v>
      </c>
      <c r="M6" s="51">
        <f ca="1">IFERROR(OFFSET($E$2,MATCH(金币平衡!C31,$F$3:$F$302,1),0),0)</f>
        <v>3750</v>
      </c>
      <c r="N6" s="51">
        <f t="shared" si="2"/>
        <v>875</v>
      </c>
    </row>
    <row r="7" spans="2:14">
      <c r="B7" s="47">
        <v>5</v>
      </c>
      <c r="C7" s="47">
        <v>1372</v>
      </c>
      <c r="D7" s="47">
        <v>12000</v>
      </c>
      <c r="E7" s="79">
        <v>3000</v>
      </c>
      <c r="F7" s="47">
        <v>32</v>
      </c>
      <c r="G7">
        <f t="shared" si="0"/>
        <v>4000</v>
      </c>
      <c r="I7">
        <v>5</v>
      </c>
      <c r="J7" s="51">
        <f t="shared" si="1"/>
        <v>0</v>
      </c>
      <c r="L7">
        <v>5</v>
      </c>
      <c r="M7" s="51">
        <f ca="1">IFERROR(OFFSET($E$2,MATCH(金币平衡!C32,$F$3:$F$302,1),0),0)</f>
        <v>4500</v>
      </c>
      <c r="N7" s="51">
        <f t="shared" si="2"/>
        <v>1000</v>
      </c>
    </row>
    <row r="8" spans="2:14">
      <c r="B8" s="47">
        <v>6</v>
      </c>
      <c r="C8" s="47">
        <v>1508</v>
      </c>
      <c r="D8" s="47">
        <v>14000</v>
      </c>
      <c r="E8" s="79">
        <v>3500</v>
      </c>
      <c r="F8" s="47">
        <v>38</v>
      </c>
      <c r="G8">
        <f t="shared" si="0"/>
        <v>4500</v>
      </c>
      <c r="I8">
        <v>6</v>
      </c>
      <c r="J8" s="51">
        <f t="shared" si="1"/>
        <v>0</v>
      </c>
      <c r="L8">
        <v>6</v>
      </c>
      <c r="M8" s="51">
        <f ca="1">IFERROR(OFFSET($E$2,MATCH(金币平衡!C33,$F$3:$F$302,1),0),0)</f>
        <v>4500</v>
      </c>
      <c r="N8" s="51">
        <f t="shared" si="2"/>
        <v>1125</v>
      </c>
    </row>
    <row r="9" spans="2:14">
      <c r="B9" s="47">
        <v>7</v>
      </c>
      <c r="C9" s="47">
        <v>1809</v>
      </c>
      <c r="D9" s="47">
        <v>16000</v>
      </c>
      <c r="E9" s="79">
        <v>4000</v>
      </c>
      <c r="F9" s="47">
        <v>45</v>
      </c>
      <c r="G9">
        <f t="shared" si="0"/>
        <v>5000</v>
      </c>
      <c r="I9">
        <v>7</v>
      </c>
      <c r="J9" s="51">
        <f t="shared" si="1"/>
        <v>0</v>
      </c>
      <c r="L9">
        <v>7</v>
      </c>
      <c r="M9" s="51">
        <f ca="1">IFERROR(OFFSET($E$2,MATCH(金币平衡!C34,$F$3:$F$302,1),0),0)</f>
        <v>4750</v>
      </c>
      <c r="N9" s="51">
        <f t="shared" si="2"/>
        <v>1250</v>
      </c>
    </row>
    <row r="10" spans="2:14">
      <c r="B10" s="47">
        <v>8</v>
      </c>
      <c r="C10" s="47">
        <v>1916</v>
      </c>
      <c r="D10" s="47">
        <v>18000</v>
      </c>
      <c r="E10" s="79">
        <v>4500</v>
      </c>
      <c r="F10" s="47">
        <v>53</v>
      </c>
      <c r="G10">
        <f t="shared" si="0"/>
        <v>5500</v>
      </c>
      <c r="I10">
        <v>8</v>
      </c>
      <c r="J10" s="51">
        <f t="shared" si="1"/>
        <v>0</v>
      </c>
      <c r="L10">
        <v>8</v>
      </c>
      <c r="M10" s="51">
        <f ca="1">IFERROR(OFFSET($E$2,MATCH(金币平衡!C35,$F$3:$F$302,1),0),0)</f>
        <v>5000</v>
      </c>
      <c r="N10" s="51">
        <f t="shared" si="2"/>
        <v>1375</v>
      </c>
    </row>
    <row r="11" spans="2:14">
      <c r="B11" s="47">
        <v>9</v>
      </c>
      <c r="C11" s="47">
        <v>2071</v>
      </c>
      <c r="D11" s="47">
        <v>20000</v>
      </c>
      <c r="E11" s="79">
        <v>5000</v>
      </c>
      <c r="F11" s="47">
        <v>58</v>
      </c>
      <c r="G11">
        <f t="shared" si="0"/>
        <v>6000</v>
      </c>
      <c r="I11">
        <v>9</v>
      </c>
      <c r="J11" s="51">
        <f t="shared" si="1"/>
        <v>0</v>
      </c>
      <c r="L11">
        <v>9</v>
      </c>
      <c r="M11" s="51">
        <f ca="1">IFERROR(OFFSET($E$2,MATCH(金币平衡!C36,$F$3:$F$302,1),0),0)</f>
        <v>5000</v>
      </c>
      <c r="N11" s="51">
        <f t="shared" si="2"/>
        <v>1500</v>
      </c>
    </row>
    <row r="12" spans="2:14">
      <c r="B12" s="47">
        <v>10</v>
      </c>
      <c r="C12" s="47">
        <v>2514</v>
      </c>
      <c r="D12" s="47">
        <v>22000</v>
      </c>
      <c r="E12" s="79">
        <v>5500</v>
      </c>
      <c r="F12" s="47">
        <v>65</v>
      </c>
      <c r="G12">
        <f t="shared" si="0"/>
        <v>6500</v>
      </c>
      <c r="I12">
        <v>10</v>
      </c>
      <c r="J12" s="51">
        <f t="shared" si="1"/>
        <v>0</v>
      </c>
      <c r="L12">
        <v>10</v>
      </c>
      <c r="M12" s="51">
        <f ca="1">IFERROR(OFFSET($E$2,MATCH(金币平衡!C37,$F$3:$F$302,1),0),0)</f>
        <v>5250</v>
      </c>
      <c r="N12" s="51">
        <f t="shared" si="2"/>
        <v>1625</v>
      </c>
    </row>
    <row r="13" spans="2:14">
      <c r="B13" s="47">
        <v>11</v>
      </c>
      <c r="C13" s="47">
        <v>2886</v>
      </c>
      <c r="D13" s="47">
        <v>24000</v>
      </c>
      <c r="E13" s="79">
        <v>6000</v>
      </c>
      <c r="F13" s="47">
        <v>73</v>
      </c>
      <c r="G13">
        <f t="shared" si="0"/>
        <v>7000</v>
      </c>
      <c r="I13">
        <v>11</v>
      </c>
      <c r="J13" s="51">
        <f t="shared" si="1"/>
        <v>0</v>
      </c>
      <c r="L13">
        <v>11</v>
      </c>
      <c r="M13" s="51">
        <f ca="1">IFERROR(OFFSET($E$2,MATCH(金币平衡!C38,$F$3:$F$302,1),0),0)</f>
        <v>5500</v>
      </c>
      <c r="N13" s="51">
        <f t="shared" si="2"/>
        <v>1750</v>
      </c>
    </row>
    <row r="14" spans="2:14">
      <c r="B14" s="47">
        <v>12</v>
      </c>
      <c r="C14" s="47">
        <v>3120</v>
      </c>
      <c r="D14" s="47">
        <v>26000</v>
      </c>
      <c r="E14" s="79">
        <v>6500</v>
      </c>
      <c r="F14" s="47">
        <v>78</v>
      </c>
      <c r="G14">
        <f t="shared" si="0"/>
        <v>7500</v>
      </c>
      <c r="I14">
        <v>12</v>
      </c>
      <c r="J14" s="51">
        <f t="shared" si="1"/>
        <v>0</v>
      </c>
      <c r="L14">
        <v>12</v>
      </c>
      <c r="M14" s="51">
        <f ca="1">IFERROR(OFFSET($E$2,MATCH(金币平衡!C39,$F$3:$F$302,1),0),0)</f>
        <v>5750</v>
      </c>
      <c r="N14" s="51">
        <f t="shared" si="2"/>
        <v>1875</v>
      </c>
    </row>
    <row r="15" spans="2:14">
      <c r="B15" s="47">
        <v>13</v>
      </c>
      <c r="C15" s="47">
        <v>3612</v>
      </c>
      <c r="D15" s="47">
        <v>28000</v>
      </c>
      <c r="E15" s="79">
        <v>7000</v>
      </c>
      <c r="F15" s="47">
        <v>83</v>
      </c>
      <c r="G15">
        <f t="shared" si="0"/>
        <v>8000</v>
      </c>
      <c r="I15">
        <v>13</v>
      </c>
      <c r="J15" s="51">
        <f t="shared" si="1"/>
        <v>0</v>
      </c>
      <c r="L15">
        <v>13</v>
      </c>
      <c r="M15" s="51">
        <f ca="1">IFERROR(OFFSET($E$2,MATCH(金币平衡!C40,$F$3:$F$302,1),0),0)</f>
        <v>5750</v>
      </c>
      <c r="N15" s="51">
        <f t="shared" si="2"/>
        <v>2000</v>
      </c>
    </row>
    <row r="16" spans="2:14">
      <c r="B16" s="47">
        <v>14</v>
      </c>
      <c r="C16" s="47">
        <v>4062</v>
      </c>
      <c r="D16" s="47">
        <v>30000</v>
      </c>
      <c r="E16" s="79">
        <v>7500</v>
      </c>
      <c r="F16" s="47">
        <v>88</v>
      </c>
      <c r="G16">
        <f t="shared" si="0"/>
        <v>8500</v>
      </c>
      <c r="I16">
        <v>14</v>
      </c>
      <c r="J16" s="51">
        <f t="shared" si="1"/>
        <v>0</v>
      </c>
      <c r="L16">
        <v>14</v>
      </c>
      <c r="M16" s="51">
        <f ca="1">IFERROR(OFFSET($E$2,MATCH(金币平衡!C41,$F$3:$F$302,1),0),0)</f>
        <v>6000</v>
      </c>
      <c r="N16" s="51">
        <f t="shared" si="2"/>
        <v>2125</v>
      </c>
    </row>
    <row r="17" spans="2:14">
      <c r="B17" s="47">
        <v>15</v>
      </c>
      <c r="C17" s="47">
        <v>4392</v>
      </c>
      <c r="D17" s="47">
        <v>32000</v>
      </c>
      <c r="E17" s="79">
        <v>8000</v>
      </c>
      <c r="F17" s="47">
        <v>95</v>
      </c>
      <c r="G17">
        <f t="shared" si="0"/>
        <v>9000</v>
      </c>
      <c r="I17">
        <v>15</v>
      </c>
      <c r="J17" s="51">
        <f t="shared" si="1"/>
        <v>15000</v>
      </c>
      <c r="L17">
        <v>15</v>
      </c>
      <c r="M17" s="51">
        <f ca="1">IFERROR(OFFSET($E$2,MATCH(金币平衡!C42,$F$3:$F$302,1),0),0)</f>
        <v>6000</v>
      </c>
      <c r="N17" s="51">
        <f t="shared" si="2"/>
        <v>2250</v>
      </c>
    </row>
    <row r="18" spans="2:14">
      <c r="B18" s="47">
        <v>16</v>
      </c>
      <c r="C18" s="47">
        <v>4854</v>
      </c>
      <c r="D18" s="47">
        <v>34000</v>
      </c>
      <c r="E18" s="79">
        <v>8500</v>
      </c>
      <c r="F18" s="47">
        <v>103</v>
      </c>
      <c r="G18">
        <f t="shared" si="0"/>
        <v>9500</v>
      </c>
      <c r="I18">
        <v>16</v>
      </c>
      <c r="J18" s="51">
        <f t="shared" si="1"/>
        <v>0</v>
      </c>
      <c r="L18">
        <v>16</v>
      </c>
      <c r="M18" s="51">
        <f ca="1">IFERROR(OFFSET($E$2,MATCH(金币平衡!C43,$F$3:$F$302,1),0),0)</f>
        <v>6250</v>
      </c>
      <c r="N18" s="51">
        <f t="shared" si="2"/>
        <v>2375</v>
      </c>
    </row>
    <row r="19" spans="2:14">
      <c r="B19" s="47">
        <v>17</v>
      </c>
      <c r="C19" s="47">
        <v>5142</v>
      </c>
      <c r="D19" s="47">
        <v>36000</v>
      </c>
      <c r="E19" s="79">
        <v>9000</v>
      </c>
      <c r="F19" s="47">
        <v>108</v>
      </c>
      <c r="G19">
        <f t="shared" si="0"/>
        <v>10000</v>
      </c>
      <c r="I19">
        <v>17</v>
      </c>
      <c r="J19" s="51">
        <f t="shared" si="1"/>
        <v>0</v>
      </c>
      <c r="L19">
        <v>17</v>
      </c>
      <c r="M19" s="51">
        <f ca="1">IFERROR(OFFSET($E$2,MATCH(金币平衡!C44,$F$3:$F$302,1),0),0)</f>
        <v>6250</v>
      </c>
      <c r="N19" s="51">
        <f t="shared" si="2"/>
        <v>2500</v>
      </c>
    </row>
    <row r="20" spans="2:14">
      <c r="B20" s="47">
        <v>18</v>
      </c>
      <c r="C20" s="47">
        <v>5670</v>
      </c>
      <c r="D20" s="47">
        <v>38000</v>
      </c>
      <c r="E20" s="79">
        <v>9500</v>
      </c>
      <c r="F20" s="47">
        <v>113</v>
      </c>
      <c r="G20">
        <f t="shared" si="0"/>
        <v>10500</v>
      </c>
      <c r="I20">
        <v>18</v>
      </c>
      <c r="J20" s="51">
        <f t="shared" si="1"/>
        <v>7000</v>
      </c>
      <c r="L20">
        <v>18</v>
      </c>
      <c r="M20" s="51">
        <f ca="1">IFERROR(OFFSET($E$2,MATCH(金币平衡!C45,$F$3:$F$302,1),0),0)</f>
        <v>6250</v>
      </c>
      <c r="N20" s="51">
        <f t="shared" si="2"/>
        <v>2625</v>
      </c>
    </row>
    <row r="21" spans="2:14">
      <c r="B21" s="47">
        <v>19</v>
      </c>
      <c r="C21" s="47">
        <v>6571</v>
      </c>
      <c r="D21" s="47">
        <v>40000</v>
      </c>
      <c r="E21" s="79">
        <v>10000</v>
      </c>
      <c r="F21" s="47">
        <v>118</v>
      </c>
      <c r="G21">
        <f t="shared" si="0"/>
        <v>11000</v>
      </c>
      <c r="I21">
        <v>19</v>
      </c>
      <c r="J21" s="51">
        <f t="shared" si="1"/>
        <v>0</v>
      </c>
      <c r="L21">
        <v>19</v>
      </c>
      <c r="M21" s="51">
        <f ca="1">IFERROR(OFFSET($E$2,MATCH(金币平衡!C46,$F$3:$F$302,1),0),0)</f>
        <v>6500</v>
      </c>
      <c r="N21" s="51">
        <f t="shared" si="2"/>
        <v>2750</v>
      </c>
    </row>
    <row r="22" spans="2:14">
      <c r="B22" s="47">
        <v>20</v>
      </c>
      <c r="C22" s="47">
        <v>6993</v>
      </c>
      <c r="D22" s="47">
        <v>42000</v>
      </c>
      <c r="E22" s="79">
        <v>10500</v>
      </c>
      <c r="F22" s="47">
        <v>125</v>
      </c>
      <c r="G22">
        <f t="shared" si="0"/>
        <v>11500</v>
      </c>
      <c r="I22">
        <v>20</v>
      </c>
      <c r="J22" s="51">
        <f t="shared" si="1"/>
        <v>0</v>
      </c>
      <c r="L22">
        <v>20</v>
      </c>
      <c r="M22" s="51">
        <f ca="1">IFERROR(OFFSET($E$2,MATCH(金币平衡!C47,$F$3:$F$302,1),0),0)</f>
        <v>6500</v>
      </c>
      <c r="N22" s="51">
        <f t="shared" si="2"/>
        <v>2875</v>
      </c>
    </row>
    <row r="23" spans="2:14">
      <c r="B23" s="47">
        <v>21</v>
      </c>
      <c r="C23" s="47">
        <v>8216</v>
      </c>
      <c r="D23" s="47">
        <v>44000</v>
      </c>
      <c r="E23" s="79">
        <v>11000</v>
      </c>
      <c r="F23" s="47">
        <v>133</v>
      </c>
      <c r="G23">
        <f t="shared" si="0"/>
        <v>12000</v>
      </c>
      <c r="I23">
        <v>21</v>
      </c>
      <c r="J23" s="51">
        <f t="shared" si="1"/>
        <v>8000</v>
      </c>
      <c r="L23">
        <v>21</v>
      </c>
      <c r="M23" s="51">
        <f ca="1">IFERROR(OFFSET($E$2,MATCH(金币平衡!C48,$F$3:$F$302,1),0),0)</f>
        <v>6500</v>
      </c>
      <c r="N23" s="51">
        <f t="shared" si="2"/>
        <v>3000</v>
      </c>
    </row>
    <row r="24" spans="2:14">
      <c r="B24" s="47">
        <v>22</v>
      </c>
      <c r="C24" s="47">
        <v>8792</v>
      </c>
      <c r="D24" s="47">
        <v>46000</v>
      </c>
      <c r="E24" s="79">
        <v>11500</v>
      </c>
      <c r="F24" s="47">
        <v>138</v>
      </c>
      <c r="G24">
        <f t="shared" si="0"/>
        <v>12500</v>
      </c>
      <c r="I24">
        <v>22</v>
      </c>
      <c r="J24" s="51">
        <f t="shared" si="1"/>
        <v>0</v>
      </c>
      <c r="L24">
        <v>22</v>
      </c>
      <c r="M24" s="51">
        <f ca="1">IFERROR(OFFSET($E$2,MATCH(金币平衡!C49,$F$3:$F$302,1),0),0)</f>
        <v>6750</v>
      </c>
      <c r="N24" s="51">
        <f t="shared" si="2"/>
        <v>3125</v>
      </c>
    </row>
    <row r="25" spans="2:14">
      <c r="B25" s="47">
        <v>23</v>
      </c>
      <c r="C25" s="47">
        <v>9852</v>
      </c>
      <c r="D25" s="47">
        <v>48000</v>
      </c>
      <c r="E25" s="79">
        <v>12000</v>
      </c>
      <c r="F25" s="47">
        <v>143</v>
      </c>
      <c r="G25">
        <f t="shared" si="0"/>
        <v>13000</v>
      </c>
      <c r="I25">
        <v>23</v>
      </c>
      <c r="J25" s="51">
        <f t="shared" si="1"/>
        <v>0</v>
      </c>
      <c r="L25">
        <v>23</v>
      </c>
      <c r="M25" s="51">
        <f ca="1">IFERROR(OFFSET($E$2,MATCH(金币平衡!C50,$F$3:$F$302,1),0),0)</f>
        <v>6750</v>
      </c>
      <c r="N25" s="51">
        <f t="shared" si="2"/>
        <v>3250</v>
      </c>
    </row>
    <row r="26" spans="2:14">
      <c r="B26" s="47">
        <v>24</v>
      </c>
      <c r="C26" s="47">
        <v>11172</v>
      </c>
      <c r="D26" s="47">
        <v>50000</v>
      </c>
      <c r="E26" s="79">
        <v>12500</v>
      </c>
      <c r="F26" s="47">
        <v>148</v>
      </c>
      <c r="G26">
        <f t="shared" si="0"/>
        <v>13500</v>
      </c>
      <c r="I26">
        <v>24</v>
      </c>
      <c r="J26" s="51">
        <f t="shared" si="1"/>
        <v>9000</v>
      </c>
      <c r="L26">
        <v>24</v>
      </c>
      <c r="M26" s="51">
        <f ca="1">IFERROR(OFFSET($E$2,MATCH(金币平衡!C51,$F$3:$F$302,1),0),0)</f>
        <v>6750</v>
      </c>
      <c r="N26" s="51">
        <f t="shared" si="2"/>
        <v>3375</v>
      </c>
    </row>
    <row r="27" spans="2:14">
      <c r="B27" s="47">
        <v>25</v>
      </c>
      <c r="C27" s="47">
        <v>11940</v>
      </c>
      <c r="D27" s="47">
        <v>52000</v>
      </c>
      <c r="E27" s="79">
        <v>13000</v>
      </c>
      <c r="F27" s="47">
        <v>155</v>
      </c>
      <c r="G27">
        <f t="shared" si="0"/>
        <v>14000</v>
      </c>
      <c r="I27">
        <v>25</v>
      </c>
      <c r="J27" s="51">
        <f t="shared" si="1"/>
        <v>0</v>
      </c>
      <c r="L27">
        <v>25</v>
      </c>
      <c r="M27" s="51">
        <f ca="1">IFERROR(OFFSET($E$2,MATCH(金币平衡!C52,$F$3:$F$302,1),0),0)</f>
        <v>7000</v>
      </c>
      <c r="N27" s="51">
        <f t="shared" si="2"/>
        <v>3500</v>
      </c>
    </row>
    <row r="28" spans="2:14">
      <c r="B28" s="47">
        <v>26</v>
      </c>
      <c r="C28" s="47">
        <v>12780</v>
      </c>
      <c r="D28" s="47">
        <v>54000</v>
      </c>
      <c r="E28" s="79">
        <v>13500</v>
      </c>
      <c r="F28" s="47">
        <v>163</v>
      </c>
      <c r="G28">
        <f t="shared" si="0"/>
        <v>14500</v>
      </c>
      <c r="I28">
        <v>26</v>
      </c>
      <c r="J28" s="51">
        <f t="shared" si="1"/>
        <v>0</v>
      </c>
      <c r="L28">
        <v>26</v>
      </c>
      <c r="M28" s="51">
        <f ca="1">IFERROR(OFFSET($E$2,MATCH(金币平衡!C53,$F$3:$F$302,1),0),0)</f>
        <v>7000</v>
      </c>
      <c r="N28" s="51">
        <f t="shared" si="2"/>
        <v>3625</v>
      </c>
    </row>
    <row r="29" spans="2:14">
      <c r="B29" s="47">
        <v>27</v>
      </c>
      <c r="C29" s="47">
        <v>14334</v>
      </c>
      <c r="D29" s="47">
        <v>56000</v>
      </c>
      <c r="E29" s="79">
        <v>14000</v>
      </c>
      <c r="F29" s="47">
        <v>168</v>
      </c>
      <c r="G29">
        <f t="shared" si="0"/>
        <v>15000</v>
      </c>
      <c r="I29">
        <v>27</v>
      </c>
      <c r="J29" s="51">
        <f t="shared" si="1"/>
        <v>0</v>
      </c>
      <c r="L29">
        <v>27</v>
      </c>
      <c r="M29" s="51">
        <f ca="1">IFERROR(OFFSET($E$2,MATCH(金币平衡!C54,$F$3:$F$302,1),0),0)</f>
        <v>7250</v>
      </c>
      <c r="N29" s="51">
        <f t="shared" si="2"/>
        <v>3750</v>
      </c>
    </row>
    <row r="30" spans="2:14">
      <c r="B30" s="47">
        <v>28</v>
      </c>
      <c r="C30" s="47">
        <v>15006</v>
      </c>
      <c r="D30" s="47">
        <v>58000</v>
      </c>
      <c r="E30" s="79">
        <v>14500</v>
      </c>
      <c r="F30" s="47">
        <v>173</v>
      </c>
      <c r="G30">
        <f t="shared" si="0"/>
        <v>15500</v>
      </c>
      <c r="I30">
        <v>28</v>
      </c>
      <c r="J30" s="51">
        <f t="shared" si="1"/>
        <v>10000</v>
      </c>
      <c r="L30">
        <v>28</v>
      </c>
      <c r="M30" s="51">
        <f ca="1">IFERROR(OFFSET($E$2,MATCH(金币平衡!C55,$F$3:$F$302,1),0),0)</f>
        <v>7250</v>
      </c>
      <c r="N30" s="51">
        <f t="shared" si="2"/>
        <v>3875</v>
      </c>
    </row>
    <row r="31" spans="2:14">
      <c r="B31" s="47">
        <v>29</v>
      </c>
      <c r="C31" s="47">
        <v>15966</v>
      </c>
      <c r="D31" s="47">
        <v>60000</v>
      </c>
      <c r="E31" s="79">
        <v>15000</v>
      </c>
      <c r="F31" s="47">
        <v>178</v>
      </c>
      <c r="G31">
        <f t="shared" si="0"/>
        <v>16000</v>
      </c>
      <c r="I31">
        <v>29</v>
      </c>
      <c r="J31" s="51">
        <f t="shared" si="1"/>
        <v>0</v>
      </c>
      <c r="L31">
        <v>29</v>
      </c>
      <c r="M31" s="51">
        <f ca="1">IFERROR(OFFSET($E$2,MATCH(金币平衡!C56,$F$3:$F$302,1),0),0)</f>
        <v>7250</v>
      </c>
      <c r="N31" s="51">
        <f t="shared" si="2"/>
        <v>4000</v>
      </c>
    </row>
    <row r="32" spans="2:14">
      <c r="B32" s="47">
        <v>30</v>
      </c>
      <c r="C32" s="47">
        <v>17166</v>
      </c>
      <c r="D32" s="47">
        <v>62000</v>
      </c>
      <c r="E32" s="79">
        <v>15500</v>
      </c>
      <c r="F32" s="47">
        <v>185</v>
      </c>
      <c r="G32">
        <f t="shared" si="0"/>
        <v>16500</v>
      </c>
      <c r="I32">
        <v>30</v>
      </c>
      <c r="J32" s="51">
        <f t="shared" si="1"/>
        <v>0</v>
      </c>
      <c r="L32">
        <v>30</v>
      </c>
      <c r="M32" s="51">
        <f ca="1">IFERROR(OFFSET($E$2,MATCH(金币平衡!C57,$F$3:$F$302,1),0),0)</f>
        <v>7500</v>
      </c>
      <c r="N32" s="51">
        <f t="shared" si="2"/>
        <v>4125</v>
      </c>
    </row>
    <row r="33" spans="2:14">
      <c r="B33" s="47">
        <v>31</v>
      </c>
      <c r="C33" s="47">
        <v>17976</v>
      </c>
      <c r="D33" s="47">
        <v>64000</v>
      </c>
      <c r="E33" s="79">
        <v>16000</v>
      </c>
      <c r="F33" s="47">
        <v>193</v>
      </c>
      <c r="G33">
        <f t="shared" si="0"/>
        <v>17000</v>
      </c>
      <c r="I33">
        <v>31</v>
      </c>
      <c r="J33" s="51">
        <f t="shared" si="1"/>
        <v>11000</v>
      </c>
      <c r="L33">
        <v>31</v>
      </c>
      <c r="M33" s="51">
        <f ca="1">IFERROR(OFFSET($E$2,MATCH(金币平衡!C58,$F$3:$F$302,1),0),0)</f>
        <v>7500</v>
      </c>
      <c r="N33" s="51">
        <f t="shared" si="2"/>
        <v>4250</v>
      </c>
    </row>
    <row r="34" spans="2:14">
      <c r="B34" s="47">
        <v>32</v>
      </c>
      <c r="C34" s="47">
        <v>19596</v>
      </c>
      <c r="D34" s="47">
        <v>66000</v>
      </c>
      <c r="E34" s="79">
        <v>16500</v>
      </c>
      <c r="F34" s="47">
        <v>198</v>
      </c>
      <c r="G34">
        <f t="shared" si="0"/>
        <v>17500</v>
      </c>
      <c r="I34">
        <v>32</v>
      </c>
      <c r="J34" s="51">
        <f t="shared" si="1"/>
        <v>0</v>
      </c>
      <c r="L34">
        <v>32</v>
      </c>
      <c r="M34" s="51">
        <f ca="1">IFERROR(OFFSET($E$2,MATCH(金币平衡!C59,$F$3:$F$302,1),0),0)</f>
        <v>7500</v>
      </c>
      <c r="N34" s="51">
        <f t="shared" si="2"/>
        <v>4375</v>
      </c>
    </row>
    <row r="35" spans="2:14">
      <c r="B35" s="47">
        <v>33</v>
      </c>
      <c r="C35" s="47">
        <v>20406</v>
      </c>
      <c r="D35" s="47">
        <v>68000</v>
      </c>
      <c r="E35" s="79">
        <v>17000</v>
      </c>
      <c r="F35" s="47">
        <v>203</v>
      </c>
      <c r="G35">
        <f t="shared" si="0"/>
        <v>18000</v>
      </c>
      <c r="I35">
        <v>33</v>
      </c>
      <c r="J35" s="51">
        <f t="shared" si="1"/>
        <v>0</v>
      </c>
      <c r="L35">
        <v>33</v>
      </c>
      <c r="M35" s="51">
        <f ca="1">IFERROR(OFFSET($E$2,MATCH(金币平衡!C60,$F$3:$F$302,1),0),0)</f>
        <v>7500</v>
      </c>
      <c r="N35" s="51">
        <f t="shared" si="2"/>
        <v>4500</v>
      </c>
    </row>
    <row r="36" spans="2:14">
      <c r="B36" s="47">
        <v>34</v>
      </c>
      <c r="C36" s="47">
        <v>21606</v>
      </c>
      <c r="D36" s="47">
        <v>70000</v>
      </c>
      <c r="E36" s="79">
        <v>17500</v>
      </c>
      <c r="F36" s="47">
        <v>208</v>
      </c>
      <c r="G36">
        <f t="shared" si="0"/>
        <v>18500</v>
      </c>
      <c r="I36">
        <v>34</v>
      </c>
      <c r="J36" s="51">
        <f t="shared" si="1"/>
        <v>12000</v>
      </c>
      <c r="L36">
        <v>34</v>
      </c>
      <c r="M36" s="51">
        <f ca="1">IFERROR(OFFSET($E$2,MATCH(金币平衡!C61,$F$3:$F$302,1),0),0)</f>
        <v>7750</v>
      </c>
      <c r="N36" s="51">
        <f t="shared" si="2"/>
        <v>4625</v>
      </c>
    </row>
    <row r="37" spans="2:14">
      <c r="B37" s="47">
        <v>35</v>
      </c>
      <c r="C37" s="47">
        <v>22506</v>
      </c>
      <c r="D37" s="47">
        <v>72000</v>
      </c>
      <c r="E37" s="79">
        <v>18000</v>
      </c>
      <c r="F37" s="47">
        <v>215</v>
      </c>
      <c r="G37">
        <f t="shared" si="0"/>
        <v>19000</v>
      </c>
      <c r="I37">
        <v>35</v>
      </c>
      <c r="J37" s="51">
        <f t="shared" si="1"/>
        <v>0</v>
      </c>
      <c r="L37">
        <v>35</v>
      </c>
      <c r="M37" s="51">
        <f ca="1">IFERROR(OFFSET($E$2,MATCH(金币平衡!C62,$F$3:$F$302,1),0),0)</f>
        <v>7750</v>
      </c>
      <c r="N37" s="51">
        <f t="shared" si="2"/>
        <v>4750</v>
      </c>
    </row>
    <row r="38" spans="2:14">
      <c r="B38" s="47">
        <v>36</v>
      </c>
      <c r="C38" s="47">
        <v>23406</v>
      </c>
      <c r="D38" s="47">
        <v>74000</v>
      </c>
      <c r="E38" s="79">
        <v>18500</v>
      </c>
      <c r="F38" s="47">
        <v>223</v>
      </c>
      <c r="G38">
        <f t="shared" si="0"/>
        <v>19500</v>
      </c>
      <c r="I38">
        <v>36</v>
      </c>
      <c r="J38" s="51">
        <f t="shared" si="1"/>
        <v>0</v>
      </c>
      <c r="L38">
        <v>36</v>
      </c>
      <c r="M38" s="51">
        <f ca="1">IFERROR(OFFSET($E$2,MATCH(金币平衡!C63,$F$3:$F$302,1),0),0)</f>
        <v>7750</v>
      </c>
      <c r="N38" s="51">
        <f t="shared" si="2"/>
        <v>4875</v>
      </c>
    </row>
    <row r="39" spans="2:14">
      <c r="B39" s="47">
        <v>37</v>
      </c>
      <c r="C39" s="47">
        <v>25014</v>
      </c>
      <c r="D39" s="47">
        <v>76000</v>
      </c>
      <c r="E39" s="79">
        <v>19000</v>
      </c>
      <c r="F39" s="47">
        <v>228</v>
      </c>
      <c r="G39">
        <f t="shared" si="0"/>
        <v>20000</v>
      </c>
      <c r="I39">
        <v>37</v>
      </c>
      <c r="J39" s="51">
        <f t="shared" si="1"/>
        <v>0</v>
      </c>
      <c r="L39">
        <v>37</v>
      </c>
      <c r="M39" s="51">
        <f ca="1">IFERROR(OFFSET($E$2,MATCH(金币平衡!C64,$F$3:$F$302,1),0),0)</f>
        <v>7750</v>
      </c>
      <c r="N39" s="51">
        <f t="shared" si="2"/>
        <v>5000</v>
      </c>
    </row>
    <row r="40" spans="2:14">
      <c r="B40" s="47">
        <v>38</v>
      </c>
      <c r="C40" s="47">
        <v>25794</v>
      </c>
      <c r="D40" s="47">
        <v>78000</v>
      </c>
      <c r="E40" s="79">
        <v>19500</v>
      </c>
      <c r="F40" s="47">
        <v>233</v>
      </c>
      <c r="G40">
        <f t="shared" si="0"/>
        <v>20500</v>
      </c>
      <c r="I40">
        <v>38</v>
      </c>
      <c r="J40" s="51">
        <f t="shared" si="1"/>
        <v>13000</v>
      </c>
      <c r="L40">
        <v>38</v>
      </c>
      <c r="M40" s="51">
        <f ca="1">IFERROR(OFFSET($E$2,MATCH(金币平衡!C65,$F$3:$F$302,1),0),0)</f>
        <v>8000</v>
      </c>
      <c r="N40" s="51">
        <f t="shared" si="2"/>
        <v>5125</v>
      </c>
    </row>
    <row r="41" spans="2:14">
      <c r="B41" s="47">
        <v>39</v>
      </c>
      <c r="C41" s="47">
        <v>26454</v>
      </c>
      <c r="D41" s="47">
        <v>80000</v>
      </c>
      <c r="E41" s="79">
        <v>20000</v>
      </c>
      <c r="F41" s="47">
        <v>238</v>
      </c>
      <c r="G41">
        <f t="shared" si="0"/>
        <v>21000</v>
      </c>
      <c r="I41">
        <v>39</v>
      </c>
      <c r="J41" s="51">
        <f t="shared" si="1"/>
        <v>0</v>
      </c>
      <c r="L41">
        <v>39</v>
      </c>
      <c r="M41" s="51">
        <f ca="1">IFERROR(OFFSET($E$2,MATCH(金币平衡!C66,$F$3:$F$302,1),0),0)</f>
        <v>8000</v>
      </c>
      <c r="N41" s="51">
        <f t="shared" si="2"/>
        <v>5250</v>
      </c>
    </row>
    <row r="42" spans="2:14">
      <c r="B42" s="47">
        <v>40</v>
      </c>
      <c r="C42" s="47">
        <v>27444</v>
      </c>
      <c r="D42" s="47">
        <v>82000</v>
      </c>
      <c r="E42" s="79">
        <v>20500</v>
      </c>
      <c r="F42" s="47">
        <v>245</v>
      </c>
      <c r="G42">
        <f t="shared" si="0"/>
        <v>21500</v>
      </c>
      <c r="I42">
        <v>40</v>
      </c>
      <c r="J42" s="51">
        <f t="shared" si="1"/>
        <v>0</v>
      </c>
      <c r="L42">
        <v>40</v>
      </c>
      <c r="M42" s="51">
        <f ca="1">IFERROR(OFFSET($E$2,MATCH(金币平衡!C67,$F$3:$F$302,1),0),0)</f>
        <v>8000</v>
      </c>
      <c r="N42" s="51">
        <f t="shared" si="2"/>
        <v>5375</v>
      </c>
    </row>
    <row r="43" spans="2:14">
      <c r="B43" s="47">
        <v>41</v>
      </c>
      <c r="C43" s="47">
        <v>28524</v>
      </c>
      <c r="D43" s="47">
        <v>84000</v>
      </c>
      <c r="E43" s="79">
        <v>21000</v>
      </c>
      <c r="F43" s="47">
        <v>253</v>
      </c>
      <c r="G43">
        <f t="shared" si="0"/>
        <v>22000</v>
      </c>
      <c r="I43">
        <v>41</v>
      </c>
      <c r="J43" s="51">
        <f t="shared" si="1"/>
        <v>14000</v>
      </c>
      <c r="L43">
        <v>41</v>
      </c>
      <c r="M43" s="51">
        <f ca="1">IFERROR(OFFSET($E$2,MATCH(金币平衡!C68,$F$3:$F$302,1),0),0)</f>
        <v>8000</v>
      </c>
      <c r="N43" s="51">
        <f t="shared" si="2"/>
        <v>5500</v>
      </c>
    </row>
    <row r="44" spans="2:14">
      <c r="B44" s="47"/>
      <c r="C44" s="47"/>
      <c r="D44" s="47"/>
      <c r="E44" s="79"/>
      <c r="F44" s="47"/>
      <c r="G44">
        <f t="shared" si="0"/>
        <v>22500</v>
      </c>
      <c r="I44">
        <v>42</v>
      </c>
      <c r="J44" s="51">
        <f t="shared" si="1"/>
        <v>0</v>
      </c>
      <c r="L44">
        <v>42</v>
      </c>
      <c r="M44" s="51">
        <f ca="1">IFERROR(OFFSET($E$2,MATCH(金币平衡!C69,$F$3:$F$302,1),0),0)</f>
        <v>8250</v>
      </c>
      <c r="N44" s="51">
        <f t="shared" si="2"/>
        <v>5625</v>
      </c>
    </row>
    <row r="45" spans="2:14">
      <c r="B45" s="47"/>
      <c r="C45" s="47"/>
      <c r="D45" s="47"/>
      <c r="E45" s="79"/>
      <c r="F45" s="47"/>
      <c r="G45">
        <f t="shared" si="0"/>
        <v>23000</v>
      </c>
      <c r="I45">
        <v>43</v>
      </c>
      <c r="J45" s="51">
        <f t="shared" si="1"/>
        <v>0</v>
      </c>
      <c r="L45">
        <v>43</v>
      </c>
      <c r="M45" s="51">
        <f ca="1">IFERROR(OFFSET($E$2,MATCH(金币平衡!C70,$F$3:$F$302,1),0),0)</f>
        <v>8250</v>
      </c>
      <c r="N45" s="51">
        <f t="shared" si="2"/>
        <v>5750</v>
      </c>
    </row>
    <row r="46" spans="2:14">
      <c r="B46" s="47"/>
      <c r="C46" s="47"/>
      <c r="D46" s="47"/>
      <c r="E46" s="79"/>
      <c r="F46" s="47"/>
      <c r="G46">
        <f t="shared" si="0"/>
        <v>23500</v>
      </c>
      <c r="I46">
        <v>44</v>
      </c>
      <c r="J46" s="51">
        <f t="shared" si="1"/>
        <v>15000</v>
      </c>
      <c r="L46">
        <v>44</v>
      </c>
      <c r="M46" s="51">
        <f ca="1">IFERROR(OFFSET($E$2,MATCH(金币平衡!C71,$F$3:$F$302,1),0),0)</f>
        <v>8250</v>
      </c>
      <c r="N46" s="51">
        <f t="shared" si="2"/>
        <v>5875</v>
      </c>
    </row>
    <row r="47" spans="2:14">
      <c r="B47" s="47"/>
      <c r="C47" s="47"/>
      <c r="D47" s="47"/>
      <c r="E47" s="79"/>
      <c r="F47" s="47"/>
      <c r="G47">
        <f t="shared" si="0"/>
        <v>24000</v>
      </c>
      <c r="I47">
        <v>45</v>
      </c>
      <c r="J47" s="51">
        <f t="shared" si="1"/>
        <v>0</v>
      </c>
      <c r="L47">
        <v>45</v>
      </c>
      <c r="M47" s="51">
        <f ca="1">IFERROR(OFFSET($E$2,MATCH(金币平衡!C72,$F$3:$F$302,1),0),0)</f>
        <v>8250</v>
      </c>
      <c r="N47" s="51">
        <f t="shared" si="2"/>
        <v>6000</v>
      </c>
    </row>
    <row r="48" spans="2:14">
      <c r="B48" s="47"/>
      <c r="C48" s="47"/>
      <c r="D48" s="47"/>
      <c r="E48" s="79"/>
      <c r="F48" s="47"/>
      <c r="G48">
        <f t="shared" si="0"/>
        <v>24500</v>
      </c>
      <c r="I48">
        <v>46</v>
      </c>
      <c r="J48" s="51">
        <f t="shared" si="1"/>
        <v>0</v>
      </c>
      <c r="L48">
        <v>46</v>
      </c>
      <c r="M48" s="51">
        <f ca="1">IFERROR(OFFSET($E$2,MATCH(金币平衡!C73,$F$3:$F$302,1),0),0)</f>
        <v>8500</v>
      </c>
      <c r="N48" s="51">
        <f t="shared" si="2"/>
        <v>6125</v>
      </c>
    </row>
    <row r="49" spans="2:14">
      <c r="B49" s="47"/>
      <c r="C49" s="47"/>
      <c r="D49" s="47"/>
      <c r="E49" s="79"/>
      <c r="F49" s="47"/>
      <c r="G49">
        <f t="shared" si="0"/>
        <v>25000</v>
      </c>
      <c r="I49">
        <v>47</v>
      </c>
      <c r="J49" s="51">
        <f t="shared" si="1"/>
        <v>16000</v>
      </c>
      <c r="L49">
        <v>47</v>
      </c>
      <c r="M49" s="51">
        <f ca="1">IFERROR(OFFSET($E$2,MATCH(金币平衡!C74,$F$3:$F$302,1),0),0)</f>
        <v>8500</v>
      </c>
      <c r="N49" s="51">
        <f t="shared" si="2"/>
        <v>6250</v>
      </c>
    </row>
    <row r="50" spans="2:14">
      <c r="B50" s="47"/>
      <c r="C50" s="47"/>
      <c r="D50" s="47"/>
      <c r="E50" s="79"/>
      <c r="F50" s="47"/>
      <c r="G50">
        <f t="shared" si="0"/>
        <v>25500</v>
      </c>
      <c r="I50">
        <v>48</v>
      </c>
      <c r="J50" s="51">
        <f t="shared" si="1"/>
        <v>0</v>
      </c>
      <c r="L50">
        <v>48</v>
      </c>
      <c r="M50" s="51">
        <f ca="1">IFERROR(OFFSET($E$2,MATCH(金币平衡!C75,$F$3:$F$302,1),0),0)</f>
        <v>8500</v>
      </c>
      <c r="N50" s="51">
        <f t="shared" si="2"/>
        <v>6375</v>
      </c>
    </row>
    <row r="51" spans="2:14">
      <c r="B51" s="47"/>
      <c r="C51" s="47"/>
      <c r="D51" s="47"/>
      <c r="E51" s="79"/>
      <c r="F51" s="47"/>
      <c r="G51">
        <f t="shared" si="0"/>
        <v>26000</v>
      </c>
      <c r="I51">
        <v>49</v>
      </c>
      <c r="J51" s="51">
        <f t="shared" si="1"/>
        <v>0</v>
      </c>
      <c r="L51">
        <v>49</v>
      </c>
      <c r="M51" s="51">
        <f ca="1">IFERROR(OFFSET($E$2,MATCH(金币平衡!C76,$F$3:$F$302,1),0),0)</f>
        <v>8500</v>
      </c>
      <c r="N51" s="51">
        <f t="shared" si="2"/>
        <v>6500</v>
      </c>
    </row>
    <row r="52" spans="2:14">
      <c r="B52" s="47"/>
      <c r="C52" s="47"/>
      <c r="D52" s="47"/>
      <c r="E52" s="79"/>
      <c r="F52" s="47"/>
      <c r="G52">
        <f t="shared" si="0"/>
        <v>26500</v>
      </c>
      <c r="I52">
        <v>50</v>
      </c>
      <c r="J52" s="51">
        <f t="shared" si="1"/>
        <v>0</v>
      </c>
      <c r="L52">
        <v>50</v>
      </c>
      <c r="M52" s="51">
        <f ca="1">IFERROR(OFFSET($E$2,MATCH(金币平衡!C77,$F$3:$F$302,1),0),0)</f>
        <v>8750</v>
      </c>
      <c r="N52" s="51">
        <f t="shared" si="2"/>
        <v>6625</v>
      </c>
    </row>
    <row r="53" spans="2:14">
      <c r="B53" s="47"/>
      <c r="C53" s="47"/>
      <c r="D53" s="47"/>
      <c r="E53" s="51">
        <v>0</v>
      </c>
      <c r="F53" s="47"/>
      <c r="I53">
        <v>51</v>
      </c>
      <c r="J53" s="51">
        <f t="shared" si="1"/>
        <v>17000</v>
      </c>
      <c r="L53">
        <v>51</v>
      </c>
      <c r="M53" s="51">
        <f ca="1">IFERROR(OFFSET($E$2,MATCH(金币平衡!C78,$F$3:$F$302,1),0),0)</f>
        <v>8750</v>
      </c>
      <c r="N53" s="51">
        <f t="shared" si="2"/>
        <v>0</v>
      </c>
    </row>
    <row r="54" spans="2:14">
      <c r="B54" s="47"/>
      <c r="C54" s="47"/>
      <c r="D54" s="47"/>
      <c r="E54" s="51">
        <v>0</v>
      </c>
      <c r="F54" s="47"/>
      <c r="I54">
        <v>52</v>
      </c>
      <c r="J54" s="51">
        <f t="shared" si="1"/>
        <v>0</v>
      </c>
      <c r="L54">
        <v>52</v>
      </c>
      <c r="M54" s="51">
        <f ca="1">IFERROR(OFFSET($E$2,MATCH(金币平衡!C79,$F$3:$F$302,1),0),0)</f>
        <v>8750</v>
      </c>
      <c r="N54" s="51">
        <f t="shared" si="2"/>
        <v>0</v>
      </c>
    </row>
    <row r="55" spans="2:14">
      <c r="B55" s="47"/>
      <c r="C55" s="47"/>
      <c r="D55" s="47"/>
      <c r="E55" s="51">
        <v>0</v>
      </c>
      <c r="F55" s="47"/>
      <c r="I55">
        <v>53</v>
      </c>
      <c r="J55" s="51">
        <f t="shared" si="1"/>
        <v>0</v>
      </c>
      <c r="L55">
        <v>53</v>
      </c>
      <c r="M55" s="51">
        <f ca="1">IFERROR(OFFSET($E$2,MATCH(金币平衡!C80,$F$3:$F$302,1),0),0)</f>
        <v>8750</v>
      </c>
      <c r="N55" s="51">
        <f t="shared" si="2"/>
        <v>0</v>
      </c>
    </row>
    <row r="56" spans="2:14">
      <c r="B56" s="47"/>
      <c r="C56" s="47"/>
      <c r="D56" s="47"/>
      <c r="E56" s="51">
        <v>0</v>
      </c>
      <c r="F56" s="47"/>
      <c r="I56">
        <v>54</v>
      </c>
      <c r="J56" s="51">
        <f t="shared" si="1"/>
        <v>0</v>
      </c>
      <c r="L56">
        <v>54</v>
      </c>
      <c r="M56" s="51">
        <f ca="1">IFERROR(OFFSET($E$2,MATCH(金币平衡!C81,$F$3:$F$302,1),0),0)</f>
        <v>9000</v>
      </c>
      <c r="N56" s="51">
        <f t="shared" si="2"/>
        <v>0</v>
      </c>
    </row>
    <row r="57" spans="2:14">
      <c r="B57" s="47"/>
      <c r="C57" s="47"/>
      <c r="D57" s="47"/>
      <c r="E57" s="51">
        <v>0</v>
      </c>
      <c r="F57" s="47"/>
      <c r="I57">
        <v>55</v>
      </c>
      <c r="J57" s="51">
        <f t="shared" si="1"/>
        <v>18000</v>
      </c>
      <c r="L57">
        <v>55</v>
      </c>
      <c r="M57" s="51">
        <f ca="1">IFERROR(OFFSET($E$2,MATCH(金币平衡!C82,$F$3:$F$302,1),0),0)</f>
        <v>9000</v>
      </c>
      <c r="N57" s="51">
        <f t="shared" si="2"/>
        <v>0</v>
      </c>
    </row>
    <row r="58" spans="2:14">
      <c r="B58" s="47"/>
      <c r="C58" s="47"/>
      <c r="D58" s="47"/>
      <c r="E58" s="51">
        <v>0</v>
      </c>
      <c r="F58" s="47"/>
      <c r="I58">
        <v>56</v>
      </c>
      <c r="J58" s="51">
        <f t="shared" si="1"/>
        <v>0</v>
      </c>
      <c r="L58">
        <v>56</v>
      </c>
      <c r="M58" s="51">
        <f ca="1">IFERROR(OFFSET($E$2,MATCH(金币平衡!C83,$F$3:$F$302,1),0),0)</f>
        <v>9000</v>
      </c>
      <c r="N58" s="51">
        <f t="shared" si="2"/>
        <v>0</v>
      </c>
    </row>
    <row r="59" spans="2:14">
      <c r="B59" s="47"/>
      <c r="C59" s="47"/>
      <c r="D59" s="47"/>
      <c r="E59" s="51">
        <v>0</v>
      </c>
      <c r="F59" s="47"/>
      <c r="I59">
        <v>57</v>
      </c>
      <c r="J59" s="51">
        <f t="shared" si="1"/>
        <v>0</v>
      </c>
      <c r="L59">
        <v>57</v>
      </c>
      <c r="M59" s="51">
        <f ca="1">IFERROR(OFFSET($E$2,MATCH(金币平衡!C84,$F$3:$F$302,1),0),0)</f>
        <v>9000</v>
      </c>
      <c r="N59" s="51">
        <f t="shared" si="2"/>
        <v>0</v>
      </c>
    </row>
    <row r="60" spans="2:14">
      <c r="B60" s="47"/>
      <c r="C60" s="47"/>
      <c r="D60" s="47"/>
      <c r="E60" s="51">
        <v>0</v>
      </c>
      <c r="F60" s="47"/>
      <c r="I60">
        <v>58</v>
      </c>
      <c r="J60" s="51">
        <f t="shared" si="1"/>
        <v>0</v>
      </c>
      <c r="L60">
        <v>58</v>
      </c>
      <c r="M60" s="51">
        <f ca="1">IFERROR(OFFSET($E$2,MATCH(金币平衡!C85,$F$3:$F$302,1),0),0)</f>
        <v>9250</v>
      </c>
      <c r="N60" s="51">
        <f t="shared" si="2"/>
        <v>0</v>
      </c>
    </row>
    <row r="61" spans="2:14">
      <c r="B61" s="47"/>
      <c r="C61" s="47"/>
      <c r="D61" s="47"/>
      <c r="E61" s="51">
        <v>0</v>
      </c>
      <c r="F61" s="47"/>
      <c r="I61">
        <v>59</v>
      </c>
      <c r="J61" s="51">
        <f t="shared" si="1"/>
        <v>19000</v>
      </c>
      <c r="L61">
        <v>59</v>
      </c>
      <c r="M61" s="51">
        <f ca="1">IFERROR(OFFSET($E$2,MATCH(金币平衡!C86,$F$3:$F$302,1),0),0)</f>
        <v>9250</v>
      </c>
      <c r="N61" s="51">
        <f t="shared" si="2"/>
        <v>0</v>
      </c>
    </row>
    <row r="62" spans="2:14">
      <c r="B62" s="47"/>
      <c r="C62" s="47"/>
      <c r="D62" s="47"/>
      <c r="E62" s="51">
        <v>0</v>
      </c>
      <c r="F62" s="47"/>
      <c r="I62">
        <v>60</v>
      </c>
      <c r="J62" s="51">
        <f t="shared" si="1"/>
        <v>0</v>
      </c>
      <c r="L62">
        <v>60</v>
      </c>
      <c r="M62" s="51">
        <f ca="1">IFERROR(OFFSET($E$2,MATCH(金币平衡!C87,$F$3:$F$302,1),0),0)</f>
        <v>9250</v>
      </c>
      <c r="N62" s="51">
        <f t="shared" si="2"/>
        <v>0</v>
      </c>
    </row>
    <row r="63" spans="2:14">
      <c r="B63" s="47"/>
      <c r="C63" s="47"/>
      <c r="D63" s="47"/>
      <c r="E63" s="51">
        <v>0</v>
      </c>
      <c r="F63" s="47"/>
      <c r="I63">
        <v>61</v>
      </c>
      <c r="J63" s="51">
        <f t="shared" si="1"/>
        <v>0</v>
      </c>
      <c r="L63">
        <v>61</v>
      </c>
      <c r="M63" s="51">
        <f ca="1">IFERROR(OFFSET($E$2,MATCH(金币平衡!C88,$F$3:$F$302,1),0),0)</f>
        <v>9250</v>
      </c>
      <c r="N63" s="51">
        <f t="shared" si="2"/>
        <v>0</v>
      </c>
    </row>
    <row r="64" spans="2:14">
      <c r="B64" s="47"/>
      <c r="C64" s="47"/>
      <c r="D64" s="47"/>
      <c r="E64" s="51">
        <v>0</v>
      </c>
      <c r="F64" s="47"/>
      <c r="I64">
        <v>62</v>
      </c>
      <c r="J64" s="51">
        <f t="shared" si="1"/>
        <v>0</v>
      </c>
      <c r="L64">
        <v>62</v>
      </c>
      <c r="M64" s="51">
        <f ca="1">IFERROR(OFFSET($E$2,MATCH(金币平衡!C89,$F$3:$F$302,1),0),0)</f>
        <v>9500</v>
      </c>
      <c r="N64" s="51">
        <f t="shared" si="2"/>
        <v>0</v>
      </c>
    </row>
    <row r="65" spans="2:14">
      <c r="B65" s="47"/>
      <c r="C65" s="47"/>
      <c r="D65" s="47"/>
      <c r="E65" s="51">
        <v>0</v>
      </c>
      <c r="F65" s="47"/>
      <c r="I65">
        <v>63</v>
      </c>
      <c r="J65" s="51">
        <f t="shared" si="1"/>
        <v>20000</v>
      </c>
      <c r="L65">
        <v>63</v>
      </c>
      <c r="M65" s="51">
        <f ca="1">IFERROR(OFFSET($E$2,MATCH(金币平衡!C90,$F$3:$F$302,1),0),0)</f>
        <v>9500</v>
      </c>
      <c r="N65" s="51">
        <f t="shared" si="2"/>
        <v>0</v>
      </c>
    </row>
    <row r="66" spans="2:14">
      <c r="B66" s="47"/>
      <c r="C66" s="47"/>
      <c r="D66" s="47"/>
      <c r="E66" s="51">
        <v>0</v>
      </c>
      <c r="F66" s="47"/>
      <c r="I66">
        <v>64</v>
      </c>
      <c r="J66" s="51">
        <f t="shared" si="1"/>
        <v>0</v>
      </c>
      <c r="L66">
        <v>64</v>
      </c>
      <c r="M66" s="51">
        <f ca="1">IFERROR(OFFSET($E$2,MATCH(金币平衡!C91,$F$3:$F$302,1),0),0)</f>
        <v>9500</v>
      </c>
      <c r="N66" s="51">
        <f t="shared" si="2"/>
        <v>0</v>
      </c>
    </row>
    <row r="67" spans="2:14">
      <c r="B67" s="47"/>
      <c r="C67" s="47"/>
      <c r="D67" s="47"/>
      <c r="E67" s="51">
        <v>0</v>
      </c>
      <c r="F67" s="47"/>
      <c r="I67">
        <v>65</v>
      </c>
      <c r="J67" s="51">
        <f t="shared" ref="J67:J130" si="3">SUMIF($F$3:$F$302,I67,$D$3:$D$302)</f>
        <v>0</v>
      </c>
      <c r="L67">
        <v>65</v>
      </c>
      <c r="M67" s="51">
        <f ca="1">IFERROR(OFFSET($E$2,MATCH(金币平衡!C92,$F$3:$F$302,1),0),0)</f>
        <v>9500</v>
      </c>
      <c r="N67" s="51">
        <f t="shared" ref="N67:N130" si="4">E67/2</f>
        <v>0</v>
      </c>
    </row>
    <row r="68" spans="2:14">
      <c r="B68" s="47"/>
      <c r="C68" s="47"/>
      <c r="D68" s="47"/>
      <c r="E68" s="51">
        <v>0</v>
      </c>
      <c r="F68" s="47"/>
      <c r="I68">
        <v>66</v>
      </c>
      <c r="J68" s="51">
        <f t="shared" si="3"/>
        <v>0</v>
      </c>
      <c r="L68">
        <v>66</v>
      </c>
      <c r="M68" s="51">
        <f ca="1">IFERROR(OFFSET($E$2,MATCH(金币平衡!C93,$F$3:$F$302,1),0),0)</f>
        <v>9750</v>
      </c>
      <c r="N68" s="51">
        <f t="shared" si="4"/>
        <v>0</v>
      </c>
    </row>
    <row r="69" spans="2:14">
      <c r="B69" s="47"/>
      <c r="C69" s="47"/>
      <c r="D69" s="47"/>
      <c r="E69" s="51">
        <v>0</v>
      </c>
      <c r="F69" s="47"/>
      <c r="I69">
        <v>67</v>
      </c>
      <c r="J69" s="51">
        <f t="shared" si="3"/>
        <v>21000</v>
      </c>
      <c r="L69">
        <v>67</v>
      </c>
      <c r="M69" s="51">
        <f ca="1">IFERROR(OFFSET($E$2,MATCH(金币平衡!C94,$F$3:$F$302,1),0),0)</f>
        <v>9750</v>
      </c>
      <c r="N69" s="51">
        <f t="shared" si="4"/>
        <v>0</v>
      </c>
    </row>
    <row r="70" spans="2:14">
      <c r="B70" s="47"/>
      <c r="C70" s="47"/>
      <c r="D70" s="47"/>
      <c r="E70" s="51">
        <v>0</v>
      </c>
      <c r="F70" s="47"/>
      <c r="I70">
        <v>68</v>
      </c>
      <c r="J70" s="51">
        <f t="shared" si="3"/>
        <v>0</v>
      </c>
      <c r="L70">
        <v>68</v>
      </c>
      <c r="M70" s="51">
        <f ca="1">IFERROR(OFFSET($E$2,MATCH(金币平衡!C95,$F$3:$F$302,1),0),0)</f>
        <v>9750</v>
      </c>
      <c r="N70" s="51">
        <f t="shared" si="4"/>
        <v>0</v>
      </c>
    </row>
    <row r="71" spans="2:14">
      <c r="B71" s="47"/>
      <c r="C71" s="47"/>
      <c r="D71" s="47"/>
      <c r="E71" s="51">
        <v>0</v>
      </c>
      <c r="F71" s="47"/>
      <c r="I71">
        <v>69</v>
      </c>
      <c r="J71" s="51">
        <f t="shared" si="3"/>
        <v>0</v>
      </c>
      <c r="L71">
        <v>69</v>
      </c>
      <c r="M71" s="51">
        <f ca="1">IFERROR(OFFSET($E$2,MATCH(金币平衡!C96,$F$3:$F$302,1),0),0)</f>
        <v>9750</v>
      </c>
      <c r="N71" s="51">
        <f t="shared" si="4"/>
        <v>0</v>
      </c>
    </row>
    <row r="72" spans="2:14">
      <c r="B72" s="47"/>
      <c r="C72" s="47"/>
      <c r="D72" s="47"/>
      <c r="E72" s="51">
        <v>0</v>
      </c>
      <c r="F72" s="47"/>
      <c r="I72">
        <v>70</v>
      </c>
      <c r="J72" s="51">
        <f t="shared" si="3"/>
        <v>0</v>
      </c>
      <c r="L72">
        <v>70</v>
      </c>
      <c r="M72" s="51">
        <f ca="1">IFERROR(OFFSET($E$2,MATCH(金币平衡!C97,$F$3:$F$302,1),0),0)</f>
        <v>10000</v>
      </c>
      <c r="N72" s="51">
        <f t="shared" si="4"/>
        <v>0</v>
      </c>
    </row>
    <row r="73" spans="2:14">
      <c r="B73" s="47"/>
      <c r="C73" s="47"/>
      <c r="D73" s="47"/>
      <c r="E73" s="51">
        <v>0</v>
      </c>
      <c r="F73" s="47"/>
      <c r="I73">
        <v>71</v>
      </c>
      <c r="J73" s="51">
        <f t="shared" si="3"/>
        <v>22000</v>
      </c>
      <c r="L73">
        <v>71</v>
      </c>
      <c r="M73" s="51">
        <f ca="1">IFERROR(OFFSET($E$2,MATCH(金币平衡!C98,$F$3:$F$302,1),0),0)</f>
        <v>10000</v>
      </c>
      <c r="N73" s="51">
        <f t="shared" si="4"/>
        <v>0</v>
      </c>
    </row>
    <row r="74" spans="2:14">
      <c r="B74" s="47"/>
      <c r="C74" s="47"/>
      <c r="D74" s="47"/>
      <c r="E74" s="51">
        <v>0</v>
      </c>
      <c r="F74" s="47"/>
      <c r="I74">
        <v>72</v>
      </c>
      <c r="J74" s="51">
        <f t="shared" si="3"/>
        <v>0</v>
      </c>
      <c r="L74">
        <v>72</v>
      </c>
      <c r="M74" s="51">
        <f ca="1">IFERROR(OFFSET($E$2,MATCH(金币平衡!C99,$F$3:$F$302,1),0),0)</f>
        <v>10000</v>
      </c>
      <c r="N74" s="51">
        <f t="shared" si="4"/>
        <v>0</v>
      </c>
    </row>
    <row r="75" spans="2:14">
      <c r="B75" s="47"/>
      <c r="C75" s="47"/>
      <c r="D75" s="47"/>
      <c r="E75" s="51">
        <v>0</v>
      </c>
      <c r="F75" s="47"/>
      <c r="I75">
        <v>73</v>
      </c>
      <c r="J75" s="51">
        <f t="shared" si="3"/>
        <v>0</v>
      </c>
      <c r="L75">
        <v>73</v>
      </c>
      <c r="M75" s="51">
        <f ca="1">IFERROR(OFFSET($E$2,MATCH(金币平衡!C100,$F$3:$F$302,1),0),0)</f>
        <v>10000</v>
      </c>
      <c r="N75" s="51">
        <f t="shared" si="4"/>
        <v>0</v>
      </c>
    </row>
    <row r="76" spans="2:14">
      <c r="B76" s="47"/>
      <c r="C76" s="47"/>
      <c r="D76" s="47"/>
      <c r="E76" s="51">
        <v>0</v>
      </c>
      <c r="F76" s="47"/>
      <c r="I76">
        <v>74</v>
      </c>
      <c r="J76" s="51">
        <f t="shared" si="3"/>
        <v>0</v>
      </c>
      <c r="L76">
        <v>74</v>
      </c>
      <c r="M76" s="51">
        <f ca="1">IFERROR(OFFSET($E$2,MATCH(金币平衡!C101,$F$3:$F$302,1),0),0)</f>
        <v>10250</v>
      </c>
      <c r="N76" s="51">
        <f t="shared" si="4"/>
        <v>0</v>
      </c>
    </row>
    <row r="77" spans="2:14">
      <c r="B77" s="47"/>
      <c r="C77" s="47"/>
      <c r="D77" s="47"/>
      <c r="E77" s="51">
        <v>0</v>
      </c>
      <c r="F77" s="47"/>
      <c r="I77">
        <v>75</v>
      </c>
      <c r="J77" s="51">
        <f t="shared" si="3"/>
        <v>23000</v>
      </c>
      <c r="L77">
        <v>75</v>
      </c>
      <c r="M77" s="51">
        <f ca="1">IFERROR(OFFSET($E$2,MATCH(金币平衡!C102,$F$3:$F$302,1),0),0)</f>
        <v>10250</v>
      </c>
      <c r="N77" s="51">
        <f t="shared" si="4"/>
        <v>0</v>
      </c>
    </row>
    <row r="78" spans="2:14">
      <c r="B78" s="47"/>
      <c r="C78" s="47"/>
      <c r="D78" s="47"/>
      <c r="E78" s="51">
        <v>0</v>
      </c>
      <c r="F78" s="47"/>
      <c r="I78">
        <v>76</v>
      </c>
      <c r="J78" s="51">
        <f t="shared" si="3"/>
        <v>0</v>
      </c>
      <c r="L78">
        <v>76</v>
      </c>
      <c r="M78" s="51">
        <f ca="1">IFERROR(OFFSET($E$2,MATCH(金币平衡!C103,$F$3:$F$302,1),0),0)</f>
        <v>10250</v>
      </c>
      <c r="N78" s="51">
        <f t="shared" si="4"/>
        <v>0</v>
      </c>
    </row>
    <row r="79" spans="2:14">
      <c r="B79" s="47"/>
      <c r="C79" s="47"/>
      <c r="D79" s="47"/>
      <c r="E79" s="51">
        <v>0</v>
      </c>
      <c r="F79" s="47"/>
      <c r="I79">
        <v>77</v>
      </c>
      <c r="J79" s="51">
        <f t="shared" si="3"/>
        <v>0</v>
      </c>
      <c r="L79">
        <v>77</v>
      </c>
      <c r="M79" s="51">
        <f ca="1">IFERROR(OFFSET($E$2,MATCH(金币平衡!C104,$F$3:$F$302,1),0),0)</f>
        <v>10250</v>
      </c>
      <c r="N79" s="51">
        <f t="shared" si="4"/>
        <v>0</v>
      </c>
    </row>
    <row r="80" spans="2:14">
      <c r="B80" s="47"/>
      <c r="C80" s="47"/>
      <c r="D80" s="47"/>
      <c r="E80" s="51">
        <v>0</v>
      </c>
      <c r="F80" s="47"/>
      <c r="I80">
        <v>78</v>
      </c>
      <c r="J80" s="51">
        <f t="shared" si="3"/>
        <v>0</v>
      </c>
      <c r="L80">
        <v>78</v>
      </c>
      <c r="M80" s="51">
        <f ca="1">IFERROR(OFFSET($E$2,MATCH(金币平衡!C105,$F$3:$F$302,1),0),0)</f>
        <v>10500</v>
      </c>
      <c r="N80" s="51">
        <f t="shared" si="4"/>
        <v>0</v>
      </c>
    </row>
    <row r="81" spans="2:14">
      <c r="B81" s="47"/>
      <c r="C81" s="47"/>
      <c r="D81" s="47"/>
      <c r="E81" s="51">
        <v>0</v>
      </c>
      <c r="F81" s="47"/>
      <c r="I81">
        <v>79</v>
      </c>
      <c r="J81" s="51">
        <f t="shared" si="3"/>
        <v>24000</v>
      </c>
      <c r="L81">
        <v>79</v>
      </c>
      <c r="M81" s="51">
        <f ca="1">IFERROR(OFFSET($E$2,MATCH(金币平衡!C106,$F$3:$F$302,1),0),0)</f>
        <v>10500</v>
      </c>
      <c r="N81" s="51">
        <f t="shared" si="4"/>
        <v>0</v>
      </c>
    </row>
    <row r="82" spans="2:14">
      <c r="B82" s="47"/>
      <c r="C82" s="47"/>
      <c r="D82" s="47"/>
      <c r="E82" s="51">
        <v>0</v>
      </c>
      <c r="F82" s="47"/>
      <c r="I82">
        <v>80</v>
      </c>
      <c r="J82" s="51">
        <f t="shared" si="3"/>
        <v>0</v>
      </c>
      <c r="L82">
        <v>80</v>
      </c>
      <c r="M82" s="51">
        <f ca="1">IFERROR(OFFSET($E$2,MATCH(金币平衡!C107,$F$3:$F$302,1),0),0)</f>
        <v>10500</v>
      </c>
      <c r="N82" s="51">
        <f t="shared" si="4"/>
        <v>0</v>
      </c>
    </row>
    <row r="83" spans="2:14">
      <c r="B83" s="47"/>
      <c r="C83" s="47"/>
      <c r="D83" s="47"/>
      <c r="E83" s="51">
        <v>0</v>
      </c>
      <c r="F83" s="47"/>
      <c r="I83">
        <v>81</v>
      </c>
      <c r="J83" s="51">
        <f t="shared" si="3"/>
        <v>0</v>
      </c>
      <c r="L83">
        <v>81</v>
      </c>
      <c r="M83" s="51">
        <f ca="1">IFERROR(OFFSET($E$2,MATCH(金币平衡!C108,$F$3:$F$302,1),0),0)</f>
        <v>10500</v>
      </c>
      <c r="N83" s="51">
        <f t="shared" si="4"/>
        <v>0</v>
      </c>
    </row>
    <row r="84" spans="2:14">
      <c r="B84" s="47"/>
      <c r="C84" s="47"/>
      <c r="D84" s="47"/>
      <c r="E84" s="51">
        <v>0</v>
      </c>
      <c r="F84" s="47"/>
      <c r="I84">
        <v>82</v>
      </c>
      <c r="J84" s="51">
        <f t="shared" si="3"/>
        <v>0</v>
      </c>
      <c r="L84">
        <v>82</v>
      </c>
      <c r="M84" s="51">
        <f ca="1">IFERROR(OFFSET($E$2,MATCH(金币平衡!C109,$F$3:$F$302,1),0),0)</f>
        <v>10750</v>
      </c>
      <c r="N84" s="51">
        <f t="shared" si="4"/>
        <v>0</v>
      </c>
    </row>
    <row r="85" spans="2:14">
      <c r="B85" s="47"/>
      <c r="C85" s="47"/>
      <c r="D85" s="47"/>
      <c r="E85" s="51">
        <v>0</v>
      </c>
      <c r="F85" s="47"/>
      <c r="I85">
        <v>83</v>
      </c>
      <c r="J85" s="51">
        <f t="shared" si="3"/>
        <v>25000</v>
      </c>
      <c r="L85">
        <v>83</v>
      </c>
      <c r="M85" s="51">
        <f ca="1">IFERROR(OFFSET($E$2,MATCH(金币平衡!C110,$F$3:$F$302,1),0),0)</f>
        <v>10750</v>
      </c>
      <c r="N85" s="51">
        <f t="shared" si="4"/>
        <v>0</v>
      </c>
    </row>
    <row r="86" spans="2:14">
      <c r="B86" s="47"/>
      <c r="C86" s="47"/>
      <c r="D86" s="47"/>
      <c r="E86" s="51">
        <v>0</v>
      </c>
      <c r="F86" s="47"/>
      <c r="I86">
        <v>84</v>
      </c>
      <c r="J86" s="51">
        <f t="shared" si="3"/>
        <v>0</v>
      </c>
      <c r="L86">
        <v>84</v>
      </c>
      <c r="M86" s="51">
        <f ca="1">IFERROR(OFFSET($E$2,MATCH(金币平衡!C111,$F$3:$F$302,1),0),0)</f>
        <v>10750</v>
      </c>
      <c r="N86" s="51">
        <f t="shared" si="4"/>
        <v>0</v>
      </c>
    </row>
    <row r="87" spans="2:14">
      <c r="B87" s="47"/>
      <c r="C87" s="47"/>
      <c r="D87" s="47"/>
      <c r="E87" s="51">
        <v>0</v>
      </c>
      <c r="F87" s="47"/>
      <c r="I87">
        <v>85</v>
      </c>
      <c r="J87" s="51">
        <f t="shared" si="3"/>
        <v>0</v>
      </c>
      <c r="L87">
        <v>85</v>
      </c>
      <c r="M87" s="51">
        <f ca="1">IFERROR(OFFSET($E$2,MATCH(金币平衡!C112,$F$3:$F$302,1),0),0)</f>
        <v>10750</v>
      </c>
      <c r="N87" s="51">
        <f t="shared" si="4"/>
        <v>0</v>
      </c>
    </row>
    <row r="88" spans="2:14">
      <c r="B88" s="47"/>
      <c r="C88" s="47"/>
      <c r="D88" s="47"/>
      <c r="E88" s="51">
        <v>0</v>
      </c>
      <c r="F88" s="47"/>
      <c r="I88">
        <v>86</v>
      </c>
      <c r="J88" s="51">
        <f t="shared" si="3"/>
        <v>0</v>
      </c>
      <c r="L88">
        <v>86</v>
      </c>
      <c r="M88" s="51">
        <f ca="1">IFERROR(OFFSET($E$2,MATCH(金币平衡!C113,$F$3:$F$302,1),0),0)</f>
        <v>11000</v>
      </c>
      <c r="N88" s="51">
        <f t="shared" si="4"/>
        <v>0</v>
      </c>
    </row>
    <row r="89" spans="2:14">
      <c r="B89" s="47"/>
      <c r="C89" s="47"/>
      <c r="D89" s="47"/>
      <c r="E89" s="51">
        <v>0</v>
      </c>
      <c r="F89" s="47"/>
      <c r="I89">
        <v>87</v>
      </c>
      <c r="J89" s="51">
        <f t="shared" si="3"/>
        <v>26000</v>
      </c>
      <c r="L89">
        <v>87</v>
      </c>
      <c r="M89" s="51">
        <f ca="1">IFERROR(OFFSET($E$2,MATCH(金币平衡!C114,$F$3:$F$302,1),0),0)</f>
        <v>11000</v>
      </c>
      <c r="N89" s="51">
        <f t="shared" si="4"/>
        <v>0</v>
      </c>
    </row>
    <row r="90" spans="2:14">
      <c r="B90" s="47"/>
      <c r="C90" s="47"/>
      <c r="D90" s="47"/>
      <c r="E90" s="51">
        <v>0</v>
      </c>
      <c r="F90" s="47"/>
      <c r="I90">
        <v>88</v>
      </c>
      <c r="J90" s="51">
        <f t="shared" si="3"/>
        <v>0</v>
      </c>
      <c r="L90">
        <v>88</v>
      </c>
      <c r="M90" s="51">
        <f ca="1">IFERROR(OFFSET($E$2,MATCH(金币平衡!C115,$F$3:$F$302,1),0),0)</f>
        <v>11000</v>
      </c>
      <c r="N90" s="51">
        <f t="shared" si="4"/>
        <v>0</v>
      </c>
    </row>
    <row r="91" spans="2:14">
      <c r="B91" s="47"/>
      <c r="C91" s="47"/>
      <c r="D91" s="47"/>
      <c r="E91" s="51">
        <v>0</v>
      </c>
      <c r="F91" s="47"/>
      <c r="I91">
        <v>89</v>
      </c>
      <c r="J91" s="51">
        <f t="shared" si="3"/>
        <v>0</v>
      </c>
      <c r="L91">
        <v>89</v>
      </c>
      <c r="M91" s="51">
        <f ca="1">IFERROR(OFFSET($E$2,MATCH(金币平衡!C116,$F$3:$F$302,1),0),0)</f>
        <v>11000</v>
      </c>
      <c r="N91" s="51">
        <f t="shared" si="4"/>
        <v>0</v>
      </c>
    </row>
    <row r="92" spans="2:14">
      <c r="B92" s="47"/>
      <c r="C92" s="47"/>
      <c r="D92" s="47"/>
      <c r="E92" s="51">
        <v>0</v>
      </c>
      <c r="F92" s="47"/>
      <c r="I92">
        <v>90</v>
      </c>
      <c r="J92" s="51">
        <f t="shared" si="3"/>
        <v>0</v>
      </c>
      <c r="L92">
        <v>90</v>
      </c>
      <c r="M92" s="51">
        <f ca="1">IFERROR(OFFSET($E$2,MATCH(金币平衡!C117,$F$3:$F$302,1),0),0)</f>
        <v>11250</v>
      </c>
      <c r="N92" s="51">
        <f t="shared" si="4"/>
        <v>0</v>
      </c>
    </row>
    <row r="93" spans="2:14">
      <c r="B93" s="47"/>
      <c r="C93" s="47"/>
      <c r="D93" s="47"/>
      <c r="E93" s="51">
        <v>0</v>
      </c>
      <c r="F93" s="47"/>
      <c r="I93">
        <v>91</v>
      </c>
      <c r="J93" s="51">
        <f t="shared" si="3"/>
        <v>27000</v>
      </c>
      <c r="L93">
        <v>91</v>
      </c>
      <c r="M93" s="51">
        <f ca="1">IFERROR(OFFSET($E$2,MATCH(金币平衡!C118,$F$3:$F$302,1),0),0)</f>
        <v>11250</v>
      </c>
      <c r="N93" s="51">
        <f t="shared" si="4"/>
        <v>0</v>
      </c>
    </row>
    <row r="94" spans="2:14">
      <c r="B94" s="47"/>
      <c r="C94" s="47"/>
      <c r="D94" s="47"/>
      <c r="E94" s="51">
        <v>0</v>
      </c>
      <c r="F94" s="47"/>
      <c r="I94">
        <v>92</v>
      </c>
      <c r="J94" s="51">
        <f t="shared" si="3"/>
        <v>0</v>
      </c>
      <c r="L94">
        <v>92</v>
      </c>
      <c r="M94" s="51">
        <f ca="1">IFERROR(OFFSET($E$2,MATCH(金币平衡!C119,$F$3:$F$302,1),0),0)</f>
        <v>11250</v>
      </c>
      <c r="N94" s="51">
        <f t="shared" si="4"/>
        <v>0</v>
      </c>
    </row>
    <row r="95" spans="2:14">
      <c r="B95" s="47"/>
      <c r="C95" s="47"/>
      <c r="D95" s="47"/>
      <c r="E95" s="51">
        <v>0</v>
      </c>
      <c r="F95" s="47"/>
      <c r="I95">
        <v>93</v>
      </c>
      <c r="J95" s="51">
        <f t="shared" si="3"/>
        <v>0</v>
      </c>
      <c r="L95">
        <v>93</v>
      </c>
      <c r="M95" s="51">
        <f ca="1">IFERROR(OFFSET($E$2,MATCH(金币平衡!C120,$F$3:$F$302,1),0),0)</f>
        <v>11250</v>
      </c>
      <c r="N95" s="51">
        <f t="shared" si="4"/>
        <v>0</v>
      </c>
    </row>
    <row r="96" spans="2:14">
      <c r="B96" s="47"/>
      <c r="C96" s="47"/>
      <c r="D96" s="47"/>
      <c r="E96" s="51">
        <v>0</v>
      </c>
      <c r="F96" s="47"/>
      <c r="I96">
        <v>94</v>
      </c>
      <c r="J96" s="51">
        <f t="shared" si="3"/>
        <v>0</v>
      </c>
      <c r="L96">
        <v>94</v>
      </c>
      <c r="M96" s="51">
        <f ca="1">IFERROR(OFFSET($E$2,MATCH(金币平衡!C121,$F$3:$F$302,1),0),0)</f>
        <v>11500</v>
      </c>
      <c r="N96" s="51">
        <f t="shared" si="4"/>
        <v>0</v>
      </c>
    </row>
    <row r="97" spans="2:14">
      <c r="B97" s="47"/>
      <c r="C97" s="47"/>
      <c r="D97" s="47"/>
      <c r="E97" s="51">
        <v>0</v>
      </c>
      <c r="F97" s="47"/>
      <c r="I97">
        <v>95</v>
      </c>
      <c r="J97" s="51">
        <f t="shared" si="3"/>
        <v>28000</v>
      </c>
      <c r="L97">
        <v>95</v>
      </c>
      <c r="M97" s="51">
        <f ca="1">IFERROR(OFFSET($E$2,MATCH(金币平衡!C122,$F$3:$F$302,1),0),0)</f>
        <v>11500</v>
      </c>
      <c r="N97" s="51">
        <f t="shared" si="4"/>
        <v>0</v>
      </c>
    </row>
    <row r="98" spans="2:14">
      <c r="B98" s="47"/>
      <c r="C98" s="47"/>
      <c r="D98" s="47"/>
      <c r="E98" s="51">
        <v>0</v>
      </c>
      <c r="F98" s="47"/>
      <c r="I98">
        <v>96</v>
      </c>
      <c r="J98" s="51">
        <f t="shared" si="3"/>
        <v>0</v>
      </c>
      <c r="L98">
        <v>96</v>
      </c>
      <c r="M98" s="51">
        <f ca="1">IFERROR(OFFSET($E$2,MATCH(金币平衡!C123,$F$3:$F$302,1),0),0)</f>
        <v>11500</v>
      </c>
      <c r="N98" s="51">
        <f t="shared" si="4"/>
        <v>0</v>
      </c>
    </row>
    <row r="99" spans="2:14">
      <c r="B99" s="47"/>
      <c r="C99" s="47"/>
      <c r="D99" s="47"/>
      <c r="E99" s="51">
        <v>0</v>
      </c>
      <c r="F99" s="47"/>
      <c r="I99">
        <v>97</v>
      </c>
      <c r="J99" s="51">
        <f t="shared" si="3"/>
        <v>0</v>
      </c>
      <c r="L99">
        <v>97</v>
      </c>
      <c r="M99" s="51">
        <f ca="1">IFERROR(OFFSET($E$2,MATCH(金币平衡!C124,$F$3:$F$302,1),0),0)</f>
        <v>11500</v>
      </c>
      <c r="N99" s="51">
        <f t="shared" si="4"/>
        <v>0</v>
      </c>
    </row>
    <row r="100" spans="2:14">
      <c r="B100" s="47"/>
      <c r="C100" s="47"/>
      <c r="D100" s="47"/>
      <c r="E100" s="51">
        <v>0</v>
      </c>
      <c r="F100" s="47"/>
      <c r="I100">
        <v>98</v>
      </c>
      <c r="J100" s="51">
        <f t="shared" si="3"/>
        <v>0</v>
      </c>
      <c r="L100">
        <v>98</v>
      </c>
      <c r="M100" s="51">
        <f ca="1">IFERROR(OFFSET($E$2,MATCH(金币平衡!C125,$F$3:$F$302,1),0),0)</f>
        <v>11750</v>
      </c>
      <c r="N100" s="51">
        <f t="shared" si="4"/>
        <v>0</v>
      </c>
    </row>
    <row r="101" spans="2:14">
      <c r="B101" s="47"/>
      <c r="C101" s="47"/>
      <c r="D101" s="47"/>
      <c r="E101" s="51">
        <v>0</v>
      </c>
      <c r="F101" s="47"/>
      <c r="I101">
        <v>99</v>
      </c>
      <c r="J101" s="51">
        <f t="shared" si="3"/>
        <v>29000</v>
      </c>
      <c r="L101">
        <v>99</v>
      </c>
      <c r="M101" s="51">
        <f ca="1">IFERROR(OFFSET($E$2,MATCH(金币平衡!C126,$F$3:$F$302,1),0),0)</f>
        <v>11750</v>
      </c>
      <c r="N101" s="51">
        <f t="shared" si="4"/>
        <v>0</v>
      </c>
    </row>
    <row r="102" spans="2:14">
      <c r="B102" s="47"/>
      <c r="C102" s="47"/>
      <c r="D102" s="47"/>
      <c r="E102" s="51">
        <v>0</v>
      </c>
      <c r="F102" s="47"/>
      <c r="I102">
        <v>100</v>
      </c>
      <c r="J102" s="51">
        <f t="shared" si="3"/>
        <v>0</v>
      </c>
      <c r="L102">
        <v>100</v>
      </c>
      <c r="M102" s="51">
        <f ca="1">IFERROR(OFFSET($E$2,MATCH(金币平衡!C127,$F$3:$F$302,1),0),0)</f>
        <v>11750</v>
      </c>
      <c r="N102" s="51">
        <f t="shared" si="4"/>
        <v>0</v>
      </c>
    </row>
    <row r="103" spans="2:14">
      <c r="B103" s="47"/>
      <c r="C103" s="47"/>
      <c r="D103" s="47"/>
      <c r="E103" s="51">
        <v>0</v>
      </c>
      <c r="F103" s="47"/>
      <c r="I103">
        <v>101</v>
      </c>
      <c r="J103" s="51">
        <f t="shared" si="3"/>
        <v>0</v>
      </c>
      <c r="L103">
        <v>101</v>
      </c>
      <c r="M103" s="51">
        <f ca="1">IFERROR(OFFSET($E$2,MATCH(金币平衡!C128,$F$3:$F$302,1),0),0)</f>
        <v>11750</v>
      </c>
      <c r="N103" s="51">
        <f t="shared" si="4"/>
        <v>0</v>
      </c>
    </row>
    <row r="104" spans="2:14">
      <c r="B104" s="47"/>
      <c r="C104" s="47"/>
      <c r="D104" s="47"/>
      <c r="E104" s="51">
        <v>0</v>
      </c>
      <c r="F104" s="47"/>
      <c r="I104">
        <v>102</v>
      </c>
      <c r="J104" s="51">
        <f t="shared" si="3"/>
        <v>0</v>
      </c>
      <c r="L104">
        <v>102</v>
      </c>
      <c r="M104" s="51">
        <f ca="1">IFERROR(OFFSET($E$2,MATCH(金币平衡!C129,$F$3:$F$302,1),0),0)</f>
        <v>11750</v>
      </c>
      <c r="N104" s="51">
        <f t="shared" si="4"/>
        <v>0</v>
      </c>
    </row>
    <row r="105" spans="2:14">
      <c r="B105" s="47"/>
      <c r="C105" s="47"/>
      <c r="D105" s="47"/>
      <c r="E105" s="51">
        <v>0</v>
      </c>
      <c r="F105" s="47"/>
      <c r="I105">
        <v>103</v>
      </c>
      <c r="J105" s="51">
        <f t="shared" si="3"/>
        <v>30000</v>
      </c>
      <c r="L105">
        <v>103</v>
      </c>
      <c r="M105" s="51">
        <f ca="1">IFERROR(OFFSET($E$2,MATCH(金币平衡!C130,$F$3:$F$302,1),0),0)</f>
        <v>11750</v>
      </c>
      <c r="N105" s="51">
        <f t="shared" si="4"/>
        <v>0</v>
      </c>
    </row>
    <row r="106" spans="2:14">
      <c r="B106" s="47"/>
      <c r="C106" s="47"/>
      <c r="D106" s="47"/>
      <c r="E106" s="51">
        <v>0</v>
      </c>
      <c r="F106" s="47"/>
      <c r="I106">
        <v>104</v>
      </c>
      <c r="J106" s="51">
        <f t="shared" si="3"/>
        <v>0</v>
      </c>
      <c r="L106">
        <v>104</v>
      </c>
      <c r="M106" s="51">
        <f ca="1">IFERROR(OFFSET($E$2,MATCH(金币平衡!C131,$F$3:$F$302,1),0),0)</f>
        <v>12000</v>
      </c>
      <c r="N106" s="51">
        <f t="shared" si="4"/>
        <v>0</v>
      </c>
    </row>
    <row r="107" spans="2:14">
      <c r="B107" s="47"/>
      <c r="C107" s="47"/>
      <c r="D107" s="47"/>
      <c r="E107" s="51">
        <v>0</v>
      </c>
      <c r="F107" s="47"/>
      <c r="I107">
        <v>105</v>
      </c>
      <c r="J107" s="51">
        <f t="shared" si="3"/>
        <v>0</v>
      </c>
      <c r="L107">
        <v>105</v>
      </c>
      <c r="M107" s="51">
        <f ca="1">IFERROR(OFFSET($E$2,MATCH(金币平衡!C132,$F$3:$F$302,1),0),0)</f>
        <v>12000</v>
      </c>
      <c r="N107" s="51">
        <f t="shared" si="4"/>
        <v>0</v>
      </c>
    </row>
    <row r="108" spans="2:14">
      <c r="B108" s="47"/>
      <c r="C108" s="47"/>
      <c r="D108" s="47"/>
      <c r="E108" s="51">
        <v>0</v>
      </c>
      <c r="F108" s="47"/>
      <c r="I108">
        <v>106</v>
      </c>
      <c r="J108" s="51">
        <f t="shared" si="3"/>
        <v>0</v>
      </c>
      <c r="L108">
        <v>106</v>
      </c>
      <c r="M108" s="51">
        <f ca="1">IFERROR(OFFSET($E$2,MATCH(金币平衡!C133,$F$3:$F$302,1),0),0)</f>
        <v>12000</v>
      </c>
      <c r="N108" s="51">
        <f t="shared" si="4"/>
        <v>0</v>
      </c>
    </row>
    <row r="109" spans="2:14">
      <c r="B109" s="47"/>
      <c r="C109" s="47"/>
      <c r="D109" s="47"/>
      <c r="E109" s="51">
        <v>0</v>
      </c>
      <c r="F109" s="47"/>
      <c r="I109">
        <v>107</v>
      </c>
      <c r="J109" s="51">
        <f t="shared" si="3"/>
        <v>31000</v>
      </c>
      <c r="L109">
        <v>107</v>
      </c>
      <c r="M109" s="51">
        <f ca="1">IFERROR(OFFSET($E$2,MATCH(金币平衡!C134,$F$3:$F$302,1),0),0)</f>
        <v>12000</v>
      </c>
      <c r="N109" s="51">
        <f t="shared" si="4"/>
        <v>0</v>
      </c>
    </row>
    <row r="110" spans="2:14">
      <c r="B110" s="47"/>
      <c r="C110" s="47"/>
      <c r="D110" s="47"/>
      <c r="E110" s="51">
        <v>0</v>
      </c>
      <c r="F110" s="47"/>
      <c r="I110">
        <v>108</v>
      </c>
      <c r="J110" s="51">
        <f t="shared" si="3"/>
        <v>0</v>
      </c>
      <c r="L110">
        <v>108</v>
      </c>
      <c r="M110" s="51">
        <f ca="1">IFERROR(OFFSET($E$2,MATCH(金币平衡!C135,$F$3:$F$302,1),0),0)</f>
        <v>12000</v>
      </c>
      <c r="N110" s="51">
        <f t="shared" si="4"/>
        <v>0</v>
      </c>
    </row>
    <row r="111" spans="2:14">
      <c r="B111" s="47"/>
      <c r="C111" s="47"/>
      <c r="D111" s="47"/>
      <c r="E111" s="51">
        <v>0</v>
      </c>
      <c r="F111" s="47"/>
      <c r="I111">
        <v>109</v>
      </c>
      <c r="J111" s="51">
        <f t="shared" si="3"/>
        <v>0</v>
      </c>
      <c r="L111">
        <v>109</v>
      </c>
      <c r="M111" s="51">
        <f ca="1">IFERROR(OFFSET($E$2,MATCH(金币平衡!C136,$F$3:$F$302,1),0),0)</f>
        <v>12000</v>
      </c>
      <c r="N111" s="51">
        <f t="shared" si="4"/>
        <v>0</v>
      </c>
    </row>
    <row r="112" spans="2:14">
      <c r="B112" s="47"/>
      <c r="C112" s="47"/>
      <c r="D112" s="47"/>
      <c r="E112" s="51">
        <v>0</v>
      </c>
      <c r="F112" s="47"/>
      <c r="I112">
        <v>110</v>
      </c>
      <c r="J112" s="51">
        <f t="shared" si="3"/>
        <v>0</v>
      </c>
      <c r="L112">
        <v>110</v>
      </c>
      <c r="M112" s="51">
        <f ca="1">IFERROR(OFFSET($E$2,MATCH(金币平衡!C137,$F$3:$F$302,1),0),0)</f>
        <v>12000</v>
      </c>
      <c r="N112" s="51">
        <f t="shared" si="4"/>
        <v>0</v>
      </c>
    </row>
    <row r="113" spans="2:14">
      <c r="B113" s="47"/>
      <c r="C113" s="47"/>
      <c r="D113" s="47"/>
      <c r="E113" s="51">
        <v>0</v>
      </c>
      <c r="F113" s="47"/>
      <c r="I113">
        <v>111</v>
      </c>
      <c r="J113" s="51">
        <f t="shared" si="3"/>
        <v>32000</v>
      </c>
      <c r="L113">
        <v>111</v>
      </c>
      <c r="M113" s="51">
        <f ca="1">IFERROR(OFFSET($E$2,MATCH(金币平衡!C138,$F$3:$F$302,1),0),0)</f>
        <v>12000</v>
      </c>
      <c r="N113" s="51">
        <f t="shared" si="4"/>
        <v>0</v>
      </c>
    </row>
    <row r="114" spans="2:14">
      <c r="B114" s="47"/>
      <c r="C114" s="47"/>
      <c r="D114" s="47"/>
      <c r="E114" s="51">
        <v>0</v>
      </c>
      <c r="F114" s="47"/>
      <c r="I114">
        <v>112</v>
      </c>
      <c r="J114" s="51">
        <f t="shared" si="3"/>
        <v>0</v>
      </c>
      <c r="L114">
        <v>112</v>
      </c>
      <c r="M114" s="51">
        <f ca="1">IFERROR(OFFSET($E$2,MATCH(金币平衡!C139,$F$3:$F$302,1),0),0)</f>
        <v>12250</v>
      </c>
      <c r="N114" s="51">
        <f t="shared" si="4"/>
        <v>0</v>
      </c>
    </row>
    <row r="115" spans="2:14">
      <c r="B115" s="47"/>
      <c r="C115" s="47"/>
      <c r="D115" s="47"/>
      <c r="E115" s="51">
        <v>0</v>
      </c>
      <c r="F115" s="47"/>
      <c r="I115">
        <v>113</v>
      </c>
      <c r="J115" s="51">
        <f t="shared" si="3"/>
        <v>0</v>
      </c>
      <c r="L115">
        <v>113</v>
      </c>
      <c r="M115" s="51">
        <f ca="1">IFERROR(OFFSET($E$2,MATCH(金币平衡!C140,$F$3:$F$302,1),0),0)</f>
        <v>12250</v>
      </c>
      <c r="N115" s="51">
        <f t="shared" si="4"/>
        <v>0</v>
      </c>
    </row>
    <row r="116" spans="2:14">
      <c r="B116" s="47"/>
      <c r="C116" s="47"/>
      <c r="D116" s="47"/>
      <c r="E116" s="51">
        <v>0</v>
      </c>
      <c r="F116" s="47"/>
      <c r="I116">
        <v>114</v>
      </c>
      <c r="J116" s="51">
        <f t="shared" si="3"/>
        <v>0</v>
      </c>
      <c r="L116">
        <v>114</v>
      </c>
      <c r="M116" s="51">
        <f ca="1">IFERROR(OFFSET($E$2,MATCH(金币平衡!C141,$F$3:$F$302,1),0),0)</f>
        <v>12250</v>
      </c>
      <c r="N116" s="51">
        <f t="shared" si="4"/>
        <v>0</v>
      </c>
    </row>
    <row r="117" spans="2:14">
      <c r="B117" s="47"/>
      <c r="C117" s="47"/>
      <c r="D117" s="47"/>
      <c r="E117" s="51">
        <v>0</v>
      </c>
      <c r="F117" s="47"/>
      <c r="I117">
        <v>115</v>
      </c>
      <c r="J117" s="51">
        <f t="shared" si="3"/>
        <v>33000</v>
      </c>
      <c r="L117">
        <v>115</v>
      </c>
      <c r="M117" s="51">
        <f ca="1">IFERROR(OFFSET($E$2,MATCH(金币平衡!C142,$F$3:$F$302,1),0),0)</f>
        <v>12250</v>
      </c>
      <c r="N117" s="51">
        <f t="shared" si="4"/>
        <v>0</v>
      </c>
    </row>
    <row r="118" spans="2:14">
      <c r="B118" s="47"/>
      <c r="C118" s="47"/>
      <c r="D118" s="47"/>
      <c r="E118" s="51">
        <v>0</v>
      </c>
      <c r="F118" s="47"/>
      <c r="I118">
        <v>116</v>
      </c>
      <c r="J118" s="51">
        <f t="shared" si="3"/>
        <v>0</v>
      </c>
      <c r="L118">
        <v>116</v>
      </c>
      <c r="M118" s="51">
        <f ca="1">IFERROR(OFFSET($E$2,MATCH(金币平衡!C143,$F$3:$F$302,1),0),0)</f>
        <v>12250</v>
      </c>
      <c r="N118" s="51">
        <f t="shared" si="4"/>
        <v>0</v>
      </c>
    </row>
    <row r="119" spans="2:14">
      <c r="B119" s="47"/>
      <c r="C119" s="47"/>
      <c r="D119" s="47"/>
      <c r="E119" s="51">
        <v>0</v>
      </c>
      <c r="F119" s="47"/>
      <c r="I119">
        <v>117</v>
      </c>
      <c r="J119" s="51">
        <f t="shared" si="3"/>
        <v>0</v>
      </c>
      <c r="L119">
        <v>117</v>
      </c>
      <c r="M119" s="51">
        <f ca="1">IFERROR(OFFSET($E$2,MATCH(金币平衡!C144,$F$3:$F$302,1),0),0)</f>
        <v>12250</v>
      </c>
      <c r="N119" s="51">
        <f t="shared" si="4"/>
        <v>0</v>
      </c>
    </row>
    <row r="120" spans="2:14">
      <c r="B120" s="47"/>
      <c r="C120" s="47"/>
      <c r="D120" s="47"/>
      <c r="E120" s="51">
        <v>0</v>
      </c>
      <c r="F120" s="47"/>
      <c r="I120">
        <v>118</v>
      </c>
      <c r="J120" s="51">
        <f t="shared" si="3"/>
        <v>0</v>
      </c>
      <c r="L120">
        <v>118</v>
      </c>
      <c r="M120" s="51">
        <f ca="1">IFERROR(OFFSET($E$2,MATCH(金币平衡!C145,$F$3:$F$302,1),0),0)</f>
        <v>12250</v>
      </c>
      <c r="N120" s="51">
        <f t="shared" si="4"/>
        <v>0</v>
      </c>
    </row>
    <row r="121" spans="2:14">
      <c r="B121" s="47"/>
      <c r="C121" s="47"/>
      <c r="D121" s="47"/>
      <c r="E121" s="51">
        <v>0</v>
      </c>
      <c r="F121" s="47"/>
      <c r="I121">
        <v>119</v>
      </c>
      <c r="J121" s="51">
        <f t="shared" si="3"/>
        <v>34000</v>
      </c>
      <c r="L121">
        <v>119</v>
      </c>
      <c r="M121" s="51">
        <f ca="1">IFERROR(OFFSET($E$2,MATCH(金币平衡!C146,$F$3:$F$302,1),0),0)</f>
        <v>12250</v>
      </c>
      <c r="N121" s="51">
        <f t="shared" si="4"/>
        <v>0</v>
      </c>
    </row>
    <row r="122" spans="2:14">
      <c r="B122" s="47"/>
      <c r="C122" s="47"/>
      <c r="D122" s="47"/>
      <c r="E122" s="51">
        <v>0</v>
      </c>
      <c r="F122" s="47"/>
      <c r="I122">
        <v>120</v>
      </c>
      <c r="J122" s="51">
        <f t="shared" si="3"/>
        <v>0</v>
      </c>
      <c r="L122">
        <v>120</v>
      </c>
      <c r="M122" s="51">
        <f ca="1">IFERROR(OFFSET($E$2,MATCH(金币平衡!C147,$F$3:$F$302,1),0),0)</f>
        <v>12500</v>
      </c>
      <c r="N122" s="51">
        <f t="shared" si="4"/>
        <v>0</v>
      </c>
    </row>
    <row r="123" spans="2:14">
      <c r="B123" s="47"/>
      <c r="C123" s="47"/>
      <c r="D123" s="47"/>
      <c r="E123" s="51">
        <v>0</v>
      </c>
      <c r="F123" s="47"/>
      <c r="I123">
        <v>121</v>
      </c>
      <c r="J123" s="51">
        <f t="shared" si="3"/>
        <v>0</v>
      </c>
      <c r="L123">
        <v>121</v>
      </c>
      <c r="M123" s="51">
        <f ca="1">IFERROR(OFFSET($E$2,MATCH(金币平衡!C148,$F$3:$F$302,1),0),0)</f>
        <v>12500</v>
      </c>
      <c r="N123" s="51">
        <f t="shared" si="4"/>
        <v>0</v>
      </c>
    </row>
    <row r="124" spans="2:14">
      <c r="B124" s="47"/>
      <c r="C124" s="47"/>
      <c r="D124" s="47"/>
      <c r="E124" s="51">
        <v>0</v>
      </c>
      <c r="F124" s="47"/>
      <c r="I124">
        <v>122</v>
      </c>
      <c r="J124" s="51">
        <f t="shared" si="3"/>
        <v>0</v>
      </c>
      <c r="L124">
        <v>122</v>
      </c>
      <c r="M124" s="51">
        <f ca="1">IFERROR(OFFSET($E$2,MATCH(金币平衡!C149,$F$3:$F$302,1),0),0)</f>
        <v>12500</v>
      </c>
      <c r="N124" s="51">
        <f t="shared" si="4"/>
        <v>0</v>
      </c>
    </row>
    <row r="125" spans="2:14">
      <c r="B125" s="47"/>
      <c r="C125" s="47"/>
      <c r="D125" s="47"/>
      <c r="E125" s="51">
        <v>0</v>
      </c>
      <c r="F125" s="47"/>
      <c r="I125">
        <v>123</v>
      </c>
      <c r="J125" s="51">
        <f t="shared" si="3"/>
        <v>35000</v>
      </c>
      <c r="L125">
        <v>123</v>
      </c>
      <c r="M125" s="51">
        <f ca="1">IFERROR(OFFSET($E$2,MATCH(金币平衡!C150,$F$3:$F$302,1),0),0)</f>
        <v>12500</v>
      </c>
      <c r="N125" s="51">
        <f t="shared" si="4"/>
        <v>0</v>
      </c>
    </row>
    <row r="126" spans="2:14">
      <c r="B126" s="47"/>
      <c r="C126" s="47"/>
      <c r="D126" s="47"/>
      <c r="E126" s="51">
        <v>0</v>
      </c>
      <c r="F126" s="47"/>
      <c r="I126">
        <v>124</v>
      </c>
      <c r="J126" s="51">
        <f t="shared" si="3"/>
        <v>0</v>
      </c>
      <c r="L126">
        <v>124</v>
      </c>
      <c r="M126" s="51">
        <f ca="1">IFERROR(OFFSET($E$2,MATCH(金币平衡!C151,$F$3:$F$302,1),0),0)</f>
        <v>12500</v>
      </c>
      <c r="N126" s="51">
        <f t="shared" si="4"/>
        <v>0</v>
      </c>
    </row>
    <row r="127" spans="2:14">
      <c r="B127" s="47"/>
      <c r="C127" s="47"/>
      <c r="D127" s="47"/>
      <c r="E127" s="51">
        <v>0</v>
      </c>
      <c r="F127" s="47"/>
      <c r="I127">
        <v>125</v>
      </c>
      <c r="J127" s="51">
        <f t="shared" si="3"/>
        <v>0</v>
      </c>
      <c r="L127">
        <v>125</v>
      </c>
      <c r="M127" s="51">
        <f ca="1">IFERROR(OFFSET($E$2,MATCH(金币平衡!C152,$F$3:$F$302,1),0),0)</f>
        <v>12500</v>
      </c>
      <c r="N127" s="51">
        <f t="shared" si="4"/>
        <v>0</v>
      </c>
    </row>
    <row r="128" spans="2:14">
      <c r="B128" s="47"/>
      <c r="C128" s="47"/>
      <c r="D128" s="47"/>
      <c r="E128" s="51">
        <v>0</v>
      </c>
      <c r="F128" s="47"/>
      <c r="I128">
        <v>126</v>
      </c>
      <c r="J128" s="51">
        <f t="shared" si="3"/>
        <v>0</v>
      </c>
      <c r="L128">
        <v>126</v>
      </c>
      <c r="M128" s="51">
        <f ca="1">IFERROR(OFFSET($E$2,MATCH(金币平衡!C153,$F$3:$F$302,1),0),0)</f>
        <v>12500</v>
      </c>
      <c r="N128" s="51">
        <f t="shared" si="4"/>
        <v>0</v>
      </c>
    </row>
    <row r="129" spans="2:14">
      <c r="B129" s="47"/>
      <c r="C129" s="47"/>
      <c r="D129" s="47"/>
      <c r="E129" s="51">
        <v>0</v>
      </c>
      <c r="F129" s="47"/>
      <c r="I129">
        <v>127</v>
      </c>
      <c r="J129" s="51">
        <f t="shared" si="3"/>
        <v>36000</v>
      </c>
      <c r="L129">
        <v>127</v>
      </c>
      <c r="M129" s="51">
        <f ca="1">IFERROR(OFFSET($E$2,MATCH(金币平衡!C154,$F$3:$F$302,1),0),0)</f>
        <v>12500</v>
      </c>
      <c r="N129" s="51">
        <f t="shared" si="4"/>
        <v>0</v>
      </c>
    </row>
    <row r="130" spans="2:14">
      <c r="B130" s="47"/>
      <c r="C130" s="47"/>
      <c r="D130" s="47"/>
      <c r="E130" s="51">
        <v>0</v>
      </c>
      <c r="F130" s="47"/>
      <c r="I130">
        <v>128</v>
      </c>
      <c r="J130" s="51">
        <f t="shared" si="3"/>
        <v>0</v>
      </c>
      <c r="L130">
        <v>128</v>
      </c>
      <c r="M130" s="51">
        <f ca="1">IFERROR(OFFSET($E$2,MATCH(金币平衡!C155,$F$3:$F$302,1),0),0)</f>
        <v>12750</v>
      </c>
      <c r="N130" s="51">
        <f t="shared" si="4"/>
        <v>0</v>
      </c>
    </row>
    <row r="131" spans="2:14">
      <c r="B131" s="47"/>
      <c r="C131" s="47"/>
      <c r="D131" s="47"/>
      <c r="E131" s="51">
        <v>0</v>
      </c>
      <c r="F131" s="47"/>
      <c r="I131">
        <v>129</v>
      </c>
      <c r="J131" s="51">
        <f t="shared" ref="J131:J194" si="5">SUMIF($F$3:$F$302,I131,$D$3:$D$302)</f>
        <v>0</v>
      </c>
      <c r="L131">
        <v>129</v>
      </c>
      <c r="M131" s="51">
        <f ca="1">IFERROR(OFFSET($E$2,MATCH(金币平衡!C156,$F$3:$F$302,1),0),0)</f>
        <v>12750</v>
      </c>
      <c r="N131" s="51">
        <f t="shared" ref="N131:N194" si="6">E131/2</f>
        <v>0</v>
      </c>
    </row>
    <row r="132" spans="2:14">
      <c r="B132" s="47"/>
      <c r="C132" s="47"/>
      <c r="D132" s="47"/>
      <c r="E132" s="51">
        <v>0</v>
      </c>
      <c r="F132" s="47"/>
      <c r="I132">
        <v>130</v>
      </c>
      <c r="J132" s="51">
        <f t="shared" si="5"/>
        <v>0</v>
      </c>
      <c r="L132">
        <v>130</v>
      </c>
      <c r="M132" s="51">
        <f ca="1">IFERROR(OFFSET($E$2,MATCH(金币平衡!C157,$F$3:$F$302,1),0),0)</f>
        <v>12750</v>
      </c>
      <c r="N132" s="51">
        <f t="shared" si="6"/>
        <v>0</v>
      </c>
    </row>
    <row r="133" spans="2:14">
      <c r="B133" s="47"/>
      <c r="C133" s="47"/>
      <c r="D133" s="47"/>
      <c r="E133" s="51">
        <v>0</v>
      </c>
      <c r="F133" s="47"/>
      <c r="I133">
        <v>131</v>
      </c>
      <c r="J133" s="51">
        <f t="shared" si="5"/>
        <v>37000</v>
      </c>
      <c r="L133">
        <v>131</v>
      </c>
      <c r="M133" s="51">
        <f ca="1">IFERROR(OFFSET($E$2,MATCH(金币平衡!C158,$F$3:$F$302,1),0),0)</f>
        <v>12750</v>
      </c>
      <c r="N133" s="51">
        <f t="shared" si="6"/>
        <v>0</v>
      </c>
    </row>
    <row r="134" spans="2:14">
      <c r="B134" s="47"/>
      <c r="C134" s="47"/>
      <c r="D134" s="47"/>
      <c r="E134" s="51">
        <v>0</v>
      </c>
      <c r="F134" s="47"/>
      <c r="I134">
        <v>132</v>
      </c>
      <c r="J134" s="51">
        <f t="shared" si="5"/>
        <v>0</v>
      </c>
      <c r="L134">
        <v>132</v>
      </c>
      <c r="M134" s="51">
        <f ca="1">IFERROR(OFFSET($E$2,MATCH(金币平衡!C159,$F$3:$F$302,1),0),0)</f>
        <v>12750</v>
      </c>
      <c r="N134" s="51">
        <f t="shared" si="6"/>
        <v>0</v>
      </c>
    </row>
    <row r="135" spans="2:14">
      <c r="B135" s="47"/>
      <c r="C135" s="47"/>
      <c r="D135" s="47"/>
      <c r="E135" s="51">
        <v>0</v>
      </c>
      <c r="F135" s="47"/>
      <c r="I135">
        <v>133</v>
      </c>
      <c r="J135" s="51">
        <f t="shared" si="5"/>
        <v>0</v>
      </c>
      <c r="L135">
        <v>133</v>
      </c>
      <c r="M135" s="51">
        <f ca="1">IFERROR(OFFSET($E$2,MATCH(金币平衡!C160,$F$3:$F$302,1),0),0)</f>
        <v>12750</v>
      </c>
      <c r="N135" s="51">
        <f t="shared" si="6"/>
        <v>0</v>
      </c>
    </row>
    <row r="136" spans="2:14">
      <c r="B136" s="47"/>
      <c r="C136" s="47"/>
      <c r="D136" s="47"/>
      <c r="E136" s="51">
        <v>0</v>
      </c>
      <c r="F136" s="47"/>
      <c r="I136">
        <v>134</v>
      </c>
      <c r="J136" s="51">
        <f t="shared" si="5"/>
        <v>0</v>
      </c>
      <c r="L136">
        <v>134</v>
      </c>
      <c r="M136" s="51">
        <f ca="1">IFERROR(OFFSET($E$2,MATCH(金币平衡!C161,$F$3:$F$302,1),0),0)</f>
        <v>12750</v>
      </c>
      <c r="N136" s="51">
        <f t="shared" si="6"/>
        <v>0</v>
      </c>
    </row>
    <row r="137" spans="2:14">
      <c r="B137" s="47"/>
      <c r="C137" s="47"/>
      <c r="D137" s="47"/>
      <c r="E137" s="51">
        <v>0</v>
      </c>
      <c r="F137" s="47"/>
      <c r="I137">
        <v>135</v>
      </c>
      <c r="J137" s="51">
        <f t="shared" si="5"/>
        <v>38000</v>
      </c>
      <c r="L137">
        <v>135</v>
      </c>
      <c r="M137" s="51">
        <f ca="1">IFERROR(OFFSET($E$2,MATCH(金币平衡!C162,$F$3:$F$302,1),0),0)</f>
        <v>12750</v>
      </c>
      <c r="N137" s="51">
        <f t="shared" si="6"/>
        <v>0</v>
      </c>
    </row>
    <row r="138" spans="2:14">
      <c r="B138" s="47"/>
      <c r="C138" s="47"/>
      <c r="D138" s="47"/>
      <c r="E138" s="51">
        <v>0</v>
      </c>
      <c r="F138" s="47"/>
      <c r="I138">
        <v>136</v>
      </c>
      <c r="J138" s="51">
        <f t="shared" si="5"/>
        <v>0</v>
      </c>
      <c r="L138">
        <v>136</v>
      </c>
      <c r="M138" s="51">
        <f ca="1">IFERROR(OFFSET($E$2,MATCH(金币平衡!C163,$F$3:$F$302,1),0),0)</f>
        <v>13000</v>
      </c>
      <c r="N138" s="51">
        <f t="shared" si="6"/>
        <v>0</v>
      </c>
    </row>
    <row r="139" spans="2:14">
      <c r="B139" s="47"/>
      <c r="C139" s="47"/>
      <c r="D139" s="47"/>
      <c r="E139" s="51">
        <v>0</v>
      </c>
      <c r="F139" s="47"/>
      <c r="I139">
        <v>137</v>
      </c>
      <c r="J139" s="51">
        <f t="shared" si="5"/>
        <v>0</v>
      </c>
      <c r="L139">
        <v>137</v>
      </c>
      <c r="M139" s="51">
        <f ca="1">IFERROR(OFFSET($E$2,MATCH(金币平衡!C164,$F$3:$F$302,1),0),0)</f>
        <v>13000</v>
      </c>
      <c r="N139" s="51">
        <f t="shared" si="6"/>
        <v>0</v>
      </c>
    </row>
    <row r="140" spans="2:14">
      <c r="B140" s="47"/>
      <c r="C140" s="47"/>
      <c r="D140" s="47"/>
      <c r="E140" s="51">
        <v>0</v>
      </c>
      <c r="F140" s="47"/>
      <c r="I140">
        <v>138</v>
      </c>
      <c r="J140" s="51">
        <f t="shared" si="5"/>
        <v>0</v>
      </c>
      <c r="L140">
        <v>138</v>
      </c>
      <c r="M140" s="51">
        <f ca="1">IFERROR(OFFSET($E$2,MATCH(金币平衡!C165,$F$3:$F$302,1),0),0)</f>
        <v>13000</v>
      </c>
      <c r="N140" s="51">
        <f t="shared" si="6"/>
        <v>0</v>
      </c>
    </row>
    <row r="141" spans="2:14">
      <c r="B141" s="47"/>
      <c r="C141" s="47"/>
      <c r="D141" s="47"/>
      <c r="E141" s="51">
        <v>0</v>
      </c>
      <c r="F141" s="47"/>
      <c r="I141">
        <v>139</v>
      </c>
      <c r="J141" s="51">
        <f t="shared" si="5"/>
        <v>39000</v>
      </c>
      <c r="L141">
        <v>139</v>
      </c>
      <c r="M141" s="51">
        <f ca="1">IFERROR(OFFSET($E$2,MATCH(金币平衡!C166,$F$3:$F$302,1),0),0)</f>
        <v>13000</v>
      </c>
      <c r="N141" s="51">
        <f t="shared" si="6"/>
        <v>0</v>
      </c>
    </row>
    <row r="142" spans="2:14">
      <c r="B142" s="47"/>
      <c r="C142" s="47"/>
      <c r="D142" s="47"/>
      <c r="E142" s="51">
        <v>0</v>
      </c>
      <c r="F142" s="47"/>
      <c r="I142">
        <v>140</v>
      </c>
      <c r="J142" s="51">
        <f t="shared" si="5"/>
        <v>0</v>
      </c>
      <c r="L142">
        <v>140</v>
      </c>
      <c r="M142" s="51">
        <f ca="1">IFERROR(OFFSET($E$2,MATCH(金币平衡!C167,$F$3:$F$302,1),0),0)</f>
        <v>13000</v>
      </c>
      <c r="N142" s="51">
        <f t="shared" si="6"/>
        <v>0</v>
      </c>
    </row>
    <row r="143" spans="2:14">
      <c r="B143" s="47"/>
      <c r="C143" s="47"/>
      <c r="D143" s="47"/>
      <c r="E143" s="51">
        <v>0</v>
      </c>
      <c r="F143" s="47"/>
      <c r="I143">
        <v>141</v>
      </c>
      <c r="J143" s="51">
        <f t="shared" si="5"/>
        <v>0</v>
      </c>
      <c r="L143">
        <v>141</v>
      </c>
      <c r="M143" s="51">
        <f ca="1">IFERROR(OFFSET($E$2,MATCH(金币平衡!C168,$F$3:$F$302,1),0),0)</f>
        <v>13000</v>
      </c>
      <c r="N143" s="51">
        <f t="shared" si="6"/>
        <v>0</v>
      </c>
    </row>
    <row r="144" spans="2:14">
      <c r="B144" s="47"/>
      <c r="C144" s="47"/>
      <c r="D144" s="47"/>
      <c r="E144" s="51">
        <v>0</v>
      </c>
      <c r="F144" s="47"/>
      <c r="I144">
        <v>142</v>
      </c>
      <c r="J144" s="51">
        <f t="shared" si="5"/>
        <v>0</v>
      </c>
      <c r="L144">
        <v>142</v>
      </c>
      <c r="M144" s="51">
        <f ca="1">IFERROR(OFFSET($E$2,MATCH(金币平衡!C169,$F$3:$F$302,1),0),0)</f>
        <v>13000</v>
      </c>
      <c r="N144" s="51">
        <f t="shared" si="6"/>
        <v>0</v>
      </c>
    </row>
    <row r="145" spans="2:14">
      <c r="B145" s="47"/>
      <c r="C145" s="47"/>
      <c r="D145" s="47"/>
      <c r="E145" s="51">
        <v>0</v>
      </c>
      <c r="F145" s="47"/>
      <c r="I145">
        <v>143</v>
      </c>
      <c r="J145" s="51">
        <f t="shared" si="5"/>
        <v>40000</v>
      </c>
      <c r="L145">
        <v>143</v>
      </c>
      <c r="M145" s="51">
        <f ca="1">IFERROR(OFFSET($E$2,MATCH(金币平衡!C170,$F$3:$F$302,1),0),0)</f>
        <v>13000</v>
      </c>
      <c r="N145" s="51">
        <f t="shared" si="6"/>
        <v>0</v>
      </c>
    </row>
    <row r="146" spans="2:14">
      <c r="B146" s="47"/>
      <c r="C146" s="47"/>
      <c r="D146" s="47"/>
      <c r="E146" s="51">
        <v>0</v>
      </c>
      <c r="F146" s="47"/>
      <c r="I146">
        <v>144</v>
      </c>
      <c r="J146" s="51">
        <f t="shared" si="5"/>
        <v>0</v>
      </c>
      <c r="L146">
        <v>144</v>
      </c>
      <c r="M146" s="51">
        <f ca="1">IFERROR(OFFSET($E$2,MATCH(金币平衡!C171,$F$3:$F$302,1),0),0)</f>
        <v>13250</v>
      </c>
      <c r="N146" s="51">
        <f t="shared" si="6"/>
        <v>0</v>
      </c>
    </row>
    <row r="147" spans="2:14">
      <c r="B147" s="47"/>
      <c r="C147" s="47"/>
      <c r="D147" s="47"/>
      <c r="E147" s="51">
        <v>0</v>
      </c>
      <c r="F147" s="47"/>
      <c r="I147">
        <v>145</v>
      </c>
      <c r="J147" s="51">
        <f t="shared" si="5"/>
        <v>0</v>
      </c>
      <c r="L147">
        <v>145</v>
      </c>
      <c r="M147" s="51">
        <f ca="1">IFERROR(OFFSET($E$2,MATCH(金币平衡!C172,$F$3:$F$302,1),0),0)</f>
        <v>13250</v>
      </c>
      <c r="N147" s="51">
        <f t="shared" si="6"/>
        <v>0</v>
      </c>
    </row>
    <row r="148" spans="2:14">
      <c r="B148" s="47"/>
      <c r="C148" s="47"/>
      <c r="D148" s="47"/>
      <c r="E148" s="51">
        <v>0</v>
      </c>
      <c r="F148" s="47"/>
      <c r="I148">
        <v>146</v>
      </c>
      <c r="J148" s="51">
        <f t="shared" si="5"/>
        <v>0</v>
      </c>
      <c r="L148">
        <v>146</v>
      </c>
      <c r="M148" s="51">
        <f ca="1">IFERROR(OFFSET($E$2,MATCH(金币平衡!C173,$F$3:$F$302,1),0),0)</f>
        <v>13250</v>
      </c>
      <c r="N148" s="51">
        <f t="shared" si="6"/>
        <v>0</v>
      </c>
    </row>
    <row r="149" spans="2:14">
      <c r="B149" s="47"/>
      <c r="C149" s="47"/>
      <c r="D149" s="47"/>
      <c r="E149" s="51">
        <v>0</v>
      </c>
      <c r="F149" s="47"/>
      <c r="I149">
        <v>147</v>
      </c>
      <c r="J149" s="51">
        <f t="shared" si="5"/>
        <v>41000</v>
      </c>
      <c r="L149">
        <v>147</v>
      </c>
      <c r="M149" s="51">
        <f ca="1">IFERROR(OFFSET($E$2,MATCH(金币平衡!C174,$F$3:$F$302,1),0),0)</f>
        <v>13250</v>
      </c>
      <c r="N149" s="51">
        <f t="shared" si="6"/>
        <v>0</v>
      </c>
    </row>
    <row r="150" spans="2:14">
      <c r="B150" s="47"/>
      <c r="C150" s="47"/>
      <c r="D150" s="47"/>
      <c r="E150" s="51">
        <v>0</v>
      </c>
      <c r="F150" s="47"/>
      <c r="I150">
        <v>148</v>
      </c>
      <c r="J150" s="51">
        <f t="shared" si="5"/>
        <v>0</v>
      </c>
      <c r="L150">
        <v>148</v>
      </c>
      <c r="M150" s="51">
        <f ca="1">IFERROR(OFFSET($E$2,MATCH(金币平衡!C175,$F$3:$F$302,1),0),0)</f>
        <v>13250</v>
      </c>
      <c r="N150" s="51">
        <f t="shared" si="6"/>
        <v>0</v>
      </c>
    </row>
    <row r="151" spans="2:14">
      <c r="B151" s="47"/>
      <c r="C151" s="47"/>
      <c r="D151" s="47"/>
      <c r="E151" s="51">
        <v>0</v>
      </c>
      <c r="F151" s="47"/>
      <c r="I151">
        <v>149</v>
      </c>
      <c r="J151" s="51">
        <f t="shared" si="5"/>
        <v>0</v>
      </c>
      <c r="L151">
        <v>149</v>
      </c>
      <c r="M151" s="51">
        <f ca="1">IFERROR(OFFSET($E$2,MATCH(金币平衡!C176,$F$3:$F$302,1),0),0)</f>
        <v>13250</v>
      </c>
      <c r="N151" s="51">
        <f t="shared" si="6"/>
        <v>0</v>
      </c>
    </row>
    <row r="152" spans="2:14">
      <c r="B152" s="47"/>
      <c r="C152" s="47"/>
      <c r="D152" s="47"/>
      <c r="E152" s="51">
        <v>0</v>
      </c>
      <c r="F152" s="47"/>
      <c r="I152">
        <v>150</v>
      </c>
      <c r="J152" s="51">
        <f t="shared" si="5"/>
        <v>0</v>
      </c>
      <c r="L152">
        <v>150</v>
      </c>
      <c r="M152" s="51">
        <f ca="1">IFERROR(OFFSET($E$2,MATCH(金币平衡!C177,$F$3:$F$302,1),0),0)</f>
        <v>13250</v>
      </c>
      <c r="N152" s="51">
        <f t="shared" si="6"/>
        <v>0</v>
      </c>
    </row>
    <row r="153" spans="2:14">
      <c r="B153" s="47"/>
      <c r="C153" s="47"/>
      <c r="D153" s="47"/>
      <c r="E153" s="51">
        <v>0</v>
      </c>
      <c r="F153" s="47"/>
      <c r="I153">
        <v>151</v>
      </c>
      <c r="J153" s="51">
        <f t="shared" si="5"/>
        <v>42000</v>
      </c>
      <c r="L153">
        <v>151</v>
      </c>
      <c r="M153" s="51">
        <f ca="1">IFERROR(OFFSET($E$2,MATCH(金币平衡!C178,$F$3:$F$302,1),0),0)</f>
        <v>13250</v>
      </c>
      <c r="N153" s="51">
        <f t="shared" si="6"/>
        <v>0</v>
      </c>
    </row>
    <row r="154" spans="2:14">
      <c r="B154" s="47"/>
      <c r="C154" s="47"/>
      <c r="D154" s="47"/>
      <c r="E154" s="51">
        <v>0</v>
      </c>
      <c r="F154" s="47"/>
      <c r="I154">
        <v>152</v>
      </c>
      <c r="J154" s="51">
        <f t="shared" si="5"/>
        <v>0</v>
      </c>
      <c r="L154">
        <v>152</v>
      </c>
      <c r="M154" s="51">
        <f ca="1">IFERROR(OFFSET($E$2,MATCH(金币平衡!C179,$F$3:$F$302,1),0),0)</f>
        <v>13250</v>
      </c>
      <c r="N154" s="51">
        <f t="shared" si="6"/>
        <v>0</v>
      </c>
    </row>
    <row r="155" spans="2:14">
      <c r="B155" s="47"/>
      <c r="C155" s="47"/>
      <c r="D155" s="47"/>
      <c r="E155" s="51">
        <v>0</v>
      </c>
      <c r="F155" s="47"/>
      <c r="I155">
        <v>153</v>
      </c>
      <c r="J155" s="51">
        <f t="shared" si="5"/>
        <v>0</v>
      </c>
      <c r="L155">
        <v>153</v>
      </c>
      <c r="M155" s="51">
        <f ca="1">IFERROR(OFFSET($E$2,MATCH(金币平衡!C180,$F$3:$F$302,1),0),0)</f>
        <v>13250</v>
      </c>
      <c r="N155" s="51">
        <f t="shared" si="6"/>
        <v>0</v>
      </c>
    </row>
    <row r="156" spans="2:14">
      <c r="B156" s="47"/>
      <c r="C156" s="47"/>
      <c r="D156" s="47"/>
      <c r="E156" s="51">
        <v>0</v>
      </c>
      <c r="F156" s="47"/>
      <c r="I156">
        <v>154</v>
      </c>
      <c r="J156" s="51">
        <f t="shared" si="5"/>
        <v>0</v>
      </c>
      <c r="L156">
        <v>154</v>
      </c>
      <c r="M156" s="51">
        <f ca="1">IFERROR(OFFSET($E$2,MATCH(金币平衡!C181,$F$3:$F$302,1),0),0)</f>
        <v>13250</v>
      </c>
      <c r="N156" s="51">
        <f t="shared" si="6"/>
        <v>0</v>
      </c>
    </row>
    <row r="157" spans="2:14">
      <c r="B157" s="47"/>
      <c r="C157" s="47"/>
      <c r="D157" s="47"/>
      <c r="E157" s="51">
        <v>0</v>
      </c>
      <c r="F157" s="47"/>
      <c r="I157">
        <v>155</v>
      </c>
      <c r="J157" s="51">
        <f t="shared" si="5"/>
        <v>43000</v>
      </c>
      <c r="L157">
        <v>155</v>
      </c>
      <c r="M157" s="51">
        <f ca="1">IFERROR(OFFSET($E$2,MATCH(金币平衡!C182,$F$3:$F$302,1),0),0)</f>
        <v>13250</v>
      </c>
      <c r="N157" s="51">
        <f t="shared" si="6"/>
        <v>0</v>
      </c>
    </row>
    <row r="158" spans="2:14">
      <c r="B158" s="47"/>
      <c r="C158" s="47"/>
      <c r="D158" s="47"/>
      <c r="E158" s="51">
        <v>0</v>
      </c>
      <c r="F158" s="47"/>
      <c r="I158">
        <v>156</v>
      </c>
      <c r="J158" s="51">
        <f t="shared" si="5"/>
        <v>0</v>
      </c>
      <c r="L158">
        <v>156</v>
      </c>
      <c r="M158" s="51">
        <f ca="1">IFERROR(OFFSET($E$2,MATCH(金币平衡!C183,$F$3:$F$302,1),0),0)</f>
        <v>13250</v>
      </c>
      <c r="N158" s="51">
        <f t="shared" si="6"/>
        <v>0</v>
      </c>
    </row>
    <row r="159" spans="2:14">
      <c r="B159" s="47"/>
      <c r="C159" s="47"/>
      <c r="D159" s="47"/>
      <c r="E159" s="51">
        <v>0</v>
      </c>
      <c r="F159" s="47"/>
      <c r="I159">
        <v>157</v>
      </c>
      <c r="J159" s="51">
        <f t="shared" si="5"/>
        <v>0</v>
      </c>
      <c r="L159">
        <v>157</v>
      </c>
      <c r="M159" s="51">
        <f ca="1">IFERROR(OFFSET($E$2,MATCH(金币平衡!C184,$F$3:$F$302,1),0),0)</f>
        <v>13250</v>
      </c>
      <c r="N159" s="51">
        <f t="shared" si="6"/>
        <v>0</v>
      </c>
    </row>
    <row r="160" spans="2:14">
      <c r="B160" s="47"/>
      <c r="C160" s="47"/>
      <c r="D160" s="47"/>
      <c r="E160" s="51">
        <v>0</v>
      </c>
      <c r="F160" s="47"/>
      <c r="I160">
        <v>158</v>
      </c>
      <c r="J160" s="51">
        <f t="shared" si="5"/>
        <v>0</v>
      </c>
      <c r="L160">
        <v>158</v>
      </c>
      <c r="M160" s="51">
        <f ca="1">IFERROR(OFFSET($E$2,MATCH(金币平衡!C185,$F$3:$F$302,1),0),0)</f>
        <v>13250</v>
      </c>
      <c r="N160" s="51">
        <f t="shared" si="6"/>
        <v>0</v>
      </c>
    </row>
    <row r="161" spans="2:14">
      <c r="B161" s="47"/>
      <c r="C161" s="47"/>
      <c r="D161" s="47"/>
      <c r="E161" s="51">
        <v>0</v>
      </c>
      <c r="F161" s="47"/>
      <c r="I161">
        <v>159</v>
      </c>
      <c r="J161" s="51">
        <f t="shared" si="5"/>
        <v>44000</v>
      </c>
      <c r="L161">
        <v>159</v>
      </c>
      <c r="M161" s="51">
        <f ca="1">IFERROR(OFFSET($E$2,MATCH(金币平衡!C186,$F$3:$F$302,1),0),0)</f>
        <v>13250</v>
      </c>
      <c r="N161" s="51">
        <f t="shared" si="6"/>
        <v>0</v>
      </c>
    </row>
    <row r="162" spans="2:14">
      <c r="B162" s="47"/>
      <c r="C162" s="47"/>
      <c r="D162" s="47"/>
      <c r="E162" s="51">
        <v>0</v>
      </c>
      <c r="F162" s="47"/>
      <c r="I162">
        <v>160</v>
      </c>
      <c r="J162" s="51">
        <f t="shared" si="5"/>
        <v>0</v>
      </c>
      <c r="L162">
        <v>160</v>
      </c>
      <c r="M162" s="51">
        <f ca="1">IFERROR(OFFSET($E$2,MATCH(金币平衡!C187,$F$3:$F$302,1),0),0)</f>
        <v>13250</v>
      </c>
      <c r="N162" s="51">
        <f t="shared" si="6"/>
        <v>0</v>
      </c>
    </row>
    <row r="163" spans="2:14">
      <c r="B163" s="47"/>
      <c r="C163" s="47"/>
      <c r="D163" s="47"/>
      <c r="E163" s="51">
        <v>0</v>
      </c>
      <c r="F163" s="47"/>
      <c r="I163">
        <v>161</v>
      </c>
      <c r="J163" s="51">
        <f t="shared" si="5"/>
        <v>0</v>
      </c>
      <c r="L163">
        <v>161</v>
      </c>
      <c r="M163" s="51">
        <f ca="1">IFERROR(OFFSET($E$2,MATCH(金币平衡!C188,$F$3:$F$302,1),0),0)</f>
        <v>13250</v>
      </c>
      <c r="N163" s="51">
        <f t="shared" si="6"/>
        <v>0</v>
      </c>
    </row>
    <row r="164" spans="2:14">
      <c r="B164" s="47"/>
      <c r="C164" s="47"/>
      <c r="D164" s="47"/>
      <c r="E164" s="51">
        <v>0</v>
      </c>
      <c r="F164" s="47"/>
      <c r="I164">
        <v>162</v>
      </c>
      <c r="J164" s="51">
        <f t="shared" si="5"/>
        <v>0</v>
      </c>
      <c r="L164">
        <v>162</v>
      </c>
      <c r="M164" s="51">
        <f ca="1">IFERROR(OFFSET($E$2,MATCH(金币平衡!C189,$F$3:$F$302,1),0),0)</f>
        <v>13250</v>
      </c>
      <c r="N164" s="51">
        <f t="shared" si="6"/>
        <v>0</v>
      </c>
    </row>
    <row r="165" spans="2:14">
      <c r="B165" s="47"/>
      <c r="C165" s="47"/>
      <c r="D165" s="47"/>
      <c r="E165" s="51">
        <v>0</v>
      </c>
      <c r="F165" s="47"/>
      <c r="I165">
        <v>163</v>
      </c>
      <c r="J165" s="51">
        <f t="shared" si="5"/>
        <v>45000</v>
      </c>
      <c r="L165">
        <v>163</v>
      </c>
      <c r="M165" s="51">
        <f ca="1">IFERROR(OFFSET($E$2,MATCH(金币平衡!C190,$F$3:$F$302,1),0),0)</f>
        <v>13250</v>
      </c>
      <c r="N165" s="51">
        <f t="shared" si="6"/>
        <v>0</v>
      </c>
    </row>
    <row r="166" spans="2:14">
      <c r="B166" s="47"/>
      <c r="C166" s="47"/>
      <c r="D166" s="47"/>
      <c r="E166" s="51">
        <v>0</v>
      </c>
      <c r="F166" s="47"/>
      <c r="I166">
        <v>164</v>
      </c>
      <c r="J166" s="51">
        <f t="shared" si="5"/>
        <v>0</v>
      </c>
      <c r="L166">
        <v>164</v>
      </c>
      <c r="M166" s="51">
        <f ca="1">IFERROR(OFFSET($E$2,MATCH(金币平衡!C191,$F$3:$F$302,1),0),0)</f>
        <v>13250</v>
      </c>
      <c r="N166" s="51">
        <f t="shared" si="6"/>
        <v>0</v>
      </c>
    </row>
    <row r="167" spans="2:14">
      <c r="B167" s="47"/>
      <c r="C167" s="47"/>
      <c r="D167" s="47"/>
      <c r="E167" s="51">
        <v>0</v>
      </c>
      <c r="F167" s="47"/>
      <c r="I167">
        <v>165</v>
      </c>
      <c r="J167" s="51">
        <f t="shared" si="5"/>
        <v>0</v>
      </c>
      <c r="L167">
        <v>165</v>
      </c>
      <c r="M167" s="51">
        <f ca="1">IFERROR(OFFSET($E$2,MATCH(金币平衡!C192,$F$3:$F$302,1),0),0)</f>
        <v>13250</v>
      </c>
      <c r="N167" s="51">
        <f t="shared" si="6"/>
        <v>0</v>
      </c>
    </row>
    <row r="168" spans="2:14">
      <c r="B168" s="47"/>
      <c r="C168" s="47"/>
      <c r="D168" s="47"/>
      <c r="E168" s="51">
        <v>0</v>
      </c>
      <c r="F168" s="47"/>
      <c r="I168">
        <v>166</v>
      </c>
      <c r="J168" s="51">
        <f t="shared" si="5"/>
        <v>0</v>
      </c>
      <c r="L168">
        <v>166</v>
      </c>
      <c r="M168" s="51">
        <f ca="1">IFERROR(OFFSET($E$2,MATCH(金币平衡!C193,$F$3:$F$302,1),0),0)</f>
        <v>13250</v>
      </c>
      <c r="N168" s="51">
        <f t="shared" si="6"/>
        <v>0</v>
      </c>
    </row>
    <row r="169" spans="2:14">
      <c r="B169" s="47"/>
      <c r="C169" s="47"/>
      <c r="D169" s="47"/>
      <c r="E169" s="51">
        <v>0</v>
      </c>
      <c r="F169" s="47"/>
      <c r="I169">
        <v>167</v>
      </c>
      <c r="J169" s="51">
        <f t="shared" si="5"/>
        <v>46000</v>
      </c>
      <c r="L169">
        <v>167</v>
      </c>
      <c r="M169" s="51">
        <f ca="1">IFERROR(OFFSET($E$2,MATCH(金币平衡!C194,$F$3:$F$302,1),0),0)</f>
        <v>13250</v>
      </c>
      <c r="N169" s="51">
        <f t="shared" si="6"/>
        <v>0</v>
      </c>
    </row>
    <row r="170" spans="2:14">
      <c r="B170" s="47"/>
      <c r="C170" s="47"/>
      <c r="D170" s="47"/>
      <c r="E170" s="51">
        <v>0</v>
      </c>
      <c r="F170" s="47"/>
      <c r="I170">
        <v>168</v>
      </c>
      <c r="J170" s="51">
        <f t="shared" si="5"/>
        <v>0</v>
      </c>
      <c r="L170">
        <v>168</v>
      </c>
      <c r="M170" s="51">
        <f ca="1">IFERROR(OFFSET($E$2,MATCH(金币平衡!C195,$F$3:$F$302,1),0),0)</f>
        <v>13250</v>
      </c>
      <c r="N170" s="51">
        <f t="shared" si="6"/>
        <v>0</v>
      </c>
    </row>
    <row r="171" spans="2:14">
      <c r="B171" s="47"/>
      <c r="C171" s="47"/>
      <c r="D171" s="47"/>
      <c r="E171" s="51">
        <v>0</v>
      </c>
      <c r="F171" s="47"/>
      <c r="I171">
        <v>169</v>
      </c>
      <c r="J171" s="51">
        <f t="shared" si="5"/>
        <v>0</v>
      </c>
      <c r="L171">
        <v>169</v>
      </c>
      <c r="M171" s="51">
        <f ca="1">IFERROR(OFFSET($E$2,MATCH(金币平衡!C196,$F$3:$F$302,1),0),0)</f>
        <v>13250</v>
      </c>
      <c r="N171" s="51">
        <f t="shared" si="6"/>
        <v>0</v>
      </c>
    </row>
    <row r="172" spans="2:14">
      <c r="B172" s="47"/>
      <c r="C172" s="47"/>
      <c r="D172" s="47"/>
      <c r="E172" s="51">
        <v>0</v>
      </c>
      <c r="F172" s="47"/>
      <c r="I172">
        <v>170</v>
      </c>
      <c r="J172" s="51">
        <f t="shared" si="5"/>
        <v>0</v>
      </c>
      <c r="L172">
        <v>170</v>
      </c>
      <c r="M172" s="51">
        <f ca="1">IFERROR(OFFSET($E$2,MATCH(金币平衡!C197,$F$3:$F$302,1),0),0)</f>
        <v>13250</v>
      </c>
      <c r="N172" s="51">
        <f t="shared" si="6"/>
        <v>0</v>
      </c>
    </row>
    <row r="173" spans="2:14">
      <c r="B173" s="47"/>
      <c r="C173" s="47"/>
      <c r="D173" s="47"/>
      <c r="E173" s="51">
        <v>0</v>
      </c>
      <c r="F173" s="47"/>
      <c r="I173">
        <v>171</v>
      </c>
      <c r="J173" s="51">
        <f t="shared" si="5"/>
        <v>47000</v>
      </c>
      <c r="L173">
        <v>171</v>
      </c>
      <c r="M173" s="51">
        <f ca="1">IFERROR(OFFSET($E$2,MATCH(金币平衡!C198,$F$3:$F$302,1),0),0)</f>
        <v>13250</v>
      </c>
      <c r="N173" s="51">
        <f t="shared" si="6"/>
        <v>0</v>
      </c>
    </row>
    <row r="174" spans="2:14">
      <c r="B174" s="47"/>
      <c r="C174" s="47"/>
      <c r="D174" s="47"/>
      <c r="E174" s="51">
        <v>0</v>
      </c>
      <c r="F174" s="47"/>
      <c r="I174">
        <v>172</v>
      </c>
      <c r="J174" s="51">
        <f t="shared" si="5"/>
        <v>0</v>
      </c>
      <c r="L174">
        <v>172</v>
      </c>
      <c r="M174" s="51">
        <f ca="1">IFERROR(OFFSET($E$2,MATCH(金币平衡!C199,$F$3:$F$302,1),0),0)</f>
        <v>13250</v>
      </c>
      <c r="N174" s="51">
        <f t="shared" si="6"/>
        <v>0</v>
      </c>
    </row>
    <row r="175" spans="2:14">
      <c r="B175" s="47"/>
      <c r="C175" s="47"/>
      <c r="D175" s="47"/>
      <c r="E175" s="51">
        <v>0</v>
      </c>
      <c r="F175" s="47"/>
      <c r="I175">
        <v>173</v>
      </c>
      <c r="J175" s="51">
        <f t="shared" si="5"/>
        <v>0</v>
      </c>
      <c r="L175">
        <v>173</v>
      </c>
      <c r="M175" s="51">
        <f ca="1">IFERROR(OFFSET($E$2,MATCH(金币平衡!C200,$F$3:$F$302,1),0),0)</f>
        <v>13250</v>
      </c>
      <c r="N175" s="51">
        <f t="shared" si="6"/>
        <v>0</v>
      </c>
    </row>
    <row r="176" spans="2:14">
      <c r="B176" s="47"/>
      <c r="C176" s="47"/>
      <c r="D176" s="47"/>
      <c r="E176" s="51">
        <v>0</v>
      </c>
      <c r="F176" s="47"/>
      <c r="I176">
        <v>174</v>
      </c>
      <c r="J176" s="51">
        <f t="shared" si="5"/>
        <v>0</v>
      </c>
      <c r="L176">
        <v>174</v>
      </c>
      <c r="M176" s="51">
        <f ca="1">IFERROR(OFFSET($E$2,MATCH(金币平衡!C201,$F$3:$F$302,1),0),0)</f>
        <v>13250</v>
      </c>
      <c r="N176" s="51">
        <f t="shared" si="6"/>
        <v>0</v>
      </c>
    </row>
    <row r="177" spans="2:14">
      <c r="B177" s="47"/>
      <c r="C177" s="47"/>
      <c r="D177" s="47"/>
      <c r="E177" s="51">
        <v>0</v>
      </c>
      <c r="F177" s="47"/>
      <c r="I177">
        <v>175</v>
      </c>
      <c r="J177" s="51">
        <f t="shared" si="5"/>
        <v>48000</v>
      </c>
      <c r="L177">
        <v>175</v>
      </c>
      <c r="M177" s="51">
        <f ca="1">IFERROR(OFFSET($E$2,MATCH(金币平衡!C202,$F$3:$F$302,1),0),0)</f>
        <v>13250</v>
      </c>
      <c r="N177" s="51">
        <f t="shared" si="6"/>
        <v>0</v>
      </c>
    </row>
    <row r="178" spans="2:14">
      <c r="B178" s="47"/>
      <c r="C178" s="47"/>
      <c r="D178" s="47"/>
      <c r="E178" s="51">
        <v>0</v>
      </c>
      <c r="F178" s="47"/>
      <c r="I178">
        <v>176</v>
      </c>
      <c r="J178" s="51">
        <f t="shared" si="5"/>
        <v>0</v>
      </c>
      <c r="L178">
        <v>176</v>
      </c>
      <c r="M178" s="51">
        <f ca="1">IFERROR(OFFSET($E$2,MATCH(金币平衡!C203,$F$3:$F$302,1),0),0)</f>
        <v>13250</v>
      </c>
      <c r="N178" s="51">
        <f t="shared" si="6"/>
        <v>0</v>
      </c>
    </row>
    <row r="179" spans="2:14">
      <c r="B179" s="47"/>
      <c r="C179" s="47"/>
      <c r="D179" s="47"/>
      <c r="E179" s="51">
        <v>0</v>
      </c>
      <c r="F179" s="47"/>
      <c r="I179">
        <v>177</v>
      </c>
      <c r="J179" s="51">
        <f t="shared" si="5"/>
        <v>0</v>
      </c>
      <c r="L179">
        <v>177</v>
      </c>
      <c r="M179" s="51">
        <f ca="1">IFERROR(OFFSET($E$2,MATCH(金币平衡!C204,$F$3:$F$302,1),0),0)</f>
        <v>13250</v>
      </c>
      <c r="N179" s="51">
        <f t="shared" si="6"/>
        <v>0</v>
      </c>
    </row>
    <row r="180" spans="2:14">
      <c r="B180" s="47"/>
      <c r="C180" s="47"/>
      <c r="D180" s="47"/>
      <c r="E180" s="51">
        <v>0</v>
      </c>
      <c r="F180" s="47"/>
      <c r="I180">
        <v>178</v>
      </c>
      <c r="J180" s="51">
        <f t="shared" si="5"/>
        <v>0</v>
      </c>
      <c r="L180">
        <v>178</v>
      </c>
      <c r="M180" s="51">
        <f ca="1">IFERROR(OFFSET($E$2,MATCH(金币平衡!C205,$F$3:$F$302,1),0),0)</f>
        <v>13250</v>
      </c>
      <c r="N180" s="51">
        <f t="shared" si="6"/>
        <v>0</v>
      </c>
    </row>
    <row r="181" spans="2:14">
      <c r="B181" s="47"/>
      <c r="C181" s="47"/>
      <c r="D181" s="47"/>
      <c r="E181" s="51">
        <v>0</v>
      </c>
      <c r="F181" s="47"/>
      <c r="I181">
        <v>179</v>
      </c>
      <c r="J181" s="51">
        <f t="shared" si="5"/>
        <v>49000</v>
      </c>
      <c r="L181">
        <v>179</v>
      </c>
      <c r="M181" s="51">
        <f ca="1">IFERROR(OFFSET($E$2,MATCH(金币平衡!C206,$F$3:$F$302,1),0),0)</f>
        <v>13250</v>
      </c>
      <c r="N181" s="51">
        <f t="shared" si="6"/>
        <v>0</v>
      </c>
    </row>
    <row r="182" spans="2:14">
      <c r="B182" s="47"/>
      <c r="C182" s="47"/>
      <c r="D182" s="47"/>
      <c r="E182" s="51">
        <v>0</v>
      </c>
      <c r="F182" s="47"/>
      <c r="I182">
        <v>180</v>
      </c>
      <c r="J182" s="51">
        <f t="shared" si="5"/>
        <v>0</v>
      </c>
      <c r="L182">
        <v>180</v>
      </c>
      <c r="M182" s="51">
        <f ca="1">IFERROR(OFFSET($E$2,MATCH(金币平衡!C207,$F$3:$F$302,1),0),0)</f>
        <v>13250</v>
      </c>
      <c r="N182" s="51">
        <f t="shared" si="6"/>
        <v>0</v>
      </c>
    </row>
    <row r="183" spans="2:14">
      <c r="B183" s="47"/>
      <c r="C183" s="47"/>
      <c r="D183" s="47"/>
      <c r="E183" s="51">
        <v>0</v>
      </c>
      <c r="F183" s="47"/>
      <c r="I183">
        <v>181</v>
      </c>
      <c r="J183" s="51">
        <f t="shared" si="5"/>
        <v>0</v>
      </c>
      <c r="L183">
        <v>181</v>
      </c>
      <c r="M183" s="51">
        <f ca="1">IFERROR(OFFSET($E$2,MATCH(金币平衡!C208,$F$3:$F$302,1),0),0)</f>
        <v>13250</v>
      </c>
      <c r="N183" s="51">
        <f t="shared" si="6"/>
        <v>0</v>
      </c>
    </row>
    <row r="184" spans="2:14">
      <c r="B184" s="47"/>
      <c r="C184" s="47"/>
      <c r="D184" s="47"/>
      <c r="E184" s="51">
        <v>0</v>
      </c>
      <c r="F184" s="47"/>
      <c r="I184">
        <v>182</v>
      </c>
      <c r="J184" s="51">
        <f t="shared" si="5"/>
        <v>0</v>
      </c>
      <c r="L184">
        <v>182</v>
      </c>
      <c r="M184" s="51">
        <f ca="1">IFERROR(OFFSET($E$2,MATCH(金币平衡!C209,$F$3:$F$302,1),0),0)</f>
        <v>13250</v>
      </c>
      <c r="N184" s="51">
        <f t="shared" si="6"/>
        <v>0</v>
      </c>
    </row>
    <row r="185" spans="2:14">
      <c r="B185" s="47"/>
      <c r="C185" s="47"/>
      <c r="D185" s="47"/>
      <c r="E185" s="51">
        <v>0</v>
      </c>
      <c r="F185" s="47"/>
      <c r="I185">
        <v>183</v>
      </c>
      <c r="J185" s="51">
        <f t="shared" si="5"/>
        <v>50000</v>
      </c>
      <c r="L185">
        <v>183</v>
      </c>
      <c r="M185" s="51">
        <f ca="1">IFERROR(OFFSET($E$2,MATCH(金币平衡!C210,$F$3:$F$302,1),0),0)</f>
        <v>13250</v>
      </c>
      <c r="N185" s="51">
        <f t="shared" si="6"/>
        <v>0</v>
      </c>
    </row>
    <row r="186" spans="2:14">
      <c r="B186" s="47"/>
      <c r="C186" s="47"/>
      <c r="D186" s="47"/>
      <c r="E186" s="51">
        <v>0</v>
      </c>
      <c r="F186" s="47"/>
      <c r="I186">
        <v>184</v>
      </c>
      <c r="J186" s="51">
        <f t="shared" si="5"/>
        <v>0</v>
      </c>
      <c r="L186">
        <v>184</v>
      </c>
      <c r="M186" s="51">
        <f ca="1">IFERROR(OFFSET($E$2,MATCH(金币平衡!C211,$F$3:$F$302,1),0),0)</f>
        <v>13250</v>
      </c>
      <c r="N186" s="51">
        <f t="shared" si="6"/>
        <v>0</v>
      </c>
    </row>
    <row r="187" spans="2:14">
      <c r="B187" s="47"/>
      <c r="C187" s="47"/>
      <c r="D187" s="47"/>
      <c r="E187" s="51">
        <v>0</v>
      </c>
      <c r="F187" s="47"/>
      <c r="I187">
        <v>185</v>
      </c>
      <c r="J187" s="51">
        <f t="shared" si="5"/>
        <v>0</v>
      </c>
      <c r="L187">
        <v>185</v>
      </c>
      <c r="M187" s="51">
        <f ca="1">IFERROR(OFFSET($E$2,MATCH(金币平衡!C212,$F$3:$F$302,1),0),0)</f>
        <v>13250</v>
      </c>
      <c r="N187" s="51">
        <f t="shared" si="6"/>
        <v>0</v>
      </c>
    </row>
    <row r="188" spans="2:14">
      <c r="B188" s="47"/>
      <c r="C188" s="47"/>
      <c r="D188" s="47"/>
      <c r="E188" s="51">
        <v>0</v>
      </c>
      <c r="F188" s="47"/>
      <c r="I188">
        <v>186</v>
      </c>
      <c r="J188" s="51">
        <f t="shared" si="5"/>
        <v>0</v>
      </c>
      <c r="L188">
        <v>186</v>
      </c>
      <c r="M188" s="51">
        <f ca="1">IFERROR(OFFSET($E$2,MATCH(金币平衡!C213,$F$3:$F$302,1),0),0)</f>
        <v>13250</v>
      </c>
      <c r="N188" s="51">
        <f t="shared" si="6"/>
        <v>0</v>
      </c>
    </row>
    <row r="189" spans="2:14">
      <c r="B189" s="47"/>
      <c r="C189" s="47"/>
      <c r="D189" s="47"/>
      <c r="E189" s="51">
        <v>0</v>
      </c>
      <c r="F189" s="47"/>
      <c r="I189">
        <v>187</v>
      </c>
      <c r="J189" s="51">
        <f t="shared" si="5"/>
        <v>51000</v>
      </c>
      <c r="L189">
        <v>187</v>
      </c>
      <c r="M189" s="51">
        <f ca="1">IFERROR(OFFSET($E$2,MATCH(金币平衡!C214,$F$3:$F$302,1),0),0)</f>
        <v>13250</v>
      </c>
      <c r="N189" s="51">
        <f t="shared" si="6"/>
        <v>0</v>
      </c>
    </row>
    <row r="190" spans="2:14">
      <c r="B190" s="47"/>
      <c r="C190" s="47"/>
      <c r="D190" s="47"/>
      <c r="E190" s="51">
        <v>0</v>
      </c>
      <c r="F190" s="47"/>
      <c r="I190">
        <v>188</v>
      </c>
      <c r="J190" s="51">
        <f t="shared" si="5"/>
        <v>0</v>
      </c>
      <c r="L190">
        <v>188</v>
      </c>
      <c r="M190" s="51">
        <f ca="1">IFERROR(OFFSET($E$2,MATCH(金币平衡!C215,$F$3:$F$302,1),0),0)</f>
        <v>13250</v>
      </c>
      <c r="N190" s="51">
        <f t="shared" si="6"/>
        <v>0</v>
      </c>
    </row>
    <row r="191" spans="2:14">
      <c r="B191" s="47"/>
      <c r="C191" s="47"/>
      <c r="D191" s="47"/>
      <c r="E191" s="51">
        <v>0</v>
      </c>
      <c r="F191" s="47"/>
      <c r="I191">
        <v>189</v>
      </c>
      <c r="J191" s="51">
        <f t="shared" si="5"/>
        <v>0</v>
      </c>
      <c r="L191">
        <v>189</v>
      </c>
      <c r="M191" s="51">
        <f ca="1">IFERROR(OFFSET($E$2,MATCH(金币平衡!C216,$F$3:$F$302,1),0),0)</f>
        <v>13250</v>
      </c>
      <c r="N191" s="51">
        <f t="shared" si="6"/>
        <v>0</v>
      </c>
    </row>
    <row r="192" spans="2:14">
      <c r="B192" s="47"/>
      <c r="C192" s="47"/>
      <c r="D192" s="47"/>
      <c r="E192" s="51">
        <v>0</v>
      </c>
      <c r="F192" s="47"/>
      <c r="I192">
        <v>190</v>
      </c>
      <c r="J192" s="51">
        <f t="shared" si="5"/>
        <v>0</v>
      </c>
      <c r="L192">
        <v>190</v>
      </c>
      <c r="M192" s="51">
        <f ca="1">IFERROR(OFFSET($E$2,MATCH(金币平衡!C217,$F$3:$F$302,1),0),0)</f>
        <v>13250</v>
      </c>
      <c r="N192" s="51">
        <f t="shared" si="6"/>
        <v>0</v>
      </c>
    </row>
    <row r="193" spans="2:14">
      <c r="B193" s="47"/>
      <c r="C193" s="47"/>
      <c r="D193" s="47"/>
      <c r="E193" s="51">
        <v>0</v>
      </c>
      <c r="F193" s="47"/>
      <c r="I193">
        <v>191</v>
      </c>
      <c r="J193" s="51">
        <f t="shared" si="5"/>
        <v>52000</v>
      </c>
      <c r="L193">
        <v>191</v>
      </c>
      <c r="M193" s="51">
        <f ca="1">IFERROR(OFFSET($E$2,MATCH(金币平衡!C218,$F$3:$F$302,1),0),0)</f>
        <v>13250</v>
      </c>
      <c r="N193" s="51">
        <f t="shared" si="6"/>
        <v>0</v>
      </c>
    </row>
    <row r="194" spans="2:14">
      <c r="B194" s="47"/>
      <c r="C194" s="47"/>
      <c r="D194" s="47"/>
      <c r="E194" s="51">
        <v>0</v>
      </c>
      <c r="F194" s="47"/>
      <c r="I194">
        <v>192</v>
      </c>
      <c r="J194" s="51">
        <f t="shared" si="5"/>
        <v>0</v>
      </c>
      <c r="L194">
        <v>192</v>
      </c>
      <c r="M194" s="51">
        <f ca="1">IFERROR(OFFSET($E$2,MATCH(金币平衡!C219,$F$3:$F$302,1),0),0)</f>
        <v>13250</v>
      </c>
      <c r="N194" s="51">
        <f t="shared" si="6"/>
        <v>0</v>
      </c>
    </row>
    <row r="195" spans="2:14">
      <c r="B195" s="47"/>
      <c r="C195" s="47"/>
      <c r="D195" s="47"/>
      <c r="E195" s="51">
        <v>0</v>
      </c>
      <c r="F195" s="47"/>
      <c r="I195">
        <v>193</v>
      </c>
      <c r="J195" s="51">
        <f t="shared" ref="J195:J258" si="7">SUMIF($F$3:$F$302,I195,$D$3:$D$302)</f>
        <v>0</v>
      </c>
      <c r="L195">
        <v>193</v>
      </c>
      <c r="M195" s="51">
        <f ca="1">IFERROR(OFFSET($E$2,MATCH(金币平衡!C220,$F$3:$F$302,1),0),0)</f>
        <v>13250</v>
      </c>
      <c r="N195" s="51">
        <f t="shared" ref="N195:N258" si="8">E195/2</f>
        <v>0</v>
      </c>
    </row>
    <row r="196" spans="2:14">
      <c r="B196" s="47"/>
      <c r="C196" s="47"/>
      <c r="D196" s="47"/>
      <c r="E196" s="51">
        <v>0</v>
      </c>
      <c r="F196" s="47"/>
      <c r="I196">
        <v>194</v>
      </c>
      <c r="J196" s="51">
        <f t="shared" si="7"/>
        <v>0</v>
      </c>
      <c r="L196">
        <v>194</v>
      </c>
      <c r="M196" s="51">
        <f ca="1">IFERROR(OFFSET($E$2,MATCH(金币平衡!C221,$F$3:$F$302,1),0),0)</f>
        <v>13250</v>
      </c>
      <c r="N196" s="51">
        <f t="shared" si="8"/>
        <v>0</v>
      </c>
    </row>
    <row r="197" spans="2:14">
      <c r="B197" s="47"/>
      <c r="C197" s="47"/>
      <c r="D197" s="47"/>
      <c r="E197" s="51">
        <v>0</v>
      </c>
      <c r="F197" s="47"/>
      <c r="I197">
        <v>195</v>
      </c>
      <c r="J197" s="51">
        <f t="shared" si="7"/>
        <v>53000</v>
      </c>
      <c r="L197">
        <v>195</v>
      </c>
      <c r="M197" s="51">
        <f ca="1">IFERROR(OFFSET($E$2,MATCH(金币平衡!C222,$F$3:$F$302,1),0),0)</f>
        <v>13250</v>
      </c>
      <c r="N197" s="51">
        <f t="shared" si="8"/>
        <v>0</v>
      </c>
    </row>
    <row r="198" spans="2:14">
      <c r="B198" s="47"/>
      <c r="C198" s="47"/>
      <c r="D198" s="47"/>
      <c r="E198" s="51">
        <v>0</v>
      </c>
      <c r="F198" s="47"/>
      <c r="I198">
        <v>196</v>
      </c>
      <c r="J198" s="51">
        <f t="shared" si="7"/>
        <v>0</v>
      </c>
      <c r="L198">
        <v>196</v>
      </c>
      <c r="M198" s="51">
        <f ca="1">IFERROR(OFFSET($E$2,MATCH(金币平衡!C223,$F$3:$F$302,1),0),0)</f>
        <v>13250</v>
      </c>
      <c r="N198" s="51">
        <f t="shared" si="8"/>
        <v>0</v>
      </c>
    </row>
    <row r="199" spans="2:14">
      <c r="B199" s="47"/>
      <c r="C199" s="47"/>
      <c r="D199" s="47"/>
      <c r="E199" s="51">
        <v>0</v>
      </c>
      <c r="F199" s="47"/>
      <c r="I199">
        <v>197</v>
      </c>
      <c r="J199" s="51">
        <f t="shared" si="7"/>
        <v>0</v>
      </c>
      <c r="L199">
        <v>197</v>
      </c>
      <c r="M199" s="51">
        <f ca="1">IFERROR(OFFSET($E$2,MATCH(金币平衡!C224,$F$3:$F$302,1),0),0)</f>
        <v>13250</v>
      </c>
      <c r="N199" s="51">
        <f t="shared" si="8"/>
        <v>0</v>
      </c>
    </row>
    <row r="200" spans="2:14">
      <c r="B200" s="47"/>
      <c r="C200" s="47"/>
      <c r="D200" s="47"/>
      <c r="E200" s="51">
        <v>0</v>
      </c>
      <c r="F200" s="47"/>
      <c r="I200">
        <v>198</v>
      </c>
      <c r="J200" s="51">
        <f t="shared" si="7"/>
        <v>0</v>
      </c>
      <c r="L200">
        <v>198</v>
      </c>
      <c r="M200" s="51">
        <f ca="1">IFERROR(OFFSET($E$2,MATCH(金币平衡!C225,$F$3:$F$302,1),0),0)</f>
        <v>13250</v>
      </c>
      <c r="N200" s="51">
        <f t="shared" si="8"/>
        <v>0</v>
      </c>
    </row>
    <row r="201" spans="2:14">
      <c r="B201" s="47"/>
      <c r="C201" s="47"/>
      <c r="D201" s="47"/>
      <c r="E201" s="51">
        <v>0</v>
      </c>
      <c r="F201" s="47"/>
      <c r="I201">
        <v>199</v>
      </c>
      <c r="J201" s="51">
        <f t="shared" si="7"/>
        <v>0</v>
      </c>
      <c r="L201">
        <v>199</v>
      </c>
      <c r="M201" s="51">
        <f ca="1">IFERROR(OFFSET($E$2,MATCH(金币平衡!C226,$F$3:$F$302,1),0),0)</f>
        <v>13250</v>
      </c>
      <c r="N201" s="51">
        <f t="shared" si="8"/>
        <v>0</v>
      </c>
    </row>
    <row r="202" spans="2:14">
      <c r="B202" s="47"/>
      <c r="C202" s="47"/>
      <c r="D202" s="47"/>
      <c r="E202" s="51">
        <v>0</v>
      </c>
      <c r="F202" s="47"/>
      <c r="I202">
        <v>200</v>
      </c>
      <c r="J202" s="51">
        <f t="shared" si="7"/>
        <v>0</v>
      </c>
      <c r="L202">
        <v>200</v>
      </c>
      <c r="M202" s="51">
        <f ca="1">IFERROR(OFFSET($E$2,MATCH(金币平衡!C227,$F$3:$F$302,1),0),0)</f>
        <v>13250</v>
      </c>
      <c r="N202" s="51">
        <f t="shared" si="8"/>
        <v>0</v>
      </c>
    </row>
    <row r="203" spans="2:14">
      <c r="B203" s="47"/>
      <c r="C203" s="47"/>
      <c r="D203" s="47"/>
      <c r="E203" s="51">
        <v>0</v>
      </c>
      <c r="F203" s="47"/>
      <c r="I203">
        <v>201</v>
      </c>
      <c r="J203" s="51">
        <f t="shared" si="7"/>
        <v>0</v>
      </c>
      <c r="L203">
        <v>201</v>
      </c>
      <c r="M203" s="51">
        <f ca="1">IFERROR(OFFSET($E$2,MATCH(金币平衡!C228,$F$3:$F$302,1),0),0)</f>
        <v>13250</v>
      </c>
      <c r="N203" s="51">
        <f t="shared" si="8"/>
        <v>0</v>
      </c>
    </row>
    <row r="204" spans="2:14">
      <c r="B204" s="47"/>
      <c r="C204" s="47"/>
      <c r="D204" s="47"/>
      <c r="E204" s="51">
        <v>0</v>
      </c>
      <c r="F204" s="47"/>
      <c r="I204">
        <v>202</v>
      </c>
      <c r="J204" s="51">
        <f t="shared" si="7"/>
        <v>0</v>
      </c>
      <c r="L204">
        <v>202</v>
      </c>
      <c r="M204" s="51">
        <f ca="1">IFERROR(OFFSET($E$2,MATCH(金币平衡!C229,$F$3:$F$302,1),0),0)</f>
        <v>13250</v>
      </c>
      <c r="N204" s="51">
        <f t="shared" si="8"/>
        <v>0</v>
      </c>
    </row>
    <row r="205" spans="2:14">
      <c r="B205" s="47"/>
      <c r="C205" s="47"/>
      <c r="D205" s="47"/>
      <c r="E205" s="51">
        <v>0</v>
      </c>
      <c r="F205" s="47"/>
      <c r="I205">
        <v>203</v>
      </c>
      <c r="J205" s="51">
        <f t="shared" si="7"/>
        <v>0</v>
      </c>
      <c r="L205">
        <v>203</v>
      </c>
      <c r="M205" s="51">
        <f ca="1">IFERROR(OFFSET($E$2,MATCH(金币平衡!C230,$F$3:$F$302,1),0),0)</f>
        <v>13250</v>
      </c>
      <c r="N205" s="51">
        <f t="shared" si="8"/>
        <v>0</v>
      </c>
    </row>
    <row r="206" spans="2:14">
      <c r="B206" s="47"/>
      <c r="C206" s="47"/>
      <c r="D206" s="47"/>
      <c r="E206" s="51">
        <v>0</v>
      </c>
      <c r="F206" s="47"/>
      <c r="I206">
        <v>204</v>
      </c>
      <c r="J206" s="51">
        <f t="shared" si="7"/>
        <v>0</v>
      </c>
      <c r="L206">
        <v>204</v>
      </c>
      <c r="M206" s="51">
        <f ca="1">IFERROR(OFFSET($E$2,MATCH(金币平衡!C231,$F$3:$F$302,1),0),0)</f>
        <v>13250</v>
      </c>
      <c r="N206" s="51">
        <f t="shared" si="8"/>
        <v>0</v>
      </c>
    </row>
    <row r="207" spans="2:14">
      <c r="B207" s="47"/>
      <c r="C207" s="47"/>
      <c r="D207" s="47"/>
      <c r="E207" s="51">
        <v>0</v>
      </c>
      <c r="F207" s="47"/>
      <c r="I207">
        <v>205</v>
      </c>
      <c r="J207" s="51">
        <f t="shared" si="7"/>
        <v>0</v>
      </c>
      <c r="L207">
        <v>205</v>
      </c>
      <c r="M207" s="51">
        <f ca="1">IFERROR(OFFSET($E$2,MATCH(金币平衡!C232,$F$3:$F$302,1),0),0)</f>
        <v>13250</v>
      </c>
      <c r="N207" s="51">
        <f t="shared" si="8"/>
        <v>0</v>
      </c>
    </row>
    <row r="208" spans="2:14">
      <c r="B208" s="47"/>
      <c r="C208" s="47"/>
      <c r="D208" s="47"/>
      <c r="E208" s="51">
        <v>0</v>
      </c>
      <c r="F208" s="47"/>
      <c r="I208">
        <v>206</v>
      </c>
      <c r="J208" s="51">
        <f t="shared" si="7"/>
        <v>0</v>
      </c>
      <c r="L208">
        <v>206</v>
      </c>
      <c r="M208" s="51">
        <f ca="1">IFERROR(OFFSET($E$2,MATCH(金币平衡!C233,$F$3:$F$302,1),0),0)</f>
        <v>13250</v>
      </c>
      <c r="N208" s="51">
        <f t="shared" si="8"/>
        <v>0</v>
      </c>
    </row>
    <row r="209" spans="2:14">
      <c r="B209" s="47"/>
      <c r="C209" s="47"/>
      <c r="D209" s="47"/>
      <c r="E209" s="51">
        <v>0</v>
      </c>
      <c r="F209" s="47"/>
      <c r="I209">
        <v>207</v>
      </c>
      <c r="J209" s="51">
        <f t="shared" si="7"/>
        <v>0</v>
      </c>
      <c r="L209">
        <v>207</v>
      </c>
      <c r="M209" s="51">
        <f ca="1">IFERROR(OFFSET($E$2,MATCH(金币平衡!C234,$F$3:$F$302,1),0),0)</f>
        <v>13250</v>
      </c>
      <c r="N209" s="51">
        <f t="shared" si="8"/>
        <v>0</v>
      </c>
    </row>
    <row r="210" spans="2:14">
      <c r="B210" s="47"/>
      <c r="C210" s="47"/>
      <c r="D210" s="47"/>
      <c r="E210" s="51">
        <v>0</v>
      </c>
      <c r="F210" s="47"/>
      <c r="I210">
        <v>208</v>
      </c>
      <c r="J210" s="51">
        <f t="shared" si="7"/>
        <v>0</v>
      </c>
      <c r="L210">
        <v>208</v>
      </c>
      <c r="M210" s="51">
        <f ca="1">IFERROR(OFFSET($E$2,MATCH(金币平衡!C235,$F$3:$F$302,1),0),0)</f>
        <v>13250</v>
      </c>
      <c r="N210" s="51">
        <f t="shared" si="8"/>
        <v>0</v>
      </c>
    </row>
    <row r="211" spans="2:14">
      <c r="B211" s="47"/>
      <c r="C211" s="47"/>
      <c r="D211" s="47"/>
      <c r="E211" s="51">
        <v>0</v>
      </c>
      <c r="F211" s="47"/>
      <c r="I211">
        <v>209</v>
      </c>
      <c r="J211" s="51">
        <f t="shared" si="7"/>
        <v>0</v>
      </c>
      <c r="L211">
        <v>209</v>
      </c>
      <c r="M211" s="51">
        <f ca="1">IFERROR(OFFSET($E$2,MATCH(金币平衡!C236,$F$3:$F$302,1),0),0)</f>
        <v>13250</v>
      </c>
      <c r="N211" s="51">
        <f t="shared" si="8"/>
        <v>0</v>
      </c>
    </row>
    <row r="212" spans="2:14">
      <c r="B212" s="47"/>
      <c r="C212" s="47"/>
      <c r="D212" s="47"/>
      <c r="E212" s="51">
        <v>0</v>
      </c>
      <c r="F212" s="47"/>
      <c r="I212">
        <v>210</v>
      </c>
      <c r="J212" s="51">
        <f t="shared" si="7"/>
        <v>0</v>
      </c>
      <c r="L212">
        <v>210</v>
      </c>
      <c r="M212" s="51">
        <f ca="1">IFERROR(OFFSET($E$2,MATCH(金币平衡!C237,$F$3:$F$302,1),0),0)</f>
        <v>13250</v>
      </c>
      <c r="N212" s="51">
        <f t="shared" si="8"/>
        <v>0</v>
      </c>
    </row>
    <row r="213" spans="2:14">
      <c r="B213" s="47"/>
      <c r="C213" s="47"/>
      <c r="D213" s="47"/>
      <c r="E213" s="51">
        <v>0</v>
      </c>
      <c r="F213" s="47"/>
      <c r="I213">
        <v>211</v>
      </c>
      <c r="J213" s="51">
        <f t="shared" si="7"/>
        <v>0</v>
      </c>
      <c r="L213">
        <v>211</v>
      </c>
      <c r="M213" s="51">
        <f ca="1">IFERROR(OFFSET($E$2,MATCH(金币平衡!C238,$F$3:$F$302,1),0),0)</f>
        <v>13250</v>
      </c>
      <c r="N213" s="51">
        <f t="shared" si="8"/>
        <v>0</v>
      </c>
    </row>
    <row r="214" spans="2:14">
      <c r="B214" s="47"/>
      <c r="C214" s="47"/>
      <c r="D214" s="47"/>
      <c r="E214" s="51">
        <v>0</v>
      </c>
      <c r="F214" s="47"/>
      <c r="I214">
        <v>212</v>
      </c>
      <c r="J214" s="51">
        <f t="shared" si="7"/>
        <v>0</v>
      </c>
      <c r="L214">
        <v>212</v>
      </c>
      <c r="M214" s="51">
        <f ca="1">IFERROR(OFFSET($E$2,MATCH(金币平衡!C239,$F$3:$F$302,1),0),0)</f>
        <v>13250</v>
      </c>
      <c r="N214" s="51">
        <f t="shared" si="8"/>
        <v>0</v>
      </c>
    </row>
    <row r="215" spans="2:14">
      <c r="B215" s="47"/>
      <c r="C215" s="47"/>
      <c r="D215" s="47"/>
      <c r="E215" s="51">
        <v>0</v>
      </c>
      <c r="F215" s="47"/>
      <c r="I215">
        <v>213</v>
      </c>
      <c r="J215" s="51">
        <f t="shared" si="7"/>
        <v>0</v>
      </c>
      <c r="L215">
        <v>213</v>
      </c>
      <c r="M215" s="51">
        <f ca="1">IFERROR(OFFSET($E$2,MATCH(金币平衡!C240,$F$3:$F$302,1),0),0)</f>
        <v>13250</v>
      </c>
      <c r="N215" s="51">
        <f t="shared" si="8"/>
        <v>0</v>
      </c>
    </row>
    <row r="216" spans="2:14">
      <c r="B216" s="47"/>
      <c r="C216" s="47"/>
      <c r="D216" s="47"/>
      <c r="E216" s="51">
        <v>0</v>
      </c>
      <c r="F216" s="47"/>
      <c r="I216">
        <v>214</v>
      </c>
      <c r="J216" s="51">
        <f t="shared" si="7"/>
        <v>0</v>
      </c>
      <c r="L216">
        <v>214</v>
      </c>
      <c r="M216" s="51">
        <f ca="1">IFERROR(OFFSET($E$2,MATCH(金币平衡!C241,$F$3:$F$302,1),0),0)</f>
        <v>13250</v>
      </c>
      <c r="N216" s="51">
        <f t="shared" si="8"/>
        <v>0</v>
      </c>
    </row>
    <row r="217" spans="2:14">
      <c r="B217" s="47"/>
      <c r="C217" s="47"/>
      <c r="D217" s="47"/>
      <c r="E217" s="51">
        <v>0</v>
      </c>
      <c r="F217" s="47"/>
      <c r="I217">
        <v>215</v>
      </c>
      <c r="J217" s="51">
        <f t="shared" si="7"/>
        <v>0</v>
      </c>
      <c r="L217">
        <v>215</v>
      </c>
      <c r="M217" s="51">
        <f ca="1">IFERROR(OFFSET($E$2,MATCH(金币平衡!C242,$F$3:$F$302,1),0),0)</f>
        <v>13250</v>
      </c>
      <c r="N217" s="51">
        <f t="shared" si="8"/>
        <v>0</v>
      </c>
    </row>
    <row r="218" spans="2:14">
      <c r="B218" s="47"/>
      <c r="C218" s="47"/>
      <c r="D218" s="47"/>
      <c r="E218" s="51">
        <v>0</v>
      </c>
      <c r="F218" s="47"/>
      <c r="I218">
        <v>216</v>
      </c>
      <c r="J218" s="51">
        <f t="shared" si="7"/>
        <v>0</v>
      </c>
      <c r="L218">
        <v>216</v>
      </c>
      <c r="M218" s="51">
        <f ca="1">IFERROR(OFFSET($E$2,MATCH(金币平衡!C243,$F$3:$F$302,1),0),0)</f>
        <v>13250</v>
      </c>
      <c r="N218" s="51">
        <f t="shared" si="8"/>
        <v>0</v>
      </c>
    </row>
    <row r="219" spans="2:14">
      <c r="B219" s="47"/>
      <c r="C219" s="47"/>
      <c r="D219" s="47"/>
      <c r="E219" s="51">
        <v>0</v>
      </c>
      <c r="F219" s="47"/>
      <c r="I219">
        <v>217</v>
      </c>
      <c r="J219" s="51">
        <f t="shared" si="7"/>
        <v>0</v>
      </c>
      <c r="L219">
        <v>217</v>
      </c>
      <c r="M219" s="51">
        <f ca="1">IFERROR(OFFSET($E$2,MATCH(金币平衡!C244,$F$3:$F$302,1),0),0)</f>
        <v>13250</v>
      </c>
      <c r="N219" s="51">
        <f t="shared" si="8"/>
        <v>0</v>
      </c>
    </row>
    <row r="220" spans="2:14">
      <c r="B220" s="47"/>
      <c r="C220" s="47"/>
      <c r="D220" s="47"/>
      <c r="E220" s="51">
        <v>0</v>
      </c>
      <c r="F220" s="47"/>
      <c r="I220">
        <v>218</v>
      </c>
      <c r="J220" s="51">
        <f t="shared" si="7"/>
        <v>0</v>
      </c>
      <c r="L220">
        <v>218</v>
      </c>
      <c r="M220" s="51">
        <f ca="1">IFERROR(OFFSET($E$2,MATCH(金币平衡!C245,$F$3:$F$302,1),0),0)</f>
        <v>13250</v>
      </c>
      <c r="N220" s="51">
        <f t="shared" si="8"/>
        <v>0</v>
      </c>
    </row>
    <row r="221" spans="2:14">
      <c r="B221" s="47"/>
      <c r="C221" s="47"/>
      <c r="D221" s="47"/>
      <c r="E221" s="51">
        <v>0</v>
      </c>
      <c r="F221" s="47"/>
      <c r="I221">
        <v>219</v>
      </c>
      <c r="J221" s="51">
        <f t="shared" si="7"/>
        <v>0</v>
      </c>
      <c r="L221">
        <v>219</v>
      </c>
      <c r="M221" s="51">
        <f ca="1">IFERROR(OFFSET($E$2,MATCH(金币平衡!C246,$F$3:$F$302,1),0),0)</f>
        <v>13250</v>
      </c>
      <c r="N221" s="51">
        <f t="shared" si="8"/>
        <v>0</v>
      </c>
    </row>
    <row r="222" spans="2:14">
      <c r="B222" s="47"/>
      <c r="C222" s="47"/>
      <c r="D222" s="47"/>
      <c r="E222" s="51">
        <v>0</v>
      </c>
      <c r="F222" s="47"/>
      <c r="I222">
        <v>220</v>
      </c>
      <c r="J222" s="51">
        <f t="shared" si="7"/>
        <v>0</v>
      </c>
      <c r="L222">
        <v>220</v>
      </c>
      <c r="M222" s="51">
        <f ca="1">IFERROR(OFFSET($E$2,MATCH(金币平衡!C247,$F$3:$F$302,1),0),0)</f>
        <v>13250</v>
      </c>
      <c r="N222" s="51">
        <f t="shared" si="8"/>
        <v>0</v>
      </c>
    </row>
    <row r="223" spans="2:14">
      <c r="B223" s="47"/>
      <c r="C223" s="47"/>
      <c r="D223" s="47"/>
      <c r="E223" s="51">
        <v>0</v>
      </c>
      <c r="F223" s="47"/>
      <c r="I223">
        <v>221</v>
      </c>
      <c r="J223" s="51">
        <f t="shared" si="7"/>
        <v>0</v>
      </c>
      <c r="L223">
        <v>221</v>
      </c>
      <c r="M223" s="51">
        <f ca="1">IFERROR(OFFSET($E$2,MATCH(金币平衡!C248,$F$3:$F$302,1),0),0)</f>
        <v>13250</v>
      </c>
      <c r="N223" s="51">
        <f t="shared" si="8"/>
        <v>0</v>
      </c>
    </row>
    <row r="224" spans="2:14">
      <c r="B224" s="47"/>
      <c r="C224" s="47"/>
      <c r="D224" s="47"/>
      <c r="E224" s="51">
        <v>0</v>
      </c>
      <c r="F224" s="47"/>
      <c r="I224">
        <v>222</v>
      </c>
      <c r="J224" s="51">
        <f t="shared" si="7"/>
        <v>0</v>
      </c>
      <c r="L224">
        <v>222</v>
      </c>
      <c r="M224" s="51">
        <f ca="1">IFERROR(OFFSET($E$2,MATCH(金币平衡!C249,$F$3:$F$302,1),0),0)</f>
        <v>13250</v>
      </c>
      <c r="N224" s="51">
        <f t="shared" si="8"/>
        <v>0</v>
      </c>
    </row>
    <row r="225" spans="2:14">
      <c r="B225" s="47"/>
      <c r="C225" s="47"/>
      <c r="D225" s="47"/>
      <c r="E225" s="51">
        <v>0</v>
      </c>
      <c r="F225" s="47"/>
      <c r="I225">
        <v>223</v>
      </c>
      <c r="J225" s="51">
        <f t="shared" si="7"/>
        <v>0</v>
      </c>
      <c r="L225">
        <v>223</v>
      </c>
      <c r="M225" s="51">
        <f ca="1">IFERROR(OFFSET($E$2,MATCH(金币平衡!C250,$F$3:$F$302,1),0),0)</f>
        <v>13250</v>
      </c>
      <c r="N225" s="51">
        <f t="shared" si="8"/>
        <v>0</v>
      </c>
    </row>
    <row r="226" spans="2:14">
      <c r="B226" s="47"/>
      <c r="C226" s="47"/>
      <c r="D226" s="47"/>
      <c r="E226" s="51">
        <v>0</v>
      </c>
      <c r="F226" s="47"/>
      <c r="I226">
        <v>224</v>
      </c>
      <c r="J226" s="51">
        <f t="shared" si="7"/>
        <v>0</v>
      </c>
      <c r="L226">
        <v>224</v>
      </c>
      <c r="M226" s="51">
        <f ca="1">IFERROR(OFFSET($E$2,MATCH(金币平衡!C251,$F$3:$F$302,1),0),0)</f>
        <v>13250</v>
      </c>
      <c r="N226" s="51">
        <f t="shared" si="8"/>
        <v>0</v>
      </c>
    </row>
    <row r="227" spans="2:14">
      <c r="B227" s="47"/>
      <c r="C227" s="47"/>
      <c r="D227" s="47"/>
      <c r="E227" s="51">
        <v>0</v>
      </c>
      <c r="F227" s="47"/>
      <c r="I227">
        <v>225</v>
      </c>
      <c r="J227" s="51">
        <f t="shared" si="7"/>
        <v>0</v>
      </c>
      <c r="L227">
        <v>225</v>
      </c>
      <c r="M227" s="51">
        <f ca="1">IFERROR(OFFSET($E$2,MATCH(金币平衡!C252,$F$3:$F$302,1),0),0)</f>
        <v>13250</v>
      </c>
      <c r="N227" s="51">
        <f t="shared" si="8"/>
        <v>0</v>
      </c>
    </row>
    <row r="228" spans="2:14">
      <c r="B228" s="47"/>
      <c r="C228" s="47"/>
      <c r="D228" s="47"/>
      <c r="E228" s="51">
        <v>0</v>
      </c>
      <c r="F228" s="47"/>
      <c r="I228">
        <v>226</v>
      </c>
      <c r="J228" s="51">
        <f t="shared" si="7"/>
        <v>0</v>
      </c>
      <c r="L228">
        <v>226</v>
      </c>
      <c r="M228" s="51">
        <f ca="1">IFERROR(OFFSET($E$2,MATCH(金币平衡!C253,$F$3:$F$302,1),0),0)</f>
        <v>13250</v>
      </c>
      <c r="N228" s="51">
        <f t="shared" si="8"/>
        <v>0</v>
      </c>
    </row>
    <row r="229" spans="2:14">
      <c r="B229" s="47"/>
      <c r="C229" s="47"/>
      <c r="D229" s="47"/>
      <c r="E229" s="51">
        <v>0</v>
      </c>
      <c r="F229" s="47"/>
      <c r="I229">
        <v>227</v>
      </c>
      <c r="J229" s="51">
        <f t="shared" si="7"/>
        <v>0</v>
      </c>
      <c r="L229">
        <v>227</v>
      </c>
      <c r="M229" s="51">
        <f ca="1">IFERROR(OFFSET($E$2,MATCH(金币平衡!C254,$F$3:$F$302,1),0),0)</f>
        <v>13250</v>
      </c>
      <c r="N229" s="51">
        <f t="shared" si="8"/>
        <v>0</v>
      </c>
    </row>
    <row r="230" spans="2:14">
      <c r="B230" s="47"/>
      <c r="C230" s="47"/>
      <c r="D230" s="47"/>
      <c r="E230" s="51">
        <v>0</v>
      </c>
      <c r="F230" s="47"/>
      <c r="I230">
        <v>228</v>
      </c>
      <c r="J230" s="51">
        <f t="shared" si="7"/>
        <v>0</v>
      </c>
      <c r="L230">
        <v>228</v>
      </c>
      <c r="M230" s="51">
        <f ca="1">IFERROR(OFFSET($E$2,MATCH(金币平衡!C255,$F$3:$F$302,1),0),0)</f>
        <v>13250</v>
      </c>
      <c r="N230" s="51">
        <f t="shared" si="8"/>
        <v>0</v>
      </c>
    </row>
    <row r="231" spans="2:14">
      <c r="B231" s="47"/>
      <c r="C231" s="47"/>
      <c r="D231" s="47"/>
      <c r="E231" s="51">
        <v>0</v>
      </c>
      <c r="F231" s="47"/>
      <c r="I231">
        <v>229</v>
      </c>
      <c r="J231" s="51">
        <f t="shared" si="7"/>
        <v>0</v>
      </c>
      <c r="L231">
        <v>229</v>
      </c>
      <c r="M231" s="51">
        <f ca="1">IFERROR(OFFSET($E$2,MATCH(金币平衡!C256,$F$3:$F$302,1),0),0)</f>
        <v>13250</v>
      </c>
      <c r="N231" s="51">
        <f t="shared" si="8"/>
        <v>0</v>
      </c>
    </row>
    <row r="232" spans="2:14">
      <c r="B232" s="47"/>
      <c r="C232" s="47"/>
      <c r="D232" s="47"/>
      <c r="E232" s="51">
        <v>0</v>
      </c>
      <c r="F232" s="47"/>
      <c r="I232">
        <v>230</v>
      </c>
      <c r="J232" s="51">
        <f t="shared" si="7"/>
        <v>0</v>
      </c>
      <c r="L232">
        <v>230</v>
      </c>
      <c r="M232" s="51">
        <f ca="1">IFERROR(OFFSET($E$2,MATCH(金币平衡!C257,$F$3:$F$302,1),0),0)</f>
        <v>13250</v>
      </c>
      <c r="N232" s="51">
        <f t="shared" si="8"/>
        <v>0</v>
      </c>
    </row>
    <row r="233" spans="2:14">
      <c r="B233" s="47"/>
      <c r="C233" s="47"/>
      <c r="D233" s="47"/>
      <c r="E233" s="51">
        <v>0</v>
      </c>
      <c r="F233" s="47"/>
      <c r="I233">
        <v>231</v>
      </c>
      <c r="J233" s="51">
        <f t="shared" si="7"/>
        <v>0</v>
      </c>
      <c r="L233">
        <v>231</v>
      </c>
      <c r="M233" s="51">
        <f ca="1">IFERROR(OFFSET($E$2,MATCH(金币平衡!C258,$F$3:$F$302,1),0),0)</f>
        <v>13250</v>
      </c>
      <c r="N233" s="51">
        <f t="shared" si="8"/>
        <v>0</v>
      </c>
    </row>
    <row r="234" spans="2:14">
      <c r="B234" s="47"/>
      <c r="C234" s="47"/>
      <c r="D234" s="47"/>
      <c r="E234" s="51">
        <v>0</v>
      </c>
      <c r="F234" s="47"/>
      <c r="I234">
        <v>232</v>
      </c>
      <c r="J234" s="51">
        <f t="shared" si="7"/>
        <v>0</v>
      </c>
      <c r="L234">
        <v>232</v>
      </c>
      <c r="M234" s="51">
        <f ca="1">IFERROR(OFFSET($E$2,MATCH(金币平衡!C259,$F$3:$F$302,1),0),0)</f>
        <v>13250</v>
      </c>
      <c r="N234" s="51">
        <f t="shared" si="8"/>
        <v>0</v>
      </c>
    </row>
    <row r="235" spans="2:14">
      <c r="B235" s="47"/>
      <c r="C235" s="47"/>
      <c r="D235" s="47"/>
      <c r="E235" s="51">
        <v>0</v>
      </c>
      <c r="F235" s="47"/>
      <c r="I235">
        <v>233</v>
      </c>
      <c r="J235" s="51">
        <f t="shared" si="7"/>
        <v>0</v>
      </c>
      <c r="L235">
        <v>233</v>
      </c>
      <c r="M235" s="51">
        <f ca="1">IFERROR(OFFSET($E$2,MATCH(金币平衡!C260,$F$3:$F$302,1),0),0)</f>
        <v>13250</v>
      </c>
      <c r="N235" s="51">
        <f t="shared" si="8"/>
        <v>0</v>
      </c>
    </row>
    <row r="236" spans="2:14">
      <c r="B236" s="47"/>
      <c r="C236" s="47"/>
      <c r="D236" s="47"/>
      <c r="E236" s="51">
        <v>0</v>
      </c>
      <c r="F236" s="47"/>
      <c r="I236">
        <v>234</v>
      </c>
      <c r="J236" s="51">
        <f t="shared" si="7"/>
        <v>0</v>
      </c>
      <c r="L236">
        <v>234</v>
      </c>
      <c r="M236" s="51">
        <f ca="1">IFERROR(OFFSET($E$2,MATCH(金币平衡!C261,$F$3:$F$302,1),0),0)</f>
        <v>13250</v>
      </c>
      <c r="N236" s="51">
        <f t="shared" si="8"/>
        <v>0</v>
      </c>
    </row>
    <row r="237" spans="2:14">
      <c r="B237" s="47"/>
      <c r="C237" s="47"/>
      <c r="D237" s="47"/>
      <c r="E237" s="51">
        <v>0</v>
      </c>
      <c r="F237" s="47"/>
      <c r="I237">
        <v>235</v>
      </c>
      <c r="J237" s="51">
        <f t="shared" si="7"/>
        <v>0</v>
      </c>
      <c r="L237">
        <v>235</v>
      </c>
      <c r="M237" s="51">
        <f ca="1">IFERROR(OFFSET($E$2,MATCH(金币平衡!C262,$F$3:$F$302,1),0),0)</f>
        <v>13250</v>
      </c>
      <c r="N237" s="51">
        <f t="shared" si="8"/>
        <v>0</v>
      </c>
    </row>
    <row r="238" spans="2:14">
      <c r="B238" s="47"/>
      <c r="C238" s="47"/>
      <c r="D238" s="47"/>
      <c r="E238" s="51">
        <v>0</v>
      </c>
      <c r="F238" s="47"/>
      <c r="I238">
        <v>236</v>
      </c>
      <c r="J238" s="51">
        <f t="shared" si="7"/>
        <v>0</v>
      </c>
      <c r="L238">
        <v>236</v>
      </c>
      <c r="M238" s="51">
        <f ca="1">IFERROR(OFFSET($E$2,MATCH(金币平衡!C263,$F$3:$F$302,1),0),0)</f>
        <v>13250</v>
      </c>
      <c r="N238" s="51">
        <f t="shared" si="8"/>
        <v>0</v>
      </c>
    </row>
    <row r="239" spans="2:14">
      <c r="B239" s="47"/>
      <c r="C239" s="47"/>
      <c r="D239" s="47"/>
      <c r="E239" s="51">
        <v>0</v>
      </c>
      <c r="F239" s="47"/>
      <c r="I239">
        <v>237</v>
      </c>
      <c r="J239" s="51">
        <f t="shared" si="7"/>
        <v>0</v>
      </c>
      <c r="L239">
        <v>237</v>
      </c>
      <c r="M239" s="51">
        <f ca="1">IFERROR(OFFSET($E$2,MATCH(金币平衡!C264,$F$3:$F$302,1),0),0)</f>
        <v>13250</v>
      </c>
      <c r="N239" s="51">
        <f t="shared" si="8"/>
        <v>0</v>
      </c>
    </row>
    <row r="240" spans="2:14">
      <c r="B240" s="47"/>
      <c r="C240" s="47"/>
      <c r="D240" s="47"/>
      <c r="E240" s="51">
        <v>0</v>
      </c>
      <c r="F240" s="47"/>
      <c r="I240">
        <v>238</v>
      </c>
      <c r="J240" s="51">
        <f t="shared" si="7"/>
        <v>0</v>
      </c>
      <c r="L240">
        <v>238</v>
      </c>
      <c r="M240" s="51">
        <f ca="1">IFERROR(OFFSET($E$2,MATCH(金币平衡!C265,$F$3:$F$302,1),0),0)</f>
        <v>13250</v>
      </c>
      <c r="N240" s="51">
        <f t="shared" si="8"/>
        <v>0</v>
      </c>
    </row>
    <row r="241" spans="2:14">
      <c r="B241" s="47"/>
      <c r="C241" s="47"/>
      <c r="D241" s="47"/>
      <c r="E241" s="51">
        <v>0</v>
      </c>
      <c r="F241" s="47"/>
      <c r="I241">
        <v>239</v>
      </c>
      <c r="J241" s="51">
        <f t="shared" si="7"/>
        <v>0</v>
      </c>
      <c r="L241">
        <v>239</v>
      </c>
      <c r="M241" s="51">
        <f ca="1">IFERROR(OFFSET($E$2,MATCH(金币平衡!C266,$F$3:$F$302,1),0),0)</f>
        <v>13250</v>
      </c>
      <c r="N241" s="51">
        <f t="shared" si="8"/>
        <v>0</v>
      </c>
    </row>
    <row r="242" spans="2:14">
      <c r="B242" s="47"/>
      <c r="C242" s="47"/>
      <c r="D242" s="47"/>
      <c r="E242" s="51">
        <v>0</v>
      </c>
      <c r="F242" s="47"/>
      <c r="I242">
        <v>240</v>
      </c>
      <c r="J242" s="51">
        <f t="shared" si="7"/>
        <v>0</v>
      </c>
      <c r="L242">
        <v>240</v>
      </c>
      <c r="M242" s="51">
        <f ca="1">IFERROR(OFFSET($E$2,MATCH(金币平衡!C267,$F$3:$F$302,1),0),0)</f>
        <v>13250</v>
      </c>
      <c r="N242" s="51">
        <f t="shared" si="8"/>
        <v>0</v>
      </c>
    </row>
    <row r="243" spans="2:14">
      <c r="B243" s="47"/>
      <c r="C243" s="47"/>
      <c r="D243" s="47"/>
      <c r="E243" s="51">
        <v>0</v>
      </c>
      <c r="F243" s="47"/>
      <c r="I243">
        <v>241</v>
      </c>
      <c r="J243" s="51">
        <f t="shared" si="7"/>
        <v>0</v>
      </c>
      <c r="L243">
        <v>241</v>
      </c>
      <c r="M243" s="51">
        <f ca="1">IFERROR(OFFSET($E$2,MATCH(金币平衡!C268,$F$3:$F$302,1),0),0)</f>
        <v>13250</v>
      </c>
      <c r="N243" s="51">
        <f t="shared" si="8"/>
        <v>0</v>
      </c>
    </row>
    <row r="244" spans="2:14">
      <c r="B244" s="47"/>
      <c r="C244" s="47"/>
      <c r="D244" s="47"/>
      <c r="E244" s="51">
        <v>0</v>
      </c>
      <c r="F244" s="47"/>
      <c r="I244">
        <v>242</v>
      </c>
      <c r="J244" s="51">
        <f t="shared" si="7"/>
        <v>0</v>
      </c>
      <c r="L244">
        <v>242</v>
      </c>
      <c r="M244" s="51">
        <f ca="1">IFERROR(OFFSET($E$2,MATCH(金币平衡!C269,$F$3:$F$302,1),0),0)</f>
        <v>13250</v>
      </c>
      <c r="N244" s="51">
        <f t="shared" si="8"/>
        <v>0</v>
      </c>
    </row>
    <row r="245" spans="2:14">
      <c r="B245" s="47"/>
      <c r="C245" s="47"/>
      <c r="D245" s="47"/>
      <c r="E245" s="51">
        <v>0</v>
      </c>
      <c r="F245" s="47"/>
      <c r="I245">
        <v>243</v>
      </c>
      <c r="J245" s="51">
        <f t="shared" si="7"/>
        <v>0</v>
      </c>
      <c r="L245">
        <v>243</v>
      </c>
      <c r="M245" s="51">
        <f ca="1">IFERROR(OFFSET($E$2,MATCH(金币平衡!C270,$F$3:$F$302,1),0),0)</f>
        <v>13250</v>
      </c>
      <c r="N245" s="51">
        <f t="shared" si="8"/>
        <v>0</v>
      </c>
    </row>
    <row r="246" spans="2:14">
      <c r="B246" s="47"/>
      <c r="C246" s="47"/>
      <c r="D246" s="47"/>
      <c r="E246" s="51">
        <v>0</v>
      </c>
      <c r="F246" s="47"/>
      <c r="I246">
        <v>244</v>
      </c>
      <c r="J246" s="51">
        <f t="shared" si="7"/>
        <v>0</v>
      </c>
      <c r="L246">
        <v>244</v>
      </c>
      <c r="M246" s="51">
        <f ca="1">IFERROR(OFFSET($E$2,MATCH(金币平衡!C271,$F$3:$F$302,1),0),0)</f>
        <v>13250</v>
      </c>
      <c r="N246" s="51">
        <f t="shared" si="8"/>
        <v>0</v>
      </c>
    </row>
    <row r="247" spans="2:14">
      <c r="B247" s="47"/>
      <c r="C247" s="47"/>
      <c r="D247" s="47"/>
      <c r="E247" s="51">
        <v>0</v>
      </c>
      <c r="F247" s="47"/>
      <c r="I247">
        <v>245</v>
      </c>
      <c r="J247" s="51">
        <f t="shared" si="7"/>
        <v>0</v>
      </c>
      <c r="L247">
        <v>245</v>
      </c>
      <c r="M247" s="51">
        <f ca="1">IFERROR(OFFSET($E$2,MATCH(金币平衡!C272,$F$3:$F$302,1),0),0)</f>
        <v>13250</v>
      </c>
      <c r="N247" s="51">
        <f t="shared" si="8"/>
        <v>0</v>
      </c>
    </row>
    <row r="248" spans="2:14">
      <c r="B248" s="47"/>
      <c r="C248" s="47"/>
      <c r="D248" s="47"/>
      <c r="E248" s="51">
        <v>0</v>
      </c>
      <c r="F248" s="47"/>
      <c r="I248">
        <v>246</v>
      </c>
      <c r="J248" s="51">
        <f t="shared" si="7"/>
        <v>0</v>
      </c>
      <c r="L248">
        <v>246</v>
      </c>
      <c r="M248" s="51">
        <f ca="1">IFERROR(OFFSET($E$2,MATCH(金币平衡!C273,$F$3:$F$302,1),0),0)</f>
        <v>13250</v>
      </c>
      <c r="N248" s="51">
        <f t="shared" si="8"/>
        <v>0</v>
      </c>
    </row>
    <row r="249" spans="2:14">
      <c r="B249" s="47"/>
      <c r="C249" s="47"/>
      <c r="D249" s="47"/>
      <c r="E249" s="51">
        <v>0</v>
      </c>
      <c r="F249" s="47"/>
      <c r="I249">
        <v>247</v>
      </c>
      <c r="J249" s="51">
        <f t="shared" si="7"/>
        <v>0</v>
      </c>
      <c r="L249">
        <v>247</v>
      </c>
      <c r="M249" s="51">
        <f ca="1">IFERROR(OFFSET($E$2,MATCH(金币平衡!C274,$F$3:$F$302,1),0),0)</f>
        <v>13250</v>
      </c>
      <c r="N249" s="51">
        <f t="shared" si="8"/>
        <v>0</v>
      </c>
    </row>
    <row r="250" spans="2:14">
      <c r="B250" s="47"/>
      <c r="C250" s="47"/>
      <c r="D250" s="47"/>
      <c r="E250" s="51">
        <v>0</v>
      </c>
      <c r="F250" s="47"/>
      <c r="I250">
        <v>248</v>
      </c>
      <c r="J250" s="51">
        <f t="shared" si="7"/>
        <v>0</v>
      </c>
      <c r="L250">
        <v>248</v>
      </c>
      <c r="M250" s="51">
        <f ca="1">IFERROR(OFFSET($E$2,MATCH(金币平衡!C275,$F$3:$F$302,1),0),0)</f>
        <v>13250</v>
      </c>
      <c r="N250" s="51">
        <f t="shared" si="8"/>
        <v>0</v>
      </c>
    </row>
    <row r="251" spans="2:14">
      <c r="B251" s="47"/>
      <c r="C251" s="47"/>
      <c r="D251" s="47"/>
      <c r="E251" s="51">
        <v>0</v>
      </c>
      <c r="F251" s="47"/>
      <c r="I251">
        <v>249</v>
      </c>
      <c r="J251" s="51">
        <f t="shared" si="7"/>
        <v>0</v>
      </c>
      <c r="L251">
        <v>249</v>
      </c>
      <c r="M251" s="51">
        <f ca="1">IFERROR(OFFSET($E$2,MATCH(金币平衡!C276,$F$3:$F$302,1),0),0)</f>
        <v>13250</v>
      </c>
      <c r="N251" s="51">
        <f t="shared" si="8"/>
        <v>0</v>
      </c>
    </row>
    <row r="252" spans="2:14">
      <c r="B252" s="47"/>
      <c r="C252" s="47"/>
      <c r="D252" s="47"/>
      <c r="E252" s="51">
        <v>0</v>
      </c>
      <c r="F252" s="47"/>
      <c r="I252">
        <v>250</v>
      </c>
      <c r="J252" s="51">
        <f t="shared" si="7"/>
        <v>0</v>
      </c>
      <c r="L252">
        <v>250</v>
      </c>
      <c r="M252" s="51">
        <f ca="1">IFERROR(OFFSET($E$2,MATCH(金币平衡!C277,$F$3:$F$302,1),0),0)</f>
        <v>13250</v>
      </c>
      <c r="N252" s="51">
        <f t="shared" si="8"/>
        <v>0</v>
      </c>
    </row>
    <row r="253" spans="2:14">
      <c r="B253" s="47"/>
      <c r="C253" s="47"/>
      <c r="D253" s="47"/>
      <c r="E253" s="51">
        <v>0</v>
      </c>
      <c r="F253" s="47"/>
      <c r="I253">
        <v>251</v>
      </c>
      <c r="J253" s="51">
        <f t="shared" si="7"/>
        <v>0</v>
      </c>
      <c r="L253">
        <v>251</v>
      </c>
      <c r="M253" s="51">
        <f ca="1">IFERROR(OFFSET($E$2,MATCH(金币平衡!C278,$F$3:$F$302,1),0),0)</f>
        <v>13250</v>
      </c>
      <c r="N253" s="51">
        <f t="shared" si="8"/>
        <v>0</v>
      </c>
    </row>
    <row r="254" spans="2:14">
      <c r="B254" s="47"/>
      <c r="C254" s="47"/>
      <c r="D254" s="47"/>
      <c r="E254" s="51">
        <v>0</v>
      </c>
      <c r="F254" s="47"/>
      <c r="I254">
        <v>252</v>
      </c>
      <c r="J254" s="51">
        <f t="shared" si="7"/>
        <v>0</v>
      </c>
      <c r="L254">
        <v>252</v>
      </c>
      <c r="M254" s="51">
        <f ca="1">IFERROR(OFFSET($E$2,MATCH(金币平衡!C279,$F$3:$F$302,1),0),0)</f>
        <v>13250</v>
      </c>
      <c r="N254" s="51">
        <f t="shared" si="8"/>
        <v>0</v>
      </c>
    </row>
    <row r="255" spans="2:14">
      <c r="B255" s="47"/>
      <c r="C255" s="47"/>
      <c r="D255" s="47"/>
      <c r="E255" s="51">
        <v>0</v>
      </c>
      <c r="F255" s="47"/>
      <c r="I255">
        <v>253</v>
      </c>
      <c r="J255" s="51">
        <f t="shared" si="7"/>
        <v>0</v>
      </c>
      <c r="L255">
        <v>253</v>
      </c>
      <c r="M255" s="51">
        <f ca="1">IFERROR(OFFSET($E$2,MATCH(金币平衡!C280,$F$3:$F$302,1),0),0)</f>
        <v>13250</v>
      </c>
      <c r="N255" s="51">
        <f t="shared" si="8"/>
        <v>0</v>
      </c>
    </row>
    <row r="256" spans="2:14">
      <c r="B256" s="47"/>
      <c r="C256" s="47"/>
      <c r="D256" s="47"/>
      <c r="E256" s="51">
        <v>0</v>
      </c>
      <c r="F256" s="47"/>
      <c r="I256">
        <v>254</v>
      </c>
      <c r="J256" s="51">
        <f t="shared" si="7"/>
        <v>0</v>
      </c>
      <c r="L256">
        <v>254</v>
      </c>
      <c r="M256" s="51">
        <f ca="1">IFERROR(OFFSET($E$2,MATCH(金币平衡!C281,$F$3:$F$302,1),0),0)</f>
        <v>13250</v>
      </c>
      <c r="N256" s="51">
        <f t="shared" si="8"/>
        <v>0</v>
      </c>
    </row>
    <row r="257" spans="2:14">
      <c r="B257" s="47"/>
      <c r="C257" s="47"/>
      <c r="D257" s="47"/>
      <c r="E257" s="51">
        <v>0</v>
      </c>
      <c r="F257" s="47"/>
      <c r="I257">
        <v>255</v>
      </c>
      <c r="J257" s="51">
        <f t="shared" si="7"/>
        <v>0</v>
      </c>
      <c r="L257">
        <v>255</v>
      </c>
      <c r="M257" s="51">
        <f ca="1">IFERROR(OFFSET($E$2,MATCH(金币平衡!C282,$F$3:$F$302,1),0),0)</f>
        <v>13250</v>
      </c>
      <c r="N257" s="51">
        <f t="shared" si="8"/>
        <v>0</v>
      </c>
    </row>
    <row r="258" spans="2:14">
      <c r="B258" s="47"/>
      <c r="C258" s="47"/>
      <c r="D258" s="47"/>
      <c r="E258" s="51">
        <v>0</v>
      </c>
      <c r="F258" s="47"/>
      <c r="I258">
        <v>256</v>
      </c>
      <c r="J258" s="51">
        <f t="shared" si="7"/>
        <v>0</v>
      </c>
      <c r="L258">
        <v>256</v>
      </c>
      <c r="M258" s="51">
        <f ca="1">IFERROR(OFFSET($E$2,MATCH(金币平衡!C283,$F$3:$F$302,1),0),0)</f>
        <v>13250</v>
      </c>
      <c r="N258" s="51">
        <f t="shared" si="8"/>
        <v>0</v>
      </c>
    </row>
    <row r="259" spans="2:14">
      <c r="B259" s="47"/>
      <c r="C259" s="47"/>
      <c r="D259" s="47"/>
      <c r="E259" s="51">
        <v>0</v>
      </c>
      <c r="F259" s="47"/>
      <c r="I259">
        <v>257</v>
      </c>
      <c r="J259" s="51">
        <f t="shared" ref="J259:J302" si="9">SUMIF($F$3:$F$302,I259,$D$3:$D$302)</f>
        <v>0</v>
      </c>
      <c r="L259">
        <v>257</v>
      </c>
      <c r="M259" s="51">
        <f ca="1">IFERROR(OFFSET($E$2,MATCH(金币平衡!C284,$F$3:$F$302,1),0),0)</f>
        <v>13250</v>
      </c>
      <c r="N259" s="51">
        <f t="shared" ref="N259:N302" si="10">E259/2</f>
        <v>0</v>
      </c>
    </row>
    <row r="260" spans="2:14">
      <c r="B260" s="47"/>
      <c r="C260" s="47"/>
      <c r="D260" s="47"/>
      <c r="E260" s="51">
        <v>0</v>
      </c>
      <c r="F260" s="47"/>
      <c r="I260">
        <v>258</v>
      </c>
      <c r="J260" s="51">
        <f t="shared" si="9"/>
        <v>0</v>
      </c>
      <c r="L260">
        <v>258</v>
      </c>
      <c r="M260" s="51">
        <f ca="1">IFERROR(OFFSET($E$2,MATCH(金币平衡!C285,$F$3:$F$302,1),0),0)</f>
        <v>13250</v>
      </c>
      <c r="N260" s="51">
        <f t="shared" si="10"/>
        <v>0</v>
      </c>
    </row>
    <row r="261" spans="2:14">
      <c r="B261" s="47"/>
      <c r="C261" s="47"/>
      <c r="D261" s="47"/>
      <c r="E261" s="51">
        <v>0</v>
      </c>
      <c r="F261" s="47"/>
      <c r="I261">
        <v>259</v>
      </c>
      <c r="J261" s="51">
        <f t="shared" si="9"/>
        <v>0</v>
      </c>
      <c r="L261">
        <v>259</v>
      </c>
      <c r="M261" s="51">
        <f ca="1">IFERROR(OFFSET($E$2,MATCH(金币平衡!C286,$F$3:$F$302,1),0),0)</f>
        <v>13250</v>
      </c>
      <c r="N261" s="51">
        <f t="shared" si="10"/>
        <v>0</v>
      </c>
    </row>
    <row r="262" spans="2:14">
      <c r="B262" s="47"/>
      <c r="C262" s="47"/>
      <c r="D262" s="47"/>
      <c r="E262" s="51">
        <v>0</v>
      </c>
      <c r="F262" s="47"/>
      <c r="I262">
        <v>260</v>
      </c>
      <c r="J262" s="51">
        <f t="shared" si="9"/>
        <v>0</v>
      </c>
      <c r="L262">
        <v>260</v>
      </c>
      <c r="M262" s="51">
        <f ca="1">IFERROR(OFFSET($E$2,MATCH(金币平衡!C287,$F$3:$F$302,1),0),0)</f>
        <v>13250</v>
      </c>
      <c r="N262" s="51">
        <f t="shared" si="10"/>
        <v>0</v>
      </c>
    </row>
    <row r="263" spans="2:14">
      <c r="B263" s="47"/>
      <c r="C263" s="47"/>
      <c r="D263" s="47"/>
      <c r="E263" s="51">
        <v>0</v>
      </c>
      <c r="F263" s="47"/>
      <c r="I263">
        <v>261</v>
      </c>
      <c r="J263" s="51">
        <f t="shared" si="9"/>
        <v>0</v>
      </c>
      <c r="L263">
        <v>261</v>
      </c>
      <c r="M263" s="51">
        <f ca="1">IFERROR(OFFSET($E$2,MATCH(金币平衡!C288,$F$3:$F$302,1),0),0)</f>
        <v>13250</v>
      </c>
      <c r="N263" s="51">
        <f t="shared" si="10"/>
        <v>0</v>
      </c>
    </row>
    <row r="264" spans="2:14">
      <c r="B264" s="47"/>
      <c r="C264" s="47"/>
      <c r="D264" s="47"/>
      <c r="E264" s="51">
        <v>0</v>
      </c>
      <c r="F264" s="47"/>
      <c r="I264">
        <v>262</v>
      </c>
      <c r="J264" s="51">
        <f t="shared" si="9"/>
        <v>0</v>
      </c>
      <c r="L264">
        <v>262</v>
      </c>
      <c r="M264" s="51">
        <f ca="1">IFERROR(OFFSET($E$2,MATCH(金币平衡!C289,$F$3:$F$302,1),0),0)</f>
        <v>13250</v>
      </c>
      <c r="N264" s="51">
        <f t="shared" si="10"/>
        <v>0</v>
      </c>
    </row>
    <row r="265" spans="2:14">
      <c r="B265" s="47"/>
      <c r="C265" s="47"/>
      <c r="D265" s="47"/>
      <c r="E265" s="51">
        <v>0</v>
      </c>
      <c r="F265" s="47"/>
      <c r="I265">
        <v>263</v>
      </c>
      <c r="J265" s="51">
        <f t="shared" si="9"/>
        <v>0</v>
      </c>
      <c r="L265">
        <v>263</v>
      </c>
      <c r="M265" s="51">
        <f ca="1">IFERROR(OFFSET($E$2,MATCH(金币平衡!C290,$F$3:$F$302,1),0),0)</f>
        <v>13250</v>
      </c>
      <c r="N265" s="51">
        <f t="shared" si="10"/>
        <v>0</v>
      </c>
    </row>
    <row r="266" spans="2:14">
      <c r="B266" s="47"/>
      <c r="C266" s="47"/>
      <c r="D266" s="47"/>
      <c r="E266" s="51">
        <v>0</v>
      </c>
      <c r="F266" s="47"/>
      <c r="I266">
        <v>264</v>
      </c>
      <c r="J266" s="51">
        <f t="shared" si="9"/>
        <v>0</v>
      </c>
      <c r="L266">
        <v>264</v>
      </c>
      <c r="M266" s="51">
        <f ca="1">IFERROR(OFFSET($E$2,MATCH(金币平衡!C291,$F$3:$F$302,1),0),0)</f>
        <v>13250</v>
      </c>
      <c r="N266" s="51">
        <f t="shared" si="10"/>
        <v>0</v>
      </c>
    </row>
    <row r="267" spans="2:14">
      <c r="B267" s="47"/>
      <c r="C267" s="47"/>
      <c r="D267" s="47"/>
      <c r="E267" s="51">
        <v>0</v>
      </c>
      <c r="F267" s="47"/>
      <c r="I267">
        <v>265</v>
      </c>
      <c r="J267" s="51">
        <f t="shared" si="9"/>
        <v>0</v>
      </c>
      <c r="L267">
        <v>265</v>
      </c>
      <c r="M267" s="51">
        <f ca="1">IFERROR(OFFSET($E$2,MATCH(金币平衡!C292,$F$3:$F$302,1),0),0)</f>
        <v>13250</v>
      </c>
      <c r="N267" s="51">
        <f t="shared" si="10"/>
        <v>0</v>
      </c>
    </row>
    <row r="268" spans="2:14">
      <c r="B268" s="47"/>
      <c r="C268" s="47"/>
      <c r="D268" s="47"/>
      <c r="E268" s="51">
        <v>0</v>
      </c>
      <c r="F268" s="47"/>
      <c r="I268">
        <v>266</v>
      </c>
      <c r="J268" s="51">
        <f t="shared" si="9"/>
        <v>0</v>
      </c>
      <c r="L268">
        <v>266</v>
      </c>
      <c r="M268" s="51">
        <f ca="1">IFERROR(OFFSET($E$2,MATCH(金币平衡!C293,$F$3:$F$302,1),0),0)</f>
        <v>13250</v>
      </c>
      <c r="N268" s="51">
        <f t="shared" si="10"/>
        <v>0</v>
      </c>
    </row>
    <row r="269" spans="2:14">
      <c r="B269" s="47"/>
      <c r="C269" s="47"/>
      <c r="D269" s="47"/>
      <c r="E269" s="51">
        <v>0</v>
      </c>
      <c r="F269" s="47"/>
      <c r="I269">
        <v>267</v>
      </c>
      <c r="J269" s="51">
        <f t="shared" si="9"/>
        <v>0</v>
      </c>
      <c r="L269">
        <v>267</v>
      </c>
      <c r="M269" s="51">
        <f ca="1">IFERROR(OFFSET($E$2,MATCH(金币平衡!C294,$F$3:$F$302,1),0),0)</f>
        <v>13250</v>
      </c>
      <c r="N269" s="51">
        <f t="shared" si="10"/>
        <v>0</v>
      </c>
    </row>
    <row r="270" spans="2:14">
      <c r="B270" s="47"/>
      <c r="C270" s="47"/>
      <c r="D270" s="47"/>
      <c r="E270" s="51">
        <v>0</v>
      </c>
      <c r="F270" s="47"/>
      <c r="I270">
        <v>268</v>
      </c>
      <c r="J270" s="51">
        <f t="shared" si="9"/>
        <v>0</v>
      </c>
      <c r="L270">
        <v>268</v>
      </c>
      <c r="M270" s="51">
        <f ca="1">IFERROR(OFFSET($E$2,MATCH(金币平衡!C295,$F$3:$F$302,1),0),0)</f>
        <v>13250</v>
      </c>
      <c r="N270" s="51">
        <f t="shared" si="10"/>
        <v>0</v>
      </c>
    </row>
    <row r="271" spans="2:14">
      <c r="B271" s="47"/>
      <c r="C271" s="47"/>
      <c r="D271" s="47"/>
      <c r="E271" s="51">
        <v>0</v>
      </c>
      <c r="F271" s="47"/>
      <c r="I271">
        <v>269</v>
      </c>
      <c r="J271" s="51">
        <f t="shared" si="9"/>
        <v>0</v>
      </c>
      <c r="L271">
        <v>269</v>
      </c>
      <c r="M271" s="51">
        <f ca="1">IFERROR(OFFSET($E$2,MATCH(金币平衡!C296,$F$3:$F$302,1),0),0)</f>
        <v>13250</v>
      </c>
      <c r="N271" s="51">
        <f t="shared" si="10"/>
        <v>0</v>
      </c>
    </row>
    <row r="272" spans="2:14">
      <c r="B272" s="47"/>
      <c r="C272" s="47"/>
      <c r="D272" s="47"/>
      <c r="E272" s="51">
        <v>0</v>
      </c>
      <c r="F272" s="47"/>
      <c r="I272">
        <v>270</v>
      </c>
      <c r="J272" s="51">
        <f t="shared" si="9"/>
        <v>0</v>
      </c>
      <c r="L272">
        <v>270</v>
      </c>
      <c r="M272" s="51">
        <f ca="1">IFERROR(OFFSET($E$2,MATCH(金币平衡!C297,$F$3:$F$302,1),0),0)</f>
        <v>13250</v>
      </c>
      <c r="N272" s="51">
        <f t="shared" si="10"/>
        <v>0</v>
      </c>
    </row>
    <row r="273" spans="2:14">
      <c r="B273" s="47"/>
      <c r="C273" s="47"/>
      <c r="D273" s="47"/>
      <c r="E273" s="51">
        <v>0</v>
      </c>
      <c r="F273" s="47"/>
      <c r="I273">
        <v>271</v>
      </c>
      <c r="J273" s="51">
        <f t="shared" si="9"/>
        <v>0</v>
      </c>
      <c r="L273">
        <v>271</v>
      </c>
      <c r="M273" s="51">
        <f ca="1">IFERROR(OFFSET($E$2,MATCH(金币平衡!C298,$F$3:$F$302,1),0),0)</f>
        <v>13250</v>
      </c>
      <c r="N273" s="51">
        <f t="shared" si="10"/>
        <v>0</v>
      </c>
    </row>
    <row r="274" spans="2:14">
      <c r="B274" s="47"/>
      <c r="C274" s="47"/>
      <c r="D274" s="47"/>
      <c r="E274" s="51">
        <v>0</v>
      </c>
      <c r="F274" s="47"/>
      <c r="I274">
        <v>272</v>
      </c>
      <c r="J274" s="51">
        <f t="shared" si="9"/>
        <v>0</v>
      </c>
      <c r="L274">
        <v>272</v>
      </c>
      <c r="M274" s="51">
        <f ca="1">IFERROR(OFFSET($E$2,MATCH(金币平衡!C299,$F$3:$F$302,1),0),0)</f>
        <v>13250</v>
      </c>
      <c r="N274" s="51">
        <f t="shared" si="10"/>
        <v>0</v>
      </c>
    </row>
    <row r="275" spans="2:14">
      <c r="B275" s="47"/>
      <c r="C275" s="47"/>
      <c r="D275" s="47"/>
      <c r="E275" s="51">
        <v>0</v>
      </c>
      <c r="F275" s="47"/>
      <c r="I275">
        <v>273</v>
      </c>
      <c r="J275" s="51">
        <f t="shared" si="9"/>
        <v>0</v>
      </c>
      <c r="L275">
        <v>273</v>
      </c>
      <c r="M275" s="51">
        <f ca="1">IFERROR(OFFSET($E$2,MATCH(金币平衡!C300,$F$3:$F$302,1),0),0)</f>
        <v>13250</v>
      </c>
      <c r="N275" s="51">
        <f t="shared" si="10"/>
        <v>0</v>
      </c>
    </row>
    <row r="276" spans="2:14">
      <c r="B276" s="47"/>
      <c r="C276" s="47"/>
      <c r="D276" s="47"/>
      <c r="E276" s="51">
        <v>0</v>
      </c>
      <c r="F276" s="47"/>
      <c r="I276">
        <v>274</v>
      </c>
      <c r="J276" s="51">
        <f t="shared" si="9"/>
        <v>0</v>
      </c>
      <c r="L276">
        <v>274</v>
      </c>
      <c r="M276" s="51">
        <f ca="1">IFERROR(OFFSET($E$2,MATCH(金币平衡!C301,$F$3:$F$302,1),0),0)</f>
        <v>13250</v>
      </c>
      <c r="N276" s="51">
        <f t="shared" si="10"/>
        <v>0</v>
      </c>
    </row>
    <row r="277" spans="2:14">
      <c r="B277" s="47"/>
      <c r="C277" s="47"/>
      <c r="D277" s="47"/>
      <c r="E277" s="51">
        <v>0</v>
      </c>
      <c r="F277" s="47"/>
      <c r="I277">
        <v>275</v>
      </c>
      <c r="J277" s="51">
        <f t="shared" si="9"/>
        <v>0</v>
      </c>
      <c r="L277">
        <v>275</v>
      </c>
      <c r="M277" s="51">
        <f ca="1">IFERROR(OFFSET($E$2,MATCH(金币平衡!C302,$F$3:$F$302,1),0),0)</f>
        <v>13250</v>
      </c>
      <c r="N277" s="51">
        <f t="shared" si="10"/>
        <v>0</v>
      </c>
    </row>
    <row r="278" spans="2:14">
      <c r="B278" s="47"/>
      <c r="C278" s="47"/>
      <c r="D278" s="47"/>
      <c r="E278" s="51">
        <v>0</v>
      </c>
      <c r="F278" s="47"/>
      <c r="I278">
        <v>276</v>
      </c>
      <c r="J278" s="51">
        <f t="shared" si="9"/>
        <v>0</v>
      </c>
      <c r="L278">
        <v>276</v>
      </c>
      <c r="M278" s="51">
        <f ca="1">IFERROR(OFFSET($E$2,MATCH(金币平衡!C303,$F$3:$F$302,1),0),0)</f>
        <v>13250</v>
      </c>
      <c r="N278" s="51">
        <f t="shared" si="10"/>
        <v>0</v>
      </c>
    </row>
    <row r="279" spans="2:14">
      <c r="B279" s="47"/>
      <c r="C279" s="47"/>
      <c r="D279" s="47"/>
      <c r="E279" s="51">
        <v>0</v>
      </c>
      <c r="F279" s="47"/>
      <c r="I279">
        <v>277</v>
      </c>
      <c r="J279" s="51">
        <f t="shared" si="9"/>
        <v>0</v>
      </c>
      <c r="L279">
        <v>277</v>
      </c>
      <c r="M279" s="51">
        <f ca="1">IFERROR(OFFSET($E$2,MATCH(金币平衡!C304,$F$3:$F$302,1),0),0)</f>
        <v>13250</v>
      </c>
      <c r="N279" s="51">
        <f t="shared" si="10"/>
        <v>0</v>
      </c>
    </row>
    <row r="280" spans="2:14">
      <c r="B280" s="47"/>
      <c r="C280" s="47"/>
      <c r="D280" s="47"/>
      <c r="E280" s="51">
        <v>0</v>
      </c>
      <c r="F280" s="47"/>
      <c r="I280">
        <v>278</v>
      </c>
      <c r="J280" s="51">
        <f t="shared" si="9"/>
        <v>0</v>
      </c>
      <c r="L280">
        <v>278</v>
      </c>
      <c r="M280" s="51">
        <f ca="1">IFERROR(OFFSET($E$2,MATCH(金币平衡!C305,$F$3:$F$302,1),0),0)</f>
        <v>13250</v>
      </c>
      <c r="N280" s="51">
        <f t="shared" si="10"/>
        <v>0</v>
      </c>
    </row>
    <row r="281" spans="2:14">
      <c r="B281" s="47"/>
      <c r="C281" s="47"/>
      <c r="D281" s="47"/>
      <c r="E281" s="51">
        <v>0</v>
      </c>
      <c r="F281" s="47"/>
      <c r="I281">
        <v>279</v>
      </c>
      <c r="J281" s="51">
        <f t="shared" si="9"/>
        <v>0</v>
      </c>
      <c r="L281">
        <v>279</v>
      </c>
      <c r="M281" s="51">
        <f ca="1">IFERROR(OFFSET($E$2,MATCH(金币平衡!C306,$F$3:$F$302,1),0),0)</f>
        <v>13250</v>
      </c>
      <c r="N281" s="51">
        <f t="shared" si="10"/>
        <v>0</v>
      </c>
    </row>
    <row r="282" spans="2:14">
      <c r="B282" s="47"/>
      <c r="C282" s="47"/>
      <c r="D282" s="47"/>
      <c r="E282" s="51">
        <v>0</v>
      </c>
      <c r="F282" s="47"/>
      <c r="I282">
        <v>280</v>
      </c>
      <c r="J282" s="51">
        <f t="shared" si="9"/>
        <v>0</v>
      </c>
      <c r="L282">
        <v>280</v>
      </c>
      <c r="M282" s="51">
        <f ca="1">IFERROR(OFFSET($E$2,MATCH(金币平衡!C307,$F$3:$F$302,1),0),0)</f>
        <v>13250</v>
      </c>
      <c r="N282" s="51">
        <f t="shared" si="10"/>
        <v>0</v>
      </c>
    </row>
    <row r="283" spans="2:14">
      <c r="B283" s="47"/>
      <c r="C283" s="47"/>
      <c r="D283" s="47"/>
      <c r="E283" s="51">
        <v>0</v>
      </c>
      <c r="F283" s="47"/>
      <c r="I283">
        <v>281</v>
      </c>
      <c r="J283" s="51">
        <f t="shared" si="9"/>
        <v>0</v>
      </c>
      <c r="L283">
        <v>281</v>
      </c>
      <c r="M283" s="51">
        <f ca="1">IFERROR(OFFSET($E$2,MATCH(金币平衡!C308,$F$3:$F$302,1),0),0)</f>
        <v>13250</v>
      </c>
      <c r="N283" s="51">
        <f t="shared" si="10"/>
        <v>0</v>
      </c>
    </row>
    <row r="284" spans="2:14">
      <c r="B284" s="47"/>
      <c r="C284" s="47"/>
      <c r="D284" s="47"/>
      <c r="E284" s="51">
        <v>0</v>
      </c>
      <c r="F284" s="47"/>
      <c r="I284">
        <v>282</v>
      </c>
      <c r="J284" s="51">
        <f t="shared" si="9"/>
        <v>0</v>
      </c>
      <c r="L284">
        <v>282</v>
      </c>
      <c r="M284" s="51">
        <f ca="1">IFERROR(OFFSET($E$2,MATCH(金币平衡!C309,$F$3:$F$302,1),0),0)</f>
        <v>13250</v>
      </c>
      <c r="N284" s="51">
        <f t="shared" si="10"/>
        <v>0</v>
      </c>
    </row>
    <row r="285" spans="2:14">
      <c r="B285" s="47"/>
      <c r="C285" s="47"/>
      <c r="D285" s="47"/>
      <c r="E285" s="51">
        <v>0</v>
      </c>
      <c r="F285" s="47"/>
      <c r="I285">
        <v>283</v>
      </c>
      <c r="J285" s="51">
        <f t="shared" si="9"/>
        <v>0</v>
      </c>
      <c r="L285">
        <v>283</v>
      </c>
      <c r="M285" s="51">
        <f ca="1">IFERROR(OFFSET($E$2,MATCH(金币平衡!C310,$F$3:$F$302,1),0),0)</f>
        <v>13250</v>
      </c>
      <c r="N285" s="51">
        <f t="shared" si="10"/>
        <v>0</v>
      </c>
    </row>
    <row r="286" spans="2:14">
      <c r="B286" s="47"/>
      <c r="C286" s="47"/>
      <c r="D286" s="47"/>
      <c r="E286" s="51">
        <v>0</v>
      </c>
      <c r="F286" s="47"/>
      <c r="I286">
        <v>284</v>
      </c>
      <c r="J286" s="51">
        <f t="shared" si="9"/>
        <v>0</v>
      </c>
      <c r="L286">
        <v>284</v>
      </c>
      <c r="M286" s="51">
        <f ca="1">IFERROR(OFFSET($E$2,MATCH(金币平衡!C311,$F$3:$F$302,1),0),0)</f>
        <v>13250</v>
      </c>
      <c r="N286" s="51">
        <f t="shared" si="10"/>
        <v>0</v>
      </c>
    </row>
    <row r="287" spans="2:14">
      <c r="B287" s="47"/>
      <c r="C287" s="47"/>
      <c r="D287" s="47"/>
      <c r="E287" s="51">
        <v>0</v>
      </c>
      <c r="F287" s="47"/>
      <c r="I287">
        <v>285</v>
      </c>
      <c r="J287" s="51">
        <f t="shared" si="9"/>
        <v>0</v>
      </c>
      <c r="L287">
        <v>285</v>
      </c>
      <c r="M287" s="51">
        <f ca="1">IFERROR(OFFSET($E$2,MATCH(金币平衡!C312,$F$3:$F$302,1),0),0)</f>
        <v>13250</v>
      </c>
      <c r="N287" s="51">
        <f t="shared" si="10"/>
        <v>0</v>
      </c>
    </row>
    <row r="288" spans="2:14">
      <c r="B288" s="47"/>
      <c r="C288" s="47"/>
      <c r="D288" s="47"/>
      <c r="E288" s="51">
        <v>0</v>
      </c>
      <c r="F288" s="47"/>
      <c r="I288">
        <v>286</v>
      </c>
      <c r="J288" s="51">
        <f t="shared" si="9"/>
        <v>0</v>
      </c>
      <c r="L288">
        <v>286</v>
      </c>
      <c r="M288" s="51">
        <f ca="1">IFERROR(OFFSET($E$2,MATCH(金币平衡!C313,$F$3:$F$302,1),0),0)</f>
        <v>13250</v>
      </c>
      <c r="N288" s="51">
        <f t="shared" si="10"/>
        <v>0</v>
      </c>
    </row>
    <row r="289" spans="2:14">
      <c r="B289" s="47"/>
      <c r="C289" s="47"/>
      <c r="D289" s="47"/>
      <c r="E289" s="51">
        <v>0</v>
      </c>
      <c r="F289" s="47"/>
      <c r="I289">
        <v>287</v>
      </c>
      <c r="J289" s="51">
        <f t="shared" si="9"/>
        <v>0</v>
      </c>
      <c r="L289">
        <v>287</v>
      </c>
      <c r="M289" s="51">
        <f ca="1">IFERROR(OFFSET($E$2,MATCH(金币平衡!C314,$F$3:$F$302,1),0),0)</f>
        <v>13250</v>
      </c>
      <c r="N289" s="51">
        <f t="shared" si="10"/>
        <v>0</v>
      </c>
    </row>
    <row r="290" spans="2:14">
      <c r="B290" s="47"/>
      <c r="C290" s="47"/>
      <c r="D290" s="47"/>
      <c r="E290" s="51">
        <v>0</v>
      </c>
      <c r="F290" s="47"/>
      <c r="I290">
        <v>288</v>
      </c>
      <c r="J290" s="51">
        <f t="shared" si="9"/>
        <v>0</v>
      </c>
      <c r="L290">
        <v>288</v>
      </c>
      <c r="M290" s="51">
        <f ca="1">IFERROR(OFFSET($E$2,MATCH(金币平衡!C315,$F$3:$F$302,1),0),0)</f>
        <v>13250</v>
      </c>
      <c r="N290" s="51">
        <f t="shared" si="10"/>
        <v>0</v>
      </c>
    </row>
    <row r="291" spans="2:14">
      <c r="B291" s="47"/>
      <c r="C291" s="47"/>
      <c r="D291" s="47"/>
      <c r="E291" s="51">
        <v>0</v>
      </c>
      <c r="F291" s="47"/>
      <c r="I291">
        <v>289</v>
      </c>
      <c r="J291" s="51">
        <f t="shared" si="9"/>
        <v>0</v>
      </c>
      <c r="L291">
        <v>289</v>
      </c>
      <c r="M291" s="51">
        <f ca="1">IFERROR(OFFSET($E$2,MATCH(金币平衡!C316,$F$3:$F$302,1),0),0)</f>
        <v>13250</v>
      </c>
      <c r="N291" s="51">
        <f t="shared" si="10"/>
        <v>0</v>
      </c>
    </row>
    <row r="292" spans="2:14">
      <c r="B292" s="47"/>
      <c r="C292" s="47"/>
      <c r="D292" s="47"/>
      <c r="E292" s="51">
        <v>0</v>
      </c>
      <c r="F292" s="47"/>
      <c r="I292">
        <v>290</v>
      </c>
      <c r="J292" s="51">
        <f t="shared" si="9"/>
        <v>0</v>
      </c>
      <c r="L292">
        <v>290</v>
      </c>
      <c r="M292" s="51">
        <f ca="1">IFERROR(OFFSET($E$2,MATCH(金币平衡!C317,$F$3:$F$302,1),0),0)</f>
        <v>13250</v>
      </c>
      <c r="N292" s="51">
        <f t="shared" si="10"/>
        <v>0</v>
      </c>
    </row>
    <row r="293" spans="2:14">
      <c r="B293" s="47"/>
      <c r="C293" s="47"/>
      <c r="D293" s="47"/>
      <c r="E293" s="51">
        <v>0</v>
      </c>
      <c r="F293" s="47"/>
      <c r="I293">
        <v>291</v>
      </c>
      <c r="J293" s="51">
        <f t="shared" si="9"/>
        <v>0</v>
      </c>
      <c r="L293">
        <v>291</v>
      </c>
      <c r="M293" s="51">
        <f ca="1">IFERROR(OFFSET($E$2,MATCH(金币平衡!C318,$F$3:$F$302,1),0),0)</f>
        <v>13250</v>
      </c>
      <c r="N293" s="51">
        <f t="shared" si="10"/>
        <v>0</v>
      </c>
    </row>
    <row r="294" spans="2:14">
      <c r="B294" s="47"/>
      <c r="C294" s="47"/>
      <c r="D294" s="47"/>
      <c r="E294" s="51">
        <v>0</v>
      </c>
      <c r="F294" s="47"/>
      <c r="I294">
        <v>292</v>
      </c>
      <c r="J294" s="51">
        <f t="shared" si="9"/>
        <v>0</v>
      </c>
      <c r="L294">
        <v>292</v>
      </c>
      <c r="M294" s="51">
        <f ca="1">IFERROR(OFFSET($E$2,MATCH(金币平衡!C319,$F$3:$F$302,1),0),0)</f>
        <v>13250</v>
      </c>
      <c r="N294" s="51">
        <f t="shared" si="10"/>
        <v>0</v>
      </c>
    </row>
    <row r="295" spans="2:14">
      <c r="B295" s="47"/>
      <c r="C295" s="47"/>
      <c r="D295" s="47"/>
      <c r="E295" s="51">
        <v>0</v>
      </c>
      <c r="F295" s="47"/>
      <c r="I295">
        <v>293</v>
      </c>
      <c r="J295" s="51">
        <f t="shared" si="9"/>
        <v>0</v>
      </c>
      <c r="L295">
        <v>293</v>
      </c>
      <c r="M295" s="51">
        <f ca="1">IFERROR(OFFSET($E$2,MATCH(金币平衡!C320,$F$3:$F$302,1),0),0)</f>
        <v>13250</v>
      </c>
      <c r="N295" s="51">
        <f t="shared" si="10"/>
        <v>0</v>
      </c>
    </row>
    <row r="296" spans="2:14">
      <c r="B296" s="47"/>
      <c r="C296" s="47"/>
      <c r="D296" s="47"/>
      <c r="E296" s="51">
        <v>0</v>
      </c>
      <c r="F296" s="47"/>
      <c r="I296">
        <v>294</v>
      </c>
      <c r="J296" s="51">
        <f t="shared" si="9"/>
        <v>0</v>
      </c>
      <c r="L296">
        <v>294</v>
      </c>
      <c r="M296" s="51">
        <f ca="1">IFERROR(OFFSET($E$2,MATCH(金币平衡!C321,$F$3:$F$302,1),0),0)</f>
        <v>13250</v>
      </c>
      <c r="N296" s="51">
        <f t="shared" si="10"/>
        <v>0</v>
      </c>
    </row>
    <row r="297" spans="2:14">
      <c r="B297" s="47"/>
      <c r="C297" s="47"/>
      <c r="D297" s="47"/>
      <c r="E297" s="51">
        <v>0</v>
      </c>
      <c r="F297" s="47"/>
      <c r="I297">
        <v>295</v>
      </c>
      <c r="J297" s="51">
        <f t="shared" si="9"/>
        <v>0</v>
      </c>
      <c r="L297">
        <v>295</v>
      </c>
      <c r="M297" s="51">
        <f ca="1">IFERROR(OFFSET($E$2,MATCH(金币平衡!C322,$F$3:$F$302,1),0),0)</f>
        <v>13250</v>
      </c>
      <c r="N297" s="51">
        <f t="shared" si="10"/>
        <v>0</v>
      </c>
    </row>
    <row r="298" spans="2:14">
      <c r="B298" s="47"/>
      <c r="C298" s="47"/>
      <c r="D298" s="47"/>
      <c r="E298" s="51">
        <v>0</v>
      </c>
      <c r="F298" s="47"/>
      <c r="I298">
        <v>296</v>
      </c>
      <c r="J298" s="51">
        <f t="shared" si="9"/>
        <v>0</v>
      </c>
      <c r="L298">
        <v>296</v>
      </c>
      <c r="M298" s="51">
        <f ca="1">IFERROR(OFFSET($E$2,MATCH(金币平衡!C323,$F$3:$F$302,1),0),0)</f>
        <v>13250</v>
      </c>
      <c r="N298" s="51">
        <f t="shared" si="10"/>
        <v>0</v>
      </c>
    </row>
    <row r="299" spans="2:14">
      <c r="B299" s="47"/>
      <c r="C299" s="47"/>
      <c r="D299" s="47"/>
      <c r="E299" s="51">
        <v>0</v>
      </c>
      <c r="F299" s="47"/>
      <c r="I299">
        <v>297</v>
      </c>
      <c r="J299" s="51">
        <f t="shared" si="9"/>
        <v>0</v>
      </c>
      <c r="L299">
        <v>297</v>
      </c>
      <c r="M299" s="51">
        <f ca="1">IFERROR(OFFSET($E$2,MATCH(金币平衡!C324,$F$3:$F$302,1),0),0)</f>
        <v>13250</v>
      </c>
      <c r="N299" s="51">
        <f t="shared" si="10"/>
        <v>0</v>
      </c>
    </row>
    <row r="300" spans="2:14">
      <c r="B300" s="47"/>
      <c r="C300" s="47"/>
      <c r="D300" s="47"/>
      <c r="E300" s="51">
        <v>0</v>
      </c>
      <c r="F300" s="47"/>
      <c r="I300">
        <v>298</v>
      </c>
      <c r="J300" s="51">
        <f t="shared" si="9"/>
        <v>0</v>
      </c>
      <c r="L300">
        <v>298</v>
      </c>
      <c r="M300" s="51">
        <f ca="1">IFERROR(OFFSET($E$2,MATCH(金币平衡!C325,$F$3:$F$302,1),0),0)</f>
        <v>13250</v>
      </c>
      <c r="N300" s="51">
        <f t="shared" si="10"/>
        <v>0</v>
      </c>
    </row>
    <row r="301" spans="2:14">
      <c r="B301" s="47"/>
      <c r="C301" s="47"/>
      <c r="D301" s="47"/>
      <c r="E301" s="51">
        <v>0</v>
      </c>
      <c r="F301" s="47"/>
      <c r="I301">
        <v>299</v>
      </c>
      <c r="J301" s="51">
        <f t="shared" si="9"/>
        <v>0</v>
      </c>
      <c r="L301">
        <v>299</v>
      </c>
      <c r="M301" s="51">
        <f ca="1">IFERROR(OFFSET($E$2,MATCH(金币平衡!C326,$F$3:$F$302,1),0),0)</f>
        <v>13250</v>
      </c>
      <c r="N301" s="51">
        <f t="shared" si="10"/>
        <v>0</v>
      </c>
    </row>
    <row r="302" spans="2:14">
      <c r="B302" s="47"/>
      <c r="C302" s="47"/>
      <c r="D302" s="47"/>
      <c r="E302" s="51">
        <v>0</v>
      </c>
      <c r="F302" s="47"/>
      <c r="I302">
        <v>300</v>
      </c>
      <c r="J302" s="51">
        <f t="shared" si="9"/>
        <v>0</v>
      </c>
      <c r="L302">
        <v>300</v>
      </c>
      <c r="M302" s="51">
        <f ca="1">IFERROR(OFFSET($E$2,MATCH(金币平衡!C327,$F$3:$F$302,1),0),0)</f>
        <v>13250</v>
      </c>
      <c r="N302" s="51">
        <f t="shared" si="10"/>
        <v>0</v>
      </c>
    </row>
  </sheetData>
  <pageMargins left="0.75" right="0.75" top="1" bottom="1" header="0.5" footer="0.5"/>
  <headerFooter/>
  <tableParts count="3">
    <tablePart r:id="rId1"/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>
    <tabColor theme="4"/>
  </sheetPr>
  <dimension ref="B1:BQ620"/>
  <sheetViews>
    <sheetView workbookViewId="0">
      <selection activeCell="T19" sqref="T19"/>
    </sheetView>
  </sheetViews>
  <sheetFormatPr defaultColWidth="9" defaultRowHeight="13.5"/>
  <cols>
    <col min="1" max="2" width="9" style="23"/>
    <col min="3" max="3" width="9.875" style="23" customWidth="1"/>
    <col min="4" max="45" width="9" style="23"/>
    <col min="46" max="46" width="17.75" style="23" customWidth="1"/>
    <col min="47" max="47" width="15.5" style="23" customWidth="1"/>
    <col min="48" max="51" width="9" style="23"/>
    <col min="52" max="52" width="13.375" style="23" customWidth="1"/>
    <col min="53" max="53" width="13.75" style="23" customWidth="1"/>
    <col min="54" max="54" width="17" style="23" customWidth="1"/>
    <col min="55" max="55" width="12.625" style="23"/>
    <col min="56" max="56" width="12.375" style="23" customWidth="1"/>
    <col min="57" max="16384" width="9" style="23"/>
  </cols>
  <sheetData>
    <row r="1" spans="2:15">
      <c r="B1" s="23" t="s">
        <v>77</v>
      </c>
      <c r="C1" s="23" t="s">
        <v>128</v>
      </c>
      <c r="D1" s="23" t="s">
        <v>129</v>
      </c>
      <c r="E1" s="48" t="s">
        <v>130</v>
      </c>
      <c r="F1" s="23" t="s">
        <v>240</v>
      </c>
      <c r="G1" s="23" t="s">
        <v>96</v>
      </c>
      <c r="H1" s="23" t="s">
        <v>316</v>
      </c>
      <c r="I1" s="48" t="s">
        <v>132</v>
      </c>
      <c r="J1" s="70" t="s">
        <v>203</v>
      </c>
      <c r="K1" s="48" t="s">
        <v>214</v>
      </c>
      <c r="L1" s="48" t="s">
        <v>373</v>
      </c>
      <c r="M1" s="48" t="s">
        <v>131</v>
      </c>
      <c r="N1" s="23" t="s">
        <v>202</v>
      </c>
      <c r="O1" s="23" t="s">
        <v>238</v>
      </c>
    </row>
    <row r="2" spans="2:15">
      <c r="B2" s="23">
        <v>1</v>
      </c>
      <c r="C2" s="23">
        <f>J321+N321+AF321</f>
        <v>440</v>
      </c>
      <c r="D2" s="23">
        <f>H321+T321</f>
        <v>40</v>
      </c>
      <c r="E2" s="48">
        <f>IF(MOD(B2,5)=0,0,D321)+IF(MOD(B2-16,20)=0,10,0)</f>
        <v>0</v>
      </c>
      <c r="F2" s="48">
        <f t="shared" ref="F2:F65" si="0">IF(MOD(B2,5)=0,1,0)</f>
        <v>0</v>
      </c>
      <c r="G2" s="48">
        <f>L321+X321+AL321+主线推图!M4+IFERROR(_xlfn.XLOOKUP((B2-6)/10,组队产出!$B$4:$B$19,组队产出!$L$4:$L$19),0)</f>
        <v>1200</v>
      </c>
      <c r="H2" s="23">
        <f>P321*2.5</f>
        <v>0</v>
      </c>
      <c r="I2" s="23">
        <f>AH321+R321</f>
        <v>0</v>
      </c>
      <c r="J2" s="23">
        <f>V321</f>
        <v>0</v>
      </c>
      <c r="K2" s="23">
        <f>Z321</f>
        <v>0</v>
      </c>
      <c r="L2" s="48">
        <f t="shared" ref="L2:L65" si="1">IF(MOD(B2,5)=0,AB321,0)</f>
        <v>0</v>
      </c>
      <c r="M2" s="48">
        <f t="shared" ref="M2:M65" si="2">IF(MOD(B2,5)=0,0,AB321)</f>
        <v>0</v>
      </c>
      <c r="N2" s="23">
        <f>AD321</f>
        <v>150</v>
      </c>
      <c r="O2" s="48">
        <f t="shared" ref="O2:O65" si="3">IF(MOD(B2-26,20)=0,2,0)</f>
        <v>0</v>
      </c>
    </row>
    <row r="3" spans="2:15">
      <c r="B3" s="23">
        <v>2</v>
      </c>
      <c r="C3" s="23">
        <f t="shared" ref="C3:C66" si="4">J322+N322+AF322</f>
        <v>440</v>
      </c>
      <c r="D3" s="23">
        <f t="shared" ref="D3:D66" si="5">H322+T322</f>
        <v>40</v>
      </c>
      <c r="E3" s="48">
        <f t="shared" ref="E3:E66" si="6">IF(MOD(B3,5)=0,0,D322)+IF(MOD(B3-16,20)=0,10,0)</f>
        <v>0</v>
      </c>
      <c r="F3" s="48">
        <f t="shared" si="0"/>
        <v>0</v>
      </c>
      <c r="G3" s="48">
        <f>L322+X322+AL322+主线推图!M5+IFERROR(_xlfn.XLOOKUP((B3-6)/10,组队产出!$B$4:$B$19,组队产出!$L$4:$L$19),0)</f>
        <v>1200</v>
      </c>
      <c r="H3" s="23">
        <f t="shared" ref="H3:H66" si="7">P322*2.5</f>
        <v>0</v>
      </c>
      <c r="I3" s="23">
        <f t="shared" ref="I3:I66" si="8">AH322+R322</f>
        <v>0</v>
      </c>
      <c r="J3" s="23">
        <f t="shared" ref="J3:J66" si="9">V322</f>
        <v>0</v>
      </c>
      <c r="K3" s="23">
        <f t="shared" ref="K3:K66" si="10">Z322</f>
        <v>0</v>
      </c>
      <c r="L3" s="48">
        <f t="shared" si="1"/>
        <v>0</v>
      </c>
      <c r="M3" s="48">
        <f t="shared" si="2"/>
        <v>0</v>
      </c>
      <c r="N3" s="23">
        <f t="shared" ref="N3:N66" si="11">AD322</f>
        <v>150</v>
      </c>
      <c r="O3" s="48">
        <f t="shared" si="3"/>
        <v>0</v>
      </c>
    </row>
    <row r="4" spans="2:15">
      <c r="B4" s="23">
        <v>3</v>
      </c>
      <c r="C4" s="23">
        <f t="shared" si="4"/>
        <v>340</v>
      </c>
      <c r="D4" s="23">
        <f t="shared" si="5"/>
        <v>40</v>
      </c>
      <c r="E4" s="48">
        <f t="shared" si="6"/>
        <v>5</v>
      </c>
      <c r="F4" s="48">
        <f t="shared" si="0"/>
        <v>0</v>
      </c>
      <c r="G4" s="48">
        <f>L323+X323+AL323+主线推图!M6+IFERROR(_xlfn.XLOOKUP((B4-6)/10,组队产出!$B$4:$B$19,组队产出!$L$4:$L$19),0)</f>
        <v>1200</v>
      </c>
      <c r="H4" s="23">
        <f t="shared" si="7"/>
        <v>0</v>
      </c>
      <c r="I4" s="23">
        <v>0</v>
      </c>
      <c r="J4" s="23">
        <f t="shared" si="9"/>
        <v>0</v>
      </c>
      <c r="K4" s="23">
        <f t="shared" si="10"/>
        <v>0</v>
      </c>
      <c r="L4" s="48">
        <f t="shared" si="1"/>
        <v>0</v>
      </c>
      <c r="M4" s="48">
        <f t="shared" si="2"/>
        <v>0</v>
      </c>
      <c r="N4" s="23">
        <f t="shared" si="11"/>
        <v>150</v>
      </c>
      <c r="O4" s="48">
        <f t="shared" si="3"/>
        <v>0</v>
      </c>
    </row>
    <row r="5" spans="2:15">
      <c r="B5" s="23">
        <v>4</v>
      </c>
      <c r="C5" s="23">
        <f t="shared" si="4"/>
        <v>440</v>
      </c>
      <c r="D5" s="23">
        <f t="shared" si="5"/>
        <v>40</v>
      </c>
      <c r="E5" s="48">
        <f t="shared" si="6"/>
        <v>5</v>
      </c>
      <c r="F5" s="48">
        <f t="shared" si="0"/>
        <v>0</v>
      </c>
      <c r="G5" s="48">
        <f>L324+X324+AL324+主线推图!M7+IFERROR(_xlfn.XLOOKUP((B5-6)/10,组队产出!$B$4:$B$19,组队产出!$L$4:$L$19),0)</f>
        <v>1200</v>
      </c>
      <c r="H5" s="23">
        <f t="shared" si="7"/>
        <v>0</v>
      </c>
      <c r="I5" s="23">
        <f t="shared" si="8"/>
        <v>35</v>
      </c>
      <c r="J5" s="23">
        <f t="shared" si="9"/>
        <v>0</v>
      </c>
      <c r="K5" s="23">
        <f t="shared" si="10"/>
        <v>0</v>
      </c>
      <c r="L5" s="48">
        <f t="shared" si="1"/>
        <v>0</v>
      </c>
      <c r="M5" s="48">
        <f t="shared" si="2"/>
        <v>0</v>
      </c>
      <c r="N5" s="23">
        <f t="shared" si="11"/>
        <v>150</v>
      </c>
      <c r="O5" s="48">
        <f t="shared" si="3"/>
        <v>0</v>
      </c>
    </row>
    <row r="6" spans="2:15">
      <c r="B6" s="23">
        <v>5</v>
      </c>
      <c r="C6" s="23">
        <f t="shared" si="4"/>
        <v>440</v>
      </c>
      <c r="D6" s="23">
        <f t="shared" si="5"/>
        <v>40</v>
      </c>
      <c r="E6" s="48">
        <f t="shared" si="6"/>
        <v>0</v>
      </c>
      <c r="F6" s="48">
        <f t="shared" si="0"/>
        <v>1</v>
      </c>
      <c r="G6" s="48">
        <f>L325+X325+AL325+主线推图!M8+IFERROR(_xlfn.XLOOKUP((B6-6)/10,组队产出!$B$4:$B$19,组队产出!$L$4:$L$19),0)</f>
        <v>1200</v>
      </c>
      <c r="H6" s="23">
        <f t="shared" si="7"/>
        <v>0</v>
      </c>
      <c r="I6" s="23">
        <f t="shared" si="8"/>
        <v>35</v>
      </c>
      <c r="J6" s="23">
        <f t="shared" si="9"/>
        <v>1</v>
      </c>
      <c r="K6" s="23">
        <f t="shared" si="10"/>
        <v>0</v>
      </c>
      <c r="L6" s="48">
        <f t="shared" si="1"/>
        <v>3</v>
      </c>
      <c r="M6" s="48">
        <f t="shared" si="2"/>
        <v>0</v>
      </c>
      <c r="N6" s="23">
        <f t="shared" si="11"/>
        <v>150</v>
      </c>
      <c r="O6" s="48">
        <f t="shared" si="3"/>
        <v>0</v>
      </c>
    </row>
    <row r="7" spans="2:15">
      <c r="B7" s="23">
        <v>6</v>
      </c>
      <c r="C7" s="23">
        <f t="shared" si="4"/>
        <v>440</v>
      </c>
      <c r="D7" s="23">
        <f t="shared" si="5"/>
        <v>40</v>
      </c>
      <c r="E7" s="48">
        <f t="shared" si="6"/>
        <v>5</v>
      </c>
      <c r="F7" s="48">
        <f t="shared" si="0"/>
        <v>0</v>
      </c>
      <c r="G7" s="48">
        <f>L326+X326+AL326+主线推图!M9+IFERROR(_xlfn.XLOOKUP((B7-6)/10,组队产出!$B$4:$B$19,组队产出!$L$4:$L$19),0)</f>
        <v>1800</v>
      </c>
      <c r="H7" s="23">
        <f t="shared" si="7"/>
        <v>0</v>
      </c>
      <c r="I7" s="23">
        <f t="shared" si="8"/>
        <v>35</v>
      </c>
      <c r="J7" s="23">
        <f t="shared" si="9"/>
        <v>0</v>
      </c>
      <c r="K7" s="23">
        <f t="shared" si="10"/>
        <v>5</v>
      </c>
      <c r="L7" s="48">
        <f t="shared" si="1"/>
        <v>0</v>
      </c>
      <c r="M7" s="48">
        <f t="shared" si="2"/>
        <v>30</v>
      </c>
      <c r="N7" s="23">
        <f t="shared" si="11"/>
        <v>150</v>
      </c>
      <c r="O7" s="48">
        <v>0</v>
      </c>
    </row>
    <row r="8" spans="2:15">
      <c r="B8" s="23">
        <v>7</v>
      </c>
      <c r="C8" s="23">
        <f t="shared" si="4"/>
        <v>650</v>
      </c>
      <c r="D8" s="23">
        <f t="shared" si="5"/>
        <v>40</v>
      </c>
      <c r="E8" s="48">
        <f t="shared" si="6"/>
        <v>5</v>
      </c>
      <c r="F8" s="48">
        <f t="shared" si="0"/>
        <v>0</v>
      </c>
      <c r="G8" s="48">
        <f>L327+X327+AL327+主线推图!M10+IFERROR(_xlfn.XLOOKUP((B8-6)/10,组队产出!$B$4:$B$19,组队产出!$L$4:$L$19),0)</f>
        <v>1800</v>
      </c>
      <c r="H8" s="23">
        <f t="shared" si="7"/>
        <v>0</v>
      </c>
      <c r="I8" s="23">
        <f t="shared" si="8"/>
        <v>35</v>
      </c>
      <c r="J8" s="23">
        <f t="shared" si="9"/>
        <v>0</v>
      </c>
      <c r="K8" s="23">
        <f t="shared" si="10"/>
        <v>5</v>
      </c>
      <c r="L8" s="48">
        <f t="shared" si="1"/>
        <v>0</v>
      </c>
      <c r="M8" s="48">
        <f t="shared" si="2"/>
        <v>30</v>
      </c>
      <c r="N8" s="23">
        <f t="shared" si="11"/>
        <v>150</v>
      </c>
      <c r="O8" s="48">
        <f t="shared" si="3"/>
        <v>0</v>
      </c>
    </row>
    <row r="9" spans="2:15">
      <c r="B9" s="23">
        <v>8</v>
      </c>
      <c r="C9" s="23">
        <f t="shared" si="4"/>
        <v>650</v>
      </c>
      <c r="D9" s="23">
        <f t="shared" si="5"/>
        <v>40</v>
      </c>
      <c r="E9" s="48">
        <f t="shared" si="6"/>
        <v>5</v>
      </c>
      <c r="F9" s="48">
        <f t="shared" si="0"/>
        <v>0</v>
      </c>
      <c r="G9" s="48">
        <f>L328+X328+AL328+主线推图!M11+IFERROR(_xlfn.XLOOKUP((B9-6)/10,组队产出!$B$4:$B$19,组队产出!$L$4:$L$19),0)</f>
        <v>1800</v>
      </c>
      <c r="H9" s="23">
        <f t="shared" si="7"/>
        <v>0</v>
      </c>
      <c r="I9" s="23">
        <f t="shared" si="8"/>
        <v>35</v>
      </c>
      <c r="J9" s="23">
        <f t="shared" si="9"/>
        <v>0</v>
      </c>
      <c r="K9" s="23">
        <f t="shared" si="10"/>
        <v>5</v>
      </c>
      <c r="L9" s="48">
        <f t="shared" si="1"/>
        <v>0</v>
      </c>
      <c r="M9" s="48">
        <f t="shared" si="2"/>
        <v>30</v>
      </c>
      <c r="N9" s="23">
        <f t="shared" si="11"/>
        <v>150</v>
      </c>
      <c r="O9" s="48">
        <f t="shared" si="3"/>
        <v>0</v>
      </c>
    </row>
    <row r="10" spans="2:15">
      <c r="B10" s="23">
        <v>9</v>
      </c>
      <c r="C10" s="23">
        <f t="shared" si="4"/>
        <v>650</v>
      </c>
      <c r="D10" s="23">
        <f t="shared" si="5"/>
        <v>40</v>
      </c>
      <c r="E10" s="48">
        <f t="shared" si="6"/>
        <v>5</v>
      </c>
      <c r="F10" s="48">
        <f t="shared" si="0"/>
        <v>0</v>
      </c>
      <c r="G10" s="48">
        <f>L329+X329+AL329+主线推图!M12+IFERROR(_xlfn.XLOOKUP((B10-6)/10,组队产出!$B$4:$B$19,组队产出!$L$4:$L$19),0)</f>
        <v>1800</v>
      </c>
      <c r="H10" s="23">
        <f t="shared" si="7"/>
        <v>0</v>
      </c>
      <c r="I10" s="23">
        <f t="shared" si="8"/>
        <v>35</v>
      </c>
      <c r="J10" s="23">
        <f t="shared" si="9"/>
        <v>0</v>
      </c>
      <c r="K10" s="23">
        <f t="shared" si="10"/>
        <v>5</v>
      </c>
      <c r="L10" s="48">
        <f t="shared" si="1"/>
        <v>0</v>
      </c>
      <c r="M10" s="48">
        <f t="shared" si="2"/>
        <v>30</v>
      </c>
      <c r="N10" s="23">
        <f t="shared" si="11"/>
        <v>150</v>
      </c>
      <c r="O10" s="48">
        <f t="shared" si="3"/>
        <v>0</v>
      </c>
    </row>
    <row r="11" spans="2:15">
      <c r="B11" s="23">
        <v>10</v>
      </c>
      <c r="C11" s="23">
        <f t="shared" si="4"/>
        <v>650</v>
      </c>
      <c r="D11" s="23">
        <f t="shared" si="5"/>
        <v>40</v>
      </c>
      <c r="E11" s="48">
        <f t="shared" si="6"/>
        <v>0</v>
      </c>
      <c r="F11" s="48">
        <f t="shared" si="0"/>
        <v>1</v>
      </c>
      <c r="G11" s="48">
        <f>L330+X330+AL330+主线推图!M13+IFERROR(_xlfn.XLOOKUP((B11-6)/10,组队产出!$B$4:$B$19,组队产出!$L$4:$L$19),0)</f>
        <v>1800</v>
      </c>
      <c r="H11" s="23">
        <f t="shared" si="7"/>
        <v>0</v>
      </c>
      <c r="I11" s="23">
        <f t="shared" si="8"/>
        <v>35</v>
      </c>
      <c r="J11" s="23">
        <f t="shared" si="9"/>
        <v>1</v>
      </c>
      <c r="K11" s="23">
        <f t="shared" si="10"/>
        <v>5</v>
      </c>
      <c r="L11" s="48">
        <f t="shared" si="1"/>
        <v>3</v>
      </c>
      <c r="M11" s="48">
        <f t="shared" si="2"/>
        <v>0</v>
      </c>
      <c r="N11" s="23">
        <f t="shared" si="11"/>
        <v>150</v>
      </c>
      <c r="O11" s="48">
        <f t="shared" si="3"/>
        <v>0</v>
      </c>
    </row>
    <row r="12" spans="2:15">
      <c r="B12" s="23">
        <v>11</v>
      </c>
      <c r="C12" s="23">
        <f t="shared" si="4"/>
        <v>650</v>
      </c>
      <c r="D12" s="23">
        <f t="shared" si="5"/>
        <v>40</v>
      </c>
      <c r="E12" s="48">
        <f t="shared" si="6"/>
        <v>5</v>
      </c>
      <c r="F12" s="48">
        <f t="shared" si="0"/>
        <v>0</v>
      </c>
      <c r="G12" s="48">
        <f>L331+X331+AL331+主线推图!M14+IFERROR(_xlfn.XLOOKUP((B12-6)/10,组队产出!$B$4:$B$19,组队产出!$L$4:$L$19),0)</f>
        <v>1800</v>
      </c>
      <c r="H12" s="23">
        <f t="shared" si="7"/>
        <v>0</v>
      </c>
      <c r="I12" s="23">
        <f t="shared" si="8"/>
        <v>35</v>
      </c>
      <c r="J12" s="23">
        <f t="shared" si="9"/>
        <v>0</v>
      </c>
      <c r="K12" s="23">
        <f t="shared" si="10"/>
        <v>5</v>
      </c>
      <c r="L12" s="48">
        <f t="shared" si="1"/>
        <v>0</v>
      </c>
      <c r="M12" s="48">
        <f t="shared" si="2"/>
        <v>30</v>
      </c>
      <c r="N12" s="23">
        <f t="shared" si="11"/>
        <v>150</v>
      </c>
      <c r="O12" s="48">
        <f t="shared" si="3"/>
        <v>0</v>
      </c>
    </row>
    <row r="13" spans="2:15">
      <c r="B13" s="23">
        <v>12</v>
      </c>
      <c r="C13" s="23">
        <f t="shared" si="4"/>
        <v>650</v>
      </c>
      <c r="D13" s="23">
        <f t="shared" si="5"/>
        <v>40</v>
      </c>
      <c r="E13" s="48">
        <f t="shared" si="6"/>
        <v>5</v>
      </c>
      <c r="F13" s="48">
        <f t="shared" si="0"/>
        <v>0</v>
      </c>
      <c r="G13" s="48">
        <f>L332+X332+AL332+主线推图!M15+IFERROR(_xlfn.XLOOKUP((B13-6)/10,组队产出!$B$4:$B$19,组队产出!$L$4:$L$19),0)</f>
        <v>1800</v>
      </c>
      <c r="H13" s="23">
        <f t="shared" si="7"/>
        <v>0</v>
      </c>
      <c r="I13" s="23">
        <f t="shared" si="8"/>
        <v>35</v>
      </c>
      <c r="J13" s="23">
        <f t="shared" si="9"/>
        <v>0</v>
      </c>
      <c r="K13" s="23">
        <f t="shared" si="10"/>
        <v>5</v>
      </c>
      <c r="L13" s="48">
        <f t="shared" si="1"/>
        <v>0</v>
      </c>
      <c r="M13" s="48">
        <f t="shared" si="2"/>
        <v>30</v>
      </c>
      <c r="N13" s="23">
        <f t="shared" si="11"/>
        <v>150</v>
      </c>
      <c r="O13" s="48">
        <f t="shared" si="3"/>
        <v>0</v>
      </c>
    </row>
    <row r="14" spans="2:15">
      <c r="B14" s="23">
        <v>13</v>
      </c>
      <c r="C14" s="23">
        <f t="shared" si="4"/>
        <v>750</v>
      </c>
      <c r="D14" s="23">
        <f t="shared" si="5"/>
        <v>40</v>
      </c>
      <c r="E14" s="48">
        <f t="shared" si="6"/>
        <v>5</v>
      </c>
      <c r="F14" s="48">
        <f t="shared" si="0"/>
        <v>0</v>
      </c>
      <c r="G14" s="48">
        <f>L333+X333+AL333+主线推图!M16+IFERROR(_xlfn.XLOOKUP((B14-6)/10,组队产出!$B$4:$B$19,组队产出!$L$4:$L$19),0)</f>
        <v>1800</v>
      </c>
      <c r="H14" s="23">
        <f t="shared" si="7"/>
        <v>0</v>
      </c>
      <c r="I14" s="23">
        <f t="shared" si="8"/>
        <v>35</v>
      </c>
      <c r="J14" s="23">
        <f t="shared" si="9"/>
        <v>0</v>
      </c>
      <c r="K14" s="23">
        <f t="shared" si="10"/>
        <v>5</v>
      </c>
      <c r="L14" s="48">
        <f t="shared" si="1"/>
        <v>0</v>
      </c>
      <c r="M14" s="48">
        <f t="shared" si="2"/>
        <v>30</v>
      </c>
      <c r="N14" s="23">
        <f t="shared" si="11"/>
        <v>150</v>
      </c>
      <c r="O14" s="48">
        <f t="shared" si="3"/>
        <v>0</v>
      </c>
    </row>
    <row r="15" spans="2:15">
      <c r="B15" s="23">
        <v>14</v>
      </c>
      <c r="C15" s="23">
        <f t="shared" si="4"/>
        <v>750</v>
      </c>
      <c r="D15" s="23">
        <f t="shared" si="5"/>
        <v>40</v>
      </c>
      <c r="E15" s="48">
        <f t="shared" si="6"/>
        <v>5</v>
      </c>
      <c r="F15" s="48">
        <f t="shared" si="0"/>
        <v>0</v>
      </c>
      <c r="G15" s="48">
        <f>L334+X334+AL334+主线推图!M17+IFERROR(_xlfn.XLOOKUP((B15-6)/10,组队产出!$B$4:$B$19,组队产出!$L$4:$L$19),0)</f>
        <v>1800</v>
      </c>
      <c r="H15" s="23">
        <f t="shared" si="7"/>
        <v>0</v>
      </c>
      <c r="I15" s="23">
        <f t="shared" si="8"/>
        <v>35</v>
      </c>
      <c r="J15" s="23">
        <f t="shared" si="9"/>
        <v>0</v>
      </c>
      <c r="K15" s="23">
        <f t="shared" si="10"/>
        <v>5</v>
      </c>
      <c r="L15" s="48">
        <f t="shared" si="1"/>
        <v>0</v>
      </c>
      <c r="M15" s="48">
        <f t="shared" si="2"/>
        <v>30</v>
      </c>
      <c r="N15" s="23">
        <f t="shared" si="11"/>
        <v>150</v>
      </c>
      <c r="O15" s="48">
        <f t="shared" si="3"/>
        <v>0</v>
      </c>
    </row>
    <row r="16" spans="2:15">
      <c r="B16" s="26">
        <v>15</v>
      </c>
      <c r="C16" s="23">
        <f t="shared" si="4"/>
        <v>750</v>
      </c>
      <c r="D16" s="23">
        <f t="shared" si="5"/>
        <v>40</v>
      </c>
      <c r="E16" s="48">
        <f t="shared" si="6"/>
        <v>0</v>
      </c>
      <c r="F16" s="48">
        <f t="shared" si="0"/>
        <v>1</v>
      </c>
      <c r="G16" s="48">
        <f>L335+X335+AL335+主线推图!M18+IFERROR(_xlfn.XLOOKUP((B16-6)/10,组队产出!$B$4:$B$19,组队产出!$L$4:$L$19),0)</f>
        <v>1800</v>
      </c>
      <c r="H16" s="23">
        <f t="shared" si="7"/>
        <v>500</v>
      </c>
      <c r="I16" s="23">
        <f t="shared" si="8"/>
        <v>35</v>
      </c>
      <c r="J16" s="23">
        <f t="shared" si="9"/>
        <v>1</v>
      </c>
      <c r="K16" s="23">
        <f t="shared" si="10"/>
        <v>5</v>
      </c>
      <c r="L16" s="48">
        <f t="shared" si="1"/>
        <v>3</v>
      </c>
      <c r="M16" s="48">
        <f t="shared" si="2"/>
        <v>0</v>
      </c>
      <c r="N16" s="23">
        <f t="shared" si="11"/>
        <v>150</v>
      </c>
      <c r="O16" s="48">
        <f t="shared" si="3"/>
        <v>0</v>
      </c>
    </row>
    <row r="17" spans="2:15">
      <c r="B17" s="23">
        <v>16</v>
      </c>
      <c r="C17" s="23">
        <f t="shared" si="4"/>
        <v>750</v>
      </c>
      <c r="D17" s="23">
        <f t="shared" si="5"/>
        <v>40</v>
      </c>
      <c r="E17" s="48">
        <f t="shared" si="6"/>
        <v>15</v>
      </c>
      <c r="F17" s="48">
        <f t="shared" si="0"/>
        <v>0</v>
      </c>
      <c r="G17" s="48">
        <f>L336+X336+AL336+主线推图!M19+IFERROR(_xlfn.XLOOKUP((B17-6)/10,组队产出!$B$4:$B$19,组队产出!$L$4:$L$19),0)</f>
        <v>6300</v>
      </c>
      <c r="H17" s="23">
        <f t="shared" si="7"/>
        <v>500</v>
      </c>
      <c r="I17" s="23">
        <f t="shared" si="8"/>
        <v>35</v>
      </c>
      <c r="J17" s="23">
        <f t="shared" si="9"/>
        <v>0</v>
      </c>
      <c r="K17" s="23">
        <f t="shared" si="10"/>
        <v>5</v>
      </c>
      <c r="L17" s="48">
        <f t="shared" si="1"/>
        <v>0</v>
      </c>
      <c r="M17" s="48">
        <f t="shared" si="2"/>
        <v>30</v>
      </c>
      <c r="N17" s="23">
        <f t="shared" si="11"/>
        <v>150</v>
      </c>
      <c r="O17" s="48">
        <f t="shared" si="3"/>
        <v>0</v>
      </c>
    </row>
    <row r="18" spans="2:15">
      <c r="B18" s="23">
        <v>17</v>
      </c>
      <c r="C18" s="23">
        <f t="shared" si="4"/>
        <v>750</v>
      </c>
      <c r="D18" s="23">
        <f t="shared" si="5"/>
        <v>40</v>
      </c>
      <c r="E18" s="48">
        <f t="shared" si="6"/>
        <v>5</v>
      </c>
      <c r="F18" s="48">
        <f t="shared" si="0"/>
        <v>0</v>
      </c>
      <c r="G18" s="48">
        <f>L337+X337+AL337+主线推图!M20+IFERROR(_xlfn.XLOOKUP((B18-6)/10,组队产出!$B$4:$B$19,组队产出!$L$4:$L$19),0)</f>
        <v>1800</v>
      </c>
      <c r="H18" s="23">
        <f t="shared" si="7"/>
        <v>500</v>
      </c>
      <c r="I18" s="23">
        <f t="shared" si="8"/>
        <v>35</v>
      </c>
      <c r="J18" s="23">
        <f t="shared" si="9"/>
        <v>0</v>
      </c>
      <c r="K18" s="23">
        <f t="shared" si="10"/>
        <v>5</v>
      </c>
      <c r="L18" s="48">
        <f t="shared" si="1"/>
        <v>0</v>
      </c>
      <c r="M18" s="48">
        <f t="shared" si="2"/>
        <v>30</v>
      </c>
      <c r="N18" s="23">
        <f t="shared" si="11"/>
        <v>150</v>
      </c>
      <c r="O18" s="48">
        <f t="shared" si="3"/>
        <v>0</v>
      </c>
    </row>
    <row r="19" spans="2:15">
      <c r="B19" s="23">
        <v>18</v>
      </c>
      <c r="C19" s="23">
        <f t="shared" si="4"/>
        <v>750</v>
      </c>
      <c r="D19" s="23">
        <f t="shared" si="5"/>
        <v>40</v>
      </c>
      <c r="E19" s="48">
        <f t="shared" si="6"/>
        <v>5</v>
      </c>
      <c r="F19" s="48">
        <f t="shared" si="0"/>
        <v>0</v>
      </c>
      <c r="G19" s="48">
        <f>L338+X338+AL338+主线推图!M21+IFERROR(_xlfn.XLOOKUP((B19-6)/10,组队产出!$B$4:$B$19,组队产出!$L$4:$L$19),0)</f>
        <v>1800</v>
      </c>
      <c r="H19" s="23">
        <f t="shared" si="7"/>
        <v>500</v>
      </c>
      <c r="I19" s="23">
        <f t="shared" si="8"/>
        <v>35</v>
      </c>
      <c r="J19" s="23">
        <f t="shared" si="9"/>
        <v>0</v>
      </c>
      <c r="K19" s="23">
        <f t="shared" si="10"/>
        <v>5</v>
      </c>
      <c r="L19" s="48">
        <f t="shared" si="1"/>
        <v>0</v>
      </c>
      <c r="M19" s="48">
        <f t="shared" si="2"/>
        <v>30</v>
      </c>
      <c r="N19" s="23">
        <f t="shared" si="11"/>
        <v>150</v>
      </c>
      <c r="O19" s="48">
        <f t="shared" si="3"/>
        <v>0</v>
      </c>
    </row>
    <row r="20" spans="2:15">
      <c r="B20" s="23">
        <v>19</v>
      </c>
      <c r="C20" s="23">
        <f t="shared" si="4"/>
        <v>750</v>
      </c>
      <c r="D20" s="23">
        <f t="shared" si="5"/>
        <v>40</v>
      </c>
      <c r="E20" s="48">
        <f t="shared" si="6"/>
        <v>5</v>
      </c>
      <c r="F20" s="48">
        <f t="shared" si="0"/>
        <v>0</v>
      </c>
      <c r="G20" s="48">
        <f>L339+X339+AL339+主线推图!M22+IFERROR(_xlfn.XLOOKUP((B20-6)/10,组队产出!$B$4:$B$19,组队产出!$L$4:$L$19),0)</f>
        <v>1800</v>
      </c>
      <c r="H20" s="23">
        <f t="shared" si="7"/>
        <v>500</v>
      </c>
      <c r="I20" s="23">
        <f t="shared" si="8"/>
        <v>35</v>
      </c>
      <c r="J20" s="23">
        <f t="shared" si="9"/>
        <v>0</v>
      </c>
      <c r="K20" s="23">
        <f t="shared" si="10"/>
        <v>5</v>
      </c>
      <c r="L20" s="48">
        <f t="shared" si="1"/>
        <v>0</v>
      </c>
      <c r="M20" s="48">
        <f t="shared" si="2"/>
        <v>30</v>
      </c>
      <c r="N20" s="23">
        <f t="shared" si="11"/>
        <v>150</v>
      </c>
      <c r="O20" s="48">
        <f t="shared" si="3"/>
        <v>0</v>
      </c>
    </row>
    <row r="21" spans="2:15">
      <c r="B21" s="26">
        <v>20</v>
      </c>
      <c r="C21" s="23">
        <f t="shared" si="4"/>
        <v>750</v>
      </c>
      <c r="D21" s="23">
        <f t="shared" si="5"/>
        <v>40</v>
      </c>
      <c r="E21" s="48">
        <f t="shared" si="6"/>
        <v>0</v>
      </c>
      <c r="F21" s="48">
        <f t="shared" si="0"/>
        <v>1</v>
      </c>
      <c r="G21" s="48">
        <f>L340+X340+AL340+主线推图!M23+IFERROR(_xlfn.XLOOKUP((B21-6)/10,组队产出!$B$4:$B$19,组队产出!$L$4:$L$19),0)</f>
        <v>1800</v>
      </c>
      <c r="H21" s="23">
        <f t="shared" si="7"/>
        <v>500</v>
      </c>
      <c r="I21" s="23">
        <f t="shared" si="8"/>
        <v>35</v>
      </c>
      <c r="J21" s="23">
        <f t="shared" si="9"/>
        <v>1</v>
      </c>
      <c r="K21" s="23">
        <f t="shared" si="10"/>
        <v>5</v>
      </c>
      <c r="L21" s="48">
        <f t="shared" si="1"/>
        <v>3</v>
      </c>
      <c r="M21" s="48">
        <f t="shared" si="2"/>
        <v>0</v>
      </c>
      <c r="N21" s="23">
        <f t="shared" si="11"/>
        <v>150</v>
      </c>
      <c r="O21" s="48">
        <f t="shared" si="3"/>
        <v>0</v>
      </c>
    </row>
    <row r="22" spans="2:15">
      <c r="B22" s="23">
        <v>21</v>
      </c>
      <c r="C22" s="23">
        <f t="shared" si="4"/>
        <v>750</v>
      </c>
      <c r="D22" s="23">
        <f t="shared" si="5"/>
        <v>40</v>
      </c>
      <c r="E22" s="48">
        <f t="shared" si="6"/>
        <v>5</v>
      </c>
      <c r="F22" s="48">
        <f t="shared" si="0"/>
        <v>0</v>
      </c>
      <c r="G22" s="48">
        <f>L341+X341+AL341+主线推图!M24+IFERROR(_xlfn.XLOOKUP((B22-6)/10,组队产出!$B$4:$B$19,组队产出!$L$4:$L$19),0)</f>
        <v>1800</v>
      </c>
      <c r="H22" s="23">
        <f t="shared" si="7"/>
        <v>500</v>
      </c>
      <c r="I22" s="23">
        <f t="shared" si="8"/>
        <v>35</v>
      </c>
      <c r="J22" s="23">
        <f t="shared" si="9"/>
        <v>0</v>
      </c>
      <c r="K22" s="23">
        <f t="shared" si="10"/>
        <v>5</v>
      </c>
      <c r="L22" s="48">
        <f t="shared" si="1"/>
        <v>0</v>
      </c>
      <c r="M22" s="48">
        <f t="shared" si="2"/>
        <v>30</v>
      </c>
      <c r="N22" s="23">
        <f t="shared" si="11"/>
        <v>150</v>
      </c>
      <c r="O22" s="48">
        <f t="shared" si="3"/>
        <v>0</v>
      </c>
    </row>
    <row r="23" spans="2:15">
      <c r="B23" s="23">
        <v>22</v>
      </c>
      <c r="C23" s="23">
        <f t="shared" si="4"/>
        <v>750</v>
      </c>
      <c r="D23" s="23">
        <f t="shared" si="5"/>
        <v>40</v>
      </c>
      <c r="E23" s="48">
        <f t="shared" si="6"/>
        <v>5</v>
      </c>
      <c r="F23" s="48">
        <f t="shared" si="0"/>
        <v>0</v>
      </c>
      <c r="G23" s="48">
        <f>L342+X342+AL342+主线推图!M25+IFERROR(_xlfn.XLOOKUP((B23-6)/10,组队产出!$B$4:$B$19,组队产出!$L$4:$L$19),0)</f>
        <v>1800</v>
      </c>
      <c r="H23" s="23">
        <f t="shared" si="7"/>
        <v>500</v>
      </c>
      <c r="I23" s="23">
        <f t="shared" si="8"/>
        <v>35</v>
      </c>
      <c r="J23" s="23">
        <f t="shared" si="9"/>
        <v>0</v>
      </c>
      <c r="K23" s="23">
        <f t="shared" si="10"/>
        <v>5</v>
      </c>
      <c r="L23" s="48">
        <f t="shared" si="1"/>
        <v>0</v>
      </c>
      <c r="M23" s="48">
        <f t="shared" si="2"/>
        <v>30</v>
      </c>
      <c r="N23" s="23">
        <f t="shared" si="11"/>
        <v>150</v>
      </c>
      <c r="O23" s="48">
        <f t="shared" si="3"/>
        <v>0</v>
      </c>
    </row>
    <row r="24" spans="2:15">
      <c r="B24" s="23">
        <v>23</v>
      </c>
      <c r="C24" s="23">
        <f t="shared" si="4"/>
        <v>750</v>
      </c>
      <c r="D24" s="23">
        <f t="shared" si="5"/>
        <v>40</v>
      </c>
      <c r="E24" s="48">
        <f t="shared" si="6"/>
        <v>5</v>
      </c>
      <c r="F24" s="48">
        <f t="shared" si="0"/>
        <v>0</v>
      </c>
      <c r="G24" s="48">
        <f>L343+X343+AL343+主线推图!M26+IFERROR(_xlfn.XLOOKUP((B24-6)/10,组队产出!$B$4:$B$19,组队产出!$L$4:$L$19),0)</f>
        <v>1800</v>
      </c>
      <c r="H24" s="23">
        <f t="shared" si="7"/>
        <v>500</v>
      </c>
      <c r="I24" s="23">
        <f t="shared" si="8"/>
        <v>35</v>
      </c>
      <c r="J24" s="23">
        <f t="shared" si="9"/>
        <v>0</v>
      </c>
      <c r="K24" s="23">
        <f t="shared" si="10"/>
        <v>5</v>
      </c>
      <c r="L24" s="48">
        <f t="shared" si="1"/>
        <v>0</v>
      </c>
      <c r="M24" s="48">
        <f t="shared" si="2"/>
        <v>30</v>
      </c>
      <c r="N24" s="23">
        <f t="shared" si="11"/>
        <v>150</v>
      </c>
      <c r="O24" s="48">
        <f t="shared" si="3"/>
        <v>0</v>
      </c>
    </row>
    <row r="25" spans="2:15">
      <c r="B25" s="23">
        <v>24</v>
      </c>
      <c r="C25" s="23">
        <f t="shared" si="4"/>
        <v>750</v>
      </c>
      <c r="D25" s="23">
        <f t="shared" si="5"/>
        <v>40</v>
      </c>
      <c r="E25" s="48">
        <f t="shared" si="6"/>
        <v>5</v>
      </c>
      <c r="F25" s="48">
        <f t="shared" si="0"/>
        <v>0</v>
      </c>
      <c r="G25" s="48">
        <f>L344+X344+AL344+主线推图!M27+IFERROR(_xlfn.XLOOKUP((B25-6)/10,组队产出!$B$4:$B$19,组队产出!$L$4:$L$19),0)</f>
        <v>1800</v>
      </c>
      <c r="H25" s="23">
        <f t="shared" si="7"/>
        <v>500</v>
      </c>
      <c r="I25" s="23">
        <f t="shared" si="8"/>
        <v>35</v>
      </c>
      <c r="J25" s="23">
        <f t="shared" si="9"/>
        <v>0</v>
      </c>
      <c r="K25" s="23">
        <f t="shared" si="10"/>
        <v>5</v>
      </c>
      <c r="L25" s="48">
        <f t="shared" si="1"/>
        <v>0</v>
      </c>
      <c r="M25" s="48">
        <f t="shared" si="2"/>
        <v>30</v>
      </c>
      <c r="N25" s="23">
        <f t="shared" si="11"/>
        <v>150</v>
      </c>
      <c r="O25" s="48">
        <f t="shared" si="3"/>
        <v>0</v>
      </c>
    </row>
    <row r="26" spans="2:15">
      <c r="B26" s="23">
        <v>25</v>
      </c>
      <c r="C26" s="23">
        <f t="shared" si="4"/>
        <v>750</v>
      </c>
      <c r="D26" s="23">
        <f t="shared" si="5"/>
        <v>40</v>
      </c>
      <c r="E26" s="48">
        <f t="shared" si="6"/>
        <v>0</v>
      </c>
      <c r="F26" s="48">
        <f t="shared" si="0"/>
        <v>1</v>
      </c>
      <c r="G26" s="48">
        <f>L345+X345+AL345+主线推图!M28+IFERROR(_xlfn.XLOOKUP((B26-6)/10,组队产出!$B$4:$B$19,组队产出!$L$4:$L$19),0)</f>
        <v>1800</v>
      </c>
      <c r="H26" s="23">
        <f t="shared" si="7"/>
        <v>500</v>
      </c>
      <c r="I26" s="23">
        <f t="shared" si="8"/>
        <v>35</v>
      </c>
      <c r="J26" s="23">
        <f t="shared" si="9"/>
        <v>1</v>
      </c>
      <c r="K26" s="23">
        <f t="shared" si="10"/>
        <v>5</v>
      </c>
      <c r="L26" s="48">
        <f t="shared" si="1"/>
        <v>3</v>
      </c>
      <c r="M26" s="48">
        <f t="shared" si="2"/>
        <v>0</v>
      </c>
      <c r="N26" s="23">
        <f t="shared" si="11"/>
        <v>150</v>
      </c>
      <c r="O26" s="48">
        <f t="shared" si="3"/>
        <v>0</v>
      </c>
    </row>
    <row r="27" spans="2:15">
      <c r="B27" s="23">
        <v>26</v>
      </c>
      <c r="C27" s="23">
        <f t="shared" si="4"/>
        <v>750</v>
      </c>
      <c r="D27" s="23">
        <f t="shared" si="5"/>
        <v>40</v>
      </c>
      <c r="E27" s="48">
        <f t="shared" si="6"/>
        <v>5</v>
      </c>
      <c r="F27" s="48">
        <f t="shared" si="0"/>
        <v>0</v>
      </c>
      <c r="G27" s="48">
        <f>L346+X346+AL346+主线推图!M29+IFERROR(_xlfn.XLOOKUP((B27-6)/10,组队产出!$B$4:$B$19,组队产出!$L$4:$L$19),0)</f>
        <v>6300</v>
      </c>
      <c r="H27" s="23">
        <f t="shared" si="7"/>
        <v>500</v>
      </c>
      <c r="I27" s="23">
        <f t="shared" si="8"/>
        <v>35</v>
      </c>
      <c r="J27" s="23">
        <f t="shared" si="9"/>
        <v>0</v>
      </c>
      <c r="K27" s="23">
        <f t="shared" si="10"/>
        <v>5</v>
      </c>
      <c r="L27" s="48">
        <f t="shared" si="1"/>
        <v>0</v>
      </c>
      <c r="M27" s="48">
        <f t="shared" si="2"/>
        <v>30</v>
      </c>
      <c r="N27" s="23">
        <f t="shared" si="11"/>
        <v>150</v>
      </c>
      <c r="O27" s="48">
        <f t="shared" si="3"/>
        <v>2</v>
      </c>
    </row>
    <row r="28" spans="2:15">
      <c r="B28" s="23">
        <v>27</v>
      </c>
      <c r="C28" s="23">
        <f t="shared" si="4"/>
        <v>750</v>
      </c>
      <c r="D28" s="23">
        <f t="shared" si="5"/>
        <v>40</v>
      </c>
      <c r="E28" s="48">
        <f t="shared" si="6"/>
        <v>5</v>
      </c>
      <c r="F28" s="48">
        <f t="shared" si="0"/>
        <v>0</v>
      </c>
      <c r="G28" s="48">
        <f>L347+X347+AL347+主线推图!M30+IFERROR(_xlfn.XLOOKUP((B28-6)/10,组队产出!$B$4:$B$19,组队产出!$L$4:$L$19),0)</f>
        <v>1800</v>
      </c>
      <c r="H28" s="23">
        <f t="shared" si="7"/>
        <v>500</v>
      </c>
      <c r="I28" s="23">
        <f t="shared" si="8"/>
        <v>35</v>
      </c>
      <c r="J28" s="23">
        <f t="shared" si="9"/>
        <v>0</v>
      </c>
      <c r="K28" s="23">
        <f t="shared" si="10"/>
        <v>5</v>
      </c>
      <c r="L28" s="48">
        <f t="shared" si="1"/>
        <v>0</v>
      </c>
      <c r="M28" s="48">
        <f t="shared" si="2"/>
        <v>30</v>
      </c>
      <c r="N28" s="23">
        <f t="shared" si="11"/>
        <v>150</v>
      </c>
      <c r="O28" s="48">
        <f t="shared" si="3"/>
        <v>0</v>
      </c>
    </row>
    <row r="29" spans="2:15">
      <c r="B29" s="23">
        <v>28</v>
      </c>
      <c r="C29" s="23">
        <f t="shared" si="4"/>
        <v>750</v>
      </c>
      <c r="D29" s="23">
        <f t="shared" si="5"/>
        <v>40</v>
      </c>
      <c r="E29" s="48">
        <f t="shared" si="6"/>
        <v>5</v>
      </c>
      <c r="F29" s="48">
        <f t="shared" si="0"/>
        <v>0</v>
      </c>
      <c r="G29" s="48">
        <f>L348+X348+AL348+主线推图!M31+IFERROR(_xlfn.XLOOKUP((B29-6)/10,组队产出!$B$4:$B$19,组队产出!$L$4:$L$19),0)</f>
        <v>1800</v>
      </c>
      <c r="H29" s="23">
        <f t="shared" si="7"/>
        <v>500</v>
      </c>
      <c r="I29" s="23">
        <f t="shared" si="8"/>
        <v>35</v>
      </c>
      <c r="J29" s="23">
        <f t="shared" si="9"/>
        <v>0</v>
      </c>
      <c r="K29" s="23">
        <f t="shared" si="10"/>
        <v>5</v>
      </c>
      <c r="L29" s="48">
        <f t="shared" si="1"/>
        <v>0</v>
      </c>
      <c r="M29" s="48">
        <f t="shared" si="2"/>
        <v>30</v>
      </c>
      <c r="N29" s="23">
        <f t="shared" si="11"/>
        <v>150</v>
      </c>
      <c r="O29" s="48">
        <f t="shared" si="3"/>
        <v>0</v>
      </c>
    </row>
    <row r="30" spans="2:15">
      <c r="B30" s="23">
        <v>29</v>
      </c>
      <c r="C30" s="23">
        <f t="shared" si="4"/>
        <v>750</v>
      </c>
      <c r="D30" s="23">
        <f t="shared" si="5"/>
        <v>40</v>
      </c>
      <c r="E30" s="48">
        <f t="shared" si="6"/>
        <v>5</v>
      </c>
      <c r="F30" s="48">
        <f t="shared" si="0"/>
        <v>0</v>
      </c>
      <c r="G30" s="48">
        <f>L349+X349+AL349+主线推图!M32+IFERROR(_xlfn.XLOOKUP((B30-6)/10,组队产出!$B$4:$B$19,组队产出!$L$4:$L$19),0)</f>
        <v>1800</v>
      </c>
      <c r="H30" s="23">
        <f t="shared" si="7"/>
        <v>500</v>
      </c>
      <c r="I30" s="23">
        <f t="shared" si="8"/>
        <v>35</v>
      </c>
      <c r="J30" s="23">
        <f t="shared" si="9"/>
        <v>0</v>
      </c>
      <c r="K30" s="23">
        <f t="shared" si="10"/>
        <v>5</v>
      </c>
      <c r="L30" s="48">
        <f t="shared" si="1"/>
        <v>0</v>
      </c>
      <c r="M30" s="48">
        <f t="shared" si="2"/>
        <v>30</v>
      </c>
      <c r="N30" s="23">
        <f t="shared" si="11"/>
        <v>150</v>
      </c>
      <c r="O30" s="48">
        <f t="shared" si="3"/>
        <v>0</v>
      </c>
    </row>
    <row r="31" spans="2:15">
      <c r="B31" s="26">
        <v>30</v>
      </c>
      <c r="C31" s="23">
        <f t="shared" si="4"/>
        <v>750</v>
      </c>
      <c r="D31" s="23">
        <f t="shared" si="5"/>
        <v>40</v>
      </c>
      <c r="E31" s="48">
        <f t="shared" si="6"/>
        <v>0</v>
      </c>
      <c r="F31" s="48">
        <f t="shared" si="0"/>
        <v>1</v>
      </c>
      <c r="G31" s="48">
        <f>L350+X350+AL350+主线推图!M33+IFERROR(_xlfn.XLOOKUP((B31-6)/10,组队产出!$B$4:$B$19,组队产出!$L$4:$L$19),0)</f>
        <v>1800</v>
      </c>
      <c r="H31" s="23">
        <f t="shared" si="7"/>
        <v>500</v>
      </c>
      <c r="I31" s="23">
        <f t="shared" si="8"/>
        <v>35</v>
      </c>
      <c r="J31" s="23">
        <f t="shared" si="9"/>
        <v>1</v>
      </c>
      <c r="K31" s="23">
        <f t="shared" si="10"/>
        <v>5</v>
      </c>
      <c r="L31" s="48">
        <f t="shared" si="1"/>
        <v>3</v>
      </c>
      <c r="M31" s="48">
        <f t="shared" si="2"/>
        <v>0</v>
      </c>
      <c r="N31" s="23">
        <f t="shared" si="11"/>
        <v>150</v>
      </c>
      <c r="O31" s="48">
        <f t="shared" si="3"/>
        <v>0</v>
      </c>
    </row>
    <row r="32" spans="2:15">
      <c r="B32" s="23">
        <v>31</v>
      </c>
      <c r="C32" s="23">
        <f t="shared" si="4"/>
        <v>750</v>
      </c>
      <c r="D32" s="23">
        <f t="shared" si="5"/>
        <v>40</v>
      </c>
      <c r="E32" s="48">
        <f t="shared" si="6"/>
        <v>5</v>
      </c>
      <c r="F32" s="48">
        <f t="shared" si="0"/>
        <v>0</v>
      </c>
      <c r="G32" s="48">
        <f>L351+X351+AL351+主线推图!M34+IFERROR(_xlfn.XLOOKUP((B32-6)/10,组队产出!$B$4:$B$19,组队产出!$L$4:$L$19),0)</f>
        <v>1800</v>
      </c>
      <c r="H32" s="23">
        <f t="shared" si="7"/>
        <v>500</v>
      </c>
      <c r="I32" s="23">
        <f t="shared" si="8"/>
        <v>35</v>
      </c>
      <c r="J32" s="23">
        <f t="shared" si="9"/>
        <v>0</v>
      </c>
      <c r="K32" s="23">
        <f t="shared" si="10"/>
        <v>5</v>
      </c>
      <c r="L32" s="48">
        <f t="shared" si="1"/>
        <v>0</v>
      </c>
      <c r="M32" s="48">
        <f t="shared" si="2"/>
        <v>30</v>
      </c>
      <c r="N32" s="23">
        <f t="shared" si="11"/>
        <v>150</v>
      </c>
      <c r="O32" s="48">
        <f t="shared" si="3"/>
        <v>0</v>
      </c>
    </row>
    <row r="33" spans="2:15">
      <c r="B33" s="23">
        <v>32</v>
      </c>
      <c r="C33" s="23">
        <f t="shared" si="4"/>
        <v>750</v>
      </c>
      <c r="D33" s="23">
        <f t="shared" si="5"/>
        <v>40</v>
      </c>
      <c r="E33" s="48">
        <f t="shared" si="6"/>
        <v>5</v>
      </c>
      <c r="F33" s="48">
        <f t="shared" si="0"/>
        <v>0</v>
      </c>
      <c r="G33" s="48">
        <f>L352+X352+AL352+主线推图!M35+IFERROR(_xlfn.XLOOKUP((B33-6)/10,组队产出!$B$4:$B$19,组队产出!$L$4:$L$19),0)</f>
        <v>1800</v>
      </c>
      <c r="H33" s="23">
        <f t="shared" si="7"/>
        <v>500</v>
      </c>
      <c r="I33" s="23">
        <f t="shared" si="8"/>
        <v>35</v>
      </c>
      <c r="J33" s="23">
        <f t="shared" si="9"/>
        <v>0</v>
      </c>
      <c r="K33" s="23">
        <f t="shared" si="10"/>
        <v>5</v>
      </c>
      <c r="L33" s="48">
        <f t="shared" si="1"/>
        <v>0</v>
      </c>
      <c r="M33" s="48">
        <f t="shared" si="2"/>
        <v>30</v>
      </c>
      <c r="N33" s="23">
        <f t="shared" si="11"/>
        <v>150</v>
      </c>
      <c r="O33" s="48">
        <f t="shared" si="3"/>
        <v>0</v>
      </c>
    </row>
    <row r="34" spans="2:15">
      <c r="B34" s="23">
        <v>33</v>
      </c>
      <c r="C34" s="23">
        <f t="shared" si="4"/>
        <v>750</v>
      </c>
      <c r="D34" s="23">
        <f t="shared" si="5"/>
        <v>40</v>
      </c>
      <c r="E34" s="48">
        <f t="shared" si="6"/>
        <v>5</v>
      </c>
      <c r="F34" s="48">
        <f t="shared" si="0"/>
        <v>0</v>
      </c>
      <c r="G34" s="48">
        <f>L353+X353+AL353+主线推图!M36+IFERROR(_xlfn.XLOOKUP((B34-6)/10,组队产出!$B$4:$B$19,组队产出!$L$4:$L$19),0)</f>
        <v>1800</v>
      </c>
      <c r="H34" s="23">
        <f t="shared" si="7"/>
        <v>500</v>
      </c>
      <c r="I34" s="23">
        <f t="shared" si="8"/>
        <v>35</v>
      </c>
      <c r="J34" s="23">
        <f t="shared" si="9"/>
        <v>0</v>
      </c>
      <c r="K34" s="23">
        <f t="shared" si="10"/>
        <v>5</v>
      </c>
      <c r="L34" s="48">
        <f t="shared" si="1"/>
        <v>0</v>
      </c>
      <c r="M34" s="48">
        <f t="shared" si="2"/>
        <v>30</v>
      </c>
      <c r="N34" s="23">
        <f t="shared" si="11"/>
        <v>150</v>
      </c>
      <c r="O34" s="48">
        <f t="shared" si="3"/>
        <v>0</v>
      </c>
    </row>
    <row r="35" spans="2:15">
      <c r="B35" s="23">
        <v>34</v>
      </c>
      <c r="C35" s="23">
        <f t="shared" si="4"/>
        <v>750</v>
      </c>
      <c r="D35" s="23">
        <f t="shared" si="5"/>
        <v>40</v>
      </c>
      <c r="E35" s="48">
        <f t="shared" si="6"/>
        <v>5</v>
      </c>
      <c r="F35" s="48">
        <f t="shared" si="0"/>
        <v>0</v>
      </c>
      <c r="G35" s="48">
        <f>L354+X354+AL354+主线推图!M37+IFERROR(_xlfn.XLOOKUP((B35-6)/10,组队产出!$B$4:$B$19,组队产出!$L$4:$L$19),0)</f>
        <v>1800</v>
      </c>
      <c r="H35" s="23">
        <f t="shared" si="7"/>
        <v>500</v>
      </c>
      <c r="I35" s="23">
        <f t="shared" si="8"/>
        <v>35</v>
      </c>
      <c r="J35" s="23">
        <f t="shared" si="9"/>
        <v>0</v>
      </c>
      <c r="K35" s="23">
        <f t="shared" si="10"/>
        <v>5</v>
      </c>
      <c r="L35" s="48">
        <f t="shared" si="1"/>
        <v>0</v>
      </c>
      <c r="M35" s="48">
        <f t="shared" si="2"/>
        <v>30</v>
      </c>
      <c r="N35" s="23">
        <f t="shared" si="11"/>
        <v>150</v>
      </c>
      <c r="O35" s="48">
        <f t="shared" si="3"/>
        <v>0</v>
      </c>
    </row>
    <row r="36" spans="2:15">
      <c r="B36" s="23">
        <v>35</v>
      </c>
      <c r="C36" s="23">
        <f t="shared" si="4"/>
        <v>750</v>
      </c>
      <c r="D36" s="23">
        <f t="shared" si="5"/>
        <v>40</v>
      </c>
      <c r="E36" s="48">
        <f t="shared" si="6"/>
        <v>0</v>
      </c>
      <c r="F36" s="48">
        <f t="shared" si="0"/>
        <v>1</v>
      </c>
      <c r="G36" s="48">
        <f>L355+X355+AL355+主线推图!M38+IFERROR(_xlfn.XLOOKUP((B36-6)/10,组队产出!$B$4:$B$19,组队产出!$L$4:$L$19),0)</f>
        <v>1800</v>
      </c>
      <c r="H36" s="23">
        <f t="shared" si="7"/>
        <v>500</v>
      </c>
      <c r="I36" s="23">
        <f t="shared" si="8"/>
        <v>35</v>
      </c>
      <c r="J36" s="23">
        <f t="shared" si="9"/>
        <v>1</v>
      </c>
      <c r="K36" s="23">
        <f t="shared" si="10"/>
        <v>5</v>
      </c>
      <c r="L36" s="48">
        <f t="shared" si="1"/>
        <v>3</v>
      </c>
      <c r="M36" s="48">
        <f t="shared" si="2"/>
        <v>0</v>
      </c>
      <c r="N36" s="23">
        <f t="shared" si="11"/>
        <v>150</v>
      </c>
      <c r="O36" s="48">
        <f t="shared" si="3"/>
        <v>0</v>
      </c>
    </row>
    <row r="37" spans="2:15">
      <c r="B37" s="23">
        <v>36</v>
      </c>
      <c r="C37" s="23">
        <f t="shared" si="4"/>
        <v>750</v>
      </c>
      <c r="D37" s="23">
        <f t="shared" si="5"/>
        <v>40</v>
      </c>
      <c r="E37" s="48">
        <f t="shared" si="6"/>
        <v>15</v>
      </c>
      <c r="F37" s="48">
        <f t="shared" si="0"/>
        <v>0</v>
      </c>
      <c r="G37" s="48">
        <f>L356+X356+AL356+主线推图!M39+IFERROR(_xlfn.XLOOKUP((B37-6)/10,组队产出!$B$4:$B$19,组队产出!$L$4:$L$19),0)</f>
        <v>7800</v>
      </c>
      <c r="H37" s="23">
        <f t="shared" si="7"/>
        <v>500</v>
      </c>
      <c r="I37" s="23">
        <f t="shared" si="8"/>
        <v>35</v>
      </c>
      <c r="J37" s="23">
        <f t="shared" si="9"/>
        <v>0</v>
      </c>
      <c r="K37" s="23">
        <f t="shared" si="10"/>
        <v>5</v>
      </c>
      <c r="L37" s="48">
        <f t="shared" si="1"/>
        <v>0</v>
      </c>
      <c r="M37" s="48">
        <f t="shared" si="2"/>
        <v>30</v>
      </c>
      <c r="N37" s="23">
        <f t="shared" si="11"/>
        <v>150</v>
      </c>
      <c r="O37" s="48">
        <f t="shared" si="3"/>
        <v>0</v>
      </c>
    </row>
    <row r="38" spans="2:15">
      <c r="B38" s="23">
        <v>37</v>
      </c>
      <c r="C38" s="23">
        <f t="shared" si="4"/>
        <v>750</v>
      </c>
      <c r="D38" s="23">
        <f t="shared" si="5"/>
        <v>40</v>
      </c>
      <c r="E38" s="48">
        <f t="shared" si="6"/>
        <v>5</v>
      </c>
      <c r="F38" s="48">
        <f t="shared" si="0"/>
        <v>0</v>
      </c>
      <c r="G38" s="48">
        <f>L357+X357+AL357+主线推图!M40+IFERROR(_xlfn.XLOOKUP((B38-6)/10,组队产出!$B$4:$B$19,组队产出!$L$4:$L$19),0)</f>
        <v>1800</v>
      </c>
      <c r="H38" s="23">
        <f t="shared" si="7"/>
        <v>500</v>
      </c>
      <c r="I38" s="23">
        <f t="shared" si="8"/>
        <v>35</v>
      </c>
      <c r="J38" s="23">
        <f t="shared" si="9"/>
        <v>0</v>
      </c>
      <c r="K38" s="23">
        <f t="shared" si="10"/>
        <v>5</v>
      </c>
      <c r="L38" s="48">
        <f t="shared" si="1"/>
        <v>0</v>
      </c>
      <c r="M38" s="48">
        <f t="shared" si="2"/>
        <v>30</v>
      </c>
      <c r="N38" s="23">
        <f t="shared" si="11"/>
        <v>150</v>
      </c>
      <c r="O38" s="48">
        <f t="shared" si="3"/>
        <v>0</v>
      </c>
    </row>
    <row r="39" spans="2:15">
      <c r="B39" s="23">
        <v>38</v>
      </c>
      <c r="C39" s="23">
        <f t="shared" si="4"/>
        <v>750</v>
      </c>
      <c r="D39" s="23">
        <f t="shared" si="5"/>
        <v>40</v>
      </c>
      <c r="E39" s="48">
        <f t="shared" si="6"/>
        <v>5</v>
      </c>
      <c r="F39" s="48">
        <f t="shared" si="0"/>
        <v>0</v>
      </c>
      <c r="G39" s="48">
        <f>L358+X358+AL358+主线推图!M41+IFERROR(_xlfn.XLOOKUP((B39-6)/10,组队产出!$B$4:$B$19,组队产出!$L$4:$L$19),0)</f>
        <v>1800</v>
      </c>
      <c r="H39" s="23">
        <f t="shared" si="7"/>
        <v>500</v>
      </c>
      <c r="I39" s="23">
        <f t="shared" si="8"/>
        <v>35</v>
      </c>
      <c r="J39" s="23">
        <f t="shared" si="9"/>
        <v>0</v>
      </c>
      <c r="K39" s="23">
        <f t="shared" si="10"/>
        <v>5</v>
      </c>
      <c r="L39" s="48">
        <f t="shared" si="1"/>
        <v>0</v>
      </c>
      <c r="M39" s="48">
        <f t="shared" si="2"/>
        <v>30</v>
      </c>
      <c r="N39" s="23">
        <f t="shared" si="11"/>
        <v>150</v>
      </c>
      <c r="O39" s="48">
        <f t="shared" si="3"/>
        <v>0</v>
      </c>
    </row>
    <row r="40" spans="2:15">
      <c r="B40" s="23">
        <v>39</v>
      </c>
      <c r="C40" s="23">
        <f t="shared" si="4"/>
        <v>750</v>
      </c>
      <c r="D40" s="23">
        <f t="shared" si="5"/>
        <v>40</v>
      </c>
      <c r="E40" s="48">
        <f t="shared" si="6"/>
        <v>5</v>
      </c>
      <c r="F40" s="48">
        <f t="shared" si="0"/>
        <v>0</v>
      </c>
      <c r="G40" s="48">
        <f>L359+X359+AL359+主线推图!M42+IFERROR(_xlfn.XLOOKUP((B40-6)/10,组队产出!$B$4:$B$19,组队产出!$L$4:$L$19),0)</f>
        <v>1800</v>
      </c>
      <c r="H40" s="23">
        <f t="shared" si="7"/>
        <v>500</v>
      </c>
      <c r="I40" s="23">
        <f t="shared" si="8"/>
        <v>35</v>
      </c>
      <c r="J40" s="23">
        <f t="shared" si="9"/>
        <v>0</v>
      </c>
      <c r="K40" s="23">
        <f t="shared" si="10"/>
        <v>5</v>
      </c>
      <c r="L40" s="48">
        <f t="shared" si="1"/>
        <v>0</v>
      </c>
      <c r="M40" s="48">
        <f t="shared" si="2"/>
        <v>30</v>
      </c>
      <c r="N40" s="23">
        <f t="shared" si="11"/>
        <v>150</v>
      </c>
      <c r="O40" s="48">
        <f t="shared" si="3"/>
        <v>0</v>
      </c>
    </row>
    <row r="41" spans="2:15">
      <c r="B41" s="23">
        <v>40</v>
      </c>
      <c r="C41" s="23">
        <f t="shared" si="4"/>
        <v>750</v>
      </c>
      <c r="D41" s="23">
        <f t="shared" si="5"/>
        <v>40</v>
      </c>
      <c r="E41" s="48">
        <f t="shared" si="6"/>
        <v>0</v>
      </c>
      <c r="F41" s="48">
        <f t="shared" si="0"/>
        <v>1</v>
      </c>
      <c r="G41" s="48">
        <f>L360+X360+AL360+主线推图!M43+IFERROR(_xlfn.XLOOKUP((B41-6)/10,组队产出!$B$4:$B$19,组队产出!$L$4:$L$19),0)</f>
        <v>1800</v>
      </c>
      <c r="H41" s="23">
        <f t="shared" si="7"/>
        <v>500</v>
      </c>
      <c r="I41" s="23">
        <f t="shared" si="8"/>
        <v>35</v>
      </c>
      <c r="J41" s="23">
        <f t="shared" si="9"/>
        <v>1</v>
      </c>
      <c r="K41" s="23">
        <f t="shared" si="10"/>
        <v>5</v>
      </c>
      <c r="L41" s="48">
        <f t="shared" si="1"/>
        <v>3</v>
      </c>
      <c r="M41" s="48">
        <f t="shared" si="2"/>
        <v>0</v>
      </c>
      <c r="N41" s="23">
        <f t="shared" si="11"/>
        <v>150</v>
      </c>
      <c r="O41" s="48">
        <f t="shared" si="3"/>
        <v>0</v>
      </c>
    </row>
    <row r="42" spans="2:15">
      <c r="B42" s="23">
        <v>41</v>
      </c>
      <c r="C42" s="23">
        <f t="shared" si="4"/>
        <v>750</v>
      </c>
      <c r="D42" s="23">
        <f t="shared" si="5"/>
        <v>40</v>
      </c>
      <c r="E42" s="48">
        <f t="shared" si="6"/>
        <v>5</v>
      </c>
      <c r="F42" s="48">
        <f t="shared" si="0"/>
        <v>0</v>
      </c>
      <c r="G42" s="48">
        <f>L361+X361+AL361+主线推图!M44+IFERROR(_xlfn.XLOOKUP((B42-6)/10,组队产出!$B$4:$B$19,组队产出!$L$4:$L$19),0)</f>
        <v>1800</v>
      </c>
      <c r="H42" s="23">
        <f t="shared" si="7"/>
        <v>500</v>
      </c>
      <c r="I42" s="23">
        <f t="shared" si="8"/>
        <v>35</v>
      </c>
      <c r="J42" s="23">
        <f t="shared" si="9"/>
        <v>0</v>
      </c>
      <c r="K42" s="23">
        <f t="shared" si="10"/>
        <v>5</v>
      </c>
      <c r="L42" s="48">
        <f t="shared" si="1"/>
        <v>0</v>
      </c>
      <c r="M42" s="48">
        <f t="shared" si="2"/>
        <v>30</v>
      </c>
      <c r="N42" s="23">
        <f t="shared" si="11"/>
        <v>150</v>
      </c>
      <c r="O42" s="48">
        <f t="shared" si="3"/>
        <v>0</v>
      </c>
    </row>
    <row r="43" spans="2:15">
      <c r="B43" s="23">
        <v>42</v>
      </c>
      <c r="C43" s="23">
        <f t="shared" si="4"/>
        <v>750</v>
      </c>
      <c r="D43" s="23">
        <f t="shared" si="5"/>
        <v>40</v>
      </c>
      <c r="E43" s="48">
        <f t="shared" si="6"/>
        <v>5</v>
      </c>
      <c r="F43" s="48">
        <f t="shared" si="0"/>
        <v>0</v>
      </c>
      <c r="G43" s="48">
        <f>L362+X362+AL362+主线推图!M45+IFERROR(_xlfn.XLOOKUP((B43-6)/10,组队产出!$B$4:$B$19,组队产出!$L$4:$L$19),0)</f>
        <v>1800</v>
      </c>
      <c r="H43" s="23">
        <f t="shared" si="7"/>
        <v>500</v>
      </c>
      <c r="I43" s="23">
        <f t="shared" si="8"/>
        <v>35</v>
      </c>
      <c r="J43" s="23">
        <f t="shared" si="9"/>
        <v>0</v>
      </c>
      <c r="K43" s="23">
        <f t="shared" si="10"/>
        <v>5</v>
      </c>
      <c r="L43" s="48">
        <f t="shared" si="1"/>
        <v>0</v>
      </c>
      <c r="M43" s="48">
        <f t="shared" si="2"/>
        <v>30</v>
      </c>
      <c r="N43" s="23">
        <f t="shared" si="11"/>
        <v>150</v>
      </c>
      <c r="O43" s="48">
        <f t="shared" si="3"/>
        <v>0</v>
      </c>
    </row>
    <row r="44" spans="2:15">
      <c r="B44" s="23">
        <v>43</v>
      </c>
      <c r="C44" s="23">
        <f t="shared" si="4"/>
        <v>750</v>
      </c>
      <c r="D44" s="23">
        <f t="shared" si="5"/>
        <v>40</v>
      </c>
      <c r="E44" s="48">
        <f t="shared" si="6"/>
        <v>5</v>
      </c>
      <c r="F44" s="48">
        <f t="shared" si="0"/>
        <v>0</v>
      </c>
      <c r="G44" s="48">
        <f>L363+X363+AL363+主线推图!M46+IFERROR(_xlfn.XLOOKUP((B44-6)/10,组队产出!$B$4:$B$19,组队产出!$L$4:$L$19),0)</f>
        <v>1800</v>
      </c>
      <c r="H44" s="23">
        <f t="shared" si="7"/>
        <v>500</v>
      </c>
      <c r="I44" s="23">
        <f t="shared" si="8"/>
        <v>35</v>
      </c>
      <c r="J44" s="23">
        <f t="shared" si="9"/>
        <v>0</v>
      </c>
      <c r="K44" s="23">
        <f t="shared" si="10"/>
        <v>5</v>
      </c>
      <c r="L44" s="48">
        <f t="shared" si="1"/>
        <v>0</v>
      </c>
      <c r="M44" s="48">
        <f t="shared" si="2"/>
        <v>30</v>
      </c>
      <c r="N44" s="23">
        <f t="shared" si="11"/>
        <v>150</v>
      </c>
      <c r="O44" s="48">
        <f t="shared" si="3"/>
        <v>0</v>
      </c>
    </row>
    <row r="45" spans="2:15">
      <c r="B45" s="23">
        <v>44</v>
      </c>
      <c r="C45" s="23">
        <f t="shared" si="4"/>
        <v>750</v>
      </c>
      <c r="D45" s="23">
        <f t="shared" si="5"/>
        <v>40</v>
      </c>
      <c r="E45" s="48">
        <f t="shared" si="6"/>
        <v>5</v>
      </c>
      <c r="F45" s="48">
        <f t="shared" si="0"/>
        <v>0</v>
      </c>
      <c r="G45" s="48">
        <f>L364+X364+AL364+主线推图!M47+IFERROR(_xlfn.XLOOKUP((B45-6)/10,组队产出!$B$4:$B$19,组队产出!$L$4:$L$19),0)</f>
        <v>1800</v>
      </c>
      <c r="H45" s="23">
        <f t="shared" si="7"/>
        <v>500</v>
      </c>
      <c r="I45" s="23">
        <f t="shared" si="8"/>
        <v>35</v>
      </c>
      <c r="J45" s="23">
        <f t="shared" si="9"/>
        <v>0</v>
      </c>
      <c r="K45" s="23">
        <f t="shared" si="10"/>
        <v>5</v>
      </c>
      <c r="L45" s="48">
        <f t="shared" si="1"/>
        <v>0</v>
      </c>
      <c r="M45" s="48">
        <f t="shared" si="2"/>
        <v>30</v>
      </c>
      <c r="N45" s="23">
        <f t="shared" si="11"/>
        <v>150</v>
      </c>
      <c r="O45" s="48">
        <f t="shared" si="3"/>
        <v>0</v>
      </c>
    </row>
    <row r="46" spans="2:15">
      <c r="B46" s="23">
        <v>45</v>
      </c>
      <c r="C46" s="23">
        <f t="shared" si="4"/>
        <v>750</v>
      </c>
      <c r="D46" s="23">
        <f t="shared" si="5"/>
        <v>40</v>
      </c>
      <c r="E46" s="48">
        <f t="shared" si="6"/>
        <v>0</v>
      </c>
      <c r="F46" s="48">
        <f t="shared" si="0"/>
        <v>1</v>
      </c>
      <c r="G46" s="48">
        <f>L365+X365+AL365+主线推图!M48+IFERROR(_xlfn.XLOOKUP((B46-6)/10,组队产出!$B$4:$B$19,组队产出!$L$4:$L$19),0)</f>
        <v>1800</v>
      </c>
      <c r="H46" s="23">
        <f t="shared" si="7"/>
        <v>500</v>
      </c>
      <c r="I46" s="23">
        <f t="shared" si="8"/>
        <v>35</v>
      </c>
      <c r="J46" s="23">
        <f t="shared" si="9"/>
        <v>1</v>
      </c>
      <c r="K46" s="23">
        <f t="shared" si="10"/>
        <v>5</v>
      </c>
      <c r="L46" s="48">
        <f t="shared" si="1"/>
        <v>3</v>
      </c>
      <c r="M46" s="48">
        <f t="shared" si="2"/>
        <v>0</v>
      </c>
      <c r="N46" s="23">
        <f t="shared" si="11"/>
        <v>150</v>
      </c>
      <c r="O46" s="48">
        <f t="shared" si="3"/>
        <v>0</v>
      </c>
    </row>
    <row r="47" spans="2:15">
      <c r="B47" s="23">
        <v>46</v>
      </c>
      <c r="C47" s="23">
        <f t="shared" si="4"/>
        <v>750</v>
      </c>
      <c r="D47" s="23">
        <f t="shared" si="5"/>
        <v>40</v>
      </c>
      <c r="E47" s="48">
        <f t="shared" si="6"/>
        <v>5</v>
      </c>
      <c r="F47" s="48">
        <f t="shared" si="0"/>
        <v>0</v>
      </c>
      <c r="G47" s="48">
        <f>L366+X366+AL366+主线推图!M49+IFERROR(_xlfn.XLOOKUP((B47-6)/10,组队产出!$B$4:$B$19,组队产出!$L$4:$L$19),0)</f>
        <v>7800</v>
      </c>
      <c r="H47" s="23">
        <f t="shared" si="7"/>
        <v>500</v>
      </c>
      <c r="I47" s="23">
        <f t="shared" si="8"/>
        <v>35</v>
      </c>
      <c r="J47" s="23">
        <f t="shared" si="9"/>
        <v>0</v>
      </c>
      <c r="K47" s="23">
        <f t="shared" si="10"/>
        <v>5</v>
      </c>
      <c r="L47" s="48">
        <f t="shared" si="1"/>
        <v>0</v>
      </c>
      <c r="M47" s="48">
        <f t="shared" si="2"/>
        <v>30</v>
      </c>
      <c r="N47" s="23">
        <f t="shared" si="11"/>
        <v>150</v>
      </c>
      <c r="O47" s="48">
        <f t="shared" si="3"/>
        <v>2</v>
      </c>
    </row>
    <row r="48" spans="2:15">
      <c r="B48" s="23">
        <v>47</v>
      </c>
      <c r="C48" s="23">
        <f t="shared" si="4"/>
        <v>750</v>
      </c>
      <c r="D48" s="23">
        <f t="shared" si="5"/>
        <v>40</v>
      </c>
      <c r="E48" s="48">
        <f t="shared" si="6"/>
        <v>5</v>
      </c>
      <c r="F48" s="48">
        <f t="shared" si="0"/>
        <v>0</v>
      </c>
      <c r="G48" s="48">
        <f>L367+X367+AL367+主线推图!M50+IFERROR(_xlfn.XLOOKUP((B48-6)/10,组队产出!$B$4:$B$19,组队产出!$L$4:$L$19),0)</f>
        <v>1800</v>
      </c>
      <c r="H48" s="23">
        <f t="shared" si="7"/>
        <v>500</v>
      </c>
      <c r="I48" s="23">
        <f t="shared" si="8"/>
        <v>35</v>
      </c>
      <c r="J48" s="23">
        <f t="shared" si="9"/>
        <v>0</v>
      </c>
      <c r="K48" s="23">
        <f t="shared" si="10"/>
        <v>5</v>
      </c>
      <c r="L48" s="48">
        <f t="shared" si="1"/>
        <v>0</v>
      </c>
      <c r="M48" s="48">
        <f t="shared" si="2"/>
        <v>30</v>
      </c>
      <c r="N48" s="23">
        <f t="shared" si="11"/>
        <v>150</v>
      </c>
      <c r="O48" s="48">
        <f t="shared" si="3"/>
        <v>0</v>
      </c>
    </row>
    <row r="49" spans="2:15">
      <c r="B49" s="23">
        <v>48</v>
      </c>
      <c r="C49" s="23">
        <f t="shared" si="4"/>
        <v>750</v>
      </c>
      <c r="D49" s="23">
        <f t="shared" si="5"/>
        <v>40</v>
      </c>
      <c r="E49" s="48">
        <f t="shared" si="6"/>
        <v>5</v>
      </c>
      <c r="F49" s="48">
        <f t="shared" si="0"/>
        <v>0</v>
      </c>
      <c r="G49" s="48">
        <f>L368+X368+AL368+主线推图!M51+IFERROR(_xlfn.XLOOKUP((B49-6)/10,组队产出!$B$4:$B$19,组队产出!$L$4:$L$19),0)</f>
        <v>1800</v>
      </c>
      <c r="H49" s="23">
        <f t="shared" si="7"/>
        <v>500</v>
      </c>
      <c r="I49" s="23">
        <f t="shared" si="8"/>
        <v>35</v>
      </c>
      <c r="J49" s="23">
        <f t="shared" si="9"/>
        <v>0</v>
      </c>
      <c r="K49" s="23">
        <f t="shared" si="10"/>
        <v>5</v>
      </c>
      <c r="L49" s="48">
        <f t="shared" si="1"/>
        <v>0</v>
      </c>
      <c r="M49" s="48">
        <f t="shared" si="2"/>
        <v>30</v>
      </c>
      <c r="N49" s="23">
        <f t="shared" si="11"/>
        <v>150</v>
      </c>
      <c r="O49" s="48">
        <f t="shared" si="3"/>
        <v>0</v>
      </c>
    </row>
    <row r="50" spans="2:15">
      <c r="B50" s="23">
        <v>49</v>
      </c>
      <c r="C50" s="23">
        <f t="shared" si="4"/>
        <v>750</v>
      </c>
      <c r="D50" s="23">
        <f t="shared" si="5"/>
        <v>40</v>
      </c>
      <c r="E50" s="48">
        <f t="shared" si="6"/>
        <v>5</v>
      </c>
      <c r="F50" s="48">
        <f t="shared" si="0"/>
        <v>0</v>
      </c>
      <c r="G50" s="48">
        <f>L369+X369+AL369+主线推图!M52+IFERROR(_xlfn.XLOOKUP((B50-6)/10,组队产出!$B$4:$B$19,组队产出!$L$4:$L$19),0)</f>
        <v>1800</v>
      </c>
      <c r="H50" s="23">
        <f t="shared" si="7"/>
        <v>500</v>
      </c>
      <c r="I50" s="23">
        <f t="shared" si="8"/>
        <v>35</v>
      </c>
      <c r="J50" s="23">
        <f t="shared" si="9"/>
        <v>0</v>
      </c>
      <c r="K50" s="23">
        <f t="shared" si="10"/>
        <v>5</v>
      </c>
      <c r="L50" s="48">
        <f t="shared" si="1"/>
        <v>0</v>
      </c>
      <c r="M50" s="48">
        <f t="shared" si="2"/>
        <v>30</v>
      </c>
      <c r="N50" s="23">
        <f t="shared" si="11"/>
        <v>150</v>
      </c>
      <c r="O50" s="48">
        <f t="shared" si="3"/>
        <v>0</v>
      </c>
    </row>
    <row r="51" spans="2:15">
      <c r="B51" s="23">
        <v>50</v>
      </c>
      <c r="C51" s="23">
        <f t="shared" si="4"/>
        <v>750</v>
      </c>
      <c r="D51" s="23">
        <f t="shared" si="5"/>
        <v>40</v>
      </c>
      <c r="E51" s="48">
        <f t="shared" si="6"/>
        <v>0</v>
      </c>
      <c r="F51" s="48">
        <f t="shared" si="0"/>
        <v>1</v>
      </c>
      <c r="G51" s="48">
        <f>L370+X370+AL370+主线推图!M53+IFERROR(_xlfn.XLOOKUP((B51-6)/10,组队产出!$B$4:$B$19,组队产出!$L$4:$L$19),0)</f>
        <v>1800</v>
      </c>
      <c r="H51" s="23">
        <f t="shared" si="7"/>
        <v>500</v>
      </c>
      <c r="I51" s="23">
        <f t="shared" si="8"/>
        <v>35</v>
      </c>
      <c r="J51" s="23">
        <f t="shared" si="9"/>
        <v>1</v>
      </c>
      <c r="K51" s="23">
        <f t="shared" si="10"/>
        <v>5</v>
      </c>
      <c r="L51" s="48">
        <f t="shared" si="1"/>
        <v>3</v>
      </c>
      <c r="M51" s="48">
        <f t="shared" si="2"/>
        <v>0</v>
      </c>
      <c r="N51" s="23">
        <f t="shared" si="11"/>
        <v>150</v>
      </c>
      <c r="O51" s="48">
        <f t="shared" si="3"/>
        <v>0</v>
      </c>
    </row>
    <row r="52" spans="2:15">
      <c r="B52" s="23">
        <v>51</v>
      </c>
      <c r="C52" s="23">
        <f t="shared" si="4"/>
        <v>750</v>
      </c>
      <c r="D52" s="23">
        <f t="shared" si="5"/>
        <v>40</v>
      </c>
      <c r="E52" s="48">
        <f t="shared" si="6"/>
        <v>5</v>
      </c>
      <c r="F52" s="48">
        <f t="shared" si="0"/>
        <v>0</v>
      </c>
      <c r="G52" s="48">
        <f>L371+X371+AL371+主线推图!M54+IFERROR(_xlfn.XLOOKUP((B52-6)/10,组队产出!$B$4:$B$19,组队产出!$L$4:$L$19),0)</f>
        <v>1800</v>
      </c>
      <c r="H52" s="23">
        <f t="shared" si="7"/>
        <v>500</v>
      </c>
      <c r="I52" s="23">
        <f t="shared" si="8"/>
        <v>0</v>
      </c>
      <c r="J52" s="23">
        <f t="shared" si="9"/>
        <v>0</v>
      </c>
      <c r="K52" s="23">
        <f t="shared" si="10"/>
        <v>5</v>
      </c>
      <c r="L52" s="48">
        <f t="shared" si="1"/>
        <v>0</v>
      </c>
      <c r="M52" s="48">
        <f t="shared" si="2"/>
        <v>30</v>
      </c>
      <c r="N52" s="23">
        <f t="shared" si="11"/>
        <v>150</v>
      </c>
      <c r="O52" s="48">
        <f t="shared" si="3"/>
        <v>0</v>
      </c>
    </row>
    <row r="53" spans="2:15">
      <c r="B53" s="23">
        <v>52</v>
      </c>
      <c r="C53" s="23">
        <f t="shared" si="4"/>
        <v>750</v>
      </c>
      <c r="D53" s="23">
        <f t="shared" si="5"/>
        <v>40</v>
      </c>
      <c r="E53" s="48">
        <f t="shared" si="6"/>
        <v>5</v>
      </c>
      <c r="F53" s="48">
        <f t="shared" si="0"/>
        <v>0</v>
      </c>
      <c r="G53" s="48">
        <f>L372+X372+AL372+主线推图!M55+IFERROR(_xlfn.XLOOKUP((B53-6)/10,组队产出!$B$4:$B$19,组队产出!$L$4:$L$19),0)</f>
        <v>1800</v>
      </c>
      <c r="H53" s="23">
        <f t="shared" si="7"/>
        <v>500</v>
      </c>
      <c r="I53" s="23">
        <f t="shared" si="8"/>
        <v>0</v>
      </c>
      <c r="J53" s="23">
        <f t="shared" si="9"/>
        <v>0</v>
      </c>
      <c r="K53" s="23">
        <f t="shared" si="10"/>
        <v>5</v>
      </c>
      <c r="L53" s="48">
        <f t="shared" si="1"/>
        <v>0</v>
      </c>
      <c r="M53" s="48">
        <f t="shared" si="2"/>
        <v>30</v>
      </c>
      <c r="N53" s="23">
        <f t="shared" si="11"/>
        <v>150</v>
      </c>
      <c r="O53" s="48">
        <f t="shared" si="3"/>
        <v>0</v>
      </c>
    </row>
    <row r="54" spans="2:15">
      <c r="B54" s="23">
        <v>53</v>
      </c>
      <c r="C54" s="23">
        <f t="shared" si="4"/>
        <v>750</v>
      </c>
      <c r="D54" s="23">
        <f t="shared" si="5"/>
        <v>40</v>
      </c>
      <c r="E54" s="48">
        <f t="shared" si="6"/>
        <v>5</v>
      </c>
      <c r="F54" s="48">
        <f t="shared" si="0"/>
        <v>0</v>
      </c>
      <c r="G54" s="48">
        <f>L373+X373+AL373+主线推图!M56+IFERROR(_xlfn.XLOOKUP((B54-6)/10,组队产出!$B$4:$B$19,组队产出!$L$4:$L$19),0)</f>
        <v>1800</v>
      </c>
      <c r="H54" s="23">
        <f t="shared" si="7"/>
        <v>500</v>
      </c>
      <c r="I54" s="23">
        <f t="shared" si="8"/>
        <v>0</v>
      </c>
      <c r="J54" s="23">
        <f t="shared" si="9"/>
        <v>0</v>
      </c>
      <c r="K54" s="23">
        <f t="shared" si="10"/>
        <v>5</v>
      </c>
      <c r="L54" s="48">
        <f t="shared" si="1"/>
        <v>0</v>
      </c>
      <c r="M54" s="48">
        <f t="shared" si="2"/>
        <v>30</v>
      </c>
      <c r="N54" s="23">
        <f t="shared" si="11"/>
        <v>150</v>
      </c>
      <c r="O54" s="48">
        <f t="shared" si="3"/>
        <v>0</v>
      </c>
    </row>
    <row r="55" spans="2:15">
      <c r="B55" s="23">
        <v>54</v>
      </c>
      <c r="C55" s="23">
        <f t="shared" si="4"/>
        <v>750</v>
      </c>
      <c r="D55" s="23">
        <f t="shared" si="5"/>
        <v>40</v>
      </c>
      <c r="E55" s="48">
        <f t="shared" si="6"/>
        <v>5</v>
      </c>
      <c r="F55" s="48">
        <f t="shared" si="0"/>
        <v>0</v>
      </c>
      <c r="G55" s="48">
        <f>L374+X374+AL374+主线推图!M57+IFERROR(_xlfn.XLOOKUP((B55-6)/10,组队产出!$B$4:$B$19,组队产出!$L$4:$L$19),0)</f>
        <v>1800</v>
      </c>
      <c r="H55" s="23">
        <f t="shared" si="7"/>
        <v>500</v>
      </c>
      <c r="I55" s="23">
        <f t="shared" si="8"/>
        <v>0</v>
      </c>
      <c r="J55" s="23">
        <f t="shared" si="9"/>
        <v>0</v>
      </c>
      <c r="K55" s="23">
        <f t="shared" si="10"/>
        <v>5</v>
      </c>
      <c r="L55" s="48">
        <f t="shared" si="1"/>
        <v>0</v>
      </c>
      <c r="M55" s="48">
        <f t="shared" si="2"/>
        <v>30</v>
      </c>
      <c r="N55" s="23">
        <f t="shared" si="11"/>
        <v>150</v>
      </c>
      <c r="O55" s="48">
        <f t="shared" si="3"/>
        <v>0</v>
      </c>
    </row>
    <row r="56" spans="2:15">
      <c r="B56" s="23">
        <v>55</v>
      </c>
      <c r="C56" s="23">
        <f t="shared" si="4"/>
        <v>750</v>
      </c>
      <c r="D56" s="23">
        <f t="shared" si="5"/>
        <v>40</v>
      </c>
      <c r="E56" s="48">
        <f t="shared" si="6"/>
        <v>0</v>
      </c>
      <c r="F56" s="48">
        <f t="shared" si="0"/>
        <v>1</v>
      </c>
      <c r="G56" s="48">
        <f>L375+X375+AL375+主线推图!M58+IFERROR(_xlfn.XLOOKUP((B56-6)/10,组队产出!$B$4:$B$19,组队产出!$L$4:$L$19),0)</f>
        <v>1800</v>
      </c>
      <c r="H56" s="23">
        <f t="shared" si="7"/>
        <v>500</v>
      </c>
      <c r="I56" s="23">
        <f t="shared" si="8"/>
        <v>0</v>
      </c>
      <c r="J56" s="23">
        <f t="shared" si="9"/>
        <v>1</v>
      </c>
      <c r="K56" s="23">
        <f t="shared" si="10"/>
        <v>5</v>
      </c>
      <c r="L56" s="48">
        <f t="shared" si="1"/>
        <v>3</v>
      </c>
      <c r="M56" s="48">
        <f t="shared" si="2"/>
        <v>0</v>
      </c>
      <c r="N56" s="23">
        <f t="shared" si="11"/>
        <v>150</v>
      </c>
      <c r="O56" s="48">
        <f t="shared" si="3"/>
        <v>0</v>
      </c>
    </row>
    <row r="57" spans="2:15">
      <c r="B57" s="23">
        <v>56</v>
      </c>
      <c r="C57" s="23">
        <f t="shared" si="4"/>
        <v>750</v>
      </c>
      <c r="D57" s="23">
        <f t="shared" si="5"/>
        <v>40</v>
      </c>
      <c r="E57" s="48">
        <f t="shared" si="6"/>
        <v>15</v>
      </c>
      <c r="F57" s="48">
        <f t="shared" si="0"/>
        <v>0</v>
      </c>
      <c r="G57" s="48">
        <f>L376+X376+AL376+主线推图!M59+IFERROR(_xlfn.XLOOKUP((B57-6)/10,组队产出!$B$4:$B$19,组队产出!$L$4:$L$19),0)</f>
        <v>9300</v>
      </c>
      <c r="H57" s="23">
        <f t="shared" si="7"/>
        <v>500</v>
      </c>
      <c r="I57" s="23">
        <f t="shared" si="8"/>
        <v>0</v>
      </c>
      <c r="J57" s="23">
        <f t="shared" si="9"/>
        <v>0</v>
      </c>
      <c r="K57" s="23">
        <f t="shared" si="10"/>
        <v>5</v>
      </c>
      <c r="L57" s="48">
        <f t="shared" si="1"/>
        <v>0</v>
      </c>
      <c r="M57" s="48">
        <f t="shared" si="2"/>
        <v>30</v>
      </c>
      <c r="N57" s="23">
        <f t="shared" si="11"/>
        <v>150</v>
      </c>
      <c r="O57" s="48">
        <f t="shared" si="3"/>
        <v>0</v>
      </c>
    </row>
    <row r="58" spans="2:15">
      <c r="B58" s="23">
        <v>57</v>
      </c>
      <c r="C58" s="23">
        <f t="shared" si="4"/>
        <v>750</v>
      </c>
      <c r="D58" s="23">
        <f t="shared" si="5"/>
        <v>40</v>
      </c>
      <c r="E58" s="48">
        <f t="shared" si="6"/>
        <v>5</v>
      </c>
      <c r="F58" s="48">
        <f t="shared" si="0"/>
        <v>0</v>
      </c>
      <c r="G58" s="48">
        <f>L377+X377+AL377+主线推图!M60+IFERROR(_xlfn.XLOOKUP((B58-6)/10,组队产出!$B$4:$B$19,组队产出!$L$4:$L$19),0)</f>
        <v>1800</v>
      </c>
      <c r="H58" s="23">
        <f t="shared" si="7"/>
        <v>500</v>
      </c>
      <c r="I58" s="23">
        <f t="shared" si="8"/>
        <v>0</v>
      </c>
      <c r="J58" s="23">
        <f t="shared" si="9"/>
        <v>0</v>
      </c>
      <c r="K58" s="23">
        <f t="shared" si="10"/>
        <v>5</v>
      </c>
      <c r="L58" s="48">
        <f t="shared" si="1"/>
        <v>0</v>
      </c>
      <c r="M58" s="48">
        <f t="shared" si="2"/>
        <v>30</v>
      </c>
      <c r="N58" s="23">
        <f t="shared" si="11"/>
        <v>150</v>
      </c>
      <c r="O58" s="48">
        <f t="shared" si="3"/>
        <v>0</v>
      </c>
    </row>
    <row r="59" spans="2:15">
      <c r="B59" s="23">
        <v>58</v>
      </c>
      <c r="C59" s="23">
        <f t="shared" si="4"/>
        <v>750</v>
      </c>
      <c r="D59" s="23">
        <f t="shared" si="5"/>
        <v>40</v>
      </c>
      <c r="E59" s="48">
        <f t="shared" si="6"/>
        <v>5</v>
      </c>
      <c r="F59" s="48">
        <f t="shared" si="0"/>
        <v>0</v>
      </c>
      <c r="G59" s="48">
        <f>L378+X378+AL378+主线推图!M61+IFERROR(_xlfn.XLOOKUP((B59-6)/10,组队产出!$B$4:$B$19,组队产出!$L$4:$L$19),0)</f>
        <v>1800</v>
      </c>
      <c r="H59" s="23">
        <f t="shared" si="7"/>
        <v>500</v>
      </c>
      <c r="I59" s="23">
        <f t="shared" si="8"/>
        <v>0</v>
      </c>
      <c r="J59" s="23">
        <f t="shared" si="9"/>
        <v>0</v>
      </c>
      <c r="K59" s="23">
        <f t="shared" si="10"/>
        <v>5</v>
      </c>
      <c r="L59" s="48">
        <f t="shared" si="1"/>
        <v>0</v>
      </c>
      <c r="M59" s="48">
        <f t="shared" si="2"/>
        <v>30</v>
      </c>
      <c r="N59" s="23">
        <f t="shared" si="11"/>
        <v>150</v>
      </c>
      <c r="O59" s="48">
        <f t="shared" si="3"/>
        <v>0</v>
      </c>
    </row>
    <row r="60" spans="2:15">
      <c r="B60" s="23">
        <v>59</v>
      </c>
      <c r="C60" s="23">
        <f t="shared" si="4"/>
        <v>750</v>
      </c>
      <c r="D60" s="23">
        <f t="shared" si="5"/>
        <v>40</v>
      </c>
      <c r="E60" s="48">
        <f t="shared" si="6"/>
        <v>5</v>
      </c>
      <c r="F60" s="48">
        <f t="shared" si="0"/>
        <v>0</v>
      </c>
      <c r="G60" s="48">
        <f>L379+X379+AL379+主线推图!M62+IFERROR(_xlfn.XLOOKUP((B60-6)/10,组队产出!$B$4:$B$19,组队产出!$L$4:$L$19),0)</f>
        <v>1800</v>
      </c>
      <c r="H60" s="23">
        <f t="shared" si="7"/>
        <v>500</v>
      </c>
      <c r="I60" s="23">
        <f t="shared" si="8"/>
        <v>0</v>
      </c>
      <c r="J60" s="23">
        <f t="shared" si="9"/>
        <v>0</v>
      </c>
      <c r="K60" s="23">
        <f t="shared" si="10"/>
        <v>5</v>
      </c>
      <c r="L60" s="48">
        <f t="shared" si="1"/>
        <v>0</v>
      </c>
      <c r="M60" s="48">
        <f t="shared" si="2"/>
        <v>30</v>
      </c>
      <c r="N60" s="23">
        <f t="shared" si="11"/>
        <v>150</v>
      </c>
      <c r="O60" s="48">
        <f t="shared" si="3"/>
        <v>0</v>
      </c>
    </row>
    <row r="61" spans="2:15">
      <c r="B61" s="23">
        <v>60</v>
      </c>
      <c r="C61" s="23">
        <f t="shared" si="4"/>
        <v>750</v>
      </c>
      <c r="D61" s="23">
        <f t="shared" si="5"/>
        <v>40</v>
      </c>
      <c r="E61" s="48">
        <f t="shared" si="6"/>
        <v>0</v>
      </c>
      <c r="F61" s="48">
        <f t="shared" si="0"/>
        <v>1</v>
      </c>
      <c r="G61" s="48">
        <f>L380+X380+AL380+主线推图!M63+IFERROR(_xlfn.XLOOKUP((B61-6)/10,组队产出!$B$4:$B$19,组队产出!$L$4:$L$19),0)</f>
        <v>1800</v>
      </c>
      <c r="H61" s="23">
        <f t="shared" si="7"/>
        <v>500</v>
      </c>
      <c r="I61" s="23">
        <f t="shared" si="8"/>
        <v>0</v>
      </c>
      <c r="J61" s="23">
        <f t="shared" si="9"/>
        <v>1</v>
      </c>
      <c r="K61" s="23">
        <f t="shared" si="10"/>
        <v>5</v>
      </c>
      <c r="L61" s="48">
        <f t="shared" si="1"/>
        <v>3</v>
      </c>
      <c r="M61" s="48">
        <f t="shared" si="2"/>
        <v>0</v>
      </c>
      <c r="N61" s="23">
        <f t="shared" si="11"/>
        <v>150</v>
      </c>
      <c r="O61" s="48">
        <f t="shared" si="3"/>
        <v>0</v>
      </c>
    </row>
    <row r="62" spans="2:15">
      <c r="B62" s="23">
        <v>61</v>
      </c>
      <c r="C62" s="23">
        <f t="shared" si="4"/>
        <v>750</v>
      </c>
      <c r="D62" s="23">
        <f t="shared" si="5"/>
        <v>40</v>
      </c>
      <c r="E62" s="48">
        <f t="shared" si="6"/>
        <v>5</v>
      </c>
      <c r="F62" s="48">
        <f t="shared" si="0"/>
        <v>0</v>
      </c>
      <c r="G62" s="48">
        <f>L381+X381+AL381+主线推图!M64+IFERROR(_xlfn.XLOOKUP((B62-6)/10,组队产出!$B$4:$B$19,组队产出!$L$4:$L$19),0)</f>
        <v>1800</v>
      </c>
      <c r="H62" s="23">
        <f t="shared" si="7"/>
        <v>500</v>
      </c>
      <c r="I62" s="23">
        <f t="shared" si="8"/>
        <v>0</v>
      </c>
      <c r="J62" s="23">
        <f t="shared" si="9"/>
        <v>0</v>
      </c>
      <c r="K62" s="23">
        <f t="shared" si="10"/>
        <v>5</v>
      </c>
      <c r="L62" s="48">
        <f t="shared" si="1"/>
        <v>0</v>
      </c>
      <c r="M62" s="48">
        <f t="shared" si="2"/>
        <v>30</v>
      </c>
      <c r="N62" s="23">
        <f t="shared" si="11"/>
        <v>150</v>
      </c>
      <c r="O62" s="48">
        <f t="shared" si="3"/>
        <v>0</v>
      </c>
    </row>
    <row r="63" spans="2:15">
      <c r="B63" s="23">
        <v>62</v>
      </c>
      <c r="C63" s="23">
        <f t="shared" si="4"/>
        <v>750</v>
      </c>
      <c r="D63" s="23">
        <f t="shared" si="5"/>
        <v>40</v>
      </c>
      <c r="E63" s="48">
        <f t="shared" si="6"/>
        <v>5</v>
      </c>
      <c r="F63" s="48">
        <f t="shared" si="0"/>
        <v>0</v>
      </c>
      <c r="G63" s="48">
        <f>L382+X382+AL382+主线推图!M65+IFERROR(_xlfn.XLOOKUP((B63-6)/10,组队产出!$B$4:$B$19,组队产出!$L$4:$L$19),0)</f>
        <v>1800</v>
      </c>
      <c r="H63" s="23">
        <f t="shared" si="7"/>
        <v>500</v>
      </c>
      <c r="I63" s="23">
        <f t="shared" si="8"/>
        <v>0</v>
      </c>
      <c r="J63" s="23">
        <f t="shared" si="9"/>
        <v>0</v>
      </c>
      <c r="K63" s="23">
        <f t="shared" si="10"/>
        <v>5</v>
      </c>
      <c r="L63" s="48">
        <f t="shared" si="1"/>
        <v>0</v>
      </c>
      <c r="M63" s="48">
        <f t="shared" si="2"/>
        <v>30</v>
      </c>
      <c r="N63" s="23">
        <f t="shared" si="11"/>
        <v>150</v>
      </c>
      <c r="O63" s="48">
        <f t="shared" si="3"/>
        <v>0</v>
      </c>
    </row>
    <row r="64" spans="2:15">
      <c r="B64" s="23">
        <v>63</v>
      </c>
      <c r="C64" s="23">
        <f t="shared" si="4"/>
        <v>750</v>
      </c>
      <c r="D64" s="23">
        <f t="shared" si="5"/>
        <v>40</v>
      </c>
      <c r="E64" s="48">
        <f t="shared" si="6"/>
        <v>5</v>
      </c>
      <c r="F64" s="48">
        <f t="shared" si="0"/>
        <v>0</v>
      </c>
      <c r="G64" s="48">
        <f>L383+X383+AL383+主线推图!M66+IFERROR(_xlfn.XLOOKUP((B64-6)/10,组队产出!$B$4:$B$19,组队产出!$L$4:$L$19),0)</f>
        <v>1800</v>
      </c>
      <c r="H64" s="23">
        <f t="shared" si="7"/>
        <v>500</v>
      </c>
      <c r="I64" s="23">
        <f t="shared" si="8"/>
        <v>0</v>
      </c>
      <c r="J64" s="23">
        <f t="shared" si="9"/>
        <v>0</v>
      </c>
      <c r="K64" s="23">
        <f t="shared" si="10"/>
        <v>5</v>
      </c>
      <c r="L64" s="48">
        <f t="shared" si="1"/>
        <v>0</v>
      </c>
      <c r="M64" s="48">
        <f t="shared" si="2"/>
        <v>30</v>
      </c>
      <c r="N64" s="23">
        <f t="shared" si="11"/>
        <v>150</v>
      </c>
      <c r="O64" s="48">
        <f t="shared" si="3"/>
        <v>0</v>
      </c>
    </row>
    <row r="65" spans="2:15">
      <c r="B65" s="23">
        <v>64</v>
      </c>
      <c r="C65" s="23">
        <f t="shared" si="4"/>
        <v>750</v>
      </c>
      <c r="D65" s="23">
        <f t="shared" si="5"/>
        <v>40</v>
      </c>
      <c r="E65" s="48">
        <f t="shared" si="6"/>
        <v>5</v>
      </c>
      <c r="F65" s="48">
        <f t="shared" si="0"/>
        <v>0</v>
      </c>
      <c r="G65" s="48">
        <f>L384+X384+AL384+主线推图!M67+IFERROR(_xlfn.XLOOKUP((B65-6)/10,组队产出!$B$4:$B$19,组队产出!$L$4:$L$19),0)</f>
        <v>1800</v>
      </c>
      <c r="H65" s="23">
        <f t="shared" si="7"/>
        <v>500</v>
      </c>
      <c r="I65" s="23">
        <f t="shared" si="8"/>
        <v>0</v>
      </c>
      <c r="J65" s="23">
        <f t="shared" si="9"/>
        <v>0</v>
      </c>
      <c r="K65" s="23">
        <f t="shared" si="10"/>
        <v>5</v>
      </c>
      <c r="L65" s="48">
        <f t="shared" si="1"/>
        <v>0</v>
      </c>
      <c r="M65" s="48">
        <f t="shared" si="2"/>
        <v>30</v>
      </c>
      <c r="N65" s="23">
        <f t="shared" si="11"/>
        <v>150</v>
      </c>
      <c r="O65" s="48">
        <f t="shared" si="3"/>
        <v>0</v>
      </c>
    </row>
    <row r="66" spans="2:15">
      <c r="B66" s="23">
        <v>65</v>
      </c>
      <c r="C66" s="23">
        <f t="shared" si="4"/>
        <v>750</v>
      </c>
      <c r="D66" s="23">
        <f t="shared" si="5"/>
        <v>40</v>
      </c>
      <c r="E66" s="48">
        <f t="shared" si="6"/>
        <v>0</v>
      </c>
      <c r="F66" s="48">
        <f t="shared" ref="F66:F129" si="12">IF(MOD(B66,5)=0,1,0)</f>
        <v>1</v>
      </c>
      <c r="G66" s="48">
        <f>L385+X385+AL385+主线推图!M68+IFERROR(_xlfn.XLOOKUP((B66-6)/10,组队产出!$B$4:$B$19,组队产出!$L$4:$L$19),0)</f>
        <v>1800</v>
      </c>
      <c r="H66" s="23">
        <f t="shared" si="7"/>
        <v>500</v>
      </c>
      <c r="I66" s="23">
        <f t="shared" si="8"/>
        <v>0</v>
      </c>
      <c r="J66" s="23">
        <f t="shared" si="9"/>
        <v>1</v>
      </c>
      <c r="K66" s="23">
        <f t="shared" si="10"/>
        <v>5</v>
      </c>
      <c r="L66" s="48">
        <f t="shared" ref="L66:L129" si="13">IF(MOD(B66,5)=0,AB385,0)</f>
        <v>3</v>
      </c>
      <c r="M66" s="48">
        <f t="shared" ref="M66:M129" si="14">IF(MOD(B66,5)=0,0,AB385)</f>
        <v>0</v>
      </c>
      <c r="N66" s="23">
        <f t="shared" si="11"/>
        <v>150</v>
      </c>
      <c r="O66" s="48">
        <f t="shared" ref="O66:O129" si="15">IF(MOD(B66-26,20)=0,2,0)</f>
        <v>0</v>
      </c>
    </row>
    <row r="67" spans="2:15">
      <c r="B67" s="23">
        <v>66</v>
      </c>
      <c r="C67" s="23">
        <f t="shared" ref="C67:C130" si="16">J386+N386+AF386</f>
        <v>750</v>
      </c>
      <c r="D67" s="23">
        <f t="shared" ref="D67:D130" si="17">H386+T386</f>
        <v>40</v>
      </c>
      <c r="E67" s="48">
        <f t="shared" ref="E67:E130" si="18">IF(MOD(B67,5)=0,0,D386)+IF(MOD(B67-16,20)=0,10,0)</f>
        <v>5</v>
      </c>
      <c r="F67" s="48">
        <f t="shared" si="12"/>
        <v>0</v>
      </c>
      <c r="G67" s="48">
        <f>L386+X386+AL386+主线推图!M69+IFERROR(_xlfn.XLOOKUP((B67-6)/10,组队产出!$B$4:$B$19,组队产出!$L$4:$L$19),0)</f>
        <v>9300</v>
      </c>
      <c r="H67" s="23">
        <f t="shared" ref="H67:H130" si="19">P386*2.5</f>
        <v>500</v>
      </c>
      <c r="I67" s="23">
        <f t="shared" ref="I67:I130" si="20">AH386+R386</f>
        <v>0</v>
      </c>
      <c r="J67" s="23">
        <f t="shared" ref="J67:J130" si="21">V386</f>
        <v>0</v>
      </c>
      <c r="K67" s="23">
        <f t="shared" ref="K67:K130" si="22">Z386</f>
        <v>5</v>
      </c>
      <c r="L67" s="48">
        <f t="shared" si="13"/>
        <v>0</v>
      </c>
      <c r="M67" s="48">
        <f t="shared" si="14"/>
        <v>30</v>
      </c>
      <c r="N67" s="23">
        <f t="shared" ref="N67:N130" si="23">AD386</f>
        <v>150</v>
      </c>
      <c r="O67" s="48">
        <f t="shared" si="15"/>
        <v>2</v>
      </c>
    </row>
    <row r="68" spans="2:15">
      <c r="B68" s="23">
        <v>67</v>
      </c>
      <c r="C68" s="23">
        <f t="shared" si="16"/>
        <v>750</v>
      </c>
      <c r="D68" s="23">
        <f t="shared" si="17"/>
        <v>40</v>
      </c>
      <c r="E68" s="48">
        <f t="shared" si="18"/>
        <v>5</v>
      </c>
      <c r="F68" s="48">
        <f t="shared" si="12"/>
        <v>0</v>
      </c>
      <c r="G68" s="48">
        <f>L387+X387+AL387+主线推图!M70+IFERROR(_xlfn.XLOOKUP((B68-6)/10,组队产出!$B$4:$B$19,组队产出!$L$4:$L$19),0)</f>
        <v>1800</v>
      </c>
      <c r="H68" s="23">
        <f t="shared" si="19"/>
        <v>500</v>
      </c>
      <c r="I68" s="23">
        <f t="shared" si="20"/>
        <v>0</v>
      </c>
      <c r="J68" s="23">
        <f t="shared" si="21"/>
        <v>0</v>
      </c>
      <c r="K68" s="23">
        <f t="shared" si="22"/>
        <v>5</v>
      </c>
      <c r="L68" s="48">
        <f t="shared" si="13"/>
        <v>0</v>
      </c>
      <c r="M68" s="48">
        <f t="shared" si="14"/>
        <v>30</v>
      </c>
      <c r="N68" s="23">
        <f t="shared" si="23"/>
        <v>150</v>
      </c>
      <c r="O68" s="48">
        <f t="shared" si="15"/>
        <v>0</v>
      </c>
    </row>
    <row r="69" spans="2:15">
      <c r="B69" s="23">
        <v>68</v>
      </c>
      <c r="C69" s="23">
        <f t="shared" si="16"/>
        <v>750</v>
      </c>
      <c r="D69" s="23">
        <f t="shared" si="17"/>
        <v>40</v>
      </c>
      <c r="E69" s="48">
        <f t="shared" si="18"/>
        <v>5</v>
      </c>
      <c r="F69" s="48">
        <f t="shared" si="12"/>
        <v>0</v>
      </c>
      <c r="G69" s="48">
        <f>L388+X388+AL388+主线推图!M71+IFERROR(_xlfn.XLOOKUP((B69-6)/10,组队产出!$B$4:$B$19,组队产出!$L$4:$L$19),0)</f>
        <v>1800</v>
      </c>
      <c r="H69" s="23">
        <f t="shared" si="19"/>
        <v>500</v>
      </c>
      <c r="I69" s="23">
        <f t="shared" si="20"/>
        <v>0</v>
      </c>
      <c r="J69" s="23">
        <f t="shared" si="21"/>
        <v>0</v>
      </c>
      <c r="K69" s="23">
        <f t="shared" si="22"/>
        <v>5</v>
      </c>
      <c r="L69" s="48">
        <f t="shared" si="13"/>
        <v>0</v>
      </c>
      <c r="M69" s="48">
        <f t="shared" si="14"/>
        <v>30</v>
      </c>
      <c r="N69" s="23">
        <f t="shared" si="23"/>
        <v>150</v>
      </c>
      <c r="O69" s="48">
        <f t="shared" si="15"/>
        <v>0</v>
      </c>
    </row>
    <row r="70" spans="2:15">
      <c r="B70" s="23">
        <v>69</v>
      </c>
      <c r="C70" s="23">
        <f t="shared" si="16"/>
        <v>750</v>
      </c>
      <c r="D70" s="23">
        <f t="shared" si="17"/>
        <v>40</v>
      </c>
      <c r="E70" s="48">
        <f t="shared" si="18"/>
        <v>5</v>
      </c>
      <c r="F70" s="48">
        <f t="shared" si="12"/>
        <v>0</v>
      </c>
      <c r="G70" s="48">
        <f>L389+X389+AL389+主线推图!M72+IFERROR(_xlfn.XLOOKUP((B70-6)/10,组队产出!$B$4:$B$19,组队产出!$L$4:$L$19),0)</f>
        <v>1800</v>
      </c>
      <c r="H70" s="23">
        <f t="shared" si="19"/>
        <v>500</v>
      </c>
      <c r="I70" s="23">
        <f t="shared" si="20"/>
        <v>0</v>
      </c>
      <c r="J70" s="23">
        <f t="shared" si="21"/>
        <v>0</v>
      </c>
      <c r="K70" s="23">
        <f t="shared" si="22"/>
        <v>5</v>
      </c>
      <c r="L70" s="48">
        <f t="shared" si="13"/>
        <v>0</v>
      </c>
      <c r="M70" s="48">
        <f t="shared" si="14"/>
        <v>30</v>
      </c>
      <c r="N70" s="23">
        <f t="shared" si="23"/>
        <v>150</v>
      </c>
      <c r="O70" s="48">
        <f t="shared" si="15"/>
        <v>0</v>
      </c>
    </row>
    <row r="71" spans="2:15">
      <c r="B71" s="23">
        <v>70</v>
      </c>
      <c r="C71" s="23">
        <f t="shared" si="16"/>
        <v>750</v>
      </c>
      <c r="D71" s="23">
        <f t="shared" si="17"/>
        <v>40</v>
      </c>
      <c r="E71" s="48">
        <f t="shared" si="18"/>
        <v>0</v>
      </c>
      <c r="F71" s="48">
        <f t="shared" si="12"/>
        <v>1</v>
      </c>
      <c r="G71" s="48">
        <f>L390+X390+AL390+主线推图!M73+IFERROR(_xlfn.XLOOKUP((B71-6)/10,组队产出!$B$4:$B$19,组队产出!$L$4:$L$19),0)</f>
        <v>1800</v>
      </c>
      <c r="H71" s="23">
        <f t="shared" si="19"/>
        <v>500</v>
      </c>
      <c r="I71" s="23">
        <f t="shared" si="20"/>
        <v>0</v>
      </c>
      <c r="J71" s="23">
        <f t="shared" si="21"/>
        <v>1</v>
      </c>
      <c r="K71" s="23">
        <f t="shared" si="22"/>
        <v>5</v>
      </c>
      <c r="L71" s="48">
        <f t="shared" si="13"/>
        <v>3</v>
      </c>
      <c r="M71" s="48">
        <f t="shared" si="14"/>
        <v>0</v>
      </c>
      <c r="N71" s="23">
        <f t="shared" si="23"/>
        <v>150</v>
      </c>
      <c r="O71" s="48">
        <f t="shared" si="15"/>
        <v>0</v>
      </c>
    </row>
    <row r="72" spans="2:15">
      <c r="B72" s="23">
        <v>71</v>
      </c>
      <c r="C72" s="23">
        <f t="shared" si="16"/>
        <v>750</v>
      </c>
      <c r="D72" s="23">
        <f t="shared" si="17"/>
        <v>40</v>
      </c>
      <c r="E72" s="48">
        <f t="shared" si="18"/>
        <v>5</v>
      </c>
      <c r="F72" s="48">
        <f t="shared" si="12"/>
        <v>0</v>
      </c>
      <c r="G72" s="48">
        <f>L391+X391+AL391+主线推图!M74+IFERROR(_xlfn.XLOOKUP((B72-6)/10,组队产出!$B$4:$B$19,组队产出!$L$4:$L$19),0)</f>
        <v>1800</v>
      </c>
      <c r="H72" s="23">
        <f t="shared" si="19"/>
        <v>500</v>
      </c>
      <c r="I72" s="23">
        <f t="shared" si="20"/>
        <v>0</v>
      </c>
      <c r="J72" s="23">
        <f t="shared" si="21"/>
        <v>0</v>
      </c>
      <c r="K72" s="23">
        <f t="shared" si="22"/>
        <v>5</v>
      </c>
      <c r="L72" s="48">
        <f t="shared" si="13"/>
        <v>0</v>
      </c>
      <c r="M72" s="48">
        <f t="shared" si="14"/>
        <v>30</v>
      </c>
      <c r="N72" s="23">
        <f t="shared" si="23"/>
        <v>150</v>
      </c>
      <c r="O72" s="48">
        <f t="shared" si="15"/>
        <v>0</v>
      </c>
    </row>
    <row r="73" spans="2:15">
      <c r="B73" s="23">
        <v>72</v>
      </c>
      <c r="C73" s="23">
        <f t="shared" si="16"/>
        <v>750</v>
      </c>
      <c r="D73" s="23">
        <f t="shared" si="17"/>
        <v>40</v>
      </c>
      <c r="E73" s="48">
        <f t="shared" si="18"/>
        <v>5</v>
      </c>
      <c r="F73" s="48">
        <f t="shared" si="12"/>
        <v>0</v>
      </c>
      <c r="G73" s="48">
        <f>L392+X392+AL392+主线推图!M75+IFERROR(_xlfn.XLOOKUP((B73-6)/10,组队产出!$B$4:$B$19,组队产出!$L$4:$L$19),0)</f>
        <v>1800</v>
      </c>
      <c r="H73" s="23">
        <f t="shared" si="19"/>
        <v>500</v>
      </c>
      <c r="I73" s="23">
        <f t="shared" si="20"/>
        <v>0</v>
      </c>
      <c r="J73" s="23">
        <f t="shared" si="21"/>
        <v>0</v>
      </c>
      <c r="K73" s="23">
        <f t="shared" si="22"/>
        <v>5</v>
      </c>
      <c r="L73" s="48">
        <f t="shared" si="13"/>
        <v>0</v>
      </c>
      <c r="M73" s="48">
        <f t="shared" si="14"/>
        <v>30</v>
      </c>
      <c r="N73" s="23">
        <f t="shared" si="23"/>
        <v>150</v>
      </c>
      <c r="O73" s="48">
        <f t="shared" si="15"/>
        <v>0</v>
      </c>
    </row>
    <row r="74" spans="2:15">
      <c r="B74" s="23">
        <v>73</v>
      </c>
      <c r="C74" s="23">
        <f t="shared" si="16"/>
        <v>750</v>
      </c>
      <c r="D74" s="23">
        <f t="shared" si="17"/>
        <v>40</v>
      </c>
      <c r="E74" s="48">
        <f t="shared" si="18"/>
        <v>5</v>
      </c>
      <c r="F74" s="48">
        <f t="shared" si="12"/>
        <v>0</v>
      </c>
      <c r="G74" s="48">
        <f>L393+X393+AL393+主线推图!M76+IFERROR(_xlfn.XLOOKUP((B74-6)/10,组队产出!$B$4:$B$19,组队产出!$L$4:$L$19),0)</f>
        <v>1800</v>
      </c>
      <c r="H74" s="23">
        <f t="shared" si="19"/>
        <v>500</v>
      </c>
      <c r="I74" s="23">
        <f t="shared" si="20"/>
        <v>0</v>
      </c>
      <c r="J74" s="23">
        <f t="shared" si="21"/>
        <v>0</v>
      </c>
      <c r="K74" s="23">
        <f t="shared" si="22"/>
        <v>5</v>
      </c>
      <c r="L74" s="48">
        <f t="shared" si="13"/>
        <v>0</v>
      </c>
      <c r="M74" s="48">
        <f t="shared" si="14"/>
        <v>30</v>
      </c>
      <c r="N74" s="23">
        <f t="shared" si="23"/>
        <v>150</v>
      </c>
      <c r="O74" s="48">
        <f t="shared" si="15"/>
        <v>0</v>
      </c>
    </row>
    <row r="75" spans="2:15">
      <c r="B75" s="23">
        <v>74</v>
      </c>
      <c r="C75" s="23">
        <f t="shared" si="16"/>
        <v>750</v>
      </c>
      <c r="D75" s="23">
        <f t="shared" si="17"/>
        <v>40</v>
      </c>
      <c r="E75" s="48">
        <f t="shared" si="18"/>
        <v>5</v>
      </c>
      <c r="F75" s="48">
        <f t="shared" si="12"/>
        <v>0</v>
      </c>
      <c r="G75" s="48">
        <f>L394+X394+AL394+主线推图!M77+IFERROR(_xlfn.XLOOKUP((B75-6)/10,组队产出!$B$4:$B$19,组队产出!$L$4:$L$19),0)</f>
        <v>1800</v>
      </c>
      <c r="H75" s="23">
        <f t="shared" si="19"/>
        <v>500</v>
      </c>
      <c r="I75" s="23">
        <f t="shared" si="20"/>
        <v>0</v>
      </c>
      <c r="J75" s="23">
        <f t="shared" si="21"/>
        <v>0</v>
      </c>
      <c r="K75" s="23">
        <f t="shared" si="22"/>
        <v>5</v>
      </c>
      <c r="L75" s="48">
        <f t="shared" si="13"/>
        <v>0</v>
      </c>
      <c r="M75" s="48">
        <f t="shared" si="14"/>
        <v>30</v>
      </c>
      <c r="N75" s="23">
        <f t="shared" si="23"/>
        <v>150</v>
      </c>
      <c r="O75" s="48">
        <f t="shared" si="15"/>
        <v>0</v>
      </c>
    </row>
    <row r="76" spans="2:15">
      <c r="B76" s="23">
        <v>75</v>
      </c>
      <c r="C76" s="23">
        <f t="shared" si="16"/>
        <v>750</v>
      </c>
      <c r="D76" s="23">
        <f t="shared" si="17"/>
        <v>40</v>
      </c>
      <c r="E76" s="48">
        <f t="shared" si="18"/>
        <v>0</v>
      </c>
      <c r="F76" s="48">
        <f t="shared" si="12"/>
        <v>1</v>
      </c>
      <c r="G76" s="48">
        <f>L395+X395+AL395+主线推图!M78+IFERROR(_xlfn.XLOOKUP((B76-6)/10,组队产出!$B$4:$B$19,组队产出!$L$4:$L$19),0)</f>
        <v>1800</v>
      </c>
      <c r="H76" s="23">
        <f t="shared" si="19"/>
        <v>500</v>
      </c>
      <c r="I76" s="23">
        <f t="shared" si="20"/>
        <v>0</v>
      </c>
      <c r="J76" s="23">
        <f t="shared" si="21"/>
        <v>1</v>
      </c>
      <c r="K76" s="23">
        <f t="shared" si="22"/>
        <v>5</v>
      </c>
      <c r="L76" s="48">
        <f t="shared" si="13"/>
        <v>3</v>
      </c>
      <c r="M76" s="48">
        <f t="shared" si="14"/>
        <v>0</v>
      </c>
      <c r="N76" s="23">
        <f t="shared" si="23"/>
        <v>150</v>
      </c>
      <c r="O76" s="48">
        <f t="shared" si="15"/>
        <v>0</v>
      </c>
    </row>
    <row r="77" spans="2:15">
      <c r="B77" s="23">
        <v>76</v>
      </c>
      <c r="C77" s="23">
        <f t="shared" si="16"/>
        <v>750</v>
      </c>
      <c r="D77" s="23">
        <f t="shared" si="17"/>
        <v>40</v>
      </c>
      <c r="E77" s="48">
        <f t="shared" si="18"/>
        <v>15</v>
      </c>
      <c r="F77" s="48">
        <f t="shared" si="12"/>
        <v>0</v>
      </c>
      <c r="G77" s="48">
        <f>L396+X396+AL396+主线推图!M79+IFERROR(_xlfn.XLOOKUP((B77-6)/10,组队产出!$B$4:$B$19,组队产出!$L$4:$L$19),0)</f>
        <v>10800</v>
      </c>
      <c r="H77" s="23">
        <f t="shared" si="19"/>
        <v>500</v>
      </c>
      <c r="I77" s="23">
        <f t="shared" si="20"/>
        <v>0</v>
      </c>
      <c r="J77" s="23">
        <f t="shared" si="21"/>
        <v>0</v>
      </c>
      <c r="K77" s="23">
        <f t="shared" si="22"/>
        <v>5</v>
      </c>
      <c r="L77" s="48">
        <f t="shared" si="13"/>
        <v>0</v>
      </c>
      <c r="M77" s="48">
        <f t="shared" si="14"/>
        <v>30</v>
      </c>
      <c r="N77" s="23">
        <f t="shared" si="23"/>
        <v>150</v>
      </c>
      <c r="O77" s="48">
        <f t="shared" si="15"/>
        <v>0</v>
      </c>
    </row>
    <row r="78" spans="2:15">
      <c r="B78" s="23">
        <v>77</v>
      </c>
      <c r="C78" s="23">
        <f t="shared" si="16"/>
        <v>750</v>
      </c>
      <c r="D78" s="23">
        <f t="shared" si="17"/>
        <v>40</v>
      </c>
      <c r="E78" s="48">
        <f t="shared" si="18"/>
        <v>5</v>
      </c>
      <c r="F78" s="48">
        <f t="shared" si="12"/>
        <v>0</v>
      </c>
      <c r="G78" s="48">
        <f>L397+X397+AL397+主线推图!M80+IFERROR(_xlfn.XLOOKUP((B78-6)/10,组队产出!$B$4:$B$19,组队产出!$L$4:$L$19),0)</f>
        <v>1800</v>
      </c>
      <c r="H78" s="23">
        <f t="shared" si="19"/>
        <v>500</v>
      </c>
      <c r="I78" s="23">
        <f t="shared" si="20"/>
        <v>0</v>
      </c>
      <c r="J78" s="23">
        <f t="shared" si="21"/>
        <v>0</v>
      </c>
      <c r="K78" s="23">
        <f t="shared" si="22"/>
        <v>5</v>
      </c>
      <c r="L78" s="48">
        <f t="shared" si="13"/>
        <v>0</v>
      </c>
      <c r="M78" s="48">
        <f t="shared" si="14"/>
        <v>30</v>
      </c>
      <c r="N78" s="23">
        <f t="shared" si="23"/>
        <v>150</v>
      </c>
      <c r="O78" s="48">
        <f t="shared" si="15"/>
        <v>0</v>
      </c>
    </row>
    <row r="79" spans="2:15">
      <c r="B79" s="23">
        <v>78</v>
      </c>
      <c r="C79" s="23">
        <f t="shared" si="16"/>
        <v>750</v>
      </c>
      <c r="D79" s="23">
        <f t="shared" si="17"/>
        <v>40</v>
      </c>
      <c r="E79" s="48">
        <f t="shared" si="18"/>
        <v>5</v>
      </c>
      <c r="F79" s="48">
        <f t="shared" si="12"/>
        <v>0</v>
      </c>
      <c r="G79" s="48">
        <f>L398+X398+AL398+主线推图!M81+IFERROR(_xlfn.XLOOKUP((B79-6)/10,组队产出!$B$4:$B$19,组队产出!$L$4:$L$19),0)</f>
        <v>1800</v>
      </c>
      <c r="H79" s="23">
        <f t="shared" si="19"/>
        <v>500</v>
      </c>
      <c r="I79" s="23">
        <f t="shared" si="20"/>
        <v>0</v>
      </c>
      <c r="J79" s="23">
        <f t="shared" si="21"/>
        <v>0</v>
      </c>
      <c r="K79" s="23">
        <f t="shared" si="22"/>
        <v>5</v>
      </c>
      <c r="L79" s="48">
        <f t="shared" si="13"/>
        <v>0</v>
      </c>
      <c r="M79" s="48">
        <f t="shared" si="14"/>
        <v>30</v>
      </c>
      <c r="N79" s="23">
        <f t="shared" si="23"/>
        <v>150</v>
      </c>
      <c r="O79" s="48">
        <f t="shared" si="15"/>
        <v>0</v>
      </c>
    </row>
    <row r="80" spans="2:15">
      <c r="B80" s="23">
        <v>79</v>
      </c>
      <c r="C80" s="23">
        <f t="shared" si="16"/>
        <v>750</v>
      </c>
      <c r="D80" s="23">
        <f t="shared" si="17"/>
        <v>40</v>
      </c>
      <c r="E80" s="48">
        <f t="shared" si="18"/>
        <v>5</v>
      </c>
      <c r="F80" s="48">
        <f t="shared" si="12"/>
        <v>0</v>
      </c>
      <c r="G80" s="48">
        <f>L399+X399+AL399+主线推图!M82+IFERROR(_xlfn.XLOOKUP((B80-6)/10,组队产出!$B$4:$B$19,组队产出!$L$4:$L$19),0)</f>
        <v>1800</v>
      </c>
      <c r="H80" s="23">
        <f t="shared" si="19"/>
        <v>500</v>
      </c>
      <c r="I80" s="23">
        <f t="shared" si="20"/>
        <v>0</v>
      </c>
      <c r="J80" s="23">
        <f t="shared" si="21"/>
        <v>0</v>
      </c>
      <c r="K80" s="23">
        <f t="shared" si="22"/>
        <v>5</v>
      </c>
      <c r="L80" s="48">
        <f t="shared" si="13"/>
        <v>0</v>
      </c>
      <c r="M80" s="48">
        <f t="shared" si="14"/>
        <v>30</v>
      </c>
      <c r="N80" s="23">
        <f t="shared" si="23"/>
        <v>150</v>
      </c>
      <c r="O80" s="48">
        <f t="shared" si="15"/>
        <v>0</v>
      </c>
    </row>
    <row r="81" spans="2:15">
      <c r="B81" s="23">
        <v>80</v>
      </c>
      <c r="C81" s="23">
        <f t="shared" si="16"/>
        <v>750</v>
      </c>
      <c r="D81" s="23">
        <f t="shared" si="17"/>
        <v>40</v>
      </c>
      <c r="E81" s="48">
        <f t="shared" si="18"/>
        <v>0</v>
      </c>
      <c r="F81" s="48">
        <f t="shared" si="12"/>
        <v>1</v>
      </c>
      <c r="G81" s="48">
        <f>L400+X400+AL400+主线推图!M83+IFERROR(_xlfn.XLOOKUP((B81-6)/10,组队产出!$B$4:$B$19,组队产出!$L$4:$L$19),0)</f>
        <v>1800</v>
      </c>
      <c r="H81" s="23">
        <f t="shared" si="19"/>
        <v>500</v>
      </c>
      <c r="I81" s="23">
        <f t="shared" si="20"/>
        <v>0</v>
      </c>
      <c r="J81" s="23">
        <f t="shared" si="21"/>
        <v>1</v>
      </c>
      <c r="K81" s="23">
        <f t="shared" si="22"/>
        <v>5</v>
      </c>
      <c r="L81" s="48">
        <f t="shared" si="13"/>
        <v>3</v>
      </c>
      <c r="M81" s="48">
        <f t="shared" si="14"/>
        <v>0</v>
      </c>
      <c r="N81" s="23">
        <f t="shared" si="23"/>
        <v>150</v>
      </c>
      <c r="O81" s="48">
        <f t="shared" si="15"/>
        <v>0</v>
      </c>
    </row>
    <row r="82" spans="2:15">
      <c r="B82" s="23">
        <v>81</v>
      </c>
      <c r="C82" s="23">
        <f t="shared" si="16"/>
        <v>750</v>
      </c>
      <c r="D82" s="23">
        <f t="shared" si="17"/>
        <v>40</v>
      </c>
      <c r="E82" s="48">
        <f t="shared" si="18"/>
        <v>5</v>
      </c>
      <c r="F82" s="48">
        <f t="shared" si="12"/>
        <v>0</v>
      </c>
      <c r="G82" s="48">
        <f>L401+X401+AL401+主线推图!M84+IFERROR(_xlfn.XLOOKUP((B82-6)/10,组队产出!$B$4:$B$19,组队产出!$L$4:$L$19),0)</f>
        <v>1800</v>
      </c>
      <c r="H82" s="23">
        <f t="shared" si="19"/>
        <v>500</v>
      </c>
      <c r="I82" s="23">
        <f t="shared" si="20"/>
        <v>0</v>
      </c>
      <c r="J82" s="23">
        <f t="shared" si="21"/>
        <v>0</v>
      </c>
      <c r="K82" s="23">
        <f t="shared" si="22"/>
        <v>5</v>
      </c>
      <c r="L82" s="48">
        <f t="shared" si="13"/>
        <v>0</v>
      </c>
      <c r="M82" s="48">
        <f t="shared" si="14"/>
        <v>30</v>
      </c>
      <c r="N82" s="23">
        <f t="shared" si="23"/>
        <v>150</v>
      </c>
      <c r="O82" s="48">
        <f t="shared" si="15"/>
        <v>0</v>
      </c>
    </row>
    <row r="83" spans="2:15">
      <c r="B83" s="23">
        <v>82</v>
      </c>
      <c r="C83" s="23">
        <f t="shared" si="16"/>
        <v>750</v>
      </c>
      <c r="D83" s="23">
        <f t="shared" si="17"/>
        <v>40</v>
      </c>
      <c r="E83" s="48">
        <f t="shared" si="18"/>
        <v>5</v>
      </c>
      <c r="F83" s="48">
        <f t="shared" si="12"/>
        <v>0</v>
      </c>
      <c r="G83" s="48">
        <f>L402+X402+AL402+主线推图!M85+IFERROR(_xlfn.XLOOKUP((B83-6)/10,组队产出!$B$4:$B$19,组队产出!$L$4:$L$19),0)</f>
        <v>1800</v>
      </c>
      <c r="H83" s="23">
        <f t="shared" si="19"/>
        <v>500</v>
      </c>
      <c r="I83" s="23">
        <f t="shared" si="20"/>
        <v>0</v>
      </c>
      <c r="J83" s="23">
        <f t="shared" si="21"/>
        <v>0</v>
      </c>
      <c r="K83" s="23">
        <f t="shared" si="22"/>
        <v>5</v>
      </c>
      <c r="L83" s="48">
        <f t="shared" si="13"/>
        <v>0</v>
      </c>
      <c r="M83" s="48">
        <f t="shared" si="14"/>
        <v>30</v>
      </c>
      <c r="N83" s="23">
        <f t="shared" si="23"/>
        <v>150</v>
      </c>
      <c r="O83" s="48">
        <f t="shared" si="15"/>
        <v>0</v>
      </c>
    </row>
    <row r="84" spans="2:15">
      <c r="B84" s="23">
        <v>83</v>
      </c>
      <c r="C84" s="23">
        <f t="shared" si="16"/>
        <v>750</v>
      </c>
      <c r="D84" s="23">
        <f t="shared" si="17"/>
        <v>40</v>
      </c>
      <c r="E84" s="48">
        <f t="shared" si="18"/>
        <v>5</v>
      </c>
      <c r="F84" s="48">
        <f t="shared" si="12"/>
        <v>0</v>
      </c>
      <c r="G84" s="48">
        <f>L403+X403+AL403+主线推图!M86+IFERROR(_xlfn.XLOOKUP((B84-6)/10,组队产出!$B$4:$B$19,组队产出!$L$4:$L$19),0)</f>
        <v>1800</v>
      </c>
      <c r="H84" s="23">
        <f t="shared" si="19"/>
        <v>500</v>
      </c>
      <c r="I84" s="23">
        <f t="shared" si="20"/>
        <v>0</v>
      </c>
      <c r="J84" s="23">
        <f t="shared" si="21"/>
        <v>0</v>
      </c>
      <c r="K84" s="23">
        <f t="shared" si="22"/>
        <v>5</v>
      </c>
      <c r="L84" s="48">
        <f t="shared" si="13"/>
        <v>0</v>
      </c>
      <c r="M84" s="48">
        <f t="shared" si="14"/>
        <v>30</v>
      </c>
      <c r="N84" s="23">
        <f t="shared" si="23"/>
        <v>150</v>
      </c>
      <c r="O84" s="48">
        <f t="shared" si="15"/>
        <v>0</v>
      </c>
    </row>
    <row r="85" spans="2:15">
      <c r="B85" s="23">
        <v>84</v>
      </c>
      <c r="C85" s="23">
        <f t="shared" si="16"/>
        <v>750</v>
      </c>
      <c r="D85" s="23">
        <f t="shared" si="17"/>
        <v>40</v>
      </c>
      <c r="E85" s="48">
        <f t="shared" si="18"/>
        <v>5</v>
      </c>
      <c r="F85" s="48">
        <f t="shared" si="12"/>
        <v>0</v>
      </c>
      <c r="G85" s="48">
        <f>L404+X404+AL404+主线推图!M87+IFERROR(_xlfn.XLOOKUP((B85-6)/10,组队产出!$B$4:$B$19,组队产出!$L$4:$L$19),0)</f>
        <v>1800</v>
      </c>
      <c r="H85" s="23">
        <f t="shared" si="19"/>
        <v>500</v>
      </c>
      <c r="I85" s="23">
        <f t="shared" si="20"/>
        <v>0</v>
      </c>
      <c r="J85" s="23">
        <f t="shared" si="21"/>
        <v>0</v>
      </c>
      <c r="K85" s="23">
        <f t="shared" si="22"/>
        <v>5</v>
      </c>
      <c r="L85" s="48">
        <f t="shared" si="13"/>
        <v>0</v>
      </c>
      <c r="M85" s="48">
        <f t="shared" si="14"/>
        <v>30</v>
      </c>
      <c r="N85" s="23">
        <f t="shared" si="23"/>
        <v>150</v>
      </c>
      <c r="O85" s="48">
        <f t="shared" si="15"/>
        <v>0</v>
      </c>
    </row>
    <row r="86" spans="2:15">
      <c r="B86" s="23">
        <v>85</v>
      </c>
      <c r="C86" s="23">
        <f t="shared" si="16"/>
        <v>750</v>
      </c>
      <c r="D86" s="23">
        <f t="shared" si="17"/>
        <v>40</v>
      </c>
      <c r="E86" s="48">
        <f t="shared" si="18"/>
        <v>0</v>
      </c>
      <c r="F86" s="48">
        <f t="shared" si="12"/>
        <v>1</v>
      </c>
      <c r="G86" s="48">
        <f>L405+X405+AL405+主线推图!M88+IFERROR(_xlfn.XLOOKUP((B86-6)/10,组队产出!$B$4:$B$19,组队产出!$L$4:$L$19),0)</f>
        <v>1800</v>
      </c>
      <c r="H86" s="23">
        <f t="shared" si="19"/>
        <v>500</v>
      </c>
      <c r="I86" s="23">
        <f t="shared" si="20"/>
        <v>0</v>
      </c>
      <c r="J86" s="23">
        <f t="shared" si="21"/>
        <v>1</v>
      </c>
      <c r="K86" s="23">
        <f t="shared" si="22"/>
        <v>5</v>
      </c>
      <c r="L86" s="48">
        <f t="shared" si="13"/>
        <v>3</v>
      </c>
      <c r="M86" s="48">
        <f t="shared" si="14"/>
        <v>0</v>
      </c>
      <c r="N86" s="23">
        <f t="shared" si="23"/>
        <v>150</v>
      </c>
      <c r="O86" s="48">
        <f t="shared" si="15"/>
        <v>0</v>
      </c>
    </row>
    <row r="87" spans="2:15">
      <c r="B87" s="23">
        <v>86</v>
      </c>
      <c r="C87" s="23">
        <f t="shared" si="16"/>
        <v>750</v>
      </c>
      <c r="D87" s="23">
        <f t="shared" si="17"/>
        <v>40</v>
      </c>
      <c r="E87" s="48">
        <f t="shared" si="18"/>
        <v>5</v>
      </c>
      <c r="F87" s="48">
        <f t="shared" si="12"/>
        <v>0</v>
      </c>
      <c r="G87" s="48">
        <f>L406+X406+AL406+主线推图!M89+IFERROR(_xlfn.XLOOKUP((B87-6)/10,组队产出!$B$4:$B$19,组队产出!$L$4:$L$19),0)</f>
        <v>10800</v>
      </c>
      <c r="H87" s="23">
        <f t="shared" si="19"/>
        <v>500</v>
      </c>
      <c r="I87" s="23">
        <f t="shared" si="20"/>
        <v>0</v>
      </c>
      <c r="J87" s="23">
        <f t="shared" si="21"/>
        <v>0</v>
      </c>
      <c r="K87" s="23">
        <f t="shared" si="22"/>
        <v>5</v>
      </c>
      <c r="L87" s="48">
        <f t="shared" si="13"/>
        <v>0</v>
      </c>
      <c r="M87" s="48">
        <f t="shared" si="14"/>
        <v>30</v>
      </c>
      <c r="N87" s="23">
        <f t="shared" si="23"/>
        <v>150</v>
      </c>
      <c r="O87" s="48">
        <f t="shared" si="15"/>
        <v>2</v>
      </c>
    </row>
    <row r="88" spans="2:15">
      <c r="B88" s="23">
        <v>87</v>
      </c>
      <c r="C88" s="23">
        <f t="shared" si="16"/>
        <v>750</v>
      </c>
      <c r="D88" s="23">
        <f t="shared" si="17"/>
        <v>40</v>
      </c>
      <c r="E88" s="48">
        <f t="shared" si="18"/>
        <v>5</v>
      </c>
      <c r="F88" s="48">
        <f t="shared" si="12"/>
        <v>0</v>
      </c>
      <c r="G88" s="48">
        <f>L407+X407+AL407+主线推图!M90+IFERROR(_xlfn.XLOOKUP((B88-6)/10,组队产出!$B$4:$B$19,组队产出!$L$4:$L$19),0)</f>
        <v>1800</v>
      </c>
      <c r="H88" s="23">
        <f t="shared" si="19"/>
        <v>500</v>
      </c>
      <c r="I88" s="23">
        <f t="shared" si="20"/>
        <v>0</v>
      </c>
      <c r="J88" s="23">
        <f t="shared" si="21"/>
        <v>0</v>
      </c>
      <c r="K88" s="23">
        <f t="shared" si="22"/>
        <v>5</v>
      </c>
      <c r="L88" s="48">
        <f t="shared" si="13"/>
        <v>0</v>
      </c>
      <c r="M88" s="48">
        <f t="shared" si="14"/>
        <v>30</v>
      </c>
      <c r="N88" s="23">
        <f t="shared" si="23"/>
        <v>150</v>
      </c>
      <c r="O88" s="48">
        <f t="shared" si="15"/>
        <v>0</v>
      </c>
    </row>
    <row r="89" spans="2:15">
      <c r="B89" s="23">
        <v>88</v>
      </c>
      <c r="C89" s="23">
        <f t="shared" si="16"/>
        <v>750</v>
      </c>
      <c r="D89" s="23">
        <f t="shared" si="17"/>
        <v>40</v>
      </c>
      <c r="E89" s="48">
        <f t="shared" si="18"/>
        <v>5</v>
      </c>
      <c r="F89" s="48">
        <f t="shared" si="12"/>
        <v>0</v>
      </c>
      <c r="G89" s="48">
        <f>L408+X408+AL408+主线推图!M91+IFERROR(_xlfn.XLOOKUP((B89-6)/10,组队产出!$B$4:$B$19,组队产出!$L$4:$L$19),0)</f>
        <v>1800</v>
      </c>
      <c r="H89" s="23">
        <f t="shared" si="19"/>
        <v>500</v>
      </c>
      <c r="I89" s="23">
        <f t="shared" si="20"/>
        <v>0</v>
      </c>
      <c r="J89" s="23">
        <f t="shared" si="21"/>
        <v>0</v>
      </c>
      <c r="K89" s="23">
        <f t="shared" si="22"/>
        <v>5</v>
      </c>
      <c r="L89" s="48">
        <f t="shared" si="13"/>
        <v>0</v>
      </c>
      <c r="M89" s="48">
        <f t="shared" si="14"/>
        <v>30</v>
      </c>
      <c r="N89" s="23">
        <f t="shared" si="23"/>
        <v>150</v>
      </c>
      <c r="O89" s="48">
        <f t="shared" si="15"/>
        <v>0</v>
      </c>
    </row>
    <row r="90" spans="2:15">
      <c r="B90" s="23">
        <v>89</v>
      </c>
      <c r="C90" s="23">
        <f t="shared" si="16"/>
        <v>750</v>
      </c>
      <c r="D90" s="23">
        <f t="shared" si="17"/>
        <v>40</v>
      </c>
      <c r="E90" s="48">
        <f t="shared" si="18"/>
        <v>5</v>
      </c>
      <c r="F90" s="48">
        <f t="shared" si="12"/>
        <v>0</v>
      </c>
      <c r="G90" s="48">
        <f>L409+X409+AL409+主线推图!M92+IFERROR(_xlfn.XLOOKUP((B90-6)/10,组队产出!$B$4:$B$19,组队产出!$L$4:$L$19),0)</f>
        <v>1800</v>
      </c>
      <c r="H90" s="23">
        <f t="shared" si="19"/>
        <v>500</v>
      </c>
      <c r="I90" s="23">
        <f t="shared" si="20"/>
        <v>0</v>
      </c>
      <c r="J90" s="23">
        <f t="shared" si="21"/>
        <v>0</v>
      </c>
      <c r="K90" s="23">
        <f t="shared" si="22"/>
        <v>5</v>
      </c>
      <c r="L90" s="48">
        <f t="shared" si="13"/>
        <v>0</v>
      </c>
      <c r="M90" s="48">
        <f t="shared" si="14"/>
        <v>30</v>
      </c>
      <c r="N90" s="23">
        <f t="shared" si="23"/>
        <v>150</v>
      </c>
      <c r="O90" s="48">
        <f t="shared" si="15"/>
        <v>0</v>
      </c>
    </row>
    <row r="91" spans="2:15">
      <c r="B91" s="23">
        <v>90</v>
      </c>
      <c r="C91" s="23">
        <f t="shared" si="16"/>
        <v>750</v>
      </c>
      <c r="D91" s="23">
        <f t="shared" si="17"/>
        <v>40</v>
      </c>
      <c r="E91" s="48">
        <f t="shared" si="18"/>
        <v>0</v>
      </c>
      <c r="F91" s="48">
        <f t="shared" si="12"/>
        <v>1</v>
      </c>
      <c r="G91" s="48">
        <f>L410+X410+AL410+主线推图!M93+IFERROR(_xlfn.XLOOKUP((B91-6)/10,组队产出!$B$4:$B$19,组队产出!$L$4:$L$19),0)</f>
        <v>1800</v>
      </c>
      <c r="H91" s="23">
        <f t="shared" si="19"/>
        <v>500</v>
      </c>
      <c r="I91" s="23">
        <f t="shared" si="20"/>
        <v>0</v>
      </c>
      <c r="J91" s="23">
        <f t="shared" si="21"/>
        <v>1</v>
      </c>
      <c r="K91" s="23">
        <f t="shared" si="22"/>
        <v>5</v>
      </c>
      <c r="L91" s="48">
        <f t="shared" si="13"/>
        <v>3</v>
      </c>
      <c r="M91" s="48">
        <f t="shared" si="14"/>
        <v>0</v>
      </c>
      <c r="N91" s="23">
        <f t="shared" si="23"/>
        <v>150</v>
      </c>
      <c r="O91" s="48">
        <f t="shared" si="15"/>
        <v>0</v>
      </c>
    </row>
    <row r="92" spans="2:15">
      <c r="B92" s="23">
        <v>91</v>
      </c>
      <c r="C92" s="23">
        <f t="shared" si="16"/>
        <v>750</v>
      </c>
      <c r="D92" s="23">
        <f t="shared" si="17"/>
        <v>40</v>
      </c>
      <c r="E92" s="48">
        <f t="shared" si="18"/>
        <v>5</v>
      </c>
      <c r="F92" s="48">
        <f t="shared" si="12"/>
        <v>0</v>
      </c>
      <c r="G92" s="48">
        <f>L411+X411+AL411+主线推图!M94+IFERROR(_xlfn.XLOOKUP((B92-6)/10,组队产出!$B$4:$B$19,组队产出!$L$4:$L$19),0)</f>
        <v>1800</v>
      </c>
      <c r="H92" s="23">
        <f t="shared" si="19"/>
        <v>500</v>
      </c>
      <c r="I92" s="23">
        <f t="shared" si="20"/>
        <v>0</v>
      </c>
      <c r="J92" s="23">
        <f t="shared" si="21"/>
        <v>0</v>
      </c>
      <c r="K92" s="23">
        <f t="shared" si="22"/>
        <v>5</v>
      </c>
      <c r="L92" s="48">
        <f t="shared" si="13"/>
        <v>0</v>
      </c>
      <c r="M92" s="48">
        <f t="shared" si="14"/>
        <v>30</v>
      </c>
      <c r="N92" s="23">
        <f t="shared" si="23"/>
        <v>150</v>
      </c>
      <c r="O92" s="48">
        <f t="shared" si="15"/>
        <v>0</v>
      </c>
    </row>
    <row r="93" spans="2:15">
      <c r="B93" s="23">
        <v>92</v>
      </c>
      <c r="C93" s="23">
        <f t="shared" si="16"/>
        <v>750</v>
      </c>
      <c r="D93" s="23">
        <f t="shared" si="17"/>
        <v>40</v>
      </c>
      <c r="E93" s="48">
        <f t="shared" si="18"/>
        <v>5</v>
      </c>
      <c r="F93" s="48">
        <f t="shared" si="12"/>
        <v>0</v>
      </c>
      <c r="G93" s="48">
        <f>L412+X412+AL412+主线推图!M95+IFERROR(_xlfn.XLOOKUP((B93-6)/10,组队产出!$B$4:$B$19,组队产出!$L$4:$L$19),0)</f>
        <v>1800</v>
      </c>
      <c r="H93" s="23">
        <f t="shared" si="19"/>
        <v>500</v>
      </c>
      <c r="I93" s="23">
        <f t="shared" si="20"/>
        <v>0</v>
      </c>
      <c r="J93" s="23">
        <f t="shared" si="21"/>
        <v>0</v>
      </c>
      <c r="K93" s="23">
        <f t="shared" si="22"/>
        <v>5</v>
      </c>
      <c r="L93" s="48">
        <f t="shared" si="13"/>
        <v>0</v>
      </c>
      <c r="M93" s="48">
        <f t="shared" si="14"/>
        <v>30</v>
      </c>
      <c r="N93" s="23">
        <f t="shared" si="23"/>
        <v>150</v>
      </c>
      <c r="O93" s="48">
        <f t="shared" si="15"/>
        <v>0</v>
      </c>
    </row>
    <row r="94" spans="2:15">
      <c r="B94" s="23">
        <v>93</v>
      </c>
      <c r="C94" s="23">
        <f t="shared" si="16"/>
        <v>750</v>
      </c>
      <c r="D94" s="23">
        <f t="shared" si="17"/>
        <v>40</v>
      </c>
      <c r="E94" s="48">
        <f t="shared" si="18"/>
        <v>5</v>
      </c>
      <c r="F94" s="48">
        <f t="shared" si="12"/>
        <v>0</v>
      </c>
      <c r="G94" s="48">
        <f>L413+X413+AL413+主线推图!M96+IFERROR(_xlfn.XLOOKUP((B94-6)/10,组队产出!$B$4:$B$19,组队产出!$L$4:$L$19),0)</f>
        <v>1800</v>
      </c>
      <c r="H94" s="23">
        <f t="shared" si="19"/>
        <v>500</v>
      </c>
      <c r="I94" s="23">
        <f t="shared" si="20"/>
        <v>0</v>
      </c>
      <c r="J94" s="23">
        <f t="shared" si="21"/>
        <v>0</v>
      </c>
      <c r="K94" s="23">
        <f t="shared" si="22"/>
        <v>5</v>
      </c>
      <c r="L94" s="48">
        <f t="shared" si="13"/>
        <v>0</v>
      </c>
      <c r="M94" s="48">
        <f t="shared" si="14"/>
        <v>30</v>
      </c>
      <c r="N94" s="23">
        <f t="shared" si="23"/>
        <v>150</v>
      </c>
      <c r="O94" s="48">
        <f t="shared" si="15"/>
        <v>0</v>
      </c>
    </row>
    <row r="95" spans="2:15">
      <c r="B95" s="23">
        <v>94</v>
      </c>
      <c r="C95" s="23">
        <f t="shared" si="16"/>
        <v>750</v>
      </c>
      <c r="D95" s="23">
        <f t="shared" si="17"/>
        <v>40</v>
      </c>
      <c r="E95" s="48">
        <f t="shared" si="18"/>
        <v>5</v>
      </c>
      <c r="F95" s="48">
        <f t="shared" si="12"/>
        <v>0</v>
      </c>
      <c r="G95" s="48">
        <f>L414+X414+AL414+主线推图!M97+IFERROR(_xlfn.XLOOKUP((B95-6)/10,组队产出!$B$4:$B$19,组队产出!$L$4:$L$19),0)</f>
        <v>1800</v>
      </c>
      <c r="H95" s="23">
        <f t="shared" si="19"/>
        <v>500</v>
      </c>
      <c r="I95" s="23">
        <f t="shared" si="20"/>
        <v>0</v>
      </c>
      <c r="J95" s="23">
        <f t="shared" si="21"/>
        <v>0</v>
      </c>
      <c r="K95" s="23">
        <f t="shared" si="22"/>
        <v>5</v>
      </c>
      <c r="L95" s="48">
        <f t="shared" si="13"/>
        <v>0</v>
      </c>
      <c r="M95" s="48">
        <f t="shared" si="14"/>
        <v>30</v>
      </c>
      <c r="N95" s="23">
        <f t="shared" si="23"/>
        <v>150</v>
      </c>
      <c r="O95" s="48">
        <f t="shared" si="15"/>
        <v>0</v>
      </c>
    </row>
    <row r="96" spans="2:15">
      <c r="B96" s="23">
        <v>95</v>
      </c>
      <c r="C96" s="23">
        <f t="shared" si="16"/>
        <v>750</v>
      </c>
      <c r="D96" s="23">
        <f t="shared" si="17"/>
        <v>40</v>
      </c>
      <c r="E96" s="48">
        <f t="shared" si="18"/>
        <v>0</v>
      </c>
      <c r="F96" s="48">
        <f t="shared" si="12"/>
        <v>1</v>
      </c>
      <c r="G96" s="48">
        <f>L415+X415+AL415+主线推图!M98+IFERROR(_xlfn.XLOOKUP((B96-6)/10,组队产出!$B$4:$B$19,组队产出!$L$4:$L$19),0)</f>
        <v>1800</v>
      </c>
      <c r="H96" s="23">
        <f t="shared" si="19"/>
        <v>500</v>
      </c>
      <c r="I96" s="23">
        <f t="shared" si="20"/>
        <v>0</v>
      </c>
      <c r="J96" s="23">
        <f t="shared" si="21"/>
        <v>1</v>
      </c>
      <c r="K96" s="23">
        <f t="shared" si="22"/>
        <v>5</v>
      </c>
      <c r="L96" s="48">
        <f t="shared" si="13"/>
        <v>3</v>
      </c>
      <c r="M96" s="48">
        <f t="shared" si="14"/>
        <v>0</v>
      </c>
      <c r="N96" s="23">
        <f t="shared" si="23"/>
        <v>150</v>
      </c>
      <c r="O96" s="48">
        <f t="shared" si="15"/>
        <v>0</v>
      </c>
    </row>
    <row r="97" spans="2:15">
      <c r="B97" s="23">
        <v>96</v>
      </c>
      <c r="C97" s="23">
        <f t="shared" si="16"/>
        <v>750</v>
      </c>
      <c r="D97" s="23">
        <f t="shared" si="17"/>
        <v>40</v>
      </c>
      <c r="E97" s="48">
        <f t="shared" si="18"/>
        <v>15</v>
      </c>
      <c r="F97" s="48">
        <f t="shared" si="12"/>
        <v>0</v>
      </c>
      <c r="G97" s="48">
        <f>L416+X416+AL416+主线推图!M99+IFERROR(_xlfn.XLOOKUP((B97-6)/10,组队产出!$B$4:$B$19,组队产出!$L$4:$L$19),0)</f>
        <v>12300</v>
      </c>
      <c r="H97" s="23">
        <f t="shared" si="19"/>
        <v>500</v>
      </c>
      <c r="I97" s="23">
        <f t="shared" si="20"/>
        <v>0</v>
      </c>
      <c r="J97" s="23">
        <f t="shared" si="21"/>
        <v>0</v>
      </c>
      <c r="K97" s="23">
        <f t="shared" si="22"/>
        <v>5</v>
      </c>
      <c r="L97" s="48">
        <f t="shared" si="13"/>
        <v>0</v>
      </c>
      <c r="M97" s="48">
        <f t="shared" si="14"/>
        <v>30</v>
      </c>
      <c r="N97" s="23">
        <f t="shared" si="23"/>
        <v>150</v>
      </c>
      <c r="O97" s="48">
        <f t="shared" si="15"/>
        <v>0</v>
      </c>
    </row>
    <row r="98" spans="2:15">
      <c r="B98" s="23">
        <v>97</v>
      </c>
      <c r="C98" s="23">
        <f t="shared" si="16"/>
        <v>750</v>
      </c>
      <c r="D98" s="23">
        <f t="shared" si="17"/>
        <v>40</v>
      </c>
      <c r="E98" s="48">
        <f t="shared" si="18"/>
        <v>5</v>
      </c>
      <c r="F98" s="48">
        <f t="shared" si="12"/>
        <v>0</v>
      </c>
      <c r="G98" s="48">
        <f>L417+X417+AL417+主线推图!M100+IFERROR(_xlfn.XLOOKUP((B98-6)/10,组队产出!$B$4:$B$19,组队产出!$L$4:$L$19),0)</f>
        <v>1800</v>
      </c>
      <c r="H98" s="23">
        <f t="shared" si="19"/>
        <v>500</v>
      </c>
      <c r="I98" s="23">
        <f t="shared" si="20"/>
        <v>0</v>
      </c>
      <c r="J98" s="23">
        <f t="shared" si="21"/>
        <v>0</v>
      </c>
      <c r="K98" s="23">
        <f t="shared" si="22"/>
        <v>5</v>
      </c>
      <c r="L98" s="48">
        <f t="shared" si="13"/>
        <v>0</v>
      </c>
      <c r="M98" s="48">
        <f t="shared" si="14"/>
        <v>30</v>
      </c>
      <c r="N98" s="23">
        <f t="shared" si="23"/>
        <v>150</v>
      </c>
      <c r="O98" s="48">
        <f t="shared" si="15"/>
        <v>0</v>
      </c>
    </row>
    <row r="99" spans="2:15">
      <c r="B99" s="23">
        <v>98</v>
      </c>
      <c r="C99" s="23">
        <f t="shared" si="16"/>
        <v>750</v>
      </c>
      <c r="D99" s="23">
        <f t="shared" si="17"/>
        <v>40</v>
      </c>
      <c r="E99" s="48">
        <f t="shared" si="18"/>
        <v>5</v>
      </c>
      <c r="F99" s="48">
        <f t="shared" si="12"/>
        <v>0</v>
      </c>
      <c r="G99" s="48">
        <f>L418+X418+AL418+主线推图!M101+IFERROR(_xlfn.XLOOKUP((B99-6)/10,组队产出!$B$4:$B$19,组队产出!$L$4:$L$19),0)</f>
        <v>1800</v>
      </c>
      <c r="H99" s="23">
        <f t="shared" si="19"/>
        <v>500</v>
      </c>
      <c r="I99" s="23">
        <f t="shared" si="20"/>
        <v>0</v>
      </c>
      <c r="J99" s="23">
        <f t="shared" si="21"/>
        <v>0</v>
      </c>
      <c r="K99" s="23">
        <f t="shared" si="22"/>
        <v>5</v>
      </c>
      <c r="L99" s="48">
        <f t="shared" si="13"/>
        <v>0</v>
      </c>
      <c r="M99" s="48">
        <f t="shared" si="14"/>
        <v>30</v>
      </c>
      <c r="N99" s="23">
        <f t="shared" si="23"/>
        <v>150</v>
      </c>
      <c r="O99" s="48">
        <f t="shared" si="15"/>
        <v>0</v>
      </c>
    </row>
    <row r="100" spans="2:15">
      <c r="B100" s="23">
        <v>99</v>
      </c>
      <c r="C100" s="23">
        <f t="shared" si="16"/>
        <v>750</v>
      </c>
      <c r="D100" s="23">
        <f t="shared" si="17"/>
        <v>40</v>
      </c>
      <c r="E100" s="48">
        <f t="shared" si="18"/>
        <v>5</v>
      </c>
      <c r="F100" s="48">
        <f t="shared" si="12"/>
        <v>0</v>
      </c>
      <c r="G100" s="48">
        <f>L419+X419+AL419+主线推图!M102+IFERROR(_xlfn.XLOOKUP((B100-6)/10,组队产出!$B$4:$B$19,组队产出!$L$4:$L$19),0)</f>
        <v>1800</v>
      </c>
      <c r="H100" s="23">
        <f t="shared" si="19"/>
        <v>500</v>
      </c>
      <c r="I100" s="23">
        <f t="shared" si="20"/>
        <v>0</v>
      </c>
      <c r="J100" s="23">
        <f t="shared" si="21"/>
        <v>0</v>
      </c>
      <c r="K100" s="23">
        <f t="shared" si="22"/>
        <v>5</v>
      </c>
      <c r="L100" s="48">
        <f t="shared" si="13"/>
        <v>0</v>
      </c>
      <c r="M100" s="48">
        <f t="shared" si="14"/>
        <v>30</v>
      </c>
      <c r="N100" s="23">
        <f t="shared" si="23"/>
        <v>150</v>
      </c>
      <c r="O100" s="48">
        <f t="shared" si="15"/>
        <v>0</v>
      </c>
    </row>
    <row r="101" spans="2:15">
      <c r="B101" s="23">
        <v>100</v>
      </c>
      <c r="C101" s="23">
        <f t="shared" si="16"/>
        <v>750</v>
      </c>
      <c r="D101" s="23">
        <f t="shared" si="17"/>
        <v>40</v>
      </c>
      <c r="E101" s="48">
        <f t="shared" si="18"/>
        <v>0</v>
      </c>
      <c r="F101" s="48">
        <f t="shared" si="12"/>
        <v>1</v>
      </c>
      <c r="G101" s="48">
        <f>L420+X420+AL420+主线推图!M103+IFERROR(_xlfn.XLOOKUP((B101-6)/10,组队产出!$B$4:$B$19,组队产出!$L$4:$L$19),0)</f>
        <v>1800</v>
      </c>
      <c r="H101" s="23">
        <f t="shared" si="19"/>
        <v>500</v>
      </c>
      <c r="I101" s="23">
        <f t="shared" si="20"/>
        <v>0</v>
      </c>
      <c r="J101" s="23">
        <f t="shared" si="21"/>
        <v>1</v>
      </c>
      <c r="K101" s="23">
        <f t="shared" si="22"/>
        <v>5</v>
      </c>
      <c r="L101" s="48">
        <f t="shared" si="13"/>
        <v>3</v>
      </c>
      <c r="M101" s="48">
        <f t="shared" si="14"/>
        <v>0</v>
      </c>
      <c r="N101" s="23">
        <f t="shared" si="23"/>
        <v>150</v>
      </c>
      <c r="O101" s="48">
        <f t="shared" si="15"/>
        <v>0</v>
      </c>
    </row>
    <row r="102" spans="2:15">
      <c r="B102" s="23">
        <v>101</v>
      </c>
      <c r="C102" s="23">
        <f t="shared" si="16"/>
        <v>750</v>
      </c>
      <c r="D102" s="23">
        <f t="shared" si="17"/>
        <v>40</v>
      </c>
      <c r="E102" s="48">
        <f t="shared" si="18"/>
        <v>5</v>
      </c>
      <c r="F102" s="48">
        <f t="shared" si="12"/>
        <v>0</v>
      </c>
      <c r="G102" s="48">
        <f>L421+X421+AL421+主线推图!M104+IFERROR(_xlfn.XLOOKUP((B102-6)/10,组队产出!$B$4:$B$19,组队产出!$L$4:$L$19),0)</f>
        <v>1800</v>
      </c>
      <c r="H102" s="23">
        <f t="shared" si="19"/>
        <v>500</v>
      </c>
      <c r="I102" s="23">
        <f t="shared" si="20"/>
        <v>0</v>
      </c>
      <c r="J102" s="23">
        <f t="shared" si="21"/>
        <v>0</v>
      </c>
      <c r="K102" s="23">
        <f t="shared" si="22"/>
        <v>5</v>
      </c>
      <c r="L102" s="48">
        <f t="shared" si="13"/>
        <v>0</v>
      </c>
      <c r="M102" s="48">
        <f t="shared" si="14"/>
        <v>30</v>
      </c>
      <c r="N102" s="23">
        <f t="shared" si="23"/>
        <v>150</v>
      </c>
      <c r="O102" s="48">
        <f t="shared" si="15"/>
        <v>0</v>
      </c>
    </row>
    <row r="103" spans="2:15">
      <c r="B103" s="23">
        <v>102</v>
      </c>
      <c r="C103" s="23">
        <f t="shared" si="16"/>
        <v>750</v>
      </c>
      <c r="D103" s="23">
        <f t="shared" si="17"/>
        <v>40</v>
      </c>
      <c r="E103" s="48">
        <f t="shared" si="18"/>
        <v>5</v>
      </c>
      <c r="F103" s="48">
        <f t="shared" si="12"/>
        <v>0</v>
      </c>
      <c r="G103" s="48">
        <f>L422+X422+AL422+主线推图!M105+IFERROR(_xlfn.XLOOKUP((B103-6)/10,组队产出!$B$4:$B$19,组队产出!$L$4:$L$19),0)</f>
        <v>1800</v>
      </c>
      <c r="H103" s="23">
        <f t="shared" si="19"/>
        <v>500</v>
      </c>
      <c r="I103" s="23">
        <f t="shared" si="20"/>
        <v>0</v>
      </c>
      <c r="J103" s="23">
        <f t="shared" si="21"/>
        <v>0</v>
      </c>
      <c r="K103" s="23">
        <f t="shared" si="22"/>
        <v>5</v>
      </c>
      <c r="L103" s="48">
        <f t="shared" si="13"/>
        <v>0</v>
      </c>
      <c r="M103" s="48">
        <f t="shared" si="14"/>
        <v>30</v>
      </c>
      <c r="N103" s="23">
        <f t="shared" si="23"/>
        <v>150</v>
      </c>
      <c r="O103" s="48">
        <f t="shared" si="15"/>
        <v>0</v>
      </c>
    </row>
    <row r="104" spans="2:15">
      <c r="B104" s="23">
        <v>103</v>
      </c>
      <c r="C104" s="23">
        <f t="shared" si="16"/>
        <v>750</v>
      </c>
      <c r="D104" s="23">
        <f t="shared" si="17"/>
        <v>40</v>
      </c>
      <c r="E104" s="48">
        <f t="shared" si="18"/>
        <v>5</v>
      </c>
      <c r="F104" s="48">
        <f t="shared" si="12"/>
        <v>0</v>
      </c>
      <c r="G104" s="48">
        <f>L423+X423+AL423+主线推图!M106+IFERROR(_xlfn.XLOOKUP((B104-6)/10,组队产出!$B$4:$B$19,组队产出!$L$4:$L$19),0)</f>
        <v>1800</v>
      </c>
      <c r="H104" s="23">
        <f t="shared" si="19"/>
        <v>500</v>
      </c>
      <c r="I104" s="23">
        <f t="shared" si="20"/>
        <v>0</v>
      </c>
      <c r="J104" s="23">
        <f t="shared" si="21"/>
        <v>0</v>
      </c>
      <c r="K104" s="23">
        <f t="shared" si="22"/>
        <v>5</v>
      </c>
      <c r="L104" s="48">
        <f t="shared" si="13"/>
        <v>0</v>
      </c>
      <c r="M104" s="48">
        <f t="shared" si="14"/>
        <v>30</v>
      </c>
      <c r="N104" s="23">
        <f t="shared" si="23"/>
        <v>150</v>
      </c>
      <c r="O104" s="48">
        <f t="shared" si="15"/>
        <v>0</v>
      </c>
    </row>
    <row r="105" spans="2:15">
      <c r="B105" s="23">
        <v>104</v>
      </c>
      <c r="C105" s="23">
        <f t="shared" si="16"/>
        <v>750</v>
      </c>
      <c r="D105" s="23">
        <f t="shared" si="17"/>
        <v>40</v>
      </c>
      <c r="E105" s="48">
        <f t="shared" si="18"/>
        <v>5</v>
      </c>
      <c r="F105" s="48">
        <f t="shared" si="12"/>
        <v>0</v>
      </c>
      <c r="G105" s="48">
        <f>L424+X424+AL424+主线推图!M107+IFERROR(_xlfn.XLOOKUP((B105-6)/10,组队产出!$B$4:$B$19,组队产出!$L$4:$L$19),0)</f>
        <v>1800</v>
      </c>
      <c r="H105" s="23">
        <f t="shared" si="19"/>
        <v>500</v>
      </c>
      <c r="I105" s="23">
        <f t="shared" si="20"/>
        <v>0</v>
      </c>
      <c r="J105" s="23">
        <f t="shared" si="21"/>
        <v>0</v>
      </c>
      <c r="K105" s="23">
        <f t="shared" si="22"/>
        <v>5</v>
      </c>
      <c r="L105" s="48">
        <f t="shared" si="13"/>
        <v>0</v>
      </c>
      <c r="M105" s="48">
        <f t="shared" si="14"/>
        <v>30</v>
      </c>
      <c r="N105" s="23">
        <f t="shared" si="23"/>
        <v>150</v>
      </c>
      <c r="O105" s="48">
        <f t="shared" si="15"/>
        <v>0</v>
      </c>
    </row>
    <row r="106" spans="2:15">
      <c r="B106" s="23">
        <v>105</v>
      </c>
      <c r="C106" s="23">
        <f t="shared" si="16"/>
        <v>750</v>
      </c>
      <c r="D106" s="23">
        <f t="shared" si="17"/>
        <v>40</v>
      </c>
      <c r="E106" s="48">
        <f t="shared" si="18"/>
        <v>0</v>
      </c>
      <c r="F106" s="48">
        <f t="shared" si="12"/>
        <v>1</v>
      </c>
      <c r="G106" s="48">
        <f>L425+X425+AL425+主线推图!M108+IFERROR(_xlfn.XLOOKUP((B106-6)/10,组队产出!$B$4:$B$19,组队产出!$L$4:$L$19),0)</f>
        <v>1800</v>
      </c>
      <c r="H106" s="23">
        <f t="shared" si="19"/>
        <v>500</v>
      </c>
      <c r="I106" s="23">
        <f t="shared" si="20"/>
        <v>0</v>
      </c>
      <c r="J106" s="23">
        <f t="shared" si="21"/>
        <v>1</v>
      </c>
      <c r="K106" s="23">
        <f t="shared" si="22"/>
        <v>5</v>
      </c>
      <c r="L106" s="48">
        <f t="shared" si="13"/>
        <v>3</v>
      </c>
      <c r="M106" s="48">
        <f t="shared" si="14"/>
        <v>0</v>
      </c>
      <c r="N106" s="23">
        <f t="shared" si="23"/>
        <v>150</v>
      </c>
      <c r="O106" s="48">
        <f t="shared" si="15"/>
        <v>0</v>
      </c>
    </row>
    <row r="107" spans="2:15">
      <c r="B107" s="23">
        <v>106</v>
      </c>
      <c r="C107" s="23">
        <f t="shared" si="16"/>
        <v>750</v>
      </c>
      <c r="D107" s="23">
        <f t="shared" si="17"/>
        <v>40</v>
      </c>
      <c r="E107" s="48">
        <f t="shared" si="18"/>
        <v>5</v>
      </c>
      <c r="F107" s="48">
        <f t="shared" si="12"/>
        <v>0</v>
      </c>
      <c r="G107" s="48">
        <f>L426+X426+AL426+主线推图!M109+IFERROR(_xlfn.XLOOKUP((B107-6)/10,组队产出!$B$4:$B$19,组队产出!$L$4:$L$19),0)</f>
        <v>12300</v>
      </c>
      <c r="H107" s="23">
        <f t="shared" si="19"/>
        <v>500</v>
      </c>
      <c r="I107" s="23">
        <f t="shared" si="20"/>
        <v>0</v>
      </c>
      <c r="J107" s="23">
        <f t="shared" si="21"/>
        <v>0</v>
      </c>
      <c r="K107" s="23">
        <f t="shared" si="22"/>
        <v>5</v>
      </c>
      <c r="L107" s="48">
        <f t="shared" si="13"/>
        <v>0</v>
      </c>
      <c r="M107" s="48">
        <f t="shared" si="14"/>
        <v>30</v>
      </c>
      <c r="N107" s="23">
        <f t="shared" si="23"/>
        <v>150</v>
      </c>
      <c r="O107" s="48">
        <f t="shared" si="15"/>
        <v>2</v>
      </c>
    </row>
    <row r="108" spans="2:15">
      <c r="B108" s="23">
        <v>107</v>
      </c>
      <c r="C108" s="23">
        <f t="shared" si="16"/>
        <v>750</v>
      </c>
      <c r="D108" s="23">
        <f t="shared" si="17"/>
        <v>40</v>
      </c>
      <c r="E108" s="48">
        <f t="shared" si="18"/>
        <v>5</v>
      </c>
      <c r="F108" s="48">
        <f t="shared" si="12"/>
        <v>0</v>
      </c>
      <c r="G108" s="48">
        <f>L427+X427+AL427+主线推图!M110+IFERROR(_xlfn.XLOOKUP((B108-6)/10,组队产出!$B$4:$B$19,组队产出!$L$4:$L$19),0)</f>
        <v>1800</v>
      </c>
      <c r="H108" s="23">
        <f t="shared" si="19"/>
        <v>500</v>
      </c>
      <c r="I108" s="23">
        <f t="shared" si="20"/>
        <v>0</v>
      </c>
      <c r="J108" s="23">
        <f t="shared" si="21"/>
        <v>0</v>
      </c>
      <c r="K108" s="23">
        <f t="shared" si="22"/>
        <v>5</v>
      </c>
      <c r="L108" s="48">
        <f t="shared" si="13"/>
        <v>0</v>
      </c>
      <c r="M108" s="48">
        <f t="shared" si="14"/>
        <v>30</v>
      </c>
      <c r="N108" s="23">
        <f t="shared" si="23"/>
        <v>150</v>
      </c>
      <c r="O108" s="48">
        <f t="shared" si="15"/>
        <v>0</v>
      </c>
    </row>
    <row r="109" spans="2:15">
      <c r="B109" s="23">
        <v>108</v>
      </c>
      <c r="C109" s="23">
        <f t="shared" si="16"/>
        <v>750</v>
      </c>
      <c r="D109" s="23">
        <f t="shared" si="17"/>
        <v>40</v>
      </c>
      <c r="E109" s="48">
        <f t="shared" si="18"/>
        <v>5</v>
      </c>
      <c r="F109" s="48">
        <f t="shared" si="12"/>
        <v>0</v>
      </c>
      <c r="G109" s="48">
        <f>L428+X428+AL428+主线推图!M111+IFERROR(_xlfn.XLOOKUP((B109-6)/10,组队产出!$B$4:$B$19,组队产出!$L$4:$L$19),0)</f>
        <v>1800</v>
      </c>
      <c r="H109" s="23">
        <f t="shared" si="19"/>
        <v>500</v>
      </c>
      <c r="I109" s="23">
        <f t="shared" si="20"/>
        <v>0</v>
      </c>
      <c r="J109" s="23">
        <f t="shared" si="21"/>
        <v>0</v>
      </c>
      <c r="K109" s="23">
        <f t="shared" si="22"/>
        <v>5</v>
      </c>
      <c r="L109" s="48">
        <f t="shared" si="13"/>
        <v>0</v>
      </c>
      <c r="M109" s="48">
        <f t="shared" si="14"/>
        <v>30</v>
      </c>
      <c r="N109" s="23">
        <f t="shared" si="23"/>
        <v>150</v>
      </c>
      <c r="O109" s="48">
        <f t="shared" si="15"/>
        <v>0</v>
      </c>
    </row>
    <row r="110" spans="2:15">
      <c r="B110" s="23">
        <v>109</v>
      </c>
      <c r="C110" s="23">
        <f t="shared" si="16"/>
        <v>750</v>
      </c>
      <c r="D110" s="23">
        <f t="shared" si="17"/>
        <v>40</v>
      </c>
      <c r="E110" s="48">
        <f t="shared" si="18"/>
        <v>5</v>
      </c>
      <c r="F110" s="48">
        <f t="shared" si="12"/>
        <v>0</v>
      </c>
      <c r="G110" s="48">
        <f>L429+X429+AL429+主线推图!M112+IFERROR(_xlfn.XLOOKUP((B110-6)/10,组队产出!$B$4:$B$19,组队产出!$L$4:$L$19),0)</f>
        <v>1800</v>
      </c>
      <c r="H110" s="23">
        <f t="shared" si="19"/>
        <v>500</v>
      </c>
      <c r="I110" s="23">
        <f t="shared" si="20"/>
        <v>0</v>
      </c>
      <c r="J110" s="23">
        <f t="shared" si="21"/>
        <v>0</v>
      </c>
      <c r="K110" s="23">
        <f t="shared" si="22"/>
        <v>5</v>
      </c>
      <c r="L110" s="48">
        <f t="shared" si="13"/>
        <v>0</v>
      </c>
      <c r="M110" s="48">
        <f t="shared" si="14"/>
        <v>30</v>
      </c>
      <c r="N110" s="23">
        <f t="shared" si="23"/>
        <v>150</v>
      </c>
      <c r="O110" s="48">
        <f t="shared" si="15"/>
        <v>0</v>
      </c>
    </row>
    <row r="111" spans="2:15">
      <c r="B111" s="23">
        <v>110</v>
      </c>
      <c r="C111" s="23">
        <f t="shared" si="16"/>
        <v>750</v>
      </c>
      <c r="D111" s="23">
        <f t="shared" si="17"/>
        <v>40</v>
      </c>
      <c r="E111" s="48">
        <f t="shared" si="18"/>
        <v>0</v>
      </c>
      <c r="F111" s="48">
        <f t="shared" si="12"/>
        <v>1</v>
      </c>
      <c r="G111" s="48">
        <f>L430+X430+AL430+主线推图!M113+IFERROR(_xlfn.XLOOKUP((B111-6)/10,组队产出!$B$4:$B$19,组队产出!$L$4:$L$19),0)</f>
        <v>1800</v>
      </c>
      <c r="H111" s="23">
        <f t="shared" si="19"/>
        <v>500</v>
      </c>
      <c r="I111" s="23">
        <f t="shared" si="20"/>
        <v>0</v>
      </c>
      <c r="J111" s="23">
        <f t="shared" si="21"/>
        <v>1</v>
      </c>
      <c r="K111" s="23">
        <f t="shared" si="22"/>
        <v>5</v>
      </c>
      <c r="L111" s="48">
        <f t="shared" si="13"/>
        <v>3</v>
      </c>
      <c r="M111" s="48">
        <f t="shared" si="14"/>
        <v>0</v>
      </c>
      <c r="N111" s="23">
        <f t="shared" si="23"/>
        <v>150</v>
      </c>
      <c r="O111" s="48">
        <f t="shared" si="15"/>
        <v>0</v>
      </c>
    </row>
    <row r="112" spans="2:15">
      <c r="B112" s="23">
        <v>111</v>
      </c>
      <c r="C112" s="23">
        <f t="shared" si="16"/>
        <v>750</v>
      </c>
      <c r="D112" s="23">
        <f t="shared" si="17"/>
        <v>40</v>
      </c>
      <c r="E112" s="48">
        <f t="shared" si="18"/>
        <v>5</v>
      </c>
      <c r="F112" s="48">
        <f t="shared" si="12"/>
        <v>0</v>
      </c>
      <c r="G112" s="48">
        <f>L431+X431+AL431+主线推图!M114+IFERROR(_xlfn.XLOOKUP((B112-6)/10,组队产出!$B$4:$B$19,组队产出!$L$4:$L$19),0)</f>
        <v>1800</v>
      </c>
      <c r="H112" s="23">
        <f t="shared" si="19"/>
        <v>500</v>
      </c>
      <c r="I112" s="23">
        <f t="shared" si="20"/>
        <v>0</v>
      </c>
      <c r="J112" s="23">
        <f t="shared" si="21"/>
        <v>0</v>
      </c>
      <c r="K112" s="23">
        <f t="shared" si="22"/>
        <v>5</v>
      </c>
      <c r="L112" s="48">
        <f t="shared" si="13"/>
        <v>0</v>
      </c>
      <c r="M112" s="48">
        <f t="shared" si="14"/>
        <v>30</v>
      </c>
      <c r="N112" s="23">
        <f t="shared" si="23"/>
        <v>150</v>
      </c>
      <c r="O112" s="48">
        <f t="shared" si="15"/>
        <v>0</v>
      </c>
    </row>
    <row r="113" spans="2:15">
      <c r="B113" s="23">
        <v>112</v>
      </c>
      <c r="C113" s="23">
        <f t="shared" si="16"/>
        <v>750</v>
      </c>
      <c r="D113" s="23">
        <f t="shared" si="17"/>
        <v>40</v>
      </c>
      <c r="E113" s="48">
        <f t="shared" si="18"/>
        <v>5</v>
      </c>
      <c r="F113" s="48">
        <f t="shared" si="12"/>
        <v>0</v>
      </c>
      <c r="G113" s="48">
        <f>L432+X432+AL432+主线推图!M115+IFERROR(_xlfn.XLOOKUP((B113-6)/10,组队产出!$B$4:$B$19,组队产出!$L$4:$L$19),0)</f>
        <v>1800</v>
      </c>
      <c r="H113" s="23">
        <f t="shared" si="19"/>
        <v>500</v>
      </c>
      <c r="I113" s="23">
        <f t="shared" si="20"/>
        <v>0</v>
      </c>
      <c r="J113" s="23">
        <f t="shared" si="21"/>
        <v>0</v>
      </c>
      <c r="K113" s="23">
        <f t="shared" si="22"/>
        <v>5</v>
      </c>
      <c r="L113" s="48">
        <f t="shared" si="13"/>
        <v>0</v>
      </c>
      <c r="M113" s="48">
        <f t="shared" si="14"/>
        <v>30</v>
      </c>
      <c r="N113" s="23">
        <f t="shared" si="23"/>
        <v>150</v>
      </c>
      <c r="O113" s="48">
        <f t="shared" si="15"/>
        <v>0</v>
      </c>
    </row>
    <row r="114" spans="2:15">
      <c r="B114" s="23">
        <v>113</v>
      </c>
      <c r="C114" s="23">
        <f t="shared" si="16"/>
        <v>750</v>
      </c>
      <c r="D114" s="23">
        <f t="shared" si="17"/>
        <v>40</v>
      </c>
      <c r="E114" s="48">
        <f t="shared" si="18"/>
        <v>5</v>
      </c>
      <c r="F114" s="48">
        <f t="shared" si="12"/>
        <v>0</v>
      </c>
      <c r="G114" s="48">
        <f>L433+X433+AL433+主线推图!M116+IFERROR(_xlfn.XLOOKUP((B114-6)/10,组队产出!$B$4:$B$19,组队产出!$L$4:$L$19),0)</f>
        <v>1800</v>
      </c>
      <c r="H114" s="23">
        <f t="shared" si="19"/>
        <v>500</v>
      </c>
      <c r="I114" s="23">
        <f t="shared" si="20"/>
        <v>0</v>
      </c>
      <c r="J114" s="23">
        <f t="shared" si="21"/>
        <v>0</v>
      </c>
      <c r="K114" s="23">
        <f t="shared" si="22"/>
        <v>5</v>
      </c>
      <c r="L114" s="48">
        <f t="shared" si="13"/>
        <v>0</v>
      </c>
      <c r="M114" s="48">
        <f t="shared" si="14"/>
        <v>30</v>
      </c>
      <c r="N114" s="23">
        <f t="shared" si="23"/>
        <v>150</v>
      </c>
      <c r="O114" s="48">
        <f t="shared" si="15"/>
        <v>0</v>
      </c>
    </row>
    <row r="115" spans="2:15">
      <c r="B115" s="23">
        <v>114</v>
      </c>
      <c r="C115" s="23">
        <f t="shared" si="16"/>
        <v>750</v>
      </c>
      <c r="D115" s="23">
        <f t="shared" si="17"/>
        <v>40</v>
      </c>
      <c r="E115" s="48">
        <f t="shared" si="18"/>
        <v>5</v>
      </c>
      <c r="F115" s="48">
        <f t="shared" si="12"/>
        <v>0</v>
      </c>
      <c r="G115" s="48">
        <f>L434+X434+AL434+主线推图!M117+IFERROR(_xlfn.XLOOKUP((B115-6)/10,组队产出!$B$4:$B$19,组队产出!$L$4:$L$19),0)</f>
        <v>1800</v>
      </c>
      <c r="H115" s="23">
        <f t="shared" si="19"/>
        <v>500</v>
      </c>
      <c r="I115" s="23">
        <f t="shared" si="20"/>
        <v>0</v>
      </c>
      <c r="J115" s="23">
        <f t="shared" si="21"/>
        <v>0</v>
      </c>
      <c r="K115" s="23">
        <f t="shared" si="22"/>
        <v>5</v>
      </c>
      <c r="L115" s="48">
        <f t="shared" si="13"/>
        <v>0</v>
      </c>
      <c r="M115" s="48">
        <f t="shared" si="14"/>
        <v>30</v>
      </c>
      <c r="N115" s="23">
        <f t="shared" si="23"/>
        <v>150</v>
      </c>
      <c r="O115" s="48">
        <f t="shared" si="15"/>
        <v>0</v>
      </c>
    </row>
    <row r="116" spans="2:15">
      <c r="B116" s="23">
        <v>115</v>
      </c>
      <c r="C116" s="23">
        <f t="shared" si="16"/>
        <v>750</v>
      </c>
      <c r="D116" s="23">
        <f t="shared" si="17"/>
        <v>40</v>
      </c>
      <c r="E116" s="48">
        <f t="shared" si="18"/>
        <v>0</v>
      </c>
      <c r="F116" s="48">
        <f t="shared" si="12"/>
        <v>1</v>
      </c>
      <c r="G116" s="48">
        <f>L435+X435+AL435+主线推图!M118+IFERROR(_xlfn.XLOOKUP((B116-6)/10,组队产出!$B$4:$B$19,组队产出!$L$4:$L$19),0)</f>
        <v>1800</v>
      </c>
      <c r="H116" s="23">
        <f t="shared" si="19"/>
        <v>500</v>
      </c>
      <c r="I116" s="23">
        <f t="shared" si="20"/>
        <v>0</v>
      </c>
      <c r="J116" s="23">
        <f t="shared" si="21"/>
        <v>1</v>
      </c>
      <c r="K116" s="23">
        <f t="shared" si="22"/>
        <v>5</v>
      </c>
      <c r="L116" s="48">
        <f t="shared" si="13"/>
        <v>3</v>
      </c>
      <c r="M116" s="48">
        <f t="shared" si="14"/>
        <v>0</v>
      </c>
      <c r="N116" s="23">
        <f t="shared" si="23"/>
        <v>150</v>
      </c>
      <c r="O116" s="48">
        <f t="shared" si="15"/>
        <v>0</v>
      </c>
    </row>
    <row r="117" spans="2:15">
      <c r="B117" s="23">
        <v>116</v>
      </c>
      <c r="C117" s="23">
        <f t="shared" si="16"/>
        <v>750</v>
      </c>
      <c r="D117" s="23">
        <f t="shared" si="17"/>
        <v>40</v>
      </c>
      <c r="E117" s="48">
        <f t="shared" si="18"/>
        <v>15</v>
      </c>
      <c r="F117" s="48">
        <f t="shared" si="12"/>
        <v>0</v>
      </c>
      <c r="G117" s="48">
        <f>L436+X436+AL436+主线推图!M119+IFERROR(_xlfn.XLOOKUP((B117-6)/10,组队产出!$B$4:$B$19,组队产出!$L$4:$L$19),0)</f>
        <v>13800</v>
      </c>
      <c r="H117" s="23">
        <f t="shared" si="19"/>
        <v>500</v>
      </c>
      <c r="I117" s="23">
        <f t="shared" si="20"/>
        <v>0</v>
      </c>
      <c r="J117" s="23">
        <f t="shared" si="21"/>
        <v>0</v>
      </c>
      <c r="K117" s="23">
        <f t="shared" si="22"/>
        <v>5</v>
      </c>
      <c r="L117" s="48">
        <f t="shared" si="13"/>
        <v>0</v>
      </c>
      <c r="M117" s="48">
        <f t="shared" si="14"/>
        <v>30</v>
      </c>
      <c r="N117" s="23">
        <f t="shared" si="23"/>
        <v>150</v>
      </c>
      <c r="O117" s="48">
        <f t="shared" si="15"/>
        <v>0</v>
      </c>
    </row>
    <row r="118" spans="2:15">
      <c r="B118" s="23">
        <v>117</v>
      </c>
      <c r="C118" s="23">
        <f t="shared" si="16"/>
        <v>750</v>
      </c>
      <c r="D118" s="23">
        <f t="shared" si="17"/>
        <v>40</v>
      </c>
      <c r="E118" s="48">
        <f t="shared" si="18"/>
        <v>5</v>
      </c>
      <c r="F118" s="48">
        <f t="shared" si="12"/>
        <v>0</v>
      </c>
      <c r="G118" s="48">
        <f>L437+X437+AL437+主线推图!M120+IFERROR(_xlfn.XLOOKUP((B118-6)/10,组队产出!$B$4:$B$19,组队产出!$L$4:$L$19),0)</f>
        <v>1800</v>
      </c>
      <c r="H118" s="23">
        <f t="shared" si="19"/>
        <v>500</v>
      </c>
      <c r="I118" s="23">
        <f t="shared" si="20"/>
        <v>0</v>
      </c>
      <c r="J118" s="23">
        <f t="shared" si="21"/>
        <v>0</v>
      </c>
      <c r="K118" s="23">
        <f t="shared" si="22"/>
        <v>5</v>
      </c>
      <c r="L118" s="48">
        <f t="shared" si="13"/>
        <v>0</v>
      </c>
      <c r="M118" s="48">
        <f t="shared" si="14"/>
        <v>30</v>
      </c>
      <c r="N118" s="23">
        <f t="shared" si="23"/>
        <v>150</v>
      </c>
      <c r="O118" s="48">
        <f t="shared" si="15"/>
        <v>0</v>
      </c>
    </row>
    <row r="119" spans="2:15">
      <c r="B119" s="23">
        <v>118</v>
      </c>
      <c r="C119" s="23">
        <f t="shared" si="16"/>
        <v>750</v>
      </c>
      <c r="D119" s="23">
        <f t="shared" si="17"/>
        <v>40</v>
      </c>
      <c r="E119" s="48">
        <f t="shared" si="18"/>
        <v>5</v>
      </c>
      <c r="F119" s="48">
        <f t="shared" si="12"/>
        <v>0</v>
      </c>
      <c r="G119" s="48">
        <f>L438+X438+AL438+主线推图!M121+IFERROR(_xlfn.XLOOKUP((B119-6)/10,组队产出!$B$4:$B$19,组队产出!$L$4:$L$19),0)</f>
        <v>1800</v>
      </c>
      <c r="H119" s="23">
        <f t="shared" si="19"/>
        <v>500</v>
      </c>
      <c r="I119" s="23">
        <f t="shared" si="20"/>
        <v>0</v>
      </c>
      <c r="J119" s="23">
        <f t="shared" si="21"/>
        <v>0</v>
      </c>
      <c r="K119" s="23">
        <f t="shared" si="22"/>
        <v>5</v>
      </c>
      <c r="L119" s="48">
        <f t="shared" si="13"/>
        <v>0</v>
      </c>
      <c r="M119" s="48">
        <f t="shared" si="14"/>
        <v>30</v>
      </c>
      <c r="N119" s="23">
        <f t="shared" si="23"/>
        <v>150</v>
      </c>
      <c r="O119" s="48">
        <f t="shared" si="15"/>
        <v>0</v>
      </c>
    </row>
    <row r="120" spans="2:15">
      <c r="B120" s="23">
        <v>119</v>
      </c>
      <c r="C120" s="23">
        <f t="shared" si="16"/>
        <v>750</v>
      </c>
      <c r="D120" s="23">
        <f t="shared" si="17"/>
        <v>40</v>
      </c>
      <c r="E120" s="48">
        <f t="shared" si="18"/>
        <v>5</v>
      </c>
      <c r="F120" s="48">
        <f t="shared" si="12"/>
        <v>0</v>
      </c>
      <c r="G120" s="48">
        <f>L439+X439+AL439+主线推图!M122+IFERROR(_xlfn.XLOOKUP((B120-6)/10,组队产出!$B$4:$B$19,组队产出!$L$4:$L$19),0)</f>
        <v>1800</v>
      </c>
      <c r="H120" s="23">
        <f t="shared" si="19"/>
        <v>500</v>
      </c>
      <c r="I120" s="23">
        <f t="shared" si="20"/>
        <v>0</v>
      </c>
      <c r="J120" s="23">
        <f t="shared" si="21"/>
        <v>0</v>
      </c>
      <c r="K120" s="23">
        <f t="shared" si="22"/>
        <v>5</v>
      </c>
      <c r="L120" s="48">
        <f t="shared" si="13"/>
        <v>0</v>
      </c>
      <c r="M120" s="48">
        <f t="shared" si="14"/>
        <v>30</v>
      </c>
      <c r="N120" s="23">
        <f t="shared" si="23"/>
        <v>150</v>
      </c>
      <c r="O120" s="48">
        <f t="shared" si="15"/>
        <v>0</v>
      </c>
    </row>
    <row r="121" spans="2:15">
      <c r="B121" s="23">
        <v>120</v>
      </c>
      <c r="C121" s="23">
        <f t="shared" si="16"/>
        <v>750</v>
      </c>
      <c r="D121" s="23">
        <f t="shared" si="17"/>
        <v>40</v>
      </c>
      <c r="E121" s="48">
        <f t="shared" si="18"/>
        <v>0</v>
      </c>
      <c r="F121" s="48">
        <f t="shared" si="12"/>
        <v>1</v>
      </c>
      <c r="G121" s="48">
        <f>L440+X440+AL440+主线推图!M123+IFERROR(_xlfn.XLOOKUP((B121-6)/10,组队产出!$B$4:$B$19,组队产出!$L$4:$L$19),0)</f>
        <v>1800</v>
      </c>
      <c r="H121" s="23">
        <f t="shared" si="19"/>
        <v>500</v>
      </c>
      <c r="I121" s="23">
        <f t="shared" si="20"/>
        <v>0</v>
      </c>
      <c r="J121" s="23">
        <f t="shared" si="21"/>
        <v>1</v>
      </c>
      <c r="K121" s="23">
        <f t="shared" si="22"/>
        <v>5</v>
      </c>
      <c r="L121" s="48">
        <f t="shared" si="13"/>
        <v>3</v>
      </c>
      <c r="M121" s="48">
        <f t="shared" si="14"/>
        <v>0</v>
      </c>
      <c r="N121" s="23">
        <f t="shared" si="23"/>
        <v>150</v>
      </c>
      <c r="O121" s="48">
        <f t="shared" si="15"/>
        <v>0</v>
      </c>
    </row>
    <row r="122" spans="2:15">
      <c r="B122" s="23">
        <v>121</v>
      </c>
      <c r="C122" s="23">
        <f t="shared" si="16"/>
        <v>750</v>
      </c>
      <c r="D122" s="23">
        <f t="shared" si="17"/>
        <v>40</v>
      </c>
      <c r="E122" s="48">
        <f t="shared" si="18"/>
        <v>5</v>
      </c>
      <c r="F122" s="48">
        <f t="shared" si="12"/>
        <v>0</v>
      </c>
      <c r="G122" s="48">
        <f>L441+X441+AL441+主线推图!M124+IFERROR(_xlfn.XLOOKUP((B122-6)/10,组队产出!$B$4:$B$19,组队产出!$L$4:$L$19),0)</f>
        <v>1800</v>
      </c>
      <c r="H122" s="23">
        <f t="shared" si="19"/>
        <v>500</v>
      </c>
      <c r="I122" s="23">
        <f t="shared" si="20"/>
        <v>0</v>
      </c>
      <c r="J122" s="23">
        <f t="shared" si="21"/>
        <v>0</v>
      </c>
      <c r="K122" s="23">
        <f t="shared" si="22"/>
        <v>5</v>
      </c>
      <c r="L122" s="48">
        <f t="shared" si="13"/>
        <v>0</v>
      </c>
      <c r="M122" s="48">
        <f t="shared" si="14"/>
        <v>30</v>
      </c>
      <c r="N122" s="23">
        <f t="shared" si="23"/>
        <v>150</v>
      </c>
      <c r="O122" s="48">
        <f t="shared" si="15"/>
        <v>0</v>
      </c>
    </row>
    <row r="123" spans="2:15">
      <c r="B123" s="23">
        <v>122</v>
      </c>
      <c r="C123" s="23">
        <f t="shared" si="16"/>
        <v>750</v>
      </c>
      <c r="D123" s="23">
        <f t="shared" si="17"/>
        <v>40</v>
      </c>
      <c r="E123" s="48">
        <f t="shared" si="18"/>
        <v>5</v>
      </c>
      <c r="F123" s="48">
        <f t="shared" si="12"/>
        <v>0</v>
      </c>
      <c r="G123" s="48">
        <f>L442+X442+AL442+主线推图!M125+IFERROR(_xlfn.XLOOKUP((B123-6)/10,组队产出!$B$4:$B$19,组队产出!$L$4:$L$19),0)</f>
        <v>1800</v>
      </c>
      <c r="H123" s="23">
        <f t="shared" si="19"/>
        <v>500</v>
      </c>
      <c r="I123" s="23">
        <f t="shared" si="20"/>
        <v>0</v>
      </c>
      <c r="J123" s="23">
        <f t="shared" si="21"/>
        <v>0</v>
      </c>
      <c r="K123" s="23">
        <f t="shared" si="22"/>
        <v>5</v>
      </c>
      <c r="L123" s="48">
        <f t="shared" si="13"/>
        <v>0</v>
      </c>
      <c r="M123" s="48">
        <f t="shared" si="14"/>
        <v>30</v>
      </c>
      <c r="N123" s="23">
        <f t="shared" si="23"/>
        <v>150</v>
      </c>
      <c r="O123" s="48">
        <f t="shared" si="15"/>
        <v>0</v>
      </c>
    </row>
    <row r="124" spans="2:15">
      <c r="B124" s="23">
        <v>123</v>
      </c>
      <c r="C124" s="23">
        <f t="shared" si="16"/>
        <v>750</v>
      </c>
      <c r="D124" s="23">
        <f t="shared" si="17"/>
        <v>40</v>
      </c>
      <c r="E124" s="48">
        <f t="shared" si="18"/>
        <v>5</v>
      </c>
      <c r="F124" s="48">
        <f t="shared" si="12"/>
        <v>0</v>
      </c>
      <c r="G124" s="48">
        <f>L443+X443+AL443+主线推图!M126+IFERROR(_xlfn.XLOOKUP((B124-6)/10,组队产出!$B$4:$B$19,组队产出!$L$4:$L$19),0)</f>
        <v>1800</v>
      </c>
      <c r="H124" s="23">
        <f t="shared" si="19"/>
        <v>500</v>
      </c>
      <c r="I124" s="23">
        <f t="shared" si="20"/>
        <v>0</v>
      </c>
      <c r="J124" s="23">
        <f t="shared" si="21"/>
        <v>0</v>
      </c>
      <c r="K124" s="23">
        <f t="shared" si="22"/>
        <v>5</v>
      </c>
      <c r="L124" s="48">
        <f t="shared" si="13"/>
        <v>0</v>
      </c>
      <c r="M124" s="48">
        <f t="shared" si="14"/>
        <v>30</v>
      </c>
      <c r="N124" s="23">
        <f t="shared" si="23"/>
        <v>150</v>
      </c>
      <c r="O124" s="48">
        <f t="shared" si="15"/>
        <v>0</v>
      </c>
    </row>
    <row r="125" spans="2:15">
      <c r="B125" s="23">
        <v>124</v>
      </c>
      <c r="C125" s="23">
        <f t="shared" si="16"/>
        <v>750</v>
      </c>
      <c r="D125" s="23">
        <f t="shared" si="17"/>
        <v>40</v>
      </c>
      <c r="E125" s="48">
        <f t="shared" si="18"/>
        <v>5</v>
      </c>
      <c r="F125" s="48">
        <f t="shared" si="12"/>
        <v>0</v>
      </c>
      <c r="G125" s="48">
        <f>L444+X444+AL444+主线推图!M127+IFERROR(_xlfn.XLOOKUP((B125-6)/10,组队产出!$B$4:$B$19,组队产出!$L$4:$L$19),0)</f>
        <v>1800</v>
      </c>
      <c r="H125" s="23">
        <f t="shared" si="19"/>
        <v>500</v>
      </c>
      <c r="I125" s="23">
        <f t="shared" si="20"/>
        <v>0</v>
      </c>
      <c r="J125" s="23">
        <f t="shared" si="21"/>
        <v>0</v>
      </c>
      <c r="K125" s="23">
        <f t="shared" si="22"/>
        <v>5</v>
      </c>
      <c r="L125" s="48">
        <f t="shared" si="13"/>
        <v>0</v>
      </c>
      <c r="M125" s="48">
        <f t="shared" si="14"/>
        <v>30</v>
      </c>
      <c r="N125" s="23">
        <f t="shared" si="23"/>
        <v>150</v>
      </c>
      <c r="O125" s="48">
        <f t="shared" si="15"/>
        <v>0</v>
      </c>
    </row>
    <row r="126" spans="2:15">
      <c r="B126" s="23">
        <v>125</v>
      </c>
      <c r="C126" s="23">
        <f t="shared" si="16"/>
        <v>750</v>
      </c>
      <c r="D126" s="23">
        <f t="shared" si="17"/>
        <v>40</v>
      </c>
      <c r="E126" s="48">
        <f t="shared" si="18"/>
        <v>0</v>
      </c>
      <c r="F126" s="48">
        <f t="shared" si="12"/>
        <v>1</v>
      </c>
      <c r="G126" s="48">
        <f>L445+X445+AL445+主线推图!M128+IFERROR(_xlfn.XLOOKUP((B126-6)/10,组队产出!$B$4:$B$19,组队产出!$L$4:$L$19),0)</f>
        <v>1800</v>
      </c>
      <c r="H126" s="23">
        <f t="shared" si="19"/>
        <v>500</v>
      </c>
      <c r="I126" s="23">
        <f t="shared" si="20"/>
        <v>0</v>
      </c>
      <c r="J126" s="23">
        <f t="shared" si="21"/>
        <v>1</v>
      </c>
      <c r="K126" s="23">
        <f t="shared" si="22"/>
        <v>5</v>
      </c>
      <c r="L126" s="48">
        <f t="shared" si="13"/>
        <v>3</v>
      </c>
      <c r="M126" s="48">
        <f t="shared" si="14"/>
        <v>0</v>
      </c>
      <c r="N126" s="23">
        <f t="shared" si="23"/>
        <v>150</v>
      </c>
      <c r="O126" s="48">
        <f t="shared" si="15"/>
        <v>0</v>
      </c>
    </row>
    <row r="127" spans="2:15">
      <c r="B127" s="23">
        <v>126</v>
      </c>
      <c r="C127" s="23">
        <f t="shared" si="16"/>
        <v>750</v>
      </c>
      <c r="D127" s="23">
        <f t="shared" si="17"/>
        <v>40</v>
      </c>
      <c r="E127" s="48">
        <f t="shared" si="18"/>
        <v>5</v>
      </c>
      <c r="F127" s="48">
        <f t="shared" si="12"/>
        <v>0</v>
      </c>
      <c r="G127" s="48">
        <f>L446+X446+AL446+主线推图!M129+IFERROR(_xlfn.XLOOKUP((B127-6)/10,组队产出!$B$4:$B$19,组队产出!$L$4:$L$19),0)</f>
        <v>13800</v>
      </c>
      <c r="H127" s="23">
        <f t="shared" si="19"/>
        <v>500</v>
      </c>
      <c r="I127" s="23">
        <f t="shared" si="20"/>
        <v>0</v>
      </c>
      <c r="J127" s="23">
        <f t="shared" si="21"/>
        <v>0</v>
      </c>
      <c r="K127" s="23">
        <f t="shared" si="22"/>
        <v>5</v>
      </c>
      <c r="L127" s="48">
        <f t="shared" si="13"/>
        <v>0</v>
      </c>
      <c r="M127" s="48">
        <f t="shared" si="14"/>
        <v>30</v>
      </c>
      <c r="N127" s="23">
        <f t="shared" si="23"/>
        <v>150</v>
      </c>
      <c r="O127" s="48">
        <f t="shared" si="15"/>
        <v>2</v>
      </c>
    </row>
    <row r="128" spans="2:15">
      <c r="B128" s="23">
        <v>127</v>
      </c>
      <c r="C128" s="23">
        <f t="shared" si="16"/>
        <v>750</v>
      </c>
      <c r="D128" s="23">
        <f t="shared" si="17"/>
        <v>40</v>
      </c>
      <c r="E128" s="48">
        <f t="shared" si="18"/>
        <v>5</v>
      </c>
      <c r="F128" s="48">
        <f t="shared" si="12"/>
        <v>0</v>
      </c>
      <c r="G128" s="48">
        <f>L447+X447+AL447+主线推图!M130+IFERROR(_xlfn.XLOOKUP((B128-6)/10,组队产出!$B$4:$B$19,组队产出!$L$4:$L$19),0)</f>
        <v>1800</v>
      </c>
      <c r="H128" s="23">
        <f t="shared" si="19"/>
        <v>500</v>
      </c>
      <c r="I128" s="23">
        <f t="shared" si="20"/>
        <v>0</v>
      </c>
      <c r="J128" s="23">
        <f t="shared" si="21"/>
        <v>0</v>
      </c>
      <c r="K128" s="23">
        <f t="shared" si="22"/>
        <v>5</v>
      </c>
      <c r="L128" s="48">
        <f t="shared" si="13"/>
        <v>0</v>
      </c>
      <c r="M128" s="48">
        <f t="shared" si="14"/>
        <v>30</v>
      </c>
      <c r="N128" s="23">
        <f t="shared" si="23"/>
        <v>150</v>
      </c>
      <c r="O128" s="48">
        <f t="shared" si="15"/>
        <v>0</v>
      </c>
    </row>
    <row r="129" spans="2:15">
      <c r="B129" s="23">
        <v>128</v>
      </c>
      <c r="C129" s="23">
        <f t="shared" si="16"/>
        <v>750</v>
      </c>
      <c r="D129" s="23">
        <f t="shared" si="17"/>
        <v>40</v>
      </c>
      <c r="E129" s="48">
        <f t="shared" si="18"/>
        <v>5</v>
      </c>
      <c r="F129" s="48">
        <f t="shared" si="12"/>
        <v>0</v>
      </c>
      <c r="G129" s="48">
        <f>L448+X448+AL448+主线推图!M131+IFERROR(_xlfn.XLOOKUP((B129-6)/10,组队产出!$B$4:$B$19,组队产出!$L$4:$L$19),0)</f>
        <v>1800</v>
      </c>
      <c r="H129" s="23">
        <f t="shared" si="19"/>
        <v>500</v>
      </c>
      <c r="I129" s="23">
        <f t="shared" si="20"/>
        <v>0</v>
      </c>
      <c r="J129" s="23">
        <f t="shared" si="21"/>
        <v>0</v>
      </c>
      <c r="K129" s="23">
        <f t="shared" si="22"/>
        <v>5</v>
      </c>
      <c r="L129" s="48">
        <f t="shared" si="13"/>
        <v>0</v>
      </c>
      <c r="M129" s="48">
        <f t="shared" si="14"/>
        <v>30</v>
      </c>
      <c r="N129" s="23">
        <f t="shared" si="23"/>
        <v>150</v>
      </c>
      <c r="O129" s="48">
        <f t="shared" si="15"/>
        <v>0</v>
      </c>
    </row>
    <row r="130" spans="2:15">
      <c r="B130" s="23">
        <v>129</v>
      </c>
      <c r="C130" s="23">
        <f t="shared" si="16"/>
        <v>750</v>
      </c>
      <c r="D130" s="23">
        <f t="shared" si="17"/>
        <v>40</v>
      </c>
      <c r="E130" s="48">
        <f t="shared" si="18"/>
        <v>5</v>
      </c>
      <c r="F130" s="48">
        <f t="shared" ref="F130:F193" si="24">IF(MOD(B130,5)=0,1,0)</f>
        <v>0</v>
      </c>
      <c r="G130" s="48">
        <f>L449+X449+AL449+主线推图!M132+IFERROR(_xlfn.XLOOKUP((B130-6)/10,组队产出!$B$4:$B$19,组队产出!$L$4:$L$19),0)</f>
        <v>1800</v>
      </c>
      <c r="H130" s="23">
        <f t="shared" si="19"/>
        <v>500</v>
      </c>
      <c r="I130" s="23">
        <f t="shared" si="20"/>
        <v>0</v>
      </c>
      <c r="J130" s="23">
        <f t="shared" si="21"/>
        <v>0</v>
      </c>
      <c r="K130" s="23">
        <f t="shared" si="22"/>
        <v>5</v>
      </c>
      <c r="L130" s="48">
        <f t="shared" ref="L130:L193" si="25">IF(MOD(B130,5)=0,AB449,0)</f>
        <v>0</v>
      </c>
      <c r="M130" s="48">
        <f t="shared" ref="M130:M193" si="26">IF(MOD(B130,5)=0,0,AB449)</f>
        <v>30</v>
      </c>
      <c r="N130" s="23">
        <f t="shared" si="23"/>
        <v>150</v>
      </c>
      <c r="O130" s="48">
        <f t="shared" ref="O130:O193" si="27">IF(MOD(B130-26,20)=0,2,0)</f>
        <v>0</v>
      </c>
    </row>
    <row r="131" spans="2:15">
      <c r="B131" s="23">
        <v>130</v>
      </c>
      <c r="C131" s="23">
        <f t="shared" ref="C131:C194" si="28">J450+N450+AF450</f>
        <v>750</v>
      </c>
      <c r="D131" s="23">
        <f t="shared" ref="D131:D194" si="29">H450+T450</f>
        <v>40</v>
      </c>
      <c r="E131" s="48">
        <f t="shared" ref="E131:E194" si="30">IF(MOD(B131,5)=0,0,D450)+IF(MOD(B131-16,20)=0,10,0)</f>
        <v>0</v>
      </c>
      <c r="F131" s="48">
        <f t="shared" si="24"/>
        <v>1</v>
      </c>
      <c r="G131" s="48">
        <f>L450+X450+AL450+主线推图!M133+IFERROR(_xlfn.XLOOKUP((B131-6)/10,组队产出!$B$4:$B$19,组队产出!$L$4:$L$19),0)</f>
        <v>1800</v>
      </c>
      <c r="H131" s="23">
        <f t="shared" ref="H131:H194" si="31">P450*2.5</f>
        <v>500</v>
      </c>
      <c r="I131" s="23">
        <f t="shared" ref="I131:I194" si="32">AH450+R450</f>
        <v>0</v>
      </c>
      <c r="J131" s="23">
        <f t="shared" ref="J131:J194" si="33">V450</f>
        <v>1</v>
      </c>
      <c r="K131" s="23">
        <f t="shared" ref="K131:K194" si="34">Z450</f>
        <v>5</v>
      </c>
      <c r="L131" s="48">
        <f t="shared" si="25"/>
        <v>3</v>
      </c>
      <c r="M131" s="48">
        <f t="shared" si="26"/>
        <v>0</v>
      </c>
      <c r="N131" s="23">
        <f t="shared" ref="N131:N194" si="35">AD450</f>
        <v>150</v>
      </c>
      <c r="O131" s="48">
        <f t="shared" si="27"/>
        <v>0</v>
      </c>
    </row>
    <row r="132" spans="2:15">
      <c r="B132" s="23">
        <v>131</v>
      </c>
      <c r="C132" s="23">
        <f t="shared" si="28"/>
        <v>750</v>
      </c>
      <c r="D132" s="23">
        <f t="shared" si="29"/>
        <v>40</v>
      </c>
      <c r="E132" s="48">
        <f t="shared" si="30"/>
        <v>5</v>
      </c>
      <c r="F132" s="48">
        <f t="shared" si="24"/>
        <v>0</v>
      </c>
      <c r="G132" s="48">
        <f>L451+X451+AL451+主线推图!M134+IFERROR(_xlfn.XLOOKUP((B132-6)/10,组队产出!$B$4:$B$19,组队产出!$L$4:$L$19),0)</f>
        <v>1800</v>
      </c>
      <c r="H132" s="23">
        <f t="shared" si="31"/>
        <v>500</v>
      </c>
      <c r="I132" s="23">
        <f t="shared" si="32"/>
        <v>0</v>
      </c>
      <c r="J132" s="23">
        <f t="shared" si="33"/>
        <v>0</v>
      </c>
      <c r="K132" s="23">
        <f t="shared" si="34"/>
        <v>5</v>
      </c>
      <c r="L132" s="48">
        <f t="shared" si="25"/>
        <v>0</v>
      </c>
      <c r="M132" s="48">
        <f t="shared" si="26"/>
        <v>30</v>
      </c>
      <c r="N132" s="23">
        <f t="shared" si="35"/>
        <v>150</v>
      </c>
      <c r="O132" s="48">
        <f t="shared" si="27"/>
        <v>0</v>
      </c>
    </row>
    <row r="133" spans="2:15">
      <c r="B133" s="23">
        <v>132</v>
      </c>
      <c r="C133" s="23">
        <f t="shared" si="28"/>
        <v>750</v>
      </c>
      <c r="D133" s="23">
        <f t="shared" si="29"/>
        <v>40</v>
      </c>
      <c r="E133" s="48">
        <f t="shared" si="30"/>
        <v>5</v>
      </c>
      <c r="F133" s="48">
        <f t="shared" si="24"/>
        <v>0</v>
      </c>
      <c r="G133" s="48">
        <f>L452+X452+AL452+主线推图!M135+IFERROR(_xlfn.XLOOKUP((B133-6)/10,组队产出!$B$4:$B$19,组队产出!$L$4:$L$19),0)</f>
        <v>1800</v>
      </c>
      <c r="H133" s="23">
        <f t="shared" si="31"/>
        <v>500</v>
      </c>
      <c r="I133" s="23">
        <f t="shared" si="32"/>
        <v>0</v>
      </c>
      <c r="J133" s="23">
        <f t="shared" si="33"/>
        <v>0</v>
      </c>
      <c r="K133" s="23">
        <f t="shared" si="34"/>
        <v>5</v>
      </c>
      <c r="L133" s="48">
        <f t="shared" si="25"/>
        <v>0</v>
      </c>
      <c r="M133" s="48">
        <f t="shared" si="26"/>
        <v>30</v>
      </c>
      <c r="N133" s="23">
        <f t="shared" si="35"/>
        <v>150</v>
      </c>
      <c r="O133" s="48">
        <f t="shared" si="27"/>
        <v>0</v>
      </c>
    </row>
    <row r="134" spans="2:15">
      <c r="B134" s="23">
        <v>133</v>
      </c>
      <c r="C134" s="23">
        <f t="shared" si="28"/>
        <v>750</v>
      </c>
      <c r="D134" s="23">
        <f t="shared" si="29"/>
        <v>40</v>
      </c>
      <c r="E134" s="48">
        <f t="shared" si="30"/>
        <v>5</v>
      </c>
      <c r="F134" s="48">
        <f t="shared" si="24"/>
        <v>0</v>
      </c>
      <c r="G134" s="48">
        <f>L453+X453+AL453+主线推图!M136+IFERROR(_xlfn.XLOOKUP((B134-6)/10,组队产出!$B$4:$B$19,组队产出!$L$4:$L$19),0)</f>
        <v>1800</v>
      </c>
      <c r="H134" s="23">
        <f t="shared" si="31"/>
        <v>500</v>
      </c>
      <c r="I134" s="23">
        <f t="shared" si="32"/>
        <v>0</v>
      </c>
      <c r="J134" s="23">
        <f t="shared" si="33"/>
        <v>0</v>
      </c>
      <c r="K134" s="23">
        <f t="shared" si="34"/>
        <v>5</v>
      </c>
      <c r="L134" s="48">
        <f t="shared" si="25"/>
        <v>0</v>
      </c>
      <c r="M134" s="48">
        <f t="shared" si="26"/>
        <v>30</v>
      </c>
      <c r="N134" s="23">
        <f t="shared" si="35"/>
        <v>150</v>
      </c>
      <c r="O134" s="48">
        <f t="shared" si="27"/>
        <v>0</v>
      </c>
    </row>
    <row r="135" spans="2:15">
      <c r="B135" s="23">
        <v>134</v>
      </c>
      <c r="C135" s="23">
        <f t="shared" si="28"/>
        <v>750</v>
      </c>
      <c r="D135" s="23">
        <f t="shared" si="29"/>
        <v>40</v>
      </c>
      <c r="E135" s="48">
        <f t="shared" si="30"/>
        <v>5</v>
      </c>
      <c r="F135" s="48">
        <f t="shared" si="24"/>
        <v>0</v>
      </c>
      <c r="G135" s="48">
        <f>L454+X454+AL454+主线推图!M137+IFERROR(_xlfn.XLOOKUP((B135-6)/10,组队产出!$B$4:$B$19,组队产出!$L$4:$L$19),0)</f>
        <v>1800</v>
      </c>
      <c r="H135" s="23">
        <f t="shared" si="31"/>
        <v>500</v>
      </c>
      <c r="I135" s="23">
        <f t="shared" si="32"/>
        <v>0</v>
      </c>
      <c r="J135" s="23">
        <f t="shared" si="33"/>
        <v>0</v>
      </c>
      <c r="K135" s="23">
        <f t="shared" si="34"/>
        <v>5</v>
      </c>
      <c r="L135" s="48">
        <f t="shared" si="25"/>
        <v>0</v>
      </c>
      <c r="M135" s="48">
        <f t="shared" si="26"/>
        <v>30</v>
      </c>
      <c r="N135" s="23">
        <f t="shared" si="35"/>
        <v>150</v>
      </c>
      <c r="O135" s="48">
        <f t="shared" si="27"/>
        <v>0</v>
      </c>
    </row>
    <row r="136" spans="2:15">
      <c r="B136" s="23">
        <v>135</v>
      </c>
      <c r="C136" s="23">
        <f t="shared" si="28"/>
        <v>750</v>
      </c>
      <c r="D136" s="23">
        <f t="shared" si="29"/>
        <v>40</v>
      </c>
      <c r="E136" s="48">
        <f t="shared" si="30"/>
        <v>0</v>
      </c>
      <c r="F136" s="48">
        <f t="shared" si="24"/>
        <v>1</v>
      </c>
      <c r="G136" s="48">
        <f>L455+X455+AL455+主线推图!M138+IFERROR(_xlfn.XLOOKUP((B136-6)/10,组队产出!$B$4:$B$19,组队产出!$L$4:$L$19),0)</f>
        <v>1800</v>
      </c>
      <c r="H136" s="23">
        <f t="shared" si="31"/>
        <v>500</v>
      </c>
      <c r="I136" s="23">
        <f t="shared" si="32"/>
        <v>0</v>
      </c>
      <c r="J136" s="23">
        <f t="shared" si="33"/>
        <v>1</v>
      </c>
      <c r="K136" s="23">
        <f t="shared" si="34"/>
        <v>5</v>
      </c>
      <c r="L136" s="48">
        <f t="shared" si="25"/>
        <v>3</v>
      </c>
      <c r="M136" s="48">
        <f t="shared" si="26"/>
        <v>0</v>
      </c>
      <c r="N136" s="23">
        <f t="shared" si="35"/>
        <v>150</v>
      </c>
      <c r="O136" s="48">
        <f t="shared" si="27"/>
        <v>0</v>
      </c>
    </row>
    <row r="137" spans="2:15">
      <c r="B137" s="23">
        <v>136</v>
      </c>
      <c r="C137" s="23">
        <f t="shared" si="28"/>
        <v>750</v>
      </c>
      <c r="D137" s="23">
        <f t="shared" si="29"/>
        <v>40</v>
      </c>
      <c r="E137" s="48">
        <f t="shared" si="30"/>
        <v>15</v>
      </c>
      <c r="F137" s="48">
        <f t="shared" si="24"/>
        <v>0</v>
      </c>
      <c r="G137" s="48">
        <f>L456+X456+AL456+主线推图!M139+IFERROR(_xlfn.XLOOKUP((B137-6)/10,组队产出!$B$4:$B$19,组队产出!$L$4:$L$19),0)</f>
        <v>15300</v>
      </c>
      <c r="H137" s="23">
        <f t="shared" si="31"/>
        <v>500</v>
      </c>
      <c r="I137" s="23">
        <f t="shared" si="32"/>
        <v>0</v>
      </c>
      <c r="J137" s="23">
        <f t="shared" si="33"/>
        <v>0</v>
      </c>
      <c r="K137" s="23">
        <f t="shared" si="34"/>
        <v>5</v>
      </c>
      <c r="L137" s="48">
        <f t="shared" si="25"/>
        <v>0</v>
      </c>
      <c r="M137" s="48">
        <f t="shared" si="26"/>
        <v>30</v>
      </c>
      <c r="N137" s="23">
        <f t="shared" si="35"/>
        <v>150</v>
      </c>
      <c r="O137" s="48">
        <f t="shared" si="27"/>
        <v>0</v>
      </c>
    </row>
    <row r="138" spans="2:15">
      <c r="B138" s="23">
        <v>137</v>
      </c>
      <c r="C138" s="23">
        <f t="shared" si="28"/>
        <v>750</v>
      </c>
      <c r="D138" s="23">
        <f t="shared" si="29"/>
        <v>40</v>
      </c>
      <c r="E138" s="48">
        <f t="shared" si="30"/>
        <v>5</v>
      </c>
      <c r="F138" s="48">
        <f t="shared" si="24"/>
        <v>0</v>
      </c>
      <c r="G138" s="48">
        <f>L457+X457+AL457+主线推图!M140+IFERROR(_xlfn.XLOOKUP((B138-6)/10,组队产出!$B$4:$B$19,组队产出!$L$4:$L$19),0)</f>
        <v>1800</v>
      </c>
      <c r="H138" s="23">
        <f t="shared" si="31"/>
        <v>500</v>
      </c>
      <c r="I138" s="23">
        <f t="shared" si="32"/>
        <v>0</v>
      </c>
      <c r="J138" s="23">
        <f t="shared" si="33"/>
        <v>0</v>
      </c>
      <c r="K138" s="23">
        <f t="shared" si="34"/>
        <v>5</v>
      </c>
      <c r="L138" s="48">
        <f t="shared" si="25"/>
        <v>0</v>
      </c>
      <c r="M138" s="48">
        <f t="shared" si="26"/>
        <v>30</v>
      </c>
      <c r="N138" s="23">
        <f t="shared" si="35"/>
        <v>150</v>
      </c>
      <c r="O138" s="48">
        <f t="shared" si="27"/>
        <v>0</v>
      </c>
    </row>
    <row r="139" spans="2:15">
      <c r="B139" s="23">
        <v>138</v>
      </c>
      <c r="C139" s="23">
        <f t="shared" si="28"/>
        <v>750</v>
      </c>
      <c r="D139" s="23">
        <f t="shared" si="29"/>
        <v>40</v>
      </c>
      <c r="E139" s="48">
        <f t="shared" si="30"/>
        <v>5</v>
      </c>
      <c r="F139" s="48">
        <f t="shared" si="24"/>
        <v>0</v>
      </c>
      <c r="G139" s="48">
        <f>L458+X458+AL458+主线推图!M141+IFERROR(_xlfn.XLOOKUP((B139-6)/10,组队产出!$B$4:$B$19,组队产出!$L$4:$L$19),0)</f>
        <v>1800</v>
      </c>
      <c r="H139" s="23">
        <f t="shared" si="31"/>
        <v>500</v>
      </c>
      <c r="I139" s="23">
        <f t="shared" si="32"/>
        <v>0</v>
      </c>
      <c r="J139" s="23">
        <f t="shared" si="33"/>
        <v>0</v>
      </c>
      <c r="K139" s="23">
        <f t="shared" si="34"/>
        <v>5</v>
      </c>
      <c r="L139" s="48">
        <f t="shared" si="25"/>
        <v>0</v>
      </c>
      <c r="M139" s="48">
        <f t="shared" si="26"/>
        <v>30</v>
      </c>
      <c r="N139" s="23">
        <f t="shared" si="35"/>
        <v>150</v>
      </c>
      <c r="O139" s="48">
        <f t="shared" si="27"/>
        <v>0</v>
      </c>
    </row>
    <row r="140" spans="2:15">
      <c r="B140" s="23">
        <v>139</v>
      </c>
      <c r="C140" s="23">
        <f t="shared" si="28"/>
        <v>750</v>
      </c>
      <c r="D140" s="23">
        <f t="shared" si="29"/>
        <v>40</v>
      </c>
      <c r="E140" s="48">
        <f t="shared" si="30"/>
        <v>5</v>
      </c>
      <c r="F140" s="48">
        <f t="shared" si="24"/>
        <v>0</v>
      </c>
      <c r="G140" s="48">
        <f>L459+X459+AL459+主线推图!M142+IFERROR(_xlfn.XLOOKUP((B140-6)/10,组队产出!$B$4:$B$19,组队产出!$L$4:$L$19),0)</f>
        <v>1800</v>
      </c>
      <c r="H140" s="23">
        <f t="shared" si="31"/>
        <v>500</v>
      </c>
      <c r="I140" s="23">
        <f t="shared" si="32"/>
        <v>0</v>
      </c>
      <c r="J140" s="23">
        <f t="shared" si="33"/>
        <v>0</v>
      </c>
      <c r="K140" s="23">
        <f t="shared" si="34"/>
        <v>5</v>
      </c>
      <c r="L140" s="48">
        <f t="shared" si="25"/>
        <v>0</v>
      </c>
      <c r="M140" s="48">
        <f t="shared" si="26"/>
        <v>30</v>
      </c>
      <c r="N140" s="23">
        <f t="shared" si="35"/>
        <v>150</v>
      </c>
      <c r="O140" s="48">
        <f t="shared" si="27"/>
        <v>0</v>
      </c>
    </row>
    <row r="141" spans="2:15">
      <c r="B141" s="23">
        <v>140</v>
      </c>
      <c r="C141" s="23">
        <f t="shared" si="28"/>
        <v>750</v>
      </c>
      <c r="D141" s="23">
        <f t="shared" si="29"/>
        <v>40</v>
      </c>
      <c r="E141" s="48">
        <f t="shared" si="30"/>
        <v>0</v>
      </c>
      <c r="F141" s="48">
        <f t="shared" si="24"/>
        <v>1</v>
      </c>
      <c r="G141" s="48">
        <f>L460+X460+AL460+主线推图!M143+IFERROR(_xlfn.XLOOKUP((B141-6)/10,组队产出!$B$4:$B$19,组队产出!$L$4:$L$19),0)</f>
        <v>1800</v>
      </c>
      <c r="H141" s="23">
        <f t="shared" si="31"/>
        <v>500</v>
      </c>
      <c r="I141" s="23">
        <f t="shared" si="32"/>
        <v>0</v>
      </c>
      <c r="J141" s="23">
        <f t="shared" si="33"/>
        <v>1</v>
      </c>
      <c r="K141" s="23">
        <f t="shared" si="34"/>
        <v>5</v>
      </c>
      <c r="L141" s="48">
        <f t="shared" si="25"/>
        <v>3</v>
      </c>
      <c r="M141" s="48">
        <f t="shared" si="26"/>
        <v>0</v>
      </c>
      <c r="N141" s="23">
        <f t="shared" si="35"/>
        <v>150</v>
      </c>
      <c r="O141" s="48">
        <f t="shared" si="27"/>
        <v>0</v>
      </c>
    </row>
    <row r="142" spans="2:15">
      <c r="B142" s="23">
        <v>141</v>
      </c>
      <c r="C142" s="23">
        <f t="shared" si="28"/>
        <v>750</v>
      </c>
      <c r="D142" s="23">
        <f t="shared" si="29"/>
        <v>40</v>
      </c>
      <c r="E142" s="48">
        <f t="shared" si="30"/>
        <v>5</v>
      </c>
      <c r="F142" s="48">
        <f t="shared" si="24"/>
        <v>0</v>
      </c>
      <c r="G142" s="48">
        <f>L461+X461+AL461+主线推图!M144+IFERROR(_xlfn.XLOOKUP((B142-6)/10,组队产出!$B$4:$B$19,组队产出!$L$4:$L$19),0)</f>
        <v>1800</v>
      </c>
      <c r="H142" s="23">
        <f t="shared" si="31"/>
        <v>500</v>
      </c>
      <c r="I142" s="23">
        <f t="shared" si="32"/>
        <v>0</v>
      </c>
      <c r="J142" s="23">
        <f t="shared" si="33"/>
        <v>0</v>
      </c>
      <c r="K142" s="23">
        <f t="shared" si="34"/>
        <v>5</v>
      </c>
      <c r="L142" s="48">
        <f t="shared" si="25"/>
        <v>0</v>
      </c>
      <c r="M142" s="48">
        <f t="shared" si="26"/>
        <v>30</v>
      </c>
      <c r="N142" s="23">
        <f t="shared" si="35"/>
        <v>150</v>
      </c>
      <c r="O142" s="48">
        <f t="shared" si="27"/>
        <v>0</v>
      </c>
    </row>
    <row r="143" spans="2:15">
      <c r="B143" s="23">
        <v>142</v>
      </c>
      <c r="C143" s="23">
        <f t="shared" si="28"/>
        <v>750</v>
      </c>
      <c r="D143" s="23">
        <f t="shared" si="29"/>
        <v>40</v>
      </c>
      <c r="E143" s="48">
        <f t="shared" si="30"/>
        <v>5</v>
      </c>
      <c r="F143" s="48">
        <f t="shared" si="24"/>
        <v>0</v>
      </c>
      <c r="G143" s="48">
        <f>L462+X462+AL462+主线推图!M145+IFERROR(_xlfn.XLOOKUP((B143-6)/10,组队产出!$B$4:$B$19,组队产出!$L$4:$L$19),0)</f>
        <v>1800</v>
      </c>
      <c r="H143" s="23">
        <f t="shared" si="31"/>
        <v>500</v>
      </c>
      <c r="I143" s="23">
        <f t="shared" si="32"/>
        <v>0</v>
      </c>
      <c r="J143" s="23">
        <f t="shared" si="33"/>
        <v>0</v>
      </c>
      <c r="K143" s="23">
        <f t="shared" si="34"/>
        <v>5</v>
      </c>
      <c r="L143" s="48">
        <f t="shared" si="25"/>
        <v>0</v>
      </c>
      <c r="M143" s="48">
        <f t="shared" si="26"/>
        <v>30</v>
      </c>
      <c r="N143" s="23">
        <f t="shared" si="35"/>
        <v>150</v>
      </c>
      <c r="O143" s="48">
        <f t="shared" si="27"/>
        <v>0</v>
      </c>
    </row>
    <row r="144" spans="2:15">
      <c r="B144" s="23">
        <v>143</v>
      </c>
      <c r="C144" s="23">
        <f t="shared" si="28"/>
        <v>750</v>
      </c>
      <c r="D144" s="23">
        <f t="shared" si="29"/>
        <v>40</v>
      </c>
      <c r="E144" s="48">
        <f t="shared" si="30"/>
        <v>5</v>
      </c>
      <c r="F144" s="48">
        <f t="shared" si="24"/>
        <v>0</v>
      </c>
      <c r="G144" s="48">
        <f>L463+X463+AL463+主线推图!M146+IFERROR(_xlfn.XLOOKUP((B144-6)/10,组队产出!$B$4:$B$19,组队产出!$L$4:$L$19),0)</f>
        <v>1800</v>
      </c>
      <c r="H144" s="23">
        <f t="shared" si="31"/>
        <v>500</v>
      </c>
      <c r="I144" s="23">
        <f t="shared" si="32"/>
        <v>0</v>
      </c>
      <c r="J144" s="23">
        <f t="shared" si="33"/>
        <v>0</v>
      </c>
      <c r="K144" s="23">
        <f t="shared" si="34"/>
        <v>5</v>
      </c>
      <c r="L144" s="48">
        <f t="shared" si="25"/>
        <v>0</v>
      </c>
      <c r="M144" s="48">
        <f t="shared" si="26"/>
        <v>30</v>
      </c>
      <c r="N144" s="23">
        <f t="shared" si="35"/>
        <v>150</v>
      </c>
      <c r="O144" s="48">
        <f t="shared" si="27"/>
        <v>0</v>
      </c>
    </row>
    <row r="145" spans="2:15">
      <c r="B145" s="23">
        <v>144</v>
      </c>
      <c r="C145" s="23">
        <f t="shared" si="28"/>
        <v>750</v>
      </c>
      <c r="D145" s="23">
        <f t="shared" si="29"/>
        <v>40</v>
      </c>
      <c r="E145" s="48">
        <f t="shared" si="30"/>
        <v>5</v>
      </c>
      <c r="F145" s="48">
        <f t="shared" si="24"/>
        <v>0</v>
      </c>
      <c r="G145" s="48">
        <f>L464+X464+AL464+主线推图!M147+IFERROR(_xlfn.XLOOKUP((B145-6)/10,组队产出!$B$4:$B$19,组队产出!$L$4:$L$19),0)</f>
        <v>1800</v>
      </c>
      <c r="H145" s="23">
        <f t="shared" si="31"/>
        <v>500</v>
      </c>
      <c r="I145" s="23">
        <f t="shared" si="32"/>
        <v>0</v>
      </c>
      <c r="J145" s="23">
        <f t="shared" si="33"/>
        <v>0</v>
      </c>
      <c r="K145" s="23">
        <f t="shared" si="34"/>
        <v>5</v>
      </c>
      <c r="L145" s="48">
        <f t="shared" si="25"/>
        <v>0</v>
      </c>
      <c r="M145" s="48">
        <f t="shared" si="26"/>
        <v>30</v>
      </c>
      <c r="N145" s="23">
        <f t="shared" si="35"/>
        <v>150</v>
      </c>
      <c r="O145" s="48">
        <f t="shared" si="27"/>
        <v>0</v>
      </c>
    </row>
    <row r="146" spans="2:15">
      <c r="B146" s="23">
        <v>145</v>
      </c>
      <c r="C146" s="23">
        <f t="shared" si="28"/>
        <v>750</v>
      </c>
      <c r="D146" s="23">
        <f t="shared" si="29"/>
        <v>40</v>
      </c>
      <c r="E146" s="48">
        <f t="shared" si="30"/>
        <v>0</v>
      </c>
      <c r="F146" s="48">
        <f t="shared" si="24"/>
        <v>1</v>
      </c>
      <c r="G146" s="48">
        <f>L465+X465+AL465+主线推图!M148+IFERROR(_xlfn.XLOOKUP((B146-6)/10,组队产出!$B$4:$B$19,组队产出!$L$4:$L$19),0)</f>
        <v>1800</v>
      </c>
      <c r="H146" s="23">
        <f t="shared" si="31"/>
        <v>500</v>
      </c>
      <c r="I146" s="23">
        <f t="shared" si="32"/>
        <v>0</v>
      </c>
      <c r="J146" s="23">
        <f t="shared" si="33"/>
        <v>1</v>
      </c>
      <c r="K146" s="23">
        <f t="shared" si="34"/>
        <v>5</v>
      </c>
      <c r="L146" s="48">
        <f t="shared" si="25"/>
        <v>3</v>
      </c>
      <c r="M146" s="48">
        <f t="shared" si="26"/>
        <v>0</v>
      </c>
      <c r="N146" s="23">
        <f t="shared" si="35"/>
        <v>150</v>
      </c>
      <c r="O146" s="48">
        <f t="shared" si="27"/>
        <v>0</v>
      </c>
    </row>
    <row r="147" spans="2:15">
      <c r="B147" s="23">
        <v>146</v>
      </c>
      <c r="C147" s="23">
        <f t="shared" si="28"/>
        <v>750</v>
      </c>
      <c r="D147" s="23">
        <f t="shared" si="29"/>
        <v>40</v>
      </c>
      <c r="E147" s="48">
        <f t="shared" si="30"/>
        <v>5</v>
      </c>
      <c r="F147" s="48">
        <f t="shared" si="24"/>
        <v>0</v>
      </c>
      <c r="G147" s="48">
        <f>L466+X466+AL466+主线推图!M149+IFERROR(_xlfn.XLOOKUP((B147-6)/10,组队产出!$B$4:$B$19,组队产出!$L$4:$L$19),0)</f>
        <v>15300</v>
      </c>
      <c r="H147" s="23">
        <f t="shared" si="31"/>
        <v>500</v>
      </c>
      <c r="I147" s="23">
        <f t="shared" si="32"/>
        <v>0</v>
      </c>
      <c r="J147" s="23">
        <f t="shared" si="33"/>
        <v>0</v>
      </c>
      <c r="K147" s="23">
        <f t="shared" si="34"/>
        <v>5</v>
      </c>
      <c r="L147" s="48">
        <f t="shared" si="25"/>
        <v>0</v>
      </c>
      <c r="M147" s="48">
        <f t="shared" si="26"/>
        <v>30</v>
      </c>
      <c r="N147" s="23">
        <f t="shared" si="35"/>
        <v>150</v>
      </c>
      <c r="O147" s="48">
        <f t="shared" si="27"/>
        <v>2</v>
      </c>
    </row>
    <row r="148" spans="2:15">
      <c r="B148" s="23">
        <v>147</v>
      </c>
      <c r="C148" s="23">
        <f t="shared" si="28"/>
        <v>750</v>
      </c>
      <c r="D148" s="23">
        <f t="shared" si="29"/>
        <v>40</v>
      </c>
      <c r="E148" s="48">
        <f t="shared" si="30"/>
        <v>5</v>
      </c>
      <c r="F148" s="48">
        <f t="shared" si="24"/>
        <v>0</v>
      </c>
      <c r="G148" s="48">
        <f>L467+X467+AL467+主线推图!M150+IFERROR(_xlfn.XLOOKUP((B148-6)/10,组队产出!$B$4:$B$19,组队产出!$L$4:$L$19),0)</f>
        <v>1800</v>
      </c>
      <c r="H148" s="23">
        <f t="shared" si="31"/>
        <v>500</v>
      </c>
      <c r="I148" s="23">
        <f t="shared" si="32"/>
        <v>0</v>
      </c>
      <c r="J148" s="23">
        <f t="shared" si="33"/>
        <v>0</v>
      </c>
      <c r="K148" s="23">
        <f t="shared" si="34"/>
        <v>5</v>
      </c>
      <c r="L148" s="48">
        <f t="shared" si="25"/>
        <v>0</v>
      </c>
      <c r="M148" s="48">
        <f t="shared" si="26"/>
        <v>30</v>
      </c>
      <c r="N148" s="23">
        <f t="shared" si="35"/>
        <v>150</v>
      </c>
      <c r="O148" s="48">
        <f t="shared" si="27"/>
        <v>0</v>
      </c>
    </row>
    <row r="149" spans="2:15">
      <c r="B149" s="23">
        <v>148</v>
      </c>
      <c r="C149" s="23">
        <f t="shared" si="28"/>
        <v>750</v>
      </c>
      <c r="D149" s="23">
        <f t="shared" si="29"/>
        <v>40</v>
      </c>
      <c r="E149" s="48">
        <f t="shared" si="30"/>
        <v>5</v>
      </c>
      <c r="F149" s="48">
        <f t="shared" si="24"/>
        <v>0</v>
      </c>
      <c r="G149" s="48">
        <f>L468+X468+AL468+主线推图!M151+IFERROR(_xlfn.XLOOKUP((B149-6)/10,组队产出!$B$4:$B$19,组队产出!$L$4:$L$19),0)</f>
        <v>1800</v>
      </c>
      <c r="H149" s="23">
        <f t="shared" si="31"/>
        <v>500</v>
      </c>
      <c r="I149" s="23">
        <f t="shared" si="32"/>
        <v>0</v>
      </c>
      <c r="J149" s="23">
        <f t="shared" si="33"/>
        <v>0</v>
      </c>
      <c r="K149" s="23">
        <f t="shared" si="34"/>
        <v>5</v>
      </c>
      <c r="L149" s="48">
        <f t="shared" si="25"/>
        <v>0</v>
      </c>
      <c r="M149" s="48">
        <f t="shared" si="26"/>
        <v>30</v>
      </c>
      <c r="N149" s="23">
        <f t="shared" si="35"/>
        <v>150</v>
      </c>
      <c r="O149" s="48">
        <f t="shared" si="27"/>
        <v>0</v>
      </c>
    </row>
    <row r="150" spans="2:15">
      <c r="B150" s="23">
        <v>149</v>
      </c>
      <c r="C150" s="23">
        <f t="shared" si="28"/>
        <v>750</v>
      </c>
      <c r="D150" s="23">
        <f t="shared" si="29"/>
        <v>40</v>
      </c>
      <c r="E150" s="48">
        <f t="shared" si="30"/>
        <v>5</v>
      </c>
      <c r="F150" s="48">
        <f t="shared" si="24"/>
        <v>0</v>
      </c>
      <c r="G150" s="48">
        <f>L469+X469+AL469+主线推图!M152+IFERROR(_xlfn.XLOOKUP((B150-6)/10,组队产出!$B$4:$B$19,组队产出!$L$4:$L$19),0)</f>
        <v>1800</v>
      </c>
      <c r="H150" s="23">
        <f t="shared" si="31"/>
        <v>500</v>
      </c>
      <c r="I150" s="23">
        <f t="shared" si="32"/>
        <v>0</v>
      </c>
      <c r="J150" s="23">
        <f t="shared" si="33"/>
        <v>0</v>
      </c>
      <c r="K150" s="23">
        <f t="shared" si="34"/>
        <v>5</v>
      </c>
      <c r="L150" s="48">
        <f t="shared" si="25"/>
        <v>0</v>
      </c>
      <c r="M150" s="48">
        <f t="shared" si="26"/>
        <v>30</v>
      </c>
      <c r="N150" s="23">
        <f t="shared" si="35"/>
        <v>150</v>
      </c>
      <c r="O150" s="48">
        <f t="shared" si="27"/>
        <v>0</v>
      </c>
    </row>
    <row r="151" spans="2:15">
      <c r="B151" s="23">
        <v>150</v>
      </c>
      <c r="C151" s="23">
        <f t="shared" si="28"/>
        <v>750</v>
      </c>
      <c r="D151" s="23">
        <f t="shared" si="29"/>
        <v>40</v>
      </c>
      <c r="E151" s="48">
        <f t="shared" si="30"/>
        <v>0</v>
      </c>
      <c r="F151" s="48">
        <f t="shared" si="24"/>
        <v>1</v>
      </c>
      <c r="G151" s="48">
        <f>L470+X470+AL470+主线推图!M153+IFERROR(_xlfn.XLOOKUP((B151-6)/10,组队产出!$B$4:$B$19,组队产出!$L$4:$L$19),0)</f>
        <v>1800</v>
      </c>
      <c r="H151" s="23">
        <f t="shared" si="31"/>
        <v>500</v>
      </c>
      <c r="I151" s="23">
        <f t="shared" si="32"/>
        <v>0</v>
      </c>
      <c r="J151" s="23">
        <f t="shared" si="33"/>
        <v>1</v>
      </c>
      <c r="K151" s="23">
        <f t="shared" si="34"/>
        <v>5</v>
      </c>
      <c r="L151" s="48">
        <f t="shared" si="25"/>
        <v>3</v>
      </c>
      <c r="M151" s="48">
        <f t="shared" si="26"/>
        <v>0</v>
      </c>
      <c r="N151" s="23">
        <f t="shared" si="35"/>
        <v>150</v>
      </c>
      <c r="O151" s="48">
        <f t="shared" si="27"/>
        <v>0</v>
      </c>
    </row>
    <row r="152" spans="2:15">
      <c r="B152" s="23">
        <v>151</v>
      </c>
      <c r="C152" s="23">
        <f t="shared" si="28"/>
        <v>750</v>
      </c>
      <c r="D152" s="23">
        <f t="shared" si="29"/>
        <v>40</v>
      </c>
      <c r="E152" s="48">
        <f t="shared" si="30"/>
        <v>5</v>
      </c>
      <c r="F152" s="48">
        <f t="shared" si="24"/>
        <v>0</v>
      </c>
      <c r="G152" s="48">
        <f>L471+X471+AL471+主线推图!M154+IFERROR(_xlfn.XLOOKUP((B152-6)/10,组队产出!$B$4:$B$19,组队产出!$L$4:$L$19),0)</f>
        <v>1800</v>
      </c>
      <c r="H152" s="23">
        <f t="shared" si="31"/>
        <v>500</v>
      </c>
      <c r="I152" s="23">
        <f t="shared" si="32"/>
        <v>0</v>
      </c>
      <c r="J152" s="23">
        <f t="shared" si="33"/>
        <v>0</v>
      </c>
      <c r="K152" s="23">
        <f t="shared" si="34"/>
        <v>5</v>
      </c>
      <c r="L152" s="48">
        <f t="shared" si="25"/>
        <v>0</v>
      </c>
      <c r="M152" s="48">
        <f t="shared" si="26"/>
        <v>30</v>
      </c>
      <c r="N152" s="23">
        <f t="shared" si="35"/>
        <v>150</v>
      </c>
      <c r="O152" s="48">
        <f t="shared" si="27"/>
        <v>0</v>
      </c>
    </row>
    <row r="153" spans="2:15">
      <c r="B153" s="23">
        <v>152</v>
      </c>
      <c r="C153" s="23">
        <f t="shared" si="28"/>
        <v>750</v>
      </c>
      <c r="D153" s="23">
        <f t="shared" si="29"/>
        <v>40</v>
      </c>
      <c r="E153" s="48">
        <f t="shared" si="30"/>
        <v>5</v>
      </c>
      <c r="F153" s="48">
        <f t="shared" si="24"/>
        <v>0</v>
      </c>
      <c r="G153" s="48">
        <f>L472+X472+AL472+主线推图!M155+IFERROR(_xlfn.XLOOKUP((B153-6)/10,组队产出!$B$4:$B$19,组队产出!$L$4:$L$19),0)</f>
        <v>1800</v>
      </c>
      <c r="H153" s="23">
        <f t="shared" si="31"/>
        <v>500</v>
      </c>
      <c r="I153" s="23">
        <f t="shared" si="32"/>
        <v>0</v>
      </c>
      <c r="J153" s="23">
        <f t="shared" si="33"/>
        <v>0</v>
      </c>
      <c r="K153" s="23">
        <f t="shared" si="34"/>
        <v>5</v>
      </c>
      <c r="L153" s="48">
        <f t="shared" si="25"/>
        <v>0</v>
      </c>
      <c r="M153" s="48">
        <f t="shared" si="26"/>
        <v>30</v>
      </c>
      <c r="N153" s="23">
        <f t="shared" si="35"/>
        <v>150</v>
      </c>
      <c r="O153" s="48">
        <f t="shared" si="27"/>
        <v>0</v>
      </c>
    </row>
    <row r="154" spans="2:15">
      <c r="B154" s="23">
        <v>153</v>
      </c>
      <c r="C154" s="23">
        <f t="shared" si="28"/>
        <v>750</v>
      </c>
      <c r="D154" s="23">
        <f t="shared" si="29"/>
        <v>40</v>
      </c>
      <c r="E154" s="48">
        <f t="shared" si="30"/>
        <v>5</v>
      </c>
      <c r="F154" s="48">
        <f t="shared" si="24"/>
        <v>0</v>
      </c>
      <c r="G154" s="48">
        <f>L473+X473+AL473+主线推图!M156+IFERROR(_xlfn.XLOOKUP((B154-6)/10,组队产出!$B$4:$B$19,组队产出!$L$4:$L$19),0)</f>
        <v>1800</v>
      </c>
      <c r="H154" s="23">
        <f t="shared" si="31"/>
        <v>500</v>
      </c>
      <c r="I154" s="23">
        <f t="shared" si="32"/>
        <v>0</v>
      </c>
      <c r="J154" s="23">
        <f t="shared" si="33"/>
        <v>0</v>
      </c>
      <c r="K154" s="23">
        <f t="shared" si="34"/>
        <v>5</v>
      </c>
      <c r="L154" s="48">
        <f t="shared" si="25"/>
        <v>0</v>
      </c>
      <c r="M154" s="48">
        <f t="shared" si="26"/>
        <v>30</v>
      </c>
      <c r="N154" s="23">
        <f t="shared" si="35"/>
        <v>150</v>
      </c>
      <c r="O154" s="48">
        <f t="shared" si="27"/>
        <v>0</v>
      </c>
    </row>
    <row r="155" spans="2:15">
      <c r="B155" s="23">
        <v>154</v>
      </c>
      <c r="C155" s="23">
        <f t="shared" si="28"/>
        <v>750</v>
      </c>
      <c r="D155" s="23">
        <f t="shared" si="29"/>
        <v>40</v>
      </c>
      <c r="E155" s="48">
        <f t="shared" si="30"/>
        <v>5</v>
      </c>
      <c r="F155" s="48">
        <f t="shared" si="24"/>
        <v>0</v>
      </c>
      <c r="G155" s="48">
        <f>L474+X474+AL474+主线推图!M157+IFERROR(_xlfn.XLOOKUP((B155-6)/10,组队产出!$B$4:$B$19,组队产出!$L$4:$L$19),0)</f>
        <v>1800</v>
      </c>
      <c r="H155" s="23">
        <f t="shared" si="31"/>
        <v>500</v>
      </c>
      <c r="I155" s="23">
        <f t="shared" si="32"/>
        <v>0</v>
      </c>
      <c r="J155" s="23">
        <f t="shared" si="33"/>
        <v>0</v>
      </c>
      <c r="K155" s="23">
        <f t="shared" si="34"/>
        <v>5</v>
      </c>
      <c r="L155" s="48">
        <f t="shared" si="25"/>
        <v>0</v>
      </c>
      <c r="M155" s="48">
        <f t="shared" si="26"/>
        <v>30</v>
      </c>
      <c r="N155" s="23">
        <f t="shared" si="35"/>
        <v>150</v>
      </c>
      <c r="O155" s="48">
        <f t="shared" si="27"/>
        <v>0</v>
      </c>
    </row>
    <row r="156" spans="2:15">
      <c r="B156" s="23">
        <v>155</v>
      </c>
      <c r="C156" s="23">
        <f t="shared" si="28"/>
        <v>750</v>
      </c>
      <c r="D156" s="23">
        <f t="shared" si="29"/>
        <v>40</v>
      </c>
      <c r="E156" s="48">
        <f t="shared" si="30"/>
        <v>0</v>
      </c>
      <c r="F156" s="48">
        <f t="shared" si="24"/>
        <v>1</v>
      </c>
      <c r="G156" s="48">
        <f>L475+X475+AL475+主线推图!M158+IFERROR(_xlfn.XLOOKUP((B156-6)/10,组队产出!$B$4:$B$19,组队产出!$L$4:$L$19),0)</f>
        <v>1800</v>
      </c>
      <c r="H156" s="23">
        <f t="shared" si="31"/>
        <v>500</v>
      </c>
      <c r="I156" s="23">
        <f t="shared" si="32"/>
        <v>0</v>
      </c>
      <c r="J156" s="23">
        <f t="shared" si="33"/>
        <v>1</v>
      </c>
      <c r="K156" s="23">
        <f t="shared" si="34"/>
        <v>5</v>
      </c>
      <c r="L156" s="48">
        <f t="shared" si="25"/>
        <v>3</v>
      </c>
      <c r="M156" s="48">
        <f t="shared" si="26"/>
        <v>0</v>
      </c>
      <c r="N156" s="23">
        <f t="shared" si="35"/>
        <v>150</v>
      </c>
      <c r="O156" s="48">
        <f t="shared" si="27"/>
        <v>0</v>
      </c>
    </row>
    <row r="157" spans="2:15">
      <c r="B157" s="23">
        <v>156</v>
      </c>
      <c r="C157" s="23">
        <f t="shared" si="28"/>
        <v>750</v>
      </c>
      <c r="D157" s="23">
        <f t="shared" si="29"/>
        <v>40</v>
      </c>
      <c r="E157" s="48">
        <f t="shared" si="30"/>
        <v>15</v>
      </c>
      <c r="F157" s="48">
        <f t="shared" si="24"/>
        <v>0</v>
      </c>
      <c r="G157" s="48">
        <f>L476+X476+AL476+主线推图!M159+IFERROR(_xlfn.XLOOKUP((B157-6)/10,组队产出!$B$4:$B$19,组队产出!$L$4:$L$19),0)</f>
        <v>16800</v>
      </c>
      <c r="H157" s="23">
        <f t="shared" si="31"/>
        <v>500</v>
      </c>
      <c r="I157" s="23">
        <f t="shared" si="32"/>
        <v>0</v>
      </c>
      <c r="J157" s="23">
        <f t="shared" si="33"/>
        <v>0</v>
      </c>
      <c r="K157" s="23">
        <f t="shared" si="34"/>
        <v>5</v>
      </c>
      <c r="L157" s="48">
        <f t="shared" si="25"/>
        <v>0</v>
      </c>
      <c r="M157" s="48">
        <f t="shared" si="26"/>
        <v>30</v>
      </c>
      <c r="N157" s="23">
        <f t="shared" si="35"/>
        <v>150</v>
      </c>
      <c r="O157" s="48">
        <f t="shared" si="27"/>
        <v>0</v>
      </c>
    </row>
    <row r="158" spans="2:15">
      <c r="B158" s="23">
        <v>157</v>
      </c>
      <c r="C158" s="23">
        <f t="shared" si="28"/>
        <v>750</v>
      </c>
      <c r="D158" s="23">
        <f t="shared" si="29"/>
        <v>40</v>
      </c>
      <c r="E158" s="48">
        <f t="shared" si="30"/>
        <v>5</v>
      </c>
      <c r="F158" s="48">
        <f t="shared" si="24"/>
        <v>0</v>
      </c>
      <c r="G158" s="48">
        <f>L477+X477+AL477+主线推图!M160+IFERROR(_xlfn.XLOOKUP((B158-6)/10,组队产出!$B$4:$B$19,组队产出!$L$4:$L$19),0)</f>
        <v>1800</v>
      </c>
      <c r="H158" s="23">
        <f t="shared" si="31"/>
        <v>500</v>
      </c>
      <c r="I158" s="23">
        <f t="shared" si="32"/>
        <v>0</v>
      </c>
      <c r="J158" s="23">
        <f t="shared" si="33"/>
        <v>0</v>
      </c>
      <c r="K158" s="23">
        <f t="shared" si="34"/>
        <v>5</v>
      </c>
      <c r="L158" s="48">
        <f t="shared" si="25"/>
        <v>0</v>
      </c>
      <c r="M158" s="48">
        <f t="shared" si="26"/>
        <v>30</v>
      </c>
      <c r="N158" s="23">
        <f t="shared" si="35"/>
        <v>150</v>
      </c>
      <c r="O158" s="48">
        <f t="shared" si="27"/>
        <v>0</v>
      </c>
    </row>
    <row r="159" spans="2:15">
      <c r="B159" s="23">
        <v>158</v>
      </c>
      <c r="C159" s="23">
        <f t="shared" si="28"/>
        <v>750</v>
      </c>
      <c r="D159" s="23">
        <f t="shared" si="29"/>
        <v>40</v>
      </c>
      <c r="E159" s="48">
        <f t="shared" si="30"/>
        <v>5</v>
      </c>
      <c r="F159" s="48">
        <f t="shared" si="24"/>
        <v>0</v>
      </c>
      <c r="G159" s="48">
        <f>L478+X478+AL478+主线推图!M161+IFERROR(_xlfn.XLOOKUP((B159-6)/10,组队产出!$B$4:$B$19,组队产出!$L$4:$L$19),0)</f>
        <v>1800</v>
      </c>
      <c r="H159" s="23">
        <f t="shared" si="31"/>
        <v>500</v>
      </c>
      <c r="I159" s="23">
        <f t="shared" si="32"/>
        <v>0</v>
      </c>
      <c r="J159" s="23">
        <f t="shared" si="33"/>
        <v>0</v>
      </c>
      <c r="K159" s="23">
        <f t="shared" si="34"/>
        <v>5</v>
      </c>
      <c r="L159" s="48">
        <f t="shared" si="25"/>
        <v>0</v>
      </c>
      <c r="M159" s="48">
        <f t="shared" si="26"/>
        <v>30</v>
      </c>
      <c r="N159" s="23">
        <f t="shared" si="35"/>
        <v>150</v>
      </c>
      <c r="O159" s="48">
        <f t="shared" si="27"/>
        <v>0</v>
      </c>
    </row>
    <row r="160" spans="2:15">
      <c r="B160" s="23">
        <v>159</v>
      </c>
      <c r="C160" s="23">
        <f t="shared" si="28"/>
        <v>750</v>
      </c>
      <c r="D160" s="23">
        <f t="shared" si="29"/>
        <v>40</v>
      </c>
      <c r="E160" s="48">
        <f t="shared" si="30"/>
        <v>5</v>
      </c>
      <c r="F160" s="48">
        <f t="shared" si="24"/>
        <v>0</v>
      </c>
      <c r="G160" s="48">
        <f>L479+X479+AL479+主线推图!M162+IFERROR(_xlfn.XLOOKUP((B160-6)/10,组队产出!$B$4:$B$19,组队产出!$L$4:$L$19),0)</f>
        <v>1800</v>
      </c>
      <c r="H160" s="23">
        <f t="shared" si="31"/>
        <v>500</v>
      </c>
      <c r="I160" s="23">
        <f t="shared" si="32"/>
        <v>0</v>
      </c>
      <c r="J160" s="23">
        <f t="shared" si="33"/>
        <v>0</v>
      </c>
      <c r="K160" s="23">
        <f t="shared" si="34"/>
        <v>5</v>
      </c>
      <c r="L160" s="48">
        <f t="shared" si="25"/>
        <v>0</v>
      </c>
      <c r="M160" s="48">
        <f t="shared" si="26"/>
        <v>30</v>
      </c>
      <c r="N160" s="23">
        <f t="shared" si="35"/>
        <v>150</v>
      </c>
      <c r="O160" s="48">
        <f t="shared" si="27"/>
        <v>0</v>
      </c>
    </row>
    <row r="161" spans="2:15">
      <c r="B161" s="23">
        <v>160</v>
      </c>
      <c r="C161" s="23">
        <f t="shared" si="28"/>
        <v>750</v>
      </c>
      <c r="D161" s="23">
        <f t="shared" si="29"/>
        <v>40</v>
      </c>
      <c r="E161" s="48">
        <f t="shared" si="30"/>
        <v>0</v>
      </c>
      <c r="F161" s="48">
        <f t="shared" si="24"/>
        <v>1</v>
      </c>
      <c r="G161" s="48">
        <f>L480+X480+AL480+主线推图!M163+IFERROR(_xlfn.XLOOKUP((B161-6)/10,组队产出!$B$4:$B$19,组队产出!$L$4:$L$19),0)</f>
        <v>1800</v>
      </c>
      <c r="H161" s="23">
        <f t="shared" si="31"/>
        <v>500</v>
      </c>
      <c r="I161" s="23">
        <f t="shared" si="32"/>
        <v>0</v>
      </c>
      <c r="J161" s="23">
        <f t="shared" si="33"/>
        <v>1</v>
      </c>
      <c r="K161" s="23">
        <f t="shared" si="34"/>
        <v>5</v>
      </c>
      <c r="L161" s="48">
        <f t="shared" si="25"/>
        <v>3</v>
      </c>
      <c r="M161" s="48">
        <f t="shared" si="26"/>
        <v>0</v>
      </c>
      <c r="N161" s="23">
        <f t="shared" si="35"/>
        <v>150</v>
      </c>
      <c r="O161" s="48">
        <f t="shared" si="27"/>
        <v>0</v>
      </c>
    </row>
    <row r="162" spans="2:15">
      <c r="B162" s="23">
        <v>161</v>
      </c>
      <c r="C162" s="23">
        <f t="shared" si="28"/>
        <v>750</v>
      </c>
      <c r="D162" s="23">
        <f t="shared" si="29"/>
        <v>40</v>
      </c>
      <c r="E162" s="48">
        <f t="shared" si="30"/>
        <v>5</v>
      </c>
      <c r="F162" s="48">
        <f t="shared" si="24"/>
        <v>0</v>
      </c>
      <c r="G162" s="48">
        <f>L481+X481+AL481+主线推图!M164+IFERROR(_xlfn.XLOOKUP((B162-6)/10,组队产出!$B$4:$B$19,组队产出!$L$4:$L$19),0)</f>
        <v>1800</v>
      </c>
      <c r="H162" s="23">
        <f t="shared" si="31"/>
        <v>500</v>
      </c>
      <c r="I162" s="23">
        <f t="shared" si="32"/>
        <v>0</v>
      </c>
      <c r="J162" s="23">
        <f t="shared" si="33"/>
        <v>0</v>
      </c>
      <c r="K162" s="23">
        <f t="shared" si="34"/>
        <v>5</v>
      </c>
      <c r="L162" s="48">
        <f t="shared" si="25"/>
        <v>0</v>
      </c>
      <c r="M162" s="48">
        <f t="shared" si="26"/>
        <v>30</v>
      </c>
      <c r="N162" s="23">
        <f t="shared" si="35"/>
        <v>150</v>
      </c>
      <c r="O162" s="48">
        <f t="shared" si="27"/>
        <v>0</v>
      </c>
    </row>
    <row r="163" spans="2:15">
      <c r="B163" s="23">
        <v>162</v>
      </c>
      <c r="C163" s="23">
        <f t="shared" si="28"/>
        <v>750</v>
      </c>
      <c r="D163" s="23">
        <f t="shared" si="29"/>
        <v>40</v>
      </c>
      <c r="E163" s="48">
        <f t="shared" si="30"/>
        <v>5</v>
      </c>
      <c r="F163" s="48">
        <f t="shared" si="24"/>
        <v>0</v>
      </c>
      <c r="G163" s="48">
        <f>L482+X482+AL482+主线推图!M165+IFERROR(_xlfn.XLOOKUP((B163-6)/10,组队产出!$B$4:$B$19,组队产出!$L$4:$L$19),0)</f>
        <v>1800</v>
      </c>
      <c r="H163" s="23">
        <f t="shared" si="31"/>
        <v>500</v>
      </c>
      <c r="I163" s="23">
        <f t="shared" si="32"/>
        <v>0</v>
      </c>
      <c r="J163" s="23">
        <f t="shared" si="33"/>
        <v>0</v>
      </c>
      <c r="K163" s="23">
        <f t="shared" si="34"/>
        <v>5</v>
      </c>
      <c r="L163" s="48">
        <f t="shared" si="25"/>
        <v>0</v>
      </c>
      <c r="M163" s="48">
        <f t="shared" si="26"/>
        <v>30</v>
      </c>
      <c r="N163" s="23">
        <f t="shared" si="35"/>
        <v>150</v>
      </c>
      <c r="O163" s="48">
        <f t="shared" si="27"/>
        <v>0</v>
      </c>
    </row>
    <row r="164" spans="2:15">
      <c r="B164" s="23">
        <v>163</v>
      </c>
      <c r="C164" s="23">
        <f t="shared" si="28"/>
        <v>750</v>
      </c>
      <c r="D164" s="23">
        <f t="shared" si="29"/>
        <v>40</v>
      </c>
      <c r="E164" s="48">
        <f t="shared" si="30"/>
        <v>5</v>
      </c>
      <c r="F164" s="48">
        <f t="shared" si="24"/>
        <v>0</v>
      </c>
      <c r="G164" s="48">
        <f>L483+X483+AL483+主线推图!M166+IFERROR(_xlfn.XLOOKUP((B164-6)/10,组队产出!$B$4:$B$19,组队产出!$L$4:$L$19),0)</f>
        <v>1800</v>
      </c>
      <c r="H164" s="23">
        <f t="shared" si="31"/>
        <v>500</v>
      </c>
      <c r="I164" s="23">
        <f t="shared" si="32"/>
        <v>0</v>
      </c>
      <c r="J164" s="23">
        <f t="shared" si="33"/>
        <v>0</v>
      </c>
      <c r="K164" s="23">
        <f t="shared" si="34"/>
        <v>5</v>
      </c>
      <c r="L164" s="48">
        <f t="shared" si="25"/>
        <v>0</v>
      </c>
      <c r="M164" s="48">
        <f t="shared" si="26"/>
        <v>30</v>
      </c>
      <c r="N164" s="23">
        <f t="shared" si="35"/>
        <v>150</v>
      </c>
      <c r="O164" s="48">
        <f t="shared" si="27"/>
        <v>0</v>
      </c>
    </row>
    <row r="165" spans="2:15">
      <c r="B165" s="23">
        <v>164</v>
      </c>
      <c r="C165" s="23">
        <f t="shared" si="28"/>
        <v>750</v>
      </c>
      <c r="D165" s="23">
        <f t="shared" si="29"/>
        <v>40</v>
      </c>
      <c r="E165" s="48">
        <f t="shared" si="30"/>
        <v>5</v>
      </c>
      <c r="F165" s="48">
        <f t="shared" si="24"/>
        <v>0</v>
      </c>
      <c r="G165" s="48">
        <f>L484+X484+AL484+主线推图!M167+IFERROR(_xlfn.XLOOKUP((B165-6)/10,组队产出!$B$4:$B$19,组队产出!$L$4:$L$19),0)</f>
        <v>1800</v>
      </c>
      <c r="H165" s="23">
        <f t="shared" si="31"/>
        <v>500</v>
      </c>
      <c r="I165" s="23">
        <f t="shared" si="32"/>
        <v>0</v>
      </c>
      <c r="J165" s="23">
        <f t="shared" si="33"/>
        <v>0</v>
      </c>
      <c r="K165" s="23">
        <f t="shared" si="34"/>
        <v>5</v>
      </c>
      <c r="L165" s="48">
        <f t="shared" si="25"/>
        <v>0</v>
      </c>
      <c r="M165" s="48">
        <f t="shared" si="26"/>
        <v>30</v>
      </c>
      <c r="N165" s="23">
        <f t="shared" si="35"/>
        <v>150</v>
      </c>
      <c r="O165" s="48">
        <f t="shared" si="27"/>
        <v>0</v>
      </c>
    </row>
    <row r="166" spans="2:15">
      <c r="B166" s="23">
        <v>165</v>
      </c>
      <c r="C166" s="23">
        <f t="shared" si="28"/>
        <v>750</v>
      </c>
      <c r="D166" s="23">
        <f t="shared" si="29"/>
        <v>40</v>
      </c>
      <c r="E166" s="48">
        <f t="shared" si="30"/>
        <v>0</v>
      </c>
      <c r="F166" s="48">
        <f t="shared" si="24"/>
        <v>1</v>
      </c>
      <c r="G166" s="48">
        <f>L485+X485+AL485+主线推图!M168+IFERROR(_xlfn.XLOOKUP((B166-6)/10,组队产出!$B$4:$B$19,组队产出!$L$4:$L$19),0)</f>
        <v>1800</v>
      </c>
      <c r="H166" s="23">
        <f t="shared" si="31"/>
        <v>500</v>
      </c>
      <c r="I166" s="23">
        <f t="shared" si="32"/>
        <v>0</v>
      </c>
      <c r="J166" s="23">
        <f t="shared" si="33"/>
        <v>1</v>
      </c>
      <c r="K166" s="23">
        <f t="shared" si="34"/>
        <v>5</v>
      </c>
      <c r="L166" s="48">
        <f t="shared" si="25"/>
        <v>3</v>
      </c>
      <c r="M166" s="48">
        <f t="shared" si="26"/>
        <v>0</v>
      </c>
      <c r="N166" s="23">
        <f t="shared" si="35"/>
        <v>150</v>
      </c>
      <c r="O166" s="48">
        <f t="shared" si="27"/>
        <v>0</v>
      </c>
    </row>
    <row r="167" spans="2:15">
      <c r="B167" s="23">
        <v>166</v>
      </c>
      <c r="C167" s="23">
        <f t="shared" si="28"/>
        <v>750</v>
      </c>
      <c r="D167" s="23">
        <f t="shared" si="29"/>
        <v>40</v>
      </c>
      <c r="E167" s="48">
        <f t="shared" si="30"/>
        <v>5</v>
      </c>
      <c r="F167" s="48">
        <f t="shared" si="24"/>
        <v>0</v>
      </c>
      <c r="G167" s="48">
        <f>L486+X486+AL486+主线推图!M169+IFERROR(_xlfn.XLOOKUP((B167-6)/10,组队产出!$B$4:$B$19,组队产出!$L$4:$L$19),0)</f>
        <v>1800</v>
      </c>
      <c r="H167" s="23">
        <f t="shared" si="31"/>
        <v>500</v>
      </c>
      <c r="I167" s="23">
        <f t="shared" si="32"/>
        <v>0</v>
      </c>
      <c r="J167" s="23">
        <f t="shared" si="33"/>
        <v>0</v>
      </c>
      <c r="K167" s="23">
        <f t="shared" si="34"/>
        <v>5</v>
      </c>
      <c r="L167" s="48">
        <f t="shared" si="25"/>
        <v>0</v>
      </c>
      <c r="M167" s="48">
        <f t="shared" si="26"/>
        <v>30</v>
      </c>
      <c r="N167" s="23">
        <f t="shared" si="35"/>
        <v>150</v>
      </c>
      <c r="O167" s="48">
        <f t="shared" si="27"/>
        <v>2</v>
      </c>
    </row>
    <row r="168" spans="2:15">
      <c r="B168" s="23">
        <v>167</v>
      </c>
      <c r="C168" s="23">
        <f t="shared" si="28"/>
        <v>750</v>
      </c>
      <c r="D168" s="23">
        <f t="shared" si="29"/>
        <v>40</v>
      </c>
      <c r="E168" s="48">
        <f t="shared" si="30"/>
        <v>5</v>
      </c>
      <c r="F168" s="48">
        <f t="shared" si="24"/>
        <v>0</v>
      </c>
      <c r="G168" s="48">
        <f>L487+X487+AL487+主线推图!M170+IFERROR(_xlfn.XLOOKUP((B168-6)/10,组队产出!$B$4:$B$19,组队产出!$L$4:$L$19),0)</f>
        <v>1800</v>
      </c>
      <c r="H168" s="23">
        <f t="shared" si="31"/>
        <v>500</v>
      </c>
      <c r="I168" s="23">
        <f t="shared" si="32"/>
        <v>0</v>
      </c>
      <c r="J168" s="23">
        <f t="shared" si="33"/>
        <v>0</v>
      </c>
      <c r="K168" s="23">
        <f t="shared" si="34"/>
        <v>5</v>
      </c>
      <c r="L168" s="48">
        <f t="shared" si="25"/>
        <v>0</v>
      </c>
      <c r="M168" s="48">
        <f t="shared" si="26"/>
        <v>30</v>
      </c>
      <c r="N168" s="23">
        <f t="shared" si="35"/>
        <v>150</v>
      </c>
      <c r="O168" s="48">
        <f t="shared" si="27"/>
        <v>0</v>
      </c>
    </row>
    <row r="169" spans="2:15">
      <c r="B169" s="23">
        <v>168</v>
      </c>
      <c r="C169" s="23">
        <f t="shared" si="28"/>
        <v>750</v>
      </c>
      <c r="D169" s="23">
        <f t="shared" si="29"/>
        <v>40</v>
      </c>
      <c r="E169" s="48">
        <f t="shared" si="30"/>
        <v>5</v>
      </c>
      <c r="F169" s="48">
        <f t="shared" si="24"/>
        <v>0</v>
      </c>
      <c r="G169" s="48">
        <f>L488+X488+AL488+主线推图!M171+IFERROR(_xlfn.XLOOKUP((B169-6)/10,组队产出!$B$4:$B$19,组队产出!$L$4:$L$19),0)</f>
        <v>1800</v>
      </c>
      <c r="H169" s="23">
        <f t="shared" si="31"/>
        <v>500</v>
      </c>
      <c r="I169" s="23">
        <f t="shared" si="32"/>
        <v>0</v>
      </c>
      <c r="J169" s="23">
        <f t="shared" si="33"/>
        <v>0</v>
      </c>
      <c r="K169" s="23">
        <f t="shared" si="34"/>
        <v>5</v>
      </c>
      <c r="L169" s="48">
        <f t="shared" si="25"/>
        <v>0</v>
      </c>
      <c r="M169" s="48">
        <f t="shared" si="26"/>
        <v>30</v>
      </c>
      <c r="N169" s="23">
        <f t="shared" si="35"/>
        <v>150</v>
      </c>
      <c r="O169" s="48">
        <f t="shared" si="27"/>
        <v>0</v>
      </c>
    </row>
    <row r="170" spans="2:15">
      <c r="B170" s="23">
        <v>169</v>
      </c>
      <c r="C170" s="23">
        <f t="shared" si="28"/>
        <v>750</v>
      </c>
      <c r="D170" s="23">
        <f t="shared" si="29"/>
        <v>40</v>
      </c>
      <c r="E170" s="48">
        <f t="shared" si="30"/>
        <v>5</v>
      </c>
      <c r="F170" s="48">
        <f t="shared" si="24"/>
        <v>0</v>
      </c>
      <c r="G170" s="48">
        <f>L489+X489+AL489+主线推图!M172+IFERROR(_xlfn.XLOOKUP((B170-6)/10,组队产出!$B$4:$B$19,组队产出!$L$4:$L$19),0)</f>
        <v>1800</v>
      </c>
      <c r="H170" s="23">
        <f t="shared" si="31"/>
        <v>500</v>
      </c>
      <c r="I170" s="23">
        <f t="shared" si="32"/>
        <v>0</v>
      </c>
      <c r="J170" s="23">
        <f t="shared" si="33"/>
        <v>0</v>
      </c>
      <c r="K170" s="23">
        <f t="shared" si="34"/>
        <v>5</v>
      </c>
      <c r="L170" s="48">
        <f t="shared" si="25"/>
        <v>0</v>
      </c>
      <c r="M170" s="48">
        <f t="shared" si="26"/>
        <v>30</v>
      </c>
      <c r="N170" s="23">
        <f t="shared" si="35"/>
        <v>150</v>
      </c>
      <c r="O170" s="48">
        <f t="shared" si="27"/>
        <v>0</v>
      </c>
    </row>
    <row r="171" spans="2:15">
      <c r="B171" s="23">
        <v>170</v>
      </c>
      <c r="C171" s="23">
        <f t="shared" si="28"/>
        <v>750</v>
      </c>
      <c r="D171" s="23">
        <f t="shared" si="29"/>
        <v>40</v>
      </c>
      <c r="E171" s="48">
        <f t="shared" si="30"/>
        <v>0</v>
      </c>
      <c r="F171" s="48">
        <f t="shared" si="24"/>
        <v>1</v>
      </c>
      <c r="G171" s="48">
        <f>L490+X490+AL490+主线推图!M173+IFERROR(_xlfn.XLOOKUP((B171-6)/10,组队产出!$B$4:$B$19,组队产出!$L$4:$L$19),0)</f>
        <v>1800</v>
      </c>
      <c r="H171" s="23">
        <f t="shared" si="31"/>
        <v>500</v>
      </c>
      <c r="I171" s="23">
        <f t="shared" si="32"/>
        <v>0</v>
      </c>
      <c r="J171" s="23">
        <f t="shared" si="33"/>
        <v>1</v>
      </c>
      <c r="K171" s="23">
        <f t="shared" si="34"/>
        <v>5</v>
      </c>
      <c r="L171" s="48">
        <f t="shared" si="25"/>
        <v>3</v>
      </c>
      <c r="M171" s="48">
        <f t="shared" si="26"/>
        <v>0</v>
      </c>
      <c r="N171" s="23">
        <f t="shared" si="35"/>
        <v>150</v>
      </c>
      <c r="O171" s="48">
        <f t="shared" si="27"/>
        <v>0</v>
      </c>
    </row>
    <row r="172" spans="2:15">
      <c r="B172" s="23">
        <v>171</v>
      </c>
      <c r="C172" s="23">
        <f t="shared" si="28"/>
        <v>750</v>
      </c>
      <c r="D172" s="23">
        <f t="shared" si="29"/>
        <v>40</v>
      </c>
      <c r="E172" s="48">
        <f t="shared" si="30"/>
        <v>5</v>
      </c>
      <c r="F172" s="48">
        <f t="shared" si="24"/>
        <v>0</v>
      </c>
      <c r="G172" s="48">
        <f>L491+X491+AL491+主线推图!M174+IFERROR(_xlfn.XLOOKUP((B172-6)/10,组队产出!$B$4:$B$19,组队产出!$L$4:$L$19),0)</f>
        <v>1800</v>
      </c>
      <c r="H172" s="23">
        <f t="shared" si="31"/>
        <v>500</v>
      </c>
      <c r="I172" s="23">
        <f t="shared" si="32"/>
        <v>0</v>
      </c>
      <c r="J172" s="23">
        <f t="shared" si="33"/>
        <v>0</v>
      </c>
      <c r="K172" s="23">
        <f t="shared" si="34"/>
        <v>5</v>
      </c>
      <c r="L172" s="48">
        <f t="shared" si="25"/>
        <v>0</v>
      </c>
      <c r="M172" s="48">
        <f t="shared" si="26"/>
        <v>30</v>
      </c>
      <c r="N172" s="23">
        <f t="shared" si="35"/>
        <v>150</v>
      </c>
      <c r="O172" s="48">
        <f t="shared" si="27"/>
        <v>0</v>
      </c>
    </row>
    <row r="173" spans="2:15">
      <c r="B173" s="23">
        <v>172</v>
      </c>
      <c r="C173" s="23">
        <f t="shared" si="28"/>
        <v>750</v>
      </c>
      <c r="D173" s="23">
        <f t="shared" si="29"/>
        <v>40</v>
      </c>
      <c r="E173" s="48">
        <f t="shared" si="30"/>
        <v>5</v>
      </c>
      <c r="F173" s="48">
        <f t="shared" si="24"/>
        <v>0</v>
      </c>
      <c r="G173" s="48">
        <f>L492+X492+AL492+主线推图!M175+IFERROR(_xlfn.XLOOKUP((B173-6)/10,组队产出!$B$4:$B$19,组队产出!$L$4:$L$19),0)</f>
        <v>1800</v>
      </c>
      <c r="H173" s="23">
        <f t="shared" si="31"/>
        <v>500</v>
      </c>
      <c r="I173" s="23">
        <f t="shared" si="32"/>
        <v>0</v>
      </c>
      <c r="J173" s="23">
        <f t="shared" si="33"/>
        <v>0</v>
      </c>
      <c r="K173" s="23">
        <f t="shared" si="34"/>
        <v>5</v>
      </c>
      <c r="L173" s="48">
        <f t="shared" si="25"/>
        <v>0</v>
      </c>
      <c r="M173" s="48">
        <f t="shared" si="26"/>
        <v>30</v>
      </c>
      <c r="N173" s="23">
        <f t="shared" si="35"/>
        <v>150</v>
      </c>
      <c r="O173" s="48">
        <f t="shared" si="27"/>
        <v>0</v>
      </c>
    </row>
    <row r="174" spans="2:15">
      <c r="B174" s="23">
        <v>173</v>
      </c>
      <c r="C174" s="23">
        <f t="shared" si="28"/>
        <v>750</v>
      </c>
      <c r="D174" s="23">
        <f t="shared" si="29"/>
        <v>40</v>
      </c>
      <c r="E174" s="48">
        <f t="shared" si="30"/>
        <v>5</v>
      </c>
      <c r="F174" s="48">
        <f t="shared" si="24"/>
        <v>0</v>
      </c>
      <c r="G174" s="48">
        <f>L493+X493+AL493+主线推图!M176+IFERROR(_xlfn.XLOOKUP((B174-6)/10,组队产出!$B$4:$B$19,组队产出!$L$4:$L$19),0)</f>
        <v>1800</v>
      </c>
      <c r="H174" s="23">
        <f t="shared" si="31"/>
        <v>500</v>
      </c>
      <c r="I174" s="23">
        <f t="shared" si="32"/>
        <v>0</v>
      </c>
      <c r="J174" s="23">
        <f t="shared" si="33"/>
        <v>0</v>
      </c>
      <c r="K174" s="23">
        <f t="shared" si="34"/>
        <v>5</v>
      </c>
      <c r="L174" s="48">
        <f t="shared" si="25"/>
        <v>0</v>
      </c>
      <c r="M174" s="48">
        <f t="shared" si="26"/>
        <v>30</v>
      </c>
      <c r="N174" s="23">
        <f t="shared" si="35"/>
        <v>150</v>
      </c>
      <c r="O174" s="48">
        <f t="shared" si="27"/>
        <v>0</v>
      </c>
    </row>
    <row r="175" spans="2:15">
      <c r="B175" s="23">
        <v>174</v>
      </c>
      <c r="C175" s="23">
        <f t="shared" si="28"/>
        <v>750</v>
      </c>
      <c r="D175" s="23">
        <f t="shared" si="29"/>
        <v>40</v>
      </c>
      <c r="E175" s="48">
        <f t="shared" si="30"/>
        <v>5</v>
      </c>
      <c r="F175" s="48">
        <f t="shared" si="24"/>
        <v>0</v>
      </c>
      <c r="G175" s="48">
        <f>L494+X494+AL494+主线推图!M177+IFERROR(_xlfn.XLOOKUP((B175-6)/10,组队产出!$B$4:$B$19,组队产出!$L$4:$L$19),0)</f>
        <v>1800</v>
      </c>
      <c r="H175" s="23">
        <f t="shared" si="31"/>
        <v>500</v>
      </c>
      <c r="I175" s="23">
        <f t="shared" si="32"/>
        <v>0</v>
      </c>
      <c r="J175" s="23">
        <f t="shared" si="33"/>
        <v>0</v>
      </c>
      <c r="K175" s="23">
        <f t="shared" si="34"/>
        <v>5</v>
      </c>
      <c r="L175" s="48">
        <f t="shared" si="25"/>
        <v>0</v>
      </c>
      <c r="M175" s="48">
        <f t="shared" si="26"/>
        <v>30</v>
      </c>
      <c r="N175" s="23">
        <f t="shared" si="35"/>
        <v>150</v>
      </c>
      <c r="O175" s="48">
        <f t="shared" si="27"/>
        <v>0</v>
      </c>
    </row>
    <row r="176" spans="2:15">
      <c r="B176" s="23">
        <v>175</v>
      </c>
      <c r="C176" s="23">
        <f t="shared" si="28"/>
        <v>750</v>
      </c>
      <c r="D176" s="23">
        <f t="shared" si="29"/>
        <v>40</v>
      </c>
      <c r="E176" s="48">
        <f t="shared" si="30"/>
        <v>0</v>
      </c>
      <c r="F176" s="48">
        <f t="shared" si="24"/>
        <v>1</v>
      </c>
      <c r="G176" s="48">
        <f>L495+X495+AL495+主线推图!M178+IFERROR(_xlfn.XLOOKUP((B176-6)/10,组队产出!$B$4:$B$19,组队产出!$L$4:$L$19),0)</f>
        <v>1800</v>
      </c>
      <c r="H176" s="23">
        <f t="shared" si="31"/>
        <v>500</v>
      </c>
      <c r="I176" s="23">
        <f t="shared" si="32"/>
        <v>0</v>
      </c>
      <c r="J176" s="23">
        <f t="shared" si="33"/>
        <v>1</v>
      </c>
      <c r="K176" s="23">
        <f t="shared" si="34"/>
        <v>5</v>
      </c>
      <c r="L176" s="48">
        <f t="shared" si="25"/>
        <v>3</v>
      </c>
      <c r="M176" s="48">
        <f t="shared" si="26"/>
        <v>0</v>
      </c>
      <c r="N176" s="23">
        <f t="shared" si="35"/>
        <v>150</v>
      </c>
      <c r="O176" s="48">
        <f t="shared" si="27"/>
        <v>0</v>
      </c>
    </row>
    <row r="177" spans="2:15">
      <c r="B177" s="23">
        <v>176</v>
      </c>
      <c r="C177" s="23">
        <f t="shared" si="28"/>
        <v>750</v>
      </c>
      <c r="D177" s="23">
        <f t="shared" si="29"/>
        <v>40</v>
      </c>
      <c r="E177" s="48">
        <f t="shared" si="30"/>
        <v>15</v>
      </c>
      <c r="F177" s="48">
        <f t="shared" si="24"/>
        <v>0</v>
      </c>
      <c r="G177" s="48">
        <f>L496+X496+AL496+主线推图!M179+IFERROR(_xlfn.XLOOKUP((B177-6)/10,组队产出!$B$4:$B$19,组队产出!$L$4:$L$19),0)</f>
        <v>1800</v>
      </c>
      <c r="H177" s="23">
        <f t="shared" si="31"/>
        <v>500</v>
      </c>
      <c r="I177" s="23">
        <f t="shared" si="32"/>
        <v>0</v>
      </c>
      <c r="J177" s="23">
        <f t="shared" si="33"/>
        <v>0</v>
      </c>
      <c r="K177" s="23">
        <f t="shared" si="34"/>
        <v>5</v>
      </c>
      <c r="L177" s="48">
        <f t="shared" si="25"/>
        <v>0</v>
      </c>
      <c r="M177" s="48">
        <f t="shared" si="26"/>
        <v>30</v>
      </c>
      <c r="N177" s="23">
        <f t="shared" si="35"/>
        <v>150</v>
      </c>
      <c r="O177" s="48">
        <f t="shared" si="27"/>
        <v>0</v>
      </c>
    </row>
    <row r="178" spans="2:15">
      <c r="B178" s="23">
        <v>177</v>
      </c>
      <c r="C178" s="23">
        <f t="shared" si="28"/>
        <v>750</v>
      </c>
      <c r="D178" s="23">
        <f t="shared" si="29"/>
        <v>40</v>
      </c>
      <c r="E178" s="48">
        <f t="shared" si="30"/>
        <v>5</v>
      </c>
      <c r="F178" s="48">
        <f t="shared" si="24"/>
        <v>0</v>
      </c>
      <c r="G178" s="48">
        <f>L497+X497+AL497+主线推图!M180+IFERROR(_xlfn.XLOOKUP((B178-6)/10,组队产出!$B$4:$B$19,组队产出!$L$4:$L$19),0)</f>
        <v>1800</v>
      </c>
      <c r="H178" s="23">
        <f t="shared" si="31"/>
        <v>500</v>
      </c>
      <c r="I178" s="23">
        <f t="shared" si="32"/>
        <v>0</v>
      </c>
      <c r="J178" s="23">
        <f t="shared" si="33"/>
        <v>0</v>
      </c>
      <c r="K178" s="23">
        <f t="shared" si="34"/>
        <v>5</v>
      </c>
      <c r="L178" s="48">
        <f t="shared" si="25"/>
        <v>0</v>
      </c>
      <c r="M178" s="48">
        <f t="shared" si="26"/>
        <v>30</v>
      </c>
      <c r="N178" s="23">
        <f t="shared" si="35"/>
        <v>150</v>
      </c>
      <c r="O178" s="48">
        <f t="shared" si="27"/>
        <v>0</v>
      </c>
    </row>
    <row r="179" spans="2:15">
      <c r="B179" s="23">
        <v>178</v>
      </c>
      <c r="C179" s="23">
        <f t="shared" si="28"/>
        <v>750</v>
      </c>
      <c r="D179" s="23">
        <f t="shared" si="29"/>
        <v>40</v>
      </c>
      <c r="E179" s="48">
        <f t="shared" si="30"/>
        <v>5</v>
      </c>
      <c r="F179" s="48">
        <f t="shared" si="24"/>
        <v>0</v>
      </c>
      <c r="G179" s="48">
        <f>L498+X498+AL498+主线推图!M181+IFERROR(_xlfn.XLOOKUP((B179-6)/10,组队产出!$B$4:$B$19,组队产出!$L$4:$L$19),0)</f>
        <v>1800</v>
      </c>
      <c r="H179" s="23">
        <f t="shared" si="31"/>
        <v>500</v>
      </c>
      <c r="I179" s="23">
        <f t="shared" si="32"/>
        <v>0</v>
      </c>
      <c r="J179" s="23">
        <f t="shared" si="33"/>
        <v>0</v>
      </c>
      <c r="K179" s="23">
        <f t="shared" si="34"/>
        <v>5</v>
      </c>
      <c r="L179" s="48">
        <f t="shared" si="25"/>
        <v>0</v>
      </c>
      <c r="M179" s="48">
        <f t="shared" si="26"/>
        <v>30</v>
      </c>
      <c r="N179" s="23">
        <f t="shared" si="35"/>
        <v>150</v>
      </c>
      <c r="O179" s="48">
        <f t="shared" si="27"/>
        <v>0</v>
      </c>
    </row>
    <row r="180" spans="2:15">
      <c r="B180" s="23">
        <v>179</v>
      </c>
      <c r="C180" s="23">
        <f t="shared" si="28"/>
        <v>750</v>
      </c>
      <c r="D180" s="23">
        <f t="shared" si="29"/>
        <v>40</v>
      </c>
      <c r="E180" s="48">
        <f t="shared" si="30"/>
        <v>5</v>
      </c>
      <c r="F180" s="48">
        <f t="shared" si="24"/>
        <v>0</v>
      </c>
      <c r="G180" s="48">
        <f>L499+X499+AL499+主线推图!M182+IFERROR(_xlfn.XLOOKUP((B180-6)/10,组队产出!$B$4:$B$19,组队产出!$L$4:$L$19),0)</f>
        <v>1800</v>
      </c>
      <c r="H180" s="23">
        <f t="shared" si="31"/>
        <v>500</v>
      </c>
      <c r="I180" s="23">
        <f t="shared" si="32"/>
        <v>0</v>
      </c>
      <c r="J180" s="23">
        <f t="shared" si="33"/>
        <v>0</v>
      </c>
      <c r="K180" s="23">
        <f t="shared" si="34"/>
        <v>5</v>
      </c>
      <c r="L180" s="48">
        <f t="shared" si="25"/>
        <v>0</v>
      </c>
      <c r="M180" s="48">
        <f t="shared" si="26"/>
        <v>30</v>
      </c>
      <c r="N180" s="23">
        <f t="shared" si="35"/>
        <v>150</v>
      </c>
      <c r="O180" s="48">
        <f t="shared" si="27"/>
        <v>0</v>
      </c>
    </row>
    <row r="181" spans="2:15">
      <c r="B181" s="23">
        <v>180</v>
      </c>
      <c r="C181" s="23">
        <f t="shared" si="28"/>
        <v>750</v>
      </c>
      <c r="D181" s="23">
        <f t="shared" si="29"/>
        <v>40</v>
      </c>
      <c r="E181" s="48">
        <f t="shared" si="30"/>
        <v>0</v>
      </c>
      <c r="F181" s="48">
        <f t="shared" si="24"/>
        <v>1</v>
      </c>
      <c r="G181" s="48">
        <f>L500+X500+AL500+主线推图!M183+IFERROR(_xlfn.XLOOKUP((B181-6)/10,组队产出!$B$4:$B$19,组队产出!$L$4:$L$19),0)</f>
        <v>1800</v>
      </c>
      <c r="H181" s="23">
        <f t="shared" si="31"/>
        <v>500</v>
      </c>
      <c r="I181" s="23">
        <f t="shared" si="32"/>
        <v>0</v>
      </c>
      <c r="J181" s="23">
        <f t="shared" si="33"/>
        <v>1</v>
      </c>
      <c r="K181" s="23">
        <f t="shared" si="34"/>
        <v>5</v>
      </c>
      <c r="L181" s="48">
        <f t="shared" si="25"/>
        <v>3</v>
      </c>
      <c r="M181" s="48">
        <f t="shared" si="26"/>
        <v>0</v>
      </c>
      <c r="N181" s="23">
        <f t="shared" si="35"/>
        <v>150</v>
      </c>
      <c r="O181" s="48">
        <f t="shared" si="27"/>
        <v>0</v>
      </c>
    </row>
    <row r="182" spans="2:15">
      <c r="B182" s="23">
        <v>181</v>
      </c>
      <c r="C182" s="23">
        <f t="shared" si="28"/>
        <v>750</v>
      </c>
      <c r="D182" s="23">
        <f t="shared" si="29"/>
        <v>40</v>
      </c>
      <c r="E182" s="48">
        <f t="shared" si="30"/>
        <v>5</v>
      </c>
      <c r="F182" s="48">
        <f t="shared" si="24"/>
        <v>0</v>
      </c>
      <c r="G182" s="48">
        <f>L501+X501+AL501+主线推图!M184+IFERROR(_xlfn.XLOOKUP((B182-6)/10,组队产出!$B$4:$B$19,组队产出!$L$4:$L$19),0)</f>
        <v>1800</v>
      </c>
      <c r="H182" s="23">
        <f t="shared" si="31"/>
        <v>500</v>
      </c>
      <c r="I182" s="23">
        <f t="shared" si="32"/>
        <v>0</v>
      </c>
      <c r="J182" s="23">
        <f t="shared" si="33"/>
        <v>0</v>
      </c>
      <c r="K182" s="23">
        <f t="shared" si="34"/>
        <v>5</v>
      </c>
      <c r="L182" s="48">
        <f t="shared" si="25"/>
        <v>0</v>
      </c>
      <c r="M182" s="48">
        <f t="shared" si="26"/>
        <v>30</v>
      </c>
      <c r="N182" s="23">
        <f t="shared" si="35"/>
        <v>150</v>
      </c>
      <c r="O182" s="48">
        <f t="shared" si="27"/>
        <v>0</v>
      </c>
    </row>
    <row r="183" spans="2:15">
      <c r="B183" s="23">
        <v>182</v>
      </c>
      <c r="C183" s="23">
        <f t="shared" si="28"/>
        <v>750</v>
      </c>
      <c r="D183" s="23">
        <f t="shared" si="29"/>
        <v>40</v>
      </c>
      <c r="E183" s="48">
        <f t="shared" si="30"/>
        <v>5</v>
      </c>
      <c r="F183" s="48">
        <f t="shared" si="24"/>
        <v>0</v>
      </c>
      <c r="G183" s="48">
        <f>L502+X502+AL502+主线推图!M185+IFERROR(_xlfn.XLOOKUP((B183-6)/10,组队产出!$B$4:$B$19,组队产出!$L$4:$L$19),0)</f>
        <v>1800</v>
      </c>
      <c r="H183" s="23">
        <f t="shared" si="31"/>
        <v>500</v>
      </c>
      <c r="I183" s="23">
        <f t="shared" si="32"/>
        <v>0</v>
      </c>
      <c r="J183" s="23">
        <f t="shared" si="33"/>
        <v>0</v>
      </c>
      <c r="K183" s="23">
        <f t="shared" si="34"/>
        <v>5</v>
      </c>
      <c r="L183" s="48">
        <f t="shared" si="25"/>
        <v>0</v>
      </c>
      <c r="M183" s="48">
        <f t="shared" si="26"/>
        <v>30</v>
      </c>
      <c r="N183" s="23">
        <f t="shared" si="35"/>
        <v>150</v>
      </c>
      <c r="O183" s="48">
        <f t="shared" si="27"/>
        <v>0</v>
      </c>
    </row>
    <row r="184" spans="2:15">
      <c r="B184" s="23">
        <v>183</v>
      </c>
      <c r="C184" s="23">
        <f t="shared" si="28"/>
        <v>750</v>
      </c>
      <c r="D184" s="23">
        <f t="shared" si="29"/>
        <v>40</v>
      </c>
      <c r="E184" s="48">
        <f t="shared" si="30"/>
        <v>5</v>
      </c>
      <c r="F184" s="48">
        <f t="shared" si="24"/>
        <v>0</v>
      </c>
      <c r="G184" s="48">
        <f>L503+X503+AL503+主线推图!M186+IFERROR(_xlfn.XLOOKUP((B184-6)/10,组队产出!$B$4:$B$19,组队产出!$L$4:$L$19),0)</f>
        <v>1800</v>
      </c>
      <c r="H184" s="23">
        <f t="shared" si="31"/>
        <v>500</v>
      </c>
      <c r="I184" s="23">
        <f t="shared" si="32"/>
        <v>0</v>
      </c>
      <c r="J184" s="23">
        <f t="shared" si="33"/>
        <v>0</v>
      </c>
      <c r="K184" s="23">
        <f t="shared" si="34"/>
        <v>5</v>
      </c>
      <c r="L184" s="48">
        <f t="shared" si="25"/>
        <v>0</v>
      </c>
      <c r="M184" s="48">
        <f t="shared" si="26"/>
        <v>30</v>
      </c>
      <c r="N184" s="23">
        <f t="shared" si="35"/>
        <v>150</v>
      </c>
      <c r="O184" s="48">
        <f t="shared" si="27"/>
        <v>0</v>
      </c>
    </row>
    <row r="185" spans="2:15">
      <c r="B185" s="23">
        <v>184</v>
      </c>
      <c r="C185" s="23">
        <f t="shared" si="28"/>
        <v>750</v>
      </c>
      <c r="D185" s="23">
        <f t="shared" si="29"/>
        <v>40</v>
      </c>
      <c r="E185" s="48">
        <f t="shared" si="30"/>
        <v>5</v>
      </c>
      <c r="F185" s="48">
        <f t="shared" si="24"/>
        <v>0</v>
      </c>
      <c r="G185" s="48">
        <f>L504+X504+AL504+主线推图!M187+IFERROR(_xlfn.XLOOKUP((B185-6)/10,组队产出!$B$4:$B$19,组队产出!$L$4:$L$19),0)</f>
        <v>1800</v>
      </c>
      <c r="H185" s="23">
        <f t="shared" si="31"/>
        <v>500</v>
      </c>
      <c r="I185" s="23">
        <f t="shared" si="32"/>
        <v>0</v>
      </c>
      <c r="J185" s="23">
        <f t="shared" si="33"/>
        <v>0</v>
      </c>
      <c r="K185" s="23">
        <f t="shared" si="34"/>
        <v>5</v>
      </c>
      <c r="L185" s="48">
        <f t="shared" si="25"/>
        <v>0</v>
      </c>
      <c r="M185" s="48">
        <f t="shared" si="26"/>
        <v>30</v>
      </c>
      <c r="N185" s="23">
        <f t="shared" si="35"/>
        <v>150</v>
      </c>
      <c r="O185" s="48">
        <f t="shared" si="27"/>
        <v>0</v>
      </c>
    </row>
    <row r="186" spans="2:15">
      <c r="B186" s="23">
        <v>185</v>
      </c>
      <c r="C186" s="23">
        <f t="shared" si="28"/>
        <v>750</v>
      </c>
      <c r="D186" s="23">
        <f t="shared" si="29"/>
        <v>40</v>
      </c>
      <c r="E186" s="48">
        <f t="shared" si="30"/>
        <v>0</v>
      </c>
      <c r="F186" s="48">
        <f t="shared" si="24"/>
        <v>1</v>
      </c>
      <c r="G186" s="48">
        <f>L505+X505+AL505+主线推图!M188+IFERROR(_xlfn.XLOOKUP((B186-6)/10,组队产出!$B$4:$B$19,组队产出!$L$4:$L$19),0)</f>
        <v>1800</v>
      </c>
      <c r="H186" s="23">
        <f t="shared" si="31"/>
        <v>500</v>
      </c>
      <c r="I186" s="23">
        <f t="shared" si="32"/>
        <v>0</v>
      </c>
      <c r="J186" s="23">
        <f t="shared" si="33"/>
        <v>1</v>
      </c>
      <c r="K186" s="23">
        <f t="shared" si="34"/>
        <v>5</v>
      </c>
      <c r="L186" s="48">
        <f t="shared" si="25"/>
        <v>3</v>
      </c>
      <c r="M186" s="48">
        <f t="shared" si="26"/>
        <v>0</v>
      </c>
      <c r="N186" s="23">
        <f t="shared" si="35"/>
        <v>150</v>
      </c>
      <c r="O186" s="48">
        <f t="shared" si="27"/>
        <v>0</v>
      </c>
    </row>
    <row r="187" spans="2:15">
      <c r="B187" s="23">
        <v>186</v>
      </c>
      <c r="C187" s="23">
        <f t="shared" si="28"/>
        <v>750</v>
      </c>
      <c r="D187" s="23">
        <f t="shared" si="29"/>
        <v>40</v>
      </c>
      <c r="E187" s="48">
        <f t="shared" si="30"/>
        <v>5</v>
      </c>
      <c r="F187" s="48">
        <f t="shared" si="24"/>
        <v>0</v>
      </c>
      <c r="G187" s="48">
        <f>L506+X506+AL506+主线推图!M189+IFERROR(_xlfn.XLOOKUP((B187-6)/10,组队产出!$B$4:$B$19,组队产出!$L$4:$L$19),0)</f>
        <v>1800</v>
      </c>
      <c r="H187" s="23">
        <f t="shared" si="31"/>
        <v>500</v>
      </c>
      <c r="I187" s="23">
        <f t="shared" si="32"/>
        <v>0</v>
      </c>
      <c r="J187" s="23">
        <f t="shared" si="33"/>
        <v>0</v>
      </c>
      <c r="K187" s="23">
        <f t="shared" si="34"/>
        <v>5</v>
      </c>
      <c r="L187" s="48">
        <f t="shared" si="25"/>
        <v>0</v>
      </c>
      <c r="M187" s="48">
        <f t="shared" si="26"/>
        <v>30</v>
      </c>
      <c r="N187" s="23">
        <f t="shared" si="35"/>
        <v>150</v>
      </c>
      <c r="O187" s="48">
        <f t="shared" si="27"/>
        <v>2</v>
      </c>
    </row>
    <row r="188" spans="2:15">
      <c r="B188" s="23">
        <v>187</v>
      </c>
      <c r="C188" s="23">
        <f t="shared" si="28"/>
        <v>750</v>
      </c>
      <c r="D188" s="23">
        <f t="shared" si="29"/>
        <v>40</v>
      </c>
      <c r="E188" s="48">
        <f t="shared" si="30"/>
        <v>5</v>
      </c>
      <c r="F188" s="48">
        <f t="shared" si="24"/>
        <v>0</v>
      </c>
      <c r="G188" s="48">
        <f>L507+X507+AL507+主线推图!M190+IFERROR(_xlfn.XLOOKUP((B188-6)/10,组队产出!$B$4:$B$19,组队产出!$L$4:$L$19),0)</f>
        <v>1800</v>
      </c>
      <c r="H188" s="23">
        <f t="shared" si="31"/>
        <v>500</v>
      </c>
      <c r="I188" s="23">
        <f t="shared" si="32"/>
        <v>0</v>
      </c>
      <c r="J188" s="23">
        <f t="shared" si="33"/>
        <v>0</v>
      </c>
      <c r="K188" s="23">
        <f t="shared" si="34"/>
        <v>5</v>
      </c>
      <c r="L188" s="48">
        <f t="shared" si="25"/>
        <v>0</v>
      </c>
      <c r="M188" s="48">
        <f t="shared" si="26"/>
        <v>30</v>
      </c>
      <c r="N188" s="23">
        <f t="shared" si="35"/>
        <v>150</v>
      </c>
      <c r="O188" s="48">
        <f t="shared" si="27"/>
        <v>0</v>
      </c>
    </row>
    <row r="189" spans="2:15">
      <c r="B189" s="23">
        <v>188</v>
      </c>
      <c r="C189" s="23">
        <f t="shared" si="28"/>
        <v>750</v>
      </c>
      <c r="D189" s="23">
        <f t="shared" si="29"/>
        <v>40</v>
      </c>
      <c r="E189" s="48">
        <f t="shared" si="30"/>
        <v>5</v>
      </c>
      <c r="F189" s="48">
        <f t="shared" si="24"/>
        <v>0</v>
      </c>
      <c r="G189" s="48">
        <f>L508+X508+AL508+主线推图!M191+IFERROR(_xlfn.XLOOKUP((B189-6)/10,组队产出!$B$4:$B$19,组队产出!$L$4:$L$19),0)</f>
        <v>1800</v>
      </c>
      <c r="H189" s="23">
        <f t="shared" si="31"/>
        <v>500</v>
      </c>
      <c r="I189" s="23">
        <f t="shared" si="32"/>
        <v>0</v>
      </c>
      <c r="J189" s="23">
        <f t="shared" si="33"/>
        <v>0</v>
      </c>
      <c r="K189" s="23">
        <f t="shared" si="34"/>
        <v>5</v>
      </c>
      <c r="L189" s="48">
        <f t="shared" si="25"/>
        <v>0</v>
      </c>
      <c r="M189" s="48">
        <f t="shared" si="26"/>
        <v>30</v>
      </c>
      <c r="N189" s="23">
        <f t="shared" si="35"/>
        <v>150</v>
      </c>
      <c r="O189" s="48">
        <f t="shared" si="27"/>
        <v>0</v>
      </c>
    </row>
    <row r="190" spans="2:15">
      <c r="B190" s="23">
        <v>189</v>
      </c>
      <c r="C190" s="23">
        <f t="shared" si="28"/>
        <v>750</v>
      </c>
      <c r="D190" s="23">
        <f t="shared" si="29"/>
        <v>40</v>
      </c>
      <c r="E190" s="48">
        <f t="shared" si="30"/>
        <v>5</v>
      </c>
      <c r="F190" s="48">
        <f t="shared" si="24"/>
        <v>0</v>
      </c>
      <c r="G190" s="48">
        <f>L509+X509+AL509+主线推图!M192+IFERROR(_xlfn.XLOOKUP((B190-6)/10,组队产出!$B$4:$B$19,组队产出!$L$4:$L$19),0)</f>
        <v>1800</v>
      </c>
      <c r="H190" s="23">
        <f t="shared" si="31"/>
        <v>500</v>
      </c>
      <c r="I190" s="23">
        <f t="shared" si="32"/>
        <v>0</v>
      </c>
      <c r="J190" s="23">
        <f t="shared" si="33"/>
        <v>0</v>
      </c>
      <c r="K190" s="23">
        <f t="shared" si="34"/>
        <v>5</v>
      </c>
      <c r="L190" s="48">
        <f t="shared" si="25"/>
        <v>0</v>
      </c>
      <c r="M190" s="48">
        <f t="shared" si="26"/>
        <v>30</v>
      </c>
      <c r="N190" s="23">
        <f t="shared" si="35"/>
        <v>150</v>
      </c>
      <c r="O190" s="48">
        <f t="shared" si="27"/>
        <v>0</v>
      </c>
    </row>
    <row r="191" spans="2:15">
      <c r="B191" s="23">
        <v>190</v>
      </c>
      <c r="C191" s="23">
        <f t="shared" si="28"/>
        <v>750</v>
      </c>
      <c r="D191" s="23">
        <f t="shared" si="29"/>
        <v>40</v>
      </c>
      <c r="E191" s="48">
        <f t="shared" si="30"/>
        <v>0</v>
      </c>
      <c r="F191" s="48">
        <f t="shared" si="24"/>
        <v>1</v>
      </c>
      <c r="G191" s="48">
        <f>L510+X510+AL510+主线推图!M193+IFERROR(_xlfn.XLOOKUP((B191-6)/10,组队产出!$B$4:$B$19,组队产出!$L$4:$L$19),0)</f>
        <v>1800</v>
      </c>
      <c r="H191" s="23">
        <f t="shared" si="31"/>
        <v>500</v>
      </c>
      <c r="I191" s="23">
        <f t="shared" si="32"/>
        <v>0</v>
      </c>
      <c r="J191" s="23">
        <f t="shared" si="33"/>
        <v>1</v>
      </c>
      <c r="K191" s="23">
        <f t="shared" si="34"/>
        <v>5</v>
      </c>
      <c r="L191" s="48">
        <f t="shared" si="25"/>
        <v>3</v>
      </c>
      <c r="M191" s="48">
        <f t="shared" si="26"/>
        <v>0</v>
      </c>
      <c r="N191" s="23">
        <f t="shared" si="35"/>
        <v>150</v>
      </c>
      <c r="O191" s="48">
        <f t="shared" si="27"/>
        <v>0</v>
      </c>
    </row>
    <row r="192" spans="2:15">
      <c r="B192" s="23">
        <v>191</v>
      </c>
      <c r="C192" s="23">
        <f t="shared" si="28"/>
        <v>750</v>
      </c>
      <c r="D192" s="23">
        <f t="shared" si="29"/>
        <v>40</v>
      </c>
      <c r="E192" s="48">
        <f t="shared" si="30"/>
        <v>5</v>
      </c>
      <c r="F192" s="48">
        <f t="shared" si="24"/>
        <v>0</v>
      </c>
      <c r="G192" s="48">
        <f>L511+X511+AL511+主线推图!M194+IFERROR(_xlfn.XLOOKUP((B192-6)/10,组队产出!$B$4:$B$19,组队产出!$L$4:$L$19),0)</f>
        <v>1800</v>
      </c>
      <c r="H192" s="23">
        <f t="shared" si="31"/>
        <v>500</v>
      </c>
      <c r="I192" s="23">
        <f t="shared" si="32"/>
        <v>0</v>
      </c>
      <c r="J192" s="23">
        <f t="shared" si="33"/>
        <v>0</v>
      </c>
      <c r="K192" s="23">
        <f t="shared" si="34"/>
        <v>5</v>
      </c>
      <c r="L192" s="48">
        <f t="shared" si="25"/>
        <v>0</v>
      </c>
      <c r="M192" s="48">
        <f t="shared" si="26"/>
        <v>30</v>
      </c>
      <c r="N192" s="23">
        <f t="shared" si="35"/>
        <v>150</v>
      </c>
      <c r="O192" s="48">
        <f t="shared" si="27"/>
        <v>0</v>
      </c>
    </row>
    <row r="193" spans="2:15">
      <c r="B193" s="23">
        <v>192</v>
      </c>
      <c r="C193" s="23">
        <f t="shared" si="28"/>
        <v>750</v>
      </c>
      <c r="D193" s="23">
        <f t="shared" si="29"/>
        <v>40</v>
      </c>
      <c r="E193" s="48">
        <f t="shared" si="30"/>
        <v>5</v>
      </c>
      <c r="F193" s="48">
        <f t="shared" si="24"/>
        <v>0</v>
      </c>
      <c r="G193" s="48">
        <f>L512+X512+AL512+主线推图!M195+IFERROR(_xlfn.XLOOKUP((B193-6)/10,组队产出!$B$4:$B$19,组队产出!$L$4:$L$19),0)</f>
        <v>1800</v>
      </c>
      <c r="H193" s="23">
        <f t="shared" si="31"/>
        <v>500</v>
      </c>
      <c r="I193" s="23">
        <f t="shared" si="32"/>
        <v>0</v>
      </c>
      <c r="J193" s="23">
        <f t="shared" si="33"/>
        <v>0</v>
      </c>
      <c r="K193" s="23">
        <f t="shared" si="34"/>
        <v>5</v>
      </c>
      <c r="L193" s="48">
        <f t="shared" si="25"/>
        <v>0</v>
      </c>
      <c r="M193" s="48">
        <f t="shared" si="26"/>
        <v>30</v>
      </c>
      <c r="N193" s="23">
        <f t="shared" si="35"/>
        <v>150</v>
      </c>
      <c r="O193" s="48">
        <f t="shared" si="27"/>
        <v>0</v>
      </c>
    </row>
    <row r="194" spans="2:15">
      <c r="B194" s="23">
        <v>193</v>
      </c>
      <c r="C194" s="23">
        <f t="shared" si="28"/>
        <v>750</v>
      </c>
      <c r="D194" s="23">
        <f t="shared" si="29"/>
        <v>40</v>
      </c>
      <c r="E194" s="48">
        <f t="shared" si="30"/>
        <v>5</v>
      </c>
      <c r="F194" s="48">
        <f t="shared" ref="F194:F257" si="36">IF(MOD(B194,5)=0,1,0)</f>
        <v>0</v>
      </c>
      <c r="G194" s="48">
        <f>L513+X513+AL513+主线推图!M196+IFERROR(_xlfn.XLOOKUP((B194-6)/10,组队产出!$B$4:$B$19,组队产出!$L$4:$L$19),0)</f>
        <v>1800</v>
      </c>
      <c r="H194" s="23">
        <f t="shared" si="31"/>
        <v>500</v>
      </c>
      <c r="I194" s="23">
        <f t="shared" si="32"/>
        <v>0</v>
      </c>
      <c r="J194" s="23">
        <f t="shared" si="33"/>
        <v>0</v>
      </c>
      <c r="K194" s="23">
        <f t="shared" si="34"/>
        <v>5</v>
      </c>
      <c r="L194" s="48">
        <f t="shared" ref="L194:L257" si="37">IF(MOD(B194,5)=0,AB513,0)</f>
        <v>0</v>
      </c>
      <c r="M194" s="48">
        <f t="shared" ref="M194:M257" si="38">IF(MOD(B194,5)=0,0,AB513)</f>
        <v>30</v>
      </c>
      <c r="N194" s="23">
        <f t="shared" si="35"/>
        <v>150</v>
      </c>
      <c r="O194" s="48">
        <f t="shared" ref="O194:O257" si="39">IF(MOD(B194-26,20)=0,2,0)</f>
        <v>0</v>
      </c>
    </row>
    <row r="195" spans="2:15">
      <c r="B195" s="23">
        <v>194</v>
      </c>
      <c r="C195" s="23">
        <f t="shared" ref="C195:C258" si="40">J514+N514+AF514</f>
        <v>750</v>
      </c>
      <c r="D195" s="23">
        <f t="shared" ref="D195:D258" si="41">H514+T514</f>
        <v>40</v>
      </c>
      <c r="E195" s="48">
        <f t="shared" ref="E195:E258" si="42">IF(MOD(B195,5)=0,0,D514)+IF(MOD(B195-16,20)=0,10,0)</f>
        <v>5</v>
      </c>
      <c r="F195" s="48">
        <f t="shared" si="36"/>
        <v>0</v>
      </c>
      <c r="G195" s="48">
        <f>L514+X514+AL514+主线推图!M197+IFERROR(_xlfn.XLOOKUP((B195-6)/10,组队产出!$B$4:$B$19,组队产出!$L$4:$L$19),0)</f>
        <v>1800</v>
      </c>
      <c r="H195" s="23">
        <f t="shared" ref="H195:H258" si="43">P514*2.5</f>
        <v>500</v>
      </c>
      <c r="I195" s="23">
        <f t="shared" ref="I195:I258" si="44">AH514+R514</f>
        <v>0</v>
      </c>
      <c r="J195" s="23">
        <f t="shared" ref="J195:J258" si="45">V514</f>
        <v>0</v>
      </c>
      <c r="K195" s="23">
        <f t="shared" ref="K195:K258" si="46">Z514</f>
        <v>5</v>
      </c>
      <c r="L195" s="48">
        <f t="shared" si="37"/>
        <v>0</v>
      </c>
      <c r="M195" s="48">
        <f t="shared" si="38"/>
        <v>30</v>
      </c>
      <c r="N195" s="23">
        <f t="shared" ref="N195:N258" si="47">AD514</f>
        <v>150</v>
      </c>
      <c r="O195" s="48">
        <f t="shared" si="39"/>
        <v>0</v>
      </c>
    </row>
    <row r="196" spans="2:15">
      <c r="B196" s="23">
        <v>195</v>
      </c>
      <c r="C196" s="23">
        <f t="shared" si="40"/>
        <v>750</v>
      </c>
      <c r="D196" s="23">
        <f t="shared" si="41"/>
        <v>40</v>
      </c>
      <c r="E196" s="48">
        <f t="shared" si="42"/>
        <v>0</v>
      </c>
      <c r="F196" s="48">
        <f t="shared" si="36"/>
        <v>1</v>
      </c>
      <c r="G196" s="48">
        <f>L515+X515+AL515+主线推图!M198+IFERROR(_xlfn.XLOOKUP((B196-6)/10,组队产出!$B$4:$B$19,组队产出!$L$4:$L$19),0)</f>
        <v>1800</v>
      </c>
      <c r="H196" s="23">
        <f t="shared" si="43"/>
        <v>500</v>
      </c>
      <c r="I196" s="23">
        <f t="shared" si="44"/>
        <v>0</v>
      </c>
      <c r="J196" s="23">
        <f t="shared" si="45"/>
        <v>1</v>
      </c>
      <c r="K196" s="23">
        <f t="shared" si="46"/>
        <v>5</v>
      </c>
      <c r="L196" s="48">
        <f t="shared" si="37"/>
        <v>3</v>
      </c>
      <c r="M196" s="48">
        <f t="shared" si="38"/>
        <v>0</v>
      </c>
      <c r="N196" s="23">
        <f t="shared" si="47"/>
        <v>150</v>
      </c>
      <c r="O196" s="48">
        <f t="shared" si="39"/>
        <v>0</v>
      </c>
    </row>
    <row r="197" spans="2:15">
      <c r="B197" s="23">
        <v>196</v>
      </c>
      <c r="C197" s="23">
        <f t="shared" si="40"/>
        <v>750</v>
      </c>
      <c r="D197" s="23">
        <f t="shared" si="41"/>
        <v>40</v>
      </c>
      <c r="E197" s="48">
        <f t="shared" si="42"/>
        <v>15</v>
      </c>
      <c r="F197" s="48">
        <f t="shared" si="36"/>
        <v>0</v>
      </c>
      <c r="G197" s="48">
        <f>L516+X516+AL516+主线推图!M199+IFERROR(_xlfn.XLOOKUP((B197-6)/10,组队产出!$B$4:$B$19,组队产出!$L$4:$L$19),0)</f>
        <v>1800</v>
      </c>
      <c r="H197" s="23">
        <f t="shared" si="43"/>
        <v>500</v>
      </c>
      <c r="I197" s="23">
        <f t="shared" si="44"/>
        <v>0</v>
      </c>
      <c r="J197" s="23">
        <f t="shared" si="45"/>
        <v>0</v>
      </c>
      <c r="K197" s="23">
        <f t="shared" si="46"/>
        <v>5</v>
      </c>
      <c r="L197" s="48">
        <f t="shared" si="37"/>
        <v>0</v>
      </c>
      <c r="M197" s="48">
        <f t="shared" si="38"/>
        <v>30</v>
      </c>
      <c r="N197" s="23">
        <f t="shared" si="47"/>
        <v>150</v>
      </c>
      <c r="O197" s="48">
        <f t="shared" si="39"/>
        <v>0</v>
      </c>
    </row>
    <row r="198" spans="2:15">
      <c r="B198" s="23">
        <v>197</v>
      </c>
      <c r="C198" s="23">
        <f t="shared" si="40"/>
        <v>750</v>
      </c>
      <c r="D198" s="23">
        <f t="shared" si="41"/>
        <v>40</v>
      </c>
      <c r="E198" s="48">
        <f t="shared" si="42"/>
        <v>5</v>
      </c>
      <c r="F198" s="48">
        <f t="shared" si="36"/>
        <v>0</v>
      </c>
      <c r="G198" s="48">
        <f>L517+X517+AL517+主线推图!M200+IFERROR(_xlfn.XLOOKUP((B198-6)/10,组队产出!$B$4:$B$19,组队产出!$L$4:$L$19),0)</f>
        <v>1800</v>
      </c>
      <c r="H198" s="23">
        <f t="shared" si="43"/>
        <v>500</v>
      </c>
      <c r="I198" s="23">
        <f t="shared" si="44"/>
        <v>0</v>
      </c>
      <c r="J198" s="23">
        <f t="shared" si="45"/>
        <v>0</v>
      </c>
      <c r="K198" s="23">
        <f t="shared" si="46"/>
        <v>5</v>
      </c>
      <c r="L198" s="48">
        <f t="shared" si="37"/>
        <v>0</v>
      </c>
      <c r="M198" s="48">
        <f t="shared" si="38"/>
        <v>30</v>
      </c>
      <c r="N198" s="23">
        <f t="shared" si="47"/>
        <v>150</v>
      </c>
      <c r="O198" s="48">
        <f t="shared" si="39"/>
        <v>0</v>
      </c>
    </row>
    <row r="199" spans="2:15">
      <c r="B199" s="23">
        <v>198</v>
      </c>
      <c r="C199" s="23">
        <f t="shared" si="40"/>
        <v>750</v>
      </c>
      <c r="D199" s="23">
        <f t="shared" si="41"/>
        <v>40</v>
      </c>
      <c r="E199" s="48">
        <f t="shared" si="42"/>
        <v>5</v>
      </c>
      <c r="F199" s="48">
        <f t="shared" si="36"/>
        <v>0</v>
      </c>
      <c r="G199" s="48">
        <f>L518+X518+AL518+主线推图!M201+IFERROR(_xlfn.XLOOKUP((B199-6)/10,组队产出!$B$4:$B$19,组队产出!$L$4:$L$19),0)</f>
        <v>1800</v>
      </c>
      <c r="H199" s="23">
        <f t="shared" si="43"/>
        <v>500</v>
      </c>
      <c r="I199" s="23">
        <f t="shared" si="44"/>
        <v>0</v>
      </c>
      <c r="J199" s="23">
        <f t="shared" si="45"/>
        <v>0</v>
      </c>
      <c r="K199" s="23">
        <f t="shared" si="46"/>
        <v>5</v>
      </c>
      <c r="L199" s="48">
        <f t="shared" si="37"/>
        <v>0</v>
      </c>
      <c r="M199" s="48">
        <f t="shared" si="38"/>
        <v>30</v>
      </c>
      <c r="N199" s="23">
        <f t="shared" si="47"/>
        <v>150</v>
      </c>
      <c r="O199" s="48">
        <f t="shared" si="39"/>
        <v>0</v>
      </c>
    </row>
    <row r="200" spans="2:15">
      <c r="B200" s="23">
        <v>199</v>
      </c>
      <c r="C200" s="23">
        <f t="shared" si="40"/>
        <v>750</v>
      </c>
      <c r="D200" s="23">
        <f t="shared" si="41"/>
        <v>40</v>
      </c>
      <c r="E200" s="48">
        <f t="shared" si="42"/>
        <v>5</v>
      </c>
      <c r="F200" s="48">
        <f t="shared" si="36"/>
        <v>0</v>
      </c>
      <c r="G200" s="48">
        <f>L519+X519+AL519+主线推图!M202+IFERROR(_xlfn.XLOOKUP((B200-6)/10,组队产出!$B$4:$B$19,组队产出!$L$4:$L$19),0)</f>
        <v>1800</v>
      </c>
      <c r="H200" s="23">
        <f t="shared" si="43"/>
        <v>500</v>
      </c>
      <c r="I200" s="23">
        <f t="shared" si="44"/>
        <v>0</v>
      </c>
      <c r="J200" s="23">
        <f t="shared" si="45"/>
        <v>0</v>
      </c>
      <c r="K200" s="23">
        <f t="shared" si="46"/>
        <v>5</v>
      </c>
      <c r="L200" s="48">
        <f t="shared" si="37"/>
        <v>0</v>
      </c>
      <c r="M200" s="48">
        <f t="shared" si="38"/>
        <v>30</v>
      </c>
      <c r="N200" s="23">
        <f t="shared" si="47"/>
        <v>150</v>
      </c>
      <c r="O200" s="48">
        <f t="shared" si="39"/>
        <v>0</v>
      </c>
    </row>
    <row r="201" spans="2:15">
      <c r="B201" s="23">
        <v>200</v>
      </c>
      <c r="C201" s="23">
        <f t="shared" si="40"/>
        <v>750</v>
      </c>
      <c r="D201" s="23">
        <f t="shared" si="41"/>
        <v>40</v>
      </c>
      <c r="E201" s="48">
        <f t="shared" si="42"/>
        <v>0</v>
      </c>
      <c r="F201" s="48">
        <f t="shared" si="36"/>
        <v>1</v>
      </c>
      <c r="G201" s="48">
        <f>L520+X520+AL520+主线推图!M203+IFERROR(_xlfn.XLOOKUP((B201-6)/10,组队产出!$B$4:$B$19,组队产出!$L$4:$L$19),0)</f>
        <v>1800</v>
      </c>
      <c r="H201" s="23">
        <f t="shared" si="43"/>
        <v>500</v>
      </c>
      <c r="I201" s="23">
        <f t="shared" si="44"/>
        <v>0</v>
      </c>
      <c r="J201" s="23">
        <f t="shared" si="45"/>
        <v>1</v>
      </c>
      <c r="K201" s="23">
        <f t="shared" si="46"/>
        <v>5</v>
      </c>
      <c r="L201" s="48">
        <f t="shared" si="37"/>
        <v>3</v>
      </c>
      <c r="M201" s="48">
        <f t="shared" si="38"/>
        <v>0</v>
      </c>
      <c r="N201" s="23">
        <f t="shared" si="47"/>
        <v>150</v>
      </c>
      <c r="O201" s="48">
        <f t="shared" si="39"/>
        <v>0</v>
      </c>
    </row>
    <row r="202" spans="2:15">
      <c r="B202" s="23">
        <v>201</v>
      </c>
      <c r="C202" s="23">
        <f t="shared" si="40"/>
        <v>750</v>
      </c>
      <c r="D202" s="23">
        <f t="shared" si="41"/>
        <v>40</v>
      </c>
      <c r="E202" s="48">
        <f t="shared" si="42"/>
        <v>5</v>
      </c>
      <c r="F202" s="48">
        <f t="shared" si="36"/>
        <v>0</v>
      </c>
      <c r="G202" s="48">
        <f>L521+X521+AL521+主线推图!M204+IFERROR(_xlfn.XLOOKUP((B202-6)/10,组队产出!$B$4:$B$19,组队产出!$L$4:$L$19),0)</f>
        <v>1800</v>
      </c>
      <c r="H202" s="23">
        <f t="shared" si="43"/>
        <v>500</v>
      </c>
      <c r="I202" s="23">
        <f t="shared" si="44"/>
        <v>0</v>
      </c>
      <c r="J202" s="23">
        <f t="shared" si="45"/>
        <v>0</v>
      </c>
      <c r="K202" s="23">
        <f t="shared" si="46"/>
        <v>5</v>
      </c>
      <c r="L202" s="48">
        <f t="shared" si="37"/>
        <v>0</v>
      </c>
      <c r="M202" s="48">
        <f t="shared" si="38"/>
        <v>30</v>
      </c>
      <c r="N202" s="23">
        <f t="shared" si="47"/>
        <v>150</v>
      </c>
      <c r="O202" s="48">
        <f t="shared" si="39"/>
        <v>0</v>
      </c>
    </row>
    <row r="203" spans="2:15">
      <c r="B203" s="23">
        <v>202</v>
      </c>
      <c r="C203" s="23">
        <f t="shared" si="40"/>
        <v>750</v>
      </c>
      <c r="D203" s="23">
        <f t="shared" si="41"/>
        <v>40</v>
      </c>
      <c r="E203" s="48">
        <f t="shared" si="42"/>
        <v>5</v>
      </c>
      <c r="F203" s="48">
        <f t="shared" si="36"/>
        <v>0</v>
      </c>
      <c r="G203" s="48">
        <f>L522+X522+AL522+主线推图!M205+IFERROR(_xlfn.XLOOKUP((B203-6)/10,组队产出!$B$4:$B$19,组队产出!$L$4:$L$19),0)</f>
        <v>1800</v>
      </c>
      <c r="H203" s="23">
        <f t="shared" si="43"/>
        <v>500</v>
      </c>
      <c r="I203" s="23">
        <f t="shared" si="44"/>
        <v>0</v>
      </c>
      <c r="J203" s="23">
        <f t="shared" si="45"/>
        <v>0</v>
      </c>
      <c r="K203" s="23">
        <f t="shared" si="46"/>
        <v>5</v>
      </c>
      <c r="L203" s="48">
        <f t="shared" si="37"/>
        <v>0</v>
      </c>
      <c r="M203" s="48">
        <f t="shared" si="38"/>
        <v>30</v>
      </c>
      <c r="N203" s="23">
        <f t="shared" si="47"/>
        <v>150</v>
      </c>
      <c r="O203" s="48">
        <f t="shared" si="39"/>
        <v>0</v>
      </c>
    </row>
    <row r="204" spans="2:15">
      <c r="B204" s="23">
        <v>203</v>
      </c>
      <c r="C204" s="23">
        <f t="shared" si="40"/>
        <v>750</v>
      </c>
      <c r="D204" s="23">
        <f t="shared" si="41"/>
        <v>40</v>
      </c>
      <c r="E204" s="48">
        <f t="shared" si="42"/>
        <v>5</v>
      </c>
      <c r="F204" s="48">
        <f t="shared" si="36"/>
        <v>0</v>
      </c>
      <c r="G204" s="48">
        <f>L523+X523+AL523+主线推图!M206+IFERROR(_xlfn.XLOOKUP((B204-6)/10,组队产出!$B$4:$B$19,组队产出!$L$4:$L$19),0)</f>
        <v>1800</v>
      </c>
      <c r="H204" s="23">
        <f t="shared" si="43"/>
        <v>500</v>
      </c>
      <c r="I204" s="23">
        <f t="shared" si="44"/>
        <v>0</v>
      </c>
      <c r="J204" s="23">
        <f t="shared" si="45"/>
        <v>0</v>
      </c>
      <c r="K204" s="23">
        <f t="shared" si="46"/>
        <v>5</v>
      </c>
      <c r="L204" s="48">
        <f t="shared" si="37"/>
        <v>0</v>
      </c>
      <c r="M204" s="48">
        <f t="shared" si="38"/>
        <v>30</v>
      </c>
      <c r="N204" s="23">
        <f t="shared" si="47"/>
        <v>150</v>
      </c>
      <c r="O204" s="48">
        <f t="shared" si="39"/>
        <v>0</v>
      </c>
    </row>
    <row r="205" spans="2:15">
      <c r="B205" s="23">
        <v>204</v>
      </c>
      <c r="C205" s="23">
        <f t="shared" si="40"/>
        <v>750</v>
      </c>
      <c r="D205" s="23">
        <f t="shared" si="41"/>
        <v>40</v>
      </c>
      <c r="E205" s="48">
        <f t="shared" si="42"/>
        <v>5</v>
      </c>
      <c r="F205" s="48">
        <f t="shared" si="36"/>
        <v>0</v>
      </c>
      <c r="G205" s="48">
        <f>L524+X524+AL524+主线推图!M207+IFERROR(_xlfn.XLOOKUP((B205-6)/10,组队产出!$B$4:$B$19,组队产出!$L$4:$L$19),0)</f>
        <v>1800</v>
      </c>
      <c r="H205" s="23">
        <f t="shared" si="43"/>
        <v>500</v>
      </c>
      <c r="I205" s="23">
        <f t="shared" si="44"/>
        <v>0</v>
      </c>
      <c r="J205" s="23">
        <f t="shared" si="45"/>
        <v>0</v>
      </c>
      <c r="K205" s="23">
        <f t="shared" si="46"/>
        <v>5</v>
      </c>
      <c r="L205" s="48">
        <f t="shared" si="37"/>
        <v>0</v>
      </c>
      <c r="M205" s="48">
        <f t="shared" si="38"/>
        <v>30</v>
      </c>
      <c r="N205" s="23">
        <f t="shared" si="47"/>
        <v>150</v>
      </c>
      <c r="O205" s="48">
        <f t="shared" si="39"/>
        <v>0</v>
      </c>
    </row>
    <row r="206" spans="2:15">
      <c r="B206" s="23">
        <v>205</v>
      </c>
      <c r="C206" s="23">
        <f t="shared" si="40"/>
        <v>750</v>
      </c>
      <c r="D206" s="23">
        <f t="shared" si="41"/>
        <v>40</v>
      </c>
      <c r="E206" s="48">
        <f t="shared" si="42"/>
        <v>0</v>
      </c>
      <c r="F206" s="48">
        <f t="shared" si="36"/>
        <v>1</v>
      </c>
      <c r="G206" s="48">
        <f>L525+X525+AL525+主线推图!M208+IFERROR(_xlfn.XLOOKUP((B206-6)/10,组队产出!$B$4:$B$19,组队产出!$L$4:$L$19),0)</f>
        <v>1800</v>
      </c>
      <c r="H206" s="23">
        <f t="shared" si="43"/>
        <v>500</v>
      </c>
      <c r="I206" s="23">
        <f t="shared" si="44"/>
        <v>0</v>
      </c>
      <c r="J206" s="23">
        <f t="shared" si="45"/>
        <v>1</v>
      </c>
      <c r="K206" s="23">
        <f t="shared" si="46"/>
        <v>5</v>
      </c>
      <c r="L206" s="48">
        <f t="shared" si="37"/>
        <v>3</v>
      </c>
      <c r="M206" s="48">
        <f t="shared" si="38"/>
        <v>0</v>
      </c>
      <c r="N206" s="23">
        <f t="shared" si="47"/>
        <v>150</v>
      </c>
      <c r="O206" s="48">
        <f t="shared" si="39"/>
        <v>0</v>
      </c>
    </row>
    <row r="207" spans="2:15">
      <c r="B207" s="23">
        <v>206</v>
      </c>
      <c r="C207" s="23">
        <f t="shared" si="40"/>
        <v>750</v>
      </c>
      <c r="D207" s="23">
        <f t="shared" si="41"/>
        <v>40</v>
      </c>
      <c r="E207" s="48">
        <f t="shared" si="42"/>
        <v>5</v>
      </c>
      <c r="F207" s="48">
        <f t="shared" si="36"/>
        <v>0</v>
      </c>
      <c r="G207" s="48">
        <f>L526+X526+AL526+主线推图!M209+IFERROR(_xlfn.XLOOKUP((B207-6)/10,组队产出!$B$4:$B$19,组队产出!$L$4:$L$19),0)</f>
        <v>1800</v>
      </c>
      <c r="H207" s="23">
        <f t="shared" si="43"/>
        <v>500</v>
      </c>
      <c r="I207" s="23">
        <f t="shared" si="44"/>
        <v>0</v>
      </c>
      <c r="J207" s="23">
        <f t="shared" si="45"/>
        <v>0</v>
      </c>
      <c r="K207" s="23">
        <f t="shared" si="46"/>
        <v>5</v>
      </c>
      <c r="L207" s="48">
        <f t="shared" si="37"/>
        <v>0</v>
      </c>
      <c r="M207" s="48">
        <f t="shared" si="38"/>
        <v>30</v>
      </c>
      <c r="N207" s="23">
        <f t="shared" si="47"/>
        <v>150</v>
      </c>
      <c r="O207" s="48">
        <f t="shared" si="39"/>
        <v>2</v>
      </c>
    </row>
    <row r="208" spans="2:15">
      <c r="B208" s="23">
        <v>207</v>
      </c>
      <c r="C208" s="23">
        <f t="shared" si="40"/>
        <v>750</v>
      </c>
      <c r="D208" s="23">
        <f t="shared" si="41"/>
        <v>40</v>
      </c>
      <c r="E208" s="48">
        <f t="shared" si="42"/>
        <v>5</v>
      </c>
      <c r="F208" s="48">
        <f t="shared" si="36"/>
        <v>0</v>
      </c>
      <c r="G208" s="48">
        <f>L527+X527+AL527+主线推图!M210+IFERROR(_xlfn.XLOOKUP((B208-6)/10,组队产出!$B$4:$B$19,组队产出!$L$4:$L$19),0)</f>
        <v>1800</v>
      </c>
      <c r="H208" s="23">
        <f t="shared" si="43"/>
        <v>500</v>
      </c>
      <c r="I208" s="23">
        <f t="shared" si="44"/>
        <v>0</v>
      </c>
      <c r="J208" s="23">
        <f t="shared" si="45"/>
        <v>0</v>
      </c>
      <c r="K208" s="23">
        <f t="shared" si="46"/>
        <v>5</v>
      </c>
      <c r="L208" s="48">
        <f t="shared" si="37"/>
        <v>0</v>
      </c>
      <c r="M208" s="48">
        <f t="shared" si="38"/>
        <v>30</v>
      </c>
      <c r="N208" s="23">
        <f t="shared" si="47"/>
        <v>150</v>
      </c>
      <c r="O208" s="48">
        <f t="shared" si="39"/>
        <v>0</v>
      </c>
    </row>
    <row r="209" spans="2:15">
      <c r="B209" s="23">
        <v>208</v>
      </c>
      <c r="C209" s="23">
        <f t="shared" si="40"/>
        <v>750</v>
      </c>
      <c r="D209" s="23">
        <f t="shared" si="41"/>
        <v>40</v>
      </c>
      <c r="E209" s="48">
        <f t="shared" si="42"/>
        <v>5</v>
      </c>
      <c r="F209" s="48">
        <f t="shared" si="36"/>
        <v>0</v>
      </c>
      <c r="G209" s="48">
        <f>L528+X528+AL528+主线推图!M211+IFERROR(_xlfn.XLOOKUP((B209-6)/10,组队产出!$B$4:$B$19,组队产出!$L$4:$L$19),0)</f>
        <v>1800</v>
      </c>
      <c r="H209" s="23">
        <f t="shared" si="43"/>
        <v>500</v>
      </c>
      <c r="I209" s="23">
        <f t="shared" si="44"/>
        <v>0</v>
      </c>
      <c r="J209" s="23">
        <f t="shared" si="45"/>
        <v>0</v>
      </c>
      <c r="K209" s="23">
        <f t="shared" si="46"/>
        <v>5</v>
      </c>
      <c r="L209" s="48">
        <f t="shared" si="37"/>
        <v>0</v>
      </c>
      <c r="M209" s="48">
        <f t="shared" si="38"/>
        <v>30</v>
      </c>
      <c r="N209" s="23">
        <f t="shared" si="47"/>
        <v>150</v>
      </c>
      <c r="O209" s="48">
        <f t="shared" si="39"/>
        <v>0</v>
      </c>
    </row>
    <row r="210" spans="2:15">
      <c r="B210" s="23">
        <v>209</v>
      </c>
      <c r="C210" s="23">
        <f t="shared" si="40"/>
        <v>750</v>
      </c>
      <c r="D210" s="23">
        <f t="shared" si="41"/>
        <v>40</v>
      </c>
      <c r="E210" s="48">
        <f t="shared" si="42"/>
        <v>5</v>
      </c>
      <c r="F210" s="48">
        <f t="shared" si="36"/>
        <v>0</v>
      </c>
      <c r="G210" s="48">
        <f>L529+X529+AL529+主线推图!M212+IFERROR(_xlfn.XLOOKUP((B210-6)/10,组队产出!$B$4:$B$19,组队产出!$L$4:$L$19),0)</f>
        <v>1800</v>
      </c>
      <c r="H210" s="23">
        <f t="shared" si="43"/>
        <v>500</v>
      </c>
      <c r="I210" s="23">
        <f t="shared" si="44"/>
        <v>0</v>
      </c>
      <c r="J210" s="23">
        <f t="shared" si="45"/>
        <v>0</v>
      </c>
      <c r="K210" s="23">
        <f t="shared" si="46"/>
        <v>5</v>
      </c>
      <c r="L210" s="48">
        <f t="shared" si="37"/>
        <v>0</v>
      </c>
      <c r="M210" s="48">
        <f t="shared" si="38"/>
        <v>30</v>
      </c>
      <c r="N210" s="23">
        <f t="shared" si="47"/>
        <v>150</v>
      </c>
      <c r="O210" s="48">
        <f t="shared" si="39"/>
        <v>0</v>
      </c>
    </row>
    <row r="211" spans="2:15">
      <c r="B211" s="23">
        <v>210</v>
      </c>
      <c r="C211" s="23">
        <f t="shared" si="40"/>
        <v>750</v>
      </c>
      <c r="D211" s="23">
        <f t="shared" si="41"/>
        <v>40</v>
      </c>
      <c r="E211" s="48">
        <f t="shared" si="42"/>
        <v>0</v>
      </c>
      <c r="F211" s="48">
        <f t="shared" si="36"/>
        <v>1</v>
      </c>
      <c r="G211" s="48">
        <f>L530+X530+AL530+主线推图!M213+IFERROR(_xlfn.XLOOKUP((B211-6)/10,组队产出!$B$4:$B$19,组队产出!$L$4:$L$19),0)</f>
        <v>1800</v>
      </c>
      <c r="H211" s="23">
        <f t="shared" si="43"/>
        <v>500</v>
      </c>
      <c r="I211" s="23">
        <f t="shared" si="44"/>
        <v>0</v>
      </c>
      <c r="J211" s="23">
        <f t="shared" si="45"/>
        <v>1</v>
      </c>
      <c r="K211" s="23">
        <f t="shared" si="46"/>
        <v>5</v>
      </c>
      <c r="L211" s="48">
        <f t="shared" si="37"/>
        <v>3</v>
      </c>
      <c r="M211" s="48">
        <f t="shared" si="38"/>
        <v>0</v>
      </c>
      <c r="N211" s="23">
        <f t="shared" si="47"/>
        <v>150</v>
      </c>
      <c r="O211" s="48">
        <f t="shared" si="39"/>
        <v>0</v>
      </c>
    </row>
    <row r="212" spans="2:15">
      <c r="B212" s="23">
        <v>211</v>
      </c>
      <c r="C212" s="23">
        <f t="shared" si="40"/>
        <v>750</v>
      </c>
      <c r="D212" s="23">
        <f t="shared" si="41"/>
        <v>40</v>
      </c>
      <c r="E212" s="48">
        <f t="shared" si="42"/>
        <v>5</v>
      </c>
      <c r="F212" s="48">
        <f t="shared" si="36"/>
        <v>0</v>
      </c>
      <c r="G212" s="48">
        <f>L531+X531+AL531+主线推图!M214+IFERROR(_xlfn.XLOOKUP((B212-6)/10,组队产出!$B$4:$B$19,组队产出!$L$4:$L$19),0)</f>
        <v>1800</v>
      </c>
      <c r="H212" s="23">
        <f t="shared" si="43"/>
        <v>500</v>
      </c>
      <c r="I212" s="23">
        <f t="shared" si="44"/>
        <v>0</v>
      </c>
      <c r="J212" s="23">
        <f t="shared" si="45"/>
        <v>0</v>
      </c>
      <c r="K212" s="23">
        <f t="shared" si="46"/>
        <v>5</v>
      </c>
      <c r="L212" s="48">
        <f t="shared" si="37"/>
        <v>0</v>
      </c>
      <c r="M212" s="48">
        <f t="shared" si="38"/>
        <v>30</v>
      </c>
      <c r="N212" s="23">
        <f t="shared" si="47"/>
        <v>150</v>
      </c>
      <c r="O212" s="48">
        <f t="shared" si="39"/>
        <v>0</v>
      </c>
    </row>
    <row r="213" spans="2:15">
      <c r="B213" s="23">
        <v>212</v>
      </c>
      <c r="C213" s="23">
        <f t="shared" si="40"/>
        <v>750</v>
      </c>
      <c r="D213" s="23">
        <f t="shared" si="41"/>
        <v>40</v>
      </c>
      <c r="E213" s="48">
        <f t="shared" si="42"/>
        <v>5</v>
      </c>
      <c r="F213" s="48">
        <f t="shared" si="36"/>
        <v>0</v>
      </c>
      <c r="G213" s="48">
        <f>L532+X532+AL532+主线推图!M215+IFERROR(_xlfn.XLOOKUP((B213-6)/10,组队产出!$B$4:$B$19,组队产出!$L$4:$L$19),0)</f>
        <v>1800</v>
      </c>
      <c r="H213" s="23">
        <f t="shared" si="43"/>
        <v>500</v>
      </c>
      <c r="I213" s="23">
        <f t="shared" si="44"/>
        <v>0</v>
      </c>
      <c r="J213" s="23">
        <f t="shared" si="45"/>
        <v>0</v>
      </c>
      <c r="K213" s="23">
        <f t="shared" si="46"/>
        <v>5</v>
      </c>
      <c r="L213" s="48">
        <f t="shared" si="37"/>
        <v>0</v>
      </c>
      <c r="M213" s="48">
        <f t="shared" si="38"/>
        <v>30</v>
      </c>
      <c r="N213" s="23">
        <f t="shared" si="47"/>
        <v>150</v>
      </c>
      <c r="O213" s="48">
        <f t="shared" si="39"/>
        <v>0</v>
      </c>
    </row>
    <row r="214" spans="2:15">
      <c r="B214" s="23">
        <v>213</v>
      </c>
      <c r="C214" s="23">
        <f t="shared" si="40"/>
        <v>750</v>
      </c>
      <c r="D214" s="23">
        <f t="shared" si="41"/>
        <v>40</v>
      </c>
      <c r="E214" s="48">
        <f t="shared" si="42"/>
        <v>5</v>
      </c>
      <c r="F214" s="48">
        <f t="shared" si="36"/>
        <v>0</v>
      </c>
      <c r="G214" s="48">
        <f>L533+X533+AL533+主线推图!M216+IFERROR(_xlfn.XLOOKUP((B214-6)/10,组队产出!$B$4:$B$19,组队产出!$L$4:$L$19),0)</f>
        <v>1800</v>
      </c>
      <c r="H214" s="23">
        <f t="shared" si="43"/>
        <v>500</v>
      </c>
      <c r="I214" s="23">
        <f t="shared" si="44"/>
        <v>0</v>
      </c>
      <c r="J214" s="23">
        <f t="shared" si="45"/>
        <v>0</v>
      </c>
      <c r="K214" s="23">
        <f t="shared" si="46"/>
        <v>5</v>
      </c>
      <c r="L214" s="48">
        <f t="shared" si="37"/>
        <v>0</v>
      </c>
      <c r="M214" s="48">
        <f t="shared" si="38"/>
        <v>30</v>
      </c>
      <c r="N214" s="23">
        <f t="shared" si="47"/>
        <v>150</v>
      </c>
      <c r="O214" s="48">
        <f t="shared" si="39"/>
        <v>0</v>
      </c>
    </row>
    <row r="215" spans="2:15">
      <c r="B215" s="23">
        <v>214</v>
      </c>
      <c r="C215" s="23">
        <f t="shared" si="40"/>
        <v>750</v>
      </c>
      <c r="D215" s="23">
        <f t="shared" si="41"/>
        <v>40</v>
      </c>
      <c r="E215" s="48">
        <f t="shared" si="42"/>
        <v>5</v>
      </c>
      <c r="F215" s="48">
        <f t="shared" si="36"/>
        <v>0</v>
      </c>
      <c r="G215" s="48">
        <f>L534+X534+AL534+主线推图!M217+IFERROR(_xlfn.XLOOKUP((B215-6)/10,组队产出!$B$4:$B$19,组队产出!$L$4:$L$19),0)</f>
        <v>1800</v>
      </c>
      <c r="H215" s="23">
        <f t="shared" si="43"/>
        <v>500</v>
      </c>
      <c r="I215" s="23">
        <f t="shared" si="44"/>
        <v>0</v>
      </c>
      <c r="J215" s="23">
        <f t="shared" si="45"/>
        <v>0</v>
      </c>
      <c r="K215" s="23">
        <f t="shared" si="46"/>
        <v>5</v>
      </c>
      <c r="L215" s="48">
        <f t="shared" si="37"/>
        <v>0</v>
      </c>
      <c r="M215" s="48">
        <f t="shared" si="38"/>
        <v>30</v>
      </c>
      <c r="N215" s="23">
        <f t="shared" si="47"/>
        <v>150</v>
      </c>
      <c r="O215" s="48">
        <f t="shared" si="39"/>
        <v>0</v>
      </c>
    </row>
    <row r="216" spans="2:15">
      <c r="B216" s="23">
        <v>215</v>
      </c>
      <c r="C216" s="23">
        <f t="shared" si="40"/>
        <v>750</v>
      </c>
      <c r="D216" s="23">
        <f t="shared" si="41"/>
        <v>40</v>
      </c>
      <c r="E216" s="48">
        <f t="shared" si="42"/>
        <v>0</v>
      </c>
      <c r="F216" s="48">
        <f t="shared" si="36"/>
        <v>1</v>
      </c>
      <c r="G216" s="48">
        <f>L535+X535+AL535+主线推图!M218+IFERROR(_xlfn.XLOOKUP((B216-6)/10,组队产出!$B$4:$B$19,组队产出!$L$4:$L$19),0)</f>
        <v>1800</v>
      </c>
      <c r="H216" s="23">
        <f t="shared" si="43"/>
        <v>500</v>
      </c>
      <c r="I216" s="23">
        <f t="shared" si="44"/>
        <v>0</v>
      </c>
      <c r="J216" s="23">
        <f t="shared" si="45"/>
        <v>1</v>
      </c>
      <c r="K216" s="23">
        <f t="shared" si="46"/>
        <v>5</v>
      </c>
      <c r="L216" s="48">
        <f t="shared" si="37"/>
        <v>3</v>
      </c>
      <c r="M216" s="48">
        <f t="shared" si="38"/>
        <v>0</v>
      </c>
      <c r="N216" s="23">
        <f t="shared" si="47"/>
        <v>150</v>
      </c>
      <c r="O216" s="48">
        <f t="shared" si="39"/>
        <v>0</v>
      </c>
    </row>
    <row r="217" spans="2:15">
      <c r="B217" s="23">
        <v>216</v>
      </c>
      <c r="C217" s="23">
        <f t="shared" si="40"/>
        <v>750</v>
      </c>
      <c r="D217" s="23">
        <f t="shared" si="41"/>
        <v>40</v>
      </c>
      <c r="E217" s="48">
        <f t="shared" si="42"/>
        <v>15</v>
      </c>
      <c r="F217" s="48">
        <f t="shared" si="36"/>
        <v>0</v>
      </c>
      <c r="G217" s="48">
        <f>L536+X536+AL536+主线推图!M219+IFERROR(_xlfn.XLOOKUP((B217-6)/10,组队产出!$B$4:$B$19,组队产出!$L$4:$L$19),0)</f>
        <v>1800</v>
      </c>
      <c r="H217" s="23">
        <f t="shared" si="43"/>
        <v>500</v>
      </c>
      <c r="I217" s="23">
        <f t="shared" si="44"/>
        <v>0</v>
      </c>
      <c r="J217" s="23">
        <f t="shared" si="45"/>
        <v>0</v>
      </c>
      <c r="K217" s="23">
        <f t="shared" si="46"/>
        <v>5</v>
      </c>
      <c r="L217" s="48">
        <f t="shared" si="37"/>
        <v>0</v>
      </c>
      <c r="M217" s="48">
        <f t="shared" si="38"/>
        <v>30</v>
      </c>
      <c r="N217" s="23">
        <f t="shared" si="47"/>
        <v>150</v>
      </c>
      <c r="O217" s="48">
        <f t="shared" si="39"/>
        <v>0</v>
      </c>
    </row>
    <row r="218" spans="2:15">
      <c r="B218" s="23">
        <v>217</v>
      </c>
      <c r="C218" s="23">
        <f t="shared" si="40"/>
        <v>750</v>
      </c>
      <c r="D218" s="23">
        <f t="shared" si="41"/>
        <v>40</v>
      </c>
      <c r="E218" s="48">
        <f t="shared" si="42"/>
        <v>5</v>
      </c>
      <c r="F218" s="48">
        <f t="shared" si="36"/>
        <v>0</v>
      </c>
      <c r="G218" s="48">
        <f>L537+X537+AL537+主线推图!M220+IFERROR(_xlfn.XLOOKUP((B218-6)/10,组队产出!$B$4:$B$19,组队产出!$L$4:$L$19),0)</f>
        <v>1800</v>
      </c>
      <c r="H218" s="23">
        <f t="shared" si="43"/>
        <v>500</v>
      </c>
      <c r="I218" s="23">
        <f t="shared" si="44"/>
        <v>0</v>
      </c>
      <c r="J218" s="23">
        <f t="shared" si="45"/>
        <v>0</v>
      </c>
      <c r="K218" s="23">
        <f t="shared" si="46"/>
        <v>5</v>
      </c>
      <c r="L218" s="48">
        <f t="shared" si="37"/>
        <v>0</v>
      </c>
      <c r="M218" s="48">
        <f t="shared" si="38"/>
        <v>30</v>
      </c>
      <c r="N218" s="23">
        <f t="shared" si="47"/>
        <v>150</v>
      </c>
      <c r="O218" s="48">
        <f t="shared" si="39"/>
        <v>0</v>
      </c>
    </row>
    <row r="219" spans="2:15">
      <c r="B219" s="23">
        <v>218</v>
      </c>
      <c r="C219" s="23">
        <f t="shared" si="40"/>
        <v>750</v>
      </c>
      <c r="D219" s="23">
        <f t="shared" si="41"/>
        <v>40</v>
      </c>
      <c r="E219" s="48">
        <f t="shared" si="42"/>
        <v>5</v>
      </c>
      <c r="F219" s="48">
        <f t="shared" si="36"/>
        <v>0</v>
      </c>
      <c r="G219" s="48">
        <f>L538+X538+AL538+主线推图!M221+IFERROR(_xlfn.XLOOKUP((B219-6)/10,组队产出!$B$4:$B$19,组队产出!$L$4:$L$19),0)</f>
        <v>1800</v>
      </c>
      <c r="H219" s="23">
        <f t="shared" si="43"/>
        <v>500</v>
      </c>
      <c r="I219" s="23">
        <f t="shared" si="44"/>
        <v>0</v>
      </c>
      <c r="J219" s="23">
        <f t="shared" si="45"/>
        <v>0</v>
      </c>
      <c r="K219" s="23">
        <f t="shared" si="46"/>
        <v>5</v>
      </c>
      <c r="L219" s="48">
        <f t="shared" si="37"/>
        <v>0</v>
      </c>
      <c r="M219" s="48">
        <f t="shared" si="38"/>
        <v>30</v>
      </c>
      <c r="N219" s="23">
        <f t="shared" si="47"/>
        <v>150</v>
      </c>
      <c r="O219" s="48">
        <f t="shared" si="39"/>
        <v>0</v>
      </c>
    </row>
    <row r="220" spans="2:15">
      <c r="B220" s="23">
        <v>219</v>
      </c>
      <c r="C220" s="23">
        <f t="shared" si="40"/>
        <v>750</v>
      </c>
      <c r="D220" s="23">
        <f t="shared" si="41"/>
        <v>40</v>
      </c>
      <c r="E220" s="48">
        <f t="shared" si="42"/>
        <v>5</v>
      </c>
      <c r="F220" s="48">
        <f t="shared" si="36"/>
        <v>0</v>
      </c>
      <c r="G220" s="48">
        <f>L539+X539+AL539+主线推图!M222+IFERROR(_xlfn.XLOOKUP((B220-6)/10,组队产出!$B$4:$B$19,组队产出!$L$4:$L$19),0)</f>
        <v>1800</v>
      </c>
      <c r="H220" s="23">
        <f t="shared" si="43"/>
        <v>500</v>
      </c>
      <c r="I220" s="23">
        <f t="shared" si="44"/>
        <v>0</v>
      </c>
      <c r="J220" s="23">
        <f t="shared" si="45"/>
        <v>0</v>
      </c>
      <c r="K220" s="23">
        <f t="shared" si="46"/>
        <v>5</v>
      </c>
      <c r="L220" s="48">
        <f t="shared" si="37"/>
        <v>0</v>
      </c>
      <c r="M220" s="48">
        <f t="shared" si="38"/>
        <v>30</v>
      </c>
      <c r="N220" s="23">
        <f t="shared" si="47"/>
        <v>150</v>
      </c>
      <c r="O220" s="48">
        <f t="shared" si="39"/>
        <v>0</v>
      </c>
    </row>
    <row r="221" spans="2:15">
      <c r="B221" s="23">
        <v>220</v>
      </c>
      <c r="C221" s="23">
        <f t="shared" si="40"/>
        <v>750</v>
      </c>
      <c r="D221" s="23">
        <f t="shared" si="41"/>
        <v>40</v>
      </c>
      <c r="E221" s="48">
        <f t="shared" si="42"/>
        <v>0</v>
      </c>
      <c r="F221" s="48">
        <f t="shared" si="36"/>
        <v>1</v>
      </c>
      <c r="G221" s="48">
        <f>L540+X540+AL540+主线推图!M223+IFERROR(_xlfn.XLOOKUP((B221-6)/10,组队产出!$B$4:$B$19,组队产出!$L$4:$L$19),0)</f>
        <v>1800</v>
      </c>
      <c r="H221" s="23">
        <f t="shared" si="43"/>
        <v>500</v>
      </c>
      <c r="I221" s="23">
        <f t="shared" si="44"/>
        <v>0</v>
      </c>
      <c r="J221" s="23">
        <f t="shared" si="45"/>
        <v>1</v>
      </c>
      <c r="K221" s="23">
        <f t="shared" si="46"/>
        <v>5</v>
      </c>
      <c r="L221" s="48">
        <f t="shared" si="37"/>
        <v>3</v>
      </c>
      <c r="M221" s="48">
        <f t="shared" si="38"/>
        <v>0</v>
      </c>
      <c r="N221" s="23">
        <f t="shared" si="47"/>
        <v>150</v>
      </c>
      <c r="O221" s="48">
        <f t="shared" si="39"/>
        <v>0</v>
      </c>
    </row>
    <row r="222" spans="2:15">
      <c r="B222" s="23">
        <v>221</v>
      </c>
      <c r="C222" s="23">
        <f t="shared" si="40"/>
        <v>750</v>
      </c>
      <c r="D222" s="23">
        <f t="shared" si="41"/>
        <v>40</v>
      </c>
      <c r="E222" s="48">
        <f t="shared" si="42"/>
        <v>5</v>
      </c>
      <c r="F222" s="48">
        <f t="shared" si="36"/>
        <v>0</v>
      </c>
      <c r="G222" s="48">
        <f>L541+X541+AL541+主线推图!M224+IFERROR(_xlfn.XLOOKUP((B222-6)/10,组队产出!$B$4:$B$19,组队产出!$L$4:$L$19),0)</f>
        <v>1800</v>
      </c>
      <c r="H222" s="23">
        <f t="shared" si="43"/>
        <v>500</v>
      </c>
      <c r="I222" s="23">
        <f t="shared" si="44"/>
        <v>0</v>
      </c>
      <c r="J222" s="23">
        <f t="shared" si="45"/>
        <v>0</v>
      </c>
      <c r="K222" s="23">
        <f t="shared" si="46"/>
        <v>5</v>
      </c>
      <c r="L222" s="48">
        <f t="shared" si="37"/>
        <v>0</v>
      </c>
      <c r="M222" s="48">
        <f t="shared" si="38"/>
        <v>30</v>
      </c>
      <c r="N222" s="23">
        <f t="shared" si="47"/>
        <v>150</v>
      </c>
      <c r="O222" s="48">
        <f t="shared" si="39"/>
        <v>0</v>
      </c>
    </row>
    <row r="223" spans="2:15">
      <c r="B223" s="23">
        <v>222</v>
      </c>
      <c r="C223" s="23">
        <f t="shared" si="40"/>
        <v>750</v>
      </c>
      <c r="D223" s="23">
        <f t="shared" si="41"/>
        <v>40</v>
      </c>
      <c r="E223" s="48">
        <f t="shared" si="42"/>
        <v>5</v>
      </c>
      <c r="F223" s="48">
        <f t="shared" si="36"/>
        <v>0</v>
      </c>
      <c r="G223" s="48">
        <f>L542+X542+AL542+主线推图!M225+IFERROR(_xlfn.XLOOKUP((B223-6)/10,组队产出!$B$4:$B$19,组队产出!$L$4:$L$19),0)</f>
        <v>1800</v>
      </c>
      <c r="H223" s="23">
        <f t="shared" si="43"/>
        <v>500</v>
      </c>
      <c r="I223" s="23">
        <f t="shared" si="44"/>
        <v>0</v>
      </c>
      <c r="J223" s="23">
        <f t="shared" si="45"/>
        <v>0</v>
      </c>
      <c r="K223" s="23">
        <f t="shared" si="46"/>
        <v>5</v>
      </c>
      <c r="L223" s="48">
        <f t="shared" si="37"/>
        <v>0</v>
      </c>
      <c r="M223" s="48">
        <f t="shared" si="38"/>
        <v>30</v>
      </c>
      <c r="N223" s="23">
        <f t="shared" si="47"/>
        <v>150</v>
      </c>
      <c r="O223" s="48">
        <f t="shared" si="39"/>
        <v>0</v>
      </c>
    </row>
    <row r="224" spans="2:15">
      <c r="B224" s="23">
        <v>223</v>
      </c>
      <c r="C224" s="23">
        <f t="shared" si="40"/>
        <v>750</v>
      </c>
      <c r="D224" s="23">
        <f t="shared" si="41"/>
        <v>40</v>
      </c>
      <c r="E224" s="48">
        <f t="shared" si="42"/>
        <v>5</v>
      </c>
      <c r="F224" s="48">
        <f t="shared" si="36"/>
        <v>0</v>
      </c>
      <c r="G224" s="48">
        <f>L543+X543+AL543+主线推图!M226+IFERROR(_xlfn.XLOOKUP((B224-6)/10,组队产出!$B$4:$B$19,组队产出!$L$4:$L$19),0)</f>
        <v>1800</v>
      </c>
      <c r="H224" s="23">
        <f t="shared" si="43"/>
        <v>500</v>
      </c>
      <c r="I224" s="23">
        <f t="shared" si="44"/>
        <v>0</v>
      </c>
      <c r="J224" s="23">
        <f t="shared" si="45"/>
        <v>0</v>
      </c>
      <c r="K224" s="23">
        <f t="shared" si="46"/>
        <v>5</v>
      </c>
      <c r="L224" s="48">
        <f t="shared" si="37"/>
        <v>0</v>
      </c>
      <c r="M224" s="48">
        <f t="shared" si="38"/>
        <v>30</v>
      </c>
      <c r="N224" s="23">
        <f t="shared" si="47"/>
        <v>150</v>
      </c>
      <c r="O224" s="48">
        <f t="shared" si="39"/>
        <v>0</v>
      </c>
    </row>
    <row r="225" spans="2:15">
      <c r="B225" s="23">
        <v>224</v>
      </c>
      <c r="C225" s="23">
        <f t="shared" si="40"/>
        <v>750</v>
      </c>
      <c r="D225" s="23">
        <f t="shared" si="41"/>
        <v>40</v>
      </c>
      <c r="E225" s="48">
        <f t="shared" si="42"/>
        <v>5</v>
      </c>
      <c r="F225" s="48">
        <f t="shared" si="36"/>
        <v>0</v>
      </c>
      <c r="G225" s="48">
        <f>L544+X544+AL544+主线推图!M227+IFERROR(_xlfn.XLOOKUP((B225-6)/10,组队产出!$B$4:$B$19,组队产出!$L$4:$L$19),0)</f>
        <v>1800</v>
      </c>
      <c r="H225" s="23">
        <f t="shared" si="43"/>
        <v>500</v>
      </c>
      <c r="I225" s="23">
        <f t="shared" si="44"/>
        <v>0</v>
      </c>
      <c r="J225" s="23">
        <f t="shared" si="45"/>
        <v>0</v>
      </c>
      <c r="K225" s="23">
        <f t="shared" si="46"/>
        <v>5</v>
      </c>
      <c r="L225" s="48">
        <f t="shared" si="37"/>
        <v>0</v>
      </c>
      <c r="M225" s="48">
        <f t="shared" si="38"/>
        <v>30</v>
      </c>
      <c r="N225" s="23">
        <f t="shared" si="47"/>
        <v>150</v>
      </c>
      <c r="O225" s="48">
        <f t="shared" si="39"/>
        <v>0</v>
      </c>
    </row>
    <row r="226" spans="2:15">
      <c r="B226" s="23">
        <v>225</v>
      </c>
      <c r="C226" s="23">
        <f t="shared" si="40"/>
        <v>750</v>
      </c>
      <c r="D226" s="23">
        <f t="shared" si="41"/>
        <v>40</v>
      </c>
      <c r="E226" s="48">
        <f t="shared" si="42"/>
        <v>0</v>
      </c>
      <c r="F226" s="48">
        <f t="shared" si="36"/>
        <v>1</v>
      </c>
      <c r="G226" s="48">
        <f>L545+X545+AL545+主线推图!M228+IFERROR(_xlfn.XLOOKUP((B226-6)/10,组队产出!$B$4:$B$19,组队产出!$L$4:$L$19),0)</f>
        <v>1800</v>
      </c>
      <c r="H226" s="23">
        <f t="shared" si="43"/>
        <v>500</v>
      </c>
      <c r="I226" s="23">
        <f t="shared" si="44"/>
        <v>0</v>
      </c>
      <c r="J226" s="23">
        <f t="shared" si="45"/>
        <v>1</v>
      </c>
      <c r="K226" s="23">
        <f t="shared" si="46"/>
        <v>5</v>
      </c>
      <c r="L226" s="48">
        <f t="shared" si="37"/>
        <v>3</v>
      </c>
      <c r="M226" s="48">
        <f t="shared" si="38"/>
        <v>0</v>
      </c>
      <c r="N226" s="23">
        <f t="shared" si="47"/>
        <v>150</v>
      </c>
      <c r="O226" s="48">
        <f t="shared" si="39"/>
        <v>0</v>
      </c>
    </row>
    <row r="227" spans="2:15">
      <c r="B227" s="23">
        <v>226</v>
      </c>
      <c r="C227" s="23">
        <f t="shared" si="40"/>
        <v>750</v>
      </c>
      <c r="D227" s="23">
        <f t="shared" si="41"/>
        <v>40</v>
      </c>
      <c r="E227" s="48">
        <f t="shared" si="42"/>
        <v>5</v>
      </c>
      <c r="F227" s="48">
        <f t="shared" si="36"/>
        <v>0</v>
      </c>
      <c r="G227" s="48">
        <f>L546+X546+AL546+主线推图!M229+IFERROR(_xlfn.XLOOKUP((B227-6)/10,组队产出!$B$4:$B$19,组队产出!$L$4:$L$19),0)</f>
        <v>1800</v>
      </c>
      <c r="H227" s="23">
        <f t="shared" si="43"/>
        <v>500</v>
      </c>
      <c r="I227" s="23">
        <f t="shared" si="44"/>
        <v>0</v>
      </c>
      <c r="J227" s="23">
        <f t="shared" si="45"/>
        <v>0</v>
      </c>
      <c r="K227" s="23">
        <f t="shared" si="46"/>
        <v>5</v>
      </c>
      <c r="L227" s="48">
        <f t="shared" si="37"/>
        <v>0</v>
      </c>
      <c r="M227" s="48">
        <f t="shared" si="38"/>
        <v>30</v>
      </c>
      <c r="N227" s="23">
        <f t="shared" si="47"/>
        <v>150</v>
      </c>
      <c r="O227" s="48">
        <f t="shared" si="39"/>
        <v>2</v>
      </c>
    </row>
    <row r="228" spans="2:15">
      <c r="B228" s="23">
        <v>227</v>
      </c>
      <c r="C228" s="23">
        <f t="shared" si="40"/>
        <v>750</v>
      </c>
      <c r="D228" s="23">
        <f t="shared" si="41"/>
        <v>40</v>
      </c>
      <c r="E228" s="48">
        <f t="shared" si="42"/>
        <v>5</v>
      </c>
      <c r="F228" s="48">
        <f t="shared" si="36"/>
        <v>0</v>
      </c>
      <c r="G228" s="48">
        <f>L547+X547+AL547+主线推图!M230+IFERROR(_xlfn.XLOOKUP((B228-6)/10,组队产出!$B$4:$B$19,组队产出!$L$4:$L$19),0)</f>
        <v>1800</v>
      </c>
      <c r="H228" s="23">
        <f t="shared" si="43"/>
        <v>500</v>
      </c>
      <c r="I228" s="23">
        <f t="shared" si="44"/>
        <v>0</v>
      </c>
      <c r="J228" s="23">
        <f t="shared" si="45"/>
        <v>0</v>
      </c>
      <c r="K228" s="23">
        <f t="shared" si="46"/>
        <v>5</v>
      </c>
      <c r="L228" s="48">
        <f t="shared" si="37"/>
        <v>0</v>
      </c>
      <c r="M228" s="48">
        <f t="shared" si="38"/>
        <v>30</v>
      </c>
      <c r="N228" s="23">
        <f t="shared" si="47"/>
        <v>150</v>
      </c>
      <c r="O228" s="48">
        <f t="shared" si="39"/>
        <v>0</v>
      </c>
    </row>
    <row r="229" spans="2:15">
      <c r="B229" s="23">
        <v>228</v>
      </c>
      <c r="C229" s="23">
        <f t="shared" si="40"/>
        <v>750</v>
      </c>
      <c r="D229" s="23">
        <f t="shared" si="41"/>
        <v>40</v>
      </c>
      <c r="E229" s="48">
        <f t="shared" si="42"/>
        <v>5</v>
      </c>
      <c r="F229" s="48">
        <f t="shared" si="36"/>
        <v>0</v>
      </c>
      <c r="G229" s="48">
        <f>L548+X548+AL548+主线推图!M231+IFERROR(_xlfn.XLOOKUP((B229-6)/10,组队产出!$B$4:$B$19,组队产出!$L$4:$L$19),0)</f>
        <v>1800</v>
      </c>
      <c r="H229" s="23">
        <f t="shared" si="43"/>
        <v>500</v>
      </c>
      <c r="I229" s="23">
        <f t="shared" si="44"/>
        <v>0</v>
      </c>
      <c r="J229" s="23">
        <f t="shared" si="45"/>
        <v>0</v>
      </c>
      <c r="K229" s="23">
        <f t="shared" si="46"/>
        <v>5</v>
      </c>
      <c r="L229" s="48">
        <f t="shared" si="37"/>
        <v>0</v>
      </c>
      <c r="M229" s="48">
        <f t="shared" si="38"/>
        <v>30</v>
      </c>
      <c r="N229" s="23">
        <f t="shared" si="47"/>
        <v>150</v>
      </c>
      <c r="O229" s="48">
        <f t="shared" si="39"/>
        <v>0</v>
      </c>
    </row>
    <row r="230" spans="2:15">
      <c r="B230" s="23">
        <v>229</v>
      </c>
      <c r="C230" s="23">
        <f t="shared" si="40"/>
        <v>750</v>
      </c>
      <c r="D230" s="23">
        <f t="shared" si="41"/>
        <v>40</v>
      </c>
      <c r="E230" s="48">
        <f t="shared" si="42"/>
        <v>5</v>
      </c>
      <c r="F230" s="48">
        <f t="shared" si="36"/>
        <v>0</v>
      </c>
      <c r="G230" s="48">
        <f>L549+X549+AL549+主线推图!M232+IFERROR(_xlfn.XLOOKUP((B230-6)/10,组队产出!$B$4:$B$19,组队产出!$L$4:$L$19),0)</f>
        <v>1800</v>
      </c>
      <c r="H230" s="23">
        <f t="shared" si="43"/>
        <v>500</v>
      </c>
      <c r="I230" s="23">
        <f t="shared" si="44"/>
        <v>0</v>
      </c>
      <c r="J230" s="23">
        <f t="shared" si="45"/>
        <v>0</v>
      </c>
      <c r="K230" s="23">
        <f t="shared" si="46"/>
        <v>5</v>
      </c>
      <c r="L230" s="48">
        <f t="shared" si="37"/>
        <v>0</v>
      </c>
      <c r="M230" s="48">
        <f t="shared" si="38"/>
        <v>30</v>
      </c>
      <c r="N230" s="23">
        <f t="shared" si="47"/>
        <v>150</v>
      </c>
      <c r="O230" s="48">
        <f t="shared" si="39"/>
        <v>0</v>
      </c>
    </row>
    <row r="231" spans="2:15">
      <c r="B231" s="23">
        <v>230</v>
      </c>
      <c r="C231" s="23">
        <f t="shared" si="40"/>
        <v>750</v>
      </c>
      <c r="D231" s="23">
        <f t="shared" si="41"/>
        <v>40</v>
      </c>
      <c r="E231" s="48">
        <f t="shared" si="42"/>
        <v>0</v>
      </c>
      <c r="F231" s="48">
        <f t="shared" si="36"/>
        <v>1</v>
      </c>
      <c r="G231" s="48">
        <f>L550+X550+AL550+主线推图!M233+IFERROR(_xlfn.XLOOKUP((B231-6)/10,组队产出!$B$4:$B$19,组队产出!$L$4:$L$19),0)</f>
        <v>1800</v>
      </c>
      <c r="H231" s="23">
        <f t="shared" si="43"/>
        <v>500</v>
      </c>
      <c r="I231" s="23">
        <f t="shared" si="44"/>
        <v>0</v>
      </c>
      <c r="J231" s="23">
        <f t="shared" si="45"/>
        <v>1</v>
      </c>
      <c r="K231" s="23">
        <f t="shared" si="46"/>
        <v>5</v>
      </c>
      <c r="L231" s="48">
        <f t="shared" si="37"/>
        <v>3</v>
      </c>
      <c r="M231" s="48">
        <f t="shared" si="38"/>
        <v>0</v>
      </c>
      <c r="N231" s="23">
        <f t="shared" si="47"/>
        <v>150</v>
      </c>
      <c r="O231" s="48">
        <f t="shared" si="39"/>
        <v>0</v>
      </c>
    </row>
    <row r="232" spans="2:15">
      <c r="B232" s="23">
        <v>231</v>
      </c>
      <c r="C232" s="23">
        <f t="shared" si="40"/>
        <v>750</v>
      </c>
      <c r="D232" s="23">
        <f t="shared" si="41"/>
        <v>40</v>
      </c>
      <c r="E232" s="48">
        <f t="shared" si="42"/>
        <v>5</v>
      </c>
      <c r="F232" s="48">
        <f t="shared" si="36"/>
        <v>0</v>
      </c>
      <c r="G232" s="48">
        <f>L551+X551+AL551+主线推图!M234+IFERROR(_xlfn.XLOOKUP((B232-6)/10,组队产出!$B$4:$B$19,组队产出!$L$4:$L$19),0)</f>
        <v>1800</v>
      </c>
      <c r="H232" s="23">
        <f t="shared" si="43"/>
        <v>500</v>
      </c>
      <c r="I232" s="23">
        <f t="shared" si="44"/>
        <v>0</v>
      </c>
      <c r="J232" s="23">
        <f t="shared" si="45"/>
        <v>0</v>
      </c>
      <c r="K232" s="23">
        <f t="shared" si="46"/>
        <v>5</v>
      </c>
      <c r="L232" s="48">
        <f t="shared" si="37"/>
        <v>0</v>
      </c>
      <c r="M232" s="48">
        <f t="shared" si="38"/>
        <v>30</v>
      </c>
      <c r="N232" s="23">
        <f t="shared" si="47"/>
        <v>150</v>
      </c>
      <c r="O232" s="48">
        <f t="shared" si="39"/>
        <v>0</v>
      </c>
    </row>
    <row r="233" spans="2:15">
      <c r="B233" s="23">
        <v>232</v>
      </c>
      <c r="C233" s="23">
        <f t="shared" si="40"/>
        <v>750</v>
      </c>
      <c r="D233" s="23">
        <f t="shared" si="41"/>
        <v>40</v>
      </c>
      <c r="E233" s="48">
        <f t="shared" si="42"/>
        <v>5</v>
      </c>
      <c r="F233" s="48">
        <f t="shared" si="36"/>
        <v>0</v>
      </c>
      <c r="G233" s="48">
        <f>L552+X552+AL552+主线推图!M235+IFERROR(_xlfn.XLOOKUP((B233-6)/10,组队产出!$B$4:$B$19,组队产出!$L$4:$L$19),0)</f>
        <v>1800</v>
      </c>
      <c r="H233" s="23">
        <f t="shared" si="43"/>
        <v>500</v>
      </c>
      <c r="I233" s="23">
        <f t="shared" si="44"/>
        <v>0</v>
      </c>
      <c r="J233" s="23">
        <f t="shared" si="45"/>
        <v>0</v>
      </c>
      <c r="K233" s="23">
        <f t="shared" si="46"/>
        <v>5</v>
      </c>
      <c r="L233" s="48">
        <f t="shared" si="37"/>
        <v>0</v>
      </c>
      <c r="M233" s="48">
        <f t="shared" si="38"/>
        <v>30</v>
      </c>
      <c r="N233" s="23">
        <f t="shared" si="47"/>
        <v>150</v>
      </c>
      <c r="O233" s="48">
        <f t="shared" si="39"/>
        <v>0</v>
      </c>
    </row>
    <row r="234" spans="2:15">
      <c r="B234" s="23">
        <v>233</v>
      </c>
      <c r="C234" s="23">
        <f t="shared" si="40"/>
        <v>750</v>
      </c>
      <c r="D234" s="23">
        <f t="shared" si="41"/>
        <v>40</v>
      </c>
      <c r="E234" s="48">
        <f t="shared" si="42"/>
        <v>5</v>
      </c>
      <c r="F234" s="48">
        <f t="shared" si="36"/>
        <v>0</v>
      </c>
      <c r="G234" s="48">
        <f>L553+X553+AL553+主线推图!M236+IFERROR(_xlfn.XLOOKUP((B234-6)/10,组队产出!$B$4:$B$19,组队产出!$L$4:$L$19),0)</f>
        <v>1800</v>
      </c>
      <c r="H234" s="23">
        <f t="shared" si="43"/>
        <v>500</v>
      </c>
      <c r="I234" s="23">
        <f t="shared" si="44"/>
        <v>0</v>
      </c>
      <c r="J234" s="23">
        <f t="shared" si="45"/>
        <v>0</v>
      </c>
      <c r="K234" s="23">
        <f t="shared" si="46"/>
        <v>5</v>
      </c>
      <c r="L234" s="48">
        <f t="shared" si="37"/>
        <v>0</v>
      </c>
      <c r="M234" s="48">
        <f t="shared" si="38"/>
        <v>30</v>
      </c>
      <c r="N234" s="23">
        <f t="shared" si="47"/>
        <v>150</v>
      </c>
      <c r="O234" s="48">
        <f t="shared" si="39"/>
        <v>0</v>
      </c>
    </row>
    <row r="235" spans="2:15">
      <c r="B235" s="23">
        <v>234</v>
      </c>
      <c r="C235" s="23">
        <f t="shared" si="40"/>
        <v>750</v>
      </c>
      <c r="D235" s="23">
        <f t="shared" si="41"/>
        <v>40</v>
      </c>
      <c r="E235" s="48">
        <f t="shared" si="42"/>
        <v>5</v>
      </c>
      <c r="F235" s="48">
        <f t="shared" si="36"/>
        <v>0</v>
      </c>
      <c r="G235" s="48">
        <f>L554+X554+AL554+主线推图!M237+IFERROR(_xlfn.XLOOKUP((B235-6)/10,组队产出!$B$4:$B$19,组队产出!$L$4:$L$19),0)</f>
        <v>1800</v>
      </c>
      <c r="H235" s="23">
        <f t="shared" si="43"/>
        <v>500</v>
      </c>
      <c r="I235" s="23">
        <f t="shared" si="44"/>
        <v>0</v>
      </c>
      <c r="J235" s="23">
        <f t="shared" si="45"/>
        <v>0</v>
      </c>
      <c r="K235" s="23">
        <f t="shared" si="46"/>
        <v>5</v>
      </c>
      <c r="L235" s="48">
        <f t="shared" si="37"/>
        <v>0</v>
      </c>
      <c r="M235" s="48">
        <f t="shared" si="38"/>
        <v>30</v>
      </c>
      <c r="N235" s="23">
        <f t="shared" si="47"/>
        <v>150</v>
      </c>
      <c r="O235" s="48">
        <f t="shared" si="39"/>
        <v>0</v>
      </c>
    </row>
    <row r="236" spans="2:15">
      <c r="B236" s="23">
        <v>235</v>
      </c>
      <c r="C236" s="23">
        <f t="shared" si="40"/>
        <v>750</v>
      </c>
      <c r="D236" s="23">
        <f t="shared" si="41"/>
        <v>40</v>
      </c>
      <c r="E236" s="48">
        <f t="shared" si="42"/>
        <v>0</v>
      </c>
      <c r="F236" s="48">
        <f t="shared" si="36"/>
        <v>1</v>
      </c>
      <c r="G236" s="48">
        <f>L555+X555+AL555+主线推图!M238+IFERROR(_xlfn.XLOOKUP((B236-6)/10,组队产出!$B$4:$B$19,组队产出!$L$4:$L$19),0)</f>
        <v>1800</v>
      </c>
      <c r="H236" s="23">
        <f t="shared" si="43"/>
        <v>500</v>
      </c>
      <c r="I236" s="23">
        <f t="shared" si="44"/>
        <v>0</v>
      </c>
      <c r="J236" s="23">
        <f t="shared" si="45"/>
        <v>1</v>
      </c>
      <c r="K236" s="23">
        <f t="shared" si="46"/>
        <v>5</v>
      </c>
      <c r="L236" s="48">
        <f t="shared" si="37"/>
        <v>3</v>
      </c>
      <c r="M236" s="48">
        <f t="shared" si="38"/>
        <v>0</v>
      </c>
      <c r="N236" s="23">
        <f t="shared" si="47"/>
        <v>150</v>
      </c>
      <c r="O236" s="48">
        <f t="shared" si="39"/>
        <v>0</v>
      </c>
    </row>
    <row r="237" spans="2:15">
      <c r="B237" s="23">
        <v>236</v>
      </c>
      <c r="C237" s="23">
        <f t="shared" si="40"/>
        <v>750</v>
      </c>
      <c r="D237" s="23">
        <f t="shared" si="41"/>
        <v>40</v>
      </c>
      <c r="E237" s="48">
        <f t="shared" si="42"/>
        <v>15</v>
      </c>
      <c r="F237" s="48">
        <f t="shared" si="36"/>
        <v>0</v>
      </c>
      <c r="G237" s="48">
        <f>L556+X556+AL556+主线推图!M239+IFERROR(_xlfn.XLOOKUP((B237-6)/10,组队产出!$B$4:$B$19,组队产出!$L$4:$L$19),0)</f>
        <v>1800</v>
      </c>
      <c r="H237" s="23">
        <f t="shared" si="43"/>
        <v>500</v>
      </c>
      <c r="I237" s="23">
        <f t="shared" si="44"/>
        <v>0</v>
      </c>
      <c r="J237" s="23">
        <f t="shared" si="45"/>
        <v>0</v>
      </c>
      <c r="K237" s="23">
        <f t="shared" si="46"/>
        <v>5</v>
      </c>
      <c r="L237" s="48">
        <f t="shared" si="37"/>
        <v>0</v>
      </c>
      <c r="M237" s="48">
        <f t="shared" si="38"/>
        <v>30</v>
      </c>
      <c r="N237" s="23">
        <f t="shared" si="47"/>
        <v>150</v>
      </c>
      <c r="O237" s="48">
        <f t="shared" si="39"/>
        <v>0</v>
      </c>
    </row>
    <row r="238" spans="2:15">
      <c r="B238" s="23">
        <v>237</v>
      </c>
      <c r="C238" s="23">
        <f t="shared" si="40"/>
        <v>750</v>
      </c>
      <c r="D238" s="23">
        <f t="shared" si="41"/>
        <v>40</v>
      </c>
      <c r="E238" s="48">
        <f t="shared" si="42"/>
        <v>5</v>
      </c>
      <c r="F238" s="48">
        <f t="shared" si="36"/>
        <v>0</v>
      </c>
      <c r="G238" s="48">
        <f>L557+X557+AL557+主线推图!M240+IFERROR(_xlfn.XLOOKUP((B238-6)/10,组队产出!$B$4:$B$19,组队产出!$L$4:$L$19),0)</f>
        <v>1800</v>
      </c>
      <c r="H238" s="23">
        <f t="shared" si="43"/>
        <v>500</v>
      </c>
      <c r="I238" s="23">
        <f t="shared" si="44"/>
        <v>0</v>
      </c>
      <c r="J238" s="23">
        <f t="shared" si="45"/>
        <v>0</v>
      </c>
      <c r="K238" s="23">
        <f t="shared" si="46"/>
        <v>5</v>
      </c>
      <c r="L238" s="48">
        <f t="shared" si="37"/>
        <v>0</v>
      </c>
      <c r="M238" s="48">
        <f t="shared" si="38"/>
        <v>30</v>
      </c>
      <c r="N238" s="23">
        <f t="shared" si="47"/>
        <v>150</v>
      </c>
      <c r="O238" s="48">
        <f t="shared" si="39"/>
        <v>0</v>
      </c>
    </row>
    <row r="239" spans="2:15">
      <c r="B239" s="23">
        <v>238</v>
      </c>
      <c r="C239" s="23">
        <f t="shared" si="40"/>
        <v>750</v>
      </c>
      <c r="D239" s="23">
        <f t="shared" si="41"/>
        <v>40</v>
      </c>
      <c r="E239" s="48">
        <f t="shared" si="42"/>
        <v>5</v>
      </c>
      <c r="F239" s="48">
        <f t="shared" si="36"/>
        <v>0</v>
      </c>
      <c r="G239" s="48">
        <f>L558+X558+AL558+主线推图!M241+IFERROR(_xlfn.XLOOKUP((B239-6)/10,组队产出!$B$4:$B$19,组队产出!$L$4:$L$19),0)</f>
        <v>1800</v>
      </c>
      <c r="H239" s="23">
        <f t="shared" si="43"/>
        <v>500</v>
      </c>
      <c r="I239" s="23">
        <f t="shared" si="44"/>
        <v>0</v>
      </c>
      <c r="J239" s="23">
        <f t="shared" si="45"/>
        <v>0</v>
      </c>
      <c r="K239" s="23">
        <f t="shared" si="46"/>
        <v>5</v>
      </c>
      <c r="L239" s="48">
        <f t="shared" si="37"/>
        <v>0</v>
      </c>
      <c r="M239" s="48">
        <f t="shared" si="38"/>
        <v>30</v>
      </c>
      <c r="N239" s="23">
        <f t="shared" si="47"/>
        <v>150</v>
      </c>
      <c r="O239" s="48">
        <f t="shared" si="39"/>
        <v>0</v>
      </c>
    </row>
    <row r="240" spans="2:15">
      <c r="B240" s="23">
        <v>239</v>
      </c>
      <c r="C240" s="23">
        <f t="shared" si="40"/>
        <v>750</v>
      </c>
      <c r="D240" s="23">
        <f t="shared" si="41"/>
        <v>40</v>
      </c>
      <c r="E240" s="48">
        <f t="shared" si="42"/>
        <v>5</v>
      </c>
      <c r="F240" s="48">
        <f t="shared" si="36"/>
        <v>0</v>
      </c>
      <c r="G240" s="48">
        <f>L559+X559+AL559+主线推图!M242+IFERROR(_xlfn.XLOOKUP((B240-6)/10,组队产出!$B$4:$B$19,组队产出!$L$4:$L$19),0)</f>
        <v>1800</v>
      </c>
      <c r="H240" s="23">
        <f t="shared" si="43"/>
        <v>500</v>
      </c>
      <c r="I240" s="23">
        <f t="shared" si="44"/>
        <v>0</v>
      </c>
      <c r="J240" s="23">
        <f t="shared" si="45"/>
        <v>0</v>
      </c>
      <c r="K240" s="23">
        <f t="shared" si="46"/>
        <v>5</v>
      </c>
      <c r="L240" s="48">
        <f t="shared" si="37"/>
        <v>0</v>
      </c>
      <c r="M240" s="48">
        <f t="shared" si="38"/>
        <v>30</v>
      </c>
      <c r="N240" s="23">
        <f t="shared" si="47"/>
        <v>150</v>
      </c>
      <c r="O240" s="48">
        <f t="shared" si="39"/>
        <v>0</v>
      </c>
    </row>
    <row r="241" spans="2:15">
      <c r="B241" s="23">
        <v>240</v>
      </c>
      <c r="C241" s="23">
        <f t="shared" si="40"/>
        <v>750</v>
      </c>
      <c r="D241" s="23">
        <f t="shared" si="41"/>
        <v>40</v>
      </c>
      <c r="E241" s="48">
        <f t="shared" si="42"/>
        <v>0</v>
      </c>
      <c r="F241" s="48">
        <f t="shared" si="36"/>
        <v>1</v>
      </c>
      <c r="G241" s="48">
        <f>L560+X560+AL560+主线推图!M243+IFERROR(_xlfn.XLOOKUP((B241-6)/10,组队产出!$B$4:$B$19,组队产出!$L$4:$L$19),0)</f>
        <v>1800</v>
      </c>
      <c r="H241" s="23">
        <f t="shared" si="43"/>
        <v>500</v>
      </c>
      <c r="I241" s="23">
        <f t="shared" si="44"/>
        <v>0</v>
      </c>
      <c r="J241" s="23">
        <f t="shared" si="45"/>
        <v>1</v>
      </c>
      <c r="K241" s="23">
        <f t="shared" si="46"/>
        <v>5</v>
      </c>
      <c r="L241" s="48">
        <f t="shared" si="37"/>
        <v>3</v>
      </c>
      <c r="M241" s="48">
        <f t="shared" si="38"/>
        <v>0</v>
      </c>
      <c r="N241" s="23">
        <f t="shared" si="47"/>
        <v>150</v>
      </c>
      <c r="O241" s="48">
        <f t="shared" si="39"/>
        <v>0</v>
      </c>
    </row>
    <row r="242" spans="2:15">
      <c r="B242" s="23">
        <v>241</v>
      </c>
      <c r="C242" s="23">
        <f t="shared" si="40"/>
        <v>750</v>
      </c>
      <c r="D242" s="23">
        <f t="shared" si="41"/>
        <v>40</v>
      </c>
      <c r="E242" s="48">
        <f t="shared" si="42"/>
        <v>5</v>
      </c>
      <c r="F242" s="48">
        <f t="shared" si="36"/>
        <v>0</v>
      </c>
      <c r="G242" s="48">
        <f>L561+X561+AL561+主线推图!M244+IFERROR(_xlfn.XLOOKUP((B242-6)/10,组队产出!$B$4:$B$19,组队产出!$L$4:$L$19),0)</f>
        <v>1800</v>
      </c>
      <c r="H242" s="23">
        <f t="shared" si="43"/>
        <v>500</v>
      </c>
      <c r="I242" s="23">
        <f t="shared" si="44"/>
        <v>0</v>
      </c>
      <c r="J242" s="23">
        <f t="shared" si="45"/>
        <v>0</v>
      </c>
      <c r="K242" s="23">
        <f t="shared" si="46"/>
        <v>5</v>
      </c>
      <c r="L242" s="48">
        <f t="shared" si="37"/>
        <v>0</v>
      </c>
      <c r="M242" s="48">
        <f t="shared" si="38"/>
        <v>30</v>
      </c>
      <c r="N242" s="23">
        <f t="shared" si="47"/>
        <v>150</v>
      </c>
      <c r="O242" s="48">
        <f t="shared" si="39"/>
        <v>0</v>
      </c>
    </row>
    <row r="243" spans="2:15">
      <c r="B243" s="23">
        <v>242</v>
      </c>
      <c r="C243" s="23">
        <f t="shared" si="40"/>
        <v>750</v>
      </c>
      <c r="D243" s="23">
        <f t="shared" si="41"/>
        <v>40</v>
      </c>
      <c r="E243" s="48">
        <f t="shared" si="42"/>
        <v>5</v>
      </c>
      <c r="F243" s="48">
        <f t="shared" si="36"/>
        <v>0</v>
      </c>
      <c r="G243" s="48">
        <f>L562+X562+AL562+主线推图!M245+IFERROR(_xlfn.XLOOKUP((B243-6)/10,组队产出!$B$4:$B$19,组队产出!$L$4:$L$19),0)</f>
        <v>1800</v>
      </c>
      <c r="H243" s="23">
        <f t="shared" si="43"/>
        <v>500</v>
      </c>
      <c r="I243" s="23">
        <f t="shared" si="44"/>
        <v>0</v>
      </c>
      <c r="J243" s="23">
        <f t="shared" si="45"/>
        <v>0</v>
      </c>
      <c r="K243" s="23">
        <f t="shared" si="46"/>
        <v>5</v>
      </c>
      <c r="L243" s="48">
        <f t="shared" si="37"/>
        <v>0</v>
      </c>
      <c r="M243" s="48">
        <f t="shared" si="38"/>
        <v>30</v>
      </c>
      <c r="N243" s="23">
        <f t="shared" si="47"/>
        <v>150</v>
      </c>
      <c r="O243" s="48">
        <f t="shared" si="39"/>
        <v>0</v>
      </c>
    </row>
    <row r="244" spans="2:15">
      <c r="B244" s="23">
        <v>243</v>
      </c>
      <c r="C244" s="23">
        <f t="shared" si="40"/>
        <v>750</v>
      </c>
      <c r="D244" s="23">
        <f t="shared" si="41"/>
        <v>40</v>
      </c>
      <c r="E244" s="48">
        <f t="shared" si="42"/>
        <v>5</v>
      </c>
      <c r="F244" s="48">
        <f t="shared" si="36"/>
        <v>0</v>
      </c>
      <c r="G244" s="48">
        <f>L563+X563+AL563+主线推图!M246+IFERROR(_xlfn.XLOOKUP((B244-6)/10,组队产出!$B$4:$B$19,组队产出!$L$4:$L$19),0)</f>
        <v>1800</v>
      </c>
      <c r="H244" s="23">
        <f t="shared" si="43"/>
        <v>500</v>
      </c>
      <c r="I244" s="23">
        <f t="shared" si="44"/>
        <v>0</v>
      </c>
      <c r="J244" s="23">
        <f t="shared" si="45"/>
        <v>0</v>
      </c>
      <c r="K244" s="23">
        <f t="shared" si="46"/>
        <v>5</v>
      </c>
      <c r="L244" s="48">
        <f t="shared" si="37"/>
        <v>0</v>
      </c>
      <c r="M244" s="48">
        <f t="shared" si="38"/>
        <v>30</v>
      </c>
      <c r="N244" s="23">
        <f t="shared" si="47"/>
        <v>150</v>
      </c>
      <c r="O244" s="48">
        <f t="shared" si="39"/>
        <v>0</v>
      </c>
    </row>
    <row r="245" spans="2:15">
      <c r="B245" s="23">
        <v>244</v>
      </c>
      <c r="C245" s="23">
        <f t="shared" si="40"/>
        <v>750</v>
      </c>
      <c r="D245" s="23">
        <f t="shared" si="41"/>
        <v>40</v>
      </c>
      <c r="E245" s="48">
        <f t="shared" si="42"/>
        <v>5</v>
      </c>
      <c r="F245" s="48">
        <f t="shared" si="36"/>
        <v>0</v>
      </c>
      <c r="G245" s="48">
        <f>L564+X564+AL564+主线推图!M247+IFERROR(_xlfn.XLOOKUP((B245-6)/10,组队产出!$B$4:$B$19,组队产出!$L$4:$L$19),0)</f>
        <v>1800</v>
      </c>
      <c r="H245" s="23">
        <f t="shared" si="43"/>
        <v>500</v>
      </c>
      <c r="I245" s="23">
        <f t="shared" si="44"/>
        <v>0</v>
      </c>
      <c r="J245" s="23">
        <f t="shared" si="45"/>
        <v>0</v>
      </c>
      <c r="K245" s="23">
        <f t="shared" si="46"/>
        <v>5</v>
      </c>
      <c r="L245" s="48">
        <f t="shared" si="37"/>
        <v>0</v>
      </c>
      <c r="M245" s="48">
        <f t="shared" si="38"/>
        <v>30</v>
      </c>
      <c r="N245" s="23">
        <f t="shared" si="47"/>
        <v>150</v>
      </c>
      <c r="O245" s="48">
        <f t="shared" si="39"/>
        <v>0</v>
      </c>
    </row>
    <row r="246" spans="2:15">
      <c r="B246" s="23">
        <v>245</v>
      </c>
      <c r="C246" s="23">
        <f t="shared" si="40"/>
        <v>750</v>
      </c>
      <c r="D246" s="23">
        <f t="shared" si="41"/>
        <v>40</v>
      </c>
      <c r="E246" s="48">
        <f t="shared" si="42"/>
        <v>0</v>
      </c>
      <c r="F246" s="48">
        <f t="shared" si="36"/>
        <v>1</v>
      </c>
      <c r="G246" s="48">
        <f>L565+X565+AL565+主线推图!M248+IFERROR(_xlfn.XLOOKUP((B246-6)/10,组队产出!$B$4:$B$19,组队产出!$L$4:$L$19),0)</f>
        <v>1800</v>
      </c>
      <c r="H246" s="23">
        <f t="shared" si="43"/>
        <v>500</v>
      </c>
      <c r="I246" s="23">
        <f t="shared" si="44"/>
        <v>0</v>
      </c>
      <c r="J246" s="23">
        <f t="shared" si="45"/>
        <v>1</v>
      </c>
      <c r="K246" s="23">
        <f t="shared" si="46"/>
        <v>5</v>
      </c>
      <c r="L246" s="48">
        <f t="shared" si="37"/>
        <v>3</v>
      </c>
      <c r="M246" s="48">
        <f t="shared" si="38"/>
        <v>0</v>
      </c>
      <c r="N246" s="23">
        <f t="shared" si="47"/>
        <v>150</v>
      </c>
      <c r="O246" s="48">
        <f t="shared" si="39"/>
        <v>0</v>
      </c>
    </row>
    <row r="247" spans="2:15">
      <c r="B247" s="23">
        <v>246</v>
      </c>
      <c r="C247" s="23">
        <f t="shared" si="40"/>
        <v>750</v>
      </c>
      <c r="D247" s="23">
        <f t="shared" si="41"/>
        <v>40</v>
      </c>
      <c r="E247" s="48">
        <f t="shared" si="42"/>
        <v>5</v>
      </c>
      <c r="F247" s="48">
        <f t="shared" si="36"/>
        <v>0</v>
      </c>
      <c r="G247" s="48">
        <f>L566+X566+AL566+主线推图!M249+IFERROR(_xlfn.XLOOKUP((B247-6)/10,组队产出!$B$4:$B$19,组队产出!$L$4:$L$19),0)</f>
        <v>1800</v>
      </c>
      <c r="H247" s="23">
        <f t="shared" si="43"/>
        <v>500</v>
      </c>
      <c r="I247" s="23">
        <f t="shared" si="44"/>
        <v>0</v>
      </c>
      <c r="J247" s="23">
        <f t="shared" si="45"/>
        <v>0</v>
      </c>
      <c r="K247" s="23">
        <f t="shared" si="46"/>
        <v>5</v>
      </c>
      <c r="L247" s="48">
        <f t="shared" si="37"/>
        <v>0</v>
      </c>
      <c r="M247" s="48">
        <f t="shared" si="38"/>
        <v>30</v>
      </c>
      <c r="N247" s="23">
        <f t="shared" si="47"/>
        <v>150</v>
      </c>
      <c r="O247" s="48">
        <f t="shared" si="39"/>
        <v>2</v>
      </c>
    </row>
    <row r="248" spans="2:15">
      <c r="B248" s="23">
        <v>247</v>
      </c>
      <c r="C248" s="23">
        <f t="shared" si="40"/>
        <v>750</v>
      </c>
      <c r="D248" s="23">
        <f t="shared" si="41"/>
        <v>40</v>
      </c>
      <c r="E248" s="48">
        <f t="shared" si="42"/>
        <v>5</v>
      </c>
      <c r="F248" s="48">
        <f t="shared" si="36"/>
        <v>0</v>
      </c>
      <c r="G248" s="48">
        <f>L567+X567+AL567+主线推图!M250+IFERROR(_xlfn.XLOOKUP((B248-6)/10,组队产出!$B$4:$B$19,组队产出!$L$4:$L$19),0)</f>
        <v>1800</v>
      </c>
      <c r="H248" s="23">
        <f t="shared" si="43"/>
        <v>500</v>
      </c>
      <c r="I248" s="23">
        <f t="shared" si="44"/>
        <v>0</v>
      </c>
      <c r="J248" s="23">
        <f t="shared" si="45"/>
        <v>0</v>
      </c>
      <c r="K248" s="23">
        <f t="shared" si="46"/>
        <v>5</v>
      </c>
      <c r="L248" s="48">
        <f t="shared" si="37"/>
        <v>0</v>
      </c>
      <c r="M248" s="48">
        <f t="shared" si="38"/>
        <v>30</v>
      </c>
      <c r="N248" s="23">
        <f t="shared" si="47"/>
        <v>150</v>
      </c>
      <c r="O248" s="48">
        <f t="shared" si="39"/>
        <v>0</v>
      </c>
    </row>
    <row r="249" spans="2:15">
      <c r="B249" s="23">
        <v>248</v>
      </c>
      <c r="C249" s="23">
        <f t="shared" si="40"/>
        <v>750</v>
      </c>
      <c r="D249" s="23">
        <f t="shared" si="41"/>
        <v>40</v>
      </c>
      <c r="E249" s="48">
        <f t="shared" si="42"/>
        <v>5</v>
      </c>
      <c r="F249" s="48">
        <f t="shared" si="36"/>
        <v>0</v>
      </c>
      <c r="G249" s="48">
        <f>L568+X568+AL568+主线推图!M251+IFERROR(_xlfn.XLOOKUP((B249-6)/10,组队产出!$B$4:$B$19,组队产出!$L$4:$L$19),0)</f>
        <v>1800</v>
      </c>
      <c r="H249" s="23">
        <f t="shared" si="43"/>
        <v>500</v>
      </c>
      <c r="I249" s="23">
        <f t="shared" si="44"/>
        <v>0</v>
      </c>
      <c r="J249" s="23">
        <f t="shared" si="45"/>
        <v>0</v>
      </c>
      <c r="K249" s="23">
        <f t="shared" si="46"/>
        <v>5</v>
      </c>
      <c r="L249" s="48">
        <f t="shared" si="37"/>
        <v>0</v>
      </c>
      <c r="M249" s="48">
        <f t="shared" si="38"/>
        <v>30</v>
      </c>
      <c r="N249" s="23">
        <f t="shared" si="47"/>
        <v>150</v>
      </c>
      <c r="O249" s="48">
        <f t="shared" si="39"/>
        <v>0</v>
      </c>
    </row>
    <row r="250" spans="2:15">
      <c r="B250" s="23">
        <v>249</v>
      </c>
      <c r="C250" s="23">
        <f t="shared" si="40"/>
        <v>750</v>
      </c>
      <c r="D250" s="23">
        <f t="shared" si="41"/>
        <v>40</v>
      </c>
      <c r="E250" s="48">
        <f t="shared" si="42"/>
        <v>5</v>
      </c>
      <c r="F250" s="48">
        <f t="shared" si="36"/>
        <v>0</v>
      </c>
      <c r="G250" s="48">
        <f>L569+X569+AL569+主线推图!M252+IFERROR(_xlfn.XLOOKUP((B250-6)/10,组队产出!$B$4:$B$19,组队产出!$L$4:$L$19),0)</f>
        <v>1800</v>
      </c>
      <c r="H250" s="23">
        <f t="shared" si="43"/>
        <v>500</v>
      </c>
      <c r="I250" s="23">
        <f t="shared" si="44"/>
        <v>0</v>
      </c>
      <c r="J250" s="23">
        <f t="shared" si="45"/>
        <v>0</v>
      </c>
      <c r="K250" s="23">
        <f t="shared" si="46"/>
        <v>5</v>
      </c>
      <c r="L250" s="48">
        <f t="shared" si="37"/>
        <v>0</v>
      </c>
      <c r="M250" s="48">
        <f t="shared" si="38"/>
        <v>30</v>
      </c>
      <c r="N250" s="23">
        <f t="shared" si="47"/>
        <v>150</v>
      </c>
      <c r="O250" s="48">
        <f t="shared" si="39"/>
        <v>0</v>
      </c>
    </row>
    <row r="251" spans="2:15">
      <c r="B251" s="23">
        <v>250</v>
      </c>
      <c r="C251" s="23">
        <f t="shared" si="40"/>
        <v>750</v>
      </c>
      <c r="D251" s="23">
        <f t="shared" si="41"/>
        <v>40</v>
      </c>
      <c r="E251" s="48">
        <f t="shared" si="42"/>
        <v>0</v>
      </c>
      <c r="F251" s="48">
        <f t="shared" si="36"/>
        <v>1</v>
      </c>
      <c r="G251" s="48">
        <f>L570+X570+AL570+主线推图!M253+IFERROR(_xlfn.XLOOKUP((B251-6)/10,组队产出!$B$4:$B$19,组队产出!$L$4:$L$19),0)</f>
        <v>1800</v>
      </c>
      <c r="H251" s="23">
        <f t="shared" si="43"/>
        <v>500</v>
      </c>
      <c r="I251" s="23">
        <f t="shared" si="44"/>
        <v>0</v>
      </c>
      <c r="J251" s="23">
        <f t="shared" si="45"/>
        <v>1</v>
      </c>
      <c r="K251" s="23">
        <f t="shared" si="46"/>
        <v>5</v>
      </c>
      <c r="L251" s="48">
        <f t="shared" si="37"/>
        <v>3</v>
      </c>
      <c r="M251" s="48">
        <f t="shared" si="38"/>
        <v>0</v>
      </c>
      <c r="N251" s="23">
        <f t="shared" si="47"/>
        <v>150</v>
      </c>
      <c r="O251" s="48">
        <f t="shared" si="39"/>
        <v>0</v>
      </c>
    </row>
    <row r="252" spans="2:15">
      <c r="B252" s="23">
        <v>251</v>
      </c>
      <c r="C252" s="23">
        <f t="shared" si="40"/>
        <v>750</v>
      </c>
      <c r="D252" s="23">
        <f t="shared" si="41"/>
        <v>40</v>
      </c>
      <c r="E252" s="48">
        <f t="shared" si="42"/>
        <v>5</v>
      </c>
      <c r="F252" s="48">
        <f t="shared" si="36"/>
        <v>0</v>
      </c>
      <c r="G252" s="48">
        <f>L571+X571+AL571+主线推图!M254+IFERROR(_xlfn.XLOOKUP((B252-6)/10,组队产出!$B$4:$B$19,组队产出!$L$4:$L$19),0)</f>
        <v>1800</v>
      </c>
      <c r="H252" s="23">
        <f t="shared" si="43"/>
        <v>500</v>
      </c>
      <c r="I252" s="23">
        <f t="shared" si="44"/>
        <v>0</v>
      </c>
      <c r="J252" s="23">
        <f t="shared" si="45"/>
        <v>0</v>
      </c>
      <c r="K252" s="23">
        <f t="shared" si="46"/>
        <v>5</v>
      </c>
      <c r="L252" s="48">
        <f t="shared" si="37"/>
        <v>0</v>
      </c>
      <c r="M252" s="48">
        <f t="shared" si="38"/>
        <v>30</v>
      </c>
      <c r="N252" s="23">
        <f t="shared" si="47"/>
        <v>150</v>
      </c>
      <c r="O252" s="48">
        <f t="shared" si="39"/>
        <v>0</v>
      </c>
    </row>
    <row r="253" spans="2:15">
      <c r="B253" s="23">
        <v>252</v>
      </c>
      <c r="C253" s="23">
        <f t="shared" si="40"/>
        <v>750</v>
      </c>
      <c r="D253" s="23">
        <f t="shared" si="41"/>
        <v>40</v>
      </c>
      <c r="E253" s="48">
        <f t="shared" si="42"/>
        <v>5</v>
      </c>
      <c r="F253" s="48">
        <f t="shared" si="36"/>
        <v>0</v>
      </c>
      <c r="G253" s="48">
        <f>L572+X572+AL572+主线推图!M255+IFERROR(_xlfn.XLOOKUP((B253-6)/10,组队产出!$B$4:$B$19,组队产出!$L$4:$L$19),0)</f>
        <v>1800</v>
      </c>
      <c r="H253" s="23">
        <f t="shared" si="43"/>
        <v>500</v>
      </c>
      <c r="I253" s="23">
        <f t="shared" si="44"/>
        <v>0</v>
      </c>
      <c r="J253" s="23">
        <f t="shared" si="45"/>
        <v>0</v>
      </c>
      <c r="K253" s="23">
        <f t="shared" si="46"/>
        <v>5</v>
      </c>
      <c r="L253" s="48">
        <f t="shared" si="37"/>
        <v>0</v>
      </c>
      <c r="M253" s="48">
        <f t="shared" si="38"/>
        <v>30</v>
      </c>
      <c r="N253" s="23">
        <f t="shared" si="47"/>
        <v>150</v>
      </c>
      <c r="O253" s="48">
        <f t="shared" si="39"/>
        <v>0</v>
      </c>
    </row>
    <row r="254" spans="2:15">
      <c r="B254" s="23">
        <v>253</v>
      </c>
      <c r="C254" s="23">
        <f t="shared" si="40"/>
        <v>750</v>
      </c>
      <c r="D254" s="23">
        <f t="shared" si="41"/>
        <v>40</v>
      </c>
      <c r="E254" s="48">
        <f t="shared" si="42"/>
        <v>5</v>
      </c>
      <c r="F254" s="48">
        <f t="shared" si="36"/>
        <v>0</v>
      </c>
      <c r="G254" s="48">
        <f>L573+X573+AL573+主线推图!M256+IFERROR(_xlfn.XLOOKUP((B254-6)/10,组队产出!$B$4:$B$19,组队产出!$L$4:$L$19),0)</f>
        <v>1800</v>
      </c>
      <c r="H254" s="23">
        <f t="shared" si="43"/>
        <v>500</v>
      </c>
      <c r="I254" s="23">
        <f t="shared" si="44"/>
        <v>0</v>
      </c>
      <c r="J254" s="23">
        <f t="shared" si="45"/>
        <v>0</v>
      </c>
      <c r="K254" s="23">
        <f t="shared" si="46"/>
        <v>5</v>
      </c>
      <c r="L254" s="48">
        <f t="shared" si="37"/>
        <v>0</v>
      </c>
      <c r="M254" s="48">
        <f t="shared" si="38"/>
        <v>30</v>
      </c>
      <c r="N254" s="23">
        <f t="shared" si="47"/>
        <v>150</v>
      </c>
      <c r="O254" s="48">
        <f t="shared" si="39"/>
        <v>0</v>
      </c>
    </row>
    <row r="255" spans="2:15">
      <c r="B255" s="23">
        <v>254</v>
      </c>
      <c r="C255" s="23">
        <f t="shared" si="40"/>
        <v>750</v>
      </c>
      <c r="D255" s="23">
        <f t="shared" si="41"/>
        <v>40</v>
      </c>
      <c r="E255" s="48">
        <f t="shared" si="42"/>
        <v>5</v>
      </c>
      <c r="F255" s="48">
        <f t="shared" si="36"/>
        <v>0</v>
      </c>
      <c r="G255" s="48">
        <f>L574+X574+AL574+主线推图!M257+IFERROR(_xlfn.XLOOKUP((B255-6)/10,组队产出!$B$4:$B$19,组队产出!$L$4:$L$19),0)</f>
        <v>1800</v>
      </c>
      <c r="H255" s="23">
        <f t="shared" si="43"/>
        <v>500</v>
      </c>
      <c r="I255" s="23">
        <f t="shared" si="44"/>
        <v>0</v>
      </c>
      <c r="J255" s="23">
        <f t="shared" si="45"/>
        <v>0</v>
      </c>
      <c r="K255" s="23">
        <f t="shared" si="46"/>
        <v>5</v>
      </c>
      <c r="L255" s="48">
        <f t="shared" si="37"/>
        <v>0</v>
      </c>
      <c r="M255" s="48">
        <f t="shared" si="38"/>
        <v>30</v>
      </c>
      <c r="N255" s="23">
        <f t="shared" si="47"/>
        <v>150</v>
      </c>
      <c r="O255" s="48">
        <f t="shared" si="39"/>
        <v>0</v>
      </c>
    </row>
    <row r="256" spans="2:15">
      <c r="B256" s="23">
        <v>255</v>
      </c>
      <c r="C256" s="23">
        <f t="shared" si="40"/>
        <v>750</v>
      </c>
      <c r="D256" s="23">
        <f t="shared" si="41"/>
        <v>40</v>
      </c>
      <c r="E256" s="48">
        <f t="shared" si="42"/>
        <v>0</v>
      </c>
      <c r="F256" s="48">
        <f t="shared" si="36"/>
        <v>1</v>
      </c>
      <c r="G256" s="48">
        <f>L575+X575+AL575+主线推图!M258+IFERROR(_xlfn.XLOOKUP((B256-6)/10,组队产出!$B$4:$B$19,组队产出!$L$4:$L$19),0)</f>
        <v>1800</v>
      </c>
      <c r="H256" s="23">
        <f t="shared" si="43"/>
        <v>500</v>
      </c>
      <c r="I256" s="23">
        <f t="shared" si="44"/>
        <v>0</v>
      </c>
      <c r="J256" s="23">
        <f t="shared" si="45"/>
        <v>1</v>
      </c>
      <c r="K256" s="23">
        <f t="shared" si="46"/>
        <v>5</v>
      </c>
      <c r="L256" s="48">
        <f t="shared" si="37"/>
        <v>3</v>
      </c>
      <c r="M256" s="48">
        <f t="shared" si="38"/>
        <v>0</v>
      </c>
      <c r="N256" s="23">
        <f t="shared" si="47"/>
        <v>150</v>
      </c>
      <c r="O256" s="48">
        <f t="shared" si="39"/>
        <v>0</v>
      </c>
    </row>
    <row r="257" spans="2:15">
      <c r="B257" s="23">
        <v>256</v>
      </c>
      <c r="C257" s="23">
        <f t="shared" si="40"/>
        <v>750</v>
      </c>
      <c r="D257" s="23">
        <f t="shared" si="41"/>
        <v>40</v>
      </c>
      <c r="E257" s="48">
        <f t="shared" si="42"/>
        <v>15</v>
      </c>
      <c r="F257" s="48">
        <f t="shared" si="36"/>
        <v>0</v>
      </c>
      <c r="G257" s="48">
        <f>L576+X576+AL576+主线推图!M259+IFERROR(_xlfn.XLOOKUP((B257-6)/10,组队产出!$B$4:$B$19,组队产出!$L$4:$L$19),0)</f>
        <v>1800</v>
      </c>
      <c r="H257" s="23">
        <f t="shared" si="43"/>
        <v>500</v>
      </c>
      <c r="I257" s="23">
        <f t="shared" si="44"/>
        <v>0</v>
      </c>
      <c r="J257" s="23">
        <f t="shared" si="45"/>
        <v>0</v>
      </c>
      <c r="K257" s="23">
        <f t="shared" si="46"/>
        <v>5</v>
      </c>
      <c r="L257" s="48">
        <f t="shared" si="37"/>
        <v>0</v>
      </c>
      <c r="M257" s="48">
        <f t="shared" si="38"/>
        <v>30</v>
      </c>
      <c r="N257" s="23">
        <f t="shared" si="47"/>
        <v>150</v>
      </c>
      <c r="O257" s="48">
        <f t="shared" si="39"/>
        <v>0</v>
      </c>
    </row>
    <row r="258" spans="2:15">
      <c r="B258" s="23">
        <v>257</v>
      </c>
      <c r="C258" s="23">
        <f t="shared" si="40"/>
        <v>750</v>
      </c>
      <c r="D258" s="23">
        <f t="shared" si="41"/>
        <v>40</v>
      </c>
      <c r="E258" s="48">
        <f t="shared" si="42"/>
        <v>5</v>
      </c>
      <c r="F258" s="48">
        <f t="shared" ref="F258:F301" si="48">IF(MOD(B258,5)=0,1,0)</f>
        <v>0</v>
      </c>
      <c r="G258" s="48">
        <f>L577+X577+AL577+主线推图!M260+IFERROR(_xlfn.XLOOKUP((B258-6)/10,组队产出!$B$4:$B$19,组队产出!$L$4:$L$19),0)</f>
        <v>1800</v>
      </c>
      <c r="H258" s="23">
        <f t="shared" si="43"/>
        <v>500</v>
      </c>
      <c r="I258" s="23">
        <f t="shared" si="44"/>
        <v>0</v>
      </c>
      <c r="J258" s="23">
        <f t="shared" si="45"/>
        <v>0</v>
      </c>
      <c r="K258" s="23">
        <f t="shared" si="46"/>
        <v>5</v>
      </c>
      <c r="L258" s="48">
        <f t="shared" ref="L258:L301" si="49">IF(MOD(B258,5)=0,AB577,0)</f>
        <v>0</v>
      </c>
      <c r="M258" s="48">
        <f t="shared" ref="M258:M301" si="50">IF(MOD(B258,5)=0,0,AB577)</f>
        <v>30</v>
      </c>
      <c r="N258" s="23">
        <f t="shared" si="47"/>
        <v>150</v>
      </c>
      <c r="O258" s="48">
        <f t="shared" ref="O258:O301" si="51">IF(MOD(B258-26,20)=0,2,0)</f>
        <v>0</v>
      </c>
    </row>
    <row r="259" spans="2:15">
      <c r="B259" s="23">
        <v>258</v>
      </c>
      <c r="C259" s="23">
        <f t="shared" ref="C259:C301" si="52">J578+N578+AF578</f>
        <v>750</v>
      </c>
      <c r="D259" s="23">
        <f t="shared" ref="D259:D301" si="53">H578+T578</f>
        <v>40</v>
      </c>
      <c r="E259" s="48">
        <f t="shared" ref="E259:E301" si="54">IF(MOD(B259,5)=0,0,D578)+IF(MOD(B259-16,20)=0,10,0)</f>
        <v>5</v>
      </c>
      <c r="F259" s="48">
        <f t="shared" si="48"/>
        <v>0</v>
      </c>
      <c r="G259" s="48">
        <f>L578+X578+AL578+主线推图!M261+IFERROR(_xlfn.XLOOKUP((B259-6)/10,组队产出!$B$4:$B$19,组队产出!$L$4:$L$19),0)</f>
        <v>1800</v>
      </c>
      <c r="H259" s="23">
        <f t="shared" ref="H259:H301" si="55">P578*2.5</f>
        <v>500</v>
      </c>
      <c r="I259" s="23">
        <f t="shared" ref="I259:I301" si="56">AH578+R578</f>
        <v>0</v>
      </c>
      <c r="J259" s="23">
        <f t="shared" ref="J259:J301" si="57">V578</f>
        <v>0</v>
      </c>
      <c r="K259" s="23">
        <f t="shared" ref="K259:K301" si="58">Z578</f>
        <v>5</v>
      </c>
      <c r="L259" s="48">
        <f t="shared" si="49"/>
        <v>0</v>
      </c>
      <c r="M259" s="48">
        <f t="shared" si="50"/>
        <v>30</v>
      </c>
      <c r="N259" s="23">
        <f t="shared" ref="N259:N301" si="59">AD578</f>
        <v>150</v>
      </c>
      <c r="O259" s="48">
        <f t="shared" si="51"/>
        <v>0</v>
      </c>
    </row>
    <row r="260" spans="2:15">
      <c r="B260" s="23">
        <v>259</v>
      </c>
      <c r="C260" s="23">
        <f t="shared" si="52"/>
        <v>750</v>
      </c>
      <c r="D260" s="23">
        <f t="shared" si="53"/>
        <v>40</v>
      </c>
      <c r="E260" s="48">
        <f t="shared" si="54"/>
        <v>5</v>
      </c>
      <c r="F260" s="48">
        <f t="shared" si="48"/>
        <v>0</v>
      </c>
      <c r="G260" s="48">
        <f>L579+X579+AL579+主线推图!M262+IFERROR(_xlfn.XLOOKUP((B260-6)/10,组队产出!$B$4:$B$19,组队产出!$L$4:$L$19),0)</f>
        <v>1800</v>
      </c>
      <c r="H260" s="23">
        <f t="shared" si="55"/>
        <v>500</v>
      </c>
      <c r="I260" s="23">
        <f t="shared" si="56"/>
        <v>0</v>
      </c>
      <c r="J260" s="23">
        <f t="shared" si="57"/>
        <v>0</v>
      </c>
      <c r="K260" s="23">
        <f t="shared" si="58"/>
        <v>5</v>
      </c>
      <c r="L260" s="48">
        <f t="shared" si="49"/>
        <v>0</v>
      </c>
      <c r="M260" s="48">
        <f t="shared" si="50"/>
        <v>30</v>
      </c>
      <c r="N260" s="23">
        <f t="shared" si="59"/>
        <v>150</v>
      </c>
      <c r="O260" s="48">
        <f t="shared" si="51"/>
        <v>0</v>
      </c>
    </row>
    <row r="261" spans="2:15">
      <c r="B261" s="23">
        <v>260</v>
      </c>
      <c r="C261" s="23">
        <f t="shared" si="52"/>
        <v>750</v>
      </c>
      <c r="D261" s="23">
        <f t="shared" si="53"/>
        <v>40</v>
      </c>
      <c r="E261" s="48">
        <f t="shared" si="54"/>
        <v>0</v>
      </c>
      <c r="F261" s="48">
        <f t="shared" si="48"/>
        <v>1</v>
      </c>
      <c r="G261" s="48">
        <f>L580+X580+AL580+主线推图!M263+IFERROR(_xlfn.XLOOKUP((B261-6)/10,组队产出!$B$4:$B$19,组队产出!$L$4:$L$19),0)</f>
        <v>1800</v>
      </c>
      <c r="H261" s="23">
        <f t="shared" si="55"/>
        <v>500</v>
      </c>
      <c r="I261" s="23">
        <f t="shared" si="56"/>
        <v>0</v>
      </c>
      <c r="J261" s="23">
        <f t="shared" si="57"/>
        <v>1</v>
      </c>
      <c r="K261" s="23">
        <f t="shared" si="58"/>
        <v>5</v>
      </c>
      <c r="L261" s="48">
        <f t="shared" si="49"/>
        <v>3</v>
      </c>
      <c r="M261" s="48">
        <f t="shared" si="50"/>
        <v>0</v>
      </c>
      <c r="N261" s="23">
        <f t="shared" si="59"/>
        <v>150</v>
      </c>
      <c r="O261" s="48">
        <f t="shared" si="51"/>
        <v>0</v>
      </c>
    </row>
    <row r="262" spans="2:15">
      <c r="B262" s="23">
        <v>261</v>
      </c>
      <c r="C262" s="23">
        <f t="shared" si="52"/>
        <v>750</v>
      </c>
      <c r="D262" s="23">
        <f t="shared" si="53"/>
        <v>40</v>
      </c>
      <c r="E262" s="48">
        <f t="shared" si="54"/>
        <v>5</v>
      </c>
      <c r="F262" s="48">
        <f t="shared" si="48"/>
        <v>0</v>
      </c>
      <c r="G262" s="48">
        <f>L581+X581+AL581+主线推图!M264+IFERROR(_xlfn.XLOOKUP((B262-6)/10,组队产出!$B$4:$B$19,组队产出!$L$4:$L$19),0)</f>
        <v>1800</v>
      </c>
      <c r="H262" s="23">
        <f t="shared" si="55"/>
        <v>500</v>
      </c>
      <c r="I262" s="23">
        <f t="shared" si="56"/>
        <v>0</v>
      </c>
      <c r="J262" s="23">
        <f t="shared" si="57"/>
        <v>0</v>
      </c>
      <c r="K262" s="23">
        <f t="shared" si="58"/>
        <v>5</v>
      </c>
      <c r="L262" s="48">
        <f t="shared" si="49"/>
        <v>0</v>
      </c>
      <c r="M262" s="48">
        <f t="shared" si="50"/>
        <v>30</v>
      </c>
      <c r="N262" s="23">
        <f t="shared" si="59"/>
        <v>150</v>
      </c>
      <c r="O262" s="48">
        <f t="shared" si="51"/>
        <v>0</v>
      </c>
    </row>
    <row r="263" spans="2:15">
      <c r="B263" s="23">
        <v>262</v>
      </c>
      <c r="C263" s="23">
        <f t="shared" si="52"/>
        <v>750</v>
      </c>
      <c r="D263" s="23">
        <f t="shared" si="53"/>
        <v>40</v>
      </c>
      <c r="E263" s="48">
        <f t="shared" si="54"/>
        <v>5</v>
      </c>
      <c r="F263" s="48">
        <f t="shared" si="48"/>
        <v>0</v>
      </c>
      <c r="G263" s="48">
        <f>L582+X582+AL582+主线推图!M265+IFERROR(_xlfn.XLOOKUP((B263-6)/10,组队产出!$B$4:$B$19,组队产出!$L$4:$L$19),0)</f>
        <v>1800</v>
      </c>
      <c r="H263" s="23">
        <f t="shared" si="55"/>
        <v>500</v>
      </c>
      <c r="I263" s="23">
        <f t="shared" si="56"/>
        <v>0</v>
      </c>
      <c r="J263" s="23">
        <f t="shared" si="57"/>
        <v>0</v>
      </c>
      <c r="K263" s="23">
        <f t="shared" si="58"/>
        <v>5</v>
      </c>
      <c r="L263" s="48">
        <f t="shared" si="49"/>
        <v>0</v>
      </c>
      <c r="M263" s="48">
        <f t="shared" si="50"/>
        <v>30</v>
      </c>
      <c r="N263" s="23">
        <f t="shared" si="59"/>
        <v>150</v>
      </c>
      <c r="O263" s="48">
        <f t="shared" si="51"/>
        <v>0</v>
      </c>
    </row>
    <row r="264" spans="2:15">
      <c r="B264" s="23">
        <v>263</v>
      </c>
      <c r="C264" s="23">
        <f t="shared" si="52"/>
        <v>750</v>
      </c>
      <c r="D264" s="23">
        <f t="shared" si="53"/>
        <v>40</v>
      </c>
      <c r="E264" s="48">
        <f t="shared" si="54"/>
        <v>5</v>
      </c>
      <c r="F264" s="48">
        <f t="shared" si="48"/>
        <v>0</v>
      </c>
      <c r="G264" s="48">
        <f>L583+X583+AL583+主线推图!M266+IFERROR(_xlfn.XLOOKUP((B264-6)/10,组队产出!$B$4:$B$19,组队产出!$L$4:$L$19),0)</f>
        <v>1800</v>
      </c>
      <c r="H264" s="23">
        <f t="shared" si="55"/>
        <v>500</v>
      </c>
      <c r="I264" s="23">
        <f t="shared" si="56"/>
        <v>0</v>
      </c>
      <c r="J264" s="23">
        <f t="shared" si="57"/>
        <v>0</v>
      </c>
      <c r="K264" s="23">
        <f t="shared" si="58"/>
        <v>5</v>
      </c>
      <c r="L264" s="48">
        <f t="shared" si="49"/>
        <v>0</v>
      </c>
      <c r="M264" s="48">
        <f t="shared" si="50"/>
        <v>30</v>
      </c>
      <c r="N264" s="23">
        <f t="shared" si="59"/>
        <v>150</v>
      </c>
      <c r="O264" s="48">
        <f t="shared" si="51"/>
        <v>0</v>
      </c>
    </row>
    <row r="265" spans="2:15">
      <c r="B265" s="23">
        <v>264</v>
      </c>
      <c r="C265" s="23">
        <f t="shared" si="52"/>
        <v>750</v>
      </c>
      <c r="D265" s="23">
        <f t="shared" si="53"/>
        <v>40</v>
      </c>
      <c r="E265" s="48">
        <f t="shared" si="54"/>
        <v>5</v>
      </c>
      <c r="F265" s="48">
        <f t="shared" si="48"/>
        <v>0</v>
      </c>
      <c r="G265" s="48">
        <f>L584+X584+AL584+主线推图!M267+IFERROR(_xlfn.XLOOKUP((B265-6)/10,组队产出!$B$4:$B$19,组队产出!$L$4:$L$19),0)</f>
        <v>1800</v>
      </c>
      <c r="H265" s="23">
        <f t="shared" si="55"/>
        <v>500</v>
      </c>
      <c r="I265" s="23">
        <f t="shared" si="56"/>
        <v>0</v>
      </c>
      <c r="J265" s="23">
        <f t="shared" si="57"/>
        <v>0</v>
      </c>
      <c r="K265" s="23">
        <f t="shared" si="58"/>
        <v>5</v>
      </c>
      <c r="L265" s="48">
        <f t="shared" si="49"/>
        <v>0</v>
      </c>
      <c r="M265" s="48">
        <f t="shared" si="50"/>
        <v>30</v>
      </c>
      <c r="N265" s="23">
        <f t="shared" si="59"/>
        <v>150</v>
      </c>
      <c r="O265" s="48">
        <f t="shared" si="51"/>
        <v>0</v>
      </c>
    </row>
    <row r="266" spans="2:15">
      <c r="B266" s="23">
        <v>265</v>
      </c>
      <c r="C266" s="23">
        <f t="shared" si="52"/>
        <v>750</v>
      </c>
      <c r="D266" s="23">
        <f t="shared" si="53"/>
        <v>40</v>
      </c>
      <c r="E266" s="48">
        <f t="shared" si="54"/>
        <v>0</v>
      </c>
      <c r="F266" s="48">
        <f t="shared" si="48"/>
        <v>1</v>
      </c>
      <c r="G266" s="48">
        <f>L585+X585+AL585+主线推图!M268+IFERROR(_xlfn.XLOOKUP((B266-6)/10,组队产出!$B$4:$B$19,组队产出!$L$4:$L$19),0)</f>
        <v>1800</v>
      </c>
      <c r="H266" s="23">
        <f t="shared" si="55"/>
        <v>500</v>
      </c>
      <c r="I266" s="23">
        <f t="shared" si="56"/>
        <v>0</v>
      </c>
      <c r="J266" s="23">
        <f t="shared" si="57"/>
        <v>1</v>
      </c>
      <c r="K266" s="23">
        <f t="shared" si="58"/>
        <v>5</v>
      </c>
      <c r="L266" s="48">
        <f t="shared" si="49"/>
        <v>3</v>
      </c>
      <c r="M266" s="48">
        <f t="shared" si="50"/>
        <v>0</v>
      </c>
      <c r="N266" s="23">
        <f t="shared" si="59"/>
        <v>150</v>
      </c>
      <c r="O266" s="48">
        <f t="shared" si="51"/>
        <v>0</v>
      </c>
    </row>
    <row r="267" spans="2:15">
      <c r="B267" s="23">
        <v>266</v>
      </c>
      <c r="C267" s="23">
        <f t="shared" si="52"/>
        <v>750</v>
      </c>
      <c r="D267" s="23">
        <f t="shared" si="53"/>
        <v>40</v>
      </c>
      <c r="E267" s="48">
        <f t="shared" si="54"/>
        <v>5</v>
      </c>
      <c r="F267" s="48">
        <f t="shared" si="48"/>
        <v>0</v>
      </c>
      <c r="G267" s="48">
        <f>L586+X586+AL586+主线推图!M269+IFERROR(_xlfn.XLOOKUP((B267-6)/10,组队产出!$B$4:$B$19,组队产出!$L$4:$L$19),0)</f>
        <v>1800</v>
      </c>
      <c r="H267" s="23">
        <f t="shared" si="55"/>
        <v>500</v>
      </c>
      <c r="I267" s="23">
        <f t="shared" si="56"/>
        <v>0</v>
      </c>
      <c r="J267" s="23">
        <f t="shared" si="57"/>
        <v>0</v>
      </c>
      <c r="K267" s="23">
        <f t="shared" si="58"/>
        <v>5</v>
      </c>
      <c r="L267" s="48">
        <f t="shared" si="49"/>
        <v>0</v>
      </c>
      <c r="M267" s="48">
        <f t="shared" si="50"/>
        <v>30</v>
      </c>
      <c r="N267" s="23">
        <f t="shared" si="59"/>
        <v>150</v>
      </c>
      <c r="O267" s="48">
        <f t="shared" si="51"/>
        <v>2</v>
      </c>
    </row>
    <row r="268" spans="2:15">
      <c r="B268" s="23">
        <v>267</v>
      </c>
      <c r="C268" s="23">
        <f t="shared" si="52"/>
        <v>750</v>
      </c>
      <c r="D268" s="23">
        <f t="shared" si="53"/>
        <v>40</v>
      </c>
      <c r="E268" s="48">
        <f t="shared" si="54"/>
        <v>5</v>
      </c>
      <c r="F268" s="48">
        <f t="shared" si="48"/>
        <v>0</v>
      </c>
      <c r="G268" s="48">
        <f>L587+X587+AL587+主线推图!M270+IFERROR(_xlfn.XLOOKUP((B268-6)/10,组队产出!$B$4:$B$19,组队产出!$L$4:$L$19),0)</f>
        <v>1800</v>
      </c>
      <c r="H268" s="23">
        <f t="shared" si="55"/>
        <v>500</v>
      </c>
      <c r="I268" s="23">
        <f t="shared" si="56"/>
        <v>0</v>
      </c>
      <c r="J268" s="23">
        <f t="shared" si="57"/>
        <v>0</v>
      </c>
      <c r="K268" s="23">
        <f t="shared" si="58"/>
        <v>5</v>
      </c>
      <c r="L268" s="48">
        <f t="shared" si="49"/>
        <v>0</v>
      </c>
      <c r="M268" s="48">
        <f t="shared" si="50"/>
        <v>30</v>
      </c>
      <c r="N268" s="23">
        <f t="shared" si="59"/>
        <v>150</v>
      </c>
      <c r="O268" s="48">
        <f t="shared" si="51"/>
        <v>0</v>
      </c>
    </row>
    <row r="269" spans="2:15">
      <c r="B269" s="23">
        <v>268</v>
      </c>
      <c r="C269" s="23">
        <f t="shared" si="52"/>
        <v>750</v>
      </c>
      <c r="D269" s="23">
        <f t="shared" si="53"/>
        <v>40</v>
      </c>
      <c r="E269" s="48">
        <f t="shared" si="54"/>
        <v>5</v>
      </c>
      <c r="F269" s="48">
        <f t="shared" si="48"/>
        <v>0</v>
      </c>
      <c r="G269" s="48">
        <f>L588+X588+AL588+主线推图!M271+IFERROR(_xlfn.XLOOKUP((B269-6)/10,组队产出!$B$4:$B$19,组队产出!$L$4:$L$19),0)</f>
        <v>1800</v>
      </c>
      <c r="H269" s="23">
        <f t="shared" si="55"/>
        <v>500</v>
      </c>
      <c r="I269" s="23">
        <f t="shared" si="56"/>
        <v>0</v>
      </c>
      <c r="J269" s="23">
        <f t="shared" si="57"/>
        <v>0</v>
      </c>
      <c r="K269" s="23">
        <f t="shared" si="58"/>
        <v>5</v>
      </c>
      <c r="L269" s="48">
        <f t="shared" si="49"/>
        <v>0</v>
      </c>
      <c r="M269" s="48">
        <f t="shared" si="50"/>
        <v>30</v>
      </c>
      <c r="N269" s="23">
        <f t="shared" si="59"/>
        <v>150</v>
      </c>
      <c r="O269" s="48">
        <f t="shared" si="51"/>
        <v>0</v>
      </c>
    </row>
    <row r="270" spans="2:15">
      <c r="B270" s="23">
        <v>269</v>
      </c>
      <c r="C270" s="23">
        <f t="shared" si="52"/>
        <v>750</v>
      </c>
      <c r="D270" s="23">
        <f t="shared" si="53"/>
        <v>40</v>
      </c>
      <c r="E270" s="48">
        <f t="shared" si="54"/>
        <v>5</v>
      </c>
      <c r="F270" s="48">
        <f t="shared" si="48"/>
        <v>0</v>
      </c>
      <c r="G270" s="48">
        <f>L589+X589+AL589+主线推图!M272+IFERROR(_xlfn.XLOOKUP((B270-6)/10,组队产出!$B$4:$B$19,组队产出!$L$4:$L$19),0)</f>
        <v>1800</v>
      </c>
      <c r="H270" s="23">
        <f t="shared" si="55"/>
        <v>500</v>
      </c>
      <c r="I270" s="23">
        <f t="shared" si="56"/>
        <v>0</v>
      </c>
      <c r="J270" s="23">
        <f t="shared" si="57"/>
        <v>0</v>
      </c>
      <c r="K270" s="23">
        <f t="shared" si="58"/>
        <v>5</v>
      </c>
      <c r="L270" s="48">
        <f t="shared" si="49"/>
        <v>0</v>
      </c>
      <c r="M270" s="48">
        <f t="shared" si="50"/>
        <v>30</v>
      </c>
      <c r="N270" s="23">
        <f t="shared" si="59"/>
        <v>150</v>
      </c>
      <c r="O270" s="48">
        <f t="shared" si="51"/>
        <v>0</v>
      </c>
    </row>
    <row r="271" spans="2:15">
      <c r="B271" s="23">
        <v>270</v>
      </c>
      <c r="C271" s="23">
        <f t="shared" si="52"/>
        <v>750</v>
      </c>
      <c r="D271" s="23">
        <f t="shared" si="53"/>
        <v>40</v>
      </c>
      <c r="E271" s="48">
        <f t="shared" si="54"/>
        <v>0</v>
      </c>
      <c r="F271" s="48">
        <f t="shared" si="48"/>
        <v>1</v>
      </c>
      <c r="G271" s="48">
        <f>L590+X590+AL590+主线推图!M273+IFERROR(_xlfn.XLOOKUP((B271-6)/10,组队产出!$B$4:$B$19,组队产出!$L$4:$L$19),0)</f>
        <v>1800</v>
      </c>
      <c r="H271" s="23">
        <f t="shared" si="55"/>
        <v>500</v>
      </c>
      <c r="I271" s="23">
        <f t="shared" si="56"/>
        <v>0</v>
      </c>
      <c r="J271" s="23">
        <f t="shared" si="57"/>
        <v>1</v>
      </c>
      <c r="K271" s="23">
        <f t="shared" si="58"/>
        <v>5</v>
      </c>
      <c r="L271" s="48">
        <f t="shared" si="49"/>
        <v>3</v>
      </c>
      <c r="M271" s="48">
        <f t="shared" si="50"/>
        <v>0</v>
      </c>
      <c r="N271" s="23">
        <f t="shared" si="59"/>
        <v>150</v>
      </c>
      <c r="O271" s="48">
        <f t="shared" si="51"/>
        <v>0</v>
      </c>
    </row>
    <row r="272" spans="2:15">
      <c r="B272" s="23">
        <v>271</v>
      </c>
      <c r="C272" s="23">
        <f t="shared" si="52"/>
        <v>750</v>
      </c>
      <c r="D272" s="23">
        <f t="shared" si="53"/>
        <v>40</v>
      </c>
      <c r="E272" s="48">
        <f t="shared" si="54"/>
        <v>5</v>
      </c>
      <c r="F272" s="48">
        <f t="shared" si="48"/>
        <v>0</v>
      </c>
      <c r="G272" s="48">
        <f>L591+X591+AL591+主线推图!M274+IFERROR(_xlfn.XLOOKUP((B272-6)/10,组队产出!$B$4:$B$19,组队产出!$L$4:$L$19),0)</f>
        <v>1800</v>
      </c>
      <c r="H272" s="23">
        <f t="shared" si="55"/>
        <v>500</v>
      </c>
      <c r="I272" s="23">
        <f t="shared" si="56"/>
        <v>0</v>
      </c>
      <c r="J272" s="23">
        <f t="shared" si="57"/>
        <v>0</v>
      </c>
      <c r="K272" s="23">
        <f t="shared" si="58"/>
        <v>5</v>
      </c>
      <c r="L272" s="48">
        <f t="shared" si="49"/>
        <v>0</v>
      </c>
      <c r="M272" s="48">
        <f t="shared" si="50"/>
        <v>30</v>
      </c>
      <c r="N272" s="23">
        <f t="shared" si="59"/>
        <v>150</v>
      </c>
      <c r="O272" s="48">
        <f t="shared" si="51"/>
        <v>0</v>
      </c>
    </row>
    <row r="273" spans="2:15">
      <c r="B273" s="23">
        <v>272</v>
      </c>
      <c r="C273" s="23">
        <f t="shared" si="52"/>
        <v>750</v>
      </c>
      <c r="D273" s="23">
        <f t="shared" si="53"/>
        <v>40</v>
      </c>
      <c r="E273" s="48">
        <f t="shared" si="54"/>
        <v>5</v>
      </c>
      <c r="F273" s="48">
        <f t="shared" si="48"/>
        <v>0</v>
      </c>
      <c r="G273" s="48">
        <f>L592+X592+AL592+主线推图!M275+IFERROR(_xlfn.XLOOKUP((B273-6)/10,组队产出!$B$4:$B$19,组队产出!$L$4:$L$19),0)</f>
        <v>1800</v>
      </c>
      <c r="H273" s="23">
        <f t="shared" si="55"/>
        <v>500</v>
      </c>
      <c r="I273" s="23">
        <f t="shared" si="56"/>
        <v>0</v>
      </c>
      <c r="J273" s="23">
        <f t="shared" si="57"/>
        <v>0</v>
      </c>
      <c r="K273" s="23">
        <f t="shared" si="58"/>
        <v>5</v>
      </c>
      <c r="L273" s="48">
        <f t="shared" si="49"/>
        <v>0</v>
      </c>
      <c r="M273" s="48">
        <f t="shared" si="50"/>
        <v>30</v>
      </c>
      <c r="N273" s="23">
        <f t="shared" si="59"/>
        <v>150</v>
      </c>
      <c r="O273" s="48">
        <f t="shared" si="51"/>
        <v>0</v>
      </c>
    </row>
    <row r="274" spans="2:15">
      <c r="B274" s="23">
        <v>273</v>
      </c>
      <c r="C274" s="23">
        <f t="shared" si="52"/>
        <v>750</v>
      </c>
      <c r="D274" s="23">
        <f t="shared" si="53"/>
        <v>40</v>
      </c>
      <c r="E274" s="48">
        <f t="shared" si="54"/>
        <v>5</v>
      </c>
      <c r="F274" s="48">
        <f t="shared" si="48"/>
        <v>0</v>
      </c>
      <c r="G274" s="48">
        <f>L593+X593+AL593+主线推图!M276+IFERROR(_xlfn.XLOOKUP((B274-6)/10,组队产出!$B$4:$B$19,组队产出!$L$4:$L$19),0)</f>
        <v>1800</v>
      </c>
      <c r="H274" s="23">
        <f t="shared" si="55"/>
        <v>500</v>
      </c>
      <c r="I274" s="23">
        <f t="shared" si="56"/>
        <v>0</v>
      </c>
      <c r="J274" s="23">
        <f t="shared" si="57"/>
        <v>0</v>
      </c>
      <c r="K274" s="23">
        <f t="shared" si="58"/>
        <v>5</v>
      </c>
      <c r="L274" s="48">
        <f t="shared" si="49"/>
        <v>0</v>
      </c>
      <c r="M274" s="48">
        <f t="shared" si="50"/>
        <v>30</v>
      </c>
      <c r="N274" s="23">
        <f t="shared" si="59"/>
        <v>150</v>
      </c>
      <c r="O274" s="48">
        <f t="shared" si="51"/>
        <v>0</v>
      </c>
    </row>
    <row r="275" spans="2:15">
      <c r="B275" s="23">
        <v>274</v>
      </c>
      <c r="C275" s="23">
        <f t="shared" si="52"/>
        <v>750</v>
      </c>
      <c r="D275" s="23">
        <f t="shared" si="53"/>
        <v>40</v>
      </c>
      <c r="E275" s="48">
        <f t="shared" si="54"/>
        <v>5</v>
      </c>
      <c r="F275" s="48">
        <f t="shared" si="48"/>
        <v>0</v>
      </c>
      <c r="G275" s="48">
        <f>L594+X594+AL594+主线推图!M277+IFERROR(_xlfn.XLOOKUP((B275-6)/10,组队产出!$B$4:$B$19,组队产出!$L$4:$L$19),0)</f>
        <v>1800</v>
      </c>
      <c r="H275" s="23">
        <f t="shared" si="55"/>
        <v>500</v>
      </c>
      <c r="I275" s="23">
        <f t="shared" si="56"/>
        <v>0</v>
      </c>
      <c r="J275" s="23">
        <f t="shared" si="57"/>
        <v>0</v>
      </c>
      <c r="K275" s="23">
        <f t="shared" si="58"/>
        <v>5</v>
      </c>
      <c r="L275" s="48">
        <f t="shared" si="49"/>
        <v>0</v>
      </c>
      <c r="M275" s="48">
        <f t="shared" si="50"/>
        <v>30</v>
      </c>
      <c r="N275" s="23">
        <f t="shared" si="59"/>
        <v>150</v>
      </c>
      <c r="O275" s="48">
        <f t="shared" si="51"/>
        <v>0</v>
      </c>
    </row>
    <row r="276" spans="2:15">
      <c r="B276" s="23">
        <v>275</v>
      </c>
      <c r="C276" s="23">
        <f t="shared" si="52"/>
        <v>750</v>
      </c>
      <c r="D276" s="23">
        <f t="shared" si="53"/>
        <v>40</v>
      </c>
      <c r="E276" s="48">
        <f t="shared" si="54"/>
        <v>0</v>
      </c>
      <c r="F276" s="48">
        <f t="shared" si="48"/>
        <v>1</v>
      </c>
      <c r="G276" s="48">
        <f>L595+X595+AL595+主线推图!M278+IFERROR(_xlfn.XLOOKUP((B276-6)/10,组队产出!$B$4:$B$19,组队产出!$L$4:$L$19),0)</f>
        <v>1800</v>
      </c>
      <c r="H276" s="23">
        <f t="shared" si="55"/>
        <v>500</v>
      </c>
      <c r="I276" s="23">
        <f t="shared" si="56"/>
        <v>0</v>
      </c>
      <c r="J276" s="23">
        <f t="shared" si="57"/>
        <v>1</v>
      </c>
      <c r="K276" s="23">
        <f t="shared" si="58"/>
        <v>5</v>
      </c>
      <c r="L276" s="48">
        <f t="shared" si="49"/>
        <v>3</v>
      </c>
      <c r="M276" s="48">
        <f t="shared" si="50"/>
        <v>0</v>
      </c>
      <c r="N276" s="23">
        <f t="shared" si="59"/>
        <v>150</v>
      </c>
      <c r="O276" s="48">
        <f t="shared" si="51"/>
        <v>0</v>
      </c>
    </row>
    <row r="277" spans="2:15">
      <c r="B277" s="23">
        <v>276</v>
      </c>
      <c r="C277" s="23">
        <f t="shared" si="52"/>
        <v>750</v>
      </c>
      <c r="D277" s="23">
        <f t="shared" si="53"/>
        <v>40</v>
      </c>
      <c r="E277" s="48">
        <f t="shared" si="54"/>
        <v>15</v>
      </c>
      <c r="F277" s="48">
        <f t="shared" si="48"/>
        <v>0</v>
      </c>
      <c r="G277" s="48">
        <f>L596+X596+AL596+主线推图!M279+IFERROR(_xlfn.XLOOKUP((B277-6)/10,组队产出!$B$4:$B$19,组队产出!$L$4:$L$19),0)</f>
        <v>1800</v>
      </c>
      <c r="H277" s="23">
        <f t="shared" si="55"/>
        <v>500</v>
      </c>
      <c r="I277" s="23">
        <f t="shared" si="56"/>
        <v>0</v>
      </c>
      <c r="J277" s="23">
        <f t="shared" si="57"/>
        <v>0</v>
      </c>
      <c r="K277" s="23">
        <f t="shared" si="58"/>
        <v>5</v>
      </c>
      <c r="L277" s="48">
        <f t="shared" si="49"/>
        <v>0</v>
      </c>
      <c r="M277" s="48">
        <f t="shared" si="50"/>
        <v>30</v>
      </c>
      <c r="N277" s="23">
        <f t="shared" si="59"/>
        <v>150</v>
      </c>
      <c r="O277" s="48">
        <f t="shared" si="51"/>
        <v>0</v>
      </c>
    </row>
    <row r="278" spans="2:15">
      <c r="B278" s="23">
        <v>277</v>
      </c>
      <c r="C278" s="23">
        <f t="shared" si="52"/>
        <v>750</v>
      </c>
      <c r="D278" s="23">
        <f t="shared" si="53"/>
        <v>40</v>
      </c>
      <c r="E278" s="48">
        <f t="shared" si="54"/>
        <v>5</v>
      </c>
      <c r="F278" s="48">
        <f t="shared" si="48"/>
        <v>0</v>
      </c>
      <c r="G278" s="48">
        <f>L597+X597+AL597+主线推图!M280+IFERROR(_xlfn.XLOOKUP((B278-6)/10,组队产出!$B$4:$B$19,组队产出!$L$4:$L$19),0)</f>
        <v>1800</v>
      </c>
      <c r="H278" s="23">
        <f t="shared" si="55"/>
        <v>500</v>
      </c>
      <c r="I278" s="23">
        <f t="shared" si="56"/>
        <v>0</v>
      </c>
      <c r="J278" s="23">
        <f t="shared" si="57"/>
        <v>0</v>
      </c>
      <c r="K278" s="23">
        <f t="shared" si="58"/>
        <v>5</v>
      </c>
      <c r="L278" s="48">
        <f t="shared" si="49"/>
        <v>0</v>
      </c>
      <c r="M278" s="48">
        <f t="shared" si="50"/>
        <v>30</v>
      </c>
      <c r="N278" s="23">
        <f t="shared" si="59"/>
        <v>150</v>
      </c>
      <c r="O278" s="48">
        <f t="shared" si="51"/>
        <v>0</v>
      </c>
    </row>
    <row r="279" spans="2:15">
      <c r="B279" s="23">
        <v>278</v>
      </c>
      <c r="C279" s="23">
        <f t="shared" si="52"/>
        <v>750</v>
      </c>
      <c r="D279" s="23">
        <f t="shared" si="53"/>
        <v>40</v>
      </c>
      <c r="E279" s="48">
        <f t="shared" si="54"/>
        <v>5</v>
      </c>
      <c r="F279" s="48">
        <f t="shared" si="48"/>
        <v>0</v>
      </c>
      <c r="G279" s="48">
        <f>L598+X598+AL598+主线推图!M281+IFERROR(_xlfn.XLOOKUP((B279-6)/10,组队产出!$B$4:$B$19,组队产出!$L$4:$L$19),0)</f>
        <v>1800</v>
      </c>
      <c r="H279" s="23">
        <f t="shared" si="55"/>
        <v>500</v>
      </c>
      <c r="I279" s="23">
        <f t="shared" si="56"/>
        <v>0</v>
      </c>
      <c r="J279" s="23">
        <f t="shared" si="57"/>
        <v>0</v>
      </c>
      <c r="K279" s="23">
        <f t="shared" si="58"/>
        <v>5</v>
      </c>
      <c r="L279" s="48">
        <f t="shared" si="49"/>
        <v>0</v>
      </c>
      <c r="M279" s="48">
        <f t="shared" si="50"/>
        <v>30</v>
      </c>
      <c r="N279" s="23">
        <f t="shared" si="59"/>
        <v>150</v>
      </c>
      <c r="O279" s="48">
        <f t="shared" si="51"/>
        <v>0</v>
      </c>
    </row>
    <row r="280" spans="2:15">
      <c r="B280" s="23">
        <v>279</v>
      </c>
      <c r="C280" s="23">
        <f t="shared" si="52"/>
        <v>750</v>
      </c>
      <c r="D280" s="23">
        <f t="shared" si="53"/>
        <v>40</v>
      </c>
      <c r="E280" s="48">
        <f t="shared" si="54"/>
        <v>5</v>
      </c>
      <c r="F280" s="48">
        <f t="shared" si="48"/>
        <v>0</v>
      </c>
      <c r="G280" s="48">
        <f>L599+X599+AL599+主线推图!M282+IFERROR(_xlfn.XLOOKUP((B280-6)/10,组队产出!$B$4:$B$19,组队产出!$L$4:$L$19),0)</f>
        <v>1800</v>
      </c>
      <c r="H280" s="23">
        <f t="shared" si="55"/>
        <v>500</v>
      </c>
      <c r="I280" s="23">
        <f t="shared" si="56"/>
        <v>0</v>
      </c>
      <c r="J280" s="23">
        <f t="shared" si="57"/>
        <v>0</v>
      </c>
      <c r="K280" s="23">
        <f t="shared" si="58"/>
        <v>5</v>
      </c>
      <c r="L280" s="48">
        <f t="shared" si="49"/>
        <v>0</v>
      </c>
      <c r="M280" s="48">
        <f t="shared" si="50"/>
        <v>30</v>
      </c>
      <c r="N280" s="23">
        <f t="shared" si="59"/>
        <v>150</v>
      </c>
      <c r="O280" s="48">
        <f t="shared" si="51"/>
        <v>0</v>
      </c>
    </row>
    <row r="281" spans="2:15">
      <c r="B281" s="23">
        <v>280</v>
      </c>
      <c r="C281" s="23">
        <f t="shared" si="52"/>
        <v>750</v>
      </c>
      <c r="D281" s="23">
        <f t="shared" si="53"/>
        <v>40</v>
      </c>
      <c r="E281" s="48">
        <f t="shared" si="54"/>
        <v>0</v>
      </c>
      <c r="F281" s="48">
        <f t="shared" si="48"/>
        <v>1</v>
      </c>
      <c r="G281" s="48">
        <f>L600+X600+AL600+主线推图!M283+IFERROR(_xlfn.XLOOKUP((B281-6)/10,组队产出!$B$4:$B$19,组队产出!$L$4:$L$19),0)</f>
        <v>1800</v>
      </c>
      <c r="H281" s="23">
        <f t="shared" si="55"/>
        <v>500</v>
      </c>
      <c r="I281" s="23">
        <f t="shared" si="56"/>
        <v>0</v>
      </c>
      <c r="J281" s="23">
        <f t="shared" si="57"/>
        <v>1</v>
      </c>
      <c r="K281" s="23">
        <f t="shared" si="58"/>
        <v>5</v>
      </c>
      <c r="L281" s="48">
        <f t="shared" si="49"/>
        <v>3</v>
      </c>
      <c r="M281" s="48">
        <f t="shared" si="50"/>
        <v>0</v>
      </c>
      <c r="N281" s="23">
        <f t="shared" si="59"/>
        <v>150</v>
      </c>
      <c r="O281" s="48">
        <f t="shared" si="51"/>
        <v>0</v>
      </c>
    </row>
    <row r="282" spans="2:15">
      <c r="B282" s="23">
        <v>281</v>
      </c>
      <c r="C282" s="23">
        <f t="shared" si="52"/>
        <v>750</v>
      </c>
      <c r="D282" s="23">
        <f t="shared" si="53"/>
        <v>40</v>
      </c>
      <c r="E282" s="48">
        <f t="shared" si="54"/>
        <v>5</v>
      </c>
      <c r="F282" s="48">
        <f t="shared" si="48"/>
        <v>0</v>
      </c>
      <c r="G282" s="48">
        <f>L601+X601+AL601+主线推图!M284+IFERROR(_xlfn.XLOOKUP((B282-6)/10,组队产出!$B$4:$B$19,组队产出!$L$4:$L$19),0)</f>
        <v>1800</v>
      </c>
      <c r="H282" s="23">
        <f t="shared" si="55"/>
        <v>500</v>
      </c>
      <c r="I282" s="23">
        <f t="shared" si="56"/>
        <v>0</v>
      </c>
      <c r="J282" s="23">
        <f t="shared" si="57"/>
        <v>0</v>
      </c>
      <c r="K282" s="23">
        <f t="shared" si="58"/>
        <v>5</v>
      </c>
      <c r="L282" s="48">
        <f t="shared" si="49"/>
        <v>0</v>
      </c>
      <c r="M282" s="48">
        <f t="shared" si="50"/>
        <v>30</v>
      </c>
      <c r="N282" s="23">
        <f t="shared" si="59"/>
        <v>150</v>
      </c>
      <c r="O282" s="48">
        <f t="shared" si="51"/>
        <v>0</v>
      </c>
    </row>
    <row r="283" spans="2:15">
      <c r="B283" s="23">
        <v>282</v>
      </c>
      <c r="C283" s="23">
        <f t="shared" si="52"/>
        <v>750</v>
      </c>
      <c r="D283" s="23">
        <f t="shared" si="53"/>
        <v>40</v>
      </c>
      <c r="E283" s="48">
        <f t="shared" si="54"/>
        <v>5</v>
      </c>
      <c r="F283" s="48">
        <f t="shared" si="48"/>
        <v>0</v>
      </c>
      <c r="G283" s="48">
        <f>L602+X602+AL602+主线推图!M285+IFERROR(_xlfn.XLOOKUP((B283-6)/10,组队产出!$B$4:$B$19,组队产出!$L$4:$L$19),0)</f>
        <v>1800</v>
      </c>
      <c r="H283" s="23">
        <f t="shared" si="55"/>
        <v>500</v>
      </c>
      <c r="I283" s="23">
        <f t="shared" si="56"/>
        <v>0</v>
      </c>
      <c r="J283" s="23">
        <f t="shared" si="57"/>
        <v>0</v>
      </c>
      <c r="K283" s="23">
        <f t="shared" si="58"/>
        <v>5</v>
      </c>
      <c r="L283" s="48">
        <f t="shared" si="49"/>
        <v>0</v>
      </c>
      <c r="M283" s="48">
        <f t="shared" si="50"/>
        <v>30</v>
      </c>
      <c r="N283" s="23">
        <f t="shared" si="59"/>
        <v>150</v>
      </c>
      <c r="O283" s="48">
        <f t="shared" si="51"/>
        <v>0</v>
      </c>
    </row>
    <row r="284" spans="2:15">
      <c r="B284" s="23">
        <v>283</v>
      </c>
      <c r="C284" s="23">
        <f t="shared" si="52"/>
        <v>750</v>
      </c>
      <c r="D284" s="23">
        <f t="shared" si="53"/>
        <v>40</v>
      </c>
      <c r="E284" s="48">
        <f t="shared" si="54"/>
        <v>5</v>
      </c>
      <c r="F284" s="48">
        <f t="shared" si="48"/>
        <v>0</v>
      </c>
      <c r="G284" s="48">
        <f>L603+X603+AL603+主线推图!M286+IFERROR(_xlfn.XLOOKUP((B284-6)/10,组队产出!$B$4:$B$19,组队产出!$L$4:$L$19),0)</f>
        <v>1800</v>
      </c>
      <c r="H284" s="23">
        <f t="shared" si="55"/>
        <v>500</v>
      </c>
      <c r="I284" s="23">
        <f t="shared" si="56"/>
        <v>0</v>
      </c>
      <c r="J284" s="23">
        <f t="shared" si="57"/>
        <v>0</v>
      </c>
      <c r="K284" s="23">
        <f t="shared" si="58"/>
        <v>5</v>
      </c>
      <c r="L284" s="48">
        <f t="shared" si="49"/>
        <v>0</v>
      </c>
      <c r="M284" s="48">
        <f t="shared" si="50"/>
        <v>30</v>
      </c>
      <c r="N284" s="23">
        <f t="shared" si="59"/>
        <v>150</v>
      </c>
      <c r="O284" s="48">
        <f t="shared" si="51"/>
        <v>0</v>
      </c>
    </row>
    <row r="285" spans="2:15">
      <c r="B285" s="23">
        <v>284</v>
      </c>
      <c r="C285" s="23">
        <f t="shared" si="52"/>
        <v>750</v>
      </c>
      <c r="D285" s="23">
        <f t="shared" si="53"/>
        <v>40</v>
      </c>
      <c r="E285" s="48">
        <f t="shared" si="54"/>
        <v>5</v>
      </c>
      <c r="F285" s="48">
        <f t="shared" si="48"/>
        <v>0</v>
      </c>
      <c r="G285" s="48">
        <f>L604+X604+AL604+主线推图!M287+IFERROR(_xlfn.XLOOKUP((B285-6)/10,组队产出!$B$4:$B$19,组队产出!$L$4:$L$19),0)</f>
        <v>1800</v>
      </c>
      <c r="H285" s="23">
        <f t="shared" si="55"/>
        <v>500</v>
      </c>
      <c r="I285" s="23">
        <f t="shared" si="56"/>
        <v>0</v>
      </c>
      <c r="J285" s="23">
        <f t="shared" si="57"/>
        <v>0</v>
      </c>
      <c r="K285" s="23">
        <f t="shared" si="58"/>
        <v>5</v>
      </c>
      <c r="L285" s="48">
        <f t="shared" si="49"/>
        <v>0</v>
      </c>
      <c r="M285" s="48">
        <f t="shared" si="50"/>
        <v>30</v>
      </c>
      <c r="N285" s="23">
        <f t="shared" si="59"/>
        <v>150</v>
      </c>
      <c r="O285" s="48">
        <f t="shared" si="51"/>
        <v>0</v>
      </c>
    </row>
    <row r="286" spans="2:15">
      <c r="B286" s="23">
        <v>285</v>
      </c>
      <c r="C286" s="23">
        <f t="shared" si="52"/>
        <v>750</v>
      </c>
      <c r="D286" s="23">
        <f t="shared" si="53"/>
        <v>40</v>
      </c>
      <c r="E286" s="48">
        <f t="shared" si="54"/>
        <v>0</v>
      </c>
      <c r="F286" s="48">
        <f t="shared" si="48"/>
        <v>1</v>
      </c>
      <c r="G286" s="48">
        <f>L605+X605+AL605+主线推图!M288+IFERROR(_xlfn.XLOOKUP((B286-6)/10,组队产出!$B$4:$B$19,组队产出!$L$4:$L$19),0)</f>
        <v>1800</v>
      </c>
      <c r="H286" s="23">
        <f t="shared" si="55"/>
        <v>500</v>
      </c>
      <c r="I286" s="23">
        <f t="shared" si="56"/>
        <v>0</v>
      </c>
      <c r="J286" s="23">
        <f t="shared" si="57"/>
        <v>1</v>
      </c>
      <c r="K286" s="23">
        <f t="shared" si="58"/>
        <v>5</v>
      </c>
      <c r="L286" s="48">
        <f t="shared" si="49"/>
        <v>3</v>
      </c>
      <c r="M286" s="48">
        <f t="shared" si="50"/>
        <v>0</v>
      </c>
      <c r="N286" s="23">
        <f t="shared" si="59"/>
        <v>150</v>
      </c>
      <c r="O286" s="48">
        <f t="shared" si="51"/>
        <v>0</v>
      </c>
    </row>
    <row r="287" spans="2:15">
      <c r="B287" s="23">
        <v>286</v>
      </c>
      <c r="C287" s="23">
        <f t="shared" si="52"/>
        <v>750</v>
      </c>
      <c r="D287" s="23">
        <f t="shared" si="53"/>
        <v>40</v>
      </c>
      <c r="E287" s="48">
        <f t="shared" si="54"/>
        <v>5</v>
      </c>
      <c r="F287" s="48">
        <f t="shared" si="48"/>
        <v>0</v>
      </c>
      <c r="G287" s="48">
        <f>L606+X606+AL606+主线推图!M289+IFERROR(_xlfn.XLOOKUP((B287-6)/10,组队产出!$B$4:$B$19,组队产出!$L$4:$L$19),0)</f>
        <v>1800</v>
      </c>
      <c r="H287" s="23">
        <f t="shared" si="55"/>
        <v>500</v>
      </c>
      <c r="I287" s="23">
        <f t="shared" si="56"/>
        <v>0</v>
      </c>
      <c r="J287" s="23">
        <f t="shared" si="57"/>
        <v>0</v>
      </c>
      <c r="K287" s="23">
        <f t="shared" si="58"/>
        <v>5</v>
      </c>
      <c r="L287" s="48">
        <f t="shared" si="49"/>
        <v>0</v>
      </c>
      <c r="M287" s="48">
        <f t="shared" si="50"/>
        <v>30</v>
      </c>
      <c r="N287" s="23">
        <f t="shared" si="59"/>
        <v>150</v>
      </c>
      <c r="O287" s="48">
        <f t="shared" si="51"/>
        <v>2</v>
      </c>
    </row>
    <row r="288" spans="2:15">
      <c r="B288" s="23">
        <v>287</v>
      </c>
      <c r="C288" s="23">
        <f t="shared" si="52"/>
        <v>750</v>
      </c>
      <c r="D288" s="23">
        <f t="shared" si="53"/>
        <v>40</v>
      </c>
      <c r="E288" s="48">
        <f t="shared" si="54"/>
        <v>5</v>
      </c>
      <c r="F288" s="48">
        <f t="shared" si="48"/>
        <v>0</v>
      </c>
      <c r="G288" s="48">
        <f>L607+X607+AL607+主线推图!M290+IFERROR(_xlfn.XLOOKUP((B288-6)/10,组队产出!$B$4:$B$19,组队产出!$L$4:$L$19),0)</f>
        <v>1800</v>
      </c>
      <c r="H288" s="23">
        <f t="shared" si="55"/>
        <v>500</v>
      </c>
      <c r="I288" s="23">
        <f t="shared" si="56"/>
        <v>0</v>
      </c>
      <c r="J288" s="23">
        <f t="shared" si="57"/>
        <v>0</v>
      </c>
      <c r="K288" s="23">
        <f t="shared" si="58"/>
        <v>5</v>
      </c>
      <c r="L288" s="48">
        <f t="shared" si="49"/>
        <v>0</v>
      </c>
      <c r="M288" s="48">
        <f t="shared" si="50"/>
        <v>30</v>
      </c>
      <c r="N288" s="23">
        <f t="shared" si="59"/>
        <v>150</v>
      </c>
      <c r="O288" s="48">
        <f t="shared" si="51"/>
        <v>0</v>
      </c>
    </row>
    <row r="289" spans="2:41">
      <c r="B289" s="23">
        <v>288</v>
      </c>
      <c r="C289" s="23">
        <f t="shared" si="52"/>
        <v>750</v>
      </c>
      <c r="D289" s="23">
        <f t="shared" si="53"/>
        <v>40</v>
      </c>
      <c r="E289" s="48">
        <f t="shared" si="54"/>
        <v>5</v>
      </c>
      <c r="F289" s="48">
        <f t="shared" si="48"/>
        <v>0</v>
      </c>
      <c r="G289" s="48">
        <f>L608+X608+AL608+主线推图!M291+IFERROR(_xlfn.XLOOKUP((B289-6)/10,组队产出!$B$4:$B$19,组队产出!$L$4:$L$19),0)</f>
        <v>1800</v>
      </c>
      <c r="H289" s="23">
        <f t="shared" si="55"/>
        <v>500</v>
      </c>
      <c r="I289" s="23">
        <f t="shared" si="56"/>
        <v>0</v>
      </c>
      <c r="J289" s="23">
        <f t="shared" si="57"/>
        <v>0</v>
      </c>
      <c r="K289" s="23">
        <f t="shared" si="58"/>
        <v>5</v>
      </c>
      <c r="L289" s="48">
        <f t="shared" si="49"/>
        <v>0</v>
      </c>
      <c r="M289" s="48">
        <f t="shared" si="50"/>
        <v>30</v>
      </c>
      <c r="N289" s="23">
        <f t="shared" si="59"/>
        <v>150</v>
      </c>
      <c r="O289" s="48">
        <f t="shared" si="51"/>
        <v>0</v>
      </c>
    </row>
    <row r="290" spans="2:41">
      <c r="B290" s="23">
        <v>289</v>
      </c>
      <c r="C290" s="23">
        <f t="shared" si="52"/>
        <v>750</v>
      </c>
      <c r="D290" s="23">
        <f t="shared" si="53"/>
        <v>40</v>
      </c>
      <c r="E290" s="48">
        <f t="shared" si="54"/>
        <v>5</v>
      </c>
      <c r="F290" s="48">
        <f t="shared" si="48"/>
        <v>0</v>
      </c>
      <c r="G290" s="48">
        <f>L609+X609+AL609+主线推图!M292+IFERROR(_xlfn.XLOOKUP((B290-6)/10,组队产出!$B$4:$B$19,组队产出!$L$4:$L$19),0)</f>
        <v>1800</v>
      </c>
      <c r="H290" s="23">
        <f t="shared" si="55"/>
        <v>500</v>
      </c>
      <c r="I290" s="23">
        <f t="shared" si="56"/>
        <v>0</v>
      </c>
      <c r="J290" s="23">
        <f t="shared" si="57"/>
        <v>0</v>
      </c>
      <c r="K290" s="23">
        <f t="shared" si="58"/>
        <v>5</v>
      </c>
      <c r="L290" s="48">
        <f t="shared" si="49"/>
        <v>0</v>
      </c>
      <c r="M290" s="48">
        <f t="shared" si="50"/>
        <v>30</v>
      </c>
      <c r="N290" s="23">
        <f t="shared" si="59"/>
        <v>150</v>
      </c>
      <c r="O290" s="48">
        <f t="shared" si="51"/>
        <v>0</v>
      </c>
    </row>
    <row r="291" spans="2:41">
      <c r="B291" s="23">
        <v>290</v>
      </c>
      <c r="C291" s="23">
        <f t="shared" si="52"/>
        <v>750</v>
      </c>
      <c r="D291" s="23">
        <f t="shared" si="53"/>
        <v>40</v>
      </c>
      <c r="E291" s="48">
        <f t="shared" si="54"/>
        <v>0</v>
      </c>
      <c r="F291" s="48">
        <f t="shared" si="48"/>
        <v>1</v>
      </c>
      <c r="G291" s="48">
        <f>L610+X610+AL610+主线推图!M293+IFERROR(_xlfn.XLOOKUP((B291-6)/10,组队产出!$B$4:$B$19,组队产出!$L$4:$L$19),0)</f>
        <v>1800</v>
      </c>
      <c r="H291" s="23">
        <f t="shared" si="55"/>
        <v>500</v>
      </c>
      <c r="I291" s="23">
        <f t="shared" si="56"/>
        <v>0</v>
      </c>
      <c r="J291" s="23">
        <f t="shared" si="57"/>
        <v>1</v>
      </c>
      <c r="K291" s="23">
        <f t="shared" si="58"/>
        <v>5</v>
      </c>
      <c r="L291" s="48">
        <f t="shared" si="49"/>
        <v>3</v>
      </c>
      <c r="M291" s="48">
        <f t="shared" si="50"/>
        <v>0</v>
      </c>
      <c r="N291" s="23">
        <f t="shared" si="59"/>
        <v>150</v>
      </c>
      <c r="O291" s="48">
        <f t="shared" si="51"/>
        <v>0</v>
      </c>
      <c r="AN291" s="71" t="s">
        <v>96</v>
      </c>
      <c r="AO291" s="23">
        <v>2</v>
      </c>
    </row>
    <row r="292" ht="16.5" spans="2:41">
      <c r="B292" s="23">
        <v>291</v>
      </c>
      <c r="C292" s="23">
        <f t="shared" si="52"/>
        <v>750</v>
      </c>
      <c r="D292" s="23">
        <f t="shared" si="53"/>
        <v>40</v>
      </c>
      <c r="E292" s="48">
        <f t="shared" si="54"/>
        <v>5</v>
      </c>
      <c r="F292" s="48">
        <f t="shared" si="48"/>
        <v>0</v>
      </c>
      <c r="G292" s="48">
        <f>L611+X611+AL611+主线推图!M294+IFERROR(_xlfn.XLOOKUP((B292-6)/10,组队产出!$B$4:$B$19,组队产出!$L$4:$L$19),0)</f>
        <v>1800</v>
      </c>
      <c r="H292" s="23">
        <f t="shared" si="55"/>
        <v>500</v>
      </c>
      <c r="I292" s="23">
        <f t="shared" si="56"/>
        <v>0</v>
      </c>
      <c r="J292" s="23">
        <f t="shared" si="57"/>
        <v>0</v>
      </c>
      <c r="K292" s="23">
        <f t="shared" si="58"/>
        <v>5</v>
      </c>
      <c r="L292" s="48">
        <f t="shared" si="49"/>
        <v>0</v>
      </c>
      <c r="M292" s="48">
        <f t="shared" si="50"/>
        <v>30</v>
      </c>
      <c r="N292" s="23">
        <f t="shared" si="59"/>
        <v>150</v>
      </c>
      <c r="O292" s="48">
        <f t="shared" si="51"/>
        <v>0</v>
      </c>
      <c r="AN292" s="12" t="s">
        <v>148</v>
      </c>
      <c r="AO292" s="23">
        <v>11</v>
      </c>
    </row>
    <row r="293" spans="2:41">
      <c r="B293" s="23">
        <v>292</v>
      </c>
      <c r="C293" s="23">
        <f t="shared" si="52"/>
        <v>750</v>
      </c>
      <c r="D293" s="23">
        <f t="shared" si="53"/>
        <v>40</v>
      </c>
      <c r="E293" s="48">
        <f t="shared" si="54"/>
        <v>5</v>
      </c>
      <c r="F293" s="48">
        <f t="shared" si="48"/>
        <v>0</v>
      </c>
      <c r="G293" s="48">
        <f>L612+X612+AL612+主线推图!M295+IFERROR(_xlfn.XLOOKUP((B293-6)/10,组队产出!$B$4:$B$19,组队产出!$L$4:$L$19),0)</f>
        <v>1800</v>
      </c>
      <c r="H293" s="23">
        <f t="shared" si="55"/>
        <v>500</v>
      </c>
      <c r="I293" s="23">
        <f t="shared" si="56"/>
        <v>0</v>
      </c>
      <c r="J293" s="23">
        <f t="shared" si="57"/>
        <v>0</v>
      </c>
      <c r="K293" s="23">
        <f t="shared" si="58"/>
        <v>5</v>
      </c>
      <c r="L293" s="48">
        <f t="shared" si="49"/>
        <v>0</v>
      </c>
      <c r="M293" s="48">
        <f t="shared" si="50"/>
        <v>30</v>
      </c>
      <c r="N293" s="23">
        <f t="shared" si="59"/>
        <v>150</v>
      </c>
      <c r="O293" s="48">
        <f t="shared" si="51"/>
        <v>0</v>
      </c>
      <c r="AN293" s="71" t="s">
        <v>128</v>
      </c>
      <c r="AO293" s="23">
        <v>5103001</v>
      </c>
    </row>
    <row r="294" spans="2:41">
      <c r="B294" s="23">
        <v>293</v>
      </c>
      <c r="C294" s="23">
        <f t="shared" si="52"/>
        <v>750</v>
      </c>
      <c r="D294" s="23">
        <f t="shared" si="53"/>
        <v>40</v>
      </c>
      <c r="E294" s="48">
        <f t="shared" si="54"/>
        <v>5</v>
      </c>
      <c r="F294" s="48">
        <f t="shared" si="48"/>
        <v>0</v>
      </c>
      <c r="G294" s="48">
        <f>L613+X613+AL613+主线推图!M296+IFERROR(_xlfn.XLOOKUP((B294-6)/10,组队产出!$B$4:$B$19,组队产出!$L$4:$L$19),0)</f>
        <v>1800</v>
      </c>
      <c r="H294" s="23">
        <f t="shared" si="55"/>
        <v>500</v>
      </c>
      <c r="I294" s="23">
        <f t="shared" si="56"/>
        <v>0</v>
      </c>
      <c r="J294" s="23">
        <f t="shared" si="57"/>
        <v>0</v>
      </c>
      <c r="K294" s="23">
        <f t="shared" si="58"/>
        <v>5</v>
      </c>
      <c r="L294" s="48">
        <f t="shared" si="49"/>
        <v>0</v>
      </c>
      <c r="M294" s="48">
        <f t="shared" si="50"/>
        <v>30</v>
      </c>
      <c r="N294" s="23">
        <f t="shared" si="59"/>
        <v>150</v>
      </c>
      <c r="O294" s="48">
        <f t="shared" si="51"/>
        <v>0</v>
      </c>
      <c r="AN294" s="71" t="s">
        <v>149</v>
      </c>
      <c r="AO294" s="23">
        <v>5303001</v>
      </c>
    </row>
    <row r="295" spans="2:41">
      <c r="B295" s="23">
        <v>294</v>
      </c>
      <c r="C295" s="23">
        <f t="shared" si="52"/>
        <v>750</v>
      </c>
      <c r="D295" s="23">
        <f t="shared" si="53"/>
        <v>40</v>
      </c>
      <c r="E295" s="48">
        <f t="shared" si="54"/>
        <v>5</v>
      </c>
      <c r="F295" s="48">
        <f t="shared" si="48"/>
        <v>0</v>
      </c>
      <c r="G295" s="48">
        <f>L614+X614+AL614+主线推图!M297+IFERROR(_xlfn.XLOOKUP((B295-6)/10,组队产出!$B$4:$B$19,组队产出!$L$4:$L$19),0)</f>
        <v>1800</v>
      </c>
      <c r="H295" s="23">
        <f t="shared" si="55"/>
        <v>500</v>
      </c>
      <c r="I295" s="23">
        <f t="shared" si="56"/>
        <v>0</v>
      </c>
      <c r="J295" s="23">
        <f t="shared" si="57"/>
        <v>0</v>
      </c>
      <c r="K295" s="23">
        <f t="shared" si="58"/>
        <v>5</v>
      </c>
      <c r="L295" s="48">
        <f t="shared" si="49"/>
        <v>0</v>
      </c>
      <c r="M295" s="48">
        <f t="shared" si="50"/>
        <v>30</v>
      </c>
      <c r="N295" s="23">
        <f t="shared" si="59"/>
        <v>150</v>
      </c>
      <c r="O295" s="48">
        <f t="shared" si="51"/>
        <v>0</v>
      </c>
      <c r="AN295" s="71" t="s">
        <v>208</v>
      </c>
      <c r="AO295" s="23">
        <v>9</v>
      </c>
    </row>
    <row r="296" spans="2:41">
      <c r="B296" s="23">
        <v>295</v>
      </c>
      <c r="C296" s="23">
        <f t="shared" si="52"/>
        <v>750</v>
      </c>
      <c r="D296" s="23">
        <f t="shared" si="53"/>
        <v>40</v>
      </c>
      <c r="E296" s="48">
        <f t="shared" si="54"/>
        <v>0</v>
      </c>
      <c r="F296" s="48">
        <f t="shared" si="48"/>
        <v>1</v>
      </c>
      <c r="G296" s="48">
        <f>L615+X615+AL615+主线推图!M298+IFERROR(_xlfn.XLOOKUP((B296-6)/10,组队产出!$B$4:$B$19,组队产出!$L$4:$L$19),0)</f>
        <v>1800</v>
      </c>
      <c r="H296" s="23">
        <f t="shared" si="55"/>
        <v>500</v>
      </c>
      <c r="I296" s="23">
        <f t="shared" si="56"/>
        <v>0</v>
      </c>
      <c r="J296" s="23">
        <f t="shared" si="57"/>
        <v>1</v>
      </c>
      <c r="K296" s="23">
        <f t="shared" si="58"/>
        <v>5</v>
      </c>
      <c r="L296" s="48">
        <f t="shared" si="49"/>
        <v>3</v>
      </c>
      <c r="M296" s="48">
        <f t="shared" si="50"/>
        <v>0</v>
      </c>
      <c r="N296" s="23">
        <f t="shared" si="59"/>
        <v>150</v>
      </c>
      <c r="O296" s="48">
        <f t="shared" si="51"/>
        <v>0</v>
      </c>
      <c r="AN296" s="71" t="s">
        <v>374</v>
      </c>
      <c r="AO296" s="23">
        <v>1</v>
      </c>
    </row>
    <row r="297" spans="2:41">
      <c r="B297" s="23">
        <v>296</v>
      </c>
      <c r="C297" s="23">
        <f t="shared" si="52"/>
        <v>750</v>
      </c>
      <c r="D297" s="23">
        <f t="shared" si="53"/>
        <v>40</v>
      </c>
      <c r="E297" s="48">
        <f t="shared" si="54"/>
        <v>15</v>
      </c>
      <c r="F297" s="48">
        <f t="shared" si="48"/>
        <v>0</v>
      </c>
      <c r="G297" s="48">
        <f>L616+X616+AL616+主线推图!M299+IFERROR(_xlfn.XLOOKUP((B297-6)/10,组队产出!$B$4:$B$19,组队产出!$L$4:$L$19),0)</f>
        <v>1800</v>
      </c>
      <c r="H297" s="23">
        <f t="shared" si="55"/>
        <v>500</v>
      </c>
      <c r="I297" s="23">
        <f t="shared" si="56"/>
        <v>0</v>
      </c>
      <c r="J297" s="23">
        <f t="shared" si="57"/>
        <v>0</v>
      </c>
      <c r="K297" s="23">
        <f t="shared" si="58"/>
        <v>5</v>
      </c>
      <c r="L297" s="48">
        <f t="shared" si="49"/>
        <v>0</v>
      </c>
      <c r="M297" s="48">
        <f t="shared" si="50"/>
        <v>30</v>
      </c>
      <c r="N297" s="23">
        <f t="shared" si="59"/>
        <v>150</v>
      </c>
      <c r="O297" s="48">
        <f t="shared" si="51"/>
        <v>0</v>
      </c>
      <c r="AN297" s="23" t="s">
        <v>242</v>
      </c>
      <c r="AO297" s="23">
        <v>5204001</v>
      </c>
    </row>
    <row r="298" spans="2:41">
      <c r="B298" s="23">
        <v>297</v>
      </c>
      <c r="C298" s="23">
        <f t="shared" si="52"/>
        <v>750</v>
      </c>
      <c r="D298" s="23">
        <f t="shared" si="53"/>
        <v>40</v>
      </c>
      <c r="E298" s="48">
        <f t="shared" si="54"/>
        <v>5</v>
      </c>
      <c r="F298" s="48">
        <f t="shared" si="48"/>
        <v>0</v>
      </c>
      <c r="G298" s="48">
        <f>L617+X617+AL617+主线推图!M300+IFERROR(_xlfn.XLOOKUP((B298-6)/10,组队产出!$B$4:$B$19,组队产出!$L$4:$L$19),0)</f>
        <v>1800</v>
      </c>
      <c r="H298" s="23">
        <f t="shared" si="55"/>
        <v>500</v>
      </c>
      <c r="I298" s="23">
        <f t="shared" si="56"/>
        <v>0</v>
      </c>
      <c r="J298" s="23">
        <f t="shared" si="57"/>
        <v>0</v>
      </c>
      <c r="K298" s="23">
        <f t="shared" si="58"/>
        <v>5</v>
      </c>
      <c r="L298" s="48">
        <f t="shared" si="49"/>
        <v>0</v>
      </c>
      <c r="M298" s="48">
        <f t="shared" si="50"/>
        <v>30</v>
      </c>
      <c r="N298" s="23">
        <f t="shared" si="59"/>
        <v>150</v>
      </c>
      <c r="O298" s="48">
        <f t="shared" si="51"/>
        <v>0</v>
      </c>
      <c r="AN298" s="23" t="s">
        <v>375</v>
      </c>
      <c r="AO298" s="23">
        <v>5205001</v>
      </c>
    </row>
    <row r="299" spans="2:41">
      <c r="B299" s="23">
        <v>298</v>
      </c>
      <c r="C299" s="23">
        <f t="shared" si="52"/>
        <v>750</v>
      </c>
      <c r="D299" s="23">
        <f t="shared" si="53"/>
        <v>40</v>
      </c>
      <c r="E299" s="48">
        <f t="shared" si="54"/>
        <v>5</v>
      </c>
      <c r="F299" s="48">
        <f t="shared" si="48"/>
        <v>0</v>
      </c>
      <c r="G299" s="48">
        <f>L618+X618+AL618+主线推图!M301+IFERROR(_xlfn.XLOOKUP((B299-6)/10,组队产出!$B$4:$B$19,组队产出!$L$4:$L$19),0)</f>
        <v>1800</v>
      </c>
      <c r="H299" s="23">
        <f t="shared" si="55"/>
        <v>500</v>
      </c>
      <c r="I299" s="23">
        <f t="shared" si="56"/>
        <v>0</v>
      </c>
      <c r="J299" s="23">
        <f t="shared" si="57"/>
        <v>0</v>
      </c>
      <c r="K299" s="23">
        <f t="shared" si="58"/>
        <v>5</v>
      </c>
      <c r="L299" s="48">
        <f t="shared" si="49"/>
        <v>0</v>
      </c>
      <c r="M299" s="48">
        <f t="shared" si="50"/>
        <v>30</v>
      </c>
      <c r="N299" s="23">
        <f t="shared" si="59"/>
        <v>150</v>
      </c>
      <c r="O299" s="48">
        <f t="shared" si="51"/>
        <v>0</v>
      </c>
      <c r="AN299" s="23" t="s">
        <v>109</v>
      </c>
      <c r="AO299" s="23">
        <v>5203001</v>
      </c>
    </row>
    <row r="300" spans="2:41">
      <c r="B300" s="23">
        <v>299</v>
      </c>
      <c r="C300" s="23">
        <f t="shared" si="52"/>
        <v>750</v>
      </c>
      <c r="D300" s="23">
        <f t="shared" si="53"/>
        <v>40</v>
      </c>
      <c r="E300" s="48">
        <f t="shared" si="54"/>
        <v>5</v>
      </c>
      <c r="F300" s="48">
        <f t="shared" si="48"/>
        <v>0</v>
      </c>
      <c r="G300" s="48">
        <f>L619+X619+AL619+主线推图!M302+IFERROR(_xlfn.XLOOKUP((B300-6)/10,组队产出!$B$4:$B$19,组队产出!$L$4:$L$19),0)</f>
        <v>1800</v>
      </c>
      <c r="H300" s="23">
        <f t="shared" si="55"/>
        <v>500</v>
      </c>
      <c r="I300" s="23">
        <f t="shared" si="56"/>
        <v>0</v>
      </c>
      <c r="J300" s="23">
        <f t="shared" si="57"/>
        <v>0</v>
      </c>
      <c r="K300" s="23">
        <f t="shared" si="58"/>
        <v>5</v>
      </c>
      <c r="L300" s="48">
        <f t="shared" si="49"/>
        <v>0</v>
      </c>
      <c r="M300" s="48">
        <f t="shared" si="50"/>
        <v>30</v>
      </c>
      <c r="N300" s="23">
        <f t="shared" si="59"/>
        <v>150</v>
      </c>
      <c r="O300" s="48">
        <f t="shared" si="51"/>
        <v>0</v>
      </c>
      <c r="AN300" s="23" t="s">
        <v>376</v>
      </c>
      <c r="AO300" s="23">
        <v>50002</v>
      </c>
    </row>
    <row r="301" ht="14.25" spans="2:41">
      <c r="B301" s="23">
        <v>300</v>
      </c>
      <c r="C301" s="23">
        <f t="shared" si="52"/>
        <v>750</v>
      </c>
      <c r="D301" s="23">
        <f t="shared" si="53"/>
        <v>40</v>
      </c>
      <c r="E301" s="48">
        <f t="shared" si="54"/>
        <v>0</v>
      </c>
      <c r="F301" s="48">
        <f t="shared" si="48"/>
        <v>1</v>
      </c>
      <c r="G301" s="48">
        <f>L620+X620+AL620+主线推图!M303+IFERROR(_xlfn.XLOOKUP((B301-6)/10,组队产出!$B$4:$B$19,组队产出!$L$4:$L$19),0)</f>
        <v>1800</v>
      </c>
      <c r="H301" s="23">
        <f t="shared" si="55"/>
        <v>500</v>
      </c>
      <c r="I301" s="23">
        <f t="shared" si="56"/>
        <v>0</v>
      </c>
      <c r="J301" s="23">
        <f t="shared" si="57"/>
        <v>1</v>
      </c>
      <c r="K301" s="23">
        <f t="shared" si="58"/>
        <v>5</v>
      </c>
      <c r="L301" s="48">
        <f t="shared" si="49"/>
        <v>3</v>
      </c>
      <c r="M301" s="48">
        <f t="shared" si="50"/>
        <v>0</v>
      </c>
      <c r="N301" s="23">
        <f t="shared" si="59"/>
        <v>150</v>
      </c>
      <c r="O301" s="48">
        <f t="shared" si="51"/>
        <v>0</v>
      </c>
      <c r="AN301" s="72" t="s">
        <v>377</v>
      </c>
      <c r="AO301" s="72">
        <v>50003</v>
      </c>
    </row>
    <row r="302" ht="14.25" spans="2:41">
      <c r="AN302" s="72" t="s">
        <v>378</v>
      </c>
      <c r="AO302" s="72">
        <v>50004</v>
      </c>
    </row>
    <row r="303" ht="14.25" spans="2:41">
      <c r="AN303" s="72" t="s">
        <v>379</v>
      </c>
      <c r="AO303" s="72">
        <v>50005</v>
      </c>
    </row>
    <row r="304" ht="14.25" spans="2:41">
      <c r="AN304" s="72" t="s">
        <v>380</v>
      </c>
      <c r="AO304" s="72">
        <v>50006</v>
      </c>
    </row>
    <row r="305" ht="14.25" spans="3:63">
      <c r="AN305" s="72" t="s">
        <v>381</v>
      </c>
      <c r="AO305" s="72">
        <v>50007</v>
      </c>
    </row>
    <row r="306" ht="14.25" spans="3:63">
      <c r="AN306" s="72" t="s">
        <v>382</v>
      </c>
      <c r="AO306" s="72">
        <v>50008</v>
      </c>
    </row>
    <row r="307" ht="16.5" spans="3:63">
      <c r="G307" s="72"/>
      <c r="H307" s="72"/>
      <c r="AN307" s="12" t="s">
        <v>383</v>
      </c>
      <c r="AO307" s="12">
        <v>5133001</v>
      </c>
    </row>
    <row r="308" ht="16.5" spans="3:63">
      <c r="G308" s="72"/>
      <c r="H308" s="72"/>
      <c r="AN308" s="12" t="s">
        <v>384</v>
      </c>
      <c r="AO308" s="12">
        <v>5123001</v>
      </c>
    </row>
    <row r="309" ht="16.5" spans="3:63">
      <c r="G309" s="72"/>
      <c r="H309" s="72"/>
      <c r="AN309" s="12" t="s">
        <v>385</v>
      </c>
      <c r="AO309" s="12">
        <v>5143001</v>
      </c>
    </row>
    <row r="310" ht="16.5" spans="3:63">
      <c r="G310" s="72"/>
      <c r="H310" s="72"/>
      <c r="AN310" s="73" t="s">
        <v>386</v>
      </c>
      <c r="AO310" s="12">
        <v>5113001</v>
      </c>
    </row>
    <row r="311" ht="16.5" spans="3:63">
      <c r="G311" s="72"/>
      <c r="H311" s="72"/>
      <c r="AN311" s="12" t="s">
        <v>387</v>
      </c>
      <c r="AO311" s="12">
        <v>5163001</v>
      </c>
    </row>
    <row r="312" ht="16.5" spans="3:63">
      <c r="G312" s="72"/>
      <c r="H312" s="72"/>
      <c r="J312" s="73"/>
      <c r="AN312" s="12" t="s">
        <v>388</v>
      </c>
      <c r="AO312" s="12">
        <v>5153001</v>
      </c>
    </row>
    <row r="313" ht="16.5" spans="3:63">
      <c r="J313" s="12"/>
      <c r="AN313" s="23" t="s">
        <v>389</v>
      </c>
      <c r="AO313" s="72">
        <v>50039</v>
      </c>
    </row>
    <row r="314" ht="16.5" spans="3:63">
      <c r="I314" s="12"/>
      <c r="J314" s="12"/>
      <c r="K314" s="73"/>
      <c r="M314" s="12"/>
      <c r="N314" s="71"/>
      <c r="O314" s="20"/>
      <c r="P314" s="20"/>
      <c r="AN314" s="72" t="s">
        <v>390</v>
      </c>
      <c r="AO314" s="72">
        <v>50039</v>
      </c>
    </row>
    <row r="315" ht="16.5" spans="3:63">
      <c r="I315" s="12"/>
      <c r="J315" s="12"/>
      <c r="AN315" s="72" t="s">
        <v>391</v>
      </c>
      <c r="AO315" s="72">
        <v>5104001</v>
      </c>
    </row>
    <row r="316" ht="16.5" spans="3:63">
      <c r="H316" s="12"/>
      <c r="I316" s="12"/>
      <c r="J316" s="12"/>
      <c r="M316" s="12"/>
      <c r="N316" s="71"/>
      <c r="O316" s="20"/>
      <c r="P316" s="20"/>
      <c r="AN316" s="72" t="s">
        <v>240</v>
      </c>
      <c r="AO316" s="72">
        <v>35</v>
      </c>
    </row>
    <row r="317" ht="16.5" spans="3:63">
      <c r="H317" s="12"/>
      <c r="I317" s="12"/>
      <c r="J317" s="12"/>
      <c r="AN317" s="72" t="s">
        <v>316</v>
      </c>
      <c r="AO317" s="72">
        <v>5523001</v>
      </c>
    </row>
    <row r="319" spans="3:63">
      <c r="C319" s="20" t="s">
        <v>392</v>
      </c>
      <c r="D319" s="20"/>
      <c r="E319" s="20"/>
      <c r="F319" s="20"/>
      <c r="G319" s="20"/>
      <c r="H319" s="20"/>
      <c r="I319" s="20"/>
      <c r="J319" s="20"/>
      <c r="K319" s="20"/>
      <c r="L319" s="20"/>
      <c r="M319" s="20" t="s">
        <v>393</v>
      </c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 t="s">
        <v>394</v>
      </c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</row>
    <row r="320" spans="3:63">
      <c r="C320" s="74" t="s">
        <v>354</v>
      </c>
      <c r="D320" s="74" t="s">
        <v>246</v>
      </c>
      <c r="E320" s="74" t="s">
        <v>354</v>
      </c>
      <c r="F320" s="74" t="s">
        <v>246</v>
      </c>
      <c r="G320" s="74" t="s">
        <v>354</v>
      </c>
      <c r="H320" s="74" t="s">
        <v>246</v>
      </c>
      <c r="I320" s="74" t="s">
        <v>354</v>
      </c>
      <c r="J320" s="74" t="s">
        <v>246</v>
      </c>
      <c r="K320" s="74" t="s">
        <v>354</v>
      </c>
      <c r="L320" s="74" t="s">
        <v>246</v>
      </c>
      <c r="M320" s="74" t="s">
        <v>354</v>
      </c>
      <c r="N320" s="74" t="s">
        <v>246</v>
      </c>
      <c r="O320" s="74"/>
      <c r="P320" s="74"/>
      <c r="Q320" s="74" t="s">
        <v>246</v>
      </c>
      <c r="R320" s="74" t="s">
        <v>354</v>
      </c>
      <c r="S320" s="74" t="s">
        <v>354</v>
      </c>
      <c r="T320" s="74" t="s">
        <v>246</v>
      </c>
      <c r="U320" s="74" t="s">
        <v>354</v>
      </c>
      <c r="V320" s="74" t="s">
        <v>246</v>
      </c>
      <c r="W320" s="74" t="s">
        <v>354</v>
      </c>
      <c r="X320" s="74" t="s">
        <v>246</v>
      </c>
      <c r="Y320" s="74" t="s">
        <v>354</v>
      </c>
      <c r="Z320" s="74" t="s">
        <v>246</v>
      </c>
      <c r="AA320" s="74" t="s">
        <v>354</v>
      </c>
      <c r="AB320" s="74" t="s">
        <v>246</v>
      </c>
      <c r="AC320" s="74" t="s">
        <v>354</v>
      </c>
      <c r="AD320" s="74" t="s">
        <v>246</v>
      </c>
      <c r="AE320" s="74" t="s">
        <v>354</v>
      </c>
      <c r="AF320" s="74" t="s">
        <v>246</v>
      </c>
      <c r="AG320" s="74" t="s">
        <v>354</v>
      </c>
      <c r="AH320" s="74" t="s">
        <v>246</v>
      </c>
      <c r="AI320" s="74" t="s">
        <v>354</v>
      </c>
      <c r="AJ320" s="74" t="s">
        <v>246</v>
      </c>
      <c r="AK320" s="74" t="s">
        <v>354</v>
      </c>
      <c r="AL320" s="74" t="s">
        <v>246</v>
      </c>
      <c r="AN320" s="23">
        <v>0</v>
      </c>
      <c r="AO320" s="23">
        <v>1</v>
      </c>
      <c r="AP320" s="23">
        <v>2</v>
      </c>
      <c r="AQ320" s="23">
        <v>3</v>
      </c>
      <c r="AR320" s="23">
        <v>4</v>
      </c>
      <c r="AS320" s="23">
        <v>5</v>
      </c>
      <c r="AT320" s="23">
        <v>6</v>
      </c>
      <c r="AU320" s="23">
        <v>7</v>
      </c>
      <c r="AV320" s="23">
        <v>8</v>
      </c>
      <c r="AW320" s="23">
        <v>9</v>
      </c>
      <c r="AX320" s="23">
        <v>10</v>
      </c>
      <c r="AY320" s="23">
        <v>11</v>
      </c>
      <c r="AZ320" s="23">
        <v>12</v>
      </c>
      <c r="BA320" s="23">
        <v>13</v>
      </c>
      <c r="BC320" s="23">
        <v>14</v>
      </c>
      <c r="BD320" s="23">
        <v>15</v>
      </c>
      <c r="BE320" s="23">
        <v>16</v>
      </c>
      <c r="BF320" s="23">
        <v>17</v>
      </c>
      <c r="BI320" s="23" t="s">
        <v>395</v>
      </c>
      <c r="BJ320" s="23" t="s">
        <v>396</v>
      </c>
      <c r="BK320" s="23" t="s">
        <v>397</v>
      </c>
    </row>
    <row r="321" ht="16.5" spans="2:69">
      <c r="B321" s="23">
        <v>1</v>
      </c>
      <c r="C321" s="71"/>
      <c r="D321" s="71"/>
      <c r="E321" s="12"/>
      <c r="F321" s="71"/>
      <c r="G321" s="72" t="s">
        <v>377</v>
      </c>
      <c r="H321" s="71">
        <v>15</v>
      </c>
      <c r="I321" s="12" t="s">
        <v>383</v>
      </c>
      <c r="J321" s="71">
        <v>100</v>
      </c>
      <c r="K321" s="71" t="s">
        <v>96</v>
      </c>
      <c r="L321" s="71">
        <v>120</v>
      </c>
      <c r="M321" s="12" t="s">
        <v>384</v>
      </c>
      <c r="N321" s="71">
        <v>140</v>
      </c>
      <c r="O321" s="71"/>
      <c r="P321" s="71"/>
      <c r="Q321" s="71"/>
      <c r="R321" s="71"/>
      <c r="S321" s="72" t="s">
        <v>379</v>
      </c>
      <c r="T321" s="71">
        <v>25</v>
      </c>
      <c r="U321" s="71"/>
      <c r="V321" s="71">
        <v>0</v>
      </c>
      <c r="W321" s="71" t="s">
        <v>96</v>
      </c>
      <c r="X321" s="71">
        <f t="shared" ref="X321:X384" si="60">L321*1.5</f>
        <v>180</v>
      </c>
      <c r="Y321" s="71"/>
      <c r="Z321" s="71"/>
      <c r="AA321" s="73"/>
      <c r="AB321" s="71"/>
      <c r="AC321" s="71" t="s">
        <v>374</v>
      </c>
      <c r="AD321" s="71">
        <v>150</v>
      </c>
      <c r="AE321" s="12" t="s">
        <v>383</v>
      </c>
      <c r="AF321" s="71">
        <v>200</v>
      </c>
      <c r="AG321" s="71"/>
      <c r="AH321" s="71"/>
      <c r="AI321" s="71"/>
      <c r="AJ321" s="71"/>
      <c r="AK321" s="71" t="s">
        <v>96</v>
      </c>
      <c r="AL321" s="71">
        <f t="shared" ref="AL321:AL384" si="61">L321+X321</f>
        <v>300</v>
      </c>
      <c r="AN321" s="23" t="str">
        <f ca="1" t="shared" ref="AN321:AN329" si="62">IF(OFFSET($B321,0,AN$320*2+1)="","","{"&amp;VLOOKUP(OFFSET($B321,0,AN$320*2+1),$AN$291:$AO$297,2,0)&amp;","&amp;OFFSET($B321,0,AN$320*2+2)&amp;"}")</f>
        <v/>
      </c>
      <c r="AO321" s="23" t="str">
        <f ca="1">IF(OFFSET($B321,0,AO$320*2+1)="","","{"&amp;VLOOKUP(OFFSET($B321,0,AO$320*2+1),$AN$291:$AO$315,2,0)&amp;","&amp;OFFSET($B321,0,AO$320*2+2)&amp;"}")</f>
        <v/>
      </c>
      <c r="AP321" s="23" t="str">
        <f ca="1" t="shared" ref="AP321:AP384" si="63">IF(OFFSET($B321,0,AP$320*2+1)="","","{"&amp;VLOOKUP(OFFSET($B321,0,AP$320*2+1),$AN$291:$AO$306,2,0)&amp;","&amp;OFFSET($B321,0,AP$320*2+2)&amp;"}")</f>
        <v>{50003,15}</v>
      </c>
      <c r="AQ321" s="23" t="str">
        <f ca="1" t="shared" ref="AQ321:AQ384" si="64">IF(OFFSET($B321,0,AQ$320*2+1)="","","{"&amp;VLOOKUP(OFFSET($B321,0,AQ$320*2+1),$AN$291:$AO$312,2,0)&amp;","&amp;OFFSET($B321,0,AQ$320*2+2)&amp;"}")</f>
        <v>{5133001,100}</v>
      </c>
      <c r="AR321" s="23" t="str">
        <f ca="1" t="shared" ref="AR321:AR384" si="65">IF(OFFSET($B321,0,AR$320*2+1)="","","{"&amp;VLOOKUP(OFFSET($B321,0,AR$320*2+1),$AN$291:$AO$297,2,0)&amp;","&amp;OFFSET($B321,0,AR$320*2+2)&amp;"}")</f>
        <v>{2,120}</v>
      </c>
      <c r="AS321" s="23" t="str">
        <f ca="1" t="shared" ref="AS321:AS384" si="66">IF(OFFSET($B321,0,AS$320*2+1)="","","{"&amp;VLOOKUP(OFFSET($B321,0,AS$320*2+1),$AN$291:$AO$312,2,0)&amp;","&amp;OFFSET($B321,0,AS$320*2+2)&amp;"}")</f>
        <v>{5123001,140}</v>
      </c>
      <c r="AU321" s="23" t="str">
        <f ca="1">IF(OFFSET($B321,0,AU$320*2+1)="","","{"&amp;VLOOKUP(OFFSET($B321,0,AU$320*2+1),$AN$291:$AO$306,2,0)&amp;","&amp;OFFSET($B321,0,AU$320*2+2)&amp;"}")</f>
        <v/>
      </c>
      <c r="AV321" s="23" t="str">
        <f ca="1" t="shared" ref="AV321:AV384" si="67">IF(OFFSET($B321,0,AV$320*2+1)="","","{"&amp;VLOOKUP(OFFSET($B321,0,AV$320*2+1),$AN$291:$AO$312,2,0)&amp;","&amp;OFFSET($B321,0,AV$320*2+2)&amp;"}")</f>
        <v>{50005,25}</v>
      </c>
      <c r="AW321" s="23" t="str">
        <f ca="1" t="shared" ref="AW321:AW384" si="68">IF(OFFSET($B321,0,AW$320*2+1)="","","{"&amp;VLOOKUP(OFFSET($B321,0,AW$320*2+1),$AN$291:$AO$297,2,0)&amp;","&amp;OFFSET($B321,0,AW$320*2+2)&amp;"}")</f>
        <v/>
      </c>
      <c r="AX321" s="23" t="str">
        <f ca="1" t="shared" ref="AX321:AX384" si="69">IF(OFFSET($B321,0,AX$320*2+1)="","","{"&amp;VLOOKUP(OFFSET($B321,0,AX$320*2+1),$AN$291:$AO$300,2,0)&amp;","&amp;OFFSET($B321,0,AX$320*2+2)&amp;"}")</f>
        <v>{2,180}</v>
      </c>
      <c r="AY321" s="23" t="str">
        <f ca="1" t="shared" ref="AY321:AY384" si="70">IF(OFFSET($B321,0,AY$320*2+1)="","","{"&amp;VLOOKUP(OFFSET($B321,0,AY$320*2+1),$AN$291:$AO$300,2,0)&amp;","&amp;OFFSET($B321,0,AY$320*2+2)&amp;"}")</f>
        <v/>
      </c>
      <c r="AZ321" s="23" t="str">
        <f ca="1" t="shared" ref="AZ321:AZ339" si="71">IF(OFFSET($B321,0,AZ$320*2+1)="","","{"&amp;VLOOKUP(OFFSET($B321,0,AZ$320*2+1),$AN$291:$AO$312,2,0)&amp;","&amp;OFFSET($B321,0,AZ$320*2+2)&amp;"}")</f>
        <v/>
      </c>
      <c r="BA321" s="23" t="str">
        <f ca="1" t="shared" ref="BA321:BA384" si="72">IF(OFFSET($B321,0,BA$320*2+1)="","","{"&amp;VLOOKUP(OFFSET($B321,0,BA$320*2+1),$AN$291:$AO$316,2,0)&amp;","&amp;OFFSET($B321,0,BA$320*2+2)&amp;"}")</f>
        <v>{1,150}</v>
      </c>
      <c r="BC321" s="23" t="str">
        <f ca="1" t="shared" ref="BC321:BC384" si="73">IF(OFFSET($B321,0,BC$320*2+1)="","","{"&amp;VLOOKUP(OFFSET($B321,0,BC$320*2+1),$AN$291:$AO$313,2,0)&amp;","&amp;OFFSET($B321,0,BC$320*2+2)&amp;"}")</f>
        <v>{5133001,200}</v>
      </c>
      <c r="BD321" s="23" t="str">
        <f ca="1">IF(OFFSET($B321,0,BD$320*2+1)="","","{"&amp;VLOOKUP(OFFSET($B321,0,BD$320*2+1),$AN$291:$AO$314,2,0)&amp;","&amp;OFFSET($B321,0,BD$320*2+2)&amp;"}")</f>
        <v/>
      </c>
      <c r="BE321" s="23" t="str">
        <f ca="1" t="shared" ref="BE321:BE328" si="74">IF(OFFSET($B321,0,BE$320*2+1)="","","{"&amp;VLOOKUP(OFFSET($B321,0,BE$320*2+1),$AN$291:$AO$316,2,0)&amp;","&amp;OFFSET($B321,0,BE$320*2+2)&amp;"}")</f>
        <v/>
      </c>
      <c r="BF321" s="23" t="str">
        <f ca="1" t="shared" ref="BF321:BF384" si="75">IF(OFFSET($B321,0,BF$320*2+1)="","","{"&amp;VLOOKUP(OFFSET($B321,0,BF$320*2+1),$AN$291:$AO$316,2,0)&amp;","&amp;OFFSET($B321,0,BF$320*2+2)&amp;"}")</f>
        <v>{2,300}</v>
      </c>
      <c r="BI321" s="23" t="str">
        <f ca="1" t="shared" ref="BI321:BI384" si="76">"["&amp;_xlfn.TEXTJOIN(",",1,$AN321:$AR321)&amp;"]"</f>
        <v>[{50003,15},{5133001,100},{2,120}]</v>
      </c>
      <c r="BJ321" s="23" t="str">
        <f ca="1" t="shared" ref="BJ321:BJ384" si="77">"["&amp;_xlfn.TEXTJOIN(",",1,$AS321:$AY321)&amp;"]"</f>
        <v>[{5123001,140},{50005,25},{2,180}]</v>
      </c>
      <c r="BK321" s="23" t="str">
        <f ca="1" t="shared" ref="BK321:BK384" si="78">"["&amp;_xlfn.TEXTJOIN(",",1,$AZ321:$BG321)&amp;"]"</f>
        <v>[{1,150},{5133001,200},{2,300}]</v>
      </c>
      <c r="BL321" s="23">
        <f ca="1" t="shared" ref="BL321:BL384" si="79">5-COUNTBLANK(AN321:AR321)</f>
        <v>3</v>
      </c>
      <c r="BM321" s="23">
        <f ca="1" t="shared" ref="BM321:BM384" si="80">7-COUNTBLANK(AS321:AY321)</f>
        <v>3</v>
      </c>
      <c r="BN321" s="23">
        <f ca="1">7-COUNTBLANK(AZ321:BG321)</f>
        <v>2</v>
      </c>
      <c r="BP321" s="71" t="s">
        <v>374</v>
      </c>
      <c r="BQ321" s="71">
        <v>150</v>
      </c>
    </row>
    <row r="322" ht="16.5" spans="2:69">
      <c r="B322" s="23">
        <v>2</v>
      </c>
      <c r="C322" s="12"/>
      <c r="D322" s="71"/>
      <c r="E322" s="12"/>
      <c r="F322" s="71"/>
      <c r="G322" s="72" t="s">
        <v>378</v>
      </c>
      <c r="H322" s="71">
        <v>15</v>
      </c>
      <c r="I322" s="12" t="s">
        <v>384</v>
      </c>
      <c r="J322" s="71">
        <v>100</v>
      </c>
      <c r="K322" s="71" t="s">
        <v>96</v>
      </c>
      <c r="L322" s="71">
        <v>120</v>
      </c>
      <c r="M322" s="12" t="s">
        <v>385</v>
      </c>
      <c r="N322" s="71">
        <v>140</v>
      </c>
      <c r="O322" s="71"/>
      <c r="P322" s="71"/>
      <c r="Q322" s="71"/>
      <c r="R322" s="71"/>
      <c r="S322" s="72" t="s">
        <v>380</v>
      </c>
      <c r="T322" s="71">
        <v>25</v>
      </c>
      <c r="U322" s="71"/>
      <c r="V322" s="71">
        <v>0</v>
      </c>
      <c r="W322" s="71" t="s">
        <v>96</v>
      </c>
      <c r="X322" s="71">
        <f t="shared" si="60"/>
        <v>180</v>
      </c>
      <c r="Y322" s="71"/>
      <c r="Z322" s="71"/>
      <c r="AA322" s="12"/>
      <c r="AB322" s="71"/>
      <c r="AC322" s="71" t="s">
        <v>374</v>
      </c>
      <c r="AD322" s="71">
        <v>150</v>
      </c>
      <c r="AE322" s="73" t="s">
        <v>386</v>
      </c>
      <c r="AF322" s="71">
        <v>200</v>
      </c>
      <c r="AG322" s="71"/>
      <c r="AH322" s="71"/>
      <c r="AI322" s="71"/>
      <c r="AJ322" s="71"/>
      <c r="AK322" s="71" t="s">
        <v>96</v>
      </c>
      <c r="AL322" s="71">
        <f t="shared" si="61"/>
        <v>300</v>
      </c>
      <c r="AN322" s="23" t="str">
        <f ca="1" t="shared" si="62"/>
        <v/>
      </c>
      <c r="AO322" s="23" t="str">
        <f ca="1">IF(OFFSET($B322,0,AO$320*2+1)="","","{"&amp;VLOOKUP(OFFSET($B322,0,AO$320*2+1),$AN$291:$AO$315,2,0)&amp;","&amp;OFFSET($B322,0,AO$320*2+2)&amp;"}")</f>
        <v/>
      </c>
      <c r="AP322" s="23" t="str">
        <f ca="1" t="shared" si="63"/>
        <v>{50004,15}</v>
      </c>
      <c r="AQ322" s="23" t="str">
        <f ca="1" t="shared" si="64"/>
        <v>{5123001,100}</v>
      </c>
      <c r="AR322" s="23" t="str">
        <f ca="1" t="shared" si="65"/>
        <v>{2,120}</v>
      </c>
      <c r="AS322" s="23" t="str">
        <f ca="1" t="shared" si="66"/>
        <v>{5143001,140}</v>
      </c>
      <c r="AU322" s="23" t="str">
        <f ca="1">IF(OFFSET($B322,0,AU$320*2+1)="","","{"&amp;VLOOKUP(OFFSET($B322,0,AU$320*2+1),$AN$291:$AO$306,2,0)&amp;","&amp;OFFSET($B322,0,AU$320*2+2)&amp;"}")</f>
        <v/>
      </c>
      <c r="AV322" s="23" t="str">
        <f ca="1" t="shared" si="67"/>
        <v>{50006,25}</v>
      </c>
      <c r="AW322" s="23" t="str">
        <f ca="1" t="shared" si="68"/>
        <v/>
      </c>
      <c r="AX322" s="23" t="str">
        <f ca="1" t="shared" si="69"/>
        <v>{2,180}</v>
      </c>
      <c r="AY322" s="23" t="str">
        <f ca="1" t="shared" si="70"/>
        <v/>
      </c>
      <c r="AZ322" s="23" t="str">
        <f ca="1" t="shared" si="71"/>
        <v/>
      </c>
      <c r="BA322" s="23" t="str">
        <f ca="1" t="shared" si="72"/>
        <v>{1,150}</v>
      </c>
      <c r="BC322" s="23" t="str">
        <f ca="1" t="shared" si="73"/>
        <v>{5113001,200}</v>
      </c>
      <c r="BD322" s="23" t="str">
        <f ca="1">IF(OFFSET($B322,0,BD$320*2+1)="","","{"&amp;VLOOKUP(OFFSET($B322,0,BD$320*2+1),$AN$291:$AO$314,2,0)&amp;","&amp;OFFSET($B322,0,BD$320*2+2)&amp;"}")</f>
        <v/>
      </c>
      <c r="BE322" s="23" t="str">
        <f ca="1" t="shared" si="74"/>
        <v/>
      </c>
      <c r="BF322" s="23" t="str">
        <f ca="1" t="shared" si="75"/>
        <v>{2,300}</v>
      </c>
      <c r="BI322" s="23" t="str">
        <f ca="1" t="shared" si="76"/>
        <v>[{50004,15},{5123001,100},{2,120}]</v>
      </c>
      <c r="BJ322" s="23" t="str">
        <f ca="1" t="shared" si="77"/>
        <v>[{5143001,140},{50006,25},{2,180}]</v>
      </c>
      <c r="BK322" s="23" t="str">
        <f ca="1" t="shared" si="78"/>
        <v>[{1,150},{5113001,200},{2,300}]</v>
      </c>
      <c r="BL322" s="23">
        <f ca="1" t="shared" si="79"/>
        <v>3</v>
      </c>
      <c r="BM322" s="23">
        <f ca="1" t="shared" si="80"/>
        <v>3</v>
      </c>
      <c r="BN322" s="23">
        <f ca="1">7-COUNTBLANK(AZ322:BG322)</f>
        <v>2</v>
      </c>
      <c r="BP322" s="71" t="s">
        <v>374</v>
      </c>
      <c r="BQ322" s="71">
        <v>150</v>
      </c>
    </row>
    <row r="323" ht="16.5" spans="2:69">
      <c r="B323" s="23">
        <v>3</v>
      </c>
      <c r="C323" s="12"/>
      <c r="D323" s="71"/>
      <c r="E323" s="12"/>
      <c r="F323" s="71"/>
      <c r="G323" s="72" t="s">
        <v>379</v>
      </c>
      <c r="H323" s="71">
        <v>15</v>
      </c>
      <c r="I323" s="12" t="s">
        <v>385</v>
      </c>
      <c r="J323" s="71">
        <v>100</v>
      </c>
      <c r="K323" s="71" t="s">
        <v>96</v>
      </c>
      <c r="L323" s="71">
        <v>120</v>
      </c>
      <c r="M323" s="12" t="s">
        <v>383</v>
      </c>
      <c r="N323" s="71">
        <v>140</v>
      </c>
      <c r="O323" s="20"/>
      <c r="P323" s="20"/>
      <c r="Q323" s="12" t="s">
        <v>385</v>
      </c>
      <c r="R323" s="71">
        <v>70</v>
      </c>
      <c r="S323" s="72" t="s">
        <v>381</v>
      </c>
      <c r="T323" s="71">
        <v>25</v>
      </c>
      <c r="U323" s="71"/>
      <c r="V323" s="71">
        <v>0</v>
      </c>
      <c r="W323" s="71" t="s">
        <v>96</v>
      </c>
      <c r="X323" s="71">
        <f t="shared" si="60"/>
        <v>180</v>
      </c>
      <c r="Y323" s="71"/>
      <c r="Z323" s="71"/>
      <c r="AA323" s="12"/>
      <c r="AB323" s="71"/>
      <c r="AC323" s="71" t="s">
        <v>374</v>
      </c>
      <c r="AD323" s="71">
        <v>150</v>
      </c>
      <c r="AE323" s="12" t="s">
        <v>383</v>
      </c>
      <c r="AF323" s="71">
        <v>100</v>
      </c>
      <c r="AG323" s="71"/>
      <c r="AH323" s="71"/>
      <c r="AI323" s="12" t="s">
        <v>384</v>
      </c>
      <c r="AJ323" s="71">
        <v>100</v>
      </c>
      <c r="AK323" s="71" t="s">
        <v>96</v>
      </c>
      <c r="AL323" s="71">
        <f t="shared" si="61"/>
        <v>300</v>
      </c>
      <c r="AN323" s="23" t="str">
        <f ca="1" t="shared" si="62"/>
        <v>{11,5}</v>
      </c>
      <c r="AO323" s="23" t="str">
        <f ca="1">IF(OFFSET($B323,0,AO$320*2+1)="","","{"&amp;VLOOKUP(OFFSET($B323,0,AO$320*2+1),$AN$291:$AO$315,2,0)&amp;","&amp;OFFSET($B323,0,AO$320*2+2)&amp;"}")</f>
        <v/>
      </c>
      <c r="AP323" s="23" t="str">
        <f ca="1" t="shared" si="63"/>
        <v>{50005,15}</v>
      </c>
      <c r="AQ323" s="23" t="str">
        <f ca="1" t="shared" si="64"/>
        <v>{5143001,100}</v>
      </c>
      <c r="AR323" s="23" t="str">
        <f ca="1" t="shared" si="65"/>
        <v>{2,120}</v>
      </c>
      <c r="AS323" s="23" t="str">
        <f ca="1" t="shared" si="66"/>
        <v>{5133001,140}</v>
      </c>
      <c r="AU323" s="23" t="str">
        <f ca="1">IF(OFFSET($B323,0,AU$320*2+1)="","","{"&amp;VLOOKUP(OFFSET($B323,0,AU$320*2+1),$AN$291:$AO$315,2,0)&amp;","&amp;OFFSET($B323,0,AU$320*2+2)&amp;"}")</f>
        <v>{5143001,70}</v>
      </c>
      <c r="AV323" s="23" t="str">
        <f ca="1" t="shared" si="67"/>
        <v>{50007,25}</v>
      </c>
      <c r="AW323" s="23" t="str">
        <f ca="1" t="shared" si="68"/>
        <v/>
      </c>
      <c r="AX323" s="23" t="str">
        <f ca="1" t="shared" si="69"/>
        <v>{2,180}</v>
      </c>
      <c r="AY323" s="23" t="str">
        <f ca="1" t="shared" si="70"/>
        <v/>
      </c>
      <c r="AZ323" s="23" t="str">
        <f ca="1" t="shared" si="71"/>
        <v/>
      </c>
      <c r="BA323" s="23" t="str">
        <f ca="1" t="shared" si="72"/>
        <v>{1,150}</v>
      </c>
      <c r="BC323" s="23" t="str">
        <f ca="1" t="shared" si="73"/>
        <v>{5133001,100}</v>
      </c>
      <c r="BD323" s="23" t="str">
        <f ca="1">IF(OFFSET($B323,0,BD$320*2+1)="","","{"&amp;VLOOKUP(OFFSET($B323,0,BD$320*2+1),$AN$291:$AO$314,2,0)&amp;","&amp;OFFSET($B323,0,BD$320*2+2)&amp;"}")</f>
        <v/>
      </c>
      <c r="BE323" s="23" t="str">
        <f ca="1" t="shared" si="74"/>
        <v>{5123001,100}</v>
      </c>
      <c r="BF323" s="23" t="str">
        <f ca="1" t="shared" si="75"/>
        <v>{2,300}</v>
      </c>
      <c r="BI323" s="23" t="str">
        <f ca="1" t="shared" si="76"/>
        <v>[{11,5},{50005,15},{5143001,100},{2,120}]</v>
      </c>
      <c r="BJ323" s="23" t="str">
        <f ca="1" t="shared" si="77"/>
        <v>[{5133001,140},{5143001,70},{50007,25},{2,180}]</v>
      </c>
      <c r="BK323" s="23" t="str">
        <f ca="1" t="shared" si="78"/>
        <v>[{1,150},{5133001,100},{5123001,100},{2,300}]</v>
      </c>
      <c r="BL323" s="23">
        <f ca="1" t="shared" si="79"/>
        <v>4</v>
      </c>
      <c r="BM323" s="23">
        <f ca="1" t="shared" si="80"/>
        <v>4</v>
      </c>
      <c r="BN323" s="23">
        <f ca="1">7-COUNTBLANK(AZ323:BG323)</f>
        <v>3</v>
      </c>
      <c r="BP323" s="71" t="s">
        <v>374</v>
      </c>
      <c r="BQ323" s="71">
        <v>150</v>
      </c>
    </row>
    <row r="324" ht="16.5" spans="2:69">
      <c r="B324" s="23">
        <v>4</v>
      </c>
      <c r="C324" s="12"/>
      <c r="D324" s="71"/>
      <c r="E324" s="73"/>
      <c r="F324" s="71"/>
      <c r="G324" s="72" t="s">
        <v>380</v>
      </c>
      <c r="H324" s="71">
        <v>15</v>
      </c>
      <c r="I324" s="73" t="s">
        <v>386</v>
      </c>
      <c r="J324" s="71">
        <v>100</v>
      </c>
      <c r="K324" s="71" t="s">
        <v>96</v>
      </c>
      <c r="L324" s="71">
        <v>120</v>
      </c>
      <c r="M324" s="12" t="s">
        <v>385</v>
      </c>
      <c r="N324" s="71">
        <v>140</v>
      </c>
      <c r="O324" s="71"/>
      <c r="P324" s="71"/>
      <c r="Q324" s="71" t="s">
        <v>149</v>
      </c>
      <c r="R324" s="71">
        <v>15</v>
      </c>
      <c r="S324" s="72" t="s">
        <v>382</v>
      </c>
      <c r="T324" s="71">
        <v>25</v>
      </c>
      <c r="U324" s="71"/>
      <c r="V324" s="71">
        <v>0</v>
      </c>
      <c r="W324" s="71" t="s">
        <v>96</v>
      </c>
      <c r="X324" s="71">
        <f t="shared" si="60"/>
        <v>180</v>
      </c>
      <c r="Y324" s="71"/>
      <c r="Z324" s="71"/>
      <c r="AA324" s="12"/>
      <c r="AB324" s="71"/>
      <c r="AC324" s="71" t="s">
        <v>374</v>
      </c>
      <c r="AD324" s="71">
        <v>150</v>
      </c>
      <c r="AE324" s="12" t="s">
        <v>385</v>
      </c>
      <c r="AF324" s="71">
        <v>200</v>
      </c>
      <c r="AG324" s="71" t="s">
        <v>149</v>
      </c>
      <c r="AH324" s="71">
        <v>20</v>
      </c>
      <c r="AI324" s="71" t="s">
        <v>390</v>
      </c>
      <c r="AJ324" s="71">
        <v>1</v>
      </c>
      <c r="AK324" s="71" t="s">
        <v>96</v>
      </c>
      <c r="AL324" s="71">
        <f t="shared" si="61"/>
        <v>300</v>
      </c>
      <c r="AN324" s="23" t="str">
        <f ca="1" t="shared" si="62"/>
        <v>{11,5}</v>
      </c>
      <c r="AO324" s="23" t="str">
        <f ca="1">IF(OFFSET($B324,0,AO$320*2+1)="","","{"&amp;VLOOKUP(OFFSET($B324,0,AO$320*2+1),$AN$291:$AO$315,2,0)&amp;","&amp;OFFSET($B324,0,AO$320*2+2)&amp;"}")</f>
        <v/>
      </c>
      <c r="AP324" s="23" t="str">
        <f ca="1" t="shared" si="63"/>
        <v>{50006,15}</v>
      </c>
      <c r="AQ324" s="23" t="str">
        <f ca="1" t="shared" si="64"/>
        <v>{5113001,100}</v>
      </c>
      <c r="AR324" s="23" t="str">
        <f ca="1" t="shared" si="65"/>
        <v>{2,120}</v>
      </c>
      <c r="AS324" s="23" t="str">
        <f ca="1" t="shared" si="66"/>
        <v>{5143001,140}</v>
      </c>
      <c r="AU324" s="23" t="str">
        <f ca="1" t="shared" ref="AU324:AU387" si="81">IF(OFFSET($B324,0,AU$320*2+1)="","","{"&amp;VLOOKUP(OFFSET($B324,0,AU$320*2+1),$AN$291:$AO$306,2,0)&amp;","&amp;OFFSET($B324,0,AU$320*2+2)&amp;"}")</f>
        <v>{5303001,15}</v>
      </c>
      <c r="AV324" s="23" t="str">
        <f ca="1" t="shared" si="67"/>
        <v>{50008,25}</v>
      </c>
      <c r="AW324" s="23" t="str">
        <f ca="1" t="shared" si="68"/>
        <v/>
      </c>
      <c r="AX324" s="23" t="str">
        <f ca="1" t="shared" si="69"/>
        <v>{2,180}</v>
      </c>
      <c r="AY324" s="23" t="str">
        <f ca="1" t="shared" si="70"/>
        <v/>
      </c>
      <c r="AZ324" s="23" t="str">
        <f ca="1" t="shared" si="71"/>
        <v/>
      </c>
      <c r="BA324" s="23" t="str">
        <f ca="1" t="shared" si="72"/>
        <v>{1,150}</v>
      </c>
      <c r="BB324" s="23" t="s">
        <v>398</v>
      </c>
      <c r="BC324" s="23" t="str">
        <f ca="1" t="shared" si="73"/>
        <v>{5143001,200}</v>
      </c>
      <c r="BE324" s="23" t="str">
        <f ca="1" t="shared" si="74"/>
        <v>{50039,1}</v>
      </c>
      <c r="BF324" s="23" t="str">
        <f ca="1" t="shared" si="75"/>
        <v>{2,300}</v>
      </c>
      <c r="BI324" s="23" t="str">
        <f ca="1" t="shared" si="76"/>
        <v>[{11,5},{50006,15},{5113001,100},{2,120}]</v>
      </c>
      <c r="BJ324" s="23" t="str">
        <f ca="1" t="shared" si="77"/>
        <v>[{5143001,140},{5303001,15},{50008,25},{2,180}]</v>
      </c>
      <c r="BK324" s="23" t="str">
        <f ca="1" t="shared" si="78"/>
        <v>[{1,150},{5303001,20},{5143001,200},{50039,1},{2,300}]</v>
      </c>
      <c r="BL324" s="23">
        <f ca="1" t="shared" si="79"/>
        <v>4</v>
      </c>
      <c r="BM324" s="23">
        <f ca="1" t="shared" si="80"/>
        <v>4</v>
      </c>
      <c r="BN324" s="23">
        <f ca="1" t="shared" ref="BN324:BN387" si="82">7-COUNTBLANK(AZ324:BF324)</f>
        <v>5</v>
      </c>
      <c r="BP324" s="71" t="s">
        <v>374</v>
      </c>
      <c r="BQ324" s="71">
        <v>150</v>
      </c>
    </row>
    <row r="325" ht="16.5" spans="2:69">
      <c r="B325" s="23">
        <v>5</v>
      </c>
      <c r="C325" s="12"/>
      <c r="D325" s="71"/>
      <c r="E325" s="12"/>
      <c r="F325" s="71"/>
      <c r="G325" s="72" t="s">
        <v>381</v>
      </c>
      <c r="H325" s="71">
        <v>15</v>
      </c>
      <c r="I325" s="12" t="s">
        <v>383</v>
      </c>
      <c r="J325" s="71">
        <v>100</v>
      </c>
      <c r="K325" s="71" t="s">
        <v>96</v>
      </c>
      <c r="L325" s="71">
        <v>120</v>
      </c>
      <c r="M325" s="12" t="s">
        <v>385</v>
      </c>
      <c r="N325" s="71">
        <v>140</v>
      </c>
      <c r="O325" s="71"/>
      <c r="P325" s="71"/>
      <c r="Q325" s="71" t="s">
        <v>149</v>
      </c>
      <c r="R325" s="71">
        <v>15</v>
      </c>
      <c r="S325" s="72" t="s">
        <v>377</v>
      </c>
      <c r="T325" s="71">
        <v>25</v>
      </c>
      <c r="U325" s="71" t="s">
        <v>208</v>
      </c>
      <c r="V325" s="71">
        <v>1</v>
      </c>
      <c r="W325" s="71" t="s">
        <v>96</v>
      </c>
      <c r="X325" s="71">
        <f t="shared" si="60"/>
        <v>180</v>
      </c>
      <c r="Y325" s="71"/>
      <c r="Z325" s="71"/>
      <c r="AA325" s="71" t="s">
        <v>375</v>
      </c>
      <c r="AB325" s="71">
        <v>3</v>
      </c>
      <c r="AC325" s="71" t="s">
        <v>374</v>
      </c>
      <c r="AD325" s="71">
        <v>150</v>
      </c>
      <c r="AE325" s="12" t="s">
        <v>383</v>
      </c>
      <c r="AF325" s="71">
        <v>200</v>
      </c>
      <c r="AG325" s="71" t="s">
        <v>149</v>
      </c>
      <c r="AH325" s="71">
        <v>20</v>
      </c>
      <c r="AI325" s="71" t="s">
        <v>390</v>
      </c>
      <c r="AJ325" s="71">
        <v>1</v>
      </c>
      <c r="AK325" s="71" t="s">
        <v>96</v>
      </c>
      <c r="AL325" s="71">
        <f t="shared" si="61"/>
        <v>300</v>
      </c>
      <c r="AN325" s="23" t="str">
        <f ca="1" t="shared" si="62"/>
        <v>{11,5}</v>
      </c>
      <c r="AO325" s="23" t="str">
        <f ca="1">IF(OFFSET($B325,0,AO$320*2+1)="","","{"&amp;VLOOKUP(OFFSET($B325,0,AO$320*2+1),$AN$291:$AO$315,2,0)&amp;","&amp;OFFSET($B325,0,AO$320*2+2)&amp;"}")</f>
        <v/>
      </c>
      <c r="AP325" s="23" t="str">
        <f ca="1" t="shared" si="63"/>
        <v>{50007,15}</v>
      </c>
      <c r="AQ325" s="23" t="str">
        <f ca="1" t="shared" si="64"/>
        <v>{5133001,100}</v>
      </c>
      <c r="AR325" s="23" t="str">
        <f ca="1" t="shared" si="65"/>
        <v>{2,120}</v>
      </c>
      <c r="AS325" s="23" t="str">
        <f ca="1" t="shared" si="66"/>
        <v>{5143001,140}</v>
      </c>
      <c r="AU325" s="23" t="str">
        <f ca="1" t="shared" si="81"/>
        <v>{5303001,15}</v>
      </c>
      <c r="AV325" s="23" t="str">
        <f ca="1" t="shared" si="67"/>
        <v>{50003,25}</v>
      </c>
      <c r="AW325" s="23" t="str">
        <f ca="1" t="shared" si="68"/>
        <v>{9,1}</v>
      </c>
      <c r="AX325" s="23" t="str">
        <f ca="1" t="shared" si="69"/>
        <v>{2,180}</v>
      </c>
      <c r="AY325" s="23" t="str">
        <f ca="1" t="shared" si="70"/>
        <v/>
      </c>
      <c r="AZ325" s="23" t="str">
        <f ca="1" t="shared" si="71"/>
        <v>{5205001,3}</v>
      </c>
      <c r="BA325" s="23" t="str">
        <f ca="1" t="shared" si="72"/>
        <v>{1,150}</v>
      </c>
      <c r="BB325" s="23" t="s">
        <v>398</v>
      </c>
      <c r="BC325" s="23" t="str">
        <f ca="1" t="shared" si="73"/>
        <v>{5133001,200}</v>
      </c>
      <c r="BE325" s="23" t="str">
        <f ca="1" t="shared" si="74"/>
        <v>{50039,1}</v>
      </c>
      <c r="BF325" s="23" t="str">
        <f ca="1" t="shared" si="75"/>
        <v>{2,300}</v>
      </c>
      <c r="BI325" s="23" t="str">
        <f ca="1" t="shared" si="76"/>
        <v>[{11,5},{50007,15},{5133001,100},{2,120}]</v>
      </c>
      <c r="BJ325" s="23" t="str">
        <f ca="1" t="shared" si="77"/>
        <v>[{5143001,140},{5303001,15},{50003,25},{9,1},{2,180}]</v>
      </c>
      <c r="BK325" s="23" t="str">
        <f ca="1" t="shared" si="78"/>
        <v>[{5205001,3},{1,150},{5303001,20},{5133001,200},{50039,1},{2,300}]</v>
      </c>
      <c r="BL325" s="23">
        <f ca="1" t="shared" si="79"/>
        <v>4</v>
      </c>
      <c r="BM325" s="23">
        <f ca="1" t="shared" si="80"/>
        <v>5</v>
      </c>
      <c r="BN325" s="23">
        <f ca="1" t="shared" si="82"/>
        <v>6</v>
      </c>
      <c r="BP325" s="71" t="s">
        <v>374</v>
      </c>
      <c r="BQ325" s="71">
        <v>150</v>
      </c>
    </row>
    <row r="326" ht="16.5" spans="2:69">
      <c r="B326" s="23">
        <v>6</v>
      </c>
      <c r="C326" s="12"/>
      <c r="D326" s="71"/>
      <c r="E326" s="71"/>
      <c r="F326" s="71"/>
      <c r="G326" s="72" t="s">
        <v>382</v>
      </c>
      <c r="H326" s="71">
        <v>15</v>
      </c>
      <c r="I326" s="12" t="s">
        <v>384</v>
      </c>
      <c r="J326" s="71">
        <v>100</v>
      </c>
      <c r="K326" s="71" t="s">
        <v>96</v>
      </c>
      <c r="L326" s="71">
        <v>240</v>
      </c>
      <c r="M326" s="12" t="s">
        <v>383</v>
      </c>
      <c r="N326" s="71">
        <v>140</v>
      </c>
      <c r="O326" s="71"/>
      <c r="P326" s="71"/>
      <c r="Q326" s="71" t="s">
        <v>149</v>
      </c>
      <c r="R326" s="71">
        <v>15</v>
      </c>
      <c r="S326" s="72" t="s">
        <v>378</v>
      </c>
      <c r="T326" s="71">
        <v>25</v>
      </c>
      <c r="U326" s="71"/>
      <c r="V326" s="71">
        <f>V321</f>
        <v>0</v>
      </c>
      <c r="W326" s="71" t="s">
        <v>96</v>
      </c>
      <c r="X326" s="71">
        <f t="shared" si="60"/>
        <v>360</v>
      </c>
      <c r="Y326" s="71"/>
      <c r="Z326" s="71"/>
      <c r="AA326" s="71" t="s">
        <v>109</v>
      </c>
      <c r="AB326" s="71">
        <v>30</v>
      </c>
      <c r="AC326" s="71" t="s">
        <v>374</v>
      </c>
      <c r="AD326" s="71">
        <v>150</v>
      </c>
      <c r="AE326" s="73" t="s">
        <v>386</v>
      </c>
      <c r="AF326" s="71">
        <v>200</v>
      </c>
      <c r="AG326" s="71" t="s">
        <v>149</v>
      </c>
      <c r="AH326" s="71">
        <v>20</v>
      </c>
      <c r="AI326" s="71" t="s">
        <v>390</v>
      </c>
      <c r="AJ326" s="71">
        <v>1</v>
      </c>
      <c r="AK326" s="71" t="s">
        <v>96</v>
      </c>
      <c r="AL326" s="71">
        <f t="shared" si="61"/>
        <v>600</v>
      </c>
      <c r="AN326" s="23" t="str">
        <f ca="1" t="shared" si="62"/>
        <v>{11,5}</v>
      </c>
      <c r="AO326" s="23" t="str">
        <f ca="1" t="shared" ref="AO326:AO389" si="83">IF(OFFSET($B326,0,AO$320*2+1)="","","{"&amp;VLOOKUP(OFFSET($B326,0,AO$320*2+1),$AN$291:$AO$297,2,0)&amp;","&amp;OFFSET($B326,0,AO$320*2+2)&amp;"}")</f>
        <v/>
      </c>
      <c r="AP326" s="23" t="str">
        <f ca="1" t="shared" si="63"/>
        <v>{50008,15}</v>
      </c>
      <c r="AQ326" s="23" t="str">
        <f ca="1" t="shared" si="64"/>
        <v>{5123001,100}</v>
      </c>
      <c r="AR326" s="23" t="str">
        <f ca="1" t="shared" si="65"/>
        <v>{2,240}</v>
      </c>
      <c r="AS326" s="23" t="str">
        <f ca="1" t="shared" si="66"/>
        <v>{5133001,140}</v>
      </c>
      <c r="AU326" s="23" t="str">
        <f ca="1" t="shared" si="81"/>
        <v>{5303001,15}</v>
      </c>
      <c r="AV326" s="23" t="str">
        <f ca="1" t="shared" si="67"/>
        <v>{50004,25}</v>
      </c>
      <c r="AW326" s="23" t="str">
        <f ca="1" t="shared" si="68"/>
        <v/>
      </c>
      <c r="AX326" s="23" t="str">
        <f ca="1" t="shared" si="69"/>
        <v>{2,360}</v>
      </c>
      <c r="AY326" s="23" t="str">
        <f ca="1" t="shared" si="70"/>
        <v>{5204001,5}</v>
      </c>
      <c r="AZ326" s="23" t="str">
        <f ca="1" t="shared" si="71"/>
        <v>{5203001,30}</v>
      </c>
      <c r="BA326" s="23" t="str">
        <f ca="1" t="shared" si="72"/>
        <v>{1,150}</v>
      </c>
      <c r="BB326" s="23" t="s">
        <v>398</v>
      </c>
      <c r="BC326" s="23" t="str">
        <f ca="1" t="shared" si="73"/>
        <v>{5113001,200}</v>
      </c>
      <c r="BE326" s="23" t="str">
        <f ca="1" t="shared" si="74"/>
        <v>{50039,1}</v>
      </c>
      <c r="BF326" s="23" t="str">
        <f ca="1" t="shared" si="75"/>
        <v>{2,600}</v>
      </c>
      <c r="BI326" s="23" t="str">
        <f ca="1" t="shared" si="76"/>
        <v>[{11,5},{50008,15},{5123001,100},{2,240}]</v>
      </c>
      <c r="BJ326" s="23" t="str">
        <f ca="1" t="shared" si="77"/>
        <v>[{5133001,140},{5303001,15},{50004,25},{2,360},{5204001,5}]</v>
      </c>
      <c r="BK326" s="23" t="str">
        <f ca="1" t="shared" si="78"/>
        <v>[{5203001,30},{1,150},{5303001,20},{5113001,200},{50039,1},{2,600}]</v>
      </c>
      <c r="BL326" s="23">
        <f ca="1" t="shared" si="79"/>
        <v>4</v>
      </c>
      <c r="BM326" s="23">
        <f ca="1" t="shared" si="80"/>
        <v>5</v>
      </c>
      <c r="BN326" s="23">
        <f ca="1" t="shared" si="82"/>
        <v>6</v>
      </c>
      <c r="BP326" s="71" t="s">
        <v>374</v>
      </c>
      <c r="BQ326" s="71">
        <v>150</v>
      </c>
    </row>
    <row r="327" ht="16.5" spans="2:69">
      <c r="B327" s="23">
        <v>7</v>
      </c>
      <c r="C327" s="12"/>
      <c r="D327" s="71"/>
      <c r="E327" s="71"/>
      <c r="F327" s="71"/>
      <c r="G327" s="71" t="str">
        <f t="shared" ref="G327:G390" si="84">G321</f>
        <v>头盔图纸</v>
      </c>
      <c r="H327" s="71">
        <v>15</v>
      </c>
      <c r="I327" s="12" t="s">
        <v>385</v>
      </c>
      <c r="J327" s="71">
        <v>150</v>
      </c>
      <c r="K327" s="71" t="s">
        <v>96</v>
      </c>
      <c r="L327" s="71">
        <v>240</v>
      </c>
      <c r="M327" s="73" t="s">
        <v>386</v>
      </c>
      <c r="N327" s="71">
        <f t="shared" ref="N327:N332" si="85">N321+60</f>
        <v>200</v>
      </c>
      <c r="O327" s="71"/>
      <c r="P327" s="71"/>
      <c r="Q327" s="71" t="s">
        <v>149</v>
      </c>
      <c r="R327" s="71">
        <v>15</v>
      </c>
      <c r="S327" s="72" t="str">
        <f t="shared" ref="S327:S390" si="86">S321</f>
        <v>护臂图纸</v>
      </c>
      <c r="T327" s="71">
        <v>25</v>
      </c>
      <c r="U327" s="71"/>
      <c r="V327" s="71">
        <f>V322</f>
        <v>0</v>
      </c>
      <c r="W327" s="71" t="s">
        <v>96</v>
      </c>
      <c r="X327" s="71">
        <f t="shared" si="60"/>
        <v>360</v>
      </c>
      <c r="Y327" s="71"/>
      <c r="Z327" s="71"/>
      <c r="AA327" s="71" t="s">
        <v>109</v>
      </c>
      <c r="AB327" s="71">
        <v>30</v>
      </c>
      <c r="AC327" s="71" t="s">
        <v>374</v>
      </c>
      <c r="AD327" s="71">
        <v>150</v>
      </c>
      <c r="AE327" s="12" t="s">
        <v>384</v>
      </c>
      <c r="AF327" s="71">
        <v>300</v>
      </c>
      <c r="AG327" s="71" t="s">
        <v>149</v>
      </c>
      <c r="AH327" s="71">
        <v>20</v>
      </c>
      <c r="AI327" s="71" t="s">
        <v>390</v>
      </c>
      <c r="AJ327" s="71">
        <v>1</v>
      </c>
      <c r="AK327" s="71" t="s">
        <v>96</v>
      </c>
      <c r="AL327" s="71">
        <f t="shared" si="61"/>
        <v>600</v>
      </c>
      <c r="AN327" s="23" t="str">
        <f ca="1" t="shared" si="62"/>
        <v>{11,5}</v>
      </c>
      <c r="AO327" s="23" t="str">
        <f ca="1" t="shared" si="83"/>
        <v/>
      </c>
      <c r="AP327" s="23" t="str">
        <f ca="1" t="shared" si="63"/>
        <v>{50003,15}</v>
      </c>
      <c r="AQ327" s="23" t="str">
        <f ca="1" t="shared" si="64"/>
        <v>{5143001,150}</v>
      </c>
      <c r="AR327" s="23" t="str">
        <f ca="1" t="shared" si="65"/>
        <v>{2,240}</v>
      </c>
      <c r="AS327" s="23" t="str">
        <f ca="1" t="shared" si="66"/>
        <v>{5113001,200}</v>
      </c>
      <c r="AU327" s="23" t="str">
        <f ca="1" t="shared" si="81"/>
        <v>{5303001,15}</v>
      </c>
      <c r="AV327" s="23" t="str">
        <f ca="1" t="shared" si="67"/>
        <v>{50005,25}</v>
      </c>
      <c r="AW327" s="23" t="str">
        <f ca="1" t="shared" si="68"/>
        <v/>
      </c>
      <c r="AX327" s="23" t="str">
        <f ca="1" t="shared" si="69"/>
        <v>{2,360}</v>
      </c>
      <c r="AY327" s="23" t="str">
        <f ca="1" t="shared" si="70"/>
        <v>{5204001,5}</v>
      </c>
      <c r="AZ327" s="23" t="str">
        <f ca="1" t="shared" si="71"/>
        <v>{5203001,30}</v>
      </c>
      <c r="BA327" s="23" t="str">
        <f ca="1" t="shared" si="72"/>
        <v>{1,150}</v>
      </c>
      <c r="BB327" s="23" t="s">
        <v>398</v>
      </c>
      <c r="BC327" s="23" t="str">
        <f ca="1" t="shared" si="73"/>
        <v>{5123001,300}</v>
      </c>
      <c r="BE327" s="23" t="str">
        <f ca="1" t="shared" si="74"/>
        <v>{50039,1}</v>
      </c>
      <c r="BF327" s="23" t="str">
        <f ca="1" t="shared" si="75"/>
        <v>{2,600}</v>
      </c>
      <c r="BI327" s="23" t="str">
        <f ca="1" t="shared" si="76"/>
        <v>[{11,5},{50003,15},{5143001,150},{2,240}]</v>
      </c>
      <c r="BJ327" s="23" t="str">
        <f ca="1" t="shared" si="77"/>
        <v>[{5113001,200},{5303001,15},{50005,25},{2,360},{5204001,5}]</v>
      </c>
      <c r="BK327" s="23" t="str">
        <f ca="1" t="shared" si="78"/>
        <v>[{5203001,30},{1,150},{5303001,20},{5123001,300},{50039,1},{2,600}]</v>
      </c>
      <c r="BL327" s="23">
        <f ca="1" t="shared" si="79"/>
        <v>4</v>
      </c>
      <c r="BM327" s="23">
        <f ca="1" t="shared" si="80"/>
        <v>5</v>
      </c>
      <c r="BN327" s="23">
        <f ca="1" t="shared" si="82"/>
        <v>6</v>
      </c>
      <c r="BP327" s="71" t="s">
        <v>374</v>
      </c>
      <c r="BQ327" s="71">
        <v>150</v>
      </c>
    </row>
    <row r="328" ht="16.5" spans="2:69">
      <c r="B328" s="23">
        <v>8</v>
      </c>
      <c r="C328" s="12"/>
      <c r="D328" s="71"/>
      <c r="E328" s="71"/>
      <c r="F328" s="71"/>
      <c r="G328" s="71" t="str">
        <f t="shared" si="84"/>
        <v>衣服图纸</v>
      </c>
      <c r="H328" s="71">
        <v>15</v>
      </c>
      <c r="I328" s="73" t="s">
        <v>386</v>
      </c>
      <c r="J328" s="71">
        <v>150</v>
      </c>
      <c r="K328" s="71" t="s">
        <v>96</v>
      </c>
      <c r="L328" s="71">
        <v>240</v>
      </c>
      <c r="M328" s="12" t="s">
        <v>384</v>
      </c>
      <c r="N328" s="71">
        <f t="shared" si="85"/>
        <v>200</v>
      </c>
      <c r="O328" s="71"/>
      <c r="P328" s="71"/>
      <c r="Q328" s="71" t="s">
        <v>149</v>
      </c>
      <c r="R328" s="71">
        <v>15</v>
      </c>
      <c r="S328" s="72" t="str">
        <f t="shared" si="86"/>
        <v>裤子图纸</v>
      </c>
      <c r="T328" s="71">
        <v>25</v>
      </c>
      <c r="U328" s="71"/>
      <c r="V328" s="71">
        <f>V323</f>
        <v>0</v>
      </c>
      <c r="W328" s="71" t="s">
        <v>96</v>
      </c>
      <c r="X328" s="71">
        <f t="shared" si="60"/>
        <v>360</v>
      </c>
      <c r="Y328" s="71"/>
      <c r="Z328" s="71"/>
      <c r="AA328" s="71" t="s">
        <v>109</v>
      </c>
      <c r="AB328" s="71">
        <v>30</v>
      </c>
      <c r="AC328" s="71" t="s">
        <v>374</v>
      </c>
      <c r="AD328" s="71">
        <v>150</v>
      </c>
      <c r="AE328" s="12" t="s">
        <v>385</v>
      </c>
      <c r="AF328" s="71">
        <v>300</v>
      </c>
      <c r="AG328" s="71" t="s">
        <v>149</v>
      </c>
      <c r="AH328" s="71">
        <v>20</v>
      </c>
      <c r="AI328" s="71" t="s">
        <v>390</v>
      </c>
      <c r="AJ328" s="71">
        <v>1</v>
      </c>
      <c r="AK328" s="71" t="s">
        <v>96</v>
      </c>
      <c r="AL328" s="71">
        <f t="shared" si="61"/>
        <v>600</v>
      </c>
      <c r="AN328" s="23" t="str">
        <f ca="1" t="shared" si="62"/>
        <v>{11,5}</v>
      </c>
      <c r="AO328" s="23" t="str">
        <f ca="1" t="shared" si="83"/>
        <v/>
      </c>
      <c r="AP328" s="23" t="str">
        <f ca="1" t="shared" si="63"/>
        <v>{50004,15}</v>
      </c>
      <c r="AQ328" s="23" t="str">
        <f ca="1" t="shared" si="64"/>
        <v>{5113001,150}</v>
      </c>
      <c r="AR328" s="23" t="str">
        <f ca="1" t="shared" si="65"/>
        <v>{2,240}</v>
      </c>
      <c r="AS328" s="23" t="str">
        <f ca="1" t="shared" si="66"/>
        <v>{5123001,200}</v>
      </c>
      <c r="AU328" s="23" t="str">
        <f ca="1" t="shared" si="81"/>
        <v>{5303001,15}</v>
      </c>
      <c r="AV328" s="23" t="str">
        <f ca="1" t="shared" si="67"/>
        <v>{50006,25}</v>
      </c>
      <c r="AW328" s="23" t="str">
        <f ca="1" t="shared" si="68"/>
        <v/>
      </c>
      <c r="AX328" s="23" t="str">
        <f ca="1" t="shared" si="69"/>
        <v>{2,360}</v>
      </c>
      <c r="AY328" s="23" t="str">
        <f ca="1" t="shared" si="70"/>
        <v>{5204001,5}</v>
      </c>
      <c r="AZ328" s="23" t="str">
        <f ca="1" t="shared" si="71"/>
        <v>{5203001,30}</v>
      </c>
      <c r="BA328" s="23" t="str">
        <f ca="1" t="shared" si="72"/>
        <v>{1,150}</v>
      </c>
      <c r="BB328" s="23" t="s">
        <v>398</v>
      </c>
      <c r="BC328" s="23" t="str">
        <f ca="1" t="shared" si="73"/>
        <v>{5143001,300}</v>
      </c>
      <c r="BE328" s="23" t="str">
        <f ca="1" t="shared" si="74"/>
        <v>{50039,1}</v>
      </c>
      <c r="BF328" s="23" t="str">
        <f ca="1" t="shared" si="75"/>
        <v>{2,600}</v>
      </c>
      <c r="BI328" s="23" t="str">
        <f ca="1" t="shared" si="76"/>
        <v>[{11,5},{50004,15},{5113001,150},{2,240}]</v>
      </c>
      <c r="BJ328" s="23" t="str">
        <f ca="1" t="shared" si="77"/>
        <v>[{5123001,200},{5303001,15},{50006,25},{2,360},{5204001,5}]</v>
      </c>
      <c r="BK328" s="23" t="str">
        <f ca="1" t="shared" si="78"/>
        <v>[{5203001,30},{1,150},{5303001,20},{5143001,300},{50039,1},{2,600}]</v>
      </c>
      <c r="BL328" s="23">
        <f ca="1" t="shared" si="79"/>
        <v>4</v>
      </c>
      <c r="BM328" s="23">
        <f ca="1" t="shared" si="80"/>
        <v>5</v>
      </c>
      <c r="BN328" s="23">
        <f ca="1" t="shared" si="82"/>
        <v>6</v>
      </c>
      <c r="BP328" s="71" t="s">
        <v>374</v>
      </c>
      <c r="BQ328" s="71">
        <v>150</v>
      </c>
    </row>
    <row r="329" ht="16.5" spans="2:69">
      <c r="B329" s="23">
        <v>9</v>
      </c>
      <c r="C329" s="12"/>
      <c r="D329" s="71"/>
      <c r="E329" s="71"/>
      <c r="F329" s="71"/>
      <c r="G329" s="71" t="str">
        <f t="shared" si="84"/>
        <v>护臂图纸</v>
      </c>
      <c r="H329" s="71">
        <v>15</v>
      </c>
      <c r="I329" s="12" t="s">
        <v>387</v>
      </c>
      <c r="J329" s="71">
        <v>150</v>
      </c>
      <c r="K329" s="71" t="s">
        <v>96</v>
      </c>
      <c r="L329" s="71">
        <v>240</v>
      </c>
      <c r="M329" s="12" t="s">
        <v>385</v>
      </c>
      <c r="N329" s="71">
        <f t="shared" si="85"/>
        <v>200</v>
      </c>
      <c r="O329" s="71"/>
      <c r="P329" s="71"/>
      <c r="Q329" s="71" t="s">
        <v>149</v>
      </c>
      <c r="R329" s="71">
        <v>15</v>
      </c>
      <c r="S329" s="72" t="str">
        <f t="shared" si="86"/>
        <v>鞋子图纸</v>
      </c>
      <c r="T329" s="71">
        <v>25</v>
      </c>
      <c r="U329" s="71"/>
      <c r="V329" s="71">
        <f>V324</f>
        <v>0</v>
      </c>
      <c r="W329" s="71" t="s">
        <v>96</v>
      </c>
      <c r="X329" s="71">
        <f t="shared" si="60"/>
        <v>360</v>
      </c>
      <c r="Y329" s="71"/>
      <c r="Z329" s="71"/>
      <c r="AA329" s="71" t="s">
        <v>109</v>
      </c>
      <c r="AB329" s="71">
        <v>30</v>
      </c>
      <c r="AC329" s="71" t="s">
        <v>374</v>
      </c>
      <c r="AD329" s="71">
        <v>150</v>
      </c>
      <c r="AE329" s="12" t="s">
        <v>387</v>
      </c>
      <c r="AF329" s="71">
        <v>300</v>
      </c>
      <c r="AG329" s="71" t="s">
        <v>149</v>
      </c>
      <c r="AH329" s="71">
        <v>20</v>
      </c>
      <c r="AI329" s="71" t="s">
        <v>390</v>
      </c>
      <c r="AJ329" s="71">
        <v>1</v>
      </c>
      <c r="AK329" s="71" t="s">
        <v>96</v>
      </c>
      <c r="AL329" s="71">
        <f t="shared" si="61"/>
        <v>600</v>
      </c>
      <c r="AN329" s="23" t="str">
        <f ca="1" t="shared" si="62"/>
        <v>{11,5}</v>
      </c>
      <c r="AO329" s="23" t="str">
        <f ca="1" t="shared" si="83"/>
        <v/>
      </c>
      <c r="AP329" s="23" t="str">
        <f ca="1" t="shared" si="63"/>
        <v>{50005,15}</v>
      </c>
      <c r="AQ329" s="23" t="str">
        <f ca="1" t="shared" si="64"/>
        <v>{5163001,150}</v>
      </c>
      <c r="AR329" s="23" t="str">
        <f ca="1" t="shared" si="65"/>
        <v>{2,240}</v>
      </c>
      <c r="AS329" s="23" t="str">
        <f ca="1" t="shared" si="66"/>
        <v>{5143001,200}</v>
      </c>
      <c r="AU329" s="23" t="str">
        <f ca="1" t="shared" si="81"/>
        <v>{5303001,15}</v>
      </c>
      <c r="AV329" s="23" t="str">
        <f ca="1" t="shared" si="67"/>
        <v>{50007,25}</v>
      </c>
      <c r="AW329" s="23" t="str">
        <f ca="1" t="shared" si="68"/>
        <v/>
      </c>
      <c r="AX329" s="23" t="str">
        <f ca="1" t="shared" si="69"/>
        <v>{2,360}</v>
      </c>
      <c r="AY329" s="23" t="str">
        <f ca="1" t="shared" si="70"/>
        <v>{5204001,5}</v>
      </c>
      <c r="AZ329" s="23" t="str">
        <f ca="1" t="shared" si="71"/>
        <v>{5203001,30}</v>
      </c>
      <c r="BA329" s="23" t="str">
        <f ca="1" t="shared" si="72"/>
        <v>{1,150}</v>
      </c>
      <c r="BB329" s="23" t="s">
        <v>398</v>
      </c>
      <c r="BC329" s="23" t="str">
        <f ca="1" t="shared" si="73"/>
        <v>{5163001,300}</v>
      </c>
      <c r="BD329" s="23" t="s">
        <v>399</v>
      </c>
      <c r="BF329" s="23" t="str">
        <f ca="1" t="shared" si="75"/>
        <v>{2,600}</v>
      </c>
      <c r="BI329" s="23" t="str">
        <f ca="1" t="shared" si="76"/>
        <v>[{11,5},{50005,15},{5163001,150},{2,240}]</v>
      </c>
      <c r="BJ329" s="23" t="str">
        <f ca="1" t="shared" si="77"/>
        <v>[{5143001,200},{5303001,15},{50007,25},{2,360},{5204001,5}]</v>
      </c>
      <c r="BK329" s="23" t="str">
        <f ca="1" t="shared" si="78"/>
        <v>[{5203001,30},{1,150},{5303001,20},{5163001,300},{50034,1},{2,600}]</v>
      </c>
      <c r="BL329" s="23">
        <f ca="1" t="shared" si="79"/>
        <v>4</v>
      </c>
      <c r="BM329" s="23">
        <f ca="1" t="shared" si="80"/>
        <v>5</v>
      </c>
      <c r="BN329" s="23">
        <f ca="1" t="shared" si="82"/>
        <v>6</v>
      </c>
      <c r="BP329" s="71" t="s">
        <v>374</v>
      </c>
      <c r="BQ329" s="71">
        <v>150</v>
      </c>
    </row>
    <row r="330" ht="16.5" spans="2:69">
      <c r="B330" s="23">
        <v>10</v>
      </c>
      <c r="C330" s="12" t="s">
        <v>240</v>
      </c>
      <c r="D330" s="71">
        <v>1</v>
      </c>
      <c r="E330" s="71"/>
      <c r="F330" s="71"/>
      <c r="G330" s="71" t="str">
        <f t="shared" si="84"/>
        <v>裤子图纸</v>
      </c>
      <c r="H330" s="71">
        <v>15</v>
      </c>
      <c r="I330" s="12" t="s">
        <v>388</v>
      </c>
      <c r="J330" s="71">
        <v>150</v>
      </c>
      <c r="K330" s="71" t="s">
        <v>96</v>
      </c>
      <c r="L330" s="71">
        <v>240</v>
      </c>
      <c r="M330" s="12" t="s">
        <v>383</v>
      </c>
      <c r="N330" s="71">
        <f t="shared" si="85"/>
        <v>200</v>
      </c>
      <c r="O330" s="71"/>
      <c r="P330" s="71"/>
      <c r="Q330" s="71" t="s">
        <v>149</v>
      </c>
      <c r="R330" s="71">
        <v>15</v>
      </c>
      <c r="S330" s="72" t="str">
        <f t="shared" si="86"/>
        <v>手套图纸</v>
      </c>
      <c r="T330" s="71">
        <v>25</v>
      </c>
      <c r="U330" s="71" t="str">
        <f t="shared" ref="U330:U393" si="87">IF(U325="","",U325)</f>
        <v>灵感获取令</v>
      </c>
      <c r="V330" s="71">
        <f t="shared" ref="V330:V393" si="88">IF(V325="","",V325)</f>
        <v>1</v>
      </c>
      <c r="W330" s="71" t="s">
        <v>96</v>
      </c>
      <c r="X330" s="71">
        <f t="shared" si="60"/>
        <v>360</v>
      </c>
      <c r="Y330" s="71"/>
      <c r="Z330" s="71"/>
      <c r="AA330" s="71" t="s">
        <v>375</v>
      </c>
      <c r="AB330" s="71">
        <v>3</v>
      </c>
      <c r="AC330" s="71" t="s">
        <v>374</v>
      </c>
      <c r="AD330" s="71">
        <v>150</v>
      </c>
      <c r="AE330" s="12" t="s">
        <v>388</v>
      </c>
      <c r="AF330" s="71">
        <v>300</v>
      </c>
      <c r="AG330" s="71" t="s">
        <v>149</v>
      </c>
      <c r="AH330" s="71">
        <v>20</v>
      </c>
      <c r="AI330" s="71" t="s">
        <v>390</v>
      </c>
      <c r="AJ330" s="71">
        <v>1</v>
      </c>
      <c r="AK330" s="71" t="s">
        <v>96</v>
      </c>
      <c r="AL330" s="71">
        <f t="shared" si="61"/>
        <v>600</v>
      </c>
      <c r="AN330" s="23" t="s">
        <v>400</v>
      </c>
      <c r="AO330" s="23" t="str">
        <f ca="1">IF(OFFSET($B330,0,AN$320*2+1)="","","{"&amp;VLOOKUP(OFFSET($B330,0,AN$320*2+1),$AN$291:$AO$316,2,0)&amp;","&amp;OFFSET($B330,0,AN$320*2+2)&amp;"}")</f>
        <v>{35,1}</v>
      </c>
      <c r="AP330" s="23" t="str">
        <f ca="1" t="shared" si="63"/>
        <v>{50006,15}</v>
      </c>
      <c r="AQ330" s="23" t="str">
        <f ca="1" t="shared" si="64"/>
        <v>{5153001,150}</v>
      </c>
      <c r="AR330" s="23" t="str">
        <f ca="1" t="shared" si="65"/>
        <v>{2,240}</v>
      </c>
      <c r="AS330" s="23" t="str">
        <f ca="1" t="shared" si="66"/>
        <v>{5133001,200}</v>
      </c>
      <c r="AU330" s="23" t="str">
        <f ca="1" t="shared" si="81"/>
        <v>{5303001,15}</v>
      </c>
      <c r="AV330" s="23" t="str">
        <f ca="1" t="shared" si="67"/>
        <v>{50008,25}</v>
      </c>
      <c r="AW330" s="23" t="str">
        <f ca="1" t="shared" si="68"/>
        <v>{9,1}</v>
      </c>
      <c r="AX330" s="23" t="str">
        <f ca="1" t="shared" si="69"/>
        <v>{2,360}</v>
      </c>
      <c r="AY330" s="23" t="str">
        <f ca="1" t="shared" si="70"/>
        <v>{5204001,5}</v>
      </c>
      <c r="AZ330" s="23" t="str">
        <f ca="1" t="shared" si="71"/>
        <v>{5205001,3}</v>
      </c>
      <c r="BA330" s="23" t="str">
        <f ca="1" t="shared" si="72"/>
        <v>{1,150}</v>
      </c>
      <c r="BB330" s="23" t="s">
        <v>398</v>
      </c>
      <c r="BC330" s="23" t="str">
        <f ca="1" t="shared" si="73"/>
        <v>{5153001,300}</v>
      </c>
      <c r="BE330" s="23" t="str">
        <f ca="1">IF(OFFSET($B330,0,BE$320*2+1)="","","{"&amp;VLOOKUP(OFFSET($B330,0,BE$320*2+1),$AN$291:$AO$316,2,0)&amp;","&amp;OFFSET($B330,0,BE$320*2+2)&amp;"}")</f>
        <v>{50039,1}</v>
      </c>
      <c r="BF330" s="23" t="str">
        <f ca="1" t="shared" si="75"/>
        <v>{2,600}</v>
      </c>
      <c r="BI330" s="23" t="str">
        <f ca="1" t="shared" si="76"/>
        <v>[{20101,1},{35,1},{50006,15},{5153001,150},{2,240}]</v>
      </c>
      <c r="BJ330" s="23" t="str">
        <f ca="1" t="shared" si="77"/>
        <v>[{5133001,200},{5303001,15},{50008,25},{9,1},{2,360},{5204001,5}]</v>
      </c>
      <c r="BK330" s="23" t="str">
        <f ca="1" t="shared" si="78"/>
        <v>[{5205001,3},{1,150},{5303001,20},{5153001,300},{50039,1},{2,600}]</v>
      </c>
      <c r="BL330" s="23">
        <f ca="1">5-COUNTBLANK(AO330:AR330)</f>
        <v>5</v>
      </c>
      <c r="BM330" s="23">
        <f ca="1" t="shared" si="80"/>
        <v>6</v>
      </c>
      <c r="BN330" s="23">
        <f ca="1" t="shared" si="82"/>
        <v>6</v>
      </c>
      <c r="BP330" s="71" t="s">
        <v>374</v>
      </c>
      <c r="BQ330" s="71">
        <v>150</v>
      </c>
    </row>
    <row r="331" ht="16.5" spans="2:69">
      <c r="B331" s="23">
        <v>11</v>
      </c>
      <c r="C331" s="12"/>
      <c r="D331" s="71"/>
      <c r="E331" s="71"/>
      <c r="F331" s="71"/>
      <c r="G331" s="71" t="str">
        <f t="shared" si="84"/>
        <v>鞋子图纸</v>
      </c>
      <c r="H331" s="71">
        <v>15</v>
      </c>
      <c r="I331" s="71" t="str">
        <f t="shared" ref="I331:I394" si="89">I325</f>
        <v>射手特饮</v>
      </c>
      <c r="J331" s="71">
        <v>150</v>
      </c>
      <c r="K331" s="71" t="s">
        <v>96</v>
      </c>
      <c r="L331" s="71">
        <v>240</v>
      </c>
      <c r="M331" s="12" t="s">
        <v>387</v>
      </c>
      <c r="N331" s="71">
        <f t="shared" si="85"/>
        <v>200</v>
      </c>
      <c r="O331" s="71"/>
      <c r="P331" s="71"/>
      <c r="Q331" s="71" t="s">
        <v>149</v>
      </c>
      <c r="R331" s="71">
        <v>15</v>
      </c>
      <c r="S331" s="72" t="str">
        <f t="shared" si="86"/>
        <v>头盔图纸</v>
      </c>
      <c r="T331" s="71">
        <v>25</v>
      </c>
      <c r="U331" s="71" t="str">
        <f t="shared" si="87"/>
        <v/>
      </c>
      <c r="V331" s="71">
        <f t="shared" si="88"/>
        <v>0</v>
      </c>
      <c r="W331" s="71" t="s">
        <v>96</v>
      </c>
      <c r="X331" s="71">
        <f t="shared" si="60"/>
        <v>360</v>
      </c>
      <c r="Y331" s="71"/>
      <c r="Z331" s="71"/>
      <c r="AA331" s="71" t="s">
        <v>109</v>
      </c>
      <c r="AB331" s="71">
        <v>30</v>
      </c>
      <c r="AC331" s="71" t="s">
        <v>374</v>
      </c>
      <c r="AD331" s="71">
        <v>150</v>
      </c>
      <c r="AE331" s="72" t="str">
        <f t="shared" ref="AE331:AE394" si="90">AE325</f>
        <v>射手特饮</v>
      </c>
      <c r="AF331" s="71">
        <v>300</v>
      </c>
      <c r="AG331" s="71" t="s">
        <v>149</v>
      </c>
      <c r="AH331" s="71">
        <v>20</v>
      </c>
      <c r="AI331" s="71" t="s">
        <v>390</v>
      </c>
      <c r="AJ331" s="71">
        <v>1</v>
      </c>
      <c r="AK331" s="71" t="s">
        <v>96</v>
      </c>
      <c r="AL331" s="71">
        <f t="shared" si="61"/>
        <v>600</v>
      </c>
      <c r="AN331" s="23" t="str">
        <f ca="1" t="shared" ref="AN330:AN393" si="91">IF(OFFSET($B331,0,AN$320*2+1)="","","{"&amp;VLOOKUP(OFFSET($B331,0,AN$320*2+1),$AN$291:$AO$316,2,0)&amp;","&amp;OFFSET($B331,0,AN$320*2+2)&amp;"}")</f>
        <v>{11,5}</v>
      </c>
      <c r="AO331" s="23" t="str">
        <f ca="1" t="shared" si="83"/>
        <v/>
      </c>
      <c r="AP331" s="23" t="str">
        <f ca="1" t="shared" si="63"/>
        <v>{50007,15}</v>
      </c>
      <c r="AQ331" s="23" t="str">
        <f ca="1" t="shared" si="64"/>
        <v>{5133001,150}</v>
      </c>
      <c r="AR331" s="23" t="str">
        <f ca="1" t="shared" si="65"/>
        <v>{2,240}</v>
      </c>
      <c r="AS331" s="23" t="str">
        <f ca="1" t="shared" si="66"/>
        <v>{5163001,200}</v>
      </c>
      <c r="AU331" s="23" t="str">
        <f ca="1" t="shared" si="81"/>
        <v>{5303001,15}</v>
      </c>
      <c r="AV331" s="23" t="str">
        <f ca="1" t="shared" si="67"/>
        <v>{50003,25}</v>
      </c>
      <c r="AW331" s="23" t="str">
        <f ca="1" t="shared" si="68"/>
        <v/>
      </c>
      <c r="AX331" s="23" t="str">
        <f ca="1" t="shared" si="69"/>
        <v>{2,360}</v>
      </c>
      <c r="AY331" s="23" t="str">
        <f ca="1" t="shared" si="70"/>
        <v>{5204001,5}</v>
      </c>
      <c r="AZ331" s="23" t="str">
        <f ca="1" t="shared" si="71"/>
        <v>{5203001,30}</v>
      </c>
      <c r="BA331" s="23" t="str">
        <f ca="1" t="shared" si="72"/>
        <v>{1,150}</v>
      </c>
      <c r="BC331" s="23" t="str">
        <f ca="1" t="shared" si="73"/>
        <v>{5133001,300}</v>
      </c>
      <c r="BD331" s="23" t="str">
        <f ca="1" t="shared" ref="BD331:BD394" si="92">IF(OFFSET($B331,0,BD$320*2+1)="","","{"&amp;VLOOKUP(OFFSET($B331,0,BD$320*2+1),$AN$291:$AO$314,2,0)&amp;","&amp;OFFSET($B331,0,BD$320*2+2)&amp;"}")</f>
        <v>{5303001,20}</v>
      </c>
      <c r="BE331" s="23" t="str">
        <f ca="1">IF(OFFSET($B331,0,BE$320*2+1)="","","{"&amp;VLOOKUP(OFFSET($B331,0,BE$320*2+1),$AN$291:$AO$316,2,0)&amp;","&amp;OFFSET($B331,0,BE$320*2+2)&amp;"}")</f>
        <v>{50039,1}</v>
      </c>
      <c r="BF331" s="23" t="str">
        <f ca="1" t="shared" si="75"/>
        <v>{2,600}</v>
      </c>
      <c r="BI331" s="23" t="str">
        <f ca="1" t="shared" si="76"/>
        <v>[{11,5},{50007,15},{5133001,150},{2,240}]</v>
      </c>
      <c r="BJ331" s="23" t="str">
        <f ca="1" t="shared" si="77"/>
        <v>[{5163001,200},{5303001,15},{50003,25},{2,360},{5204001,5}]</v>
      </c>
      <c r="BK331" s="23" t="str">
        <f ca="1" t="shared" si="78"/>
        <v>[{5203001,30},{1,150},{5133001,300},{5303001,20},{50039,1},{2,600}]</v>
      </c>
      <c r="BL331" s="23">
        <f ca="1" t="shared" si="79"/>
        <v>4</v>
      </c>
      <c r="BM331" s="23">
        <f ca="1" t="shared" si="80"/>
        <v>5</v>
      </c>
      <c r="BN331" s="23">
        <f ca="1" t="shared" si="82"/>
        <v>6</v>
      </c>
      <c r="BP331" s="71" t="s">
        <v>374</v>
      </c>
      <c r="BQ331" s="71">
        <v>150</v>
      </c>
    </row>
    <row r="332" ht="16.5" spans="2:69">
      <c r="B332" s="23">
        <v>12</v>
      </c>
      <c r="C332" s="12"/>
      <c r="D332" s="71"/>
      <c r="E332" s="71"/>
      <c r="F332" s="71"/>
      <c r="G332" s="71" t="str">
        <f t="shared" si="84"/>
        <v>手套图纸</v>
      </c>
      <c r="H332" s="71">
        <v>15</v>
      </c>
      <c r="I332" s="71" t="str">
        <f t="shared" si="89"/>
        <v>法师特饮</v>
      </c>
      <c r="J332" s="71">
        <v>150</v>
      </c>
      <c r="K332" s="71" t="s">
        <v>96</v>
      </c>
      <c r="L332" s="71">
        <v>240</v>
      </c>
      <c r="M332" s="12" t="s">
        <v>388</v>
      </c>
      <c r="N332" s="71">
        <f t="shared" si="85"/>
        <v>200</v>
      </c>
      <c r="O332" s="71"/>
      <c r="P332" s="71"/>
      <c r="Q332" s="71" t="s">
        <v>149</v>
      </c>
      <c r="R332" s="71">
        <v>15</v>
      </c>
      <c r="S332" s="72" t="str">
        <f t="shared" si="86"/>
        <v>衣服图纸</v>
      </c>
      <c r="T332" s="71">
        <v>25</v>
      </c>
      <c r="U332" s="71" t="str">
        <f t="shared" si="87"/>
        <v/>
      </c>
      <c r="V332" s="71">
        <f t="shared" si="88"/>
        <v>0</v>
      </c>
      <c r="W332" s="71" t="s">
        <v>96</v>
      </c>
      <c r="X332" s="71">
        <f t="shared" si="60"/>
        <v>360</v>
      </c>
      <c r="Y332" s="71"/>
      <c r="Z332" s="71"/>
      <c r="AA332" s="71" t="s">
        <v>109</v>
      </c>
      <c r="AB332" s="71">
        <v>30</v>
      </c>
      <c r="AC332" s="71" t="s">
        <v>374</v>
      </c>
      <c r="AD332" s="71">
        <v>150</v>
      </c>
      <c r="AE332" s="72" t="str">
        <f t="shared" si="90"/>
        <v>战士特饮</v>
      </c>
      <c r="AF332" s="71">
        <v>300</v>
      </c>
      <c r="AG332" s="71" t="s">
        <v>149</v>
      </c>
      <c r="AH332" s="71">
        <v>20</v>
      </c>
      <c r="AI332" s="71" t="s">
        <v>390</v>
      </c>
      <c r="AJ332" s="71">
        <v>1</v>
      </c>
      <c r="AK332" s="71" t="s">
        <v>96</v>
      </c>
      <c r="AL332" s="71">
        <f t="shared" si="61"/>
        <v>600</v>
      </c>
      <c r="AN332" s="23" t="str">
        <f ca="1" t="shared" si="91"/>
        <v>{11,5}</v>
      </c>
      <c r="AO332" s="23" t="str">
        <f ca="1" t="shared" si="83"/>
        <v/>
      </c>
      <c r="AP332" s="23" t="str">
        <f ca="1" t="shared" si="63"/>
        <v>{50008,15}</v>
      </c>
      <c r="AQ332" s="23" t="str">
        <f ca="1" t="shared" si="64"/>
        <v>{5123001,150}</v>
      </c>
      <c r="AR332" s="23" t="str">
        <f ca="1" t="shared" si="65"/>
        <v>{2,240}</v>
      </c>
      <c r="AS332" s="23" t="str">
        <f ca="1" t="shared" si="66"/>
        <v>{5153001,200}</v>
      </c>
      <c r="AU332" s="23" t="str">
        <f ca="1" t="shared" si="81"/>
        <v>{5303001,15}</v>
      </c>
      <c r="AV332" s="23" t="str">
        <f ca="1" t="shared" si="67"/>
        <v>{50004,25}</v>
      </c>
      <c r="AW332" s="23" t="str">
        <f ca="1" t="shared" si="68"/>
        <v/>
      </c>
      <c r="AX332" s="23" t="str">
        <f ca="1" t="shared" si="69"/>
        <v>{2,360}</v>
      </c>
      <c r="AY332" s="23" t="str">
        <f ca="1" t="shared" si="70"/>
        <v>{5204001,5}</v>
      </c>
      <c r="AZ332" s="23" t="str">
        <f ca="1" t="shared" si="71"/>
        <v>{5203001,30}</v>
      </c>
      <c r="BA332" s="23" t="str">
        <f ca="1" t="shared" si="72"/>
        <v>{1,150}</v>
      </c>
      <c r="BC332" s="23" t="str">
        <f ca="1" t="shared" si="73"/>
        <v>{5113001,300}</v>
      </c>
      <c r="BD332" s="23" t="str">
        <f ca="1" t="shared" si="92"/>
        <v>{5303001,20}</v>
      </c>
      <c r="BE332" s="23" t="str">
        <f ca="1">IF(OFFSET($B332,0,BE$320*2+1)="","","{"&amp;VLOOKUP(OFFSET($B332,0,BE$320*2+1),$AN$291:$AO$316,2,0)&amp;","&amp;OFFSET($B332,0,BE$320*2+2)&amp;"}")</f>
        <v>{50039,1}</v>
      </c>
      <c r="BF332" s="23" t="str">
        <f ca="1" t="shared" si="75"/>
        <v>{2,600}</v>
      </c>
      <c r="BI332" s="23" t="str">
        <f ca="1" t="shared" si="76"/>
        <v>[{11,5},{50008,15},{5123001,150},{2,240}]</v>
      </c>
      <c r="BJ332" s="23" t="str">
        <f ca="1" t="shared" si="77"/>
        <v>[{5153001,200},{5303001,15},{50004,25},{2,360},{5204001,5}]</v>
      </c>
      <c r="BK332" s="23" t="str">
        <f ca="1" t="shared" si="78"/>
        <v>[{5203001,30},{1,150},{5113001,300},{5303001,20},{50039,1},{2,600}]</v>
      </c>
      <c r="BL332" s="23">
        <f ca="1" t="shared" si="79"/>
        <v>4</v>
      </c>
      <c r="BM332" s="23">
        <f ca="1" t="shared" si="80"/>
        <v>5</v>
      </c>
      <c r="BN332" s="23">
        <f ca="1" t="shared" si="82"/>
        <v>6</v>
      </c>
      <c r="BP332" s="71" t="s">
        <v>374</v>
      </c>
      <c r="BQ332" s="71">
        <v>150</v>
      </c>
    </row>
    <row r="333" ht="16.5" spans="2:69">
      <c r="B333" s="23">
        <v>13</v>
      </c>
      <c r="C333" s="12"/>
      <c r="D333" s="71"/>
      <c r="E333" s="71"/>
      <c r="F333" s="71"/>
      <c r="G333" s="71" t="str">
        <f t="shared" si="84"/>
        <v>头盔图纸</v>
      </c>
      <c r="H333" s="71">
        <v>15</v>
      </c>
      <c r="I333" s="71" t="str">
        <f t="shared" si="89"/>
        <v>辅助特饮</v>
      </c>
      <c r="J333" s="71">
        <v>200</v>
      </c>
      <c r="K333" s="71" t="s">
        <v>96</v>
      </c>
      <c r="L333" s="71">
        <v>240</v>
      </c>
      <c r="M333" s="71" t="str">
        <f t="shared" ref="M333:M396" si="93">M327</f>
        <v>战士特饮</v>
      </c>
      <c r="N333" s="71">
        <f t="shared" ref="N333:N338" si="94">N327+50</f>
        <v>250</v>
      </c>
      <c r="O333" s="71"/>
      <c r="P333" s="71"/>
      <c r="Q333" s="71" t="s">
        <v>149</v>
      </c>
      <c r="R333" s="71">
        <v>15</v>
      </c>
      <c r="S333" s="72" t="str">
        <f t="shared" si="86"/>
        <v>护臂图纸</v>
      </c>
      <c r="T333" s="71">
        <v>25</v>
      </c>
      <c r="U333" s="71" t="str">
        <f t="shared" si="87"/>
        <v/>
      </c>
      <c r="V333" s="71">
        <f t="shared" si="88"/>
        <v>0</v>
      </c>
      <c r="W333" s="71" t="s">
        <v>96</v>
      </c>
      <c r="X333" s="71">
        <f t="shared" si="60"/>
        <v>360</v>
      </c>
      <c r="Y333" s="71"/>
      <c r="Z333" s="71"/>
      <c r="AA333" s="71" t="s">
        <v>109</v>
      </c>
      <c r="AB333" s="71">
        <v>30</v>
      </c>
      <c r="AC333" s="71" t="s">
        <v>374</v>
      </c>
      <c r="AD333" s="71">
        <v>150</v>
      </c>
      <c r="AE333" s="72" t="str">
        <f t="shared" si="90"/>
        <v>法师特饮</v>
      </c>
      <c r="AF333" s="71">
        <v>300</v>
      </c>
      <c r="AG333" s="71" t="s">
        <v>149</v>
      </c>
      <c r="AH333" s="71">
        <v>20</v>
      </c>
      <c r="AI333" s="71" t="s">
        <v>390</v>
      </c>
      <c r="AJ333" s="71">
        <v>1</v>
      </c>
      <c r="AK333" s="71" t="s">
        <v>96</v>
      </c>
      <c r="AL333" s="71">
        <f t="shared" si="61"/>
        <v>600</v>
      </c>
      <c r="AN333" s="23" t="str">
        <f ca="1" t="shared" si="91"/>
        <v>{11,5}</v>
      </c>
      <c r="AO333" s="23" t="str">
        <f ca="1" t="shared" si="83"/>
        <v/>
      </c>
      <c r="AP333" s="23" t="str">
        <f ca="1" t="shared" si="63"/>
        <v>{50003,15}</v>
      </c>
      <c r="AQ333" s="23" t="str">
        <f ca="1" t="shared" si="64"/>
        <v>{5143001,200}</v>
      </c>
      <c r="AR333" s="23" t="str">
        <f ca="1" t="shared" si="65"/>
        <v>{2,240}</v>
      </c>
      <c r="AS333" s="23" t="str">
        <f ca="1" t="shared" si="66"/>
        <v>{5113001,250}</v>
      </c>
      <c r="AU333" s="23" t="str">
        <f ca="1" t="shared" si="81"/>
        <v>{5303001,15}</v>
      </c>
      <c r="AV333" s="23" t="str">
        <f ca="1" t="shared" si="67"/>
        <v>{50005,25}</v>
      </c>
      <c r="AW333" s="23" t="str">
        <f ca="1" t="shared" si="68"/>
        <v/>
      </c>
      <c r="AX333" s="23" t="str">
        <f ca="1" t="shared" si="69"/>
        <v>{2,360}</v>
      </c>
      <c r="AY333" s="23" t="str">
        <f ca="1" t="shared" si="70"/>
        <v>{5204001,5}</v>
      </c>
      <c r="AZ333" s="23" t="str">
        <f ca="1" t="shared" si="71"/>
        <v>{5203001,30}</v>
      </c>
      <c r="BA333" s="23" t="str">
        <f ca="1" t="shared" si="72"/>
        <v>{1,150}</v>
      </c>
      <c r="BC333" s="23" t="str">
        <f ca="1" t="shared" si="73"/>
        <v>{5123001,300}</v>
      </c>
      <c r="BD333" s="23" t="str">
        <f ca="1" t="shared" si="92"/>
        <v>{5303001,20}</v>
      </c>
      <c r="BE333" s="23" t="str">
        <f ca="1">IF(OFFSET($B333,0,BE$320*2+1)="","","{"&amp;VLOOKUP(OFFSET($B333,0,BE$320*2+1),$AN$291:$AO$316,2,0)&amp;","&amp;OFFSET($B333,0,BE$320*2+2)&amp;"}")</f>
        <v>{50039,1}</v>
      </c>
      <c r="BF333" s="23" t="str">
        <f ca="1" t="shared" si="75"/>
        <v>{2,600}</v>
      </c>
      <c r="BI333" s="23" t="str">
        <f ca="1" t="shared" si="76"/>
        <v>[{11,5},{50003,15},{5143001,200},{2,240}]</v>
      </c>
      <c r="BJ333" s="23" t="str">
        <f ca="1" t="shared" si="77"/>
        <v>[{5113001,250},{5303001,15},{50005,25},{2,360},{5204001,5}]</v>
      </c>
      <c r="BK333" s="23" t="str">
        <f ca="1" t="shared" si="78"/>
        <v>[{5203001,30},{1,150},{5123001,300},{5303001,20},{50039,1},{2,600}]</v>
      </c>
      <c r="BL333" s="23">
        <f ca="1" t="shared" si="79"/>
        <v>4</v>
      </c>
      <c r="BM333" s="23">
        <f ca="1" t="shared" si="80"/>
        <v>5</v>
      </c>
      <c r="BN333" s="23">
        <f ca="1" t="shared" si="82"/>
        <v>6</v>
      </c>
      <c r="BP333" s="71" t="s">
        <v>374</v>
      </c>
      <c r="BQ333" s="71">
        <v>150</v>
      </c>
    </row>
    <row r="334" ht="16.5" spans="2:69">
      <c r="B334" s="23">
        <v>14</v>
      </c>
      <c r="C334" s="12"/>
      <c r="D334" s="71"/>
      <c r="E334" s="71"/>
      <c r="F334" s="71"/>
      <c r="G334" s="71" t="str">
        <f t="shared" si="84"/>
        <v>衣服图纸</v>
      </c>
      <c r="H334" s="71">
        <v>15</v>
      </c>
      <c r="I334" s="71" t="str">
        <f t="shared" si="89"/>
        <v>战士特饮</v>
      </c>
      <c r="J334" s="71">
        <v>200</v>
      </c>
      <c r="K334" s="71" t="s">
        <v>96</v>
      </c>
      <c r="L334" s="71">
        <v>240</v>
      </c>
      <c r="M334" s="71" t="str">
        <f t="shared" si="93"/>
        <v>法师特饮</v>
      </c>
      <c r="N334" s="71">
        <f t="shared" si="94"/>
        <v>250</v>
      </c>
      <c r="O334" s="71"/>
      <c r="P334" s="71"/>
      <c r="Q334" s="71" t="s">
        <v>149</v>
      </c>
      <c r="R334" s="71">
        <v>15</v>
      </c>
      <c r="S334" s="72" t="str">
        <f t="shared" si="86"/>
        <v>裤子图纸</v>
      </c>
      <c r="T334" s="71">
        <v>25</v>
      </c>
      <c r="U334" s="71" t="str">
        <f t="shared" si="87"/>
        <v/>
      </c>
      <c r="V334" s="71">
        <f t="shared" si="88"/>
        <v>0</v>
      </c>
      <c r="W334" s="71" t="s">
        <v>96</v>
      </c>
      <c r="X334" s="71">
        <f t="shared" si="60"/>
        <v>360</v>
      </c>
      <c r="Y334" s="71"/>
      <c r="Z334" s="71"/>
      <c r="AA334" s="71" t="s">
        <v>109</v>
      </c>
      <c r="AB334" s="71">
        <v>30</v>
      </c>
      <c r="AC334" s="71" t="s">
        <v>374</v>
      </c>
      <c r="AD334" s="71">
        <v>150</v>
      </c>
      <c r="AE334" s="72" t="str">
        <f t="shared" si="90"/>
        <v>辅助特饮</v>
      </c>
      <c r="AF334" s="71">
        <v>300</v>
      </c>
      <c r="AG334" s="71" t="s">
        <v>149</v>
      </c>
      <c r="AH334" s="71">
        <v>20</v>
      </c>
      <c r="AI334" s="71" t="s">
        <v>390</v>
      </c>
      <c r="AJ334" s="71">
        <v>1</v>
      </c>
      <c r="AK334" s="71" t="s">
        <v>96</v>
      </c>
      <c r="AL334" s="71">
        <f t="shared" si="61"/>
        <v>600</v>
      </c>
      <c r="AN334" s="23" t="str">
        <f ca="1" t="shared" si="91"/>
        <v>{11,5}</v>
      </c>
      <c r="AO334" s="23" t="str">
        <f ca="1" t="shared" si="83"/>
        <v/>
      </c>
      <c r="AP334" s="23" t="str">
        <f ca="1" t="shared" si="63"/>
        <v>{50004,15}</v>
      </c>
      <c r="AQ334" s="23" t="str">
        <f ca="1" t="shared" si="64"/>
        <v>{5113001,200}</v>
      </c>
      <c r="AR334" s="23" t="str">
        <f ca="1" t="shared" si="65"/>
        <v>{2,240}</v>
      </c>
      <c r="AS334" s="23" t="str">
        <f ca="1" t="shared" si="66"/>
        <v>{5123001,250}</v>
      </c>
      <c r="AU334" s="23" t="str">
        <f ca="1" t="shared" si="81"/>
        <v>{5303001,15}</v>
      </c>
      <c r="AV334" s="23" t="str">
        <f ca="1" t="shared" si="67"/>
        <v>{50006,25}</v>
      </c>
      <c r="AW334" s="23" t="str">
        <f ca="1" t="shared" si="68"/>
        <v/>
      </c>
      <c r="AX334" s="23" t="str">
        <f ca="1" t="shared" si="69"/>
        <v>{2,360}</v>
      </c>
      <c r="AY334" s="23" t="str">
        <f ca="1" t="shared" si="70"/>
        <v>{5204001,5}</v>
      </c>
      <c r="AZ334" s="23" t="str">
        <f ca="1" t="shared" si="71"/>
        <v>{5203001,30}</v>
      </c>
      <c r="BA334" s="23" t="str">
        <f ca="1" t="shared" si="72"/>
        <v>{1,150}</v>
      </c>
      <c r="BC334" s="23" t="str">
        <f ca="1" t="shared" si="73"/>
        <v>{5143001,300}</v>
      </c>
      <c r="BD334" s="23" t="str">
        <f ca="1" t="shared" si="92"/>
        <v>{5303001,20}</v>
      </c>
      <c r="BE334" s="23" t="str">
        <f ca="1">IF(OFFSET($B334,0,BE$320*2+1)="","","{"&amp;VLOOKUP(OFFSET($B334,0,BE$320*2+1),$AN$291:$AO$316,2,0)&amp;","&amp;OFFSET($B334,0,BE$320*2+2)&amp;"}")</f>
        <v>{50039,1}</v>
      </c>
      <c r="BF334" s="23" t="str">
        <f ca="1" t="shared" si="75"/>
        <v>{2,600}</v>
      </c>
      <c r="BI334" s="23" t="str">
        <f ca="1" t="shared" si="76"/>
        <v>[{11,5},{50004,15},{5113001,200},{2,240}]</v>
      </c>
      <c r="BJ334" s="23" t="str">
        <f ca="1" t="shared" si="77"/>
        <v>[{5123001,250},{5303001,15},{50006,25},{2,360},{5204001,5}]</v>
      </c>
      <c r="BK334" s="23" t="str">
        <f ca="1" t="shared" si="78"/>
        <v>[{5203001,30},{1,150},{5143001,300},{5303001,20},{50039,1},{2,600}]</v>
      </c>
      <c r="BL334" s="23">
        <f ca="1" t="shared" si="79"/>
        <v>4</v>
      </c>
      <c r="BM334" s="23">
        <f ca="1" t="shared" si="80"/>
        <v>5</v>
      </c>
      <c r="BN334" s="23">
        <f ca="1" t="shared" si="82"/>
        <v>6</v>
      </c>
      <c r="BP334" s="71" t="s">
        <v>374</v>
      </c>
      <c r="BQ334" s="71">
        <v>150</v>
      </c>
    </row>
    <row r="335" s="69" customFormat="1" ht="16.5" spans="2:69">
      <c r="B335" s="26">
        <v>15</v>
      </c>
      <c r="C335" s="75" t="s">
        <v>240</v>
      </c>
      <c r="D335" s="76">
        <v>1</v>
      </c>
      <c r="E335" s="76"/>
      <c r="F335" s="76"/>
      <c r="G335" s="76" t="str">
        <f t="shared" si="84"/>
        <v>护臂图纸</v>
      </c>
      <c r="H335" s="76">
        <v>15</v>
      </c>
      <c r="I335" s="76" t="str">
        <f t="shared" si="89"/>
        <v>毒系特饮</v>
      </c>
      <c r="J335" s="76">
        <v>200</v>
      </c>
      <c r="K335" s="76" t="s">
        <v>96</v>
      </c>
      <c r="L335" s="71">
        <v>240</v>
      </c>
      <c r="M335" s="76" t="str">
        <f t="shared" si="93"/>
        <v>辅助特饮</v>
      </c>
      <c r="N335" s="76">
        <f t="shared" si="94"/>
        <v>250</v>
      </c>
      <c r="O335" s="76" t="s">
        <v>316</v>
      </c>
      <c r="P335" s="76">
        <v>200</v>
      </c>
      <c r="Q335" s="76" t="s">
        <v>149</v>
      </c>
      <c r="R335" s="76">
        <v>15</v>
      </c>
      <c r="S335" s="77" t="str">
        <f t="shared" si="86"/>
        <v>鞋子图纸</v>
      </c>
      <c r="T335" s="76">
        <v>25</v>
      </c>
      <c r="U335" s="76" t="str">
        <f t="shared" si="87"/>
        <v>灵感获取令</v>
      </c>
      <c r="V335" s="76">
        <f t="shared" si="88"/>
        <v>1</v>
      </c>
      <c r="W335" s="76" t="s">
        <v>96</v>
      </c>
      <c r="X335" s="76">
        <f t="shared" si="60"/>
        <v>360</v>
      </c>
      <c r="Y335" s="71"/>
      <c r="Z335" s="71"/>
      <c r="AA335" s="76" t="str">
        <f t="shared" ref="AA335:AA398" si="95">IF(AA330="","",AA330)</f>
        <v>传说基因罐</v>
      </c>
      <c r="AB335" s="76">
        <f t="shared" ref="AB335:AB344" si="96">IF(AB330="","",AB330)</f>
        <v>3</v>
      </c>
      <c r="AC335" s="76" t="s">
        <v>374</v>
      </c>
      <c r="AD335" s="76">
        <v>150</v>
      </c>
      <c r="AE335" s="77" t="str">
        <f t="shared" si="90"/>
        <v>毒系特饮</v>
      </c>
      <c r="AF335" s="76">
        <v>300</v>
      </c>
      <c r="AG335" s="76" t="s">
        <v>149</v>
      </c>
      <c r="AH335" s="76">
        <v>20</v>
      </c>
      <c r="AI335" s="76" t="s">
        <v>390</v>
      </c>
      <c r="AJ335" s="76">
        <v>1</v>
      </c>
      <c r="AK335" s="76" t="s">
        <v>96</v>
      </c>
      <c r="AL335" s="76">
        <f t="shared" si="61"/>
        <v>600</v>
      </c>
      <c r="AN335" s="26" t="str">
        <f ca="1" t="shared" si="91"/>
        <v>{35,1}</v>
      </c>
      <c r="AO335" s="26" t="str">
        <f ca="1" t="shared" si="83"/>
        <v/>
      </c>
      <c r="AP335" s="26" t="str">
        <f ca="1" t="shared" si="63"/>
        <v>{50005,15}</v>
      </c>
      <c r="AQ335" s="26" t="str">
        <f ca="1" t="shared" si="64"/>
        <v>{5163001,200}</v>
      </c>
      <c r="AR335" s="26" t="str">
        <f ca="1" t="shared" si="65"/>
        <v>{2,240}</v>
      </c>
      <c r="AS335" s="26" t="str">
        <f ca="1" t="shared" si="66"/>
        <v>{5143001,250}</v>
      </c>
      <c r="AT335" s="23" t="str">
        <f ca="1" t="shared" ref="AT335:AT398" si="97">IF(OFFSET($B335,0,AT$320*2+1)="","","{"&amp;VLOOKUP(OFFSET($B335,0,AT$320*2+1),$AN$291:$AO$317,2,0)&amp;","&amp;OFFSET($B335,0,AT$320*2+2)&amp;"}")</f>
        <v>{5523001,200}</v>
      </c>
      <c r="AU335" s="26" t="str">
        <f ca="1" t="shared" si="81"/>
        <v>{5303001,15}</v>
      </c>
      <c r="AV335" s="26" t="str">
        <f ca="1" t="shared" si="67"/>
        <v>{50007,25}</v>
      </c>
      <c r="AW335" s="26" t="str">
        <f ca="1" t="shared" si="68"/>
        <v>{9,1}</v>
      </c>
      <c r="AX335" s="26" t="str">
        <f ca="1" t="shared" si="69"/>
        <v>{2,360}</v>
      </c>
      <c r="AY335" s="26" t="str">
        <f ca="1" t="shared" si="70"/>
        <v>{5204001,5}</v>
      </c>
      <c r="AZ335" s="26" t="str">
        <f ca="1" t="shared" si="71"/>
        <v>{5205001,3}</v>
      </c>
      <c r="BA335" s="26" t="str">
        <f ca="1" t="shared" si="72"/>
        <v>{1,150}</v>
      </c>
      <c r="BB335" s="23" t="s">
        <v>401</v>
      </c>
      <c r="BC335" s="26" t="str">
        <f ca="1" t="shared" si="73"/>
        <v>{5163001,300}</v>
      </c>
      <c r="BD335" s="26" t="str">
        <f ca="1" t="shared" si="92"/>
        <v>{5303001,20}</v>
      </c>
      <c r="BF335" s="26" t="str">
        <f ca="1" t="shared" si="75"/>
        <v>{2,600}</v>
      </c>
      <c r="BI335" s="26" t="str">
        <f ca="1" t="shared" si="76"/>
        <v>[{35,1},{50005,15},{5163001,200},{2,240}]</v>
      </c>
      <c r="BJ335" s="26" t="str">
        <f ca="1" t="shared" si="77"/>
        <v>[{5143001,250},{5523001,200},{5303001,15},{50007,25},{9,1},{2,360},{5204001,5}]</v>
      </c>
      <c r="BK335" s="26" t="str">
        <f ca="1" t="shared" si="78"/>
        <v>[{5205001,3},{1,150},{5523001,300},{5163001,300},{5303001,20},{2,600}]</v>
      </c>
      <c r="BL335" s="26">
        <f ca="1" t="shared" si="79"/>
        <v>4</v>
      </c>
      <c r="BM335" s="26">
        <f ca="1" t="shared" si="80"/>
        <v>7</v>
      </c>
      <c r="BN335" s="26">
        <f ca="1" t="shared" si="82"/>
        <v>6</v>
      </c>
      <c r="BP335" s="76" t="s">
        <v>374</v>
      </c>
      <c r="BQ335" s="76">
        <v>150</v>
      </c>
    </row>
    <row r="336" ht="16.5" spans="2:69">
      <c r="B336" s="23">
        <v>16</v>
      </c>
      <c r="C336" s="12"/>
      <c r="D336" s="71"/>
      <c r="E336" s="71"/>
      <c r="F336" s="71" t="s">
        <v>402</v>
      </c>
      <c r="G336" s="71" t="str">
        <f t="shared" si="84"/>
        <v>裤子图纸</v>
      </c>
      <c r="H336" s="71">
        <v>15</v>
      </c>
      <c r="I336" s="71" t="str">
        <f t="shared" si="89"/>
        <v>控制特饮</v>
      </c>
      <c r="J336" s="71">
        <v>200</v>
      </c>
      <c r="K336" s="71" t="s">
        <v>96</v>
      </c>
      <c r="L336" s="71">
        <v>240</v>
      </c>
      <c r="M336" s="71" t="str">
        <f t="shared" si="93"/>
        <v>射手特饮</v>
      </c>
      <c r="N336" s="71">
        <f t="shared" si="94"/>
        <v>250</v>
      </c>
      <c r="O336" s="76" t="s">
        <v>316</v>
      </c>
      <c r="P336" s="76">
        <v>200</v>
      </c>
      <c r="Q336" s="71" t="s">
        <v>149</v>
      </c>
      <c r="R336" s="71">
        <v>15</v>
      </c>
      <c r="S336" s="72" t="str">
        <f t="shared" si="86"/>
        <v>手套图纸</v>
      </c>
      <c r="T336" s="71">
        <v>25</v>
      </c>
      <c r="U336" s="71" t="str">
        <f t="shared" si="87"/>
        <v/>
      </c>
      <c r="V336" s="71">
        <f t="shared" si="88"/>
        <v>0</v>
      </c>
      <c r="W336" s="71" t="s">
        <v>96</v>
      </c>
      <c r="X336" s="71">
        <f t="shared" si="60"/>
        <v>360</v>
      </c>
      <c r="Y336" s="71"/>
      <c r="Z336" s="71"/>
      <c r="AA336" s="71" t="str">
        <f t="shared" si="95"/>
        <v>基因罐</v>
      </c>
      <c r="AB336" s="71">
        <f t="shared" si="96"/>
        <v>30</v>
      </c>
      <c r="AC336" s="71" t="s">
        <v>374</v>
      </c>
      <c r="AD336" s="71">
        <v>150</v>
      </c>
      <c r="AE336" s="72" t="str">
        <f t="shared" si="90"/>
        <v>控制特饮</v>
      </c>
      <c r="AF336" s="71">
        <v>300</v>
      </c>
      <c r="AG336" s="71" t="s">
        <v>149</v>
      </c>
      <c r="AH336" s="71">
        <v>20</v>
      </c>
      <c r="AI336" s="71" t="s">
        <v>390</v>
      </c>
      <c r="AJ336" s="71">
        <v>1</v>
      </c>
      <c r="AK336" s="71" t="s">
        <v>96</v>
      </c>
      <c r="AL336" s="71">
        <f t="shared" si="61"/>
        <v>600</v>
      </c>
      <c r="AN336" s="23" t="str">
        <f ca="1" t="shared" si="91"/>
        <v>{11,5}</v>
      </c>
      <c r="AO336" s="23" t="str">
        <f ca="1" t="shared" si="83"/>
        <v/>
      </c>
      <c r="AP336" s="23" t="str">
        <f ca="1" t="shared" si="63"/>
        <v>{50006,15}</v>
      </c>
      <c r="AQ336" s="23" t="str">
        <f ca="1" t="shared" si="64"/>
        <v>{5153001,200}</v>
      </c>
      <c r="AR336" s="23" t="str">
        <f ca="1" t="shared" si="65"/>
        <v>{2,240}</v>
      </c>
      <c r="AS336" s="23" t="str">
        <f ca="1" t="shared" si="66"/>
        <v>{5133001,250}</v>
      </c>
      <c r="AT336" s="23" t="str">
        <f ca="1" t="shared" si="97"/>
        <v>{5523001,200}</v>
      </c>
      <c r="AU336" s="23" t="str">
        <f ca="1" t="shared" si="81"/>
        <v>{5303001,15}</v>
      </c>
      <c r="AV336" s="23" t="str">
        <f ca="1" t="shared" si="67"/>
        <v>{50008,25}</v>
      </c>
      <c r="AW336" s="23" t="str">
        <f ca="1" t="shared" si="68"/>
        <v/>
      </c>
      <c r="AX336" s="23" t="str">
        <f ca="1" t="shared" si="69"/>
        <v>{2,360}</v>
      </c>
      <c r="AY336" s="23" t="str">
        <f ca="1" t="shared" si="70"/>
        <v>{5204001,5}</v>
      </c>
      <c r="AZ336" s="23" t="str">
        <f ca="1" t="shared" si="71"/>
        <v>{5203001,30}</v>
      </c>
      <c r="BA336" s="23" t="str">
        <f ca="1" t="shared" si="72"/>
        <v>{1,150}</v>
      </c>
      <c r="BB336" s="23" t="s">
        <v>401</v>
      </c>
      <c r="BC336" s="23" t="str">
        <f ca="1" t="shared" si="73"/>
        <v>{5153001,300}</v>
      </c>
      <c r="BD336" s="23" t="str">
        <f ca="1" t="shared" si="92"/>
        <v>{5303001,20}</v>
      </c>
      <c r="BE336" s="23" t="str">
        <f ca="1" t="shared" ref="BE336:BE399" si="98">IF(OFFSET($B336,0,BE$320*2+1)="","","{"&amp;VLOOKUP(OFFSET($B336,0,BE$320*2+1),$AN$291:$AO$316,2,0)&amp;","&amp;OFFSET($B336,0,BE$320*2+2)&amp;"}")</f>
        <v>{50039,1}</v>
      </c>
      <c r="BF336" s="23" t="str">
        <f ca="1" t="shared" si="75"/>
        <v>{2,600}</v>
      </c>
      <c r="BI336" s="23" t="str">
        <f ca="1" t="shared" si="76"/>
        <v>[{11,5},{50006,15},{5153001,200},{2,240}]</v>
      </c>
      <c r="BJ336" s="23" t="str">
        <f ca="1" t="shared" si="77"/>
        <v>[{5133001,250},{5523001,200},{5303001,15},{50008,25},{2,360},{5204001,5}]</v>
      </c>
      <c r="BK336" s="23" t="str">
        <f ca="1" t="shared" si="78"/>
        <v>[{5203001,30},{1,150},{5523001,300},{5153001,300},{5303001,20},{50039,1},{2,600}]</v>
      </c>
      <c r="BL336" s="23">
        <f ca="1" t="shared" si="79"/>
        <v>4</v>
      </c>
      <c r="BM336" s="23">
        <f ca="1" t="shared" si="80"/>
        <v>6</v>
      </c>
      <c r="BN336" s="23">
        <f ca="1" t="shared" si="82"/>
        <v>7</v>
      </c>
      <c r="BP336" s="71" t="s">
        <v>374</v>
      </c>
      <c r="BQ336" s="71">
        <v>150</v>
      </c>
    </row>
    <row r="337" ht="16.5" spans="2:69">
      <c r="B337" s="23">
        <v>17</v>
      </c>
      <c r="C337" s="12"/>
      <c r="D337" s="71"/>
      <c r="E337" s="71"/>
      <c r="F337" s="71"/>
      <c r="G337" s="71" t="str">
        <f t="shared" si="84"/>
        <v>鞋子图纸</v>
      </c>
      <c r="H337" s="71">
        <v>15</v>
      </c>
      <c r="I337" s="71" t="str">
        <f t="shared" si="89"/>
        <v>射手特饮</v>
      </c>
      <c r="J337" s="71">
        <v>200</v>
      </c>
      <c r="K337" s="71" t="s">
        <v>96</v>
      </c>
      <c r="L337" s="71">
        <v>240</v>
      </c>
      <c r="M337" s="71" t="str">
        <f t="shared" si="93"/>
        <v>毒系特饮</v>
      </c>
      <c r="N337" s="71">
        <f t="shared" si="94"/>
        <v>250</v>
      </c>
      <c r="O337" s="76" t="s">
        <v>316</v>
      </c>
      <c r="P337" s="76">
        <v>200</v>
      </c>
      <c r="Q337" s="71" t="s">
        <v>149</v>
      </c>
      <c r="R337" s="71">
        <v>15</v>
      </c>
      <c r="S337" s="72" t="str">
        <f t="shared" si="86"/>
        <v>头盔图纸</v>
      </c>
      <c r="T337" s="71">
        <v>25</v>
      </c>
      <c r="U337" s="71" t="str">
        <f t="shared" si="87"/>
        <v/>
      </c>
      <c r="V337" s="71">
        <f t="shared" si="88"/>
        <v>0</v>
      </c>
      <c r="W337" s="71" t="s">
        <v>96</v>
      </c>
      <c r="X337" s="71">
        <f t="shared" si="60"/>
        <v>360</v>
      </c>
      <c r="Y337" s="71"/>
      <c r="Z337" s="71"/>
      <c r="AA337" s="71" t="str">
        <f t="shared" si="95"/>
        <v>基因罐</v>
      </c>
      <c r="AB337" s="71">
        <f t="shared" si="96"/>
        <v>30</v>
      </c>
      <c r="AC337" s="71" t="s">
        <v>374</v>
      </c>
      <c r="AD337" s="71">
        <v>150</v>
      </c>
      <c r="AE337" s="72" t="str">
        <f t="shared" si="90"/>
        <v>射手特饮</v>
      </c>
      <c r="AF337" s="71">
        <v>300</v>
      </c>
      <c r="AG337" s="71" t="s">
        <v>149</v>
      </c>
      <c r="AH337" s="71">
        <v>20</v>
      </c>
      <c r="AI337" s="71" t="s">
        <v>390</v>
      </c>
      <c r="AJ337" s="71">
        <v>1</v>
      </c>
      <c r="AK337" s="71" t="s">
        <v>96</v>
      </c>
      <c r="AL337" s="71">
        <f t="shared" si="61"/>
        <v>600</v>
      </c>
      <c r="AN337" s="23" t="str">
        <f ca="1" t="shared" si="91"/>
        <v>{11,5}</v>
      </c>
      <c r="AO337" s="23" t="str">
        <f ca="1" t="shared" si="83"/>
        <v/>
      </c>
      <c r="AP337" s="23" t="str">
        <f ca="1" t="shared" si="63"/>
        <v>{50007,15}</v>
      </c>
      <c r="AQ337" s="23" t="str">
        <f ca="1" t="shared" si="64"/>
        <v>{5133001,200}</v>
      </c>
      <c r="AR337" s="23" t="str">
        <f ca="1" t="shared" si="65"/>
        <v>{2,240}</v>
      </c>
      <c r="AS337" s="23" t="str">
        <f ca="1" t="shared" si="66"/>
        <v>{5163001,250}</v>
      </c>
      <c r="AT337" s="23" t="str">
        <f ca="1" t="shared" si="97"/>
        <v>{5523001,200}</v>
      </c>
      <c r="AU337" s="23" t="str">
        <f ca="1" t="shared" si="81"/>
        <v>{5303001,15}</v>
      </c>
      <c r="AV337" s="23" t="str">
        <f ca="1" t="shared" si="67"/>
        <v>{50003,25}</v>
      </c>
      <c r="AW337" s="23" t="str">
        <f ca="1" t="shared" si="68"/>
        <v/>
      </c>
      <c r="AX337" s="23" t="str">
        <f ca="1" t="shared" si="69"/>
        <v>{2,360}</v>
      </c>
      <c r="AY337" s="23" t="str">
        <f ca="1" t="shared" si="70"/>
        <v>{5204001,5}</v>
      </c>
      <c r="AZ337" s="23" t="str">
        <f ca="1" t="shared" si="71"/>
        <v>{5203001,30}</v>
      </c>
      <c r="BA337" s="23" t="str">
        <f ca="1" t="shared" si="72"/>
        <v>{1,150}</v>
      </c>
      <c r="BB337" s="23" t="s">
        <v>401</v>
      </c>
      <c r="BC337" s="23" t="str">
        <f ca="1" t="shared" si="73"/>
        <v>{5133001,300}</v>
      </c>
      <c r="BD337" s="23" t="str">
        <f ca="1" t="shared" si="92"/>
        <v>{5303001,20}</v>
      </c>
      <c r="BE337" s="23" t="str">
        <f ca="1" t="shared" si="98"/>
        <v>{50039,1}</v>
      </c>
      <c r="BF337" s="23" t="str">
        <f ca="1" t="shared" si="75"/>
        <v>{2,600}</v>
      </c>
      <c r="BI337" s="23" t="str">
        <f ca="1" t="shared" si="76"/>
        <v>[{11,5},{50007,15},{5133001,200},{2,240}]</v>
      </c>
      <c r="BJ337" s="23" t="str">
        <f ca="1" t="shared" si="77"/>
        <v>[{5163001,250},{5523001,200},{5303001,15},{50003,25},{2,360},{5204001,5}]</v>
      </c>
      <c r="BK337" s="23" t="str">
        <f ca="1" t="shared" si="78"/>
        <v>[{5203001,30},{1,150},{5523001,300},{5133001,300},{5303001,20},{50039,1},{2,600}]</v>
      </c>
      <c r="BL337" s="23">
        <f ca="1" t="shared" si="79"/>
        <v>4</v>
      </c>
      <c r="BM337" s="23">
        <f ca="1" t="shared" si="80"/>
        <v>6</v>
      </c>
      <c r="BN337" s="23">
        <f ca="1" t="shared" si="82"/>
        <v>7</v>
      </c>
      <c r="BP337" s="71" t="s">
        <v>374</v>
      </c>
      <c r="BQ337" s="71">
        <v>150</v>
      </c>
    </row>
    <row r="338" ht="16.5" spans="2:69">
      <c r="B338" s="23">
        <v>18</v>
      </c>
      <c r="C338" s="12"/>
      <c r="D338" s="71"/>
      <c r="E338" s="71"/>
      <c r="F338" s="71"/>
      <c r="G338" s="71" t="str">
        <f t="shared" si="84"/>
        <v>手套图纸</v>
      </c>
      <c r="H338" s="71">
        <v>15</v>
      </c>
      <c r="I338" s="71" t="str">
        <f t="shared" si="89"/>
        <v>法师特饮</v>
      </c>
      <c r="J338" s="71">
        <v>200</v>
      </c>
      <c r="K338" s="71" t="s">
        <v>96</v>
      </c>
      <c r="L338" s="71">
        <v>240</v>
      </c>
      <c r="M338" s="71" t="str">
        <f t="shared" si="93"/>
        <v>控制特饮</v>
      </c>
      <c r="N338" s="71">
        <f t="shared" si="94"/>
        <v>250</v>
      </c>
      <c r="O338" s="76" t="s">
        <v>316</v>
      </c>
      <c r="P338" s="76">
        <v>200</v>
      </c>
      <c r="Q338" s="71" t="s">
        <v>149</v>
      </c>
      <c r="R338" s="71">
        <v>15</v>
      </c>
      <c r="S338" s="72" t="str">
        <f t="shared" si="86"/>
        <v>衣服图纸</v>
      </c>
      <c r="T338" s="71">
        <v>25</v>
      </c>
      <c r="U338" s="71" t="str">
        <f t="shared" si="87"/>
        <v/>
      </c>
      <c r="V338" s="71">
        <f t="shared" si="88"/>
        <v>0</v>
      </c>
      <c r="W338" s="71" t="s">
        <v>96</v>
      </c>
      <c r="X338" s="71">
        <f t="shared" si="60"/>
        <v>360</v>
      </c>
      <c r="Y338" s="71"/>
      <c r="Z338" s="71"/>
      <c r="AA338" s="71" t="str">
        <f t="shared" si="95"/>
        <v>基因罐</v>
      </c>
      <c r="AB338" s="71">
        <f t="shared" si="96"/>
        <v>30</v>
      </c>
      <c r="AC338" s="71" t="s">
        <v>374</v>
      </c>
      <c r="AD338" s="71">
        <v>150</v>
      </c>
      <c r="AE338" s="72" t="str">
        <f t="shared" si="90"/>
        <v>战士特饮</v>
      </c>
      <c r="AF338" s="71">
        <v>300</v>
      </c>
      <c r="AG338" s="71" t="s">
        <v>149</v>
      </c>
      <c r="AH338" s="71">
        <v>20</v>
      </c>
      <c r="AI338" s="71" t="s">
        <v>390</v>
      </c>
      <c r="AJ338" s="71">
        <v>1</v>
      </c>
      <c r="AK338" s="71" t="s">
        <v>96</v>
      </c>
      <c r="AL338" s="71">
        <f t="shared" si="61"/>
        <v>600</v>
      </c>
      <c r="AN338" s="23" t="str">
        <f ca="1" t="shared" si="91"/>
        <v>{11,5}</v>
      </c>
      <c r="AO338" s="23" t="str">
        <f ca="1" t="shared" si="83"/>
        <v/>
      </c>
      <c r="AP338" s="23" t="str">
        <f ca="1" t="shared" si="63"/>
        <v>{50008,15}</v>
      </c>
      <c r="AQ338" s="23" t="str">
        <f ca="1" t="shared" si="64"/>
        <v>{5123001,200}</v>
      </c>
      <c r="AR338" s="23" t="str">
        <f ca="1" t="shared" si="65"/>
        <v>{2,240}</v>
      </c>
      <c r="AS338" s="23" t="str">
        <f ca="1" t="shared" si="66"/>
        <v>{5153001,250}</v>
      </c>
      <c r="AT338" s="23" t="str">
        <f ca="1" t="shared" si="97"/>
        <v>{5523001,200}</v>
      </c>
      <c r="AU338" s="23" t="str">
        <f ca="1" t="shared" si="81"/>
        <v>{5303001,15}</v>
      </c>
      <c r="AV338" s="23" t="str">
        <f ca="1" t="shared" si="67"/>
        <v>{50004,25}</v>
      </c>
      <c r="AW338" s="23" t="str">
        <f ca="1" t="shared" si="68"/>
        <v/>
      </c>
      <c r="AX338" s="23" t="str">
        <f ca="1" t="shared" si="69"/>
        <v>{2,360}</v>
      </c>
      <c r="AY338" s="23" t="str">
        <f ca="1" t="shared" si="70"/>
        <v>{5204001,5}</v>
      </c>
      <c r="AZ338" s="23" t="str">
        <f ca="1" t="shared" si="71"/>
        <v>{5203001,30}</v>
      </c>
      <c r="BA338" s="23" t="str">
        <f ca="1" t="shared" si="72"/>
        <v>{1,150}</v>
      </c>
      <c r="BB338" s="23" t="s">
        <v>401</v>
      </c>
      <c r="BC338" s="23" t="str">
        <f ca="1" t="shared" si="73"/>
        <v>{5113001,300}</v>
      </c>
      <c r="BD338" s="23" t="str">
        <f ca="1" t="shared" si="92"/>
        <v>{5303001,20}</v>
      </c>
      <c r="BE338" s="23" t="str">
        <f ca="1" t="shared" si="98"/>
        <v>{50039,1}</v>
      </c>
      <c r="BF338" s="23" t="str">
        <f ca="1" t="shared" si="75"/>
        <v>{2,600}</v>
      </c>
      <c r="BI338" s="23" t="str">
        <f ca="1" t="shared" si="76"/>
        <v>[{11,5},{50008,15},{5123001,200},{2,240}]</v>
      </c>
      <c r="BJ338" s="23" t="str">
        <f ca="1" t="shared" si="77"/>
        <v>[{5153001,250},{5523001,200},{5303001,15},{50004,25},{2,360},{5204001,5}]</v>
      </c>
      <c r="BK338" s="23" t="str">
        <f ca="1" t="shared" si="78"/>
        <v>[{5203001,30},{1,150},{5523001,300},{5113001,300},{5303001,20},{50039,1},{2,600}]</v>
      </c>
      <c r="BL338" s="23">
        <f ca="1" t="shared" si="79"/>
        <v>4</v>
      </c>
      <c r="BM338" s="23">
        <f ca="1" t="shared" si="80"/>
        <v>6</v>
      </c>
      <c r="BN338" s="23">
        <f ca="1" t="shared" si="82"/>
        <v>7</v>
      </c>
      <c r="BP338" s="71" t="s">
        <v>374</v>
      </c>
      <c r="BQ338" s="71">
        <v>150</v>
      </c>
    </row>
    <row r="339" ht="16.5" spans="2:69">
      <c r="B339" s="23">
        <v>19</v>
      </c>
      <c r="C339" s="12"/>
      <c r="D339" s="71"/>
      <c r="E339" s="71"/>
      <c r="F339" s="71"/>
      <c r="G339" s="71" t="str">
        <f t="shared" si="84"/>
        <v>头盔图纸</v>
      </c>
      <c r="H339" s="71">
        <v>15</v>
      </c>
      <c r="I339" s="71" t="str">
        <f t="shared" si="89"/>
        <v>辅助特饮</v>
      </c>
      <c r="J339" s="71">
        <v>200</v>
      </c>
      <c r="K339" s="71" t="s">
        <v>96</v>
      </c>
      <c r="L339" s="71">
        <v>240</v>
      </c>
      <c r="M339" s="71" t="str">
        <f t="shared" si="93"/>
        <v>战士特饮</v>
      </c>
      <c r="N339" s="71">
        <f t="shared" ref="N339:N402" si="99">N338</f>
        <v>250</v>
      </c>
      <c r="O339" s="76" t="s">
        <v>316</v>
      </c>
      <c r="P339" s="76">
        <v>200</v>
      </c>
      <c r="Q339" s="71" t="s">
        <v>149</v>
      </c>
      <c r="R339" s="71">
        <v>15</v>
      </c>
      <c r="S339" s="72" t="str">
        <f t="shared" si="86"/>
        <v>护臂图纸</v>
      </c>
      <c r="T339" s="71">
        <v>25</v>
      </c>
      <c r="U339" s="71" t="str">
        <f t="shared" si="87"/>
        <v/>
      </c>
      <c r="V339" s="71">
        <f t="shared" si="88"/>
        <v>0</v>
      </c>
      <c r="W339" s="71" t="s">
        <v>96</v>
      </c>
      <c r="X339" s="71">
        <f t="shared" si="60"/>
        <v>360</v>
      </c>
      <c r="Y339" s="71"/>
      <c r="Z339" s="71"/>
      <c r="AA339" s="71" t="str">
        <f t="shared" si="95"/>
        <v>基因罐</v>
      </c>
      <c r="AB339" s="71">
        <f t="shared" si="96"/>
        <v>30</v>
      </c>
      <c r="AC339" s="71" t="s">
        <v>374</v>
      </c>
      <c r="AD339" s="71">
        <v>150</v>
      </c>
      <c r="AE339" s="72" t="str">
        <f t="shared" si="90"/>
        <v>法师特饮</v>
      </c>
      <c r="AF339" s="71">
        <v>300</v>
      </c>
      <c r="AG339" s="71" t="s">
        <v>149</v>
      </c>
      <c r="AH339" s="71">
        <v>20</v>
      </c>
      <c r="AI339" s="71" t="s">
        <v>390</v>
      </c>
      <c r="AJ339" s="71">
        <v>1</v>
      </c>
      <c r="AK339" s="71" t="s">
        <v>96</v>
      </c>
      <c r="AL339" s="71">
        <f t="shared" si="61"/>
        <v>600</v>
      </c>
      <c r="AN339" s="23" t="str">
        <f ca="1" t="shared" si="91"/>
        <v>{11,5}</v>
      </c>
      <c r="AO339" s="23" t="str">
        <f ca="1" t="shared" si="83"/>
        <v/>
      </c>
      <c r="AP339" s="23" t="str">
        <f ca="1" t="shared" si="63"/>
        <v>{50003,15}</v>
      </c>
      <c r="AQ339" s="23" t="str">
        <f ca="1" t="shared" si="64"/>
        <v>{5143001,200}</v>
      </c>
      <c r="AR339" s="23" t="str">
        <f ca="1" t="shared" si="65"/>
        <v>{2,240}</v>
      </c>
      <c r="AS339" s="23" t="str">
        <f ca="1" t="shared" si="66"/>
        <v>{5113001,250}</v>
      </c>
      <c r="AT339" s="23" t="str">
        <f ca="1" t="shared" si="97"/>
        <v>{5523001,200}</v>
      </c>
      <c r="AU339" s="23" t="str">
        <f ca="1" t="shared" si="81"/>
        <v>{5303001,15}</v>
      </c>
      <c r="AV339" s="23" t="str">
        <f ca="1" t="shared" si="67"/>
        <v>{50005,25}</v>
      </c>
      <c r="AW339" s="23" t="str">
        <f ca="1" t="shared" si="68"/>
        <v/>
      </c>
      <c r="AX339" s="23" t="str">
        <f ca="1" t="shared" si="69"/>
        <v>{2,360}</v>
      </c>
      <c r="AY339" s="23" t="str">
        <f ca="1" t="shared" si="70"/>
        <v>{5204001,5}</v>
      </c>
      <c r="AZ339" s="23" t="str">
        <f ca="1" t="shared" si="71"/>
        <v>{5203001,30}</v>
      </c>
      <c r="BA339" s="23" t="str">
        <f ca="1" t="shared" si="72"/>
        <v>{1,150}</v>
      </c>
      <c r="BB339" s="23" t="s">
        <v>401</v>
      </c>
      <c r="BC339" s="23" t="str">
        <f ca="1" t="shared" si="73"/>
        <v>{5123001,300}</v>
      </c>
      <c r="BD339" s="23" t="str">
        <f ca="1" t="shared" si="92"/>
        <v>{5303001,20}</v>
      </c>
      <c r="BE339" s="23" t="str">
        <f ca="1" t="shared" si="98"/>
        <v>{50039,1}</v>
      </c>
      <c r="BF339" s="23" t="str">
        <f ca="1" t="shared" si="75"/>
        <v>{2,600}</v>
      </c>
      <c r="BI339" s="23" t="str">
        <f ca="1" t="shared" si="76"/>
        <v>[{11,5},{50003,15},{5143001,200},{2,240}]</v>
      </c>
      <c r="BJ339" s="23" t="str">
        <f ca="1" t="shared" si="77"/>
        <v>[{5113001,250},{5523001,200},{5303001,15},{50005,25},{2,360},{5204001,5}]</v>
      </c>
      <c r="BK339" s="23" t="str">
        <f ca="1" t="shared" si="78"/>
        <v>[{5203001,30},{1,150},{5523001,300},{5123001,300},{5303001,20},{50039,1},{2,600}]</v>
      </c>
      <c r="BL339" s="23">
        <f ca="1" t="shared" si="79"/>
        <v>4</v>
      </c>
      <c r="BM339" s="23">
        <f ca="1" t="shared" si="80"/>
        <v>6</v>
      </c>
      <c r="BN339" s="23">
        <f ca="1" t="shared" si="82"/>
        <v>7</v>
      </c>
      <c r="BP339" s="71" t="s">
        <v>374</v>
      </c>
      <c r="BQ339" s="71">
        <v>150</v>
      </c>
    </row>
    <row r="340" s="69" customFormat="1" ht="16.5" spans="2:69">
      <c r="B340" s="26">
        <v>20</v>
      </c>
      <c r="C340" s="75" t="s">
        <v>240</v>
      </c>
      <c r="D340" s="76">
        <v>1</v>
      </c>
      <c r="E340" s="76"/>
      <c r="F340" s="76"/>
      <c r="G340" s="76" t="str">
        <f t="shared" si="84"/>
        <v>衣服图纸</v>
      </c>
      <c r="H340" s="76">
        <v>15</v>
      </c>
      <c r="I340" s="76" t="str">
        <f t="shared" si="89"/>
        <v>战士特饮</v>
      </c>
      <c r="J340" s="76">
        <v>200</v>
      </c>
      <c r="K340" s="76" t="s">
        <v>96</v>
      </c>
      <c r="L340" s="71">
        <v>240</v>
      </c>
      <c r="M340" s="76" t="str">
        <f t="shared" si="93"/>
        <v>法师特饮</v>
      </c>
      <c r="N340" s="76">
        <f t="shared" si="99"/>
        <v>250</v>
      </c>
      <c r="O340" s="76" t="s">
        <v>316</v>
      </c>
      <c r="P340" s="76">
        <v>200</v>
      </c>
      <c r="Q340" s="76" t="s">
        <v>149</v>
      </c>
      <c r="R340" s="76">
        <v>15</v>
      </c>
      <c r="S340" s="77" t="str">
        <f t="shared" si="86"/>
        <v>裤子图纸</v>
      </c>
      <c r="T340" s="76">
        <v>25</v>
      </c>
      <c r="U340" s="76" t="str">
        <f t="shared" si="87"/>
        <v>灵感获取令</v>
      </c>
      <c r="V340" s="76">
        <f t="shared" si="88"/>
        <v>1</v>
      </c>
      <c r="W340" s="76" t="s">
        <v>96</v>
      </c>
      <c r="X340" s="76">
        <f t="shared" si="60"/>
        <v>360</v>
      </c>
      <c r="Y340" s="71"/>
      <c r="Z340" s="71"/>
      <c r="AA340" s="76" t="str">
        <f t="shared" si="95"/>
        <v>传说基因罐</v>
      </c>
      <c r="AB340" s="76">
        <f t="shared" si="96"/>
        <v>3</v>
      </c>
      <c r="AC340" s="76" t="s">
        <v>374</v>
      </c>
      <c r="AD340" s="76">
        <v>150</v>
      </c>
      <c r="AE340" s="77" t="str">
        <f t="shared" si="90"/>
        <v>辅助特饮</v>
      </c>
      <c r="AF340" s="76">
        <v>300</v>
      </c>
      <c r="AG340" s="76" t="s">
        <v>149</v>
      </c>
      <c r="AH340" s="76">
        <v>20</v>
      </c>
      <c r="AI340" s="76" t="s">
        <v>390</v>
      </c>
      <c r="AJ340" s="76">
        <v>1</v>
      </c>
      <c r="AK340" s="76" t="s">
        <v>96</v>
      </c>
      <c r="AL340" s="76">
        <f t="shared" si="61"/>
        <v>600</v>
      </c>
      <c r="AN340" s="26" t="str">
        <f ca="1" t="shared" si="91"/>
        <v>{35,1}</v>
      </c>
      <c r="AO340" s="26" t="str">
        <f ca="1" t="shared" si="83"/>
        <v/>
      </c>
      <c r="AP340" s="26" t="str">
        <f ca="1" t="shared" si="63"/>
        <v>{50004,15}</v>
      </c>
      <c r="AQ340" s="26" t="str">
        <f ca="1" t="shared" si="64"/>
        <v>{5113001,200}</v>
      </c>
      <c r="AR340" s="26" t="str">
        <f ca="1" t="shared" si="65"/>
        <v>{2,240}</v>
      </c>
      <c r="AS340" s="26" t="str">
        <f ca="1" t="shared" si="66"/>
        <v>{5123001,250}</v>
      </c>
      <c r="AT340" s="23" t="str">
        <f ca="1" t="shared" si="97"/>
        <v>{5523001,200}</v>
      </c>
      <c r="AU340" s="26" t="str">
        <f ca="1" t="shared" si="81"/>
        <v>{5303001,15}</v>
      </c>
      <c r="AV340" s="26" t="str">
        <f ca="1" t="shared" si="67"/>
        <v>{50006,25}</v>
      </c>
      <c r="AW340" s="26" t="str">
        <f ca="1" t="shared" si="68"/>
        <v>{9,1}</v>
      </c>
      <c r="AX340" s="26" t="str">
        <f ca="1" t="shared" si="69"/>
        <v>{2,360}</v>
      </c>
      <c r="AY340" s="26" t="str">
        <f ca="1" t="shared" si="70"/>
        <v>{5204001,5}</v>
      </c>
      <c r="AZ340" s="26" t="s">
        <v>403</v>
      </c>
      <c r="BA340" s="26" t="str">
        <f ca="1" t="shared" si="72"/>
        <v>{1,150}</v>
      </c>
      <c r="BB340" s="23" t="s">
        <v>401</v>
      </c>
      <c r="BC340" s="26" t="str">
        <f ca="1" t="shared" si="73"/>
        <v>{5143001,300}</v>
      </c>
      <c r="BD340" s="26" t="str">
        <f ca="1" t="shared" si="92"/>
        <v>{5303001,20}</v>
      </c>
      <c r="BE340" s="26" t="str">
        <f ca="1" t="shared" si="98"/>
        <v>{50039,1}</v>
      </c>
      <c r="BF340" s="26" t="str">
        <f ca="1" t="shared" si="75"/>
        <v>{2,600}</v>
      </c>
      <c r="BI340" s="26" t="str">
        <f ca="1" t="shared" si="76"/>
        <v>[{35,1},{50004,15},{5113001,200},{2,240}]</v>
      </c>
      <c r="BJ340" s="26" t="str">
        <f ca="1" t="shared" si="77"/>
        <v>[{5123001,250},{5523001,200},{5303001,15},{50006,25},{9,1},{2,360},{5204001,5}]</v>
      </c>
      <c r="BK340" s="26" t="str">
        <f ca="1" t="shared" si="78"/>
        <v>[{5525002,1},{5205001,3},{1,150},{5523001,300},{5143001,300},{5303001,20},{50039,1},{2,600}]</v>
      </c>
      <c r="BL340" s="26">
        <f ca="1" t="shared" si="79"/>
        <v>4</v>
      </c>
      <c r="BM340" s="26">
        <f ca="1" t="shared" si="80"/>
        <v>7</v>
      </c>
      <c r="BN340" s="26">
        <f ca="1" t="shared" si="82"/>
        <v>7</v>
      </c>
      <c r="BP340" s="76" t="s">
        <v>374</v>
      </c>
      <c r="BQ340" s="76">
        <v>150</v>
      </c>
    </row>
    <row r="341" ht="16.5" spans="2:69">
      <c r="B341" s="23">
        <v>21</v>
      </c>
      <c r="C341" s="12"/>
      <c r="D341" s="71"/>
      <c r="E341" s="71"/>
      <c r="F341" s="71"/>
      <c r="G341" s="71" t="str">
        <f t="shared" si="84"/>
        <v>护臂图纸</v>
      </c>
      <c r="H341" s="71">
        <v>15</v>
      </c>
      <c r="I341" s="71" t="str">
        <f t="shared" si="89"/>
        <v>毒系特饮</v>
      </c>
      <c r="J341" s="71">
        <v>200</v>
      </c>
      <c r="K341" s="71" t="s">
        <v>96</v>
      </c>
      <c r="L341" s="71">
        <v>240</v>
      </c>
      <c r="M341" s="71" t="str">
        <f t="shared" si="93"/>
        <v>辅助特饮</v>
      </c>
      <c r="N341" s="71">
        <f t="shared" si="99"/>
        <v>250</v>
      </c>
      <c r="O341" s="71" t="s">
        <v>316</v>
      </c>
      <c r="P341" s="71">
        <v>200</v>
      </c>
      <c r="Q341" s="71" t="s">
        <v>149</v>
      </c>
      <c r="R341" s="71">
        <v>15</v>
      </c>
      <c r="S341" s="72" t="str">
        <f t="shared" si="86"/>
        <v>鞋子图纸</v>
      </c>
      <c r="T341" s="71">
        <v>25</v>
      </c>
      <c r="U341" s="71" t="str">
        <f t="shared" si="87"/>
        <v/>
      </c>
      <c r="V341" s="71">
        <f t="shared" si="88"/>
        <v>0</v>
      </c>
      <c r="W341" s="71" t="s">
        <v>96</v>
      </c>
      <c r="X341" s="71">
        <f t="shared" si="60"/>
        <v>360</v>
      </c>
      <c r="Y341" s="71"/>
      <c r="Z341" s="71"/>
      <c r="AA341" s="71" t="str">
        <f t="shared" si="95"/>
        <v>基因罐</v>
      </c>
      <c r="AB341" s="71">
        <f t="shared" si="96"/>
        <v>30</v>
      </c>
      <c r="AC341" s="71" t="s">
        <v>374</v>
      </c>
      <c r="AD341" s="71">
        <v>150</v>
      </c>
      <c r="AE341" s="72" t="str">
        <f t="shared" si="90"/>
        <v>毒系特饮</v>
      </c>
      <c r="AF341" s="71">
        <v>300</v>
      </c>
      <c r="AG341" s="71" t="s">
        <v>149</v>
      </c>
      <c r="AH341" s="71">
        <v>20</v>
      </c>
      <c r="AI341" s="71" t="s">
        <v>390</v>
      </c>
      <c r="AJ341" s="71">
        <v>1</v>
      </c>
      <c r="AK341" s="71" t="s">
        <v>96</v>
      </c>
      <c r="AL341" s="71">
        <f t="shared" si="61"/>
        <v>600</v>
      </c>
      <c r="AN341" s="23" t="str">
        <f ca="1" t="shared" si="91"/>
        <v>{11,5}</v>
      </c>
      <c r="AO341" s="23" t="str">
        <f ca="1" t="shared" si="83"/>
        <v/>
      </c>
      <c r="AP341" s="23" t="str">
        <f ca="1" t="shared" si="63"/>
        <v>{50005,15}</v>
      </c>
      <c r="AQ341" s="23" t="str">
        <f ca="1" t="shared" si="64"/>
        <v>{5163001,200}</v>
      </c>
      <c r="AR341" s="23" t="str">
        <f ca="1" t="shared" si="65"/>
        <v>{2,240}</v>
      </c>
      <c r="AS341" s="23" t="str">
        <f ca="1" t="shared" si="66"/>
        <v>{5143001,250}</v>
      </c>
      <c r="AT341" s="23" t="str">
        <f ca="1" t="shared" si="97"/>
        <v>{5523001,200}</v>
      </c>
      <c r="AU341" s="23" t="str">
        <f ca="1" t="shared" si="81"/>
        <v>{5303001,15}</v>
      </c>
      <c r="AV341" s="23" t="str">
        <f ca="1" t="shared" si="67"/>
        <v>{50007,25}</v>
      </c>
      <c r="AW341" s="23" t="str">
        <f ca="1" t="shared" si="68"/>
        <v/>
      </c>
      <c r="AX341" s="23" t="str">
        <f ca="1" t="shared" si="69"/>
        <v>{2,360}</v>
      </c>
      <c r="AY341" s="23" t="str">
        <f ca="1" t="shared" si="70"/>
        <v>{5204001,5}</v>
      </c>
      <c r="AZ341" s="23" t="str">
        <f ca="1" t="shared" ref="AZ341:AZ350" si="100">IF(OFFSET($B341,0,AZ$320*2+1)="","","{"&amp;VLOOKUP(OFFSET($B341,0,AZ$320*2+1),$AN$291:$AO$312,2,0)&amp;","&amp;OFFSET($B341,0,AZ$320*2+2)&amp;"}")</f>
        <v>{5203001,30}</v>
      </c>
      <c r="BA341" s="23" t="str">
        <f ca="1" t="shared" si="72"/>
        <v>{1,150}</v>
      </c>
      <c r="BB341" s="23" t="s">
        <v>401</v>
      </c>
      <c r="BC341" s="23" t="str">
        <f ca="1" t="shared" si="73"/>
        <v>{5163001,300}</v>
      </c>
      <c r="BD341" s="23" t="str">
        <f ca="1" t="shared" si="92"/>
        <v>{5303001,20}</v>
      </c>
      <c r="BE341" s="23" t="str">
        <f ca="1" t="shared" si="98"/>
        <v>{50039,1}</v>
      </c>
      <c r="BF341" s="23" t="str">
        <f ca="1" t="shared" si="75"/>
        <v>{2,600}</v>
      </c>
      <c r="BI341" s="23" t="str">
        <f ca="1" t="shared" si="76"/>
        <v>[{11,5},{50005,15},{5163001,200},{2,240}]</v>
      </c>
      <c r="BJ341" s="23" t="str">
        <f ca="1" t="shared" si="77"/>
        <v>[{5143001,250},{5523001,200},{5303001,15},{50007,25},{2,360},{5204001,5}]</v>
      </c>
      <c r="BK341" s="23" t="str">
        <f ca="1" t="shared" si="78"/>
        <v>[{5203001,30},{1,150},{5523001,300},{5163001,300},{5303001,20},{50039,1},{2,600}]</v>
      </c>
      <c r="BL341" s="23">
        <f ca="1" t="shared" si="79"/>
        <v>4</v>
      </c>
      <c r="BM341" s="23">
        <f ca="1" t="shared" si="80"/>
        <v>6</v>
      </c>
      <c r="BN341" s="23">
        <f ca="1" t="shared" si="82"/>
        <v>7</v>
      </c>
      <c r="BP341" s="71" t="s">
        <v>374</v>
      </c>
      <c r="BQ341" s="71">
        <v>150</v>
      </c>
    </row>
    <row r="342" ht="16.5" spans="2:69">
      <c r="B342" s="23">
        <v>22</v>
      </c>
      <c r="C342" s="12"/>
      <c r="D342" s="71"/>
      <c r="E342" s="71"/>
      <c r="F342" s="71"/>
      <c r="G342" s="71" t="str">
        <f t="shared" si="84"/>
        <v>裤子图纸</v>
      </c>
      <c r="H342" s="71">
        <v>15</v>
      </c>
      <c r="I342" s="71" t="str">
        <f t="shared" si="89"/>
        <v>控制特饮</v>
      </c>
      <c r="J342" s="71">
        <v>200</v>
      </c>
      <c r="K342" s="71" t="s">
        <v>96</v>
      </c>
      <c r="L342" s="71">
        <v>240</v>
      </c>
      <c r="M342" s="71" t="str">
        <f t="shared" si="93"/>
        <v>射手特饮</v>
      </c>
      <c r="N342" s="71">
        <f t="shared" si="99"/>
        <v>250</v>
      </c>
      <c r="O342" s="71" t="s">
        <v>316</v>
      </c>
      <c r="P342" s="71">
        <v>200</v>
      </c>
      <c r="Q342" s="71" t="s">
        <v>149</v>
      </c>
      <c r="R342" s="71">
        <v>15</v>
      </c>
      <c r="S342" s="72" t="str">
        <f t="shared" si="86"/>
        <v>手套图纸</v>
      </c>
      <c r="T342" s="71">
        <v>25</v>
      </c>
      <c r="U342" s="71" t="str">
        <f t="shared" si="87"/>
        <v/>
      </c>
      <c r="V342" s="71">
        <f t="shared" si="88"/>
        <v>0</v>
      </c>
      <c r="W342" s="71" t="s">
        <v>96</v>
      </c>
      <c r="X342" s="71">
        <f t="shared" si="60"/>
        <v>360</v>
      </c>
      <c r="Y342" s="71"/>
      <c r="Z342" s="71"/>
      <c r="AA342" s="71" t="str">
        <f t="shared" si="95"/>
        <v>基因罐</v>
      </c>
      <c r="AB342" s="71">
        <f t="shared" si="96"/>
        <v>30</v>
      </c>
      <c r="AC342" s="71" t="s">
        <v>374</v>
      </c>
      <c r="AD342" s="71">
        <v>150</v>
      </c>
      <c r="AE342" s="72" t="str">
        <f t="shared" si="90"/>
        <v>控制特饮</v>
      </c>
      <c r="AF342" s="71">
        <v>300</v>
      </c>
      <c r="AG342" s="71" t="s">
        <v>149</v>
      </c>
      <c r="AH342" s="71">
        <v>20</v>
      </c>
      <c r="AI342" s="71" t="s">
        <v>390</v>
      </c>
      <c r="AJ342" s="71">
        <v>1</v>
      </c>
      <c r="AK342" s="71" t="s">
        <v>96</v>
      </c>
      <c r="AL342" s="71">
        <f t="shared" si="61"/>
        <v>600</v>
      </c>
      <c r="AN342" s="23" t="str">
        <f ca="1" t="shared" si="91"/>
        <v>{11,5}</v>
      </c>
      <c r="AO342" s="23" t="str">
        <f ca="1" t="shared" si="83"/>
        <v/>
      </c>
      <c r="AP342" s="23" t="str">
        <f ca="1" t="shared" si="63"/>
        <v>{50006,15}</v>
      </c>
      <c r="AQ342" s="23" t="str">
        <f ca="1" t="shared" si="64"/>
        <v>{5153001,200}</v>
      </c>
      <c r="AR342" s="23" t="str">
        <f ca="1" t="shared" si="65"/>
        <v>{2,240}</v>
      </c>
      <c r="AS342" s="23" t="str">
        <f ca="1" t="shared" si="66"/>
        <v>{5133001,250}</v>
      </c>
      <c r="AT342" s="23" t="str">
        <f ca="1" t="shared" si="97"/>
        <v>{5523001,200}</v>
      </c>
      <c r="AU342" s="23" t="str">
        <f ca="1" t="shared" si="81"/>
        <v>{5303001,15}</v>
      </c>
      <c r="AV342" s="23" t="str">
        <f ca="1" t="shared" si="67"/>
        <v>{50008,25}</v>
      </c>
      <c r="AW342" s="23" t="str">
        <f ca="1" t="shared" si="68"/>
        <v/>
      </c>
      <c r="AX342" s="23" t="str">
        <f ca="1" t="shared" si="69"/>
        <v>{2,360}</v>
      </c>
      <c r="AY342" s="23" t="str">
        <f ca="1" t="shared" si="70"/>
        <v>{5204001,5}</v>
      </c>
      <c r="AZ342" s="23" t="str">
        <f ca="1" t="shared" si="100"/>
        <v>{5203001,30}</v>
      </c>
      <c r="BA342" s="23" t="str">
        <f ca="1" t="shared" si="72"/>
        <v>{1,150}</v>
      </c>
      <c r="BB342" s="23" t="s">
        <v>401</v>
      </c>
      <c r="BC342" s="23" t="str">
        <f ca="1" t="shared" si="73"/>
        <v>{5153001,300}</v>
      </c>
      <c r="BD342" s="23" t="str">
        <f ca="1" t="shared" si="92"/>
        <v>{5303001,20}</v>
      </c>
      <c r="BE342" s="23" t="str">
        <f ca="1" t="shared" si="98"/>
        <v>{50039,1}</v>
      </c>
      <c r="BF342" s="23" t="str">
        <f ca="1" t="shared" si="75"/>
        <v>{2,600}</v>
      </c>
      <c r="BI342" s="23" t="str">
        <f ca="1" t="shared" si="76"/>
        <v>[{11,5},{50006,15},{5153001,200},{2,240}]</v>
      </c>
      <c r="BJ342" s="23" t="str">
        <f ca="1" t="shared" si="77"/>
        <v>[{5133001,250},{5523001,200},{5303001,15},{50008,25},{2,360},{5204001,5}]</v>
      </c>
      <c r="BK342" s="23" t="str">
        <f ca="1" t="shared" si="78"/>
        <v>[{5203001,30},{1,150},{5523001,300},{5153001,300},{5303001,20},{50039,1},{2,600}]</v>
      </c>
      <c r="BL342" s="23">
        <f ca="1" t="shared" si="79"/>
        <v>4</v>
      </c>
      <c r="BM342" s="23">
        <f ca="1" t="shared" si="80"/>
        <v>6</v>
      </c>
      <c r="BN342" s="23">
        <f ca="1" t="shared" si="82"/>
        <v>7</v>
      </c>
      <c r="BP342" s="71" t="s">
        <v>374</v>
      </c>
      <c r="BQ342" s="71">
        <v>150</v>
      </c>
    </row>
    <row r="343" ht="16.5" spans="2:69">
      <c r="B343" s="23">
        <v>23</v>
      </c>
      <c r="C343" s="12"/>
      <c r="D343" s="71"/>
      <c r="E343" s="71"/>
      <c r="F343" s="71"/>
      <c r="G343" s="71" t="str">
        <f t="shared" si="84"/>
        <v>鞋子图纸</v>
      </c>
      <c r="H343" s="71">
        <v>15</v>
      </c>
      <c r="I343" s="71" t="str">
        <f t="shared" si="89"/>
        <v>射手特饮</v>
      </c>
      <c r="J343" s="71">
        <v>200</v>
      </c>
      <c r="K343" s="71" t="s">
        <v>96</v>
      </c>
      <c r="L343" s="71">
        <v>240</v>
      </c>
      <c r="M343" s="71" t="str">
        <f t="shared" si="93"/>
        <v>毒系特饮</v>
      </c>
      <c r="N343" s="71">
        <f t="shared" si="99"/>
        <v>250</v>
      </c>
      <c r="O343" s="71" t="s">
        <v>316</v>
      </c>
      <c r="P343" s="71">
        <v>200</v>
      </c>
      <c r="Q343" s="71" t="s">
        <v>149</v>
      </c>
      <c r="R343" s="71">
        <v>15</v>
      </c>
      <c r="S343" s="72" t="str">
        <f t="shared" si="86"/>
        <v>头盔图纸</v>
      </c>
      <c r="T343" s="71">
        <v>25</v>
      </c>
      <c r="U343" s="71" t="str">
        <f t="shared" si="87"/>
        <v/>
      </c>
      <c r="V343" s="71">
        <f t="shared" si="88"/>
        <v>0</v>
      </c>
      <c r="W343" s="71" t="s">
        <v>96</v>
      </c>
      <c r="X343" s="71">
        <f t="shared" si="60"/>
        <v>360</v>
      </c>
      <c r="Y343" s="71"/>
      <c r="Z343" s="71"/>
      <c r="AA343" s="71" t="str">
        <f t="shared" si="95"/>
        <v>基因罐</v>
      </c>
      <c r="AB343" s="71">
        <f t="shared" si="96"/>
        <v>30</v>
      </c>
      <c r="AC343" s="71" t="s">
        <v>374</v>
      </c>
      <c r="AD343" s="71">
        <v>150</v>
      </c>
      <c r="AE343" s="72" t="str">
        <f t="shared" si="90"/>
        <v>射手特饮</v>
      </c>
      <c r="AF343" s="71">
        <v>300</v>
      </c>
      <c r="AG343" s="71" t="s">
        <v>149</v>
      </c>
      <c r="AH343" s="71">
        <v>20</v>
      </c>
      <c r="AI343" s="71" t="s">
        <v>390</v>
      </c>
      <c r="AJ343" s="71">
        <v>1</v>
      </c>
      <c r="AK343" s="71" t="s">
        <v>96</v>
      </c>
      <c r="AL343" s="71">
        <f t="shared" si="61"/>
        <v>600</v>
      </c>
      <c r="AN343" s="23" t="str">
        <f ca="1" t="shared" si="91"/>
        <v>{11,5}</v>
      </c>
      <c r="AO343" s="23" t="str">
        <f ca="1" t="shared" si="83"/>
        <v/>
      </c>
      <c r="AP343" s="23" t="str">
        <f ca="1" t="shared" si="63"/>
        <v>{50007,15}</v>
      </c>
      <c r="AQ343" s="23" t="str">
        <f ca="1" t="shared" si="64"/>
        <v>{5133001,200}</v>
      </c>
      <c r="AR343" s="23" t="str">
        <f ca="1" t="shared" si="65"/>
        <v>{2,240}</v>
      </c>
      <c r="AS343" s="23" t="str">
        <f ca="1" t="shared" si="66"/>
        <v>{5163001,250}</v>
      </c>
      <c r="AT343" s="23" t="str">
        <f ca="1" t="shared" si="97"/>
        <v>{5523001,200}</v>
      </c>
      <c r="AU343" s="23" t="str">
        <f ca="1" t="shared" si="81"/>
        <v>{5303001,15}</v>
      </c>
      <c r="AV343" s="23" t="str">
        <f ca="1" t="shared" si="67"/>
        <v>{50003,25}</v>
      </c>
      <c r="AW343" s="23" t="str">
        <f ca="1" t="shared" si="68"/>
        <v/>
      </c>
      <c r="AX343" s="23" t="str">
        <f ca="1" t="shared" si="69"/>
        <v>{2,360}</v>
      </c>
      <c r="AY343" s="23" t="str">
        <f ca="1" t="shared" si="70"/>
        <v>{5204001,5}</v>
      </c>
      <c r="AZ343" s="23" t="str">
        <f ca="1" t="shared" si="100"/>
        <v>{5203001,30}</v>
      </c>
      <c r="BA343" s="23" t="str">
        <f ca="1" t="shared" si="72"/>
        <v>{1,150}</v>
      </c>
      <c r="BB343" s="23" t="s">
        <v>401</v>
      </c>
      <c r="BC343" s="23" t="str">
        <f ca="1" t="shared" si="73"/>
        <v>{5133001,300}</v>
      </c>
      <c r="BD343" s="23" t="str">
        <f ca="1" t="shared" si="92"/>
        <v>{5303001,20}</v>
      </c>
      <c r="BE343" s="23" t="str">
        <f ca="1" t="shared" si="98"/>
        <v>{50039,1}</v>
      </c>
      <c r="BF343" s="23" t="str">
        <f ca="1" t="shared" si="75"/>
        <v>{2,600}</v>
      </c>
      <c r="BI343" s="23" t="str">
        <f ca="1" t="shared" si="76"/>
        <v>[{11,5},{50007,15},{5133001,200},{2,240}]</v>
      </c>
      <c r="BJ343" s="23" t="str">
        <f ca="1" t="shared" si="77"/>
        <v>[{5163001,250},{5523001,200},{5303001,15},{50003,25},{2,360},{5204001,5}]</v>
      </c>
      <c r="BK343" s="23" t="str">
        <f ca="1" t="shared" si="78"/>
        <v>[{5203001,30},{1,150},{5523001,300},{5133001,300},{5303001,20},{50039,1},{2,600}]</v>
      </c>
      <c r="BL343" s="23">
        <f ca="1" t="shared" si="79"/>
        <v>4</v>
      </c>
      <c r="BM343" s="23">
        <f ca="1" t="shared" si="80"/>
        <v>6</v>
      </c>
      <c r="BN343" s="23">
        <f ca="1" t="shared" si="82"/>
        <v>7</v>
      </c>
      <c r="BP343" s="71" t="s">
        <v>374</v>
      </c>
      <c r="BQ343" s="71">
        <v>150</v>
      </c>
    </row>
    <row r="344" ht="16.5" spans="2:69">
      <c r="B344" s="23">
        <v>24</v>
      </c>
      <c r="C344" s="12"/>
      <c r="D344" s="71"/>
      <c r="E344" s="71"/>
      <c r="F344" s="71"/>
      <c r="G344" s="71" t="str">
        <f t="shared" si="84"/>
        <v>手套图纸</v>
      </c>
      <c r="H344" s="71">
        <v>15</v>
      </c>
      <c r="I344" s="71" t="str">
        <f t="shared" si="89"/>
        <v>法师特饮</v>
      </c>
      <c r="J344" s="71">
        <v>200</v>
      </c>
      <c r="K344" s="71" t="s">
        <v>96</v>
      </c>
      <c r="L344" s="71">
        <v>240</v>
      </c>
      <c r="M344" s="71" t="str">
        <f t="shared" si="93"/>
        <v>控制特饮</v>
      </c>
      <c r="N344" s="71">
        <f t="shared" si="99"/>
        <v>250</v>
      </c>
      <c r="O344" s="71" t="s">
        <v>316</v>
      </c>
      <c r="P344" s="71">
        <v>200</v>
      </c>
      <c r="Q344" s="71" t="s">
        <v>149</v>
      </c>
      <c r="R344" s="71">
        <v>15</v>
      </c>
      <c r="S344" s="72" t="str">
        <f t="shared" si="86"/>
        <v>衣服图纸</v>
      </c>
      <c r="T344" s="71">
        <v>25</v>
      </c>
      <c r="U344" s="71" t="str">
        <f t="shared" si="87"/>
        <v/>
      </c>
      <c r="V344" s="71">
        <f t="shared" si="88"/>
        <v>0</v>
      </c>
      <c r="W344" s="71" t="s">
        <v>96</v>
      </c>
      <c r="X344" s="71">
        <f t="shared" si="60"/>
        <v>360</v>
      </c>
      <c r="Y344" s="71"/>
      <c r="Z344" s="71"/>
      <c r="AA344" s="71" t="str">
        <f t="shared" si="95"/>
        <v>基因罐</v>
      </c>
      <c r="AB344" s="71">
        <f t="shared" si="96"/>
        <v>30</v>
      </c>
      <c r="AC344" s="71" t="s">
        <v>374</v>
      </c>
      <c r="AD344" s="71">
        <v>150</v>
      </c>
      <c r="AE344" s="72" t="str">
        <f t="shared" si="90"/>
        <v>战士特饮</v>
      </c>
      <c r="AF344" s="71">
        <v>300</v>
      </c>
      <c r="AG344" s="71" t="s">
        <v>149</v>
      </c>
      <c r="AH344" s="71">
        <v>20</v>
      </c>
      <c r="AI344" s="71" t="s">
        <v>390</v>
      </c>
      <c r="AJ344" s="71">
        <v>1</v>
      </c>
      <c r="AK344" s="71" t="s">
        <v>96</v>
      </c>
      <c r="AL344" s="71">
        <f t="shared" si="61"/>
        <v>600</v>
      </c>
      <c r="AN344" s="23" t="str">
        <f ca="1" t="shared" si="91"/>
        <v>{11,5}</v>
      </c>
      <c r="AO344" s="23" t="str">
        <f ca="1" t="shared" si="83"/>
        <v/>
      </c>
      <c r="AP344" s="23" t="str">
        <f ca="1" t="shared" si="63"/>
        <v>{50008,15}</v>
      </c>
      <c r="AQ344" s="23" t="str">
        <f ca="1" t="shared" si="64"/>
        <v>{5123001,200}</v>
      </c>
      <c r="AR344" s="23" t="str">
        <f ca="1" t="shared" si="65"/>
        <v>{2,240}</v>
      </c>
      <c r="AS344" s="23" t="str">
        <f ca="1" t="shared" si="66"/>
        <v>{5153001,250}</v>
      </c>
      <c r="AT344" s="23" t="str">
        <f ca="1" t="shared" si="97"/>
        <v>{5523001,200}</v>
      </c>
      <c r="AU344" s="23" t="str">
        <f ca="1" t="shared" si="81"/>
        <v>{5303001,15}</v>
      </c>
      <c r="AV344" s="23" t="str">
        <f ca="1" t="shared" si="67"/>
        <v>{50004,25}</v>
      </c>
      <c r="AW344" s="23" t="str">
        <f ca="1" t="shared" si="68"/>
        <v/>
      </c>
      <c r="AX344" s="23" t="str">
        <f ca="1" t="shared" si="69"/>
        <v>{2,360}</v>
      </c>
      <c r="AY344" s="23" t="str">
        <f ca="1" t="shared" si="70"/>
        <v>{5204001,5}</v>
      </c>
      <c r="AZ344" s="23" t="str">
        <f ca="1" t="shared" si="100"/>
        <v>{5203001,30}</v>
      </c>
      <c r="BA344" s="23" t="str">
        <f ca="1" t="shared" si="72"/>
        <v>{1,150}</v>
      </c>
      <c r="BB344" s="23" t="s">
        <v>401</v>
      </c>
      <c r="BC344" s="23" t="str">
        <f ca="1" t="shared" si="73"/>
        <v>{5113001,300}</v>
      </c>
      <c r="BD344" s="23" t="str">
        <f ca="1" t="shared" si="92"/>
        <v>{5303001,20}</v>
      </c>
      <c r="BE344" s="23" t="str">
        <f ca="1" t="shared" si="98"/>
        <v>{50039,1}</v>
      </c>
      <c r="BF344" s="23" t="str">
        <f ca="1" t="shared" si="75"/>
        <v>{2,600}</v>
      </c>
      <c r="BI344" s="23" t="str">
        <f ca="1" t="shared" si="76"/>
        <v>[{11,5},{50008,15},{5123001,200},{2,240}]</v>
      </c>
      <c r="BJ344" s="23" t="str">
        <f ca="1" t="shared" si="77"/>
        <v>[{5153001,250},{5523001,200},{5303001,15},{50004,25},{2,360},{5204001,5}]</v>
      </c>
      <c r="BK344" s="23" t="str">
        <f ca="1" t="shared" si="78"/>
        <v>[{5203001,30},{1,150},{5523001,300},{5113001,300},{5303001,20},{50039,1},{2,600}]</v>
      </c>
      <c r="BL344" s="23">
        <f ca="1" t="shared" si="79"/>
        <v>4</v>
      </c>
      <c r="BM344" s="23">
        <f ca="1" t="shared" si="80"/>
        <v>6</v>
      </c>
      <c r="BN344" s="23">
        <f ca="1" t="shared" si="82"/>
        <v>7</v>
      </c>
      <c r="BP344" s="71" t="s">
        <v>374</v>
      </c>
      <c r="BQ344" s="71">
        <v>150</v>
      </c>
    </row>
    <row r="345" ht="16.5" spans="2:69">
      <c r="B345" s="23">
        <v>25</v>
      </c>
      <c r="C345" s="12" t="s">
        <v>240</v>
      </c>
      <c r="D345" s="71">
        <v>1</v>
      </c>
      <c r="E345" s="71"/>
      <c r="F345" s="71"/>
      <c r="G345" s="71" t="str">
        <f t="shared" si="84"/>
        <v>头盔图纸</v>
      </c>
      <c r="H345" s="71">
        <v>15</v>
      </c>
      <c r="I345" s="71" t="str">
        <f t="shared" si="89"/>
        <v>辅助特饮</v>
      </c>
      <c r="J345" s="71">
        <v>200</v>
      </c>
      <c r="K345" s="71" t="s">
        <v>96</v>
      </c>
      <c r="L345" s="71">
        <v>240</v>
      </c>
      <c r="M345" s="71" t="str">
        <f t="shared" si="93"/>
        <v>战士特饮</v>
      </c>
      <c r="N345" s="71">
        <f t="shared" si="99"/>
        <v>250</v>
      </c>
      <c r="O345" s="71" t="s">
        <v>316</v>
      </c>
      <c r="P345" s="71">
        <v>200</v>
      </c>
      <c r="Q345" s="71" t="s">
        <v>149</v>
      </c>
      <c r="R345" s="71">
        <v>15</v>
      </c>
      <c r="S345" s="72" t="str">
        <f t="shared" si="86"/>
        <v>护臂图纸</v>
      </c>
      <c r="T345" s="71">
        <v>25</v>
      </c>
      <c r="U345" s="71" t="str">
        <f t="shared" si="87"/>
        <v>灵感获取令</v>
      </c>
      <c r="V345" s="71">
        <f t="shared" si="88"/>
        <v>1</v>
      </c>
      <c r="W345" s="71" t="s">
        <v>96</v>
      </c>
      <c r="X345" s="71">
        <f t="shared" si="60"/>
        <v>360</v>
      </c>
      <c r="Y345" s="71"/>
      <c r="Z345" s="71"/>
      <c r="AA345" s="71" t="str">
        <f t="shared" si="95"/>
        <v>传说基因罐</v>
      </c>
      <c r="AB345" s="71">
        <f t="shared" ref="AB345:AB408" si="101">AB340</f>
        <v>3</v>
      </c>
      <c r="AC345" s="71" t="s">
        <v>374</v>
      </c>
      <c r="AD345" s="71">
        <v>150</v>
      </c>
      <c r="AE345" s="72" t="str">
        <f t="shared" si="90"/>
        <v>法师特饮</v>
      </c>
      <c r="AF345" s="71">
        <v>300</v>
      </c>
      <c r="AG345" s="71" t="s">
        <v>149</v>
      </c>
      <c r="AH345" s="71">
        <v>20</v>
      </c>
      <c r="AI345" s="71" t="s">
        <v>390</v>
      </c>
      <c r="AJ345" s="71">
        <v>1</v>
      </c>
      <c r="AK345" s="71" t="s">
        <v>96</v>
      </c>
      <c r="AL345" s="71">
        <f t="shared" si="61"/>
        <v>600</v>
      </c>
      <c r="AN345" s="23" t="str">
        <f ca="1" t="shared" si="91"/>
        <v>{35,1}</v>
      </c>
      <c r="AO345" s="23" t="str">
        <f ca="1" t="shared" si="83"/>
        <v/>
      </c>
      <c r="AP345" s="23" t="str">
        <f ca="1" t="shared" si="63"/>
        <v>{50003,15}</v>
      </c>
      <c r="AQ345" s="23" t="str">
        <f ca="1" t="shared" si="64"/>
        <v>{5143001,200}</v>
      </c>
      <c r="AR345" s="23" t="str">
        <f ca="1" t="shared" si="65"/>
        <v>{2,240}</v>
      </c>
      <c r="AS345" s="23" t="str">
        <f ca="1" t="shared" si="66"/>
        <v>{5113001,250}</v>
      </c>
      <c r="AT345" s="23" t="str">
        <f ca="1" t="shared" si="97"/>
        <v>{5523001,200}</v>
      </c>
      <c r="AU345" s="23" t="str">
        <f ca="1" t="shared" si="81"/>
        <v>{5303001,15}</v>
      </c>
      <c r="AV345" s="23" t="str">
        <f ca="1" t="shared" si="67"/>
        <v>{50005,25}</v>
      </c>
      <c r="AW345" s="23" t="str">
        <f ca="1" t="shared" si="68"/>
        <v>{9,1}</v>
      </c>
      <c r="AX345" s="23" t="str">
        <f ca="1" t="shared" si="69"/>
        <v>{2,360}</v>
      </c>
      <c r="AY345" s="23" t="str">
        <f ca="1" t="shared" si="70"/>
        <v>{5204001,5}</v>
      </c>
      <c r="AZ345" s="23" t="str">
        <f ca="1" t="shared" si="100"/>
        <v>{5205001,3}</v>
      </c>
      <c r="BA345" s="23" t="str">
        <f ca="1" t="shared" si="72"/>
        <v>{1,150}</v>
      </c>
      <c r="BB345" s="23" t="s">
        <v>401</v>
      </c>
      <c r="BC345" s="23" t="str">
        <f ca="1" t="shared" si="73"/>
        <v>{5123001,300}</v>
      </c>
      <c r="BD345" s="23" t="str">
        <f ca="1" t="shared" si="92"/>
        <v>{5303001,20}</v>
      </c>
      <c r="BE345" s="23" t="str">
        <f ca="1" t="shared" si="98"/>
        <v>{50039,1}</v>
      </c>
      <c r="BF345" s="23" t="str">
        <f ca="1" t="shared" si="75"/>
        <v>{2,600}</v>
      </c>
      <c r="BI345" s="23" t="str">
        <f ca="1" t="shared" si="76"/>
        <v>[{35,1},{50003,15},{5143001,200},{2,240}]</v>
      </c>
      <c r="BJ345" s="23" t="str">
        <f ca="1" t="shared" si="77"/>
        <v>[{5113001,250},{5523001,200},{5303001,15},{50005,25},{9,1},{2,360},{5204001,5}]</v>
      </c>
      <c r="BK345" s="23" t="str">
        <f ca="1" t="shared" si="78"/>
        <v>[{5205001,3},{1,150},{5523001,300},{5123001,300},{5303001,20},{50039,1},{2,600}]</v>
      </c>
      <c r="BL345" s="23">
        <f ca="1" t="shared" si="79"/>
        <v>4</v>
      </c>
      <c r="BM345" s="23">
        <f ca="1" t="shared" si="80"/>
        <v>7</v>
      </c>
      <c r="BN345" s="23">
        <f ca="1" t="shared" si="82"/>
        <v>7</v>
      </c>
      <c r="BP345" s="71" t="s">
        <v>374</v>
      </c>
      <c r="BQ345" s="71">
        <v>150</v>
      </c>
    </row>
    <row r="346" ht="16.5" spans="2:69">
      <c r="B346" s="23">
        <v>26</v>
      </c>
      <c r="C346" s="12"/>
      <c r="D346" s="71"/>
      <c r="E346" s="71"/>
      <c r="F346" s="71"/>
      <c r="G346" s="71" t="str">
        <f t="shared" si="84"/>
        <v>衣服图纸</v>
      </c>
      <c r="H346" s="71">
        <v>15</v>
      </c>
      <c r="I346" s="71" t="str">
        <f t="shared" si="89"/>
        <v>战士特饮</v>
      </c>
      <c r="J346" s="71">
        <v>200</v>
      </c>
      <c r="K346" s="71" t="s">
        <v>96</v>
      </c>
      <c r="L346" s="71">
        <v>240</v>
      </c>
      <c r="M346" s="71" t="str">
        <f t="shared" si="93"/>
        <v>法师特饮</v>
      </c>
      <c r="N346" s="71">
        <f t="shared" si="99"/>
        <v>250</v>
      </c>
      <c r="O346" s="71" t="s">
        <v>316</v>
      </c>
      <c r="P346" s="71">
        <v>200</v>
      </c>
      <c r="Q346" s="71" t="s">
        <v>149</v>
      </c>
      <c r="R346" s="71">
        <v>15</v>
      </c>
      <c r="S346" s="72" t="str">
        <f t="shared" si="86"/>
        <v>裤子图纸</v>
      </c>
      <c r="T346" s="71">
        <v>25</v>
      </c>
      <c r="U346" s="71" t="str">
        <f t="shared" si="87"/>
        <v/>
      </c>
      <c r="V346" s="71">
        <f t="shared" si="88"/>
        <v>0</v>
      </c>
      <c r="W346" s="71" t="s">
        <v>96</v>
      </c>
      <c r="X346" s="71">
        <f t="shared" si="60"/>
        <v>360</v>
      </c>
      <c r="Y346" s="71"/>
      <c r="Z346" s="71"/>
      <c r="AA346" s="71" t="str">
        <f t="shared" si="95"/>
        <v>基因罐</v>
      </c>
      <c r="AB346" s="71">
        <f t="shared" si="101"/>
        <v>30</v>
      </c>
      <c r="AC346" s="71" t="s">
        <v>374</v>
      </c>
      <c r="AD346" s="71">
        <v>150</v>
      </c>
      <c r="AE346" s="72" t="str">
        <f t="shared" si="90"/>
        <v>辅助特饮</v>
      </c>
      <c r="AF346" s="71">
        <v>300</v>
      </c>
      <c r="AG346" s="71" t="s">
        <v>149</v>
      </c>
      <c r="AH346" s="71">
        <v>20</v>
      </c>
      <c r="AI346" s="71" t="s">
        <v>390</v>
      </c>
      <c r="AJ346" s="71">
        <v>1</v>
      </c>
      <c r="AK346" s="71" t="s">
        <v>96</v>
      </c>
      <c r="AL346" s="71">
        <f t="shared" si="61"/>
        <v>600</v>
      </c>
      <c r="AN346" s="23" t="str">
        <f ca="1" t="shared" si="91"/>
        <v>{11,5}</v>
      </c>
      <c r="AO346" s="23" t="str">
        <f ca="1" t="shared" si="83"/>
        <v/>
      </c>
      <c r="AP346" s="23" t="str">
        <f ca="1" t="shared" si="63"/>
        <v>{50004,15}</v>
      </c>
      <c r="AQ346" s="23" t="str">
        <f ca="1" t="shared" si="64"/>
        <v>{5113001,200}</v>
      </c>
      <c r="AR346" s="23" t="str">
        <f ca="1" t="shared" si="65"/>
        <v>{2,240}</v>
      </c>
      <c r="AS346" s="23" t="str">
        <f ca="1" t="shared" si="66"/>
        <v>{5123001,250}</v>
      </c>
      <c r="AT346" s="23" t="str">
        <f ca="1" t="shared" si="97"/>
        <v>{5523001,200}</v>
      </c>
      <c r="AU346" s="23" t="str">
        <f ca="1" t="shared" si="81"/>
        <v>{5303001,15}</v>
      </c>
      <c r="AV346" s="23" t="str">
        <f ca="1" t="shared" si="67"/>
        <v>{50006,25}</v>
      </c>
      <c r="AW346" s="23" t="str">
        <f ca="1" t="shared" si="68"/>
        <v/>
      </c>
      <c r="AX346" s="23" t="str">
        <f ca="1" t="shared" si="69"/>
        <v>{2,360}</v>
      </c>
      <c r="AY346" s="23" t="str">
        <f ca="1" t="shared" si="70"/>
        <v>{5204001,5}</v>
      </c>
      <c r="AZ346" s="23" t="str">
        <f ca="1" t="shared" si="100"/>
        <v>{5203001,30}</v>
      </c>
      <c r="BA346" s="23" t="str">
        <f ca="1" t="shared" si="72"/>
        <v>{1,150}</v>
      </c>
      <c r="BB346" s="23" t="s">
        <v>401</v>
      </c>
      <c r="BC346" s="23" t="str">
        <f ca="1" t="shared" si="73"/>
        <v>{5143001,300}</v>
      </c>
      <c r="BD346" s="23" t="str">
        <f ca="1" t="shared" si="92"/>
        <v>{5303001,20}</v>
      </c>
      <c r="BE346" s="23" t="str">
        <f ca="1" t="shared" si="98"/>
        <v>{50039,1}</v>
      </c>
      <c r="BF346" s="23" t="str">
        <f ca="1" t="shared" si="75"/>
        <v>{2,600}</v>
      </c>
      <c r="BI346" s="23" t="str">
        <f ca="1" t="shared" si="76"/>
        <v>[{11,5},{50004,15},{5113001,200},{2,240}]</v>
      </c>
      <c r="BJ346" s="23" t="str">
        <f ca="1" t="shared" si="77"/>
        <v>[{5123001,250},{5523001,200},{5303001,15},{50006,25},{2,360},{5204001,5}]</v>
      </c>
      <c r="BK346" s="23" t="str">
        <f ca="1" t="shared" si="78"/>
        <v>[{5203001,30},{1,150},{5523001,300},{5143001,300},{5303001,20},{50039,1},{2,600}]</v>
      </c>
      <c r="BL346" s="23">
        <f ca="1" t="shared" si="79"/>
        <v>4</v>
      </c>
      <c r="BM346" s="23">
        <f ca="1" t="shared" si="80"/>
        <v>6</v>
      </c>
      <c r="BN346" s="23">
        <f ca="1" t="shared" si="82"/>
        <v>7</v>
      </c>
      <c r="BP346" s="71" t="s">
        <v>374</v>
      </c>
      <c r="BQ346" s="71">
        <v>150</v>
      </c>
    </row>
    <row r="347" ht="16.5" spans="2:69">
      <c r="B347" s="23">
        <v>27</v>
      </c>
      <c r="C347" s="12"/>
      <c r="D347" s="71"/>
      <c r="E347" s="71"/>
      <c r="F347" s="71"/>
      <c r="G347" s="71" t="str">
        <f t="shared" si="84"/>
        <v>护臂图纸</v>
      </c>
      <c r="H347" s="71">
        <v>15</v>
      </c>
      <c r="I347" s="71" t="str">
        <f t="shared" si="89"/>
        <v>毒系特饮</v>
      </c>
      <c r="J347" s="71">
        <v>200</v>
      </c>
      <c r="K347" s="71" t="s">
        <v>96</v>
      </c>
      <c r="L347" s="71">
        <v>240</v>
      </c>
      <c r="M347" s="71" t="str">
        <f t="shared" si="93"/>
        <v>辅助特饮</v>
      </c>
      <c r="N347" s="71">
        <f t="shared" si="99"/>
        <v>250</v>
      </c>
      <c r="O347" s="71" t="s">
        <v>316</v>
      </c>
      <c r="P347" s="71">
        <v>200</v>
      </c>
      <c r="Q347" s="71" t="s">
        <v>149</v>
      </c>
      <c r="R347" s="71">
        <v>15</v>
      </c>
      <c r="S347" s="72" t="str">
        <f t="shared" si="86"/>
        <v>鞋子图纸</v>
      </c>
      <c r="T347" s="71">
        <v>25</v>
      </c>
      <c r="U347" s="71" t="str">
        <f t="shared" si="87"/>
        <v/>
      </c>
      <c r="V347" s="71">
        <f t="shared" si="88"/>
        <v>0</v>
      </c>
      <c r="W347" s="71" t="s">
        <v>96</v>
      </c>
      <c r="X347" s="71">
        <f t="shared" si="60"/>
        <v>360</v>
      </c>
      <c r="Y347" s="71"/>
      <c r="Z347" s="71"/>
      <c r="AA347" s="71" t="str">
        <f t="shared" si="95"/>
        <v>基因罐</v>
      </c>
      <c r="AB347" s="71">
        <f t="shared" si="101"/>
        <v>30</v>
      </c>
      <c r="AC347" s="71" t="s">
        <v>374</v>
      </c>
      <c r="AD347" s="71">
        <v>150</v>
      </c>
      <c r="AE347" s="72" t="str">
        <f t="shared" si="90"/>
        <v>毒系特饮</v>
      </c>
      <c r="AF347" s="71">
        <v>300</v>
      </c>
      <c r="AG347" s="71" t="s">
        <v>149</v>
      </c>
      <c r="AH347" s="71">
        <v>20</v>
      </c>
      <c r="AI347" s="71" t="s">
        <v>390</v>
      </c>
      <c r="AJ347" s="71">
        <v>1</v>
      </c>
      <c r="AK347" s="71" t="s">
        <v>96</v>
      </c>
      <c r="AL347" s="71">
        <f t="shared" si="61"/>
        <v>600</v>
      </c>
      <c r="AN347" s="23" t="str">
        <f ca="1" t="shared" si="91"/>
        <v>{11,5}</v>
      </c>
      <c r="AO347" s="23" t="str">
        <f ca="1" t="shared" si="83"/>
        <v/>
      </c>
      <c r="AP347" s="23" t="str">
        <f ca="1" t="shared" si="63"/>
        <v>{50005,15}</v>
      </c>
      <c r="AQ347" s="23" t="str">
        <f ca="1" t="shared" si="64"/>
        <v>{5163001,200}</v>
      </c>
      <c r="AR347" s="23" t="str">
        <f ca="1" t="shared" si="65"/>
        <v>{2,240}</v>
      </c>
      <c r="AS347" s="23" t="str">
        <f ca="1" t="shared" si="66"/>
        <v>{5143001,250}</v>
      </c>
      <c r="AT347" s="23" t="str">
        <f ca="1" t="shared" si="97"/>
        <v>{5523001,200}</v>
      </c>
      <c r="AU347" s="23" t="str">
        <f ca="1" t="shared" si="81"/>
        <v>{5303001,15}</v>
      </c>
      <c r="AV347" s="23" t="str">
        <f ca="1" t="shared" si="67"/>
        <v>{50007,25}</v>
      </c>
      <c r="AW347" s="23" t="str">
        <f ca="1" t="shared" si="68"/>
        <v/>
      </c>
      <c r="AX347" s="23" t="str">
        <f ca="1" t="shared" si="69"/>
        <v>{2,360}</v>
      </c>
      <c r="AY347" s="23" t="str">
        <f ca="1" t="shared" si="70"/>
        <v>{5204001,5}</v>
      </c>
      <c r="AZ347" s="23" t="str">
        <f ca="1" t="shared" si="100"/>
        <v>{5203001,30}</v>
      </c>
      <c r="BA347" s="23" t="str">
        <f ca="1" t="shared" si="72"/>
        <v>{1,150}</v>
      </c>
      <c r="BB347" s="23" t="s">
        <v>401</v>
      </c>
      <c r="BC347" s="23" t="str">
        <f ca="1" t="shared" si="73"/>
        <v>{5163001,300}</v>
      </c>
      <c r="BD347" s="23" t="str">
        <f ca="1" t="shared" si="92"/>
        <v>{5303001,20}</v>
      </c>
      <c r="BE347" s="23" t="str">
        <f ca="1" t="shared" si="98"/>
        <v>{50039,1}</v>
      </c>
      <c r="BF347" s="23" t="str">
        <f ca="1" t="shared" si="75"/>
        <v>{2,600}</v>
      </c>
      <c r="BI347" s="23" t="str">
        <f ca="1" t="shared" si="76"/>
        <v>[{11,5},{50005,15},{5163001,200},{2,240}]</v>
      </c>
      <c r="BJ347" s="23" t="str">
        <f ca="1" t="shared" si="77"/>
        <v>[{5143001,250},{5523001,200},{5303001,15},{50007,25},{2,360},{5204001,5}]</v>
      </c>
      <c r="BK347" s="23" t="str">
        <f ca="1" t="shared" si="78"/>
        <v>[{5203001,30},{1,150},{5523001,300},{5163001,300},{5303001,20},{50039,1},{2,600}]</v>
      </c>
      <c r="BL347" s="23">
        <f ca="1" t="shared" si="79"/>
        <v>4</v>
      </c>
      <c r="BM347" s="23">
        <f ca="1" t="shared" si="80"/>
        <v>6</v>
      </c>
      <c r="BN347" s="23">
        <f ca="1" t="shared" si="82"/>
        <v>7</v>
      </c>
      <c r="BP347" s="71" t="s">
        <v>374</v>
      </c>
      <c r="BQ347" s="71">
        <v>150</v>
      </c>
    </row>
    <row r="348" ht="16.5" spans="2:69">
      <c r="B348" s="23">
        <v>28</v>
      </c>
      <c r="C348" s="12"/>
      <c r="D348" s="71"/>
      <c r="E348" s="71"/>
      <c r="F348" s="71"/>
      <c r="G348" s="71" t="str">
        <f t="shared" si="84"/>
        <v>裤子图纸</v>
      </c>
      <c r="H348" s="71">
        <v>15</v>
      </c>
      <c r="I348" s="71" t="str">
        <f t="shared" si="89"/>
        <v>控制特饮</v>
      </c>
      <c r="J348" s="71">
        <v>200</v>
      </c>
      <c r="K348" s="71" t="s">
        <v>96</v>
      </c>
      <c r="L348" s="71">
        <v>240</v>
      </c>
      <c r="M348" s="71" t="str">
        <f t="shared" si="93"/>
        <v>射手特饮</v>
      </c>
      <c r="N348" s="71">
        <f t="shared" si="99"/>
        <v>250</v>
      </c>
      <c r="O348" s="71" t="s">
        <v>316</v>
      </c>
      <c r="P348" s="71">
        <v>200</v>
      </c>
      <c r="Q348" s="71" t="s">
        <v>149</v>
      </c>
      <c r="R348" s="71">
        <v>15</v>
      </c>
      <c r="S348" s="72" t="str">
        <f t="shared" si="86"/>
        <v>手套图纸</v>
      </c>
      <c r="T348" s="71">
        <v>25</v>
      </c>
      <c r="U348" s="71" t="str">
        <f t="shared" si="87"/>
        <v/>
      </c>
      <c r="V348" s="71">
        <f t="shared" si="88"/>
        <v>0</v>
      </c>
      <c r="W348" s="71" t="s">
        <v>96</v>
      </c>
      <c r="X348" s="71">
        <f t="shared" si="60"/>
        <v>360</v>
      </c>
      <c r="Y348" s="71"/>
      <c r="Z348" s="71"/>
      <c r="AA348" s="71" t="str">
        <f t="shared" si="95"/>
        <v>基因罐</v>
      </c>
      <c r="AB348" s="71">
        <f t="shared" si="101"/>
        <v>30</v>
      </c>
      <c r="AC348" s="71" t="s">
        <v>374</v>
      </c>
      <c r="AD348" s="71">
        <v>150</v>
      </c>
      <c r="AE348" s="72" t="str">
        <f t="shared" si="90"/>
        <v>控制特饮</v>
      </c>
      <c r="AF348" s="71">
        <v>300</v>
      </c>
      <c r="AG348" s="71" t="s">
        <v>149</v>
      </c>
      <c r="AH348" s="71">
        <v>20</v>
      </c>
      <c r="AI348" s="71" t="s">
        <v>390</v>
      </c>
      <c r="AJ348" s="71">
        <v>1</v>
      </c>
      <c r="AK348" s="71" t="s">
        <v>96</v>
      </c>
      <c r="AL348" s="71">
        <f t="shared" si="61"/>
        <v>600</v>
      </c>
      <c r="AN348" s="23" t="str">
        <f ca="1" t="shared" si="91"/>
        <v>{11,5}</v>
      </c>
      <c r="AO348" s="23" t="str">
        <f ca="1" t="shared" si="83"/>
        <v/>
      </c>
      <c r="AP348" s="23" t="str">
        <f ca="1" t="shared" si="63"/>
        <v>{50006,15}</v>
      </c>
      <c r="AQ348" s="23" t="str">
        <f ca="1" t="shared" si="64"/>
        <v>{5153001,200}</v>
      </c>
      <c r="AR348" s="23" t="str">
        <f ca="1" t="shared" si="65"/>
        <v>{2,240}</v>
      </c>
      <c r="AS348" s="23" t="str">
        <f ca="1" t="shared" si="66"/>
        <v>{5133001,250}</v>
      </c>
      <c r="AT348" s="23" t="str">
        <f ca="1" t="shared" si="97"/>
        <v>{5523001,200}</v>
      </c>
      <c r="AU348" s="23" t="str">
        <f ca="1" t="shared" si="81"/>
        <v>{5303001,15}</v>
      </c>
      <c r="AV348" s="23" t="str">
        <f ca="1" t="shared" si="67"/>
        <v>{50008,25}</v>
      </c>
      <c r="AW348" s="23" t="str">
        <f ca="1" t="shared" si="68"/>
        <v/>
      </c>
      <c r="AX348" s="23" t="str">
        <f ca="1" t="shared" si="69"/>
        <v>{2,360}</v>
      </c>
      <c r="AY348" s="23" t="str">
        <f ca="1" t="shared" si="70"/>
        <v>{5204001,5}</v>
      </c>
      <c r="AZ348" s="23" t="str">
        <f ca="1" t="shared" si="100"/>
        <v>{5203001,30}</v>
      </c>
      <c r="BA348" s="23" t="str">
        <f ca="1" t="shared" si="72"/>
        <v>{1,150}</v>
      </c>
      <c r="BB348" s="23" t="s">
        <v>401</v>
      </c>
      <c r="BC348" s="23" t="str">
        <f ca="1" t="shared" si="73"/>
        <v>{5153001,300}</v>
      </c>
      <c r="BD348" s="23" t="str">
        <f ca="1" t="shared" si="92"/>
        <v>{5303001,20}</v>
      </c>
      <c r="BE348" s="23" t="str">
        <f ca="1" t="shared" si="98"/>
        <v>{50039,1}</v>
      </c>
      <c r="BF348" s="23" t="str">
        <f ca="1" t="shared" si="75"/>
        <v>{2,600}</v>
      </c>
      <c r="BI348" s="23" t="str">
        <f ca="1" t="shared" si="76"/>
        <v>[{11,5},{50006,15},{5153001,200},{2,240}]</v>
      </c>
      <c r="BJ348" s="23" t="str">
        <f ca="1" t="shared" si="77"/>
        <v>[{5133001,250},{5523001,200},{5303001,15},{50008,25},{2,360},{5204001,5}]</v>
      </c>
      <c r="BK348" s="23" t="str">
        <f ca="1" t="shared" si="78"/>
        <v>[{5203001,30},{1,150},{5523001,300},{5153001,300},{5303001,20},{50039,1},{2,600}]</v>
      </c>
      <c r="BL348" s="23">
        <f ca="1" t="shared" si="79"/>
        <v>4</v>
      </c>
      <c r="BM348" s="23">
        <f ca="1" t="shared" si="80"/>
        <v>6</v>
      </c>
      <c r="BN348" s="23">
        <f ca="1" t="shared" si="82"/>
        <v>7</v>
      </c>
      <c r="BP348" s="71" t="s">
        <v>374</v>
      </c>
      <c r="BQ348" s="71">
        <v>150</v>
      </c>
    </row>
    <row r="349" ht="16.5" spans="2:69">
      <c r="B349" s="23">
        <v>29</v>
      </c>
      <c r="C349" s="12"/>
      <c r="D349" s="71"/>
      <c r="E349" s="71"/>
      <c r="F349" s="71"/>
      <c r="G349" s="71" t="str">
        <f t="shared" si="84"/>
        <v>鞋子图纸</v>
      </c>
      <c r="H349" s="71">
        <v>15</v>
      </c>
      <c r="I349" s="71" t="str">
        <f t="shared" si="89"/>
        <v>射手特饮</v>
      </c>
      <c r="J349" s="71">
        <v>200</v>
      </c>
      <c r="K349" s="71" t="s">
        <v>96</v>
      </c>
      <c r="L349" s="71">
        <v>240</v>
      </c>
      <c r="M349" s="71" t="str">
        <f t="shared" si="93"/>
        <v>毒系特饮</v>
      </c>
      <c r="N349" s="71">
        <f t="shared" si="99"/>
        <v>250</v>
      </c>
      <c r="O349" s="71" t="s">
        <v>316</v>
      </c>
      <c r="P349" s="71">
        <v>200</v>
      </c>
      <c r="Q349" s="71" t="s">
        <v>149</v>
      </c>
      <c r="R349" s="71">
        <v>15</v>
      </c>
      <c r="S349" s="72" t="str">
        <f t="shared" si="86"/>
        <v>头盔图纸</v>
      </c>
      <c r="T349" s="71">
        <v>25</v>
      </c>
      <c r="U349" s="71" t="str">
        <f t="shared" si="87"/>
        <v/>
      </c>
      <c r="V349" s="71">
        <f t="shared" si="88"/>
        <v>0</v>
      </c>
      <c r="W349" s="71" t="s">
        <v>96</v>
      </c>
      <c r="X349" s="71">
        <f t="shared" si="60"/>
        <v>360</v>
      </c>
      <c r="Y349" s="71"/>
      <c r="Z349" s="71"/>
      <c r="AA349" s="71" t="str">
        <f t="shared" si="95"/>
        <v>基因罐</v>
      </c>
      <c r="AB349" s="71">
        <f t="shared" si="101"/>
        <v>30</v>
      </c>
      <c r="AC349" s="71" t="s">
        <v>374</v>
      </c>
      <c r="AD349" s="71">
        <v>150</v>
      </c>
      <c r="AE349" s="72" t="str">
        <f t="shared" si="90"/>
        <v>射手特饮</v>
      </c>
      <c r="AF349" s="71">
        <v>300</v>
      </c>
      <c r="AG349" s="71" t="s">
        <v>149</v>
      </c>
      <c r="AH349" s="71">
        <v>20</v>
      </c>
      <c r="AI349" s="71" t="s">
        <v>390</v>
      </c>
      <c r="AJ349" s="71">
        <v>1</v>
      </c>
      <c r="AK349" s="71" t="s">
        <v>96</v>
      </c>
      <c r="AL349" s="71">
        <f t="shared" si="61"/>
        <v>600</v>
      </c>
      <c r="AN349" s="23" t="str">
        <f ca="1" t="shared" si="91"/>
        <v>{11,5}</v>
      </c>
      <c r="AO349" s="23" t="str">
        <f ca="1" t="shared" si="83"/>
        <v/>
      </c>
      <c r="AP349" s="23" t="str">
        <f ca="1" t="shared" si="63"/>
        <v>{50007,15}</v>
      </c>
      <c r="AQ349" s="23" t="str">
        <f ca="1" t="shared" si="64"/>
        <v>{5133001,200}</v>
      </c>
      <c r="AR349" s="23" t="str">
        <f ca="1" t="shared" si="65"/>
        <v>{2,240}</v>
      </c>
      <c r="AS349" s="23" t="str">
        <f ca="1" t="shared" si="66"/>
        <v>{5163001,250}</v>
      </c>
      <c r="AT349" s="23" t="str">
        <f ca="1" t="shared" si="97"/>
        <v>{5523001,200}</v>
      </c>
      <c r="AU349" s="23" t="str">
        <f ca="1" t="shared" si="81"/>
        <v>{5303001,15}</v>
      </c>
      <c r="AV349" s="23" t="str">
        <f ca="1" t="shared" si="67"/>
        <v>{50003,25}</v>
      </c>
      <c r="AW349" s="23" t="str">
        <f ca="1" t="shared" si="68"/>
        <v/>
      </c>
      <c r="AX349" s="23" t="str">
        <f ca="1" t="shared" si="69"/>
        <v>{2,360}</v>
      </c>
      <c r="AY349" s="23" t="str">
        <f ca="1" t="shared" si="70"/>
        <v>{5204001,5}</v>
      </c>
      <c r="AZ349" s="23" t="str">
        <f ca="1" t="shared" si="100"/>
        <v>{5203001,30}</v>
      </c>
      <c r="BA349" s="23" t="str">
        <f ca="1" t="shared" si="72"/>
        <v>{1,150}</v>
      </c>
      <c r="BB349" s="23" t="s">
        <v>401</v>
      </c>
      <c r="BC349" s="23" t="str">
        <f ca="1" t="shared" si="73"/>
        <v>{5133001,300}</v>
      </c>
      <c r="BD349" s="23" t="str">
        <f ca="1" t="shared" si="92"/>
        <v>{5303001,20}</v>
      </c>
      <c r="BE349" s="23" t="str">
        <f ca="1" t="shared" si="98"/>
        <v>{50039,1}</v>
      </c>
      <c r="BF349" s="23" t="str">
        <f ca="1" t="shared" si="75"/>
        <v>{2,600}</v>
      </c>
      <c r="BI349" s="23" t="str">
        <f ca="1" t="shared" si="76"/>
        <v>[{11,5},{50007,15},{5133001,200},{2,240}]</v>
      </c>
      <c r="BJ349" s="23" t="str">
        <f ca="1" t="shared" si="77"/>
        <v>[{5163001,250},{5523001,200},{5303001,15},{50003,25},{2,360},{5204001,5}]</v>
      </c>
      <c r="BK349" s="23" t="str">
        <f ca="1" t="shared" si="78"/>
        <v>[{5203001,30},{1,150},{5523001,300},{5133001,300},{5303001,20},{50039,1},{2,600}]</v>
      </c>
      <c r="BL349" s="23">
        <f ca="1" t="shared" si="79"/>
        <v>4</v>
      </c>
      <c r="BM349" s="23">
        <f ca="1" t="shared" si="80"/>
        <v>6</v>
      </c>
      <c r="BN349" s="23">
        <f ca="1" t="shared" si="82"/>
        <v>7</v>
      </c>
      <c r="BP349" s="71" t="s">
        <v>374</v>
      </c>
      <c r="BQ349" s="71">
        <v>150</v>
      </c>
    </row>
    <row r="350" s="69" customFormat="1" ht="16.5" spans="2:69">
      <c r="B350" s="26">
        <v>30</v>
      </c>
      <c r="C350" s="75" t="s">
        <v>240</v>
      </c>
      <c r="D350" s="76">
        <v>1</v>
      </c>
      <c r="E350" s="76"/>
      <c r="F350" s="76"/>
      <c r="G350" s="76" t="str">
        <f t="shared" si="84"/>
        <v>手套图纸</v>
      </c>
      <c r="H350" s="76">
        <v>15</v>
      </c>
      <c r="I350" s="76" t="str">
        <f t="shared" si="89"/>
        <v>法师特饮</v>
      </c>
      <c r="J350" s="76">
        <v>200</v>
      </c>
      <c r="K350" s="76" t="s">
        <v>96</v>
      </c>
      <c r="L350" s="71">
        <v>240</v>
      </c>
      <c r="M350" s="76" t="str">
        <f t="shared" si="93"/>
        <v>控制特饮</v>
      </c>
      <c r="N350" s="76">
        <f t="shared" si="99"/>
        <v>250</v>
      </c>
      <c r="O350" s="76" t="s">
        <v>316</v>
      </c>
      <c r="P350" s="76">
        <v>200</v>
      </c>
      <c r="Q350" s="76" t="s">
        <v>149</v>
      </c>
      <c r="R350" s="76">
        <v>15</v>
      </c>
      <c r="S350" s="77" t="str">
        <f t="shared" si="86"/>
        <v>衣服图纸</v>
      </c>
      <c r="T350" s="76">
        <v>25</v>
      </c>
      <c r="U350" s="76" t="str">
        <f t="shared" si="87"/>
        <v>灵感获取令</v>
      </c>
      <c r="V350" s="76">
        <f t="shared" si="88"/>
        <v>1</v>
      </c>
      <c r="W350" s="76" t="s">
        <v>96</v>
      </c>
      <c r="X350" s="76">
        <f t="shared" si="60"/>
        <v>360</v>
      </c>
      <c r="Y350" s="71"/>
      <c r="Z350" s="71"/>
      <c r="AA350" s="76" t="str">
        <f t="shared" si="95"/>
        <v>传说基因罐</v>
      </c>
      <c r="AB350" s="71">
        <f t="shared" si="101"/>
        <v>3</v>
      </c>
      <c r="AC350" s="76" t="s">
        <v>374</v>
      </c>
      <c r="AD350" s="76">
        <v>150</v>
      </c>
      <c r="AE350" s="77" t="str">
        <f t="shared" si="90"/>
        <v>战士特饮</v>
      </c>
      <c r="AF350" s="76">
        <v>300</v>
      </c>
      <c r="AG350" s="76" t="s">
        <v>149</v>
      </c>
      <c r="AH350" s="76">
        <v>20</v>
      </c>
      <c r="AI350" s="76" t="s">
        <v>390</v>
      </c>
      <c r="AJ350" s="76">
        <v>1</v>
      </c>
      <c r="AK350" s="76" t="s">
        <v>96</v>
      </c>
      <c r="AL350" s="76">
        <f t="shared" si="61"/>
        <v>600</v>
      </c>
      <c r="AN350" s="26" t="str">
        <f ca="1" t="shared" si="91"/>
        <v>{35,1}</v>
      </c>
      <c r="AO350" s="26" t="str">
        <f ca="1" t="shared" si="83"/>
        <v/>
      </c>
      <c r="AP350" s="26" t="str">
        <f ca="1" t="shared" si="63"/>
        <v>{50008,15}</v>
      </c>
      <c r="AQ350" s="26" t="str">
        <f ca="1" t="shared" si="64"/>
        <v>{5123001,200}</v>
      </c>
      <c r="AR350" s="26" t="str">
        <f ca="1" t="shared" si="65"/>
        <v>{2,240}</v>
      </c>
      <c r="AS350" s="26" t="str">
        <f ca="1" t="shared" si="66"/>
        <v>{5153001,250}</v>
      </c>
      <c r="AT350" s="26" t="str">
        <f ca="1" t="shared" si="97"/>
        <v>{5523001,200}</v>
      </c>
      <c r="AU350" s="26" t="str">
        <f ca="1" t="shared" si="81"/>
        <v>{5303001,15}</v>
      </c>
      <c r="AV350" s="26" t="str">
        <f ca="1" t="shared" si="67"/>
        <v>{50004,25}</v>
      </c>
      <c r="AW350" s="26" t="str">
        <f ca="1" t="shared" si="68"/>
        <v>{9,1}</v>
      </c>
      <c r="AX350" s="26" t="str">
        <f ca="1" t="shared" si="69"/>
        <v>{2,360}</v>
      </c>
      <c r="AY350" s="26" t="str">
        <f ca="1" t="shared" si="70"/>
        <v>{5204001,5}</v>
      </c>
      <c r="AZ350" s="23" t="str">
        <f ca="1" t="shared" si="100"/>
        <v>{5205001,3}</v>
      </c>
      <c r="BA350" s="26" t="str">
        <f ca="1" t="shared" si="72"/>
        <v>{1,150}</v>
      </c>
      <c r="BB350" s="26" t="s">
        <v>401</v>
      </c>
      <c r="BC350" s="26" t="str">
        <f ca="1" t="shared" si="73"/>
        <v>{5113001,300}</v>
      </c>
      <c r="BD350" s="26" t="str">
        <f ca="1" t="shared" si="92"/>
        <v>{5303001,20}</v>
      </c>
      <c r="BE350" s="26" t="str">
        <f ca="1" t="shared" si="98"/>
        <v>{50039,1}</v>
      </c>
      <c r="BF350" s="26" t="str">
        <f ca="1" t="shared" si="75"/>
        <v>{2,600}</v>
      </c>
      <c r="BI350" s="26" t="str">
        <f ca="1" t="shared" si="76"/>
        <v>[{35,1},{50008,15},{5123001,200},{2,240}]</v>
      </c>
      <c r="BJ350" s="26" t="str">
        <f ca="1" t="shared" si="77"/>
        <v>[{5153001,250},{5523001,200},{5303001,15},{50004,25},{9,1},{2,360},{5204001,5}]</v>
      </c>
      <c r="BK350" s="23" t="str">
        <f ca="1" t="shared" si="78"/>
        <v>[{5205001,3},{1,150},{5523001,300},{5113001,300},{5303001,20},{50039,1},{2,600}]</v>
      </c>
      <c r="BL350" s="26">
        <f ca="1" t="shared" si="79"/>
        <v>4</v>
      </c>
      <c r="BM350" s="26">
        <f ca="1" t="shared" si="80"/>
        <v>7</v>
      </c>
      <c r="BN350" s="26">
        <f ca="1" t="shared" si="82"/>
        <v>7</v>
      </c>
      <c r="BP350" s="76" t="s">
        <v>374</v>
      </c>
      <c r="BQ350" s="76">
        <v>150</v>
      </c>
    </row>
    <row r="351" ht="16.5" spans="2:69">
      <c r="B351" s="23">
        <v>31</v>
      </c>
      <c r="C351" s="12"/>
      <c r="D351" s="71"/>
      <c r="E351" s="71"/>
      <c r="F351" s="71"/>
      <c r="G351" s="71" t="str">
        <f t="shared" si="84"/>
        <v>头盔图纸</v>
      </c>
      <c r="H351" s="71">
        <v>15</v>
      </c>
      <c r="I351" s="71" t="str">
        <f t="shared" si="89"/>
        <v>辅助特饮</v>
      </c>
      <c r="J351" s="71">
        <v>200</v>
      </c>
      <c r="K351" s="71" t="s">
        <v>96</v>
      </c>
      <c r="L351" s="71">
        <v>240</v>
      </c>
      <c r="M351" s="71" t="str">
        <f t="shared" si="93"/>
        <v>战士特饮</v>
      </c>
      <c r="N351" s="71">
        <f t="shared" si="99"/>
        <v>250</v>
      </c>
      <c r="O351" s="71" t="s">
        <v>316</v>
      </c>
      <c r="P351" s="71">
        <v>200</v>
      </c>
      <c r="Q351" s="71" t="s">
        <v>149</v>
      </c>
      <c r="R351" s="71">
        <v>15</v>
      </c>
      <c r="S351" s="72" t="str">
        <f t="shared" si="86"/>
        <v>护臂图纸</v>
      </c>
      <c r="T351" s="71">
        <v>25</v>
      </c>
      <c r="U351" s="71" t="str">
        <f t="shared" si="87"/>
        <v/>
      </c>
      <c r="V351" s="71">
        <f t="shared" si="88"/>
        <v>0</v>
      </c>
      <c r="W351" s="71" t="s">
        <v>96</v>
      </c>
      <c r="X351" s="71">
        <f t="shared" si="60"/>
        <v>360</v>
      </c>
      <c r="Y351" s="71"/>
      <c r="Z351" s="71"/>
      <c r="AA351" s="71" t="str">
        <f t="shared" si="95"/>
        <v>基因罐</v>
      </c>
      <c r="AB351" s="71">
        <f t="shared" si="101"/>
        <v>30</v>
      </c>
      <c r="AC351" s="71" t="s">
        <v>374</v>
      </c>
      <c r="AD351" s="71">
        <v>150</v>
      </c>
      <c r="AE351" s="72" t="str">
        <f t="shared" si="90"/>
        <v>法师特饮</v>
      </c>
      <c r="AF351" s="71">
        <v>300</v>
      </c>
      <c r="AG351" s="71" t="s">
        <v>149</v>
      </c>
      <c r="AH351" s="71">
        <v>20</v>
      </c>
      <c r="AI351" s="71" t="s">
        <v>390</v>
      </c>
      <c r="AJ351" s="71">
        <v>1</v>
      </c>
      <c r="AK351" s="71" t="s">
        <v>96</v>
      </c>
      <c r="AL351" s="71">
        <f t="shared" si="61"/>
        <v>600</v>
      </c>
      <c r="AN351" s="23" t="str">
        <f ca="1" t="shared" si="91"/>
        <v>{11,5}</v>
      </c>
      <c r="AO351" s="23" t="str">
        <f ca="1" t="shared" si="83"/>
        <v/>
      </c>
      <c r="AP351" s="23" t="str">
        <f ca="1" t="shared" si="63"/>
        <v>{50003,15}</v>
      </c>
      <c r="AQ351" s="23" t="str">
        <f ca="1" t="shared" si="64"/>
        <v>{5143001,200}</v>
      </c>
      <c r="AR351" s="23" t="str">
        <f ca="1" t="shared" si="65"/>
        <v>{2,240}</v>
      </c>
      <c r="AS351" s="23" t="str">
        <f ca="1" t="shared" si="66"/>
        <v>{5113001,250}</v>
      </c>
      <c r="AT351" s="23" t="str">
        <f ca="1" t="shared" si="97"/>
        <v>{5523001,200}</v>
      </c>
      <c r="AU351" s="23" t="str">
        <f ca="1" t="shared" si="81"/>
        <v>{5303001,15}</v>
      </c>
      <c r="AV351" s="23" t="str">
        <f ca="1" t="shared" si="67"/>
        <v>{50005,25}</v>
      </c>
      <c r="AW351" s="23" t="str">
        <f ca="1" t="shared" si="68"/>
        <v/>
      </c>
      <c r="AX351" s="23" t="str">
        <f ca="1" t="shared" si="69"/>
        <v>{2,360}</v>
      </c>
      <c r="AY351" s="23" t="str">
        <f ca="1" t="shared" si="70"/>
        <v>{5204001,5}</v>
      </c>
      <c r="AZ351" s="23" t="str">
        <f ca="1" t="shared" ref="AZ351:AZ414" si="102">IF(OFFSET($B351,0,AZ$320*2+1)="","","{"&amp;VLOOKUP(OFFSET($B351,0,AZ$320*2+1),$AN$291:$AO$312,2,0)&amp;","&amp;OFFSET($B351,0,AZ$320*2+2)&amp;"}")</f>
        <v>{5203001,30}</v>
      </c>
      <c r="BA351" s="23" t="str">
        <f ca="1" t="shared" si="72"/>
        <v>{1,150}</v>
      </c>
      <c r="BB351" s="23" t="s">
        <v>401</v>
      </c>
      <c r="BC351" s="23" t="str">
        <f ca="1" t="shared" si="73"/>
        <v>{5123001,300}</v>
      </c>
      <c r="BD351" s="23" t="str">
        <f ca="1" t="shared" si="92"/>
        <v>{5303001,20}</v>
      </c>
      <c r="BE351" s="23" t="str">
        <f ca="1" t="shared" si="98"/>
        <v>{50039,1}</v>
      </c>
      <c r="BF351" s="23" t="str">
        <f ca="1" t="shared" si="75"/>
        <v>{2,600}</v>
      </c>
      <c r="BI351" s="23" t="str">
        <f ca="1" t="shared" si="76"/>
        <v>[{11,5},{50003,15},{5143001,200},{2,240}]</v>
      </c>
      <c r="BJ351" s="23" t="str">
        <f ca="1" t="shared" si="77"/>
        <v>[{5113001,250},{5523001,200},{5303001,15},{50005,25},{2,360},{5204001,5}]</v>
      </c>
      <c r="BK351" s="23" t="str">
        <f ca="1" t="shared" si="78"/>
        <v>[{5203001,30},{1,150},{5523001,300},{5123001,300},{5303001,20},{50039,1},{2,600}]</v>
      </c>
      <c r="BL351" s="23">
        <f ca="1" t="shared" si="79"/>
        <v>4</v>
      </c>
      <c r="BM351" s="23">
        <f ca="1" t="shared" si="80"/>
        <v>6</v>
      </c>
      <c r="BN351" s="23">
        <f ca="1" t="shared" si="82"/>
        <v>7</v>
      </c>
      <c r="BP351" s="71" t="s">
        <v>374</v>
      </c>
      <c r="BQ351" s="71">
        <v>150</v>
      </c>
    </row>
    <row r="352" ht="16.5" spans="2:69">
      <c r="B352" s="23">
        <v>32</v>
      </c>
      <c r="C352" s="12"/>
      <c r="D352" s="71"/>
      <c r="E352" s="71"/>
      <c r="F352" s="71"/>
      <c r="G352" s="71" t="str">
        <f t="shared" si="84"/>
        <v>衣服图纸</v>
      </c>
      <c r="H352" s="71">
        <v>15</v>
      </c>
      <c r="I352" s="71" t="str">
        <f t="shared" si="89"/>
        <v>战士特饮</v>
      </c>
      <c r="J352" s="71">
        <v>200</v>
      </c>
      <c r="K352" s="71" t="s">
        <v>96</v>
      </c>
      <c r="L352" s="71">
        <v>240</v>
      </c>
      <c r="M352" s="71" t="str">
        <f t="shared" si="93"/>
        <v>法师特饮</v>
      </c>
      <c r="N352" s="71">
        <f t="shared" si="99"/>
        <v>250</v>
      </c>
      <c r="O352" s="71" t="s">
        <v>316</v>
      </c>
      <c r="P352" s="71">
        <v>200</v>
      </c>
      <c r="Q352" s="71" t="s">
        <v>149</v>
      </c>
      <c r="R352" s="71">
        <v>15</v>
      </c>
      <c r="S352" s="72" t="str">
        <f t="shared" si="86"/>
        <v>裤子图纸</v>
      </c>
      <c r="T352" s="71">
        <v>25</v>
      </c>
      <c r="U352" s="71" t="str">
        <f t="shared" si="87"/>
        <v/>
      </c>
      <c r="V352" s="71">
        <f t="shared" si="88"/>
        <v>0</v>
      </c>
      <c r="W352" s="71" t="s">
        <v>96</v>
      </c>
      <c r="X352" s="71">
        <f t="shared" si="60"/>
        <v>360</v>
      </c>
      <c r="Y352" s="71"/>
      <c r="Z352" s="71"/>
      <c r="AA352" s="71" t="str">
        <f t="shared" si="95"/>
        <v>基因罐</v>
      </c>
      <c r="AB352" s="71">
        <f t="shared" si="101"/>
        <v>30</v>
      </c>
      <c r="AC352" s="71" t="s">
        <v>374</v>
      </c>
      <c r="AD352" s="71">
        <v>150</v>
      </c>
      <c r="AE352" s="72" t="str">
        <f t="shared" si="90"/>
        <v>辅助特饮</v>
      </c>
      <c r="AF352" s="71">
        <v>300</v>
      </c>
      <c r="AG352" s="71" t="s">
        <v>149</v>
      </c>
      <c r="AH352" s="71">
        <v>20</v>
      </c>
      <c r="AI352" s="71" t="s">
        <v>390</v>
      </c>
      <c r="AJ352" s="71">
        <v>1</v>
      </c>
      <c r="AK352" s="71" t="s">
        <v>96</v>
      </c>
      <c r="AL352" s="71">
        <f t="shared" si="61"/>
        <v>600</v>
      </c>
      <c r="AN352" s="23" t="str">
        <f ca="1" t="shared" si="91"/>
        <v>{11,5}</v>
      </c>
      <c r="AO352" s="23" t="str">
        <f ca="1" t="shared" si="83"/>
        <v/>
      </c>
      <c r="AP352" s="23" t="str">
        <f ca="1" t="shared" si="63"/>
        <v>{50004,15}</v>
      </c>
      <c r="AQ352" s="23" t="str">
        <f ca="1" t="shared" si="64"/>
        <v>{5113001,200}</v>
      </c>
      <c r="AR352" s="23" t="str">
        <f ca="1" t="shared" si="65"/>
        <v>{2,240}</v>
      </c>
      <c r="AS352" s="23" t="str">
        <f ca="1" t="shared" si="66"/>
        <v>{5123001,250}</v>
      </c>
      <c r="AT352" s="23" t="str">
        <f ca="1" t="shared" si="97"/>
        <v>{5523001,200}</v>
      </c>
      <c r="AU352" s="23" t="str">
        <f ca="1" t="shared" si="81"/>
        <v>{5303001,15}</v>
      </c>
      <c r="AV352" s="23" t="str">
        <f ca="1" t="shared" si="67"/>
        <v>{50006,25}</v>
      </c>
      <c r="AW352" s="23" t="str">
        <f ca="1" t="shared" si="68"/>
        <v/>
      </c>
      <c r="AX352" s="23" t="str">
        <f ca="1" t="shared" si="69"/>
        <v>{2,360}</v>
      </c>
      <c r="AY352" s="23" t="str">
        <f ca="1" t="shared" si="70"/>
        <v>{5204001,5}</v>
      </c>
      <c r="AZ352" s="23" t="str">
        <f ca="1" t="shared" si="102"/>
        <v>{5203001,30}</v>
      </c>
      <c r="BA352" s="23" t="str">
        <f ca="1" t="shared" si="72"/>
        <v>{1,150}</v>
      </c>
      <c r="BB352" s="23" t="s">
        <v>401</v>
      </c>
      <c r="BC352" s="23" t="str">
        <f ca="1" t="shared" si="73"/>
        <v>{5143001,300}</v>
      </c>
      <c r="BD352" s="23" t="str">
        <f ca="1" t="shared" si="92"/>
        <v>{5303001,20}</v>
      </c>
      <c r="BE352" s="23" t="str">
        <f ca="1" t="shared" si="98"/>
        <v>{50039,1}</v>
      </c>
      <c r="BF352" s="23" t="str">
        <f ca="1" t="shared" si="75"/>
        <v>{2,600}</v>
      </c>
      <c r="BI352" s="23" t="str">
        <f ca="1" t="shared" si="76"/>
        <v>[{11,5},{50004,15},{5113001,200},{2,240}]</v>
      </c>
      <c r="BJ352" s="23" t="str">
        <f ca="1" t="shared" si="77"/>
        <v>[{5123001,250},{5523001,200},{5303001,15},{50006,25},{2,360},{5204001,5}]</v>
      </c>
      <c r="BK352" s="23" t="str">
        <f ca="1" t="shared" si="78"/>
        <v>[{5203001,30},{1,150},{5523001,300},{5143001,300},{5303001,20},{50039,1},{2,600}]</v>
      </c>
      <c r="BL352" s="23">
        <f ca="1" t="shared" si="79"/>
        <v>4</v>
      </c>
      <c r="BM352" s="23">
        <f ca="1" t="shared" si="80"/>
        <v>6</v>
      </c>
      <c r="BN352" s="23">
        <f ca="1" t="shared" si="82"/>
        <v>7</v>
      </c>
      <c r="BP352" s="71" t="s">
        <v>374</v>
      </c>
      <c r="BQ352" s="71">
        <v>150</v>
      </c>
    </row>
    <row r="353" ht="16.5" spans="2:69">
      <c r="B353" s="23">
        <v>33</v>
      </c>
      <c r="C353" s="12"/>
      <c r="D353" s="71"/>
      <c r="E353" s="71"/>
      <c r="F353" s="71"/>
      <c r="G353" s="71" t="str">
        <f t="shared" si="84"/>
        <v>护臂图纸</v>
      </c>
      <c r="H353" s="71">
        <v>15</v>
      </c>
      <c r="I353" s="71" t="str">
        <f t="shared" si="89"/>
        <v>毒系特饮</v>
      </c>
      <c r="J353" s="71">
        <v>200</v>
      </c>
      <c r="K353" s="71" t="s">
        <v>96</v>
      </c>
      <c r="L353" s="71">
        <v>240</v>
      </c>
      <c r="M353" s="71" t="str">
        <f t="shared" si="93"/>
        <v>辅助特饮</v>
      </c>
      <c r="N353" s="71">
        <f t="shared" si="99"/>
        <v>250</v>
      </c>
      <c r="O353" s="71" t="s">
        <v>316</v>
      </c>
      <c r="P353" s="71">
        <v>200</v>
      </c>
      <c r="Q353" s="71" t="s">
        <v>149</v>
      </c>
      <c r="R353" s="71">
        <v>15</v>
      </c>
      <c r="S353" s="72" t="str">
        <f t="shared" si="86"/>
        <v>鞋子图纸</v>
      </c>
      <c r="T353" s="71">
        <v>25</v>
      </c>
      <c r="U353" s="71" t="str">
        <f t="shared" si="87"/>
        <v/>
      </c>
      <c r="V353" s="71">
        <f t="shared" si="88"/>
        <v>0</v>
      </c>
      <c r="W353" s="71" t="s">
        <v>96</v>
      </c>
      <c r="X353" s="71">
        <f t="shared" si="60"/>
        <v>360</v>
      </c>
      <c r="Y353" s="71"/>
      <c r="Z353" s="71"/>
      <c r="AA353" s="71" t="str">
        <f t="shared" si="95"/>
        <v>基因罐</v>
      </c>
      <c r="AB353" s="71">
        <f t="shared" si="101"/>
        <v>30</v>
      </c>
      <c r="AC353" s="71" t="s">
        <v>374</v>
      </c>
      <c r="AD353" s="71">
        <v>150</v>
      </c>
      <c r="AE353" s="72" t="str">
        <f t="shared" si="90"/>
        <v>毒系特饮</v>
      </c>
      <c r="AF353" s="71">
        <v>300</v>
      </c>
      <c r="AG353" s="71" t="s">
        <v>149</v>
      </c>
      <c r="AH353" s="71">
        <v>20</v>
      </c>
      <c r="AI353" s="71" t="s">
        <v>390</v>
      </c>
      <c r="AJ353" s="71">
        <v>1</v>
      </c>
      <c r="AK353" s="71" t="s">
        <v>96</v>
      </c>
      <c r="AL353" s="71">
        <f t="shared" si="61"/>
        <v>600</v>
      </c>
      <c r="AN353" s="23" t="str">
        <f ca="1" t="shared" si="91"/>
        <v>{11,5}</v>
      </c>
      <c r="AO353" s="23" t="str">
        <f ca="1" t="shared" si="83"/>
        <v/>
      </c>
      <c r="AP353" s="23" t="str">
        <f ca="1" t="shared" si="63"/>
        <v>{50005,15}</v>
      </c>
      <c r="AQ353" s="23" t="str">
        <f ca="1" t="shared" si="64"/>
        <v>{5163001,200}</v>
      </c>
      <c r="AR353" s="23" t="str">
        <f ca="1" t="shared" si="65"/>
        <v>{2,240}</v>
      </c>
      <c r="AS353" s="23" t="str">
        <f ca="1" t="shared" si="66"/>
        <v>{5143001,250}</v>
      </c>
      <c r="AT353" s="23" t="str">
        <f ca="1" t="shared" si="97"/>
        <v>{5523001,200}</v>
      </c>
      <c r="AU353" s="23" t="str">
        <f ca="1" t="shared" si="81"/>
        <v>{5303001,15}</v>
      </c>
      <c r="AV353" s="23" t="str">
        <f ca="1" t="shared" si="67"/>
        <v>{50007,25}</v>
      </c>
      <c r="AW353" s="23" t="str">
        <f ca="1" t="shared" si="68"/>
        <v/>
      </c>
      <c r="AX353" s="23" t="str">
        <f ca="1" t="shared" si="69"/>
        <v>{2,360}</v>
      </c>
      <c r="AY353" s="23" t="str">
        <f ca="1" t="shared" si="70"/>
        <v>{5204001,5}</v>
      </c>
      <c r="AZ353" s="23" t="str">
        <f ca="1" t="shared" si="102"/>
        <v>{5203001,30}</v>
      </c>
      <c r="BA353" s="23" t="str">
        <f ca="1" t="shared" si="72"/>
        <v>{1,150}</v>
      </c>
      <c r="BB353" s="23" t="s">
        <v>401</v>
      </c>
      <c r="BC353" s="23" t="str">
        <f ca="1" t="shared" si="73"/>
        <v>{5163001,300}</v>
      </c>
      <c r="BD353" s="23" t="str">
        <f ca="1" t="shared" si="92"/>
        <v>{5303001,20}</v>
      </c>
      <c r="BE353" s="23" t="str">
        <f ca="1" t="shared" si="98"/>
        <v>{50039,1}</v>
      </c>
      <c r="BF353" s="23" t="str">
        <f ca="1" t="shared" si="75"/>
        <v>{2,600}</v>
      </c>
      <c r="BI353" s="23" t="str">
        <f ca="1" t="shared" si="76"/>
        <v>[{11,5},{50005,15},{5163001,200},{2,240}]</v>
      </c>
      <c r="BJ353" s="23" t="str">
        <f ca="1" t="shared" si="77"/>
        <v>[{5143001,250},{5523001,200},{5303001,15},{50007,25},{2,360},{5204001,5}]</v>
      </c>
      <c r="BK353" s="23" t="str">
        <f ca="1" t="shared" si="78"/>
        <v>[{5203001,30},{1,150},{5523001,300},{5163001,300},{5303001,20},{50039,1},{2,600}]</v>
      </c>
      <c r="BL353" s="23">
        <f ca="1" t="shared" si="79"/>
        <v>4</v>
      </c>
      <c r="BM353" s="23">
        <f ca="1" t="shared" si="80"/>
        <v>6</v>
      </c>
      <c r="BN353" s="23">
        <f ca="1" t="shared" si="82"/>
        <v>7</v>
      </c>
      <c r="BP353" s="71" t="s">
        <v>374</v>
      </c>
      <c r="BQ353" s="71">
        <v>150</v>
      </c>
    </row>
    <row r="354" ht="16.5" spans="2:69">
      <c r="B354" s="23">
        <v>34</v>
      </c>
      <c r="C354" s="12"/>
      <c r="D354" s="71"/>
      <c r="E354" s="71"/>
      <c r="F354" s="71"/>
      <c r="G354" s="71" t="str">
        <f t="shared" si="84"/>
        <v>裤子图纸</v>
      </c>
      <c r="H354" s="71">
        <v>15</v>
      </c>
      <c r="I354" s="71" t="str">
        <f t="shared" si="89"/>
        <v>控制特饮</v>
      </c>
      <c r="J354" s="71">
        <v>200</v>
      </c>
      <c r="K354" s="71" t="s">
        <v>96</v>
      </c>
      <c r="L354" s="71">
        <v>240</v>
      </c>
      <c r="M354" s="71" t="str">
        <f t="shared" si="93"/>
        <v>射手特饮</v>
      </c>
      <c r="N354" s="71">
        <f t="shared" si="99"/>
        <v>250</v>
      </c>
      <c r="O354" s="71" t="s">
        <v>316</v>
      </c>
      <c r="P354" s="71">
        <v>200</v>
      </c>
      <c r="Q354" s="71" t="s">
        <v>149</v>
      </c>
      <c r="R354" s="71">
        <v>15</v>
      </c>
      <c r="S354" s="72" t="str">
        <f t="shared" si="86"/>
        <v>手套图纸</v>
      </c>
      <c r="T354" s="71">
        <v>25</v>
      </c>
      <c r="U354" s="71" t="str">
        <f t="shared" si="87"/>
        <v/>
      </c>
      <c r="V354" s="71">
        <f t="shared" si="88"/>
        <v>0</v>
      </c>
      <c r="W354" s="71" t="s">
        <v>96</v>
      </c>
      <c r="X354" s="71">
        <f t="shared" si="60"/>
        <v>360</v>
      </c>
      <c r="Y354" s="71"/>
      <c r="Z354" s="71"/>
      <c r="AA354" s="71" t="str">
        <f t="shared" si="95"/>
        <v>基因罐</v>
      </c>
      <c r="AB354" s="71">
        <f t="shared" si="101"/>
        <v>30</v>
      </c>
      <c r="AC354" s="71" t="s">
        <v>374</v>
      </c>
      <c r="AD354" s="71">
        <v>150</v>
      </c>
      <c r="AE354" s="72" t="str">
        <f t="shared" si="90"/>
        <v>控制特饮</v>
      </c>
      <c r="AF354" s="71">
        <v>300</v>
      </c>
      <c r="AG354" s="71" t="s">
        <v>149</v>
      </c>
      <c r="AH354" s="71">
        <v>20</v>
      </c>
      <c r="AI354" s="71" t="s">
        <v>390</v>
      </c>
      <c r="AJ354" s="71">
        <v>1</v>
      </c>
      <c r="AK354" s="71" t="s">
        <v>96</v>
      </c>
      <c r="AL354" s="71">
        <f t="shared" si="61"/>
        <v>600</v>
      </c>
      <c r="AN354" s="23" t="str">
        <f ca="1" t="shared" si="91"/>
        <v>{11,5}</v>
      </c>
      <c r="AO354" s="23" t="str">
        <f ca="1" t="shared" si="83"/>
        <v/>
      </c>
      <c r="AP354" s="23" t="str">
        <f ca="1" t="shared" si="63"/>
        <v>{50006,15}</v>
      </c>
      <c r="AQ354" s="23" t="str">
        <f ca="1" t="shared" si="64"/>
        <v>{5153001,200}</v>
      </c>
      <c r="AR354" s="23" t="str">
        <f ca="1" t="shared" si="65"/>
        <v>{2,240}</v>
      </c>
      <c r="AS354" s="23" t="str">
        <f ca="1" t="shared" si="66"/>
        <v>{5133001,250}</v>
      </c>
      <c r="AT354" s="23" t="str">
        <f ca="1" t="shared" si="97"/>
        <v>{5523001,200}</v>
      </c>
      <c r="AU354" s="23" t="str">
        <f ca="1" t="shared" si="81"/>
        <v>{5303001,15}</v>
      </c>
      <c r="AV354" s="23" t="str">
        <f ca="1" t="shared" si="67"/>
        <v>{50008,25}</v>
      </c>
      <c r="AW354" s="23" t="str">
        <f ca="1" t="shared" si="68"/>
        <v/>
      </c>
      <c r="AX354" s="23" t="str">
        <f ca="1" t="shared" si="69"/>
        <v>{2,360}</v>
      </c>
      <c r="AY354" s="23" t="str">
        <f ca="1" t="shared" si="70"/>
        <v>{5204001,5}</v>
      </c>
      <c r="AZ354" s="23" t="str">
        <f ca="1" t="shared" si="102"/>
        <v>{5203001,30}</v>
      </c>
      <c r="BA354" s="23" t="str">
        <f ca="1" t="shared" si="72"/>
        <v>{1,150}</v>
      </c>
      <c r="BB354" s="23" t="s">
        <v>401</v>
      </c>
      <c r="BC354" s="23" t="str">
        <f ca="1" t="shared" si="73"/>
        <v>{5153001,300}</v>
      </c>
      <c r="BD354" s="23" t="str">
        <f ca="1" t="shared" si="92"/>
        <v>{5303001,20}</v>
      </c>
      <c r="BE354" s="23" t="str">
        <f ca="1" t="shared" si="98"/>
        <v>{50039,1}</v>
      </c>
      <c r="BF354" s="23" t="str">
        <f ca="1" t="shared" si="75"/>
        <v>{2,600}</v>
      </c>
      <c r="BI354" s="23" t="str">
        <f ca="1" t="shared" si="76"/>
        <v>[{11,5},{50006,15},{5153001,200},{2,240}]</v>
      </c>
      <c r="BJ354" s="23" t="str">
        <f ca="1" t="shared" si="77"/>
        <v>[{5133001,250},{5523001,200},{5303001,15},{50008,25},{2,360},{5204001,5}]</v>
      </c>
      <c r="BK354" s="23" t="str">
        <f ca="1" t="shared" si="78"/>
        <v>[{5203001,30},{1,150},{5523001,300},{5153001,300},{5303001,20},{50039,1},{2,600}]</v>
      </c>
      <c r="BL354" s="23">
        <f ca="1" t="shared" si="79"/>
        <v>4</v>
      </c>
      <c r="BM354" s="23">
        <f ca="1" t="shared" si="80"/>
        <v>6</v>
      </c>
      <c r="BN354" s="23">
        <f ca="1" t="shared" si="82"/>
        <v>7</v>
      </c>
      <c r="BP354" s="71" t="s">
        <v>374</v>
      </c>
      <c r="BQ354" s="71">
        <v>150</v>
      </c>
    </row>
    <row r="355" ht="16.5" spans="2:69">
      <c r="B355" s="23">
        <v>35</v>
      </c>
      <c r="C355" s="12" t="s">
        <v>240</v>
      </c>
      <c r="D355" s="71">
        <v>1</v>
      </c>
      <c r="E355" s="71"/>
      <c r="F355" s="71"/>
      <c r="G355" s="71" t="str">
        <f t="shared" si="84"/>
        <v>鞋子图纸</v>
      </c>
      <c r="H355" s="71">
        <v>15</v>
      </c>
      <c r="I355" s="71" t="str">
        <f t="shared" si="89"/>
        <v>射手特饮</v>
      </c>
      <c r="J355" s="71">
        <v>200</v>
      </c>
      <c r="K355" s="71" t="s">
        <v>96</v>
      </c>
      <c r="L355" s="71">
        <v>240</v>
      </c>
      <c r="M355" s="71" t="str">
        <f t="shared" si="93"/>
        <v>毒系特饮</v>
      </c>
      <c r="N355" s="71">
        <f t="shared" si="99"/>
        <v>250</v>
      </c>
      <c r="O355" s="71" t="s">
        <v>316</v>
      </c>
      <c r="P355" s="71">
        <v>200</v>
      </c>
      <c r="Q355" s="71" t="s">
        <v>149</v>
      </c>
      <c r="R355" s="71">
        <v>15</v>
      </c>
      <c r="S355" s="72" t="str">
        <f t="shared" si="86"/>
        <v>头盔图纸</v>
      </c>
      <c r="T355" s="71">
        <v>25</v>
      </c>
      <c r="U355" s="71" t="str">
        <f t="shared" si="87"/>
        <v>灵感获取令</v>
      </c>
      <c r="V355" s="71">
        <f t="shared" si="88"/>
        <v>1</v>
      </c>
      <c r="W355" s="71" t="s">
        <v>96</v>
      </c>
      <c r="X355" s="71">
        <f t="shared" si="60"/>
        <v>360</v>
      </c>
      <c r="Y355" s="71"/>
      <c r="Z355" s="71"/>
      <c r="AA355" s="71" t="str">
        <f t="shared" si="95"/>
        <v>传说基因罐</v>
      </c>
      <c r="AB355" s="71">
        <f t="shared" si="101"/>
        <v>3</v>
      </c>
      <c r="AC355" s="71" t="s">
        <v>374</v>
      </c>
      <c r="AD355" s="71">
        <v>150</v>
      </c>
      <c r="AE355" s="72" t="str">
        <f t="shared" si="90"/>
        <v>射手特饮</v>
      </c>
      <c r="AF355" s="71">
        <v>300</v>
      </c>
      <c r="AG355" s="71" t="s">
        <v>149</v>
      </c>
      <c r="AH355" s="71">
        <v>20</v>
      </c>
      <c r="AI355" s="71" t="s">
        <v>390</v>
      </c>
      <c r="AJ355" s="71">
        <v>1</v>
      </c>
      <c r="AK355" s="71" t="s">
        <v>96</v>
      </c>
      <c r="AL355" s="71">
        <f t="shared" si="61"/>
        <v>600</v>
      </c>
      <c r="AN355" s="23" t="str">
        <f ca="1" t="shared" si="91"/>
        <v>{35,1}</v>
      </c>
      <c r="AO355" s="23" t="str">
        <f ca="1" t="shared" si="83"/>
        <v/>
      </c>
      <c r="AP355" s="23" t="str">
        <f ca="1" t="shared" si="63"/>
        <v>{50007,15}</v>
      </c>
      <c r="AQ355" s="23" t="str">
        <f ca="1" t="shared" si="64"/>
        <v>{5133001,200}</v>
      </c>
      <c r="AR355" s="23" t="str">
        <f ca="1" t="shared" si="65"/>
        <v>{2,240}</v>
      </c>
      <c r="AS355" s="23" t="str">
        <f ca="1" t="shared" si="66"/>
        <v>{5163001,250}</v>
      </c>
      <c r="AT355" s="23" t="str">
        <f ca="1" t="shared" si="97"/>
        <v>{5523001,200}</v>
      </c>
      <c r="AU355" s="23" t="str">
        <f ca="1" t="shared" si="81"/>
        <v>{5303001,15}</v>
      </c>
      <c r="AV355" s="23" t="str">
        <f ca="1" t="shared" si="67"/>
        <v>{50003,25}</v>
      </c>
      <c r="AW355" s="23" t="str">
        <f ca="1" t="shared" si="68"/>
        <v>{9,1}</v>
      </c>
      <c r="AX355" s="23" t="str">
        <f ca="1" t="shared" si="69"/>
        <v>{2,360}</v>
      </c>
      <c r="AY355" s="23" t="str">
        <f ca="1" t="shared" si="70"/>
        <v>{5204001,5}</v>
      </c>
      <c r="AZ355" s="23" t="str">
        <f ca="1" t="shared" si="102"/>
        <v>{5205001,3}</v>
      </c>
      <c r="BA355" s="23" t="str">
        <f ca="1" t="shared" si="72"/>
        <v>{1,150}</v>
      </c>
      <c r="BB355" s="23" t="s">
        <v>401</v>
      </c>
      <c r="BC355" s="23" t="str">
        <f ca="1" t="shared" si="73"/>
        <v>{5133001,300}</v>
      </c>
      <c r="BD355" s="23" t="str">
        <f ca="1" t="shared" si="92"/>
        <v>{5303001,20}</v>
      </c>
      <c r="BE355" s="23" t="str">
        <f ca="1" t="shared" si="98"/>
        <v>{50039,1}</v>
      </c>
      <c r="BF355" s="23" t="str">
        <f ca="1" t="shared" si="75"/>
        <v>{2,600}</v>
      </c>
      <c r="BI355" s="23" t="str">
        <f ca="1" t="shared" si="76"/>
        <v>[{35,1},{50007,15},{5133001,200},{2,240}]</v>
      </c>
      <c r="BJ355" s="23" t="str">
        <f ca="1" t="shared" si="77"/>
        <v>[{5163001,250},{5523001,200},{5303001,15},{50003,25},{9,1},{2,360},{5204001,5}]</v>
      </c>
      <c r="BK355" s="23" t="str">
        <f ca="1" t="shared" si="78"/>
        <v>[{5205001,3},{1,150},{5523001,300},{5133001,300},{5303001,20},{50039,1},{2,600}]</v>
      </c>
      <c r="BL355" s="23">
        <f ca="1" t="shared" si="79"/>
        <v>4</v>
      </c>
      <c r="BM355" s="23">
        <f ca="1" t="shared" si="80"/>
        <v>7</v>
      </c>
      <c r="BN355" s="23">
        <f ca="1" t="shared" si="82"/>
        <v>7</v>
      </c>
      <c r="BP355" s="71" t="s">
        <v>374</v>
      </c>
      <c r="BQ355" s="71">
        <v>150</v>
      </c>
    </row>
    <row r="356" ht="16.5" spans="2:69">
      <c r="B356" s="23">
        <v>36</v>
      </c>
      <c r="C356" s="12"/>
      <c r="D356" s="71"/>
      <c r="E356" s="71"/>
      <c r="F356" s="71"/>
      <c r="G356" s="71" t="str">
        <f t="shared" si="84"/>
        <v>手套图纸</v>
      </c>
      <c r="H356" s="71">
        <v>15</v>
      </c>
      <c r="I356" s="71" t="str">
        <f t="shared" si="89"/>
        <v>法师特饮</v>
      </c>
      <c r="J356" s="71">
        <v>200</v>
      </c>
      <c r="K356" s="71" t="s">
        <v>96</v>
      </c>
      <c r="L356" s="71">
        <v>240</v>
      </c>
      <c r="M356" s="71" t="str">
        <f t="shared" si="93"/>
        <v>控制特饮</v>
      </c>
      <c r="N356" s="71">
        <f t="shared" si="99"/>
        <v>250</v>
      </c>
      <c r="O356" s="71" t="s">
        <v>316</v>
      </c>
      <c r="P356" s="71">
        <v>200</v>
      </c>
      <c r="Q356" s="71" t="s">
        <v>149</v>
      </c>
      <c r="R356" s="71">
        <v>15</v>
      </c>
      <c r="S356" s="72" t="str">
        <f t="shared" si="86"/>
        <v>衣服图纸</v>
      </c>
      <c r="T356" s="71">
        <v>25</v>
      </c>
      <c r="U356" s="71" t="str">
        <f t="shared" si="87"/>
        <v/>
      </c>
      <c r="V356" s="71">
        <f t="shared" si="88"/>
        <v>0</v>
      </c>
      <c r="W356" s="71" t="s">
        <v>96</v>
      </c>
      <c r="X356" s="71">
        <f t="shared" si="60"/>
        <v>360</v>
      </c>
      <c r="Y356" s="71"/>
      <c r="Z356" s="71"/>
      <c r="AA356" s="71" t="str">
        <f t="shared" si="95"/>
        <v>基因罐</v>
      </c>
      <c r="AB356" s="71">
        <f t="shared" si="101"/>
        <v>30</v>
      </c>
      <c r="AC356" s="71" t="s">
        <v>374</v>
      </c>
      <c r="AD356" s="71">
        <v>150</v>
      </c>
      <c r="AE356" s="72" t="str">
        <f t="shared" si="90"/>
        <v>战士特饮</v>
      </c>
      <c r="AF356" s="71">
        <v>300</v>
      </c>
      <c r="AG356" s="71" t="s">
        <v>149</v>
      </c>
      <c r="AH356" s="71">
        <v>20</v>
      </c>
      <c r="AI356" s="71" t="s">
        <v>390</v>
      </c>
      <c r="AJ356" s="71">
        <v>1</v>
      </c>
      <c r="AK356" s="71" t="s">
        <v>96</v>
      </c>
      <c r="AL356" s="71">
        <f t="shared" si="61"/>
        <v>600</v>
      </c>
      <c r="AN356" s="23" t="str">
        <f ca="1" t="shared" si="91"/>
        <v>{11,5}</v>
      </c>
      <c r="AO356" s="23" t="str">
        <f ca="1" t="shared" si="83"/>
        <v/>
      </c>
      <c r="AP356" s="23" t="str">
        <f ca="1" t="shared" si="63"/>
        <v>{50008,15}</v>
      </c>
      <c r="AQ356" s="23" t="str">
        <f ca="1" t="shared" si="64"/>
        <v>{5123001,200}</v>
      </c>
      <c r="AR356" s="23" t="str">
        <f ca="1" t="shared" si="65"/>
        <v>{2,240}</v>
      </c>
      <c r="AS356" s="23" t="str">
        <f ca="1" t="shared" si="66"/>
        <v>{5153001,250}</v>
      </c>
      <c r="AT356" s="23" t="str">
        <f ca="1" t="shared" si="97"/>
        <v>{5523001,200}</v>
      </c>
      <c r="AU356" s="23" t="str">
        <f ca="1" t="shared" si="81"/>
        <v>{5303001,15}</v>
      </c>
      <c r="AV356" s="23" t="str">
        <f ca="1" t="shared" si="67"/>
        <v>{50004,25}</v>
      </c>
      <c r="AW356" s="23" t="str">
        <f ca="1" t="shared" si="68"/>
        <v/>
      </c>
      <c r="AX356" s="23" t="str">
        <f ca="1" t="shared" si="69"/>
        <v>{2,360}</v>
      </c>
      <c r="AY356" s="23" t="str">
        <f ca="1" t="shared" si="70"/>
        <v>{5204001,5}</v>
      </c>
      <c r="AZ356" s="23" t="str">
        <f ca="1" t="shared" si="102"/>
        <v>{5203001,30}</v>
      </c>
      <c r="BA356" s="23" t="str">
        <f ca="1" t="shared" si="72"/>
        <v>{1,150}</v>
      </c>
      <c r="BB356" s="23" t="s">
        <v>401</v>
      </c>
      <c r="BC356" s="23" t="str">
        <f ca="1" t="shared" si="73"/>
        <v>{5113001,300}</v>
      </c>
      <c r="BD356" s="23" t="str">
        <f ca="1" t="shared" si="92"/>
        <v>{5303001,20}</v>
      </c>
      <c r="BE356" s="23" t="str">
        <f ca="1" t="shared" si="98"/>
        <v>{50039,1}</v>
      </c>
      <c r="BF356" s="23" t="str">
        <f ca="1" t="shared" si="75"/>
        <v>{2,600}</v>
      </c>
      <c r="BI356" s="23" t="str">
        <f ca="1" t="shared" si="76"/>
        <v>[{11,5},{50008,15},{5123001,200},{2,240}]</v>
      </c>
      <c r="BJ356" s="23" t="str">
        <f ca="1" t="shared" si="77"/>
        <v>[{5153001,250},{5523001,200},{5303001,15},{50004,25},{2,360},{5204001,5}]</v>
      </c>
      <c r="BK356" s="23" t="str">
        <f ca="1" t="shared" si="78"/>
        <v>[{5203001,30},{1,150},{5523001,300},{5113001,300},{5303001,20},{50039,1},{2,600}]</v>
      </c>
      <c r="BL356" s="23">
        <f ca="1" t="shared" si="79"/>
        <v>4</v>
      </c>
      <c r="BM356" s="23">
        <f ca="1" t="shared" si="80"/>
        <v>6</v>
      </c>
      <c r="BN356" s="23">
        <f ca="1" t="shared" si="82"/>
        <v>7</v>
      </c>
      <c r="BP356" s="71" t="s">
        <v>374</v>
      </c>
      <c r="BQ356" s="71">
        <v>150</v>
      </c>
    </row>
    <row r="357" ht="16.5" spans="2:69">
      <c r="B357" s="23">
        <v>37</v>
      </c>
      <c r="C357" s="12"/>
      <c r="D357" s="71"/>
      <c r="E357" s="71"/>
      <c r="F357" s="71"/>
      <c r="G357" s="71" t="str">
        <f t="shared" si="84"/>
        <v>头盔图纸</v>
      </c>
      <c r="H357" s="71">
        <v>15</v>
      </c>
      <c r="I357" s="71" t="str">
        <f t="shared" si="89"/>
        <v>辅助特饮</v>
      </c>
      <c r="J357" s="71">
        <v>200</v>
      </c>
      <c r="K357" s="71" t="s">
        <v>96</v>
      </c>
      <c r="L357" s="71">
        <v>240</v>
      </c>
      <c r="M357" s="71" t="str">
        <f t="shared" si="93"/>
        <v>战士特饮</v>
      </c>
      <c r="N357" s="71">
        <f t="shared" si="99"/>
        <v>250</v>
      </c>
      <c r="O357" s="71" t="s">
        <v>316</v>
      </c>
      <c r="P357" s="71">
        <v>200</v>
      </c>
      <c r="Q357" s="71" t="s">
        <v>149</v>
      </c>
      <c r="R357" s="71">
        <v>15</v>
      </c>
      <c r="S357" s="72" t="str">
        <f t="shared" si="86"/>
        <v>护臂图纸</v>
      </c>
      <c r="T357" s="71">
        <v>25</v>
      </c>
      <c r="U357" s="71" t="str">
        <f t="shared" si="87"/>
        <v/>
      </c>
      <c r="V357" s="71">
        <f t="shared" si="88"/>
        <v>0</v>
      </c>
      <c r="W357" s="71" t="s">
        <v>96</v>
      </c>
      <c r="X357" s="71">
        <f t="shared" si="60"/>
        <v>360</v>
      </c>
      <c r="Y357" s="71"/>
      <c r="Z357" s="71"/>
      <c r="AA357" s="71" t="str">
        <f t="shared" si="95"/>
        <v>基因罐</v>
      </c>
      <c r="AB357" s="71">
        <f t="shared" si="101"/>
        <v>30</v>
      </c>
      <c r="AC357" s="71" t="s">
        <v>374</v>
      </c>
      <c r="AD357" s="71">
        <v>150</v>
      </c>
      <c r="AE357" s="72" t="str">
        <f t="shared" si="90"/>
        <v>法师特饮</v>
      </c>
      <c r="AF357" s="71">
        <v>300</v>
      </c>
      <c r="AG357" s="71" t="s">
        <v>149</v>
      </c>
      <c r="AH357" s="71">
        <v>20</v>
      </c>
      <c r="AI357" s="71" t="s">
        <v>390</v>
      </c>
      <c r="AJ357" s="71">
        <v>1</v>
      </c>
      <c r="AK357" s="71" t="s">
        <v>96</v>
      </c>
      <c r="AL357" s="71">
        <f t="shared" si="61"/>
        <v>600</v>
      </c>
      <c r="AN357" s="23" t="str">
        <f ca="1" t="shared" si="91"/>
        <v>{11,5}</v>
      </c>
      <c r="AO357" s="23" t="str">
        <f ca="1" t="shared" si="83"/>
        <v/>
      </c>
      <c r="AP357" s="23" t="str">
        <f ca="1" t="shared" si="63"/>
        <v>{50003,15}</v>
      </c>
      <c r="AQ357" s="23" t="str">
        <f ca="1" t="shared" si="64"/>
        <v>{5143001,200}</v>
      </c>
      <c r="AR357" s="23" t="str">
        <f ca="1" t="shared" si="65"/>
        <v>{2,240}</v>
      </c>
      <c r="AS357" s="23" t="str">
        <f ca="1" t="shared" si="66"/>
        <v>{5113001,250}</v>
      </c>
      <c r="AT357" s="23" t="str">
        <f ca="1" t="shared" si="97"/>
        <v>{5523001,200}</v>
      </c>
      <c r="AU357" s="23" t="str">
        <f ca="1" t="shared" si="81"/>
        <v>{5303001,15}</v>
      </c>
      <c r="AV357" s="23" t="str">
        <f ca="1" t="shared" si="67"/>
        <v>{50005,25}</v>
      </c>
      <c r="AW357" s="23" t="str">
        <f ca="1" t="shared" si="68"/>
        <v/>
      </c>
      <c r="AX357" s="23" t="str">
        <f ca="1" t="shared" si="69"/>
        <v>{2,360}</v>
      </c>
      <c r="AY357" s="23" t="str">
        <f ca="1" t="shared" si="70"/>
        <v>{5204001,5}</v>
      </c>
      <c r="AZ357" s="23" t="str">
        <f ca="1" t="shared" si="102"/>
        <v>{5203001,30}</v>
      </c>
      <c r="BA357" s="23" t="str">
        <f ca="1" t="shared" si="72"/>
        <v>{1,150}</v>
      </c>
      <c r="BB357" s="23" t="s">
        <v>401</v>
      </c>
      <c r="BC357" s="23" t="str">
        <f ca="1" t="shared" si="73"/>
        <v>{5123001,300}</v>
      </c>
      <c r="BD357" s="23" t="str">
        <f ca="1" t="shared" si="92"/>
        <v>{5303001,20}</v>
      </c>
      <c r="BE357" s="23" t="str">
        <f ca="1" t="shared" si="98"/>
        <v>{50039,1}</v>
      </c>
      <c r="BF357" s="23" t="str">
        <f ca="1" t="shared" si="75"/>
        <v>{2,600}</v>
      </c>
      <c r="BI357" s="23" t="str">
        <f ca="1" t="shared" si="76"/>
        <v>[{11,5},{50003,15},{5143001,200},{2,240}]</v>
      </c>
      <c r="BJ357" s="23" t="str">
        <f ca="1" t="shared" si="77"/>
        <v>[{5113001,250},{5523001,200},{5303001,15},{50005,25},{2,360},{5204001,5}]</v>
      </c>
      <c r="BK357" s="23" t="str">
        <f ca="1" t="shared" si="78"/>
        <v>[{5203001,30},{1,150},{5523001,300},{5123001,300},{5303001,20},{50039,1},{2,600}]</v>
      </c>
      <c r="BL357" s="23">
        <f ca="1" t="shared" si="79"/>
        <v>4</v>
      </c>
      <c r="BM357" s="23">
        <f ca="1" t="shared" si="80"/>
        <v>6</v>
      </c>
      <c r="BN357" s="23">
        <f ca="1" t="shared" si="82"/>
        <v>7</v>
      </c>
      <c r="BP357" s="71" t="s">
        <v>374</v>
      </c>
      <c r="BQ357" s="71">
        <v>150</v>
      </c>
    </row>
    <row r="358" ht="16.5" spans="2:69">
      <c r="B358" s="23">
        <v>38</v>
      </c>
      <c r="C358" s="12"/>
      <c r="D358" s="71"/>
      <c r="E358" s="71"/>
      <c r="F358" s="71"/>
      <c r="G358" s="71" t="str">
        <f t="shared" si="84"/>
        <v>衣服图纸</v>
      </c>
      <c r="H358" s="71">
        <v>15</v>
      </c>
      <c r="I358" s="71" t="str">
        <f t="shared" si="89"/>
        <v>战士特饮</v>
      </c>
      <c r="J358" s="71">
        <v>200</v>
      </c>
      <c r="K358" s="71" t="s">
        <v>96</v>
      </c>
      <c r="L358" s="71">
        <v>240</v>
      </c>
      <c r="M358" s="71" t="str">
        <f t="shared" si="93"/>
        <v>法师特饮</v>
      </c>
      <c r="N358" s="71">
        <f t="shared" si="99"/>
        <v>250</v>
      </c>
      <c r="O358" s="71" t="s">
        <v>316</v>
      </c>
      <c r="P358" s="71">
        <v>200</v>
      </c>
      <c r="Q358" s="71" t="s">
        <v>149</v>
      </c>
      <c r="R358" s="71">
        <v>15</v>
      </c>
      <c r="S358" s="72" t="str">
        <f t="shared" si="86"/>
        <v>裤子图纸</v>
      </c>
      <c r="T358" s="71">
        <v>25</v>
      </c>
      <c r="U358" s="71" t="str">
        <f t="shared" si="87"/>
        <v/>
      </c>
      <c r="V358" s="71">
        <f t="shared" si="88"/>
        <v>0</v>
      </c>
      <c r="W358" s="71" t="s">
        <v>96</v>
      </c>
      <c r="X358" s="71">
        <f t="shared" si="60"/>
        <v>360</v>
      </c>
      <c r="Y358" s="71"/>
      <c r="Z358" s="71"/>
      <c r="AA358" s="71" t="str">
        <f t="shared" si="95"/>
        <v>基因罐</v>
      </c>
      <c r="AB358" s="71">
        <f t="shared" si="101"/>
        <v>30</v>
      </c>
      <c r="AC358" s="71" t="s">
        <v>374</v>
      </c>
      <c r="AD358" s="71">
        <v>150</v>
      </c>
      <c r="AE358" s="72" t="str">
        <f t="shared" si="90"/>
        <v>辅助特饮</v>
      </c>
      <c r="AF358" s="71">
        <v>300</v>
      </c>
      <c r="AG358" s="71" t="s">
        <v>149</v>
      </c>
      <c r="AH358" s="71">
        <v>20</v>
      </c>
      <c r="AI358" s="71" t="s">
        <v>390</v>
      </c>
      <c r="AJ358" s="71">
        <v>1</v>
      </c>
      <c r="AK358" s="71" t="s">
        <v>96</v>
      </c>
      <c r="AL358" s="71">
        <f t="shared" si="61"/>
        <v>600</v>
      </c>
      <c r="AN358" s="23" t="str">
        <f ca="1" t="shared" si="91"/>
        <v>{11,5}</v>
      </c>
      <c r="AO358" s="23" t="str">
        <f ca="1" t="shared" si="83"/>
        <v/>
      </c>
      <c r="AP358" s="23" t="str">
        <f ca="1" t="shared" si="63"/>
        <v>{50004,15}</v>
      </c>
      <c r="AQ358" s="23" t="str">
        <f ca="1" t="shared" si="64"/>
        <v>{5113001,200}</v>
      </c>
      <c r="AR358" s="23" t="str">
        <f ca="1" t="shared" si="65"/>
        <v>{2,240}</v>
      </c>
      <c r="AS358" s="23" t="str">
        <f ca="1" t="shared" si="66"/>
        <v>{5123001,250}</v>
      </c>
      <c r="AT358" s="23" t="str">
        <f ca="1" t="shared" si="97"/>
        <v>{5523001,200}</v>
      </c>
      <c r="AU358" s="23" t="str">
        <f ca="1" t="shared" si="81"/>
        <v>{5303001,15}</v>
      </c>
      <c r="AV358" s="23" t="str">
        <f ca="1" t="shared" si="67"/>
        <v>{50006,25}</v>
      </c>
      <c r="AW358" s="23" t="str">
        <f ca="1" t="shared" si="68"/>
        <v/>
      </c>
      <c r="AX358" s="23" t="str">
        <f ca="1" t="shared" si="69"/>
        <v>{2,360}</v>
      </c>
      <c r="AY358" s="23" t="str">
        <f ca="1" t="shared" si="70"/>
        <v>{5204001,5}</v>
      </c>
      <c r="AZ358" s="23" t="str">
        <f ca="1" t="shared" si="102"/>
        <v>{5203001,30}</v>
      </c>
      <c r="BA358" s="23" t="str">
        <f ca="1" t="shared" si="72"/>
        <v>{1,150}</v>
      </c>
      <c r="BB358" s="23" t="s">
        <v>401</v>
      </c>
      <c r="BC358" s="23" t="str">
        <f ca="1" t="shared" si="73"/>
        <v>{5143001,300}</v>
      </c>
      <c r="BD358" s="23" t="str">
        <f ca="1" t="shared" si="92"/>
        <v>{5303001,20}</v>
      </c>
      <c r="BE358" s="23" t="str">
        <f ca="1" t="shared" si="98"/>
        <v>{50039,1}</v>
      </c>
      <c r="BF358" s="23" t="str">
        <f ca="1" t="shared" si="75"/>
        <v>{2,600}</v>
      </c>
      <c r="BI358" s="23" t="str">
        <f ca="1" t="shared" si="76"/>
        <v>[{11,5},{50004,15},{5113001,200},{2,240}]</v>
      </c>
      <c r="BJ358" s="23" t="str">
        <f ca="1" t="shared" si="77"/>
        <v>[{5123001,250},{5523001,200},{5303001,15},{50006,25},{2,360},{5204001,5}]</v>
      </c>
      <c r="BK358" s="23" t="str">
        <f ca="1" t="shared" si="78"/>
        <v>[{5203001,30},{1,150},{5523001,300},{5143001,300},{5303001,20},{50039,1},{2,600}]</v>
      </c>
      <c r="BL358" s="23">
        <f ca="1" t="shared" si="79"/>
        <v>4</v>
      </c>
      <c r="BM358" s="23">
        <f ca="1" t="shared" si="80"/>
        <v>6</v>
      </c>
      <c r="BN358" s="23">
        <f ca="1" t="shared" si="82"/>
        <v>7</v>
      </c>
      <c r="BP358" s="71" t="s">
        <v>374</v>
      </c>
      <c r="BQ358" s="71">
        <v>150</v>
      </c>
    </row>
    <row r="359" ht="16.5" spans="2:69">
      <c r="B359" s="23">
        <v>39</v>
      </c>
      <c r="C359" s="12"/>
      <c r="D359" s="71"/>
      <c r="E359" s="71"/>
      <c r="F359" s="71"/>
      <c r="G359" s="71" t="str">
        <f t="shared" si="84"/>
        <v>护臂图纸</v>
      </c>
      <c r="H359" s="71">
        <v>15</v>
      </c>
      <c r="I359" s="71" t="str">
        <f t="shared" si="89"/>
        <v>毒系特饮</v>
      </c>
      <c r="J359" s="71">
        <v>200</v>
      </c>
      <c r="K359" s="71" t="s">
        <v>96</v>
      </c>
      <c r="L359" s="71">
        <v>240</v>
      </c>
      <c r="M359" s="71" t="str">
        <f t="shared" si="93"/>
        <v>辅助特饮</v>
      </c>
      <c r="N359" s="71">
        <f t="shared" si="99"/>
        <v>250</v>
      </c>
      <c r="O359" s="71" t="s">
        <v>316</v>
      </c>
      <c r="P359" s="71">
        <v>200</v>
      </c>
      <c r="Q359" s="71" t="s">
        <v>149</v>
      </c>
      <c r="R359" s="71">
        <v>15</v>
      </c>
      <c r="S359" s="72" t="str">
        <f t="shared" si="86"/>
        <v>鞋子图纸</v>
      </c>
      <c r="T359" s="71">
        <v>25</v>
      </c>
      <c r="U359" s="71" t="str">
        <f t="shared" si="87"/>
        <v/>
      </c>
      <c r="V359" s="71">
        <f t="shared" si="88"/>
        <v>0</v>
      </c>
      <c r="W359" s="71" t="s">
        <v>96</v>
      </c>
      <c r="X359" s="71">
        <f t="shared" si="60"/>
        <v>360</v>
      </c>
      <c r="Y359" s="71"/>
      <c r="Z359" s="71"/>
      <c r="AA359" s="71" t="str">
        <f t="shared" si="95"/>
        <v>基因罐</v>
      </c>
      <c r="AB359" s="71">
        <f t="shared" si="101"/>
        <v>30</v>
      </c>
      <c r="AC359" s="71" t="s">
        <v>374</v>
      </c>
      <c r="AD359" s="71">
        <v>150</v>
      </c>
      <c r="AE359" s="72" t="str">
        <f t="shared" si="90"/>
        <v>毒系特饮</v>
      </c>
      <c r="AF359" s="71">
        <v>300</v>
      </c>
      <c r="AG359" s="71" t="s">
        <v>149</v>
      </c>
      <c r="AH359" s="71">
        <v>20</v>
      </c>
      <c r="AI359" s="71" t="s">
        <v>390</v>
      </c>
      <c r="AJ359" s="71">
        <v>1</v>
      </c>
      <c r="AK359" s="71" t="s">
        <v>96</v>
      </c>
      <c r="AL359" s="71">
        <f t="shared" si="61"/>
        <v>600</v>
      </c>
      <c r="AN359" s="23" t="str">
        <f ca="1" t="shared" si="91"/>
        <v>{11,5}</v>
      </c>
      <c r="AO359" s="23" t="str">
        <f ca="1" t="shared" si="83"/>
        <v/>
      </c>
      <c r="AP359" s="23" t="str">
        <f ca="1" t="shared" si="63"/>
        <v>{50005,15}</v>
      </c>
      <c r="AQ359" s="23" t="str">
        <f ca="1" t="shared" si="64"/>
        <v>{5163001,200}</v>
      </c>
      <c r="AR359" s="23" t="str">
        <f ca="1" t="shared" si="65"/>
        <v>{2,240}</v>
      </c>
      <c r="AS359" s="23" t="str">
        <f ca="1" t="shared" si="66"/>
        <v>{5143001,250}</v>
      </c>
      <c r="AT359" s="23" t="str">
        <f ca="1" t="shared" si="97"/>
        <v>{5523001,200}</v>
      </c>
      <c r="AU359" s="23" t="str">
        <f ca="1" t="shared" si="81"/>
        <v>{5303001,15}</v>
      </c>
      <c r="AV359" s="23" t="str">
        <f ca="1" t="shared" si="67"/>
        <v>{50007,25}</v>
      </c>
      <c r="AW359" s="23" t="str">
        <f ca="1" t="shared" si="68"/>
        <v/>
      </c>
      <c r="AX359" s="23" t="str">
        <f ca="1" t="shared" si="69"/>
        <v>{2,360}</v>
      </c>
      <c r="AY359" s="23" t="str">
        <f ca="1" t="shared" si="70"/>
        <v>{5204001,5}</v>
      </c>
      <c r="AZ359" s="23" t="str">
        <f ca="1" t="shared" si="102"/>
        <v>{5203001,30}</v>
      </c>
      <c r="BA359" s="23" t="str">
        <f ca="1" t="shared" si="72"/>
        <v>{1,150}</v>
      </c>
      <c r="BB359" s="23" t="s">
        <v>401</v>
      </c>
      <c r="BC359" s="23" t="str">
        <f ca="1" t="shared" si="73"/>
        <v>{5163001,300}</v>
      </c>
      <c r="BD359" s="23" t="str">
        <f ca="1" t="shared" si="92"/>
        <v>{5303001,20}</v>
      </c>
      <c r="BE359" s="23" t="str">
        <f ca="1" t="shared" si="98"/>
        <v>{50039,1}</v>
      </c>
      <c r="BF359" s="23" t="str">
        <f ca="1" t="shared" si="75"/>
        <v>{2,600}</v>
      </c>
      <c r="BI359" s="23" t="str">
        <f ca="1" t="shared" si="76"/>
        <v>[{11,5},{50005,15},{5163001,200},{2,240}]</v>
      </c>
      <c r="BJ359" s="23" t="str">
        <f ca="1" t="shared" si="77"/>
        <v>[{5143001,250},{5523001,200},{5303001,15},{50007,25},{2,360},{5204001,5}]</v>
      </c>
      <c r="BK359" s="23" t="str">
        <f ca="1" t="shared" si="78"/>
        <v>[{5203001,30},{1,150},{5523001,300},{5163001,300},{5303001,20},{50039,1},{2,600}]</v>
      </c>
      <c r="BL359" s="23">
        <f ca="1" t="shared" si="79"/>
        <v>4</v>
      </c>
      <c r="BM359" s="23">
        <f ca="1" t="shared" si="80"/>
        <v>6</v>
      </c>
      <c r="BN359" s="23">
        <f ca="1" t="shared" si="82"/>
        <v>7</v>
      </c>
      <c r="BP359" s="71" t="s">
        <v>374</v>
      </c>
      <c r="BQ359" s="71">
        <v>150</v>
      </c>
    </row>
    <row r="360" ht="16.5" spans="2:69">
      <c r="B360" s="23">
        <v>40</v>
      </c>
      <c r="C360" s="12" t="s">
        <v>240</v>
      </c>
      <c r="D360" s="71">
        <v>1</v>
      </c>
      <c r="E360" s="71"/>
      <c r="F360" s="71"/>
      <c r="G360" s="71" t="str">
        <f t="shared" si="84"/>
        <v>裤子图纸</v>
      </c>
      <c r="H360" s="71">
        <v>15</v>
      </c>
      <c r="I360" s="71" t="str">
        <f t="shared" si="89"/>
        <v>控制特饮</v>
      </c>
      <c r="J360" s="71">
        <v>200</v>
      </c>
      <c r="K360" s="71" t="s">
        <v>96</v>
      </c>
      <c r="L360" s="71">
        <v>240</v>
      </c>
      <c r="M360" s="71" t="str">
        <f t="shared" si="93"/>
        <v>射手特饮</v>
      </c>
      <c r="N360" s="71">
        <f t="shared" si="99"/>
        <v>250</v>
      </c>
      <c r="O360" s="71" t="s">
        <v>316</v>
      </c>
      <c r="P360" s="71">
        <v>200</v>
      </c>
      <c r="Q360" s="71" t="s">
        <v>149</v>
      </c>
      <c r="R360" s="71">
        <v>15</v>
      </c>
      <c r="S360" s="72" t="str">
        <f t="shared" si="86"/>
        <v>手套图纸</v>
      </c>
      <c r="T360" s="71">
        <v>25</v>
      </c>
      <c r="U360" s="71" t="str">
        <f t="shared" si="87"/>
        <v>灵感获取令</v>
      </c>
      <c r="V360" s="71">
        <f t="shared" si="88"/>
        <v>1</v>
      </c>
      <c r="W360" s="71" t="s">
        <v>96</v>
      </c>
      <c r="X360" s="71">
        <f t="shared" si="60"/>
        <v>360</v>
      </c>
      <c r="Y360" s="71"/>
      <c r="Z360" s="71"/>
      <c r="AA360" s="71" t="str">
        <f t="shared" si="95"/>
        <v>传说基因罐</v>
      </c>
      <c r="AB360" s="71">
        <f t="shared" si="101"/>
        <v>3</v>
      </c>
      <c r="AC360" s="71" t="s">
        <v>374</v>
      </c>
      <c r="AD360" s="71">
        <v>150</v>
      </c>
      <c r="AE360" s="72" t="str">
        <f t="shared" si="90"/>
        <v>控制特饮</v>
      </c>
      <c r="AF360" s="71">
        <v>300</v>
      </c>
      <c r="AG360" s="71" t="s">
        <v>149</v>
      </c>
      <c r="AH360" s="71">
        <v>20</v>
      </c>
      <c r="AI360" s="71" t="s">
        <v>390</v>
      </c>
      <c r="AJ360" s="71">
        <v>1</v>
      </c>
      <c r="AK360" s="71" t="s">
        <v>96</v>
      </c>
      <c r="AL360" s="71">
        <f t="shared" si="61"/>
        <v>600</v>
      </c>
      <c r="AN360" s="23" t="str">
        <f ca="1" t="shared" si="91"/>
        <v>{35,1}</v>
      </c>
      <c r="AO360" s="23" t="str">
        <f ca="1" t="shared" si="83"/>
        <v/>
      </c>
      <c r="AP360" s="23" t="str">
        <f ca="1" t="shared" si="63"/>
        <v>{50006,15}</v>
      </c>
      <c r="AQ360" s="23" t="str">
        <f ca="1" t="shared" si="64"/>
        <v>{5153001,200}</v>
      </c>
      <c r="AR360" s="23" t="str">
        <f ca="1" t="shared" si="65"/>
        <v>{2,240}</v>
      </c>
      <c r="AS360" s="23" t="str">
        <f ca="1" t="shared" si="66"/>
        <v>{5133001,250}</v>
      </c>
      <c r="AT360" s="23" t="str">
        <f ca="1" t="shared" si="97"/>
        <v>{5523001,200}</v>
      </c>
      <c r="AU360" s="23" t="str">
        <f ca="1" t="shared" si="81"/>
        <v>{5303001,15}</v>
      </c>
      <c r="AV360" s="23" t="str">
        <f ca="1" t="shared" si="67"/>
        <v>{50008,25}</v>
      </c>
      <c r="AW360" s="23" t="str">
        <f ca="1" t="shared" si="68"/>
        <v>{9,1}</v>
      </c>
      <c r="AX360" s="23" t="str">
        <f ca="1" t="shared" si="69"/>
        <v>{2,360}</v>
      </c>
      <c r="AY360" s="23" t="str">
        <f ca="1" t="shared" si="70"/>
        <v>{5204001,5}</v>
      </c>
      <c r="AZ360" s="23" t="str">
        <f ca="1" t="shared" si="102"/>
        <v>{5205001,3}</v>
      </c>
      <c r="BA360" s="23" t="str">
        <f ca="1" t="shared" si="72"/>
        <v>{1,150}</v>
      </c>
      <c r="BB360" s="23" t="s">
        <v>401</v>
      </c>
      <c r="BC360" s="23" t="str">
        <f ca="1" t="shared" si="73"/>
        <v>{5153001,300}</v>
      </c>
      <c r="BD360" s="23" t="str">
        <f ca="1" t="shared" si="92"/>
        <v>{5303001,20}</v>
      </c>
      <c r="BE360" s="23" t="str">
        <f ca="1" t="shared" si="98"/>
        <v>{50039,1}</v>
      </c>
      <c r="BF360" s="23" t="str">
        <f ca="1" t="shared" si="75"/>
        <v>{2,600}</v>
      </c>
      <c r="BI360" s="23" t="str">
        <f ca="1" t="shared" si="76"/>
        <v>[{35,1},{50006,15},{5153001,200},{2,240}]</v>
      </c>
      <c r="BJ360" s="23" t="str">
        <f ca="1" t="shared" si="77"/>
        <v>[{5133001,250},{5523001,200},{5303001,15},{50008,25},{9,1},{2,360},{5204001,5}]</v>
      </c>
      <c r="BK360" s="23" t="str">
        <f ca="1" t="shared" si="78"/>
        <v>[{5205001,3},{1,150},{5523001,300},{5153001,300},{5303001,20},{50039,1},{2,600}]</v>
      </c>
      <c r="BL360" s="23">
        <f ca="1" t="shared" si="79"/>
        <v>4</v>
      </c>
      <c r="BM360" s="23">
        <f ca="1" t="shared" si="80"/>
        <v>7</v>
      </c>
      <c r="BN360" s="23">
        <f ca="1" t="shared" si="82"/>
        <v>7</v>
      </c>
      <c r="BP360" s="71" t="s">
        <v>374</v>
      </c>
      <c r="BQ360" s="71">
        <v>150</v>
      </c>
    </row>
    <row r="361" ht="16.5" spans="2:69">
      <c r="B361" s="23">
        <v>41</v>
      </c>
      <c r="C361" s="12"/>
      <c r="D361" s="71"/>
      <c r="E361" s="71"/>
      <c r="F361" s="71"/>
      <c r="G361" s="71" t="str">
        <f t="shared" si="84"/>
        <v>鞋子图纸</v>
      </c>
      <c r="H361" s="71">
        <v>15</v>
      </c>
      <c r="I361" s="71" t="str">
        <f t="shared" si="89"/>
        <v>射手特饮</v>
      </c>
      <c r="J361" s="71">
        <v>200</v>
      </c>
      <c r="K361" s="71" t="s">
        <v>96</v>
      </c>
      <c r="L361" s="71">
        <v>240</v>
      </c>
      <c r="M361" s="71" t="str">
        <f t="shared" si="93"/>
        <v>毒系特饮</v>
      </c>
      <c r="N361" s="71">
        <f t="shared" si="99"/>
        <v>250</v>
      </c>
      <c r="O361" s="71" t="s">
        <v>316</v>
      </c>
      <c r="P361" s="71">
        <v>200</v>
      </c>
      <c r="Q361" s="71" t="s">
        <v>149</v>
      </c>
      <c r="R361" s="71">
        <v>15</v>
      </c>
      <c r="S361" s="72" t="str">
        <f t="shared" si="86"/>
        <v>头盔图纸</v>
      </c>
      <c r="T361" s="71">
        <v>25</v>
      </c>
      <c r="U361" s="71" t="str">
        <f t="shared" si="87"/>
        <v/>
      </c>
      <c r="V361" s="71">
        <f t="shared" si="88"/>
        <v>0</v>
      </c>
      <c r="W361" s="71" t="s">
        <v>96</v>
      </c>
      <c r="X361" s="71">
        <f t="shared" si="60"/>
        <v>360</v>
      </c>
      <c r="Y361" s="71"/>
      <c r="Z361" s="71"/>
      <c r="AA361" s="71" t="str">
        <f t="shared" si="95"/>
        <v>基因罐</v>
      </c>
      <c r="AB361" s="71">
        <f t="shared" si="101"/>
        <v>30</v>
      </c>
      <c r="AC361" s="71" t="s">
        <v>374</v>
      </c>
      <c r="AD361" s="71">
        <v>150</v>
      </c>
      <c r="AE361" s="72" t="str">
        <f t="shared" si="90"/>
        <v>射手特饮</v>
      </c>
      <c r="AF361" s="71">
        <v>300</v>
      </c>
      <c r="AG361" s="71" t="s">
        <v>149</v>
      </c>
      <c r="AH361" s="71">
        <v>20</v>
      </c>
      <c r="AI361" s="71" t="s">
        <v>390</v>
      </c>
      <c r="AJ361" s="71">
        <v>1</v>
      </c>
      <c r="AK361" s="71" t="s">
        <v>96</v>
      </c>
      <c r="AL361" s="71">
        <f t="shared" si="61"/>
        <v>600</v>
      </c>
      <c r="AN361" s="23" t="str">
        <f ca="1" t="shared" si="91"/>
        <v>{11,5}</v>
      </c>
      <c r="AO361" s="23" t="str">
        <f ca="1" t="shared" si="83"/>
        <v/>
      </c>
      <c r="AP361" s="23" t="str">
        <f ca="1" t="shared" si="63"/>
        <v>{50007,15}</v>
      </c>
      <c r="AQ361" s="23" t="str">
        <f ca="1" t="shared" si="64"/>
        <v>{5133001,200}</v>
      </c>
      <c r="AR361" s="23" t="str">
        <f ca="1" t="shared" si="65"/>
        <v>{2,240}</v>
      </c>
      <c r="AS361" s="23" t="str">
        <f ca="1" t="shared" si="66"/>
        <v>{5163001,250}</v>
      </c>
      <c r="AT361" s="23" t="str">
        <f ca="1" t="shared" si="97"/>
        <v>{5523001,200}</v>
      </c>
      <c r="AU361" s="23" t="str">
        <f ca="1" t="shared" si="81"/>
        <v>{5303001,15}</v>
      </c>
      <c r="AV361" s="23" t="str">
        <f ca="1" t="shared" si="67"/>
        <v>{50003,25}</v>
      </c>
      <c r="AW361" s="23" t="str">
        <f ca="1" t="shared" si="68"/>
        <v/>
      </c>
      <c r="AX361" s="23" t="str">
        <f ca="1" t="shared" si="69"/>
        <v>{2,360}</v>
      </c>
      <c r="AY361" s="23" t="str">
        <f ca="1" t="shared" si="70"/>
        <v>{5204001,5}</v>
      </c>
      <c r="AZ361" s="23" t="str">
        <f ca="1" t="shared" si="102"/>
        <v>{5203001,30}</v>
      </c>
      <c r="BA361" s="23" t="str">
        <f ca="1" t="shared" si="72"/>
        <v>{1,150}</v>
      </c>
      <c r="BB361" s="23" t="s">
        <v>401</v>
      </c>
      <c r="BC361" s="23" t="str">
        <f ca="1" t="shared" si="73"/>
        <v>{5133001,300}</v>
      </c>
      <c r="BD361" s="23" t="str">
        <f ca="1" t="shared" si="92"/>
        <v>{5303001,20}</v>
      </c>
      <c r="BE361" s="23" t="str">
        <f ca="1" t="shared" si="98"/>
        <v>{50039,1}</v>
      </c>
      <c r="BF361" s="23" t="str">
        <f ca="1" t="shared" si="75"/>
        <v>{2,600}</v>
      </c>
      <c r="BI361" s="23" t="str">
        <f ca="1" t="shared" si="76"/>
        <v>[{11,5},{50007,15},{5133001,200},{2,240}]</v>
      </c>
      <c r="BJ361" s="23" t="str">
        <f ca="1" t="shared" si="77"/>
        <v>[{5163001,250},{5523001,200},{5303001,15},{50003,25},{2,360},{5204001,5}]</v>
      </c>
      <c r="BK361" s="23" t="str">
        <f ca="1" t="shared" si="78"/>
        <v>[{5203001,30},{1,150},{5523001,300},{5133001,300},{5303001,20},{50039,1},{2,600}]</v>
      </c>
      <c r="BL361" s="23">
        <f ca="1" t="shared" si="79"/>
        <v>4</v>
      </c>
      <c r="BM361" s="23">
        <f ca="1" t="shared" si="80"/>
        <v>6</v>
      </c>
      <c r="BN361" s="23">
        <f ca="1" t="shared" si="82"/>
        <v>7</v>
      </c>
      <c r="BP361" s="71" t="s">
        <v>374</v>
      </c>
      <c r="BQ361" s="71">
        <v>150</v>
      </c>
    </row>
    <row r="362" ht="16.5" spans="2:69">
      <c r="B362" s="23">
        <v>42</v>
      </c>
      <c r="C362" s="12"/>
      <c r="D362" s="71"/>
      <c r="E362" s="71"/>
      <c r="F362" s="71"/>
      <c r="G362" s="71" t="str">
        <f t="shared" si="84"/>
        <v>手套图纸</v>
      </c>
      <c r="H362" s="71">
        <v>15</v>
      </c>
      <c r="I362" s="71" t="str">
        <f t="shared" si="89"/>
        <v>法师特饮</v>
      </c>
      <c r="J362" s="71">
        <v>200</v>
      </c>
      <c r="K362" s="71" t="s">
        <v>96</v>
      </c>
      <c r="L362" s="71">
        <v>240</v>
      </c>
      <c r="M362" s="71" t="str">
        <f t="shared" si="93"/>
        <v>控制特饮</v>
      </c>
      <c r="N362" s="71">
        <f t="shared" si="99"/>
        <v>250</v>
      </c>
      <c r="O362" s="71" t="s">
        <v>316</v>
      </c>
      <c r="P362" s="71">
        <v>200</v>
      </c>
      <c r="Q362" s="71" t="s">
        <v>149</v>
      </c>
      <c r="R362" s="71">
        <v>15</v>
      </c>
      <c r="S362" s="72" t="str">
        <f t="shared" si="86"/>
        <v>衣服图纸</v>
      </c>
      <c r="T362" s="71">
        <v>25</v>
      </c>
      <c r="U362" s="71" t="str">
        <f t="shared" si="87"/>
        <v/>
      </c>
      <c r="V362" s="71">
        <f t="shared" si="88"/>
        <v>0</v>
      </c>
      <c r="W362" s="71" t="s">
        <v>96</v>
      </c>
      <c r="X362" s="71">
        <f t="shared" si="60"/>
        <v>360</v>
      </c>
      <c r="Y362" s="71"/>
      <c r="Z362" s="71"/>
      <c r="AA362" s="71" t="str">
        <f t="shared" si="95"/>
        <v>基因罐</v>
      </c>
      <c r="AB362" s="71">
        <f t="shared" si="101"/>
        <v>30</v>
      </c>
      <c r="AC362" s="71" t="s">
        <v>374</v>
      </c>
      <c r="AD362" s="71">
        <v>150</v>
      </c>
      <c r="AE362" s="72" t="str">
        <f t="shared" si="90"/>
        <v>战士特饮</v>
      </c>
      <c r="AF362" s="71">
        <v>300</v>
      </c>
      <c r="AG362" s="71" t="s">
        <v>149</v>
      </c>
      <c r="AH362" s="71">
        <v>20</v>
      </c>
      <c r="AI362" s="71" t="s">
        <v>390</v>
      </c>
      <c r="AJ362" s="71">
        <v>1</v>
      </c>
      <c r="AK362" s="71" t="s">
        <v>96</v>
      </c>
      <c r="AL362" s="71">
        <f t="shared" si="61"/>
        <v>600</v>
      </c>
      <c r="AN362" s="23" t="str">
        <f ca="1" t="shared" si="91"/>
        <v>{11,5}</v>
      </c>
      <c r="AO362" s="23" t="str">
        <f ca="1" t="shared" si="83"/>
        <v/>
      </c>
      <c r="AP362" s="23" t="str">
        <f ca="1" t="shared" si="63"/>
        <v>{50008,15}</v>
      </c>
      <c r="AQ362" s="23" t="str">
        <f ca="1" t="shared" si="64"/>
        <v>{5123001,200}</v>
      </c>
      <c r="AR362" s="23" t="str">
        <f ca="1" t="shared" si="65"/>
        <v>{2,240}</v>
      </c>
      <c r="AS362" s="23" t="str">
        <f ca="1" t="shared" si="66"/>
        <v>{5153001,250}</v>
      </c>
      <c r="AT362" s="23" t="str">
        <f ca="1" t="shared" si="97"/>
        <v>{5523001,200}</v>
      </c>
      <c r="AU362" s="23" t="str">
        <f ca="1" t="shared" si="81"/>
        <v>{5303001,15}</v>
      </c>
      <c r="AV362" s="23" t="str">
        <f ca="1" t="shared" si="67"/>
        <v>{50004,25}</v>
      </c>
      <c r="AW362" s="23" t="str">
        <f ca="1" t="shared" si="68"/>
        <v/>
      </c>
      <c r="AX362" s="23" t="str">
        <f ca="1" t="shared" si="69"/>
        <v>{2,360}</v>
      </c>
      <c r="AY362" s="23" t="str">
        <f ca="1" t="shared" si="70"/>
        <v>{5204001,5}</v>
      </c>
      <c r="AZ362" s="23" t="str">
        <f ca="1" t="shared" si="102"/>
        <v>{5203001,30}</v>
      </c>
      <c r="BA362" s="23" t="str">
        <f ca="1" t="shared" si="72"/>
        <v>{1,150}</v>
      </c>
      <c r="BB362" s="23" t="s">
        <v>401</v>
      </c>
      <c r="BC362" s="23" t="str">
        <f ca="1" t="shared" si="73"/>
        <v>{5113001,300}</v>
      </c>
      <c r="BD362" s="23" t="str">
        <f ca="1" t="shared" si="92"/>
        <v>{5303001,20}</v>
      </c>
      <c r="BE362" s="23" t="str">
        <f ca="1" t="shared" si="98"/>
        <v>{50039,1}</v>
      </c>
      <c r="BF362" s="23" t="str">
        <f ca="1" t="shared" si="75"/>
        <v>{2,600}</v>
      </c>
      <c r="BI362" s="23" t="str">
        <f ca="1" t="shared" si="76"/>
        <v>[{11,5},{50008,15},{5123001,200},{2,240}]</v>
      </c>
      <c r="BJ362" s="23" t="str">
        <f ca="1" t="shared" si="77"/>
        <v>[{5153001,250},{5523001,200},{5303001,15},{50004,25},{2,360},{5204001,5}]</v>
      </c>
      <c r="BK362" s="23" t="str">
        <f ca="1" t="shared" si="78"/>
        <v>[{5203001,30},{1,150},{5523001,300},{5113001,300},{5303001,20},{50039,1},{2,600}]</v>
      </c>
      <c r="BL362" s="23">
        <f ca="1" t="shared" si="79"/>
        <v>4</v>
      </c>
      <c r="BM362" s="23">
        <f ca="1" t="shared" si="80"/>
        <v>6</v>
      </c>
      <c r="BN362" s="23">
        <f ca="1" t="shared" si="82"/>
        <v>7</v>
      </c>
      <c r="BP362" s="71" t="s">
        <v>374</v>
      </c>
      <c r="BQ362" s="71">
        <v>150</v>
      </c>
    </row>
    <row r="363" ht="16.5" spans="2:69">
      <c r="B363" s="23">
        <v>43</v>
      </c>
      <c r="C363" s="12"/>
      <c r="D363" s="71"/>
      <c r="E363" s="71"/>
      <c r="F363" s="71"/>
      <c r="G363" s="71" t="str">
        <f t="shared" si="84"/>
        <v>头盔图纸</v>
      </c>
      <c r="H363" s="71">
        <v>15</v>
      </c>
      <c r="I363" s="71" t="str">
        <f t="shared" si="89"/>
        <v>辅助特饮</v>
      </c>
      <c r="J363" s="71">
        <v>200</v>
      </c>
      <c r="K363" s="71" t="s">
        <v>96</v>
      </c>
      <c r="L363" s="71">
        <v>240</v>
      </c>
      <c r="M363" s="71" t="str">
        <f t="shared" si="93"/>
        <v>战士特饮</v>
      </c>
      <c r="N363" s="71">
        <f t="shared" si="99"/>
        <v>250</v>
      </c>
      <c r="O363" s="71" t="s">
        <v>316</v>
      </c>
      <c r="P363" s="71">
        <v>200</v>
      </c>
      <c r="Q363" s="71" t="s">
        <v>149</v>
      </c>
      <c r="R363" s="71">
        <v>15</v>
      </c>
      <c r="S363" s="72" t="str">
        <f t="shared" si="86"/>
        <v>护臂图纸</v>
      </c>
      <c r="T363" s="71">
        <v>25</v>
      </c>
      <c r="U363" s="71" t="str">
        <f t="shared" si="87"/>
        <v/>
      </c>
      <c r="V363" s="71">
        <f t="shared" si="88"/>
        <v>0</v>
      </c>
      <c r="W363" s="71" t="s">
        <v>96</v>
      </c>
      <c r="X363" s="71">
        <f t="shared" si="60"/>
        <v>360</v>
      </c>
      <c r="Y363" s="71"/>
      <c r="Z363" s="71"/>
      <c r="AA363" s="71" t="str">
        <f t="shared" si="95"/>
        <v>基因罐</v>
      </c>
      <c r="AB363" s="71">
        <f t="shared" si="101"/>
        <v>30</v>
      </c>
      <c r="AC363" s="71" t="s">
        <v>374</v>
      </c>
      <c r="AD363" s="71">
        <v>150</v>
      </c>
      <c r="AE363" s="72" t="str">
        <f t="shared" si="90"/>
        <v>法师特饮</v>
      </c>
      <c r="AF363" s="71">
        <v>300</v>
      </c>
      <c r="AG363" s="71" t="s">
        <v>149</v>
      </c>
      <c r="AH363" s="71">
        <v>20</v>
      </c>
      <c r="AI363" s="71" t="s">
        <v>390</v>
      </c>
      <c r="AJ363" s="71">
        <v>1</v>
      </c>
      <c r="AK363" s="71" t="s">
        <v>96</v>
      </c>
      <c r="AL363" s="71">
        <f t="shared" si="61"/>
        <v>600</v>
      </c>
      <c r="AN363" s="23" t="str">
        <f ca="1" t="shared" si="91"/>
        <v>{11,5}</v>
      </c>
      <c r="AO363" s="23" t="str">
        <f ca="1" t="shared" si="83"/>
        <v/>
      </c>
      <c r="AP363" s="23" t="str">
        <f ca="1" t="shared" si="63"/>
        <v>{50003,15}</v>
      </c>
      <c r="AQ363" s="23" t="str">
        <f ca="1" t="shared" si="64"/>
        <v>{5143001,200}</v>
      </c>
      <c r="AR363" s="23" t="str">
        <f ca="1" t="shared" si="65"/>
        <v>{2,240}</v>
      </c>
      <c r="AS363" s="23" t="str">
        <f ca="1" t="shared" si="66"/>
        <v>{5113001,250}</v>
      </c>
      <c r="AT363" s="23" t="str">
        <f ca="1" t="shared" si="97"/>
        <v>{5523001,200}</v>
      </c>
      <c r="AU363" s="23" t="str">
        <f ca="1" t="shared" si="81"/>
        <v>{5303001,15}</v>
      </c>
      <c r="AV363" s="23" t="str">
        <f ca="1" t="shared" si="67"/>
        <v>{50005,25}</v>
      </c>
      <c r="AW363" s="23" t="str">
        <f ca="1" t="shared" si="68"/>
        <v/>
      </c>
      <c r="AX363" s="23" t="str">
        <f ca="1" t="shared" si="69"/>
        <v>{2,360}</v>
      </c>
      <c r="AY363" s="23" t="str">
        <f ca="1" t="shared" si="70"/>
        <v>{5204001,5}</v>
      </c>
      <c r="AZ363" s="23" t="str">
        <f ca="1" t="shared" si="102"/>
        <v>{5203001,30}</v>
      </c>
      <c r="BA363" s="23" t="str">
        <f ca="1" t="shared" si="72"/>
        <v>{1,150}</v>
      </c>
      <c r="BB363" s="23" t="s">
        <v>401</v>
      </c>
      <c r="BC363" s="23" t="str">
        <f ca="1" t="shared" si="73"/>
        <v>{5123001,300}</v>
      </c>
      <c r="BD363" s="23" t="str">
        <f ca="1" t="shared" si="92"/>
        <v>{5303001,20}</v>
      </c>
      <c r="BE363" s="23" t="str">
        <f ca="1" t="shared" si="98"/>
        <v>{50039,1}</v>
      </c>
      <c r="BF363" s="23" t="str">
        <f ca="1" t="shared" si="75"/>
        <v>{2,600}</v>
      </c>
      <c r="BI363" s="23" t="str">
        <f ca="1" t="shared" si="76"/>
        <v>[{11,5},{50003,15},{5143001,200},{2,240}]</v>
      </c>
      <c r="BJ363" s="23" t="str">
        <f ca="1" t="shared" si="77"/>
        <v>[{5113001,250},{5523001,200},{5303001,15},{50005,25},{2,360},{5204001,5}]</v>
      </c>
      <c r="BK363" s="23" t="str">
        <f ca="1" t="shared" si="78"/>
        <v>[{5203001,30},{1,150},{5523001,300},{5123001,300},{5303001,20},{50039,1},{2,600}]</v>
      </c>
      <c r="BL363" s="23">
        <f ca="1" t="shared" si="79"/>
        <v>4</v>
      </c>
      <c r="BM363" s="23">
        <f ca="1" t="shared" si="80"/>
        <v>6</v>
      </c>
      <c r="BN363" s="23">
        <f ca="1" t="shared" si="82"/>
        <v>7</v>
      </c>
      <c r="BP363" s="71" t="s">
        <v>374</v>
      </c>
      <c r="BQ363" s="71">
        <v>150</v>
      </c>
    </row>
    <row r="364" ht="16.5" spans="2:69">
      <c r="B364" s="23">
        <v>44</v>
      </c>
      <c r="C364" s="12"/>
      <c r="D364" s="71"/>
      <c r="E364" s="71"/>
      <c r="F364" s="71"/>
      <c r="G364" s="71" t="str">
        <f t="shared" si="84"/>
        <v>衣服图纸</v>
      </c>
      <c r="H364" s="71">
        <v>15</v>
      </c>
      <c r="I364" s="71" t="str">
        <f t="shared" si="89"/>
        <v>战士特饮</v>
      </c>
      <c r="J364" s="71">
        <v>200</v>
      </c>
      <c r="K364" s="71" t="s">
        <v>96</v>
      </c>
      <c r="L364" s="71">
        <v>240</v>
      </c>
      <c r="M364" s="71" t="str">
        <f t="shared" si="93"/>
        <v>法师特饮</v>
      </c>
      <c r="N364" s="71">
        <f t="shared" si="99"/>
        <v>250</v>
      </c>
      <c r="O364" s="71" t="s">
        <v>316</v>
      </c>
      <c r="P364" s="71">
        <v>200</v>
      </c>
      <c r="Q364" s="71" t="s">
        <v>149</v>
      </c>
      <c r="R364" s="71">
        <v>15</v>
      </c>
      <c r="S364" s="72" t="str">
        <f t="shared" si="86"/>
        <v>裤子图纸</v>
      </c>
      <c r="T364" s="71">
        <v>25</v>
      </c>
      <c r="U364" s="71" t="str">
        <f t="shared" si="87"/>
        <v/>
      </c>
      <c r="V364" s="71">
        <f t="shared" si="88"/>
        <v>0</v>
      </c>
      <c r="W364" s="71" t="s">
        <v>96</v>
      </c>
      <c r="X364" s="71">
        <f t="shared" si="60"/>
        <v>360</v>
      </c>
      <c r="Y364" s="71"/>
      <c r="Z364" s="71"/>
      <c r="AA364" s="71" t="str">
        <f t="shared" si="95"/>
        <v>基因罐</v>
      </c>
      <c r="AB364" s="71">
        <f t="shared" si="101"/>
        <v>30</v>
      </c>
      <c r="AC364" s="71" t="s">
        <v>374</v>
      </c>
      <c r="AD364" s="71">
        <v>150</v>
      </c>
      <c r="AE364" s="72" t="str">
        <f t="shared" si="90"/>
        <v>辅助特饮</v>
      </c>
      <c r="AF364" s="71">
        <v>300</v>
      </c>
      <c r="AG364" s="71" t="s">
        <v>149</v>
      </c>
      <c r="AH364" s="71">
        <v>20</v>
      </c>
      <c r="AI364" s="71" t="s">
        <v>390</v>
      </c>
      <c r="AJ364" s="71">
        <v>1</v>
      </c>
      <c r="AK364" s="71" t="s">
        <v>96</v>
      </c>
      <c r="AL364" s="71">
        <f t="shared" si="61"/>
        <v>600</v>
      </c>
      <c r="AN364" s="23" t="str">
        <f ca="1" t="shared" si="91"/>
        <v>{11,5}</v>
      </c>
      <c r="AO364" s="23" t="str">
        <f ca="1" t="shared" si="83"/>
        <v/>
      </c>
      <c r="AP364" s="23" t="str">
        <f ca="1" t="shared" si="63"/>
        <v>{50004,15}</v>
      </c>
      <c r="AQ364" s="23" t="str">
        <f ca="1" t="shared" si="64"/>
        <v>{5113001,200}</v>
      </c>
      <c r="AR364" s="23" t="str">
        <f ca="1" t="shared" si="65"/>
        <v>{2,240}</v>
      </c>
      <c r="AS364" s="23" t="str">
        <f ca="1" t="shared" si="66"/>
        <v>{5123001,250}</v>
      </c>
      <c r="AT364" s="23" t="str">
        <f ca="1" t="shared" si="97"/>
        <v>{5523001,200}</v>
      </c>
      <c r="AU364" s="23" t="str">
        <f ca="1" t="shared" si="81"/>
        <v>{5303001,15}</v>
      </c>
      <c r="AV364" s="23" t="str">
        <f ca="1" t="shared" si="67"/>
        <v>{50006,25}</v>
      </c>
      <c r="AW364" s="23" t="str">
        <f ca="1" t="shared" si="68"/>
        <v/>
      </c>
      <c r="AX364" s="23" t="str">
        <f ca="1" t="shared" si="69"/>
        <v>{2,360}</v>
      </c>
      <c r="AY364" s="23" t="str">
        <f ca="1" t="shared" si="70"/>
        <v>{5204001,5}</v>
      </c>
      <c r="AZ364" s="23" t="str">
        <f ca="1" t="shared" si="102"/>
        <v>{5203001,30}</v>
      </c>
      <c r="BA364" s="23" t="str">
        <f ca="1" t="shared" si="72"/>
        <v>{1,150}</v>
      </c>
      <c r="BB364" s="23" t="s">
        <v>401</v>
      </c>
      <c r="BC364" s="23" t="str">
        <f ca="1" t="shared" si="73"/>
        <v>{5143001,300}</v>
      </c>
      <c r="BD364" s="23" t="str">
        <f ca="1" t="shared" si="92"/>
        <v>{5303001,20}</v>
      </c>
      <c r="BE364" s="23" t="str">
        <f ca="1" t="shared" si="98"/>
        <v>{50039,1}</v>
      </c>
      <c r="BF364" s="23" t="str">
        <f ca="1" t="shared" si="75"/>
        <v>{2,600}</v>
      </c>
      <c r="BI364" s="23" t="str">
        <f ca="1" t="shared" si="76"/>
        <v>[{11,5},{50004,15},{5113001,200},{2,240}]</v>
      </c>
      <c r="BJ364" s="23" t="str">
        <f ca="1" t="shared" si="77"/>
        <v>[{5123001,250},{5523001,200},{5303001,15},{50006,25},{2,360},{5204001,5}]</v>
      </c>
      <c r="BK364" s="23" t="str">
        <f ca="1" t="shared" si="78"/>
        <v>[{5203001,30},{1,150},{5523001,300},{5143001,300},{5303001,20},{50039,1},{2,600}]</v>
      </c>
      <c r="BL364" s="23">
        <f ca="1" t="shared" si="79"/>
        <v>4</v>
      </c>
      <c r="BM364" s="23">
        <f ca="1" t="shared" si="80"/>
        <v>6</v>
      </c>
      <c r="BN364" s="23">
        <f ca="1" t="shared" si="82"/>
        <v>7</v>
      </c>
      <c r="BP364" s="71" t="s">
        <v>374</v>
      </c>
      <c r="BQ364" s="71">
        <v>150</v>
      </c>
    </row>
    <row r="365" ht="16.5" spans="2:69">
      <c r="B365" s="23">
        <v>45</v>
      </c>
      <c r="C365" s="12" t="s">
        <v>240</v>
      </c>
      <c r="D365" s="71">
        <v>1</v>
      </c>
      <c r="E365" s="71"/>
      <c r="F365" s="71"/>
      <c r="G365" s="71" t="str">
        <f t="shared" si="84"/>
        <v>护臂图纸</v>
      </c>
      <c r="H365" s="71">
        <v>15</v>
      </c>
      <c r="I365" s="71" t="str">
        <f t="shared" si="89"/>
        <v>毒系特饮</v>
      </c>
      <c r="J365" s="71">
        <v>200</v>
      </c>
      <c r="K365" s="71" t="s">
        <v>96</v>
      </c>
      <c r="L365" s="71">
        <v>240</v>
      </c>
      <c r="M365" s="71" t="str">
        <f t="shared" si="93"/>
        <v>辅助特饮</v>
      </c>
      <c r="N365" s="71">
        <f t="shared" si="99"/>
        <v>250</v>
      </c>
      <c r="O365" s="71" t="s">
        <v>316</v>
      </c>
      <c r="P365" s="71">
        <v>200</v>
      </c>
      <c r="Q365" s="71" t="s">
        <v>149</v>
      </c>
      <c r="R365" s="71">
        <v>15</v>
      </c>
      <c r="S365" s="72" t="str">
        <f t="shared" si="86"/>
        <v>鞋子图纸</v>
      </c>
      <c r="T365" s="71">
        <v>25</v>
      </c>
      <c r="U365" s="71" t="str">
        <f t="shared" si="87"/>
        <v>灵感获取令</v>
      </c>
      <c r="V365" s="71">
        <f t="shared" si="88"/>
        <v>1</v>
      </c>
      <c r="W365" s="71" t="s">
        <v>96</v>
      </c>
      <c r="X365" s="71">
        <f t="shared" si="60"/>
        <v>360</v>
      </c>
      <c r="Y365" s="71"/>
      <c r="Z365" s="71"/>
      <c r="AA365" s="71" t="str">
        <f t="shared" si="95"/>
        <v>传说基因罐</v>
      </c>
      <c r="AB365" s="71">
        <f t="shared" si="101"/>
        <v>3</v>
      </c>
      <c r="AC365" s="71" t="s">
        <v>374</v>
      </c>
      <c r="AD365" s="71">
        <v>150</v>
      </c>
      <c r="AE365" s="72" t="str">
        <f t="shared" si="90"/>
        <v>毒系特饮</v>
      </c>
      <c r="AF365" s="71">
        <v>300</v>
      </c>
      <c r="AG365" s="71" t="s">
        <v>149</v>
      </c>
      <c r="AH365" s="71">
        <v>20</v>
      </c>
      <c r="AI365" s="71" t="s">
        <v>390</v>
      </c>
      <c r="AJ365" s="71">
        <v>1</v>
      </c>
      <c r="AK365" s="71" t="s">
        <v>96</v>
      </c>
      <c r="AL365" s="71">
        <f t="shared" si="61"/>
        <v>600</v>
      </c>
      <c r="AN365" s="23" t="str">
        <f ca="1" t="shared" si="91"/>
        <v>{35,1}</v>
      </c>
      <c r="AO365" s="23" t="str">
        <f ca="1" t="shared" si="83"/>
        <v/>
      </c>
      <c r="AP365" s="23" t="str">
        <f ca="1" t="shared" si="63"/>
        <v>{50005,15}</v>
      </c>
      <c r="AQ365" s="23" t="str">
        <f ca="1" t="shared" si="64"/>
        <v>{5163001,200}</v>
      </c>
      <c r="AR365" s="23" t="str">
        <f ca="1" t="shared" si="65"/>
        <v>{2,240}</v>
      </c>
      <c r="AS365" s="23" t="str">
        <f ca="1" t="shared" si="66"/>
        <v>{5143001,250}</v>
      </c>
      <c r="AT365" s="23" t="str">
        <f ca="1" t="shared" si="97"/>
        <v>{5523001,200}</v>
      </c>
      <c r="AU365" s="23" t="str">
        <f ca="1" t="shared" si="81"/>
        <v>{5303001,15}</v>
      </c>
      <c r="AV365" s="23" t="str">
        <f ca="1" t="shared" si="67"/>
        <v>{50007,25}</v>
      </c>
      <c r="AW365" s="23" t="str">
        <f ca="1" t="shared" si="68"/>
        <v>{9,1}</v>
      </c>
      <c r="AX365" s="23" t="str">
        <f ca="1" t="shared" si="69"/>
        <v>{2,360}</v>
      </c>
      <c r="AY365" s="23" t="str">
        <f ca="1" t="shared" si="70"/>
        <v>{5204001,5}</v>
      </c>
      <c r="AZ365" s="23" t="str">
        <f ca="1" t="shared" si="102"/>
        <v>{5205001,3}</v>
      </c>
      <c r="BA365" s="23" t="str">
        <f ca="1" t="shared" si="72"/>
        <v>{1,150}</v>
      </c>
      <c r="BB365" s="23" t="s">
        <v>401</v>
      </c>
      <c r="BC365" s="23" t="str">
        <f ca="1" t="shared" si="73"/>
        <v>{5163001,300}</v>
      </c>
      <c r="BD365" s="23" t="str">
        <f ca="1" t="shared" si="92"/>
        <v>{5303001,20}</v>
      </c>
      <c r="BE365" s="23" t="str">
        <f ca="1" t="shared" si="98"/>
        <v>{50039,1}</v>
      </c>
      <c r="BF365" s="23" t="str">
        <f ca="1" t="shared" si="75"/>
        <v>{2,600}</v>
      </c>
      <c r="BI365" s="23" t="str">
        <f ca="1" t="shared" si="76"/>
        <v>[{35,1},{50005,15},{5163001,200},{2,240}]</v>
      </c>
      <c r="BJ365" s="23" t="str">
        <f ca="1" t="shared" si="77"/>
        <v>[{5143001,250},{5523001,200},{5303001,15},{50007,25},{9,1},{2,360},{5204001,5}]</v>
      </c>
      <c r="BK365" s="23" t="str">
        <f ca="1" t="shared" si="78"/>
        <v>[{5205001,3},{1,150},{5523001,300},{5163001,300},{5303001,20},{50039,1},{2,600}]</v>
      </c>
      <c r="BL365" s="23">
        <f ca="1" t="shared" si="79"/>
        <v>4</v>
      </c>
      <c r="BM365" s="23">
        <f ca="1" t="shared" si="80"/>
        <v>7</v>
      </c>
      <c r="BN365" s="23">
        <f ca="1" t="shared" si="82"/>
        <v>7</v>
      </c>
      <c r="BP365" s="71" t="s">
        <v>374</v>
      </c>
      <c r="BQ365" s="71">
        <v>150</v>
      </c>
    </row>
    <row r="366" ht="16.5" spans="2:69">
      <c r="B366" s="23">
        <v>46</v>
      </c>
      <c r="C366" s="12"/>
      <c r="D366" s="71"/>
      <c r="E366" s="71"/>
      <c r="F366" s="71"/>
      <c r="G366" s="71" t="str">
        <f t="shared" si="84"/>
        <v>裤子图纸</v>
      </c>
      <c r="H366" s="71">
        <v>15</v>
      </c>
      <c r="I366" s="71" t="str">
        <f t="shared" si="89"/>
        <v>控制特饮</v>
      </c>
      <c r="J366" s="71">
        <v>200</v>
      </c>
      <c r="K366" s="71" t="s">
        <v>96</v>
      </c>
      <c r="L366" s="71">
        <v>240</v>
      </c>
      <c r="M366" s="71" t="str">
        <f t="shared" si="93"/>
        <v>射手特饮</v>
      </c>
      <c r="N366" s="71">
        <f t="shared" si="99"/>
        <v>250</v>
      </c>
      <c r="O366" s="71" t="s">
        <v>316</v>
      </c>
      <c r="P366" s="71">
        <v>200</v>
      </c>
      <c r="Q366" s="71" t="s">
        <v>149</v>
      </c>
      <c r="R366" s="71">
        <v>15</v>
      </c>
      <c r="S366" s="72" t="str">
        <f t="shared" si="86"/>
        <v>手套图纸</v>
      </c>
      <c r="T366" s="71">
        <v>25</v>
      </c>
      <c r="U366" s="71" t="str">
        <f t="shared" si="87"/>
        <v/>
      </c>
      <c r="V366" s="71">
        <f t="shared" si="88"/>
        <v>0</v>
      </c>
      <c r="W366" s="71" t="s">
        <v>96</v>
      </c>
      <c r="X366" s="71">
        <f t="shared" si="60"/>
        <v>360</v>
      </c>
      <c r="Y366" s="71"/>
      <c r="Z366" s="71"/>
      <c r="AA366" s="71" t="str">
        <f t="shared" si="95"/>
        <v>基因罐</v>
      </c>
      <c r="AB366" s="71">
        <f t="shared" si="101"/>
        <v>30</v>
      </c>
      <c r="AC366" s="71" t="s">
        <v>374</v>
      </c>
      <c r="AD366" s="71">
        <v>150</v>
      </c>
      <c r="AE366" s="72" t="str">
        <f t="shared" si="90"/>
        <v>控制特饮</v>
      </c>
      <c r="AF366" s="71">
        <v>300</v>
      </c>
      <c r="AG366" s="71" t="s">
        <v>149</v>
      </c>
      <c r="AH366" s="71">
        <v>20</v>
      </c>
      <c r="AI366" s="71" t="s">
        <v>390</v>
      </c>
      <c r="AJ366" s="71">
        <v>1</v>
      </c>
      <c r="AK366" s="71" t="s">
        <v>96</v>
      </c>
      <c r="AL366" s="71">
        <f t="shared" si="61"/>
        <v>600</v>
      </c>
      <c r="AN366" s="23" t="str">
        <f ca="1" t="shared" si="91"/>
        <v>{11,5}</v>
      </c>
      <c r="AO366" s="23" t="str">
        <f ca="1" t="shared" si="83"/>
        <v/>
      </c>
      <c r="AP366" s="23" t="str">
        <f ca="1" t="shared" si="63"/>
        <v>{50006,15}</v>
      </c>
      <c r="AQ366" s="23" t="str">
        <f ca="1" t="shared" si="64"/>
        <v>{5153001,200}</v>
      </c>
      <c r="AR366" s="23" t="str">
        <f ca="1" t="shared" si="65"/>
        <v>{2,240}</v>
      </c>
      <c r="AS366" s="23" t="str">
        <f ca="1" t="shared" si="66"/>
        <v>{5133001,250}</v>
      </c>
      <c r="AT366" s="23" t="str">
        <f ca="1" t="shared" si="97"/>
        <v>{5523001,200}</v>
      </c>
      <c r="AU366" s="23" t="str">
        <f ca="1" t="shared" si="81"/>
        <v>{5303001,15}</v>
      </c>
      <c r="AV366" s="23" t="str">
        <f ca="1" t="shared" si="67"/>
        <v>{50008,25}</v>
      </c>
      <c r="AW366" s="23" t="str">
        <f ca="1" t="shared" si="68"/>
        <v/>
      </c>
      <c r="AX366" s="23" t="str">
        <f ca="1" t="shared" si="69"/>
        <v>{2,360}</v>
      </c>
      <c r="AY366" s="23" t="str">
        <f ca="1" t="shared" si="70"/>
        <v>{5204001,5}</v>
      </c>
      <c r="AZ366" s="23" t="str">
        <f ca="1" t="shared" si="102"/>
        <v>{5203001,30}</v>
      </c>
      <c r="BA366" s="23" t="str">
        <f ca="1" t="shared" si="72"/>
        <v>{1,150}</v>
      </c>
      <c r="BB366" s="23" t="s">
        <v>401</v>
      </c>
      <c r="BC366" s="23" t="str">
        <f ca="1" t="shared" si="73"/>
        <v>{5153001,300}</v>
      </c>
      <c r="BD366" s="23" t="str">
        <f ca="1" t="shared" si="92"/>
        <v>{5303001,20}</v>
      </c>
      <c r="BE366" s="23" t="str">
        <f ca="1" t="shared" si="98"/>
        <v>{50039,1}</v>
      </c>
      <c r="BF366" s="23" t="str">
        <f ca="1" t="shared" si="75"/>
        <v>{2,600}</v>
      </c>
      <c r="BI366" s="23" t="str">
        <f ca="1" t="shared" si="76"/>
        <v>[{11,5},{50006,15},{5153001,200},{2,240}]</v>
      </c>
      <c r="BJ366" s="23" t="str">
        <f ca="1" t="shared" si="77"/>
        <v>[{5133001,250},{5523001,200},{5303001,15},{50008,25},{2,360},{5204001,5}]</v>
      </c>
      <c r="BK366" s="23" t="str">
        <f ca="1" t="shared" si="78"/>
        <v>[{5203001,30},{1,150},{5523001,300},{5153001,300},{5303001,20},{50039,1},{2,600}]</v>
      </c>
      <c r="BL366" s="23">
        <f ca="1" t="shared" si="79"/>
        <v>4</v>
      </c>
      <c r="BM366" s="23">
        <f ca="1" t="shared" si="80"/>
        <v>6</v>
      </c>
      <c r="BN366" s="23">
        <f ca="1" t="shared" si="82"/>
        <v>7</v>
      </c>
      <c r="BP366" s="71" t="s">
        <v>374</v>
      </c>
      <c r="BQ366" s="71">
        <v>150</v>
      </c>
    </row>
    <row r="367" ht="16.5" spans="2:69">
      <c r="B367" s="23">
        <v>47</v>
      </c>
      <c r="C367" s="12"/>
      <c r="D367" s="71"/>
      <c r="E367" s="71"/>
      <c r="F367" s="71"/>
      <c r="G367" s="71" t="str">
        <f t="shared" si="84"/>
        <v>鞋子图纸</v>
      </c>
      <c r="H367" s="71">
        <v>15</v>
      </c>
      <c r="I367" s="71" t="str">
        <f t="shared" si="89"/>
        <v>射手特饮</v>
      </c>
      <c r="J367" s="71">
        <v>200</v>
      </c>
      <c r="K367" s="71" t="s">
        <v>96</v>
      </c>
      <c r="L367" s="71">
        <v>240</v>
      </c>
      <c r="M367" s="71" t="str">
        <f t="shared" si="93"/>
        <v>毒系特饮</v>
      </c>
      <c r="N367" s="71">
        <f t="shared" si="99"/>
        <v>250</v>
      </c>
      <c r="O367" s="71" t="s">
        <v>316</v>
      </c>
      <c r="P367" s="71">
        <v>200</v>
      </c>
      <c r="Q367" s="71" t="s">
        <v>149</v>
      </c>
      <c r="R367" s="71">
        <v>15</v>
      </c>
      <c r="S367" s="72" t="str">
        <f t="shared" si="86"/>
        <v>头盔图纸</v>
      </c>
      <c r="T367" s="71">
        <v>25</v>
      </c>
      <c r="U367" s="71" t="str">
        <f t="shared" si="87"/>
        <v/>
      </c>
      <c r="V367" s="71">
        <f t="shared" si="88"/>
        <v>0</v>
      </c>
      <c r="W367" s="71" t="s">
        <v>96</v>
      </c>
      <c r="X367" s="71">
        <f t="shared" si="60"/>
        <v>360</v>
      </c>
      <c r="Y367" s="71"/>
      <c r="Z367" s="71"/>
      <c r="AA367" s="71" t="str">
        <f t="shared" si="95"/>
        <v>基因罐</v>
      </c>
      <c r="AB367" s="71">
        <f t="shared" si="101"/>
        <v>30</v>
      </c>
      <c r="AC367" s="71" t="s">
        <v>374</v>
      </c>
      <c r="AD367" s="71">
        <v>150</v>
      </c>
      <c r="AE367" s="72" t="str">
        <f t="shared" si="90"/>
        <v>射手特饮</v>
      </c>
      <c r="AF367" s="71">
        <v>300</v>
      </c>
      <c r="AG367" s="71" t="s">
        <v>149</v>
      </c>
      <c r="AH367" s="71">
        <v>20</v>
      </c>
      <c r="AI367" s="71" t="s">
        <v>390</v>
      </c>
      <c r="AJ367" s="71">
        <v>1</v>
      </c>
      <c r="AK367" s="71" t="s">
        <v>96</v>
      </c>
      <c r="AL367" s="71">
        <f t="shared" si="61"/>
        <v>600</v>
      </c>
      <c r="AN367" s="23" t="str">
        <f ca="1" t="shared" si="91"/>
        <v>{11,5}</v>
      </c>
      <c r="AO367" s="23" t="str">
        <f ca="1" t="shared" si="83"/>
        <v/>
      </c>
      <c r="AP367" s="23" t="str">
        <f ca="1" t="shared" si="63"/>
        <v>{50007,15}</v>
      </c>
      <c r="AQ367" s="23" t="str">
        <f ca="1" t="shared" si="64"/>
        <v>{5133001,200}</v>
      </c>
      <c r="AR367" s="23" t="str">
        <f ca="1" t="shared" si="65"/>
        <v>{2,240}</v>
      </c>
      <c r="AS367" s="23" t="str">
        <f ca="1" t="shared" si="66"/>
        <v>{5163001,250}</v>
      </c>
      <c r="AT367" s="23" t="str">
        <f ca="1" t="shared" si="97"/>
        <v>{5523001,200}</v>
      </c>
      <c r="AU367" s="23" t="str">
        <f ca="1" t="shared" si="81"/>
        <v>{5303001,15}</v>
      </c>
      <c r="AV367" s="23" t="str">
        <f ca="1" t="shared" si="67"/>
        <v>{50003,25}</v>
      </c>
      <c r="AW367" s="23" t="str">
        <f ca="1" t="shared" si="68"/>
        <v/>
      </c>
      <c r="AX367" s="23" t="str">
        <f ca="1" t="shared" si="69"/>
        <v>{2,360}</v>
      </c>
      <c r="AY367" s="23" t="str">
        <f ca="1" t="shared" si="70"/>
        <v>{5204001,5}</v>
      </c>
      <c r="AZ367" s="23" t="str">
        <f ca="1" t="shared" si="102"/>
        <v>{5203001,30}</v>
      </c>
      <c r="BA367" s="23" t="str">
        <f ca="1" t="shared" si="72"/>
        <v>{1,150}</v>
      </c>
      <c r="BB367" s="23" t="s">
        <v>401</v>
      </c>
      <c r="BC367" s="23" t="str">
        <f ca="1" t="shared" si="73"/>
        <v>{5133001,300}</v>
      </c>
      <c r="BD367" s="23" t="str">
        <f ca="1" t="shared" si="92"/>
        <v>{5303001,20}</v>
      </c>
      <c r="BE367" s="23" t="str">
        <f ca="1" t="shared" si="98"/>
        <v>{50039,1}</v>
      </c>
      <c r="BF367" s="23" t="str">
        <f ca="1" t="shared" si="75"/>
        <v>{2,600}</v>
      </c>
      <c r="BI367" s="23" t="str">
        <f ca="1" t="shared" si="76"/>
        <v>[{11,5},{50007,15},{5133001,200},{2,240}]</v>
      </c>
      <c r="BJ367" s="23" t="str">
        <f ca="1" t="shared" si="77"/>
        <v>[{5163001,250},{5523001,200},{5303001,15},{50003,25},{2,360},{5204001,5}]</v>
      </c>
      <c r="BK367" s="23" t="str">
        <f ca="1" t="shared" si="78"/>
        <v>[{5203001,30},{1,150},{5523001,300},{5133001,300},{5303001,20},{50039,1},{2,600}]</v>
      </c>
      <c r="BL367" s="23">
        <f ca="1" t="shared" si="79"/>
        <v>4</v>
      </c>
      <c r="BM367" s="23">
        <f ca="1" t="shared" si="80"/>
        <v>6</v>
      </c>
      <c r="BN367" s="23">
        <f ca="1" t="shared" si="82"/>
        <v>7</v>
      </c>
      <c r="BP367" s="71" t="s">
        <v>374</v>
      </c>
      <c r="BQ367" s="71">
        <v>150</v>
      </c>
    </row>
    <row r="368" ht="16.5" spans="2:69">
      <c r="B368" s="23">
        <v>48</v>
      </c>
      <c r="C368" s="12"/>
      <c r="D368" s="71"/>
      <c r="E368" s="71"/>
      <c r="F368" s="71"/>
      <c r="G368" s="71" t="str">
        <f t="shared" si="84"/>
        <v>手套图纸</v>
      </c>
      <c r="H368" s="71">
        <v>15</v>
      </c>
      <c r="I368" s="71" t="str">
        <f t="shared" si="89"/>
        <v>法师特饮</v>
      </c>
      <c r="J368" s="71">
        <v>200</v>
      </c>
      <c r="K368" s="71" t="s">
        <v>96</v>
      </c>
      <c r="L368" s="71">
        <v>240</v>
      </c>
      <c r="M368" s="71" t="str">
        <f t="shared" si="93"/>
        <v>控制特饮</v>
      </c>
      <c r="N368" s="71">
        <f t="shared" si="99"/>
        <v>250</v>
      </c>
      <c r="O368" s="71" t="s">
        <v>316</v>
      </c>
      <c r="P368" s="71">
        <v>200</v>
      </c>
      <c r="Q368" s="71" t="s">
        <v>149</v>
      </c>
      <c r="R368" s="71">
        <v>15</v>
      </c>
      <c r="S368" s="72" t="str">
        <f t="shared" si="86"/>
        <v>衣服图纸</v>
      </c>
      <c r="T368" s="71">
        <v>25</v>
      </c>
      <c r="U368" s="71" t="str">
        <f t="shared" si="87"/>
        <v/>
      </c>
      <c r="V368" s="71">
        <f t="shared" si="88"/>
        <v>0</v>
      </c>
      <c r="W368" s="71" t="s">
        <v>96</v>
      </c>
      <c r="X368" s="71">
        <f t="shared" si="60"/>
        <v>360</v>
      </c>
      <c r="Y368" s="71"/>
      <c r="Z368" s="71"/>
      <c r="AA368" s="71" t="str">
        <f t="shared" si="95"/>
        <v>基因罐</v>
      </c>
      <c r="AB368" s="71">
        <f t="shared" si="101"/>
        <v>30</v>
      </c>
      <c r="AC368" s="71" t="s">
        <v>374</v>
      </c>
      <c r="AD368" s="71">
        <v>150</v>
      </c>
      <c r="AE368" s="72" t="str">
        <f t="shared" si="90"/>
        <v>战士特饮</v>
      </c>
      <c r="AF368" s="71">
        <v>300</v>
      </c>
      <c r="AG368" s="71" t="s">
        <v>149</v>
      </c>
      <c r="AH368" s="71">
        <v>20</v>
      </c>
      <c r="AI368" s="71" t="s">
        <v>390</v>
      </c>
      <c r="AJ368" s="71">
        <v>1</v>
      </c>
      <c r="AK368" s="71" t="s">
        <v>96</v>
      </c>
      <c r="AL368" s="71">
        <f t="shared" si="61"/>
        <v>600</v>
      </c>
      <c r="AN368" s="23" t="str">
        <f ca="1" t="shared" si="91"/>
        <v>{11,5}</v>
      </c>
      <c r="AO368" s="23" t="str">
        <f ca="1" t="shared" si="83"/>
        <v/>
      </c>
      <c r="AP368" s="23" t="str">
        <f ca="1" t="shared" si="63"/>
        <v>{50008,15}</v>
      </c>
      <c r="AQ368" s="23" t="str">
        <f ca="1" t="shared" si="64"/>
        <v>{5123001,200}</v>
      </c>
      <c r="AR368" s="23" t="str">
        <f ca="1" t="shared" si="65"/>
        <v>{2,240}</v>
      </c>
      <c r="AS368" s="23" t="str">
        <f ca="1" t="shared" si="66"/>
        <v>{5153001,250}</v>
      </c>
      <c r="AT368" s="23" t="str">
        <f ca="1" t="shared" si="97"/>
        <v>{5523001,200}</v>
      </c>
      <c r="AU368" s="23" t="str">
        <f ca="1" t="shared" si="81"/>
        <v>{5303001,15}</v>
      </c>
      <c r="AV368" s="23" t="str">
        <f ca="1" t="shared" si="67"/>
        <v>{50004,25}</v>
      </c>
      <c r="AW368" s="23" t="str">
        <f ca="1" t="shared" si="68"/>
        <v/>
      </c>
      <c r="AX368" s="23" t="str">
        <f ca="1" t="shared" si="69"/>
        <v>{2,360}</v>
      </c>
      <c r="AY368" s="23" t="str">
        <f ca="1" t="shared" si="70"/>
        <v>{5204001,5}</v>
      </c>
      <c r="AZ368" s="23" t="str">
        <f ca="1" t="shared" si="102"/>
        <v>{5203001,30}</v>
      </c>
      <c r="BA368" s="23" t="str">
        <f ca="1" t="shared" si="72"/>
        <v>{1,150}</v>
      </c>
      <c r="BB368" s="23" t="s">
        <v>401</v>
      </c>
      <c r="BC368" s="23" t="str">
        <f ca="1" t="shared" si="73"/>
        <v>{5113001,300}</v>
      </c>
      <c r="BD368" s="23" t="str">
        <f ca="1" t="shared" si="92"/>
        <v>{5303001,20}</v>
      </c>
      <c r="BE368" s="23" t="str">
        <f ca="1" t="shared" si="98"/>
        <v>{50039,1}</v>
      </c>
      <c r="BF368" s="23" t="str">
        <f ca="1" t="shared" si="75"/>
        <v>{2,600}</v>
      </c>
      <c r="BI368" s="23" t="str">
        <f ca="1" t="shared" si="76"/>
        <v>[{11,5},{50008,15},{5123001,200},{2,240}]</v>
      </c>
      <c r="BJ368" s="23" t="str">
        <f ca="1" t="shared" si="77"/>
        <v>[{5153001,250},{5523001,200},{5303001,15},{50004,25},{2,360},{5204001,5}]</v>
      </c>
      <c r="BK368" s="23" t="str">
        <f ca="1" t="shared" si="78"/>
        <v>[{5203001,30},{1,150},{5523001,300},{5113001,300},{5303001,20},{50039,1},{2,600}]</v>
      </c>
      <c r="BL368" s="23">
        <f ca="1" t="shared" si="79"/>
        <v>4</v>
      </c>
      <c r="BM368" s="23">
        <f ca="1" t="shared" si="80"/>
        <v>6</v>
      </c>
      <c r="BN368" s="23">
        <f ca="1" t="shared" si="82"/>
        <v>7</v>
      </c>
      <c r="BP368" s="71" t="s">
        <v>374</v>
      </c>
      <c r="BQ368" s="71">
        <v>150</v>
      </c>
    </row>
    <row r="369" ht="16.5" spans="2:69">
      <c r="B369" s="23">
        <v>49</v>
      </c>
      <c r="C369" s="12"/>
      <c r="D369" s="71"/>
      <c r="E369" s="71"/>
      <c r="F369" s="71"/>
      <c r="G369" s="71" t="str">
        <f t="shared" si="84"/>
        <v>头盔图纸</v>
      </c>
      <c r="H369" s="71">
        <v>15</v>
      </c>
      <c r="I369" s="71" t="str">
        <f t="shared" si="89"/>
        <v>辅助特饮</v>
      </c>
      <c r="J369" s="71">
        <v>200</v>
      </c>
      <c r="K369" s="71" t="s">
        <v>96</v>
      </c>
      <c r="L369" s="71">
        <v>240</v>
      </c>
      <c r="M369" s="71" t="str">
        <f t="shared" si="93"/>
        <v>战士特饮</v>
      </c>
      <c r="N369" s="71">
        <f t="shared" si="99"/>
        <v>250</v>
      </c>
      <c r="O369" s="71" t="s">
        <v>316</v>
      </c>
      <c r="P369" s="71">
        <v>200</v>
      </c>
      <c r="Q369" s="71" t="s">
        <v>149</v>
      </c>
      <c r="R369" s="71">
        <v>15</v>
      </c>
      <c r="S369" s="72" t="str">
        <f t="shared" si="86"/>
        <v>护臂图纸</v>
      </c>
      <c r="T369" s="71">
        <v>25</v>
      </c>
      <c r="U369" s="71" t="str">
        <f t="shared" si="87"/>
        <v/>
      </c>
      <c r="V369" s="71">
        <f t="shared" si="88"/>
        <v>0</v>
      </c>
      <c r="W369" s="71" t="s">
        <v>96</v>
      </c>
      <c r="X369" s="71">
        <f t="shared" si="60"/>
        <v>360</v>
      </c>
      <c r="Y369" s="71"/>
      <c r="Z369" s="71"/>
      <c r="AA369" s="71" t="str">
        <f t="shared" si="95"/>
        <v>基因罐</v>
      </c>
      <c r="AB369" s="71">
        <f t="shared" si="101"/>
        <v>30</v>
      </c>
      <c r="AC369" s="71" t="s">
        <v>374</v>
      </c>
      <c r="AD369" s="71">
        <v>150</v>
      </c>
      <c r="AE369" s="72" t="str">
        <f t="shared" si="90"/>
        <v>法师特饮</v>
      </c>
      <c r="AF369" s="71">
        <v>300</v>
      </c>
      <c r="AG369" s="71" t="s">
        <v>149</v>
      </c>
      <c r="AH369" s="71">
        <v>20</v>
      </c>
      <c r="AI369" s="71" t="s">
        <v>390</v>
      </c>
      <c r="AJ369" s="71">
        <v>1</v>
      </c>
      <c r="AK369" s="71" t="s">
        <v>96</v>
      </c>
      <c r="AL369" s="71">
        <f t="shared" si="61"/>
        <v>600</v>
      </c>
      <c r="AN369" s="23" t="str">
        <f ca="1" t="shared" si="91"/>
        <v>{11,5}</v>
      </c>
      <c r="AO369" s="23" t="str">
        <f ca="1" t="shared" si="83"/>
        <v/>
      </c>
      <c r="AP369" s="23" t="str">
        <f ca="1" t="shared" si="63"/>
        <v>{50003,15}</v>
      </c>
      <c r="AQ369" s="23" t="str">
        <f ca="1" t="shared" si="64"/>
        <v>{5143001,200}</v>
      </c>
      <c r="AR369" s="23" t="str">
        <f ca="1" t="shared" si="65"/>
        <v>{2,240}</v>
      </c>
      <c r="AS369" s="23" t="str">
        <f ca="1" t="shared" si="66"/>
        <v>{5113001,250}</v>
      </c>
      <c r="AT369" s="23" t="str">
        <f ca="1" t="shared" si="97"/>
        <v>{5523001,200}</v>
      </c>
      <c r="AU369" s="23" t="str">
        <f ca="1" t="shared" si="81"/>
        <v>{5303001,15}</v>
      </c>
      <c r="AV369" s="23" t="str">
        <f ca="1" t="shared" si="67"/>
        <v>{50005,25}</v>
      </c>
      <c r="AW369" s="23" t="str">
        <f ca="1" t="shared" si="68"/>
        <v/>
      </c>
      <c r="AX369" s="23" t="str">
        <f ca="1" t="shared" si="69"/>
        <v>{2,360}</v>
      </c>
      <c r="AY369" s="23" t="str">
        <f ca="1" t="shared" si="70"/>
        <v>{5204001,5}</v>
      </c>
      <c r="AZ369" s="23" t="str">
        <f ca="1" t="shared" si="102"/>
        <v>{5203001,30}</v>
      </c>
      <c r="BA369" s="23" t="str">
        <f ca="1" t="shared" si="72"/>
        <v>{1,150}</v>
      </c>
      <c r="BB369" s="23" t="s">
        <v>401</v>
      </c>
      <c r="BC369" s="23" t="str">
        <f ca="1" t="shared" si="73"/>
        <v>{5123001,300}</v>
      </c>
      <c r="BD369" s="23" t="str">
        <f ca="1" t="shared" si="92"/>
        <v>{5303001,20}</v>
      </c>
      <c r="BE369" s="23" t="str">
        <f ca="1" t="shared" si="98"/>
        <v>{50039,1}</v>
      </c>
      <c r="BF369" s="23" t="str">
        <f ca="1" t="shared" si="75"/>
        <v>{2,600}</v>
      </c>
      <c r="BI369" s="23" t="str">
        <f ca="1" t="shared" si="76"/>
        <v>[{11,5},{50003,15},{5143001,200},{2,240}]</v>
      </c>
      <c r="BJ369" s="23" t="str">
        <f ca="1" t="shared" si="77"/>
        <v>[{5113001,250},{5523001,200},{5303001,15},{50005,25},{2,360},{5204001,5}]</v>
      </c>
      <c r="BK369" s="23" t="str">
        <f ca="1" t="shared" si="78"/>
        <v>[{5203001,30},{1,150},{5523001,300},{5123001,300},{5303001,20},{50039,1},{2,600}]</v>
      </c>
      <c r="BL369" s="23">
        <f ca="1" t="shared" si="79"/>
        <v>4</v>
      </c>
      <c r="BM369" s="23">
        <f ca="1" t="shared" si="80"/>
        <v>6</v>
      </c>
      <c r="BN369" s="23">
        <f ca="1" t="shared" si="82"/>
        <v>7</v>
      </c>
      <c r="BP369" s="71" t="s">
        <v>374</v>
      </c>
      <c r="BQ369" s="71">
        <v>150</v>
      </c>
    </row>
    <row r="370" ht="16.5" spans="2:69">
      <c r="B370" s="23">
        <v>50</v>
      </c>
      <c r="C370" s="12" t="s">
        <v>240</v>
      </c>
      <c r="D370" s="71">
        <v>1</v>
      </c>
      <c r="E370" s="71"/>
      <c r="F370" s="71"/>
      <c r="G370" s="71" t="str">
        <f t="shared" si="84"/>
        <v>衣服图纸</v>
      </c>
      <c r="H370" s="71">
        <v>15</v>
      </c>
      <c r="I370" s="71" t="str">
        <f t="shared" si="89"/>
        <v>战士特饮</v>
      </c>
      <c r="J370" s="71">
        <v>200</v>
      </c>
      <c r="K370" s="71" t="s">
        <v>96</v>
      </c>
      <c r="L370" s="71">
        <v>240</v>
      </c>
      <c r="M370" s="71" t="str">
        <f t="shared" si="93"/>
        <v>法师特饮</v>
      </c>
      <c r="N370" s="71">
        <f t="shared" si="99"/>
        <v>250</v>
      </c>
      <c r="O370" s="71" t="s">
        <v>316</v>
      </c>
      <c r="P370" s="71">
        <v>200</v>
      </c>
      <c r="Q370" s="71" t="s">
        <v>149</v>
      </c>
      <c r="R370" s="71">
        <v>15</v>
      </c>
      <c r="S370" s="72" t="str">
        <f t="shared" si="86"/>
        <v>裤子图纸</v>
      </c>
      <c r="T370" s="71">
        <v>25</v>
      </c>
      <c r="U370" s="71" t="str">
        <f t="shared" si="87"/>
        <v>灵感获取令</v>
      </c>
      <c r="V370" s="71">
        <f t="shared" si="88"/>
        <v>1</v>
      </c>
      <c r="W370" s="71" t="s">
        <v>96</v>
      </c>
      <c r="X370" s="71">
        <f t="shared" si="60"/>
        <v>360</v>
      </c>
      <c r="Y370" s="71"/>
      <c r="Z370" s="71"/>
      <c r="AA370" s="71" t="str">
        <f t="shared" si="95"/>
        <v>传说基因罐</v>
      </c>
      <c r="AB370" s="71">
        <f t="shared" si="101"/>
        <v>3</v>
      </c>
      <c r="AC370" s="71" t="s">
        <v>374</v>
      </c>
      <c r="AD370" s="71">
        <v>150</v>
      </c>
      <c r="AE370" s="72" t="str">
        <f t="shared" si="90"/>
        <v>辅助特饮</v>
      </c>
      <c r="AF370" s="71">
        <v>300</v>
      </c>
      <c r="AG370" s="71" t="s">
        <v>149</v>
      </c>
      <c r="AH370" s="71">
        <v>20</v>
      </c>
      <c r="AI370" s="71" t="s">
        <v>390</v>
      </c>
      <c r="AJ370" s="71">
        <v>1</v>
      </c>
      <c r="AK370" s="71" t="s">
        <v>96</v>
      </c>
      <c r="AL370" s="71">
        <f t="shared" si="61"/>
        <v>600</v>
      </c>
      <c r="AN370" s="23" t="str">
        <f ca="1" t="shared" si="91"/>
        <v>{35,1}</v>
      </c>
      <c r="AO370" s="23" t="str">
        <f ca="1" t="shared" si="83"/>
        <v/>
      </c>
      <c r="AP370" s="23" t="str">
        <f ca="1" t="shared" si="63"/>
        <v>{50004,15}</v>
      </c>
      <c r="AQ370" s="23" t="str">
        <f ca="1" t="shared" si="64"/>
        <v>{5113001,200}</v>
      </c>
      <c r="AR370" s="23" t="str">
        <f ca="1" t="shared" si="65"/>
        <v>{2,240}</v>
      </c>
      <c r="AS370" s="23" t="str">
        <f ca="1" t="shared" si="66"/>
        <v>{5123001,250}</v>
      </c>
      <c r="AT370" s="23" t="str">
        <f ca="1" t="shared" si="97"/>
        <v>{5523001,200}</v>
      </c>
      <c r="AU370" s="23" t="str">
        <f ca="1" t="shared" si="81"/>
        <v>{5303001,15}</v>
      </c>
      <c r="AV370" s="23" t="str">
        <f ca="1" t="shared" si="67"/>
        <v>{50006,25}</v>
      </c>
      <c r="AW370" s="23" t="str">
        <f ca="1" t="shared" si="68"/>
        <v>{9,1}</v>
      </c>
      <c r="AX370" s="23" t="str">
        <f ca="1" t="shared" si="69"/>
        <v>{2,360}</v>
      </c>
      <c r="AY370" s="23" t="str">
        <f ca="1" t="shared" si="70"/>
        <v>{5204001,5}</v>
      </c>
      <c r="AZ370" s="23" t="str">
        <f ca="1" t="shared" si="102"/>
        <v>{5205001,3}</v>
      </c>
      <c r="BA370" s="23" t="str">
        <f ca="1" t="shared" si="72"/>
        <v>{1,150}</v>
      </c>
      <c r="BB370" s="23" t="s">
        <v>401</v>
      </c>
      <c r="BC370" s="23" t="str">
        <f ca="1" t="shared" si="73"/>
        <v>{5143001,300}</v>
      </c>
      <c r="BD370" s="23" t="str">
        <f ca="1" t="shared" si="92"/>
        <v>{5303001,20}</v>
      </c>
      <c r="BE370" s="23" t="str">
        <f ca="1" t="shared" si="98"/>
        <v>{50039,1}</v>
      </c>
      <c r="BF370" s="23" t="str">
        <f ca="1" t="shared" si="75"/>
        <v>{2,600}</v>
      </c>
      <c r="BI370" s="23" t="str">
        <f ca="1" t="shared" si="76"/>
        <v>[{35,1},{50004,15},{5113001,200},{2,240}]</v>
      </c>
      <c r="BJ370" s="23" t="str">
        <f ca="1" t="shared" si="77"/>
        <v>[{5123001,250},{5523001,200},{5303001,15},{50006,25},{9,1},{2,360},{5204001,5}]</v>
      </c>
      <c r="BK370" s="23" t="str">
        <f ca="1" t="shared" si="78"/>
        <v>[{5205001,3},{1,150},{5523001,300},{5143001,300},{5303001,20},{50039,1},{2,600}]</v>
      </c>
      <c r="BL370" s="23">
        <f ca="1" t="shared" si="79"/>
        <v>4</v>
      </c>
      <c r="BM370" s="23">
        <f ca="1" t="shared" si="80"/>
        <v>7</v>
      </c>
      <c r="BN370" s="23">
        <f ca="1" t="shared" si="82"/>
        <v>7</v>
      </c>
      <c r="BP370" s="71" t="s">
        <v>374</v>
      </c>
      <c r="BQ370" s="71">
        <v>150</v>
      </c>
    </row>
    <row r="371" ht="16.5" spans="2:69">
      <c r="B371" s="23">
        <v>51</v>
      </c>
      <c r="C371" s="12"/>
      <c r="D371" s="71"/>
      <c r="E371" s="71"/>
      <c r="F371" s="71"/>
      <c r="G371" s="71" t="str">
        <f t="shared" si="84"/>
        <v>护臂图纸</v>
      </c>
      <c r="H371" s="71">
        <v>15</v>
      </c>
      <c r="I371" s="71" t="str">
        <f t="shared" si="89"/>
        <v>毒系特饮</v>
      </c>
      <c r="J371" s="71">
        <v>200</v>
      </c>
      <c r="K371" s="71" t="s">
        <v>96</v>
      </c>
      <c r="L371" s="71">
        <v>240</v>
      </c>
      <c r="M371" s="71" t="str">
        <f t="shared" si="93"/>
        <v>辅助特饮</v>
      </c>
      <c r="N371" s="71">
        <f t="shared" si="99"/>
        <v>250</v>
      </c>
      <c r="O371" s="71" t="s">
        <v>316</v>
      </c>
      <c r="P371" s="71">
        <v>200</v>
      </c>
      <c r="Q371" s="71"/>
      <c r="R371" s="71"/>
      <c r="S371" s="72" t="str">
        <f t="shared" si="86"/>
        <v>鞋子图纸</v>
      </c>
      <c r="T371" s="71">
        <v>25</v>
      </c>
      <c r="U371" s="71" t="str">
        <f t="shared" si="87"/>
        <v/>
      </c>
      <c r="V371" s="71">
        <f t="shared" si="88"/>
        <v>0</v>
      </c>
      <c r="W371" s="71" t="s">
        <v>96</v>
      </c>
      <c r="X371" s="71">
        <f t="shared" si="60"/>
        <v>360</v>
      </c>
      <c r="Y371" s="71"/>
      <c r="Z371" s="71"/>
      <c r="AA371" s="71" t="str">
        <f t="shared" si="95"/>
        <v>基因罐</v>
      </c>
      <c r="AB371" s="71">
        <f t="shared" si="101"/>
        <v>30</v>
      </c>
      <c r="AC371" s="71" t="s">
        <v>374</v>
      </c>
      <c r="AD371" s="71">
        <v>150</v>
      </c>
      <c r="AE371" s="72" t="str">
        <f t="shared" si="90"/>
        <v>毒系特饮</v>
      </c>
      <c r="AF371" s="71">
        <v>300</v>
      </c>
      <c r="AG371" s="71"/>
      <c r="AH371" s="71"/>
      <c r="AI371" s="71" t="s">
        <v>390</v>
      </c>
      <c r="AJ371" s="71">
        <v>1</v>
      </c>
      <c r="AK371" s="71" t="s">
        <v>96</v>
      </c>
      <c r="AL371" s="71">
        <f t="shared" si="61"/>
        <v>600</v>
      </c>
      <c r="AN371" s="23" t="str">
        <f ca="1" t="shared" si="91"/>
        <v>{11,5}</v>
      </c>
      <c r="AO371" s="23" t="str">
        <f ca="1" t="shared" si="83"/>
        <v/>
      </c>
      <c r="AP371" s="23" t="str">
        <f ca="1" t="shared" si="63"/>
        <v>{50005,15}</v>
      </c>
      <c r="AQ371" s="23" t="str">
        <f ca="1" t="shared" si="64"/>
        <v>{5163001,200}</v>
      </c>
      <c r="AR371" s="23" t="str">
        <f ca="1" t="shared" si="65"/>
        <v>{2,240}</v>
      </c>
      <c r="AS371" s="23" t="str">
        <f ca="1" t="shared" si="66"/>
        <v>{5143001,250}</v>
      </c>
      <c r="AT371" s="23" t="str">
        <f ca="1" t="shared" si="97"/>
        <v>{5523001,200}</v>
      </c>
      <c r="AU371" s="23" t="str">
        <f ca="1" t="shared" si="81"/>
        <v/>
      </c>
      <c r="AV371" s="23" t="str">
        <f ca="1" t="shared" si="67"/>
        <v>{50007,25}</v>
      </c>
      <c r="AW371" s="23" t="str">
        <f ca="1" t="shared" si="68"/>
        <v/>
      </c>
      <c r="AX371" s="23" t="str">
        <f ca="1" t="shared" si="69"/>
        <v>{2,360}</v>
      </c>
      <c r="AY371" s="23" t="str">
        <f ca="1" t="shared" si="70"/>
        <v>{5204001,5}</v>
      </c>
      <c r="AZ371" s="23" t="str">
        <f ca="1" t="shared" si="102"/>
        <v>{5203001,30}</v>
      </c>
      <c r="BA371" s="23" t="str">
        <f ca="1" t="shared" si="72"/>
        <v>{1,150}</v>
      </c>
      <c r="BB371" s="23" t="s">
        <v>401</v>
      </c>
      <c r="BC371" s="23" t="str">
        <f ca="1" t="shared" si="73"/>
        <v>{5163001,300}</v>
      </c>
      <c r="BD371" s="23" t="str">
        <f ca="1" t="shared" si="92"/>
        <v/>
      </c>
      <c r="BE371" s="23" t="str">
        <f ca="1" t="shared" si="98"/>
        <v>{50039,1}</v>
      </c>
      <c r="BF371" s="23" t="str">
        <f ca="1" t="shared" si="75"/>
        <v>{2,600}</v>
      </c>
      <c r="BI371" s="23" t="str">
        <f ca="1" t="shared" si="76"/>
        <v>[{11,5},{50005,15},{5163001,200},{2,240}]</v>
      </c>
      <c r="BJ371" s="23" t="str">
        <f ca="1" t="shared" si="77"/>
        <v>[{5143001,250},{5523001,200},{50007,25},{2,360},{5204001,5}]</v>
      </c>
      <c r="BK371" s="23" t="str">
        <f ca="1" t="shared" si="78"/>
        <v>[{5203001,30},{1,150},{5523001,300},{5163001,300},{50039,1},{2,600}]</v>
      </c>
      <c r="BL371" s="23">
        <f ca="1" t="shared" si="79"/>
        <v>4</v>
      </c>
      <c r="BM371" s="23">
        <f ca="1" t="shared" si="80"/>
        <v>5</v>
      </c>
      <c r="BN371" s="23">
        <f ca="1" t="shared" si="82"/>
        <v>6</v>
      </c>
      <c r="BP371" s="71" t="s">
        <v>374</v>
      </c>
      <c r="BQ371" s="71">
        <v>150</v>
      </c>
    </row>
    <row r="372" ht="16.5" spans="2:69">
      <c r="B372" s="23">
        <v>52</v>
      </c>
      <c r="C372" s="12"/>
      <c r="D372" s="71"/>
      <c r="E372" s="71"/>
      <c r="F372" s="71"/>
      <c r="G372" s="71" t="str">
        <f t="shared" si="84"/>
        <v>裤子图纸</v>
      </c>
      <c r="H372" s="71">
        <v>15</v>
      </c>
      <c r="I372" s="71" t="str">
        <f t="shared" si="89"/>
        <v>控制特饮</v>
      </c>
      <c r="J372" s="71">
        <v>200</v>
      </c>
      <c r="K372" s="71" t="s">
        <v>96</v>
      </c>
      <c r="L372" s="71">
        <v>240</v>
      </c>
      <c r="M372" s="71" t="str">
        <f t="shared" si="93"/>
        <v>射手特饮</v>
      </c>
      <c r="N372" s="71">
        <f t="shared" si="99"/>
        <v>250</v>
      </c>
      <c r="O372" s="71" t="s">
        <v>316</v>
      </c>
      <c r="P372" s="71">
        <v>200</v>
      </c>
      <c r="Q372" s="71"/>
      <c r="R372" s="71"/>
      <c r="S372" s="72" t="str">
        <f t="shared" si="86"/>
        <v>手套图纸</v>
      </c>
      <c r="T372" s="71">
        <v>25</v>
      </c>
      <c r="U372" s="71" t="str">
        <f t="shared" si="87"/>
        <v/>
      </c>
      <c r="V372" s="71">
        <f t="shared" si="88"/>
        <v>0</v>
      </c>
      <c r="W372" s="71" t="s">
        <v>96</v>
      </c>
      <c r="X372" s="71">
        <f t="shared" si="60"/>
        <v>360</v>
      </c>
      <c r="Y372" s="71"/>
      <c r="Z372" s="71"/>
      <c r="AA372" s="71" t="str">
        <f t="shared" si="95"/>
        <v>基因罐</v>
      </c>
      <c r="AB372" s="71">
        <f t="shared" si="101"/>
        <v>30</v>
      </c>
      <c r="AC372" s="71" t="s">
        <v>374</v>
      </c>
      <c r="AD372" s="71">
        <v>150</v>
      </c>
      <c r="AE372" s="72" t="str">
        <f t="shared" si="90"/>
        <v>控制特饮</v>
      </c>
      <c r="AF372" s="71">
        <v>300</v>
      </c>
      <c r="AG372" s="71"/>
      <c r="AH372" s="71"/>
      <c r="AI372" s="71" t="s">
        <v>390</v>
      </c>
      <c r="AJ372" s="71">
        <v>1</v>
      </c>
      <c r="AK372" s="71" t="s">
        <v>96</v>
      </c>
      <c r="AL372" s="71">
        <f t="shared" si="61"/>
        <v>600</v>
      </c>
      <c r="AN372" s="23" t="str">
        <f ca="1" t="shared" si="91"/>
        <v>{11,5}</v>
      </c>
      <c r="AO372" s="23" t="str">
        <f ca="1" t="shared" si="83"/>
        <v/>
      </c>
      <c r="AP372" s="23" t="str">
        <f ca="1" t="shared" si="63"/>
        <v>{50006,15}</v>
      </c>
      <c r="AQ372" s="23" t="str">
        <f ca="1" t="shared" si="64"/>
        <v>{5153001,200}</v>
      </c>
      <c r="AR372" s="23" t="str">
        <f ca="1" t="shared" si="65"/>
        <v>{2,240}</v>
      </c>
      <c r="AS372" s="23" t="str">
        <f ca="1" t="shared" si="66"/>
        <v>{5133001,250}</v>
      </c>
      <c r="AT372" s="23" t="str">
        <f ca="1" t="shared" si="97"/>
        <v>{5523001,200}</v>
      </c>
      <c r="AU372" s="23" t="str">
        <f ca="1" t="shared" si="81"/>
        <v/>
      </c>
      <c r="AV372" s="23" t="str">
        <f ca="1" t="shared" si="67"/>
        <v>{50008,25}</v>
      </c>
      <c r="AW372" s="23" t="str">
        <f ca="1" t="shared" si="68"/>
        <v/>
      </c>
      <c r="AX372" s="23" t="str">
        <f ca="1" t="shared" si="69"/>
        <v>{2,360}</v>
      </c>
      <c r="AY372" s="23" t="str">
        <f ca="1" t="shared" si="70"/>
        <v>{5204001,5}</v>
      </c>
      <c r="AZ372" s="23" t="str">
        <f ca="1" t="shared" si="102"/>
        <v>{5203001,30}</v>
      </c>
      <c r="BA372" s="23" t="str">
        <f ca="1" t="shared" si="72"/>
        <v>{1,150}</v>
      </c>
      <c r="BB372" s="23" t="s">
        <v>401</v>
      </c>
      <c r="BC372" s="23" t="str">
        <f ca="1" t="shared" si="73"/>
        <v>{5153001,300}</v>
      </c>
      <c r="BD372" s="23" t="str">
        <f ca="1" t="shared" si="92"/>
        <v/>
      </c>
      <c r="BE372" s="23" t="str">
        <f ca="1" t="shared" si="98"/>
        <v>{50039,1}</v>
      </c>
      <c r="BF372" s="23" t="str">
        <f ca="1" t="shared" si="75"/>
        <v>{2,600}</v>
      </c>
      <c r="BI372" s="23" t="str">
        <f ca="1" t="shared" si="76"/>
        <v>[{11,5},{50006,15},{5153001,200},{2,240}]</v>
      </c>
      <c r="BJ372" s="23" t="str">
        <f ca="1" t="shared" si="77"/>
        <v>[{5133001,250},{5523001,200},{50008,25},{2,360},{5204001,5}]</v>
      </c>
      <c r="BK372" s="23" t="str">
        <f ca="1" t="shared" si="78"/>
        <v>[{5203001,30},{1,150},{5523001,300},{5153001,300},{50039,1},{2,600}]</v>
      </c>
      <c r="BL372" s="23">
        <f ca="1" t="shared" si="79"/>
        <v>4</v>
      </c>
      <c r="BM372" s="23">
        <f ca="1" t="shared" si="80"/>
        <v>5</v>
      </c>
      <c r="BN372" s="23">
        <f ca="1" t="shared" si="82"/>
        <v>6</v>
      </c>
      <c r="BP372" s="71" t="s">
        <v>374</v>
      </c>
      <c r="BQ372" s="71">
        <v>150</v>
      </c>
    </row>
    <row r="373" ht="16.5" spans="2:69">
      <c r="B373" s="23">
        <v>53</v>
      </c>
      <c r="C373" s="12"/>
      <c r="D373" s="71"/>
      <c r="E373" s="71"/>
      <c r="F373" s="71"/>
      <c r="G373" s="71" t="str">
        <f t="shared" si="84"/>
        <v>鞋子图纸</v>
      </c>
      <c r="H373" s="71">
        <v>15</v>
      </c>
      <c r="I373" s="71" t="str">
        <f t="shared" si="89"/>
        <v>射手特饮</v>
      </c>
      <c r="J373" s="71">
        <v>200</v>
      </c>
      <c r="K373" s="71" t="s">
        <v>96</v>
      </c>
      <c r="L373" s="71">
        <v>240</v>
      </c>
      <c r="M373" s="71" t="str">
        <f t="shared" si="93"/>
        <v>毒系特饮</v>
      </c>
      <c r="N373" s="71">
        <f t="shared" si="99"/>
        <v>250</v>
      </c>
      <c r="O373" s="71" t="s">
        <v>316</v>
      </c>
      <c r="P373" s="71">
        <v>200</v>
      </c>
      <c r="Q373" s="71"/>
      <c r="R373" s="71"/>
      <c r="S373" s="72" t="str">
        <f t="shared" si="86"/>
        <v>头盔图纸</v>
      </c>
      <c r="T373" s="71">
        <v>25</v>
      </c>
      <c r="U373" s="71" t="str">
        <f t="shared" si="87"/>
        <v/>
      </c>
      <c r="V373" s="71">
        <f t="shared" si="88"/>
        <v>0</v>
      </c>
      <c r="W373" s="71" t="s">
        <v>96</v>
      </c>
      <c r="X373" s="71">
        <f t="shared" si="60"/>
        <v>360</v>
      </c>
      <c r="Y373" s="71"/>
      <c r="Z373" s="71"/>
      <c r="AA373" s="71" t="str">
        <f t="shared" si="95"/>
        <v>基因罐</v>
      </c>
      <c r="AB373" s="71">
        <f t="shared" si="101"/>
        <v>30</v>
      </c>
      <c r="AC373" s="71" t="s">
        <v>374</v>
      </c>
      <c r="AD373" s="71">
        <v>150</v>
      </c>
      <c r="AE373" s="72" t="str">
        <f t="shared" si="90"/>
        <v>射手特饮</v>
      </c>
      <c r="AF373" s="71">
        <v>300</v>
      </c>
      <c r="AG373" s="71"/>
      <c r="AH373" s="71"/>
      <c r="AI373" s="71" t="s">
        <v>390</v>
      </c>
      <c r="AJ373" s="71">
        <v>1</v>
      </c>
      <c r="AK373" s="71" t="s">
        <v>96</v>
      </c>
      <c r="AL373" s="71">
        <f t="shared" si="61"/>
        <v>600</v>
      </c>
      <c r="AN373" s="23" t="str">
        <f ca="1" t="shared" si="91"/>
        <v>{11,5}</v>
      </c>
      <c r="AO373" s="23" t="str">
        <f ca="1" t="shared" si="83"/>
        <v/>
      </c>
      <c r="AP373" s="23" t="str">
        <f ca="1" t="shared" si="63"/>
        <v>{50007,15}</v>
      </c>
      <c r="AQ373" s="23" t="str">
        <f ca="1" t="shared" si="64"/>
        <v>{5133001,200}</v>
      </c>
      <c r="AR373" s="23" t="str">
        <f ca="1" t="shared" si="65"/>
        <v>{2,240}</v>
      </c>
      <c r="AS373" s="23" t="str">
        <f ca="1" t="shared" si="66"/>
        <v>{5163001,250}</v>
      </c>
      <c r="AT373" s="23" t="str">
        <f ca="1" t="shared" si="97"/>
        <v>{5523001,200}</v>
      </c>
      <c r="AU373" s="23" t="str">
        <f ca="1" t="shared" si="81"/>
        <v/>
      </c>
      <c r="AV373" s="23" t="str">
        <f ca="1" t="shared" si="67"/>
        <v>{50003,25}</v>
      </c>
      <c r="AW373" s="23" t="str">
        <f ca="1" t="shared" si="68"/>
        <v/>
      </c>
      <c r="AX373" s="23" t="str">
        <f ca="1" t="shared" si="69"/>
        <v>{2,360}</v>
      </c>
      <c r="AY373" s="23" t="str">
        <f ca="1" t="shared" si="70"/>
        <v>{5204001,5}</v>
      </c>
      <c r="AZ373" s="23" t="str">
        <f ca="1" t="shared" si="102"/>
        <v>{5203001,30}</v>
      </c>
      <c r="BA373" s="23" t="str">
        <f ca="1" t="shared" si="72"/>
        <v>{1,150}</v>
      </c>
      <c r="BB373" s="23" t="s">
        <v>401</v>
      </c>
      <c r="BC373" s="23" t="str">
        <f ca="1" t="shared" si="73"/>
        <v>{5133001,300}</v>
      </c>
      <c r="BD373" s="23" t="str">
        <f ca="1" t="shared" si="92"/>
        <v/>
      </c>
      <c r="BE373" s="23" t="str">
        <f ca="1" t="shared" si="98"/>
        <v>{50039,1}</v>
      </c>
      <c r="BF373" s="23" t="str">
        <f ca="1" t="shared" si="75"/>
        <v>{2,600}</v>
      </c>
      <c r="BI373" s="23" t="str">
        <f ca="1" t="shared" si="76"/>
        <v>[{11,5},{50007,15},{5133001,200},{2,240}]</v>
      </c>
      <c r="BJ373" s="23" t="str">
        <f ca="1" t="shared" si="77"/>
        <v>[{5163001,250},{5523001,200},{50003,25},{2,360},{5204001,5}]</v>
      </c>
      <c r="BK373" s="23" t="str">
        <f ca="1" t="shared" si="78"/>
        <v>[{5203001,30},{1,150},{5523001,300},{5133001,300},{50039,1},{2,600}]</v>
      </c>
      <c r="BL373" s="23">
        <f ca="1" t="shared" si="79"/>
        <v>4</v>
      </c>
      <c r="BM373" s="23">
        <f ca="1" t="shared" si="80"/>
        <v>5</v>
      </c>
      <c r="BN373" s="23">
        <f ca="1" t="shared" si="82"/>
        <v>6</v>
      </c>
      <c r="BP373" s="71" t="s">
        <v>374</v>
      </c>
      <c r="BQ373" s="71">
        <v>150</v>
      </c>
    </row>
    <row r="374" ht="16.5" spans="2:69">
      <c r="B374" s="23">
        <v>54</v>
      </c>
      <c r="C374" s="12"/>
      <c r="D374" s="71"/>
      <c r="E374" s="71"/>
      <c r="F374" s="71"/>
      <c r="G374" s="71" t="str">
        <f t="shared" si="84"/>
        <v>手套图纸</v>
      </c>
      <c r="H374" s="71">
        <v>15</v>
      </c>
      <c r="I374" s="71" t="str">
        <f t="shared" si="89"/>
        <v>法师特饮</v>
      </c>
      <c r="J374" s="71">
        <v>200</v>
      </c>
      <c r="K374" s="71" t="s">
        <v>96</v>
      </c>
      <c r="L374" s="71">
        <v>240</v>
      </c>
      <c r="M374" s="71" t="str">
        <f t="shared" si="93"/>
        <v>控制特饮</v>
      </c>
      <c r="N374" s="71">
        <f t="shared" si="99"/>
        <v>250</v>
      </c>
      <c r="O374" s="71" t="s">
        <v>316</v>
      </c>
      <c r="P374" s="71">
        <v>200</v>
      </c>
      <c r="Q374" s="71"/>
      <c r="R374" s="71"/>
      <c r="S374" s="72" t="str">
        <f t="shared" si="86"/>
        <v>衣服图纸</v>
      </c>
      <c r="T374" s="71">
        <v>25</v>
      </c>
      <c r="U374" s="71" t="str">
        <f t="shared" si="87"/>
        <v/>
      </c>
      <c r="V374" s="71">
        <f t="shared" si="88"/>
        <v>0</v>
      </c>
      <c r="W374" s="71" t="s">
        <v>96</v>
      </c>
      <c r="X374" s="71">
        <f t="shared" si="60"/>
        <v>360</v>
      </c>
      <c r="Y374" s="71"/>
      <c r="Z374" s="71"/>
      <c r="AA374" s="71" t="str">
        <f t="shared" si="95"/>
        <v>基因罐</v>
      </c>
      <c r="AB374" s="71">
        <f t="shared" si="101"/>
        <v>30</v>
      </c>
      <c r="AC374" s="71" t="s">
        <v>374</v>
      </c>
      <c r="AD374" s="71">
        <v>150</v>
      </c>
      <c r="AE374" s="72" t="str">
        <f t="shared" si="90"/>
        <v>战士特饮</v>
      </c>
      <c r="AF374" s="71">
        <v>300</v>
      </c>
      <c r="AG374" s="71"/>
      <c r="AH374" s="71"/>
      <c r="AI374" s="71" t="s">
        <v>390</v>
      </c>
      <c r="AJ374" s="71">
        <v>1</v>
      </c>
      <c r="AK374" s="71" t="s">
        <v>96</v>
      </c>
      <c r="AL374" s="71">
        <f t="shared" si="61"/>
        <v>600</v>
      </c>
      <c r="AN374" s="23" t="str">
        <f ca="1" t="shared" si="91"/>
        <v>{11,5}</v>
      </c>
      <c r="AO374" s="23" t="str">
        <f ca="1" t="shared" si="83"/>
        <v/>
      </c>
      <c r="AP374" s="23" t="str">
        <f ca="1" t="shared" si="63"/>
        <v>{50008,15}</v>
      </c>
      <c r="AQ374" s="23" t="str">
        <f ca="1" t="shared" si="64"/>
        <v>{5123001,200}</v>
      </c>
      <c r="AR374" s="23" t="str">
        <f ca="1" t="shared" si="65"/>
        <v>{2,240}</v>
      </c>
      <c r="AS374" s="23" t="str">
        <f ca="1" t="shared" si="66"/>
        <v>{5153001,250}</v>
      </c>
      <c r="AT374" s="23" t="str">
        <f ca="1" t="shared" si="97"/>
        <v>{5523001,200}</v>
      </c>
      <c r="AU374" s="23" t="str">
        <f ca="1" t="shared" si="81"/>
        <v/>
      </c>
      <c r="AV374" s="23" t="str">
        <f ca="1" t="shared" si="67"/>
        <v>{50004,25}</v>
      </c>
      <c r="AW374" s="23" t="str">
        <f ca="1" t="shared" si="68"/>
        <v/>
      </c>
      <c r="AX374" s="23" t="str">
        <f ca="1" t="shared" si="69"/>
        <v>{2,360}</v>
      </c>
      <c r="AY374" s="23" t="str">
        <f ca="1" t="shared" si="70"/>
        <v>{5204001,5}</v>
      </c>
      <c r="AZ374" s="23" t="str">
        <f ca="1" t="shared" si="102"/>
        <v>{5203001,30}</v>
      </c>
      <c r="BA374" s="23" t="str">
        <f ca="1" t="shared" si="72"/>
        <v>{1,150}</v>
      </c>
      <c r="BB374" s="23" t="s">
        <v>401</v>
      </c>
      <c r="BC374" s="23" t="str">
        <f ca="1" t="shared" si="73"/>
        <v>{5113001,300}</v>
      </c>
      <c r="BD374" s="23" t="str">
        <f ca="1" t="shared" si="92"/>
        <v/>
      </c>
      <c r="BE374" s="23" t="str">
        <f ca="1" t="shared" si="98"/>
        <v>{50039,1}</v>
      </c>
      <c r="BF374" s="23" t="str">
        <f ca="1" t="shared" si="75"/>
        <v>{2,600}</v>
      </c>
      <c r="BI374" s="23" t="str">
        <f ca="1" t="shared" si="76"/>
        <v>[{11,5},{50008,15},{5123001,200},{2,240}]</v>
      </c>
      <c r="BJ374" s="23" t="str">
        <f ca="1" t="shared" si="77"/>
        <v>[{5153001,250},{5523001,200},{50004,25},{2,360},{5204001,5}]</v>
      </c>
      <c r="BK374" s="23" t="str">
        <f ca="1" t="shared" si="78"/>
        <v>[{5203001,30},{1,150},{5523001,300},{5113001,300},{50039,1},{2,600}]</v>
      </c>
      <c r="BL374" s="23">
        <f ca="1" t="shared" si="79"/>
        <v>4</v>
      </c>
      <c r="BM374" s="23">
        <f ca="1" t="shared" si="80"/>
        <v>5</v>
      </c>
      <c r="BN374" s="23">
        <f ca="1" t="shared" si="82"/>
        <v>6</v>
      </c>
      <c r="BP374" s="71" t="s">
        <v>374</v>
      </c>
      <c r="BQ374" s="71">
        <v>150</v>
      </c>
    </row>
    <row r="375" ht="16.5" spans="2:69">
      <c r="B375" s="23">
        <v>55</v>
      </c>
      <c r="C375" s="12" t="s">
        <v>240</v>
      </c>
      <c r="D375" s="71">
        <v>1</v>
      </c>
      <c r="E375" s="71"/>
      <c r="F375" s="71"/>
      <c r="G375" s="71" t="str">
        <f t="shared" si="84"/>
        <v>头盔图纸</v>
      </c>
      <c r="H375" s="71">
        <v>15</v>
      </c>
      <c r="I375" s="71" t="str">
        <f t="shared" si="89"/>
        <v>辅助特饮</v>
      </c>
      <c r="J375" s="71">
        <v>200</v>
      </c>
      <c r="K375" s="71" t="s">
        <v>96</v>
      </c>
      <c r="L375" s="71">
        <v>240</v>
      </c>
      <c r="M375" s="71" t="str">
        <f t="shared" si="93"/>
        <v>战士特饮</v>
      </c>
      <c r="N375" s="71">
        <f t="shared" si="99"/>
        <v>250</v>
      </c>
      <c r="O375" s="71" t="s">
        <v>316</v>
      </c>
      <c r="P375" s="71">
        <v>200</v>
      </c>
      <c r="Q375" s="71"/>
      <c r="R375" s="71"/>
      <c r="S375" s="72" t="str">
        <f t="shared" si="86"/>
        <v>护臂图纸</v>
      </c>
      <c r="T375" s="71">
        <v>25</v>
      </c>
      <c r="U375" s="71" t="str">
        <f t="shared" si="87"/>
        <v>灵感获取令</v>
      </c>
      <c r="V375" s="71">
        <f t="shared" si="88"/>
        <v>1</v>
      </c>
      <c r="W375" s="71" t="s">
        <v>96</v>
      </c>
      <c r="X375" s="71">
        <f t="shared" si="60"/>
        <v>360</v>
      </c>
      <c r="Y375" s="71"/>
      <c r="Z375" s="71"/>
      <c r="AA375" s="71" t="str">
        <f t="shared" si="95"/>
        <v>传说基因罐</v>
      </c>
      <c r="AB375" s="71">
        <f t="shared" si="101"/>
        <v>3</v>
      </c>
      <c r="AC375" s="71" t="s">
        <v>374</v>
      </c>
      <c r="AD375" s="71">
        <v>150</v>
      </c>
      <c r="AE375" s="72" t="str">
        <f t="shared" si="90"/>
        <v>法师特饮</v>
      </c>
      <c r="AF375" s="71">
        <v>300</v>
      </c>
      <c r="AG375" s="71"/>
      <c r="AH375" s="71"/>
      <c r="AI375" s="71" t="s">
        <v>390</v>
      </c>
      <c r="AJ375" s="71">
        <v>1</v>
      </c>
      <c r="AK375" s="71" t="s">
        <v>96</v>
      </c>
      <c r="AL375" s="71">
        <f t="shared" si="61"/>
        <v>600</v>
      </c>
      <c r="AN375" s="23" t="str">
        <f ca="1" t="shared" si="91"/>
        <v>{35,1}</v>
      </c>
      <c r="AO375" s="23" t="str">
        <f ca="1" t="shared" si="83"/>
        <v/>
      </c>
      <c r="AP375" s="23" t="str">
        <f ca="1" t="shared" si="63"/>
        <v>{50003,15}</v>
      </c>
      <c r="AQ375" s="23" t="str">
        <f ca="1" t="shared" si="64"/>
        <v>{5143001,200}</v>
      </c>
      <c r="AR375" s="23" t="str">
        <f ca="1" t="shared" si="65"/>
        <v>{2,240}</v>
      </c>
      <c r="AS375" s="23" t="str">
        <f ca="1" t="shared" si="66"/>
        <v>{5113001,250}</v>
      </c>
      <c r="AT375" s="23" t="str">
        <f ca="1" t="shared" si="97"/>
        <v>{5523001,200}</v>
      </c>
      <c r="AU375" s="23" t="str">
        <f ca="1" t="shared" si="81"/>
        <v/>
      </c>
      <c r="AV375" s="23" t="str">
        <f ca="1" t="shared" si="67"/>
        <v>{50005,25}</v>
      </c>
      <c r="AW375" s="23" t="str">
        <f ca="1" t="shared" si="68"/>
        <v>{9,1}</v>
      </c>
      <c r="AX375" s="23" t="str">
        <f ca="1" t="shared" si="69"/>
        <v>{2,360}</v>
      </c>
      <c r="AY375" s="23" t="str">
        <f ca="1" t="shared" si="70"/>
        <v>{5204001,5}</v>
      </c>
      <c r="AZ375" s="23" t="str">
        <f ca="1" t="shared" si="102"/>
        <v>{5205001,3}</v>
      </c>
      <c r="BA375" s="23" t="str">
        <f ca="1" t="shared" si="72"/>
        <v>{1,150}</v>
      </c>
      <c r="BB375" s="23" t="s">
        <v>401</v>
      </c>
      <c r="BC375" s="23" t="str">
        <f ca="1" t="shared" si="73"/>
        <v>{5123001,300}</v>
      </c>
      <c r="BD375" s="23" t="str">
        <f ca="1" t="shared" si="92"/>
        <v/>
      </c>
      <c r="BE375" s="23" t="str">
        <f ca="1" t="shared" si="98"/>
        <v>{50039,1}</v>
      </c>
      <c r="BF375" s="23" t="str">
        <f ca="1" t="shared" si="75"/>
        <v>{2,600}</v>
      </c>
      <c r="BI375" s="23" t="str">
        <f ca="1" t="shared" si="76"/>
        <v>[{35,1},{50003,15},{5143001,200},{2,240}]</v>
      </c>
      <c r="BJ375" s="23" t="str">
        <f ca="1" t="shared" si="77"/>
        <v>[{5113001,250},{5523001,200},{50005,25},{9,1},{2,360},{5204001,5}]</v>
      </c>
      <c r="BK375" s="23" t="str">
        <f ca="1" t="shared" si="78"/>
        <v>[{5205001,3},{1,150},{5523001,300},{5123001,300},{50039,1},{2,600}]</v>
      </c>
      <c r="BL375" s="23">
        <f ca="1" t="shared" si="79"/>
        <v>4</v>
      </c>
      <c r="BM375" s="23">
        <f ca="1" t="shared" si="80"/>
        <v>6</v>
      </c>
      <c r="BN375" s="23">
        <f ca="1" t="shared" si="82"/>
        <v>6</v>
      </c>
      <c r="BP375" s="71" t="s">
        <v>374</v>
      </c>
      <c r="BQ375" s="71">
        <v>150</v>
      </c>
    </row>
    <row r="376" ht="16.5" spans="2:69">
      <c r="B376" s="23">
        <v>56</v>
      </c>
      <c r="C376" s="12"/>
      <c r="D376" s="71"/>
      <c r="E376" s="71"/>
      <c r="F376" s="71"/>
      <c r="G376" s="71" t="str">
        <f t="shared" si="84"/>
        <v>衣服图纸</v>
      </c>
      <c r="H376" s="71">
        <v>15</v>
      </c>
      <c r="I376" s="71" t="str">
        <f t="shared" si="89"/>
        <v>战士特饮</v>
      </c>
      <c r="J376" s="71">
        <v>200</v>
      </c>
      <c r="K376" s="71" t="s">
        <v>96</v>
      </c>
      <c r="L376" s="71">
        <v>240</v>
      </c>
      <c r="M376" s="71" t="str">
        <f t="shared" si="93"/>
        <v>法师特饮</v>
      </c>
      <c r="N376" s="71">
        <f t="shared" si="99"/>
        <v>250</v>
      </c>
      <c r="O376" s="71" t="s">
        <v>316</v>
      </c>
      <c r="P376" s="71">
        <v>200</v>
      </c>
      <c r="Q376" s="71"/>
      <c r="R376" s="71"/>
      <c r="S376" s="72" t="str">
        <f t="shared" si="86"/>
        <v>裤子图纸</v>
      </c>
      <c r="T376" s="71">
        <v>25</v>
      </c>
      <c r="U376" s="71" t="str">
        <f t="shared" si="87"/>
        <v/>
      </c>
      <c r="V376" s="71">
        <f t="shared" si="88"/>
        <v>0</v>
      </c>
      <c r="W376" s="71" t="s">
        <v>96</v>
      </c>
      <c r="X376" s="71">
        <f t="shared" si="60"/>
        <v>360</v>
      </c>
      <c r="Y376" s="71"/>
      <c r="Z376" s="71"/>
      <c r="AA376" s="71" t="str">
        <f t="shared" si="95"/>
        <v>基因罐</v>
      </c>
      <c r="AB376" s="71">
        <f t="shared" si="101"/>
        <v>30</v>
      </c>
      <c r="AC376" s="71" t="s">
        <v>374</v>
      </c>
      <c r="AD376" s="71">
        <v>150</v>
      </c>
      <c r="AE376" s="72" t="str">
        <f t="shared" si="90"/>
        <v>辅助特饮</v>
      </c>
      <c r="AF376" s="71">
        <v>300</v>
      </c>
      <c r="AG376" s="71"/>
      <c r="AH376" s="71"/>
      <c r="AI376" s="71" t="s">
        <v>390</v>
      </c>
      <c r="AJ376" s="71">
        <v>1</v>
      </c>
      <c r="AK376" s="71" t="s">
        <v>96</v>
      </c>
      <c r="AL376" s="71">
        <f t="shared" si="61"/>
        <v>600</v>
      </c>
      <c r="AN376" s="23" t="str">
        <f ca="1" t="shared" si="91"/>
        <v>{11,5}</v>
      </c>
      <c r="AO376" s="23" t="str">
        <f ca="1" t="shared" si="83"/>
        <v/>
      </c>
      <c r="AP376" s="23" t="str">
        <f ca="1" t="shared" si="63"/>
        <v>{50004,15}</v>
      </c>
      <c r="AQ376" s="23" t="str">
        <f ca="1" t="shared" si="64"/>
        <v>{5113001,200}</v>
      </c>
      <c r="AR376" s="23" t="str">
        <f ca="1" t="shared" si="65"/>
        <v>{2,240}</v>
      </c>
      <c r="AS376" s="23" t="str">
        <f ca="1" t="shared" si="66"/>
        <v>{5123001,250}</v>
      </c>
      <c r="AT376" s="23" t="str">
        <f ca="1" t="shared" si="97"/>
        <v>{5523001,200}</v>
      </c>
      <c r="AU376" s="23" t="str">
        <f ca="1" t="shared" si="81"/>
        <v/>
      </c>
      <c r="AV376" s="23" t="str">
        <f ca="1" t="shared" si="67"/>
        <v>{50006,25}</v>
      </c>
      <c r="AW376" s="23" t="str">
        <f ca="1" t="shared" si="68"/>
        <v/>
      </c>
      <c r="AX376" s="23" t="str">
        <f ca="1" t="shared" si="69"/>
        <v>{2,360}</v>
      </c>
      <c r="AY376" s="23" t="str">
        <f ca="1" t="shared" si="70"/>
        <v>{5204001,5}</v>
      </c>
      <c r="AZ376" s="23" t="str">
        <f ca="1" t="shared" si="102"/>
        <v>{5203001,30}</v>
      </c>
      <c r="BA376" s="23" t="str">
        <f ca="1" t="shared" si="72"/>
        <v>{1,150}</v>
      </c>
      <c r="BB376" s="23" t="s">
        <v>401</v>
      </c>
      <c r="BC376" s="23" t="str">
        <f ca="1" t="shared" si="73"/>
        <v>{5143001,300}</v>
      </c>
      <c r="BD376" s="23" t="str">
        <f ca="1" t="shared" si="92"/>
        <v/>
      </c>
      <c r="BE376" s="23" t="str">
        <f ca="1" t="shared" si="98"/>
        <v>{50039,1}</v>
      </c>
      <c r="BF376" s="23" t="str">
        <f ca="1" t="shared" si="75"/>
        <v>{2,600}</v>
      </c>
      <c r="BI376" s="23" t="str">
        <f ca="1" t="shared" si="76"/>
        <v>[{11,5},{50004,15},{5113001,200},{2,240}]</v>
      </c>
      <c r="BJ376" s="23" t="str">
        <f ca="1" t="shared" si="77"/>
        <v>[{5123001,250},{5523001,200},{50006,25},{2,360},{5204001,5}]</v>
      </c>
      <c r="BK376" s="23" t="str">
        <f ca="1" t="shared" si="78"/>
        <v>[{5203001,30},{1,150},{5523001,300},{5143001,300},{50039,1},{2,600}]</v>
      </c>
      <c r="BL376" s="23">
        <f ca="1" t="shared" si="79"/>
        <v>4</v>
      </c>
      <c r="BM376" s="23">
        <f ca="1" t="shared" si="80"/>
        <v>5</v>
      </c>
      <c r="BN376" s="23">
        <f ca="1" t="shared" si="82"/>
        <v>6</v>
      </c>
      <c r="BP376" s="71" t="s">
        <v>374</v>
      </c>
      <c r="BQ376" s="71">
        <v>150</v>
      </c>
    </row>
    <row r="377" ht="16.5" spans="2:69">
      <c r="B377" s="23">
        <v>57</v>
      </c>
      <c r="C377" s="12"/>
      <c r="D377" s="71"/>
      <c r="E377" s="71"/>
      <c r="F377" s="71"/>
      <c r="G377" s="71" t="str">
        <f t="shared" si="84"/>
        <v>护臂图纸</v>
      </c>
      <c r="H377" s="71">
        <v>15</v>
      </c>
      <c r="I377" s="71" t="str">
        <f t="shared" si="89"/>
        <v>毒系特饮</v>
      </c>
      <c r="J377" s="71">
        <v>200</v>
      </c>
      <c r="K377" s="71" t="s">
        <v>96</v>
      </c>
      <c r="L377" s="71">
        <v>240</v>
      </c>
      <c r="M377" s="71" t="str">
        <f t="shared" si="93"/>
        <v>辅助特饮</v>
      </c>
      <c r="N377" s="71">
        <f t="shared" si="99"/>
        <v>250</v>
      </c>
      <c r="O377" s="71" t="s">
        <v>316</v>
      </c>
      <c r="P377" s="71">
        <v>200</v>
      </c>
      <c r="Q377" s="71"/>
      <c r="R377" s="71"/>
      <c r="S377" s="72" t="str">
        <f t="shared" si="86"/>
        <v>鞋子图纸</v>
      </c>
      <c r="T377" s="71">
        <v>25</v>
      </c>
      <c r="U377" s="71" t="str">
        <f t="shared" si="87"/>
        <v/>
      </c>
      <c r="V377" s="71">
        <f t="shared" si="88"/>
        <v>0</v>
      </c>
      <c r="W377" s="71" t="s">
        <v>96</v>
      </c>
      <c r="X377" s="71">
        <f t="shared" si="60"/>
        <v>360</v>
      </c>
      <c r="Y377" s="71"/>
      <c r="Z377" s="71"/>
      <c r="AA377" s="71" t="str">
        <f t="shared" si="95"/>
        <v>基因罐</v>
      </c>
      <c r="AB377" s="71">
        <f t="shared" si="101"/>
        <v>30</v>
      </c>
      <c r="AC377" s="71" t="s">
        <v>374</v>
      </c>
      <c r="AD377" s="71">
        <v>150</v>
      </c>
      <c r="AE377" s="72" t="str">
        <f t="shared" si="90"/>
        <v>毒系特饮</v>
      </c>
      <c r="AF377" s="71">
        <v>300</v>
      </c>
      <c r="AG377" s="71"/>
      <c r="AH377" s="71"/>
      <c r="AI377" s="71" t="s">
        <v>390</v>
      </c>
      <c r="AJ377" s="71">
        <v>1</v>
      </c>
      <c r="AK377" s="71" t="s">
        <v>96</v>
      </c>
      <c r="AL377" s="71">
        <f t="shared" si="61"/>
        <v>600</v>
      </c>
      <c r="AN377" s="23" t="str">
        <f ca="1" t="shared" si="91"/>
        <v>{11,5}</v>
      </c>
      <c r="AO377" s="23" t="str">
        <f ca="1" t="shared" si="83"/>
        <v/>
      </c>
      <c r="AP377" s="23" t="str">
        <f ca="1" t="shared" si="63"/>
        <v>{50005,15}</v>
      </c>
      <c r="AQ377" s="23" t="str">
        <f ca="1" t="shared" si="64"/>
        <v>{5163001,200}</v>
      </c>
      <c r="AR377" s="23" t="str">
        <f ca="1" t="shared" si="65"/>
        <v>{2,240}</v>
      </c>
      <c r="AS377" s="23" t="str">
        <f ca="1" t="shared" si="66"/>
        <v>{5143001,250}</v>
      </c>
      <c r="AT377" s="23" t="str">
        <f ca="1" t="shared" si="97"/>
        <v>{5523001,200}</v>
      </c>
      <c r="AU377" s="23" t="str">
        <f ca="1" t="shared" si="81"/>
        <v/>
      </c>
      <c r="AV377" s="23" t="str">
        <f ca="1" t="shared" si="67"/>
        <v>{50007,25}</v>
      </c>
      <c r="AW377" s="23" t="str">
        <f ca="1" t="shared" si="68"/>
        <v/>
      </c>
      <c r="AX377" s="23" t="str">
        <f ca="1" t="shared" si="69"/>
        <v>{2,360}</v>
      </c>
      <c r="AY377" s="23" t="str">
        <f ca="1" t="shared" si="70"/>
        <v>{5204001,5}</v>
      </c>
      <c r="AZ377" s="23" t="str">
        <f ca="1" t="shared" si="102"/>
        <v>{5203001,30}</v>
      </c>
      <c r="BA377" s="23" t="str">
        <f ca="1" t="shared" si="72"/>
        <v>{1,150}</v>
      </c>
      <c r="BB377" s="23" t="s">
        <v>401</v>
      </c>
      <c r="BC377" s="23" t="str">
        <f ca="1" t="shared" si="73"/>
        <v>{5163001,300}</v>
      </c>
      <c r="BD377" s="23" t="str">
        <f ca="1" t="shared" si="92"/>
        <v/>
      </c>
      <c r="BE377" s="23" t="str">
        <f ca="1" t="shared" si="98"/>
        <v>{50039,1}</v>
      </c>
      <c r="BF377" s="23" t="str">
        <f ca="1" t="shared" si="75"/>
        <v>{2,600}</v>
      </c>
      <c r="BI377" s="23" t="str">
        <f ca="1" t="shared" si="76"/>
        <v>[{11,5},{50005,15},{5163001,200},{2,240}]</v>
      </c>
      <c r="BJ377" s="23" t="str">
        <f ca="1" t="shared" si="77"/>
        <v>[{5143001,250},{5523001,200},{50007,25},{2,360},{5204001,5}]</v>
      </c>
      <c r="BK377" s="23" t="str">
        <f ca="1" t="shared" si="78"/>
        <v>[{5203001,30},{1,150},{5523001,300},{5163001,300},{50039,1},{2,600}]</v>
      </c>
      <c r="BL377" s="23">
        <f ca="1" t="shared" si="79"/>
        <v>4</v>
      </c>
      <c r="BM377" s="23">
        <f ca="1" t="shared" si="80"/>
        <v>5</v>
      </c>
      <c r="BN377" s="23">
        <f ca="1" t="shared" si="82"/>
        <v>6</v>
      </c>
      <c r="BP377" s="71" t="s">
        <v>374</v>
      </c>
      <c r="BQ377" s="71">
        <v>150</v>
      </c>
    </row>
    <row r="378" ht="16.5" spans="2:69">
      <c r="B378" s="23">
        <v>58</v>
      </c>
      <c r="C378" s="12"/>
      <c r="D378" s="71"/>
      <c r="E378" s="71"/>
      <c r="F378" s="71"/>
      <c r="G378" s="71" t="str">
        <f t="shared" si="84"/>
        <v>裤子图纸</v>
      </c>
      <c r="H378" s="71">
        <v>15</v>
      </c>
      <c r="I378" s="71" t="str">
        <f t="shared" si="89"/>
        <v>控制特饮</v>
      </c>
      <c r="J378" s="71">
        <v>200</v>
      </c>
      <c r="K378" s="71" t="s">
        <v>96</v>
      </c>
      <c r="L378" s="71">
        <v>240</v>
      </c>
      <c r="M378" s="71" t="str">
        <f t="shared" si="93"/>
        <v>射手特饮</v>
      </c>
      <c r="N378" s="71">
        <f t="shared" si="99"/>
        <v>250</v>
      </c>
      <c r="O378" s="71" t="s">
        <v>316</v>
      </c>
      <c r="P378" s="71">
        <v>200</v>
      </c>
      <c r="Q378" s="71"/>
      <c r="R378" s="71"/>
      <c r="S378" s="72" t="str">
        <f t="shared" si="86"/>
        <v>手套图纸</v>
      </c>
      <c r="T378" s="71">
        <v>25</v>
      </c>
      <c r="U378" s="71" t="str">
        <f t="shared" si="87"/>
        <v/>
      </c>
      <c r="V378" s="71">
        <f t="shared" si="88"/>
        <v>0</v>
      </c>
      <c r="W378" s="71" t="s">
        <v>96</v>
      </c>
      <c r="X378" s="71">
        <f t="shared" si="60"/>
        <v>360</v>
      </c>
      <c r="Y378" s="71"/>
      <c r="Z378" s="71"/>
      <c r="AA378" s="71" t="str">
        <f t="shared" si="95"/>
        <v>基因罐</v>
      </c>
      <c r="AB378" s="71">
        <f t="shared" si="101"/>
        <v>30</v>
      </c>
      <c r="AC378" s="71" t="s">
        <v>374</v>
      </c>
      <c r="AD378" s="71">
        <v>150</v>
      </c>
      <c r="AE378" s="72" t="str">
        <f t="shared" si="90"/>
        <v>控制特饮</v>
      </c>
      <c r="AF378" s="71">
        <v>300</v>
      </c>
      <c r="AG378" s="71"/>
      <c r="AH378" s="71"/>
      <c r="AI378" s="71" t="s">
        <v>390</v>
      </c>
      <c r="AJ378" s="71">
        <v>1</v>
      </c>
      <c r="AK378" s="71" t="s">
        <v>96</v>
      </c>
      <c r="AL378" s="71">
        <f t="shared" si="61"/>
        <v>600</v>
      </c>
      <c r="AN378" s="23" t="str">
        <f ca="1" t="shared" si="91"/>
        <v>{11,5}</v>
      </c>
      <c r="AO378" s="23" t="str">
        <f ca="1" t="shared" si="83"/>
        <v/>
      </c>
      <c r="AP378" s="23" t="str">
        <f ca="1" t="shared" si="63"/>
        <v>{50006,15}</v>
      </c>
      <c r="AQ378" s="23" t="str">
        <f ca="1" t="shared" si="64"/>
        <v>{5153001,200}</v>
      </c>
      <c r="AR378" s="23" t="str">
        <f ca="1" t="shared" si="65"/>
        <v>{2,240}</v>
      </c>
      <c r="AS378" s="23" t="str">
        <f ca="1" t="shared" si="66"/>
        <v>{5133001,250}</v>
      </c>
      <c r="AT378" s="23" t="str">
        <f ca="1" t="shared" si="97"/>
        <v>{5523001,200}</v>
      </c>
      <c r="AU378" s="23" t="str">
        <f ca="1" t="shared" si="81"/>
        <v/>
      </c>
      <c r="AV378" s="23" t="str">
        <f ca="1" t="shared" si="67"/>
        <v>{50008,25}</v>
      </c>
      <c r="AW378" s="23" t="str">
        <f ca="1" t="shared" si="68"/>
        <v/>
      </c>
      <c r="AX378" s="23" t="str">
        <f ca="1" t="shared" si="69"/>
        <v>{2,360}</v>
      </c>
      <c r="AY378" s="23" t="str">
        <f ca="1" t="shared" si="70"/>
        <v>{5204001,5}</v>
      </c>
      <c r="AZ378" s="23" t="str">
        <f ca="1" t="shared" si="102"/>
        <v>{5203001,30}</v>
      </c>
      <c r="BA378" s="23" t="str">
        <f ca="1" t="shared" si="72"/>
        <v>{1,150}</v>
      </c>
      <c r="BB378" s="23" t="s">
        <v>401</v>
      </c>
      <c r="BC378" s="23" t="str">
        <f ca="1" t="shared" si="73"/>
        <v>{5153001,300}</v>
      </c>
      <c r="BD378" s="23" t="str">
        <f ca="1" t="shared" si="92"/>
        <v/>
      </c>
      <c r="BE378" s="23" t="str">
        <f ca="1" t="shared" si="98"/>
        <v>{50039,1}</v>
      </c>
      <c r="BF378" s="23" t="str">
        <f ca="1" t="shared" si="75"/>
        <v>{2,600}</v>
      </c>
      <c r="BI378" s="23" t="str">
        <f ca="1" t="shared" si="76"/>
        <v>[{11,5},{50006,15},{5153001,200},{2,240}]</v>
      </c>
      <c r="BJ378" s="23" t="str">
        <f ca="1" t="shared" si="77"/>
        <v>[{5133001,250},{5523001,200},{50008,25},{2,360},{5204001,5}]</v>
      </c>
      <c r="BK378" s="23" t="str">
        <f ca="1" t="shared" si="78"/>
        <v>[{5203001,30},{1,150},{5523001,300},{5153001,300},{50039,1},{2,600}]</v>
      </c>
      <c r="BL378" s="23">
        <f ca="1" t="shared" si="79"/>
        <v>4</v>
      </c>
      <c r="BM378" s="23">
        <f ca="1" t="shared" si="80"/>
        <v>5</v>
      </c>
      <c r="BN378" s="23">
        <f ca="1" t="shared" si="82"/>
        <v>6</v>
      </c>
      <c r="BP378" s="71" t="s">
        <v>374</v>
      </c>
      <c r="BQ378" s="71">
        <v>150</v>
      </c>
    </row>
    <row r="379" ht="16.5" spans="2:69">
      <c r="B379" s="23">
        <v>59</v>
      </c>
      <c r="C379" s="12"/>
      <c r="D379" s="71"/>
      <c r="E379" s="71"/>
      <c r="F379" s="71"/>
      <c r="G379" s="71" t="str">
        <f t="shared" si="84"/>
        <v>鞋子图纸</v>
      </c>
      <c r="H379" s="71">
        <v>15</v>
      </c>
      <c r="I379" s="71" t="str">
        <f t="shared" si="89"/>
        <v>射手特饮</v>
      </c>
      <c r="J379" s="71">
        <v>200</v>
      </c>
      <c r="K379" s="71" t="s">
        <v>96</v>
      </c>
      <c r="L379" s="71">
        <v>240</v>
      </c>
      <c r="M379" s="71" t="str">
        <f t="shared" si="93"/>
        <v>毒系特饮</v>
      </c>
      <c r="N379" s="71">
        <f t="shared" si="99"/>
        <v>250</v>
      </c>
      <c r="O379" s="71" t="s">
        <v>316</v>
      </c>
      <c r="P379" s="71">
        <v>200</v>
      </c>
      <c r="Q379" s="71"/>
      <c r="R379" s="71"/>
      <c r="S379" s="72" t="str">
        <f t="shared" si="86"/>
        <v>头盔图纸</v>
      </c>
      <c r="T379" s="71">
        <v>25</v>
      </c>
      <c r="U379" s="71" t="str">
        <f t="shared" si="87"/>
        <v/>
      </c>
      <c r="V379" s="71">
        <f t="shared" si="88"/>
        <v>0</v>
      </c>
      <c r="W379" s="71" t="s">
        <v>96</v>
      </c>
      <c r="X379" s="71">
        <f t="shared" si="60"/>
        <v>360</v>
      </c>
      <c r="Y379" s="71"/>
      <c r="Z379" s="71"/>
      <c r="AA379" s="71" t="str">
        <f t="shared" si="95"/>
        <v>基因罐</v>
      </c>
      <c r="AB379" s="71">
        <f t="shared" si="101"/>
        <v>30</v>
      </c>
      <c r="AC379" s="71" t="s">
        <v>374</v>
      </c>
      <c r="AD379" s="71">
        <v>150</v>
      </c>
      <c r="AE379" s="72" t="str">
        <f t="shared" si="90"/>
        <v>射手特饮</v>
      </c>
      <c r="AF379" s="71">
        <v>300</v>
      </c>
      <c r="AG379" s="71"/>
      <c r="AH379" s="71"/>
      <c r="AI379" s="71" t="s">
        <v>390</v>
      </c>
      <c r="AJ379" s="71">
        <v>1</v>
      </c>
      <c r="AK379" s="71" t="s">
        <v>96</v>
      </c>
      <c r="AL379" s="71">
        <f t="shared" si="61"/>
        <v>600</v>
      </c>
      <c r="AN379" s="23" t="str">
        <f ca="1" t="shared" si="91"/>
        <v>{11,5}</v>
      </c>
      <c r="AO379" s="23" t="str">
        <f ca="1" t="shared" si="83"/>
        <v/>
      </c>
      <c r="AP379" s="23" t="str">
        <f ca="1" t="shared" si="63"/>
        <v>{50007,15}</v>
      </c>
      <c r="AQ379" s="23" t="str">
        <f ca="1" t="shared" si="64"/>
        <v>{5133001,200}</v>
      </c>
      <c r="AR379" s="23" t="str">
        <f ca="1" t="shared" si="65"/>
        <v>{2,240}</v>
      </c>
      <c r="AS379" s="23" t="str">
        <f ca="1" t="shared" si="66"/>
        <v>{5163001,250}</v>
      </c>
      <c r="AT379" s="23" t="str">
        <f ca="1" t="shared" si="97"/>
        <v>{5523001,200}</v>
      </c>
      <c r="AU379" s="23" t="str">
        <f ca="1" t="shared" si="81"/>
        <v/>
      </c>
      <c r="AV379" s="23" t="str">
        <f ca="1" t="shared" si="67"/>
        <v>{50003,25}</v>
      </c>
      <c r="AW379" s="23" t="str">
        <f ca="1" t="shared" si="68"/>
        <v/>
      </c>
      <c r="AX379" s="23" t="str">
        <f ca="1" t="shared" si="69"/>
        <v>{2,360}</v>
      </c>
      <c r="AY379" s="23" t="str">
        <f ca="1" t="shared" si="70"/>
        <v>{5204001,5}</v>
      </c>
      <c r="AZ379" s="23" t="str">
        <f ca="1" t="shared" si="102"/>
        <v>{5203001,30}</v>
      </c>
      <c r="BA379" s="23" t="str">
        <f ca="1" t="shared" si="72"/>
        <v>{1,150}</v>
      </c>
      <c r="BB379" s="23" t="s">
        <v>401</v>
      </c>
      <c r="BC379" s="23" t="str">
        <f ca="1" t="shared" si="73"/>
        <v>{5133001,300}</v>
      </c>
      <c r="BD379" s="23" t="str">
        <f ca="1" t="shared" si="92"/>
        <v/>
      </c>
      <c r="BE379" s="23" t="str">
        <f ca="1" t="shared" si="98"/>
        <v>{50039,1}</v>
      </c>
      <c r="BF379" s="23" t="str">
        <f ca="1" t="shared" si="75"/>
        <v>{2,600}</v>
      </c>
      <c r="BI379" s="23" t="str">
        <f ca="1" t="shared" si="76"/>
        <v>[{11,5},{50007,15},{5133001,200},{2,240}]</v>
      </c>
      <c r="BJ379" s="23" t="str">
        <f ca="1" t="shared" si="77"/>
        <v>[{5163001,250},{5523001,200},{50003,25},{2,360},{5204001,5}]</v>
      </c>
      <c r="BK379" s="23" t="str">
        <f ca="1" t="shared" si="78"/>
        <v>[{5203001,30},{1,150},{5523001,300},{5133001,300},{50039,1},{2,600}]</v>
      </c>
      <c r="BL379" s="23">
        <f ca="1" t="shared" si="79"/>
        <v>4</v>
      </c>
      <c r="BM379" s="23">
        <f ca="1" t="shared" si="80"/>
        <v>5</v>
      </c>
      <c r="BN379" s="23">
        <f ca="1" t="shared" si="82"/>
        <v>6</v>
      </c>
      <c r="BP379" s="71" t="s">
        <v>374</v>
      </c>
      <c r="BQ379" s="71">
        <v>150</v>
      </c>
    </row>
    <row r="380" ht="16.5" spans="2:69">
      <c r="B380" s="23">
        <v>60</v>
      </c>
      <c r="C380" s="12" t="s">
        <v>240</v>
      </c>
      <c r="D380" s="71">
        <v>1</v>
      </c>
      <c r="E380" s="71"/>
      <c r="F380" s="71"/>
      <c r="G380" s="71" t="str">
        <f t="shared" si="84"/>
        <v>手套图纸</v>
      </c>
      <c r="H380" s="71">
        <v>15</v>
      </c>
      <c r="I380" s="71" t="str">
        <f t="shared" si="89"/>
        <v>法师特饮</v>
      </c>
      <c r="J380" s="71">
        <v>200</v>
      </c>
      <c r="K380" s="71" t="s">
        <v>96</v>
      </c>
      <c r="L380" s="71">
        <v>240</v>
      </c>
      <c r="M380" s="71" t="str">
        <f t="shared" si="93"/>
        <v>控制特饮</v>
      </c>
      <c r="N380" s="71">
        <f t="shared" si="99"/>
        <v>250</v>
      </c>
      <c r="O380" s="71" t="s">
        <v>316</v>
      </c>
      <c r="P380" s="71">
        <v>200</v>
      </c>
      <c r="Q380" s="71"/>
      <c r="R380" s="71"/>
      <c r="S380" s="72" t="str">
        <f t="shared" si="86"/>
        <v>衣服图纸</v>
      </c>
      <c r="T380" s="71">
        <v>25</v>
      </c>
      <c r="U380" s="71" t="str">
        <f t="shared" si="87"/>
        <v>灵感获取令</v>
      </c>
      <c r="V380" s="71">
        <f t="shared" si="88"/>
        <v>1</v>
      </c>
      <c r="W380" s="71" t="s">
        <v>96</v>
      </c>
      <c r="X380" s="71">
        <f t="shared" si="60"/>
        <v>360</v>
      </c>
      <c r="Y380" s="71"/>
      <c r="Z380" s="71"/>
      <c r="AA380" s="71" t="str">
        <f t="shared" si="95"/>
        <v>传说基因罐</v>
      </c>
      <c r="AB380" s="71">
        <f t="shared" si="101"/>
        <v>3</v>
      </c>
      <c r="AC380" s="71" t="s">
        <v>374</v>
      </c>
      <c r="AD380" s="71">
        <v>150</v>
      </c>
      <c r="AE380" s="72" t="str">
        <f t="shared" si="90"/>
        <v>战士特饮</v>
      </c>
      <c r="AF380" s="71">
        <v>300</v>
      </c>
      <c r="AG380" s="71"/>
      <c r="AH380" s="71"/>
      <c r="AI380" s="71" t="s">
        <v>390</v>
      </c>
      <c r="AJ380" s="71">
        <v>1</v>
      </c>
      <c r="AK380" s="71" t="s">
        <v>96</v>
      </c>
      <c r="AL380" s="71">
        <f t="shared" si="61"/>
        <v>600</v>
      </c>
      <c r="AN380" s="23" t="str">
        <f ca="1" t="shared" si="91"/>
        <v>{35,1}</v>
      </c>
      <c r="AO380" s="23" t="str">
        <f ca="1" t="shared" si="83"/>
        <v/>
      </c>
      <c r="AP380" s="23" t="str">
        <f ca="1" t="shared" si="63"/>
        <v>{50008,15}</v>
      </c>
      <c r="AQ380" s="23" t="str">
        <f ca="1" t="shared" si="64"/>
        <v>{5123001,200}</v>
      </c>
      <c r="AR380" s="23" t="str">
        <f ca="1" t="shared" si="65"/>
        <v>{2,240}</v>
      </c>
      <c r="AS380" s="23" t="str">
        <f ca="1" t="shared" si="66"/>
        <v>{5153001,250}</v>
      </c>
      <c r="AT380" s="23" t="str">
        <f ca="1" t="shared" si="97"/>
        <v>{5523001,200}</v>
      </c>
      <c r="AU380" s="23" t="str">
        <f ca="1" t="shared" si="81"/>
        <v/>
      </c>
      <c r="AV380" s="23" t="str">
        <f ca="1" t="shared" si="67"/>
        <v>{50004,25}</v>
      </c>
      <c r="AW380" s="23" t="str">
        <f ca="1" t="shared" si="68"/>
        <v>{9,1}</v>
      </c>
      <c r="AX380" s="23" t="str">
        <f ca="1" t="shared" si="69"/>
        <v>{2,360}</v>
      </c>
      <c r="AY380" s="23" t="str">
        <f ca="1" t="shared" si="70"/>
        <v>{5204001,5}</v>
      </c>
      <c r="AZ380" s="23" t="str">
        <f ca="1" t="shared" si="102"/>
        <v>{5205001,3}</v>
      </c>
      <c r="BA380" s="23" t="str">
        <f ca="1" t="shared" si="72"/>
        <v>{1,150}</v>
      </c>
      <c r="BB380" s="23" t="s">
        <v>401</v>
      </c>
      <c r="BC380" s="23" t="str">
        <f ca="1" t="shared" si="73"/>
        <v>{5113001,300}</v>
      </c>
      <c r="BD380" s="23" t="str">
        <f ca="1" t="shared" si="92"/>
        <v/>
      </c>
      <c r="BE380" s="23" t="str">
        <f ca="1" t="shared" si="98"/>
        <v>{50039,1}</v>
      </c>
      <c r="BF380" s="23" t="str">
        <f ca="1" t="shared" si="75"/>
        <v>{2,600}</v>
      </c>
      <c r="BI380" s="23" t="str">
        <f ca="1" t="shared" si="76"/>
        <v>[{35,1},{50008,15},{5123001,200},{2,240}]</v>
      </c>
      <c r="BJ380" s="23" t="str">
        <f ca="1" t="shared" si="77"/>
        <v>[{5153001,250},{5523001,200},{50004,25},{9,1},{2,360},{5204001,5}]</v>
      </c>
      <c r="BK380" s="23" t="str">
        <f ca="1" t="shared" si="78"/>
        <v>[{5205001,3},{1,150},{5523001,300},{5113001,300},{50039,1},{2,600}]</v>
      </c>
      <c r="BL380" s="23">
        <f ca="1" t="shared" si="79"/>
        <v>4</v>
      </c>
      <c r="BM380" s="23">
        <f ca="1" t="shared" si="80"/>
        <v>6</v>
      </c>
      <c r="BN380" s="23">
        <f ca="1" t="shared" si="82"/>
        <v>6</v>
      </c>
      <c r="BP380" s="71" t="s">
        <v>374</v>
      </c>
      <c r="BQ380" s="71">
        <v>150</v>
      </c>
    </row>
    <row r="381" ht="16.5" spans="2:69">
      <c r="B381" s="23">
        <v>61</v>
      </c>
      <c r="C381" s="12"/>
      <c r="D381" s="71"/>
      <c r="E381" s="71"/>
      <c r="F381" s="71"/>
      <c r="G381" s="71" t="str">
        <f t="shared" si="84"/>
        <v>头盔图纸</v>
      </c>
      <c r="H381" s="71">
        <v>15</v>
      </c>
      <c r="I381" s="71" t="str">
        <f t="shared" si="89"/>
        <v>辅助特饮</v>
      </c>
      <c r="J381" s="71">
        <v>200</v>
      </c>
      <c r="K381" s="71" t="s">
        <v>96</v>
      </c>
      <c r="L381" s="71">
        <v>240</v>
      </c>
      <c r="M381" s="71" t="str">
        <f t="shared" si="93"/>
        <v>战士特饮</v>
      </c>
      <c r="N381" s="71">
        <f t="shared" si="99"/>
        <v>250</v>
      </c>
      <c r="O381" s="71" t="s">
        <v>316</v>
      </c>
      <c r="P381" s="71">
        <v>200</v>
      </c>
      <c r="Q381" s="71"/>
      <c r="R381" s="71"/>
      <c r="S381" s="72" t="str">
        <f t="shared" si="86"/>
        <v>护臂图纸</v>
      </c>
      <c r="T381" s="71">
        <v>25</v>
      </c>
      <c r="U381" s="71" t="str">
        <f t="shared" si="87"/>
        <v/>
      </c>
      <c r="V381" s="71">
        <f t="shared" si="88"/>
        <v>0</v>
      </c>
      <c r="W381" s="71" t="s">
        <v>96</v>
      </c>
      <c r="X381" s="71">
        <f t="shared" si="60"/>
        <v>360</v>
      </c>
      <c r="Y381" s="71"/>
      <c r="Z381" s="71"/>
      <c r="AA381" s="71" t="str">
        <f t="shared" si="95"/>
        <v>基因罐</v>
      </c>
      <c r="AB381" s="71">
        <f t="shared" si="101"/>
        <v>30</v>
      </c>
      <c r="AC381" s="71" t="s">
        <v>374</v>
      </c>
      <c r="AD381" s="71">
        <v>150</v>
      </c>
      <c r="AE381" s="72" t="str">
        <f t="shared" si="90"/>
        <v>法师特饮</v>
      </c>
      <c r="AF381" s="71">
        <v>300</v>
      </c>
      <c r="AG381" s="71"/>
      <c r="AH381" s="71"/>
      <c r="AI381" s="71" t="s">
        <v>390</v>
      </c>
      <c r="AJ381" s="71">
        <v>1</v>
      </c>
      <c r="AK381" s="71" t="s">
        <v>96</v>
      </c>
      <c r="AL381" s="71">
        <f t="shared" si="61"/>
        <v>600</v>
      </c>
      <c r="AN381" s="23" t="str">
        <f ca="1" t="shared" si="91"/>
        <v>{11,5}</v>
      </c>
      <c r="AO381" s="23" t="str">
        <f ca="1" t="shared" si="83"/>
        <v/>
      </c>
      <c r="AP381" s="23" t="str">
        <f ca="1" t="shared" si="63"/>
        <v>{50003,15}</v>
      </c>
      <c r="AQ381" s="23" t="str">
        <f ca="1" t="shared" si="64"/>
        <v>{5143001,200}</v>
      </c>
      <c r="AR381" s="23" t="str">
        <f ca="1" t="shared" si="65"/>
        <v>{2,240}</v>
      </c>
      <c r="AS381" s="23" t="str">
        <f ca="1" t="shared" si="66"/>
        <v>{5113001,250}</v>
      </c>
      <c r="AT381" s="23" t="str">
        <f ca="1" t="shared" si="97"/>
        <v>{5523001,200}</v>
      </c>
      <c r="AU381" s="23" t="str">
        <f ca="1" t="shared" si="81"/>
        <v/>
      </c>
      <c r="AV381" s="23" t="str">
        <f ca="1" t="shared" si="67"/>
        <v>{50005,25}</v>
      </c>
      <c r="AW381" s="23" t="str">
        <f ca="1" t="shared" si="68"/>
        <v/>
      </c>
      <c r="AX381" s="23" t="str">
        <f ca="1" t="shared" si="69"/>
        <v>{2,360}</v>
      </c>
      <c r="AY381" s="23" t="str">
        <f ca="1" t="shared" si="70"/>
        <v>{5204001,5}</v>
      </c>
      <c r="AZ381" s="23" t="str">
        <f ca="1" t="shared" si="102"/>
        <v>{5203001,30}</v>
      </c>
      <c r="BA381" s="23" t="str">
        <f ca="1" t="shared" si="72"/>
        <v>{1,150}</v>
      </c>
      <c r="BB381" s="23" t="s">
        <v>401</v>
      </c>
      <c r="BC381" s="23" t="str">
        <f ca="1" t="shared" si="73"/>
        <v>{5123001,300}</v>
      </c>
      <c r="BD381" s="23" t="str">
        <f ca="1" t="shared" si="92"/>
        <v/>
      </c>
      <c r="BE381" s="23" t="str">
        <f ca="1" t="shared" si="98"/>
        <v>{50039,1}</v>
      </c>
      <c r="BF381" s="23" t="str">
        <f ca="1" t="shared" si="75"/>
        <v>{2,600}</v>
      </c>
      <c r="BI381" s="23" t="str">
        <f ca="1" t="shared" si="76"/>
        <v>[{11,5},{50003,15},{5143001,200},{2,240}]</v>
      </c>
      <c r="BJ381" s="23" t="str">
        <f ca="1" t="shared" si="77"/>
        <v>[{5113001,250},{5523001,200},{50005,25},{2,360},{5204001,5}]</v>
      </c>
      <c r="BK381" s="23" t="str">
        <f ca="1" t="shared" si="78"/>
        <v>[{5203001,30},{1,150},{5523001,300},{5123001,300},{50039,1},{2,600}]</v>
      </c>
      <c r="BL381" s="23">
        <f ca="1" t="shared" si="79"/>
        <v>4</v>
      </c>
      <c r="BM381" s="23">
        <f ca="1" t="shared" si="80"/>
        <v>5</v>
      </c>
      <c r="BN381" s="23">
        <f ca="1" t="shared" si="82"/>
        <v>6</v>
      </c>
      <c r="BP381" s="71" t="s">
        <v>374</v>
      </c>
      <c r="BQ381" s="71">
        <v>150</v>
      </c>
    </row>
    <row r="382" ht="16.5" spans="2:69">
      <c r="B382" s="23">
        <v>62</v>
      </c>
      <c r="C382" s="12"/>
      <c r="D382" s="71"/>
      <c r="E382" s="71"/>
      <c r="F382" s="71"/>
      <c r="G382" s="71" t="str">
        <f t="shared" si="84"/>
        <v>衣服图纸</v>
      </c>
      <c r="H382" s="71">
        <v>15</v>
      </c>
      <c r="I382" s="71" t="str">
        <f t="shared" si="89"/>
        <v>战士特饮</v>
      </c>
      <c r="J382" s="71">
        <v>200</v>
      </c>
      <c r="K382" s="71" t="s">
        <v>96</v>
      </c>
      <c r="L382" s="71">
        <v>240</v>
      </c>
      <c r="M382" s="71" t="str">
        <f t="shared" si="93"/>
        <v>法师特饮</v>
      </c>
      <c r="N382" s="71">
        <f t="shared" si="99"/>
        <v>250</v>
      </c>
      <c r="O382" s="71" t="s">
        <v>316</v>
      </c>
      <c r="P382" s="71">
        <v>200</v>
      </c>
      <c r="Q382" s="71"/>
      <c r="R382" s="71"/>
      <c r="S382" s="72" t="str">
        <f t="shared" si="86"/>
        <v>裤子图纸</v>
      </c>
      <c r="T382" s="71">
        <v>25</v>
      </c>
      <c r="U382" s="71" t="str">
        <f t="shared" si="87"/>
        <v/>
      </c>
      <c r="V382" s="71">
        <f t="shared" si="88"/>
        <v>0</v>
      </c>
      <c r="W382" s="71" t="s">
        <v>96</v>
      </c>
      <c r="X382" s="71">
        <f t="shared" si="60"/>
        <v>360</v>
      </c>
      <c r="Y382" s="71"/>
      <c r="Z382" s="71"/>
      <c r="AA382" s="71" t="str">
        <f t="shared" si="95"/>
        <v>基因罐</v>
      </c>
      <c r="AB382" s="71">
        <f t="shared" si="101"/>
        <v>30</v>
      </c>
      <c r="AC382" s="71" t="s">
        <v>374</v>
      </c>
      <c r="AD382" s="71">
        <v>150</v>
      </c>
      <c r="AE382" s="72" t="str">
        <f t="shared" si="90"/>
        <v>辅助特饮</v>
      </c>
      <c r="AF382" s="71">
        <v>300</v>
      </c>
      <c r="AG382" s="71"/>
      <c r="AH382" s="71"/>
      <c r="AI382" s="71" t="s">
        <v>390</v>
      </c>
      <c r="AJ382" s="71">
        <v>1</v>
      </c>
      <c r="AK382" s="71" t="s">
        <v>96</v>
      </c>
      <c r="AL382" s="71">
        <f t="shared" si="61"/>
        <v>600</v>
      </c>
      <c r="AN382" s="23" t="str">
        <f ca="1" t="shared" si="91"/>
        <v>{11,5}</v>
      </c>
      <c r="AO382" s="23" t="str">
        <f ca="1" t="shared" si="83"/>
        <v/>
      </c>
      <c r="AP382" s="23" t="str">
        <f ca="1" t="shared" si="63"/>
        <v>{50004,15}</v>
      </c>
      <c r="AQ382" s="23" t="str">
        <f ca="1" t="shared" si="64"/>
        <v>{5113001,200}</v>
      </c>
      <c r="AR382" s="23" t="str">
        <f ca="1" t="shared" si="65"/>
        <v>{2,240}</v>
      </c>
      <c r="AS382" s="23" t="str">
        <f ca="1" t="shared" si="66"/>
        <v>{5123001,250}</v>
      </c>
      <c r="AT382" s="23" t="str">
        <f ca="1" t="shared" si="97"/>
        <v>{5523001,200}</v>
      </c>
      <c r="AU382" s="23" t="str">
        <f ca="1" t="shared" si="81"/>
        <v/>
      </c>
      <c r="AV382" s="23" t="str">
        <f ca="1" t="shared" si="67"/>
        <v>{50006,25}</v>
      </c>
      <c r="AW382" s="23" t="str">
        <f ca="1" t="shared" si="68"/>
        <v/>
      </c>
      <c r="AX382" s="23" t="str">
        <f ca="1" t="shared" si="69"/>
        <v>{2,360}</v>
      </c>
      <c r="AY382" s="23" t="str">
        <f ca="1" t="shared" si="70"/>
        <v>{5204001,5}</v>
      </c>
      <c r="AZ382" s="23" t="str">
        <f ca="1" t="shared" si="102"/>
        <v>{5203001,30}</v>
      </c>
      <c r="BA382" s="23" t="str">
        <f ca="1" t="shared" si="72"/>
        <v>{1,150}</v>
      </c>
      <c r="BB382" s="23" t="s">
        <v>401</v>
      </c>
      <c r="BC382" s="23" t="str">
        <f ca="1" t="shared" si="73"/>
        <v>{5143001,300}</v>
      </c>
      <c r="BD382" s="23" t="str">
        <f ca="1" t="shared" si="92"/>
        <v/>
      </c>
      <c r="BE382" s="23" t="str">
        <f ca="1" t="shared" si="98"/>
        <v>{50039,1}</v>
      </c>
      <c r="BF382" s="23" t="str">
        <f ca="1" t="shared" si="75"/>
        <v>{2,600}</v>
      </c>
      <c r="BI382" s="23" t="str">
        <f ca="1" t="shared" si="76"/>
        <v>[{11,5},{50004,15},{5113001,200},{2,240}]</v>
      </c>
      <c r="BJ382" s="23" t="str">
        <f ca="1" t="shared" si="77"/>
        <v>[{5123001,250},{5523001,200},{50006,25},{2,360},{5204001,5}]</v>
      </c>
      <c r="BK382" s="23" t="str">
        <f ca="1" t="shared" si="78"/>
        <v>[{5203001,30},{1,150},{5523001,300},{5143001,300},{50039,1},{2,600}]</v>
      </c>
      <c r="BL382" s="23">
        <f ca="1" t="shared" si="79"/>
        <v>4</v>
      </c>
      <c r="BM382" s="23">
        <f ca="1" t="shared" si="80"/>
        <v>5</v>
      </c>
      <c r="BN382" s="23">
        <f ca="1" t="shared" si="82"/>
        <v>6</v>
      </c>
      <c r="BP382" s="71" t="s">
        <v>374</v>
      </c>
      <c r="BQ382" s="71">
        <v>150</v>
      </c>
    </row>
    <row r="383" ht="16.5" spans="2:69">
      <c r="B383" s="23">
        <v>63</v>
      </c>
      <c r="C383" s="12"/>
      <c r="D383" s="71"/>
      <c r="E383" s="71"/>
      <c r="F383" s="71"/>
      <c r="G383" s="71" t="str">
        <f t="shared" si="84"/>
        <v>护臂图纸</v>
      </c>
      <c r="H383" s="71">
        <v>15</v>
      </c>
      <c r="I383" s="71" t="str">
        <f t="shared" si="89"/>
        <v>毒系特饮</v>
      </c>
      <c r="J383" s="71">
        <v>200</v>
      </c>
      <c r="K383" s="71" t="s">
        <v>96</v>
      </c>
      <c r="L383" s="71">
        <v>240</v>
      </c>
      <c r="M383" s="71" t="str">
        <f t="shared" si="93"/>
        <v>辅助特饮</v>
      </c>
      <c r="N383" s="71">
        <f t="shared" si="99"/>
        <v>250</v>
      </c>
      <c r="O383" s="71" t="s">
        <v>316</v>
      </c>
      <c r="P383" s="71">
        <v>200</v>
      </c>
      <c r="Q383" s="71"/>
      <c r="R383" s="71"/>
      <c r="S383" s="72" t="str">
        <f t="shared" si="86"/>
        <v>鞋子图纸</v>
      </c>
      <c r="T383" s="71">
        <v>25</v>
      </c>
      <c r="U383" s="71" t="str">
        <f t="shared" si="87"/>
        <v/>
      </c>
      <c r="V383" s="71">
        <f t="shared" si="88"/>
        <v>0</v>
      </c>
      <c r="W383" s="71" t="s">
        <v>96</v>
      </c>
      <c r="X383" s="71">
        <f t="shared" si="60"/>
        <v>360</v>
      </c>
      <c r="Y383" s="71"/>
      <c r="Z383" s="71"/>
      <c r="AA383" s="71" t="str">
        <f t="shared" si="95"/>
        <v>基因罐</v>
      </c>
      <c r="AB383" s="71">
        <f t="shared" si="101"/>
        <v>30</v>
      </c>
      <c r="AC383" s="71" t="s">
        <v>374</v>
      </c>
      <c r="AD383" s="71">
        <v>150</v>
      </c>
      <c r="AE383" s="72" t="str">
        <f t="shared" si="90"/>
        <v>毒系特饮</v>
      </c>
      <c r="AF383" s="71">
        <v>300</v>
      </c>
      <c r="AG383" s="71"/>
      <c r="AH383" s="71"/>
      <c r="AI383" s="71" t="s">
        <v>390</v>
      </c>
      <c r="AJ383" s="71">
        <v>1</v>
      </c>
      <c r="AK383" s="71" t="s">
        <v>96</v>
      </c>
      <c r="AL383" s="71">
        <f t="shared" si="61"/>
        <v>600</v>
      </c>
      <c r="AN383" s="23" t="str">
        <f ca="1" t="shared" si="91"/>
        <v>{11,5}</v>
      </c>
      <c r="AO383" s="23" t="str">
        <f ca="1" t="shared" si="83"/>
        <v/>
      </c>
      <c r="AP383" s="23" t="str">
        <f ca="1" t="shared" si="63"/>
        <v>{50005,15}</v>
      </c>
      <c r="AQ383" s="23" t="str">
        <f ca="1" t="shared" si="64"/>
        <v>{5163001,200}</v>
      </c>
      <c r="AR383" s="23" t="str">
        <f ca="1" t="shared" si="65"/>
        <v>{2,240}</v>
      </c>
      <c r="AS383" s="23" t="str">
        <f ca="1" t="shared" si="66"/>
        <v>{5143001,250}</v>
      </c>
      <c r="AT383" s="23" t="str">
        <f ca="1" t="shared" si="97"/>
        <v>{5523001,200}</v>
      </c>
      <c r="AU383" s="23" t="str">
        <f ca="1" t="shared" si="81"/>
        <v/>
      </c>
      <c r="AV383" s="23" t="str">
        <f ca="1" t="shared" si="67"/>
        <v>{50007,25}</v>
      </c>
      <c r="AW383" s="23" t="str">
        <f ca="1" t="shared" si="68"/>
        <v/>
      </c>
      <c r="AX383" s="23" t="str">
        <f ca="1" t="shared" si="69"/>
        <v>{2,360}</v>
      </c>
      <c r="AY383" s="23" t="str">
        <f ca="1" t="shared" si="70"/>
        <v>{5204001,5}</v>
      </c>
      <c r="AZ383" s="23" t="str">
        <f ca="1" t="shared" si="102"/>
        <v>{5203001,30}</v>
      </c>
      <c r="BA383" s="23" t="str">
        <f ca="1" t="shared" si="72"/>
        <v>{1,150}</v>
      </c>
      <c r="BB383" s="23" t="s">
        <v>401</v>
      </c>
      <c r="BC383" s="23" t="str">
        <f ca="1" t="shared" si="73"/>
        <v>{5163001,300}</v>
      </c>
      <c r="BD383" s="23" t="str">
        <f ca="1" t="shared" si="92"/>
        <v/>
      </c>
      <c r="BE383" s="23" t="str">
        <f ca="1" t="shared" si="98"/>
        <v>{50039,1}</v>
      </c>
      <c r="BF383" s="23" t="str">
        <f ca="1" t="shared" si="75"/>
        <v>{2,600}</v>
      </c>
      <c r="BI383" s="23" t="str">
        <f ca="1" t="shared" si="76"/>
        <v>[{11,5},{50005,15},{5163001,200},{2,240}]</v>
      </c>
      <c r="BJ383" s="23" t="str">
        <f ca="1" t="shared" si="77"/>
        <v>[{5143001,250},{5523001,200},{50007,25},{2,360},{5204001,5}]</v>
      </c>
      <c r="BK383" s="23" t="str">
        <f ca="1" t="shared" si="78"/>
        <v>[{5203001,30},{1,150},{5523001,300},{5163001,300},{50039,1},{2,600}]</v>
      </c>
      <c r="BL383" s="23">
        <f ca="1" t="shared" si="79"/>
        <v>4</v>
      </c>
      <c r="BM383" s="23">
        <f ca="1" t="shared" si="80"/>
        <v>5</v>
      </c>
      <c r="BN383" s="23">
        <f ca="1" t="shared" si="82"/>
        <v>6</v>
      </c>
      <c r="BP383" s="71" t="s">
        <v>374</v>
      </c>
      <c r="BQ383" s="71">
        <v>150</v>
      </c>
    </row>
    <row r="384" ht="16.5" spans="2:69">
      <c r="B384" s="23">
        <v>64</v>
      </c>
      <c r="C384" s="12"/>
      <c r="D384" s="71"/>
      <c r="E384" s="71"/>
      <c r="F384" s="71"/>
      <c r="G384" s="71" t="str">
        <f t="shared" si="84"/>
        <v>裤子图纸</v>
      </c>
      <c r="H384" s="71">
        <v>15</v>
      </c>
      <c r="I384" s="71" t="str">
        <f t="shared" si="89"/>
        <v>控制特饮</v>
      </c>
      <c r="J384" s="71">
        <v>200</v>
      </c>
      <c r="K384" s="71" t="s">
        <v>96</v>
      </c>
      <c r="L384" s="71">
        <v>240</v>
      </c>
      <c r="M384" s="71" t="str">
        <f t="shared" si="93"/>
        <v>射手特饮</v>
      </c>
      <c r="N384" s="71">
        <f t="shared" si="99"/>
        <v>250</v>
      </c>
      <c r="O384" s="71" t="s">
        <v>316</v>
      </c>
      <c r="P384" s="71">
        <v>200</v>
      </c>
      <c r="Q384" s="71"/>
      <c r="R384" s="71"/>
      <c r="S384" s="72" t="str">
        <f t="shared" si="86"/>
        <v>手套图纸</v>
      </c>
      <c r="T384" s="71">
        <v>25</v>
      </c>
      <c r="U384" s="71" t="str">
        <f t="shared" si="87"/>
        <v/>
      </c>
      <c r="V384" s="71">
        <f t="shared" si="88"/>
        <v>0</v>
      </c>
      <c r="W384" s="71" t="s">
        <v>96</v>
      </c>
      <c r="X384" s="71">
        <f t="shared" si="60"/>
        <v>360</v>
      </c>
      <c r="Y384" s="71"/>
      <c r="Z384" s="71"/>
      <c r="AA384" s="71" t="str">
        <f t="shared" si="95"/>
        <v>基因罐</v>
      </c>
      <c r="AB384" s="71">
        <f t="shared" si="101"/>
        <v>30</v>
      </c>
      <c r="AC384" s="71" t="s">
        <v>374</v>
      </c>
      <c r="AD384" s="71">
        <v>150</v>
      </c>
      <c r="AE384" s="72" t="str">
        <f t="shared" si="90"/>
        <v>控制特饮</v>
      </c>
      <c r="AF384" s="71">
        <v>300</v>
      </c>
      <c r="AG384" s="71"/>
      <c r="AH384" s="71"/>
      <c r="AI384" s="71" t="s">
        <v>390</v>
      </c>
      <c r="AJ384" s="71">
        <v>1</v>
      </c>
      <c r="AK384" s="71" t="s">
        <v>96</v>
      </c>
      <c r="AL384" s="71">
        <f t="shared" si="61"/>
        <v>600</v>
      </c>
      <c r="AN384" s="23" t="str">
        <f ca="1" t="shared" si="91"/>
        <v>{11,5}</v>
      </c>
      <c r="AO384" s="23" t="str">
        <f ca="1" t="shared" si="83"/>
        <v/>
      </c>
      <c r="AP384" s="23" t="str">
        <f ca="1" t="shared" si="63"/>
        <v>{50006,15}</v>
      </c>
      <c r="AQ384" s="23" t="str">
        <f ca="1" t="shared" si="64"/>
        <v>{5153001,200}</v>
      </c>
      <c r="AR384" s="23" t="str">
        <f ca="1" t="shared" si="65"/>
        <v>{2,240}</v>
      </c>
      <c r="AS384" s="23" t="str">
        <f ca="1" t="shared" si="66"/>
        <v>{5133001,250}</v>
      </c>
      <c r="AT384" s="23" t="str">
        <f ca="1" t="shared" si="97"/>
        <v>{5523001,200}</v>
      </c>
      <c r="AU384" s="23" t="str">
        <f ca="1" t="shared" si="81"/>
        <v/>
      </c>
      <c r="AV384" s="23" t="str">
        <f ca="1" t="shared" si="67"/>
        <v>{50008,25}</v>
      </c>
      <c r="AW384" s="23" t="str">
        <f ca="1" t="shared" si="68"/>
        <v/>
      </c>
      <c r="AX384" s="23" t="str">
        <f ca="1" t="shared" si="69"/>
        <v>{2,360}</v>
      </c>
      <c r="AY384" s="23" t="str">
        <f ca="1" t="shared" si="70"/>
        <v>{5204001,5}</v>
      </c>
      <c r="AZ384" s="23" t="str">
        <f ca="1" t="shared" si="102"/>
        <v>{5203001,30}</v>
      </c>
      <c r="BA384" s="23" t="str">
        <f ca="1" t="shared" si="72"/>
        <v>{1,150}</v>
      </c>
      <c r="BB384" s="23" t="s">
        <v>401</v>
      </c>
      <c r="BC384" s="23" t="str">
        <f ca="1" t="shared" si="73"/>
        <v>{5153001,300}</v>
      </c>
      <c r="BD384" s="23" t="str">
        <f ca="1" t="shared" si="92"/>
        <v/>
      </c>
      <c r="BE384" s="23" t="str">
        <f ca="1" t="shared" si="98"/>
        <v>{50039,1}</v>
      </c>
      <c r="BF384" s="23" t="str">
        <f ca="1" t="shared" si="75"/>
        <v>{2,600}</v>
      </c>
      <c r="BI384" s="23" t="str">
        <f ca="1" t="shared" si="76"/>
        <v>[{11,5},{50006,15},{5153001,200},{2,240}]</v>
      </c>
      <c r="BJ384" s="23" t="str">
        <f ca="1" t="shared" si="77"/>
        <v>[{5133001,250},{5523001,200},{50008,25},{2,360},{5204001,5}]</v>
      </c>
      <c r="BK384" s="23" t="str">
        <f ca="1" t="shared" si="78"/>
        <v>[{5203001,30},{1,150},{5523001,300},{5153001,300},{50039,1},{2,600}]</v>
      </c>
      <c r="BL384" s="23">
        <f ca="1" t="shared" si="79"/>
        <v>4</v>
      </c>
      <c r="BM384" s="23">
        <f ca="1" t="shared" si="80"/>
        <v>5</v>
      </c>
      <c r="BN384" s="23">
        <f ca="1" t="shared" si="82"/>
        <v>6</v>
      </c>
      <c r="BP384" s="71" t="s">
        <v>374</v>
      </c>
      <c r="BQ384" s="71">
        <v>150</v>
      </c>
    </row>
    <row r="385" ht="16.5" spans="2:69">
      <c r="B385" s="23">
        <v>65</v>
      </c>
      <c r="C385" s="12" t="s">
        <v>240</v>
      </c>
      <c r="D385" s="71">
        <v>1</v>
      </c>
      <c r="E385" s="71"/>
      <c r="F385" s="71"/>
      <c r="G385" s="71" t="str">
        <f t="shared" si="84"/>
        <v>鞋子图纸</v>
      </c>
      <c r="H385" s="71">
        <v>15</v>
      </c>
      <c r="I385" s="71" t="str">
        <f t="shared" si="89"/>
        <v>射手特饮</v>
      </c>
      <c r="J385" s="71">
        <v>200</v>
      </c>
      <c r="K385" s="71" t="s">
        <v>96</v>
      </c>
      <c r="L385" s="71">
        <v>240</v>
      </c>
      <c r="M385" s="71" t="str">
        <f t="shared" si="93"/>
        <v>毒系特饮</v>
      </c>
      <c r="N385" s="71">
        <f t="shared" si="99"/>
        <v>250</v>
      </c>
      <c r="O385" s="71" t="s">
        <v>316</v>
      </c>
      <c r="P385" s="71">
        <v>200</v>
      </c>
      <c r="Q385" s="71"/>
      <c r="R385" s="71"/>
      <c r="S385" s="72" t="str">
        <f t="shared" si="86"/>
        <v>头盔图纸</v>
      </c>
      <c r="T385" s="71">
        <v>25</v>
      </c>
      <c r="U385" s="71" t="str">
        <f t="shared" si="87"/>
        <v>灵感获取令</v>
      </c>
      <c r="V385" s="71">
        <f t="shared" si="88"/>
        <v>1</v>
      </c>
      <c r="W385" s="71" t="s">
        <v>96</v>
      </c>
      <c r="X385" s="71">
        <f t="shared" ref="X385:X448" si="103">L385*1.5</f>
        <v>360</v>
      </c>
      <c r="Y385" s="71"/>
      <c r="Z385" s="71"/>
      <c r="AA385" s="71" t="str">
        <f t="shared" si="95"/>
        <v>传说基因罐</v>
      </c>
      <c r="AB385" s="71">
        <f t="shared" si="101"/>
        <v>3</v>
      </c>
      <c r="AC385" s="71" t="s">
        <v>374</v>
      </c>
      <c r="AD385" s="71">
        <v>150</v>
      </c>
      <c r="AE385" s="72" t="str">
        <f t="shared" si="90"/>
        <v>射手特饮</v>
      </c>
      <c r="AF385" s="71">
        <v>300</v>
      </c>
      <c r="AG385" s="71"/>
      <c r="AH385" s="71"/>
      <c r="AI385" s="71" t="s">
        <v>390</v>
      </c>
      <c r="AJ385" s="71">
        <v>1</v>
      </c>
      <c r="AK385" s="71" t="s">
        <v>96</v>
      </c>
      <c r="AL385" s="71">
        <f t="shared" ref="AL385:AL448" si="104">L385+X385</f>
        <v>600</v>
      </c>
      <c r="AN385" s="23" t="str">
        <f ca="1" t="shared" si="91"/>
        <v>{35,1}</v>
      </c>
      <c r="AO385" s="23" t="str">
        <f ca="1" t="shared" si="83"/>
        <v/>
      </c>
      <c r="AP385" s="23" t="str">
        <f ca="1" t="shared" ref="AP385:AP448" si="105">IF(OFFSET($B385,0,AP$320*2+1)="","","{"&amp;VLOOKUP(OFFSET($B385,0,AP$320*2+1),$AN$291:$AO$306,2,0)&amp;","&amp;OFFSET($B385,0,AP$320*2+2)&amp;"}")</f>
        <v>{50007,15}</v>
      </c>
      <c r="AQ385" s="23" t="str">
        <f ca="1" t="shared" ref="AQ385:AQ448" si="106">IF(OFFSET($B385,0,AQ$320*2+1)="","","{"&amp;VLOOKUP(OFFSET($B385,0,AQ$320*2+1),$AN$291:$AO$312,2,0)&amp;","&amp;OFFSET($B385,0,AQ$320*2+2)&amp;"}")</f>
        <v>{5133001,200}</v>
      </c>
      <c r="AR385" s="23" t="str">
        <f ca="1" t="shared" ref="AR385:AR448" si="107">IF(OFFSET($B385,0,AR$320*2+1)="","","{"&amp;VLOOKUP(OFFSET($B385,0,AR$320*2+1),$AN$291:$AO$297,2,0)&amp;","&amp;OFFSET($B385,0,AR$320*2+2)&amp;"}")</f>
        <v>{2,240}</v>
      </c>
      <c r="AS385" s="23" t="str">
        <f ca="1" t="shared" ref="AS385:AS448" si="108">IF(OFFSET($B385,0,AS$320*2+1)="","","{"&amp;VLOOKUP(OFFSET($B385,0,AS$320*2+1),$AN$291:$AO$312,2,0)&amp;","&amp;OFFSET($B385,0,AS$320*2+2)&amp;"}")</f>
        <v>{5163001,250}</v>
      </c>
      <c r="AT385" s="23" t="str">
        <f ca="1" t="shared" si="97"/>
        <v>{5523001,200}</v>
      </c>
      <c r="AU385" s="23" t="str">
        <f ca="1" t="shared" si="81"/>
        <v/>
      </c>
      <c r="AV385" s="23" t="str">
        <f ca="1" t="shared" ref="AV385:AV448" si="109">IF(OFFSET($B385,0,AV$320*2+1)="","","{"&amp;VLOOKUP(OFFSET($B385,0,AV$320*2+1),$AN$291:$AO$312,2,0)&amp;","&amp;OFFSET($B385,0,AV$320*2+2)&amp;"}")</f>
        <v>{50003,25}</v>
      </c>
      <c r="AW385" s="23" t="str">
        <f ca="1" t="shared" ref="AW385:AW448" si="110">IF(OFFSET($B385,0,AW$320*2+1)="","","{"&amp;VLOOKUP(OFFSET($B385,0,AW$320*2+1),$AN$291:$AO$297,2,0)&amp;","&amp;OFFSET($B385,0,AW$320*2+2)&amp;"}")</f>
        <v>{9,1}</v>
      </c>
      <c r="AX385" s="23" t="str">
        <f ca="1" t="shared" ref="AX385:AX448" si="111">IF(OFFSET($B385,0,AX$320*2+1)="","","{"&amp;VLOOKUP(OFFSET($B385,0,AX$320*2+1),$AN$291:$AO$300,2,0)&amp;","&amp;OFFSET($B385,0,AX$320*2+2)&amp;"}")</f>
        <v>{2,360}</v>
      </c>
      <c r="AY385" s="23" t="str">
        <f ca="1" t="shared" ref="AY385:AY448" si="112">IF(OFFSET($B385,0,AY$320*2+1)="","","{"&amp;VLOOKUP(OFFSET($B385,0,AY$320*2+1),$AN$291:$AO$300,2,0)&amp;","&amp;OFFSET($B385,0,AY$320*2+2)&amp;"}")</f>
        <v>{5204001,5}</v>
      </c>
      <c r="AZ385" s="23" t="str">
        <f ca="1" t="shared" si="102"/>
        <v>{5205001,3}</v>
      </c>
      <c r="BA385" s="23" t="str">
        <f ca="1" t="shared" ref="BA385:BA448" si="113">IF(OFFSET($B385,0,BA$320*2+1)="","","{"&amp;VLOOKUP(OFFSET($B385,0,BA$320*2+1),$AN$291:$AO$316,2,0)&amp;","&amp;OFFSET($B385,0,BA$320*2+2)&amp;"}")</f>
        <v>{1,150}</v>
      </c>
      <c r="BB385" s="23" t="s">
        <v>401</v>
      </c>
      <c r="BC385" s="23" t="str">
        <f ca="1" t="shared" ref="BC385:BC448" si="114">IF(OFFSET($B385,0,BC$320*2+1)="","","{"&amp;VLOOKUP(OFFSET($B385,0,BC$320*2+1),$AN$291:$AO$313,2,0)&amp;","&amp;OFFSET($B385,0,BC$320*2+2)&amp;"}")</f>
        <v>{5133001,300}</v>
      </c>
      <c r="BD385" s="23" t="str">
        <f ca="1" t="shared" si="92"/>
        <v/>
      </c>
      <c r="BE385" s="23" t="str">
        <f ca="1" t="shared" si="98"/>
        <v>{50039,1}</v>
      </c>
      <c r="BF385" s="23" t="str">
        <f ca="1" t="shared" ref="BF385:BF448" si="115">IF(OFFSET($B385,0,BF$320*2+1)="","","{"&amp;VLOOKUP(OFFSET($B385,0,BF$320*2+1),$AN$291:$AO$316,2,0)&amp;","&amp;OFFSET($B385,0,BF$320*2+2)&amp;"}")</f>
        <v>{2,600}</v>
      </c>
      <c r="BI385" s="23" t="str">
        <f ca="1" t="shared" ref="BI385:BI448" si="116">"["&amp;_xlfn.TEXTJOIN(",",1,$AN385:$AR385)&amp;"]"</f>
        <v>[{35,1},{50007,15},{5133001,200},{2,240}]</v>
      </c>
      <c r="BJ385" s="23" t="str">
        <f ca="1" t="shared" ref="BJ385:BJ448" si="117">"["&amp;_xlfn.TEXTJOIN(",",1,$AS385:$AY385)&amp;"]"</f>
        <v>[{5163001,250},{5523001,200},{50003,25},{9,1},{2,360},{5204001,5}]</v>
      </c>
      <c r="BK385" s="23" t="str">
        <f ca="1" t="shared" ref="BK385:BK448" si="118">"["&amp;_xlfn.TEXTJOIN(",",1,$AZ385:$BG385)&amp;"]"</f>
        <v>[{5205001,3},{1,150},{5523001,300},{5133001,300},{50039,1},{2,600}]</v>
      </c>
      <c r="BL385" s="23">
        <f ca="1" t="shared" ref="BL385:BL448" si="119">5-COUNTBLANK(AN385:AR385)</f>
        <v>4</v>
      </c>
      <c r="BM385" s="23">
        <f ca="1" t="shared" ref="BM385:BM448" si="120">7-COUNTBLANK(AS385:AY385)</f>
        <v>6</v>
      </c>
      <c r="BN385" s="23">
        <f ca="1" t="shared" si="82"/>
        <v>6</v>
      </c>
      <c r="BP385" s="71" t="s">
        <v>374</v>
      </c>
      <c r="BQ385" s="71">
        <v>150</v>
      </c>
    </row>
    <row r="386" ht="16.5" spans="2:69">
      <c r="B386" s="23">
        <v>66</v>
      </c>
      <c r="C386" s="12"/>
      <c r="D386" s="71"/>
      <c r="E386" s="71"/>
      <c r="F386" s="71"/>
      <c r="G386" s="71" t="str">
        <f t="shared" si="84"/>
        <v>手套图纸</v>
      </c>
      <c r="H386" s="71">
        <v>15</v>
      </c>
      <c r="I386" s="71" t="str">
        <f t="shared" si="89"/>
        <v>法师特饮</v>
      </c>
      <c r="J386" s="71">
        <v>200</v>
      </c>
      <c r="K386" s="71" t="s">
        <v>96</v>
      </c>
      <c r="L386" s="71">
        <v>240</v>
      </c>
      <c r="M386" s="71" t="str">
        <f t="shared" si="93"/>
        <v>控制特饮</v>
      </c>
      <c r="N386" s="71">
        <f t="shared" si="99"/>
        <v>250</v>
      </c>
      <c r="O386" s="71" t="s">
        <v>316</v>
      </c>
      <c r="P386" s="71">
        <v>200</v>
      </c>
      <c r="Q386" s="71"/>
      <c r="R386" s="71"/>
      <c r="S386" s="72" t="str">
        <f t="shared" si="86"/>
        <v>衣服图纸</v>
      </c>
      <c r="T386" s="71">
        <v>25</v>
      </c>
      <c r="U386" s="71" t="str">
        <f t="shared" si="87"/>
        <v/>
      </c>
      <c r="V386" s="71">
        <f t="shared" si="88"/>
        <v>0</v>
      </c>
      <c r="W386" s="71" t="s">
        <v>96</v>
      </c>
      <c r="X386" s="71">
        <f t="shared" si="103"/>
        <v>360</v>
      </c>
      <c r="Y386" s="71"/>
      <c r="Z386" s="71"/>
      <c r="AA386" s="71" t="str">
        <f t="shared" si="95"/>
        <v>基因罐</v>
      </c>
      <c r="AB386" s="71">
        <f t="shared" si="101"/>
        <v>30</v>
      </c>
      <c r="AC386" s="71" t="s">
        <v>374</v>
      </c>
      <c r="AD386" s="71">
        <v>150</v>
      </c>
      <c r="AE386" s="72" t="str">
        <f t="shared" si="90"/>
        <v>战士特饮</v>
      </c>
      <c r="AF386" s="71">
        <v>300</v>
      </c>
      <c r="AG386" s="71"/>
      <c r="AH386" s="71"/>
      <c r="AI386" s="71" t="s">
        <v>390</v>
      </c>
      <c r="AJ386" s="71">
        <v>1</v>
      </c>
      <c r="AK386" s="71" t="s">
        <v>96</v>
      </c>
      <c r="AL386" s="71">
        <f t="shared" si="104"/>
        <v>600</v>
      </c>
      <c r="AN386" s="23" t="str">
        <f ca="1" t="shared" si="91"/>
        <v>{11,5}</v>
      </c>
      <c r="AO386" s="23" t="str">
        <f ca="1" t="shared" si="83"/>
        <v/>
      </c>
      <c r="AP386" s="23" t="str">
        <f ca="1" t="shared" si="105"/>
        <v>{50008,15}</v>
      </c>
      <c r="AQ386" s="23" t="str">
        <f ca="1" t="shared" si="106"/>
        <v>{5123001,200}</v>
      </c>
      <c r="AR386" s="23" t="str">
        <f ca="1" t="shared" si="107"/>
        <v>{2,240}</v>
      </c>
      <c r="AS386" s="23" t="str">
        <f ca="1" t="shared" si="108"/>
        <v>{5153001,250}</v>
      </c>
      <c r="AT386" s="23" t="str">
        <f ca="1" t="shared" si="97"/>
        <v>{5523001,200}</v>
      </c>
      <c r="AU386" s="23" t="str">
        <f ca="1" t="shared" si="81"/>
        <v/>
      </c>
      <c r="AV386" s="23" t="str">
        <f ca="1" t="shared" si="109"/>
        <v>{50004,25}</v>
      </c>
      <c r="AW386" s="23" t="str">
        <f ca="1" t="shared" si="110"/>
        <v/>
      </c>
      <c r="AX386" s="23" t="str">
        <f ca="1" t="shared" si="111"/>
        <v>{2,360}</v>
      </c>
      <c r="AY386" s="23" t="str">
        <f ca="1" t="shared" si="112"/>
        <v>{5204001,5}</v>
      </c>
      <c r="AZ386" s="23" t="str">
        <f ca="1" t="shared" si="102"/>
        <v>{5203001,30}</v>
      </c>
      <c r="BA386" s="23" t="str">
        <f ca="1" t="shared" si="113"/>
        <v>{1,150}</v>
      </c>
      <c r="BB386" s="23" t="s">
        <v>401</v>
      </c>
      <c r="BC386" s="23" t="str">
        <f ca="1" t="shared" si="114"/>
        <v>{5113001,300}</v>
      </c>
      <c r="BD386" s="23" t="str">
        <f ca="1" t="shared" si="92"/>
        <v/>
      </c>
      <c r="BE386" s="23" t="str">
        <f ca="1" t="shared" si="98"/>
        <v>{50039,1}</v>
      </c>
      <c r="BF386" s="23" t="str">
        <f ca="1" t="shared" si="115"/>
        <v>{2,600}</v>
      </c>
      <c r="BI386" s="23" t="str">
        <f ca="1" t="shared" si="116"/>
        <v>[{11,5},{50008,15},{5123001,200},{2,240}]</v>
      </c>
      <c r="BJ386" s="23" t="str">
        <f ca="1" t="shared" si="117"/>
        <v>[{5153001,250},{5523001,200},{50004,25},{2,360},{5204001,5}]</v>
      </c>
      <c r="BK386" s="23" t="str">
        <f ca="1" t="shared" si="118"/>
        <v>[{5203001,30},{1,150},{5523001,300},{5113001,300},{50039,1},{2,600}]</v>
      </c>
      <c r="BL386" s="23">
        <f ca="1" t="shared" si="119"/>
        <v>4</v>
      </c>
      <c r="BM386" s="23">
        <f ca="1" t="shared" si="120"/>
        <v>5</v>
      </c>
      <c r="BN386" s="23">
        <f ca="1" t="shared" si="82"/>
        <v>6</v>
      </c>
      <c r="BP386" s="71" t="s">
        <v>374</v>
      </c>
      <c r="BQ386" s="71">
        <v>150</v>
      </c>
    </row>
    <row r="387" ht="16.5" spans="2:69">
      <c r="B387" s="23">
        <v>67</v>
      </c>
      <c r="C387" s="12"/>
      <c r="D387" s="71"/>
      <c r="E387" s="71"/>
      <c r="F387" s="71"/>
      <c r="G387" s="71" t="str">
        <f t="shared" si="84"/>
        <v>头盔图纸</v>
      </c>
      <c r="H387" s="71">
        <v>15</v>
      </c>
      <c r="I387" s="71" t="str">
        <f t="shared" si="89"/>
        <v>辅助特饮</v>
      </c>
      <c r="J387" s="71">
        <v>200</v>
      </c>
      <c r="K387" s="71" t="s">
        <v>96</v>
      </c>
      <c r="L387" s="71">
        <v>240</v>
      </c>
      <c r="M387" s="71" t="str">
        <f t="shared" si="93"/>
        <v>战士特饮</v>
      </c>
      <c r="N387" s="71">
        <f t="shared" si="99"/>
        <v>250</v>
      </c>
      <c r="O387" s="71" t="s">
        <v>316</v>
      </c>
      <c r="P387" s="71">
        <v>200</v>
      </c>
      <c r="Q387" s="71"/>
      <c r="R387" s="71"/>
      <c r="S387" s="72" t="str">
        <f t="shared" si="86"/>
        <v>护臂图纸</v>
      </c>
      <c r="T387" s="71">
        <v>25</v>
      </c>
      <c r="U387" s="71" t="str">
        <f t="shared" si="87"/>
        <v/>
      </c>
      <c r="V387" s="71">
        <f t="shared" si="88"/>
        <v>0</v>
      </c>
      <c r="W387" s="71" t="s">
        <v>96</v>
      </c>
      <c r="X387" s="71">
        <f t="shared" si="103"/>
        <v>360</v>
      </c>
      <c r="Y387" s="71"/>
      <c r="Z387" s="71"/>
      <c r="AA387" s="71" t="str">
        <f t="shared" si="95"/>
        <v>基因罐</v>
      </c>
      <c r="AB387" s="71">
        <f t="shared" si="101"/>
        <v>30</v>
      </c>
      <c r="AC387" s="71" t="s">
        <v>374</v>
      </c>
      <c r="AD387" s="71">
        <v>150</v>
      </c>
      <c r="AE387" s="72" t="str">
        <f t="shared" si="90"/>
        <v>法师特饮</v>
      </c>
      <c r="AF387" s="71">
        <v>300</v>
      </c>
      <c r="AG387" s="71"/>
      <c r="AH387" s="71"/>
      <c r="AI387" s="71" t="s">
        <v>390</v>
      </c>
      <c r="AJ387" s="71">
        <v>1</v>
      </c>
      <c r="AK387" s="71" t="s">
        <v>96</v>
      </c>
      <c r="AL387" s="71">
        <f t="shared" si="104"/>
        <v>600</v>
      </c>
      <c r="AN387" s="23" t="str">
        <f ca="1" t="shared" si="91"/>
        <v>{11,5}</v>
      </c>
      <c r="AO387" s="23" t="str">
        <f ca="1" t="shared" si="83"/>
        <v/>
      </c>
      <c r="AP387" s="23" t="str">
        <f ca="1" t="shared" si="105"/>
        <v>{50003,15}</v>
      </c>
      <c r="AQ387" s="23" t="str">
        <f ca="1" t="shared" si="106"/>
        <v>{5143001,200}</v>
      </c>
      <c r="AR387" s="23" t="str">
        <f ca="1" t="shared" si="107"/>
        <v>{2,240}</v>
      </c>
      <c r="AS387" s="23" t="str">
        <f ca="1" t="shared" si="108"/>
        <v>{5113001,250}</v>
      </c>
      <c r="AT387" s="23" t="str">
        <f ca="1" t="shared" si="97"/>
        <v>{5523001,200}</v>
      </c>
      <c r="AU387" s="23" t="str">
        <f ca="1" t="shared" si="81"/>
        <v/>
      </c>
      <c r="AV387" s="23" t="str">
        <f ca="1" t="shared" si="109"/>
        <v>{50005,25}</v>
      </c>
      <c r="AW387" s="23" t="str">
        <f ca="1" t="shared" si="110"/>
        <v/>
      </c>
      <c r="AX387" s="23" t="str">
        <f ca="1" t="shared" si="111"/>
        <v>{2,360}</v>
      </c>
      <c r="AY387" s="23" t="str">
        <f ca="1" t="shared" si="112"/>
        <v>{5204001,5}</v>
      </c>
      <c r="AZ387" s="23" t="str">
        <f ca="1" t="shared" si="102"/>
        <v>{5203001,30}</v>
      </c>
      <c r="BA387" s="23" t="str">
        <f ca="1" t="shared" si="113"/>
        <v>{1,150}</v>
      </c>
      <c r="BB387" s="23" t="s">
        <v>401</v>
      </c>
      <c r="BC387" s="23" t="str">
        <f ca="1" t="shared" si="114"/>
        <v>{5123001,300}</v>
      </c>
      <c r="BD387" s="23" t="str">
        <f ca="1" t="shared" si="92"/>
        <v/>
      </c>
      <c r="BE387" s="23" t="str">
        <f ca="1" t="shared" si="98"/>
        <v>{50039,1}</v>
      </c>
      <c r="BF387" s="23" t="str">
        <f ca="1" t="shared" si="115"/>
        <v>{2,600}</v>
      </c>
      <c r="BI387" s="23" t="str">
        <f ca="1" t="shared" si="116"/>
        <v>[{11,5},{50003,15},{5143001,200},{2,240}]</v>
      </c>
      <c r="BJ387" s="23" t="str">
        <f ca="1" t="shared" si="117"/>
        <v>[{5113001,250},{5523001,200},{50005,25},{2,360},{5204001,5}]</v>
      </c>
      <c r="BK387" s="23" t="str">
        <f ca="1" t="shared" si="118"/>
        <v>[{5203001,30},{1,150},{5523001,300},{5123001,300},{50039,1},{2,600}]</v>
      </c>
      <c r="BL387" s="23">
        <f ca="1" t="shared" si="119"/>
        <v>4</v>
      </c>
      <c r="BM387" s="23">
        <f ca="1" t="shared" si="120"/>
        <v>5</v>
      </c>
      <c r="BN387" s="23">
        <f ca="1" t="shared" si="82"/>
        <v>6</v>
      </c>
      <c r="BP387" s="71" t="s">
        <v>374</v>
      </c>
      <c r="BQ387" s="71">
        <v>150</v>
      </c>
    </row>
    <row r="388" ht="16.5" spans="2:69">
      <c r="B388" s="23">
        <v>68</v>
      </c>
      <c r="C388" s="12"/>
      <c r="D388" s="71"/>
      <c r="E388" s="71"/>
      <c r="F388" s="71"/>
      <c r="G388" s="71" t="str">
        <f t="shared" si="84"/>
        <v>衣服图纸</v>
      </c>
      <c r="H388" s="71">
        <v>15</v>
      </c>
      <c r="I388" s="71" t="str">
        <f t="shared" si="89"/>
        <v>战士特饮</v>
      </c>
      <c r="J388" s="71">
        <v>200</v>
      </c>
      <c r="K388" s="71" t="s">
        <v>96</v>
      </c>
      <c r="L388" s="71">
        <v>240</v>
      </c>
      <c r="M388" s="71" t="str">
        <f t="shared" si="93"/>
        <v>法师特饮</v>
      </c>
      <c r="N388" s="71">
        <f t="shared" si="99"/>
        <v>250</v>
      </c>
      <c r="O388" s="71" t="s">
        <v>316</v>
      </c>
      <c r="P388" s="71">
        <v>200</v>
      </c>
      <c r="Q388" s="71"/>
      <c r="R388" s="71"/>
      <c r="S388" s="72" t="str">
        <f t="shared" si="86"/>
        <v>裤子图纸</v>
      </c>
      <c r="T388" s="71">
        <v>25</v>
      </c>
      <c r="U388" s="71" t="str">
        <f t="shared" si="87"/>
        <v/>
      </c>
      <c r="V388" s="71">
        <f t="shared" si="88"/>
        <v>0</v>
      </c>
      <c r="W388" s="71" t="s">
        <v>96</v>
      </c>
      <c r="X388" s="71">
        <f t="shared" si="103"/>
        <v>360</v>
      </c>
      <c r="Y388" s="71"/>
      <c r="Z388" s="71"/>
      <c r="AA388" s="71" t="str">
        <f t="shared" si="95"/>
        <v>基因罐</v>
      </c>
      <c r="AB388" s="71">
        <f t="shared" si="101"/>
        <v>30</v>
      </c>
      <c r="AC388" s="71" t="s">
        <v>374</v>
      </c>
      <c r="AD388" s="71">
        <v>150</v>
      </c>
      <c r="AE388" s="72" t="str">
        <f t="shared" si="90"/>
        <v>辅助特饮</v>
      </c>
      <c r="AF388" s="71">
        <v>300</v>
      </c>
      <c r="AG388" s="71"/>
      <c r="AH388" s="71"/>
      <c r="AI388" s="71" t="s">
        <v>390</v>
      </c>
      <c r="AJ388" s="71">
        <v>1</v>
      </c>
      <c r="AK388" s="71" t="s">
        <v>96</v>
      </c>
      <c r="AL388" s="71">
        <f t="shared" si="104"/>
        <v>600</v>
      </c>
      <c r="AN388" s="23" t="str">
        <f ca="1" t="shared" si="91"/>
        <v>{11,5}</v>
      </c>
      <c r="AO388" s="23" t="str">
        <f ca="1" t="shared" si="83"/>
        <v/>
      </c>
      <c r="AP388" s="23" t="str">
        <f ca="1" t="shared" si="105"/>
        <v>{50004,15}</v>
      </c>
      <c r="AQ388" s="23" t="str">
        <f ca="1" t="shared" si="106"/>
        <v>{5113001,200}</v>
      </c>
      <c r="AR388" s="23" t="str">
        <f ca="1" t="shared" si="107"/>
        <v>{2,240}</v>
      </c>
      <c r="AS388" s="23" t="str">
        <f ca="1" t="shared" si="108"/>
        <v>{5123001,250}</v>
      </c>
      <c r="AT388" s="23" t="str">
        <f ca="1" t="shared" si="97"/>
        <v>{5523001,200}</v>
      </c>
      <c r="AU388" s="23" t="str">
        <f ca="1" t="shared" ref="AU388:AU451" si="121">IF(OFFSET($B388,0,AU$320*2+1)="","","{"&amp;VLOOKUP(OFFSET($B388,0,AU$320*2+1),$AN$291:$AO$306,2,0)&amp;","&amp;OFFSET($B388,0,AU$320*2+2)&amp;"}")</f>
        <v/>
      </c>
      <c r="AV388" s="23" t="str">
        <f ca="1" t="shared" si="109"/>
        <v>{50006,25}</v>
      </c>
      <c r="AW388" s="23" t="str">
        <f ca="1" t="shared" si="110"/>
        <v/>
      </c>
      <c r="AX388" s="23" t="str">
        <f ca="1" t="shared" si="111"/>
        <v>{2,360}</v>
      </c>
      <c r="AY388" s="23" t="str">
        <f ca="1" t="shared" si="112"/>
        <v>{5204001,5}</v>
      </c>
      <c r="AZ388" s="23" t="str">
        <f ca="1" t="shared" si="102"/>
        <v>{5203001,30}</v>
      </c>
      <c r="BA388" s="23" t="str">
        <f ca="1" t="shared" si="113"/>
        <v>{1,150}</v>
      </c>
      <c r="BB388" s="23" t="s">
        <v>401</v>
      </c>
      <c r="BC388" s="23" t="str">
        <f ca="1" t="shared" si="114"/>
        <v>{5143001,300}</v>
      </c>
      <c r="BD388" s="23" t="str">
        <f ca="1" t="shared" si="92"/>
        <v/>
      </c>
      <c r="BE388" s="23" t="str">
        <f ca="1" t="shared" si="98"/>
        <v>{50039,1}</v>
      </c>
      <c r="BF388" s="23" t="str">
        <f ca="1" t="shared" si="115"/>
        <v>{2,600}</v>
      </c>
      <c r="BI388" s="23" t="str">
        <f ca="1" t="shared" si="116"/>
        <v>[{11,5},{50004,15},{5113001,200},{2,240}]</v>
      </c>
      <c r="BJ388" s="23" t="str">
        <f ca="1" t="shared" si="117"/>
        <v>[{5123001,250},{5523001,200},{50006,25},{2,360},{5204001,5}]</v>
      </c>
      <c r="BK388" s="23" t="str">
        <f ca="1" t="shared" si="118"/>
        <v>[{5203001,30},{1,150},{5523001,300},{5143001,300},{50039,1},{2,600}]</v>
      </c>
      <c r="BL388" s="23">
        <f ca="1" t="shared" si="119"/>
        <v>4</v>
      </c>
      <c r="BM388" s="23">
        <f ca="1" t="shared" si="120"/>
        <v>5</v>
      </c>
      <c r="BN388" s="23">
        <f ca="1" t="shared" ref="BN388:BN451" si="122">7-COUNTBLANK(AZ388:BF388)</f>
        <v>6</v>
      </c>
      <c r="BP388" s="71" t="s">
        <v>374</v>
      </c>
      <c r="BQ388" s="71">
        <v>150</v>
      </c>
    </row>
    <row r="389" ht="16.5" spans="2:69">
      <c r="B389" s="23">
        <v>69</v>
      </c>
      <c r="C389" s="12"/>
      <c r="D389" s="71"/>
      <c r="E389" s="71"/>
      <c r="F389" s="71"/>
      <c r="G389" s="71" t="str">
        <f t="shared" si="84"/>
        <v>护臂图纸</v>
      </c>
      <c r="H389" s="71">
        <v>15</v>
      </c>
      <c r="I389" s="71" t="str">
        <f t="shared" si="89"/>
        <v>毒系特饮</v>
      </c>
      <c r="J389" s="71">
        <v>200</v>
      </c>
      <c r="K389" s="71" t="s">
        <v>96</v>
      </c>
      <c r="L389" s="71">
        <v>240</v>
      </c>
      <c r="M389" s="71" t="str">
        <f t="shared" si="93"/>
        <v>辅助特饮</v>
      </c>
      <c r="N389" s="71">
        <f t="shared" si="99"/>
        <v>250</v>
      </c>
      <c r="O389" s="71" t="s">
        <v>316</v>
      </c>
      <c r="P389" s="71">
        <v>200</v>
      </c>
      <c r="Q389" s="71"/>
      <c r="R389" s="71"/>
      <c r="S389" s="72" t="str">
        <f t="shared" si="86"/>
        <v>鞋子图纸</v>
      </c>
      <c r="T389" s="71">
        <v>25</v>
      </c>
      <c r="U389" s="71" t="str">
        <f t="shared" si="87"/>
        <v/>
      </c>
      <c r="V389" s="71">
        <f t="shared" si="88"/>
        <v>0</v>
      </c>
      <c r="W389" s="71" t="s">
        <v>96</v>
      </c>
      <c r="X389" s="71">
        <f t="shared" si="103"/>
        <v>360</v>
      </c>
      <c r="Y389" s="71"/>
      <c r="Z389" s="71"/>
      <c r="AA389" s="71" t="str">
        <f t="shared" si="95"/>
        <v>基因罐</v>
      </c>
      <c r="AB389" s="71">
        <f t="shared" si="101"/>
        <v>30</v>
      </c>
      <c r="AC389" s="71" t="s">
        <v>374</v>
      </c>
      <c r="AD389" s="71">
        <v>150</v>
      </c>
      <c r="AE389" s="72" t="str">
        <f t="shared" si="90"/>
        <v>毒系特饮</v>
      </c>
      <c r="AF389" s="71">
        <v>300</v>
      </c>
      <c r="AG389" s="71"/>
      <c r="AH389" s="71"/>
      <c r="AI389" s="71" t="s">
        <v>390</v>
      </c>
      <c r="AJ389" s="71">
        <v>1</v>
      </c>
      <c r="AK389" s="71" t="s">
        <v>96</v>
      </c>
      <c r="AL389" s="71">
        <f t="shared" si="104"/>
        <v>600</v>
      </c>
      <c r="AN389" s="23" t="str">
        <f ca="1" t="shared" si="91"/>
        <v>{11,5}</v>
      </c>
      <c r="AO389" s="23" t="str">
        <f ca="1" t="shared" si="83"/>
        <v/>
      </c>
      <c r="AP389" s="23" t="str">
        <f ca="1" t="shared" si="105"/>
        <v>{50005,15}</v>
      </c>
      <c r="AQ389" s="23" t="str">
        <f ca="1" t="shared" si="106"/>
        <v>{5163001,200}</v>
      </c>
      <c r="AR389" s="23" t="str">
        <f ca="1" t="shared" si="107"/>
        <v>{2,240}</v>
      </c>
      <c r="AS389" s="23" t="str">
        <f ca="1" t="shared" si="108"/>
        <v>{5143001,250}</v>
      </c>
      <c r="AT389" s="23" t="str">
        <f ca="1" t="shared" si="97"/>
        <v>{5523001,200}</v>
      </c>
      <c r="AU389" s="23" t="str">
        <f ca="1" t="shared" si="121"/>
        <v/>
      </c>
      <c r="AV389" s="23" t="str">
        <f ca="1" t="shared" si="109"/>
        <v>{50007,25}</v>
      </c>
      <c r="AW389" s="23" t="str">
        <f ca="1" t="shared" si="110"/>
        <v/>
      </c>
      <c r="AX389" s="23" t="str">
        <f ca="1" t="shared" si="111"/>
        <v>{2,360}</v>
      </c>
      <c r="AY389" s="23" t="str">
        <f ca="1" t="shared" si="112"/>
        <v>{5204001,5}</v>
      </c>
      <c r="AZ389" s="23" t="str">
        <f ca="1" t="shared" si="102"/>
        <v>{5203001,30}</v>
      </c>
      <c r="BA389" s="23" t="str">
        <f ca="1" t="shared" si="113"/>
        <v>{1,150}</v>
      </c>
      <c r="BB389" s="23" t="s">
        <v>401</v>
      </c>
      <c r="BC389" s="23" t="str">
        <f ca="1" t="shared" si="114"/>
        <v>{5163001,300}</v>
      </c>
      <c r="BD389" s="23" t="str">
        <f ca="1" t="shared" si="92"/>
        <v/>
      </c>
      <c r="BE389" s="23" t="str">
        <f ca="1" t="shared" si="98"/>
        <v>{50039,1}</v>
      </c>
      <c r="BF389" s="23" t="str">
        <f ca="1" t="shared" si="115"/>
        <v>{2,600}</v>
      </c>
      <c r="BI389" s="23" t="str">
        <f ca="1" t="shared" si="116"/>
        <v>[{11,5},{50005,15},{5163001,200},{2,240}]</v>
      </c>
      <c r="BJ389" s="23" t="str">
        <f ca="1" t="shared" si="117"/>
        <v>[{5143001,250},{5523001,200},{50007,25},{2,360},{5204001,5}]</v>
      </c>
      <c r="BK389" s="23" t="str">
        <f ca="1" t="shared" si="118"/>
        <v>[{5203001,30},{1,150},{5523001,300},{5163001,300},{50039,1},{2,600}]</v>
      </c>
      <c r="BL389" s="23">
        <f ca="1" t="shared" si="119"/>
        <v>4</v>
      </c>
      <c r="BM389" s="23">
        <f ca="1" t="shared" si="120"/>
        <v>5</v>
      </c>
      <c r="BN389" s="23">
        <f ca="1" t="shared" si="122"/>
        <v>6</v>
      </c>
      <c r="BP389" s="71" t="s">
        <v>374</v>
      </c>
      <c r="BQ389" s="71">
        <v>150</v>
      </c>
    </row>
    <row r="390" ht="16.5" spans="2:69">
      <c r="B390" s="23">
        <v>70</v>
      </c>
      <c r="C390" s="12" t="s">
        <v>240</v>
      </c>
      <c r="D390" s="71">
        <v>1</v>
      </c>
      <c r="E390" s="71"/>
      <c r="F390" s="71"/>
      <c r="G390" s="71" t="str">
        <f t="shared" si="84"/>
        <v>裤子图纸</v>
      </c>
      <c r="H390" s="71">
        <v>15</v>
      </c>
      <c r="I390" s="71" t="str">
        <f t="shared" si="89"/>
        <v>控制特饮</v>
      </c>
      <c r="J390" s="71">
        <v>200</v>
      </c>
      <c r="K390" s="71" t="s">
        <v>96</v>
      </c>
      <c r="L390" s="71">
        <v>240</v>
      </c>
      <c r="M390" s="71" t="str">
        <f t="shared" si="93"/>
        <v>射手特饮</v>
      </c>
      <c r="N390" s="71">
        <f t="shared" si="99"/>
        <v>250</v>
      </c>
      <c r="O390" s="71" t="s">
        <v>316</v>
      </c>
      <c r="P390" s="71">
        <v>200</v>
      </c>
      <c r="Q390" s="71"/>
      <c r="R390" s="71"/>
      <c r="S390" s="72" t="str">
        <f t="shared" si="86"/>
        <v>手套图纸</v>
      </c>
      <c r="T390" s="71">
        <v>25</v>
      </c>
      <c r="U390" s="71" t="str">
        <f t="shared" si="87"/>
        <v>灵感获取令</v>
      </c>
      <c r="V390" s="71">
        <f t="shared" si="88"/>
        <v>1</v>
      </c>
      <c r="W390" s="71" t="s">
        <v>96</v>
      </c>
      <c r="X390" s="71">
        <f t="shared" si="103"/>
        <v>360</v>
      </c>
      <c r="Y390" s="71"/>
      <c r="Z390" s="71"/>
      <c r="AA390" s="71" t="str">
        <f t="shared" si="95"/>
        <v>传说基因罐</v>
      </c>
      <c r="AB390" s="71">
        <f t="shared" si="101"/>
        <v>3</v>
      </c>
      <c r="AC390" s="71" t="s">
        <v>374</v>
      </c>
      <c r="AD390" s="71">
        <v>150</v>
      </c>
      <c r="AE390" s="72" t="str">
        <f t="shared" si="90"/>
        <v>控制特饮</v>
      </c>
      <c r="AF390" s="71">
        <v>300</v>
      </c>
      <c r="AG390" s="71"/>
      <c r="AH390" s="71"/>
      <c r="AI390" s="71" t="s">
        <v>390</v>
      </c>
      <c r="AJ390" s="71">
        <v>1</v>
      </c>
      <c r="AK390" s="71" t="s">
        <v>96</v>
      </c>
      <c r="AL390" s="71">
        <f t="shared" si="104"/>
        <v>600</v>
      </c>
      <c r="AN390" s="23" t="str">
        <f ca="1" t="shared" si="91"/>
        <v>{35,1}</v>
      </c>
      <c r="AO390" s="23" t="str">
        <f ca="1" t="shared" ref="AO390:AO453" si="123">IF(OFFSET($B390,0,AO$320*2+1)="","","{"&amp;VLOOKUP(OFFSET($B390,0,AO$320*2+1),$AN$291:$AO$297,2,0)&amp;","&amp;OFFSET($B390,0,AO$320*2+2)&amp;"}")</f>
        <v/>
      </c>
      <c r="AP390" s="23" t="str">
        <f ca="1" t="shared" si="105"/>
        <v>{50006,15}</v>
      </c>
      <c r="AQ390" s="23" t="str">
        <f ca="1" t="shared" si="106"/>
        <v>{5153001,200}</v>
      </c>
      <c r="AR390" s="23" t="str">
        <f ca="1" t="shared" si="107"/>
        <v>{2,240}</v>
      </c>
      <c r="AS390" s="23" t="str">
        <f ca="1" t="shared" si="108"/>
        <v>{5133001,250}</v>
      </c>
      <c r="AT390" s="23" t="str">
        <f ca="1" t="shared" si="97"/>
        <v>{5523001,200}</v>
      </c>
      <c r="AU390" s="23" t="str">
        <f ca="1" t="shared" si="121"/>
        <v/>
      </c>
      <c r="AV390" s="23" t="str">
        <f ca="1" t="shared" si="109"/>
        <v>{50008,25}</v>
      </c>
      <c r="AW390" s="23" t="str">
        <f ca="1" t="shared" si="110"/>
        <v>{9,1}</v>
      </c>
      <c r="AX390" s="23" t="str">
        <f ca="1" t="shared" si="111"/>
        <v>{2,360}</v>
      </c>
      <c r="AY390" s="23" t="str">
        <f ca="1" t="shared" si="112"/>
        <v>{5204001,5}</v>
      </c>
      <c r="AZ390" s="23" t="str">
        <f ca="1" t="shared" si="102"/>
        <v>{5205001,3}</v>
      </c>
      <c r="BA390" s="23" t="str">
        <f ca="1" t="shared" si="113"/>
        <v>{1,150}</v>
      </c>
      <c r="BB390" s="23" t="s">
        <v>401</v>
      </c>
      <c r="BC390" s="23" t="str">
        <f ca="1" t="shared" si="114"/>
        <v>{5153001,300}</v>
      </c>
      <c r="BD390" s="23" t="str">
        <f ca="1" t="shared" si="92"/>
        <v/>
      </c>
      <c r="BE390" s="23" t="str">
        <f ca="1" t="shared" si="98"/>
        <v>{50039,1}</v>
      </c>
      <c r="BF390" s="23" t="str">
        <f ca="1" t="shared" si="115"/>
        <v>{2,600}</v>
      </c>
      <c r="BI390" s="23" t="str">
        <f ca="1" t="shared" si="116"/>
        <v>[{35,1},{50006,15},{5153001,200},{2,240}]</v>
      </c>
      <c r="BJ390" s="23" t="str">
        <f ca="1" t="shared" si="117"/>
        <v>[{5133001,250},{5523001,200},{50008,25},{9,1},{2,360},{5204001,5}]</v>
      </c>
      <c r="BK390" s="23" t="str">
        <f ca="1" t="shared" si="118"/>
        <v>[{5205001,3},{1,150},{5523001,300},{5153001,300},{50039,1},{2,600}]</v>
      </c>
      <c r="BL390" s="23">
        <f ca="1" t="shared" si="119"/>
        <v>4</v>
      </c>
      <c r="BM390" s="23">
        <f ca="1" t="shared" si="120"/>
        <v>6</v>
      </c>
      <c r="BN390" s="23">
        <f ca="1" t="shared" si="122"/>
        <v>6</v>
      </c>
      <c r="BP390" s="71" t="s">
        <v>374</v>
      </c>
      <c r="BQ390" s="71">
        <v>150</v>
      </c>
    </row>
    <row r="391" ht="16.5" spans="2:69">
      <c r="B391" s="23">
        <v>71</v>
      </c>
      <c r="C391" s="12"/>
      <c r="D391" s="71"/>
      <c r="E391" s="71"/>
      <c r="F391" s="71"/>
      <c r="G391" s="71" t="str">
        <f t="shared" ref="G391:G454" si="124">G385</f>
        <v>鞋子图纸</v>
      </c>
      <c r="H391" s="71">
        <v>15</v>
      </c>
      <c r="I391" s="71" t="str">
        <f t="shared" si="89"/>
        <v>射手特饮</v>
      </c>
      <c r="J391" s="71">
        <v>200</v>
      </c>
      <c r="K391" s="71" t="s">
        <v>96</v>
      </c>
      <c r="L391" s="71">
        <v>240</v>
      </c>
      <c r="M391" s="71" t="str">
        <f t="shared" si="93"/>
        <v>毒系特饮</v>
      </c>
      <c r="N391" s="71">
        <f t="shared" si="99"/>
        <v>250</v>
      </c>
      <c r="O391" s="71" t="s">
        <v>316</v>
      </c>
      <c r="P391" s="71">
        <v>200</v>
      </c>
      <c r="Q391" s="71"/>
      <c r="R391" s="71"/>
      <c r="S391" s="72" t="str">
        <f t="shared" ref="S391:S454" si="125">S385</f>
        <v>头盔图纸</v>
      </c>
      <c r="T391" s="71">
        <v>25</v>
      </c>
      <c r="U391" s="71" t="str">
        <f t="shared" si="87"/>
        <v/>
      </c>
      <c r="V391" s="71">
        <f t="shared" si="88"/>
        <v>0</v>
      </c>
      <c r="W391" s="71" t="s">
        <v>96</v>
      </c>
      <c r="X391" s="71">
        <f t="shared" si="103"/>
        <v>360</v>
      </c>
      <c r="Y391" s="71"/>
      <c r="Z391" s="71"/>
      <c r="AA391" s="71" t="str">
        <f t="shared" si="95"/>
        <v>基因罐</v>
      </c>
      <c r="AB391" s="71">
        <f t="shared" si="101"/>
        <v>30</v>
      </c>
      <c r="AC391" s="71" t="s">
        <v>374</v>
      </c>
      <c r="AD391" s="71">
        <v>150</v>
      </c>
      <c r="AE391" s="72" t="str">
        <f t="shared" si="90"/>
        <v>射手特饮</v>
      </c>
      <c r="AF391" s="71">
        <v>300</v>
      </c>
      <c r="AG391" s="71"/>
      <c r="AH391" s="71"/>
      <c r="AI391" s="71" t="s">
        <v>390</v>
      </c>
      <c r="AJ391" s="71">
        <v>1</v>
      </c>
      <c r="AK391" s="71" t="s">
        <v>96</v>
      </c>
      <c r="AL391" s="71">
        <f t="shared" si="104"/>
        <v>600</v>
      </c>
      <c r="AN391" s="23" t="str">
        <f ca="1" t="shared" si="91"/>
        <v>{11,5}</v>
      </c>
      <c r="AO391" s="23" t="str">
        <f ca="1" t="shared" si="123"/>
        <v/>
      </c>
      <c r="AP391" s="23" t="str">
        <f ca="1" t="shared" si="105"/>
        <v>{50007,15}</v>
      </c>
      <c r="AQ391" s="23" t="str">
        <f ca="1" t="shared" si="106"/>
        <v>{5133001,200}</v>
      </c>
      <c r="AR391" s="23" t="str">
        <f ca="1" t="shared" si="107"/>
        <v>{2,240}</v>
      </c>
      <c r="AS391" s="23" t="str">
        <f ca="1" t="shared" si="108"/>
        <v>{5163001,250}</v>
      </c>
      <c r="AT391" s="23" t="str">
        <f ca="1" t="shared" si="97"/>
        <v>{5523001,200}</v>
      </c>
      <c r="AU391" s="23" t="str">
        <f ca="1" t="shared" si="121"/>
        <v/>
      </c>
      <c r="AV391" s="23" t="str">
        <f ca="1" t="shared" si="109"/>
        <v>{50003,25}</v>
      </c>
      <c r="AW391" s="23" t="str">
        <f ca="1" t="shared" si="110"/>
        <v/>
      </c>
      <c r="AX391" s="23" t="str">
        <f ca="1" t="shared" si="111"/>
        <v>{2,360}</v>
      </c>
      <c r="AY391" s="23" t="str">
        <f ca="1" t="shared" si="112"/>
        <v>{5204001,5}</v>
      </c>
      <c r="AZ391" s="23" t="str">
        <f ca="1" t="shared" si="102"/>
        <v>{5203001,30}</v>
      </c>
      <c r="BA391" s="23" t="str">
        <f ca="1" t="shared" si="113"/>
        <v>{1,150}</v>
      </c>
      <c r="BB391" s="23" t="s">
        <v>401</v>
      </c>
      <c r="BC391" s="23" t="str">
        <f ca="1" t="shared" si="114"/>
        <v>{5133001,300}</v>
      </c>
      <c r="BD391" s="23" t="str">
        <f ca="1" t="shared" si="92"/>
        <v/>
      </c>
      <c r="BE391" s="23" t="str">
        <f ca="1" t="shared" si="98"/>
        <v>{50039,1}</v>
      </c>
      <c r="BF391" s="23" t="str">
        <f ca="1" t="shared" si="115"/>
        <v>{2,600}</v>
      </c>
      <c r="BI391" s="23" t="str">
        <f ca="1" t="shared" si="116"/>
        <v>[{11,5},{50007,15},{5133001,200},{2,240}]</v>
      </c>
      <c r="BJ391" s="23" t="str">
        <f ca="1" t="shared" si="117"/>
        <v>[{5163001,250},{5523001,200},{50003,25},{2,360},{5204001,5}]</v>
      </c>
      <c r="BK391" s="23" t="str">
        <f ca="1" t="shared" si="118"/>
        <v>[{5203001,30},{1,150},{5523001,300},{5133001,300},{50039,1},{2,600}]</v>
      </c>
      <c r="BL391" s="23">
        <f ca="1" t="shared" si="119"/>
        <v>4</v>
      </c>
      <c r="BM391" s="23">
        <f ca="1" t="shared" si="120"/>
        <v>5</v>
      </c>
      <c r="BN391" s="23">
        <f ca="1" t="shared" si="122"/>
        <v>6</v>
      </c>
      <c r="BP391" s="71" t="s">
        <v>374</v>
      </c>
      <c r="BQ391" s="71">
        <v>150</v>
      </c>
    </row>
    <row r="392" ht="16.5" spans="2:69">
      <c r="B392" s="23">
        <v>72</v>
      </c>
      <c r="C392" s="12"/>
      <c r="D392" s="71"/>
      <c r="E392" s="71"/>
      <c r="F392" s="71"/>
      <c r="G392" s="71" t="str">
        <f t="shared" si="124"/>
        <v>手套图纸</v>
      </c>
      <c r="H392" s="71">
        <v>15</v>
      </c>
      <c r="I392" s="71" t="str">
        <f t="shared" si="89"/>
        <v>法师特饮</v>
      </c>
      <c r="J392" s="71">
        <v>200</v>
      </c>
      <c r="K392" s="71" t="s">
        <v>96</v>
      </c>
      <c r="L392" s="71">
        <v>240</v>
      </c>
      <c r="M392" s="71" t="str">
        <f t="shared" si="93"/>
        <v>控制特饮</v>
      </c>
      <c r="N392" s="71">
        <f t="shared" si="99"/>
        <v>250</v>
      </c>
      <c r="O392" s="71" t="s">
        <v>316</v>
      </c>
      <c r="P392" s="71">
        <v>200</v>
      </c>
      <c r="Q392" s="71"/>
      <c r="R392" s="71"/>
      <c r="S392" s="72" t="str">
        <f t="shared" si="125"/>
        <v>衣服图纸</v>
      </c>
      <c r="T392" s="71">
        <v>25</v>
      </c>
      <c r="U392" s="71" t="str">
        <f t="shared" si="87"/>
        <v/>
      </c>
      <c r="V392" s="71">
        <f t="shared" si="88"/>
        <v>0</v>
      </c>
      <c r="W392" s="71" t="s">
        <v>96</v>
      </c>
      <c r="X392" s="71">
        <f t="shared" si="103"/>
        <v>360</v>
      </c>
      <c r="Y392" s="71"/>
      <c r="Z392" s="71"/>
      <c r="AA392" s="71" t="str">
        <f t="shared" si="95"/>
        <v>基因罐</v>
      </c>
      <c r="AB392" s="71">
        <f t="shared" si="101"/>
        <v>30</v>
      </c>
      <c r="AC392" s="71" t="s">
        <v>374</v>
      </c>
      <c r="AD392" s="71">
        <v>150</v>
      </c>
      <c r="AE392" s="72" t="str">
        <f t="shared" si="90"/>
        <v>战士特饮</v>
      </c>
      <c r="AF392" s="71">
        <v>300</v>
      </c>
      <c r="AG392" s="71"/>
      <c r="AH392" s="71"/>
      <c r="AI392" s="71" t="s">
        <v>390</v>
      </c>
      <c r="AJ392" s="71">
        <v>1</v>
      </c>
      <c r="AK392" s="71" t="s">
        <v>96</v>
      </c>
      <c r="AL392" s="71">
        <f t="shared" si="104"/>
        <v>600</v>
      </c>
      <c r="AN392" s="23" t="str">
        <f ca="1" t="shared" si="91"/>
        <v>{11,5}</v>
      </c>
      <c r="AO392" s="23" t="str">
        <f ca="1" t="shared" si="123"/>
        <v/>
      </c>
      <c r="AP392" s="23" t="str">
        <f ca="1" t="shared" si="105"/>
        <v>{50008,15}</v>
      </c>
      <c r="AQ392" s="23" t="str">
        <f ca="1" t="shared" si="106"/>
        <v>{5123001,200}</v>
      </c>
      <c r="AR392" s="23" t="str">
        <f ca="1" t="shared" si="107"/>
        <v>{2,240}</v>
      </c>
      <c r="AS392" s="23" t="str">
        <f ca="1" t="shared" si="108"/>
        <v>{5153001,250}</v>
      </c>
      <c r="AT392" s="23" t="str">
        <f ca="1" t="shared" si="97"/>
        <v>{5523001,200}</v>
      </c>
      <c r="AU392" s="23" t="str">
        <f ca="1" t="shared" si="121"/>
        <v/>
      </c>
      <c r="AV392" s="23" t="str">
        <f ca="1" t="shared" si="109"/>
        <v>{50004,25}</v>
      </c>
      <c r="AW392" s="23" t="str">
        <f ca="1" t="shared" si="110"/>
        <v/>
      </c>
      <c r="AX392" s="23" t="str">
        <f ca="1" t="shared" si="111"/>
        <v>{2,360}</v>
      </c>
      <c r="AY392" s="23" t="str">
        <f ca="1" t="shared" si="112"/>
        <v>{5204001,5}</v>
      </c>
      <c r="AZ392" s="23" t="str">
        <f ca="1" t="shared" si="102"/>
        <v>{5203001,30}</v>
      </c>
      <c r="BA392" s="23" t="str">
        <f ca="1" t="shared" si="113"/>
        <v>{1,150}</v>
      </c>
      <c r="BB392" s="23" t="s">
        <v>401</v>
      </c>
      <c r="BC392" s="23" t="str">
        <f ca="1" t="shared" si="114"/>
        <v>{5113001,300}</v>
      </c>
      <c r="BD392" s="23" t="str">
        <f ca="1" t="shared" si="92"/>
        <v/>
      </c>
      <c r="BE392" s="23" t="str">
        <f ca="1" t="shared" si="98"/>
        <v>{50039,1}</v>
      </c>
      <c r="BF392" s="23" t="str">
        <f ca="1" t="shared" si="115"/>
        <v>{2,600}</v>
      </c>
      <c r="BI392" s="23" t="str">
        <f ca="1" t="shared" si="116"/>
        <v>[{11,5},{50008,15},{5123001,200},{2,240}]</v>
      </c>
      <c r="BJ392" s="23" t="str">
        <f ca="1" t="shared" si="117"/>
        <v>[{5153001,250},{5523001,200},{50004,25},{2,360},{5204001,5}]</v>
      </c>
      <c r="BK392" s="23" t="str">
        <f ca="1" t="shared" si="118"/>
        <v>[{5203001,30},{1,150},{5523001,300},{5113001,300},{50039,1},{2,600}]</v>
      </c>
      <c r="BL392" s="23">
        <f ca="1" t="shared" si="119"/>
        <v>4</v>
      </c>
      <c r="BM392" s="23">
        <f ca="1" t="shared" si="120"/>
        <v>5</v>
      </c>
      <c r="BN392" s="23">
        <f ca="1" t="shared" si="122"/>
        <v>6</v>
      </c>
      <c r="BP392" s="71" t="s">
        <v>374</v>
      </c>
      <c r="BQ392" s="71">
        <v>150</v>
      </c>
    </row>
    <row r="393" ht="16.5" spans="2:69">
      <c r="B393" s="23">
        <v>73</v>
      </c>
      <c r="C393" s="12"/>
      <c r="D393" s="71"/>
      <c r="E393" s="71"/>
      <c r="F393" s="71"/>
      <c r="G393" s="71" t="str">
        <f t="shared" si="124"/>
        <v>头盔图纸</v>
      </c>
      <c r="H393" s="71">
        <v>15</v>
      </c>
      <c r="I393" s="71" t="str">
        <f t="shared" si="89"/>
        <v>辅助特饮</v>
      </c>
      <c r="J393" s="71">
        <v>200</v>
      </c>
      <c r="K393" s="71" t="s">
        <v>96</v>
      </c>
      <c r="L393" s="71">
        <v>240</v>
      </c>
      <c r="M393" s="71" t="str">
        <f t="shared" si="93"/>
        <v>战士特饮</v>
      </c>
      <c r="N393" s="71">
        <f t="shared" si="99"/>
        <v>250</v>
      </c>
      <c r="O393" s="71" t="s">
        <v>316</v>
      </c>
      <c r="P393" s="71">
        <v>200</v>
      </c>
      <c r="Q393" s="71"/>
      <c r="R393" s="71"/>
      <c r="S393" s="72" t="str">
        <f t="shared" si="125"/>
        <v>护臂图纸</v>
      </c>
      <c r="T393" s="71">
        <v>25</v>
      </c>
      <c r="U393" s="71" t="str">
        <f t="shared" si="87"/>
        <v/>
      </c>
      <c r="V393" s="71">
        <f t="shared" si="88"/>
        <v>0</v>
      </c>
      <c r="W393" s="71" t="s">
        <v>96</v>
      </c>
      <c r="X393" s="71">
        <f t="shared" si="103"/>
        <v>360</v>
      </c>
      <c r="Y393" s="71"/>
      <c r="Z393" s="71"/>
      <c r="AA393" s="71" t="str">
        <f t="shared" si="95"/>
        <v>基因罐</v>
      </c>
      <c r="AB393" s="71">
        <f t="shared" si="101"/>
        <v>30</v>
      </c>
      <c r="AC393" s="71" t="s">
        <v>374</v>
      </c>
      <c r="AD393" s="71">
        <v>150</v>
      </c>
      <c r="AE393" s="72" t="str">
        <f t="shared" si="90"/>
        <v>法师特饮</v>
      </c>
      <c r="AF393" s="71">
        <v>300</v>
      </c>
      <c r="AG393" s="71"/>
      <c r="AH393" s="71"/>
      <c r="AI393" s="71" t="s">
        <v>390</v>
      </c>
      <c r="AJ393" s="71">
        <v>1</v>
      </c>
      <c r="AK393" s="71" t="s">
        <v>96</v>
      </c>
      <c r="AL393" s="71">
        <f t="shared" si="104"/>
        <v>600</v>
      </c>
      <c r="AN393" s="23" t="str">
        <f ca="1" t="shared" si="91"/>
        <v>{11,5}</v>
      </c>
      <c r="AO393" s="23" t="str">
        <f ca="1" t="shared" si="123"/>
        <v/>
      </c>
      <c r="AP393" s="23" t="str">
        <f ca="1" t="shared" si="105"/>
        <v>{50003,15}</v>
      </c>
      <c r="AQ393" s="23" t="str">
        <f ca="1" t="shared" si="106"/>
        <v>{5143001,200}</v>
      </c>
      <c r="AR393" s="23" t="str">
        <f ca="1" t="shared" si="107"/>
        <v>{2,240}</v>
      </c>
      <c r="AS393" s="23" t="str">
        <f ca="1" t="shared" si="108"/>
        <v>{5113001,250}</v>
      </c>
      <c r="AT393" s="23" t="str">
        <f ca="1" t="shared" si="97"/>
        <v>{5523001,200}</v>
      </c>
      <c r="AU393" s="23" t="str">
        <f ca="1" t="shared" si="121"/>
        <v/>
      </c>
      <c r="AV393" s="23" t="str">
        <f ca="1" t="shared" si="109"/>
        <v>{50005,25}</v>
      </c>
      <c r="AW393" s="23" t="str">
        <f ca="1" t="shared" si="110"/>
        <v/>
      </c>
      <c r="AX393" s="23" t="str">
        <f ca="1" t="shared" si="111"/>
        <v>{2,360}</v>
      </c>
      <c r="AY393" s="23" t="str">
        <f ca="1" t="shared" si="112"/>
        <v>{5204001,5}</v>
      </c>
      <c r="AZ393" s="23" t="str">
        <f ca="1" t="shared" si="102"/>
        <v>{5203001,30}</v>
      </c>
      <c r="BA393" s="23" t="str">
        <f ca="1" t="shared" si="113"/>
        <v>{1,150}</v>
      </c>
      <c r="BB393" s="23" t="s">
        <v>401</v>
      </c>
      <c r="BC393" s="23" t="str">
        <f ca="1" t="shared" si="114"/>
        <v>{5123001,300}</v>
      </c>
      <c r="BD393" s="23" t="str">
        <f ca="1" t="shared" si="92"/>
        <v/>
      </c>
      <c r="BE393" s="23" t="str">
        <f ca="1" t="shared" si="98"/>
        <v>{50039,1}</v>
      </c>
      <c r="BF393" s="23" t="str">
        <f ca="1" t="shared" si="115"/>
        <v>{2,600}</v>
      </c>
      <c r="BI393" s="23" t="str">
        <f ca="1" t="shared" si="116"/>
        <v>[{11,5},{50003,15},{5143001,200},{2,240}]</v>
      </c>
      <c r="BJ393" s="23" t="str">
        <f ca="1" t="shared" si="117"/>
        <v>[{5113001,250},{5523001,200},{50005,25},{2,360},{5204001,5}]</v>
      </c>
      <c r="BK393" s="23" t="str">
        <f ca="1" t="shared" si="118"/>
        <v>[{5203001,30},{1,150},{5523001,300},{5123001,300},{50039,1},{2,600}]</v>
      </c>
      <c r="BL393" s="23">
        <f ca="1" t="shared" si="119"/>
        <v>4</v>
      </c>
      <c r="BM393" s="23">
        <f ca="1" t="shared" si="120"/>
        <v>5</v>
      </c>
      <c r="BN393" s="23">
        <f ca="1" t="shared" si="122"/>
        <v>6</v>
      </c>
      <c r="BP393" s="71" t="s">
        <v>374</v>
      </c>
      <c r="BQ393" s="71">
        <v>150</v>
      </c>
    </row>
    <row r="394" ht="16.5" spans="2:69">
      <c r="B394" s="23">
        <v>74</v>
      </c>
      <c r="C394" s="12"/>
      <c r="D394" s="71"/>
      <c r="E394" s="71"/>
      <c r="F394" s="71"/>
      <c r="G394" s="71" t="str">
        <f t="shared" si="124"/>
        <v>衣服图纸</v>
      </c>
      <c r="H394" s="71">
        <v>15</v>
      </c>
      <c r="I394" s="71" t="str">
        <f t="shared" si="89"/>
        <v>战士特饮</v>
      </c>
      <c r="J394" s="71">
        <v>200</v>
      </c>
      <c r="K394" s="71" t="s">
        <v>96</v>
      </c>
      <c r="L394" s="71">
        <v>240</v>
      </c>
      <c r="M394" s="71" t="str">
        <f t="shared" si="93"/>
        <v>法师特饮</v>
      </c>
      <c r="N394" s="71">
        <f t="shared" si="99"/>
        <v>250</v>
      </c>
      <c r="O394" s="71" t="s">
        <v>316</v>
      </c>
      <c r="P394" s="71">
        <v>200</v>
      </c>
      <c r="Q394" s="71"/>
      <c r="R394" s="71"/>
      <c r="S394" s="72" t="str">
        <f t="shared" si="125"/>
        <v>裤子图纸</v>
      </c>
      <c r="T394" s="71">
        <v>25</v>
      </c>
      <c r="U394" s="71" t="str">
        <f t="shared" ref="U394:U457" si="126">IF(U389="","",U389)</f>
        <v/>
      </c>
      <c r="V394" s="71">
        <f t="shared" ref="V394:V457" si="127">IF(V389="","",V389)</f>
        <v>0</v>
      </c>
      <c r="W394" s="71" t="s">
        <v>96</v>
      </c>
      <c r="X394" s="71">
        <f t="shared" si="103"/>
        <v>360</v>
      </c>
      <c r="Y394" s="71"/>
      <c r="Z394" s="71"/>
      <c r="AA394" s="71" t="str">
        <f t="shared" si="95"/>
        <v>基因罐</v>
      </c>
      <c r="AB394" s="71">
        <f t="shared" si="101"/>
        <v>30</v>
      </c>
      <c r="AC394" s="71" t="s">
        <v>374</v>
      </c>
      <c r="AD394" s="71">
        <v>150</v>
      </c>
      <c r="AE394" s="72" t="str">
        <f t="shared" si="90"/>
        <v>辅助特饮</v>
      </c>
      <c r="AF394" s="71">
        <v>300</v>
      </c>
      <c r="AG394" s="71"/>
      <c r="AH394" s="71"/>
      <c r="AI394" s="71" t="s">
        <v>390</v>
      </c>
      <c r="AJ394" s="71">
        <v>1</v>
      </c>
      <c r="AK394" s="71" t="s">
        <v>96</v>
      </c>
      <c r="AL394" s="71">
        <f t="shared" si="104"/>
        <v>600</v>
      </c>
      <c r="AN394" s="23" t="str">
        <f ca="1" t="shared" ref="AN394:AN457" si="128">IF(OFFSET($B394,0,AN$320*2+1)="","","{"&amp;VLOOKUP(OFFSET($B394,0,AN$320*2+1),$AN$291:$AO$316,2,0)&amp;","&amp;OFFSET($B394,0,AN$320*2+2)&amp;"}")</f>
        <v>{11,5}</v>
      </c>
      <c r="AO394" s="23" t="str">
        <f ca="1" t="shared" si="123"/>
        <v/>
      </c>
      <c r="AP394" s="23" t="str">
        <f ca="1" t="shared" si="105"/>
        <v>{50004,15}</v>
      </c>
      <c r="AQ394" s="23" t="str">
        <f ca="1" t="shared" si="106"/>
        <v>{5113001,200}</v>
      </c>
      <c r="AR394" s="23" t="str">
        <f ca="1" t="shared" si="107"/>
        <v>{2,240}</v>
      </c>
      <c r="AS394" s="23" t="str">
        <f ca="1" t="shared" si="108"/>
        <v>{5123001,250}</v>
      </c>
      <c r="AT394" s="23" t="str">
        <f ca="1" t="shared" si="97"/>
        <v>{5523001,200}</v>
      </c>
      <c r="AU394" s="23" t="str">
        <f ca="1" t="shared" si="121"/>
        <v/>
      </c>
      <c r="AV394" s="23" t="str">
        <f ca="1" t="shared" si="109"/>
        <v>{50006,25}</v>
      </c>
      <c r="AW394" s="23" t="str">
        <f ca="1" t="shared" si="110"/>
        <v/>
      </c>
      <c r="AX394" s="23" t="str">
        <f ca="1" t="shared" si="111"/>
        <v>{2,360}</v>
      </c>
      <c r="AY394" s="23" t="str">
        <f ca="1" t="shared" si="112"/>
        <v>{5204001,5}</v>
      </c>
      <c r="AZ394" s="23" t="str">
        <f ca="1" t="shared" si="102"/>
        <v>{5203001,30}</v>
      </c>
      <c r="BA394" s="23" t="str">
        <f ca="1" t="shared" si="113"/>
        <v>{1,150}</v>
      </c>
      <c r="BB394" s="23" t="s">
        <v>401</v>
      </c>
      <c r="BC394" s="23" t="str">
        <f ca="1" t="shared" si="114"/>
        <v>{5143001,300}</v>
      </c>
      <c r="BD394" s="23" t="str">
        <f ca="1" t="shared" si="92"/>
        <v/>
      </c>
      <c r="BE394" s="23" t="str">
        <f ca="1" t="shared" si="98"/>
        <v>{50039,1}</v>
      </c>
      <c r="BF394" s="23" t="str">
        <f ca="1" t="shared" si="115"/>
        <v>{2,600}</v>
      </c>
      <c r="BI394" s="23" t="str">
        <f ca="1" t="shared" si="116"/>
        <v>[{11,5},{50004,15},{5113001,200},{2,240}]</v>
      </c>
      <c r="BJ394" s="23" t="str">
        <f ca="1" t="shared" si="117"/>
        <v>[{5123001,250},{5523001,200},{50006,25},{2,360},{5204001,5}]</v>
      </c>
      <c r="BK394" s="23" t="str">
        <f ca="1" t="shared" si="118"/>
        <v>[{5203001,30},{1,150},{5523001,300},{5143001,300},{50039,1},{2,600}]</v>
      </c>
      <c r="BL394" s="23">
        <f ca="1" t="shared" si="119"/>
        <v>4</v>
      </c>
      <c r="BM394" s="23">
        <f ca="1" t="shared" si="120"/>
        <v>5</v>
      </c>
      <c r="BN394" s="23">
        <f ca="1" t="shared" si="122"/>
        <v>6</v>
      </c>
      <c r="BP394" s="71" t="s">
        <v>374</v>
      </c>
      <c r="BQ394" s="71">
        <v>150</v>
      </c>
    </row>
    <row r="395" ht="16.5" spans="2:69">
      <c r="B395" s="23">
        <v>75</v>
      </c>
      <c r="C395" s="12" t="s">
        <v>240</v>
      </c>
      <c r="D395" s="71">
        <v>1</v>
      </c>
      <c r="E395" s="71"/>
      <c r="F395" s="71"/>
      <c r="G395" s="71" t="str">
        <f t="shared" si="124"/>
        <v>护臂图纸</v>
      </c>
      <c r="H395" s="71">
        <v>15</v>
      </c>
      <c r="I395" s="71" t="str">
        <f t="shared" ref="I395:I458" si="129">I389</f>
        <v>毒系特饮</v>
      </c>
      <c r="J395" s="71">
        <v>200</v>
      </c>
      <c r="K395" s="71" t="s">
        <v>96</v>
      </c>
      <c r="L395" s="71">
        <v>240</v>
      </c>
      <c r="M395" s="71" t="str">
        <f t="shared" si="93"/>
        <v>辅助特饮</v>
      </c>
      <c r="N395" s="71">
        <f t="shared" si="99"/>
        <v>250</v>
      </c>
      <c r="O395" s="71" t="s">
        <v>316</v>
      </c>
      <c r="P395" s="71">
        <v>200</v>
      </c>
      <c r="Q395" s="71"/>
      <c r="R395" s="71"/>
      <c r="S395" s="72" t="str">
        <f t="shared" si="125"/>
        <v>鞋子图纸</v>
      </c>
      <c r="T395" s="71">
        <v>25</v>
      </c>
      <c r="U395" s="71" t="str">
        <f t="shared" si="126"/>
        <v>灵感获取令</v>
      </c>
      <c r="V395" s="71">
        <f t="shared" si="127"/>
        <v>1</v>
      </c>
      <c r="W395" s="71" t="s">
        <v>96</v>
      </c>
      <c r="X395" s="71">
        <f t="shared" si="103"/>
        <v>360</v>
      </c>
      <c r="Y395" s="71"/>
      <c r="Z395" s="71"/>
      <c r="AA395" s="71" t="str">
        <f t="shared" si="95"/>
        <v>传说基因罐</v>
      </c>
      <c r="AB395" s="71">
        <f t="shared" si="101"/>
        <v>3</v>
      </c>
      <c r="AC395" s="71" t="s">
        <v>374</v>
      </c>
      <c r="AD395" s="71">
        <v>150</v>
      </c>
      <c r="AE395" s="72" t="str">
        <f t="shared" ref="AE395:AE458" si="130">AE389</f>
        <v>毒系特饮</v>
      </c>
      <c r="AF395" s="71">
        <v>300</v>
      </c>
      <c r="AG395" s="71"/>
      <c r="AH395" s="71"/>
      <c r="AI395" s="71" t="s">
        <v>390</v>
      </c>
      <c r="AJ395" s="71">
        <v>1</v>
      </c>
      <c r="AK395" s="71" t="s">
        <v>96</v>
      </c>
      <c r="AL395" s="71">
        <f t="shared" si="104"/>
        <v>600</v>
      </c>
      <c r="AN395" s="23" t="str">
        <f ca="1" t="shared" si="128"/>
        <v>{35,1}</v>
      </c>
      <c r="AO395" s="23" t="str">
        <f ca="1" t="shared" si="123"/>
        <v/>
      </c>
      <c r="AP395" s="23" t="str">
        <f ca="1" t="shared" si="105"/>
        <v>{50005,15}</v>
      </c>
      <c r="AQ395" s="23" t="str">
        <f ca="1" t="shared" si="106"/>
        <v>{5163001,200}</v>
      </c>
      <c r="AR395" s="23" t="str">
        <f ca="1" t="shared" si="107"/>
        <v>{2,240}</v>
      </c>
      <c r="AS395" s="23" t="str">
        <f ca="1" t="shared" si="108"/>
        <v>{5143001,250}</v>
      </c>
      <c r="AT395" s="23" t="str">
        <f ca="1" t="shared" si="97"/>
        <v>{5523001,200}</v>
      </c>
      <c r="AU395" s="23" t="str">
        <f ca="1" t="shared" si="121"/>
        <v/>
      </c>
      <c r="AV395" s="23" t="str">
        <f ca="1" t="shared" si="109"/>
        <v>{50007,25}</v>
      </c>
      <c r="AW395" s="23" t="str">
        <f ca="1" t="shared" si="110"/>
        <v>{9,1}</v>
      </c>
      <c r="AX395" s="23" t="str">
        <f ca="1" t="shared" si="111"/>
        <v>{2,360}</v>
      </c>
      <c r="AY395" s="23" t="str">
        <f ca="1" t="shared" si="112"/>
        <v>{5204001,5}</v>
      </c>
      <c r="AZ395" s="23" t="str">
        <f ca="1" t="shared" si="102"/>
        <v>{5205001,3}</v>
      </c>
      <c r="BA395" s="23" t="str">
        <f ca="1" t="shared" si="113"/>
        <v>{1,150}</v>
      </c>
      <c r="BB395" s="23" t="s">
        <v>401</v>
      </c>
      <c r="BC395" s="23" t="str">
        <f ca="1" t="shared" si="114"/>
        <v>{5163001,300}</v>
      </c>
      <c r="BD395" s="23" t="str">
        <f ca="1" t="shared" ref="BD395:BD458" si="131">IF(OFFSET($B395,0,BD$320*2+1)="","","{"&amp;VLOOKUP(OFFSET($B395,0,BD$320*2+1),$AN$291:$AO$314,2,0)&amp;","&amp;OFFSET($B395,0,BD$320*2+2)&amp;"}")</f>
        <v/>
      </c>
      <c r="BE395" s="23" t="str">
        <f ca="1" t="shared" si="98"/>
        <v>{50039,1}</v>
      </c>
      <c r="BF395" s="23" t="str">
        <f ca="1" t="shared" si="115"/>
        <v>{2,600}</v>
      </c>
      <c r="BI395" s="23" t="str">
        <f ca="1" t="shared" si="116"/>
        <v>[{35,1},{50005,15},{5163001,200},{2,240}]</v>
      </c>
      <c r="BJ395" s="23" t="str">
        <f ca="1" t="shared" si="117"/>
        <v>[{5143001,250},{5523001,200},{50007,25},{9,1},{2,360},{5204001,5}]</v>
      </c>
      <c r="BK395" s="23" t="str">
        <f ca="1" t="shared" si="118"/>
        <v>[{5205001,3},{1,150},{5523001,300},{5163001,300},{50039,1},{2,600}]</v>
      </c>
      <c r="BL395" s="23">
        <f ca="1" t="shared" si="119"/>
        <v>4</v>
      </c>
      <c r="BM395" s="23">
        <f ca="1" t="shared" si="120"/>
        <v>6</v>
      </c>
      <c r="BN395" s="23">
        <f ca="1" t="shared" si="122"/>
        <v>6</v>
      </c>
      <c r="BP395" s="71" t="s">
        <v>374</v>
      </c>
      <c r="BQ395" s="71">
        <v>150</v>
      </c>
    </row>
    <row r="396" ht="16.5" spans="2:69">
      <c r="B396" s="23">
        <v>76</v>
      </c>
      <c r="C396" s="12"/>
      <c r="D396" s="71"/>
      <c r="E396" s="71"/>
      <c r="F396" s="71"/>
      <c r="G396" s="71" t="str">
        <f t="shared" si="124"/>
        <v>裤子图纸</v>
      </c>
      <c r="H396" s="71">
        <v>15</v>
      </c>
      <c r="I396" s="71" t="str">
        <f t="shared" si="129"/>
        <v>控制特饮</v>
      </c>
      <c r="J396" s="71">
        <v>200</v>
      </c>
      <c r="K396" s="71" t="s">
        <v>96</v>
      </c>
      <c r="L396" s="71">
        <v>240</v>
      </c>
      <c r="M396" s="71" t="str">
        <f t="shared" si="93"/>
        <v>射手特饮</v>
      </c>
      <c r="N396" s="71">
        <f t="shared" si="99"/>
        <v>250</v>
      </c>
      <c r="O396" s="71" t="s">
        <v>316</v>
      </c>
      <c r="P396" s="71">
        <v>200</v>
      </c>
      <c r="Q396" s="71"/>
      <c r="R396" s="71"/>
      <c r="S396" s="72" t="str">
        <f t="shared" si="125"/>
        <v>手套图纸</v>
      </c>
      <c r="T396" s="71">
        <v>25</v>
      </c>
      <c r="U396" s="71" t="str">
        <f t="shared" si="126"/>
        <v/>
      </c>
      <c r="V396" s="71">
        <f t="shared" si="127"/>
        <v>0</v>
      </c>
      <c r="W396" s="71" t="s">
        <v>96</v>
      </c>
      <c r="X396" s="71">
        <f t="shared" si="103"/>
        <v>360</v>
      </c>
      <c r="Y396" s="71"/>
      <c r="Z396" s="71"/>
      <c r="AA396" s="71" t="str">
        <f t="shared" si="95"/>
        <v>基因罐</v>
      </c>
      <c r="AB396" s="71">
        <f t="shared" si="101"/>
        <v>30</v>
      </c>
      <c r="AC396" s="71" t="s">
        <v>374</v>
      </c>
      <c r="AD396" s="71">
        <v>150</v>
      </c>
      <c r="AE396" s="72" t="str">
        <f t="shared" si="130"/>
        <v>控制特饮</v>
      </c>
      <c r="AF396" s="71">
        <v>300</v>
      </c>
      <c r="AG396" s="71"/>
      <c r="AH396" s="71"/>
      <c r="AI396" s="71" t="s">
        <v>390</v>
      </c>
      <c r="AJ396" s="71">
        <v>1</v>
      </c>
      <c r="AK396" s="71" t="s">
        <v>96</v>
      </c>
      <c r="AL396" s="71">
        <f t="shared" si="104"/>
        <v>600</v>
      </c>
      <c r="AN396" s="23" t="str">
        <f ca="1" t="shared" si="128"/>
        <v>{11,5}</v>
      </c>
      <c r="AO396" s="23" t="str">
        <f ca="1" t="shared" si="123"/>
        <v/>
      </c>
      <c r="AP396" s="23" t="str">
        <f ca="1" t="shared" si="105"/>
        <v>{50006,15}</v>
      </c>
      <c r="AQ396" s="23" t="str">
        <f ca="1" t="shared" si="106"/>
        <v>{5153001,200}</v>
      </c>
      <c r="AR396" s="23" t="str">
        <f ca="1" t="shared" si="107"/>
        <v>{2,240}</v>
      </c>
      <c r="AS396" s="23" t="str">
        <f ca="1" t="shared" si="108"/>
        <v>{5133001,250}</v>
      </c>
      <c r="AT396" s="23" t="str">
        <f ca="1" t="shared" si="97"/>
        <v>{5523001,200}</v>
      </c>
      <c r="AU396" s="23" t="str">
        <f ca="1" t="shared" si="121"/>
        <v/>
      </c>
      <c r="AV396" s="23" t="str">
        <f ca="1" t="shared" si="109"/>
        <v>{50008,25}</v>
      </c>
      <c r="AW396" s="23" t="str">
        <f ca="1" t="shared" si="110"/>
        <v/>
      </c>
      <c r="AX396" s="23" t="str">
        <f ca="1" t="shared" si="111"/>
        <v>{2,360}</v>
      </c>
      <c r="AY396" s="23" t="str">
        <f ca="1" t="shared" si="112"/>
        <v>{5204001,5}</v>
      </c>
      <c r="AZ396" s="23" t="str">
        <f ca="1" t="shared" si="102"/>
        <v>{5203001,30}</v>
      </c>
      <c r="BA396" s="23" t="str">
        <f ca="1" t="shared" si="113"/>
        <v>{1,150}</v>
      </c>
      <c r="BB396" s="23" t="s">
        <v>401</v>
      </c>
      <c r="BC396" s="23" t="str">
        <f ca="1" t="shared" si="114"/>
        <v>{5153001,300}</v>
      </c>
      <c r="BD396" s="23" t="str">
        <f ca="1" t="shared" si="131"/>
        <v/>
      </c>
      <c r="BE396" s="23" t="str">
        <f ca="1" t="shared" si="98"/>
        <v>{50039,1}</v>
      </c>
      <c r="BF396" s="23" t="str">
        <f ca="1" t="shared" si="115"/>
        <v>{2,600}</v>
      </c>
      <c r="BI396" s="23" t="str">
        <f ca="1" t="shared" si="116"/>
        <v>[{11,5},{50006,15},{5153001,200},{2,240}]</v>
      </c>
      <c r="BJ396" s="23" t="str">
        <f ca="1" t="shared" si="117"/>
        <v>[{5133001,250},{5523001,200},{50008,25},{2,360},{5204001,5}]</v>
      </c>
      <c r="BK396" s="23" t="str">
        <f ca="1" t="shared" si="118"/>
        <v>[{5203001,30},{1,150},{5523001,300},{5153001,300},{50039,1},{2,600}]</v>
      </c>
      <c r="BL396" s="23">
        <f ca="1" t="shared" si="119"/>
        <v>4</v>
      </c>
      <c r="BM396" s="23">
        <f ca="1" t="shared" si="120"/>
        <v>5</v>
      </c>
      <c r="BN396" s="23">
        <f ca="1" t="shared" si="122"/>
        <v>6</v>
      </c>
      <c r="BP396" s="71" t="s">
        <v>374</v>
      </c>
      <c r="BQ396" s="71">
        <v>150</v>
      </c>
    </row>
    <row r="397" ht="16.5" spans="2:69">
      <c r="B397" s="23">
        <v>77</v>
      </c>
      <c r="C397" s="12"/>
      <c r="D397" s="71"/>
      <c r="E397" s="71"/>
      <c r="F397" s="71"/>
      <c r="G397" s="71" t="str">
        <f t="shared" si="124"/>
        <v>鞋子图纸</v>
      </c>
      <c r="H397" s="71">
        <v>15</v>
      </c>
      <c r="I397" s="71" t="str">
        <f t="shared" si="129"/>
        <v>射手特饮</v>
      </c>
      <c r="J397" s="71">
        <v>200</v>
      </c>
      <c r="K397" s="71" t="s">
        <v>96</v>
      </c>
      <c r="L397" s="71">
        <v>240</v>
      </c>
      <c r="M397" s="71" t="str">
        <f t="shared" ref="M397:M460" si="132">M391</f>
        <v>毒系特饮</v>
      </c>
      <c r="N397" s="71">
        <f t="shared" si="99"/>
        <v>250</v>
      </c>
      <c r="O397" s="71" t="s">
        <v>316</v>
      </c>
      <c r="P397" s="71">
        <v>200</v>
      </c>
      <c r="Q397" s="71"/>
      <c r="R397" s="71"/>
      <c r="S397" s="72" t="str">
        <f t="shared" si="125"/>
        <v>头盔图纸</v>
      </c>
      <c r="T397" s="71">
        <v>25</v>
      </c>
      <c r="U397" s="71" t="str">
        <f t="shared" si="126"/>
        <v/>
      </c>
      <c r="V397" s="71">
        <f t="shared" si="127"/>
        <v>0</v>
      </c>
      <c r="W397" s="71" t="s">
        <v>96</v>
      </c>
      <c r="X397" s="71">
        <f t="shared" si="103"/>
        <v>360</v>
      </c>
      <c r="Y397" s="71"/>
      <c r="Z397" s="71"/>
      <c r="AA397" s="71" t="str">
        <f t="shared" si="95"/>
        <v>基因罐</v>
      </c>
      <c r="AB397" s="71">
        <f t="shared" si="101"/>
        <v>30</v>
      </c>
      <c r="AC397" s="71" t="s">
        <v>374</v>
      </c>
      <c r="AD397" s="71">
        <v>150</v>
      </c>
      <c r="AE397" s="72" t="str">
        <f t="shared" si="130"/>
        <v>射手特饮</v>
      </c>
      <c r="AF397" s="71">
        <v>300</v>
      </c>
      <c r="AG397" s="71"/>
      <c r="AH397" s="71"/>
      <c r="AI397" s="71" t="s">
        <v>390</v>
      </c>
      <c r="AJ397" s="71">
        <v>1</v>
      </c>
      <c r="AK397" s="71" t="s">
        <v>96</v>
      </c>
      <c r="AL397" s="71">
        <f t="shared" si="104"/>
        <v>600</v>
      </c>
      <c r="AN397" s="23" t="str">
        <f ca="1" t="shared" si="128"/>
        <v>{11,5}</v>
      </c>
      <c r="AO397" s="23" t="str">
        <f ca="1" t="shared" si="123"/>
        <v/>
      </c>
      <c r="AP397" s="23" t="str">
        <f ca="1" t="shared" si="105"/>
        <v>{50007,15}</v>
      </c>
      <c r="AQ397" s="23" t="str">
        <f ca="1" t="shared" si="106"/>
        <v>{5133001,200}</v>
      </c>
      <c r="AR397" s="23" t="str">
        <f ca="1" t="shared" si="107"/>
        <v>{2,240}</v>
      </c>
      <c r="AS397" s="23" t="str">
        <f ca="1" t="shared" si="108"/>
        <v>{5163001,250}</v>
      </c>
      <c r="AT397" s="23" t="str">
        <f ca="1" t="shared" si="97"/>
        <v>{5523001,200}</v>
      </c>
      <c r="AU397" s="23" t="str">
        <f ca="1" t="shared" si="121"/>
        <v/>
      </c>
      <c r="AV397" s="23" t="str">
        <f ca="1" t="shared" si="109"/>
        <v>{50003,25}</v>
      </c>
      <c r="AW397" s="23" t="str">
        <f ca="1" t="shared" si="110"/>
        <v/>
      </c>
      <c r="AX397" s="23" t="str">
        <f ca="1" t="shared" si="111"/>
        <v>{2,360}</v>
      </c>
      <c r="AY397" s="23" t="str">
        <f ca="1" t="shared" si="112"/>
        <v>{5204001,5}</v>
      </c>
      <c r="AZ397" s="23" t="str">
        <f ca="1" t="shared" si="102"/>
        <v>{5203001,30}</v>
      </c>
      <c r="BA397" s="23" t="str">
        <f ca="1" t="shared" si="113"/>
        <v>{1,150}</v>
      </c>
      <c r="BB397" s="23" t="s">
        <v>401</v>
      </c>
      <c r="BC397" s="23" t="str">
        <f ca="1" t="shared" si="114"/>
        <v>{5133001,300}</v>
      </c>
      <c r="BD397" s="23" t="str">
        <f ca="1" t="shared" si="131"/>
        <v/>
      </c>
      <c r="BE397" s="23" t="str">
        <f ca="1" t="shared" si="98"/>
        <v>{50039,1}</v>
      </c>
      <c r="BF397" s="23" t="str">
        <f ca="1" t="shared" si="115"/>
        <v>{2,600}</v>
      </c>
      <c r="BI397" s="23" t="str">
        <f ca="1" t="shared" si="116"/>
        <v>[{11,5},{50007,15},{5133001,200},{2,240}]</v>
      </c>
      <c r="BJ397" s="23" t="str">
        <f ca="1" t="shared" si="117"/>
        <v>[{5163001,250},{5523001,200},{50003,25},{2,360},{5204001,5}]</v>
      </c>
      <c r="BK397" s="23" t="str">
        <f ca="1" t="shared" si="118"/>
        <v>[{5203001,30},{1,150},{5523001,300},{5133001,300},{50039,1},{2,600}]</v>
      </c>
      <c r="BL397" s="23">
        <f ca="1" t="shared" si="119"/>
        <v>4</v>
      </c>
      <c r="BM397" s="23">
        <f ca="1" t="shared" si="120"/>
        <v>5</v>
      </c>
      <c r="BN397" s="23">
        <f ca="1" t="shared" si="122"/>
        <v>6</v>
      </c>
      <c r="BP397" s="71" t="s">
        <v>374</v>
      </c>
      <c r="BQ397" s="71">
        <v>150</v>
      </c>
    </row>
    <row r="398" ht="16.5" spans="2:69">
      <c r="B398" s="23">
        <v>78</v>
      </c>
      <c r="C398" s="12"/>
      <c r="D398" s="71"/>
      <c r="E398" s="71"/>
      <c r="F398" s="71"/>
      <c r="G398" s="71" t="str">
        <f t="shared" si="124"/>
        <v>手套图纸</v>
      </c>
      <c r="H398" s="71">
        <v>15</v>
      </c>
      <c r="I398" s="71" t="str">
        <f t="shared" si="129"/>
        <v>法师特饮</v>
      </c>
      <c r="J398" s="71">
        <v>200</v>
      </c>
      <c r="K398" s="71" t="s">
        <v>96</v>
      </c>
      <c r="L398" s="71">
        <v>240</v>
      </c>
      <c r="M398" s="71" t="str">
        <f t="shared" si="132"/>
        <v>控制特饮</v>
      </c>
      <c r="N398" s="71">
        <f t="shared" si="99"/>
        <v>250</v>
      </c>
      <c r="O398" s="71" t="s">
        <v>316</v>
      </c>
      <c r="P398" s="71">
        <v>200</v>
      </c>
      <c r="Q398" s="71"/>
      <c r="R398" s="71"/>
      <c r="S398" s="72" t="str">
        <f t="shared" si="125"/>
        <v>衣服图纸</v>
      </c>
      <c r="T398" s="71">
        <v>25</v>
      </c>
      <c r="U398" s="71" t="str">
        <f t="shared" si="126"/>
        <v/>
      </c>
      <c r="V398" s="71">
        <f t="shared" si="127"/>
        <v>0</v>
      </c>
      <c r="W398" s="71" t="s">
        <v>96</v>
      </c>
      <c r="X398" s="71">
        <f t="shared" si="103"/>
        <v>360</v>
      </c>
      <c r="Y398" s="71"/>
      <c r="Z398" s="71"/>
      <c r="AA398" s="71" t="str">
        <f t="shared" si="95"/>
        <v>基因罐</v>
      </c>
      <c r="AB398" s="71">
        <f t="shared" si="101"/>
        <v>30</v>
      </c>
      <c r="AC398" s="71" t="s">
        <v>374</v>
      </c>
      <c r="AD398" s="71">
        <v>150</v>
      </c>
      <c r="AE398" s="72" t="str">
        <f t="shared" si="130"/>
        <v>战士特饮</v>
      </c>
      <c r="AF398" s="71">
        <v>300</v>
      </c>
      <c r="AG398" s="71"/>
      <c r="AH398" s="71"/>
      <c r="AI398" s="71" t="s">
        <v>390</v>
      </c>
      <c r="AJ398" s="71">
        <v>1</v>
      </c>
      <c r="AK398" s="71" t="s">
        <v>96</v>
      </c>
      <c r="AL398" s="71">
        <f t="shared" si="104"/>
        <v>600</v>
      </c>
      <c r="AN398" s="23" t="str">
        <f ca="1" t="shared" si="128"/>
        <v>{11,5}</v>
      </c>
      <c r="AO398" s="23" t="str">
        <f ca="1" t="shared" si="123"/>
        <v/>
      </c>
      <c r="AP398" s="23" t="str">
        <f ca="1" t="shared" si="105"/>
        <v>{50008,15}</v>
      </c>
      <c r="AQ398" s="23" t="str">
        <f ca="1" t="shared" si="106"/>
        <v>{5123001,200}</v>
      </c>
      <c r="AR398" s="23" t="str">
        <f ca="1" t="shared" si="107"/>
        <v>{2,240}</v>
      </c>
      <c r="AS398" s="23" t="str">
        <f ca="1" t="shared" si="108"/>
        <v>{5153001,250}</v>
      </c>
      <c r="AT398" s="23" t="str">
        <f ca="1" t="shared" si="97"/>
        <v>{5523001,200}</v>
      </c>
      <c r="AU398" s="23" t="str">
        <f ca="1" t="shared" si="121"/>
        <v/>
      </c>
      <c r="AV398" s="23" t="str">
        <f ca="1" t="shared" si="109"/>
        <v>{50004,25}</v>
      </c>
      <c r="AW398" s="23" t="str">
        <f ca="1" t="shared" si="110"/>
        <v/>
      </c>
      <c r="AX398" s="23" t="str">
        <f ca="1" t="shared" si="111"/>
        <v>{2,360}</v>
      </c>
      <c r="AY398" s="23" t="str">
        <f ca="1" t="shared" si="112"/>
        <v>{5204001,5}</v>
      </c>
      <c r="AZ398" s="23" t="str">
        <f ca="1" t="shared" si="102"/>
        <v>{5203001,30}</v>
      </c>
      <c r="BA398" s="23" t="str">
        <f ca="1" t="shared" si="113"/>
        <v>{1,150}</v>
      </c>
      <c r="BB398" s="23" t="s">
        <v>401</v>
      </c>
      <c r="BC398" s="23" t="str">
        <f ca="1" t="shared" si="114"/>
        <v>{5113001,300}</v>
      </c>
      <c r="BD398" s="23" t="str">
        <f ca="1" t="shared" si="131"/>
        <v/>
      </c>
      <c r="BE398" s="23" t="str">
        <f ca="1" t="shared" si="98"/>
        <v>{50039,1}</v>
      </c>
      <c r="BF398" s="23" t="str">
        <f ca="1" t="shared" si="115"/>
        <v>{2,600}</v>
      </c>
      <c r="BI398" s="23" t="str">
        <f ca="1" t="shared" si="116"/>
        <v>[{11,5},{50008,15},{5123001,200},{2,240}]</v>
      </c>
      <c r="BJ398" s="23" t="str">
        <f ca="1" t="shared" si="117"/>
        <v>[{5153001,250},{5523001,200},{50004,25},{2,360},{5204001,5}]</v>
      </c>
      <c r="BK398" s="23" t="str">
        <f ca="1" t="shared" si="118"/>
        <v>[{5203001,30},{1,150},{5523001,300},{5113001,300},{50039,1},{2,600}]</v>
      </c>
      <c r="BL398" s="23">
        <f ca="1" t="shared" si="119"/>
        <v>4</v>
      </c>
      <c r="BM398" s="23">
        <f ca="1" t="shared" si="120"/>
        <v>5</v>
      </c>
      <c r="BN398" s="23">
        <f ca="1" t="shared" si="122"/>
        <v>6</v>
      </c>
      <c r="BP398" s="71" t="s">
        <v>374</v>
      </c>
      <c r="BQ398" s="71">
        <v>150</v>
      </c>
    </row>
    <row r="399" ht="16.5" spans="2:69">
      <c r="B399" s="23">
        <v>79</v>
      </c>
      <c r="C399" s="12"/>
      <c r="D399" s="71"/>
      <c r="E399" s="71"/>
      <c r="F399" s="71"/>
      <c r="G399" s="71" t="str">
        <f t="shared" si="124"/>
        <v>头盔图纸</v>
      </c>
      <c r="H399" s="71">
        <v>15</v>
      </c>
      <c r="I399" s="71" t="str">
        <f t="shared" si="129"/>
        <v>辅助特饮</v>
      </c>
      <c r="J399" s="71">
        <v>200</v>
      </c>
      <c r="K399" s="71" t="s">
        <v>96</v>
      </c>
      <c r="L399" s="71">
        <v>240</v>
      </c>
      <c r="M399" s="71" t="str">
        <f t="shared" si="132"/>
        <v>战士特饮</v>
      </c>
      <c r="N399" s="71">
        <f t="shared" si="99"/>
        <v>250</v>
      </c>
      <c r="O399" s="71" t="s">
        <v>316</v>
      </c>
      <c r="P399" s="71">
        <v>200</v>
      </c>
      <c r="Q399" s="71"/>
      <c r="R399" s="71"/>
      <c r="S399" s="72" t="str">
        <f t="shared" si="125"/>
        <v>护臂图纸</v>
      </c>
      <c r="T399" s="71">
        <v>25</v>
      </c>
      <c r="U399" s="71" t="str">
        <f t="shared" si="126"/>
        <v/>
      </c>
      <c r="V399" s="71">
        <f t="shared" si="127"/>
        <v>0</v>
      </c>
      <c r="W399" s="71" t="s">
        <v>96</v>
      </c>
      <c r="X399" s="71">
        <f t="shared" si="103"/>
        <v>360</v>
      </c>
      <c r="Y399" s="71"/>
      <c r="Z399" s="71"/>
      <c r="AA399" s="71" t="str">
        <f t="shared" ref="AA399:AA462" si="133">IF(AA394="","",AA394)</f>
        <v>基因罐</v>
      </c>
      <c r="AB399" s="71">
        <f t="shared" si="101"/>
        <v>30</v>
      </c>
      <c r="AC399" s="71" t="s">
        <v>374</v>
      </c>
      <c r="AD399" s="71">
        <v>150</v>
      </c>
      <c r="AE399" s="72" t="str">
        <f t="shared" si="130"/>
        <v>法师特饮</v>
      </c>
      <c r="AF399" s="71">
        <v>300</v>
      </c>
      <c r="AG399" s="71"/>
      <c r="AH399" s="71"/>
      <c r="AI399" s="71" t="s">
        <v>390</v>
      </c>
      <c r="AJ399" s="71">
        <v>1</v>
      </c>
      <c r="AK399" s="71" t="s">
        <v>96</v>
      </c>
      <c r="AL399" s="71">
        <f t="shared" si="104"/>
        <v>600</v>
      </c>
      <c r="AN399" s="23" t="str">
        <f ca="1" t="shared" si="128"/>
        <v>{11,5}</v>
      </c>
      <c r="AO399" s="23" t="str">
        <f ca="1" t="shared" si="123"/>
        <v/>
      </c>
      <c r="AP399" s="23" t="str">
        <f ca="1" t="shared" si="105"/>
        <v>{50003,15}</v>
      </c>
      <c r="AQ399" s="23" t="str">
        <f ca="1" t="shared" si="106"/>
        <v>{5143001,200}</v>
      </c>
      <c r="AR399" s="23" t="str">
        <f ca="1" t="shared" si="107"/>
        <v>{2,240}</v>
      </c>
      <c r="AS399" s="23" t="str">
        <f ca="1" t="shared" si="108"/>
        <v>{5113001,250}</v>
      </c>
      <c r="AT399" s="23" t="str">
        <f ca="1" t="shared" ref="AT399:AT462" si="134">IF(OFFSET($B399,0,AT$320*2+1)="","","{"&amp;VLOOKUP(OFFSET($B399,0,AT$320*2+1),$AN$291:$AO$317,2,0)&amp;","&amp;OFFSET($B399,0,AT$320*2+2)&amp;"}")</f>
        <v>{5523001,200}</v>
      </c>
      <c r="AU399" s="23" t="str">
        <f ca="1" t="shared" si="121"/>
        <v/>
      </c>
      <c r="AV399" s="23" t="str">
        <f ca="1" t="shared" si="109"/>
        <v>{50005,25}</v>
      </c>
      <c r="AW399" s="23" t="str">
        <f ca="1" t="shared" si="110"/>
        <v/>
      </c>
      <c r="AX399" s="23" t="str">
        <f ca="1" t="shared" si="111"/>
        <v>{2,360}</v>
      </c>
      <c r="AY399" s="23" t="str">
        <f ca="1" t="shared" si="112"/>
        <v>{5204001,5}</v>
      </c>
      <c r="AZ399" s="23" t="str">
        <f ca="1" t="shared" si="102"/>
        <v>{5203001,30}</v>
      </c>
      <c r="BA399" s="23" t="str">
        <f ca="1" t="shared" si="113"/>
        <v>{1,150}</v>
      </c>
      <c r="BB399" s="23" t="s">
        <v>401</v>
      </c>
      <c r="BC399" s="23" t="str">
        <f ca="1" t="shared" si="114"/>
        <v>{5123001,300}</v>
      </c>
      <c r="BD399" s="23" t="str">
        <f ca="1" t="shared" si="131"/>
        <v/>
      </c>
      <c r="BE399" s="23" t="str">
        <f ca="1" t="shared" si="98"/>
        <v>{50039,1}</v>
      </c>
      <c r="BF399" s="23" t="str">
        <f ca="1" t="shared" si="115"/>
        <v>{2,600}</v>
      </c>
      <c r="BI399" s="23" t="str">
        <f ca="1" t="shared" si="116"/>
        <v>[{11,5},{50003,15},{5143001,200},{2,240}]</v>
      </c>
      <c r="BJ399" s="23" t="str">
        <f ca="1" t="shared" si="117"/>
        <v>[{5113001,250},{5523001,200},{50005,25},{2,360},{5204001,5}]</v>
      </c>
      <c r="BK399" s="23" t="str">
        <f ca="1" t="shared" si="118"/>
        <v>[{5203001,30},{1,150},{5523001,300},{5123001,300},{50039,1},{2,600}]</v>
      </c>
      <c r="BL399" s="23">
        <f ca="1" t="shared" si="119"/>
        <v>4</v>
      </c>
      <c r="BM399" s="23">
        <f ca="1" t="shared" si="120"/>
        <v>5</v>
      </c>
      <c r="BN399" s="23">
        <f ca="1" t="shared" si="122"/>
        <v>6</v>
      </c>
      <c r="BP399" s="71" t="s">
        <v>374</v>
      </c>
      <c r="BQ399" s="71">
        <v>150</v>
      </c>
    </row>
    <row r="400" ht="16.5" spans="2:69">
      <c r="B400" s="23">
        <v>80</v>
      </c>
      <c r="C400" s="12" t="s">
        <v>240</v>
      </c>
      <c r="D400" s="71">
        <v>1</v>
      </c>
      <c r="E400" s="71"/>
      <c r="F400" s="71"/>
      <c r="G400" s="71" t="str">
        <f t="shared" si="124"/>
        <v>衣服图纸</v>
      </c>
      <c r="H400" s="71">
        <v>15</v>
      </c>
      <c r="I400" s="71" t="str">
        <f t="shared" si="129"/>
        <v>战士特饮</v>
      </c>
      <c r="J400" s="71">
        <v>200</v>
      </c>
      <c r="K400" s="71" t="s">
        <v>96</v>
      </c>
      <c r="L400" s="71">
        <v>240</v>
      </c>
      <c r="M400" s="71" t="str">
        <f t="shared" si="132"/>
        <v>法师特饮</v>
      </c>
      <c r="N400" s="71">
        <f t="shared" si="99"/>
        <v>250</v>
      </c>
      <c r="O400" s="71" t="s">
        <v>316</v>
      </c>
      <c r="P400" s="71">
        <v>200</v>
      </c>
      <c r="Q400" s="71"/>
      <c r="R400" s="71"/>
      <c r="S400" s="72" t="str">
        <f t="shared" si="125"/>
        <v>裤子图纸</v>
      </c>
      <c r="T400" s="71">
        <v>25</v>
      </c>
      <c r="U400" s="71" t="str">
        <f t="shared" si="126"/>
        <v>灵感获取令</v>
      </c>
      <c r="V400" s="71">
        <f t="shared" si="127"/>
        <v>1</v>
      </c>
      <c r="W400" s="71" t="s">
        <v>96</v>
      </c>
      <c r="X400" s="71">
        <f t="shared" si="103"/>
        <v>360</v>
      </c>
      <c r="Y400" s="71"/>
      <c r="Z400" s="71"/>
      <c r="AA400" s="71" t="str">
        <f t="shared" si="133"/>
        <v>传说基因罐</v>
      </c>
      <c r="AB400" s="71">
        <f t="shared" si="101"/>
        <v>3</v>
      </c>
      <c r="AC400" s="71" t="s">
        <v>374</v>
      </c>
      <c r="AD400" s="71">
        <v>150</v>
      </c>
      <c r="AE400" s="72" t="str">
        <f t="shared" si="130"/>
        <v>辅助特饮</v>
      </c>
      <c r="AF400" s="71">
        <v>300</v>
      </c>
      <c r="AG400" s="71"/>
      <c r="AH400" s="71"/>
      <c r="AI400" s="71" t="s">
        <v>390</v>
      </c>
      <c r="AJ400" s="71">
        <v>1</v>
      </c>
      <c r="AK400" s="71" t="s">
        <v>96</v>
      </c>
      <c r="AL400" s="71">
        <f t="shared" si="104"/>
        <v>600</v>
      </c>
      <c r="AN400" s="23" t="str">
        <f ca="1" t="shared" si="128"/>
        <v>{35,1}</v>
      </c>
      <c r="AO400" s="23" t="str">
        <f ca="1" t="shared" si="123"/>
        <v/>
      </c>
      <c r="AP400" s="23" t="str">
        <f ca="1" t="shared" si="105"/>
        <v>{50004,15}</v>
      </c>
      <c r="AQ400" s="23" t="str">
        <f ca="1" t="shared" si="106"/>
        <v>{5113001,200}</v>
      </c>
      <c r="AR400" s="23" t="str">
        <f ca="1" t="shared" si="107"/>
        <v>{2,240}</v>
      </c>
      <c r="AS400" s="23" t="str">
        <f ca="1" t="shared" si="108"/>
        <v>{5123001,250}</v>
      </c>
      <c r="AT400" s="23" t="str">
        <f ca="1" t="shared" si="134"/>
        <v>{5523001,200}</v>
      </c>
      <c r="AU400" s="23" t="str">
        <f ca="1" t="shared" si="121"/>
        <v/>
      </c>
      <c r="AV400" s="23" t="str">
        <f ca="1" t="shared" si="109"/>
        <v>{50006,25}</v>
      </c>
      <c r="AW400" s="23" t="str">
        <f ca="1" t="shared" si="110"/>
        <v>{9,1}</v>
      </c>
      <c r="AX400" s="23" t="str">
        <f ca="1" t="shared" si="111"/>
        <v>{2,360}</v>
      </c>
      <c r="AY400" s="23" t="str">
        <f ca="1" t="shared" si="112"/>
        <v>{5204001,5}</v>
      </c>
      <c r="AZ400" s="23" t="str">
        <f ca="1" t="shared" si="102"/>
        <v>{5205001,3}</v>
      </c>
      <c r="BA400" s="23" t="str">
        <f ca="1" t="shared" si="113"/>
        <v>{1,150}</v>
      </c>
      <c r="BB400" s="23" t="s">
        <v>401</v>
      </c>
      <c r="BC400" s="23" t="str">
        <f ca="1" t="shared" si="114"/>
        <v>{5143001,300}</v>
      </c>
      <c r="BD400" s="23" t="str">
        <f ca="1" t="shared" si="131"/>
        <v/>
      </c>
      <c r="BE400" s="23" t="str">
        <f ca="1" t="shared" ref="BE400:BE463" si="135">IF(OFFSET($B400,0,BE$320*2+1)="","","{"&amp;VLOOKUP(OFFSET($B400,0,BE$320*2+1),$AN$291:$AO$316,2,0)&amp;","&amp;OFFSET($B400,0,BE$320*2+2)&amp;"}")</f>
        <v>{50039,1}</v>
      </c>
      <c r="BF400" s="23" t="str">
        <f ca="1" t="shared" si="115"/>
        <v>{2,600}</v>
      </c>
      <c r="BI400" s="23" t="str">
        <f ca="1" t="shared" si="116"/>
        <v>[{35,1},{50004,15},{5113001,200},{2,240}]</v>
      </c>
      <c r="BJ400" s="23" t="str">
        <f ca="1" t="shared" si="117"/>
        <v>[{5123001,250},{5523001,200},{50006,25},{9,1},{2,360},{5204001,5}]</v>
      </c>
      <c r="BK400" s="23" t="str">
        <f ca="1" t="shared" si="118"/>
        <v>[{5205001,3},{1,150},{5523001,300},{5143001,300},{50039,1},{2,600}]</v>
      </c>
      <c r="BL400" s="23">
        <f ca="1" t="shared" si="119"/>
        <v>4</v>
      </c>
      <c r="BM400" s="23">
        <f ca="1" t="shared" si="120"/>
        <v>6</v>
      </c>
      <c r="BN400" s="23">
        <f ca="1" t="shared" si="122"/>
        <v>6</v>
      </c>
      <c r="BP400" s="71" t="s">
        <v>374</v>
      </c>
      <c r="BQ400" s="71">
        <v>150</v>
      </c>
    </row>
    <row r="401" ht="16.5" spans="2:69">
      <c r="B401" s="23">
        <v>81</v>
      </c>
      <c r="C401" s="12"/>
      <c r="D401" s="71"/>
      <c r="E401" s="71"/>
      <c r="F401" s="71"/>
      <c r="G401" s="71" t="str">
        <f t="shared" si="124"/>
        <v>护臂图纸</v>
      </c>
      <c r="H401" s="71">
        <v>15</v>
      </c>
      <c r="I401" s="71" t="str">
        <f t="shared" si="129"/>
        <v>毒系特饮</v>
      </c>
      <c r="J401" s="71">
        <v>200</v>
      </c>
      <c r="K401" s="71" t="s">
        <v>96</v>
      </c>
      <c r="L401" s="71">
        <v>240</v>
      </c>
      <c r="M401" s="71" t="str">
        <f t="shared" si="132"/>
        <v>辅助特饮</v>
      </c>
      <c r="N401" s="71">
        <f t="shared" si="99"/>
        <v>250</v>
      </c>
      <c r="O401" s="71" t="s">
        <v>316</v>
      </c>
      <c r="P401" s="71">
        <v>200</v>
      </c>
      <c r="Q401" s="71"/>
      <c r="R401" s="71"/>
      <c r="S401" s="72" t="str">
        <f t="shared" si="125"/>
        <v>鞋子图纸</v>
      </c>
      <c r="T401" s="71">
        <v>25</v>
      </c>
      <c r="U401" s="71" t="str">
        <f t="shared" si="126"/>
        <v/>
      </c>
      <c r="V401" s="71">
        <f t="shared" si="127"/>
        <v>0</v>
      </c>
      <c r="W401" s="71" t="s">
        <v>96</v>
      </c>
      <c r="X401" s="71">
        <f t="shared" si="103"/>
        <v>360</v>
      </c>
      <c r="Y401" s="71"/>
      <c r="Z401" s="71"/>
      <c r="AA401" s="71" t="str">
        <f t="shared" si="133"/>
        <v>基因罐</v>
      </c>
      <c r="AB401" s="71">
        <f t="shared" si="101"/>
        <v>30</v>
      </c>
      <c r="AC401" s="71" t="s">
        <v>374</v>
      </c>
      <c r="AD401" s="71">
        <v>150</v>
      </c>
      <c r="AE401" s="72" t="str">
        <f t="shared" si="130"/>
        <v>毒系特饮</v>
      </c>
      <c r="AF401" s="71">
        <v>300</v>
      </c>
      <c r="AG401" s="71"/>
      <c r="AH401" s="71"/>
      <c r="AI401" s="71" t="s">
        <v>390</v>
      </c>
      <c r="AJ401" s="71">
        <v>1</v>
      </c>
      <c r="AK401" s="71" t="s">
        <v>96</v>
      </c>
      <c r="AL401" s="71">
        <f t="shared" si="104"/>
        <v>600</v>
      </c>
      <c r="AN401" s="23" t="str">
        <f ca="1" t="shared" si="128"/>
        <v>{11,5}</v>
      </c>
      <c r="AO401" s="23" t="str">
        <f ca="1" t="shared" si="123"/>
        <v/>
      </c>
      <c r="AP401" s="23" t="str">
        <f ca="1" t="shared" si="105"/>
        <v>{50005,15}</v>
      </c>
      <c r="AQ401" s="23" t="str">
        <f ca="1" t="shared" si="106"/>
        <v>{5163001,200}</v>
      </c>
      <c r="AR401" s="23" t="str">
        <f ca="1" t="shared" si="107"/>
        <v>{2,240}</v>
      </c>
      <c r="AS401" s="23" t="str">
        <f ca="1" t="shared" si="108"/>
        <v>{5143001,250}</v>
      </c>
      <c r="AT401" s="23" t="str">
        <f ca="1" t="shared" si="134"/>
        <v>{5523001,200}</v>
      </c>
      <c r="AU401" s="23" t="str">
        <f ca="1" t="shared" si="121"/>
        <v/>
      </c>
      <c r="AV401" s="23" t="str">
        <f ca="1" t="shared" si="109"/>
        <v>{50007,25}</v>
      </c>
      <c r="AW401" s="23" t="str">
        <f ca="1" t="shared" si="110"/>
        <v/>
      </c>
      <c r="AX401" s="23" t="str">
        <f ca="1" t="shared" si="111"/>
        <v>{2,360}</v>
      </c>
      <c r="AY401" s="23" t="str">
        <f ca="1" t="shared" si="112"/>
        <v>{5204001,5}</v>
      </c>
      <c r="AZ401" s="23" t="str">
        <f ca="1" t="shared" si="102"/>
        <v>{5203001,30}</v>
      </c>
      <c r="BA401" s="23" t="str">
        <f ca="1" t="shared" si="113"/>
        <v>{1,150}</v>
      </c>
      <c r="BB401" s="23" t="s">
        <v>401</v>
      </c>
      <c r="BC401" s="23" t="str">
        <f ca="1" t="shared" si="114"/>
        <v>{5163001,300}</v>
      </c>
      <c r="BD401" s="23" t="str">
        <f ca="1" t="shared" si="131"/>
        <v/>
      </c>
      <c r="BE401" s="23" t="str">
        <f ca="1" t="shared" si="135"/>
        <v>{50039,1}</v>
      </c>
      <c r="BF401" s="23" t="str">
        <f ca="1" t="shared" si="115"/>
        <v>{2,600}</v>
      </c>
      <c r="BI401" s="23" t="str">
        <f ca="1" t="shared" si="116"/>
        <v>[{11,5},{50005,15},{5163001,200},{2,240}]</v>
      </c>
      <c r="BJ401" s="23" t="str">
        <f ca="1" t="shared" si="117"/>
        <v>[{5143001,250},{5523001,200},{50007,25},{2,360},{5204001,5}]</v>
      </c>
      <c r="BK401" s="23" t="str">
        <f ca="1" t="shared" si="118"/>
        <v>[{5203001,30},{1,150},{5523001,300},{5163001,300},{50039,1},{2,600}]</v>
      </c>
      <c r="BL401" s="23">
        <f ca="1" t="shared" si="119"/>
        <v>4</v>
      </c>
      <c r="BM401" s="23">
        <f ca="1" t="shared" si="120"/>
        <v>5</v>
      </c>
      <c r="BN401" s="23">
        <f ca="1" t="shared" si="122"/>
        <v>6</v>
      </c>
      <c r="BP401" s="71" t="s">
        <v>374</v>
      </c>
      <c r="BQ401" s="71">
        <v>150</v>
      </c>
    </row>
    <row r="402" ht="16.5" spans="2:69">
      <c r="B402" s="23">
        <v>82</v>
      </c>
      <c r="C402" s="12"/>
      <c r="D402" s="71"/>
      <c r="E402" s="71"/>
      <c r="F402" s="71"/>
      <c r="G402" s="71" t="str">
        <f t="shared" si="124"/>
        <v>裤子图纸</v>
      </c>
      <c r="H402" s="71">
        <v>15</v>
      </c>
      <c r="I402" s="71" t="str">
        <f t="shared" si="129"/>
        <v>控制特饮</v>
      </c>
      <c r="J402" s="71">
        <v>200</v>
      </c>
      <c r="K402" s="71" t="s">
        <v>96</v>
      </c>
      <c r="L402" s="71">
        <v>240</v>
      </c>
      <c r="M402" s="71" t="str">
        <f t="shared" si="132"/>
        <v>射手特饮</v>
      </c>
      <c r="N402" s="71">
        <f t="shared" si="99"/>
        <v>250</v>
      </c>
      <c r="O402" s="71" t="s">
        <v>316</v>
      </c>
      <c r="P402" s="71">
        <v>200</v>
      </c>
      <c r="Q402" s="71"/>
      <c r="R402" s="71"/>
      <c r="S402" s="72" t="str">
        <f t="shared" si="125"/>
        <v>手套图纸</v>
      </c>
      <c r="T402" s="71">
        <v>25</v>
      </c>
      <c r="U402" s="71" t="str">
        <f t="shared" si="126"/>
        <v/>
      </c>
      <c r="V402" s="71">
        <f t="shared" si="127"/>
        <v>0</v>
      </c>
      <c r="W402" s="71" t="s">
        <v>96</v>
      </c>
      <c r="X402" s="71">
        <f t="shared" si="103"/>
        <v>360</v>
      </c>
      <c r="Y402" s="71"/>
      <c r="Z402" s="71"/>
      <c r="AA402" s="71" t="str">
        <f t="shared" si="133"/>
        <v>基因罐</v>
      </c>
      <c r="AB402" s="71">
        <f t="shared" si="101"/>
        <v>30</v>
      </c>
      <c r="AC402" s="71" t="s">
        <v>374</v>
      </c>
      <c r="AD402" s="71">
        <v>150</v>
      </c>
      <c r="AE402" s="72" t="str">
        <f t="shared" si="130"/>
        <v>控制特饮</v>
      </c>
      <c r="AF402" s="71">
        <v>300</v>
      </c>
      <c r="AG402" s="71"/>
      <c r="AH402" s="71"/>
      <c r="AI402" s="71" t="s">
        <v>390</v>
      </c>
      <c r="AJ402" s="71">
        <v>1</v>
      </c>
      <c r="AK402" s="71" t="s">
        <v>96</v>
      </c>
      <c r="AL402" s="71">
        <f t="shared" si="104"/>
        <v>600</v>
      </c>
      <c r="AN402" s="23" t="str">
        <f ca="1" t="shared" si="128"/>
        <v>{11,5}</v>
      </c>
      <c r="AO402" s="23" t="str">
        <f ca="1" t="shared" si="123"/>
        <v/>
      </c>
      <c r="AP402" s="23" t="str">
        <f ca="1" t="shared" si="105"/>
        <v>{50006,15}</v>
      </c>
      <c r="AQ402" s="23" t="str">
        <f ca="1" t="shared" si="106"/>
        <v>{5153001,200}</v>
      </c>
      <c r="AR402" s="23" t="str">
        <f ca="1" t="shared" si="107"/>
        <v>{2,240}</v>
      </c>
      <c r="AS402" s="23" t="str">
        <f ca="1" t="shared" si="108"/>
        <v>{5133001,250}</v>
      </c>
      <c r="AT402" s="23" t="str">
        <f ca="1" t="shared" si="134"/>
        <v>{5523001,200}</v>
      </c>
      <c r="AU402" s="23" t="str">
        <f ca="1" t="shared" si="121"/>
        <v/>
      </c>
      <c r="AV402" s="23" t="str">
        <f ca="1" t="shared" si="109"/>
        <v>{50008,25}</v>
      </c>
      <c r="AW402" s="23" t="str">
        <f ca="1" t="shared" si="110"/>
        <v/>
      </c>
      <c r="AX402" s="23" t="str">
        <f ca="1" t="shared" si="111"/>
        <v>{2,360}</v>
      </c>
      <c r="AY402" s="23" t="str">
        <f ca="1" t="shared" si="112"/>
        <v>{5204001,5}</v>
      </c>
      <c r="AZ402" s="23" t="str">
        <f ca="1" t="shared" si="102"/>
        <v>{5203001,30}</v>
      </c>
      <c r="BA402" s="23" t="str">
        <f ca="1" t="shared" si="113"/>
        <v>{1,150}</v>
      </c>
      <c r="BB402" s="23" t="s">
        <v>401</v>
      </c>
      <c r="BC402" s="23" t="str">
        <f ca="1" t="shared" si="114"/>
        <v>{5153001,300}</v>
      </c>
      <c r="BD402" s="23" t="str">
        <f ca="1" t="shared" si="131"/>
        <v/>
      </c>
      <c r="BE402" s="23" t="str">
        <f ca="1" t="shared" si="135"/>
        <v>{50039,1}</v>
      </c>
      <c r="BF402" s="23" t="str">
        <f ca="1" t="shared" si="115"/>
        <v>{2,600}</v>
      </c>
      <c r="BI402" s="23" t="str">
        <f ca="1" t="shared" si="116"/>
        <v>[{11,5},{50006,15},{5153001,200},{2,240}]</v>
      </c>
      <c r="BJ402" s="23" t="str">
        <f ca="1" t="shared" si="117"/>
        <v>[{5133001,250},{5523001,200},{50008,25},{2,360},{5204001,5}]</v>
      </c>
      <c r="BK402" s="23" t="str">
        <f ca="1" t="shared" si="118"/>
        <v>[{5203001,30},{1,150},{5523001,300},{5153001,300},{50039,1},{2,600}]</v>
      </c>
      <c r="BL402" s="23">
        <f ca="1" t="shared" si="119"/>
        <v>4</v>
      </c>
      <c r="BM402" s="23">
        <f ca="1" t="shared" si="120"/>
        <v>5</v>
      </c>
      <c r="BN402" s="23">
        <f ca="1" t="shared" si="122"/>
        <v>6</v>
      </c>
      <c r="BP402" s="71" t="s">
        <v>374</v>
      </c>
      <c r="BQ402" s="71">
        <v>150</v>
      </c>
    </row>
    <row r="403" ht="16.5" spans="2:69">
      <c r="B403" s="23">
        <v>83</v>
      </c>
      <c r="C403" s="12"/>
      <c r="D403" s="71"/>
      <c r="E403" s="71"/>
      <c r="F403" s="71"/>
      <c r="G403" s="71" t="str">
        <f t="shared" si="124"/>
        <v>鞋子图纸</v>
      </c>
      <c r="H403" s="71">
        <v>15</v>
      </c>
      <c r="I403" s="71" t="str">
        <f t="shared" si="129"/>
        <v>射手特饮</v>
      </c>
      <c r="J403" s="71">
        <v>200</v>
      </c>
      <c r="K403" s="71" t="s">
        <v>96</v>
      </c>
      <c r="L403" s="71">
        <v>240</v>
      </c>
      <c r="M403" s="71" t="str">
        <f t="shared" si="132"/>
        <v>毒系特饮</v>
      </c>
      <c r="N403" s="71">
        <f t="shared" ref="N403:N466" si="136">N402</f>
        <v>250</v>
      </c>
      <c r="O403" s="71" t="s">
        <v>316</v>
      </c>
      <c r="P403" s="71">
        <v>200</v>
      </c>
      <c r="Q403" s="71"/>
      <c r="R403" s="71"/>
      <c r="S403" s="72" t="str">
        <f t="shared" si="125"/>
        <v>头盔图纸</v>
      </c>
      <c r="T403" s="71">
        <v>25</v>
      </c>
      <c r="U403" s="71" t="str">
        <f t="shared" si="126"/>
        <v/>
      </c>
      <c r="V403" s="71">
        <f t="shared" si="127"/>
        <v>0</v>
      </c>
      <c r="W403" s="71" t="s">
        <v>96</v>
      </c>
      <c r="X403" s="71">
        <f t="shared" si="103"/>
        <v>360</v>
      </c>
      <c r="Y403" s="71"/>
      <c r="Z403" s="71"/>
      <c r="AA403" s="71" t="str">
        <f t="shared" si="133"/>
        <v>基因罐</v>
      </c>
      <c r="AB403" s="71">
        <f t="shared" si="101"/>
        <v>30</v>
      </c>
      <c r="AC403" s="71" t="s">
        <v>374</v>
      </c>
      <c r="AD403" s="71">
        <v>150</v>
      </c>
      <c r="AE403" s="72" t="str">
        <f t="shared" si="130"/>
        <v>射手特饮</v>
      </c>
      <c r="AF403" s="71">
        <v>300</v>
      </c>
      <c r="AG403" s="71"/>
      <c r="AH403" s="71"/>
      <c r="AI403" s="71" t="s">
        <v>390</v>
      </c>
      <c r="AJ403" s="71">
        <v>1</v>
      </c>
      <c r="AK403" s="71" t="s">
        <v>96</v>
      </c>
      <c r="AL403" s="71">
        <f t="shared" si="104"/>
        <v>600</v>
      </c>
      <c r="AN403" s="23" t="str">
        <f ca="1" t="shared" si="128"/>
        <v>{11,5}</v>
      </c>
      <c r="AO403" s="23" t="str">
        <f ca="1" t="shared" si="123"/>
        <v/>
      </c>
      <c r="AP403" s="23" t="str">
        <f ca="1" t="shared" si="105"/>
        <v>{50007,15}</v>
      </c>
      <c r="AQ403" s="23" t="str">
        <f ca="1" t="shared" si="106"/>
        <v>{5133001,200}</v>
      </c>
      <c r="AR403" s="23" t="str">
        <f ca="1" t="shared" si="107"/>
        <v>{2,240}</v>
      </c>
      <c r="AS403" s="23" t="str">
        <f ca="1" t="shared" si="108"/>
        <v>{5163001,250}</v>
      </c>
      <c r="AT403" s="23" t="str">
        <f ca="1" t="shared" si="134"/>
        <v>{5523001,200}</v>
      </c>
      <c r="AU403" s="23" t="str">
        <f ca="1" t="shared" si="121"/>
        <v/>
      </c>
      <c r="AV403" s="23" t="str">
        <f ca="1" t="shared" si="109"/>
        <v>{50003,25}</v>
      </c>
      <c r="AW403" s="23" t="str">
        <f ca="1" t="shared" si="110"/>
        <v/>
      </c>
      <c r="AX403" s="23" t="str">
        <f ca="1" t="shared" si="111"/>
        <v>{2,360}</v>
      </c>
      <c r="AY403" s="23" t="str">
        <f ca="1" t="shared" si="112"/>
        <v>{5204001,5}</v>
      </c>
      <c r="AZ403" s="23" t="str">
        <f ca="1" t="shared" si="102"/>
        <v>{5203001,30}</v>
      </c>
      <c r="BA403" s="23" t="str">
        <f ca="1" t="shared" si="113"/>
        <v>{1,150}</v>
      </c>
      <c r="BB403" s="23" t="s">
        <v>401</v>
      </c>
      <c r="BC403" s="23" t="str">
        <f ca="1" t="shared" si="114"/>
        <v>{5133001,300}</v>
      </c>
      <c r="BD403" s="23" t="str">
        <f ca="1" t="shared" si="131"/>
        <v/>
      </c>
      <c r="BE403" s="23" t="str">
        <f ca="1" t="shared" si="135"/>
        <v>{50039,1}</v>
      </c>
      <c r="BF403" s="23" t="str">
        <f ca="1" t="shared" si="115"/>
        <v>{2,600}</v>
      </c>
      <c r="BI403" s="23" t="str">
        <f ca="1" t="shared" si="116"/>
        <v>[{11,5},{50007,15},{5133001,200},{2,240}]</v>
      </c>
      <c r="BJ403" s="23" t="str">
        <f ca="1" t="shared" si="117"/>
        <v>[{5163001,250},{5523001,200},{50003,25},{2,360},{5204001,5}]</v>
      </c>
      <c r="BK403" s="23" t="str">
        <f ca="1" t="shared" si="118"/>
        <v>[{5203001,30},{1,150},{5523001,300},{5133001,300},{50039,1},{2,600}]</v>
      </c>
      <c r="BL403" s="23">
        <f ca="1" t="shared" si="119"/>
        <v>4</v>
      </c>
      <c r="BM403" s="23">
        <f ca="1" t="shared" si="120"/>
        <v>5</v>
      </c>
      <c r="BN403" s="23">
        <f ca="1" t="shared" si="122"/>
        <v>6</v>
      </c>
      <c r="BP403" s="71" t="s">
        <v>374</v>
      </c>
      <c r="BQ403" s="71">
        <v>150</v>
      </c>
    </row>
    <row r="404" ht="16.5" spans="2:69">
      <c r="B404" s="23">
        <v>84</v>
      </c>
      <c r="C404" s="12"/>
      <c r="D404" s="71"/>
      <c r="E404" s="71"/>
      <c r="F404" s="71"/>
      <c r="G404" s="71" t="str">
        <f t="shared" si="124"/>
        <v>手套图纸</v>
      </c>
      <c r="H404" s="71">
        <v>15</v>
      </c>
      <c r="I404" s="71" t="str">
        <f t="shared" si="129"/>
        <v>法师特饮</v>
      </c>
      <c r="J404" s="71">
        <v>200</v>
      </c>
      <c r="K404" s="71" t="s">
        <v>96</v>
      </c>
      <c r="L404" s="71">
        <v>240</v>
      </c>
      <c r="M404" s="71" t="str">
        <f t="shared" si="132"/>
        <v>控制特饮</v>
      </c>
      <c r="N404" s="71">
        <f t="shared" si="136"/>
        <v>250</v>
      </c>
      <c r="O404" s="71" t="s">
        <v>316</v>
      </c>
      <c r="P404" s="71">
        <v>200</v>
      </c>
      <c r="Q404" s="71"/>
      <c r="R404" s="71"/>
      <c r="S404" s="72" t="str">
        <f t="shared" si="125"/>
        <v>衣服图纸</v>
      </c>
      <c r="T404" s="71">
        <v>25</v>
      </c>
      <c r="U404" s="71" t="str">
        <f t="shared" si="126"/>
        <v/>
      </c>
      <c r="V404" s="71">
        <f t="shared" si="127"/>
        <v>0</v>
      </c>
      <c r="W404" s="71" t="s">
        <v>96</v>
      </c>
      <c r="X404" s="71">
        <f t="shared" si="103"/>
        <v>360</v>
      </c>
      <c r="Y404" s="71"/>
      <c r="Z404" s="71"/>
      <c r="AA404" s="71" t="str">
        <f t="shared" si="133"/>
        <v>基因罐</v>
      </c>
      <c r="AB404" s="71">
        <f t="shared" si="101"/>
        <v>30</v>
      </c>
      <c r="AC404" s="71" t="s">
        <v>374</v>
      </c>
      <c r="AD404" s="71">
        <v>150</v>
      </c>
      <c r="AE404" s="72" t="str">
        <f t="shared" si="130"/>
        <v>战士特饮</v>
      </c>
      <c r="AF404" s="71">
        <v>300</v>
      </c>
      <c r="AG404" s="71"/>
      <c r="AH404" s="71"/>
      <c r="AI404" s="71" t="s">
        <v>390</v>
      </c>
      <c r="AJ404" s="71">
        <v>1</v>
      </c>
      <c r="AK404" s="71" t="s">
        <v>96</v>
      </c>
      <c r="AL404" s="71">
        <f t="shared" si="104"/>
        <v>600</v>
      </c>
      <c r="AN404" s="23" t="str">
        <f ca="1" t="shared" si="128"/>
        <v>{11,5}</v>
      </c>
      <c r="AO404" s="23" t="str">
        <f ca="1" t="shared" si="123"/>
        <v/>
      </c>
      <c r="AP404" s="23" t="str">
        <f ca="1" t="shared" si="105"/>
        <v>{50008,15}</v>
      </c>
      <c r="AQ404" s="23" t="str">
        <f ca="1" t="shared" si="106"/>
        <v>{5123001,200}</v>
      </c>
      <c r="AR404" s="23" t="str">
        <f ca="1" t="shared" si="107"/>
        <v>{2,240}</v>
      </c>
      <c r="AS404" s="23" t="str">
        <f ca="1" t="shared" si="108"/>
        <v>{5153001,250}</v>
      </c>
      <c r="AT404" s="23" t="str">
        <f ca="1" t="shared" si="134"/>
        <v>{5523001,200}</v>
      </c>
      <c r="AU404" s="23" t="str">
        <f ca="1" t="shared" si="121"/>
        <v/>
      </c>
      <c r="AV404" s="23" t="str">
        <f ca="1" t="shared" si="109"/>
        <v>{50004,25}</v>
      </c>
      <c r="AW404" s="23" t="str">
        <f ca="1" t="shared" si="110"/>
        <v/>
      </c>
      <c r="AX404" s="23" t="str">
        <f ca="1" t="shared" si="111"/>
        <v>{2,360}</v>
      </c>
      <c r="AY404" s="23" t="str">
        <f ca="1" t="shared" si="112"/>
        <v>{5204001,5}</v>
      </c>
      <c r="AZ404" s="23" t="str">
        <f ca="1" t="shared" si="102"/>
        <v>{5203001,30}</v>
      </c>
      <c r="BA404" s="23" t="str">
        <f ca="1" t="shared" si="113"/>
        <v>{1,150}</v>
      </c>
      <c r="BB404" s="23" t="s">
        <v>401</v>
      </c>
      <c r="BC404" s="23" t="str">
        <f ca="1" t="shared" si="114"/>
        <v>{5113001,300}</v>
      </c>
      <c r="BD404" s="23" t="str">
        <f ca="1" t="shared" si="131"/>
        <v/>
      </c>
      <c r="BE404" s="23" t="str">
        <f ca="1" t="shared" si="135"/>
        <v>{50039,1}</v>
      </c>
      <c r="BF404" s="23" t="str">
        <f ca="1" t="shared" si="115"/>
        <v>{2,600}</v>
      </c>
      <c r="BI404" s="23" t="str">
        <f ca="1" t="shared" si="116"/>
        <v>[{11,5},{50008,15},{5123001,200},{2,240}]</v>
      </c>
      <c r="BJ404" s="23" t="str">
        <f ca="1" t="shared" si="117"/>
        <v>[{5153001,250},{5523001,200},{50004,25},{2,360},{5204001,5}]</v>
      </c>
      <c r="BK404" s="23" t="str">
        <f ca="1" t="shared" si="118"/>
        <v>[{5203001,30},{1,150},{5523001,300},{5113001,300},{50039,1},{2,600}]</v>
      </c>
      <c r="BL404" s="23">
        <f ca="1" t="shared" si="119"/>
        <v>4</v>
      </c>
      <c r="BM404" s="23">
        <f ca="1" t="shared" si="120"/>
        <v>5</v>
      </c>
      <c r="BN404" s="23">
        <f ca="1" t="shared" si="122"/>
        <v>6</v>
      </c>
      <c r="BP404" s="71" t="s">
        <v>374</v>
      </c>
      <c r="BQ404" s="71">
        <v>150</v>
      </c>
    </row>
    <row r="405" ht="16.5" spans="2:69">
      <c r="B405" s="23">
        <v>85</v>
      </c>
      <c r="C405" s="12" t="s">
        <v>240</v>
      </c>
      <c r="D405" s="71">
        <v>1</v>
      </c>
      <c r="E405" s="71"/>
      <c r="F405" s="71"/>
      <c r="G405" s="71" t="str">
        <f t="shared" si="124"/>
        <v>头盔图纸</v>
      </c>
      <c r="H405" s="71">
        <v>15</v>
      </c>
      <c r="I405" s="71" t="str">
        <f t="shared" si="129"/>
        <v>辅助特饮</v>
      </c>
      <c r="J405" s="71">
        <v>200</v>
      </c>
      <c r="K405" s="71" t="s">
        <v>96</v>
      </c>
      <c r="L405" s="71">
        <v>240</v>
      </c>
      <c r="M405" s="71" t="str">
        <f t="shared" si="132"/>
        <v>战士特饮</v>
      </c>
      <c r="N405" s="71">
        <f t="shared" si="136"/>
        <v>250</v>
      </c>
      <c r="O405" s="71" t="s">
        <v>316</v>
      </c>
      <c r="P405" s="71">
        <v>200</v>
      </c>
      <c r="Q405" s="71"/>
      <c r="R405" s="71"/>
      <c r="S405" s="72" t="str">
        <f t="shared" si="125"/>
        <v>护臂图纸</v>
      </c>
      <c r="T405" s="71">
        <v>25</v>
      </c>
      <c r="U405" s="71" t="str">
        <f t="shared" si="126"/>
        <v>灵感获取令</v>
      </c>
      <c r="V405" s="71">
        <f t="shared" si="127"/>
        <v>1</v>
      </c>
      <c r="W405" s="71" t="s">
        <v>96</v>
      </c>
      <c r="X405" s="71">
        <f t="shared" si="103"/>
        <v>360</v>
      </c>
      <c r="Y405" s="71"/>
      <c r="Z405" s="71"/>
      <c r="AA405" s="71" t="str">
        <f t="shared" si="133"/>
        <v>传说基因罐</v>
      </c>
      <c r="AB405" s="71">
        <f t="shared" si="101"/>
        <v>3</v>
      </c>
      <c r="AC405" s="71" t="s">
        <v>374</v>
      </c>
      <c r="AD405" s="71">
        <v>150</v>
      </c>
      <c r="AE405" s="72" t="str">
        <f t="shared" si="130"/>
        <v>法师特饮</v>
      </c>
      <c r="AF405" s="71">
        <v>300</v>
      </c>
      <c r="AG405" s="71"/>
      <c r="AH405" s="71"/>
      <c r="AI405" s="71" t="s">
        <v>390</v>
      </c>
      <c r="AJ405" s="71">
        <v>1</v>
      </c>
      <c r="AK405" s="71" t="s">
        <v>96</v>
      </c>
      <c r="AL405" s="71">
        <f t="shared" si="104"/>
        <v>600</v>
      </c>
      <c r="AN405" s="23" t="str">
        <f ca="1" t="shared" si="128"/>
        <v>{35,1}</v>
      </c>
      <c r="AO405" s="23" t="str">
        <f ca="1" t="shared" si="123"/>
        <v/>
      </c>
      <c r="AP405" s="23" t="str">
        <f ca="1" t="shared" si="105"/>
        <v>{50003,15}</v>
      </c>
      <c r="AQ405" s="23" t="str">
        <f ca="1" t="shared" si="106"/>
        <v>{5143001,200}</v>
      </c>
      <c r="AR405" s="23" t="str">
        <f ca="1" t="shared" si="107"/>
        <v>{2,240}</v>
      </c>
      <c r="AS405" s="23" t="str">
        <f ca="1" t="shared" si="108"/>
        <v>{5113001,250}</v>
      </c>
      <c r="AT405" s="23" t="str">
        <f ca="1" t="shared" si="134"/>
        <v>{5523001,200}</v>
      </c>
      <c r="AU405" s="23" t="str">
        <f ca="1" t="shared" si="121"/>
        <v/>
      </c>
      <c r="AV405" s="23" t="str">
        <f ca="1" t="shared" si="109"/>
        <v>{50005,25}</v>
      </c>
      <c r="AW405" s="23" t="str">
        <f ca="1" t="shared" si="110"/>
        <v>{9,1}</v>
      </c>
      <c r="AX405" s="23" t="str">
        <f ca="1" t="shared" si="111"/>
        <v>{2,360}</v>
      </c>
      <c r="AY405" s="23" t="str">
        <f ca="1" t="shared" si="112"/>
        <v>{5204001,5}</v>
      </c>
      <c r="AZ405" s="23" t="str">
        <f ca="1" t="shared" si="102"/>
        <v>{5205001,3}</v>
      </c>
      <c r="BA405" s="23" t="str">
        <f ca="1" t="shared" si="113"/>
        <v>{1,150}</v>
      </c>
      <c r="BB405" s="23" t="s">
        <v>401</v>
      </c>
      <c r="BC405" s="23" t="str">
        <f ca="1" t="shared" si="114"/>
        <v>{5123001,300}</v>
      </c>
      <c r="BD405" s="23" t="str">
        <f ca="1" t="shared" si="131"/>
        <v/>
      </c>
      <c r="BE405" s="23" t="str">
        <f ca="1" t="shared" si="135"/>
        <v>{50039,1}</v>
      </c>
      <c r="BF405" s="23" t="str">
        <f ca="1" t="shared" si="115"/>
        <v>{2,600}</v>
      </c>
      <c r="BI405" s="23" t="str">
        <f ca="1" t="shared" si="116"/>
        <v>[{35,1},{50003,15},{5143001,200},{2,240}]</v>
      </c>
      <c r="BJ405" s="23" t="str">
        <f ca="1" t="shared" si="117"/>
        <v>[{5113001,250},{5523001,200},{50005,25},{9,1},{2,360},{5204001,5}]</v>
      </c>
      <c r="BK405" s="23" t="str">
        <f ca="1" t="shared" si="118"/>
        <v>[{5205001,3},{1,150},{5523001,300},{5123001,300},{50039,1},{2,600}]</v>
      </c>
      <c r="BL405" s="23">
        <f ca="1" t="shared" si="119"/>
        <v>4</v>
      </c>
      <c r="BM405" s="23">
        <f ca="1" t="shared" si="120"/>
        <v>6</v>
      </c>
      <c r="BN405" s="23">
        <f ca="1" t="shared" si="122"/>
        <v>6</v>
      </c>
      <c r="BP405" s="71" t="s">
        <v>374</v>
      </c>
      <c r="BQ405" s="71">
        <v>150</v>
      </c>
    </row>
    <row r="406" ht="16.5" spans="2:69">
      <c r="B406" s="23">
        <v>86</v>
      </c>
      <c r="C406" s="12"/>
      <c r="D406" s="71"/>
      <c r="E406" s="71"/>
      <c r="F406" s="71"/>
      <c r="G406" s="71" t="str">
        <f t="shared" si="124"/>
        <v>衣服图纸</v>
      </c>
      <c r="H406" s="71">
        <v>15</v>
      </c>
      <c r="I406" s="71" t="str">
        <f t="shared" si="129"/>
        <v>战士特饮</v>
      </c>
      <c r="J406" s="71">
        <v>200</v>
      </c>
      <c r="K406" s="71" t="s">
        <v>96</v>
      </c>
      <c r="L406" s="71">
        <v>240</v>
      </c>
      <c r="M406" s="71" t="str">
        <f t="shared" si="132"/>
        <v>法师特饮</v>
      </c>
      <c r="N406" s="71">
        <f t="shared" si="136"/>
        <v>250</v>
      </c>
      <c r="O406" s="71" t="s">
        <v>316</v>
      </c>
      <c r="P406" s="71">
        <v>200</v>
      </c>
      <c r="Q406" s="71"/>
      <c r="R406" s="71"/>
      <c r="S406" s="72" t="str">
        <f t="shared" si="125"/>
        <v>裤子图纸</v>
      </c>
      <c r="T406" s="71">
        <v>25</v>
      </c>
      <c r="U406" s="71" t="str">
        <f t="shared" si="126"/>
        <v/>
      </c>
      <c r="V406" s="71">
        <f t="shared" si="127"/>
        <v>0</v>
      </c>
      <c r="W406" s="71" t="s">
        <v>96</v>
      </c>
      <c r="X406" s="71">
        <f t="shared" si="103"/>
        <v>360</v>
      </c>
      <c r="Y406" s="71"/>
      <c r="Z406" s="71"/>
      <c r="AA406" s="71" t="str">
        <f t="shared" si="133"/>
        <v>基因罐</v>
      </c>
      <c r="AB406" s="71">
        <f t="shared" si="101"/>
        <v>30</v>
      </c>
      <c r="AC406" s="71" t="s">
        <v>374</v>
      </c>
      <c r="AD406" s="71">
        <v>150</v>
      </c>
      <c r="AE406" s="72" t="str">
        <f t="shared" si="130"/>
        <v>辅助特饮</v>
      </c>
      <c r="AF406" s="71">
        <v>300</v>
      </c>
      <c r="AG406" s="71"/>
      <c r="AH406" s="71"/>
      <c r="AI406" s="71" t="s">
        <v>390</v>
      </c>
      <c r="AJ406" s="71">
        <v>1</v>
      </c>
      <c r="AK406" s="71" t="s">
        <v>96</v>
      </c>
      <c r="AL406" s="71">
        <f t="shared" si="104"/>
        <v>600</v>
      </c>
      <c r="AN406" s="23" t="str">
        <f ca="1" t="shared" si="128"/>
        <v>{11,5}</v>
      </c>
      <c r="AO406" s="23" t="str">
        <f ca="1" t="shared" si="123"/>
        <v/>
      </c>
      <c r="AP406" s="23" t="str">
        <f ca="1" t="shared" si="105"/>
        <v>{50004,15}</v>
      </c>
      <c r="AQ406" s="23" t="str">
        <f ca="1" t="shared" si="106"/>
        <v>{5113001,200}</v>
      </c>
      <c r="AR406" s="23" t="str">
        <f ca="1" t="shared" si="107"/>
        <v>{2,240}</v>
      </c>
      <c r="AS406" s="23" t="str">
        <f ca="1" t="shared" si="108"/>
        <v>{5123001,250}</v>
      </c>
      <c r="AT406" s="23" t="str">
        <f ca="1" t="shared" si="134"/>
        <v>{5523001,200}</v>
      </c>
      <c r="AU406" s="23" t="str">
        <f ca="1" t="shared" si="121"/>
        <v/>
      </c>
      <c r="AV406" s="23" t="str">
        <f ca="1" t="shared" si="109"/>
        <v>{50006,25}</v>
      </c>
      <c r="AW406" s="23" t="str">
        <f ca="1" t="shared" si="110"/>
        <v/>
      </c>
      <c r="AX406" s="23" t="str">
        <f ca="1" t="shared" si="111"/>
        <v>{2,360}</v>
      </c>
      <c r="AY406" s="23" t="str">
        <f ca="1" t="shared" si="112"/>
        <v>{5204001,5}</v>
      </c>
      <c r="AZ406" s="23" t="str">
        <f ca="1" t="shared" si="102"/>
        <v>{5203001,30}</v>
      </c>
      <c r="BA406" s="23" t="str">
        <f ca="1" t="shared" si="113"/>
        <v>{1,150}</v>
      </c>
      <c r="BB406" s="23" t="s">
        <v>401</v>
      </c>
      <c r="BC406" s="23" t="str">
        <f ca="1" t="shared" si="114"/>
        <v>{5143001,300}</v>
      </c>
      <c r="BD406" s="23" t="str">
        <f ca="1" t="shared" si="131"/>
        <v/>
      </c>
      <c r="BE406" s="23" t="str">
        <f ca="1" t="shared" si="135"/>
        <v>{50039,1}</v>
      </c>
      <c r="BF406" s="23" t="str">
        <f ca="1" t="shared" si="115"/>
        <v>{2,600}</v>
      </c>
      <c r="BI406" s="23" t="str">
        <f ca="1" t="shared" si="116"/>
        <v>[{11,5},{50004,15},{5113001,200},{2,240}]</v>
      </c>
      <c r="BJ406" s="23" t="str">
        <f ca="1" t="shared" si="117"/>
        <v>[{5123001,250},{5523001,200},{50006,25},{2,360},{5204001,5}]</v>
      </c>
      <c r="BK406" s="23" t="str">
        <f ca="1" t="shared" si="118"/>
        <v>[{5203001,30},{1,150},{5523001,300},{5143001,300},{50039,1},{2,600}]</v>
      </c>
      <c r="BL406" s="23">
        <f ca="1" t="shared" si="119"/>
        <v>4</v>
      </c>
      <c r="BM406" s="23">
        <f ca="1" t="shared" si="120"/>
        <v>5</v>
      </c>
      <c r="BN406" s="23">
        <f ca="1" t="shared" si="122"/>
        <v>6</v>
      </c>
      <c r="BP406" s="71" t="s">
        <v>374</v>
      </c>
      <c r="BQ406" s="71">
        <v>150</v>
      </c>
    </row>
    <row r="407" ht="16.5" spans="2:69">
      <c r="B407" s="23">
        <v>87</v>
      </c>
      <c r="C407" s="12"/>
      <c r="D407" s="71"/>
      <c r="E407" s="71"/>
      <c r="F407" s="71"/>
      <c r="G407" s="71" t="str">
        <f t="shared" si="124"/>
        <v>护臂图纸</v>
      </c>
      <c r="H407" s="71">
        <v>15</v>
      </c>
      <c r="I407" s="71" t="str">
        <f t="shared" si="129"/>
        <v>毒系特饮</v>
      </c>
      <c r="J407" s="71">
        <v>200</v>
      </c>
      <c r="K407" s="71" t="s">
        <v>96</v>
      </c>
      <c r="L407" s="71">
        <v>240</v>
      </c>
      <c r="M407" s="71" t="str">
        <f t="shared" si="132"/>
        <v>辅助特饮</v>
      </c>
      <c r="N407" s="71">
        <f t="shared" si="136"/>
        <v>250</v>
      </c>
      <c r="O407" s="71" t="s">
        <v>316</v>
      </c>
      <c r="P407" s="71">
        <v>200</v>
      </c>
      <c r="Q407" s="71"/>
      <c r="R407" s="71"/>
      <c r="S407" s="72" t="str">
        <f t="shared" si="125"/>
        <v>鞋子图纸</v>
      </c>
      <c r="T407" s="71">
        <v>25</v>
      </c>
      <c r="U407" s="71" t="str">
        <f t="shared" si="126"/>
        <v/>
      </c>
      <c r="V407" s="71">
        <f t="shared" si="127"/>
        <v>0</v>
      </c>
      <c r="W407" s="71" t="s">
        <v>96</v>
      </c>
      <c r="X407" s="71">
        <f t="shared" si="103"/>
        <v>360</v>
      </c>
      <c r="Y407" s="71"/>
      <c r="Z407" s="71"/>
      <c r="AA407" s="71" t="str">
        <f t="shared" si="133"/>
        <v>基因罐</v>
      </c>
      <c r="AB407" s="71">
        <f t="shared" si="101"/>
        <v>30</v>
      </c>
      <c r="AC407" s="71" t="s">
        <v>374</v>
      </c>
      <c r="AD407" s="71">
        <v>150</v>
      </c>
      <c r="AE407" s="72" t="str">
        <f t="shared" si="130"/>
        <v>毒系特饮</v>
      </c>
      <c r="AF407" s="71">
        <v>300</v>
      </c>
      <c r="AG407" s="71"/>
      <c r="AH407" s="71"/>
      <c r="AI407" s="71" t="s">
        <v>390</v>
      </c>
      <c r="AJ407" s="71">
        <v>1</v>
      </c>
      <c r="AK407" s="71" t="s">
        <v>96</v>
      </c>
      <c r="AL407" s="71">
        <f t="shared" si="104"/>
        <v>600</v>
      </c>
      <c r="AN407" s="23" t="str">
        <f ca="1" t="shared" si="128"/>
        <v>{11,5}</v>
      </c>
      <c r="AO407" s="23" t="str">
        <f ca="1" t="shared" si="123"/>
        <v/>
      </c>
      <c r="AP407" s="23" t="str">
        <f ca="1" t="shared" si="105"/>
        <v>{50005,15}</v>
      </c>
      <c r="AQ407" s="23" t="str">
        <f ca="1" t="shared" si="106"/>
        <v>{5163001,200}</v>
      </c>
      <c r="AR407" s="23" t="str">
        <f ca="1" t="shared" si="107"/>
        <v>{2,240}</v>
      </c>
      <c r="AS407" s="23" t="str">
        <f ca="1" t="shared" si="108"/>
        <v>{5143001,250}</v>
      </c>
      <c r="AT407" s="23" t="str">
        <f ca="1" t="shared" si="134"/>
        <v>{5523001,200}</v>
      </c>
      <c r="AU407" s="23" t="str">
        <f ca="1" t="shared" si="121"/>
        <v/>
      </c>
      <c r="AV407" s="23" t="str">
        <f ca="1" t="shared" si="109"/>
        <v>{50007,25}</v>
      </c>
      <c r="AW407" s="23" t="str">
        <f ca="1" t="shared" si="110"/>
        <v/>
      </c>
      <c r="AX407" s="23" t="str">
        <f ca="1" t="shared" si="111"/>
        <v>{2,360}</v>
      </c>
      <c r="AY407" s="23" t="str">
        <f ca="1" t="shared" si="112"/>
        <v>{5204001,5}</v>
      </c>
      <c r="AZ407" s="23" t="str">
        <f ca="1" t="shared" si="102"/>
        <v>{5203001,30}</v>
      </c>
      <c r="BA407" s="23" t="str">
        <f ca="1" t="shared" si="113"/>
        <v>{1,150}</v>
      </c>
      <c r="BB407" s="23" t="s">
        <v>401</v>
      </c>
      <c r="BC407" s="23" t="str">
        <f ca="1" t="shared" si="114"/>
        <v>{5163001,300}</v>
      </c>
      <c r="BD407" s="23" t="str">
        <f ca="1" t="shared" si="131"/>
        <v/>
      </c>
      <c r="BE407" s="23" t="str">
        <f ca="1" t="shared" si="135"/>
        <v>{50039,1}</v>
      </c>
      <c r="BF407" s="23" t="str">
        <f ca="1" t="shared" si="115"/>
        <v>{2,600}</v>
      </c>
      <c r="BI407" s="23" t="str">
        <f ca="1" t="shared" si="116"/>
        <v>[{11,5},{50005,15},{5163001,200},{2,240}]</v>
      </c>
      <c r="BJ407" s="23" t="str">
        <f ca="1" t="shared" si="117"/>
        <v>[{5143001,250},{5523001,200},{50007,25},{2,360},{5204001,5}]</v>
      </c>
      <c r="BK407" s="23" t="str">
        <f ca="1" t="shared" si="118"/>
        <v>[{5203001,30},{1,150},{5523001,300},{5163001,300},{50039,1},{2,600}]</v>
      </c>
      <c r="BL407" s="23">
        <f ca="1" t="shared" si="119"/>
        <v>4</v>
      </c>
      <c r="BM407" s="23">
        <f ca="1" t="shared" si="120"/>
        <v>5</v>
      </c>
      <c r="BN407" s="23">
        <f ca="1" t="shared" si="122"/>
        <v>6</v>
      </c>
      <c r="BP407" s="71" t="s">
        <v>374</v>
      </c>
      <c r="BQ407" s="71">
        <v>150</v>
      </c>
    </row>
    <row r="408" ht="16.5" spans="2:69">
      <c r="B408" s="23">
        <v>88</v>
      </c>
      <c r="C408" s="12"/>
      <c r="D408" s="71"/>
      <c r="E408" s="71"/>
      <c r="F408" s="71"/>
      <c r="G408" s="71" t="str">
        <f t="shared" si="124"/>
        <v>裤子图纸</v>
      </c>
      <c r="H408" s="71">
        <v>15</v>
      </c>
      <c r="I408" s="71" t="str">
        <f t="shared" si="129"/>
        <v>控制特饮</v>
      </c>
      <c r="J408" s="71">
        <v>200</v>
      </c>
      <c r="K408" s="71" t="s">
        <v>96</v>
      </c>
      <c r="L408" s="71">
        <v>240</v>
      </c>
      <c r="M408" s="71" t="str">
        <f t="shared" si="132"/>
        <v>射手特饮</v>
      </c>
      <c r="N408" s="71">
        <f t="shared" si="136"/>
        <v>250</v>
      </c>
      <c r="O408" s="71" t="s">
        <v>316</v>
      </c>
      <c r="P408" s="71">
        <v>200</v>
      </c>
      <c r="Q408" s="71"/>
      <c r="R408" s="71"/>
      <c r="S408" s="72" t="str">
        <f t="shared" si="125"/>
        <v>手套图纸</v>
      </c>
      <c r="T408" s="71">
        <v>25</v>
      </c>
      <c r="U408" s="71" t="str">
        <f t="shared" si="126"/>
        <v/>
      </c>
      <c r="V408" s="71">
        <f t="shared" si="127"/>
        <v>0</v>
      </c>
      <c r="W408" s="71" t="s">
        <v>96</v>
      </c>
      <c r="X408" s="71">
        <f t="shared" si="103"/>
        <v>360</v>
      </c>
      <c r="Y408" s="71"/>
      <c r="Z408" s="71"/>
      <c r="AA408" s="71" t="str">
        <f t="shared" si="133"/>
        <v>基因罐</v>
      </c>
      <c r="AB408" s="71">
        <f t="shared" si="101"/>
        <v>30</v>
      </c>
      <c r="AC408" s="71" t="s">
        <v>374</v>
      </c>
      <c r="AD408" s="71">
        <v>150</v>
      </c>
      <c r="AE408" s="72" t="str">
        <f t="shared" si="130"/>
        <v>控制特饮</v>
      </c>
      <c r="AF408" s="71">
        <v>300</v>
      </c>
      <c r="AG408" s="71"/>
      <c r="AH408" s="71"/>
      <c r="AI408" s="71" t="s">
        <v>390</v>
      </c>
      <c r="AJ408" s="71">
        <v>1</v>
      </c>
      <c r="AK408" s="71" t="s">
        <v>96</v>
      </c>
      <c r="AL408" s="71">
        <f t="shared" si="104"/>
        <v>600</v>
      </c>
      <c r="AN408" s="23" t="str">
        <f ca="1" t="shared" si="128"/>
        <v>{11,5}</v>
      </c>
      <c r="AO408" s="23" t="str">
        <f ca="1" t="shared" si="123"/>
        <v/>
      </c>
      <c r="AP408" s="23" t="str">
        <f ca="1" t="shared" si="105"/>
        <v>{50006,15}</v>
      </c>
      <c r="AQ408" s="23" t="str">
        <f ca="1" t="shared" si="106"/>
        <v>{5153001,200}</v>
      </c>
      <c r="AR408" s="23" t="str">
        <f ca="1" t="shared" si="107"/>
        <v>{2,240}</v>
      </c>
      <c r="AS408" s="23" t="str">
        <f ca="1" t="shared" si="108"/>
        <v>{5133001,250}</v>
      </c>
      <c r="AT408" s="23" t="str">
        <f ca="1" t="shared" si="134"/>
        <v>{5523001,200}</v>
      </c>
      <c r="AU408" s="23" t="str">
        <f ca="1" t="shared" si="121"/>
        <v/>
      </c>
      <c r="AV408" s="23" t="str">
        <f ca="1" t="shared" si="109"/>
        <v>{50008,25}</v>
      </c>
      <c r="AW408" s="23" t="str">
        <f ca="1" t="shared" si="110"/>
        <v/>
      </c>
      <c r="AX408" s="23" t="str">
        <f ca="1" t="shared" si="111"/>
        <v>{2,360}</v>
      </c>
      <c r="AY408" s="23" t="str">
        <f ca="1" t="shared" si="112"/>
        <v>{5204001,5}</v>
      </c>
      <c r="AZ408" s="23" t="str">
        <f ca="1" t="shared" si="102"/>
        <v>{5203001,30}</v>
      </c>
      <c r="BA408" s="23" t="str">
        <f ca="1" t="shared" si="113"/>
        <v>{1,150}</v>
      </c>
      <c r="BB408" s="23" t="s">
        <v>401</v>
      </c>
      <c r="BC408" s="23" t="str">
        <f ca="1" t="shared" si="114"/>
        <v>{5153001,300}</v>
      </c>
      <c r="BD408" s="23" t="str">
        <f ca="1" t="shared" si="131"/>
        <v/>
      </c>
      <c r="BE408" s="23" t="str">
        <f ca="1" t="shared" si="135"/>
        <v>{50039,1}</v>
      </c>
      <c r="BF408" s="23" t="str">
        <f ca="1" t="shared" si="115"/>
        <v>{2,600}</v>
      </c>
      <c r="BI408" s="23" t="str">
        <f ca="1" t="shared" si="116"/>
        <v>[{11,5},{50006,15},{5153001,200},{2,240}]</v>
      </c>
      <c r="BJ408" s="23" t="str">
        <f ca="1" t="shared" si="117"/>
        <v>[{5133001,250},{5523001,200},{50008,25},{2,360},{5204001,5}]</v>
      </c>
      <c r="BK408" s="23" t="str">
        <f ca="1" t="shared" si="118"/>
        <v>[{5203001,30},{1,150},{5523001,300},{5153001,300},{50039,1},{2,600}]</v>
      </c>
      <c r="BL408" s="23">
        <f ca="1" t="shared" si="119"/>
        <v>4</v>
      </c>
      <c r="BM408" s="23">
        <f ca="1" t="shared" si="120"/>
        <v>5</v>
      </c>
      <c r="BN408" s="23">
        <f ca="1" t="shared" si="122"/>
        <v>6</v>
      </c>
      <c r="BP408" s="71" t="s">
        <v>374</v>
      </c>
      <c r="BQ408" s="71">
        <v>150</v>
      </c>
    </row>
    <row r="409" ht="16.5" spans="2:69">
      <c r="B409" s="23">
        <v>89</v>
      </c>
      <c r="C409" s="12"/>
      <c r="D409" s="71"/>
      <c r="E409" s="71"/>
      <c r="F409" s="71"/>
      <c r="G409" s="71" t="str">
        <f t="shared" si="124"/>
        <v>鞋子图纸</v>
      </c>
      <c r="H409" s="71">
        <v>15</v>
      </c>
      <c r="I409" s="71" t="str">
        <f t="shared" si="129"/>
        <v>射手特饮</v>
      </c>
      <c r="J409" s="71">
        <v>200</v>
      </c>
      <c r="K409" s="71" t="s">
        <v>96</v>
      </c>
      <c r="L409" s="71">
        <v>240</v>
      </c>
      <c r="M409" s="71" t="str">
        <f t="shared" si="132"/>
        <v>毒系特饮</v>
      </c>
      <c r="N409" s="71">
        <f t="shared" si="136"/>
        <v>250</v>
      </c>
      <c r="O409" s="71" t="s">
        <v>316</v>
      </c>
      <c r="P409" s="71">
        <v>200</v>
      </c>
      <c r="Q409" s="71"/>
      <c r="R409" s="71"/>
      <c r="S409" s="72" t="str">
        <f t="shared" si="125"/>
        <v>头盔图纸</v>
      </c>
      <c r="T409" s="71">
        <v>25</v>
      </c>
      <c r="U409" s="71" t="str">
        <f t="shared" si="126"/>
        <v/>
      </c>
      <c r="V409" s="71">
        <f t="shared" si="127"/>
        <v>0</v>
      </c>
      <c r="W409" s="71" t="s">
        <v>96</v>
      </c>
      <c r="X409" s="71">
        <f t="shared" si="103"/>
        <v>360</v>
      </c>
      <c r="Y409" s="71"/>
      <c r="Z409" s="71"/>
      <c r="AA409" s="71" t="str">
        <f t="shared" si="133"/>
        <v>基因罐</v>
      </c>
      <c r="AB409" s="71">
        <f t="shared" ref="AB409:AB472" si="137">AB404</f>
        <v>30</v>
      </c>
      <c r="AC409" s="71" t="s">
        <v>374</v>
      </c>
      <c r="AD409" s="71">
        <v>150</v>
      </c>
      <c r="AE409" s="72" t="str">
        <f t="shared" si="130"/>
        <v>射手特饮</v>
      </c>
      <c r="AF409" s="71">
        <v>300</v>
      </c>
      <c r="AG409" s="71"/>
      <c r="AH409" s="71"/>
      <c r="AI409" s="71" t="s">
        <v>390</v>
      </c>
      <c r="AJ409" s="71">
        <v>1</v>
      </c>
      <c r="AK409" s="71" t="s">
        <v>96</v>
      </c>
      <c r="AL409" s="71">
        <f t="shared" si="104"/>
        <v>600</v>
      </c>
      <c r="AN409" s="23" t="str">
        <f ca="1" t="shared" si="128"/>
        <v>{11,5}</v>
      </c>
      <c r="AO409" s="23" t="str">
        <f ca="1" t="shared" si="123"/>
        <v/>
      </c>
      <c r="AP409" s="23" t="str">
        <f ca="1" t="shared" si="105"/>
        <v>{50007,15}</v>
      </c>
      <c r="AQ409" s="23" t="str">
        <f ca="1" t="shared" si="106"/>
        <v>{5133001,200}</v>
      </c>
      <c r="AR409" s="23" t="str">
        <f ca="1" t="shared" si="107"/>
        <v>{2,240}</v>
      </c>
      <c r="AS409" s="23" t="str">
        <f ca="1" t="shared" si="108"/>
        <v>{5163001,250}</v>
      </c>
      <c r="AT409" s="23" t="str">
        <f ca="1" t="shared" si="134"/>
        <v>{5523001,200}</v>
      </c>
      <c r="AU409" s="23" t="str">
        <f ca="1" t="shared" si="121"/>
        <v/>
      </c>
      <c r="AV409" s="23" t="str">
        <f ca="1" t="shared" si="109"/>
        <v>{50003,25}</v>
      </c>
      <c r="AW409" s="23" t="str">
        <f ca="1" t="shared" si="110"/>
        <v/>
      </c>
      <c r="AX409" s="23" t="str">
        <f ca="1" t="shared" si="111"/>
        <v>{2,360}</v>
      </c>
      <c r="AY409" s="23" t="str">
        <f ca="1" t="shared" si="112"/>
        <v>{5204001,5}</v>
      </c>
      <c r="AZ409" s="23" t="str">
        <f ca="1" t="shared" si="102"/>
        <v>{5203001,30}</v>
      </c>
      <c r="BA409" s="23" t="str">
        <f ca="1" t="shared" si="113"/>
        <v>{1,150}</v>
      </c>
      <c r="BB409" s="23" t="s">
        <v>401</v>
      </c>
      <c r="BC409" s="23" t="str">
        <f ca="1" t="shared" si="114"/>
        <v>{5133001,300}</v>
      </c>
      <c r="BD409" s="23" t="str">
        <f ca="1" t="shared" si="131"/>
        <v/>
      </c>
      <c r="BE409" s="23" t="str">
        <f ca="1" t="shared" si="135"/>
        <v>{50039,1}</v>
      </c>
      <c r="BF409" s="23" t="str">
        <f ca="1" t="shared" si="115"/>
        <v>{2,600}</v>
      </c>
      <c r="BI409" s="23" t="str">
        <f ca="1" t="shared" si="116"/>
        <v>[{11,5},{50007,15},{5133001,200},{2,240}]</v>
      </c>
      <c r="BJ409" s="23" t="str">
        <f ca="1" t="shared" si="117"/>
        <v>[{5163001,250},{5523001,200},{50003,25},{2,360},{5204001,5}]</v>
      </c>
      <c r="BK409" s="23" t="str">
        <f ca="1" t="shared" si="118"/>
        <v>[{5203001,30},{1,150},{5523001,300},{5133001,300},{50039,1},{2,600}]</v>
      </c>
      <c r="BL409" s="23">
        <f ca="1" t="shared" si="119"/>
        <v>4</v>
      </c>
      <c r="BM409" s="23">
        <f ca="1" t="shared" si="120"/>
        <v>5</v>
      </c>
      <c r="BN409" s="23">
        <f ca="1" t="shared" si="122"/>
        <v>6</v>
      </c>
      <c r="BP409" s="71" t="s">
        <v>374</v>
      </c>
      <c r="BQ409" s="71">
        <v>150</v>
      </c>
    </row>
    <row r="410" ht="16.5" spans="2:69">
      <c r="B410" s="23">
        <v>90</v>
      </c>
      <c r="C410" s="12" t="s">
        <v>240</v>
      </c>
      <c r="D410" s="71">
        <v>1</v>
      </c>
      <c r="E410" s="71"/>
      <c r="F410" s="71"/>
      <c r="G410" s="71" t="str">
        <f t="shared" si="124"/>
        <v>手套图纸</v>
      </c>
      <c r="H410" s="71">
        <v>15</v>
      </c>
      <c r="I410" s="71" t="str">
        <f t="shared" si="129"/>
        <v>法师特饮</v>
      </c>
      <c r="J410" s="71">
        <v>200</v>
      </c>
      <c r="K410" s="71" t="s">
        <v>96</v>
      </c>
      <c r="L410" s="71">
        <v>240</v>
      </c>
      <c r="M410" s="71" t="str">
        <f t="shared" si="132"/>
        <v>控制特饮</v>
      </c>
      <c r="N410" s="71">
        <f t="shared" si="136"/>
        <v>250</v>
      </c>
      <c r="O410" s="71" t="s">
        <v>316</v>
      </c>
      <c r="P410" s="71">
        <v>200</v>
      </c>
      <c r="Q410" s="71"/>
      <c r="R410" s="71"/>
      <c r="S410" s="72" t="str">
        <f t="shared" si="125"/>
        <v>衣服图纸</v>
      </c>
      <c r="T410" s="71">
        <v>25</v>
      </c>
      <c r="U410" s="71" t="str">
        <f t="shared" si="126"/>
        <v>灵感获取令</v>
      </c>
      <c r="V410" s="71">
        <f t="shared" si="127"/>
        <v>1</v>
      </c>
      <c r="W410" s="71" t="s">
        <v>96</v>
      </c>
      <c r="X410" s="71">
        <f t="shared" si="103"/>
        <v>360</v>
      </c>
      <c r="Y410" s="71"/>
      <c r="Z410" s="71"/>
      <c r="AA410" s="71" t="str">
        <f t="shared" si="133"/>
        <v>传说基因罐</v>
      </c>
      <c r="AB410" s="71">
        <f t="shared" si="137"/>
        <v>3</v>
      </c>
      <c r="AC410" s="71" t="s">
        <v>374</v>
      </c>
      <c r="AD410" s="71">
        <v>150</v>
      </c>
      <c r="AE410" s="72" t="str">
        <f t="shared" si="130"/>
        <v>战士特饮</v>
      </c>
      <c r="AF410" s="71">
        <v>300</v>
      </c>
      <c r="AG410" s="71"/>
      <c r="AH410" s="71"/>
      <c r="AI410" s="71" t="s">
        <v>390</v>
      </c>
      <c r="AJ410" s="71">
        <v>1</v>
      </c>
      <c r="AK410" s="71" t="s">
        <v>96</v>
      </c>
      <c r="AL410" s="71">
        <f t="shared" si="104"/>
        <v>600</v>
      </c>
      <c r="AN410" s="23" t="str">
        <f ca="1" t="shared" si="128"/>
        <v>{35,1}</v>
      </c>
      <c r="AO410" s="23" t="str">
        <f ca="1" t="shared" si="123"/>
        <v/>
      </c>
      <c r="AP410" s="23" t="str">
        <f ca="1" t="shared" si="105"/>
        <v>{50008,15}</v>
      </c>
      <c r="AQ410" s="23" t="str">
        <f ca="1" t="shared" si="106"/>
        <v>{5123001,200}</v>
      </c>
      <c r="AR410" s="23" t="str">
        <f ca="1" t="shared" si="107"/>
        <v>{2,240}</v>
      </c>
      <c r="AS410" s="23" t="str">
        <f ca="1" t="shared" si="108"/>
        <v>{5153001,250}</v>
      </c>
      <c r="AT410" s="23" t="str">
        <f ca="1" t="shared" si="134"/>
        <v>{5523001,200}</v>
      </c>
      <c r="AU410" s="23" t="str">
        <f ca="1" t="shared" si="121"/>
        <v/>
      </c>
      <c r="AV410" s="23" t="str">
        <f ca="1" t="shared" si="109"/>
        <v>{50004,25}</v>
      </c>
      <c r="AW410" s="23" t="str">
        <f ca="1" t="shared" si="110"/>
        <v>{9,1}</v>
      </c>
      <c r="AX410" s="23" t="str">
        <f ca="1" t="shared" si="111"/>
        <v>{2,360}</v>
      </c>
      <c r="AY410" s="23" t="str">
        <f ca="1" t="shared" si="112"/>
        <v>{5204001,5}</v>
      </c>
      <c r="AZ410" s="23" t="str">
        <f ca="1" t="shared" si="102"/>
        <v>{5205001,3}</v>
      </c>
      <c r="BA410" s="23" t="str">
        <f ca="1" t="shared" si="113"/>
        <v>{1,150}</v>
      </c>
      <c r="BB410" s="23" t="s">
        <v>401</v>
      </c>
      <c r="BC410" s="23" t="str">
        <f ca="1" t="shared" si="114"/>
        <v>{5113001,300}</v>
      </c>
      <c r="BD410" s="23" t="str">
        <f ca="1" t="shared" si="131"/>
        <v/>
      </c>
      <c r="BE410" s="23" t="str">
        <f ca="1" t="shared" si="135"/>
        <v>{50039,1}</v>
      </c>
      <c r="BF410" s="23" t="str">
        <f ca="1" t="shared" si="115"/>
        <v>{2,600}</v>
      </c>
      <c r="BI410" s="23" t="str">
        <f ca="1" t="shared" si="116"/>
        <v>[{35,1},{50008,15},{5123001,200},{2,240}]</v>
      </c>
      <c r="BJ410" s="23" t="str">
        <f ca="1" t="shared" si="117"/>
        <v>[{5153001,250},{5523001,200},{50004,25},{9,1},{2,360},{5204001,5}]</v>
      </c>
      <c r="BK410" s="23" t="str">
        <f ca="1" t="shared" si="118"/>
        <v>[{5205001,3},{1,150},{5523001,300},{5113001,300},{50039,1},{2,600}]</v>
      </c>
      <c r="BL410" s="23">
        <f ca="1" t="shared" si="119"/>
        <v>4</v>
      </c>
      <c r="BM410" s="23">
        <f ca="1" t="shared" si="120"/>
        <v>6</v>
      </c>
      <c r="BN410" s="23">
        <f ca="1" t="shared" si="122"/>
        <v>6</v>
      </c>
      <c r="BP410" s="71" t="s">
        <v>374</v>
      </c>
      <c r="BQ410" s="71">
        <v>150</v>
      </c>
    </row>
    <row r="411" ht="16.5" spans="2:69">
      <c r="B411" s="23">
        <v>91</v>
      </c>
      <c r="C411" s="12"/>
      <c r="D411" s="71"/>
      <c r="E411" s="71"/>
      <c r="F411" s="71"/>
      <c r="G411" s="71" t="str">
        <f t="shared" si="124"/>
        <v>头盔图纸</v>
      </c>
      <c r="H411" s="71">
        <v>15</v>
      </c>
      <c r="I411" s="71" t="str">
        <f t="shared" si="129"/>
        <v>辅助特饮</v>
      </c>
      <c r="J411" s="71">
        <v>200</v>
      </c>
      <c r="K411" s="71" t="s">
        <v>96</v>
      </c>
      <c r="L411" s="71">
        <v>240</v>
      </c>
      <c r="M411" s="71" t="str">
        <f t="shared" si="132"/>
        <v>战士特饮</v>
      </c>
      <c r="N411" s="71">
        <f t="shared" si="136"/>
        <v>250</v>
      </c>
      <c r="O411" s="71" t="s">
        <v>316</v>
      </c>
      <c r="P411" s="71">
        <v>200</v>
      </c>
      <c r="Q411" s="71"/>
      <c r="R411" s="71"/>
      <c r="S411" s="72" t="str">
        <f t="shared" si="125"/>
        <v>护臂图纸</v>
      </c>
      <c r="T411" s="71">
        <v>25</v>
      </c>
      <c r="U411" s="71" t="str">
        <f t="shared" si="126"/>
        <v/>
      </c>
      <c r="V411" s="71">
        <f t="shared" si="127"/>
        <v>0</v>
      </c>
      <c r="W411" s="71" t="s">
        <v>96</v>
      </c>
      <c r="X411" s="71">
        <f t="shared" si="103"/>
        <v>360</v>
      </c>
      <c r="Y411" s="71"/>
      <c r="Z411" s="71"/>
      <c r="AA411" s="71" t="str">
        <f t="shared" si="133"/>
        <v>基因罐</v>
      </c>
      <c r="AB411" s="71">
        <f t="shared" si="137"/>
        <v>30</v>
      </c>
      <c r="AC411" s="71" t="s">
        <v>374</v>
      </c>
      <c r="AD411" s="71">
        <v>150</v>
      </c>
      <c r="AE411" s="72" t="str">
        <f t="shared" si="130"/>
        <v>法师特饮</v>
      </c>
      <c r="AF411" s="71">
        <v>300</v>
      </c>
      <c r="AG411" s="71"/>
      <c r="AH411" s="71"/>
      <c r="AI411" s="71" t="s">
        <v>390</v>
      </c>
      <c r="AJ411" s="71">
        <v>1</v>
      </c>
      <c r="AK411" s="71" t="s">
        <v>96</v>
      </c>
      <c r="AL411" s="71">
        <f t="shared" si="104"/>
        <v>600</v>
      </c>
      <c r="AN411" s="23" t="str">
        <f ca="1" t="shared" si="128"/>
        <v>{11,5}</v>
      </c>
      <c r="AO411" s="23" t="str">
        <f ca="1" t="shared" si="123"/>
        <v/>
      </c>
      <c r="AP411" s="23" t="str">
        <f ca="1" t="shared" si="105"/>
        <v>{50003,15}</v>
      </c>
      <c r="AQ411" s="23" t="str">
        <f ca="1" t="shared" si="106"/>
        <v>{5143001,200}</v>
      </c>
      <c r="AR411" s="23" t="str">
        <f ca="1" t="shared" si="107"/>
        <v>{2,240}</v>
      </c>
      <c r="AS411" s="23" t="str">
        <f ca="1" t="shared" si="108"/>
        <v>{5113001,250}</v>
      </c>
      <c r="AT411" s="23" t="str">
        <f ca="1" t="shared" si="134"/>
        <v>{5523001,200}</v>
      </c>
      <c r="AU411" s="23" t="str">
        <f ca="1" t="shared" si="121"/>
        <v/>
      </c>
      <c r="AV411" s="23" t="str">
        <f ca="1" t="shared" si="109"/>
        <v>{50005,25}</v>
      </c>
      <c r="AW411" s="23" t="str">
        <f ca="1" t="shared" si="110"/>
        <v/>
      </c>
      <c r="AX411" s="23" t="str">
        <f ca="1" t="shared" si="111"/>
        <v>{2,360}</v>
      </c>
      <c r="AY411" s="23" t="str">
        <f ca="1" t="shared" si="112"/>
        <v>{5204001,5}</v>
      </c>
      <c r="AZ411" s="23" t="str">
        <f ca="1" t="shared" si="102"/>
        <v>{5203001,30}</v>
      </c>
      <c r="BA411" s="23" t="str">
        <f ca="1" t="shared" si="113"/>
        <v>{1,150}</v>
      </c>
      <c r="BB411" s="23" t="s">
        <v>401</v>
      </c>
      <c r="BC411" s="23" t="str">
        <f ca="1" t="shared" si="114"/>
        <v>{5123001,300}</v>
      </c>
      <c r="BD411" s="23" t="str">
        <f ca="1" t="shared" si="131"/>
        <v/>
      </c>
      <c r="BE411" s="23" t="str">
        <f ca="1" t="shared" si="135"/>
        <v>{50039,1}</v>
      </c>
      <c r="BF411" s="23" t="str">
        <f ca="1" t="shared" si="115"/>
        <v>{2,600}</v>
      </c>
      <c r="BI411" s="23" t="str">
        <f ca="1" t="shared" si="116"/>
        <v>[{11,5},{50003,15},{5143001,200},{2,240}]</v>
      </c>
      <c r="BJ411" s="23" t="str">
        <f ca="1" t="shared" si="117"/>
        <v>[{5113001,250},{5523001,200},{50005,25},{2,360},{5204001,5}]</v>
      </c>
      <c r="BK411" s="23" t="str">
        <f ca="1" t="shared" si="118"/>
        <v>[{5203001,30},{1,150},{5523001,300},{5123001,300},{50039,1},{2,600}]</v>
      </c>
      <c r="BL411" s="23">
        <f ca="1" t="shared" si="119"/>
        <v>4</v>
      </c>
      <c r="BM411" s="23">
        <f ca="1" t="shared" si="120"/>
        <v>5</v>
      </c>
      <c r="BN411" s="23">
        <f ca="1" t="shared" si="122"/>
        <v>6</v>
      </c>
      <c r="BP411" s="71" t="s">
        <v>374</v>
      </c>
      <c r="BQ411" s="71">
        <v>150</v>
      </c>
    </row>
    <row r="412" ht="16.5" spans="2:69">
      <c r="B412" s="23">
        <v>92</v>
      </c>
      <c r="C412" s="12"/>
      <c r="D412" s="71"/>
      <c r="E412" s="71"/>
      <c r="F412" s="71"/>
      <c r="G412" s="71" t="str">
        <f t="shared" si="124"/>
        <v>衣服图纸</v>
      </c>
      <c r="H412" s="71">
        <v>15</v>
      </c>
      <c r="I412" s="71" t="str">
        <f t="shared" si="129"/>
        <v>战士特饮</v>
      </c>
      <c r="J412" s="71">
        <v>200</v>
      </c>
      <c r="K412" s="71" t="s">
        <v>96</v>
      </c>
      <c r="L412" s="71">
        <v>240</v>
      </c>
      <c r="M412" s="71" t="str">
        <f t="shared" si="132"/>
        <v>法师特饮</v>
      </c>
      <c r="N412" s="71">
        <f t="shared" si="136"/>
        <v>250</v>
      </c>
      <c r="O412" s="71" t="s">
        <v>316</v>
      </c>
      <c r="P412" s="71">
        <v>200</v>
      </c>
      <c r="Q412" s="71"/>
      <c r="R412" s="71"/>
      <c r="S412" s="72" t="str">
        <f t="shared" si="125"/>
        <v>裤子图纸</v>
      </c>
      <c r="T412" s="71">
        <v>25</v>
      </c>
      <c r="U412" s="71" t="str">
        <f t="shared" si="126"/>
        <v/>
      </c>
      <c r="V412" s="71">
        <f t="shared" si="127"/>
        <v>0</v>
      </c>
      <c r="W412" s="71" t="s">
        <v>96</v>
      </c>
      <c r="X412" s="71">
        <f t="shared" si="103"/>
        <v>360</v>
      </c>
      <c r="Y412" s="71"/>
      <c r="Z412" s="71"/>
      <c r="AA412" s="71" t="str">
        <f t="shared" si="133"/>
        <v>基因罐</v>
      </c>
      <c r="AB412" s="71">
        <f t="shared" si="137"/>
        <v>30</v>
      </c>
      <c r="AC412" s="71" t="s">
        <v>374</v>
      </c>
      <c r="AD412" s="71">
        <v>150</v>
      </c>
      <c r="AE412" s="72" t="str">
        <f t="shared" si="130"/>
        <v>辅助特饮</v>
      </c>
      <c r="AF412" s="71">
        <v>300</v>
      </c>
      <c r="AG412" s="71"/>
      <c r="AH412" s="71"/>
      <c r="AI412" s="71" t="s">
        <v>390</v>
      </c>
      <c r="AJ412" s="71">
        <v>1</v>
      </c>
      <c r="AK412" s="71" t="s">
        <v>96</v>
      </c>
      <c r="AL412" s="71">
        <f t="shared" si="104"/>
        <v>600</v>
      </c>
      <c r="AN412" s="23" t="str">
        <f ca="1" t="shared" si="128"/>
        <v>{11,5}</v>
      </c>
      <c r="AO412" s="23" t="str">
        <f ca="1" t="shared" si="123"/>
        <v/>
      </c>
      <c r="AP412" s="23" t="str">
        <f ca="1" t="shared" si="105"/>
        <v>{50004,15}</v>
      </c>
      <c r="AQ412" s="23" t="str">
        <f ca="1" t="shared" si="106"/>
        <v>{5113001,200}</v>
      </c>
      <c r="AR412" s="23" t="str">
        <f ca="1" t="shared" si="107"/>
        <v>{2,240}</v>
      </c>
      <c r="AS412" s="23" t="str">
        <f ca="1" t="shared" si="108"/>
        <v>{5123001,250}</v>
      </c>
      <c r="AT412" s="23" t="str">
        <f ca="1" t="shared" si="134"/>
        <v>{5523001,200}</v>
      </c>
      <c r="AU412" s="23" t="str">
        <f ca="1" t="shared" si="121"/>
        <v/>
      </c>
      <c r="AV412" s="23" t="str">
        <f ca="1" t="shared" si="109"/>
        <v>{50006,25}</v>
      </c>
      <c r="AW412" s="23" t="str">
        <f ca="1" t="shared" si="110"/>
        <v/>
      </c>
      <c r="AX412" s="23" t="str">
        <f ca="1" t="shared" si="111"/>
        <v>{2,360}</v>
      </c>
      <c r="AY412" s="23" t="str">
        <f ca="1" t="shared" si="112"/>
        <v>{5204001,5}</v>
      </c>
      <c r="AZ412" s="23" t="str">
        <f ca="1" t="shared" si="102"/>
        <v>{5203001,30}</v>
      </c>
      <c r="BA412" s="23" t="str">
        <f ca="1" t="shared" si="113"/>
        <v>{1,150}</v>
      </c>
      <c r="BB412" s="23" t="s">
        <v>401</v>
      </c>
      <c r="BC412" s="23" t="str">
        <f ca="1" t="shared" si="114"/>
        <v>{5143001,300}</v>
      </c>
      <c r="BD412" s="23" t="str">
        <f ca="1" t="shared" si="131"/>
        <v/>
      </c>
      <c r="BE412" s="23" t="str">
        <f ca="1" t="shared" si="135"/>
        <v>{50039,1}</v>
      </c>
      <c r="BF412" s="23" t="str">
        <f ca="1" t="shared" si="115"/>
        <v>{2,600}</v>
      </c>
      <c r="BI412" s="23" t="str">
        <f ca="1" t="shared" si="116"/>
        <v>[{11,5},{50004,15},{5113001,200},{2,240}]</v>
      </c>
      <c r="BJ412" s="23" t="str">
        <f ca="1" t="shared" si="117"/>
        <v>[{5123001,250},{5523001,200},{50006,25},{2,360},{5204001,5}]</v>
      </c>
      <c r="BK412" s="23" t="str">
        <f ca="1" t="shared" si="118"/>
        <v>[{5203001,30},{1,150},{5523001,300},{5143001,300},{50039,1},{2,600}]</v>
      </c>
      <c r="BL412" s="23">
        <f ca="1" t="shared" si="119"/>
        <v>4</v>
      </c>
      <c r="BM412" s="23">
        <f ca="1" t="shared" si="120"/>
        <v>5</v>
      </c>
      <c r="BN412" s="23">
        <f ca="1" t="shared" si="122"/>
        <v>6</v>
      </c>
      <c r="BP412" s="71" t="s">
        <v>374</v>
      </c>
      <c r="BQ412" s="71">
        <v>150</v>
      </c>
    </row>
    <row r="413" ht="16.5" spans="2:69">
      <c r="B413" s="23">
        <v>93</v>
      </c>
      <c r="C413" s="12"/>
      <c r="D413" s="71"/>
      <c r="E413" s="71"/>
      <c r="F413" s="71"/>
      <c r="G413" s="71" t="str">
        <f t="shared" si="124"/>
        <v>护臂图纸</v>
      </c>
      <c r="H413" s="71">
        <v>15</v>
      </c>
      <c r="I413" s="71" t="str">
        <f t="shared" si="129"/>
        <v>毒系特饮</v>
      </c>
      <c r="J413" s="71">
        <v>200</v>
      </c>
      <c r="K413" s="71" t="s">
        <v>96</v>
      </c>
      <c r="L413" s="71">
        <v>240</v>
      </c>
      <c r="M413" s="71" t="str">
        <f t="shared" si="132"/>
        <v>辅助特饮</v>
      </c>
      <c r="N413" s="71">
        <f t="shared" si="136"/>
        <v>250</v>
      </c>
      <c r="O413" s="71" t="s">
        <v>316</v>
      </c>
      <c r="P413" s="71">
        <v>200</v>
      </c>
      <c r="Q413" s="71"/>
      <c r="R413" s="71"/>
      <c r="S413" s="72" t="str">
        <f t="shared" si="125"/>
        <v>鞋子图纸</v>
      </c>
      <c r="T413" s="71">
        <v>25</v>
      </c>
      <c r="U413" s="71" t="str">
        <f t="shared" si="126"/>
        <v/>
      </c>
      <c r="V413" s="71">
        <f t="shared" si="127"/>
        <v>0</v>
      </c>
      <c r="W413" s="71" t="s">
        <v>96</v>
      </c>
      <c r="X413" s="71">
        <f t="shared" si="103"/>
        <v>360</v>
      </c>
      <c r="Y413" s="71"/>
      <c r="Z413" s="71"/>
      <c r="AA413" s="71" t="str">
        <f t="shared" si="133"/>
        <v>基因罐</v>
      </c>
      <c r="AB413" s="71">
        <f t="shared" si="137"/>
        <v>30</v>
      </c>
      <c r="AC413" s="71" t="s">
        <v>374</v>
      </c>
      <c r="AD413" s="71">
        <v>150</v>
      </c>
      <c r="AE413" s="72" t="str">
        <f t="shared" si="130"/>
        <v>毒系特饮</v>
      </c>
      <c r="AF413" s="71">
        <v>300</v>
      </c>
      <c r="AG413" s="71"/>
      <c r="AH413" s="71"/>
      <c r="AI413" s="71" t="s">
        <v>390</v>
      </c>
      <c r="AJ413" s="71">
        <v>1</v>
      </c>
      <c r="AK413" s="71" t="s">
        <v>96</v>
      </c>
      <c r="AL413" s="71">
        <f t="shared" si="104"/>
        <v>600</v>
      </c>
      <c r="AN413" s="23" t="str">
        <f ca="1" t="shared" si="128"/>
        <v>{11,5}</v>
      </c>
      <c r="AO413" s="23" t="str">
        <f ca="1" t="shared" si="123"/>
        <v/>
      </c>
      <c r="AP413" s="23" t="str">
        <f ca="1" t="shared" si="105"/>
        <v>{50005,15}</v>
      </c>
      <c r="AQ413" s="23" t="str">
        <f ca="1" t="shared" si="106"/>
        <v>{5163001,200}</v>
      </c>
      <c r="AR413" s="23" t="str">
        <f ca="1" t="shared" si="107"/>
        <v>{2,240}</v>
      </c>
      <c r="AS413" s="23" t="str">
        <f ca="1" t="shared" si="108"/>
        <v>{5143001,250}</v>
      </c>
      <c r="AT413" s="23" t="str">
        <f ca="1" t="shared" si="134"/>
        <v>{5523001,200}</v>
      </c>
      <c r="AU413" s="23" t="str">
        <f ca="1" t="shared" si="121"/>
        <v/>
      </c>
      <c r="AV413" s="23" t="str">
        <f ca="1" t="shared" si="109"/>
        <v>{50007,25}</v>
      </c>
      <c r="AW413" s="23" t="str">
        <f ca="1" t="shared" si="110"/>
        <v/>
      </c>
      <c r="AX413" s="23" t="str">
        <f ca="1" t="shared" si="111"/>
        <v>{2,360}</v>
      </c>
      <c r="AY413" s="23" t="str">
        <f ca="1" t="shared" si="112"/>
        <v>{5204001,5}</v>
      </c>
      <c r="AZ413" s="23" t="str">
        <f ca="1" t="shared" si="102"/>
        <v>{5203001,30}</v>
      </c>
      <c r="BA413" s="23" t="str">
        <f ca="1" t="shared" si="113"/>
        <v>{1,150}</v>
      </c>
      <c r="BB413" s="23" t="s">
        <v>401</v>
      </c>
      <c r="BC413" s="23" t="str">
        <f ca="1" t="shared" si="114"/>
        <v>{5163001,300}</v>
      </c>
      <c r="BD413" s="23" t="str">
        <f ca="1" t="shared" si="131"/>
        <v/>
      </c>
      <c r="BE413" s="23" t="str">
        <f ca="1" t="shared" si="135"/>
        <v>{50039,1}</v>
      </c>
      <c r="BF413" s="23" t="str">
        <f ca="1" t="shared" si="115"/>
        <v>{2,600}</v>
      </c>
      <c r="BI413" s="23" t="str">
        <f ca="1" t="shared" si="116"/>
        <v>[{11,5},{50005,15},{5163001,200},{2,240}]</v>
      </c>
      <c r="BJ413" s="23" t="str">
        <f ca="1" t="shared" si="117"/>
        <v>[{5143001,250},{5523001,200},{50007,25},{2,360},{5204001,5}]</v>
      </c>
      <c r="BK413" s="23" t="str">
        <f ca="1" t="shared" si="118"/>
        <v>[{5203001,30},{1,150},{5523001,300},{5163001,300},{50039,1},{2,600}]</v>
      </c>
      <c r="BL413" s="23">
        <f ca="1" t="shared" si="119"/>
        <v>4</v>
      </c>
      <c r="BM413" s="23">
        <f ca="1" t="shared" si="120"/>
        <v>5</v>
      </c>
      <c r="BN413" s="23">
        <f ca="1" t="shared" si="122"/>
        <v>6</v>
      </c>
      <c r="BP413" s="71" t="s">
        <v>374</v>
      </c>
      <c r="BQ413" s="71">
        <v>150</v>
      </c>
    </row>
    <row r="414" ht="16.5" spans="2:69">
      <c r="B414" s="23">
        <v>94</v>
      </c>
      <c r="C414" s="12"/>
      <c r="D414" s="71"/>
      <c r="E414" s="71"/>
      <c r="F414" s="71"/>
      <c r="G414" s="71" t="str">
        <f t="shared" si="124"/>
        <v>裤子图纸</v>
      </c>
      <c r="H414" s="71">
        <v>15</v>
      </c>
      <c r="I414" s="71" t="str">
        <f t="shared" si="129"/>
        <v>控制特饮</v>
      </c>
      <c r="J414" s="71">
        <v>200</v>
      </c>
      <c r="K414" s="71" t="s">
        <v>96</v>
      </c>
      <c r="L414" s="71">
        <v>240</v>
      </c>
      <c r="M414" s="71" t="str">
        <f t="shared" si="132"/>
        <v>射手特饮</v>
      </c>
      <c r="N414" s="71">
        <f t="shared" si="136"/>
        <v>250</v>
      </c>
      <c r="O414" s="71" t="s">
        <v>316</v>
      </c>
      <c r="P414" s="71">
        <v>200</v>
      </c>
      <c r="Q414" s="71"/>
      <c r="R414" s="71"/>
      <c r="S414" s="72" t="str">
        <f t="shared" si="125"/>
        <v>手套图纸</v>
      </c>
      <c r="T414" s="71">
        <v>25</v>
      </c>
      <c r="U414" s="71" t="str">
        <f t="shared" si="126"/>
        <v/>
      </c>
      <c r="V414" s="71">
        <f t="shared" si="127"/>
        <v>0</v>
      </c>
      <c r="W414" s="71" t="s">
        <v>96</v>
      </c>
      <c r="X414" s="71">
        <f t="shared" si="103"/>
        <v>360</v>
      </c>
      <c r="Y414" s="71"/>
      <c r="Z414" s="71"/>
      <c r="AA414" s="71" t="str">
        <f t="shared" si="133"/>
        <v>基因罐</v>
      </c>
      <c r="AB414" s="71">
        <f t="shared" si="137"/>
        <v>30</v>
      </c>
      <c r="AC414" s="71" t="s">
        <v>374</v>
      </c>
      <c r="AD414" s="71">
        <v>150</v>
      </c>
      <c r="AE414" s="72" t="str">
        <f t="shared" si="130"/>
        <v>控制特饮</v>
      </c>
      <c r="AF414" s="71">
        <v>300</v>
      </c>
      <c r="AG414" s="71"/>
      <c r="AH414" s="71"/>
      <c r="AI414" s="71" t="s">
        <v>390</v>
      </c>
      <c r="AJ414" s="71">
        <v>1</v>
      </c>
      <c r="AK414" s="71" t="s">
        <v>96</v>
      </c>
      <c r="AL414" s="71">
        <f t="shared" si="104"/>
        <v>600</v>
      </c>
      <c r="AN414" s="23" t="str">
        <f ca="1" t="shared" si="128"/>
        <v>{11,5}</v>
      </c>
      <c r="AO414" s="23" t="str">
        <f ca="1" t="shared" si="123"/>
        <v/>
      </c>
      <c r="AP414" s="23" t="str">
        <f ca="1" t="shared" si="105"/>
        <v>{50006,15}</v>
      </c>
      <c r="AQ414" s="23" t="str">
        <f ca="1" t="shared" si="106"/>
        <v>{5153001,200}</v>
      </c>
      <c r="AR414" s="23" t="str">
        <f ca="1" t="shared" si="107"/>
        <v>{2,240}</v>
      </c>
      <c r="AS414" s="23" t="str">
        <f ca="1" t="shared" si="108"/>
        <v>{5133001,250}</v>
      </c>
      <c r="AT414" s="23" t="str">
        <f ca="1" t="shared" si="134"/>
        <v>{5523001,200}</v>
      </c>
      <c r="AU414" s="23" t="str">
        <f ca="1" t="shared" si="121"/>
        <v/>
      </c>
      <c r="AV414" s="23" t="str">
        <f ca="1" t="shared" si="109"/>
        <v>{50008,25}</v>
      </c>
      <c r="AW414" s="23" t="str">
        <f ca="1" t="shared" si="110"/>
        <v/>
      </c>
      <c r="AX414" s="23" t="str">
        <f ca="1" t="shared" si="111"/>
        <v>{2,360}</v>
      </c>
      <c r="AY414" s="23" t="str">
        <f ca="1" t="shared" si="112"/>
        <v>{5204001,5}</v>
      </c>
      <c r="AZ414" s="23" t="str">
        <f ca="1" t="shared" si="102"/>
        <v>{5203001,30}</v>
      </c>
      <c r="BA414" s="23" t="str">
        <f ca="1" t="shared" si="113"/>
        <v>{1,150}</v>
      </c>
      <c r="BB414" s="23" t="s">
        <v>401</v>
      </c>
      <c r="BC414" s="23" t="str">
        <f ca="1" t="shared" si="114"/>
        <v>{5153001,300}</v>
      </c>
      <c r="BD414" s="23" t="str">
        <f ca="1" t="shared" si="131"/>
        <v/>
      </c>
      <c r="BE414" s="23" t="str">
        <f ca="1" t="shared" si="135"/>
        <v>{50039,1}</v>
      </c>
      <c r="BF414" s="23" t="str">
        <f ca="1" t="shared" si="115"/>
        <v>{2,600}</v>
      </c>
      <c r="BI414" s="23" t="str">
        <f ca="1" t="shared" si="116"/>
        <v>[{11,5},{50006,15},{5153001,200},{2,240}]</v>
      </c>
      <c r="BJ414" s="23" t="str">
        <f ca="1" t="shared" si="117"/>
        <v>[{5133001,250},{5523001,200},{50008,25},{2,360},{5204001,5}]</v>
      </c>
      <c r="BK414" s="23" t="str">
        <f ca="1" t="shared" si="118"/>
        <v>[{5203001,30},{1,150},{5523001,300},{5153001,300},{50039,1},{2,600}]</v>
      </c>
      <c r="BL414" s="23">
        <f ca="1" t="shared" si="119"/>
        <v>4</v>
      </c>
      <c r="BM414" s="23">
        <f ca="1" t="shared" si="120"/>
        <v>5</v>
      </c>
      <c r="BN414" s="23">
        <f ca="1" t="shared" si="122"/>
        <v>6</v>
      </c>
      <c r="BP414" s="71" t="s">
        <v>374</v>
      </c>
      <c r="BQ414" s="71">
        <v>150</v>
      </c>
    </row>
    <row r="415" ht="16.5" spans="2:69">
      <c r="B415" s="23">
        <v>95</v>
      </c>
      <c r="C415" s="12" t="s">
        <v>240</v>
      </c>
      <c r="D415" s="71">
        <v>1</v>
      </c>
      <c r="E415" s="71"/>
      <c r="F415" s="71"/>
      <c r="G415" s="71" t="str">
        <f t="shared" si="124"/>
        <v>鞋子图纸</v>
      </c>
      <c r="H415" s="71">
        <v>15</v>
      </c>
      <c r="I415" s="71" t="str">
        <f t="shared" si="129"/>
        <v>射手特饮</v>
      </c>
      <c r="J415" s="71">
        <v>200</v>
      </c>
      <c r="K415" s="71" t="s">
        <v>96</v>
      </c>
      <c r="L415" s="71">
        <v>240</v>
      </c>
      <c r="M415" s="71" t="str">
        <f t="shared" si="132"/>
        <v>毒系特饮</v>
      </c>
      <c r="N415" s="71">
        <f t="shared" si="136"/>
        <v>250</v>
      </c>
      <c r="O415" s="71" t="s">
        <v>316</v>
      </c>
      <c r="P415" s="71">
        <v>200</v>
      </c>
      <c r="Q415" s="71"/>
      <c r="R415" s="71"/>
      <c r="S415" s="72" t="str">
        <f t="shared" si="125"/>
        <v>头盔图纸</v>
      </c>
      <c r="T415" s="71">
        <v>25</v>
      </c>
      <c r="U415" s="71" t="str">
        <f t="shared" si="126"/>
        <v>灵感获取令</v>
      </c>
      <c r="V415" s="71">
        <f t="shared" si="127"/>
        <v>1</v>
      </c>
      <c r="W415" s="71" t="s">
        <v>96</v>
      </c>
      <c r="X415" s="71">
        <f t="shared" si="103"/>
        <v>360</v>
      </c>
      <c r="Y415" s="71"/>
      <c r="Z415" s="71"/>
      <c r="AA415" s="71" t="str">
        <f t="shared" si="133"/>
        <v>传说基因罐</v>
      </c>
      <c r="AB415" s="71">
        <f t="shared" si="137"/>
        <v>3</v>
      </c>
      <c r="AC415" s="71" t="s">
        <v>374</v>
      </c>
      <c r="AD415" s="71">
        <v>150</v>
      </c>
      <c r="AE415" s="72" t="str">
        <f t="shared" si="130"/>
        <v>射手特饮</v>
      </c>
      <c r="AF415" s="71">
        <v>300</v>
      </c>
      <c r="AG415" s="71"/>
      <c r="AH415" s="71"/>
      <c r="AI415" s="71" t="s">
        <v>390</v>
      </c>
      <c r="AJ415" s="71">
        <v>1</v>
      </c>
      <c r="AK415" s="71" t="s">
        <v>96</v>
      </c>
      <c r="AL415" s="71">
        <f t="shared" si="104"/>
        <v>600</v>
      </c>
      <c r="AN415" s="23" t="str">
        <f ca="1" t="shared" si="128"/>
        <v>{35,1}</v>
      </c>
      <c r="AO415" s="23" t="str">
        <f ca="1" t="shared" si="123"/>
        <v/>
      </c>
      <c r="AP415" s="23" t="str">
        <f ca="1" t="shared" si="105"/>
        <v>{50007,15}</v>
      </c>
      <c r="AQ415" s="23" t="str">
        <f ca="1" t="shared" si="106"/>
        <v>{5133001,200}</v>
      </c>
      <c r="AR415" s="23" t="str">
        <f ca="1" t="shared" si="107"/>
        <v>{2,240}</v>
      </c>
      <c r="AS415" s="23" t="str">
        <f ca="1" t="shared" si="108"/>
        <v>{5163001,250}</v>
      </c>
      <c r="AT415" s="23" t="str">
        <f ca="1" t="shared" si="134"/>
        <v>{5523001,200}</v>
      </c>
      <c r="AU415" s="23" t="str">
        <f ca="1" t="shared" si="121"/>
        <v/>
      </c>
      <c r="AV415" s="23" t="str">
        <f ca="1" t="shared" si="109"/>
        <v>{50003,25}</v>
      </c>
      <c r="AW415" s="23" t="str">
        <f ca="1" t="shared" si="110"/>
        <v>{9,1}</v>
      </c>
      <c r="AX415" s="23" t="str">
        <f ca="1" t="shared" si="111"/>
        <v>{2,360}</v>
      </c>
      <c r="AY415" s="23" t="str">
        <f ca="1" t="shared" si="112"/>
        <v>{5204001,5}</v>
      </c>
      <c r="AZ415" s="23" t="str">
        <f ca="1" t="shared" ref="AZ415:AZ478" si="138">IF(OFFSET($B415,0,AZ$320*2+1)="","","{"&amp;VLOOKUP(OFFSET($B415,0,AZ$320*2+1),$AN$291:$AO$312,2,0)&amp;","&amp;OFFSET($B415,0,AZ$320*2+2)&amp;"}")</f>
        <v>{5205001,3}</v>
      </c>
      <c r="BA415" s="23" t="str">
        <f ca="1" t="shared" si="113"/>
        <v>{1,150}</v>
      </c>
      <c r="BB415" s="23" t="s">
        <v>401</v>
      </c>
      <c r="BC415" s="23" t="str">
        <f ca="1" t="shared" si="114"/>
        <v>{5133001,300}</v>
      </c>
      <c r="BD415" s="23" t="str">
        <f ca="1" t="shared" si="131"/>
        <v/>
      </c>
      <c r="BE415" s="23" t="str">
        <f ca="1" t="shared" si="135"/>
        <v>{50039,1}</v>
      </c>
      <c r="BF415" s="23" t="str">
        <f ca="1" t="shared" si="115"/>
        <v>{2,600}</v>
      </c>
      <c r="BI415" s="23" t="str">
        <f ca="1" t="shared" si="116"/>
        <v>[{35,1},{50007,15},{5133001,200},{2,240}]</v>
      </c>
      <c r="BJ415" s="23" t="str">
        <f ca="1" t="shared" si="117"/>
        <v>[{5163001,250},{5523001,200},{50003,25},{9,1},{2,360},{5204001,5}]</v>
      </c>
      <c r="BK415" s="23" t="str">
        <f ca="1" t="shared" si="118"/>
        <v>[{5205001,3},{1,150},{5523001,300},{5133001,300},{50039,1},{2,600}]</v>
      </c>
      <c r="BL415" s="23">
        <f ca="1" t="shared" si="119"/>
        <v>4</v>
      </c>
      <c r="BM415" s="23">
        <f ca="1" t="shared" si="120"/>
        <v>6</v>
      </c>
      <c r="BN415" s="23">
        <f ca="1" t="shared" si="122"/>
        <v>6</v>
      </c>
      <c r="BP415" s="71" t="s">
        <v>374</v>
      </c>
      <c r="BQ415" s="71">
        <v>150</v>
      </c>
    </row>
    <row r="416" ht="16.5" spans="2:69">
      <c r="B416" s="23">
        <v>96</v>
      </c>
      <c r="C416" s="12"/>
      <c r="D416" s="71"/>
      <c r="E416" s="71"/>
      <c r="F416" s="71"/>
      <c r="G416" s="71" t="str">
        <f t="shared" si="124"/>
        <v>手套图纸</v>
      </c>
      <c r="H416" s="71">
        <v>15</v>
      </c>
      <c r="I416" s="71" t="str">
        <f t="shared" si="129"/>
        <v>法师特饮</v>
      </c>
      <c r="J416" s="71">
        <v>200</v>
      </c>
      <c r="K416" s="71" t="s">
        <v>96</v>
      </c>
      <c r="L416" s="71">
        <v>240</v>
      </c>
      <c r="M416" s="71" t="str">
        <f t="shared" si="132"/>
        <v>控制特饮</v>
      </c>
      <c r="N416" s="71">
        <f t="shared" si="136"/>
        <v>250</v>
      </c>
      <c r="O416" s="71" t="s">
        <v>316</v>
      </c>
      <c r="P416" s="71">
        <v>200</v>
      </c>
      <c r="Q416" s="71"/>
      <c r="R416" s="71"/>
      <c r="S416" s="72" t="str">
        <f t="shared" si="125"/>
        <v>衣服图纸</v>
      </c>
      <c r="T416" s="71">
        <v>25</v>
      </c>
      <c r="U416" s="71" t="str">
        <f t="shared" si="126"/>
        <v/>
      </c>
      <c r="V416" s="71">
        <f t="shared" si="127"/>
        <v>0</v>
      </c>
      <c r="W416" s="71" t="s">
        <v>96</v>
      </c>
      <c r="X416" s="71">
        <f t="shared" si="103"/>
        <v>360</v>
      </c>
      <c r="Y416" s="71"/>
      <c r="Z416" s="71"/>
      <c r="AA416" s="71" t="str">
        <f t="shared" si="133"/>
        <v>基因罐</v>
      </c>
      <c r="AB416" s="71">
        <f t="shared" si="137"/>
        <v>30</v>
      </c>
      <c r="AC416" s="71" t="s">
        <v>374</v>
      </c>
      <c r="AD416" s="71">
        <v>150</v>
      </c>
      <c r="AE416" s="72" t="str">
        <f t="shared" si="130"/>
        <v>战士特饮</v>
      </c>
      <c r="AF416" s="71">
        <v>300</v>
      </c>
      <c r="AG416" s="71"/>
      <c r="AH416" s="71"/>
      <c r="AI416" s="71" t="s">
        <v>390</v>
      </c>
      <c r="AJ416" s="71">
        <v>1</v>
      </c>
      <c r="AK416" s="71" t="s">
        <v>96</v>
      </c>
      <c r="AL416" s="71">
        <f t="shared" si="104"/>
        <v>600</v>
      </c>
      <c r="AN416" s="23" t="str">
        <f ca="1" t="shared" si="128"/>
        <v>{11,5}</v>
      </c>
      <c r="AO416" s="23" t="str">
        <f ca="1" t="shared" si="123"/>
        <v/>
      </c>
      <c r="AP416" s="23" t="str">
        <f ca="1" t="shared" si="105"/>
        <v>{50008,15}</v>
      </c>
      <c r="AQ416" s="23" t="str">
        <f ca="1" t="shared" si="106"/>
        <v>{5123001,200}</v>
      </c>
      <c r="AR416" s="23" t="str">
        <f ca="1" t="shared" si="107"/>
        <v>{2,240}</v>
      </c>
      <c r="AS416" s="23" t="str">
        <f ca="1" t="shared" si="108"/>
        <v>{5153001,250}</v>
      </c>
      <c r="AT416" s="23" t="str">
        <f ca="1" t="shared" si="134"/>
        <v>{5523001,200}</v>
      </c>
      <c r="AU416" s="23" t="str">
        <f ca="1" t="shared" si="121"/>
        <v/>
      </c>
      <c r="AV416" s="23" t="str">
        <f ca="1" t="shared" si="109"/>
        <v>{50004,25}</v>
      </c>
      <c r="AW416" s="23" t="str">
        <f ca="1" t="shared" si="110"/>
        <v/>
      </c>
      <c r="AX416" s="23" t="str">
        <f ca="1" t="shared" si="111"/>
        <v>{2,360}</v>
      </c>
      <c r="AY416" s="23" t="str">
        <f ca="1" t="shared" si="112"/>
        <v>{5204001,5}</v>
      </c>
      <c r="AZ416" s="23" t="str">
        <f ca="1" t="shared" si="138"/>
        <v>{5203001,30}</v>
      </c>
      <c r="BA416" s="23" t="str">
        <f ca="1" t="shared" si="113"/>
        <v>{1,150}</v>
      </c>
      <c r="BB416" s="23" t="s">
        <v>401</v>
      </c>
      <c r="BC416" s="23" t="str">
        <f ca="1" t="shared" si="114"/>
        <v>{5113001,300}</v>
      </c>
      <c r="BD416" s="23" t="str">
        <f ca="1" t="shared" si="131"/>
        <v/>
      </c>
      <c r="BE416" s="23" t="str">
        <f ca="1" t="shared" si="135"/>
        <v>{50039,1}</v>
      </c>
      <c r="BF416" s="23" t="str">
        <f ca="1" t="shared" si="115"/>
        <v>{2,600}</v>
      </c>
      <c r="BI416" s="23" t="str">
        <f ca="1" t="shared" si="116"/>
        <v>[{11,5},{50008,15},{5123001,200},{2,240}]</v>
      </c>
      <c r="BJ416" s="23" t="str">
        <f ca="1" t="shared" si="117"/>
        <v>[{5153001,250},{5523001,200},{50004,25},{2,360},{5204001,5}]</v>
      </c>
      <c r="BK416" s="23" t="str">
        <f ca="1" t="shared" si="118"/>
        <v>[{5203001,30},{1,150},{5523001,300},{5113001,300},{50039,1},{2,600}]</v>
      </c>
      <c r="BL416" s="23">
        <f ca="1" t="shared" si="119"/>
        <v>4</v>
      </c>
      <c r="BM416" s="23">
        <f ca="1" t="shared" si="120"/>
        <v>5</v>
      </c>
      <c r="BN416" s="23">
        <f ca="1" t="shared" si="122"/>
        <v>6</v>
      </c>
      <c r="BP416" s="71" t="s">
        <v>374</v>
      </c>
      <c r="BQ416" s="71">
        <v>150</v>
      </c>
    </row>
    <row r="417" ht="16.5" spans="2:69">
      <c r="B417" s="23">
        <v>97</v>
      </c>
      <c r="C417" s="12"/>
      <c r="D417" s="71"/>
      <c r="E417" s="71"/>
      <c r="F417" s="71"/>
      <c r="G417" s="71" t="str">
        <f t="shared" si="124"/>
        <v>头盔图纸</v>
      </c>
      <c r="H417" s="71">
        <v>15</v>
      </c>
      <c r="I417" s="71" t="str">
        <f t="shared" si="129"/>
        <v>辅助特饮</v>
      </c>
      <c r="J417" s="71">
        <v>200</v>
      </c>
      <c r="K417" s="71" t="s">
        <v>96</v>
      </c>
      <c r="L417" s="71">
        <v>240</v>
      </c>
      <c r="M417" s="71" t="str">
        <f t="shared" si="132"/>
        <v>战士特饮</v>
      </c>
      <c r="N417" s="71">
        <f t="shared" si="136"/>
        <v>250</v>
      </c>
      <c r="O417" s="71" t="s">
        <v>316</v>
      </c>
      <c r="P417" s="71">
        <v>200</v>
      </c>
      <c r="Q417" s="71"/>
      <c r="R417" s="71"/>
      <c r="S417" s="72" t="str">
        <f t="shared" si="125"/>
        <v>护臂图纸</v>
      </c>
      <c r="T417" s="71">
        <v>25</v>
      </c>
      <c r="U417" s="71" t="str">
        <f t="shared" si="126"/>
        <v/>
      </c>
      <c r="V417" s="71">
        <f t="shared" si="127"/>
        <v>0</v>
      </c>
      <c r="W417" s="71" t="s">
        <v>96</v>
      </c>
      <c r="X417" s="71">
        <f t="shared" si="103"/>
        <v>360</v>
      </c>
      <c r="Y417" s="71"/>
      <c r="Z417" s="71"/>
      <c r="AA417" s="71" t="str">
        <f t="shared" si="133"/>
        <v>基因罐</v>
      </c>
      <c r="AB417" s="71">
        <f t="shared" si="137"/>
        <v>30</v>
      </c>
      <c r="AC417" s="71" t="s">
        <v>374</v>
      </c>
      <c r="AD417" s="71">
        <v>150</v>
      </c>
      <c r="AE417" s="72" t="str">
        <f t="shared" si="130"/>
        <v>法师特饮</v>
      </c>
      <c r="AF417" s="71">
        <v>300</v>
      </c>
      <c r="AG417" s="71"/>
      <c r="AH417" s="71"/>
      <c r="AI417" s="71" t="s">
        <v>390</v>
      </c>
      <c r="AJ417" s="71">
        <v>1</v>
      </c>
      <c r="AK417" s="71" t="s">
        <v>96</v>
      </c>
      <c r="AL417" s="71">
        <f t="shared" si="104"/>
        <v>600</v>
      </c>
      <c r="AN417" s="23" t="str">
        <f ca="1" t="shared" si="128"/>
        <v>{11,5}</v>
      </c>
      <c r="AO417" s="23" t="str">
        <f ca="1" t="shared" si="123"/>
        <v/>
      </c>
      <c r="AP417" s="23" t="str">
        <f ca="1" t="shared" si="105"/>
        <v>{50003,15}</v>
      </c>
      <c r="AQ417" s="23" t="str">
        <f ca="1" t="shared" si="106"/>
        <v>{5143001,200}</v>
      </c>
      <c r="AR417" s="23" t="str">
        <f ca="1" t="shared" si="107"/>
        <v>{2,240}</v>
      </c>
      <c r="AS417" s="23" t="str">
        <f ca="1" t="shared" si="108"/>
        <v>{5113001,250}</v>
      </c>
      <c r="AT417" s="23" t="str">
        <f ca="1" t="shared" si="134"/>
        <v>{5523001,200}</v>
      </c>
      <c r="AU417" s="23" t="str">
        <f ca="1" t="shared" si="121"/>
        <v/>
      </c>
      <c r="AV417" s="23" t="str">
        <f ca="1" t="shared" si="109"/>
        <v>{50005,25}</v>
      </c>
      <c r="AW417" s="23" t="str">
        <f ca="1" t="shared" si="110"/>
        <v/>
      </c>
      <c r="AX417" s="23" t="str">
        <f ca="1" t="shared" si="111"/>
        <v>{2,360}</v>
      </c>
      <c r="AY417" s="23" t="str">
        <f ca="1" t="shared" si="112"/>
        <v>{5204001,5}</v>
      </c>
      <c r="AZ417" s="23" t="str">
        <f ca="1" t="shared" si="138"/>
        <v>{5203001,30}</v>
      </c>
      <c r="BA417" s="23" t="str">
        <f ca="1" t="shared" si="113"/>
        <v>{1,150}</v>
      </c>
      <c r="BB417" s="23" t="s">
        <v>401</v>
      </c>
      <c r="BC417" s="23" t="str">
        <f ca="1" t="shared" si="114"/>
        <v>{5123001,300}</v>
      </c>
      <c r="BD417" s="23" t="str">
        <f ca="1" t="shared" si="131"/>
        <v/>
      </c>
      <c r="BE417" s="23" t="str">
        <f ca="1" t="shared" si="135"/>
        <v>{50039,1}</v>
      </c>
      <c r="BF417" s="23" t="str">
        <f ca="1" t="shared" si="115"/>
        <v>{2,600}</v>
      </c>
      <c r="BI417" s="23" t="str">
        <f ca="1" t="shared" si="116"/>
        <v>[{11,5},{50003,15},{5143001,200},{2,240}]</v>
      </c>
      <c r="BJ417" s="23" t="str">
        <f ca="1" t="shared" si="117"/>
        <v>[{5113001,250},{5523001,200},{50005,25},{2,360},{5204001,5}]</v>
      </c>
      <c r="BK417" s="23" t="str">
        <f ca="1" t="shared" si="118"/>
        <v>[{5203001,30},{1,150},{5523001,300},{5123001,300},{50039,1},{2,600}]</v>
      </c>
      <c r="BL417" s="23">
        <f ca="1" t="shared" si="119"/>
        <v>4</v>
      </c>
      <c r="BM417" s="23">
        <f ca="1" t="shared" si="120"/>
        <v>5</v>
      </c>
      <c r="BN417" s="23">
        <f ca="1" t="shared" si="122"/>
        <v>6</v>
      </c>
      <c r="BP417" s="71" t="s">
        <v>374</v>
      </c>
      <c r="BQ417" s="71">
        <v>150</v>
      </c>
    </row>
    <row r="418" ht="16.5" spans="2:69">
      <c r="B418" s="23">
        <v>98</v>
      </c>
      <c r="C418" s="12"/>
      <c r="D418" s="71"/>
      <c r="E418" s="71"/>
      <c r="F418" s="71"/>
      <c r="G418" s="71" t="str">
        <f t="shared" si="124"/>
        <v>衣服图纸</v>
      </c>
      <c r="H418" s="71">
        <v>15</v>
      </c>
      <c r="I418" s="71" t="str">
        <f t="shared" si="129"/>
        <v>战士特饮</v>
      </c>
      <c r="J418" s="71">
        <v>200</v>
      </c>
      <c r="K418" s="71" t="s">
        <v>96</v>
      </c>
      <c r="L418" s="71">
        <v>240</v>
      </c>
      <c r="M418" s="71" t="str">
        <f t="shared" si="132"/>
        <v>法师特饮</v>
      </c>
      <c r="N418" s="71">
        <f t="shared" si="136"/>
        <v>250</v>
      </c>
      <c r="O418" s="71" t="s">
        <v>316</v>
      </c>
      <c r="P418" s="71">
        <v>200</v>
      </c>
      <c r="Q418" s="71"/>
      <c r="R418" s="71"/>
      <c r="S418" s="72" t="str">
        <f t="shared" si="125"/>
        <v>裤子图纸</v>
      </c>
      <c r="T418" s="71">
        <v>25</v>
      </c>
      <c r="U418" s="71" t="str">
        <f t="shared" si="126"/>
        <v/>
      </c>
      <c r="V418" s="71">
        <f t="shared" si="127"/>
        <v>0</v>
      </c>
      <c r="W418" s="71" t="s">
        <v>96</v>
      </c>
      <c r="X418" s="71">
        <f t="shared" si="103"/>
        <v>360</v>
      </c>
      <c r="Y418" s="71"/>
      <c r="Z418" s="71"/>
      <c r="AA418" s="71" t="str">
        <f t="shared" si="133"/>
        <v>基因罐</v>
      </c>
      <c r="AB418" s="71">
        <f t="shared" si="137"/>
        <v>30</v>
      </c>
      <c r="AC418" s="71" t="s">
        <v>374</v>
      </c>
      <c r="AD418" s="71">
        <v>150</v>
      </c>
      <c r="AE418" s="72" t="str">
        <f t="shared" si="130"/>
        <v>辅助特饮</v>
      </c>
      <c r="AF418" s="71">
        <v>300</v>
      </c>
      <c r="AG418" s="71"/>
      <c r="AH418" s="71"/>
      <c r="AI418" s="71" t="s">
        <v>390</v>
      </c>
      <c r="AJ418" s="71">
        <v>1</v>
      </c>
      <c r="AK418" s="71" t="s">
        <v>96</v>
      </c>
      <c r="AL418" s="71">
        <f t="shared" si="104"/>
        <v>600</v>
      </c>
      <c r="AN418" s="23" t="str">
        <f ca="1" t="shared" si="128"/>
        <v>{11,5}</v>
      </c>
      <c r="AO418" s="23" t="str">
        <f ca="1" t="shared" si="123"/>
        <v/>
      </c>
      <c r="AP418" s="23" t="str">
        <f ca="1" t="shared" si="105"/>
        <v>{50004,15}</v>
      </c>
      <c r="AQ418" s="23" t="str">
        <f ca="1" t="shared" si="106"/>
        <v>{5113001,200}</v>
      </c>
      <c r="AR418" s="23" t="str">
        <f ca="1" t="shared" si="107"/>
        <v>{2,240}</v>
      </c>
      <c r="AS418" s="23" t="str">
        <f ca="1" t="shared" si="108"/>
        <v>{5123001,250}</v>
      </c>
      <c r="AT418" s="23" t="str">
        <f ca="1" t="shared" si="134"/>
        <v>{5523001,200}</v>
      </c>
      <c r="AU418" s="23" t="str">
        <f ca="1" t="shared" si="121"/>
        <v/>
      </c>
      <c r="AV418" s="23" t="str">
        <f ca="1" t="shared" si="109"/>
        <v>{50006,25}</v>
      </c>
      <c r="AW418" s="23" t="str">
        <f ca="1" t="shared" si="110"/>
        <v/>
      </c>
      <c r="AX418" s="23" t="str">
        <f ca="1" t="shared" si="111"/>
        <v>{2,360}</v>
      </c>
      <c r="AY418" s="23" t="str">
        <f ca="1" t="shared" si="112"/>
        <v>{5204001,5}</v>
      </c>
      <c r="AZ418" s="23" t="str">
        <f ca="1" t="shared" si="138"/>
        <v>{5203001,30}</v>
      </c>
      <c r="BA418" s="23" t="str">
        <f ca="1" t="shared" si="113"/>
        <v>{1,150}</v>
      </c>
      <c r="BB418" s="23" t="s">
        <v>401</v>
      </c>
      <c r="BC418" s="23" t="str">
        <f ca="1" t="shared" si="114"/>
        <v>{5143001,300}</v>
      </c>
      <c r="BD418" s="23" t="str">
        <f ca="1" t="shared" si="131"/>
        <v/>
      </c>
      <c r="BE418" s="23" t="str">
        <f ca="1" t="shared" si="135"/>
        <v>{50039,1}</v>
      </c>
      <c r="BF418" s="23" t="str">
        <f ca="1" t="shared" si="115"/>
        <v>{2,600}</v>
      </c>
      <c r="BI418" s="23" t="str">
        <f ca="1" t="shared" si="116"/>
        <v>[{11,5},{50004,15},{5113001,200},{2,240}]</v>
      </c>
      <c r="BJ418" s="23" t="str">
        <f ca="1" t="shared" si="117"/>
        <v>[{5123001,250},{5523001,200},{50006,25},{2,360},{5204001,5}]</v>
      </c>
      <c r="BK418" s="23" t="str">
        <f ca="1" t="shared" si="118"/>
        <v>[{5203001,30},{1,150},{5523001,300},{5143001,300},{50039,1},{2,600}]</v>
      </c>
      <c r="BL418" s="23">
        <f ca="1" t="shared" si="119"/>
        <v>4</v>
      </c>
      <c r="BM418" s="23">
        <f ca="1" t="shared" si="120"/>
        <v>5</v>
      </c>
      <c r="BN418" s="23">
        <f ca="1" t="shared" si="122"/>
        <v>6</v>
      </c>
      <c r="BP418" s="71" t="s">
        <v>374</v>
      </c>
      <c r="BQ418" s="71">
        <v>150</v>
      </c>
    </row>
    <row r="419" ht="16.5" spans="2:69">
      <c r="B419" s="23">
        <v>99</v>
      </c>
      <c r="C419" s="12"/>
      <c r="D419" s="71"/>
      <c r="E419" s="71"/>
      <c r="F419" s="71"/>
      <c r="G419" s="71" t="str">
        <f t="shared" si="124"/>
        <v>护臂图纸</v>
      </c>
      <c r="H419" s="71">
        <v>15</v>
      </c>
      <c r="I419" s="71" t="str">
        <f t="shared" si="129"/>
        <v>毒系特饮</v>
      </c>
      <c r="J419" s="71">
        <v>200</v>
      </c>
      <c r="K419" s="71" t="s">
        <v>96</v>
      </c>
      <c r="L419" s="71">
        <v>240</v>
      </c>
      <c r="M419" s="71" t="str">
        <f t="shared" si="132"/>
        <v>辅助特饮</v>
      </c>
      <c r="N419" s="71">
        <f t="shared" si="136"/>
        <v>250</v>
      </c>
      <c r="O419" s="71" t="s">
        <v>316</v>
      </c>
      <c r="P419" s="71">
        <v>200</v>
      </c>
      <c r="Q419" s="71"/>
      <c r="R419" s="71"/>
      <c r="S419" s="72" t="str">
        <f t="shared" si="125"/>
        <v>鞋子图纸</v>
      </c>
      <c r="T419" s="71">
        <v>25</v>
      </c>
      <c r="U419" s="71" t="str">
        <f t="shared" si="126"/>
        <v/>
      </c>
      <c r="V419" s="71">
        <f t="shared" si="127"/>
        <v>0</v>
      </c>
      <c r="W419" s="71" t="s">
        <v>96</v>
      </c>
      <c r="X419" s="71">
        <f t="shared" si="103"/>
        <v>360</v>
      </c>
      <c r="Y419" s="71"/>
      <c r="Z419" s="71"/>
      <c r="AA419" s="71" t="str">
        <f t="shared" si="133"/>
        <v>基因罐</v>
      </c>
      <c r="AB419" s="71">
        <f t="shared" si="137"/>
        <v>30</v>
      </c>
      <c r="AC419" s="71" t="s">
        <v>374</v>
      </c>
      <c r="AD419" s="71">
        <v>150</v>
      </c>
      <c r="AE419" s="72" t="str">
        <f t="shared" si="130"/>
        <v>毒系特饮</v>
      </c>
      <c r="AF419" s="71">
        <v>300</v>
      </c>
      <c r="AG419" s="71"/>
      <c r="AH419" s="71"/>
      <c r="AI419" s="71" t="s">
        <v>390</v>
      </c>
      <c r="AJ419" s="71">
        <v>1</v>
      </c>
      <c r="AK419" s="71" t="s">
        <v>96</v>
      </c>
      <c r="AL419" s="71">
        <f t="shared" si="104"/>
        <v>600</v>
      </c>
      <c r="AN419" s="23" t="str">
        <f ca="1" t="shared" si="128"/>
        <v>{11,5}</v>
      </c>
      <c r="AO419" s="23" t="str">
        <f ca="1" t="shared" si="123"/>
        <v/>
      </c>
      <c r="AP419" s="23" t="str">
        <f ca="1" t="shared" si="105"/>
        <v>{50005,15}</v>
      </c>
      <c r="AQ419" s="23" t="str">
        <f ca="1" t="shared" si="106"/>
        <v>{5163001,200}</v>
      </c>
      <c r="AR419" s="23" t="str">
        <f ca="1" t="shared" si="107"/>
        <v>{2,240}</v>
      </c>
      <c r="AS419" s="23" t="str">
        <f ca="1" t="shared" si="108"/>
        <v>{5143001,250}</v>
      </c>
      <c r="AT419" s="23" t="str">
        <f ca="1" t="shared" si="134"/>
        <v>{5523001,200}</v>
      </c>
      <c r="AU419" s="23" t="str">
        <f ca="1" t="shared" si="121"/>
        <v/>
      </c>
      <c r="AV419" s="23" t="str">
        <f ca="1" t="shared" si="109"/>
        <v>{50007,25}</v>
      </c>
      <c r="AW419" s="23" t="str">
        <f ca="1" t="shared" si="110"/>
        <v/>
      </c>
      <c r="AX419" s="23" t="str">
        <f ca="1" t="shared" si="111"/>
        <v>{2,360}</v>
      </c>
      <c r="AY419" s="23" t="str">
        <f ca="1" t="shared" si="112"/>
        <v>{5204001,5}</v>
      </c>
      <c r="AZ419" s="23" t="str">
        <f ca="1" t="shared" si="138"/>
        <v>{5203001,30}</v>
      </c>
      <c r="BA419" s="23" t="str">
        <f ca="1" t="shared" si="113"/>
        <v>{1,150}</v>
      </c>
      <c r="BB419" s="23" t="s">
        <v>401</v>
      </c>
      <c r="BC419" s="23" t="str">
        <f ca="1" t="shared" si="114"/>
        <v>{5163001,300}</v>
      </c>
      <c r="BD419" s="23" t="str">
        <f ca="1" t="shared" si="131"/>
        <v/>
      </c>
      <c r="BE419" s="23" t="str">
        <f ca="1" t="shared" si="135"/>
        <v>{50039,1}</v>
      </c>
      <c r="BF419" s="23" t="str">
        <f ca="1" t="shared" si="115"/>
        <v>{2,600}</v>
      </c>
      <c r="BI419" s="23" t="str">
        <f ca="1" t="shared" si="116"/>
        <v>[{11,5},{50005,15},{5163001,200},{2,240}]</v>
      </c>
      <c r="BJ419" s="23" t="str">
        <f ca="1" t="shared" si="117"/>
        <v>[{5143001,250},{5523001,200},{50007,25},{2,360},{5204001,5}]</v>
      </c>
      <c r="BK419" s="23" t="str">
        <f ca="1" t="shared" si="118"/>
        <v>[{5203001,30},{1,150},{5523001,300},{5163001,300},{50039,1},{2,600}]</v>
      </c>
      <c r="BL419" s="23">
        <f ca="1" t="shared" si="119"/>
        <v>4</v>
      </c>
      <c r="BM419" s="23">
        <f ca="1" t="shared" si="120"/>
        <v>5</v>
      </c>
      <c r="BN419" s="23">
        <f ca="1" t="shared" si="122"/>
        <v>6</v>
      </c>
      <c r="BP419" s="71" t="s">
        <v>374</v>
      </c>
      <c r="BQ419" s="71">
        <v>150</v>
      </c>
    </row>
    <row r="420" ht="16.5" spans="2:69">
      <c r="B420" s="23">
        <v>100</v>
      </c>
      <c r="C420" s="12" t="s">
        <v>240</v>
      </c>
      <c r="D420" s="71">
        <v>1</v>
      </c>
      <c r="E420" s="71"/>
      <c r="F420" s="71"/>
      <c r="G420" s="71" t="str">
        <f t="shared" si="124"/>
        <v>裤子图纸</v>
      </c>
      <c r="H420" s="71">
        <v>15</v>
      </c>
      <c r="I420" s="71" t="str">
        <f t="shared" si="129"/>
        <v>控制特饮</v>
      </c>
      <c r="J420" s="71">
        <v>200</v>
      </c>
      <c r="K420" s="71" t="s">
        <v>96</v>
      </c>
      <c r="L420" s="71">
        <v>240</v>
      </c>
      <c r="M420" s="71" t="str">
        <f t="shared" si="132"/>
        <v>射手特饮</v>
      </c>
      <c r="N420" s="71">
        <f t="shared" si="136"/>
        <v>250</v>
      </c>
      <c r="O420" s="71" t="s">
        <v>316</v>
      </c>
      <c r="P420" s="71">
        <v>200</v>
      </c>
      <c r="Q420" s="71"/>
      <c r="R420" s="71"/>
      <c r="S420" s="72" t="str">
        <f t="shared" si="125"/>
        <v>手套图纸</v>
      </c>
      <c r="T420" s="71">
        <v>25</v>
      </c>
      <c r="U420" s="71" t="str">
        <f t="shared" si="126"/>
        <v>灵感获取令</v>
      </c>
      <c r="V420" s="71">
        <f t="shared" si="127"/>
        <v>1</v>
      </c>
      <c r="W420" s="71" t="s">
        <v>96</v>
      </c>
      <c r="X420" s="71">
        <f t="shared" si="103"/>
        <v>360</v>
      </c>
      <c r="Y420" s="71"/>
      <c r="Z420" s="71"/>
      <c r="AA420" s="71" t="str">
        <f t="shared" si="133"/>
        <v>传说基因罐</v>
      </c>
      <c r="AB420" s="71">
        <f t="shared" si="137"/>
        <v>3</v>
      </c>
      <c r="AC420" s="71" t="s">
        <v>374</v>
      </c>
      <c r="AD420" s="71">
        <v>150</v>
      </c>
      <c r="AE420" s="72" t="str">
        <f t="shared" si="130"/>
        <v>控制特饮</v>
      </c>
      <c r="AF420" s="71">
        <v>300</v>
      </c>
      <c r="AG420" s="71"/>
      <c r="AH420" s="71"/>
      <c r="AI420" s="71" t="s">
        <v>390</v>
      </c>
      <c r="AJ420" s="71">
        <v>1</v>
      </c>
      <c r="AK420" s="71" t="s">
        <v>96</v>
      </c>
      <c r="AL420" s="71">
        <f t="shared" si="104"/>
        <v>600</v>
      </c>
      <c r="AN420" s="23" t="str">
        <f ca="1" t="shared" si="128"/>
        <v>{35,1}</v>
      </c>
      <c r="AO420" s="23" t="str">
        <f ca="1" t="shared" si="123"/>
        <v/>
      </c>
      <c r="AP420" s="23" t="str">
        <f ca="1" t="shared" si="105"/>
        <v>{50006,15}</v>
      </c>
      <c r="AQ420" s="23" t="str">
        <f ca="1" t="shared" si="106"/>
        <v>{5153001,200}</v>
      </c>
      <c r="AR420" s="23" t="str">
        <f ca="1" t="shared" si="107"/>
        <v>{2,240}</v>
      </c>
      <c r="AS420" s="23" t="str">
        <f ca="1" t="shared" si="108"/>
        <v>{5133001,250}</v>
      </c>
      <c r="AT420" s="23" t="str">
        <f ca="1" t="shared" si="134"/>
        <v>{5523001,200}</v>
      </c>
      <c r="AU420" s="23" t="str">
        <f ca="1" t="shared" si="121"/>
        <v/>
      </c>
      <c r="AV420" s="23" t="str">
        <f ca="1" t="shared" si="109"/>
        <v>{50008,25}</v>
      </c>
      <c r="AW420" s="23" t="str">
        <f ca="1" t="shared" si="110"/>
        <v>{9,1}</v>
      </c>
      <c r="AX420" s="23" t="str">
        <f ca="1" t="shared" si="111"/>
        <v>{2,360}</v>
      </c>
      <c r="AY420" s="23" t="str">
        <f ca="1" t="shared" si="112"/>
        <v>{5204001,5}</v>
      </c>
      <c r="AZ420" s="23" t="str">
        <f ca="1" t="shared" si="138"/>
        <v>{5205001,3}</v>
      </c>
      <c r="BA420" s="23" t="str">
        <f ca="1" t="shared" si="113"/>
        <v>{1,150}</v>
      </c>
      <c r="BB420" s="23" t="s">
        <v>401</v>
      </c>
      <c r="BC420" s="23" t="str">
        <f ca="1" t="shared" si="114"/>
        <v>{5153001,300}</v>
      </c>
      <c r="BD420" s="23" t="str">
        <f ca="1" t="shared" si="131"/>
        <v/>
      </c>
      <c r="BE420" s="23" t="str">
        <f ca="1" t="shared" si="135"/>
        <v>{50039,1}</v>
      </c>
      <c r="BF420" s="23" t="str">
        <f ca="1" t="shared" si="115"/>
        <v>{2,600}</v>
      </c>
      <c r="BI420" s="23" t="str">
        <f ca="1" t="shared" si="116"/>
        <v>[{35,1},{50006,15},{5153001,200},{2,240}]</v>
      </c>
      <c r="BJ420" s="23" t="str">
        <f ca="1" t="shared" si="117"/>
        <v>[{5133001,250},{5523001,200},{50008,25},{9,1},{2,360},{5204001,5}]</v>
      </c>
      <c r="BK420" s="23" t="str">
        <f ca="1" t="shared" si="118"/>
        <v>[{5205001,3},{1,150},{5523001,300},{5153001,300},{50039,1},{2,600}]</v>
      </c>
      <c r="BL420" s="23">
        <f ca="1" t="shared" si="119"/>
        <v>4</v>
      </c>
      <c r="BM420" s="23">
        <f ca="1" t="shared" si="120"/>
        <v>6</v>
      </c>
      <c r="BN420" s="23">
        <f ca="1" t="shared" si="122"/>
        <v>6</v>
      </c>
      <c r="BP420" s="71" t="s">
        <v>374</v>
      </c>
      <c r="BQ420" s="71">
        <v>150</v>
      </c>
    </row>
    <row r="421" ht="16.5" spans="2:69">
      <c r="B421" s="23">
        <v>101</v>
      </c>
      <c r="C421" s="12"/>
      <c r="D421" s="71"/>
      <c r="E421" s="71"/>
      <c r="F421" s="71"/>
      <c r="G421" s="71" t="str">
        <f t="shared" si="124"/>
        <v>鞋子图纸</v>
      </c>
      <c r="H421" s="71">
        <v>15</v>
      </c>
      <c r="I421" s="71" t="str">
        <f t="shared" si="129"/>
        <v>射手特饮</v>
      </c>
      <c r="J421" s="71">
        <v>200</v>
      </c>
      <c r="K421" s="71" t="s">
        <v>96</v>
      </c>
      <c r="L421" s="71">
        <v>240</v>
      </c>
      <c r="M421" s="71" t="str">
        <f t="shared" si="132"/>
        <v>毒系特饮</v>
      </c>
      <c r="N421" s="71">
        <f t="shared" si="136"/>
        <v>250</v>
      </c>
      <c r="O421" s="71" t="s">
        <v>316</v>
      </c>
      <c r="P421" s="71">
        <v>200</v>
      </c>
      <c r="Q421" s="71"/>
      <c r="R421" s="71"/>
      <c r="S421" s="72" t="str">
        <f t="shared" si="125"/>
        <v>头盔图纸</v>
      </c>
      <c r="T421" s="71">
        <v>25</v>
      </c>
      <c r="U421" s="71" t="str">
        <f t="shared" si="126"/>
        <v/>
      </c>
      <c r="V421" s="71">
        <f t="shared" si="127"/>
        <v>0</v>
      </c>
      <c r="W421" s="71" t="s">
        <v>96</v>
      </c>
      <c r="X421" s="71">
        <f t="shared" si="103"/>
        <v>360</v>
      </c>
      <c r="Y421" s="71"/>
      <c r="Z421" s="71"/>
      <c r="AA421" s="71" t="str">
        <f t="shared" si="133"/>
        <v>基因罐</v>
      </c>
      <c r="AB421" s="71">
        <f t="shared" si="137"/>
        <v>30</v>
      </c>
      <c r="AC421" s="71" t="s">
        <v>374</v>
      </c>
      <c r="AD421" s="71">
        <v>150</v>
      </c>
      <c r="AE421" s="72" t="str">
        <f t="shared" si="130"/>
        <v>射手特饮</v>
      </c>
      <c r="AF421" s="71">
        <v>300</v>
      </c>
      <c r="AG421" s="71"/>
      <c r="AH421" s="71"/>
      <c r="AI421" s="71" t="s">
        <v>390</v>
      </c>
      <c r="AJ421" s="71">
        <v>1</v>
      </c>
      <c r="AK421" s="71" t="s">
        <v>96</v>
      </c>
      <c r="AL421" s="71">
        <f t="shared" si="104"/>
        <v>600</v>
      </c>
      <c r="AN421" s="23" t="str">
        <f ca="1" t="shared" si="128"/>
        <v>{11,5}</v>
      </c>
      <c r="AO421" s="23" t="str">
        <f ca="1" t="shared" si="123"/>
        <v/>
      </c>
      <c r="AP421" s="23" t="str">
        <f ca="1" t="shared" si="105"/>
        <v>{50007,15}</v>
      </c>
      <c r="AQ421" s="23" t="str">
        <f ca="1" t="shared" si="106"/>
        <v>{5133001,200}</v>
      </c>
      <c r="AR421" s="23" t="str">
        <f ca="1" t="shared" si="107"/>
        <v>{2,240}</v>
      </c>
      <c r="AS421" s="23" t="str">
        <f ca="1" t="shared" si="108"/>
        <v>{5163001,250}</v>
      </c>
      <c r="AT421" s="23" t="str">
        <f ca="1" t="shared" si="134"/>
        <v>{5523001,200}</v>
      </c>
      <c r="AU421" s="23" t="str">
        <f ca="1" t="shared" si="121"/>
        <v/>
      </c>
      <c r="AV421" s="23" t="str">
        <f ca="1" t="shared" si="109"/>
        <v>{50003,25}</v>
      </c>
      <c r="AW421" s="23" t="str">
        <f ca="1" t="shared" si="110"/>
        <v/>
      </c>
      <c r="AX421" s="23" t="str">
        <f ca="1" t="shared" si="111"/>
        <v>{2,360}</v>
      </c>
      <c r="AY421" s="23" t="str">
        <f ca="1" t="shared" si="112"/>
        <v>{5204001,5}</v>
      </c>
      <c r="AZ421" s="23" t="str">
        <f ca="1" t="shared" si="138"/>
        <v>{5203001,30}</v>
      </c>
      <c r="BA421" s="23" t="str">
        <f ca="1" t="shared" si="113"/>
        <v>{1,150}</v>
      </c>
      <c r="BB421" s="23" t="s">
        <v>401</v>
      </c>
      <c r="BC421" s="23" t="str">
        <f ca="1" t="shared" si="114"/>
        <v>{5133001,300}</v>
      </c>
      <c r="BD421" s="23" t="str">
        <f ca="1" t="shared" si="131"/>
        <v/>
      </c>
      <c r="BE421" s="23" t="str">
        <f ca="1" t="shared" si="135"/>
        <v>{50039,1}</v>
      </c>
      <c r="BF421" s="23" t="str">
        <f ca="1" t="shared" si="115"/>
        <v>{2,600}</v>
      </c>
      <c r="BI421" s="23" t="str">
        <f ca="1" t="shared" si="116"/>
        <v>[{11,5},{50007,15},{5133001,200},{2,240}]</v>
      </c>
      <c r="BJ421" s="23" t="str">
        <f ca="1" t="shared" si="117"/>
        <v>[{5163001,250},{5523001,200},{50003,25},{2,360},{5204001,5}]</v>
      </c>
      <c r="BK421" s="23" t="str">
        <f ca="1" t="shared" si="118"/>
        <v>[{5203001,30},{1,150},{5523001,300},{5133001,300},{50039,1},{2,600}]</v>
      </c>
      <c r="BL421" s="23">
        <f ca="1" t="shared" si="119"/>
        <v>4</v>
      </c>
      <c r="BM421" s="23">
        <f ca="1" t="shared" si="120"/>
        <v>5</v>
      </c>
      <c r="BN421" s="23">
        <f ca="1" t="shared" si="122"/>
        <v>6</v>
      </c>
      <c r="BP421" s="71" t="s">
        <v>374</v>
      </c>
      <c r="BQ421" s="71">
        <v>150</v>
      </c>
    </row>
    <row r="422" ht="16.5" spans="2:69">
      <c r="B422" s="23">
        <v>102</v>
      </c>
      <c r="C422" s="12"/>
      <c r="D422" s="71"/>
      <c r="E422" s="71"/>
      <c r="F422" s="71"/>
      <c r="G422" s="71" t="str">
        <f t="shared" si="124"/>
        <v>手套图纸</v>
      </c>
      <c r="H422" s="71">
        <v>15</v>
      </c>
      <c r="I422" s="71" t="str">
        <f t="shared" si="129"/>
        <v>法师特饮</v>
      </c>
      <c r="J422" s="71">
        <v>200</v>
      </c>
      <c r="K422" s="71" t="s">
        <v>96</v>
      </c>
      <c r="L422" s="71">
        <v>240</v>
      </c>
      <c r="M422" s="71" t="str">
        <f t="shared" si="132"/>
        <v>控制特饮</v>
      </c>
      <c r="N422" s="71">
        <f t="shared" si="136"/>
        <v>250</v>
      </c>
      <c r="O422" s="71" t="s">
        <v>316</v>
      </c>
      <c r="P422" s="71">
        <v>200</v>
      </c>
      <c r="Q422" s="71"/>
      <c r="R422" s="71"/>
      <c r="S422" s="72" t="str">
        <f t="shared" si="125"/>
        <v>衣服图纸</v>
      </c>
      <c r="T422" s="71">
        <v>25</v>
      </c>
      <c r="U422" s="71" t="str">
        <f t="shared" si="126"/>
        <v/>
      </c>
      <c r="V422" s="71">
        <f t="shared" si="127"/>
        <v>0</v>
      </c>
      <c r="W422" s="71" t="s">
        <v>96</v>
      </c>
      <c r="X422" s="71">
        <f t="shared" si="103"/>
        <v>360</v>
      </c>
      <c r="Y422" s="71"/>
      <c r="Z422" s="71"/>
      <c r="AA422" s="71" t="str">
        <f t="shared" si="133"/>
        <v>基因罐</v>
      </c>
      <c r="AB422" s="71">
        <f t="shared" si="137"/>
        <v>30</v>
      </c>
      <c r="AC422" s="71" t="s">
        <v>374</v>
      </c>
      <c r="AD422" s="71">
        <v>150</v>
      </c>
      <c r="AE422" s="72" t="str">
        <f t="shared" si="130"/>
        <v>战士特饮</v>
      </c>
      <c r="AF422" s="71">
        <v>300</v>
      </c>
      <c r="AG422" s="71"/>
      <c r="AH422" s="71"/>
      <c r="AI422" s="71" t="s">
        <v>390</v>
      </c>
      <c r="AJ422" s="71">
        <v>1</v>
      </c>
      <c r="AK422" s="71" t="s">
        <v>96</v>
      </c>
      <c r="AL422" s="71">
        <f t="shared" si="104"/>
        <v>600</v>
      </c>
      <c r="AN422" s="23" t="str">
        <f ca="1" t="shared" si="128"/>
        <v>{11,5}</v>
      </c>
      <c r="AO422" s="23" t="str">
        <f ca="1" t="shared" si="123"/>
        <v/>
      </c>
      <c r="AP422" s="23" t="str">
        <f ca="1" t="shared" si="105"/>
        <v>{50008,15}</v>
      </c>
      <c r="AQ422" s="23" t="str">
        <f ca="1" t="shared" si="106"/>
        <v>{5123001,200}</v>
      </c>
      <c r="AR422" s="23" t="str">
        <f ca="1" t="shared" si="107"/>
        <v>{2,240}</v>
      </c>
      <c r="AS422" s="23" t="str">
        <f ca="1" t="shared" si="108"/>
        <v>{5153001,250}</v>
      </c>
      <c r="AT422" s="23" t="str">
        <f ca="1" t="shared" si="134"/>
        <v>{5523001,200}</v>
      </c>
      <c r="AU422" s="23" t="str">
        <f ca="1" t="shared" si="121"/>
        <v/>
      </c>
      <c r="AV422" s="23" t="str">
        <f ca="1" t="shared" si="109"/>
        <v>{50004,25}</v>
      </c>
      <c r="AW422" s="23" t="str">
        <f ca="1" t="shared" si="110"/>
        <v/>
      </c>
      <c r="AX422" s="23" t="str">
        <f ca="1" t="shared" si="111"/>
        <v>{2,360}</v>
      </c>
      <c r="AY422" s="23" t="str">
        <f ca="1" t="shared" si="112"/>
        <v>{5204001,5}</v>
      </c>
      <c r="AZ422" s="23" t="str">
        <f ca="1" t="shared" si="138"/>
        <v>{5203001,30}</v>
      </c>
      <c r="BA422" s="23" t="str">
        <f ca="1" t="shared" si="113"/>
        <v>{1,150}</v>
      </c>
      <c r="BB422" s="23" t="s">
        <v>401</v>
      </c>
      <c r="BC422" s="23" t="str">
        <f ca="1" t="shared" si="114"/>
        <v>{5113001,300}</v>
      </c>
      <c r="BD422" s="23" t="str">
        <f ca="1" t="shared" si="131"/>
        <v/>
      </c>
      <c r="BE422" s="23" t="str">
        <f ca="1" t="shared" si="135"/>
        <v>{50039,1}</v>
      </c>
      <c r="BF422" s="23" t="str">
        <f ca="1" t="shared" si="115"/>
        <v>{2,600}</v>
      </c>
      <c r="BI422" s="23" t="str">
        <f ca="1" t="shared" si="116"/>
        <v>[{11,5},{50008,15},{5123001,200},{2,240}]</v>
      </c>
      <c r="BJ422" s="23" t="str">
        <f ca="1" t="shared" si="117"/>
        <v>[{5153001,250},{5523001,200},{50004,25},{2,360},{5204001,5}]</v>
      </c>
      <c r="BK422" s="23" t="str">
        <f ca="1" t="shared" si="118"/>
        <v>[{5203001,30},{1,150},{5523001,300},{5113001,300},{50039,1},{2,600}]</v>
      </c>
      <c r="BL422" s="23">
        <f ca="1" t="shared" si="119"/>
        <v>4</v>
      </c>
      <c r="BM422" s="23">
        <f ca="1" t="shared" si="120"/>
        <v>5</v>
      </c>
      <c r="BN422" s="23">
        <f ca="1" t="shared" si="122"/>
        <v>6</v>
      </c>
      <c r="BP422" s="71" t="s">
        <v>374</v>
      </c>
      <c r="BQ422" s="71">
        <v>150</v>
      </c>
    </row>
    <row r="423" ht="16.5" spans="2:69">
      <c r="B423" s="23">
        <v>103</v>
      </c>
      <c r="C423" s="12"/>
      <c r="D423" s="71"/>
      <c r="E423" s="71"/>
      <c r="F423" s="71"/>
      <c r="G423" s="71" t="str">
        <f t="shared" si="124"/>
        <v>头盔图纸</v>
      </c>
      <c r="H423" s="71">
        <v>15</v>
      </c>
      <c r="I423" s="71" t="str">
        <f t="shared" si="129"/>
        <v>辅助特饮</v>
      </c>
      <c r="J423" s="71">
        <v>200</v>
      </c>
      <c r="K423" s="71" t="s">
        <v>96</v>
      </c>
      <c r="L423" s="71">
        <v>240</v>
      </c>
      <c r="M423" s="71" t="str">
        <f t="shared" si="132"/>
        <v>战士特饮</v>
      </c>
      <c r="N423" s="71">
        <f t="shared" si="136"/>
        <v>250</v>
      </c>
      <c r="O423" s="71" t="s">
        <v>316</v>
      </c>
      <c r="P423" s="71">
        <v>200</v>
      </c>
      <c r="Q423" s="71"/>
      <c r="R423" s="71"/>
      <c r="S423" s="72" t="str">
        <f t="shared" si="125"/>
        <v>护臂图纸</v>
      </c>
      <c r="T423" s="71">
        <v>25</v>
      </c>
      <c r="U423" s="71" t="str">
        <f t="shared" si="126"/>
        <v/>
      </c>
      <c r="V423" s="71">
        <f t="shared" si="127"/>
        <v>0</v>
      </c>
      <c r="W423" s="71" t="s">
        <v>96</v>
      </c>
      <c r="X423" s="71">
        <f t="shared" si="103"/>
        <v>360</v>
      </c>
      <c r="Y423" s="71"/>
      <c r="Z423" s="71"/>
      <c r="AA423" s="71" t="str">
        <f t="shared" si="133"/>
        <v>基因罐</v>
      </c>
      <c r="AB423" s="71">
        <f t="shared" si="137"/>
        <v>30</v>
      </c>
      <c r="AC423" s="71" t="s">
        <v>374</v>
      </c>
      <c r="AD423" s="71">
        <v>150</v>
      </c>
      <c r="AE423" s="72" t="str">
        <f t="shared" si="130"/>
        <v>法师特饮</v>
      </c>
      <c r="AF423" s="71">
        <v>300</v>
      </c>
      <c r="AG423" s="71"/>
      <c r="AH423" s="71"/>
      <c r="AI423" s="71" t="s">
        <v>390</v>
      </c>
      <c r="AJ423" s="71">
        <v>1</v>
      </c>
      <c r="AK423" s="71" t="s">
        <v>96</v>
      </c>
      <c r="AL423" s="71">
        <f t="shared" si="104"/>
        <v>600</v>
      </c>
      <c r="AN423" s="23" t="str">
        <f ca="1" t="shared" si="128"/>
        <v>{11,5}</v>
      </c>
      <c r="AO423" s="23" t="str">
        <f ca="1" t="shared" si="123"/>
        <v/>
      </c>
      <c r="AP423" s="23" t="str">
        <f ca="1" t="shared" si="105"/>
        <v>{50003,15}</v>
      </c>
      <c r="AQ423" s="23" t="str">
        <f ca="1" t="shared" si="106"/>
        <v>{5143001,200}</v>
      </c>
      <c r="AR423" s="23" t="str">
        <f ca="1" t="shared" si="107"/>
        <v>{2,240}</v>
      </c>
      <c r="AS423" s="23" t="str">
        <f ca="1" t="shared" si="108"/>
        <v>{5113001,250}</v>
      </c>
      <c r="AT423" s="23" t="str">
        <f ca="1" t="shared" si="134"/>
        <v>{5523001,200}</v>
      </c>
      <c r="AU423" s="23" t="str">
        <f ca="1" t="shared" si="121"/>
        <v/>
      </c>
      <c r="AV423" s="23" t="str">
        <f ca="1" t="shared" si="109"/>
        <v>{50005,25}</v>
      </c>
      <c r="AW423" s="23" t="str">
        <f ca="1" t="shared" si="110"/>
        <v/>
      </c>
      <c r="AX423" s="23" t="str">
        <f ca="1" t="shared" si="111"/>
        <v>{2,360}</v>
      </c>
      <c r="AY423" s="23" t="str">
        <f ca="1" t="shared" si="112"/>
        <v>{5204001,5}</v>
      </c>
      <c r="AZ423" s="23" t="str">
        <f ca="1" t="shared" si="138"/>
        <v>{5203001,30}</v>
      </c>
      <c r="BA423" s="23" t="str">
        <f ca="1" t="shared" si="113"/>
        <v>{1,150}</v>
      </c>
      <c r="BB423" s="23" t="s">
        <v>401</v>
      </c>
      <c r="BC423" s="23" t="str">
        <f ca="1" t="shared" si="114"/>
        <v>{5123001,300}</v>
      </c>
      <c r="BD423" s="23" t="str">
        <f ca="1" t="shared" si="131"/>
        <v/>
      </c>
      <c r="BE423" s="23" t="str">
        <f ca="1" t="shared" si="135"/>
        <v>{50039,1}</v>
      </c>
      <c r="BF423" s="23" t="str">
        <f ca="1" t="shared" si="115"/>
        <v>{2,600}</v>
      </c>
      <c r="BI423" s="23" t="str">
        <f ca="1" t="shared" si="116"/>
        <v>[{11,5},{50003,15},{5143001,200},{2,240}]</v>
      </c>
      <c r="BJ423" s="23" t="str">
        <f ca="1" t="shared" si="117"/>
        <v>[{5113001,250},{5523001,200},{50005,25},{2,360},{5204001,5}]</v>
      </c>
      <c r="BK423" s="23" t="str">
        <f ca="1" t="shared" si="118"/>
        <v>[{5203001,30},{1,150},{5523001,300},{5123001,300},{50039,1},{2,600}]</v>
      </c>
      <c r="BL423" s="23">
        <f ca="1" t="shared" si="119"/>
        <v>4</v>
      </c>
      <c r="BM423" s="23">
        <f ca="1" t="shared" si="120"/>
        <v>5</v>
      </c>
      <c r="BN423" s="23">
        <f ca="1" t="shared" si="122"/>
        <v>6</v>
      </c>
      <c r="BP423" s="71" t="s">
        <v>374</v>
      </c>
      <c r="BQ423" s="71">
        <v>150</v>
      </c>
    </row>
    <row r="424" ht="16.5" spans="2:69">
      <c r="B424" s="23">
        <v>104</v>
      </c>
      <c r="C424" s="12"/>
      <c r="D424" s="71"/>
      <c r="E424" s="71"/>
      <c r="F424" s="71"/>
      <c r="G424" s="71" t="str">
        <f t="shared" si="124"/>
        <v>衣服图纸</v>
      </c>
      <c r="H424" s="71">
        <v>15</v>
      </c>
      <c r="I424" s="71" t="str">
        <f t="shared" si="129"/>
        <v>战士特饮</v>
      </c>
      <c r="J424" s="71">
        <v>200</v>
      </c>
      <c r="K424" s="71" t="s">
        <v>96</v>
      </c>
      <c r="L424" s="71">
        <v>240</v>
      </c>
      <c r="M424" s="71" t="str">
        <f t="shared" si="132"/>
        <v>法师特饮</v>
      </c>
      <c r="N424" s="71">
        <f t="shared" si="136"/>
        <v>250</v>
      </c>
      <c r="O424" s="71" t="s">
        <v>316</v>
      </c>
      <c r="P424" s="71">
        <v>200</v>
      </c>
      <c r="Q424" s="71"/>
      <c r="R424" s="71"/>
      <c r="S424" s="72" t="str">
        <f t="shared" si="125"/>
        <v>裤子图纸</v>
      </c>
      <c r="T424" s="71">
        <v>25</v>
      </c>
      <c r="U424" s="71" t="str">
        <f t="shared" si="126"/>
        <v/>
      </c>
      <c r="V424" s="71">
        <f t="shared" si="127"/>
        <v>0</v>
      </c>
      <c r="W424" s="71" t="s">
        <v>96</v>
      </c>
      <c r="X424" s="71">
        <f t="shared" si="103"/>
        <v>360</v>
      </c>
      <c r="Y424" s="71"/>
      <c r="Z424" s="71"/>
      <c r="AA424" s="71" t="str">
        <f t="shared" si="133"/>
        <v>基因罐</v>
      </c>
      <c r="AB424" s="71">
        <f t="shared" si="137"/>
        <v>30</v>
      </c>
      <c r="AC424" s="71" t="s">
        <v>374</v>
      </c>
      <c r="AD424" s="71">
        <v>150</v>
      </c>
      <c r="AE424" s="72" t="str">
        <f t="shared" si="130"/>
        <v>辅助特饮</v>
      </c>
      <c r="AF424" s="71">
        <v>300</v>
      </c>
      <c r="AG424" s="71"/>
      <c r="AH424" s="71"/>
      <c r="AI424" s="71" t="s">
        <v>390</v>
      </c>
      <c r="AJ424" s="71">
        <v>1</v>
      </c>
      <c r="AK424" s="71" t="s">
        <v>96</v>
      </c>
      <c r="AL424" s="71">
        <f t="shared" si="104"/>
        <v>600</v>
      </c>
      <c r="AN424" s="23" t="str">
        <f ca="1" t="shared" si="128"/>
        <v>{11,5}</v>
      </c>
      <c r="AO424" s="23" t="str">
        <f ca="1" t="shared" si="123"/>
        <v/>
      </c>
      <c r="AP424" s="23" t="str">
        <f ca="1" t="shared" si="105"/>
        <v>{50004,15}</v>
      </c>
      <c r="AQ424" s="23" t="str">
        <f ca="1" t="shared" si="106"/>
        <v>{5113001,200}</v>
      </c>
      <c r="AR424" s="23" t="str">
        <f ca="1" t="shared" si="107"/>
        <v>{2,240}</v>
      </c>
      <c r="AS424" s="23" t="str">
        <f ca="1" t="shared" si="108"/>
        <v>{5123001,250}</v>
      </c>
      <c r="AT424" s="23" t="str">
        <f ca="1" t="shared" si="134"/>
        <v>{5523001,200}</v>
      </c>
      <c r="AU424" s="23" t="str">
        <f ca="1" t="shared" si="121"/>
        <v/>
      </c>
      <c r="AV424" s="23" t="str">
        <f ca="1" t="shared" si="109"/>
        <v>{50006,25}</v>
      </c>
      <c r="AW424" s="23" t="str">
        <f ca="1" t="shared" si="110"/>
        <v/>
      </c>
      <c r="AX424" s="23" t="str">
        <f ca="1" t="shared" si="111"/>
        <v>{2,360}</v>
      </c>
      <c r="AY424" s="23" t="str">
        <f ca="1" t="shared" si="112"/>
        <v>{5204001,5}</v>
      </c>
      <c r="AZ424" s="23" t="str">
        <f ca="1" t="shared" si="138"/>
        <v>{5203001,30}</v>
      </c>
      <c r="BA424" s="23" t="str">
        <f ca="1" t="shared" si="113"/>
        <v>{1,150}</v>
      </c>
      <c r="BB424" s="23" t="s">
        <v>401</v>
      </c>
      <c r="BC424" s="23" t="str">
        <f ca="1" t="shared" si="114"/>
        <v>{5143001,300}</v>
      </c>
      <c r="BD424" s="23" t="str">
        <f ca="1" t="shared" si="131"/>
        <v/>
      </c>
      <c r="BE424" s="23" t="str">
        <f ca="1" t="shared" si="135"/>
        <v>{50039,1}</v>
      </c>
      <c r="BF424" s="23" t="str">
        <f ca="1" t="shared" si="115"/>
        <v>{2,600}</v>
      </c>
      <c r="BI424" s="23" t="str">
        <f ca="1" t="shared" si="116"/>
        <v>[{11,5},{50004,15},{5113001,200},{2,240}]</v>
      </c>
      <c r="BJ424" s="23" t="str">
        <f ca="1" t="shared" si="117"/>
        <v>[{5123001,250},{5523001,200},{50006,25},{2,360},{5204001,5}]</v>
      </c>
      <c r="BK424" s="23" t="str">
        <f ca="1" t="shared" si="118"/>
        <v>[{5203001,30},{1,150},{5523001,300},{5143001,300},{50039,1},{2,600}]</v>
      </c>
      <c r="BL424" s="23">
        <f ca="1" t="shared" si="119"/>
        <v>4</v>
      </c>
      <c r="BM424" s="23">
        <f ca="1" t="shared" si="120"/>
        <v>5</v>
      </c>
      <c r="BN424" s="23">
        <f ca="1" t="shared" si="122"/>
        <v>6</v>
      </c>
      <c r="BP424" s="71" t="s">
        <v>374</v>
      </c>
      <c r="BQ424" s="71">
        <v>150</v>
      </c>
    </row>
    <row r="425" ht="16.5" spans="2:69">
      <c r="B425" s="23">
        <v>105</v>
      </c>
      <c r="C425" s="12" t="s">
        <v>240</v>
      </c>
      <c r="D425" s="71">
        <v>1</v>
      </c>
      <c r="E425" s="71"/>
      <c r="F425" s="71"/>
      <c r="G425" s="71" t="str">
        <f t="shared" si="124"/>
        <v>护臂图纸</v>
      </c>
      <c r="H425" s="71">
        <v>15</v>
      </c>
      <c r="I425" s="71" t="str">
        <f t="shared" si="129"/>
        <v>毒系特饮</v>
      </c>
      <c r="J425" s="71">
        <v>200</v>
      </c>
      <c r="K425" s="71" t="s">
        <v>96</v>
      </c>
      <c r="L425" s="71">
        <v>240</v>
      </c>
      <c r="M425" s="71" t="str">
        <f t="shared" si="132"/>
        <v>辅助特饮</v>
      </c>
      <c r="N425" s="71">
        <f t="shared" si="136"/>
        <v>250</v>
      </c>
      <c r="O425" s="71" t="s">
        <v>316</v>
      </c>
      <c r="P425" s="71">
        <v>200</v>
      </c>
      <c r="Q425" s="71"/>
      <c r="R425" s="71"/>
      <c r="S425" s="72" t="str">
        <f t="shared" si="125"/>
        <v>鞋子图纸</v>
      </c>
      <c r="T425" s="71">
        <v>25</v>
      </c>
      <c r="U425" s="71" t="str">
        <f t="shared" si="126"/>
        <v>灵感获取令</v>
      </c>
      <c r="V425" s="71">
        <f t="shared" si="127"/>
        <v>1</v>
      </c>
      <c r="W425" s="71" t="s">
        <v>96</v>
      </c>
      <c r="X425" s="71">
        <f t="shared" si="103"/>
        <v>360</v>
      </c>
      <c r="Y425" s="71"/>
      <c r="Z425" s="71"/>
      <c r="AA425" s="71" t="str">
        <f t="shared" si="133"/>
        <v>传说基因罐</v>
      </c>
      <c r="AB425" s="71">
        <f t="shared" si="137"/>
        <v>3</v>
      </c>
      <c r="AC425" s="71" t="s">
        <v>374</v>
      </c>
      <c r="AD425" s="71">
        <v>150</v>
      </c>
      <c r="AE425" s="72" t="str">
        <f t="shared" si="130"/>
        <v>毒系特饮</v>
      </c>
      <c r="AF425" s="71">
        <v>300</v>
      </c>
      <c r="AG425" s="71"/>
      <c r="AH425" s="71"/>
      <c r="AI425" s="71" t="s">
        <v>390</v>
      </c>
      <c r="AJ425" s="71">
        <v>1</v>
      </c>
      <c r="AK425" s="71" t="s">
        <v>96</v>
      </c>
      <c r="AL425" s="71">
        <f t="shared" si="104"/>
        <v>600</v>
      </c>
      <c r="AN425" s="23" t="str">
        <f ca="1" t="shared" si="128"/>
        <v>{35,1}</v>
      </c>
      <c r="AO425" s="23" t="str">
        <f ca="1" t="shared" si="123"/>
        <v/>
      </c>
      <c r="AP425" s="23" t="str">
        <f ca="1" t="shared" si="105"/>
        <v>{50005,15}</v>
      </c>
      <c r="AQ425" s="23" t="str">
        <f ca="1" t="shared" si="106"/>
        <v>{5163001,200}</v>
      </c>
      <c r="AR425" s="23" t="str">
        <f ca="1" t="shared" si="107"/>
        <v>{2,240}</v>
      </c>
      <c r="AS425" s="23" t="str">
        <f ca="1" t="shared" si="108"/>
        <v>{5143001,250}</v>
      </c>
      <c r="AT425" s="23" t="str">
        <f ca="1" t="shared" si="134"/>
        <v>{5523001,200}</v>
      </c>
      <c r="AU425" s="23" t="str">
        <f ca="1" t="shared" si="121"/>
        <v/>
      </c>
      <c r="AV425" s="23" t="str">
        <f ca="1" t="shared" si="109"/>
        <v>{50007,25}</v>
      </c>
      <c r="AW425" s="23" t="str">
        <f ca="1" t="shared" si="110"/>
        <v>{9,1}</v>
      </c>
      <c r="AX425" s="23" t="str">
        <f ca="1" t="shared" si="111"/>
        <v>{2,360}</v>
      </c>
      <c r="AY425" s="23" t="str">
        <f ca="1" t="shared" si="112"/>
        <v>{5204001,5}</v>
      </c>
      <c r="AZ425" s="23" t="str">
        <f ca="1" t="shared" si="138"/>
        <v>{5205001,3}</v>
      </c>
      <c r="BA425" s="23" t="str">
        <f ca="1" t="shared" si="113"/>
        <v>{1,150}</v>
      </c>
      <c r="BB425" s="23" t="s">
        <v>401</v>
      </c>
      <c r="BC425" s="23" t="str">
        <f ca="1" t="shared" si="114"/>
        <v>{5163001,300}</v>
      </c>
      <c r="BD425" s="23" t="str">
        <f ca="1" t="shared" si="131"/>
        <v/>
      </c>
      <c r="BE425" s="23" t="str">
        <f ca="1" t="shared" si="135"/>
        <v>{50039,1}</v>
      </c>
      <c r="BF425" s="23" t="str">
        <f ca="1" t="shared" si="115"/>
        <v>{2,600}</v>
      </c>
      <c r="BI425" s="23" t="str">
        <f ca="1" t="shared" si="116"/>
        <v>[{35,1},{50005,15},{5163001,200},{2,240}]</v>
      </c>
      <c r="BJ425" s="23" t="str">
        <f ca="1" t="shared" si="117"/>
        <v>[{5143001,250},{5523001,200},{50007,25},{9,1},{2,360},{5204001,5}]</v>
      </c>
      <c r="BK425" s="23" t="str">
        <f ca="1" t="shared" si="118"/>
        <v>[{5205001,3},{1,150},{5523001,300},{5163001,300},{50039,1},{2,600}]</v>
      </c>
      <c r="BL425" s="23">
        <f ca="1" t="shared" si="119"/>
        <v>4</v>
      </c>
      <c r="BM425" s="23">
        <f ca="1" t="shared" si="120"/>
        <v>6</v>
      </c>
      <c r="BN425" s="23">
        <f ca="1" t="shared" si="122"/>
        <v>6</v>
      </c>
      <c r="BP425" s="71" t="s">
        <v>374</v>
      </c>
      <c r="BQ425" s="71">
        <v>150</v>
      </c>
    </row>
    <row r="426" ht="16.5" spans="2:69">
      <c r="B426" s="23">
        <v>106</v>
      </c>
      <c r="C426" s="12"/>
      <c r="D426" s="71"/>
      <c r="E426" s="71"/>
      <c r="F426" s="71"/>
      <c r="G426" s="71" t="str">
        <f t="shared" si="124"/>
        <v>裤子图纸</v>
      </c>
      <c r="H426" s="71">
        <v>15</v>
      </c>
      <c r="I426" s="71" t="str">
        <f t="shared" si="129"/>
        <v>控制特饮</v>
      </c>
      <c r="J426" s="71">
        <v>200</v>
      </c>
      <c r="K426" s="71" t="s">
        <v>96</v>
      </c>
      <c r="L426" s="71">
        <v>240</v>
      </c>
      <c r="M426" s="71" t="str">
        <f t="shared" si="132"/>
        <v>射手特饮</v>
      </c>
      <c r="N426" s="71">
        <f t="shared" si="136"/>
        <v>250</v>
      </c>
      <c r="O426" s="71" t="s">
        <v>316</v>
      </c>
      <c r="P426" s="71">
        <v>200</v>
      </c>
      <c r="Q426" s="71"/>
      <c r="R426" s="71"/>
      <c r="S426" s="72" t="str">
        <f t="shared" si="125"/>
        <v>手套图纸</v>
      </c>
      <c r="T426" s="71">
        <v>25</v>
      </c>
      <c r="U426" s="71" t="str">
        <f t="shared" si="126"/>
        <v/>
      </c>
      <c r="V426" s="71">
        <f t="shared" si="127"/>
        <v>0</v>
      </c>
      <c r="W426" s="71" t="s">
        <v>96</v>
      </c>
      <c r="X426" s="71">
        <f t="shared" si="103"/>
        <v>360</v>
      </c>
      <c r="Y426" s="71"/>
      <c r="Z426" s="71"/>
      <c r="AA426" s="71" t="str">
        <f t="shared" si="133"/>
        <v>基因罐</v>
      </c>
      <c r="AB426" s="71">
        <f t="shared" si="137"/>
        <v>30</v>
      </c>
      <c r="AC426" s="71" t="s">
        <v>374</v>
      </c>
      <c r="AD426" s="71">
        <v>150</v>
      </c>
      <c r="AE426" s="72" t="str">
        <f t="shared" si="130"/>
        <v>控制特饮</v>
      </c>
      <c r="AF426" s="71">
        <v>300</v>
      </c>
      <c r="AG426" s="71"/>
      <c r="AH426" s="71"/>
      <c r="AI426" s="71" t="s">
        <v>390</v>
      </c>
      <c r="AJ426" s="71">
        <v>1</v>
      </c>
      <c r="AK426" s="71" t="s">
        <v>96</v>
      </c>
      <c r="AL426" s="71">
        <f t="shared" si="104"/>
        <v>600</v>
      </c>
      <c r="AN426" s="23" t="str">
        <f ca="1" t="shared" si="128"/>
        <v>{11,5}</v>
      </c>
      <c r="AO426" s="23" t="str">
        <f ca="1" t="shared" si="123"/>
        <v/>
      </c>
      <c r="AP426" s="23" t="str">
        <f ca="1" t="shared" si="105"/>
        <v>{50006,15}</v>
      </c>
      <c r="AQ426" s="23" t="str">
        <f ca="1" t="shared" si="106"/>
        <v>{5153001,200}</v>
      </c>
      <c r="AR426" s="23" t="str">
        <f ca="1" t="shared" si="107"/>
        <v>{2,240}</v>
      </c>
      <c r="AS426" s="23" t="str">
        <f ca="1" t="shared" si="108"/>
        <v>{5133001,250}</v>
      </c>
      <c r="AT426" s="23" t="str">
        <f ca="1" t="shared" si="134"/>
        <v>{5523001,200}</v>
      </c>
      <c r="AU426" s="23" t="str">
        <f ca="1" t="shared" si="121"/>
        <v/>
      </c>
      <c r="AV426" s="23" t="str">
        <f ca="1" t="shared" si="109"/>
        <v>{50008,25}</v>
      </c>
      <c r="AW426" s="23" t="str">
        <f ca="1" t="shared" si="110"/>
        <v/>
      </c>
      <c r="AX426" s="23" t="str">
        <f ca="1" t="shared" si="111"/>
        <v>{2,360}</v>
      </c>
      <c r="AY426" s="23" t="str">
        <f ca="1" t="shared" si="112"/>
        <v>{5204001,5}</v>
      </c>
      <c r="AZ426" s="23" t="str">
        <f ca="1" t="shared" si="138"/>
        <v>{5203001,30}</v>
      </c>
      <c r="BA426" s="23" t="str">
        <f ca="1" t="shared" si="113"/>
        <v>{1,150}</v>
      </c>
      <c r="BB426" s="23" t="s">
        <v>401</v>
      </c>
      <c r="BC426" s="23" t="str">
        <f ca="1" t="shared" si="114"/>
        <v>{5153001,300}</v>
      </c>
      <c r="BD426" s="23" t="str">
        <f ca="1" t="shared" si="131"/>
        <v/>
      </c>
      <c r="BE426" s="23" t="str">
        <f ca="1" t="shared" si="135"/>
        <v>{50039,1}</v>
      </c>
      <c r="BF426" s="23" t="str">
        <f ca="1" t="shared" si="115"/>
        <v>{2,600}</v>
      </c>
      <c r="BI426" s="23" t="str">
        <f ca="1" t="shared" si="116"/>
        <v>[{11,5},{50006,15},{5153001,200},{2,240}]</v>
      </c>
      <c r="BJ426" s="23" t="str">
        <f ca="1" t="shared" si="117"/>
        <v>[{5133001,250},{5523001,200},{50008,25},{2,360},{5204001,5}]</v>
      </c>
      <c r="BK426" s="23" t="str">
        <f ca="1" t="shared" si="118"/>
        <v>[{5203001,30},{1,150},{5523001,300},{5153001,300},{50039,1},{2,600}]</v>
      </c>
      <c r="BL426" s="23">
        <f ca="1" t="shared" si="119"/>
        <v>4</v>
      </c>
      <c r="BM426" s="23">
        <f ca="1" t="shared" si="120"/>
        <v>5</v>
      </c>
      <c r="BN426" s="23">
        <f ca="1" t="shared" si="122"/>
        <v>6</v>
      </c>
      <c r="BP426" s="71" t="s">
        <v>374</v>
      </c>
      <c r="BQ426" s="71">
        <v>150</v>
      </c>
    </row>
    <row r="427" ht="16.5" spans="2:69">
      <c r="B427" s="23">
        <v>107</v>
      </c>
      <c r="C427" s="12"/>
      <c r="D427" s="71"/>
      <c r="E427" s="71"/>
      <c r="F427" s="71"/>
      <c r="G427" s="71" t="str">
        <f t="shared" si="124"/>
        <v>鞋子图纸</v>
      </c>
      <c r="H427" s="71">
        <v>15</v>
      </c>
      <c r="I427" s="71" t="str">
        <f t="shared" si="129"/>
        <v>射手特饮</v>
      </c>
      <c r="J427" s="71">
        <v>200</v>
      </c>
      <c r="K427" s="71" t="s">
        <v>96</v>
      </c>
      <c r="L427" s="71">
        <v>240</v>
      </c>
      <c r="M427" s="71" t="str">
        <f t="shared" si="132"/>
        <v>毒系特饮</v>
      </c>
      <c r="N427" s="71">
        <f t="shared" si="136"/>
        <v>250</v>
      </c>
      <c r="O427" s="71" t="s">
        <v>316</v>
      </c>
      <c r="P427" s="71">
        <v>200</v>
      </c>
      <c r="Q427" s="71"/>
      <c r="R427" s="71"/>
      <c r="S427" s="72" t="str">
        <f t="shared" si="125"/>
        <v>头盔图纸</v>
      </c>
      <c r="T427" s="71">
        <v>25</v>
      </c>
      <c r="U427" s="71" t="str">
        <f t="shared" si="126"/>
        <v/>
      </c>
      <c r="V427" s="71">
        <f t="shared" si="127"/>
        <v>0</v>
      </c>
      <c r="W427" s="71" t="s">
        <v>96</v>
      </c>
      <c r="X427" s="71">
        <f t="shared" si="103"/>
        <v>360</v>
      </c>
      <c r="Y427" s="71"/>
      <c r="Z427" s="71"/>
      <c r="AA427" s="71" t="str">
        <f t="shared" si="133"/>
        <v>基因罐</v>
      </c>
      <c r="AB427" s="71">
        <f t="shared" si="137"/>
        <v>30</v>
      </c>
      <c r="AC427" s="71" t="s">
        <v>374</v>
      </c>
      <c r="AD427" s="71">
        <v>150</v>
      </c>
      <c r="AE427" s="72" t="str">
        <f t="shared" si="130"/>
        <v>射手特饮</v>
      </c>
      <c r="AF427" s="71">
        <v>300</v>
      </c>
      <c r="AG427" s="71"/>
      <c r="AH427" s="71"/>
      <c r="AI427" s="71" t="s">
        <v>390</v>
      </c>
      <c r="AJ427" s="71">
        <v>1</v>
      </c>
      <c r="AK427" s="71" t="s">
        <v>96</v>
      </c>
      <c r="AL427" s="71">
        <f t="shared" si="104"/>
        <v>600</v>
      </c>
      <c r="AN427" s="23" t="str">
        <f ca="1" t="shared" si="128"/>
        <v>{11,5}</v>
      </c>
      <c r="AO427" s="23" t="str">
        <f ca="1" t="shared" si="123"/>
        <v/>
      </c>
      <c r="AP427" s="23" t="str">
        <f ca="1" t="shared" si="105"/>
        <v>{50007,15}</v>
      </c>
      <c r="AQ427" s="23" t="str">
        <f ca="1" t="shared" si="106"/>
        <v>{5133001,200}</v>
      </c>
      <c r="AR427" s="23" t="str">
        <f ca="1" t="shared" si="107"/>
        <v>{2,240}</v>
      </c>
      <c r="AS427" s="23" t="str">
        <f ca="1" t="shared" si="108"/>
        <v>{5163001,250}</v>
      </c>
      <c r="AT427" s="23" t="str">
        <f ca="1" t="shared" si="134"/>
        <v>{5523001,200}</v>
      </c>
      <c r="AU427" s="23" t="str">
        <f ca="1" t="shared" si="121"/>
        <v/>
      </c>
      <c r="AV427" s="23" t="str">
        <f ca="1" t="shared" si="109"/>
        <v>{50003,25}</v>
      </c>
      <c r="AW427" s="23" t="str">
        <f ca="1" t="shared" si="110"/>
        <v/>
      </c>
      <c r="AX427" s="23" t="str">
        <f ca="1" t="shared" si="111"/>
        <v>{2,360}</v>
      </c>
      <c r="AY427" s="23" t="str">
        <f ca="1" t="shared" si="112"/>
        <v>{5204001,5}</v>
      </c>
      <c r="AZ427" s="23" t="str">
        <f ca="1" t="shared" si="138"/>
        <v>{5203001,30}</v>
      </c>
      <c r="BA427" s="23" t="str">
        <f ca="1" t="shared" si="113"/>
        <v>{1,150}</v>
      </c>
      <c r="BB427" s="23" t="s">
        <v>401</v>
      </c>
      <c r="BC427" s="23" t="str">
        <f ca="1" t="shared" si="114"/>
        <v>{5133001,300}</v>
      </c>
      <c r="BD427" s="23" t="str">
        <f ca="1" t="shared" si="131"/>
        <v/>
      </c>
      <c r="BE427" s="23" t="str">
        <f ca="1" t="shared" si="135"/>
        <v>{50039,1}</v>
      </c>
      <c r="BF427" s="23" t="str">
        <f ca="1" t="shared" si="115"/>
        <v>{2,600}</v>
      </c>
      <c r="BI427" s="23" t="str">
        <f ca="1" t="shared" si="116"/>
        <v>[{11,5},{50007,15},{5133001,200},{2,240}]</v>
      </c>
      <c r="BJ427" s="23" t="str">
        <f ca="1" t="shared" si="117"/>
        <v>[{5163001,250},{5523001,200},{50003,25},{2,360},{5204001,5}]</v>
      </c>
      <c r="BK427" s="23" t="str">
        <f ca="1" t="shared" si="118"/>
        <v>[{5203001,30},{1,150},{5523001,300},{5133001,300},{50039,1},{2,600}]</v>
      </c>
      <c r="BL427" s="23">
        <f ca="1" t="shared" si="119"/>
        <v>4</v>
      </c>
      <c r="BM427" s="23">
        <f ca="1" t="shared" si="120"/>
        <v>5</v>
      </c>
      <c r="BN427" s="23">
        <f ca="1" t="shared" si="122"/>
        <v>6</v>
      </c>
      <c r="BP427" s="71" t="s">
        <v>374</v>
      </c>
      <c r="BQ427" s="71">
        <v>150</v>
      </c>
    </row>
    <row r="428" ht="16.5" spans="2:69">
      <c r="B428" s="23">
        <v>108</v>
      </c>
      <c r="C428" s="12"/>
      <c r="D428" s="71"/>
      <c r="E428" s="71"/>
      <c r="F428" s="71"/>
      <c r="G428" s="71" t="str">
        <f t="shared" si="124"/>
        <v>手套图纸</v>
      </c>
      <c r="H428" s="71">
        <v>15</v>
      </c>
      <c r="I428" s="71" t="str">
        <f t="shared" si="129"/>
        <v>法师特饮</v>
      </c>
      <c r="J428" s="71">
        <v>200</v>
      </c>
      <c r="K428" s="71" t="s">
        <v>96</v>
      </c>
      <c r="L428" s="71">
        <v>240</v>
      </c>
      <c r="M428" s="71" t="str">
        <f t="shared" si="132"/>
        <v>控制特饮</v>
      </c>
      <c r="N428" s="71">
        <f t="shared" si="136"/>
        <v>250</v>
      </c>
      <c r="O428" s="71" t="s">
        <v>316</v>
      </c>
      <c r="P428" s="71">
        <v>200</v>
      </c>
      <c r="Q428" s="71"/>
      <c r="R428" s="71"/>
      <c r="S428" s="72" t="str">
        <f t="shared" si="125"/>
        <v>衣服图纸</v>
      </c>
      <c r="T428" s="71">
        <v>25</v>
      </c>
      <c r="U428" s="71" t="str">
        <f t="shared" si="126"/>
        <v/>
      </c>
      <c r="V428" s="71">
        <f t="shared" si="127"/>
        <v>0</v>
      </c>
      <c r="W428" s="71" t="s">
        <v>96</v>
      </c>
      <c r="X428" s="71">
        <f t="shared" si="103"/>
        <v>360</v>
      </c>
      <c r="Y428" s="71"/>
      <c r="Z428" s="71"/>
      <c r="AA428" s="71" t="str">
        <f t="shared" si="133"/>
        <v>基因罐</v>
      </c>
      <c r="AB428" s="71">
        <f t="shared" si="137"/>
        <v>30</v>
      </c>
      <c r="AC428" s="71" t="s">
        <v>374</v>
      </c>
      <c r="AD428" s="71">
        <v>150</v>
      </c>
      <c r="AE428" s="72" t="str">
        <f t="shared" si="130"/>
        <v>战士特饮</v>
      </c>
      <c r="AF428" s="71">
        <v>300</v>
      </c>
      <c r="AG428" s="71"/>
      <c r="AH428" s="71"/>
      <c r="AI428" s="71" t="s">
        <v>390</v>
      </c>
      <c r="AJ428" s="71">
        <v>1</v>
      </c>
      <c r="AK428" s="71" t="s">
        <v>96</v>
      </c>
      <c r="AL428" s="71">
        <f t="shared" si="104"/>
        <v>600</v>
      </c>
      <c r="AN428" s="23" t="str">
        <f ca="1" t="shared" si="128"/>
        <v>{11,5}</v>
      </c>
      <c r="AO428" s="23" t="str">
        <f ca="1" t="shared" si="123"/>
        <v/>
      </c>
      <c r="AP428" s="23" t="str">
        <f ca="1" t="shared" si="105"/>
        <v>{50008,15}</v>
      </c>
      <c r="AQ428" s="23" t="str">
        <f ca="1" t="shared" si="106"/>
        <v>{5123001,200}</v>
      </c>
      <c r="AR428" s="23" t="str">
        <f ca="1" t="shared" si="107"/>
        <v>{2,240}</v>
      </c>
      <c r="AS428" s="23" t="str">
        <f ca="1" t="shared" si="108"/>
        <v>{5153001,250}</v>
      </c>
      <c r="AT428" s="23" t="str">
        <f ca="1" t="shared" si="134"/>
        <v>{5523001,200}</v>
      </c>
      <c r="AU428" s="23" t="str">
        <f ca="1" t="shared" si="121"/>
        <v/>
      </c>
      <c r="AV428" s="23" t="str">
        <f ca="1" t="shared" si="109"/>
        <v>{50004,25}</v>
      </c>
      <c r="AW428" s="23" t="str">
        <f ca="1" t="shared" si="110"/>
        <v/>
      </c>
      <c r="AX428" s="23" t="str">
        <f ca="1" t="shared" si="111"/>
        <v>{2,360}</v>
      </c>
      <c r="AY428" s="23" t="str">
        <f ca="1" t="shared" si="112"/>
        <v>{5204001,5}</v>
      </c>
      <c r="AZ428" s="23" t="str">
        <f ca="1" t="shared" si="138"/>
        <v>{5203001,30}</v>
      </c>
      <c r="BA428" s="23" t="str">
        <f ca="1" t="shared" si="113"/>
        <v>{1,150}</v>
      </c>
      <c r="BB428" s="23" t="s">
        <v>401</v>
      </c>
      <c r="BC428" s="23" t="str">
        <f ca="1" t="shared" si="114"/>
        <v>{5113001,300}</v>
      </c>
      <c r="BD428" s="23" t="str">
        <f ca="1" t="shared" si="131"/>
        <v/>
      </c>
      <c r="BE428" s="23" t="str">
        <f ca="1" t="shared" si="135"/>
        <v>{50039,1}</v>
      </c>
      <c r="BF428" s="23" t="str">
        <f ca="1" t="shared" si="115"/>
        <v>{2,600}</v>
      </c>
      <c r="BI428" s="23" t="str">
        <f ca="1" t="shared" si="116"/>
        <v>[{11,5},{50008,15},{5123001,200},{2,240}]</v>
      </c>
      <c r="BJ428" s="23" t="str">
        <f ca="1" t="shared" si="117"/>
        <v>[{5153001,250},{5523001,200},{50004,25},{2,360},{5204001,5}]</v>
      </c>
      <c r="BK428" s="23" t="str">
        <f ca="1" t="shared" si="118"/>
        <v>[{5203001,30},{1,150},{5523001,300},{5113001,300},{50039,1},{2,600}]</v>
      </c>
      <c r="BL428" s="23">
        <f ca="1" t="shared" si="119"/>
        <v>4</v>
      </c>
      <c r="BM428" s="23">
        <f ca="1" t="shared" si="120"/>
        <v>5</v>
      </c>
      <c r="BN428" s="23">
        <f ca="1" t="shared" si="122"/>
        <v>6</v>
      </c>
      <c r="BP428" s="71" t="s">
        <v>374</v>
      </c>
      <c r="BQ428" s="71">
        <v>150</v>
      </c>
    </row>
    <row r="429" ht="16.5" spans="2:69">
      <c r="B429" s="23">
        <v>109</v>
      </c>
      <c r="C429" s="12"/>
      <c r="D429" s="71"/>
      <c r="E429" s="71"/>
      <c r="F429" s="71"/>
      <c r="G429" s="71" t="str">
        <f t="shared" si="124"/>
        <v>头盔图纸</v>
      </c>
      <c r="H429" s="71">
        <v>15</v>
      </c>
      <c r="I429" s="71" t="str">
        <f t="shared" si="129"/>
        <v>辅助特饮</v>
      </c>
      <c r="J429" s="71">
        <v>200</v>
      </c>
      <c r="K429" s="71" t="s">
        <v>96</v>
      </c>
      <c r="L429" s="71">
        <v>240</v>
      </c>
      <c r="M429" s="71" t="str">
        <f t="shared" si="132"/>
        <v>战士特饮</v>
      </c>
      <c r="N429" s="71">
        <f t="shared" si="136"/>
        <v>250</v>
      </c>
      <c r="O429" s="71" t="s">
        <v>316</v>
      </c>
      <c r="P429" s="71">
        <v>200</v>
      </c>
      <c r="Q429" s="71"/>
      <c r="R429" s="71"/>
      <c r="S429" s="72" t="str">
        <f t="shared" si="125"/>
        <v>护臂图纸</v>
      </c>
      <c r="T429" s="71">
        <v>25</v>
      </c>
      <c r="U429" s="71" t="str">
        <f t="shared" si="126"/>
        <v/>
      </c>
      <c r="V429" s="71">
        <f t="shared" si="127"/>
        <v>0</v>
      </c>
      <c r="W429" s="71" t="s">
        <v>96</v>
      </c>
      <c r="X429" s="71">
        <f t="shared" si="103"/>
        <v>360</v>
      </c>
      <c r="Y429" s="71"/>
      <c r="Z429" s="71"/>
      <c r="AA429" s="71" t="str">
        <f t="shared" si="133"/>
        <v>基因罐</v>
      </c>
      <c r="AB429" s="71">
        <f t="shared" si="137"/>
        <v>30</v>
      </c>
      <c r="AC429" s="71" t="s">
        <v>374</v>
      </c>
      <c r="AD429" s="71">
        <v>150</v>
      </c>
      <c r="AE429" s="72" t="str">
        <f t="shared" si="130"/>
        <v>法师特饮</v>
      </c>
      <c r="AF429" s="71">
        <v>300</v>
      </c>
      <c r="AG429" s="71"/>
      <c r="AH429" s="71"/>
      <c r="AI429" s="71" t="s">
        <v>390</v>
      </c>
      <c r="AJ429" s="71">
        <v>1</v>
      </c>
      <c r="AK429" s="71" t="s">
        <v>96</v>
      </c>
      <c r="AL429" s="71">
        <f t="shared" si="104"/>
        <v>600</v>
      </c>
      <c r="AN429" s="23" t="str">
        <f ca="1" t="shared" si="128"/>
        <v>{11,5}</v>
      </c>
      <c r="AO429" s="23" t="str">
        <f ca="1" t="shared" si="123"/>
        <v/>
      </c>
      <c r="AP429" s="23" t="str">
        <f ca="1" t="shared" si="105"/>
        <v>{50003,15}</v>
      </c>
      <c r="AQ429" s="23" t="str">
        <f ca="1" t="shared" si="106"/>
        <v>{5143001,200}</v>
      </c>
      <c r="AR429" s="23" t="str">
        <f ca="1" t="shared" si="107"/>
        <v>{2,240}</v>
      </c>
      <c r="AS429" s="23" t="str">
        <f ca="1" t="shared" si="108"/>
        <v>{5113001,250}</v>
      </c>
      <c r="AT429" s="23" t="str">
        <f ca="1" t="shared" si="134"/>
        <v>{5523001,200}</v>
      </c>
      <c r="AU429" s="23" t="str">
        <f ca="1" t="shared" si="121"/>
        <v/>
      </c>
      <c r="AV429" s="23" t="str">
        <f ca="1" t="shared" si="109"/>
        <v>{50005,25}</v>
      </c>
      <c r="AW429" s="23" t="str">
        <f ca="1" t="shared" si="110"/>
        <v/>
      </c>
      <c r="AX429" s="23" t="str">
        <f ca="1" t="shared" si="111"/>
        <v>{2,360}</v>
      </c>
      <c r="AY429" s="23" t="str">
        <f ca="1" t="shared" si="112"/>
        <v>{5204001,5}</v>
      </c>
      <c r="AZ429" s="23" t="str">
        <f ca="1" t="shared" si="138"/>
        <v>{5203001,30}</v>
      </c>
      <c r="BA429" s="23" t="str">
        <f ca="1" t="shared" si="113"/>
        <v>{1,150}</v>
      </c>
      <c r="BB429" s="23" t="s">
        <v>401</v>
      </c>
      <c r="BC429" s="23" t="str">
        <f ca="1" t="shared" si="114"/>
        <v>{5123001,300}</v>
      </c>
      <c r="BD429" s="23" t="str">
        <f ca="1" t="shared" si="131"/>
        <v/>
      </c>
      <c r="BE429" s="23" t="str">
        <f ca="1" t="shared" si="135"/>
        <v>{50039,1}</v>
      </c>
      <c r="BF429" s="23" t="str">
        <f ca="1" t="shared" si="115"/>
        <v>{2,600}</v>
      </c>
      <c r="BI429" s="23" t="str">
        <f ca="1" t="shared" si="116"/>
        <v>[{11,5},{50003,15},{5143001,200},{2,240}]</v>
      </c>
      <c r="BJ429" s="23" t="str">
        <f ca="1" t="shared" si="117"/>
        <v>[{5113001,250},{5523001,200},{50005,25},{2,360},{5204001,5}]</v>
      </c>
      <c r="BK429" s="23" t="str">
        <f ca="1" t="shared" si="118"/>
        <v>[{5203001,30},{1,150},{5523001,300},{5123001,300},{50039,1},{2,600}]</v>
      </c>
      <c r="BL429" s="23">
        <f ca="1" t="shared" si="119"/>
        <v>4</v>
      </c>
      <c r="BM429" s="23">
        <f ca="1" t="shared" si="120"/>
        <v>5</v>
      </c>
      <c r="BN429" s="23">
        <f ca="1" t="shared" si="122"/>
        <v>6</v>
      </c>
      <c r="BP429" s="71" t="s">
        <v>374</v>
      </c>
      <c r="BQ429" s="71">
        <v>150</v>
      </c>
    </row>
    <row r="430" ht="16.5" spans="2:69">
      <c r="B430" s="23">
        <v>110</v>
      </c>
      <c r="C430" s="12" t="s">
        <v>240</v>
      </c>
      <c r="D430" s="71">
        <v>1</v>
      </c>
      <c r="E430" s="71"/>
      <c r="F430" s="71"/>
      <c r="G430" s="71" t="str">
        <f t="shared" si="124"/>
        <v>衣服图纸</v>
      </c>
      <c r="H430" s="71">
        <v>15</v>
      </c>
      <c r="I430" s="71" t="str">
        <f t="shared" si="129"/>
        <v>战士特饮</v>
      </c>
      <c r="J430" s="71">
        <v>200</v>
      </c>
      <c r="K430" s="71" t="s">
        <v>96</v>
      </c>
      <c r="L430" s="71">
        <v>240</v>
      </c>
      <c r="M430" s="71" t="str">
        <f t="shared" si="132"/>
        <v>法师特饮</v>
      </c>
      <c r="N430" s="71">
        <f t="shared" si="136"/>
        <v>250</v>
      </c>
      <c r="O430" s="71" t="s">
        <v>316</v>
      </c>
      <c r="P430" s="71">
        <v>200</v>
      </c>
      <c r="Q430" s="71"/>
      <c r="R430" s="71"/>
      <c r="S430" s="72" t="str">
        <f t="shared" si="125"/>
        <v>裤子图纸</v>
      </c>
      <c r="T430" s="71">
        <v>25</v>
      </c>
      <c r="U430" s="71" t="str">
        <f t="shared" si="126"/>
        <v>灵感获取令</v>
      </c>
      <c r="V430" s="71">
        <f t="shared" si="127"/>
        <v>1</v>
      </c>
      <c r="W430" s="71" t="s">
        <v>96</v>
      </c>
      <c r="X430" s="71">
        <f t="shared" si="103"/>
        <v>360</v>
      </c>
      <c r="Y430" s="71"/>
      <c r="Z430" s="71"/>
      <c r="AA430" s="71" t="str">
        <f t="shared" si="133"/>
        <v>传说基因罐</v>
      </c>
      <c r="AB430" s="71">
        <f t="shared" si="137"/>
        <v>3</v>
      </c>
      <c r="AC430" s="71" t="s">
        <v>374</v>
      </c>
      <c r="AD430" s="71">
        <v>150</v>
      </c>
      <c r="AE430" s="72" t="str">
        <f t="shared" si="130"/>
        <v>辅助特饮</v>
      </c>
      <c r="AF430" s="71">
        <v>300</v>
      </c>
      <c r="AG430" s="71"/>
      <c r="AH430" s="71"/>
      <c r="AI430" s="71" t="s">
        <v>390</v>
      </c>
      <c r="AJ430" s="71">
        <v>1</v>
      </c>
      <c r="AK430" s="71" t="s">
        <v>96</v>
      </c>
      <c r="AL430" s="71">
        <f t="shared" si="104"/>
        <v>600</v>
      </c>
      <c r="AN430" s="23" t="str">
        <f ca="1" t="shared" si="128"/>
        <v>{35,1}</v>
      </c>
      <c r="AO430" s="23" t="str">
        <f ca="1" t="shared" si="123"/>
        <v/>
      </c>
      <c r="AP430" s="23" t="str">
        <f ca="1" t="shared" si="105"/>
        <v>{50004,15}</v>
      </c>
      <c r="AQ430" s="23" t="str">
        <f ca="1" t="shared" si="106"/>
        <v>{5113001,200}</v>
      </c>
      <c r="AR430" s="23" t="str">
        <f ca="1" t="shared" si="107"/>
        <v>{2,240}</v>
      </c>
      <c r="AS430" s="23" t="str">
        <f ca="1" t="shared" si="108"/>
        <v>{5123001,250}</v>
      </c>
      <c r="AT430" s="23" t="str">
        <f ca="1" t="shared" si="134"/>
        <v>{5523001,200}</v>
      </c>
      <c r="AU430" s="23" t="str">
        <f ca="1" t="shared" si="121"/>
        <v/>
      </c>
      <c r="AV430" s="23" t="str">
        <f ca="1" t="shared" si="109"/>
        <v>{50006,25}</v>
      </c>
      <c r="AW430" s="23" t="str">
        <f ca="1" t="shared" si="110"/>
        <v>{9,1}</v>
      </c>
      <c r="AX430" s="23" t="str">
        <f ca="1" t="shared" si="111"/>
        <v>{2,360}</v>
      </c>
      <c r="AY430" s="23" t="str">
        <f ca="1" t="shared" si="112"/>
        <v>{5204001,5}</v>
      </c>
      <c r="AZ430" s="23" t="str">
        <f ca="1" t="shared" si="138"/>
        <v>{5205001,3}</v>
      </c>
      <c r="BA430" s="23" t="str">
        <f ca="1" t="shared" si="113"/>
        <v>{1,150}</v>
      </c>
      <c r="BB430" s="23" t="s">
        <v>401</v>
      </c>
      <c r="BC430" s="23" t="str">
        <f ca="1" t="shared" si="114"/>
        <v>{5143001,300}</v>
      </c>
      <c r="BD430" s="23" t="str">
        <f ca="1" t="shared" si="131"/>
        <v/>
      </c>
      <c r="BE430" s="23" t="str">
        <f ca="1" t="shared" si="135"/>
        <v>{50039,1}</v>
      </c>
      <c r="BF430" s="23" t="str">
        <f ca="1" t="shared" si="115"/>
        <v>{2,600}</v>
      </c>
      <c r="BI430" s="23" t="str">
        <f ca="1" t="shared" si="116"/>
        <v>[{35,1},{50004,15},{5113001,200},{2,240}]</v>
      </c>
      <c r="BJ430" s="23" t="str">
        <f ca="1" t="shared" si="117"/>
        <v>[{5123001,250},{5523001,200},{50006,25},{9,1},{2,360},{5204001,5}]</v>
      </c>
      <c r="BK430" s="23" t="str">
        <f ca="1" t="shared" si="118"/>
        <v>[{5205001,3},{1,150},{5523001,300},{5143001,300},{50039,1},{2,600}]</v>
      </c>
      <c r="BL430" s="23">
        <f ca="1" t="shared" si="119"/>
        <v>4</v>
      </c>
      <c r="BM430" s="23">
        <f ca="1" t="shared" si="120"/>
        <v>6</v>
      </c>
      <c r="BN430" s="23">
        <f ca="1" t="shared" si="122"/>
        <v>6</v>
      </c>
      <c r="BP430" s="71" t="s">
        <v>374</v>
      </c>
      <c r="BQ430" s="71">
        <v>150</v>
      </c>
    </row>
    <row r="431" ht="16.5" spans="2:69">
      <c r="B431" s="23">
        <v>111</v>
      </c>
      <c r="C431" s="12"/>
      <c r="D431" s="71"/>
      <c r="E431" s="71"/>
      <c r="F431" s="71"/>
      <c r="G431" s="71" t="str">
        <f t="shared" si="124"/>
        <v>护臂图纸</v>
      </c>
      <c r="H431" s="71">
        <v>15</v>
      </c>
      <c r="I431" s="71" t="str">
        <f t="shared" si="129"/>
        <v>毒系特饮</v>
      </c>
      <c r="J431" s="71">
        <v>200</v>
      </c>
      <c r="K431" s="71" t="s">
        <v>96</v>
      </c>
      <c r="L431" s="71">
        <v>240</v>
      </c>
      <c r="M431" s="71" t="str">
        <f t="shared" si="132"/>
        <v>辅助特饮</v>
      </c>
      <c r="N431" s="71">
        <f t="shared" si="136"/>
        <v>250</v>
      </c>
      <c r="O431" s="71" t="s">
        <v>316</v>
      </c>
      <c r="P431" s="71">
        <v>200</v>
      </c>
      <c r="Q431" s="71"/>
      <c r="R431" s="71"/>
      <c r="S431" s="72" t="str">
        <f t="shared" si="125"/>
        <v>鞋子图纸</v>
      </c>
      <c r="T431" s="71">
        <v>25</v>
      </c>
      <c r="U431" s="71" t="str">
        <f t="shared" si="126"/>
        <v/>
      </c>
      <c r="V431" s="71">
        <f t="shared" si="127"/>
        <v>0</v>
      </c>
      <c r="W431" s="71" t="s">
        <v>96</v>
      </c>
      <c r="X431" s="71">
        <f t="shared" si="103"/>
        <v>360</v>
      </c>
      <c r="Y431" s="71"/>
      <c r="Z431" s="71"/>
      <c r="AA431" s="71" t="str">
        <f t="shared" si="133"/>
        <v>基因罐</v>
      </c>
      <c r="AB431" s="71">
        <f t="shared" si="137"/>
        <v>30</v>
      </c>
      <c r="AC431" s="71" t="s">
        <v>374</v>
      </c>
      <c r="AD431" s="71">
        <v>150</v>
      </c>
      <c r="AE431" s="72" t="str">
        <f t="shared" si="130"/>
        <v>毒系特饮</v>
      </c>
      <c r="AF431" s="71">
        <v>300</v>
      </c>
      <c r="AG431" s="71"/>
      <c r="AH431" s="71"/>
      <c r="AI431" s="71" t="s">
        <v>390</v>
      </c>
      <c r="AJ431" s="71">
        <v>1</v>
      </c>
      <c r="AK431" s="71" t="s">
        <v>96</v>
      </c>
      <c r="AL431" s="71">
        <f t="shared" si="104"/>
        <v>600</v>
      </c>
      <c r="AN431" s="23" t="str">
        <f ca="1" t="shared" si="128"/>
        <v>{11,5}</v>
      </c>
      <c r="AO431" s="23" t="str">
        <f ca="1" t="shared" si="123"/>
        <v/>
      </c>
      <c r="AP431" s="23" t="str">
        <f ca="1" t="shared" si="105"/>
        <v>{50005,15}</v>
      </c>
      <c r="AQ431" s="23" t="str">
        <f ca="1" t="shared" si="106"/>
        <v>{5163001,200}</v>
      </c>
      <c r="AR431" s="23" t="str">
        <f ca="1" t="shared" si="107"/>
        <v>{2,240}</v>
      </c>
      <c r="AS431" s="23" t="str">
        <f ca="1" t="shared" si="108"/>
        <v>{5143001,250}</v>
      </c>
      <c r="AT431" s="23" t="str">
        <f ca="1" t="shared" si="134"/>
        <v>{5523001,200}</v>
      </c>
      <c r="AU431" s="23" t="str">
        <f ca="1" t="shared" si="121"/>
        <v/>
      </c>
      <c r="AV431" s="23" t="str">
        <f ca="1" t="shared" si="109"/>
        <v>{50007,25}</v>
      </c>
      <c r="AW431" s="23" t="str">
        <f ca="1" t="shared" si="110"/>
        <v/>
      </c>
      <c r="AX431" s="23" t="str">
        <f ca="1" t="shared" si="111"/>
        <v>{2,360}</v>
      </c>
      <c r="AY431" s="23" t="str">
        <f ca="1" t="shared" si="112"/>
        <v>{5204001,5}</v>
      </c>
      <c r="AZ431" s="23" t="str">
        <f ca="1" t="shared" si="138"/>
        <v>{5203001,30}</v>
      </c>
      <c r="BA431" s="23" t="str">
        <f ca="1" t="shared" si="113"/>
        <v>{1,150}</v>
      </c>
      <c r="BB431" s="23" t="s">
        <v>401</v>
      </c>
      <c r="BC431" s="23" t="str">
        <f ca="1" t="shared" si="114"/>
        <v>{5163001,300}</v>
      </c>
      <c r="BD431" s="23" t="str">
        <f ca="1" t="shared" si="131"/>
        <v/>
      </c>
      <c r="BE431" s="23" t="str">
        <f ca="1" t="shared" si="135"/>
        <v>{50039,1}</v>
      </c>
      <c r="BF431" s="23" t="str">
        <f ca="1" t="shared" si="115"/>
        <v>{2,600}</v>
      </c>
      <c r="BI431" s="23" t="str">
        <f ca="1" t="shared" si="116"/>
        <v>[{11,5},{50005,15},{5163001,200},{2,240}]</v>
      </c>
      <c r="BJ431" s="23" t="str">
        <f ca="1" t="shared" si="117"/>
        <v>[{5143001,250},{5523001,200},{50007,25},{2,360},{5204001,5}]</v>
      </c>
      <c r="BK431" s="23" t="str">
        <f ca="1" t="shared" si="118"/>
        <v>[{5203001,30},{1,150},{5523001,300},{5163001,300},{50039,1},{2,600}]</v>
      </c>
      <c r="BL431" s="23">
        <f ca="1" t="shared" si="119"/>
        <v>4</v>
      </c>
      <c r="BM431" s="23">
        <f ca="1" t="shared" si="120"/>
        <v>5</v>
      </c>
      <c r="BN431" s="23">
        <f ca="1" t="shared" si="122"/>
        <v>6</v>
      </c>
      <c r="BP431" s="71" t="s">
        <v>374</v>
      </c>
      <c r="BQ431" s="71">
        <v>150</v>
      </c>
    </row>
    <row r="432" ht="16.5" spans="2:69">
      <c r="B432" s="23">
        <v>112</v>
      </c>
      <c r="C432" s="12"/>
      <c r="D432" s="71"/>
      <c r="E432" s="71"/>
      <c r="F432" s="71"/>
      <c r="G432" s="71" t="str">
        <f t="shared" si="124"/>
        <v>裤子图纸</v>
      </c>
      <c r="H432" s="71">
        <v>15</v>
      </c>
      <c r="I432" s="71" t="str">
        <f t="shared" si="129"/>
        <v>控制特饮</v>
      </c>
      <c r="J432" s="71">
        <v>200</v>
      </c>
      <c r="K432" s="71" t="s">
        <v>96</v>
      </c>
      <c r="L432" s="71">
        <v>240</v>
      </c>
      <c r="M432" s="71" t="str">
        <f t="shared" si="132"/>
        <v>射手特饮</v>
      </c>
      <c r="N432" s="71">
        <f t="shared" si="136"/>
        <v>250</v>
      </c>
      <c r="O432" s="71" t="s">
        <v>316</v>
      </c>
      <c r="P432" s="71">
        <v>200</v>
      </c>
      <c r="Q432" s="71"/>
      <c r="R432" s="71"/>
      <c r="S432" s="72" t="str">
        <f t="shared" si="125"/>
        <v>手套图纸</v>
      </c>
      <c r="T432" s="71">
        <v>25</v>
      </c>
      <c r="U432" s="71" t="str">
        <f t="shared" si="126"/>
        <v/>
      </c>
      <c r="V432" s="71">
        <f t="shared" si="127"/>
        <v>0</v>
      </c>
      <c r="W432" s="71" t="s">
        <v>96</v>
      </c>
      <c r="X432" s="71">
        <f t="shared" si="103"/>
        <v>360</v>
      </c>
      <c r="Y432" s="71"/>
      <c r="Z432" s="71"/>
      <c r="AA432" s="71" t="str">
        <f t="shared" si="133"/>
        <v>基因罐</v>
      </c>
      <c r="AB432" s="71">
        <f t="shared" si="137"/>
        <v>30</v>
      </c>
      <c r="AC432" s="71" t="s">
        <v>374</v>
      </c>
      <c r="AD432" s="71">
        <v>150</v>
      </c>
      <c r="AE432" s="72" t="str">
        <f t="shared" si="130"/>
        <v>控制特饮</v>
      </c>
      <c r="AF432" s="71">
        <v>300</v>
      </c>
      <c r="AG432" s="71"/>
      <c r="AH432" s="71"/>
      <c r="AI432" s="71" t="s">
        <v>390</v>
      </c>
      <c r="AJ432" s="71">
        <v>1</v>
      </c>
      <c r="AK432" s="71" t="s">
        <v>96</v>
      </c>
      <c r="AL432" s="71">
        <f t="shared" si="104"/>
        <v>600</v>
      </c>
      <c r="AN432" s="23" t="str">
        <f ca="1" t="shared" si="128"/>
        <v>{11,5}</v>
      </c>
      <c r="AO432" s="23" t="str">
        <f ca="1" t="shared" si="123"/>
        <v/>
      </c>
      <c r="AP432" s="23" t="str">
        <f ca="1" t="shared" si="105"/>
        <v>{50006,15}</v>
      </c>
      <c r="AQ432" s="23" t="str">
        <f ca="1" t="shared" si="106"/>
        <v>{5153001,200}</v>
      </c>
      <c r="AR432" s="23" t="str">
        <f ca="1" t="shared" si="107"/>
        <v>{2,240}</v>
      </c>
      <c r="AS432" s="23" t="str">
        <f ca="1" t="shared" si="108"/>
        <v>{5133001,250}</v>
      </c>
      <c r="AT432" s="23" t="str">
        <f ca="1" t="shared" si="134"/>
        <v>{5523001,200}</v>
      </c>
      <c r="AU432" s="23" t="str">
        <f ca="1" t="shared" si="121"/>
        <v/>
      </c>
      <c r="AV432" s="23" t="str">
        <f ca="1" t="shared" si="109"/>
        <v>{50008,25}</v>
      </c>
      <c r="AW432" s="23" t="str">
        <f ca="1" t="shared" si="110"/>
        <v/>
      </c>
      <c r="AX432" s="23" t="str">
        <f ca="1" t="shared" si="111"/>
        <v>{2,360}</v>
      </c>
      <c r="AY432" s="23" t="str">
        <f ca="1" t="shared" si="112"/>
        <v>{5204001,5}</v>
      </c>
      <c r="AZ432" s="23" t="str">
        <f ca="1" t="shared" si="138"/>
        <v>{5203001,30}</v>
      </c>
      <c r="BA432" s="23" t="str">
        <f ca="1" t="shared" si="113"/>
        <v>{1,150}</v>
      </c>
      <c r="BB432" s="23" t="s">
        <v>401</v>
      </c>
      <c r="BC432" s="23" t="str">
        <f ca="1" t="shared" si="114"/>
        <v>{5153001,300}</v>
      </c>
      <c r="BD432" s="23" t="str">
        <f ca="1" t="shared" si="131"/>
        <v/>
      </c>
      <c r="BE432" s="23" t="str">
        <f ca="1" t="shared" si="135"/>
        <v>{50039,1}</v>
      </c>
      <c r="BF432" s="23" t="str">
        <f ca="1" t="shared" si="115"/>
        <v>{2,600}</v>
      </c>
      <c r="BI432" s="23" t="str">
        <f ca="1" t="shared" si="116"/>
        <v>[{11,5},{50006,15},{5153001,200},{2,240}]</v>
      </c>
      <c r="BJ432" s="23" t="str">
        <f ca="1" t="shared" si="117"/>
        <v>[{5133001,250},{5523001,200},{50008,25},{2,360},{5204001,5}]</v>
      </c>
      <c r="BK432" s="23" t="str">
        <f ca="1" t="shared" si="118"/>
        <v>[{5203001,30},{1,150},{5523001,300},{5153001,300},{50039,1},{2,600}]</v>
      </c>
      <c r="BL432" s="23">
        <f ca="1" t="shared" si="119"/>
        <v>4</v>
      </c>
      <c r="BM432" s="23">
        <f ca="1" t="shared" si="120"/>
        <v>5</v>
      </c>
      <c r="BN432" s="23">
        <f ca="1" t="shared" si="122"/>
        <v>6</v>
      </c>
      <c r="BP432" s="71" t="s">
        <v>374</v>
      </c>
      <c r="BQ432" s="71">
        <v>150</v>
      </c>
    </row>
    <row r="433" ht="16.5" spans="2:69">
      <c r="B433" s="23">
        <v>113</v>
      </c>
      <c r="C433" s="12"/>
      <c r="D433" s="71"/>
      <c r="E433" s="71"/>
      <c r="F433" s="71"/>
      <c r="G433" s="71" t="str">
        <f t="shared" si="124"/>
        <v>鞋子图纸</v>
      </c>
      <c r="H433" s="71">
        <v>15</v>
      </c>
      <c r="I433" s="71" t="str">
        <f t="shared" si="129"/>
        <v>射手特饮</v>
      </c>
      <c r="J433" s="71">
        <v>200</v>
      </c>
      <c r="K433" s="71" t="s">
        <v>96</v>
      </c>
      <c r="L433" s="71">
        <v>240</v>
      </c>
      <c r="M433" s="71" t="str">
        <f t="shared" si="132"/>
        <v>毒系特饮</v>
      </c>
      <c r="N433" s="71">
        <f t="shared" si="136"/>
        <v>250</v>
      </c>
      <c r="O433" s="71" t="s">
        <v>316</v>
      </c>
      <c r="P433" s="71">
        <v>200</v>
      </c>
      <c r="Q433" s="71"/>
      <c r="R433" s="71"/>
      <c r="S433" s="72" t="str">
        <f t="shared" si="125"/>
        <v>头盔图纸</v>
      </c>
      <c r="T433" s="71">
        <v>25</v>
      </c>
      <c r="U433" s="71" t="str">
        <f t="shared" si="126"/>
        <v/>
      </c>
      <c r="V433" s="71">
        <f t="shared" si="127"/>
        <v>0</v>
      </c>
      <c r="W433" s="71" t="s">
        <v>96</v>
      </c>
      <c r="X433" s="71">
        <f t="shared" si="103"/>
        <v>360</v>
      </c>
      <c r="Y433" s="71"/>
      <c r="Z433" s="71"/>
      <c r="AA433" s="71" t="str">
        <f t="shared" si="133"/>
        <v>基因罐</v>
      </c>
      <c r="AB433" s="71">
        <f t="shared" si="137"/>
        <v>30</v>
      </c>
      <c r="AC433" s="71" t="s">
        <v>374</v>
      </c>
      <c r="AD433" s="71">
        <v>150</v>
      </c>
      <c r="AE433" s="72" t="str">
        <f t="shared" si="130"/>
        <v>射手特饮</v>
      </c>
      <c r="AF433" s="71">
        <v>300</v>
      </c>
      <c r="AG433" s="71"/>
      <c r="AH433" s="71"/>
      <c r="AI433" s="71" t="s">
        <v>390</v>
      </c>
      <c r="AJ433" s="71">
        <v>1</v>
      </c>
      <c r="AK433" s="71" t="s">
        <v>96</v>
      </c>
      <c r="AL433" s="71">
        <f t="shared" si="104"/>
        <v>600</v>
      </c>
      <c r="AN433" s="23" t="str">
        <f ca="1" t="shared" si="128"/>
        <v>{11,5}</v>
      </c>
      <c r="AO433" s="23" t="str">
        <f ca="1" t="shared" si="123"/>
        <v/>
      </c>
      <c r="AP433" s="23" t="str">
        <f ca="1" t="shared" si="105"/>
        <v>{50007,15}</v>
      </c>
      <c r="AQ433" s="23" t="str">
        <f ca="1" t="shared" si="106"/>
        <v>{5133001,200}</v>
      </c>
      <c r="AR433" s="23" t="str">
        <f ca="1" t="shared" si="107"/>
        <v>{2,240}</v>
      </c>
      <c r="AS433" s="23" t="str">
        <f ca="1" t="shared" si="108"/>
        <v>{5163001,250}</v>
      </c>
      <c r="AT433" s="23" t="str">
        <f ca="1" t="shared" si="134"/>
        <v>{5523001,200}</v>
      </c>
      <c r="AU433" s="23" t="str">
        <f ca="1" t="shared" si="121"/>
        <v/>
      </c>
      <c r="AV433" s="23" t="str">
        <f ca="1" t="shared" si="109"/>
        <v>{50003,25}</v>
      </c>
      <c r="AW433" s="23" t="str">
        <f ca="1" t="shared" si="110"/>
        <v/>
      </c>
      <c r="AX433" s="23" t="str">
        <f ca="1" t="shared" si="111"/>
        <v>{2,360}</v>
      </c>
      <c r="AY433" s="23" t="str">
        <f ca="1" t="shared" si="112"/>
        <v>{5204001,5}</v>
      </c>
      <c r="AZ433" s="23" t="str">
        <f ca="1" t="shared" si="138"/>
        <v>{5203001,30}</v>
      </c>
      <c r="BA433" s="23" t="str">
        <f ca="1" t="shared" si="113"/>
        <v>{1,150}</v>
      </c>
      <c r="BB433" s="23" t="s">
        <v>401</v>
      </c>
      <c r="BC433" s="23" t="str">
        <f ca="1" t="shared" si="114"/>
        <v>{5133001,300}</v>
      </c>
      <c r="BD433" s="23" t="str">
        <f ca="1" t="shared" si="131"/>
        <v/>
      </c>
      <c r="BE433" s="23" t="str">
        <f ca="1" t="shared" si="135"/>
        <v>{50039,1}</v>
      </c>
      <c r="BF433" s="23" t="str">
        <f ca="1" t="shared" si="115"/>
        <v>{2,600}</v>
      </c>
      <c r="BI433" s="23" t="str">
        <f ca="1" t="shared" si="116"/>
        <v>[{11,5},{50007,15},{5133001,200},{2,240}]</v>
      </c>
      <c r="BJ433" s="23" t="str">
        <f ca="1" t="shared" si="117"/>
        <v>[{5163001,250},{5523001,200},{50003,25},{2,360},{5204001,5}]</v>
      </c>
      <c r="BK433" s="23" t="str">
        <f ca="1" t="shared" si="118"/>
        <v>[{5203001,30},{1,150},{5523001,300},{5133001,300},{50039,1},{2,600}]</v>
      </c>
      <c r="BL433" s="23">
        <f ca="1" t="shared" si="119"/>
        <v>4</v>
      </c>
      <c r="BM433" s="23">
        <f ca="1" t="shared" si="120"/>
        <v>5</v>
      </c>
      <c r="BN433" s="23">
        <f ca="1" t="shared" si="122"/>
        <v>6</v>
      </c>
      <c r="BP433" s="71" t="s">
        <v>374</v>
      </c>
      <c r="BQ433" s="71">
        <v>150</v>
      </c>
    </row>
    <row r="434" ht="16.5" spans="2:69">
      <c r="B434" s="23">
        <v>114</v>
      </c>
      <c r="C434" s="12"/>
      <c r="D434" s="71"/>
      <c r="E434" s="71"/>
      <c r="F434" s="71"/>
      <c r="G434" s="71" t="str">
        <f t="shared" si="124"/>
        <v>手套图纸</v>
      </c>
      <c r="H434" s="71">
        <v>15</v>
      </c>
      <c r="I434" s="71" t="str">
        <f t="shared" si="129"/>
        <v>法师特饮</v>
      </c>
      <c r="J434" s="71">
        <v>200</v>
      </c>
      <c r="K434" s="71" t="s">
        <v>96</v>
      </c>
      <c r="L434" s="71">
        <v>240</v>
      </c>
      <c r="M434" s="71" t="str">
        <f t="shared" si="132"/>
        <v>控制特饮</v>
      </c>
      <c r="N434" s="71">
        <f t="shared" si="136"/>
        <v>250</v>
      </c>
      <c r="O434" s="71" t="s">
        <v>316</v>
      </c>
      <c r="P434" s="71">
        <v>200</v>
      </c>
      <c r="Q434" s="71"/>
      <c r="R434" s="71"/>
      <c r="S434" s="72" t="str">
        <f t="shared" si="125"/>
        <v>衣服图纸</v>
      </c>
      <c r="T434" s="71">
        <v>25</v>
      </c>
      <c r="U434" s="71" t="str">
        <f t="shared" si="126"/>
        <v/>
      </c>
      <c r="V434" s="71">
        <f t="shared" si="127"/>
        <v>0</v>
      </c>
      <c r="W434" s="71" t="s">
        <v>96</v>
      </c>
      <c r="X434" s="71">
        <f t="shared" si="103"/>
        <v>360</v>
      </c>
      <c r="Y434" s="71"/>
      <c r="Z434" s="71"/>
      <c r="AA434" s="71" t="str">
        <f t="shared" si="133"/>
        <v>基因罐</v>
      </c>
      <c r="AB434" s="71">
        <f t="shared" si="137"/>
        <v>30</v>
      </c>
      <c r="AC434" s="71" t="s">
        <v>374</v>
      </c>
      <c r="AD434" s="71">
        <v>150</v>
      </c>
      <c r="AE434" s="72" t="str">
        <f t="shared" si="130"/>
        <v>战士特饮</v>
      </c>
      <c r="AF434" s="71">
        <v>300</v>
      </c>
      <c r="AG434" s="71"/>
      <c r="AH434" s="71"/>
      <c r="AI434" s="71" t="s">
        <v>390</v>
      </c>
      <c r="AJ434" s="71">
        <v>1</v>
      </c>
      <c r="AK434" s="71" t="s">
        <v>96</v>
      </c>
      <c r="AL434" s="71">
        <f t="shared" si="104"/>
        <v>600</v>
      </c>
      <c r="AN434" s="23" t="str">
        <f ca="1" t="shared" si="128"/>
        <v>{11,5}</v>
      </c>
      <c r="AO434" s="23" t="str">
        <f ca="1" t="shared" si="123"/>
        <v/>
      </c>
      <c r="AP434" s="23" t="str">
        <f ca="1" t="shared" si="105"/>
        <v>{50008,15}</v>
      </c>
      <c r="AQ434" s="23" t="str">
        <f ca="1" t="shared" si="106"/>
        <v>{5123001,200}</v>
      </c>
      <c r="AR434" s="23" t="str">
        <f ca="1" t="shared" si="107"/>
        <v>{2,240}</v>
      </c>
      <c r="AS434" s="23" t="str">
        <f ca="1" t="shared" si="108"/>
        <v>{5153001,250}</v>
      </c>
      <c r="AT434" s="23" t="str">
        <f ca="1" t="shared" si="134"/>
        <v>{5523001,200}</v>
      </c>
      <c r="AU434" s="23" t="str">
        <f ca="1" t="shared" si="121"/>
        <v/>
      </c>
      <c r="AV434" s="23" t="str">
        <f ca="1" t="shared" si="109"/>
        <v>{50004,25}</v>
      </c>
      <c r="AW434" s="23" t="str">
        <f ca="1" t="shared" si="110"/>
        <v/>
      </c>
      <c r="AX434" s="23" t="str">
        <f ca="1" t="shared" si="111"/>
        <v>{2,360}</v>
      </c>
      <c r="AY434" s="23" t="str">
        <f ca="1" t="shared" si="112"/>
        <v>{5204001,5}</v>
      </c>
      <c r="AZ434" s="23" t="str">
        <f ca="1" t="shared" si="138"/>
        <v>{5203001,30}</v>
      </c>
      <c r="BA434" s="23" t="str">
        <f ca="1" t="shared" si="113"/>
        <v>{1,150}</v>
      </c>
      <c r="BB434" s="23" t="s">
        <v>401</v>
      </c>
      <c r="BC434" s="23" t="str">
        <f ca="1" t="shared" si="114"/>
        <v>{5113001,300}</v>
      </c>
      <c r="BD434" s="23" t="str">
        <f ca="1" t="shared" si="131"/>
        <v/>
      </c>
      <c r="BE434" s="23" t="str">
        <f ca="1" t="shared" si="135"/>
        <v>{50039,1}</v>
      </c>
      <c r="BF434" s="23" t="str">
        <f ca="1" t="shared" si="115"/>
        <v>{2,600}</v>
      </c>
      <c r="BI434" s="23" t="str">
        <f ca="1" t="shared" si="116"/>
        <v>[{11,5},{50008,15},{5123001,200},{2,240}]</v>
      </c>
      <c r="BJ434" s="23" t="str">
        <f ca="1" t="shared" si="117"/>
        <v>[{5153001,250},{5523001,200},{50004,25},{2,360},{5204001,5}]</v>
      </c>
      <c r="BK434" s="23" t="str">
        <f ca="1" t="shared" si="118"/>
        <v>[{5203001,30},{1,150},{5523001,300},{5113001,300},{50039,1},{2,600}]</v>
      </c>
      <c r="BL434" s="23">
        <f ca="1" t="shared" si="119"/>
        <v>4</v>
      </c>
      <c r="BM434" s="23">
        <f ca="1" t="shared" si="120"/>
        <v>5</v>
      </c>
      <c r="BN434" s="23">
        <f ca="1" t="shared" si="122"/>
        <v>6</v>
      </c>
      <c r="BP434" s="71" t="s">
        <v>374</v>
      </c>
      <c r="BQ434" s="71">
        <v>150</v>
      </c>
    </row>
    <row r="435" ht="16.5" spans="2:69">
      <c r="B435" s="23">
        <v>115</v>
      </c>
      <c r="C435" s="12" t="s">
        <v>240</v>
      </c>
      <c r="D435" s="71">
        <v>1</v>
      </c>
      <c r="E435" s="71"/>
      <c r="F435" s="71"/>
      <c r="G435" s="71" t="str">
        <f t="shared" si="124"/>
        <v>头盔图纸</v>
      </c>
      <c r="H435" s="71">
        <v>15</v>
      </c>
      <c r="I435" s="71" t="str">
        <f t="shared" si="129"/>
        <v>辅助特饮</v>
      </c>
      <c r="J435" s="71">
        <v>200</v>
      </c>
      <c r="K435" s="71" t="s">
        <v>96</v>
      </c>
      <c r="L435" s="71">
        <v>240</v>
      </c>
      <c r="M435" s="71" t="str">
        <f t="shared" si="132"/>
        <v>战士特饮</v>
      </c>
      <c r="N435" s="71">
        <f t="shared" si="136"/>
        <v>250</v>
      </c>
      <c r="O435" s="71" t="s">
        <v>316</v>
      </c>
      <c r="P435" s="71">
        <v>200</v>
      </c>
      <c r="Q435" s="71"/>
      <c r="R435" s="71"/>
      <c r="S435" s="72" t="str">
        <f t="shared" si="125"/>
        <v>护臂图纸</v>
      </c>
      <c r="T435" s="71">
        <v>25</v>
      </c>
      <c r="U435" s="71" t="str">
        <f t="shared" si="126"/>
        <v>灵感获取令</v>
      </c>
      <c r="V435" s="71">
        <f t="shared" si="127"/>
        <v>1</v>
      </c>
      <c r="W435" s="71" t="s">
        <v>96</v>
      </c>
      <c r="X435" s="71">
        <f t="shared" si="103"/>
        <v>360</v>
      </c>
      <c r="Y435" s="71"/>
      <c r="Z435" s="71"/>
      <c r="AA435" s="71" t="str">
        <f t="shared" si="133"/>
        <v>传说基因罐</v>
      </c>
      <c r="AB435" s="71">
        <f t="shared" si="137"/>
        <v>3</v>
      </c>
      <c r="AC435" s="71" t="s">
        <v>374</v>
      </c>
      <c r="AD435" s="71">
        <v>150</v>
      </c>
      <c r="AE435" s="72" t="str">
        <f t="shared" si="130"/>
        <v>法师特饮</v>
      </c>
      <c r="AF435" s="71">
        <v>300</v>
      </c>
      <c r="AG435" s="71"/>
      <c r="AH435" s="71"/>
      <c r="AI435" s="71" t="s">
        <v>390</v>
      </c>
      <c r="AJ435" s="71">
        <v>1</v>
      </c>
      <c r="AK435" s="71" t="s">
        <v>96</v>
      </c>
      <c r="AL435" s="71">
        <f t="shared" si="104"/>
        <v>600</v>
      </c>
      <c r="AN435" s="23" t="str">
        <f ca="1" t="shared" si="128"/>
        <v>{35,1}</v>
      </c>
      <c r="AO435" s="23" t="str">
        <f ca="1" t="shared" si="123"/>
        <v/>
      </c>
      <c r="AP435" s="23" t="str">
        <f ca="1" t="shared" si="105"/>
        <v>{50003,15}</v>
      </c>
      <c r="AQ435" s="23" t="str">
        <f ca="1" t="shared" si="106"/>
        <v>{5143001,200}</v>
      </c>
      <c r="AR435" s="23" t="str">
        <f ca="1" t="shared" si="107"/>
        <v>{2,240}</v>
      </c>
      <c r="AS435" s="23" t="str">
        <f ca="1" t="shared" si="108"/>
        <v>{5113001,250}</v>
      </c>
      <c r="AT435" s="23" t="str">
        <f ca="1" t="shared" si="134"/>
        <v>{5523001,200}</v>
      </c>
      <c r="AU435" s="23" t="str">
        <f ca="1" t="shared" si="121"/>
        <v/>
      </c>
      <c r="AV435" s="23" t="str">
        <f ca="1" t="shared" si="109"/>
        <v>{50005,25}</v>
      </c>
      <c r="AW435" s="23" t="str">
        <f ca="1" t="shared" si="110"/>
        <v>{9,1}</v>
      </c>
      <c r="AX435" s="23" t="str">
        <f ca="1" t="shared" si="111"/>
        <v>{2,360}</v>
      </c>
      <c r="AY435" s="23" t="str">
        <f ca="1" t="shared" si="112"/>
        <v>{5204001,5}</v>
      </c>
      <c r="AZ435" s="23" t="str">
        <f ca="1" t="shared" si="138"/>
        <v>{5205001,3}</v>
      </c>
      <c r="BA435" s="23" t="str">
        <f ca="1" t="shared" si="113"/>
        <v>{1,150}</v>
      </c>
      <c r="BB435" s="23" t="s">
        <v>401</v>
      </c>
      <c r="BC435" s="23" t="str">
        <f ca="1" t="shared" si="114"/>
        <v>{5123001,300}</v>
      </c>
      <c r="BD435" s="23" t="str">
        <f ca="1" t="shared" si="131"/>
        <v/>
      </c>
      <c r="BE435" s="23" t="str">
        <f ca="1" t="shared" si="135"/>
        <v>{50039,1}</v>
      </c>
      <c r="BF435" s="23" t="str">
        <f ca="1" t="shared" si="115"/>
        <v>{2,600}</v>
      </c>
      <c r="BI435" s="23" t="str">
        <f ca="1" t="shared" si="116"/>
        <v>[{35,1},{50003,15},{5143001,200},{2,240}]</v>
      </c>
      <c r="BJ435" s="23" t="str">
        <f ca="1" t="shared" si="117"/>
        <v>[{5113001,250},{5523001,200},{50005,25},{9,1},{2,360},{5204001,5}]</v>
      </c>
      <c r="BK435" s="23" t="str">
        <f ca="1" t="shared" si="118"/>
        <v>[{5205001,3},{1,150},{5523001,300},{5123001,300},{50039,1},{2,600}]</v>
      </c>
      <c r="BL435" s="23">
        <f ca="1" t="shared" si="119"/>
        <v>4</v>
      </c>
      <c r="BM435" s="23">
        <f ca="1" t="shared" si="120"/>
        <v>6</v>
      </c>
      <c r="BN435" s="23">
        <f ca="1" t="shared" si="122"/>
        <v>6</v>
      </c>
      <c r="BP435" s="71" t="s">
        <v>374</v>
      </c>
      <c r="BQ435" s="71">
        <v>150</v>
      </c>
    </row>
    <row r="436" ht="16.5" spans="2:69">
      <c r="B436" s="23">
        <v>116</v>
      </c>
      <c r="C436" s="12"/>
      <c r="D436" s="12"/>
      <c r="E436" s="71"/>
      <c r="F436" s="71"/>
      <c r="G436" s="71" t="str">
        <f t="shared" si="124"/>
        <v>衣服图纸</v>
      </c>
      <c r="H436" s="71">
        <v>15</v>
      </c>
      <c r="I436" s="71" t="str">
        <f t="shared" si="129"/>
        <v>战士特饮</v>
      </c>
      <c r="J436" s="71">
        <v>200</v>
      </c>
      <c r="K436" s="71" t="s">
        <v>96</v>
      </c>
      <c r="L436" s="71">
        <v>240</v>
      </c>
      <c r="M436" s="71" t="str">
        <f t="shared" si="132"/>
        <v>法师特饮</v>
      </c>
      <c r="N436" s="71">
        <f t="shared" si="136"/>
        <v>250</v>
      </c>
      <c r="O436" s="71" t="s">
        <v>316</v>
      </c>
      <c r="P436" s="71">
        <v>200</v>
      </c>
      <c r="Q436" s="71"/>
      <c r="R436" s="71"/>
      <c r="S436" s="72" t="str">
        <f t="shared" si="125"/>
        <v>裤子图纸</v>
      </c>
      <c r="T436" s="71">
        <v>25</v>
      </c>
      <c r="U436" s="71" t="str">
        <f t="shared" si="126"/>
        <v/>
      </c>
      <c r="V436" s="71">
        <f t="shared" si="127"/>
        <v>0</v>
      </c>
      <c r="W436" s="71" t="s">
        <v>96</v>
      </c>
      <c r="X436" s="71">
        <f t="shared" si="103"/>
        <v>360</v>
      </c>
      <c r="Y436" s="71"/>
      <c r="Z436" s="71"/>
      <c r="AA436" s="71" t="str">
        <f t="shared" si="133"/>
        <v>基因罐</v>
      </c>
      <c r="AB436" s="71">
        <f t="shared" si="137"/>
        <v>30</v>
      </c>
      <c r="AC436" s="71" t="s">
        <v>374</v>
      </c>
      <c r="AD436" s="71">
        <v>150</v>
      </c>
      <c r="AE436" s="72" t="str">
        <f t="shared" si="130"/>
        <v>辅助特饮</v>
      </c>
      <c r="AF436" s="71">
        <v>300</v>
      </c>
      <c r="AG436" s="71"/>
      <c r="AH436" s="71"/>
      <c r="AI436" s="71" t="s">
        <v>390</v>
      </c>
      <c r="AJ436" s="71">
        <v>1</v>
      </c>
      <c r="AK436" s="71" t="s">
        <v>96</v>
      </c>
      <c r="AL436" s="71">
        <f t="shared" si="104"/>
        <v>600</v>
      </c>
      <c r="AN436" s="23" t="str">
        <f ca="1" t="shared" si="128"/>
        <v>{11,5}</v>
      </c>
      <c r="AO436" s="23" t="str">
        <f ca="1" t="shared" si="123"/>
        <v/>
      </c>
      <c r="AP436" s="23" t="str">
        <f ca="1" t="shared" si="105"/>
        <v>{50004,15}</v>
      </c>
      <c r="AQ436" s="23" t="str">
        <f ca="1" t="shared" si="106"/>
        <v>{5113001,200}</v>
      </c>
      <c r="AR436" s="23" t="str">
        <f ca="1" t="shared" si="107"/>
        <v>{2,240}</v>
      </c>
      <c r="AS436" s="23" t="str">
        <f ca="1" t="shared" si="108"/>
        <v>{5123001,250}</v>
      </c>
      <c r="AT436" s="23" t="str">
        <f ca="1" t="shared" si="134"/>
        <v>{5523001,200}</v>
      </c>
      <c r="AU436" s="23" t="str">
        <f ca="1" t="shared" si="121"/>
        <v/>
      </c>
      <c r="AV436" s="23" t="str">
        <f ca="1" t="shared" si="109"/>
        <v>{50006,25}</v>
      </c>
      <c r="AW436" s="23" t="str">
        <f ca="1" t="shared" si="110"/>
        <v/>
      </c>
      <c r="AX436" s="23" t="str">
        <f ca="1" t="shared" si="111"/>
        <v>{2,360}</v>
      </c>
      <c r="AY436" s="23" t="str">
        <f ca="1" t="shared" si="112"/>
        <v>{5204001,5}</v>
      </c>
      <c r="AZ436" s="23" t="str">
        <f ca="1" t="shared" si="138"/>
        <v>{5203001,30}</v>
      </c>
      <c r="BA436" s="23" t="str">
        <f ca="1" t="shared" si="113"/>
        <v>{1,150}</v>
      </c>
      <c r="BB436" s="23" t="s">
        <v>401</v>
      </c>
      <c r="BC436" s="23" t="str">
        <f ca="1" t="shared" si="114"/>
        <v>{5143001,300}</v>
      </c>
      <c r="BD436" s="23" t="str">
        <f ca="1" t="shared" si="131"/>
        <v/>
      </c>
      <c r="BE436" s="23" t="str">
        <f ca="1" t="shared" si="135"/>
        <v>{50039,1}</v>
      </c>
      <c r="BF436" s="23" t="str">
        <f ca="1" t="shared" si="115"/>
        <v>{2,600}</v>
      </c>
      <c r="BI436" s="23" t="str">
        <f ca="1" t="shared" si="116"/>
        <v>[{11,5},{50004,15},{5113001,200},{2,240}]</v>
      </c>
      <c r="BJ436" s="23" t="str">
        <f ca="1" t="shared" si="117"/>
        <v>[{5123001,250},{5523001,200},{50006,25},{2,360},{5204001,5}]</v>
      </c>
      <c r="BK436" s="23" t="str">
        <f ca="1" t="shared" si="118"/>
        <v>[{5203001,30},{1,150},{5523001,300},{5143001,300},{50039,1},{2,600}]</v>
      </c>
      <c r="BL436" s="23">
        <f ca="1" t="shared" si="119"/>
        <v>4</v>
      </c>
      <c r="BM436" s="23">
        <f ca="1" t="shared" si="120"/>
        <v>5</v>
      </c>
      <c r="BN436" s="23">
        <f ca="1" t="shared" si="122"/>
        <v>6</v>
      </c>
      <c r="BP436" s="71" t="s">
        <v>374</v>
      </c>
      <c r="BQ436" s="71">
        <v>150</v>
      </c>
    </row>
    <row r="437" ht="16.5" spans="2:69">
      <c r="B437" s="23">
        <v>117</v>
      </c>
      <c r="C437" s="12"/>
      <c r="D437" s="12"/>
      <c r="E437" s="71"/>
      <c r="F437" s="71"/>
      <c r="G437" s="71" t="str">
        <f t="shared" si="124"/>
        <v>护臂图纸</v>
      </c>
      <c r="H437" s="71">
        <v>15</v>
      </c>
      <c r="I437" s="71" t="str">
        <f t="shared" si="129"/>
        <v>毒系特饮</v>
      </c>
      <c r="J437" s="71">
        <v>200</v>
      </c>
      <c r="K437" s="71" t="s">
        <v>96</v>
      </c>
      <c r="L437" s="71">
        <v>240</v>
      </c>
      <c r="M437" s="71" t="str">
        <f t="shared" si="132"/>
        <v>辅助特饮</v>
      </c>
      <c r="N437" s="71">
        <f t="shared" si="136"/>
        <v>250</v>
      </c>
      <c r="O437" s="71" t="s">
        <v>316</v>
      </c>
      <c r="P437" s="71">
        <v>200</v>
      </c>
      <c r="Q437" s="71"/>
      <c r="R437" s="71"/>
      <c r="S437" s="72" t="str">
        <f t="shared" si="125"/>
        <v>鞋子图纸</v>
      </c>
      <c r="T437" s="71">
        <v>25</v>
      </c>
      <c r="U437" s="71" t="str">
        <f t="shared" si="126"/>
        <v/>
      </c>
      <c r="V437" s="71">
        <f t="shared" si="127"/>
        <v>0</v>
      </c>
      <c r="W437" s="71" t="s">
        <v>96</v>
      </c>
      <c r="X437" s="71">
        <f t="shared" si="103"/>
        <v>360</v>
      </c>
      <c r="Y437" s="71"/>
      <c r="Z437" s="71"/>
      <c r="AA437" s="71" t="str">
        <f t="shared" si="133"/>
        <v>基因罐</v>
      </c>
      <c r="AB437" s="71">
        <f t="shared" si="137"/>
        <v>30</v>
      </c>
      <c r="AC437" s="71" t="s">
        <v>374</v>
      </c>
      <c r="AD437" s="71">
        <v>150</v>
      </c>
      <c r="AE437" s="72" t="str">
        <f t="shared" si="130"/>
        <v>毒系特饮</v>
      </c>
      <c r="AF437" s="71">
        <v>300</v>
      </c>
      <c r="AG437" s="71"/>
      <c r="AH437" s="71"/>
      <c r="AI437" s="71" t="s">
        <v>390</v>
      </c>
      <c r="AJ437" s="71">
        <v>1</v>
      </c>
      <c r="AK437" s="71" t="s">
        <v>96</v>
      </c>
      <c r="AL437" s="71">
        <f t="shared" si="104"/>
        <v>600</v>
      </c>
      <c r="AN437" s="23" t="str">
        <f ca="1" t="shared" si="128"/>
        <v>{11,5}</v>
      </c>
      <c r="AO437" s="23" t="str">
        <f ca="1" t="shared" si="123"/>
        <v/>
      </c>
      <c r="AP437" s="23" t="str">
        <f ca="1" t="shared" si="105"/>
        <v>{50005,15}</v>
      </c>
      <c r="AQ437" s="23" t="str">
        <f ca="1" t="shared" si="106"/>
        <v>{5163001,200}</v>
      </c>
      <c r="AR437" s="23" t="str">
        <f ca="1" t="shared" si="107"/>
        <v>{2,240}</v>
      </c>
      <c r="AS437" s="23" t="str">
        <f ca="1" t="shared" si="108"/>
        <v>{5143001,250}</v>
      </c>
      <c r="AT437" s="23" t="str">
        <f ca="1" t="shared" si="134"/>
        <v>{5523001,200}</v>
      </c>
      <c r="AU437" s="23" t="str">
        <f ca="1" t="shared" si="121"/>
        <v/>
      </c>
      <c r="AV437" s="23" t="str">
        <f ca="1" t="shared" si="109"/>
        <v>{50007,25}</v>
      </c>
      <c r="AW437" s="23" t="str">
        <f ca="1" t="shared" si="110"/>
        <v/>
      </c>
      <c r="AX437" s="23" t="str">
        <f ca="1" t="shared" si="111"/>
        <v>{2,360}</v>
      </c>
      <c r="AY437" s="23" t="str">
        <f ca="1" t="shared" si="112"/>
        <v>{5204001,5}</v>
      </c>
      <c r="AZ437" s="23" t="str">
        <f ca="1" t="shared" si="138"/>
        <v>{5203001,30}</v>
      </c>
      <c r="BA437" s="23" t="str">
        <f ca="1" t="shared" si="113"/>
        <v>{1,150}</v>
      </c>
      <c r="BB437" s="23" t="s">
        <v>401</v>
      </c>
      <c r="BC437" s="23" t="str">
        <f ca="1" t="shared" si="114"/>
        <v>{5163001,300}</v>
      </c>
      <c r="BD437" s="23" t="str">
        <f ca="1" t="shared" si="131"/>
        <v/>
      </c>
      <c r="BE437" s="23" t="str">
        <f ca="1" t="shared" si="135"/>
        <v>{50039,1}</v>
      </c>
      <c r="BF437" s="23" t="str">
        <f ca="1" t="shared" si="115"/>
        <v>{2,600}</v>
      </c>
      <c r="BI437" s="23" t="str">
        <f ca="1" t="shared" si="116"/>
        <v>[{11,5},{50005,15},{5163001,200},{2,240}]</v>
      </c>
      <c r="BJ437" s="23" t="str">
        <f ca="1" t="shared" si="117"/>
        <v>[{5143001,250},{5523001,200},{50007,25},{2,360},{5204001,5}]</v>
      </c>
      <c r="BK437" s="23" t="str">
        <f ca="1" t="shared" si="118"/>
        <v>[{5203001,30},{1,150},{5523001,300},{5163001,300},{50039,1},{2,600}]</v>
      </c>
      <c r="BL437" s="23">
        <f ca="1" t="shared" si="119"/>
        <v>4</v>
      </c>
      <c r="BM437" s="23">
        <f ca="1" t="shared" si="120"/>
        <v>5</v>
      </c>
      <c r="BN437" s="23">
        <f ca="1" t="shared" si="122"/>
        <v>6</v>
      </c>
      <c r="BP437" s="71" t="s">
        <v>374</v>
      </c>
      <c r="BQ437" s="71">
        <v>150</v>
      </c>
    </row>
    <row r="438" ht="16.5" spans="2:69">
      <c r="B438" s="23">
        <v>118</v>
      </c>
      <c r="C438" s="12"/>
      <c r="D438" s="12"/>
      <c r="E438" s="71"/>
      <c r="F438" s="71"/>
      <c r="G438" s="71" t="str">
        <f t="shared" si="124"/>
        <v>裤子图纸</v>
      </c>
      <c r="H438" s="71">
        <v>15</v>
      </c>
      <c r="I438" s="71" t="str">
        <f t="shared" si="129"/>
        <v>控制特饮</v>
      </c>
      <c r="J438" s="71">
        <v>200</v>
      </c>
      <c r="K438" s="71" t="s">
        <v>96</v>
      </c>
      <c r="L438" s="71">
        <v>240</v>
      </c>
      <c r="M438" s="71" t="str">
        <f t="shared" si="132"/>
        <v>射手特饮</v>
      </c>
      <c r="N438" s="71">
        <f t="shared" si="136"/>
        <v>250</v>
      </c>
      <c r="O438" s="71" t="s">
        <v>316</v>
      </c>
      <c r="P438" s="71">
        <v>200</v>
      </c>
      <c r="Q438" s="71"/>
      <c r="R438" s="71"/>
      <c r="S438" s="72" t="str">
        <f t="shared" si="125"/>
        <v>手套图纸</v>
      </c>
      <c r="T438" s="71">
        <v>25</v>
      </c>
      <c r="U438" s="71" t="str">
        <f t="shared" si="126"/>
        <v/>
      </c>
      <c r="V438" s="71">
        <f t="shared" si="127"/>
        <v>0</v>
      </c>
      <c r="W438" s="71" t="s">
        <v>96</v>
      </c>
      <c r="X438" s="71">
        <f t="shared" si="103"/>
        <v>360</v>
      </c>
      <c r="Y438" s="71"/>
      <c r="Z438" s="71"/>
      <c r="AA438" s="71" t="str">
        <f t="shared" si="133"/>
        <v>基因罐</v>
      </c>
      <c r="AB438" s="71">
        <f t="shared" si="137"/>
        <v>30</v>
      </c>
      <c r="AC438" s="71" t="s">
        <v>374</v>
      </c>
      <c r="AD438" s="71">
        <v>150</v>
      </c>
      <c r="AE438" s="72" t="str">
        <f t="shared" si="130"/>
        <v>控制特饮</v>
      </c>
      <c r="AF438" s="71">
        <v>300</v>
      </c>
      <c r="AG438" s="71"/>
      <c r="AH438" s="71"/>
      <c r="AI438" s="71" t="s">
        <v>390</v>
      </c>
      <c r="AJ438" s="71">
        <v>1</v>
      </c>
      <c r="AK438" s="71" t="s">
        <v>96</v>
      </c>
      <c r="AL438" s="71">
        <f t="shared" si="104"/>
        <v>600</v>
      </c>
      <c r="AN438" s="23" t="str">
        <f ca="1" t="shared" si="128"/>
        <v>{11,5}</v>
      </c>
      <c r="AO438" s="23" t="str">
        <f ca="1" t="shared" si="123"/>
        <v/>
      </c>
      <c r="AP438" s="23" t="str">
        <f ca="1" t="shared" si="105"/>
        <v>{50006,15}</v>
      </c>
      <c r="AQ438" s="23" t="str">
        <f ca="1" t="shared" si="106"/>
        <v>{5153001,200}</v>
      </c>
      <c r="AR438" s="23" t="str">
        <f ca="1" t="shared" si="107"/>
        <v>{2,240}</v>
      </c>
      <c r="AS438" s="23" t="str">
        <f ca="1" t="shared" si="108"/>
        <v>{5133001,250}</v>
      </c>
      <c r="AT438" s="23" t="str">
        <f ca="1" t="shared" si="134"/>
        <v>{5523001,200}</v>
      </c>
      <c r="AU438" s="23" t="str">
        <f ca="1" t="shared" si="121"/>
        <v/>
      </c>
      <c r="AV438" s="23" t="str">
        <f ca="1" t="shared" si="109"/>
        <v>{50008,25}</v>
      </c>
      <c r="AW438" s="23" t="str">
        <f ca="1" t="shared" si="110"/>
        <v/>
      </c>
      <c r="AX438" s="23" t="str">
        <f ca="1" t="shared" si="111"/>
        <v>{2,360}</v>
      </c>
      <c r="AY438" s="23" t="str">
        <f ca="1" t="shared" si="112"/>
        <v>{5204001,5}</v>
      </c>
      <c r="AZ438" s="23" t="str">
        <f ca="1" t="shared" si="138"/>
        <v>{5203001,30}</v>
      </c>
      <c r="BA438" s="23" t="str">
        <f ca="1" t="shared" si="113"/>
        <v>{1,150}</v>
      </c>
      <c r="BB438" s="23" t="s">
        <v>401</v>
      </c>
      <c r="BC438" s="23" t="str">
        <f ca="1" t="shared" si="114"/>
        <v>{5153001,300}</v>
      </c>
      <c r="BD438" s="23" t="str">
        <f ca="1" t="shared" si="131"/>
        <v/>
      </c>
      <c r="BE438" s="23" t="str">
        <f ca="1" t="shared" si="135"/>
        <v>{50039,1}</v>
      </c>
      <c r="BF438" s="23" t="str">
        <f ca="1" t="shared" si="115"/>
        <v>{2,600}</v>
      </c>
      <c r="BI438" s="23" t="str">
        <f ca="1" t="shared" si="116"/>
        <v>[{11,5},{50006,15},{5153001,200},{2,240}]</v>
      </c>
      <c r="BJ438" s="23" t="str">
        <f ca="1" t="shared" si="117"/>
        <v>[{5133001,250},{5523001,200},{50008,25},{2,360},{5204001,5}]</v>
      </c>
      <c r="BK438" s="23" t="str">
        <f ca="1" t="shared" si="118"/>
        <v>[{5203001,30},{1,150},{5523001,300},{5153001,300},{50039,1},{2,600}]</v>
      </c>
      <c r="BL438" s="23">
        <f ca="1" t="shared" si="119"/>
        <v>4</v>
      </c>
      <c r="BM438" s="23">
        <f ca="1" t="shared" si="120"/>
        <v>5</v>
      </c>
      <c r="BN438" s="23">
        <f ca="1" t="shared" si="122"/>
        <v>6</v>
      </c>
      <c r="BP438" s="71" t="s">
        <v>374</v>
      </c>
      <c r="BQ438" s="71">
        <v>150</v>
      </c>
    </row>
    <row r="439" ht="16.5" spans="2:69">
      <c r="B439" s="23">
        <v>119</v>
      </c>
      <c r="C439" s="12"/>
      <c r="D439" s="12"/>
      <c r="E439" s="71"/>
      <c r="F439" s="71"/>
      <c r="G439" s="71" t="str">
        <f t="shared" si="124"/>
        <v>鞋子图纸</v>
      </c>
      <c r="H439" s="71">
        <v>15</v>
      </c>
      <c r="I439" s="71" t="str">
        <f t="shared" si="129"/>
        <v>射手特饮</v>
      </c>
      <c r="J439" s="71">
        <v>200</v>
      </c>
      <c r="K439" s="71" t="s">
        <v>96</v>
      </c>
      <c r="L439" s="71">
        <v>240</v>
      </c>
      <c r="M439" s="71" t="str">
        <f t="shared" si="132"/>
        <v>毒系特饮</v>
      </c>
      <c r="N439" s="71">
        <f t="shared" si="136"/>
        <v>250</v>
      </c>
      <c r="O439" s="71" t="s">
        <v>316</v>
      </c>
      <c r="P439" s="71">
        <v>200</v>
      </c>
      <c r="Q439" s="71"/>
      <c r="R439" s="71"/>
      <c r="S439" s="72" t="str">
        <f t="shared" si="125"/>
        <v>头盔图纸</v>
      </c>
      <c r="T439" s="71">
        <v>25</v>
      </c>
      <c r="U439" s="71" t="str">
        <f t="shared" si="126"/>
        <v/>
      </c>
      <c r="V439" s="71">
        <f t="shared" si="127"/>
        <v>0</v>
      </c>
      <c r="W439" s="71" t="s">
        <v>96</v>
      </c>
      <c r="X439" s="71">
        <f t="shared" si="103"/>
        <v>360</v>
      </c>
      <c r="Y439" s="71"/>
      <c r="Z439" s="71"/>
      <c r="AA439" s="71" t="str">
        <f t="shared" si="133"/>
        <v>基因罐</v>
      </c>
      <c r="AB439" s="71">
        <f t="shared" si="137"/>
        <v>30</v>
      </c>
      <c r="AC439" s="71" t="s">
        <v>374</v>
      </c>
      <c r="AD439" s="71">
        <v>150</v>
      </c>
      <c r="AE439" s="72" t="str">
        <f t="shared" si="130"/>
        <v>射手特饮</v>
      </c>
      <c r="AF439" s="71">
        <v>300</v>
      </c>
      <c r="AG439" s="71"/>
      <c r="AH439" s="71"/>
      <c r="AI439" s="71" t="s">
        <v>390</v>
      </c>
      <c r="AJ439" s="71">
        <v>1</v>
      </c>
      <c r="AK439" s="71" t="s">
        <v>96</v>
      </c>
      <c r="AL439" s="71">
        <f t="shared" si="104"/>
        <v>600</v>
      </c>
      <c r="AN439" s="23" t="str">
        <f ca="1" t="shared" si="128"/>
        <v>{11,5}</v>
      </c>
      <c r="AO439" s="23" t="str">
        <f ca="1" t="shared" si="123"/>
        <v/>
      </c>
      <c r="AP439" s="23" t="str">
        <f ca="1" t="shared" si="105"/>
        <v>{50007,15}</v>
      </c>
      <c r="AQ439" s="23" t="str">
        <f ca="1" t="shared" si="106"/>
        <v>{5133001,200}</v>
      </c>
      <c r="AR439" s="23" t="str">
        <f ca="1" t="shared" si="107"/>
        <v>{2,240}</v>
      </c>
      <c r="AS439" s="23" t="str">
        <f ca="1" t="shared" si="108"/>
        <v>{5163001,250}</v>
      </c>
      <c r="AT439" s="23" t="str">
        <f ca="1" t="shared" si="134"/>
        <v>{5523001,200}</v>
      </c>
      <c r="AU439" s="23" t="str">
        <f ca="1" t="shared" si="121"/>
        <v/>
      </c>
      <c r="AV439" s="23" t="str">
        <f ca="1" t="shared" si="109"/>
        <v>{50003,25}</v>
      </c>
      <c r="AW439" s="23" t="str">
        <f ca="1" t="shared" si="110"/>
        <v/>
      </c>
      <c r="AX439" s="23" t="str">
        <f ca="1" t="shared" si="111"/>
        <v>{2,360}</v>
      </c>
      <c r="AY439" s="23" t="str">
        <f ca="1" t="shared" si="112"/>
        <v>{5204001,5}</v>
      </c>
      <c r="AZ439" s="23" t="str">
        <f ca="1" t="shared" si="138"/>
        <v>{5203001,30}</v>
      </c>
      <c r="BA439" s="23" t="str">
        <f ca="1" t="shared" si="113"/>
        <v>{1,150}</v>
      </c>
      <c r="BB439" s="23" t="s">
        <v>401</v>
      </c>
      <c r="BC439" s="23" t="str">
        <f ca="1" t="shared" si="114"/>
        <v>{5133001,300}</v>
      </c>
      <c r="BD439" s="23" t="str">
        <f ca="1" t="shared" si="131"/>
        <v/>
      </c>
      <c r="BE439" s="23" t="str">
        <f ca="1" t="shared" si="135"/>
        <v>{50039,1}</v>
      </c>
      <c r="BF439" s="23" t="str">
        <f ca="1" t="shared" si="115"/>
        <v>{2,600}</v>
      </c>
      <c r="BI439" s="23" t="str">
        <f ca="1" t="shared" si="116"/>
        <v>[{11,5},{50007,15},{5133001,200},{2,240}]</v>
      </c>
      <c r="BJ439" s="23" t="str">
        <f ca="1" t="shared" si="117"/>
        <v>[{5163001,250},{5523001,200},{50003,25},{2,360},{5204001,5}]</v>
      </c>
      <c r="BK439" s="23" t="str">
        <f ca="1" t="shared" si="118"/>
        <v>[{5203001,30},{1,150},{5523001,300},{5133001,300},{50039,1},{2,600}]</v>
      </c>
      <c r="BL439" s="23">
        <f ca="1" t="shared" si="119"/>
        <v>4</v>
      </c>
      <c r="BM439" s="23">
        <f ca="1" t="shared" si="120"/>
        <v>5</v>
      </c>
      <c r="BN439" s="23">
        <f ca="1" t="shared" si="122"/>
        <v>6</v>
      </c>
      <c r="BP439" s="71" t="s">
        <v>374</v>
      </c>
      <c r="BQ439" s="71">
        <v>150</v>
      </c>
    </row>
    <row r="440" ht="16.5" spans="2:69">
      <c r="B440" s="23">
        <v>120</v>
      </c>
      <c r="C440" s="12" t="inlineStr">
        <is>
          <t>梦愿水晶</t>
        </is>
      </c>
      <c r="D440" s="12">
        <v>1</v>
      </c>
      <c r="E440" s="71"/>
      <c r="F440" s="71"/>
      <c r="G440" s="71" t="str">
        <f t="shared" si="124"/>
        <v>手套图纸</v>
      </c>
      <c r="H440" s="71">
        <v>15</v>
      </c>
      <c r="I440" s="71" t="str">
        <f t="shared" si="129"/>
        <v>法师特饮</v>
      </c>
      <c r="J440" s="71">
        <v>200</v>
      </c>
      <c r="K440" s="71" t="s">
        <v>96</v>
      </c>
      <c r="L440" s="71">
        <v>240</v>
      </c>
      <c r="M440" s="71" t="str">
        <f t="shared" si="132"/>
        <v>控制特饮</v>
      </c>
      <c r="N440" s="71">
        <f t="shared" si="136"/>
        <v>250</v>
      </c>
      <c r="O440" s="71" t="s">
        <v>316</v>
      </c>
      <c r="P440" s="71">
        <v>200</v>
      </c>
      <c r="Q440" s="71"/>
      <c r="R440" s="71"/>
      <c r="S440" s="72" t="str">
        <f t="shared" si="125"/>
        <v>衣服图纸</v>
      </c>
      <c r="T440" s="71">
        <v>25</v>
      </c>
      <c r="U440" s="71" t="str">
        <f t="shared" si="126"/>
        <v>灵感获取令</v>
      </c>
      <c r="V440" s="71">
        <f t="shared" si="127"/>
        <v>1</v>
      </c>
      <c r="W440" s="71" t="s">
        <v>96</v>
      </c>
      <c r="X440" s="71">
        <f t="shared" si="103"/>
        <v>360</v>
      </c>
      <c r="Y440" s="71"/>
      <c r="Z440" s="71"/>
      <c r="AA440" s="71" t="str">
        <f t="shared" si="133"/>
        <v>传说基因罐</v>
      </c>
      <c r="AB440" s="71">
        <f t="shared" si="137"/>
        <v>3</v>
      </c>
      <c r="AC440" s="71" t="s">
        <v>374</v>
      </c>
      <c r="AD440" s="71">
        <v>150</v>
      </c>
      <c r="AE440" s="72" t="str">
        <f t="shared" si="130"/>
        <v>战士特饮</v>
      </c>
      <c r="AF440" s="71">
        <v>300</v>
      </c>
      <c r="AG440" s="71"/>
      <c r="AH440" s="71"/>
      <c r="AI440" s="71" t="s">
        <v>390</v>
      </c>
      <c r="AJ440" s="71">
        <v>1</v>
      </c>
      <c r="AK440" s="71" t="s">
        <v>96</v>
      </c>
      <c r="AL440" s="71">
        <f t="shared" si="104"/>
        <v>600</v>
      </c>
      <c r="AN440" s="23" t="str">
        <f ca="1" t="shared" si="128"/>
        <v>{35,1}</v>
      </c>
      <c r="AO440" s="23" t="str">
        <f ca="1" t="shared" si="123"/>
        <v/>
      </c>
      <c r="AP440" s="23" t="str">
        <f ca="1" t="shared" si="105"/>
        <v>{50008,15}</v>
      </c>
      <c r="AQ440" s="23" t="str">
        <f ca="1" t="shared" si="106"/>
        <v>{5123001,200}</v>
      </c>
      <c r="AR440" s="23" t="str">
        <f ca="1" t="shared" si="107"/>
        <v>{2,240}</v>
      </c>
      <c r="AS440" s="23" t="str">
        <f ca="1" t="shared" si="108"/>
        <v>{5153001,250}</v>
      </c>
      <c r="AT440" s="23" t="str">
        <f ca="1" t="shared" si="134"/>
        <v>{5523001,200}</v>
      </c>
      <c r="AU440" s="23" t="str">
        <f ca="1" t="shared" si="121"/>
        <v/>
      </c>
      <c r="AV440" s="23" t="str">
        <f ca="1" t="shared" si="109"/>
        <v>{50004,25}</v>
      </c>
      <c r="AW440" s="23" t="str">
        <f ca="1" t="shared" si="110"/>
        <v>{9,1}</v>
      </c>
      <c r="AX440" s="23" t="str">
        <f ca="1" t="shared" si="111"/>
        <v>{2,360}</v>
      </c>
      <c r="AY440" s="23" t="str">
        <f ca="1" t="shared" si="112"/>
        <v>{5204001,5}</v>
      </c>
      <c r="AZ440" s="23" t="str">
        <f ca="1" t="shared" si="138"/>
        <v>{5205001,3}</v>
      </c>
      <c r="BA440" s="23" t="str">
        <f ca="1" t="shared" si="113"/>
        <v>{1,150}</v>
      </c>
      <c r="BB440" s="23" t="s">
        <v>401</v>
      </c>
      <c r="BC440" s="23" t="str">
        <f ca="1" t="shared" si="114"/>
        <v>{5113001,300}</v>
      </c>
      <c r="BD440" s="23" t="str">
        <f ca="1" t="shared" si="131"/>
        <v/>
      </c>
      <c r="BE440" s="23" t="str">
        <f ca="1" t="shared" si="135"/>
        <v>{50039,1}</v>
      </c>
      <c r="BF440" s="23" t="str">
        <f ca="1" t="shared" si="115"/>
        <v>{2,600}</v>
      </c>
      <c r="BI440" s="23" t="str">
        <f ca="1" t="shared" si="116"/>
        <v>[{35,1},{50008,15},{5123001,200},{2,240}]</v>
      </c>
      <c r="BJ440" s="23" t="str">
        <f ca="1" t="shared" si="117"/>
        <v>[{5153001,250},{5523001,200},{50004,25},{9,1},{2,360},{5204001,5}]</v>
      </c>
      <c r="BK440" s="23" t="str">
        <f ca="1" t="shared" si="118"/>
        <v>[{5205001,3},{1,150},{5523001,300},{5113001,300},{50039,1},{2,600}]</v>
      </c>
      <c r="BL440" s="23">
        <f ca="1" t="shared" si="119"/>
        <v>4</v>
      </c>
      <c r="BM440" s="23">
        <f ca="1" t="shared" si="120"/>
        <v>6</v>
      </c>
      <c r="BN440" s="23">
        <f ca="1" t="shared" si="122"/>
        <v>6</v>
      </c>
      <c r="BP440" s="71" t="s">
        <v>374</v>
      </c>
      <c r="BQ440" s="71">
        <v>150</v>
      </c>
    </row>
    <row r="441" ht="16.5" spans="2:69">
      <c r="B441" s="23">
        <v>121</v>
      </c>
      <c r="C441" s="12"/>
      <c r="D441" s="12"/>
      <c r="E441" s="71"/>
      <c r="F441" s="71"/>
      <c r="G441" s="71" t="str">
        <f t="shared" si="124"/>
        <v>头盔图纸</v>
      </c>
      <c r="H441" s="71">
        <v>15</v>
      </c>
      <c r="I441" s="71" t="str">
        <f t="shared" si="129"/>
        <v>辅助特饮</v>
      </c>
      <c r="J441" s="71">
        <v>200</v>
      </c>
      <c r="K441" s="71" t="s">
        <v>96</v>
      </c>
      <c r="L441" s="71">
        <v>240</v>
      </c>
      <c r="M441" s="71" t="str">
        <f t="shared" si="132"/>
        <v>战士特饮</v>
      </c>
      <c r="N441" s="71">
        <f t="shared" si="136"/>
        <v>250</v>
      </c>
      <c r="O441" s="71" t="s">
        <v>316</v>
      </c>
      <c r="P441" s="71">
        <v>200</v>
      </c>
      <c r="Q441" s="71"/>
      <c r="R441" s="71"/>
      <c r="S441" s="72" t="str">
        <f t="shared" si="125"/>
        <v>护臂图纸</v>
      </c>
      <c r="T441" s="71">
        <v>25</v>
      </c>
      <c r="U441" s="71" t="str">
        <f t="shared" si="126"/>
        <v/>
      </c>
      <c r="V441" s="71">
        <f t="shared" si="127"/>
        <v>0</v>
      </c>
      <c r="W441" s="71" t="s">
        <v>96</v>
      </c>
      <c r="X441" s="71">
        <f t="shared" si="103"/>
        <v>360</v>
      </c>
      <c r="Y441" s="71"/>
      <c r="Z441" s="71"/>
      <c r="AA441" s="71" t="str">
        <f t="shared" si="133"/>
        <v>基因罐</v>
      </c>
      <c r="AB441" s="71">
        <f t="shared" si="137"/>
        <v>30</v>
      </c>
      <c r="AC441" s="71" t="s">
        <v>374</v>
      </c>
      <c r="AD441" s="71">
        <v>150</v>
      </c>
      <c r="AE441" s="72" t="str">
        <f t="shared" si="130"/>
        <v>法师特饮</v>
      </c>
      <c r="AF441" s="71">
        <v>300</v>
      </c>
      <c r="AG441" s="71"/>
      <c r="AH441" s="71"/>
      <c r="AI441" s="71" t="s">
        <v>390</v>
      </c>
      <c r="AJ441" s="71">
        <v>1</v>
      </c>
      <c r="AK441" s="71" t="s">
        <v>96</v>
      </c>
      <c r="AL441" s="71">
        <f t="shared" si="104"/>
        <v>600</v>
      </c>
      <c r="AN441" s="23" t="str">
        <f ca="1" t="shared" si="128"/>
        <v>{11,5}</v>
      </c>
      <c r="AO441" s="23" t="str">
        <f ca="1" t="shared" si="123"/>
        <v/>
      </c>
      <c r="AP441" s="23" t="str">
        <f ca="1" t="shared" si="105"/>
        <v>{50003,15}</v>
      </c>
      <c r="AQ441" s="23" t="str">
        <f ca="1" t="shared" si="106"/>
        <v>{5143001,200}</v>
      </c>
      <c r="AR441" s="23" t="str">
        <f ca="1" t="shared" si="107"/>
        <v>{2,240}</v>
      </c>
      <c r="AS441" s="23" t="str">
        <f ca="1" t="shared" si="108"/>
        <v>{5113001,250}</v>
      </c>
      <c r="AT441" s="23" t="str">
        <f ca="1" t="shared" si="134"/>
        <v>{5523001,200}</v>
      </c>
      <c r="AU441" s="23" t="str">
        <f ca="1" t="shared" si="121"/>
        <v/>
      </c>
      <c r="AV441" s="23" t="str">
        <f ca="1" t="shared" si="109"/>
        <v>{50005,25}</v>
      </c>
      <c r="AW441" s="23" t="str">
        <f ca="1" t="shared" si="110"/>
        <v/>
      </c>
      <c r="AX441" s="23" t="str">
        <f ca="1" t="shared" si="111"/>
        <v>{2,360}</v>
      </c>
      <c r="AY441" s="23" t="str">
        <f ca="1" t="shared" si="112"/>
        <v>{5204001,5}</v>
      </c>
      <c r="AZ441" s="23" t="str">
        <f ca="1" t="shared" si="138"/>
        <v>{5203001,30}</v>
      </c>
      <c r="BA441" s="23" t="str">
        <f ca="1" t="shared" si="113"/>
        <v>{1,150}</v>
      </c>
      <c r="BB441" s="23" t="s">
        <v>401</v>
      </c>
      <c r="BC441" s="23" t="str">
        <f ca="1" t="shared" si="114"/>
        <v>{5123001,300}</v>
      </c>
      <c r="BD441" s="23" t="str">
        <f ca="1" t="shared" si="131"/>
        <v/>
      </c>
      <c r="BE441" s="23" t="str">
        <f ca="1" t="shared" si="135"/>
        <v>{50039,1}</v>
      </c>
      <c r="BF441" s="23" t="str">
        <f ca="1" t="shared" si="115"/>
        <v>{2,600}</v>
      </c>
      <c r="BI441" s="23" t="str">
        <f ca="1" t="shared" si="116"/>
        <v>[{11,5},{50003,15},{5143001,200},{2,240}]</v>
      </c>
      <c r="BJ441" s="23" t="str">
        <f ca="1" t="shared" si="117"/>
        <v>[{5113001,250},{5523001,200},{50005,25},{2,360},{5204001,5}]</v>
      </c>
      <c r="BK441" s="23" t="str">
        <f ca="1" t="shared" si="118"/>
        <v>[{5203001,30},{1,150},{5523001,300},{5123001,300},{50039,1},{2,600}]</v>
      </c>
      <c r="BL441" s="23">
        <f ca="1" t="shared" si="119"/>
        <v>4</v>
      </c>
      <c r="BM441" s="23">
        <f ca="1" t="shared" si="120"/>
        <v>5</v>
      </c>
      <c r="BN441" s="23">
        <f ca="1" t="shared" si="122"/>
        <v>6</v>
      </c>
      <c r="BP441" s="71" t="s">
        <v>374</v>
      </c>
      <c r="BQ441" s="71">
        <v>150</v>
      </c>
    </row>
    <row r="442" ht="16.5" spans="2:69">
      <c r="B442" s="23">
        <v>122</v>
      </c>
      <c r="C442" s="12"/>
      <c r="D442" s="12"/>
      <c r="E442" s="71"/>
      <c r="F442" s="71"/>
      <c r="G442" s="71" t="str">
        <f t="shared" si="124"/>
        <v>衣服图纸</v>
      </c>
      <c r="H442" s="71">
        <v>15</v>
      </c>
      <c r="I442" s="71" t="str">
        <f t="shared" si="129"/>
        <v>战士特饮</v>
      </c>
      <c r="J442" s="71">
        <v>200</v>
      </c>
      <c r="K442" s="71" t="s">
        <v>96</v>
      </c>
      <c r="L442" s="71">
        <v>240</v>
      </c>
      <c r="M442" s="71" t="str">
        <f t="shared" si="132"/>
        <v>法师特饮</v>
      </c>
      <c r="N442" s="71">
        <f t="shared" si="136"/>
        <v>250</v>
      </c>
      <c r="O442" s="71" t="s">
        <v>316</v>
      </c>
      <c r="P442" s="71">
        <v>200</v>
      </c>
      <c r="Q442" s="71"/>
      <c r="R442" s="71"/>
      <c r="S442" s="72" t="str">
        <f t="shared" si="125"/>
        <v>裤子图纸</v>
      </c>
      <c r="T442" s="71">
        <v>25</v>
      </c>
      <c r="U442" s="71" t="str">
        <f t="shared" si="126"/>
        <v/>
      </c>
      <c r="V442" s="71">
        <f t="shared" si="127"/>
        <v>0</v>
      </c>
      <c r="W442" s="71" t="s">
        <v>96</v>
      </c>
      <c r="X442" s="71">
        <f t="shared" si="103"/>
        <v>360</v>
      </c>
      <c r="Y442" s="71"/>
      <c r="Z442" s="71"/>
      <c r="AA442" s="71" t="str">
        <f t="shared" si="133"/>
        <v>基因罐</v>
      </c>
      <c r="AB442" s="71">
        <f t="shared" si="137"/>
        <v>30</v>
      </c>
      <c r="AC442" s="71" t="s">
        <v>374</v>
      </c>
      <c r="AD442" s="71">
        <v>150</v>
      </c>
      <c r="AE442" s="72" t="str">
        <f t="shared" si="130"/>
        <v>辅助特饮</v>
      </c>
      <c r="AF442" s="71">
        <v>300</v>
      </c>
      <c r="AG442" s="71"/>
      <c r="AH442" s="71"/>
      <c r="AI442" s="71" t="s">
        <v>390</v>
      </c>
      <c r="AJ442" s="71">
        <v>1</v>
      </c>
      <c r="AK442" s="71" t="s">
        <v>96</v>
      </c>
      <c r="AL442" s="71">
        <f t="shared" si="104"/>
        <v>600</v>
      </c>
      <c r="AN442" s="23" t="str">
        <f ca="1" t="shared" si="128"/>
        <v>{11,5}</v>
      </c>
      <c r="AO442" s="23" t="str">
        <f ca="1" t="shared" si="123"/>
        <v/>
      </c>
      <c r="AP442" s="23" t="str">
        <f ca="1" t="shared" si="105"/>
        <v>{50004,15}</v>
      </c>
      <c r="AQ442" s="23" t="str">
        <f ca="1" t="shared" si="106"/>
        <v>{5113001,200}</v>
      </c>
      <c r="AR442" s="23" t="str">
        <f ca="1" t="shared" si="107"/>
        <v>{2,240}</v>
      </c>
      <c r="AS442" s="23" t="str">
        <f ca="1" t="shared" si="108"/>
        <v>{5123001,250}</v>
      </c>
      <c r="AT442" s="23" t="str">
        <f ca="1" t="shared" si="134"/>
        <v>{5523001,200}</v>
      </c>
      <c r="AU442" s="23" t="str">
        <f ca="1" t="shared" si="121"/>
        <v/>
      </c>
      <c r="AV442" s="23" t="str">
        <f ca="1" t="shared" si="109"/>
        <v>{50006,25}</v>
      </c>
      <c r="AW442" s="23" t="str">
        <f ca="1" t="shared" si="110"/>
        <v/>
      </c>
      <c r="AX442" s="23" t="str">
        <f ca="1" t="shared" si="111"/>
        <v>{2,360}</v>
      </c>
      <c r="AY442" s="23" t="str">
        <f ca="1" t="shared" si="112"/>
        <v>{5204001,5}</v>
      </c>
      <c r="AZ442" s="23" t="str">
        <f ca="1" t="shared" si="138"/>
        <v>{5203001,30}</v>
      </c>
      <c r="BA442" s="23" t="str">
        <f ca="1" t="shared" si="113"/>
        <v>{1,150}</v>
      </c>
      <c r="BB442" s="23" t="s">
        <v>401</v>
      </c>
      <c r="BC442" s="23" t="str">
        <f ca="1" t="shared" si="114"/>
        <v>{5143001,300}</v>
      </c>
      <c r="BD442" s="23" t="str">
        <f ca="1" t="shared" si="131"/>
        <v/>
      </c>
      <c r="BE442" s="23" t="str">
        <f ca="1" t="shared" si="135"/>
        <v>{50039,1}</v>
      </c>
      <c r="BF442" s="23" t="str">
        <f ca="1" t="shared" si="115"/>
        <v>{2,600}</v>
      </c>
      <c r="BI442" s="23" t="str">
        <f ca="1" t="shared" si="116"/>
        <v>[{11,5},{50004,15},{5113001,200},{2,240}]</v>
      </c>
      <c r="BJ442" s="23" t="str">
        <f ca="1" t="shared" si="117"/>
        <v>[{5123001,250},{5523001,200},{50006,25},{2,360},{5204001,5}]</v>
      </c>
      <c r="BK442" s="23" t="str">
        <f ca="1" t="shared" si="118"/>
        <v>[{5203001,30},{1,150},{5523001,300},{5143001,300},{50039,1},{2,600}]</v>
      </c>
      <c r="BL442" s="23">
        <f ca="1" t="shared" si="119"/>
        <v>4</v>
      </c>
      <c r="BM442" s="23">
        <f ca="1" t="shared" si="120"/>
        <v>5</v>
      </c>
      <c r="BN442" s="23">
        <f ca="1" t="shared" si="122"/>
        <v>6</v>
      </c>
      <c r="BP442" s="71" t="s">
        <v>374</v>
      </c>
      <c r="BQ442" s="71">
        <v>150</v>
      </c>
    </row>
    <row r="443" ht="16.5" spans="2:69">
      <c r="B443" s="23">
        <v>123</v>
      </c>
      <c r="C443" s="12"/>
      <c r="D443" s="12"/>
      <c r="E443" s="71"/>
      <c r="F443" s="71"/>
      <c r="G443" s="71" t="str">
        <f t="shared" si="124"/>
        <v>护臂图纸</v>
      </c>
      <c r="H443" s="71">
        <v>15</v>
      </c>
      <c r="I443" s="71" t="str">
        <f t="shared" si="129"/>
        <v>毒系特饮</v>
      </c>
      <c r="J443" s="71">
        <v>200</v>
      </c>
      <c r="K443" s="71" t="s">
        <v>96</v>
      </c>
      <c r="L443" s="71">
        <v>240</v>
      </c>
      <c r="M443" s="71" t="str">
        <f t="shared" si="132"/>
        <v>辅助特饮</v>
      </c>
      <c r="N443" s="71">
        <f t="shared" si="136"/>
        <v>250</v>
      </c>
      <c r="O443" s="71" t="s">
        <v>316</v>
      </c>
      <c r="P443" s="71">
        <v>200</v>
      </c>
      <c r="Q443" s="71"/>
      <c r="R443" s="71"/>
      <c r="S443" s="72" t="str">
        <f t="shared" si="125"/>
        <v>鞋子图纸</v>
      </c>
      <c r="T443" s="71">
        <v>25</v>
      </c>
      <c r="U443" s="71" t="str">
        <f t="shared" si="126"/>
        <v/>
      </c>
      <c r="V443" s="71">
        <f t="shared" si="127"/>
        <v>0</v>
      </c>
      <c r="W443" s="71" t="s">
        <v>96</v>
      </c>
      <c r="X443" s="71">
        <f t="shared" si="103"/>
        <v>360</v>
      </c>
      <c r="Y443" s="71"/>
      <c r="Z443" s="71"/>
      <c r="AA443" s="71" t="str">
        <f t="shared" si="133"/>
        <v>基因罐</v>
      </c>
      <c r="AB443" s="71">
        <f t="shared" si="137"/>
        <v>30</v>
      </c>
      <c r="AC443" s="71" t="s">
        <v>374</v>
      </c>
      <c r="AD443" s="71">
        <v>150</v>
      </c>
      <c r="AE443" s="72" t="str">
        <f t="shared" si="130"/>
        <v>毒系特饮</v>
      </c>
      <c r="AF443" s="71">
        <v>300</v>
      </c>
      <c r="AG443" s="71"/>
      <c r="AH443" s="71"/>
      <c r="AI443" s="71" t="s">
        <v>390</v>
      </c>
      <c r="AJ443" s="71">
        <v>1</v>
      </c>
      <c r="AK443" s="71" t="s">
        <v>96</v>
      </c>
      <c r="AL443" s="71">
        <f t="shared" si="104"/>
        <v>600</v>
      </c>
      <c r="AN443" s="23" t="str">
        <f ca="1" t="shared" si="128"/>
        <v>{11,5}</v>
      </c>
      <c r="AO443" s="23" t="str">
        <f ca="1" t="shared" si="123"/>
        <v/>
      </c>
      <c r="AP443" s="23" t="str">
        <f ca="1" t="shared" si="105"/>
        <v>{50005,15}</v>
      </c>
      <c r="AQ443" s="23" t="str">
        <f ca="1" t="shared" si="106"/>
        <v>{5163001,200}</v>
      </c>
      <c r="AR443" s="23" t="str">
        <f ca="1" t="shared" si="107"/>
        <v>{2,240}</v>
      </c>
      <c r="AS443" s="23" t="str">
        <f ca="1" t="shared" si="108"/>
        <v>{5143001,250}</v>
      </c>
      <c r="AT443" s="23" t="str">
        <f ca="1" t="shared" si="134"/>
        <v>{5523001,200}</v>
      </c>
      <c r="AU443" s="23" t="str">
        <f ca="1" t="shared" si="121"/>
        <v/>
      </c>
      <c r="AV443" s="23" t="str">
        <f ca="1" t="shared" si="109"/>
        <v>{50007,25}</v>
      </c>
      <c r="AW443" s="23" t="str">
        <f ca="1" t="shared" si="110"/>
        <v/>
      </c>
      <c r="AX443" s="23" t="str">
        <f ca="1" t="shared" si="111"/>
        <v>{2,360}</v>
      </c>
      <c r="AY443" s="23" t="str">
        <f ca="1" t="shared" si="112"/>
        <v>{5204001,5}</v>
      </c>
      <c r="AZ443" s="23" t="str">
        <f ca="1" t="shared" si="138"/>
        <v>{5203001,30}</v>
      </c>
      <c r="BA443" s="23" t="str">
        <f ca="1" t="shared" si="113"/>
        <v>{1,150}</v>
      </c>
      <c r="BB443" s="23" t="s">
        <v>401</v>
      </c>
      <c r="BC443" s="23" t="str">
        <f ca="1" t="shared" si="114"/>
        <v>{5163001,300}</v>
      </c>
      <c r="BD443" s="23" t="str">
        <f ca="1" t="shared" si="131"/>
        <v/>
      </c>
      <c r="BE443" s="23" t="str">
        <f ca="1" t="shared" si="135"/>
        <v>{50039,1}</v>
      </c>
      <c r="BF443" s="23" t="str">
        <f ca="1" t="shared" si="115"/>
        <v>{2,600}</v>
      </c>
      <c r="BI443" s="23" t="str">
        <f ca="1" t="shared" si="116"/>
        <v>[{11,5},{50005,15},{5163001,200},{2,240}]</v>
      </c>
      <c r="BJ443" s="23" t="str">
        <f ca="1" t="shared" si="117"/>
        <v>[{5143001,250},{5523001,200},{50007,25},{2,360},{5204001,5}]</v>
      </c>
      <c r="BK443" s="23" t="str">
        <f ca="1" t="shared" si="118"/>
        <v>[{5203001,30},{1,150},{5523001,300},{5163001,300},{50039,1},{2,600}]</v>
      </c>
      <c r="BL443" s="23">
        <f ca="1" t="shared" si="119"/>
        <v>4</v>
      </c>
      <c r="BM443" s="23">
        <f ca="1" t="shared" si="120"/>
        <v>5</v>
      </c>
      <c r="BN443" s="23">
        <f ca="1" t="shared" si="122"/>
        <v>6</v>
      </c>
      <c r="BP443" s="71" t="s">
        <v>374</v>
      </c>
      <c r="BQ443" s="71">
        <v>150</v>
      </c>
    </row>
    <row r="444" ht="16.5" spans="2:69">
      <c r="B444" s="23">
        <v>124</v>
      </c>
      <c r="C444" s="12"/>
      <c r="D444" s="12"/>
      <c r="E444" s="71"/>
      <c r="F444" s="71"/>
      <c r="G444" s="71" t="str">
        <f t="shared" si="124"/>
        <v>裤子图纸</v>
      </c>
      <c r="H444" s="71">
        <v>15</v>
      </c>
      <c r="I444" s="71" t="str">
        <f t="shared" si="129"/>
        <v>控制特饮</v>
      </c>
      <c r="J444" s="71">
        <v>200</v>
      </c>
      <c r="K444" s="71" t="s">
        <v>96</v>
      </c>
      <c r="L444" s="71">
        <v>240</v>
      </c>
      <c r="M444" s="71" t="str">
        <f t="shared" si="132"/>
        <v>射手特饮</v>
      </c>
      <c r="N444" s="71">
        <f t="shared" si="136"/>
        <v>250</v>
      </c>
      <c r="O444" s="71" t="s">
        <v>316</v>
      </c>
      <c r="P444" s="71">
        <v>200</v>
      </c>
      <c r="Q444" s="71"/>
      <c r="R444" s="71"/>
      <c r="S444" s="72" t="str">
        <f t="shared" si="125"/>
        <v>手套图纸</v>
      </c>
      <c r="T444" s="71">
        <v>25</v>
      </c>
      <c r="U444" s="71" t="str">
        <f t="shared" si="126"/>
        <v/>
      </c>
      <c r="V444" s="71">
        <f t="shared" si="127"/>
        <v>0</v>
      </c>
      <c r="W444" s="71" t="s">
        <v>96</v>
      </c>
      <c r="X444" s="71">
        <f t="shared" si="103"/>
        <v>360</v>
      </c>
      <c r="Y444" s="71"/>
      <c r="Z444" s="71"/>
      <c r="AA444" s="71" t="str">
        <f t="shared" si="133"/>
        <v>基因罐</v>
      </c>
      <c r="AB444" s="71">
        <f t="shared" si="137"/>
        <v>30</v>
      </c>
      <c r="AC444" s="71" t="s">
        <v>374</v>
      </c>
      <c r="AD444" s="71">
        <v>150</v>
      </c>
      <c r="AE444" s="72" t="str">
        <f t="shared" si="130"/>
        <v>控制特饮</v>
      </c>
      <c r="AF444" s="71">
        <v>300</v>
      </c>
      <c r="AG444" s="71"/>
      <c r="AH444" s="71"/>
      <c r="AI444" s="71" t="s">
        <v>390</v>
      </c>
      <c r="AJ444" s="71">
        <v>1</v>
      </c>
      <c r="AK444" s="71" t="s">
        <v>96</v>
      </c>
      <c r="AL444" s="71">
        <f t="shared" si="104"/>
        <v>600</v>
      </c>
      <c r="AN444" s="23" t="str">
        <f ca="1" t="shared" si="128"/>
        <v>{11,5}</v>
      </c>
      <c r="AO444" s="23" t="str">
        <f ca="1" t="shared" si="123"/>
        <v/>
      </c>
      <c r="AP444" s="23" t="str">
        <f ca="1" t="shared" si="105"/>
        <v>{50006,15}</v>
      </c>
      <c r="AQ444" s="23" t="str">
        <f ca="1" t="shared" si="106"/>
        <v>{5153001,200}</v>
      </c>
      <c r="AR444" s="23" t="str">
        <f ca="1" t="shared" si="107"/>
        <v>{2,240}</v>
      </c>
      <c r="AS444" s="23" t="str">
        <f ca="1" t="shared" si="108"/>
        <v>{5133001,250}</v>
      </c>
      <c r="AT444" s="23" t="str">
        <f ca="1" t="shared" si="134"/>
        <v>{5523001,200}</v>
      </c>
      <c r="AU444" s="23" t="str">
        <f ca="1" t="shared" si="121"/>
        <v/>
      </c>
      <c r="AV444" s="23" t="str">
        <f ca="1" t="shared" si="109"/>
        <v>{50008,25}</v>
      </c>
      <c r="AW444" s="23" t="str">
        <f ca="1" t="shared" si="110"/>
        <v/>
      </c>
      <c r="AX444" s="23" t="str">
        <f ca="1" t="shared" si="111"/>
        <v>{2,360}</v>
      </c>
      <c r="AY444" s="23" t="str">
        <f ca="1" t="shared" si="112"/>
        <v>{5204001,5}</v>
      </c>
      <c r="AZ444" s="23" t="str">
        <f ca="1" t="shared" si="138"/>
        <v>{5203001,30}</v>
      </c>
      <c r="BA444" s="23" t="str">
        <f ca="1" t="shared" si="113"/>
        <v>{1,150}</v>
      </c>
      <c r="BB444" s="23" t="s">
        <v>401</v>
      </c>
      <c r="BC444" s="23" t="str">
        <f ca="1" t="shared" si="114"/>
        <v>{5153001,300}</v>
      </c>
      <c r="BD444" s="23" t="str">
        <f ca="1" t="shared" si="131"/>
        <v/>
      </c>
      <c r="BE444" s="23" t="str">
        <f ca="1" t="shared" si="135"/>
        <v>{50039,1}</v>
      </c>
      <c r="BF444" s="23" t="str">
        <f ca="1" t="shared" si="115"/>
        <v>{2,600}</v>
      </c>
      <c r="BI444" s="23" t="str">
        <f ca="1" t="shared" si="116"/>
        <v>[{11,5},{50006,15},{5153001,200},{2,240}]</v>
      </c>
      <c r="BJ444" s="23" t="str">
        <f ca="1" t="shared" si="117"/>
        <v>[{5133001,250},{5523001,200},{50008,25},{2,360},{5204001,5}]</v>
      </c>
      <c r="BK444" s="23" t="str">
        <f ca="1" t="shared" si="118"/>
        <v>[{5203001,30},{1,150},{5523001,300},{5153001,300},{50039,1},{2,600}]</v>
      </c>
      <c r="BL444" s="23">
        <f ca="1" t="shared" si="119"/>
        <v>4</v>
      </c>
      <c r="BM444" s="23">
        <f ca="1" t="shared" si="120"/>
        <v>5</v>
      </c>
      <c r="BN444" s="23">
        <f ca="1" t="shared" si="122"/>
        <v>6</v>
      </c>
      <c r="BP444" s="71" t="s">
        <v>374</v>
      </c>
      <c r="BQ444" s="71">
        <v>150</v>
      </c>
    </row>
    <row r="445" ht="16.5" spans="2:69">
      <c r="B445" s="23">
        <v>125</v>
      </c>
      <c r="C445" s="12" t="inlineStr">
        <is>
          <t>梦愿水晶</t>
        </is>
      </c>
      <c r="D445" s="12">
        <v>1</v>
      </c>
      <c r="E445" s="71"/>
      <c r="F445" s="71"/>
      <c r="G445" s="71" t="str">
        <f t="shared" si="124"/>
        <v>鞋子图纸</v>
      </c>
      <c r="H445" s="71">
        <v>15</v>
      </c>
      <c r="I445" s="71" t="str">
        <f t="shared" si="129"/>
        <v>射手特饮</v>
      </c>
      <c r="J445" s="71">
        <v>200</v>
      </c>
      <c r="K445" s="71" t="s">
        <v>96</v>
      </c>
      <c r="L445" s="71">
        <v>240</v>
      </c>
      <c r="M445" s="71" t="str">
        <f t="shared" si="132"/>
        <v>毒系特饮</v>
      </c>
      <c r="N445" s="71">
        <f t="shared" si="136"/>
        <v>250</v>
      </c>
      <c r="O445" s="71" t="s">
        <v>316</v>
      </c>
      <c r="P445" s="71">
        <v>200</v>
      </c>
      <c r="Q445" s="71"/>
      <c r="R445" s="71"/>
      <c r="S445" s="72" t="str">
        <f t="shared" si="125"/>
        <v>头盔图纸</v>
      </c>
      <c r="T445" s="71">
        <v>25</v>
      </c>
      <c r="U445" s="71" t="str">
        <f t="shared" si="126"/>
        <v>灵感获取令</v>
      </c>
      <c r="V445" s="71">
        <f t="shared" si="127"/>
        <v>1</v>
      </c>
      <c r="W445" s="71" t="s">
        <v>96</v>
      </c>
      <c r="X445" s="71">
        <f t="shared" si="103"/>
        <v>360</v>
      </c>
      <c r="Y445" s="71"/>
      <c r="Z445" s="71"/>
      <c r="AA445" s="71" t="str">
        <f t="shared" si="133"/>
        <v>传说基因罐</v>
      </c>
      <c r="AB445" s="71">
        <f t="shared" si="137"/>
        <v>3</v>
      </c>
      <c r="AC445" s="71" t="s">
        <v>374</v>
      </c>
      <c r="AD445" s="71">
        <v>150</v>
      </c>
      <c r="AE445" s="72" t="str">
        <f t="shared" si="130"/>
        <v>射手特饮</v>
      </c>
      <c r="AF445" s="71">
        <v>300</v>
      </c>
      <c r="AG445" s="71"/>
      <c r="AH445" s="71"/>
      <c r="AI445" s="71" t="s">
        <v>390</v>
      </c>
      <c r="AJ445" s="71">
        <v>1</v>
      </c>
      <c r="AK445" s="71" t="s">
        <v>96</v>
      </c>
      <c r="AL445" s="71">
        <f t="shared" si="104"/>
        <v>600</v>
      </c>
      <c r="AN445" s="23" t="str">
        <f ca="1" t="shared" si="128"/>
        <v>{35,1}</v>
      </c>
      <c r="AO445" s="23" t="str">
        <f ca="1" t="shared" si="123"/>
        <v/>
      </c>
      <c r="AP445" s="23" t="str">
        <f ca="1" t="shared" si="105"/>
        <v>{50007,15}</v>
      </c>
      <c r="AQ445" s="23" t="str">
        <f ca="1" t="shared" si="106"/>
        <v>{5133001,200}</v>
      </c>
      <c r="AR445" s="23" t="str">
        <f ca="1" t="shared" si="107"/>
        <v>{2,240}</v>
      </c>
      <c r="AS445" s="23" t="str">
        <f ca="1" t="shared" si="108"/>
        <v>{5163001,250}</v>
      </c>
      <c r="AT445" s="23" t="str">
        <f ca="1" t="shared" si="134"/>
        <v>{5523001,200}</v>
      </c>
      <c r="AU445" s="23" t="str">
        <f ca="1" t="shared" si="121"/>
        <v/>
      </c>
      <c r="AV445" s="23" t="str">
        <f ca="1" t="shared" si="109"/>
        <v>{50003,25}</v>
      </c>
      <c r="AW445" s="23" t="str">
        <f ca="1" t="shared" si="110"/>
        <v>{9,1}</v>
      </c>
      <c r="AX445" s="23" t="str">
        <f ca="1" t="shared" si="111"/>
        <v>{2,360}</v>
      </c>
      <c r="AY445" s="23" t="str">
        <f ca="1" t="shared" si="112"/>
        <v>{5204001,5}</v>
      </c>
      <c r="AZ445" s="23" t="str">
        <f ca="1" t="shared" si="138"/>
        <v>{5205001,3}</v>
      </c>
      <c r="BA445" s="23" t="str">
        <f ca="1" t="shared" si="113"/>
        <v>{1,150}</v>
      </c>
      <c r="BB445" s="23" t="s">
        <v>401</v>
      </c>
      <c r="BC445" s="23" t="str">
        <f ca="1" t="shared" si="114"/>
        <v>{5133001,300}</v>
      </c>
      <c r="BD445" s="23" t="str">
        <f ca="1" t="shared" si="131"/>
        <v/>
      </c>
      <c r="BE445" s="23" t="str">
        <f ca="1" t="shared" si="135"/>
        <v>{50039,1}</v>
      </c>
      <c r="BF445" s="23" t="str">
        <f ca="1" t="shared" si="115"/>
        <v>{2,600}</v>
      </c>
      <c r="BI445" s="23" t="str">
        <f ca="1" t="shared" si="116"/>
        <v>[{35,1},{50007,15},{5133001,200},{2,240}]</v>
      </c>
      <c r="BJ445" s="23" t="str">
        <f ca="1" t="shared" si="117"/>
        <v>[{5163001,250},{5523001,200},{50003,25},{9,1},{2,360},{5204001,5}]</v>
      </c>
      <c r="BK445" s="23" t="str">
        <f ca="1" t="shared" si="118"/>
        <v>[{5205001,3},{1,150},{5523001,300},{5133001,300},{50039,1},{2,600}]</v>
      </c>
      <c r="BL445" s="23">
        <f ca="1" t="shared" si="119"/>
        <v>4</v>
      </c>
      <c r="BM445" s="23">
        <f ca="1" t="shared" si="120"/>
        <v>6</v>
      </c>
      <c r="BN445" s="23">
        <f ca="1" t="shared" si="122"/>
        <v>6</v>
      </c>
      <c r="BP445" s="71" t="s">
        <v>374</v>
      </c>
      <c r="BQ445" s="71">
        <v>150</v>
      </c>
    </row>
    <row r="446" ht="16.5" spans="2:69">
      <c r="B446" s="23">
        <v>126</v>
      </c>
      <c r="C446" s="12"/>
      <c r="D446" s="12"/>
      <c r="E446" s="71"/>
      <c r="F446" s="71"/>
      <c r="G446" s="71" t="str">
        <f t="shared" si="124"/>
        <v>手套图纸</v>
      </c>
      <c r="H446" s="71">
        <v>15</v>
      </c>
      <c r="I446" s="71" t="str">
        <f t="shared" si="129"/>
        <v>法师特饮</v>
      </c>
      <c r="J446" s="71">
        <v>200</v>
      </c>
      <c r="K446" s="71" t="s">
        <v>96</v>
      </c>
      <c r="L446" s="71">
        <v>240</v>
      </c>
      <c r="M446" s="71" t="str">
        <f t="shared" si="132"/>
        <v>控制特饮</v>
      </c>
      <c r="N446" s="71">
        <f t="shared" si="136"/>
        <v>250</v>
      </c>
      <c r="O446" s="71" t="s">
        <v>316</v>
      </c>
      <c r="P446" s="71">
        <v>200</v>
      </c>
      <c r="Q446" s="71"/>
      <c r="R446" s="71"/>
      <c r="S446" s="72" t="str">
        <f t="shared" si="125"/>
        <v>衣服图纸</v>
      </c>
      <c r="T446" s="71">
        <v>25</v>
      </c>
      <c r="U446" s="71" t="str">
        <f t="shared" si="126"/>
        <v/>
      </c>
      <c r="V446" s="71">
        <f t="shared" si="127"/>
        <v>0</v>
      </c>
      <c r="W446" s="71" t="s">
        <v>96</v>
      </c>
      <c r="X446" s="71">
        <f t="shared" si="103"/>
        <v>360</v>
      </c>
      <c r="Y446" s="71"/>
      <c r="Z446" s="71"/>
      <c r="AA446" s="71" t="str">
        <f t="shared" si="133"/>
        <v>基因罐</v>
      </c>
      <c r="AB446" s="71">
        <f t="shared" si="137"/>
        <v>30</v>
      </c>
      <c r="AC446" s="71" t="s">
        <v>374</v>
      </c>
      <c r="AD446" s="71">
        <v>150</v>
      </c>
      <c r="AE446" s="72" t="str">
        <f t="shared" si="130"/>
        <v>战士特饮</v>
      </c>
      <c r="AF446" s="71">
        <v>300</v>
      </c>
      <c r="AG446" s="71"/>
      <c r="AH446" s="71"/>
      <c r="AI446" s="71" t="s">
        <v>390</v>
      </c>
      <c r="AJ446" s="71">
        <v>1</v>
      </c>
      <c r="AK446" s="71" t="s">
        <v>96</v>
      </c>
      <c r="AL446" s="71">
        <f t="shared" si="104"/>
        <v>600</v>
      </c>
      <c r="AN446" s="23" t="str">
        <f ca="1" t="shared" si="128"/>
        <v>{11,5}</v>
      </c>
      <c r="AO446" s="23" t="str">
        <f ca="1" t="shared" si="123"/>
        <v/>
      </c>
      <c r="AP446" s="23" t="str">
        <f ca="1" t="shared" si="105"/>
        <v>{50008,15}</v>
      </c>
      <c r="AQ446" s="23" t="str">
        <f ca="1" t="shared" si="106"/>
        <v>{5123001,200}</v>
      </c>
      <c r="AR446" s="23" t="str">
        <f ca="1" t="shared" si="107"/>
        <v>{2,240}</v>
      </c>
      <c r="AS446" s="23" t="str">
        <f ca="1" t="shared" si="108"/>
        <v>{5153001,250}</v>
      </c>
      <c r="AT446" s="23" t="str">
        <f ca="1" t="shared" si="134"/>
        <v>{5523001,200}</v>
      </c>
      <c r="AU446" s="23" t="str">
        <f ca="1" t="shared" si="121"/>
        <v/>
      </c>
      <c r="AV446" s="23" t="str">
        <f ca="1" t="shared" si="109"/>
        <v>{50004,25}</v>
      </c>
      <c r="AW446" s="23" t="str">
        <f ca="1" t="shared" si="110"/>
        <v/>
      </c>
      <c r="AX446" s="23" t="str">
        <f ca="1" t="shared" si="111"/>
        <v>{2,360}</v>
      </c>
      <c r="AY446" s="23" t="str">
        <f ca="1" t="shared" si="112"/>
        <v>{5204001,5}</v>
      </c>
      <c r="AZ446" s="23" t="str">
        <f ca="1" t="shared" si="138"/>
        <v>{5203001,30}</v>
      </c>
      <c r="BA446" s="23" t="str">
        <f ca="1" t="shared" si="113"/>
        <v>{1,150}</v>
      </c>
      <c r="BB446" s="23" t="s">
        <v>401</v>
      </c>
      <c r="BC446" s="23" t="str">
        <f ca="1" t="shared" si="114"/>
        <v>{5113001,300}</v>
      </c>
      <c r="BD446" s="23" t="str">
        <f ca="1" t="shared" si="131"/>
        <v/>
      </c>
      <c r="BE446" s="23" t="str">
        <f ca="1" t="shared" si="135"/>
        <v>{50039,1}</v>
      </c>
      <c r="BF446" s="23" t="str">
        <f ca="1" t="shared" si="115"/>
        <v>{2,600}</v>
      </c>
      <c r="BI446" s="23" t="str">
        <f ca="1" t="shared" si="116"/>
        <v>[{11,5},{50008,15},{5123001,200},{2,240}]</v>
      </c>
      <c r="BJ446" s="23" t="str">
        <f ca="1" t="shared" si="117"/>
        <v>[{5153001,250},{5523001,200},{50004,25},{2,360},{5204001,5}]</v>
      </c>
      <c r="BK446" s="23" t="str">
        <f ca="1" t="shared" si="118"/>
        <v>[{5203001,30},{1,150},{5523001,300},{5113001,300},{50039,1},{2,600}]</v>
      </c>
      <c r="BL446" s="23">
        <f ca="1" t="shared" si="119"/>
        <v>4</v>
      </c>
      <c r="BM446" s="23">
        <f ca="1" t="shared" si="120"/>
        <v>5</v>
      </c>
      <c r="BN446" s="23">
        <f ca="1" t="shared" si="122"/>
        <v>6</v>
      </c>
      <c r="BP446" s="71" t="s">
        <v>374</v>
      </c>
      <c r="BQ446" s="71">
        <v>150</v>
      </c>
    </row>
    <row r="447" ht="16.5" spans="2:69">
      <c r="B447" s="23">
        <v>127</v>
      </c>
      <c r="C447" s="12"/>
      <c r="D447" s="12"/>
      <c r="E447" s="71"/>
      <c r="F447" s="71"/>
      <c r="G447" s="71" t="str">
        <f t="shared" si="124"/>
        <v>头盔图纸</v>
      </c>
      <c r="H447" s="71">
        <v>15</v>
      </c>
      <c r="I447" s="71" t="str">
        <f t="shared" si="129"/>
        <v>辅助特饮</v>
      </c>
      <c r="J447" s="71">
        <v>200</v>
      </c>
      <c r="K447" s="71" t="s">
        <v>96</v>
      </c>
      <c r="L447" s="71">
        <v>240</v>
      </c>
      <c r="M447" s="71" t="str">
        <f t="shared" si="132"/>
        <v>战士特饮</v>
      </c>
      <c r="N447" s="71">
        <f t="shared" si="136"/>
        <v>250</v>
      </c>
      <c r="O447" s="71" t="s">
        <v>316</v>
      </c>
      <c r="P447" s="71">
        <v>200</v>
      </c>
      <c r="Q447" s="71"/>
      <c r="R447" s="71"/>
      <c r="S447" s="72" t="str">
        <f t="shared" si="125"/>
        <v>护臂图纸</v>
      </c>
      <c r="T447" s="71">
        <v>25</v>
      </c>
      <c r="U447" s="71" t="str">
        <f t="shared" si="126"/>
        <v/>
      </c>
      <c r="V447" s="71">
        <f t="shared" si="127"/>
        <v>0</v>
      </c>
      <c r="W447" s="71" t="s">
        <v>96</v>
      </c>
      <c r="X447" s="71">
        <f t="shared" si="103"/>
        <v>360</v>
      </c>
      <c r="Y447" s="71"/>
      <c r="Z447" s="71"/>
      <c r="AA447" s="71" t="str">
        <f t="shared" si="133"/>
        <v>基因罐</v>
      </c>
      <c r="AB447" s="71">
        <f t="shared" si="137"/>
        <v>30</v>
      </c>
      <c r="AC447" s="71" t="s">
        <v>374</v>
      </c>
      <c r="AD447" s="71">
        <v>150</v>
      </c>
      <c r="AE447" s="72" t="str">
        <f t="shared" si="130"/>
        <v>法师特饮</v>
      </c>
      <c r="AF447" s="71">
        <v>300</v>
      </c>
      <c r="AG447" s="71"/>
      <c r="AH447" s="71"/>
      <c r="AI447" s="71" t="s">
        <v>390</v>
      </c>
      <c r="AJ447" s="71">
        <v>1</v>
      </c>
      <c r="AK447" s="71" t="s">
        <v>96</v>
      </c>
      <c r="AL447" s="71">
        <f t="shared" si="104"/>
        <v>600</v>
      </c>
      <c r="AN447" s="23" t="str">
        <f ca="1" t="shared" si="128"/>
        <v>{11,5}</v>
      </c>
      <c r="AO447" s="23" t="str">
        <f ca="1" t="shared" si="123"/>
        <v/>
      </c>
      <c r="AP447" s="23" t="str">
        <f ca="1" t="shared" si="105"/>
        <v>{50003,15}</v>
      </c>
      <c r="AQ447" s="23" t="str">
        <f ca="1" t="shared" si="106"/>
        <v>{5143001,200}</v>
      </c>
      <c r="AR447" s="23" t="str">
        <f ca="1" t="shared" si="107"/>
        <v>{2,240}</v>
      </c>
      <c r="AS447" s="23" t="str">
        <f ca="1" t="shared" si="108"/>
        <v>{5113001,250}</v>
      </c>
      <c r="AT447" s="23" t="str">
        <f ca="1" t="shared" si="134"/>
        <v>{5523001,200}</v>
      </c>
      <c r="AU447" s="23" t="str">
        <f ca="1" t="shared" si="121"/>
        <v/>
      </c>
      <c r="AV447" s="23" t="str">
        <f ca="1" t="shared" si="109"/>
        <v>{50005,25}</v>
      </c>
      <c r="AW447" s="23" t="str">
        <f ca="1" t="shared" si="110"/>
        <v/>
      </c>
      <c r="AX447" s="23" t="str">
        <f ca="1" t="shared" si="111"/>
        <v>{2,360}</v>
      </c>
      <c r="AY447" s="23" t="str">
        <f ca="1" t="shared" si="112"/>
        <v>{5204001,5}</v>
      </c>
      <c r="AZ447" s="23" t="str">
        <f ca="1" t="shared" si="138"/>
        <v>{5203001,30}</v>
      </c>
      <c r="BA447" s="23" t="str">
        <f ca="1" t="shared" si="113"/>
        <v>{1,150}</v>
      </c>
      <c r="BB447" s="23" t="s">
        <v>401</v>
      </c>
      <c r="BC447" s="23" t="str">
        <f ca="1" t="shared" si="114"/>
        <v>{5123001,300}</v>
      </c>
      <c r="BD447" s="23" t="str">
        <f ca="1" t="shared" si="131"/>
        <v/>
      </c>
      <c r="BE447" s="23" t="str">
        <f ca="1" t="shared" si="135"/>
        <v>{50039,1}</v>
      </c>
      <c r="BF447" s="23" t="str">
        <f ca="1" t="shared" si="115"/>
        <v>{2,600}</v>
      </c>
      <c r="BI447" s="23" t="str">
        <f ca="1" t="shared" si="116"/>
        <v>[{11,5},{50003,15},{5143001,200},{2,240}]</v>
      </c>
      <c r="BJ447" s="23" t="str">
        <f ca="1" t="shared" si="117"/>
        <v>[{5113001,250},{5523001,200},{50005,25},{2,360},{5204001,5}]</v>
      </c>
      <c r="BK447" s="23" t="str">
        <f ca="1" t="shared" si="118"/>
        <v>[{5203001,30},{1,150},{5523001,300},{5123001,300},{50039,1},{2,600}]</v>
      </c>
      <c r="BL447" s="23">
        <f ca="1" t="shared" si="119"/>
        <v>4</v>
      </c>
      <c r="BM447" s="23">
        <f ca="1" t="shared" si="120"/>
        <v>5</v>
      </c>
      <c r="BN447" s="23">
        <f ca="1" t="shared" si="122"/>
        <v>6</v>
      </c>
      <c r="BP447" s="71" t="s">
        <v>374</v>
      </c>
      <c r="BQ447" s="71">
        <v>150</v>
      </c>
    </row>
    <row r="448" ht="16.5" spans="2:69">
      <c r="B448" s="23">
        <v>128</v>
      </c>
      <c r="C448" s="12"/>
      <c r="D448" s="12"/>
      <c r="E448" s="71"/>
      <c r="F448" s="71"/>
      <c r="G448" s="71" t="str">
        <f t="shared" si="124"/>
        <v>衣服图纸</v>
      </c>
      <c r="H448" s="71">
        <v>15</v>
      </c>
      <c r="I448" s="71" t="str">
        <f t="shared" si="129"/>
        <v>战士特饮</v>
      </c>
      <c r="J448" s="71">
        <v>200</v>
      </c>
      <c r="K448" s="71" t="s">
        <v>96</v>
      </c>
      <c r="L448" s="71">
        <v>240</v>
      </c>
      <c r="M448" s="71" t="str">
        <f t="shared" si="132"/>
        <v>法师特饮</v>
      </c>
      <c r="N448" s="71">
        <f t="shared" si="136"/>
        <v>250</v>
      </c>
      <c r="O448" s="71" t="s">
        <v>316</v>
      </c>
      <c r="P448" s="71">
        <v>200</v>
      </c>
      <c r="Q448" s="71"/>
      <c r="R448" s="71"/>
      <c r="S448" s="72" t="str">
        <f t="shared" si="125"/>
        <v>裤子图纸</v>
      </c>
      <c r="T448" s="71">
        <v>25</v>
      </c>
      <c r="U448" s="71" t="str">
        <f t="shared" si="126"/>
        <v/>
      </c>
      <c r="V448" s="71">
        <f t="shared" si="127"/>
        <v>0</v>
      </c>
      <c r="W448" s="71" t="s">
        <v>96</v>
      </c>
      <c r="X448" s="71">
        <f t="shared" si="103"/>
        <v>360</v>
      </c>
      <c r="Y448" s="71"/>
      <c r="Z448" s="71"/>
      <c r="AA448" s="71" t="str">
        <f t="shared" si="133"/>
        <v>基因罐</v>
      </c>
      <c r="AB448" s="71">
        <f t="shared" si="137"/>
        <v>30</v>
      </c>
      <c r="AC448" s="71" t="s">
        <v>374</v>
      </c>
      <c r="AD448" s="71">
        <v>150</v>
      </c>
      <c r="AE448" s="72" t="str">
        <f t="shared" si="130"/>
        <v>辅助特饮</v>
      </c>
      <c r="AF448" s="71">
        <v>300</v>
      </c>
      <c r="AG448" s="71"/>
      <c r="AH448" s="71"/>
      <c r="AI448" s="71" t="s">
        <v>390</v>
      </c>
      <c r="AJ448" s="71">
        <v>1</v>
      </c>
      <c r="AK448" s="71" t="s">
        <v>96</v>
      </c>
      <c r="AL448" s="71">
        <f t="shared" si="104"/>
        <v>600</v>
      </c>
      <c r="AN448" s="23" t="str">
        <f ca="1" t="shared" si="128"/>
        <v>{11,5}</v>
      </c>
      <c r="AO448" s="23" t="str">
        <f ca="1" t="shared" si="123"/>
        <v/>
      </c>
      <c r="AP448" s="23" t="str">
        <f ca="1" t="shared" si="105"/>
        <v>{50004,15}</v>
      </c>
      <c r="AQ448" s="23" t="str">
        <f ca="1" t="shared" si="106"/>
        <v>{5113001,200}</v>
      </c>
      <c r="AR448" s="23" t="str">
        <f ca="1" t="shared" si="107"/>
        <v>{2,240}</v>
      </c>
      <c r="AS448" s="23" t="str">
        <f ca="1" t="shared" si="108"/>
        <v>{5123001,250}</v>
      </c>
      <c r="AT448" s="23" t="str">
        <f ca="1" t="shared" si="134"/>
        <v>{5523001,200}</v>
      </c>
      <c r="AU448" s="23" t="str">
        <f ca="1" t="shared" si="121"/>
        <v/>
      </c>
      <c r="AV448" s="23" t="str">
        <f ca="1" t="shared" si="109"/>
        <v>{50006,25}</v>
      </c>
      <c r="AW448" s="23" t="str">
        <f ca="1" t="shared" si="110"/>
        <v/>
      </c>
      <c r="AX448" s="23" t="str">
        <f ca="1" t="shared" si="111"/>
        <v>{2,360}</v>
      </c>
      <c r="AY448" s="23" t="str">
        <f ca="1" t="shared" si="112"/>
        <v>{5204001,5}</v>
      </c>
      <c r="AZ448" s="23" t="str">
        <f ca="1" t="shared" si="138"/>
        <v>{5203001,30}</v>
      </c>
      <c r="BA448" s="23" t="str">
        <f ca="1" t="shared" si="113"/>
        <v>{1,150}</v>
      </c>
      <c r="BB448" s="23" t="s">
        <v>401</v>
      </c>
      <c r="BC448" s="23" t="str">
        <f ca="1" t="shared" si="114"/>
        <v>{5143001,300}</v>
      </c>
      <c r="BD448" s="23" t="str">
        <f ca="1" t="shared" si="131"/>
        <v/>
      </c>
      <c r="BE448" s="23" t="str">
        <f ca="1" t="shared" si="135"/>
        <v>{50039,1}</v>
      </c>
      <c r="BF448" s="23" t="str">
        <f ca="1" t="shared" si="115"/>
        <v>{2,600}</v>
      </c>
      <c r="BI448" s="23" t="str">
        <f ca="1" t="shared" si="116"/>
        <v>[{11,5},{50004,15},{5113001,200},{2,240}]</v>
      </c>
      <c r="BJ448" s="23" t="str">
        <f ca="1" t="shared" si="117"/>
        <v>[{5123001,250},{5523001,200},{50006,25},{2,360},{5204001,5}]</v>
      </c>
      <c r="BK448" s="23" t="str">
        <f ca="1" t="shared" si="118"/>
        <v>[{5203001,30},{1,150},{5523001,300},{5143001,300},{50039,1},{2,600}]</v>
      </c>
      <c r="BL448" s="23">
        <f ca="1" t="shared" si="119"/>
        <v>4</v>
      </c>
      <c r="BM448" s="23">
        <f ca="1" t="shared" si="120"/>
        <v>5</v>
      </c>
      <c r="BN448" s="23">
        <f ca="1" t="shared" si="122"/>
        <v>6</v>
      </c>
      <c r="BP448" s="71" t="s">
        <v>374</v>
      </c>
      <c r="BQ448" s="71">
        <v>150</v>
      </c>
    </row>
    <row r="449" ht="16.5" spans="2:69">
      <c r="B449" s="23">
        <v>129</v>
      </c>
      <c r="C449" s="12"/>
      <c r="D449" s="12"/>
      <c r="E449" s="71"/>
      <c r="F449" s="71"/>
      <c r="G449" s="71" t="str">
        <f t="shared" si="124"/>
        <v>护臂图纸</v>
      </c>
      <c r="H449" s="71">
        <v>15</v>
      </c>
      <c r="I449" s="71" t="str">
        <f t="shared" si="129"/>
        <v>毒系特饮</v>
      </c>
      <c r="J449" s="71">
        <v>200</v>
      </c>
      <c r="K449" s="71" t="s">
        <v>96</v>
      </c>
      <c r="L449" s="71">
        <v>240</v>
      </c>
      <c r="M449" s="71" t="str">
        <f t="shared" si="132"/>
        <v>辅助特饮</v>
      </c>
      <c r="N449" s="71">
        <f t="shared" si="136"/>
        <v>250</v>
      </c>
      <c r="O449" s="71" t="s">
        <v>316</v>
      </c>
      <c r="P449" s="71">
        <v>200</v>
      </c>
      <c r="Q449" s="71"/>
      <c r="R449" s="71"/>
      <c r="S449" s="72" t="str">
        <f t="shared" si="125"/>
        <v>鞋子图纸</v>
      </c>
      <c r="T449" s="71">
        <v>25</v>
      </c>
      <c r="U449" s="71" t="str">
        <f t="shared" si="126"/>
        <v/>
      </c>
      <c r="V449" s="71">
        <f t="shared" si="127"/>
        <v>0</v>
      </c>
      <c r="W449" s="71" t="s">
        <v>96</v>
      </c>
      <c r="X449" s="71">
        <f t="shared" ref="X449:X512" si="141">L449*1.5</f>
        <v>360</v>
      </c>
      <c r="Y449" s="71"/>
      <c r="Z449" s="71"/>
      <c r="AA449" s="71" t="str">
        <f t="shared" si="133"/>
        <v>基因罐</v>
      </c>
      <c r="AB449" s="71">
        <f t="shared" si="137"/>
        <v>30</v>
      </c>
      <c r="AC449" s="71" t="s">
        <v>374</v>
      </c>
      <c r="AD449" s="71">
        <v>150</v>
      </c>
      <c r="AE449" s="72" t="str">
        <f t="shared" si="130"/>
        <v>毒系特饮</v>
      </c>
      <c r="AF449" s="71">
        <v>300</v>
      </c>
      <c r="AG449" s="71"/>
      <c r="AH449" s="71"/>
      <c r="AI449" s="71" t="s">
        <v>390</v>
      </c>
      <c r="AJ449" s="71">
        <v>1</v>
      </c>
      <c r="AK449" s="71" t="s">
        <v>96</v>
      </c>
      <c r="AL449" s="71">
        <f t="shared" ref="AL449:AL512" si="142">L449+X449</f>
        <v>600</v>
      </c>
      <c r="AN449" s="23" t="str">
        <f ca="1" t="shared" si="128"/>
        <v>{11,5}</v>
      </c>
      <c r="AO449" s="23" t="str">
        <f ca="1" t="shared" si="123"/>
        <v/>
      </c>
      <c r="AP449" s="23" t="str">
        <f ca="1" t="shared" ref="AP449:AP512" si="143">IF(OFFSET($B449,0,AP$320*2+1)="","","{"&amp;VLOOKUP(OFFSET($B449,0,AP$320*2+1),$AN$291:$AO$306,2,0)&amp;","&amp;OFFSET($B449,0,AP$320*2+2)&amp;"}")</f>
        <v>{50005,15}</v>
      </c>
      <c r="AQ449" s="23" t="str">
        <f ca="1" t="shared" ref="AQ449:AQ512" si="144">IF(OFFSET($B449,0,AQ$320*2+1)="","","{"&amp;VLOOKUP(OFFSET($B449,0,AQ$320*2+1),$AN$291:$AO$312,2,0)&amp;","&amp;OFFSET($B449,0,AQ$320*2+2)&amp;"}")</f>
        <v>{5163001,200}</v>
      </c>
      <c r="AR449" s="23" t="str">
        <f ca="1" t="shared" ref="AR449:AR512" si="145">IF(OFFSET($B449,0,AR$320*2+1)="","","{"&amp;VLOOKUP(OFFSET($B449,0,AR$320*2+1),$AN$291:$AO$297,2,0)&amp;","&amp;OFFSET($B449,0,AR$320*2+2)&amp;"}")</f>
        <v>{2,240}</v>
      </c>
      <c r="AS449" s="23" t="str">
        <f ca="1" t="shared" ref="AS449:AS512" si="146">IF(OFFSET($B449,0,AS$320*2+1)="","","{"&amp;VLOOKUP(OFFSET($B449,0,AS$320*2+1),$AN$291:$AO$312,2,0)&amp;","&amp;OFFSET($B449,0,AS$320*2+2)&amp;"}")</f>
        <v>{5143001,250}</v>
      </c>
      <c r="AT449" s="23" t="str">
        <f ca="1" t="shared" si="134"/>
        <v>{5523001,200}</v>
      </c>
      <c r="AU449" s="23" t="str">
        <f ca="1" t="shared" si="121"/>
        <v/>
      </c>
      <c r="AV449" s="23" t="str">
        <f ca="1" t="shared" ref="AV449:AV512" si="147">IF(OFFSET($B449,0,AV$320*2+1)="","","{"&amp;VLOOKUP(OFFSET($B449,0,AV$320*2+1),$AN$291:$AO$312,2,0)&amp;","&amp;OFFSET($B449,0,AV$320*2+2)&amp;"}")</f>
        <v>{50007,25}</v>
      </c>
      <c r="AW449" s="23" t="str">
        <f ca="1" t="shared" ref="AW449:AW512" si="148">IF(OFFSET($B449,0,AW$320*2+1)="","","{"&amp;VLOOKUP(OFFSET($B449,0,AW$320*2+1),$AN$291:$AO$297,2,0)&amp;","&amp;OFFSET($B449,0,AW$320*2+2)&amp;"}")</f>
        <v/>
      </c>
      <c r="AX449" s="23" t="str">
        <f ca="1" t="shared" ref="AX449:AX512" si="149">IF(OFFSET($B449,0,AX$320*2+1)="","","{"&amp;VLOOKUP(OFFSET($B449,0,AX$320*2+1),$AN$291:$AO$300,2,0)&amp;","&amp;OFFSET($B449,0,AX$320*2+2)&amp;"}")</f>
        <v>{2,360}</v>
      </c>
      <c r="AY449" s="23" t="str">
        <f ca="1" t="shared" ref="AY449:AY512" si="150">IF(OFFSET($B449,0,AY$320*2+1)="","","{"&amp;VLOOKUP(OFFSET($B449,0,AY$320*2+1),$AN$291:$AO$300,2,0)&amp;","&amp;OFFSET($B449,0,AY$320*2+2)&amp;"}")</f>
        <v>{5204001,5}</v>
      </c>
      <c r="AZ449" s="23" t="str">
        <f ca="1" t="shared" si="138"/>
        <v>{5203001,30}</v>
      </c>
      <c r="BA449" s="23" t="str">
        <f ca="1" t="shared" ref="BA449:BA512" si="151">IF(OFFSET($B449,0,BA$320*2+1)="","","{"&amp;VLOOKUP(OFFSET($B449,0,BA$320*2+1),$AN$291:$AO$316,2,0)&amp;","&amp;OFFSET($B449,0,BA$320*2+2)&amp;"}")</f>
        <v>{1,150}</v>
      </c>
      <c r="BB449" s="23" t="s">
        <v>401</v>
      </c>
      <c r="BC449" s="23" t="str">
        <f ca="1" t="shared" ref="BC449:BC512" si="152">IF(OFFSET($B449,0,BC$320*2+1)="","","{"&amp;VLOOKUP(OFFSET($B449,0,BC$320*2+1),$AN$291:$AO$313,2,0)&amp;","&amp;OFFSET($B449,0,BC$320*2+2)&amp;"}")</f>
        <v>{5163001,300}</v>
      </c>
      <c r="BD449" s="23" t="str">
        <f ca="1" t="shared" si="131"/>
        <v/>
      </c>
      <c r="BE449" s="23" t="str">
        <f ca="1" t="shared" si="135"/>
        <v>{50039,1}</v>
      </c>
      <c r="BF449" s="23" t="str">
        <f ca="1" t="shared" ref="BF449:BF512" si="153">IF(OFFSET($B449,0,BF$320*2+1)="","","{"&amp;VLOOKUP(OFFSET($B449,0,BF$320*2+1),$AN$291:$AO$316,2,0)&amp;","&amp;OFFSET($B449,0,BF$320*2+2)&amp;"}")</f>
        <v>{2,600}</v>
      </c>
      <c r="BI449" s="23" t="str">
        <f ca="1" t="shared" ref="BI449:BI512" si="154">"["&amp;_xlfn.TEXTJOIN(",",1,$AN449:$AR449)&amp;"]"</f>
        <v>[{11,5},{50005,15},{5163001,200},{2,240}]</v>
      </c>
      <c r="BJ449" s="23" t="str">
        <f ca="1" t="shared" ref="BJ449:BJ512" si="155">"["&amp;_xlfn.TEXTJOIN(",",1,$AS449:$AY449)&amp;"]"</f>
        <v>[{5143001,250},{5523001,200},{50007,25},{2,360},{5204001,5}]</v>
      </c>
      <c r="BK449" s="23" t="str">
        <f ca="1" t="shared" ref="BK449:BK512" si="156">"["&amp;_xlfn.TEXTJOIN(",",1,$AZ449:$BG449)&amp;"]"</f>
        <v>[{5203001,30},{1,150},{5523001,300},{5163001,300},{50039,1},{2,600}]</v>
      </c>
      <c r="BL449" s="23">
        <f ca="1" t="shared" ref="BL449:BL512" si="157">5-COUNTBLANK(AN449:AR449)</f>
        <v>4</v>
      </c>
      <c r="BM449" s="23">
        <f ca="1" t="shared" ref="BM449:BM512" si="158">7-COUNTBLANK(AS449:AY449)</f>
        <v>5</v>
      </c>
      <c r="BN449" s="23">
        <f ca="1" t="shared" si="122"/>
        <v>6</v>
      </c>
      <c r="BP449" s="71" t="s">
        <v>374</v>
      </c>
      <c r="BQ449" s="71">
        <v>150</v>
      </c>
    </row>
    <row r="450" ht="16.5" spans="2:69">
      <c r="B450" s="23">
        <v>130</v>
      </c>
      <c r="C450" s="12" t="inlineStr">
        <is>
          <t>梦愿水晶</t>
        </is>
      </c>
      <c r="D450" s="12">
        <v>1</v>
      </c>
      <c r="E450" s="71"/>
      <c r="F450" s="71"/>
      <c r="G450" s="71" t="str">
        <f t="shared" si="124"/>
        <v>裤子图纸</v>
      </c>
      <c r="H450" s="71">
        <v>15</v>
      </c>
      <c r="I450" s="71" t="str">
        <f t="shared" si="129"/>
        <v>控制特饮</v>
      </c>
      <c r="J450" s="71">
        <v>200</v>
      </c>
      <c r="K450" s="71" t="s">
        <v>96</v>
      </c>
      <c r="L450" s="71">
        <v>240</v>
      </c>
      <c r="M450" s="71" t="str">
        <f t="shared" si="132"/>
        <v>射手特饮</v>
      </c>
      <c r="N450" s="71">
        <f t="shared" si="136"/>
        <v>250</v>
      </c>
      <c r="O450" s="71" t="s">
        <v>316</v>
      </c>
      <c r="P450" s="71">
        <v>200</v>
      </c>
      <c r="Q450" s="71"/>
      <c r="R450" s="71"/>
      <c r="S450" s="72" t="str">
        <f t="shared" si="125"/>
        <v>手套图纸</v>
      </c>
      <c r="T450" s="71">
        <v>25</v>
      </c>
      <c r="U450" s="71" t="str">
        <f t="shared" si="126"/>
        <v>灵感获取令</v>
      </c>
      <c r="V450" s="71">
        <f t="shared" si="127"/>
        <v>1</v>
      </c>
      <c r="W450" s="71" t="s">
        <v>96</v>
      </c>
      <c r="X450" s="71">
        <f t="shared" si="141"/>
        <v>360</v>
      </c>
      <c r="Y450" s="71"/>
      <c r="Z450" s="71"/>
      <c r="AA450" s="71" t="str">
        <f t="shared" si="133"/>
        <v>传说基因罐</v>
      </c>
      <c r="AB450" s="71">
        <f t="shared" si="137"/>
        <v>3</v>
      </c>
      <c r="AC450" s="71" t="s">
        <v>374</v>
      </c>
      <c r="AD450" s="71">
        <v>150</v>
      </c>
      <c r="AE450" s="72" t="str">
        <f t="shared" si="130"/>
        <v>控制特饮</v>
      </c>
      <c r="AF450" s="71">
        <v>300</v>
      </c>
      <c r="AG450" s="71"/>
      <c r="AH450" s="71"/>
      <c r="AI450" s="71" t="s">
        <v>390</v>
      </c>
      <c r="AJ450" s="71">
        <v>1</v>
      </c>
      <c r="AK450" s="71" t="s">
        <v>96</v>
      </c>
      <c r="AL450" s="71">
        <f t="shared" si="142"/>
        <v>600</v>
      </c>
      <c r="AN450" s="23" t="str">
        <f ca="1" t="shared" si="128"/>
        <v>{35,1}</v>
      </c>
      <c r="AO450" s="23" t="str">
        <f ca="1" t="shared" si="123"/>
        <v/>
      </c>
      <c r="AP450" s="23" t="str">
        <f ca="1" t="shared" si="143"/>
        <v>{50006,15}</v>
      </c>
      <c r="AQ450" s="23" t="str">
        <f ca="1" t="shared" si="144"/>
        <v>{5153001,200}</v>
      </c>
      <c r="AR450" s="23" t="str">
        <f ca="1" t="shared" si="145"/>
        <v>{2,240}</v>
      </c>
      <c r="AS450" s="23" t="str">
        <f ca="1" t="shared" si="146"/>
        <v>{5133001,250}</v>
      </c>
      <c r="AT450" s="23" t="str">
        <f ca="1" t="shared" si="134"/>
        <v>{5523001,200}</v>
      </c>
      <c r="AU450" s="23" t="str">
        <f ca="1" t="shared" si="121"/>
        <v/>
      </c>
      <c r="AV450" s="23" t="str">
        <f ca="1" t="shared" si="147"/>
        <v>{50008,25}</v>
      </c>
      <c r="AW450" s="23" t="str">
        <f ca="1" t="shared" si="148"/>
        <v>{9,1}</v>
      </c>
      <c r="AX450" s="23" t="str">
        <f ca="1" t="shared" si="149"/>
        <v>{2,360}</v>
      </c>
      <c r="AY450" s="23" t="str">
        <f ca="1" t="shared" si="150"/>
        <v>{5204001,5}</v>
      </c>
      <c r="AZ450" s="23" t="str">
        <f ca="1" t="shared" si="138"/>
        <v>{5205001,3}</v>
      </c>
      <c r="BA450" s="23" t="str">
        <f ca="1" t="shared" si="151"/>
        <v>{1,150}</v>
      </c>
      <c r="BB450" s="23" t="s">
        <v>401</v>
      </c>
      <c r="BC450" s="23" t="str">
        <f ca="1" t="shared" si="152"/>
        <v>{5153001,300}</v>
      </c>
      <c r="BD450" s="23" t="str">
        <f ca="1" t="shared" si="131"/>
        <v/>
      </c>
      <c r="BE450" s="23" t="str">
        <f ca="1" t="shared" si="135"/>
        <v>{50039,1}</v>
      </c>
      <c r="BF450" s="23" t="str">
        <f ca="1" t="shared" si="153"/>
        <v>{2,600}</v>
      </c>
      <c r="BI450" s="23" t="str">
        <f ca="1" t="shared" si="154"/>
        <v>[{35,1},{50006,15},{5153001,200},{2,240}]</v>
      </c>
      <c r="BJ450" s="23" t="str">
        <f ca="1" t="shared" si="155"/>
        <v>[{5133001,250},{5523001,200},{50008,25},{9,1},{2,360},{5204001,5}]</v>
      </c>
      <c r="BK450" s="23" t="str">
        <f ca="1" t="shared" si="156"/>
        <v>[{5205001,3},{1,150},{5523001,300},{5153001,300},{50039,1},{2,600}]</v>
      </c>
      <c r="BL450" s="23">
        <f ca="1" t="shared" si="157"/>
        <v>4</v>
      </c>
      <c r="BM450" s="23">
        <f ca="1" t="shared" si="158"/>
        <v>6</v>
      </c>
      <c r="BN450" s="23">
        <f ca="1" t="shared" si="122"/>
        <v>6</v>
      </c>
      <c r="BP450" s="71" t="s">
        <v>374</v>
      </c>
      <c r="BQ450" s="71">
        <v>150</v>
      </c>
    </row>
    <row r="451" ht="16.5" spans="2:69">
      <c r="B451" s="23">
        <v>131</v>
      </c>
      <c r="C451" s="12"/>
      <c r="D451" s="12"/>
      <c r="E451" s="71"/>
      <c r="F451" s="71"/>
      <c r="G451" s="71" t="str">
        <f t="shared" si="124"/>
        <v>鞋子图纸</v>
      </c>
      <c r="H451" s="71">
        <v>15</v>
      </c>
      <c r="I451" s="71" t="str">
        <f t="shared" si="129"/>
        <v>射手特饮</v>
      </c>
      <c r="J451" s="71">
        <v>200</v>
      </c>
      <c r="K451" s="71" t="s">
        <v>96</v>
      </c>
      <c r="L451" s="71">
        <v>240</v>
      </c>
      <c r="M451" s="71" t="str">
        <f t="shared" si="132"/>
        <v>毒系特饮</v>
      </c>
      <c r="N451" s="71">
        <f t="shared" si="136"/>
        <v>250</v>
      </c>
      <c r="O451" s="71" t="s">
        <v>316</v>
      </c>
      <c r="P451" s="71">
        <v>200</v>
      </c>
      <c r="Q451" s="71"/>
      <c r="R451" s="71"/>
      <c r="S451" s="72" t="str">
        <f t="shared" si="125"/>
        <v>头盔图纸</v>
      </c>
      <c r="T451" s="71">
        <v>25</v>
      </c>
      <c r="U451" s="71" t="str">
        <f t="shared" si="126"/>
        <v/>
      </c>
      <c r="V451" s="71">
        <f t="shared" si="127"/>
        <v>0</v>
      </c>
      <c r="W451" s="71" t="s">
        <v>96</v>
      </c>
      <c r="X451" s="71">
        <f t="shared" si="141"/>
        <v>360</v>
      </c>
      <c r="Y451" s="71"/>
      <c r="Z451" s="71"/>
      <c r="AA451" s="71" t="str">
        <f t="shared" si="133"/>
        <v>基因罐</v>
      </c>
      <c r="AB451" s="71">
        <f t="shared" si="137"/>
        <v>30</v>
      </c>
      <c r="AC451" s="71" t="s">
        <v>374</v>
      </c>
      <c r="AD451" s="71">
        <v>150</v>
      </c>
      <c r="AE451" s="72" t="str">
        <f t="shared" si="130"/>
        <v>射手特饮</v>
      </c>
      <c r="AF451" s="71">
        <v>300</v>
      </c>
      <c r="AG451" s="71"/>
      <c r="AH451" s="71"/>
      <c r="AI451" s="71" t="s">
        <v>390</v>
      </c>
      <c r="AJ451" s="71">
        <v>1</v>
      </c>
      <c r="AK451" s="71" t="s">
        <v>96</v>
      </c>
      <c r="AL451" s="71">
        <f t="shared" si="142"/>
        <v>600</v>
      </c>
      <c r="AN451" s="23" t="str">
        <f ca="1" t="shared" si="128"/>
        <v>{11,5}</v>
      </c>
      <c r="AO451" s="23" t="str">
        <f ca="1" t="shared" si="123"/>
        <v/>
      </c>
      <c r="AP451" s="23" t="str">
        <f ca="1" t="shared" si="143"/>
        <v>{50007,15}</v>
      </c>
      <c r="AQ451" s="23" t="str">
        <f ca="1" t="shared" si="144"/>
        <v>{5133001,200}</v>
      </c>
      <c r="AR451" s="23" t="str">
        <f ca="1" t="shared" si="145"/>
        <v>{2,240}</v>
      </c>
      <c r="AS451" s="23" t="str">
        <f ca="1" t="shared" si="146"/>
        <v>{5163001,250}</v>
      </c>
      <c r="AT451" s="23" t="str">
        <f ca="1" t="shared" si="134"/>
        <v>{5523001,200}</v>
      </c>
      <c r="AU451" s="23" t="str">
        <f ca="1" t="shared" si="121"/>
        <v/>
      </c>
      <c r="AV451" s="23" t="str">
        <f ca="1" t="shared" si="147"/>
        <v>{50003,25}</v>
      </c>
      <c r="AW451" s="23" t="str">
        <f ca="1" t="shared" si="148"/>
        <v/>
      </c>
      <c r="AX451" s="23" t="str">
        <f ca="1" t="shared" si="149"/>
        <v>{2,360}</v>
      </c>
      <c r="AY451" s="23" t="str">
        <f ca="1" t="shared" si="150"/>
        <v>{5204001,5}</v>
      </c>
      <c r="AZ451" s="23" t="str">
        <f ca="1" t="shared" si="138"/>
        <v>{5203001,30}</v>
      </c>
      <c r="BA451" s="23" t="str">
        <f ca="1" t="shared" si="151"/>
        <v>{1,150}</v>
      </c>
      <c r="BB451" s="23" t="s">
        <v>401</v>
      </c>
      <c r="BC451" s="23" t="str">
        <f ca="1" t="shared" si="152"/>
        <v>{5133001,300}</v>
      </c>
      <c r="BD451" s="23" t="str">
        <f ca="1" t="shared" si="131"/>
        <v/>
      </c>
      <c r="BE451" s="23" t="str">
        <f ca="1" t="shared" si="135"/>
        <v>{50039,1}</v>
      </c>
      <c r="BF451" s="23" t="str">
        <f ca="1" t="shared" si="153"/>
        <v>{2,600}</v>
      </c>
      <c r="BI451" s="23" t="str">
        <f ca="1" t="shared" si="154"/>
        <v>[{11,5},{50007,15},{5133001,200},{2,240}]</v>
      </c>
      <c r="BJ451" s="23" t="str">
        <f ca="1" t="shared" si="155"/>
        <v>[{5163001,250},{5523001,200},{50003,25},{2,360},{5204001,5}]</v>
      </c>
      <c r="BK451" s="23" t="str">
        <f ca="1" t="shared" si="156"/>
        <v>[{5203001,30},{1,150},{5523001,300},{5133001,300},{50039,1},{2,600}]</v>
      </c>
      <c r="BL451" s="23">
        <f ca="1" t="shared" si="157"/>
        <v>4</v>
      </c>
      <c r="BM451" s="23">
        <f ca="1" t="shared" si="158"/>
        <v>5</v>
      </c>
      <c r="BN451" s="23">
        <f ca="1" t="shared" si="122"/>
        <v>6</v>
      </c>
      <c r="BP451" s="71" t="s">
        <v>374</v>
      </c>
      <c r="BQ451" s="71">
        <v>150</v>
      </c>
    </row>
    <row r="452" ht="16.5" spans="2:69">
      <c r="B452" s="23">
        <v>132</v>
      </c>
      <c r="C452" s="12"/>
      <c r="D452" s="12"/>
      <c r="E452" s="71"/>
      <c r="F452" s="71"/>
      <c r="G452" s="71" t="str">
        <f t="shared" si="124"/>
        <v>手套图纸</v>
      </c>
      <c r="H452" s="71">
        <v>15</v>
      </c>
      <c r="I452" s="71" t="str">
        <f t="shared" si="129"/>
        <v>法师特饮</v>
      </c>
      <c r="J452" s="71">
        <v>200</v>
      </c>
      <c r="K452" s="71" t="s">
        <v>96</v>
      </c>
      <c r="L452" s="71">
        <v>240</v>
      </c>
      <c r="M452" s="71" t="str">
        <f t="shared" si="132"/>
        <v>控制特饮</v>
      </c>
      <c r="N452" s="71">
        <f t="shared" si="136"/>
        <v>250</v>
      </c>
      <c r="O452" s="71" t="s">
        <v>316</v>
      </c>
      <c r="P452" s="71">
        <v>200</v>
      </c>
      <c r="Q452" s="71"/>
      <c r="R452" s="71"/>
      <c r="S452" s="72" t="str">
        <f t="shared" si="125"/>
        <v>衣服图纸</v>
      </c>
      <c r="T452" s="71">
        <v>25</v>
      </c>
      <c r="U452" s="71" t="str">
        <f t="shared" si="126"/>
        <v/>
      </c>
      <c r="V452" s="71">
        <f t="shared" si="127"/>
        <v>0</v>
      </c>
      <c r="W452" s="71" t="s">
        <v>96</v>
      </c>
      <c r="X452" s="71">
        <f t="shared" si="141"/>
        <v>360</v>
      </c>
      <c r="Y452" s="71"/>
      <c r="Z452" s="71"/>
      <c r="AA452" s="71" t="str">
        <f t="shared" si="133"/>
        <v>基因罐</v>
      </c>
      <c r="AB452" s="71">
        <f t="shared" si="137"/>
        <v>30</v>
      </c>
      <c r="AC452" s="71" t="s">
        <v>374</v>
      </c>
      <c r="AD452" s="71">
        <v>150</v>
      </c>
      <c r="AE452" s="72" t="str">
        <f t="shared" si="130"/>
        <v>战士特饮</v>
      </c>
      <c r="AF452" s="71">
        <v>300</v>
      </c>
      <c r="AG452" s="71"/>
      <c r="AH452" s="71"/>
      <c r="AI452" s="71" t="s">
        <v>390</v>
      </c>
      <c r="AJ452" s="71">
        <v>1</v>
      </c>
      <c r="AK452" s="71" t="s">
        <v>96</v>
      </c>
      <c r="AL452" s="71">
        <f t="shared" si="142"/>
        <v>600</v>
      </c>
      <c r="AN452" s="23" t="str">
        <f ca="1" t="shared" si="128"/>
        <v>{11,5}</v>
      </c>
      <c r="AO452" s="23" t="str">
        <f ca="1" t="shared" si="123"/>
        <v/>
      </c>
      <c r="AP452" s="23" t="str">
        <f ca="1" t="shared" si="143"/>
        <v>{50008,15}</v>
      </c>
      <c r="AQ452" s="23" t="str">
        <f ca="1" t="shared" si="144"/>
        <v>{5123001,200}</v>
      </c>
      <c r="AR452" s="23" t="str">
        <f ca="1" t="shared" si="145"/>
        <v>{2,240}</v>
      </c>
      <c r="AS452" s="23" t="str">
        <f ca="1" t="shared" si="146"/>
        <v>{5153001,250}</v>
      </c>
      <c r="AT452" s="23" t="str">
        <f ca="1" t="shared" si="134"/>
        <v>{5523001,200}</v>
      </c>
      <c r="AU452" s="23" t="str">
        <f ca="1" t="shared" ref="AU452:AU515" si="159">IF(OFFSET($B452,0,AU$320*2+1)="","","{"&amp;VLOOKUP(OFFSET($B452,0,AU$320*2+1),$AN$291:$AO$306,2,0)&amp;","&amp;OFFSET($B452,0,AU$320*2+2)&amp;"}")</f>
        <v/>
      </c>
      <c r="AV452" s="23" t="str">
        <f ca="1" t="shared" si="147"/>
        <v>{50004,25}</v>
      </c>
      <c r="AW452" s="23" t="str">
        <f ca="1" t="shared" si="148"/>
        <v/>
      </c>
      <c r="AX452" s="23" t="str">
        <f ca="1" t="shared" si="149"/>
        <v>{2,360}</v>
      </c>
      <c r="AY452" s="23" t="str">
        <f ca="1" t="shared" si="150"/>
        <v>{5204001,5}</v>
      </c>
      <c r="AZ452" s="23" t="str">
        <f ca="1" t="shared" si="138"/>
        <v>{5203001,30}</v>
      </c>
      <c r="BA452" s="23" t="str">
        <f ca="1" t="shared" si="151"/>
        <v>{1,150}</v>
      </c>
      <c r="BB452" s="23" t="s">
        <v>401</v>
      </c>
      <c r="BC452" s="23" t="str">
        <f ca="1" t="shared" si="152"/>
        <v>{5113001,300}</v>
      </c>
      <c r="BD452" s="23" t="str">
        <f ca="1" t="shared" si="131"/>
        <v/>
      </c>
      <c r="BE452" s="23" t="str">
        <f ca="1" t="shared" si="135"/>
        <v>{50039,1}</v>
      </c>
      <c r="BF452" s="23" t="str">
        <f ca="1" t="shared" si="153"/>
        <v>{2,600}</v>
      </c>
      <c r="BI452" s="23" t="str">
        <f ca="1" t="shared" si="154"/>
        <v>[{11,5},{50008,15},{5123001,200},{2,240}]</v>
      </c>
      <c r="BJ452" s="23" t="str">
        <f ca="1" t="shared" si="155"/>
        <v>[{5153001,250},{5523001,200},{50004,25},{2,360},{5204001,5}]</v>
      </c>
      <c r="BK452" s="23" t="str">
        <f ca="1" t="shared" si="156"/>
        <v>[{5203001,30},{1,150},{5523001,300},{5113001,300},{50039,1},{2,600}]</v>
      </c>
      <c r="BL452" s="23">
        <f ca="1" t="shared" si="157"/>
        <v>4</v>
      </c>
      <c r="BM452" s="23">
        <f ca="1" t="shared" si="158"/>
        <v>5</v>
      </c>
      <c r="BN452" s="23">
        <f ca="1" t="shared" ref="BN452:BN515" si="160">7-COUNTBLANK(AZ452:BF452)</f>
        <v>6</v>
      </c>
      <c r="BP452" s="71" t="s">
        <v>374</v>
      </c>
      <c r="BQ452" s="71">
        <v>150</v>
      </c>
    </row>
    <row r="453" ht="16.5" spans="2:69">
      <c r="B453" s="23">
        <v>133</v>
      </c>
      <c r="C453" s="12"/>
      <c r="D453" s="12"/>
      <c r="E453" s="71"/>
      <c r="F453" s="71"/>
      <c r="G453" s="71" t="str">
        <f t="shared" si="124"/>
        <v>头盔图纸</v>
      </c>
      <c r="H453" s="71">
        <v>15</v>
      </c>
      <c r="I453" s="71" t="str">
        <f t="shared" si="129"/>
        <v>辅助特饮</v>
      </c>
      <c r="J453" s="71">
        <v>200</v>
      </c>
      <c r="K453" s="71" t="s">
        <v>96</v>
      </c>
      <c r="L453" s="71">
        <v>240</v>
      </c>
      <c r="M453" s="71" t="str">
        <f t="shared" si="132"/>
        <v>战士特饮</v>
      </c>
      <c r="N453" s="71">
        <f t="shared" si="136"/>
        <v>250</v>
      </c>
      <c r="O453" s="71" t="s">
        <v>316</v>
      </c>
      <c r="P453" s="71">
        <v>200</v>
      </c>
      <c r="Q453" s="71"/>
      <c r="R453" s="71"/>
      <c r="S453" s="72" t="str">
        <f t="shared" si="125"/>
        <v>护臂图纸</v>
      </c>
      <c r="T453" s="71">
        <v>25</v>
      </c>
      <c r="U453" s="71" t="str">
        <f t="shared" si="126"/>
        <v/>
      </c>
      <c r="V453" s="71">
        <f t="shared" si="127"/>
        <v>0</v>
      </c>
      <c r="W453" s="71" t="s">
        <v>96</v>
      </c>
      <c r="X453" s="71">
        <f t="shared" si="141"/>
        <v>360</v>
      </c>
      <c r="Y453" s="71"/>
      <c r="Z453" s="71"/>
      <c r="AA453" s="71" t="str">
        <f t="shared" si="133"/>
        <v>基因罐</v>
      </c>
      <c r="AB453" s="71">
        <f t="shared" si="137"/>
        <v>30</v>
      </c>
      <c r="AC453" s="71" t="s">
        <v>374</v>
      </c>
      <c r="AD453" s="71">
        <v>150</v>
      </c>
      <c r="AE453" s="72" t="str">
        <f t="shared" si="130"/>
        <v>法师特饮</v>
      </c>
      <c r="AF453" s="71">
        <v>300</v>
      </c>
      <c r="AG453" s="71"/>
      <c r="AH453" s="71"/>
      <c r="AI453" s="71" t="s">
        <v>390</v>
      </c>
      <c r="AJ453" s="71">
        <v>1</v>
      </c>
      <c r="AK453" s="71" t="s">
        <v>96</v>
      </c>
      <c r="AL453" s="71">
        <f t="shared" si="142"/>
        <v>600</v>
      </c>
      <c r="AN453" s="23" t="str">
        <f ca="1" t="shared" si="128"/>
        <v>{11,5}</v>
      </c>
      <c r="AO453" s="23" t="str">
        <f ca="1" t="shared" si="123"/>
        <v/>
      </c>
      <c r="AP453" s="23" t="str">
        <f ca="1" t="shared" si="143"/>
        <v>{50003,15}</v>
      </c>
      <c r="AQ453" s="23" t="str">
        <f ca="1" t="shared" si="144"/>
        <v>{5143001,200}</v>
      </c>
      <c r="AR453" s="23" t="str">
        <f ca="1" t="shared" si="145"/>
        <v>{2,240}</v>
      </c>
      <c r="AS453" s="23" t="str">
        <f ca="1" t="shared" si="146"/>
        <v>{5113001,250}</v>
      </c>
      <c r="AT453" s="23" t="str">
        <f ca="1" t="shared" si="134"/>
        <v>{5523001,200}</v>
      </c>
      <c r="AU453" s="23" t="str">
        <f ca="1" t="shared" si="159"/>
        <v/>
      </c>
      <c r="AV453" s="23" t="str">
        <f ca="1" t="shared" si="147"/>
        <v>{50005,25}</v>
      </c>
      <c r="AW453" s="23" t="str">
        <f ca="1" t="shared" si="148"/>
        <v/>
      </c>
      <c r="AX453" s="23" t="str">
        <f ca="1" t="shared" si="149"/>
        <v>{2,360}</v>
      </c>
      <c r="AY453" s="23" t="str">
        <f ca="1" t="shared" si="150"/>
        <v>{5204001,5}</v>
      </c>
      <c r="AZ453" s="23" t="str">
        <f ca="1" t="shared" si="138"/>
        <v>{5203001,30}</v>
      </c>
      <c r="BA453" s="23" t="str">
        <f ca="1" t="shared" si="151"/>
        <v>{1,150}</v>
      </c>
      <c r="BB453" s="23" t="s">
        <v>401</v>
      </c>
      <c r="BC453" s="23" t="str">
        <f ca="1" t="shared" si="152"/>
        <v>{5123001,300}</v>
      </c>
      <c r="BD453" s="23" t="str">
        <f ca="1" t="shared" si="131"/>
        <v/>
      </c>
      <c r="BE453" s="23" t="str">
        <f ca="1" t="shared" si="135"/>
        <v>{50039,1}</v>
      </c>
      <c r="BF453" s="23" t="str">
        <f ca="1" t="shared" si="153"/>
        <v>{2,600}</v>
      </c>
      <c r="BI453" s="23" t="str">
        <f ca="1" t="shared" si="154"/>
        <v>[{11,5},{50003,15},{5143001,200},{2,240}]</v>
      </c>
      <c r="BJ453" s="23" t="str">
        <f ca="1" t="shared" si="155"/>
        <v>[{5113001,250},{5523001,200},{50005,25},{2,360},{5204001,5}]</v>
      </c>
      <c r="BK453" s="23" t="str">
        <f ca="1" t="shared" si="156"/>
        <v>[{5203001,30},{1,150},{5523001,300},{5123001,300},{50039,1},{2,600}]</v>
      </c>
      <c r="BL453" s="23">
        <f ca="1" t="shared" si="157"/>
        <v>4</v>
      </c>
      <c r="BM453" s="23">
        <f ca="1" t="shared" si="158"/>
        <v>5</v>
      </c>
      <c r="BN453" s="23">
        <f ca="1" t="shared" si="160"/>
        <v>6</v>
      </c>
      <c r="BP453" s="71" t="s">
        <v>374</v>
      </c>
      <c r="BQ453" s="71">
        <v>150</v>
      </c>
    </row>
    <row r="454" ht="16.5" spans="2:69">
      <c r="B454" s="23">
        <v>134</v>
      </c>
      <c r="C454" s="12"/>
      <c r="D454" s="12"/>
      <c r="E454" s="71"/>
      <c r="F454" s="71"/>
      <c r="G454" s="71" t="str">
        <f t="shared" si="124"/>
        <v>衣服图纸</v>
      </c>
      <c r="H454" s="71">
        <v>15</v>
      </c>
      <c r="I454" s="71" t="str">
        <f t="shared" si="129"/>
        <v>战士特饮</v>
      </c>
      <c r="J454" s="71">
        <v>200</v>
      </c>
      <c r="K454" s="71" t="s">
        <v>96</v>
      </c>
      <c r="L454" s="71">
        <v>240</v>
      </c>
      <c r="M454" s="71" t="str">
        <f t="shared" si="132"/>
        <v>法师特饮</v>
      </c>
      <c r="N454" s="71">
        <f t="shared" si="136"/>
        <v>250</v>
      </c>
      <c r="O454" s="71" t="s">
        <v>316</v>
      </c>
      <c r="P454" s="71">
        <v>200</v>
      </c>
      <c r="Q454" s="71"/>
      <c r="R454" s="71"/>
      <c r="S454" s="72" t="str">
        <f t="shared" si="125"/>
        <v>裤子图纸</v>
      </c>
      <c r="T454" s="71">
        <v>25</v>
      </c>
      <c r="U454" s="71" t="str">
        <f t="shared" si="126"/>
        <v/>
      </c>
      <c r="V454" s="71">
        <f t="shared" si="127"/>
        <v>0</v>
      </c>
      <c r="W454" s="71" t="s">
        <v>96</v>
      </c>
      <c r="X454" s="71">
        <f t="shared" si="141"/>
        <v>360</v>
      </c>
      <c r="Y454" s="71"/>
      <c r="Z454" s="71"/>
      <c r="AA454" s="71" t="str">
        <f t="shared" si="133"/>
        <v>基因罐</v>
      </c>
      <c r="AB454" s="71">
        <f t="shared" si="137"/>
        <v>30</v>
      </c>
      <c r="AC454" s="71" t="s">
        <v>374</v>
      </c>
      <c r="AD454" s="71">
        <v>150</v>
      </c>
      <c r="AE454" s="72" t="str">
        <f t="shared" si="130"/>
        <v>辅助特饮</v>
      </c>
      <c r="AF454" s="71">
        <v>300</v>
      </c>
      <c r="AG454" s="71"/>
      <c r="AH454" s="71"/>
      <c r="AI454" s="71" t="s">
        <v>390</v>
      </c>
      <c r="AJ454" s="71">
        <v>1</v>
      </c>
      <c r="AK454" s="71" t="s">
        <v>96</v>
      </c>
      <c r="AL454" s="71">
        <f t="shared" si="142"/>
        <v>600</v>
      </c>
      <c r="AN454" s="23" t="str">
        <f ca="1" t="shared" si="128"/>
        <v>{11,5}</v>
      </c>
      <c r="AO454" s="23" t="str">
        <f ca="1" t="shared" ref="AO454:AO517" si="161">IF(OFFSET($B454,0,AO$320*2+1)="","","{"&amp;VLOOKUP(OFFSET($B454,0,AO$320*2+1),$AN$291:$AO$297,2,0)&amp;","&amp;OFFSET($B454,0,AO$320*2+2)&amp;"}")</f>
        <v/>
      </c>
      <c r="AP454" s="23" t="str">
        <f ca="1" t="shared" si="143"/>
        <v>{50004,15}</v>
      </c>
      <c r="AQ454" s="23" t="str">
        <f ca="1" t="shared" si="144"/>
        <v>{5113001,200}</v>
      </c>
      <c r="AR454" s="23" t="str">
        <f ca="1" t="shared" si="145"/>
        <v>{2,240}</v>
      </c>
      <c r="AS454" s="23" t="str">
        <f ca="1" t="shared" si="146"/>
        <v>{5123001,250}</v>
      </c>
      <c r="AT454" s="23" t="str">
        <f ca="1" t="shared" si="134"/>
        <v>{5523001,200}</v>
      </c>
      <c r="AU454" s="23" t="str">
        <f ca="1" t="shared" si="159"/>
        <v/>
      </c>
      <c r="AV454" s="23" t="str">
        <f ca="1" t="shared" si="147"/>
        <v>{50006,25}</v>
      </c>
      <c r="AW454" s="23" t="str">
        <f ca="1" t="shared" si="148"/>
        <v/>
      </c>
      <c r="AX454" s="23" t="str">
        <f ca="1" t="shared" si="149"/>
        <v>{2,360}</v>
      </c>
      <c r="AY454" s="23" t="str">
        <f ca="1" t="shared" si="150"/>
        <v>{5204001,5}</v>
      </c>
      <c r="AZ454" s="23" t="str">
        <f ca="1" t="shared" si="138"/>
        <v>{5203001,30}</v>
      </c>
      <c r="BA454" s="23" t="str">
        <f ca="1" t="shared" si="151"/>
        <v>{1,150}</v>
      </c>
      <c r="BB454" s="23" t="s">
        <v>401</v>
      </c>
      <c r="BC454" s="23" t="str">
        <f ca="1" t="shared" si="152"/>
        <v>{5143001,300}</v>
      </c>
      <c r="BD454" s="23" t="str">
        <f ca="1" t="shared" si="131"/>
        <v/>
      </c>
      <c r="BE454" s="23" t="str">
        <f ca="1" t="shared" si="135"/>
        <v>{50039,1}</v>
      </c>
      <c r="BF454" s="23" t="str">
        <f ca="1" t="shared" si="153"/>
        <v>{2,600}</v>
      </c>
      <c r="BI454" s="23" t="str">
        <f ca="1" t="shared" si="154"/>
        <v>[{11,5},{50004,15},{5113001,200},{2,240}]</v>
      </c>
      <c r="BJ454" s="23" t="str">
        <f ca="1" t="shared" si="155"/>
        <v>[{5123001,250},{5523001,200},{50006,25},{2,360},{5204001,5}]</v>
      </c>
      <c r="BK454" s="23" t="str">
        <f ca="1" t="shared" si="156"/>
        <v>[{5203001,30},{1,150},{5523001,300},{5143001,300},{50039,1},{2,600}]</v>
      </c>
      <c r="BL454" s="23">
        <f ca="1" t="shared" si="157"/>
        <v>4</v>
      </c>
      <c r="BM454" s="23">
        <f ca="1" t="shared" si="158"/>
        <v>5</v>
      </c>
      <c r="BN454" s="23">
        <f ca="1" t="shared" si="160"/>
        <v>6</v>
      </c>
      <c r="BP454" s="71" t="s">
        <v>374</v>
      </c>
      <c r="BQ454" s="71">
        <v>150</v>
      </c>
    </row>
    <row r="455" ht="16.5" spans="2:69">
      <c r="B455" s="23">
        <v>135</v>
      </c>
      <c r="C455" s="12" t="inlineStr">
        <is>
          <t>梦愿水晶</t>
        </is>
      </c>
      <c r="D455" s="12">
        <v>1</v>
      </c>
      <c r="E455" s="71"/>
      <c r="F455" s="71"/>
      <c r="G455" s="71" t="str">
        <f t="shared" ref="G455:G518" si="162">G449</f>
        <v>护臂图纸</v>
      </c>
      <c r="H455" s="71">
        <v>15</v>
      </c>
      <c r="I455" s="71" t="str">
        <f t="shared" si="129"/>
        <v>毒系特饮</v>
      </c>
      <c r="J455" s="71">
        <v>200</v>
      </c>
      <c r="K455" s="71" t="s">
        <v>96</v>
      </c>
      <c r="L455" s="71">
        <v>240</v>
      </c>
      <c r="M455" s="71" t="str">
        <f t="shared" si="132"/>
        <v>辅助特饮</v>
      </c>
      <c r="N455" s="71">
        <f t="shared" si="136"/>
        <v>250</v>
      </c>
      <c r="O455" s="71" t="s">
        <v>316</v>
      </c>
      <c r="P455" s="71">
        <v>200</v>
      </c>
      <c r="Q455" s="71"/>
      <c r="R455" s="71"/>
      <c r="S455" s="72" t="str">
        <f t="shared" ref="S455:S518" si="163">S449</f>
        <v>鞋子图纸</v>
      </c>
      <c r="T455" s="71">
        <v>25</v>
      </c>
      <c r="U455" s="71" t="str">
        <f t="shared" si="126"/>
        <v>灵感获取令</v>
      </c>
      <c r="V455" s="71">
        <f t="shared" si="127"/>
        <v>1</v>
      </c>
      <c r="W455" s="71" t="s">
        <v>96</v>
      </c>
      <c r="X455" s="71">
        <f t="shared" si="141"/>
        <v>360</v>
      </c>
      <c r="Y455" s="71"/>
      <c r="Z455" s="71"/>
      <c r="AA455" s="71" t="str">
        <f t="shared" si="133"/>
        <v>传说基因罐</v>
      </c>
      <c r="AB455" s="71">
        <f t="shared" si="137"/>
        <v>3</v>
      </c>
      <c r="AC455" s="71" t="s">
        <v>374</v>
      </c>
      <c r="AD455" s="71">
        <v>150</v>
      </c>
      <c r="AE455" s="72" t="str">
        <f t="shared" si="130"/>
        <v>毒系特饮</v>
      </c>
      <c r="AF455" s="71">
        <v>300</v>
      </c>
      <c r="AG455" s="71"/>
      <c r="AH455" s="71"/>
      <c r="AI455" s="71" t="s">
        <v>390</v>
      </c>
      <c r="AJ455" s="71">
        <v>1</v>
      </c>
      <c r="AK455" s="71" t="s">
        <v>96</v>
      </c>
      <c r="AL455" s="71">
        <f t="shared" si="142"/>
        <v>600</v>
      </c>
      <c r="AN455" s="23" t="str">
        <f ca="1" t="shared" si="128"/>
        <v>{35,1}</v>
      </c>
      <c r="AO455" s="23" t="str">
        <f ca="1" t="shared" si="161"/>
        <v/>
      </c>
      <c r="AP455" s="23" t="str">
        <f ca="1" t="shared" si="143"/>
        <v>{50005,15}</v>
      </c>
      <c r="AQ455" s="23" t="str">
        <f ca="1" t="shared" si="144"/>
        <v>{5163001,200}</v>
      </c>
      <c r="AR455" s="23" t="str">
        <f ca="1" t="shared" si="145"/>
        <v>{2,240}</v>
      </c>
      <c r="AS455" s="23" t="str">
        <f ca="1" t="shared" si="146"/>
        <v>{5143001,250}</v>
      </c>
      <c r="AT455" s="23" t="str">
        <f ca="1" t="shared" si="134"/>
        <v>{5523001,200}</v>
      </c>
      <c r="AU455" s="23" t="str">
        <f ca="1" t="shared" si="159"/>
        <v/>
      </c>
      <c r="AV455" s="23" t="str">
        <f ca="1" t="shared" si="147"/>
        <v>{50007,25}</v>
      </c>
      <c r="AW455" s="23" t="str">
        <f ca="1" t="shared" si="148"/>
        <v>{9,1}</v>
      </c>
      <c r="AX455" s="23" t="str">
        <f ca="1" t="shared" si="149"/>
        <v>{2,360}</v>
      </c>
      <c r="AY455" s="23" t="str">
        <f ca="1" t="shared" si="150"/>
        <v>{5204001,5}</v>
      </c>
      <c r="AZ455" s="23" t="str">
        <f ca="1" t="shared" si="138"/>
        <v>{5205001,3}</v>
      </c>
      <c r="BA455" s="23" t="str">
        <f ca="1" t="shared" si="151"/>
        <v>{1,150}</v>
      </c>
      <c r="BB455" s="23" t="s">
        <v>401</v>
      </c>
      <c r="BC455" s="23" t="str">
        <f ca="1" t="shared" si="152"/>
        <v>{5163001,300}</v>
      </c>
      <c r="BD455" s="23" t="str">
        <f ca="1" t="shared" si="131"/>
        <v/>
      </c>
      <c r="BE455" s="23" t="str">
        <f ca="1" t="shared" si="135"/>
        <v>{50039,1}</v>
      </c>
      <c r="BF455" s="23" t="str">
        <f ca="1" t="shared" si="153"/>
        <v>{2,600}</v>
      </c>
      <c r="BI455" s="23" t="str">
        <f ca="1" t="shared" si="154"/>
        <v>[{35,1},{50005,15},{5163001,200},{2,240}]</v>
      </c>
      <c r="BJ455" s="23" t="str">
        <f ca="1" t="shared" si="155"/>
        <v>[{5143001,250},{5523001,200},{50007,25},{9,1},{2,360},{5204001,5}]</v>
      </c>
      <c r="BK455" s="23" t="str">
        <f ca="1" t="shared" si="156"/>
        <v>[{5205001,3},{1,150},{5523001,300},{5163001,300},{50039,1},{2,600}]</v>
      </c>
      <c r="BL455" s="23">
        <f ca="1" t="shared" si="157"/>
        <v>4</v>
      </c>
      <c r="BM455" s="23">
        <f ca="1" t="shared" si="158"/>
        <v>6</v>
      </c>
      <c r="BN455" s="23">
        <f ca="1" t="shared" si="160"/>
        <v>6</v>
      </c>
      <c r="BP455" s="71" t="s">
        <v>374</v>
      </c>
      <c r="BQ455" s="71">
        <v>150</v>
      </c>
    </row>
    <row r="456" ht="16.5" spans="2:69">
      <c r="B456" s="23">
        <v>136</v>
      </c>
      <c r="C456" s="12"/>
      <c r="D456" s="12"/>
      <c r="E456" s="71"/>
      <c r="F456" s="71"/>
      <c r="G456" s="71" t="str">
        <f t="shared" si="162"/>
        <v>裤子图纸</v>
      </c>
      <c r="H456" s="71">
        <v>15</v>
      </c>
      <c r="I456" s="71" t="str">
        <f t="shared" si="129"/>
        <v>控制特饮</v>
      </c>
      <c r="J456" s="71">
        <v>200</v>
      </c>
      <c r="K456" s="71" t="s">
        <v>96</v>
      </c>
      <c r="L456" s="71">
        <v>240</v>
      </c>
      <c r="M456" s="71" t="str">
        <f t="shared" si="132"/>
        <v>射手特饮</v>
      </c>
      <c r="N456" s="71">
        <f t="shared" si="136"/>
        <v>250</v>
      </c>
      <c r="O456" s="71" t="s">
        <v>316</v>
      </c>
      <c r="P456" s="71">
        <v>200</v>
      </c>
      <c r="Q456" s="71"/>
      <c r="R456" s="71"/>
      <c r="S456" s="72" t="str">
        <f t="shared" si="163"/>
        <v>手套图纸</v>
      </c>
      <c r="T456" s="71">
        <v>25</v>
      </c>
      <c r="U456" s="71" t="str">
        <f t="shared" si="126"/>
        <v/>
      </c>
      <c r="V456" s="71">
        <f t="shared" si="127"/>
        <v>0</v>
      </c>
      <c r="W456" s="71" t="s">
        <v>96</v>
      </c>
      <c r="X456" s="71">
        <f t="shared" si="141"/>
        <v>360</v>
      </c>
      <c r="Y456" s="71"/>
      <c r="Z456" s="71"/>
      <c r="AA456" s="71" t="str">
        <f t="shared" si="133"/>
        <v>基因罐</v>
      </c>
      <c r="AB456" s="71">
        <f t="shared" si="137"/>
        <v>30</v>
      </c>
      <c r="AC456" s="71" t="s">
        <v>374</v>
      </c>
      <c r="AD456" s="71">
        <v>150</v>
      </c>
      <c r="AE456" s="72" t="str">
        <f t="shared" si="130"/>
        <v>控制特饮</v>
      </c>
      <c r="AF456" s="71">
        <v>300</v>
      </c>
      <c r="AG456" s="71"/>
      <c r="AH456" s="71"/>
      <c r="AI456" s="71" t="s">
        <v>390</v>
      </c>
      <c r="AJ456" s="71">
        <v>1</v>
      </c>
      <c r="AK456" s="71" t="s">
        <v>96</v>
      </c>
      <c r="AL456" s="71">
        <f t="shared" si="142"/>
        <v>600</v>
      </c>
      <c r="AN456" s="23" t="str">
        <f ca="1" t="shared" si="128"/>
        <v>{11,5}</v>
      </c>
      <c r="AO456" s="23" t="str">
        <f ca="1" t="shared" si="161"/>
        <v/>
      </c>
      <c r="AP456" s="23" t="str">
        <f ca="1" t="shared" si="143"/>
        <v>{50006,15}</v>
      </c>
      <c r="AQ456" s="23" t="str">
        <f ca="1" t="shared" si="144"/>
        <v>{5153001,200}</v>
      </c>
      <c r="AR456" s="23" t="str">
        <f ca="1" t="shared" si="145"/>
        <v>{2,240}</v>
      </c>
      <c r="AS456" s="23" t="str">
        <f ca="1" t="shared" si="146"/>
        <v>{5133001,250}</v>
      </c>
      <c r="AT456" s="23" t="str">
        <f ca="1" t="shared" si="134"/>
        <v>{5523001,200}</v>
      </c>
      <c r="AU456" s="23" t="str">
        <f ca="1" t="shared" si="159"/>
        <v/>
      </c>
      <c r="AV456" s="23" t="str">
        <f ca="1" t="shared" si="147"/>
        <v>{50008,25}</v>
      </c>
      <c r="AW456" s="23" t="str">
        <f ca="1" t="shared" si="148"/>
        <v/>
      </c>
      <c r="AX456" s="23" t="str">
        <f ca="1" t="shared" si="149"/>
        <v>{2,360}</v>
      </c>
      <c r="AY456" s="23" t="str">
        <f ca="1" t="shared" si="150"/>
        <v>{5204001,5}</v>
      </c>
      <c r="AZ456" s="23" t="str">
        <f ca="1" t="shared" si="138"/>
        <v>{5203001,30}</v>
      </c>
      <c r="BA456" s="23" t="str">
        <f ca="1" t="shared" si="151"/>
        <v>{1,150}</v>
      </c>
      <c r="BB456" s="23" t="s">
        <v>401</v>
      </c>
      <c r="BC456" s="23" t="str">
        <f ca="1" t="shared" si="152"/>
        <v>{5153001,300}</v>
      </c>
      <c r="BD456" s="23" t="str">
        <f ca="1" t="shared" si="131"/>
        <v/>
      </c>
      <c r="BE456" s="23" t="str">
        <f ca="1" t="shared" si="135"/>
        <v>{50039,1}</v>
      </c>
      <c r="BF456" s="23" t="str">
        <f ca="1" t="shared" si="153"/>
        <v>{2,600}</v>
      </c>
      <c r="BI456" s="23" t="str">
        <f ca="1" t="shared" si="154"/>
        <v>[{11,5},{50006,15},{5153001,200},{2,240}]</v>
      </c>
      <c r="BJ456" s="23" t="str">
        <f ca="1" t="shared" si="155"/>
        <v>[{5133001,250},{5523001,200},{50008,25},{2,360},{5204001,5}]</v>
      </c>
      <c r="BK456" s="23" t="str">
        <f ca="1" t="shared" si="156"/>
        <v>[{5203001,30},{1,150},{5523001,300},{5153001,300},{50039,1},{2,600}]</v>
      </c>
      <c r="BL456" s="23">
        <f ca="1" t="shared" si="157"/>
        <v>4</v>
      </c>
      <c r="BM456" s="23">
        <f ca="1" t="shared" si="158"/>
        <v>5</v>
      </c>
      <c r="BN456" s="23">
        <f ca="1" t="shared" si="160"/>
        <v>6</v>
      </c>
      <c r="BP456" s="71" t="s">
        <v>374</v>
      </c>
      <c r="BQ456" s="71">
        <v>150</v>
      </c>
    </row>
    <row r="457" ht="16.5" spans="2:69">
      <c r="B457" s="23">
        <v>137</v>
      </c>
      <c r="C457" s="12"/>
      <c r="D457" s="12"/>
      <c r="E457" s="71"/>
      <c r="F457" s="71"/>
      <c r="G457" s="71" t="str">
        <f t="shared" si="162"/>
        <v>鞋子图纸</v>
      </c>
      <c r="H457" s="71">
        <v>15</v>
      </c>
      <c r="I457" s="71" t="str">
        <f t="shared" si="129"/>
        <v>射手特饮</v>
      </c>
      <c r="J457" s="71">
        <v>200</v>
      </c>
      <c r="K457" s="71" t="s">
        <v>96</v>
      </c>
      <c r="L457" s="71">
        <v>240</v>
      </c>
      <c r="M457" s="71" t="str">
        <f t="shared" si="132"/>
        <v>毒系特饮</v>
      </c>
      <c r="N457" s="71">
        <f t="shared" si="136"/>
        <v>250</v>
      </c>
      <c r="O457" s="71" t="s">
        <v>316</v>
      </c>
      <c r="P457" s="71">
        <v>200</v>
      </c>
      <c r="Q457" s="71"/>
      <c r="R457" s="71"/>
      <c r="S457" s="72" t="str">
        <f t="shared" si="163"/>
        <v>头盔图纸</v>
      </c>
      <c r="T457" s="71">
        <v>25</v>
      </c>
      <c r="U457" s="71" t="str">
        <f t="shared" si="126"/>
        <v/>
      </c>
      <c r="V457" s="71">
        <f t="shared" si="127"/>
        <v>0</v>
      </c>
      <c r="W457" s="71" t="s">
        <v>96</v>
      </c>
      <c r="X457" s="71">
        <f t="shared" si="141"/>
        <v>360</v>
      </c>
      <c r="Y457" s="71"/>
      <c r="Z457" s="71"/>
      <c r="AA457" s="71" t="str">
        <f t="shared" si="133"/>
        <v>基因罐</v>
      </c>
      <c r="AB457" s="71">
        <f t="shared" si="137"/>
        <v>30</v>
      </c>
      <c r="AC457" s="71" t="s">
        <v>374</v>
      </c>
      <c r="AD457" s="71">
        <v>150</v>
      </c>
      <c r="AE457" s="72" t="str">
        <f t="shared" si="130"/>
        <v>射手特饮</v>
      </c>
      <c r="AF457" s="71">
        <v>300</v>
      </c>
      <c r="AG457" s="71"/>
      <c r="AH457" s="71"/>
      <c r="AI457" s="71" t="s">
        <v>390</v>
      </c>
      <c r="AJ457" s="71">
        <v>1</v>
      </c>
      <c r="AK457" s="71" t="s">
        <v>96</v>
      </c>
      <c r="AL457" s="71">
        <f t="shared" si="142"/>
        <v>600</v>
      </c>
      <c r="AN457" s="23" t="str">
        <f ca="1" t="shared" si="128"/>
        <v>{11,5}</v>
      </c>
      <c r="AO457" s="23" t="str">
        <f ca="1" t="shared" si="161"/>
        <v/>
      </c>
      <c r="AP457" s="23" t="str">
        <f ca="1" t="shared" si="143"/>
        <v>{50007,15}</v>
      </c>
      <c r="AQ457" s="23" t="str">
        <f ca="1" t="shared" si="144"/>
        <v>{5133001,200}</v>
      </c>
      <c r="AR457" s="23" t="str">
        <f ca="1" t="shared" si="145"/>
        <v>{2,240}</v>
      </c>
      <c r="AS457" s="23" t="str">
        <f ca="1" t="shared" si="146"/>
        <v>{5163001,250}</v>
      </c>
      <c r="AT457" s="23" t="str">
        <f ca="1" t="shared" si="134"/>
        <v>{5523001,200}</v>
      </c>
      <c r="AU457" s="23" t="str">
        <f ca="1" t="shared" si="159"/>
        <v/>
      </c>
      <c r="AV457" s="23" t="str">
        <f ca="1" t="shared" si="147"/>
        <v>{50003,25}</v>
      </c>
      <c r="AW457" s="23" t="str">
        <f ca="1" t="shared" si="148"/>
        <v/>
      </c>
      <c r="AX457" s="23" t="str">
        <f ca="1" t="shared" si="149"/>
        <v>{2,360}</v>
      </c>
      <c r="AY457" s="23" t="str">
        <f ca="1" t="shared" si="150"/>
        <v>{5204001,5}</v>
      </c>
      <c r="AZ457" s="23" t="str">
        <f ca="1" t="shared" si="138"/>
        <v>{5203001,30}</v>
      </c>
      <c r="BA457" s="23" t="str">
        <f ca="1" t="shared" si="151"/>
        <v>{1,150}</v>
      </c>
      <c r="BB457" s="23" t="s">
        <v>401</v>
      </c>
      <c r="BC457" s="23" t="str">
        <f ca="1" t="shared" si="152"/>
        <v>{5133001,300}</v>
      </c>
      <c r="BD457" s="23" t="str">
        <f ca="1" t="shared" si="131"/>
        <v/>
      </c>
      <c r="BE457" s="23" t="str">
        <f ca="1" t="shared" si="135"/>
        <v>{50039,1}</v>
      </c>
      <c r="BF457" s="23" t="str">
        <f ca="1" t="shared" si="153"/>
        <v>{2,600}</v>
      </c>
      <c r="BI457" s="23" t="str">
        <f ca="1" t="shared" si="154"/>
        <v>[{11,5},{50007,15},{5133001,200},{2,240}]</v>
      </c>
      <c r="BJ457" s="23" t="str">
        <f ca="1" t="shared" si="155"/>
        <v>[{5163001,250},{5523001,200},{50003,25},{2,360},{5204001,5}]</v>
      </c>
      <c r="BK457" s="23" t="str">
        <f ca="1" t="shared" si="156"/>
        <v>[{5203001,30},{1,150},{5523001,300},{5133001,300},{50039,1},{2,600}]</v>
      </c>
      <c r="BL457" s="23">
        <f ca="1" t="shared" si="157"/>
        <v>4</v>
      </c>
      <c r="BM457" s="23">
        <f ca="1" t="shared" si="158"/>
        <v>5</v>
      </c>
      <c r="BN457" s="23">
        <f ca="1" t="shared" si="160"/>
        <v>6</v>
      </c>
      <c r="BP457" s="71" t="s">
        <v>374</v>
      </c>
      <c r="BQ457" s="71">
        <v>150</v>
      </c>
    </row>
    <row r="458" ht="16.5" spans="2:69">
      <c r="B458" s="23">
        <v>138</v>
      </c>
      <c r="C458" s="12"/>
      <c r="D458" s="12"/>
      <c r="E458" s="71"/>
      <c r="F458" s="71"/>
      <c r="G458" s="71" t="str">
        <f t="shared" si="162"/>
        <v>手套图纸</v>
      </c>
      <c r="H458" s="71">
        <v>15</v>
      </c>
      <c r="I458" s="71" t="str">
        <f t="shared" si="129"/>
        <v>法师特饮</v>
      </c>
      <c r="J458" s="71">
        <v>200</v>
      </c>
      <c r="K458" s="71" t="s">
        <v>96</v>
      </c>
      <c r="L458" s="71">
        <v>240</v>
      </c>
      <c r="M458" s="71" t="str">
        <f t="shared" si="132"/>
        <v>控制特饮</v>
      </c>
      <c r="N458" s="71">
        <f t="shared" si="136"/>
        <v>250</v>
      </c>
      <c r="O458" s="71" t="s">
        <v>316</v>
      </c>
      <c r="P458" s="71">
        <v>200</v>
      </c>
      <c r="Q458" s="71"/>
      <c r="R458" s="71"/>
      <c r="S458" s="72" t="str">
        <f t="shared" si="163"/>
        <v>衣服图纸</v>
      </c>
      <c r="T458" s="71">
        <v>25</v>
      </c>
      <c r="U458" s="71" t="str">
        <f t="shared" ref="U458:U521" si="164">IF(U453="","",U453)</f>
        <v/>
      </c>
      <c r="V458" s="71">
        <f t="shared" ref="V458:V521" si="165">IF(V453="","",V453)</f>
        <v>0</v>
      </c>
      <c r="W458" s="71" t="s">
        <v>96</v>
      </c>
      <c r="X458" s="71">
        <f t="shared" si="141"/>
        <v>360</v>
      </c>
      <c r="Y458" s="71"/>
      <c r="Z458" s="71"/>
      <c r="AA458" s="71" t="str">
        <f t="shared" si="133"/>
        <v>基因罐</v>
      </c>
      <c r="AB458" s="71">
        <f t="shared" si="137"/>
        <v>30</v>
      </c>
      <c r="AC458" s="71" t="s">
        <v>374</v>
      </c>
      <c r="AD458" s="71">
        <v>150</v>
      </c>
      <c r="AE458" s="72" t="str">
        <f t="shared" si="130"/>
        <v>战士特饮</v>
      </c>
      <c r="AF458" s="71">
        <v>300</v>
      </c>
      <c r="AG458" s="71"/>
      <c r="AH458" s="71"/>
      <c r="AI458" s="71" t="s">
        <v>390</v>
      </c>
      <c r="AJ458" s="71">
        <v>1</v>
      </c>
      <c r="AK458" s="71" t="s">
        <v>96</v>
      </c>
      <c r="AL458" s="71">
        <f t="shared" si="142"/>
        <v>600</v>
      </c>
      <c r="AN458" s="23" t="str">
        <f ca="1" t="shared" ref="AN458:AN521" si="166">IF(OFFSET($B458,0,AN$320*2+1)="","","{"&amp;VLOOKUP(OFFSET($B458,0,AN$320*2+1),$AN$291:$AO$316,2,0)&amp;","&amp;OFFSET($B458,0,AN$320*2+2)&amp;"}")</f>
        <v>{11,5}</v>
      </c>
      <c r="AO458" s="23" t="str">
        <f ca="1" t="shared" si="161"/>
        <v/>
      </c>
      <c r="AP458" s="23" t="str">
        <f ca="1" t="shared" si="143"/>
        <v>{50008,15}</v>
      </c>
      <c r="AQ458" s="23" t="str">
        <f ca="1" t="shared" si="144"/>
        <v>{5123001,200}</v>
      </c>
      <c r="AR458" s="23" t="str">
        <f ca="1" t="shared" si="145"/>
        <v>{2,240}</v>
      </c>
      <c r="AS458" s="23" t="str">
        <f ca="1" t="shared" si="146"/>
        <v>{5153001,250}</v>
      </c>
      <c r="AT458" s="23" t="str">
        <f ca="1" t="shared" si="134"/>
        <v>{5523001,200}</v>
      </c>
      <c r="AU458" s="23" t="str">
        <f ca="1" t="shared" si="159"/>
        <v/>
      </c>
      <c r="AV458" s="23" t="str">
        <f ca="1" t="shared" si="147"/>
        <v>{50004,25}</v>
      </c>
      <c r="AW458" s="23" t="str">
        <f ca="1" t="shared" si="148"/>
        <v/>
      </c>
      <c r="AX458" s="23" t="str">
        <f ca="1" t="shared" si="149"/>
        <v>{2,360}</v>
      </c>
      <c r="AY458" s="23" t="str">
        <f ca="1" t="shared" si="150"/>
        <v>{5204001,5}</v>
      </c>
      <c r="AZ458" s="23" t="str">
        <f ca="1" t="shared" si="138"/>
        <v>{5203001,30}</v>
      </c>
      <c r="BA458" s="23" t="str">
        <f ca="1" t="shared" si="151"/>
        <v>{1,150}</v>
      </c>
      <c r="BB458" s="23" t="s">
        <v>401</v>
      </c>
      <c r="BC458" s="23" t="str">
        <f ca="1" t="shared" si="152"/>
        <v>{5113001,300}</v>
      </c>
      <c r="BD458" s="23" t="str">
        <f ca="1" t="shared" si="131"/>
        <v/>
      </c>
      <c r="BE458" s="23" t="str">
        <f ca="1" t="shared" si="135"/>
        <v>{50039,1}</v>
      </c>
      <c r="BF458" s="23" t="str">
        <f ca="1" t="shared" si="153"/>
        <v>{2,600}</v>
      </c>
      <c r="BI458" s="23" t="str">
        <f ca="1" t="shared" si="154"/>
        <v>[{11,5},{50008,15},{5123001,200},{2,240}]</v>
      </c>
      <c r="BJ458" s="23" t="str">
        <f ca="1" t="shared" si="155"/>
        <v>[{5153001,250},{5523001,200},{50004,25},{2,360},{5204001,5}]</v>
      </c>
      <c r="BK458" s="23" t="str">
        <f ca="1" t="shared" si="156"/>
        <v>[{5203001,30},{1,150},{5523001,300},{5113001,300},{50039,1},{2,600}]</v>
      </c>
      <c r="BL458" s="23">
        <f ca="1" t="shared" si="157"/>
        <v>4</v>
      </c>
      <c r="BM458" s="23">
        <f ca="1" t="shared" si="158"/>
        <v>5</v>
      </c>
      <c r="BN458" s="23">
        <f ca="1" t="shared" si="160"/>
        <v>6</v>
      </c>
      <c r="BP458" s="71" t="s">
        <v>374</v>
      </c>
      <c r="BQ458" s="71">
        <v>150</v>
      </c>
    </row>
    <row r="459" ht="16.5" spans="2:69">
      <c r="B459" s="23">
        <v>139</v>
      </c>
      <c r="C459" s="12"/>
      <c r="D459" s="12"/>
      <c r="E459" s="71"/>
      <c r="F459" s="71"/>
      <c r="G459" s="71" t="str">
        <f t="shared" si="162"/>
        <v>头盔图纸</v>
      </c>
      <c r="H459" s="71">
        <v>15</v>
      </c>
      <c r="I459" s="71" t="str">
        <f t="shared" ref="I459:I522" si="167">I453</f>
        <v>辅助特饮</v>
      </c>
      <c r="J459" s="71">
        <v>200</v>
      </c>
      <c r="K459" s="71" t="s">
        <v>96</v>
      </c>
      <c r="L459" s="71">
        <v>240</v>
      </c>
      <c r="M459" s="71" t="str">
        <f t="shared" si="132"/>
        <v>战士特饮</v>
      </c>
      <c r="N459" s="71">
        <f t="shared" si="136"/>
        <v>250</v>
      </c>
      <c r="O459" s="71" t="s">
        <v>316</v>
      </c>
      <c r="P459" s="71">
        <v>200</v>
      </c>
      <c r="Q459" s="71"/>
      <c r="R459" s="71"/>
      <c r="S459" s="72" t="str">
        <f t="shared" si="163"/>
        <v>护臂图纸</v>
      </c>
      <c r="T459" s="71">
        <v>25</v>
      </c>
      <c r="U459" s="71" t="str">
        <f t="shared" si="164"/>
        <v/>
      </c>
      <c r="V459" s="71">
        <f t="shared" si="165"/>
        <v>0</v>
      </c>
      <c r="W459" s="71" t="s">
        <v>96</v>
      </c>
      <c r="X459" s="71">
        <f t="shared" si="141"/>
        <v>360</v>
      </c>
      <c r="Y459" s="71"/>
      <c r="Z459" s="71"/>
      <c r="AA459" s="71" t="str">
        <f t="shared" si="133"/>
        <v>基因罐</v>
      </c>
      <c r="AB459" s="71">
        <f t="shared" si="137"/>
        <v>30</v>
      </c>
      <c r="AC459" s="71" t="s">
        <v>374</v>
      </c>
      <c r="AD459" s="71">
        <v>150</v>
      </c>
      <c r="AE459" s="72" t="str">
        <f t="shared" ref="AE459:AE522" si="168">AE453</f>
        <v>法师特饮</v>
      </c>
      <c r="AF459" s="71">
        <v>300</v>
      </c>
      <c r="AG459" s="71"/>
      <c r="AH459" s="71"/>
      <c r="AI459" s="71" t="s">
        <v>390</v>
      </c>
      <c r="AJ459" s="71">
        <v>1</v>
      </c>
      <c r="AK459" s="71" t="s">
        <v>96</v>
      </c>
      <c r="AL459" s="71">
        <f t="shared" si="142"/>
        <v>600</v>
      </c>
      <c r="AN459" s="23" t="str">
        <f ca="1" t="shared" si="166"/>
        <v>{11,5}</v>
      </c>
      <c r="AO459" s="23" t="str">
        <f ca="1" t="shared" si="161"/>
        <v/>
      </c>
      <c r="AP459" s="23" t="str">
        <f ca="1" t="shared" si="143"/>
        <v>{50003,15}</v>
      </c>
      <c r="AQ459" s="23" t="str">
        <f ca="1" t="shared" si="144"/>
        <v>{5143001,200}</v>
      </c>
      <c r="AR459" s="23" t="str">
        <f ca="1" t="shared" si="145"/>
        <v>{2,240}</v>
      </c>
      <c r="AS459" s="23" t="str">
        <f ca="1" t="shared" si="146"/>
        <v>{5113001,250}</v>
      </c>
      <c r="AT459" s="23" t="str">
        <f ca="1" t="shared" si="134"/>
        <v>{5523001,200}</v>
      </c>
      <c r="AU459" s="23" t="str">
        <f ca="1" t="shared" si="159"/>
        <v/>
      </c>
      <c r="AV459" s="23" t="str">
        <f ca="1" t="shared" si="147"/>
        <v>{50005,25}</v>
      </c>
      <c r="AW459" s="23" t="str">
        <f ca="1" t="shared" si="148"/>
        <v/>
      </c>
      <c r="AX459" s="23" t="str">
        <f ca="1" t="shared" si="149"/>
        <v>{2,360}</v>
      </c>
      <c r="AY459" s="23" t="str">
        <f ca="1" t="shared" si="150"/>
        <v>{5204001,5}</v>
      </c>
      <c r="AZ459" s="23" t="str">
        <f ca="1" t="shared" si="138"/>
        <v>{5203001,30}</v>
      </c>
      <c r="BA459" s="23" t="str">
        <f ca="1" t="shared" si="151"/>
        <v>{1,150}</v>
      </c>
      <c r="BB459" s="23" t="s">
        <v>401</v>
      </c>
      <c r="BC459" s="23" t="str">
        <f ca="1" t="shared" si="152"/>
        <v>{5123001,300}</v>
      </c>
      <c r="BD459" s="23" t="str">
        <f ca="1" t="shared" ref="BD459:BD522" si="169">IF(OFFSET($B459,0,BD$320*2+1)="","","{"&amp;VLOOKUP(OFFSET($B459,0,BD$320*2+1),$AN$291:$AO$314,2,0)&amp;","&amp;OFFSET($B459,0,BD$320*2+2)&amp;"}")</f>
        <v/>
      </c>
      <c r="BE459" s="23" t="str">
        <f ca="1" t="shared" si="135"/>
        <v>{50039,1}</v>
      </c>
      <c r="BF459" s="23" t="str">
        <f ca="1" t="shared" si="153"/>
        <v>{2,600}</v>
      </c>
      <c r="BI459" s="23" t="str">
        <f ca="1" t="shared" si="154"/>
        <v>[{11,5},{50003,15},{5143001,200},{2,240}]</v>
      </c>
      <c r="BJ459" s="23" t="str">
        <f ca="1" t="shared" si="155"/>
        <v>[{5113001,250},{5523001,200},{50005,25},{2,360},{5204001,5}]</v>
      </c>
      <c r="BK459" s="23" t="str">
        <f ca="1" t="shared" si="156"/>
        <v>[{5203001,30},{1,150},{5523001,300},{5123001,300},{50039,1},{2,600}]</v>
      </c>
      <c r="BL459" s="23">
        <f ca="1" t="shared" si="157"/>
        <v>4</v>
      </c>
      <c r="BM459" s="23">
        <f ca="1" t="shared" si="158"/>
        <v>5</v>
      </c>
      <c r="BN459" s="23">
        <f ca="1" t="shared" si="160"/>
        <v>6</v>
      </c>
      <c r="BP459" s="71" t="s">
        <v>374</v>
      </c>
      <c r="BQ459" s="71">
        <v>150</v>
      </c>
    </row>
    <row r="460" ht="16.5" spans="2:69">
      <c r="B460" s="23">
        <v>140</v>
      </c>
      <c r="C460" s="12" t="inlineStr">
        <is>
          <t>梦愿水晶</t>
        </is>
      </c>
      <c r="D460" s="12">
        <v>1</v>
      </c>
      <c r="E460" s="71"/>
      <c r="F460" s="71"/>
      <c r="G460" s="71" t="str">
        <f t="shared" si="162"/>
        <v>衣服图纸</v>
      </c>
      <c r="H460" s="71">
        <v>15</v>
      </c>
      <c r="I460" s="71" t="str">
        <f t="shared" si="167"/>
        <v>战士特饮</v>
      </c>
      <c r="J460" s="71">
        <v>200</v>
      </c>
      <c r="K460" s="71" t="s">
        <v>96</v>
      </c>
      <c r="L460" s="71">
        <v>240</v>
      </c>
      <c r="M460" s="71" t="str">
        <f t="shared" si="132"/>
        <v>法师特饮</v>
      </c>
      <c r="N460" s="71">
        <f t="shared" si="136"/>
        <v>250</v>
      </c>
      <c r="O460" s="71" t="s">
        <v>316</v>
      </c>
      <c r="P460" s="71">
        <v>200</v>
      </c>
      <c r="Q460" s="71"/>
      <c r="R460" s="71"/>
      <c r="S460" s="72" t="str">
        <f t="shared" si="163"/>
        <v>裤子图纸</v>
      </c>
      <c r="T460" s="71">
        <v>25</v>
      </c>
      <c r="U460" s="71" t="str">
        <f t="shared" si="164"/>
        <v>灵感获取令</v>
      </c>
      <c r="V460" s="71">
        <f t="shared" si="165"/>
        <v>1</v>
      </c>
      <c r="W460" s="71" t="s">
        <v>96</v>
      </c>
      <c r="X460" s="71">
        <f t="shared" si="141"/>
        <v>360</v>
      </c>
      <c r="Y460" s="71"/>
      <c r="Z460" s="71"/>
      <c r="AA460" s="71" t="str">
        <f t="shared" si="133"/>
        <v>传说基因罐</v>
      </c>
      <c r="AB460" s="71">
        <f t="shared" si="137"/>
        <v>3</v>
      </c>
      <c r="AC460" s="71" t="s">
        <v>374</v>
      </c>
      <c r="AD460" s="71">
        <v>150</v>
      </c>
      <c r="AE460" s="72" t="str">
        <f t="shared" si="168"/>
        <v>辅助特饮</v>
      </c>
      <c r="AF460" s="71">
        <v>300</v>
      </c>
      <c r="AG460" s="71"/>
      <c r="AH460" s="71"/>
      <c r="AI460" s="71" t="s">
        <v>390</v>
      </c>
      <c r="AJ460" s="71">
        <v>1</v>
      </c>
      <c r="AK460" s="71" t="s">
        <v>96</v>
      </c>
      <c r="AL460" s="71">
        <f t="shared" si="142"/>
        <v>600</v>
      </c>
      <c r="AN460" s="23" t="str">
        <f ca="1" t="shared" si="166"/>
        <v>{35,1}</v>
      </c>
      <c r="AO460" s="23" t="str">
        <f ca="1" t="shared" si="161"/>
        <v/>
      </c>
      <c r="AP460" s="23" t="str">
        <f ca="1" t="shared" si="143"/>
        <v>{50004,15}</v>
      </c>
      <c r="AQ460" s="23" t="str">
        <f ca="1" t="shared" si="144"/>
        <v>{5113001,200}</v>
      </c>
      <c r="AR460" s="23" t="str">
        <f ca="1" t="shared" si="145"/>
        <v>{2,240}</v>
      </c>
      <c r="AS460" s="23" t="str">
        <f ca="1" t="shared" si="146"/>
        <v>{5123001,250}</v>
      </c>
      <c r="AT460" s="23" t="str">
        <f ca="1" t="shared" si="134"/>
        <v>{5523001,200}</v>
      </c>
      <c r="AU460" s="23" t="str">
        <f ca="1" t="shared" si="159"/>
        <v/>
      </c>
      <c r="AV460" s="23" t="str">
        <f ca="1" t="shared" si="147"/>
        <v>{50006,25}</v>
      </c>
      <c r="AW460" s="23" t="str">
        <f ca="1" t="shared" si="148"/>
        <v>{9,1}</v>
      </c>
      <c r="AX460" s="23" t="str">
        <f ca="1" t="shared" si="149"/>
        <v>{2,360}</v>
      </c>
      <c r="AY460" s="23" t="str">
        <f ca="1" t="shared" si="150"/>
        <v>{5204001,5}</v>
      </c>
      <c r="AZ460" s="23" t="str">
        <f ca="1" t="shared" si="138"/>
        <v>{5205001,3}</v>
      </c>
      <c r="BA460" s="23" t="str">
        <f ca="1" t="shared" si="151"/>
        <v>{1,150}</v>
      </c>
      <c r="BB460" s="23" t="s">
        <v>401</v>
      </c>
      <c r="BC460" s="23" t="str">
        <f ca="1" t="shared" si="152"/>
        <v>{5143001,300}</v>
      </c>
      <c r="BD460" s="23" t="str">
        <f ca="1" t="shared" si="169"/>
        <v/>
      </c>
      <c r="BE460" s="23" t="str">
        <f ca="1" t="shared" si="135"/>
        <v>{50039,1}</v>
      </c>
      <c r="BF460" s="23" t="str">
        <f ca="1" t="shared" si="153"/>
        <v>{2,600}</v>
      </c>
      <c r="BI460" s="23" t="str">
        <f ca="1" t="shared" si="154"/>
        <v>[{35,1},{50004,15},{5113001,200},{2,240}]</v>
      </c>
      <c r="BJ460" s="23" t="str">
        <f ca="1" t="shared" si="155"/>
        <v>[{5123001,250},{5523001,200},{50006,25},{9,1},{2,360},{5204001,5}]</v>
      </c>
      <c r="BK460" s="23" t="str">
        <f ca="1" t="shared" si="156"/>
        <v>[{5205001,3},{1,150},{5523001,300},{5143001,300},{50039,1},{2,600}]</v>
      </c>
      <c r="BL460" s="23">
        <f ca="1" t="shared" si="157"/>
        <v>4</v>
      </c>
      <c r="BM460" s="23">
        <f ca="1" t="shared" si="158"/>
        <v>6</v>
      </c>
      <c r="BN460" s="23">
        <f ca="1" t="shared" si="160"/>
        <v>6</v>
      </c>
      <c r="BP460" s="71" t="s">
        <v>374</v>
      </c>
      <c r="BQ460" s="71">
        <v>150</v>
      </c>
    </row>
    <row r="461" ht="16.5" spans="2:69">
      <c r="B461" s="23">
        <v>141</v>
      </c>
      <c r="C461" s="12"/>
      <c r="D461" s="12"/>
      <c r="E461" s="71"/>
      <c r="F461" s="71"/>
      <c r="G461" s="71" t="str">
        <f t="shared" si="162"/>
        <v>护臂图纸</v>
      </c>
      <c r="H461" s="71">
        <v>15</v>
      </c>
      <c r="I461" s="71" t="str">
        <f t="shared" si="167"/>
        <v>毒系特饮</v>
      </c>
      <c r="J461" s="71">
        <v>200</v>
      </c>
      <c r="K461" s="71" t="s">
        <v>96</v>
      </c>
      <c r="L461" s="71">
        <v>240</v>
      </c>
      <c r="M461" s="71" t="str">
        <f t="shared" ref="M461:M524" si="170">M455</f>
        <v>辅助特饮</v>
      </c>
      <c r="N461" s="71">
        <f t="shared" si="136"/>
        <v>250</v>
      </c>
      <c r="O461" s="71" t="s">
        <v>316</v>
      </c>
      <c r="P461" s="71">
        <v>200</v>
      </c>
      <c r="Q461" s="71"/>
      <c r="R461" s="71"/>
      <c r="S461" s="72" t="str">
        <f t="shared" si="163"/>
        <v>鞋子图纸</v>
      </c>
      <c r="T461" s="71">
        <v>25</v>
      </c>
      <c r="U461" s="71" t="str">
        <f t="shared" si="164"/>
        <v/>
      </c>
      <c r="V461" s="71">
        <f t="shared" si="165"/>
        <v>0</v>
      </c>
      <c r="W461" s="71" t="s">
        <v>96</v>
      </c>
      <c r="X461" s="71">
        <f t="shared" si="141"/>
        <v>360</v>
      </c>
      <c r="Y461" s="71"/>
      <c r="Z461" s="71"/>
      <c r="AA461" s="71" t="str">
        <f t="shared" si="133"/>
        <v>基因罐</v>
      </c>
      <c r="AB461" s="71">
        <f t="shared" si="137"/>
        <v>30</v>
      </c>
      <c r="AC461" s="71" t="s">
        <v>374</v>
      </c>
      <c r="AD461" s="71">
        <v>150</v>
      </c>
      <c r="AE461" s="72" t="str">
        <f t="shared" si="168"/>
        <v>毒系特饮</v>
      </c>
      <c r="AF461" s="71">
        <v>300</v>
      </c>
      <c r="AG461" s="71"/>
      <c r="AH461" s="71"/>
      <c r="AI461" s="71" t="s">
        <v>390</v>
      </c>
      <c r="AJ461" s="71">
        <v>1</v>
      </c>
      <c r="AK461" s="71" t="s">
        <v>96</v>
      </c>
      <c r="AL461" s="71">
        <f t="shared" si="142"/>
        <v>600</v>
      </c>
      <c r="AN461" s="23" t="str">
        <f ca="1" t="shared" si="166"/>
        <v>{11,5}</v>
      </c>
      <c r="AO461" s="23" t="str">
        <f ca="1" t="shared" si="161"/>
        <v/>
      </c>
      <c r="AP461" s="23" t="str">
        <f ca="1" t="shared" si="143"/>
        <v>{50005,15}</v>
      </c>
      <c r="AQ461" s="23" t="str">
        <f ca="1" t="shared" si="144"/>
        <v>{5163001,200}</v>
      </c>
      <c r="AR461" s="23" t="str">
        <f ca="1" t="shared" si="145"/>
        <v>{2,240}</v>
      </c>
      <c r="AS461" s="23" t="str">
        <f ca="1" t="shared" si="146"/>
        <v>{5143001,250}</v>
      </c>
      <c r="AT461" s="23" t="str">
        <f ca="1" t="shared" si="134"/>
        <v>{5523001,200}</v>
      </c>
      <c r="AU461" s="23" t="str">
        <f ca="1" t="shared" si="159"/>
        <v/>
      </c>
      <c r="AV461" s="23" t="str">
        <f ca="1" t="shared" si="147"/>
        <v>{50007,25}</v>
      </c>
      <c r="AW461" s="23" t="str">
        <f ca="1" t="shared" si="148"/>
        <v/>
      </c>
      <c r="AX461" s="23" t="str">
        <f ca="1" t="shared" si="149"/>
        <v>{2,360}</v>
      </c>
      <c r="AY461" s="23" t="str">
        <f ca="1" t="shared" si="150"/>
        <v>{5204001,5}</v>
      </c>
      <c r="AZ461" s="23" t="str">
        <f ca="1" t="shared" si="138"/>
        <v>{5203001,30}</v>
      </c>
      <c r="BA461" s="23" t="str">
        <f ca="1" t="shared" si="151"/>
        <v>{1,150}</v>
      </c>
      <c r="BB461" s="23" t="s">
        <v>401</v>
      </c>
      <c r="BC461" s="23" t="str">
        <f ca="1" t="shared" si="152"/>
        <v>{5163001,300}</v>
      </c>
      <c r="BD461" s="23" t="str">
        <f ca="1" t="shared" si="169"/>
        <v/>
      </c>
      <c r="BE461" s="23" t="str">
        <f ca="1" t="shared" si="135"/>
        <v>{50039,1}</v>
      </c>
      <c r="BF461" s="23" t="str">
        <f ca="1" t="shared" si="153"/>
        <v>{2,600}</v>
      </c>
      <c r="BI461" s="23" t="str">
        <f ca="1" t="shared" si="154"/>
        <v>[{11,5},{50005,15},{5163001,200},{2,240}]</v>
      </c>
      <c r="BJ461" s="23" t="str">
        <f ca="1" t="shared" si="155"/>
        <v>[{5143001,250},{5523001,200},{50007,25},{2,360},{5204001,5}]</v>
      </c>
      <c r="BK461" s="23" t="str">
        <f ca="1" t="shared" si="156"/>
        <v>[{5203001,30},{1,150},{5523001,300},{5163001,300},{50039,1},{2,600}]</v>
      </c>
      <c r="BL461" s="23">
        <f ca="1" t="shared" si="157"/>
        <v>4</v>
      </c>
      <c r="BM461" s="23">
        <f ca="1" t="shared" si="158"/>
        <v>5</v>
      </c>
      <c r="BN461" s="23">
        <f ca="1" t="shared" si="160"/>
        <v>6</v>
      </c>
      <c r="BP461" s="71" t="s">
        <v>374</v>
      </c>
      <c r="BQ461" s="71">
        <v>150</v>
      </c>
    </row>
    <row r="462" ht="16.5" spans="2:69">
      <c r="B462" s="23">
        <v>142</v>
      </c>
      <c r="C462" s="12"/>
      <c r="D462" s="12"/>
      <c r="E462" s="71"/>
      <c r="F462" s="71"/>
      <c r="G462" s="71" t="str">
        <f t="shared" si="162"/>
        <v>裤子图纸</v>
      </c>
      <c r="H462" s="71">
        <v>15</v>
      </c>
      <c r="I462" s="71" t="str">
        <f t="shared" si="167"/>
        <v>控制特饮</v>
      </c>
      <c r="J462" s="71">
        <v>200</v>
      </c>
      <c r="K462" s="71" t="s">
        <v>96</v>
      </c>
      <c r="L462" s="71">
        <v>240</v>
      </c>
      <c r="M462" s="71" t="str">
        <f t="shared" si="170"/>
        <v>射手特饮</v>
      </c>
      <c r="N462" s="71">
        <f t="shared" si="136"/>
        <v>250</v>
      </c>
      <c r="O462" s="71" t="s">
        <v>316</v>
      </c>
      <c r="P462" s="71">
        <v>200</v>
      </c>
      <c r="Q462" s="71"/>
      <c r="R462" s="71"/>
      <c r="S462" s="72" t="str">
        <f t="shared" si="163"/>
        <v>手套图纸</v>
      </c>
      <c r="T462" s="71">
        <v>25</v>
      </c>
      <c r="U462" s="71" t="str">
        <f t="shared" si="164"/>
        <v/>
      </c>
      <c r="V462" s="71">
        <f t="shared" si="165"/>
        <v>0</v>
      </c>
      <c r="W462" s="71" t="s">
        <v>96</v>
      </c>
      <c r="X462" s="71">
        <f t="shared" si="141"/>
        <v>360</v>
      </c>
      <c r="Y462" s="71"/>
      <c r="Z462" s="71"/>
      <c r="AA462" s="71" t="str">
        <f t="shared" si="133"/>
        <v>基因罐</v>
      </c>
      <c r="AB462" s="71">
        <f t="shared" si="137"/>
        <v>30</v>
      </c>
      <c r="AC462" s="71" t="s">
        <v>374</v>
      </c>
      <c r="AD462" s="71">
        <v>150</v>
      </c>
      <c r="AE462" s="72" t="str">
        <f t="shared" si="168"/>
        <v>控制特饮</v>
      </c>
      <c r="AF462" s="71">
        <v>300</v>
      </c>
      <c r="AG462" s="71"/>
      <c r="AH462" s="71"/>
      <c r="AI462" s="71" t="s">
        <v>390</v>
      </c>
      <c r="AJ462" s="71">
        <v>1</v>
      </c>
      <c r="AK462" s="71" t="s">
        <v>96</v>
      </c>
      <c r="AL462" s="71">
        <f t="shared" si="142"/>
        <v>600</v>
      </c>
      <c r="AN462" s="23" t="str">
        <f ca="1" t="shared" si="166"/>
        <v>{11,5}</v>
      </c>
      <c r="AO462" s="23" t="str">
        <f ca="1" t="shared" si="161"/>
        <v/>
      </c>
      <c r="AP462" s="23" t="str">
        <f ca="1" t="shared" si="143"/>
        <v>{50006,15}</v>
      </c>
      <c r="AQ462" s="23" t="str">
        <f ca="1" t="shared" si="144"/>
        <v>{5153001,200}</v>
      </c>
      <c r="AR462" s="23" t="str">
        <f ca="1" t="shared" si="145"/>
        <v>{2,240}</v>
      </c>
      <c r="AS462" s="23" t="str">
        <f ca="1" t="shared" si="146"/>
        <v>{5133001,250}</v>
      </c>
      <c r="AT462" s="23" t="str">
        <f ca="1" t="shared" si="134"/>
        <v>{5523001,200}</v>
      </c>
      <c r="AU462" s="23" t="str">
        <f ca="1" t="shared" si="159"/>
        <v/>
      </c>
      <c r="AV462" s="23" t="str">
        <f ca="1" t="shared" si="147"/>
        <v>{50008,25}</v>
      </c>
      <c r="AW462" s="23" t="str">
        <f ca="1" t="shared" si="148"/>
        <v/>
      </c>
      <c r="AX462" s="23" t="str">
        <f ca="1" t="shared" si="149"/>
        <v>{2,360}</v>
      </c>
      <c r="AY462" s="23" t="str">
        <f ca="1" t="shared" si="150"/>
        <v>{5204001,5}</v>
      </c>
      <c r="AZ462" s="23" t="str">
        <f ca="1" t="shared" si="138"/>
        <v>{5203001,30}</v>
      </c>
      <c r="BA462" s="23" t="str">
        <f ca="1" t="shared" si="151"/>
        <v>{1,150}</v>
      </c>
      <c r="BB462" s="23" t="s">
        <v>401</v>
      </c>
      <c r="BC462" s="23" t="str">
        <f ca="1" t="shared" si="152"/>
        <v>{5153001,300}</v>
      </c>
      <c r="BD462" s="23" t="str">
        <f ca="1" t="shared" si="169"/>
        <v/>
      </c>
      <c r="BE462" s="23" t="str">
        <f ca="1" t="shared" si="135"/>
        <v>{50039,1}</v>
      </c>
      <c r="BF462" s="23" t="str">
        <f ca="1" t="shared" si="153"/>
        <v>{2,600}</v>
      </c>
      <c r="BI462" s="23" t="str">
        <f ca="1" t="shared" si="154"/>
        <v>[{11,5},{50006,15},{5153001,200},{2,240}]</v>
      </c>
      <c r="BJ462" s="23" t="str">
        <f ca="1" t="shared" si="155"/>
        <v>[{5133001,250},{5523001,200},{50008,25},{2,360},{5204001,5}]</v>
      </c>
      <c r="BK462" s="23" t="str">
        <f ca="1" t="shared" si="156"/>
        <v>[{5203001,30},{1,150},{5523001,300},{5153001,300},{50039,1},{2,600}]</v>
      </c>
      <c r="BL462" s="23">
        <f ca="1" t="shared" si="157"/>
        <v>4</v>
      </c>
      <c r="BM462" s="23">
        <f ca="1" t="shared" si="158"/>
        <v>5</v>
      </c>
      <c r="BN462" s="23">
        <f ca="1" t="shared" si="160"/>
        <v>6</v>
      </c>
      <c r="BP462" s="71" t="s">
        <v>374</v>
      </c>
      <c r="BQ462" s="71">
        <v>150</v>
      </c>
    </row>
    <row r="463" ht="16.5" spans="2:69">
      <c r="B463" s="23">
        <v>143</v>
      </c>
      <c r="C463" s="12"/>
      <c r="D463" s="12"/>
      <c r="E463" s="71"/>
      <c r="F463" s="71"/>
      <c r="G463" s="71" t="str">
        <f t="shared" si="162"/>
        <v>鞋子图纸</v>
      </c>
      <c r="H463" s="71">
        <v>15</v>
      </c>
      <c r="I463" s="71" t="str">
        <f t="shared" si="167"/>
        <v>射手特饮</v>
      </c>
      <c r="J463" s="71">
        <v>200</v>
      </c>
      <c r="K463" s="71" t="s">
        <v>96</v>
      </c>
      <c r="L463" s="71">
        <v>240</v>
      </c>
      <c r="M463" s="71" t="str">
        <f t="shared" si="170"/>
        <v>毒系特饮</v>
      </c>
      <c r="N463" s="71">
        <f t="shared" si="136"/>
        <v>250</v>
      </c>
      <c r="O463" s="71" t="s">
        <v>316</v>
      </c>
      <c r="P463" s="71">
        <v>200</v>
      </c>
      <c r="Q463" s="71"/>
      <c r="R463" s="71"/>
      <c r="S463" s="72" t="str">
        <f t="shared" si="163"/>
        <v>头盔图纸</v>
      </c>
      <c r="T463" s="71">
        <v>25</v>
      </c>
      <c r="U463" s="71" t="str">
        <f t="shared" si="164"/>
        <v/>
      </c>
      <c r="V463" s="71">
        <f t="shared" si="165"/>
        <v>0</v>
      </c>
      <c r="W463" s="71" t="s">
        <v>96</v>
      </c>
      <c r="X463" s="71">
        <f t="shared" si="141"/>
        <v>360</v>
      </c>
      <c r="Y463" s="71"/>
      <c r="Z463" s="71"/>
      <c r="AA463" s="71" t="str">
        <f t="shared" ref="AA463:AA526" si="171">IF(AA458="","",AA458)</f>
        <v>基因罐</v>
      </c>
      <c r="AB463" s="71">
        <f t="shared" si="137"/>
        <v>30</v>
      </c>
      <c r="AC463" s="71" t="s">
        <v>374</v>
      </c>
      <c r="AD463" s="71">
        <v>150</v>
      </c>
      <c r="AE463" s="72" t="str">
        <f t="shared" si="168"/>
        <v>射手特饮</v>
      </c>
      <c r="AF463" s="71">
        <v>300</v>
      </c>
      <c r="AG463" s="71"/>
      <c r="AH463" s="71"/>
      <c r="AI463" s="71" t="s">
        <v>390</v>
      </c>
      <c r="AJ463" s="71">
        <v>1</v>
      </c>
      <c r="AK463" s="71" t="s">
        <v>96</v>
      </c>
      <c r="AL463" s="71">
        <f t="shared" si="142"/>
        <v>600</v>
      </c>
      <c r="AN463" s="23" t="str">
        <f ca="1" t="shared" si="166"/>
        <v>{11,5}</v>
      </c>
      <c r="AO463" s="23" t="str">
        <f ca="1" t="shared" si="161"/>
        <v/>
      </c>
      <c r="AP463" s="23" t="str">
        <f ca="1" t="shared" si="143"/>
        <v>{50007,15}</v>
      </c>
      <c r="AQ463" s="23" t="str">
        <f ca="1" t="shared" si="144"/>
        <v>{5133001,200}</v>
      </c>
      <c r="AR463" s="23" t="str">
        <f ca="1" t="shared" si="145"/>
        <v>{2,240}</v>
      </c>
      <c r="AS463" s="23" t="str">
        <f ca="1" t="shared" si="146"/>
        <v>{5163001,250}</v>
      </c>
      <c r="AT463" s="23" t="str">
        <f ca="1" t="shared" ref="AT463:AT526" si="172">IF(OFFSET($B463,0,AT$320*2+1)="","","{"&amp;VLOOKUP(OFFSET($B463,0,AT$320*2+1),$AN$291:$AO$317,2,0)&amp;","&amp;OFFSET($B463,0,AT$320*2+2)&amp;"}")</f>
        <v>{5523001,200}</v>
      </c>
      <c r="AU463" s="23" t="str">
        <f ca="1" t="shared" si="159"/>
        <v/>
      </c>
      <c r="AV463" s="23" t="str">
        <f ca="1" t="shared" si="147"/>
        <v>{50003,25}</v>
      </c>
      <c r="AW463" s="23" t="str">
        <f ca="1" t="shared" si="148"/>
        <v/>
      </c>
      <c r="AX463" s="23" t="str">
        <f ca="1" t="shared" si="149"/>
        <v>{2,360}</v>
      </c>
      <c r="AY463" s="23" t="str">
        <f ca="1" t="shared" si="150"/>
        <v>{5204001,5}</v>
      </c>
      <c r="AZ463" s="23" t="str">
        <f ca="1" t="shared" si="138"/>
        <v>{5203001,30}</v>
      </c>
      <c r="BA463" s="23" t="str">
        <f ca="1" t="shared" si="151"/>
        <v>{1,150}</v>
      </c>
      <c r="BB463" s="23" t="s">
        <v>401</v>
      </c>
      <c r="BC463" s="23" t="str">
        <f ca="1" t="shared" si="152"/>
        <v>{5133001,300}</v>
      </c>
      <c r="BD463" s="23" t="str">
        <f ca="1" t="shared" si="169"/>
        <v/>
      </c>
      <c r="BE463" s="23" t="str">
        <f ca="1" t="shared" si="135"/>
        <v>{50039,1}</v>
      </c>
      <c r="BF463" s="23" t="str">
        <f ca="1" t="shared" si="153"/>
        <v>{2,600}</v>
      </c>
      <c r="BI463" s="23" t="str">
        <f ca="1" t="shared" si="154"/>
        <v>[{11,5},{50007,15},{5133001,200},{2,240}]</v>
      </c>
      <c r="BJ463" s="23" t="str">
        <f ca="1" t="shared" si="155"/>
        <v>[{5163001,250},{5523001,200},{50003,25},{2,360},{5204001,5}]</v>
      </c>
      <c r="BK463" s="23" t="str">
        <f ca="1" t="shared" si="156"/>
        <v>[{5203001,30},{1,150},{5523001,300},{5133001,300},{50039,1},{2,600}]</v>
      </c>
      <c r="BL463" s="23">
        <f ca="1" t="shared" si="157"/>
        <v>4</v>
      </c>
      <c r="BM463" s="23">
        <f ca="1" t="shared" si="158"/>
        <v>5</v>
      </c>
      <c r="BN463" s="23">
        <f ca="1" t="shared" si="160"/>
        <v>6</v>
      </c>
      <c r="BP463" s="71" t="s">
        <v>374</v>
      </c>
      <c r="BQ463" s="71">
        <v>150</v>
      </c>
    </row>
    <row r="464" ht="16.5" spans="2:69">
      <c r="B464" s="23">
        <v>144</v>
      </c>
      <c r="C464" s="12"/>
      <c r="D464" s="12"/>
      <c r="E464" s="71"/>
      <c r="F464" s="71"/>
      <c r="G464" s="71" t="str">
        <f t="shared" si="162"/>
        <v>手套图纸</v>
      </c>
      <c r="H464" s="71">
        <v>15</v>
      </c>
      <c r="I464" s="71" t="str">
        <f t="shared" si="167"/>
        <v>法师特饮</v>
      </c>
      <c r="J464" s="71">
        <v>200</v>
      </c>
      <c r="K464" s="71" t="s">
        <v>96</v>
      </c>
      <c r="L464" s="71">
        <v>240</v>
      </c>
      <c r="M464" s="71" t="str">
        <f t="shared" si="170"/>
        <v>控制特饮</v>
      </c>
      <c r="N464" s="71">
        <f t="shared" si="136"/>
        <v>250</v>
      </c>
      <c r="O464" s="71" t="s">
        <v>316</v>
      </c>
      <c r="P464" s="71">
        <v>200</v>
      </c>
      <c r="Q464" s="71"/>
      <c r="R464" s="71"/>
      <c r="S464" s="72" t="str">
        <f t="shared" si="163"/>
        <v>衣服图纸</v>
      </c>
      <c r="T464" s="71">
        <v>25</v>
      </c>
      <c r="U464" s="71" t="str">
        <f t="shared" si="164"/>
        <v/>
      </c>
      <c r="V464" s="71">
        <f t="shared" si="165"/>
        <v>0</v>
      </c>
      <c r="W464" s="71" t="s">
        <v>96</v>
      </c>
      <c r="X464" s="71">
        <f t="shared" si="141"/>
        <v>360</v>
      </c>
      <c r="Y464" s="71"/>
      <c r="Z464" s="71"/>
      <c r="AA464" s="71" t="str">
        <f t="shared" si="171"/>
        <v>基因罐</v>
      </c>
      <c r="AB464" s="71">
        <f t="shared" si="137"/>
        <v>30</v>
      </c>
      <c r="AC464" s="71" t="s">
        <v>374</v>
      </c>
      <c r="AD464" s="71">
        <v>150</v>
      </c>
      <c r="AE464" s="72" t="str">
        <f t="shared" si="168"/>
        <v>战士特饮</v>
      </c>
      <c r="AF464" s="71">
        <v>300</v>
      </c>
      <c r="AG464" s="71"/>
      <c r="AH464" s="71"/>
      <c r="AI464" s="71" t="s">
        <v>390</v>
      </c>
      <c r="AJ464" s="71">
        <v>1</v>
      </c>
      <c r="AK464" s="71" t="s">
        <v>96</v>
      </c>
      <c r="AL464" s="71">
        <f t="shared" si="142"/>
        <v>600</v>
      </c>
      <c r="AN464" s="23" t="str">
        <f ca="1" t="shared" si="166"/>
        <v>{11,5}</v>
      </c>
      <c r="AO464" s="23" t="str">
        <f ca="1" t="shared" si="161"/>
        <v/>
      </c>
      <c r="AP464" s="23" t="str">
        <f ca="1" t="shared" si="143"/>
        <v>{50008,15}</v>
      </c>
      <c r="AQ464" s="23" t="str">
        <f ca="1" t="shared" si="144"/>
        <v>{5123001,200}</v>
      </c>
      <c r="AR464" s="23" t="str">
        <f ca="1" t="shared" si="145"/>
        <v>{2,240}</v>
      </c>
      <c r="AS464" s="23" t="str">
        <f ca="1" t="shared" si="146"/>
        <v>{5153001,250}</v>
      </c>
      <c r="AT464" s="23" t="str">
        <f ca="1" t="shared" si="172"/>
        <v>{5523001,200}</v>
      </c>
      <c r="AU464" s="23" t="str">
        <f ca="1" t="shared" si="159"/>
        <v/>
      </c>
      <c r="AV464" s="23" t="str">
        <f ca="1" t="shared" si="147"/>
        <v>{50004,25}</v>
      </c>
      <c r="AW464" s="23" t="str">
        <f ca="1" t="shared" si="148"/>
        <v/>
      </c>
      <c r="AX464" s="23" t="str">
        <f ca="1" t="shared" si="149"/>
        <v>{2,360}</v>
      </c>
      <c r="AY464" s="23" t="str">
        <f ca="1" t="shared" si="150"/>
        <v>{5204001,5}</v>
      </c>
      <c r="AZ464" s="23" t="str">
        <f ca="1" t="shared" si="138"/>
        <v>{5203001,30}</v>
      </c>
      <c r="BA464" s="23" t="str">
        <f ca="1" t="shared" si="151"/>
        <v>{1,150}</v>
      </c>
      <c r="BB464" s="23" t="s">
        <v>401</v>
      </c>
      <c r="BC464" s="23" t="str">
        <f ca="1" t="shared" si="152"/>
        <v>{5113001,300}</v>
      </c>
      <c r="BD464" s="23" t="str">
        <f ca="1" t="shared" si="169"/>
        <v/>
      </c>
      <c r="BE464" s="23" t="str">
        <f ca="1" t="shared" ref="BE464:BE527" si="173">IF(OFFSET($B464,0,BE$320*2+1)="","","{"&amp;VLOOKUP(OFFSET($B464,0,BE$320*2+1),$AN$291:$AO$316,2,0)&amp;","&amp;OFFSET($B464,0,BE$320*2+2)&amp;"}")</f>
        <v>{50039,1}</v>
      </c>
      <c r="BF464" s="23" t="str">
        <f ca="1" t="shared" si="153"/>
        <v>{2,600}</v>
      </c>
      <c r="BI464" s="23" t="str">
        <f ca="1" t="shared" si="154"/>
        <v>[{11,5},{50008,15},{5123001,200},{2,240}]</v>
      </c>
      <c r="BJ464" s="23" t="str">
        <f ca="1" t="shared" si="155"/>
        <v>[{5153001,250},{5523001,200},{50004,25},{2,360},{5204001,5}]</v>
      </c>
      <c r="BK464" s="23" t="str">
        <f ca="1" t="shared" si="156"/>
        <v>[{5203001,30},{1,150},{5523001,300},{5113001,300},{50039,1},{2,600}]</v>
      </c>
      <c r="BL464" s="23">
        <f ca="1" t="shared" si="157"/>
        <v>4</v>
      </c>
      <c r="BM464" s="23">
        <f ca="1" t="shared" si="158"/>
        <v>5</v>
      </c>
      <c r="BN464" s="23">
        <f ca="1" t="shared" si="160"/>
        <v>6</v>
      </c>
      <c r="BP464" s="71" t="s">
        <v>374</v>
      </c>
      <c r="BQ464" s="71">
        <v>150</v>
      </c>
    </row>
    <row r="465" ht="16.5" spans="2:69">
      <c r="B465" s="23">
        <v>145</v>
      </c>
      <c r="C465" s="12" t="inlineStr">
        <is>
          <t>梦愿水晶</t>
        </is>
      </c>
      <c r="D465" s="12">
        <v>1</v>
      </c>
      <c r="E465" s="71"/>
      <c r="F465" s="71"/>
      <c r="G465" s="71" t="str">
        <f t="shared" si="162"/>
        <v>头盔图纸</v>
      </c>
      <c r="H465" s="71">
        <v>15</v>
      </c>
      <c r="I465" s="71" t="str">
        <f t="shared" si="167"/>
        <v>辅助特饮</v>
      </c>
      <c r="J465" s="71">
        <v>200</v>
      </c>
      <c r="K465" s="71" t="s">
        <v>96</v>
      </c>
      <c r="L465" s="71">
        <v>240</v>
      </c>
      <c r="M465" s="71" t="str">
        <f t="shared" si="170"/>
        <v>战士特饮</v>
      </c>
      <c r="N465" s="71">
        <f t="shared" si="136"/>
        <v>250</v>
      </c>
      <c r="O465" s="71" t="s">
        <v>316</v>
      </c>
      <c r="P465" s="71">
        <v>200</v>
      </c>
      <c r="Q465" s="71"/>
      <c r="R465" s="71"/>
      <c r="S465" s="72" t="str">
        <f t="shared" si="163"/>
        <v>护臂图纸</v>
      </c>
      <c r="T465" s="71">
        <v>25</v>
      </c>
      <c r="U465" s="71" t="str">
        <f t="shared" si="164"/>
        <v>灵感获取令</v>
      </c>
      <c r="V465" s="71">
        <f t="shared" si="165"/>
        <v>1</v>
      </c>
      <c r="W465" s="71" t="s">
        <v>96</v>
      </c>
      <c r="X465" s="71">
        <f t="shared" si="141"/>
        <v>360</v>
      </c>
      <c r="Y465" s="71"/>
      <c r="Z465" s="71"/>
      <c r="AA465" s="71" t="str">
        <f t="shared" si="171"/>
        <v>传说基因罐</v>
      </c>
      <c r="AB465" s="71">
        <f t="shared" si="137"/>
        <v>3</v>
      </c>
      <c r="AC465" s="71" t="s">
        <v>374</v>
      </c>
      <c r="AD465" s="71">
        <v>150</v>
      </c>
      <c r="AE465" s="72" t="str">
        <f t="shared" si="168"/>
        <v>法师特饮</v>
      </c>
      <c r="AF465" s="71">
        <v>300</v>
      </c>
      <c r="AG465" s="71"/>
      <c r="AH465" s="71"/>
      <c r="AI465" s="71" t="s">
        <v>390</v>
      </c>
      <c r="AJ465" s="71">
        <v>1</v>
      </c>
      <c r="AK465" s="71" t="s">
        <v>96</v>
      </c>
      <c r="AL465" s="71">
        <f t="shared" si="142"/>
        <v>600</v>
      </c>
      <c r="AN465" s="23" t="str">
        <f ca="1" t="shared" si="166"/>
        <v>{35,1}</v>
      </c>
      <c r="AO465" s="23" t="str">
        <f ca="1" t="shared" si="161"/>
        <v/>
      </c>
      <c r="AP465" s="23" t="str">
        <f ca="1" t="shared" si="143"/>
        <v>{50003,15}</v>
      </c>
      <c r="AQ465" s="23" t="str">
        <f ca="1" t="shared" si="144"/>
        <v>{5143001,200}</v>
      </c>
      <c r="AR465" s="23" t="str">
        <f ca="1" t="shared" si="145"/>
        <v>{2,240}</v>
      </c>
      <c r="AS465" s="23" t="str">
        <f ca="1" t="shared" si="146"/>
        <v>{5113001,250}</v>
      </c>
      <c r="AT465" s="23" t="str">
        <f ca="1" t="shared" si="172"/>
        <v>{5523001,200}</v>
      </c>
      <c r="AU465" s="23" t="str">
        <f ca="1" t="shared" si="159"/>
        <v/>
      </c>
      <c r="AV465" s="23" t="str">
        <f ca="1" t="shared" si="147"/>
        <v>{50005,25}</v>
      </c>
      <c r="AW465" s="23" t="str">
        <f ca="1" t="shared" si="148"/>
        <v>{9,1}</v>
      </c>
      <c r="AX465" s="23" t="str">
        <f ca="1" t="shared" si="149"/>
        <v>{2,360}</v>
      </c>
      <c r="AY465" s="23" t="str">
        <f ca="1" t="shared" si="150"/>
        <v>{5204001,5}</v>
      </c>
      <c r="AZ465" s="23" t="str">
        <f ca="1" t="shared" si="138"/>
        <v>{5205001,3}</v>
      </c>
      <c r="BA465" s="23" t="str">
        <f ca="1" t="shared" si="151"/>
        <v>{1,150}</v>
      </c>
      <c r="BB465" s="23" t="s">
        <v>401</v>
      </c>
      <c r="BC465" s="23" t="str">
        <f ca="1" t="shared" si="152"/>
        <v>{5123001,300}</v>
      </c>
      <c r="BD465" s="23" t="str">
        <f ca="1" t="shared" si="169"/>
        <v/>
      </c>
      <c r="BE465" s="23" t="str">
        <f ca="1" t="shared" si="173"/>
        <v>{50039,1}</v>
      </c>
      <c r="BF465" s="23" t="str">
        <f ca="1" t="shared" si="153"/>
        <v>{2,600}</v>
      </c>
      <c r="BI465" s="23" t="str">
        <f ca="1" t="shared" si="154"/>
        <v>[{35,1},{50003,15},{5143001,200},{2,240}]</v>
      </c>
      <c r="BJ465" s="23" t="str">
        <f ca="1" t="shared" si="155"/>
        <v>[{5113001,250},{5523001,200},{50005,25},{9,1},{2,360},{5204001,5}]</v>
      </c>
      <c r="BK465" s="23" t="str">
        <f ca="1" t="shared" si="156"/>
        <v>[{5205001,3},{1,150},{5523001,300},{5123001,300},{50039,1},{2,600}]</v>
      </c>
      <c r="BL465" s="23">
        <f ca="1" t="shared" si="157"/>
        <v>4</v>
      </c>
      <c r="BM465" s="23">
        <f ca="1" t="shared" si="158"/>
        <v>6</v>
      </c>
      <c r="BN465" s="23">
        <f ca="1" t="shared" si="160"/>
        <v>6</v>
      </c>
      <c r="BP465" s="71" t="s">
        <v>374</v>
      </c>
      <c r="BQ465" s="71">
        <v>150</v>
      </c>
    </row>
    <row r="466" ht="16.5" spans="2:69">
      <c r="B466" s="23">
        <v>146</v>
      </c>
      <c r="C466" s="12"/>
      <c r="D466" s="12"/>
      <c r="E466" s="71"/>
      <c r="F466" s="71"/>
      <c r="G466" s="71" t="str">
        <f t="shared" si="162"/>
        <v>衣服图纸</v>
      </c>
      <c r="H466" s="71">
        <v>15</v>
      </c>
      <c r="I466" s="71" t="str">
        <f t="shared" si="167"/>
        <v>战士特饮</v>
      </c>
      <c r="J466" s="71">
        <v>200</v>
      </c>
      <c r="K466" s="71" t="s">
        <v>96</v>
      </c>
      <c r="L466" s="71">
        <v>240</v>
      </c>
      <c r="M466" s="71" t="str">
        <f t="shared" si="170"/>
        <v>法师特饮</v>
      </c>
      <c r="N466" s="71">
        <f t="shared" si="136"/>
        <v>250</v>
      </c>
      <c r="O466" s="71" t="s">
        <v>316</v>
      </c>
      <c r="P466" s="71">
        <v>200</v>
      </c>
      <c r="Q466" s="71"/>
      <c r="R466" s="71"/>
      <c r="S466" s="72" t="str">
        <f t="shared" si="163"/>
        <v>裤子图纸</v>
      </c>
      <c r="T466" s="71">
        <v>25</v>
      </c>
      <c r="U466" s="71" t="str">
        <f t="shared" si="164"/>
        <v/>
      </c>
      <c r="V466" s="71">
        <f t="shared" si="165"/>
        <v>0</v>
      </c>
      <c r="W466" s="71" t="s">
        <v>96</v>
      </c>
      <c r="X466" s="71">
        <f t="shared" si="141"/>
        <v>360</v>
      </c>
      <c r="Y466" s="71"/>
      <c r="Z466" s="71"/>
      <c r="AA466" s="71" t="str">
        <f t="shared" si="171"/>
        <v>基因罐</v>
      </c>
      <c r="AB466" s="71">
        <f t="shared" si="137"/>
        <v>30</v>
      </c>
      <c r="AC466" s="71" t="s">
        <v>374</v>
      </c>
      <c r="AD466" s="71">
        <v>150</v>
      </c>
      <c r="AE466" s="72" t="str">
        <f t="shared" si="168"/>
        <v>辅助特饮</v>
      </c>
      <c r="AF466" s="71">
        <v>300</v>
      </c>
      <c r="AG466" s="71"/>
      <c r="AH466" s="71"/>
      <c r="AI466" s="71" t="s">
        <v>390</v>
      </c>
      <c r="AJ466" s="71">
        <v>1</v>
      </c>
      <c r="AK466" s="71" t="s">
        <v>96</v>
      </c>
      <c r="AL466" s="71">
        <f t="shared" si="142"/>
        <v>600</v>
      </c>
      <c r="AN466" s="23" t="str">
        <f ca="1" t="shared" si="166"/>
        <v>{11,5}</v>
      </c>
      <c r="AO466" s="23" t="str">
        <f ca="1" t="shared" si="161"/>
        <v/>
      </c>
      <c r="AP466" s="23" t="str">
        <f ca="1" t="shared" si="143"/>
        <v>{50004,15}</v>
      </c>
      <c r="AQ466" s="23" t="str">
        <f ca="1" t="shared" si="144"/>
        <v>{5113001,200}</v>
      </c>
      <c r="AR466" s="23" t="str">
        <f ca="1" t="shared" si="145"/>
        <v>{2,240}</v>
      </c>
      <c r="AS466" s="23" t="str">
        <f ca="1" t="shared" si="146"/>
        <v>{5123001,250}</v>
      </c>
      <c r="AT466" s="23" t="str">
        <f ca="1" t="shared" si="172"/>
        <v>{5523001,200}</v>
      </c>
      <c r="AU466" s="23" t="str">
        <f ca="1" t="shared" si="159"/>
        <v/>
      </c>
      <c r="AV466" s="23" t="str">
        <f ca="1" t="shared" si="147"/>
        <v>{50006,25}</v>
      </c>
      <c r="AW466" s="23" t="str">
        <f ca="1" t="shared" si="148"/>
        <v/>
      </c>
      <c r="AX466" s="23" t="str">
        <f ca="1" t="shared" si="149"/>
        <v>{2,360}</v>
      </c>
      <c r="AY466" s="23" t="str">
        <f ca="1" t="shared" si="150"/>
        <v>{5204001,5}</v>
      </c>
      <c r="AZ466" s="23" t="str">
        <f ca="1" t="shared" si="138"/>
        <v>{5203001,30}</v>
      </c>
      <c r="BA466" s="23" t="str">
        <f ca="1" t="shared" si="151"/>
        <v>{1,150}</v>
      </c>
      <c r="BB466" s="23" t="s">
        <v>401</v>
      </c>
      <c r="BC466" s="23" t="str">
        <f ca="1" t="shared" si="152"/>
        <v>{5143001,300}</v>
      </c>
      <c r="BD466" s="23" t="str">
        <f ca="1" t="shared" si="169"/>
        <v/>
      </c>
      <c r="BE466" s="23" t="str">
        <f ca="1" t="shared" si="173"/>
        <v>{50039,1}</v>
      </c>
      <c r="BF466" s="23" t="str">
        <f ca="1" t="shared" si="153"/>
        <v>{2,600}</v>
      </c>
      <c r="BI466" s="23" t="str">
        <f ca="1" t="shared" si="154"/>
        <v>[{11,5},{50004,15},{5113001,200},{2,240}]</v>
      </c>
      <c r="BJ466" s="23" t="str">
        <f ca="1" t="shared" si="155"/>
        <v>[{5123001,250},{5523001,200},{50006,25},{2,360},{5204001,5}]</v>
      </c>
      <c r="BK466" s="23" t="str">
        <f ca="1" t="shared" si="156"/>
        <v>[{5203001,30},{1,150},{5523001,300},{5143001,300},{50039,1},{2,600}]</v>
      </c>
      <c r="BL466" s="23">
        <f ca="1" t="shared" si="157"/>
        <v>4</v>
      </c>
      <c r="BM466" s="23">
        <f ca="1" t="shared" si="158"/>
        <v>5</v>
      </c>
      <c r="BN466" s="23">
        <f ca="1" t="shared" si="160"/>
        <v>6</v>
      </c>
      <c r="BP466" s="71" t="s">
        <v>374</v>
      </c>
      <c r="BQ466" s="71">
        <v>150</v>
      </c>
    </row>
    <row r="467" ht="16.5" spans="2:69">
      <c r="B467" s="23">
        <v>147</v>
      </c>
      <c r="C467" s="12"/>
      <c r="D467" s="12"/>
      <c r="E467" s="71"/>
      <c r="F467" s="71"/>
      <c r="G467" s="71" t="str">
        <f t="shared" si="162"/>
        <v>护臂图纸</v>
      </c>
      <c r="H467" s="71">
        <v>15</v>
      </c>
      <c r="I467" s="71" t="str">
        <f t="shared" si="167"/>
        <v>毒系特饮</v>
      </c>
      <c r="J467" s="71">
        <v>200</v>
      </c>
      <c r="K467" s="71" t="s">
        <v>96</v>
      </c>
      <c r="L467" s="71">
        <v>240</v>
      </c>
      <c r="M467" s="71" t="str">
        <f t="shared" si="170"/>
        <v>辅助特饮</v>
      </c>
      <c r="N467" s="71">
        <f t="shared" ref="N467:N530" si="174">N466</f>
        <v>250</v>
      </c>
      <c r="O467" s="71" t="s">
        <v>316</v>
      </c>
      <c r="P467" s="71">
        <v>200</v>
      </c>
      <c r="Q467" s="71"/>
      <c r="R467" s="71"/>
      <c r="S467" s="72" t="str">
        <f t="shared" si="163"/>
        <v>鞋子图纸</v>
      </c>
      <c r="T467" s="71">
        <v>25</v>
      </c>
      <c r="U467" s="71" t="str">
        <f t="shared" si="164"/>
        <v/>
      </c>
      <c r="V467" s="71">
        <f t="shared" si="165"/>
        <v>0</v>
      </c>
      <c r="W467" s="71" t="s">
        <v>96</v>
      </c>
      <c r="X467" s="71">
        <f t="shared" si="141"/>
        <v>360</v>
      </c>
      <c r="Y467" s="71"/>
      <c r="Z467" s="71"/>
      <c r="AA467" s="71" t="str">
        <f t="shared" si="171"/>
        <v>基因罐</v>
      </c>
      <c r="AB467" s="71">
        <f t="shared" si="137"/>
        <v>30</v>
      </c>
      <c r="AC467" s="71" t="s">
        <v>374</v>
      </c>
      <c r="AD467" s="71">
        <v>150</v>
      </c>
      <c r="AE467" s="72" t="str">
        <f t="shared" si="168"/>
        <v>毒系特饮</v>
      </c>
      <c r="AF467" s="71">
        <v>300</v>
      </c>
      <c r="AG467" s="71"/>
      <c r="AH467" s="71"/>
      <c r="AI467" s="71" t="s">
        <v>390</v>
      </c>
      <c r="AJ467" s="71">
        <v>1</v>
      </c>
      <c r="AK467" s="71" t="s">
        <v>96</v>
      </c>
      <c r="AL467" s="71">
        <f t="shared" si="142"/>
        <v>600</v>
      </c>
      <c r="AN467" s="23" t="str">
        <f ca="1" t="shared" si="166"/>
        <v>{11,5}</v>
      </c>
      <c r="AO467" s="23" t="str">
        <f ca="1" t="shared" si="161"/>
        <v/>
      </c>
      <c r="AP467" s="23" t="str">
        <f ca="1" t="shared" si="143"/>
        <v>{50005,15}</v>
      </c>
      <c r="AQ467" s="23" t="str">
        <f ca="1" t="shared" si="144"/>
        <v>{5163001,200}</v>
      </c>
      <c r="AR467" s="23" t="str">
        <f ca="1" t="shared" si="145"/>
        <v>{2,240}</v>
      </c>
      <c r="AS467" s="23" t="str">
        <f ca="1" t="shared" si="146"/>
        <v>{5143001,250}</v>
      </c>
      <c r="AT467" s="23" t="str">
        <f ca="1" t="shared" si="172"/>
        <v>{5523001,200}</v>
      </c>
      <c r="AU467" s="23" t="str">
        <f ca="1" t="shared" si="159"/>
        <v/>
      </c>
      <c r="AV467" s="23" t="str">
        <f ca="1" t="shared" si="147"/>
        <v>{50007,25}</v>
      </c>
      <c r="AW467" s="23" t="str">
        <f ca="1" t="shared" si="148"/>
        <v/>
      </c>
      <c r="AX467" s="23" t="str">
        <f ca="1" t="shared" si="149"/>
        <v>{2,360}</v>
      </c>
      <c r="AY467" s="23" t="str">
        <f ca="1" t="shared" si="150"/>
        <v>{5204001,5}</v>
      </c>
      <c r="AZ467" s="23" t="str">
        <f ca="1" t="shared" si="138"/>
        <v>{5203001,30}</v>
      </c>
      <c r="BA467" s="23" t="str">
        <f ca="1" t="shared" si="151"/>
        <v>{1,150}</v>
      </c>
      <c r="BB467" s="23" t="s">
        <v>401</v>
      </c>
      <c r="BC467" s="23" t="str">
        <f ca="1" t="shared" si="152"/>
        <v>{5163001,300}</v>
      </c>
      <c r="BD467" s="23" t="str">
        <f ca="1" t="shared" si="169"/>
        <v/>
      </c>
      <c r="BE467" s="23" t="str">
        <f ca="1" t="shared" si="173"/>
        <v>{50039,1}</v>
      </c>
      <c r="BF467" s="23" t="str">
        <f ca="1" t="shared" si="153"/>
        <v>{2,600}</v>
      </c>
      <c r="BI467" s="23" t="str">
        <f ca="1" t="shared" si="154"/>
        <v>[{11,5},{50005,15},{5163001,200},{2,240}]</v>
      </c>
      <c r="BJ467" s="23" t="str">
        <f ca="1" t="shared" si="155"/>
        <v>[{5143001,250},{5523001,200},{50007,25},{2,360},{5204001,5}]</v>
      </c>
      <c r="BK467" s="23" t="str">
        <f ca="1" t="shared" si="156"/>
        <v>[{5203001,30},{1,150},{5523001,300},{5163001,300},{50039,1},{2,600}]</v>
      </c>
      <c r="BL467" s="23">
        <f ca="1" t="shared" si="157"/>
        <v>4</v>
      </c>
      <c r="BM467" s="23">
        <f ca="1" t="shared" si="158"/>
        <v>5</v>
      </c>
      <c r="BN467" s="23">
        <f ca="1" t="shared" si="160"/>
        <v>6</v>
      </c>
      <c r="BP467" s="71" t="s">
        <v>374</v>
      </c>
      <c r="BQ467" s="71">
        <v>150</v>
      </c>
    </row>
    <row r="468" ht="16.5" spans="2:69">
      <c r="B468" s="23">
        <v>148</v>
      </c>
      <c r="C468" s="12"/>
      <c r="D468" s="12"/>
      <c r="E468" s="71"/>
      <c r="F468" s="71"/>
      <c r="G468" s="71" t="str">
        <f t="shared" si="162"/>
        <v>裤子图纸</v>
      </c>
      <c r="H468" s="71">
        <v>15</v>
      </c>
      <c r="I468" s="71" t="str">
        <f t="shared" si="167"/>
        <v>控制特饮</v>
      </c>
      <c r="J468" s="71">
        <v>200</v>
      </c>
      <c r="K468" s="71" t="s">
        <v>96</v>
      </c>
      <c r="L468" s="71">
        <v>240</v>
      </c>
      <c r="M468" s="71" t="str">
        <f t="shared" si="170"/>
        <v>射手特饮</v>
      </c>
      <c r="N468" s="71">
        <f t="shared" si="174"/>
        <v>250</v>
      </c>
      <c r="O468" s="71" t="s">
        <v>316</v>
      </c>
      <c r="P468" s="71">
        <v>200</v>
      </c>
      <c r="Q468" s="71"/>
      <c r="R468" s="71"/>
      <c r="S468" s="72" t="str">
        <f t="shared" si="163"/>
        <v>手套图纸</v>
      </c>
      <c r="T468" s="71">
        <v>25</v>
      </c>
      <c r="U468" s="71" t="str">
        <f t="shared" si="164"/>
        <v/>
      </c>
      <c r="V468" s="71">
        <f t="shared" si="165"/>
        <v>0</v>
      </c>
      <c r="W468" s="71" t="s">
        <v>96</v>
      </c>
      <c r="X468" s="71">
        <f t="shared" si="141"/>
        <v>360</v>
      </c>
      <c r="Y468" s="71"/>
      <c r="Z468" s="71"/>
      <c r="AA468" s="71" t="str">
        <f t="shared" si="171"/>
        <v>基因罐</v>
      </c>
      <c r="AB468" s="71">
        <f t="shared" si="137"/>
        <v>30</v>
      </c>
      <c r="AC468" s="71" t="s">
        <v>374</v>
      </c>
      <c r="AD468" s="71">
        <v>150</v>
      </c>
      <c r="AE468" s="72" t="str">
        <f t="shared" si="168"/>
        <v>控制特饮</v>
      </c>
      <c r="AF468" s="71">
        <v>300</v>
      </c>
      <c r="AG468" s="71"/>
      <c r="AH468" s="71"/>
      <c r="AI468" s="71" t="s">
        <v>390</v>
      </c>
      <c r="AJ468" s="71">
        <v>1</v>
      </c>
      <c r="AK468" s="71" t="s">
        <v>96</v>
      </c>
      <c r="AL468" s="71">
        <f t="shared" si="142"/>
        <v>600</v>
      </c>
      <c r="AN468" s="23" t="str">
        <f ca="1" t="shared" si="166"/>
        <v>{11,5}</v>
      </c>
      <c r="AO468" s="23" t="str">
        <f ca="1" t="shared" si="161"/>
        <v/>
      </c>
      <c r="AP468" s="23" t="str">
        <f ca="1" t="shared" si="143"/>
        <v>{50006,15}</v>
      </c>
      <c r="AQ468" s="23" t="str">
        <f ca="1" t="shared" si="144"/>
        <v>{5153001,200}</v>
      </c>
      <c r="AR468" s="23" t="str">
        <f ca="1" t="shared" si="145"/>
        <v>{2,240}</v>
      </c>
      <c r="AS468" s="23" t="str">
        <f ca="1" t="shared" si="146"/>
        <v>{5133001,250}</v>
      </c>
      <c r="AT468" s="23" t="str">
        <f ca="1" t="shared" si="172"/>
        <v>{5523001,200}</v>
      </c>
      <c r="AU468" s="23" t="str">
        <f ca="1" t="shared" si="159"/>
        <v/>
      </c>
      <c r="AV468" s="23" t="str">
        <f ca="1" t="shared" si="147"/>
        <v>{50008,25}</v>
      </c>
      <c r="AW468" s="23" t="str">
        <f ca="1" t="shared" si="148"/>
        <v/>
      </c>
      <c r="AX468" s="23" t="str">
        <f ca="1" t="shared" si="149"/>
        <v>{2,360}</v>
      </c>
      <c r="AY468" s="23" t="str">
        <f ca="1" t="shared" si="150"/>
        <v>{5204001,5}</v>
      </c>
      <c r="AZ468" s="23" t="str">
        <f ca="1" t="shared" si="138"/>
        <v>{5203001,30}</v>
      </c>
      <c r="BA468" s="23" t="str">
        <f ca="1" t="shared" si="151"/>
        <v>{1,150}</v>
      </c>
      <c r="BB468" s="23" t="s">
        <v>401</v>
      </c>
      <c r="BC468" s="23" t="str">
        <f ca="1" t="shared" si="152"/>
        <v>{5153001,300}</v>
      </c>
      <c r="BD468" s="23" t="str">
        <f ca="1" t="shared" si="169"/>
        <v/>
      </c>
      <c r="BE468" s="23" t="str">
        <f ca="1" t="shared" si="173"/>
        <v>{50039,1}</v>
      </c>
      <c r="BF468" s="23" t="str">
        <f ca="1" t="shared" si="153"/>
        <v>{2,600}</v>
      </c>
      <c r="BI468" s="23" t="str">
        <f ca="1" t="shared" si="154"/>
        <v>[{11,5},{50006,15},{5153001,200},{2,240}]</v>
      </c>
      <c r="BJ468" s="23" t="str">
        <f ca="1" t="shared" si="155"/>
        <v>[{5133001,250},{5523001,200},{50008,25},{2,360},{5204001,5}]</v>
      </c>
      <c r="BK468" s="23" t="str">
        <f ca="1" t="shared" si="156"/>
        <v>[{5203001,30},{1,150},{5523001,300},{5153001,300},{50039,1},{2,600}]</v>
      </c>
      <c r="BL468" s="23">
        <f ca="1" t="shared" si="157"/>
        <v>4</v>
      </c>
      <c r="BM468" s="23">
        <f ca="1" t="shared" si="158"/>
        <v>5</v>
      </c>
      <c r="BN468" s="23">
        <f ca="1" t="shared" si="160"/>
        <v>6</v>
      </c>
      <c r="BP468" s="71" t="s">
        <v>374</v>
      </c>
      <c r="BQ468" s="71">
        <v>150</v>
      </c>
    </row>
    <row r="469" ht="16.5" spans="2:69">
      <c r="B469" s="23">
        <v>149</v>
      </c>
      <c r="C469" s="12"/>
      <c r="D469" s="12"/>
      <c r="E469" s="71"/>
      <c r="F469" s="71"/>
      <c r="G469" s="71" t="str">
        <f t="shared" si="162"/>
        <v>鞋子图纸</v>
      </c>
      <c r="H469" s="71">
        <v>15</v>
      </c>
      <c r="I469" s="71" t="str">
        <f t="shared" si="167"/>
        <v>射手特饮</v>
      </c>
      <c r="J469" s="71">
        <v>200</v>
      </c>
      <c r="K469" s="71" t="s">
        <v>96</v>
      </c>
      <c r="L469" s="71">
        <v>240</v>
      </c>
      <c r="M469" s="71" t="str">
        <f t="shared" si="170"/>
        <v>毒系特饮</v>
      </c>
      <c r="N469" s="71">
        <f t="shared" si="174"/>
        <v>250</v>
      </c>
      <c r="O469" s="71" t="s">
        <v>316</v>
      </c>
      <c r="P469" s="71">
        <v>200</v>
      </c>
      <c r="Q469" s="71"/>
      <c r="R469" s="71"/>
      <c r="S469" s="72" t="str">
        <f t="shared" si="163"/>
        <v>头盔图纸</v>
      </c>
      <c r="T469" s="71">
        <v>25</v>
      </c>
      <c r="U469" s="71" t="str">
        <f t="shared" si="164"/>
        <v/>
      </c>
      <c r="V469" s="71">
        <f t="shared" si="165"/>
        <v>0</v>
      </c>
      <c r="W469" s="71" t="s">
        <v>96</v>
      </c>
      <c r="X469" s="71">
        <f t="shared" si="141"/>
        <v>360</v>
      </c>
      <c r="Y469" s="71"/>
      <c r="Z469" s="71"/>
      <c r="AA469" s="71" t="str">
        <f t="shared" si="171"/>
        <v>基因罐</v>
      </c>
      <c r="AB469" s="71">
        <f t="shared" si="137"/>
        <v>30</v>
      </c>
      <c r="AC469" s="71" t="s">
        <v>374</v>
      </c>
      <c r="AD469" s="71">
        <v>150</v>
      </c>
      <c r="AE469" s="72" t="str">
        <f t="shared" si="168"/>
        <v>射手特饮</v>
      </c>
      <c r="AF469" s="71">
        <v>300</v>
      </c>
      <c r="AG469" s="71"/>
      <c r="AH469" s="71"/>
      <c r="AI469" s="71" t="s">
        <v>390</v>
      </c>
      <c r="AJ469" s="71">
        <v>1</v>
      </c>
      <c r="AK469" s="71" t="s">
        <v>96</v>
      </c>
      <c r="AL469" s="71">
        <f t="shared" si="142"/>
        <v>600</v>
      </c>
      <c r="AN469" s="23" t="str">
        <f ca="1" t="shared" si="166"/>
        <v>{11,5}</v>
      </c>
      <c r="AO469" s="23" t="str">
        <f ca="1" t="shared" si="161"/>
        <v/>
      </c>
      <c r="AP469" s="23" t="str">
        <f ca="1" t="shared" si="143"/>
        <v>{50007,15}</v>
      </c>
      <c r="AQ469" s="23" t="str">
        <f ca="1" t="shared" si="144"/>
        <v>{5133001,200}</v>
      </c>
      <c r="AR469" s="23" t="str">
        <f ca="1" t="shared" si="145"/>
        <v>{2,240}</v>
      </c>
      <c r="AS469" s="23" t="str">
        <f ca="1" t="shared" si="146"/>
        <v>{5163001,250}</v>
      </c>
      <c r="AT469" s="23" t="str">
        <f ca="1" t="shared" si="172"/>
        <v>{5523001,200}</v>
      </c>
      <c r="AU469" s="23" t="str">
        <f ca="1" t="shared" si="159"/>
        <v/>
      </c>
      <c r="AV469" s="23" t="str">
        <f ca="1" t="shared" si="147"/>
        <v>{50003,25}</v>
      </c>
      <c r="AW469" s="23" t="str">
        <f ca="1" t="shared" si="148"/>
        <v/>
      </c>
      <c r="AX469" s="23" t="str">
        <f ca="1" t="shared" si="149"/>
        <v>{2,360}</v>
      </c>
      <c r="AY469" s="23" t="str">
        <f ca="1" t="shared" si="150"/>
        <v>{5204001,5}</v>
      </c>
      <c r="AZ469" s="23" t="str">
        <f ca="1" t="shared" si="138"/>
        <v>{5203001,30}</v>
      </c>
      <c r="BA469" s="23" t="str">
        <f ca="1" t="shared" si="151"/>
        <v>{1,150}</v>
      </c>
      <c r="BB469" s="23" t="s">
        <v>401</v>
      </c>
      <c r="BC469" s="23" t="str">
        <f ca="1" t="shared" si="152"/>
        <v>{5133001,300}</v>
      </c>
      <c r="BD469" s="23" t="str">
        <f ca="1" t="shared" si="169"/>
        <v/>
      </c>
      <c r="BE469" s="23" t="str">
        <f ca="1" t="shared" si="173"/>
        <v>{50039,1}</v>
      </c>
      <c r="BF469" s="23" t="str">
        <f ca="1" t="shared" si="153"/>
        <v>{2,600}</v>
      </c>
      <c r="BI469" s="23" t="str">
        <f ca="1" t="shared" si="154"/>
        <v>[{11,5},{50007,15},{5133001,200},{2,240}]</v>
      </c>
      <c r="BJ469" s="23" t="str">
        <f ca="1" t="shared" si="155"/>
        <v>[{5163001,250},{5523001,200},{50003,25},{2,360},{5204001,5}]</v>
      </c>
      <c r="BK469" s="23" t="str">
        <f ca="1" t="shared" si="156"/>
        <v>[{5203001,30},{1,150},{5523001,300},{5133001,300},{50039,1},{2,600}]</v>
      </c>
      <c r="BL469" s="23">
        <f ca="1" t="shared" si="157"/>
        <v>4</v>
      </c>
      <c r="BM469" s="23">
        <f ca="1" t="shared" si="158"/>
        <v>5</v>
      </c>
      <c r="BN469" s="23">
        <f ca="1" t="shared" si="160"/>
        <v>6</v>
      </c>
      <c r="BP469" s="71" t="s">
        <v>374</v>
      </c>
      <c r="BQ469" s="71">
        <v>150</v>
      </c>
    </row>
    <row r="470" ht="16.5" spans="2:69">
      <c r="B470" s="23">
        <v>150</v>
      </c>
      <c r="C470" s="12" t="inlineStr">
        <is>
          <t>梦愿水晶</t>
        </is>
      </c>
      <c r="D470" s="12">
        <v>1</v>
      </c>
      <c r="E470" s="71"/>
      <c r="F470" s="71"/>
      <c r="G470" s="71" t="str">
        <f t="shared" si="162"/>
        <v>手套图纸</v>
      </c>
      <c r="H470" s="71">
        <v>15</v>
      </c>
      <c r="I470" s="71" t="str">
        <f t="shared" si="167"/>
        <v>法师特饮</v>
      </c>
      <c r="J470" s="71">
        <v>200</v>
      </c>
      <c r="K470" s="71" t="s">
        <v>96</v>
      </c>
      <c r="L470" s="71">
        <v>240</v>
      </c>
      <c r="M470" s="71" t="str">
        <f t="shared" si="170"/>
        <v>控制特饮</v>
      </c>
      <c r="N470" s="71">
        <f t="shared" si="174"/>
        <v>250</v>
      </c>
      <c r="O470" s="71" t="s">
        <v>316</v>
      </c>
      <c r="P470" s="71">
        <v>200</v>
      </c>
      <c r="Q470" s="71"/>
      <c r="R470" s="71"/>
      <c r="S470" s="72" t="str">
        <f t="shared" si="163"/>
        <v>衣服图纸</v>
      </c>
      <c r="T470" s="71">
        <v>25</v>
      </c>
      <c r="U470" s="71" t="str">
        <f t="shared" si="164"/>
        <v>灵感获取令</v>
      </c>
      <c r="V470" s="71">
        <f t="shared" si="165"/>
        <v>1</v>
      </c>
      <c r="W470" s="71" t="s">
        <v>96</v>
      </c>
      <c r="X470" s="71">
        <f t="shared" si="141"/>
        <v>360</v>
      </c>
      <c r="Y470" s="71"/>
      <c r="Z470" s="71"/>
      <c r="AA470" s="71" t="str">
        <f t="shared" si="171"/>
        <v>传说基因罐</v>
      </c>
      <c r="AB470" s="71">
        <f t="shared" si="137"/>
        <v>3</v>
      </c>
      <c r="AC470" s="71" t="s">
        <v>374</v>
      </c>
      <c r="AD470" s="71">
        <v>150</v>
      </c>
      <c r="AE470" s="72" t="str">
        <f t="shared" si="168"/>
        <v>战士特饮</v>
      </c>
      <c r="AF470" s="71">
        <v>300</v>
      </c>
      <c r="AG470" s="71"/>
      <c r="AH470" s="71"/>
      <c r="AI470" s="71" t="s">
        <v>390</v>
      </c>
      <c r="AJ470" s="71">
        <v>1</v>
      </c>
      <c r="AK470" s="71" t="s">
        <v>96</v>
      </c>
      <c r="AL470" s="71">
        <f t="shared" si="142"/>
        <v>600</v>
      </c>
      <c r="AN470" s="23" t="str">
        <f ca="1" t="shared" si="166"/>
        <v>{35,1}</v>
      </c>
      <c r="AO470" s="23" t="str">
        <f ca="1" t="shared" si="161"/>
        <v/>
      </c>
      <c r="AP470" s="23" t="str">
        <f ca="1" t="shared" si="143"/>
        <v>{50008,15}</v>
      </c>
      <c r="AQ470" s="23" t="str">
        <f ca="1" t="shared" si="144"/>
        <v>{5123001,200}</v>
      </c>
      <c r="AR470" s="23" t="str">
        <f ca="1" t="shared" si="145"/>
        <v>{2,240}</v>
      </c>
      <c r="AS470" s="23" t="str">
        <f ca="1" t="shared" si="146"/>
        <v>{5153001,250}</v>
      </c>
      <c r="AT470" s="23" t="str">
        <f ca="1" t="shared" si="172"/>
        <v>{5523001,200}</v>
      </c>
      <c r="AU470" s="23" t="str">
        <f ca="1" t="shared" si="159"/>
        <v/>
      </c>
      <c r="AV470" s="23" t="str">
        <f ca="1" t="shared" si="147"/>
        <v>{50004,25}</v>
      </c>
      <c r="AW470" s="23" t="str">
        <f ca="1" t="shared" si="148"/>
        <v>{9,1}</v>
      </c>
      <c r="AX470" s="23" t="str">
        <f ca="1" t="shared" si="149"/>
        <v>{2,360}</v>
      </c>
      <c r="AY470" s="23" t="str">
        <f ca="1" t="shared" si="150"/>
        <v>{5204001,5}</v>
      </c>
      <c r="AZ470" s="23" t="str">
        <f ca="1" t="shared" si="138"/>
        <v>{5205001,3}</v>
      </c>
      <c r="BA470" s="23" t="str">
        <f ca="1" t="shared" si="151"/>
        <v>{1,150}</v>
      </c>
      <c r="BB470" s="23" t="s">
        <v>401</v>
      </c>
      <c r="BC470" s="23" t="str">
        <f ca="1" t="shared" si="152"/>
        <v>{5113001,300}</v>
      </c>
      <c r="BD470" s="23" t="str">
        <f ca="1" t="shared" si="169"/>
        <v/>
      </c>
      <c r="BE470" s="23" t="str">
        <f ca="1" t="shared" si="173"/>
        <v>{50039,1}</v>
      </c>
      <c r="BF470" s="23" t="str">
        <f ca="1" t="shared" si="153"/>
        <v>{2,600}</v>
      </c>
      <c r="BI470" s="23" t="str">
        <f ca="1" t="shared" si="154"/>
        <v>[{35,1},{50008,15},{5123001,200},{2,240}]</v>
      </c>
      <c r="BJ470" s="23" t="str">
        <f ca="1" t="shared" si="155"/>
        <v>[{5153001,250},{5523001,200},{50004,25},{9,1},{2,360},{5204001,5}]</v>
      </c>
      <c r="BK470" s="23" t="str">
        <f ca="1" t="shared" si="156"/>
        <v>[{5205001,3},{1,150},{5523001,300},{5113001,300},{50039,1},{2,600}]</v>
      </c>
      <c r="BL470" s="23">
        <f ca="1" t="shared" si="157"/>
        <v>4</v>
      </c>
      <c r="BM470" s="23">
        <f ca="1" t="shared" si="158"/>
        <v>6</v>
      </c>
      <c r="BN470" s="23">
        <f ca="1" t="shared" si="160"/>
        <v>6</v>
      </c>
      <c r="BP470" s="71" t="s">
        <v>374</v>
      </c>
      <c r="BQ470" s="71">
        <v>150</v>
      </c>
    </row>
    <row r="471" ht="16.5" spans="2:69">
      <c r="B471" s="23">
        <v>151</v>
      </c>
      <c r="C471" s="12"/>
      <c r="D471" s="12"/>
      <c r="E471" s="71"/>
      <c r="F471" s="71"/>
      <c r="G471" s="71" t="str">
        <f t="shared" si="162"/>
        <v>头盔图纸</v>
      </c>
      <c r="H471" s="71">
        <v>15</v>
      </c>
      <c r="I471" s="71" t="str">
        <f t="shared" si="167"/>
        <v>辅助特饮</v>
      </c>
      <c r="J471" s="71">
        <v>200</v>
      </c>
      <c r="K471" s="71" t="s">
        <v>96</v>
      </c>
      <c r="L471" s="71">
        <v>240</v>
      </c>
      <c r="M471" s="71" t="str">
        <f t="shared" si="170"/>
        <v>战士特饮</v>
      </c>
      <c r="N471" s="71">
        <f t="shared" si="174"/>
        <v>250</v>
      </c>
      <c r="O471" s="71" t="s">
        <v>316</v>
      </c>
      <c r="P471" s="71">
        <v>200</v>
      </c>
      <c r="Q471" s="71"/>
      <c r="R471" s="71"/>
      <c r="S471" s="72" t="str">
        <f t="shared" si="163"/>
        <v>护臂图纸</v>
      </c>
      <c r="T471" s="71">
        <v>25</v>
      </c>
      <c r="U471" s="71" t="str">
        <f t="shared" si="164"/>
        <v/>
      </c>
      <c r="V471" s="71">
        <f t="shared" si="165"/>
        <v>0</v>
      </c>
      <c r="W471" s="71" t="s">
        <v>96</v>
      </c>
      <c r="X471" s="71">
        <f t="shared" si="141"/>
        <v>360</v>
      </c>
      <c r="Y471" s="71"/>
      <c r="Z471" s="71"/>
      <c r="AA471" s="71" t="str">
        <f t="shared" si="171"/>
        <v>基因罐</v>
      </c>
      <c r="AB471" s="71">
        <f t="shared" si="137"/>
        <v>30</v>
      </c>
      <c r="AC471" s="71" t="s">
        <v>374</v>
      </c>
      <c r="AD471" s="71">
        <v>150</v>
      </c>
      <c r="AE471" s="72" t="str">
        <f t="shared" si="168"/>
        <v>法师特饮</v>
      </c>
      <c r="AF471" s="71">
        <v>300</v>
      </c>
      <c r="AG471" s="71"/>
      <c r="AH471" s="71"/>
      <c r="AI471" s="71" t="s">
        <v>390</v>
      </c>
      <c r="AJ471" s="71">
        <v>1</v>
      </c>
      <c r="AK471" s="71" t="s">
        <v>96</v>
      </c>
      <c r="AL471" s="71">
        <f t="shared" si="142"/>
        <v>600</v>
      </c>
      <c r="AN471" s="23" t="str">
        <f ca="1" t="shared" si="166"/>
        <v>{11,5}</v>
      </c>
      <c r="AO471" s="23" t="str">
        <f ca="1" t="shared" si="161"/>
        <v/>
      </c>
      <c r="AP471" s="23" t="str">
        <f ca="1" t="shared" si="143"/>
        <v>{50003,15}</v>
      </c>
      <c r="AQ471" s="23" t="str">
        <f ca="1" t="shared" si="144"/>
        <v>{5143001,200}</v>
      </c>
      <c r="AR471" s="23" t="str">
        <f ca="1" t="shared" si="145"/>
        <v>{2,240}</v>
      </c>
      <c r="AS471" s="23" t="str">
        <f ca="1" t="shared" si="146"/>
        <v>{5113001,250}</v>
      </c>
      <c r="AT471" s="23" t="str">
        <f ca="1" t="shared" si="172"/>
        <v>{5523001,200}</v>
      </c>
      <c r="AU471" s="23" t="str">
        <f ca="1" t="shared" si="159"/>
        <v/>
      </c>
      <c r="AV471" s="23" t="str">
        <f ca="1" t="shared" si="147"/>
        <v>{50005,25}</v>
      </c>
      <c r="AW471" s="23" t="str">
        <f ca="1" t="shared" si="148"/>
        <v/>
      </c>
      <c r="AX471" s="23" t="str">
        <f ca="1" t="shared" si="149"/>
        <v>{2,360}</v>
      </c>
      <c r="AY471" s="23" t="str">
        <f ca="1" t="shared" si="150"/>
        <v>{5204001,5}</v>
      </c>
      <c r="AZ471" s="23" t="str">
        <f ca="1" t="shared" si="138"/>
        <v>{5203001,30}</v>
      </c>
      <c r="BA471" s="23" t="str">
        <f ca="1" t="shared" si="151"/>
        <v>{1,150}</v>
      </c>
      <c r="BB471" s="23" t="s">
        <v>401</v>
      </c>
      <c r="BC471" s="23" t="str">
        <f ca="1" t="shared" si="152"/>
        <v>{5123001,300}</v>
      </c>
      <c r="BD471" s="23" t="str">
        <f ca="1" t="shared" si="169"/>
        <v/>
      </c>
      <c r="BE471" s="23" t="str">
        <f ca="1" t="shared" si="173"/>
        <v>{50039,1}</v>
      </c>
      <c r="BF471" s="23" t="str">
        <f ca="1" t="shared" si="153"/>
        <v>{2,600}</v>
      </c>
      <c r="BI471" s="23" t="str">
        <f ca="1" t="shared" si="154"/>
        <v>[{11,5},{50003,15},{5143001,200},{2,240}]</v>
      </c>
      <c r="BJ471" s="23" t="str">
        <f ca="1" t="shared" si="155"/>
        <v>[{5113001,250},{5523001,200},{50005,25},{2,360},{5204001,5}]</v>
      </c>
      <c r="BK471" s="23" t="str">
        <f ca="1" t="shared" si="156"/>
        <v>[{5203001,30},{1,150},{5523001,300},{5123001,300},{50039,1},{2,600}]</v>
      </c>
      <c r="BL471" s="23">
        <f ca="1" t="shared" si="157"/>
        <v>4</v>
      </c>
      <c r="BM471" s="23">
        <f ca="1" t="shared" si="158"/>
        <v>5</v>
      </c>
      <c r="BN471" s="23">
        <f ca="1" t="shared" si="160"/>
        <v>6</v>
      </c>
      <c r="BP471" s="71" t="s">
        <v>374</v>
      </c>
      <c r="BQ471" s="71">
        <v>150</v>
      </c>
    </row>
    <row r="472" ht="16.5" spans="2:69">
      <c r="B472" s="23">
        <v>152</v>
      </c>
      <c r="C472" s="12"/>
      <c r="D472" s="12"/>
      <c r="E472" s="71"/>
      <c r="F472" s="71"/>
      <c r="G472" s="71" t="str">
        <f t="shared" si="162"/>
        <v>衣服图纸</v>
      </c>
      <c r="H472" s="71">
        <v>15</v>
      </c>
      <c r="I472" s="71" t="str">
        <f t="shared" si="167"/>
        <v>战士特饮</v>
      </c>
      <c r="J472" s="71">
        <v>200</v>
      </c>
      <c r="K472" s="71" t="s">
        <v>96</v>
      </c>
      <c r="L472" s="71">
        <v>240</v>
      </c>
      <c r="M472" s="71" t="str">
        <f t="shared" si="170"/>
        <v>法师特饮</v>
      </c>
      <c r="N472" s="71">
        <f t="shared" si="174"/>
        <v>250</v>
      </c>
      <c r="O472" s="71" t="s">
        <v>316</v>
      </c>
      <c r="P472" s="71">
        <v>200</v>
      </c>
      <c r="Q472" s="71"/>
      <c r="R472" s="71"/>
      <c r="S472" s="72" t="str">
        <f t="shared" si="163"/>
        <v>裤子图纸</v>
      </c>
      <c r="T472" s="71">
        <v>25</v>
      </c>
      <c r="U472" s="71" t="str">
        <f t="shared" si="164"/>
        <v/>
      </c>
      <c r="V472" s="71">
        <f t="shared" si="165"/>
        <v>0</v>
      </c>
      <c r="W472" s="71" t="s">
        <v>96</v>
      </c>
      <c r="X472" s="71">
        <f t="shared" si="141"/>
        <v>360</v>
      </c>
      <c r="Y472" s="71"/>
      <c r="Z472" s="71"/>
      <c r="AA472" s="71" t="str">
        <f t="shared" si="171"/>
        <v>基因罐</v>
      </c>
      <c r="AB472" s="71">
        <f t="shared" si="137"/>
        <v>30</v>
      </c>
      <c r="AC472" s="71" t="s">
        <v>374</v>
      </c>
      <c r="AD472" s="71">
        <v>150</v>
      </c>
      <c r="AE472" s="72" t="str">
        <f t="shared" si="168"/>
        <v>辅助特饮</v>
      </c>
      <c r="AF472" s="71">
        <v>300</v>
      </c>
      <c r="AG472" s="71"/>
      <c r="AH472" s="71"/>
      <c r="AI472" s="71" t="s">
        <v>390</v>
      </c>
      <c r="AJ472" s="71">
        <v>1</v>
      </c>
      <c r="AK472" s="71" t="s">
        <v>96</v>
      </c>
      <c r="AL472" s="71">
        <f t="shared" si="142"/>
        <v>600</v>
      </c>
      <c r="AN472" s="23" t="str">
        <f ca="1" t="shared" si="166"/>
        <v>{11,5}</v>
      </c>
      <c r="AO472" s="23" t="str">
        <f ca="1" t="shared" si="161"/>
        <v/>
      </c>
      <c r="AP472" s="23" t="str">
        <f ca="1" t="shared" si="143"/>
        <v>{50004,15}</v>
      </c>
      <c r="AQ472" s="23" t="str">
        <f ca="1" t="shared" si="144"/>
        <v>{5113001,200}</v>
      </c>
      <c r="AR472" s="23" t="str">
        <f ca="1" t="shared" si="145"/>
        <v>{2,240}</v>
      </c>
      <c r="AS472" s="23" t="str">
        <f ca="1" t="shared" si="146"/>
        <v>{5123001,250}</v>
      </c>
      <c r="AT472" s="23" t="str">
        <f ca="1" t="shared" si="172"/>
        <v>{5523001,200}</v>
      </c>
      <c r="AU472" s="23" t="str">
        <f ca="1" t="shared" si="159"/>
        <v/>
      </c>
      <c r="AV472" s="23" t="str">
        <f ca="1" t="shared" si="147"/>
        <v>{50006,25}</v>
      </c>
      <c r="AW472" s="23" t="str">
        <f ca="1" t="shared" si="148"/>
        <v/>
      </c>
      <c r="AX472" s="23" t="str">
        <f ca="1" t="shared" si="149"/>
        <v>{2,360}</v>
      </c>
      <c r="AY472" s="23" t="str">
        <f ca="1" t="shared" si="150"/>
        <v>{5204001,5}</v>
      </c>
      <c r="AZ472" s="23" t="str">
        <f ca="1" t="shared" si="138"/>
        <v>{5203001,30}</v>
      </c>
      <c r="BA472" s="23" t="str">
        <f ca="1" t="shared" si="151"/>
        <v>{1,150}</v>
      </c>
      <c r="BB472" s="23" t="s">
        <v>401</v>
      </c>
      <c r="BC472" s="23" t="str">
        <f ca="1" t="shared" si="152"/>
        <v>{5143001,300}</v>
      </c>
      <c r="BD472" s="23" t="str">
        <f ca="1" t="shared" si="169"/>
        <v/>
      </c>
      <c r="BE472" s="23" t="str">
        <f ca="1" t="shared" si="173"/>
        <v>{50039,1}</v>
      </c>
      <c r="BF472" s="23" t="str">
        <f ca="1" t="shared" si="153"/>
        <v>{2,600}</v>
      </c>
      <c r="BI472" s="23" t="str">
        <f ca="1" t="shared" si="154"/>
        <v>[{11,5},{50004,15},{5113001,200},{2,240}]</v>
      </c>
      <c r="BJ472" s="23" t="str">
        <f ca="1" t="shared" si="155"/>
        <v>[{5123001,250},{5523001,200},{50006,25},{2,360},{5204001,5}]</v>
      </c>
      <c r="BK472" s="23" t="str">
        <f ca="1" t="shared" si="156"/>
        <v>[{5203001,30},{1,150},{5523001,300},{5143001,300},{50039,1},{2,600}]</v>
      </c>
      <c r="BL472" s="23">
        <f ca="1" t="shared" si="157"/>
        <v>4</v>
      </c>
      <c r="BM472" s="23">
        <f ca="1" t="shared" si="158"/>
        <v>5</v>
      </c>
      <c r="BN472" s="23">
        <f ca="1" t="shared" si="160"/>
        <v>6</v>
      </c>
      <c r="BP472" s="71" t="s">
        <v>374</v>
      </c>
      <c r="BQ472" s="71">
        <v>150</v>
      </c>
    </row>
    <row r="473" ht="16.5" spans="2:69">
      <c r="B473" s="23">
        <v>153</v>
      </c>
      <c r="C473" s="12"/>
      <c r="D473" s="12"/>
      <c r="E473" s="71"/>
      <c r="F473" s="71"/>
      <c r="G473" s="71" t="str">
        <f t="shared" si="162"/>
        <v>护臂图纸</v>
      </c>
      <c r="H473" s="71">
        <v>15</v>
      </c>
      <c r="I473" s="71" t="str">
        <f t="shared" si="167"/>
        <v>毒系特饮</v>
      </c>
      <c r="J473" s="71">
        <v>200</v>
      </c>
      <c r="K473" s="71" t="s">
        <v>96</v>
      </c>
      <c r="L473" s="71">
        <v>240</v>
      </c>
      <c r="M473" s="71" t="str">
        <f t="shared" si="170"/>
        <v>辅助特饮</v>
      </c>
      <c r="N473" s="71">
        <f t="shared" si="174"/>
        <v>250</v>
      </c>
      <c r="O473" s="71" t="s">
        <v>316</v>
      </c>
      <c r="P473" s="71">
        <v>200</v>
      </c>
      <c r="Q473" s="71"/>
      <c r="R473" s="71"/>
      <c r="S473" s="72" t="str">
        <f t="shared" si="163"/>
        <v>鞋子图纸</v>
      </c>
      <c r="T473" s="71">
        <v>25</v>
      </c>
      <c r="U473" s="71" t="str">
        <f t="shared" si="164"/>
        <v/>
      </c>
      <c r="V473" s="71">
        <f t="shared" si="165"/>
        <v>0</v>
      </c>
      <c r="W473" s="71" t="s">
        <v>96</v>
      </c>
      <c r="X473" s="71">
        <f t="shared" si="141"/>
        <v>360</v>
      </c>
      <c r="Y473" s="71"/>
      <c r="Z473" s="71"/>
      <c r="AA473" s="71" t="str">
        <f t="shared" si="171"/>
        <v>基因罐</v>
      </c>
      <c r="AB473" s="71">
        <f t="shared" ref="AB473:AB536" si="175">AB468</f>
        <v>30</v>
      </c>
      <c r="AC473" s="71" t="s">
        <v>374</v>
      </c>
      <c r="AD473" s="71">
        <v>150</v>
      </c>
      <c r="AE473" s="72" t="str">
        <f t="shared" si="168"/>
        <v>毒系特饮</v>
      </c>
      <c r="AF473" s="71">
        <v>300</v>
      </c>
      <c r="AG473" s="71"/>
      <c r="AH473" s="71"/>
      <c r="AI473" s="71" t="s">
        <v>390</v>
      </c>
      <c r="AJ473" s="71">
        <v>1</v>
      </c>
      <c r="AK473" s="71" t="s">
        <v>96</v>
      </c>
      <c r="AL473" s="71">
        <f t="shared" si="142"/>
        <v>600</v>
      </c>
      <c r="AN473" s="23" t="str">
        <f ca="1" t="shared" si="166"/>
        <v>{11,5}</v>
      </c>
      <c r="AO473" s="23" t="str">
        <f ca="1" t="shared" si="161"/>
        <v/>
      </c>
      <c r="AP473" s="23" t="str">
        <f ca="1" t="shared" si="143"/>
        <v>{50005,15}</v>
      </c>
      <c r="AQ473" s="23" t="str">
        <f ca="1" t="shared" si="144"/>
        <v>{5163001,200}</v>
      </c>
      <c r="AR473" s="23" t="str">
        <f ca="1" t="shared" si="145"/>
        <v>{2,240}</v>
      </c>
      <c r="AS473" s="23" t="str">
        <f ca="1" t="shared" si="146"/>
        <v>{5143001,250}</v>
      </c>
      <c r="AT473" s="23" t="str">
        <f ca="1" t="shared" si="172"/>
        <v>{5523001,200}</v>
      </c>
      <c r="AU473" s="23" t="str">
        <f ca="1" t="shared" si="159"/>
        <v/>
      </c>
      <c r="AV473" s="23" t="str">
        <f ca="1" t="shared" si="147"/>
        <v>{50007,25}</v>
      </c>
      <c r="AW473" s="23" t="str">
        <f ca="1" t="shared" si="148"/>
        <v/>
      </c>
      <c r="AX473" s="23" t="str">
        <f ca="1" t="shared" si="149"/>
        <v>{2,360}</v>
      </c>
      <c r="AY473" s="23" t="str">
        <f ca="1" t="shared" si="150"/>
        <v>{5204001,5}</v>
      </c>
      <c r="AZ473" s="23" t="str">
        <f ca="1" t="shared" si="138"/>
        <v>{5203001,30}</v>
      </c>
      <c r="BA473" s="23" t="str">
        <f ca="1" t="shared" si="151"/>
        <v>{1,150}</v>
      </c>
      <c r="BB473" s="23" t="s">
        <v>401</v>
      </c>
      <c r="BC473" s="23" t="str">
        <f ca="1" t="shared" si="152"/>
        <v>{5163001,300}</v>
      </c>
      <c r="BD473" s="23" t="str">
        <f ca="1" t="shared" si="169"/>
        <v/>
      </c>
      <c r="BE473" s="23" t="str">
        <f ca="1" t="shared" si="173"/>
        <v>{50039,1}</v>
      </c>
      <c r="BF473" s="23" t="str">
        <f ca="1" t="shared" si="153"/>
        <v>{2,600}</v>
      </c>
      <c r="BI473" s="23" t="str">
        <f ca="1" t="shared" si="154"/>
        <v>[{11,5},{50005,15},{5163001,200},{2,240}]</v>
      </c>
      <c r="BJ473" s="23" t="str">
        <f ca="1" t="shared" si="155"/>
        <v>[{5143001,250},{5523001,200},{50007,25},{2,360},{5204001,5}]</v>
      </c>
      <c r="BK473" s="23" t="str">
        <f ca="1" t="shared" si="156"/>
        <v>[{5203001,30},{1,150},{5523001,300},{5163001,300},{50039,1},{2,600}]</v>
      </c>
      <c r="BL473" s="23">
        <f ca="1" t="shared" si="157"/>
        <v>4</v>
      </c>
      <c r="BM473" s="23">
        <f ca="1" t="shared" si="158"/>
        <v>5</v>
      </c>
      <c r="BN473" s="23">
        <f ca="1" t="shared" si="160"/>
        <v>6</v>
      </c>
      <c r="BP473" s="71" t="s">
        <v>374</v>
      </c>
      <c r="BQ473" s="71">
        <v>150</v>
      </c>
    </row>
    <row r="474" ht="16.5" spans="2:69">
      <c r="B474" s="23">
        <v>154</v>
      </c>
      <c r="C474" s="12"/>
      <c r="D474" s="12"/>
      <c r="E474" s="71"/>
      <c r="F474" s="71"/>
      <c r="G474" s="71" t="str">
        <f t="shared" si="162"/>
        <v>裤子图纸</v>
      </c>
      <c r="H474" s="71">
        <v>15</v>
      </c>
      <c r="I474" s="71" t="str">
        <f t="shared" si="167"/>
        <v>控制特饮</v>
      </c>
      <c r="J474" s="71">
        <v>200</v>
      </c>
      <c r="K474" s="71" t="s">
        <v>96</v>
      </c>
      <c r="L474" s="71">
        <v>240</v>
      </c>
      <c r="M474" s="71" t="str">
        <f t="shared" si="170"/>
        <v>射手特饮</v>
      </c>
      <c r="N474" s="71">
        <f t="shared" si="174"/>
        <v>250</v>
      </c>
      <c r="O474" s="71" t="s">
        <v>316</v>
      </c>
      <c r="P474" s="71">
        <v>200</v>
      </c>
      <c r="Q474" s="71"/>
      <c r="R474" s="71"/>
      <c r="S474" s="72" t="str">
        <f t="shared" si="163"/>
        <v>手套图纸</v>
      </c>
      <c r="T474" s="71">
        <v>25</v>
      </c>
      <c r="U474" s="71" t="str">
        <f t="shared" si="164"/>
        <v/>
      </c>
      <c r="V474" s="71">
        <f t="shared" si="165"/>
        <v>0</v>
      </c>
      <c r="W474" s="71" t="s">
        <v>96</v>
      </c>
      <c r="X474" s="71">
        <f t="shared" si="141"/>
        <v>360</v>
      </c>
      <c r="Y474" s="71"/>
      <c r="Z474" s="71"/>
      <c r="AA474" s="71" t="str">
        <f t="shared" si="171"/>
        <v>基因罐</v>
      </c>
      <c r="AB474" s="71">
        <f t="shared" si="175"/>
        <v>30</v>
      </c>
      <c r="AC474" s="71" t="s">
        <v>374</v>
      </c>
      <c r="AD474" s="71">
        <v>150</v>
      </c>
      <c r="AE474" s="72" t="str">
        <f t="shared" si="168"/>
        <v>控制特饮</v>
      </c>
      <c r="AF474" s="71">
        <v>300</v>
      </c>
      <c r="AG474" s="71"/>
      <c r="AH474" s="71"/>
      <c r="AI474" s="71" t="s">
        <v>390</v>
      </c>
      <c r="AJ474" s="71">
        <v>1</v>
      </c>
      <c r="AK474" s="71" t="s">
        <v>96</v>
      </c>
      <c r="AL474" s="71">
        <f t="shared" si="142"/>
        <v>600</v>
      </c>
      <c r="AN474" s="23" t="str">
        <f ca="1" t="shared" si="166"/>
        <v>{11,5}</v>
      </c>
      <c r="AO474" s="23" t="str">
        <f ca="1" t="shared" si="161"/>
        <v/>
      </c>
      <c r="AP474" s="23" t="str">
        <f ca="1" t="shared" si="143"/>
        <v>{50006,15}</v>
      </c>
      <c r="AQ474" s="23" t="str">
        <f ca="1" t="shared" si="144"/>
        <v>{5153001,200}</v>
      </c>
      <c r="AR474" s="23" t="str">
        <f ca="1" t="shared" si="145"/>
        <v>{2,240}</v>
      </c>
      <c r="AS474" s="23" t="str">
        <f ca="1" t="shared" si="146"/>
        <v>{5133001,250}</v>
      </c>
      <c r="AT474" s="23" t="str">
        <f ca="1" t="shared" si="172"/>
        <v>{5523001,200}</v>
      </c>
      <c r="AU474" s="23" t="str">
        <f ca="1" t="shared" si="159"/>
        <v/>
      </c>
      <c r="AV474" s="23" t="str">
        <f ca="1" t="shared" si="147"/>
        <v>{50008,25}</v>
      </c>
      <c r="AW474" s="23" t="str">
        <f ca="1" t="shared" si="148"/>
        <v/>
      </c>
      <c r="AX474" s="23" t="str">
        <f ca="1" t="shared" si="149"/>
        <v>{2,360}</v>
      </c>
      <c r="AY474" s="23" t="str">
        <f ca="1" t="shared" si="150"/>
        <v>{5204001,5}</v>
      </c>
      <c r="AZ474" s="23" t="str">
        <f ca="1" t="shared" si="138"/>
        <v>{5203001,30}</v>
      </c>
      <c r="BA474" s="23" t="str">
        <f ca="1" t="shared" si="151"/>
        <v>{1,150}</v>
      </c>
      <c r="BB474" s="23" t="s">
        <v>401</v>
      </c>
      <c r="BC474" s="23" t="str">
        <f ca="1" t="shared" si="152"/>
        <v>{5153001,300}</v>
      </c>
      <c r="BD474" s="23" t="str">
        <f ca="1" t="shared" si="169"/>
        <v/>
      </c>
      <c r="BE474" s="23" t="str">
        <f ca="1" t="shared" si="173"/>
        <v>{50039,1}</v>
      </c>
      <c r="BF474" s="23" t="str">
        <f ca="1" t="shared" si="153"/>
        <v>{2,600}</v>
      </c>
      <c r="BI474" s="23" t="str">
        <f ca="1" t="shared" si="154"/>
        <v>[{11,5},{50006,15},{5153001,200},{2,240}]</v>
      </c>
      <c r="BJ474" s="23" t="str">
        <f ca="1" t="shared" si="155"/>
        <v>[{5133001,250},{5523001,200},{50008,25},{2,360},{5204001,5}]</v>
      </c>
      <c r="BK474" s="23" t="str">
        <f ca="1" t="shared" si="156"/>
        <v>[{5203001,30},{1,150},{5523001,300},{5153001,300},{50039,1},{2,600}]</v>
      </c>
      <c r="BL474" s="23">
        <f ca="1" t="shared" si="157"/>
        <v>4</v>
      </c>
      <c r="BM474" s="23">
        <f ca="1" t="shared" si="158"/>
        <v>5</v>
      </c>
      <c r="BN474" s="23">
        <f ca="1" t="shared" si="160"/>
        <v>6</v>
      </c>
      <c r="BP474" s="71" t="s">
        <v>374</v>
      </c>
      <c r="BQ474" s="71">
        <v>150</v>
      </c>
    </row>
    <row r="475" ht="16.5" spans="2:69">
      <c r="B475" s="23">
        <v>155</v>
      </c>
      <c r="C475" s="12" t="inlineStr">
        <is>
          <t>梦愿水晶</t>
        </is>
      </c>
      <c r="D475" s="12">
        <v>1</v>
      </c>
      <c r="E475" s="71"/>
      <c r="F475" s="71"/>
      <c r="G475" s="71" t="str">
        <f t="shared" si="162"/>
        <v>鞋子图纸</v>
      </c>
      <c r="H475" s="71">
        <v>15</v>
      </c>
      <c r="I475" s="71" t="str">
        <f t="shared" si="167"/>
        <v>射手特饮</v>
      </c>
      <c r="J475" s="71">
        <v>200</v>
      </c>
      <c r="K475" s="71" t="s">
        <v>96</v>
      </c>
      <c r="L475" s="71">
        <v>240</v>
      </c>
      <c r="M475" s="71" t="str">
        <f t="shared" si="170"/>
        <v>毒系特饮</v>
      </c>
      <c r="N475" s="71">
        <f t="shared" si="174"/>
        <v>250</v>
      </c>
      <c r="O475" s="71" t="s">
        <v>316</v>
      </c>
      <c r="P475" s="71">
        <v>200</v>
      </c>
      <c r="Q475" s="71"/>
      <c r="R475" s="71"/>
      <c r="S475" s="72" t="str">
        <f t="shared" si="163"/>
        <v>头盔图纸</v>
      </c>
      <c r="T475" s="71">
        <v>25</v>
      </c>
      <c r="U475" s="71" t="str">
        <f t="shared" si="164"/>
        <v>灵感获取令</v>
      </c>
      <c r="V475" s="71">
        <f t="shared" si="165"/>
        <v>1</v>
      </c>
      <c r="W475" s="71" t="s">
        <v>96</v>
      </c>
      <c r="X475" s="71">
        <f t="shared" si="141"/>
        <v>360</v>
      </c>
      <c r="Y475" s="71"/>
      <c r="Z475" s="71"/>
      <c r="AA475" s="71" t="str">
        <f t="shared" si="171"/>
        <v>传说基因罐</v>
      </c>
      <c r="AB475" s="71">
        <f t="shared" si="175"/>
        <v>3</v>
      </c>
      <c r="AC475" s="71" t="s">
        <v>374</v>
      </c>
      <c r="AD475" s="71">
        <v>150</v>
      </c>
      <c r="AE475" s="72" t="str">
        <f t="shared" si="168"/>
        <v>射手特饮</v>
      </c>
      <c r="AF475" s="71">
        <v>300</v>
      </c>
      <c r="AG475" s="71"/>
      <c r="AH475" s="71"/>
      <c r="AI475" s="71" t="s">
        <v>390</v>
      </c>
      <c r="AJ475" s="71">
        <v>1</v>
      </c>
      <c r="AK475" s="71" t="s">
        <v>96</v>
      </c>
      <c r="AL475" s="71">
        <f t="shared" si="142"/>
        <v>600</v>
      </c>
      <c r="AN475" s="23" t="str">
        <f ca="1" t="shared" si="166"/>
        <v>{35,1}</v>
      </c>
      <c r="AO475" s="23" t="str">
        <f ca="1" t="shared" si="161"/>
        <v/>
      </c>
      <c r="AP475" s="23" t="str">
        <f ca="1" t="shared" si="143"/>
        <v>{50007,15}</v>
      </c>
      <c r="AQ475" s="23" t="str">
        <f ca="1" t="shared" si="144"/>
        <v>{5133001,200}</v>
      </c>
      <c r="AR475" s="23" t="str">
        <f ca="1" t="shared" si="145"/>
        <v>{2,240}</v>
      </c>
      <c r="AS475" s="23" t="str">
        <f ca="1" t="shared" si="146"/>
        <v>{5163001,250}</v>
      </c>
      <c r="AT475" s="23" t="str">
        <f ca="1" t="shared" si="172"/>
        <v>{5523001,200}</v>
      </c>
      <c r="AU475" s="23" t="str">
        <f ca="1" t="shared" si="159"/>
        <v/>
      </c>
      <c r="AV475" s="23" t="str">
        <f ca="1" t="shared" si="147"/>
        <v>{50003,25}</v>
      </c>
      <c r="AW475" s="23" t="str">
        <f ca="1" t="shared" si="148"/>
        <v>{9,1}</v>
      </c>
      <c r="AX475" s="23" t="str">
        <f ca="1" t="shared" si="149"/>
        <v>{2,360}</v>
      </c>
      <c r="AY475" s="23" t="str">
        <f ca="1" t="shared" si="150"/>
        <v>{5204001,5}</v>
      </c>
      <c r="AZ475" s="23" t="str">
        <f ca="1" t="shared" si="138"/>
        <v>{5205001,3}</v>
      </c>
      <c r="BA475" s="23" t="str">
        <f ca="1" t="shared" si="151"/>
        <v>{1,150}</v>
      </c>
      <c r="BB475" s="23" t="s">
        <v>401</v>
      </c>
      <c r="BC475" s="23" t="str">
        <f ca="1" t="shared" si="152"/>
        <v>{5133001,300}</v>
      </c>
      <c r="BD475" s="23" t="str">
        <f ca="1" t="shared" si="169"/>
        <v/>
      </c>
      <c r="BE475" s="23" t="str">
        <f ca="1" t="shared" si="173"/>
        <v>{50039,1}</v>
      </c>
      <c r="BF475" s="23" t="str">
        <f ca="1" t="shared" si="153"/>
        <v>{2,600}</v>
      </c>
      <c r="BI475" s="23" t="str">
        <f ca="1" t="shared" si="154"/>
        <v>[{35,1},{50007,15},{5133001,200},{2,240}]</v>
      </c>
      <c r="BJ475" s="23" t="str">
        <f ca="1" t="shared" si="155"/>
        <v>[{5163001,250},{5523001,200},{50003,25},{9,1},{2,360},{5204001,5}]</v>
      </c>
      <c r="BK475" s="23" t="str">
        <f ca="1" t="shared" si="156"/>
        <v>[{5205001,3},{1,150},{5523001,300},{5133001,300},{50039,1},{2,600}]</v>
      </c>
      <c r="BL475" s="23">
        <f ca="1" t="shared" si="157"/>
        <v>4</v>
      </c>
      <c r="BM475" s="23">
        <f ca="1" t="shared" si="158"/>
        <v>6</v>
      </c>
      <c r="BN475" s="23">
        <f ca="1" t="shared" si="160"/>
        <v>6</v>
      </c>
      <c r="BP475" s="71" t="s">
        <v>374</v>
      </c>
      <c r="BQ475" s="71">
        <v>150</v>
      </c>
    </row>
    <row r="476" ht="16.5" spans="2:69">
      <c r="B476" s="23">
        <v>156</v>
      </c>
      <c r="C476" s="12"/>
      <c r="D476" s="12"/>
      <c r="E476" s="71"/>
      <c r="F476" s="71"/>
      <c r="G476" s="71" t="str">
        <f t="shared" si="162"/>
        <v>手套图纸</v>
      </c>
      <c r="H476" s="71">
        <v>15</v>
      </c>
      <c r="I476" s="71" t="str">
        <f t="shared" si="167"/>
        <v>法师特饮</v>
      </c>
      <c r="J476" s="71">
        <v>200</v>
      </c>
      <c r="K476" s="71" t="s">
        <v>96</v>
      </c>
      <c r="L476" s="71">
        <v>240</v>
      </c>
      <c r="M476" s="71" t="str">
        <f t="shared" si="170"/>
        <v>控制特饮</v>
      </c>
      <c r="N476" s="71">
        <f t="shared" si="174"/>
        <v>250</v>
      </c>
      <c r="O476" s="71" t="s">
        <v>316</v>
      </c>
      <c r="P476" s="71">
        <v>200</v>
      </c>
      <c r="Q476" s="71"/>
      <c r="R476" s="71"/>
      <c r="S476" s="72" t="str">
        <f t="shared" si="163"/>
        <v>衣服图纸</v>
      </c>
      <c r="T476" s="71">
        <v>25</v>
      </c>
      <c r="U476" s="71" t="str">
        <f t="shared" si="164"/>
        <v/>
      </c>
      <c r="V476" s="71">
        <f t="shared" si="165"/>
        <v>0</v>
      </c>
      <c r="W476" s="71" t="s">
        <v>96</v>
      </c>
      <c r="X476" s="71">
        <f t="shared" si="141"/>
        <v>360</v>
      </c>
      <c r="Y476" s="71"/>
      <c r="Z476" s="71"/>
      <c r="AA476" s="71" t="str">
        <f t="shared" si="171"/>
        <v>基因罐</v>
      </c>
      <c r="AB476" s="71">
        <f t="shared" si="175"/>
        <v>30</v>
      </c>
      <c r="AC476" s="71" t="s">
        <v>374</v>
      </c>
      <c r="AD476" s="71">
        <v>150</v>
      </c>
      <c r="AE476" s="72" t="str">
        <f t="shared" si="168"/>
        <v>战士特饮</v>
      </c>
      <c r="AF476" s="71">
        <v>300</v>
      </c>
      <c r="AG476" s="71"/>
      <c r="AH476" s="71"/>
      <c r="AI476" s="71" t="s">
        <v>390</v>
      </c>
      <c r="AJ476" s="71">
        <v>1</v>
      </c>
      <c r="AK476" s="71" t="s">
        <v>96</v>
      </c>
      <c r="AL476" s="71">
        <f t="shared" si="142"/>
        <v>600</v>
      </c>
      <c r="AN476" s="23" t="str">
        <f ca="1" t="shared" si="166"/>
        <v>{11,5}</v>
      </c>
      <c r="AO476" s="23" t="str">
        <f ca="1" t="shared" si="161"/>
        <v/>
      </c>
      <c r="AP476" s="23" t="str">
        <f ca="1" t="shared" si="143"/>
        <v>{50008,15}</v>
      </c>
      <c r="AQ476" s="23" t="str">
        <f ca="1" t="shared" si="144"/>
        <v>{5123001,200}</v>
      </c>
      <c r="AR476" s="23" t="str">
        <f ca="1" t="shared" si="145"/>
        <v>{2,240}</v>
      </c>
      <c r="AS476" s="23" t="str">
        <f ca="1" t="shared" si="146"/>
        <v>{5153001,250}</v>
      </c>
      <c r="AT476" s="23" t="str">
        <f ca="1" t="shared" si="172"/>
        <v>{5523001,200}</v>
      </c>
      <c r="AU476" s="23" t="str">
        <f ca="1" t="shared" si="159"/>
        <v/>
      </c>
      <c r="AV476" s="23" t="str">
        <f ca="1" t="shared" si="147"/>
        <v>{50004,25}</v>
      </c>
      <c r="AW476" s="23" t="str">
        <f ca="1" t="shared" si="148"/>
        <v/>
      </c>
      <c r="AX476" s="23" t="str">
        <f ca="1" t="shared" si="149"/>
        <v>{2,360}</v>
      </c>
      <c r="AY476" s="23" t="str">
        <f ca="1" t="shared" si="150"/>
        <v>{5204001,5}</v>
      </c>
      <c r="AZ476" s="23" t="str">
        <f ca="1" t="shared" si="138"/>
        <v>{5203001,30}</v>
      </c>
      <c r="BA476" s="23" t="str">
        <f ca="1" t="shared" si="151"/>
        <v>{1,150}</v>
      </c>
      <c r="BB476" s="23" t="s">
        <v>401</v>
      </c>
      <c r="BC476" s="23" t="str">
        <f ca="1" t="shared" si="152"/>
        <v>{5113001,300}</v>
      </c>
      <c r="BD476" s="23" t="str">
        <f ca="1" t="shared" si="169"/>
        <v/>
      </c>
      <c r="BE476" s="23" t="str">
        <f ca="1" t="shared" si="173"/>
        <v>{50039,1}</v>
      </c>
      <c r="BF476" s="23" t="str">
        <f ca="1" t="shared" si="153"/>
        <v>{2,600}</v>
      </c>
      <c r="BI476" s="23" t="str">
        <f ca="1" t="shared" si="154"/>
        <v>[{11,5},{50008,15},{5123001,200},{2,240}]</v>
      </c>
      <c r="BJ476" s="23" t="str">
        <f ca="1" t="shared" si="155"/>
        <v>[{5153001,250},{5523001,200},{50004,25},{2,360},{5204001,5}]</v>
      </c>
      <c r="BK476" s="23" t="str">
        <f ca="1" t="shared" si="156"/>
        <v>[{5203001,30},{1,150},{5523001,300},{5113001,300},{50039,1},{2,600}]</v>
      </c>
      <c r="BL476" s="23">
        <f ca="1" t="shared" si="157"/>
        <v>4</v>
      </c>
      <c r="BM476" s="23">
        <f ca="1" t="shared" si="158"/>
        <v>5</v>
      </c>
      <c r="BN476" s="23">
        <f ca="1" t="shared" si="160"/>
        <v>6</v>
      </c>
      <c r="BP476" s="71" t="s">
        <v>374</v>
      </c>
      <c r="BQ476" s="71">
        <v>150</v>
      </c>
    </row>
    <row r="477" ht="16.5" spans="2:69">
      <c r="B477" s="23">
        <v>157</v>
      </c>
      <c r="C477" s="12"/>
      <c r="D477" s="12"/>
      <c r="E477" s="71"/>
      <c r="F477" s="71"/>
      <c r="G477" s="71" t="str">
        <f t="shared" si="162"/>
        <v>头盔图纸</v>
      </c>
      <c r="H477" s="71">
        <v>15</v>
      </c>
      <c r="I477" s="71" t="str">
        <f t="shared" si="167"/>
        <v>辅助特饮</v>
      </c>
      <c r="J477" s="71">
        <v>200</v>
      </c>
      <c r="K477" s="71" t="s">
        <v>96</v>
      </c>
      <c r="L477" s="71">
        <v>240</v>
      </c>
      <c r="M477" s="71" t="str">
        <f t="shared" si="170"/>
        <v>战士特饮</v>
      </c>
      <c r="N477" s="71">
        <f t="shared" si="174"/>
        <v>250</v>
      </c>
      <c r="O477" s="71" t="s">
        <v>316</v>
      </c>
      <c r="P477" s="71">
        <v>200</v>
      </c>
      <c r="Q477" s="71"/>
      <c r="R477" s="71"/>
      <c r="S477" s="72" t="str">
        <f t="shared" si="163"/>
        <v>护臂图纸</v>
      </c>
      <c r="T477" s="71">
        <v>25</v>
      </c>
      <c r="U477" s="71" t="str">
        <f t="shared" si="164"/>
        <v/>
      </c>
      <c r="V477" s="71">
        <f t="shared" si="165"/>
        <v>0</v>
      </c>
      <c r="W477" s="71" t="s">
        <v>96</v>
      </c>
      <c r="X477" s="71">
        <f t="shared" si="141"/>
        <v>360</v>
      </c>
      <c r="Y477" s="71"/>
      <c r="Z477" s="71"/>
      <c r="AA477" s="71" t="str">
        <f t="shared" si="171"/>
        <v>基因罐</v>
      </c>
      <c r="AB477" s="71">
        <f t="shared" si="175"/>
        <v>30</v>
      </c>
      <c r="AC477" s="71" t="s">
        <v>374</v>
      </c>
      <c r="AD477" s="71">
        <v>150</v>
      </c>
      <c r="AE477" s="72" t="str">
        <f t="shared" si="168"/>
        <v>法师特饮</v>
      </c>
      <c r="AF477" s="71">
        <v>300</v>
      </c>
      <c r="AG477" s="71"/>
      <c r="AH477" s="71"/>
      <c r="AI477" s="71" t="s">
        <v>390</v>
      </c>
      <c r="AJ477" s="71">
        <v>1</v>
      </c>
      <c r="AK477" s="71" t="s">
        <v>96</v>
      </c>
      <c r="AL477" s="71">
        <f t="shared" si="142"/>
        <v>600</v>
      </c>
      <c r="AN477" s="23" t="str">
        <f ca="1" t="shared" si="166"/>
        <v>{11,5}</v>
      </c>
      <c r="AO477" s="23" t="str">
        <f ca="1" t="shared" si="161"/>
        <v/>
      </c>
      <c r="AP477" s="23" t="str">
        <f ca="1" t="shared" si="143"/>
        <v>{50003,15}</v>
      </c>
      <c r="AQ477" s="23" t="str">
        <f ca="1" t="shared" si="144"/>
        <v>{5143001,200}</v>
      </c>
      <c r="AR477" s="23" t="str">
        <f ca="1" t="shared" si="145"/>
        <v>{2,240}</v>
      </c>
      <c r="AS477" s="23" t="str">
        <f ca="1" t="shared" si="146"/>
        <v>{5113001,250}</v>
      </c>
      <c r="AT477" s="23" t="str">
        <f ca="1" t="shared" si="172"/>
        <v>{5523001,200}</v>
      </c>
      <c r="AU477" s="23" t="str">
        <f ca="1" t="shared" si="159"/>
        <v/>
      </c>
      <c r="AV477" s="23" t="str">
        <f ca="1" t="shared" si="147"/>
        <v>{50005,25}</v>
      </c>
      <c r="AW477" s="23" t="str">
        <f ca="1" t="shared" si="148"/>
        <v/>
      </c>
      <c r="AX477" s="23" t="str">
        <f ca="1" t="shared" si="149"/>
        <v>{2,360}</v>
      </c>
      <c r="AY477" s="23" t="str">
        <f ca="1" t="shared" si="150"/>
        <v>{5204001,5}</v>
      </c>
      <c r="AZ477" s="23" t="str">
        <f ca="1" t="shared" si="138"/>
        <v>{5203001,30}</v>
      </c>
      <c r="BA477" s="23" t="str">
        <f ca="1" t="shared" si="151"/>
        <v>{1,150}</v>
      </c>
      <c r="BB477" s="23" t="s">
        <v>401</v>
      </c>
      <c r="BC477" s="23" t="str">
        <f ca="1" t="shared" si="152"/>
        <v>{5123001,300}</v>
      </c>
      <c r="BD477" s="23" t="str">
        <f ca="1" t="shared" si="169"/>
        <v/>
      </c>
      <c r="BE477" s="23" t="str">
        <f ca="1" t="shared" si="173"/>
        <v>{50039,1}</v>
      </c>
      <c r="BF477" s="23" t="str">
        <f ca="1" t="shared" si="153"/>
        <v>{2,600}</v>
      </c>
      <c r="BI477" s="23" t="str">
        <f ca="1" t="shared" si="154"/>
        <v>[{11,5},{50003,15},{5143001,200},{2,240}]</v>
      </c>
      <c r="BJ477" s="23" t="str">
        <f ca="1" t="shared" si="155"/>
        <v>[{5113001,250},{5523001,200},{50005,25},{2,360},{5204001,5}]</v>
      </c>
      <c r="BK477" s="23" t="str">
        <f ca="1" t="shared" si="156"/>
        <v>[{5203001,30},{1,150},{5523001,300},{5123001,300},{50039,1},{2,600}]</v>
      </c>
      <c r="BL477" s="23">
        <f ca="1" t="shared" si="157"/>
        <v>4</v>
      </c>
      <c r="BM477" s="23">
        <f ca="1" t="shared" si="158"/>
        <v>5</v>
      </c>
      <c r="BN477" s="23">
        <f ca="1" t="shared" si="160"/>
        <v>6</v>
      </c>
      <c r="BP477" s="71" t="s">
        <v>374</v>
      </c>
      <c r="BQ477" s="71">
        <v>150</v>
      </c>
    </row>
    <row r="478" ht="16.5" spans="2:69">
      <c r="B478" s="23">
        <v>158</v>
      </c>
      <c r="C478" s="12"/>
      <c r="D478" s="12"/>
      <c r="E478" s="71"/>
      <c r="F478" s="71"/>
      <c r="G478" s="71" t="str">
        <f t="shared" si="162"/>
        <v>衣服图纸</v>
      </c>
      <c r="H478" s="71">
        <v>15</v>
      </c>
      <c r="I478" s="71" t="str">
        <f t="shared" si="167"/>
        <v>战士特饮</v>
      </c>
      <c r="J478" s="71">
        <v>200</v>
      </c>
      <c r="K478" s="71" t="s">
        <v>96</v>
      </c>
      <c r="L478" s="71">
        <v>240</v>
      </c>
      <c r="M478" s="71" t="str">
        <f t="shared" si="170"/>
        <v>法师特饮</v>
      </c>
      <c r="N478" s="71">
        <f t="shared" si="174"/>
        <v>250</v>
      </c>
      <c r="O478" s="71" t="s">
        <v>316</v>
      </c>
      <c r="P478" s="71">
        <v>200</v>
      </c>
      <c r="Q478" s="71"/>
      <c r="R478" s="71"/>
      <c r="S478" s="72" t="str">
        <f t="shared" si="163"/>
        <v>裤子图纸</v>
      </c>
      <c r="T478" s="71">
        <v>25</v>
      </c>
      <c r="U478" s="71" t="str">
        <f t="shared" si="164"/>
        <v/>
      </c>
      <c r="V478" s="71">
        <f t="shared" si="165"/>
        <v>0</v>
      </c>
      <c r="W478" s="71" t="s">
        <v>96</v>
      </c>
      <c r="X478" s="71">
        <f t="shared" si="141"/>
        <v>360</v>
      </c>
      <c r="Y478" s="71"/>
      <c r="Z478" s="71"/>
      <c r="AA478" s="71" t="str">
        <f t="shared" si="171"/>
        <v>基因罐</v>
      </c>
      <c r="AB478" s="71">
        <f t="shared" si="175"/>
        <v>30</v>
      </c>
      <c r="AC478" s="71" t="s">
        <v>374</v>
      </c>
      <c r="AD478" s="71">
        <v>150</v>
      </c>
      <c r="AE478" s="72" t="str">
        <f t="shared" si="168"/>
        <v>辅助特饮</v>
      </c>
      <c r="AF478" s="71">
        <v>300</v>
      </c>
      <c r="AG478" s="71"/>
      <c r="AH478" s="71"/>
      <c r="AI478" s="71" t="s">
        <v>390</v>
      </c>
      <c r="AJ478" s="71">
        <v>1</v>
      </c>
      <c r="AK478" s="71" t="s">
        <v>96</v>
      </c>
      <c r="AL478" s="71">
        <f t="shared" si="142"/>
        <v>600</v>
      </c>
      <c r="AN478" s="23" t="str">
        <f ca="1" t="shared" si="166"/>
        <v>{11,5}</v>
      </c>
      <c r="AO478" s="23" t="str">
        <f ca="1" t="shared" si="161"/>
        <v/>
      </c>
      <c r="AP478" s="23" t="str">
        <f ca="1" t="shared" si="143"/>
        <v>{50004,15}</v>
      </c>
      <c r="AQ478" s="23" t="str">
        <f ca="1" t="shared" si="144"/>
        <v>{5113001,200}</v>
      </c>
      <c r="AR478" s="23" t="str">
        <f ca="1" t="shared" si="145"/>
        <v>{2,240}</v>
      </c>
      <c r="AS478" s="23" t="str">
        <f ca="1" t="shared" si="146"/>
        <v>{5123001,250}</v>
      </c>
      <c r="AT478" s="23" t="str">
        <f ca="1" t="shared" si="172"/>
        <v>{5523001,200}</v>
      </c>
      <c r="AU478" s="23" t="str">
        <f ca="1" t="shared" si="159"/>
        <v/>
      </c>
      <c r="AV478" s="23" t="str">
        <f ca="1" t="shared" si="147"/>
        <v>{50006,25}</v>
      </c>
      <c r="AW478" s="23" t="str">
        <f ca="1" t="shared" si="148"/>
        <v/>
      </c>
      <c r="AX478" s="23" t="str">
        <f ca="1" t="shared" si="149"/>
        <v>{2,360}</v>
      </c>
      <c r="AY478" s="23" t="str">
        <f ca="1" t="shared" si="150"/>
        <v>{5204001,5}</v>
      </c>
      <c r="AZ478" s="23" t="str">
        <f ca="1" t="shared" si="138"/>
        <v>{5203001,30}</v>
      </c>
      <c r="BA478" s="23" t="str">
        <f ca="1" t="shared" si="151"/>
        <v>{1,150}</v>
      </c>
      <c r="BB478" s="23" t="s">
        <v>401</v>
      </c>
      <c r="BC478" s="23" t="str">
        <f ca="1" t="shared" si="152"/>
        <v>{5143001,300}</v>
      </c>
      <c r="BD478" s="23" t="str">
        <f ca="1" t="shared" si="169"/>
        <v/>
      </c>
      <c r="BE478" s="23" t="str">
        <f ca="1" t="shared" si="173"/>
        <v>{50039,1}</v>
      </c>
      <c r="BF478" s="23" t="str">
        <f ca="1" t="shared" si="153"/>
        <v>{2,600}</v>
      </c>
      <c r="BI478" s="23" t="str">
        <f ca="1" t="shared" si="154"/>
        <v>[{11,5},{50004,15},{5113001,200},{2,240}]</v>
      </c>
      <c r="BJ478" s="23" t="str">
        <f ca="1" t="shared" si="155"/>
        <v>[{5123001,250},{5523001,200},{50006,25},{2,360},{5204001,5}]</v>
      </c>
      <c r="BK478" s="23" t="str">
        <f ca="1" t="shared" si="156"/>
        <v>[{5203001,30},{1,150},{5523001,300},{5143001,300},{50039,1},{2,600}]</v>
      </c>
      <c r="BL478" s="23">
        <f ca="1" t="shared" si="157"/>
        <v>4</v>
      </c>
      <c r="BM478" s="23">
        <f ca="1" t="shared" si="158"/>
        <v>5</v>
      </c>
      <c r="BN478" s="23">
        <f ca="1" t="shared" si="160"/>
        <v>6</v>
      </c>
      <c r="BP478" s="71" t="s">
        <v>374</v>
      </c>
      <c r="BQ478" s="71">
        <v>150</v>
      </c>
    </row>
    <row r="479" ht="16.5" spans="2:69">
      <c r="B479" s="23">
        <v>159</v>
      </c>
      <c r="C479" s="12"/>
      <c r="D479" s="12"/>
      <c r="E479" s="71"/>
      <c r="F479" s="71"/>
      <c r="G479" s="71" t="str">
        <f t="shared" si="162"/>
        <v>护臂图纸</v>
      </c>
      <c r="H479" s="71">
        <v>15</v>
      </c>
      <c r="I479" s="71" t="str">
        <f t="shared" si="167"/>
        <v>毒系特饮</v>
      </c>
      <c r="J479" s="71">
        <v>200</v>
      </c>
      <c r="K479" s="71" t="s">
        <v>96</v>
      </c>
      <c r="L479" s="71">
        <v>240</v>
      </c>
      <c r="M479" s="71" t="str">
        <f t="shared" si="170"/>
        <v>辅助特饮</v>
      </c>
      <c r="N479" s="71">
        <f t="shared" si="174"/>
        <v>250</v>
      </c>
      <c r="O479" s="71" t="s">
        <v>316</v>
      </c>
      <c r="P479" s="71">
        <v>200</v>
      </c>
      <c r="Q479" s="71"/>
      <c r="R479" s="71"/>
      <c r="S479" s="72" t="str">
        <f t="shared" si="163"/>
        <v>鞋子图纸</v>
      </c>
      <c r="T479" s="71">
        <v>25</v>
      </c>
      <c r="U479" s="71" t="str">
        <f t="shared" si="164"/>
        <v/>
      </c>
      <c r="V479" s="71">
        <f t="shared" si="165"/>
        <v>0</v>
      </c>
      <c r="W479" s="71" t="s">
        <v>96</v>
      </c>
      <c r="X479" s="71">
        <f t="shared" si="141"/>
        <v>360</v>
      </c>
      <c r="Y479" s="71"/>
      <c r="Z479" s="71"/>
      <c r="AA479" s="71" t="str">
        <f t="shared" si="171"/>
        <v>基因罐</v>
      </c>
      <c r="AB479" s="71">
        <f t="shared" si="175"/>
        <v>30</v>
      </c>
      <c r="AC479" s="71" t="s">
        <v>374</v>
      </c>
      <c r="AD479" s="71">
        <v>150</v>
      </c>
      <c r="AE479" s="72" t="str">
        <f t="shared" si="168"/>
        <v>毒系特饮</v>
      </c>
      <c r="AF479" s="71">
        <v>300</v>
      </c>
      <c r="AG479" s="71"/>
      <c r="AH479" s="71"/>
      <c r="AI479" s="71" t="s">
        <v>390</v>
      </c>
      <c r="AJ479" s="71">
        <v>1</v>
      </c>
      <c r="AK479" s="71" t="s">
        <v>96</v>
      </c>
      <c r="AL479" s="71">
        <f t="shared" si="142"/>
        <v>600</v>
      </c>
      <c r="AN479" s="23" t="str">
        <f ca="1" t="shared" si="166"/>
        <v>{11,5}</v>
      </c>
      <c r="AO479" s="23" t="str">
        <f ca="1" t="shared" si="161"/>
        <v/>
      </c>
      <c r="AP479" s="23" t="str">
        <f ca="1" t="shared" si="143"/>
        <v>{50005,15}</v>
      </c>
      <c r="AQ479" s="23" t="str">
        <f ca="1" t="shared" si="144"/>
        <v>{5163001,200}</v>
      </c>
      <c r="AR479" s="23" t="str">
        <f ca="1" t="shared" si="145"/>
        <v>{2,240}</v>
      </c>
      <c r="AS479" s="23" t="str">
        <f ca="1" t="shared" si="146"/>
        <v>{5143001,250}</v>
      </c>
      <c r="AT479" s="23" t="str">
        <f ca="1" t="shared" si="172"/>
        <v>{5523001,200}</v>
      </c>
      <c r="AU479" s="23" t="str">
        <f ca="1" t="shared" si="159"/>
        <v/>
      </c>
      <c r="AV479" s="23" t="str">
        <f ca="1" t="shared" si="147"/>
        <v>{50007,25}</v>
      </c>
      <c r="AW479" s="23" t="str">
        <f ca="1" t="shared" si="148"/>
        <v/>
      </c>
      <c r="AX479" s="23" t="str">
        <f ca="1" t="shared" si="149"/>
        <v>{2,360}</v>
      </c>
      <c r="AY479" s="23" t="str">
        <f ca="1" t="shared" si="150"/>
        <v>{5204001,5}</v>
      </c>
      <c r="AZ479" s="23" t="str">
        <f ca="1" t="shared" ref="AZ479:AZ542" si="176">IF(OFFSET($B479,0,AZ$320*2+1)="","","{"&amp;VLOOKUP(OFFSET($B479,0,AZ$320*2+1),$AN$291:$AO$312,2,0)&amp;","&amp;OFFSET($B479,0,AZ$320*2+2)&amp;"}")</f>
        <v>{5203001,30}</v>
      </c>
      <c r="BA479" s="23" t="str">
        <f ca="1" t="shared" si="151"/>
        <v>{1,150}</v>
      </c>
      <c r="BB479" s="23" t="s">
        <v>401</v>
      </c>
      <c r="BC479" s="23" t="str">
        <f ca="1" t="shared" si="152"/>
        <v>{5163001,300}</v>
      </c>
      <c r="BD479" s="23" t="str">
        <f ca="1" t="shared" si="169"/>
        <v/>
      </c>
      <c r="BE479" s="23" t="str">
        <f ca="1" t="shared" si="173"/>
        <v>{50039,1}</v>
      </c>
      <c r="BF479" s="23" t="str">
        <f ca="1" t="shared" si="153"/>
        <v>{2,600}</v>
      </c>
      <c r="BI479" s="23" t="str">
        <f ca="1" t="shared" si="154"/>
        <v>[{11,5},{50005,15},{5163001,200},{2,240}]</v>
      </c>
      <c r="BJ479" s="23" t="str">
        <f ca="1" t="shared" si="155"/>
        <v>[{5143001,250},{5523001,200},{50007,25},{2,360},{5204001,5}]</v>
      </c>
      <c r="BK479" s="23" t="str">
        <f ca="1" t="shared" si="156"/>
        <v>[{5203001,30},{1,150},{5523001,300},{5163001,300},{50039,1},{2,600}]</v>
      </c>
      <c r="BL479" s="23">
        <f ca="1" t="shared" si="157"/>
        <v>4</v>
      </c>
      <c r="BM479" s="23">
        <f ca="1" t="shared" si="158"/>
        <v>5</v>
      </c>
      <c r="BN479" s="23">
        <f ca="1" t="shared" si="160"/>
        <v>6</v>
      </c>
      <c r="BP479" s="71" t="s">
        <v>374</v>
      </c>
      <c r="BQ479" s="71">
        <v>150</v>
      </c>
    </row>
    <row r="480" ht="16.5" spans="2:69">
      <c r="B480" s="23">
        <v>160</v>
      </c>
      <c r="C480" s="12" t="inlineStr">
        <is>
          <t>梦愿水晶</t>
        </is>
      </c>
      <c r="D480" s="12">
        <v>1</v>
      </c>
      <c r="E480" s="71"/>
      <c r="F480" s="71"/>
      <c r="G480" s="71" t="str">
        <f t="shared" si="162"/>
        <v>裤子图纸</v>
      </c>
      <c r="H480" s="71">
        <v>15</v>
      </c>
      <c r="I480" s="71" t="str">
        <f t="shared" si="167"/>
        <v>控制特饮</v>
      </c>
      <c r="J480" s="71">
        <v>200</v>
      </c>
      <c r="K480" s="71" t="s">
        <v>96</v>
      </c>
      <c r="L480" s="71">
        <v>240</v>
      </c>
      <c r="M480" s="71" t="str">
        <f t="shared" si="170"/>
        <v>射手特饮</v>
      </c>
      <c r="N480" s="71">
        <f t="shared" si="174"/>
        <v>250</v>
      </c>
      <c r="O480" s="71" t="s">
        <v>316</v>
      </c>
      <c r="P480" s="71">
        <v>200</v>
      </c>
      <c r="Q480" s="71"/>
      <c r="R480" s="71"/>
      <c r="S480" s="72" t="str">
        <f t="shared" si="163"/>
        <v>手套图纸</v>
      </c>
      <c r="T480" s="71">
        <v>25</v>
      </c>
      <c r="U480" s="71" t="str">
        <f t="shared" si="164"/>
        <v>灵感获取令</v>
      </c>
      <c r="V480" s="71">
        <f t="shared" si="165"/>
        <v>1</v>
      </c>
      <c r="W480" s="71" t="s">
        <v>96</v>
      </c>
      <c r="X480" s="71">
        <f t="shared" si="141"/>
        <v>360</v>
      </c>
      <c r="Y480" s="71"/>
      <c r="Z480" s="71"/>
      <c r="AA480" s="71" t="str">
        <f t="shared" si="171"/>
        <v>传说基因罐</v>
      </c>
      <c r="AB480" s="71">
        <f t="shared" si="175"/>
        <v>3</v>
      </c>
      <c r="AC480" s="71" t="s">
        <v>374</v>
      </c>
      <c r="AD480" s="71">
        <v>150</v>
      </c>
      <c r="AE480" s="72" t="str">
        <f t="shared" si="168"/>
        <v>控制特饮</v>
      </c>
      <c r="AF480" s="71">
        <v>300</v>
      </c>
      <c r="AG480" s="71"/>
      <c r="AH480" s="71"/>
      <c r="AI480" s="71" t="s">
        <v>390</v>
      </c>
      <c r="AJ480" s="71">
        <v>1</v>
      </c>
      <c r="AK480" s="71" t="s">
        <v>96</v>
      </c>
      <c r="AL480" s="71">
        <f t="shared" si="142"/>
        <v>600</v>
      </c>
      <c r="AN480" s="23" t="str">
        <f ca="1" t="shared" si="166"/>
        <v>{35,1}</v>
      </c>
      <c r="AO480" s="23" t="str">
        <f ca="1" t="shared" si="161"/>
        <v/>
      </c>
      <c r="AP480" s="23" t="str">
        <f ca="1" t="shared" si="143"/>
        <v>{50006,15}</v>
      </c>
      <c r="AQ480" s="23" t="str">
        <f ca="1" t="shared" si="144"/>
        <v>{5153001,200}</v>
      </c>
      <c r="AR480" s="23" t="str">
        <f ca="1" t="shared" si="145"/>
        <v>{2,240}</v>
      </c>
      <c r="AS480" s="23" t="str">
        <f ca="1" t="shared" si="146"/>
        <v>{5133001,250}</v>
      </c>
      <c r="AT480" s="23" t="str">
        <f ca="1" t="shared" si="172"/>
        <v>{5523001,200}</v>
      </c>
      <c r="AU480" s="23" t="str">
        <f ca="1" t="shared" si="159"/>
        <v/>
      </c>
      <c r="AV480" s="23" t="str">
        <f ca="1" t="shared" si="147"/>
        <v>{50008,25}</v>
      </c>
      <c r="AW480" s="23" t="str">
        <f ca="1" t="shared" si="148"/>
        <v>{9,1}</v>
      </c>
      <c r="AX480" s="23" t="str">
        <f ca="1" t="shared" si="149"/>
        <v>{2,360}</v>
      </c>
      <c r="AY480" s="23" t="str">
        <f ca="1" t="shared" si="150"/>
        <v>{5204001,5}</v>
      </c>
      <c r="AZ480" s="23" t="str">
        <f ca="1" t="shared" si="176"/>
        <v>{5205001,3}</v>
      </c>
      <c r="BA480" s="23" t="str">
        <f ca="1" t="shared" si="151"/>
        <v>{1,150}</v>
      </c>
      <c r="BB480" s="23" t="s">
        <v>401</v>
      </c>
      <c r="BC480" s="23" t="str">
        <f ca="1" t="shared" si="152"/>
        <v>{5153001,300}</v>
      </c>
      <c r="BD480" s="23" t="str">
        <f ca="1" t="shared" si="169"/>
        <v/>
      </c>
      <c r="BE480" s="23" t="str">
        <f ca="1" t="shared" si="173"/>
        <v>{50039,1}</v>
      </c>
      <c r="BF480" s="23" t="str">
        <f ca="1" t="shared" si="153"/>
        <v>{2,600}</v>
      </c>
      <c r="BI480" s="23" t="str">
        <f ca="1" t="shared" si="154"/>
        <v>[{35,1},{50006,15},{5153001,200},{2,240}]</v>
      </c>
      <c r="BJ480" s="23" t="str">
        <f ca="1" t="shared" si="155"/>
        <v>[{5133001,250},{5523001,200},{50008,25},{9,1},{2,360},{5204001,5}]</v>
      </c>
      <c r="BK480" s="23" t="str">
        <f ca="1" t="shared" si="156"/>
        <v>[{5205001,3},{1,150},{5523001,300},{5153001,300},{50039,1},{2,600}]</v>
      </c>
      <c r="BL480" s="23">
        <f ca="1" t="shared" si="157"/>
        <v>4</v>
      </c>
      <c r="BM480" s="23">
        <f ca="1" t="shared" si="158"/>
        <v>6</v>
      </c>
      <c r="BN480" s="23">
        <f ca="1" t="shared" si="160"/>
        <v>6</v>
      </c>
      <c r="BP480" s="71" t="s">
        <v>374</v>
      </c>
      <c r="BQ480" s="71">
        <v>150</v>
      </c>
    </row>
    <row r="481" ht="16.5" spans="2:69">
      <c r="B481" s="23">
        <v>161</v>
      </c>
      <c r="C481" s="12"/>
      <c r="D481" s="12"/>
      <c r="E481" s="71"/>
      <c r="F481" s="71"/>
      <c r="G481" s="71" t="str">
        <f t="shared" si="162"/>
        <v>鞋子图纸</v>
      </c>
      <c r="H481" s="71">
        <v>15</v>
      </c>
      <c r="I481" s="71" t="str">
        <f t="shared" si="167"/>
        <v>射手特饮</v>
      </c>
      <c r="J481" s="71">
        <v>200</v>
      </c>
      <c r="K481" s="71" t="s">
        <v>96</v>
      </c>
      <c r="L481" s="71">
        <v>240</v>
      </c>
      <c r="M481" s="71" t="str">
        <f t="shared" si="170"/>
        <v>毒系特饮</v>
      </c>
      <c r="N481" s="71">
        <f t="shared" si="174"/>
        <v>250</v>
      </c>
      <c r="O481" s="71" t="s">
        <v>316</v>
      </c>
      <c r="P481" s="71">
        <v>200</v>
      </c>
      <c r="Q481" s="71"/>
      <c r="R481" s="71"/>
      <c r="S481" s="72" t="str">
        <f t="shared" si="163"/>
        <v>头盔图纸</v>
      </c>
      <c r="T481" s="71">
        <v>25</v>
      </c>
      <c r="U481" s="71" t="str">
        <f t="shared" si="164"/>
        <v/>
      </c>
      <c r="V481" s="71">
        <f t="shared" si="165"/>
        <v>0</v>
      </c>
      <c r="W481" s="71" t="s">
        <v>96</v>
      </c>
      <c r="X481" s="71">
        <f t="shared" si="141"/>
        <v>360</v>
      </c>
      <c r="Y481" s="71"/>
      <c r="Z481" s="71"/>
      <c r="AA481" s="71" t="str">
        <f t="shared" si="171"/>
        <v>基因罐</v>
      </c>
      <c r="AB481" s="71">
        <f t="shared" si="175"/>
        <v>30</v>
      </c>
      <c r="AC481" s="71" t="s">
        <v>374</v>
      </c>
      <c r="AD481" s="71">
        <v>150</v>
      </c>
      <c r="AE481" s="72" t="str">
        <f t="shared" si="168"/>
        <v>射手特饮</v>
      </c>
      <c r="AF481" s="71">
        <v>300</v>
      </c>
      <c r="AG481" s="71"/>
      <c r="AH481" s="71"/>
      <c r="AI481" s="71" t="s">
        <v>390</v>
      </c>
      <c r="AJ481" s="71">
        <v>1</v>
      </c>
      <c r="AK481" s="71" t="s">
        <v>96</v>
      </c>
      <c r="AL481" s="71">
        <f t="shared" si="142"/>
        <v>600</v>
      </c>
      <c r="AN481" s="23" t="str">
        <f ca="1" t="shared" si="166"/>
        <v>{11,5}</v>
      </c>
      <c r="AO481" s="23" t="str">
        <f ca="1" t="shared" si="161"/>
        <v/>
      </c>
      <c r="AP481" s="23" t="str">
        <f ca="1" t="shared" si="143"/>
        <v>{50007,15}</v>
      </c>
      <c r="AQ481" s="23" t="str">
        <f ca="1" t="shared" si="144"/>
        <v>{5133001,200}</v>
      </c>
      <c r="AR481" s="23" t="str">
        <f ca="1" t="shared" si="145"/>
        <v>{2,240}</v>
      </c>
      <c r="AS481" s="23" t="str">
        <f ca="1" t="shared" si="146"/>
        <v>{5163001,250}</v>
      </c>
      <c r="AT481" s="23" t="str">
        <f ca="1" t="shared" si="172"/>
        <v>{5523001,200}</v>
      </c>
      <c r="AU481" s="23" t="str">
        <f ca="1" t="shared" si="159"/>
        <v/>
      </c>
      <c r="AV481" s="23" t="str">
        <f ca="1" t="shared" si="147"/>
        <v>{50003,25}</v>
      </c>
      <c r="AW481" s="23" t="str">
        <f ca="1" t="shared" si="148"/>
        <v/>
      </c>
      <c r="AX481" s="23" t="str">
        <f ca="1" t="shared" si="149"/>
        <v>{2,360}</v>
      </c>
      <c r="AY481" s="23" t="str">
        <f ca="1" t="shared" si="150"/>
        <v>{5204001,5}</v>
      </c>
      <c r="AZ481" s="23" t="str">
        <f ca="1" t="shared" si="176"/>
        <v>{5203001,30}</v>
      </c>
      <c r="BA481" s="23" t="str">
        <f ca="1" t="shared" si="151"/>
        <v>{1,150}</v>
      </c>
      <c r="BB481" s="23" t="s">
        <v>401</v>
      </c>
      <c r="BC481" s="23" t="str">
        <f ca="1" t="shared" si="152"/>
        <v>{5133001,300}</v>
      </c>
      <c r="BD481" s="23" t="str">
        <f ca="1" t="shared" si="169"/>
        <v/>
      </c>
      <c r="BE481" s="23" t="str">
        <f ca="1" t="shared" si="173"/>
        <v>{50039,1}</v>
      </c>
      <c r="BF481" s="23" t="str">
        <f ca="1" t="shared" si="153"/>
        <v>{2,600}</v>
      </c>
      <c r="BI481" s="23" t="str">
        <f ca="1" t="shared" si="154"/>
        <v>[{11,5},{50007,15},{5133001,200},{2,240}]</v>
      </c>
      <c r="BJ481" s="23" t="str">
        <f ca="1" t="shared" si="155"/>
        <v>[{5163001,250},{5523001,200},{50003,25},{2,360},{5204001,5}]</v>
      </c>
      <c r="BK481" s="23" t="str">
        <f ca="1" t="shared" si="156"/>
        <v>[{5203001,30},{1,150},{5523001,300},{5133001,300},{50039,1},{2,600}]</v>
      </c>
      <c r="BL481" s="23">
        <f ca="1" t="shared" si="157"/>
        <v>4</v>
      </c>
      <c r="BM481" s="23">
        <f ca="1" t="shared" si="158"/>
        <v>5</v>
      </c>
      <c r="BN481" s="23">
        <f ca="1" t="shared" si="160"/>
        <v>6</v>
      </c>
      <c r="BP481" s="71" t="s">
        <v>374</v>
      </c>
      <c r="BQ481" s="71">
        <v>150</v>
      </c>
    </row>
    <row r="482" ht="16.5" spans="2:69">
      <c r="B482" s="23">
        <v>162</v>
      </c>
      <c r="C482" s="12"/>
      <c r="D482" s="12"/>
      <c r="E482" s="71"/>
      <c r="F482" s="71"/>
      <c r="G482" s="71" t="str">
        <f t="shared" si="162"/>
        <v>手套图纸</v>
      </c>
      <c r="H482" s="71">
        <v>15</v>
      </c>
      <c r="I482" s="71" t="str">
        <f t="shared" si="167"/>
        <v>法师特饮</v>
      </c>
      <c r="J482" s="71">
        <v>200</v>
      </c>
      <c r="K482" s="71" t="s">
        <v>96</v>
      </c>
      <c r="L482" s="71">
        <v>240</v>
      </c>
      <c r="M482" s="71" t="str">
        <f t="shared" si="170"/>
        <v>控制特饮</v>
      </c>
      <c r="N482" s="71">
        <f t="shared" si="174"/>
        <v>250</v>
      </c>
      <c r="O482" s="71" t="s">
        <v>316</v>
      </c>
      <c r="P482" s="71">
        <v>200</v>
      </c>
      <c r="Q482" s="71"/>
      <c r="R482" s="71"/>
      <c r="S482" s="72" t="str">
        <f t="shared" si="163"/>
        <v>衣服图纸</v>
      </c>
      <c r="T482" s="71">
        <v>25</v>
      </c>
      <c r="U482" s="71" t="str">
        <f t="shared" si="164"/>
        <v/>
      </c>
      <c r="V482" s="71">
        <f t="shared" si="165"/>
        <v>0</v>
      </c>
      <c r="W482" s="71" t="s">
        <v>96</v>
      </c>
      <c r="X482" s="71">
        <f t="shared" si="141"/>
        <v>360</v>
      </c>
      <c r="Y482" s="71"/>
      <c r="Z482" s="71"/>
      <c r="AA482" s="71" t="str">
        <f t="shared" si="171"/>
        <v>基因罐</v>
      </c>
      <c r="AB482" s="71">
        <f t="shared" si="175"/>
        <v>30</v>
      </c>
      <c r="AC482" s="71" t="s">
        <v>374</v>
      </c>
      <c r="AD482" s="71">
        <v>150</v>
      </c>
      <c r="AE482" s="72" t="str">
        <f t="shared" si="168"/>
        <v>战士特饮</v>
      </c>
      <c r="AF482" s="71">
        <v>300</v>
      </c>
      <c r="AG482" s="71"/>
      <c r="AH482" s="71"/>
      <c r="AI482" s="71" t="s">
        <v>390</v>
      </c>
      <c r="AJ482" s="71">
        <v>1</v>
      </c>
      <c r="AK482" s="71" t="s">
        <v>96</v>
      </c>
      <c r="AL482" s="71">
        <f t="shared" si="142"/>
        <v>600</v>
      </c>
      <c r="AN482" s="23" t="str">
        <f ca="1" t="shared" si="166"/>
        <v>{11,5}</v>
      </c>
      <c r="AO482" s="23" t="str">
        <f ca="1" t="shared" si="161"/>
        <v/>
      </c>
      <c r="AP482" s="23" t="str">
        <f ca="1" t="shared" si="143"/>
        <v>{50008,15}</v>
      </c>
      <c r="AQ482" s="23" t="str">
        <f ca="1" t="shared" si="144"/>
        <v>{5123001,200}</v>
      </c>
      <c r="AR482" s="23" t="str">
        <f ca="1" t="shared" si="145"/>
        <v>{2,240}</v>
      </c>
      <c r="AS482" s="23" t="str">
        <f ca="1" t="shared" si="146"/>
        <v>{5153001,250}</v>
      </c>
      <c r="AT482" s="23" t="str">
        <f ca="1" t="shared" si="172"/>
        <v>{5523001,200}</v>
      </c>
      <c r="AU482" s="23" t="str">
        <f ca="1" t="shared" si="159"/>
        <v/>
      </c>
      <c r="AV482" s="23" t="str">
        <f ca="1" t="shared" si="147"/>
        <v>{50004,25}</v>
      </c>
      <c r="AW482" s="23" t="str">
        <f ca="1" t="shared" si="148"/>
        <v/>
      </c>
      <c r="AX482" s="23" t="str">
        <f ca="1" t="shared" si="149"/>
        <v>{2,360}</v>
      </c>
      <c r="AY482" s="23" t="str">
        <f ca="1" t="shared" si="150"/>
        <v>{5204001,5}</v>
      </c>
      <c r="AZ482" s="23" t="str">
        <f ca="1" t="shared" si="176"/>
        <v>{5203001,30}</v>
      </c>
      <c r="BA482" s="23" t="str">
        <f ca="1" t="shared" si="151"/>
        <v>{1,150}</v>
      </c>
      <c r="BB482" s="23" t="s">
        <v>401</v>
      </c>
      <c r="BC482" s="23" t="str">
        <f ca="1" t="shared" si="152"/>
        <v>{5113001,300}</v>
      </c>
      <c r="BD482" s="23" t="str">
        <f ca="1" t="shared" si="169"/>
        <v/>
      </c>
      <c r="BE482" s="23" t="str">
        <f ca="1" t="shared" si="173"/>
        <v>{50039,1}</v>
      </c>
      <c r="BF482" s="23" t="str">
        <f ca="1" t="shared" si="153"/>
        <v>{2,600}</v>
      </c>
      <c r="BI482" s="23" t="str">
        <f ca="1" t="shared" si="154"/>
        <v>[{11,5},{50008,15},{5123001,200},{2,240}]</v>
      </c>
      <c r="BJ482" s="23" t="str">
        <f ca="1" t="shared" si="155"/>
        <v>[{5153001,250},{5523001,200},{50004,25},{2,360},{5204001,5}]</v>
      </c>
      <c r="BK482" s="23" t="str">
        <f ca="1" t="shared" si="156"/>
        <v>[{5203001,30},{1,150},{5523001,300},{5113001,300},{50039,1},{2,600}]</v>
      </c>
      <c r="BL482" s="23">
        <f ca="1" t="shared" si="157"/>
        <v>4</v>
      </c>
      <c r="BM482" s="23">
        <f ca="1" t="shared" si="158"/>
        <v>5</v>
      </c>
      <c r="BN482" s="23">
        <f ca="1" t="shared" si="160"/>
        <v>6</v>
      </c>
      <c r="BP482" s="71" t="s">
        <v>374</v>
      </c>
      <c r="BQ482" s="71">
        <v>150</v>
      </c>
    </row>
    <row r="483" ht="16.5" spans="2:69">
      <c r="B483" s="23">
        <v>163</v>
      </c>
      <c r="C483" s="12"/>
      <c r="D483" s="12"/>
      <c r="E483" s="71"/>
      <c r="F483" s="71"/>
      <c r="G483" s="71" t="str">
        <f t="shared" si="162"/>
        <v>头盔图纸</v>
      </c>
      <c r="H483" s="71">
        <v>15</v>
      </c>
      <c r="I483" s="71" t="str">
        <f t="shared" si="167"/>
        <v>辅助特饮</v>
      </c>
      <c r="J483" s="71">
        <v>200</v>
      </c>
      <c r="K483" s="71" t="s">
        <v>96</v>
      </c>
      <c r="L483" s="71">
        <v>240</v>
      </c>
      <c r="M483" s="71" t="str">
        <f t="shared" si="170"/>
        <v>战士特饮</v>
      </c>
      <c r="N483" s="71">
        <f t="shared" si="174"/>
        <v>250</v>
      </c>
      <c r="O483" s="71" t="s">
        <v>316</v>
      </c>
      <c r="P483" s="71">
        <v>200</v>
      </c>
      <c r="Q483" s="71"/>
      <c r="R483" s="71"/>
      <c r="S483" s="72" t="str">
        <f t="shared" si="163"/>
        <v>护臂图纸</v>
      </c>
      <c r="T483" s="71">
        <v>25</v>
      </c>
      <c r="U483" s="71" t="str">
        <f t="shared" si="164"/>
        <v/>
      </c>
      <c r="V483" s="71">
        <f t="shared" si="165"/>
        <v>0</v>
      </c>
      <c r="W483" s="71" t="s">
        <v>96</v>
      </c>
      <c r="X483" s="71">
        <f t="shared" si="141"/>
        <v>360</v>
      </c>
      <c r="Y483" s="71"/>
      <c r="Z483" s="71"/>
      <c r="AA483" s="71" t="str">
        <f t="shared" si="171"/>
        <v>基因罐</v>
      </c>
      <c r="AB483" s="71">
        <f t="shared" si="175"/>
        <v>30</v>
      </c>
      <c r="AC483" s="71" t="s">
        <v>374</v>
      </c>
      <c r="AD483" s="71">
        <v>150</v>
      </c>
      <c r="AE483" s="72" t="str">
        <f t="shared" si="168"/>
        <v>法师特饮</v>
      </c>
      <c r="AF483" s="71">
        <v>300</v>
      </c>
      <c r="AG483" s="71"/>
      <c r="AH483" s="71"/>
      <c r="AI483" s="71" t="s">
        <v>390</v>
      </c>
      <c r="AJ483" s="71">
        <v>1</v>
      </c>
      <c r="AK483" s="71" t="s">
        <v>96</v>
      </c>
      <c r="AL483" s="71">
        <f t="shared" si="142"/>
        <v>600</v>
      </c>
      <c r="AN483" s="23" t="str">
        <f ca="1" t="shared" si="166"/>
        <v>{11,5}</v>
      </c>
      <c r="AO483" s="23" t="str">
        <f ca="1" t="shared" si="161"/>
        <v/>
      </c>
      <c r="AP483" s="23" t="str">
        <f ca="1" t="shared" si="143"/>
        <v>{50003,15}</v>
      </c>
      <c r="AQ483" s="23" t="str">
        <f ca="1" t="shared" si="144"/>
        <v>{5143001,200}</v>
      </c>
      <c r="AR483" s="23" t="str">
        <f ca="1" t="shared" si="145"/>
        <v>{2,240}</v>
      </c>
      <c r="AS483" s="23" t="str">
        <f ca="1" t="shared" si="146"/>
        <v>{5113001,250}</v>
      </c>
      <c r="AT483" s="23" t="str">
        <f ca="1" t="shared" si="172"/>
        <v>{5523001,200}</v>
      </c>
      <c r="AU483" s="23" t="str">
        <f ca="1" t="shared" si="159"/>
        <v/>
      </c>
      <c r="AV483" s="23" t="str">
        <f ca="1" t="shared" si="147"/>
        <v>{50005,25}</v>
      </c>
      <c r="AW483" s="23" t="str">
        <f ca="1" t="shared" si="148"/>
        <v/>
      </c>
      <c r="AX483" s="23" t="str">
        <f ca="1" t="shared" si="149"/>
        <v>{2,360}</v>
      </c>
      <c r="AY483" s="23" t="str">
        <f ca="1" t="shared" si="150"/>
        <v>{5204001,5}</v>
      </c>
      <c r="AZ483" s="23" t="str">
        <f ca="1" t="shared" si="176"/>
        <v>{5203001,30}</v>
      </c>
      <c r="BA483" s="23" t="str">
        <f ca="1" t="shared" si="151"/>
        <v>{1,150}</v>
      </c>
      <c r="BB483" s="23" t="s">
        <v>401</v>
      </c>
      <c r="BC483" s="23" t="str">
        <f ca="1" t="shared" si="152"/>
        <v>{5123001,300}</v>
      </c>
      <c r="BD483" s="23" t="str">
        <f ca="1" t="shared" si="169"/>
        <v/>
      </c>
      <c r="BE483" s="23" t="str">
        <f ca="1" t="shared" si="173"/>
        <v>{50039,1}</v>
      </c>
      <c r="BF483" s="23" t="str">
        <f ca="1" t="shared" si="153"/>
        <v>{2,600}</v>
      </c>
      <c r="BI483" s="23" t="str">
        <f ca="1" t="shared" si="154"/>
        <v>[{11,5},{50003,15},{5143001,200},{2,240}]</v>
      </c>
      <c r="BJ483" s="23" t="str">
        <f ca="1" t="shared" si="155"/>
        <v>[{5113001,250},{5523001,200},{50005,25},{2,360},{5204001,5}]</v>
      </c>
      <c r="BK483" s="23" t="str">
        <f ca="1" t="shared" si="156"/>
        <v>[{5203001,30},{1,150},{5523001,300},{5123001,300},{50039,1},{2,600}]</v>
      </c>
      <c r="BL483" s="23">
        <f ca="1" t="shared" si="157"/>
        <v>4</v>
      </c>
      <c r="BM483" s="23">
        <f ca="1" t="shared" si="158"/>
        <v>5</v>
      </c>
      <c r="BN483" s="23">
        <f ca="1" t="shared" si="160"/>
        <v>6</v>
      </c>
      <c r="BP483" s="71" t="s">
        <v>374</v>
      </c>
      <c r="BQ483" s="71">
        <v>150</v>
      </c>
    </row>
    <row r="484" ht="16.5" spans="2:69">
      <c r="B484" s="23">
        <v>164</v>
      </c>
      <c r="C484" s="12"/>
      <c r="D484" s="12"/>
      <c r="E484" s="71"/>
      <c r="F484" s="71"/>
      <c r="G484" s="71" t="str">
        <f t="shared" si="162"/>
        <v>衣服图纸</v>
      </c>
      <c r="H484" s="71">
        <v>15</v>
      </c>
      <c r="I484" s="71" t="str">
        <f t="shared" si="167"/>
        <v>战士特饮</v>
      </c>
      <c r="J484" s="71">
        <v>200</v>
      </c>
      <c r="K484" s="71" t="s">
        <v>96</v>
      </c>
      <c r="L484" s="71">
        <v>240</v>
      </c>
      <c r="M484" s="71" t="str">
        <f t="shared" si="170"/>
        <v>法师特饮</v>
      </c>
      <c r="N484" s="71">
        <f t="shared" si="174"/>
        <v>250</v>
      </c>
      <c r="O484" s="71" t="s">
        <v>316</v>
      </c>
      <c r="P484" s="71">
        <v>200</v>
      </c>
      <c r="Q484" s="71"/>
      <c r="R484" s="71"/>
      <c r="S484" s="72" t="str">
        <f t="shared" si="163"/>
        <v>裤子图纸</v>
      </c>
      <c r="T484" s="71">
        <v>25</v>
      </c>
      <c r="U484" s="71" t="str">
        <f t="shared" si="164"/>
        <v/>
      </c>
      <c r="V484" s="71">
        <f t="shared" si="165"/>
        <v>0</v>
      </c>
      <c r="W484" s="71" t="s">
        <v>96</v>
      </c>
      <c r="X484" s="71">
        <f t="shared" si="141"/>
        <v>360</v>
      </c>
      <c r="Y484" s="71"/>
      <c r="Z484" s="71"/>
      <c r="AA484" s="71" t="str">
        <f t="shared" si="171"/>
        <v>基因罐</v>
      </c>
      <c r="AB484" s="71">
        <f t="shared" si="175"/>
        <v>30</v>
      </c>
      <c r="AC484" s="71" t="s">
        <v>374</v>
      </c>
      <c r="AD484" s="71">
        <v>150</v>
      </c>
      <c r="AE484" s="72" t="str">
        <f t="shared" si="168"/>
        <v>辅助特饮</v>
      </c>
      <c r="AF484" s="71">
        <v>300</v>
      </c>
      <c r="AG484" s="71"/>
      <c r="AH484" s="71"/>
      <c r="AI484" s="71" t="s">
        <v>390</v>
      </c>
      <c r="AJ484" s="71">
        <v>1</v>
      </c>
      <c r="AK484" s="71" t="s">
        <v>96</v>
      </c>
      <c r="AL484" s="71">
        <f t="shared" si="142"/>
        <v>600</v>
      </c>
      <c r="AN484" s="23" t="str">
        <f ca="1" t="shared" si="166"/>
        <v>{11,5}</v>
      </c>
      <c r="AO484" s="23" t="str">
        <f ca="1" t="shared" si="161"/>
        <v/>
      </c>
      <c r="AP484" s="23" t="str">
        <f ca="1" t="shared" si="143"/>
        <v>{50004,15}</v>
      </c>
      <c r="AQ484" s="23" t="str">
        <f ca="1" t="shared" si="144"/>
        <v>{5113001,200}</v>
      </c>
      <c r="AR484" s="23" t="str">
        <f ca="1" t="shared" si="145"/>
        <v>{2,240}</v>
      </c>
      <c r="AS484" s="23" t="str">
        <f ca="1" t="shared" si="146"/>
        <v>{5123001,250}</v>
      </c>
      <c r="AT484" s="23" t="str">
        <f ca="1" t="shared" si="172"/>
        <v>{5523001,200}</v>
      </c>
      <c r="AU484" s="23" t="str">
        <f ca="1" t="shared" si="159"/>
        <v/>
      </c>
      <c r="AV484" s="23" t="str">
        <f ca="1" t="shared" si="147"/>
        <v>{50006,25}</v>
      </c>
      <c r="AW484" s="23" t="str">
        <f ca="1" t="shared" si="148"/>
        <v/>
      </c>
      <c r="AX484" s="23" t="str">
        <f ca="1" t="shared" si="149"/>
        <v>{2,360}</v>
      </c>
      <c r="AY484" s="23" t="str">
        <f ca="1" t="shared" si="150"/>
        <v>{5204001,5}</v>
      </c>
      <c r="AZ484" s="23" t="str">
        <f ca="1" t="shared" si="176"/>
        <v>{5203001,30}</v>
      </c>
      <c r="BA484" s="23" t="str">
        <f ca="1" t="shared" si="151"/>
        <v>{1,150}</v>
      </c>
      <c r="BB484" s="23" t="s">
        <v>401</v>
      </c>
      <c r="BC484" s="23" t="str">
        <f ca="1" t="shared" si="152"/>
        <v>{5143001,300}</v>
      </c>
      <c r="BD484" s="23" t="str">
        <f ca="1" t="shared" si="169"/>
        <v/>
      </c>
      <c r="BE484" s="23" t="str">
        <f ca="1" t="shared" si="173"/>
        <v>{50039,1}</v>
      </c>
      <c r="BF484" s="23" t="str">
        <f ca="1" t="shared" si="153"/>
        <v>{2,600}</v>
      </c>
      <c r="BI484" s="23" t="str">
        <f ca="1" t="shared" si="154"/>
        <v>[{11,5},{50004,15},{5113001,200},{2,240}]</v>
      </c>
      <c r="BJ484" s="23" t="str">
        <f ca="1" t="shared" si="155"/>
        <v>[{5123001,250},{5523001,200},{50006,25},{2,360},{5204001,5}]</v>
      </c>
      <c r="BK484" s="23" t="str">
        <f ca="1" t="shared" si="156"/>
        <v>[{5203001,30},{1,150},{5523001,300},{5143001,300},{50039,1},{2,600}]</v>
      </c>
      <c r="BL484" s="23">
        <f ca="1" t="shared" si="157"/>
        <v>4</v>
      </c>
      <c r="BM484" s="23">
        <f ca="1" t="shared" si="158"/>
        <v>5</v>
      </c>
      <c r="BN484" s="23">
        <f ca="1" t="shared" si="160"/>
        <v>6</v>
      </c>
      <c r="BP484" s="71" t="s">
        <v>374</v>
      </c>
      <c r="BQ484" s="71">
        <v>150</v>
      </c>
    </row>
    <row r="485" ht="16.5" spans="2:69">
      <c r="B485" s="23">
        <v>165</v>
      </c>
      <c r="C485" s="12" t="inlineStr">
        <is>
          <t>梦愿水晶</t>
        </is>
      </c>
      <c r="D485" s="12">
        <v>1</v>
      </c>
      <c r="E485" s="71"/>
      <c r="F485" s="71"/>
      <c r="G485" s="71" t="str">
        <f t="shared" si="162"/>
        <v>护臂图纸</v>
      </c>
      <c r="H485" s="71">
        <v>15</v>
      </c>
      <c r="I485" s="71" t="str">
        <f t="shared" si="167"/>
        <v>毒系特饮</v>
      </c>
      <c r="J485" s="71">
        <v>200</v>
      </c>
      <c r="K485" s="71" t="s">
        <v>96</v>
      </c>
      <c r="L485" s="71">
        <v>240</v>
      </c>
      <c r="M485" s="71" t="str">
        <f t="shared" si="170"/>
        <v>辅助特饮</v>
      </c>
      <c r="N485" s="71">
        <f t="shared" si="174"/>
        <v>250</v>
      </c>
      <c r="O485" s="71" t="s">
        <v>316</v>
      </c>
      <c r="P485" s="71">
        <v>200</v>
      </c>
      <c r="Q485" s="71"/>
      <c r="R485" s="71"/>
      <c r="S485" s="72" t="str">
        <f t="shared" si="163"/>
        <v>鞋子图纸</v>
      </c>
      <c r="T485" s="71">
        <v>25</v>
      </c>
      <c r="U485" s="71" t="str">
        <f t="shared" si="164"/>
        <v>灵感获取令</v>
      </c>
      <c r="V485" s="71">
        <f t="shared" si="165"/>
        <v>1</v>
      </c>
      <c r="W485" s="71" t="s">
        <v>96</v>
      </c>
      <c r="X485" s="71">
        <f t="shared" si="141"/>
        <v>360</v>
      </c>
      <c r="Y485" s="71"/>
      <c r="Z485" s="71"/>
      <c r="AA485" s="71" t="str">
        <f t="shared" si="171"/>
        <v>传说基因罐</v>
      </c>
      <c r="AB485" s="71">
        <f t="shared" si="175"/>
        <v>3</v>
      </c>
      <c r="AC485" s="71" t="s">
        <v>374</v>
      </c>
      <c r="AD485" s="71">
        <v>150</v>
      </c>
      <c r="AE485" s="72" t="str">
        <f t="shared" si="168"/>
        <v>毒系特饮</v>
      </c>
      <c r="AF485" s="71">
        <v>300</v>
      </c>
      <c r="AG485" s="71"/>
      <c r="AH485" s="71"/>
      <c r="AI485" s="71" t="s">
        <v>390</v>
      </c>
      <c r="AJ485" s="71">
        <v>1</v>
      </c>
      <c r="AK485" s="71" t="s">
        <v>96</v>
      </c>
      <c r="AL485" s="71">
        <f t="shared" si="142"/>
        <v>600</v>
      </c>
      <c r="AN485" s="23" t="str">
        <f ca="1" t="shared" si="166"/>
        <v>{35,1}</v>
      </c>
      <c r="AO485" s="23" t="str">
        <f ca="1" t="shared" si="161"/>
        <v/>
      </c>
      <c r="AP485" s="23" t="str">
        <f ca="1" t="shared" si="143"/>
        <v>{50005,15}</v>
      </c>
      <c r="AQ485" s="23" t="str">
        <f ca="1" t="shared" si="144"/>
        <v>{5163001,200}</v>
      </c>
      <c r="AR485" s="23" t="str">
        <f ca="1" t="shared" si="145"/>
        <v>{2,240}</v>
      </c>
      <c r="AS485" s="23" t="str">
        <f ca="1" t="shared" si="146"/>
        <v>{5143001,250}</v>
      </c>
      <c r="AT485" s="23" t="str">
        <f ca="1" t="shared" si="172"/>
        <v>{5523001,200}</v>
      </c>
      <c r="AU485" s="23" t="str">
        <f ca="1" t="shared" si="159"/>
        <v/>
      </c>
      <c r="AV485" s="23" t="str">
        <f ca="1" t="shared" si="147"/>
        <v>{50007,25}</v>
      </c>
      <c r="AW485" s="23" t="str">
        <f ca="1" t="shared" si="148"/>
        <v>{9,1}</v>
      </c>
      <c r="AX485" s="23" t="str">
        <f ca="1" t="shared" si="149"/>
        <v>{2,360}</v>
      </c>
      <c r="AY485" s="23" t="str">
        <f ca="1" t="shared" si="150"/>
        <v>{5204001,5}</v>
      </c>
      <c r="AZ485" s="23" t="str">
        <f ca="1" t="shared" si="176"/>
        <v>{5205001,3}</v>
      </c>
      <c r="BA485" s="23" t="str">
        <f ca="1" t="shared" si="151"/>
        <v>{1,150}</v>
      </c>
      <c r="BB485" s="23" t="s">
        <v>401</v>
      </c>
      <c r="BC485" s="23" t="str">
        <f ca="1" t="shared" si="152"/>
        <v>{5163001,300}</v>
      </c>
      <c r="BD485" s="23" t="str">
        <f ca="1" t="shared" si="169"/>
        <v/>
      </c>
      <c r="BE485" s="23" t="str">
        <f ca="1" t="shared" si="173"/>
        <v>{50039,1}</v>
      </c>
      <c r="BF485" s="23" t="str">
        <f ca="1" t="shared" si="153"/>
        <v>{2,600}</v>
      </c>
      <c r="BI485" s="23" t="str">
        <f ca="1" t="shared" si="154"/>
        <v>[{35,1},{50005,15},{5163001,200},{2,240}]</v>
      </c>
      <c r="BJ485" s="23" t="str">
        <f ca="1" t="shared" si="155"/>
        <v>[{5143001,250},{5523001,200},{50007,25},{9,1},{2,360},{5204001,5}]</v>
      </c>
      <c r="BK485" s="23" t="str">
        <f ca="1" t="shared" si="156"/>
        <v>[{5205001,3},{1,150},{5523001,300},{5163001,300},{50039,1},{2,600}]</v>
      </c>
      <c r="BL485" s="23">
        <f ca="1" t="shared" si="157"/>
        <v>4</v>
      </c>
      <c r="BM485" s="23">
        <f ca="1" t="shared" si="158"/>
        <v>6</v>
      </c>
      <c r="BN485" s="23">
        <f ca="1" t="shared" si="160"/>
        <v>6</v>
      </c>
      <c r="BP485" s="71" t="s">
        <v>374</v>
      </c>
      <c r="BQ485" s="71">
        <v>150</v>
      </c>
    </row>
    <row r="486" ht="16.5" spans="2:69">
      <c r="B486" s="23">
        <v>166</v>
      </c>
      <c r="C486" s="12"/>
      <c r="D486" s="12"/>
      <c r="E486" s="71"/>
      <c r="F486" s="71"/>
      <c r="G486" s="71" t="str">
        <f t="shared" si="162"/>
        <v>裤子图纸</v>
      </c>
      <c r="H486" s="71">
        <v>15</v>
      </c>
      <c r="I486" s="71" t="str">
        <f t="shared" si="167"/>
        <v>控制特饮</v>
      </c>
      <c r="J486" s="71">
        <v>200</v>
      </c>
      <c r="K486" s="71" t="s">
        <v>96</v>
      </c>
      <c r="L486" s="71">
        <v>240</v>
      </c>
      <c r="M486" s="71" t="str">
        <f t="shared" si="170"/>
        <v>射手特饮</v>
      </c>
      <c r="N486" s="71">
        <f t="shared" si="174"/>
        <v>250</v>
      </c>
      <c r="O486" s="71" t="s">
        <v>316</v>
      </c>
      <c r="P486" s="71">
        <v>200</v>
      </c>
      <c r="Q486" s="71"/>
      <c r="R486" s="71"/>
      <c r="S486" s="72" t="str">
        <f t="shared" si="163"/>
        <v>手套图纸</v>
      </c>
      <c r="T486" s="71">
        <v>25</v>
      </c>
      <c r="U486" s="71" t="str">
        <f t="shared" si="164"/>
        <v/>
      </c>
      <c r="V486" s="71">
        <f t="shared" si="165"/>
        <v>0</v>
      </c>
      <c r="W486" s="71" t="s">
        <v>96</v>
      </c>
      <c r="X486" s="71">
        <f t="shared" si="141"/>
        <v>360</v>
      </c>
      <c r="Y486" s="71"/>
      <c r="Z486" s="71"/>
      <c r="AA486" s="71" t="str">
        <f t="shared" si="171"/>
        <v>基因罐</v>
      </c>
      <c r="AB486" s="71">
        <f t="shared" si="175"/>
        <v>30</v>
      </c>
      <c r="AC486" s="71" t="s">
        <v>374</v>
      </c>
      <c r="AD486" s="71">
        <v>150</v>
      </c>
      <c r="AE486" s="72" t="str">
        <f t="shared" si="168"/>
        <v>控制特饮</v>
      </c>
      <c r="AF486" s="71">
        <v>300</v>
      </c>
      <c r="AG486" s="71"/>
      <c r="AH486" s="71"/>
      <c r="AI486" s="71" t="s">
        <v>390</v>
      </c>
      <c r="AJ486" s="71">
        <v>1</v>
      </c>
      <c r="AK486" s="71" t="s">
        <v>96</v>
      </c>
      <c r="AL486" s="71">
        <f t="shared" si="142"/>
        <v>600</v>
      </c>
      <c r="AN486" s="23" t="str">
        <f ca="1" t="shared" si="166"/>
        <v>{11,5}</v>
      </c>
      <c r="AO486" s="23" t="str">
        <f ca="1" t="shared" si="161"/>
        <v/>
      </c>
      <c r="AP486" s="23" t="str">
        <f ca="1" t="shared" si="143"/>
        <v>{50006,15}</v>
      </c>
      <c r="AQ486" s="23" t="str">
        <f ca="1" t="shared" si="144"/>
        <v>{5153001,200}</v>
      </c>
      <c r="AR486" s="23" t="str">
        <f ca="1" t="shared" si="145"/>
        <v>{2,240}</v>
      </c>
      <c r="AS486" s="23" t="str">
        <f ca="1" t="shared" si="146"/>
        <v>{5133001,250}</v>
      </c>
      <c r="AT486" s="23" t="str">
        <f ca="1" t="shared" si="172"/>
        <v>{5523001,200}</v>
      </c>
      <c r="AU486" s="23" t="str">
        <f ca="1" t="shared" si="159"/>
        <v/>
      </c>
      <c r="AV486" s="23" t="str">
        <f ca="1" t="shared" si="147"/>
        <v>{50008,25}</v>
      </c>
      <c r="AW486" s="23" t="str">
        <f ca="1" t="shared" si="148"/>
        <v/>
      </c>
      <c r="AX486" s="23" t="str">
        <f ca="1" t="shared" si="149"/>
        <v>{2,360}</v>
      </c>
      <c r="AY486" s="23" t="str">
        <f ca="1" t="shared" si="150"/>
        <v>{5204001,5}</v>
      </c>
      <c r="AZ486" s="23" t="str">
        <f ca="1" t="shared" si="176"/>
        <v>{5203001,30}</v>
      </c>
      <c r="BA486" s="23" t="str">
        <f ca="1" t="shared" si="151"/>
        <v>{1,150}</v>
      </c>
      <c r="BB486" s="23" t="s">
        <v>401</v>
      </c>
      <c r="BC486" s="23" t="str">
        <f ca="1" t="shared" si="152"/>
        <v>{5153001,300}</v>
      </c>
      <c r="BD486" s="23" t="str">
        <f ca="1" t="shared" si="169"/>
        <v/>
      </c>
      <c r="BE486" s="23" t="str">
        <f ca="1" t="shared" si="173"/>
        <v>{50039,1}</v>
      </c>
      <c r="BF486" s="23" t="str">
        <f ca="1" t="shared" si="153"/>
        <v>{2,600}</v>
      </c>
      <c r="BI486" s="23" t="str">
        <f ca="1" t="shared" si="154"/>
        <v>[{11,5},{50006,15},{5153001,200},{2,240}]</v>
      </c>
      <c r="BJ486" s="23" t="str">
        <f ca="1" t="shared" si="155"/>
        <v>[{5133001,250},{5523001,200},{50008,25},{2,360},{5204001,5}]</v>
      </c>
      <c r="BK486" s="23" t="str">
        <f ca="1" t="shared" si="156"/>
        <v>[{5203001,30},{1,150},{5523001,300},{5153001,300},{50039,1},{2,600}]</v>
      </c>
      <c r="BL486" s="23">
        <f ca="1" t="shared" si="157"/>
        <v>4</v>
      </c>
      <c r="BM486" s="23">
        <f ca="1" t="shared" si="158"/>
        <v>5</v>
      </c>
      <c r="BN486" s="23">
        <f ca="1" t="shared" si="160"/>
        <v>6</v>
      </c>
      <c r="BP486" s="71" t="s">
        <v>374</v>
      </c>
      <c r="BQ486" s="71">
        <v>150</v>
      </c>
    </row>
    <row r="487" ht="16.5" spans="2:69">
      <c r="B487" s="23">
        <v>167</v>
      </c>
      <c r="C487" s="12"/>
      <c r="D487" s="12"/>
      <c r="E487" s="71"/>
      <c r="F487" s="71"/>
      <c r="G487" s="71" t="str">
        <f t="shared" si="162"/>
        <v>鞋子图纸</v>
      </c>
      <c r="H487" s="71">
        <v>15</v>
      </c>
      <c r="I487" s="71" t="str">
        <f t="shared" si="167"/>
        <v>射手特饮</v>
      </c>
      <c r="J487" s="71">
        <v>200</v>
      </c>
      <c r="K487" s="71" t="s">
        <v>96</v>
      </c>
      <c r="L487" s="71">
        <v>240</v>
      </c>
      <c r="M487" s="71" t="str">
        <f t="shared" si="170"/>
        <v>毒系特饮</v>
      </c>
      <c r="N487" s="71">
        <f t="shared" si="174"/>
        <v>250</v>
      </c>
      <c r="O487" s="71" t="s">
        <v>316</v>
      </c>
      <c r="P487" s="71">
        <v>200</v>
      </c>
      <c r="Q487" s="71"/>
      <c r="R487" s="71"/>
      <c r="S487" s="72" t="str">
        <f t="shared" si="163"/>
        <v>头盔图纸</v>
      </c>
      <c r="T487" s="71">
        <v>25</v>
      </c>
      <c r="U487" s="71" t="str">
        <f t="shared" si="164"/>
        <v/>
      </c>
      <c r="V487" s="71">
        <f t="shared" si="165"/>
        <v>0</v>
      </c>
      <c r="W487" s="71" t="s">
        <v>96</v>
      </c>
      <c r="X487" s="71">
        <f t="shared" si="141"/>
        <v>360</v>
      </c>
      <c r="Y487" s="71"/>
      <c r="Z487" s="71"/>
      <c r="AA487" s="71" t="str">
        <f t="shared" si="171"/>
        <v>基因罐</v>
      </c>
      <c r="AB487" s="71">
        <f t="shared" si="175"/>
        <v>30</v>
      </c>
      <c r="AC487" s="71" t="s">
        <v>374</v>
      </c>
      <c r="AD487" s="71">
        <v>150</v>
      </c>
      <c r="AE487" s="72" t="str">
        <f t="shared" si="168"/>
        <v>射手特饮</v>
      </c>
      <c r="AF487" s="71">
        <v>300</v>
      </c>
      <c r="AG487" s="71"/>
      <c r="AH487" s="71"/>
      <c r="AI487" s="71" t="s">
        <v>390</v>
      </c>
      <c r="AJ487" s="71">
        <v>1</v>
      </c>
      <c r="AK487" s="71" t="s">
        <v>96</v>
      </c>
      <c r="AL487" s="71">
        <f t="shared" si="142"/>
        <v>600</v>
      </c>
      <c r="AN487" s="23" t="str">
        <f ca="1" t="shared" si="166"/>
        <v>{11,5}</v>
      </c>
      <c r="AO487" s="23" t="str">
        <f ca="1" t="shared" si="161"/>
        <v/>
      </c>
      <c r="AP487" s="23" t="str">
        <f ca="1" t="shared" si="143"/>
        <v>{50007,15}</v>
      </c>
      <c r="AQ487" s="23" t="str">
        <f ca="1" t="shared" si="144"/>
        <v>{5133001,200}</v>
      </c>
      <c r="AR487" s="23" t="str">
        <f ca="1" t="shared" si="145"/>
        <v>{2,240}</v>
      </c>
      <c r="AS487" s="23" t="str">
        <f ca="1" t="shared" si="146"/>
        <v>{5163001,250}</v>
      </c>
      <c r="AT487" s="23" t="str">
        <f ca="1" t="shared" si="172"/>
        <v>{5523001,200}</v>
      </c>
      <c r="AU487" s="23" t="str">
        <f ca="1" t="shared" si="159"/>
        <v/>
      </c>
      <c r="AV487" s="23" t="str">
        <f ca="1" t="shared" si="147"/>
        <v>{50003,25}</v>
      </c>
      <c r="AW487" s="23" t="str">
        <f ca="1" t="shared" si="148"/>
        <v/>
      </c>
      <c r="AX487" s="23" t="str">
        <f ca="1" t="shared" si="149"/>
        <v>{2,360}</v>
      </c>
      <c r="AY487" s="23" t="str">
        <f ca="1" t="shared" si="150"/>
        <v>{5204001,5}</v>
      </c>
      <c r="AZ487" s="23" t="str">
        <f ca="1" t="shared" si="176"/>
        <v>{5203001,30}</v>
      </c>
      <c r="BA487" s="23" t="str">
        <f ca="1" t="shared" si="151"/>
        <v>{1,150}</v>
      </c>
      <c r="BB487" s="23" t="s">
        <v>401</v>
      </c>
      <c r="BC487" s="23" t="str">
        <f ca="1" t="shared" si="152"/>
        <v>{5133001,300}</v>
      </c>
      <c r="BD487" s="23" t="str">
        <f ca="1" t="shared" si="169"/>
        <v/>
      </c>
      <c r="BE487" s="23" t="str">
        <f ca="1" t="shared" si="173"/>
        <v>{50039,1}</v>
      </c>
      <c r="BF487" s="23" t="str">
        <f ca="1" t="shared" si="153"/>
        <v>{2,600}</v>
      </c>
      <c r="BI487" s="23" t="str">
        <f ca="1" t="shared" si="154"/>
        <v>[{11,5},{50007,15},{5133001,200},{2,240}]</v>
      </c>
      <c r="BJ487" s="23" t="str">
        <f ca="1" t="shared" si="155"/>
        <v>[{5163001,250},{5523001,200},{50003,25},{2,360},{5204001,5}]</v>
      </c>
      <c r="BK487" s="23" t="str">
        <f ca="1" t="shared" si="156"/>
        <v>[{5203001,30},{1,150},{5523001,300},{5133001,300},{50039,1},{2,600}]</v>
      </c>
      <c r="BL487" s="23">
        <f ca="1" t="shared" si="157"/>
        <v>4</v>
      </c>
      <c r="BM487" s="23">
        <f ca="1" t="shared" si="158"/>
        <v>5</v>
      </c>
      <c r="BN487" s="23">
        <f ca="1" t="shared" si="160"/>
        <v>6</v>
      </c>
      <c r="BP487" s="71" t="s">
        <v>374</v>
      </c>
      <c r="BQ487" s="71">
        <v>150</v>
      </c>
    </row>
    <row r="488" ht="16.5" spans="2:69">
      <c r="B488" s="23">
        <v>168</v>
      </c>
      <c r="C488" s="12"/>
      <c r="D488" s="12"/>
      <c r="E488" s="71"/>
      <c r="F488" s="71"/>
      <c r="G488" s="71" t="str">
        <f t="shared" si="162"/>
        <v>手套图纸</v>
      </c>
      <c r="H488" s="71">
        <v>15</v>
      </c>
      <c r="I488" s="71" t="str">
        <f t="shared" si="167"/>
        <v>法师特饮</v>
      </c>
      <c r="J488" s="71">
        <v>200</v>
      </c>
      <c r="K488" s="71" t="s">
        <v>96</v>
      </c>
      <c r="L488" s="71">
        <v>240</v>
      </c>
      <c r="M488" s="71" t="str">
        <f t="shared" si="170"/>
        <v>控制特饮</v>
      </c>
      <c r="N488" s="71">
        <f t="shared" si="174"/>
        <v>250</v>
      </c>
      <c r="O488" s="71" t="s">
        <v>316</v>
      </c>
      <c r="P488" s="71">
        <v>200</v>
      </c>
      <c r="Q488" s="71"/>
      <c r="R488" s="71"/>
      <c r="S488" s="72" t="str">
        <f t="shared" si="163"/>
        <v>衣服图纸</v>
      </c>
      <c r="T488" s="71">
        <v>25</v>
      </c>
      <c r="U488" s="71" t="str">
        <f t="shared" si="164"/>
        <v/>
      </c>
      <c r="V488" s="71">
        <f t="shared" si="165"/>
        <v>0</v>
      </c>
      <c r="W488" s="71" t="s">
        <v>96</v>
      </c>
      <c r="X488" s="71">
        <f t="shared" si="141"/>
        <v>360</v>
      </c>
      <c r="Y488" s="71"/>
      <c r="Z488" s="71"/>
      <c r="AA488" s="71" t="str">
        <f t="shared" si="171"/>
        <v>基因罐</v>
      </c>
      <c r="AB488" s="71">
        <f t="shared" si="175"/>
        <v>30</v>
      </c>
      <c r="AC488" s="71" t="s">
        <v>374</v>
      </c>
      <c r="AD488" s="71">
        <v>150</v>
      </c>
      <c r="AE488" s="72" t="str">
        <f t="shared" si="168"/>
        <v>战士特饮</v>
      </c>
      <c r="AF488" s="71">
        <v>300</v>
      </c>
      <c r="AG488" s="71"/>
      <c r="AH488" s="71"/>
      <c r="AI488" s="71" t="s">
        <v>390</v>
      </c>
      <c r="AJ488" s="71">
        <v>1</v>
      </c>
      <c r="AK488" s="71" t="s">
        <v>96</v>
      </c>
      <c r="AL488" s="71">
        <f t="shared" si="142"/>
        <v>600</v>
      </c>
      <c r="AN488" s="23" t="str">
        <f ca="1" t="shared" si="166"/>
        <v>{11,5}</v>
      </c>
      <c r="AO488" s="23" t="str">
        <f ca="1" t="shared" si="161"/>
        <v/>
      </c>
      <c r="AP488" s="23" t="str">
        <f ca="1" t="shared" si="143"/>
        <v>{50008,15}</v>
      </c>
      <c r="AQ488" s="23" t="str">
        <f ca="1" t="shared" si="144"/>
        <v>{5123001,200}</v>
      </c>
      <c r="AR488" s="23" t="str">
        <f ca="1" t="shared" si="145"/>
        <v>{2,240}</v>
      </c>
      <c r="AS488" s="23" t="str">
        <f ca="1" t="shared" si="146"/>
        <v>{5153001,250}</v>
      </c>
      <c r="AT488" s="23" t="str">
        <f ca="1" t="shared" si="172"/>
        <v>{5523001,200}</v>
      </c>
      <c r="AU488" s="23" t="str">
        <f ca="1" t="shared" si="159"/>
        <v/>
      </c>
      <c r="AV488" s="23" t="str">
        <f ca="1" t="shared" si="147"/>
        <v>{50004,25}</v>
      </c>
      <c r="AW488" s="23" t="str">
        <f ca="1" t="shared" si="148"/>
        <v/>
      </c>
      <c r="AX488" s="23" t="str">
        <f ca="1" t="shared" si="149"/>
        <v>{2,360}</v>
      </c>
      <c r="AY488" s="23" t="str">
        <f ca="1" t="shared" si="150"/>
        <v>{5204001,5}</v>
      </c>
      <c r="AZ488" s="23" t="str">
        <f ca="1" t="shared" si="176"/>
        <v>{5203001,30}</v>
      </c>
      <c r="BA488" s="23" t="str">
        <f ca="1" t="shared" si="151"/>
        <v>{1,150}</v>
      </c>
      <c r="BB488" s="23" t="s">
        <v>401</v>
      </c>
      <c r="BC488" s="23" t="str">
        <f ca="1" t="shared" si="152"/>
        <v>{5113001,300}</v>
      </c>
      <c r="BD488" s="23" t="str">
        <f ca="1" t="shared" si="169"/>
        <v/>
      </c>
      <c r="BE488" s="23" t="str">
        <f ca="1" t="shared" si="173"/>
        <v>{50039,1}</v>
      </c>
      <c r="BF488" s="23" t="str">
        <f ca="1" t="shared" si="153"/>
        <v>{2,600}</v>
      </c>
      <c r="BI488" s="23" t="str">
        <f ca="1" t="shared" si="154"/>
        <v>[{11,5},{50008,15},{5123001,200},{2,240}]</v>
      </c>
      <c r="BJ488" s="23" t="str">
        <f ca="1" t="shared" si="155"/>
        <v>[{5153001,250},{5523001,200},{50004,25},{2,360},{5204001,5}]</v>
      </c>
      <c r="BK488" s="23" t="str">
        <f ca="1" t="shared" si="156"/>
        <v>[{5203001,30},{1,150},{5523001,300},{5113001,300},{50039,1},{2,600}]</v>
      </c>
      <c r="BL488" s="23">
        <f ca="1" t="shared" si="157"/>
        <v>4</v>
      </c>
      <c r="BM488" s="23">
        <f ca="1" t="shared" si="158"/>
        <v>5</v>
      </c>
      <c r="BN488" s="23">
        <f ca="1" t="shared" si="160"/>
        <v>6</v>
      </c>
      <c r="BP488" s="71" t="s">
        <v>374</v>
      </c>
      <c r="BQ488" s="71">
        <v>150</v>
      </c>
    </row>
    <row r="489" ht="16.5" spans="2:69">
      <c r="B489" s="23">
        <v>169</v>
      </c>
      <c r="C489" s="12"/>
      <c r="D489" s="12"/>
      <c r="E489" s="71"/>
      <c r="F489" s="71"/>
      <c r="G489" s="71" t="str">
        <f t="shared" si="162"/>
        <v>头盔图纸</v>
      </c>
      <c r="H489" s="71">
        <v>15</v>
      </c>
      <c r="I489" s="71" t="str">
        <f t="shared" si="167"/>
        <v>辅助特饮</v>
      </c>
      <c r="J489" s="71">
        <v>200</v>
      </c>
      <c r="K489" s="71" t="s">
        <v>96</v>
      </c>
      <c r="L489" s="71">
        <v>240</v>
      </c>
      <c r="M489" s="71" t="str">
        <f t="shared" si="170"/>
        <v>战士特饮</v>
      </c>
      <c r="N489" s="71">
        <f t="shared" si="174"/>
        <v>250</v>
      </c>
      <c r="O489" s="71" t="s">
        <v>316</v>
      </c>
      <c r="P489" s="71">
        <v>200</v>
      </c>
      <c r="Q489" s="71"/>
      <c r="R489" s="71"/>
      <c r="S489" s="72" t="str">
        <f t="shared" si="163"/>
        <v>护臂图纸</v>
      </c>
      <c r="T489" s="71">
        <v>25</v>
      </c>
      <c r="U489" s="71" t="str">
        <f t="shared" si="164"/>
        <v/>
      </c>
      <c r="V489" s="71">
        <f t="shared" si="165"/>
        <v>0</v>
      </c>
      <c r="W489" s="71" t="s">
        <v>96</v>
      </c>
      <c r="X489" s="71">
        <f t="shared" si="141"/>
        <v>360</v>
      </c>
      <c r="Y489" s="71"/>
      <c r="Z489" s="71"/>
      <c r="AA489" s="71" t="str">
        <f t="shared" si="171"/>
        <v>基因罐</v>
      </c>
      <c r="AB489" s="71">
        <f t="shared" si="175"/>
        <v>30</v>
      </c>
      <c r="AC489" s="71" t="s">
        <v>374</v>
      </c>
      <c r="AD489" s="71">
        <v>150</v>
      </c>
      <c r="AE489" s="72" t="str">
        <f t="shared" si="168"/>
        <v>法师特饮</v>
      </c>
      <c r="AF489" s="71">
        <v>300</v>
      </c>
      <c r="AG489" s="71"/>
      <c r="AH489" s="71"/>
      <c r="AI489" s="71" t="s">
        <v>390</v>
      </c>
      <c r="AJ489" s="71">
        <v>1</v>
      </c>
      <c r="AK489" s="71" t="s">
        <v>96</v>
      </c>
      <c r="AL489" s="71">
        <f t="shared" si="142"/>
        <v>600</v>
      </c>
      <c r="AN489" s="23" t="str">
        <f ca="1" t="shared" si="166"/>
        <v>{11,5}</v>
      </c>
      <c r="AO489" s="23" t="str">
        <f ca="1" t="shared" si="161"/>
        <v/>
      </c>
      <c r="AP489" s="23" t="str">
        <f ca="1" t="shared" si="143"/>
        <v>{50003,15}</v>
      </c>
      <c r="AQ489" s="23" t="str">
        <f ca="1" t="shared" si="144"/>
        <v>{5143001,200}</v>
      </c>
      <c r="AR489" s="23" t="str">
        <f ca="1" t="shared" si="145"/>
        <v>{2,240}</v>
      </c>
      <c r="AS489" s="23" t="str">
        <f ca="1" t="shared" si="146"/>
        <v>{5113001,250}</v>
      </c>
      <c r="AT489" s="23" t="str">
        <f ca="1" t="shared" si="172"/>
        <v>{5523001,200}</v>
      </c>
      <c r="AU489" s="23" t="str">
        <f ca="1" t="shared" si="159"/>
        <v/>
      </c>
      <c r="AV489" s="23" t="str">
        <f ca="1" t="shared" si="147"/>
        <v>{50005,25}</v>
      </c>
      <c r="AW489" s="23" t="str">
        <f ca="1" t="shared" si="148"/>
        <v/>
      </c>
      <c r="AX489" s="23" t="str">
        <f ca="1" t="shared" si="149"/>
        <v>{2,360}</v>
      </c>
      <c r="AY489" s="23" t="str">
        <f ca="1" t="shared" si="150"/>
        <v>{5204001,5}</v>
      </c>
      <c r="AZ489" s="23" t="str">
        <f ca="1" t="shared" si="176"/>
        <v>{5203001,30}</v>
      </c>
      <c r="BA489" s="23" t="str">
        <f ca="1" t="shared" si="151"/>
        <v>{1,150}</v>
      </c>
      <c r="BB489" s="23" t="s">
        <v>401</v>
      </c>
      <c r="BC489" s="23" t="str">
        <f ca="1" t="shared" si="152"/>
        <v>{5123001,300}</v>
      </c>
      <c r="BD489" s="23" t="str">
        <f ca="1" t="shared" si="169"/>
        <v/>
      </c>
      <c r="BE489" s="23" t="str">
        <f ca="1" t="shared" si="173"/>
        <v>{50039,1}</v>
      </c>
      <c r="BF489" s="23" t="str">
        <f ca="1" t="shared" si="153"/>
        <v>{2,600}</v>
      </c>
      <c r="BI489" s="23" t="str">
        <f ca="1" t="shared" si="154"/>
        <v>[{11,5},{50003,15},{5143001,200},{2,240}]</v>
      </c>
      <c r="BJ489" s="23" t="str">
        <f ca="1" t="shared" si="155"/>
        <v>[{5113001,250},{5523001,200},{50005,25},{2,360},{5204001,5}]</v>
      </c>
      <c r="BK489" s="23" t="str">
        <f ca="1" t="shared" si="156"/>
        <v>[{5203001,30},{1,150},{5523001,300},{5123001,300},{50039,1},{2,600}]</v>
      </c>
      <c r="BL489" s="23">
        <f ca="1" t="shared" si="157"/>
        <v>4</v>
      </c>
      <c r="BM489" s="23">
        <f ca="1" t="shared" si="158"/>
        <v>5</v>
      </c>
      <c r="BN489" s="23">
        <f ca="1" t="shared" si="160"/>
        <v>6</v>
      </c>
      <c r="BP489" s="71" t="s">
        <v>374</v>
      </c>
      <c r="BQ489" s="71">
        <v>150</v>
      </c>
    </row>
    <row r="490" ht="16.5" spans="2:69">
      <c r="B490" s="23">
        <v>170</v>
      </c>
      <c r="C490" s="12" t="inlineStr">
        <is>
          <t>梦愿水晶</t>
        </is>
      </c>
      <c r="D490" s="12">
        <v>1</v>
      </c>
      <c r="E490" s="71"/>
      <c r="F490" s="71"/>
      <c r="G490" s="71" t="str">
        <f t="shared" si="162"/>
        <v>衣服图纸</v>
      </c>
      <c r="H490" s="71">
        <v>15</v>
      </c>
      <c r="I490" s="71" t="str">
        <f t="shared" si="167"/>
        <v>战士特饮</v>
      </c>
      <c r="J490" s="71">
        <v>200</v>
      </c>
      <c r="K490" s="71" t="s">
        <v>96</v>
      </c>
      <c r="L490" s="71">
        <v>240</v>
      </c>
      <c r="M490" s="71" t="str">
        <f t="shared" si="170"/>
        <v>法师特饮</v>
      </c>
      <c r="N490" s="71">
        <f t="shared" si="174"/>
        <v>250</v>
      </c>
      <c r="O490" s="71" t="s">
        <v>316</v>
      </c>
      <c r="P490" s="71">
        <v>200</v>
      </c>
      <c r="Q490" s="71"/>
      <c r="R490" s="71"/>
      <c r="S490" s="72" t="str">
        <f t="shared" si="163"/>
        <v>裤子图纸</v>
      </c>
      <c r="T490" s="71">
        <v>25</v>
      </c>
      <c r="U490" s="71" t="str">
        <f t="shared" si="164"/>
        <v>灵感获取令</v>
      </c>
      <c r="V490" s="71">
        <f t="shared" si="165"/>
        <v>1</v>
      </c>
      <c r="W490" s="71" t="s">
        <v>96</v>
      </c>
      <c r="X490" s="71">
        <f t="shared" si="141"/>
        <v>360</v>
      </c>
      <c r="Y490" s="71"/>
      <c r="Z490" s="71"/>
      <c r="AA490" s="71" t="str">
        <f t="shared" si="171"/>
        <v>传说基因罐</v>
      </c>
      <c r="AB490" s="71">
        <f t="shared" si="175"/>
        <v>3</v>
      </c>
      <c r="AC490" s="71" t="s">
        <v>374</v>
      </c>
      <c r="AD490" s="71">
        <v>150</v>
      </c>
      <c r="AE490" s="72" t="str">
        <f t="shared" si="168"/>
        <v>辅助特饮</v>
      </c>
      <c r="AF490" s="71">
        <v>300</v>
      </c>
      <c r="AG490" s="71"/>
      <c r="AH490" s="71"/>
      <c r="AI490" s="71" t="s">
        <v>390</v>
      </c>
      <c r="AJ490" s="71">
        <v>1</v>
      </c>
      <c r="AK490" s="71" t="s">
        <v>96</v>
      </c>
      <c r="AL490" s="71">
        <f t="shared" si="142"/>
        <v>600</v>
      </c>
      <c r="AN490" s="23" t="str">
        <f ca="1" t="shared" si="166"/>
        <v>{35,1}</v>
      </c>
      <c r="AO490" s="23" t="str">
        <f ca="1" t="shared" si="161"/>
        <v/>
      </c>
      <c r="AP490" s="23" t="str">
        <f ca="1" t="shared" si="143"/>
        <v>{50004,15}</v>
      </c>
      <c r="AQ490" s="23" t="str">
        <f ca="1" t="shared" si="144"/>
        <v>{5113001,200}</v>
      </c>
      <c r="AR490" s="23" t="str">
        <f ca="1" t="shared" si="145"/>
        <v>{2,240}</v>
      </c>
      <c r="AS490" s="23" t="str">
        <f ca="1" t="shared" si="146"/>
        <v>{5123001,250}</v>
      </c>
      <c r="AT490" s="23" t="str">
        <f ca="1" t="shared" si="172"/>
        <v>{5523001,200}</v>
      </c>
      <c r="AU490" s="23" t="str">
        <f ca="1" t="shared" si="159"/>
        <v/>
      </c>
      <c r="AV490" s="23" t="str">
        <f ca="1" t="shared" si="147"/>
        <v>{50006,25}</v>
      </c>
      <c r="AW490" s="23" t="str">
        <f ca="1" t="shared" si="148"/>
        <v>{9,1}</v>
      </c>
      <c r="AX490" s="23" t="str">
        <f ca="1" t="shared" si="149"/>
        <v>{2,360}</v>
      </c>
      <c r="AY490" s="23" t="str">
        <f ca="1" t="shared" si="150"/>
        <v>{5204001,5}</v>
      </c>
      <c r="AZ490" s="23" t="str">
        <f ca="1" t="shared" si="176"/>
        <v>{5205001,3}</v>
      </c>
      <c r="BA490" s="23" t="str">
        <f ca="1" t="shared" si="151"/>
        <v>{1,150}</v>
      </c>
      <c r="BB490" s="23" t="s">
        <v>401</v>
      </c>
      <c r="BC490" s="23" t="str">
        <f ca="1" t="shared" si="152"/>
        <v>{5143001,300}</v>
      </c>
      <c r="BD490" s="23" t="str">
        <f ca="1" t="shared" si="169"/>
        <v/>
      </c>
      <c r="BE490" s="23" t="str">
        <f ca="1" t="shared" si="173"/>
        <v>{50039,1}</v>
      </c>
      <c r="BF490" s="23" t="str">
        <f ca="1" t="shared" si="153"/>
        <v>{2,600}</v>
      </c>
      <c r="BI490" s="23" t="str">
        <f ca="1" t="shared" si="154"/>
        <v>[{35,1},{50004,15},{5113001,200},{2,240}]</v>
      </c>
      <c r="BJ490" s="23" t="str">
        <f ca="1" t="shared" si="155"/>
        <v>[{5123001,250},{5523001,200},{50006,25},{9,1},{2,360},{5204001,5}]</v>
      </c>
      <c r="BK490" s="23" t="str">
        <f ca="1" t="shared" si="156"/>
        <v>[{5205001,3},{1,150},{5523001,300},{5143001,300},{50039,1},{2,600}]</v>
      </c>
      <c r="BL490" s="23">
        <f ca="1" t="shared" si="157"/>
        <v>4</v>
      </c>
      <c r="BM490" s="23">
        <f ca="1" t="shared" si="158"/>
        <v>6</v>
      </c>
      <c r="BN490" s="23">
        <f ca="1" t="shared" si="160"/>
        <v>6</v>
      </c>
      <c r="BP490" s="71" t="s">
        <v>374</v>
      </c>
      <c r="BQ490" s="71">
        <v>150</v>
      </c>
    </row>
    <row r="491" ht="16.5" spans="2:69">
      <c r="B491" s="23">
        <v>171</v>
      </c>
      <c r="C491" s="12"/>
      <c r="D491" s="12"/>
      <c r="E491" s="71"/>
      <c r="F491" s="71"/>
      <c r="G491" s="71" t="str">
        <f t="shared" si="162"/>
        <v>护臂图纸</v>
      </c>
      <c r="H491" s="71">
        <v>15</v>
      </c>
      <c r="I491" s="71" t="str">
        <f t="shared" si="167"/>
        <v>毒系特饮</v>
      </c>
      <c r="J491" s="71">
        <v>200</v>
      </c>
      <c r="K491" s="71" t="s">
        <v>96</v>
      </c>
      <c r="L491" s="71">
        <v>240</v>
      </c>
      <c r="M491" s="71" t="str">
        <f t="shared" si="170"/>
        <v>辅助特饮</v>
      </c>
      <c r="N491" s="71">
        <f t="shared" si="174"/>
        <v>250</v>
      </c>
      <c r="O491" s="71" t="s">
        <v>316</v>
      </c>
      <c r="P491" s="71">
        <v>200</v>
      </c>
      <c r="Q491" s="71"/>
      <c r="R491" s="71"/>
      <c r="S491" s="72" t="str">
        <f t="shared" si="163"/>
        <v>鞋子图纸</v>
      </c>
      <c r="T491" s="71">
        <v>25</v>
      </c>
      <c r="U491" s="71" t="str">
        <f t="shared" si="164"/>
        <v/>
      </c>
      <c r="V491" s="71">
        <f t="shared" si="165"/>
        <v>0</v>
      </c>
      <c r="W491" s="71" t="s">
        <v>96</v>
      </c>
      <c r="X491" s="71">
        <f t="shared" si="141"/>
        <v>360</v>
      </c>
      <c r="Y491" s="71"/>
      <c r="Z491" s="71"/>
      <c r="AA491" s="71" t="str">
        <f t="shared" si="171"/>
        <v>基因罐</v>
      </c>
      <c r="AB491" s="71">
        <f t="shared" si="175"/>
        <v>30</v>
      </c>
      <c r="AC491" s="71" t="s">
        <v>374</v>
      </c>
      <c r="AD491" s="71">
        <v>150</v>
      </c>
      <c r="AE491" s="72" t="str">
        <f t="shared" si="168"/>
        <v>毒系特饮</v>
      </c>
      <c r="AF491" s="71">
        <v>300</v>
      </c>
      <c r="AG491" s="71"/>
      <c r="AH491" s="71"/>
      <c r="AI491" s="71" t="s">
        <v>390</v>
      </c>
      <c r="AJ491" s="71">
        <v>1</v>
      </c>
      <c r="AK491" s="71" t="s">
        <v>96</v>
      </c>
      <c r="AL491" s="71">
        <f t="shared" si="142"/>
        <v>600</v>
      </c>
      <c r="AN491" s="23" t="str">
        <f ca="1" t="shared" si="166"/>
        <v>{11,5}</v>
      </c>
      <c r="AO491" s="23" t="str">
        <f ca="1" t="shared" si="161"/>
        <v/>
      </c>
      <c r="AP491" s="23" t="str">
        <f ca="1" t="shared" si="143"/>
        <v>{50005,15}</v>
      </c>
      <c r="AQ491" s="23" t="str">
        <f ca="1" t="shared" si="144"/>
        <v>{5163001,200}</v>
      </c>
      <c r="AR491" s="23" t="str">
        <f ca="1" t="shared" si="145"/>
        <v>{2,240}</v>
      </c>
      <c r="AS491" s="23" t="str">
        <f ca="1" t="shared" si="146"/>
        <v>{5143001,250}</v>
      </c>
      <c r="AT491" s="23" t="str">
        <f ca="1" t="shared" si="172"/>
        <v>{5523001,200}</v>
      </c>
      <c r="AU491" s="23" t="str">
        <f ca="1" t="shared" si="159"/>
        <v/>
      </c>
      <c r="AV491" s="23" t="str">
        <f ca="1" t="shared" si="147"/>
        <v>{50007,25}</v>
      </c>
      <c r="AW491" s="23" t="str">
        <f ca="1" t="shared" si="148"/>
        <v/>
      </c>
      <c r="AX491" s="23" t="str">
        <f ca="1" t="shared" si="149"/>
        <v>{2,360}</v>
      </c>
      <c r="AY491" s="23" t="str">
        <f ca="1" t="shared" si="150"/>
        <v>{5204001,5}</v>
      </c>
      <c r="AZ491" s="23" t="str">
        <f ca="1" t="shared" si="176"/>
        <v>{5203001,30}</v>
      </c>
      <c r="BA491" s="23" t="str">
        <f ca="1" t="shared" si="151"/>
        <v>{1,150}</v>
      </c>
      <c r="BB491" s="23" t="s">
        <v>401</v>
      </c>
      <c r="BC491" s="23" t="str">
        <f ca="1" t="shared" si="152"/>
        <v>{5163001,300}</v>
      </c>
      <c r="BD491" s="23" t="str">
        <f ca="1" t="shared" si="169"/>
        <v/>
      </c>
      <c r="BE491" s="23" t="str">
        <f ca="1" t="shared" si="173"/>
        <v>{50039,1}</v>
      </c>
      <c r="BF491" s="23" t="str">
        <f ca="1" t="shared" si="153"/>
        <v>{2,600}</v>
      </c>
      <c r="BI491" s="23" t="str">
        <f ca="1" t="shared" si="154"/>
        <v>[{11,5},{50005,15},{5163001,200},{2,240}]</v>
      </c>
      <c r="BJ491" s="23" t="str">
        <f ca="1" t="shared" si="155"/>
        <v>[{5143001,250},{5523001,200},{50007,25},{2,360},{5204001,5}]</v>
      </c>
      <c r="BK491" s="23" t="str">
        <f ca="1" t="shared" si="156"/>
        <v>[{5203001,30},{1,150},{5523001,300},{5163001,300},{50039,1},{2,600}]</v>
      </c>
      <c r="BL491" s="23">
        <f ca="1" t="shared" si="157"/>
        <v>4</v>
      </c>
      <c r="BM491" s="23">
        <f ca="1" t="shared" si="158"/>
        <v>5</v>
      </c>
      <c r="BN491" s="23">
        <f ca="1" t="shared" si="160"/>
        <v>6</v>
      </c>
      <c r="BP491" s="71" t="s">
        <v>374</v>
      </c>
      <c r="BQ491" s="71">
        <v>150</v>
      </c>
    </row>
    <row r="492" ht="16.5" spans="2:69">
      <c r="B492" s="23">
        <v>172</v>
      </c>
      <c r="C492" s="12"/>
      <c r="D492" s="12"/>
      <c r="E492" s="71"/>
      <c r="F492" s="71"/>
      <c r="G492" s="71" t="str">
        <f t="shared" si="162"/>
        <v>裤子图纸</v>
      </c>
      <c r="H492" s="71">
        <v>15</v>
      </c>
      <c r="I492" s="71" t="str">
        <f t="shared" si="167"/>
        <v>控制特饮</v>
      </c>
      <c r="J492" s="71">
        <v>200</v>
      </c>
      <c r="K492" s="71" t="s">
        <v>96</v>
      </c>
      <c r="L492" s="71">
        <v>240</v>
      </c>
      <c r="M492" s="71" t="str">
        <f t="shared" si="170"/>
        <v>射手特饮</v>
      </c>
      <c r="N492" s="71">
        <f t="shared" si="174"/>
        <v>250</v>
      </c>
      <c r="O492" s="71" t="s">
        <v>316</v>
      </c>
      <c r="P492" s="71">
        <v>200</v>
      </c>
      <c r="Q492" s="71"/>
      <c r="R492" s="71"/>
      <c r="S492" s="72" t="str">
        <f t="shared" si="163"/>
        <v>手套图纸</v>
      </c>
      <c r="T492" s="71">
        <v>25</v>
      </c>
      <c r="U492" s="71" t="str">
        <f t="shared" si="164"/>
        <v/>
      </c>
      <c r="V492" s="71">
        <f t="shared" si="165"/>
        <v>0</v>
      </c>
      <c r="W492" s="71" t="s">
        <v>96</v>
      </c>
      <c r="X492" s="71">
        <f t="shared" si="141"/>
        <v>360</v>
      </c>
      <c r="Y492" s="71"/>
      <c r="Z492" s="71"/>
      <c r="AA492" s="71" t="str">
        <f t="shared" si="171"/>
        <v>基因罐</v>
      </c>
      <c r="AB492" s="71">
        <f t="shared" si="175"/>
        <v>30</v>
      </c>
      <c r="AC492" s="71" t="s">
        <v>374</v>
      </c>
      <c r="AD492" s="71">
        <v>150</v>
      </c>
      <c r="AE492" s="72" t="str">
        <f t="shared" si="168"/>
        <v>控制特饮</v>
      </c>
      <c r="AF492" s="71">
        <v>300</v>
      </c>
      <c r="AG492" s="71"/>
      <c r="AH492" s="71"/>
      <c r="AI492" s="71" t="s">
        <v>390</v>
      </c>
      <c r="AJ492" s="71">
        <v>1</v>
      </c>
      <c r="AK492" s="71" t="s">
        <v>96</v>
      </c>
      <c r="AL492" s="71">
        <f t="shared" si="142"/>
        <v>600</v>
      </c>
      <c r="AN492" s="23" t="str">
        <f ca="1" t="shared" si="166"/>
        <v>{11,5}</v>
      </c>
      <c r="AO492" s="23" t="str">
        <f ca="1" t="shared" si="161"/>
        <v/>
      </c>
      <c r="AP492" s="23" t="str">
        <f ca="1" t="shared" si="143"/>
        <v>{50006,15}</v>
      </c>
      <c r="AQ492" s="23" t="str">
        <f ca="1" t="shared" si="144"/>
        <v>{5153001,200}</v>
      </c>
      <c r="AR492" s="23" t="str">
        <f ca="1" t="shared" si="145"/>
        <v>{2,240}</v>
      </c>
      <c r="AS492" s="23" t="str">
        <f ca="1" t="shared" si="146"/>
        <v>{5133001,250}</v>
      </c>
      <c r="AT492" s="23" t="str">
        <f ca="1" t="shared" si="172"/>
        <v>{5523001,200}</v>
      </c>
      <c r="AU492" s="23" t="str">
        <f ca="1" t="shared" si="159"/>
        <v/>
      </c>
      <c r="AV492" s="23" t="str">
        <f ca="1" t="shared" si="147"/>
        <v>{50008,25}</v>
      </c>
      <c r="AW492" s="23" t="str">
        <f ca="1" t="shared" si="148"/>
        <v/>
      </c>
      <c r="AX492" s="23" t="str">
        <f ca="1" t="shared" si="149"/>
        <v>{2,360}</v>
      </c>
      <c r="AY492" s="23" t="str">
        <f ca="1" t="shared" si="150"/>
        <v>{5204001,5}</v>
      </c>
      <c r="AZ492" s="23" t="str">
        <f ca="1" t="shared" si="176"/>
        <v>{5203001,30}</v>
      </c>
      <c r="BA492" s="23" t="str">
        <f ca="1" t="shared" si="151"/>
        <v>{1,150}</v>
      </c>
      <c r="BB492" s="23" t="s">
        <v>401</v>
      </c>
      <c r="BC492" s="23" t="str">
        <f ca="1" t="shared" si="152"/>
        <v>{5153001,300}</v>
      </c>
      <c r="BD492" s="23" t="str">
        <f ca="1" t="shared" si="169"/>
        <v/>
      </c>
      <c r="BE492" s="23" t="str">
        <f ca="1" t="shared" si="173"/>
        <v>{50039,1}</v>
      </c>
      <c r="BF492" s="23" t="str">
        <f ca="1" t="shared" si="153"/>
        <v>{2,600}</v>
      </c>
      <c r="BI492" s="23" t="str">
        <f ca="1" t="shared" si="154"/>
        <v>[{11,5},{50006,15},{5153001,200},{2,240}]</v>
      </c>
      <c r="BJ492" s="23" t="str">
        <f ca="1" t="shared" si="155"/>
        <v>[{5133001,250},{5523001,200},{50008,25},{2,360},{5204001,5}]</v>
      </c>
      <c r="BK492" s="23" t="str">
        <f ca="1" t="shared" si="156"/>
        <v>[{5203001,30},{1,150},{5523001,300},{5153001,300},{50039,1},{2,600}]</v>
      </c>
      <c r="BL492" s="23">
        <f ca="1" t="shared" si="157"/>
        <v>4</v>
      </c>
      <c r="BM492" s="23">
        <f ca="1" t="shared" si="158"/>
        <v>5</v>
      </c>
      <c r="BN492" s="23">
        <f ca="1" t="shared" si="160"/>
        <v>6</v>
      </c>
      <c r="BP492" s="71" t="s">
        <v>374</v>
      </c>
      <c r="BQ492" s="71">
        <v>150</v>
      </c>
    </row>
    <row r="493" ht="16.5" spans="2:69">
      <c r="B493" s="23">
        <v>173</v>
      </c>
      <c r="C493" s="12"/>
      <c r="D493" s="12"/>
      <c r="E493" s="71"/>
      <c r="F493" s="71"/>
      <c r="G493" s="71" t="str">
        <f t="shared" si="162"/>
        <v>鞋子图纸</v>
      </c>
      <c r="H493" s="71">
        <v>15</v>
      </c>
      <c r="I493" s="71" t="str">
        <f t="shared" si="167"/>
        <v>射手特饮</v>
      </c>
      <c r="J493" s="71">
        <v>200</v>
      </c>
      <c r="K493" s="71" t="s">
        <v>96</v>
      </c>
      <c r="L493" s="71">
        <v>240</v>
      </c>
      <c r="M493" s="71" t="str">
        <f t="shared" si="170"/>
        <v>毒系特饮</v>
      </c>
      <c r="N493" s="71">
        <f t="shared" si="174"/>
        <v>250</v>
      </c>
      <c r="O493" s="71" t="s">
        <v>316</v>
      </c>
      <c r="P493" s="71">
        <v>200</v>
      </c>
      <c r="Q493" s="71"/>
      <c r="R493" s="71"/>
      <c r="S493" s="72" t="str">
        <f t="shared" si="163"/>
        <v>头盔图纸</v>
      </c>
      <c r="T493" s="71">
        <v>25</v>
      </c>
      <c r="U493" s="71" t="str">
        <f t="shared" si="164"/>
        <v/>
      </c>
      <c r="V493" s="71">
        <f t="shared" si="165"/>
        <v>0</v>
      </c>
      <c r="W493" s="71" t="s">
        <v>96</v>
      </c>
      <c r="X493" s="71">
        <f t="shared" si="141"/>
        <v>360</v>
      </c>
      <c r="Y493" s="71"/>
      <c r="Z493" s="71"/>
      <c r="AA493" s="71" t="str">
        <f t="shared" si="171"/>
        <v>基因罐</v>
      </c>
      <c r="AB493" s="71">
        <f t="shared" si="175"/>
        <v>30</v>
      </c>
      <c r="AC493" s="71" t="s">
        <v>374</v>
      </c>
      <c r="AD493" s="71">
        <v>150</v>
      </c>
      <c r="AE493" s="72" t="str">
        <f t="shared" si="168"/>
        <v>射手特饮</v>
      </c>
      <c r="AF493" s="71">
        <v>300</v>
      </c>
      <c r="AG493" s="71"/>
      <c r="AH493" s="71"/>
      <c r="AI493" s="71" t="s">
        <v>390</v>
      </c>
      <c r="AJ493" s="71">
        <v>1</v>
      </c>
      <c r="AK493" s="71" t="s">
        <v>96</v>
      </c>
      <c r="AL493" s="71">
        <f t="shared" si="142"/>
        <v>600</v>
      </c>
      <c r="AN493" s="23" t="str">
        <f ca="1" t="shared" si="166"/>
        <v>{11,5}</v>
      </c>
      <c r="AO493" s="23" t="str">
        <f ca="1" t="shared" si="161"/>
        <v/>
      </c>
      <c r="AP493" s="23" t="str">
        <f ca="1" t="shared" si="143"/>
        <v>{50007,15}</v>
      </c>
      <c r="AQ493" s="23" t="str">
        <f ca="1" t="shared" si="144"/>
        <v>{5133001,200}</v>
      </c>
      <c r="AR493" s="23" t="str">
        <f ca="1" t="shared" si="145"/>
        <v>{2,240}</v>
      </c>
      <c r="AS493" s="23" t="str">
        <f ca="1" t="shared" si="146"/>
        <v>{5163001,250}</v>
      </c>
      <c r="AT493" s="23" t="str">
        <f ca="1" t="shared" si="172"/>
        <v>{5523001,200}</v>
      </c>
      <c r="AU493" s="23" t="str">
        <f ca="1" t="shared" si="159"/>
        <v/>
      </c>
      <c r="AV493" s="23" t="str">
        <f ca="1" t="shared" si="147"/>
        <v>{50003,25}</v>
      </c>
      <c r="AW493" s="23" t="str">
        <f ca="1" t="shared" si="148"/>
        <v/>
      </c>
      <c r="AX493" s="23" t="str">
        <f ca="1" t="shared" si="149"/>
        <v>{2,360}</v>
      </c>
      <c r="AY493" s="23" t="str">
        <f ca="1" t="shared" si="150"/>
        <v>{5204001,5}</v>
      </c>
      <c r="AZ493" s="23" t="str">
        <f ca="1" t="shared" si="176"/>
        <v>{5203001,30}</v>
      </c>
      <c r="BA493" s="23" t="str">
        <f ca="1" t="shared" si="151"/>
        <v>{1,150}</v>
      </c>
      <c r="BB493" s="23" t="s">
        <v>401</v>
      </c>
      <c r="BC493" s="23" t="str">
        <f ca="1" t="shared" si="152"/>
        <v>{5133001,300}</v>
      </c>
      <c r="BD493" s="23" t="str">
        <f ca="1" t="shared" si="169"/>
        <v/>
      </c>
      <c r="BE493" s="23" t="str">
        <f ca="1" t="shared" si="173"/>
        <v>{50039,1}</v>
      </c>
      <c r="BF493" s="23" t="str">
        <f ca="1" t="shared" si="153"/>
        <v>{2,600}</v>
      </c>
      <c r="BI493" s="23" t="str">
        <f ca="1" t="shared" si="154"/>
        <v>[{11,5},{50007,15},{5133001,200},{2,240}]</v>
      </c>
      <c r="BJ493" s="23" t="str">
        <f ca="1" t="shared" si="155"/>
        <v>[{5163001,250},{5523001,200},{50003,25},{2,360},{5204001,5}]</v>
      </c>
      <c r="BK493" s="23" t="str">
        <f ca="1" t="shared" si="156"/>
        <v>[{5203001,30},{1,150},{5523001,300},{5133001,300},{50039,1},{2,600}]</v>
      </c>
      <c r="BL493" s="23">
        <f ca="1" t="shared" si="157"/>
        <v>4</v>
      </c>
      <c r="BM493" s="23">
        <f ca="1" t="shared" si="158"/>
        <v>5</v>
      </c>
      <c r="BN493" s="23">
        <f ca="1" t="shared" si="160"/>
        <v>6</v>
      </c>
      <c r="BP493" s="71" t="s">
        <v>374</v>
      </c>
      <c r="BQ493" s="71">
        <v>150</v>
      </c>
    </row>
    <row r="494" ht="16.5" spans="2:69">
      <c r="B494" s="23">
        <v>174</v>
      </c>
      <c r="C494" s="12"/>
      <c r="D494" s="12"/>
      <c r="E494" s="71"/>
      <c r="F494" s="71"/>
      <c r="G494" s="71" t="str">
        <f t="shared" si="162"/>
        <v>手套图纸</v>
      </c>
      <c r="H494" s="71">
        <v>15</v>
      </c>
      <c r="I494" s="71" t="str">
        <f t="shared" si="167"/>
        <v>法师特饮</v>
      </c>
      <c r="J494" s="71">
        <v>200</v>
      </c>
      <c r="K494" s="71" t="s">
        <v>96</v>
      </c>
      <c r="L494" s="71">
        <v>240</v>
      </c>
      <c r="M494" s="71" t="str">
        <f t="shared" si="170"/>
        <v>控制特饮</v>
      </c>
      <c r="N494" s="71">
        <f t="shared" si="174"/>
        <v>250</v>
      </c>
      <c r="O494" s="71" t="s">
        <v>316</v>
      </c>
      <c r="P494" s="71">
        <v>200</v>
      </c>
      <c r="Q494" s="71"/>
      <c r="R494" s="71"/>
      <c r="S494" s="72" t="str">
        <f t="shared" si="163"/>
        <v>衣服图纸</v>
      </c>
      <c r="T494" s="71">
        <v>25</v>
      </c>
      <c r="U494" s="71" t="str">
        <f t="shared" si="164"/>
        <v/>
      </c>
      <c r="V494" s="71">
        <f t="shared" si="165"/>
        <v>0</v>
      </c>
      <c r="W494" s="71" t="s">
        <v>96</v>
      </c>
      <c r="X494" s="71">
        <f t="shared" si="141"/>
        <v>360</v>
      </c>
      <c r="Y494" s="71"/>
      <c r="Z494" s="71"/>
      <c r="AA494" s="71" t="str">
        <f t="shared" si="171"/>
        <v>基因罐</v>
      </c>
      <c r="AB494" s="71">
        <f t="shared" si="175"/>
        <v>30</v>
      </c>
      <c r="AC494" s="71" t="s">
        <v>374</v>
      </c>
      <c r="AD494" s="71">
        <v>150</v>
      </c>
      <c r="AE494" s="72" t="str">
        <f t="shared" si="168"/>
        <v>战士特饮</v>
      </c>
      <c r="AF494" s="71">
        <v>300</v>
      </c>
      <c r="AG494" s="71"/>
      <c r="AH494" s="71"/>
      <c r="AI494" s="71" t="s">
        <v>390</v>
      </c>
      <c r="AJ494" s="71">
        <v>1</v>
      </c>
      <c r="AK494" s="71" t="s">
        <v>96</v>
      </c>
      <c r="AL494" s="71">
        <f t="shared" si="142"/>
        <v>600</v>
      </c>
      <c r="AN494" s="23" t="str">
        <f ca="1" t="shared" si="166"/>
        <v>{11,5}</v>
      </c>
      <c r="AO494" s="23" t="str">
        <f ca="1" t="shared" si="161"/>
        <v/>
      </c>
      <c r="AP494" s="23" t="str">
        <f ca="1" t="shared" si="143"/>
        <v>{50008,15}</v>
      </c>
      <c r="AQ494" s="23" t="str">
        <f ca="1" t="shared" si="144"/>
        <v>{5123001,200}</v>
      </c>
      <c r="AR494" s="23" t="str">
        <f ca="1" t="shared" si="145"/>
        <v>{2,240}</v>
      </c>
      <c r="AS494" s="23" t="str">
        <f ca="1" t="shared" si="146"/>
        <v>{5153001,250}</v>
      </c>
      <c r="AT494" s="23" t="str">
        <f ca="1" t="shared" si="172"/>
        <v>{5523001,200}</v>
      </c>
      <c r="AU494" s="23" t="str">
        <f ca="1" t="shared" si="159"/>
        <v/>
      </c>
      <c r="AV494" s="23" t="str">
        <f ca="1" t="shared" si="147"/>
        <v>{50004,25}</v>
      </c>
      <c r="AW494" s="23" t="str">
        <f ca="1" t="shared" si="148"/>
        <v/>
      </c>
      <c r="AX494" s="23" t="str">
        <f ca="1" t="shared" si="149"/>
        <v>{2,360}</v>
      </c>
      <c r="AY494" s="23" t="str">
        <f ca="1" t="shared" si="150"/>
        <v>{5204001,5}</v>
      </c>
      <c r="AZ494" s="23" t="str">
        <f ca="1" t="shared" si="176"/>
        <v>{5203001,30}</v>
      </c>
      <c r="BA494" s="23" t="str">
        <f ca="1" t="shared" si="151"/>
        <v>{1,150}</v>
      </c>
      <c r="BB494" s="23" t="s">
        <v>401</v>
      </c>
      <c r="BC494" s="23" t="str">
        <f ca="1" t="shared" si="152"/>
        <v>{5113001,300}</v>
      </c>
      <c r="BD494" s="23" t="str">
        <f ca="1" t="shared" si="169"/>
        <v/>
      </c>
      <c r="BE494" s="23" t="str">
        <f ca="1" t="shared" si="173"/>
        <v>{50039,1}</v>
      </c>
      <c r="BF494" s="23" t="str">
        <f ca="1" t="shared" si="153"/>
        <v>{2,600}</v>
      </c>
      <c r="BI494" s="23" t="str">
        <f ca="1" t="shared" si="154"/>
        <v>[{11,5},{50008,15},{5123001,200},{2,240}]</v>
      </c>
      <c r="BJ494" s="23" t="str">
        <f ca="1" t="shared" si="155"/>
        <v>[{5153001,250},{5523001,200},{50004,25},{2,360},{5204001,5}]</v>
      </c>
      <c r="BK494" s="23" t="str">
        <f ca="1" t="shared" si="156"/>
        <v>[{5203001,30},{1,150},{5523001,300},{5113001,300},{50039,1},{2,600}]</v>
      </c>
      <c r="BL494" s="23">
        <f ca="1" t="shared" si="157"/>
        <v>4</v>
      </c>
      <c r="BM494" s="23">
        <f ca="1" t="shared" si="158"/>
        <v>5</v>
      </c>
      <c r="BN494" s="23">
        <f ca="1" t="shared" si="160"/>
        <v>6</v>
      </c>
      <c r="BP494" s="71" t="s">
        <v>374</v>
      </c>
      <c r="BQ494" s="71">
        <v>150</v>
      </c>
    </row>
    <row r="495" ht="16.5" spans="2:69">
      <c r="B495" s="23">
        <v>175</v>
      </c>
      <c r="C495" s="12" t="inlineStr">
        <is>
          <t>梦愿水晶</t>
        </is>
      </c>
      <c r="D495" s="12">
        <v>1</v>
      </c>
      <c r="E495" s="71"/>
      <c r="F495" s="71"/>
      <c r="G495" s="71" t="str">
        <f t="shared" si="162"/>
        <v>头盔图纸</v>
      </c>
      <c r="H495" s="71">
        <v>15</v>
      </c>
      <c r="I495" s="71" t="str">
        <f t="shared" si="167"/>
        <v>辅助特饮</v>
      </c>
      <c r="J495" s="71">
        <v>200</v>
      </c>
      <c r="K495" s="71" t="s">
        <v>96</v>
      </c>
      <c r="L495" s="71">
        <v>240</v>
      </c>
      <c r="M495" s="71" t="str">
        <f t="shared" si="170"/>
        <v>战士特饮</v>
      </c>
      <c r="N495" s="71">
        <f t="shared" si="174"/>
        <v>250</v>
      </c>
      <c r="O495" s="71" t="s">
        <v>316</v>
      </c>
      <c r="P495" s="71">
        <v>200</v>
      </c>
      <c r="Q495" s="71"/>
      <c r="R495" s="71"/>
      <c r="S495" s="72" t="str">
        <f t="shared" si="163"/>
        <v>护臂图纸</v>
      </c>
      <c r="T495" s="71">
        <v>25</v>
      </c>
      <c r="U495" s="71" t="str">
        <f t="shared" si="164"/>
        <v>灵感获取令</v>
      </c>
      <c r="V495" s="71">
        <f t="shared" si="165"/>
        <v>1</v>
      </c>
      <c r="W495" s="71" t="s">
        <v>96</v>
      </c>
      <c r="X495" s="71">
        <f t="shared" si="141"/>
        <v>360</v>
      </c>
      <c r="Y495" s="71"/>
      <c r="Z495" s="71"/>
      <c r="AA495" s="71" t="str">
        <f t="shared" si="171"/>
        <v>传说基因罐</v>
      </c>
      <c r="AB495" s="71">
        <f t="shared" si="175"/>
        <v>3</v>
      </c>
      <c r="AC495" s="71" t="s">
        <v>374</v>
      </c>
      <c r="AD495" s="71">
        <v>150</v>
      </c>
      <c r="AE495" s="72" t="str">
        <f t="shared" si="168"/>
        <v>法师特饮</v>
      </c>
      <c r="AF495" s="71">
        <v>300</v>
      </c>
      <c r="AG495" s="71"/>
      <c r="AH495" s="71"/>
      <c r="AI495" s="71" t="s">
        <v>390</v>
      </c>
      <c r="AJ495" s="71">
        <v>1</v>
      </c>
      <c r="AK495" s="71" t="s">
        <v>96</v>
      </c>
      <c r="AL495" s="71">
        <f t="shared" si="142"/>
        <v>600</v>
      </c>
      <c r="AN495" s="23" t="str">
        <f ca="1" t="shared" si="166"/>
        <v>{35,1}</v>
      </c>
      <c r="AO495" s="23" t="str">
        <f ca="1" t="shared" si="161"/>
        <v/>
      </c>
      <c r="AP495" s="23" t="str">
        <f ca="1" t="shared" si="143"/>
        <v>{50003,15}</v>
      </c>
      <c r="AQ495" s="23" t="str">
        <f ca="1" t="shared" si="144"/>
        <v>{5143001,200}</v>
      </c>
      <c r="AR495" s="23" t="str">
        <f ca="1" t="shared" si="145"/>
        <v>{2,240}</v>
      </c>
      <c r="AS495" s="23" t="str">
        <f ca="1" t="shared" si="146"/>
        <v>{5113001,250}</v>
      </c>
      <c r="AT495" s="23" t="str">
        <f ca="1" t="shared" si="172"/>
        <v>{5523001,200}</v>
      </c>
      <c r="AU495" s="23" t="str">
        <f ca="1" t="shared" si="159"/>
        <v/>
      </c>
      <c r="AV495" s="23" t="str">
        <f ca="1" t="shared" si="147"/>
        <v>{50005,25}</v>
      </c>
      <c r="AW495" s="23" t="str">
        <f ca="1" t="shared" si="148"/>
        <v>{9,1}</v>
      </c>
      <c r="AX495" s="23" t="str">
        <f ca="1" t="shared" si="149"/>
        <v>{2,360}</v>
      </c>
      <c r="AY495" s="23" t="str">
        <f ca="1" t="shared" si="150"/>
        <v>{5204001,5}</v>
      </c>
      <c r="AZ495" s="23" t="str">
        <f ca="1" t="shared" si="176"/>
        <v>{5205001,3}</v>
      </c>
      <c r="BA495" s="23" t="str">
        <f ca="1" t="shared" si="151"/>
        <v>{1,150}</v>
      </c>
      <c r="BB495" s="23" t="s">
        <v>401</v>
      </c>
      <c r="BC495" s="23" t="str">
        <f ca="1" t="shared" si="152"/>
        <v>{5123001,300}</v>
      </c>
      <c r="BD495" s="23" t="str">
        <f ca="1" t="shared" si="169"/>
        <v/>
      </c>
      <c r="BE495" s="23" t="str">
        <f ca="1" t="shared" si="173"/>
        <v>{50039,1}</v>
      </c>
      <c r="BF495" s="23" t="str">
        <f ca="1" t="shared" si="153"/>
        <v>{2,600}</v>
      </c>
      <c r="BI495" s="23" t="str">
        <f ca="1" t="shared" si="154"/>
        <v>[{35,1},{50003,15},{5143001,200},{2,240}]</v>
      </c>
      <c r="BJ495" s="23" t="str">
        <f ca="1" t="shared" si="155"/>
        <v>[{5113001,250},{5523001,200},{50005,25},{9,1},{2,360},{5204001,5}]</v>
      </c>
      <c r="BK495" s="23" t="str">
        <f ca="1" t="shared" si="156"/>
        <v>[{5205001,3},{1,150},{5523001,300},{5123001,300},{50039,1},{2,600}]</v>
      </c>
      <c r="BL495" s="23">
        <f ca="1" t="shared" si="157"/>
        <v>4</v>
      </c>
      <c r="BM495" s="23">
        <f ca="1" t="shared" si="158"/>
        <v>6</v>
      </c>
      <c r="BN495" s="23">
        <f ca="1" t="shared" si="160"/>
        <v>6</v>
      </c>
      <c r="BP495" s="71" t="s">
        <v>374</v>
      </c>
      <c r="BQ495" s="71">
        <v>150</v>
      </c>
    </row>
    <row r="496" ht="16.5" spans="2:69">
      <c r="B496" s="23">
        <v>176</v>
      </c>
      <c r="C496" s="12"/>
      <c r="D496" s="12"/>
      <c r="E496" s="71"/>
      <c r="F496" s="71"/>
      <c r="G496" s="71" t="str">
        <f t="shared" si="162"/>
        <v>衣服图纸</v>
      </c>
      <c r="H496" s="71">
        <v>15</v>
      </c>
      <c r="I496" s="71" t="str">
        <f t="shared" si="167"/>
        <v>战士特饮</v>
      </c>
      <c r="J496" s="71">
        <v>200</v>
      </c>
      <c r="K496" s="71" t="s">
        <v>96</v>
      </c>
      <c r="L496" s="71">
        <v>240</v>
      </c>
      <c r="M496" s="71" t="str">
        <f t="shared" si="170"/>
        <v>法师特饮</v>
      </c>
      <c r="N496" s="71">
        <f t="shared" si="174"/>
        <v>250</v>
      </c>
      <c r="O496" s="71" t="s">
        <v>316</v>
      </c>
      <c r="P496" s="71">
        <v>200</v>
      </c>
      <c r="Q496" s="71"/>
      <c r="R496" s="71"/>
      <c r="S496" s="72" t="str">
        <f t="shared" si="163"/>
        <v>裤子图纸</v>
      </c>
      <c r="T496" s="71">
        <v>25</v>
      </c>
      <c r="U496" s="71" t="str">
        <f t="shared" si="164"/>
        <v/>
      </c>
      <c r="V496" s="71">
        <f t="shared" si="165"/>
        <v>0</v>
      </c>
      <c r="W496" s="71" t="s">
        <v>96</v>
      </c>
      <c r="X496" s="71">
        <f t="shared" si="141"/>
        <v>360</v>
      </c>
      <c r="Y496" s="71"/>
      <c r="Z496" s="71"/>
      <c r="AA496" s="71" t="str">
        <f t="shared" si="171"/>
        <v>基因罐</v>
      </c>
      <c r="AB496" s="71">
        <f t="shared" si="175"/>
        <v>30</v>
      </c>
      <c r="AC496" s="71" t="s">
        <v>374</v>
      </c>
      <c r="AD496" s="71">
        <v>150</v>
      </c>
      <c r="AE496" s="72" t="str">
        <f t="shared" si="168"/>
        <v>辅助特饮</v>
      </c>
      <c r="AF496" s="71">
        <v>300</v>
      </c>
      <c r="AG496" s="71"/>
      <c r="AH496" s="71"/>
      <c r="AI496" s="71" t="s">
        <v>390</v>
      </c>
      <c r="AJ496" s="71">
        <v>1</v>
      </c>
      <c r="AK496" s="71" t="s">
        <v>96</v>
      </c>
      <c r="AL496" s="71">
        <f t="shared" si="142"/>
        <v>600</v>
      </c>
      <c r="AN496" s="23" t="str">
        <f ca="1" t="shared" si="166"/>
        <v>{11,5}</v>
      </c>
      <c r="AO496" s="23" t="str">
        <f ca="1" t="shared" si="161"/>
        <v/>
      </c>
      <c r="AP496" s="23" t="str">
        <f ca="1" t="shared" si="143"/>
        <v>{50004,15}</v>
      </c>
      <c r="AQ496" s="23" t="str">
        <f ca="1" t="shared" si="144"/>
        <v>{5113001,200}</v>
      </c>
      <c r="AR496" s="23" t="str">
        <f ca="1" t="shared" si="145"/>
        <v>{2,240}</v>
      </c>
      <c r="AS496" s="23" t="str">
        <f ca="1" t="shared" si="146"/>
        <v>{5123001,250}</v>
      </c>
      <c r="AT496" s="23" t="str">
        <f ca="1" t="shared" si="172"/>
        <v>{5523001,200}</v>
      </c>
      <c r="AU496" s="23" t="str">
        <f ca="1" t="shared" si="159"/>
        <v/>
      </c>
      <c r="AV496" s="23" t="str">
        <f ca="1" t="shared" si="147"/>
        <v>{50006,25}</v>
      </c>
      <c r="AW496" s="23" t="str">
        <f ca="1" t="shared" si="148"/>
        <v/>
      </c>
      <c r="AX496" s="23" t="str">
        <f ca="1" t="shared" si="149"/>
        <v>{2,360}</v>
      </c>
      <c r="AY496" s="23" t="str">
        <f ca="1" t="shared" si="150"/>
        <v>{5204001,5}</v>
      </c>
      <c r="AZ496" s="23" t="str">
        <f ca="1" t="shared" si="176"/>
        <v>{5203001,30}</v>
      </c>
      <c r="BA496" s="23" t="str">
        <f ca="1" t="shared" si="151"/>
        <v>{1,150}</v>
      </c>
      <c r="BB496" s="23" t="s">
        <v>401</v>
      </c>
      <c r="BC496" s="23" t="str">
        <f ca="1" t="shared" si="152"/>
        <v>{5143001,300}</v>
      </c>
      <c r="BD496" s="23" t="str">
        <f ca="1" t="shared" si="169"/>
        <v/>
      </c>
      <c r="BE496" s="23" t="str">
        <f ca="1" t="shared" si="173"/>
        <v>{50039,1}</v>
      </c>
      <c r="BF496" s="23" t="str">
        <f ca="1" t="shared" si="153"/>
        <v>{2,600}</v>
      </c>
      <c r="BI496" s="23" t="str">
        <f ca="1" t="shared" si="154"/>
        <v>[{11,5},{50004,15},{5113001,200},{2,240}]</v>
      </c>
      <c r="BJ496" s="23" t="str">
        <f ca="1" t="shared" si="155"/>
        <v>[{5123001,250},{5523001,200},{50006,25},{2,360},{5204001,5}]</v>
      </c>
      <c r="BK496" s="23" t="str">
        <f ca="1" t="shared" si="156"/>
        <v>[{5203001,30},{1,150},{5523001,300},{5143001,300},{50039,1},{2,600}]</v>
      </c>
      <c r="BL496" s="23">
        <f ca="1" t="shared" si="157"/>
        <v>4</v>
      </c>
      <c r="BM496" s="23">
        <f ca="1" t="shared" si="158"/>
        <v>5</v>
      </c>
      <c r="BN496" s="23">
        <f ca="1" t="shared" si="160"/>
        <v>6</v>
      </c>
      <c r="BP496" s="71" t="s">
        <v>374</v>
      </c>
      <c r="BQ496" s="71">
        <v>150</v>
      </c>
    </row>
    <row r="497" ht="16.5" spans="2:69">
      <c r="B497" s="23">
        <v>177</v>
      </c>
      <c r="C497" s="12"/>
      <c r="D497" s="12"/>
      <c r="E497" s="71"/>
      <c r="F497" s="71"/>
      <c r="G497" s="71" t="str">
        <f t="shared" si="162"/>
        <v>护臂图纸</v>
      </c>
      <c r="H497" s="71">
        <v>15</v>
      </c>
      <c r="I497" s="71" t="str">
        <f t="shared" si="167"/>
        <v>毒系特饮</v>
      </c>
      <c r="J497" s="71">
        <v>200</v>
      </c>
      <c r="K497" s="71" t="s">
        <v>96</v>
      </c>
      <c r="L497" s="71">
        <v>240</v>
      </c>
      <c r="M497" s="71" t="str">
        <f t="shared" si="170"/>
        <v>辅助特饮</v>
      </c>
      <c r="N497" s="71">
        <f t="shared" si="174"/>
        <v>250</v>
      </c>
      <c r="O497" s="71" t="s">
        <v>316</v>
      </c>
      <c r="P497" s="71">
        <v>200</v>
      </c>
      <c r="Q497" s="71"/>
      <c r="R497" s="71"/>
      <c r="S497" s="72" t="str">
        <f t="shared" si="163"/>
        <v>鞋子图纸</v>
      </c>
      <c r="T497" s="71">
        <v>25</v>
      </c>
      <c r="U497" s="71" t="str">
        <f t="shared" si="164"/>
        <v/>
      </c>
      <c r="V497" s="71">
        <f t="shared" si="165"/>
        <v>0</v>
      </c>
      <c r="W497" s="71" t="s">
        <v>96</v>
      </c>
      <c r="X497" s="71">
        <f t="shared" si="141"/>
        <v>360</v>
      </c>
      <c r="Y497" s="71"/>
      <c r="Z497" s="71"/>
      <c r="AA497" s="71" t="str">
        <f t="shared" si="171"/>
        <v>基因罐</v>
      </c>
      <c r="AB497" s="71">
        <f t="shared" si="175"/>
        <v>30</v>
      </c>
      <c r="AC497" s="71" t="s">
        <v>374</v>
      </c>
      <c r="AD497" s="71">
        <v>150</v>
      </c>
      <c r="AE497" s="72" t="str">
        <f t="shared" si="168"/>
        <v>毒系特饮</v>
      </c>
      <c r="AF497" s="71">
        <v>300</v>
      </c>
      <c r="AG497" s="71"/>
      <c r="AH497" s="71"/>
      <c r="AI497" s="71" t="s">
        <v>390</v>
      </c>
      <c r="AJ497" s="71">
        <v>1</v>
      </c>
      <c r="AK497" s="71" t="s">
        <v>96</v>
      </c>
      <c r="AL497" s="71">
        <f t="shared" si="142"/>
        <v>600</v>
      </c>
      <c r="AN497" s="23" t="str">
        <f ca="1" t="shared" si="166"/>
        <v>{11,5}</v>
      </c>
      <c r="AO497" s="23" t="str">
        <f ca="1" t="shared" si="161"/>
        <v/>
      </c>
      <c r="AP497" s="23" t="str">
        <f ca="1" t="shared" si="143"/>
        <v>{50005,15}</v>
      </c>
      <c r="AQ497" s="23" t="str">
        <f ca="1" t="shared" si="144"/>
        <v>{5163001,200}</v>
      </c>
      <c r="AR497" s="23" t="str">
        <f ca="1" t="shared" si="145"/>
        <v>{2,240}</v>
      </c>
      <c r="AS497" s="23" t="str">
        <f ca="1" t="shared" si="146"/>
        <v>{5143001,250}</v>
      </c>
      <c r="AT497" s="23" t="str">
        <f ca="1" t="shared" si="172"/>
        <v>{5523001,200}</v>
      </c>
      <c r="AU497" s="23" t="str">
        <f ca="1" t="shared" si="159"/>
        <v/>
      </c>
      <c r="AV497" s="23" t="str">
        <f ca="1" t="shared" si="147"/>
        <v>{50007,25}</v>
      </c>
      <c r="AW497" s="23" t="str">
        <f ca="1" t="shared" si="148"/>
        <v/>
      </c>
      <c r="AX497" s="23" t="str">
        <f ca="1" t="shared" si="149"/>
        <v>{2,360}</v>
      </c>
      <c r="AY497" s="23" t="str">
        <f ca="1" t="shared" si="150"/>
        <v>{5204001,5}</v>
      </c>
      <c r="AZ497" s="23" t="str">
        <f ca="1" t="shared" si="176"/>
        <v>{5203001,30}</v>
      </c>
      <c r="BA497" s="23" t="str">
        <f ca="1" t="shared" si="151"/>
        <v>{1,150}</v>
      </c>
      <c r="BB497" s="23" t="s">
        <v>401</v>
      </c>
      <c r="BC497" s="23" t="str">
        <f ca="1" t="shared" si="152"/>
        <v>{5163001,300}</v>
      </c>
      <c r="BD497" s="23" t="str">
        <f ca="1" t="shared" si="169"/>
        <v/>
      </c>
      <c r="BE497" s="23" t="str">
        <f ca="1" t="shared" si="173"/>
        <v>{50039,1}</v>
      </c>
      <c r="BF497" s="23" t="str">
        <f ca="1" t="shared" si="153"/>
        <v>{2,600}</v>
      </c>
      <c r="BI497" s="23" t="str">
        <f ca="1" t="shared" si="154"/>
        <v>[{11,5},{50005,15},{5163001,200},{2,240}]</v>
      </c>
      <c r="BJ497" s="23" t="str">
        <f ca="1" t="shared" si="155"/>
        <v>[{5143001,250},{5523001,200},{50007,25},{2,360},{5204001,5}]</v>
      </c>
      <c r="BK497" s="23" t="str">
        <f ca="1" t="shared" si="156"/>
        <v>[{5203001,30},{1,150},{5523001,300},{5163001,300},{50039,1},{2,600}]</v>
      </c>
      <c r="BL497" s="23">
        <f ca="1" t="shared" si="157"/>
        <v>4</v>
      </c>
      <c r="BM497" s="23">
        <f ca="1" t="shared" si="158"/>
        <v>5</v>
      </c>
      <c r="BN497" s="23">
        <f ca="1" t="shared" si="160"/>
        <v>6</v>
      </c>
      <c r="BP497" s="71" t="s">
        <v>374</v>
      </c>
      <c r="BQ497" s="71">
        <v>150</v>
      </c>
    </row>
    <row r="498" ht="16.5" spans="2:69">
      <c r="B498" s="23">
        <v>178</v>
      </c>
      <c r="C498" s="12"/>
      <c r="D498" s="12"/>
      <c r="E498" s="71"/>
      <c r="F498" s="71"/>
      <c r="G498" s="71" t="str">
        <f t="shared" si="162"/>
        <v>裤子图纸</v>
      </c>
      <c r="H498" s="71">
        <v>15</v>
      </c>
      <c r="I498" s="71" t="str">
        <f t="shared" si="167"/>
        <v>控制特饮</v>
      </c>
      <c r="J498" s="71">
        <v>200</v>
      </c>
      <c r="K498" s="71" t="s">
        <v>96</v>
      </c>
      <c r="L498" s="71">
        <v>240</v>
      </c>
      <c r="M498" s="71" t="str">
        <f t="shared" si="170"/>
        <v>射手特饮</v>
      </c>
      <c r="N498" s="71">
        <f t="shared" si="174"/>
        <v>250</v>
      </c>
      <c r="O498" s="71" t="s">
        <v>316</v>
      </c>
      <c r="P498" s="71">
        <v>200</v>
      </c>
      <c r="Q498" s="71"/>
      <c r="R498" s="71"/>
      <c r="S498" s="72" t="str">
        <f t="shared" si="163"/>
        <v>手套图纸</v>
      </c>
      <c r="T498" s="71">
        <v>25</v>
      </c>
      <c r="U498" s="71" t="str">
        <f t="shared" si="164"/>
        <v/>
      </c>
      <c r="V498" s="71">
        <f t="shared" si="165"/>
        <v>0</v>
      </c>
      <c r="W498" s="71" t="s">
        <v>96</v>
      </c>
      <c r="X498" s="71">
        <f t="shared" si="141"/>
        <v>360</v>
      </c>
      <c r="Y498" s="71"/>
      <c r="Z498" s="71"/>
      <c r="AA498" s="71" t="str">
        <f t="shared" si="171"/>
        <v>基因罐</v>
      </c>
      <c r="AB498" s="71">
        <f t="shared" si="175"/>
        <v>30</v>
      </c>
      <c r="AC498" s="71" t="s">
        <v>374</v>
      </c>
      <c r="AD498" s="71">
        <v>150</v>
      </c>
      <c r="AE498" s="72" t="str">
        <f t="shared" si="168"/>
        <v>控制特饮</v>
      </c>
      <c r="AF498" s="71">
        <v>300</v>
      </c>
      <c r="AG498" s="71"/>
      <c r="AH498" s="71"/>
      <c r="AI498" s="71" t="s">
        <v>390</v>
      </c>
      <c r="AJ498" s="71">
        <v>1</v>
      </c>
      <c r="AK498" s="71" t="s">
        <v>96</v>
      </c>
      <c r="AL498" s="71">
        <f t="shared" si="142"/>
        <v>600</v>
      </c>
      <c r="AN498" s="23" t="str">
        <f ca="1" t="shared" si="166"/>
        <v>{11,5}</v>
      </c>
      <c r="AO498" s="23" t="str">
        <f ca="1" t="shared" si="161"/>
        <v/>
      </c>
      <c r="AP498" s="23" t="str">
        <f ca="1" t="shared" si="143"/>
        <v>{50006,15}</v>
      </c>
      <c r="AQ498" s="23" t="str">
        <f ca="1" t="shared" si="144"/>
        <v>{5153001,200}</v>
      </c>
      <c r="AR498" s="23" t="str">
        <f ca="1" t="shared" si="145"/>
        <v>{2,240}</v>
      </c>
      <c r="AS498" s="23" t="str">
        <f ca="1" t="shared" si="146"/>
        <v>{5133001,250}</v>
      </c>
      <c r="AT498" s="23" t="str">
        <f ca="1" t="shared" si="172"/>
        <v>{5523001,200}</v>
      </c>
      <c r="AU498" s="23" t="str">
        <f ca="1" t="shared" si="159"/>
        <v/>
      </c>
      <c r="AV498" s="23" t="str">
        <f ca="1" t="shared" si="147"/>
        <v>{50008,25}</v>
      </c>
      <c r="AW498" s="23" t="str">
        <f ca="1" t="shared" si="148"/>
        <v/>
      </c>
      <c r="AX498" s="23" t="str">
        <f ca="1" t="shared" si="149"/>
        <v>{2,360}</v>
      </c>
      <c r="AY498" s="23" t="str">
        <f ca="1" t="shared" si="150"/>
        <v>{5204001,5}</v>
      </c>
      <c r="AZ498" s="23" t="str">
        <f ca="1" t="shared" si="176"/>
        <v>{5203001,30}</v>
      </c>
      <c r="BA498" s="23" t="str">
        <f ca="1" t="shared" si="151"/>
        <v>{1,150}</v>
      </c>
      <c r="BB498" s="23" t="s">
        <v>401</v>
      </c>
      <c r="BC498" s="23" t="str">
        <f ca="1" t="shared" si="152"/>
        <v>{5153001,300}</v>
      </c>
      <c r="BD498" s="23" t="str">
        <f ca="1" t="shared" si="169"/>
        <v/>
      </c>
      <c r="BE498" s="23" t="str">
        <f ca="1" t="shared" si="173"/>
        <v>{50039,1}</v>
      </c>
      <c r="BF498" s="23" t="str">
        <f ca="1" t="shared" si="153"/>
        <v>{2,600}</v>
      </c>
      <c r="BI498" s="23" t="str">
        <f ca="1" t="shared" si="154"/>
        <v>[{11,5},{50006,15},{5153001,200},{2,240}]</v>
      </c>
      <c r="BJ498" s="23" t="str">
        <f ca="1" t="shared" si="155"/>
        <v>[{5133001,250},{5523001,200},{50008,25},{2,360},{5204001,5}]</v>
      </c>
      <c r="BK498" s="23" t="str">
        <f ca="1" t="shared" si="156"/>
        <v>[{5203001,30},{1,150},{5523001,300},{5153001,300},{50039,1},{2,600}]</v>
      </c>
      <c r="BL498" s="23">
        <f ca="1" t="shared" si="157"/>
        <v>4</v>
      </c>
      <c r="BM498" s="23">
        <f ca="1" t="shared" si="158"/>
        <v>5</v>
      </c>
      <c r="BN498" s="23">
        <f ca="1" t="shared" si="160"/>
        <v>6</v>
      </c>
      <c r="BP498" s="71" t="s">
        <v>374</v>
      </c>
      <c r="BQ498" s="71">
        <v>150</v>
      </c>
    </row>
    <row r="499" ht="16.5" spans="2:69">
      <c r="B499" s="23">
        <v>179</v>
      </c>
      <c r="C499" s="12"/>
      <c r="D499" s="12"/>
      <c r="E499" s="71"/>
      <c r="F499" s="71"/>
      <c r="G499" s="71" t="str">
        <f t="shared" si="162"/>
        <v>鞋子图纸</v>
      </c>
      <c r="H499" s="71">
        <v>15</v>
      </c>
      <c r="I499" s="71" t="str">
        <f t="shared" si="167"/>
        <v>射手特饮</v>
      </c>
      <c r="J499" s="71">
        <v>200</v>
      </c>
      <c r="K499" s="71" t="s">
        <v>96</v>
      </c>
      <c r="L499" s="71">
        <v>240</v>
      </c>
      <c r="M499" s="71" t="str">
        <f t="shared" si="170"/>
        <v>毒系特饮</v>
      </c>
      <c r="N499" s="71">
        <f t="shared" si="174"/>
        <v>250</v>
      </c>
      <c r="O499" s="71" t="s">
        <v>316</v>
      </c>
      <c r="P499" s="71">
        <v>200</v>
      </c>
      <c r="Q499" s="71"/>
      <c r="R499" s="71"/>
      <c r="S499" s="72" t="str">
        <f t="shared" si="163"/>
        <v>头盔图纸</v>
      </c>
      <c r="T499" s="71">
        <v>25</v>
      </c>
      <c r="U499" s="71" t="str">
        <f t="shared" si="164"/>
        <v/>
      </c>
      <c r="V499" s="71">
        <f t="shared" si="165"/>
        <v>0</v>
      </c>
      <c r="W499" s="71" t="s">
        <v>96</v>
      </c>
      <c r="X499" s="71">
        <f t="shared" si="141"/>
        <v>360</v>
      </c>
      <c r="Y499" s="71"/>
      <c r="Z499" s="71"/>
      <c r="AA499" s="71" t="str">
        <f t="shared" si="171"/>
        <v>基因罐</v>
      </c>
      <c r="AB499" s="71">
        <f t="shared" si="175"/>
        <v>30</v>
      </c>
      <c r="AC499" s="71" t="s">
        <v>374</v>
      </c>
      <c r="AD499" s="71">
        <v>150</v>
      </c>
      <c r="AE499" s="72" t="str">
        <f t="shared" si="168"/>
        <v>射手特饮</v>
      </c>
      <c r="AF499" s="71">
        <v>300</v>
      </c>
      <c r="AG499" s="71"/>
      <c r="AH499" s="71"/>
      <c r="AI499" s="71" t="s">
        <v>390</v>
      </c>
      <c r="AJ499" s="71">
        <v>1</v>
      </c>
      <c r="AK499" s="71" t="s">
        <v>96</v>
      </c>
      <c r="AL499" s="71">
        <f t="shared" si="142"/>
        <v>600</v>
      </c>
      <c r="AN499" s="23" t="str">
        <f ca="1" t="shared" si="166"/>
        <v>{11,5}</v>
      </c>
      <c r="AO499" s="23" t="str">
        <f ca="1" t="shared" si="161"/>
        <v/>
      </c>
      <c r="AP499" s="23" t="str">
        <f ca="1" t="shared" si="143"/>
        <v>{50007,15}</v>
      </c>
      <c r="AQ499" s="23" t="str">
        <f ca="1" t="shared" si="144"/>
        <v>{5133001,200}</v>
      </c>
      <c r="AR499" s="23" t="str">
        <f ca="1" t="shared" si="145"/>
        <v>{2,240}</v>
      </c>
      <c r="AS499" s="23" t="str">
        <f ca="1" t="shared" si="146"/>
        <v>{5163001,250}</v>
      </c>
      <c r="AT499" s="23" t="str">
        <f ca="1" t="shared" si="172"/>
        <v>{5523001,200}</v>
      </c>
      <c r="AU499" s="23" t="str">
        <f ca="1" t="shared" si="159"/>
        <v/>
      </c>
      <c r="AV499" s="23" t="str">
        <f ca="1" t="shared" si="147"/>
        <v>{50003,25}</v>
      </c>
      <c r="AW499" s="23" t="str">
        <f ca="1" t="shared" si="148"/>
        <v/>
      </c>
      <c r="AX499" s="23" t="str">
        <f ca="1" t="shared" si="149"/>
        <v>{2,360}</v>
      </c>
      <c r="AY499" s="23" t="str">
        <f ca="1" t="shared" si="150"/>
        <v>{5204001,5}</v>
      </c>
      <c r="AZ499" s="23" t="str">
        <f ca="1" t="shared" si="176"/>
        <v>{5203001,30}</v>
      </c>
      <c r="BA499" s="23" t="str">
        <f ca="1" t="shared" si="151"/>
        <v>{1,150}</v>
      </c>
      <c r="BB499" s="23" t="s">
        <v>401</v>
      </c>
      <c r="BC499" s="23" t="str">
        <f ca="1" t="shared" si="152"/>
        <v>{5133001,300}</v>
      </c>
      <c r="BD499" s="23" t="str">
        <f ca="1" t="shared" si="169"/>
        <v/>
      </c>
      <c r="BE499" s="23" t="str">
        <f ca="1" t="shared" si="173"/>
        <v>{50039,1}</v>
      </c>
      <c r="BF499" s="23" t="str">
        <f ca="1" t="shared" si="153"/>
        <v>{2,600}</v>
      </c>
      <c r="BI499" s="23" t="str">
        <f ca="1" t="shared" si="154"/>
        <v>[{11,5},{50007,15},{5133001,200},{2,240}]</v>
      </c>
      <c r="BJ499" s="23" t="str">
        <f ca="1" t="shared" si="155"/>
        <v>[{5163001,250},{5523001,200},{50003,25},{2,360},{5204001,5}]</v>
      </c>
      <c r="BK499" s="23" t="str">
        <f ca="1" t="shared" si="156"/>
        <v>[{5203001,30},{1,150},{5523001,300},{5133001,300},{50039,1},{2,600}]</v>
      </c>
      <c r="BL499" s="23">
        <f ca="1" t="shared" si="157"/>
        <v>4</v>
      </c>
      <c r="BM499" s="23">
        <f ca="1" t="shared" si="158"/>
        <v>5</v>
      </c>
      <c r="BN499" s="23">
        <f ca="1" t="shared" si="160"/>
        <v>6</v>
      </c>
      <c r="BP499" s="71" t="s">
        <v>374</v>
      </c>
      <c r="BQ499" s="71">
        <v>150</v>
      </c>
    </row>
    <row r="500" ht="16.5" spans="2:69">
      <c r="B500" s="23">
        <v>180</v>
      </c>
      <c r="C500" s="12" t="str">
        <f t="shared" ref="C500:C563" si="177">C495</f>
        <v>梦愿水晶</v>
      </c>
      <c r="D500" s="12">
        <f t="shared" ref="D500:D563" si="178">D495</f>
        <v>1</v>
      </c>
      <c r="E500" s="71"/>
      <c r="F500" s="71"/>
      <c r="G500" s="71" t="str">
        <f t="shared" si="162"/>
        <v>手套图纸</v>
      </c>
      <c r="H500" s="71">
        <v>15</v>
      </c>
      <c r="I500" s="71" t="str">
        <f t="shared" si="167"/>
        <v>法师特饮</v>
      </c>
      <c r="J500" s="71">
        <v>200</v>
      </c>
      <c r="K500" s="71" t="s">
        <v>96</v>
      </c>
      <c r="L500" s="71">
        <v>240</v>
      </c>
      <c r="M500" s="71" t="str">
        <f t="shared" si="170"/>
        <v>控制特饮</v>
      </c>
      <c r="N500" s="71">
        <f t="shared" si="174"/>
        <v>250</v>
      </c>
      <c r="O500" s="71" t="s">
        <v>316</v>
      </c>
      <c r="P500" s="71">
        <v>200</v>
      </c>
      <c r="Q500" s="71"/>
      <c r="R500" s="71"/>
      <c r="S500" s="72" t="str">
        <f t="shared" si="163"/>
        <v>衣服图纸</v>
      </c>
      <c r="T500" s="71">
        <v>25</v>
      </c>
      <c r="U500" s="71" t="str">
        <f t="shared" si="164"/>
        <v>灵感获取令</v>
      </c>
      <c r="V500" s="71">
        <f t="shared" si="165"/>
        <v>1</v>
      </c>
      <c r="W500" s="71" t="s">
        <v>96</v>
      </c>
      <c r="X500" s="71">
        <f t="shared" si="141"/>
        <v>360</v>
      </c>
      <c r="Y500" s="71"/>
      <c r="Z500" s="71"/>
      <c r="AA500" s="71" t="str">
        <f t="shared" si="171"/>
        <v>传说基因罐</v>
      </c>
      <c r="AB500" s="71">
        <f t="shared" si="175"/>
        <v>3</v>
      </c>
      <c r="AC500" s="71" t="s">
        <v>374</v>
      </c>
      <c r="AD500" s="71">
        <v>150</v>
      </c>
      <c r="AE500" s="72" t="str">
        <f t="shared" si="168"/>
        <v>战士特饮</v>
      </c>
      <c r="AF500" s="71">
        <v>300</v>
      </c>
      <c r="AG500" s="71"/>
      <c r="AH500" s="71"/>
      <c r="AI500" s="71" t="s">
        <v>390</v>
      </c>
      <c r="AJ500" s="71">
        <v>1</v>
      </c>
      <c r="AK500" s="71" t="s">
        <v>96</v>
      </c>
      <c r="AL500" s="71">
        <f t="shared" si="142"/>
        <v>600</v>
      </c>
      <c r="AN500" s="23" t="str">
        <f ca="1" t="shared" si="166"/>
        <v>{35,1}</v>
      </c>
      <c r="AO500" s="23" t="str">
        <f ca="1" t="shared" si="161"/>
        <v/>
      </c>
      <c r="AP500" s="23" t="str">
        <f ca="1" t="shared" si="143"/>
        <v>{50008,15}</v>
      </c>
      <c r="AQ500" s="23" t="str">
        <f ca="1" t="shared" si="144"/>
        <v>{5123001,200}</v>
      </c>
      <c r="AR500" s="23" t="str">
        <f ca="1" t="shared" si="145"/>
        <v>{2,240}</v>
      </c>
      <c r="AS500" s="23" t="str">
        <f ca="1" t="shared" si="146"/>
        <v>{5153001,250}</v>
      </c>
      <c r="AT500" s="23" t="str">
        <f ca="1" t="shared" si="172"/>
        <v>{5523001,200}</v>
      </c>
      <c r="AU500" s="23" t="str">
        <f ca="1" t="shared" si="159"/>
        <v/>
      </c>
      <c r="AV500" s="23" t="str">
        <f ca="1" t="shared" si="147"/>
        <v>{50004,25}</v>
      </c>
      <c r="AW500" s="23" t="str">
        <f ca="1" t="shared" si="148"/>
        <v>{9,1}</v>
      </c>
      <c r="AX500" s="23" t="str">
        <f ca="1" t="shared" si="149"/>
        <v>{2,360}</v>
      </c>
      <c r="AY500" s="23" t="str">
        <f ca="1" t="shared" si="150"/>
        <v>{5204001,5}</v>
      </c>
      <c r="AZ500" s="23" t="str">
        <f ca="1" t="shared" si="176"/>
        <v>{5205001,3}</v>
      </c>
      <c r="BA500" s="23" t="str">
        <f ca="1" t="shared" si="151"/>
        <v>{1,150}</v>
      </c>
      <c r="BB500" s="23" t="s">
        <v>401</v>
      </c>
      <c r="BC500" s="23" t="str">
        <f ca="1" t="shared" si="152"/>
        <v>{5113001,300}</v>
      </c>
      <c r="BD500" s="23" t="str">
        <f ca="1" t="shared" si="169"/>
        <v/>
      </c>
      <c r="BE500" s="23" t="str">
        <f ca="1" t="shared" si="173"/>
        <v>{50039,1}</v>
      </c>
      <c r="BF500" s="23" t="str">
        <f ca="1" t="shared" si="153"/>
        <v>{2,600}</v>
      </c>
      <c r="BI500" s="23" t="str">
        <f ca="1" t="shared" si="154"/>
        <v>[{35,1},{50008,15},{5123001,200},{2,240}]</v>
      </c>
      <c r="BJ500" s="23" t="str">
        <f ca="1" t="shared" si="155"/>
        <v>[{5153001,250},{5523001,200},{50004,25},{9,1},{2,360},{5204001,5}]</v>
      </c>
      <c r="BK500" s="23" t="str">
        <f ca="1" t="shared" si="156"/>
        <v>[{5205001,3},{1,150},{5523001,300},{5113001,300},{50039,1},{2,600}]</v>
      </c>
      <c r="BL500" s="23">
        <f ca="1" t="shared" si="157"/>
        <v>4</v>
      </c>
      <c r="BM500" s="23">
        <f ca="1" t="shared" si="158"/>
        <v>6</v>
      </c>
      <c r="BN500" s="23">
        <f ca="1" t="shared" si="160"/>
        <v>6</v>
      </c>
      <c r="BP500" s="71" t="s">
        <v>374</v>
      </c>
      <c r="BQ500" s="71">
        <v>150</v>
      </c>
    </row>
    <row r="501" ht="16.5" spans="2:69">
      <c r="B501" s="23">
        <v>181</v>
      </c>
      <c r="C501" s="12"/>
      <c r="D501" s="12"/>
      <c r="E501" s="71"/>
      <c r="F501" s="71"/>
      <c r="G501" s="71" t="str">
        <f t="shared" si="162"/>
        <v>头盔图纸</v>
      </c>
      <c r="H501" s="71">
        <v>15</v>
      </c>
      <c r="I501" s="71" t="str">
        <f t="shared" si="167"/>
        <v>辅助特饮</v>
      </c>
      <c r="J501" s="71">
        <v>200</v>
      </c>
      <c r="K501" s="71" t="s">
        <v>96</v>
      </c>
      <c r="L501" s="71">
        <v>240</v>
      </c>
      <c r="M501" s="71" t="str">
        <f t="shared" si="170"/>
        <v>战士特饮</v>
      </c>
      <c r="N501" s="71">
        <f t="shared" si="174"/>
        <v>250</v>
      </c>
      <c r="O501" s="71" t="s">
        <v>316</v>
      </c>
      <c r="P501" s="71">
        <v>200</v>
      </c>
      <c r="Q501" s="71"/>
      <c r="R501" s="71"/>
      <c r="S501" s="72" t="str">
        <f t="shared" si="163"/>
        <v>护臂图纸</v>
      </c>
      <c r="T501" s="71">
        <v>25</v>
      </c>
      <c r="U501" s="71" t="str">
        <f t="shared" si="164"/>
        <v/>
      </c>
      <c r="V501" s="71">
        <f t="shared" si="165"/>
        <v>0</v>
      </c>
      <c r="W501" s="71" t="s">
        <v>96</v>
      </c>
      <c r="X501" s="71">
        <f t="shared" si="141"/>
        <v>360</v>
      </c>
      <c r="Y501" s="71"/>
      <c r="Z501" s="71"/>
      <c r="AA501" s="71" t="str">
        <f t="shared" si="171"/>
        <v>基因罐</v>
      </c>
      <c r="AB501" s="71">
        <f t="shared" si="175"/>
        <v>30</v>
      </c>
      <c r="AC501" s="71" t="s">
        <v>374</v>
      </c>
      <c r="AD501" s="71">
        <v>150</v>
      </c>
      <c r="AE501" s="72" t="str">
        <f t="shared" si="168"/>
        <v>法师特饮</v>
      </c>
      <c r="AF501" s="71">
        <v>300</v>
      </c>
      <c r="AG501" s="71"/>
      <c r="AH501" s="71"/>
      <c r="AI501" s="71" t="s">
        <v>390</v>
      </c>
      <c r="AJ501" s="71">
        <v>1</v>
      </c>
      <c r="AK501" s="71" t="s">
        <v>96</v>
      </c>
      <c r="AL501" s="71">
        <f t="shared" si="142"/>
        <v>600</v>
      </c>
      <c r="AN501" s="23" t="str">
        <f ca="1" t="shared" si="166"/>
        <v>{11,5}</v>
      </c>
      <c r="AO501" s="23" t="str">
        <f ca="1" t="shared" si="161"/>
        <v/>
      </c>
      <c r="AP501" s="23" t="str">
        <f ca="1" t="shared" si="143"/>
        <v>{50003,15}</v>
      </c>
      <c r="AQ501" s="23" t="str">
        <f ca="1" t="shared" si="144"/>
        <v>{5143001,200}</v>
      </c>
      <c r="AR501" s="23" t="str">
        <f ca="1" t="shared" si="145"/>
        <v>{2,240}</v>
      </c>
      <c r="AS501" s="23" t="str">
        <f ca="1" t="shared" si="146"/>
        <v>{5113001,250}</v>
      </c>
      <c r="AT501" s="23" t="str">
        <f ca="1" t="shared" si="172"/>
        <v>{5523001,200}</v>
      </c>
      <c r="AU501" s="23" t="str">
        <f ca="1" t="shared" si="159"/>
        <v/>
      </c>
      <c r="AV501" s="23" t="str">
        <f ca="1" t="shared" si="147"/>
        <v>{50005,25}</v>
      </c>
      <c r="AW501" s="23" t="str">
        <f ca="1" t="shared" si="148"/>
        <v/>
      </c>
      <c r="AX501" s="23" t="str">
        <f ca="1" t="shared" si="149"/>
        <v>{2,360}</v>
      </c>
      <c r="AY501" s="23" t="str">
        <f ca="1" t="shared" si="150"/>
        <v>{5204001,5}</v>
      </c>
      <c r="AZ501" s="23" t="str">
        <f ca="1" t="shared" si="176"/>
        <v>{5203001,30}</v>
      </c>
      <c r="BA501" s="23" t="str">
        <f ca="1" t="shared" si="151"/>
        <v>{1,150}</v>
      </c>
      <c r="BB501" s="23" t="s">
        <v>401</v>
      </c>
      <c r="BC501" s="23" t="str">
        <f ca="1" t="shared" si="152"/>
        <v>{5123001,300}</v>
      </c>
      <c r="BD501" s="23" t="str">
        <f ca="1" t="shared" si="169"/>
        <v/>
      </c>
      <c r="BE501" s="23" t="str">
        <f ca="1" t="shared" si="173"/>
        <v>{50039,1}</v>
      </c>
      <c r="BF501" s="23" t="str">
        <f ca="1" t="shared" si="153"/>
        <v>{2,600}</v>
      </c>
      <c r="BI501" s="23" t="str">
        <f ca="1" t="shared" si="154"/>
        <v>[{11,5},{50003,15},{5143001,200},{2,240}]</v>
      </c>
      <c r="BJ501" s="23" t="str">
        <f ca="1" t="shared" si="155"/>
        <v>[{5113001,250},{5523001,200},{50005,25},{2,360},{5204001,5}]</v>
      </c>
      <c r="BK501" s="23" t="str">
        <f ca="1" t="shared" si="156"/>
        <v>[{5203001,30},{1,150},{5523001,300},{5123001,300},{50039,1},{2,600}]</v>
      </c>
      <c r="BL501" s="23">
        <f ca="1" t="shared" si="157"/>
        <v>4</v>
      </c>
      <c r="BM501" s="23">
        <f ca="1" t="shared" si="158"/>
        <v>5</v>
      </c>
      <c r="BN501" s="23">
        <f ca="1" t="shared" si="160"/>
        <v>6</v>
      </c>
      <c r="BP501" s="71" t="s">
        <v>374</v>
      </c>
      <c r="BQ501" s="71">
        <v>150</v>
      </c>
    </row>
    <row r="502" ht="16.5" spans="2:69">
      <c r="B502" s="23">
        <v>182</v>
      </c>
      <c r="C502" s="12"/>
      <c r="D502" s="12"/>
      <c r="E502" s="71"/>
      <c r="F502" s="71"/>
      <c r="G502" s="71" t="str">
        <f t="shared" si="162"/>
        <v>衣服图纸</v>
      </c>
      <c r="H502" s="71">
        <v>15</v>
      </c>
      <c r="I502" s="71" t="str">
        <f t="shared" si="167"/>
        <v>战士特饮</v>
      </c>
      <c r="J502" s="71">
        <v>200</v>
      </c>
      <c r="K502" s="71" t="s">
        <v>96</v>
      </c>
      <c r="L502" s="71">
        <v>240</v>
      </c>
      <c r="M502" s="71" t="str">
        <f t="shared" si="170"/>
        <v>法师特饮</v>
      </c>
      <c r="N502" s="71">
        <f t="shared" si="174"/>
        <v>250</v>
      </c>
      <c r="O502" s="71" t="s">
        <v>316</v>
      </c>
      <c r="P502" s="71">
        <v>200</v>
      </c>
      <c r="Q502" s="71"/>
      <c r="R502" s="71"/>
      <c r="S502" s="72" t="str">
        <f t="shared" si="163"/>
        <v>裤子图纸</v>
      </c>
      <c r="T502" s="71">
        <v>25</v>
      </c>
      <c r="U502" s="71" t="str">
        <f t="shared" si="164"/>
        <v/>
      </c>
      <c r="V502" s="71">
        <f t="shared" si="165"/>
        <v>0</v>
      </c>
      <c r="W502" s="71" t="s">
        <v>96</v>
      </c>
      <c r="X502" s="71">
        <f t="shared" si="141"/>
        <v>360</v>
      </c>
      <c r="Y502" s="71"/>
      <c r="Z502" s="71"/>
      <c r="AA502" s="71" t="str">
        <f t="shared" si="171"/>
        <v>基因罐</v>
      </c>
      <c r="AB502" s="71">
        <f t="shared" si="175"/>
        <v>30</v>
      </c>
      <c r="AC502" s="71" t="s">
        <v>374</v>
      </c>
      <c r="AD502" s="71">
        <v>150</v>
      </c>
      <c r="AE502" s="72" t="str">
        <f t="shared" si="168"/>
        <v>辅助特饮</v>
      </c>
      <c r="AF502" s="71">
        <v>300</v>
      </c>
      <c r="AG502" s="71"/>
      <c r="AH502" s="71"/>
      <c r="AI502" s="71" t="s">
        <v>390</v>
      </c>
      <c r="AJ502" s="71">
        <v>1</v>
      </c>
      <c r="AK502" s="71" t="s">
        <v>96</v>
      </c>
      <c r="AL502" s="71">
        <f t="shared" si="142"/>
        <v>600</v>
      </c>
      <c r="AN502" s="23" t="str">
        <f ca="1" t="shared" si="166"/>
        <v>{11,5}</v>
      </c>
      <c r="AO502" s="23" t="str">
        <f ca="1" t="shared" si="161"/>
        <v/>
      </c>
      <c r="AP502" s="23" t="str">
        <f ca="1" t="shared" si="143"/>
        <v>{50004,15}</v>
      </c>
      <c r="AQ502" s="23" t="str">
        <f ca="1" t="shared" si="144"/>
        <v>{5113001,200}</v>
      </c>
      <c r="AR502" s="23" t="str">
        <f ca="1" t="shared" si="145"/>
        <v>{2,240}</v>
      </c>
      <c r="AS502" s="23" t="str">
        <f ca="1" t="shared" si="146"/>
        <v>{5123001,250}</v>
      </c>
      <c r="AT502" s="23" t="str">
        <f ca="1" t="shared" si="172"/>
        <v>{5523001,200}</v>
      </c>
      <c r="AU502" s="23" t="str">
        <f ca="1" t="shared" si="159"/>
        <v/>
      </c>
      <c r="AV502" s="23" t="str">
        <f ca="1" t="shared" si="147"/>
        <v>{50006,25}</v>
      </c>
      <c r="AW502" s="23" t="str">
        <f ca="1" t="shared" si="148"/>
        <v/>
      </c>
      <c r="AX502" s="23" t="str">
        <f ca="1" t="shared" si="149"/>
        <v>{2,360}</v>
      </c>
      <c r="AY502" s="23" t="str">
        <f ca="1" t="shared" si="150"/>
        <v>{5204001,5}</v>
      </c>
      <c r="AZ502" s="23" t="str">
        <f ca="1" t="shared" si="176"/>
        <v>{5203001,30}</v>
      </c>
      <c r="BA502" s="23" t="str">
        <f ca="1" t="shared" si="151"/>
        <v>{1,150}</v>
      </c>
      <c r="BB502" s="23" t="s">
        <v>401</v>
      </c>
      <c r="BC502" s="23" t="str">
        <f ca="1" t="shared" si="152"/>
        <v>{5143001,300}</v>
      </c>
      <c r="BD502" s="23" t="str">
        <f ca="1" t="shared" si="169"/>
        <v/>
      </c>
      <c r="BE502" s="23" t="str">
        <f ca="1" t="shared" si="173"/>
        <v>{50039,1}</v>
      </c>
      <c r="BF502" s="23" t="str">
        <f ca="1" t="shared" si="153"/>
        <v>{2,600}</v>
      </c>
      <c r="BI502" s="23" t="str">
        <f ca="1" t="shared" si="154"/>
        <v>[{11,5},{50004,15},{5113001,200},{2,240}]</v>
      </c>
      <c r="BJ502" s="23" t="str">
        <f ca="1" t="shared" si="155"/>
        <v>[{5123001,250},{5523001,200},{50006,25},{2,360},{5204001,5}]</v>
      </c>
      <c r="BK502" s="23" t="str">
        <f ca="1" t="shared" si="156"/>
        <v>[{5203001,30},{1,150},{5523001,300},{5143001,300},{50039,1},{2,600}]</v>
      </c>
      <c r="BL502" s="23">
        <f ca="1" t="shared" si="157"/>
        <v>4</v>
      </c>
      <c r="BM502" s="23">
        <f ca="1" t="shared" si="158"/>
        <v>5</v>
      </c>
      <c r="BN502" s="23">
        <f ca="1" t="shared" si="160"/>
        <v>6</v>
      </c>
      <c r="BP502" s="71" t="s">
        <v>374</v>
      </c>
      <c r="BQ502" s="71">
        <v>150</v>
      </c>
    </row>
    <row r="503" ht="16.5" spans="2:69">
      <c r="B503" s="23">
        <v>183</v>
      </c>
      <c r="C503" s="12"/>
      <c r="D503" s="12"/>
      <c r="E503" s="71"/>
      <c r="F503" s="71"/>
      <c r="G503" s="71" t="str">
        <f t="shared" si="162"/>
        <v>护臂图纸</v>
      </c>
      <c r="H503" s="71">
        <v>15</v>
      </c>
      <c r="I503" s="71" t="str">
        <f t="shared" si="167"/>
        <v>毒系特饮</v>
      </c>
      <c r="J503" s="71">
        <v>200</v>
      </c>
      <c r="K503" s="71" t="s">
        <v>96</v>
      </c>
      <c r="L503" s="71">
        <v>240</v>
      </c>
      <c r="M503" s="71" t="str">
        <f t="shared" si="170"/>
        <v>辅助特饮</v>
      </c>
      <c r="N503" s="71">
        <f t="shared" si="174"/>
        <v>250</v>
      </c>
      <c r="O503" s="71" t="s">
        <v>316</v>
      </c>
      <c r="P503" s="71">
        <v>200</v>
      </c>
      <c r="Q503" s="71"/>
      <c r="R503" s="71"/>
      <c r="S503" s="72" t="str">
        <f t="shared" si="163"/>
        <v>鞋子图纸</v>
      </c>
      <c r="T503" s="71">
        <v>25</v>
      </c>
      <c r="U503" s="71" t="str">
        <f t="shared" si="164"/>
        <v/>
      </c>
      <c r="V503" s="71">
        <f t="shared" si="165"/>
        <v>0</v>
      </c>
      <c r="W503" s="71" t="s">
        <v>96</v>
      </c>
      <c r="X503" s="71">
        <f t="shared" si="141"/>
        <v>360</v>
      </c>
      <c r="Y503" s="71"/>
      <c r="Z503" s="71"/>
      <c r="AA503" s="71" t="str">
        <f t="shared" si="171"/>
        <v>基因罐</v>
      </c>
      <c r="AB503" s="71">
        <f t="shared" si="175"/>
        <v>30</v>
      </c>
      <c r="AC503" s="71" t="s">
        <v>374</v>
      </c>
      <c r="AD503" s="71">
        <v>150</v>
      </c>
      <c r="AE503" s="72" t="str">
        <f t="shared" si="168"/>
        <v>毒系特饮</v>
      </c>
      <c r="AF503" s="71">
        <v>300</v>
      </c>
      <c r="AG503" s="71"/>
      <c r="AH503" s="71"/>
      <c r="AI503" s="71" t="s">
        <v>390</v>
      </c>
      <c r="AJ503" s="71">
        <v>1</v>
      </c>
      <c r="AK503" s="71" t="s">
        <v>96</v>
      </c>
      <c r="AL503" s="71">
        <f t="shared" si="142"/>
        <v>600</v>
      </c>
      <c r="AN503" s="23" t="str">
        <f ca="1" t="shared" si="166"/>
        <v>{11,5}</v>
      </c>
      <c r="AO503" s="23" t="str">
        <f ca="1" t="shared" si="161"/>
        <v/>
      </c>
      <c r="AP503" s="23" t="str">
        <f ca="1" t="shared" si="143"/>
        <v>{50005,15}</v>
      </c>
      <c r="AQ503" s="23" t="str">
        <f ca="1" t="shared" si="144"/>
        <v>{5163001,200}</v>
      </c>
      <c r="AR503" s="23" t="str">
        <f ca="1" t="shared" si="145"/>
        <v>{2,240}</v>
      </c>
      <c r="AS503" s="23" t="str">
        <f ca="1" t="shared" si="146"/>
        <v>{5143001,250}</v>
      </c>
      <c r="AT503" s="23" t="str">
        <f ca="1" t="shared" si="172"/>
        <v>{5523001,200}</v>
      </c>
      <c r="AU503" s="23" t="str">
        <f ca="1" t="shared" si="159"/>
        <v/>
      </c>
      <c r="AV503" s="23" t="str">
        <f ca="1" t="shared" si="147"/>
        <v>{50007,25}</v>
      </c>
      <c r="AW503" s="23" t="str">
        <f ca="1" t="shared" si="148"/>
        <v/>
      </c>
      <c r="AX503" s="23" t="str">
        <f ca="1" t="shared" si="149"/>
        <v>{2,360}</v>
      </c>
      <c r="AY503" s="23" t="str">
        <f ca="1" t="shared" si="150"/>
        <v>{5204001,5}</v>
      </c>
      <c r="AZ503" s="23" t="str">
        <f ca="1" t="shared" si="176"/>
        <v>{5203001,30}</v>
      </c>
      <c r="BA503" s="23" t="str">
        <f ca="1" t="shared" si="151"/>
        <v>{1,150}</v>
      </c>
      <c r="BB503" s="23" t="s">
        <v>401</v>
      </c>
      <c r="BC503" s="23" t="str">
        <f ca="1" t="shared" si="152"/>
        <v>{5163001,300}</v>
      </c>
      <c r="BD503" s="23" t="str">
        <f ca="1" t="shared" si="169"/>
        <v/>
      </c>
      <c r="BE503" s="23" t="str">
        <f ca="1" t="shared" si="173"/>
        <v>{50039,1}</v>
      </c>
      <c r="BF503" s="23" t="str">
        <f ca="1" t="shared" si="153"/>
        <v>{2,600}</v>
      </c>
      <c r="BI503" s="23" t="str">
        <f ca="1" t="shared" si="154"/>
        <v>[{11,5},{50005,15},{5163001,200},{2,240}]</v>
      </c>
      <c r="BJ503" s="23" t="str">
        <f ca="1" t="shared" si="155"/>
        <v>[{5143001,250},{5523001,200},{50007,25},{2,360},{5204001,5}]</v>
      </c>
      <c r="BK503" s="23" t="str">
        <f ca="1" t="shared" si="156"/>
        <v>[{5203001,30},{1,150},{5523001,300},{5163001,300},{50039,1},{2,600}]</v>
      </c>
      <c r="BL503" s="23">
        <f ca="1" t="shared" si="157"/>
        <v>4</v>
      </c>
      <c r="BM503" s="23">
        <f ca="1" t="shared" si="158"/>
        <v>5</v>
      </c>
      <c r="BN503" s="23">
        <f ca="1" t="shared" si="160"/>
        <v>6</v>
      </c>
      <c r="BP503" s="71" t="s">
        <v>374</v>
      </c>
      <c r="BQ503" s="71">
        <v>150</v>
      </c>
    </row>
    <row r="504" ht="16.5" spans="2:69">
      <c r="B504" s="23">
        <v>184</v>
      </c>
      <c r="C504" s="12"/>
      <c r="D504" s="12"/>
      <c r="E504" s="71"/>
      <c r="F504" s="71"/>
      <c r="G504" s="71" t="str">
        <f t="shared" si="162"/>
        <v>裤子图纸</v>
      </c>
      <c r="H504" s="71">
        <v>15</v>
      </c>
      <c r="I504" s="71" t="str">
        <f t="shared" si="167"/>
        <v>控制特饮</v>
      </c>
      <c r="J504" s="71">
        <v>200</v>
      </c>
      <c r="K504" s="71" t="s">
        <v>96</v>
      </c>
      <c r="L504" s="71">
        <v>240</v>
      </c>
      <c r="M504" s="71" t="str">
        <f t="shared" si="170"/>
        <v>射手特饮</v>
      </c>
      <c r="N504" s="71">
        <f t="shared" si="174"/>
        <v>250</v>
      </c>
      <c r="O504" s="71" t="s">
        <v>316</v>
      </c>
      <c r="P504" s="71">
        <v>200</v>
      </c>
      <c r="Q504" s="71"/>
      <c r="R504" s="71"/>
      <c r="S504" s="72" t="str">
        <f t="shared" si="163"/>
        <v>手套图纸</v>
      </c>
      <c r="T504" s="71">
        <v>25</v>
      </c>
      <c r="U504" s="71" t="str">
        <f t="shared" si="164"/>
        <v/>
      </c>
      <c r="V504" s="71">
        <f t="shared" si="165"/>
        <v>0</v>
      </c>
      <c r="W504" s="71" t="s">
        <v>96</v>
      </c>
      <c r="X504" s="71">
        <f t="shared" si="141"/>
        <v>360</v>
      </c>
      <c r="Y504" s="71"/>
      <c r="Z504" s="71"/>
      <c r="AA504" s="71" t="str">
        <f t="shared" si="171"/>
        <v>基因罐</v>
      </c>
      <c r="AB504" s="71">
        <f t="shared" si="175"/>
        <v>30</v>
      </c>
      <c r="AC504" s="71" t="s">
        <v>374</v>
      </c>
      <c r="AD504" s="71">
        <v>150</v>
      </c>
      <c r="AE504" s="72" t="str">
        <f t="shared" si="168"/>
        <v>控制特饮</v>
      </c>
      <c r="AF504" s="71">
        <v>300</v>
      </c>
      <c r="AG504" s="71"/>
      <c r="AH504" s="71"/>
      <c r="AI504" s="71" t="s">
        <v>390</v>
      </c>
      <c r="AJ504" s="71">
        <v>1</v>
      </c>
      <c r="AK504" s="71" t="s">
        <v>96</v>
      </c>
      <c r="AL504" s="71">
        <f t="shared" si="142"/>
        <v>600</v>
      </c>
      <c r="AN504" s="23" t="str">
        <f ca="1" t="shared" si="166"/>
        <v>{11,5}</v>
      </c>
      <c r="AO504" s="23" t="str">
        <f ca="1" t="shared" si="161"/>
        <v/>
      </c>
      <c r="AP504" s="23" t="str">
        <f ca="1" t="shared" si="143"/>
        <v>{50006,15}</v>
      </c>
      <c r="AQ504" s="23" t="str">
        <f ca="1" t="shared" si="144"/>
        <v>{5153001,200}</v>
      </c>
      <c r="AR504" s="23" t="str">
        <f ca="1" t="shared" si="145"/>
        <v>{2,240}</v>
      </c>
      <c r="AS504" s="23" t="str">
        <f ca="1" t="shared" si="146"/>
        <v>{5133001,250}</v>
      </c>
      <c r="AT504" s="23" t="str">
        <f ca="1" t="shared" si="172"/>
        <v>{5523001,200}</v>
      </c>
      <c r="AU504" s="23" t="str">
        <f ca="1" t="shared" si="159"/>
        <v/>
      </c>
      <c r="AV504" s="23" t="str">
        <f ca="1" t="shared" si="147"/>
        <v>{50008,25}</v>
      </c>
      <c r="AW504" s="23" t="str">
        <f ca="1" t="shared" si="148"/>
        <v/>
      </c>
      <c r="AX504" s="23" t="str">
        <f ca="1" t="shared" si="149"/>
        <v>{2,360}</v>
      </c>
      <c r="AY504" s="23" t="str">
        <f ca="1" t="shared" si="150"/>
        <v>{5204001,5}</v>
      </c>
      <c r="AZ504" s="23" t="str">
        <f ca="1" t="shared" si="176"/>
        <v>{5203001,30}</v>
      </c>
      <c r="BA504" s="23" t="str">
        <f ca="1" t="shared" si="151"/>
        <v>{1,150}</v>
      </c>
      <c r="BB504" s="23" t="s">
        <v>401</v>
      </c>
      <c r="BC504" s="23" t="str">
        <f ca="1" t="shared" si="152"/>
        <v>{5153001,300}</v>
      </c>
      <c r="BD504" s="23" t="str">
        <f ca="1" t="shared" si="169"/>
        <v/>
      </c>
      <c r="BE504" s="23" t="str">
        <f ca="1" t="shared" si="173"/>
        <v>{50039,1}</v>
      </c>
      <c r="BF504" s="23" t="str">
        <f ca="1" t="shared" si="153"/>
        <v>{2,600}</v>
      </c>
      <c r="BI504" s="23" t="str">
        <f ca="1" t="shared" si="154"/>
        <v>[{11,5},{50006,15},{5153001,200},{2,240}]</v>
      </c>
      <c r="BJ504" s="23" t="str">
        <f ca="1" t="shared" si="155"/>
        <v>[{5133001,250},{5523001,200},{50008,25},{2,360},{5204001,5}]</v>
      </c>
      <c r="BK504" s="23" t="str">
        <f ca="1" t="shared" si="156"/>
        <v>[{5203001,30},{1,150},{5523001,300},{5153001,300},{50039,1},{2,600}]</v>
      </c>
      <c r="BL504" s="23">
        <f ca="1" t="shared" si="157"/>
        <v>4</v>
      </c>
      <c r="BM504" s="23">
        <f ca="1" t="shared" si="158"/>
        <v>5</v>
      </c>
      <c r="BN504" s="23">
        <f ca="1" t="shared" si="160"/>
        <v>6</v>
      </c>
      <c r="BP504" s="71" t="s">
        <v>374</v>
      </c>
      <c r="BQ504" s="71">
        <v>150</v>
      </c>
    </row>
    <row r="505" ht="16.5" spans="2:69">
      <c r="B505" s="23">
        <v>185</v>
      </c>
      <c r="C505" s="12" t="str">
        <f t="shared" si="177"/>
        <v>梦愿水晶</v>
      </c>
      <c r="D505" s="12">
        <f t="shared" si="178"/>
        <v>1</v>
      </c>
      <c r="E505" s="71"/>
      <c r="F505" s="71"/>
      <c r="G505" s="71" t="str">
        <f t="shared" si="162"/>
        <v>鞋子图纸</v>
      </c>
      <c r="H505" s="71">
        <v>15</v>
      </c>
      <c r="I505" s="71" t="str">
        <f t="shared" si="167"/>
        <v>射手特饮</v>
      </c>
      <c r="J505" s="71">
        <v>200</v>
      </c>
      <c r="K505" s="71" t="s">
        <v>96</v>
      </c>
      <c r="L505" s="71">
        <v>240</v>
      </c>
      <c r="M505" s="71" t="str">
        <f t="shared" si="170"/>
        <v>毒系特饮</v>
      </c>
      <c r="N505" s="71">
        <f t="shared" si="174"/>
        <v>250</v>
      </c>
      <c r="O505" s="71" t="s">
        <v>316</v>
      </c>
      <c r="P505" s="71">
        <v>200</v>
      </c>
      <c r="Q505" s="71"/>
      <c r="R505" s="71"/>
      <c r="S505" s="72" t="str">
        <f t="shared" si="163"/>
        <v>头盔图纸</v>
      </c>
      <c r="T505" s="71">
        <v>25</v>
      </c>
      <c r="U505" s="71" t="str">
        <f t="shared" si="164"/>
        <v>灵感获取令</v>
      </c>
      <c r="V505" s="71">
        <f t="shared" si="165"/>
        <v>1</v>
      </c>
      <c r="W505" s="71" t="s">
        <v>96</v>
      </c>
      <c r="X505" s="71">
        <f t="shared" si="141"/>
        <v>360</v>
      </c>
      <c r="Y505" s="71"/>
      <c r="Z505" s="71"/>
      <c r="AA505" s="71" t="str">
        <f t="shared" si="171"/>
        <v>传说基因罐</v>
      </c>
      <c r="AB505" s="71">
        <f t="shared" si="175"/>
        <v>3</v>
      </c>
      <c r="AC505" s="71" t="s">
        <v>374</v>
      </c>
      <c r="AD505" s="71">
        <v>150</v>
      </c>
      <c r="AE505" s="72" t="str">
        <f t="shared" si="168"/>
        <v>射手特饮</v>
      </c>
      <c r="AF505" s="71">
        <v>300</v>
      </c>
      <c r="AG505" s="71"/>
      <c r="AH505" s="71"/>
      <c r="AI505" s="71" t="s">
        <v>390</v>
      </c>
      <c r="AJ505" s="71">
        <v>1</v>
      </c>
      <c r="AK505" s="71" t="s">
        <v>96</v>
      </c>
      <c r="AL505" s="71">
        <f t="shared" si="142"/>
        <v>600</v>
      </c>
      <c r="AN505" s="23" t="str">
        <f ca="1" t="shared" si="166"/>
        <v>{35,1}</v>
      </c>
      <c r="AO505" s="23" t="str">
        <f ca="1" t="shared" si="161"/>
        <v/>
      </c>
      <c r="AP505" s="23" t="str">
        <f ca="1" t="shared" si="143"/>
        <v>{50007,15}</v>
      </c>
      <c r="AQ505" s="23" t="str">
        <f ca="1" t="shared" si="144"/>
        <v>{5133001,200}</v>
      </c>
      <c r="AR505" s="23" t="str">
        <f ca="1" t="shared" si="145"/>
        <v>{2,240}</v>
      </c>
      <c r="AS505" s="23" t="str">
        <f ca="1" t="shared" si="146"/>
        <v>{5163001,250}</v>
      </c>
      <c r="AT505" s="23" t="str">
        <f ca="1" t="shared" si="172"/>
        <v>{5523001,200}</v>
      </c>
      <c r="AU505" s="23" t="str">
        <f ca="1" t="shared" si="159"/>
        <v/>
      </c>
      <c r="AV505" s="23" t="str">
        <f ca="1" t="shared" si="147"/>
        <v>{50003,25}</v>
      </c>
      <c r="AW505" s="23" t="str">
        <f ca="1" t="shared" si="148"/>
        <v>{9,1}</v>
      </c>
      <c r="AX505" s="23" t="str">
        <f ca="1" t="shared" si="149"/>
        <v>{2,360}</v>
      </c>
      <c r="AY505" s="23" t="str">
        <f ca="1" t="shared" si="150"/>
        <v>{5204001,5}</v>
      </c>
      <c r="AZ505" s="23" t="str">
        <f ca="1" t="shared" si="176"/>
        <v>{5205001,3}</v>
      </c>
      <c r="BA505" s="23" t="str">
        <f ca="1" t="shared" si="151"/>
        <v>{1,150}</v>
      </c>
      <c r="BB505" s="23" t="s">
        <v>401</v>
      </c>
      <c r="BC505" s="23" t="str">
        <f ca="1" t="shared" si="152"/>
        <v>{5133001,300}</v>
      </c>
      <c r="BD505" s="23" t="str">
        <f ca="1" t="shared" si="169"/>
        <v/>
      </c>
      <c r="BE505" s="23" t="str">
        <f ca="1" t="shared" si="173"/>
        <v>{50039,1}</v>
      </c>
      <c r="BF505" s="23" t="str">
        <f ca="1" t="shared" si="153"/>
        <v>{2,600}</v>
      </c>
      <c r="BI505" s="23" t="str">
        <f ca="1" t="shared" si="154"/>
        <v>[{35,1},{50007,15},{5133001,200},{2,240}]</v>
      </c>
      <c r="BJ505" s="23" t="str">
        <f ca="1" t="shared" si="155"/>
        <v>[{5163001,250},{5523001,200},{50003,25},{9,1},{2,360},{5204001,5}]</v>
      </c>
      <c r="BK505" s="23" t="str">
        <f ca="1" t="shared" si="156"/>
        <v>[{5205001,3},{1,150},{5523001,300},{5133001,300},{50039,1},{2,600}]</v>
      </c>
      <c r="BL505" s="23">
        <f ca="1" t="shared" si="157"/>
        <v>4</v>
      </c>
      <c r="BM505" s="23">
        <f ca="1" t="shared" si="158"/>
        <v>6</v>
      </c>
      <c r="BN505" s="23">
        <f ca="1" t="shared" si="160"/>
        <v>6</v>
      </c>
      <c r="BP505" s="71" t="s">
        <v>374</v>
      </c>
      <c r="BQ505" s="71">
        <v>150</v>
      </c>
    </row>
    <row r="506" ht="16.5" spans="2:69">
      <c r="B506" s="23">
        <v>186</v>
      </c>
      <c r="C506" s="12"/>
      <c r="D506" s="12"/>
      <c r="E506" s="71"/>
      <c r="F506" s="71"/>
      <c r="G506" s="71" t="str">
        <f t="shared" si="162"/>
        <v>手套图纸</v>
      </c>
      <c r="H506" s="71">
        <v>15</v>
      </c>
      <c r="I506" s="71" t="str">
        <f t="shared" si="167"/>
        <v>法师特饮</v>
      </c>
      <c r="J506" s="71">
        <v>200</v>
      </c>
      <c r="K506" s="71" t="s">
        <v>96</v>
      </c>
      <c r="L506" s="71">
        <v>240</v>
      </c>
      <c r="M506" s="71" t="str">
        <f t="shared" si="170"/>
        <v>控制特饮</v>
      </c>
      <c r="N506" s="71">
        <f t="shared" si="174"/>
        <v>250</v>
      </c>
      <c r="O506" s="71" t="s">
        <v>316</v>
      </c>
      <c r="P506" s="71">
        <v>200</v>
      </c>
      <c r="Q506" s="71"/>
      <c r="R506" s="71"/>
      <c r="S506" s="72" t="str">
        <f t="shared" si="163"/>
        <v>衣服图纸</v>
      </c>
      <c r="T506" s="71">
        <v>25</v>
      </c>
      <c r="U506" s="71" t="str">
        <f t="shared" si="164"/>
        <v/>
      </c>
      <c r="V506" s="71">
        <f t="shared" si="165"/>
        <v>0</v>
      </c>
      <c r="W506" s="71" t="s">
        <v>96</v>
      </c>
      <c r="X506" s="71">
        <f t="shared" si="141"/>
        <v>360</v>
      </c>
      <c r="Y506" s="71"/>
      <c r="Z506" s="71"/>
      <c r="AA506" s="71" t="str">
        <f t="shared" si="171"/>
        <v>基因罐</v>
      </c>
      <c r="AB506" s="71">
        <f t="shared" si="175"/>
        <v>30</v>
      </c>
      <c r="AC506" s="71" t="s">
        <v>374</v>
      </c>
      <c r="AD506" s="71">
        <v>150</v>
      </c>
      <c r="AE506" s="72" t="str">
        <f t="shared" si="168"/>
        <v>战士特饮</v>
      </c>
      <c r="AF506" s="71">
        <v>300</v>
      </c>
      <c r="AG506" s="71"/>
      <c r="AH506" s="71"/>
      <c r="AI506" s="71" t="s">
        <v>390</v>
      </c>
      <c r="AJ506" s="71">
        <v>1</v>
      </c>
      <c r="AK506" s="71" t="s">
        <v>96</v>
      </c>
      <c r="AL506" s="71">
        <f t="shared" si="142"/>
        <v>600</v>
      </c>
      <c r="AN506" s="23" t="str">
        <f ca="1" t="shared" si="166"/>
        <v>{11,5}</v>
      </c>
      <c r="AO506" s="23" t="str">
        <f ca="1" t="shared" si="161"/>
        <v/>
      </c>
      <c r="AP506" s="23" t="str">
        <f ca="1" t="shared" si="143"/>
        <v>{50008,15}</v>
      </c>
      <c r="AQ506" s="23" t="str">
        <f ca="1" t="shared" si="144"/>
        <v>{5123001,200}</v>
      </c>
      <c r="AR506" s="23" t="str">
        <f ca="1" t="shared" si="145"/>
        <v>{2,240}</v>
      </c>
      <c r="AS506" s="23" t="str">
        <f ca="1" t="shared" si="146"/>
        <v>{5153001,250}</v>
      </c>
      <c r="AT506" s="23" t="str">
        <f ca="1" t="shared" si="172"/>
        <v>{5523001,200}</v>
      </c>
      <c r="AU506" s="23" t="str">
        <f ca="1" t="shared" si="159"/>
        <v/>
      </c>
      <c r="AV506" s="23" t="str">
        <f ca="1" t="shared" si="147"/>
        <v>{50004,25}</v>
      </c>
      <c r="AW506" s="23" t="str">
        <f ca="1" t="shared" si="148"/>
        <v/>
      </c>
      <c r="AX506" s="23" t="str">
        <f ca="1" t="shared" si="149"/>
        <v>{2,360}</v>
      </c>
      <c r="AY506" s="23" t="str">
        <f ca="1" t="shared" si="150"/>
        <v>{5204001,5}</v>
      </c>
      <c r="AZ506" s="23" t="str">
        <f ca="1" t="shared" si="176"/>
        <v>{5203001,30}</v>
      </c>
      <c r="BA506" s="23" t="str">
        <f ca="1" t="shared" si="151"/>
        <v>{1,150}</v>
      </c>
      <c r="BB506" s="23" t="s">
        <v>401</v>
      </c>
      <c r="BC506" s="23" t="str">
        <f ca="1" t="shared" si="152"/>
        <v>{5113001,300}</v>
      </c>
      <c r="BD506" s="23" t="str">
        <f ca="1" t="shared" si="169"/>
        <v/>
      </c>
      <c r="BE506" s="23" t="str">
        <f ca="1" t="shared" si="173"/>
        <v>{50039,1}</v>
      </c>
      <c r="BF506" s="23" t="str">
        <f ca="1" t="shared" si="153"/>
        <v>{2,600}</v>
      </c>
      <c r="BI506" s="23" t="str">
        <f ca="1" t="shared" si="154"/>
        <v>[{11,5},{50008,15},{5123001,200},{2,240}]</v>
      </c>
      <c r="BJ506" s="23" t="str">
        <f ca="1" t="shared" si="155"/>
        <v>[{5153001,250},{5523001,200},{50004,25},{2,360},{5204001,5}]</v>
      </c>
      <c r="BK506" s="23" t="str">
        <f ca="1" t="shared" si="156"/>
        <v>[{5203001,30},{1,150},{5523001,300},{5113001,300},{50039,1},{2,600}]</v>
      </c>
      <c r="BL506" s="23">
        <f ca="1" t="shared" si="157"/>
        <v>4</v>
      </c>
      <c r="BM506" s="23">
        <f ca="1" t="shared" si="158"/>
        <v>5</v>
      </c>
      <c r="BN506" s="23">
        <f ca="1" t="shared" si="160"/>
        <v>6</v>
      </c>
      <c r="BP506" s="71" t="s">
        <v>374</v>
      </c>
      <c r="BQ506" s="71">
        <v>150</v>
      </c>
    </row>
    <row r="507" ht="16.5" spans="2:69">
      <c r="B507" s="23">
        <v>187</v>
      </c>
      <c r="C507" s="12"/>
      <c r="D507" s="12"/>
      <c r="E507" s="71"/>
      <c r="F507" s="71"/>
      <c r="G507" s="71" t="str">
        <f t="shared" si="162"/>
        <v>头盔图纸</v>
      </c>
      <c r="H507" s="71">
        <v>15</v>
      </c>
      <c r="I507" s="71" t="str">
        <f t="shared" si="167"/>
        <v>辅助特饮</v>
      </c>
      <c r="J507" s="71">
        <v>200</v>
      </c>
      <c r="K507" s="71" t="s">
        <v>96</v>
      </c>
      <c r="L507" s="71">
        <v>240</v>
      </c>
      <c r="M507" s="71" t="str">
        <f t="shared" si="170"/>
        <v>战士特饮</v>
      </c>
      <c r="N507" s="71">
        <f t="shared" si="174"/>
        <v>250</v>
      </c>
      <c r="O507" s="71" t="s">
        <v>316</v>
      </c>
      <c r="P507" s="71">
        <v>200</v>
      </c>
      <c r="Q507" s="71"/>
      <c r="R507" s="71"/>
      <c r="S507" s="72" t="str">
        <f t="shared" si="163"/>
        <v>护臂图纸</v>
      </c>
      <c r="T507" s="71">
        <v>25</v>
      </c>
      <c r="U507" s="71" t="str">
        <f t="shared" si="164"/>
        <v/>
      </c>
      <c r="V507" s="71">
        <f t="shared" si="165"/>
        <v>0</v>
      </c>
      <c r="W507" s="71" t="s">
        <v>96</v>
      </c>
      <c r="X507" s="71">
        <f t="shared" si="141"/>
        <v>360</v>
      </c>
      <c r="Y507" s="71"/>
      <c r="Z507" s="71"/>
      <c r="AA507" s="71" t="str">
        <f t="shared" si="171"/>
        <v>基因罐</v>
      </c>
      <c r="AB507" s="71">
        <f t="shared" si="175"/>
        <v>30</v>
      </c>
      <c r="AC507" s="71" t="s">
        <v>374</v>
      </c>
      <c r="AD507" s="71">
        <v>150</v>
      </c>
      <c r="AE507" s="72" t="str">
        <f t="shared" si="168"/>
        <v>法师特饮</v>
      </c>
      <c r="AF507" s="71">
        <v>300</v>
      </c>
      <c r="AG507" s="71"/>
      <c r="AH507" s="71"/>
      <c r="AI507" s="71" t="s">
        <v>390</v>
      </c>
      <c r="AJ507" s="71">
        <v>1</v>
      </c>
      <c r="AK507" s="71" t="s">
        <v>96</v>
      </c>
      <c r="AL507" s="71">
        <f t="shared" si="142"/>
        <v>600</v>
      </c>
      <c r="AN507" s="23" t="str">
        <f ca="1" t="shared" si="166"/>
        <v>{11,5}</v>
      </c>
      <c r="AO507" s="23" t="str">
        <f ca="1" t="shared" si="161"/>
        <v/>
      </c>
      <c r="AP507" s="23" t="str">
        <f ca="1" t="shared" si="143"/>
        <v>{50003,15}</v>
      </c>
      <c r="AQ507" s="23" t="str">
        <f ca="1" t="shared" si="144"/>
        <v>{5143001,200}</v>
      </c>
      <c r="AR507" s="23" t="str">
        <f ca="1" t="shared" si="145"/>
        <v>{2,240}</v>
      </c>
      <c r="AS507" s="23" t="str">
        <f ca="1" t="shared" si="146"/>
        <v>{5113001,250}</v>
      </c>
      <c r="AT507" s="23" t="str">
        <f ca="1" t="shared" si="172"/>
        <v>{5523001,200}</v>
      </c>
      <c r="AU507" s="23" t="str">
        <f ca="1" t="shared" si="159"/>
        <v/>
      </c>
      <c r="AV507" s="23" t="str">
        <f ca="1" t="shared" si="147"/>
        <v>{50005,25}</v>
      </c>
      <c r="AW507" s="23" t="str">
        <f ca="1" t="shared" si="148"/>
        <v/>
      </c>
      <c r="AX507" s="23" t="str">
        <f ca="1" t="shared" si="149"/>
        <v>{2,360}</v>
      </c>
      <c r="AY507" s="23" t="str">
        <f ca="1" t="shared" si="150"/>
        <v>{5204001,5}</v>
      </c>
      <c r="AZ507" s="23" t="str">
        <f ca="1" t="shared" si="176"/>
        <v>{5203001,30}</v>
      </c>
      <c r="BA507" s="23" t="str">
        <f ca="1" t="shared" si="151"/>
        <v>{1,150}</v>
      </c>
      <c r="BB507" s="23" t="s">
        <v>401</v>
      </c>
      <c r="BC507" s="23" t="str">
        <f ca="1" t="shared" si="152"/>
        <v>{5123001,300}</v>
      </c>
      <c r="BD507" s="23" t="str">
        <f ca="1" t="shared" si="169"/>
        <v/>
      </c>
      <c r="BE507" s="23" t="str">
        <f ca="1" t="shared" si="173"/>
        <v>{50039,1}</v>
      </c>
      <c r="BF507" s="23" t="str">
        <f ca="1" t="shared" si="153"/>
        <v>{2,600}</v>
      </c>
      <c r="BI507" s="23" t="str">
        <f ca="1" t="shared" si="154"/>
        <v>[{11,5},{50003,15},{5143001,200},{2,240}]</v>
      </c>
      <c r="BJ507" s="23" t="str">
        <f ca="1" t="shared" si="155"/>
        <v>[{5113001,250},{5523001,200},{50005,25},{2,360},{5204001,5}]</v>
      </c>
      <c r="BK507" s="23" t="str">
        <f ca="1" t="shared" si="156"/>
        <v>[{5203001,30},{1,150},{5523001,300},{5123001,300},{50039,1},{2,600}]</v>
      </c>
      <c r="BL507" s="23">
        <f ca="1" t="shared" si="157"/>
        <v>4</v>
      </c>
      <c r="BM507" s="23">
        <f ca="1" t="shared" si="158"/>
        <v>5</v>
      </c>
      <c r="BN507" s="23">
        <f ca="1" t="shared" si="160"/>
        <v>6</v>
      </c>
      <c r="BP507" s="71" t="s">
        <v>374</v>
      </c>
      <c r="BQ507" s="71">
        <v>150</v>
      </c>
    </row>
    <row r="508" ht="16.5" spans="2:69">
      <c r="B508" s="23">
        <v>188</v>
      </c>
      <c r="C508" s="12"/>
      <c r="D508" s="12"/>
      <c r="E508" s="71"/>
      <c r="F508" s="71"/>
      <c r="G508" s="71" t="str">
        <f t="shared" si="162"/>
        <v>衣服图纸</v>
      </c>
      <c r="H508" s="71">
        <v>15</v>
      </c>
      <c r="I508" s="71" t="str">
        <f t="shared" si="167"/>
        <v>战士特饮</v>
      </c>
      <c r="J508" s="71">
        <v>200</v>
      </c>
      <c r="K508" s="71" t="s">
        <v>96</v>
      </c>
      <c r="L508" s="71">
        <v>240</v>
      </c>
      <c r="M508" s="71" t="str">
        <f t="shared" si="170"/>
        <v>法师特饮</v>
      </c>
      <c r="N508" s="71">
        <f t="shared" si="174"/>
        <v>250</v>
      </c>
      <c r="O508" s="71" t="s">
        <v>316</v>
      </c>
      <c r="P508" s="71">
        <v>200</v>
      </c>
      <c r="Q508" s="71"/>
      <c r="R508" s="71"/>
      <c r="S508" s="72" t="str">
        <f t="shared" si="163"/>
        <v>裤子图纸</v>
      </c>
      <c r="T508" s="71">
        <v>25</v>
      </c>
      <c r="U508" s="71" t="str">
        <f t="shared" si="164"/>
        <v/>
      </c>
      <c r="V508" s="71">
        <f t="shared" si="165"/>
        <v>0</v>
      </c>
      <c r="W508" s="71" t="s">
        <v>96</v>
      </c>
      <c r="X508" s="71">
        <f t="shared" si="141"/>
        <v>360</v>
      </c>
      <c r="Y508" s="71"/>
      <c r="Z508" s="71"/>
      <c r="AA508" s="71" t="str">
        <f t="shared" si="171"/>
        <v>基因罐</v>
      </c>
      <c r="AB508" s="71">
        <f t="shared" si="175"/>
        <v>30</v>
      </c>
      <c r="AC508" s="71" t="s">
        <v>374</v>
      </c>
      <c r="AD508" s="71">
        <v>150</v>
      </c>
      <c r="AE508" s="72" t="str">
        <f t="shared" si="168"/>
        <v>辅助特饮</v>
      </c>
      <c r="AF508" s="71">
        <v>300</v>
      </c>
      <c r="AG508" s="71"/>
      <c r="AH508" s="71"/>
      <c r="AI508" s="71" t="s">
        <v>390</v>
      </c>
      <c r="AJ508" s="71">
        <v>1</v>
      </c>
      <c r="AK508" s="71" t="s">
        <v>96</v>
      </c>
      <c r="AL508" s="71">
        <f t="shared" si="142"/>
        <v>600</v>
      </c>
      <c r="AN508" s="23" t="str">
        <f ca="1" t="shared" si="166"/>
        <v>{11,5}</v>
      </c>
      <c r="AO508" s="23" t="str">
        <f ca="1" t="shared" si="161"/>
        <v/>
      </c>
      <c r="AP508" s="23" t="str">
        <f ca="1" t="shared" si="143"/>
        <v>{50004,15}</v>
      </c>
      <c r="AQ508" s="23" t="str">
        <f ca="1" t="shared" si="144"/>
        <v>{5113001,200}</v>
      </c>
      <c r="AR508" s="23" t="str">
        <f ca="1" t="shared" si="145"/>
        <v>{2,240}</v>
      </c>
      <c r="AS508" s="23" t="str">
        <f ca="1" t="shared" si="146"/>
        <v>{5123001,250}</v>
      </c>
      <c r="AT508" s="23" t="str">
        <f ca="1" t="shared" si="172"/>
        <v>{5523001,200}</v>
      </c>
      <c r="AU508" s="23" t="str">
        <f ca="1" t="shared" si="159"/>
        <v/>
      </c>
      <c r="AV508" s="23" t="str">
        <f ca="1" t="shared" si="147"/>
        <v>{50006,25}</v>
      </c>
      <c r="AW508" s="23" t="str">
        <f ca="1" t="shared" si="148"/>
        <v/>
      </c>
      <c r="AX508" s="23" t="str">
        <f ca="1" t="shared" si="149"/>
        <v>{2,360}</v>
      </c>
      <c r="AY508" s="23" t="str">
        <f ca="1" t="shared" si="150"/>
        <v>{5204001,5}</v>
      </c>
      <c r="AZ508" s="23" t="str">
        <f ca="1" t="shared" si="176"/>
        <v>{5203001,30}</v>
      </c>
      <c r="BA508" s="23" t="str">
        <f ca="1" t="shared" si="151"/>
        <v>{1,150}</v>
      </c>
      <c r="BB508" s="23" t="s">
        <v>401</v>
      </c>
      <c r="BC508" s="23" t="str">
        <f ca="1" t="shared" si="152"/>
        <v>{5143001,300}</v>
      </c>
      <c r="BD508" s="23" t="str">
        <f ca="1" t="shared" si="169"/>
        <v/>
      </c>
      <c r="BE508" s="23" t="str">
        <f ca="1" t="shared" si="173"/>
        <v>{50039,1}</v>
      </c>
      <c r="BF508" s="23" t="str">
        <f ca="1" t="shared" si="153"/>
        <v>{2,600}</v>
      </c>
      <c r="BI508" s="23" t="str">
        <f ca="1" t="shared" si="154"/>
        <v>[{11,5},{50004,15},{5113001,200},{2,240}]</v>
      </c>
      <c r="BJ508" s="23" t="str">
        <f ca="1" t="shared" si="155"/>
        <v>[{5123001,250},{5523001,200},{50006,25},{2,360},{5204001,5}]</v>
      </c>
      <c r="BK508" s="23" t="str">
        <f ca="1" t="shared" si="156"/>
        <v>[{5203001,30},{1,150},{5523001,300},{5143001,300},{50039,1},{2,600}]</v>
      </c>
      <c r="BL508" s="23">
        <f ca="1" t="shared" si="157"/>
        <v>4</v>
      </c>
      <c r="BM508" s="23">
        <f ca="1" t="shared" si="158"/>
        <v>5</v>
      </c>
      <c r="BN508" s="23">
        <f ca="1" t="shared" si="160"/>
        <v>6</v>
      </c>
      <c r="BP508" s="71" t="s">
        <v>374</v>
      </c>
      <c r="BQ508" s="71">
        <v>150</v>
      </c>
    </row>
    <row r="509" ht="16.5" spans="2:69">
      <c r="B509" s="23">
        <v>189</v>
      </c>
      <c r="C509" s="12"/>
      <c r="D509" s="12"/>
      <c r="E509" s="71"/>
      <c r="F509" s="71"/>
      <c r="G509" s="71" t="str">
        <f t="shared" si="162"/>
        <v>护臂图纸</v>
      </c>
      <c r="H509" s="71">
        <v>15</v>
      </c>
      <c r="I509" s="71" t="str">
        <f t="shared" si="167"/>
        <v>毒系特饮</v>
      </c>
      <c r="J509" s="71">
        <v>200</v>
      </c>
      <c r="K509" s="71" t="s">
        <v>96</v>
      </c>
      <c r="L509" s="71">
        <v>240</v>
      </c>
      <c r="M509" s="71" t="str">
        <f t="shared" si="170"/>
        <v>辅助特饮</v>
      </c>
      <c r="N509" s="71">
        <f t="shared" si="174"/>
        <v>250</v>
      </c>
      <c r="O509" s="71" t="s">
        <v>316</v>
      </c>
      <c r="P509" s="71">
        <v>200</v>
      </c>
      <c r="Q509" s="71"/>
      <c r="R509" s="71"/>
      <c r="S509" s="72" t="str">
        <f t="shared" si="163"/>
        <v>鞋子图纸</v>
      </c>
      <c r="T509" s="71">
        <v>25</v>
      </c>
      <c r="U509" s="71" t="str">
        <f t="shared" si="164"/>
        <v/>
      </c>
      <c r="V509" s="71">
        <f t="shared" si="165"/>
        <v>0</v>
      </c>
      <c r="W509" s="71" t="s">
        <v>96</v>
      </c>
      <c r="X509" s="71">
        <f t="shared" si="141"/>
        <v>360</v>
      </c>
      <c r="Y509" s="71"/>
      <c r="Z509" s="71"/>
      <c r="AA509" s="71" t="str">
        <f t="shared" si="171"/>
        <v>基因罐</v>
      </c>
      <c r="AB509" s="71">
        <f t="shared" si="175"/>
        <v>30</v>
      </c>
      <c r="AC509" s="71" t="s">
        <v>374</v>
      </c>
      <c r="AD509" s="71">
        <v>150</v>
      </c>
      <c r="AE509" s="72" t="str">
        <f t="shared" si="168"/>
        <v>毒系特饮</v>
      </c>
      <c r="AF509" s="71">
        <v>300</v>
      </c>
      <c r="AG509" s="71"/>
      <c r="AH509" s="71"/>
      <c r="AI509" s="71" t="s">
        <v>390</v>
      </c>
      <c r="AJ509" s="71">
        <v>1</v>
      </c>
      <c r="AK509" s="71" t="s">
        <v>96</v>
      </c>
      <c r="AL509" s="71">
        <f t="shared" si="142"/>
        <v>600</v>
      </c>
      <c r="AN509" s="23" t="str">
        <f ca="1" t="shared" si="166"/>
        <v>{11,5}</v>
      </c>
      <c r="AO509" s="23" t="str">
        <f ca="1" t="shared" si="161"/>
        <v/>
      </c>
      <c r="AP509" s="23" t="str">
        <f ca="1" t="shared" si="143"/>
        <v>{50005,15}</v>
      </c>
      <c r="AQ509" s="23" t="str">
        <f ca="1" t="shared" si="144"/>
        <v>{5163001,200}</v>
      </c>
      <c r="AR509" s="23" t="str">
        <f ca="1" t="shared" si="145"/>
        <v>{2,240}</v>
      </c>
      <c r="AS509" s="23" t="str">
        <f ca="1" t="shared" si="146"/>
        <v>{5143001,250}</v>
      </c>
      <c r="AT509" s="23" t="str">
        <f ca="1" t="shared" si="172"/>
        <v>{5523001,200}</v>
      </c>
      <c r="AU509" s="23" t="str">
        <f ca="1" t="shared" si="159"/>
        <v/>
      </c>
      <c r="AV509" s="23" t="str">
        <f ca="1" t="shared" si="147"/>
        <v>{50007,25}</v>
      </c>
      <c r="AW509" s="23" t="str">
        <f ca="1" t="shared" si="148"/>
        <v/>
      </c>
      <c r="AX509" s="23" t="str">
        <f ca="1" t="shared" si="149"/>
        <v>{2,360}</v>
      </c>
      <c r="AY509" s="23" t="str">
        <f ca="1" t="shared" si="150"/>
        <v>{5204001,5}</v>
      </c>
      <c r="AZ509" s="23" t="str">
        <f ca="1" t="shared" si="176"/>
        <v>{5203001,30}</v>
      </c>
      <c r="BA509" s="23" t="str">
        <f ca="1" t="shared" si="151"/>
        <v>{1,150}</v>
      </c>
      <c r="BB509" s="23" t="s">
        <v>401</v>
      </c>
      <c r="BC509" s="23" t="str">
        <f ca="1" t="shared" si="152"/>
        <v>{5163001,300}</v>
      </c>
      <c r="BD509" s="23" t="str">
        <f ca="1" t="shared" si="169"/>
        <v/>
      </c>
      <c r="BE509" s="23" t="str">
        <f ca="1" t="shared" si="173"/>
        <v>{50039,1}</v>
      </c>
      <c r="BF509" s="23" t="str">
        <f ca="1" t="shared" si="153"/>
        <v>{2,600}</v>
      </c>
      <c r="BI509" s="23" t="str">
        <f ca="1" t="shared" si="154"/>
        <v>[{11,5},{50005,15},{5163001,200},{2,240}]</v>
      </c>
      <c r="BJ509" s="23" t="str">
        <f ca="1" t="shared" si="155"/>
        <v>[{5143001,250},{5523001,200},{50007,25},{2,360},{5204001,5}]</v>
      </c>
      <c r="BK509" s="23" t="str">
        <f ca="1" t="shared" si="156"/>
        <v>[{5203001,30},{1,150},{5523001,300},{5163001,300},{50039,1},{2,600}]</v>
      </c>
      <c r="BL509" s="23">
        <f ca="1" t="shared" si="157"/>
        <v>4</v>
      </c>
      <c r="BM509" s="23">
        <f ca="1" t="shared" si="158"/>
        <v>5</v>
      </c>
      <c r="BN509" s="23">
        <f ca="1" t="shared" si="160"/>
        <v>6</v>
      </c>
      <c r="BP509" s="71" t="s">
        <v>374</v>
      </c>
      <c r="BQ509" s="71">
        <v>150</v>
      </c>
    </row>
    <row r="510" ht="16.5" spans="2:69">
      <c r="B510" s="23">
        <v>190</v>
      </c>
      <c r="C510" s="12" t="str">
        <f t="shared" si="177"/>
        <v>梦愿水晶</v>
      </c>
      <c r="D510" s="12">
        <f t="shared" si="178"/>
        <v>1</v>
      </c>
      <c r="E510" s="71"/>
      <c r="F510" s="71"/>
      <c r="G510" s="71" t="str">
        <f t="shared" si="162"/>
        <v>裤子图纸</v>
      </c>
      <c r="H510" s="71">
        <v>15</v>
      </c>
      <c r="I510" s="71" t="str">
        <f t="shared" si="167"/>
        <v>控制特饮</v>
      </c>
      <c r="J510" s="71">
        <v>200</v>
      </c>
      <c r="K510" s="71" t="s">
        <v>96</v>
      </c>
      <c r="L510" s="71">
        <v>240</v>
      </c>
      <c r="M510" s="71" t="str">
        <f t="shared" si="170"/>
        <v>射手特饮</v>
      </c>
      <c r="N510" s="71">
        <f t="shared" si="174"/>
        <v>250</v>
      </c>
      <c r="O510" s="71" t="s">
        <v>316</v>
      </c>
      <c r="P510" s="71">
        <v>200</v>
      </c>
      <c r="Q510" s="71"/>
      <c r="R510" s="71"/>
      <c r="S510" s="72" t="str">
        <f t="shared" si="163"/>
        <v>手套图纸</v>
      </c>
      <c r="T510" s="71">
        <v>25</v>
      </c>
      <c r="U510" s="71" t="str">
        <f t="shared" si="164"/>
        <v>灵感获取令</v>
      </c>
      <c r="V510" s="71">
        <f t="shared" si="165"/>
        <v>1</v>
      </c>
      <c r="W510" s="71" t="s">
        <v>96</v>
      </c>
      <c r="X510" s="71">
        <f t="shared" si="141"/>
        <v>360</v>
      </c>
      <c r="Y510" s="71"/>
      <c r="Z510" s="71"/>
      <c r="AA510" s="71" t="str">
        <f t="shared" si="171"/>
        <v>传说基因罐</v>
      </c>
      <c r="AB510" s="71">
        <f t="shared" si="175"/>
        <v>3</v>
      </c>
      <c r="AC510" s="71" t="s">
        <v>374</v>
      </c>
      <c r="AD510" s="71">
        <v>150</v>
      </c>
      <c r="AE510" s="72" t="str">
        <f t="shared" si="168"/>
        <v>控制特饮</v>
      </c>
      <c r="AF510" s="71">
        <v>300</v>
      </c>
      <c r="AG510" s="71"/>
      <c r="AH510" s="71"/>
      <c r="AI510" s="71" t="s">
        <v>390</v>
      </c>
      <c r="AJ510" s="71">
        <v>1</v>
      </c>
      <c r="AK510" s="71" t="s">
        <v>96</v>
      </c>
      <c r="AL510" s="71">
        <f t="shared" si="142"/>
        <v>600</v>
      </c>
      <c r="AN510" s="23" t="str">
        <f ca="1" t="shared" si="166"/>
        <v>{35,1}</v>
      </c>
      <c r="AO510" s="23" t="str">
        <f ca="1" t="shared" si="161"/>
        <v/>
      </c>
      <c r="AP510" s="23" t="str">
        <f ca="1" t="shared" si="143"/>
        <v>{50006,15}</v>
      </c>
      <c r="AQ510" s="23" t="str">
        <f ca="1" t="shared" si="144"/>
        <v>{5153001,200}</v>
      </c>
      <c r="AR510" s="23" t="str">
        <f ca="1" t="shared" si="145"/>
        <v>{2,240}</v>
      </c>
      <c r="AS510" s="23" t="str">
        <f ca="1" t="shared" si="146"/>
        <v>{5133001,250}</v>
      </c>
      <c r="AT510" s="23" t="str">
        <f ca="1" t="shared" si="172"/>
        <v>{5523001,200}</v>
      </c>
      <c r="AU510" s="23" t="str">
        <f ca="1" t="shared" si="159"/>
        <v/>
      </c>
      <c r="AV510" s="23" t="str">
        <f ca="1" t="shared" si="147"/>
        <v>{50008,25}</v>
      </c>
      <c r="AW510" s="23" t="str">
        <f ca="1" t="shared" si="148"/>
        <v>{9,1}</v>
      </c>
      <c r="AX510" s="23" t="str">
        <f ca="1" t="shared" si="149"/>
        <v>{2,360}</v>
      </c>
      <c r="AY510" s="23" t="str">
        <f ca="1" t="shared" si="150"/>
        <v>{5204001,5}</v>
      </c>
      <c r="AZ510" s="23" t="str">
        <f ca="1" t="shared" si="176"/>
        <v>{5205001,3}</v>
      </c>
      <c r="BA510" s="23" t="str">
        <f ca="1" t="shared" si="151"/>
        <v>{1,150}</v>
      </c>
      <c r="BB510" s="23" t="s">
        <v>401</v>
      </c>
      <c r="BC510" s="23" t="str">
        <f ca="1" t="shared" si="152"/>
        <v>{5153001,300}</v>
      </c>
      <c r="BD510" s="23" t="str">
        <f ca="1" t="shared" si="169"/>
        <v/>
      </c>
      <c r="BE510" s="23" t="str">
        <f ca="1" t="shared" si="173"/>
        <v>{50039,1}</v>
      </c>
      <c r="BF510" s="23" t="str">
        <f ca="1" t="shared" si="153"/>
        <v>{2,600}</v>
      </c>
      <c r="BI510" s="23" t="str">
        <f ca="1" t="shared" si="154"/>
        <v>[{35,1},{50006,15},{5153001,200},{2,240}]</v>
      </c>
      <c r="BJ510" s="23" t="str">
        <f ca="1" t="shared" si="155"/>
        <v>[{5133001,250},{5523001,200},{50008,25},{9,1},{2,360},{5204001,5}]</v>
      </c>
      <c r="BK510" s="23" t="str">
        <f ca="1" t="shared" si="156"/>
        <v>[{5205001,3},{1,150},{5523001,300},{5153001,300},{50039,1},{2,600}]</v>
      </c>
      <c r="BL510" s="23">
        <f ca="1" t="shared" si="157"/>
        <v>4</v>
      </c>
      <c r="BM510" s="23">
        <f ca="1" t="shared" si="158"/>
        <v>6</v>
      </c>
      <c r="BN510" s="23">
        <f ca="1" t="shared" si="160"/>
        <v>6</v>
      </c>
      <c r="BP510" s="71" t="s">
        <v>374</v>
      </c>
      <c r="BQ510" s="71">
        <v>150</v>
      </c>
    </row>
    <row r="511" ht="16.5" spans="2:69">
      <c r="B511" s="23">
        <v>191</v>
      </c>
      <c r="C511" s="12"/>
      <c r="D511" s="12"/>
      <c r="E511" s="71"/>
      <c r="F511" s="71"/>
      <c r="G511" s="71" t="str">
        <f t="shared" si="162"/>
        <v>鞋子图纸</v>
      </c>
      <c r="H511" s="71">
        <v>15</v>
      </c>
      <c r="I511" s="71" t="str">
        <f t="shared" si="167"/>
        <v>射手特饮</v>
      </c>
      <c r="J511" s="71">
        <v>200</v>
      </c>
      <c r="K511" s="71" t="s">
        <v>96</v>
      </c>
      <c r="L511" s="71">
        <v>240</v>
      </c>
      <c r="M511" s="71" t="str">
        <f t="shared" si="170"/>
        <v>毒系特饮</v>
      </c>
      <c r="N511" s="71">
        <f t="shared" si="174"/>
        <v>250</v>
      </c>
      <c r="O511" s="71" t="s">
        <v>316</v>
      </c>
      <c r="P511" s="71">
        <v>200</v>
      </c>
      <c r="Q511" s="71"/>
      <c r="R511" s="71"/>
      <c r="S511" s="72" t="str">
        <f t="shared" si="163"/>
        <v>头盔图纸</v>
      </c>
      <c r="T511" s="71">
        <v>25</v>
      </c>
      <c r="U511" s="71" t="str">
        <f t="shared" si="164"/>
        <v/>
      </c>
      <c r="V511" s="71">
        <f t="shared" si="165"/>
        <v>0</v>
      </c>
      <c r="W511" s="71" t="s">
        <v>96</v>
      </c>
      <c r="X511" s="71">
        <f t="shared" si="141"/>
        <v>360</v>
      </c>
      <c r="Y511" s="71"/>
      <c r="Z511" s="71"/>
      <c r="AA511" s="71" t="str">
        <f t="shared" si="171"/>
        <v>基因罐</v>
      </c>
      <c r="AB511" s="71">
        <f t="shared" si="175"/>
        <v>30</v>
      </c>
      <c r="AC511" s="71" t="s">
        <v>374</v>
      </c>
      <c r="AD511" s="71">
        <v>150</v>
      </c>
      <c r="AE511" s="72" t="str">
        <f t="shared" si="168"/>
        <v>射手特饮</v>
      </c>
      <c r="AF511" s="71">
        <v>300</v>
      </c>
      <c r="AG511" s="71"/>
      <c r="AH511" s="71"/>
      <c r="AI511" s="71" t="s">
        <v>390</v>
      </c>
      <c r="AJ511" s="71">
        <v>1</v>
      </c>
      <c r="AK511" s="71" t="s">
        <v>96</v>
      </c>
      <c r="AL511" s="71">
        <f t="shared" si="142"/>
        <v>600</v>
      </c>
      <c r="AN511" s="23" t="str">
        <f ca="1" t="shared" si="166"/>
        <v>{11,5}</v>
      </c>
      <c r="AO511" s="23" t="str">
        <f ca="1" t="shared" si="161"/>
        <v/>
      </c>
      <c r="AP511" s="23" t="str">
        <f ca="1" t="shared" si="143"/>
        <v>{50007,15}</v>
      </c>
      <c r="AQ511" s="23" t="str">
        <f ca="1" t="shared" si="144"/>
        <v>{5133001,200}</v>
      </c>
      <c r="AR511" s="23" t="str">
        <f ca="1" t="shared" si="145"/>
        <v>{2,240}</v>
      </c>
      <c r="AS511" s="23" t="str">
        <f ca="1" t="shared" si="146"/>
        <v>{5163001,250}</v>
      </c>
      <c r="AT511" s="23" t="str">
        <f ca="1" t="shared" si="172"/>
        <v>{5523001,200}</v>
      </c>
      <c r="AU511" s="23" t="str">
        <f ca="1" t="shared" si="159"/>
        <v/>
      </c>
      <c r="AV511" s="23" t="str">
        <f ca="1" t="shared" si="147"/>
        <v>{50003,25}</v>
      </c>
      <c r="AW511" s="23" t="str">
        <f ca="1" t="shared" si="148"/>
        <v/>
      </c>
      <c r="AX511" s="23" t="str">
        <f ca="1" t="shared" si="149"/>
        <v>{2,360}</v>
      </c>
      <c r="AY511" s="23" t="str">
        <f ca="1" t="shared" si="150"/>
        <v>{5204001,5}</v>
      </c>
      <c r="AZ511" s="23" t="str">
        <f ca="1" t="shared" si="176"/>
        <v>{5203001,30}</v>
      </c>
      <c r="BA511" s="23" t="str">
        <f ca="1" t="shared" si="151"/>
        <v>{1,150}</v>
      </c>
      <c r="BB511" s="23" t="s">
        <v>401</v>
      </c>
      <c r="BC511" s="23" t="str">
        <f ca="1" t="shared" si="152"/>
        <v>{5133001,300}</v>
      </c>
      <c r="BD511" s="23" t="str">
        <f ca="1" t="shared" si="169"/>
        <v/>
      </c>
      <c r="BE511" s="23" t="str">
        <f ca="1" t="shared" si="173"/>
        <v>{50039,1}</v>
      </c>
      <c r="BF511" s="23" t="str">
        <f ca="1" t="shared" si="153"/>
        <v>{2,600}</v>
      </c>
      <c r="BI511" s="23" t="str">
        <f ca="1" t="shared" si="154"/>
        <v>[{11,5},{50007,15},{5133001,200},{2,240}]</v>
      </c>
      <c r="BJ511" s="23" t="str">
        <f ca="1" t="shared" si="155"/>
        <v>[{5163001,250},{5523001,200},{50003,25},{2,360},{5204001,5}]</v>
      </c>
      <c r="BK511" s="23" t="str">
        <f ca="1" t="shared" si="156"/>
        <v>[{5203001,30},{1,150},{5523001,300},{5133001,300},{50039,1},{2,600}]</v>
      </c>
      <c r="BL511" s="23">
        <f ca="1" t="shared" si="157"/>
        <v>4</v>
      </c>
      <c r="BM511" s="23">
        <f ca="1" t="shared" si="158"/>
        <v>5</v>
      </c>
      <c r="BN511" s="23">
        <f ca="1" t="shared" si="160"/>
        <v>6</v>
      </c>
      <c r="BP511" s="71" t="s">
        <v>374</v>
      </c>
      <c r="BQ511" s="71">
        <v>150</v>
      </c>
    </row>
    <row r="512" ht="16.5" spans="2:69">
      <c r="B512" s="23">
        <v>192</v>
      </c>
      <c r="C512" s="12"/>
      <c r="D512" s="12"/>
      <c r="E512" s="71"/>
      <c r="F512" s="71"/>
      <c r="G512" s="71" t="str">
        <f t="shared" si="162"/>
        <v>手套图纸</v>
      </c>
      <c r="H512" s="71">
        <v>15</v>
      </c>
      <c r="I512" s="71" t="str">
        <f t="shared" si="167"/>
        <v>法师特饮</v>
      </c>
      <c r="J512" s="71">
        <v>200</v>
      </c>
      <c r="K512" s="71" t="s">
        <v>96</v>
      </c>
      <c r="L512" s="71">
        <v>240</v>
      </c>
      <c r="M512" s="71" t="str">
        <f t="shared" si="170"/>
        <v>控制特饮</v>
      </c>
      <c r="N512" s="71">
        <f t="shared" si="174"/>
        <v>250</v>
      </c>
      <c r="O512" s="71" t="s">
        <v>316</v>
      </c>
      <c r="P512" s="71">
        <v>200</v>
      </c>
      <c r="Q512" s="71"/>
      <c r="R512" s="71"/>
      <c r="S512" s="72" t="str">
        <f t="shared" si="163"/>
        <v>衣服图纸</v>
      </c>
      <c r="T512" s="71">
        <v>25</v>
      </c>
      <c r="U512" s="71" t="str">
        <f t="shared" si="164"/>
        <v/>
      </c>
      <c r="V512" s="71">
        <f t="shared" si="165"/>
        <v>0</v>
      </c>
      <c r="W512" s="71" t="s">
        <v>96</v>
      </c>
      <c r="X512" s="71">
        <f t="shared" si="141"/>
        <v>360</v>
      </c>
      <c r="Y512" s="71"/>
      <c r="Z512" s="71"/>
      <c r="AA512" s="71" t="str">
        <f t="shared" si="171"/>
        <v>基因罐</v>
      </c>
      <c r="AB512" s="71">
        <f t="shared" si="175"/>
        <v>30</v>
      </c>
      <c r="AC512" s="71" t="s">
        <v>374</v>
      </c>
      <c r="AD512" s="71">
        <v>150</v>
      </c>
      <c r="AE512" s="72" t="str">
        <f t="shared" si="168"/>
        <v>战士特饮</v>
      </c>
      <c r="AF512" s="71">
        <v>300</v>
      </c>
      <c r="AG512" s="71"/>
      <c r="AH512" s="71"/>
      <c r="AI512" s="71" t="s">
        <v>390</v>
      </c>
      <c r="AJ512" s="71">
        <v>1</v>
      </c>
      <c r="AK512" s="71" t="s">
        <v>96</v>
      </c>
      <c r="AL512" s="71">
        <f t="shared" si="142"/>
        <v>600</v>
      </c>
      <c r="AN512" s="23" t="str">
        <f ca="1" t="shared" si="166"/>
        <v>{11,5}</v>
      </c>
      <c r="AO512" s="23" t="str">
        <f ca="1" t="shared" si="161"/>
        <v/>
      </c>
      <c r="AP512" s="23" t="str">
        <f ca="1" t="shared" si="143"/>
        <v>{50008,15}</v>
      </c>
      <c r="AQ512" s="23" t="str">
        <f ca="1" t="shared" si="144"/>
        <v>{5123001,200}</v>
      </c>
      <c r="AR512" s="23" t="str">
        <f ca="1" t="shared" si="145"/>
        <v>{2,240}</v>
      </c>
      <c r="AS512" s="23" t="str">
        <f ca="1" t="shared" si="146"/>
        <v>{5153001,250}</v>
      </c>
      <c r="AT512" s="23" t="str">
        <f ca="1" t="shared" si="172"/>
        <v>{5523001,200}</v>
      </c>
      <c r="AU512" s="23" t="str">
        <f ca="1" t="shared" si="159"/>
        <v/>
      </c>
      <c r="AV512" s="23" t="str">
        <f ca="1" t="shared" si="147"/>
        <v>{50004,25}</v>
      </c>
      <c r="AW512" s="23" t="str">
        <f ca="1" t="shared" si="148"/>
        <v/>
      </c>
      <c r="AX512" s="23" t="str">
        <f ca="1" t="shared" si="149"/>
        <v>{2,360}</v>
      </c>
      <c r="AY512" s="23" t="str">
        <f ca="1" t="shared" si="150"/>
        <v>{5204001,5}</v>
      </c>
      <c r="AZ512" s="23" t="str">
        <f ca="1" t="shared" si="176"/>
        <v>{5203001,30}</v>
      </c>
      <c r="BA512" s="23" t="str">
        <f ca="1" t="shared" si="151"/>
        <v>{1,150}</v>
      </c>
      <c r="BB512" s="23" t="s">
        <v>401</v>
      </c>
      <c r="BC512" s="23" t="str">
        <f ca="1" t="shared" si="152"/>
        <v>{5113001,300}</v>
      </c>
      <c r="BD512" s="23" t="str">
        <f ca="1" t="shared" si="169"/>
        <v/>
      </c>
      <c r="BE512" s="23" t="str">
        <f ca="1" t="shared" si="173"/>
        <v>{50039,1}</v>
      </c>
      <c r="BF512" s="23" t="str">
        <f ca="1" t="shared" si="153"/>
        <v>{2,600}</v>
      </c>
      <c r="BI512" s="23" t="str">
        <f ca="1" t="shared" si="154"/>
        <v>[{11,5},{50008,15},{5123001,200},{2,240}]</v>
      </c>
      <c r="BJ512" s="23" t="str">
        <f ca="1" t="shared" si="155"/>
        <v>[{5153001,250},{5523001,200},{50004,25},{2,360},{5204001,5}]</v>
      </c>
      <c r="BK512" s="23" t="str">
        <f ca="1" t="shared" si="156"/>
        <v>[{5203001,30},{1,150},{5523001,300},{5113001,300},{50039,1},{2,600}]</v>
      </c>
      <c r="BL512" s="23">
        <f ca="1" t="shared" si="157"/>
        <v>4</v>
      </c>
      <c r="BM512" s="23">
        <f ca="1" t="shared" si="158"/>
        <v>5</v>
      </c>
      <c r="BN512" s="23">
        <f ca="1" t="shared" si="160"/>
        <v>6</v>
      </c>
      <c r="BP512" s="71" t="s">
        <v>374</v>
      </c>
      <c r="BQ512" s="71">
        <v>150</v>
      </c>
    </row>
    <row r="513" ht="16.5" spans="2:69">
      <c r="B513" s="23">
        <v>193</v>
      </c>
      <c r="C513" s="12"/>
      <c r="D513" s="12"/>
      <c r="E513" s="71"/>
      <c r="F513" s="71"/>
      <c r="G513" s="71" t="str">
        <f t="shared" si="162"/>
        <v>头盔图纸</v>
      </c>
      <c r="H513" s="71">
        <v>15</v>
      </c>
      <c r="I513" s="71" t="str">
        <f t="shared" si="167"/>
        <v>辅助特饮</v>
      </c>
      <c r="J513" s="71">
        <v>200</v>
      </c>
      <c r="K513" s="71" t="s">
        <v>96</v>
      </c>
      <c r="L513" s="71">
        <v>240</v>
      </c>
      <c r="M513" s="71" t="str">
        <f t="shared" si="170"/>
        <v>战士特饮</v>
      </c>
      <c r="N513" s="71">
        <f t="shared" si="174"/>
        <v>250</v>
      </c>
      <c r="O513" s="71" t="s">
        <v>316</v>
      </c>
      <c r="P513" s="71">
        <v>200</v>
      </c>
      <c r="Q513" s="71"/>
      <c r="R513" s="71"/>
      <c r="S513" s="72" t="str">
        <f t="shared" si="163"/>
        <v>护臂图纸</v>
      </c>
      <c r="T513" s="71">
        <v>25</v>
      </c>
      <c r="U513" s="71" t="str">
        <f t="shared" si="164"/>
        <v/>
      </c>
      <c r="V513" s="71">
        <f t="shared" si="165"/>
        <v>0</v>
      </c>
      <c r="W513" s="71" t="s">
        <v>96</v>
      </c>
      <c r="X513" s="71">
        <f t="shared" ref="X513:X576" si="179">L513*1.5</f>
        <v>360</v>
      </c>
      <c r="Y513" s="71"/>
      <c r="Z513" s="71"/>
      <c r="AA513" s="71" t="str">
        <f t="shared" si="171"/>
        <v>基因罐</v>
      </c>
      <c r="AB513" s="71">
        <f t="shared" si="175"/>
        <v>30</v>
      </c>
      <c r="AC513" s="71" t="s">
        <v>374</v>
      </c>
      <c r="AD513" s="71">
        <v>150</v>
      </c>
      <c r="AE513" s="72" t="str">
        <f t="shared" si="168"/>
        <v>法师特饮</v>
      </c>
      <c r="AF513" s="71">
        <v>300</v>
      </c>
      <c r="AG513" s="71"/>
      <c r="AH513" s="71"/>
      <c r="AI513" s="71" t="s">
        <v>390</v>
      </c>
      <c r="AJ513" s="71">
        <v>1</v>
      </c>
      <c r="AK513" s="71" t="s">
        <v>96</v>
      </c>
      <c r="AL513" s="71">
        <f t="shared" ref="AL513:AL576" si="180">L513+X513</f>
        <v>600</v>
      </c>
      <c r="AN513" s="23" t="str">
        <f ca="1" t="shared" si="166"/>
        <v>{11,5}</v>
      </c>
      <c r="AO513" s="23" t="str">
        <f ca="1" t="shared" si="161"/>
        <v/>
      </c>
      <c r="AP513" s="23" t="str">
        <f ca="1" t="shared" ref="AP513:AP576" si="181">IF(OFFSET($B513,0,AP$320*2+1)="","","{"&amp;VLOOKUP(OFFSET($B513,0,AP$320*2+1),$AN$291:$AO$306,2,0)&amp;","&amp;OFFSET($B513,0,AP$320*2+2)&amp;"}")</f>
        <v>{50003,15}</v>
      </c>
      <c r="AQ513" s="23" t="str">
        <f ca="1" t="shared" ref="AQ513:AQ576" si="182">IF(OFFSET($B513,0,AQ$320*2+1)="","","{"&amp;VLOOKUP(OFFSET($B513,0,AQ$320*2+1),$AN$291:$AO$312,2,0)&amp;","&amp;OFFSET($B513,0,AQ$320*2+2)&amp;"}")</f>
        <v>{5143001,200}</v>
      </c>
      <c r="AR513" s="23" t="str">
        <f ca="1" t="shared" ref="AR513:AR576" si="183">IF(OFFSET($B513,0,AR$320*2+1)="","","{"&amp;VLOOKUP(OFFSET($B513,0,AR$320*2+1),$AN$291:$AO$297,2,0)&amp;","&amp;OFFSET($B513,0,AR$320*2+2)&amp;"}")</f>
        <v>{2,240}</v>
      </c>
      <c r="AS513" s="23" t="str">
        <f ca="1" t="shared" ref="AS513:AS576" si="184">IF(OFFSET($B513,0,AS$320*2+1)="","","{"&amp;VLOOKUP(OFFSET($B513,0,AS$320*2+1),$AN$291:$AO$312,2,0)&amp;","&amp;OFFSET($B513,0,AS$320*2+2)&amp;"}")</f>
        <v>{5113001,250}</v>
      </c>
      <c r="AT513" s="23" t="str">
        <f ca="1" t="shared" si="172"/>
        <v>{5523001,200}</v>
      </c>
      <c r="AU513" s="23" t="str">
        <f ca="1" t="shared" si="159"/>
        <v/>
      </c>
      <c r="AV513" s="23" t="str">
        <f ca="1" t="shared" ref="AV513:AV576" si="185">IF(OFFSET($B513,0,AV$320*2+1)="","","{"&amp;VLOOKUP(OFFSET($B513,0,AV$320*2+1),$AN$291:$AO$312,2,0)&amp;","&amp;OFFSET($B513,0,AV$320*2+2)&amp;"}")</f>
        <v>{50005,25}</v>
      </c>
      <c r="AW513" s="23" t="str">
        <f ca="1" t="shared" ref="AW513:AW576" si="186">IF(OFFSET($B513,0,AW$320*2+1)="","","{"&amp;VLOOKUP(OFFSET($B513,0,AW$320*2+1),$AN$291:$AO$297,2,0)&amp;","&amp;OFFSET($B513,0,AW$320*2+2)&amp;"}")</f>
        <v/>
      </c>
      <c r="AX513" s="23" t="str">
        <f ca="1" t="shared" ref="AX513:AX576" si="187">IF(OFFSET($B513,0,AX$320*2+1)="","","{"&amp;VLOOKUP(OFFSET($B513,0,AX$320*2+1),$AN$291:$AO$300,2,0)&amp;","&amp;OFFSET($B513,0,AX$320*2+2)&amp;"}")</f>
        <v>{2,360}</v>
      </c>
      <c r="AY513" s="23" t="str">
        <f ca="1" t="shared" ref="AY513:AY576" si="188">IF(OFFSET($B513,0,AY$320*2+1)="","","{"&amp;VLOOKUP(OFFSET($B513,0,AY$320*2+1),$AN$291:$AO$300,2,0)&amp;","&amp;OFFSET($B513,0,AY$320*2+2)&amp;"}")</f>
        <v>{5204001,5}</v>
      </c>
      <c r="AZ513" s="23" t="str">
        <f ca="1" t="shared" si="176"/>
        <v>{5203001,30}</v>
      </c>
      <c r="BA513" s="23" t="str">
        <f ca="1" t="shared" ref="BA513:BA576" si="189">IF(OFFSET($B513,0,BA$320*2+1)="","","{"&amp;VLOOKUP(OFFSET($B513,0,BA$320*2+1),$AN$291:$AO$316,2,0)&amp;","&amp;OFFSET($B513,0,BA$320*2+2)&amp;"}")</f>
        <v>{1,150}</v>
      </c>
      <c r="BB513" s="23" t="s">
        <v>401</v>
      </c>
      <c r="BC513" s="23" t="str">
        <f ca="1" t="shared" ref="BC513:BC576" si="190">IF(OFFSET($B513,0,BC$320*2+1)="","","{"&amp;VLOOKUP(OFFSET($B513,0,BC$320*2+1),$AN$291:$AO$313,2,0)&amp;","&amp;OFFSET($B513,0,BC$320*2+2)&amp;"}")</f>
        <v>{5123001,300}</v>
      </c>
      <c r="BD513" s="23" t="str">
        <f ca="1" t="shared" si="169"/>
        <v/>
      </c>
      <c r="BE513" s="23" t="str">
        <f ca="1" t="shared" si="173"/>
        <v>{50039,1}</v>
      </c>
      <c r="BF513" s="23" t="str">
        <f ca="1" t="shared" ref="BF513:BF576" si="191">IF(OFFSET($B513,0,BF$320*2+1)="","","{"&amp;VLOOKUP(OFFSET($B513,0,BF$320*2+1),$AN$291:$AO$316,2,0)&amp;","&amp;OFFSET($B513,0,BF$320*2+2)&amp;"}")</f>
        <v>{2,600}</v>
      </c>
      <c r="BI513" s="23" t="str">
        <f ca="1" t="shared" ref="BI513:BI576" si="192">"["&amp;_xlfn.TEXTJOIN(",",1,$AN513:$AR513)&amp;"]"</f>
        <v>[{11,5},{50003,15},{5143001,200},{2,240}]</v>
      </c>
      <c r="BJ513" s="23" t="str">
        <f ca="1" t="shared" ref="BJ513:BJ576" si="193">"["&amp;_xlfn.TEXTJOIN(",",1,$AS513:$AY513)&amp;"]"</f>
        <v>[{5113001,250},{5523001,200},{50005,25},{2,360},{5204001,5}]</v>
      </c>
      <c r="BK513" s="23" t="str">
        <f ca="1" t="shared" ref="BK513:BK576" si="194">"["&amp;_xlfn.TEXTJOIN(",",1,$AZ513:$BG513)&amp;"]"</f>
        <v>[{5203001,30},{1,150},{5523001,300},{5123001,300},{50039,1},{2,600}]</v>
      </c>
      <c r="BL513" s="23">
        <f ca="1" t="shared" ref="BL513:BL576" si="195">5-COUNTBLANK(AN513:AR513)</f>
        <v>4</v>
      </c>
      <c r="BM513" s="23">
        <f ca="1" t="shared" ref="BM513:BM576" si="196">7-COUNTBLANK(AS513:AY513)</f>
        <v>5</v>
      </c>
      <c r="BN513" s="23">
        <f ca="1" t="shared" si="160"/>
        <v>6</v>
      </c>
      <c r="BP513" s="71" t="s">
        <v>374</v>
      </c>
      <c r="BQ513" s="71">
        <v>150</v>
      </c>
    </row>
    <row r="514" ht="16.5" spans="2:69">
      <c r="B514" s="23">
        <v>194</v>
      </c>
      <c r="C514" s="12"/>
      <c r="D514" s="12"/>
      <c r="E514" s="71"/>
      <c r="F514" s="71"/>
      <c r="G514" s="71" t="str">
        <f t="shared" si="162"/>
        <v>衣服图纸</v>
      </c>
      <c r="H514" s="71">
        <v>15</v>
      </c>
      <c r="I514" s="71" t="str">
        <f t="shared" si="167"/>
        <v>战士特饮</v>
      </c>
      <c r="J514" s="71">
        <v>200</v>
      </c>
      <c r="K514" s="71" t="s">
        <v>96</v>
      </c>
      <c r="L514" s="71">
        <v>240</v>
      </c>
      <c r="M514" s="71" t="str">
        <f t="shared" si="170"/>
        <v>法师特饮</v>
      </c>
      <c r="N514" s="71">
        <f t="shared" si="174"/>
        <v>250</v>
      </c>
      <c r="O514" s="71" t="s">
        <v>316</v>
      </c>
      <c r="P514" s="71">
        <v>200</v>
      </c>
      <c r="Q514" s="71"/>
      <c r="R514" s="71"/>
      <c r="S514" s="72" t="str">
        <f t="shared" si="163"/>
        <v>裤子图纸</v>
      </c>
      <c r="T514" s="71">
        <v>25</v>
      </c>
      <c r="U514" s="71" t="str">
        <f t="shared" si="164"/>
        <v/>
      </c>
      <c r="V514" s="71">
        <f t="shared" si="165"/>
        <v>0</v>
      </c>
      <c r="W514" s="71" t="s">
        <v>96</v>
      </c>
      <c r="X514" s="71">
        <f t="shared" si="179"/>
        <v>360</v>
      </c>
      <c r="Y514" s="71"/>
      <c r="Z514" s="71"/>
      <c r="AA514" s="71" t="str">
        <f t="shared" si="171"/>
        <v>基因罐</v>
      </c>
      <c r="AB514" s="71">
        <f t="shared" si="175"/>
        <v>30</v>
      </c>
      <c r="AC514" s="71" t="s">
        <v>374</v>
      </c>
      <c r="AD514" s="71">
        <v>150</v>
      </c>
      <c r="AE514" s="72" t="str">
        <f t="shared" si="168"/>
        <v>辅助特饮</v>
      </c>
      <c r="AF514" s="71">
        <v>300</v>
      </c>
      <c r="AG514" s="71"/>
      <c r="AH514" s="71"/>
      <c r="AI514" s="71" t="s">
        <v>390</v>
      </c>
      <c r="AJ514" s="71">
        <v>1</v>
      </c>
      <c r="AK514" s="71" t="s">
        <v>96</v>
      </c>
      <c r="AL514" s="71">
        <f t="shared" si="180"/>
        <v>600</v>
      </c>
      <c r="AN514" s="23" t="str">
        <f ca="1" t="shared" si="166"/>
        <v>{11,5}</v>
      </c>
      <c r="AO514" s="23" t="str">
        <f ca="1" t="shared" si="161"/>
        <v/>
      </c>
      <c r="AP514" s="23" t="str">
        <f ca="1" t="shared" si="181"/>
        <v>{50004,15}</v>
      </c>
      <c r="AQ514" s="23" t="str">
        <f ca="1" t="shared" si="182"/>
        <v>{5113001,200}</v>
      </c>
      <c r="AR514" s="23" t="str">
        <f ca="1" t="shared" si="183"/>
        <v>{2,240}</v>
      </c>
      <c r="AS514" s="23" t="str">
        <f ca="1" t="shared" si="184"/>
        <v>{5123001,250}</v>
      </c>
      <c r="AT514" s="23" t="str">
        <f ca="1" t="shared" si="172"/>
        <v>{5523001,200}</v>
      </c>
      <c r="AU514" s="23" t="str">
        <f ca="1" t="shared" si="159"/>
        <v/>
      </c>
      <c r="AV514" s="23" t="str">
        <f ca="1" t="shared" si="185"/>
        <v>{50006,25}</v>
      </c>
      <c r="AW514" s="23" t="str">
        <f ca="1" t="shared" si="186"/>
        <v/>
      </c>
      <c r="AX514" s="23" t="str">
        <f ca="1" t="shared" si="187"/>
        <v>{2,360}</v>
      </c>
      <c r="AY514" s="23" t="str">
        <f ca="1" t="shared" si="188"/>
        <v>{5204001,5}</v>
      </c>
      <c r="AZ514" s="23" t="str">
        <f ca="1" t="shared" si="176"/>
        <v>{5203001,30}</v>
      </c>
      <c r="BA514" s="23" t="str">
        <f ca="1" t="shared" si="189"/>
        <v>{1,150}</v>
      </c>
      <c r="BB514" s="23" t="s">
        <v>401</v>
      </c>
      <c r="BC514" s="23" t="str">
        <f ca="1" t="shared" si="190"/>
        <v>{5143001,300}</v>
      </c>
      <c r="BD514" s="23" t="str">
        <f ca="1" t="shared" si="169"/>
        <v/>
      </c>
      <c r="BE514" s="23" t="str">
        <f ca="1" t="shared" si="173"/>
        <v>{50039,1}</v>
      </c>
      <c r="BF514" s="23" t="str">
        <f ca="1" t="shared" si="191"/>
        <v>{2,600}</v>
      </c>
      <c r="BI514" s="23" t="str">
        <f ca="1" t="shared" si="192"/>
        <v>[{11,5},{50004,15},{5113001,200},{2,240}]</v>
      </c>
      <c r="BJ514" s="23" t="str">
        <f ca="1" t="shared" si="193"/>
        <v>[{5123001,250},{5523001,200},{50006,25},{2,360},{5204001,5}]</v>
      </c>
      <c r="BK514" s="23" t="str">
        <f ca="1" t="shared" si="194"/>
        <v>[{5203001,30},{1,150},{5523001,300},{5143001,300},{50039,1},{2,600}]</v>
      </c>
      <c r="BL514" s="23">
        <f ca="1" t="shared" si="195"/>
        <v>4</v>
      </c>
      <c r="BM514" s="23">
        <f ca="1" t="shared" si="196"/>
        <v>5</v>
      </c>
      <c r="BN514" s="23">
        <f ca="1" t="shared" si="160"/>
        <v>6</v>
      </c>
      <c r="BP514" s="71" t="s">
        <v>374</v>
      </c>
      <c r="BQ514" s="71">
        <v>150</v>
      </c>
    </row>
    <row r="515" ht="16.5" spans="2:69">
      <c r="B515" s="23">
        <v>195</v>
      </c>
      <c r="C515" s="12" t="str">
        <f t="shared" si="177"/>
        <v>梦愿水晶</v>
      </c>
      <c r="D515" s="12">
        <f t="shared" si="178"/>
        <v>1</v>
      </c>
      <c r="E515" s="71"/>
      <c r="F515" s="71"/>
      <c r="G515" s="71" t="str">
        <f t="shared" si="162"/>
        <v>护臂图纸</v>
      </c>
      <c r="H515" s="71">
        <v>15</v>
      </c>
      <c r="I515" s="71" t="str">
        <f t="shared" si="167"/>
        <v>毒系特饮</v>
      </c>
      <c r="J515" s="71">
        <v>200</v>
      </c>
      <c r="K515" s="71" t="s">
        <v>96</v>
      </c>
      <c r="L515" s="71">
        <v>240</v>
      </c>
      <c r="M515" s="71" t="str">
        <f t="shared" si="170"/>
        <v>辅助特饮</v>
      </c>
      <c r="N515" s="71">
        <f t="shared" si="174"/>
        <v>250</v>
      </c>
      <c r="O515" s="71" t="s">
        <v>316</v>
      </c>
      <c r="P515" s="71">
        <v>200</v>
      </c>
      <c r="Q515" s="71"/>
      <c r="R515" s="71"/>
      <c r="S515" s="72" t="str">
        <f t="shared" si="163"/>
        <v>鞋子图纸</v>
      </c>
      <c r="T515" s="71">
        <v>25</v>
      </c>
      <c r="U515" s="71" t="str">
        <f t="shared" si="164"/>
        <v>灵感获取令</v>
      </c>
      <c r="V515" s="71">
        <f t="shared" si="165"/>
        <v>1</v>
      </c>
      <c r="W515" s="71" t="s">
        <v>96</v>
      </c>
      <c r="X515" s="71">
        <f t="shared" si="179"/>
        <v>360</v>
      </c>
      <c r="Y515" s="71"/>
      <c r="Z515" s="71"/>
      <c r="AA515" s="71" t="str">
        <f t="shared" si="171"/>
        <v>传说基因罐</v>
      </c>
      <c r="AB515" s="71">
        <f t="shared" si="175"/>
        <v>3</v>
      </c>
      <c r="AC515" s="71" t="s">
        <v>374</v>
      </c>
      <c r="AD515" s="71">
        <v>150</v>
      </c>
      <c r="AE515" s="72" t="str">
        <f t="shared" si="168"/>
        <v>毒系特饮</v>
      </c>
      <c r="AF515" s="71">
        <v>300</v>
      </c>
      <c r="AG515" s="71"/>
      <c r="AH515" s="71"/>
      <c r="AI515" s="71" t="s">
        <v>390</v>
      </c>
      <c r="AJ515" s="71">
        <v>1</v>
      </c>
      <c r="AK515" s="71" t="s">
        <v>96</v>
      </c>
      <c r="AL515" s="71">
        <f t="shared" si="180"/>
        <v>600</v>
      </c>
      <c r="AN515" s="23" t="str">
        <f ca="1" t="shared" si="166"/>
        <v>{35,1}</v>
      </c>
      <c r="AO515" s="23" t="str">
        <f ca="1" t="shared" si="161"/>
        <v/>
      </c>
      <c r="AP515" s="23" t="str">
        <f ca="1" t="shared" si="181"/>
        <v>{50005,15}</v>
      </c>
      <c r="AQ515" s="23" t="str">
        <f ca="1" t="shared" si="182"/>
        <v>{5163001,200}</v>
      </c>
      <c r="AR515" s="23" t="str">
        <f ca="1" t="shared" si="183"/>
        <v>{2,240}</v>
      </c>
      <c r="AS515" s="23" t="str">
        <f ca="1" t="shared" si="184"/>
        <v>{5143001,250}</v>
      </c>
      <c r="AT515" s="23" t="str">
        <f ca="1" t="shared" si="172"/>
        <v>{5523001,200}</v>
      </c>
      <c r="AU515" s="23" t="str">
        <f ca="1" t="shared" si="159"/>
        <v/>
      </c>
      <c r="AV515" s="23" t="str">
        <f ca="1" t="shared" si="185"/>
        <v>{50007,25}</v>
      </c>
      <c r="AW515" s="23" t="str">
        <f ca="1" t="shared" si="186"/>
        <v>{9,1}</v>
      </c>
      <c r="AX515" s="23" t="str">
        <f ca="1" t="shared" si="187"/>
        <v>{2,360}</v>
      </c>
      <c r="AY515" s="23" t="str">
        <f ca="1" t="shared" si="188"/>
        <v>{5204001,5}</v>
      </c>
      <c r="AZ515" s="23" t="str">
        <f ca="1" t="shared" si="176"/>
        <v>{5205001,3}</v>
      </c>
      <c r="BA515" s="23" t="str">
        <f ca="1" t="shared" si="189"/>
        <v>{1,150}</v>
      </c>
      <c r="BB515" s="23" t="s">
        <v>401</v>
      </c>
      <c r="BC515" s="23" t="str">
        <f ca="1" t="shared" si="190"/>
        <v>{5163001,300}</v>
      </c>
      <c r="BD515" s="23" t="str">
        <f ca="1" t="shared" si="169"/>
        <v/>
      </c>
      <c r="BE515" s="23" t="str">
        <f ca="1" t="shared" si="173"/>
        <v>{50039,1}</v>
      </c>
      <c r="BF515" s="23" t="str">
        <f ca="1" t="shared" si="191"/>
        <v>{2,600}</v>
      </c>
      <c r="BI515" s="23" t="str">
        <f ca="1" t="shared" si="192"/>
        <v>[{35,1},{50005,15},{5163001,200},{2,240}]</v>
      </c>
      <c r="BJ515" s="23" t="str">
        <f ca="1" t="shared" si="193"/>
        <v>[{5143001,250},{5523001,200},{50007,25},{9,1},{2,360},{5204001,5}]</v>
      </c>
      <c r="BK515" s="23" t="str">
        <f ca="1" t="shared" si="194"/>
        <v>[{5205001,3},{1,150},{5523001,300},{5163001,300},{50039,1},{2,600}]</v>
      </c>
      <c r="BL515" s="23">
        <f ca="1" t="shared" si="195"/>
        <v>4</v>
      </c>
      <c r="BM515" s="23">
        <f ca="1" t="shared" si="196"/>
        <v>6</v>
      </c>
      <c r="BN515" s="23">
        <f ca="1" t="shared" si="160"/>
        <v>6</v>
      </c>
      <c r="BP515" s="71" t="s">
        <v>374</v>
      </c>
      <c r="BQ515" s="71">
        <v>150</v>
      </c>
    </row>
    <row r="516" ht="16.5" spans="2:69">
      <c r="B516" s="23">
        <v>196</v>
      </c>
      <c r="C516" s="12"/>
      <c r="D516" s="12"/>
      <c r="E516" s="71"/>
      <c r="F516" s="71"/>
      <c r="G516" s="71" t="str">
        <f t="shared" si="162"/>
        <v>裤子图纸</v>
      </c>
      <c r="H516" s="71">
        <v>15</v>
      </c>
      <c r="I516" s="71" t="str">
        <f t="shared" si="167"/>
        <v>控制特饮</v>
      </c>
      <c r="J516" s="71">
        <v>200</v>
      </c>
      <c r="K516" s="71" t="s">
        <v>96</v>
      </c>
      <c r="L516" s="71">
        <v>240</v>
      </c>
      <c r="M516" s="71" t="str">
        <f t="shared" si="170"/>
        <v>射手特饮</v>
      </c>
      <c r="N516" s="71">
        <f t="shared" si="174"/>
        <v>250</v>
      </c>
      <c r="O516" s="71" t="s">
        <v>316</v>
      </c>
      <c r="P516" s="71">
        <v>200</v>
      </c>
      <c r="Q516" s="71"/>
      <c r="R516" s="71"/>
      <c r="S516" s="72" t="str">
        <f t="shared" si="163"/>
        <v>手套图纸</v>
      </c>
      <c r="T516" s="71">
        <v>25</v>
      </c>
      <c r="U516" s="71" t="str">
        <f t="shared" si="164"/>
        <v/>
      </c>
      <c r="V516" s="71">
        <f t="shared" si="165"/>
        <v>0</v>
      </c>
      <c r="W516" s="71" t="s">
        <v>96</v>
      </c>
      <c r="X516" s="71">
        <f t="shared" si="179"/>
        <v>360</v>
      </c>
      <c r="Y516" s="71"/>
      <c r="Z516" s="71"/>
      <c r="AA516" s="71" t="str">
        <f t="shared" si="171"/>
        <v>基因罐</v>
      </c>
      <c r="AB516" s="71">
        <f t="shared" si="175"/>
        <v>30</v>
      </c>
      <c r="AC516" s="71" t="s">
        <v>374</v>
      </c>
      <c r="AD516" s="71">
        <v>150</v>
      </c>
      <c r="AE516" s="72" t="str">
        <f t="shared" si="168"/>
        <v>控制特饮</v>
      </c>
      <c r="AF516" s="71">
        <v>300</v>
      </c>
      <c r="AG516" s="71"/>
      <c r="AH516" s="71"/>
      <c r="AI516" s="71" t="s">
        <v>390</v>
      </c>
      <c r="AJ516" s="71">
        <v>1</v>
      </c>
      <c r="AK516" s="71" t="s">
        <v>96</v>
      </c>
      <c r="AL516" s="71">
        <f t="shared" si="180"/>
        <v>600</v>
      </c>
      <c r="AN516" s="23" t="str">
        <f ca="1" t="shared" si="166"/>
        <v>{11,5}</v>
      </c>
      <c r="AO516" s="23" t="str">
        <f ca="1" t="shared" si="161"/>
        <v/>
      </c>
      <c r="AP516" s="23" t="str">
        <f ca="1" t="shared" si="181"/>
        <v>{50006,15}</v>
      </c>
      <c r="AQ516" s="23" t="str">
        <f ca="1" t="shared" si="182"/>
        <v>{5153001,200}</v>
      </c>
      <c r="AR516" s="23" t="str">
        <f ca="1" t="shared" si="183"/>
        <v>{2,240}</v>
      </c>
      <c r="AS516" s="23" t="str">
        <f ca="1" t="shared" si="184"/>
        <v>{5133001,250}</v>
      </c>
      <c r="AT516" s="23" t="str">
        <f ca="1" t="shared" si="172"/>
        <v>{5523001,200}</v>
      </c>
      <c r="AU516" s="23" t="str">
        <f ca="1" t="shared" ref="AU516:AU579" si="197">IF(OFFSET($B516,0,AU$320*2+1)="","","{"&amp;VLOOKUP(OFFSET($B516,0,AU$320*2+1),$AN$291:$AO$306,2,0)&amp;","&amp;OFFSET($B516,0,AU$320*2+2)&amp;"}")</f>
        <v/>
      </c>
      <c r="AV516" s="23" t="str">
        <f ca="1" t="shared" si="185"/>
        <v>{50008,25}</v>
      </c>
      <c r="AW516" s="23" t="str">
        <f ca="1" t="shared" si="186"/>
        <v/>
      </c>
      <c r="AX516" s="23" t="str">
        <f ca="1" t="shared" si="187"/>
        <v>{2,360}</v>
      </c>
      <c r="AY516" s="23" t="str">
        <f ca="1" t="shared" si="188"/>
        <v>{5204001,5}</v>
      </c>
      <c r="AZ516" s="23" t="str">
        <f ca="1" t="shared" si="176"/>
        <v>{5203001,30}</v>
      </c>
      <c r="BA516" s="23" t="str">
        <f ca="1" t="shared" si="189"/>
        <v>{1,150}</v>
      </c>
      <c r="BB516" s="23" t="s">
        <v>401</v>
      </c>
      <c r="BC516" s="23" t="str">
        <f ca="1" t="shared" si="190"/>
        <v>{5153001,300}</v>
      </c>
      <c r="BD516" s="23" t="str">
        <f ca="1" t="shared" si="169"/>
        <v/>
      </c>
      <c r="BE516" s="23" t="str">
        <f ca="1" t="shared" si="173"/>
        <v>{50039,1}</v>
      </c>
      <c r="BF516" s="23" t="str">
        <f ca="1" t="shared" si="191"/>
        <v>{2,600}</v>
      </c>
      <c r="BI516" s="23" t="str">
        <f ca="1" t="shared" si="192"/>
        <v>[{11,5},{50006,15},{5153001,200},{2,240}]</v>
      </c>
      <c r="BJ516" s="23" t="str">
        <f ca="1" t="shared" si="193"/>
        <v>[{5133001,250},{5523001,200},{50008,25},{2,360},{5204001,5}]</v>
      </c>
      <c r="BK516" s="23" t="str">
        <f ca="1" t="shared" si="194"/>
        <v>[{5203001,30},{1,150},{5523001,300},{5153001,300},{50039,1},{2,600}]</v>
      </c>
      <c r="BL516" s="23">
        <f ca="1" t="shared" si="195"/>
        <v>4</v>
      </c>
      <c r="BM516" s="23">
        <f ca="1" t="shared" si="196"/>
        <v>5</v>
      </c>
      <c r="BN516" s="23">
        <f ca="1" t="shared" ref="BN516:BN579" si="198">7-COUNTBLANK(AZ516:BF516)</f>
        <v>6</v>
      </c>
      <c r="BP516" s="71" t="s">
        <v>374</v>
      </c>
      <c r="BQ516" s="71">
        <v>150</v>
      </c>
    </row>
    <row r="517" ht="16.5" spans="2:69">
      <c r="B517" s="23">
        <v>197</v>
      </c>
      <c r="C517" s="12"/>
      <c r="D517" s="12"/>
      <c r="E517" s="71"/>
      <c r="F517" s="71"/>
      <c r="G517" s="71" t="str">
        <f t="shared" si="162"/>
        <v>鞋子图纸</v>
      </c>
      <c r="H517" s="71">
        <v>15</v>
      </c>
      <c r="I517" s="71" t="str">
        <f t="shared" si="167"/>
        <v>射手特饮</v>
      </c>
      <c r="J517" s="71">
        <v>200</v>
      </c>
      <c r="K517" s="71" t="s">
        <v>96</v>
      </c>
      <c r="L517" s="71">
        <v>240</v>
      </c>
      <c r="M517" s="71" t="str">
        <f t="shared" si="170"/>
        <v>毒系特饮</v>
      </c>
      <c r="N517" s="71">
        <f t="shared" si="174"/>
        <v>250</v>
      </c>
      <c r="O517" s="71" t="s">
        <v>316</v>
      </c>
      <c r="P517" s="71">
        <v>200</v>
      </c>
      <c r="Q517" s="71"/>
      <c r="R517" s="71"/>
      <c r="S517" s="72" t="str">
        <f t="shared" si="163"/>
        <v>头盔图纸</v>
      </c>
      <c r="T517" s="71">
        <v>25</v>
      </c>
      <c r="U517" s="71" t="str">
        <f t="shared" si="164"/>
        <v/>
      </c>
      <c r="V517" s="71">
        <f t="shared" si="165"/>
        <v>0</v>
      </c>
      <c r="W517" s="71" t="s">
        <v>96</v>
      </c>
      <c r="X517" s="71">
        <f t="shared" si="179"/>
        <v>360</v>
      </c>
      <c r="Y517" s="71"/>
      <c r="Z517" s="71"/>
      <c r="AA517" s="71" t="str">
        <f t="shared" si="171"/>
        <v>基因罐</v>
      </c>
      <c r="AB517" s="71">
        <f t="shared" si="175"/>
        <v>30</v>
      </c>
      <c r="AC517" s="71" t="s">
        <v>374</v>
      </c>
      <c r="AD517" s="71">
        <v>150</v>
      </c>
      <c r="AE517" s="72" t="str">
        <f t="shared" si="168"/>
        <v>射手特饮</v>
      </c>
      <c r="AF517" s="71">
        <v>300</v>
      </c>
      <c r="AG517" s="71"/>
      <c r="AH517" s="71"/>
      <c r="AI517" s="71" t="s">
        <v>390</v>
      </c>
      <c r="AJ517" s="71">
        <v>1</v>
      </c>
      <c r="AK517" s="71" t="s">
        <v>96</v>
      </c>
      <c r="AL517" s="71">
        <f t="shared" si="180"/>
        <v>600</v>
      </c>
      <c r="AN517" s="23" t="str">
        <f ca="1" t="shared" si="166"/>
        <v>{11,5}</v>
      </c>
      <c r="AO517" s="23" t="str">
        <f ca="1" t="shared" si="161"/>
        <v/>
      </c>
      <c r="AP517" s="23" t="str">
        <f ca="1" t="shared" si="181"/>
        <v>{50007,15}</v>
      </c>
      <c r="AQ517" s="23" t="str">
        <f ca="1" t="shared" si="182"/>
        <v>{5133001,200}</v>
      </c>
      <c r="AR517" s="23" t="str">
        <f ca="1" t="shared" si="183"/>
        <v>{2,240}</v>
      </c>
      <c r="AS517" s="23" t="str">
        <f ca="1" t="shared" si="184"/>
        <v>{5163001,250}</v>
      </c>
      <c r="AT517" s="23" t="str">
        <f ca="1" t="shared" si="172"/>
        <v>{5523001,200}</v>
      </c>
      <c r="AU517" s="23" t="str">
        <f ca="1" t="shared" si="197"/>
        <v/>
      </c>
      <c r="AV517" s="23" t="str">
        <f ca="1" t="shared" si="185"/>
        <v>{50003,25}</v>
      </c>
      <c r="AW517" s="23" t="str">
        <f ca="1" t="shared" si="186"/>
        <v/>
      </c>
      <c r="AX517" s="23" t="str">
        <f ca="1" t="shared" si="187"/>
        <v>{2,360}</v>
      </c>
      <c r="AY517" s="23" t="str">
        <f ca="1" t="shared" si="188"/>
        <v>{5204001,5}</v>
      </c>
      <c r="AZ517" s="23" t="str">
        <f ca="1" t="shared" si="176"/>
        <v>{5203001,30}</v>
      </c>
      <c r="BA517" s="23" t="str">
        <f ca="1" t="shared" si="189"/>
        <v>{1,150}</v>
      </c>
      <c r="BB517" s="23" t="s">
        <v>401</v>
      </c>
      <c r="BC517" s="23" t="str">
        <f ca="1" t="shared" si="190"/>
        <v>{5133001,300}</v>
      </c>
      <c r="BD517" s="23" t="str">
        <f ca="1" t="shared" si="169"/>
        <v/>
      </c>
      <c r="BE517" s="23" t="str">
        <f ca="1" t="shared" si="173"/>
        <v>{50039,1}</v>
      </c>
      <c r="BF517" s="23" t="str">
        <f ca="1" t="shared" si="191"/>
        <v>{2,600}</v>
      </c>
      <c r="BI517" s="23" t="str">
        <f ca="1" t="shared" si="192"/>
        <v>[{11,5},{50007,15},{5133001,200},{2,240}]</v>
      </c>
      <c r="BJ517" s="23" t="str">
        <f ca="1" t="shared" si="193"/>
        <v>[{5163001,250},{5523001,200},{50003,25},{2,360},{5204001,5}]</v>
      </c>
      <c r="BK517" s="23" t="str">
        <f ca="1" t="shared" si="194"/>
        <v>[{5203001,30},{1,150},{5523001,300},{5133001,300},{50039,1},{2,600}]</v>
      </c>
      <c r="BL517" s="23">
        <f ca="1" t="shared" si="195"/>
        <v>4</v>
      </c>
      <c r="BM517" s="23">
        <f ca="1" t="shared" si="196"/>
        <v>5</v>
      </c>
      <c r="BN517" s="23">
        <f ca="1" t="shared" si="198"/>
        <v>6</v>
      </c>
      <c r="BP517" s="71" t="s">
        <v>374</v>
      </c>
      <c r="BQ517" s="71">
        <v>150</v>
      </c>
    </row>
    <row r="518" ht="16.5" spans="2:69">
      <c r="B518" s="23">
        <v>198</v>
      </c>
      <c r="C518" s="12"/>
      <c r="D518" s="12"/>
      <c r="E518" s="71"/>
      <c r="F518" s="71"/>
      <c r="G518" s="71" t="str">
        <f t="shared" si="162"/>
        <v>手套图纸</v>
      </c>
      <c r="H518" s="71">
        <v>15</v>
      </c>
      <c r="I518" s="71" t="str">
        <f t="shared" si="167"/>
        <v>法师特饮</v>
      </c>
      <c r="J518" s="71">
        <v>200</v>
      </c>
      <c r="K518" s="71" t="s">
        <v>96</v>
      </c>
      <c r="L518" s="71">
        <v>240</v>
      </c>
      <c r="M518" s="71" t="str">
        <f t="shared" si="170"/>
        <v>控制特饮</v>
      </c>
      <c r="N518" s="71">
        <f t="shared" si="174"/>
        <v>250</v>
      </c>
      <c r="O518" s="71" t="s">
        <v>316</v>
      </c>
      <c r="P518" s="71">
        <v>200</v>
      </c>
      <c r="Q518" s="71"/>
      <c r="R518" s="71"/>
      <c r="S518" s="72" t="str">
        <f t="shared" si="163"/>
        <v>衣服图纸</v>
      </c>
      <c r="T518" s="71">
        <v>25</v>
      </c>
      <c r="U518" s="71" t="str">
        <f t="shared" si="164"/>
        <v/>
      </c>
      <c r="V518" s="71">
        <f t="shared" si="165"/>
        <v>0</v>
      </c>
      <c r="W518" s="71" t="s">
        <v>96</v>
      </c>
      <c r="X518" s="71">
        <f t="shared" si="179"/>
        <v>360</v>
      </c>
      <c r="Y518" s="71"/>
      <c r="Z518" s="71"/>
      <c r="AA518" s="71" t="str">
        <f t="shared" si="171"/>
        <v>基因罐</v>
      </c>
      <c r="AB518" s="71">
        <f t="shared" si="175"/>
        <v>30</v>
      </c>
      <c r="AC518" s="71" t="s">
        <v>374</v>
      </c>
      <c r="AD518" s="71">
        <v>150</v>
      </c>
      <c r="AE518" s="72" t="str">
        <f t="shared" si="168"/>
        <v>战士特饮</v>
      </c>
      <c r="AF518" s="71">
        <v>300</v>
      </c>
      <c r="AG518" s="71"/>
      <c r="AH518" s="71"/>
      <c r="AI518" s="71" t="s">
        <v>390</v>
      </c>
      <c r="AJ518" s="71">
        <v>1</v>
      </c>
      <c r="AK518" s="71" t="s">
        <v>96</v>
      </c>
      <c r="AL518" s="71">
        <f t="shared" si="180"/>
        <v>600</v>
      </c>
      <c r="AN518" s="23" t="str">
        <f ca="1" t="shared" si="166"/>
        <v>{11,5}</v>
      </c>
      <c r="AO518" s="23" t="str">
        <f ca="1" t="shared" ref="AO518:AO581" si="199">IF(OFFSET($B518,0,AO$320*2+1)="","","{"&amp;VLOOKUP(OFFSET($B518,0,AO$320*2+1),$AN$291:$AO$297,2,0)&amp;","&amp;OFFSET($B518,0,AO$320*2+2)&amp;"}")</f>
        <v/>
      </c>
      <c r="AP518" s="23" t="str">
        <f ca="1" t="shared" si="181"/>
        <v>{50008,15}</v>
      </c>
      <c r="AQ518" s="23" t="str">
        <f ca="1" t="shared" si="182"/>
        <v>{5123001,200}</v>
      </c>
      <c r="AR518" s="23" t="str">
        <f ca="1" t="shared" si="183"/>
        <v>{2,240}</v>
      </c>
      <c r="AS518" s="23" t="str">
        <f ca="1" t="shared" si="184"/>
        <v>{5153001,250}</v>
      </c>
      <c r="AT518" s="23" t="str">
        <f ca="1" t="shared" si="172"/>
        <v>{5523001,200}</v>
      </c>
      <c r="AU518" s="23" t="str">
        <f ca="1" t="shared" si="197"/>
        <v/>
      </c>
      <c r="AV518" s="23" t="str">
        <f ca="1" t="shared" si="185"/>
        <v>{50004,25}</v>
      </c>
      <c r="AW518" s="23" t="str">
        <f ca="1" t="shared" si="186"/>
        <v/>
      </c>
      <c r="AX518" s="23" t="str">
        <f ca="1" t="shared" si="187"/>
        <v>{2,360}</v>
      </c>
      <c r="AY518" s="23" t="str">
        <f ca="1" t="shared" si="188"/>
        <v>{5204001,5}</v>
      </c>
      <c r="AZ518" s="23" t="str">
        <f ca="1" t="shared" si="176"/>
        <v>{5203001,30}</v>
      </c>
      <c r="BA518" s="23" t="str">
        <f ca="1" t="shared" si="189"/>
        <v>{1,150}</v>
      </c>
      <c r="BB518" s="23" t="s">
        <v>401</v>
      </c>
      <c r="BC518" s="23" t="str">
        <f ca="1" t="shared" si="190"/>
        <v>{5113001,300}</v>
      </c>
      <c r="BD518" s="23" t="str">
        <f ca="1" t="shared" si="169"/>
        <v/>
      </c>
      <c r="BE518" s="23" t="str">
        <f ca="1" t="shared" si="173"/>
        <v>{50039,1}</v>
      </c>
      <c r="BF518" s="23" t="str">
        <f ca="1" t="shared" si="191"/>
        <v>{2,600}</v>
      </c>
      <c r="BI518" s="23" t="str">
        <f ca="1" t="shared" si="192"/>
        <v>[{11,5},{50008,15},{5123001,200},{2,240}]</v>
      </c>
      <c r="BJ518" s="23" t="str">
        <f ca="1" t="shared" si="193"/>
        <v>[{5153001,250},{5523001,200},{50004,25},{2,360},{5204001,5}]</v>
      </c>
      <c r="BK518" s="23" t="str">
        <f ca="1" t="shared" si="194"/>
        <v>[{5203001,30},{1,150},{5523001,300},{5113001,300},{50039,1},{2,600}]</v>
      </c>
      <c r="BL518" s="23">
        <f ca="1" t="shared" si="195"/>
        <v>4</v>
      </c>
      <c r="BM518" s="23">
        <f ca="1" t="shared" si="196"/>
        <v>5</v>
      </c>
      <c r="BN518" s="23">
        <f ca="1" t="shared" si="198"/>
        <v>6</v>
      </c>
      <c r="BP518" s="71" t="s">
        <v>374</v>
      </c>
      <c r="BQ518" s="71">
        <v>150</v>
      </c>
    </row>
    <row r="519" ht="16.5" spans="2:69">
      <c r="B519" s="23">
        <v>199</v>
      </c>
      <c r="C519" s="12"/>
      <c r="D519" s="12"/>
      <c r="E519" s="71"/>
      <c r="F519" s="71"/>
      <c r="G519" s="71" t="str">
        <f t="shared" ref="G519:G582" si="200">G513</f>
        <v>头盔图纸</v>
      </c>
      <c r="H519" s="71">
        <v>15</v>
      </c>
      <c r="I519" s="71" t="str">
        <f t="shared" si="167"/>
        <v>辅助特饮</v>
      </c>
      <c r="J519" s="71">
        <v>200</v>
      </c>
      <c r="K519" s="71" t="s">
        <v>96</v>
      </c>
      <c r="L519" s="71">
        <v>240</v>
      </c>
      <c r="M519" s="71" t="str">
        <f t="shared" si="170"/>
        <v>战士特饮</v>
      </c>
      <c r="N519" s="71">
        <f t="shared" si="174"/>
        <v>250</v>
      </c>
      <c r="O519" s="71" t="s">
        <v>316</v>
      </c>
      <c r="P519" s="71">
        <v>200</v>
      </c>
      <c r="Q519" s="71"/>
      <c r="R519" s="71"/>
      <c r="S519" s="72" t="str">
        <f t="shared" ref="S519:S582" si="201">S513</f>
        <v>护臂图纸</v>
      </c>
      <c r="T519" s="71">
        <v>25</v>
      </c>
      <c r="U519" s="71" t="str">
        <f t="shared" si="164"/>
        <v/>
      </c>
      <c r="V519" s="71">
        <f t="shared" si="165"/>
        <v>0</v>
      </c>
      <c r="W519" s="71" t="s">
        <v>96</v>
      </c>
      <c r="X519" s="71">
        <f t="shared" si="179"/>
        <v>360</v>
      </c>
      <c r="Y519" s="71"/>
      <c r="Z519" s="71"/>
      <c r="AA519" s="71" t="str">
        <f t="shared" si="171"/>
        <v>基因罐</v>
      </c>
      <c r="AB519" s="71">
        <f t="shared" si="175"/>
        <v>30</v>
      </c>
      <c r="AC519" s="71" t="s">
        <v>374</v>
      </c>
      <c r="AD519" s="71">
        <v>150</v>
      </c>
      <c r="AE519" s="72" t="str">
        <f t="shared" si="168"/>
        <v>法师特饮</v>
      </c>
      <c r="AF519" s="71">
        <v>300</v>
      </c>
      <c r="AG519" s="71"/>
      <c r="AH519" s="71"/>
      <c r="AI519" s="71" t="s">
        <v>390</v>
      </c>
      <c r="AJ519" s="71">
        <v>1</v>
      </c>
      <c r="AK519" s="71" t="s">
        <v>96</v>
      </c>
      <c r="AL519" s="71">
        <f t="shared" si="180"/>
        <v>600</v>
      </c>
      <c r="AN519" s="23" t="str">
        <f ca="1" t="shared" si="166"/>
        <v>{11,5}</v>
      </c>
      <c r="AO519" s="23" t="str">
        <f ca="1" t="shared" si="199"/>
        <v/>
      </c>
      <c r="AP519" s="23" t="str">
        <f ca="1" t="shared" si="181"/>
        <v>{50003,15}</v>
      </c>
      <c r="AQ519" s="23" t="str">
        <f ca="1" t="shared" si="182"/>
        <v>{5143001,200}</v>
      </c>
      <c r="AR519" s="23" t="str">
        <f ca="1" t="shared" si="183"/>
        <v>{2,240}</v>
      </c>
      <c r="AS519" s="23" t="str">
        <f ca="1" t="shared" si="184"/>
        <v>{5113001,250}</v>
      </c>
      <c r="AT519" s="23" t="str">
        <f ca="1" t="shared" si="172"/>
        <v>{5523001,200}</v>
      </c>
      <c r="AU519" s="23" t="str">
        <f ca="1" t="shared" si="197"/>
        <v/>
      </c>
      <c r="AV519" s="23" t="str">
        <f ca="1" t="shared" si="185"/>
        <v>{50005,25}</v>
      </c>
      <c r="AW519" s="23" t="str">
        <f ca="1" t="shared" si="186"/>
        <v/>
      </c>
      <c r="AX519" s="23" t="str">
        <f ca="1" t="shared" si="187"/>
        <v>{2,360}</v>
      </c>
      <c r="AY519" s="23" t="str">
        <f ca="1" t="shared" si="188"/>
        <v>{5204001,5}</v>
      </c>
      <c r="AZ519" s="23" t="str">
        <f ca="1" t="shared" si="176"/>
        <v>{5203001,30}</v>
      </c>
      <c r="BA519" s="23" t="str">
        <f ca="1" t="shared" si="189"/>
        <v>{1,150}</v>
      </c>
      <c r="BB519" s="23" t="s">
        <v>401</v>
      </c>
      <c r="BC519" s="23" t="str">
        <f ca="1" t="shared" si="190"/>
        <v>{5123001,300}</v>
      </c>
      <c r="BD519" s="23" t="str">
        <f ca="1" t="shared" si="169"/>
        <v/>
      </c>
      <c r="BE519" s="23" t="str">
        <f ca="1" t="shared" si="173"/>
        <v>{50039,1}</v>
      </c>
      <c r="BF519" s="23" t="str">
        <f ca="1" t="shared" si="191"/>
        <v>{2,600}</v>
      </c>
      <c r="BI519" s="23" t="str">
        <f ca="1" t="shared" si="192"/>
        <v>[{11,5},{50003,15},{5143001,200},{2,240}]</v>
      </c>
      <c r="BJ519" s="23" t="str">
        <f ca="1" t="shared" si="193"/>
        <v>[{5113001,250},{5523001,200},{50005,25},{2,360},{5204001,5}]</v>
      </c>
      <c r="BK519" s="23" t="str">
        <f ca="1" t="shared" si="194"/>
        <v>[{5203001,30},{1,150},{5523001,300},{5123001,300},{50039,1},{2,600}]</v>
      </c>
      <c r="BL519" s="23">
        <f ca="1" t="shared" si="195"/>
        <v>4</v>
      </c>
      <c r="BM519" s="23">
        <f ca="1" t="shared" si="196"/>
        <v>5</v>
      </c>
      <c r="BN519" s="23">
        <f ca="1" t="shared" si="198"/>
        <v>6</v>
      </c>
      <c r="BP519" s="71" t="s">
        <v>374</v>
      </c>
      <c r="BQ519" s="71">
        <v>150</v>
      </c>
    </row>
    <row r="520" ht="16.5" spans="2:69">
      <c r="B520" s="23">
        <v>200</v>
      </c>
      <c r="C520" s="12" t="str">
        <f t="shared" si="177"/>
        <v>梦愿水晶</v>
      </c>
      <c r="D520" s="12">
        <f t="shared" si="178"/>
        <v>1</v>
      </c>
      <c r="E520" s="71"/>
      <c r="F520" s="71"/>
      <c r="G520" s="71" t="str">
        <f t="shared" si="200"/>
        <v>衣服图纸</v>
      </c>
      <c r="H520" s="71">
        <v>15</v>
      </c>
      <c r="I520" s="71" t="str">
        <f t="shared" si="167"/>
        <v>战士特饮</v>
      </c>
      <c r="J520" s="71">
        <v>200</v>
      </c>
      <c r="K520" s="71" t="s">
        <v>96</v>
      </c>
      <c r="L520" s="71">
        <v>240</v>
      </c>
      <c r="M520" s="71" t="str">
        <f t="shared" si="170"/>
        <v>法师特饮</v>
      </c>
      <c r="N520" s="71">
        <f t="shared" si="174"/>
        <v>250</v>
      </c>
      <c r="O520" s="71" t="s">
        <v>316</v>
      </c>
      <c r="P520" s="71">
        <v>200</v>
      </c>
      <c r="Q520" s="71"/>
      <c r="R520" s="71"/>
      <c r="S520" s="72" t="str">
        <f t="shared" si="201"/>
        <v>裤子图纸</v>
      </c>
      <c r="T520" s="71">
        <v>25</v>
      </c>
      <c r="U520" s="71" t="str">
        <f t="shared" si="164"/>
        <v>灵感获取令</v>
      </c>
      <c r="V520" s="71">
        <f t="shared" si="165"/>
        <v>1</v>
      </c>
      <c r="W520" s="71" t="s">
        <v>96</v>
      </c>
      <c r="X520" s="71">
        <f t="shared" si="179"/>
        <v>360</v>
      </c>
      <c r="Y520" s="71"/>
      <c r="Z520" s="71"/>
      <c r="AA520" s="71" t="str">
        <f t="shared" si="171"/>
        <v>传说基因罐</v>
      </c>
      <c r="AB520" s="71">
        <f t="shared" si="175"/>
        <v>3</v>
      </c>
      <c r="AC520" s="71" t="s">
        <v>374</v>
      </c>
      <c r="AD520" s="71">
        <v>150</v>
      </c>
      <c r="AE520" s="72" t="str">
        <f t="shared" si="168"/>
        <v>辅助特饮</v>
      </c>
      <c r="AF520" s="71">
        <v>300</v>
      </c>
      <c r="AG520" s="71"/>
      <c r="AH520" s="71"/>
      <c r="AI520" s="71" t="s">
        <v>390</v>
      </c>
      <c r="AJ520" s="71">
        <v>1</v>
      </c>
      <c r="AK520" s="71" t="s">
        <v>96</v>
      </c>
      <c r="AL520" s="71">
        <f t="shared" si="180"/>
        <v>600</v>
      </c>
      <c r="AN520" s="23" t="str">
        <f ca="1" t="shared" si="166"/>
        <v>{35,1}</v>
      </c>
      <c r="AO520" s="23" t="str">
        <f ca="1" t="shared" si="199"/>
        <v/>
      </c>
      <c r="AP520" s="23" t="str">
        <f ca="1" t="shared" si="181"/>
        <v>{50004,15}</v>
      </c>
      <c r="AQ520" s="23" t="str">
        <f ca="1" t="shared" si="182"/>
        <v>{5113001,200}</v>
      </c>
      <c r="AR520" s="23" t="str">
        <f ca="1" t="shared" si="183"/>
        <v>{2,240}</v>
      </c>
      <c r="AS520" s="23" t="str">
        <f ca="1" t="shared" si="184"/>
        <v>{5123001,250}</v>
      </c>
      <c r="AT520" s="23" t="str">
        <f ca="1" t="shared" si="172"/>
        <v>{5523001,200}</v>
      </c>
      <c r="AU520" s="23" t="str">
        <f ca="1" t="shared" si="197"/>
        <v/>
      </c>
      <c r="AV520" s="23" t="str">
        <f ca="1" t="shared" si="185"/>
        <v>{50006,25}</v>
      </c>
      <c r="AW520" s="23" t="str">
        <f ca="1" t="shared" si="186"/>
        <v>{9,1}</v>
      </c>
      <c r="AX520" s="23" t="str">
        <f ca="1" t="shared" si="187"/>
        <v>{2,360}</v>
      </c>
      <c r="AY520" s="23" t="str">
        <f ca="1" t="shared" si="188"/>
        <v>{5204001,5}</v>
      </c>
      <c r="AZ520" s="23" t="str">
        <f ca="1" t="shared" si="176"/>
        <v>{5205001,3}</v>
      </c>
      <c r="BA520" s="23" t="str">
        <f ca="1" t="shared" si="189"/>
        <v>{1,150}</v>
      </c>
      <c r="BB520" s="23" t="s">
        <v>401</v>
      </c>
      <c r="BC520" s="23" t="str">
        <f ca="1" t="shared" si="190"/>
        <v>{5143001,300}</v>
      </c>
      <c r="BD520" s="23" t="str">
        <f ca="1" t="shared" si="169"/>
        <v/>
      </c>
      <c r="BE520" s="23" t="str">
        <f ca="1" t="shared" si="173"/>
        <v>{50039,1}</v>
      </c>
      <c r="BF520" s="23" t="str">
        <f ca="1" t="shared" si="191"/>
        <v>{2,600}</v>
      </c>
      <c r="BI520" s="23" t="str">
        <f ca="1" t="shared" si="192"/>
        <v>[{35,1},{50004,15},{5113001,200},{2,240}]</v>
      </c>
      <c r="BJ520" s="23" t="str">
        <f ca="1" t="shared" si="193"/>
        <v>[{5123001,250},{5523001,200},{50006,25},{9,1},{2,360},{5204001,5}]</v>
      </c>
      <c r="BK520" s="23" t="str">
        <f ca="1" t="shared" si="194"/>
        <v>[{5205001,3},{1,150},{5523001,300},{5143001,300},{50039,1},{2,600}]</v>
      </c>
      <c r="BL520" s="23">
        <f ca="1" t="shared" si="195"/>
        <v>4</v>
      </c>
      <c r="BM520" s="23">
        <f ca="1" t="shared" si="196"/>
        <v>6</v>
      </c>
      <c r="BN520" s="23">
        <f ca="1" t="shared" si="198"/>
        <v>6</v>
      </c>
      <c r="BP520" s="71" t="s">
        <v>374</v>
      </c>
      <c r="BQ520" s="71">
        <v>150</v>
      </c>
    </row>
    <row r="521" ht="16.5" spans="2:69">
      <c r="B521" s="23">
        <v>201</v>
      </c>
      <c r="C521" s="12"/>
      <c r="D521" s="12"/>
      <c r="E521" s="71"/>
      <c r="F521" s="71"/>
      <c r="G521" s="71" t="str">
        <f t="shared" si="200"/>
        <v>护臂图纸</v>
      </c>
      <c r="H521" s="71">
        <v>15</v>
      </c>
      <c r="I521" s="71" t="str">
        <f t="shared" si="167"/>
        <v>毒系特饮</v>
      </c>
      <c r="J521" s="71">
        <v>200</v>
      </c>
      <c r="K521" s="71" t="s">
        <v>96</v>
      </c>
      <c r="L521" s="71">
        <v>240</v>
      </c>
      <c r="M521" s="71" t="str">
        <f t="shared" si="170"/>
        <v>辅助特饮</v>
      </c>
      <c r="N521" s="71">
        <f t="shared" si="174"/>
        <v>250</v>
      </c>
      <c r="O521" s="71" t="s">
        <v>316</v>
      </c>
      <c r="P521" s="71">
        <v>200</v>
      </c>
      <c r="Q521" s="71"/>
      <c r="R521" s="71"/>
      <c r="S521" s="72" t="str">
        <f t="shared" si="201"/>
        <v>鞋子图纸</v>
      </c>
      <c r="T521" s="71">
        <v>25</v>
      </c>
      <c r="U521" s="71" t="str">
        <f t="shared" si="164"/>
        <v/>
      </c>
      <c r="V521" s="71">
        <f t="shared" si="165"/>
        <v>0</v>
      </c>
      <c r="W521" s="71" t="s">
        <v>96</v>
      </c>
      <c r="X521" s="71">
        <f t="shared" si="179"/>
        <v>360</v>
      </c>
      <c r="Y521" s="71"/>
      <c r="Z521" s="71"/>
      <c r="AA521" s="71" t="str">
        <f t="shared" si="171"/>
        <v>基因罐</v>
      </c>
      <c r="AB521" s="71">
        <f t="shared" si="175"/>
        <v>30</v>
      </c>
      <c r="AC521" s="71" t="s">
        <v>374</v>
      </c>
      <c r="AD521" s="71">
        <v>150</v>
      </c>
      <c r="AE521" s="72" t="str">
        <f t="shared" si="168"/>
        <v>毒系特饮</v>
      </c>
      <c r="AF521" s="71">
        <v>300</v>
      </c>
      <c r="AG521" s="71"/>
      <c r="AH521" s="71"/>
      <c r="AI521" s="71" t="s">
        <v>390</v>
      </c>
      <c r="AJ521" s="71">
        <v>1</v>
      </c>
      <c r="AK521" s="71" t="s">
        <v>96</v>
      </c>
      <c r="AL521" s="71">
        <f t="shared" si="180"/>
        <v>600</v>
      </c>
      <c r="AN521" s="23" t="str">
        <f ca="1" t="shared" si="166"/>
        <v>{11,5}</v>
      </c>
      <c r="AO521" s="23" t="str">
        <f ca="1" t="shared" si="199"/>
        <v/>
      </c>
      <c r="AP521" s="23" t="str">
        <f ca="1" t="shared" si="181"/>
        <v>{50005,15}</v>
      </c>
      <c r="AQ521" s="23" t="str">
        <f ca="1" t="shared" si="182"/>
        <v>{5163001,200}</v>
      </c>
      <c r="AR521" s="23" t="str">
        <f ca="1" t="shared" si="183"/>
        <v>{2,240}</v>
      </c>
      <c r="AS521" s="23" t="str">
        <f ca="1" t="shared" si="184"/>
        <v>{5143001,250}</v>
      </c>
      <c r="AT521" s="23" t="str">
        <f ca="1" t="shared" si="172"/>
        <v>{5523001,200}</v>
      </c>
      <c r="AU521" s="23" t="str">
        <f ca="1" t="shared" si="197"/>
        <v/>
      </c>
      <c r="AV521" s="23" t="str">
        <f ca="1" t="shared" si="185"/>
        <v>{50007,25}</v>
      </c>
      <c r="AW521" s="23" t="str">
        <f ca="1" t="shared" si="186"/>
        <v/>
      </c>
      <c r="AX521" s="23" t="str">
        <f ca="1" t="shared" si="187"/>
        <v>{2,360}</v>
      </c>
      <c r="AY521" s="23" t="str">
        <f ca="1" t="shared" si="188"/>
        <v>{5204001,5}</v>
      </c>
      <c r="AZ521" s="23" t="str">
        <f ca="1" t="shared" si="176"/>
        <v>{5203001,30}</v>
      </c>
      <c r="BA521" s="23" t="str">
        <f ca="1" t="shared" si="189"/>
        <v>{1,150}</v>
      </c>
      <c r="BB521" s="23" t="s">
        <v>401</v>
      </c>
      <c r="BC521" s="23" t="str">
        <f ca="1" t="shared" si="190"/>
        <v>{5163001,300}</v>
      </c>
      <c r="BD521" s="23" t="str">
        <f ca="1" t="shared" si="169"/>
        <v/>
      </c>
      <c r="BE521" s="23" t="str">
        <f ca="1" t="shared" si="173"/>
        <v>{50039,1}</v>
      </c>
      <c r="BF521" s="23" t="str">
        <f ca="1" t="shared" si="191"/>
        <v>{2,600}</v>
      </c>
      <c r="BI521" s="23" t="str">
        <f ca="1" t="shared" si="192"/>
        <v>[{11,5},{50005,15},{5163001,200},{2,240}]</v>
      </c>
      <c r="BJ521" s="23" t="str">
        <f ca="1" t="shared" si="193"/>
        <v>[{5143001,250},{5523001,200},{50007,25},{2,360},{5204001,5}]</v>
      </c>
      <c r="BK521" s="23" t="str">
        <f ca="1" t="shared" si="194"/>
        <v>[{5203001,30},{1,150},{5523001,300},{5163001,300},{50039,1},{2,600}]</v>
      </c>
      <c r="BL521" s="23">
        <f ca="1" t="shared" si="195"/>
        <v>4</v>
      </c>
      <c r="BM521" s="23">
        <f ca="1" t="shared" si="196"/>
        <v>5</v>
      </c>
      <c r="BN521" s="23">
        <f ca="1" t="shared" si="198"/>
        <v>6</v>
      </c>
      <c r="BP521" s="71" t="s">
        <v>374</v>
      </c>
      <c r="BQ521" s="71">
        <v>150</v>
      </c>
    </row>
    <row r="522" ht="16.5" spans="2:69">
      <c r="B522" s="23">
        <v>202</v>
      </c>
      <c r="C522" s="12"/>
      <c r="D522" s="12"/>
      <c r="E522" s="71"/>
      <c r="F522" s="71"/>
      <c r="G522" s="71" t="str">
        <f t="shared" si="200"/>
        <v>裤子图纸</v>
      </c>
      <c r="H522" s="71">
        <v>15</v>
      </c>
      <c r="I522" s="71" t="str">
        <f t="shared" si="167"/>
        <v>控制特饮</v>
      </c>
      <c r="J522" s="71">
        <v>200</v>
      </c>
      <c r="K522" s="71" t="s">
        <v>96</v>
      </c>
      <c r="L522" s="71">
        <v>240</v>
      </c>
      <c r="M522" s="71" t="str">
        <f t="shared" si="170"/>
        <v>射手特饮</v>
      </c>
      <c r="N522" s="71">
        <f t="shared" si="174"/>
        <v>250</v>
      </c>
      <c r="O522" s="71" t="s">
        <v>316</v>
      </c>
      <c r="P522" s="71">
        <v>200</v>
      </c>
      <c r="Q522" s="71"/>
      <c r="R522" s="71"/>
      <c r="S522" s="72" t="str">
        <f t="shared" si="201"/>
        <v>手套图纸</v>
      </c>
      <c r="T522" s="71">
        <v>25</v>
      </c>
      <c r="U522" s="71" t="str">
        <f t="shared" ref="U522:U585" si="202">IF(U517="","",U517)</f>
        <v/>
      </c>
      <c r="V522" s="71">
        <f t="shared" ref="V522:V585" si="203">IF(V517="","",V517)</f>
        <v>0</v>
      </c>
      <c r="W522" s="71" t="s">
        <v>96</v>
      </c>
      <c r="X522" s="71">
        <f t="shared" si="179"/>
        <v>360</v>
      </c>
      <c r="Y522" s="71"/>
      <c r="Z522" s="71"/>
      <c r="AA522" s="71" t="str">
        <f t="shared" si="171"/>
        <v>基因罐</v>
      </c>
      <c r="AB522" s="71">
        <f t="shared" si="175"/>
        <v>30</v>
      </c>
      <c r="AC522" s="71" t="s">
        <v>374</v>
      </c>
      <c r="AD522" s="71">
        <v>150</v>
      </c>
      <c r="AE522" s="72" t="str">
        <f t="shared" si="168"/>
        <v>控制特饮</v>
      </c>
      <c r="AF522" s="71">
        <v>300</v>
      </c>
      <c r="AG522" s="71"/>
      <c r="AH522" s="71"/>
      <c r="AI522" s="71" t="s">
        <v>390</v>
      </c>
      <c r="AJ522" s="71">
        <v>1</v>
      </c>
      <c r="AK522" s="71" t="s">
        <v>96</v>
      </c>
      <c r="AL522" s="71">
        <f t="shared" si="180"/>
        <v>600</v>
      </c>
      <c r="AN522" s="23" t="str">
        <f ca="1" t="shared" ref="AN522:AN585" si="204">IF(OFFSET($B522,0,AN$320*2+1)="","","{"&amp;VLOOKUP(OFFSET($B522,0,AN$320*2+1),$AN$291:$AO$316,2,0)&amp;","&amp;OFFSET($B522,0,AN$320*2+2)&amp;"}")</f>
        <v>{11,5}</v>
      </c>
      <c r="AO522" s="23" t="str">
        <f ca="1" t="shared" si="199"/>
        <v/>
      </c>
      <c r="AP522" s="23" t="str">
        <f ca="1" t="shared" si="181"/>
        <v>{50006,15}</v>
      </c>
      <c r="AQ522" s="23" t="str">
        <f ca="1" t="shared" si="182"/>
        <v>{5153001,200}</v>
      </c>
      <c r="AR522" s="23" t="str">
        <f ca="1" t="shared" si="183"/>
        <v>{2,240}</v>
      </c>
      <c r="AS522" s="23" t="str">
        <f ca="1" t="shared" si="184"/>
        <v>{5133001,250}</v>
      </c>
      <c r="AT522" s="23" t="str">
        <f ca="1" t="shared" si="172"/>
        <v>{5523001,200}</v>
      </c>
      <c r="AU522" s="23" t="str">
        <f ca="1" t="shared" si="197"/>
        <v/>
      </c>
      <c r="AV522" s="23" t="str">
        <f ca="1" t="shared" si="185"/>
        <v>{50008,25}</v>
      </c>
      <c r="AW522" s="23" t="str">
        <f ca="1" t="shared" si="186"/>
        <v/>
      </c>
      <c r="AX522" s="23" t="str">
        <f ca="1" t="shared" si="187"/>
        <v>{2,360}</v>
      </c>
      <c r="AY522" s="23" t="str">
        <f ca="1" t="shared" si="188"/>
        <v>{5204001,5}</v>
      </c>
      <c r="AZ522" s="23" t="str">
        <f ca="1" t="shared" si="176"/>
        <v>{5203001,30}</v>
      </c>
      <c r="BA522" s="23" t="str">
        <f ca="1" t="shared" si="189"/>
        <v>{1,150}</v>
      </c>
      <c r="BB522" s="23" t="s">
        <v>401</v>
      </c>
      <c r="BC522" s="23" t="str">
        <f ca="1" t="shared" si="190"/>
        <v>{5153001,300}</v>
      </c>
      <c r="BD522" s="23" t="str">
        <f ca="1" t="shared" si="169"/>
        <v/>
      </c>
      <c r="BE522" s="23" t="str">
        <f ca="1" t="shared" si="173"/>
        <v>{50039,1}</v>
      </c>
      <c r="BF522" s="23" t="str">
        <f ca="1" t="shared" si="191"/>
        <v>{2,600}</v>
      </c>
      <c r="BI522" s="23" t="str">
        <f ca="1" t="shared" si="192"/>
        <v>[{11,5},{50006,15},{5153001,200},{2,240}]</v>
      </c>
      <c r="BJ522" s="23" t="str">
        <f ca="1" t="shared" si="193"/>
        <v>[{5133001,250},{5523001,200},{50008,25},{2,360},{5204001,5}]</v>
      </c>
      <c r="BK522" s="23" t="str">
        <f ca="1" t="shared" si="194"/>
        <v>[{5203001,30},{1,150},{5523001,300},{5153001,300},{50039,1},{2,600}]</v>
      </c>
      <c r="BL522" s="23">
        <f ca="1" t="shared" si="195"/>
        <v>4</v>
      </c>
      <c r="BM522" s="23">
        <f ca="1" t="shared" si="196"/>
        <v>5</v>
      </c>
      <c r="BN522" s="23">
        <f ca="1" t="shared" si="198"/>
        <v>6</v>
      </c>
      <c r="BP522" s="71" t="s">
        <v>374</v>
      </c>
      <c r="BQ522" s="71">
        <v>150</v>
      </c>
    </row>
    <row r="523" ht="16.5" spans="2:69">
      <c r="B523" s="23">
        <v>203</v>
      </c>
      <c r="C523" s="12"/>
      <c r="D523" s="12"/>
      <c r="E523" s="71"/>
      <c r="F523" s="71"/>
      <c r="G523" s="71" t="str">
        <f t="shared" si="200"/>
        <v>鞋子图纸</v>
      </c>
      <c r="H523" s="71">
        <v>15</v>
      </c>
      <c r="I523" s="71" t="str">
        <f t="shared" ref="I523:I586" si="205">I517</f>
        <v>射手特饮</v>
      </c>
      <c r="J523" s="71">
        <v>200</v>
      </c>
      <c r="K523" s="71" t="s">
        <v>96</v>
      </c>
      <c r="L523" s="71">
        <v>240</v>
      </c>
      <c r="M523" s="71" t="str">
        <f t="shared" si="170"/>
        <v>毒系特饮</v>
      </c>
      <c r="N523" s="71">
        <f t="shared" si="174"/>
        <v>250</v>
      </c>
      <c r="O523" s="71" t="s">
        <v>316</v>
      </c>
      <c r="P523" s="71">
        <v>200</v>
      </c>
      <c r="Q523" s="71"/>
      <c r="R523" s="71"/>
      <c r="S523" s="72" t="str">
        <f t="shared" si="201"/>
        <v>头盔图纸</v>
      </c>
      <c r="T523" s="71">
        <v>25</v>
      </c>
      <c r="U523" s="71" t="str">
        <f t="shared" si="202"/>
        <v/>
      </c>
      <c r="V523" s="71">
        <f t="shared" si="203"/>
        <v>0</v>
      </c>
      <c r="W523" s="71" t="s">
        <v>96</v>
      </c>
      <c r="X523" s="71">
        <f t="shared" si="179"/>
        <v>360</v>
      </c>
      <c r="Y523" s="71"/>
      <c r="Z523" s="71"/>
      <c r="AA523" s="71" t="str">
        <f t="shared" si="171"/>
        <v>基因罐</v>
      </c>
      <c r="AB523" s="71">
        <f t="shared" si="175"/>
        <v>30</v>
      </c>
      <c r="AC523" s="71" t="s">
        <v>374</v>
      </c>
      <c r="AD523" s="71">
        <v>150</v>
      </c>
      <c r="AE523" s="72" t="str">
        <f t="shared" ref="AE523:AE586" si="206">AE517</f>
        <v>射手特饮</v>
      </c>
      <c r="AF523" s="71">
        <v>300</v>
      </c>
      <c r="AG523" s="71"/>
      <c r="AH523" s="71"/>
      <c r="AI523" s="71" t="s">
        <v>390</v>
      </c>
      <c r="AJ523" s="71">
        <v>1</v>
      </c>
      <c r="AK523" s="71" t="s">
        <v>96</v>
      </c>
      <c r="AL523" s="71">
        <f t="shared" si="180"/>
        <v>600</v>
      </c>
      <c r="AN523" s="23" t="str">
        <f ca="1" t="shared" si="204"/>
        <v>{11,5}</v>
      </c>
      <c r="AO523" s="23" t="str">
        <f ca="1" t="shared" si="199"/>
        <v/>
      </c>
      <c r="AP523" s="23" t="str">
        <f ca="1" t="shared" si="181"/>
        <v>{50007,15}</v>
      </c>
      <c r="AQ523" s="23" t="str">
        <f ca="1" t="shared" si="182"/>
        <v>{5133001,200}</v>
      </c>
      <c r="AR523" s="23" t="str">
        <f ca="1" t="shared" si="183"/>
        <v>{2,240}</v>
      </c>
      <c r="AS523" s="23" t="str">
        <f ca="1" t="shared" si="184"/>
        <v>{5163001,250}</v>
      </c>
      <c r="AT523" s="23" t="str">
        <f ca="1" t="shared" si="172"/>
        <v>{5523001,200}</v>
      </c>
      <c r="AU523" s="23" t="str">
        <f ca="1" t="shared" si="197"/>
        <v/>
      </c>
      <c r="AV523" s="23" t="str">
        <f ca="1" t="shared" si="185"/>
        <v>{50003,25}</v>
      </c>
      <c r="AW523" s="23" t="str">
        <f ca="1" t="shared" si="186"/>
        <v/>
      </c>
      <c r="AX523" s="23" t="str">
        <f ca="1" t="shared" si="187"/>
        <v>{2,360}</v>
      </c>
      <c r="AY523" s="23" t="str">
        <f ca="1" t="shared" si="188"/>
        <v>{5204001,5}</v>
      </c>
      <c r="AZ523" s="23" t="str">
        <f ca="1" t="shared" si="176"/>
        <v>{5203001,30}</v>
      </c>
      <c r="BA523" s="23" t="str">
        <f ca="1" t="shared" si="189"/>
        <v>{1,150}</v>
      </c>
      <c r="BB523" s="23" t="s">
        <v>401</v>
      </c>
      <c r="BC523" s="23" t="str">
        <f ca="1" t="shared" si="190"/>
        <v>{5133001,300}</v>
      </c>
      <c r="BD523" s="23" t="str">
        <f ca="1" t="shared" ref="BD523:BD586" si="207">IF(OFFSET($B523,0,BD$320*2+1)="","","{"&amp;VLOOKUP(OFFSET($B523,0,BD$320*2+1),$AN$291:$AO$314,2,0)&amp;","&amp;OFFSET($B523,0,BD$320*2+2)&amp;"}")</f>
        <v/>
      </c>
      <c r="BE523" s="23" t="str">
        <f ca="1" t="shared" si="173"/>
        <v>{50039,1}</v>
      </c>
      <c r="BF523" s="23" t="str">
        <f ca="1" t="shared" si="191"/>
        <v>{2,600}</v>
      </c>
      <c r="BI523" s="23" t="str">
        <f ca="1" t="shared" si="192"/>
        <v>[{11,5},{50007,15},{5133001,200},{2,240}]</v>
      </c>
      <c r="BJ523" s="23" t="str">
        <f ca="1" t="shared" si="193"/>
        <v>[{5163001,250},{5523001,200},{50003,25},{2,360},{5204001,5}]</v>
      </c>
      <c r="BK523" s="23" t="str">
        <f ca="1" t="shared" si="194"/>
        <v>[{5203001,30},{1,150},{5523001,300},{5133001,300},{50039,1},{2,600}]</v>
      </c>
      <c r="BL523" s="23">
        <f ca="1" t="shared" si="195"/>
        <v>4</v>
      </c>
      <c r="BM523" s="23">
        <f ca="1" t="shared" si="196"/>
        <v>5</v>
      </c>
      <c r="BN523" s="23">
        <f ca="1" t="shared" si="198"/>
        <v>6</v>
      </c>
      <c r="BP523" s="71" t="s">
        <v>374</v>
      </c>
      <c r="BQ523" s="71">
        <v>150</v>
      </c>
    </row>
    <row r="524" ht="16.5" spans="2:69">
      <c r="B524" s="23">
        <v>204</v>
      </c>
      <c r="C524" s="12"/>
      <c r="D524" s="12"/>
      <c r="E524" s="71"/>
      <c r="F524" s="71"/>
      <c r="G524" s="71" t="str">
        <f t="shared" si="200"/>
        <v>手套图纸</v>
      </c>
      <c r="H524" s="71">
        <v>15</v>
      </c>
      <c r="I524" s="71" t="str">
        <f t="shared" si="205"/>
        <v>法师特饮</v>
      </c>
      <c r="J524" s="71">
        <v>200</v>
      </c>
      <c r="K524" s="71" t="s">
        <v>96</v>
      </c>
      <c r="L524" s="71">
        <v>240</v>
      </c>
      <c r="M524" s="71" t="str">
        <f t="shared" si="170"/>
        <v>控制特饮</v>
      </c>
      <c r="N524" s="71">
        <f t="shared" si="174"/>
        <v>250</v>
      </c>
      <c r="O524" s="71" t="s">
        <v>316</v>
      </c>
      <c r="P524" s="71">
        <v>200</v>
      </c>
      <c r="Q524" s="71"/>
      <c r="R524" s="71"/>
      <c r="S524" s="72" t="str">
        <f t="shared" si="201"/>
        <v>衣服图纸</v>
      </c>
      <c r="T524" s="71">
        <v>25</v>
      </c>
      <c r="U524" s="71" t="str">
        <f t="shared" si="202"/>
        <v/>
      </c>
      <c r="V524" s="71">
        <f t="shared" si="203"/>
        <v>0</v>
      </c>
      <c r="W524" s="71" t="s">
        <v>96</v>
      </c>
      <c r="X524" s="71">
        <f t="shared" si="179"/>
        <v>360</v>
      </c>
      <c r="Y524" s="71"/>
      <c r="Z524" s="71"/>
      <c r="AA524" s="71" t="str">
        <f t="shared" si="171"/>
        <v>基因罐</v>
      </c>
      <c r="AB524" s="71">
        <f t="shared" si="175"/>
        <v>30</v>
      </c>
      <c r="AC524" s="71" t="s">
        <v>374</v>
      </c>
      <c r="AD524" s="71">
        <v>150</v>
      </c>
      <c r="AE524" s="72" t="str">
        <f t="shared" si="206"/>
        <v>战士特饮</v>
      </c>
      <c r="AF524" s="71">
        <v>300</v>
      </c>
      <c r="AG524" s="71"/>
      <c r="AH524" s="71"/>
      <c r="AI524" s="71" t="s">
        <v>390</v>
      </c>
      <c r="AJ524" s="71">
        <v>1</v>
      </c>
      <c r="AK524" s="71" t="s">
        <v>96</v>
      </c>
      <c r="AL524" s="71">
        <f t="shared" si="180"/>
        <v>600</v>
      </c>
      <c r="AN524" s="23" t="str">
        <f ca="1" t="shared" si="204"/>
        <v>{11,5}</v>
      </c>
      <c r="AO524" s="23" t="str">
        <f ca="1" t="shared" si="199"/>
        <v/>
      </c>
      <c r="AP524" s="23" t="str">
        <f ca="1" t="shared" si="181"/>
        <v>{50008,15}</v>
      </c>
      <c r="AQ524" s="23" t="str">
        <f ca="1" t="shared" si="182"/>
        <v>{5123001,200}</v>
      </c>
      <c r="AR524" s="23" t="str">
        <f ca="1" t="shared" si="183"/>
        <v>{2,240}</v>
      </c>
      <c r="AS524" s="23" t="str">
        <f ca="1" t="shared" si="184"/>
        <v>{5153001,250}</v>
      </c>
      <c r="AT524" s="23" t="str">
        <f ca="1" t="shared" si="172"/>
        <v>{5523001,200}</v>
      </c>
      <c r="AU524" s="23" t="str">
        <f ca="1" t="shared" si="197"/>
        <v/>
      </c>
      <c r="AV524" s="23" t="str">
        <f ca="1" t="shared" si="185"/>
        <v>{50004,25}</v>
      </c>
      <c r="AW524" s="23" t="str">
        <f ca="1" t="shared" si="186"/>
        <v/>
      </c>
      <c r="AX524" s="23" t="str">
        <f ca="1" t="shared" si="187"/>
        <v>{2,360}</v>
      </c>
      <c r="AY524" s="23" t="str">
        <f ca="1" t="shared" si="188"/>
        <v>{5204001,5}</v>
      </c>
      <c r="AZ524" s="23" t="str">
        <f ca="1" t="shared" si="176"/>
        <v>{5203001,30}</v>
      </c>
      <c r="BA524" s="23" t="str">
        <f ca="1" t="shared" si="189"/>
        <v>{1,150}</v>
      </c>
      <c r="BB524" s="23" t="s">
        <v>401</v>
      </c>
      <c r="BC524" s="23" t="str">
        <f ca="1" t="shared" si="190"/>
        <v>{5113001,300}</v>
      </c>
      <c r="BD524" s="23" t="str">
        <f ca="1" t="shared" si="207"/>
        <v/>
      </c>
      <c r="BE524" s="23" t="str">
        <f ca="1" t="shared" si="173"/>
        <v>{50039,1}</v>
      </c>
      <c r="BF524" s="23" t="str">
        <f ca="1" t="shared" si="191"/>
        <v>{2,600}</v>
      </c>
      <c r="BI524" s="23" t="str">
        <f ca="1" t="shared" si="192"/>
        <v>[{11,5},{50008,15},{5123001,200},{2,240}]</v>
      </c>
      <c r="BJ524" s="23" t="str">
        <f ca="1" t="shared" si="193"/>
        <v>[{5153001,250},{5523001,200},{50004,25},{2,360},{5204001,5}]</v>
      </c>
      <c r="BK524" s="23" t="str">
        <f ca="1" t="shared" si="194"/>
        <v>[{5203001,30},{1,150},{5523001,300},{5113001,300},{50039,1},{2,600}]</v>
      </c>
      <c r="BL524" s="23">
        <f ca="1" t="shared" si="195"/>
        <v>4</v>
      </c>
      <c r="BM524" s="23">
        <f ca="1" t="shared" si="196"/>
        <v>5</v>
      </c>
      <c r="BN524" s="23">
        <f ca="1" t="shared" si="198"/>
        <v>6</v>
      </c>
      <c r="BP524" s="71" t="s">
        <v>374</v>
      </c>
      <c r="BQ524" s="71">
        <v>150</v>
      </c>
    </row>
    <row r="525" ht="16.5" spans="2:69">
      <c r="B525" s="23">
        <v>205</v>
      </c>
      <c r="C525" s="12" t="str">
        <f t="shared" si="177"/>
        <v>梦愿水晶</v>
      </c>
      <c r="D525" s="12">
        <f t="shared" si="178"/>
        <v>1</v>
      </c>
      <c r="E525" s="71"/>
      <c r="F525" s="71"/>
      <c r="G525" s="71" t="str">
        <f t="shared" si="200"/>
        <v>头盔图纸</v>
      </c>
      <c r="H525" s="71">
        <v>15</v>
      </c>
      <c r="I525" s="71" t="str">
        <f t="shared" si="205"/>
        <v>辅助特饮</v>
      </c>
      <c r="J525" s="71">
        <v>200</v>
      </c>
      <c r="K525" s="71" t="s">
        <v>96</v>
      </c>
      <c r="L525" s="71">
        <v>240</v>
      </c>
      <c r="M525" s="71" t="str">
        <f t="shared" ref="M525:M588" si="208">M519</f>
        <v>战士特饮</v>
      </c>
      <c r="N525" s="71">
        <f t="shared" si="174"/>
        <v>250</v>
      </c>
      <c r="O525" s="71" t="s">
        <v>316</v>
      </c>
      <c r="P525" s="71">
        <v>200</v>
      </c>
      <c r="Q525" s="71"/>
      <c r="R525" s="71"/>
      <c r="S525" s="72" t="str">
        <f t="shared" si="201"/>
        <v>护臂图纸</v>
      </c>
      <c r="T525" s="71">
        <v>25</v>
      </c>
      <c r="U525" s="71" t="str">
        <f t="shared" si="202"/>
        <v>灵感获取令</v>
      </c>
      <c r="V525" s="71">
        <f t="shared" si="203"/>
        <v>1</v>
      </c>
      <c r="W525" s="71" t="s">
        <v>96</v>
      </c>
      <c r="X525" s="71">
        <f t="shared" si="179"/>
        <v>360</v>
      </c>
      <c r="Y525" s="71"/>
      <c r="Z525" s="71"/>
      <c r="AA525" s="71" t="str">
        <f t="shared" si="171"/>
        <v>传说基因罐</v>
      </c>
      <c r="AB525" s="71">
        <f t="shared" si="175"/>
        <v>3</v>
      </c>
      <c r="AC525" s="71" t="s">
        <v>374</v>
      </c>
      <c r="AD525" s="71">
        <v>150</v>
      </c>
      <c r="AE525" s="72" t="str">
        <f t="shared" si="206"/>
        <v>法师特饮</v>
      </c>
      <c r="AF525" s="71">
        <v>300</v>
      </c>
      <c r="AG525" s="71"/>
      <c r="AH525" s="71"/>
      <c r="AI525" s="71" t="s">
        <v>390</v>
      </c>
      <c r="AJ525" s="71">
        <v>1</v>
      </c>
      <c r="AK525" s="71" t="s">
        <v>96</v>
      </c>
      <c r="AL525" s="71">
        <f t="shared" si="180"/>
        <v>600</v>
      </c>
      <c r="AN525" s="23" t="str">
        <f ca="1" t="shared" si="204"/>
        <v>{35,1}</v>
      </c>
      <c r="AO525" s="23" t="str">
        <f ca="1" t="shared" si="199"/>
        <v/>
      </c>
      <c r="AP525" s="23" t="str">
        <f ca="1" t="shared" si="181"/>
        <v>{50003,15}</v>
      </c>
      <c r="AQ525" s="23" t="str">
        <f ca="1" t="shared" si="182"/>
        <v>{5143001,200}</v>
      </c>
      <c r="AR525" s="23" t="str">
        <f ca="1" t="shared" si="183"/>
        <v>{2,240}</v>
      </c>
      <c r="AS525" s="23" t="str">
        <f ca="1" t="shared" si="184"/>
        <v>{5113001,250}</v>
      </c>
      <c r="AT525" s="23" t="str">
        <f ca="1" t="shared" si="172"/>
        <v>{5523001,200}</v>
      </c>
      <c r="AU525" s="23" t="str">
        <f ca="1" t="shared" si="197"/>
        <v/>
      </c>
      <c r="AV525" s="23" t="str">
        <f ca="1" t="shared" si="185"/>
        <v>{50005,25}</v>
      </c>
      <c r="AW525" s="23" t="str">
        <f ca="1" t="shared" si="186"/>
        <v>{9,1}</v>
      </c>
      <c r="AX525" s="23" t="str">
        <f ca="1" t="shared" si="187"/>
        <v>{2,360}</v>
      </c>
      <c r="AY525" s="23" t="str">
        <f ca="1" t="shared" si="188"/>
        <v>{5204001,5}</v>
      </c>
      <c r="AZ525" s="23" t="str">
        <f ca="1" t="shared" si="176"/>
        <v>{5205001,3}</v>
      </c>
      <c r="BA525" s="23" t="str">
        <f ca="1" t="shared" si="189"/>
        <v>{1,150}</v>
      </c>
      <c r="BB525" s="23" t="s">
        <v>401</v>
      </c>
      <c r="BC525" s="23" t="str">
        <f ca="1" t="shared" si="190"/>
        <v>{5123001,300}</v>
      </c>
      <c r="BD525" s="23" t="str">
        <f ca="1" t="shared" si="207"/>
        <v/>
      </c>
      <c r="BE525" s="23" t="str">
        <f ca="1" t="shared" si="173"/>
        <v>{50039,1}</v>
      </c>
      <c r="BF525" s="23" t="str">
        <f ca="1" t="shared" si="191"/>
        <v>{2,600}</v>
      </c>
      <c r="BI525" s="23" t="str">
        <f ca="1" t="shared" si="192"/>
        <v>[{35,1},{50003,15},{5143001,200},{2,240}]</v>
      </c>
      <c r="BJ525" s="23" t="str">
        <f ca="1" t="shared" si="193"/>
        <v>[{5113001,250},{5523001,200},{50005,25},{9,1},{2,360},{5204001,5}]</v>
      </c>
      <c r="BK525" s="23" t="str">
        <f ca="1" t="shared" si="194"/>
        <v>[{5205001,3},{1,150},{5523001,300},{5123001,300},{50039,1},{2,600}]</v>
      </c>
      <c r="BL525" s="23">
        <f ca="1" t="shared" si="195"/>
        <v>4</v>
      </c>
      <c r="BM525" s="23">
        <f ca="1" t="shared" si="196"/>
        <v>6</v>
      </c>
      <c r="BN525" s="23">
        <f ca="1" t="shared" si="198"/>
        <v>6</v>
      </c>
      <c r="BP525" s="71" t="s">
        <v>374</v>
      </c>
      <c r="BQ525" s="71">
        <v>150</v>
      </c>
    </row>
    <row r="526" ht="16.5" spans="2:69">
      <c r="B526" s="23">
        <v>206</v>
      </c>
      <c r="C526" s="12"/>
      <c r="D526" s="12"/>
      <c r="E526" s="71"/>
      <c r="F526" s="71"/>
      <c r="G526" s="71" t="str">
        <f t="shared" si="200"/>
        <v>衣服图纸</v>
      </c>
      <c r="H526" s="71">
        <v>15</v>
      </c>
      <c r="I526" s="71" t="str">
        <f t="shared" si="205"/>
        <v>战士特饮</v>
      </c>
      <c r="J526" s="71">
        <v>200</v>
      </c>
      <c r="K526" s="71" t="s">
        <v>96</v>
      </c>
      <c r="L526" s="71">
        <v>240</v>
      </c>
      <c r="M526" s="71" t="str">
        <f t="shared" si="208"/>
        <v>法师特饮</v>
      </c>
      <c r="N526" s="71">
        <f t="shared" si="174"/>
        <v>250</v>
      </c>
      <c r="O526" s="71" t="s">
        <v>316</v>
      </c>
      <c r="P526" s="71">
        <v>200</v>
      </c>
      <c r="Q526" s="71"/>
      <c r="R526" s="71"/>
      <c r="S526" s="72" t="str">
        <f t="shared" si="201"/>
        <v>裤子图纸</v>
      </c>
      <c r="T526" s="71">
        <v>25</v>
      </c>
      <c r="U526" s="71" t="str">
        <f t="shared" si="202"/>
        <v/>
      </c>
      <c r="V526" s="71">
        <f t="shared" si="203"/>
        <v>0</v>
      </c>
      <c r="W526" s="71" t="s">
        <v>96</v>
      </c>
      <c r="X526" s="71">
        <f t="shared" si="179"/>
        <v>360</v>
      </c>
      <c r="Y526" s="71"/>
      <c r="Z526" s="71"/>
      <c r="AA526" s="71" t="str">
        <f t="shared" si="171"/>
        <v>基因罐</v>
      </c>
      <c r="AB526" s="71">
        <f t="shared" si="175"/>
        <v>30</v>
      </c>
      <c r="AC526" s="71" t="s">
        <v>374</v>
      </c>
      <c r="AD526" s="71">
        <v>150</v>
      </c>
      <c r="AE526" s="72" t="str">
        <f t="shared" si="206"/>
        <v>辅助特饮</v>
      </c>
      <c r="AF526" s="71">
        <v>300</v>
      </c>
      <c r="AG526" s="71"/>
      <c r="AH526" s="71"/>
      <c r="AI526" s="71" t="s">
        <v>390</v>
      </c>
      <c r="AJ526" s="71">
        <v>1</v>
      </c>
      <c r="AK526" s="71" t="s">
        <v>96</v>
      </c>
      <c r="AL526" s="71">
        <f t="shared" si="180"/>
        <v>600</v>
      </c>
      <c r="AN526" s="23" t="str">
        <f ca="1" t="shared" si="204"/>
        <v>{11,5}</v>
      </c>
      <c r="AO526" s="23" t="str">
        <f ca="1" t="shared" si="199"/>
        <v/>
      </c>
      <c r="AP526" s="23" t="str">
        <f ca="1" t="shared" si="181"/>
        <v>{50004,15}</v>
      </c>
      <c r="AQ526" s="23" t="str">
        <f ca="1" t="shared" si="182"/>
        <v>{5113001,200}</v>
      </c>
      <c r="AR526" s="23" t="str">
        <f ca="1" t="shared" si="183"/>
        <v>{2,240}</v>
      </c>
      <c r="AS526" s="23" t="str">
        <f ca="1" t="shared" si="184"/>
        <v>{5123001,250}</v>
      </c>
      <c r="AT526" s="23" t="str">
        <f ca="1" t="shared" si="172"/>
        <v>{5523001,200}</v>
      </c>
      <c r="AU526" s="23" t="str">
        <f ca="1" t="shared" si="197"/>
        <v/>
      </c>
      <c r="AV526" s="23" t="str">
        <f ca="1" t="shared" si="185"/>
        <v>{50006,25}</v>
      </c>
      <c r="AW526" s="23" t="str">
        <f ca="1" t="shared" si="186"/>
        <v/>
      </c>
      <c r="AX526" s="23" t="str">
        <f ca="1" t="shared" si="187"/>
        <v>{2,360}</v>
      </c>
      <c r="AY526" s="23" t="str">
        <f ca="1" t="shared" si="188"/>
        <v>{5204001,5}</v>
      </c>
      <c r="AZ526" s="23" t="str">
        <f ca="1" t="shared" si="176"/>
        <v>{5203001,30}</v>
      </c>
      <c r="BA526" s="23" t="str">
        <f ca="1" t="shared" si="189"/>
        <v>{1,150}</v>
      </c>
      <c r="BB526" s="23" t="s">
        <v>401</v>
      </c>
      <c r="BC526" s="23" t="str">
        <f ca="1" t="shared" si="190"/>
        <v>{5143001,300}</v>
      </c>
      <c r="BD526" s="23" t="str">
        <f ca="1" t="shared" si="207"/>
        <v/>
      </c>
      <c r="BE526" s="23" t="str">
        <f ca="1" t="shared" si="173"/>
        <v>{50039,1}</v>
      </c>
      <c r="BF526" s="23" t="str">
        <f ca="1" t="shared" si="191"/>
        <v>{2,600}</v>
      </c>
      <c r="BI526" s="23" t="str">
        <f ca="1" t="shared" si="192"/>
        <v>[{11,5},{50004,15},{5113001,200},{2,240}]</v>
      </c>
      <c r="BJ526" s="23" t="str">
        <f ca="1" t="shared" si="193"/>
        <v>[{5123001,250},{5523001,200},{50006,25},{2,360},{5204001,5}]</v>
      </c>
      <c r="BK526" s="23" t="str">
        <f ca="1" t="shared" si="194"/>
        <v>[{5203001,30},{1,150},{5523001,300},{5143001,300},{50039,1},{2,600}]</v>
      </c>
      <c r="BL526" s="23">
        <f ca="1" t="shared" si="195"/>
        <v>4</v>
      </c>
      <c r="BM526" s="23">
        <f ca="1" t="shared" si="196"/>
        <v>5</v>
      </c>
      <c r="BN526" s="23">
        <f ca="1" t="shared" si="198"/>
        <v>6</v>
      </c>
      <c r="BP526" s="71" t="s">
        <v>374</v>
      </c>
      <c r="BQ526" s="71">
        <v>150</v>
      </c>
    </row>
    <row r="527" ht="16.5" spans="2:69">
      <c r="B527" s="23">
        <v>207</v>
      </c>
      <c r="C527" s="12"/>
      <c r="D527" s="12"/>
      <c r="E527" s="71"/>
      <c r="F527" s="71"/>
      <c r="G527" s="71" t="str">
        <f t="shared" si="200"/>
        <v>护臂图纸</v>
      </c>
      <c r="H527" s="71">
        <v>15</v>
      </c>
      <c r="I527" s="71" t="str">
        <f t="shared" si="205"/>
        <v>毒系特饮</v>
      </c>
      <c r="J527" s="71">
        <v>200</v>
      </c>
      <c r="K527" s="71" t="s">
        <v>96</v>
      </c>
      <c r="L527" s="71">
        <v>240</v>
      </c>
      <c r="M527" s="71" t="str">
        <f t="shared" si="208"/>
        <v>辅助特饮</v>
      </c>
      <c r="N527" s="71">
        <f t="shared" si="174"/>
        <v>250</v>
      </c>
      <c r="O527" s="71" t="s">
        <v>316</v>
      </c>
      <c r="P527" s="71">
        <v>200</v>
      </c>
      <c r="Q527" s="71"/>
      <c r="R527" s="71"/>
      <c r="S527" s="72" t="str">
        <f t="shared" si="201"/>
        <v>鞋子图纸</v>
      </c>
      <c r="T527" s="71">
        <v>25</v>
      </c>
      <c r="U527" s="71" t="str">
        <f t="shared" si="202"/>
        <v/>
      </c>
      <c r="V527" s="71">
        <f t="shared" si="203"/>
        <v>0</v>
      </c>
      <c r="W527" s="71" t="s">
        <v>96</v>
      </c>
      <c r="X527" s="71">
        <f t="shared" si="179"/>
        <v>360</v>
      </c>
      <c r="Y527" s="71"/>
      <c r="Z527" s="71"/>
      <c r="AA527" s="71" t="str">
        <f t="shared" ref="AA527:AA590" si="209">IF(AA522="","",AA522)</f>
        <v>基因罐</v>
      </c>
      <c r="AB527" s="71">
        <f t="shared" si="175"/>
        <v>30</v>
      </c>
      <c r="AC527" s="71" t="s">
        <v>374</v>
      </c>
      <c r="AD527" s="71">
        <v>150</v>
      </c>
      <c r="AE527" s="72" t="str">
        <f t="shared" si="206"/>
        <v>毒系特饮</v>
      </c>
      <c r="AF527" s="71">
        <v>300</v>
      </c>
      <c r="AG527" s="71"/>
      <c r="AH527" s="71"/>
      <c r="AI527" s="71" t="s">
        <v>390</v>
      </c>
      <c r="AJ527" s="71">
        <v>1</v>
      </c>
      <c r="AK527" s="71" t="s">
        <v>96</v>
      </c>
      <c r="AL527" s="71">
        <f t="shared" si="180"/>
        <v>600</v>
      </c>
      <c r="AN527" s="23" t="str">
        <f ca="1" t="shared" si="204"/>
        <v>{11,5}</v>
      </c>
      <c r="AO527" s="23" t="str">
        <f ca="1" t="shared" si="199"/>
        <v/>
      </c>
      <c r="AP527" s="23" t="str">
        <f ca="1" t="shared" si="181"/>
        <v>{50005,15}</v>
      </c>
      <c r="AQ527" s="23" t="str">
        <f ca="1" t="shared" si="182"/>
        <v>{5163001,200}</v>
      </c>
      <c r="AR527" s="23" t="str">
        <f ca="1" t="shared" si="183"/>
        <v>{2,240}</v>
      </c>
      <c r="AS527" s="23" t="str">
        <f ca="1" t="shared" si="184"/>
        <v>{5143001,250}</v>
      </c>
      <c r="AT527" s="23" t="str">
        <f ca="1" t="shared" ref="AT527:AT590" si="210">IF(OFFSET($B527,0,AT$320*2+1)="","","{"&amp;VLOOKUP(OFFSET($B527,0,AT$320*2+1),$AN$291:$AO$317,2,0)&amp;","&amp;OFFSET($B527,0,AT$320*2+2)&amp;"}")</f>
        <v>{5523001,200}</v>
      </c>
      <c r="AU527" s="23" t="str">
        <f ca="1" t="shared" si="197"/>
        <v/>
      </c>
      <c r="AV527" s="23" t="str">
        <f ca="1" t="shared" si="185"/>
        <v>{50007,25}</v>
      </c>
      <c r="AW527" s="23" t="str">
        <f ca="1" t="shared" si="186"/>
        <v/>
      </c>
      <c r="AX527" s="23" t="str">
        <f ca="1" t="shared" si="187"/>
        <v>{2,360}</v>
      </c>
      <c r="AY527" s="23" t="str">
        <f ca="1" t="shared" si="188"/>
        <v>{5204001,5}</v>
      </c>
      <c r="AZ527" s="23" t="str">
        <f ca="1" t="shared" si="176"/>
        <v>{5203001,30}</v>
      </c>
      <c r="BA527" s="23" t="str">
        <f ca="1" t="shared" si="189"/>
        <v>{1,150}</v>
      </c>
      <c r="BB527" s="23" t="s">
        <v>401</v>
      </c>
      <c r="BC527" s="23" t="str">
        <f ca="1" t="shared" si="190"/>
        <v>{5163001,300}</v>
      </c>
      <c r="BD527" s="23" t="str">
        <f ca="1" t="shared" si="207"/>
        <v/>
      </c>
      <c r="BE527" s="23" t="str">
        <f ca="1" t="shared" si="173"/>
        <v>{50039,1}</v>
      </c>
      <c r="BF527" s="23" t="str">
        <f ca="1" t="shared" si="191"/>
        <v>{2,600}</v>
      </c>
      <c r="BI527" s="23" t="str">
        <f ca="1" t="shared" si="192"/>
        <v>[{11,5},{50005,15},{5163001,200},{2,240}]</v>
      </c>
      <c r="BJ527" s="23" t="str">
        <f ca="1" t="shared" si="193"/>
        <v>[{5143001,250},{5523001,200},{50007,25},{2,360},{5204001,5}]</v>
      </c>
      <c r="BK527" s="23" t="str">
        <f ca="1" t="shared" si="194"/>
        <v>[{5203001,30},{1,150},{5523001,300},{5163001,300},{50039,1},{2,600}]</v>
      </c>
      <c r="BL527" s="23">
        <f ca="1" t="shared" si="195"/>
        <v>4</v>
      </c>
      <c r="BM527" s="23">
        <f ca="1" t="shared" si="196"/>
        <v>5</v>
      </c>
      <c r="BN527" s="23">
        <f ca="1" t="shared" si="198"/>
        <v>6</v>
      </c>
      <c r="BP527" s="71" t="s">
        <v>374</v>
      </c>
      <c r="BQ527" s="71">
        <v>150</v>
      </c>
    </row>
    <row r="528" ht="16.5" spans="2:69">
      <c r="B528" s="23">
        <v>208</v>
      </c>
      <c r="C528" s="12"/>
      <c r="D528" s="12"/>
      <c r="E528" s="71"/>
      <c r="F528" s="71"/>
      <c r="G528" s="71" t="str">
        <f t="shared" si="200"/>
        <v>裤子图纸</v>
      </c>
      <c r="H528" s="71">
        <v>15</v>
      </c>
      <c r="I528" s="71" t="str">
        <f t="shared" si="205"/>
        <v>控制特饮</v>
      </c>
      <c r="J528" s="71">
        <v>200</v>
      </c>
      <c r="K528" s="71" t="s">
        <v>96</v>
      </c>
      <c r="L528" s="71">
        <v>240</v>
      </c>
      <c r="M528" s="71" t="str">
        <f t="shared" si="208"/>
        <v>射手特饮</v>
      </c>
      <c r="N528" s="71">
        <f t="shared" si="174"/>
        <v>250</v>
      </c>
      <c r="O528" s="71" t="s">
        <v>316</v>
      </c>
      <c r="P528" s="71">
        <v>200</v>
      </c>
      <c r="Q528" s="71"/>
      <c r="R528" s="71"/>
      <c r="S528" s="72" t="str">
        <f t="shared" si="201"/>
        <v>手套图纸</v>
      </c>
      <c r="T528" s="71">
        <v>25</v>
      </c>
      <c r="U528" s="71" t="str">
        <f t="shared" si="202"/>
        <v/>
      </c>
      <c r="V528" s="71">
        <f t="shared" si="203"/>
        <v>0</v>
      </c>
      <c r="W528" s="71" t="s">
        <v>96</v>
      </c>
      <c r="X528" s="71">
        <f t="shared" si="179"/>
        <v>360</v>
      </c>
      <c r="Y528" s="71"/>
      <c r="Z528" s="71"/>
      <c r="AA528" s="71" t="str">
        <f t="shared" si="209"/>
        <v>基因罐</v>
      </c>
      <c r="AB528" s="71">
        <f t="shared" si="175"/>
        <v>30</v>
      </c>
      <c r="AC528" s="71" t="s">
        <v>374</v>
      </c>
      <c r="AD528" s="71">
        <v>150</v>
      </c>
      <c r="AE528" s="72" t="str">
        <f t="shared" si="206"/>
        <v>控制特饮</v>
      </c>
      <c r="AF528" s="71">
        <v>300</v>
      </c>
      <c r="AG528" s="71"/>
      <c r="AH528" s="71"/>
      <c r="AI528" s="71" t="s">
        <v>390</v>
      </c>
      <c r="AJ528" s="71">
        <v>1</v>
      </c>
      <c r="AK528" s="71" t="s">
        <v>96</v>
      </c>
      <c r="AL528" s="71">
        <f t="shared" si="180"/>
        <v>600</v>
      </c>
      <c r="AN528" s="23" t="str">
        <f ca="1" t="shared" si="204"/>
        <v>{11,5}</v>
      </c>
      <c r="AO528" s="23" t="str">
        <f ca="1" t="shared" si="199"/>
        <v/>
      </c>
      <c r="AP528" s="23" t="str">
        <f ca="1" t="shared" si="181"/>
        <v>{50006,15}</v>
      </c>
      <c r="AQ528" s="23" t="str">
        <f ca="1" t="shared" si="182"/>
        <v>{5153001,200}</v>
      </c>
      <c r="AR528" s="23" t="str">
        <f ca="1" t="shared" si="183"/>
        <v>{2,240}</v>
      </c>
      <c r="AS528" s="23" t="str">
        <f ca="1" t="shared" si="184"/>
        <v>{5133001,250}</v>
      </c>
      <c r="AT528" s="23" t="str">
        <f ca="1" t="shared" si="210"/>
        <v>{5523001,200}</v>
      </c>
      <c r="AU528" s="23" t="str">
        <f ca="1" t="shared" si="197"/>
        <v/>
      </c>
      <c r="AV528" s="23" t="str">
        <f ca="1" t="shared" si="185"/>
        <v>{50008,25}</v>
      </c>
      <c r="AW528" s="23" t="str">
        <f ca="1" t="shared" si="186"/>
        <v/>
      </c>
      <c r="AX528" s="23" t="str">
        <f ca="1" t="shared" si="187"/>
        <v>{2,360}</v>
      </c>
      <c r="AY528" s="23" t="str">
        <f ca="1" t="shared" si="188"/>
        <v>{5204001,5}</v>
      </c>
      <c r="AZ528" s="23" t="str">
        <f ca="1" t="shared" si="176"/>
        <v>{5203001,30}</v>
      </c>
      <c r="BA528" s="23" t="str">
        <f ca="1" t="shared" si="189"/>
        <v>{1,150}</v>
      </c>
      <c r="BB528" s="23" t="s">
        <v>401</v>
      </c>
      <c r="BC528" s="23" t="str">
        <f ca="1" t="shared" si="190"/>
        <v>{5153001,300}</v>
      </c>
      <c r="BD528" s="23" t="str">
        <f ca="1" t="shared" si="207"/>
        <v/>
      </c>
      <c r="BE528" s="23" t="str">
        <f ca="1" t="shared" ref="BE528:BE591" si="211">IF(OFFSET($B528,0,BE$320*2+1)="","","{"&amp;VLOOKUP(OFFSET($B528,0,BE$320*2+1),$AN$291:$AO$316,2,0)&amp;","&amp;OFFSET($B528,0,BE$320*2+2)&amp;"}")</f>
        <v>{50039,1}</v>
      </c>
      <c r="BF528" s="23" t="str">
        <f ca="1" t="shared" si="191"/>
        <v>{2,600}</v>
      </c>
      <c r="BI528" s="23" t="str">
        <f ca="1" t="shared" si="192"/>
        <v>[{11,5},{50006,15},{5153001,200},{2,240}]</v>
      </c>
      <c r="BJ528" s="23" t="str">
        <f ca="1" t="shared" si="193"/>
        <v>[{5133001,250},{5523001,200},{50008,25},{2,360},{5204001,5}]</v>
      </c>
      <c r="BK528" s="23" t="str">
        <f ca="1" t="shared" si="194"/>
        <v>[{5203001,30},{1,150},{5523001,300},{5153001,300},{50039,1},{2,600}]</v>
      </c>
      <c r="BL528" s="23">
        <f ca="1" t="shared" si="195"/>
        <v>4</v>
      </c>
      <c r="BM528" s="23">
        <f ca="1" t="shared" si="196"/>
        <v>5</v>
      </c>
      <c r="BN528" s="23">
        <f ca="1" t="shared" si="198"/>
        <v>6</v>
      </c>
      <c r="BP528" s="71" t="s">
        <v>374</v>
      </c>
      <c r="BQ528" s="71">
        <v>150</v>
      </c>
    </row>
    <row r="529" ht="16.5" spans="2:69">
      <c r="B529" s="23">
        <v>209</v>
      </c>
      <c r="C529" s="12"/>
      <c r="D529" s="12"/>
      <c r="E529" s="71"/>
      <c r="F529" s="71"/>
      <c r="G529" s="71" t="str">
        <f t="shared" si="200"/>
        <v>鞋子图纸</v>
      </c>
      <c r="H529" s="71">
        <v>15</v>
      </c>
      <c r="I529" s="71" t="str">
        <f t="shared" si="205"/>
        <v>射手特饮</v>
      </c>
      <c r="J529" s="71">
        <v>200</v>
      </c>
      <c r="K529" s="71" t="s">
        <v>96</v>
      </c>
      <c r="L529" s="71">
        <v>240</v>
      </c>
      <c r="M529" s="71" t="str">
        <f t="shared" si="208"/>
        <v>毒系特饮</v>
      </c>
      <c r="N529" s="71">
        <f t="shared" si="174"/>
        <v>250</v>
      </c>
      <c r="O529" s="71" t="s">
        <v>316</v>
      </c>
      <c r="P529" s="71">
        <v>200</v>
      </c>
      <c r="Q529" s="71"/>
      <c r="R529" s="71"/>
      <c r="S529" s="72" t="str">
        <f t="shared" si="201"/>
        <v>头盔图纸</v>
      </c>
      <c r="T529" s="71">
        <v>25</v>
      </c>
      <c r="U529" s="71" t="str">
        <f t="shared" si="202"/>
        <v/>
      </c>
      <c r="V529" s="71">
        <f t="shared" si="203"/>
        <v>0</v>
      </c>
      <c r="W529" s="71" t="s">
        <v>96</v>
      </c>
      <c r="X529" s="71">
        <f t="shared" si="179"/>
        <v>360</v>
      </c>
      <c r="Y529" s="71"/>
      <c r="Z529" s="71"/>
      <c r="AA529" s="71" t="str">
        <f t="shared" si="209"/>
        <v>基因罐</v>
      </c>
      <c r="AB529" s="71">
        <f t="shared" si="175"/>
        <v>30</v>
      </c>
      <c r="AC529" s="71" t="s">
        <v>374</v>
      </c>
      <c r="AD529" s="71">
        <v>150</v>
      </c>
      <c r="AE529" s="72" t="str">
        <f t="shared" si="206"/>
        <v>射手特饮</v>
      </c>
      <c r="AF529" s="71">
        <v>300</v>
      </c>
      <c r="AG529" s="71"/>
      <c r="AH529" s="71"/>
      <c r="AI529" s="71" t="s">
        <v>390</v>
      </c>
      <c r="AJ529" s="71">
        <v>1</v>
      </c>
      <c r="AK529" s="71" t="s">
        <v>96</v>
      </c>
      <c r="AL529" s="71">
        <f t="shared" si="180"/>
        <v>600</v>
      </c>
      <c r="AN529" s="23" t="str">
        <f ca="1" t="shared" si="204"/>
        <v>{11,5}</v>
      </c>
      <c r="AO529" s="23" t="str">
        <f ca="1" t="shared" si="199"/>
        <v/>
      </c>
      <c r="AP529" s="23" t="str">
        <f ca="1" t="shared" si="181"/>
        <v>{50007,15}</v>
      </c>
      <c r="AQ529" s="23" t="str">
        <f ca="1" t="shared" si="182"/>
        <v>{5133001,200}</v>
      </c>
      <c r="AR529" s="23" t="str">
        <f ca="1" t="shared" si="183"/>
        <v>{2,240}</v>
      </c>
      <c r="AS529" s="23" t="str">
        <f ca="1" t="shared" si="184"/>
        <v>{5163001,250}</v>
      </c>
      <c r="AT529" s="23" t="str">
        <f ca="1" t="shared" si="210"/>
        <v>{5523001,200}</v>
      </c>
      <c r="AU529" s="23" t="str">
        <f ca="1" t="shared" si="197"/>
        <v/>
      </c>
      <c r="AV529" s="23" t="str">
        <f ca="1" t="shared" si="185"/>
        <v>{50003,25}</v>
      </c>
      <c r="AW529" s="23" t="str">
        <f ca="1" t="shared" si="186"/>
        <v/>
      </c>
      <c r="AX529" s="23" t="str">
        <f ca="1" t="shared" si="187"/>
        <v>{2,360}</v>
      </c>
      <c r="AY529" s="23" t="str">
        <f ca="1" t="shared" si="188"/>
        <v>{5204001,5}</v>
      </c>
      <c r="AZ529" s="23" t="str">
        <f ca="1" t="shared" si="176"/>
        <v>{5203001,30}</v>
      </c>
      <c r="BA529" s="23" t="str">
        <f ca="1" t="shared" si="189"/>
        <v>{1,150}</v>
      </c>
      <c r="BB529" s="23" t="s">
        <v>401</v>
      </c>
      <c r="BC529" s="23" t="str">
        <f ca="1" t="shared" si="190"/>
        <v>{5133001,300}</v>
      </c>
      <c r="BD529" s="23" t="str">
        <f ca="1" t="shared" si="207"/>
        <v/>
      </c>
      <c r="BE529" s="23" t="str">
        <f ca="1" t="shared" si="211"/>
        <v>{50039,1}</v>
      </c>
      <c r="BF529" s="23" t="str">
        <f ca="1" t="shared" si="191"/>
        <v>{2,600}</v>
      </c>
      <c r="BI529" s="23" t="str">
        <f ca="1" t="shared" si="192"/>
        <v>[{11,5},{50007,15},{5133001,200},{2,240}]</v>
      </c>
      <c r="BJ529" s="23" t="str">
        <f ca="1" t="shared" si="193"/>
        <v>[{5163001,250},{5523001,200},{50003,25},{2,360},{5204001,5}]</v>
      </c>
      <c r="BK529" s="23" t="str">
        <f ca="1" t="shared" si="194"/>
        <v>[{5203001,30},{1,150},{5523001,300},{5133001,300},{50039,1},{2,600}]</v>
      </c>
      <c r="BL529" s="23">
        <f ca="1" t="shared" si="195"/>
        <v>4</v>
      </c>
      <c r="BM529" s="23">
        <f ca="1" t="shared" si="196"/>
        <v>5</v>
      </c>
      <c r="BN529" s="23">
        <f ca="1" t="shared" si="198"/>
        <v>6</v>
      </c>
      <c r="BP529" s="71" t="s">
        <v>374</v>
      </c>
      <c r="BQ529" s="71">
        <v>150</v>
      </c>
    </row>
    <row r="530" ht="16.5" spans="2:69">
      <c r="B530" s="23">
        <v>210</v>
      </c>
      <c r="C530" s="12" t="str">
        <f t="shared" si="177"/>
        <v>梦愿水晶</v>
      </c>
      <c r="D530" s="12">
        <f t="shared" si="178"/>
        <v>1</v>
      </c>
      <c r="E530" s="71"/>
      <c r="F530" s="71"/>
      <c r="G530" s="71" t="str">
        <f t="shared" si="200"/>
        <v>手套图纸</v>
      </c>
      <c r="H530" s="71">
        <v>15</v>
      </c>
      <c r="I530" s="71" t="str">
        <f t="shared" si="205"/>
        <v>法师特饮</v>
      </c>
      <c r="J530" s="71">
        <v>200</v>
      </c>
      <c r="K530" s="71" t="s">
        <v>96</v>
      </c>
      <c r="L530" s="71">
        <v>240</v>
      </c>
      <c r="M530" s="71" t="str">
        <f t="shared" si="208"/>
        <v>控制特饮</v>
      </c>
      <c r="N530" s="71">
        <f t="shared" si="174"/>
        <v>250</v>
      </c>
      <c r="O530" s="71" t="s">
        <v>316</v>
      </c>
      <c r="P530" s="71">
        <v>200</v>
      </c>
      <c r="Q530" s="71"/>
      <c r="R530" s="71"/>
      <c r="S530" s="72" t="str">
        <f t="shared" si="201"/>
        <v>衣服图纸</v>
      </c>
      <c r="T530" s="71">
        <v>25</v>
      </c>
      <c r="U530" s="71" t="str">
        <f t="shared" si="202"/>
        <v>灵感获取令</v>
      </c>
      <c r="V530" s="71">
        <f t="shared" si="203"/>
        <v>1</v>
      </c>
      <c r="W530" s="71" t="s">
        <v>96</v>
      </c>
      <c r="X530" s="71">
        <f t="shared" si="179"/>
        <v>360</v>
      </c>
      <c r="Y530" s="71"/>
      <c r="Z530" s="71"/>
      <c r="AA530" s="71" t="str">
        <f t="shared" si="209"/>
        <v>传说基因罐</v>
      </c>
      <c r="AB530" s="71">
        <f t="shared" si="175"/>
        <v>3</v>
      </c>
      <c r="AC530" s="71" t="s">
        <v>374</v>
      </c>
      <c r="AD530" s="71">
        <v>150</v>
      </c>
      <c r="AE530" s="72" t="str">
        <f t="shared" si="206"/>
        <v>战士特饮</v>
      </c>
      <c r="AF530" s="71">
        <v>300</v>
      </c>
      <c r="AG530" s="71"/>
      <c r="AH530" s="71"/>
      <c r="AI530" s="71" t="s">
        <v>390</v>
      </c>
      <c r="AJ530" s="71">
        <v>1</v>
      </c>
      <c r="AK530" s="71" t="s">
        <v>96</v>
      </c>
      <c r="AL530" s="71">
        <f t="shared" si="180"/>
        <v>600</v>
      </c>
      <c r="AN530" s="23" t="str">
        <f ca="1" t="shared" si="204"/>
        <v>{35,1}</v>
      </c>
      <c r="AO530" s="23" t="str">
        <f ca="1" t="shared" si="199"/>
        <v/>
      </c>
      <c r="AP530" s="23" t="str">
        <f ca="1" t="shared" si="181"/>
        <v>{50008,15}</v>
      </c>
      <c r="AQ530" s="23" t="str">
        <f ca="1" t="shared" si="182"/>
        <v>{5123001,200}</v>
      </c>
      <c r="AR530" s="23" t="str">
        <f ca="1" t="shared" si="183"/>
        <v>{2,240}</v>
      </c>
      <c r="AS530" s="23" t="str">
        <f ca="1" t="shared" si="184"/>
        <v>{5153001,250}</v>
      </c>
      <c r="AT530" s="23" t="str">
        <f ca="1" t="shared" si="210"/>
        <v>{5523001,200}</v>
      </c>
      <c r="AU530" s="23" t="str">
        <f ca="1" t="shared" si="197"/>
        <v/>
      </c>
      <c r="AV530" s="23" t="str">
        <f ca="1" t="shared" si="185"/>
        <v>{50004,25}</v>
      </c>
      <c r="AW530" s="23" t="str">
        <f ca="1" t="shared" si="186"/>
        <v>{9,1}</v>
      </c>
      <c r="AX530" s="23" t="str">
        <f ca="1" t="shared" si="187"/>
        <v>{2,360}</v>
      </c>
      <c r="AY530" s="23" t="str">
        <f ca="1" t="shared" si="188"/>
        <v>{5204001,5}</v>
      </c>
      <c r="AZ530" s="23" t="str">
        <f ca="1" t="shared" si="176"/>
        <v>{5205001,3}</v>
      </c>
      <c r="BA530" s="23" t="str">
        <f ca="1" t="shared" si="189"/>
        <v>{1,150}</v>
      </c>
      <c r="BB530" s="23" t="s">
        <v>401</v>
      </c>
      <c r="BC530" s="23" t="str">
        <f ca="1" t="shared" si="190"/>
        <v>{5113001,300}</v>
      </c>
      <c r="BD530" s="23" t="str">
        <f ca="1" t="shared" si="207"/>
        <v/>
      </c>
      <c r="BE530" s="23" t="str">
        <f ca="1" t="shared" si="211"/>
        <v>{50039,1}</v>
      </c>
      <c r="BF530" s="23" t="str">
        <f ca="1" t="shared" si="191"/>
        <v>{2,600}</v>
      </c>
      <c r="BI530" s="23" t="str">
        <f ca="1" t="shared" si="192"/>
        <v>[{35,1},{50008,15},{5123001,200},{2,240}]</v>
      </c>
      <c r="BJ530" s="23" t="str">
        <f ca="1" t="shared" si="193"/>
        <v>[{5153001,250},{5523001,200},{50004,25},{9,1},{2,360},{5204001,5}]</v>
      </c>
      <c r="BK530" s="23" t="str">
        <f ca="1" t="shared" si="194"/>
        <v>[{5205001,3},{1,150},{5523001,300},{5113001,300},{50039,1},{2,600}]</v>
      </c>
      <c r="BL530" s="23">
        <f ca="1" t="shared" si="195"/>
        <v>4</v>
      </c>
      <c r="BM530" s="23">
        <f ca="1" t="shared" si="196"/>
        <v>6</v>
      </c>
      <c r="BN530" s="23">
        <f ca="1" t="shared" si="198"/>
        <v>6</v>
      </c>
      <c r="BP530" s="71" t="s">
        <v>374</v>
      </c>
      <c r="BQ530" s="71">
        <v>150</v>
      </c>
    </row>
    <row r="531" ht="16.5" spans="2:69">
      <c r="B531" s="23">
        <v>211</v>
      </c>
      <c r="C531" s="12"/>
      <c r="D531" s="12"/>
      <c r="E531" s="71"/>
      <c r="F531" s="71"/>
      <c r="G531" s="71" t="str">
        <f t="shared" si="200"/>
        <v>头盔图纸</v>
      </c>
      <c r="H531" s="71">
        <v>15</v>
      </c>
      <c r="I531" s="71" t="str">
        <f t="shared" si="205"/>
        <v>辅助特饮</v>
      </c>
      <c r="J531" s="71">
        <v>200</v>
      </c>
      <c r="K531" s="71" t="s">
        <v>96</v>
      </c>
      <c r="L531" s="71">
        <v>240</v>
      </c>
      <c r="M531" s="71" t="str">
        <f t="shared" si="208"/>
        <v>战士特饮</v>
      </c>
      <c r="N531" s="71">
        <f t="shared" ref="N531:N594" si="212">N530</f>
        <v>250</v>
      </c>
      <c r="O531" s="71" t="s">
        <v>316</v>
      </c>
      <c r="P531" s="71">
        <v>200</v>
      </c>
      <c r="Q531" s="71"/>
      <c r="R531" s="71"/>
      <c r="S531" s="72" t="str">
        <f t="shared" si="201"/>
        <v>护臂图纸</v>
      </c>
      <c r="T531" s="71">
        <v>25</v>
      </c>
      <c r="U531" s="71" t="str">
        <f t="shared" si="202"/>
        <v/>
      </c>
      <c r="V531" s="71">
        <f t="shared" si="203"/>
        <v>0</v>
      </c>
      <c r="W531" s="71" t="s">
        <v>96</v>
      </c>
      <c r="X531" s="71">
        <f t="shared" si="179"/>
        <v>360</v>
      </c>
      <c r="Y531" s="71"/>
      <c r="Z531" s="71"/>
      <c r="AA531" s="71" t="str">
        <f t="shared" si="209"/>
        <v>基因罐</v>
      </c>
      <c r="AB531" s="71">
        <f t="shared" si="175"/>
        <v>30</v>
      </c>
      <c r="AC531" s="71" t="s">
        <v>374</v>
      </c>
      <c r="AD531" s="71">
        <v>150</v>
      </c>
      <c r="AE531" s="72" t="str">
        <f t="shared" si="206"/>
        <v>法师特饮</v>
      </c>
      <c r="AF531" s="71">
        <v>300</v>
      </c>
      <c r="AG531" s="71"/>
      <c r="AH531" s="71"/>
      <c r="AI531" s="71" t="s">
        <v>390</v>
      </c>
      <c r="AJ531" s="71">
        <v>1</v>
      </c>
      <c r="AK531" s="71" t="s">
        <v>96</v>
      </c>
      <c r="AL531" s="71">
        <f t="shared" si="180"/>
        <v>600</v>
      </c>
      <c r="AN531" s="23" t="str">
        <f ca="1" t="shared" si="204"/>
        <v>{11,5}</v>
      </c>
      <c r="AO531" s="23" t="str">
        <f ca="1" t="shared" si="199"/>
        <v/>
      </c>
      <c r="AP531" s="23" t="str">
        <f ca="1" t="shared" si="181"/>
        <v>{50003,15}</v>
      </c>
      <c r="AQ531" s="23" t="str">
        <f ca="1" t="shared" si="182"/>
        <v>{5143001,200}</v>
      </c>
      <c r="AR531" s="23" t="str">
        <f ca="1" t="shared" si="183"/>
        <v>{2,240}</v>
      </c>
      <c r="AS531" s="23" t="str">
        <f ca="1" t="shared" si="184"/>
        <v>{5113001,250}</v>
      </c>
      <c r="AT531" s="23" t="str">
        <f ca="1" t="shared" si="210"/>
        <v>{5523001,200}</v>
      </c>
      <c r="AU531" s="23" t="str">
        <f ca="1" t="shared" si="197"/>
        <v/>
      </c>
      <c r="AV531" s="23" t="str">
        <f ca="1" t="shared" si="185"/>
        <v>{50005,25}</v>
      </c>
      <c r="AW531" s="23" t="str">
        <f ca="1" t="shared" si="186"/>
        <v/>
      </c>
      <c r="AX531" s="23" t="str">
        <f ca="1" t="shared" si="187"/>
        <v>{2,360}</v>
      </c>
      <c r="AY531" s="23" t="str">
        <f ca="1" t="shared" si="188"/>
        <v>{5204001,5}</v>
      </c>
      <c r="AZ531" s="23" t="str">
        <f ca="1" t="shared" si="176"/>
        <v>{5203001,30}</v>
      </c>
      <c r="BA531" s="23" t="str">
        <f ca="1" t="shared" si="189"/>
        <v>{1,150}</v>
      </c>
      <c r="BB531" s="23" t="s">
        <v>401</v>
      </c>
      <c r="BC531" s="23" t="str">
        <f ca="1" t="shared" si="190"/>
        <v>{5123001,300}</v>
      </c>
      <c r="BD531" s="23" t="str">
        <f ca="1" t="shared" si="207"/>
        <v/>
      </c>
      <c r="BE531" s="23" t="str">
        <f ca="1" t="shared" si="211"/>
        <v>{50039,1}</v>
      </c>
      <c r="BF531" s="23" t="str">
        <f ca="1" t="shared" si="191"/>
        <v>{2,600}</v>
      </c>
      <c r="BI531" s="23" t="str">
        <f ca="1" t="shared" si="192"/>
        <v>[{11,5},{50003,15},{5143001,200},{2,240}]</v>
      </c>
      <c r="BJ531" s="23" t="str">
        <f ca="1" t="shared" si="193"/>
        <v>[{5113001,250},{5523001,200},{50005,25},{2,360},{5204001,5}]</v>
      </c>
      <c r="BK531" s="23" t="str">
        <f ca="1" t="shared" si="194"/>
        <v>[{5203001,30},{1,150},{5523001,300},{5123001,300},{50039,1},{2,600}]</v>
      </c>
      <c r="BL531" s="23">
        <f ca="1" t="shared" si="195"/>
        <v>4</v>
      </c>
      <c r="BM531" s="23">
        <f ca="1" t="shared" si="196"/>
        <v>5</v>
      </c>
      <c r="BN531" s="23">
        <f ca="1" t="shared" si="198"/>
        <v>6</v>
      </c>
      <c r="BP531" s="71" t="s">
        <v>374</v>
      </c>
      <c r="BQ531" s="71">
        <v>150</v>
      </c>
    </row>
    <row r="532" ht="16.5" spans="2:69">
      <c r="B532" s="23">
        <v>212</v>
      </c>
      <c r="C532" s="12"/>
      <c r="D532" s="12"/>
      <c r="E532" s="71"/>
      <c r="F532" s="71"/>
      <c r="G532" s="71" t="str">
        <f t="shared" si="200"/>
        <v>衣服图纸</v>
      </c>
      <c r="H532" s="71">
        <v>15</v>
      </c>
      <c r="I532" s="71" t="str">
        <f t="shared" si="205"/>
        <v>战士特饮</v>
      </c>
      <c r="J532" s="71">
        <v>200</v>
      </c>
      <c r="K532" s="71" t="s">
        <v>96</v>
      </c>
      <c r="L532" s="71">
        <v>240</v>
      </c>
      <c r="M532" s="71" t="str">
        <f t="shared" si="208"/>
        <v>法师特饮</v>
      </c>
      <c r="N532" s="71">
        <f t="shared" si="212"/>
        <v>250</v>
      </c>
      <c r="O532" s="71" t="s">
        <v>316</v>
      </c>
      <c r="P532" s="71">
        <v>200</v>
      </c>
      <c r="Q532" s="71"/>
      <c r="R532" s="71"/>
      <c r="S532" s="72" t="str">
        <f t="shared" si="201"/>
        <v>裤子图纸</v>
      </c>
      <c r="T532" s="71">
        <v>25</v>
      </c>
      <c r="U532" s="71" t="str">
        <f t="shared" si="202"/>
        <v/>
      </c>
      <c r="V532" s="71">
        <f t="shared" si="203"/>
        <v>0</v>
      </c>
      <c r="W532" s="71" t="s">
        <v>96</v>
      </c>
      <c r="X532" s="71">
        <f t="shared" si="179"/>
        <v>360</v>
      </c>
      <c r="Y532" s="71"/>
      <c r="Z532" s="71"/>
      <c r="AA532" s="71" t="str">
        <f t="shared" si="209"/>
        <v>基因罐</v>
      </c>
      <c r="AB532" s="71">
        <f t="shared" si="175"/>
        <v>30</v>
      </c>
      <c r="AC532" s="71" t="s">
        <v>374</v>
      </c>
      <c r="AD532" s="71">
        <v>150</v>
      </c>
      <c r="AE532" s="72" t="str">
        <f t="shared" si="206"/>
        <v>辅助特饮</v>
      </c>
      <c r="AF532" s="71">
        <v>300</v>
      </c>
      <c r="AG532" s="71"/>
      <c r="AH532" s="71"/>
      <c r="AI532" s="71" t="s">
        <v>390</v>
      </c>
      <c r="AJ532" s="71">
        <v>1</v>
      </c>
      <c r="AK532" s="71" t="s">
        <v>96</v>
      </c>
      <c r="AL532" s="71">
        <f t="shared" si="180"/>
        <v>600</v>
      </c>
      <c r="AN532" s="23" t="str">
        <f ca="1" t="shared" si="204"/>
        <v>{11,5}</v>
      </c>
      <c r="AO532" s="23" t="str">
        <f ca="1" t="shared" si="199"/>
        <v/>
      </c>
      <c r="AP532" s="23" t="str">
        <f ca="1" t="shared" si="181"/>
        <v>{50004,15}</v>
      </c>
      <c r="AQ532" s="23" t="str">
        <f ca="1" t="shared" si="182"/>
        <v>{5113001,200}</v>
      </c>
      <c r="AR532" s="23" t="str">
        <f ca="1" t="shared" si="183"/>
        <v>{2,240}</v>
      </c>
      <c r="AS532" s="23" t="str">
        <f ca="1" t="shared" si="184"/>
        <v>{5123001,250}</v>
      </c>
      <c r="AT532" s="23" t="str">
        <f ca="1" t="shared" si="210"/>
        <v>{5523001,200}</v>
      </c>
      <c r="AU532" s="23" t="str">
        <f ca="1" t="shared" si="197"/>
        <v/>
      </c>
      <c r="AV532" s="23" t="str">
        <f ca="1" t="shared" si="185"/>
        <v>{50006,25}</v>
      </c>
      <c r="AW532" s="23" t="str">
        <f ca="1" t="shared" si="186"/>
        <v/>
      </c>
      <c r="AX532" s="23" t="str">
        <f ca="1" t="shared" si="187"/>
        <v>{2,360}</v>
      </c>
      <c r="AY532" s="23" t="str">
        <f ca="1" t="shared" si="188"/>
        <v>{5204001,5}</v>
      </c>
      <c r="AZ532" s="23" t="str">
        <f ca="1" t="shared" si="176"/>
        <v>{5203001,30}</v>
      </c>
      <c r="BA532" s="23" t="str">
        <f ca="1" t="shared" si="189"/>
        <v>{1,150}</v>
      </c>
      <c r="BB532" s="23" t="s">
        <v>401</v>
      </c>
      <c r="BC532" s="23" t="str">
        <f ca="1" t="shared" si="190"/>
        <v>{5143001,300}</v>
      </c>
      <c r="BD532" s="23" t="str">
        <f ca="1" t="shared" si="207"/>
        <v/>
      </c>
      <c r="BE532" s="23" t="str">
        <f ca="1" t="shared" si="211"/>
        <v>{50039,1}</v>
      </c>
      <c r="BF532" s="23" t="str">
        <f ca="1" t="shared" si="191"/>
        <v>{2,600}</v>
      </c>
      <c r="BI532" s="23" t="str">
        <f ca="1" t="shared" si="192"/>
        <v>[{11,5},{50004,15},{5113001,200},{2,240}]</v>
      </c>
      <c r="BJ532" s="23" t="str">
        <f ca="1" t="shared" si="193"/>
        <v>[{5123001,250},{5523001,200},{50006,25},{2,360},{5204001,5}]</v>
      </c>
      <c r="BK532" s="23" t="str">
        <f ca="1" t="shared" si="194"/>
        <v>[{5203001,30},{1,150},{5523001,300},{5143001,300},{50039,1},{2,600}]</v>
      </c>
      <c r="BL532" s="23">
        <f ca="1" t="shared" si="195"/>
        <v>4</v>
      </c>
      <c r="BM532" s="23">
        <f ca="1" t="shared" si="196"/>
        <v>5</v>
      </c>
      <c r="BN532" s="23">
        <f ca="1" t="shared" si="198"/>
        <v>6</v>
      </c>
      <c r="BP532" s="71" t="s">
        <v>374</v>
      </c>
      <c r="BQ532" s="71">
        <v>150</v>
      </c>
    </row>
    <row r="533" ht="16.5" spans="2:69">
      <c r="B533" s="23">
        <v>213</v>
      </c>
      <c r="C533" s="12"/>
      <c r="D533" s="12"/>
      <c r="E533" s="71"/>
      <c r="F533" s="71"/>
      <c r="G533" s="71" t="str">
        <f t="shared" si="200"/>
        <v>护臂图纸</v>
      </c>
      <c r="H533" s="71">
        <v>15</v>
      </c>
      <c r="I533" s="71" t="str">
        <f t="shared" si="205"/>
        <v>毒系特饮</v>
      </c>
      <c r="J533" s="71">
        <v>200</v>
      </c>
      <c r="K533" s="71" t="s">
        <v>96</v>
      </c>
      <c r="L533" s="71">
        <v>240</v>
      </c>
      <c r="M533" s="71" t="str">
        <f t="shared" si="208"/>
        <v>辅助特饮</v>
      </c>
      <c r="N533" s="71">
        <f t="shared" si="212"/>
        <v>250</v>
      </c>
      <c r="O533" s="71" t="s">
        <v>316</v>
      </c>
      <c r="P533" s="71">
        <v>200</v>
      </c>
      <c r="Q533" s="71"/>
      <c r="R533" s="71"/>
      <c r="S533" s="72" t="str">
        <f t="shared" si="201"/>
        <v>鞋子图纸</v>
      </c>
      <c r="T533" s="71">
        <v>25</v>
      </c>
      <c r="U533" s="71" t="str">
        <f t="shared" si="202"/>
        <v/>
      </c>
      <c r="V533" s="71">
        <f t="shared" si="203"/>
        <v>0</v>
      </c>
      <c r="W533" s="71" t="s">
        <v>96</v>
      </c>
      <c r="X533" s="71">
        <f t="shared" si="179"/>
        <v>360</v>
      </c>
      <c r="Y533" s="71"/>
      <c r="Z533" s="71"/>
      <c r="AA533" s="71" t="str">
        <f t="shared" si="209"/>
        <v>基因罐</v>
      </c>
      <c r="AB533" s="71">
        <f t="shared" si="175"/>
        <v>30</v>
      </c>
      <c r="AC533" s="71" t="s">
        <v>374</v>
      </c>
      <c r="AD533" s="71">
        <v>150</v>
      </c>
      <c r="AE533" s="72" t="str">
        <f t="shared" si="206"/>
        <v>毒系特饮</v>
      </c>
      <c r="AF533" s="71">
        <v>300</v>
      </c>
      <c r="AG533" s="71"/>
      <c r="AH533" s="71"/>
      <c r="AI533" s="71" t="s">
        <v>390</v>
      </c>
      <c r="AJ533" s="71">
        <v>1</v>
      </c>
      <c r="AK533" s="71" t="s">
        <v>96</v>
      </c>
      <c r="AL533" s="71">
        <f t="shared" si="180"/>
        <v>600</v>
      </c>
      <c r="AN533" s="23" t="str">
        <f ca="1" t="shared" si="204"/>
        <v>{11,5}</v>
      </c>
      <c r="AO533" s="23" t="str">
        <f ca="1" t="shared" si="199"/>
        <v/>
      </c>
      <c r="AP533" s="23" t="str">
        <f ca="1" t="shared" si="181"/>
        <v>{50005,15}</v>
      </c>
      <c r="AQ533" s="23" t="str">
        <f ca="1" t="shared" si="182"/>
        <v>{5163001,200}</v>
      </c>
      <c r="AR533" s="23" t="str">
        <f ca="1" t="shared" si="183"/>
        <v>{2,240}</v>
      </c>
      <c r="AS533" s="23" t="str">
        <f ca="1" t="shared" si="184"/>
        <v>{5143001,250}</v>
      </c>
      <c r="AT533" s="23" t="str">
        <f ca="1" t="shared" si="210"/>
        <v>{5523001,200}</v>
      </c>
      <c r="AU533" s="23" t="str">
        <f ca="1" t="shared" si="197"/>
        <v/>
      </c>
      <c r="AV533" s="23" t="str">
        <f ca="1" t="shared" si="185"/>
        <v>{50007,25}</v>
      </c>
      <c r="AW533" s="23" t="str">
        <f ca="1" t="shared" si="186"/>
        <v/>
      </c>
      <c r="AX533" s="23" t="str">
        <f ca="1" t="shared" si="187"/>
        <v>{2,360}</v>
      </c>
      <c r="AY533" s="23" t="str">
        <f ca="1" t="shared" si="188"/>
        <v>{5204001,5}</v>
      </c>
      <c r="AZ533" s="23" t="str">
        <f ca="1" t="shared" si="176"/>
        <v>{5203001,30}</v>
      </c>
      <c r="BA533" s="23" t="str">
        <f ca="1" t="shared" si="189"/>
        <v>{1,150}</v>
      </c>
      <c r="BB533" s="23" t="s">
        <v>401</v>
      </c>
      <c r="BC533" s="23" t="str">
        <f ca="1" t="shared" si="190"/>
        <v>{5163001,300}</v>
      </c>
      <c r="BD533" s="23" t="str">
        <f ca="1" t="shared" si="207"/>
        <v/>
      </c>
      <c r="BE533" s="23" t="str">
        <f ca="1" t="shared" si="211"/>
        <v>{50039,1}</v>
      </c>
      <c r="BF533" s="23" t="str">
        <f ca="1" t="shared" si="191"/>
        <v>{2,600}</v>
      </c>
      <c r="BI533" s="23" t="str">
        <f ca="1" t="shared" si="192"/>
        <v>[{11,5},{50005,15},{5163001,200},{2,240}]</v>
      </c>
      <c r="BJ533" s="23" t="str">
        <f ca="1" t="shared" si="193"/>
        <v>[{5143001,250},{5523001,200},{50007,25},{2,360},{5204001,5}]</v>
      </c>
      <c r="BK533" s="23" t="str">
        <f ca="1" t="shared" si="194"/>
        <v>[{5203001,30},{1,150},{5523001,300},{5163001,300},{50039,1},{2,600}]</v>
      </c>
      <c r="BL533" s="23">
        <f ca="1" t="shared" si="195"/>
        <v>4</v>
      </c>
      <c r="BM533" s="23">
        <f ca="1" t="shared" si="196"/>
        <v>5</v>
      </c>
      <c r="BN533" s="23">
        <f ca="1" t="shared" si="198"/>
        <v>6</v>
      </c>
      <c r="BP533" s="71" t="s">
        <v>374</v>
      </c>
      <c r="BQ533" s="71">
        <v>150</v>
      </c>
    </row>
    <row r="534" ht="16.5" spans="2:69">
      <c r="B534" s="23">
        <v>214</v>
      </c>
      <c r="C534" s="12"/>
      <c r="D534" s="12"/>
      <c r="E534" s="71"/>
      <c r="F534" s="71"/>
      <c r="G534" s="71" t="str">
        <f t="shared" si="200"/>
        <v>裤子图纸</v>
      </c>
      <c r="H534" s="71">
        <v>15</v>
      </c>
      <c r="I534" s="71" t="str">
        <f t="shared" si="205"/>
        <v>控制特饮</v>
      </c>
      <c r="J534" s="71">
        <v>200</v>
      </c>
      <c r="K534" s="71" t="s">
        <v>96</v>
      </c>
      <c r="L534" s="71">
        <v>240</v>
      </c>
      <c r="M534" s="71" t="str">
        <f t="shared" si="208"/>
        <v>射手特饮</v>
      </c>
      <c r="N534" s="71">
        <f t="shared" si="212"/>
        <v>250</v>
      </c>
      <c r="O534" s="71" t="s">
        <v>316</v>
      </c>
      <c r="P534" s="71">
        <v>200</v>
      </c>
      <c r="Q534" s="71"/>
      <c r="R534" s="71"/>
      <c r="S534" s="72" t="str">
        <f t="shared" si="201"/>
        <v>手套图纸</v>
      </c>
      <c r="T534" s="71">
        <v>25</v>
      </c>
      <c r="U534" s="71" t="str">
        <f t="shared" si="202"/>
        <v/>
      </c>
      <c r="V534" s="71">
        <f t="shared" si="203"/>
        <v>0</v>
      </c>
      <c r="W534" s="71" t="s">
        <v>96</v>
      </c>
      <c r="X534" s="71">
        <f t="shared" si="179"/>
        <v>360</v>
      </c>
      <c r="Y534" s="71"/>
      <c r="Z534" s="71"/>
      <c r="AA534" s="71" t="str">
        <f t="shared" si="209"/>
        <v>基因罐</v>
      </c>
      <c r="AB534" s="71">
        <f t="shared" si="175"/>
        <v>30</v>
      </c>
      <c r="AC534" s="71" t="s">
        <v>374</v>
      </c>
      <c r="AD534" s="71">
        <v>150</v>
      </c>
      <c r="AE534" s="72" t="str">
        <f t="shared" si="206"/>
        <v>控制特饮</v>
      </c>
      <c r="AF534" s="71">
        <v>300</v>
      </c>
      <c r="AG534" s="71"/>
      <c r="AH534" s="71"/>
      <c r="AI534" s="71" t="s">
        <v>390</v>
      </c>
      <c r="AJ534" s="71">
        <v>1</v>
      </c>
      <c r="AK534" s="71" t="s">
        <v>96</v>
      </c>
      <c r="AL534" s="71">
        <f t="shared" si="180"/>
        <v>600</v>
      </c>
      <c r="AN534" s="23" t="str">
        <f ca="1" t="shared" si="204"/>
        <v>{11,5}</v>
      </c>
      <c r="AO534" s="23" t="str">
        <f ca="1" t="shared" si="199"/>
        <v/>
      </c>
      <c r="AP534" s="23" t="str">
        <f ca="1" t="shared" si="181"/>
        <v>{50006,15}</v>
      </c>
      <c r="AQ534" s="23" t="str">
        <f ca="1" t="shared" si="182"/>
        <v>{5153001,200}</v>
      </c>
      <c r="AR534" s="23" t="str">
        <f ca="1" t="shared" si="183"/>
        <v>{2,240}</v>
      </c>
      <c r="AS534" s="23" t="str">
        <f ca="1" t="shared" si="184"/>
        <v>{5133001,250}</v>
      </c>
      <c r="AT534" s="23" t="str">
        <f ca="1" t="shared" si="210"/>
        <v>{5523001,200}</v>
      </c>
      <c r="AU534" s="23" t="str">
        <f ca="1" t="shared" si="197"/>
        <v/>
      </c>
      <c r="AV534" s="23" t="str">
        <f ca="1" t="shared" si="185"/>
        <v>{50008,25}</v>
      </c>
      <c r="AW534" s="23" t="str">
        <f ca="1" t="shared" si="186"/>
        <v/>
      </c>
      <c r="AX534" s="23" t="str">
        <f ca="1" t="shared" si="187"/>
        <v>{2,360}</v>
      </c>
      <c r="AY534" s="23" t="str">
        <f ca="1" t="shared" si="188"/>
        <v>{5204001,5}</v>
      </c>
      <c r="AZ534" s="23" t="str">
        <f ca="1" t="shared" si="176"/>
        <v>{5203001,30}</v>
      </c>
      <c r="BA534" s="23" t="str">
        <f ca="1" t="shared" si="189"/>
        <v>{1,150}</v>
      </c>
      <c r="BB534" s="23" t="s">
        <v>401</v>
      </c>
      <c r="BC534" s="23" t="str">
        <f ca="1" t="shared" si="190"/>
        <v>{5153001,300}</v>
      </c>
      <c r="BD534" s="23" t="str">
        <f ca="1" t="shared" si="207"/>
        <v/>
      </c>
      <c r="BE534" s="23" t="str">
        <f ca="1" t="shared" si="211"/>
        <v>{50039,1}</v>
      </c>
      <c r="BF534" s="23" t="str">
        <f ca="1" t="shared" si="191"/>
        <v>{2,600}</v>
      </c>
      <c r="BI534" s="23" t="str">
        <f ca="1" t="shared" si="192"/>
        <v>[{11,5},{50006,15},{5153001,200},{2,240}]</v>
      </c>
      <c r="BJ534" s="23" t="str">
        <f ca="1" t="shared" si="193"/>
        <v>[{5133001,250},{5523001,200},{50008,25},{2,360},{5204001,5}]</v>
      </c>
      <c r="BK534" s="23" t="str">
        <f ca="1" t="shared" si="194"/>
        <v>[{5203001,30},{1,150},{5523001,300},{5153001,300},{50039,1},{2,600}]</v>
      </c>
      <c r="BL534" s="23">
        <f ca="1" t="shared" si="195"/>
        <v>4</v>
      </c>
      <c r="BM534" s="23">
        <f ca="1" t="shared" si="196"/>
        <v>5</v>
      </c>
      <c r="BN534" s="23">
        <f ca="1" t="shared" si="198"/>
        <v>6</v>
      </c>
      <c r="BP534" s="71" t="s">
        <v>374</v>
      </c>
      <c r="BQ534" s="71">
        <v>150</v>
      </c>
    </row>
    <row r="535" ht="16.5" spans="2:69">
      <c r="B535" s="23">
        <v>215</v>
      </c>
      <c r="C535" s="12" t="str">
        <f t="shared" si="177"/>
        <v>梦愿水晶</v>
      </c>
      <c r="D535" s="12">
        <f t="shared" si="178"/>
        <v>1</v>
      </c>
      <c r="E535" s="71"/>
      <c r="F535" s="71"/>
      <c r="G535" s="71" t="str">
        <f t="shared" si="200"/>
        <v>鞋子图纸</v>
      </c>
      <c r="H535" s="71">
        <v>15</v>
      </c>
      <c r="I535" s="71" t="str">
        <f t="shared" si="205"/>
        <v>射手特饮</v>
      </c>
      <c r="J535" s="71">
        <v>200</v>
      </c>
      <c r="K535" s="71" t="s">
        <v>96</v>
      </c>
      <c r="L535" s="71">
        <v>240</v>
      </c>
      <c r="M535" s="71" t="str">
        <f t="shared" si="208"/>
        <v>毒系特饮</v>
      </c>
      <c r="N535" s="71">
        <f t="shared" si="212"/>
        <v>250</v>
      </c>
      <c r="O535" s="71" t="s">
        <v>316</v>
      </c>
      <c r="P535" s="71">
        <v>200</v>
      </c>
      <c r="Q535" s="71"/>
      <c r="R535" s="71"/>
      <c r="S535" s="72" t="str">
        <f t="shared" si="201"/>
        <v>头盔图纸</v>
      </c>
      <c r="T535" s="71">
        <v>25</v>
      </c>
      <c r="U535" s="71" t="str">
        <f t="shared" si="202"/>
        <v>灵感获取令</v>
      </c>
      <c r="V535" s="71">
        <f t="shared" si="203"/>
        <v>1</v>
      </c>
      <c r="W535" s="71" t="s">
        <v>96</v>
      </c>
      <c r="X535" s="71">
        <f t="shared" si="179"/>
        <v>360</v>
      </c>
      <c r="Y535" s="71"/>
      <c r="Z535" s="71"/>
      <c r="AA535" s="71" t="str">
        <f t="shared" si="209"/>
        <v>传说基因罐</v>
      </c>
      <c r="AB535" s="71">
        <f t="shared" si="175"/>
        <v>3</v>
      </c>
      <c r="AC535" s="71" t="s">
        <v>374</v>
      </c>
      <c r="AD535" s="71">
        <v>150</v>
      </c>
      <c r="AE535" s="72" t="str">
        <f t="shared" si="206"/>
        <v>射手特饮</v>
      </c>
      <c r="AF535" s="71">
        <v>300</v>
      </c>
      <c r="AG535" s="71"/>
      <c r="AH535" s="71"/>
      <c r="AI535" s="71" t="s">
        <v>390</v>
      </c>
      <c r="AJ535" s="71">
        <v>1</v>
      </c>
      <c r="AK535" s="71" t="s">
        <v>96</v>
      </c>
      <c r="AL535" s="71">
        <f t="shared" si="180"/>
        <v>600</v>
      </c>
      <c r="AN535" s="23" t="str">
        <f ca="1" t="shared" si="204"/>
        <v>{35,1}</v>
      </c>
      <c r="AO535" s="23" t="str">
        <f ca="1" t="shared" si="199"/>
        <v/>
      </c>
      <c r="AP535" s="23" t="str">
        <f ca="1" t="shared" si="181"/>
        <v>{50007,15}</v>
      </c>
      <c r="AQ535" s="23" t="str">
        <f ca="1" t="shared" si="182"/>
        <v>{5133001,200}</v>
      </c>
      <c r="AR535" s="23" t="str">
        <f ca="1" t="shared" si="183"/>
        <v>{2,240}</v>
      </c>
      <c r="AS535" s="23" t="str">
        <f ca="1" t="shared" si="184"/>
        <v>{5163001,250}</v>
      </c>
      <c r="AT535" s="23" t="str">
        <f ca="1" t="shared" si="210"/>
        <v>{5523001,200}</v>
      </c>
      <c r="AU535" s="23" t="str">
        <f ca="1" t="shared" si="197"/>
        <v/>
      </c>
      <c r="AV535" s="23" t="str">
        <f ca="1" t="shared" si="185"/>
        <v>{50003,25}</v>
      </c>
      <c r="AW535" s="23" t="str">
        <f ca="1" t="shared" si="186"/>
        <v>{9,1}</v>
      </c>
      <c r="AX535" s="23" t="str">
        <f ca="1" t="shared" si="187"/>
        <v>{2,360}</v>
      </c>
      <c r="AY535" s="23" t="str">
        <f ca="1" t="shared" si="188"/>
        <v>{5204001,5}</v>
      </c>
      <c r="AZ535" s="23" t="str">
        <f ca="1" t="shared" si="176"/>
        <v>{5205001,3}</v>
      </c>
      <c r="BA535" s="23" t="str">
        <f ca="1" t="shared" si="189"/>
        <v>{1,150}</v>
      </c>
      <c r="BB535" s="23" t="s">
        <v>401</v>
      </c>
      <c r="BC535" s="23" t="str">
        <f ca="1" t="shared" si="190"/>
        <v>{5133001,300}</v>
      </c>
      <c r="BD535" s="23" t="str">
        <f ca="1" t="shared" si="207"/>
        <v/>
      </c>
      <c r="BE535" s="23" t="str">
        <f ca="1" t="shared" si="211"/>
        <v>{50039,1}</v>
      </c>
      <c r="BF535" s="23" t="str">
        <f ca="1" t="shared" si="191"/>
        <v>{2,600}</v>
      </c>
      <c r="BI535" s="23" t="str">
        <f ca="1" t="shared" si="192"/>
        <v>[{35,1},{50007,15},{5133001,200},{2,240}]</v>
      </c>
      <c r="BJ535" s="23" t="str">
        <f ca="1" t="shared" si="193"/>
        <v>[{5163001,250},{5523001,200},{50003,25},{9,1},{2,360},{5204001,5}]</v>
      </c>
      <c r="BK535" s="23" t="str">
        <f ca="1" t="shared" si="194"/>
        <v>[{5205001,3},{1,150},{5523001,300},{5133001,300},{50039,1},{2,600}]</v>
      </c>
      <c r="BL535" s="23">
        <f ca="1" t="shared" si="195"/>
        <v>4</v>
      </c>
      <c r="BM535" s="23">
        <f ca="1" t="shared" si="196"/>
        <v>6</v>
      </c>
      <c r="BN535" s="23">
        <f ca="1" t="shared" si="198"/>
        <v>6</v>
      </c>
      <c r="BP535" s="71" t="s">
        <v>374</v>
      </c>
      <c r="BQ535" s="71">
        <v>150</v>
      </c>
    </row>
    <row r="536" ht="16.5" spans="2:69">
      <c r="B536" s="23">
        <v>216</v>
      </c>
      <c r="C536" s="12"/>
      <c r="D536" s="12"/>
      <c r="E536" s="71"/>
      <c r="F536" s="71"/>
      <c r="G536" s="71" t="str">
        <f t="shared" si="200"/>
        <v>手套图纸</v>
      </c>
      <c r="H536" s="71">
        <v>15</v>
      </c>
      <c r="I536" s="71" t="str">
        <f t="shared" si="205"/>
        <v>法师特饮</v>
      </c>
      <c r="J536" s="71">
        <v>200</v>
      </c>
      <c r="K536" s="71" t="s">
        <v>96</v>
      </c>
      <c r="L536" s="71">
        <v>240</v>
      </c>
      <c r="M536" s="71" t="str">
        <f t="shared" si="208"/>
        <v>控制特饮</v>
      </c>
      <c r="N536" s="71">
        <f t="shared" si="212"/>
        <v>250</v>
      </c>
      <c r="O536" s="71" t="s">
        <v>316</v>
      </c>
      <c r="P536" s="71">
        <v>200</v>
      </c>
      <c r="Q536" s="71"/>
      <c r="R536" s="71"/>
      <c r="S536" s="72" t="str">
        <f t="shared" si="201"/>
        <v>衣服图纸</v>
      </c>
      <c r="T536" s="71">
        <v>25</v>
      </c>
      <c r="U536" s="71" t="str">
        <f t="shared" si="202"/>
        <v/>
      </c>
      <c r="V536" s="71">
        <f t="shared" si="203"/>
        <v>0</v>
      </c>
      <c r="W536" s="71" t="s">
        <v>96</v>
      </c>
      <c r="X536" s="71">
        <f t="shared" si="179"/>
        <v>360</v>
      </c>
      <c r="Y536" s="71"/>
      <c r="Z536" s="71"/>
      <c r="AA536" s="71" t="str">
        <f t="shared" si="209"/>
        <v>基因罐</v>
      </c>
      <c r="AB536" s="71">
        <f t="shared" si="175"/>
        <v>30</v>
      </c>
      <c r="AC536" s="71" t="s">
        <v>374</v>
      </c>
      <c r="AD536" s="71">
        <v>150</v>
      </c>
      <c r="AE536" s="72" t="str">
        <f t="shared" si="206"/>
        <v>战士特饮</v>
      </c>
      <c r="AF536" s="71">
        <v>300</v>
      </c>
      <c r="AG536" s="71"/>
      <c r="AH536" s="71"/>
      <c r="AI536" s="71" t="s">
        <v>390</v>
      </c>
      <c r="AJ536" s="71">
        <v>1</v>
      </c>
      <c r="AK536" s="71" t="s">
        <v>96</v>
      </c>
      <c r="AL536" s="71">
        <f t="shared" si="180"/>
        <v>600</v>
      </c>
      <c r="AN536" s="23" t="str">
        <f ca="1" t="shared" si="204"/>
        <v>{11,5}</v>
      </c>
      <c r="AO536" s="23" t="str">
        <f ca="1" t="shared" si="199"/>
        <v/>
      </c>
      <c r="AP536" s="23" t="str">
        <f ca="1" t="shared" si="181"/>
        <v>{50008,15}</v>
      </c>
      <c r="AQ536" s="23" t="str">
        <f ca="1" t="shared" si="182"/>
        <v>{5123001,200}</v>
      </c>
      <c r="AR536" s="23" t="str">
        <f ca="1" t="shared" si="183"/>
        <v>{2,240}</v>
      </c>
      <c r="AS536" s="23" t="str">
        <f ca="1" t="shared" si="184"/>
        <v>{5153001,250}</v>
      </c>
      <c r="AT536" s="23" t="str">
        <f ca="1" t="shared" si="210"/>
        <v>{5523001,200}</v>
      </c>
      <c r="AU536" s="23" t="str">
        <f ca="1" t="shared" si="197"/>
        <v/>
      </c>
      <c r="AV536" s="23" t="str">
        <f ca="1" t="shared" si="185"/>
        <v>{50004,25}</v>
      </c>
      <c r="AW536" s="23" t="str">
        <f ca="1" t="shared" si="186"/>
        <v/>
      </c>
      <c r="AX536" s="23" t="str">
        <f ca="1" t="shared" si="187"/>
        <v>{2,360}</v>
      </c>
      <c r="AY536" s="23" t="str">
        <f ca="1" t="shared" si="188"/>
        <v>{5204001,5}</v>
      </c>
      <c r="AZ536" s="23" t="str">
        <f ca="1" t="shared" si="176"/>
        <v>{5203001,30}</v>
      </c>
      <c r="BA536" s="23" t="str">
        <f ca="1" t="shared" si="189"/>
        <v>{1,150}</v>
      </c>
      <c r="BB536" s="23" t="s">
        <v>401</v>
      </c>
      <c r="BC536" s="23" t="str">
        <f ca="1" t="shared" si="190"/>
        <v>{5113001,300}</v>
      </c>
      <c r="BD536" s="23" t="str">
        <f ca="1" t="shared" si="207"/>
        <v/>
      </c>
      <c r="BE536" s="23" t="str">
        <f ca="1" t="shared" si="211"/>
        <v>{50039,1}</v>
      </c>
      <c r="BF536" s="23" t="str">
        <f ca="1" t="shared" si="191"/>
        <v>{2,600}</v>
      </c>
      <c r="BI536" s="23" t="str">
        <f ca="1" t="shared" si="192"/>
        <v>[{11,5},{50008,15},{5123001,200},{2,240}]</v>
      </c>
      <c r="BJ536" s="23" t="str">
        <f ca="1" t="shared" si="193"/>
        <v>[{5153001,250},{5523001,200},{50004,25},{2,360},{5204001,5}]</v>
      </c>
      <c r="BK536" s="23" t="str">
        <f ca="1" t="shared" si="194"/>
        <v>[{5203001,30},{1,150},{5523001,300},{5113001,300},{50039,1},{2,600}]</v>
      </c>
      <c r="BL536" s="23">
        <f ca="1" t="shared" si="195"/>
        <v>4</v>
      </c>
      <c r="BM536" s="23">
        <f ca="1" t="shared" si="196"/>
        <v>5</v>
      </c>
      <c r="BN536" s="23">
        <f ca="1" t="shared" si="198"/>
        <v>6</v>
      </c>
      <c r="BP536" s="71" t="s">
        <v>374</v>
      </c>
      <c r="BQ536" s="71">
        <v>150</v>
      </c>
    </row>
    <row r="537" ht="16.5" spans="2:69">
      <c r="B537" s="23">
        <v>217</v>
      </c>
      <c r="C537" s="12"/>
      <c r="D537" s="12"/>
      <c r="E537" s="71"/>
      <c r="F537" s="71"/>
      <c r="G537" s="71" t="str">
        <f t="shared" si="200"/>
        <v>头盔图纸</v>
      </c>
      <c r="H537" s="71">
        <v>15</v>
      </c>
      <c r="I537" s="71" t="str">
        <f t="shared" si="205"/>
        <v>辅助特饮</v>
      </c>
      <c r="J537" s="71">
        <v>200</v>
      </c>
      <c r="K537" s="71" t="s">
        <v>96</v>
      </c>
      <c r="L537" s="71">
        <v>240</v>
      </c>
      <c r="M537" s="71" t="str">
        <f t="shared" si="208"/>
        <v>战士特饮</v>
      </c>
      <c r="N537" s="71">
        <f t="shared" si="212"/>
        <v>250</v>
      </c>
      <c r="O537" s="71" t="s">
        <v>316</v>
      </c>
      <c r="P537" s="71">
        <v>200</v>
      </c>
      <c r="Q537" s="71"/>
      <c r="R537" s="71"/>
      <c r="S537" s="72" t="str">
        <f t="shared" si="201"/>
        <v>护臂图纸</v>
      </c>
      <c r="T537" s="71">
        <v>25</v>
      </c>
      <c r="U537" s="71" t="str">
        <f t="shared" si="202"/>
        <v/>
      </c>
      <c r="V537" s="71">
        <f t="shared" si="203"/>
        <v>0</v>
      </c>
      <c r="W537" s="71" t="s">
        <v>96</v>
      </c>
      <c r="X537" s="71">
        <f t="shared" si="179"/>
        <v>360</v>
      </c>
      <c r="Y537" s="71"/>
      <c r="Z537" s="71"/>
      <c r="AA537" s="71" t="str">
        <f t="shared" si="209"/>
        <v>基因罐</v>
      </c>
      <c r="AB537" s="71">
        <f t="shared" ref="AB537:AB600" si="213">AB532</f>
        <v>30</v>
      </c>
      <c r="AC537" s="71" t="s">
        <v>374</v>
      </c>
      <c r="AD537" s="71">
        <v>150</v>
      </c>
      <c r="AE537" s="72" t="str">
        <f t="shared" si="206"/>
        <v>法师特饮</v>
      </c>
      <c r="AF537" s="71">
        <v>300</v>
      </c>
      <c r="AG537" s="71"/>
      <c r="AH537" s="71"/>
      <c r="AI537" s="71" t="s">
        <v>390</v>
      </c>
      <c r="AJ537" s="71">
        <v>1</v>
      </c>
      <c r="AK537" s="71" t="s">
        <v>96</v>
      </c>
      <c r="AL537" s="71">
        <f t="shared" si="180"/>
        <v>600</v>
      </c>
      <c r="AN537" s="23" t="str">
        <f ca="1" t="shared" si="204"/>
        <v>{11,5}</v>
      </c>
      <c r="AO537" s="23" t="str">
        <f ca="1" t="shared" si="199"/>
        <v/>
      </c>
      <c r="AP537" s="23" t="str">
        <f ca="1" t="shared" si="181"/>
        <v>{50003,15}</v>
      </c>
      <c r="AQ537" s="23" t="str">
        <f ca="1" t="shared" si="182"/>
        <v>{5143001,200}</v>
      </c>
      <c r="AR537" s="23" t="str">
        <f ca="1" t="shared" si="183"/>
        <v>{2,240}</v>
      </c>
      <c r="AS537" s="23" t="str">
        <f ca="1" t="shared" si="184"/>
        <v>{5113001,250}</v>
      </c>
      <c r="AT537" s="23" t="str">
        <f ca="1" t="shared" si="210"/>
        <v>{5523001,200}</v>
      </c>
      <c r="AU537" s="23" t="str">
        <f ca="1" t="shared" si="197"/>
        <v/>
      </c>
      <c r="AV537" s="23" t="str">
        <f ca="1" t="shared" si="185"/>
        <v>{50005,25}</v>
      </c>
      <c r="AW537" s="23" t="str">
        <f ca="1" t="shared" si="186"/>
        <v/>
      </c>
      <c r="AX537" s="23" t="str">
        <f ca="1" t="shared" si="187"/>
        <v>{2,360}</v>
      </c>
      <c r="AY537" s="23" t="str">
        <f ca="1" t="shared" si="188"/>
        <v>{5204001,5}</v>
      </c>
      <c r="AZ537" s="23" t="str">
        <f ca="1" t="shared" si="176"/>
        <v>{5203001,30}</v>
      </c>
      <c r="BA537" s="23" t="str">
        <f ca="1" t="shared" si="189"/>
        <v>{1,150}</v>
      </c>
      <c r="BB537" s="23" t="s">
        <v>401</v>
      </c>
      <c r="BC537" s="23" t="str">
        <f ca="1" t="shared" si="190"/>
        <v>{5123001,300}</v>
      </c>
      <c r="BD537" s="23" t="str">
        <f ca="1" t="shared" si="207"/>
        <v/>
      </c>
      <c r="BE537" s="23" t="str">
        <f ca="1" t="shared" si="211"/>
        <v>{50039,1}</v>
      </c>
      <c r="BF537" s="23" t="str">
        <f ca="1" t="shared" si="191"/>
        <v>{2,600}</v>
      </c>
      <c r="BI537" s="23" t="str">
        <f ca="1" t="shared" si="192"/>
        <v>[{11,5},{50003,15},{5143001,200},{2,240}]</v>
      </c>
      <c r="BJ537" s="23" t="str">
        <f ca="1" t="shared" si="193"/>
        <v>[{5113001,250},{5523001,200},{50005,25},{2,360},{5204001,5}]</v>
      </c>
      <c r="BK537" s="23" t="str">
        <f ca="1" t="shared" si="194"/>
        <v>[{5203001,30},{1,150},{5523001,300},{5123001,300},{50039,1},{2,600}]</v>
      </c>
      <c r="BL537" s="23">
        <f ca="1" t="shared" si="195"/>
        <v>4</v>
      </c>
      <c r="BM537" s="23">
        <f ca="1" t="shared" si="196"/>
        <v>5</v>
      </c>
      <c r="BN537" s="23">
        <f ca="1" t="shared" si="198"/>
        <v>6</v>
      </c>
      <c r="BP537" s="71" t="s">
        <v>374</v>
      </c>
      <c r="BQ537" s="71">
        <v>150</v>
      </c>
    </row>
    <row r="538" ht="16.5" spans="2:69">
      <c r="B538" s="23">
        <v>218</v>
      </c>
      <c r="C538" s="12"/>
      <c r="D538" s="12"/>
      <c r="E538" s="71"/>
      <c r="F538" s="71"/>
      <c r="G538" s="71" t="str">
        <f t="shared" si="200"/>
        <v>衣服图纸</v>
      </c>
      <c r="H538" s="71">
        <v>15</v>
      </c>
      <c r="I538" s="71" t="str">
        <f t="shared" si="205"/>
        <v>战士特饮</v>
      </c>
      <c r="J538" s="71">
        <v>200</v>
      </c>
      <c r="K538" s="71" t="s">
        <v>96</v>
      </c>
      <c r="L538" s="71">
        <v>240</v>
      </c>
      <c r="M538" s="71" t="str">
        <f t="shared" si="208"/>
        <v>法师特饮</v>
      </c>
      <c r="N538" s="71">
        <f t="shared" si="212"/>
        <v>250</v>
      </c>
      <c r="O538" s="71" t="s">
        <v>316</v>
      </c>
      <c r="P538" s="71">
        <v>200</v>
      </c>
      <c r="Q538" s="71"/>
      <c r="R538" s="71"/>
      <c r="S538" s="72" t="str">
        <f t="shared" si="201"/>
        <v>裤子图纸</v>
      </c>
      <c r="T538" s="71">
        <v>25</v>
      </c>
      <c r="U538" s="71" t="str">
        <f t="shared" si="202"/>
        <v/>
      </c>
      <c r="V538" s="71">
        <f t="shared" si="203"/>
        <v>0</v>
      </c>
      <c r="W538" s="71" t="s">
        <v>96</v>
      </c>
      <c r="X538" s="71">
        <f t="shared" si="179"/>
        <v>360</v>
      </c>
      <c r="Y538" s="71"/>
      <c r="Z538" s="71"/>
      <c r="AA538" s="71" t="str">
        <f t="shared" si="209"/>
        <v>基因罐</v>
      </c>
      <c r="AB538" s="71">
        <f t="shared" si="213"/>
        <v>30</v>
      </c>
      <c r="AC538" s="71" t="s">
        <v>374</v>
      </c>
      <c r="AD538" s="71">
        <v>150</v>
      </c>
      <c r="AE538" s="72" t="str">
        <f t="shared" si="206"/>
        <v>辅助特饮</v>
      </c>
      <c r="AF538" s="71">
        <v>300</v>
      </c>
      <c r="AG538" s="71"/>
      <c r="AH538" s="71"/>
      <c r="AI538" s="71" t="s">
        <v>390</v>
      </c>
      <c r="AJ538" s="71">
        <v>1</v>
      </c>
      <c r="AK538" s="71" t="s">
        <v>96</v>
      </c>
      <c r="AL538" s="71">
        <f t="shared" si="180"/>
        <v>600</v>
      </c>
      <c r="AN538" s="23" t="str">
        <f ca="1" t="shared" si="204"/>
        <v>{11,5}</v>
      </c>
      <c r="AO538" s="23" t="str">
        <f ca="1" t="shared" si="199"/>
        <v/>
      </c>
      <c r="AP538" s="23" t="str">
        <f ca="1" t="shared" si="181"/>
        <v>{50004,15}</v>
      </c>
      <c r="AQ538" s="23" t="str">
        <f ca="1" t="shared" si="182"/>
        <v>{5113001,200}</v>
      </c>
      <c r="AR538" s="23" t="str">
        <f ca="1" t="shared" si="183"/>
        <v>{2,240}</v>
      </c>
      <c r="AS538" s="23" t="str">
        <f ca="1" t="shared" si="184"/>
        <v>{5123001,250}</v>
      </c>
      <c r="AT538" s="23" t="str">
        <f ca="1" t="shared" si="210"/>
        <v>{5523001,200}</v>
      </c>
      <c r="AU538" s="23" t="str">
        <f ca="1" t="shared" si="197"/>
        <v/>
      </c>
      <c r="AV538" s="23" t="str">
        <f ca="1" t="shared" si="185"/>
        <v>{50006,25}</v>
      </c>
      <c r="AW538" s="23" t="str">
        <f ca="1" t="shared" si="186"/>
        <v/>
      </c>
      <c r="AX538" s="23" t="str">
        <f ca="1" t="shared" si="187"/>
        <v>{2,360}</v>
      </c>
      <c r="AY538" s="23" t="str">
        <f ca="1" t="shared" si="188"/>
        <v>{5204001,5}</v>
      </c>
      <c r="AZ538" s="23" t="str">
        <f ca="1" t="shared" si="176"/>
        <v>{5203001,30}</v>
      </c>
      <c r="BA538" s="23" t="str">
        <f ca="1" t="shared" si="189"/>
        <v>{1,150}</v>
      </c>
      <c r="BB538" s="23" t="s">
        <v>401</v>
      </c>
      <c r="BC538" s="23" t="str">
        <f ca="1" t="shared" si="190"/>
        <v>{5143001,300}</v>
      </c>
      <c r="BD538" s="23" t="str">
        <f ca="1" t="shared" si="207"/>
        <v/>
      </c>
      <c r="BE538" s="23" t="str">
        <f ca="1" t="shared" si="211"/>
        <v>{50039,1}</v>
      </c>
      <c r="BF538" s="23" t="str">
        <f ca="1" t="shared" si="191"/>
        <v>{2,600}</v>
      </c>
      <c r="BI538" s="23" t="str">
        <f ca="1" t="shared" si="192"/>
        <v>[{11,5},{50004,15},{5113001,200},{2,240}]</v>
      </c>
      <c r="BJ538" s="23" t="str">
        <f ca="1" t="shared" si="193"/>
        <v>[{5123001,250},{5523001,200},{50006,25},{2,360},{5204001,5}]</v>
      </c>
      <c r="BK538" s="23" t="str">
        <f ca="1" t="shared" si="194"/>
        <v>[{5203001,30},{1,150},{5523001,300},{5143001,300},{50039,1},{2,600}]</v>
      </c>
      <c r="BL538" s="23">
        <f ca="1" t="shared" si="195"/>
        <v>4</v>
      </c>
      <c r="BM538" s="23">
        <f ca="1" t="shared" si="196"/>
        <v>5</v>
      </c>
      <c r="BN538" s="23">
        <f ca="1" t="shared" si="198"/>
        <v>6</v>
      </c>
      <c r="BP538" s="71" t="s">
        <v>374</v>
      </c>
      <c r="BQ538" s="71">
        <v>150</v>
      </c>
    </row>
    <row r="539" ht="16.5" spans="2:69">
      <c r="B539" s="23">
        <v>219</v>
      </c>
      <c r="C539" s="12"/>
      <c r="D539" s="12"/>
      <c r="E539" s="71"/>
      <c r="F539" s="71"/>
      <c r="G539" s="71" t="str">
        <f t="shared" si="200"/>
        <v>护臂图纸</v>
      </c>
      <c r="H539" s="71">
        <v>15</v>
      </c>
      <c r="I539" s="71" t="str">
        <f t="shared" si="205"/>
        <v>毒系特饮</v>
      </c>
      <c r="J539" s="71">
        <v>200</v>
      </c>
      <c r="K539" s="71" t="s">
        <v>96</v>
      </c>
      <c r="L539" s="71">
        <v>240</v>
      </c>
      <c r="M539" s="71" t="str">
        <f t="shared" si="208"/>
        <v>辅助特饮</v>
      </c>
      <c r="N539" s="71">
        <f t="shared" si="212"/>
        <v>250</v>
      </c>
      <c r="O539" s="71" t="s">
        <v>316</v>
      </c>
      <c r="P539" s="71">
        <v>200</v>
      </c>
      <c r="Q539" s="71"/>
      <c r="R539" s="71"/>
      <c r="S539" s="72" t="str">
        <f t="shared" si="201"/>
        <v>鞋子图纸</v>
      </c>
      <c r="T539" s="71">
        <v>25</v>
      </c>
      <c r="U539" s="71" t="str">
        <f t="shared" si="202"/>
        <v/>
      </c>
      <c r="V539" s="71">
        <f t="shared" si="203"/>
        <v>0</v>
      </c>
      <c r="W539" s="71" t="s">
        <v>96</v>
      </c>
      <c r="X539" s="71">
        <f t="shared" si="179"/>
        <v>360</v>
      </c>
      <c r="Y539" s="71"/>
      <c r="Z539" s="71"/>
      <c r="AA539" s="71" t="str">
        <f t="shared" si="209"/>
        <v>基因罐</v>
      </c>
      <c r="AB539" s="71">
        <f t="shared" si="213"/>
        <v>30</v>
      </c>
      <c r="AC539" s="71" t="s">
        <v>374</v>
      </c>
      <c r="AD539" s="71">
        <v>150</v>
      </c>
      <c r="AE539" s="72" t="str">
        <f t="shared" si="206"/>
        <v>毒系特饮</v>
      </c>
      <c r="AF539" s="71">
        <v>300</v>
      </c>
      <c r="AG539" s="71"/>
      <c r="AH539" s="71"/>
      <c r="AI539" s="71" t="s">
        <v>390</v>
      </c>
      <c r="AJ539" s="71">
        <v>1</v>
      </c>
      <c r="AK539" s="71" t="s">
        <v>96</v>
      </c>
      <c r="AL539" s="71">
        <f t="shared" si="180"/>
        <v>600</v>
      </c>
      <c r="AN539" s="23" t="str">
        <f ca="1" t="shared" si="204"/>
        <v>{11,5}</v>
      </c>
      <c r="AO539" s="23" t="str">
        <f ca="1" t="shared" si="199"/>
        <v/>
      </c>
      <c r="AP539" s="23" t="str">
        <f ca="1" t="shared" si="181"/>
        <v>{50005,15}</v>
      </c>
      <c r="AQ539" s="23" t="str">
        <f ca="1" t="shared" si="182"/>
        <v>{5163001,200}</v>
      </c>
      <c r="AR539" s="23" t="str">
        <f ca="1" t="shared" si="183"/>
        <v>{2,240}</v>
      </c>
      <c r="AS539" s="23" t="str">
        <f ca="1" t="shared" si="184"/>
        <v>{5143001,250}</v>
      </c>
      <c r="AT539" s="23" t="str">
        <f ca="1" t="shared" si="210"/>
        <v>{5523001,200}</v>
      </c>
      <c r="AU539" s="23" t="str">
        <f ca="1" t="shared" si="197"/>
        <v/>
      </c>
      <c r="AV539" s="23" t="str">
        <f ca="1" t="shared" si="185"/>
        <v>{50007,25}</v>
      </c>
      <c r="AW539" s="23" t="str">
        <f ca="1" t="shared" si="186"/>
        <v/>
      </c>
      <c r="AX539" s="23" t="str">
        <f ca="1" t="shared" si="187"/>
        <v>{2,360}</v>
      </c>
      <c r="AY539" s="23" t="str">
        <f ca="1" t="shared" si="188"/>
        <v>{5204001,5}</v>
      </c>
      <c r="AZ539" s="23" t="str">
        <f ca="1" t="shared" si="176"/>
        <v>{5203001,30}</v>
      </c>
      <c r="BA539" s="23" t="str">
        <f ca="1" t="shared" si="189"/>
        <v>{1,150}</v>
      </c>
      <c r="BB539" s="23" t="s">
        <v>401</v>
      </c>
      <c r="BC539" s="23" t="str">
        <f ca="1" t="shared" si="190"/>
        <v>{5163001,300}</v>
      </c>
      <c r="BD539" s="23" t="str">
        <f ca="1" t="shared" si="207"/>
        <v/>
      </c>
      <c r="BE539" s="23" t="str">
        <f ca="1" t="shared" si="211"/>
        <v>{50039,1}</v>
      </c>
      <c r="BF539" s="23" t="str">
        <f ca="1" t="shared" si="191"/>
        <v>{2,600}</v>
      </c>
      <c r="BI539" s="23" t="str">
        <f ca="1" t="shared" si="192"/>
        <v>[{11,5},{50005,15},{5163001,200},{2,240}]</v>
      </c>
      <c r="BJ539" s="23" t="str">
        <f ca="1" t="shared" si="193"/>
        <v>[{5143001,250},{5523001,200},{50007,25},{2,360},{5204001,5}]</v>
      </c>
      <c r="BK539" s="23" t="str">
        <f ca="1" t="shared" si="194"/>
        <v>[{5203001,30},{1,150},{5523001,300},{5163001,300},{50039,1},{2,600}]</v>
      </c>
      <c r="BL539" s="23">
        <f ca="1" t="shared" si="195"/>
        <v>4</v>
      </c>
      <c r="BM539" s="23">
        <f ca="1" t="shared" si="196"/>
        <v>5</v>
      </c>
      <c r="BN539" s="23">
        <f ca="1" t="shared" si="198"/>
        <v>6</v>
      </c>
      <c r="BP539" s="71" t="s">
        <v>374</v>
      </c>
      <c r="BQ539" s="71">
        <v>150</v>
      </c>
    </row>
    <row r="540" ht="16.5" spans="2:69">
      <c r="B540" s="23">
        <v>220</v>
      </c>
      <c r="C540" s="12" t="str">
        <f t="shared" si="177"/>
        <v>梦愿水晶</v>
      </c>
      <c r="D540" s="12">
        <f t="shared" si="178"/>
        <v>1</v>
      </c>
      <c r="E540" s="71"/>
      <c r="F540" s="71"/>
      <c r="G540" s="71" t="str">
        <f t="shared" si="200"/>
        <v>裤子图纸</v>
      </c>
      <c r="H540" s="71">
        <v>15</v>
      </c>
      <c r="I540" s="71" t="str">
        <f t="shared" si="205"/>
        <v>控制特饮</v>
      </c>
      <c r="J540" s="71">
        <v>200</v>
      </c>
      <c r="K540" s="71" t="s">
        <v>96</v>
      </c>
      <c r="L540" s="71">
        <v>240</v>
      </c>
      <c r="M540" s="71" t="str">
        <f t="shared" si="208"/>
        <v>射手特饮</v>
      </c>
      <c r="N540" s="71">
        <f t="shared" si="212"/>
        <v>250</v>
      </c>
      <c r="O540" s="71" t="s">
        <v>316</v>
      </c>
      <c r="P540" s="71">
        <v>200</v>
      </c>
      <c r="Q540" s="71"/>
      <c r="R540" s="71"/>
      <c r="S540" s="72" t="str">
        <f t="shared" si="201"/>
        <v>手套图纸</v>
      </c>
      <c r="T540" s="71">
        <v>25</v>
      </c>
      <c r="U540" s="71" t="str">
        <f t="shared" si="202"/>
        <v>灵感获取令</v>
      </c>
      <c r="V540" s="71">
        <f t="shared" si="203"/>
        <v>1</v>
      </c>
      <c r="W540" s="71" t="s">
        <v>96</v>
      </c>
      <c r="X540" s="71">
        <f t="shared" si="179"/>
        <v>360</v>
      </c>
      <c r="Y540" s="71"/>
      <c r="Z540" s="71"/>
      <c r="AA540" s="71" t="str">
        <f t="shared" si="209"/>
        <v>传说基因罐</v>
      </c>
      <c r="AB540" s="71">
        <f t="shared" si="213"/>
        <v>3</v>
      </c>
      <c r="AC540" s="71" t="s">
        <v>374</v>
      </c>
      <c r="AD540" s="71">
        <v>150</v>
      </c>
      <c r="AE540" s="72" t="str">
        <f t="shared" si="206"/>
        <v>控制特饮</v>
      </c>
      <c r="AF540" s="71">
        <v>300</v>
      </c>
      <c r="AG540" s="71"/>
      <c r="AH540" s="71"/>
      <c r="AI540" s="71" t="s">
        <v>390</v>
      </c>
      <c r="AJ540" s="71">
        <v>1</v>
      </c>
      <c r="AK540" s="71" t="s">
        <v>96</v>
      </c>
      <c r="AL540" s="71">
        <f t="shared" si="180"/>
        <v>600</v>
      </c>
      <c r="AN540" s="23" t="str">
        <f ca="1" t="shared" si="204"/>
        <v>{35,1}</v>
      </c>
      <c r="AO540" s="23" t="str">
        <f ca="1" t="shared" si="199"/>
        <v/>
      </c>
      <c r="AP540" s="23" t="str">
        <f ca="1" t="shared" si="181"/>
        <v>{50006,15}</v>
      </c>
      <c r="AQ540" s="23" t="str">
        <f ca="1" t="shared" si="182"/>
        <v>{5153001,200}</v>
      </c>
      <c r="AR540" s="23" t="str">
        <f ca="1" t="shared" si="183"/>
        <v>{2,240}</v>
      </c>
      <c r="AS540" s="23" t="str">
        <f ca="1" t="shared" si="184"/>
        <v>{5133001,250}</v>
      </c>
      <c r="AT540" s="23" t="str">
        <f ca="1" t="shared" si="210"/>
        <v>{5523001,200}</v>
      </c>
      <c r="AU540" s="23" t="str">
        <f ca="1" t="shared" si="197"/>
        <v/>
      </c>
      <c r="AV540" s="23" t="str">
        <f ca="1" t="shared" si="185"/>
        <v>{50008,25}</v>
      </c>
      <c r="AW540" s="23" t="str">
        <f ca="1" t="shared" si="186"/>
        <v>{9,1}</v>
      </c>
      <c r="AX540" s="23" t="str">
        <f ca="1" t="shared" si="187"/>
        <v>{2,360}</v>
      </c>
      <c r="AY540" s="23" t="str">
        <f ca="1" t="shared" si="188"/>
        <v>{5204001,5}</v>
      </c>
      <c r="AZ540" s="23" t="str">
        <f ca="1" t="shared" si="176"/>
        <v>{5205001,3}</v>
      </c>
      <c r="BA540" s="23" t="str">
        <f ca="1" t="shared" si="189"/>
        <v>{1,150}</v>
      </c>
      <c r="BB540" s="23" t="s">
        <v>401</v>
      </c>
      <c r="BC540" s="23" t="str">
        <f ca="1" t="shared" si="190"/>
        <v>{5153001,300}</v>
      </c>
      <c r="BD540" s="23" t="str">
        <f ca="1" t="shared" si="207"/>
        <v/>
      </c>
      <c r="BE540" s="23" t="str">
        <f ca="1" t="shared" si="211"/>
        <v>{50039,1}</v>
      </c>
      <c r="BF540" s="23" t="str">
        <f ca="1" t="shared" si="191"/>
        <v>{2,600}</v>
      </c>
      <c r="BI540" s="23" t="str">
        <f ca="1" t="shared" si="192"/>
        <v>[{35,1},{50006,15},{5153001,200},{2,240}]</v>
      </c>
      <c r="BJ540" s="23" t="str">
        <f ca="1" t="shared" si="193"/>
        <v>[{5133001,250},{5523001,200},{50008,25},{9,1},{2,360},{5204001,5}]</v>
      </c>
      <c r="BK540" s="23" t="str">
        <f ca="1" t="shared" si="194"/>
        <v>[{5205001,3},{1,150},{5523001,300},{5153001,300},{50039,1},{2,600}]</v>
      </c>
      <c r="BL540" s="23">
        <f ca="1" t="shared" si="195"/>
        <v>4</v>
      </c>
      <c r="BM540" s="23">
        <f ca="1" t="shared" si="196"/>
        <v>6</v>
      </c>
      <c r="BN540" s="23">
        <f ca="1" t="shared" si="198"/>
        <v>6</v>
      </c>
      <c r="BP540" s="71" t="s">
        <v>374</v>
      </c>
      <c r="BQ540" s="71">
        <v>150</v>
      </c>
    </row>
    <row r="541" ht="16.5" spans="2:69">
      <c r="B541" s="23">
        <v>221</v>
      </c>
      <c r="C541" s="12"/>
      <c r="D541" s="12"/>
      <c r="E541" s="71"/>
      <c r="F541" s="71"/>
      <c r="G541" s="71" t="str">
        <f t="shared" si="200"/>
        <v>鞋子图纸</v>
      </c>
      <c r="H541" s="71">
        <v>15</v>
      </c>
      <c r="I541" s="71" t="str">
        <f t="shared" si="205"/>
        <v>射手特饮</v>
      </c>
      <c r="J541" s="71">
        <v>200</v>
      </c>
      <c r="K541" s="71" t="s">
        <v>96</v>
      </c>
      <c r="L541" s="71">
        <v>240</v>
      </c>
      <c r="M541" s="71" t="str">
        <f t="shared" si="208"/>
        <v>毒系特饮</v>
      </c>
      <c r="N541" s="71">
        <f t="shared" si="212"/>
        <v>250</v>
      </c>
      <c r="O541" s="71" t="s">
        <v>316</v>
      </c>
      <c r="P541" s="71">
        <v>200</v>
      </c>
      <c r="Q541" s="71"/>
      <c r="R541" s="71"/>
      <c r="S541" s="72" t="str">
        <f t="shared" si="201"/>
        <v>头盔图纸</v>
      </c>
      <c r="T541" s="71">
        <v>25</v>
      </c>
      <c r="U541" s="71" t="str">
        <f t="shared" si="202"/>
        <v/>
      </c>
      <c r="V541" s="71">
        <f t="shared" si="203"/>
        <v>0</v>
      </c>
      <c r="W541" s="71" t="s">
        <v>96</v>
      </c>
      <c r="X541" s="71">
        <f t="shared" si="179"/>
        <v>360</v>
      </c>
      <c r="Y541" s="71"/>
      <c r="Z541" s="71"/>
      <c r="AA541" s="71" t="str">
        <f t="shared" si="209"/>
        <v>基因罐</v>
      </c>
      <c r="AB541" s="71">
        <f t="shared" si="213"/>
        <v>30</v>
      </c>
      <c r="AC541" s="71" t="s">
        <v>374</v>
      </c>
      <c r="AD541" s="71">
        <v>150</v>
      </c>
      <c r="AE541" s="72" t="str">
        <f t="shared" si="206"/>
        <v>射手特饮</v>
      </c>
      <c r="AF541" s="71">
        <v>300</v>
      </c>
      <c r="AG541" s="71"/>
      <c r="AH541" s="71"/>
      <c r="AI541" s="71" t="s">
        <v>390</v>
      </c>
      <c r="AJ541" s="71">
        <v>1</v>
      </c>
      <c r="AK541" s="71" t="s">
        <v>96</v>
      </c>
      <c r="AL541" s="71">
        <f t="shared" si="180"/>
        <v>600</v>
      </c>
      <c r="AN541" s="23" t="str">
        <f ca="1" t="shared" si="204"/>
        <v>{11,5}</v>
      </c>
      <c r="AO541" s="23" t="str">
        <f ca="1" t="shared" si="199"/>
        <v/>
      </c>
      <c r="AP541" s="23" t="str">
        <f ca="1" t="shared" si="181"/>
        <v>{50007,15}</v>
      </c>
      <c r="AQ541" s="23" t="str">
        <f ca="1" t="shared" si="182"/>
        <v>{5133001,200}</v>
      </c>
      <c r="AR541" s="23" t="str">
        <f ca="1" t="shared" si="183"/>
        <v>{2,240}</v>
      </c>
      <c r="AS541" s="23" t="str">
        <f ca="1" t="shared" si="184"/>
        <v>{5163001,250}</v>
      </c>
      <c r="AT541" s="23" t="str">
        <f ca="1" t="shared" si="210"/>
        <v>{5523001,200}</v>
      </c>
      <c r="AU541" s="23" t="str">
        <f ca="1" t="shared" si="197"/>
        <v/>
      </c>
      <c r="AV541" s="23" t="str">
        <f ca="1" t="shared" si="185"/>
        <v>{50003,25}</v>
      </c>
      <c r="AW541" s="23" t="str">
        <f ca="1" t="shared" si="186"/>
        <v/>
      </c>
      <c r="AX541" s="23" t="str">
        <f ca="1" t="shared" si="187"/>
        <v>{2,360}</v>
      </c>
      <c r="AY541" s="23" t="str">
        <f ca="1" t="shared" si="188"/>
        <v>{5204001,5}</v>
      </c>
      <c r="AZ541" s="23" t="str">
        <f ca="1" t="shared" si="176"/>
        <v>{5203001,30}</v>
      </c>
      <c r="BA541" s="23" t="str">
        <f ca="1" t="shared" si="189"/>
        <v>{1,150}</v>
      </c>
      <c r="BB541" s="23" t="s">
        <v>401</v>
      </c>
      <c r="BC541" s="23" t="str">
        <f ca="1" t="shared" si="190"/>
        <v>{5133001,300}</v>
      </c>
      <c r="BD541" s="23" t="str">
        <f ca="1" t="shared" si="207"/>
        <v/>
      </c>
      <c r="BE541" s="23" t="str">
        <f ca="1" t="shared" si="211"/>
        <v>{50039,1}</v>
      </c>
      <c r="BF541" s="23" t="str">
        <f ca="1" t="shared" si="191"/>
        <v>{2,600}</v>
      </c>
      <c r="BI541" s="23" t="str">
        <f ca="1" t="shared" si="192"/>
        <v>[{11,5},{50007,15},{5133001,200},{2,240}]</v>
      </c>
      <c r="BJ541" s="23" t="str">
        <f ca="1" t="shared" si="193"/>
        <v>[{5163001,250},{5523001,200},{50003,25},{2,360},{5204001,5}]</v>
      </c>
      <c r="BK541" s="23" t="str">
        <f ca="1" t="shared" si="194"/>
        <v>[{5203001,30},{1,150},{5523001,300},{5133001,300},{50039,1},{2,600}]</v>
      </c>
      <c r="BL541" s="23">
        <f ca="1" t="shared" si="195"/>
        <v>4</v>
      </c>
      <c r="BM541" s="23">
        <f ca="1" t="shared" si="196"/>
        <v>5</v>
      </c>
      <c r="BN541" s="23">
        <f ca="1" t="shared" si="198"/>
        <v>6</v>
      </c>
      <c r="BP541" s="71" t="s">
        <v>374</v>
      </c>
      <c r="BQ541" s="71">
        <v>150</v>
      </c>
    </row>
    <row r="542" ht="16.5" spans="2:69">
      <c r="B542" s="23">
        <v>222</v>
      </c>
      <c r="C542" s="12"/>
      <c r="D542" s="12"/>
      <c r="E542" s="71"/>
      <c r="F542" s="71"/>
      <c r="G542" s="71" t="str">
        <f t="shared" si="200"/>
        <v>手套图纸</v>
      </c>
      <c r="H542" s="71">
        <v>15</v>
      </c>
      <c r="I542" s="71" t="str">
        <f t="shared" si="205"/>
        <v>法师特饮</v>
      </c>
      <c r="J542" s="71">
        <v>200</v>
      </c>
      <c r="K542" s="71" t="s">
        <v>96</v>
      </c>
      <c r="L542" s="71">
        <v>240</v>
      </c>
      <c r="M542" s="71" t="str">
        <f t="shared" si="208"/>
        <v>控制特饮</v>
      </c>
      <c r="N542" s="71">
        <f t="shared" si="212"/>
        <v>250</v>
      </c>
      <c r="O542" s="71" t="s">
        <v>316</v>
      </c>
      <c r="P542" s="71">
        <v>200</v>
      </c>
      <c r="Q542" s="71"/>
      <c r="R542" s="71"/>
      <c r="S542" s="72" t="str">
        <f t="shared" si="201"/>
        <v>衣服图纸</v>
      </c>
      <c r="T542" s="71">
        <v>25</v>
      </c>
      <c r="U542" s="71" t="str">
        <f t="shared" si="202"/>
        <v/>
      </c>
      <c r="V542" s="71">
        <f t="shared" si="203"/>
        <v>0</v>
      </c>
      <c r="W542" s="71" t="s">
        <v>96</v>
      </c>
      <c r="X542" s="71">
        <f t="shared" si="179"/>
        <v>360</v>
      </c>
      <c r="Y542" s="71"/>
      <c r="Z542" s="71"/>
      <c r="AA542" s="71" t="str">
        <f t="shared" si="209"/>
        <v>基因罐</v>
      </c>
      <c r="AB542" s="71">
        <f t="shared" si="213"/>
        <v>30</v>
      </c>
      <c r="AC542" s="71" t="s">
        <v>374</v>
      </c>
      <c r="AD542" s="71">
        <v>150</v>
      </c>
      <c r="AE542" s="72" t="str">
        <f t="shared" si="206"/>
        <v>战士特饮</v>
      </c>
      <c r="AF542" s="71">
        <v>300</v>
      </c>
      <c r="AG542" s="71"/>
      <c r="AH542" s="71"/>
      <c r="AI542" s="71" t="s">
        <v>390</v>
      </c>
      <c r="AJ542" s="71">
        <v>1</v>
      </c>
      <c r="AK542" s="71" t="s">
        <v>96</v>
      </c>
      <c r="AL542" s="71">
        <f t="shared" si="180"/>
        <v>600</v>
      </c>
      <c r="AN542" s="23" t="str">
        <f ca="1" t="shared" si="204"/>
        <v>{11,5}</v>
      </c>
      <c r="AO542" s="23" t="str">
        <f ca="1" t="shared" si="199"/>
        <v/>
      </c>
      <c r="AP542" s="23" t="str">
        <f ca="1" t="shared" si="181"/>
        <v>{50008,15}</v>
      </c>
      <c r="AQ542" s="23" t="str">
        <f ca="1" t="shared" si="182"/>
        <v>{5123001,200}</v>
      </c>
      <c r="AR542" s="23" t="str">
        <f ca="1" t="shared" si="183"/>
        <v>{2,240}</v>
      </c>
      <c r="AS542" s="23" t="str">
        <f ca="1" t="shared" si="184"/>
        <v>{5153001,250}</v>
      </c>
      <c r="AT542" s="23" t="str">
        <f ca="1" t="shared" si="210"/>
        <v>{5523001,200}</v>
      </c>
      <c r="AU542" s="23" t="str">
        <f ca="1" t="shared" si="197"/>
        <v/>
      </c>
      <c r="AV542" s="23" t="str">
        <f ca="1" t="shared" si="185"/>
        <v>{50004,25}</v>
      </c>
      <c r="AW542" s="23" t="str">
        <f ca="1" t="shared" si="186"/>
        <v/>
      </c>
      <c r="AX542" s="23" t="str">
        <f ca="1" t="shared" si="187"/>
        <v>{2,360}</v>
      </c>
      <c r="AY542" s="23" t="str">
        <f ca="1" t="shared" si="188"/>
        <v>{5204001,5}</v>
      </c>
      <c r="AZ542" s="23" t="str">
        <f ca="1" t="shared" si="176"/>
        <v>{5203001,30}</v>
      </c>
      <c r="BA542" s="23" t="str">
        <f ca="1" t="shared" si="189"/>
        <v>{1,150}</v>
      </c>
      <c r="BB542" s="23" t="s">
        <v>401</v>
      </c>
      <c r="BC542" s="23" t="str">
        <f ca="1" t="shared" si="190"/>
        <v>{5113001,300}</v>
      </c>
      <c r="BD542" s="23" t="str">
        <f ca="1" t="shared" si="207"/>
        <v/>
      </c>
      <c r="BE542" s="23" t="str">
        <f ca="1" t="shared" si="211"/>
        <v>{50039,1}</v>
      </c>
      <c r="BF542" s="23" t="str">
        <f ca="1" t="shared" si="191"/>
        <v>{2,600}</v>
      </c>
      <c r="BI542" s="23" t="str">
        <f ca="1" t="shared" si="192"/>
        <v>[{11,5},{50008,15},{5123001,200},{2,240}]</v>
      </c>
      <c r="BJ542" s="23" t="str">
        <f ca="1" t="shared" si="193"/>
        <v>[{5153001,250},{5523001,200},{50004,25},{2,360},{5204001,5}]</v>
      </c>
      <c r="BK542" s="23" t="str">
        <f ca="1" t="shared" si="194"/>
        <v>[{5203001,30},{1,150},{5523001,300},{5113001,300},{50039,1},{2,600}]</v>
      </c>
      <c r="BL542" s="23">
        <f ca="1" t="shared" si="195"/>
        <v>4</v>
      </c>
      <c r="BM542" s="23">
        <f ca="1" t="shared" si="196"/>
        <v>5</v>
      </c>
      <c r="BN542" s="23">
        <f ca="1" t="shared" si="198"/>
        <v>6</v>
      </c>
      <c r="BP542" s="71" t="s">
        <v>374</v>
      </c>
      <c r="BQ542" s="71">
        <v>150</v>
      </c>
    </row>
    <row r="543" ht="16.5" spans="2:69">
      <c r="B543" s="23">
        <v>223</v>
      </c>
      <c r="C543" s="12"/>
      <c r="D543" s="12"/>
      <c r="E543" s="71"/>
      <c r="F543" s="71"/>
      <c r="G543" s="71" t="str">
        <f t="shared" si="200"/>
        <v>头盔图纸</v>
      </c>
      <c r="H543" s="71">
        <v>15</v>
      </c>
      <c r="I543" s="71" t="str">
        <f t="shared" si="205"/>
        <v>辅助特饮</v>
      </c>
      <c r="J543" s="71">
        <v>200</v>
      </c>
      <c r="K543" s="71" t="s">
        <v>96</v>
      </c>
      <c r="L543" s="71">
        <v>240</v>
      </c>
      <c r="M543" s="71" t="str">
        <f t="shared" si="208"/>
        <v>战士特饮</v>
      </c>
      <c r="N543" s="71">
        <f t="shared" si="212"/>
        <v>250</v>
      </c>
      <c r="O543" s="71" t="s">
        <v>316</v>
      </c>
      <c r="P543" s="71">
        <v>200</v>
      </c>
      <c r="Q543" s="71"/>
      <c r="R543" s="71"/>
      <c r="S543" s="72" t="str">
        <f t="shared" si="201"/>
        <v>护臂图纸</v>
      </c>
      <c r="T543" s="71">
        <v>25</v>
      </c>
      <c r="U543" s="71" t="str">
        <f t="shared" si="202"/>
        <v/>
      </c>
      <c r="V543" s="71">
        <f t="shared" si="203"/>
        <v>0</v>
      </c>
      <c r="W543" s="71" t="s">
        <v>96</v>
      </c>
      <c r="X543" s="71">
        <f t="shared" si="179"/>
        <v>360</v>
      </c>
      <c r="Y543" s="71"/>
      <c r="Z543" s="71"/>
      <c r="AA543" s="71" t="str">
        <f t="shared" si="209"/>
        <v>基因罐</v>
      </c>
      <c r="AB543" s="71">
        <f t="shared" si="213"/>
        <v>30</v>
      </c>
      <c r="AC543" s="71" t="s">
        <v>374</v>
      </c>
      <c r="AD543" s="71">
        <v>150</v>
      </c>
      <c r="AE543" s="72" t="str">
        <f t="shared" si="206"/>
        <v>法师特饮</v>
      </c>
      <c r="AF543" s="71">
        <v>300</v>
      </c>
      <c r="AG543" s="71"/>
      <c r="AH543" s="71"/>
      <c r="AI543" s="71" t="s">
        <v>390</v>
      </c>
      <c r="AJ543" s="71">
        <v>1</v>
      </c>
      <c r="AK543" s="71" t="s">
        <v>96</v>
      </c>
      <c r="AL543" s="71">
        <f t="shared" si="180"/>
        <v>600</v>
      </c>
      <c r="AN543" s="23" t="str">
        <f ca="1" t="shared" si="204"/>
        <v>{11,5}</v>
      </c>
      <c r="AO543" s="23" t="str">
        <f ca="1" t="shared" si="199"/>
        <v/>
      </c>
      <c r="AP543" s="23" t="str">
        <f ca="1" t="shared" si="181"/>
        <v>{50003,15}</v>
      </c>
      <c r="AQ543" s="23" t="str">
        <f ca="1" t="shared" si="182"/>
        <v>{5143001,200}</v>
      </c>
      <c r="AR543" s="23" t="str">
        <f ca="1" t="shared" si="183"/>
        <v>{2,240}</v>
      </c>
      <c r="AS543" s="23" t="str">
        <f ca="1" t="shared" si="184"/>
        <v>{5113001,250}</v>
      </c>
      <c r="AT543" s="23" t="str">
        <f ca="1" t="shared" si="210"/>
        <v>{5523001,200}</v>
      </c>
      <c r="AU543" s="23" t="str">
        <f ca="1" t="shared" si="197"/>
        <v/>
      </c>
      <c r="AV543" s="23" t="str">
        <f ca="1" t="shared" si="185"/>
        <v>{50005,25}</v>
      </c>
      <c r="AW543" s="23" t="str">
        <f ca="1" t="shared" si="186"/>
        <v/>
      </c>
      <c r="AX543" s="23" t="str">
        <f ca="1" t="shared" si="187"/>
        <v>{2,360}</v>
      </c>
      <c r="AY543" s="23" t="str">
        <f ca="1" t="shared" si="188"/>
        <v>{5204001,5}</v>
      </c>
      <c r="AZ543" s="23" t="str">
        <f ca="1" t="shared" ref="AZ543:AZ606" si="214">IF(OFFSET($B543,0,AZ$320*2+1)="","","{"&amp;VLOOKUP(OFFSET($B543,0,AZ$320*2+1),$AN$291:$AO$312,2,0)&amp;","&amp;OFFSET($B543,0,AZ$320*2+2)&amp;"}")</f>
        <v>{5203001,30}</v>
      </c>
      <c r="BA543" s="23" t="str">
        <f ca="1" t="shared" si="189"/>
        <v>{1,150}</v>
      </c>
      <c r="BB543" s="23" t="s">
        <v>401</v>
      </c>
      <c r="BC543" s="23" t="str">
        <f ca="1" t="shared" si="190"/>
        <v>{5123001,300}</v>
      </c>
      <c r="BD543" s="23" t="str">
        <f ca="1" t="shared" si="207"/>
        <v/>
      </c>
      <c r="BE543" s="23" t="str">
        <f ca="1" t="shared" si="211"/>
        <v>{50039,1}</v>
      </c>
      <c r="BF543" s="23" t="str">
        <f ca="1" t="shared" si="191"/>
        <v>{2,600}</v>
      </c>
      <c r="BI543" s="23" t="str">
        <f ca="1" t="shared" si="192"/>
        <v>[{11,5},{50003,15},{5143001,200},{2,240}]</v>
      </c>
      <c r="BJ543" s="23" t="str">
        <f ca="1" t="shared" si="193"/>
        <v>[{5113001,250},{5523001,200},{50005,25},{2,360},{5204001,5}]</v>
      </c>
      <c r="BK543" s="23" t="str">
        <f ca="1" t="shared" si="194"/>
        <v>[{5203001,30},{1,150},{5523001,300},{5123001,300},{50039,1},{2,600}]</v>
      </c>
      <c r="BL543" s="23">
        <f ca="1" t="shared" si="195"/>
        <v>4</v>
      </c>
      <c r="BM543" s="23">
        <f ca="1" t="shared" si="196"/>
        <v>5</v>
      </c>
      <c r="BN543" s="23">
        <f ca="1" t="shared" si="198"/>
        <v>6</v>
      </c>
      <c r="BP543" s="71" t="s">
        <v>374</v>
      </c>
      <c r="BQ543" s="71">
        <v>150</v>
      </c>
    </row>
    <row r="544" ht="16.5" spans="2:69">
      <c r="B544" s="23">
        <v>224</v>
      </c>
      <c r="C544" s="12"/>
      <c r="D544" s="12"/>
      <c r="E544" s="71"/>
      <c r="F544" s="71"/>
      <c r="G544" s="71" t="str">
        <f t="shared" si="200"/>
        <v>衣服图纸</v>
      </c>
      <c r="H544" s="71">
        <v>15</v>
      </c>
      <c r="I544" s="71" t="str">
        <f t="shared" si="205"/>
        <v>战士特饮</v>
      </c>
      <c r="J544" s="71">
        <v>200</v>
      </c>
      <c r="K544" s="71" t="s">
        <v>96</v>
      </c>
      <c r="L544" s="71">
        <v>240</v>
      </c>
      <c r="M544" s="71" t="str">
        <f t="shared" si="208"/>
        <v>法师特饮</v>
      </c>
      <c r="N544" s="71">
        <f t="shared" si="212"/>
        <v>250</v>
      </c>
      <c r="O544" s="71" t="s">
        <v>316</v>
      </c>
      <c r="P544" s="71">
        <v>200</v>
      </c>
      <c r="Q544" s="71"/>
      <c r="R544" s="71"/>
      <c r="S544" s="72" t="str">
        <f t="shared" si="201"/>
        <v>裤子图纸</v>
      </c>
      <c r="T544" s="71">
        <v>25</v>
      </c>
      <c r="U544" s="71" t="str">
        <f t="shared" si="202"/>
        <v/>
      </c>
      <c r="V544" s="71">
        <f t="shared" si="203"/>
        <v>0</v>
      </c>
      <c r="W544" s="71" t="s">
        <v>96</v>
      </c>
      <c r="X544" s="71">
        <f t="shared" si="179"/>
        <v>360</v>
      </c>
      <c r="Y544" s="71"/>
      <c r="Z544" s="71"/>
      <c r="AA544" s="71" t="str">
        <f t="shared" si="209"/>
        <v>基因罐</v>
      </c>
      <c r="AB544" s="71">
        <f t="shared" si="213"/>
        <v>30</v>
      </c>
      <c r="AC544" s="71" t="s">
        <v>374</v>
      </c>
      <c r="AD544" s="71">
        <v>150</v>
      </c>
      <c r="AE544" s="72" t="str">
        <f t="shared" si="206"/>
        <v>辅助特饮</v>
      </c>
      <c r="AF544" s="71">
        <v>300</v>
      </c>
      <c r="AG544" s="71"/>
      <c r="AH544" s="71"/>
      <c r="AI544" s="71" t="s">
        <v>390</v>
      </c>
      <c r="AJ544" s="71">
        <v>1</v>
      </c>
      <c r="AK544" s="71" t="s">
        <v>96</v>
      </c>
      <c r="AL544" s="71">
        <f t="shared" si="180"/>
        <v>600</v>
      </c>
      <c r="AN544" s="23" t="str">
        <f ca="1" t="shared" si="204"/>
        <v>{11,5}</v>
      </c>
      <c r="AO544" s="23" t="str">
        <f ca="1" t="shared" si="199"/>
        <v/>
      </c>
      <c r="AP544" s="23" t="str">
        <f ca="1" t="shared" si="181"/>
        <v>{50004,15}</v>
      </c>
      <c r="AQ544" s="23" t="str">
        <f ca="1" t="shared" si="182"/>
        <v>{5113001,200}</v>
      </c>
      <c r="AR544" s="23" t="str">
        <f ca="1" t="shared" si="183"/>
        <v>{2,240}</v>
      </c>
      <c r="AS544" s="23" t="str">
        <f ca="1" t="shared" si="184"/>
        <v>{5123001,250}</v>
      </c>
      <c r="AT544" s="23" t="str">
        <f ca="1" t="shared" si="210"/>
        <v>{5523001,200}</v>
      </c>
      <c r="AU544" s="23" t="str">
        <f ca="1" t="shared" si="197"/>
        <v/>
      </c>
      <c r="AV544" s="23" t="str">
        <f ca="1" t="shared" si="185"/>
        <v>{50006,25}</v>
      </c>
      <c r="AW544" s="23" t="str">
        <f ca="1" t="shared" si="186"/>
        <v/>
      </c>
      <c r="AX544" s="23" t="str">
        <f ca="1" t="shared" si="187"/>
        <v>{2,360}</v>
      </c>
      <c r="AY544" s="23" t="str">
        <f ca="1" t="shared" si="188"/>
        <v>{5204001,5}</v>
      </c>
      <c r="AZ544" s="23" t="str">
        <f ca="1" t="shared" si="214"/>
        <v>{5203001,30}</v>
      </c>
      <c r="BA544" s="23" t="str">
        <f ca="1" t="shared" si="189"/>
        <v>{1,150}</v>
      </c>
      <c r="BB544" s="23" t="s">
        <v>401</v>
      </c>
      <c r="BC544" s="23" t="str">
        <f ca="1" t="shared" si="190"/>
        <v>{5143001,300}</v>
      </c>
      <c r="BD544" s="23" t="str">
        <f ca="1" t="shared" si="207"/>
        <v/>
      </c>
      <c r="BE544" s="23" t="str">
        <f ca="1" t="shared" si="211"/>
        <v>{50039,1}</v>
      </c>
      <c r="BF544" s="23" t="str">
        <f ca="1" t="shared" si="191"/>
        <v>{2,600}</v>
      </c>
      <c r="BI544" s="23" t="str">
        <f ca="1" t="shared" si="192"/>
        <v>[{11,5},{50004,15},{5113001,200},{2,240}]</v>
      </c>
      <c r="BJ544" s="23" t="str">
        <f ca="1" t="shared" si="193"/>
        <v>[{5123001,250},{5523001,200},{50006,25},{2,360},{5204001,5}]</v>
      </c>
      <c r="BK544" s="23" t="str">
        <f ca="1" t="shared" si="194"/>
        <v>[{5203001,30},{1,150},{5523001,300},{5143001,300},{50039,1},{2,600}]</v>
      </c>
      <c r="BL544" s="23">
        <f ca="1" t="shared" si="195"/>
        <v>4</v>
      </c>
      <c r="BM544" s="23">
        <f ca="1" t="shared" si="196"/>
        <v>5</v>
      </c>
      <c r="BN544" s="23">
        <f ca="1" t="shared" si="198"/>
        <v>6</v>
      </c>
      <c r="BP544" s="71" t="s">
        <v>374</v>
      </c>
      <c r="BQ544" s="71">
        <v>150</v>
      </c>
    </row>
    <row r="545" ht="16.5" spans="2:69">
      <c r="B545" s="23">
        <v>225</v>
      </c>
      <c r="C545" s="12" t="str">
        <f t="shared" si="177"/>
        <v>梦愿水晶</v>
      </c>
      <c r="D545" s="12">
        <f t="shared" si="178"/>
        <v>1</v>
      </c>
      <c r="E545" s="71"/>
      <c r="F545" s="71"/>
      <c r="G545" s="71" t="str">
        <f t="shared" si="200"/>
        <v>护臂图纸</v>
      </c>
      <c r="H545" s="71">
        <v>15</v>
      </c>
      <c r="I545" s="71" t="str">
        <f t="shared" si="205"/>
        <v>毒系特饮</v>
      </c>
      <c r="J545" s="71">
        <v>200</v>
      </c>
      <c r="K545" s="71" t="s">
        <v>96</v>
      </c>
      <c r="L545" s="71">
        <v>240</v>
      </c>
      <c r="M545" s="71" t="str">
        <f t="shared" si="208"/>
        <v>辅助特饮</v>
      </c>
      <c r="N545" s="71">
        <f t="shared" si="212"/>
        <v>250</v>
      </c>
      <c r="O545" s="71" t="s">
        <v>316</v>
      </c>
      <c r="P545" s="71">
        <v>200</v>
      </c>
      <c r="Q545" s="71"/>
      <c r="R545" s="71"/>
      <c r="S545" s="72" t="str">
        <f t="shared" si="201"/>
        <v>鞋子图纸</v>
      </c>
      <c r="T545" s="71">
        <v>25</v>
      </c>
      <c r="U545" s="71" t="str">
        <f t="shared" si="202"/>
        <v>灵感获取令</v>
      </c>
      <c r="V545" s="71">
        <f t="shared" si="203"/>
        <v>1</v>
      </c>
      <c r="W545" s="71" t="s">
        <v>96</v>
      </c>
      <c r="X545" s="71">
        <f t="shared" si="179"/>
        <v>360</v>
      </c>
      <c r="Y545" s="71"/>
      <c r="Z545" s="71"/>
      <c r="AA545" s="71" t="str">
        <f t="shared" si="209"/>
        <v>传说基因罐</v>
      </c>
      <c r="AB545" s="71">
        <f t="shared" si="213"/>
        <v>3</v>
      </c>
      <c r="AC545" s="71" t="s">
        <v>374</v>
      </c>
      <c r="AD545" s="71">
        <v>150</v>
      </c>
      <c r="AE545" s="72" t="str">
        <f t="shared" si="206"/>
        <v>毒系特饮</v>
      </c>
      <c r="AF545" s="71">
        <v>300</v>
      </c>
      <c r="AG545" s="71"/>
      <c r="AH545" s="71"/>
      <c r="AI545" s="71" t="s">
        <v>390</v>
      </c>
      <c r="AJ545" s="71">
        <v>1</v>
      </c>
      <c r="AK545" s="71" t="s">
        <v>96</v>
      </c>
      <c r="AL545" s="71">
        <f t="shared" si="180"/>
        <v>600</v>
      </c>
      <c r="AN545" s="23" t="str">
        <f ca="1" t="shared" si="204"/>
        <v>{35,1}</v>
      </c>
      <c r="AO545" s="23" t="str">
        <f ca="1" t="shared" si="199"/>
        <v/>
      </c>
      <c r="AP545" s="23" t="str">
        <f ca="1" t="shared" si="181"/>
        <v>{50005,15}</v>
      </c>
      <c r="AQ545" s="23" t="str">
        <f ca="1" t="shared" si="182"/>
        <v>{5163001,200}</v>
      </c>
      <c r="AR545" s="23" t="str">
        <f ca="1" t="shared" si="183"/>
        <v>{2,240}</v>
      </c>
      <c r="AS545" s="23" t="str">
        <f ca="1" t="shared" si="184"/>
        <v>{5143001,250}</v>
      </c>
      <c r="AT545" s="23" t="str">
        <f ca="1" t="shared" si="210"/>
        <v>{5523001,200}</v>
      </c>
      <c r="AU545" s="23" t="str">
        <f ca="1" t="shared" si="197"/>
        <v/>
      </c>
      <c r="AV545" s="23" t="str">
        <f ca="1" t="shared" si="185"/>
        <v>{50007,25}</v>
      </c>
      <c r="AW545" s="23" t="str">
        <f ca="1" t="shared" si="186"/>
        <v>{9,1}</v>
      </c>
      <c r="AX545" s="23" t="str">
        <f ca="1" t="shared" si="187"/>
        <v>{2,360}</v>
      </c>
      <c r="AY545" s="23" t="str">
        <f ca="1" t="shared" si="188"/>
        <v>{5204001,5}</v>
      </c>
      <c r="AZ545" s="23" t="str">
        <f ca="1" t="shared" si="214"/>
        <v>{5205001,3}</v>
      </c>
      <c r="BA545" s="23" t="str">
        <f ca="1" t="shared" si="189"/>
        <v>{1,150}</v>
      </c>
      <c r="BB545" s="23" t="s">
        <v>401</v>
      </c>
      <c r="BC545" s="23" t="str">
        <f ca="1" t="shared" si="190"/>
        <v>{5163001,300}</v>
      </c>
      <c r="BD545" s="23" t="str">
        <f ca="1" t="shared" si="207"/>
        <v/>
      </c>
      <c r="BE545" s="23" t="str">
        <f ca="1" t="shared" si="211"/>
        <v>{50039,1}</v>
      </c>
      <c r="BF545" s="23" t="str">
        <f ca="1" t="shared" si="191"/>
        <v>{2,600}</v>
      </c>
      <c r="BI545" s="23" t="str">
        <f ca="1" t="shared" si="192"/>
        <v>[{35,1},{50005,15},{5163001,200},{2,240}]</v>
      </c>
      <c r="BJ545" s="23" t="str">
        <f ca="1" t="shared" si="193"/>
        <v>[{5143001,250},{5523001,200},{50007,25},{9,1},{2,360},{5204001,5}]</v>
      </c>
      <c r="BK545" s="23" t="str">
        <f ca="1" t="shared" si="194"/>
        <v>[{5205001,3},{1,150},{5523001,300},{5163001,300},{50039,1},{2,600}]</v>
      </c>
      <c r="BL545" s="23">
        <f ca="1" t="shared" si="195"/>
        <v>4</v>
      </c>
      <c r="BM545" s="23">
        <f ca="1" t="shared" si="196"/>
        <v>6</v>
      </c>
      <c r="BN545" s="23">
        <f ca="1" t="shared" si="198"/>
        <v>6</v>
      </c>
      <c r="BP545" s="71" t="s">
        <v>374</v>
      </c>
      <c r="BQ545" s="71">
        <v>150</v>
      </c>
    </row>
    <row r="546" ht="16.5" spans="2:69">
      <c r="B546" s="23">
        <v>226</v>
      </c>
      <c r="C546" s="12"/>
      <c r="D546" s="12"/>
      <c r="E546" s="71"/>
      <c r="F546" s="71"/>
      <c r="G546" s="71" t="str">
        <f t="shared" si="200"/>
        <v>裤子图纸</v>
      </c>
      <c r="H546" s="71">
        <v>15</v>
      </c>
      <c r="I546" s="71" t="str">
        <f t="shared" si="205"/>
        <v>控制特饮</v>
      </c>
      <c r="J546" s="71">
        <v>200</v>
      </c>
      <c r="K546" s="71" t="s">
        <v>96</v>
      </c>
      <c r="L546" s="71">
        <v>240</v>
      </c>
      <c r="M546" s="71" t="str">
        <f t="shared" si="208"/>
        <v>射手特饮</v>
      </c>
      <c r="N546" s="71">
        <f t="shared" si="212"/>
        <v>250</v>
      </c>
      <c r="O546" s="71" t="s">
        <v>316</v>
      </c>
      <c r="P546" s="71">
        <v>200</v>
      </c>
      <c r="Q546" s="71"/>
      <c r="R546" s="71"/>
      <c r="S546" s="72" t="str">
        <f t="shared" si="201"/>
        <v>手套图纸</v>
      </c>
      <c r="T546" s="71">
        <v>25</v>
      </c>
      <c r="U546" s="71" t="str">
        <f t="shared" si="202"/>
        <v/>
      </c>
      <c r="V546" s="71">
        <f t="shared" si="203"/>
        <v>0</v>
      </c>
      <c r="W546" s="71" t="s">
        <v>96</v>
      </c>
      <c r="X546" s="71">
        <f t="shared" si="179"/>
        <v>360</v>
      </c>
      <c r="Y546" s="71"/>
      <c r="Z546" s="71"/>
      <c r="AA546" s="71" t="str">
        <f t="shared" si="209"/>
        <v>基因罐</v>
      </c>
      <c r="AB546" s="71">
        <f t="shared" si="213"/>
        <v>30</v>
      </c>
      <c r="AC546" s="71" t="s">
        <v>374</v>
      </c>
      <c r="AD546" s="71">
        <v>150</v>
      </c>
      <c r="AE546" s="72" t="str">
        <f t="shared" si="206"/>
        <v>控制特饮</v>
      </c>
      <c r="AF546" s="71">
        <v>300</v>
      </c>
      <c r="AG546" s="71"/>
      <c r="AH546" s="71"/>
      <c r="AI546" s="71" t="s">
        <v>390</v>
      </c>
      <c r="AJ546" s="71">
        <v>1</v>
      </c>
      <c r="AK546" s="71" t="s">
        <v>96</v>
      </c>
      <c r="AL546" s="71">
        <f t="shared" si="180"/>
        <v>600</v>
      </c>
      <c r="AN546" s="23" t="str">
        <f ca="1" t="shared" si="204"/>
        <v>{11,5}</v>
      </c>
      <c r="AO546" s="23" t="str">
        <f ca="1" t="shared" si="199"/>
        <v/>
      </c>
      <c r="AP546" s="23" t="str">
        <f ca="1" t="shared" si="181"/>
        <v>{50006,15}</v>
      </c>
      <c r="AQ546" s="23" t="str">
        <f ca="1" t="shared" si="182"/>
        <v>{5153001,200}</v>
      </c>
      <c r="AR546" s="23" t="str">
        <f ca="1" t="shared" si="183"/>
        <v>{2,240}</v>
      </c>
      <c r="AS546" s="23" t="str">
        <f ca="1" t="shared" si="184"/>
        <v>{5133001,250}</v>
      </c>
      <c r="AT546" s="23" t="str">
        <f ca="1" t="shared" si="210"/>
        <v>{5523001,200}</v>
      </c>
      <c r="AU546" s="23" t="str">
        <f ca="1" t="shared" si="197"/>
        <v/>
      </c>
      <c r="AV546" s="23" t="str">
        <f ca="1" t="shared" si="185"/>
        <v>{50008,25}</v>
      </c>
      <c r="AW546" s="23" t="str">
        <f ca="1" t="shared" si="186"/>
        <v/>
      </c>
      <c r="AX546" s="23" t="str">
        <f ca="1" t="shared" si="187"/>
        <v>{2,360}</v>
      </c>
      <c r="AY546" s="23" t="str">
        <f ca="1" t="shared" si="188"/>
        <v>{5204001,5}</v>
      </c>
      <c r="AZ546" s="23" t="str">
        <f ca="1" t="shared" si="214"/>
        <v>{5203001,30}</v>
      </c>
      <c r="BA546" s="23" t="str">
        <f ca="1" t="shared" si="189"/>
        <v>{1,150}</v>
      </c>
      <c r="BB546" s="23" t="s">
        <v>401</v>
      </c>
      <c r="BC546" s="23" t="str">
        <f ca="1" t="shared" si="190"/>
        <v>{5153001,300}</v>
      </c>
      <c r="BD546" s="23" t="str">
        <f ca="1" t="shared" si="207"/>
        <v/>
      </c>
      <c r="BE546" s="23" t="str">
        <f ca="1" t="shared" si="211"/>
        <v>{50039,1}</v>
      </c>
      <c r="BF546" s="23" t="str">
        <f ca="1" t="shared" si="191"/>
        <v>{2,600}</v>
      </c>
      <c r="BI546" s="23" t="str">
        <f ca="1" t="shared" si="192"/>
        <v>[{11,5},{50006,15},{5153001,200},{2,240}]</v>
      </c>
      <c r="BJ546" s="23" t="str">
        <f ca="1" t="shared" si="193"/>
        <v>[{5133001,250},{5523001,200},{50008,25},{2,360},{5204001,5}]</v>
      </c>
      <c r="BK546" s="23" t="str">
        <f ca="1" t="shared" si="194"/>
        <v>[{5203001,30},{1,150},{5523001,300},{5153001,300},{50039,1},{2,600}]</v>
      </c>
      <c r="BL546" s="23">
        <f ca="1" t="shared" si="195"/>
        <v>4</v>
      </c>
      <c r="BM546" s="23">
        <f ca="1" t="shared" si="196"/>
        <v>5</v>
      </c>
      <c r="BN546" s="23">
        <f ca="1" t="shared" si="198"/>
        <v>6</v>
      </c>
      <c r="BP546" s="71" t="s">
        <v>374</v>
      </c>
      <c r="BQ546" s="71">
        <v>150</v>
      </c>
    </row>
    <row r="547" ht="16.5" spans="2:69">
      <c r="B547" s="23">
        <v>227</v>
      </c>
      <c r="C547" s="12"/>
      <c r="D547" s="12"/>
      <c r="E547" s="71"/>
      <c r="F547" s="71"/>
      <c r="G547" s="71" t="str">
        <f t="shared" si="200"/>
        <v>鞋子图纸</v>
      </c>
      <c r="H547" s="71">
        <v>15</v>
      </c>
      <c r="I547" s="71" t="str">
        <f t="shared" si="205"/>
        <v>射手特饮</v>
      </c>
      <c r="J547" s="71">
        <v>200</v>
      </c>
      <c r="K547" s="71" t="s">
        <v>96</v>
      </c>
      <c r="L547" s="71">
        <v>240</v>
      </c>
      <c r="M547" s="71" t="str">
        <f t="shared" si="208"/>
        <v>毒系特饮</v>
      </c>
      <c r="N547" s="71">
        <f t="shared" si="212"/>
        <v>250</v>
      </c>
      <c r="O547" s="71" t="s">
        <v>316</v>
      </c>
      <c r="P547" s="71">
        <v>200</v>
      </c>
      <c r="Q547" s="71"/>
      <c r="R547" s="71"/>
      <c r="S547" s="72" t="str">
        <f t="shared" si="201"/>
        <v>头盔图纸</v>
      </c>
      <c r="T547" s="71">
        <v>25</v>
      </c>
      <c r="U547" s="71" t="str">
        <f t="shared" si="202"/>
        <v/>
      </c>
      <c r="V547" s="71">
        <f t="shared" si="203"/>
        <v>0</v>
      </c>
      <c r="W547" s="71" t="s">
        <v>96</v>
      </c>
      <c r="X547" s="71">
        <f t="shared" si="179"/>
        <v>360</v>
      </c>
      <c r="Y547" s="71"/>
      <c r="Z547" s="71"/>
      <c r="AA547" s="71" t="str">
        <f t="shared" si="209"/>
        <v>基因罐</v>
      </c>
      <c r="AB547" s="71">
        <f t="shared" si="213"/>
        <v>30</v>
      </c>
      <c r="AC547" s="71" t="s">
        <v>374</v>
      </c>
      <c r="AD547" s="71">
        <v>150</v>
      </c>
      <c r="AE547" s="72" t="str">
        <f t="shared" si="206"/>
        <v>射手特饮</v>
      </c>
      <c r="AF547" s="71">
        <v>300</v>
      </c>
      <c r="AG547" s="71"/>
      <c r="AH547" s="71"/>
      <c r="AI547" s="71" t="s">
        <v>390</v>
      </c>
      <c r="AJ547" s="71">
        <v>1</v>
      </c>
      <c r="AK547" s="71" t="s">
        <v>96</v>
      </c>
      <c r="AL547" s="71">
        <f t="shared" si="180"/>
        <v>600</v>
      </c>
      <c r="AN547" s="23" t="str">
        <f ca="1" t="shared" si="204"/>
        <v>{11,5}</v>
      </c>
      <c r="AO547" s="23" t="str">
        <f ca="1" t="shared" si="199"/>
        <v/>
      </c>
      <c r="AP547" s="23" t="str">
        <f ca="1" t="shared" si="181"/>
        <v>{50007,15}</v>
      </c>
      <c r="AQ547" s="23" t="str">
        <f ca="1" t="shared" si="182"/>
        <v>{5133001,200}</v>
      </c>
      <c r="AR547" s="23" t="str">
        <f ca="1" t="shared" si="183"/>
        <v>{2,240}</v>
      </c>
      <c r="AS547" s="23" t="str">
        <f ca="1" t="shared" si="184"/>
        <v>{5163001,250}</v>
      </c>
      <c r="AT547" s="23" t="str">
        <f ca="1" t="shared" si="210"/>
        <v>{5523001,200}</v>
      </c>
      <c r="AU547" s="23" t="str">
        <f ca="1" t="shared" si="197"/>
        <v/>
      </c>
      <c r="AV547" s="23" t="str">
        <f ca="1" t="shared" si="185"/>
        <v>{50003,25}</v>
      </c>
      <c r="AW547" s="23" t="str">
        <f ca="1" t="shared" si="186"/>
        <v/>
      </c>
      <c r="AX547" s="23" t="str">
        <f ca="1" t="shared" si="187"/>
        <v>{2,360}</v>
      </c>
      <c r="AY547" s="23" t="str">
        <f ca="1" t="shared" si="188"/>
        <v>{5204001,5}</v>
      </c>
      <c r="AZ547" s="23" t="str">
        <f ca="1" t="shared" si="214"/>
        <v>{5203001,30}</v>
      </c>
      <c r="BA547" s="23" t="str">
        <f ca="1" t="shared" si="189"/>
        <v>{1,150}</v>
      </c>
      <c r="BB547" s="23" t="s">
        <v>401</v>
      </c>
      <c r="BC547" s="23" t="str">
        <f ca="1" t="shared" si="190"/>
        <v>{5133001,300}</v>
      </c>
      <c r="BD547" s="23" t="str">
        <f ca="1" t="shared" si="207"/>
        <v/>
      </c>
      <c r="BE547" s="23" t="str">
        <f ca="1" t="shared" si="211"/>
        <v>{50039,1}</v>
      </c>
      <c r="BF547" s="23" t="str">
        <f ca="1" t="shared" si="191"/>
        <v>{2,600}</v>
      </c>
      <c r="BI547" s="23" t="str">
        <f ca="1" t="shared" si="192"/>
        <v>[{11,5},{50007,15},{5133001,200},{2,240}]</v>
      </c>
      <c r="BJ547" s="23" t="str">
        <f ca="1" t="shared" si="193"/>
        <v>[{5163001,250},{5523001,200},{50003,25},{2,360},{5204001,5}]</v>
      </c>
      <c r="BK547" s="23" t="str">
        <f ca="1" t="shared" si="194"/>
        <v>[{5203001,30},{1,150},{5523001,300},{5133001,300},{50039,1},{2,600}]</v>
      </c>
      <c r="BL547" s="23">
        <f ca="1" t="shared" si="195"/>
        <v>4</v>
      </c>
      <c r="BM547" s="23">
        <f ca="1" t="shared" si="196"/>
        <v>5</v>
      </c>
      <c r="BN547" s="23">
        <f ca="1" t="shared" si="198"/>
        <v>6</v>
      </c>
      <c r="BP547" s="71" t="s">
        <v>374</v>
      </c>
      <c r="BQ547" s="71">
        <v>150</v>
      </c>
    </row>
    <row r="548" ht="16.5" spans="2:69">
      <c r="B548" s="23">
        <v>228</v>
      </c>
      <c r="C548" s="12"/>
      <c r="D548" s="12"/>
      <c r="E548" s="71"/>
      <c r="F548" s="71"/>
      <c r="G548" s="71" t="str">
        <f t="shared" si="200"/>
        <v>手套图纸</v>
      </c>
      <c r="H548" s="71">
        <v>15</v>
      </c>
      <c r="I548" s="71" t="str">
        <f t="shared" si="205"/>
        <v>法师特饮</v>
      </c>
      <c r="J548" s="71">
        <v>200</v>
      </c>
      <c r="K548" s="71" t="s">
        <v>96</v>
      </c>
      <c r="L548" s="71">
        <v>240</v>
      </c>
      <c r="M548" s="71" t="str">
        <f t="shared" si="208"/>
        <v>控制特饮</v>
      </c>
      <c r="N548" s="71">
        <f t="shared" si="212"/>
        <v>250</v>
      </c>
      <c r="O548" s="71" t="s">
        <v>316</v>
      </c>
      <c r="P548" s="71">
        <v>200</v>
      </c>
      <c r="Q548" s="71"/>
      <c r="R548" s="71"/>
      <c r="S548" s="72" t="str">
        <f t="shared" si="201"/>
        <v>衣服图纸</v>
      </c>
      <c r="T548" s="71">
        <v>25</v>
      </c>
      <c r="U548" s="71" t="str">
        <f t="shared" si="202"/>
        <v/>
      </c>
      <c r="V548" s="71">
        <f t="shared" si="203"/>
        <v>0</v>
      </c>
      <c r="W548" s="71" t="s">
        <v>96</v>
      </c>
      <c r="X548" s="71">
        <f t="shared" si="179"/>
        <v>360</v>
      </c>
      <c r="Y548" s="71"/>
      <c r="Z548" s="71"/>
      <c r="AA548" s="71" t="str">
        <f t="shared" si="209"/>
        <v>基因罐</v>
      </c>
      <c r="AB548" s="71">
        <f t="shared" si="213"/>
        <v>30</v>
      </c>
      <c r="AC548" s="71" t="s">
        <v>374</v>
      </c>
      <c r="AD548" s="71">
        <v>150</v>
      </c>
      <c r="AE548" s="72" t="str">
        <f t="shared" si="206"/>
        <v>战士特饮</v>
      </c>
      <c r="AF548" s="71">
        <v>300</v>
      </c>
      <c r="AG548" s="71"/>
      <c r="AH548" s="71"/>
      <c r="AI548" s="71" t="s">
        <v>390</v>
      </c>
      <c r="AJ548" s="71">
        <v>1</v>
      </c>
      <c r="AK548" s="71" t="s">
        <v>96</v>
      </c>
      <c r="AL548" s="71">
        <f t="shared" si="180"/>
        <v>600</v>
      </c>
      <c r="AN548" s="23" t="str">
        <f ca="1" t="shared" si="204"/>
        <v>{11,5}</v>
      </c>
      <c r="AO548" s="23" t="str">
        <f ca="1" t="shared" si="199"/>
        <v/>
      </c>
      <c r="AP548" s="23" t="str">
        <f ca="1" t="shared" si="181"/>
        <v>{50008,15}</v>
      </c>
      <c r="AQ548" s="23" t="str">
        <f ca="1" t="shared" si="182"/>
        <v>{5123001,200}</v>
      </c>
      <c r="AR548" s="23" t="str">
        <f ca="1" t="shared" si="183"/>
        <v>{2,240}</v>
      </c>
      <c r="AS548" s="23" t="str">
        <f ca="1" t="shared" si="184"/>
        <v>{5153001,250}</v>
      </c>
      <c r="AT548" s="23" t="str">
        <f ca="1" t="shared" si="210"/>
        <v>{5523001,200}</v>
      </c>
      <c r="AU548" s="23" t="str">
        <f ca="1" t="shared" si="197"/>
        <v/>
      </c>
      <c r="AV548" s="23" t="str">
        <f ca="1" t="shared" si="185"/>
        <v>{50004,25}</v>
      </c>
      <c r="AW548" s="23" t="str">
        <f ca="1" t="shared" si="186"/>
        <v/>
      </c>
      <c r="AX548" s="23" t="str">
        <f ca="1" t="shared" si="187"/>
        <v>{2,360}</v>
      </c>
      <c r="AY548" s="23" t="str">
        <f ca="1" t="shared" si="188"/>
        <v>{5204001,5}</v>
      </c>
      <c r="AZ548" s="23" t="str">
        <f ca="1" t="shared" si="214"/>
        <v>{5203001,30}</v>
      </c>
      <c r="BA548" s="23" t="str">
        <f ca="1" t="shared" si="189"/>
        <v>{1,150}</v>
      </c>
      <c r="BB548" s="23" t="s">
        <v>401</v>
      </c>
      <c r="BC548" s="23" t="str">
        <f ca="1" t="shared" si="190"/>
        <v>{5113001,300}</v>
      </c>
      <c r="BD548" s="23" t="str">
        <f ca="1" t="shared" si="207"/>
        <v/>
      </c>
      <c r="BE548" s="23" t="str">
        <f ca="1" t="shared" si="211"/>
        <v>{50039,1}</v>
      </c>
      <c r="BF548" s="23" t="str">
        <f ca="1" t="shared" si="191"/>
        <v>{2,600}</v>
      </c>
      <c r="BI548" s="23" t="str">
        <f ca="1" t="shared" si="192"/>
        <v>[{11,5},{50008,15},{5123001,200},{2,240}]</v>
      </c>
      <c r="BJ548" s="23" t="str">
        <f ca="1" t="shared" si="193"/>
        <v>[{5153001,250},{5523001,200},{50004,25},{2,360},{5204001,5}]</v>
      </c>
      <c r="BK548" s="23" t="str">
        <f ca="1" t="shared" si="194"/>
        <v>[{5203001,30},{1,150},{5523001,300},{5113001,300},{50039,1},{2,600}]</v>
      </c>
      <c r="BL548" s="23">
        <f ca="1" t="shared" si="195"/>
        <v>4</v>
      </c>
      <c r="BM548" s="23">
        <f ca="1" t="shared" si="196"/>
        <v>5</v>
      </c>
      <c r="BN548" s="23">
        <f ca="1" t="shared" si="198"/>
        <v>6</v>
      </c>
      <c r="BP548" s="71" t="s">
        <v>374</v>
      </c>
      <c r="BQ548" s="71">
        <v>150</v>
      </c>
    </row>
    <row r="549" ht="16.5" spans="2:69">
      <c r="B549" s="23">
        <v>229</v>
      </c>
      <c r="C549" s="12"/>
      <c r="D549" s="12"/>
      <c r="E549" s="71"/>
      <c r="F549" s="71"/>
      <c r="G549" s="71" t="str">
        <f t="shared" si="200"/>
        <v>头盔图纸</v>
      </c>
      <c r="H549" s="71">
        <v>15</v>
      </c>
      <c r="I549" s="71" t="str">
        <f t="shared" si="205"/>
        <v>辅助特饮</v>
      </c>
      <c r="J549" s="71">
        <v>200</v>
      </c>
      <c r="K549" s="71" t="s">
        <v>96</v>
      </c>
      <c r="L549" s="71">
        <v>240</v>
      </c>
      <c r="M549" s="71" t="str">
        <f t="shared" si="208"/>
        <v>战士特饮</v>
      </c>
      <c r="N549" s="71">
        <f t="shared" si="212"/>
        <v>250</v>
      </c>
      <c r="O549" s="71" t="s">
        <v>316</v>
      </c>
      <c r="P549" s="71">
        <v>200</v>
      </c>
      <c r="Q549" s="71"/>
      <c r="R549" s="71"/>
      <c r="S549" s="72" t="str">
        <f t="shared" si="201"/>
        <v>护臂图纸</v>
      </c>
      <c r="T549" s="71">
        <v>25</v>
      </c>
      <c r="U549" s="71" t="str">
        <f t="shared" si="202"/>
        <v/>
      </c>
      <c r="V549" s="71">
        <f t="shared" si="203"/>
        <v>0</v>
      </c>
      <c r="W549" s="71" t="s">
        <v>96</v>
      </c>
      <c r="X549" s="71">
        <f t="shared" si="179"/>
        <v>360</v>
      </c>
      <c r="Y549" s="71"/>
      <c r="Z549" s="71"/>
      <c r="AA549" s="71" t="str">
        <f t="shared" si="209"/>
        <v>基因罐</v>
      </c>
      <c r="AB549" s="71">
        <f t="shared" si="213"/>
        <v>30</v>
      </c>
      <c r="AC549" s="71" t="s">
        <v>374</v>
      </c>
      <c r="AD549" s="71">
        <v>150</v>
      </c>
      <c r="AE549" s="72" t="str">
        <f t="shared" si="206"/>
        <v>法师特饮</v>
      </c>
      <c r="AF549" s="71">
        <v>300</v>
      </c>
      <c r="AG549" s="71"/>
      <c r="AH549" s="71"/>
      <c r="AI549" s="71" t="s">
        <v>390</v>
      </c>
      <c r="AJ549" s="71">
        <v>1</v>
      </c>
      <c r="AK549" s="71" t="s">
        <v>96</v>
      </c>
      <c r="AL549" s="71">
        <f t="shared" si="180"/>
        <v>600</v>
      </c>
      <c r="AN549" s="23" t="str">
        <f ca="1" t="shared" si="204"/>
        <v>{11,5}</v>
      </c>
      <c r="AO549" s="23" t="str">
        <f ca="1" t="shared" si="199"/>
        <v/>
      </c>
      <c r="AP549" s="23" t="str">
        <f ca="1" t="shared" si="181"/>
        <v>{50003,15}</v>
      </c>
      <c r="AQ549" s="23" t="str">
        <f ca="1" t="shared" si="182"/>
        <v>{5143001,200}</v>
      </c>
      <c r="AR549" s="23" t="str">
        <f ca="1" t="shared" si="183"/>
        <v>{2,240}</v>
      </c>
      <c r="AS549" s="23" t="str">
        <f ca="1" t="shared" si="184"/>
        <v>{5113001,250}</v>
      </c>
      <c r="AT549" s="23" t="str">
        <f ca="1" t="shared" si="210"/>
        <v>{5523001,200}</v>
      </c>
      <c r="AU549" s="23" t="str">
        <f ca="1" t="shared" si="197"/>
        <v/>
      </c>
      <c r="AV549" s="23" t="str">
        <f ca="1" t="shared" si="185"/>
        <v>{50005,25}</v>
      </c>
      <c r="AW549" s="23" t="str">
        <f ca="1" t="shared" si="186"/>
        <v/>
      </c>
      <c r="AX549" s="23" t="str">
        <f ca="1" t="shared" si="187"/>
        <v>{2,360}</v>
      </c>
      <c r="AY549" s="23" t="str">
        <f ca="1" t="shared" si="188"/>
        <v>{5204001,5}</v>
      </c>
      <c r="AZ549" s="23" t="str">
        <f ca="1" t="shared" si="214"/>
        <v>{5203001,30}</v>
      </c>
      <c r="BA549" s="23" t="str">
        <f ca="1" t="shared" si="189"/>
        <v>{1,150}</v>
      </c>
      <c r="BB549" s="23" t="s">
        <v>401</v>
      </c>
      <c r="BC549" s="23" t="str">
        <f ca="1" t="shared" si="190"/>
        <v>{5123001,300}</v>
      </c>
      <c r="BD549" s="23" t="str">
        <f ca="1" t="shared" si="207"/>
        <v/>
      </c>
      <c r="BE549" s="23" t="str">
        <f ca="1" t="shared" si="211"/>
        <v>{50039,1}</v>
      </c>
      <c r="BF549" s="23" t="str">
        <f ca="1" t="shared" si="191"/>
        <v>{2,600}</v>
      </c>
      <c r="BI549" s="23" t="str">
        <f ca="1" t="shared" si="192"/>
        <v>[{11,5},{50003,15},{5143001,200},{2,240}]</v>
      </c>
      <c r="BJ549" s="23" t="str">
        <f ca="1" t="shared" si="193"/>
        <v>[{5113001,250},{5523001,200},{50005,25},{2,360},{5204001,5}]</v>
      </c>
      <c r="BK549" s="23" t="str">
        <f ca="1" t="shared" si="194"/>
        <v>[{5203001,30},{1,150},{5523001,300},{5123001,300},{50039,1},{2,600}]</v>
      </c>
      <c r="BL549" s="23">
        <f ca="1" t="shared" si="195"/>
        <v>4</v>
      </c>
      <c r="BM549" s="23">
        <f ca="1" t="shared" si="196"/>
        <v>5</v>
      </c>
      <c r="BN549" s="23">
        <f ca="1" t="shared" si="198"/>
        <v>6</v>
      </c>
      <c r="BP549" s="71" t="s">
        <v>374</v>
      </c>
      <c r="BQ549" s="71">
        <v>150</v>
      </c>
    </row>
    <row r="550" ht="16.5" spans="2:69">
      <c r="B550" s="23">
        <v>230</v>
      </c>
      <c r="C550" s="12" t="str">
        <f t="shared" si="177"/>
        <v>梦愿水晶</v>
      </c>
      <c r="D550" s="12">
        <f t="shared" si="178"/>
        <v>1</v>
      </c>
      <c r="E550" s="71"/>
      <c r="F550" s="71"/>
      <c r="G550" s="71" t="str">
        <f t="shared" si="200"/>
        <v>衣服图纸</v>
      </c>
      <c r="H550" s="71">
        <v>15</v>
      </c>
      <c r="I550" s="71" t="str">
        <f t="shared" si="205"/>
        <v>战士特饮</v>
      </c>
      <c r="J550" s="71">
        <v>200</v>
      </c>
      <c r="K550" s="71" t="s">
        <v>96</v>
      </c>
      <c r="L550" s="71">
        <v>240</v>
      </c>
      <c r="M550" s="71" t="str">
        <f t="shared" si="208"/>
        <v>法师特饮</v>
      </c>
      <c r="N550" s="71">
        <f t="shared" si="212"/>
        <v>250</v>
      </c>
      <c r="O550" s="71" t="s">
        <v>316</v>
      </c>
      <c r="P550" s="71">
        <v>200</v>
      </c>
      <c r="Q550" s="71"/>
      <c r="R550" s="71"/>
      <c r="S550" s="72" t="str">
        <f t="shared" si="201"/>
        <v>裤子图纸</v>
      </c>
      <c r="T550" s="71">
        <v>25</v>
      </c>
      <c r="U550" s="71" t="str">
        <f t="shared" si="202"/>
        <v>灵感获取令</v>
      </c>
      <c r="V550" s="71">
        <f t="shared" si="203"/>
        <v>1</v>
      </c>
      <c r="W550" s="71" t="s">
        <v>96</v>
      </c>
      <c r="X550" s="71">
        <f t="shared" si="179"/>
        <v>360</v>
      </c>
      <c r="Y550" s="71"/>
      <c r="Z550" s="71"/>
      <c r="AA550" s="71" t="str">
        <f t="shared" si="209"/>
        <v>传说基因罐</v>
      </c>
      <c r="AB550" s="71">
        <f t="shared" si="213"/>
        <v>3</v>
      </c>
      <c r="AC550" s="71" t="s">
        <v>374</v>
      </c>
      <c r="AD550" s="71">
        <v>150</v>
      </c>
      <c r="AE550" s="72" t="str">
        <f t="shared" si="206"/>
        <v>辅助特饮</v>
      </c>
      <c r="AF550" s="71">
        <v>300</v>
      </c>
      <c r="AG550" s="71"/>
      <c r="AH550" s="71"/>
      <c r="AI550" s="71" t="s">
        <v>390</v>
      </c>
      <c r="AJ550" s="71">
        <v>1</v>
      </c>
      <c r="AK550" s="71" t="s">
        <v>96</v>
      </c>
      <c r="AL550" s="71">
        <f t="shared" si="180"/>
        <v>600</v>
      </c>
      <c r="AN550" s="23" t="str">
        <f ca="1" t="shared" si="204"/>
        <v>{35,1}</v>
      </c>
      <c r="AO550" s="23" t="str">
        <f ca="1" t="shared" si="199"/>
        <v/>
      </c>
      <c r="AP550" s="23" t="str">
        <f ca="1" t="shared" si="181"/>
        <v>{50004,15}</v>
      </c>
      <c r="AQ550" s="23" t="str">
        <f ca="1" t="shared" si="182"/>
        <v>{5113001,200}</v>
      </c>
      <c r="AR550" s="23" t="str">
        <f ca="1" t="shared" si="183"/>
        <v>{2,240}</v>
      </c>
      <c r="AS550" s="23" t="str">
        <f ca="1" t="shared" si="184"/>
        <v>{5123001,250}</v>
      </c>
      <c r="AT550" s="23" t="str">
        <f ca="1" t="shared" si="210"/>
        <v>{5523001,200}</v>
      </c>
      <c r="AU550" s="23" t="str">
        <f ca="1" t="shared" si="197"/>
        <v/>
      </c>
      <c r="AV550" s="23" t="str">
        <f ca="1" t="shared" si="185"/>
        <v>{50006,25}</v>
      </c>
      <c r="AW550" s="23" t="str">
        <f ca="1" t="shared" si="186"/>
        <v>{9,1}</v>
      </c>
      <c r="AX550" s="23" t="str">
        <f ca="1" t="shared" si="187"/>
        <v>{2,360}</v>
      </c>
      <c r="AY550" s="23" t="str">
        <f ca="1" t="shared" si="188"/>
        <v>{5204001,5}</v>
      </c>
      <c r="AZ550" s="23" t="str">
        <f ca="1" t="shared" si="214"/>
        <v>{5205001,3}</v>
      </c>
      <c r="BA550" s="23" t="str">
        <f ca="1" t="shared" si="189"/>
        <v>{1,150}</v>
      </c>
      <c r="BB550" s="23" t="s">
        <v>401</v>
      </c>
      <c r="BC550" s="23" t="str">
        <f ca="1" t="shared" si="190"/>
        <v>{5143001,300}</v>
      </c>
      <c r="BD550" s="23" t="str">
        <f ca="1" t="shared" si="207"/>
        <v/>
      </c>
      <c r="BE550" s="23" t="str">
        <f ca="1" t="shared" si="211"/>
        <v>{50039,1}</v>
      </c>
      <c r="BF550" s="23" t="str">
        <f ca="1" t="shared" si="191"/>
        <v>{2,600}</v>
      </c>
      <c r="BI550" s="23" t="str">
        <f ca="1" t="shared" si="192"/>
        <v>[{35,1},{50004,15},{5113001,200},{2,240}]</v>
      </c>
      <c r="BJ550" s="23" t="str">
        <f ca="1" t="shared" si="193"/>
        <v>[{5123001,250},{5523001,200},{50006,25},{9,1},{2,360},{5204001,5}]</v>
      </c>
      <c r="BK550" s="23" t="str">
        <f ca="1" t="shared" si="194"/>
        <v>[{5205001,3},{1,150},{5523001,300},{5143001,300},{50039,1},{2,600}]</v>
      </c>
      <c r="BL550" s="23">
        <f ca="1" t="shared" si="195"/>
        <v>4</v>
      </c>
      <c r="BM550" s="23">
        <f ca="1" t="shared" si="196"/>
        <v>6</v>
      </c>
      <c r="BN550" s="23">
        <f ca="1" t="shared" si="198"/>
        <v>6</v>
      </c>
      <c r="BP550" s="71" t="s">
        <v>374</v>
      </c>
      <c r="BQ550" s="71">
        <v>150</v>
      </c>
    </row>
    <row r="551" ht="16.5" spans="2:69">
      <c r="B551" s="23">
        <v>231</v>
      </c>
      <c r="C551" s="12"/>
      <c r="D551" s="12"/>
      <c r="E551" s="71"/>
      <c r="F551" s="71"/>
      <c r="G551" s="71" t="str">
        <f t="shared" si="200"/>
        <v>护臂图纸</v>
      </c>
      <c r="H551" s="71">
        <v>15</v>
      </c>
      <c r="I551" s="71" t="str">
        <f t="shared" si="205"/>
        <v>毒系特饮</v>
      </c>
      <c r="J551" s="71">
        <v>200</v>
      </c>
      <c r="K551" s="71" t="s">
        <v>96</v>
      </c>
      <c r="L551" s="71">
        <v>240</v>
      </c>
      <c r="M551" s="71" t="str">
        <f t="shared" si="208"/>
        <v>辅助特饮</v>
      </c>
      <c r="N551" s="71">
        <f t="shared" si="212"/>
        <v>250</v>
      </c>
      <c r="O551" s="71" t="s">
        <v>316</v>
      </c>
      <c r="P551" s="71">
        <v>200</v>
      </c>
      <c r="Q551" s="71"/>
      <c r="R551" s="71"/>
      <c r="S551" s="72" t="str">
        <f t="shared" si="201"/>
        <v>鞋子图纸</v>
      </c>
      <c r="T551" s="71">
        <v>25</v>
      </c>
      <c r="U551" s="71" t="str">
        <f t="shared" si="202"/>
        <v/>
      </c>
      <c r="V551" s="71">
        <f t="shared" si="203"/>
        <v>0</v>
      </c>
      <c r="W551" s="71" t="s">
        <v>96</v>
      </c>
      <c r="X551" s="71">
        <f t="shared" si="179"/>
        <v>360</v>
      </c>
      <c r="Y551" s="71"/>
      <c r="Z551" s="71"/>
      <c r="AA551" s="71" t="str">
        <f t="shared" si="209"/>
        <v>基因罐</v>
      </c>
      <c r="AB551" s="71">
        <f t="shared" si="213"/>
        <v>30</v>
      </c>
      <c r="AC551" s="71" t="s">
        <v>374</v>
      </c>
      <c r="AD551" s="71">
        <v>150</v>
      </c>
      <c r="AE551" s="72" t="str">
        <f t="shared" si="206"/>
        <v>毒系特饮</v>
      </c>
      <c r="AF551" s="71">
        <v>300</v>
      </c>
      <c r="AG551" s="71"/>
      <c r="AH551" s="71"/>
      <c r="AI551" s="71" t="s">
        <v>390</v>
      </c>
      <c r="AJ551" s="71">
        <v>1</v>
      </c>
      <c r="AK551" s="71" t="s">
        <v>96</v>
      </c>
      <c r="AL551" s="71">
        <f t="shared" si="180"/>
        <v>600</v>
      </c>
      <c r="AN551" s="23" t="str">
        <f ca="1" t="shared" si="204"/>
        <v>{11,5}</v>
      </c>
      <c r="AO551" s="23" t="str">
        <f ca="1" t="shared" si="199"/>
        <v/>
      </c>
      <c r="AP551" s="23" t="str">
        <f ca="1" t="shared" si="181"/>
        <v>{50005,15}</v>
      </c>
      <c r="AQ551" s="23" t="str">
        <f ca="1" t="shared" si="182"/>
        <v>{5163001,200}</v>
      </c>
      <c r="AR551" s="23" t="str">
        <f ca="1" t="shared" si="183"/>
        <v>{2,240}</v>
      </c>
      <c r="AS551" s="23" t="str">
        <f ca="1" t="shared" si="184"/>
        <v>{5143001,250}</v>
      </c>
      <c r="AT551" s="23" t="str">
        <f ca="1" t="shared" si="210"/>
        <v>{5523001,200}</v>
      </c>
      <c r="AU551" s="23" t="str">
        <f ca="1" t="shared" si="197"/>
        <v/>
      </c>
      <c r="AV551" s="23" t="str">
        <f ca="1" t="shared" si="185"/>
        <v>{50007,25}</v>
      </c>
      <c r="AW551" s="23" t="str">
        <f ca="1" t="shared" si="186"/>
        <v/>
      </c>
      <c r="AX551" s="23" t="str">
        <f ca="1" t="shared" si="187"/>
        <v>{2,360}</v>
      </c>
      <c r="AY551" s="23" t="str">
        <f ca="1" t="shared" si="188"/>
        <v>{5204001,5}</v>
      </c>
      <c r="AZ551" s="23" t="str">
        <f ca="1" t="shared" si="214"/>
        <v>{5203001,30}</v>
      </c>
      <c r="BA551" s="23" t="str">
        <f ca="1" t="shared" si="189"/>
        <v>{1,150}</v>
      </c>
      <c r="BB551" s="23" t="s">
        <v>401</v>
      </c>
      <c r="BC551" s="23" t="str">
        <f ca="1" t="shared" si="190"/>
        <v>{5163001,300}</v>
      </c>
      <c r="BD551" s="23" t="str">
        <f ca="1" t="shared" si="207"/>
        <v/>
      </c>
      <c r="BE551" s="23" t="str">
        <f ca="1" t="shared" si="211"/>
        <v>{50039,1}</v>
      </c>
      <c r="BF551" s="23" t="str">
        <f ca="1" t="shared" si="191"/>
        <v>{2,600}</v>
      </c>
      <c r="BI551" s="23" t="str">
        <f ca="1" t="shared" si="192"/>
        <v>[{11,5},{50005,15},{5163001,200},{2,240}]</v>
      </c>
      <c r="BJ551" s="23" t="str">
        <f ca="1" t="shared" si="193"/>
        <v>[{5143001,250},{5523001,200},{50007,25},{2,360},{5204001,5}]</v>
      </c>
      <c r="BK551" s="23" t="str">
        <f ca="1" t="shared" si="194"/>
        <v>[{5203001,30},{1,150},{5523001,300},{5163001,300},{50039,1},{2,600}]</v>
      </c>
      <c r="BL551" s="23">
        <f ca="1" t="shared" si="195"/>
        <v>4</v>
      </c>
      <c r="BM551" s="23">
        <f ca="1" t="shared" si="196"/>
        <v>5</v>
      </c>
      <c r="BN551" s="23">
        <f ca="1" t="shared" si="198"/>
        <v>6</v>
      </c>
      <c r="BP551" s="71" t="s">
        <v>374</v>
      </c>
      <c r="BQ551" s="71">
        <v>150</v>
      </c>
    </row>
    <row r="552" ht="16.5" spans="2:69">
      <c r="B552" s="23">
        <v>232</v>
      </c>
      <c r="C552" s="12"/>
      <c r="D552" s="12"/>
      <c r="E552" s="71"/>
      <c r="F552" s="71"/>
      <c r="G552" s="71" t="str">
        <f t="shared" si="200"/>
        <v>裤子图纸</v>
      </c>
      <c r="H552" s="71">
        <v>15</v>
      </c>
      <c r="I552" s="71" t="str">
        <f t="shared" si="205"/>
        <v>控制特饮</v>
      </c>
      <c r="J552" s="71">
        <v>200</v>
      </c>
      <c r="K552" s="71" t="s">
        <v>96</v>
      </c>
      <c r="L552" s="71">
        <v>240</v>
      </c>
      <c r="M552" s="71" t="str">
        <f t="shared" si="208"/>
        <v>射手特饮</v>
      </c>
      <c r="N552" s="71">
        <f t="shared" si="212"/>
        <v>250</v>
      </c>
      <c r="O552" s="71" t="s">
        <v>316</v>
      </c>
      <c r="P552" s="71">
        <v>200</v>
      </c>
      <c r="Q552" s="71"/>
      <c r="R552" s="71"/>
      <c r="S552" s="72" t="str">
        <f t="shared" si="201"/>
        <v>手套图纸</v>
      </c>
      <c r="T552" s="71">
        <v>25</v>
      </c>
      <c r="U552" s="71" t="str">
        <f t="shared" si="202"/>
        <v/>
      </c>
      <c r="V552" s="71">
        <f t="shared" si="203"/>
        <v>0</v>
      </c>
      <c r="W552" s="71" t="s">
        <v>96</v>
      </c>
      <c r="X552" s="71">
        <f t="shared" si="179"/>
        <v>360</v>
      </c>
      <c r="Y552" s="71"/>
      <c r="Z552" s="71"/>
      <c r="AA552" s="71" t="str">
        <f t="shared" si="209"/>
        <v>基因罐</v>
      </c>
      <c r="AB552" s="71">
        <f t="shared" si="213"/>
        <v>30</v>
      </c>
      <c r="AC552" s="71" t="s">
        <v>374</v>
      </c>
      <c r="AD552" s="71">
        <v>150</v>
      </c>
      <c r="AE552" s="72" t="str">
        <f t="shared" si="206"/>
        <v>控制特饮</v>
      </c>
      <c r="AF552" s="71">
        <v>300</v>
      </c>
      <c r="AG552" s="71"/>
      <c r="AH552" s="71"/>
      <c r="AI552" s="71" t="s">
        <v>390</v>
      </c>
      <c r="AJ552" s="71">
        <v>1</v>
      </c>
      <c r="AK552" s="71" t="s">
        <v>96</v>
      </c>
      <c r="AL552" s="71">
        <f t="shared" si="180"/>
        <v>600</v>
      </c>
      <c r="AN552" s="23" t="str">
        <f ca="1" t="shared" si="204"/>
        <v>{11,5}</v>
      </c>
      <c r="AO552" s="23" t="str">
        <f ca="1" t="shared" si="199"/>
        <v/>
      </c>
      <c r="AP552" s="23" t="str">
        <f ca="1" t="shared" si="181"/>
        <v>{50006,15}</v>
      </c>
      <c r="AQ552" s="23" t="str">
        <f ca="1" t="shared" si="182"/>
        <v>{5153001,200}</v>
      </c>
      <c r="AR552" s="23" t="str">
        <f ca="1" t="shared" si="183"/>
        <v>{2,240}</v>
      </c>
      <c r="AS552" s="23" t="str">
        <f ca="1" t="shared" si="184"/>
        <v>{5133001,250}</v>
      </c>
      <c r="AT552" s="23" t="str">
        <f ca="1" t="shared" si="210"/>
        <v>{5523001,200}</v>
      </c>
      <c r="AU552" s="23" t="str">
        <f ca="1" t="shared" si="197"/>
        <v/>
      </c>
      <c r="AV552" s="23" t="str">
        <f ca="1" t="shared" si="185"/>
        <v>{50008,25}</v>
      </c>
      <c r="AW552" s="23" t="str">
        <f ca="1" t="shared" si="186"/>
        <v/>
      </c>
      <c r="AX552" s="23" t="str">
        <f ca="1" t="shared" si="187"/>
        <v>{2,360}</v>
      </c>
      <c r="AY552" s="23" t="str">
        <f ca="1" t="shared" si="188"/>
        <v>{5204001,5}</v>
      </c>
      <c r="AZ552" s="23" t="str">
        <f ca="1" t="shared" si="214"/>
        <v>{5203001,30}</v>
      </c>
      <c r="BA552" s="23" t="str">
        <f ca="1" t="shared" si="189"/>
        <v>{1,150}</v>
      </c>
      <c r="BB552" s="23" t="s">
        <v>401</v>
      </c>
      <c r="BC552" s="23" t="str">
        <f ca="1" t="shared" si="190"/>
        <v>{5153001,300}</v>
      </c>
      <c r="BD552" s="23" t="str">
        <f ca="1" t="shared" si="207"/>
        <v/>
      </c>
      <c r="BE552" s="23" t="str">
        <f ca="1" t="shared" si="211"/>
        <v>{50039,1}</v>
      </c>
      <c r="BF552" s="23" t="str">
        <f ca="1" t="shared" si="191"/>
        <v>{2,600}</v>
      </c>
      <c r="BI552" s="23" t="str">
        <f ca="1" t="shared" si="192"/>
        <v>[{11,5},{50006,15},{5153001,200},{2,240}]</v>
      </c>
      <c r="BJ552" s="23" t="str">
        <f ca="1" t="shared" si="193"/>
        <v>[{5133001,250},{5523001,200},{50008,25},{2,360},{5204001,5}]</v>
      </c>
      <c r="BK552" s="23" t="str">
        <f ca="1" t="shared" si="194"/>
        <v>[{5203001,30},{1,150},{5523001,300},{5153001,300},{50039,1},{2,600}]</v>
      </c>
      <c r="BL552" s="23">
        <f ca="1" t="shared" si="195"/>
        <v>4</v>
      </c>
      <c r="BM552" s="23">
        <f ca="1" t="shared" si="196"/>
        <v>5</v>
      </c>
      <c r="BN552" s="23">
        <f ca="1" t="shared" si="198"/>
        <v>6</v>
      </c>
      <c r="BP552" s="71" t="s">
        <v>374</v>
      </c>
      <c r="BQ552" s="71">
        <v>150</v>
      </c>
    </row>
    <row r="553" ht="16.5" spans="2:69">
      <c r="B553" s="23">
        <v>233</v>
      </c>
      <c r="C553" s="12"/>
      <c r="D553" s="12"/>
      <c r="E553" s="71"/>
      <c r="F553" s="71"/>
      <c r="G553" s="71" t="str">
        <f t="shared" si="200"/>
        <v>鞋子图纸</v>
      </c>
      <c r="H553" s="71">
        <v>15</v>
      </c>
      <c r="I553" s="71" t="str">
        <f t="shared" si="205"/>
        <v>射手特饮</v>
      </c>
      <c r="J553" s="71">
        <v>200</v>
      </c>
      <c r="K553" s="71" t="s">
        <v>96</v>
      </c>
      <c r="L553" s="71">
        <v>240</v>
      </c>
      <c r="M553" s="71" t="str">
        <f t="shared" si="208"/>
        <v>毒系特饮</v>
      </c>
      <c r="N553" s="71">
        <f t="shared" si="212"/>
        <v>250</v>
      </c>
      <c r="O553" s="71" t="s">
        <v>316</v>
      </c>
      <c r="P553" s="71">
        <v>200</v>
      </c>
      <c r="Q553" s="71"/>
      <c r="R553" s="71"/>
      <c r="S553" s="72" t="str">
        <f t="shared" si="201"/>
        <v>头盔图纸</v>
      </c>
      <c r="T553" s="71">
        <v>25</v>
      </c>
      <c r="U553" s="71" t="str">
        <f t="shared" si="202"/>
        <v/>
      </c>
      <c r="V553" s="71">
        <f t="shared" si="203"/>
        <v>0</v>
      </c>
      <c r="W553" s="71" t="s">
        <v>96</v>
      </c>
      <c r="X553" s="71">
        <f t="shared" si="179"/>
        <v>360</v>
      </c>
      <c r="Y553" s="71"/>
      <c r="Z553" s="71"/>
      <c r="AA553" s="71" t="str">
        <f t="shared" si="209"/>
        <v>基因罐</v>
      </c>
      <c r="AB553" s="71">
        <f t="shared" si="213"/>
        <v>30</v>
      </c>
      <c r="AC553" s="71" t="s">
        <v>374</v>
      </c>
      <c r="AD553" s="71">
        <v>150</v>
      </c>
      <c r="AE553" s="72" t="str">
        <f t="shared" si="206"/>
        <v>射手特饮</v>
      </c>
      <c r="AF553" s="71">
        <v>300</v>
      </c>
      <c r="AG553" s="71"/>
      <c r="AH553" s="71"/>
      <c r="AI553" s="71" t="s">
        <v>390</v>
      </c>
      <c r="AJ553" s="71">
        <v>1</v>
      </c>
      <c r="AK553" s="71" t="s">
        <v>96</v>
      </c>
      <c r="AL553" s="71">
        <f t="shared" si="180"/>
        <v>600</v>
      </c>
      <c r="AN553" s="23" t="str">
        <f ca="1" t="shared" si="204"/>
        <v>{11,5}</v>
      </c>
      <c r="AO553" s="23" t="str">
        <f ca="1" t="shared" si="199"/>
        <v/>
      </c>
      <c r="AP553" s="23" t="str">
        <f ca="1" t="shared" si="181"/>
        <v>{50007,15}</v>
      </c>
      <c r="AQ553" s="23" t="str">
        <f ca="1" t="shared" si="182"/>
        <v>{5133001,200}</v>
      </c>
      <c r="AR553" s="23" t="str">
        <f ca="1" t="shared" si="183"/>
        <v>{2,240}</v>
      </c>
      <c r="AS553" s="23" t="str">
        <f ca="1" t="shared" si="184"/>
        <v>{5163001,250}</v>
      </c>
      <c r="AT553" s="23" t="str">
        <f ca="1" t="shared" si="210"/>
        <v>{5523001,200}</v>
      </c>
      <c r="AU553" s="23" t="str">
        <f ca="1" t="shared" si="197"/>
        <v/>
      </c>
      <c r="AV553" s="23" t="str">
        <f ca="1" t="shared" si="185"/>
        <v>{50003,25}</v>
      </c>
      <c r="AW553" s="23" t="str">
        <f ca="1" t="shared" si="186"/>
        <v/>
      </c>
      <c r="AX553" s="23" t="str">
        <f ca="1" t="shared" si="187"/>
        <v>{2,360}</v>
      </c>
      <c r="AY553" s="23" t="str">
        <f ca="1" t="shared" si="188"/>
        <v>{5204001,5}</v>
      </c>
      <c r="AZ553" s="23" t="str">
        <f ca="1" t="shared" si="214"/>
        <v>{5203001,30}</v>
      </c>
      <c r="BA553" s="23" t="str">
        <f ca="1" t="shared" si="189"/>
        <v>{1,150}</v>
      </c>
      <c r="BB553" s="23" t="s">
        <v>401</v>
      </c>
      <c r="BC553" s="23" t="str">
        <f ca="1" t="shared" si="190"/>
        <v>{5133001,300}</v>
      </c>
      <c r="BD553" s="23" t="str">
        <f ca="1" t="shared" si="207"/>
        <v/>
      </c>
      <c r="BE553" s="23" t="str">
        <f ca="1" t="shared" si="211"/>
        <v>{50039,1}</v>
      </c>
      <c r="BF553" s="23" t="str">
        <f ca="1" t="shared" si="191"/>
        <v>{2,600}</v>
      </c>
      <c r="BI553" s="23" t="str">
        <f ca="1" t="shared" si="192"/>
        <v>[{11,5},{50007,15},{5133001,200},{2,240}]</v>
      </c>
      <c r="BJ553" s="23" t="str">
        <f ca="1" t="shared" si="193"/>
        <v>[{5163001,250},{5523001,200},{50003,25},{2,360},{5204001,5}]</v>
      </c>
      <c r="BK553" s="23" t="str">
        <f ca="1" t="shared" si="194"/>
        <v>[{5203001,30},{1,150},{5523001,300},{5133001,300},{50039,1},{2,600}]</v>
      </c>
      <c r="BL553" s="23">
        <f ca="1" t="shared" si="195"/>
        <v>4</v>
      </c>
      <c r="BM553" s="23">
        <f ca="1" t="shared" si="196"/>
        <v>5</v>
      </c>
      <c r="BN553" s="23">
        <f ca="1" t="shared" si="198"/>
        <v>6</v>
      </c>
      <c r="BP553" s="71" t="s">
        <v>374</v>
      </c>
      <c r="BQ553" s="71">
        <v>150</v>
      </c>
    </row>
    <row r="554" ht="16.5" spans="2:69">
      <c r="B554" s="23">
        <v>234</v>
      </c>
      <c r="C554" s="12"/>
      <c r="D554" s="12"/>
      <c r="E554" s="71"/>
      <c r="F554" s="71"/>
      <c r="G554" s="71" t="str">
        <f t="shared" si="200"/>
        <v>手套图纸</v>
      </c>
      <c r="H554" s="71">
        <v>15</v>
      </c>
      <c r="I554" s="71" t="str">
        <f t="shared" si="205"/>
        <v>法师特饮</v>
      </c>
      <c r="J554" s="71">
        <v>200</v>
      </c>
      <c r="K554" s="71" t="s">
        <v>96</v>
      </c>
      <c r="L554" s="71">
        <v>240</v>
      </c>
      <c r="M554" s="71" t="str">
        <f t="shared" si="208"/>
        <v>控制特饮</v>
      </c>
      <c r="N554" s="71">
        <f t="shared" si="212"/>
        <v>250</v>
      </c>
      <c r="O554" s="71" t="s">
        <v>316</v>
      </c>
      <c r="P554" s="71">
        <v>200</v>
      </c>
      <c r="Q554" s="71"/>
      <c r="R554" s="71"/>
      <c r="S554" s="72" t="str">
        <f t="shared" si="201"/>
        <v>衣服图纸</v>
      </c>
      <c r="T554" s="71">
        <v>25</v>
      </c>
      <c r="U554" s="71" t="str">
        <f t="shared" si="202"/>
        <v/>
      </c>
      <c r="V554" s="71">
        <f t="shared" si="203"/>
        <v>0</v>
      </c>
      <c r="W554" s="71" t="s">
        <v>96</v>
      </c>
      <c r="X554" s="71">
        <f t="shared" si="179"/>
        <v>360</v>
      </c>
      <c r="Y554" s="71"/>
      <c r="Z554" s="71"/>
      <c r="AA554" s="71" t="str">
        <f t="shared" si="209"/>
        <v>基因罐</v>
      </c>
      <c r="AB554" s="71">
        <f t="shared" si="213"/>
        <v>30</v>
      </c>
      <c r="AC554" s="71" t="s">
        <v>374</v>
      </c>
      <c r="AD554" s="71">
        <v>150</v>
      </c>
      <c r="AE554" s="72" t="str">
        <f t="shared" si="206"/>
        <v>战士特饮</v>
      </c>
      <c r="AF554" s="71">
        <v>300</v>
      </c>
      <c r="AG554" s="71"/>
      <c r="AH554" s="71"/>
      <c r="AI554" s="71" t="s">
        <v>390</v>
      </c>
      <c r="AJ554" s="71">
        <v>1</v>
      </c>
      <c r="AK554" s="71" t="s">
        <v>96</v>
      </c>
      <c r="AL554" s="71">
        <f t="shared" si="180"/>
        <v>600</v>
      </c>
      <c r="AN554" s="23" t="str">
        <f ca="1" t="shared" si="204"/>
        <v>{11,5}</v>
      </c>
      <c r="AO554" s="23" t="str">
        <f ca="1" t="shared" si="199"/>
        <v/>
      </c>
      <c r="AP554" s="23" t="str">
        <f ca="1" t="shared" si="181"/>
        <v>{50008,15}</v>
      </c>
      <c r="AQ554" s="23" t="str">
        <f ca="1" t="shared" si="182"/>
        <v>{5123001,200}</v>
      </c>
      <c r="AR554" s="23" t="str">
        <f ca="1" t="shared" si="183"/>
        <v>{2,240}</v>
      </c>
      <c r="AS554" s="23" t="str">
        <f ca="1" t="shared" si="184"/>
        <v>{5153001,250}</v>
      </c>
      <c r="AT554" s="23" t="str">
        <f ca="1" t="shared" si="210"/>
        <v>{5523001,200}</v>
      </c>
      <c r="AU554" s="23" t="str">
        <f ca="1" t="shared" si="197"/>
        <v/>
      </c>
      <c r="AV554" s="23" t="str">
        <f ca="1" t="shared" si="185"/>
        <v>{50004,25}</v>
      </c>
      <c r="AW554" s="23" t="str">
        <f ca="1" t="shared" si="186"/>
        <v/>
      </c>
      <c r="AX554" s="23" t="str">
        <f ca="1" t="shared" si="187"/>
        <v>{2,360}</v>
      </c>
      <c r="AY554" s="23" t="str">
        <f ca="1" t="shared" si="188"/>
        <v>{5204001,5}</v>
      </c>
      <c r="AZ554" s="23" t="str">
        <f ca="1" t="shared" si="214"/>
        <v>{5203001,30}</v>
      </c>
      <c r="BA554" s="23" t="str">
        <f ca="1" t="shared" si="189"/>
        <v>{1,150}</v>
      </c>
      <c r="BB554" s="23" t="s">
        <v>401</v>
      </c>
      <c r="BC554" s="23" t="str">
        <f ca="1" t="shared" si="190"/>
        <v>{5113001,300}</v>
      </c>
      <c r="BD554" s="23" t="str">
        <f ca="1" t="shared" si="207"/>
        <v/>
      </c>
      <c r="BE554" s="23" t="str">
        <f ca="1" t="shared" si="211"/>
        <v>{50039,1}</v>
      </c>
      <c r="BF554" s="23" t="str">
        <f ca="1" t="shared" si="191"/>
        <v>{2,600}</v>
      </c>
      <c r="BI554" s="23" t="str">
        <f ca="1" t="shared" si="192"/>
        <v>[{11,5},{50008,15},{5123001,200},{2,240}]</v>
      </c>
      <c r="BJ554" s="23" t="str">
        <f ca="1" t="shared" si="193"/>
        <v>[{5153001,250},{5523001,200},{50004,25},{2,360},{5204001,5}]</v>
      </c>
      <c r="BK554" s="23" t="str">
        <f ca="1" t="shared" si="194"/>
        <v>[{5203001,30},{1,150},{5523001,300},{5113001,300},{50039,1},{2,600}]</v>
      </c>
      <c r="BL554" s="23">
        <f ca="1" t="shared" si="195"/>
        <v>4</v>
      </c>
      <c r="BM554" s="23">
        <f ca="1" t="shared" si="196"/>
        <v>5</v>
      </c>
      <c r="BN554" s="23">
        <f ca="1" t="shared" si="198"/>
        <v>6</v>
      </c>
      <c r="BP554" s="71" t="s">
        <v>374</v>
      </c>
      <c r="BQ554" s="71">
        <v>150</v>
      </c>
    </row>
    <row r="555" ht="16.5" spans="2:69">
      <c r="B555" s="23">
        <v>235</v>
      </c>
      <c r="C555" s="12" t="str">
        <f t="shared" si="177"/>
        <v>梦愿水晶</v>
      </c>
      <c r="D555" s="12">
        <f t="shared" si="178"/>
        <v>1</v>
      </c>
      <c r="E555" s="71"/>
      <c r="F555" s="71"/>
      <c r="G555" s="71" t="str">
        <f t="shared" si="200"/>
        <v>头盔图纸</v>
      </c>
      <c r="H555" s="71">
        <v>15</v>
      </c>
      <c r="I555" s="71" t="str">
        <f t="shared" si="205"/>
        <v>辅助特饮</v>
      </c>
      <c r="J555" s="71">
        <v>200</v>
      </c>
      <c r="K555" s="71" t="s">
        <v>96</v>
      </c>
      <c r="L555" s="71">
        <v>240</v>
      </c>
      <c r="M555" s="71" t="str">
        <f t="shared" si="208"/>
        <v>战士特饮</v>
      </c>
      <c r="N555" s="71">
        <f t="shared" si="212"/>
        <v>250</v>
      </c>
      <c r="O555" s="71" t="s">
        <v>316</v>
      </c>
      <c r="P555" s="71">
        <v>200</v>
      </c>
      <c r="Q555" s="71"/>
      <c r="R555" s="71"/>
      <c r="S555" s="72" t="str">
        <f t="shared" si="201"/>
        <v>护臂图纸</v>
      </c>
      <c r="T555" s="71">
        <v>25</v>
      </c>
      <c r="U555" s="71" t="str">
        <f t="shared" si="202"/>
        <v>灵感获取令</v>
      </c>
      <c r="V555" s="71">
        <f t="shared" si="203"/>
        <v>1</v>
      </c>
      <c r="W555" s="71" t="s">
        <v>96</v>
      </c>
      <c r="X555" s="71">
        <f t="shared" si="179"/>
        <v>360</v>
      </c>
      <c r="Y555" s="71"/>
      <c r="Z555" s="71"/>
      <c r="AA555" s="71" t="str">
        <f t="shared" si="209"/>
        <v>传说基因罐</v>
      </c>
      <c r="AB555" s="71">
        <f t="shared" si="213"/>
        <v>3</v>
      </c>
      <c r="AC555" s="71" t="s">
        <v>374</v>
      </c>
      <c r="AD555" s="71">
        <v>150</v>
      </c>
      <c r="AE555" s="72" t="str">
        <f t="shared" si="206"/>
        <v>法师特饮</v>
      </c>
      <c r="AF555" s="71">
        <v>300</v>
      </c>
      <c r="AG555" s="71"/>
      <c r="AH555" s="71"/>
      <c r="AI555" s="71" t="s">
        <v>390</v>
      </c>
      <c r="AJ555" s="71">
        <v>1</v>
      </c>
      <c r="AK555" s="71" t="s">
        <v>96</v>
      </c>
      <c r="AL555" s="71">
        <f t="shared" si="180"/>
        <v>600</v>
      </c>
      <c r="AN555" s="23" t="str">
        <f ca="1" t="shared" si="204"/>
        <v>{35,1}</v>
      </c>
      <c r="AO555" s="23" t="str">
        <f ca="1" t="shared" si="199"/>
        <v/>
      </c>
      <c r="AP555" s="23" t="str">
        <f ca="1" t="shared" si="181"/>
        <v>{50003,15}</v>
      </c>
      <c r="AQ555" s="23" t="str">
        <f ca="1" t="shared" si="182"/>
        <v>{5143001,200}</v>
      </c>
      <c r="AR555" s="23" t="str">
        <f ca="1" t="shared" si="183"/>
        <v>{2,240}</v>
      </c>
      <c r="AS555" s="23" t="str">
        <f ca="1" t="shared" si="184"/>
        <v>{5113001,250}</v>
      </c>
      <c r="AT555" s="23" t="str">
        <f ca="1" t="shared" si="210"/>
        <v>{5523001,200}</v>
      </c>
      <c r="AU555" s="23" t="str">
        <f ca="1" t="shared" si="197"/>
        <v/>
      </c>
      <c r="AV555" s="23" t="str">
        <f ca="1" t="shared" si="185"/>
        <v>{50005,25}</v>
      </c>
      <c r="AW555" s="23" t="str">
        <f ca="1" t="shared" si="186"/>
        <v>{9,1}</v>
      </c>
      <c r="AX555" s="23" t="str">
        <f ca="1" t="shared" si="187"/>
        <v>{2,360}</v>
      </c>
      <c r="AY555" s="23" t="str">
        <f ca="1" t="shared" si="188"/>
        <v>{5204001,5}</v>
      </c>
      <c r="AZ555" s="23" t="str">
        <f ca="1" t="shared" si="214"/>
        <v>{5205001,3}</v>
      </c>
      <c r="BA555" s="23" t="str">
        <f ca="1" t="shared" si="189"/>
        <v>{1,150}</v>
      </c>
      <c r="BB555" s="23" t="s">
        <v>401</v>
      </c>
      <c r="BC555" s="23" t="str">
        <f ca="1" t="shared" si="190"/>
        <v>{5123001,300}</v>
      </c>
      <c r="BD555" s="23" t="str">
        <f ca="1" t="shared" si="207"/>
        <v/>
      </c>
      <c r="BE555" s="23" t="str">
        <f ca="1" t="shared" si="211"/>
        <v>{50039,1}</v>
      </c>
      <c r="BF555" s="23" t="str">
        <f ca="1" t="shared" si="191"/>
        <v>{2,600}</v>
      </c>
      <c r="BI555" s="23" t="str">
        <f ca="1" t="shared" si="192"/>
        <v>[{35,1},{50003,15},{5143001,200},{2,240}]</v>
      </c>
      <c r="BJ555" s="23" t="str">
        <f ca="1" t="shared" si="193"/>
        <v>[{5113001,250},{5523001,200},{50005,25},{9,1},{2,360},{5204001,5}]</v>
      </c>
      <c r="BK555" s="23" t="str">
        <f ca="1" t="shared" si="194"/>
        <v>[{5205001,3},{1,150},{5523001,300},{5123001,300},{50039,1},{2,600}]</v>
      </c>
      <c r="BL555" s="23">
        <f ca="1" t="shared" si="195"/>
        <v>4</v>
      </c>
      <c r="BM555" s="23">
        <f ca="1" t="shared" si="196"/>
        <v>6</v>
      </c>
      <c r="BN555" s="23">
        <f ca="1" t="shared" si="198"/>
        <v>6</v>
      </c>
      <c r="BP555" s="71" t="s">
        <v>374</v>
      </c>
      <c r="BQ555" s="71">
        <v>150</v>
      </c>
    </row>
    <row r="556" ht="16.5" spans="2:69">
      <c r="B556" s="23">
        <v>236</v>
      </c>
      <c r="C556" s="12"/>
      <c r="D556" s="12"/>
      <c r="E556" s="71"/>
      <c r="F556" s="71"/>
      <c r="G556" s="71" t="str">
        <f t="shared" si="200"/>
        <v>衣服图纸</v>
      </c>
      <c r="H556" s="71">
        <v>15</v>
      </c>
      <c r="I556" s="71" t="str">
        <f t="shared" si="205"/>
        <v>战士特饮</v>
      </c>
      <c r="J556" s="71">
        <v>200</v>
      </c>
      <c r="K556" s="71" t="s">
        <v>96</v>
      </c>
      <c r="L556" s="71">
        <v>240</v>
      </c>
      <c r="M556" s="71" t="str">
        <f t="shared" si="208"/>
        <v>法师特饮</v>
      </c>
      <c r="N556" s="71">
        <f t="shared" si="212"/>
        <v>250</v>
      </c>
      <c r="O556" s="71" t="s">
        <v>316</v>
      </c>
      <c r="P556" s="71">
        <v>200</v>
      </c>
      <c r="Q556" s="71"/>
      <c r="R556" s="71"/>
      <c r="S556" s="72" t="str">
        <f t="shared" si="201"/>
        <v>裤子图纸</v>
      </c>
      <c r="T556" s="71">
        <v>25</v>
      </c>
      <c r="U556" s="71" t="str">
        <f t="shared" si="202"/>
        <v/>
      </c>
      <c r="V556" s="71">
        <f t="shared" si="203"/>
        <v>0</v>
      </c>
      <c r="W556" s="71" t="s">
        <v>96</v>
      </c>
      <c r="X556" s="71">
        <f t="shared" si="179"/>
        <v>360</v>
      </c>
      <c r="Y556" s="71"/>
      <c r="Z556" s="71"/>
      <c r="AA556" s="71" t="str">
        <f t="shared" si="209"/>
        <v>基因罐</v>
      </c>
      <c r="AB556" s="71">
        <f t="shared" si="213"/>
        <v>30</v>
      </c>
      <c r="AC556" s="71" t="s">
        <v>374</v>
      </c>
      <c r="AD556" s="71">
        <v>150</v>
      </c>
      <c r="AE556" s="72" t="str">
        <f t="shared" si="206"/>
        <v>辅助特饮</v>
      </c>
      <c r="AF556" s="71">
        <v>300</v>
      </c>
      <c r="AG556" s="71"/>
      <c r="AH556" s="71"/>
      <c r="AI556" s="71" t="s">
        <v>390</v>
      </c>
      <c r="AJ556" s="71">
        <v>1</v>
      </c>
      <c r="AK556" s="71" t="s">
        <v>96</v>
      </c>
      <c r="AL556" s="71">
        <f t="shared" si="180"/>
        <v>600</v>
      </c>
      <c r="AN556" s="23" t="str">
        <f ca="1" t="shared" si="204"/>
        <v>{11,5}</v>
      </c>
      <c r="AO556" s="23" t="str">
        <f ca="1" t="shared" si="199"/>
        <v/>
      </c>
      <c r="AP556" s="23" t="str">
        <f ca="1" t="shared" si="181"/>
        <v>{50004,15}</v>
      </c>
      <c r="AQ556" s="23" t="str">
        <f ca="1" t="shared" si="182"/>
        <v>{5113001,200}</v>
      </c>
      <c r="AR556" s="23" t="str">
        <f ca="1" t="shared" si="183"/>
        <v>{2,240}</v>
      </c>
      <c r="AS556" s="23" t="str">
        <f ca="1" t="shared" si="184"/>
        <v>{5123001,250}</v>
      </c>
      <c r="AT556" s="23" t="str">
        <f ca="1" t="shared" si="210"/>
        <v>{5523001,200}</v>
      </c>
      <c r="AU556" s="23" t="str">
        <f ca="1" t="shared" si="197"/>
        <v/>
      </c>
      <c r="AV556" s="23" t="str">
        <f ca="1" t="shared" si="185"/>
        <v>{50006,25}</v>
      </c>
      <c r="AW556" s="23" t="str">
        <f ca="1" t="shared" si="186"/>
        <v/>
      </c>
      <c r="AX556" s="23" t="str">
        <f ca="1" t="shared" si="187"/>
        <v>{2,360}</v>
      </c>
      <c r="AY556" s="23" t="str">
        <f ca="1" t="shared" si="188"/>
        <v>{5204001,5}</v>
      </c>
      <c r="AZ556" s="23" t="str">
        <f ca="1" t="shared" si="214"/>
        <v>{5203001,30}</v>
      </c>
      <c r="BA556" s="23" t="str">
        <f ca="1" t="shared" si="189"/>
        <v>{1,150}</v>
      </c>
      <c r="BB556" s="23" t="s">
        <v>401</v>
      </c>
      <c r="BC556" s="23" t="str">
        <f ca="1" t="shared" si="190"/>
        <v>{5143001,300}</v>
      </c>
      <c r="BD556" s="23" t="str">
        <f ca="1" t="shared" si="207"/>
        <v/>
      </c>
      <c r="BE556" s="23" t="str">
        <f ca="1" t="shared" si="211"/>
        <v>{50039,1}</v>
      </c>
      <c r="BF556" s="23" t="str">
        <f ca="1" t="shared" si="191"/>
        <v>{2,600}</v>
      </c>
      <c r="BI556" s="23" t="str">
        <f ca="1" t="shared" si="192"/>
        <v>[{11,5},{50004,15},{5113001,200},{2,240}]</v>
      </c>
      <c r="BJ556" s="23" t="str">
        <f ca="1" t="shared" si="193"/>
        <v>[{5123001,250},{5523001,200},{50006,25},{2,360},{5204001,5}]</v>
      </c>
      <c r="BK556" s="23" t="str">
        <f ca="1" t="shared" si="194"/>
        <v>[{5203001,30},{1,150},{5523001,300},{5143001,300},{50039,1},{2,600}]</v>
      </c>
      <c r="BL556" s="23">
        <f ca="1" t="shared" si="195"/>
        <v>4</v>
      </c>
      <c r="BM556" s="23">
        <f ca="1" t="shared" si="196"/>
        <v>5</v>
      </c>
      <c r="BN556" s="23">
        <f ca="1" t="shared" si="198"/>
        <v>6</v>
      </c>
      <c r="BP556" s="71" t="s">
        <v>374</v>
      </c>
      <c r="BQ556" s="71">
        <v>150</v>
      </c>
    </row>
    <row r="557" ht="16.5" spans="2:69">
      <c r="B557" s="23">
        <v>237</v>
      </c>
      <c r="C557" s="12"/>
      <c r="D557" s="12"/>
      <c r="E557" s="71"/>
      <c r="F557" s="71"/>
      <c r="G557" s="71" t="str">
        <f t="shared" si="200"/>
        <v>护臂图纸</v>
      </c>
      <c r="H557" s="71">
        <v>15</v>
      </c>
      <c r="I557" s="71" t="str">
        <f t="shared" si="205"/>
        <v>毒系特饮</v>
      </c>
      <c r="J557" s="71">
        <v>200</v>
      </c>
      <c r="K557" s="71" t="s">
        <v>96</v>
      </c>
      <c r="L557" s="71">
        <v>240</v>
      </c>
      <c r="M557" s="71" t="str">
        <f t="shared" si="208"/>
        <v>辅助特饮</v>
      </c>
      <c r="N557" s="71">
        <f t="shared" si="212"/>
        <v>250</v>
      </c>
      <c r="O557" s="71" t="s">
        <v>316</v>
      </c>
      <c r="P557" s="71">
        <v>200</v>
      </c>
      <c r="Q557" s="71"/>
      <c r="R557" s="71"/>
      <c r="S557" s="72" t="str">
        <f t="shared" si="201"/>
        <v>鞋子图纸</v>
      </c>
      <c r="T557" s="71">
        <v>25</v>
      </c>
      <c r="U557" s="71" t="str">
        <f t="shared" si="202"/>
        <v/>
      </c>
      <c r="V557" s="71">
        <f t="shared" si="203"/>
        <v>0</v>
      </c>
      <c r="W557" s="71" t="s">
        <v>96</v>
      </c>
      <c r="X557" s="71">
        <f t="shared" si="179"/>
        <v>360</v>
      </c>
      <c r="Y557" s="71"/>
      <c r="Z557" s="71"/>
      <c r="AA557" s="71" t="str">
        <f t="shared" si="209"/>
        <v>基因罐</v>
      </c>
      <c r="AB557" s="71">
        <f t="shared" si="213"/>
        <v>30</v>
      </c>
      <c r="AC557" s="71" t="s">
        <v>374</v>
      </c>
      <c r="AD557" s="71">
        <v>150</v>
      </c>
      <c r="AE557" s="72" t="str">
        <f t="shared" si="206"/>
        <v>毒系特饮</v>
      </c>
      <c r="AF557" s="71">
        <v>300</v>
      </c>
      <c r="AG557" s="71"/>
      <c r="AH557" s="71"/>
      <c r="AI557" s="71" t="s">
        <v>390</v>
      </c>
      <c r="AJ557" s="71">
        <v>1</v>
      </c>
      <c r="AK557" s="71" t="s">
        <v>96</v>
      </c>
      <c r="AL557" s="71">
        <f t="shared" si="180"/>
        <v>600</v>
      </c>
      <c r="AN557" s="23" t="str">
        <f ca="1" t="shared" si="204"/>
        <v>{11,5}</v>
      </c>
      <c r="AO557" s="23" t="str">
        <f ca="1" t="shared" si="199"/>
        <v/>
      </c>
      <c r="AP557" s="23" t="str">
        <f ca="1" t="shared" si="181"/>
        <v>{50005,15}</v>
      </c>
      <c r="AQ557" s="23" t="str">
        <f ca="1" t="shared" si="182"/>
        <v>{5163001,200}</v>
      </c>
      <c r="AR557" s="23" t="str">
        <f ca="1" t="shared" si="183"/>
        <v>{2,240}</v>
      </c>
      <c r="AS557" s="23" t="str">
        <f ca="1" t="shared" si="184"/>
        <v>{5143001,250}</v>
      </c>
      <c r="AT557" s="23" t="str">
        <f ca="1" t="shared" si="210"/>
        <v>{5523001,200}</v>
      </c>
      <c r="AU557" s="23" t="str">
        <f ca="1" t="shared" si="197"/>
        <v/>
      </c>
      <c r="AV557" s="23" t="str">
        <f ca="1" t="shared" si="185"/>
        <v>{50007,25}</v>
      </c>
      <c r="AW557" s="23" t="str">
        <f ca="1" t="shared" si="186"/>
        <v/>
      </c>
      <c r="AX557" s="23" t="str">
        <f ca="1" t="shared" si="187"/>
        <v>{2,360}</v>
      </c>
      <c r="AY557" s="23" t="str">
        <f ca="1" t="shared" si="188"/>
        <v>{5204001,5}</v>
      </c>
      <c r="AZ557" s="23" t="str">
        <f ca="1" t="shared" si="214"/>
        <v>{5203001,30}</v>
      </c>
      <c r="BA557" s="23" t="str">
        <f ca="1" t="shared" si="189"/>
        <v>{1,150}</v>
      </c>
      <c r="BB557" s="23" t="s">
        <v>401</v>
      </c>
      <c r="BC557" s="23" t="str">
        <f ca="1" t="shared" si="190"/>
        <v>{5163001,300}</v>
      </c>
      <c r="BD557" s="23" t="str">
        <f ca="1" t="shared" si="207"/>
        <v/>
      </c>
      <c r="BE557" s="23" t="str">
        <f ca="1" t="shared" si="211"/>
        <v>{50039,1}</v>
      </c>
      <c r="BF557" s="23" t="str">
        <f ca="1" t="shared" si="191"/>
        <v>{2,600}</v>
      </c>
      <c r="BI557" s="23" t="str">
        <f ca="1" t="shared" si="192"/>
        <v>[{11,5},{50005,15},{5163001,200},{2,240}]</v>
      </c>
      <c r="BJ557" s="23" t="str">
        <f ca="1" t="shared" si="193"/>
        <v>[{5143001,250},{5523001,200},{50007,25},{2,360},{5204001,5}]</v>
      </c>
      <c r="BK557" s="23" t="str">
        <f ca="1" t="shared" si="194"/>
        <v>[{5203001,30},{1,150},{5523001,300},{5163001,300},{50039,1},{2,600}]</v>
      </c>
      <c r="BL557" s="23">
        <f ca="1" t="shared" si="195"/>
        <v>4</v>
      </c>
      <c r="BM557" s="23">
        <f ca="1" t="shared" si="196"/>
        <v>5</v>
      </c>
      <c r="BN557" s="23">
        <f ca="1" t="shared" si="198"/>
        <v>6</v>
      </c>
      <c r="BP557" s="71" t="s">
        <v>374</v>
      </c>
      <c r="BQ557" s="71">
        <v>150</v>
      </c>
    </row>
    <row r="558" ht="16.5" spans="2:69">
      <c r="B558" s="23">
        <v>238</v>
      </c>
      <c r="C558" s="12"/>
      <c r="D558" s="12"/>
      <c r="E558" s="71"/>
      <c r="F558" s="71"/>
      <c r="G558" s="71" t="str">
        <f t="shared" si="200"/>
        <v>裤子图纸</v>
      </c>
      <c r="H558" s="71">
        <v>15</v>
      </c>
      <c r="I558" s="71" t="str">
        <f t="shared" si="205"/>
        <v>控制特饮</v>
      </c>
      <c r="J558" s="71">
        <v>200</v>
      </c>
      <c r="K558" s="71" t="s">
        <v>96</v>
      </c>
      <c r="L558" s="71">
        <v>240</v>
      </c>
      <c r="M558" s="71" t="str">
        <f t="shared" si="208"/>
        <v>射手特饮</v>
      </c>
      <c r="N558" s="71">
        <f t="shared" si="212"/>
        <v>250</v>
      </c>
      <c r="O558" s="71" t="s">
        <v>316</v>
      </c>
      <c r="P558" s="71">
        <v>200</v>
      </c>
      <c r="Q558" s="71"/>
      <c r="R558" s="71"/>
      <c r="S558" s="72" t="str">
        <f t="shared" si="201"/>
        <v>手套图纸</v>
      </c>
      <c r="T558" s="71">
        <v>25</v>
      </c>
      <c r="U558" s="71" t="str">
        <f t="shared" si="202"/>
        <v/>
      </c>
      <c r="V558" s="71">
        <f t="shared" si="203"/>
        <v>0</v>
      </c>
      <c r="W558" s="71" t="s">
        <v>96</v>
      </c>
      <c r="X558" s="71">
        <f t="shared" si="179"/>
        <v>360</v>
      </c>
      <c r="Y558" s="71"/>
      <c r="Z558" s="71"/>
      <c r="AA558" s="71" t="str">
        <f t="shared" si="209"/>
        <v>基因罐</v>
      </c>
      <c r="AB558" s="71">
        <f t="shared" si="213"/>
        <v>30</v>
      </c>
      <c r="AC558" s="71" t="s">
        <v>374</v>
      </c>
      <c r="AD558" s="71">
        <v>150</v>
      </c>
      <c r="AE558" s="72" t="str">
        <f t="shared" si="206"/>
        <v>控制特饮</v>
      </c>
      <c r="AF558" s="71">
        <v>300</v>
      </c>
      <c r="AG558" s="71"/>
      <c r="AH558" s="71"/>
      <c r="AI558" s="71" t="s">
        <v>390</v>
      </c>
      <c r="AJ558" s="71">
        <v>1</v>
      </c>
      <c r="AK558" s="71" t="s">
        <v>96</v>
      </c>
      <c r="AL558" s="71">
        <f t="shared" si="180"/>
        <v>600</v>
      </c>
      <c r="AN558" s="23" t="str">
        <f ca="1" t="shared" si="204"/>
        <v>{11,5}</v>
      </c>
      <c r="AO558" s="23" t="str">
        <f ca="1" t="shared" si="199"/>
        <v/>
      </c>
      <c r="AP558" s="23" t="str">
        <f ca="1" t="shared" si="181"/>
        <v>{50006,15}</v>
      </c>
      <c r="AQ558" s="23" t="str">
        <f ca="1" t="shared" si="182"/>
        <v>{5153001,200}</v>
      </c>
      <c r="AR558" s="23" t="str">
        <f ca="1" t="shared" si="183"/>
        <v>{2,240}</v>
      </c>
      <c r="AS558" s="23" t="str">
        <f ca="1" t="shared" si="184"/>
        <v>{5133001,250}</v>
      </c>
      <c r="AT558" s="23" t="str">
        <f ca="1" t="shared" si="210"/>
        <v>{5523001,200}</v>
      </c>
      <c r="AU558" s="23" t="str">
        <f ca="1" t="shared" si="197"/>
        <v/>
      </c>
      <c r="AV558" s="23" t="str">
        <f ca="1" t="shared" si="185"/>
        <v>{50008,25}</v>
      </c>
      <c r="AW558" s="23" t="str">
        <f ca="1" t="shared" si="186"/>
        <v/>
      </c>
      <c r="AX558" s="23" t="str">
        <f ca="1" t="shared" si="187"/>
        <v>{2,360}</v>
      </c>
      <c r="AY558" s="23" t="str">
        <f ca="1" t="shared" si="188"/>
        <v>{5204001,5}</v>
      </c>
      <c r="AZ558" s="23" t="str">
        <f ca="1" t="shared" si="214"/>
        <v>{5203001,30}</v>
      </c>
      <c r="BA558" s="23" t="str">
        <f ca="1" t="shared" si="189"/>
        <v>{1,150}</v>
      </c>
      <c r="BB558" s="23" t="s">
        <v>401</v>
      </c>
      <c r="BC558" s="23" t="str">
        <f ca="1" t="shared" si="190"/>
        <v>{5153001,300}</v>
      </c>
      <c r="BD558" s="23" t="str">
        <f ca="1" t="shared" si="207"/>
        <v/>
      </c>
      <c r="BE558" s="23" t="str">
        <f ca="1" t="shared" si="211"/>
        <v>{50039,1}</v>
      </c>
      <c r="BF558" s="23" t="str">
        <f ca="1" t="shared" si="191"/>
        <v>{2,600}</v>
      </c>
      <c r="BI558" s="23" t="str">
        <f ca="1" t="shared" si="192"/>
        <v>[{11,5},{50006,15},{5153001,200},{2,240}]</v>
      </c>
      <c r="BJ558" s="23" t="str">
        <f ca="1" t="shared" si="193"/>
        <v>[{5133001,250},{5523001,200},{50008,25},{2,360},{5204001,5}]</v>
      </c>
      <c r="BK558" s="23" t="str">
        <f ca="1" t="shared" si="194"/>
        <v>[{5203001,30},{1,150},{5523001,300},{5153001,300},{50039,1},{2,600}]</v>
      </c>
      <c r="BL558" s="23">
        <f ca="1" t="shared" si="195"/>
        <v>4</v>
      </c>
      <c r="BM558" s="23">
        <f ca="1" t="shared" si="196"/>
        <v>5</v>
      </c>
      <c r="BN558" s="23">
        <f ca="1" t="shared" si="198"/>
        <v>6</v>
      </c>
      <c r="BP558" s="71" t="s">
        <v>374</v>
      </c>
      <c r="BQ558" s="71">
        <v>150</v>
      </c>
    </row>
    <row r="559" ht="16.5" spans="2:69">
      <c r="B559" s="23">
        <v>239</v>
      </c>
      <c r="C559" s="12"/>
      <c r="D559" s="12"/>
      <c r="E559" s="71"/>
      <c r="F559" s="71"/>
      <c r="G559" s="71" t="str">
        <f t="shared" si="200"/>
        <v>鞋子图纸</v>
      </c>
      <c r="H559" s="71">
        <v>15</v>
      </c>
      <c r="I559" s="71" t="str">
        <f t="shared" si="205"/>
        <v>射手特饮</v>
      </c>
      <c r="J559" s="71">
        <v>200</v>
      </c>
      <c r="K559" s="71" t="s">
        <v>96</v>
      </c>
      <c r="L559" s="71">
        <v>240</v>
      </c>
      <c r="M559" s="71" t="str">
        <f t="shared" si="208"/>
        <v>毒系特饮</v>
      </c>
      <c r="N559" s="71">
        <f t="shared" si="212"/>
        <v>250</v>
      </c>
      <c r="O559" s="71" t="s">
        <v>316</v>
      </c>
      <c r="P559" s="71">
        <v>200</v>
      </c>
      <c r="Q559" s="71"/>
      <c r="R559" s="71"/>
      <c r="S559" s="72" t="str">
        <f t="shared" si="201"/>
        <v>头盔图纸</v>
      </c>
      <c r="T559" s="71">
        <v>25</v>
      </c>
      <c r="U559" s="71" t="str">
        <f t="shared" si="202"/>
        <v/>
      </c>
      <c r="V559" s="71">
        <f t="shared" si="203"/>
        <v>0</v>
      </c>
      <c r="W559" s="71" t="s">
        <v>96</v>
      </c>
      <c r="X559" s="71">
        <f t="shared" si="179"/>
        <v>360</v>
      </c>
      <c r="Y559" s="71"/>
      <c r="Z559" s="71"/>
      <c r="AA559" s="71" t="str">
        <f t="shared" si="209"/>
        <v>基因罐</v>
      </c>
      <c r="AB559" s="71">
        <f t="shared" si="213"/>
        <v>30</v>
      </c>
      <c r="AC559" s="71" t="s">
        <v>374</v>
      </c>
      <c r="AD559" s="71">
        <v>150</v>
      </c>
      <c r="AE559" s="72" t="str">
        <f t="shared" si="206"/>
        <v>射手特饮</v>
      </c>
      <c r="AF559" s="71">
        <v>300</v>
      </c>
      <c r="AG559" s="71"/>
      <c r="AH559" s="71"/>
      <c r="AI559" s="71" t="s">
        <v>390</v>
      </c>
      <c r="AJ559" s="71">
        <v>1</v>
      </c>
      <c r="AK559" s="71" t="s">
        <v>96</v>
      </c>
      <c r="AL559" s="71">
        <f t="shared" si="180"/>
        <v>600</v>
      </c>
      <c r="AN559" s="23" t="str">
        <f ca="1" t="shared" si="204"/>
        <v>{11,5}</v>
      </c>
      <c r="AO559" s="23" t="str">
        <f ca="1" t="shared" si="199"/>
        <v/>
      </c>
      <c r="AP559" s="23" t="str">
        <f ca="1" t="shared" si="181"/>
        <v>{50007,15}</v>
      </c>
      <c r="AQ559" s="23" t="str">
        <f ca="1" t="shared" si="182"/>
        <v>{5133001,200}</v>
      </c>
      <c r="AR559" s="23" t="str">
        <f ca="1" t="shared" si="183"/>
        <v>{2,240}</v>
      </c>
      <c r="AS559" s="23" t="str">
        <f ca="1" t="shared" si="184"/>
        <v>{5163001,250}</v>
      </c>
      <c r="AT559" s="23" t="str">
        <f ca="1" t="shared" si="210"/>
        <v>{5523001,200}</v>
      </c>
      <c r="AU559" s="23" t="str">
        <f ca="1" t="shared" si="197"/>
        <v/>
      </c>
      <c r="AV559" s="23" t="str">
        <f ca="1" t="shared" si="185"/>
        <v>{50003,25}</v>
      </c>
      <c r="AW559" s="23" t="str">
        <f ca="1" t="shared" si="186"/>
        <v/>
      </c>
      <c r="AX559" s="23" t="str">
        <f ca="1" t="shared" si="187"/>
        <v>{2,360}</v>
      </c>
      <c r="AY559" s="23" t="str">
        <f ca="1" t="shared" si="188"/>
        <v>{5204001,5}</v>
      </c>
      <c r="AZ559" s="23" t="str">
        <f ca="1" t="shared" si="214"/>
        <v>{5203001,30}</v>
      </c>
      <c r="BA559" s="23" t="str">
        <f ca="1" t="shared" si="189"/>
        <v>{1,150}</v>
      </c>
      <c r="BB559" s="23" t="s">
        <v>401</v>
      </c>
      <c r="BC559" s="23" t="str">
        <f ca="1" t="shared" si="190"/>
        <v>{5133001,300}</v>
      </c>
      <c r="BD559" s="23" t="str">
        <f ca="1" t="shared" si="207"/>
        <v/>
      </c>
      <c r="BE559" s="23" t="str">
        <f ca="1" t="shared" si="211"/>
        <v>{50039,1}</v>
      </c>
      <c r="BF559" s="23" t="str">
        <f ca="1" t="shared" si="191"/>
        <v>{2,600}</v>
      </c>
      <c r="BI559" s="23" t="str">
        <f ca="1" t="shared" si="192"/>
        <v>[{11,5},{50007,15},{5133001,200},{2,240}]</v>
      </c>
      <c r="BJ559" s="23" t="str">
        <f ca="1" t="shared" si="193"/>
        <v>[{5163001,250},{5523001,200},{50003,25},{2,360},{5204001,5}]</v>
      </c>
      <c r="BK559" s="23" t="str">
        <f ca="1" t="shared" si="194"/>
        <v>[{5203001,30},{1,150},{5523001,300},{5133001,300},{50039,1},{2,600}]</v>
      </c>
      <c r="BL559" s="23">
        <f ca="1" t="shared" si="195"/>
        <v>4</v>
      </c>
      <c r="BM559" s="23">
        <f ca="1" t="shared" si="196"/>
        <v>5</v>
      </c>
      <c r="BN559" s="23">
        <f ca="1" t="shared" si="198"/>
        <v>6</v>
      </c>
      <c r="BP559" s="71" t="s">
        <v>374</v>
      </c>
      <c r="BQ559" s="71">
        <v>150</v>
      </c>
    </row>
    <row r="560" ht="16.5" spans="2:69">
      <c r="B560" s="23">
        <v>240</v>
      </c>
      <c r="C560" s="12" t="str">
        <f t="shared" si="177"/>
        <v>梦愿水晶</v>
      </c>
      <c r="D560" s="12">
        <f t="shared" si="178"/>
        <v>1</v>
      </c>
      <c r="E560" s="71"/>
      <c r="F560" s="71"/>
      <c r="G560" s="71" t="str">
        <f t="shared" si="200"/>
        <v>手套图纸</v>
      </c>
      <c r="H560" s="71">
        <v>15</v>
      </c>
      <c r="I560" s="71" t="str">
        <f t="shared" si="205"/>
        <v>法师特饮</v>
      </c>
      <c r="J560" s="71">
        <v>200</v>
      </c>
      <c r="K560" s="71" t="s">
        <v>96</v>
      </c>
      <c r="L560" s="71">
        <v>240</v>
      </c>
      <c r="M560" s="71" t="str">
        <f t="shared" si="208"/>
        <v>控制特饮</v>
      </c>
      <c r="N560" s="71">
        <f t="shared" si="212"/>
        <v>250</v>
      </c>
      <c r="O560" s="71" t="s">
        <v>316</v>
      </c>
      <c r="P560" s="71">
        <v>200</v>
      </c>
      <c r="Q560" s="71"/>
      <c r="R560" s="71"/>
      <c r="S560" s="72" t="str">
        <f t="shared" si="201"/>
        <v>衣服图纸</v>
      </c>
      <c r="T560" s="71">
        <v>25</v>
      </c>
      <c r="U560" s="71" t="str">
        <f t="shared" si="202"/>
        <v>灵感获取令</v>
      </c>
      <c r="V560" s="71">
        <f t="shared" si="203"/>
        <v>1</v>
      </c>
      <c r="W560" s="71" t="s">
        <v>96</v>
      </c>
      <c r="X560" s="71">
        <f t="shared" si="179"/>
        <v>360</v>
      </c>
      <c r="Y560" s="71"/>
      <c r="Z560" s="71"/>
      <c r="AA560" s="71" t="str">
        <f t="shared" si="209"/>
        <v>传说基因罐</v>
      </c>
      <c r="AB560" s="71">
        <f t="shared" si="213"/>
        <v>3</v>
      </c>
      <c r="AC560" s="71" t="s">
        <v>374</v>
      </c>
      <c r="AD560" s="71">
        <v>150</v>
      </c>
      <c r="AE560" s="72" t="str">
        <f t="shared" si="206"/>
        <v>战士特饮</v>
      </c>
      <c r="AF560" s="71">
        <v>300</v>
      </c>
      <c r="AG560" s="71"/>
      <c r="AH560" s="71"/>
      <c r="AI560" s="71" t="s">
        <v>390</v>
      </c>
      <c r="AJ560" s="71">
        <v>1</v>
      </c>
      <c r="AK560" s="71" t="s">
        <v>96</v>
      </c>
      <c r="AL560" s="71">
        <f t="shared" si="180"/>
        <v>600</v>
      </c>
      <c r="AN560" s="23" t="str">
        <f ca="1" t="shared" si="204"/>
        <v>{35,1}</v>
      </c>
      <c r="AO560" s="23" t="str">
        <f ca="1" t="shared" si="199"/>
        <v/>
      </c>
      <c r="AP560" s="23" t="str">
        <f ca="1" t="shared" si="181"/>
        <v>{50008,15}</v>
      </c>
      <c r="AQ560" s="23" t="str">
        <f ca="1" t="shared" si="182"/>
        <v>{5123001,200}</v>
      </c>
      <c r="AR560" s="23" t="str">
        <f ca="1" t="shared" si="183"/>
        <v>{2,240}</v>
      </c>
      <c r="AS560" s="23" t="str">
        <f ca="1" t="shared" si="184"/>
        <v>{5153001,250}</v>
      </c>
      <c r="AT560" s="23" t="str">
        <f ca="1" t="shared" si="210"/>
        <v>{5523001,200}</v>
      </c>
      <c r="AU560" s="23" t="str">
        <f ca="1" t="shared" si="197"/>
        <v/>
      </c>
      <c r="AV560" s="23" t="str">
        <f ca="1" t="shared" si="185"/>
        <v>{50004,25}</v>
      </c>
      <c r="AW560" s="23" t="str">
        <f ca="1" t="shared" si="186"/>
        <v>{9,1}</v>
      </c>
      <c r="AX560" s="23" t="str">
        <f ca="1" t="shared" si="187"/>
        <v>{2,360}</v>
      </c>
      <c r="AY560" s="23" t="str">
        <f ca="1" t="shared" si="188"/>
        <v>{5204001,5}</v>
      </c>
      <c r="AZ560" s="23" t="str">
        <f ca="1" t="shared" si="214"/>
        <v>{5205001,3}</v>
      </c>
      <c r="BA560" s="23" t="str">
        <f ca="1" t="shared" si="189"/>
        <v>{1,150}</v>
      </c>
      <c r="BB560" s="23" t="s">
        <v>401</v>
      </c>
      <c r="BC560" s="23" t="str">
        <f ca="1" t="shared" si="190"/>
        <v>{5113001,300}</v>
      </c>
      <c r="BD560" s="23" t="str">
        <f ca="1" t="shared" si="207"/>
        <v/>
      </c>
      <c r="BE560" s="23" t="str">
        <f ca="1" t="shared" si="211"/>
        <v>{50039,1}</v>
      </c>
      <c r="BF560" s="23" t="str">
        <f ca="1" t="shared" si="191"/>
        <v>{2,600}</v>
      </c>
      <c r="BI560" s="23" t="str">
        <f ca="1" t="shared" si="192"/>
        <v>[{35,1},{50008,15},{5123001,200},{2,240}]</v>
      </c>
      <c r="BJ560" s="23" t="str">
        <f ca="1" t="shared" si="193"/>
        <v>[{5153001,250},{5523001,200},{50004,25},{9,1},{2,360},{5204001,5}]</v>
      </c>
      <c r="BK560" s="23" t="str">
        <f ca="1" t="shared" si="194"/>
        <v>[{5205001,3},{1,150},{5523001,300},{5113001,300},{50039,1},{2,600}]</v>
      </c>
      <c r="BL560" s="23">
        <f ca="1" t="shared" si="195"/>
        <v>4</v>
      </c>
      <c r="BM560" s="23">
        <f ca="1" t="shared" si="196"/>
        <v>6</v>
      </c>
      <c r="BN560" s="23">
        <f ca="1" t="shared" si="198"/>
        <v>6</v>
      </c>
      <c r="BP560" s="71" t="s">
        <v>374</v>
      </c>
      <c r="BQ560" s="71">
        <v>150</v>
      </c>
    </row>
    <row r="561" ht="16.5" spans="2:69">
      <c r="B561" s="23">
        <v>241</v>
      </c>
      <c r="C561" s="12"/>
      <c r="D561" s="12"/>
      <c r="E561" s="71"/>
      <c r="F561" s="71"/>
      <c r="G561" s="71" t="str">
        <f t="shared" si="200"/>
        <v>头盔图纸</v>
      </c>
      <c r="H561" s="71">
        <v>15</v>
      </c>
      <c r="I561" s="71" t="str">
        <f t="shared" si="205"/>
        <v>辅助特饮</v>
      </c>
      <c r="J561" s="71">
        <v>200</v>
      </c>
      <c r="K561" s="71" t="s">
        <v>96</v>
      </c>
      <c r="L561" s="71">
        <v>240</v>
      </c>
      <c r="M561" s="71" t="str">
        <f t="shared" si="208"/>
        <v>战士特饮</v>
      </c>
      <c r="N561" s="71">
        <f t="shared" si="212"/>
        <v>250</v>
      </c>
      <c r="O561" s="71" t="s">
        <v>316</v>
      </c>
      <c r="P561" s="71">
        <v>200</v>
      </c>
      <c r="Q561" s="71"/>
      <c r="R561" s="71"/>
      <c r="S561" s="72" t="str">
        <f t="shared" si="201"/>
        <v>护臂图纸</v>
      </c>
      <c r="T561" s="71">
        <v>25</v>
      </c>
      <c r="U561" s="71" t="str">
        <f t="shared" si="202"/>
        <v/>
      </c>
      <c r="V561" s="71">
        <f t="shared" si="203"/>
        <v>0</v>
      </c>
      <c r="W561" s="71" t="s">
        <v>96</v>
      </c>
      <c r="X561" s="71">
        <f t="shared" si="179"/>
        <v>360</v>
      </c>
      <c r="Y561" s="71"/>
      <c r="Z561" s="71"/>
      <c r="AA561" s="71" t="str">
        <f t="shared" si="209"/>
        <v>基因罐</v>
      </c>
      <c r="AB561" s="71">
        <f t="shared" si="213"/>
        <v>30</v>
      </c>
      <c r="AC561" s="71" t="s">
        <v>374</v>
      </c>
      <c r="AD561" s="71">
        <v>150</v>
      </c>
      <c r="AE561" s="72" t="str">
        <f t="shared" si="206"/>
        <v>法师特饮</v>
      </c>
      <c r="AF561" s="71">
        <v>300</v>
      </c>
      <c r="AG561" s="71"/>
      <c r="AH561" s="71"/>
      <c r="AI561" s="71" t="s">
        <v>390</v>
      </c>
      <c r="AJ561" s="71">
        <v>1</v>
      </c>
      <c r="AK561" s="71" t="s">
        <v>96</v>
      </c>
      <c r="AL561" s="71">
        <f t="shared" si="180"/>
        <v>600</v>
      </c>
      <c r="AN561" s="23" t="str">
        <f ca="1" t="shared" si="204"/>
        <v>{11,5}</v>
      </c>
      <c r="AO561" s="23" t="str">
        <f ca="1" t="shared" si="199"/>
        <v/>
      </c>
      <c r="AP561" s="23" t="str">
        <f ca="1" t="shared" si="181"/>
        <v>{50003,15}</v>
      </c>
      <c r="AQ561" s="23" t="str">
        <f ca="1" t="shared" si="182"/>
        <v>{5143001,200}</v>
      </c>
      <c r="AR561" s="23" t="str">
        <f ca="1" t="shared" si="183"/>
        <v>{2,240}</v>
      </c>
      <c r="AS561" s="23" t="str">
        <f ca="1" t="shared" si="184"/>
        <v>{5113001,250}</v>
      </c>
      <c r="AT561" s="23" t="str">
        <f ca="1" t="shared" si="210"/>
        <v>{5523001,200}</v>
      </c>
      <c r="AU561" s="23" t="str">
        <f ca="1" t="shared" si="197"/>
        <v/>
      </c>
      <c r="AV561" s="23" t="str">
        <f ca="1" t="shared" si="185"/>
        <v>{50005,25}</v>
      </c>
      <c r="AW561" s="23" t="str">
        <f ca="1" t="shared" si="186"/>
        <v/>
      </c>
      <c r="AX561" s="23" t="str">
        <f ca="1" t="shared" si="187"/>
        <v>{2,360}</v>
      </c>
      <c r="AY561" s="23" t="str">
        <f ca="1" t="shared" si="188"/>
        <v>{5204001,5}</v>
      </c>
      <c r="AZ561" s="23" t="str">
        <f ca="1" t="shared" si="214"/>
        <v>{5203001,30}</v>
      </c>
      <c r="BA561" s="23" t="str">
        <f ca="1" t="shared" si="189"/>
        <v>{1,150}</v>
      </c>
      <c r="BB561" s="23" t="s">
        <v>401</v>
      </c>
      <c r="BC561" s="23" t="str">
        <f ca="1" t="shared" si="190"/>
        <v>{5123001,300}</v>
      </c>
      <c r="BD561" s="23" t="str">
        <f ca="1" t="shared" si="207"/>
        <v/>
      </c>
      <c r="BE561" s="23" t="str">
        <f ca="1" t="shared" si="211"/>
        <v>{50039,1}</v>
      </c>
      <c r="BF561" s="23" t="str">
        <f ca="1" t="shared" si="191"/>
        <v>{2,600}</v>
      </c>
      <c r="BI561" s="23" t="str">
        <f ca="1" t="shared" si="192"/>
        <v>[{11,5},{50003,15},{5143001,200},{2,240}]</v>
      </c>
      <c r="BJ561" s="23" t="str">
        <f ca="1" t="shared" si="193"/>
        <v>[{5113001,250},{5523001,200},{50005,25},{2,360},{5204001,5}]</v>
      </c>
      <c r="BK561" s="23" t="str">
        <f ca="1" t="shared" si="194"/>
        <v>[{5203001,30},{1,150},{5523001,300},{5123001,300},{50039,1},{2,600}]</v>
      </c>
      <c r="BL561" s="23">
        <f ca="1" t="shared" si="195"/>
        <v>4</v>
      </c>
      <c r="BM561" s="23">
        <f ca="1" t="shared" si="196"/>
        <v>5</v>
      </c>
      <c r="BN561" s="23">
        <f ca="1" t="shared" si="198"/>
        <v>6</v>
      </c>
      <c r="BP561" s="71" t="s">
        <v>374</v>
      </c>
      <c r="BQ561" s="71">
        <v>150</v>
      </c>
    </row>
    <row r="562" ht="16.5" spans="2:69">
      <c r="B562" s="23">
        <v>242</v>
      </c>
      <c r="C562" s="12"/>
      <c r="D562" s="12"/>
      <c r="E562" s="71"/>
      <c r="F562" s="71"/>
      <c r="G562" s="71" t="str">
        <f t="shared" si="200"/>
        <v>衣服图纸</v>
      </c>
      <c r="H562" s="71">
        <v>15</v>
      </c>
      <c r="I562" s="71" t="str">
        <f t="shared" si="205"/>
        <v>战士特饮</v>
      </c>
      <c r="J562" s="71">
        <v>200</v>
      </c>
      <c r="K562" s="71" t="s">
        <v>96</v>
      </c>
      <c r="L562" s="71">
        <v>240</v>
      </c>
      <c r="M562" s="71" t="str">
        <f t="shared" si="208"/>
        <v>法师特饮</v>
      </c>
      <c r="N562" s="71">
        <f t="shared" si="212"/>
        <v>250</v>
      </c>
      <c r="O562" s="71" t="s">
        <v>316</v>
      </c>
      <c r="P562" s="71">
        <v>200</v>
      </c>
      <c r="Q562" s="71"/>
      <c r="R562" s="71"/>
      <c r="S562" s="72" t="str">
        <f t="shared" si="201"/>
        <v>裤子图纸</v>
      </c>
      <c r="T562" s="71">
        <v>25</v>
      </c>
      <c r="U562" s="71" t="str">
        <f t="shared" si="202"/>
        <v/>
      </c>
      <c r="V562" s="71">
        <f t="shared" si="203"/>
        <v>0</v>
      </c>
      <c r="W562" s="71" t="s">
        <v>96</v>
      </c>
      <c r="X562" s="71">
        <f t="shared" si="179"/>
        <v>360</v>
      </c>
      <c r="Y562" s="71"/>
      <c r="Z562" s="71"/>
      <c r="AA562" s="71" t="str">
        <f t="shared" si="209"/>
        <v>基因罐</v>
      </c>
      <c r="AB562" s="71">
        <f t="shared" si="213"/>
        <v>30</v>
      </c>
      <c r="AC562" s="71" t="s">
        <v>374</v>
      </c>
      <c r="AD562" s="71">
        <v>150</v>
      </c>
      <c r="AE562" s="72" t="str">
        <f t="shared" si="206"/>
        <v>辅助特饮</v>
      </c>
      <c r="AF562" s="71">
        <v>300</v>
      </c>
      <c r="AG562" s="71"/>
      <c r="AH562" s="71"/>
      <c r="AI562" s="71" t="s">
        <v>390</v>
      </c>
      <c r="AJ562" s="71">
        <v>1</v>
      </c>
      <c r="AK562" s="71" t="s">
        <v>96</v>
      </c>
      <c r="AL562" s="71">
        <f t="shared" si="180"/>
        <v>600</v>
      </c>
      <c r="AN562" s="23" t="str">
        <f ca="1" t="shared" si="204"/>
        <v>{11,5}</v>
      </c>
      <c r="AO562" s="23" t="str">
        <f ca="1" t="shared" si="199"/>
        <v/>
      </c>
      <c r="AP562" s="23" t="str">
        <f ca="1" t="shared" si="181"/>
        <v>{50004,15}</v>
      </c>
      <c r="AQ562" s="23" t="str">
        <f ca="1" t="shared" si="182"/>
        <v>{5113001,200}</v>
      </c>
      <c r="AR562" s="23" t="str">
        <f ca="1" t="shared" si="183"/>
        <v>{2,240}</v>
      </c>
      <c r="AS562" s="23" t="str">
        <f ca="1" t="shared" si="184"/>
        <v>{5123001,250}</v>
      </c>
      <c r="AT562" s="23" t="str">
        <f ca="1" t="shared" si="210"/>
        <v>{5523001,200}</v>
      </c>
      <c r="AU562" s="23" t="str">
        <f ca="1" t="shared" si="197"/>
        <v/>
      </c>
      <c r="AV562" s="23" t="str">
        <f ca="1" t="shared" si="185"/>
        <v>{50006,25}</v>
      </c>
      <c r="AW562" s="23" t="str">
        <f ca="1" t="shared" si="186"/>
        <v/>
      </c>
      <c r="AX562" s="23" t="str">
        <f ca="1" t="shared" si="187"/>
        <v>{2,360}</v>
      </c>
      <c r="AY562" s="23" t="str">
        <f ca="1" t="shared" si="188"/>
        <v>{5204001,5}</v>
      </c>
      <c r="AZ562" s="23" t="str">
        <f ca="1" t="shared" si="214"/>
        <v>{5203001,30}</v>
      </c>
      <c r="BA562" s="23" t="str">
        <f ca="1" t="shared" si="189"/>
        <v>{1,150}</v>
      </c>
      <c r="BB562" s="23" t="s">
        <v>401</v>
      </c>
      <c r="BC562" s="23" t="str">
        <f ca="1" t="shared" si="190"/>
        <v>{5143001,300}</v>
      </c>
      <c r="BD562" s="23" t="str">
        <f ca="1" t="shared" si="207"/>
        <v/>
      </c>
      <c r="BE562" s="23" t="str">
        <f ca="1" t="shared" si="211"/>
        <v>{50039,1}</v>
      </c>
      <c r="BF562" s="23" t="str">
        <f ca="1" t="shared" si="191"/>
        <v>{2,600}</v>
      </c>
      <c r="BI562" s="23" t="str">
        <f ca="1" t="shared" si="192"/>
        <v>[{11,5},{50004,15},{5113001,200},{2,240}]</v>
      </c>
      <c r="BJ562" s="23" t="str">
        <f ca="1" t="shared" si="193"/>
        <v>[{5123001,250},{5523001,200},{50006,25},{2,360},{5204001,5}]</v>
      </c>
      <c r="BK562" s="23" t="str">
        <f ca="1" t="shared" si="194"/>
        <v>[{5203001,30},{1,150},{5523001,300},{5143001,300},{50039,1},{2,600}]</v>
      </c>
      <c r="BL562" s="23">
        <f ca="1" t="shared" si="195"/>
        <v>4</v>
      </c>
      <c r="BM562" s="23">
        <f ca="1" t="shared" si="196"/>
        <v>5</v>
      </c>
      <c r="BN562" s="23">
        <f ca="1" t="shared" si="198"/>
        <v>6</v>
      </c>
      <c r="BP562" s="71" t="s">
        <v>374</v>
      </c>
      <c r="BQ562" s="71">
        <v>150</v>
      </c>
    </row>
    <row r="563" ht="16.5" spans="2:69">
      <c r="B563" s="23">
        <v>243</v>
      </c>
      <c r="C563" s="12"/>
      <c r="D563" s="12"/>
      <c r="E563" s="71"/>
      <c r="F563" s="71"/>
      <c r="G563" s="71" t="str">
        <f t="shared" si="200"/>
        <v>护臂图纸</v>
      </c>
      <c r="H563" s="71">
        <v>15</v>
      </c>
      <c r="I563" s="71" t="str">
        <f t="shared" si="205"/>
        <v>毒系特饮</v>
      </c>
      <c r="J563" s="71">
        <v>200</v>
      </c>
      <c r="K563" s="71" t="s">
        <v>96</v>
      </c>
      <c r="L563" s="71">
        <v>240</v>
      </c>
      <c r="M563" s="71" t="str">
        <f t="shared" si="208"/>
        <v>辅助特饮</v>
      </c>
      <c r="N563" s="71">
        <f t="shared" si="212"/>
        <v>250</v>
      </c>
      <c r="O563" s="71" t="s">
        <v>316</v>
      </c>
      <c r="P563" s="71">
        <v>200</v>
      </c>
      <c r="Q563" s="71"/>
      <c r="R563" s="71"/>
      <c r="S563" s="72" t="str">
        <f t="shared" si="201"/>
        <v>鞋子图纸</v>
      </c>
      <c r="T563" s="71">
        <v>25</v>
      </c>
      <c r="U563" s="71" t="str">
        <f t="shared" si="202"/>
        <v/>
      </c>
      <c r="V563" s="71">
        <f t="shared" si="203"/>
        <v>0</v>
      </c>
      <c r="W563" s="71" t="s">
        <v>96</v>
      </c>
      <c r="X563" s="71">
        <f t="shared" si="179"/>
        <v>360</v>
      </c>
      <c r="Y563" s="71"/>
      <c r="Z563" s="71"/>
      <c r="AA563" s="71" t="str">
        <f t="shared" si="209"/>
        <v>基因罐</v>
      </c>
      <c r="AB563" s="71">
        <f t="shared" si="213"/>
        <v>30</v>
      </c>
      <c r="AC563" s="71" t="s">
        <v>374</v>
      </c>
      <c r="AD563" s="71">
        <v>150</v>
      </c>
      <c r="AE563" s="72" t="str">
        <f t="shared" si="206"/>
        <v>毒系特饮</v>
      </c>
      <c r="AF563" s="71">
        <v>300</v>
      </c>
      <c r="AG563" s="71"/>
      <c r="AH563" s="71"/>
      <c r="AI563" s="71" t="s">
        <v>390</v>
      </c>
      <c r="AJ563" s="71">
        <v>1</v>
      </c>
      <c r="AK563" s="71" t="s">
        <v>96</v>
      </c>
      <c r="AL563" s="71">
        <f t="shared" si="180"/>
        <v>600</v>
      </c>
      <c r="AN563" s="23" t="str">
        <f ca="1" t="shared" si="204"/>
        <v>{11,5}</v>
      </c>
      <c r="AO563" s="23" t="str">
        <f ca="1" t="shared" si="199"/>
        <v/>
      </c>
      <c r="AP563" s="23" t="str">
        <f ca="1" t="shared" si="181"/>
        <v>{50005,15}</v>
      </c>
      <c r="AQ563" s="23" t="str">
        <f ca="1" t="shared" si="182"/>
        <v>{5163001,200}</v>
      </c>
      <c r="AR563" s="23" t="str">
        <f ca="1" t="shared" si="183"/>
        <v>{2,240}</v>
      </c>
      <c r="AS563" s="23" t="str">
        <f ca="1" t="shared" si="184"/>
        <v>{5143001,250}</v>
      </c>
      <c r="AT563" s="23" t="str">
        <f ca="1" t="shared" si="210"/>
        <v>{5523001,200}</v>
      </c>
      <c r="AU563" s="23" t="str">
        <f ca="1" t="shared" si="197"/>
        <v/>
      </c>
      <c r="AV563" s="23" t="str">
        <f ca="1" t="shared" si="185"/>
        <v>{50007,25}</v>
      </c>
      <c r="AW563" s="23" t="str">
        <f ca="1" t="shared" si="186"/>
        <v/>
      </c>
      <c r="AX563" s="23" t="str">
        <f ca="1" t="shared" si="187"/>
        <v>{2,360}</v>
      </c>
      <c r="AY563" s="23" t="str">
        <f ca="1" t="shared" si="188"/>
        <v>{5204001,5}</v>
      </c>
      <c r="AZ563" s="23" t="str">
        <f ca="1" t="shared" si="214"/>
        <v>{5203001,30}</v>
      </c>
      <c r="BA563" s="23" t="str">
        <f ca="1" t="shared" si="189"/>
        <v>{1,150}</v>
      </c>
      <c r="BB563" s="23" t="s">
        <v>401</v>
      </c>
      <c r="BC563" s="23" t="str">
        <f ca="1" t="shared" si="190"/>
        <v>{5163001,300}</v>
      </c>
      <c r="BD563" s="23" t="str">
        <f ca="1" t="shared" si="207"/>
        <v/>
      </c>
      <c r="BE563" s="23" t="str">
        <f ca="1" t="shared" si="211"/>
        <v>{50039,1}</v>
      </c>
      <c r="BF563" s="23" t="str">
        <f ca="1" t="shared" si="191"/>
        <v>{2,600}</v>
      </c>
      <c r="BI563" s="23" t="str">
        <f ca="1" t="shared" si="192"/>
        <v>[{11,5},{50005,15},{5163001,200},{2,240}]</v>
      </c>
      <c r="BJ563" s="23" t="str">
        <f ca="1" t="shared" si="193"/>
        <v>[{5143001,250},{5523001,200},{50007,25},{2,360},{5204001,5}]</v>
      </c>
      <c r="BK563" s="23" t="str">
        <f ca="1" t="shared" si="194"/>
        <v>[{5203001,30},{1,150},{5523001,300},{5163001,300},{50039,1},{2,600}]</v>
      </c>
      <c r="BL563" s="23">
        <f ca="1" t="shared" si="195"/>
        <v>4</v>
      </c>
      <c r="BM563" s="23">
        <f ca="1" t="shared" si="196"/>
        <v>5</v>
      </c>
      <c r="BN563" s="23">
        <f ca="1" t="shared" si="198"/>
        <v>6</v>
      </c>
      <c r="BP563" s="71" t="s">
        <v>374</v>
      </c>
      <c r="BQ563" s="71">
        <v>150</v>
      </c>
    </row>
    <row r="564" ht="16.5" spans="2:69">
      <c r="B564" s="23">
        <v>244</v>
      </c>
      <c r="C564" s="12"/>
      <c r="D564" s="12"/>
      <c r="E564" s="71"/>
      <c r="F564" s="71"/>
      <c r="G564" s="71" t="str">
        <f t="shared" si="200"/>
        <v>裤子图纸</v>
      </c>
      <c r="H564" s="71">
        <v>15</v>
      </c>
      <c r="I564" s="71" t="str">
        <f t="shared" si="205"/>
        <v>控制特饮</v>
      </c>
      <c r="J564" s="71">
        <v>200</v>
      </c>
      <c r="K564" s="71" t="s">
        <v>96</v>
      </c>
      <c r="L564" s="71">
        <v>240</v>
      </c>
      <c r="M564" s="71" t="str">
        <f t="shared" si="208"/>
        <v>射手特饮</v>
      </c>
      <c r="N564" s="71">
        <f t="shared" si="212"/>
        <v>250</v>
      </c>
      <c r="O564" s="71" t="s">
        <v>316</v>
      </c>
      <c r="P564" s="71">
        <v>200</v>
      </c>
      <c r="Q564" s="71"/>
      <c r="R564" s="71"/>
      <c r="S564" s="72" t="str">
        <f t="shared" si="201"/>
        <v>手套图纸</v>
      </c>
      <c r="T564" s="71">
        <v>25</v>
      </c>
      <c r="U564" s="71" t="str">
        <f t="shared" si="202"/>
        <v/>
      </c>
      <c r="V564" s="71">
        <f t="shared" si="203"/>
        <v>0</v>
      </c>
      <c r="W564" s="71" t="s">
        <v>96</v>
      </c>
      <c r="X564" s="71">
        <f t="shared" si="179"/>
        <v>360</v>
      </c>
      <c r="Y564" s="71"/>
      <c r="Z564" s="71"/>
      <c r="AA564" s="71" t="str">
        <f t="shared" si="209"/>
        <v>基因罐</v>
      </c>
      <c r="AB564" s="71">
        <f t="shared" si="213"/>
        <v>30</v>
      </c>
      <c r="AC564" s="71" t="s">
        <v>374</v>
      </c>
      <c r="AD564" s="71">
        <v>150</v>
      </c>
      <c r="AE564" s="72" t="str">
        <f t="shared" si="206"/>
        <v>控制特饮</v>
      </c>
      <c r="AF564" s="71">
        <v>300</v>
      </c>
      <c r="AG564" s="71"/>
      <c r="AH564" s="71"/>
      <c r="AI564" s="71" t="s">
        <v>390</v>
      </c>
      <c r="AJ564" s="71">
        <v>1</v>
      </c>
      <c r="AK564" s="71" t="s">
        <v>96</v>
      </c>
      <c r="AL564" s="71">
        <f t="shared" si="180"/>
        <v>600</v>
      </c>
      <c r="AN564" s="23" t="str">
        <f ca="1" t="shared" si="204"/>
        <v>{11,5}</v>
      </c>
      <c r="AO564" s="23" t="str">
        <f ca="1" t="shared" si="199"/>
        <v/>
      </c>
      <c r="AP564" s="23" t="str">
        <f ca="1" t="shared" si="181"/>
        <v>{50006,15}</v>
      </c>
      <c r="AQ564" s="23" t="str">
        <f ca="1" t="shared" si="182"/>
        <v>{5153001,200}</v>
      </c>
      <c r="AR564" s="23" t="str">
        <f ca="1" t="shared" si="183"/>
        <v>{2,240}</v>
      </c>
      <c r="AS564" s="23" t="str">
        <f ca="1" t="shared" si="184"/>
        <v>{5133001,250}</v>
      </c>
      <c r="AT564" s="23" t="str">
        <f ca="1" t="shared" si="210"/>
        <v>{5523001,200}</v>
      </c>
      <c r="AU564" s="23" t="str">
        <f ca="1" t="shared" si="197"/>
        <v/>
      </c>
      <c r="AV564" s="23" t="str">
        <f ca="1" t="shared" si="185"/>
        <v>{50008,25}</v>
      </c>
      <c r="AW564" s="23" t="str">
        <f ca="1" t="shared" si="186"/>
        <v/>
      </c>
      <c r="AX564" s="23" t="str">
        <f ca="1" t="shared" si="187"/>
        <v>{2,360}</v>
      </c>
      <c r="AY564" s="23" t="str">
        <f ca="1" t="shared" si="188"/>
        <v>{5204001,5}</v>
      </c>
      <c r="AZ564" s="23" t="str">
        <f ca="1" t="shared" si="214"/>
        <v>{5203001,30}</v>
      </c>
      <c r="BA564" s="23" t="str">
        <f ca="1" t="shared" si="189"/>
        <v>{1,150}</v>
      </c>
      <c r="BB564" s="23" t="s">
        <v>401</v>
      </c>
      <c r="BC564" s="23" t="str">
        <f ca="1" t="shared" si="190"/>
        <v>{5153001,300}</v>
      </c>
      <c r="BD564" s="23" t="str">
        <f ca="1" t="shared" si="207"/>
        <v/>
      </c>
      <c r="BE564" s="23" t="str">
        <f ca="1" t="shared" si="211"/>
        <v>{50039,1}</v>
      </c>
      <c r="BF564" s="23" t="str">
        <f ca="1" t="shared" si="191"/>
        <v>{2,600}</v>
      </c>
      <c r="BI564" s="23" t="str">
        <f ca="1" t="shared" si="192"/>
        <v>[{11,5},{50006,15},{5153001,200},{2,240}]</v>
      </c>
      <c r="BJ564" s="23" t="str">
        <f ca="1" t="shared" si="193"/>
        <v>[{5133001,250},{5523001,200},{50008,25},{2,360},{5204001,5}]</v>
      </c>
      <c r="BK564" s="23" t="str">
        <f ca="1" t="shared" si="194"/>
        <v>[{5203001,30},{1,150},{5523001,300},{5153001,300},{50039,1},{2,600}]</v>
      </c>
      <c r="BL564" s="23">
        <f ca="1" t="shared" si="195"/>
        <v>4</v>
      </c>
      <c r="BM564" s="23">
        <f ca="1" t="shared" si="196"/>
        <v>5</v>
      </c>
      <c r="BN564" s="23">
        <f ca="1" t="shared" si="198"/>
        <v>6</v>
      </c>
      <c r="BP564" s="71" t="s">
        <v>374</v>
      </c>
      <c r="BQ564" s="71">
        <v>150</v>
      </c>
    </row>
    <row r="565" ht="16.5" spans="2:69">
      <c r="B565" s="23">
        <v>245</v>
      </c>
      <c r="C565" s="12" t="inlineStr">
        <is>
          <t>梦愿水晶</t>
        </is>
      </c>
      <c r="D565" s="12">
        <v>1</v>
      </c>
      <c r="E565" s="71"/>
      <c r="F565" s="71"/>
      <c r="G565" s="71" t="str">
        <f t="shared" si="200"/>
        <v>鞋子图纸</v>
      </c>
      <c r="H565" s="71">
        <v>15</v>
      </c>
      <c r="I565" s="71" t="str">
        <f t="shared" si="205"/>
        <v>射手特饮</v>
      </c>
      <c r="J565" s="71">
        <v>200</v>
      </c>
      <c r="K565" s="71" t="s">
        <v>96</v>
      </c>
      <c r="L565" s="71">
        <v>240</v>
      </c>
      <c r="M565" s="71" t="str">
        <f t="shared" si="208"/>
        <v>毒系特饮</v>
      </c>
      <c r="N565" s="71">
        <f t="shared" si="212"/>
        <v>250</v>
      </c>
      <c r="O565" s="71" t="s">
        <v>316</v>
      </c>
      <c r="P565" s="71">
        <v>200</v>
      </c>
      <c r="Q565" s="71"/>
      <c r="R565" s="71"/>
      <c r="S565" s="72" t="str">
        <f t="shared" si="201"/>
        <v>头盔图纸</v>
      </c>
      <c r="T565" s="71">
        <v>25</v>
      </c>
      <c r="U565" s="71" t="str">
        <f t="shared" si="202"/>
        <v>灵感获取令</v>
      </c>
      <c r="V565" s="71">
        <f t="shared" si="203"/>
        <v>1</v>
      </c>
      <c r="W565" s="71" t="s">
        <v>96</v>
      </c>
      <c r="X565" s="71">
        <f t="shared" si="179"/>
        <v>360</v>
      </c>
      <c r="Y565" s="71"/>
      <c r="Z565" s="71"/>
      <c r="AA565" s="71" t="str">
        <f t="shared" si="209"/>
        <v>传说基因罐</v>
      </c>
      <c r="AB565" s="71">
        <f t="shared" si="213"/>
        <v>3</v>
      </c>
      <c r="AC565" s="71" t="s">
        <v>374</v>
      </c>
      <c r="AD565" s="71">
        <v>150</v>
      </c>
      <c r="AE565" s="72" t="str">
        <f t="shared" si="206"/>
        <v>射手特饮</v>
      </c>
      <c r="AF565" s="71">
        <v>300</v>
      </c>
      <c r="AG565" s="71"/>
      <c r="AH565" s="71"/>
      <c r="AI565" s="71" t="s">
        <v>390</v>
      </c>
      <c r="AJ565" s="71">
        <v>1</v>
      </c>
      <c r="AK565" s="71" t="s">
        <v>96</v>
      </c>
      <c r="AL565" s="71">
        <f t="shared" si="180"/>
        <v>600</v>
      </c>
      <c r="AN565" s="23" t="str">
        <f ca="1" t="shared" si="204"/>
        <v>{35,1}</v>
      </c>
      <c r="AO565" s="23" t="str">
        <f ca="1" t="shared" si="199"/>
        <v/>
      </c>
      <c r="AP565" s="23" t="str">
        <f ca="1" t="shared" si="181"/>
        <v>{50007,15}</v>
      </c>
      <c r="AQ565" s="23" t="str">
        <f ca="1" t="shared" si="182"/>
        <v>{5133001,200}</v>
      </c>
      <c r="AR565" s="23" t="str">
        <f ca="1" t="shared" si="183"/>
        <v>{2,240}</v>
      </c>
      <c r="AS565" s="23" t="str">
        <f ca="1" t="shared" si="184"/>
        <v>{5163001,250}</v>
      </c>
      <c r="AT565" s="23" t="str">
        <f ca="1" t="shared" si="210"/>
        <v>{5523001,200}</v>
      </c>
      <c r="AU565" s="23" t="str">
        <f ca="1" t="shared" si="197"/>
        <v/>
      </c>
      <c r="AV565" s="23" t="str">
        <f ca="1" t="shared" si="185"/>
        <v>{50003,25}</v>
      </c>
      <c r="AW565" s="23" t="str">
        <f ca="1" t="shared" si="186"/>
        <v>{9,1}</v>
      </c>
      <c r="AX565" s="23" t="str">
        <f ca="1" t="shared" si="187"/>
        <v>{2,360}</v>
      </c>
      <c r="AY565" s="23" t="str">
        <f ca="1" t="shared" si="188"/>
        <v>{5204001,5}</v>
      </c>
      <c r="AZ565" s="23" t="str">
        <f ca="1" t="shared" si="214"/>
        <v>{5205001,3}</v>
      </c>
      <c r="BA565" s="23" t="str">
        <f ca="1" t="shared" si="189"/>
        <v>{1,150}</v>
      </c>
      <c r="BB565" s="23" t="s">
        <v>401</v>
      </c>
      <c r="BC565" s="23" t="str">
        <f ca="1" t="shared" si="190"/>
        <v>{5133001,300}</v>
      </c>
      <c r="BD565" s="23" t="str">
        <f ca="1" t="shared" si="207"/>
        <v/>
      </c>
      <c r="BE565" s="23" t="str">
        <f ca="1" t="shared" si="211"/>
        <v>{50039,1}</v>
      </c>
      <c r="BF565" s="23" t="str">
        <f ca="1" t="shared" si="191"/>
        <v>{2,600}</v>
      </c>
      <c r="BI565" s="23" t="str">
        <f ca="1" t="shared" si="192"/>
        <v>[{35,1},{50007,15},{5133001,200},{2,240}]</v>
      </c>
      <c r="BJ565" s="23" t="str">
        <f ca="1" t="shared" si="193"/>
        <v>[{5163001,250},{5523001,200},{50003,25},{9,1},{2,360},{5204001,5}]</v>
      </c>
      <c r="BK565" s="23" t="str">
        <f ca="1" t="shared" si="194"/>
        <v>[{5205001,3},{1,150},{5523001,300},{5133001,300},{50039,1},{2,600}]</v>
      </c>
      <c r="BL565" s="23">
        <f ca="1" t="shared" si="195"/>
        <v>4</v>
      </c>
      <c r="BM565" s="23">
        <f ca="1" t="shared" si="196"/>
        <v>6</v>
      </c>
      <c r="BN565" s="23">
        <f ca="1" t="shared" si="198"/>
        <v>6</v>
      </c>
      <c r="BP565" s="71" t="s">
        <v>374</v>
      </c>
      <c r="BQ565" s="71">
        <v>150</v>
      </c>
    </row>
    <row r="566" ht="16.5" spans="2:69">
      <c r="B566" s="23">
        <v>246</v>
      </c>
      <c r="C566" s="12"/>
      <c r="D566" s="12"/>
      <c r="E566" s="71"/>
      <c r="F566" s="71"/>
      <c r="G566" s="71" t="str">
        <f t="shared" si="200"/>
        <v>手套图纸</v>
      </c>
      <c r="H566" s="71">
        <v>15</v>
      </c>
      <c r="I566" s="71" t="str">
        <f t="shared" si="205"/>
        <v>法师特饮</v>
      </c>
      <c r="J566" s="71">
        <v>200</v>
      </c>
      <c r="K566" s="71" t="s">
        <v>96</v>
      </c>
      <c r="L566" s="71">
        <v>240</v>
      </c>
      <c r="M566" s="71" t="str">
        <f t="shared" si="208"/>
        <v>控制特饮</v>
      </c>
      <c r="N566" s="71">
        <f t="shared" si="212"/>
        <v>250</v>
      </c>
      <c r="O566" s="71" t="s">
        <v>316</v>
      </c>
      <c r="P566" s="71">
        <v>200</v>
      </c>
      <c r="Q566" s="71"/>
      <c r="R566" s="71"/>
      <c r="S566" s="72" t="str">
        <f t="shared" si="201"/>
        <v>衣服图纸</v>
      </c>
      <c r="T566" s="71">
        <v>25</v>
      </c>
      <c r="U566" s="71" t="str">
        <f t="shared" si="202"/>
        <v/>
      </c>
      <c r="V566" s="71">
        <f t="shared" si="203"/>
        <v>0</v>
      </c>
      <c r="W566" s="71" t="s">
        <v>96</v>
      </c>
      <c r="X566" s="71">
        <f t="shared" si="179"/>
        <v>360</v>
      </c>
      <c r="Y566" s="71"/>
      <c r="Z566" s="71"/>
      <c r="AA566" s="71" t="str">
        <f t="shared" si="209"/>
        <v>基因罐</v>
      </c>
      <c r="AB566" s="71">
        <f t="shared" si="213"/>
        <v>30</v>
      </c>
      <c r="AC566" s="71" t="s">
        <v>374</v>
      </c>
      <c r="AD566" s="71">
        <v>150</v>
      </c>
      <c r="AE566" s="72" t="str">
        <f t="shared" si="206"/>
        <v>战士特饮</v>
      </c>
      <c r="AF566" s="71">
        <v>300</v>
      </c>
      <c r="AG566" s="71"/>
      <c r="AH566" s="71"/>
      <c r="AI566" s="71" t="s">
        <v>390</v>
      </c>
      <c r="AJ566" s="71">
        <v>1</v>
      </c>
      <c r="AK566" s="71" t="s">
        <v>96</v>
      </c>
      <c r="AL566" s="71">
        <f t="shared" si="180"/>
        <v>600</v>
      </c>
      <c r="AN566" s="23" t="str">
        <f ca="1" t="shared" si="204"/>
        <v>{11,5}</v>
      </c>
      <c r="AO566" s="23" t="str">
        <f ca="1" t="shared" si="199"/>
        <v/>
      </c>
      <c r="AP566" s="23" t="str">
        <f ca="1" t="shared" si="181"/>
        <v>{50008,15}</v>
      </c>
      <c r="AQ566" s="23" t="str">
        <f ca="1" t="shared" si="182"/>
        <v>{5123001,200}</v>
      </c>
      <c r="AR566" s="23" t="str">
        <f ca="1" t="shared" si="183"/>
        <v>{2,240}</v>
      </c>
      <c r="AS566" s="23" t="str">
        <f ca="1" t="shared" si="184"/>
        <v>{5153001,250}</v>
      </c>
      <c r="AT566" s="23" t="str">
        <f ca="1" t="shared" si="210"/>
        <v>{5523001,200}</v>
      </c>
      <c r="AU566" s="23" t="str">
        <f ca="1" t="shared" si="197"/>
        <v/>
      </c>
      <c r="AV566" s="23" t="str">
        <f ca="1" t="shared" si="185"/>
        <v>{50004,25}</v>
      </c>
      <c r="AW566" s="23" t="str">
        <f ca="1" t="shared" si="186"/>
        <v/>
      </c>
      <c r="AX566" s="23" t="str">
        <f ca="1" t="shared" si="187"/>
        <v>{2,360}</v>
      </c>
      <c r="AY566" s="23" t="str">
        <f ca="1" t="shared" si="188"/>
        <v>{5204001,5}</v>
      </c>
      <c r="AZ566" s="23" t="str">
        <f ca="1" t="shared" si="214"/>
        <v>{5203001,30}</v>
      </c>
      <c r="BA566" s="23" t="str">
        <f ca="1" t="shared" si="189"/>
        <v>{1,150}</v>
      </c>
      <c r="BB566" s="23" t="s">
        <v>401</v>
      </c>
      <c r="BC566" s="23" t="str">
        <f ca="1" t="shared" si="190"/>
        <v>{5113001,300}</v>
      </c>
      <c r="BD566" s="23" t="str">
        <f ca="1" t="shared" si="207"/>
        <v/>
      </c>
      <c r="BE566" s="23" t="str">
        <f ca="1" t="shared" si="211"/>
        <v>{50039,1}</v>
      </c>
      <c r="BF566" s="23" t="str">
        <f ca="1" t="shared" si="191"/>
        <v>{2,600}</v>
      </c>
      <c r="BI566" s="23" t="str">
        <f ca="1" t="shared" si="192"/>
        <v>[{11,5},{50008,15},{5123001,200},{2,240}]</v>
      </c>
      <c r="BJ566" s="23" t="str">
        <f ca="1" t="shared" si="193"/>
        <v>[{5153001,250},{5523001,200},{50004,25},{2,360},{5204001,5}]</v>
      </c>
      <c r="BK566" s="23" t="str">
        <f ca="1" t="shared" si="194"/>
        <v>[{5203001,30},{1,150},{5523001,300},{5113001,300},{50039,1},{2,600}]</v>
      </c>
      <c r="BL566" s="23">
        <f ca="1" t="shared" si="195"/>
        <v>4</v>
      </c>
      <c r="BM566" s="23">
        <f ca="1" t="shared" si="196"/>
        <v>5</v>
      </c>
      <c r="BN566" s="23">
        <f ca="1" t="shared" si="198"/>
        <v>6</v>
      </c>
      <c r="BP566" s="71" t="s">
        <v>374</v>
      </c>
      <c r="BQ566" s="71">
        <v>150</v>
      </c>
    </row>
    <row r="567" ht="16.5" spans="2:69">
      <c r="B567" s="23">
        <v>247</v>
      </c>
      <c r="C567" s="12"/>
      <c r="D567" s="12"/>
      <c r="E567" s="71"/>
      <c r="F567" s="71"/>
      <c r="G567" s="71" t="str">
        <f t="shared" si="200"/>
        <v>头盔图纸</v>
      </c>
      <c r="H567" s="71">
        <v>15</v>
      </c>
      <c r="I567" s="71" t="str">
        <f t="shared" si="205"/>
        <v>辅助特饮</v>
      </c>
      <c r="J567" s="71">
        <v>200</v>
      </c>
      <c r="K567" s="71" t="s">
        <v>96</v>
      </c>
      <c r="L567" s="71">
        <v>240</v>
      </c>
      <c r="M567" s="71" t="str">
        <f t="shared" si="208"/>
        <v>战士特饮</v>
      </c>
      <c r="N567" s="71">
        <f t="shared" si="212"/>
        <v>250</v>
      </c>
      <c r="O567" s="71" t="s">
        <v>316</v>
      </c>
      <c r="P567" s="71">
        <v>200</v>
      </c>
      <c r="Q567" s="71"/>
      <c r="R567" s="71"/>
      <c r="S567" s="72" t="str">
        <f t="shared" si="201"/>
        <v>护臂图纸</v>
      </c>
      <c r="T567" s="71">
        <v>25</v>
      </c>
      <c r="U567" s="71" t="str">
        <f t="shared" si="202"/>
        <v/>
      </c>
      <c r="V567" s="71">
        <f t="shared" si="203"/>
        <v>0</v>
      </c>
      <c r="W567" s="71" t="s">
        <v>96</v>
      </c>
      <c r="X567" s="71">
        <f t="shared" si="179"/>
        <v>360</v>
      </c>
      <c r="Y567" s="71"/>
      <c r="Z567" s="71"/>
      <c r="AA567" s="71" t="str">
        <f t="shared" si="209"/>
        <v>基因罐</v>
      </c>
      <c r="AB567" s="71">
        <f t="shared" si="213"/>
        <v>30</v>
      </c>
      <c r="AC567" s="71" t="s">
        <v>374</v>
      </c>
      <c r="AD567" s="71">
        <v>150</v>
      </c>
      <c r="AE567" s="72" t="str">
        <f t="shared" si="206"/>
        <v>法师特饮</v>
      </c>
      <c r="AF567" s="71">
        <v>300</v>
      </c>
      <c r="AG567" s="71"/>
      <c r="AH567" s="71"/>
      <c r="AI567" s="71" t="s">
        <v>390</v>
      </c>
      <c r="AJ567" s="71">
        <v>1</v>
      </c>
      <c r="AK567" s="71" t="s">
        <v>96</v>
      </c>
      <c r="AL567" s="71">
        <f t="shared" si="180"/>
        <v>600</v>
      </c>
      <c r="AN567" s="23" t="str">
        <f ca="1" t="shared" si="204"/>
        <v>{11,5}</v>
      </c>
      <c r="AO567" s="23" t="str">
        <f ca="1" t="shared" si="199"/>
        <v/>
      </c>
      <c r="AP567" s="23" t="str">
        <f ca="1" t="shared" si="181"/>
        <v>{50003,15}</v>
      </c>
      <c r="AQ567" s="23" t="str">
        <f ca="1" t="shared" si="182"/>
        <v>{5143001,200}</v>
      </c>
      <c r="AR567" s="23" t="str">
        <f ca="1" t="shared" si="183"/>
        <v>{2,240}</v>
      </c>
      <c r="AS567" s="23" t="str">
        <f ca="1" t="shared" si="184"/>
        <v>{5113001,250}</v>
      </c>
      <c r="AT567" s="23" t="str">
        <f ca="1" t="shared" si="210"/>
        <v>{5523001,200}</v>
      </c>
      <c r="AU567" s="23" t="str">
        <f ca="1" t="shared" si="197"/>
        <v/>
      </c>
      <c r="AV567" s="23" t="str">
        <f ca="1" t="shared" si="185"/>
        <v>{50005,25}</v>
      </c>
      <c r="AW567" s="23" t="str">
        <f ca="1" t="shared" si="186"/>
        <v/>
      </c>
      <c r="AX567" s="23" t="str">
        <f ca="1" t="shared" si="187"/>
        <v>{2,360}</v>
      </c>
      <c r="AY567" s="23" t="str">
        <f ca="1" t="shared" si="188"/>
        <v>{5204001,5}</v>
      </c>
      <c r="AZ567" s="23" t="str">
        <f ca="1" t="shared" si="214"/>
        <v>{5203001,30}</v>
      </c>
      <c r="BA567" s="23" t="str">
        <f ca="1" t="shared" si="189"/>
        <v>{1,150}</v>
      </c>
      <c r="BB567" s="23" t="s">
        <v>401</v>
      </c>
      <c r="BC567" s="23" t="str">
        <f ca="1" t="shared" si="190"/>
        <v>{5123001,300}</v>
      </c>
      <c r="BD567" s="23" t="str">
        <f ca="1" t="shared" si="207"/>
        <v/>
      </c>
      <c r="BE567" s="23" t="str">
        <f ca="1" t="shared" si="211"/>
        <v>{50039,1}</v>
      </c>
      <c r="BF567" s="23" t="str">
        <f ca="1" t="shared" si="191"/>
        <v>{2,600}</v>
      </c>
      <c r="BI567" s="23" t="str">
        <f ca="1" t="shared" si="192"/>
        <v>[{11,5},{50003,15},{5143001,200},{2,240}]</v>
      </c>
      <c r="BJ567" s="23" t="str">
        <f ca="1" t="shared" si="193"/>
        <v>[{5113001,250},{5523001,200},{50005,25},{2,360},{5204001,5}]</v>
      </c>
      <c r="BK567" s="23" t="str">
        <f ca="1" t="shared" si="194"/>
        <v>[{5203001,30},{1,150},{5523001,300},{5123001,300},{50039,1},{2,600}]</v>
      </c>
      <c r="BL567" s="23">
        <f ca="1" t="shared" si="195"/>
        <v>4</v>
      </c>
      <c r="BM567" s="23">
        <f ca="1" t="shared" si="196"/>
        <v>5</v>
      </c>
      <c r="BN567" s="23">
        <f ca="1" t="shared" si="198"/>
        <v>6</v>
      </c>
      <c r="BP567" s="71" t="s">
        <v>374</v>
      </c>
      <c r="BQ567" s="71">
        <v>150</v>
      </c>
    </row>
    <row r="568" ht="16.5" spans="2:69">
      <c r="B568" s="23">
        <v>248</v>
      </c>
      <c r="C568" s="12"/>
      <c r="D568" s="12"/>
      <c r="E568" s="71"/>
      <c r="F568" s="71"/>
      <c r="G568" s="71" t="str">
        <f t="shared" si="200"/>
        <v>衣服图纸</v>
      </c>
      <c r="H568" s="71">
        <v>15</v>
      </c>
      <c r="I568" s="71" t="str">
        <f t="shared" si="205"/>
        <v>战士特饮</v>
      </c>
      <c r="J568" s="71">
        <v>200</v>
      </c>
      <c r="K568" s="71" t="s">
        <v>96</v>
      </c>
      <c r="L568" s="71">
        <v>240</v>
      </c>
      <c r="M568" s="71" t="str">
        <f t="shared" si="208"/>
        <v>法师特饮</v>
      </c>
      <c r="N568" s="71">
        <f t="shared" si="212"/>
        <v>250</v>
      </c>
      <c r="O568" s="71" t="s">
        <v>316</v>
      </c>
      <c r="P568" s="71">
        <v>200</v>
      </c>
      <c r="Q568" s="71"/>
      <c r="R568" s="71"/>
      <c r="S568" s="72" t="str">
        <f t="shared" si="201"/>
        <v>裤子图纸</v>
      </c>
      <c r="T568" s="71">
        <v>25</v>
      </c>
      <c r="U568" s="71" t="str">
        <f t="shared" si="202"/>
        <v/>
      </c>
      <c r="V568" s="71">
        <f t="shared" si="203"/>
        <v>0</v>
      </c>
      <c r="W568" s="71" t="s">
        <v>96</v>
      </c>
      <c r="X568" s="71">
        <f t="shared" si="179"/>
        <v>360</v>
      </c>
      <c r="Y568" s="71"/>
      <c r="Z568" s="71"/>
      <c r="AA568" s="71" t="str">
        <f t="shared" si="209"/>
        <v>基因罐</v>
      </c>
      <c r="AB568" s="71">
        <f t="shared" si="213"/>
        <v>30</v>
      </c>
      <c r="AC568" s="71" t="s">
        <v>374</v>
      </c>
      <c r="AD568" s="71">
        <v>150</v>
      </c>
      <c r="AE568" s="72" t="str">
        <f t="shared" si="206"/>
        <v>辅助特饮</v>
      </c>
      <c r="AF568" s="71">
        <v>300</v>
      </c>
      <c r="AG568" s="71"/>
      <c r="AH568" s="71"/>
      <c r="AI568" s="71" t="s">
        <v>390</v>
      </c>
      <c r="AJ568" s="71">
        <v>1</v>
      </c>
      <c r="AK568" s="71" t="s">
        <v>96</v>
      </c>
      <c r="AL568" s="71">
        <f t="shared" si="180"/>
        <v>600</v>
      </c>
      <c r="AN568" s="23" t="str">
        <f ca="1" t="shared" si="204"/>
        <v>{11,5}</v>
      </c>
      <c r="AO568" s="23" t="str">
        <f ca="1" t="shared" si="199"/>
        <v/>
      </c>
      <c r="AP568" s="23" t="str">
        <f ca="1" t="shared" si="181"/>
        <v>{50004,15}</v>
      </c>
      <c r="AQ568" s="23" t="str">
        <f ca="1" t="shared" si="182"/>
        <v>{5113001,200}</v>
      </c>
      <c r="AR568" s="23" t="str">
        <f ca="1" t="shared" si="183"/>
        <v>{2,240}</v>
      </c>
      <c r="AS568" s="23" t="str">
        <f ca="1" t="shared" si="184"/>
        <v>{5123001,250}</v>
      </c>
      <c r="AT568" s="23" t="str">
        <f ca="1" t="shared" si="210"/>
        <v>{5523001,200}</v>
      </c>
      <c r="AU568" s="23" t="str">
        <f ca="1" t="shared" si="197"/>
        <v/>
      </c>
      <c r="AV568" s="23" t="str">
        <f ca="1" t="shared" si="185"/>
        <v>{50006,25}</v>
      </c>
      <c r="AW568" s="23" t="str">
        <f ca="1" t="shared" si="186"/>
        <v/>
      </c>
      <c r="AX568" s="23" t="str">
        <f ca="1" t="shared" si="187"/>
        <v>{2,360}</v>
      </c>
      <c r="AY568" s="23" t="str">
        <f ca="1" t="shared" si="188"/>
        <v>{5204001,5}</v>
      </c>
      <c r="AZ568" s="23" t="str">
        <f ca="1" t="shared" si="214"/>
        <v>{5203001,30}</v>
      </c>
      <c r="BA568" s="23" t="str">
        <f ca="1" t="shared" si="189"/>
        <v>{1,150}</v>
      </c>
      <c r="BB568" s="23" t="s">
        <v>401</v>
      </c>
      <c r="BC568" s="23" t="str">
        <f ca="1" t="shared" si="190"/>
        <v>{5143001,300}</v>
      </c>
      <c r="BD568" s="23" t="str">
        <f ca="1" t="shared" si="207"/>
        <v/>
      </c>
      <c r="BE568" s="23" t="str">
        <f ca="1" t="shared" si="211"/>
        <v>{50039,1}</v>
      </c>
      <c r="BF568" s="23" t="str">
        <f ca="1" t="shared" si="191"/>
        <v>{2,600}</v>
      </c>
      <c r="BI568" s="23" t="str">
        <f ca="1" t="shared" si="192"/>
        <v>[{11,5},{50004,15},{5113001,200},{2,240}]</v>
      </c>
      <c r="BJ568" s="23" t="str">
        <f ca="1" t="shared" si="193"/>
        <v>[{5123001,250},{5523001,200},{50006,25},{2,360},{5204001,5}]</v>
      </c>
      <c r="BK568" s="23" t="str">
        <f ca="1" t="shared" si="194"/>
        <v>[{5203001,30},{1,150},{5523001,300},{5143001,300},{50039,1},{2,600}]</v>
      </c>
      <c r="BL568" s="23">
        <f ca="1" t="shared" si="195"/>
        <v>4</v>
      </c>
      <c r="BM568" s="23">
        <f ca="1" t="shared" si="196"/>
        <v>5</v>
      </c>
      <c r="BN568" s="23">
        <f ca="1" t="shared" si="198"/>
        <v>6</v>
      </c>
      <c r="BP568" s="71" t="s">
        <v>374</v>
      </c>
      <c r="BQ568" s="71">
        <v>150</v>
      </c>
    </row>
    <row r="569" ht="16.5" spans="2:69">
      <c r="B569" s="23">
        <v>249</v>
      </c>
      <c r="C569" s="12"/>
      <c r="D569" s="12"/>
      <c r="E569" s="71"/>
      <c r="F569" s="71"/>
      <c r="G569" s="71" t="str">
        <f t="shared" si="200"/>
        <v>护臂图纸</v>
      </c>
      <c r="H569" s="71">
        <v>15</v>
      </c>
      <c r="I569" s="71" t="str">
        <f t="shared" si="205"/>
        <v>毒系特饮</v>
      </c>
      <c r="J569" s="71">
        <v>200</v>
      </c>
      <c r="K569" s="71" t="s">
        <v>96</v>
      </c>
      <c r="L569" s="71">
        <v>240</v>
      </c>
      <c r="M569" s="71" t="str">
        <f t="shared" si="208"/>
        <v>辅助特饮</v>
      </c>
      <c r="N569" s="71">
        <f t="shared" si="212"/>
        <v>250</v>
      </c>
      <c r="O569" s="71" t="s">
        <v>316</v>
      </c>
      <c r="P569" s="71">
        <v>200</v>
      </c>
      <c r="Q569" s="71"/>
      <c r="R569" s="71"/>
      <c r="S569" s="72" t="str">
        <f t="shared" si="201"/>
        <v>鞋子图纸</v>
      </c>
      <c r="T569" s="71">
        <v>25</v>
      </c>
      <c r="U569" s="71" t="str">
        <f t="shared" si="202"/>
        <v/>
      </c>
      <c r="V569" s="71">
        <f t="shared" si="203"/>
        <v>0</v>
      </c>
      <c r="W569" s="71" t="s">
        <v>96</v>
      </c>
      <c r="X569" s="71">
        <f t="shared" si="179"/>
        <v>360</v>
      </c>
      <c r="Y569" s="71"/>
      <c r="Z569" s="71"/>
      <c r="AA569" s="71" t="str">
        <f t="shared" si="209"/>
        <v>基因罐</v>
      </c>
      <c r="AB569" s="71">
        <f t="shared" si="213"/>
        <v>30</v>
      </c>
      <c r="AC569" s="71" t="s">
        <v>374</v>
      </c>
      <c r="AD569" s="71">
        <v>150</v>
      </c>
      <c r="AE569" s="72" t="str">
        <f t="shared" si="206"/>
        <v>毒系特饮</v>
      </c>
      <c r="AF569" s="71">
        <v>300</v>
      </c>
      <c r="AG569" s="71"/>
      <c r="AH569" s="71"/>
      <c r="AI569" s="71" t="s">
        <v>390</v>
      </c>
      <c r="AJ569" s="71">
        <v>1</v>
      </c>
      <c r="AK569" s="71" t="s">
        <v>96</v>
      </c>
      <c r="AL569" s="71">
        <f t="shared" si="180"/>
        <v>600</v>
      </c>
      <c r="AN569" s="23" t="str">
        <f ca="1" t="shared" si="204"/>
        <v>{11,5}</v>
      </c>
      <c r="AO569" s="23" t="str">
        <f ca="1" t="shared" si="199"/>
        <v/>
      </c>
      <c r="AP569" s="23" t="str">
        <f ca="1" t="shared" si="181"/>
        <v>{50005,15}</v>
      </c>
      <c r="AQ569" s="23" t="str">
        <f ca="1" t="shared" si="182"/>
        <v>{5163001,200}</v>
      </c>
      <c r="AR569" s="23" t="str">
        <f ca="1" t="shared" si="183"/>
        <v>{2,240}</v>
      </c>
      <c r="AS569" s="23" t="str">
        <f ca="1" t="shared" si="184"/>
        <v>{5143001,250}</v>
      </c>
      <c r="AT569" s="23" t="str">
        <f ca="1" t="shared" si="210"/>
        <v>{5523001,200}</v>
      </c>
      <c r="AU569" s="23" t="str">
        <f ca="1" t="shared" si="197"/>
        <v/>
      </c>
      <c r="AV569" s="23" t="str">
        <f ca="1" t="shared" si="185"/>
        <v>{50007,25}</v>
      </c>
      <c r="AW569" s="23" t="str">
        <f ca="1" t="shared" si="186"/>
        <v/>
      </c>
      <c r="AX569" s="23" t="str">
        <f ca="1" t="shared" si="187"/>
        <v>{2,360}</v>
      </c>
      <c r="AY569" s="23" t="str">
        <f ca="1" t="shared" si="188"/>
        <v>{5204001,5}</v>
      </c>
      <c r="AZ569" s="23" t="str">
        <f ca="1" t="shared" si="214"/>
        <v>{5203001,30}</v>
      </c>
      <c r="BA569" s="23" t="str">
        <f ca="1" t="shared" si="189"/>
        <v>{1,150}</v>
      </c>
      <c r="BB569" s="23" t="s">
        <v>401</v>
      </c>
      <c r="BC569" s="23" t="str">
        <f ca="1" t="shared" si="190"/>
        <v>{5163001,300}</v>
      </c>
      <c r="BD569" s="23" t="str">
        <f ca="1" t="shared" si="207"/>
        <v/>
      </c>
      <c r="BE569" s="23" t="str">
        <f ca="1" t="shared" si="211"/>
        <v>{50039,1}</v>
      </c>
      <c r="BF569" s="23" t="str">
        <f ca="1" t="shared" si="191"/>
        <v>{2,600}</v>
      </c>
      <c r="BI569" s="23" t="str">
        <f ca="1" t="shared" si="192"/>
        <v>[{11,5},{50005,15},{5163001,200},{2,240}]</v>
      </c>
      <c r="BJ569" s="23" t="str">
        <f ca="1" t="shared" si="193"/>
        <v>[{5143001,250},{5523001,200},{50007,25},{2,360},{5204001,5}]</v>
      </c>
      <c r="BK569" s="23" t="str">
        <f ca="1" t="shared" si="194"/>
        <v>[{5203001,30},{1,150},{5523001,300},{5163001,300},{50039,1},{2,600}]</v>
      </c>
      <c r="BL569" s="23">
        <f ca="1" t="shared" si="195"/>
        <v>4</v>
      </c>
      <c r="BM569" s="23">
        <f ca="1" t="shared" si="196"/>
        <v>5</v>
      </c>
      <c r="BN569" s="23">
        <f ca="1" t="shared" si="198"/>
        <v>6</v>
      </c>
      <c r="BP569" s="71" t="s">
        <v>374</v>
      </c>
      <c r="BQ569" s="71">
        <v>150</v>
      </c>
    </row>
    <row r="570" ht="16.5" spans="2:69">
      <c r="B570" s="23">
        <v>250</v>
      </c>
      <c r="C570" s="12" t="inlineStr">
        <is>
          <t>梦愿水晶</t>
        </is>
      </c>
      <c r="D570" s="12">
        <v>1</v>
      </c>
      <c r="E570" s="71"/>
      <c r="F570" s="71"/>
      <c r="G570" s="71" t="str">
        <f t="shared" si="200"/>
        <v>裤子图纸</v>
      </c>
      <c r="H570" s="71">
        <v>15</v>
      </c>
      <c r="I570" s="71" t="str">
        <f t="shared" si="205"/>
        <v>控制特饮</v>
      </c>
      <c r="J570" s="71">
        <v>200</v>
      </c>
      <c r="K570" s="71" t="s">
        <v>96</v>
      </c>
      <c r="L570" s="71">
        <v>240</v>
      </c>
      <c r="M570" s="71" t="str">
        <f t="shared" si="208"/>
        <v>射手特饮</v>
      </c>
      <c r="N570" s="71">
        <f t="shared" si="212"/>
        <v>250</v>
      </c>
      <c r="O570" s="71" t="s">
        <v>316</v>
      </c>
      <c r="P570" s="71">
        <v>200</v>
      </c>
      <c r="Q570" s="71"/>
      <c r="R570" s="71"/>
      <c r="S570" s="72" t="str">
        <f t="shared" si="201"/>
        <v>手套图纸</v>
      </c>
      <c r="T570" s="71">
        <v>25</v>
      </c>
      <c r="U570" s="71" t="str">
        <f t="shared" si="202"/>
        <v>灵感获取令</v>
      </c>
      <c r="V570" s="71">
        <f t="shared" si="203"/>
        <v>1</v>
      </c>
      <c r="W570" s="71" t="s">
        <v>96</v>
      </c>
      <c r="X570" s="71">
        <f t="shared" si="179"/>
        <v>360</v>
      </c>
      <c r="Y570" s="71"/>
      <c r="Z570" s="71"/>
      <c r="AA570" s="71" t="str">
        <f t="shared" si="209"/>
        <v>传说基因罐</v>
      </c>
      <c r="AB570" s="71">
        <f t="shared" si="213"/>
        <v>3</v>
      </c>
      <c r="AC570" s="71" t="s">
        <v>374</v>
      </c>
      <c r="AD570" s="71">
        <v>150</v>
      </c>
      <c r="AE570" s="72" t="str">
        <f t="shared" si="206"/>
        <v>控制特饮</v>
      </c>
      <c r="AF570" s="71">
        <v>300</v>
      </c>
      <c r="AG570" s="71"/>
      <c r="AH570" s="71"/>
      <c r="AI570" s="71" t="s">
        <v>390</v>
      </c>
      <c r="AJ570" s="71">
        <v>1</v>
      </c>
      <c r="AK570" s="71" t="s">
        <v>96</v>
      </c>
      <c r="AL570" s="71">
        <f t="shared" si="180"/>
        <v>600</v>
      </c>
      <c r="AN570" s="23" t="str">
        <f ca="1" t="shared" si="204"/>
        <v>{35,1}</v>
      </c>
      <c r="AO570" s="23" t="str">
        <f ca="1" t="shared" si="199"/>
        <v/>
      </c>
      <c r="AP570" s="23" t="str">
        <f ca="1" t="shared" si="181"/>
        <v>{50006,15}</v>
      </c>
      <c r="AQ570" s="23" t="str">
        <f ca="1" t="shared" si="182"/>
        <v>{5153001,200}</v>
      </c>
      <c r="AR570" s="23" t="str">
        <f ca="1" t="shared" si="183"/>
        <v>{2,240}</v>
      </c>
      <c r="AS570" s="23" t="str">
        <f ca="1" t="shared" si="184"/>
        <v>{5133001,250}</v>
      </c>
      <c r="AT570" s="23" t="str">
        <f ca="1" t="shared" si="210"/>
        <v>{5523001,200}</v>
      </c>
      <c r="AU570" s="23" t="str">
        <f ca="1" t="shared" si="197"/>
        <v/>
      </c>
      <c r="AV570" s="23" t="str">
        <f ca="1" t="shared" si="185"/>
        <v>{50008,25}</v>
      </c>
      <c r="AW570" s="23" t="str">
        <f ca="1" t="shared" si="186"/>
        <v>{9,1}</v>
      </c>
      <c r="AX570" s="23" t="str">
        <f ca="1" t="shared" si="187"/>
        <v>{2,360}</v>
      </c>
      <c r="AY570" s="23" t="str">
        <f ca="1" t="shared" si="188"/>
        <v>{5204001,5}</v>
      </c>
      <c r="AZ570" s="23" t="str">
        <f ca="1" t="shared" si="214"/>
        <v>{5205001,3}</v>
      </c>
      <c r="BA570" s="23" t="str">
        <f ca="1" t="shared" si="189"/>
        <v>{1,150}</v>
      </c>
      <c r="BB570" s="23" t="s">
        <v>401</v>
      </c>
      <c r="BC570" s="23" t="str">
        <f ca="1" t="shared" si="190"/>
        <v>{5153001,300}</v>
      </c>
      <c r="BD570" s="23" t="str">
        <f ca="1" t="shared" si="207"/>
        <v/>
      </c>
      <c r="BE570" s="23" t="str">
        <f ca="1" t="shared" si="211"/>
        <v>{50039,1}</v>
      </c>
      <c r="BF570" s="23" t="str">
        <f ca="1" t="shared" si="191"/>
        <v>{2,600}</v>
      </c>
      <c r="BI570" s="23" t="str">
        <f ca="1" t="shared" si="192"/>
        <v>[{35,1},{50006,15},{5153001,200},{2,240}]</v>
      </c>
      <c r="BJ570" s="23" t="str">
        <f ca="1" t="shared" si="193"/>
        <v>[{5133001,250},{5523001,200},{50008,25},{9,1},{2,360},{5204001,5}]</v>
      </c>
      <c r="BK570" s="23" t="str">
        <f ca="1" t="shared" si="194"/>
        <v>[{5205001,3},{1,150},{5523001,300},{5153001,300},{50039,1},{2,600}]</v>
      </c>
      <c r="BL570" s="23">
        <f ca="1" t="shared" si="195"/>
        <v>4</v>
      </c>
      <c r="BM570" s="23">
        <f ca="1" t="shared" si="196"/>
        <v>6</v>
      </c>
      <c r="BN570" s="23">
        <f ca="1" t="shared" si="198"/>
        <v>6</v>
      </c>
      <c r="BP570" s="71" t="s">
        <v>374</v>
      </c>
      <c r="BQ570" s="71">
        <v>150</v>
      </c>
    </row>
    <row r="571" ht="16.5" spans="2:69">
      <c r="B571" s="23">
        <v>251</v>
      </c>
      <c r="C571" s="12"/>
      <c r="D571" s="12"/>
      <c r="E571" s="71"/>
      <c r="F571" s="71"/>
      <c r="G571" s="71" t="str">
        <f t="shared" si="200"/>
        <v>鞋子图纸</v>
      </c>
      <c r="H571" s="71">
        <v>15</v>
      </c>
      <c r="I571" s="71" t="str">
        <f t="shared" si="205"/>
        <v>射手特饮</v>
      </c>
      <c r="J571" s="71">
        <v>200</v>
      </c>
      <c r="K571" s="71" t="s">
        <v>96</v>
      </c>
      <c r="L571" s="71">
        <v>240</v>
      </c>
      <c r="M571" s="71" t="str">
        <f t="shared" si="208"/>
        <v>毒系特饮</v>
      </c>
      <c r="N571" s="71">
        <f t="shared" si="212"/>
        <v>250</v>
      </c>
      <c r="O571" s="71" t="s">
        <v>316</v>
      </c>
      <c r="P571" s="71">
        <v>200</v>
      </c>
      <c r="Q571" s="71"/>
      <c r="R571" s="71"/>
      <c r="S571" s="72" t="str">
        <f t="shared" si="201"/>
        <v>头盔图纸</v>
      </c>
      <c r="T571" s="71">
        <v>25</v>
      </c>
      <c r="U571" s="71" t="str">
        <f t="shared" si="202"/>
        <v/>
      </c>
      <c r="V571" s="71">
        <f t="shared" si="203"/>
        <v>0</v>
      </c>
      <c r="W571" s="71" t="s">
        <v>96</v>
      </c>
      <c r="X571" s="71">
        <f t="shared" si="179"/>
        <v>360</v>
      </c>
      <c r="Y571" s="71"/>
      <c r="Z571" s="71"/>
      <c r="AA571" s="71" t="str">
        <f t="shared" si="209"/>
        <v>基因罐</v>
      </c>
      <c r="AB571" s="71">
        <f t="shared" si="213"/>
        <v>30</v>
      </c>
      <c r="AC571" s="71" t="s">
        <v>374</v>
      </c>
      <c r="AD571" s="71">
        <v>150</v>
      </c>
      <c r="AE571" s="72" t="str">
        <f t="shared" si="206"/>
        <v>射手特饮</v>
      </c>
      <c r="AF571" s="71">
        <v>300</v>
      </c>
      <c r="AG571" s="71"/>
      <c r="AH571" s="71"/>
      <c r="AI571" s="71" t="s">
        <v>390</v>
      </c>
      <c r="AJ571" s="71">
        <v>1</v>
      </c>
      <c r="AK571" s="71" t="s">
        <v>96</v>
      </c>
      <c r="AL571" s="71">
        <f t="shared" si="180"/>
        <v>600</v>
      </c>
      <c r="AN571" s="23" t="str">
        <f ca="1" t="shared" si="204"/>
        <v>{11,5}</v>
      </c>
      <c r="AO571" s="23" t="str">
        <f ca="1" t="shared" si="199"/>
        <v/>
      </c>
      <c r="AP571" s="23" t="str">
        <f ca="1" t="shared" si="181"/>
        <v>{50007,15}</v>
      </c>
      <c r="AQ571" s="23" t="str">
        <f ca="1" t="shared" si="182"/>
        <v>{5133001,200}</v>
      </c>
      <c r="AR571" s="23" t="str">
        <f ca="1" t="shared" si="183"/>
        <v>{2,240}</v>
      </c>
      <c r="AS571" s="23" t="str">
        <f ca="1" t="shared" si="184"/>
        <v>{5163001,250}</v>
      </c>
      <c r="AT571" s="23" t="str">
        <f ca="1" t="shared" si="210"/>
        <v>{5523001,200}</v>
      </c>
      <c r="AU571" s="23" t="str">
        <f ca="1" t="shared" si="197"/>
        <v/>
      </c>
      <c r="AV571" s="23" t="str">
        <f ca="1" t="shared" si="185"/>
        <v>{50003,25}</v>
      </c>
      <c r="AW571" s="23" t="str">
        <f ca="1" t="shared" si="186"/>
        <v/>
      </c>
      <c r="AX571" s="23" t="str">
        <f ca="1" t="shared" si="187"/>
        <v>{2,360}</v>
      </c>
      <c r="AY571" s="23" t="str">
        <f ca="1" t="shared" si="188"/>
        <v>{5204001,5}</v>
      </c>
      <c r="AZ571" s="23" t="str">
        <f ca="1" t="shared" si="214"/>
        <v>{5203001,30}</v>
      </c>
      <c r="BA571" s="23" t="str">
        <f ca="1" t="shared" si="189"/>
        <v>{1,150}</v>
      </c>
      <c r="BB571" s="23" t="s">
        <v>401</v>
      </c>
      <c r="BC571" s="23" t="str">
        <f ca="1" t="shared" si="190"/>
        <v>{5133001,300}</v>
      </c>
      <c r="BD571" s="23" t="str">
        <f ca="1" t="shared" si="207"/>
        <v/>
      </c>
      <c r="BE571" s="23" t="str">
        <f ca="1" t="shared" si="211"/>
        <v>{50039,1}</v>
      </c>
      <c r="BF571" s="23" t="str">
        <f ca="1" t="shared" si="191"/>
        <v>{2,600}</v>
      </c>
      <c r="BI571" s="23" t="str">
        <f ca="1" t="shared" si="192"/>
        <v>[{11,5},{50007,15},{5133001,200},{2,240}]</v>
      </c>
      <c r="BJ571" s="23" t="str">
        <f ca="1" t="shared" si="193"/>
        <v>[{5163001,250},{5523001,200},{50003,25},{2,360},{5204001,5}]</v>
      </c>
      <c r="BK571" s="23" t="str">
        <f ca="1" t="shared" si="194"/>
        <v>[{5203001,30},{1,150},{5523001,300},{5133001,300},{50039,1},{2,600}]</v>
      </c>
      <c r="BL571" s="23">
        <f ca="1" t="shared" si="195"/>
        <v>4</v>
      </c>
      <c r="BM571" s="23">
        <f ca="1" t="shared" si="196"/>
        <v>5</v>
      </c>
      <c r="BN571" s="23">
        <f ca="1" t="shared" si="198"/>
        <v>6</v>
      </c>
      <c r="BP571" s="71" t="s">
        <v>374</v>
      </c>
      <c r="BQ571" s="71">
        <v>150</v>
      </c>
    </row>
    <row r="572" ht="16.5" spans="2:69">
      <c r="B572" s="23">
        <v>252</v>
      </c>
      <c r="C572" s="12"/>
      <c r="D572" s="12"/>
      <c r="E572" s="71"/>
      <c r="F572" s="71"/>
      <c r="G572" s="71" t="str">
        <f t="shared" si="200"/>
        <v>手套图纸</v>
      </c>
      <c r="H572" s="71">
        <v>15</v>
      </c>
      <c r="I572" s="71" t="str">
        <f t="shared" si="205"/>
        <v>法师特饮</v>
      </c>
      <c r="J572" s="71">
        <v>200</v>
      </c>
      <c r="K572" s="71" t="s">
        <v>96</v>
      </c>
      <c r="L572" s="71">
        <v>240</v>
      </c>
      <c r="M572" s="71" t="str">
        <f t="shared" si="208"/>
        <v>控制特饮</v>
      </c>
      <c r="N572" s="71">
        <f t="shared" si="212"/>
        <v>250</v>
      </c>
      <c r="O572" s="71" t="s">
        <v>316</v>
      </c>
      <c r="P572" s="71">
        <v>200</v>
      </c>
      <c r="Q572" s="71"/>
      <c r="R572" s="71"/>
      <c r="S572" s="72" t="str">
        <f t="shared" si="201"/>
        <v>衣服图纸</v>
      </c>
      <c r="T572" s="71">
        <v>25</v>
      </c>
      <c r="U572" s="71" t="str">
        <f t="shared" si="202"/>
        <v/>
      </c>
      <c r="V572" s="71">
        <f t="shared" si="203"/>
        <v>0</v>
      </c>
      <c r="W572" s="71" t="s">
        <v>96</v>
      </c>
      <c r="X572" s="71">
        <f t="shared" si="179"/>
        <v>360</v>
      </c>
      <c r="Y572" s="71"/>
      <c r="Z572" s="71"/>
      <c r="AA572" s="71" t="str">
        <f t="shared" si="209"/>
        <v>基因罐</v>
      </c>
      <c r="AB572" s="71">
        <f t="shared" si="213"/>
        <v>30</v>
      </c>
      <c r="AC572" s="71" t="s">
        <v>374</v>
      </c>
      <c r="AD572" s="71">
        <v>150</v>
      </c>
      <c r="AE572" s="72" t="str">
        <f t="shared" si="206"/>
        <v>战士特饮</v>
      </c>
      <c r="AF572" s="71">
        <v>300</v>
      </c>
      <c r="AG572" s="71"/>
      <c r="AH572" s="71"/>
      <c r="AI572" s="71" t="s">
        <v>390</v>
      </c>
      <c r="AJ572" s="71">
        <v>1</v>
      </c>
      <c r="AK572" s="71" t="s">
        <v>96</v>
      </c>
      <c r="AL572" s="71">
        <f t="shared" si="180"/>
        <v>600</v>
      </c>
      <c r="AN572" s="23" t="str">
        <f ca="1" t="shared" si="204"/>
        <v>{11,5}</v>
      </c>
      <c r="AO572" s="23" t="str">
        <f ca="1" t="shared" si="199"/>
        <v/>
      </c>
      <c r="AP572" s="23" t="str">
        <f ca="1" t="shared" si="181"/>
        <v>{50008,15}</v>
      </c>
      <c r="AQ572" s="23" t="str">
        <f ca="1" t="shared" si="182"/>
        <v>{5123001,200}</v>
      </c>
      <c r="AR572" s="23" t="str">
        <f ca="1" t="shared" si="183"/>
        <v>{2,240}</v>
      </c>
      <c r="AS572" s="23" t="str">
        <f ca="1" t="shared" si="184"/>
        <v>{5153001,250}</v>
      </c>
      <c r="AT572" s="23" t="str">
        <f ca="1" t="shared" si="210"/>
        <v>{5523001,200}</v>
      </c>
      <c r="AU572" s="23" t="str">
        <f ca="1" t="shared" si="197"/>
        <v/>
      </c>
      <c r="AV572" s="23" t="str">
        <f ca="1" t="shared" si="185"/>
        <v>{50004,25}</v>
      </c>
      <c r="AW572" s="23" t="str">
        <f ca="1" t="shared" si="186"/>
        <v/>
      </c>
      <c r="AX572" s="23" t="str">
        <f ca="1" t="shared" si="187"/>
        <v>{2,360}</v>
      </c>
      <c r="AY572" s="23" t="str">
        <f ca="1" t="shared" si="188"/>
        <v>{5204001,5}</v>
      </c>
      <c r="AZ572" s="23" t="str">
        <f ca="1" t="shared" si="214"/>
        <v>{5203001,30}</v>
      </c>
      <c r="BA572" s="23" t="str">
        <f ca="1" t="shared" si="189"/>
        <v>{1,150}</v>
      </c>
      <c r="BB572" s="23" t="s">
        <v>401</v>
      </c>
      <c r="BC572" s="23" t="str">
        <f ca="1" t="shared" si="190"/>
        <v>{5113001,300}</v>
      </c>
      <c r="BD572" s="23" t="str">
        <f ca="1" t="shared" si="207"/>
        <v/>
      </c>
      <c r="BE572" s="23" t="str">
        <f ca="1" t="shared" si="211"/>
        <v>{50039,1}</v>
      </c>
      <c r="BF572" s="23" t="str">
        <f ca="1" t="shared" si="191"/>
        <v>{2,600}</v>
      </c>
      <c r="BI572" s="23" t="str">
        <f ca="1" t="shared" si="192"/>
        <v>[{11,5},{50008,15},{5123001,200},{2,240}]</v>
      </c>
      <c r="BJ572" s="23" t="str">
        <f ca="1" t="shared" si="193"/>
        <v>[{5153001,250},{5523001,200},{50004,25},{2,360},{5204001,5}]</v>
      </c>
      <c r="BK572" s="23" t="str">
        <f ca="1" t="shared" si="194"/>
        <v>[{5203001,30},{1,150},{5523001,300},{5113001,300},{50039,1},{2,600}]</v>
      </c>
      <c r="BL572" s="23">
        <f ca="1" t="shared" si="195"/>
        <v>4</v>
      </c>
      <c r="BM572" s="23">
        <f ca="1" t="shared" si="196"/>
        <v>5</v>
      </c>
      <c r="BN572" s="23">
        <f ca="1" t="shared" si="198"/>
        <v>6</v>
      </c>
      <c r="BP572" s="71" t="s">
        <v>374</v>
      </c>
      <c r="BQ572" s="71">
        <v>150</v>
      </c>
    </row>
    <row r="573" ht="16.5" spans="2:69">
      <c r="B573" s="23">
        <v>253</v>
      </c>
      <c r="C573" s="12"/>
      <c r="D573" s="12"/>
      <c r="E573" s="71"/>
      <c r="F573" s="71"/>
      <c r="G573" s="71" t="str">
        <f t="shared" si="200"/>
        <v>头盔图纸</v>
      </c>
      <c r="H573" s="71">
        <v>15</v>
      </c>
      <c r="I573" s="71" t="str">
        <f t="shared" si="205"/>
        <v>辅助特饮</v>
      </c>
      <c r="J573" s="71">
        <v>200</v>
      </c>
      <c r="K573" s="71" t="s">
        <v>96</v>
      </c>
      <c r="L573" s="71">
        <v>240</v>
      </c>
      <c r="M573" s="71" t="str">
        <f t="shared" si="208"/>
        <v>战士特饮</v>
      </c>
      <c r="N573" s="71">
        <f t="shared" si="212"/>
        <v>250</v>
      </c>
      <c r="O573" s="71" t="s">
        <v>316</v>
      </c>
      <c r="P573" s="71">
        <v>200</v>
      </c>
      <c r="Q573" s="71"/>
      <c r="R573" s="71"/>
      <c r="S573" s="72" t="str">
        <f t="shared" si="201"/>
        <v>护臂图纸</v>
      </c>
      <c r="T573" s="71">
        <v>25</v>
      </c>
      <c r="U573" s="71" t="str">
        <f t="shared" si="202"/>
        <v/>
      </c>
      <c r="V573" s="71">
        <f t="shared" si="203"/>
        <v>0</v>
      </c>
      <c r="W573" s="71" t="s">
        <v>96</v>
      </c>
      <c r="X573" s="71">
        <f t="shared" si="179"/>
        <v>360</v>
      </c>
      <c r="Y573" s="71"/>
      <c r="Z573" s="71"/>
      <c r="AA573" s="71" t="str">
        <f t="shared" si="209"/>
        <v>基因罐</v>
      </c>
      <c r="AB573" s="71">
        <f t="shared" si="213"/>
        <v>30</v>
      </c>
      <c r="AC573" s="71" t="s">
        <v>374</v>
      </c>
      <c r="AD573" s="71">
        <v>150</v>
      </c>
      <c r="AE573" s="72" t="str">
        <f t="shared" si="206"/>
        <v>法师特饮</v>
      </c>
      <c r="AF573" s="71">
        <v>300</v>
      </c>
      <c r="AG573" s="71"/>
      <c r="AH573" s="71"/>
      <c r="AI573" s="71" t="s">
        <v>390</v>
      </c>
      <c r="AJ573" s="71">
        <v>1</v>
      </c>
      <c r="AK573" s="71" t="s">
        <v>96</v>
      </c>
      <c r="AL573" s="71">
        <f t="shared" si="180"/>
        <v>600</v>
      </c>
      <c r="AN573" s="23" t="str">
        <f ca="1" t="shared" si="204"/>
        <v>{11,5}</v>
      </c>
      <c r="AO573" s="23" t="str">
        <f ca="1" t="shared" si="199"/>
        <v/>
      </c>
      <c r="AP573" s="23" t="str">
        <f ca="1" t="shared" si="181"/>
        <v>{50003,15}</v>
      </c>
      <c r="AQ573" s="23" t="str">
        <f ca="1" t="shared" si="182"/>
        <v>{5143001,200}</v>
      </c>
      <c r="AR573" s="23" t="str">
        <f ca="1" t="shared" si="183"/>
        <v>{2,240}</v>
      </c>
      <c r="AS573" s="23" t="str">
        <f ca="1" t="shared" si="184"/>
        <v>{5113001,250}</v>
      </c>
      <c r="AT573" s="23" t="str">
        <f ca="1" t="shared" si="210"/>
        <v>{5523001,200}</v>
      </c>
      <c r="AU573" s="23" t="str">
        <f ca="1" t="shared" si="197"/>
        <v/>
      </c>
      <c r="AV573" s="23" t="str">
        <f ca="1" t="shared" si="185"/>
        <v>{50005,25}</v>
      </c>
      <c r="AW573" s="23" t="str">
        <f ca="1" t="shared" si="186"/>
        <v/>
      </c>
      <c r="AX573" s="23" t="str">
        <f ca="1" t="shared" si="187"/>
        <v>{2,360}</v>
      </c>
      <c r="AY573" s="23" t="str">
        <f ca="1" t="shared" si="188"/>
        <v>{5204001,5}</v>
      </c>
      <c r="AZ573" s="23" t="str">
        <f ca="1" t="shared" si="214"/>
        <v>{5203001,30}</v>
      </c>
      <c r="BA573" s="23" t="str">
        <f ca="1" t="shared" si="189"/>
        <v>{1,150}</v>
      </c>
      <c r="BB573" s="23" t="s">
        <v>401</v>
      </c>
      <c r="BC573" s="23" t="str">
        <f ca="1" t="shared" si="190"/>
        <v>{5123001,300}</v>
      </c>
      <c r="BD573" s="23" t="str">
        <f ca="1" t="shared" si="207"/>
        <v/>
      </c>
      <c r="BE573" s="23" t="str">
        <f ca="1" t="shared" si="211"/>
        <v>{50039,1}</v>
      </c>
      <c r="BF573" s="23" t="str">
        <f ca="1" t="shared" si="191"/>
        <v>{2,600}</v>
      </c>
      <c r="BI573" s="23" t="str">
        <f ca="1" t="shared" si="192"/>
        <v>[{11,5},{50003,15},{5143001,200},{2,240}]</v>
      </c>
      <c r="BJ573" s="23" t="str">
        <f ca="1" t="shared" si="193"/>
        <v>[{5113001,250},{5523001,200},{50005,25},{2,360},{5204001,5}]</v>
      </c>
      <c r="BK573" s="23" t="str">
        <f ca="1" t="shared" si="194"/>
        <v>[{5203001,30},{1,150},{5523001,300},{5123001,300},{50039,1},{2,600}]</v>
      </c>
      <c r="BL573" s="23">
        <f ca="1" t="shared" si="195"/>
        <v>4</v>
      </c>
      <c r="BM573" s="23">
        <f ca="1" t="shared" si="196"/>
        <v>5</v>
      </c>
      <c r="BN573" s="23">
        <f ca="1" t="shared" si="198"/>
        <v>6</v>
      </c>
      <c r="BP573" s="71" t="s">
        <v>374</v>
      </c>
      <c r="BQ573" s="71">
        <v>150</v>
      </c>
    </row>
    <row r="574" ht="16.5" spans="2:69">
      <c r="B574" s="23">
        <v>254</v>
      </c>
      <c r="C574" s="12"/>
      <c r="D574" s="12"/>
      <c r="E574" s="71"/>
      <c r="F574" s="71"/>
      <c r="G574" s="71" t="str">
        <f t="shared" si="200"/>
        <v>衣服图纸</v>
      </c>
      <c r="H574" s="71">
        <v>15</v>
      </c>
      <c r="I574" s="71" t="str">
        <f t="shared" si="205"/>
        <v>战士特饮</v>
      </c>
      <c r="J574" s="71">
        <v>200</v>
      </c>
      <c r="K574" s="71" t="s">
        <v>96</v>
      </c>
      <c r="L574" s="71">
        <v>240</v>
      </c>
      <c r="M574" s="71" t="str">
        <f t="shared" si="208"/>
        <v>法师特饮</v>
      </c>
      <c r="N574" s="71">
        <f t="shared" si="212"/>
        <v>250</v>
      </c>
      <c r="O574" s="71" t="s">
        <v>316</v>
      </c>
      <c r="P574" s="71">
        <v>200</v>
      </c>
      <c r="Q574" s="71"/>
      <c r="R574" s="71"/>
      <c r="S574" s="72" t="str">
        <f t="shared" si="201"/>
        <v>裤子图纸</v>
      </c>
      <c r="T574" s="71">
        <v>25</v>
      </c>
      <c r="U574" s="71" t="str">
        <f t="shared" si="202"/>
        <v/>
      </c>
      <c r="V574" s="71">
        <f t="shared" si="203"/>
        <v>0</v>
      </c>
      <c r="W574" s="71" t="s">
        <v>96</v>
      </c>
      <c r="X574" s="71">
        <f t="shared" si="179"/>
        <v>360</v>
      </c>
      <c r="Y574" s="71"/>
      <c r="Z574" s="71"/>
      <c r="AA574" s="71" t="str">
        <f t="shared" si="209"/>
        <v>基因罐</v>
      </c>
      <c r="AB574" s="71">
        <f t="shared" si="213"/>
        <v>30</v>
      </c>
      <c r="AC574" s="71" t="s">
        <v>374</v>
      </c>
      <c r="AD574" s="71">
        <v>150</v>
      </c>
      <c r="AE574" s="72" t="str">
        <f t="shared" si="206"/>
        <v>辅助特饮</v>
      </c>
      <c r="AF574" s="71">
        <v>300</v>
      </c>
      <c r="AG574" s="71"/>
      <c r="AH574" s="71"/>
      <c r="AI574" s="71" t="s">
        <v>390</v>
      </c>
      <c r="AJ574" s="71">
        <v>1</v>
      </c>
      <c r="AK574" s="71" t="s">
        <v>96</v>
      </c>
      <c r="AL574" s="71">
        <f t="shared" si="180"/>
        <v>600</v>
      </c>
      <c r="AN574" s="23" t="str">
        <f ca="1" t="shared" si="204"/>
        <v>{11,5}</v>
      </c>
      <c r="AO574" s="23" t="str">
        <f ca="1" t="shared" si="199"/>
        <v/>
      </c>
      <c r="AP574" s="23" t="str">
        <f ca="1" t="shared" si="181"/>
        <v>{50004,15}</v>
      </c>
      <c r="AQ574" s="23" t="str">
        <f ca="1" t="shared" si="182"/>
        <v>{5113001,200}</v>
      </c>
      <c r="AR574" s="23" t="str">
        <f ca="1" t="shared" si="183"/>
        <v>{2,240}</v>
      </c>
      <c r="AS574" s="23" t="str">
        <f ca="1" t="shared" si="184"/>
        <v>{5123001,250}</v>
      </c>
      <c r="AT574" s="23" t="str">
        <f ca="1" t="shared" si="210"/>
        <v>{5523001,200}</v>
      </c>
      <c r="AU574" s="23" t="str">
        <f ca="1" t="shared" si="197"/>
        <v/>
      </c>
      <c r="AV574" s="23" t="str">
        <f ca="1" t="shared" si="185"/>
        <v>{50006,25}</v>
      </c>
      <c r="AW574" s="23" t="str">
        <f ca="1" t="shared" si="186"/>
        <v/>
      </c>
      <c r="AX574" s="23" t="str">
        <f ca="1" t="shared" si="187"/>
        <v>{2,360}</v>
      </c>
      <c r="AY574" s="23" t="str">
        <f ca="1" t="shared" si="188"/>
        <v>{5204001,5}</v>
      </c>
      <c r="AZ574" s="23" t="str">
        <f ca="1" t="shared" si="214"/>
        <v>{5203001,30}</v>
      </c>
      <c r="BA574" s="23" t="str">
        <f ca="1" t="shared" si="189"/>
        <v>{1,150}</v>
      </c>
      <c r="BB574" s="23" t="s">
        <v>401</v>
      </c>
      <c r="BC574" s="23" t="str">
        <f ca="1" t="shared" si="190"/>
        <v>{5143001,300}</v>
      </c>
      <c r="BD574" s="23" t="str">
        <f ca="1" t="shared" si="207"/>
        <v/>
      </c>
      <c r="BE574" s="23" t="str">
        <f ca="1" t="shared" si="211"/>
        <v>{50039,1}</v>
      </c>
      <c r="BF574" s="23" t="str">
        <f ca="1" t="shared" si="191"/>
        <v>{2,600}</v>
      </c>
      <c r="BI574" s="23" t="str">
        <f ca="1" t="shared" si="192"/>
        <v>[{11,5},{50004,15},{5113001,200},{2,240}]</v>
      </c>
      <c r="BJ574" s="23" t="str">
        <f ca="1" t="shared" si="193"/>
        <v>[{5123001,250},{5523001,200},{50006,25},{2,360},{5204001,5}]</v>
      </c>
      <c r="BK574" s="23" t="str">
        <f ca="1" t="shared" si="194"/>
        <v>[{5203001,30},{1,150},{5523001,300},{5143001,300},{50039,1},{2,600}]</v>
      </c>
      <c r="BL574" s="23">
        <f ca="1" t="shared" si="195"/>
        <v>4</v>
      </c>
      <c r="BM574" s="23">
        <f ca="1" t="shared" si="196"/>
        <v>5</v>
      </c>
      <c r="BN574" s="23">
        <f ca="1" t="shared" si="198"/>
        <v>6</v>
      </c>
      <c r="BP574" s="71" t="s">
        <v>374</v>
      </c>
      <c r="BQ574" s="71">
        <v>150</v>
      </c>
    </row>
    <row r="575" ht="16.5" spans="2:69">
      <c r="B575" s="23">
        <v>255</v>
      </c>
      <c r="C575" s="12" t="inlineStr">
        <is>
          <t>梦愿水晶</t>
        </is>
      </c>
      <c r="D575" s="12">
        <v>1</v>
      </c>
      <c r="E575" s="71"/>
      <c r="F575" s="71"/>
      <c r="G575" s="71" t="str">
        <f t="shared" si="200"/>
        <v>护臂图纸</v>
      </c>
      <c r="H575" s="71">
        <v>15</v>
      </c>
      <c r="I575" s="71" t="str">
        <f t="shared" si="205"/>
        <v>毒系特饮</v>
      </c>
      <c r="J575" s="71">
        <v>200</v>
      </c>
      <c r="K575" s="71" t="s">
        <v>96</v>
      </c>
      <c r="L575" s="71">
        <v>240</v>
      </c>
      <c r="M575" s="71" t="str">
        <f t="shared" si="208"/>
        <v>辅助特饮</v>
      </c>
      <c r="N575" s="71">
        <f t="shared" si="212"/>
        <v>250</v>
      </c>
      <c r="O575" s="71" t="s">
        <v>316</v>
      </c>
      <c r="P575" s="71">
        <v>200</v>
      </c>
      <c r="Q575" s="71"/>
      <c r="R575" s="71"/>
      <c r="S575" s="72" t="str">
        <f t="shared" si="201"/>
        <v>鞋子图纸</v>
      </c>
      <c r="T575" s="71">
        <v>25</v>
      </c>
      <c r="U575" s="71" t="str">
        <f t="shared" si="202"/>
        <v>灵感获取令</v>
      </c>
      <c r="V575" s="71">
        <f t="shared" si="203"/>
        <v>1</v>
      </c>
      <c r="W575" s="71" t="s">
        <v>96</v>
      </c>
      <c r="X575" s="71">
        <f t="shared" si="179"/>
        <v>360</v>
      </c>
      <c r="Y575" s="71"/>
      <c r="Z575" s="71"/>
      <c r="AA575" s="71" t="str">
        <f t="shared" si="209"/>
        <v>传说基因罐</v>
      </c>
      <c r="AB575" s="71">
        <f t="shared" si="213"/>
        <v>3</v>
      </c>
      <c r="AC575" s="71" t="s">
        <v>374</v>
      </c>
      <c r="AD575" s="71">
        <v>150</v>
      </c>
      <c r="AE575" s="72" t="str">
        <f t="shared" si="206"/>
        <v>毒系特饮</v>
      </c>
      <c r="AF575" s="71">
        <v>300</v>
      </c>
      <c r="AG575" s="71"/>
      <c r="AH575" s="71"/>
      <c r="AI575" s="71" t="s">
        <v>390</v>
      </c>
      <c r="AJ575" s="71">
        <v>1</v>
      </c>
      <c r="AK575" s="71" t="s">
        <v>96</v>
      </c>
      <c r="AL575" s="71">
        <f t="shared" si="180"/>
        <v>600</v>
      </c>
      <c r="AN575" s="23" t="str">
        <f ca="1" t="shared" si="204"/>
        <v>{35,1}</v>
      </c>
      <c r="AO575" s="23" t="str">
        <f ca="1" t="shared" si="199"/>
        <v/>
      </c>
      <c r="AP575" s="23" t="str">
        <f ca="1" t="shared" si="181"/>
        <v>{50005,15}</v>
      </c>
      <c r="AQ575" s="23" t="str">
        <f ca="1" t="shared" si="182"/>
        <v>{5163001,200}</v>
      </c>
      <c r="AR575" s="23" t="str">
        <f ca="1" t="shared" si="183"/>
        <v>{2,240}</v>
      </c>
      <c r="AS575" s="23" t="str">
        <f ca="1" t="shared" si="184"/>
        <v>{5143001,250}</v>
      </c>
      <c r="AT575" s="23" t="str">
        <f ca="1" t="shared" si="210"/>
        <v>{5523001,200}</v>
      </c>
      <c r="AU575" s="23" t="str">
        <f ca="1" t="shared" si="197"/>
        <v/>
      </c>
      <c r="AV575" s="23" t="str">
        <f ca="1" t="shared" si="185"/>
        <v>{50007,25}</v>
      </c>
      <c r="AW575" s="23" t="str">
        <f ca="1" t="shared" si="186"/>
        <v>{9,1}</v>
      </c>
      <c r="AX575" s="23" t="str">
        <f ca="1" t="shared" si="187"/>
        <v>{2,360}</v>
      </c>
      <c r="AY575" s="23" t="str">
        <f ca="1" t="shared" si="188"/>
        <v>{5204001,5}</v>
      </c>
      <c r="AZ575" s="23" t="str">
        <f ca="1" t="shared" si="214"/>
        <v>{5205001,3}</v>
      </c>
      <c r="BA575" s="23" t="str">
        <f ca="1" t="shared" si="189"/>
        <v>{1,150}</v>
      </c>
      <c r="BB575" s="23" t="s">
        <v>401</v>
      </c>
      <c r="BC575" s="23" t="str">
        <f ca="1" t="shared" si="190"/>
        <v>{5163001,300}</v>
      </c>
      <c r="BD575" s="23" t="str">
        <f ca="1" t="shared" si="207"/>
        <v/>
      </c>
      <c r="BE575" s="23" t="str">
        <f ca="1" t="shared" si="211"/>
        <v>{50039,1}</v>
      </c>
      <c r="BF575" s="23" t="str">
        <f ca="1" t="shared" si="191"/>
        <v>{2,600}</v>
      </c>
      <c r="BI575" s="23" t="str">
        <f ca="1" t="shared" si="192"/>
        <v>[{35,1},{50005,15},{5163001,200},{2,240}]</v>
      </c>
      <c r="BJ575" s="23" t="str">
        <f ca="1" t="shared" si="193"/>
        <v>[{5143001,250},{5523001,200},{50007,25},{9,1},{2,360},{5204001,5}]</v>
      </c>
      <c r="BK575" s="23" t="str">
        <f ca="1" t="shared" si="194"/>
        <v>[{5205001,3},{1,150},{5523001,300},{5163001,300},{50039,1},{2,600}]</v>
      </c>
      <c r="BL575" s="23">
        <f ca="1" t="shared" si="195"/>
        <v>4</v>
      </c>
      <c r="BM575" s="23">
        <f ca="1" t="shared" si="196"/>
        <v>6</v>
      </c>
      <c r="BN575" s="23">
        <f ca="1" t="shared" si="198"/>
        <v>6</v>
      </c>
      <c r="BP575" s="71" t="s">
        <v>374</v>
      </c>
      <c r="BQ575" s="71">
        <v>150</v>
      </c>
    </row>
    <row r="576" ht="16.5" spans="2:69">
      <c r="B576" s="23">
        <v>256</v>
      </c>
      <c r="C576" s="12"/>
      <c r="D576" s="12"/>
      <c r="E576" s="71"/>
      <c r="F576" s="71"/>
      <c r="G576" s="71" t="str">
        <f t="shared" si="200"/>
        <v>裤子图纸</v>
      </c>
      <c r="H576" s="71">
        <v>15</v>
      </c>
      <c r="I576" s="71" t="str">
        <f t="shared" si="205"/>
        <v>控制特饮</v>
      </c>
      <c r="J576" s="71">
        <v>200</v>
      </c>
      <c r="K576" s="71" t="s">
        <v>96</v>
      </c>
      <c r="L576" s="71">
        <v>240</v>
      </c>
      <c r="M576" s="71" t="str">
        <f t="shared" si="208"/>
        <v>射手特饮</v>
      </c>
      <c r="N576" s="71">
        <f t="shared" si="212"/>
        <v>250</v>
      </c>
      <c r="O576" s="71" t="s">
        <v>316</v>
      </c>
      <c r="P576" s="71">
        <v>200</v>
      </c>
      <c r="Q576" s="71"/>
      <c r="R576" s="71"/>
      <c r="S576" s="72" t="str">
        <f t="shared" si="201"/>
        <v>手套图纸</v>
      </c>
      <c r="T576" s="71">
        <v>25</v>
      </c>
      <c r="U576" s="71" t="str">
        <f t="shared" si="202"/>
        <v/>
      </c>
      <c r="V576" s="71">
        <f t="shared" si="203"/>
        <v>0</v>
      </c>
      <c r="W576" s="71" t="s">
        <v>96</v>
      </c>
      <c r="X576" s="71">
        <f t="shared" si="179"/>
        <v>360</v>
      </c>
      <c r="Y576" s="71"/>
      <c r="Z576" s="71"/>
      <c r="AA576" s="71" t="str">
        <f t="shared" si="209"/>
        <v>基因罐</v>
      </c>
      <c r="AB576" s="71">
        <f t="shared" si="213"/>
        <v>30</v>
      </c>
      <c r="AC576" s="71" t="s">
        <v>374</v>
      </c>
      <c r="AD576" s="71">
        <v>150</v>
      </c>
      <c r="AE576" s="72" t="str">
        <f t="shared" si="206"/>
        <v>控制特饮</v>
      </c>
      <c r="AF576" s="71">
        <v>300</v>
      </c>
      <c r="AG576" s="71"/>
      <c r="AH576" s="71"/>
      <c r="AI576" s="71" t="s">
        <v>390</v>
      </c>
      <c r="AJ576" s="71">
        <v>1</v>
      </c>
      <c r="AK576" s="71" t="s">
        <v>96</v>
      </c>
      <c r="AL576" s="71">
        <f t="shared" si="180"/>
        <v>600</v>
      </c>
      <c r="AN576" s="23" t="str">
        <f ca="1" t="shared" si="204"/>
        <v>{11,5}</v>
      </c>
      <c r="AO576" s="23" t="str">
        <f ca="1" t="shared" si="199"/>
        <v/>
      </c>
      <c r="AP576" s="23" t="str">
        <f ca="1" t="shared" si="181"/>
        <v>{50006,15}</v>
      </c>
      <c r="AQ576" s="23" t="str">
        <f ca="1" t="shared" si="182"/>
        <v>{5153001,200}</v>
      </c>
      <c r="AR576" s="23" t="str">
        <f ca="1" t="shared" si="183"/>
        <v>{2,240}</v>
      </c>
      <c r="AS576" s="23" t="str">
        <f ca="1" t="shared" si="184"/>
        <v>{5133001,250}</v>
      </c>
      <c r="AT576" s="23" t="str">
        <f ca="1" t="shared" si="210"/>
        <v>{5523001,200}</v>
      </c>
      <c r="AU576" s="23" t="str">
        <f ca="1" t="shared" si="197"/>
        <v/>
      </c>
      <c r="AV576" s="23" t="str">
        <f ca="1" t="shared" si="185"/>
        <v>{50008,25}</v>
      </c>
      <c r="AW576" s="23" t="str">
        <f ca="1" t="shared" si="186"/>
        <v/>
      </c>
      <c r="AX576" s="23" t="str">
        <f ca="1" t="shared" si="187"/>
        <v>{2,360}</v>
      </c>
      <c r="AY576" s="23" t="str">
        <f ca="1" t="shared" si="188"/>
        <v>{5204001,5}</v>
      </c>
      <c r="AZ576" s="23" t="str">
        <f ca="1" t="shared" si="214"/>
        <v>{5203001,30}</v>
      </c>
      <c r="BA576" s="23" t="str">
        <f ca="1" t="shared" si="189"/>
        <v>{1,150}</v>
      </c>
      <c r="BB576" s="23" t="s">
        <v>401</v>
      </c>
      <c r="BC576" s="23" t="str">
        <f ca="1" t="shared" si="190"/>
        <v>{5153001,300}</v>
      </c>
      <c r="BD576" s="23" t="str">
        <f ca="1" t="shared" si="207"/>
        <v/>
      </c>
      <c r="BE576" s="23" t="str">
        <f ca="1" t="shared" si="211"/>
        <v>{50039,1}</v>
      </c>
      <c r="BF576" s="23" t="str">
        <f ca="1" t="shared" si="191"/>
        <v>{2,600}</v>
      </c>
      <c r="BI576" s="23" t="str">
        <f ca="1" t="shared" si="192"/>
        <v>[{11,5},{50006,15},{5153001,200},{2,240}]</v>
      </c>
      <c r="BJ576" s="23" t="str">
        <f ca="1" t="shared" si="193"/>
        <v>[{5133001,250},{5523001,200},{50008,25},{2,360},{5204001,5}]</v>
      </c>
      <c r="BK576" s="23" t="str">
        <f ca="1" t="shared" si="194"/>
        <v>[{5203001,30},{1,150},{5523001,300},{5153001,300},{50039,1},{2,600}]</v>
      </c>
      <c r="BL576" s="23">
        <f ca="1" t="shared" si="195"/>
        <v>4</v>
      </c>
      <c r="BM576" s="23">
        <f ca="1" t="shared" si="196"/>
        <v>5</v>
      </c>
      <c r="BN576" s="23">
        <f ca="1" t="shared" si="198"/>
        <v>6</v>
      </c>
      <c r="BP576" s="71" t="s">
        <v>374</v>
      </c>
      <c r="BQ576" s="71">
        <v>150</v>
      </c>
    </row>
    <row r="577" ht="16.5" spans="2:69">
      <c r="B577" s="23">
        <v>257</v>
      </c>
      <c r="C577" s="12"/>
      <c r="D577" s="12"/>
      <c r="E577" s="71"/>
      <c r="F577" s="71"/>
      <c r="G577" s="71" t="str">
        <f t="shared" si="200"/>
        <v>鞋子图纸</v>
      </c>
      <c r="H577" s="71">
        <v>15</v>
      </c>
      <c r="I577" s="71" t="str">
        <f t="shared" si="205"/>
        <v>射手特饮</v>
      </c>
      <c r="J577" s="71">
        <v>200</v>
      </c>
      <c r="K577" s="71" t="s">
        <v>96</v>
      </c>
      <c r="L577" s="71">
        <v>240</v>
      </c>
      <c r="M577" s="71" t="str">
        <f t="shared" si="208"/>
        <v>毒系特饮</v>
      </c>
      <c r="N577" s="71">
        <f t="shared" si="212"/>
        <v>250</v>
      </c>
      <c r="O577" s="71" t="s">
        <v>316</v>
      </c>
      <c r="P577" s="71">
        <v>200</v>
      </c>
      <c r="Q577" s="71"/>
      <c r="R577" s="71"/>
      <c r="S577" s="72" t="str">
        <f t="shared" si="201"/>
        <v>头盔图纸</v>
      </c>
      <c r="T577" s="71">
        <v>25</v>
      </c>
      <c r="U577" s="71" t="str">
        <f t="shared" si="202"/>
        <v/>
      </c>
      <c r="V577" s="71">
        <f t="shared" si="203"/>
        <v>0</v>
      </c>
      <c r="W577" s="71" t="s">
        <v>96</v>
      </c>
      <c r="X577" s="71">
        <f t="shared" ref="X577:X620" si="217">L577*1.5</f>
        <v>360</v>
      </c>
      <c r="Y577" s="71"/>
      <c r="Z577" s="71"/>
      <c r="AA577" s="71" t="str">
        <f t="shared" si="209"/>
        <v>基因罐</v>
      </c>
      <c r="AB577" s="71">
        <f t="shared" si="213"/>
        <v>30</v>
      </c>
      <c r="AC577" s="71" t="s">
        <v>374</v>
      </c>
      <c r="AD577" s="71">
        <v>150</v>
      </c>
      <c r="AE577" s="72" t="str">
        <f t="shared" si="206"/>
        <v>射手特饮</v>
      </c>
      <c r="AF577" s="71">
        <v>300</v>
      </c>
      <c r="AG577" s="71"/>
      <c r="AH577" s="71"/>
      <c r="AI577" s="71" t="s">
        <v>390</v>
      </c>
      <c r="AJ577" s="71">
        <v>1</v>
      </c>
      <c r="AK577" s="71" t="s">
        <v>96</v>
      </c>
      <c r="AL577" s="71">
        <f t="shared" ref="AL577:AL620" si="218">L577+X577</f>
        <v>600</v>
      </c>
      <c r="AN577" s="23" t="str">
        <f ca="1" t="shared" si="204"/>
        <v>{11,5}</v>
      </c>
      <c r="AO577" s="23" t="str">
        <f ca="1" t="shared" si="199"/>
        <v/>
      </c>
      <c r="AP577" s="23" t="str">
        <f ca="1" t="shared" ref="AP577:AP620" si="219">IF(OFFSET($B577,0,AP$320*2+1)="","","{"&amp;VLOOKUP(OFFSET($B577,0,AP$320*2+1),$AN$291:$AO$306,2,0)&amp;","&amp;OFFSET($B577,0,AP$320*2+2)&amp;"}")</f>
        <v>{50007,15}</v>
      </c>
      <c r="AQ577" s="23" t="str">
        <f ca="1" t="shared" ref="AQ577:AQ620" si="220">IF(OFFSET($B577,0,AQ$320*2+1)="","","{"&amp;VLOOKUP(OFFSET($B577,0,AQ$320*2+1),$AN$291:$AO$312,2,0)&amp;","&amp;OFFSET($B577,0,AQ$320*2+2)&amp;"}")</f>
        <v>{5133001,200}</v>
      </c>
      <c r="AR577" s="23" t="str">
        <f ca="1" t="shared" ref="AR577:AR620" si="221">IF(OFFSET($B577,0,AR$320*2+1)="","","{"&amp;VLOOKUP(OFFSET($B577,0,AR$320*2+1),$AN$291:$AO$297,2,0)&amp;","&amp;OFFSET($B577,0,AR$320*2+2)&amp;"}")</f>
        <v>{2,240}</v>
      </c>
      <c r="AS577" s="23" t="str">
        <f ca="1" t="shared" ref="AS577:AS620" si="222">IF(OFFSET($B577,0,AS$320*2+1)="","","{"&amp;VLOOKUP(OFFSET($B577,0,AS$320*2+1),$AN$291:$AO$312,2,0)&amp;","&amp;OFFSET($B577,0,AS$320*2+2)&amp;"}")</f>
        <v>{5163001,250}</v>
      </c>
      <c r="AT577" s="23" t="str">
        <f ca="1" t="shared" si="210"/>
        <v>{5523001,200}</v>
      </c>
      <c r="AU577" s="23" t="str">
        <f ca="1" t="shared" si="197"/>
        <v/>
      </c>
      <c r="AV577" s="23" t="str">
        <f ca="1" t="shared" ref="AV577:AV620" si="223">IF(OFFSET($B577,0,AV$320*2+1)="","","{"&amp;VLOOKUP(OFFSET($B577,0,AV$320*2+1),$AN$291:$AO$312,2,0)&amp;","&amp;OFFSET($B577,0,AV$320*2+2)&amp;"}")</f>
        <v>{50003,25}</v>
      </c>
      <c r="AW577" s="23" t="str">
        <f ca="1" t="shared" ref="AW577:AW620" si="224">IF(OFFSET($B577,0,AW$320*2+1)="","","{"&amp;VLOOKUP(OFFSET($B577,0,AW$320*2+1),$AN$291:$AO$297,2,0)&amp;","&amp;OFFSET($B577,0,AW$320*2+2)&amp;"}")</f>
        <v/>
      </c>
      <c r="AX577" s="23" t="str">
        <f ca="1" t="shared" ref="AX577:AX620" si="225">IF(OFFSET($B577,0,AX$320*2+1)="","","{"&amp;VLOOKUP(OFFSET($B577,0,AX$320*2+1),$AN$291:$AO$300,2,0)&amp;","&amp;OFFSET($B577,0,AX$320*2+2)&amp;"}")</f>
        <v>{2,360}</v>
      </c>
      <c r="AY577" s="23" t="str">
        <f ca="1" t="shared" ref="AY577:AY620" si="226">IF(OFFSET($B577,0,AY$320*2+1)="","","{"&amp;VLOOKUP(OFFSET($B577,0,AY$320*2+1),$AN$291:$AO$300,2,0)&amp;","&amp;OFFSET($B577,0,AY$320*2+2)&amp;"}")</f>
        <v>{5204001,5}</v>
      </c>
      <c r="AZ577" s="23" t="str">
        <f ca="1" t="shared" si="214"/>
        <v>{5203001,30}</v>
      </c>
      <c r="BA577" s="23" t="str">
        <f ca="1" t="shared" ref="BA577:BA620" si="227">IF(OFFSET($B577,0,BA$320*2+1)="","","{"&amp;VLOOKUP(OFFSET($B577,0,BA$320*2+1),$AN$291:$AO$316,2,0)&amp;","&amp;OFFSET($B577,0,BA$320*2+2)&amp;"}")</f>
        <v>{1,150}</v>
      </c>
      <c r="BB577" s="23" t="s">
        <v>401</v>
      </c>
      <c r="BC577" s="23" t="str">
        <f ca="1" t="shared" ref="BC577:BC620" si="228">IF(OFFSET($B577,0,BC$320*2+1)="","","{"&amp;VLOOKUP(OFFSET($B577,0,BC$320*2+1),$AN$291:$AO$313,2,0)&amp;","&amp;OFFSET($B577,0,BC$320*2+2)&amp;"}")</f>
        <v>{5133001,300}</v>
      </c>
      <c r="BD577" s="23" t="str">
        <f ca="1" t="shared" si="207"/>
        <v/>
      </c>
      <c r="BE577" s="23" t="str">
        <f ca="1" t="shared" si="211"/>
        <v>{50039,1}</v>
      </c>
      <c r="BF577" s="23" t="str">
        <f ca="1" t="shared" ref="BF577:BF620" si="229">IF(OFFSET($B577,0,BF$320*2+1)="","","{"&amp;VLOOKUP(OFFSET($B577,0,BF$320*2+1),$AN$291:$AO$316,2,0)&amp;","&amp;OFFSET($B577,0,BF$320*2+2)&amp;"}")</f>
        <v>{2,600}</v>
      </c>
      <c r="BI577" s="23" t="str">
        <f ca="1" t="shared" ref="BI577:BI620" si="230">"["&amp;_xlfn.TEXTJOIN(",",1,$AN577:$AR577)&amp;"]"</f>
        <v>[{11,5},{50007,15},{5133001,200},{2,240}]</v>
      </c>
      <c r="BJ577" s="23" t="str">
        <f ca="1" t="shared" ref="BJ577:BJ620" si="231">"["&amp;_xlfn.TEXTJOIN(",",1,$AS577:$AY577)&amp;"]"</f>
        <v>[{5163001,250},{5523001,200},{50003,25},{2,360},{5204001,5}]</v>
      </c>
      <c r="BK577" s="23" t="str">
        <f ca="1" t="shared" ref="BK577:BK620" si="232">"["&amp;_xlfn.TEXTJOIN(",",1,$AZ577:$BG577)&amp;"]"</f>
        <v>[{5203001,30},{1,150},{5523001,300},{5133001,300},{50039,1},{2,600}]</v>
      </c>
      <c r="BL577" s="23">
        <f ca="1" t="shared" ref="BL577:BL620" si="233">5-COUNTBLANK(AN577:AR577)</f>
        <v>4</v>
      </c>
      <c r="BM577" s="23">
        <f ca="1" t="shared" ref="BM577:BM620" si="234">7-COUNTBLANK(AS577:AY577)</f>
        <v>5</v>
      </c>
      <c r="BN577" s="23">
        <f ca="1" t="shared" si="198"/>
        <v>6</v>
      </c>
      <c r="BP577" s="71" t="s">
        <v>374</v>
      </c>
      <c r="BQ577" s="71">
        <v>150</v>
      </c>
    </row>
    <row r="578" ht="16.5" spans="2:69">
      <c r="B578" s="23">
        <v>258</v>
      </c>
      <c r="C578" s="12"/>
      <c r="D578" s="12"/>
      <c r="E578" s="71"/>
      <c r="F578" s="71"/>
      <c r="G578" s="71" t="str">
        <f t="shared" si="200"/>
        <v>手套图纸</v>
      </c>
      <c r="H578" s="71">
        <v>15</v>
      </c>
      <c r="I578" s="71" t="str">
        <f t="shared" si="205"/>
        <v>法师特饮</v>
      </c>
      <c r="J578" s="71">
        <v>200</v>
      </c>
      <c r="K578" s="71" t="s">
        <v>96</v>
      </c>
      <c r="L578" s="71">
        <v>240</v>
      </c>
      <c r="M578" s="71" t="str">
        <f t="shared" si="208"/>
        <v>控制特饮</v>
      </c>
      <c r="N578" s="71">
        <f t="shared" si="212"/>
        <v>250</v>
      </c>
      <c r="O578" s="71" t="s">
        <v>316</v>
      </c>
      <c r="P578" s="71">
        <v>200</v>
      </c>
      <c r="Q578" s="71"/>
      <c r="R578" s="71"/>
      <c r="S578" s="72" t="str">
        <f t="shared" si="201"/>
        <v>衣服图纸</v>
      </c>
      <c r="T578" s="71">
        <v>25</v>
      </c>
      <c r="U578" s="71" t="str">
        <f t="shared" si="202"/>
        <v/>
      </c>
      <c r="V578" s="71">
        <f t="shared" si="203"/>
        <v>0</v>
      </c>
      <c r="W578" s="71" t="s">
        <v>96</v>
      </c>
      <c r="X578" s="71">
        <f t="shared" si="217"/>
        <v>360</v>
      </c>
      <c r="Y578" s="71"/>
      <c r="Z578" s="71"/>
      <c r="AA578" s="71" t="str">
        <f t="shared" si="209"/>
        <v>基因罐</v>
      </c>
      <c r="AB578" s="71">
        <f t="shared" si="213"/>
        <v>30</v>
      </c>
      <c r="AC578" s="71" t="s">
        <v>374</v>
      </c>
      <c r="AD578" s="71">
        <v>150</v>
      </c>
      <c r="AE578" s="72" t="str">
        <f t="shared" si="206"/>
        <v>战士特饮</v>
      </c>
      <c r="AF578" s="71">
        <v>300</v>
      </c>
      <c r="AG578" s="71"/>
      <c r="AH578" s="71"/>
      <c r="AI578" s="71" t="s">
        <v>390</v>
      </c>
      <c r="AJ578" s="71">
        <v>1</v>
      </c>
      <c r="AK578" s="71" t="s">
        <v>96</v>
      </c>
      <c r="AL578" s="71">
        <f t="shared" si="218"/>
        <v>600</v>
      </c>
      <c r="AN578" s="23" t="str">
        <f ca="1" t="shared" si="204"/>
        <v>{11,5}</v>
      </c>
      <c r="AO578" s="23" t="str">
        <f ca="1" t="shared" si="199"/>
        <v/>
      </c>
      <c r="AP578" s="23" t="str">
        <f ca="1" t="shared" si="219"/>
        <v>{50008,15}</v>
      </c>
      <c r="AQ578" s="23" t="str">
        <f ca="1" t="shared" si="220"/>
        <v>{5123001,200}</v>
      </c>
      <c r="AR578" s="23" t="str">
        <f ca="1" t="shared" si="221"/>
        <v>{2,240}</v>
      </c>
      <c r="AS578" s="23" t="str">
        <f ca="1" t="shared" si="222"/>
        <v>{5153001,250}</v>
      </c>
      <c r="AT578" s="23" t="str">
        <f ca="1" t="shared" si="210"/>
        <v>{5523001,200}</v>
      </c>
      <c r="AU578" s="23" t="str">
        <f ca="1" t="shared" si="197"/>
        <v/>
      </c>
      <c r="AV578" s="23" t="str">
        <f ca="1" t="shared" si="223"/>
        <v>{50004,25}</v>
      </c>
      <c r="AW578" s="23" t="str">
        <f ca="1" t="shared" si="224"/>
        <v/>
      </c>
      <c r="AX578" s="23" t="str">
        <f ca="1" t="shared" si="225"/>
        <v>{2,360}</v>
      </c>
      <c r="AY578" s="23" t="str">
        <f ca="1" t="shared" si="226"/>
        <v>{5204001,5}</v>
      </c>
      <c r="AZ578" s="23" t="str">
        <f ca="1" t="shared" si="214"/>
        <v>{5203001,30}</v>
      </c>
      <c r="BA578" s="23" t="str">
        <f ca="1" t="shared" si="227"/>
        <v>{1,150}</v>
      </c>
      <c r="BB578" s="23" t="s">
        <v>401</v>
      </c>
      <c r="BC578" s="23" t="str">
        <f ca="1" t="shared" si="228"/>
        <v>{5113001,300}</v>
      </c>
      <c r="BD578" s="23" t="str">
        <f ca="1" t="shared" si="207"/>
        <v/>
      </c>
      <c r="BE578" s="23" t="str">
        <f ca="1" t="shared" si="211"/>
        <v>{50039,1}</v>
      </c>
      <c r="BF578" s="23" t="str">
        <f ca="1" t="shared" si="229"/>
        <v>{2,600}</v>
      </c>
      <c r="BI578" s="23" t="str">
        <f ca="1" t="shared" si="230"/>
        <v>[{11,5},{50008,15},{5123001,200},{2,240}]</v>
      </c>
      <c r="BJ578" s="23" t="str">
        <f ca="1" t="shared" si="231"/>
        <v>[{5153001,250},{5523001,200},{50004,25},{2,360},{5204001,5}]</v>
      </c>
      <c r="BK578" s="23" t="str">
        <f ca="1" t="shared" si="232"/>
        <v>[{5203001,30},{1,150},{5523001,300},{5113001,300},{50039,1},{2,600}]</v>
      </c>
      <c r="BL578" s="23">
        <f ca="1" t="shared" si="233"/>
        <v>4</v>
      </c>
      <c r="BM578" s="23">
        <f ca="1" t="shared" si="234"/>
        <v>5</v>
      </c>
      <c r="BN578" s="23">
        <f ca="1" t="shared" si="198"/>
        <v>6</v>
      </c>
      <c r="BP578" s="71" t="s">
        <v>374</v>
      </c>
      <c r="BQ578" s="71">
        <v>150</v>
      </c>
    </row>
    <row r="579" ht="16.5" spans="2:69">
      <c r="B579" s="23">
        <v>259</v>
      </c>
      <c r="C579" s="12"/>
      <c r="D579" s="12"/>
      <c r="E579" s="71"/>
      <c r="F579" s="71"/>
      <c r="G579" s="71" t="str">
        <f t="shared" si="200"/>
        <v>头盔图纸</v>
      </c>
      <c r="H579" s="71">
        <v>15</v>
      </c>
      <c r="I579" s="71" t="str">
        <f t="shared" si="205"/>
        <v>辅助特饮</v>
      </c>
      <c r="J579" s="71">
        <v>200</v>
      </c>
      <c r="K579" s="71" t="s">
        <v>96</v>
      </c>
      <c r="L579" s="71">
        <v>240</v>
      </c>
      <c r="M579" s="71" t="str">
        <f t="shared" si="208"/>
        <v>战士特饮</v>
      </c>
      <c r="N579" s="71">
        <f t="shared" si="212"/>
        <v>250</v>
      </c>
      <c r="O579" s="71" t="s">
        <v>316</v>
      </c>
      <c r="P579" s="71">
        <v>200</v>
      </c>
      <c r="Q579" s="71"/>
      <c r="R579" s="71"/>
      <c r="S579" s="72" t="str">
        <f t="shared" si="201"/>
        <v>护臂图纸</v>
      </c>
      <c r="T579" s="71">
        <v>25</v>
      </c>
      <c r="U579" s="71" t="str">
        <f t="shared" si="202"/>
        <v/>
      </c>
      <c r="V579" s="71">
        <f t="shared" si="203"/>
        <v>0</v>
      </c>
      <c r="W579" s="71" t="s">
        <v>96</v>
      </c>
      <c r="X579" s="71">
        <f t="shared" si="217"/>
        <v>360</v>
      </c>
      <c r="Y579" s="71"/>
      <c r="Z579" s="71"/>
      <c r="AA579" s="71" t="str">
        <f t="shared" si="209"/>
        <v>基因罐</v>
      </c>
      <c r="AB579" s="71">
        <f t="shared" si="213"/>
        <v>30</v>
      </c>
      <c r="AC579" s="71" t="s">
        <v>374</v>
      </c>
      <c r="AD579" s="71">
        <v>150</v>
      </c>
      <c r="AE579" s="72" t="str">
        <f t="shared" si="206"/>
        <v>法师特饮</v>
      </c>
      <c r="AF579" s="71">
        <v>300</v>
      </c>
      <c r="AG579" s="71"/>
      <c r="AH579" s="71"/>
      <c r="AI579" s="71" t="s">
        <v>390</v>
      </c>
      <c r="AJ579" s="71">
        <v>1</v>
      </c>
      <c r="AK579" s="71" t="s">
        <v>96</v>
      </c>
      <c r="AL579" s="71">
        <f t="shared" si="218"/>
        <v>600</v>
      </c>
      <c r="AN579" s="23" t="str">
        <f ca="1" t="shared" si="204"/>
        <v>{11,5}</v>
      </c>
      <c r="AO579" s="23" t="str">
        <f ca="1" t="shared" si="199"/>
        <v/>
      </c>
      <c r="AP579" s="23" t="str">
        <f ca="1" t="shared" si="219"/>
        <v>{50003,15}</v>
      </c>
      <c r="AQ579" s="23" t="str">
        <f ca="1" t="shared" si="220"/>
        <v>{5143001,200}</v>
      </c>
      <c r="AR579" s="23" t="str">
        <f ca="1" t="shared" si="221"/>
        <v>{2,240}</v>
      </c>
      <c r="AS579" s="23" t="str">
        <f ca="1" t="shared" si="222"/>
        <v>{5113001,250}</v>
      </c>
      <c r="AT579" s="23" t="str">
        <f ca="1" t="shared" si="210"/>
        <v>{5523001,200}</v>
      </c>
      <c r="AU579" s="23" t="str">
        <f ca="1" t="shared" si="197"/>
        <v/>
      </c>
      <c r="AV579" s="23" t="str">
        <f ca="1" t="shared" si="223"/>
        <v>{50005,25}</v>
      </c>
      <c r="AW579" s="23" t="str">
        <f ca="1" t="shared" si="224"/>
        <v/>
      </c>
      <c r="AX579" s="23" t="str">
        <f ca="1" t="shared" si="225"/>
        <v>{2,360}</v>
      </c>
      <c r="AY579" s="23" t="str">
        <f ca="1" t="shared" si="226"/>
        <v>{5204001,5}</v>
      </c>
      <c r="AZ579" s="23" t="str">
        <f ca="1" t="shared" si="214"/>
        <v>{5203001,30}</v>
      </c>
      <c r="BA579" s="23" t="str">
        <f ca="1" t="shared" si="227"/>
        <v>{1,150}</v>
      </c>
      <c r="BB579" s="23" t="s">
        <v>401</v>
      </c>
      <c r="BC579" s="23" t="str">
        <f ca="1" t="shared" si="228"/>
        <v>{5123001,300}</v>
      </c>
      <c r="BD579" s="23" t="str">
        <f ca="1" t="shared" si="207"/>
        <v/>
      </c>
      <c r="BE579" s="23" t="str">
        <f ca="1" t="shared" si="211"/>
        <v>{50039,1}</v>
      </c>
      <c r="BF579" s="23" t="str">
        <f ca="1" t="shared" si="229"/>
        <v>{2,600}</v>
      </c>
      <c r="BI579" s="23" t="str">
        <f ca="1" t="shared" si="230"/>
        <v>[{11,5},{50003,15},{5143001,200},{2,240}]</v>
      </c>
      <c r="BJ579" s="23" t="str">
        <f ca="1" t="shared" si="231"/>
        <v>[{5113001,250},{5523001,200},{50005,25},{2,360},{5204001,5}]</v>
      </c>
      <c r="BK579" s="23" t="str">
        <f ca="1" t="shared" si="232"/>
        <v>[{5203001,30},{1,150},{5523001,300},{5123001,300},{50039,1},{2,600}]</v>
      </c>
      <c r="BL579" s="23">
        <f ca="1" t="shared" si="233"/>
        <v>4</v>
      </c>
      <c r="BM579" s="23">
        <f ca="1" t="shared" si="234"/>
        <v>5</v>
      </c>
      <c r="BN579" s="23">
        <f ca="1" t="shared" si="198"/>
        <v>6</v>
      </c>
      <c r="BP579" s="71" t="s">
        <v>374</v>
      </c>
      <c r="BQ579" s="71">
        <v>150</v>
      </c>
    </row>
    <row r="580" ht="16.5" spans="2:69">
      <c r="B580" s="23">
        <v>260</v>
      </c>
      <c r="C580" s="12" t="inlineStr">
        <is>
          <t>梦愿水晶</t>
        </is>
      </c>
      <c r="D580" s="12">
        <v>1</v>
      </c>
      <c r="E580" s="71"/>
      <c r="F580" s="71"/>
      <c r="G580" s="71" t="str">
        <f t="shared" si="200"/>
        <v>衣服图纸</v>
      </c>
      <c r="H580" s="71">
        <v>15</v>
      </c>
      <c r="I580" s="71" t="str">
        <f t="shared" si="205"/>
        <v>战士特饮</v>
      </c>
      <c r="J580" s="71">
        <v>200</v>
      </c>
      <c r="K580" s="71" t="s">
        <v>96</v>
      </c>
      <c r="L580" s="71">
        <v>240</v>
      </c>
      <c r="M580" s="71" t="str">
        <f t="shared" si="208"/>
        <v>法师特饮</v>
      </c>
      <c r="N580" s="71">
        <f t="shared" si="212"/>
        <v>250</v>
      </c>
      <c r="O580" s="71" t="s">
        <v>316</v>
      </c>
      <c r="P580" s="71">
        <v>200</v>
      </c>
      <c r="Q580" s="71"/>
      <c r="R580" s="71"/>
      <c r="S580" s="72" t="str">
        <f t="shared" si="201"/>
        <v>裤子图纸</v>
      </c>
      <c r="T580" s="71">
        <v>25</v>
      </c>
      <c r="U580" s="71" t="str">
        <f t="shared" si="202"/>
        <v>灵感获取令</v>
      </c>
      <c r="V580" s="71">
        <f t="shared" si="203"/>
        <v>1</v>
      </c>
      <c r="W580" s="71" t="s">
        <v>96</v>
      </c>
      <c r="X580" s="71">
        <f t="shared" si="217"/>
        <v>360</v>
      </c>
      <c r="Y580" s="71"/>
      <c r="Z580" s="71"/>
      <c r="AA580" s="71" t="str">
        <f t="shared" si="209"/>
        <v>传说基因罐</v>
      </c>
      <c r="AB580" s="71">
        <f t="shared" si="213"/>
        <v>3</v>
      </c>
      <c r="AC580" s="71" t="s">
        <v>374</v>
      </c>
      <c r="AD580" s="71">
        <v>150</v>
      </c>
      <c r="AE580" s="72" t="str">
        <f t="shared" si="206"/>
        <v>辅助特饮</v>
      </c>
      <c r="AF580" s="71">
        <v>300</v>
      </c>
      <c r="AG580" s="71"/>
      <c r="AH580" s="71"/>
      <c r="AI580" s="71" t="s">
        <v>390</v>
      </c>
      <c r="AJ580" s="71">
        <v>1</v>
      </c>
      <c r="AK580" s="71" t="s">
        <v>96</v>
      </c>
      <c r="AL580" s="71">
        <f t="shared" si="218"/>
        <v>600</v>
      </c>
      <c r="AN580" s="23" t="str">
        <f ca="1" t="shared" si="204"/>
        <v>{35,1}</v>
      </c>
      <c r="AO580" s="23" t="str">
        <f ca="1" t="shared" si="199"/>
        <v/>
      </c>
      <c r="AP580" s="23" t="str">
        <f ca="1" t="shared" si="219"/>
        <v>{50004,15}</v>
      </c>
      <c r="AQ580" s="23" t="str">
        <f ca="1" t="shared" si="220"/>
        <v>{5113001,200}</v>
      </c>
      <c r="AR580" s="23" t="str">
        <f ca="1" t="shared" si="221"/>
        <v>{2,240}</v>
      </c>
      <c r="AS580" s="23" t="str">
        <f ca="1" t="shared" si="222"/>
        <v>{5123001,250}</v>
      </c>
      <c r="AT580" s="23" t="str">
        <f ca="1" t="shared" si="210"/>
        <v>{5523001,200}</v>
      </c>
      <c r="AU580" s="23" t="str">
        <f ca="1" t="shared" ref="AU580:AU620" si="235">IF(OFFSET($B580,0,AU$320*2+1)="","","{"&amp;VLOOKUP(OFFSET($B580,0,AU$320*2+1),$AN$291:$AO$306,2,0)&amp;","&amp;OFFSET($B580,0,AU$320*2+2)&amp;"}")</f>
        <v/>
      </c>
      <c r="AV580" s="23" t="str">
        <f ca="1" t="shared" si="223"/>
        <v>{50006,25}</v>
      </c>
      <c r="AW580" s="23" t="str">
        <f ca="1" t="shared" si="224"/>
        <v>{9,1}</v>
      </c>
      <c r="AX580" s="23" t="str">
        <f ca="1" t="shared" si="225"/>
        <v>{2,360}</v>
      </c>
      <c r="AY580" s="23" t="str">
        <f ca="1" t="shared" si="226"/>
        <v>{5204001,5}</v>
      </c>
      <c r="AZ580" s="23" t="str">
        <f ca="1" t="shared" si="214"/>
        <v>{5205001,3}</v>
      </c>
      <c r="BA580" s="23" t="str">
        <f ca="1" t="shared" si="227"/>
        <v>{1,150}</v>
      </c>
      <c r="BB580" s="23" t="s">
        <v>401</v>
      </c>
      <c r="BC580" s="23" t="str">
        <f ca="1" t="shared" si="228"/>
        <v>{5143001,300}</v>
      </c>
      <c r="BD580" s="23" t="str">
        <f ca="1" t="shared" si="207"/>
        <v/>
      </c>
      <c r="BE580" s="23" t="str">
        <f ca="1" t="shared" si="211"/>
        <v>{50039,1}</v>
      </c>
      <c r="BF580" s="23" t="str">
        <f ca="1" t="shared" si="229"/>
        <v>{2,600}</v>
      </c>
      <c r="BI580" s="23" t="str">
        <f ca="1" t="shared" si="230"/>
        <v>[{35,1},{50004,15},{5113001,200},{2,240}]</v>
      </c>
      <c r="BJ580" s="23" t="str">
        <f ca="1" t="shared" si="231"/>
        <v>[{5123001,250},{5523001,200},{50006,25},{9,1},{2,360},{5204001,5}]</v>
      </c>
      <c r="BK580" s="23" t="str">
        <f ca="1" t="shared" si="232"/>
        <v>[{5205001,3},{1,150},{5523001,300},{5143001,300},{50039,1},{2,600}]</v>
      </c>
      <c r="BL580" s="23">
        <f ca="1" t="shared" si="233"/>
        <v>4</v>
      </c>
      <c r="BM580" s="23">
        <f ca="1" t="shared" si="234"/>
        <v>6</v>
      </c>
      <c r="BN580" s="23">
        <f ca="1" t="shared" ref="BN580:BN620" si="236">7-COUNTBLANK(AZ580:BF580)</f>
        <v>6</v>
      </c>
      <c r="BP580" s="71" t="s">
        <v>374</v>
      </c>
      <c r="BQ580" s="71">
        <v>150</v>
      </c>
    </row>
    <row r="581" ht="16.5" spans="2:69">
      <c r="B581" s="23">
        <v>261</v>
      </c>
      <c r="C581" s="12"/>
      <c r="D581" s="12"/>
      <c r="E581" s="71"/>
      <c r="F581" s="71"/>
      <c r="G581" s="71" t="str">
        <f t="shared" si="200"/>
        <v>护臂图纸</v>
      </c>
      <c r="H581" s="71">
        <v>15</v>
      </c>
      <c r="I581" s="71" t="str">
        <f t="shared" si="205"/>
        <v>毒系特饮</v>
      </c>
      <c r="J581" s="71">
        <v>200</v>
      </c>
      <c r="K581" s="71" t="s">
        <v>96</v>
      </c>
      <c r="L581" s="71">
        <v>240</v>
      </c>
      <c r="M581" s="71" t="str">
        <f t="shared" si="208"/>
        <v>辅助特饮</v>
      </c>
      <c r="N581" s="71">
        <f t="shared" si="212"/>
        <v>250</v>
      </c>
      <c r="O581" s="71" t="s">
        <v>316</v>
      </c>
      <c r="P581" s="71">
        <v>200</v>
      </c>
      <c r="Q581" s="71"/>
      <c r="R581" s="71"/>
      <c r="S581" s="72" t="str">
        <f t="shared" si="201"/>
        <v>鞋子图纸</v>
      </c>
      <c r="T581" s="71">
        <v>25</v>
      </c>
      <c r="U581" s="71" t="str">
        <f t="shared" si="202"/>
        <v/>
      </c>
      <c r="V581" s="71">
        <f t="shared" si="203"/>
        <v>0</v>
      </c>
      <c r="W581" s="71" t="s">
        <v>96</v>
      </c>
      <c r="X581" s="71">
        <f t="shared" si="217"/>
        <v>360</v>
      </c>
      <c r="Y581" s="71"/>
      <c r="Z581" s="71"/>
      <c r="AA581" s="71" t="str">
        <f t="shared" si="209"/>
        <v>基因罐</v>
      </c>
      <c r="AB581" s="71">
        <f t="shared" si="213"/>
        <v>30</v>
      </c>
      <c r="AC581" s="71" t="s">
        <v>374</v>
      </c>
      <c r="AD581" s="71">
        <v>150</v>
      </c>
      <c r="AE581" s="72" t="str">
        <f t="shared" si="206"/>
        <v>毒系特饮</v>
      </c>
      <c r="AF581" s="71">
        <v>300</v>
      </c>
      <c r="AG581" s="71"/>
      <c r="AH581" s="71"/>
      <c r="AI581" s="71" t="s">
        <v>390</v>
      </c>
      <c r="AJ581" s="71">
        <v>1</v>
      </c>
      <c r="AK581" s="71" t="s">
        <v>96</v>
      </c>
      <c r="AL581" s="71">
        <f t="shared" si="218"/>
        <v>600</v>
      </c>
      <c r="AN581" s="23" t="str">
        <f ca="1" t="shared" si="204"/>
        <v>{11,5}</v>
      </c>
      <c r="AO581" s="23" t="str">
        <f ca="1" t="shared" si="199"/>
        <v/>
      </c>
      <c r="AP581" s="23" t="str">
        <f ca="1" t="shared" si="219"/>
        <v>{50005,15}</v>
      </c>
      <c r="AQ581" s="23" t="str">
        <f ca="1" t="shared" si="220"/>
        <v>{5163001,200}</v>
      </c>
      <c r="AR581" s="23" t="str">
        <f ca="1" t="shared" si="221"/>
        <v>{2,240}</v>
      </c>
      <c r="AS581" s="23" t="str">
        <f ca="1" t="shared" si="222"/>
        <v>{5143001,250}</v>
      </c>
      <c r="AT581" s="23" t="str">
        <f ca="1" t="shared" si="210"/>
        <v>{5523001,200}</v>
      </c>
      <c r="AU581" s="23" t="str">
        <f ca="1" t="shared" si="235"/>
        <v/>
      </c>
      <c r="AV581" s="23" t="str">
        <f ca="1" t="shared" si="223"/>
        <v>{50007,25}</v>
      </c>
      <c r="AW581" s="23" t="str">
        <f ca="1" t="shared" si="224"/>
        <v/>
      </c>
      <c r="AX581" s="23" t="str">
        <f ca="1" t="shared" si="225"/>
        <v>{2,360}</v>
      </c>
      <c r="AY581" s="23" t="str">
        <f ca="1" t="shared" si="226"/>
        <v>{5204001,5}</v>
      </c>
      <c r="AZ581" s="23" t="str">
        <f ca="1" t="shared" si="214"/>
        <v>{5203001,30}</v>
      </c>
      <c r="BA581" s="23" t="str">
        <f ca="1" t="shared" si="227"/>
        <v>{1,150}</v>
      </c>
      <c r="BB581" s="23" t="s">
        <v>401</v>
      </c>
      <c r="BC581" s="23" t="str">
        <f ca="1" t="shared" si="228"/>
        <v>{5163001,300}</v>
      </c>
      <c r="BD581" s="23" t="str">
        <f ca="1" t="shared" si="207"/>
        <v/>
      </c>
      <c r="BE581" s="23" t="str">
        <f ca="1" t="shared" si="211"/>
        <v>{50039,1}</v>
      </c>
      <c r="BF581" s="23" t="str">
        <f ca="1" t="shared" si="229"/>
        <v>{2,600}</v>
      </c>
      <c r="BI581" s="23" t="str">
        <f ca="1" t="shared" si="230"/>
        <v>[{11,5},{50005,15},{5163001,200},{2,240}]</v>
      </c>
      <c r="BJ581" s="23" t="str">
        <f ca="1" t="shared" si="231"/>
        <v>[{5143001,250},{5523001,200},{50007,25},{2,360},{5204001,5}]</v>
      </c>
      <c r="BK581" s="23" t="str">
        <f ca="1" t="shared" si="232"/>
        <v>[{5203001,30},{1,150},{5523001,300},{5163001,300},{50039,1},{2,600}]</v>
      </c>
      <c r="BL581" s="23">
        <f ca="1" t="shared" si="233"/>
        <v>4</v>
      </c>
      <c r="BM581" s="23">
        <f ca="1" t="shared" si="234"/>
        <v>5</v>
      </c>
      <c r="BN581" s="23">
        <f ca="1" t="shared" si="236"/>
        <v>6</v>
      </c>
      <c r="BP581" s="71" t="s">
        <v>374</v>
      </c>
      <c r="BQ581" s="71">
        <v>150</v>
      </c>
    </row>
    <row r="582" ht="16.5" spans="2:69">
      <c r="B582" s="23">
        <v>262</v>
      </c>
      <c r="C582" s="12"/>
      <c r="D582" s="12"/>
      <c r="E582" s="71"/>
      <c r="F582" s="71"/>
      <c r="G582" s="71" t="str">
        <f t="shared" si="200"/>
        <v>裤子图纸</v>
      </c>
      <c r="H582" s="71">
        <v>15</v>
      </c>
      <c r="I582" s="71" t="str">
        <f t="shared" si="205"/>
        <v>控制特饮</v>
      </c>
      <c r="J582" s="71">
        <v>200</v>
      </c>
      <c r="K582" s="71" t="s">
        <v>96</v>
      </c>
      <c r="L582" s="71">
        <v>240</v>
      </c>
      <c r="M582" s="71" t="str">
        <f t="shared" si="208"/>
        <v>射手特饮</v>
      </c>
      <c r="N582" s="71">
        <f t="shared" si="212"/>
        <v>250</v>
      </c>
      <c r="O582" s="71" t="s">
        <v>316</v>
      </c>
      <c r="P582" s="71">
        <v>200</v>
      </c>
      <c r="Q582" s="71"/>
      <c r="R582" s="71"/>
      <c r="S582" s="72" t="str">
        <f t="shared" si="201"/>
        <v>手套图纸</v>
      </c>
      <c r="T582" s="71">
        <v>25</v>
      </c>
      <c r="U582" s="71" t="str">
        <f t="shared" si="202"/>
        <v/>
      </c>
      <c r="V582" s="71">
        <f t="shared" si="203"/>
        <v>0</v>
      </c>
      <c r="W582" s="71" t="s">
        <v>96</v>
      </c>
      <c r="X582" s="71">
        <f t="shared" si="217"/>
        <v>360</v>
      </c>
      <c r="Y582" s="71"/>
      <c r="Z582" s="71"/>
      <c r="AA582" s="71" t="str">
        <f t="shared" si="209"/>
        <v>基因罐</v>
      </c>
      <c r="AB582" s="71">
        <f t="shared" si="213"/>
        <v>30</v>
      </c>
      <c r="AC582" s="71" t="s">
        <v>374</v>
      </c>
      <c r="AD582" s="71">
        <v>150</v>
      </c>
      <c r="AE582" s="72" t="str">
        <f t="shared" si="206"/>
        <v>控制特饮</v>
      </c>
      <c r="AF582" s="71">
        <v>300</v>
      </c>
      <c r="AG582" s="71"/>
      <c r="AH582" s="71"/>
      <c r="AI582" s="71" t="s">
        <v>390</v>
      </c>
      <c r="AJ582" s="71">
        <v>1</v>
      </c>
      <c r="AK582" s="71" t="s">
        <v>96</v>
      </c>
      <c r="AL582" s="71">
        <f t="shared" si="218"/>
        <v>600</v>
      </c>
      <c r="AN582" s="23" t="str">
        <f ca="1" t="shared" si="204"/>
        <v>{11,5}</v>
      </c>
      <c r="AO582" s="23" t="str">
        <f ca="1" t="shared" ref="AO582:AO620" si="237">IF(OFFSET($B582,0,AO$320*2+1)="","","{"&amp;VLOOKUP(OFFSET($B582,0,AO$320*2+1),$AN$291:$AO$297,2,0)&amp;","&amp;OFFSET($B582,0,AO$320*2+2)&amp;"}")</f>
        <v/>
      </c>
      <c r="AP582" s="23" t="str">
        <f ca="1" t="shared" si="219"/>
        <v>{50006,15}</v>
      </c>
      <c r="AQ582" s="23" t="str">
        <f ca="1" t="shared" si="220"/>
        <v>{5153001,200}</v>
      </c>
      <c r="AR582" s="23" t="str">
        <f ca="1" t="shared" si="221"/>
        <v>{2,240}</v>
      </c>
      <c r="AS582" s="23" t="str">
        <f ca="1" t="shared" si="222"/>
        <v>{5133001,250}</v>
      </c>
      <c r="AT582" s="23" t="str">
        <f ca="1" t="shared" si="210"/>
        <v>{5523001,200}</v>
      </c>
      <c r="AU582" s="23" t="str">
        <f ca="1" t="shared" si="235"/>
        <v/>
      </c>
      <c r="AV582" s="23" t="str">
        <f ca="1" t="shared" si="223"/>
        <v>{50008,25}</v>
      </c>
      <c r="AW582" s="23" t="str">
        <f ca="1" t="shared" si="224"/>
        <v/>
      </c>
      <c r="AX582" s="23" t="str">
        <f ca="1" t="shared" si="225"/>
        <v>{2,360}</v>
      </c>
      <c r="AY582" s="23" t="str">
        <f ca="1" t="shared" si="226"/>
        <v>{5204001,5}</v>
      </c>
      <c r="AZ582" s="23" t="str">
        <f ca="1" t="shared" si="214"/>
        <v>{5203001,30}</v>
      </c>
      <c r="BA582" s="23" t="str">
        <f ca="1" t="shared" si="227"/>
        <v>{1,150}</v>
      </c>
      <c r="BB582" s="23" t="s">
        <v>401</v>
      </c>
      <c r="BC582" s="23" t="str">
        <f ca="1" t="shared" si="228"/>
        <v>{5153001,300}</v>
      </c>
      <c r="BD582" s="23" t="str">
        <f ca="1" t="shared" si="207"/>
        <v/>
      </c>
      <c r="BE582" s="23" t="str">
        <f ca="1" t="shared" si="211"/>
        <v>{50039,1}</v>
      </c>
      <c r="BF582" s="23" t="str">
        <f ca="1" t="shared" si="229"/>
        <v>{2,600}</v>
      </c>
      <c r="BI582" s="23" t="str">
        <f ca="1" t="shared" si="230"/>
        <v>[{11,5},{50006,15},{5153001,200},{2,240}]</v>
      </c>
      <c r="BJ582" s="23" t="str">
        <f ca="1" t="shared" si="231"/>
        <v>[{5133001,250},{5523001,200},{50008,25},{2,360},{5204001,5}]</v>
      </c>
      <c r="BK582" s="23" t="str">
        <f ca="1" t="shared" si="232"/>
        <v>[{5203001,30},{1,150},{5523001,300},{5153001,300},{50039,1},{2,600}]</v>
      </c>
      <c r="BL582" s="23">
        <f ca="1" t="shared" si="233"/>
        <v>4</v>
      </c>
      <c r="BM582" s="23">
        <f ca="1" t="shared" si="234"/>
        <v>5</v>
      </c>
      <c r="BN582" s="23">
        <f ca="1" t="shared" si="236"/>
        <v>6</v>
      </c>
      <c r="BP582" s="71" t="s">
        <v>374</v>
      </c>
      <c r="BQ582" s="71">
        <v>150</v>
      </c>
    </row>
    <row r="583" ht="16.5" spans="2:69">
      <c r="B583" s="23">
        <v>263</v>
      </c>
      <c r="C583" s="12"/>
      <c r="D583" s="12"/>
      <c r="E583" s="71"/>
      <c r="F583" s="71"/>
      <c r="G583" s="71" t="str">
        <f t="shared" ref="G583:G620" si="238">G577</f>
        <v>鞋子图纸</v>
      </c>
      <c r="H583" s="71">
        <v>15</v>
      </c>
      <c r="I583" s="71" t="str">
        <f t="shared" si="205"/>
        <v>射手特饮</v>
      </c>
      <c r="J583" s="71">
        <v>200</v>
      </c>
      <c r="K583" s="71" t="s">
        <v>96</v>
      </c>
      <c r="L583" s="71">
        <v>240</v>
      </c>
      <c r="M583" s="71" t="str">
        <f t="shared" si="208"/>
        <v>毒系特饮</v>
      </c>
      <c r="N583" s="71">
        <f t="shared" si="212"/>
        <v>250</v>
      </c>
      <c r="O583" s="71" t="s">
        <v>316</v>
      </c>
      <c r="P583" s="71">
        <v>200</v>
      </c>
      <c r="Q583" s="71"/>
      <c r="R583" s="71"/>
      <c r="S583" s="72" t="str">
        <f t="shared" ref="S583:S620" si="239">S577</f>
        <v>头盔图纸</v>
      </c>
      <c r="T583" s="71">
        <v>25</v>
      </c>
      <c r="U583" s="71" t="str">
        <f t="shared" si="202"/>
        <v/>
      </c>
      <c r="V583" s="71">
        <f t="shared" si="203"/>
        <v>0</v>
      </c>
      <c r="W583" s="71" t="s">
        <v>96</v>
      </c>
      <c r="X583" s="71">
        <f t="shared" si="217"/>
        <v>360</v>
      </c>
      <c r="Y583" s="71"/>
      <c r="Z583" s="71"/>
      <c r="AA583" s="71" t="str">
        <f t="shared" si="209"/>
        <v>基因罐</v>
      </c>
      <c r="AB583" s="71">
        <f t="shared" si="213"/>
        <v>30</v>
      </c>
      <c r="AC583" s="71" t="s">
        <v>374</v>
      </c>
      <c r="AD583" s="71">
        <v>150</v>
      </c>
      <c r="AE583" s="72" t="str">
        <f t="shared" si="206"/>
        <v>射手特饮</v>
      </c>
      <c r="AF583" s="71">
        <v>300</v>
      </c>
      <c r="AG583" s="71"/>
      <c r="AH583" s="71"/>
      <c r="AI583" s="71" t="s">
        <v>390</v>
      </c>
      <c r="AJ583" s="71">
        <v>1</v>
      </c>
      <c r="AK583" s="71" t="s">
        <v>96</v>
      </c>
      <c r="AL583" s="71">
        <f t="shared" si="218"/>
        <v>600</v>
      </c>
      <c r="AN583" s="23" t="str">
        <f ca="1" t="shared" si="204"/>
        <v>{11,5}</v>
      </c>
      <c r="AO583" s="23" t="str">
        <f ca="1" t="shared" si="237"/>
        <v/>
      </c>
      <c r="AP583" s="23" t="str">
        <f ca="1" t="shared" si="219"/>
        <v>{50007,15}</v>
      </c>
      <c r="AQ583" s="23" t="str">
        <f ca="1" t="shared" si="220"/>
        <v>{5133001,200}</v>
      </c>
      <c r="AR583" s="23" t="str">
        <f ca="1" t="shared" si="221"/>
        <v>{2,240}</v>
      </c>
      <c r="AS583" s="23" t="str">
        <f ca="1" t="shared" si="222"/>
        <v>{5163001,250}</v>
      </c>
      <c r="AT583" s="23" t="str">
        <f ca="1" t="shared" si="210"/>
        <v>{5523001,200}</v>
      </c>
      <c r="AU583" s="23" t="str">
        <f ca="1" t="shared" si="235"/>
        <v/>
      </c>
      <c r="AV583" s="23" t="str">
        <f ca="1" t="shared" si="223"/>
        <v>{50003,25}</v>
      </c>
      <c r="AW583" s="23" t="str">
        <f ca="1" t="shared" si="224"/>
        <v/>
      </c>
      <c r="AX583" s="23" t="str">
        <f ca="1" t="shared" si="225"/>
        <v>{2,360}</v>
      </c>
      <c r="AY583" s="23" t="str">
        <f ca="1" t="shared" si="226"/>
        <v>{5204001,5}</v>
      </c>
      <c r="AZ583" s="23" t="str">
        <f ca="1" t="shared" si="214"/>
        <v>{5203001,30}</v>
      </c>
      <c r="BA583" s="23" t="str">
        <f ca="1" t="shared" si="227"/>
        <v>{1,150}</v>
      </c>
      <c r="BB583" s="23" t="s">
        <v>401</v>
      </c>
      <c r="BC583" s="23" t="str">
        <f ca="1" t="shared" si="228"/>
        <v>{5133001,300}</v>
      </c>
      <c r="BD583" s="23" t="str">
        <f ca="1" t="shared" si="207"/>
        <v/>
      </c>
      <c r="BE583" s="23" t="str">
        <f ca="1" t="shared" si="211"/>
        <v>{50039,1}</v>
      </c>
      <c r="BF583" s="23" t="str">
        <f ca="1" t="shared" si="229"/>
        <v>{2,600}</v>
      </c>
      <c r="BI583" s="23" t="str">
        <f ca="1" t="shared" si="230"/>
        <v>[{11,5},{50007,15},{5133001,200},{2,240}]</v>
      </c>
      <c r="BJ583" s="23" t="str">
        <f ca="1" t="shared" si="231"/>
        <v>[{5163001,250},{5523001,200},{50003,25},{2,360},{5204001,5}]</v>
      </c>
      <c r="BK583" s="23" t="str">
        <f ca="1" t="shared" si="232"/>
        <v>[{5203001,30},{1,150},{5523001,300},{5133001,300},{50039,1},{2,600}]</v>
      </c>
      <c r="BL583" s="23">
        <f ca="1" t="shared" si="233"/>
        <v>4</v>
      </c>
      <c r="BM583" s="23">
        <f ca="1" t="shared" si="234"/>
        <v>5</v>
      </c>
      <c r="BN583" s="23">
        <f ca="1" t="shared" si="236"/>
        <v>6</v>
      </c>
      <c r="BP583" s="71" t="s">
        <v>374</v>
      </c>
      <c r="BQ583" s="71">
        <v>150</v>
      </c>
    </row>
    <row r="584" ht="16.5" spans="2:69">
      <c r="B584" s="23">
        <v>264</v>
      </c>
      <c r="C584" s="12"/>
      <c r="D584" s="12"/>
      <c r="E584" s="71"/>
      <c r="F584" s="71"/>
      <c r="G584" s="71" t="str">
        <f t="shared" si="238"/>
        <v>手套图纸</v>
      </c>
      <c r="H584" s="71">
        <v>15</v>
      </c>
      <c r="I584" s="71" t="str">
        <f t="shared" si="205"/>
        <v>法师特饮</v>
      </c>
      <c r="J584" s="71">
        <v>200</v>
      </c>
      <c r="K584" s="71" t="s">
        <v>96</v>
      </c>
      <c r="L584" s="71">
        <v>240</v>
      </c>
      <c r="M584" s="71" t="str">
        <f t="shared" si="208"/>
        <v>控制特饮</v>
      </c>
      <c r="N584" s="71">
        <f t="shared" si="212"/>
        <v>250</v>
      </c>
      <c r="O584" s="71" t="s">
        <v>316</v>
      </c>
      <c r="P584" s="71">
        <v>200</v>
      </c>
      <c r="Q584" s="71"/>
      <c r="R584" s="71"/>
      <c r="S584" s="72" t="str">
        <f t="shared" si="239"/>
        <v>衣服图纸</v>
      </c>
      <c r="T584" s="71">
        <v>25</v>
      </c>
      <c r="U584" s="71" t="str">
        <f t="shared" si="202"/>
        <v/>
      </c>
      <c r="V584" s="71">
        <f t="shared" si="203"/>
        <v>0</v>
      </c>
      <c r="W584" s="71" t="s">
        <v>96</v>
      </c>
      <c r="X584" s="71">
        <f t="shared" si="217"/>
        <v>360</v>
      </c>
      <c r="Y584" s="71"/>
      <c r="Z584" s="71"/>
      <c r="AA584" s="71" t="str">
        <f t="shared" si="209"/>
        <v>基因罐</v>
      </c>
      <c r="AB584" s="71">
        <f t="shared" si="213"/>
        <v>30</v>
      </c>
      <c r="AC584" s="71" t="s">
        <v>374</v>
      </c>
      <c r="AD584" s="71">
        <v>150</v>
      </c>
      <c r="AE584" s="72" t="str">
        <f t="shared" si="206"/>
        <v>战士特饮</v>
      </c>
      <c r="AF584" s="71">
        <v>300</v>
      </c>
      <c r="AG584" s="71"/>
      <c r="AH584" s="71"/>
      <c r="AI584" s="71" t="s">
        <v>390</v>
      </c>
      <c r="AJ584" s="71">
        <v>1</v>
      </c>
      <c r="AK584" s="71" t="s">
        <v>96</v>
      </c>
      <c r="AL584" s="71">
        <f t="shared" si="218"/>
        <v>600</v>
      </c>
      <c r="AN584" s="23" t="str">
        <f ca="1" t="shared" si="204"/>
        <v>{11,5}</v>
      </c>
      <c r="AO584" s="23" t="str">
        <f ca="1" t="shared" si="237"/>
        <v/>
      </c>
      <c r="AP584" s="23" t="str">
        <f ca="1" t="shared" si="219"/>
        <v>{50008,15}</v>
      </c>
      <c r="AQ584" s="23" t="str">
        <f ca="1" t="shared" si="220"/>
        <v>{5123001,200}</v>
      </c>
      <c r="AR584" s="23" t="str">
        <f ca="1" t="shared" si="221"/>
        <v>{2,240}</v>
      </c>
      <c r="AS584" s="23" t="str">
        <f ca="1" t="shared" si="222"/>
        <v>{5153001,250}</v>
      </c>
      <c r="AT584" s="23" t="str">
        <f ca="1" t="shared" si="210"/>
        <v>{5523001,200}</v>
      </c>
      <c r="AU584" s="23" t="str">
        <f ca="1" t="shared" si="235"/>
        <v/>
      </c>
      <c r="AV584" s="23" t="str">
        <f ca="1" t="shared" si="223"/>
        <v>{50004,25}</v>
      </c>
      <c r="AW584" s="23" t="str">
        <f ca="1" t="shared" si="224"/>
        <v/>
      </c>
      <c r="AX584" s="23" t="str">
        <f ca="1" t="shared" si="225"/>
        <v>{2,360}</v>
      </c>
      <c r="AY584" s="23" t="str">
        <f ca="1" t="shared" si="226"/>
        <v>{5204001,5}</v>
      </c>
      <c r="AZ584" s="23" t="str">
        <f ca="1" t="shared" si="214"/>
        <v>{5203001,30}</v>
      </c>
      <c r="BA584" s="23" t="str">
        <f ca="1" t="shared" si="227"/>
        <v>{1,150}</v>
      </c>
      <c r="BB584" s="23" t="s">
        <v>401</v>
      </c>
      <c r="BC584" s="23" t="str">
        <f ca="1" t="shared" si="228"/>
        <v>{5113001,300}</v>
      </c>
      <c r="BD584" s="23" t="str">
        <f ca="1" t="shared" si="207"/>
        <v/>
      </c>
      <c r="BE584" s="23" t="str">
        <f ca="1" t="shared" si="211"/>
        <v>{50039,1}</v>
      </c>
      <c r="BF584" s="23" t="str">
        <f ca="1" t="shared" si="229"/>
        <v>{2,600}</v>
      </c>
      <c r="BI584" s="23" t="str">
        <f ca="1" t="shared" si="230"/>
        <v>[{11,5},{50008,15},{5123001,200},{2,240}]</v>
      </c>
      <c r="BJ584" s="23" t="str">
        <f ca="1" t="shared" si="231"/>
        <v>[{5153001,250},{5523001,200},{50004,25},{2,360},{5204001,5}]</v>
      </c>
      <c r="BK584" s="23" t="str">
        <f ca="1" t="shared" si="232"/>
        <v>[{5203001,30},{1,150},{5523001,300},{5113001,300},{50039,1},{2,600}]</v>
      </c>
      <c r="BL584" s="23">
        <f ca="1" t="shared" si="233"/>
        <v>4</v>
      </c>
      <c r="BM584" s="23">
        <f ca="1" t="shared" si="234"/>
        <v>5</v>
      </c>
      <c r="BN584" s="23">
        <f ca="1" t="shared" si="236"/>
        <v>6</v>
      </c>
      <c r="BP584" s="71" t="s">
        <v>374</v>
      </c>
      <c r="BQ584" s="71">
        <v>150</v>
      </c>
    </row>
    <row r="585" ht="16.5" spans="2:69">
      <c r="B585" s="23">
        <v>265</v>
      </c>
      <c r="C585" s="12" t="inlineStr">
        <is>
          <t>梦愿水晶</t>
        </is>
      </c>
      <c r="D585" s="12">
        <v>1</v>
      </c>
      <c r="E585" s="71"/>
      <c r="F585" s="71"/>
      <c r="G585" s="71" t="str">
        <f t="shared" si="238"/>
        <v>头盔图纸</v>
      </c>
      <c r="H585" s="71">
        <v>15</v>
      </c>
      <c r="I585" s="71" t="str">
        <f t="shared" si="205"/>
        <v>辅助特饮</v>
      </c>
      <c r="J585" s="71">
        <v>200</v>
      </c>
      <c r="K585" s="71" t="s">
        <v>96</v>
      </c>
      <c r="L585" s="71">
        <v>240</v>
      </c>
      <c r="M585" s="71" t="str">
        <f t="shared" si="208"/>
        <v>战士特饮</v>
      </c>
      <c r="N585" s="71">
        <f t="shared" si="212"/>
        <v>250</v>
      </c>
      <c r="O585" s="71" t="s">
        <v>316</v>
      </c>
      <c r="P585" s="71">
        <v>200</v>
      </c>
      <c r="Q585" s="71"/>
      <c r="R585" s="71"/>
      <c r="S585" s="72" t="str">
        <f t="shared" si="239"/>
        <v>护臂图纸</v>
      </c>
      <c r="T585" s="71">
        <v>25</v>
      </c>
      <c r="U585" s="71" t="str">
        <f t="shared" si="202"/>
        <v>灵感获取令</v>
      </c>
      <c r="V585" s="71">
        <f t="shared" si="203"/>
        <v>1</v>
      </c>
      <c r="W585" s="71" t="s">
        <v>96</v>
      </c>
      <c r="X585" s="71">
        <f t="shared" si="217"/>
        <v>360</v>
      </c>
      <c r="Y585" s="71"/>
      <c r="Z585" s="71"/>
      <c r="AA585" s="71" t="str">
        <f t="shared" si="209"/>
        <v>传说基因罐</v>
      </c>
      <c r="AB585" s="71">
        <f t="shared" si="213"/>
        <v>3</v>
      </c>
      <c r="AC585" s="71" t="s">
        <v>374</v>
      </c>
      <c r="AD585" s="71">
        <v>150</v>
      </c>
      <c r="AE585" s="72" t="str">
        <f t="shared" si="206"/>
        <v>法师特饮</v>
      </c>
      <c r="AF585" s="71">
        <v>300</v>
      </c>
      <c r="AG585" s="71"/>
      <c r="AH585" s="71"/>
      <c r="AI585" s="71" t="s">
        <v>390</v>
      </c>
      <c r="AJ585" s="71">
        <v>1</v>
      </c>
      <c r="AK585" s="71" t="s">
        <v>96</v>
      </c>
      <c r="AL585" s="71">
        <f t="shared" si="218"/>
        <v>600</v>
      </c>
      <c r="AN585" s="23" t="str">
        <f ca="1" t="shared" si="204"/>
        <v>{35,1}</v>
      </c>
      <c r="AO585" s="23" t="str">
        <f ca="1" t="shared" si="237"/>
        <v/>
      </c>
      <c r="AP585" s="23" t="str">
        <f ca="1" t="shared" si="219"/>
        <v>{50003,15}</v>
      </c>
      <c r="AQ585" s="23" t="str">
        <f ca="1" t="shared" si="220"/>
        <v>{5143001,200}</v>
      </c>
      <c r="AR585" s="23" t="str">
        <f ca="1" t="shared" si="221"/>
        <v>{2,240}</v>
      </c>
      <c r="AS585" s="23" t="str">
        <f ca="1" t="shared" si="222"/>
        <v>{5113001,250}</v>
      </c>
      <c r="AT585" s="23" t="str">
        <f ca="1" t="shared" si="210"/>
        <v>{5523001,200}</v>
      </c>
      <c r="AU585" s="23" t="str">
        <f ca="1" t="shared" si="235"/>
        <v/>
      </c>
      <c r="AV585" s="23" t="str">
        <f ca="1" t="shared" si="223"/>
        <v>{50005,25}</v>
      </c>
      <c r="AW585" s="23" t="str">
        <f ca="1" t="shared" si="224"/>
        <v>{9,1}</v>
      </c>
      <c r="AX585" s="23" t="str">
        <f ca="1" t="shared" si="225"/>
        <v>{2,360}</v>
      </c>
      <c r="AY585" s="23" t="str">
        <f ca="1" t="shared" si="226"/>
        <v>{5204001,5}</v>
      </c>
      <c r="AZ585" s="23" t="str">
        <f ca="1" t="shared" si="214"/>
        <v>{5205001,3}</v>
      </c>
      <c r="BA585" s="23" t="str">
        <f ca="1" t="shared" si="227"/>
        <v>{1,150}</v>
      </c>
      <c r="BB585" s="23" t="s">
        <v>401</v>
      </c>
      <c r="BC585" s="23" t="str">
        <f ca="1" t="shared" si="228"/>
        <v>{5123001,300}</v>
      </c>
      <c r="BD585" s="23" t="str">
        <f ca="1" t="shared" si="207"/>
        <v/>
      </c>
      <c r="BE585" s="23" t="str">
        <f ca="1" t="shared" si="211"/>
        <v>{50039,1}</v>
      </c>
      <c r="BF585" s="23" t="str">
        <f ca="1" t="shared" si="229"/>
        <v>{2,600}</v>
      </c>
      <c r="BI585" s="23" t="str">
        <f ca="1" t="shared" si="230"/>
        <v>[{35,1},{50003,15},{5143001,200},{2,240}]</v>
      </c>
      <c r="BJ585" s="23" t="str">
        <f ca="1" t="shared" si="231"/>
        <v>[{5113001,250},{5523001,200},{50005,25},{9,1},{2,360},{5204001,5}]</v>
      </c>
      <c r="BK585" s="23" t="str">
        <f ca="1" t="shared" si="232"/>
        <v>[{5205001,3},{1,150},{5523001,300},{5123001,300},{50039,1},{2,600}]</v>
      </c>
      <c r="BL585" s="23">
        <f ca="1" t="shared" si="233"/>
        <v>4</v>
      </c>
      <c r="BM585" s="23">
        <f ca="1" t="shared" si="234"/>
        <v>6</v>
      </c>
      <c r="BN585" s="23">
        <f ca="1" t="shared" si="236"/>
        <v>6</v>
      </c>
      <c r="BP585" s="71" t="s">
        <v>374</v>
      </c>
      <c r="BQ585" s="71">
        <v>150</v>
      </c>
    </row>
    <row r="586" ht="16.5" spans="2:69">
      <c r="B586" s="23">
        <v>266</v>
      </c>
      <c r="C586" s="12"/>
      <c r="D586" s="12"/>
      <c r="E586" s="71"/>
      <c r="F586" s="71"/>
      <c r="G586" s="71" t="str">
        <f t="shared" si="238"/>
        <v>衣服图纸</v>
      </c>
      <c r="H586" s="71">
        <v>15</v>
      </c>
      <c r="I586" s="71" t="str">
        <f t="shared" si="205"/>
        <v>战士特饮</v>
      </c>
      <c r="J586" s="71">
        <v>200</v>
      </c>
      <c r="K586" s="71" t="s">
        <v>96</v>
      </c>
      <c r="L586" s="71">
        <v>240</v>
      </c>
      <c r="M586" s="71" t="str">
        <f t="shared" si="208"/>
        <v>法师特饮</v>
      </c>
      <c r="N586" s="71">
        <f t="shared" si="212"/>
        <v>250</v>
      </c>
      <c r="O586" s="71" t="s">
        <v>316</v>
      </c>
      <c r="P586" s="71">
        <v>200</v>
      </c>
      <c r="Q586" s="71"/>
      <c r="R586" s="71"/>
      <c r="S586" s="72" t="str">
        <f t="shared" si="239"/>
        <v>裤子图纸</v>
      </c>
      <c r="T586" s="71">
        <v>25</v>
      </c>
      <c r="U586" s="71" t="str">
        <f t="shared" ref="U586:U620" si="240">IF(U581="","",U581)</f>
        <v/>
      </c>
      <c r="V586" s="71">
        <f t="shared" ref="V586:V620" si="241">IF(V581="","",V581)</f>
        <v>0</v>
      </c>
      <c r="W586" s="71" t="s">
        <v>96</v>
      </c>
      <c r="X586" s="71">
        <f t="shared" si="217"/>
        <v>360</v>
      </c>
      <c r="Y586" s="71"/>
      <c r="Z586" s="71"/>
      <c r="AA586" s="71" t="str">
        <f t="shared" si="209"/>
        <v>基因罐</v>
      </c>
      <c r="AB586" s="71">
        <f t="shared" si="213"/>
        <v>30</v>
      </c>
      <c r="AC586" s="71" t="s">
        <v>374</v>
      </c>
      <c r="AD586" s="71">
        <v>150</v>
      </c>
      <c r="AE586" s="72" t="str">
        <f t="shared" si="206"/>
        <v>辅助特饮</v>
      </c>
      <c r="AF586" s="71">
        <v>300</v>
      </c>
      <c r="AG586" s="71"/>
      <c r="AH586" s="71"/>
      <c r="AI586" s="71" t="s">
        <v>390</v>
      </c>
      <c r="AJ586" s="71">
        <v>1</v>
      </c>
      <c r="AK586" s="71" t="s">
        <v>96</v>
      </c>
      <c r="AL586" s="71">
        <f t="shared" si="218"/>
        <v>600</v>
      </c>
      <c r="AN586" s="23" t="str">
        <f ca="1" t="shared" ref="AN586:AN620" si="242">IF(OFFSET($B586,0,AN$320*2+1)="","","{"&amp;VLOOKUP(OFFSET($B586,0,AN$320*2+1),$AN$291:$AO$316,2,0)&amp;","&amp;OFFSET($B586,0,AN$320*2+2)&amp;"}")</f>
        <v>{11,5}</v>
      </c>
      <c r="AO586" s="23" t="str">
        <f ca="1" t="shared" si="237"/>
        <v/>
      </c>
      <c r="AP586" s="23" t="str">
        <f ca="1" t="shared" si="219"/>
        <v>{50004,15}</v>
      </c>
      <c r="AQ586" s="23" t="str">
        <f ca="1" t="shared" si="220"/>
        <v>{5113001,200}</v>
      </c>
      <c r="AR586" s="23" t="str">
        <f ca="1" t="shared" si="221"/>
        <v>{2,240}</v>
      </c>
      <c r="AS586" s="23" t="str">
        <f ca="1" t="shared" si="222"/>
        <v>{5123001,250}</v>
      </c>
      <c r="AT586" s="23" t="str">
        <f ca="1" t="shared" si="210"/>
        <v>{5523001,200}</v>
      </c>
      <c r="AU586" s="23" t="str">
        <f ca="1" t="shared" si="235"/>
        <v/>
      </c>
      <c r="AV586" s="23" t="str">
        <f ca="1" t="shared" si="223"/>
        <v>{50006,25}</v>
      </c>
      <c r="AW586" s="23" t="str">
        <f ca="1" t="shared" si="224"/>
        <v/>
      </c>
      <c r="AX586" s="23" t="str">
        <f ca="1" t="shared" si="225"/>
        <v>{2,360}</v>
      </c>
      <c r="AY586" s="23" t="str">
        <f ca="1" t="shared" si="226"/>
        <v>{5204001,5}</v>
      </c>
      <c r="AZ586" s="23" t="str">
        <f ca="1" t="shared" si="214"/>
        <v>{5203001,30}</v>
      </c>
      <c r="BA586" s="23" t="str">
        <f ca="1" t="shared" si="227"/>
        <v>{1,150}</v>
      </c>
      <c r="BB586" s="23" t="s">
        <v>401</v>
      </c>
      <c r="BC586" s="23" t="str">
        <f ca="1" t="shared" si="228"/>
        <v>{5143001,300}</v>
      </c>
      <c r="BD586" s="23" t="str">
        <f ca="1" t="shared" si="207"/>
        <v/>
      </c>
      <c r="BE586" s="23" t="str">
        <f ca="1" t="shared" si="211"/>
        <v>{50039,1}</v>
      </c>
      <c r="BF586" s="23" t="str">
        <f ca="1" t="shared" si="229"/>
        <v>{2,600}</v>
      </c>
      <c r="BI586" s="23" t="str">
        <f ca="1" t="shared" si="230"/>
        <v>[{11,5},{50004,15},{5113001,200},{2,240}]</v>
      </c>
      <c r="BJ586" s="23" t="str">
        <f ca="1" t="shared" si="231"/>
        <v>[{5123001,250},{5523001,200},{50006,25},{2,360},{5204001,5}]</v>
      </c>
      <c r="BK586" s="23" t="str">
        <f ca="1" t="shared" si="232"/>
        <v>[{5203001,30},{1,150},{5523001,300},{5143001,300},{50039,1},{2,600}]</v>
      </c>
      <c r="BL586" s="23">
        <f ca="1" t="shared" si="233"/>
        <v>4</v>
      </c>
      <c r="BM586" s="23">
        <f ca="1" t="shared" si="234"/>
        <v>5</v>
      </c>
      <c r="BN586" s="23">
        <f ca="1" t="shared" si="236"/>
        <v>6</v>
      </c>
      <c r="BP586" s="71" t="s">
        <v>374</v>
      </c>
      <c r="BQ586" s="71">
        <v>150</v>
      </c>
    </row>
    <row r="587" ht="16.5" spans="2:69">
      <c r="B587" s="23">
        <v>267</v>
      </c>
      <c r="C587" s="12"/>
      <c r="D587" s="12"/>
      <c r="E587" s="71"/>
      <c r="F587" s="71"/>
      <c r="G587" s="71" t="str">
        <f t="shared" si="238"/>
        <v>护臂图纸</v>
      </c>
      <c r="H587" s="71">
        <v>15</v>
      </c>
      <c r="I587" s="71" t="str">
        <f t="shared" ref="I587:I620" si="243">I581</f>
        <v>毒系特饮</v>
      </c>
      <c r="J587" s="71">
        <v>200</v>
      </c>
      <c r="K587" s="71" t="s">
        <v>96</v>
      </c>
      <c r="L587" s="71">
        <v>240</v>
      </c>
      <c r="M587" s="71" t="str">
        <f t="shared" si="208"/>
        <v>辅助特饮</v>
      </c>
      <c r="N587" s="71">
        <f t="shared" si="212"/>
        <v>250</v>
      </c>
      <c r="O587" s="71" t="s">
        <v>316</v>
      </c>
      <c r="P587" s="71">
        <v>200</v>
      </c>
      <c r="Q587" s="71"/>
      <c r="R587" s="71"/>
      <c r="S587" s="72" t="str">
        <f t="shared" si="239"/>
        <v>鞋子图纸</v>
      </c>
      <c r="T587" s="71">
        <v>25</v>
      </c>
      <c r="U587" s="71" t="str">
        <f t="shared" si="240"/>
        <v/>
      </c>
      <c r="V587" s="71">
        <f t="shared" si="241"/>
        <v>0</v>
      </c>
      <c r="W587" s="71" t="s">
        <v>96</v>
      </c>
      <c r="X587" s="71">
        <f t="shared" si="217"/>
        <v>360</v>
      </c>
      <c r="Y587" s="71"/>
      <c r="Z587" s="71"/>
      <c r="AA587" s="71" t="str">
        <f t="shared" si="209"/>
        <v>基因罐</v>
      </c>
      <c r="AB587" s="71">
        <f t="shared" si="213"/>
        <v>30</v>
      </c>
      <c r="AC587" s="71" t="s">
        <v>374</v>
      </c>
      <c r="AD587" s="71">
        <v>150</v>
      </c>
      <c r="AE587" s="72" t="str">
        <f t="shared" ref="AE587:AE620" si="244">AE581</f>
        <v>毒系特饮</v>
      </c>
      <c r="AF587" s="71">
        <v>300</v>
      </c>
      <c r="AG587" s="71"/>
      <c r="AH587" s="71"/>
      <c r="AI587" s="71" t="s">
        <v>390</v>
      </c>
      <c r="AJ587" s="71">
        <v>1</v>
      </c>
      <c r="AK587" s="71" t="s">
        <v>96</v>
      </c>
      <c r="AL587" s="71">
        <f t="shared" si="218"/>
        <v>600</v>
      </c>
      <c r="AN587" s="23" t="str">
        <f ca="1" t="shared" si="242"/>
        <v>{11,5}</v>
      </c>
      <c r="AO587" s="23" t="str">
        <f ca="1" t="shared" si="237"/>
        <v/>
      </c>
      <c r="AP587" s="23" t="str">
        <f ca="1" t="shared" si="219"/>
        <v>{50005,15}</v>
      </c>
      <c r="AQ587" s="23" t="str">
        <f ca="1" t="shared" si="220"/>
        <v>{5163001,200}</v>
      </c>
      <c r="AR587" s="23" t="str">
        <f ca="1" t="shared" si="221"/>
        <v>{2,240}</v>
      </c>
      <c r="AS587" s="23" t="str">
        <f ca="1" t="shared" si="222"/>
        <v>{5143001,250}</v>
      </c>
      <c r="AT587" s="23" t="str">
        <f ca="1" t="shared" si="210"/>
        <v>{5523001,200}</v>
      </c>
      <c r="AU587" s="23" t="str">
        <f ca="1" t="shared" si="235"/>
        <v/>
      </c>
      <c r="AV587" s="23" t="str">
        <f ca="1" t="shared" si="223"/>
        <v>{50007,25}</v>
      </c>
      <c r="AW587" s="23" t="str">
        <f ca="1" t="shared" si="224"/>
        <v/>
      </c>
      <c r="AX587" s="23" t="str">
        <f ca="1" t="shared" si="225"/>
        <v>{2,360}</v>
      </c>
      <c r="AY587" s="23" t="str">
        <f ca="1" t="shared" si="226"/>
        <v>{5204001,5}</v>
      </c>
      <c r="AZ587" s="23" t="str">
        <f ca="1" t="shared" si="214"/>
        <v>{5203001,30}</v>
      </c>
      <c r="BA587" s="23" t="str">
        <f ca="1" t="shared" si="227"/>
        <v>{1,150}</v>
      </c>
      <c r="BB587" s="23" t="s">
        <v>401</v>
      </c>
      <c r="BC587" s="23" t="str">
        <f ca="1" t="shared" si="228"/>
        <v>{5163001,300}</v>
      </c>
      <c r="BD587" s="23" t="str">
        <f ca="1" t="shared" ref="BD587:BD620" si="245">IF(OFFSET($B587,0,BD$320*2+1)="","","{"&amp;VLOOKUP(OFFSET($B587,0,BD$320*2+1),$AN$291:$AO$314,2,0)&amp;","&amp;OFFSET($B587,0,BD$320*2+2)&amp;"}")</f>
        <v/>
      </c>
      <c r="BE587" s="23" t="str">
        <f ca="1" t="shared" si="211"/>
        <v>{50039,1}</v>
      </c>
      <c r="BF587" s="23" t="str">
        <f ca="1" t="shared" si="229"/>
        <v>{2,600}</v>
      </c>
      <c r="BI587" s="23" t="str">
        <f ca="1" t="shared" si="230"/>
        <v>[{11,5},{50005,15},{5163001,200},{2,240}]</v>
      </c>
      <c r="BJ587" s="23" t="str">
        <f ca="1" t="shared" si="231"/>
        <v>[{5143001,250},{5523001,200},{50007,25},{2,360},{5204001,5}]</v>
      </c>
      <c r="BK587" s="23" t="str">
        <f ca="1" t="shared" si="232"/>
        <v>[{5203001,30},{1,150},{5523001,300},{5163001,300},{50039,1},{2,600}]</v>
      </c>
      <c r="BL587" s="23">
        <f ca="1" t="shared" si="233"/>
        <v>4</v>
      </c>
      <c r="BM587" s="23">
        <f ca="1" t="shared" si="234"/>
        <v>5</v>
      </c>
      <c r="BN587" s="23">
        <f ca="1" t="shared" si="236"/>
        <v>6</v>
      </c>
      <c r="BP587" s="71" t="s">
        <v>374</v>
      </c>
      <c r="BQ587" s="71">
        <v>150</v>
      </c>
    </row>
    <row r="588" ht="16.5" spans="2:69">
      <c r="B588" s="23">
        <v>268</v>
      </c>
      <c r="C588" s="12"/>
      <c r="D588" s="12"/>
      <c r="E588" s="71"/>
      <c r="F588" s="71"/>
      <c r="G588" s="71" t="str">
        <f t="shared" si="238"/>
        <v>裤子图纸</v>
      </c>
      <c r="H588" s="71">
        <v>15</v>
      </c>
      <c r="I588" s="71" t="str">
        <f t="shared" si="243"/>
        <v>控制特饮</v>
      </c>
      <c r="J588" s="71">
        <v>200</v>
      </c>
      <c r="K588" s="71" t="s">
        <v>96</v>
      </c>
      <c r="L588" s="71">
        <v>240</v>
      </c>
      <c r="M588" s="71" t="str">
        <f t="shared" si="208"/>
        <v>射手特饮</v>
      </c>
      <c r="N588" s="71">
        <f t="shared" si="212"/>
        <v>250</v>
      </c>
      <c r="O588" s="71" t="s">
        <v>316</v>
      </c>
      <c r="P588" s="71">
        <v>200</v>
      </c>
      <c r="Q588" s="71"/>
      <c r="R588" s="71"/>
      <c r="S588" s="72" t="str">
        <f t="shared" si="239"/>
        <v>手套图纸</v>
      </c>
      <c r="T588" s="71">
        <v>25</v>
      </c>
      <c r="U588" s="71" t="str">
        <f t="shared" si="240"/>
        <v/>
      </c>
      <c r="V588" s="71">
        <f t="shared" si="241"/>
        <v>0</v>
      </c>
      <c r="W588" s="71" t="s">
        <v>96</v>
      </c>
      <c r="X588" s="71">
        <f t="shared" si="217"/>
        <v>360</v>
      </c>
      <c r="Y588" s="71"/>
      <c r="Z588" s="71"/>
      <c r="AA588" s="71" t="str">
        <f t="shared" si="209"/>
        <v>基因罐</v>
      </c>
      <c r="AB588" s="71">
        <f t="shared" si="213"/>
        <v>30</v>
      </c>
      <c r="AC588" s="71" t="s">
        <v>374</v>
      </c>
      <c r="AD588" s="71">
        <v>150</v>
      </c>
      <c r="AE588" s="72" t="str">
        <f t="shared" si="244"/>
        <v>控制特饮</v>
      </c>
      <c r="AF588" s="71">
        <v>300</v>
      </c>
      <c r="AG588" s="71"/>
      <c r="AH588" s="71"/>
      <c r="AI588" s="71" t="s">
        <v>390</v>
      </c>
      <c r="AJ588" s="71">
        <v>1</v>
      </c>
      <c r="AK588" s="71" t="s">
        <v>96</v>
      </c>
      <c r="AL588" s="71">
        <f t="shared" si="218"/>
        <v>600</v>
      </c>
      <c r="AN588" s="23" t="str">
        <f ca="1" t="shared" si="242"/>
        <v>{11,5}</v>
      </c>
      <c r="AO588" s="23" t="str">
        <f ca="1" t="shared" si="237"/>
        <v/>
      </c>
      <c r="AP588" s="23" t="str">
        <f ca="1" t="shared" si="219"/>
        <v>{50006,15}</v>
      </c>
      <c r="AQ588" s="23" t="str">
        <f ca="1" t="shared" si="220"/>
        <v>{5153001,200}</v>
      </c>
      <c r="AR588" s="23" t="str">
        <f ca="1" t="shared" si="221"/>
        <v>{2,240}</v>
      </c>
      <c r="AS588" s="23" t="str">
        <f ca="1" t="shared" si="222"/>
        <v>{5133001,250}</v>
      </c>
      <c r="AT588" s="23" t="str">
        <f ca="1" t="shared" si="210"/>
        <v>{5523001,200}</v>
      </c>
      <c r="AU588" s="23" t="str">
        <f ca="1" t="shared" si="235"/>
        <v/>
      </c>
      <c r="AV588" s="23" t="str">
        <f ca="1" t="shared" si="223"/>
        <v>{50008,25}</v>
      </c>
      <c r="AW588" s="23" t="str">
        <f ca="1" t="shared" si="224"/>
        <v/>
      </c>
      <c r="AX588" s="23" t="str">
        <f ca="1" t="shared" si="225"/>
        <v>{2,360}</v>
      </c>
      <c r="AY588" s="23" t="str">
        <f ca="1" t="shared" si="226"/>
        <v>{5204001,5}</v>
      </c>
      <c r="AZ588" s="23" t="str">
        <f ca="1" t="shared" si="214"/>
        <v>{5203001,30}</v>
      </c>
      <c r="BA588" s="23" t="str">
        <f ca="1" t="shared" si="227"/>
        <v>{1,150}</v>
      </c>
      <c r="BB588" s="23" t="s">
        <v>401</v>
      </c>
      <c r="BC588" s="23" t="str">
        <f ca="1" t="shared" si="228"/>
        <v>{5153001,300}</v>
      </c>
      <c r="BD588" s="23" t="str">
        <f ca="1" t="shared" si="245"/>
        <v/>
      </c>
      <c r="BE588" s="23" t="str">
        <f ca="1" t="shared" si="211"/>
        <v>{50039,1}</v>
      </c>
      <c r="BF588" s="23" t="str">
        <f ca="1" t="shared" si="229"/>
        <v>{2,600}</v>
      </c>
      <c r="BI588" s="23" t="str">
        <f ca="1" t="shared" si="230"/>
        <v>[{11,5},{50006,15},{5153001,200},{2,240}]</v>
      </c>
      <c r="BJ588" s="23" t="str">
        <f ca="1" t="shared" si="231"/>
        <v>[{5133001,250},{5523001,200},{50008,25},{2,360},{5204001,5}]</v>
      </c>
      <c r="BK588" s="23" t="str">
        <f ca="1" t="shared" si="232"/>
        <v>[{5203001,30},{1,150},{5523001,300},{5153001,300},{50039,1},{2,600}]</v>
      </c>
      <c r="BL588" s="23">
        <f ca="1" t="shared" si="233"/>
        <v>4</v>
      </c>
      <c r="BM588" s="23">
        <f ca="1" t="shared" si="234"/>
        <v>5</v>
      </c>
      <c r="BN588" s="23">
        <f ca="1" t="shared" si="236"/>
        <v>6</v>
      </c>
      <c r="BP588" s="71" t="s">
        <v>374</v>
      </c>
      <c r="BQ588" s="71">
        <v>150</v>
      </c>
    </row>
    <row r="589" ht="16.5" spans="2:69">
      <c r="B589" s="23">
        <v>269</v>
      </c>
      <c r="C589" s="12"/>
      <c r="D589" s="12"/>
      <c r="E589" s="71"/>
      <c r="F589" s="71"/>
      <c r="G589" s="71" t="str">
        <f t="shared" si="238"/>
        <v>鞋子图纸</v>
      </c>
      <c r="H589" s="71">
        <v>15</v>
      </c>
      <c r="I589" s="71" t="str">
        <f t="shared" si="243"/>
        <v>射手特饮</v>
      </c>
      <c r="J589" s="71">
        <v>200</v>
      </c>
      <c r="K589" s="71" t="s">
        <v>96</v>
      </c>
      <c r="L589" s="71">
        <v>240</v>
      </c>
      <c r="M589" s="71" t="str">
        <f t="shared" ref="M589:M620" si="246">M583</f>
        <v>毒系特饮</v>
      </c>
      <c r="N589" s="71">
        <f t="shared" si="212"/>
        <v>250</v>
      </c>
      <c r="O589" s="71" t="s">
        <v>316</v>
      </c>
      <c r="P589" s="71">
        <v>200</v>
      </c>
      <c r="Q589" s="71"/>
      <c r="R589" s="71"/>
      <c r="S589" s="72" t="str">
        <f t="shared" si="239"/>
        <v>头盔图纸</v>
      </c>
      <c r="T589" s="71">
        <v>25</v>
      </c>
      <c r="U589" s="71" t="str">
        <f t="shared" si="240"/>
        <v/>
      </c>
      <c r="V589" s="71">
        <f t="shared" si="241"/>
        <v>0</v>
      </c>
      <c r="W589" s="71" t="s">
        <v>96</v>
      </c>
      <c r="X589" s="71">
        <f t="shared" si="217"/>
        <v>360</v>
      </c>
      <c r="Y589" s="71"/>
      <c r="Z589" s="71"/>
      <c r="AA589" s="71" t="str">
        <f t="shared" si="209"/>
        <v>基因罐</v>
      </c>
      <c r="AB589" s="71">
        <f t="shared" si="213"/>
        <v>30</v>
      </c>
      <c r="AC589" s="71" t="s">
        <v>374</v>
      </c>
      <c r="AD589" s="71">
        <v>150</v>
      </c>
      <c r="AE589" s="72" t="str">
        <f t="shared" si="244"/>
        <v>射手特饮</v>
      </c>
      <c r="AF589" s="71">
        <v>300</v>
      </c>
      <c r="AG589" s="71"/>
      <c r="AH589" s="71"/>
      <c r="AI589" s="71" t="s">
        <v>390</v>
      </c>
      <c r="AJ589" s="71">
        <v>1</v>
      </c>
      <c r="AK589" s="71" t="s">
        <v>96</v>
      </c>
      <c r="AL589" s="71">
        <f t="shared" si="218"/>
        <v>600</v>
      </c>
      <c r="AN589" s="23" t="str">
        <f ca="1" t="shared" si="242"/>
        <v>{11,5}</v>
      </c>
      <c r="AO589" s="23" t="str">
        <f ca="1" t="shared" si="237"/>
        <v/>
      </c>
      <c r="AP589" s="23" t="str">
        <f ca="1" t="shared" si="219"/>
        <v>{50007,15}</v>
      </c>
      <c r="AQ589" s="23" t="str">
        <f ca="1" t="shared" si="220"/>
        <v>{5133001,200}</v>
      </c>
      <c r="AR589" s="23" t="str">
        <f ca="1" t="shared" si="221"/>
        <v>{2,240}</v>
      </c>
      <c r="AS589" s="23" t="str">
        <f ca="1" t="shared" si="222"/>
        <v>{5163001,250}</v>
      </c>
      <c r="AT589" s="23" t="str">
        <f ca="1" t="shared" si="210"/>
        <v>{5523001,200}</v>
      </c>
      <c r="AU589" s="23" t="str">
        <f ca="1" t="shared" si="235"/>
        <v/>
      </c>
      <c r="AV589" s="23" t="str">
        <f ca="1" t="shared" si="223"/>
        <v>{50003,25}</v>
      </c>
      <c r="AW589" s="23" t="str">
        <f ca="1" t="shared" si="224"/>
        <v/>
      </c>
      <c r="AX589" s="23" t="str">
        <f ca="1" t="shared" si="225"/>
        <v>{2,360}</v>
      </c>
      <c r="AY589" s="23" t="str">
        <f ca="1" t="shared" si="226"/>
        <v>{5204001,5}</v>
      </c>
      <c r="AZ589" s="23" t="str">
        <f ca="1" t="shared" si="214"/>
        <v>{5203001,30}</v>
      </c>
      <c r="BA589" s="23" t="str">
        <f ca="1" t="shared" si="227"/>
        <v>{1,150}</v>
      </c>
      <c r="BB589" s="23" t="s">
        <v>401</v>
      </c>
      <c r="BC589" s="23" t="str">
        <f ca="1" t="shared" si="228"/>
        <v>{5133001,300}</v>
      </c>
      <c r="BD589" s="23" t="str">
        <f ca="1" t="shared" si="245"/>
        <v/>
      </c>
      <c r="BE589" s="23" t="str">
        <f ca="1" t="shared" si="211"/>
        <v>{50039,1}</v>
      </c>
      <c r="BF589" s="23" t="str">
        <f ca="1" t="shared" si="229"/>
        <v>{2,600}</v>
      </c>
      <c r="BI589" s="23" t="str">
        <f ca="1" t="shared" si="230"/>
        <v>[{11,5},{50007,15},{5133001,200},{2,240}]</v>
      </c>
      <c r="BJ589" s="23" t="str">
        <f ca="1" t="shared" si="231"/>
        <v>[{5163001,250},{5523001,200},{50003,25},{2,360},{5204001,5}]</v>
      </c>
      <c r="BK589" s="23" t="str">
        <f ca="1" t="shared" si="232"/>
        <v>[{5203001,30},{1,150},{5523001,300},{5133001,300},{50039,1},{2,600}]</v>
      </c>
      <c r="BL589" s="23">
        <f ca="1" t="shared" si="233"/>
        <v>4</v>
      </c>
      <c r="BM589" s="23">
        <f ca="1" t="shared" si="234"/>
        <v>5</v>
      </c>
      <c r="BN589" s="23">
        <f ca="1" t="shared" si="236"/>
        <v>6</v>
      </c>
      <c r="BP589" s="71" t="s">
        <v>374</v>
      </c>
      <c r="BQ589" s="71">
        <v>150</v>
      </c>
    </row>
    <row r="590" ht="16.5" spans="2:69">
      <c r="B590" s="23">
        <v>270</v>
      </c>
      <c r="C590" s="12" t="inlineStr">
        <is>
          <t>梦愿水晶</t>
        </is>
      </c>
      <c r="D590" s="12">
        <v>1</v>
      </c>
      <c r="E590" s="71"/>
      <c r="F590" s="71"/>
      <c r="G590" s="71" t="str">
        <f t="shared" si="238"/>
        <v>手套图纸</v>
      </c>
      <c r="H590" s="71">
        <v>15</v>
      </c>
      <c r="I590" s="71" t="str">
        <f t="shared" si="243"/>
        <v>法师特饮</v>
      </c>
      <c r="J590" s="71">
        <v>200</v>
      </c>
      <c r="K590" s="71" t="s">
        <v>96</v>
      </c>
      <c r="L590" s="71">
        <v>240</v>
      </c>
      <c r="M590" s="71" t="str">
        <f t="shared" si="246"/>
        <v>控制特饮</v>
      </c>
      <c r="N590" s="71">
        <f t="shared" si="212"/>
        <v>250</v>
      </c>
      <c r="O590" s="71" t="s">
        <v>316</v>
      </c>
      <c r="P590" s="71">
        <v>200</v>
      </c>
      <c r="Q590" s="71"/>
      <c r="R590" s="71"/>
      <c r="S590" s="72" t="str">
        <f t="shared" si="239"/>
        <v>衣服图纸</v>
      </c>
      <c r="T590" s="71">
        <v>25</v>
      </c>
      <c r="U590" s="71" t="str">
        <f t="shared" si="240"/>
        <v>灵感获取令</v>
      </c>
      <c r="V590" s="71">
        <f t="shared" si="241"/>
        <v>1</v>
      </c>
      <c r="W590" s="71" t="s">
        <v>96</v>
      </c>
      <c r="X590" s="71">
        <f t="shared" si="217"/>
        <v>360</v>
      </c>
      <c r="Y590" s="71"/>
      <c r="Z590" s="71"/>
      <c r="AA590" s="71" t="str">
        <f t="shared" si="209"/>
        <v>传说基因罐</v>
      </c>
      <c r="AB590" s="71">
        <f t="shared" si="213"/>
        <v>3</v>
      </c>
      <c r="AC590" s="71" t="s">
        <v>374</v>
      </c>
      <c r="AD590" s="71">
        <v>150</v>
      </c>
      <c r="AE590" s="72" t="str">
        <f t="shared" si="244"/>
        <v>战士特饮</v>
      </c>
      <c r="AF590" s="71">
        <v>300</v>
      </c>
      <c r="AG590" s="71"/>
      <c r="AH590" s="71"/>
      <c r="AI590" s="71" t="s">
        <v>390</v>
      </c>
      <c r="AJ590" s="71">
        <v>1</v>
      </c>
      <c r="AK590" s="71" t="s">
        <v>96</v>
      </c>
      <c r="AL590" s="71">
        <f t="shared" si="218"/>
        <v>600</v>
      </c>
      <c r="AN590" s="23" t="str">
        <f ca="1" t="shared" si="242"/>
        <v>{35,1}</v>
      </c>
      <c r="AO590" s="23" t="str">
        <f ca="1" t="shared" si="237"/>
        <v/>
      </c>
      <c r="AP590" s="23" t="str">
        <f ca="1" t="shared" si="219"/>
        <v>{50008,15}</v>
      </c>
      <c r="AQ590" s="23" t="str">
        <f ca="1" t="shared" si="220"/>
        <v>{5123001,200}</v>
      </c>
      <c r="AR590" s="23" t="str">
        <f ca="1" t="shared" si="221"/>
        <v>{2,240}</v>
      </c>
      <c r="AS590" s="23" t="str">
        <f ca="1" t="shared" si="222"/>
        <v>{5153001,250}</v>
      </c>
      <c r="AT590" s="23" t="str">
        <f ca="1" t="shared" si="210"/>
        <v>{5523001,200}</v>
      </c>
      <c r="AU590" s="23" t="str">
        <f ca="1" t="shared" si="235"/>
        <v/>
      </c>
      <c r="AV590" s="23" t="str">
        <f ca="1" t="shared" si="223"/>
        <v>{50004,25}</v>
      </c>
      <c r="AW590" s="23" t="str">
        <f ca="1" t="shared" si="224"/>
        <v>{9,1}</v>
      </c>
      <c r="AX590" s="23" t="str">
        <f ca="1" t="shared" si="225"/>
        <v>{2,360}</v>
      </c>
      <c r="AY590" s="23" t="str">
        <f ca="1" t="shared" si="226"/>
        <v>{5204001,5}</v>
      </c>
      <c r="AZ590" s="23" t="str">
        <f ca="1" t="shared" si="214"/>
        <v>{5205001,3}</v>
      </c>
      <c r="BA590" s="23" t="str">
        <f ca="1" t="shared" si="227"/>
        <v>{1,150}</v>
      </c>
      <c r="BB590" s="23" t="s">
        <v>401</v>
      </c>
      <c r="BC590" s="23" t="str">
        <f ca="1" t="shared" si="228"/>
        <v>{5113001,300}</v>
      </c>
      <c r="BD590" s="23" t="str">
        <f ca="1" t="shared" si="245"/>
        <v/>
      </c>
      <c r="BE590" s="23" t="str">
        <f ca="1" t="shared" si="211"/>
        <v>{50039,1}</v>
      </c>
      <c r="BF590" s="23" t="str">
        <f ca="1" t="shared" si="229"/>
        <v>{2,600}</v>
      </c>
      <c r="BI590" s="23" t="str">
        <f ca="1" t="shared" si="230"/>
        <v>[{35,1},{50008,15},{5123001,200},{2,240}]</v>
      </c>
      <c r="BJ590" s="23" t="str">
        <f ca="1" t="shared" si="231"/>
        <v>[{5153001,250},{5523001,200},{50004,25},{9,1},{2,360},{5204001,5}]</v>
      </c>
      <c r="BK590" s="23" t="str">
        <f ca="1" t="shared" si="232"/>
        <v>[{5205001,3},{1,150},{5523001,300},{5113001,300},{50039,1},{2,600}]</v>
      </c>
      <c r="BL590" s="23">
        <f ca="1" t="shared" si="233"/>
        <v>4</v>
      </c>
      <c r="BM590" s="23">
        <f ca="1" t="shared" si="234"/>
        <v>6</v>
      </c>
      <c r="BN590" s="23">
        <f ca="1" t="shared" si="236"/>
        <v>6</v>
      </c>
      <c r="BP590" s="71" t="s">
        <v>374</v>
      </c>
      <c r="BQ590" s="71">
        <v>150</v>
      </c>
    </row>
    <row r="591" ht="16.5" spans="2:69">
      <c r="B591" s="23">
        <v>271</v>
      </c>
      <c r="C591" s="12"/>
      <c r="D591" s="12"/>
      <c r="E591" s="71"/>
      <c r="F591" s="71"/>
      <c r="G591" s="71" t="str">
        <f t="shared" si="238"/>
        <v>头盔图纸</v>
      </c>
      <c r="H591" s="71">
        <v>15</v>
      </c>
      <c r="I591" s="71" t="str">
        <f t="shared" si="243"/>
        <v>辅助特饮</v>
      </c>
      <c r="J591" s="71">
        <v>200</v>
      </c>
      <c r="K591" s="71" t="s">
        <v>96</v>
      </c>
      <c r="L591" s="71">
        <v>240</v>
      </c>
      <c r="M591" s="71" t="str">
        <f t="shared" si="246"/>
        <v>战士特饮</v>
      </c>
      <c r="N591" s="71">
        <f t="shared" si="212"/>
        <v>250</v>
      </c>
      <c r="O591" s="71" t="s">
        <v>316</v>
      </c>
      <c r="P591" s="71">
        <v>200</v>
      </c>
      <c r="Q591" s="71"/>
      <c r="R591" s="71"/>
      <c r="S591" s="72" t="str">
        <f t="shared" si="239"/>
        <v>护臂图纸</v>
      </c>
      <c r="T591" s="71">
        <v>25</v>
      </c>
      <c r="U591" s="71" t="str">
        <f t="shared" si="240"/>
        <v/>
      </c>
      <c r="V591" s="71">
        <f t="shared" si="241"/>
        <v>0</v>
      </c>
      <c r="W591" s="71" t="s">
        <v>96</v>
      </c>
      <c r="X591" s="71">
        <f t="shared" si="217"/>
        <v>360</v>
      </c>
      <c r="Y591" s="71"/>
      <c r="Z591" s="71"/>
      <c r="AA591" s="71" t="str">
        <f t="shared" ref="AA591:AA620" si="247">IF(AA586="","",AA586)</f>
        <v>基因罐</v>
      </c>
      <c r="AB591" s="71">
        <f t="shared" si="213"/>
        <v>30</v>
      </c>
      <c r="AC591" s="71" t="s">
        <v>374</v>
      </c>
      <c r="AD591" s="71">
        <v>150</v>
      </c>
      <c r="AE591" s="72" t="str">
        <f t="shared" si="244"/>
        <v>法师特饮</v>
      </c>
      <c r="AF591" s="71">
        <v>300</v>
      </c>
      <c r="AG591" s="71"/>
      <c r="AH591" s="71"/>
      <c r="AI591" s="71" t="s">
        <v>390</v>
      </c>
      <c r="AJ591" s="71">
        <v>1</v>
      </c>
      <c r="AK591" s="71" t="s">
        <v>96</v>
      </c>
      <c r="AL591" s="71">
        <f t="shared" si="218"/>
        <v>600</v>
      </c>
      <c r="AN591" s="23" t="str">
        <f ca="1" t="shared" si="242"/>
        <v>{11,5}</v>
      </c>
      <c r="AO591" s="23" t="str">
        <f ca="1" t="shared" si="237"/>
        <v/>
      </c>
      <c r="AP591" s="23" t="str">
        <f ca="1" t="shared" si="219"/>
        <v>{50003,15}</v>
      </c>
      <c r="AQ591" s="23" t="str">
        <f ca="1" t="shared" si="220"/>
        <v>{5143001,200}</v>
      </c>
      <c r="AR591" s="23" t="str">
        <f ca="1" t="shared" si="221"/>
        <v>{2,240}</v>
      </c>
      <c r="AS591" s="23" t="str">
        <f ca="1" t="shared" si="222"/>
        <v>{5113001,250}</v>
      </c>
      <c r="AT591" s="23" t="str">
        <f ca="1" t="shared" ref="AT591:AT620" si="248">IF(OFFSET($B591,0,AT$320*2+1)="","","{"&amp;VLOOKUP(OFFSET($B591,0,AT$320*2+1),$AN$291:$AO$317,2,0)&amp;","&amp;OFFSET($B591,0,AT$320*2+2)&amp;"}")</f>
        <v>{5523001,200}</v>
      </c>
      <c r="AU591" s="23" t="str">
        <f ca="1" t="shared" si="235"/>
        <v/>
      </c>
      <c r="AV591" s="23" t="str">
        <f ca="1" t="shared" si="223"/>
        <v>{50005,25}</v>
      </c>
      <c r="AW591" s="23" t="str">
        <f ca="1" t="shared" si="224"/>
        <v/>
      </c>
      <c r="AX591" s="23" t="str">
        <f ca="1" t="shared" si="225"/>
        <v>{2,360}</v>
      </c>
      <c r="AY591" s="23" t="str">
        <f ca="1" t="shared" si="226"/>
        <v>{5204001,5}</v>
      </c>
      <c r="AZ591" s="23" t="str">
        <f ca="1" t="shared" si="214"/>
        <v>{5203001,30}</v>
      </c>
      <c r="BA591" s="23" t="str">
        <f ca="1" t="shared" si="227"/>
        <v>{1,150}</v>
      </c>
      <c r="BB591" s="23" t="s">
        <v>401</v>
      </c>
      <c r="BC591" s="23" t="str">
        <f ca="1" t="shared" si="228"/>
        <v>{5123001,300}</v>
      </c>
      <c r="BD591" s="23" t="str">
        <f ca="1" t="shared" si="245"/>
        <v/>
      </c>
      <c r="BE591" s="23" t="str">
        <f ca="1" t="shared" si="211"/>
        <v>{50039,1}</v>
      </c>
      <c r="BF591" s="23" t="str">
        <f ca="1" t="shared" si="229"/>
        <v>{2,600}</v>
      </c>
      <c r="BI591" s="23" t="str">
        <f ca="1" t="shared" si="230"/>
        <v>[{11,5},{50003,15},{5143001,200},{2,240}]</v>
      </c>
      <c r="BJ591" s="23" t="str">
        <f ca="1" t="shared" si="231"/>
        <v>[{5113001,250},{5523001,200},{50005,25},{2,360},{5204001,5}]</v>
      </c>
      <c r="BK591" s="23" t="str">
        <f ca="1" t="shared" si="232"/>
        <v>[{5203001,30},{1,150},{5523001,300},{5123001,300},{50039,1},{2,600}]</v>
      </c>
      <c r="BL591" s="23">
        <f ca="1" t="shared" si="233"/>
        <v>4</v>
      </c>
      <c r="BM591" s="23">
        <f ca="1" t="shared" si="234"/>
        <v>5</v>
      </c>
      <c r="BN591" s="23">
        <f ca="1" t="shared" si="236"/>
        <v>6</v>
      </c>
      <c r="BP591" s="71" t="s">
        <v>374</v>
      </c>
      <c r="BQ591" s="71">
        <v>150</v>
      </c>
    </row>
    <row r="592" ht="16.5" spans="2:69">
      <c r="B592" s="23">
        <v>272</v>
      </c>
      <c r="C592" s="12"/>
      <c r="D592" s="12"/>
      <c r="E592" s="71"/>
      <c r="F592" s="71"/>
      <c r="G592" s="71" t="str">
        <f t="shared" si="238"/>
        <v>衣服图纸</v>
      </c>
      <c r="H592" s="71">
        <v>15</v>
      </c>
      <c r="I592" s="71" t="str">
        <f t="shared" si="243"/>
        <v>战士特饮</v>
      </c>
      <c r="J592" s="71">
        <v>200</v>
      </c>
      <c r="K592" s="71" t="s">
        <v>96</v>
      </c>
      <c r="L592" s="71">
        <v>240</v>
      </c>
      <c r="M592" s="71" t="str">
        <f t="shared" si="246"/>
        <v>法师特饮</v>
      </c>
      <c r="N592" s="71">
        <f t="shared" si="212"/>
        <v>250</v>
      </c>
      <c r="O592" s="71" t="s">
        <v>316</v>
      </c>
      <c r="P592" s="71">
        <v>200</v>
      </c>
      <c r="Q592" s="71"/>
      <c r="R592" s="71"/>
      <c r="S592" s="72" t="str">
        <f t="shared" si="239"/>
        <v>裤子图纸</v>
      </c>
      <c r="T592" s="71">
        <v>25</v>
      </c>
      <c r="U592" s="71" t="str">
        <f t="shared" si="240"/>
        <v/>
      </c>
      <c r="V592" s="71">
        <f t="shared" si="241"/>
        <v>0</v>
      </c>
      <c r="W592" s="71" t="s">
        <v>96</v>
      </c>
      <c r="X592" s="71">
        <f t="shared" si="217"/>
        <v>360</v>
      </c>
      <c r="Y592" s="71"/>
      <c r="Z592" s="71"/>
      <c r="AA592" s="71" t="str">
        <f t="shared" si="247"/>
        <v>基因罐</v>
      </c>
      <c r="AB592" s="71">
        <f t="shared" si="213"/>
        <v>30</v>
      </c>
      <c r="AC592" s="71" t="s">
        <v>374</v>
      </c>
      <c r="AD592" s="71">
        <v>150</v>
      </c>
      <c r="AE592" s="72" t="str">
        <f t="shared" si="244"/>
        <v>辅助特饮</v>
      </c>
      <c r="AF592" s="71">
        <v>300</v>
      </c>
      <c r="AG592" s="71"/>
      <c r="AH592" s="71"/>
      <c r="AI592" s="71" t="s">
        <v>390</v>
      </c>
      <c r="AJ592" s="71">
        <v>1</v>
      </c>
      <c r="AK592" s="71" t="s">
        <v>96</v>
      </c>
      <c r="AL592" s="71">
        <f t="shared" si="218"/>
        <v>600</v>
      </c>
      <c r="AN592" s="23" t="str">
        <f ca="1" t="shared" si="242"/>
        <v>{11,5}</v>
      </c>
      <c r="AO592" s="23" t="str">
        <f ca="1" t="shared" si="237"/>
        <v/>
      </c>
      <c r="AP592" s="23" t="str">
        <f ca="1" t="shared" si="219"/>
        <v>{50004,15}</v>
      </c>
      <c r="AQ592" s="23" t="str">
        <f ca="1" t="shared" si="220"/>
        <v>{5113001,200}</v>
      </c>
      <c r="AR592" s="23" t="str">
        <f ca="1" t="shared" si="221"/>
        <v>{2,240}</v>
      </c>
      <c r="AS592" s="23" t="str">
        <f ca="1" t="shared" si="222"/>
        <v>{5123001,250}</v>
      </c>
      <c r="AT592" s="23" t="str">
        <f ca="1" t="shared" si="248"/>
        <v>{5523001,200}</v>
      </c>
      <c r="AU592" s="23" t="str">
        <f ca="1" t="shared" si="235"/>
        <v/>
      </c>
      <c r="AV592" s="23" t="str">
        <f ca="1" t="shared" si="223"/>
        <v>{50006,25}</v>
      </c>
      <c r="AW592" s="23" t="str">
        <f ca="1" t="shared" si="224"/>
        <v/>
      </c>
      <c r="AX592" s="23" t="str">
        <f ca="1" t="shared" si="225"/>
        <v>{2,360}</v>
      </c>
      <c r="AY592" s="23" t="str">
        <f ca="1" t="shared" si="226"/>
        <v>{5204001,5}</v>
      </c>
      <c r="AZ592" s="23" t="str">
        <f ca="1" t="shared" si="214"/>
        <v>{5203001,30}</v>
      </c>
      <c r="BA592" s="23" t="str">
        <f ca="1" t="shared" si="227"/>
        <v>{1,150}</v>
      </c>
      <c r="BB592" s="23" t="s">
        <v>401</v>
      </c>
      <c r="BC592" s="23" t="str">
        <f ca="1" t="shared" si="228"/>
        <v>{5143001,300}</v>
      </c>
      <c r="BD592" s="23" t="str">
        <f ca="1" t="shared" si="245"/>
        <v/>
      </c>
      <c r="BE592" s="23" t="str">
        <f ca="1" t="shared" ref="BE592:BE620" si="249">IF(OFFSET($B592,0,BE$320*2+1)="","","{"&amp;VLOOKUP(OFFSET($B592,0,BE$320*2+1),$AN$291:$AO$316,2,0)&amp;","&amp;OFFSET($B592,0,BE$320*2+2)&amp;"}")</f>
        <v>{50039,1}</v>
      </c>
      <c r="BF592" s="23" t="str">
        <f ca="1" t="shared" si="229"/>
        <v>{2,600}</v>
      </c>
      <c r="BI592" s="23" t="str">
        <f ca="1" t="shared" si="230"/>
        <v>[{11,5},{50004,15},{5113001,200},{2,240}]</v>
      </c>
      <c r="BJ592" s="23" t="str">
        <f ca="1" t="shared" si="231"/>
        <v>[{5123001,250},{5523001,200},{50006,25},{2,360},{5204001,5}]</v>
      </c>
      <c r="BK592" s="23" t="str">
        <f ca="1" t="shared" si="232"/>
        <v>[{5203001,30},{1,150},{5523001,300},{5143001,300},{50039,1},{2,600}]</v>
      </c>
      <c r="BL592" s="23">
        <f ca="1" t="shared" si="233"/>
        <v>4</v>
      </c>
      <c r="BM592" s="23">
        <f ca="1" t="shared" si="234"/>
        <v>5</v>
      </c>
      <c r="BN592" s="23">
        <f ca="1" t="shared" si="236"/>
        <v>6</v>
      </c>
      <c r="BP592" s="71" t="s">
        <v>374</v>
      </c>
      <c r="BQ592" s="71">
        <v>150</v>
      </c>
    </row>
    <row r="593" ht="16.5" spans="2:69">
      <c r="B593" s="23">
        <v>273</v>
      </c>
      <c r="C593" s="12"/>
      <c r="D593" s="12"/>
      <c r="E593" s="71"/>
      <c r="F593" s="71"/>
      <c r="G593" s="71" t="str">
        <f t="shared" si="238"/>
        <v>护臂图纸</v>
      </c>
      <c r="H593" s="71">
        <v>15</v>
      </c>
      <c r="I593" s="71" t="str">
        <f t="shared" si="243"/>
        <v>毒系特饮</v>
      </c>
      <c r="J593" s="71">
        <v>200</v>
      </c>
      <c r="K593" s="71" t="s">
        <v>96</v>
      </c>
      <c r="L593" s="71">
        <v>240</v>
      </c>
      <c r="M593" s="71" t="str">
        <f t="shared" si="246"/>
        <v>辅助特饮</v>
      </c>
      <c r="N593" s="71">
        <f t="shared" si="212"/>
        <v>250</v>
      </c>
      <c r="O593" s="71" t="s">
        <v>316</v>
      </c>
      <c r="P593" s="71">
        <v>200</v>
      </c>
      <c r="Q593" s="71"/>
      <c r="R593" s="71"/>
      <c r="S593" s="72" t="str">
        <f t="shared" si="239"/>
        <v>鞋子图纸</v>
      </c>
      <c r="T593" s="71">
        <v>25</v>
      </c>
      <c r="U593" s="71" t="str">
        <f t="shared" si="240"/>
        <v/>
      </c>
      <c r="V593" s="71">
        <f t="shared" si="241"/>
        <v>0</v>
      </c>
      <c r="W593" s="71" t="s">
        <v>96</v>
      </c>
      <c r="X593" s="71">
        <f t="shared" si="217"/>
        <v>360</v>
      </c>
      <c r="Y593" s="71"/>
      <c r="Z593" s="71"/>
      <c r="AA593" s="71" t="str">
        <f t="shared" si="247"/>
        <v>基因罐</v>
      </c>
      <c r="AB593" s="71">
        <f t="shared" si="213"/>
        <v>30</v>
      </c>
      <c r="AC593" s="71" t="s">
        <v>374</v>
      </c>
      <c r="AD593" s="71">
        <v>150</v>
      </c>
      <c r="AE593" s="72" t="str">
        <f t="shared" si="244"/>
        <v>毒系特饮</v>
      </c>
      <c r="AF593" s="71">
        <v>300</v>
      </c>
      <c r="AG593" s="71"/>
      <c r="AH593" s="71"/>
      <c r="AI593" s="71" t="s">
        <v>390</v>
      </c>
      <c r="AJ593" s="71">
        <v>1</v>
      </c>
      <c r="AK593" s="71" t="s">
        <v>96</v>
      </c>
      <c r="AL593" s="71">
        <f t="shared" si="218"/>
        <v>600</v>
      </c>
      <c r="AN593" s="23" t="str">
        <f ca="1" t="shared" si="242"/>
        <v>{11,5}</v>
      </c>
      <c r="AO593" s="23" t="str">
        <f ca="1" t="shared" si="237"/>
        <v/>
      </c>
      <c r="AP593" s="23" t="str">
        <f ca="1" t="shared" si="219"/>
        <v>{50005,15}</v>
      </c>
      <c r="AQ593" s="23" t="str">
        <f ca="1" t="shared" si="220"/>
        <v>{5163001,200}</v>
      </c>
      <c r="AR593" s="23" t="str">
        <f ca="1" t="shared" si="221"/>
        <v>{2,240}</v>
      </c>
      <c r="AS593" s="23" t="str">
        <f ca="1" t="shared" si="222"/>
        <v>{5143001,250}</v>
      </c>
      <c r="AT593" s="23" t="str">
        <f ca="1" t="shared" si="248"/>
        <v>{5523001,200}</v>
      </c>
      <c r="AU593" s="23" t="str">
        <f ca="1" t="shared" si="235"/>
        <v/>
      </c>
      <c r="AV593" s="23" t="str">
        <f ca="1" t="shared" si="223"/>
        <v>{50007,25}</v>
      </c>
      <c r="AW593" s="23" t="str">
        <f ca="1" t="shared" si="224"/>
        <v/>
      </c>
      <c r="AX593" s="23" t="str">
        <f ca="1" t="shared" si="225"/>
        <v>{2,360}</v>
      </c>
      <c r="AY593" s="23" t="str">
        <f ca="1" t="shared" si="226"/>
        <v>{5204001,5}</v>
      </c>
      <c r="AZ593" s="23" t="str">
        <f ca="1" t="shared" si="214"/>
        <v>{5203001,30}</v>
      </c>
      <c r="BA593" s="23" t="str">
        <f ca="1" t="shared" si="227"/>
        <v>{1,150}</v>
      </c>
      <c r="BB593" s="23" t="s">
        <v>401</v>
      </c>
      <c r="BC593" s="23" t="str">
        <f ca="1" t="shared" si="228"/>
        <v>{5163001,300}</v>
      </c>
      <c r="BD593" s="23" t="str">
        <f ca="1" t="shared" si="245"/>
        <v/>
      </c>
      <c r="BE593" s="23" t="str">
        <f ca="1" t="shared" si="249"/>
        <v>{50039,1}</v>
      </c>
      <c r="BF593" s="23" t="str">
        <f ca="1" t="shared" si="229"/>
        <v>{2,600}</v>
      </c>
      <c r="BI593" s="23" t="str">
        <f ca="1" t="shared" si="230"/>
        <v>[{11,5},{50005,15},{5163001,200},{2,240}]</v>
      </c>
      <c r="BJ593" s="23" t="str">
        <f ca="1" t="shared" si="231"/>
        <v>[{5143001,250},{5523001,200},{50007,25},{2,360},{5204001,5}]</v>
      </c>
      <c r="BK593" s="23" t="str">
        <f ca="1" t="shared" si="232"/>
        <v>[{5203001,30},{1,150},{5523001,300},{5163001,300},{50039,1},{2,600}]</v>
      </c>
      <c r="BL593" s="23">
        <f ca="1" t="shared" si="233"/>
        <v>4</v>
      </c>
      <c r="BM593" s="23">
        <f ca="1" t="shared" si="234"/>
        <v>5</v>
      </c>
      <c r="BN593" s="23">
        <f ca="1" t="shared" si="236"/>
        <v>6</v>
      </c>
      <c r="BP593" s="71" t="s">
        <v>374</v>
      </c>
      <c r="BQ593" s="71">
        <v>150</v>
      </c>
    </row>
    <row r="594" ht="16.5" spans="2:69">
      <c r="B594" s="23">
        <v>274</v>
      </c>
      <c r="C594" s="12"/>
      <c r="D594" s="12"/>
      <c r="E594" s="71"/>
      <c r="F594" s="71"/>
      <c r="G594" s="71" t="str">
        <f t="shared" si="238"/>
        <v>裤子图纸</v>
      </c>
      <c r="H594" s="71">
        <v>15</v>
      </c>
      <c r="I594" s="71" t="str">
        <f t="shared" si="243"/>
        <v>控制特饮</v>
      </c>
      <c r="J594" s="71">
        <v>200</v>
      </c>
      <c r="K594" s="71" t="s">
        <v>96</v>
      </c>
      <c r="L594" s="71">
        <v>240</v>
      </c>
      <c r="M594" s="71" t="str">
        <f t="shared" si="246"/>
        <v>射手特饮</v>
      </c>
      <c r="N594" s="71">
        <f t="shared" si="212"/>
        <v>250</v>
      </c>
      <c r="O594" s="71" t="s">
        <v>316</v>
      </c>
      <c r="P594" s="71">
        <v>200</v>
      </c>
      <c r="Q594" s="71"/>
      <c r="R594" s="71"/>
      <c r="S594" s="72" t="str">
        <f t="shared" si="239"/>
        <v>手套图纸</v>
      </c>
      <c r="T594" s="71">
        <v>25</v>
      </c>
      <c r="U594" s="71" t="str">
        <f t="shared" si="240"/>
        <v/>
      </c>
      <c r="V594" s="71">
        <f t="shared" si="241"/>
        <v>0</v>
      </c>
      <c r="W594" s="71" t="s">
        <v>96</v>
      </c>
      <c r="X594" s="71">
        <f t="shared" si="217"/>
        <v>360</v>
      </c>
      <c r="Y594" s="71"/>
      <c r="Z594" s="71"/>
      <c r="AA594" s="71" t="str">
        <f t="shared" si="247"/>
        <v>基因罐</v>
      </c>
      <c r="AB594" s="71">
        <f t="shared" si="213"/>
        <v>30</v>
      </c>
      <c r="AC594" s="71" t="s">
        <v>374</v>
      </c>
      <c r="AD594" s="71">
        <v>150</v>
      </c>
      <c r="AE594" s="72" t="str">
        <f t="shared" si="244"/>
        <v>控制特饮</v>
      </c>
      <c r="AF594" s="71">
        <v>300</v>
      </c>
      <c r="AG594" s="71"/>
      <c r="AH594" s="71"/>
      <c r="AI594" s="71" t="s">
        <v>390</v>
      </c>
      <c r="AJ594" s="71">
        <v>1</v>
      </c>
      <c r="AK594" s="71" t="s">
        <v>96</v>
      </c>
      <c r="AL594" s="71">
        <f t="shared" si="218"/>
        <v>600</v>
      </c>
      <c r="AN594" s="23" t="str">
        <f ca="1" t="shared" si="242"/>
        <v>{11,5}</v>
      </c>
      <c r="AO594" s="23" t="str">
        <f ca="1" t="shared" si="237"/>
        <v/>
      </c>
      <c r="AP594" s="23" t="str">
        <f ca="1" t="shared" si="219"/>
        <v>{50006,15}</v>
      </c>
      <c r="AQ594" s="23" t="str">
        <f ca="1" t="shared" si="220"/>
        <v>{5153001,200}</v>
      </c>
      <c r="AR594" s="23" t="str">
        <f ca="1" t="shared" si="221"/>
        <v>{2,240}</v>
      </c>
      <c r="AS594" s="23" t="str">
        <f ca="1" t="shared" si="222"/>
        <v>{5133001,250}</v>
      </c>
      <c r="AT594" s="23" t="str">
        <f ca="1" t="shared" si="248"/>
        <v>{5523001,200}</v>
      </c>
      <c r="AU594" s="23" t="str">
        <f ca="1" t="shared" si="235"/>
        <v/>
      </c>
      <c r="AV594" s="23" t="str">
        <f ca="1" t="shared" si="223"/>
        <v>{50008,25}</v>
      </c>
      <c r="AW594" s="23" t="str">
        <f ca="1" t="shared" si="224"/>
        <v/>
      </c>
      <c r="AX594" s="23" t="str">
        <f ca="1" t="shared" si="225"/>
        <v>{2,360}</v>
      </c>
      <c r="AY594" s="23" t="str">
        <f ca="1" t="shared" si="226"/>
        <v>{5204001,5}</v>
      </c>
      <c r="AZ594" s="23" t="str">
        <f ca="1" t="shared" si="214"/>
        <v>{5203001,30}</v>
      </c>
      <c r="BA594" s="23" t="str">
        <f ca="1" t="shared" si="227"/>
        <v>{1,150}</v>
      </c>
      <c r="BB594" s="23" t="s">
        <v>401</v>
      </c>
      <c r="BC594" s="23" t="str">
        <f ca="1" t="shared" si="228"/>
        <v>{5153001,300}</v>
      </c>
      <c r="BD594" s="23" t="str">
        <f ca="1" t="shared" si="245"/>
        <v/>
      </c>
      <c r="BE594" s="23" t="str">
        <f ca="1" t="shared" si="249"/>
        <v>{50039,1}</v>
      </c>
      <c r="BF594" s="23" t="str">
        <f ca="1" t="shared" si="229"/>
        <v>{2,600}</v>
      </c>
      <c r="BI594" s="23" t="str">
        <f ca="1" t="shared" si="230"/>
        <v>[{11,5},{50006,15},{5153001,200},{2,240}]</v>
      </c>
      <c r="BJ594" s="23" t="str">
        <f ca="1" t="shared" si="231"/>
        <v>[{5133001,250},{5523001,200},{50008,25},{2,360},{5204001,5}]</v>
      </c>
      <c r="BK594" s="23" t="str">
        <f ca="1" t="shared" si="232"/>
        <v>[{5203001,30},{1,150},{5523001,300},{5153001,300},{50039,1},{2,600}]</v>
      </c>
      <c r="BL594" s="23">
        <f ca="1" t="shared" si="233"/>
        <v>4</v>
      </c>
      <c r="BM594" s="23">
        <f ca="1" t="shared" si="234"/>
        <v>5</v>
      </c>
      <c r="BN594" s="23">
        <f ca="1" t="shared" si="236"/>
        <v>6</v>
      </c>
      <c r="BP594" s="71" t="s">
        <v>374</v>
      </c>
      <c r="BQ594" s="71">
        <v>150</v>
      </c>
    </row>
    <row r="595" ht="16.5" spans="2:69">
      <c r="B595" s="23">
        <v>275</v>
      </c>
      <c r="C595" s="12" t="inlineStr">
        <is>
          <t>梦愿水晶</t>
        </is>
      </c>
      <c r="D595" s="12">
        <v>1</v>
      </c>
      <c r="E595" s="71"/>
      <c r="F595" s="71"/>
      <c r="G595" s="71" t="str">
        <f t="shared" si="238"/>
        <v>鞋子图纸</v>
      </c>
      <c r="H595" s="71">
        <v>15</v>
      </c>
      <c r="I595" s="71" t="str">
        <f t="shared" si="243"/>
        <v>射手特饮</v>
      </c>
      <c r="J595" s="71">
        <v>200</v>
      </c>
      <c r="K595" s="71" t="s">
        <v>96</v>
      </c>
      <c r="L595" s="71">
        <v>240</v>
      </c>
      <c r="M595" s="71" t="str">
        <f t="shared" si="246"/>
        <v>毒系特饮</v>
      </c>
      <c r="N595" s="71">
        <f t="shared" ref="N595:N620" si="250">N594</f>
        <v>250</v>
      </c>
      <c r="O595" s="71" t="s">
        <v>316</v>
      </c>
      <c r="P595" s="71">
        <v>200</v>
      </c>
      <c r="Q595" s="71"/>
      <c r="R595" s="71"/>
      <c r="S595" s="72" t="str">
        <f t="shared" si="239"/>
        <v>头盔图纸</v>
      </c>
      <c r="T595" s="71">
        <v>25</v>
      </c>
      <c r="U595" s="71" t="str">
        <f t="shared" si="240"/>
        <v>灵感获取令</v>
      </c>
      <c r="V595" s="71">
        <f t="shared" si="241"/>
        <v>1</v>
      </c>
      <c r="W595" s="71" t="s">
        <v>96</v>
      </c>
      <c r="X595" s="71">
        <f t="shared" si="217"/>
        <v>360</v>
      </c>
      <c r="Y595" s="71"/>
      <c r="Z595" s="71"/>
      <c r="AA595" s="71" t="str">
        <f t="shared" si="247"/>
        <v>传说基因罐</v>
      </c>
      <c r="AB595" s="71">
        <f t="shared" si="213"/>
        <v>3</v>
      </c>
      <c r="AC595" s="71" t="s">
        <v>374</v>
      </c>
      <c r="AD595" s="71">
        <v>150</v>
      </c>
      <c r="AE595" s="72" t="str">
        <f t="shared" si="244"/>
        <v>射手特饮</v>
      </c>
      <c r="AF595" s="71">
        <v>300</v>
      </c>
      <c r="AG595" s="71"/>
      <c r="AH595" s="71"/>
      <c r="AI595" s="71" t="s">
        <v>390</v>
      </c>
      <c r="AJ595" s="71">
        <v>1</v>
      </c>
      <c r="AK595" s="71" t="s">
        <v>96</v>
      </c>
      <c r="AL595" s="71">
        <f t="shared" si="218"/>
        <v>600</v>
      </c>
      <c r="AN595" s="23" t="str">
        <f ca="1" t="shared" si="242"/>
        <v>{35,1}</v>
      </c>
      <c r="AO595" s="23" t="str">
        <f ca="1" t="shared" si="237"/>
        <v/>
      </c>
      <c r="AP595" s="23" t="str">
        <f ca="1" t="shared" si="219"/>
        <v>{50007,15}</v>
      </c>
      <c r="AQ595" s="23" t="str">
        <f ca="1" t="shared" si="220"/>
        <v>{5133001,200}</v>
      </c>
      <c r="AR595" s="23" t="str">
        <f ca="1" t="shared" si="221"/>
        <v>{2,240}</v>
      </c>
      <c r="AS595" s="23" t="str">
        <f ca="1" t="shared" si="222"/>
        <v>{5163001,250}</v>
      </c>
      <c r="AT595" s="23" t="str">
        <f ca="1" t="shared" si="248"/>
        <v>{5523001,200}</v>
      </c>
      <c r="AU595" s="23" t="str">
        <f ca="1" t="shared" si="235"/>
        <v/>
      </c>
      <c r="AV595" s="23" t="str">
        <f ca="1" t="shared" si="223"/>
        <v>{50003,25}</v>
      </c>
      <c r="AW595" s="23" t="str">
        <f ca="1" t="shared" si="224"/>
        <v>{9,1}</v>
      </c>
      <c r="AX595" s="23" t="str">
        <f ca="1" t="shared" si="225"/>
        <v>{2,360}</v>
      </c>
      <c r="AY595" s="23" t="str">
        <f ca="1" t="shared" si="226"/>
        <v>{5204001,5}</v>
      </c>
      <c r="AZ595" s="23" t="str">
        <f ca="1" t="shared" si="214"/>
        <v>{5205001,3}</v>
      </c>
      <c r="BA595" s="23" t="str">
        <f ca="1" t="shared" si="227"/>
        <v>{1,150}</v>
      </c>
      <c r="BB595" s="23" t="s">
        <v>401</v>
      </c>
      <c r="BC595" s="23" t="str">
        <f ca="1" t="shared" si="228"/>
        <v>{5133001,300}</v>
      </c>
      <c r="BD595" s="23" t="str">
        <f ca="1" t="shared" si="245"/>
        <v/>
      </c>
      <c r="BE595" s="23" t="str">
        <f ca="1" t="shared" si="249"/>
        <v>{50039,1}</v>
      </c>
      <c r="BF595" s="23" t="str">
        <f ca="1" t="shared" si="229"/>
        <v>{2,600}</v>
      </c>
      <c r="BI595" s="23" t="str">
        <f ca="1" t="shared" si="230"/>
        <v>[{35,1},{50007,15},{5133001,200},{2,240}]</v>
      </c>
      <c r="BJ595" s="23" t="str">
        <f ca="1" t="shared" si="231"/>
        <v>[{5163001,250},{5523001,200},{50003,25},{9,1},{2,360},{5204001,5}]</v>
      </c>
      <c r="BK595" s="23" t="str">
        <f ca="1" t="shared" si="232"/>
        <v>[{5205001,3},{1,150},{5523001,300},{5133001,300},{50039,1},{2,600}]</v>
      </c>
      <c r="BL595" s="23">
        <f ca="1" t="shared" si="233"/>
        <v>4</v>
      </c>
      <c r="BM595" s="23">
        <f ca="1" t="shared" si="234"/>
        <v>6</v>
      </c>
      <c r="BN595" s="23">
        <f ca="1" t="shared" si="236"/>
        <v>6</v>
      </c>
      <c r="BP595" s="71" t="s">
        <v>374</v>
      </c>
      <c r="BQ595" s="71">
        <v>150</v>
      </c>
    </row>
    <row r="596" ht="16.5" spans="2:69">
      <c r="B596" s="23">
        <v>276</v>
      </c>
      <c r="C596" s="12"/>
      <c r="D596" s="12"/>
      <c r="E596" s="71"/>
      <c r="F596" s="71"/>
      <c r="G596" s="71" t="str">
        <f t="shared" si="238"/>
        <v>手套图纸</v>
      </c>
      <c r="H596" s="71">
        <v>15</v>
      </c>
      <c r="I596" s="71" t="str">
        <f t="shared" si="243"/>
        <v>法师特饮</v>
      </c>
      <c r="J596" s="71">
        <v>200</v>
      </c>
      <c r="K596" s="71" t="s">
        <v>96</v>
      </c>
      <c r="L596" s="71">
        <v>240</v>
      </c>
      <c r="M596" s="71" t="str">
        <f t="shared" si="246"/>
        <v>控制特饮</v>
      </c>
      <c r="N596" s="71">
        <f t="shared" si="250"/>
        <v>250</v>
      </c>
      <c r="O596" s="71" t="s">
        <v>316</v>
      </c>
      <c r="P596" s="71">
        <v>200</v>
      </c>
      <c r="Q596" s="71"/>
      <c r="R596" s="71"/>
      <c r="S596" s="72" t="str">
        <f t="shared" si="239"/>
        <v>衣服图纸</v>
      </c>
      <c r="T596" s="71">
        <v>25</v>
      </c>
      <c r="U596" s="71" t="str">
        <f t="shared" si="240"/>
        <v/>
      </c>
      <c r="V596" s="71">
        <f t="shared" si="241"/>
        <v>0</v>
      </c>
      <c r="W596" s="71" t="s">
        <v>96</v>
      </c>
      <c r="X596" s="71">
        <f t="shared" si="217"/>
        <v>360</v>
      </c>
      <c r="Y596" s="71"/>
      <c r="Z596" s="71"/>
      <c r="AA596" s="71" t="str">
        <f t="shared" si="247"/>
        <v>基因罐</v>
      </c>
      <c r="AB596" s="71">
        <f t="shared" si="213"/>
        <v>30</v>
      </c>
      <c r="AC596" s="71" t="s">
        <v>374</v>
      </c>
      <c r="AD596" s="71">
        <v>150</v>
      </c>
      <c r="AE596" s="72" t="str">
        <f t="shared" si="244"/>
        <v>战士特饮</v>
      </c>
      <c r="AF596" s="71">
        <v>300</v>
      </c>
      <c r="AG596" s="71"/>
      <c r="AH596" s="71"/>
      <c r="AI596" s="71" t="s">
        <v>390</v>
      </c>
      <c r="AJ596" s="71">
        <v>1</v>
      </c>
      <c r="AK596" s="71" t="s">
        <v>96</v>
      </c>
      <c r="AL596" s="71">
        <f t="shared" si="218"/>
        <v>600</v>
      </c>
      <c r="AN596" s="23" t="str">
        <f ca="1" t="shared" si="242"/>
        <v>{11,5}</v>
      </c>
      <c r="AO596" s="23" t="str">
        <f ca="1" t="shared" si="237"/>
        <v/>
      </c>
      <c r="AP596" s="23" t="str">
        <f ca="1" t="shared" si="219"/>
        <v>{50008,15}</v>
      </c>
      <c r="AQ596" s="23" t="str">
        <f ca="1" t="shared" si="220"/>
        <v>{5123001,200}</v>
      </c>
      <c r="AR596" s="23" t="str">
        <f ca="1" t="shared" si="221"/>
        <v>{2,240}</v>
      </c>
      <c r="AS596" s="23" t="str">
        <f ca="1" t="shared" si="222"/>
        <v>{5153001,250}</v>
      </c>
      <c r="AT596" s="23" t="str">
        <f ca="1" t="shared" si="248"/>
        <v>{5523001,200}</v>
      </c>
      <c r="AU596" s="23" t="str">
        <f ca="1" t="shared" si="235"/>
        <v/>
      </c>
      <c r="AV596" s="23" t="str">
        <f ca="1" t="shared" si="223"/>
        <v>{50004,25}</v>
      </c>
      <c r="AW596" s="23" t="str">
        <f ca="1" t="shared" si="224"/>
        <v/>
      </c>
      <c r="AX596" s="23" t="str">
        <f ca="1" t="shared" si="225"/>
        <v>{2,360}</v>
      </c>
      <c r="AY596" s="23" t="str">
        <f ca="1" t="shared" si="226"/>
        <v>{5204001,5}</v>
      </c>
      <c r="AZ596" s="23" t="str">
        <f ca="1" t="shared" si="214"/>
        <v>{5203001,30}</v>
      </c>
      <c r="BA596" s="23" t="str">
        <f ca="1" t="shared" si="227"/>
        <v>{1,150}</v>
      </c>
      <c r="BB596" s="23" t="s">
        <v>401</v>
      </c>
      <c r="BC596" s="23" t="str">
        <f ca="1" t="shared" si="228"/>
        <v>{5113001,300}</v>
      </c>
      <c r="BD596" s="23" t="str">
        <f ca="1" t="shared" si="245"/>
        <v/>
      </c>
      <c r="BE596" s="23" t="str">
        <f ca="1" t="shared" si="249"/>
        <v>{50039,1}</v>
      </c>
      <c r="BF596" s="23" t="str">
        <f ca="1" t="shared" si="229"/>
        <v>{2,600}</v>
      </c>
      <c r="BI596" s="23" t="str">
        <f ca="1" t="shared" si="230"/>
        <v>[{11,5},{50008,15},{5123001,200},{2,240}]</v>
      </c>
      <c r="BJ596" s="23" t="str">
        <f ca="1" t="shared" si="231"/>
        <v>[{5153001,250},{5523001,200},{50004,25},{2,360},{5204001,5}]</v>
      </c>
      <c r="BK596" s="23" t="str">
        <f ca="1" t="shared" si="232"/>
        <v>[{5203001,30},{1,150},{5523001,300},{5113001,300},{50039,1},{2,600}]</v>
      </c>
      <c r="BL596" s="23">
        <f ca="1" t="shared" si="233"/>
        <v>4</v>
      </c>
      <c r="BM596" s="23">
        <f ca="1" t="shared" si="234"/>
        <v>5</v>
      </c>
      <c r="BN596" s="23">
        <f ca="1" t="shared" si="236"/>
        <v>6</v>
      </c>
      <c r="BP596" s="71" t="s">
        <v>374</v>
      </c>
      <c r="BQ596" s="71">
        <v>150</v>
      </c>
    </row>
    <row r="597" ht="16.5" spans="2:69">
      <c r="B597" s="23">
        <v>277</v>
      </c>
      <c r="C597" s="12"/>
      <c r="D597" s="12"/>
      <c r="E597" s="71"/>
      <c r="F597" s="71"/>
      <c r="G597" s="71" t="str">
        <f t="shared" si="238"/>
        <v>头盔图纸</v>
      </c>
      <c r="H597" s="71">
        <v>15</v>
      </c>
      <c r="I597" s="71" t="str">
        <f t="shared" si="243"/>
        <v>辅助特饮</v>
      </c>
      <c r="J597" s="71">
        <v>200</v>
      </c>
      <c r="K597" s="71" t="s">
        <v>96</v>
      </c>
      <c r="L597" s="71">
        <v>240</v>
      </c>
      <c r="M597" s="71" t="str">
        <f t="shared" si="246"/>
        <v>战士特饮</v>
      </c>
      <c r="N597" s="71">
        <f t="shared" si="250"/>
        <v>250</v>
      </c>
      <c r="O597" s="71" t="s">
        <v>316</v>
      </c>
      <c r="P597" s="71">
        <v>200</v>
      </c>
      <c r="Q597" s="71"/>
      <c r="R597" s="71"/>
      <c r="S597" s="72" t="str">
        <f t="shared" si="239"/>
        <v>护臂图纸</v>
      </c>
      <c r="T597" s="71">
        <v>25</v>
      </c>
      <c r="U597" s="71" t="str">
        <f t="shared" si="240"/>
        <v/>
      </c>
      <c r="V597" s="71">
        <f t="shared" si="241"/>
        <v>0</v>
      </c>
      <c r="W597" s="71" t="s">
        <v>96</v>
      </c>
      <c r="X597" s="71">
        <f t="shared" si="217"/>
        <v>360</v>
      </c>
      <c r="Y597" s="71"/>
      <c r="Z597" s="71"/>
      <c r="AA597" s="71" t="str">
        <f t="shared" si="247"/>
        <v>基因罐</v>
      </c>
      <c r="AB597" s="71">
        <f t="shared" si="213"/>
        <v>30</v>
      </c>
      <c r="AC597" s="71" t="s">
        <v>374</v>
      </c>
      <c r="AD597" s="71">
        <v>150</v>
      </c>
      <c r="AE597" s="72" t="str">
        <f t="shared" si="244"/>
        <v>法师特饮</v>
      </c>
      <c r="AF597" s="71">
        <v>300</v>
      </c>
      <c r="AG597" s="71"/>
      <c r="AH597" s="71"/>
      <c r="AI597" s="71" t="s">
        <v>390</v>
      </c>
      <c r="AJ597" s="71">
        <v>1</v>
      </c>
      <c r="AK597" s="71" t="s">
        <v>96</v>
      </c>
      <c r="AL597" s="71">
        <f t="shared" si="218"/>
        <v>600</v>
      </c>
      <c r="AN597" s="23" t="str">
        <f ca="1" t="shared" si="242"/>
        <v>{11,5}</v>
      </c>
      <c r="AO597" s="23" t="str">
        <f ca="1" t="shared" si="237"/>
        <v/>
      </c>
      <c r="AP597" s="23" t="str">
        <f ca="1" t="shared" si="219"/>
        <v>{50003,15}</v>
      </c>
      <c r="AQ597" s="23" t="str">
        <f ca="1" t="shared" si="220"/>
        <v>{5143001,200}</v>
      </c>
      <c r="AR597" s="23" t="str">
        <f ca="1" t="shared" si="221"/>
        <v>{2,240}</v>
      </c>
      <c r="AS597" s="23" t="str">
        <f ca="1" t="shared" si="222"/>
        <v>{5113001,250}</v>
      </c>
      <c r="AT597" s="23" t="str">
        <f ca="1" t="shared" si="248"/>
        <v>{5523001,200}</v>
      </c>
      <c r="AU597" s="23" t="str">
        <f ca="1" t="shared" si="235"/>
        <v/>
      </c>
      <c r="AV597" s="23" t="str">
        <f ca="1" t="shared" si="223"/>
        <v>{50005,25}</v>
      </c>
      <c r="AW597" s="23" t="str">
        <f ca="1" t="shared" si="224"/>
        <v/>
      </c>
      <c r="AX597" s="23" t="str">
        <f ca="1" t="shared" si="225"/>
        <v>{2,360}</v>
      </c>
      <c r="AY597" s="23" t="str">
        <f ca="1" t="shared" si="226"/>
        <v>{5204001,5}</v>
      </c>
      <c r="AZ597" s="23" t="str">
        <f ca="1" t="shared" si="214"/>
        <v>{5203001,30}</v>
      </c>
      <c r="BA597" s="23" t="str">
        <f ca="1" t="shared" si="227"/>
        <v>{1,150}</v>
      </c>
      <c r="BB597" s="23" t="s">
        <v>401</v>
      </c>
      <c r="BC597" s="23" t="str">
        <f ca="1" t="shared" si="228"/>
        <v>{5123001,300}</v>
      </c>
      <c r="BD597" s="23" t="str">
        <f ca="1" t="shared" si="245"/>
        <v/>
      </c>
      <c r="BE597" s="23" t="str">
        <f ca="1" t="shared" si="249"/>
        <v>{50039,1}</v>
      </c>
      <c r="BF597" s="23" t="str">
        <f ca="1" t="shared" si="229"/>
        <v>{2,600}</v>
      </c>
      <c r="BI597" s="23" t="str">
        <f ca="1" t="shared" si="230"/>
        <v>[{11,5},{50003,15},{5143001,200},{2,240}]</v>
      </c>
      <c r="BJ597" s="23" t="str">
        <f ca="1" t="shared" si="231"/>
        <v>[{5113001,250},{5523001,200},{50005,25},{2,360},{5204001,5}]</v>
      </c>
      <c r="BK597" s="23" t="str">
        <f ca="1" t="shared" si="232"/>
        <v>[{5203001,30},{1,150},{5523001,300},{5123001,300},{50039,1},{2,600}]</v>
      </c>
      <c r="BL597" s="23">
        <f ca="1" t="shared" si="233"/>
        <v>4</v>
      </c>
      <c r="BM597" s="23">
        <f ca="1" t="shared" si="234"/>
        <v>5</v>
      </c>
      <c r="BN597" s="23">
        <f ca="1" t="shared" si="236"/>
        <v>6</v>
      </c>
      <c r="BP597" s="71" t="s">
        <v>374</v>
      </c>
      <c r="BQ597" s="71">
        <v>150</v>
      </c>
    </row>
    <row r="598" ht="16.5" spans="2:69">
      <c r="B598" s="23">
        <v>278</v>
      </c>
      <c r="C598" s="12"/>
      <c r="D598" s="12"/>
      <c r="E598" s="71"/>
      <c r="F598" s="71"/>
      <c r="G598" s="71" t="str">
        <f t="shared" si="238"/>
        <v>衣服图纸</v>
      </c>
      <c r="H598" s="71">
        <v>15</v>
      </c>
      <c r="I598" s="71" t="str">
        <f t="shared" si="243"/>
        <v>战士特饮</v>
      </c>
      <c r="J598" s="71">
        <v>200</v>
      </c>
      <c r="K598" s="71" t="s">
        <v>96</v>
      </c>
      <c r="L598" s="71">
        <v>240</v>
      </c>
      <c r="M598" s="71" t="str">
        <f t="shared" si="246"/>
        <v>法师特饮</v>
      </c>
      <c r="N598" s="71">
        <f t="shared" si="250"/>
        <v>250</v>
      </c>
      <c r="O598" s="71" t="s">
        <v>316</v>
      </c>
      <c r="P598" s="71">
        <v>200</v>
      </c>
      <c r="Q598" s="71"/>
      <c r="R598" s="71"/>
      <c r="S598" s="72" t="str">
        <f t="shared" si="239"/>
        <v>裤子图纸</v>
      </c>
      <c r="T598" s="71">
        <v>25</v>
      </c>
      <c r="U598" s="71" t="str">
        <f t="shared" si="240"/>
        <v/>
      </c>
      <c r="V598" s="71">
        <f t="shared" si="241"/>
        <v>0</v>
      </c>
      <c r="W598" s="71" t="s">
        <v>96</v>
      </c>
      <c r="X598" s="71">
        <f t="shared" si="217"/>
        <v>360</v>
      </c>
      <c r="Y598" s="71"/>
      <c r="Z598" s="71"/>
      <c r="AA598" s="71" t="str">
        <f t="shared" si="247"/>
        <v>基因罐</v>
      </c>
      <c r="AB598" s="71">
        <f t="shared" si="213"/>
        <v>30</v>
      </c>
      <c r="AC598" s="71" t="s">
        <v>374</v>
      </c>
      <c r="AD598" s="71">
        <v>150</v>
      </c>
      <c r="AE598" s="72" t="str">
        <f t="shared" si="244"/>
        <v>辅助特饮</v>
      </c>
      <c r="AF598" s="71">
        <v>300</v>
      </c>
      <c r="AG598" s="71"/>
      <c r="AH598" s="71"/>
      <c r="AI598" s="71" t="s">
        <v>390</v>
      </c>
      <c r="AJ598" s="71">
        <v>1</v>
      </c>
      <c r="AK598" s="71" t="s">
        <v>96</v>
      </c>
      <c r="AL598" s="71">
        <f t="shared" si="218"/>
        <v>600</v>
      </c>
      <c r="AN598" s="23" t="str">
        <f ca="1" t="shared" si="242"/>
        <v>{11,5}</v>
      </c>
      <c r="AO598" s="23" t="str">
        <f ca="1" t="shared" si="237"/>
        <v/>
      </c>
      <c r="AP598" s="23" t="str">
        <f ca="1" t="shared" si="219"/>
        <v>{50004,15}</v>
      </c>
      <c r="AQ598" s="23" t="str">
        <f ca="1" t="shared" si="220"/>
        <v>{5113001,200}</v>
      </c>
      <c r="AR598" s="23" t="str">
        <f ca="1" t="shared" si="221"/>
        <v>{2,240}</v>
      </c>
      <c r="AS598" s="23" t="str">
        <f ca="1" t="shared" si="222"/>
        <v>{5123001,250}</v>
      </c>
      <c r="AT598" s="23" t="str">
        <f ca="1" t="shared" si="248"/>
        <v>{5523001,200}</v>
      </c>
      <c r="AU598" s="23" t="str">
        <f ca="1" t="shared" si="235"/>
        <v/>
      </c>
      <c r="AV598" s="23" t="str">
        <f ca="1" t="shared" si="223"/>
        <v>{50006,25}</v>
      </c>
      <c r="AW598" s="23" t="str">
        <f ca="1" t="shared" si="224"/>
        <v/>
      </c>
      <c r="AX598" s="23" t="str">
        <f ca="1" t="shared" si="225"/>
        <v>{2,360}</v>
      </c>
      <c r="AY598" s="23" t="str">
        <f ca="1" t="shared" si="226"/>
        <v>{5204001,5}</v>
      </c>
      <c r="AZ598" s="23" t="str">
        <f ca="1" t="shared" si="214"/>
        <v>{5203001,30}</v>
      </c>
      <c r="BA598" s="23" t="str">
        <f ca="1" t="shared" si="227"/>
        <v>{1,150}</v>
      </c>
      <c r="BB598" s="23" t="s">
        <v>401</v>
      </c>
      <c r="BC598" s="23" t="str">
        <f ca="1" t="shared" si="228"/>
        <v>{5143001,300}</v>
      </c>
      <c r="BD598" s="23" t="str">
        <f ca="1" t="shared" si="245"/>
        <v/>
      </c>
      <c r="BE598" s="23" t="str">
        <f ca="1" t="shared" si="249"/>
        <v>{50039,1}</v>
      </c>
      <c r="BF598" s="23" t="str">
        <f ca="1" t="shared" si="229"/>
        <v>{2,600}</v>
      </c>
      <c r="BI598" s="23" t="str">
        <f ca="1" t="shared" si="230"/>
        <v>[{11,5},{50004,15},{5113001,200},{2,240}]</v>
      </c>
      <c r="BJ598" s="23" t="str">
        <f ca="1" t="shared" si="231"/>
        <v>[{5123001,250},{5523001,200},{50006,25},{2,360},{5204001,5}]</v>
      </c>
      <c r="BK598" s="23" t="str">
        <f ca="1" t="shared" si="232"/>
        <v>[{5203001,30},{1,150},{5523001,300},{5143001,300},{50039,1},{2,600}]</v>
      </c>
      <c r="BL598" s="23">
        <f ca="1" t="shared" si="233"/>
        <v>4</v>
      </c>
      <c r="BM598" s="23">
        <f ca="1" t="shared" si="234"/>
        <v>5</v>
      </c>
      <c r="BN598" s="23">
        <f ca="1" t="shared" si="236"/>
        <v>6</v>
      </c>
      <c r="BP598" s="71" t="s">
        <v>374</v>
      </c>
      <c r="BQ598" s="71">
        <v>150</v>
      </c>
    </row>
    <row r="599" ht="16.5" spans="2:69">
      <c r="B599" s="23">
        <v>279</v>
      </c>
      <c r="C599" s="12"/>
      <c r="D599" s="12"/>
      <c r="E599" s="71"/>
      <c r="F599" s="71"/>
      <c r="G599" s="71" t="str">
        <f t="shared" si="238"/>
        <v>护臂图纸</v>
      </c>
      <c r="H599" s="71">
        <v>15</v>
      </c>
      <c r="I599" s="71" t="str">
        <f t="shared" si="243"/>
        <v>毒系特饮</v>
      </c>
      <c r="J599" s="71">
        <v>200</v>
      </c>
      <c r="K599" s="71" t="s">
        <v>96</v>
      </c>
      <c r="L599" s="71">
        <v>240</v>
      </c>
      <c r="M599" s="71" t="str">
        <f t="shared" si="246"/>
        <v>辅助特饮</v>
      </c>
      <c r="N599" s="71">
        <f t="shared" si="250"/>
        <v>250</v>
      </c>
      <c r="O599" s="71" t="s">
        <v>316</v>
      </c>
      <c r="P599" s="71">
        <v>200</v>
      </c>
      <c r="Q599" s="71"/>
      <c r="R599" s="71"/>
      <c r="S599" s="72" t="str">
        <f t="shared" si="239"/>
        <v>鞋子图纸</v>
      </c>
      <c r="T599" s="71">
        <v>25</v>
      </c>
      <c r="U599" s="71" t="str">
        <f t="shared" si="240"/>
        <v/>
      </c>
      <c r="V599" s="71">
        <f t="shared" si="241"/>
        <v>0</v>
      </c>
      <c r="W599" s="71" t="s">
        <v>96</v>
      </c>
      <c r="X599" s="71">
        <f t="shared" si="217"/>
        <v>360</v>
      </c>
      <c r="Y599" s="71"/>
      <c r="Z599" s="71"/>
      <c r="AA599" s="71" t="str">
        <f t="shared" si="247"/>
        <v>基因罐</v>
      </c>
      <c r="AB599" s="71">
        <f t="shared" si="213"/>
        <v>30</v>
      </c>
      <c r="AC599" s="71" t="s">
        <v>374</v>
      </c>
      <c r="AD599" s="71">
        <v>150</v>
      </c>
      <c r="AE599" s="72" t="str">
        <f t="shared" si="244"/>
        <v>毒系特饮</v>
      </c>
      <c r="AF599" s="71">
        <v>300</v>
      </c>
      <c r="AG599" s="71"/>
      <c r="AH599" s="71"/>
      <c r="AI599" s="71" t="s">
        <v>390</v>
      </c>
      <c r="AJ599" s="71">
        <v>1</v>
      </c>
      <c r="AK599" s="71" t="s">
        <v>96</v>
      </c>
      <c r="AL599" s="71">
        <f t="shared" si="218"/>
        <v>600</v>
      </c>
      <c r="AN599" s="23" t="str">
        <f ca="1" t="shared" si="242"/>
        <v>{11,5}</v>
      </c>
      <c r="AO599" s="23" t="str">
        <f ca="1" t="shared" si="237"/>
        <v/>
      </c>
      <c r="AP599" s="23" t="str">
        <f ca="1" t="shared" si="219"/>
        <v>{50005,15}</v>
      </c>
      <c r="AQ599" s="23" t="str">
        <f ca="1" t="shared" si="220"/>
        <v>{5163001,200}</v>
      </c>
      <c r="AR599" s="23" t="str">
        <f ca="1" t="shared" si="221"/>
        <v>{2,240}</v>
      </c>
      <c r="AS599" s="23" t="str">
        <f ca="1" t="shared" si="222"/>
        <v>{5143001,250}</v>
      </c>
      <c r="AT599" s="23" t="str">
        <f ca="1" t="shared" si="248"/>
        <v>{5523001,200}</v>
      </c>
      <c r="AU599" s="23" t="str">
        <f ca="1" t="shared" si="235"/>
        <v/>
      </c>
      <c r="AV599" s="23" t="str">
        <f ca="1" t="shared" si="223"/>
        <v>{50007,25}</v>
      </c>
      <c r="AW599" s="23" t="str">
        <f ca="1" t="shared" si="224"/>
        <v/>
      </c>
      <c r="AX599" s="23" t="str">
        <f ca="1" t="shared" si="225"/>
        <v>{2,360}</v>
      </c>
      <c r="AY599" s="23" t="str">
        <f ca="1" t="shared" si="226"/>
        <v>{5204001,5}</v>
      </c>
      <c r="AZ599" s="23" t="str">
        <f ca="1" t="shared" si="214"/>
        <v>{5203001,30}</v>
      </c>
      <c r="BA599" s="23" t="str">
        <f ca="1" t="shared" si="227"/>
        <v>{1,150}</v>
      </c>
      <c r="BB599" s="23" t="s">
        <v>401</v>
      </c>
      <c r="BC599" s="23" t="str">
        <f ca="1" t="shared" si="228"/>
        <v>{5163001,300}</v>
      </c>
      <c r="BD599" s="23" t="str">
        <f ca="1" t="shared" si="245"/>
        <v/>
      </c>
      <c r="BE599" s="23" t="str">
        <f ca="1" t="shared" si="249"/>
        <v>{50039,1}</v>
      </c>
      <c r="BF599" s="23" t="str">
        <f ca="1" t="shared" si="229"/>
        <v>{2,600}</v>
      </c>
      <c r="BI599" s="23" t="str">
        <f ca="1" t="shared" si="230"/>
        <v>[{11,5},{50005,15},{5163001,200},{2,240}]</v>
      </c>
      <c r="BJ599" s="23" t="str">
        <f ca="1" t="shared" si="231"/>
        <v>[{5143001,250},{5523001,200},{50007,25},{2,360},{5204001,5}]</v>
      </c>
      <c r="BK599" s="23" t="str">
        <f ca="1" t="shared" si="232"/>
        <v>[{5203001,30},{1,150},{5523001,300},{5163001,300},{50039,1},{2,600}]</v>
      </c>
      <c r="BL599" s="23">
        <f ca="1" t="shared" si="233"/>
        <v>4</v>
      </c>
      <c r="BM599" s="23">
        <f ca="1" t="shared" si="234"/>
        <v>5</v>
      </c>
      <c r="BN599" s="23">
        <f ca="1" t="shared" si="236"/>
        <v>6</v>
      </c>
      <c r="BP599" s="71" t="s">
        <v>374</v>
      </c>
      <c r="BQ599" s="71">
        <v>150</v>
      </c>
    </row>
    <row r="600" ht="16.5" spans="2:69">
      <c r="B600" s="23">
        <v>280</v>
      </c>
      <c r="C600" s="12" t="inlineStr">
        <is>
          <t>梦愿水晶</t>
        </is>
      </c>
      <c r="D600" s="12">
        <v>1</v>
      </c>
      <c r="E600" s="71"/>
      <c r="F600" s="71"/>
      <c r="G600" s="71" t="str">
        <f t="shared" si="238"/>
        <v>裤子图纸</v>
      </c>
      <c r="H600" s="71">
        <v>15</v>
      </c>
      <c r="I600" s="71" t="str">
        <f t="shared" si="243"/>
        <v>控制特饮</v>
      </c>
      <c r="J600" s="71">
        <v>200</v>
      </c>
      <c r="K600" s="71" t="s">
        <v>96</v>
      </c>
      <c r="L600" s="71">
        <v>240</v>
      </c>
      <c r="M600" s="71" t="str">
        <f t="shared" si="246"/>
        <v>射手特饮</v>
      </c>
      <c r="N600" s="71">
        <f t="shared" si="250"/>
        <v>250</v>
      </c>
      <c r="O600" s="71" t="s">
        <v>316</v>
      </c>
      <c r="P600" s="71">
        <v>200</v>
      </c>
      <c r="Q600" s="71"/>
      <c r="R600" s="71"/>
      <c r="S600" s="72" t="str">
        <f t="shared" si="239"/>
        <v>手套图纸</v>
      </c>
      <c r="T600" s="71">
        <v>25</v>
      </c>
      <c r="U600" s="71" t="str">
        <f t="shared" si="240"/>
        <v>灵感获取令</v>
      </c>
      <c r="V600" s="71">
        <f t="shared" si="241"/>
        <v>1</v>
      </c>
      <c r="W600" s="71" t="s">
        <v>96</v>
      </c>
      <c r="X600" s="71">
        <f t="shared" si="217"/>
        <v>360</v>
      </c>
      <c r="Y600" s="71"/>
      <c r="Z600" s="71"/>
      <c r="AA600" s="71" t="str">
        <f t="shared" si="247"/>
        <v>传说基因罐</v>
      </c>
      <c r="AB600" s="71">
        <f t="shared" si="213"/>
        <v>3</v>
      </c>
      <c r="AC600" s="71" t="s">
        <v>374</v>
      </c>
      <c r="AD600" s="71">
        <v>150</v>
      </c>
      <c r="AE600" s="72" t="str">
        <f t="shared" si="244"/>
        <v>控制特饮</v>
      </c>
      <c r="AF600" s="71">
        <v>300</v>
      </c>
      <c r="AG600" s="71"/>
      <c r="AH600" s="71"/>
      <c r="AI600" s="71" t="s">
        <v>390</v>
      </c>
      <c r="AJ600" s="71">
        <v>1</v>
      </c>
      <c r="AK600" s="71" t="s">
        <v>96</v>
      </c>
      <c r="AL600" s="71">
        <f t="shared" si="218"/>
        <v>600</v>
      </c>
      <c r="AN600" s="23" t="str">
        <f ca="1" t="shared" si="242"/>
        <v>{35,1}</v>
      </c>
      <c r="AO600" s="23" t="str">
        <f ca="1" t="shared" si="237"/>
        <v/>
      </c>
      <c r="AP600" s="23" t="str">
        <f ca="1" t="shared" si="219"/>
        <v>{50006,15}</v>
      </c>
      <c r="AQ600" s="23" t="str">
        <f ca="1" t="shared" si="220"/>
        <v>{5153001,200}</v>
      </c>
      <c r="AR600" s="23" t="str">
        <f ca="1" t="shared" si="221"/>
        <v>{2,240}</v>
      </c>
      <c r="AS600" s="23" t="str">
        <f ca="1" t="shared" si="222"/>
        <v>{5133001,250}</v>
      </c>
      <c r="AT600" s="23" t="str">
        <f ca="1" t="shared" si="248"/>
        <v>{5523001,200}</v>
      </c>
      <c r="AU600" s="23" t="str">
        <f ca="1" t="shared" si="235"/>
        <v/>
      </c>
      <c r="AV600" s="23" t="str">
        <f ca="1" t="shared" si="223"/>
        <v>{50008,25}</v>
      </c>
      <c r="AW600" s="23" t="str">
        <f ca="1" t="shared" si="224"/>
        <v>{9,1}</v>
      </c>
      <c r="AX600" s="23" t="str">
        <f ca="1" t="shared" si="225"/>
        <v>{2,360}</v>
      </c>
      <c r="AY600" s="23" t="str">
        <f ca="1" t="shared" si="226"/>
        <v>{5204001,5}</v>
      </c>
      <c r="AZ600" s="23" t="str">
        <f ca="1" t="shared" si="214"/>
        <v>{5205001,3}</v>
      </c>
      <c r="BA600" s="23" t="str">
        <f ca="1" t="shared" si="227"/>
        <v>{1,150}</v>
      </c>
      <c r="BB600" s="23" t="s">
        <v>401</v>
      </c>
      <c r="BC600" s="23" t="str">
        <f ca="1" t="shared" si="228"/>
        <v>{5153001,300}</v>
      </c>
      <c r="BD600" s="23" t="str">
        <f ca="1" t="shared" si="245"/>
        <v/>
      </c>
      <c r="BE600" s="23" t="str">
        <f ca="1" t="shared" si="249"/>
        <v>{50039,1}</v>
      </c>
      <c r="BF600" s="23" t="str">
        <f ca="1" t="shared" si="229"/>
        <v>{2,600}</v>
      </c>
      <c r="BI600" s="23" t="str">
        <f ca="1" t="shared" si="230"/>
        <v>[{35,1},{50006,15},{5153001,200},{2,240}]</v>
      </c>
      <c r="BJ600" s="23" t="str">
        <f ca="1" t="shared" si="231"/>
        <v>[{5133001,250},{5523001,200},{50008,25},{9,1},{2,360},{5204001,5}]</v>
      </c>
      <c r="BK600" s="23" t="str">
        <f ca="1" t="shared" si="232"/>
        <v>[{5205001,3},{1,150},{5523001,300},{5153001,300},{50039,1},{2,600}]</v>
      </c>
      <c r="BL600" s="23">
        <f ca="1" t="shared" si="233"/>
        <v>4</v>
      </c>
      <c r="BM600" s="23">
        <f ca="1" t="shared" si="234"/>
        <v>6</v>
      </c>
      <c r="BN600" s="23">
        <f ca="1" t="shared" si="236"/>
        <v>6</v>
      </c>
      <c r="BP600" s="71" t="s">
        <v>374</v>
      </c>
      <c r="BQ600" s="71">
        <v>150</v>
      </c>
    </row>
    <row r="601" ht="16.5" spans="2:69">
      <c r="B601" s="23">
        <v>281</v>
      </c>
      <c r="C601" s="12"/>
      <c r="D601" s="12"/>
      <c r="E601" s="71"/>
      <c r="F601" s="71"/>
      <c r="G601" s="71" t="str">
        <f t="shared" si="238"/>
        <v>鞋子图纸</v>
      </c>
      <c r="H601" s="71">
        <v>15</v>
      </c>
      <c r="I601" s="71" t="str">
        <f t="shared" si="243"/>
        <v>射手特饮</v>
      </c>
      <c r="J601" s="71">
        <v>200</v>
      </c>
      <c r="K601" s="71" t="s">
        <v>96</v>
      </c>
      <c r="L601" s="71">
        <v>240</v>
      </c>
      <c r="M601" s="71" t="str">
        <f t="shared" si="246"/>
        <v>毒系特饮</v>
      </c>
      <c r="N601" s="71">
        <f t="shared" si="250"/>
        <v>250</v>
      </c>
      <c r="O601" s="71" t="s">
        <v>316</v>
      </c>
      <c r="P601" s="71">
        <v>200</v>
      </c>
      <c r="Q601" s="71"/>
      <c r="R601" s="71"/>
      <c r="S601" s="72" t="str">
        <f t="shared" si="239"/>
        <v>头盔图纸</v>
      </c>
      <c r="T601" s="71">
        <v>25</v>
      </c>
      <c r="U601" s="71" t="str">
        <f t="shared" si="240"/>
        <v/>
      </c>
      <c r="V601" s="71">
        <f t="shared" si="241"/>
        <v>0</v>
      </c>
      <c r="W601" s="71" t="s">
        <v>96</v>
      </c>
      <c r="X601" s="71">
        <f t="shared" si="217"/>
        <v>360</v>
      </c>
      <c r="Y601" s="71"/>
      <c r="Z601" s="71"/>
      <c r="AA601" s="71" t="str">
        <f t="shared" si="247"/>
        <v>基因罐</v>
      </c>
      <c r="AB601" s="71">
        <f t="shared" ref="AB601:AB620" si="251">AB596</f>
        <v>30</v>
      </c>
      <c r="AC601" s="71" t="s">
        <v>374</v>
      </c>
      <c r="AD601" s="71">
        <v>150</v>
      </c>
      <c r="AE601" s="72" t="str">
        <f t="shared" si="244"/>
        <v>射手特饮</v>
      </c>
      <c r="AF601" s="71">
        <v>300</v>
      </c>
      <c r="AG601" s="71"/>
      <c r="AH601" s="71"/>
      <c r="AI601" s="71" t="s">
        <v>390</v>
      </c>
      <c r="AJ601" s="71">
        <v>1</v>
      </c>
      <c r="AK601" s="71" t="s">
        <v>96</v>
      </c>
      <c r="AL601" s="71">
        <f t="shared" si="218"/>
        <v>600</v>
      </c>
      <c r="AN601" s="23" t="str">
        <f ca="1" t="shared" si="242"/>
        <v>{11,5}</v>
      </c>
      <c r="AO601" s="23" t="str">
        <f ca="1" t="shared" si="237"/>
        <v/>
      </c>
      <c r="AP601" s="23" t="str">
        <f ca="1" t="shared" si="219"/>
        <v>{50007,15}</v>
      </c>
      <c r="AQ601" s="23" t="str">
        <f ca="1" t="shared" si="220"/>
        <v>{5133001,200}</v>
      </c>
      <c r="AR601" s="23" t="str">
        <f ca="1" t="shared" si="221"/>
        <v>{2,240}</v>
      </c>
      <c r="AS601" s="23" t="str">
        <f ca="1" t="shared" si="222"/>
        <v>{5163001,250}</v>
      </c>
      <c r="AT601" s="23" t="str">
        <f ca="1" t="shared" si="248"/>
        <v>{5523001,200}</v>
      </c>
      <c r="AU601" s="23" t="str">
        <f ca="1" t="shared" si="235"/>
        <v/>
      </c>
      <c r="AV601" s="23" t="str">
        <f ca="1" t="shared" si="223"/>
        <v>{50003,25}</v>
      </c>
      <c r="AW601" s="23" t="str">
        <f ca="1" t="shared" si="224"/>
        <v/>
      </c>
      <c r="AX601" s="23" t="str">
        <f ca="1" t="shared" si="225"/>
        <v>{2,360}</v>
      </c>
      <c r="AY601" s="23" t="str">
        <f ca="1" t="shared" si="226"/>
        <v>{5204001,5}</v>
      </c>
      <c r="AZ601" s="23" t="str">
        <f ca="1" t="shared" si="214"/>
        <v>{5203001,30}</v>
      </c>
      <c r="BA601" s="23" t="str">
        <f ca="1" t="shared" si="227"/>
        <v>{1,150}</v>
      </c>
      <c r="BB601" s="23" t="s">
        <v>401</v>
      </c>
      <c r="BC601" s="23" t="str">
        <f ca="1" t="shared" si="228"/>
        <v>{5133001,300}</v>
      </c>
      <c r="BD601" s="23" t="str">
        <f ca="1" t="shared" si="245"/>
        <v/>
      </c>
      <c r="BE601" s="23" t="str">
        <f ca="1" t="shared" si="249"/>
        <v>{50039,1}</v>
      </c>
      <c r="BF601" s="23" t="str">
        <f ca="1" t="shared" si="229"/>
        <v>{2,600}</v>
      </c>
      <c r="BI601" s="23" t="str">
        <f ca="1" t="shared" si="230"/>
        <v>[{11,5},{50007,15},{5133001,200},{2,240}]</v>
      </c>
      <c r="BJ601" s="23" t="str">
        <f ca="1" t="shared" si="231"/>
        <v>[{5163001,250},{5523001,200},{50003,25},{2,360},{5204001,5}]</v>
      </c>
      <c r="BK601" s="23" t="str">
        <f ca="1" t="shared" si="232"/>
        <v>[{5203001,30},{1,150},{5523001,300},{5133001,300},{50039,1},{2,600}]</v>
      </c>
      <c r="BL601" s="23">
        <f ca="1" t="shared" si="233"/>
        <v>4</v>
      </c>
      <c r="BM601" s="23">
        <f ca="1" t="shared" si="234"/>
        <v>5</v>
      </c>
      <c r="BN601" s="23">
        <f ca="1" t="shared" si="236"/>
        <v>6</v>
      </c>
      <c r="BP601" s="71" t="s">
        <v>374</v>
      </c>
      <c r="BQ601" s="71">
        <v>150</v>
      </c>
    </row>
    <row r="602" ht="16.5" spans="2:69">
      <c r="B602" s="23">
        <v>282</v>
      </c>
      <c r="C602" s="12"/>
      <c r="D602" s="12"/>
      <c r="E602" s="71"/>
      <c r="F602" s="71"/>
      <c r="G602" s="71" t="str">
        <f t="shared" si="238"/>
        <v>手套图纸</v>
      </c>
      <c r="H602" s="71">
        <v>15</v>
      </c>
      <c r="I602" s="71" t="str">
        <f t="shared" si="243"/>
        <v>法师特饮</v>
      </c>
      <c r="J602" s="71">
        <v>200</v>
      </c>
      <c r="K602" s="71" t="s">
        <v>96</v>
      </c>
      <c r="L602" s="71">
        <v>240</v>
      </c>
      <c r="M602" s="71" t="str">
        <f t="shared" si="246"/>
        <v>控制特饮</v>
      </c>
      <c r="N602" s="71">
        <f t="shared" si="250"/>
        <v>250</v>
      </c>
      <c r="O602" s="71" t="s">
        <v>316</v>
      </c>
      <c r="P602" s="71">
        <v>200</v>
      </c>
      <c r="Q602" s="71"/>
      <c r="R602" s="71"/>
      <c r="S602" s="72" t="str">
        <f t="shared" si="239"/>
        <v>衣服图纸</v>
      </c>
      <c r="T602" s="71">
        <v>25</v>
      </c>
      <c r="U602" s="71" t="str">
        <f t="shared" si="240"/>
        <v/>
      </c>
      <c r="V602" s="71">
        <f t="shared" si="241"/>
        <v>0</v>
      </c>
      <c r="W602" s="71" t="s">
        <v>96</v>
      </c>
      <c r="X602" s="71">
        <f t="shared" si="217"/>
        <v>360</v>
      </c>
      <c r="Y602" s="71"/>
      <c r="Z602" s="71"/>
      <c r="AA602" s="71" t="str">
        <f t="shared" si="247"/>
        <v>基因罐</v>
      </c>
      <c r="AB602" s="71">
        <f t="shared" si="251"/>
        <v>30</v>
      </c>
      <c r="AC602" s="71" t="s">
        <v>374</v>
      </c>
      <c r="AD602" s="71">
        <v>150</v>
      </c>
      <c r="AE602" s="72" t="str">
        <f t="shared" si="244"/>
        <v>战士特饮</v>
      </c>
      <c r="AF602" s="71">
        <v>300</v>
      </c>
      <c r="AG602" s="71"/>
      <c r="AH602" s="71"/>
      <c r="AI602" s="71" t="s">
        <v>390</v>
      </c>
      <c r="AJ602" s="71">
        <v>1</v>
      </c>
      <c r="AK602" s="71" t="s">
        <v>96</v>
      </c>
      <c r="AL602" s="71">
        <f t="shared" si="218"/>
        <v>600</v>
      </c>
      <c r="AN602" s="23" t="str">
        <f ca="1" t="shared" si="242"/>
        <v>{11,5}</v>
      </c>
      <c r="AO602" s="23" t="str">
        <f ca="1" t="shared" si="237"/>
        <v/>
      </c>
      <c r="AP602" s="23" t="str">
        <f ca="1" t="shared" si="219"/>
        <v>{50008,15}</v>
      </c>
      <c r="AQ602" s="23" t="str">
        <f ca="1" t="shared" si="220"/>
        <v>{5123001,200}</v>
      </c>
      <c r="AR602" s="23" t="str">
        <f ca="1" t="shared" si="221"/>
        <v>{2,240}</v>
      </c>
      <c r="AS602" s="23" t="str">
        <f ca="1" t="shared" si="222"/>
        <v>{5153001,250}</v>
      </c>
      <c r="AT602" s="23" t="str">
        <f ca="1" t="shared" si="248"/>
        <v>{5523001,200}</v>
      </c>
      <c r="AU602" s="23" t="str">
        <f ca="1" t="shared" si="235"/>
        <v/>
      </c>
      <c r="AV602" s="23" t="str">
        <f ca="1" t="shared" si="223"/>
        <v>{50004,25}</v>
      </c>
      <c r="AW602" s="23" t="str">
        <f ca="1" t="shared" si="224"/>
        <v/>
      </c>
      <c r="AX602" s="23" t="str">
        <f ca="1" t="shared" si="225"/>
        <v>{2,360}</v>
      </c>
      <c r="AY602" s="23" t="str">
        <f ca="1" t="shared" si="226"/>
        <v>{5204001,5}</v>
      </c>
      <c r="AZ602" s="23" t="str">
        <f ca="1" t="shared" si="214"/>
        <v>{5203001,30}</v>
      </c>
      <c r="BA602" s="23" t="str">
        <f ca="1" t="shared" si="227"/>
        <v>{1,150}</v>
      </c>
      <c r="BB602" s="23" t="s">
        <v>401</v>
      </c>
      <c r="BC602" s="23" t="str">
        <f ca="1" t="shared" si="228"/>
        <v>{5113001,300}</v>
      </c>
      <c r="BD602" s="23" t="str">
        <f ca="1" t="shared" si="245"/>
        <v/>
      </c>
      <c r="BE602" s="23" t="str">
        <f ca="1" t="shared" si="249"/>
        <v>{50039,1}</v>
      </c>
      <c r="BF602" s="23" t="str">
        <f ca="1" t="shared" si="229"/>
        <v>{2,600}</v>
      </c>
      <c r="BI602" s="23" t="str">
        <f ca="1" t="shared" si="230"/>
        <v>[{11,5},{50008,15},{5123001,200},{2,240}]</v>
      </c>
      <c r="BJ602" s="23" t="str">
        <f ca="1" t="shared" si="231"/>
        <v>[{5153001,250},{5523001,200},{50004,25},{2,360},{5204001,5}]</v>
      </c>
      <c r="BK602" s="23" t="str">
        <f ca="1" t="shared" si="232"/>
        <v>[{5203001,30},{1,150},{5523001,300},{5113001,300},{50039,1},{2,600}]</v>
      </c>
      <c r="BL602" s="23">
        <f ca="1" t="shared" si="233"/>
        <v>4</v>
      </c>
      <c r="BM602" s="23">
        <f ca="1" t="shared" si="234"/>
        <v>5</v>
      </c>
      <c r="BN602" s="23">
        <f ca="1" t="shared" si="236"/>
        <v>6</v>
      </c>
      <c r="BP602" s="71" t="s">
        <v>374</v>
      </c>
      <c r="BQ602" s="71">
        <v>150</v>
      </c>
    </row>
    <row r="603" ht="16.5" spans="2:69">
      <c r="B603" s="23">
        <v>283</v>
      </c>
      <c r="C603" s="12"/>
      <c r="D603" s="12"/>
      <c r="E603" s="71"/>
      <c r="F603" s="71"/>
      <c r="G603" s="71" t="str">
        <f t="shared" si="238"/>
        <v>头盔图纸</v>
      </c>
      <c r="H603" s="71">
        <v>15</v>
      </c>
      <c r="I603" s="71" t="str">
        <f t="shared" si="243"/>
        <v>辅助特饮</v>
      </c>
      <c r="J603" s="71">
        <v>200</v>
      </c>
      <c r="K603" s="71" t="s">
        <v>96</v>
      </c>
      <c r="L603" s="71">
        <v>240</v>
      </c>
      <c r="M603" s="71" t="str">
        <f t="shared" si="246"/>
        <v>战士特饮</v>
      </c>
      <c r="N603" s="71">
        <f t="shared" si="250"/>
        <v>250</v>
      </c>
      <c r="O603" s="71" t="s">
        <v>316</v>
      </c>
      <c r="P603" s="71">
        <v>200</v>
      </c>
      <c r="Q603" s="71"/>
      <c r="R603" s="71"/>
      <c r="S603" s="72" t="str">
        <f t="shared" si="239"/>
        <v>护臂图纸</v>
      </c>
      <c r="T603" s="71">
        <v>25</v>
      </c>
      <c r="U603" s="71" t="str">
        <f t="shared" si="240"/>
        <v/>
      </c>
      <c r="V603" s="71">
        <f t="shared" si="241"/>
        <v>0</v>
      </c>
      <c r="W603" s="71" t="s">
        <v>96</v>
      </c>
      <c r="X603" s="71">
        <f t="shared" si="217"/>
        <v>360</v>
      </c>
      <c r="Y603" s="71"/>
      <c r="Z603" s="71"/>
      <c r="AA603" s="71" t="str">
        <f t="shared" si="247"/>
        <v>基因罐</v>
      </c>
      <c r="AB603" s="71">
        <f t="shared" si="251"/>
        <v>30</v>
      </c>
      <c r="AC603" s="71" t="s">
        <v>374</v>
      </c>
      <c r="AD603" s="71">
        <v>150</v>
      </c>
      <c r="AE603" s="72" t="str">
        <f t="shared" si="244"/>
        <v>法师特饮</v>
      </c>
      <c r="AF603" s="71">
        <v>300</v>
      </c>
      <c r="AG603" s="71"/>
      <c r="AH603" s="71"/>
      <c r="AI603" s="71" t="s">
        <v>390</v>
      </c>
      <c r="AJ603" s="71">
        <v>1</v>
      </c>
      <c r="AK603" s="71" t="s">
        <v>96</v>
      </c>
      <c r="AL603" s="71">
        <f t="shared" si="218"/>
        <v>600</v>
      </c>
      <c r="AN603" s="23" t="str">
        <f ca="1" t="shared" si="242"/>
        <v>{11,5}</v>
      </c>
      <c r="AO603" s="23" t="str">
        <f ca="1" t="shared" si="237"/>
        <v/>
      </c>
      <c r="AP603" s="23" t="str">
        <f ca="1" t="shared" si="219"/>
        <v>{50003,15}</v>
      </c>
      <c r="AQ603" s="23" t="str">
        <f ca="1" t="shared" si="220"/>
        <v>{5143001,200}</v>
      </c>
      <c r="AR603" s="23" t="str">
        <f ca="1" t="shared" si="221"/>
        <v>{2,240}</v>
      </c>
      <c r="AS603" s="23" t="str">
        <f ca="1" t="shared" si="222"/>
        <v>{5113001,250}</v>
      </c>
      <c r="AT603" s="23" t="str">
        <f ca="1" t="shared" si="248"/>
        <v>{5523001,200}</v>
      </c>
      <c r="AU603" s="23" t="str">
        <f ca="1" t="shared" si="235"/>
        <v/>
      </c>
      <c r="AV603" s="23" t="str">
        <f ca="1" t="shared" si="223"/>
        <v>{50005,25}</v>
      </c>
      <c r="AW603" s="23" t="str">
        <f ca="1" t="shared" si="224"/>
        <v/>
      </c>
      <c r="AX603" s="23" t="str">
        <f ca="1" t="shared" si="225"/>
        <v>{2,360}</v>
      </c>
      <c r="AY603" s="23" t="str">
        <f ca="1" t="shared" si="226"/>
        <v>{5204001,5}</v>
      </c>
      <c r="AZ603" s="23" t="str">
        <f ca="1" t="shared" si="214"/>
        <v>{5203001,30}</v>
      </c>
      <c r="BA603" s="23" t="str">
        <f ca="1" t="shared" si="227"/>
        <v>{1,150}</v>
      </c>
      <c r="BB603" s="23" t="s">
        <v>401</v>
      </c>
      <c r="BC603" s="23" t="str">
        <f ca="1" t="shared" si="228"/>
        <v>{5123001,300}</v>
      </c>
      <c r="BD603" s="23" t="str">
        <f ca="1" t="shared" si="245"/>
        <v/>
      </c>
      <c r="BE603" s="23" t="str">
        <f ca="1" t="shared" si="249"/>
        <v>{50039,1}</v>
      </c>
      <c r="BF603" s="23" t="str">
        <f ca="1" t="shared" si="229"/>
        <v>{2,600}</v>
      </c>
      <c r="BI603" s="23" t="str">
        <f ca="1" t="shared" si="230"/>
        <v>[{11,5},{50003,15},{5143001,200},{2,240}]</v>
      </c>
      <c r="BJ603" s="23" t="str">
        <f ca="1" t="shared" si="231"/>
        <v>[{5113001,250},{5523001,200},{50005,25},{2,360},{5204001,5}]</v>
      </c>
      <c r="BK603" s="23" t="str">
        <f ca="1" t="shared" si="232"/>
        <v>[{5203001,30},{1,150},{5523001,300},{5123001,300},{50039,1},{2,600}]</v>
      </c>
      <c r="BL603" s="23">
        <f ca="1" t="shared" si="233"/>
        <v>4</v>
      </c>
      <c r="BM603" s="23">
        <f ca="1" t="shared" si="234"/>
        <v>5</v>
      </c>
      <c r="BN603" s="23">
        <f ca="1" t="shared" si="236"/>
        <v>6</v>
      </c>
      <c r="BP603" s="71" t="s">
        <v>374</v>
      </c>
      <c r="BQ603" s="71">
        <v>150</v>
      </c>
    </row>
    <row r="604" ht="16.5" spans="2:69">
      <c r="B604" s="23">
        <v>284</v>
      </c>
      <c r="C604" s="12"/>
      <c r="D604" s="12"/>
      <c r="E604" s="71"/>
      <c r="F604" s="71"/>
      <c r="G604" s="71" t="str">
        <f t="shared" si="238"/>
        <v>衣服图纸</v>
      </c>
      <c r="H604" s="71">
        <v>15</v>
      </c>
      <c r="I604" s="71" t="str">
        <f t="shared" si="243"/>
        <v>战士特饮</v>
      </c>
      <c r="J604" s="71">
        <v>200</v>
      </c>
      <c r="K604" s="71" t="s">
        <v>96</v>
      </c>
      <c r="L604" s="71">
        <v>240</v>
      </c>
      <c r="M604" s="71" t="str">
        <f t="shared" si="246"/>
        <v>法师特饮</v>
      </c>
      <c r="N604" s="71">
        <f t="shared" si="250"/>
        <v>250</v>
      </c>
      <c r="O604" s="71" t="s">
        <v>316</v>
      </c>
      <c r="P604" s="71">
        <v>200</v>
      </c>
      <c r="Q604" s="71"/>
      <c r="R604" s="71"/>
      <c r="S604" s="72" t="str">
        <f t="shared" si="239"/>
        <v>裤子图纸</v>
      </c>
      <c r="T604" s="71">
        <v>25</v>
      </c>
      <c r="U604" s="71" t="str">
        <f t="shared" si="240"/>
        <v/>
      </c>
      <c r="V604" s="71">
        <f t="shared" si="241"/>
        <v>0</v>
      </c>
      <c r="W604" s="71" t="s">
        <v>96</v>
      </c>
      <c r="X604" s="71">
        <f t="shared" si="217"/>
        <v>360</v>
      </c>
      <c r="Y604" s="71"/>
      <c r="Z604" s="71"/>
      <c r="AA604" s="71" t="str">
        <f t="shared" si="247"/>
        <v>基因罐</v>
      </c>
      <c r="AB604" s="71">
        <f t="shared" si="251"/>
        <v>30</v>
      </c>
      <c r="AC604" s="71" t="s">
        <v>374</v>
      </c>
      <c r="AD604" s="71">
        <v>150</v>
      </c>
      <c r="AE604" s="72" t="str">
        <f t="shared" si="244"/>
        <v>辅助特饮</v>
      </c>
      <c r="AF604" s="71">
        <v>300</v>
      </c>
      <c r="AG604" s="71"/>
      <c r="AH604" s="71"/>
      <c r="AI604" s="71" t="s">
        <v>390</v>
      </c>
      <c r="AJ604" s="71">
        <v>1</v>
      </c>
      <c r="AK604" s="71" t="s">
        <v>96</v>
      </c>
      <c r="AL604" s="71">
        <f t="shared" si="218"/>
        <v>600</v>
      </c>
      <c r="AN604" s="23" t="str">
        <f ca="1" t="shared" si="242"/>
        <v>{11,5}</v>
      </c>
      <c r="AO604" s="23" t="str">
        <f ca="1" t="shared" si="237"/>
        <v/>
      </c>
      <c r="AP604" s="23" t="str">
        <f ca="1" t="shared" si="219"/>
        <v>{50004,15}</v>
      </c>
      <c r="AQ604" s="23" t="str">
        <f ca="1" t="shared" si="220"/>
        <v>{5113001,200}</v>
      </c>
      <c r="AR604" s="23" t="str">
        <f ca="1" t="shared" si="221"/>
        <v>{2,240}</v>
      </c>
      <c r="AS604" s="23" t="str">
        <f ca="1" t="shared" si="222"/>
        <v>{5123001,250}</v>
      </c>
      <c r="AT604" s="23" t="str">
        <f ca="1" t="shared" si="248"/>
        <v>{5523001,200}</v>
      </c>
      <c r="AU604" s="23" t="str">
        <f ca="1" t="shared" si="235"/>
        <v/>
      </c>
      <c r="AV604" s="23" t="str">
        <f ca="1" t="shared" si="223"/>
        <v>{50006,25}</v>
      </c>
      <c r="AW604" s="23" t="str">
        <f ca="1" t="shared" si="224"/>
        <v/>
      </c>
      <c r="AX604" s="23" t="str">
        <f ca="1" t="shared" si="225"/>
        <v>{2,360}</v>
      </c>
      <c r="AY604" s="23" t="str">
        <f ca="1" t="shared" si="226"/>
        <v>{5204001,5}</v>
      </c>
      <c r="AZ604" s="23" t="str">
        <f ca="1" t="shared" si="214"/>
        <v>{5203001,30}</v>
      </c>
      <c r="BA604" s="23" t="str">
        <f ca="1" t="shared" si="227"/>
        <v>{1,150}</v>
      </c>
      <c r="BB604" s="23" t="s">
        <v>401</v>
      </c>
      <c r="BC604" s="23" t="str">
        <f ca="1" t="shared" si="228"/>
        <v>{5143001,300}</v>
      </c>
      <c r="BD604" s="23" t="str">
        <f ca="1" t="shared" si="245"/>
        <v/>
      </c>
      <c r="BE604" s="23" t="str">
        <f ca="1" t="shared" si="249"/>
        <v>{50039,1}</v>
      </c>
      <c r="BF604" s="23" t="str">
        <f ca="1" t="shared" si="229"/>
        <v>{2,600}</v>
      </c>
      <c r="BI604" s="23" t="str">
        <f ca="1" t="shared" si="230"/>
        <v>[{11,5},{50004,15},{5113001,200},{2,240}]</v>
      </c>
      <c r="BJ604" s="23" t="str">
        <f ca="1" t="shared" si="231"/>
        <v>[{5123001,250},{5523001,200},{50006,25},{2,360},{5204001,5}]</v>
      </c>
      <c r="BK604" s="23" t="str">
        <f ca="1" t="shared" si="232"/>
        <v>[{5203001,30},{1,150},{5523001,300},{5143001,300},{50039,1},{2,600}]</v>
      </c>
      <c r="BL604" s="23">
        <f ca="1" t="shared" si="233"/>
        <v>4</v>
      </c>
      <c r="BM604" s="23">
        <f ca="1" t="shared" si="234"/>
        <v>5</v>
      </c>
      <c r="BN604" s="23">
        <f ca="1" t="shared" si="236"/>
        <v>6</v>
      </c>
      <c r="BP604" s="71" t="s">
        <v>374</v>
      </c>
      <c r="BQ604" s="71">
        <v>150</v>
      </c>
    </row>
    <row r="605" ht="16.5" spans="2:69">
      <c r="B605" s="23">
        <v>285</v>
      </c>
      <c r="C605" s="12" t="inlineStr">
        <is>
          <t>梦愿水晶</t>
        </is>
      </c>
      <c r="D605" s="12">
        <v>1</v>
      </c>
      <c r="E605" s="71"/>
      <c r="F605" s="71"/>
      <c r="G605" s="71" t="str">
        <f t="shared" si="238"/>
        <v>护臂图纸</v>
      </c>
      <c r="H605" s="71">
        <v>15</v>
      </c>
      <c r="I605" s="71" t="str">
        <f t="shared" si="243"/>
        <v>毒系特饮</v>
      </c>
      <c r="J605" s="71">
        <v>200</v>
      </c>
      <c r="K605" s="71" t="s">
        <v>96</v>
      </c>
      <c r="L605" s="71">
        <v>240</v>
      </c>
      <c r="M605" s="71" t="str">
        <f t="shared" si="246"/>
        <v>辅助特饮</v>
      </c>
      <c r="N605" s="71">
        <f t="shared" si="250"/>
        <v>250</v>
      </c>
      <c r="O605" s="71" t="s">
        <v>316</v>
      </c>
      <c r="P605" s="71">
        <v>200</v>
      </c>
      <c r="Q605" s="71"/>
      <c r="R605" s="71"/>
      <c r="S605" s="72" t="str">
        <f t="shared" si="239"/>
        <v>鞋子图纸</v>
      </c>
      <c r="T605" s="71">
        <v>25</v>
      </c>
      <c r="U605" s="71" t="str">
        <f t="shared" si="240"/>
        <v>灵感获取令</v>
      </c>
      <c r="V605" s="71">
        <f t="shared" si="241"/>
        <v>1</v>
      </c>
      <c r="W605" s="71" t="s">
        <v>96</v>
      </c>
      <c r="X605" s="71">
        <f t="shared" si="217"/>
        <v>360</v>
      </c>
      <c r="Y605" s="71"/>
      <c r="Z605" s="71"/>
      <c r="AA605" s="71" t="str">
        <f t="shared" si="247"/>
        <v>传说基因罐</v>
      </c>
      <c r="AB605" s="71">
        <f t="shared" si="251"/>
        <v>3</v>
      </c>
      <c r="AC605" s="71" t="s">
        <v>374</v>
      </c>
      <c r="AD605" s="71">
        <v>150</v>
      </c>
      <c r="AE605" s="72" t="str">
        <f t="shared" si="244"/>
        <v>毒系特饮</v>
      </c>
      <c r="AF605" s="71">
        <v>300</v>
      </c>
      <c r="AG605" s="71"/>
      <c r="AH605" s="71"/>
      <c r="AI605" s="71" t="s">
        <v>390</v>
      </c>
      <c r="AJ605" s="71">
        <v>1</v>
      </c>
      <c r="AK605" s="71" t="s">
        <v>96</v>
      </c>
      <c r="AL605" s="71">
        <f t="shared" si="218"/>
        <v>600</v>
      </c>
      <c r="AN605" s="23" t="str">
        <f ca="1" t="shared" si="242"/>
        <v>{35,1}</v>
      </c>
      <c r="AO605" s="23" t="str">
        <f ca="1" t="shared" si="237"/>
        <v/>
      </c>
      <c r="AP605" s="23" t="str">
        <f ca="1" t="shared" si="219"/>
        <v>{50005,15}</v>
      </c>
      <c r="AQ605" s="23" t="str">
        <f ca="1" t="shared" si="220"/>
        <v>{5163001,200}</v>
      </c>
      <c r="AR605" s="23" t="str">
        <f ca="1" t="shared" si="221"/>
        <v>{2,240}</v>
      </c>
      <c r="AS605" s="23" t="str">
        <f ca="1" t="shared" si="222"/>
        <v>{5143001,250}</v>
      </c>
      <c r="AT605" s="23" t="str">
        <f ca="1" t="shared" si="248"/>
        <v>{5523001,200}</v>
      </c>
      <c r="AU605" s="23" t="str">
        <f ca="1" t="shared" si="235"/>
        <v/>
      </c>
      <c r="AV605" s="23" t="str">
        <f ca="1" t="shared" si="223"/>
        <v>{50007,25}</v>
      </c>
      <c r="AW605" s="23" t="str">
        <f ca="1" t="shared" si="224"/>
        <v>{9,1}</v>
      </c>
      <c r="AX605" s="23" t="str">
        <f ca="1" t="shared" si="225"/>
        <v>{2,360}</v>
      </c>
      <c r="AY605" s="23" t="str">
        <f ca="1" t="shared" si="226"/>
        <v>{5204001,5}</v>
      </c>
      <c r="AZ605" s="23" t="str">
        <f ca="1" t="shared" si="214"/>
        <v>{5205001,3}</v>
      </c>
      <c r="BA605" s="23" t="str">
        <f ca="1" t="shared" si="227"/>
        <v>{1,150}</v>
      </c>
      <c r="BB605" s="23" t="s">
        <v>401</v>
      </c>
      <c r="BC605" s="23" t="str">
        <f ca="1" t="shared" si="228"/>
        <v>{5163001,300}</v>
      </c>
      <c r="BD605" s="23" t="str">
        <f ca="1" t="shared" si="245"/>
        <v/>
      </c>
      <c r="BE605" s="23" t="str">
        <f ca="1" t="shared" si="249"/>
        <v>{50039,1}</v>
      </c>
      <c r="BF605" s="23" t="str">
        <f ca="1" t="shared" si="229"/>
        <v>{2,600}</v>
      </c>
      <c r="BI605" s="23" t="str">
        <f ca="1" t="shared" si="230"/>
        <v>[{35,1},{50005,15},{5163001,200},{2,240}]</v>
      </c>
      <c r="BJ605" s="23" t="str">
        <f ca="1" t="shared" si="231"/>
        <v>[{5143001,250},{5523001,200},{50007,25},{9,1},{2,360},{5204001,5}]</v>
      </c>
      <c r="BK605" s="23" t="str">
        <f ca="1" t="shared" si="232"/>
        <v>[{5205001,3},{1,150},{5523001,300},{5163001,300},{50039,1},{2,600}]</v>
      </c>
      <c r="BL605" s="23">
        <f ca="1" t="shared" si="233"/>
        <v>4</v>
      </c>
      <c r="BM605" s="23">
        <f ca="1" t="shared" si="234"/>
        <v>6</v>
      </c>
      <c r="BN605" s="23">
        <f ca="1" t="shared" si="236"/>
        <v>6</v>
      </c>
      <c r="BP605" s="71" t="s">
        <v>374</v>
      </c>
      <c r="BQ605" s="71">
        <v>150</v>
      </c>
    </row>
    <row r="606" ht="16.5" spans="2:69">
      <c r="B606" s="23">
        <v>286</v>
      </c>
      <c r="C606" s="12"/>
      <c r="D606" s="12"/>
      <c r="E606" s="71"/>
      <c r="F606" s="71"/>
      <c r="G606" s="71" t="str">
        <f t="shared" si="238"/>
        <v>裤子图纸</v>
      </c>
      <c r="H606" s="71">
        <v>15</v>
      </c>
      <c r="I606" s="71" t="str">
        <f t="shared" si="243"/>
        <v>控制特饮</v>
      </c>
      <c r="J606" s="71">
        <v>200</v>
      </c>
      <c r="K606" s="71" t="s">
        <v>96</v>
      </c>
      <c r="L606" s="71">
        <v>240</v>
      </c>
      <c r="M606" s="71" t="str">
        <f t="shared" si="246"/>
        <v>射手特饮</v>
      </c>
      <c r="N606" s="71">
        <f t="shared" si="250"/>
        <v>250</v>
      </c>
      <c r="O606" s="71" t="s">
        <v>316</v>
      </c>
      <c r="P606" s="71">
        <v>200</v>
      </c>
      <c r="Q606" s="71"/>
      <c r="R606" s="71"/>
      <c r="S606" s="72" t="str">
        <f t="shared" si="239"/>
        <v>手套图纸</v>
      </c>
      <c r="T606" s="71">
        <v>25</v>
      </c>
      <c r="U606" s="71" t="str">
        <f t="shared" si="240"/>
        <v/>
      </c>
      <c r="V606" s="71">
        <f t="shared" si="241"/>
        <v>0</v>
      </c>
      <c r="W606" s="71" t="s">
        <v>96</v>
      </c>
      <c r="X606" s="71">
        <f t="shared" si="217"/>
        <v>360</v>
      </c>
      <c r="Y606" s="71"/>
      <c r="Z606" s="71"/>
      <c r="AA606" s="71" t="str">
        <f t="shared" si="247"/>
        <v>基因罐</v>
      </c>
      <c r="AB606" s="71">
        <f t="shared" si="251"/>
        <v>30</v>
      </c>
      <c r="AC606" s="71" t="s">
        <v>374</v>
      </c>
      <c r="AD606" s="71">
        <v>150</v>
      </c>
      <c r="AE606" s="72" t="str">
        <f t="shared" si="244"/>
        <v>控制特饮</v>
      </c>
      <c r="AF606" s="71">
        <v>300</v>
      </c>
      <c r="AG606" s="71"/>
      <c r="AH606" s="71"/>
      <c r="AI606" s="71" t="s">
        <v>390</v>
      </c>
      <c r="AJ606" s="71">
        <v>1</v>
      </c>
      <c r="AK606" s="71" t="s">
        <v>96</v>
      </c>
      <c r="AL606" s="71">
        <f t="shared" si="218"/>
        <v>600</v>
      </c>
      <c r="AN606" s="23" t="str">
        <f ca="1" t="shared" si="242"/>
        <v>{11,5}</v>
      </c>
      <c r="AO606" s="23" t="str">
        <f ca="1" t="shared" si="237"/>
        <v/>
      </c>
      <c r="AP606" s="23" t="str">
        <f ca="1" t="shared" si="219"/>
        <v>{50006,15}</v>
      </c>
      <c r="AQ606" s="23" t="str">
        <f ca="1" t="shared" si="220"/>
        <v>{5153001,200}</v>
      </c>
      <c r="AR606" s="23" t="str">
        <f ca="1" t="shared" si="221"/>
        <v>{2,240}</v>
      </c>
      <c r="AS606" s="23" t="str">
        <f ca="1" t="shared" si="222"/>
        <v>{5133001,250}</v>
      </c>
      <c r="AT606" s="23" t="str">
        <f ca="1" t="shared" si="248"/>
        <v>{5523001,200}</v>
      </c>
      <c r="AU606" s="23" t="str">
        <f ca="1" t="shared" si="235"/>
        <v/>
      </c>
      <c r="AV606" s="23" t="str">
        <f ca="1" t="shared" si="223"/>
        <v>{50008,25}</v>
      </c>
      <c r="AW606" s="23" t="str">
        <f ca="1" t="shared" si="224"/>
        <v/>
      </c>
      <c r="AX606" s="23" t="str">
        <f ca="1" t="shared" si="225"/>
        <v>{2,360}</v>
      </c>
      <c r="AY606" s="23" t="str">
        <f ca="1" t="shared" si="226"/>
        <v>{5204001,5}</v>
      </c>
      <c r="AZ606" s="23" t="str">
        <f ca="1" t="shared" si="214"/>
        <v>{5203001,30}</v>
      </c>
      <c r="BA606" s="23" t="str">
        <f ca="1" t="shared" si="227"/>
        <v>{1,150}</v>
      </c>
      <c r="BB606" s="23" t="s">
        <v>401</v>
      </c>
      <c r="BC606" s="23" t="str">
        <f ca="1" t="shared" si="228"/>
        <v>{5153001,300}</v>
      </c>
      <c r="BD606" s="23" t="str">
        <f ca="1" t="shared" si="245"/>
        <v/>
      </c>
      <c r="BE606" s="23" t="str">
        <f ca="1" t="shared" si="249"/>
        <v>{50039,1}</v>
      </c>
      <c r="BF606" s="23" t="str">
        <f ca="1" t="shared" si="229"/>
        <v>{2,600}</v>
      </c>
      <c r="BI606" s="23" t="str">
        <f ca="1" t="shared" si="230"/>
        <v>[{11,5},{50006,15},{5153001,200},{2,240}]</v>
      </c>
      <c r="BJ606" s="23" t="str">
        <f ca="1" t="shared" si="231"/>
        <v>[{5133001,250},{5523001,200},{50008,25},{2,360},{5204001,5}]</v>
      </c>
      <c r="BK606" s="23" t="str">
        <f ca="1" t="shared" si="232"/>
        <v>[{5203001,30},{1,150},{5523001,300},{5153001,300},{50039,1},{2,600}]</v>
      </c>
      <c r="BL606" s="23">
        <f ca="1" t="shared" si="233"/>
        <v>4</v>
      </c>
      <c r="BM606" s="23">
        <f ca="1" t="shared" si="234"/>
        <v>5</v>
      </c>
      <c r="BN606" s="23">
        <f ca="1" t="shared" si="236"/>
        <v>6</v>
      </c>
      <c r="BP606" s="71" t="s">
        <v>374</v>
      </c>
      <c r="BQ606" s="71">
        <v>150</v>
      </c>
    </row>
    <row r="607" ht="16.5" spans="2:69">
      <c r="B607" s="23">
        <v>287</v>
      </c>
      <c r="C607" s="12"/>
      <c r="D607" s="12"/>
      <c r="E607" s="71"/>
      <c r="F607" s="71"/>
      <c r="G607" s="71" t="str">
        <f t="shared" si="238"/>
        <v>鞋子图纸</v>
      </c>
      <c r="H607" s="71">
        <v>15</v>
      </c>
      <c r="I607" s="71" t="str">
        <f t="shared" si="243"/>
        <v>射手特饮</v>
      </c>
      <c r="J607" s="71">
        <v>200</v>
      </c>
      <c r="K607" s="71" t="s">
        <v>96</v>
      </c>
      <c r="L607" s="71">
        <v>240</v>
      </c>
      <c r="M607" s="71" t="str">
        <f t="shared" si="246"/>
        <v>毒系特饮</v>
      </c>
      <c r="N607" s="71">
        <f t="shared" si="250"/>
        <v>250</v>
      </c>
      <c r="O607" s="71" t="s">
        <v>316</v>
      </c>
      <c r="P607" s="71">
        <v>200</v>
      </c>
      <c r="Q607" s="71"/>
      <c r="R607" s="71"/>
      <c r="S607" s="72" t="str">
        <f t="shared" si="239"/>
        <v>头盔图纸</v>
      </c>
      <c r="T607" s="71">
        <v>25</v>
      </c>
      <c r="U607" s="71" t="str">
        <f t="shared" si="240"/>
        <v/>
      </c>
      <c r="V607" s="71">
        <f t="shared" si="241"/>
        <v>0</v>
      </c>
      <c r="W607" s="71" t="s">
        <v>96</v>
      </c>
      <c r="X607" s="71">
        <f t="shared" si="217"/>
        <v>360</v>
      </c>
      <c r="Y607" s="71"/>
      <c r="Z607" s="71"/>
      <c r="AA607" s="71" t="str">
        <f t="shared" si="247"/>
        <v>基因罐</v>
      </c>
      <c r="AB607" s="71">
        <f t="shared" si="251"/>
        <v>30</v>
      </c>
      <c r="AC607" s="71" t="s">
        <v>374</v>
      </c>
      <c r="AD607" s="71">
        <v>150</v>
      </c>
      <c r="AE607" s="72" t="str">
        <f t="shared" si="244"/>
        <v>射手特饮</v>
      </c>
      <c r="AF607" s="71">
        <v>300</v>
      </c>
      <c r="AG607" s="71"/>
      <c r="AH607" s="71"/>
      <c r="AI607" s="71" t="s">
        <v>390</v>
      </c>
      <c r="AJ607" s="71">
        <v>1</v>
      </c>
      <c r="AK607" s="71" t="s">
        <v>96</v>
      </c>
      <c r="AL607" s="71">
        <f t="shared" si="218"/>
        <v>600</v>
      </c>
      <c r="AN607" s="23" t="str">
        <f ca="1" t="shared" si="242"/>
        <v>{11,5}</v>
      </c>
      <c r="AO607" s="23" t="str">
        <f ca="1" t="shared" si="237"/>
        <v/>
      </c>
      <c r="AP607" s="23" t="str">
        <f ca="1" t="shared" si="219"/>
        <v>{50007,15}</v>
      </c>
      <c r="AQ607" s="23" t="str">
        <f ca="1" t="shared" si="220"/>
        <v>{5133001,200}</v>
      </c>
      <c r="AR607" s="23" t="str">
        <f ca="1" t="shared" si="221"/>
        <v>{2,240}</v>
      </c>
      <c r="AS607" s="23" t="str">
        <f ca="1" t="shared" si="222"/>
        <v>{5163001,250}</v>
      </c>
      <c r="AT607" s="23" t="str">
        <f ca="1" t="shared" si="248"/>
        <v>{5523001,200}</v>
      </c>
      <c r="AU607" s="23" t="str">
        <f ca="1" t="shared" si="235"/>
        <v/>
      </c>
      <c r="AV607" s="23" t="str">
        <f ca="1" t="shared" si="223"/>
        <v>{50003,25}</v>
      </c>
      <c r="AW607" s="23" t="str">
        <f ca="1" t="shared" si="224"/>
        <v/>
      </c>
      <c r="AX607" s="23" t="str">
        <f ca="1" t="shared" si="225"/>
        <v>{2,360}</v>
      </c>
      <c r="AY607" s="23" t="str">
        <f ca="1" t="shared" si="226"/>
        <v>{5204001,5}</v>
      </c>
      <c r="AZ607" s="23" t="str">
        <f ca="1" t="shared" ref="AZ607:AZ620" si="252">IF(OFFSET($B607,0,AZ$320*2+1)="","","{"&amp;VLOOKUP(OFFSET($B607,0,AZ$320*2+1),$AN$291:$AO$312,2,0)&amp;","&amp;OFFSET($B607,0,AZ$320*2+2)&amp;"}")</f>
        <v>{5203001,30}</v>
      </c>
      <c r="BA607" s="23" t="str">
        <f ca="1" t="shared" si="227"/>
        <v>{1,150}</v>
      </c>
      <c r="BB607" s="23" t="s">
        <v>401</v>
      </c>
      <c r="BC607" s="23" t="str">
        <f ca="1" t="shared" si="228"/>
        <v>{5133001,300}</v>
      </c>
      <c r="BD607" s="23" t="str">
        <f ca="1" t="shared" si="245"/>
        <v/>
      </c>
      <c r="BE607" s="23" t="str">
        <f ca="1" t="shared" si="249"/>
        <v>{50039,1}</v>
      </c>
      <c r="BF607" s="23" t="str">
        <f ca="1" t="shared" si="229"/>
        <v>{2,600}</v>
      </c>
      <c r="BI607" s="23" t="str">
        <f ca="1" t="shared" si="230"/>
        <v>[{11,5},{50007,15},{5133001,200},{2,240}]</v>
      </c>
      <c r="BJ607" s="23" t="str">
        <f ca="1" t="shared" si="231"/>
        <v>[{5163001,250},{5523001,200},{50003,25},{2,360},{5204001,5}]</v>
      </c>
      <c r="BK607" s="23" t="str">
        <f ca="1" t="shared" si="232"/>
        <v>[{5203001,30},{1,150},{5523001,300},{5133001,300},{50039,1},{2,600}]</v>
      </c>
      <c r="BL607" s="23">
        <f ca="1" t="shared" si="233"/>
        <v>4</v>
      </c>
      <c r="BM607" s="23">
        <f ca="1" t="shared" si="234"/>
        <v>5</v>
      </c>
      <c r="BN607" s="23">
        <f ca="1" t="shared" si="236"/>
        <v>6</v>
      </c>
      <c r="BP607" s="71" t="s">
        <v>374</v>
      </c>
      <c r="BQ607" s="71">
        <v>150</v>
      </c>
    </row>
    <row r="608" ht="16.5" spans="2:69">
      <c r="B608" s="23">
        <v>288</v>
      </c>
      <c r="C608" s="12"/>
      <c r="D608" s="12"/>
      <c r="E608" s="71"/>
      <c r="F608" s="71"/>
      <c r="G608" s="71" t="str">
        <f t="shared" si="238"/>
        <v>手套图纸</v>
      </c>
      <c r="H608" s="71">
        <v>15</v>
      </c>
      <c r="I608" s="71" t="str">
        <f t="shared" si="243"/>
        <v>法师特饮</v>
      </c>
      <c r="J608" s="71">
        <v>200</v>
      </c>
      <c r="K608" s="71" t="s">
        <v>96</v>
      </c>
      <c r="L608" s="71">
        <v>240</v>
      </c>
      <c r="M608" s="71" t="str">
        <f t="shared" si="246"/>
        <v>控制特饮</v>
      </c>
      <c r="N608" s="71">
        <f t="shared" si="250"/>
        <v>250</v>
      </c>
      <c r="O608" s="71" t="s">
        <v>316</v>
      </c>
      <c r="P608" s="71">
        <v>200</v>
      </c>
      <c r="Q608" s="71"/>
      <c r="R608" s="71"/>
      <c r="S608" s="72" t="str">
        <f t="shared" si="239"/>
        <v>衣服图纸</v>
      </c>
      <c r="T608" s="71">
        <v>25</v>
      </c>
      <c r="U608" s="71" t="str">
        <f t="shared" si="240"/>
        <v/>
      </c>
      <c r="V608" s="71">
        <f t="shared" si="241"/>
        <v>0</v>
      </c>
      <c r="W608" s="71" t="s">
        <v>96</v>
      </c>
      <c r="X608" s="71">
        <f t="shared" si="217"/>
        <v>360</v>
      </c>
      <c r="Y608" s="71"/>
      <c r="Z608" s="71"/>
      <c r="AA608" s="71" t="str">
        <f t="shared" si="247"/>
        <v>基因罐</v>
      </c>
      <c r="AB608" s="71">
        <f t="shared" si="251"/>
        <v>30</v>
      </c>
      <c r="AC608" s="71" t="s">
        <v>374</v>
      </c>
      <c r="AD608" s="71">
        <v>150</v>
      </c>
      <c r="AE608" s="72" t="str">
        <f t="shared" si="244"/>
        <v>战士特饮</v>
      </c>
      <c r="AF608" s="71">
        <v>300</v>
      </c>
      <c r="AG608" s="71"/>
      <c r="AH608" s="71"/>
      <c r="AI608" s="71" t="s">
        <v>390</v>
      </c>
      <c r="AJ608" s="71">
        <v>1</v>
      </c>
      <c r="AK608" s="71" t="s">
        <v>96</v>
      </c>
      <c r="AL608" s="71">
        <f t="shared" si="218"/>
        <v>600</v>
      </c>
      <c r="AN608" s="23" t="str">
        <f ca="1" t="shared" si="242"/>
        <v>{11,5}</v>
      </c>
      <c r="AO608" s="23" t="str">
        <f ca="1" t="shared" si="237"/>
        <v/>
      </c>
      <c r="AP608" s="23" t="str">
        <f ca="1" t="shared" si="219"/>
        <v>{50008,15}</v>
      </c>
      <c r="AQ608" s="23" t="str">
        <f ca="1" t="shared" si="220"/>
        <v>{5123001,200}</v>
      </c>
      <c r="AR608" s="23" t="str">
        <f ca="1" t="shared" si="221"/>
        <v>{2,240}</v>
      </c>
      <c r="AS608" s="23" t="str">
        <f ca="1" t="shared" si="222"/>
        <v>{5153001,250}</v>
      </c>
      <c r="AT608" s="23" t="str">
        <f ca="1" t="shared" si="248"/>
        <v>{5523001,200}</v>
      </c>
      <c r="AU608" s="23" t="str">
        <f ca="1" t="shared" si="235"/>
        <v/>
      </c>
      <c r="AV608" s="23" t="str">
        <f ca="1" t="shared" si="223"/>
        <v>{50004,25}</v>
      </c>
      <c r="AW608" s="23" t="str">
        <f ca="1" t="shared" si="224"/>
        <v/>
      </c>
      <c r="AX608" s="23" t="str">
        <f ca="1" t="shared" si="225"/>
        <v>{2,360}</v>
      </c>
      <c r="AY608" s="23" t="str">
        <f ca="1" t="shared" si="226"/>
        <v>{5204001,5}</v>
      </c>
      <c r="AZ608" s="23" t="str">
        <f ca="1" t="shared" si="252"/>
        <v>{5203001,30}</v>
      </c>
      <c r="BA608" s="23" t="str">
        <f ca="1" t="shared" si="227"/>
        <v>{1,150}</v>
      </c>
      <c r="BB608" s="23" t="s">
        <v>401</v>
      </c>
      <c r="BC608" s="23" t="str">
        <f ca="1" t="shared" si="228"/>
        <v>{5113001,300}</v>
      </c>
      <c r="BD608" s="23" t="str">
        <f ca="1" t="shared" si="245"/>
        <v/>
      </c>
      <c r="BE608" s="23" t="str">
        <f ca="1" t="shared" si="249"/>
        <v>{50039,1}</v>
      </c>
      <c r="BF608" s="23" t="str">
        <f ca="1" t="shared" si="229"/>
        <v>{2,600}</v>
      </c>
      <c r="BI608" s="23" t="str">
        <f ca="1" t="shared" si="230"/>
        <v>[{11,5},{50008,15},{5123001,200},{2,240}]</v>
      </c>
      <c r="BJ608" s="23" t="str">
        <f ca="1" t="shared" si="231"/>
        <v>[{5153001,250},{5523001,200},{50004,25},{2,360},{5204001,5}]</v>
      </c>
      <c r="BK608" s="23" t="str">
        <f ca="1" t="shared" si="232"/>
        <v>[{5203001,30},{1,150},{5523001,300},{5113001,300},{50039,1},{2,600}]</v>
      </c>
      <c r="BL608" s="23">
        <f ca="1" t="shared" si="233"/>
        <v>4</v>
      </c>
      <c r="BM608" s="23">
        <f ca="1" t="shared" si="234"/>
        <v>5</v>
      </c>
      <c r="BN608" s="23">
        <f ca="1" t="shared" si="236"/>
        <v>6</v>
      </c>
      <c r="BP608" s="71" t="s">
        <v>374</v>
      </c>
      <c r="BQ608" s="71">
        <v>150</v>
      </c>
    </row>
    <row r="609" ht="16.5" spans="2:69">
      <c r="B609" s="23">
        <v>289</v>
      </c>
      <c r="C609" s="12"/>
      <c r="D609" s="12"/>
      <c r="E609" s="71"/>
      <c r="F609" s="71"/>
      <c r="G609" s="71" t="str">
        <f t="shared" si="238"/>
        <v>头盔图纸</v>
      </c>
      <c r="H609" s="71">
        <v>15</v>
      </c>
      <c r="I609" s="71" t="str">
        <f t="shared" si="243"/>
        <v>辅助特饮</v>
      </c>
      <c r="J609" s="71">
        <v>200</v>
      </c>
      <c r="K609" s="71" t="s">
        <v>96</v>
      </c>
      <c r="L609" s="71">
        <v>240</v>
      </c>
      <c r="M609" s="71" t="str">
        <f t="shared" si="246"/>
        <v>战士特饮</v>
      </c>
      <c r="N609" s="71">
        <f t="shared" si="250"/>
        <v>250</v>
      </c>
      <c r="O609" s="71" t="s">
        <v>316</v>
      </c>
      <c r="P609" s="71">
        <v>200</v>
      </c>
      <c r="Q609" s="71"/>
      <c r="R609" s="71"/>
      <c r="S609" s="72" t="str">
        <f t="shared" si="239"/>
        <v>护臂图纸</v>
      </c>
      <c r="T609" s="71">
        <v>25</v>
      </c>
      <c r="U609" s="71" t="str">
        <f t="shared" si="240"/>
        <v/>
      </c>
      <c r="V609" s="71">
        <f t="shared" si="241"/>
        <v>0</v>
      </c>
      <c r="W609" s="71" t="s">
        <v>96</v>
      </c>
      <c r="X609" s="71">
        <f t="shared" si="217"/>
        <v>360</v>
      </c>
      <c r="Y609" s="71"/>
      <c r="Z609" s="71"/>
      <c r="AA609" s="71" t="str">
        <f t="shared" si="247"/>
        <v>基因罐</v>
      </c>
      <c r="AB609" s="71">
        <f t="shared" si="251"/>
        <v>30</v>
      </c>
      <c r="AC609" s="71" t="s">
        <v>374</v>
      </c>
      <c r="AD609" s="71">
        <v>150</v>
      </c>
      <c r="AE609" s="72" t="str">
        <f t="shared" si="244"/>
        <v>法师特饮</v>
      </c>
      <c r="AF609" s="71">
        <v>300</v>
      </c>
      <c r="AG609" s="71"/>
      <c r="AH609" s="71"/>
      <c r="AI609" s="71" t="s">
        <v>390</v>
      </c>
      <c r="AJ609" s="71">
        <v>1</v>
      </c>
      <c r="AK609" s="71" t="s">
        <v>96</v>
      </c>
      <c r="AL609" s="71">
        <f t="shared" si="218"/>
        <v>600</v>
      </c>
      <c r="AN609" s="23" t="str">
        <f ca="1" t="shared" si="242"/>
        <v>{11,5}</v>
      </c>
      <c r="AO609" s="23" t="str">
        <f ca="1" t="shared" si="237"/>
        <v/>
      </c>
      <c r="AP609" s="23" t="str">
        <f ca="1" t="shared" si="219"/>
        <v>{50003,15}</v>
      </c>
      <c r="AQ609" s="23" t="str">
        <f ca="1" t="shared" si="220"/>
        <v>{5143001,200}</v>
      </c>
      <c r="AR609" s="23" t="str">
        <f ca="1" t="shared" si="221"/>
        <v>{2,240}</v>
      </c>
      <c r="AS609" s="23" t="str">
        <f ca="1" t="shared" si="222"/>
        <v>{5113001,250}</v>
      </c>
      <c r="AT609" s="23" t="str">
        <f ca="1" t="shared" si="248"/>
        <v>{5523001,200}</v>
      </c>
      <c r="AU609" s="23" t="str">
        <f ca="1" t="shared" si="235"/>
        <v/>
      </c>
      <c r="AV609" s="23" t="str">
        <f ca="1" t="shared" si="223"/>
        <v>{50005,25}</v>
      </c>
      <c r="AW609" s="23" t="str">
        <f ca="1" t="shared" si="224"/>
        <v/>
      </c>
      <c r="AX609" s="23" t="str">
        <f ca="1" t="shared" si="225"/>
        <v>{2,360}</v>
      </c>
      <c r="AY609" s="23" t="str">
        <f ca="1" t="shared" si="226"/>
        <v>{5204001,5}</v>
      </c>
      <c r="AZ609" s="23" t="str">
        <f ca="1" t="shared" si="252"/>
        <v>{5203001,30}</v>
      </c>
      <c r="BA609" s="23" t="str">
        <f ca="1" t="shared" si="227"/>
        <v>{1,150}</v>
      </c>
      <c r="BB609" s="23" t="s">
        <v>401</v>
      </c>
      <c r="BC609" s="23" t="str">
        <f ca="1" t="shared" si="228"/>
        <v>{5123001,300}</v>
      </c>
      <c r="BD609" s="23" t="str">
        <f ca="1" t="shared" si="245"/>
        <v/>
      </c>
      <c r="BE609" s="23" t="str">
        <f ca="1" t="shared" si="249"/>
        <v>{50039,1}</v>
      </c>
      <c r="BF609" s="23" t="str">
        <f ca="1" t="shared" si="229"/>
        <v>{2,600}</v>
      </c>
      <c r="BI609" s="23" t="str">
        <f ca="1" t="shared" si="230"/>
        <v>[{11,5},{50003,15},{5143001,200},{2,240}]</v>
      </c>
      <c r="BJ609" s="23" t="str">
        <f ca="1" t="shared" si="231"/>
        <v>[{5113001,250},{5523001,200},{50005,25},{2,360},{5204001,5}]</v>
      </c>
      <c r="BK609" s="23" t="str">
        <f ca="1" t="shared" si="232"/>
        <v>[{5203001,30},{1,150},{5523001,300},{5123001,300},{50039,1},{2,600}]</v>
      </c>
      <c r="BL609" s="23">
        <f ca="1" t="shared" si="233"/>
        <v>4</v>
      </c>
      <c r="BM609" s="23">
        <f ca="1" t="shared" si="234"/>
        <v>5</v>
      </c>
      <c r="BN609" s="23">
        <f ca="1" t="shared" si="236"/>
        <v>6</v>
      </c>
      <c r="BP609" s="71" t="s">
        <v>374</v>
      </c>
      <c r="BQ609" s="71">
        <v>150</v>
      </c>
    </row>
    <row r="610" ht="16.5" spans="2:69">
      <c r="B610" s="23">
        <v>290</v>
      </c>
      <c r="C610" s="12" t="inlineStr">
        <is>
          <t>梦愿水晶</t>
        </is>
      </c>
      <c r="D610" s="12">
        <v>1</v>
      </c>
      <c r="E610" s="71"/>
      <c r="F610" s="71"/>
      <c r="G610" s="71" t="str">
        <f t="shared" si="238"/>
        <v>衣服图纸</v>
      </c>
      <c r="H610" s="71">
        <v>15</v>
      </c>
      <c r="I610" s="71" t="str">
        <f t="shared" si="243"/>
        <v>战士特饮</v>
      </c>
      <c r="J610" s="71">
        <v>200</v>
      </c>
      <c r="K610" s="71" t="s">
        <v>96</v>
      </c>
      <c r="L610" s="71">
        <v>240</v>
      </c>
      <c r="M610" s="71" t="str">
        <f t="shared" si="246"/>
        <v>法师特饮</v>
      </c>
      <c r="N610" s="71">
        <f t="shared" si="250"/>
        <v>250</v>
      </c>
      <c r="O610" s="71" t="s">
        <v>316</v>
      </c>
      <c r="P610" s="71">
        <v>200</v>
      </c>
      <c r="Q610" s="71"/>
      <c r="R610" s="71"/>
      <c r="S610" s="72" t="str">
        <f t="shared" si="239"/>
        <v>裤子图纸</v>
      </c>
      <c r="T610" s="71">
        <v>25</v>
      </c>
      <c r="U610" s="71" t="str">
        <f t="shared" si="240"/>
        <v>灵感获取令</v>
      </c>
      <c r="V610" s="71">
        <f t="shared" si="241"/>
        <v>1</v>
      </c>
      <c r="W610" s="71" t="s">
        <v>96</v>
      </c>
      <c r="X610" s="71">
        <f t="shared" si="217"/>
        <v>360</v>
      </c>
      <c r="Y610" s="71"/>
      <c r="Z610" s="71"/>
      <c r="AA610" s="71" t="str">
        <f t="shared" si="247"/>
        <v>传说基因罐</v>
      </c>
      <c r="AB610" s="71">
        <f t="shared" si="251"/>
        <v>3</v>
      </c>
      <c r="AC610" s="71" t="s">
        <v>374</v>
      </c>
      <c r="AD610" s="71">
        <v>150</v>
      </c>
      <c r="AE610" s="72" t="str">
        <f t="shared" si="244"/>
        <v>辅助特饮</v>
      </c>
      <c r="AF610" s="71">
        <v>300</v>
      </c>
      <c r="AG610" s="71"/>
      <c r="AH610" s="71"/>
      <c r="AI610" s="71" t="s">
        <v>390</v>
      </c>
      <c r="AJ610" s="71">
        <v>1</v>
      </c>
      <c r="AK610" s="71" t="s">
        <v>96</v>
      </c>
      <c r="AL610" s="71">
        <f t="shared" si="218"/>
        <v>600</v>
      </c>
      <c r="AN610" s="23" t="str">
        <f ca="1" t="shared" si="242"/>
        <v>{35,1}</v>
      </c>
      <c r="AO610" s="23" t="str">
        <f ca="1" t="shared" si="237"/>
        <v/>
      </c>
      <c r="AP610" s="23" t="str">
        <f ca="1" t="shared" si="219"/>
        <v>{50004,15}</v>
      </c>
      <c r="AQ610" s="23" t="str">
        <f ca="1" t="shared" si="220"/>
        <v>{5113001,200}</v>
      </c>
      <c r="AR610" s="23" t="str">
        <f ca="1" t="shared" si="221"/>
        <v>{2,240}</v>
      </c>
      <c r="AS610" s="23" t="str">
        <f ca="1" t="shared" si="222"/>
        <v>{5123001,250}</v>
      </c>
      <c r="AT610" s="23" t="str">
        <f ca="1" t="shared" si="248"/>
        <v>{5523001,200}</v>
      </c>
      <c r="AU610" s="23" t="str">
        <f ca="1" t="shared" si="235"/>
        <v/>
      </c>
      <c r="AV610" s="23" t="str">
        <f ca="1" t="shared" si="223"/>
        <v>{50006,25}</v>
      </c>
      <c r="AW610" s="23" t="str">
        <f ca="1" t="shared" si="224"/>
        <v>{9,1}</v>
      </c>
      <c r="AX610" s="23" t="str">
        <f ca="1" t="shared" si="225"/>
        <v>{2,360}</v>
      </c>
      <c r="AY610" s="23" t="str">
        <f ca="1" t="shared" si="226"/>
        <v>{5204001,5}</v>
      </c>
      <c r="AZ610" s="23" t="str">
        <f ca="1" t="shared" si="252"/>
        <v>{5205001,3}</v>
      </c>
      <c r="BA610" s="23" t="str">
        <f ca="1" t="shared" si="227"/>
        <v>{1,150}</v>
      </c>
      <c r="BB610" s="23" t="s">
        <v>401</v>
      </c>
      <c r="BC610" s="23" t="str">
        <f ca="1" t="shared" si="228"/>
        <v>{5143001,300}</v>
      </c>
      <c r="BD610" s="23" t="str">
        <f ca="1" t="shared" si="245"/>
        <v/>
      </c>
      <c r="BE610" s="23" t="str">
        <f ca="1" t="shared" si="249"/>
        <v>{50039,1}</v>
      </c>
      <c r="BF610" s="23" t="str">
        <f ca="1" t="shared" si="229"/>
        <v>{2,600}</v>
      </c>
      <c r="BI610" s="23" t="str">
        <f ca="1" t="shared" si="230"/>
        <v>[{35,1},{50004,15},{5113001,200},{2,240}]</v>
      </c>
      <c r="BJ610" s="23" t="str">
        <f ca="1" t="shared" si="231"/>
        <v>[{5123001,250},{5523001,200},{50006,25},{9,1},{2,360},{5204001,5}]</v>
      </c>
      <c r="BK610" s="23" t="str">
        <f ca="1" t="shared" si="232"/>
        <v>[{5205001,3},{1,150},{5523001,300},{5143001,300},{50039,1},{2,600}]</v>
      </c>
      <c r="BL610" s="23">
        <f ca="1" t="shared" si="233"/>
        <v>4</v>
      </c>
      <c r="BM610" s="23">
        <f ca="1" t="shared" si="234"/>
        <v>6</v>
      </c>
      <c r="BN610" s="23">
        <f ca="1" t="shared" si="236"/>
        <v>6</v>
      </c>
      <c r="BP610" s="71" t="s">
        <v>374</v>
      </c>
      <c r="BQ610" s="71">
        <v>150</v>
      </c>
    </row>
    <row r="611" ht="16.5" spans="2:69">
      <c r="B611" s="23">
        <v>291</v>
      </c>
      <c r="C611" s="12"/>
      <c r="D611" s="12"/>
      <c r="E611" s="71"/>
      <c r="F611" s="71"/>
      <c r="G611" s="71" t="str">
        <f t="shared" si="238"/>
        <v>护臂图纸</v>
      </c>
      <c r="H611" s="71">
        <v>15</v>
      </c>
      <c r="I611" s="71" t="str">
        <f t="shared" si="243"/>
        <v>毒系特饮</v>
      </c>
      <c r="J611" s="71">
        <v>200</v>
      </c>
      <c r="K611" s="71" t="s">
        <v>96</v>
      </c>
      <c r="L611" s="71">
        <v>240</v>
      </c>
      <c r="M611" s="71" t="str">
        <f t="shared" si="246"/>
        <v>辅助特饮</v>
      </c>
      <c r="N611" s="71">
        <f t="shared" si="250"/>
        <v>250</v>
      </c>
      <c r="O611" s="71" t="s">
        <v>316</v>
      </c>
      <c r="P611" s="71">
        <v>200</v>
      </c>
      <c r="Q611" s="71"/>
      <c r="R611" s="71"/>
      <c r="S611" s="72" t="str">
        <f t="shared" si="239"/>
        <v>鞋子图纸</v>
      </c>
      <c r="T611" s="71">
        <v>25</v>
      </c>
      <c r="U611" s="71" t="str">
        <f t="shared" si="240"/>
        <v/>
      </c>
      <c r="V611" s="71">
        <f t="shared" si="241"/>
        <v>0</v>
      </c>
      <c r="W611" s="71" t="s">
        <v>96</v>
      </c>
      <c r="X611" s="71">
        <f t="shared" si="217"/>
        <v>360</v>
      </c>
      <c r="Y611" s="71"/>
      <c r="Z611" s="71"/>
      <c r="AA611" s="71" t="str">
        <f t="shared" si="247"/>
        <v>基因罐</v>
      </c>
      <c r="AB611" s="71">
        <f t="shared" si="251"/>
        <v>30</v>
      </c>
      <c r="AC611" s="71" t="s">
        <v>374</v>
      </c>
      <c r="AD611" s="71">
        <v>150</v>
      </c>
      <c r="AE611" s="72" t="str">
        <f t="shared" si="244"/>
        <v>毒系特饮</v>
      </c>
      <c r="AF611" s="71">
        <v>300</v>
      </c>
      <c r="AG611" s="71"/>
      <c r="AH611" s="71"/>
      <c r="AI611" s="71" t="s">
        <v>390</v>
      </c>
      <c r="AJ611" s="71">
        <v>1</v>
      </c>
      <c r="AK611" s="71" t="s">
        <v>96</v>
      </c>
      <c r="AL611" s="71">
        <f t="shared" si="218"/>
        <v>600</v>
      </c>
      <c r="AN611" s="23" t="str">
        <f ca="1" t="shared" si="242"/>
        <v>{11,5}</v>
      </c>
      <c r="AO611" s="23" t="str">
        <f ca="1" t="shared" si="237"/>
        <v/>
      </c>
      <c r="AP611" s="23" t="str">
        <f ca="1" t="shared" si="219"/>
        <v>{50005,15}</v>
      </c>
      <c r="AQ611" s="23" t="str">
        <f ca="1" t="shared" si="220"/>
        <v>{5163001,200}</v>
      </c>
      <c r="AR611" s="23" t="str">
        <f ca="1" t="shared" si="221"/>
        <v>{2,240}</v>
      </c>
      <c r="AS611" s="23" t="str">
        <f ca="1" t="shared" si="222"/>
        <v>{5143001,250}</v>
      </c>
      <c r="AT611" s="23" t="str">
        <f ca="1" t="shared" si="248"/>
        <v>{5523001,200}</v>
      </c>
      <c r="AU611" s="23" t="str">
        <f ca="1" t="shared" si="235"/>
        <v/>
      </c>
      <c r="AV611" s="23" t="str">
        <f ca="1" t="shared" si="223"/>
        <v>{50007,25}</v>
      </c>
      <c r="AW611" s="23" t="str">
        <f ca="1" t="shared" si="224"/>
        <v/>
      </c>
      <c r="AX611" s="23" t="str">
        <f ca="1" t="shared" si="225"/>
        <v>{2,360}</v>
      </c>
      <c r="AY611" s="23" t="str">
        <f ca="1" t="shared" si="226"/>
        <v>{5204001,5}</v>
      </c>
      <c r="AZ611" s="23" t="str">
        <f ca="1" t="shared" si="252"/>
        <v>{5203001,30}</v>
      </c>
      <c r="BA611" s="23" t="str">
        <f ca="1" t="shared" si="227"/>
        <v>{1,150}</v>
      </c>
      <c r="BB611" s="23" t="s">
        <v>401</v>
      </c>
      <c r="BC611" s="23" t="str">
        <f ca="1" t="shared" si="228"/>
        <v>{5163001,300}</v>
      </c>
      <c r="BD611" s="23" t="str">
        <f ca="1" t="shared" si="245"/>
        <v/>
      </c>
      <c r="BE611" s="23" t="str">
        <f ca="1" t="shared" si="249"/>
        <v>{50039,1}</v>
      </c>
      <c r="BF611" s="23" t="str">
        <f ca="1" t="shared" si="229"/>
        <v>{2,600}</v>
      </c>
      <c r="BI611" s="23" t="str">
        <f ca="1" t="shared" si="230"/>
        <v>[{11,5},{50005,15},{5163001,200},{2,240}]</v>
      </c>
      <c r="BJ611" s="23" t="str">
        <f ca="1" t="shared" si="231"/>
        <v>[{5143001,250},{5523001,200},{50007,25},{2,360},{5204001,5}]</v>
      </c>
      <c r="BK611" s="23" t="str">
        <f ca="1" t="shared" si="232"/>
        <v>[{5203001,30},{1,150},{5523001,300},{5163001,300},{50039,1},{2,600}]</v>
      </c>
      <c r="BL611" s="23">
        <f ca="1" t="shared" si="233"/>
        <v>4</v>
      </c>
      <c r="BM611" s="23">
        <f ca="1" t="shared" si="234"/>
        <v>5</v>
      </c>
      <c r="BN611" s="23">
        <f ca="1" t="shared" si="236"/>
        <v>6</v>
      </c>
      <c r="BP611" s="71" t="s">
        <v>374</v>
      </c>
      <c r="BQ611" s="71">
        <v>150</v>
      </c>
    </row>
    <row r="612" ht="16.5" spans="2:69">
      <c r="B612" s="23">
        <v>292</v>
      </c>
      <c r="C612" s="12"/>
      <c r="D612" s="12"/>
      <c r="E612" s="71"/>
      <c r="F612" s="71"/>
      <c r="G612" s="71" t="str">
        <f t="shared" si="238"/>
        <v>裤子图纸</v>
      </c>
      <c r="H612" s="71">
        <v>15</v>
      </c>
      <c r="I612" s="71" t="str">
        <f t="shared" si="243"/>
        <v>控制特饮</v>
      </c>
      <c r="J612" s="71">
        <v>200</v>
      </c>
      <c r="K612" s="71" t="s">
        <v>96</v>
      </c>
      <c r="L612" s="71">
        <v>240</v>
      </c>
      <c r="M612" s="71" t="str">
        <f t="shared" si="246"/>
        <v>射手特饮</v>
      </c>
      <c r="N612" s="71">
        <f t="shared" si="250"/>
        <v>250</v>
      </c>
      <c r="O612" s="71" t="s">
        <v>316</v>
      </c>
      <c r="P612" s="71">
        <v>200</v>
      </c>
      <c r="Q612" s="71"/>
      <c r="R612" s="71"/>
      <c r="S612" s="72" t="str">
        <f t="shared" si="239"/>
        <v>手套图纸</v>
      </c>
      <c r="T612" s="71">
        <v>25</v>
      </c>
      <c r="U612" s="71" t="str">
        <f t="shared" si="240"/>
        <v/>
      </c>
      <c r="V612" s="71">
        <f t="shared" si="241"/>
        <v>0</v>
      </c>
      <c r="W612" s="71" t="s">
        <v>96</v>
      </c>
      <c r="X612" s="71">
        <f t="shared" si="217"/>
        <v>360</v>
      </c>
      <c r="Y612" s="71"/>
      <c r="Z612" s="71"/>
      <c r="AA612" s="71" t="str">
        <f t="shared" si="247"/>
        <v>基因罐</v>
      </c>
      <c r="AB612" s="71">
        <f t="shared" si="251"/>
        <v>30</v>
      </c>
      <c r="AC612" s="71" t="s">
        <v>374</v>
      </c>
      <c r="AD612" s="71">
        <v>150</v>
      </c>
      <c r="AE612" s="72" t="str">
        <f t="shared" si="244"/>
        <v>控制特饮</v>
      </c>
      <c r="AF612" s="71">
        <v>300</v>
      </c>
      <c r="AG612" s="71"/>
      <c r="AH612" s="71"/>
      <c r="AI612" s="71" t="s">
        <v>390</v>
      </c>
      <c r="AJ612" s="71">
        <v>1</v>
      </c>
      <c r="AK612" s="71" t="s">
        <v>96</v>
      </c>
      <c r="AL612" s="71">
        <f t="shared" si="218"/>
        <v>600</v>
      </c>
      <c r="AN612" s="23" t="str">
        <f ca="1" t="shared" si="242"/>
        <v>{11,5}</v>
      </c>
      <c r="AO612" s="23" t="str">
        <f ca="1" t="shared" si="237"/>
        <v/>
      </c>
      <c r="AP612" s="23" t="str">
        <f ca="1" t="shared" si="219"/>
        <v>{50006,15}</v>
      </c>
      <c r="AQ612" s="23" t="str">
        <f ca="1" t="shared" si="220"/>
        <v>{5153001,200}</v>
      </c>
      <c r="AR612" s="23" t="str">
        <f ca="1" t="shared" si="221"/>
        <v>{2,240}</v>
      </c>
      <c r="AS612" s="23" t="str">
        <f ca="1" t="shared" si="222"/>
        <v>{5133001,250}</v>
      </c>
      <c r="AT612" s="23" t="str">
        <f ca="1" t="shared" si="248"/>
        <v>{5523001,200}</v>
      </c>
      <c r="AU612" s="23" t="str">
        <f ca="1" t="shared" si="235"/>
        <v/>
      </c>
      <c r="AV612" s="23" t="str">
        <f ca="1" t="shared" si="223"/>
        <v>{50008,25}</v>
      </c>
      <c r="AW612" s="23" t="str">
        <f ca="1" t="shared" si="224"/>
        <v/>
      </c>
      <c r="AX612" s="23" t="str">
        <f ca="1" t="shared" si="225"/>
        <v>{2,360}</v>
      </c>
      <c r="AY612" s="23" t="str">
        <f ca="1" t="shared" si="226"/>
        <v>{5204001,5}</v>
      </c>
      <c r="AZ612" s="23" t="str">
        <f ca="1" t="shared" si="252"/>
        <v>{5203001,30}</v>
      </c>
      <c r="BA612" s="23" t="str">
        <f ca="1" t="shared" si="227"/>
        <v>{1,150}</v>
      </c>
      <c r="BB612" s="23" t="s">
        <v>401</v>
      </c>
      <c r="BC612" s="23" t="str">
        <f ca="1" t="shared" si="228"/>
        <v>{5153001,300}</v>
      </c>
      <c r="BD612" s="23" t="str">
        <f ca="1" t="shared" si="245"/>
        <v/>
      </c>
      <c r="BE612" s="23" t="str">
        <f ca="1" t="shared" si="249"/>
        <v>{50039,1}</v>
      </c>
      <c r="BF612" s="23" t="str">
        <f ca="1" t="shared" si="229"/>
        <v>{2,600}</v>
      </c>
      <c r="BI612" s="23" t="str">
        <f ca="1" t="shared" si="230"/>
        <v>[{11,5},{50006,15},{5153001,200},{2,240}]</v>
      </c>
      <c r="BJ612" s="23" t="str">
        <f ca="1" t="shared" si="231"/>
        <v>[{5133001,250},{5523001,200},{50008,25},{2,360},{5204001,5}]</v>
      </c>
      <c r="BK612" s="23" t="str">
        <f ca="1" t="shared" si="232"/>
        <v>[{5203001,30},{1,150},{5523001,300},{5153001,300},{50039,1},{2,600}]</v>
      </c>
      <c r="BL612" s="23">
        <f ca="1" t="shared" si="233"/>
        <v>4</v>
      </c>
      <c r="BM612" s="23">
        <f ca="1" t="shared" si="234"/>
        <v>5</v>
      </c>
      <c r="BN612" s="23">
        <f ca="1" t="shared" si="236"/>
        <v>6</v>
      </c>
      <c r="BP612" s="71" t="s">
        <v>374</v>
      </c>
      <c r="BQ612" s="71">
        <v>150</v>
      </c>
    </row>
    <row r="613" ht="16.5" spans="2:69">
      <c r="B613" s="23">
        <v>293</v>
      </c>
      <c r="C613" s="12"/>
      <c r="D613" s="12"/>
      <c r="E613" s="71"/>
      <c r="F613" s="71"/>
      <c r="G613" s="71" t="str">
        <f t="shared" si="238"/>
        <v>鞋子图纸</v>
      </c>
      <c r="H613" s="71">
        <v>15</v>
      </c>
      <c r="I613" s="71" t="str">
        <f t="shared" si="243"/>
        <v>射手特饮</v>
      </c>
      <c r="J613" s="71">
        <v>200</v>
      </c>
      <c r="K613" s="71" t="s">
        <v>96</v>
      </c>
      <c r="L613" s="71">
        <v>240</v>
      </c>
      <c r="M613" s="71" t="str">
        <f t="shared" si="246"/>
        <v>毒系特饮</v>
      </c>
      <c r="N613" s="71">
        <f t="shared" si="250"/>
        <v>250</v>
      </c>
      <c r="O613" s="71" t="s">
        <v>316</v>
      </c>
      <c r="P613" s="71">
        <v>200</v>
      </c>
      <c r="Q613" s="71"/>
      <c r="R613" s="71"/>
      <c r="S613" s="72" t="str">
        <f t="shared" si="239"/>
        <v>头盔图纸</v>
      </c>
      <c r="T613" s="71">
        <v>25</v>
      </c>
      <c r="U613" s="71" t="str">
        <f t="shared" si="240"/>
        <v/>
      </c>
      <c r="V613" s="71">
        <f t="shared" si="241"/>
        <v>0</v>
      </c>
      <c r="W613" s="71" t="s">
        <v>96</v>
      </c>
      <c r="X613" s="71">
        <f t="shared" si="217"/>
        <v>360</v>
      </c>
      <c r="Y613" s="71"/>
      <c r="Z613" s="71"/>
      <c r="AA613" s="71" t="str">
        <f t="shared" si="247"/>
        <v>基因罐</v>
      </c>
      <c r="AB613" s="71">
        <f t="shared" si="251"/>
        <v>30</v>
      </c>
      <c r="AC613" s="71" t="s">
        <v>374</v>
      </c>
      <c r="AD613" s="71">
        <v>150</v>
      </c>
      <c r="AE613" s="72" t="str">
        <f t="shared" si="244"/>
        <v>射手特饮</v>
      </c>
      <c r="AF613" s="71">
        <v>300</v>
      </c>
      <c r="AG613" s="71"/>
      <c r="AH613" s="71"/>
      <c r="AI613" s="71" t="s">
        <v>390</v>
      </c>
      <c r="AJ613" s="71">
        <v>1</v>
      </c>
      <c r="AK613" s="71" t="s">
        <v>96</v>
      </c>
      <c r="AL613" s="71">
        <f t="shared" si="218"/>
        <v>600</v>
      </c>
      <c r="AN613" s="23" t="str">
        <f ca="1" t="shared" si="242"/>
        <v>{11,5}</v>
      </c>
      <c r="AO613" s="23" t="str">
        <f ca="1" t="shared" si="237"/>
        <v/>
      </c>
      <c r="AP613" s="23" t="str">
        <f ca="1" t="shared" si="219"/>
        <v>{50007,15}</v>
      </c>
      <c r="AQ613" s="23" t="str">
        <f ca="1" t="shared" si="220"/>
        <v>{5133001,200}</v>
      </c>
      <c r="AR613" s="23" t="str">
        <f ca="1" t="shared" si="221"/>
        <v>{2,240}</v>
      </c>
      <c r="AS613" s="23" t="str">
        <f ca="1" t="shared" si="222"/>
        <v>{5163001,250}</v>
      </c>
      <c r="AT613" s="23" t="str">
        <f ca="1" t="shared" si="248"/>
        <v>{5523001,200}</v>
      </c>
      <c r="AU613" s="23" t="str">
        <f ca="1" t="shared" si="235"/>
        <v/>
      </c>
      <c r="AV613" s="23" t="str">
        <f ca="1" t="shared" si="223"/>
        <v>{50003,25}</v>
      </c>
      <c r="AW613" s="23" t="str">
        <f ca="1" t="shared" si="224"/>
        <v/>
      </c>
      <c r="AX613" s="23" t="str">
        <f ca="1" t="shared" si="225"/>
        <v>{2,360}</v>
      </c>
      <c r="AY613" s="23" t="str">
        <f ca="1" t="shared" si="226"/>
        <v>{5204001,5}</v>
      </c>
      <c r="AZ613" s="23" t="str">
        <f ca="1" t="shared" si="252"/>
        <v>{5203001,30}</v>
      </c>
      <c r="BA613" s="23" t="str">
        <f ca="1" t="shared" si="227"/>
        <v>{1,150}</v>
      </c>
      <c r="BB613" s="23" t="s">
        <v>401</v>
      </c>
      <c r="BC613" s="23" t="str">
        <f ca="1" t="shared" si="228"/>
        <v>{5133001,300}</v>
      </c>
      <c r="BD613" s="23" t="str">
        <f ca="1" t="shared" si="245"/>
        <v/>
      </c>
      <c r="BE613" s="23" t="str">
        <f ca="1" t="shared" si="249"/>
        <v>{50039,1}</v>
      </c>
      <c r="BF613" s="23" t="str">
        <f ca="1" t="shared" si="229"/>
        <v>{2,600}</v>
      </c>
      <c r="BI613" s="23" t="str">
        <f ca="1" t="shared" si="230"/>
        <v>[{11,5},{50007,15},{5133001,200},{2,240}]</v>
      </c>
      <c r="BJ613" s="23" t="str">
        <f ca="1" t="shared" si="231"/>
        <v>[{5163001,250},{5523001,200},{50003,25},{2,360},{5204001,5}]</v>
      </c>
      <c r="BK613" s="23" t="str">
        <f ca="1" t="shared" si="232"/>
        <v>[{5203001,30},{1,150},{5523001,300},{5133001,300},{50039,1},{2,600}]</v>
      </c>
      <c r="BL613" s="23">
        <f ca="1" t="shared" si="233"/>
        <v>4</v>
      </c>
      <c r="BM613" s="23">
        <f ca="1" t="shared" si="234"/>
        <v>5</v>
      </c>
      <c r="BN613" s="23">
        <f ca="1" t="shared" si="236"/>
        <v>6</v>
      </c>
      <c r="BP613" s="71" t="s">
        <v>374</v>
      </c>
      <c r="BQ613" s="71">
        <v>150</v>
      </c>
    </row>
    <row r="614" ht="16.5" spans="2:69">
      <c r="B614" s="23">
        <v>294</v>
      </c>
      <c r="C614" s="12"/>
      <c r="D614" s="12"/>
      <c r="E614" s="71"/>
      <c r="F614" s="71"/>
      <c r="G614" s="71" t="str">
        <f t="shared" si="238"/>
        <v>手套图纸</v>
      </c>
      <c r="H614" s="71">
        <v>15</v>
      </c>
      <c r="I614" s="71" t="str">
        <f t="shared" si="243"/>
        <v>法师特饮</v>
      </c>
      <c r="J614" s="71">
        <v>200</v>
      </c>
      <c r="K614" s="71" t="s">
        <v>96</v>
      </c>
      <c r="L614" s="71">
        <v>240</v>
      </c>
      <c r="M614" s="71" t="str">
        <f t="shared" si="246"/>
        <v>控制特饮</v>
      </c>
      <c r="N614" s="71">
        <f t="shared" si="250"/>
        <v>250</v>
      </c>
      <c r="O614" s="71" t="s">
        <v>316</v>
      </c>
      <c r="P614" s="71">
        <v>200</v>
      </c>
      <c r="Q614" s="71"/>
      <c r="R614" s="71"/>
      <c r="S614" s="72" t="str">
        <f t="shared" si="239"/>
        <v>衣服图纸</v>
      </c>
      <c r="T614" s="71">
        <v>25</v>
      </c>
      <c r="U614" s="71" t="str">
        <f t="shared" si="240"/>
        <v/>
      </c>
      <c r="V614" s="71">
        <f t="shared" si="241"/>
        <v>0</v>
      </c>
      <c r="W614" s="71" t="s">
        <v>96</v>
      </c>
      <c r="X614" s="71">
        <f t="shared" si="217"/>
        <v>360</v>
      </c>
      <c r="Y614" s="71"/>
      <c r="Z614" s="71"/>
      <c r="AA614" s="71" t="str">
        <f t="shared" si="247"/>
        <v>基因罐</v>
      </c>
      <c r="AB614" s="71">
        <f t="shared" si="251"/>
        <v>30</v>
      </c>
      <c r="AC614" s="71" t="s">
        <v>374</v>
      </c>
      <c r="AD614" s="71">
        <v>150</v>
      </c>
      <c r="AE614" s="72" t="str">
        <f t="shared" si="244"/>
        <v>战士特饮</v>
      </c>
      <c r="AF614" s="71">
        <v>300</v>
      </c>
      <c r="AG614" s="71"/>
      <c r="AH614" s="71"/>
      <c r="AI614" s="71" t="s">
        <v>390</v>
      </c>
      <c r="AJ614" s="71">
        <v>1</v>
      </c>
      <c r="AK614" s="71" t="s">
        <v>96</v>
      </c>
      <c r="AL614" s="71">
        <f t="shared" si="218"/>
        <v>600</v>
      </c>
      <c r="AN614" s="23" t="str">
        <f ca="1" t="shared" si="242"/>
        <v>{11,5}</v>
      </c>
      <c r="AO614" s="23" t="str">
        <f ca="1" t="shared" si="237"/>
        <v/>
      </c>
      <c r="AP614" s="23" t="str">
        <f ca="1" t="shared" si="219"/>
        <v>{50008,15}</v>
      </c>
      <c r="AQ614" s="23" t="str">
        <f ca="1" t="shared" si="220"/>
        <v>{5123001,200}</v>
      </c>
      <c r="AR614" s="23" t="str">
        <f ca="1" t="shared" si="221"/>
        <v>{2,240}</v>
      </c>
      <c r="AS614" s="23" t="str">
        <f ca="1" t="shared" si="222"/>
        <v>{5153001,250}</v>
      </c>
      <c r="AT614" s="23" t="str">
        <f ca="1" t="shared" si="248"/>
        <v>{5523001,200}</v>
      </c>
      <c r="AU614" s="23" t="str">
        <f ca="1" t="shared" si="235"/>
        <v/>
      </c>
      <c r="AV614" s="23" t="str">
        <f ca="1" t="shared" si="223"/>
        <v>{50004,25}</v>
      </c>
      <c r="AW614" s="23" t="str">
        <f ca="1" t="shared" si="224"/>
        <v/>
      </c>
      <c r="AX614" s="23" t="str">
        <f ca="1" t="shared" si="225"/>
        <v>{2,360}</v>
      </c>
      <c r="AY614" s="23" t="str">
        <f ca="1" t="shared" si="226"/>
        <v>{5204001,5}</v>
      </c>
      <c r="AZ614" s="23" t="str">
        <f ca="1" t="shared" si="252"/>
        <v>{5203001,30}</v>
      </c>
      <c r="BA614" s="23" t="str">
        <f ca="1" t="shared" si="227"/>
        <v>{1,150}</v>
      </c>
      <c r="BB614" s="23" t="s">
        <v>401</v>
      </c>
      <c r="BC614" s="23" t="str">
        <f ca="1" t="shared" si="228"/>
        <v>{5113001,300}</v>
      </c>
      <c r="BD614" s="23" t="str">
        <f ca="1" t="shared" si="245"/>
        <v/>
      </c>
      <c r="BE614" s="23" t="str">
        <f ca="1" t="shared" si="249"/>
        <v>{50039,1}</v>
      </c>
      <c r="BF614" s="23" t="str">
        <f ca="1" t="shared" si="229"/>
        <v>{2,600}</v>
      </c>
      <c r="BI614" s="23" t="str">
        <f ca="1" t="shared" si="230"/>
        <v>[{11,5},{50008,15},{5123001,200},{2,240}]</v>
      </c>
      <c r="BJ614" s="23" t="str">
        <f ca="1" t="shared" si="231"/>
        <v>[{5153001,250},{5523001,200},{50004,25},{2,360},{5204001,5}]</v>
      </c>
      <c r="BK614" s="23" t="str">
        <f ca="1" t="shared" si="232"/>
        <v>[{5203001,30},{1,150},{5523001,300},{5113001,300},{50039,1},{2,600}]</v>
      </c>
      <c r="BL614" s="23">
        <f ca="1" t="shared" si="233"/>
        <v>4</v>
      </c>
      <c r="BM614" s="23">
        <f ca="1" t="shared" si="234"/>
        <v>5</v>
      </c>
      <c r="BN614" s="23">
        <f ca="1" t="shared" si="236"/>
        <v>6</v>
      </c>
      <c r="BP614" s="71" t="s">
        <v>374</v>
      </c>
      <c r="BQ614" s="71">
        <v>150</v>
      </c>
    </row>
    <row r="615" ht="16.5" spans="2:69">
      <c r="B615" s="23">
        <v>295</v>
      </c>
      <c r="C615" s="12" t="inlineStr">
        <is>
          <t>梦愿水晶</t>
        </is>
      </c>
      <c r="D615" s="12">
        <v>1</v>
      </c>
      <c r="E615" s="71"/>
      <c r="F615" s="71"/>
      <c r="G615" s="71" t="str">
        <f t="shared" si="238"/>
        <v>头盔图纸</v>
      </c>
      <c r="H615" s="71">
        <v>15</v>
      </c>
      <c r="I615" s="71" t="str">
        <f t="shared" si="243"/>
        <v>辅助特饮</v>
      </c>
      <c r="J615" s="71">
        <v>200</v>
      </c>
      <c r="K615" s="71" t="s">
        <v>96</v>
      </c>
      <c r="L615" s="71">
        <v>240</v>
      </c>
      <c r="M615" s="71" t="str">
        <f t="shared" si="246"/>
        <v>战士特饮</v>
      </c>
      <c r="N615" s="71">
        <f t="shared" si="250"/>
        <v>250</v>
      </c>
      <c r="O615" s="71" t="s">
        <v>316</v>
      </c>
      <c r="P615" s="71">
        <v>200</v>
      </c>
      <c r="Q615" s="71"/>
      <c r="R615" s="71"/>
      <c r="S615" s="72" t="str">
        <f t="shared" si="239"/>
        <v>护臂图纸</v>
      </c>
      <c r="T615" s="71">
        <v>25</v>
      </c>
      <c r="U615" s="71" t="str">
        <f t="shared" si="240"/>
        <v>灵感获取令</v>
      </c>
      <c r="V615" s="71">
        <f t="shared" si="241"/>
        <v>1</v>
      </c>
      <c r="W615" s="71" t="s">
        <v>96</v>
      </c>
      <c r="X615" s="71">
        <f t="shared" si="217"/>
        <v>360</v>
      </c>
      <c r="Y615" s="71"/>
      <c r="Z615" s="71"/>
      <c r="AA615" s="71" t="str">
        <f t="shared" si="247"/>
        <v>传说基因罐</v>
      </c>
      <c r="AB615" s="71">
        <f t="shared" si="251"/>
        <v>3</v>
      </c>
      <c r="AC615" s="71" t="s">
        <v>374</v>
      </c>
      <c r="AD615" s="71">
        <v>150</v>
      </c>
      <c r="AE615" s="72" t="str">
        <f t="shared" si="244"/>
        <v>法师特饮</v>
      </c>
      <c r="AF615" s="71">
        <v>300</v>
      </c>
      <c r="AG615" s="71"/>
      <c r="AH615" s="71"/>
      <c r="AI615" s="71" t="s">
        <v>390</v>
      </c>
      <c r="AJ615" s="71">
        <v>1</v>
      </c>
      <c r="AK615" s="71" t="s">
        <v>96</v>
      </c>
      <c r="AL615" s="71">
        <f t="shared" si="218"/>
        <v>600</v>
      </c>
      <c r="AN615" s="23" t="str">
        <f ca="1" t="shared" si="242"/>
        <v>{35,1}</v>
      </c>
      <c r="AO615" s="23" t="str">
        <f ca="1" t="shared" si="237"/>
        <v/>
      </c>
      <c r="AP615" s="23" t="str">
        <f ca="1" t="shared" si="219"/>
        <v>{50003,15}</v>
      </c>
      <c r="AQ615" s="23" t="str">
        <f ca="1" t="shared" si="220"/>
        <v>{5143001,200}</v>
      </c>
      <c r="AR615" s="23" t="str">
        <f ca="1" t="shared" si="221"/>
        <v>{2,240}</v>
      </c>
      <c r="AS615" s="23" t="str">
        <f ca="1" t="shared" si="222"/>
        <v>{5113001,250}</v>
      </c>
      <c r="AT615" s="23" t="str">
        <f ca="1" t="shared" si="248"/>
        <v>{5523001,200}</v>
      </c>
      <c r="AU615" s="23" t="str">
        <f ca="1" t="shared" si="235"/>
        <v/>
      </c>
      <c r="AV615" s="23" t="str">
        <f ca="1" t="shared" si="223"/>
        <v>{50005,25}</v>
      </c>
      <c r="AW615" s="23" t="str">
        <f ca="1" t="shared" si="224"/>
        <v>{9,1}</v>
      </c>
      <c r="AX615" s="23" t="str">
        <f ca="1" t="shared" si="225"/>
        <v>{2,360}</v>
      </c>
      <c r="AY615" s="23" t="str">
        <f ca="1" t="shared" si="226"/>
        <v>{5204001,5}</v>
      </c>
      <c r="AZ615" s="23" t="str">
        <f ca="1" t="shared" si="252"/>
        <v>{5205001,3}</v>
      </c>
      <c r="BA615" s="23" t="str">
        <f ca="1" t="shared" si="227"/>
        <v>{1,150}</v>
      </c>
      <c r="BB615" s="23" t="s">
        <v>401</v>
      </c>
      <c r="BC615" s="23" t="str">
        <f ca="1" t="shared" si="228"/>
        <v>{5123001,300}</v>
      </c>
      <c r="BD615" s="23" t="str">
        <f ca="1" t="shared" si="245"/>
        <v/>
      </c>
      <c r="BE615" s="23" t="str">
        <f ca="1" t="shared" si="249"/>
        <v>{50039,1}</v>
      </c>
      <c r="BF615" s="23" t="str">
        <f ca="1" t="shared" si="229"/>
        <v>{2,600}</v>
      </c>
      <c r="BI615" s="23" t="str">
        <f ca="1" t="shared" si="230"/>
        <v>[{35,1},{50003,15},{5143001,200},{2,240}]</v>
      </c>
      <c r="BJ615" s="23" t="str">
        <f ca="1" t="shared" si="231"/>
        <v>[{5113001,250},{5523001,200},{50005,25},{9,1},{2,360},{5204001,5}]</v>
      </c>
      <c r="BK615" s="23" t="str">
        <f ca="1" t="shared" si="232"/>
        <v>[{5205001,3},{1,150},{5523001,300},{5123001,300},{50039,1},{2,600}]</v>
      </c>
      <c r="BL615" s="23">
        <f ca="1" t="shared" si="233"/>
        <v>4</v>
      </c>
      <c r="BM615" s="23">
        <f ca="1" t="shared" si="234"/>
        <v>6</v>
      </c>
      <c r="BN615" s="23">
        <f ca="1" t="shared" si="236"/>
        <v>6</v>
      </c>
      <c r="BP615" s="71" t="s">
        <v>374</v>
      </c>
      <c r="BQ615" s="71">
        <v>150</v>
      </c>
    </row>
    <row r="616" ht="16.5" spans="2:69">
      <c r="B616" s="23">
        <v>296</v>
      </c>
      <c r="C616" s="12"/>
      <c r="D616" s="12"/>
      <c r="E616" s="71"/>
      <c r="F616" s="71"/>
      <c r="G616" s="71" t="str">
        <f t="shared" si="238"/>
        <v>衣服图纸</v>
      </c>
      <c r="H616" s="71">
        <v>15</v>
      </c>
      <c r="I616" s="71" t="str">
        <f t="shared" si="243"/>
        <v>战士特饮</v>
      </c>
      <c r="J616" s="71">
        <v>200</v>
      </c>
      <c r="K616" s="71" t="s">
        <v>96</v>
      </c>
      <c r="L616" s="71">
        <v>240</v>
      </c>
      <c r="M616" s="71" t="str">
        <f t="shared" si="246"/>
        <v>法师特饮</v>
      </c>
      <c r="N616" s="71">
        <f t="shared" si="250"/>
        <v>250</v>
      </c>
      <c r="O616" s="71" t="s">
        <v>316</v>
      </c>
      <c r="P616" s="71">
        <v>200</v>
      </c>
      <c r="Q616" s="71"/>
      <c r="R616" s="71"/>
      <c r="S616" s="72" t="str">
        <f t="shared" si="239"/>
        <v>裤子图纸</v>
      </c>
      <c r="T616" s="71">
        <v>25</v>
      </c>
      <c r="U616" s="71" t="str">
        <f t="shared" si="240"/>
        <v/>
      </c>
      <c r="V616" s="71">
        <f t="shared" si="241"/>
        <v>0</v>
      </c>
      <c r="W616" s="71" t="s">
        <v>96</v>
      </c>
      <c r="X616" s="71">
        <f t="shared" si="217"/>
        <v>360</v>
      </c>
      <c r="Y616" s="71"/>
      <c r="Z616" s="71"/>
      <c r="AA616" s="71" t="str">
        <f t="shared" si="247"/>
        <v>基因罐</v>
      </c>
      <c r="AB616" s="71">
        <f t="shared" si="251"/>
        <v>30</v>
      </c>
      <c r="AC616" s="71" t="s">
        <v>374</v>
      </c>
      <c r="AD616" s="71">
        <v>150</v>
      </c>
      <c r="AE616" s="72" t="str">
        <f t="shared" si="244"/>
        <v>辅助特饮</v>
      </c>
      <c r="AF616" s="71">
        <v>300</v>
      </c>
      <c r="AG616" s="71"/>
      <c r="AH616" s="71"/>
      <c r="AI616" s="71" t="s">
        <v>390</v>
      </c>
      <c r="AJ616" s="71">
        <v>1</v>
      </c>
      <c r="AK616" s="71" t="s">
        <v>96</v>
      </c>
      <c r="AL616" s="71">
        <f t="shared" si="218"/>
        <v>600</v>
      </c>
      <c r="AN616" s="23" t="str">
        <f ca="1" t="shared" si="242"/>
        <v>{11,5}</v>
      </c>
      <c r="AO616" s="23" t="str">
        <f ca="1" t="shared" si="237"/>
        <v/>
      </c>
      <c r="AP616" s="23" t="str">
        <f ca="1" t="shared" si="219"/>
        <v>{50004,15}</v>
      </c>
      <c r="AQ616" s="23" t="str">
        <f ca="1" t="shared" si="220"/>
        <v>{5113001,200}</v>
      </c>
      <c r="AR616" s="23" t="str">
        <f ca="1" t="shared" si="221"/>
        <v>{2,240}</v>
      </c>
      <c r="AS616" s="23" t="str">
        <f ca="1" t="shared" si="222"/>
        <v>{5123001,250}</v>
      </c>
      <c r="AT616" s="23" t="str">
        <f ca="1" t="shared" si="248"/>
        <v>{5523001,200}</v>
      </c>
      <c r="AU616" s="23" t="str">
        <f ca="1" t="shared" si="235"/>
        <v/>
      </c>
      <c r="AV616" s="23" t="str">
        <f ca="1" t="shared" si="223"/>
        <v>{50006,25}</v>
      </c>
      <c r="AW616" s="23" t="str">
        <f ca="1" t="shared" si="224"/>
        <v/>
      </c>
      <c r="AX616" s="23" t="str">
        <f ca="1" t="shared" si="225"/>
        <v>{2,360}</v>
      </c>
      <c r="AY616" s="23" t="str">
        <f ca="1" t="shared" si="226"/>
        <v>{5204001,5}</v>
      </c>
      <c r="AZ616" s="23" t="str">
        <f ca="1" t="shared" si="252"/>
        <v>{5203001,30}</v>
      </c>
      <c r="BA616" s="23" t="str">
        <f ca="1" t="shared" si="227"/>
        <v>{1,150}</v>
      </c>
      <c r="BB616" s="23" t="s">
        <v>401</v>
      </c>
      <c r="BC616" s="23" t="str">
        <f ca="1" t="shared" si="228"/>
        <v>{5143001,300}</v>
      </c>
      <c r="BD616" s="23" t="str">
        <f ca="1" t="shared" si="245"/>
        <v/>
      </c>
      <c r="BE616" s="23" t="str">
        <f ca="1" t="shared" si="249"/>
        <v>{50039,1}</v>
      </c>
      <c r="BF616" s="23" t="str">
        <f ca="1" t="shared" si="229"/>
        <v>{2,600}</v>
      </c>
      <c r="BI616" s="23" t="str">
        <f ca="1" t="shared" si="230"/>
        <v>[{11,5},{50004,15},{5113001,200},{2,240}]</v>
      </c>
      <c r="BJ616" s="23" t="str">
        <f ca="1" t="shared" si="231"/>
        <v>[{5123001,250},{5523001,200},{50006,25},{2,360},{5204001,5}]</v>
      </c>
      <c r="BK616" s="23" t="str">
        <f ca="1" t="shared" si="232"/>
        <v>[{5203001,30},{1,150},{5523001,300},{5143001,300},{50039,1},{2,600}]</v>
      </c>
      <c r="BL616" s="23">
        <f ca="1" t="shared" si="233"/>
        <v>4</v>
      </c>
      <c r="BM616" s="23">
        <f ca="1" t="shared" si="234"/>
        <v>5</v>
      </c>
      <c r="BN616" s="23">
        <f ca="1" t="shared" si="236"/>
        <v>6</v>
      </c>
      <c r="BP616" s="71" t="s">
        <v>374</v>
      </c>
      <c r="BQ616" s="71">
        <v>150</v>
      </c>
    </row>
    <row r="617" ht="16.5" spans="2:69">
      <c r="B617" s="23">
        <v>297</v>
      </c>
      <c r="C617" s="12"/>
      <c r="D617" s="12"/>
      <c r="E617" s="71"/>
      <c r="F617" s="71"/>
      <c r="G617" s="71" t="str">
        <f t="shared" si="238"/>
        <v>护臂图纸</v>
      </c>
      <c r="H617" s="71">
        <v>15</v>
      </c>
      <c r="I617" s="71" t="str">
        <f t="shared" si="243"/>
        <v>毒系特饮</v>
      </c>
      <c r="J617" s="71">
        <v>200</v>
      </c>
      <c r="K617" s="71" t="s">
        <v>96</v>
      </c>
      <c r="L617" s="71">
        <v>240</v>
      </c>
      <c r="M617" s="71" t="str">
        <f t="shared" si="246"/>
        <v>辅助特饮</v>
      </c>
      <c r="N617" s="71">
        <f t="shared" si="250"/>
        <v>250</v>
      </c>
      <c r="O617" s="71" t="s">
        <v>316</v>
      </c>
      <c r="P617" s="71">
        <v>200</v>
      </c>
      <c r="Q617" s="71"/>
      <c r="R617" s="71"/>
      <c r="S617" s="72" t="str">
        <f t="shared" si="239"/>
        <v>鞋子图纸</v>
      </c>
      <c r="T617" s="71">
        <v>25</v>
      </c>
      <c r="U617" s="71" t="str">
        <f t="shared" si="240"/>
        <v/>
      </c>
      <c r="V617" s="71">
        <f t="shared" si="241"/>
        <v>0</v>
      </c>
      <c r="W617" s="71" t="s">
        <v>96</v>
      </c>
      <c r="X617" s="71">
        <f t="shared" si="217"/>
        <v>360</v>
      </c>
      <c r="Y617" s="71"/>
      <c r="Z617" s="71"/>
      <c r="AA617" s="71" t="str">
        <f t="shared" si="247"/>
        <v>基因罐</v>
      </c>
      <c r="AB617" s="71">
        <f t="shared" si="251"/>
        <v>30</v>
      </c>
      <c r="AC617" s="71" t="s">
        <v>374</v>
      </c>
      <c r="AD617" s="71">
        <v>150</v>
      </c>
      <c r="AE617" s="72" t="str">
        <f t="shared" si="244"/>
        <v>毒系特饮</v>
      </c>
      <c r="AF617" s="71">
        <v>300</v>
      </c>
      <c r="AG617" s="71"/>
      <c r="AH617" s="71"/>
      <c r="AI617" s="71" t="s">
        <v>390</v>
      </c>
      <c r="AJ617" s="71">
        <v>1</v>
      </c>
      <c r="AK617" s="71" t="s">
        <v>96</v>
      </c>
      <c r="AL617" s="71">
        <f t="shared" si="218"/>
        <v>600</v>
      </c>
      <c r="AN617" s="23" t="str">
        <f ca="1" t="shared" si="242"/>
        <v>{11,5}</v>
      </c>
      <c r="AO617" s="23" t="str">
        <f ca="1" t="shared" si="237"/>
        <v/>
      </c>
      <c r="AP617" s="23" t="str">
        <f ca="1" t="shared" si="219"/>
        <v>{50005,15}</v>
      </c>
      <c r="AQ617" s="23" t="str">
        <f ca="1" t="shared" si="220"/>
        <v>{5163001,200}</v>
      </c>
      <c r="AR617" s="23" t="str">
        <f ca="1" t="shared" si="221"/>
        <v>{2,240}</v>
      </c>
      <c r="AS617" s="23" t="str">
        <f ca="1" t="shared" si="222"/>
        <v>{5143001,250}</v>
      </c>
      <c r="AT617" s="23" t="str">
        <f ca="1" t="shared" si="248"/>
        <v>{5523001,200}</v>
      </c>
      <c r="AU617" s="23" t="str">
        <f ca="1" t="shared" si="235"/>
        <v/>
      </c>
      <c r="AV617" s="23" t="str">
        <f ca="1" t="shared" si="223"/>
        <v>{50007,25}</v>
      </c>
      <c r="AW617" s="23" t="str">
        <f ca="1" t="shared" si="224"/>
        <v/>
      </c>
      <c r="AX617" s="23" t="str">
        <f ca="1" t="shared" si="225"/>
        <v>{2,360}</v>
      </c>
      <c r="AY617" s="23" t="str">
        <f ca="1" t="shared" si="226"/>
        <v>{5204001,5}</v>
      </c>
      <c r="AZ617" s="23" t="str">
        <f ca="1" t="shared" si="252"/>
        <v>{5203001,30}</v>
      </c>
      <c r="BA617" s="23" t="str">
        <f ca="1" t="shared" si="227"/>
        <v>{1,150}</v>
      </c>
      <c r="BB617" s="23" t="s">
        <v>401</v>
      </c>
      <c r="BC617" s="23" t="str">
        <f ca="1" t="shared" si="228"/>
        <v>{5163001,300}</v>
      </c>
      <c r="BD617" s="23" t="str">
        <f ca="1" t="shared" si="245"/>
        <v/>
      </c>
      <c r="BE617" s="23" t="str">
        <f ca="1" t="shared" si="249"/>
        <v>{50039,1}</v>
      </c>
      <c r="BF617" s="23" t="str">
        <f ca="1" t="shared" si="229"/>
        <v>{2,600}</v>
      </c>
      <c r="BI617" s="23" t="str">
        <f ca="1" t="shared" si="230"/>
        <v>[{11,5},{50005,15},{5163001,200},{2,240}]</v>
      </c>
      <c r="BJ617" s="23" t="str">
        <f ca="1" t="shared" si="231"/>
        <v>[{5143001,250},{5523001,200},{50007,25},{2,360},{5204001,5}]</v>
      </c>
      <c r="BK617" s="23" t="str">
        <f ca="1" t="shared" si="232"/>
        <v>[{5203001,30},{1,150},{5523001,300},{5163001,300},{50039,1},{2,600}]</v>
      </c>
      <c r="BL617" s="23">
        <f ca="1" t="shared" si="233"/>
        <v>4</v>
      </c>
      <c r="BM617" s="23">
        <f ca="1" t="shared" si="234"/>
        <v>5</v>
      </c>
      <c r="BN617" s="23">
        <f ca="1" t="shared" si="236"/>
        <v>6</v>
      </c>
      <c r="BP617" s="71" t="s">
        <v>374</v>
      </c>
      <c r="BQ617" s="71">
        <v>150</v>
      </c>
    </row>
    <row r="618" ht="16.5" spans="2:69">
      <c r="B618" s="23">
        <v>298</v>
      </c>
      <c r="C618" s="12"/>
      <c r="D618" s="12"/>
      <c r="E618" s="71"/>
      <c r="F618" s="71"/>
      <c r="G618" s="71" t="str">
        <f t="shared" si="238"/>
        <v>裤子图纸</v>
      </c>
      <c r="H618" s="71">
        <v>15</v>
      </c>
      <c r="I618" s="71" t="str">
        <f t="shared" si="243"/>
        <v>控制特饮</v>
      </c>
      <c r="J618" s="71">
        <v>200</v>
      </c>
      <c r="K618" s="71" t="s">
        <v>96</v>
      </c>
      <c r="L618" s="71">
        <v>240</v>
      </c>
      <c r="M618" s="71" t="str">
        <f t="shared" si="246"/>
        <v>射手特饮</v>
      </c>
      <c r="N618" s="71">
        <f t="shared" si="250"/>
        <v>250</v>
      </c>
      <c r="O618" s="71" t="s">
        <v>316</v>
      </c>
      <c r="P618" s="71">
        <v>200</v>
      </c>
      <c r="Q618" s="71"/>
      <c r="R618" s="71"/>
      <c r="S618" s="72" t="str">
        <f t="shared" si="239"/>
        <v>手套图纸</v>
      </c>
      <c r="T618" s="71">
        <v>25</v>
      </c>
      <c r="U618" s="71" t="str">
        <f t="shared" si="240"/>
        <v/>
      </c>
      <c r="V618" s="71">
        <f t="shared" si="241"/>
        <v>0</v>
      </c>
      <c r="W618" s="71" t="s">
        <v>96</v>
      </c>
      <c r="X618" s="71">
        <f t="shared" si="217"/>
        <v>360</v>
      </c>
      <c r="Y618" s="71"/>
      <c r="Z618" s="71"/>
      <c r="AA618" s="71" t="str">
        <f t="shared" si="247"/>
        <v>基因罐</v>
      </c>
      <c r="AB618" s="71">
        <f t="shared" si="251"/>
        <v>30</v>
      </c>
      <c r="AC618" s="71" t="s">
        <v>374</v>
      </c>
      <c r="AD618" s="71">
        <v>150</v>
      </c>
      <c r="AE618" s="72" t="str">
        <f t="shared" si="244"/>
        <v>控制特饮</v>
      </c>
      <c r="AF618" s="71">
        <v>300</v>
      </c>
      <c r="AG618" s="71"/>
      <c r="AH618" s="71"/>
      <c r="AI618" s="71" t="s">
        <v>390</v>
      </c>
      <c r="AJ618" s="71">
        <v>1</v>
      </c>
      <c r="AK618" s="71" t="s">
        <v>96</v>
      </c>
      <c r="AL618" s="71">
        <f t="shared" si="218"/>
        <v>600</v>
      </c>
      <c r="AN618" s="23" t="str">
        <f ca="1" t="shared" si="242"/>
        <v>{11,5}</v>
      </c>
      <c r="AO618" s="23" t="str">
        <f ca="1" t="shared" si="237"/>
        <v/>
      </c>
      <c r="AP618" s="23" t="str">
        <f ca="1" t="shared" si="219"/>
        <v>{50006,15}</v>
      </c>
      <c r="AQ618" s="23" t="str">
        <f ca="1" t="shared" si="220"/>
        <v>{5153001,200}</v>
      </c>
      <c r="AR618" s="23" t="str">
        <f ca="1" t="shared" si="221"/>
        <v>{2,240}</v>
      </c>
      <c r="AS618" s="23" t="str">
        <f ca="1" t="shared" si="222"/>
        <v>{5133001,250}</v>
      </c>
      <c r="AT618" s="23" t="str">
        <f ca="1" t="shared" si="248"/>
        <v>{5523001,200}</v>
      </c>
      <c r="AU618" s="23" t="str">
        <f ca="1" t="shared" si="235"/>
        <v/>
      </c>
      <c r="AV618" s="23" t="str">
        <f ca="1" t="shared" si="223"/>
        <v>{50008,25}</v>
      </c>
      <c r="AW618" s="23" t="str">
        <f ca="1" t="shared" si="224"/>
        <v/>
      </c>
      <c r="AX618" s="23" t="str">
        <f ca="1" t="shared" si="225"/>
        <v>{2,360}</v>
      </c>
      <c r="AY618" s="23" t="str">
        <f ca="1" t="shared" si="226"/>
        <v>{5204001,5}</v>
      </c>
      <c r="AZ618" s="23" t="str">
        <f ca="1" t="shared" si="252"/>
        <v>{5203001,30}</v>
      </c>
      <c r="BA618" s="23" t="str">
        <f ca="1" t="shared" si="227"/>
        <v>{1,150}</v>
      </c>
      <c r="BB618" s="23" t="s">
        <v>401</v>
      </c>
      <c r="BC618" s="23" t="str">
        <f ca="1" t="shared" si="228"/>
        <v>{5153001,300}</v>
      </c>
      <c r="BD618" s="23" t="str">
        <f ca="1" t="shared" si="245"/>
        <v/>
      </c>
      <c r="BE618" s="23" t="str">
        <f ca="1" t="shared" si="249"/>
        <v>{50039,1}</v>
      </c>
      <c r="BF618" s="23" t="str">
        <f ca="1" t="shared" si="229"/>
        <v>{2,600}</v>
      </c>
      <c r="BI618" s="23" t="str">
        <f ca="1" t="shared" si="230"/>
        <v>[{11,5},{50006,15},{5153001,200},{2,240}]</v>
      </c>
      <c r="BJ618" s="23" t="str">
        <f ca="1" t="shared" si="231"/>
        <v>[{5133001,250},{5523001,200},{50008,25},{2,360},{5204001,5}]</v>
      </c>
      <c r="BK618" s="23" t="str">
        <f ca="1" t="shared" si="232"/>
        <v>[{5203001,30},{1,150},{5523001,300},{5153001,300},{50039,1},{2,600}]</v>
      </c>
      <c r="BL618" s="23">
        <f ca="1" t="shared" si="233"/>
        <v>4</v>
      </c>
      <c r="BM618" s="23">
        <f ca="1" t="shared" si="234"/>
        <v>5</v>
      </c>
      <c r="BN618" s="23">
        <f ca="1" t="shared" si="236"/>
        <v>6</v>
      </c>
      <c r="BP618" s="71" t="s">
        <v>374</v>
      </c>
      <c r="BQ618" s="71">
        <v>150</v>
      </c>
    </row>
    <row r="619" ht="16.5" spans="2:69">
      <c r="B619" s="23">
        <v>299</v>
      </c>
      <c r="C619" s="12"/>
      <c r="D619" s="12"/>
      <c r="E619" s="71"/>
      <c r="F619" s="71"/>
      <c r="G619" s="71" t="str">
        <f t="shared" si="238"/>
        <v>鞋子图纸</v>
      </c>
      <c r="H619" s="71">
        <v>15</v>
      </c>
      <c r="I619" s="71" t="str">
        <f t="shared" si="243"/>
        <v>射手特饮</v>
      </c>
      <c r="J619" s="71">
        <v>200</v>
      </c>
      <c r="K619" s="71" t="s">
        <v>96</v>
      </c>
      <c r="L619" s="71">
        <v>240</v>
      </c>
      <c r="M619" s="71" t="str">
        <f t="shared" si="246"/>
        <v>毒系特饮</v>
      </c>
      <c r="N619" s="71">
        <f t="shared" si="250"/>
        <v>250</v>
      </c>
      <c r="O619" s="71" t="s">
        <v>316</v>
      </c>
      <c r="P619" s="71">
        <v>200</v>
      </c>
      <c r="Q619" s="71"/>
      <c r="R619" s="71"/>
      <c r="S619" s="72" t="str">
        <f t="shared" si="239"/>
        <v>头盔图纸</v>
      </c>
      <c r="T619" s="71">
        <v>25</v>
      </c>
      <c r="U619" s="71" t="str">
        <f t="shared" si="240"/>
        <v/>
      </c>
      <c r="V619" s="71">
        <f t="shared" si="241"/>
        <v>0</v>
      </c>
      <c r="W619" s="71" t="s">
        <v>96</v>
      </c>
      <c r="X619" s="71">
        <f t="shared" si="217"/>
        <v>360</v>
      </c>
      <c r="Y619" s="71"/>
      <c r="Z619" s="71"/>
      <c r="AA619" s="71" t="str">
        <f t="shared" si="247"/>
        <v>基因罐</v>
      </c>
      <c r="AB619" s="71">
        <f t="shared" si="251"/>
        <v>30</v>
      </c>
      <c r="AC619" s="71" t="s">
        <v>374</v>
      </c>
      <c r="AD619" s="71">
        <v>150</v>
      </c>
      <c r="AE619" s="72" t="str">
        <f t="shared" si="244"/>
        <v>射手特饮</v>
      </c>
      <c r="AF619" s="71">
        <v>300</v>
      </c>
      <c r="AG619" s="71"/>
      <c r="AH619" s="71"/>
      <c r="AI619" s="71" t="s">
        <v>390</v>
      </c>
      <c r="AJ619" s="71">
        <v>1</v>
      </c>
      <c r="AK619" s="71" t="s">
        <v>96</v>
      </c>
      <c r="AL619" s="71">
        <f t="shared" si="218"/>
        <v>600</v>
      </c>
      <c r="AN619" s="23" t="str">
        <f ca="1" t="shared" si="242"/>
        <v>{11,5}</v>
      </c>
      <c r="AO619" s="23" t="str">
        <f ca="1" t="shared" si="237"/>
        <v/>
      </c>
      <c r="AP619" s="23" t="str">
        <f ca="1" t="shared" si="219"/>
        <v>{50007,15}</v>
      </c>
      <c r="AQ619" s="23" t="str">
        <f ca="1" t="shared" si="220"/>
        <v>{5133001,200}</v>
      </c>
      <c r="AR619" s="23" t="str">
        <f ca="1" t="shared" si="221"/>
        <v>{2,240}</v>
      </c>
      <c r="AS619" s="23" t="str">
        <f ca="1" t="shared" si="222"/>
        <v>{5163001,250}</v>
      </c>
      <c r="AT619" s="23" t="str">
        <f ca="1" t="shared" si="248"/>
        <v>{5523001,200}</v>
      </c>
      <c r="AU619" s="23" t="str">
        <f ca="1" t="shared" si="235"/>
        <v/>
      </c>
      <c r="AV619" s="23" t="str">
        <f ca="1" t="shared" si="223"/>
        <v>{50003,25}</v>
      </c>
      <c r="AW619" s="23" t="str">
        <f ca="1" t="shared" si="224"/>
        <v/>
      </c>
      <c r="AX619" s="23" t="str">
        <f ca="1" t="shared" si="225"/>
        <v>{2,360}</v>
      </c>
      <c r="AY619" s="23" t="str">
        <f ca="1" t="shared" si="226"/>
        <v>{5204001,5}</v>
      </c>
      <c r="AZ619" s="23" t="str">
        <f ca="1" t="shared" si="252"/>
        <v>{5203001,30}</v>
      </c>
      <c r="BA619" s="23" t="str">
        <f ca="1" t="shared" si="227"/>
        <v>{1,150}</v>
      </c>
      <c r="BB619" s="23" t="s">
        <v>401</v>
      </c>
      <c r="BC619" s="23" t="str">
        <f ca="1" t="shared" si="228"/>
        <v>{5133001,300}</v>
      </c>
      <c r="BD619" s="23" t="str">
        <f ca="1" t="shared" si="245"/>
        <v/>
      </c>
      <c r="BE619" s="23" t="str">
        <f ca="1" t="shared" si="249"/>
        <v>{50039,1}</v>
      </c>
      <c r="BF619" s="23" t="str">
        <f ca="1" t="shared" si="229"/>
        <v>{2,600}</v>
      </c>
      <c r="BI619" s="23" t="str">
        <f ca="1" t="shared" si="230"/>
        <v>[{11,5},{50007,15},{5133001,200},{2,240}]</v>
      </c>
      <c r="BJ619" s="23" t="str">
        <f ca="1" t="shared" si="231"/>
        <v>[{5163001,250},{5523001,200},{50003,25},{2,360},{5204001,5}]</v>
      </c>
      <c r="BK619" s="23" t="str">
        <f ca="1" t="shared" si="232"/>
        <v>[{5203001,30},{1,150},{5523001,300},{5133001,300},{50039,1},{2,600}]</v>
      </c>
      <c r="BL619" s="23">
        <f ca="1" t="shared" si="233"/>
        <v>4</v>
      </c>
      <c r="BM619" s="23">
        <f ca="1" t="shared" si="234"/>
        <v>5</v>
      </c>
      <c r="BN619" s="23">
        <f ca="1" t="shared" si="236"/>
        <v>6</v>
      </c>
      <c r="BP619" s="71" t="s">
        <v>374</v>
      </c>
      <c r="BQ619" s="71">
        <v>150</v>
      </c>
    </row>
    <row r="620" ht="16.5" spans="2:69">
      <c r="B620" s="23">
        <v>300</v>
      </c>
      <c r="C620" s="12" t="inlineStr">
        <is>
          <t>梦愿水晶</t>
        </is>
      </c>
      <c r="D620" s="12">
        <v>1</v>
      </c>
      <c r="E620" s="71"/>
      <c r="F620" s="71"/>
      <c r="G620" s="71" t="str">
        <f t="shared" si="238"/>
        <v>手套图纸</v>
      </c>
      <c r="H620" s="71">
        <v>15</v>
      </c>
      <c r="I620" s="71" t="str">
        <f t="shared" si="243"/>
        <v>法师特饮</v>
      </c>
      <c r="J620" s="71">
        <v>200</v>
      </c>
      <c r="K620" s="71" t="s">
        <v>96</v>
      </c>
      <c r="L620" s="71">
        <v>240</v>
      </c>
      <c r="M620" s="71" t="str">
        <f t="shared" si="246"/>
        <v>控制特饮</v>
      </c>
      <c r="N620" s="71">
        <f t="shared" si="250"/>
        <v>250</v>
      </c>
      <c r="O620" s="71" t="s">
        <v>316</v>
      </c>
      <c r="P620" s="71">
        <v>200</v>
      </c>
      <c r="Q620" s="71"/>
      <c r="R620" s="71"/>
      <c r="S620" s="72" t="str">
        <f t="shared" si="239"/>
        <v>衣服图纸</v>
      </c>
      <c r="T620" s="71">
        <v>25</v>
      </c>
      <c r="U620" s="71" t="str">
        <f t="shared" si="240"/>
        <v>灵感获取令</v>
      </c>
      <c r="V620" s="71">
        <f t="shared" si="241"/>
        <v>1</v>
      </c>
      <c r="W620" s="71" t="s">
        <v>96</v>
      </c>
      <c r="X620" s="71">
        <f t="shared" si="217"/>
        <v>360</v>
      </c>
      <c r="Y620" s="71"/>
      <c r="Z620" s="71"/>
      <c r="AA620" s="71" t="str">
        <f t="shared" si="247"/>
        <v>传说基因罐</v>
      </c>
      <c r="AB620" s="71">
        <f t="shared" si="251"/>
        <v>3</v>
      </c>
      <c r="AC620" s="71" t="s">
        <v>374</v>
      </c>
      <c r="AD620" s="71">
        <v>150</v>
      </c>
      <c r="AE620" s="72" t="str">
        <f t="shared" si="244"/>
        <v>战士特饮</v>
      </c>
      <c r="AF620" s="71">
        <v>300</v>
      </c>
      <c r="AG620" s="71"/>
      <c r="AH620" s="71"/>
      <c r="AI620" s="71" t="s">
        <v>390</v>
      </c>
      <c r="AJ620" s="71">
        <v>1</v>
      </c>
      <c r="AK620" s="71" t="s">
        <v>96</v>
      </c>
      <c r="AL620" s="71">
        <f t="shared" si="218"/>
        <v>600</v>
      </c>
      <c r="AN620" s="23" t="str">
        <f ca="1" t="shared" si="242"/>
        <v>{35,1}</v>
      </c>
      <c r="AO620" s="23" t="str">
        <f ca="1" t="shared" si="237"/>
        <v/>
      </c>
      <c r="AP620" s="23" t="str">
        <f ca="1" t="shared" si="219"/>
        <v>{50008,15}</v>
      </c>
      <c r="AQ620" s="23" t="str">
        <f ca="1" t="shared" si="220"/>
        <v>{5123001,200}</v>
      </c>
      <c r="AR620" s="23" t="str">
        <f ca="1" t="shared" si="221"/>
        <v>{2,240}</v>
      </c>
      <c r="AS620" s="23" t="str">
        <f ca="1" t="shared" si="222"/>
        <v>{5153001,250}</v>
      </c>
      <c r="AT620" s="23" t="str">
        <f ca="1" t="shared" si="248"/>
        <v>{5523001,200}</v>
      </c>
      <c r="AU620" s="23" t="str">
        <f ca="1" t="shared" si="235"/>
        <v/>
      </c>
      <c r="AV620" s="23" t="str">
        <f ca="1" t="shared" si="223"/>
        <v>{50004,25}</v>
      </c>
      <c r="AW620" s="23" t="str">
        <f ca="1" t="shared" si="224"/>
        <v>{9,1}</v>
      </c>
      <c r="AX620" s="23" t="str">
        <f ca="1" t="shared" si="225"/>
        <v>{2,360}</v>
      </c>
      <c r="AY620" s="23" t="str">
        <f ca="1" t="shared" si="226"/>
        <v>{5204001,5}</v>
      </c>
      <c r="AZ620" s="23" t="str">
        <f ca="1" t="shared" si="252"/>
        <v>{5205001,3}</v>
      </c>
      <c r="BA620" s="23" t="str">
        <f ca="1" t="shared" si="227"/>
        <v>{1,150}</v>
      </c>
      <c r="BB620" s="23" t="s">
        <v>401</v>
      </c>
      <c r="BC620" s="23" t="str">
        <f ca="1" t="shared" si="228"/>
        <v>{5113001,300}</v>
      </c>
      <c r="BD620" s="23" t="str">
        <f ca="1" t="shared" si="245"/>
        <v/>
      </c>
      <c r="BE620" s="23" t="str">
        <f ca="1" t="shared" si="249"/>
        <v>{50039,1}</v>
      </c>
      <c r="BF620" s="23" t="str">
        <f ca="1" t="shared" si="229"/>
        <v>{2,600}</v>
      </c>
      <c r="BI620" s="23" t="str">
        <f ca="1" t="shared" si="230"/>
        <v>[{35,1},{50008,15},{5123001,200},{2,240}]</v>
      </c>
      <c r="BJ620" s="23" t="str">
        <f ca="1" t="shared" si="231"/>
        <v>[{5153001,250},{5523001,200},{50004,25},{9,1},{2,360},{5204001,5}]</v>
      </c>
      <c r="BK620" s="23" t="str">
        <f ca="1" t="shared" si="232"/>
        <v>[{5205001,3},{1,150},{5523001,300},{5113001,300},{50039,1},{2,600}]</v>
      </c>
      <c r="BL620" s="23">
        <f ca="1" t="shared" si="233"/>
        <v>4</v>
      </c>
      <c r="BM620" s="23">
        <f ca="1" t="shared" si="234"/>
        <v>6</v>
      </c>
      <c r="BN620" s="23">
        <f ca="1" t="shared" si="236"/>
        <v>6</v>
      </c>
      <c r="BP620" s="71" t="s">
        <v>374</v>
      </c>
      <c r="BQ620" s="71">
        <v>150</v>
      </c>
    </row>
  </sheetData>
  <mergeCells count="3">
    <mergeCell ref="C319:L319"/>
    <mergeCell ref="M319:V319"/>
    <mergeCell ref="Y319:AL319"/>
  </mergeCells>
  <conditionalFormatting sqref="AO311">
    <cfRule type="duplicateValues" dxfId="30" priority="4"/>
  </conditionalFormatting>
  <conditionalFormatting sqref="AO307:AO312">
    <cfRule type="duplicateValues" dxfId="29" priority="5"/>
    <cfRule type="duplicateValues" dxfId="29" priority="6"/>
  </conditionalFormatting>
  <conditionalFormatting sqref="AO313:AO314">
    <cfRule type="duplicateValues" dxfId="30" priority="1"/>
    <cfRule type="duplicateValues" dxfId="29" priority="2"/>
    <cfRule type="duplicateValues" dxfId="29" priority="3"/>
  </conditionalFormatting>
  <conditionalFormatting sqref="AO301:AO306 AO315:AO317">
    <cfRule type="duplicateValues" dxfId="30" priority="8"/>
    <cfRule type="duplicateValues" dxfId="29" priority="9"/>
    <cfRule type="duplicateValues" dxfId="29" priority="10"/>
  </conditionalFormatting>
  <conditionalFormatting sqref="AO307:AO310 AO312">
    <cfRule type="duplicateValues" dxfId="30" priority="7"/>
  </conditionalFormatting>
  <dataValidations count="1">
    <dataValidation type="textLength" operator="between" allowBlank="1" showInputMessage="1" showErrorMessage="1" errorTitle="输入有误" error="文本内容大长(0 ~ 9999999999)" sqref="C1 E1:F1 AN292 I314:K314 M314 I315:J315 M316 Q323 AI323 C322:C435 E321:E325 G321:G326 I321:I330 J312:J313 M321:M332 S321:S620 AA321:AA324 AE321:AE620 AN301:AN312 AN314:AN317 C436:D620 G307:H312 H316:J317">
      <formula1>0</formula1>
      <formula2>65535</formula2>
    </dataValidation>
  </dataValidations>
  <pageMargins left="0.75" right="0.75" top="1" bottom="1" header="0.5" footer="0.5"/>
  <headerFooter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>
    <tabColor theme="4"/>
  </sheetPr>
  <dimension ref="B2:AK114"/>
  <sheetViews>
    <sheetView topLeftCell="A10" workbookViewId="0">
      <selection activeCell="C50" sqref="C50"/>
    </sheetView>
  </sheetViews>
  <sheetFormatPr defaultColWidth="9" defaultRowHeight="13.5"/>
  <cols>
    <col min="13" max="15" width="9" style="56"/>
    <col min="16" max="18" width="9" style="57"/>
    <col min="19" max="21" width="9" style="58"/>
    <col min="22" max="26" width="9" style="59"/>
    <col min="27" max="29" width="9" style="58"/>
    <col min="30" max="31" width="9" style="60"/>
  </cols>
  <sheetData>
    <row r="2" spans="2:32">
      <c r="M2" s="13" t="s">
        <v>404</v>
      </c>
      <c r="N2" s="13" t="s">
        <v>404</v>
      </c>
      <c r="O2" s="13" t="s">
        <v>404</v>
      </c>
      <c r="P2" s="61" t="s">
        <v>405</v>
      </c>
      <c r="Q2" s="61" t="s">
        <v>405</v>
      </c>
      <c r="R2" s="61" t="s">
        <v>405</v>
      </c>
      <c r="S2" s="62" t="s">
        <v>406</v>
      </c>
      <c r="T2" s="62" t="s">
        <v>406</v>
      </c>
      <c r="U2" s="62" t="s">
        <v>406</v>
      </c>
      <c r="V2" s="63" t="s">
        <v>407</v>
      </c>
      <c r="W2" s="63" t="s">
        <v>407</v>
      </c>
      <c r="X2" s="63" t="s">
        <v>407</v>
      </c>
      <c r="Y2" s="63"/>
      <c r="Z2" s="63"/>
      <c r="AA2" s="62" t="s">
        <v>408</v>
      </c>
      <c r="AB2" s="62" t="s">
        <v>408</v>
      </c>
      <c r="AC2" s="62" t="s">
        <v>408</v>
      </c>
      <c r="AD2" s="62"/>
      <c r="AE2" s="62"/>
    </row>
    <row r="3" spans="2:32">
      <c r="B3" t="s">
        <v>146</v>
      </c>
      <c r="C3" t="s">
        <v>96</v>
      </c>
      <c r="D3" t="s">
        <v>96</v>
      </c>
      <c r="E3" t="s">
        <v>128</v>
      </c>
      <c r="F3" t="s">
        <v>128</v>
      </c>
      <c r="G3" t="s">
        <v>149</v>
      </c>
      <c r="H3" t="s">
        <v>128</v>
      </c>
      <c r="I3" t="s">
        <v>409</v>
      </c>
      <c r="J3" t="s">
        <v>376</v>
      </c>
      <c r="K3" t="s">
        <v>376</v>
      </c>
      <c r="L3" t="s">
        <v>214</v>
      </c>
      <c r="M3" s="13" t="s">
        <v>410</v>
      </c>
      <c r="N3" s="13" t="s">
        <v>411</v>
      </c>
      <c r="O3" s="13" t="s">
        <v>150</v>
      </c>
      <c r="P3" s="61" t="s">
        <v>410</v>
      </c>
      <c r="Q3" s="61" t="s">
        <v>411</v>
      </c>
      <c r="R3" s="61" t="s">
        <v>150</v>
      </c>
      <c r="S3" s="62" t="s">
        <v>410</v>
      </c>
      <c r="T3" s="62" t="s">
        <v>411</v>
      </c>
      <c r="U3" s="62" t="s">
        <v>150</v>
      </c>
      <c r="V3" s="63" t="s">
        <v>410</v>
      </c>
      <c r="W3" s="63" t="s">
        <v>411</v>
      </c>
      <c r="X3" s="63" t="s">
        <v>150</v>
      </c>
      <c r="Y3" s="63" t="s">
        <v>412</v>
      </c>
      <c r="Z3" s="63" t="s">
        <v>413</v>
      </c>
      <c r="AA3" s="62" t="s">
        <v>410</v>
      </c>
      <c r="AB3" s="62" t="s">
        <v>411</v>
      </c>
      <c r="AC3" s="62" t="s">
        <v>150</v>
      </c>
      <c r="AD3" s="63" t="s">
        <v>412</v>
      </c>
      <c r="AE3" s="63" t="s">
        <v>413</v>
      </c>
    </row>
    <row r="4" ht="16.5" spans="2:32">
      <c r="C4">
        <v>2</v>
      </c>
      <c r="D4">
        <v>2</v>
      </c>
      <c r="E4">
        <v>5103002</v>
      </c>
      <c r="F4">
        <v>5103002</v>
      </c>
      <c r="G4">
        <v>5303001</v>
      </c>
      <c r="H4">
        <v>5103002</v>
      </c>
      <c r="I4" s="12">
        <v>5203001</v>
      </c>
      <c r="J4">
        <v>50026</v>
      </c>
      <c r="K4">
        <v>50026</v>
      </c>
      <c r="L4">
        <v>5204001</v>
      </c>
      <c r="M4" s="13" t="str">
        <f t="shared" ref="M4:X4" si="0">M3</f>
        <v>稀有装备</v>
      </c>
      <c r="N4" s="13" t="str">
        <f t="shared" si="0"/>
        <v>普通装备</v>
      </c>
      <c r="O4" s="13" t="str">
        <f t="shared" si="0"/>
        <v>普通灵感</v>
      </c>
      <c r="P4" s="61" t="str">
        <f t="shared" si="0"/>
        <v>稀有装备</v>
      </c>
      <c r="Q4" s="61" t="str">
        <f t="shared" si="0"/>
        <v>普通装备</v>
      </c>
      <c r="R4" s="61" t="str">
        <f t="shared" si="0"/>
        <v>普通灵感</v>
      </c>
      <c r="S4" s="62" t="str">
        <f t="shared" si="0"/>
        <v>稀有装备</v>
      </c>
      <c r="T4" s="62" t="str">
        <f t="shared" si="0"/>
        <v>普通装备</v>
      </c>
      <c r="U4" s="62" t="str">
        <f t="shared" si="0"/>
        <v>普通灵感</v>
      </c>
      <c r="V4" s="63" t="str">
        <f t="shared" si="0"/>
        <v>稀有装备</v>
      </c>
      <c r="W4" s="63" t="str">
        <f t="shared" si="0"/>
        <v>普通装备</v>
      </c>
      <c r="X4" s="63" t="str">
        <f t="shared" si="0"/>
        <v>普通灵感</v>
      </c>
      <c r="Y4" s="63">
        <v>9</v>
      </c>
      <c r="Z4" s="63">
        <v>30</v>
      </c>
      <c r="AA4" s="62" t="str">
        <f>AA3</f>
        <v>稀有装备</v>
      </c>
      <c r="AB4" s="62" t="str">
        <f>AB3</f>
        <v>普通装备</v>
      </c>
      <c r="AC4" s="62" t="str">
        <f>AC3</f>
        <v>普通灵感</v>
      </c>
      <c r="AD4" s="63">
        <v>9</v>
      </c>
      <c r="AE4" s="63">
        <v>30</v>
      </c>
    </row>
    <row r="5" spans="2:32">
      <c r="B5" t="s">
        <v>414</v>
      </c>
      <c r="AD5" s="59"/>
      <c r="AE5" s="59"/>
    </row>
    <row r="9" spans="2:32">
      <c r="AF9" t="s">
        <v>415</v>
      </c>
    </row>
    <row r="11" spans="2:32">
      <c r="B11" t="s">
        <v>127</v>
      </c>
      <c r="C11" s="14"/>
      <c r="D11" s="14">
        <v>0</v>
      </c>
      <c r="E11" s="14"/>
      <c r="F11" s="14">
        <v>0</v>
      </c>
      <c r="G11" s="14"/>
      <c r="H11" s="14">
        <v>0</v>
      </c>
      <c r="I11" s="14"/>
      <c r="J11" s="14"/>
      <c r="K11" s="14">
        <v>0</v>
      </c>
      <c r="L11" s="14"/>
      <c r="M11" s="64">
        <v>0</v>
      </c>
      <c r="N11" s="64">
        <v>0</v>
      </c>
      <c r="O11" s="64">
        <v>0</v>
      </c>
      <c r="P11" s="65">
        <v>0</v>
      </c>
      <c r="Q11" s="65">
        <v>0</v>
      </c>
      <c r="R11" s="65">
        <v>0</v>
      </c>
      <c r="S11" s="66">
        <v>0</v>
      </c>
      <c r="T11" s="66">
        <v>0</v>
      </c>
      <c r="U11" s="66">
        <v>0</v>
      </c>
      <c r="V11" s="67">
        <v>0</v>
      </c>
      <c r="W11" s="67">
        <v>0</v>
      </c>
      <c r="X11" s="67">
        <v>0</v>
      </c>
      <c r="Y11" s="67">
        <v>0</v>
      </c>
      <c r="Z11" s="67">
        <v>0</v>
      </c>
      <c r="AA11" s="66">
        <v>0</v>
      </c>
      <c r="AB11" s="66">
        <v>0</v>
      </c>
      <c r="AC11" s="66">
        <v>0</v>
      </c>
      <c r="AD11" s="67">
        <v>0</v>
      </c>
      <c r="AE11" s="67">
        <v>0</v>
      </c>
    </row>
    <row r="12" spans="2:32">
      <c r="B12" t="s">
        <v>416</v>
      </c>
      <c r="C12">
        <f t="shared" ref="C12:C26" si="1">INT(D12*0.25)</f>
        <v>79</v>
      </c>
      <c r="D12">
        <v>316</v>
      </c>
      <c r="E12">
        <v>20</v>
      </c>
      <c r="F12">
        <v>20</v>
      </c>
      <c r="G12">
        <v>4</v>
      </c>
      <c r="H12">
        <v>40</v>
      </c>
      <c r="I12">
        <v>10</v>
      </c>
      <c r="J12">
        <v>8</v>
      </c>
      <c r="K12">
        <v>8</v>
      </c>
      <c r="L12">
        <v>2</v>
      </c>
      <c r="M12" s="13">
        <v>0</v>
      </c>
      <c r="N12" s="13">
        <v>2</v>
      </c>
      <c r="O12" s="13">
        <v>1</v>
      </c>
      <c r="P12" s="61">
        <v>0</v>
      </c>
      <c r="Q12" s="61">
        <v>3</v>
      </c>
      <c r="R12" s="61">
        <v>2</v>
      </c>
      <c r="S12" s="62">
        <v>0</v>
      </c>
      <c r="T12" s="62">
        <v>4</v>
      </c>
      <c r="U12" s="62">
        <v>3</v>
      </c>
      <c r="V12" s="63">
        <v>0</v>
      </c>
      <c r="W12" s="63">
        <v>5</v>
      </c>
      <c r="X12" s="63">
        <v>4</v>
      </c>
      <c r="Y12" s="63">
        <v>0.036</v>
      </c>
      <c r="Z12" s="63">
        <v>0</v>
      </c>
      <c r="AA12" s="62">
        <v>0</v>
      </c>
      <c r="AB12" s="62">
        <v>5</v>
      </c>
      <c r="AC12" s="62">
        <v>5</v>
      </c>
      <c r="AD12" s="63">
        <v>0.048</v>
      </c>
      <c r="AE12" s="63">
        <v>0</v>
      </c>
    </row>
    <row r="13" spans="2:32">
      <c r="C13">
        <f t="shared" si="1"/>
        <v>84</v>
      </c>
      <c r="D13">
        <v>336</v>
      </c>
      <c r="E13">
        <v>20</v>
      </c>
      <c r="F13">
        <v>20</v>
      </c>
      <c r="G13">
        <v>4</v>
      </c>
      <c r="H13">
        <v>40</v>
      </c>
      <c r="I13">
        <v>10</v>
      </c>
      <c r="J13">
        <v>8</v>
      </c>
      <c r="K13">
        <v>8</v>
      </c>
      <c r="L13">
        <v>2</v>
      </c>
      <c r="M13" s="13">
        <v>0</v>
      </c>
      <c r="N13" s="13">
        <v>2</v>
      </c>
      <c r="O13" s="13">
        <v>1</v>
      </c>
      <c r="P13" s="61">
        <v>0</v>
      </c>
      <c r="Q13" s="61">
        <v>3</v>
      </c>
      <c r="R13" s="61">
        <v>2</v>
      </c>
      <c r="S13" s="62">
        <v>0</v>
      </c>
      <c r="T13" s="62">
        <v>4</v>
      </c>
      <c r="U13" s="62">
        <v>3</v>
      </c>
      <c r="V13" s="63">
        <v>0</v>
      </c>
      <c r="W13" s="63">
        <v>5</v>
      </c>
      <c r="X13" s="63">
        <v>4</v>
      </c>
      <c r="Y13" s="63">
        <v>0.036</v>
      </c>
      <c r="Z13" s="63">
        <v>0</v>
      </c>
      <c r="AA13" s="62">
        <v>0</v>
      </c>
      <c r="AB13" s="62">
        <v>5</v>
      </c>
      <c r="AC13" s="62">
        <v>5</v>
      </c>
      <c r="AD13" s="63">
        <v>0.048</v>
      </c>
      <c r="AE13" s="63">
        <v>0</v>
      </c>
    </row>
    <row r="14" spans="2:32">
      <c r="C14">
        <f t="shared" si="1"/>
        <v>89</v>
      </c>
      <c r="D14">
        <v>356</v>
      </c>
      <c r="E14">
        <v>20</v>
      </c>
      <c r="F14">
        <v>20</v>
      </c>
      <c r="G14">
        <v>4</v>
      </c>
      <c r="H14">
        <v>40</v>
      </c>
      <c r="I14">
        <v>10</v>
      </c>
      <c r="J14">
        <v>8</v>
      </c>
      <c r="K14">
        <v>8</v>
      </c>
      <c r="L14">
        <v>2</v>
      </c>
      <c r="M14" s="13">
        <v>0</v>
      </c>
      <c r="N14" s="13">
        <v>2</v>
      </c>
      <c r="O14" s="13">
        <v>1</v>
      </c>
      <c r="P14" s="61">
        <v>0</v>
      </c>
      <c r="Q14" s="61">
        <v>3</v>
      </c>
      <c r="R14" s="61">
        <v>2</v>
      </c>
      <c r="S14" s="62">
        <v>0</v>
      </c>
      <c r="T14" s="62">
        <v>4</v>
      </c>
      <c r="U14" s="62">
        <v>3</v>
      </c>
      <c r="V14" s="63">
        <v>0</v>
      </c>
      <c r="W14" s="63">
        <v>5</v>
      </c>
      <c r="X14" s="63">
        <v>4</v>
      </c>
      <c r="Y14" s="63">
        <v>0.036</v>
      </c>
      <c r="Z14" s="63">
        <v>0</v>
      </c>
      <c r="AA14" s="62">
        <v>0</v>
      </c>
      <c r="AB14" s="62">
        <v>5</v>
      </c>
      <c r="AC14" s="62">
        <v>5</v>
      </c>
      <c r="AD14" s="63">
        <v>0.048</v>
      </c>
      <c r="AE14" s="63">
        <v>0</v>
      </c>
    </row>
    <row r="15" spans="2:32">
      <c r="C15">
        <f t="shared" si="1"/>
        <v>94</v>
      </c>
      <c r="D15">
        <v>376</v>
      </c>
      <c r="E15">
        <v>20</v>
      </c>
      <c r="F15">
        <v>20</v>
      </c>
      <c r="G15">
        <v>4</v>
      </c>
      <c r="H15">
        <v>40</v>
      </c>
      <c r="I15">
        <v>10</v>
      </c>
      <c r="J15">
        <v>8</v>
      </c>
      <c r="K15">
        <v>8</v>
      </c>
      <c r="L15">
        <v>2</v>
      </c>
      <c r="M15" s="13">
        <v>0</v>
      </c>
      <c r="N15" s="13">
        <v>2</v>
      </c>
      <c r="O15" s="13">
        <v>1</v>
      </c>
      <c r="P15" s="61">
        <v>0</v>
      </c>
      <c r="Q15" s="61">
        <v>3</v>
      </c>
      <c r="R15" s="61">
        <v>2</v>
      </c>
      <c r="S15" s="62">
        <v>0</v>
      </c>
      <c r="T15" s="62">
        <v>4</v>
      </c>
      <c r="U15" s="62">
        <v>3</v>
      </c>
      <c r="V15" s="63">
        <v>0</v>
      </c>
      <c r="W15" s="63">
        <v>5</v>
      </c>
      <c r="X15" s="63">
        <v>4</v>
      </c>
      <c r="Y15" s="63">
        <v>0.036</v>
      </c>
      <c r="Z15" s="63">
        <v>0</v>
      </c>
      <c r="AA15" s="62">
        <v>0</v>
      </c>
      <c r="AB15" s="62">
        <v>5</v>
      </c>
      <c r="AC15" s="62">
        <v>5</v>
      </c>
      <c r="AD15" s="63">
        <v>0.048</v>
      </c>
      <c r="AE15" s="63">
        <v>0</v>
      </c>
    </row>
    <row r="16" spans="2:32">
      <c r="C16">
        <f t="shared" si="1"/>
        <v>99</v>
      </c>
      <c r="D16">
        <v>396</v>
      </c>
      <c r="E16">
        <v>20</v>
      </c>
      <c r="F16">
        <v>20</v>
      </c>
      <c r="G16">
        <v>4</v>
      </c>
      <c r="H16">
        <v>40</v>
      </c>
      <c r="I16">
        <v>10</v>
      </c>
      <c r="J16">
        <v>8</v>
      </c>
      <c r="K16">
        <v>8</v>
      </c>
      <c r="L16">
        <v>2</v>
      </c>
      <c r="M16" s="13">
        <v>0</v>
      </c>
      <c r="N16" s="13">
        <v>2</v>
      </c>
      <c r="O16" s="13">
        <v>1</v>
      </c>
      <c r="P16" s="61">
        <v>0</v>
      </c>
      <c r="Q16" s="61">
        <v>3</v>
      </c>
      <c r="R16" s="61">
        <v>2</v>
      </c>
      <c r="S16" s="62">
        <v>0</v>
      </c>
      <c r="T16" s="62">
        <v>4</v>
      </c>
      <c r="U16" s="62">
        <v>3</v>
      </c>
      <c r="V16" s="63">
        <v>0</v>
      </c>
      <c r="W16" s="63">
        <v>5</v>
      </c>
      <c r="X16" s="63">
        <v>4</v>
      </c>
      <c r="Y16" s="63">
        <v>0.036</v>
      </c>
      <c r="Z16" s="63">
        <v>0</v>
      </c>
      <c r="AA16" s="62">
        <v>0</v>
      </c>
      <c r="AB16" s="62">
        <v>5</v>
      </c>
      <c r="AC16" s="62">
        <v>5</v>
      </c>
      <c r="AD16" s="63">
        <v>0.048</v>
      </c>
      <c r="AE16" s="63">
        <v>0</v>
      </c>
    </row>
    <row r="17" spans="2:37">
      <c r="C17">
        <f t="shared" si="1"/>
        <v>104</v>
      </c>
      <c r="D17">
        <v>416</v>
      </c>
      <c r="E17">
        <v>20</v>
      </c>
      <c r="F17">
        <v>20</v>
      </c>
      <c r="G17">
        <v>4</v>
      </c>
      <c r="H17">
        <v>40</v>
      </c>
      <c r="I17">
        <v>10</v>
      </c>
      <c r="J17">
        <v>8</v>
      </c>
      <c r="K17">
        <v>8</v>
      </c>
      <c r="L17">
        <v>2</v>
      </c>
      <c r="M17" s="13">
        <v>0</v>
      </c>
      <c r="N17" s="13">
        <v>2</v>
      </c>
      <c r="O17" s="13">
        <v>1</v>
      </c>
      <c r="P17" s="61">
        <v>0</v>
      </c>
      <c r="Q17" s="61">
        <v>3</v>
      </c>
      <c r="R17" s="61">
        <v>2</v>
      </c>
      <c r="S17" s="62">
        <v>0</v>
      </c>
      <c r="T17" s="62">
        <v>4</v>
      </c>
      <c r="U17" s="62">
        <v>3</v>
      </c>
      <c r="V17" s="63">
        <v>0</v>
      </c>
      <c r="W17" s="63">
        <v>5</v>
      </c>
      <c r="X17" s="63">
        <v>4</v>
      </c>
      <c r="Y17" s="63">
        <v>0.036</v>
      </c>
      <c r="Z17" s="63">
        <v>0</v>
      </c>
      <c r="AA17" s="62">
        <v>0</v>
      </c>
      <c r="AB17" s="62">
        <v>5</v>
      </c>
      <c r="AC17" s="62">
        <v>5</v>
      </c>
      <c r="AD17" s="63">
        <v>0.048</v>
      </c>
      <c r="AE17" s="63">
        <v>0</v>
      </c>
    </row>
    <row r="18" spans="2:37">
      <c r="C18">
        <f t="shared" si="1"/>
        <v>109</v>
      </c>
      <c r="D18">
        <v>436</v>
      </c>
      <c r="E18">
        <v>20</v>
      </c>
      <c r="F18">
        <v>20</v>
      </c>
      <c r="G18">
        <v>4</v>
      </c>
      <c r="H18">
        <v>40</v>
      </c>
      <c r="I18">
        <v>10</v>
      </c>
      <c r="J18">
        <v>8</v>
      </c>
      <c r="K18">
        <v>8</v>
      </c>
      <c r="L18">
        <v>2</v>
      </c>
      <c r="M18" s="13">
        <v>0</v>
      </c>
      <c r="N18" s="13">
        <v>2</v>
      </c>
      <c r="O18" s="13">
        <v>1</v>
      </c>
      <c r="P18" s="61">
        <v>0</v>
      </c>
      <c r="Q18" s="61">
        <v>3</v>
      </c>
      <c r="R18" s="61">
        <v>2</v>
      </c>
      <c r="S18" s="62">
        <v>0</v>
      </c>
      <c r="T18" s="62">
        <v>4</v>
      </c>
      <c r="U18" s="62">
        <v>3</v>
      </c>
      <c r="V18" s="63">
        <v>0</v>
      </c>
      <c r="W18" s="63">
        <v>5</v>
      </c>
      <c r="X18" s="63">
        <v>4</v>
      </c>
      <c r="Y18" s="63">
        <v>0.036</v>
      </c>
      <c r="Z18" s="63">
        <v>0</v>
      </c>
      <c r="AA18" s="62">
        <v>0</v>
      </c>
      <c r="AB18" s="62">
        <v>5</v>
      </c>
      <c r="AC18" s="62">
        <v>5</v>
      </c>
      <c r="AD18" s="63">
        <v>0.048</v>
      </c>
      <c r="AE18" s="63">
        <v>0</v>
      </c>
    </row>
    <row r="19" spans="2:37">
      <c r="C19">
        <f t="shared" si="1"/>
        <v>114</v>
      </c>
      <c r="D19">
        <v>456</v>
      </c>
      <c r="E19">
        <v>20</v>
      </c>
      <c r="F19">
        <v>20</v>
      </c>
      <c r="G19">
        <v>4</v>
      </c>
      <c r="H19">
        <v>40</v>
      </c>
      <c r="I19">
        <v>10</v>
      </c>
      <c r="J19">
        <v>8</v>
      </c>
      <c r="K19">
        <v>8</v>
      </c>
      <c r="L19">
        <v>2</v>
      </c>
      <c r="M19" s="13">
        <v>0</v>
      </c>
      <c r="N19" s="13">
        <v>2</v>
      </c>
      <c r="O19" s="13">
        <v>1</v>
      </c>
      <c r="P19" s="61">
        <v>0</v>
      </c>
      <c r="Q19" s="61">
        <v>3</v>
      </c>
      <c r="R19" s="61">
        <v>2</v>
      </c>
      <c r="S19" s="62">
        <v>0</v>
      </c>
      <c r="T19" s="62">
        <v>4</v>
      </c>
      <c r="U19" s="62">
        <v>3</v>
      </c>
      <c r="V19" s="63">
        <v>0</v>
      </c>
      <c r="W19" s="63">
        <v>5</v>
      </c>
      <c r="X19" s="63">
        <v>4</v>
      </c>
      <c r="Y19" s="63">
        <v>0.036</v>
      </c>
      <c r="Z19" s="63">
        <v>0</v>
      </c>
      <c r="AA19" s="62">
        <v>0</v>
      </c>
      <c r="AB19" s="62">
        <v>5</v>
      </c>
      <c r="AC19" s="62">
        <v>5</v>
      </c>
      <c r="AD19" s="63">
        <v>0.048</v>
      </c>
      <c r="AE19" s="63">
        <v>0</v>
      </c>
    </row>
    <row r="20" spans="2:37">
      <c r="C20">
        <f t="shared" si="1"/>
        <v>119</v>
      </c>
      <c r="D20">
        <v>476</v>
      </c>
      <c r="E20">
        <v>20</v>
      </c>
      <c r="F20">
        <v>20</v>
      </c>
      <c r="G20">
        <v>4</v>
      </c>
      <c r="H20">
        <v>40</v>
      </c>
      <c r="I20">
        <v>10</v>
      </c>
      <c r="J20">
        <v>8</v>
      </c>
      <c r="K20">
        <v>8</v>
      </c>
      <c r="L20">
        <v>2</v>
      </c>
      <c r="M20" s="13">
        <v>0</v>
      </c>
      <c r="N20" s="13">
        <v>2</v>
      </c>
      <c r="O20" s="13">
        <v>1</v>
      </c>
      <c r="P20" s="61">
        <v>0</v>
      </c>
      <c r="Q20" s="61">
        <v>3</v>
      </c>
      <c r="R20" s="61">
        <v>2</v>
      </c>
      <c r="S20" s="62">
        <v>0</v>
      </c>
      <c r="T20" s="62">
        <v>4</v>
      </c>
      <c r="U20" s="62">
        <v>3</v>
      </c>
      <c r="V20" s="63">
        <v>0</v>
      </c>
      <c r="W20" s="63">
        <v>5</v>
      </c>
      <c r="X20" s="63">
        <v>4</v>
      </c>
      <c r="Y20" s="63">
        <v>0.036</v>
      </c>
      <c r="Z20" s="63">
        <v>0</v>
      </c>
      <c r="AA20" s="62">
        <v>0</v>
      </c>
      <c r="AB20" s="62">
        <v>5</v>
      </c>
      <c r="AC20" s="62">
        <v>5</v>
      </c>
      <c r="AD20" s="63">
        <v>0.048</v>
      </c>
      <c r="AE20" s="63">
        <v>0</v>
      </c>
    </row>
    <row r="21" spans="2:37">
      <c r="C21">
        <f t="shared" si="1"/>
        <v>124</v>
      </c>
      <c r="D21">
        <v>496</v>
      </c>
      <c r="E21">
        <v>20</v>
      </c>
      <c r="F21">
        <v>20</v>
      </c>
      <c r="G21">
        <v>4</v>
      </c>
      <c r="H21">
        <v>40</v>
      </c>
      <c r="I21">
        <v>10</v>
      </c>
      <c r="J21">
        <v>8</v>
      </c>
      <c r="K21">
        <v>8</v>
      </c>
      <c r="L21">
        <v>2</v>
      </c>
      <c r="M21" s="13">
        <v>0</v>
      </c>
      <c r="N21" s="13">
        <v>2</v>
      </c>
      <c r="O21" s="13">
        <v>1</v>
      </c>
      <c r="P21" s="61">
        <v>0</v>
      </c>
      <c r="Q21" s="61">
        <v>3</v>
      </c>
      <c r="R21" s="61">
        <v>2</v>
      </c>
      <c r="S21" s="62">
        <v>0</v>
      </c>
      <c r="T21" s="62">
        <v>4</v>
      </c>
      <c r="U21" s="62">
        <v>3</v>
      </c>
      <c r="V21" s="63">
        <v>0</v>
      </c>
      <c r="W21" s="63">
        <v>5</v>
      </c>
      <c r="X21" s="63">
        <v>4</v>
      </c>
      <c r="Y21" s="63">
        <v>0.036</v>
      </c>
      <c r="Z21" s="63">
        <v>0</v>
      </c>
      <c r="AA21" s="62">
        <v>0</v>
      </c>
      <c r="AB21" s="62">
        <v>5</v>
      </c>
      <c r="AC21" s="62">
        <v>5</v>
      </c>
      <c r="AD21" s="63">
        <v>0.048</v>
      </c>
      <c r="AE21" s="63">
        <v>0</v>
      </c>
    </row>
    <row r="22" spans="2:37">
      <c r="C22">
        <f t="shared" si="1"/>
        <v>129</v>
      </c>
      <c r="D22">
        <v>516</v>
      </c>
      <c r="E22">
        <v>20</v>
      </c>
      <c r="F22">
        <v>20</v>
      </c>
      <c r="G22">
        <v>4</v>
      </c>
      <c r="H22">
        <v>40</v>
      </c>
      <c r="I22">
        <v>10</v>
      </c>
      <c r="J22">
        <v>8</v>
      </c>
      <c r="K22">
        <v>8</v>
      </c>
      <c r="L22">
        <v>2</v>
      </c>
      <c r="M22" s="13">
        <v>0</v>
      </c>
      <c r="N22" s="13">
        <v>2</v>
      </c>
      <c r="O22" s="13">
        <v>1</v>
      </c>
      <c r="P22" s="61">
        <v>0</v>
      </c>
      <c r="Q22" s="61">
        <v>3</v>
      </c>
      <c r="R22" s="61">
        <v>2</v>
      </c>
      <c r="S22" s="62">
        <v>0</v>
      </c>
      <c r="T22" s="62">
        <v>4</v>
      </c>
      <c r="U22" s="62">
        <v>3</v>
      </c>
      <c r="V22" s="63">
        <v>0</v>
      </c>
      <c r="W22" s="63">
        <v>5</v>
      </c>
      <c r="X22" s="63">
        <v>4</v>
      </c>
      <c r="Y22" s="63">
        <v>0.036</v>
      </c>
      <c r="Z22" s="63">
        <v>0</v>
      </c>
      <c r="AA22" s="62">
        <v>0</v>
      </c>
      <c r="AB22" s="62">
        <v>5</v>
      </c>
      <c r="AC22" s="62">
        <v>5</v>
      </c>
      <c r="AD22" s="63">
        <v>0.048</v>
      </c>
      <c r="AE22" s="63">
        <v>0</v>
      </c>
    </row>
    <row r="23" spans="2:37">
      <c r="C23">
        <f t="shared" si="1"/>
        <v>134</v>
      </c>
      <c r="D23">
        <v>536</v>
      </c>
      <c r="E23">
        <v>20</v>
      </c>
      <c r="F23">
        <v>20</v>
      </c>
      <c r="G23">
        <v>4</v>
      </c>
      <c r="H23">
        <v>40</v>
      </c>
      <c r="I23">
        <v>10</v>
      </c>
      <c r="J23">
        <v>8</v>
      </c>
      <c r="K23">
        <v>8</v>
      </c>
      <c r="L23">
        <v>2</v>
      </c>
      <c r="M23" s="13">
        <v>0</v>
      </c>
      <c r="N23" s="13">
        <v>2</v>
      </c>
      <c r="O23" s="13">
        <v>1</v>
      </c>
      <c r="P23" s="61">
        <v>0</v>
      </c>
      <c r="Q23" s="61">
        <v>3</v>
      </c>
      <c r="R23" s="61">
        <v>2</v>
      </c>
      <c r="S23" s="62">
        <v>0</v>
      </c>
      <c r="T23" s="62">
        <v>4</v>
      </c>
      <c r="U23" s="62">
        <v>3</v>
      </c>
      <c r="V23" s="63">
        <v>0</v>
      </c>
      <c r="W23" s="63">
        <v>5</v>
      </c>
      <c r="X23" s="63">
        <v>4</v>
      </c>
      <c r="Y23" s="63">
        <v>0.036</v>
      </c>
      <c r="Z23" s="63">
        <v>0</v>
      </c>
      <c r="AA23" s="62">
        <v>0</v>
      </c>
      <c r="AB23" s="62">
        <v>5</v>
      </c>
      <c r="AC23" s="62">
        <v>5</v>
      </c>
      <c r="AD23" s="63">
        <v>0.048</v>
      </c>
      <c r="AE23" s="63">
        <v>0</v>
      </c>
    </row>
    <row r="24" spans="2:37">
      <c r="C24">
        <f t="shared" si="1"/>
        <v>139</v>
      </c>
      <c r="D24">
        <v>556</v>
      </c>
      <c r="E24">
        <v>20</v>
      </c>
      <c r="F24">
        <v>20</v>
      </c>
      <c r="G24">
        <v>4</v>
      </c>
      <c r="H24">
        <v>40</v>
      </c>
      <c r="I24">
        <v>10</v>
      </c>
      <c r="J24">
        <v>8</v>
      </c>
      <c r="K24">
        <v>8</v>
      </c>
      <c r="L24">
        <v>2</v>
      </c>
      <c r="M24" s="13">
        <v>0</v>
      </c>
      <c r="N24" s="13">
        <v>2</v>
      </c>
      <c r="O24" s="13">
        <v>1</v>
      </c>
      <c r="P24" s="61">
        <v>0</v>
      </c>
      <c r="Q24" s="61">
        <v>3</v>
      </c>
      <c r="R24" s="61">
        <v>2</v>
      </c>
      <c r="S24" s="62">
        <v>0</v>
      </c>
      <c r="T24" s="62">
        <v>4</v>
      </c>
      <c r="U24" s="62">
        <v>3</v>
      </c>
      <c r="V24" s="63">
        <v>0</v>
      </c>
      <c r="W24" s="63">
        <v>5</v>
      </c>
      <c r="X24" s="63">
        <v>4</v>
      </c>
      <c r="Y24" s="63">
        <v>0.036</v>
      </c>
      <c r="Z24" s="63">
        <v>0</v>
      </c>
      <c r="AA24" s="62">
        <v>0</v>
      </c>
      <c r="AB24" s="62">
        <v>5</v>
      </c>
      <c r="AC24" s="62">
        <v>5</v>
      </c>
      <c r="AD24" s="63">
        <v>0.048</v>
      </c>
      <c r="AE24" s="63">
        <v>0</v>
      </c>
    </row>
    <row r="25" spans="2:37">
      <c r="C25">
        <f t="shared" si="1"/>
        <v>144</v>
      </c>
      <c r="D25">
        <v>576</v>
      </c>
      <c r="E25">
        <v>20</v>
      </c>
      <c r="F25">
        <v>20</v>
      </c>
      <c r="G25">
        <v>4</v>
      </c>
      <c r="H25">
        <v>40</v>
      </c>
      <c r="I25">
        <v>10</v>
      </c>
      <c r="J25">
        <v>8</v>
      </c>
      <c r="K25">
        <v>8</v>
      </c>
      <c r="L25">
        <v>2</v>
      </c>
      <c r="M25" s="13">
        <v>0</v>
      </c>
      <c r="N25" s="13">
        <v>2</v>
      </c>
      <c r="O25" s="13">
        <v>1</v>
      </c>
      <c r="P25" s="61">
        <v>0</v>
      </c>
      <c r="Q25" s="61">
        <v>3</v>
      </c>
      <c r="R25" s="61">
        <v>2</v>
      </c>
      <c r="S25" s="62">
        <v>0</v>
      </c>
      <c r="T25" s="62">
        <v>4</v>
      </c>
      <c r="U25" s="62">
        <v>3</v>
      </c>
      <c r="V25" s="63">
        <v>0</v>
      </c>
      <c r="W25" s="63">
        <v>5</v>
      </c>
      <c r="X25" s="63">
        <v>4</v>
      </c>
      <c r="Y25" s="63">
        <v>0.036</v>
      </c>
      <c r="Z25" s="63">
        <v>0</v>
      </c>
      <c r="AA25" s="62">
        <v>0</v>
      </c>
      <c r="AB25" s="62">
        <v>5</v>
      </c>
      <c r="AC25" s="62">
        <v>5</v>
      </c>
      <c r="AD25" s="63">
        <v>0.048</v>
      </c>
      <c r="AE25" s="63">
        <v>0</v>
      </c>
    </row>
    <row r="26" spans="2:37">
      <c r="C26">
        <f t="shared" si="1"/>
        <v>149</v>
      </c>
      <c r="D26">
        <v>596</v>
      </c>
      <c r="E26">
        <v>20</v>
      </c>
      <c r="F26">
        <v>20</v>
      </c>
      <c r="G26">
        <v>4</v>
      </c>
      <c r="H26">
        <v>40</v>
      </c>
      <c r="I26">
        <v>10</v>
      </c>
      <c r="J26">
        <v>8</v>
      </c>
      <c r="K26">
        <v>8</v>
      </c>
      <c r="L26">
        <v>2</v>
      </c>
      <c r="M26" s="13">
        <v>0</v>
      </c>
      <c r="N26" s="13">
        <v>2</v>
      </c>
      <c r="O26" s="13">
        <v>1</v>
      </c>
      <c r="P26" s="61">
        <v>0</v>
      </c>
      <c r="Q26" s="61">
        <v>3</v>
      </c>
      <c r="R26" s="61">
        <v>2</v>
      </c>
      <c r="S26" s="62">
        <v>0</v>
      </c>
      <c r="T26" s="62">
        <v>4</v>
      </c>
      <c r="U26" s="62">
        <v>3</v>
      </c>
      <c r="V26" s="63">
        <v>0</v>
      </c>
      <c r="W26" s="63">
        <v>5</v>
      </c>
      <c r="X26" s="63">
        <v>4</v>
      </c>
      <c r="Y26" s="63">
        <v>0.036</v>
      </c>
      <c r="Z26" s="63">
        <v>0</v>
      </c>
      <c r="AA26" s="62">
        <v>0</v>
      </c>
      <c r="AB26" s="62">
        <v>5</v>
      </c>
      <c r="AC26" s="62">
        <v>5</v>
      </c>
      <c r="AD26" s="63">
        <v>0.048</v>
      </c>
      <c r="AE26" s="63">
        <v>0</v>
      </c>
    </row>
    <row r="27" spans="2:37">
      <c r="AB27" s="62"/>
    </row>
    <row r="28" spans="2:37">
      <c r="M28" s="13" t="s">
        <v>404</v>
      </c>
      <c r="N28" s="13" t="s">
        <v>404</v>
      </c>
      <c r="O28" s="13" t="s">
        <v>404</v>
      </c>
      <c r="P28" s="61" t="s">
        <v>405</v>
      </c>
      <c r="Q28" s="61" t="s">
        <v>405</v>
      </c>
      <c r="R28" s="61" t="s">
        <v>405</v>
      </c>
      <c r="S28" s="62" t="s">
        <v>406</v>
      </c>
      <c r="T28" s="62" t="s">
        <v>406</v>
      </c>
      <c r="U28" s="62" t="s">
        <v>406</v>
      </c>
      <c r="V28" s="63" t="s">
        <v>407</v>
      </c>
      <c r="W28" s="63" t="s">
        <v>407</v>
      </c>
      <c r="X28" s="63" t="s">
        <v>407</v>
      </c>
      <c r="Y28" s="63"/>
      <c r="Z28" s="63"/>
      <c r="AA28" s="62" t="s">
        <v>408</v>
      </c>
      <c r="AB28" s="62" t="s">
        <v>408</v>
      </c>
      <c r="AC28" s="62" t="s">
        <v>408</v>
      </c>
      <c r="AD28" s="62"/>
      <c r="AE28" s="62"/>
      <c r="AG28" t="s">
        <v>410</v>
      </c>
      <c r="AH28" t="s">
        <v>411</v>
      </c>
      <c r="AI28" t="s">
        <v>150</v>
      </c>
    </row>
    <row r="29" ht="14.25" spans="2:37">
      <c r="B29">
        <v>1</v>
      </c>
      <c r="C29" t="str">
        <f ca="1" t="shared" ref="C29:L29" si="2">SUBSTITUTE(IF(C$11="","{progress_rate,"&amp;C$4&amp;","&amp;C12&amp;"}",IF(C12&gt;=1,"{progress,"&amp;C$11*100&amp;","&amp;C$4&amp;","&amp;C12&amp;"}","{progress_rate_roll,"&amp;C$11*100&amp;","&amp;INT(C12*10000)&amp;","&amp;C$4&amp;","&amp;1&amp;"}")),C$4,IF(ISNUMBER(C$4),C$4,OFFSET($AG29,0,MATCH(C$4,$AG$28:$AI$28,0)-1)))</f>
        <v>{progress_rate,2,79}</v>
      </c>
      <c r="D29" t="str">
        <f ca="1" t="shared" si="2"/>
        <v>{progress,0,2,316}</v>
      </c>
      <c r="E29" t="str">
        <f ca="1" t="shared" si="2"/>
        <v>{progress_rate,5103002,20}</v>
      </c>
      <c r="F29" t="str">
        <f ca="1" t="shared" si="2"/>
        <v>{progress,0,5103002,20}</v>
      </c>
      <c r="G29" t="str">
        <f ca="1" t="shared" si="2"/>
        <v>{progress_rate,5303001,4}</v>
      </c>
      <c r="H29" t="str">
        <f ca="1" t="shared" si="2"/>
        <v>{progress,0,5103002,40}</v>
      </c>
      <c r="I29" t="str">
        <f ca="1" t="shared" si="2"/>
        <v>{progress_rate,5203001,10}</v>
      </c>
      <c r="J29" t="str">
        <f ca="1" t="shared" si="2"/>
        <v>{progress_rate,50026,8}</v>
      </c>
      <c r="K29" t="str">
        <f ca="1" t="shared" si="2"/>
        <v>{progress,0,50026,8}</v>
      </c>
      <c r="L29" t="str">
        <f ca="1" t="shared" si="2"/>
        <v>{progress_rate,5204001,2}</v>
      </c>
      <c r="N29" s="13" t="str">
        <f ca="1" t="shared" ref="N29:N43" si="3">SUBSTITUTE(IF(N$11="","{progress_rate,"&amp;N$4&amp;","&amp;N12&amp;"}",IF(N12&gt;=1,"{progress,"&amp;N$11*100&amp;","&amp;N$4&amp;","&amp;N12&amp;"}","{progress_rate_roll,"&amp;N$11*100&amp;","&amp;INT(N12*10000)&amp;","&amp;N$4&amp;","&amp;1&amp;"}")),N$4,IF(ISNUMBER(N$4),N$4,OFFSET($AG29,0,MATCH(N$4,$AG$28:$AI$28,0)-1)))</f>
        <v>{progress,0,21315,2}</v>
      </c>
      <c r="O29" s="13" t="str">
        <f ca="1" t="shared" ref="O29:O43" si="4">SUBSTITUTE(IF(O$11="","{progress_rate,"&amp;O$4&amp;","&amp;O12&amp;"}",IF(O12&gt;=1,"{progress,"&amp;O$11*100&amp;","&amp;O$4&amp;","&amp;O12&amp;"}","{progress_rate_roll,"&amp;O$11*100&amp;","&amp;INT(O12*10000)&amp;","&amp;O$4&amp;","&amp;1&amp;"}")),O$4,IF(ISNUMBER(O$4),O$4,OFFSET($AG29,0,MATCH(O$4,$AG$28:$AI$28,0)-1)))</f>
        <v>{progress,0,5401000,1}</v>
      </c>
      <c r="P29" s="61" t="str">
        <f ca="1">SUBSTITUTE(IF(P$11="","{progress_rate,"&amp;P$4&amp;","&amp;P12&amp;"}",IF(P12&gt;=1,"{progress,"&amp;P$11*100&amp;","&amp;P$4&amp;","&amp;P12&amp;"}","{progress_rate_roll,"&amp;P$11*100&amp;","&amp;INT(P12*10000)&amp;","&amp;P$4&amp;","&amp;1&amp;"}")),P$4,IF(ISNUMBER(P$4),P$4,OFFSET($AG29,0,MATCH(P$4,$AG$28:$AI$28,0)-1)))</f>
        <v>{progress_rate_roll,0,0,21300,1}</v>
      </c>
      <c r="Q29" s="61" t="str">
        <f ca="1" t="shared" ref="Q29:Q43" si="5">SUBSTITUTE(IF(Q$11="","{progress_rate,"&amp;Q$4&amp;","&amp;Q12&amp;"}",IF(Q12&gt;=1,"{progress,"&amp;Q$11*100&amp;","&amp;Q$4&amp;","&amp;Q12&amp;"}","{progress_rate_roll,"&amp;Q$11*100&amp;","&amp;INT(Q12*10000)&amp;","&amp;Q$4&amp;","&amp;1&amp;"}")),Q$4,IF(ISNUMBER(Q$4),Q$4,OFFSET($AG29,0,MATCH(Q$4,$AG$28:$AI$28,0)-1)))</f>
        <v>{progress,0,21315,3}</v>
      </c>
      <c r="R29" s="61" t="str">
        <f ca="1" t="shared" ref="R29:R43" si="6">SUBSTITUTE(IF(R$11="","{progress_rate,"&amp;R$4&amp;","&amp;R12&amp;"}",IF(R12&gt;=1,"{progress,"&amp;R$11*100&amp;","&amp;R$4&amp;","&amp;R12&amp;"}","{progress_rate_roll,"&amp;R$11*100&amp;","&amp;INT(R12*10000)&amp;","&amp;R$4&amp;","&amp;1&amp;"}")),R$4,IF(ISNUMBER(R$4),R$4,OFFSET($AG29,0,MATCH(R$4,$AG$28:$AI$28,0)-1)))</f>
        <v>{progress,0,5401000,2}</v>
      </c>
      <c r="S29" s="62" t="str">
        <f ca="1" t="shared" ref="S29:S43" si="7">SUBSTITUTE(IF(S$11="","{progress_rate,"&amp;S$4&amp;","&amp;S12&amp;"}",IF(S12&gt;=1,"{progress,"&amp;S$11*100&amp;","&amp;S$4&amp;","&amp;S12&amp;"}","{progress_rate_roll,"&amp;S$11*100&amp;","&amp;INT(S12*10000)&amp;","&amp;S$4&amp;","&amp;1&amp;"}")),S$4,IF(ISNUMBER(S$4),S$4,OFFSET($AG29,0,MATCH(S$4,$AG$28:$AI$28,0)-1)))</f>
        <v>{progress_rate_roll,0,0,21300,1}</v>
      </c>
      <c r="T29" s="62" t="str">
        <f ca="1" t="shared" ref="T29:T43" si="8">SUBSTITUTE(IF(T$11="","{progress_rate,"&amp;T$4&amp;","&amp;T12&amp;"}",IF(T12&gt;=1,"{progress,"&amp;T$11*100&amp;","&amp;T$4&amp;","&amp;T12&amp;"}","{progress_rate_roll,"&amp;T$11*100&amp;","&amp;INT(T12*10000)&amp;","&amp;T$4&amp;","&amp;1&amp;"}")),T$4,IF(ISNUMBER(T$4),T$4,OFFSET($AG29,0,MATCH(T$4,$AG$28:$AI$28,0)-1)))</f>
        <v>{progress,0,21315,4}</v>
      </c>
      <c r="U29" s="62" t="str">
        <f ca="1" t="shared" ref="U29:U43" si="9">SUBSTITUTE(IF(U$11="","{progress_rate,"&amp;U$4&amp;","&amp;U12&amp;"}",IF(U12&gt;=1,"{progress,"&amp;U$11*100&amp;","&amp;U$4&amp;","&amp;U12&amp;"}","{progress_rate_roll,"&amp;U$11*100&amp;","&amp;INT(U12*10000)&amp;","&amp;U$4&amp;","&amp;1&amp;"}")),U$4,IF(ISNUMBER(U$4),U$4,OFFSET($AG29,0,MATCH(U$4,$AG$28:$AI$28,0)-1)))</f>
        <v>{progress,0,5401000,3}</v>
      </c>
      <c r="V29" s="63" t="str">
        <f ca="1" t="shared" ref="V29:AE29" si="10">SUBSTITUTE(IF(V$11="","{progress_rate,"&amp;V$4&amp;","&amp;V12&amp;"}",IF(V12&gt;=1,"{progress,"&amp;V$11*100&amp;","&amp;V$4&amp;","&amp;V12&amp;"}","{progress_rate_roll,"&amp;V$11*100&amp;","&amp;INT(V12*10000)&amp;","&amp;V$4&amp;","&amp;1&amp;"}")),V$4,IF(ISNUMBER(V$4),V$4,OFFSET($AG29,0,MATCH(V$4,$AG$28:$AI$28,0)-1)))</f>
        <v>{progress_rate_roll,0,0,21300,1}</v>
      </c>
      <c r="W29" s="63" t="str">
        <f ca="1" t="shared" si="10"/>
        <v>{progress,0,21315,5}</v>
      </c>
      <c r="X29" s="63" t="str">
        <f ca="1" t="shared" si="10"/>
        <v>{progress,0,5401000,4}</v>
      </c>
      <c r="Y29" s="63" t="str">
        <f ca="1" t="shared" si="10"/>
        <v>{progress_rate_roll,0,360,9,1}</v>
      </c>
      <c r="Z29" s="63" t="str">
        <f ca="1" t="shared" si="10"/>
        <v>{progress_rate_roll,0,0,30,1}</v>
      </c>
      <c r="AA29" s="62" t="str">
        <f ca="1" t="shared" si="10"/>
        <v>{progress_rate_roll,0,0,21300,1}</v>
      </c>
      <c r="AB29" s="62" t="str">
        <f ca="1" t="shared" si="10"/>
        <v>{progress,0,21315,5}</v>
      </c>
      <c r="AC29" s="62" t="str">
        <f ca="1" t="shared" si="10"/>
        <v>{progress,0,5401000,5}</v>
      </c>
      <c r="AD29" s="62" t="str">
        <f ca="1" t="shared" si="10"/>
        <v>{progress_rate_roll,0,480,9,1}</v>
      </c>
      <c r="AE29" s="62" t="str">
        <f ca="1" t="shared" si="10"/>
        <v>{progress_rate_roll,0,0,30,1}</v>
      </c>
      <c r="AG29" s="17">
        <v>21300</v>
      </c>
      <c r="AH29" s="17">
        <v>21315</v>
      </c>
      <c r="AI29">
        <v>5401000</v>
      </c>
      <c r="AK29" s="17"/>
    </row>
    <row r="30" ht="14.25" spans="2:37">
      <c r="B30">
        <v>2</v>
      </c>
      <c r="C30" t="str">
        <f ca="1" t="shared" ref="C30:K30" si="11">SUBSTITUTE(IF(C$11="","{progress_rate,"&amp;C$4&amp;","&amp;C13&amp;"}",IF(C13&gt;=1,"{progress,"&amp;C$11*100&amp;","&amp;C$4&amp;","&amp;C13&amp;"}","{progress_rate_roll,"&amp;C$11*100&amp;","&amp;INT(C13*10000)&amp;","&amp;C$4&amp;","&amp;1&amp;"}")),C$4,IF(ISNUMBER(C$4),C$4,OFFSET($AG30,0,MATCH(C$4,$AG$28:$AI$28,0)-1)))</f>
        <v>{progress_rate,2,84}</v>
      </c>
      <c r="D30" t="str">
        <f ca="1" t="shared" si="11"/>
        <v>{progress,0,2,336}</v>
      </c>
      <c r="E30" t="str">
        <f ca="1" t="shared" si="11"/>
        <v>{progress_rate,5103002,20}</v>
      </c>
      <c r="F30" t="str">
        <f ca="1" t="shared" si="11"/>
        <v>{progress,0,5103002,20}</v>
      </c>
      <c r="G30" t="str">
        <f ca="1" t="shared" si="11"/>
        <v>{progress_rate,5303001,4}</v>
      </c>
      <c r="H30" t="str">
        <f ca="1" t="shared" si="11"/>
        <v>{progress,0,5103002,40}</v>
      </c>
      <c r="I30" t="str">
        <f ca="1" t="shared" si="11"/>
        <v>{progress_rate,5203001,10}</v>
      </c>
      <c r="J30" t="str">
        <f ca="1" t="shared" si="11"/>
        <v>{progress_rate,50026,8}</v>
      </c>
      <c r="K30" t="str">
        <f ca="1" t="shared" si="11"/>
        <v>{progress,0,50026,8}</v>
      </c>
      <c r="L30" t="str">
        <f ca="1" t="shared" ref="L30:L43" si="12">SUBSTITUTE(IF(L$11="","{progress_rate,"&amp;L$4&amp;","&amp;L13&amp;"}",IF(L13&gt;=1,"{progress,"&amp;L$11*100&amp;","&amp;L$4&amp;","&amp;L13&amp;"}","{progress_rate_roll,"&amp;L$11*100&amp;","&amp;INT(L13*10000)&amp;","&amp;L$4&amp;","&amp;1&amp;"}")),L$4,IF(ISNUMBER(L$4),L$4,OFFSET($AG30,0,MATCH(L$4,$AG$28:$AI$28,0)-1)))</f>
        <v>{progress_rate,5204001,2}</v>
      </c>
      <c r="N30" s="13" t="str">
        <f ca="1" t="shared" si="3"/>
        <v>{progress,0,21316,2}</v>
      </c>
      <c r="O30" s="13" t="str">
        <f ca="1" t="shared" si="4"/>
        <v>{progress,0,5401000,1}</v>
      </c>
      <c r="P30" s="61" t="str">
        <f ca="1" t="shared" ref="P30:P43" si="13">SUBSTITUTE(IF(P$11="","{progress_rate,"&amp;P$4&amp;","&amp;P13&amp;"}",IF(P13&gt;=1,"{progress,"&amp;P$11*100&amp;","&amp;P$4&amp;","&amp;P13&amp;"}","{progress_rate_roll,"&amp;P$11*100&amp;","&amp;INT(P13*10000)&amp;","&amp;P$4&amp;","&amp;1&amp;"}")),P$4,IF(ISNUMBER(P$4),P$4,OFFSET($AG30,0,MATCH(P$4,$AG$28:$AI$28,0)-1)))</f>
        <v>{progress_rate_roll,0,0,21301,1}</v>
      </c>
      <c r="Q30" s="61" t="str">
        <f ca="1" t="shared" si="5"/>
        <v>{progress,0,21316,3}</v>
      </c>
      <c r="R30" s="61" t="str">
        <f ca="1" t="shared" si="6"/>
        <v>{progress,0,5401000,2}</v>
      </c>
      <c r="S30" s="62" t="str">
        <f ca="1" t="shared" si="7"/>
        <v>{progress_rate_roll,0,0,21301,1}</v>
      </c>
      <c r="T30" s="62" t="str">
        <f ca="1" t="shared" si="8"/>
        <v>{progress,0,21316,4}</v>
      </c>
      <c r="U30" s="62" t="str">
        <f ca="1" t="shared" si="9"/>
        <v>{progress,0,5401000,3}</v>
      </c>
      <c r="V30" s="63" t="str">
        <f ca="1" t="shared" ref="V30:AC30" si="14">SUBSTITUTE(IF(V$11="","{progress_rate,"&amp;V$4&amp;","&amp;V13&amp;"}",IF(V13&gt;=1,"{progress,"&amp;V$11*100&amp;","&amp;V$4&amp;","&amp;V13&amp;"}","{progress_rate_roll,"&amp;V$11*100&amp;","&amp;INT(V13*10000)&amp;","&amp;V$4&amp;","&amp;1&amp;"}")),V$4,IF(ISNUMBER(V$4),V$4,OFFSET($AG30,0,MATCH(V$4,$AG$28:$AI$28,0)-1)))</f>
        <v>{progress_rate_roll,0,0,21301,1}</v>
      </c>
      <c r="W30" s="63" t="str">
        <f ca="1" t="shared" si="14"/>
        <v>{progress,0,21316,5}</v>
      </c>
      <c r="X30" s="63" t="str">
        <f ca="1" t="shared" si="14"/>
        <v>{progress,0,5401000,4}</v>
      </c>
      <c r="Y30" s="63" t="str">
        <f ca="1" t="shared" ref="Y30:Y43" si="15">SUBSTITUTE(IF(Y$11="","{progress_rate,"&amp;Y$4&amp;","&amp;Y13&amp;"}",IF(Y13&gt;=1,"{progress,"&amp;Y$11*100&amp;","&amp;Y$4&amp;","&amp;Y13&amp;"}","{progress_rate_roll,"&amp;Y$11*100&amp;","&amp;INT(Y13*10000)&amp;","&amp;Y$4&amp;","&amp;1&amp;"}")),Y$4,IF(ISNUMBER(Y$4),Y$4,OFFSET($AG30,0,MATCH(Y$4,$AG$28:$AI$28,0)-1)))</f>
        <v>{progress_rate_roll,0,360,9,1}</v>
      </c>
      <c r="Z30" s="63" t="str">
        <f ca="1" t="shared" ref="Z30:Z43" si="16">SUBSTITUTE(IF(Z$11="","{progress_rate,"&amp;Z$4&amp;","&amp;Z13&amp;"}",IF(Z13&gt;=1,"{progress,"&amp;Z$11*100&amp;","&amp;Z$4&amp;","&amp;Z13&amp;"}","{progress_rate_roll,"&amp;Z$11*100&amp;","&amp;INT(Z13*10000)&amp;","&amp;Z$4&amp;","&amp;1&amp;"}")),Z$4,IF(ISNUMBER(Z$4),Z$4,OFFSET($AG30,0,MATCH(Z$4,$AG$28:$AI$28,0)-1)))</f>
        <v>{progress_rate_roll,0,0,30,1}</v>
      </c>
      <c r="AA30" s="62" t="str">
        <f ca="1" t="shared" ref="AA30:AA43" si="17">SUBSTITUTE(IF(AA$11="","{progress_rate,"&amp;AA$4&amp;","&amp;AA13&amp;"}",IF(AA13&gt;=1,"{progress,"&amp;AA$11*100&amp;","&amp;AA$4&amp;","&amp;AA13&amp;"}","{progress_rate_roll,"&amp;AA$11*100&amp;","&amp;INT(AA13*10000)&amp;","&amp;AA$4&amp;","&amp;1&amp;"}")),AA$4,IF(ISNUMBER(AA$4),AA$4,OFFSET($AG30,0,MATCH(AA$4,$AG$28:$AI$28,0)-1)))</f>
        <v>{progress_rate_roll,0,0,21301,1}</v>
      </c>
      <c r="AB30" s="62" t="str">
        <f ca="1" t="shared" ref="AB30:AB43" si="18">SUBSTITUTE(IF(AB$11="","{progress_rate,"&amp;AB$4&amp;","&amp;AB13&amp;"}",IF(AB13&gt;=1,"{progress,"&amp;AB$11*100&amp;","&amp;AB$4&amp;","&amp;AB13&amp;"}","{progress_rate_roll,"&amp;AB$11*100&amp;","&amp;INT(AB13*10000)&amp;","&amp;AB$4&amp;","&amp;1&amp;"}")),AB$4,IF(ISNUMBER(AB$4),AB$4,OFFSET($AG30,0,MATCH(AB$4,$AG$28:$AI$28,0)-1)))</f>
        <v>{progress,0,21316,5}</v>
      </c>
      <c r="AC30" s="62" t="str">
        <f ca="1" t="shared" ref="AC30:AC43" si="19">SUBSTITUTE(IF(AC$11="","{progress_rate,"&amp;AC$4&amp;","&amp;AC13&amp;"}",IF(AC13&gt;=1,"{progress,"&amp;AC$11*100&amp;","&amp;AC$4&amp;","&amp;AC13&amp;"}","{progress_rate_roll,"&amp;AC$11*100&amp;","&amp;INT(AC13*10000)&amp;","&amp;AC$4&amp;","&amp;1&amp;"}")),AC$4,IF(ISNUMBER(AC$4),AC$4,OFFSET($AG30,0,MATCH(AC$4,$AG$28:$AI$28,0)-1)))</f>
        <v>{progress,0,5401000,5}</v>
      </c>
      <c r="AD30" s="62" t="str">
        <f ca="1" t="shared" ref="AD30:AD43" si="20">SUBSTITUTE(IF(AD$11="","{progress_rate,"&amp;AD$4&amp;","&amp;AD13&amp;"}",IF(AD13&gt;=1,"{progress,"&amp;AD$11*100&amp;","&amp;AD$4&amp;","&amp;AD13&amp;"}","{progress_rate_roll,"&amp;AD$11*100&amp;","&amp;INT(AD13*10000)&amp;","&amp;AD$4&amp;","&amp;1&amp;"}")),AD$4,IF(ISNUMBER(AD$4),AD$4,OFFSET($AG30,0,MATCH(AD$4,$AG$28:$AI$28,0)-1)))</f>
        <v>{progress_rate_roll,0,480,9,1}</v>
      </c>
      <c r="AE30" s="62" t="str">
        <f ca="1" t="shared" ref="AE30:AE43" si="21">SUBSTITUTE(IF(AE$11="","{progress_rate,"&amp;AE$4&amp;","&amp;AE13&amp;"}",IF(AE13&gt;=1,"{progress,"&amp;AE$11*100&amp;","&amp;AE$4&amp;","&amp;AE13&amp;"}","{progress_rate_roll,"&amp;AE$11*100&amp;","&amp;INT(AE13*10000)&amp;","&amp;AE$4&amp;","&amp;1&amp;"}")),AE$4,IF(ISNUMBER(AE$4),AE$4,OFFSET($AG30,0,MATCH(AE$4,$AG$28:$AI$28,0)-1)))</f>
        <v>{progress_rate_roll,0,0,30,1}</v>
      </c>
      <c r="AG30" s="17">
        <v>21301</v>
      </c>
      <c r="AH30" s="17">
        <v>21316</v>
      </c>
      <c r="AI30">
        <v>5401000</v>
      </c>
      <c r="AK30" s="17"/>
    </row>
    <row r="31" ht="14.25" spans="2:37">
      <c r="B31">
        <v>3</v>
      </c>
      <c r="C31" t="str">
        <f ca="1" t="shared" ref="C31:K31" si="22">SUBSTITUTE(IF(C$11="","{progress_rate,"&amp;C$4&amp;","&amp;C14&amp;"}",IF(C14&gt;=1,"{progress,"&amp;C$11*100&amp;","&amp;C$4&amp;","&amp;C14&amp;"}","{progress_rate_roll,"&amp;C$11*100&amp;","&amp;INT(C14*10000)&amp;","&amp;C$4&amp;","&amp;1&amp;"}")),C$4,IF(ISNUMBER(C$4),C$4,OFFSET($AG31,0,MATCH(C$4,$AG$28:$AI$28,0)-1)))</f>
        <v>{progress_rate,2,89}</v>
      </c>
      <c r="D31" t="str">
        <f ca="1" t="shared" si="22"/>
        <v>{progress,0,2,356}</v>
      </c>
      <c r="E31" t="str">
        <f ca="1" t="shared" si="22"/>
        <v>{progress_rate,5103002,20}</v>
      </c>
      <c r="F31" t="str">
        <f ca="1" t="shared" si="22"/>
        <v>{progress,0,5103002,20}</v>
      </c>
      <c r="G31" t="str">
        <f ca="1" t="shared" si="22"/>
        <v>{progress_rate,5303001,4}</v>
      </c>
      <c r="H31" t="str">
        <f ca="1" t="shared" si="22"/>
        <v>{progress,0,5103002,40}</v>
      </c>
      <c r="I31" t="str">
        <f ca="1" t="shared" si="22"/>
        <v>{progress_rate,5203001,10}</v>
      </c>
      <c r="J31" t="str">
        <f ca="1" t="shared" si="22"/>
        <v>{progress_rate,50026,8}</v>
      </c>
      <c r="K31" t="str">
        <f ca="1" t="shared" si="22"/>
        <v>{progress,0,50026,8}</v>
      </c>
      <c r="L31" t="str">
        <f ca="1" t="shared" si="12"/>
        <v>{progress_rate,5204001,2}</v>
      </c>
      <c r="N31" s="13" t="str">
        <f ca="1" t="shared" si="3"/>
        <v>{progress,0,21317,2}</v>
      </c>
      <c r="O31" s="13" t="str">
        <f ca="1" t="shared" si="4"/>
        <v>{progress,0,5401000,1}</v>
      </c>
      <c r="P31" s="61" t="str">
        <f ca="1" t="shared" si="13"/>
        <v>{progress_rate_roll,0,0,21302,1}</v>
      </c>
      <c r="Q31" s="61" t="str">
        <f ca="1" t="shared" si="5"/>
        <v>{progress,0,21317,3}</v>
      </c>
      <c r="R31" s="61" t="str">
        <f ca="1" t="shared" si="6"/>
        <v>{progress,0,5401000,2}</v>
      </c>
      <c r="S31" s="62" t="str">
        <f ca="1" t="shared" si="7"/>
        <v>{progress_rate_roll,0,0,21302,1}</v>
      </c>
      <c r="T31" s="62" t="str">
        <f ca="1" t="shared" si="8"/>
        <v>{progress,0,21317,4}</v>
      </c>
      <c r="U31" s="62" t="str">
        <f ca="1" t="shared" si="9"/>
        <v>{progress,0,5401000,3}</v>
      </c>
      <c r="V31" s="63" t="str">
        <f ca="1" t="shared" ref="V31:AC31" si="23">SUBSTITUTE(IF(V$11="","{progress_rate,"&amp;V$4&amp;","&amp;V14&amp;"}",IF(V14&gt;=1,"{progress,"&amp;V$11*100&amp;","&amp;V$4&amp;","&amp;V14&amp;"}","{progress_rate_roll,"&amp;V$11*100&amp;","&amp;INT(V14*10000)&amp;","&amp;V$4&amp;","&amp;1&amp;"}")),V$4,IF(ISNUMBER(V$4),V$4,OFFSET($AG31,0,MATCH(V$4,$AG$28:$AI$28,0)-1)))</f>
        <v>{progress_rate_roll,0,0,21302,1}</v>
      </c>
      <c r="W31" s="63" t="str">
        <f ca="1" t="shared" si="23"/>
        <v>{progress,0,21317,5}</v>
      </c>
      <c r="X31" s="63" t="str">
        <f ca="1" t="shared" si="23"/>
        <v>{progress,0,5401000,4}</v>
      </c>
      <c r="Y31" s="63" t="str">
        <f ca="1" t="shared" si="15"/>
        <v>{progress_rate_roll,0,360,9,1}</v>
      </c>
      <c r="Z31" s="63" t="str">
        <f ca="1" t="shared" si="16"/>
        <v>{progress_rate_roll,0,0,30,1}</v>
      </c>
      <c r="AA31" s="62" t="str">
        <f ca="1" t="shared" si="17"/>
        <v>{progress_rate_roll,0,0,21302,1}</v>
      </c>
      <c r="AB31" s="62" t="str">
        <f ca="1" t="shared" si="18"/>
        <v>{progress,0,21317,5}</v>
      </c>
      <c r="AC31" s="62" t="str">
        <f ca="1" t="shared" si="19"/>
        <v>{progress,0,5401000,5}</v>
      </c>
      <c r="AD31" s="62" t="str">
        <f ca="1" t="shared" si="20"/>
        <v>{progress_rate_roll,0,480,9,1}</v>
      </c>
      <c r="AE31" s="62" t="str">
        <f ca="1" t="shared" si="21"/>
        <v>{progress_rate_roll,0,0,30,1}</v>
      </c>
      <c r="AG31" s="17">
        <v>21302</v>
      </c>
      <c r="AH31" s="17">
        <v>21317</v>
      </c>
      <c r="AI31">
        <v>5401000</v>
      </c>
      <c r="AK31" s="17"/>
    </row>
    <row r="32" ht="14.25" spans="2:37">
      <c r="B32">
        <v>4</v>
      </c>
      <c r="C32" t="str">
        <f ca="1" t="shared" ref="C32:K32" si="24">SUBSTITUTE(IF(C$11="","{progress_rate,"&amp;C$4&amp;","&amp;C15&amp;"}",IF(C15&gt;=1,"{progress,"&amp;C$11*100&amp;","&amp;C$4&amp;","&amp;C15&amp;"}","{progress_rate_roll,"&amp;C$11*100&amp;","&amp;INT(C15*10000)&amp;","&amp;C$4&amp;","&amp;1&amp;"}")),C$4,IF(ISNUMBER(C$4),C$4,OFFSET($AG32,0,MATCH(C$4,$AG$28:$AI$28,0)-1)))</f>
        <v>{progress_rate,2,94}</v>
      </c>
      <c r="D32" t="str">
        <f ca="1" t="shared" si="24"/>
        <v>{progress,0,2,376}</v>
      </c>
      <c r="E32" t="str">
        <f ca="1" t="shared" si="24"/>
        <v>{progress_rate,5103002,20}</v>
      </c>
      <c r="F32" t="str">
        <f ca="1" t="shared" si="24"/>
        <v>{progress,0,5103002,20}</v>
      </c>
      <c r="G32" t="str">
        <f ca="1" t="shared" si="24"/>
        <v>{progress_rate,5303001,4}</v>
      </c>
      <c r="H32" t="str">
        <f ca="1" t="shared" si="24"/>
        <v>{progress,0,5103002,40}</v>
      </c>
      <c r="I32" t="str">
        <f ca="1" t="shared" si="24"/>
        <v>{progress_rate,5203001,10}</v>
      </c>
      <c r="J32" t="str">
        <f ca="1" t="shared" si="24"/>
        <v>{progress_rate,50026,8}</v>
      </c>
      <c r="K32" t="str">
        <f ca="1" t="shared" si="24"/>
        <v>{progress,0,50026,8}</v>
      </c>
      <c r="L32" t="str">
        <f ca="1" t="shared" si="12"/>
        <v>{progress_rate,5204001,2}</v>
      </c>
      <c r="N32" s="13" t="str">
        <f ca="1" t="shared" si="3"/>
        <v>{progress,0,21318,2}</v>
      </c>
      <c r="O32" s="13" t="str">
        <f ca="1" t="shared" si="4"/>
        <v>{progress,0,5401000,1}</v>
      </c>
      <c r="P32" s="61" t="str">
        <f ca="1" t="shared" si="13"/>
        <v>{progress_rate_roll,0,0,21303,1}</v>
      </c>
      <c r="Q32" s="61" t="str">
        <f ca="1" t="shared" si="5"/>
        <v>{progress,0,21318,3}</v>
      </c>
      <c r="R32" s="61" t="str">
        <f ca="1" t="shared" si="6"/>
        <v>{progress,0,5401000,2}</v>
      </c>
      <c r="S32" s="62" t="str">
        <f ca="1" t="shared" si="7"/>
        <v>{progress_rate_roll,0,0,21303,1}</v>
      </c>
      <c r="T32" s="62" t="str">
        <f ca="1" t="shared" si="8"/>
        <v>{progress,0,21318,4}</v>
      </c>
      <c r="U32" s="62" t="str">
        <f ca="1" t="shared" si="9"/>
        <v>{progress,0,5401000,3}</v>
      </c>
      <c r="V32" s="63" t="str">
        <f ca="1" t="shared" ref="V32:AC32" si="25">SUBSTITUTE(IF(V$11="","{progress_rate,"&amp;V$4&amp;","&amp;V15&amp;"}",IF(V15&gt;=1,"{progress,"&amp;V$11*100&amp;","&amp;V$4&amp;","&amp;V15&amp;"}","{progress_rate_roll,"&amp;V$11*100&amp;","&amp;INT(V15*10000)&amp;","&amp;V$4&amp;","&amp;1&amp;"}")),V$4,IF(ISNUMBER(V$4),V$4,OFFSET($AG32,0,MATCH(V$4,$AG$28:$AI$28,0)-1)))</f>
        <v>{progress_rate_roll,0,0,21303,1}</v>
      </c>
      <c r="W32" s="63" t="str">
        <f ca="1" t="shared" si="25"/>
        <v>{progress,0,21318,5}</v>
      </c>
      <c r="X32" s="63" t="str">
        <f ca="1" t="shared" si="25"/>
        <v>{progress,0,5401000,4}</v>
      </c>
      <c r="Y32" s="63" t="str">
        <f ca="1" t="shared" si="15"/>
        <v>{progress_rate_roll,0,360,9,1}</v>
      </c>
      <c r="Z32" s="63" t="str">
        <f ca="1" t="shared" si="16"/>
        <v>{progress_rate_roll,0,0,30,1}</v>
      </c>
      <c r="AA32" s="62" t="str">
        <f ca="1" t="shared" si="17"/>
        <v>{progress_rate_roll,0,0,21303,1}</v>
      </c>
      <c r="AB32" s="62" t="str">
        <f ca="1" t="shared" si="18"/>
        <v>{progress,0,21318,5}</v>
      </c>
      <c r="AC32" s="62" t="str">
        <f ca="1" t="shared" si="19"/>
        <v>{progress,0,5401000,5}</v>
      </c>
      <c r="AD32" s="62" t="str">
        <f ca="1" t="shared" si="20"/>
        <v>{progress_rate_roll,0,480,9,1}</v>
      </c>
      <c r="AE32" s="62" t="str">
        <f ca="1" t="shared" si="21"/>
        <v>{progress_rate_roll,0,0,30,1}</v>
      </c>
      <c r="AG32" s="17">
        <v>21303</v>
      </c>
      <c r="AH32" s="17">
        <v>21318</v>
      </c>
      <c r="AI32">
        <v>5401000</v>
      </c>
      <c r="AK32" s="17"/>
    </row>
    <row r="33" ht="14.25" spans="2:37">
      <c r="B33">
        <v>5</v>
      </c>
      <c r="C33" t="str">
        <f ca="1" t="shared" ref="C33:K33" si="26">SUBSTITUTE(IF(C$11="","{progress_rate,"&amp;C$4&amp;","&amp;C16&amp;"}",IF(C16&gt;=1,"{progress,"&amp;C$11*100&amp;","&amp;C$4&amp;","&amp;C16&amp;"}","{progress_rate_roll,"&amp;C$11*100&amp;","&amp;INT(C16*10000)&amp;","&amp;C$4&amp;","&amp;1&amp;"}")),C$4,IF(ISNUMBER(C$4),C$4,OFFSET($AG33,0,MATCH(C$4,$AG$28:$AI$28,0)-1)))</f>
        <v>{progress_rate,2,99}</v>
      </c>
      <c r="D33" t="str">
        <f ca="1" t="shared" si="26"/>
        <v>{progress,0,2,396}</v>
      </c>
      <c r="E33" t="str">
        <f ca="1" t="shared" si="26"/>
        <v>{progress_rate,5103002,20}</v>
      </c>
      <c r="F33" t="str">
        <f ca="1" t="shared" si="26"/>
        <v>{progress,0,5103002,20}</v>
      </c>
      <c r="G33" t="str">
        <f ca="1" t="shared" si="26"/>
        <v>{progress_rate,5303001,4}</v>
      </c>
      <c r="H33" t="str">
        <f ca="1" t="shared" si="26"/>
        <v>{progress,0,5103002,40}</v>
      </c>
      <c r="I33" t="str">
        <f ca="1" t="shared" si="26"/>
        <v>{progress_rate,5203001,10}</v>
      </c>
      <c r="J33" t="str">
        <f ca="1" t="shared" si="26"/>
        <v>{progress_rate,50026,8}</v>
      </c>
      <c r="K33" t="str">
        <f ca="1" t="shared" si="26"/>
        <v>{progress,0,50026,8}</v>
      </c>
      <c r="L33" t="str">
        <f ca="1" t="shared" si="12"/>
        <v>{progress_rate,5204001,2}</v>
      </c>
      <c r="N33" s="13" t="str">
        <f ca="1" t="shared" si="3"/>
        <v>{progress,0,21319,2}</v>
      </c>
      <c r="O33" s="13" t="str">
        <f ca="1" t="shared" si="4"/>
        <v>{progress,0,5401000,1}</v>
      </c>
      <c r="P33" s="61" t="str">
        <f ca="1" t="shared" si="13"/>
        <v>{progress_rate_roll,0,0,21304,1}</v>
      </c>
      <c r="Q33" s="61" t="str">
        <f ca="1" t="shared" si="5"/>
        <v>{progress,0,21319,3}</v>
      </c>
      <c r="R33" s="61" t="str">
        <f ca="1" t="shared" si="6"/>
        <v>{progress,0,5401000,2}</v>
      </c>
      <c r="S33" s="62" t="str">
        <f ca="1" t="shared" si="7"/>
        <v>{progress_rate_roll,0,0,21304,1}</v>
      </c>
      <c r="T33" s="62" t="str">
        <f ca="1" t="shared" si="8"/>
        <v>{progress,0,21319,4}</v>
      </c>
      <c r="U33" s="62" t="str">
        <f ca="1" t="shared" si="9"/>
        <v>{progress,0,5401000,3}</v>
      </c>
      <c r="V33" s="63" t="str">
        <f ca="1" t="shared" ref="V33:AC33" si="27">SUBSTITUTE(IF(V$11="","{progress_rate,"&amp;V$4&amp;","&amp;V16&amp;"}",IF(V16&gt;=1,"{progress,"&amp;V$11*100&amp;","&amp;V$4&amp;","&amp;V16&amp;"}","{progress_rate_roll,"&amp;V$11*100&amp;","&amp;INT(V16*10000)&amp;","&amp;V$4&amp;","&amp;1&amp;"}")),V$4,IF(ISNUMBER(V$4),V$4,OFFSET($AG33,0,MATCH(V$4,$AG$28:$AI$28,0)-1)))</f>
        <v>{progress_rate_roll,0,0,21304,1}</v>
      </c>
      <c r="W33" s="63" t="str">
        <f ca="1" t="shared" si="27"/>
        <v>{progress,0,21319,5}</v>
      </c>
      <c r="X33" s="63" t="str">
        <f ca="1" t="shared" si="27"/>
        <v>{progress,0,5401000,4}</v>
      </c>
      <c r="Y33" s="63" t="str">
        <f ca="1" t="shared" si="15"/>
        <v>{progress_rate_roll,0,360,9,1}</v>
      </c>
      <c r="Z33" s="63" t="str">
        <f ca="1" t="shared" si="16"/>
        <v>{progress_rate_roll,0,0,30,1}</v>
      </c>
      <c r="AA33" s="62" t="str">
        <f ca="1" t="shared" si="17"/>
        <v>{progress_rate_roll,0,0,21304,1}</v>
      </c>
      <c r="AB33" s="62" t="str">
        <f ca="1" t="shared" si="18"/>
        <v>{progress,0,21319,5}</v>
      </c>
      <c r="AC33" s="62" t="str">
        <f ca="1" t="shared" si="19"/>
        <v>{progress,0,5401000,5}</v>
      </c>
      <c r="AD33" s="62" t="str">
        <f ca="1" t="shared" si="20"/>
        <v>{progress_rate_roll,0,480,9,1}</v>
      </c>
      <c r="AE33" s="62" t="str">
        <f ca="1" t="shared" si="21"/>
        <v>{progress_rate_roll,0,0,30,1}</v>
      </c>
      <c r="AG33" s="17">
        <v>21304</v>
      </c>
      <c r="AH33" s="17">
        <v>21319</v>
      </c>
      <c r="AI33">
        <v>5401000</v>
      </c>
      <c r="AK33" s="17"/>
    </row>
    <row r="34" ht="14.25" spans="2:37">
      <c r="B34">
        <v>6</v>
      </c>
      <c r="C34" t="str">
        <f ca="1" t="shared" ref="C34:K34" si="28">SUBSTITUTE(IF(C$11="","{progress_rate,"&amp;C$4&amp;","&amp;C17&amp;"}",IF(C17&gt;=1,"{progress,"&amp;C$11*100&amp;","&amp;C$4&amp;","&amp;C17&amp;"}","{progress_rate_roll,"&amp;C$11*100&amp;","&amp;INT(C17*10000)&amp;","&amp;C$4&amp;","&amp;1&amp;"}")),C$4,IF(ISNUMBER(C$4),C$4,OFFSET($AG34,0,MATCH(C$4,$AG$28:$AI$28,0)-1)))</f>
        <v>{progress_rate,2,104}</v>
      </c>
      <c r="D34" t="str">
        <f ca="1" t="shared" si="28"/>
        <v>{progress,0,2,416}</v>
      </c>
      <c r="E34" t="str">
        <f ca="1" t="shared" si="28"/>
        <v>{progress_rate,5103002,20}</v>
      </c>
      <c r="F34" t="str">
        <f ca="1" t="shared" si="28"/>
        <v>{progress,0,5103002,20}</v>
      </c>
      <c r="G34" t="str">
        <f ca="1" t="shared" si="28"/>
        <v>{progress_rate,5303001,4}</v>
      </c>
      <c r="H34" t="str">
        <f ca="1" t="shared" si="28"/>
        <v>{progress,0,5103002,40}</v>
      </c>
      <c r="I34" t="str">
        <f ca="1" t="shared" si="28"/>
        <v>{progress_rate,5203001,10}</v>
      </c>
      <c r="J34" t="str">
        <f ca="1" t="shared" si="28"/>
        <v>{progress_rate,50026,8}</v>
      </c>
      <c r="K34" t="str">
        <f ca="1" t="shared" si="28"/>
        <v>{progress,0,50026,8}</v>
      </c>
      <c r="L34" t="str">
        <f ca="1" t="shared" si="12"/>
        <v>{progress_rate,5204001,2}</v>
      </c>
      <c r="N34" s="13" t="str">
        <f ca="1" t="shared" si="3"/>
        <v>{progress,0,21320,2}</v>
      </c>
      <c r="O34" s="13" t="str">
        <f ca="1" t="shared" si="4"/>
        <v>{progress,0,5401000,1}</v>
      </c>
      <c r="P34" s="61" t="str">
        <f ca="1" t="shared" si="13"/>
        <v>{progress_rate_roll,0,0,21305,1}</v>
      </c>
      <c r="Q34" s="61" t="str">
        <f ca="1" t="shared" si="5"/>
        <v>{progress,0,21320,3}</v>
      </c>
      <c r="R34" s="61" t="str">
        <f ca="1" t="shared" si="6"/>
        <v>{progress,0,5401000,2}</v>
      </c>
      <c r="S34" s="62" t="str">
        <f ca="1" t="shared" si="7"/>
        <v>{progress_rate_roll,0,0,21305,1}</v>
      </c>
      <c r="T34" s="62" t="str">
        <f ca="1" t="shared" si="8"/>
        <v>{progress,0,21320,4}</v>
      </c>
      <c r="U34" s="62" t="str">
        <f ca="1" t="shared" si="9"/>
        <v>{progress,0,5401000,3}</v>
      </c>
      <c r="V34" s="63" t="str">
        <f ca="1" t="shared" ref="V34:AC34" si="29">SUBSTITUTE(IF(V$11="","{progress_rate,"&amp;V$4&amp;","&amp;V17&amp;"}",IF(V17&gt;=1,"{progress,"&amp;V$11*100&amp;","&amp;V$4&amp;","&amp;V17&amp;"}","{progress_rate_roll,"&amp;V$11*100&amp;","&amp;INT(V17*10000)&amp;","&amp;V$4&amp;","&amp;1&amp;"}")),V$4,IF(ISNUMBER(V$4),V$4,OFFSET($AG34,0,MATCH(V$4,$AG$28:$AI$28,0)-1)))</f>
        <v>{progress_rate_roll,0,0,21305,1}</v>
      </c>
      <c r="W34" s="63" t="str">
        <f ca="1" t="shared" si="29"/>
        <v>{progress,0,21320,5}</v>
      </c>
      <c r="X34" s="63" t="str">
        <f ca="1" t="shared" si="29"/>
        <v>{progress,0,5401000,4}</v>
      </c>
      <c r="Y34" s="63" t="str">
        <f ca="1" t="shared" si="15"/>
        <v>{progress_rate_roll,0,360,9,1}</v>
      </c>
      <c r="Z34" s="63" t="str">
        <f ca="1" t="shared" si="16"/>
        <v>{progress_rate_roll,0,0,30,1}</v>
      </c>
      <c r="AA34" s="62" t="str">
        <f ca="1" t="shared" si="17"/>
        <v>{progress_rate_roll,0,0,21305,1}</v>
      </c>
      <c r="AB34" s="62" t="str">
        <f ca="1" t="shared" si="18"/>
        <v>{progress,0,21320,5}</v>
      </c>
      <c r="AC34" s="62" t="str">
        <f ca="1" t="shared" si="19"/>
        <v>{progress,0,5401000,5}</v>
      </c>
      <c r="AD34" s="62" t="str">
        <f ca="1" t="shared" si="20"/>
        <v>{progress_rate_roll,0,480,9,1}</v>
      </c>
      <c r="AE34" s="62" t="str">
        <f ca="1" t="shared" si="21"/>
        <v>{progress_rate_roll,0,0,30,1}</v>
      </c>
      <c r="AG34" s="17">
        <v>21305</v>
      </c>
      <c r="AH34" s="17">
        <v>21320</v>
      </c>
      <c r="AI34">
        <v>5401000</v>
      </c>
      <c r="AK34" s="17"/>
    </row>
    <row r="35" ht="14.25" spans="2:37">
      <c r="B35">
        <v>7</v>
      </c>
      <c r="C35" t="str">
        <f ca="1" t="shared" ref="C35:K35" si="30">SUBSTITUTE(IF(C$11="","{progress_rate,"&amp;C$4&amp;","&amp;C18&amp;"}",IF(C18&gt;=1,"{progress,"&amp;C$11*100&amp;","&amp;C$4&amp;","&amp;C18&amp;"}","{progress_rate_roll,"&amp;C$11*100&amp;","&amp;INT(C18*10000)&amp;","&amp;C$4&amp;","&amp;1&amp;"}")),C$4,IF(ISNUMBER(C$4),C$4,OFFSET($AG35,0,MATCH(C$4,$AG$28:$AI$28,0)-1)))</f>
        <v>{progress_rate,2,109}</v>
      </c>
      <c r="D35" t="str">
        <f ca="1" t="shared" si="30"/>
        <v>{progress,0,2,436}</v>
      </c>
      <c r="E35" t="str">
        <f ca="1" t="shared" si="30"/>
        <v>{progress_rate,5103002,20}</v>
      </c>
      <c r="F35" t="str">
        <f ca="1" t="shared" si="30"/>
        <v>{progress,0,5103002,20}</v>
      </c>
      <c r="G35" t="str">
        <f ca="1" t="shared" si="30"/>
        <v>{progress_rate,5303001,4}</v>
      </c>
      <c r="H35" t="str">
        <f ca="1" t="shared" si="30"/>
        <v>{progress,0,5103002,40}</v>
      </c>
      <c r="I35" t="str">
        <f ca="1" t="shared" si="30"/>
        <v>{progress_rate,5203001,10}</v>
      </c>
      <c r="J35" t="str">
        <f ca="1" t="shared" si="30"/>
        <v>{progress_rate,50026,8}</v>
      </c>
      <c r="K35" t="str">
        <f ca="1" t="shared" si="30"/>
        <v>{progress,0,50026,8}</v>
      </c>
      <c r="L35" t="str">
        <f ca="1" t="shared" si="12"/>
        <v>{progress_rate,5204001,2}</v>
      </c>
      <c r="N35" s="13" t="str">
        <f ca="1" t="shared" si="3"/>
        <v>{progress,0,21321,2}</v>
      </c>
      <c r="O35" s="13" t="str">
        <f ca="1" t="shared" si="4"/>
        <v>{progress,0,5401000,1}</v>
      </c>
      <c r="P35" s="61" t="str">
        <f ca="1" t="shared" si="13"/>
        <v>{progress_rate_roll,0,0,21306,1}</v>
      </c>
      <c r="Q35" s="61" t="str">
        <f ca="1" t="shared" si="5"/>
        <v>{progress,0,21321,3}</v>
      </c>
      <c r="R35" s="61" t="str">
        <f ca="1" t="shared" si="6"/>
        <v>{progress,0,5401000,2}</v>
      </c>
      <c r="S35" s="62" t="str">
        <f ca="1" t="shared" si="7"/>
        <v>{progress_rate_roll,0,0,21306,1}</v>
      </c>
      <c r="T35" s="62" t="str">
        <f ca="1" t="shared" si="8"/>
        <v>{progress,0,21321,4}</v>
      </c>
      <c r="U35" s="62" t="str">
        <f ca="1" t="shared" si="9"/>
        <v>{progress,0,5401000,3}</v>
      </c>
      <c r="V35" s="63" t="str">
        <f ca="1" t="shared" ref="V35:AC35" si="31">SUBSTITUTE(IF(V$11="","{progress_rate,"&amp;V$4&amp;","&amp;V18&amp;"}",IF(V18&gt;=1,"{progress,"&amp;V$11*100&amp;","&amp;V$4&amp;","&amp;V18&amp;"}","{progress_rate_roll,"&amp;V$11*100&amp;","&amp;INT(V18*10000)&amp;","&amp;V$4&amp;","&amp;1&amp;"}")),V$4,IF(ISNUMBER(V$4),V$4,OFFSET($AG35,0,MATCH(V$4,$AG$28:$AI$28,0)-1)))</f>
        <v>{progress_rate_roll,0,0,21306,1}</v>
      </c>
      <c r="W35" s="63" t="str">
        <f ca="1" t="shared" si="31"/>
        <v>{progress,0,21321,5}</v>
      </c>
      <c r="X35" s="63" t="str">
        <f ca="1" t="shared" si="31"/>
        <v>{progress,0,5401000,4}</v>
      </c>
      <c r="Y35" s="63" t="str">
        <f ca="1" t="shared" si="15"/>
        <v>{progress_rate_roll,0,360,9,1}</v>
      </c>
      <c r="Z35" s="63" t="str">
        <f ca="1" t="shared" si="16"/>
        <v>{progress_rate_roll,0,0,30,1}</v>
      </c>
      <c r="AA35" s="62" t="str">
        <f ca="1" t="shared" si="17"/>
        <v>{progress_rate_roll,0,0,21306,1}</v>
      </c>
      <c r="AB35" s="62" t="str">
        <f ca="1" t="shared" si="18"/>
        <v>{progress,0,21321,5}</v>
      </c>
      <c r="AC35" s="62" t="str">
        <f ca="1" t="shared" si="19"/>
        <v>{progress,0,5401000,5}</v>
      </c>
      <c r="AD35" s="62" t="str">
        <f ca="1" t="shared" si="20"/>
        <v>{progress_rate_roll,0,480,9,1}</v>
      </c>
      <c r="AE35" s="62" t="str">
        <f ca="1" t="shared" si="21"/>
        <v>{progress_rate_roll,0,0,30,1}</v>
      </c>
      <c r="AG35" s="17">
        <v>21306</v>
      </c>
      <c r="AH35" s="17">
        <v>21321</v>
      </c>
      <c r="AI35">
        <v>5401000</v>
      </c>
      <c r="AK35" s="17"/>
    </row>
    <row r="36" ht="14.25" spans="2:37">
      <c r="B36">
        <v>8</v>
      </c>
      <c r="C36" t="str">
        <f ca="1" t="shared" ref="C36:K36" si="32">SUBSTITUTE(IF(C$11="","{progress_rate,"&amp;C$4&amp;","&amp;C19&amp;"}",IF(C19&gt;=1,"{progress,"&amp;C$11*100&amp;","&amp;C$4&amp;","&amp;C19&amp;"}","{progress_rate_roll,"&amp;C$11*100&amp;","&amp;INT(C19*10000)&amp;","&amp;C$4&amp;","&amp;1&amp;"}")),C$4,IF(ISNUMBER(C$4),C$4,OFFSET($AG36,0,MATCH(C$4,$AG$28:$AI$28,0)-1)))</f>
        <v>{progress_rate,2,114}</v>
      </c>
      <c r="D36" t="str">
        <f ca="1" t="shared" si="32"/>
        <v>{progress,0,2,456}</v>
      </c>
      <c r="E36" t="str">
        <f ca="1" t="shared" si="32"/>
        <v>{progress_rate,5103002,20}</v>
      </c>
      <c r="F36" t="str">
        <f ca="1" t="shared" si="32"/>
        <v>{progress,0,5103002,20}</v>
      </c>
      <c r="G36" t="str">
        <f ca="1" t="shared" si="32"/>
        <v>{progress_rate,5303001,4}</v>
      </c>
      <c r="H36" t="str">
        <f ca="1" t="shared" si="32"/>
        <v>{progress,0,5103002,40}</v>
      </c>
      <c r="I36" t="str">
        <f ca="1" t="shared" si="32"/>
        <v>{progress_rate,5203001,10}</v>
      </c>
      <c r="J36" t="str">
        <f ca="1" t="shared" si="32"/>
        <v>{progress_rate,50026,8}</v>
      </c>
      <c r="K36" t="str">
        <f ca="1" t="shared" si="32"/>
        <v>{progress,0,50026,8}</v>
      </c>
      <c r="L36" t="str">
        <f ca="1" t="shared" si="12"/>
        <v>{progress_rate,5204001,2}</v>
      </c>
      <c r="N36" s="13" t="str">
        <f ca="1" t="shared" si="3"/>
        <v>{progress,0,21322,2}</v>
      </c>
      <c r="O36" s="13" t="str">
        <f ca="1" t="shared" si="4"/>
        <v>{progress,0,5401000,1}</v>
      </c>
      <c r="P36" s="61" t="str">
        <f ca="1" t="shared" si="13"/>
        <v>{progress_rate_roll,0,0,21307,1}</v>
      </c>
      <c r="Q36" s="61" t="str">
        <f ca="1" t="shared" si="5"/>
        <v>{progress,0,21322,3}</v>
      </c>
      <c r="R36" s="61" t="str">
        <f ca="1" t="shared" si="6"/>
        <v>{progress,0,5401000,2}</v>
      </c>
      <c r="S36" s="62" t="str">
        <f ca="1" t="shared" si="7"/>
        <v>{progress_rate_roll,0,0,21307,1}</v>
      </c>
      <c r="T36" s="62" t="str">
        <f ca="1" t="shared" si="8"/>
        <v>{progress,0,21322,4}</v>
      </c>
      <c r="U36" s="62" t="str">
        <f ca="1" t="shared" si="9"/>
        <v>{progress,0,5401000,3}</v>
      </c>
      <c r="V36" s="63" t="str">
        <f ca="1" t="shared" ref="V36:AC36" si="33">SUBSTITUTE(IF(V$11="","{progress_rate,"&amp;V$4&amp;","&amp;V19&amp;"}",IF(V19&gt;=1,"{progress,"&amp;V$11*100&amp;","&amp;V$4&amp;","&amp;V19&amp;"}","{progress_rate_roll,"&amp;V$11*100&amp;","&amp;INT(V19*10000)&amp;","&amp;V$4&amp;","&amp;1&amp;"}")),V$4,IF(ISNUMBER(V$4),V$4,OFFSET($AG36,0,MATCH(V$4,$AG$28:$AI$28,0)-1)))</f>
        <v>{progress_rate_roll,0,0,21307,1}</v>
      </c>
      <c r="W36" s="63" t="str">
        <f ca="1" t="shared" si="33"/>
        <v>{progress,0,21322,5}</v>
      </c>
      <c r="X36" s="63" t="str">
        <f ca="1" t="shared" si="33"/>
        <v>{progress,0,5401000,4}</v>
      </c>
      <c r="Y36" s="63" t="str">
        <f ca="1" t="shared" si="15"/>
        <v>{progress_rate_roll,0,360,9,1}</v>
      </c>
      <c r="Z36" s="63" t="str">
        <f ca="1" t="shared" si="16"/>
        <v>{progress_rate_roll,0,0,30,1}</v>
      </c>
      <c r="AA36" s="62" t="str">
        <f ca="1" t="shared" si="17"/>
        <v>{progress_rate_roll,0,0,21307,1}</v>
      </c>
      <c r="AB36" s="62" t="str">
        <f ca="1" t="shared" si="18"/>
        <v>{progress,0,21322,5}</v>
      </c>
      <c r="AC36" s="62" t="str">
        <f ca="1" t="shared" si="19"/>
        <v>{progress,0,5401000,5}</v>
      </c>
      <c r="AD36" s="62" t="str">
        <f ca="1" t="shared" si="20"/>
        <v>{progress_rate_roll,0,480,9,1}</v>
      </c>
      <c r="AE36" s="62" t="str">
        <f ca="1" t="shared" si="21"/>
        <v>{progress_rate_roll,0,0,30,1}</v>
      </c>
      <c r="AG36" s="17">
        <v>21307</v>
      </c>
      <c r="AH36" s="17">
        <v>21322</v>
      </c>
      <c r="AI36">
        <v>5401000</v>
      </c>
      <c r="AK36" s="17"/>
    </row>
    <row r="37" ht="14.25" spans="2:37">
      <c r="B37">
        <v>9</v>
      </c>
      <c r="C37" t="str">
        <f ca="1" t="shared" ref="C37:K37" si="34">SUBSTITUTE(IF(C$11="","{progress_rate,"&amp;C$4&amp;","&amp;C20&amp;"}",IF(C20&gt;=1,"{progress,"&amp;C$11*100&amp;","&amp;C$4&amp;","&amp;C20&amp;"}","{progress_rate_roll,"&amp;C$11*100&amp;","&amp;INT(C20*10000)&amp;","&amp;C$4&amp;","&amp;1&amp;"}")),C$4,IF(ISNUMBER(C$4),C$4,OFFSET($AG37,0,MATCH(C$4,$AG$28:$AI$28,0)-1)))</f>
        <v>{progress_rate,2,119}</v>
      </c>
      <c r="D37" t="str">
        <f ca="1" t="shared" si="34"/>
        <v>{progress,0,2,476}</v>
      </c>
      <c r="E37" t="str">
        <f ca="1" t="shared" si="34"/>
        <v>{progress_rate,5103002,20}</v>
      </c>
      <c r="F37" t="str">
        <f ca="1" t="shared" si="34"/>
        <v>{progress,0,5103002,20}</v>
      </c>
      <c r="G37" t="str">
        <f ca="1" t="shared" si="34"/>
        <v>{progress_rate,5303001,4}</v>
      </c>
      <c r="H37" t="str">
        <f ca="1" t="shared" si="34"/>
        <v>{progress,0,5103002,40}</v>
      </c>
      <c r="I37" t="str">
        <f ca="1" t="shared" si="34"/>
        <v>{progress_rate,5203001,10}</v>
      </c>
      <c r="J37" t="str">
        <f ca="1" t="shared" si="34"/>
        <v>{progress_rate,50026,8}</v>
      </c>
      <c r="K37" t="str">
        <f ca="1" t="shared" si="34"/>
        <v>{progress,0,50026,8}</v>
      </c>
      <c r="L37" t="str">
        <f ca="1" t="shared" si="12"/>
        <v>{progress_rate,5204001,2}</v>
      </c>
      <c r="N37" s="13" t="str">
        <f ca="1" t="shared" si="3"/>
        <v>{progress,0,21323,2}</v>
      </c>
      <c r="O37" s="13" t="str">
        <f ca="1" t="shared" si="4"/>
        <v>{progress,0,5401000,1}</v>
      </c>
      <c r="P37" s="61" t="str">
        <f ca="1" t="shared" si="13"/>
        <v>{progress_rate_roll,0,0,21308,1}</v>
      </c>
      <c r="Q37" s="61" t="str">
        <f ca="1" t="shared" si="5"/>
        <v>{progress,0,21323,3}</v>
      </c>
      <c r="R37" s="61" t="str">
        <f ca="1" t="shared" si="6"/>
        <v>{progress,0,5401000,2}</v>
      </c>
      <c r="S37" s="62" t="str">
        <f ca="1" t="shared" si="7"/>
        <v>{progress_rate_roll,0,0,21308,1}</v>
      </c>
      <c r="T37" s="62" t="str">
        <f ca="1" t="shared" si="8"/>
        <v>{progress,0,21323,4}</v>
      </c>
      <c r="U37" s="62" t="str">
        <f ca="1" t="shared" si="9"/>
        <v>{progress,0,5401000,3}</v>
      </c>
      <c r="V37" s="63" t="str">
        <f ca="1" t="shared" ref="V37:AC37" si="35">SUBSTITUTE(IF(V$11="","{progress_rate,"&amp;V$4&amp;","&amp;V20&amp;"}",IF(V20&gt;=1,"{progress,"&amp;V$11*100&amp;","&amp;V$4&amp;","&amp;V20&amp;"}","{progress_rate_roll,"&amp;V$11*100&amp;","&amp;INT(V20*10000)&amp;","&amp;V$4&amp;","&amp;1&amp;"}")),V$4,IF(ISNUMBER(V$4),V$4,OFFSET($AG37,0,MATCH(V$4,$AG$28:$AI$28,0)-1)))</f>
        <v>{progress_rate_roll,0,0,21308,1}</v>
      </c>
      <c r="W37" s="63" t="str">
        <f ca="1" t="shared" si="35"/>
        <v>{progress,0,21323,5}</v>
      </c>
      <c r="X37" s="63" t="str">
        <f ca="1" t="shared" si="35"/>
        <v>{progress,0,5401000,4}</v>
      </c>
      <c r="Y37" s="63" t="str">
        <f ca="1" t="shared" si="15"/>
        <v>{progress_rate_roll,0,360,9,1}</v>
      </c>
      <c r="Z37" s="63" t="str">
        <f ca="1" t="shared" si="16"/>
        <v>{progress_rate_roll,0,0,30,1}</v>
      </c>
      <c r="AA37" s="62" t="str">
        <f ca="1" t="shared" si="17"/>
        <v>{progress_rate_roll,0,0,21308,1}</v>
      </c>
      <c r="AB37" s="62" t="str">
        <f ca="1" t="shared" si="18"/>
        <v>{progress,0,21323,5}</v>
      </c>
      <c r="AC37" s="62" t="str">
        <f ca="1" t="shared" si="19"/>
        <v>{progress,0,5401000,5}</v>
      </c>
      <c r="AD37" s="62" t="str">
        <f ca="1" t="shared" si="20"/>
        <v>{progress_rate_roll,0,480,9,1}</v>
      </c>
      <c r="AE37" s="62" t="str">
        <f ca="1" t="shared" si="21"/>
        <v>{progress_rate_roll,0,0,30,1}</v>
      </c>
      <c r="AG37" s="17">
        <v>21308</v>
      </c>
      <c r="AH37" s="17">
        <v>21323</v>
      </c>
      <c r="AI37">
        <v>5401000</v>
      </c>
      <c r="AK37" s="17"/>
    </row>
    <row r="38" ht="14.25" spans="2:37">
      <c r="B38">
        <v>10</v>
      </c>
      <c r="C38" t="str">
        <f ca="1" t="shared" ref="C38:K38" si="36">SUBSTITUTE(IF(C$11="","{progress_rate,"&amp;C$4&amp;","&amp;C21&amp;"}",IF(C21&gt;=1,"{progress,"&amp;C$11*100&amp;","&amp;C$4&amp;","&amp;C21&amp;"}","{progress_rate_roll,"&amp;C$11*100&amp;","&amp;INT(C21*10000)&amp;","&amp;C$4&amp;","&amp;1&amp;"}")),C$4,IF(ISNUMBER(C$4),C$4,OFFSET($AG38,0,MATCH(C$4,$AG$28:$AI$28,0)-1)))</f>
        <v>{progress_rate,2,124}</v>
      </c>
      <c r="D38" t="str">
        <f ca="1" t="shared" si="36"/>
        <v>{progress,0,2,496}</v>
      </c>
      <c r="E38" t="str">
        <f ca="1" t="shared" si="36"/>
        <v>{progress_rate,5103002,20}</v>
      </c>
      <c r="F38" t="str">
        <f ca="1" t="shared" si="36"/>
        <v>{progress,0,5103002,20}</v>
      </c>
      <c r="G38" t="str">
        <f ca="1" t="shared" si="36"/>
        <v>{progress_rate,5303001,4}</v>
      </c>
      <c r="H38" t="str">
        <f ca="1" t="shared" si="36"/>
        <v>{progress,0,5103002,40}</v>
      </c>
      <c r="I38" t="str">
        <f ca="1" t="shared" si="36"/>
        <v>{progress_rate,5203001,10}</v>
      </c>
      <c r="J38" t="str">
        <f ca="1" t="shared" si="36"/>
        <v>{progress_rate,50026,8}</v>
      </c>
      <c r="K38" t="str">
        <f ca="1" t="shared" si="36"/>
        <v>{progress,0,50026,8}</v>
      </c>
      <c r="L38" t="str">
        <f ca="1" t="shared" si="12"/>
        <v>{progress_rate,5204001,2}</v>
      </c>
      <c r="N38" s="13" t="str">
        <f ca="1" t="shared" si="3"/>
        <v>{progress,0,21324,2}</v>
      </c>
      <c r="O38" s="13" t="str">
        <f ca="1" t="shared" si="4"/>
        <v>{progress,0,5401000,1}</v>
      </c>
      <c r="P38" s="61" t="str">
        <f ca="1" t="shared" si="13"/>
        <v>{progress_rate_roll,0,0,21309,1}</v>
      </c>
      <c r="Q38" s="61" t="str">
        <f ca="1" t="shared" si="5"/>
        <v>{progress,0,21324,3}</v>
      </c>
      <c r="R38" s="61" t="str">
        <f ca="1" t="shared" si="6"/>
        <v>{progress,0,5401000,2}</v>
      </c>
      <c r="S38" s="62" t="str">
        <f ca="1" t="shared" si="7"/>
        <v>{progress_rate_roll,0,0,21309,1}</v>
      </c>
      <c r="T38" s="62" t="str">
        <f ca="1" t="shared" si="8"/>
        <v>{progress,0,21324,4}</v>
      </c>
      <c r="U38" s="62" t="str">
        <f ca="1" t="shared" si="9"/>
        <v>{progress,0,5401000,3}</v>
      </c>
      <c r="V38" s="63" t="str">
        <f ca="1" t="shared" ref="V38:AC38" si="37">SUBSTITUTE(IF(V$11="","{progress_rate,"&amp;V$4&amp;","&amp;V21&amp;"}",IF(V21&gt;=1,"{progress,"&amp;V$11*100&amp;","&amp;V$4&amp;","&amp;V21&amp;"}","{progress_rate_roll,"&amp;V$11*100&amp;","&amp;INT(V21*10000)&amp;","&amp;V$4&amp;","&amp;1&amp;"}")),V$4,IF(ISNUMBER(V$4),V$4,OFFSET($AG38,0,MATCH(V$4,$AG$28:$AI$28,0)-1)))</f>
        <v>{progress_rate_roll,0,0,21309,1}</v>
      </c>
      <c r="W38" s="63" t="str">
        <f ca="1" t="shared" si="37"/>
        <v>{progress,0,21324,5}</v>
      </c>
      <c r="X38" s="63" t="str">
        <f ca="1" t="shared" si="37"/>
        <v>{progress,0,5401000,4}</v>
      </c>
      <c r="Y38" s="63" t="str">
        <f ca="1" t="shared" si="15"/>
        <v>{progress_rate_roll,0,360,9,1}</v>
      </c>
      <c r="Z38" s="63" t="str">
        <f ca="1" t="shared" si="16"/>
        <v>{progress_rate_roll,0,0,30,1}</v>
      </c>
      <c r="AA38" s="62" t="str">
        <f ca="1" t="shared" si="17"/>
        <v>{progress_rate_roll,0,0,21309,1}</v>
      </c>
      <c r="AB38" s="62" t="str">
        <f ca="1" t="shared" si="18"/>
        <v>{progress,0,21324,5}</v>
      </c>
      <c r="AC38" s="62" t="str">
        <f ca="1" t="shared" si="19"/>
        <v>{progress,0,5401000,5}</v>
      </c>
      <c r="AD38" s="62" t="str">
        <f ca="1" t="shared" si="20"/>
        <v>{progress_rate_roll,0,480,9,1}</v>
      </c>
      <c r="AE38" s="62" t="str">
        <f ca="1" t="shared" si="21"/>
        <v>{progress_rate_roll,0,0,30,1}</v>
      </c>
      <c r="AG38" s="17">
        <v>21309</v>
      </c>
      <c r="AH38" s="17">
        <v>21324</v>
      </c>
      <c r="AI38">
        <v>5401000</v>
      </c>
      <c r="AK38" s="17"/>
    </row>
    <row r="39" ht="14.25" spans="2:37">
      <c r="B39">
        <v>11</v>
      </c>
      <c r="C39" t="str">
        <f ca="1" t="shared" ref="C39:K39" si="38">SUBSTITUTE(IF(C$11="","{progress_rate,"&amp;C$4&amp;","&amp;C22&amp;"}",IF(C22&gt;=1,"{progress,"&amp;C$11*100&amp;","&amp;C$4&amp;","&amp;C22&amp;"}","{progress_rate_roll,"&amp;C$11*100&amp;","&amp;INT(C22*10000)&amp;","&amp;C$4&amp;","&amp;1&amp;"}")),C$4,IF(ISNUMBER(C$4),C$4,OFFSET($AG39,0,MATCH(C$4,$AG$28:$AI$28,0)-1)))</f>
        <v>{progress_rate,2,129}</v>
      </c>
      <c r="D39" t="str">
        <f ca="1" t="shared" si="38"/>
        <v>{progress,0,2,516}</v>
      </c>
      <c r="E39" t="str">
        <f ca="1" t="shared" si="38"/>
        <v>{progress_rate,5103002,20}</v>
      </c>
      <c r="F39" t="str">
        <f ca="1" t="shared" si="38"/>
        <v>{progress,0,5103002,20}</v>
      </c>
      <c r="G39" t="str">
        <f ca="1" t="shared" si="38"/>
        <v>{progress_rate,5303001,4}</v>
      </c>
      <c r="H39" t="str">
        <f ca="1" t="shared" si="38"/>
        <v>{progress,0,5103002,40}</v>
      </c>
      <c r="I39" t="str">
        <f ca="1" t="shared" si="38"/>
        <v>{progress_rate,5203001,10}</v>
      </c>
      <c r="J39" t="str">
        <f ca="1" t="shared" si="38"/>
        <v>{progress_rate,50026,8}</v>
      </c>
      <c r="K39" t="str">
        <f ca="1" t="shared" si="38"/>
        <v>{progress,0,50026,8}</v>
      </c>
      <c r="L39" t="str">
        <f ca="1" t="shared" si="12"/>
        <v>{progress_rate,5204001,2}</v>
      </c>
      <c r="N39" s="13" t="str">
        <f ca="1" t="shared" si="3"/>
        <v>{progress,0,21325,2}</v>
      </c>
      <c r="O39" s="13" t="str">
        <f ca="1" t="shared" si="4"/>
        <v>{progress,0,5401000,1}</v>
      </c>
      <c r="P39" s="61" t="str">
        <f ca="1" t="shared" si="13"/>
        <v>{progress_rate_roll,0,0,21310,1}</v>
      </c>
      <c r="Q39" s="61" t="str">
        <f ca="1" t="shared" si="5"/>
        <v>{progress,0,21325,3}</v>
      </c>
      <c r="R39" s="61" t="str">
        <f ca="1" t="shared" si="6"/>
        <v>{progress,0,5401000,2}</v>
      </c>
      <c r="S39" s="62" t="str">
        <f ca="1" t="shared" si="7"/>
        <v>{progress_rate_roll,0,0,21310,1}</v>
      </c>
      <c r="T39" s="62" t="str">
        <f ca="1" t="shared" si="8"/>
        <v>{progress,0,21325,4}</v>
      </c>
      <c r="U39" s="62" t="str">
        <f ca="1" t="shared" si="9"/>
        <v>{progress,0,5401000,3}</v>
      </c>
      <c r="V39" s="63" t="str">
        <f ca="1" t="shared" ref="V39:AC39" si="39">SUBSTITUTE(IF(V$11="","{progress_rate,"&amp;V$4&amp;","&amp;V22&amp;"}",IF(V22&gt;=1,"{progress,"&amp;V$11*100&amp;","&amp;V$4&amp;","&amp;V22&amp;"}","{progress_rate_roll,"&amp;V$11*100&amp;","&amp;INT(V22*10000)&amp;","&amp;V$4&amp;","&amp;1&amp;"}")),V$4,IF(ISNUMBER(V$4),V$4,OFFSET($AG39,0,MATCH(V$4,$AG$28:$AI$28,0)-1)))</f>
        <v>{progress_rate_roll,0,0,21310,1}</v>
      </c>
      <c r="W39" s="63" t="str">
        <f ca="1" t="shared" si="39"/>
        <v>{progress,0,21325,5}</v>
      </c>
      <c r="X39" s="63" t="str">
        <f ca="1" t="shared" si="39"/>
        <v>{progress,0,5401000,4}</v>
      </c>
      <c r="Y39" s="63" t="str">
        <f ca="1" t="shared" si="15"/>
        <v>{progress_rate_roll,0,360,9,1}</v>
      </c>
      <c r="Z39" s="63" t="str">
        <f ca="1" t="shared" si="16"/>
        <v>{progress_rate_roll,0,0,30,1}</v>
      </c>
      <c r="AA39" s="62" t="str">
        <f ca="1" t="shared" si="17"/>
        <v>{progress_rate_roll,0,0,21310,1}</v>
      </c>
      <c r="AB39" s="62" t="str">
        <f ca="1" t="shared" si="18"/>
        <v>{progress,0,21325,5}</v>
      </c>
      <c r="AC39" s="62" t="str">
        <f ca="1" t="shared" si="19"/>
        <v>{progress,0,5401000,5}</v>
      </c>
      <c r="AD39" s="62" t="str">
        <f ca="1" t="shared" si="20"/>
        <v>{progress_rate_roll,0,480,9,1}</v>
      </c>
      <c r="AE39" s="62" t="str">
        <f ca="1" t="shared" si="21"/>
        <v>{progress_rate_roll,0,0,30,1}</v>
      </c>
      <c r="AG39" s="17">
        <v>21310</v>
      </c>
      <c r="AH39" s="17">
        <v>21325</v>
      </c>
      <c r="AI39">
        <v>5401000</v>
      </c>
      <c r="AK39" s="17"/>
    </row>
    <row r="40" ht="14.25" spans="2:37">
      <c r="B40">
        <v>12</v>
      </c>
      <c r="C40" t="str">
        <f ca="1" t="shared" ref="C40:K40" si="40">SUBSTITUTE(IF(C$11="","{progress_rate,"&amp;C$4&amp;","&amp;C23&amp;"}",IF(C23&gt;=1,"{progress,"&amp;C$11*100&amp;","&amp;C$4&amp;","&amp;C23&amp;"}","{progress_rate_roll,"&amp;C$11*100&amp;","&amp;INT(C23*10000)&amp;","&amp;C$4&amp;","&amp;1&amp;"}")),C$4,IF(ISNUMBER(C$4),C$4,OFFSET($AG40,0,MATCH(C$4,$AG$28:$AI$28,0)-1)))</f>
        <v>{progress_rate,2,134}</v>
      </c>
      <c r="D40" t="str">
        <f ca="1" t="shared" si="40"/>
        <v>{progress,0,2,536}</v>
      </c>
      <c r="E40" t="str">
        <f ca="1" t="shared" si="40"/>
        <v>{progress_rate,5103002,20}</v>
      </c>
      <c r="F40" t="str">
        <f ca="1" t="shared" si="40"/>
        <v>{progress,0,5103002,20}</v>
      </c>
      <c r="G40" t="str">
        <f ca="1" t="shared" si="40"/>
        <v>{progress_rate,5303001,4}</v>
      </c>
      <c r="H40" t="str">
        <f ca="1" t="shared" si="40"/>
        <v>{progress,0,5103002,40}</v>
      </c>
      <c r="I40" t="str">
        <f ca="1" t="shared" si="40"/>
        <v>{progress_rate,5203001,10}</v>
      </c>
      <c r="J40" t="str">
        <f ca="1" t="shared" si="40"/>
        <v>{progress_rate,50026,8}</v>
      </c>
      <c r="K40" t="str">
        <f ca="1" t="shared" si="40"/>
        <v>{progress,0,50026,8}</v>
      </c>
      <c r="L40" t="str">
        <f ca="1" t="shared" si="12"/>
        <v>{progress_rate,5204001,2}</v>
      </c>
      <c r="N40" s="13" t="str">
        <f ca="1" t="shared" si="3"/>
        <v>{progress,0,21326,2}</v>
      </c>
      <c r="O40" s="13" t="str">
        <f ca="1" t="shared" si="4"/>
        <v>{progress,0,5401000,1}</v>
      </c>
      <c r="P40" s="61" t="str">
        <f ca="1" t="shared" si="13"/>
        <v>{progress_rate_roll,0,0,21311,1}</v>
      </c>
      <c r="Q40" s="61" t="str">
        <f ca="1" t="shared" si="5"/>
        <v>{progress,0,21326,3}</v>
      </c>
      <c r="R40" s="61" t="str">
        <f ca="1" t="shared" si="6"/>
        <v>{progress,0,5401000,2}</v>
      </c>
      <c r="S40" s="62" t="str">
        <f ca="1" t="shared" si="7"/>
        <v>{progress_rate_roll,0,0,21311,1}</v>
      </c>
      <c r="T40" s="62" t="str">
        <f ca="1" t="shared" si="8"/>
        <v>{progress,0,21326,4}</v>
      </c>
      <c r="U40" s="62" t="str">
        <f ca="1" t="shared" si="9"/>
        <v>{progress,0,5401000,3}</v>
      </c>
      <c r="V40" s="63" t="str">
        <f ca="1" t="shared" ref="V40:AC40" si="41">SUBSTITUTE(IF(V$11="","{progress_rate,"&amp;V$4&amp;","&amp;V23&amp;"}",IF(V23&gt;=1,"{progress,"&amp;V$11*100&amp;","&amp;V$4&amp;","&amp;V23&amp;"}","{progress_rate_roll,"&amp;V$11*100&amp;","&amp;INT(V23*10000)&amp;","&amp;V$4&amp;","&amp;1&amp;"}")),V$4,IF(ISNUMBER(V$4),V$4,OFFSET($AG40,0,MATCH(V$4,$AG$28:$AI$28,0)-1)))</f>
        <v>{progress_rate_roll,0,0,21311,1}</v>
      </c>
      <c r="W40" s="63" t="str">
        <f ca="1" t="shared" si="41"/>
        <v>{progress,0,21326,5}</v>
      </c>
      <c r="X40" s="63" t="str">
        <f ca="1" t="shared" si="41"/>
        <v>{progress,0,5401000,4}</v>
      </c>
      <c r="Y40" s="63" t="str">
        <f ca="1" t="shared" si="15"/>
        <v>{progress_rate_roll,0,360,9,1}</v>
      </c>
      <c r="Z40" s="63" t="str">
        <f ca="1" t="shared" si="16"/>
        <v>{progress_rate_roll,0,0,30,1}</v>
      </c>
      <c r="AA40" s="62" t="str">
        <f ca="1" t="shared" si="17"/>
        <v>{progress_rate_roll,0,0,21311,1}</v>
      </c>
      <c r="AB40" s="62" t="str">
        <f ca="1" t="shared" si="18"/>
        <v>{progress,0,21326,5}</v>
      </c>
      <c r="AC40" s="62" t="str">
        <f ca="1" t="shared" si="19"/>
        <v>{progress,0,5401000,5}</v>
      </c>
      <c r="AD40" s="62" t="str">
        <f ca="1" t="shared" si="20"/>
        <v>{progress_rate_roll,0,480,9,1}</v>
      </c>
      <c r="AE40" s="62" t="str">
        <f ca="1" t="shared" si="21"/>
        <v>{progress_rate_roll,0,0,30,1}</v>
      </c>
      <c r="AG40" s="17">
        <v>21311</v>
      </c>
      <c r="AH40" s="17">
        <v>21326</v>
      </c>
      <c r="AI40">
        <v>5401000</v>
      </c>
      <c r="AK40" s="17"/>
    </row>
    <row r="41" ht="14.25" spans="2:37">
      <c r="B41">
        <v>13</v>
      </c>
      <c r="C41" t="str">
        <f ca="1" t="shared" ref="C41:K41" si="42">SUBSTITUTE(IF(C$11="","{progress_rate,"&amp;C$4&amp;","&amp;C24&amp;"}",IF(C24&gt;=1,"{progress,"&amp;C$11*100&amp;","&amp;C$4&amp;","&amp;C24&amp;"}","{progress_rate_roll,"&amp;C$11*100&amp;","&amp;INT(C24*10000)&amp;","&amp;C$4&amp;","&amp;1&amp;"}")),C$4,IF(ISNUMBER(C$4),C$4,OFFSET($AG41,0,MATCH(C$4,$AG$28:$AI$28,0)-1)))</f>
        <v>{progress_rate,2,139}</v>
      </c>
      <c r="D41" t="str">
        <f ca="1" t="shared" si="42"/>
        <v>{progress,0,2,556}</v>
      </c>
      <c r="E41" t="str">
        <f ca="1" t="shared" si="42"/>
        <v>{progress_rate,5103002,20}</v>
      </c>
      <c r="F41" t="str">
        <f ca="1" t="shared" si="42"/>
        <v>{progress,0,5103002,20}</v>
      </c>
      <c r="G41" t="str">
        <f ca="1" t="shared" si="42"/>
        <v>{progress_rate,5303001,4}</v>
      </c>
      <c r="H41" t="str">
        <f ca="1" t="shared" si="42"/>
        <v>{progress,0,5103002,40}</v>
      </c>
      <c r="I41" t="str">
        <f ca="1" t="shared" si="42"/>
        <v>{progress_rate,5203001,10}</v>
      </c>
      <c r="J41" t="str">
        <f ca="1" t="shared" si="42"/>
        <v>{progress_rate,50026,8}</v>
      </c>
      <c r="K41" t="str">
        <f ca="1" t="shared" si="42"/>
        <v>{progress,0,50026,8}</v>
      </c>
      <c r="L41" t="str">
        <f ca="1" t="shared" si="12"/>
        <v>{progress_rate,5204001,2}</v>
      </c>
      <c r="N41" s="13" t="str">
        <f ca="1" t="shared" si="3"/>
        <v>{progress,0,21327,2}</v>
      </c>
      <c r="O41" s="13" t="str">
        <f ca="1" t="shared" si="4"/>
        <v>{progress,0,5401000,1}</v>
      </c>
      <c r="P41" s="61" t="str">
        <f ca="1" t="shared" si="13"/>
        <v>{progress_rate_roll,0,0,21312,1}</v>
      </c>
      <c r="Q41" s="61" t="str">
        <f ca="1" t="shared" si="5"/>
        <v>{progress,0,21327,3}</v>
      </c>
      <c r="R41" s="61" t="str">
        <f ca="1" t="shared" si="6"/>
        <v>{progress,0,5401000,2}</v>
      </c>
      <c r="S41" s="62" t="str">
        <f ca="1" t="shared" si="7"/>
        <v>{progress_rate_roll,0,0,21312,1}</v>
      </c>
      <c r="T41" s="62" t="str">
        <f ca="1" t="shared" si="8"/>
        <v>{progress,0,21327,4}</v>
      </c>
      <c r="U41" s="62" t="str">
        <f ca="1" t="shared" si="9"/>
        <v>{progress,0,5401000,3}</v>
      </c>
      <c r="V41" s="63" t="str">
        <f ca="1" t="shared" ref="V41:AC41" si="43">SUBSTITUTE(IF(V$11="","{progress_rate,"&amp;V$4&amp;","&amp;V24&amp;"}",IF(V24&gt;=1,"{progress,"&amp;V$11*100&amp;","&amp;V$4&amp;","&amp;V24&amp;"}","{progress_rate_roll,"&amp;V$11*100&amp;","&amp;INT(V24*10000)&amp;","&amp;V$4&amp;","&amp;1&amp;"}")),V$4,IF(ISNUMBER(V$4),V$4,OFFSET($AG41,0,MATCH(V$4,$AG$28:$AI$28,0)-1)))</f>
        <v>{progress_rate_roll,0,0,21312,1}</v>
      </c>
      <c r="W41" s="63" t="str">
        <f ca="1" t="shared" si="43"/>
        <v>{progress,0,21327,5}</v>
      </c>
      <c r="X41" s="63" t="str">
        <f ca="1" t="shared" si="43"/>
        <v>{progress,0,5401000,4}</v>
      </c>
      <c r="Y41" s="63" t="str">
        <f ca="1" t="shared" si="15"/>
        <v>{progress_rate_roll,0,360,9,1}</v>
      </c>
      <c r="Z41" s="63" t="str">
        <f ca="1" t="shared" si="16"/>
        <v>{progress_rate_roll,0,0,30,1}</v>
      </c>
      <c r="AA41" s="62" t="str">
        <f ca="1" t="shared" si="17"/>
        <v>{progress_rate_roll,0,0,21312,1}</v>
      </c>
      <c r="AB41" s="62" t="str">
        <f ca="1" t="shared" si="18"/>
        <v>{progress,0,21327,5}</v>
      </c>
      <c r="AC41" s="62" t="str">
        <f ca="1" t="shared" si="19"/>
        <v>{progress,0,5401000,5}</v>
      </c>
      <c r="AD41" s="62" t="str">
        <f ca="1" t="shared" si="20"/>
        <v>{progress_rate_roll,0,480,9,1}</v>
      </c>
      <c r="AE41" s="62" t="str">
        <f ca="1" t="shared" si="21"/>
        <v>{progress_rate_roll,0,0,30,1}</v>
      </c>
      <c r="AG41" s="17">
        <v>21312</v>
      </c>
      <c r="AH41" s="17">
        <v>21327</v>
      </c>
      <c r="AI41">
        <v>5401000</v>
      </c>
      <c r="AK41" s="17"/>
    </row>
    <row r="42" ht="14.25" spans="2:37">
      <c r="B42">
        <v>14</v>
      </c>
      <c r="C42" t="str">
        <f ca="1" t="shared" ref="C42:K42" si="44">SUBSTITUTE(IF(C$11="","{progress_rate,"&amp;C$4&amp;","&amp;C25&amp;"}",IF(C25&gt;=1,"{progress,"&amp;C$11*100&amp;","&amp;C$4&amp;","&amp;C25&amp;"}","{progress_rate_roll,"&amp;C$11*100&amp;","&amp;INT(C25*10000)&amp;","&amp;C$4&amp;","&amp;1&amp;"}")),C$4,IF(ISNUMBER(C$4),C$4,OFFSET($AG42,0,MATCH(C$4,$AG$28:$AI$28,0)-1)))</f>
        <v>{progress_rate,2,144}</v>
      </c>
      <c r="D42" t="str">
        <f ca="1" t="shared" si="44"/>
        <v>{progress,0,2,576}</v>
      </c>
      <c r="E42" t="str">
        <f ca="1" t="shared" si="44"/>
        <v>{progress_rate,5103002,20}</v>
      </c>
      <c r="F42" t="str">
        <f ca="1" t="shared" si="44"/>
        <v>{progress,0,5103002,20}</v>
      </c>
      <c r="G42" t="str">
        <f ca="1" t="shared" si="44"/>
        <v>{progress_rate,5303001,4}</v>
      </c>
      <c r="H42" t="str">
        <f ca="1" t="shared" si="44"/>
        <v>{progress,0,5103002,40}</v>
      </c>
      <c r="I42" t="str">
        <f ca="1" t="shared" si="44"/>
        <v>{progress_rate,5203001,10}</v>
      </c>
      <c r="J42" t="str">
        <f ca="1" t="shared" si="44"/>
        <v>{progress_rate,50026,8}</v>
      </c>
      <c r="K42" t="str">
        <f ca="1" t="shared" si="44"/>
        <v>{progress,0,50026,8}</v>
      </c>
      <c r="L42" t="str">
        <f ca="1" t="shared" si="12"/>
        <v>{progress_rate,5204001,2}</v>
      </c>
      <c r="N42" s="13" t="str">
        <f ca="1" t="shared" si="3"/>
        <v>{progress,0,21328,2}</v>
      </c>
      <c r="O42" s="13" t="str">
        <f ca="1" t="shared" si="4"/>
        <v>{progress,0,5401000,1}</v>
      </c>
      <c r="P42" s="61" t="str">
        <f ca="1" t="shared" si="13"/>
        <v>{progress_rate_roll,0,0,21313,1}</v>
      </c>
      <c r="Q42" s="61" t="str">
        <f ca="1" t="shared" si="5"/>
        <v>{progress,0,21328,3}</v>
      </c>
      <c r="R42" s="61" t="str">
        <f ca="1" t="shared" si="6"/>
        <v>{progress,0,5401000,2}</v>
      </c>
      <c r="S42" s="62" t="str">
        <f ca="1" t="shared" si="7"/>
        <v>{progress_rate_roll,0,0,21313,1}</v>
      </c>
      <c r="T42" s="62" t="str">
        <f ca="1" t="shared" si="8"/>
        <v>{progress,0,21328,4}</v>
      </c>
      <c r="U42" s="62" t="str">
        <f ca="1" t="shared" si="9"/>
        <v>{progress,0,5401000,3}</v>
      </c>
      <c r="V42" s="63" t="str">
        <f ca="1" t="shared" ref="V42:AC42" si="45">SUBSTITUTE(IF(V$11="","{progress_rate,"&amp;V$4&amp;","&amp;V25&amp;"}",IF(V25&gt;=1,"{progress,"&amp;V$11*100&amp;","&amp;V$4&amp;","&amp;V25&amp;"}","{progress_rate_roll,"&amp;V$11*100&amp;","&amp;INT(V25*10000)&amp;","&amp;V$4&amp;","&amp;1&amp;"}")),V$4,IF(ISNUMBER(V$4),V$4,OFFSET($AG42,0,MATCH(V$4,$AG$28:$AI$28,0)-1)))</f>
        <v>{progress_rate_roll,0,0,21313,1}</v>
      </c>
      <c r="W42" s="63" t="str">
        <f ca="1" t="shared" si="45"/>
        <v>{progress,0,21328,5}</v>
      </c>
      <c r="X42" s="63" t="str">
        <f ca="1" t="shared" si="45"/>
        <v>{progress,0,5401000,4}</v>
      </c>
      <c r="Y42" s="63" t="str">
        <f ca="1" t="shared" si="15"/>
        <v>{progress_rate_roll,0,360,9,1}</v>
      </c>
      <c r="Z42" s="63" t="str">
        <f ca="1" t="shared" si="16"/>
        <v>{progress_rate_roll,0,0,30,1}</v>
      </c>
      <c r="AA42" s="62" t="str">
        <f ca="1" t="shared" si="17"/>
        <v>{progress_rate_roll,0,0,21313,1}</v>
      </c>
      <c r="AB42" s="62" t="str">
        <f ca="1" t="shared" si="18"/>
        <v>{progress,0,21328,5}</v>
      </c>
      <c r="AC42" s="62" t="str">
        <f ca="1" t="shared" si="19"/>
        <v>{progress,0,5401000,5}</v>
      </c>
      <c r="AD42" s="62" t="str">
        <f ca="1" t="shared" si="20"/>
        <v>{progress_rate_roll,0,480,9,1}</v>
      </c>
      <c r="AE42" s="62" t="str">
        <f ca="1" t="shared" si="21"/>
        <v>{progress_rate_roll,0,0,30,1}</v>
      </c>
      <c r="AG42" s="17">
        <v>21313</v>
      </c>
      <c r="AH42" s="17">
        <v>21328</v>
      </c>
      <c r="AI42">
        <v>5401000</v>
      </c>
      <c r="AK42" s="17"/>
    </row>
    <row r="43" ht="14.25" spans="2:37">
      <c r="B43">
        <v>15</v>
      </c>
      <c r="C43" t="str">
        <f ca="1" t="shared" ref="C43:K43" si="46">SUBSTITUTE(IF(C$11="","{progress_rate,"&amp;C$4&amp;","&amp;C26&amp;"}",IF(C26&gt;=1,"{progress,"&amp;C$11*100&amp;","&amp;C$4&amp;","&amp;C26&amp;"}","{progress_rate_roll,"&amp;C$11*100&amp;","&amp;INT(C26*10000)&amp;","&amp;C$4&amp;","&amp;1&amp;"}")),C$4,IF(ISNUMBER(C$4),C$4,OFFSET($AG43,0,MATCH(C$4,$AG$28:$AI$28,0)-1)))</f>
        <v>{progress_rate,2,149}</v>
      </c>
      <c r="D43" t="str">
        <f ca="1" t="shared" si="46"/>
        <v>{progress,0,2,596}</v>
      </c>
      <c r="E43" t="str">
        <f ca="1" t="shared" si="46"/>
        <v>{progress_rate,5103002,20}</v>
      </c>
      <c r="F43" t="str">
        <f ca="1" t="shared" si="46"/>
        <v>{progress,0,5103002,20}</v>
      </c>
      <c r="G43" t="str">
        <f ca="1" t="shared" si="46"/>
        <v>{progress_rate,5303001,4}</v>
      </c>
      <c r="H43" t="str">
        <f ca="1" t="shared" si="46"/>
        <v>{progress,0,5103002,40}</v>
      </c>
      <c r="I43" t="str">
        <f ca="1" t="shared" si="46"/>
        <v>{progress_rate,5203001,10}</v>
      </c>
      <c r="J43" t="str">
        <f ca="1" t="shared" si="46"/>
        <v>{progress_rate,50026,8}</v>
      </c>
      <c r="K43" t="str">
        <f ca="1" t="shared" si="46"/>
        <v>{progress,0,50026,8}</v>
      </c>
      <c r="L43" t="str">
        <f ca="1" t="shared" si="12"/>
        <v>{progress_rate,5204001,2}</v>
      </c>
      <c r="N43" s="13" t="str">
        <f ca="1" t="shared" si="3"/>
        <v>{progress,0,21329,2}</v>
      </c>
      <c r="O43" s="13" t="str">
        <f ca="1" t="shared" si="4"/>
        <v>{progress,0,5401000,1}</v>
      </c>
      <c r="P43" s="61" t="str">
        <f ca="1" t="shared" si="13"/>
        <v>{progress_rate_roll,0,0,21314,1}</v>
      </c>
      <c r="Q43" s="61" t="str">
        <f ca="1" t="shared" si="5"/>
        <v>{progress,0,21329,3}</v>
      </c>
      <c r="R43" s="61" t="str">
        <f ca="1" t="shared" si="6"/>
        <v>{progress,0,5401000,2}</v>
      </c>
      <c r="S43" s="62" t="str">
        <f ca="1" t="shared" si="7"/>
        <v>{progress_rate_roll,0,0,21314,1}</v>
      </c>
      <c r="T43" s="62" t="str">
        <f ca="1" t="shared" si="8"/>
        <v>{progress,0,21329,4}</v>
      </c>
      <c r="U43" s="62" t="str">
        <f ca="1" t="shared" si="9"/>
        <v>{progress,0,5401000,3}</v>
      </c>
      <c r="V43" s="63" t="str">
        <f ca="1" t="shared" ref="V43:AC43" si="47">SUBSTITUTE(IF(V$11="","{progress_rate,"&amp;V$4&amp;","&amp;V26&amp;"}",IF(V26&gt;=1,"{progress,"&amp;V$11*100&amp;","&amp;V$4&amp;","&amp;V26&amp;"}","{progress_rate_roll,"&amp;V$11*100&amp;","&amp;INT(V26*10000)&amp;","&amp;V$4&amp;","&amp;1&amp;"}")),V$4,IF(ISNUMBER(V$4),V$4,OFFSET($AG43,0,MATCH(V$4,$AG$28:$AI$28,0)-1)))</f>
        <v>{progress_rate_roll,0,0,21314,1}</v>
      </c>
      <c r="W43" s="63" t="str">
        <f ca="1" t="shared" si="47"/>
        <v>{progress,0,21329,5}</v>
      </c>
      <c r="X43" s="63" t="str">
        <f ca="1" t="shared" si="47"/>
        <v>{progress,0,5401000,4}</v>
      </c>
      <c r="Y43" s="63" t="str">
        <f ca="1" t="shared" si="15"/>
        <v>{progress_rate_roll,0,360,9,1}</v>
      </c>
      <c r="Z43" s="63" t="str">
        <f ca="1" t="shared" si="16"/>
        <v>{progress_rate_roll,0,0,30,1}</v>
      </c>
      <c r="AA43" s="62" t="str">
        <f ca="1" t="shared" si="17"/>
        <v>{progress_rate_roll,0,0,21314,1}</v>
      </c>
      <c r="AB43" s="62" t="str">
        <f ca="1" t="shared" si="18"/>
        <v>{progress,0,21329,5}</v>
      </c>
      <c r="AC43" s="62" t="str">
        <f ca="1" t="shared" si="19"/>
        <v>{progress,0,5401000,5}</v>
      </c>
      <c r="AD43" s="62" t="str">
        <f ca="1" t="shared" si="20"/>
        <v>{progress_rate_roll,0,480,9,1}</v>
      </c>
      <c r="AE43" s="62" t="str">
        <f ca="1" t="shared" si="21"/>
        <v>{progress_rate_roll,0,0,30,1}</v>
      </c>
      <c r="AG43" s="17">
        <v>21314</v>
      </c>
      <c r="AH43" s="17">
        <v>21329</v>
      </c>
      <c r="AI43">
        <v>5401000</v>
      </c>
      <c r="AK43" s="17"/>
    </row>
    <row r="46" spans="2:37">
      <c r="B46" t="s">
        <v>417</v>
      </c>
      <c r="D46" t="s">
        <v>418</v>
      </c>
      <c r="E46" t="s">
        <v>419</v>
      </c>
      <c r="F46" t="s">
        <v>420</v>
      </c>
      <c r="G46" t="s">
        <v>421</v>
      </c>
      <c r="H46" t="s">
        <v>422</v>
      </c>
    </row>
    <row r="47" spans="2:37">
      <c r="B47">
        <v>1</v>
      </c>
      <c r="C47" t="str">
        <f ca="1">"["&amp;_xlfn.TEXTJOIN(",",1,C29:$L29)</f>
        <v>[{progress_rate,2,79},{progress,0,2,316},{progress_rate,5103002,20},{progress,0,5103002,20},{progress_rate,5303001,4},{progress,0,5103002,40},{progress_rate,5203001,10},{progress_rate,50026,8},{progress,0,50026,8},{progress_rate,5204001,2}</v>
      </c>
      <c r="D47" t="str">
        <f ca="1" t="shared" ref="D47:D61" si="48">$C47&amp;","&amp;_xlfn.TEXTJOIN(",",1,$M29:$O29)&amp;"]"</f>
        <v>[{progress_rate,2,79},{progress,0,2,316},{progress_rate,5103002,20},{progress,0,5103002,20},{progress_rate,5303001,4},{progress,0,5103002,40},{progress_rate,5203001,10},{progress_rate,50026,8},{progress,0,50026,8},{progress_rate,5204001,2},{progress,0,21315,2},{progress,0,5401000,1}]</v>
      </c>
      <c r="E47" t="str">
        <f ca="1" t="shared" ref="E47:E61" si="49">$C47&amp;","&amp;_xlfn.TEXTJOIN(",",1,$P29:$R29)&amp;"]"</f>
        <v>[{progress_rate,2,79},{progress,0,2,316},{progress_rate,5103002,20},{progress,0,5103002,20},{progress_rate,5303001,4},{progress,0,5103002,40},{progress_rate,5203001,10},{progress_rate,50026,8},{progress,0,50026,8},{progress_rate,5204001,2},{progress_rate_roll,0,0,21300,1},{progress,0,21315,3},{progress,0,5401000,2}]</v>
      </c>
      <c r="F47" t="str">
        <f ca="1" t="shared" ref="F47:F61" si="50">$C47&amp;","&amp;_xlfn.TEXTJOIN(",",1,$S29:$U29)&amp;"]"</f>
        <v>[{progress_rate,2,79},{progress,0,2,316},{progress_rate,5103002,20},{progress,0,5103002,20},{progress_rate,5303001,4},{progress,0,5103002,40},{progress_rate,5203001,10},{progress_rate,50026,8},{progress,0,50026,8},{progress_rate,5204001,2},{progress_rate_roll,0,0,21300,1},{progress,0,21315,4},{progress,0,5401000,3}]</v>
      </c>
      <c r="G47" t="str">
        <f ca="1">$C47&amp;","&amp;_xlfn.TEXTJOIN(",",1,$V29:$Z29)&amp;"]"</f>
        <v>[{progress_rate,2,79},{progress,0,2,316},{progress_rate,5103002,20},{progress,0,5103002,20},{progress_rate,5303001,4},{progress,0,5103002,40},{progress_rate,5203001,10},{progress_rate,50026,8},{progress,0,50026,8},{progress_rate,5204001,2},{progress_rate_roll,0,0,21300,1},{progress,0,21315,5},{progress,0,5401000,4},{progress_rate_roll,0,360,9,1},{progress_rate_roll,0,0,30,1}]</v>
      </c>
      <c r="H47" t="str">
        <f ca="1">$C47&amp;","&amp;_xlfn.TEXTJOIN(",",1,$AA29:$AE29)&amp;"]"</f>
        <v>[{progress_rate,2,79},{progress,0,2,316},{progress_rate,5103002,20},{progress,0,5103002,20},{progress_rate,5303001,4},{progress,0,5103002,40},{progress_rate,5203001,10},{progress_rate,50026,8},{progress,0,50026,8},{progress_rate,5204001,2},{progress_rate_roll,0,0,21300,1},{progress,0,21315,5},{progress,0,5401000,5},{progress_rate_roll,0,480,9,1},{progress_rate_roll,0,0,30,1}]</v>
      </c>
    </row>
    <row r="48" spans="2:37">
      <c r="B48">
        <v>2</v>
      </c>
      <c r="C48" t="str">
        <f ca="1">"["&amp;_xlfn.TEXTJOIN(",",1,C30:$L30)</f>
        <v>[{progress_rate,2,84},{progress,0,2,336},{progress_rate,5103002,20},{progress,0,5103002,20},{progress_rate,5303001,4},{progress,0,5103002,40},{progress_rate,5203001,10},{progress_rate,50026,8},{progress,0,50026,8},{progress_rate,5204001,2}</v>
      </c>
      <c r="D48" t="str">
        <f ca="1" t="shared" si="48"/>
        <v>[{progress_rate,2,84},{progress,0,2,336},{progress_rate,5103002,20},{progress,0,5103002,20},{progress_rate,5303001,4},{progress,0,5103002,40},{progress_rate,5203001,10},{progress_rate,50026,8},{progress,0,50026,8},{progress_rate,5204001,2},{progress,0,21316,2},{progress,0,5401000,1}]</v>
      </c>
      <c r="E48" t="str">
        <f ca="1" t="shared" si="49"/>
        <v>[{progress_rate,2,84},{progress,0,2,336},{progress_rate,5103002,20},{progress,0,5103002,20},{progress_rate,5303001,4},{progress,0,5103002,40},{progress_rate,5203001,10},{progress_rate,50026,8},{progress,0,50026,8},{progress_rate,5204001,2},{progress_rate_roll,0,0,21301,1},{progress,0,21316,3},{progress,0,5401000,2}]</v>
      </c>
      <c r="F48" t="str">
        <f ca="1" t="shared" si="50"/>
        <v>[{progress_rate,2,84},{progress,0,2,336},{progress_rate,5103002,20},{progress,0,5103002,20},{progress_rate,5303001,4},{progress,0,5103002,40},{progress_rate,5203001,10},{progress_rate,50026,8},{progress,0,50026,8},{progress_rate,5204001,2},{progress_rate_roll,0,0,21301,1},{progress,0,21316,4},{progress,0,5401000,3}]</v>
      </c>
      <c r="G48" t="str">
        <f ca="1" t="shared" ref="G48:G61" si="51">$C48&amp;","&amp;_xlfn.TEXTJOIN(",",1,$V30:$Z30)&amp;"]"</f>
        <v>[{progress_rate,2,84},{progress,0,2,336},{progress_rate,5103002,20},{progress,0,5103002,20},{progress_rate,5303001,4},{progress,0,5103002,40},{progress_rate,5203001,10},{progress_rate,50026,8},{progress,0,50026,8},{progress_rate,5204001,2},{progress_rate_roll,0,0,21301,1},{progress,0,21316,5},{progress,0,5401000,4},{progress_rate_roll,0,360,9,1},{progress_rate_roll,0,0,30,1}]</v>
      </c>
      <c r="H48" t="str">
        <f ca="1" t="shared" ref="H48:H61" si="52">$C48&amp;","&amp;_xlfn.TEXTJOIN(",",1,$AA30:$AE30)&amp;"]"</f>
        <v>[{progress_rate,2,84},{progress,0,2,336},{progress_rate,5103002,20},{progress,0,5103002,20},{progress_rate,5303001,4},{progress,0,5103002,40},{progress_rate,5203001,10},{progress_rate,50026,8},{progress,0,50026,8},{progress_rate,5204001,2},{progress_rate_roll,0,0,21301,1},{progress,0,21316,5},{progress,0,5401000,5},{progress_rate_roll,0,480,9,1},{progress_rate_roll,0,0,30,1}]</v>
      </c>
    </row>
    <row r="49" spans="2:31">
      <c r="B49">
        <v>3</v>
      </c>
      <c r="C49" t="str">
        <f ca="1">"["&amp;_xlfn.TEXTJOIN(",",1,C31:$L31)</f>
        <v>[{progress_rate,2,89},{progress,0,2,356},{progress_rate,5103002,20},{progress,0,5103002,20},{progress_rate,5303001,4},{progress,0,5103002,40},{progress_rate,5203001,10},{progress_rate,50026,8},{progress,0,50026,8},{progress_rate,5204001,2}</v>
      </c>
      <c r="D49" t="str">
        <f ca="1" t="shared" si="48"/>
        <v>[{progress_rate,2,89},{progress,0,2,356},{progress_rate,5103002,20},{progress,0,5103002,20},{progress_rate,5303001,4},{progress,0,5103002,40},{progress_rate,5203001,10},{progress_rate,50026,8},{progress,0,50026,8},{progress_rate,5204001,2},{progress,0,21317,2},{progress,0,5401000,1}]</v>
      </c>
      <c r="E49" t="str">
        <f ca="1" t="shared" si="49"/>
        <v>[{progress_rate,2,89},{progress,0,2,356},{progress_rate,5103002,20},{progress,0,5103002,20},{progress_rate,5303001,4},{progress,0,5103002,40},{progress_rate,5203001,10},{progress_rate,50026,8},{progress,0,50026,8},{progress_rate,5204001,2},{progress_rate_roll,0,0,21302,1},{progress,0,21317,3},{progress,0,5401000,2}]</v>
      </c>
      <c r="F49" t="str">
        <f ca="1" t="shared" si="50"/>
        <v>[{progress_rate,2,89},{progress,0,2,356},{progress_rate,5103002,20},{progress,0,5103002,20},{progress_rate,5303001,4},{progress,0,5103002,40},{progress_rate,5203001,10},{progress_rate,50026,8},{progress,0,50026,8},{progress_rate,5204001,2},{progress_rate_roll,0,0,21302,1},{progress,0,21317,4},{progress,0,5401000,3}]</v>
      </c>
      <c r="G49" t="str">
        <f ca="1" t="shared" si="51"/>
        <v>[{progress_rate,2,89},{progress,0,2,356},{progress_rate,5103002,20},{progress,0,5103002,20},{progress_rate,5303001,4},{progress,0,5103002,40},{progress_rate,5203001,10},{progress_rate,50026,8},{progress,0,50026,8},{progress_rate,5204001,2},{progress_rate_roll,0,0,21302,1},{progress,0,21317,5},{progress,0,5401000,4},{progress_rate_roll,0,360,9,1},{progress_rate_roll,0,0,30,1}]</v>
      </c>
      <c r="H49" t="str">
        <f ca="1" t="shared" si="52"/>
        <v>[{progress_rate,2,89},{progress,0,2,356},{progress_rate,5103002,20},{progress,0,5103002,20},{progress_rate,5303001,4},{progress,0,5103002,40},{progress_rate,5203001,10},{progress_rate,50026,8},{progress,0,50026,8},{progress_rate,5204001,2},{progress_rate_roll,0,0,21302,1},{progress,0,21317,5},{progress,0,5401000,5},{progress_rate_roll,0,480,9,1},{progress_rate_roll,0,0,30,1}]</v>
      </c>
    </row>
    <row r="50" spans="2:31">
      <c r="B50">
        <v>4</v>
      </c>
      <c r="C50" t="str">
        <f ca="1">"["&amp;_xlfn.TEXTJOIN(",",1,C32:$L32)</f>
        <v>[{progress_rate,2,94},{progress,0,2,376},{progress_rate,5103002,20},{progress,0,5103002,20},{progress_rate,5303001,4},{progress,0,5103002,40},{progress_rate,5203001,10},{progress_rate,50026,8},{progress,0,50026,8},{progress_rate,5204001,2}</v>
      </c>
      <c r="D50" t="str">
        <f ca="1" t="shared" si="48"/>
        <v>[{progress_rate,2,94},{progress,0,2,376},{progress_rate,5103002,20},{progress,0,5103002,20},{progress_rate,5303001,4},{progress,0,5103002,40},{progress_rate,5203001,10},{progress_rate,50026,8},{progress,0,50026,8},{progress_rate,5204001,2},{progress,0,21318,2},{progress,0,5401000,1}]</v>
      </c>
      <c r="E50" t="str">
        <f ca="1" t="shared" si="49"/>
        <v>[{progress_rate,2,94},{progress,0,2,376},{progress_rate,5103002,20},{progress,0,5103002,20},{progress_rate,5303001,4},{progress,0,5103002,40},{progress_rate,5203001,10},{progress_rate,50026,8},{progress,0,50026,8},{progress_rate,5204001,2},{progress_rate_roll,0,0,21303,1},{progress,0,21318,3},{progress,0,5401000,2}]</v>
      </c>
      <c r="F50" t="str">
        <f ca="1" t="shared" si="50"/>
        <v>[{progress_rate,2,94},{progress,0,2,376},{progress_rate,5103002,20},{progress,0,5103002,20},{progress_rate,5303001,4},{progress,0,5103002,40},{progress_rate,5203001,10},{progress_rate,50026,8},{progress,0,50026,8},{progress_rate,5204001,2},{progress_rate_roll,0,0,21303,1},{progress,0,21318,4},{progress,0,5401000,3}]</v>
      </c>
      <c r="G50" t="str">
        <f ca="1" t="shared" si="51"/>
        <v>[{progress_rate,2,94},{progress,0,2,376},{progress_rate,5103002,20},{progress,0,5103002,20},{progress_rate,5303001,4},{progress,0,5103002,40},{progress_rate,5203001,10},{progress_rate,50026,8},{progress,0,50026,8},{progress_rate,5204001,2},{progress_rate_roll,0,0,21303,1},{progress,0,21318,5},{progress,0,5401000,4},{progress_rate_roll,0,360,9,1},{progress_rate_roll,0,0,30,1}]</v>
      </c>
      <c r="H50" t="str">
        <f ca="1" t="shared" si="52"/>
        <v>[{progress_rate,2,94},{progress,0,2,376},{progress_rate,5103002,20},{progress,0,5103002,20},{progress_rate,5303001,4},{progress,0,5103002,40},{progress_rate,5203001,10},{progress_rate,50026,8},{progress,0,50026,8},{progress_rate,5204001,2},{progress_rate_roll,0,0,21303,1},{progress,0,21318,5},{progress,0,5401000,5},{progress_rate_roll,0,480,9,1},{progress_rate_roll,0,0,30,1}]</v>
      </c>
    </row>
    <row r="51" spans="2:31">
      <c r="B51">
        <v>5</v>
      </c>
      <c r="C51" t="str">
        <f ca="1">"["&amp;_xlfn.TEXTJOIN(",",1,C33:$L33)</f>
        <v>[{progress_rate,2,99},{progress,0,2,396},{progress_rate,5103002,20},{progress,0,5103002,20},{progress_rate,5303001,4},{progress,0,5103002,40},{progress_rate,5203001,10},{progress_rate,50026,8},{progress,0,50026,8},{progress_rate,5204001,2}</v>
      </c>
      <c r="D51" t="str">
        <f ca="1" t="shared" si="48"/>
        <v>[{progress_rate,2,99},{progress,0,2,396},{progress_rate,5103002,20},{progress,0,5103002,20},{progress_rate,5303001,4},{progress,0,5103002,40},{progress_rate,5203001,10},{progress_rate,50026,8},{progress,0,50026,8},{progress_rate,5204001,2},{progress,0,21319,2},{progress,0,5401000,1}]</v>
      </c>
      <c r="E51" t="str">
        <f ca="1" t="shared" si="49"/>
        <v>[{progress_rate,2,99},{progress,0,2,396},{progress_rate,5103002,20},{progress,0,5103002,20},{progress_rate,5303001,4},{progress,0,5103002,40},{progress_rate,5203001,10},{progress_rate,50026,8},{progress,0,50026,8},{progress_rate,5204001,2},{progress_rate_roll,0,0,21304,1},{progress,0,21319,3},{progress,0,5401000,2}]</v>
      </c>
      <c r="F51" t="str">
        <f ca="1" t="shared" si="50"/>
        <v>[{progress_rate,2,99},{progress,0,2,396},{progress_rate,5103002,20},{progress,0,5103002,20},{progress_rate,5303001,4},{progress,0,5103002,40},{progress_rate,5203001,10},{progress_rate,50026,8},{progress,0,50026,8},{progress_rate,5204001,2},{progress_rate_roll,0,0,21304,1},{progress,0,21319,4},{progress,0,5401000,3}]</v>
      </c>
      <c r="G51" t="str">
        <f ca="1" t="shared" si="51"/>
        <v>[{progress_rate,2,99},{progress,0,2,396},{progress_rate,5103002,20},{progress,0,5103002,20},{progress_rate,5303001,4},{progress,0,5103002,40},{progress_rate,5203001,10},{progress_rate,50026,8},{progress,0,50026,8},{progress_rate,5204001,2},{progress_rate_roll,0,0,21304,1},{progress,0,21319,5},{progress,0,5401000,4},{progress_rate_roll,0,360,9,1},{progress_rate_roll,0,0,30,1}]</v>
      </c>
      <c r="H51" t="str">
        <f ca="1" t="shared" si="52"/>
        <v>[{progress_rate,2,99},{progress,0,2,396},{progress_rate,5103002,20},{progress,0,5103002,20},{progress_rate,5303001,4},{progress,0,5103002,40},{progress_rate,5203001,10},{progress_rate,50026,8},{progress,0,50026,8},{progress_rate,5204001,2},{progress_rate_roll,0,0,21304,1},{progress,0,21319,5},{progress,0,5401000,5},{progress_rate_roll,0,480,9,1},{progress_rate_roll,0,0,30,1}]</v>
      </c>
    </row>
    <row r="52" spans="2:31">
      <c r="B52">
        <v>6</v>
      </c>
      <c r="C52" t="str">
        <f ca="1">"["&amp;_xlfn.TEXTJOIN(",",1,C34:$L34)</f>
        <v>[{progress_rate,2,104},{progress,0,2,416},{progress_rate,5103002,20},{progress,0,5103002,20},{progress_rate,5303001,4},{progress,0,5103002,40},{progress_rate,5203001,10},{progress_rate,50026,8},{progress,0,50026,8},{progress_rate,5204001,2}</v>
      </c>
      <c r="D52" t="str">
        <f ca="1" t="shared" si="48"/>
        <v>[{progress_rate,2,104},{progress,0,2,416},{progress_rate,5103002,20},{progress,0,5103002,20},{progress_rate,5303001,4},{progress,0,5103002,40},{progress_rate,5203001,10},{progress_rate,50026,8},{progress,0,50026,8},{progress_rate,5204001,2},{progress,0,21320,2},{progress,0,5401000,1}]</v>
      </c>
      <c r="E52" t="str">
        <f ca="1" t="shared" si="49"/>
        <v>[{progress_rate,2,104},{progress,0,2,416},{progress_rate,5103002,20},{progress,0,5103002,20},{progress_rate,5303001,4},{progress,0,5103002,40},{progress_rate,5203001,10},{progress_rate,50026,8},{progress,0,50026,8},{progress_rate,5204001,2},{progress_rate_roll,0,0,21305,1},{progress,0,21320,3},{progress,0,5401000,2}]</v>
      </c>
      <c r="F52" t="str">
        <f ca="1" t="shared" si="50"/>
        <v>[{progress_rate,2,104},{progress,0,2,416},{progress_rate,5103002,20},{progress,0,5103002,20},{progress_rate,5303001,4},{progress,0,5103002,40},{progress_rate,5203001,10},{progress_rate,50026,8},{progress,0,50026,8},{progress_rate,5204001,2},{progress_rate_roll,0,0,21305,1},{progress,0,21320,4},{progress,0,5401000,3}]</v>
      </c>
      <c r="G52" t="str">
        <f ca="1" t="shared" si="51"/>
        <v>[{progress_rate,2,104},{progress,0,2,416},{progress_rate,5103002,20},{progress,0,5103002,20},{progress_rate,5303001,4},{progress,0,5103002,40},{progress_rate,5203001,10},{progress_rate,50026,8},{progress,0,50026,8},{progress_rate,5204001,2},{progress_rate_roll,0,0,21305,1},{progress,0,21320,5},{progress,0,5401000,4},{progress_rate_roll,0,360,9,1},{progress_rate_roll,0,0,30,1}]</v>
      </c>
      <c r="H52" t="str">
        <f ca="1" t="shared" si="52"/>
        <v>[{progress_rate,2,104},{progress,0,2,416},{progress_rate,5103002,20},{progress,0,5103002,20},{progress_rate,5303001,4},{progress,0,5103002,40},{progress_rate,5203001,10},{progress_rate,50026,8},{progress,0,50026,8},{progress_rate,5204001,2},{progress_rate_roll,0,0,21305,1},{progress,0,21320,5},{progress,0,5401000,5},{progress_rate_roll,0,480,9,1},{progress_rate_roll,0,0,30,1}]</v>
      </c>
    </row>
    <row r="53" spans="2:31">
      <c r="B53">
        <v>7</v>
      </c>
      <c r="C53" t="str">
        <f ca="1">"["&amp;_xlfn.TEXTJOIN(",",1,C35:$L35)</f>
        <v>[{progress_rate,2,109},{progress,0,2,436},{progress_rate,5103002,20},{progress,0,5103002,20},{progress_rate,5303001,4},{progress,0,5103002,40},{progress_rate,5203001,10},{progress_rate,50026,8},{progress,0,50026,8},{progress_rate,5204001,2}</v>
      </c>
      <c r="D53" t="str">
        <f ca="1" t="shared" si="48"/>
        <v>[{progress_rate,2,109},{progress,0,2,436},{progress_rate,5103002,20},{progress,0,5103002,20},{progress_rate,5303001,4},{progress,0,5103002,40},{progress_rate,5203001,10},{progress_rate,50026,8},{progress,0,50026,8},{progress_rate,5204001,2},{progress,0,21321,2},{progress,0,5401000,1}]</v>
      </c>
      <c r="E53" t="str">
        <f ca="1" t="shared" si="49"/>
        <v>[{progress_rate,2,109},{progress,0,2,436},{progress_rate,5103002,20},{progress,0,5103002,20},{progress_rate,5303001,4},{progress,0,5103002,40},{progress_rate,5203001,10},{progress_rate,50026,8},{progress,0,50026,8},{progress_rate,5204001,2},{progress_rate_roll,0,0,21306,1},{progress,0,21321,3},{progress,0,5401000,2}]</v>
      </c>
      <c r="F53" t="str">
        <f ca="1" t="shared" si="50"/>
        <v>[{progress_rate,2,109},{progress,0,2,436},{progress_rate,5103002,20},{progress,0,5103002,20},{progress_rate,5303001,4},{progress,0,5103002,40},{progress_rate,5203001,10},{progress_rate,50026,8},{progress,0,50026,8},{progress_rate,5204001,2},{progress_rate_roll,0,0,21306,1},{progress,0,21321,4},{progress,0,5401000,3}]</v>
      </c>
      <c r="G53" t="str">
        <f ca="1" t="shared" si="51"/>
        <v>[{progress_rate,2,109},{progress,0,2,436},{progress_rate,5103002,20},{progress,0,5103002,20},{progress_rate,5303001,4},{progress,0,5103002,40},{progress_rate,5203001,10},{progress_rate,50026,8},{progress,0,50026,8},{progress_rate,5204001,2},{progress_rate_roll,0,0,21306,1},{progress,0,21321,5},{progress,0,5401000,4},{progress_rate_roll,0,360,9,1},{progress_rate_roll,0,0,30,1}]</v>
      </c>
      <c r="H53" t="str">
        <f ca="1" t="shared" si="52"/>
        <v>[{progress_rate,2,109},{progress,0,2,436},{progress_rate,5103002,20},{progress,0,5103002,20},{progress_rate,5303001,4},{progress,0,5103002,40},{progress_rate,5203001,10},{progress_rate,50026,8},{progress,0,50026,8},{progress_rate,5204001,2},{progress_rate_roll,0,0,21306,1},{progress,0,21321,5},{progress,0,5401000,5},{progress_rate_roll,0,480,9,1},{progress_rate_roll,0,0,30,1}]</v>
      </c>
    </row>
    <row r="54" spans="2:31">
      <c r="B54">
        <v>8</v>
      </c>
      <c r="C54" t="str">
        <f ca="1">"["&amp;_xlfn.TEXTJOIN(",",1,C36:$L36)</f>
        <v>[{progress_rate,2,114},{progress,0,2,456},{progress_rate,5103002,20},{progress,0,5103002,20},{progress_rate,5303001,4},{progress,0,5103002,40},{progress_rate,5203001,10},{progress_rate,50026,8},{progress,0,50026,8},{progress_rate,5204001,2}</v>
      </c>
      <c r="D54" t="str">
        <f ca="1" t="shared" si="48"/>
        <v>[{progress_rate,2,114},{progress,0,2,456},{progress_rate,5103002,20},{progress,0,5103002,20},{progress_rate,5303001,4},{progress,0,5103002,40},{progress_rate,5203001,10},{progress_rate,50026,8},{progress,0,50026,8},{progress_rate,5204001,2},{progress,0,21322,2},{progress,0,5401000,1}]</v>
      </c>
      <c r="E54" t="str">
        <f ca="1" t="shared" si="49"/>
        <v>[{progress_rate,2,114},{progress,0,2,456},{progress_rate,5103002,20},{progress,0,5103002,20},{progress_rate,5303001,4},{progress,0,5103002,40},{progress_rate,5203001,10},{progress_rate,50026,8},{progress,0,50026,8},{progress_rate,5204001,2},{progress_rate_roll,0,0,21307,1},{progress,0,21322,3},{progress,0,5401000,2}]</v>
      </c>
      <c r="F54" t="str">
        <f ca="1" t="shared" si="50"/>
        <v>[{progress_rate,2,114},{progress,0,2,456},{progress_rate,5103002,20},{progress,0,5103002,20},{progress_rate,5303001,4},{progress,0,5103002,40},{progress_rate,5203001,10},{progress_rate,50026,8},{progress,0,50026,8},{progress_rate,5204001,2},{progress_rate_roll,0,0,21307,1},{progress,0,21322,4},{progress,0,5401000,3}]</v>
      </c>
      <c r="G54" t="str">
        <f ca="1" t="shared" si="51"/>
        <v>[{progress_rate,2,114},{progress,0,2,456},{progress_rate,5103002,20},{progress,0,5103002,20},{progress_rate,5303001,4},{progress,0,5103002,40},{progress_rate,5203001,10},{progress_rate,50026,8},{progress,0,50026,8},{progress_rate,5204001,2},{progress_rate_roll,0,0,21307,1},{progress,0,21322,5},{progress,0,5401000,4},{progress_rate_roll,0,360,9,1},{progress_rate_roll,0,0,30,1}]</v>
      </c>
      <c r="H54" t="str">
        <f ca="1" t="shared" si="52"/>
        <v>[{progress_rate,2,114},{progress,0,2,456},{progress_rate,5103002,20},{progress,0,5103002,20},{progress_rate,5303001,4},{progress,0,5103002,40},{progress_rate,5203001,10},{progress_rate,50026,8},{progress,0,50026,8},{progress_rate,5204001,2},{progress_rate_roll,0,0,21307,1},{progress,0,21322,5},{progress,0,5401000,5},{progress_rate_roll,0,480,9,1},{progress_rate_roll,0,0,30,1}]</v>
      </c>
    </row>
    <row r="55" spans="2:31">
      <c r="B55">
        <v>9</v>
      </c>
      <c r="C55" t="str">
        <f ca="1">"["&amp;_xlfn.TEXTJOIN(",",1,C37:$L37)</f>
        <v>[{progress_rate,2,119},{progress,0,2,476},{progress_rate,5103002,20},{progress,0,5103002,20},{progress_rate,5303001,4},{progress,0,5103002,40},{progress_rate,5203001,10},{progress_rate,50026,8},{progress,0,50026,8},{progress_rate,5204001,2}</v>
      </c>
      <c r="D55" t="str">
        <f ca="1" t="shared" si="48"/>
        <v>[{progress_rate,2,119},{progress,0,2,476},{progress_rate,5103002,20},{progress,0,5103002,20},{progress_rate,5303001,4},{progress,0,5103002,40},{progress_rate,5203001,10},{progress_rate,50026,8},{progress,0,50026,8},{progress_rate,5204001,2},{progress,0,21323,2},{progress,0,5401000,1}]</v>
      </c>
      <c r="E55" t="str">
        <f ca="1" t="shared" si="49"/>
        <v>[{progress_rate,2,119},{progress,0,2,476},{progress_rate,5103002,20},{progress,0,5103002,20},{progress_rate,5303001,4},{progress,0,5103002,40},{progress_rate,5203001,10},{progress_rate,50026,8},{progress,0,50026,8},{progress_rate,5204001,2},{progress_rate_roll,0,0,21308,1},{progress,0,21323,3},{progress,0,5401000,2}]</v>
      </c>
      <c r="F55" t="str">
        <f ca="1" t="shared" si="50"/>
        <v>[{progress_rate,2,119},{progress,0,2,476},{progress_rate,5103002,20},{progress,0,5103002,20},{progress_rate,5303001,4},{progress,0,5103002,40},{progress_rate,5203001,10},{progress_rate,50026,8},{progress,0,50026,8},{progress_rate,5204001,2},{progress_rate_roll,0,0,21308,1},{progress,0,21323,4},{progress,0,5401000,3}]</v>
      </c>
      <c r="G55" t="str">
        <f ca="1" t="shared" si="51"/>
        <v>[{progress_rate,2,119},{progress,0,2,476},{progress_rate,5103002,20},{progress,0,5103002,20},{progress_rate,5303001,4},{progress,0,5103002,40},{progress_rate,5203001,10},{progress_rate,50026,8},{progress,0,50026,8},{progress_rate,5204001,2},{progress_rate_roll,0,0,21308,1},{progress,0,21323,5},{progress,0,5401000,4},{progress_rate_roll,0,360,9,1},{progress_rate_roll,0,0,30,1}]</v>
      </c>
      <c r="H55" t="str">
        <f ca="1" t="shared" si="52"/>
        <v>[{progress_rate,2,119},{progress,0,2,476},{progress_rate,5103002,20},{progress,0,5103002,20},{progress_rate,5303001,4},{progress,0,5103002,40},{progress_rate,5203001,10},{progress_rate,50026,8},{progress,0,50026,8},{progress_rate,5204001,2},{progress_rate_roll,0,0,21308,1},{progress,0,21323,5},{progress,0,5401000,5},{progress_rate_roll,0,480,9,1},{progress_rate_roll,0,0,30,1}]</v>
      </c>
    </row>
    <row r="56" spans="2:31">
      <c r="B56">
        <v>10</v>
      </c>
      <c r="C56" t="str">
        <f ca="1">"["&amp;_xlfn.TEXTJOIN(",",1,C38:$L38)</f>
        <v>[{progress_rate,2,124},{progress,0,2,496},{progress_rate,5103002,20},{progress,0,5103002,20},{progress_rate,5303001,4},{progress,0,5103002,40},{progress_rate,5203001,10},{progress_rate,50026,8},{progress,0,50026,8},{progress_rate,5204001,2}</v>
      </c>
      <c r="D56" t="str">
        <f ca="1" t="shared" si="48"/>
        <v>[{progress_rate,2,124},{progress,0,2,496},{progress_rate,5103002,20},{progress,0,5103002,20},{progress_rate,5303001,4},{progress,0,5103002,40},{progress_rate,5203001,10},{progress_rate,50026,8},{progress,0,50026,8},{progress_rate,5204001,2},{progress,0,21324,2},{progress,0,5401000,1}]</v>
      </c>
      <c r="E56" t="str">
        <f ca="1" t="shared" si="49"/>
        <v>[{progress_rate,2,124},{progress,0,2,496},{progress_rate,5103002,20},{progress,0,5103002,20},{progress_rate,5303001,4},{progress,0,5103002,40},{progress_rate,5203001,10},{progress_rate,50026,8},{progress,0,50026,8},{progress_rate,5204001,2},{progress_rate_roll,0,0,21309,1},{progress,0,21324,3},{progress,0,5401000,2}]</v>
      </c>
      <c r="F56" t="str">
        <f ca="1" t="shared" si="50"/>
        <v>[{progress_rate,2,124},{progress,0,2,496},{progress_rate,5103002,20},{progress,0,5103002,20},{progress_rate,5303001,4},{progress,0,5103002,40},{progress_rate,5203001,10},{progress_rate,50026,8},{progress,0,50026,8},{progress_rate,5204001,2},{progress_rate_roll,0,0,21309,1},{progress,0,21324,4},{progress,0,5401000,3}]</v>
      </c>
      <c r="G56" t="str">
        <f ca="1" t="shared" si="51"/>
        <v>[{progress_rate,2,124},{progress,0,2,496},{progress_rate,5103002,20},{progress,0,5103002,20},{progress_rate,5303001,4},{progress,0,5103002,40},{progress_rate,5203001,10},{progress_rate,50026,8},{progress,0,50026,8},{progress_rate,5204001,2},{progress_rate_roll,0,0,21309,1},{progress,0,21324,5},{progress,0,5401000,4},{progress_rate_roll,0,360,9,1},{progress_rate_roll,0,0,30,1}]</v>
      </c>
      <c r="H56" t="str">
        <f ca="1" t="shared" si="52"/>
        <v>[{progress_rate,2,124},{progress,0,2,496},{progress_rate,5103002,20},{progress,0,5103002,20},{progress_rate,5303001,4},{progress,0,5103002,40},{progress_rate,5203001,10},{progress_rate,50026,8},{progress,0,50026,8},{progress_rate,5204001,2},{progress_rate_roll,0,0,21309,1},{progress,0,21324,5},{progress,0,5401000,5},{progress_rate_roll,0,480,9,1},{progress_rate_roll,0,0,30,1}]</v>
      </c>
    </row>
    <row r="57" spans="2:31">
      <c r="B57">
        <v>11</v>
      </c>
      <c r="C57" t="str">
        <f ca="1">"["&amp;_xlfn.TEXTJOIN(",",1,C39:$L39)</f>
        <v>[{progress_rate,2,129},{progress,0,2,516},{progress_rate,5103002,20},{progress,0,5103002,20},{progress_rate,5303001,4},{progress,0,5103002,40},{progress_rate,5203001,10},{progress_rate,50026,8},{progress,0,50026,8},{progress_rate,5204001,2}</v>
      </c>
      <c r="D57" t="str">
        <f ca="1" t="shared" si="48"/>
        <v>[{progress_rate,2,129},{progress,0,2,516},{progress_rate,5103002,20},{progress,0,5103002,20},{progress_rate,5303001,4},{progress,0,5103002,40},{progress_rate,5203001,10},{progress_rate,50026,8},{progress,0,50026,8},{progress_rate,5204001,2},{progress,0,21325,2},{progress,0,5401000,1}]</v>
      </c>
      <c r="E57" t="str">
        <f ca="1" t="shared" si="49"/>
        <v>[{progress_rate,2,129},{progress,0,2,516},{progress_rate,5103002,20},{progress,0,5103002,20},{progress_rate,5303001,4},{progress,0,5103002,40},{progress_rate,5203001,10},{progress_rate,50026,8},{progress,0,50026,8},{progress_rate,5204001,2},{progress_rate_roll,0,0,21310,1},{progress,0,21325,3},{progress,0,5401000,2}]</v>
      </c>
      <c r="F57" t="str">
        <f ca="1" t="shared" si="50"/>
        <v>[{progress_rate,2,129},{progress,0,2,516},{progress_rate,5103002,20},{progress,0,5103002,20},{progress_rate,5303001,4},{progress,0,5103002,40},{progress_rate,5203001,10},{progress_rate,50026,8},{progress,0,50026,8},{progress_rate,5204001,2},{progress_rate_roll,0,0,21310,1},{progress,0,21325,4},{progress,0,5401000,3}]</v>
      </c>
      <c r="G57" t="str">
        <f ca="1" t="shared" si="51"/>
        <v>[{progress_rate,2,129},{progress,0,2,516},{progress_rate,5103002,20},{progress,0,5103002,20},{progress_rate,5303001,4},{progress,0,5103002,40},{progress_rate,5203001,10},{progress_rate,50026,8},{progress,0,50026,8},{progress_rate,5204001,2},{progress_rate_roll,0,0,21310,1},{progress,0,21325,5},{progress,0,5401000,4},{progress_rate_roll,0,360,9,1},{progress_rate_roll,0,0,30,1}]</v>
      </c>
      <c r="H57" t="str">
        <f ca="1" t="shared" si="52"/>
        <v>[{progress_rate,2,129},{progress,0,2,516},{progress_rate,5103002,20},{progress,0,5103002,20},{progress_rate,5303001,4},{progress,0,5103002,40},{progress_rate,5203001,10},{progress_rate,50026,8},{progress,0,50026,8},{progress_rate,5204001,2},{progress_rate_roll,0,0,21310,1},{progress,0,21325,5},{progress,0,5401000,5},{progress_rate_roll,0,480,9,1},{progress_rate_roll,0,0,30,1}]</v>
      </c>
    </row>
    <row r="58" spans="2:31">
      <c r="B58">
        <v>12</v>
      </c>
      <c r="C58" t="str">
        <f ca="1">"["&amp;_xlfn.TEXTJOIN(",",1,C40:$L40)</f>
        <v>[{progress_rate,2,134},{progress,0,2,536},{progress_rate,5103002,20},{progress,0,5103002,20},{progress_rate,5303001,4},{progress,0,5103002,40},{progress_rate,5203001,10},{progress_rate,50026,8},{progress,0,50026,8},{progress_rate,5204001,2}</v>
      </c>
      <c r="D58" t="str">
        <f ca="1" t="shared" si="48"/>
        <v>[{progress_rate,2,134},{progress,0,2,536},{progress_rate,5103002,20},{progress,0,5103002,20},{progress_rate,5303001,4},{progress,0,5103002,40},{progress_rate,5203001,10},{progress_rate,50026,8},{progress,0,50026,8},{progress_rate,5204001,2},{progress,0,21326,2},{progress,0,5401000,1}]</v>
      </c>
      <c r="E58" t="str">
        <f ca="1" t="shared" si="49"/>
        <v>[{progress_rate,2,134},{progress,0,2,536},{progress_rate,5103002,20},{progress,0,5103002,20},{progress_rate,5303001,4},{progress,0,5103002,40},{progress_rate,5203001,10},{progress_rate,50026,8},{progress,0,50026,8},{progress_rate,5204001,2},{progress_rate_roll,0,0,21311,1},{progress,0,21326,3},{progress,0,5401000,2}]</v>
      </c>
      <c r="F58" t="str">
        <f ca="1" t="shared" si="50"/>
        <v>[{progress_rate,2,134},{progress,0,2,536},{progress_rate,5103002,20},{progress,0,5103002,20},{progress_rate,5303001,4},{progress,0,5103002,40},{progress_rate,5203001,10},{progress_rate,50026,8},{progress,0,50026,8},{progress_rate,5204001,2},{progress_rate_roll,0,0,21311,1},{progress,0,21326,4},{progress,0,5401000,3}]</v>
      </c>
      <c r="G58" t="str">
        <f ca="1" t="shared" si="51"/>
        <v>[{progress_rate,2,134},{progress,0,2,536},{progress_rate,5103002,20},{progress,0,5103002,20},{progress_rate,5303001,4},{progress,0,5103002,40},{progress_rate,5203001,10},{progress_rate,50026,8},{progress,0,50026,8},{progress_rate,5204001,2},{progress_rate_roll,0,0,21311,1},{progress,0,21326,5},{progress,0,5401000,4},{progress_rate_roll,0,360,9,1},{progress_rate_roll,0,0,30,1}]</v>
      </c>
      <c r="H58" t="str">
        <f ca="1" t="shared" si="52"/>
        <v>[{progress_rate,2,134},{progress,0,2,536},{progress_rate,5103002,20},{progress,0,5103002,20},{progress_rate,5303001,4},{progress,0,5103002,40},{progress_rate,5203001,10},{progress_rate,50026,8},{progress,0,50026,8},{progress_rate,5204001,2},{progress_rate_roll,0,0,21311,1},{progress,0,21326,5},{progress,0,5401000,5},{progress_rate_roll,0,480,9,1},{progress_rate_roll,0,0,30,1}]</v>
      </c>
    </row>
    <row r="59" spans="2:31">
      <c r="B59">
        <v>13</v>
      </c>
      <c r="C59" t="str">
        <f ca="1">"["&amp;_xlfn.TEXTJOIN(",",1,C41:$L41)</f>
        <v>[{progress_rate,2,139},{progress,0,2,556},{progress_rate,5103002,20},{progress,0,5103002,20},{progress_rate,5303001,4},{progress,0,5103002,40},{progress_rate,5203001,10},{progress_rate,50026,8},{progress,0,50026,8},{progress_rate,5204001,2}</v>
      </c>
      <c r="D59" t="str">
        <f ca="1" t="shared" si="48"/>
        <v>[{progress_rate,2,139},{progress,0,2,556},{progress_rate,5103002,20},{progress,0,5103002,20},{progress_rate,5303001,4},{progress,0,5103002,40},{progress_rate,5203001,10},{progress_rate,50026,8},{progress,0,50026,8},{progress_rate,5204001,2},{progress,0,21327,2},{progress,0,5401000,1}]</v>
      </c>
      <c r="E59" t="str">
        <f ca="1" t="shared" si="49"/>
        <v>[{progress_rate,2,139},{progress,0,2,556},{progress_rate,5103002,20},{progress,0,5103002,20},{progress_rate,5303001,4},{progress,0,5103002,40},{progress_rate,5203001,10},{progress_rate,50026,8},{progress,0,50026,8},{progress_rate,5204001,2},{progress_rate_roll,0,0,21312,1},{progress,0,21327,3},{progress,0,5401000,2}]</v>
      </c>
      <c r="F59" t="str">
        <f ca="1" t="shared" si="50"/>
        <v>[{progress_rate,2,139},{progress,0,2,556},{progress_rate,5103002,20},{progress,0,5103002,20},{progress_rate,5303001,4},{progress,0,5103002,40},{progress_rate,5203001,10},{progress_rate,50026,8},{progress,0,50026,8},{progress_rate,5204001,2},{progress_rate_roll,0,0,21312,1},{progress,0,21327,4},{progress,0,5401000,3}]</v>
      </c>
      <c r="G59" t="str">
        <f ca="1" t="shared" si="51"/>
        <v>[{progress_rate,2,139},{progress,0,2,556},{progress_rate,5103002,20},{progress,0,5103002,20},{progress_rate,5303001,4},{progress,0,5103002,40},{progress_rate,5203001,10},{progress_rate,50026,8},{progress,0,50026,8},{progress_rate,5204001,2},{progress_rate_roll,0,0,21312,1},{progress,0,21327,5},{progress,0,5401000,4},{progress_rate_roll,0,360,9,1},{progress_rate_roll,0,0,30,1}]</v>
      </c>
      <c r="H59" t="str">
        <f ca="1" t="shared" si="52"/>
        <v>[{progress_rate,2,139},{progress,0,2,556},{progress_rate,5103002,20},{progress,0,5103002,20},{progress_rate,5303001,4},{progress,0,5103002,40},{progress_rate,5203001,10},{progress_rate,50026,8},{progress,0,50026,8},{progress_rate,5204001,2},{progress_rate_roll,0,0,21312,1},{progress,0,21327,5},{progress,0,5401000,5},{progress_rate_roll,0,480,9,1},{progress_rate_roll,0,0,30,1}]</v>
      </c>
    </row>
    <row r="60" spans="2:31">
      <c r="B60">
        <v>14</v>
      </c>
      <c r="C60" t="str">
        <f ca="1">"["&amp;_xlfn.TEXTJOIN(",",1,C42:$L42)</f>
        <v>[{progress_rate,2,144},{progress,0,2,576},{progress_rate,5103002,20},{progress,0,5103002,20},{progress_rate,5303001,4},{progress,0,5103002,40},{progress_rate,5203001,10},{progress_rate,50026,8},{progress,0,50026,8},{progress_rate,5204001,2}</v>
      </c>
      <c r="D60" t="str">
        <f ca="1" t="shared" si="48"/>
        <v>[{progress_rate,2,144},{progress,0,2,576},{progress_rate,5103002,20},{progress,0,5103002,20},{progress_rate,5303001,4},{progress,0,5103002,40},{progress_rate,5203001,10},{progress_rate,50026,8},{progress,0,50026,8},{progress_rate,5204001,2},{progress,0,21328,2},{progress,0,5401000,1}]</v>
      </c>
      <c r="E60" t="str">
        <f ca="1" t="shared" si="49"/>
        <v>[{progress_rate,2,144},{progress,0,2,576},{progress_rate,5103002,20},{progress,0,5103002,20},{progress_rate,5303001,4},{progress,0,5103002,40},{progress_rate,5203001,10},{progress_rate,50026,8},{progress,0,50026,8},{progress_rate,5204001,2},{progress_rate_roll,0,0,21313,1},{progress,0,21328,3},{progress,0,5401000,2}]</v>
      </c>
      <c r="F60" t="str">
        <f ca="1" t="shared" si="50"/>
        <v>[{progress_rate,2,144},{progress,0,2,576},{progress_rate,5103002,20},{progress,0,5103002,20},{progress_rate,5303001,4},{progress,0,5103002,40},{progress_rate,5203001,10},{progress_rate,50026,8},{progress,0,50026,8},{progress_rate,5204001,2},{progress_rate_roll,0,0,21313,1},{progress,0,21328,4},{progress,0,5401000,3}]</v>
      </c>
      <c r="G60" t="str">
        <f ca="1" t="shared" si="51"/>
        <v>[{progress_rate,2,144},{progress,0,2,576},{progress_rate,5103002,20},{progress,0,5103002,20},{progress_rate,5303001,4},{progress,0,5103002,40},{progress_rate,5203001,10},{progress_rate,50026,8},{progress,0,50026,8},{progress_rate,5204001,2},{progress_rate_roll,0,0,21313,1},{progress,0,21328,5},{progress,0,5401000,4},{progress_rate_roll,0,360,9,1},{progress_rate_roll,0,0,30,1}]</v>
      </c>
      <c r="H60" t="str">
        <f ca="1" t="shared" si="52"/>
        <v>[{progress_rate,2,144},{progress,0,2,576},{progress_rate,5103002,20},{progress,0,5103002,20},{progress_rate,5303001,4},{progress,0,5103002,40},{progress_rate,5203001,10},{progress_rate,50026,8},{progress,0,50026,8},{progress_rate,5204001,2},{progress_rate_roll,0,0,21313,1},{progress,0,21328,5},{progress,0,5401000,5},{progress_rate_roll,0,480,9,1},{progress_rate_roll,0,0,30,1}]</v>
      </c>
    </row>
    <row r="61" spans="2:31">
      <c r="B61">
        <v>15</v>
      </c>
      <c r="C61" t="str">
        <f ca="1">"["&amp;_xlfn.TEXTJOIN(",",1,C43:$L43)</f>
        <v>[{progress_rate,2,149},{progress,0,2,596},{progress_rate,5103002,20},{progress,0,5103002,20},{progress_rate,5303001,4},{progress,0,5103002,40},{progress_rate,5203001,10},{progress_rate,50026,8},{progress,0,50026,8},{progress_rate,5204001,2}</v>
      </c>
      <c r="D61" t="str">
        <f ca="1" t="shared" si="48"/>
        <v>[{progress_rate,2,149},{progress,0,2,596},{progress_rate,5103002,20},{progress,0,5103002,20},{progress_rate,5303001,4},{progress,0,5103002,40},{progress_rate,5203001,10},{progress_rate,50026,8},{progress,0,50026,8},{progress_rate,5204001,2},{progress,0,21329,2},{progress,0,5401000,1}]</v>
      </c>
      <c r="E61" t="str">
        <f ca="1" t="shared" si="49"/>
        <v>[{progress_rate,2,149},{progress,0,2,596},{progress_rate,5103002,20},{progress,0,5103002,20},{progress_rate,5303001,4},{progress,0,5103002,40},{progress_rate,5203001,10},{progress_rate,50026,8},{progress,0,50026,8},{progress_rate,5204001,2},{progress_rate_roll,0,0,21314,1},{progress,0,21329,3},{progress,0,5401000,2}]</v>
      </c>
      <c r="F61" t="str">
        <f ca="1" t="shared" si="50"/>
        <v>[{progress_rate,2,149},{progress,0,2,596},{progress_rate,5103002,20},{progress,0,5103002,20},{progress_rate,5303001,4},{progress,0,5103002,40},{progress_rate,5203001,10},{progress_rate,50026,8},{progress,0,50026,8},{progress_rate,5204001,2},{progress_rate_roll,0,0,21314,1},{progress,0,21329,4},{progress,0,5401000,3}]</v>
      </c>
      <c r="G61" t="str">
        <f ca="1" t="shared" si="51"/>
        <v>[{progress_rate,2,149},{progress,0,2,596},{progress_rate,5103002,20},{progress,0,5103002,20},{progress_rate,5303001,4},{progress,0,5103002,40},{progress_rate,5203001,10},{progress_rate,50026,8},{progress,0,50026,8},{progress_rate,5204001,2},{progress_rate_roll,0,0,21314,1},{progress,0,21329,5},{progress,0,5401000,4},{progress_rate_roll,0,360,9,1},{progress_rate_roll,0,0,30,1}]</v>
      </c>
      <c r="H61" t="str">
        <f ca="1" t="shared" si="52"/>
        <v>[{progress_rate,2,149},{progress,0,2,596},{progress_rate,5103002,20},{progress,0,5103002,20},{progress_rate,5303001,4},{progress,0,5103002,40},{progress_rate,5203001,10},{progress_rate,50026,8},{progress,0,50026,8},{progress_rate,5204001,2},{progress_rate_roll,0,0,21314,1},{progress,0,21329,5},{progress,0,5401000,5},{progress_rate_roll,0,480,9,1},{progress_rate_roll,0,0,30,1}]</v>
      </c>
    </row>
    <row r="63" spans="2:31">
      <c r="C63" t="s">
        <v>96</v>
      </c>
      <c r="D63" t="s">
        <v>96</v>
      </c>
      <c r="E63" t="s">
        <v>128</v>
      </c>
      <c r="F63" t="s">
        <v>128</v>
      </c>
      <c r="G63" t="s">
        <v>149</v>
      </c>
      <c r="H63" t="s">
        <v>128</v>
      </c>
      <c r="I63" t="s">
        <v>409</v>
      </c>
      <c r="J63" t="s">
        <v>376</v>
      </c>
      <c r="K63" t="s">
        <v>376</v>
      </c>
      <c r="L63" t="s">
        <v>214</v>
      </c>
      <c r="M63" s="13" t="s">
        <v>410</v>
      </c>
      <c r="N63" s="13" t="s">
        <v>411</v>
      </c>
      <c r="O63" s="13" t="s">
        <v>150</v>
      </c>
      <c r="P63" s="61" t="s">
        <v>410</v>
      </c>
      <c r="Q63" s="61" t="s">
        <v>411</v>
      </c>
      <c r="R63" s="61" t="s">
        <v>150</v>
      </c>
      <c r="S63" s="62" t="s">
        <v>410</v>
      </c>
      <c r="T63" s="62" t="s">
        <v>411</v>
      </c>
      <c r="U63" s="62" t="s">
        <v>150</v>
      </c>
      <c r="V63" s="63" t="s">
        <v>410</v>
      </c>
      <c r="W63" s="63" t="s">
        <v>411</v>
      </c>
      <c r="X63" s="63" t="s">
        <v>150</v>
      </c>
      <c r="Y63" s="63"/>
      <c r="Z63" s="63"/>
      <c r="AA63" s="62" t="s">
        <v>410</v>
      </c>
      <c r="AB63" s="62" t="s">
        <v>411</v>
      </c>
      <c r="AC63" s="62" t="s">
        <v>150</v>
      </c>
      <c r="AD63" s="62"/>
      <c r="AE63" s="62"/>
    </row>
    <row r="64" spans="2:31">
      <c r="B64" t="s">
        <v>127</v>
      </c>
      <c r="C64" s="14"/>
      <c r="D64" s="14">
        <v>0</v>
      </c>
      <c r="E64" s="14"/>
      <c r="F64" s="14">
        <v>0</v>
      </c>
      <c r="G64" s="14"/>
      <c r="H64" s="14">
        <v>0</v>
      </c>
      <c r="I64" s="14"/>
      <c r="J64" s="14"/>
      <c r="K64" s="14">
        <v>0</v>
      </c>
      <c r="L64" s="14"/>
      <c r="M64" s="64">
        <v>0</v>
      </c>
      <c r="N64" s="64">
        <v>0</v>
      </c>
      <c r="O64" s="64">
        <v>0</v>
      </c>
      <c r="P64" s="65">
        <v>0</v>
      </c>
      <c r="Q64" s="65">
        <v>0</v>
      </c>
      <c r="R64" s="65">
        <v>0</v>
      </c>
      <c r="S64" s="66">
        <v>0</v>
      </c>
      <c r="T64" s="66">
        <v>0</v>
      </c>
      <c r="U64" s="66">
        <v>0</v>
      </c>
      <c r="V64" s="67">
        <v>0</v>
      </c>
      <c r="W64" s="67">
        <v>0</v>
      </c>
      <c r="X64" s="67">
        <v>0</v>
      </c>
      <c r="Y64" s="67">
        <v>0</v>
      </c>
      <c r="Z64" s="67">
        <v>0</v>
      </c>
      <c r="AA64" s="66">
        <v>0</v>
      </c>
      <c r="AB64" s="66">
        <v>0</v>
      </c>
      <c r="AC64" s="66">
        <v>0</v>
      </c>
      <c r="AD64" s="67">
        <v>0</v>
      </c>
      <c r="AE64" s="67">
        <v>0</v>
      </c>
    </row>
    <row r="65" spans="2:33">
      <c r="B65" t="s">
        <v>416</v>
      </c>
      <c r="C65">
        <f t="shared" ref="C65:K65" si="53">C12</f>
        <v>79</v>
      </c>
      <c r="D65">
        <f t="shared" si="53"/>
        <v>316</v>
      </c>
      <c r="E65">
        <f t="shared" si="53"/>
        <v>20</v>
      </c>
      <c r="F65">
        <f t="shared" si="53"/>
        <v>20</v>
      </c>
      <c r="G65">
        <f t="shared" si="53"/>
        <v>4</v>
      </c>
      <c r="H65">
        <f t="shared" si="53"/>
        <v>40</v>
      </c>
      <c r="I65">
        <f t="shared" si="53"/>
        <v>10</v>
      </c>
      <c r="J65">
        <f t="shared" si="53"/>
        <v>8</v>
      </c>
      <c r="K65">
        <f t="shared" si="53"/>
        <v>8</v>
      </c>
      <c r="L65">
        <v>2</v>
      </c>
      <c r="M65" s="13">
        <v>0</v>
      </c>
      <c r="N65" s="13">
        <v>1</v>
      </c>
      <c r="O65" s="13">
        <v>1</v>
      </c>
      <c r="P65" s="61">
        <v>0</v>
      </c>
      <c r="Q65" s="61">
        <v>2</v>
      </c>
      <c r="R65" s="61">
        <v>2</v>
      </c>
      <c r="S65" s="62">
        <v>1</v>
      </c>
      <c r="T65" s="62">
        <v>2</v>
      </c>
      <c r="U65" s="62">
        <v>3</v>
      </c>
      <c r="V65" s="63">
        <v>2</v>
      </c>
      <c r="W65" s="63">
        <v>3</v>
      </c>
      <c r="X65" s="63">
        <v>4</v>
      </c>
      <c r="Y65" s="63">
        <v>0.184</v>
      </c>
      <c r="Z65" s="63">
        <v>0.016</v>
      </c>
      <c r="AA65" s="62">
        <v>2</v>
      </c>
      <c r="AB65" s="62">
        <v>3</v>
      </c>
      <c r="AC65" s="62">
        <v>5</v>
      </c>
      <c r="AD65" s="63">
        <v>0.184</v>
      </c>
      <c r="AE65" s="63">
        <v>0.016</v>
      </c>
      <c r="AG65">
        <v>8</v>
      </c>
    </row>
    <row r="66" spans="2:33">
      <c r="C66">
        <f t="shared" ref="C66:K66" si="54">C13</f>
        <v>84</v>
      </c>
      <c r="D66">
        <f t="shared" si="54"/>
        <v>336</v>
      </c>
      <c r="E66">
        <f t="shared" si="54"/>
        <v>20</v>
      </c>
      <c r="F66">
        <f t="shared" si="54"/>
        <v>20</v>
      </c>
      <c r="G66">
        <f t="shared" si="54"/>
        <v>4</v>
      </c>
      <c r="H66">
        <f t="shared" si="54"/>
        <v>40</v>
      </c>
      <c r="I66">
        <f t="shared" si="54"/>
        <v>10</v>
      </c>
      <c r="J66">
        <f t="shared" si="54"/>
        <v>8</v>
      </c>
      <c r="K66">
        <f t="shared" si="54"/>
        <v>8</v>
      </c>
      <c r="L66">
        <v>2</v>
      </c>
      <c r="M66" s="13">
        <v>0</v>
      </c>
      <c r="N66" s="13">
        <v>1</v>
      </c>
      <c r="O66" s="13">
        <v>1</v>
      </c>
      <c r="P66" s="61">
        <v>0</v>
      </c>
      <c r="Q66" s="61">
        <v>2</v>
      </c>
      <c r="R66" s="61">
        <v>2</v>
      </c>
      <c r="S66" s="62">
        <v>1</v>
      </c>
      <c r="T66" s="62">
        <v>2</v>
      </c>
      <c r="U66" s="62">
        <v>3</v>
      </c>
      <c r="V66" s="63">
        <v>2</v>
      </c>
      <c r="W66" s="63">
        <v>3</v>
      </c>
      <c r="X66" s="63">
        <v>4</v>
      </c>
      <c r="Y66" s="63">
        <v>0.184</v>
      </c>
      <c r="Z66" s="63">
        <v>0.016</v>
      </c>
      <c r="AA66" s="62">
        <v>2</v>
      </c>
      <c r="AB66" s="62">
        <v>3</v>
      </c>
      <c r="AC66" s="62">
        <v>5</v>
      </c>
      <c r="AD66" s="63">
        <v>0.184</v>
      </c>
      <c r="AE66" s="63">
        <v>0.016</v>
      </c>
    </row>
    <row r="67" spans="2:33">
      <c r="C67">
        <f t="shared" ref="C67:K67" si="55">C14</f>
        <v>89</v>
      </c>
      <c r="D67">
        <f t="shared" si="55"/>
        <v>356</v>
      </c>
      <c r="E67">
        <f t="shared" si="55"/>
        <v>20</v>
      </c>
      <c r="F67">
        <f t="shared" si="55"/>
        <v>20</v>
      </c>
      <c r="G67">
        <f t="shared" si="55"/>
        <v>4</v>
      </c>
      <c r="H67">
        <f t="shared" si="55"/>
        <v>40</v>
      </c>
      <c r="I67">
        <f t="shared" si="55"/>
        <v>10</v>
      </c>
      <c r="J67">
        <f t="shared" si="55"/>
        <v>8</v>
      </c>
      <c r="K67">
        <f t="shared" si="55"/>
        <v>8</v>
      </c>
      <c r="L67">
        <v>2</v>
      </c>
      <c r="M67" s="13">
        <v>0</v>
      </c>
      <c r="N67" s="13">
        <v>1</v>
      </c>
      <c r="O67" s="13">
        <v>1</v>
      </c>
      <c r="P67" s="61">
        <v>0</v>
      </c>
      <c r="Q67" s="61">
        <v>2</v>
      </c>
      <c r="R67" s="61">
        <v>2</v>
      </c>
      <c r="S67" s="62">
        <v>1</v>
      </c>
      <c r="T67" s="62">
        <v>2</v>
      </c>
      <c r="U67" s="62">
        <v>3</v>
      </c>
      <c r="V67" s="63">
        <v>2</v>
      </c>
      <c r="W67" s="63">
        <v>3</v>
      </c>
      <c r="X67" s="63">
        <v>4</v>
      </c>
      <c r="Y67" s="63">
        <v>0.184</v>
      </c>
      <c r="Z67" s="63">
        <v>0.016</v>
      </c>
      <c r="AA67" s="62">
        <v>2</v>
      </c>
      <c r="AB67" s="62">
        <v>3</v>
      </c>
      <c r="AC67" s="62">
        <v>5</v>
      </c>
      <c r="AD67" s="63">
        <v>0.184</v>
      </c>
      <c r="AE67" s="63">
        <v>0.016</v>
      </c>
    </row>
    <row r="68" spans="2:33">
      <c r="C68">
        <f t="shared" ref="C68:K68" si="56">C15</f>
        <v>94</v>
      </c>
      <c r="D68">
        <f t="shared" si="56"/>
        <v>376</v>
      </c>
      <c r="E68">
        <f t="shared" si="56"/>
        <v>20</v>
      </c>
      <c r="F68">
        <f t="shared" si="56"/>
        <v>20</v>
      </c>
      <c r="G68">
        <f t="shared" si="56"/>
        <v>4</v>
      </c>
      <c r="H68">
        <f t="shared" si="56"/>
        <v>40</v>
      </c>
      <c r="I68">
        <f t="shared" si="56"/>
        <v>10</v>
      </c>
      <c r="J68">
        <f t="shared" si="56"/>
        <v>8</v>
      </c>
      <c r="K68">
        <f t="shared" si="56"/>
        <v>8</v>
      </c>
      <c r="L68">
        <v>2</v>
      </c>
      <c r="M68" s="13">
        <v>0</v>
      </c>
      <c r="N68" s="13">
        <v>1</v>
      </c>
      <c r="O68" s="13">
        <v>1</v>
      </c>
      <c r="P68" s="61">
        <v>0</v>
      </c>
      <c r="Q68" s="61">
        <v>2</v>
      </c>
      <c r="R68" s="61">
        <v>2</v>
      </c>
      <c r="S68" s="62">
        <v>1</v>
      </c>
      <c r="T68" s="62">
        <v>2</v>
      </c>
      <c r="U68" s="62">
        <v>3</v>
      </c>
      <c r="V68" s="63">
        <v>2</v>
      </c>
      <c r="W68" s="63">
        <v>3</v>
      </c>
      <c r="X68" s="63">
        <v>4</v>
      </c>
      <c r="Y68" s="63">
        <v>0.184</v>
      </c>
      <c r="Z68" s="63">
        <v>0.016</v>
      </c>
      <c r="AA68" s="62">
        <v>2</v>
      </c>
      <c r="AB68" s="62">
        <v>3</v>
      </c>
      <c r="AC68" s="62">
        <v>5</v>
      </c>
      <c r="AD68" s="63">
        <v>0.184</v>
      </c>
      <c r="AE68" s="63">
        <v>0.016</v>
      </c>
    </row>
    <row r="69" spans="2:33">
      <c r="C69">
        <f t="shared" ref="C69:K69" si="57">C16</f>
        <v>99</v>
      </c>
      <c r="D69">
        <f t="shared" si="57"/>
        <v>396</v>
      </c>
      <c r="E69">
        <f t="shared" si="57"/>
        <v>20</v>
      </c>
      <c r="F69">
        <f t="shared" si="57"/>
        <v>20</v>
      </c>
      <c r="G69">
        <f t="shared" si="57"/>
        <v>4</v>
      </c>
      <c r="H69">
        <f t="shared" si="57"/>
        <v>40</v>
      </c>
      <c r="I69">
        <f t="shared" si="57"/>
        <v>10</v>
      </c>
      <c r="J69">
        <f t="shared" si="57"/>
        <v>8</v>
      </c>
      <c r="K69">
        <f t="shared" si="57"/>
        <v>8</v>
      </c>
      <c r="L69">
        <v>2</v>
      </c>
      <c r="M69" s="13">
        <v>0</v>
      </c>
      <c r="N69" s="13">
        <v>1</v>
      </c>
      <c r="O69" s="13">
        <v>1</v>
      </c>
      <c r="P69" s="61">
        <v>0</v>
      </c>
      <c r="Q69" s="61">
        <v>2</v>
      </c>
      <c r="R69" s="61">
        <v>2</v>
      </c>
      <c r="S69" s="62">
        <v>1</v>
      </c>
      <c r="T69" s="62">
        <v>2</v>
      </c>
      <c r="U69" s="62">
        <v>3</v>
      </c>
      <c r="V69" s="63">
        <v>2</v>
      </c>
      <c r="W69" s="63">
        <v>3</v>
      </c>
      <c r="X69" s="63">
        <v>4</v>
      </c>
      <c r="Y69" s="63">
        <v>0.184</v>
      </c>
      <c r="Z69" s="63">
        <v>0.016</v>
      </c>
      <c r="AA69" s="62">
        <v>2</v>
      </c>
      <c r="AB69" s="62">
        <v>3</v>
      </c>
      <c r="AC69" s="62">
        <v>5</v>
      </c>
      <c r="AD69" s="63">
        <v>0.184</v>
      </c>
      <c r="AE69" s="63">
        <v>0.016</v>
      </c>
    </row>
    <row r="70" spans="2:33">
      <c r="C70">
        <f t="shared" ref="C70:K70" si="58">C17</f>
        <v>104</v>
      </c>
      <c r="D70">
        <f t="shared" si="58"/>
        <v>416</v>
      </c>
      <c r="E70">
        <f t="shared" si="58"/>
        <v>20</v>
      </c>
      <c r="F70">
        <f t="shared" si="58"/>
        <v>20</v>
      </c>
      <c r="G70">
        <f t="shared" si="58"/>
        <v>4</v>
      </c>
      <c r="H70">
        <f t="shared" si="58"/>
        <v>40</v>
      </c>
      <c r="I70">
        <f t="shared" si="58"/>
        <v>10</v>
      </c>
      <c r="J70">
        <f t="shared" si="58"/>
        <v>8</v>
      </c>
      <c r="K70">
        <f t="shared" si="58"/>
        <v>8</v>
      </c>
      <c r="L70">
        <v>2</v>
      </c>
      <c r="M70" s="13">
        <v>0</v>
      </c>
      <c r="N70" s="13">
        <v>1</v>
      </c>
      <c r="O70" s="13">
        <v>1</v>
      </c>
      <c r="P70" s="61">
        <v>0</v>
      </c>
      <c r="Q70" s="61">
        <v>2</v>
      </c>
      <c r="R70" s="61">
        <v>2</v>
      </c>
      <c r="S70" s="62">
        <v>1</v>
      </c>
      <c r="T70" s="62">
        <v>2</v>
      </c>
      <c r="U70" s="62">
        <v>3</v>
      </c>
      <c r="V70" s="63">
        <v>2</v>
      </c>
      <c r="W70" s="63">
        <v>3</v>
      </c>
      <c r="X70" s="63">
        <v>4</v>
      </c>
      <c r="Y70" s="63">
        <v>0.184</v>
      </c>
      <c r="Z70" s="63">
        <v>0.016</v>
      </c>
      <c r="AA70" s="62">
        <v>2</v>
      </c>
      <c r="AB70" s="62">
        <v>3</v>
      </c>
      <c r="AC70" s="62">
        <v>5</v>
      </c>
      <c r="AD70" s="63">
        <v>0.184</v>
      </c>
      <c r="AE70" s="63">
        <v>0.016</v>
      </c>
      <c r="AG70" t="s">
        <v>423</v>
      </c>
    </row>
    <row r="71" spans="2:33">
      <c r="C71">
        <f t="shared" ref="C71:K71" si="59">C18</f>
        <v>109</v>
      </c>
      <c r="D71">
        <f t="shared" si="59"/>
        <v>436</v>
      </c>
      <c r="E71">
        <f t="shared" si="59"/>
        <v>20</v>
      </c>
      <c r="F71">
        <f t="shared" si="59"/>
        <v>20</v>
      </c>
      <c r="G71">
        <f t="shared" si="59"/>
        <v>4</v>
      </c>
      <c r="H71">
        <f t="shared" si="59"/>
        <v>40</v>
      </c>
      <c r="I71">
        <f t="shared" si="59"/>
        <v>10</v>
      </c>
      <c r="J71">
        <f t="shared" si="59"/>
        <v>8</v>
      </c>
      <c r="K71">
        <f t="shared" si="59"/>
        <v>8</v>
      </c>
      <c r="L71">
        <v>2</v>
      </c>
      <c r="M71" s="13">
        <v>0</v>
      </c>
      <c r="N71" s="13">
        <v>1</v>
      </c>
      <c r="O71" s="13">
        <v>1</v>
      </c>
      <c r="P71" s="61">
        <v>0</v>
      </c>
      <c r="Q71" s="61">
        <v>2</v>
      </c>
      <c r="R71" s="61">
        <v>2</v>
      </c>
      <c r="S71" s="62">
        <v>1</v>
      </c>
      <c r="T71" s="62">
        <v>2</v>
      </c>
      <c r="U71" s="62">
        <v>3</v>
      </c>
      <c r="V71" s="63">
        <v>2</v>
      </c>
      <c r="W71" s="63">
        <v>3</v>
      </c>
      <c r="X71" s="63">
        <v>4</v>
      </c>
      <c r="Y71" s="63">
        <v>0.184</v>
      </c>
      <c r="Z71" s="63">
        <v>0.016</v>
      </c>
      <c r="AA71" s="62">
        <v>2</v>
      </c>
      <c r="AB71" s="62">
        <v>3</v>
      </c>
      <c r="AC71" s="62">
        <v>5</v>
      </c>
      <c r="AD71" s="63">
        <v>0.184</v>
      </c>
      <c r="AE71" s="63">
        <v>0.016</v>
      </c>
    </row>
    <row r="72" spans="2:33">
      <c r="C72">
        <f t="shared" ref="C72:K72" si="60">C19</f>
        <v>114</v>
      </c>
      <c r="D72">
        <f t="shared" si="60"/>
        <v>456</v>
      </c>
      <c r="E72">
        <f t="shared" si="60"/>
        <v>20</v>
      </c>
      <c r="F72">
        <f t="shared" si="60"/>
        <v>20</v>
      </c>
      <c r="G72">
        <f t="shared" si="60"/>
        <v>4</v>
      </c>
      <c r="H72">
        <f t="shared" si="60"/>
        <v>40</v>
      </c>
      <c r="I72">
        <f t="shared" si="60"/>
        <v>10</v>
      </c>
      <c r="J72">
        <f t="shared" si="60"/>
        <v>8</v>
      </c>
      <c r="K72">
        <f t="shared" si="60"/>
        <v>8</v>
      </c>
      <c r="L72">
        <v>2</v>
      </c>
      <c r="M72" s="13">
        <v>0</v>
      </c>
      <c r="N72" s="13">
        <v>1</v>
      </c>
      <c r="O72" s="13">
        <v>1</v>
      </c>
      <c r="P72" s="61">
        <v>0</v>
      </c>
      <c r="Q72" s="61">
        <v>2</v>
      </c>
      <c r="R72" s="61">
        <v>2</v>
      </c>
      <c r="S72" s="62">
        <v>1</v>
      </c>
      <c r="T72" s="62">
        <v>2</v>
      </c>
      <c r="U72" s="62">
        <v>3</v>
      </c>
      <c r="V72" s="63">
        <v>2</v>
      </c>
      <c r="W72" s="63">
        <v>3</v>
      </c>
      <c r="X72" s="63">
        <v>4</v>
      </c>
      <c r="Y72" s="63">
        <v>0.184</v>
      </c>
      <c r="Z72" s="63">
        <v>0.016</v>
      </c>
      <c r="AA72" s="62">
        <v>2</v>
      </c>
      <c r="AB72" s="62">
        <v>3</v>
      </c>
      <c r="AC72" s="62">
        <v>5</v>
      </c>
      <c r="AD72" s="63">
        <v>0.184</v>
      </c>
      <c r="AE72" s="63">
        <v>0.016</v>
      </c>
    </row>
    <row r="73" spans="2:33">
      <c r="C73">
        <f t="shared" ref="C73:K73" si="61">C20</f>
        <v>119</v>
      </c>
      <c r="D73">
        <f t="shared" si="61"/>
        <v>476</v>
      </c>
      <c r="E73">
        <f t="shared" si="61"/>
        <v>20</v>
      </c>
      <c r="F73">
        <f t="shared" si="61"/>
        <v>20</v>
      </c>
      <c r="G73">
        <f t="shared" si="61"/>
        <v>4</v>
      </c>
      <c r="H73">
        <f t="shared" si="61"/>
        <v>40</v>
      </c>
      <c r="I73">
        <f t="shared" si="61"/>
        <v>10</v>
      </c>
      <c r="J73">
        <f t="shared" si="61"/>
        <v>8</v>
      </c>
      <c r="K73">
        <f t="shared" si="61"/>
        <v>8</v>
      </c>
      <c r="L73">
        <v>2</v>
      </c>
      <c r="M73" s="13">
        <v>0</v>
      </c>
      <c r="N73" s="13">
        <v>1</v>
      </c>
      <c r="O73" s="13">
        <v>1</v>
      </c>
      <c r="P73" s="61">
        <v>0</v>
      </c>
      <c r="Q73" s="61">
        <v>2</v>
      </c>
      <c r="R73" s="61">
        <v>2</v>
      </c>
      <c r="S73" s="62">
        <v>1</v>
      </c>
      <c r="T73" s="62">
        <v>2</v>
      </c>
      <c r="U73" s="62">
        <v>3</v>
      </c>
      <c r="V73" s="63">
        <v>2</v>
      </c>
      <c r="W73" s="63">
        <v>3</v>
      </c>
      <c r="X73" s="63">
        <v>4</v>
      </c>
      <c r="Y73" s="63">
        <v>0.184</v>
      </c>
      <c r="Z73" s="63">
        <v>0.016</v>
      </c>
      <c r="AA73" s="62">
        <v>2</v>
      </c>
      <c r="AB73" s="62">
        <v>3</v>
      </c>
      <c r="AC73" s="62">
        <v>5</v>
      </c>
      <c r="AD73" s="63">
        <v>0.184</v>
      </c>
      <c r="AE73" s="63">
        <v>0.016</v>
      </c>
    </row>
    <row r="74" spans="2:33">
      <c r="C74">
        <f t="shared" ref="C74:K74" si="62">C21</f>
        <v>124</v>
      </c>
      <c r="D74">
        <f t="shared" si="62"/>
        <v>496</v>
      </c>
      <c r="E74">
        <f t="shared" si="62"/>
        <v>20</v>
      </c>
      <c r="F74">
        <f t="shared" si="62"/>
        <v>20</v>
      </c>
      <c r="G74">
        <f t="shared" si="62"/>
        <v>4</v>
      </c>
      <c r="H74">
        <f t="shared" si="62"/>
        <v>40</v>
      </c>
      <c r="I74">
        <f t="shared" si="62"/>
        <v>10</v>
      </c>
      <c r="J74">
        <f t="shared" si="62"/>
        <v>8</v>
      </c>
      <c r="K74">
        <f t="shared" si="62"/>
        <v>8</v>
      </c>
      <c r="L74">
        <v>2</v>
      </c>
      <c r="M74" s="13">
        <v>0</v>
      </c>
      <c r="N74" s="13">
        <v>1</v>
      </c>
      <c r="O74" s="13">
        <v>1</v>
      </c>
      <c r="P74" s="61">
        <v>0</v>
      </c>
      <c r="Q74" s="61">
        <v>2</v>
      </c>
      <c r="R74" s="61">
        <v>2</v>
      </c>
      <c r="S74" s="62">
        <v>1</v>
      </c>
      <c r="T74" s="62">
        <v>2</v>
      </c>
      <c r="U74" s="62">
        <v>3</v>
      </c>
      <c r="V74" s="63">
        <v>2</v>
      </c>
      <c r="W74" s="63">
        <v>3</v>
      </c>
      <c r="X74" s="63">
        <v>4</v>
      </c>
      <c r="Y74" s="63">
        <v>0.184</v>
      </c>
      <c r="Z74" s="63">
        <v>0.016</v>
      </c>
      <c r="AA74" s="62">
        <v>2</v>
      </c>
      <c r="AB74" s="62">
        <v>3</v>
      </c>
      <c r="AC74" s="62">
        <v>5</v>
      </c>
      <c r="AD74" s="63">
        <v>0.184</v>
      </c>
      <c r="AE74" s="63">
        <v>0.016</v>
      </c>
    </row>
    <row r="75" spans="2:33">
      <c r="C75">
        <f t="shared" ref="C75:K75" si="63">C22</f>
        <v>129</v>
      </c>
      <c r="D75">
        <f t="shared" si="63"/>
        <v>516</v>
      </c>
      <c r="E75">
        <f t="shared" si="63"/>
        <v>20</v>
      </c>
      <c r="F75">
        <f t="shared" si="63"/>
        <v>20</v>
      </c>
      <c r="G75">
        <f t="shared" si="63"/>
        <v>4</v>
      </c>
      <c r="H75">
        <f t="shared" si="63"/>
        <v>40</v>
      </c>
      <c r="I75">
        <f t="shared" si="63"/>
        <v>10</v>
      </c>
      <c r="J75">
        <f t="shared" si="63"/>
        <v>8</v>
      </c>
      <c r="K75">
        <f t="shared" si="63"/>
        <v>8</v>
      </c>
      <c r="L75">
        <v>2</v>
      </c>
      <c r="M75" s="13">
        <v>0</v>
      </c>
      <c r="N75" s="13">
        <v>1</v>
      </c>
      <c r="O75" s="13">
        <v>1</v>
      </c>
      <c r="P75" s="61">
        <v>0</v>
      </c>
      <c r="Q75" s="61">
        <v>2</v>
      </c>
      <c r="R75" s="61">
        <v>2</v>
      </c>
      <c r="S75" s="62">
        <v>1</v>
      </c>
      <c r="T75" s="62">
        <v>2</v>
      </c>
      <c r="U75" s="62">
        <v>3</v>
      </c>
      <c r="V75" s="63">
        <v>2</v>
      </c>
      <c r="W75" s="63">
        <v>3</v>
      </c>
      <c r="X75" s="63">
        <v>4</v>
      </c>
      <c r="Y75" s="63">
        <v>0.184</v>
      </c>
      <c r="Z75" s="63">
        <v>0.016</v>
      </c>
      <c r="AA75" s="62">
        <v>2</v>
      </c>
      <c r="AB75" s="62">
        <v>3</v>
      </c>
      <c r="AC75" s="62">
        <v>5</v>
      </c>
      <c r="AD75" s="63">
        <v>0.184</v>
      </c>
      <c r="AE75" s="63">
        <v>0.016</v>
      </c>
    </row>
    <row r="76" spans="2:33">
      <c r="C76">
        <f t="shared" ref="C76:K76" si="64">C23</f>
        <v>134</v>
      </c>
      <c r="D76">
        <f t="shared" si="64"/>
        <v>536</v>
      </c>
      <c r="E76">
        <f t="shared" si="64"/>
        <v>20</v>
      </c>
      <c r="F76">
        <f t="shared" si="64"/>
        <v>20</v>
      </c>
      <c r="G76">
        <f t="shared" si="64"/>
        <v>4</v>
      </c>
      <c r="H76">
        <f t="shared" si="64"/>
        <v>40</v>
      </c>
      <c r="I76">
        <f t="shared" si="64"/>
        <v>10</v>
      </c>
      <c r="J76">
        <f t="shared" si="64"/>
        <v>8</v>
      </c>
      <c r="K76">
        <f t="shared" si="64"/>
        <v>8</v>
      </c>
      <c r="L76">
        <v>2</v>
      </c>
      <c r="M76" s="13">
        <v>0</v>
      </c>
      <c r="N76" s="13">
        <v>1</v>
      </c>
      <c r="O76" s="13">
        <v>1</v>
      </c>
      <c r="P76" s="61">
        <v>0</v>
      </c>
      <c r="Q76" s="61">
        <v>2</v>
      </c>
      <c r="R76" s="61">
        <v>2</v>
      </c>
      <c r="S76" s="62">
        <v>1</v>
      </c>
      <c r="T76" s="62">
        <v>2</v>
      </c>
      <c r="U76" s="62">
        <v>3</v>
      </c>
      <c r="V76" s="63">
        <v>2</v>
      </c>
      <c r="W76" s="63">
        <v>3</v>
      </c>
      <c r="X76" s="63">
        <v>4</v>
      </c>
      <c r="Y76" s="63">
        <v>0.184</v>
      </c>
      <c r="Z76" s="63">
        <v>0.016</v>
      </c>
      <c r="AA76" s="62">
        <v>2</v>
      </c>
      <c r="AB76" s="62">
        <v>3</v>
      </c>
      <c r="AC76" s="62">
        <v>5</v>
      </c>
      <c r="AD76" s="63">
        <v>0.184</v>
      </c>
      <c r="AE76" s="63">
        <v>0.016</v>
      </c>
    </row>
    <row r="77" spans="2:33">
      <c r="C77">
        <f t="shared" ref="C77:K77" si="65">C24</f>
        <v>139</v>
      </c>
      <c r="D77">
        <f t="shared" si="65"/>
        <v>556</v>
      </c>
      <c r="E77">
        <f t="shared" si="65"/>
        <v>20</v>
      </c>
      <c r="F77">
        <f t="shared" si="65"/>
        <v>20</v>
      </c>
      <c r="G77">
        <f t="shared" si="65"/>
        <v>4</v>
      </c>
      <c r="H77">
        <f t="shared" si="65"/>
        <v>40</v>
      </c>
      <c r="I77">
        <f t="shared" si="65"/>
        <v>10</v>
      </c>
      <c r="J77">
        <f t="shared" si="65"/>
        <v>8</v>
      </c>
      <c r="K77">
        <f t="shared" si="65"/>
        <v>8</v>
      </c>
      <c r="L77">
        <v>2</v>
      </c>
      <c r="M77" s="13">
        <v>0</v>
      </c>
      <c r="N77" s="13">
        <v>1</v>
      </c>
      <c r="O77" s="13">
        <v>1</v>
      </c>
      <c r="P77" s="61">
        <v>0</v>
      </c>
      <c r="Q77" s="61">
        <v>2</v>
      </c>
      <c r="R77" s="61">
        <v>2</v>
      </c>
      <c r="S77" s="62">
        <v>1</v>
      </c>
      <c r="T77" s="62">
        <v>2</v>
      </c>
      <c r="U77" s="62">
        <v>3</v>
      </c>
      <c r="V77" s="63">
        <v>2</v>
      </c>
      <c r="W77" s="63">
        <v>3</v>
      </c>
      <c r="X77" s="63">
        <v>4</v>
      </c>
      <c r="Y77" s="63">
        <v>0.184</v>
      </c>
      <c r="Z77" s="63">
        <v>0.016</v>
      </c>
      <c r="AA77" s="62">
        <v>2</v>
      </c>
      <c r="AB77" s="62">
        <v>3</v>
      </c>
      <c r="AC77" s="62">
        <v>5</v>
      </c>
      <c r="AD77" s="63">
        <v>0.184</v>
      </c>
      <c r="AE77" s="63">
        <v>0.016</v>
      </c>
    </row>
    <row r="78" spans="2:33">
      <c r="C78">
        <f t="shared" ref="C78:K78" si="66">C25</f>
        <v>144</v>
      </c>
      <c r="D78">
        <f t="shared" si="66"/>
        <v>576</v>
      </c>
      <c r="E78">
        <f t="shared" si="66"/>
        <v>20</v>
      </c>
      <c r="F78">
        <f t="shared" si="66"/>
        <v>20</v>
      </c>
      <c r="G78">
        <f t="shared" si="66"/>
        <v>4</v>
      </c>
      <c r="H78">
        <f t="shared" si="66"/>
        <v>40</v>
      </c>
      <c r="I78">
        <f t="shared" si="66"/>
        <v>10</v>
      </c>
      <c r="J78">
        <f t="shared" si="66"/>
        <v>8</v>
      </c>
      <c r="K78">
        <f t="shared" si="66"/>
        <v>8</v>
      </c>
      <c r="L78">
        <v>2</v>
      </c>
      <c r="M78" s="13">
        <v>0</v>
      </c>
      <c r="N78" s="13">
        <v>1</v>
      </c>
      <c r="O78" s="13">
        <v>1</v>
      </c>
      <c r="P78" s="61">
        <v>0</v>
      </c>
      <c r="Q78" s="61">
        <v>2</v>
      </c>
      <c r="R78" s="61">
        <v>2</v>
      </c>
      <c r="S78" s="62">
        <v>1</v>
      </c>
      <c r="T78" s="62">
        <v>2</v>
      </c>
      <c r="U78" s="62">
        <v>3</v>
      </c>
      <c r="V78" s="63">
        <v>2</v>
      </c>
      <c r="W78" s="63">
        <v>3</v>
      </c>
      <c r="X78" s="63">
        <v>4</v>
      </c>
      <c r="Y78" s="63">
        <v>0.184</v>
      </c>
      <c r="Z78" s="63">
        <v>0.016</v>
      </c>
      <c r="AA78" s="62">
        <v>2</v>
      </c>
      <c r="AB78" s="62">
        <v>3</v>
      </c>
      <c r="AC78" s="62">
        <v>5</v>
      </c>
      <c r="AD78" s="63">
        <v>0.184</v>
      </c>
      <c r="AE78" s="63">
        <v>0.016</v>
      </c>
    </row>
    <row r="79" spans="2:33">
      <c r="C79">
        <f t="shared" ref="C79:K79" si="67">C26</f>
        <v>149</v>
      </c>
      <c r="D79">
        <f t="shared" si="67"/>
        <v>596</v>
      </c>
      <c r="E79">
        <f t="shared" si="67"/>
        <v>20</v>
      </c>
      <c r="F79">
        <f t="shared" si="67"/>
        <v>20</v>
      </c>
      <c r="G79">
        <f t="shared" si="67"/>
        <v>4</v>
      </c>
      <c r="H79">
        <f t="shared" si="67"/>
        <v>40</v>
      </c>
      <c r="I79">
        <f t="shared" si="67"/>
        <v>10</v>
      </c>
      <c r="J79">
        <f t="shared" si="67"/>
        <v>8</v>
      </c>
      <c r="K79">
        <f t="shared" si="67"/>
        <v>8</v>
      </c>
      <c r="L79">
        <v>2</v>
      </c>
      <c r="M79" s="13">
        <v>0</v>
      </c>
      <c r="N79" s="13">
        <v>1</v>
      </c>
      <c r="O79" s="13">
        <v>1</v>
      </c>
      <c r="P79" s="61">
        <v>0</v>
      </c>
      <c r="Q79" s="61">
        <v>2</v>
      </c>
      <c r="R79" s="61">
        <v>2</v>
      </c>
      <c r="S79" s="62">
        <v>1</v>
      </c>
      <c r="T79" s="62">
        <v>2</v>
      </c>
      <c r="U79" s="62">
        <v>3</v>
      </c>
      <c r="V79" s="63">
        <v>2</v>
      </c>
      <c r="W79" s="63">
        <v>3</v>
      </c>
      <c r="X79" s="63">
        <v>4</v>
      </c>
      <c r="Y79" s="63">
        <v>0.184</v>
      </c>
      <c r="Z79" s="63">
        <v>0.016</v>
      </c>
      <c r="AA79" s="62">
        <v>2</v>
      </c>
      <c r="AB79" s="62">
        <v>3</v>
      </c>
      <c r="AC79" s="62">
        <v>5</v>
      </c>
      <c r="AD79" s="63">
        <v>0.184</v>
      </c>
      <c r="AE79" s="63">
        <v>0.016</v>
      </c>
    </row>
    <row r="81" spans="2:37">
      <c r="M81" s="13" t="s">
        <v>404</v>
      </c>
      <c r="N81" s="13" t="s">
        <v>404</v>
      </c>
      <c r="O81" s="13" t="s">
        <v>404</v>
      </c>
      <c r="P81" s="61" t="s">
        <v>405</v>
      </c>
      <c r="Q81" s="61" t="s">
        <v>405</v>
      </c>
      <c r="R81" s="61" t="s">
        <v>405</v>
      </c>
      <c r="S81" s="62" t="s">
        <v>406</v>
      </c>
      <c r="T81" s="62" t="s">
        <v>406</v>
      </c>
      <c r="U81" s="62" t="s">
        <v>406</v>
      </c>
      <c r="V81" s="63" t="s">
        <v>407</v>
      </c>
      <c r="W81" s="63" t="s">
        <v>407</v>
      </c>
      <c r="X81" s="63" t="s">
        <v>407</v>
      </c>
      <c r="Y81" s="63"/>
      <c r="Z81" s="63"/>
      <c r="AA81" s="62" t="s">
        <v>408</v>
      </c>
      <c r="AB81" s="62" t="s">
        <v>408</v>
      </c>
      <c r="AC81" s="62" t="s">
        <v>408</v>
      </c>
      <c r="AD81" s="62"/>
      <c r="AE81" s="62"/>
      <c r="AG81" t="s">
        <v>410</v>
      </c>
      <c r="AH81" t="s">
        <v>411</v>
      </c>
      <c r="AI81" t="s">
        <v>150</v>
      </c>
    </row>
    <row r="82" ht="14.25" spans="2:37">
      <c r="B82">
        <v>1</v>
      </c>
      <c r="C82" t="str">
        <f ca="1" t="shared" ref="C82:L82" si="68">SUBSTITUTE(IF(C$11="","{progress_rate,"&amp;C$4&amp;","&amp;C65&amp;"}",IF(C65&gt;=1,"{progress,"&amp;C$11*100&amp;","&amp;C$4&amp;","&amp;C65&amp;"}","{progress_rate_roll,"&amp;C$11*100&amp;","&amp;INT(C65*10000)&amp;","&amp;C$4&amp;","&amp;1&amp;"}")),C$4,IF(ISNUMBER(C$4),C$4,OFFSET($AG82,0,MATCH(C$4,$AG$28:$AI$28,0)-1)))</f>
        <v>{progress_rate,2,79}</v>
      </c>
      <c r="D82" t="str">
        <f ca="1" t="shared" si="68"/>
        <v>{progress,0,2,316}</v>
      </c>
      <c r="E82" t="str">
        <f ca="1" t="shared" si="68"/>
        <v>{progress_rate,5103002,20}</v>
      </c>
      <c r="F82" t="str">
        <f ca="1" t="shared" si="68"/>
        <v>{progress,0,5103002,20}</v>
      </c>
      <c r="G82" t="str">
        <f ca="1" t="shared" si="68"/>
        <v>{progress_rate,5303001,4}</v>
      </c>
      <c r="H82" t="str">
        <f ca="1" t="shared" si="68"/>
        <v>{progress,0,5103002,40}</v>
      </c>
      <c r="I82" t="str">
        <f ca="1" t="shared" si="68"/>
        <v>{progress_rate,5203001,10}</v>
      </c>
      <c r="J82" t="str">
        <f ca="1" t="shared" si="68"/>
        <v>{progress_rate,50026,8}</v>
      </c>
      <c r="K82" t="str">
        <f ca="1" t="shared" si="68"/>
        <v>{progress,0,50026,8}</v>
      </c>
      <c r="L82" t="str">
        <f ca="1" t="shared" si="68"/>
        <v>{progress_rate,5204001,2}</v>
      </c>
      <c r="N82" s="13" t="str">
        <f ca="1" t="shared" ref="N82:N96" si="69">SUBSTITUTE(IF(N$11="","{progress_rate,"&amp;N$4&amp;","&amp;N65&amp;"}",IF(N65&gt;=1,"{progress,"&amp;N$11*100&amp;","&amp;N$4&amp;","&amp;N65&amp;"}","{progress_rate_roll,"&amp;N$11*100&amp;","&amp;INT(N65*10000)&amp;","&amp;N$4&amp;","&amp;1&amp;"}")),N$4,IF(ISNUMBER(N$4),N$4,OFFSET($AG82,0,MATCH(N$4,$AG$28:$AI$28,0)-1)))</f>
        <v>{progress,0,21345,1}</v>
      </c>
      <c r="O82" s="13" t="str">
        <f ca="1" t="shared" ref="O82:O96" si="70">SUBSTITUTE(IF(O$11="","{progress_rate,"&amp;O$4&amp;","&amp;O65&amp;"}",IF(O65&gt;=1,"{progress,"&amp;O$11*100&amp;","&amp;O$4&amp;","&amp;O65&amp;"}","{progress_rate_roll,"&amp;O$11*100&amp;","&amp;INT(O65*10000)&amp;","&amp;O$4&amp;","&amp;1&amp;"}")),O$4,IF(ISNUMBER(O$4),O$4,OFFSET($AG82,0,MATCH(O$4,$AG$28:$AI$28,0)-1)))</f>
        <v>{progress,0,5401000,1}</v>
      </c>
      <c r="P82" s="61" t="str">
        <f ca="1">SUBSTITUTE(IF(P$11="","{progress_rate,"&amp;P$4&amp;","&amp;P65&amp;"}",IF(P65&gt;=1,"{progress,"&amp;P$11*100&amp;","&amp;P$4&amp;","&amp;P65&amp;"}","{progress_rate_roll,"&amp;P$11*100&amp;","&amp;INT(P65*10000)&amp;","&amp;P$4&amp;","&amp;1&amp;"}")),P$4,IF(ISNUMBER(P$4),P$4,OFFSET($AG82,0,MATCH(P$4,$AG$28:$AI$28,0)-1)))</f>
        <v>{progress_rate_roll,0,0,21330,1}</v>
      </c>
      <c r="Q82" s="61" t="str">
        <f ca="1">SUBSTITUTE(IF(Q$11="","{progress_rate,"&amp;Q$4&amp;","&amp;Q65&amp;"}",IF(Q65&gt;=1,"{progress,"&amp;Q$11*100&amp;","&amp;Q$4&amp;","&amp;Q65&amp;"}","{progress_rate_roll,"&amp;Q$11*100&amp;","&amp;INT(Q65*10000)&amp;","&amp;Q$4&amp;","&amp;1&amp;"}")),Q$4,IF(ISNUMBER(Q$4),Q$4,OFFSET($AG82,0,MATCH(Q$4,$AG$28:$AI$28,0)-1)))</f>
        <v>{progress,0,21345,2}</v>
      </c>
      <c r="R82" s="61" t="str">
        <f ca="1" t="shared" ref="R82:R96" si="71">SUBSTITUTE(IF(R$11="","{progress_rate,"&amp;R$4&amp;","&amp;R65&amp;"}",IF(R65&gt;=1,"{progress,"&amp;R$11*100&amp;","&amp;R$4&amp;","&amp;R65&amp;"}","{progress_rate_roll,"&amp;R$11*100&amp;","&amp;INT(R65*10000)&amp;","&amp;R$4&amp;","&amp;1&amp;"}")),R$4,IF(ISNUMBER(R$4),R$4,OFFSET($AG82,0,MATCH(R$4,$AG$28:$AI$28,0)-1)))</f>
        <v>{progress,0,5401000,2}</v>
      </c>
      <c r="S82" s="62" t="str">
        <f ca="1">SUBSTITUTE(IF(S$11="","{progress_rate,"&amp;S$4&amp;","&amp;S65&amp;"}",IF(S65&gt;=1,"{progress,"&amp;S$11*100&amp;","&amp;S$4&amp;","&amp;S65&amp;"}","{progress_rate_roll,"&amp;S$11*100&amp;","&amp;INT(S65*10000)&amp;","&amp;S$4&amp;","&amp;1&amp;"}")),S$4,IF(ISNUMBER(S$4),S$4,OFFSET($AG82,0,MATCH(S$4,$AG$28:$AI$28,0)-1)))</f>
        <v>{progress,0,21330,1}</v>
      </c>
      <c r="T82" s="62" t="str">
        <f ca="1">SUBSTITUTE(IF(T$11="","{progress_rate,"&amp;T$4&amp;","&amp;T65&amp;"}",IF(T65&gt;=1,"{progress,"&amp;T$11*100&amp;","&amp;T$4&amp;","&amp;T65&amp;"}","{progress_rate_roll,"&amp;T$11*100&amp;","&amp;INT(T65*10000)&amp;","&amp;T$4&amp;","&amp;1&amp;"}")),T$4,IF(ISNUMBER(T$4),T$4,OFFSET($AG82,0,MATCH(T$4,$AG$28:$AI$28,0)-1)))</f>
        <v>{progress,0,21345,2}</v>
      </c>
      <c r="U82" s="62" t="str">
        <f ca="1" t="shared" ref="U82:U96" si="72">SUBSTITUTE(IF(U$11="","{progress_rate,"&amp;U$4&amp;","&amp;U65&amp;"}",IF(U65&gt;=1,"{progress,"&amp;U$11*100&amp;","&amp;U$4&amp;","&amp;U65&amp;"}","{progress_rate_roll,"&amp;U$11*100&amp;","&amp;INT(U65*10000)&amp;","&amp;U$4&amp;","&amp;1&amp;"}")),U$4,IF(ISNUMBER(U$4),U$4,OFFSET($AG82,0,MATCH(U$4,$AG$28:$AI$28,0)-1)))</f>
        <v>{progress,0,5401000,3}</v>
      </c>
      <c r="V82" s="63" t="str">
        <f ca="1" t="shared" ref="V82:AE82" si="73">SUBSTITUTE(IF(V$11="","{progress_rate,"&amp;V$4&amp;","&amp;V65&amp;"}",IF(V65&gt;=1,"{progress,"&amp;V$11*100&amp;","&amp;V$4&amp;","&amp;V65&amp;"}","{progress_rate_roll,"&amp;V$11*100&amp;","&amp;INT(V65*10000)&amp;","&amp;V$4&amp;","&amp;1&amp;"}")),V$4,IF(ISNUMBER(V$4),V$4,OFFSET($AG82,0,MATCH(V$4,$AG$28:$AI$28,0)-1)))</f>
        <v>{progress,0,21330,2}</v>
      </c>
      <c r="W82" s="63" t="str">
        <f ca="1" t="shared" si="73"/>
        <v>{progress,0,21345,3}</v>
      </c>
      <c r="X82" s="63" t="str">
        <f ca="1" t="shared" si="73"/>
        <v>{progress,0,5401000,4}</v>
      </c>
      <c r="Y82" s="63" t="str">
        <f ca="1" t="shared" si="73"/>
        <v>{progress_rate_roll,0,1840,9,1}</v>
      </c>
      <c r="Z82" s="63" t="str">
        <f ca="1" t="shared" si="73"/>
        <v>{progress_rate_roll,0,160,30,1}</v>
      </c>
      <c r="AA82" s="62" t="str">
        <f ca="1" t="shared" si="73"/>
        <v>{progress,0,21330,2}</v>
      </c>
      <c r="AB82" s="62" t="str">
        <f ca="1" t="shared" si="73"/>
        <v>{progress,0,21345,3}</v>
      </c>
      <c r="AC82" s="62" t="str">
        <f ca="1" t="shared" si="73"/>
        <v>{progress,0,5401000,5}</v>
      </c>
      <c r="AD82" s="63" t="str">
        <f ca="1" t="shared" si="73"/>
        <v>{progress_rate_roll,0,1840,9,1}</v>
      </c>
      <c r="AE82" s="63" t="str">
        <f ca="1" t="shared" si="73"/>
        <v>{progress_rate_roll,0,160,30,1}</v>
      </c>
      <c r="AG82" s="17">
        <f t="shared" ref="AG82:AG96" si="74">AG29+30</f>
        <v>21330</v>
      </c>
      <c r="AH82" s="17">
        <f t="shared" ref="AH82:AH96" si="75">AH29+30</f>
        <v>21345</v>
      </c>
      <c r="AI82">
        <v>5401000</v>
      </c>
      <c r="AK82" s="17"/>
    </row>
    <row r="83" ht="14.25" spans="2:37">
      <c r="B83">
        <v>2</v>
      </c>
      <c r="C83" t="str">
        <f ca="1" t="shared" ref="C83:K83" si="76">SUBSTITUTE(IF(C$11="","{progress_rate,"&amp;C$4&amp;","&amp;C66&amp;"}",IF(C66&gt;=1,"{progress,"&amp;C$11*100&amp;","&amp;C$4&amp;","&amp;C66&amp;"}","{progress_rate_roll,"&amp;C$11*100&amp;","&amp;INT(C66*10000)&amp;","&amp;C$4&amp;","&amp;1&amp;"}")),C$4,IF(ISNUMBER(C$4),C$4,OFFSET($AG83,0,MATCH(C$4,$AG$28:$AI$28,0)-1)))</f>
        <v>{progress_rate,2,84}</v>
      </c>
      <c r="D83" t="str">
        <f ca="1" t="shared" si="76"/>
        <v>{progress,0,2,336}</v>
      </c>
      <c r="E83" t="str">
        <f ca="1" t="shared" si="76"/>
        <v>{progress_rate,5103002,20}</v>
      </c>
      <c r="F83" t="str">
        <f ca="1" t="shared" si="76"/>
        <v>{progress,0,5103002,20}</v>
      </c>
      <c r="G83" t="str">
        <f ca="1" t="shared" si="76"/>
        <v>{progress_rate,5303001,4}</v>
      </c>
      <c r="H83" t="str">
        <f ca="1" t="shared" si="76"/>
        <v>{progress,0,5103002,40}</v>
      </c>
      <c r="I83" t="str">
        <f ca="1" t="shared" si="76"/>
        <v>{progress_rate,5203001,10}</v>
      </c>
      <c r="J83" t="str">
        <f ca="1" t="shared" si="76"/>
        <v>{progress_rate,50026,8}</v>
      </c>
      <c r="K83" t="str">
        <f ca="1" t="shared" si="76"/>
        <v>{progress,0,50026,8}</v>
      </c>
      <c r="L83" t="str">
        <f ca="1" t="shared" ref="L83:L96" si="77">SUBSTITUTE(IF(L$11="","{progress_rate,"&amp;L$4&amp;","&amp;L66&amp;"}",IF(L66&gt;=1,"{progress,"&amp;L$11*100&amp;","&amp;L$4&amp;","&amp;L66&amp;"}","{progress_rate_roll,"&amp;L$11*100&amp;","&amp;INT(L66*10000)&amp;","&amp;L$4&amp;","&amp;1&amp;"}")),L$4,IF(ISNUMBER(L$4),L$4,OFFSET($AG83,0,MATCH(L$4,$AG$28:$AI$28,0)-1)))</f>
        <v>{progress_rate,5204001,2}</v>
      </c>
      <c r="N83" s="13" t="str">
        <f ca="1" t="shared" si="69"/>
        <v>{progress,0,21346,1}</v>
      </c>
      <c r="O83" s="13" t="str">
        <f ca="1" t="shared" si="70"/>
        <v>{progress,0,5401000,1}</v>
      </c>
      <c r="P83" s="61" t="str">
        <f ca="1" t="shared" ref="P83:P96" si="78">SUBSTITUTE(IF(P$11="","{progress_rate,"&amp;P$4&amp;","&amp;P66&amp;"}",IF(P66&gt;=1,"{progress,"&amp;P$11*100&amp;","&amp;P$4&amp;","&amp;P66&amp;"}","{progress_rate_roll,"&amp;P$11*100&amp;","&amp;INT(P66*10000)&amp;","&amp;P$4&amp;","&amp;1&amp;"}")),P$4,IF(ISNUMBER(P$4),P$4,OFFSET($AG83,0,MATCH(P$4,$AG$28:$AI$28,0)-1)))</f>
        <v>{progress_rate_roll,0,0,21331,1}</v>
      </c>
      <c r="Q83" s="61" t="str">
        <f ca="1" t="shared" ref="Q82:Q96" si="79">SUBSTITUTE(IF(Q$11="","{progress_rate,"&amp;Q$4&amp;","&amp;Q66&amp;"}",IF(Q66&gt;=1,"{progress,"&amp;Q$11*100&amp;","&amp;Q$4&amp;","&amp;Q66&amp;"}","{progress_rate_roll,"&amp;Q$11*100&amp;","&amp;INT(Q66*10000)&amp;","&amp;Q$4&amp;","&amp;1&amp;"}")),Q$4,IF(ISNUMBER(Q$4),Q$4,OFFSET($AG83,0,MATCH(Q$4,$AG$28:$AI$28,0)-1)))</f>
        <v>{progress,0,21346,2}</v>
      </c>
      <c r="R83" s="61" t="str">
        <f ca="1" t="shared" si="71"/>
        <v>{progress,0,5401000,2}</v>
      </c>
      <c r="S83" s="62" t="str">
        <f ca="1" t="shared" ref="S82:S96" si="80">SUBSTITUTE(IF(S$11="","{progress_rate,"&amp;S$4&amp;","&amp;S66&amp;"}",IF(S66&gt;=1,"{progress,"&amp;S$11*100&amp;","&amp;S$4&amp;","&amp;S66&amp;"}","{progress_rate_roll,"&amp;S$11*100&amp;","&amp;INT(S66*10000)&amp;","&amp;S$4&amp;","&amp;1&amp;"}")),S$4,IF(ISNUMBER(S$4),S$4,OFFSET($AG83,0,MATCH(S$4,$AG$28:$AI$28,0)-1)))</f>
        <v>{progress,0,21331,1}</v>
      </c>
      <c r="T83" s="62" t="str">
        <f ca="1" t="shared" ref="T82:T96" si="81">SUBSTITUTE(IF(T$11="","{progress_rate,"&amp;T$4&amp;","&amp;T66&amp;"}",IF(T66&gt;=1,"{progress,"&amp;T$11*100&amp;","&amp;T$4&amp;","&amp;T66&amp;"}","{progress_rate_roll,"&amp;T$11*100&amp;","&amp;INT(T66*10000)&amp;","&amp;T$4&amp;","&amp;1&amp;"}")),T$4,IF(ISNUMBER(T$4),T$4,OFFSET($AG83,0,MATCH(T$4,$AG$28:$AI$28,0)-1)))</f>
        <v>{progress,0,21346,2}</v>
      </c>
      <c r="U83" s="62" t="str">
        <f ca="1" t="shared" si="72"/>
        <v>{progress,0,5401000,3}</v>
      </c>
      <c r="V83" s="63" t="str">
        <f ca="1" t="shared" ref="V83:AC83" si="82">SUBSTITUTE(IF(V$11="","{progress_rate,"&amp;V$4&amp;","&amp;V66&amp;"}",IF(V66&gt;=1,"{progress,"&amp;V$11*100&amp;","&amp;V$4&amp;","&amp;V66&amp;"}","{progress_rate_roll,"&amp;V$11*100&amp;","&amp;INT(V66*10000)&amp;","&amp;V$4&amp;","&amp;1&amp;"}")),V$4,IF(ISNUMBER(V$4),V$4,OFFSET($AG83,0,MATCH(V$4,$AG$28:$AI$28,0)-1)))</f>
        <v>{progress,0,21331,2}</v>
      </c>
      <c r="W83" s="63" t="str">
        <f ca="1" t="shared" si="82"/>
        <v>{progress,0,21346,3}</v>
      </c>
      <c r="X83" s="63" t="str">
        <f ca="1" t="shared" si="82"/>
        <v>{progress,0,5401000,4}</v>
      </c>
      <c r="Y83" s="63" t="str">
        <f ca="1" t="shared" ref="Y83:Y96" si="83">SUBSTITUTE(IF(Y$11="","{progress_rate,"&amp;Y$4&amp;","&amp;Y66&amp;"}",IF(Y66&gt;=1,"{progress,"&amp;Y$11*100&amp;","&amp;Y$4&amp;","&amp;Y66&amp;"}","{progress_rate_roll,"&amp;Y$11*100&amp;","&amp;INT(Y66*10000)&amp;","&amp;Y$4&amp;","&amp;1&amp;"}")),Y$4,IF(ISNUMBER(Y$4),Y$4,OFFSET($AG83,0,MATCH(Y$4,$AG$28:$AI$28,0)-1)))</f>
        <v>{progress_rate_roll,0,1840,9,1}</v>
      </c>
      <c r="Z83" s="63" t="str">
        <f ca="1" t="shared" ref="Z83:Z96" si="84">SUBSTITUTE(IF(Z$11="","{progress_rate,"&amp;Z$4&amp;","&amp;Z66&amp;"}",IF(Z66&gt;=1,"{progress,"&amp;Z$11*100&amp;","&amp;Z$4&amp;","&amp;Z66&amp;"}","{progress_rate_roll,"&amp;Z$11*100&amp;","&amp;INT(Z66*10000)&amp;","&amp;Z$4&amp;","&amp;1&amp;"}")),Z$4,IF(ISNUMBER(Z$4),Z$4,OFFSET($AG83,0,MATCH(Z$4,$AG$28:$AI$28,0)-1)))</f>
        <v>{progress_rate_roll,0,160,30,1}</v>
      </c>
      <c r="AA83" s="62" t="str">
        <f ca="1" t="shared" ref="AA83:AA96" si="85">SUBSTITUTE(IF(AA$11="","{progress_rate,"&amp;AA$4&amp;","&amp;AA66&amp;"}",IF(AA66&gt;=1,"{progress,"&amp;AA$11*100&amp;","&amp;AA$4&amp;","&amp;AA66&amp;"}","{progress_rate_roll,"&amp;AA$11*100&amp;","&amp;INT(AA66*10000)&amp;","&amp;AA$4&amp;","&amp;1&amp;"}")),AA$4,IF(ISNUMBER(AA$4),AA$4,OFFSET($AG83,0,MATCH(AA$4,$AG$28:$AI$28,0)-1)))</f>
        <v>{progress,0,21331,2}</v>
      </c>
      <c r="AB83" s="62" t="str">
        <f ca="1" t="shared" ref="AB83:AB96" si="86">SUBSTITUTE(IF(AB$11="","{progress_rate,"&amp;AB$4&amp;","&amp;AB66&amp;"}",IF(AB66&gt;=1,"{progress,"&amp;AB$11*100&amp;","&amp;AB$4&amp;","&amp;AB66&amp;"}","{progress_rate_roll,"&amp;AB$11*100&amp;","&amp;INT(AB66*10000)&amp;","&amp;AB$4&amp;","&amp;1&amp;"}")),AB$4,IF(ISNUMBER(AB$4),AB$4,OFFSET($AG83,0,MATCH(AB$4,$AG$28:$AI$28,0)-1)))</f>
        <v>{progress,0,21346,3}</v>
      </c>
      <c r="AC83" s="62" t="str">
        <f ca="1" t="shared" ref="AC83:AC96" si="87">SUBSTITUTE(IF(AC$11="","{progress_rate,"&amp;AC$4&amp;","&amp;AC66&amp;"}",IF(AC66&gt;=1,"{progress,"&amp;AC$11*100&amp;","&amp;AC$4&amp;","&amp;AC66&amp;"}","{progress_rate_roll,"&amp;AC$11*100&amp;","&amp;INT(AC66*10000)&amp;","&amp;AC$4&amp;","&amp;1&amp;"}")),AC$4,IF(ISNUMBER(AC$4),AC$4,OFFSET($AG83,0,MATCH(AC$4,$AG$28:$AI$28,0)-1)))</f>
        <v>{progress,0,5401000,5}</v>
      </c>
      <c r="AD83" s="63" t="str">
        <f ca="1" t="shared" ref="AD83:AD96" si="88">SUBSTITUTE(IF(AD$11="","{progress_rate,"&amp;AD$4&amp;","&amp;AD66&amp;"}",IF(AD66&gt;=1,"{progress,"&amp;AD$11*100&amp;","&amp;AD$4&amp;","&amp;AD66&amp;"}","{progress_rate_roll,"&amp;AD$11*100&amp;","&amp;INT(AD66*10000)&amp;","&amp;AD$4&amp;","&amp;1&amp;"}")),AD$4,IF(ISNUMBER(AD$4),AD$4,OFFSET($AG83,0,MATCH(AD$4,$AG$28:$AI$28,0)-1)))</f>
        <v>{progress_rate_roll,0,1840,9,1}</v>
      </c>
      <c r="AE83" s="63" t="str">
        <f ca="1" t="shared" ref="AE83:AE96" si="89">SUBSTITUTE(IF(AE$11="","{progress_rate,"&amp;AE$4&amp;","&amp;AE66&amp;"}",IF(AE66&gt;=1,"{progress,"&amp;AE$11*100&amp;","&amp;AE$4&amp;","&amp;AE66&amp;"}","{progress_rate_roll,"&amp;AE$11*100&amp;","&amp;INT(AE66*10000)&amp;","&amp;AE$4&amp;","&amp;1&amp;"}")),AE$4,IF(ISNUMBER(AE$4),AE$4,OFFSET($AG83,0,MATCH(AE$4,$AG$28:$AI$28,0)-1)))</f>
        <v>{progress_rate_roll,0,160,30,1}</v>
      </c>
      <c r="AG83" s="17">
        <f t="shared" si="74"/>
        <v>21331</v>
      </c>
      <c r="AH83" s="17">
        <f t="shared" si="75"/>
        <v>21346</v>
      </c>
      <c r="AI83">
        <v>5401000</v>
      </c>
      <c r="AK83" s="17"/>
    </row>
    <row r="84" ht="14.25" spans="2:37">
      <c r="B84">
        <v>3</v>
      </c>
      <c r="C84" t="str">
        <f ca="1" t="shared" ref="C84:K84" si="90">SUBSTITUTE(IF(C$11="","{progress_rate,"&amp;C$4&amp;","&amp;C67&amp;"}",IF(C67&gt;=1,"{progress,"&amp;C$11*100&amp;","&amp;C$4&amp;","&amp;C67&amp;"}","{progress_rate_roll,"&amp;C$11*100&amp;","&amp;INT(C67*10000)&amp;","&amp;C$4&amp;","&amp;1&amp;"}")),C$4,IF(ISNUMBER(C$4),C$4,OFFSET($AG84,0,MATCH(C$4,$AG$28:$AI$28,0)-1)))</f>
        <v>{progress_rate,2,89}</v>
      </c>
      <c r="D84" t="str">
        <f ca="1" t="shared" si="90"/>
        <v>{progress,0,2,356}</v>
      </c>
      <c r="E84" t="str">
        <f ca="1" t="shared" si="90"/>
        <v>{progress_rate,5103002,20}</v>
      </c>
      <c r="F84" t="str">
        <f ca="1" t="shared" si="90"/>
        <v>{progress,0,5103002,20}</v>
      </c>
      <c r="G84" t="str">
        <f ca="1" t="shared" si="90"/>
        <v>{progress_rate,5303001,4}</v>
      </c>
      <c r="H84" t="str">
        <f ca="1" t="shared" si="90"/>
        <v>{progress,0,5103002,40}</v>
      </c>
      <c r="I84" t="str">
        <f ca="1" t="shared" si="90"/>
        <v>{progress_rate,5203001,10}</v>
      </c>
      <c r="J84" t="str">
        <f ca="1" t="shared" si="90"/>
        <v>{progress_rate,50026,8}</v>
      </c>
      <c r="K84" t="str">
        <f ca="1" t="shared" si="90"/>
        <v>{progress,0,50026,8}</v>
      </c>
      <c r="L84" t="str">
        <f ca="1" t="shared" si="77"/>
        <v>{progress_rate,5204001,2}</v>
      </c>
      <c r="N84" s="13" t="str">
        <f ca="1" t="shared" si="69"/>
        <v>{progress,0,21347,1}</v>
      </c>
      <c r="O84" s="13" t="str">
        <f ca="1" t="shared" si="70"/>
        <v>{progress,0,5401000,1}</v>
      </c>
      <c r="P84" s="61" t="str">
        <f ca="1" t="shared" si="78"/>
        <v>{progress_rate_roll,0,0,21332,1}</v>
      </c>
      <c r="Q84" s="61" t="str">
        <f ca="1" t="shared" si="79"/>
        <v>{progress,0,21347,2}</v>
      </c>
      <c r="R84" s="61" t="str">
        <f ca="1" t="shared" si="71"/>
        <v>{progress,0,5401000,2}</v>
      </c>
      <c r="S84" s="62" t="str">
        <f ca="1" t="shared" si="80"/>
        <v>{progress,0,21332,1}</v>
      </c>
      <c r="T84" s="62" t="str">
        <f ca="1" t="shared" si="81"/>
        <v>{progress,0,21347,2}</v>
      </c>
      <c r="U84" s="62" t="str">
        <f ca="1" t="shared" si="72"/>
        <v>{progress,0,5401000,3}</v>
      </c>
      <c r="V84" s="63" t="str">
        <f ca="1" t="shared" ref="V84:AC84" si="91">SUBSTITUTE(IF(V$11="","{progress_rate,"&amp;V$4&amp;","&amp;V67&amp;"}",IF(V67&gt;=1,"{progress,"&amp;V$11*100&amp;","&amp;V$4&amp;","&amp;V67&amp;"}","{progress_rate_roll,"&amp;V$11*100&amp;","&amp;INT(V67*10000)&amp;","&amp;V$4&amp;","&amp;1&amp;"}")),V$4,IF(ISNUMBER(V$4),V$4,OFFSET($AG84,0,MATCH(V$4,$AG$28:$AI$28,0)-1)))</f>
        <v>{progress,0,21332,2}</v>
      </c>
      <c r="W84" s="63" t="str">
        <f ca="1" t="shared" si="91"/>
        <v>{progress,0,21347,3}</v>
      </c>
      <c r="X84" s="63" t="str">
        <f ca="1" t="shared" si="91"/>
        <v>{progress,0,5401000,4}</v>
      </c>
      <c r="Y84" s="63" t="str">
        <f ca="1" t="shared" si="83"/>
        <v>{progress_rate_roll,0,1840,9,1}</v>
      </c>
      <c r="Z84" s="63" t="str">
        <f ca="1" t="shared" si="84"/>
        <v>{progress_rate_roll,0,160,30,1}</v>
      </c>
      <c r="AA84" s="62" t="str">
        <f ca="1" t="shared" si="85"/>
        <v>{progress,0,21332,2}</v>
      </c>
      <c r="AB84" s="62" t="str">
        <f ca="1" t="shared" si="86"/>
        <v>{progress,0,21347,3}</v>
      </c>
      <c r="AC84" s="62" t="str">
        <f ca="1" t="shared" si="87"/>
        <v>{progress,0,5401000,5}</v>
      </c>
      <c r="AD84" s="63" t="str">
        <f ca="1" t="shared" si="88"/>
        <v>{progress_rate_roll,0,1840,9,1}</v>
      </c>
      <c r="AE84" s="63" t="str">
        <f ca="1" t="shared" si="89"/>
        <v>{progress_rate_roll,0,160,30,1}</v>
      </c>
      <c r="AG84" s="17">
        <f t="shared" si="74"/>
        <v>21332</v>
      </c>
      <c r="AH84" s="17">
        <f t="shared" si="75"/>
        <v>21347</v>
      </c>
      <c r="AI84">
        <v>5401000</v>
      </c>
      <c r="AK84" s="17"/>
    </row>
    <row r="85" ht="14.25" spans="2:37">
      <c r="B85">
        <v>4</v>
      </c>
      <c r="C85" t="str">
        <f ca="1" t="shared" ref="C85:K85" si="92">SUBSTITUTE(IF(C$11="","{progress_rate,"&amp;C$4&amp;","&amp;C68&amp;"}",IF(C68&gt;=1,"{progress,"&amp;C$11*100&amp;","&amp;C$4&amp;","&amp;C68&amp;"}","{progress_rate_roll,"&amp;C$11*100&amp;","&amp;INT(C68*10000)&amp;","&amp;C$4&amp;","&amp;1&amp;"}")),C$4,IF(ISNUMBER(C$4),C$4,OFFSET($AG85,0,MATCH(C$4,$AG$28:$AI$28,0)-1)))</f>
        <v>{progress_rate,2,94}</v>
      </c>
      <c r="D85" t="str">
        <f ca="1" t="shared" si="92"/>
        <v>{progress,0,2,376}</v>
      </c>
      <c r="E85" t="str">
        <f ca="1" t="shared" si="92"/>
        <v>{progress_rate,5103002,20}</v>
      </c>
      <c r="F85" t="str">
        <f ca="1" t="shared" si="92"/>
        <v>{progress,0,5103002,20}</v>
      </c>
      <c r="G85" t="str">
        <f ca="1" t="shared" si="92"/>
        <v>{progress_rate,5303001,4}</v>
      </c>
      <c r="H85" t="str">
        <f ca="1" t="shared" si="92"/>
        <v>{progress,0,5103002,40}</v>
      </c>
      <c r="I85" t="str">
        <f ca="1" t="shared" si="92"/>
        <v>{progress_rate,5203001,10}</v>
      </c>
      <c r="J85" t="str">
        <f ca="1" t="shared" si="92"/>
        <v>{progress_rate,50026,8}</v>
      </c>
      <c r="K85" t="str">
        <f ca="1" t="shared" si="92"/>
        <v>{progress,0,50026,8}</v>
      </c>
      <c r="L85" t="str">
        <f ca="1" t="shared" si="77"/>
        <v>{progress_rate,5204001,2}</v>
      </c>
      <c r="N85" s="13" t="str">
        <f ca="1" t="shared" si="69"/>
        <v>{progress,0,21348,1}</v>
      </c>
      <c r="O85" s="13" t="str">
        <f ca="1" t="shared" si="70"/>
        <v>{progress,0,5401000,1}</v>
      </c>
      <c r="P85" s="61" t="str">
        <f ca="1" t="shared" si="78"/>
        <v>{progress_rate_roll,0,0,21333,1}</v>
      </c>
      <c r="Q85" s="61" t="str">
        <f ca="1" t="shared" si="79"/>
        <v>{progress,0,21348,2}</v>
      </c>
      <c r="R85" s="61" t="str">
        <f ca="1" t="shared" si="71"/>
        <v>{progress,0,5401000,2}</v>
      </c>
      <c r="S85" s="62" t="str">
        <f ca="1" t="shared" si="80"/>
        <v>{progress,0,21333,1}</v>
      </c>
      <c r="T85" s="62" t="str">
        <f ca="1" t="shared" si="81"/>
        <v>{progress,0,21348,2}</v>
      </c>
      <c r="U85" s="62" t="str">
        <f ca="1" t="shared" si="72"/>
        <v>{progress,0,5401000,3}</v>
      </c>
      <c r="V85" s="63" t="str">
        <f ca="1" t="shared" ref="V85:AC85" si="93">SUBSTITUTE(IF(V$11="","{progress_rate,"&amp;V$4&amp;","&amp;V68&amp;"}",IF(V68&gt;=1,"{progress,"&amp;V$11*100&amp;","&amp;V$4&amp;","&amp;V68&amp;"}","{progress_rate_roll,"&amp;V$11*100&amp;","&amp;INT(V68*10000)&amp;","&amp;V$4&amp;","&amp;1&amp;"}")),V$4,IF(ISNUMBER(V$4),V$4,OFFSET($AG85,0,MATCH(V$4,$AG$28:$AI$28,0)-1)))</f>
        <v>{progress,0,21333,2}</v>
      </c>
      <c r="W85" s="63" t="str">
        <f ca="1" t="shared" si="93"/>
        <v>{progress,0,21348,3}</v>
      </c>
      <c r="X85" s="63" t="str">
        <f ca="1" t="shared" si="93"/>
        <v>{progress,0,5401000,4}</v>
      </c>
      <c r="Y85" s="63" t="str">
        <f ca="1" t="shared" si="83"/>
        <v>{progress_rate_roll,0,1840,9,1}</v>
      </c>
      <c r="Z85" s="63" t="str">
        <f ca="1" t="shared" si="84"/>
        <v>{progress_rate_roll,0,160,30,1}</v>
      </c>
      <c r="AA85" s="62" t="str">
        <f ca="1" t="shared" si="85"/>
        <v>{progress,0,21333,2}</v>
      </c>
      <c r="AB85" s="62" t="str">
        <f ca="1" t="shared" si="86"/>
        <v>{progress,0,21348,3}</v>
      </c>
      <c r="AC85" s="62" t="str">
        <f ca="1" t="shared" si="87"/>
        <v>{progress,0,5401000,5}</v>
      </c>
      <c r="AD85" s="63" t="str">
        <f ca="1" t="shared" si="88"/>
        <v>{progress_rate_roll,0,1840,9,1}</v>
      </c>
      <c r="AE85" s="63" t="str">
        <f ca="1" t="shared" si="89"/>
        <v>{progress_rate_roll,0,160,30,1}</v>
      </c>
      <c r="AG85" s="17">
        <f t="shared" si="74"/>
        <v>21333</v>
      </c>
      <c r="AH85" s="17">
        <f t="shared" si="75"/>
        <v>21348</v>
      </c>
      <c r="AI85">
        <v>5401000</v>
      </c>
      <c r="AK85" s="17"/>
    </row>
    <row r="86" ht="14.25" spans="2:37">
      <c r="B86">
        <v>5</v>
      </c>
      <c r="C86" t="str">
        <f ca="1" t="shared" ref="C86:K86" si="94">SUBSTITUTE(IF(C$11="","{progress_rate,"&amp;C$4&amp;","&amp;C69&amp;"}",IF(C69&gt;=1,"{progress,"&amp;C$11*100&amp;","&amp;C$4&amp;","&amp;C69&amp;"}","{progress_rate_roll,"&amp;C$11*100&amp;","&amp;INT(C69*10000)&amp;","&amp;C$4&amp;","&amp;1&amp;"}")),C$4,IF(ISNUMBER(C$4),C$4,OFFSET($AG86,0,MATCH(C$4,$AG$28:$AI$28,0)-1)))</f>
        <v>{progress_rate,2,99}</v>
      </c>
      <c r="D86" t="str">
        <f ca="1" t="shared" si="94"/>
        <v>{progress,0,2,396}</v>
      </c>
      <c r="E86" t="str">
        <f ca="1" t="shared" si="94"/>
        <v>{progress_rate,5103002,20}</v>
      </c>
      <c r="F86" t="str">
        <f ca="1" t="shared" si="94"/>
        <v>{progress,0,5103002,20}</v>
      </c>
      <c r="G86" t="str">
        <f ca="1" t="shared" si="94"/>
        <v>{progress_rate,5303001,4}</v>
      </c>
      <c r="H86" t="str">
        <f ca="1" t="shared" si="94"/>
        <v>{progress,0,5103002,40}</v>
      </c>
      <c r="I86" t="str">
        <f ca="1" t="shared" si="94"/>
        <v>{progress_rate,5203001,10}</v>
      </c>
      <c r="J86" t="str">
        <f ca="1" t="shared" si="94"/>
        <v>{progress_rate,50026,8}</v>
      </c>
      <c r="K86" t="str">
        <f ca="1" t="shared" si="94"/>
        <v>{progress,0,50026,8}</v>
      </c>
      <c r="L86" t="str">
        <f ca="1" t="shared" si="77"/>
        <v>{progress_rate,5204001,2}</v>
      </c>
      <c r="N86" s="13" t="str">
        <f ca="1" t="shared" si="69"/>
        <v>{progress,0,21349,1}</v>
      </c>
      <c r="O86" s="13" t="str">
        <f ca="1" t="shared" si="70"/>
        <v>{progress,0,5401000,1}</v>
      </c>
      <c r="P86" s="61" t="str">
        <f ca="1" t="shared" si="78"/>
        <v>{progress_rate_roll,0,0,21334,1}</v>
      </c>
      <c r="Q86" s="61" t="str">
        <f ca="1" t="shared" si="79"/>
        <v>{progress,0,21349,2}</v>
      </c>
      <c r="R86" s="61" t="str">
        <f ca="1" t="shared" si="71"/>
        <v>{progress,0,5401000,2}</v>
      </c>
      <c r="S86" s="62" t="str">
        <f ca="1" t="shared" si="80"/>
        <v>{progress,0,21334,1}</v>
      </c>
      <c r="T86" s="62" t="str">
        <f ca="1" t="shared" si="81"/>
        <v>{progress,0,21349,2}</v>
      </c>
      <c r="U86" s="62" t="str">
        <f ca="1" t="shared" si="72"/>
        <v>{progress,0,5401000,3}</v>
      </c>
      <c r="V86" s="63" t="str">
        <f ca="1" t="shared" ref="V86:AC86" si="95">SUBSTITUTE(IF(V$11="","{progress_rate,"&amp;V$4&amp;","&amp;V69&amp;"}",IF(V69&gt;=1,"{progress,"&amp;V$11*100&amp;","&amp;V$4&amp;","&amp;V69&amp;"}","{progress_rate_roll,"&amp;V$11*100&amp;","&amp;INT(V69*10000)&amp;","&amp;V$4&amp;","&amp;1&amp;"}")),V$4,IF(ISNUMBER(V$4),V$4,OFFSET($AG86,0,MATCH(V$4,$AG$28:$AI$28,0)-1)))</f>
        <v>{progress,0,21334,2}</v>
      </c>
      <c r="W86" s="63" t="str">
        <f ca="1" t="shared" si="95"/>
        <v>{progress,0,21349,3}</v>
      </c>
      <c r="X86" s="63" t="str">
        <f ca="1" t="shared" si="95"/>
        <v>{progress,0,5401000,4}</v>
      </c>
      <c r="Y86" s="63" t="str">
        <f ca="1" t="shared" si="83"/>
        <v>{progress_rate_roll,0,1840,9,1}</v>
      </c>
      <c r="Z86" s="63" t="str">
        <f ca="1" t="shared" si="84"/>
        <v>{progress_rate_roll,0,160,30,1}</v>
      </c>
      <c r="AA86" s="62" t="str">
        <f ca="1" t="shared" si="85"/>
        <v>{progress,0,21334,2}</v>
      </c>
      <c r="AB86" s="62" t="str">
        <f ca="1" t="shared" si="86"/>
        <v>{progress,0,21349,3}</v>
      </c>
      <c r="AC86" s="62" t="str">
        <f ca="1" t="shared" si="87"/>
        <v>{progress,0,5401000,5}</v>
      </c>
      <c r="AD86" s="63" t="str">
        <f ca="1" t="shared" si="88"/>
        <v>{progress_rate_roll,0,1840,9,1}</v>
      </c>
      <c r="AE86" s="63" t="str">
        <f ca="1" t="shared" si="89"/>
        <v>{progress_rate_roll,0,160,30,1}</v>
      </c>
      <c r="AG86" s="17">
        <f t="shared" si="74"/>
        <v>21334</v>
      </c>
      <c r="AH86" s="17">
        <f t="shared" si="75"/>
        <v>21349</v>
      </c>
      <c r="AI86">
        <v>5401000</v>
      </c>
      <c r="AK86" s="17"/>
    </row>
    <row r="87" ht="14.25" spans="2:37">
      <c r="B87">
        <v>6</v>
      </c>
      <c r="C87" t="str">
        <f ca="1" t="shared" ref="C87:K87" si="96">SUBSTITUTE(IF(C$11="","{progress_rate,"&amp;C$4&amp;","&amp;C70&amp;"}",IF(C70&gt;=1,"{progress,"&amp;C$11*100&amp;","&amp;C$4&amp;","&amp;C70&amp;"}","{progress_rate_roll,"&amp;C$11*100&amp;","&amp;INT(C70*10000)&amp;","&amp;C$4&amp;","&amp;1&amp;"}")),C$4,IF(ISNUMBER(C$4),C$4,OFFSET($AG87,0,MATCH(C$4,$AG$28:$AI$28,0)-1)))</f>
        <v>{progress_rate,2,104}</v>
      </c>
      <c r="D87" t="str">
        <f ca="1" t="shared" si="96"/>
        <v>{progress,0,2,416}</v>
      </c>
      <c r="E87" t="str">
        <f ca="1" t="shared" si="96"/>
        <v>{progress_rate,5103002,20}</v>
      </c>
      <c r="F87" t="str">
        <f ca="1" t="shared" si="96"/>
        <v>{progress,0,5103002,20}</v>
      </c>
      <c r="G87" t="str">
        <f ca="1" t="shared" si="96"/>
        <v>{progress_rate,5303001,4}</v>
      </c>
      <c r="H87" t="str">
        <f ca="1" t="shared" si="96"/>
        <v>{progress,0,5103002,40}</v>
      </c>
      <c r="I87" t="str">
        <f ca="1" t="shared" si="96"/>
        <v>{progress_rate,5203001,10}</v>
      </c>
      <c r="J87" t="str">
        <f ca="1" t="shared" si="96"/>
        <v>{progress_rate,50026,8}</v>
      </c>
      <c r="K87" t="str">
        <f ca="1" t="shared" si="96"/>
        <v>{progress,0,50026,8}</v>
      </c>
      <c r="L87" t="str">
        <f ca="1" t="shared" si="77"/>
        <v>{progress_rate,5204001,2}</v>
      </c>
      <c r="N87" s="13" t="str">
        <f ca="1" t="shared" si="69"/>
        <v>{progress,0,21350,1}</v>
      </c>
      <c r="O87" s="13" t="str">
        <f ca="1" t="shared" si="70"/>
        <v>{progress,0,5401000,1}</v>
      </c>
      <c r="P87" s="61" t="str">
        <f ca="1" t="shared" si="78"/>
        <v>{progress_rate_roll,0,0,21335,1}</v>
      </c>
      <c r="Q87" s="61" t="str">
        <f ca="1" t="shared" si="79"/>
        <v>{progress,0,21350,2}</v>
      </c>
      <c r="R87" s="61" t="str">
        <f ca="1" t="shared" si="71"/>
        <v>{progress,0,5401000,2}</v>
      </c>
      <c r="S87" s="62" t="str">
        <f ca="1" t="shared" si="80"/>
        <v>{progress,0,21335,1}</v>
      </c>
      <c r="T87" s="62" t="str">
        <f ca="1" t="shared" si="81"/>
        <v>{progress,0,21350,2}</v>
      </c>
      <c r="U87" s="62" t="str">
        <f ca="1" t="shared" si="72"/>
        <v>{progress,0,5401000,3}</v>
      </c>
      <c r="V87" s="63" t="str">
        <f ca="1" t="shared" ref="V87:AC87" si="97">SUBSTITUTE(IF(V$11="","{progress_rate,"&amp;V$4&amp;","&amp;V70&amp;"}",IF(V70&gt;=1,"{progress,"&amp;V$11*100&amp;","&amp;V$4&amp;","&amp;V70&amp;"}","{progress_rate_roll,"&amp;V$11*100&amp;","&amp;INT(V70*10000)&amp;","&amp;V$4&amp;","&amp;1&amp;"}")),V$4,IF(ISNUMBER(V$4),V$4,OFFSET($AG87,0,MATCH(V$4,$AG$28:$AI$28,0)-1)))</f>
        <v>{progress,0,21335,2}</v>
      </c>
      <c r="W87" s="63" t="str">
        <f ca="1" t="shared" si="97"/>
        <v>{progress,0,21350,3}</v>
      </c>
      <c r="X87" s="63" t="str">
        <f ca="1" t="shared" si="97"/>
        <v>{progress,0,5401000,4}</v>
      </c>
      <c r="Y87" s="63" t="str">
        <f ca="1" t="shared" si="83"/>
        <v>{progress_rate_roll,0,1840,9,1}</v>
      </c>
      <c r="Z87" s="63" t="str">
        <f ca="1" t="shared" si="84"/>
        <v>{progress_rate_roll,0,160,30,1}</v>
      </c>
      <c r="AA87" s="62" t="str">
        <f ca="1" t="shared" si="85"/>
        <v>{progress,0,21335,2}</v>
      </c>
      <c r="AB87" s="62" t="str">
        <f ca="1" t="shared" si="86"/>
        <v>{progress,0,21350,3}</v>
      </c>
      <c r="AC87" s="62" t="str">
        <f ca="1" t="shared" si="87"/>
        <v>{progress,0,5401000,5}</v>
      </c>
      <c r="AD87" s="63" t="str">
        <f ca="1" t="shared" si="88"/>
        <v>{progress_rate_roll,0,1840,9,1}</v>
      </c>
      <c r="AE87" s="63" t="str">
        <f ca="1" t="shared" si="89"/>
        <v>{progress_rate_roll,0,160,30,1}</v>
      </c>
      <c r="AG87" s="17">
        <f t="shared" si="74"/>
        <v>21335</v>
      </c>
      <c r="AH87" s="17">
        <f t="shared" si="75"/>
        <v>21350</v>
      </c>
      <c r="AI87">
        <v>5401000</v>
      </c>
      <c r="AK87" s="17"/>
    </row>
    <row r="88" ht="14.25" spans="2:37">
      <c r="B88">
        <v>7</v>
      </c>
      <c r="C88" t="str">
        <f ca="1" t="shared" ref="C88:K88" si="98">SUBSTITUTE(IF(C$11="","{progress_rate,"&amp;C$4&amp;","&amp;C71&amp;"}",IF(C71&gt;=1,"{progress,"&amp;C$11*100&amp;","&amp;C$4&amp;","&amp;C71&amp;"}","{progress_rate_roll,"&amp;C$11*100&amp;","&amp;INT(C71*10000)&amp;","&amp;C$4&amp;","&amp;1&amp;"}")),C$4,IF(ISNUMBER(C$4),C$4,OFFSET($AG88,0,MATCH(C$4,$AG$28:$AI$28,0)-1)))</f>
        <v>{progress_rate,2,109}</v>
      </c>
      <c r="D88" t="str">
        <f ca="1" t="shared" si="98"/>
        <v>{progress,0,2,436}</v>
      </c>
      <c r="E88" t="str">
        <f ca="1" t="shared" si="98"/>
        <v>{progress_rate,5103002,20}</v>
      </c>
      <c r="F88" t="str">
        <f ca="1" t="shared" si="98"/>
        <v>{progress,0,5103002,20}</v>
      </c>
      <c r="G88" t="str">
        <f ca="1" t="shared" si="98"/>
        <v>{progress_rate,5303001,4}</v>
      </c>
      <c r="H88" t="str">
        <f ca="1" t="shared" si="98"/>
        <v>{progress,0,5103002,40}</v>
      </c>
      <c r="I88" t="str">
        <f ca="1" t="shared" si="98"/>
        <v>{progress_rate,5203001,10}</v>
      </c>
      <c r="J88" t="str">
        <f ca="1" t="shared" si="98"/>
        <v>{progress_rate,50026,8}</v>
      </c>
      <c r="K88" t="str">
        <f ca="1" t="shared" si="98"/>
        <v>{progress,0,50026,8}</v>
      </c>
      <c r="L88" t="str">
        <f ca="1" t="shared" si="77"/>
        <v>{progress_rate,5204001,2}</v>
      </c>
      <c r="N88" s="13" t="str">
        <f ca="1" t="shared" si="69"/>
        <v>{progress,0,21351,1}</v>
      </c>
      <c r="O88" s="13" t="str">
        <f ca="1" t="shared" si="70"/>
        <v>{progress,0,5401000,1}</v>
      </c>
      <c r="P88" s="61" t="str">
        <f ca="1" t="shared" si="78"/>
        <v>{progress_rate_roll,0,0,21336,1}</v>
      </c>
      <c r="Q88" s="61" t="str">
        <f ca="1" t="shared" si="79"/>
        <v>{progress,0,21351,2}</v>
      </c>
      <c r="R88" s="61" t="str">
        <f ca="1" t="shared" si="71"/>
        <v>{progress,0,5401000,2}</v>
      </c>
      <c r="S88" s="62" t="str">
        <f ca="1" t="shared" si="80"/>
        <v>{progress,0,21336,1}</v>
      </c>
      <c r="T88" s="62" t="str">
        <f ca="1" t="shared" si="81"/>
        <v>{progress,0,21351,2}</v>
      </c>
      <c r="U88" s="62" t="str">
        <f ca="1" t="shared" si="72"/>
        <v>{progress,0,5401000,3}</v>
      </c>
      <c r="V88" s="63" t="str">
        <f ca="1" t="shared" ref="V88:AC88" si="99">SUBSTITUTE(IF(V$11="","{progress_rate,"&amp;V$4&amp;","&amp;V71&amp;"}",IF(V71&gt;=1,"{progress,"&amp;V$11*100&amp;","&amp;V$4&amp;","&amp;V71&amp;"}","{progress_rate_roll,"&amp;V$11*100&amp;","&amp;INT(V71*10000)&amp;","&amp;V$4&amp;","&amp;1&amp;"}")),V$4,IF(ISNUMBER(V$4),V$4,OFFSET($AG88,0,MATCH(V$4,$AG$28:$AI$28,0)-1)))</f>
        <v>{progress,0,21336,2}</v>
      </c>
      <c r="W88" s="63" t="str">
        <f ca="1" t="shared" si="99"/>
        <v>{progress,0,21351,3}</v>
      </c>
      <c r="X88" s="63" t="str">
        <f ca="1" t="shared" si="99"/>
        <v>{progress,0,5401000,4}</v>
      </c>
      <c r="Y88" s="63" t="str">
        <f ca="1" t="shared" si="83"/>
        <v>{progress_rate_roll,0,1840,9,1}</v>
      </c>
      <c r="Z88" s="63" t="str">
        <f ca="1" t="shared" si="84"/>
        <v>{progress_rate_roll,0,160,30,1}</v>
      </c>
      <c r="AA88" s="62" t="str">
        <f ca="1" t="shared" si="85"/>
        <v>{progress,0,21336,2}</v>
      </c>
      <c r="AB88" s="62" t="str">
        <f ca="1" t="shared" si="86"/>
        <v>{progress,0,21351,3}</v>
      </c>
      <c r="AC88" s="62" t="str">
        <f ca="1" t="shared" si="87"/>
        <v>{progress,0,5401000,5}</v>
      </c>
      <c r="AD88" s="63" t="str">
        <f ca="1" t="shared" si="88"/>
        <v>{progress_rate_roll,0,1840,9,1}</v>
      </c>
      <c r="AE88" s="63" t="str">
        <f ca="1" t="shared" si="89"/>
        <v>{progress_rate_roll,0,160,30,1}</v>
      </c>
      <c r="AG88" s="17">
        <f t="shared" si="74"/>
        <v>21336</v>
      </c>
      <c r="AH88" s="17">
        <f t="shared" si="75"/>
        <v>21351</v>
      </c>
      <c r="AI88">
        <v>5401000</v>
      </c>
      <c r="AK88" s="17"/>
    </row>
    <row r="89" ht="14.25" spans="2:37">
      <c r="B89">
        <v>8</v>
      </c>
      <c r="C89" t="str">
        <f ca="1" t="shared" ref="C89:K89" si="100">SUBSTITUTE(IF(C$11="","{progress_rate,"&amp;C$4&amp;","&amp;C72&amp;"}",IF(C72&gt;=1,"{progress,"&amp;C$11*100&amp;","&amp;C$4&amp;","&amp;C72&amp;"}","{progress_rate_roll,"&amp;C$11*100&amp;","&amp;INT(C72*10000)&amp;","&amp;C$4&amp;","&amp;1&amp;"}")),C$4,IF(ISNUMBER(C$4),C$4,OFFSET($AG89,0,MATCH(C$4,$AG$28:$AI$28,0)-1)))</f>
        <v>{progress_rate,2,114}</v>
      </c>
      <c r="D89" t="str">
        <f ca="1" t="shared" si="100"/>
        <v>{progress,0,2,456}</v>
      </c>
      <c r="E89" t="str">
        <f ca="1" t="shared" si="100"/>
        <v>{progress_rate,5103002,20}</v>
      </c>
      <c r="F89" t="str">
        <f ca="1" t="shared" si="100"/>
        <v>{progress,0,5103002,20}</v>
      </c>
      <c r="G89" t="str">
        <f ca="1" t="shared" si="100"/>
        <v>{progress_rate,5303001,4}</v>
      </c>
      <c r="H89" t="str">
        <f ca="1" t="shared" si="100"/>
        <v>{progress,0,5103002,40}</v>
      </c>
      <c r="I89" t="str">
        <f ca="1" t="shared" si="100"/>
        <v>{progress_rate,5203001,10}</v>
      </c>
      <c r="J89" t="str">
        <f ca="1" t="shared" si="100"/>
        <v>{progress_rate,50026,8}</v>
      </c>
      <c r="K89" t="str">
        <f ca="1" t="shared" si="100"/>
        <v>{progress,0,50026,8}</v>
      </c>
      <c r="L89" t="str">
        <f ca="1" t="shared" si="77"/>
        <v>{progress_rate,5204001,2}</v>
      </c>
      <c r="N89" s="13" t="str">
        <f ca="1" t="shared" si="69"/>
        <v>{progress,0,21352,1}</v>
      </c>
      <c r="O89" s="13" t="str">
        <f ca="1" t="shared" si="70"/>
        <v>{progress,0,5401000,1}</v>
      </c>
      <c r="P89" s="61" t="str">
        <f ca="1" t="shared" si="78"/>
        <v>{progress_rate_roll,0,0,21337,1}</v>
      </c>
      <c r="Q89" s="61" t="str">
        <f ca="1" t="shared" si="79"/>
        <v>{progress,0,21352,2}</v>
      </c>
      <c r="R89" s="61" t="str">
        <f ca="1" t="shared" si="71"/>
        <v>{progress,0,5401000,2}</v>
      </c>
      <c r="S89" s="62" t="str">
        <f ca="1" t="shared" si="80"/>
        <v>{progress,0,21337,1}</v>
      </c>
      <c r="T89" s="62" t="str">
        <f ca="1" t="shared" si="81"/>
        <v>{progress,0,21352,2}</v>
      </c>
      <c r="U89" s="62" t="str">
        <f ca="1" t="shared" si="72"/>
        <v>{progress,0,5401000,3}</v>
      </c>
      <c r="V89" s="63" t="str">
        <f ca="1" t="shared" ref="V89:AC89" si="101">SUBSTITUTE(IF(V$11="","{progress_rate,"&amp;V$4&amp;","&amp;V72&amp;"}",IF(V72&gt;=1,"{progress,"&amp;V$11*100&amp;","&amp;V$4&amp;","&amp;V72&amp;"}","{progress_rate_roll,"&amp;V$11*100&amp;","&amp;INT(V72*10000)&amp;","&amp;V$4&amp;","&amp;1&amp;"}")),V$4,IF(ISNUMBER(V$4),V$4,OFFSET($AG89,0,MATCH(V$4,$AG$28:$AI$28,0)-1)))</f>
        <v>{progress,0,21337,2}</v>
      </c>
      <c r="W89" s="63" t="str">
        <f ca="1" t="shared" si="101"/>
        <v>{progress,0,21352,3}</v>
      </c>
      <c r="X89" s="63" t="str">
        <f ca="1" t="shared" si="101"/>
        <v>{progress,0,5401000,4}</v>
      </c>
      <c r="Y89" s="63" t="str">
        <f ca="1" t="shared" si="83"/>
        <v>{progress_rate_roll,0,1840,9,1}</v>
      </c>
      <c r="Z89" s="63" t="str">
        <f ca="1" t="shared" si="84"/>
        <v>{progress_rate_roll,0,160,30,1}</v>
      </c>
      <c r="AA89" s="62" t="str">
        <f ca="1" t="shared" si="85"/>
        <v>{progress,0,21337,2}</v>
      </c>
      <c r="AB89" s="62" t="str">
        <f ca="1" t="shared" si="86"/>
        <v>{progress,0,21352,3}</v>
      </c>
      <c r="AC89" s="62" t="str">
        <f ca="1" t="shared" si="87"/>
        <v>{progress,0,5401000,5}</v>
      </c>
      <c r="AD89" s="63" t="str">
        <f ca="1" t="shared" si="88"/>
        <v>{progress_rate_roll,0,1840,9,1}</v>
      </c>
      <c r="AE89" s="63" t="str">
        <f ca="1" t="shared" si="89"/>
        <v>{progress_rate_roll,0,160,30,1}</v>
      </c>
      <c r="AG89" s="17">
        <f t="shared" si="74"/>
        <v>21337</v>
      </c>
      <c r="AH89" s="17">
        <f t="shared" si="75"/>
        <v>21352</v>
      </c>
      <c r="AI89">
        <v>5401000</v>
      </c>
      <c r="AK89" s="17"/>
    </row>
    <row r="90" ht="14.25" spans="2:37">
      <c r="B90">
        <v>9</v>
      </c>
      <c r="C90" t="str">
        <f ca="1" t="shared" ref="C90:K90" si="102">SUBSTITUTE(IF(C$11="","{progress_rate,"&amp;C$4&amp;","&amp;C73&amp;"}",IF(C73&gt;=1,"{progress,"&amp;C$11*100&amp;","&amp;C$4&amp;","&amp;C73&amp;"}","{progress_rate_roll,"&amp;C$11*100&amp;","&amp;INT(C73*10000)&amp;","&amp;C$4&amp;","&amp;1&amp;"}")),C$4,IF(ISNUMBER(C$4),C$4,OFFSET($AG90,0,MATCH(C$4,$AG$28:$AI$28,0)-1)))</f>
        <v>{progress_rate,2,119}</v>
      </c>
      <c r="D90" t="str">
        <f ca="1" t="shared" si="102"/>
        <v>{progress,0,2,476}</v>
      </c>
      <c r="E90" t="str">
        <f ca="1" t="shared" si="102"/>
        <v>{progress_rate,5103002,20}</v>
      </c>
      <c r="F90" t="str">
        <f ca="1" t="shared" si="102"/>
        <v>{progress,0,5103002,20}</v>
      </c>
      <c r="G90" t="str">
        <f ca="1" t="shared" si="102"/>
        <v>{progress_rate,5303001,4}</v>
      </c>
      <c r="H90" t="str">
        <f ca="1" t="shared" si="102"/>
        <v>{progress,0,5103002,40}</v>
      </c>
      <c r="I90" t="str">
        <f ca="1" t="shared" si="102"/>
        <v>{progress_rate,5203001,10}</v>
      </c>
      <c r="J90" t="str">
        <f ca="1" t="shared" si="102"/>
        <v>{progress_rate,50026,8}</v>
      </c>
      <c r="K90" t="str">
        <f ca="1" t="shared" si="102"/>
        <v>{progress,0,50026,8}</v>
      </c>
      <c r="L90" t="str">
        <f ca="1" t="shared" si="77"/>
        <v>{progress_rate,5204001,2}</v>
      </c>
      <c r="N90" s="13" t="str">
        <f ca="1" t="shared" si="69"/>
        <v>{progress,0,21353,1}</v>
      </c>
      <c r="O90" s="13" t="str">
        <f ca="1" t="shared" si="70"/>
        <v>{progress,0,5401000,1}</v>
      </c>
      <c r="P90" s="61" t="str">
        <f ca="1" t="shared" si="78"/>
        <v>{progress_rate_roll,0,0,21338,1}</v>
      </c>
      <c r="Q90" s="61" t="str">
        <f ca="1" t="shared" si="79"/>
        <v>{progress,0,21353,2}</v>
      </c>
      <c r="R90" s="61" t="str">
        <f ca="1" t="shared" si="71"/>
        <v>{progress,0,5401000,2}</v>
      </c>
      <c r="S90" s="62" t="str">
        <f ca="1" t="shared" si="80"/>
        <v>{progress,0,21338,1}</v>
      </c>
      <c r="T90" s="62" t="str">
        <f ca="1" t="shared" si="81"/>
        <v>{progress,0,21353,2}</v>
      </c>
      <c r="U90" s="62" t="str">
        <f ca="1" t="shared" si="72"/>
        <v>{progress,0,5401000,3}</v>
      </c>
      <c r="V90" s="63" t="str">
        <f ca="1" t="shared" ref="V90:AC90" si="103">SUBSTITUTE(IF(V$11="","{progress_rate,"&amp;V$4&amp;","&amp;V73&amp;"}",IF(V73&gt;=1,"{progress,"&amp;V$11*100&amp;","&amp;V$4&amp;","&amp;V73&amp;"}","{progress_rate_roll,"&amp;V$11*100&amp;","&amp;INT(V73*10000)&amp;","&amp;V$4&amp;","&amp;1&amp;"}")),V$4,IF(ISNUMBER(V$4),V$4,OFFSET($AG90,0,MATCH(V$4,$AG$28:$AI$28,0)-1)))</f>
        <v>{progress,0,21338,2}</v>
      </c>
      <c r="W90" s="63" t="str">
        <f ca="1" t="shared" si="103"/>
        <v>{progress,0,21353,3}</v>
      </c>
      <c r="X90" s="63" t="str">
        <f ca="1" t="shared" si="103"/>
        <v>{progress,0,5401000,4}</v>
      </c>
      <c r="Y90" s="63" t="str">
        <f ca="1" t="shared" si="83"/>
        <v>{progress_rate_roll,0,1840,9,1}</v>
      </c>
      <c r="Z90" s="63" t="str">
        <f ca="1" t="shared" si="84"/>
        <v>{progress_rate_roll,0,160,30,1}</v>
      </c>
      <c r="AA90" s="62" t="str">
        <f ca="1" t="shared" si="85"/>
        <v>{progress,0,21338,2}</v>
      </c>
      <c r="AB90" s="62" t="str">
        <f ca="1" t="shared" si="86"/>
        <v>{progress,0,21353,3}</v>
      </c>
      <c r="AC90" s="62" t="str">
        <f ca="1" t="shared" si="87"/>
        <v>{progress,0,5401000,5}</v>
      </c>
      <c r="AD90" s="63" t="str">
        <f ca="1" t="shared" si="88"/>
        <v>{progress_rate_roll,0,1840,9,1}</v>
      </c>
      <c r="AE90" s="63" t="str">
        <f ca="1" t="shared" si="89"/>
        <v>{progress_rate_roll,0,160,30,1}</v>
      </c>
      <c r="AG90" s="17">
        <f t="shared" si="74"/>
        <v>21338</v>
      </c>
      <c r="AH90" s="17">
        <f t="shared" si="75"/>
        <v>21353</v>
      </c>
      <c r="AI90">
        <v>5401000</v>
      </c>
      <c r="AK90" s="17"/>
    </row>
    <row r="91" ht="14.25" spans="2:37">
      <c r="B91">
        <v>10</v>
      </c>
      <c r="C91" t="str">
        <f ca="1" t="shared" ref="C91:K91" si="104">SUBSTITUTE(IF(C$11="","{progress_rate,"&amp;C$4&amp;","&amp;C74&amp;"}",IF(C74&gt;=1,"{progress,"&amp;C$11*100&amp;","&amp;C$4&amp;","&amp;C74&amp;"}","{progress_rate_roll,"&amp;C$11*100&amp;","&amp;INT(C74*10000)&amp;","&amp;C$4&amp;","&amp;1&amp;"}")),C$4,IF(ISNUMBER(C$4),C$4,OFFSET($AG91,0,MATCH(C$4,$AG$28:$AI$28,0)-1)))</f>
        <v>{progress_rate,2,124}</v>
      </c>
      <c r="D91" t="str">
        <f ca="1" t="shared" si="104"/>
        <v>{progress,0,2,496}</v>
      </c>
      <c r="E91" t="str">
        <f ca="1" t="shared" si="104"/>
        <v>{progress_rate,5103002,20}</v>
      </c>
      <c r="F91" t="str">
        <f ca="1" t="shared" si="104"/>
        <v>{progress,0,5103002,20}</v>
      </c>
      <c r="G91" t="str">
        <f ca="1" t="shared" si="104"/>
        <v>{progress_rate,5303001,4}</v>
      </c>
      <c r="H91" t="str">
        <f ca="1" t="shared" si="104"/>
        <v>{progress,0,5103002,40}</v>
      </c>
      <c r="I91" t="str">
        <f ca="1" t="shared" si="104"/>
        <v>{progress_rate,5203001,10}</v>
      </c>
      <c r="J91" t="str">
        <f ca="1" t="shared" si="104"/>
        <v>{progress_rate,50026,8}</v>
      </c>
      <c r="K91" t="str">
        <f ca="1" t="shared" si="104"/>
        <v>{progress,0,50026,8}</v>
      </c>
      <c r="L91" t="str">
        <f ca="1" t="shared" si="77"/>
        <v>{progress_rate,5204001,2}</v>
      </c>
      <c r="N91" s="13" t="str">
        <f ca="1" t="shared" si="69"/>
        <v>{progress,0,21354,1}</v>
      </c>
      <c r="O91" s="13" t="str">
        <f ca="1" t="shared" si="70"/>
        <v>{progress,0,5401000,1}</v>
      </c>
      <c r="P91" s="61" t="str">
        <f ca="1" t="shared" si="78"/>
        <v>{progress_rate_roll,0,0,21339,1}</v>
      </c>
      <c r="Q91" s="61" t="str">
        <f ca="1" t="shared" si="79"/>
        <v>{progress,0,21354,2}</v>
      </c>
      <c r="R91" s="61" t="str">
        <f ca="1" t="shared" si="71"/>
        <v>{progress,0,5401000,2}</v>
      </c>
      <c r="S91" s="62" t="str">
        <f ca="1" t="shared" si="80"/>
        <v>{progress,0,21339,1}</v>
      </c>
      <c r="T91" s="62" t="str">
        <f ca="1" t="shared" si="81"/>
        <v>{progress,0,21354,2}</v>
      </c>
      <c r="U91" s="62" t="str">
        <f ca="1" t="shared" si="72"/>
        <v>{progress,0,5401000,3}</v>
      </c>
      <c r="V91" s="63" t="str">
        <f ca="1" t="shared" ref="V91:AC91" si="105">SUBSTITUTE(IF(V$11="","{progress_rate,"&amp;V$4&amp;","&amp;V74&amp;"}",IF(V74&gt;=1,"{progress,"&amp;V$11*100&amp;","&amp;V$4&amp;","&amp;V74&amp;"}","{progress_rate_roll,"&amp;V$11*100&amp;","&amp;INT(V74*10000)&amp;","&amp;V$4&amp;","&amp;1&amp;"}")),V$4,IF(ISNUMBER(V$4),V$4,OFFSET($AG91,0,MATCH(V$4,$AG$28:$AI$28,0)-1)))</f>
        <v>{progress,0,21339,2}</v>
      </c>
      <c r="W91" s="63" t="str">
        <f ca="1" t="shared" si="105"/>
        <v>{progress,0,21354,3}</v>
      </c>
      <c r="X91" s="63" t="str">
        <f ca="1" t="shared" si="105"/>
        <v>{progress,0,5401000,4}</v>
      </c>
      <c r="Y91" s="63" t="str">
        <f ca="1" t="shared" si="83"/>
        <v>{progress_rate_roll,0,1840,9,1}</v>
      </c>
      <c r="Z91" s="63" t="str">
        <f ca="1" t="shared" si="84"/>
        <v>{progress_rate_roll,0,160,30,1}</v>
      </c>
      <c r="AA91" s="62" t="str">
        <f ca="1" t="shared" si="85"/>
        <v>{progress,0,21339,2}</v>
      </c>
      <c r="AB91" s="62" t="str">
        <f ca="1" t="shared" si="86"/>
        <v>{progress,0,21354,3}</v>
      </c>
      <c r="AC91" s="62" t="str">
        <f ca="1" t="shared" si="87"/>
        <v>{progress,0,5401000,5}</v>
      </c>
      <c r="AD91" s="63" t="str">
        <f ca="1" t="shared" si="88"/>
        <v>{progress_rate_roll,0,1840,9,1}</v>
      </c>
      <c r="AE91" s="63" t="str">
        <f ca="1" t="shared" si="89"/>
        <v>{progress_rate_roll,0,160,30,1}</v>
      </c>
      <c r="AG91" s="17">
        <f t="shared" si="74"/>
        <v>21339</v>
      </c>
      <c r="AH91" s="17">
        <f t="shared" si="75"/>
        <v>21354</v>
      </c>
      <c r="AI91">
        <v>5401000</v>
      </c>
      <c r="AK91" s="17"/>
    </row>
    <row r="92" ht="14.25" spans="2:37">
      <c r="B92">
        <v>11</v>
      </c>
      <c r="C92" t="str">
        <f ca="1" t="shared" ref="C92:K92" si="106">SUBSTITUTE(IF(C$11="","{progress_rate,"&amp;C$4&amp;","&amp;C75&amp;"}",IF(C75&gt;=1,"{progress,"&amp;C$11*100&amp;","&amp;C$4&amp;","&amp;C75&amp;"}","{progress_rate_roll,"&amp;C$11*100&amp;","&amp;INT(C75*10000)&amp;","&amp;C$4&amp;","&amp;1&amp;"}")),C$4,IF(ISNUMBER(C$4),C$4,OFFSET($AG92,0,MATCH(C$4,$AG$28:$AI$28,0)-1)))</f>
        <v>{progress_rate,2,129}</v>
      </c>
      <c r="D92" t="str">
        <f ca="1" t="shared" si="106"/>
        <v>{progress,0,2,516}</v>
      </c>
      <c r="E92" t="str">
        <f ca="1" t="shared" si="106"/>
        <v>{progress_rate,5103002,20}</v>
      </c>
      <c r="F92" t="str">
        <f ca="1" t="shared" si="106"/>
        <v>{progress,0,5103002,20}</v>
      </c>
      <c r="G92" t="str">
        <f ca="1" t="shared" si="106"/>
        <v>{progress_rate,5303001,4}</v>
      </c>
      <c r="H92" t="str">
        <f ca="1" t="shared" si="106"/>
        <v>{progress,0,5103002,40}</v>
      </c>
      <c r="I92" t="str">
        <f ca="1" t="shared" si="106"/>
        <v>{progress_rate,5203001,10}</v>
      </c>
      <c r="J92" t="str">
        <f ca="1" t="shared" si="106"/>
        <v>{progress_rate,50026,8}</v>
      </c>
      <c r="K92" t="str">
        <f ca="1" t="shared" si="106"/>
        <v>{progress,0,50026,8}</v>
      </c>
      <c r="L92" t="str">
        <f ca="1" t="shared" si="77"/>
        <v>{progress_rate,5204001,2}</v>
      </c>
      <c r="N92" s="13" t="str">
        <f ca="1" t="shared" si="69"/>
        <v>{progress,0,21355,1}</v>
      </c>
      <c r="O92" s="13" t="str">
        <f ca="1" t="shared" si="70"/>
        <v>{progress,0,5401000,1}</v>
      </c>
      <c r="P92" s="61" t="str">
        <f ca="1" t="shared" si="78"/>
        <v>{progress_rate_roll,0,0,21340,1}</v>
      </c>
      <c r="Q92" s="61" t="str">
        <f ca="1" t="shared" si="79"/>
        <v>{progress,0,21355,2}</v>
      </c>
      <c r="R92" s="61" t="str">
        <f ca="1" t="shared" si="71"/>
        <v>{progress,0,5401000,2}</v>
      </c>
      <c r="S92" s="62" t="str">
        <f ca="1" t="shared" si="80"/>
        <v>{progress,0,21340,1}</v>
      </c>
      <c r="T92" s="62" t="str">
        <f ca="1" t="shared" si="81"/>
        <v>{progress,0,21355,2}</v>
      </c>
      <c r="U92" s="62" t="str">
        <f ca="1" t="shared" si="72"/>
        <v>{progress,0,5401000,3}</v>
      </c>
      <c r="V92" s="63" t="str">
        <f ca="1" t="shared" ref="V92:AC92" si="107">SUBSTITUTE(IF(V$11="","{progress_rate,"&amp;V$4&amp;","&amp;V75&amp;"}",IF(V75&gt;=1,"{progress,"&amp;V$11*100&amp;","&amp;V$4&amp;","&amp;V75&amp;"}","{progress_rate_roll,"&amp;V$11*100&amp;","&amp;INT(V75*10000)&amp;","&amp;V$4&amp;","&amp;1&amp;"}")),V$4,IF(ISNUMBER(V$4),V$4,OFFSET($AG92,0,MATCH(V$4,$AG$28:$AI$28,0)-1)))</f>
        <v>{progress,0,21340,2}</v>
      </c>
      <c r="W92" s="63" t="str">
        <f ca="1" t="shared" si="107"/>
        <v>{progress,0,21355,3}</v>
      </c>
      <c r="X92" s="63" t="str">
        <f ca="1" t="shared" si="107"/>
        <v>{progress,0,5401000,4}</v>
      </c>
      <c r="Y92" s="63" t="str">
        <f ca="1" t="shared" si="83"/>
        <v>{progress_rate_roll,0,1840,9,1}</v>
      </c>
      <c r="Z92" s="63" t="str">
        <f ca="1" t="shared" si="84"/>
        <v>{progress_rate_roll,0,160,30,1}</v>
      </c>
      <c r="AA92" s="62" t="str">
        <f ca="1" t="shared" si="85"/>
        <v>{progress,0,21340,2}</v>
      </c>
      <c r="AB92" s="62" t="str">
        <f ca="1" t="shared" si="86"/>
        <v>{progress,0,21355,3}</v>
      </c>
      <c r="AC92" s="62" t="str">
        <f ca="1" t="shared" si="87"/>
        <v>{progress,0,5401000,5}</v>
      </c>
      <c r="AD92" s="63" t="str">
        <f ca="1" t="shared" si="88"/>
        <v>{progress_rate_roll,0,1840,9,1}</v>
      </c>
      <c r="AE92" s="63" t="str">
        <f ca="1" t="shared" si="89"/>
        <v>{progress_rate_roll,0,160,30,1}</v>
      </c>
      <c r="AG92" s="17">
        <f t="shared" si="74"/>
        <v>21340</v>
      </c>
      <c r="AH92" s="17">
        <f t="shared" si="75"/>
        <v>21355</v>
      </c>
      <c r="AI92">
        <v>5401000</v>
      </c>
      <c r="AK92" s="17"/>
    </row>
    <row r="93" ht="14.25" spans="2:37">
      <c r="B93">
        <v>12</v>
      </c>
      <c r="C93" t="str">
        <f ca="1" t="shared" ref="C93:K93" si="108">SUBSTITUTE(IF(C$11="","{progress_rate,"&amp;C$4&amp;","&amp;C76&amp;"}",IF(C76&gt;=1,"{progress,"&amp;C$11*100&amp;","&amp;C$4&amp;","&amp;C76&amp;"}","{progress_rate_roll,"&amp;C$11*100&amp;","&amp;INT(C76*10000)&amp;","&amp;C$4&amp;","&amp;1&amp;"}")),C$4,IF(ISNUMBER(C$4),C$4,OFFSET($AG93,0,MATCH(C$4,$AG$28:$AI$28,0)-1)))</f>
        <v>{progress_rate,2,134}</v>
      </c>
      <c r="D93" t="str">
        <f ca="1" t="shared" si="108"/>
        <v>{progress,0,2,536}</v>
      </c>
      <c r="E93" t="str">
        <f ca="1" t="shared" si="108"/>
        <v>{progress_rate,5103002,20}</v>
      </c>
      <c r="F93" t="str">
        <f ca="1" t="shared" si="108"/>
        <v>{progress,0,5103002,20}</v>
      </c>
      <c r="G93" t="str">
        <f ca="1" t="shared" si="108"/>
        <v>{progress_rate,5303001,4}</v>
      </c>
      <c r="H93" t="str">
        <f ca="1" t="shared" si="108"/>
        <v>{progress,0,5103002,40}</v>
      </c>
      <c r="I93" t="str">
        <f ca="1" t="shared" si="108"/>
        <v>{progress_rate,5203001,10}</v>
      </c>
      <c r="J93" t="str">
        <f ca="1" t="shared" si="108"/>
        <v>{progress_rate,50026,8}</v>
      </c>
      <c r="K93" t="str">
        <f ca="1" t="shared" si="108"/>
        <v>{progress,0,50026,8}</v>
      </c>
      <c r="L93" t="str">
        <f ca="1" t="shared" si="77"/>
        <v>{progress_rate,5204001,2}</v>
      </c>
      <c r="N93" s="13" t="str">
        <f ca="1" t="shared" si="69"/>
        <v>{progress,0,21356,1}</v>
      </c>
      <c r="O93" s="13" t="str">
        <f ca="1" t="shared" si="70"/>
        <v>{progress,0,5401000,1}</v>
      </c>
      <c r="P93" s="61" t="str">
        <f ca="1" t="shared" si="78"/>
        <v>{progress_rate_roll,0,0,21341,1}</v>
      </c>
      <c r="Q93" s="61" t="str">
        <f ca="1" t="shared" si="79"/>
        <v>{progress,0,21356,2}</v>
      </c>
      <c r="R93" s="61" t="str">
        <f ca="1" t="shared" si="71"/>
        <v>{progress,0,5401000,2}</v>
      </c>
      <c r="S93" s="62" t="str">
        <f ca="1" t="shared" si="80"/>
        <v>{progress,0,21341,1}</v>
      </c>
      <c r="T93" s="62" t="str">
        <f ca="1" t="shared" si="81"/>
        <v>{progress,0,21356,2}</v>
      </c>
      <c r="U93" s="62" t="str">
        <f ca="1" t="shared" si="72"/>
        <v>{progress,0,5401000,3}</v>
      </c>
      <c r="V93" s="63" t="str">
        <f ca="1" t="shared" ref="V93:AC93" si="109">SUBSTITUTE(IF(V$11="","{progress_rate,"&amp;V$4&amp;","&amp;V76&amp;"}",IF(V76&gt;=1,"{progress,"&amp;V$11*100&amp;","&amp;V$4&amp;","&amp;V76&amp;"}","{progress_rate_roll,"&amp;V$11*100&amp;","&amp;INT(V76*10000)&amp;","&amp;V$4&amp;","&amp;1&amp;"}")),V$4,IF(ISNUMBER(V$4),V$4,OFFSET($AG93,0,MATCH(V$4,$AG$28:$AI$28,0)-1)))</f>
        <v>{progress,0,21341,2}</v>
      </c>
      <c r="W93" s="63" t="str">
        <f ca="1" t="shared" si="109"/>
        <v>{progress,0,21356,3}</v>
      </c>
      <c r="X93" s="63" t="str">
        <f ca="1" t="shared" si="109"/>
        <v>{progress,0,5401000,4}</v>
      </c>
      <c r="Y93" s="63" t="str">
        <f ca="1" t="shared" si="83"/>
        <v>{progress_rate_roll,0,1840,9,1}</v>
      </c>
      <c r="Z93" s="63" t="str">
        <f ca="1" t="shared" si="84"/>
        <v>{progress_rate_roll,0,160,30,1}</v>
      </c>
      <c r="AA93" s="62" t="str">
        <f ca="1" t="shared" si="85"/>
        <v>{progress,0,21341,2}</v>
      </c>
      <c r="AB93" s="62" t="str">
        <f ca="1" t="shared" si="86"/>
        <v>{progress,0,21356,3}</v>
      </c>
      <c r="AC93" s="62" t="str">
        <f ca="1" t="shared" si="87"/>
        <v>{progress,0,5401000,5}</v>
      </c>
      <c r="AD93" s="63" t="str">
        <f ca="1" t="shared" si="88"/>
        <v>{progress_rate_roll,0,1840,9,1}</v>
      </c>
      <c r="AE93" s="63" t="str">
        <f ca="1" t="shared" si="89"/>
        <v>{progress_rate_roll,0,160,30,1}</v>
      </c>
      <c r="AG93" s="17">
        <f t="shared" si="74"/>
        <v>21341</v>
      </c>
      <c r="AH93" s="17">
        <f t="shared" si="75"/>
        <v>21356</v>
      </c>
      <c r="AI93">
        <v>5401000</v>
      </c>
      <c r="AK93" s="17"/>
    </row>
    <row r="94" ht="14.25" spans="2:37">
      <c r="B94">
        <v>13</v>
      </c>
      <c r="C94" t="str">
        <f ca="1" t="shared" ref="C94:K94" si="110">SUBSTITUTE(IF(C$11="","{progress_rate,"&amp;C$4&amp;","&amp;C77&amp;"}",IF(C77&gt;=1,"{progress,"&amp;C$11*100&amp;","&amp;C$4&amp;","&amp;C77&amp;"}","{progress_rate_roll,"&amp;C$11*100&amp;","&amp;INT(C77*10000)&amp;","&amp;C$4&amp;","&amp;1&amp;"}")),C$4,IF(ISNUMBER(C$4),C$4,OFFSET($AG94,0,MATCH(C$4,$AG$28:$AI$28,0)-1)))</f>
        <v>{progress_rate,2,139}</v>
      </c>
      <c r="D94" t="str">
        <f ca="1" t="shared" si="110"/>
        <v>{progress,0,2,556}</v>
      </c>
      <c r="E94" t="str">
        <f ca="1" t="shared" si="110"/>
        <v>{progress_rate,5103002,20}</v>
      </c>
      <c r="F94" t="str">
        <f ca="1" t="shared" si="110"/>
        <v>{progress,0,5103002,20}</v>
      </c>
      <c r="G94" t="str">
        <f ca="1" t="shared" si="110"/>
        <v>{progress_rate,5303001,4}</v>
      </c>
      <c r="H94" t="str">
        <f ca="1" t="shared" si="110"/>
        <v>{progress,0,5103002,40}</v>
      </c>
      <c r="I94" t="str">
        <f ca="1" t="shared" si="110"/>
        <v>{progress_rate,5203001,10}</v>
      </c>
      <c r="J94" t="str">
        <f ca="1" t="shared" si="110"/>
        <v>{progress_rate,50026,8}</v>
      </c>
      <c r="K94" t="str">
        <f ca="1" t="shared" si="110"/>
        <v>{progress,0,50026,8}</v>
      </c>
      <c r="L94" t="str">
        <f ca="1" t="shared" si="77"/>
        <v>{progress_rate,5204001,2}</v>
      </c>
      <c r="N94" s="13" t="str">
        <f ca="1" t="shared" si="69"/>
        <v>{progress,0,21357,1}</v>
      </c>
      <c r="O94" s="13" t="str">
        <f ca="1" t="shared" si="70"/>
        <v>{progress,0,5401000,1}</v>
      </c>
      <c r="P94" s="61" t="str">
        <f ca="1" t="shared" si="78"/>
        <v>{progress_rate_roll,0,0,21342,1}</v>
      </c>
      <c r="Q94" s="61" t="str">
        <f ca="1" t="shared" si="79"/>
        <v>{progress,0,21357,2}</v>
      </c>
      <c r="R94" s="61" t="str">
        <f ca="1" t="shared" si="71"/>
        <v>{progress,0,5401000,2}</v>
      </c>
      <c r="S94" s="62" t="str">
        <f ca="1" t="shared" si="80"/>
        <v>{progress,0,21342,1}</v>
      </c>
      <c r="T94" s="62" t="str">
        <f ca="1" t="shared" si="81"/>
        <v>{progress,0,21357,2}</v>
      </c>
      <c r="U94" s="62" t="str">
        <f ca="1" t="shared" si="72"/>
        <v>{progress,0,5401000,3}</v>
      </c>
      <c r="V94" s="63" t="str">
        <f ca="1" t="shared" ref="V94:AC94" si="111">SUBSTITUTE(IF(V$11="","{progress_rate,"&amp;V$4&amp;","&amp;V77&amp;"}",IF(V77&gt;=1,"{progress,"&amp;V$11*100&amp;","&amp;V$4&amp;","&amp;V77&amp;"}","{progress_rate_roll,"&amp;V$11*100&amp;","&amp;INT(V77*10000)&amp;","&amp;V$4&amp;","&amp;1&amp;"}")),V$4,IF(ISNUMBER(V$4),V$4,OFFSET($AG94,0,MATCH(V$4,$AG$28:$AI$28,0)-1)))</f>
        <v>{progress,0,21342,2}</v>
      </c>
      <c r="W94" s="63" t="str">
        <f ca="1" t="shared" si="111"/>
        <v>{progress,0,21357,3}</v>
      </c>
      <c r="X94" s="63" t="str">
        <f ca="1" t="shared" si="111"/>
        <v>{progress,0,5401000,4}</v>
      </c>
      <c r="Y94" s="63" t="str">
        <f ca="1" t="shared" si="83"/>
        <v>{progress_rate_roll,0,1840,9,1}</v>
      </c>
      <c r="Z94" s="63" t="str">
        <f ca="1" t="shared" si="84"/>
        <v>{progress_rate_roll,0,160,30,1}</v>
      </c>
      <c r="AA94" s="62" t="str">
        <f ca="1" t="shared" si="85"/>
        <v>{progress,0,21342,2}</v>
      </c>
      <c r="AB94" s="62" t="str">
        <f ca="1" t="shared" si="86"/>
        <v>{progress,0,21357,3}</v>
      </c>
      <c r="AC94" s="62" t="str">
        <f ca="1" t="shared" si="87"/>
        <v>{progress,0,5401000,5}</v>
      </c>
      <c r="AD94" s="63" t="str">
        <f ca="1" t="shared" si="88"/>
        <v>{progress_rate_roll,0,1840,9,1}</v>
      </c>
      <c r="AE94" s="63" t="str">
        <f ca="1" t="shared" si="89"/>
        <v>{progress_rate_roll,0,160,30,1}</v>
      </c>
      <c r="AG94" s="17">
        <f t="shared" si="74"/>
        <v>21342</v>
      </c>
      <c r="AH94" s="17">
        <f t="shared" si="75"/>
        <v>21357</v>
      </c>
      <c r="AI94">
        <v>5401000</v>
      </c>
      <c r="AK94" s="17"/>
    </row>
    <row r="95" ht="14.25" spans="2:37">
      <c r="B95">
        <v>14</v>
      </c>
      <c r="C95" t="str">
        <f ca="1" t="shared" ref="C95:K95" si="112">SUBSTITUTE(IF(C$11="","{progress_rate,"&amp;C$4&amp;","&amp;C78&amp;"}",IF(C78&gt;=1,"{progress,"&amp;C$11*100&amp;","&amp;C$4&amp;","&amp;C78&amp;"}","{progress_rate_roll,"&amp;C$11*100&amp;","&amp;INT(C78*10000)&amp;","&amp;C$4&amp;","&amp;1&amp;"}")),C$4,IF(ISNUMBER(C$4),C$4,OFFSET($AG95,0,MATCH(C$4,$AG$28:$AI$28,0)-1)))</f>
        <v>{progress_rate,2,144}</v>
      </c>
      <c r="D95" t="str">
        <f ca="1" t="shared" si="112"/>
        <v>{progress,0,2,576}</v>
      </c>
      <c r="E95" t="str">
        <f ca="1" t="shared" si="112"/>
        <v>{progress_rate,5103002,20}</v>
      </c>
      <c r="F95" t="str">
        <f ca="1" t="shared" si="112"/>
        <v>{progress,0,5103002,20}</v>
      </c>
      <c r="G95" t="str">
        <f ca="1" t="shared" si="112"/>
        <v>{progress_rate,5303001,4}</v>
      </c>
      <c r="H95" t="str">
        <f ca="1" t="shared" si="112"/>
        <v>{progress,0,5103002,40}</v>
      </c>
      <c r="I95" t="str">
        <f ca="1" t="shared" si="112"/>
        <v>{progress_rate,5203001,10}</v>
      </c>
      <c r="J95" t="str">
        <f ca="1" t="shared" si="112"/>
        <v>{progress_rate,50026,8}</v>
      </c>
      <c r="K95" t="str">
        <f ca="1" t="shared" si="112"/>
        <v>{progress,0,50026,8}</v>
      </c>
      <c r="L95" t="str">
        <f ca="1" t="shared" si="77"/>
        <v>{progress_rate,5204001,2}</v>
      </c>
      <c r="N95" s="13" t="str">
        <f ca="1" t="shared" si="69"/>
        <v>{progress,0,21358,1}</v>
      </c>
      <c r="O95" s="13" t="str">
        <f ca="1" t="shared" si="70"/>
        <v>{progress,0,5401000,1}</v>
      </c>
      <c r="P95" s="61" t="str">
        <f ca="1" t="shared" si="78"/>
        <v>{progress_rate_roll,0,0,21343,1}</v>
      </c>
      <c r="Q95" s="61" t="str">
        <f ca="1" t="shared" si="79"/>
        <v>{progress,0,21358,2}</v>
      </c>
      <c r="R95" s="61" t="str">
        <f ca="1" t="shared" si="71"/>
        <v>{progress,0,5401000,2}</v>
      </c>
      <c r="S95" s="62" t="str">
        <f ca="1" t="shared" si="80"/>
        <v>{progress,0,21343,1}</v>
      </c>
      <c r="T95" s="62" t="str">
        <f ca="1" t="shared" si="81"/>
        <v>{progress,0,21358,2}</v>
      </c>
      <c r="U95" s="62" t="str">
        <f ca="1" t="shared" si="72"/>
        <v>{progress,0,5401000,3}</v>
      </c>
      <c r="V95" s="63" t="str">
        <f ca="1" t="shared" ref="V95:AC95" si="113">SUBSTITUTE(IF(V$11="","{progress_rate,"&amp;V$4&amp;","&amp;V78&amp;"}",IF(V78&gt;=1,"{progress,"&amp;V$11*100&amp;","&amp;V$4&amp;","&amp;V78&amp;"}","{progress_rate_roll,"&amp;V$11*100&amp;","&amp;INT(V78*10000)&amp;","&amp;V$4&amp;","&amp;1&amp;"}")),V$4,IF(ISNUMBER(V$4),V$4,OFFSET($AG95,0,MATCH(V$4,$AG$28:$AI$28,0)-1)))</f>
        <v>{progress,0,21343,2}</v>
      </c>
      <c r="W95" s="63" t="str">
        <f ca="1" t="shared" si="113"/>
        <v>{progress,0,21358,3}</v>
      </c>
      <c r="X95" s="63" t="str">
        <f ca="1" t="shared" si="113"/>
        <v>{progress,0,5401000,4}</v>
      </c>
      <c r="Y95" s="63" t="str">
        <f ca="1" t="shared" si="83"/>
        <v>{progress_rate_roll,0,1840,9,1}</v>
      </c>
      <c r="Z95" s="63" t="str">
        <f ca="1" t="shared" si="84"/>
        <v>{progress_rate_roll,0,160,30,1}</v>
      </c>
      <c r="AA95" s="62" t="str">
        <f ca="1" t="shared" si="85"/>
        <v>{progress,0,21343,2}</v>
      </c>
      <c r="AB95" s="62" t="str">
        <f ca="1" t="shared" si="86"/>
        <v>{progress,0,21358,3}</v>
      </c>
      <c r="AC95" s="62" t="str">
        <f ca="1" t="shared" si="87"/>
        <v>{progress,0,5401000,5}</v>
      </c>
      <c r="AD95" s="63" t="str">
        <f ca="1" t="shared" si="88"/>
        <v>{progress_rate_roll,0,1840,9,1}</v>
      </c>
      <c r="AE95" s="63" t="str">
        <f ca="1" t="shared" si="89"/>
        <v>{progress_rate_roll,0,160,30,1}</v>
      </c>
      <c r="AG95" s="17">
        <f t="shared" si="74"/>
        <v>21343</v>
      </c>
      <c r="AH95" s="17">
        <f t="shared" si="75"/>
        <v>21358</v>
      </c>
      <c r="AI95">
        <v>5401000</v>
      </c>
      <c r="AK95" s="17"/>
    </row>
    <row r="96" ht="14.25" spans="2:37">
      <c r="B96">
        <v>15</v>
      </c>
      <c r="C96" t="str">
        <f ca="1" t="shared" ref="C96:K96" si="114">SUBSTITUTE(IF(C$11="","{progress_rate,"&amp;C$4&amp;","&amp;C79&amp;"}",IF(C79&gt;=1,"{progress,"&amp;C$11*100&amp;","&amp;C$4&amp;","&amp;C79&amp;"}","{progress_rate_roll,"&amp;C$11*100&amp;","&amp;INT(C79*10000)&amp;","&amp;C$4&amp;","&amp;1&amp;"}")),C$4,IF(ISNUMBER(C$4),C$4,OFFSET($AG96,0,MATCH(C$4,$AG$28:$AI$28,0)-1)))</f>
        <v>{progress_rate,2,149}</v>
      </c>
      <c r="D96" t="str">
        <f ca="1" t="shared" si="114"/>
        <v>{progress,0,2,596}</v>
      </c>
      <c r="E96" t="str">
        <f ca="1" t="shared" si="114"/>
        <v>{progress_rate,5103002,20}</v>
      </c>
      <c r="F96" t="str">
        <f ca="1" t="shared" si="114"/>
        <v>{progress,0,5103002,20}</v>
      </c>
      <c r="G96" t="str">
        <f ca="1" t="shared" si="114"/>
        <v>{progress_rate,5303001,4}</v>
      </c>
      <c r="H96" t="str">
        <f ca="1" t="shared" si="114"/>
        <v>{progress,0,5103002,40}</v>
      </c>
      <c r="I96" t="str">
        <f ca="1" t="shared" si="114"/>
        <v>{progress_rate,5203001,10}</v>
      </c>
      <c r="J96" t="str">
        <f ca="1" t="shared" si="114"/>
        <v>{progress_rate,50026,8}</v>
      </c>
      <c r="K96" t="str">
        <f ca="1" t="shared" si="114"/>
        <v>{progress,0,50026,8}</v>
      </c>
      <c r="L96" t="str">
        <f ca="1" t="shared" si="77"/>
        <v>{progress_rate,5204001,2}</v>
      </c>
      <c r="N96" s="13" t="str">
        <f ca="1" t="shared" si="69"/>
        <v>{progress,0,21359,1}</v>
      </c>
      <c r="O96" s="13" t="str">
        <f ca="1" t="shared" si="70"/>
        <v>{progress,0,5401000,1}</v>
      </c>
      <c r="P96" s="61" t="str">
        <f ca="1" t="shared" si="78"/>
        <v>{progress_rate_roll,0,0,21344,1}</v>
      </c>
      <c r="Q96" s="61" t="str">
        <f ca="1" t="shared" si="79"/>
        <v>{progress,0,21359,2}</v>
      </c>
      <c r="R96" s="61" t="str">
        <f ca="1" t="shared" si="71"/>
        <v>{progress,0,5401000,2}</v>
      </c>
      <c r="S96" s="62" t="str">
        <f ca="1" t="shared" si="80"/>
        <v>{progress,0,21344,1}</v>
      </c>
      <c r="T96" s="62" t="str">
        <f ca="1" t="shared" si="81"/>
        <v>{progress,0,21359,2}</v>
      </c>
      <c r="U96" s="62" t="str">
        <f ca="1" t="shared" si="72"/>
        <v>{progress,0,5401000,3}</v>
      </c>
      <c r="V96" s="63" t="str">
        <f ca="1" t="shared" ref="V96:AC96" si="115">SUBSTITUTE(IF(V$11="","{progress_rate,"&amp;V$4&amp;","&amp;V79&amp;"}",IF(V79&gt;=1,"{progress,"&amp;V$11*100&amp;","&amp;V$4&amp;","&amp;V79&amp;"}","{progress_rate_roll,"&amp;V$11*100&amp;","&amp;INT(V79*10000)&amp;","&amp;V$4&amp;","&amp;1&amp;"}")),V$4,IF(ISNUMBER(V$4),V$4,OFFSET($AG96,0,MATCH(V$4,$AG$28:$AI$28,0)-1)))</f>
        <v>{progress,0,21344,2}</v>
      </c>
      <c r="W96" s="63" t="str">
        <f ca="1" t="shared" si="115"/>
        <v>{progress,0,21359,3}</v>
      </c>
      <c r="X96" s="63" t="str">
        <f ca="1" t="shared" si="115"/>
        <v>{progress,0,5401000,4}</v>
      </c>
      <c r="Y96" s="63" t="str">
        <f ca="1" t="shared" si="83"/>
        <v>{progress_rate_roll,0,1840,9,1}</v>
      </c>
      <c r="Z96" s="63" t="str">
        <f ca="1" t="shared" si="84"/>
        <v>{progress_rate_roll,0,160,30,1}</v>
      </c>
      <c r="AA96" s="62" t="str">
        <f ca="1" t="shared" si="85"/>
        <v>{progress,0,21344,2}</v>
      </c>
      <c r="AB96" s="62" t="str">
        <f ca="1" t="shared" si="86"/>
        <v>{progress,0,21359,3}</v>
      </c>
      <c r="AC96" s="62" t="str">
        <f ca="1" t="shared" si="87"/>
        <v>{progress,0,5401000,5}</v>
      </c>
      <c r="AD96" s="63" t="str">
        <f ca="1" t="shared" si="88"/>
        <v>{progress_rate_roll,0,1840,9,1}</v>
      </c>
      <c r="AE96" s="63" t="str">
        <f ca="1" t="shared" si="89"/>
        <v>{progress_rate_roll,0,160,30,1}</v>
      </c>
      <c r="AG96" s="17">
        <f t="shared" si="74"/>
        <v>21344</v>
      </c>
      <c r="AH96" s="17">
        <f t="shared" si="75"/>
        <v>21359</v>
      </c>
      <c r="AI96">
        <v>5401000</v>
      </c>
      <c r="AK96" s="17"/>
    </row>
    <row r="99" spans="2:8">
      <c r="B99" t="s">
        <v>424</v>
      </c>
      <c r="D99" t="s">
        <v>418</v>
      </c>
      <c r="E99" t="s">
        <v>419</v>
      </c>
      <c r="F99" t="s">
        <v>420</v>
      </c>
      <c r="G99" t="s">
        <v>421</v>
      </c>
      <c r="H99" t="s">
        <v>422</v>
      </c>
    </row>
    <row r="100" spans="2:8">
      <c r="B100">
        <v>1</v>
      </c>
      <c r="C100" t="str">
        <f ca="1">"["&amp;_xlfn.TEXTJOIN(",",1,C82:$L82)</f>
        <v>[{progress_rate,2,79},{progress,0,2,316},{progress_rate,5103002,20},{progress,0,5103002,20},{progress_rate,5303001,4},{progress,0,5103002,40},{progress_rate,5203001,10},{progress_rate,50026,8},{progress,0,50026,8},{progress_rate,5204001,2}</v>
      </c>
      <c r="D100" t="str">
        <f ca="1" t="shared" ref="D100:D114" si="116">$C100&amp;","&amp;_xlfn.TEXTJOIN(",",1,$M82:$O82)&amp;"]"</f>
        <v>[{progress_rate,2,79},{progress,0,2,316},{progress_rate,5103002,20},{progress,0,5103002,20},{progress_rate,5303001,4},{progress,0,5103002,40},{progress_rate,5203001,10},{progress_rate,50026,8},{progress,0,50026,8},{progress_rate,5204001,2},{progress,0,21345,1},{progress,0,5401000,1}]</v>
      </c>
      <c r="E100" t="str">
        <f ca="1" t="shared" ref="E100:E114" si="117">$C100&amp;","&amp;_xlfn.TEXTJOIN(",",1,$P82:$R82)&amp;"]"</f>
        <v>[{progress_rate,2,79},{progress,0,2,316},{progress_rate,5103002,20},{progress,0,5103002,20},{progress_rate,5303001,4},{progress,0,5103002,40},{progress_rate,5203001,10},{progress_rate,50026,8},{progress,0,50026,8},{progress_rate,5204001,2},{progress_rate_roll,0,0,21330,1},{progress,0,21345,2},{progress,0,5401000,2}]</v>
      </c>
      <c r="F100" t="str">
        <f ca="1" t="shared" ref="F100:F114" si="118">$C100&amp;","&amp;_xlfn.TEXTJOIN(",",1,$S82:$U82)&amp;"]"</f>
        <v>[{progress_rate,2,79},{progress,0,2,316},{progress_rate,5103002,20},{progress,0,5103002,20},{progress_rate,5303001,4},{progress,0,5103002,40},{progress_rate,5203001,10},{progress_rate,50026,8},{progress,0,50026,8},{progress_rate,5204001,2},{progress,0,21330,1},{progress,0,21345,2},{progress,0,5401000,3}]</v>
      </c>
      <c r="G100" t="str">
        <f ca="1">$C100&amp;","&amp;_xlfn.TEXTJOIN(",",1,$V82:$Z82)&amp;"]"</f>
        <v>[{progress_rate,2,79},{progress,0,2,316},{progress_rate,5103002,20},{progress,0,5103002,20},{progress_rate,5303001,4},{progress,0,5103002,40},{progress_rate,5203001,10},{progress_rate,50026,8},{progress,0,50026,8},{progress_rate,5204001,2},{progress,0,21330,2},{progress,0,21345,3},{progress,0,5401000,4},{progress_rate_roll,0,1840,9,1},{progress_rate_roll,0,160,30,1}]</v>
      </c>
      <c r="H100" t="str">
        <f ca="1">$C100&amp;","&amp;_xlfn.TEXTJOIN(",",1,$AA82:$AE82)&amp;"]"</f>
        <v>[{progress_rate,2,79},{progress,0,2,316},{progress_rate,5103002,20},{progress,0,5103002,20},{progress_rate,5303001,4},{progress,0,5103002,40},{progress_rate,5203001,10},{progress_rate,50026,8},{progress,0,50026,8},{progress_rate,5204001,2},{progress,0,21330,2},{progress,0,21345,3},{progress,0,5401000,5},{progress_rate_roll,0,1840,9,1},{progress_rate_roll,0,160,30,1}]</v>
      </c>
    </row>
    <row r="101" spans="2:8">
      <c r="B101">
        <v>2</v>
      </c>
      <c r="C101" t="str">
        <f ca="1">"["&amp;_xlfn.TEXTJOIN(",",1,C83:$L83)</f>
        <v>[{progress_rate,2,84},{progress,0,2,336},{progress_rate,5103002,20},{progress,0,5103002,20},{progress_rate,5303001,4},{progress,0,5103002,40},{progress_rate,5203001,10},{progress_rate,50026,8},{progress,0,50026,8},{progress_rate,5204001,2}</v>
      </c>
      <c r="D101" t="str">
        <f ca="1" t="shared" si="116"/>
        <v>[{progress_rate,2,84},{progress,0,2,336},{progress_rate,5103002,20},{progress,0,5103002,20},{progress_rate,5303001,4},{progress,0,5103002,40},{progress_rate,5203001,10},{progress_rate,50026,8},{progress,0,50026,8},{progress_rate,5204001,2},{progress,0,21346,1},{progress,0,5401000,1}]</v>
      </c>
      <c r="E101" t="str">
        <f ca="1" t="shared" si="117"/>
        <v>[{progress_rate,2,84},{progress,0,2,336},{progress_rate,5103002,20},{progress,0,5103002,20},{progress_rate,5303001,4},{progress,0,5103002,40},{progress_rate,5203001,10},{progress_rate,50026,8},{progress,0,50026,8},{progress_rate,5204001,2},{progress_rate_roll,0,0,21331,1},{progress,0,21346,2},{progress,0,5401000,2}]</v>
      </c>
      <c r="F101" t="str">
        <f ca="1" t="shared" si="118"/>
        <v>[{progress_rate,2,84},{progress,0,2,336},{progress_rate,5103002,20},{progress,0,5103002,20},{progress_rate,5303001,4},{progress,0,5103002,40},{progress_rate,5203001,10},{progress_rate,50026,8},{progress,0,50026,8},{progress_rate,5204001,2},{progress,0,21331,1},{progress,0,21346,2},{progress,0,5401000,3}]</v>
      </c>
      <c r="G101" t="str">
        <f ca="1" t="shared" ref="G101:G114" si="119">$C101&amp;","&amp;_xlfn.TEXTJOIN(",",1,$V83:$Z83)&amp;"]"</f>
        <v>[{progress_rate,2,84},{progress,0,2,336},{progress_rate,5103002,20},{progress,0,5103002,20},{progress_rate,5303001,4},{progress,0,5103002,40},{progress_rate,5203001,10},{progress_rate,50026,8},{progress,0,50026,8},{progress_rate,5204001,2},{progress,0,21331,2},{progress,0,21346,3},{progress,0,5401000,4},{progress_rate_roll,0,1840,9,1},{progress_rate_roll,0,160,30,1}]</v>
      </c>
      <c r="H101" t="str">
        <f ca="1" t="shared" ref="H101:H114" si="120">$C101&amp;","&amp;_xlfn.TEXTJOIN(",",1,$AA83:$AE83)&amp;"]"</f>
        <v>[{progress_rate,2,84},{progress,0,2,336},{progress_rate,5103002,20},{progress,0,5103002,20},{progress_rate,5303001,4},{progress,0,5103002,40},{progress_rate,5203001,10},{progress_rate,50026,8},{progress,0,50026,8},{progress_rate,5204001,2},{progress,0,21331,2},{progress,0,21346,3},{progress,0,5401000,5},{progress_rate_roll,0,1840,9,1},{progress_rate_roll,0,160,30,1}]</v>
      </c>
    </row>
    <row r="102" spans="2:8">
      <c r="B102">
        <v>3</v>
      </c>
      <c r="C102" t="str">
        <f ca="1">"["&amp;_xlfn.TEXTJOIN(",",1,C84:$L84)</f>
        <v>[{progress_rate,2,89},{progress,0,2,356},{progress_rate,5103002,20},{progress,0,5103002,20},{progress_rate,5303001,4},{progress,0,5103002,40},{progress_rate,5203001,10},{progress_rate,50026,8},{progress,0,50026,8},{progress_rate,5204001,2}</v>
      </c>
      <c r="D102" t="str">
        <f ca="1" t="shared" si="116"/>
        <v>[{progress_rate,2,89},{progress,0,2,356},{progress_rate,5103002,20},{progress,0,5103002,20},{progress_rate,5303001,4},{progress,0,5103002,40},{progress_rate,5203001,10},{progress_rate,50026,8},{progress,0,50026,8},{progress_rate,5204001,2},{progress,0,21347,1},{progress,0,5401000,1}]</v>
      </c>
      <c r="E102" t="str">
        <f ca="1" t="shared" si="117"/>
        <v>[{progress_rate,2,89},{progress,0,2,356},{progress_rate,5103002,20},{progress,0,5103002,20},{progress_rate,5303001,4},{progress,0,5103002,40},{progress_rate,5203001,10},{progress_rate,50026,8},{progress,0,50026,8},{progress_rate,5204001,2},{progress_rate_roll,0,0,21332,1},{progress,0,21347,2},{progress,0,5401000,2}]</v>
      </c>
      <c r="F102" t="str">
        <f ca="1" t="shared" si="118"/>
        <v>[{progress_rate,2,89},{progress,0,2,356},{progress_rate,5103002,20},{progress,0,5103002,20},{progress_rate,5303001,4},{progress,0,5103002,40},{progress_rate,5203001,10},{progress_rate,50026,8},{progress,0,50026,8},{progress_rate,5204001,2},{progress,0,21332,1},{progress,0,21347,2},{progress,0,5401000,3}]</v>
      </c>
      <c r="G102" t="str">
        <f ca="1" t="shared" si="119"/>
        <v>[{progress_rate,2,89},{progress,0,2,356},{progress_rate,5103002,20},{progress,0,5103002,20},{progress_rate,5303001,4},{progress,0,5103002,40},{progress_rate,5203001,10},{progress_rate,50026,8},{progress,0,50026,8},{progress_rate,5204001,2},{progress,0,21332,2},{progress,0,21347,3},{progress,0,5401000,4},{progress_rate_roll,0,1840,9,1},{progress_rate_roll,0,160,30,1}]</v>
      </c>
      <c r="H102" t="str">
        <f ca="1" t="shared" si="120"/>
        <v>[{progress_rate,2,89},{progress,0,2,356},{progress_rate,5103002,20},{progress,0,5103002,20},{progress_rate,5303001,4},{progress,0,5103002,40},{progress_rate,5203001,10},{progress_rate,50026,8},{progress,0,50026,8},{progress_rate,5204001,2},{progress,0,21332,2},{progress,0,21347,3},{progress,0,5401000,5},{progress_rate_roll,0,1840,9,1},{progress_rate_roll,0,160,30,1}]</v>
      </c>
    </row>
    <row r="103" spans="2:8">
      <c r="B103">
        <v>4</v>
      </c>
      <c r="C103" t="str">
        <f ca="1">"["&amp;_xlfn.TEXTJOIN(",",1,C85:$L85)</f>
        <v>[{progress_rate,2,94},{progress,0,2,376},{progress_rate,5103002,20},{progress,0,5103002,20},{progress_rate,5303001,4},{progress,0,5103002,40},{progress_rate,5203001,10},{progress_rate,50026,8},{progress,0,50026,8},{progress_rate,5204001,2}</v>
      </c>
      <c r="D103" t="str">
        <f ca="1" t="shared" si="116"/>
        <v>[{progress_rate,2,94},{progress,0,2,376},{progress_rate,5103002,20},{progress,0,5103002,20},{progress_rate,5303001,4},{progress,0,5103002,40},{progress_rate,5203001,10},{progress_rate,50026,8},{progress,0,50026,8},{progress_rate,5204001,2},{progress,0,21348,1},{progress,0,5401000,1}]</v>
      </c>
      <c r="E103" t="str">
        <f ca="1" t="shared" si="117"/>
        <v>[{progress_rate,2,94},{progress,0,2,376},{progress_rate,5103002,20},{progress,0,5103002,20},{progress_rate,5303001,4},{progress,0,5103002,40},{progress_rate,5203001,10},{progress_rate,50026,8},{progress,0,50026,8},{progress_rate,5204001,2},{progress_rate_roll,0,0,21333,1},{progress,0,21348,2},{progress,0,5401000,2}]</v>
      </c>
      <c r="F103" t="str">
        <f ca="1" t="shared" si="118"/>
        <v>[{progress_rate,2,94},{progress,0,2,376},{progress_rate,5103002,20},{progress,0,5103002,20},{progress_rate,5303001,4},{progress,0,5103002,40},{progress_rate,5203001,10},{progress_rate,50026,8},{progress,0,50026,8},{progress_rate,5204001,2},{progress,0,21333,1},{progress,0,21348,2},{progress,0,5401000,3}]</v>
      </c>
      <c r="G103" t="str">
        <f ca="1" t="shared" si="119"/>
        <v>[{progress_rate,2,94},{progress,0,2,376},{progress_rate,5103002,20},{progress,0,5103002,20},{progress_rate,5303001,4},{progress,0,5103002,40},{progress_rate,5203001,10},{progress_rate,50026,8},{progress,0,50026,8},{progress_rate,5204001,2},{progress,0,21333,2},{progress,0,21348,3},{progress,0,5401000,4},{progress_rate_roll,0,1840,9,1},{progress_rate_roll,0,160,30,1}]</v>
      </c>
      <c r="H103" t="str">
        <f ca="1" t="shared" si="120"/>
        <v>[{progress_rate,2,94},{progress,0,2,376},{progress_rate,5103002,20},{progress,0,5103002,20},{progress_rate,5303001,4},{progress,0,5103002,40},{progress_rate,5203001,10},{progress_rate,50026,8},{progress,0,50026,8},{progress_rate,5204001,2},{progress,0,21333,2},{progress,0,21348,3},{progress,0,5401000,5},{progress_rate_roll,0,1840,9,1},{progress_rate_roll,0,160,30,1}]</v>
      </c>
    </row>
    <row r="104" spans="2:8">
      <c r="B104">
        <v>5</v>
      </c>
      <c r="C104" t="str">
        <f ca="1">"["&amp;_xlfn.TEXTJOIN(",",1,C86:$L86)</f>
        <v>[{progress_rate,2,99},{progress,0,2,396},{progress_rate,5103002,20},{progress,0,5103002,20},{progress_rate,5303001,4},{progress,0,5103002,40},{progress_rate,5203001,10},{progress_rate,50026,8},{progress,0,50026,8},{progress_rate,5204001,2}</v>
      </c>
      <c r="D104" t="str">
        <f ca="1" t="shared" si="116"/>
        <v>[{progress_rate,2,99},{progress,0,2,396},{progress_rate,5103002,20},{progress,0,5103002,20},{progress_rate,5303001,4},{progress,0,5103002,40},{progress_rate,5203001,10},{progress_rate,50026,8},{progress,0,50026,8},{progress_rate,5204001,2},{progress,0,21349,1},{progress,0,5401000,1}]</v>
      </c>
      <c r="E104" t="str">
        <f ca="1" t="shared" si="117"/>
        <v>[{progress_rate,2,99},{progress,0,2,396},{progress_rate,5103002,20},{progress,0,5103002,20},{progress_rate,5303001,4},{progress,0,5103002,40},{progress_rate,5203001,10},{progress_rate,50026,8},{progress,0,50026,8},{progress_rate,5204001,2},{progress_rate_roll,0,0,21334,1},{progress,0,21349,2},{progress,0,5401000,2}]</v>
      </c>
      <c r="F104" t="str">
        <f ca="1" t="shared" si="118"/>
        <v>[{progress_rate,2,99},{progress,0,2,396},{progress_rate,5103002,20},{progress,0,5103002,20},{progress_rate,5303001,4},{progress,0,5103002,40},{progress_rate,5203001,10},{progress_rate,50026,8},{progress,0,50026,8},{progress_rate,5204001,2},{progress,0,21334,1},{progress,0,21349,2},{progress,0,5401000,3}]</v>
      </c>
      <c r="G104" t="str">
        <f ca="1" t="shared" si="119"/>
        <v>[{progress_rate,2,99},{progress,0,2,396},{progress_rate,5103002,20},{progress,0,5103002,20},{progress_rate,5303001,4},{progress,0,5103002,40},{progress_rate,5203001,10},{progress_rate,50026,8},{progress,0,50026,8},{progress_rate,5204001,2},{progress,0,21334,2},{progress,0,21349,3},{progress,0,5401000,4},{progress_rate_roll,0,1840,9,1},{progress_rate_roll,0,160,30,1}]</v>
      </c>
      <c r="H104" t="str">
        <f ca="1" t="shared" si="120"/>
        <v>[{progress_rate,2,99},{progress,0,2,396},{progress_rate,5103002,20},{progress,0,5103002,20},{progress_rate,5303001,4},{progress,0,5103002,40},{progress_rate,5203001,10},{progress_rate,50026,8},{progress,0,50026,8},{progress_rate,5204001,2},{progress,0,21334,2},{progress,0,21349,3},{progress,0,5401000,5},{progress_rate_roll,0,1840,9,1},{progress_rate_roll,0,160,30,1}]</v>
      </c>
    </row>
    <row r="105" spans="2:8">
      <c r="B105">
        <v>6</v>
      </c>
      <c r="C105" t="str">
        <f ca="1">"["&amp;_xlfn.TEXTJOIN(",",1,C87:$L87)</f>
        <v>[{progress_rate,2,104},{progress,0,2,416},{progress_rate,5103002,20},{progress,0,5103002,20},{progress_rate,5303001,4},{progress,0,5103002,40},{progress_rate,5203001,10},{progress_rate,50026,8},{progress,0,50026,8},{progress_rate,5204001,2}</v>
      </c>
      <c r="D105" t="str">
        <f ca="1" t="shared" si="116"/>
        <v>[{progress_rate,2,104},{progress,0,2,416},{progress_rate,5103002,20},{progress,0,5103002,20},{progress_rate,5303001,4},{progress,0,5103002,40},{progress_rate,5203001,10},{progress_rate,50026,8},{progress,0,50026,8},{progress_rate,5204001,2},{progress,0,21350,1},{progress,0,5401000,1}]</v>
      </c>
      <c r="E105" t="str">
        <f ca="1" t="shared" si="117"/>
        <v>[{progress_rate,2,104},{progress,0,2,416},{progress_rate,5103002,20},{progress,0,5103002,20},{progress_rate,5303001,4},{progress,0,5103002,40},{progress_rate,5203001,10},{progress_rate,50026,8},{progress,0,50026,8},{progress_rate,5204001,2},{progress_rate_roll,0,0,21335,1},{progress,0,21350,2},{progress,0,5401000,2}]</v>
      </c>
      <c r="F105" t="str">
        <f ca="1" t="shared" si="118"/>
        <v>[{progress_rate,2,104},{progress,0,2,416},{progress_rate,5103002,20},{progress,0,5103002,20},{progress_rate,5303001,4},{progress,0,5103002,40},{progress_rate,5203001,10},{progress_rate,50026,8},{progress,0,50026,8},{progress_rate,5204001,2},{progress,0,21335,1},{progress,0,21350,2},{progress,0,5401000,3}]</v>
      </c>
      <c r="G105" t="str">
        <f ca="1" t="shared" si="119"/>
        <v>[{progress_rate,2,104},{progress,0,2,416},{progress_rate,5103002,20},{progress,0,5103002,20},{progress_rate,5303001,4},{progress,0,5103002,40},{progress_rate,5203001,10},{progress_rate,50026,8},{progress,0,50026,8},{progress_rate,5204001,2},{progress,0,21335,2},{progress,0,21350,3},{progress,0,5401000,4},{progress_rate_roll,0,1840,9,1},{progress_rate_roll,0,160,30,1}]</v>
      </c>
      <c r="H105" t="str">
        <f ca="1" t="shared" si="120"/>
        <v>[{progress_rate,2,104},{progress,0,2,416},{progress_rate,5103002,20},{progress,0,5103002,20},{progress_rate,5303001,4},{progress,0,5103002,40},{progress_rate,5203001,10},{progress_rate,50026,8},{progress,0,50026,8},{progress_rate,5204001,2},{progress,0,21335,2},{progress,0,21350,3},{progress,0,5401000,5},{progress_rate_roll,0,1840,9,1},{progress_rate_roll,0,160,30,1}]</v>
      </c>
    </row>
    <row r="106" spans="2:8">
      <c r="B106">
        <v>7</v>
      </c>
      <c r="C106" t="str">
        <f ca="1">"["&amp;_xlfn.TEXTJOIN(",",1,C88:$L88)</f>
        <v>[{progress_rate,2,109},{progress,0,2,436},{progress_rate,5103002,20},{progress,0,5103002,20},{progress_rate,5303001,4},{progress,0,5103002,40},{progress_rate,5203001,10},{progress_rate,50026,8},{progress,0,50026,8},{progress_rate,5204001,2}</v>
      </c>
      <c r="D106" t="str">
        <f ca="1" t="shared" si="116"/>
        <v>[{progress_rate,2,109},{progress,0,2,436},{progress_rate,5103002,20},{progress,0,5103002,20},{progress_rate,5303001,4},{progress,0,5103002,40},{progress_rate,5203001,10},{progress_rate,50026,8},{progress,0,50026,8},{progress_rate,5204001,2},{progress,0,21351,1},{progress,0,5401000,1}]</v>
      </c>
      <c r="E106" t="str">
        <f ca="1" t="shared" si="117"/>
        <v>[{progress_rate,2,109},{progress,0,2,436},{progress_rate,5103002,20},{progress,0,5103002,20},{progress_rate,5303001,4},{progress,0,5103002,40},{progress_rate,5203001,10},{progress_rate,50026,8},{progress,0,50026,8},{progress_rate,5204001,2},{progress_rate_roll,0,0,21336,1},{progress,0,21351,2},{progress,0,5401000,2}]</v>
      </c>
      <c r="F106" t="str">
        <f ca="1" t="shared" si="118"/>
        <v>[{progress_rate,2,109},{progress,0,2,436},{progress_rate,5103002,20},{progress,0,5103002,20},{progress_rate,5303001,4},{progress,0,5103002,40},{progress_rate,5203001,10},{progress_rate,50026,8},{progress,0,50026,8},{progress_rate,5204001,2},{progress,0,21336,1},{progress,0,21351,2},{progress,0,5401000,3}]</v>
      </c>
      <c r="G106" t="str">
        <f ca="1" t="shared" si="119"/>
        <v>[{progress_rate,2,109},{progress,0,2,436},{progress_rate,5103002,20},{progress,0,5103002,20},{progress_rate,5303001,4},{progress,0,5103002,40},{progress_rate,5203001,10},{progress_rate,50026,8},{progress,0,50026,8},{progress_rate,5204001,2},{progress,0,21336,2},{progress,0,21351,3},{progress,0,5401000,4},{progress_rate_roll,0,1840,9,1},{progress_rate_roll,0,160,30,1}]</v>
      </c>
      <c r="H106" t="str">
        <f ca="1" t="shared" si="120"/>
        <v>[{progress_rate,2,109},{progress,0,2,436},{progress_rate,5103002,20},{progress,0,5103002,20},{progress_rate,5303001,4},{progress,0,5103002,40},{progress_rate,5203001,10},{progress_rate,50026,8},{progress,0,50026,8},{progress_rate,5204001,2},{progress,0,21336,2},{progress,0,21351,3},{progress,0,5401000,5},{progress_rate_roll,0,1840,9,1},{progress_rate_roll,0,160,30,1}]</v>
      </c>
    </row>
    <row r="107" spans="2:8">
      <c r="B107">
        <v>8</v>
      </c>
      <c r="C107" t="str">
        <f ca="1">"["&amp;_xlfn.TEXTJOIN(",",1,C89:$L89)</f>
        <v>[{progress_rate,2,114},{progress,0,2,456},{progress_rate,5103002,20},{progress,0,5103002,20},{progress_rate,5303001,4},{progress,0,5103002,40},{progress_rate,5203001,10},{progress_rate,50026,8},{progress,0,50026,8},{progress_rate,5204001,2}</v>
      </c>
      <c r="D107" t="str">
        <f ca="1" t="shared" si="116"/>
        <v>[{progress_rate,2,114},{progress,0,2,456},{progress_rate,5103002,20},{progress,0,5103002,20},{progress_rate,5303001,4},{progress,0,5103002,40},{progress_rate,5203001,10},{progress_rate,50026,8},{progress,0,50026,8},{progress_rate,5204001,2},{progress,0,21352,1},{progress,0,5401000,1}]</v>
      </c>
      <c r="E107" t="str">
        <f ca="1" t="shared" si="117"/>
        <v>[{progress_rate,2,114},{progress,0,2,456},{progress_rate,5103002,20},{progress,0,5103002,20},{progress_rate,5303001,4},{progress,0,5103002,40},{progress_rate,5203001,10},{progress_rate,50026,8},{progress,0,50026,8},{progress_rate,5204001,2},{progress_rate_roll,0,0,21337,1},{progress,0,21352,2},{progress,0,5401000,2}]</v>
      </c>
      <c r="F107" t="str">
        <f ca="1" t="shared" si="118"/>
        <v>[{progress_rate,2,114},{progress,0,2,456},{progress_rate,5103002,20},{progress,0,5103002,20},{progress_rate,5303001,4},{progress,0,5103002,40},{progress_rate,5203001,10},{progress_rate,50026,8},{progress,0,50026,8},{progress_rate,5204001,2},{progress,0,21337,1},{progress,0,21352,2},{progress,0,5401000,3}]</v>
      </c>
      <c r="G107" t="str">
        <f ca="1" t="shared" si="119"/>
        <v>[{progress_rate,2,114},{progress,0,2,456},{progress_rate,5103002,20},{progress,0,5103002,20},{progress_rate,5303001,4},{progress,0,5103002,40},{progress_rate,5203001,10},{progress_rate,50026,8},{progress,0,50026,8},{progress_rate,5204001,2},{progress,0,21337,2},{progress,0,21352,3},{progress,0,5401000,4},{progress_rate_roll,0,1840,9,1},{progress_rate_roll,0,160,30,1}]</v>
      </c>
      <c r="H107" t="str">
        <f ca="1" t="shared" si="120"/>
        <v>[{progress_rate,2,114},{progress,0,2,456},{progress_rate,5103002,20},{progress,0,5103002,20},{progress_rate,5303001,4},{progress,0,5103002,40},{progress_rate,5203001,10},{progress_rate,50026,8},{progress,0,50026,8},{progress_rate,5204001,2},{progress,0,21337,2},{progress,0,21352,3},{progress,0,5401000,5},{progress_rate_roll,0,1840,9,1},{progress_rate_roll,0,160,30,1}]</v>
      </c>
    </row>
    <row r="108" spans="2:8">
      <c r="B108">
        <v>9</v>
      </c>
      <c r="C108" t="str">
        <f ca="1">"["&amp;_xlfn.TEXTJOIN(",",1,C90:$L90)</f>
        <v>[{progress_rate,2,119},{progress,0,2,476},{progress_rate,5103002,20},{progress,0,5103002,20},{progress_rate,5303001,4},{progress,0,5103002,40},{progress_rate,5203001,10},{progress_rate,50026,8},{progress,0,50026,8},{progress_rate,5204001,2}</v>
      </c>
      <c r="D108" t="str">
        <f ca="1" t="shared" si="116"/>
        <v>[{progress_rate,2,119},{progress,0,2,476},{progress_rate,5103002,20},{progress,0,5103002,20},{progress_rate,5303001,4},{progress,0,5103002,40},{progress_rate,5203001,10},{progress_rate,50026,8},{progress,0,50026,8},{progress_rate,5204001,2},{progress,0,21353,1},{progress,0,5401000,1}]</v>
      </c>
      <c r="E108" t="str">
        <f ca="1" t="shared" si="117"/>
        <v>[{progress_rate,2,119},{progress,0,2,476},{progress_rate,5103002,20},{progress,0,5103002,20},{progress_rate,5303001,4},{progress,0,5103002,40},{progress_rate,5203001,10},{progress_rate,50026,8},{progress,0,50026,8},{progress_rate,5204001,2},{progress_rate_roll,0,0,21338,1},{progress,0,21353,2},{progress,0,5401000,2}]</v>
      </c>
      <c r="F108" t="str">
        <f ca="1" t="shared" si="118"/>
        <v>[{progress_rate,2,119},{progress,0,2,476},{progress_rate,5103002,20},{progress,0,5103002,20},{progress_rate,5303001,4},{progress,0,5103002,40},{progress_rate,5203001,10},{progress_rate,50026,8},{progress,0,50026,8},{progress_rate,5204001,2},{progress,0,21338,1},{progress,0,21353,2},{progress,0,5401000,3}]</v>
      </c>
      <c r="G108" t="str">
        <f ca="1" t="shared" si="119"/>
        <v>[{progress_rate,2,119},{progress,0,2,476},{progress_rate,5103002,20},{progress,0,5103002,20},{progress_rate,5303001,4},{progress,0,5103002,40},{progress_rate,5203001,10},{progress_rate,50026,8},{progress,0,50026,8},{progress_rate,5204001,2},{progress,0,21338,2},{progress,0,21353,3},{progress,0,5401000,4},{progress_rate_roll,0,1840,9,1},{progress_rate_roll,0,160,30,1}]</v>
      </c>
      <c r="H108" t="str">
        <f ca="1" t="shared" si="120"/>
        <v>[{progress_rate,2,119},{progress,0,2,476},{progress_rate,5103002,20},{progress,0,5103002,20},{progress_rate,5303001,4},{progress,0,5103002,40},{progress_rate,5203001,10},{progress_rate,50026,8},{progress,0,50026,8},{progress_rate,5204001,2},{progress,0,21338,2},{progress,0,21353,3},{progress,0,5401000,5},{progress_rate_roll,0,1840,9,1},{progress_rate_roll,0,160,30,1}]</v>
      </c>
    </row>
    <row r="109" spans="2:8">
      <c r="B109">
        <v>10</v>
      </c>
      <c r="C109" t="str">
        <f ca="1">"["&amp;_xlfn.TEXTJOIN(",",1,C91:$L91)</f>
        <v>[{progress_rate,2,124},{progress,0,2,496},{progress_rate,5103002,20},{progress,0,5103002,20},{progress_rate,5303001,4},{progress,0,5103002,40},{progress_rate,5203001,10},{progress_rate,50026,8},{progress,0,50026,8},{progress_rate,5204001,2}</v>
      </c>
      <c r="D109" t="str">
        <f ca="1" t="shared" si="116"/>
        <v>[{progress_rate,2,124},{progress,0,2,496},{progress_rate,5103002,20},{progress,0,5103002,20},{progress_rate,5303001,4},{progress,0,5103002,40},{progress_rate,5203001,10},{progress_rate,50026,8},{progress,0,50026,8},{progress_rate,5204001,2},{progress,0,21354,1},{progress,0,5401000,1}]</v>
      </c>
      <c r="E109" t="str">
        <f ca="1" t="shared" si="117"/>
        <v>[{progress_rate,2,124},{progress,0,2,496},{progress_rate,5103002,20},{progress,0,5103002,20},{progress_rate,5303001,4},{progress,0,5103002,40},{progress_rate,5203001,10},{progress_rate,50026,8},{progress,0,50026,8},{progress_rate,5204001,2},{progress_rate_roll,0,0,21339,1},{progress,0,21354,2},{progress,0,5401000,2}]</v>
      </c>
      <c r="F109" t="str">
        <f ca="1" t="shared" si="118"/>
        <v>[{progress_rate,2,124},{progress,0,2,496},{progress_rate,5103002,20},{progress,0,5103002,20},{progress_rate,5303001,4},{progress,0,5103002,40},{progress_rate,5203001,10},{progress_rate,50026,8},{progress,0,50026,8},{progress_rate,5204001,2},{progress,0,21339,1},{progress,0,21354,2},{progress,0,5401000,3}]</v>
      </c>
      <c r="G109" t="str">
        <f ca="1" t="shared" si="119"/>
        <v>[{progress_rate,2,124},{progress,0,2,496},{progress_rate,5103002,20},{progress,0,5103002,20},{progress_rate,5303001,4},{progress,0,5103002,40},{progress_rate,5203001,10},{progress_rate,50026,8},{progress,0,50026,8},{progress_rate,5204001,2},{progress,0,21339,2},{progress,0,21354,3},{progress,0,5401000,4},{progress_rate_roll,0,1840,9,1},{progress_rate_roll,0,160,30,1}]</v>
      </c>
      <c r="H109" t="str">
        <f ca="1" t="shared" si="120"/>
        <v>[{progress_rate,2,124},{progress,0,2,496},{progress_rate,5103002,20},{progress,0,5103002,20},{progress_rate,5303001,4},{progress,0,5103002,40},{progress_rate,5203001,10},{progress_rate,50026,8},{progress,0,50026,8},{progress_rate,5204001,2},{progress,0,21339,2},{progress,0,21354,3},{progress,0,5401000,5},{progress_rate_roll,0,1840,9,1},{progress_rate_roll,0,160,30,1}]</v>
      </c>
    </row>
    <row r="110" spans="2:8">
      <c r="B110">
        <v>11</v>
      </c>
      <c r="C110" t="str">
        <f ca="1">"["&amp;_xlfn.TEXTJOIN(",",1,C92:$L92)</f>
        <v>[{progress_rate,2,129},{progress,0,2,516},{progress_rate,5103002,20},{progress,0,5103002,20},{progress_rate,5303001,4},{progress,0,5103002,40},{progress_rate,5203001,10},{progress_rate,50026,8},{progress,0,50026,8},{progress_rate,5204001,2}</v>
      </c>
      <c r="D110" t="str">
        <f ca="1" t="shared" si="116"/>
        <v>[{progress_rate,2,129},{progress,0,2,516},{progress_rate,5103002,20},{progress,0,5103002,20},{progress_rate,5303001,4},{progress,0,5103002,40},{progress_rate,5203001,10},{progress_rate,50026,8},{progress,0,50026,8},{progress_rate,5204001,2},{progress,0,21355,1},{progress,0,5401000,1}]</v>
      </c>
      <c r="E110" t="str">
        <f ca="1" t="shared" si="117"/>
        <v>[{progress_rate,2,129},{progress,0,2,516},{progress_rate,5103002,20},{progress,0,5103002,20},{progress_rate,5303001,4},{progress,0,5103002,40},{progress_rate,5203001,10},{progress_rate,50026,8},{progress,0,50026,8},{progress_rate,5204001,2},{progress_rate_roll,0,0,21340,1},{progress,0,21355,2},{progress,0,5401000,2}]</v>
      </c>
      <c r="F110" t="str">
        <f ca="1" t="shared" si="118"/>
        <v>[{progress_rate,2,129},{progress,0,2,516},{progress_rate,5103002,20},{progress,0,5103002,20},{progress_rate,5303001,4},{progress,0,5103002,40},{progress_rate,5203001,10},{progress_rate,50026,8},{progress,0,50026,8},{progress_rate,5204001,2},{progress,0,21340,1},{progress,0,21355,2},{progress,0,5401000,3}]</v>
      </c>
      <c r="G110" t="str">
        <f ca="1" t="shared" si="119"/>
        <v>[{progress_rate,2,129},{progress,0,2,516},{progress_rate,5103002,20},{progress,0,5103002,20},{progress_rate,5303001,4},{progress,0,5103002,40},{progress_rate,5203001,10},{progress_rate,50026,8},{progress,0,50026,8},{progress_rate,5204001,2},{progress,0,21340,2},{progress,0,21355,3},{progress,0,5401000,4},{progress_rate_roll,0,1840,9,1},{progress_rate_roll,0,160,30,1}]</v>
      </c>
      <c r="H110" t="str">
        <f ca="1" t="shared" si="120"/>
        <v>[{progress_rate,2,129},{progress,0,2,516},{progress_rate,5103002,20},{progress,0,5103002,20},{progress_rate,5303001,4},{progress,0,5103002,40},{progress_rate,5203001,10},{progress_rate,50026,8},{progress,0,50026,8},{progress_rate,5204001,2},{progress,0,21340,2},{progress,0,21355,3},{progress,0,5401000,5},{progress_rate_roll,0,1840,9,1},{progress_rate_roll,0,160,30,1}]</v>
      </c>
    </row>
    <row r="111" spans="2:8">
      <c r="B111">
        <v>12</v>
      </c>
      <c r="C111" t="str">
        <f ca="1">"["&amp;_xlfn.TEXTJOIN(",",1,C93:$L93)</f>
        <v>[{progress_rate,2,134},{progress,0,2,536},{progress_rate,5103002,20},{progress,0,5103002,20},{progress_rate,5303001,4},{progress,0,5103002,40},{progress_rate,5203001,10},{progress_rate,50026,8},{progress,0,50026,8},{progress_rate,5204001,2}</v>
      </c>
      <c r="D111" t="str">
        <f ca="1" t="shared" si="116"/>
        <v>[{progress_rate,2,134},{progress,0,2,536},{progress_rate,5103002,20},{progress,0,5103002,20},{progress_rate,5303001,4},{progress,0,5103002,40},{progress_rate,5203001,10},{progress_rate,50026,8},{progress,0,50026,8},{progress_rate,5204001,2},{progress,0,21356,1},{progress,0,5401000,1}]</v>
      </c>
      <c r="E111" t="str">
        <f ca="1" t="shared" si="117"/>
        <v>[{progress_rate,2,134},{progress,0,2,536},{progress_rate,5103002,20},{progress,0,5103002,20},{progress_rate,5303001,4},{progress,0,5103002,40},{progress_rate,5203001,10},{progress_rate,50026,8},{progress,0,50026,8},{progress_rate,5204001,2},{progress_rate_roll,0,0,21341,1},{progress,0,21356,2},{progress,0,5401000,2}]</v>
      </c>
      <c r="F111" t="str">
        <f ca="1" t="shared" si="118"/>
        <v>[{progress_rate,2,134},{progress,0,2,536},{progress_rate,5103002,20},{progress,0,5103002,20},{progress_rate,5303001,4},{progress,0,5103002,40},{progress_rate,5203001,10},{progress_rate,50026,8},{progress,0,50026,8},{progress_rate,5204001,2},{progress,0,21341,1},{progress,0,21356,2},{progress,0,5401000,3}]</v>
      </c>
      <c r="G111" t="str">
        <f ca="1" t="shared" si="119"/>
        <v>[{progress_rate,2,134},{progress,0,2,536},{progress_rate,5103002,20},{progress,0,5103002,20},{progress_rate,5303001,4},{progress,0,5103002,40},{progress_rate,5203001,10},{progress_rate,50026,8},{progress,0,50026,8},{progress_rate,5204001,2},{progress,0,21341,2},{progress,0,21356,3},{progress,0,5401000,4},{progress_rate_roll,0,1840,9,1},{progress_rate_roll,0,160,30,1}]</v>
      </c>
      <c r="H111" t="str">
        <f ca="1" t="shared" si="120"/>
        <v>[{progress_rate,2,134},{progress,0,2,536},{progress_rate,5103002,20},{progress,0,5103002,20},{progress_rate,5303001,4},{progress,0,5103002,40},{progress_rate,5203001,10},{progress_rate,50026,8},{progress,0,50026,8},{progress_rate,5204001,2},{progress,0,21341,2},{progress,0,21356,3},{progress,0,5401000,5},{progress_rate_roll,0,1840,9,1},{progress_rate_roll,0,160,30,1}]</v>
      </c>
    </row>
    <row r="112" spans="2:8">
      <c r="B112">
        <v>13</v>
      </c>
      <c r="C112" t="str">
        <f ca="1">"["&amp;_xlfn.TEXTJOIN(",",1,C94:$L94)</f>
        <v>[{progress_rate,2,139},{progress,0,2,556},{progress_rate,5103002,20},{progress,0,5103002,20},{progress_rate,5303001,4},{progress,0,5103002,40},{progress_rate,5203001,10},{progress_rate,50026,8},{progress,0,50026,8},{progress_rate,5204001,2}</v>
      </c>
      <c r="D112" t="str">
        <f ca="1" t="shared" si="116"/>
        <v>[{progress_rate,2,139},{progress,0,2,556},{progress_rate,5103002,20},{progress,0,5103002,20},{progress_rate,5303001,4},{progress,0,5103002,40},{progress_rate,5203001,10},{progress_rate,50026,8},{progress,0,50026,8},{progress_rate,5204001,2},{progress,0,21357,1},{progress,0,5401000,1}]</v>
      </c>
      <c r="E112" t="str">
        <f ca="1" t="shared" si="117"/>
        <v>[{progress_rate,2,139},{progress,0,2,556},{progress_rate,5103002,20},{progress,0,5103002,20},{progress_rate,5303001,4},{progress,0,5103002,40},{progress_rate,5203001,10},{progress_rate,50026,8},{progress,0,50026,8},{progress_rate,5204001,2},{progress_rate_roll,0,0,21342,1},{progress,0,21357,2},{progress,0,5401000,2}]</v>
      </c>
      <c r="F112" t="str">
        <f ca="1" t="shared" si="118"/>
        <v>[{progress_rate,2,139},{progress,0,2,556},{progress_rate,5103002,20},{progress,0,5103002,20},{progress_rate,5303001,4},{progress,0,5103002,40},{progress_rate,5203001,10},{progress_rate,50026,8},{progress,0,50026,8},{progress_rate,5204001,2},{progress,0,21342,1},{progress,0,21357,2},{progress,0,5401000,3}]</v>
      </c>
      <c r="G112" t="str">
        <f ca="1" t="shared" si="119"/>
        <v>[{progress_rate,2,139},{progress,0,2,556},{progress_rate,5103002,20},{progress,0,5103002,20},{progress_rate,5303001,4},{progress,0,5103002,40},{progress_rate,5203001,10},{progress_rate,50026,8},{progress,0,50026,8},{progress_rate,5204001,2},{progress,0,21342,2},{progress,0,21357,3},{progress,0,5401000,4},{progress_rate_roll,0,1840,9,1},{progress_rate_roll,0,160,30,1}]</v>
      </c>
      <c r="H112" t="str">
        <f ca="1" t="shared" si="120"/>
        <v>[{progress_rate,2,139},{progress,0,2,556},{progress_rate,5103002,20},{progress,0,5103002,20},{progress_rate,5303001,4},{progress,0,5103002,40},{progress_rate,5203001,10},{progress_rate,50026,8},{progress,0,50026,8},{progress_rate,5204001,2},{progress,0,21342,2},{progress,0,21357,3},{progress,0,5401000,5},{progress_rate_roll,0,1840,9,1},{progress_rate_roll,0,160,30,1}]</v>
      </c>
    </row>
    <row r="113" spans="2:8">
      <c r="B113">
        <v>14</v>
      </c>
      <c r="C113" t="str">
        <f ca="1">"["&amp;_xlfn.TEXTJOIN(",",1,C95:$L95)</f>
        <v>[{progress_rate,2,144},{progress,0,2,576},{progress_rate,5103002,20},{progress,0,5103002,20},{progress_rate,5303001,4},{progress,0,5103002,40},{progress_rate,5203001,10},{progress_rate,50026,8},{progress,0,50026,8},{progress_rate,5204001,2}</v>
      </c>
      <c r="D113" t="str">
        <f ca="1" t="shared" si="116"/>
        <v>[{progress_rate,2,144},{progress,0,2,576},{progress_rate,5103002,20},{progress,0,5103002,20},{progress_rate,5303001,4},{progress,0,5103002,40},{progress_rate,5203001,10},{progress_rate,50026,8},{progress,0,50026,8},{progress_rate,5204001,2},{progress,0,21358,1},{progress,0,5401000,1}]</v>
      </c>
      <c r="E113" t="str">
        <f ca="1" t="shared" si="117"/>
        <v>[{progress_rate,2,144},{progress,0,2,576},{progress_rate,5103002,20},{progress,0,5103002,20},{progress_rate,5303001,4},{progress,0,5103002,40},{progress_rate,5203001,10},{progress_rate,50026,8},{progress,0,50026,8},{progress_rate,5204001,2},{progress_rate_roll,0,0,21343,1},{progress,0,21358,2},{progress,0,5401000,2}]</v>
      </c>
      <c r="F113" t="str">
        <f ca="1" t="shared" si="118"/>
        <v>[{progress_rate,2,144},{progress,0,2,576},{progress_rate,5103002,20},{progress,0,5103002,20},{progress_rate,5303001,4},{progress,0,5103002,40},{progress_rate,5203001,10},{progress_rate,50026,8},{progress,0,50026,8},{progress_rate,5204001,2},{progress,0,21343,1},{progress,0,21358,2},{progress,0,5401000,3}]</v>
      </c>
      <c r="G113" t="str">
        <f ca="1" t="shared" si="119"/>
        <v>[{progress_rate,2,144},{progress,0,2,576},{progress_rate,5103002,20},{progress,0,5103002,20},{progress_rate,5303001,4},{progress,0,5103002,40},{progress_rate,5203001,10},{progress_rate,50026,8},{progress,0,50026,8},{progress_rate,5204001,2},{progress,0,21343,2},{progress,0,21358,3},{progress,0,5401000,4},{progress_rate_roll,0,1840,9,1},{progress_rate_roll,0,160,30,1}]</v>
      </c>
      <c r="H113" t="str">
        <f ca="1" t="shared" si="120"/>
        <v>[{progress_rate,2,144},{progress,0,2,576},{progress_rate,5103002,20},{progress,0,5103002,20},{progress_rate,5303001,4},{progress,0,5103002,40},{progress_rate,5203001,10},{progress_rate,50026,8},{progress,0,50026,8},{progress_rate,5204001,2},{progress,0,21343,2},{progress,0,21358,3},{progress,0,5401000,5},{progress_rate_roll,0,1840,9,1},{progress_rate_roll,0,160,30,1}]</v>
      </c>
    </row>
    <row r="114" spans="2:8">
      <c r="B114">
        <v>15</v>
      </c>
      <c r="C114" t="str">
        <f ca="1">"["&amp;_xlfn.TEXTJOIN(",",1,C96:$L96)</f>
        <v>[{progress_rate,2,149},{progress,0,2,596},{progress_rate,5103002,20},{progress,0,5103002,20},{progress_rate,5303001,4},{progress,0,5103002,40},{progress_rate,5203001,10},{progress_rate,50026,8},{progress,0,50026,8},{progress_rate,5204001,2}</v>
      </c>
      <c r="D114" t="str">
        <f ca="1" t="shared" si="116"/>
        <v>[{progress_rate,2,149},{progress,0,2,596},{progress_rate,5103002,20},{progress,0,5103002,20},{progress_rate,5303001,4},{progress,0,5103002,40},{progress_rate,5203001,10},{progress_rate,50026,8},{progress,0,50026,8},{progress_rate,5204001,2},{progress,0,21359,1},{progress,0,5401000,1}]</v>
      </c>
      <c r="E114" t="str">
        <f ca="1" t="shared" si="117"/>
        <v>[{progress_rate,2,149},{progress,0,2,596},{progress_rate,5103002,20},{progress,0,5103002,20},{progress_rate,5303001,4},{progress,0,5103002,40},{progress_rate,5203001,10},{progress_rate,50026,8},{progress,0,50026,8},{progress_rate,5204001,2},{progress_rate_roll,0,0,21344,1},{progress,0,21359,2},{progress,0,5401000,2}]</v>
      </c>
      <c r="F114" t="str">
        <f ca="1" t="shared" si="118"/>
        <v>[{progress_rate,2,149},{progress,0,2,596},{progress_rate,5103002,20},{progress,0,5103002,20},{progress_rate,5303001,4},{progress,0,5103002,40},{progress_rate,5203001,10},{progress_rate,50026,8},{progress,0,50026,8},{progress_rate,5204001,2},{progress,0,21344,1},{progress,0,21359,2},{progress,0,5401000,3}]</v>
      </c>
      <c r="G114" t="str">
        <f ca="1" t="shared" si="119"/>
        <v>[{progress_rate,2,149},{progress,0,2,596},{progress_rate,5103002,20},{progress,0,5103002,20},{progress_rate,5303001,4},{progress,0,5103002,40},{progress_rate,5203001,10},{progress_rate,50026,8},{progress,0,50026,8},{progress_rate,5204001,2},{progress,0,21344,2},{progress,0,21359,3},{progress,0,5401000,4},{progress_rate_roll,0,1840,9,1},{progress_rate_roll,0,160,30,1}]</v>
      </c>
      <c r="H114" t="str">
        <f ca="1" t="shared" si="120"/>
        <v>[{progress_rate,2,149},{progress,0,2,596},{progress_rate,5103002,20},{progress,0,5103002,20},{progress_rate,5303001,4},{progress,0,5103002,40},{progress_rate,5203001,10},{progress_rate,50026,8},{progress,0,50026,8},{progress_rate,5204001,2},{progress,0,21344,2},{progress,0,21359,3},{progress,0,5401000,5},{progress_rate_roll,0,1840,9,1},{progress_rate_roll,0,160,30,1}]</v>
      </c>
    </row>
  </sheetData>
  <conditionalFormatting sqref="I4">
    <cfRule type="duplicateValues" dxfId="29" priority="6"/>
    <cfRule type="duplicateValues" dxfId="29" priority="7"/>
    <cfRule type="duplicateValues" dxfId="30" priority="8"/>
  </conditionalFormatting>
  <conditionalFormatting sqref="AG29:AG43">
    <cfRule type="duplicateValues" dxfId="30" priority="3"/>
  </conditionalFormatting>
  <conditionalFormatting sqref="AH29:AH43">
    <cfRule type="duplicateValues" dxfId="30" priority="4"/>
  </conditionalFormatting>
  <conditionalFormatting sqref="AK29:AK43">
    <cfRule type="duplicateValues" dxfId="30" priority="5"/>
  </conditionalFormatting>
  <conditionalFormatting sqref="AK82:AK96">
    <cfRule type="duplicateValues" dxfId="30" priority="2"/>
  </conditionalFormatting>
  <conditionalFormatting sqref="AG82:AH96">
    <cfRule type="duplicateValues" dxfId="30" priority="1"/>
  </conditionalFormatting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>
    <tabColor theme="4"/>
  </sheetPr>
  <dimension ref="B2:AN114"/>
  <sheetViews>
    <sheetView topLeftCell="E34" workbookViewId="0">
      <selection activeCell="R60" sqref="R60"/>
    </sheetView>
  </sheetViews>
  <sheetFormatPr defaultColWidth="9" defaultRowHeight="13.5"/>
  <cols>
    <col min="13" max="15" width="9" style="56"/>
    <col min="16" max="18" width="9" style="57"/>
    <col min="19" max="21" width="9" style="58"/>
    <col min="22" max="26" width="9" style="59"/>
    <col min="27" max="29" width="9" style="58"/>
    <col min="30" max="31" width="9" style="60"/>
  </cols>
  <sheetData>
    <row r="2" spans="2:33">
      <c r="M2" s="13" t="s">
        <v>404</v>
      </c>
      <c r="N2" s="13" t="s">
        <v>404</v>
      </c>
      <c r="O2" s="13" t="s">
        <v>404</v>
      </c>
      <c r="P2" s="61" t="s">
        <v>405</v>
      </c>
      <c r="Q2" s="61" t="s">
        <v>405</v>
      </c>
      <c r="R2" s="61" t="s">
        <v>405</v>
      </c>
      <c r="S2" s="62" t="s">
        <v>406</v>
      </c>
      <c r="T2" s="62" t="s">
        <v>406</v>
      </c>
      <c r="U2" s="62" t="s">
        <v>406</v>
      </c>
      <c r="V2" s="63" t="s">
        <v>407</v>
      </c>
      <c r="W2" s="63" t="s">
        <v>407</v>
      </c>
      <c r="X2" s="63" t="s">
        <v>407</v>
      </c>
      <c r="Y2" s="63"/>
      <c r="Z2" s="63"/>
      <c r="AA2" s="62" t="s">
        <v>408</v>
      </c>
      <c r="AB2" s="62" t="s">
        <v>408</v>
      </c>
      <c r="AC2" s="62" t="s">
        <v>408</v>
      </c>
      <c r="AD2" s="62"/>
      <c r="AE2" s="62"/>
    </row>
    <row r="3" spans="2:33">
      <c r="B3" t="s">
        <v>146</v>
      </c>
      <c r="C3" t="s">
        <v>96</v>
      </c>
      <c r="D3" t="s">
        <v>96</v>
      </c>
      <c r="E3" t="s">
        <v>128</v>
      </c>
      <c r="F3" t="s">
        <v>128</v>
      </c>
      <c r="G3" t="s">
        <v>149</v>
      </c>
      <c r="H3" t="s">
        <v>128</v>
      </c>
      <c r="I3" t="s">
        <v>409</v>
      </c>
      <c r="J3" t="s">
        <v>376</v>
      </c>
      <c r="K3" t="s">
        <v>376</v>
      </c>
      <c r="L3" t="s">
        <v>214</v>
      </c>
      <c r="M3" s="13" t="s">
        <v>410</v>
      </c>
      <c r="N3" s="13" t="s">
        <v>411</v>
      </c>
      <c r="O3" s="13" t="s">
        <v>150</v>
      </c>
      <c r="P3" s="61" t="s">
        <v>410</v>
      </c>
      <c r="Q3" s="61" t="s">
        <v>411</v>
      </c>
      <c r="R3" s="61" t="s">
        <v>150</v>
      </c>
      <c r="S3" s="62" t="s">
        <v>410</v>
      </c>
      <c r="T3" s="62" t="s">
        <v>411</v>
      </c>
      <c r="U3" s="62" t="s">
        <v>150</v>
      </c>
      <c r="V3" s="63" t="s">
        <v>410</v>
      </c>
      <c r="W3" s="63" t="s">
        <v>411</v>
      </c>
      <c r="X3" s="63" t="s">
        <v>150</v>
      </c>
      <c r="Y3" s="63" t="s">
        <v>412</v>
      </c>
      <c r="Z3" s="63" t="s">
        <v>413</v>
      </c>
      <c r="AA3" s="62" t="s">
        <v>410</v>
      </c>
      <c r="AB3" s="62" t="s">
        <v>411</v>
      </c>
      <c r="AC3" s="62" t="s">
        <v>150</v>
      </c>
      <c r="AD3" s="63" t="s">
        <v>412</v>
      </c>
      <c r="AE3" s="63" t="s">
        <v>413</v>
      </c>
    </row>
    <row r="4" ht="16.5" spans="2:33">
      <c r="C4">
        <v>2</v>
      </c>
      <c r="D4">
        <v>2</v>
      </c>
      <c r="E4">
        <v>5103002</v>
      </c>
      <c r="F4">
        <v>5103002</v>
      </c>
      <c r="G4">
        <v>5303001</v>
      </c>
      <c r="H4">
        <v>5103002</v>
      </c>
      <c r="I4" s="12">
        <v>5203001</v>
      </c>
      <c r="J4">
        <v>50026</v>
      </c>
      <c r="K4">
        <v>50026</v>
      </c>
      <c r="L4">
        <v>5204001</v>
      </c>
      <c r="M4" s="13" t="str">
        <f t="shared" ref="M4:X4" si="0">M3</f>
        <v>稀有装备</v>
      </c>
      <c r="N4" s="13" t="str">
        <f t="shared" si="0"/>
        <v>普通装备</v>
      </c>
      <c r="O4" s="13" t="str">
        <f t="shared" si="0"/>
        <v>普通灵感</v>
      </c>
      <c r="P4" s="61" t="str">
        <f t="shared" si="0"/>
        <v>稀有装备</v>
      </c>
      <c r="Q4" s="61" t="str">
        <f t="shared" si="0"/>
        <v>普通装备</v>
      </c>
      <c r="R4" s="61" t="str">
        <f t="shared" si="0"/>
        <v>普通灵感</v>
      </c>
      <c r="S4" s="62" t="str">
        <f t="shared" si="0"/>
        <v>稀有装备</v>
      </c>
      <c r="T4" s="62" t="str">
        <f t="shared" si="0"/>
        <v>普通装备</v>
      </c>
      <c r="U4" s="62" t="str">
        <f t="shared" si="0"/>
        <v>普通灵感</v>
      </c>
      <c r="V4" s="63" t="str">
        <f t="shared" si="0"/>
        <v>稀有装备</v>
      </c>
      <c r="W4" s="63" t="str">
        <f t="shared" si="0"/>
        <v>普通装备</v>
      </c>
      <c r="X4" s="63" t="str">
        <f t="shared" si="0"/>
        <v>普通灵感</v>
      </c>
      <c r="Y4" s="63">
        <v>9</v>
      </c>
      <c r="Z4" s="63">
        <v>30</v>
      </c>
      <c r="AA4" s="62" t="str">
        <f t="shared" ref="AA4:AC4" si="1">AA3</f>
        <v>稀有装备</v>
      </c>
      <c r="AB4" s="62" t="str">
        <f t="shared" si="1"/>
        <v>普通装备</v>
      </c>
      <c r="AC4" s="62" t="str">
        <f t="shared" si="1"/>
        <v>普通灵感</v>
      </c>
      <c r="AD4" s="63">
        <v>9</v>
      </c>
      <c r="AE4" s="63">
        <v>30</v>
      </c>
    </row>
    <row r="5" spans="2:33">
      <c r="B5" t="s">
        <v>414</v>
      </c>
      <c r="AD5" s="59"/>
      <c r="AE5" s="59"/>
    </row>
    <row r="8" spans="2:33">
      <c r="AF8" t="s">
        <v>423</v>
      </c>
      <c r="AG8" t="s">
        <v>425</v>
      </c>
    </row>
    <row r="9" spans="2:33">
      <c r="AF9" t="s">
        <v>415</v>
      </c>
    </row>
    <row r="11" spans="2:33">
      <c r="B11" t="s">
        <v>127</v>
      </c>
      <c r="C11" s="14"/>
      <c r="D11" s="14">
        <v>0</v>
      </c>
      <c r="E11" s="14"/>
      <c r="F11" s="14">
        <v>0</v>
      </c>
      <c r="G11" s="14"/>
      <c r="H11" s="14">
        <v>0</v>
      </c>
      <c r="I11" s="14"/>
      <c r="J11" s="14"/>
      <c r="K11" s="14">
        <v>0</v>
      </c>
      <c r="L11" s="14"/>
      <c r="M11" s="64">
        <v>0</v>
      </c>
      <c r="N11" s="64"/>
      <c r="O11" s="64">
        <v>0</v>
      </c>
      <c r="P11" s="65">
        <v>0</v>
      </c>
      <c r="Q11" s="65">
        <v>0</v>
      </c>
      <c r="R11" s="65">
        <v>0</v>
      </c>
      <c r="S11" s="66"/>
      <c r="T11" s="66">
        <v>0</v>
      </c>
      <c r="U11" s="66">
        <v>0</v>
      </c>
      <c r="V11" s="67">
        <v>0</v>
      </c>
      <c r="W11" s="67">
        <v>0</v>
      </c>
      <c r="X11" s="67">
        <v>0</v>
      </c>
      <c r="Y11" s="67">
        <v>0</v>
      </c>
      <c r="Z11" s="67">
        <v>0</v>
      </c>
      <c r="AA11" s="66">
        <v>0</v>
      </c>
      <c r="AB11" s="66">
        <v>0</v>
      </c>
      <c r="AC11" s="66">
        <v>0</v>
      </c>
      <c r="AD11" s="67">
        <v>0</v>
      </c>
      <c r="AE11" s="67">
        <v>0</v>
      </c>
    </row>
    <row r="12" spans="2:33">
      <c r="B12" t="s">
        <v>416</v>
      </c>
      <c r="C12">
        <f t="shared" ref="C12:C26" si="2">INT(D12*0.25)</f>
        <v>79</v>
      </c>
      <c r="D12">
        <v>316</v>
      </c>
      <c r="E12">
        <v>20</v>
      </c>
      <c r="F12">
        <v>20</v>
      </c>
      <c r="G12">
        <v>4</v>
      </c>
      <c r="H12">
        <v>40</v>
      </c>
      <c r="I12">
        <v>10</v>
      </c>
      <c r="J12">
        <v>8</v>
      </c>
      <c r="K12">
        <v>8</v>
      </c>
      <c r="L12">
        <v>2</v>
      </c>
      <c r="M12" s="13">
        <v>0</v>
      </c>
      <c r="N12" s="13">
        <v>1</v>
      </c>
      <c r="O12" s="13">
        <v>1</v>
      </c>
      <c r="P12" s="61">
        <v>0</v>
      </c>
      <c r="Q12" s="61">
        <v>2</v>
      </c>
      <c r="R12" s="61">
        <v>2</v>
      </c>
      <c r="S12" s="62">
        <v>0</v>
      </c>
      <c r="T12" s="62">
        <v>2</v>
      </c>
      <c r="U12" s="62">
        <v>3</v>
      </c>
      <c r="V12" s="63">
        <v>0</v>
      </c>
      <c r="W12" s="63">
        <v>2</v>
      </c>
      <c r="X12" s="63">
        <v>4</v>
      </c>
      <c r="Y12" s="63">
        <v>0.036</v>
      </c>
      <c r="Z12" s="63">
        <v>0</v>
      </c>
      <c r="AA12" s="62">
        <v>0</v>
      </c>
      <c r="AB12" s="62">
        <v>3</v>
      </c>
      <c r="AC12" s="62">
        <v>5</v>
      </c>
      <c r="AD12" s="63">
        <v>0.048</v>
      </c>
      <c r="AE12" s="63">
        <v>0</v>
      </c>
    </row>
    <row r="13" spans="2:33">
      <c r="C13">
        <f t="shared" si="2"/>
        <v>84</v>
      </c>
      <c r="D13">
        <v>336</v>
      </c>
      <c r="E13">
        <v>20</v>
      </c>
      <c r="F13">
        <v>20</v>
      </c>
      <c r="G13">
        <v>4</v>
      </c>
      <c r="H13">
        <v>40</v>
      </c>
      <c r="I13">
        <v>10</v>
      </c>
      <c r="J13">
        <v>8</v>
      </c>
      <c r="K13">
        <v>8</v>
      </c>
      <c r="L13">
        <v>2</v>
      </c>
      <c r="M13" s="13">
        <v>0</v>
      </c>
      <c r="N13" s="13">
        <v>1</v>
      </c>
      <c r="O13" s="13">
        <v>1</v>
      </c>
      <c r="P13" s="61">
        <v>0</v>
      </c>
      <c r="Q13" s="61">
        <v>2</v>
      </c>
      <c r="R13" s="61">
        <v>2</v>
      </c>
      <c r="S13" s="62">
        <v>0</v>
      </c>
      <c r="T13" s="62">
        <v>2</v>
      </c>
      <c r="U13" s="62">
        <v>3</v>
      </c>
      <c r="V13" s="63">
        <v>0</v>
      </c>
      <c r="W13" s="63">
        <v>2</v>
      </c>
      <c r="X13" s="63">
        <v>4</v>
      </c>
      <c r="Y13" s="63">
        <v>0.036</v>
      </c>
      <c r="Z13" s="63">
        <v>0</v>
      </c>
      <c r="AA13" s="62">
        <v>0</v>
      </c>
      <c r="AB13" s="62">
        <v>3</v>
      </c>
      <c r="AC13" s="62">
        <v>5</v>
      </c>
      <c r="AD13" s="63">
        <v>0.048</v>
      </c>
      <c r="AE13" s="63">
        <v>0</v>
      </c>
    </row>
    <row r="14" spans="2:33">
      <c r="C14">
        <f t="shared" si="2"/>
        <v>89</v>
      </c>
      <c r="D14">
        <v>356</v>
      </c>
      <c r="E14">
        <v>20</v>
      </c>
      <c r="F14">
        <v>20</v>
      </c>
      <c r="G14">
        <v>4</v>
      </c>
      <c r="H14">
        <v>40</v>
      </c>
      <c r="I14">
        <v>10</v>
      </c>
      <c r="J14">
        <v>8</v>
      </c>
      <c r="K14">
        <v>8</v>
      </c>
      <c r="L14">
        <v>2</v>
      </c>
      <c r="M14" s="13">
        <v>0</v>
      </c>
      <c r="N14" s="13">
        <v>1</v>
      </c>
      <c r="O14" s="13">
        <v>1</v>
      </c>
      <c r="P14" s="61">
        <v>0</v>
      </c>
      <c r="Q14" s="61">
        <v>2</v>
      </c>
      <c r="R14" s="61">
        <v>2</v>
      </c>
      <c r="S14" s="62">
        <v>0</v>
      </c>
      <c r="T14" s="62">
        <v>2</v>
      </c>
      <c r="U14" s="62">
        <v>3</v>
      </c>
      <c r="V14" s="63">
        <v>0</v>
      </c>
      <c r="W14" s="63">
        <v>2</v>
      </c>
      <c r="X14" s="63">
        <v>4</v>
      </c>
      <c r="Y14" s="63">
        <v>0.036</v>
      </c>
      <c r="Z14" s="63">
        <v>0</v>
      </c>
      <c r="AA14" s="62">
        <v>0</v>
      </c>
      <c r="AB14" s="62">
        <v>3</v>
      </c>
      <c r="AC14" s="62">
        <v>5</v>
      </c>
      <c r="AD14" s="63">
        <v>0.048</v>
      </c>
      <c r="AE14" s="63">
        <v>0</v>
      </c>
    </row>
    <row r="15" spans="2:33">
      <c r="C15">
        <f t="shared" si="2"/>
        <v>94</v>
      </c>
      <c r="D15">
        <v>376</v>
      </c>
      <c r="E15">
        <v>20</v>
      </c>
      <c r="F15">
        <v>20</v>
      </c>
      <c r="G15">
        <v>4</v>
      </c>
      <c r="H15">
        <v>40</v>
      </c>
      <c r="I15">
        <v>10</v>
      </c>
      <c r="J15">
        <v>8</v>
      </c>
      <c r="K15">
        <v>8</v>
      </c>
      <c r="L15">
        <v>2</v>
      </c>
      <c r="M15" s="13">
        <v>0</v>
      </c>
      <c r="N15" s="13">
        <v>1</v>
      </c>
      <c r="O15" s="13">
        <v>1</v>
      </c>
      <c r="P15" s="61">
        <v>0</v>
      </c>
      <c r="Q15" s="61">
        <v>2</v>
      </c>
      <c r="R15" s="61">
        <v>2</v>
      </c>
      <c r="S15" s="62">
        <v>0</v>
      </c>
      <c r="T15" s="62">
        <v>2</v>
      </c>
      <c r="U15" s="62">
        <v>3</v>
      </c>
      <c r="V15" s="63">
        <v>0</v>
      </c>
      <c r="W15" s="63">
        <v>2</v>
      </c>
      <c r="X15" s="63">
        <v>4</v>
      </c>
      <c r="Y15" s="63">
        <v>0.036</v>
      </c>
      <c r="Z15" s="63">
        <v>0</v>
      </c>
      <c r="AA15" s="62">
        <v>0</v>
      </c>
      <c r="AB15" s="62">
        <v>3</v>
      </c>
      <c r="AC15" s="62">
        <v>5</v>
      </c>
      <c r="AD15" s="63">
        <v>0.048</v>
      </c>
      <c r="AE15" s="63">
        <v>0</v>
      </c>
    </row>
    <row r="16" spans="2:33">
      <c r="C16">
        <f t="shared" si="2"/>
        <v>99</v>
      </c>
      <c r="D16">
        <v>396</v>
      </c>
      <c r="E16">
        <v>20</v>
      </c>
      <c r="F16">
        <v>20</v>
      </c>
      <c r="G16">
        <v>4</v>
      </c>
      <c r="H16">
        <v>40</v>
      </c>
      <c r="I16">
        <v>10</v>
      </c>
      <c r="J16">
        <v>8</v>
      </c>
      <c r="K16">
        <v>8</v>
      </c>
      <c r="L16">
        <v>2</v>
      </c>
      <c r="M16" s="13">
        <v>0</v>
      </c>
      <c r="N16" s="13">
        <v>1</v>
      </c>
      <c r="O16" s="13">
        <v>1</v>
      </c>
      <c r="P16" s="61">
        <v>0</v>
      </c>
      <c r="Q16" s="61">
        <v>2</v>
      </c>
      <c r="R16" s="61">
        <v>2</v>
      </c>
      <c r="S16" s="62">
        <v>0</v>
      </c>
      <c r="T16" s="62">
        <v>2</v>
      </c>
      <c r="U16" s="62">
        <v>3</v>
      </c>
      <c r="V16" s="63">
        <v>0</v>
      </c>
      <c r="W16" s="63">
        <v>2</v>
      </c>
      <c r="X16" s="63">
        <v>4</v>
      </c>
      <c r="Y16" s="63">
        <v>0.036</v>
      </c>
      <c r="Z16" s="63">
        <v>0</v>
      </c>
      <c r="AA16" s="62">
        <v>0</v>
      </c>
      <c r="AB16" s="62">
        <v>3</v>
      </c>
      <c r="AC16" s="62">
        <v>5</v>
      </c>
      <c r="AD16" s="63">
        <v>0.048</v>
      </c>
      <c r="AE16" s="63">
        <v>0</v>
      </c>
    </row>
    <row r="17" spans="2:40">
      <c r="C17">
        <f t="shared" si="2"/>
        <v>104</v>
      </c>
      <c r="D17">
        <v>416</v>
      </c>
      <c r="E17">
        <v>20</v>
      </c>
      <c r="F17">
        <v>20</v>
      </c>
      <c r="G17">
        <v>4</v>
      </c>
      <c r="H17">
        <v>40</v>
      </c>
      <c r="I17">
        <v>10</v>
      </c>
      <c r="J17">
        <v>8</v>
      </c>
      <c r="K17">
        <v>8</v>
      </c>
      <c r="L17">
        <v>2</v>
      </c>
      <c r="M17" s="13">
        <v>0</v>
      </c>
      <c r="N17" s="13">
        <v>1</v>
      </c>
      <c r="O17" s="13">
        <v>1</v>
      </c>
      <c r="P17" s="61">
        <v>0</v>
      </c>
      <c r="Q17" s="61">
        <v>2</v>
      </c>
      <c r="R17" s="61">
        <v>2</v>
      </c>
      <c r="S17" s="62">
        <v>0</v>
      </c>
      <c r="T17" s="62">
        <v>2</v>
      </c>
      <c r="U17" s="62">
        <v>3</v>
      </c>
      <c r="V17" s="63">
        <v>0</v>
      </c>
      <c r="W17" s="63">
        <v>2</v>
      </c>
      <c r="X17" s="63">
        <v>4</v>
      </c>
      <c r="Y17" s="63">
        <v>0.036</v>
      </c>
      <c r="Z17" s="63">
        <v>0</v>
      </c>
      <c r="AA17" s="62">
        <v>0</v>
      </c>
      <c r="AB17" s="62">
        <v>3</v>
      </c>
      <c r="AC17" s="62">
        <v>5</v>
      </c>
      <c r="AD17" s="63">
        <v>0.048</v>
      </c>
      <c r="AE17" s="63">
        <v>0</v>
      </c>
    </row>
    <row r="18" spans="2:40">
      <c r="C18">
        <f t="shared" si="2"/>
        <v>109</v>
      </c>
      <c r="D18">
        <v>436</v>
      </c>
      <c r="E18">
        <v>20</v>
      </c>
      <c r="F18">
        <v>20</v>
      </c>
      <c r="G18">
        <v>4</v>
      </c>
      <c r="H18">
        <v>40</v>
      </c>
      <c r="I18">
        <v>10</v>
      </c>
      <c r="J18">
        <v>8</v>
      </c>
      <c r="K18">
        <v>8</v>
      </c>
      <c r="L18">
        <v>2</v>
      </c>
      <c r="M18" s="13">
        <v>0</v>
      </c>
      <c r="N18" s="13">
        <v>1</v>
      </c>
      <c r="O18" s="13">
        <v>1</v>
      </c>
      <c r="P18" s="61">
        <v>0</v>
      </c>
      <c r="Q18" s="61">
        <v>2</v>
      </c>
      <c r="R18" s="61">
        <v>2</v>
      </c>
      <c r="S18" s="62">
        <v>0</v>
      </c>
      <c r="T18" s="62">
        <v>2</v>
      </c>
      <c r="U18" s="62">
        <v>3</v>
      </c>
      <c r="V18" s="63">
        <v>0</v>
      </c>
      <c r="W18" s="63">
        <v>2</v>
      </c>
      <c r="X18" s="63">
        <v>4</v>
      </c>
      <c r="Y18" s="63">
        <v>0.036</v>
      </c>
      <c r="Z18" s="63">
        <v>0</v>
      </c>
      <c r="AA18" s="62">
        <v>0</v>
      </c>
      <c r="AB18" s="62">
        <v>3</v>
      </c>
      <c r="AC18" s="62">
        <v>5</v>
      </c>
      <c r="AD18" s="63">
        <v>0.048</v>
      </c>
      <c r="AE18" s="63">
        <v>0</v>
      </c>
      <c r="AI18" t="str">
        <f>"["&amp;_xlfn.TEXTJOIN(",",1,AJ18:AM18)&amp;"]"</f>
        <v>[{10000,[{1,[{21315,1}]},{2,[{21316,1}]},{3,[{21317,1}]},{4,[{21318,1}]},{5,[{21319,1}]},{6,[{21320,1}]},{7,[{21321,1}]},{8,[{21322,1}]},{9,[{21323,1}]},{10,[{21324,1}]},{11,[{21325,1}]},{12,[{21326,1}]},{13,[{21327,1}]},{14,[{21328,1}]},{15,[{21329,1}]}]}]</v>
      </c>
      <c r="AJ18" t="s">
        <v>426</v>
      </c>
    </row>
    <row r="19" spans="2:40">
      <c r="C19">
        <f t="shared" si="2"/>
        <v>114</v>
      </c>
      <c r="D19">
        <v>456</v>
      </c>
      <c r="E19">
        <v>20</v>
      </c>
      <c r="F19">
        <v>20</v>
      </c>
      <c r="G19">
        <v>4</v>
      </c>
      <c r="H19">
        <v>40</v>
      </c>
      <c r="I19">
        <v>10</v>
      </c>
      <c r="J19">
        <v>8</v>
      </c>
      <c r="K19">
        <v>8</v>
      </c>
      <c r="L19">
        <v>2</v>
      </c>
      <c r="M19" s="13">
        <v>0</v>
      </c>
      <c r="N19" s="13">
        <v>1</v>
      </c>
      <c r="O19" s="13">
        <v>1</v>
      </c>
      <c r="P19" s="61">
        <v>0</v>
      </c>
      <c r="Q19" s="61">
        <v>2</v>
      </c>
      <c r="R19" s="61">
        <v>2</v>
      </c>
      <c r="S19" s="62">
        <v>0</v>
      </c>
      <c r="T19" s="62">
        <v>2</v>
      </c>
      <c r="U19" s="62">
        <v>3</v>
      </c>
      <c r="V19" s="63">
        <v>0</v>
      </c>
      <c r="W19" s="63">
        <v>2</v>
      </c>
      <c r="X19" s="63">
        <v>4</v>
      </c>
      <c r="Y19" s="63">
        <v>0.036</v>
      </c>
      <c r="Z19" s="63">
        <v>0</v>
      </c>
      <c r="AA19" s="62">
        <v>0</v>
      </c>
      <c r="AB19" s="62">
        <v>3</v>
      </c>
      <c r="AC19" s="62">
        <v>5</v>
      </c>
      <c r="AD19" s="63">
        <v>0.048</v>
      </c>
      <c r="AE19" s="63">
        <v>0</v>
      </c>
      <c r="AI19" t="str">
        <f>"["&amp;_xlfn.TEXTJOIN(",",1,AJ19:AM19)&amp;"]"</f>
        <v>[{5000,[{1,[{21300,1}]},{2,[{21301,1}]},{3,[{21302,1}]},{4,[{21303,1}]},{5,[{21304,1}]},{6,[{21305,1}]},{7,[{21306,1}]},{8,[{21307,1}]},{9,[{21308,1}]},{10,[{21309,1}]},{11,[{21310,1}]},{12,[{21311,1}]},{13,[{21312,1}]},{14,[{21313,1}]},{15,[{21314,1}]}]},{10000,[{1,[{21315,1}]},{2,[{21316,1}]},{3,[{21317,1}]},{4,[{21318,1}]},{5,[{21319,1}]},{6,[{21320,1}]},{7,[{21321,1}]},{8,[{21322,1}]},{9,[{21323,1}]},{10,[{21324,1}]},{11,[{21325,1}]},{12,[{21326,1}]},{13,[{21327,1}]},{14,[{21328,1}]},{15,[{21329,1}]}]}]</v>
      </c>
      <c r="AJ19" t="s">
        <v>427</v>
      </c>
      <c r="AK19" t="s">
        <v>426</v>
      </c>
    </row>
    <row r="20" spans="2:40">
      <c r="C20">
        <f t="shared" si="2"/>
        <v>119</v>
      </c>
      <c r="D20">
        <v>476</v>
      </c>
      <c r="E20">
        <v>20</v>
      </c>
      <c r="F20">
        <v>20</v>
      </c>
      <c r="G20">
        <v>4</v>
      </c>
      <c r="H20">
        <v>40</v>
      </c>
      <c r="I20">
        <v>10</v>
      </c>
      <c r="J20">
        <v>8</v>
      </c>
      <c r="K20">
        <v>8</v>
      </c>
      <c r="L20">
        <v>2</v>
      </c>
      <c r="M20" s="13">
        <v>0</v>
      </c>
      <c r="N20" s="13">
        <v>1</v>
      </c>
      <c r="O20" s="13">
        <v>1</v>
      </c>
      <c r="P20" s="61">
        <v>0</v>
      </c>
      <c r="Q20" s="61">
        <v>2</v>
      </c>
      <c r="R20" s="61">
        <v>2</v>
      </c>
      <c r="S20" s="62">
        <v>0</v>
      </c>
      <c r="T20" s="62">
        <v>2</v>
      </c>
      <c r="U20" s="62">
        <v>3</v>
      </c>
      <c r="V20" s="63">
        <v>0</v>
      </c>
      <c r="W20" s="63">
        <v>2</v>
      </c>
      <c r="X20" s="63">
        <v>4</v>
      </c>
      <c r="Y20" s="63">
        <v>0.036</v>
      </c>
      <c r="Z20" s="63">
        <v>0</v>
      </c>
      <c r="AA20" s="62">
        <v>0</v>
      </c>
      <c r="AB20" s="62">
        <v>3</v>
      </c>
      <c r="AC20" s="62">
        <v>5</v>
      </c>
      <c r="AD20" s="63">
        <v>0.048</v>
      </c>
      <c r="AE20" s="63">
        <v>0</v>
      </c>
      <c r="AI20" t="str">
        <f>"["&amp;_xlfn.TEXTJOIN(",",1,AJ20:AM20)&amp;"]"</f>
        <v>[{10000,[{1,[{21300,1}]},{2,[{21301,1}]},{3,[{21302,1}]},{4,[{21303,1}]},{5,[{21304,1}]},{6,[{21305,1}]},{7,[{21306,1}]},{8,[{21307,1}]},{9,[{21308,1}]},{10,[{21309,1}]},{11,[{21310,1}]},{12,[{21311,1}]},{13,[{21312,1}]},{14,[{21313,1}]},{15,[{21314,1}]}]},{10000,[{1,[{21315,1}]},{2,[{21316,1}]},{3,[{21317,1}]},{4,[{21318,1}]},{5,[{21319,1}]},{6,[{21320,1}]},{7,[{21321,1}]},{8,[{21322,1}]},{9,[{21323,1}]},{10,[{21324,1}]},{11,[{21325,1}]},{12,[{21326,1}]},{13,[{21327,1}]},{14,[{21328,1}]},{15,[{21329,1}]}]}]</v>
      </c>
      <c r="AJ20" t="s">
        <v>428</v>
      </c>
      <c r="AK20" t="s">
        <v>426</v>
      </c>
    </row>
    <row r="21" spans="2:40">
      <c r="C21">
        <f t="shared" si="2"/>
        <v>124</v>
      </c>
      <c r="D21">
        <v>496</v>
      </c>
      <c r="E21">
        <v>20</v>
      </c>
      <c r="F21">
        <v>20</v>
      </c>
      <c r="G21">
        <v>4</v>
      </c>
      <c r="H21">
        <v>40</v>
      </c>
      <c r="I21">
        <v>10</v>
      </c>
      <c r="J21">
        <v>8</v>
      </c>
      <c r="K21">
        <v>8</v>
      </c>
      <c r="L21">
        <v>2</v>
      </c>
      <c r="M21" s="13">
        <v>0</v>
      </c>
      <c r="N21" s="13">
        <v>1</v>
      </c>
      <c r="O21" s="13">
        <v>1</v>
      </c>
      <c r="P21" s="61">
        <v>0</v>
      </c>
      <c r="Q21" s="61">
        <v>2</v>
      </c>
      <c r="R21" s="61">
        <v>2</v>
      </c>
      <c r="S21" s="62">
        <v>0</v>
      </c>
      <c r="T21" s="62">
        <v>2</v>
      </c>
      <c r="U21" s="62">
        <v>3</v>
      </c>
      <c r="V21" s="63">
        <v>0</v>
      </c>
      <c r="W21" s="63">
        <v>2</v>
      </c>
      <c r="X21" s="63">
        <v>4</v>
      </c>
      <c r="Y21" s="63">
        <v>0.036</v>
      </c>
      <c r="Z21" s="63">
        <v>0</v>
      </c>
      <c r="AA21" s="62">
        <v>0</v>
      </c>
      <c r="AB21" s="62">
        <v>3</v>
      </c>
      <c r="AC21" s="62">
        <v>5</v>
      </c>
      <c r="AD21" s="63">
        <v>0.048</v>
      </c>
      <c r="AE21" s="63">
        <v>0</v>
      </c>
    </row>
    <row r="22" spans="2:40">
      <c r="C22">
        <f t="shared" si="2"/>
        <v>129</v>
      </c>
      <c r="D22">
        <v>516</v>
      </c>
      <c r="E22">
        <v>20</v>
      </c>
      <c r="F22">
        <v>20</v>
      </c>
      <c r="G22">
        <v>4</v>
      </c>
      <c r="H22">
        <v>40</v>
      </c>
      <c r="I22">
        <v>10</v>
      </c>
      <c r="J22">
        <v>8</v>
      </c>
      <c r="K22">
        <v>8</v>
      </c>
      <c r="L22">
        <v>2</v>
      </c>
      <c r="M22" s="13">
        <v>0</v>
      </c>
      <c r="N22" s="13">
        <v>1</v>
      </c>
      <c r="O22" s="13">
        <v>1</v>
      </c>
      <c r="P22" s="61">
        <v>0</v>
      </c>
      <c r="Q22" s="61">
        <v>2</v>
      </c>
      <c r="R22" s="61">
        <v>2</v>
      </c>
      <c r="S22" s="62">
        <v>0</v>
      </c>
      <c r="T22" s="62">
        <v>2</v>
      </c>
      <c r="U22" s="62">
        <v>3</v>
      </c>
      <c r="V22" s="63">
        <v>0</v>
      </c>
      <c r="W22" s="63">
        <v>2</v>
      </c>
      <c r="X22" s="63">
        <v>4</v>
      </c>
      <c r="Y22" s="63">
        <v>0.036</v>
      </c>
      <c r="Z22" s="63">
        <v>0</v>
      </c>
      <c r="AA22" s="62">
        <v>0</v>
      </c>
      <c r="AB22" s="62">
        <v>3</v>
      </c>
      <c r="AC22" s="62">
        <v>5</v>
      </c>
      <c r="AD22" s="63">
        <v>0.048</v>
      </c>
      <c r="AE22" s="63">
        <v>0</v>
      </c>
    </row>
    <row r="23" spans="2:40">
      <c r="C23">
        <f t="shared" si="2"/>
        <v>134</v>
      </c>
      <c r="D23">
        <v>536</v>
      </c>
      <c r="E23">
        <v>20</v>
      </c>
      <c r="F23">
        <v>20</v>
      </c>
      <c r="G23">
        <v>4</v>
      </c>
      <c r="H23">
        <v>40</v>
      </c>
      <c r="I23">
        <v>10</v>
      </c>
      <c r="J23">
        <v>8</v>
      </c>
      <c r="K23">
        <v>8</v>
      </c>
      <c r="L23">
        <v>2</v>
      </c>
      <c r="M23" s="13">
        <v>0</v>
      </c>
      <c r="N23" s="13">
        <v>1</v>
      </c>
      <c r="O23" s="13">
        <v>1</v>
      </c>
      <c r="P23" s="61">
        <v>0</v>
      </c>
      <c r="Q23" s="61">
        <v>2</v>
      </c>
      <c r="R23" s="61">
        <v>2</v>
      </c>
      <c r="S23" s="62">
        <v>0</v>
      </c>
      <c r="T23" s="62">
        <v>2</v>
      </c>
      <c r="U23" s="62">
        <v>3</v>
      </c>
      <c r="V23" s="63">
        <v>0</v>
      </c>
      <c r="W23" s="63">
        <v>2</v>
      </c>
      <c r="X23" s="63">
        <v>4</v>
      </c>
      <c r="Y23" s="63">
        <v>0.036</v>
      </c>
      <c r="Z23" s="63">
        <v>0</v>
      </c>
      <c r="AA23" s="62">
        <v>0</v>
      </c>
      <c r="AB23" s="62">
        <v>3</v>
      </c>
      <c r="AC23" s="62">
        <v>5</v>
      </c>
      <c r="AD23" s="63">
        <v>0.048</v>
      </c>
      <c r="AE23" s="63">
        <v>0</v>
      </c>
    </row>
    <row r="24" spans="2:40">
      <c r="C24">
        <f t="shared" si="2"/>
        <v>139</v>
      </c>
      <c r="D24">
        <v>556</v>
      </c>
      <c r="E24">
        <v>20</v>
      </c>
      <c r="F24">
        <v>20</v>
      </c>
      <c r="G24">
        <v>4</v>
      </c>
      <c r="H24">
        <v>40</v>
      </c>
      <c r="I24">
        <v>10</v>
      </c>
      <c r="J24">
        <v>8</v>
      </c>
      <c r="K24">
        <v>8</v>
      </c>
      <c r="L24">
        <v>2</v>
      </c>
      <c r="M24" s="13">
        <v>0</v>
      </c>
      <c r="N24" s="13">
        <v>1</v>
      </c>
      <c r="O24" s="13">
        <v>1</v>
      </c>
      <c r="P24" s="61">
        <v>0</v>
      </c>
      <c r="Q24" s="61">
        <v>2</v>
      </c>
      <c r="R24" s="61">
        <v>2</v>
      </c>
      <c r="S24" s="62">
        <v>0</v>
      </c>
      <c r="T24" s="62">
        <v>2</v>
      </c>
      <c r="U24" s="62">
        <v>3</v>
      </c>
      <c r="V24" s="63">
        <v>0</v>
      </c>
      <c r="W24" s="63">
        <v>2</v>
      </c>
      <c r="X24" s="63">
        <v>4</v>
      </c>
      <c r="Y24" s="63">
        <v>0.036</v>
      </c>
      <c r="Z24" s="63">
        <v>0</v>
      </c>
      <c r="AA24" s="62">
        <v>0</v>
      </c>
      <c r="AB24" s="62">
        <v>3</v>
      </c>
      <c r="AC24" s="62">
        <v>5</v>
      </c>
      <c r="AD24" s="63">
        <v>0.048</v>
      </c>
      <c r="AE24" s="63">
        <v>0</v>
      </c>
    </row>
    <row r="25" spans="2:40">
      <c r="C25">
        <f t="shared" si="2"/>
        <v>144</v>
      </c>
      <c r="D25">
        <v>576</v>
      </c>
      <c r="E25">
        <v>20</v>
      </c>
      <c r="F25">
        <v>20</v>
      </c>
      <c r="G25">
        <v>4</v>
      </c>
      <c r="H25">
        <v>40</v>
      </c>
      <c r="I25">
        <v>10</v>
      </c>
      <c r="J25">
        <v>8</v>
      </c>
      <c r="K25">
        <v>8</v>
      </c>
      <c r="L25">
        <v>2</v>
      </c>
      <c r="M25" s="13">
        <v>0</v>
      </c>
      <c r="N25" s="13">
        <v>1</v>
      </c>
      <c r="O25" s="13">
        <v>1</v>
      </c>
      <c r="P25" s="61">
        <v>0</v>
      </c>
      <c r="Q25" s="61">
        <v>2</v>
      </c>
      <c r="R25" s="61">
        <v>2</v>
      </c>
      <c r="S25" s="62">
        <v>0</v>
      </c>
      <c r="T25" s="62">
        <v>2</v>
      </c>
      <c r="U25" s="62">
        <v>3</v>
      </c>
      <c r="V25" s="63">
        <v>0</v>
      </c>
      <c r="W25" s="63">
        <v>2</v>
      </c>
      <c r="X25" s="63">
        <v>4</v>
      </c>
      <c r="Y25" s="63">
        <v>0.036</v>
      </c>
      <c r="Z25" s="63">
        <v>0</v>
      </c>
      <c r="AA25" s="62">
        <v>0</v>
      </c>
      <c r="AB25" s="62">
        <v>3</v>
      </c>
      <c r="AC25" s="62">
        <v>5</v>
      </c>
      <c r="AD25" s="63">
        <v>0.048</v>
      </c>
      <c r="AE25" s="63">
        <v>0</v>
      </c>
    </row>
    <row r="26" spans="2:40">
      <c r="C26">
        <f t="shared" si="2"/>
        <v>149</v>
      </c>
      <c r="D26">
        <v>596</v>
      </c>
      <c r="E26">
        <v>20</v>
      </c>
      <c r="F26">
        <v>20</v>
      </c>
      <c r="G26">
        <v>4</v>
      </c>
      <c r="H26">
        <v>40</v>
      </c>
      <c r="I26">
        <v>10</v>
      </c>
      <c r="J26">
        <v>8</v>
      </c>
      <c r="K26">
        <v>8</v>
      </c>
      <c r="L26">
        <v>2</v>
      </c>
      <c r="M26" s="13">
        <v>0</v>
      </c>
      <c r="N26" s="13">
        <v>1</v>
      </c>
      <c r="O26" s="13">
        <v>1</v>
      </c>
      <c r="P26" s="61">
        <v>0</v>
      </c>
      <c r="Q26" s="61">
        <v>2</v>
      </c>
      <c r="R26" s="61">
        <v>2</v>
      </c>
      <c r="S26" s="62">
        <v>0</v>
      </c>
      <c r="T26" s="62">
        <v>2</v>
      </c>
      <c r="U26" s="62">
        <v>3</v>
      </c>
      <c r="V26" s="63">
        <v>0</v>
      </c>
      <c r="W26" s="63">
        <v>2</v>
      </c>
      <c r="X26" s="63">
        <v>4</v>
      </c>
      <c r="Y26" s="63">
        <v>0.036</v>
      </c>
      <c r="Z26" s="63">
        <v>0</v>
      </c>
      <c r="AA26" s="62">
        <v>0</v>
      </c>
      <c r="AB26" s="62">
        <v>3</v>
      </c>
      <c r="AC26" s="62">
        <v>5</v>
      </c>
      <c r="AD26" s="63">
        <v>0.048</v>
      </c>
      <c r="AE26" s="63">
        <v>0</v>
      </c>
    </row>
    <row r="27" spans="2:40">
      <c r="T27" s="62"/>
    </row>
    <row r="28" spans="2:40">
      <c r="M28" s="13" t="s">
        <v>404</v>
      </c>
      <c r="N28" s="13" t="s">
        <v>404</v>
      </c>
      <c r="O28" s="13" t="s">
        <v>404</v>
      </c>
      <c r="P28" s="61" t="s">
        <v>405</v>
      </c>
      <c r="Q28" s="61" t="s">
        <v>405</v>
      </c>
      <c r="R28" s="61" t="s">
        <v>405</v>
      </c>
      <c r="S28" s="62" t="s">
        <v>406</v>
      </c>
      <c r="T28" s="62" t="s">
        <v>406</v>
      </c>
      <c r="U28" s="62" t="s">
        <v>406</v>
      </c>
      <c r="V28" s="63" t="s">
        <v>407</v>
      </c>
      <c r="W28" s="63" t="s">
        <v>407</v>
      </c>
      <c r="X28" s="63" t="s">
        <v>407</v>
      </c>
      <c r="Y28" s="63"/>
      <c r="Z28" s="63"/>
      <c r="AA28" s="62" t="s">
        <v>408</v>
      </c>
      <c r="AB28" s="62" t="s">
        <v>408</v>
      </c>
      <c r="AC28" s="62" t="s">
        <v>408</v>
      </c>
      <c r="AD28" s="62"/>
      <c r="AE28" s="62"/>
      <c r="AG28" t="s">
        <v>410</v>
      </c>
      <c r="AH28" t="s">
        <v>411</v>
      </c>
      <c r="AI28" t="s">
        <v>150</v>
      </c>
    </row>
    <row r="29" ht="14.25" spans="2:40">
      <c r="B29">
        <v>1</v>
      </c>
      <c r="C29" t="str">
        <f ca="1" t="shared" ref="C29:L29" si="3">SUBSTITUTE(IF(C$11="","{progress_rate,"&amp;C$4&amp;","&amp;C12&amp;"}",IF(C12&gt;=1,"{progress,"&amp;C$11*100&amp;","&amp;C$4&amp;","&amp;C12&amp;"}","{progress_rate_roll,"&amp;C$11*100&amp;","&amp;INT(C12*10000)&amp;","&amp;C$4&amp;","&amp;1&amp;"}")),C$4,IF(ISNUMBER(C$4),C$4,OFFSET($AG29,0,MATCH(C$4,$AG$28:$AI$28,0)-1)))</f>
        <v>{progress_rate,2,79}</v>
      </c>
      <c r="D29" t="str">
        <f ca="1" t="shared" si="3"/>
        <v>{progress,0,2,316}</v>
      </c>
      <c r="E29" t="str">
        <f ca="1" t="shared" si="3"/>
        <v>{progress_rate,5103002,20}</v>
      </c>
      <c r="F29" t="str">
        <f ca="1" t="shared" si="3"/>
        <v>{progress,0,5103002,20}</v>
      </c>
      <c r="G29" t="str">
        <f ca="1" t="shared" si="3"/>
        <v>{progress_rate,5303001,4}</v>
      </c>
      <c r="H29" t="str">
        <f ca="1" t="shared" si="3"/>
        <v>{progress,0,5103002,40}</v>
      </c>
      <c r="I29" t="str">
        <f ca="1" t="shared" si="3"/>
        <v>{progress_rate,5203001,10}</v>
      </c>
      <c r="J29" t="str">
        <f ca="1" t="shared" si="3"/>
        <v>{progress_rate,50026,8}</v>
      </c>
      <c r="K29" t="str">
        <f ca="1" t="shared" si="3"/>
        <v>{progress,0,50026,8}</v>
      </c>
      <c r="L29" t="str">
        <f ca="1" t="shared" si="3"/>
        <v>{progress_rate,5204001,2}</v>
      </c>
      <c r="N29" s="13" t="str">
        <f ca="1" t="shared" ref="N29:AE29" si="4">SUBSTITUTE(IF(N$11="","{progress_rate,"&amp;N$4&amp;","&amp;N12&amp;"}",IF(N12&gt;=1,"{progress,"&amp;N$11*100&amp;","&amp;N$4&amp;","&amp;N12&amp;"}","{progress_rate_roll,"&amp;N$11*100&amp;","&amp;INT(N12*10000)&amp;","&amp;N$4&amp;","&amp;1&amp;"}")),N$4,IF(ISNUMBER(N$4),N$4,OFFSET($AG29,0,MATCH(N$4,$AG$28:$AI$28,0)-1)))</f>
        <v>{progress_rate,21315,1}</v>
      </c>
      <c r="O29" s="13" t="str">
        <f ca="1" t="shared" si="4"/>
        <v>{progress,0,5401000,1}</v>
      </c>
      <c r="P29" s="61" t="str">
        <f ca="1" t="shared" si="4"/>
        <v>{progress_rate_roll,0,0,21300,1}</v>
      </c>
      <c r="Q29" s="61" t="str">
        <f ca="1" t="shared" si="4"/>
        <v>{progress,0,21315,2}</v>
      </c>
      <c r="R29" s="61" t="str">
        <f ca="1" t="shared" si="4"/>
        <v>{progress,0,5401000,2}</v>
      </c>
      <c r="S29" s="62" t="str">
        <f ca="1" t="shared" si="4"/>
        <v>{progress_rate,21300,0}</v>
      </c>
      <c r="T29" s="62" t="str">
        <f ca="1" t="shared" si="4"/>
        <v>{progress,0,21315,2}</v>
      </c>
      <c r="U29" s="62" t="str">
        <f ca="1" t="shared" si="4"/>
        <v>{progress,0,5401000,3}</v>
      </c>
      <c r="V29" s="63" t="str">
        <f ca="1" t="shared" si="4"/>
        <v>{progress_rate_roll,0,0,21300,1}</v>
      </c>
      <c r="W29" s="63" t="str">
        <f ca="1" t="shared" si="4"/>
        <v>{progress,0,21315,2}</v>
      </c>
      <c r="X29" s="63" t="str">
        <f ca="1" t="shared" si="4"/>
        <v>{progress,0,5401000,4}</v>
      </c>
      <c r="Y29" s="63" t="str">
        <f ca="1" t="shared" si="4"/>
        <v>{progress_rate_roll,0,360,9,1}</v>
      </c>
      <c r="Z29" s="63" t="str">
        <f ca="1" t="shared" si="4"/>
        <v>{progress_rate_roll,0,0,30,1}</v>
      </c>
      <c r="AA29" s="62" t="str">
        <f ca="1" t="shared" si="4"/>
        <v>{progress_rate_roll,0,0,21300,1}</v>
      </c>
      <c r="AB29" s="62" t="str">
        <f ca="1" t="shared" si="4"/>
        <v>{progress,0,21315,3}</v>
      </c>
      <c r="AC29" s="62" t="str">
        <f ca="1" t="shared" si="4"/>
        <v>{progress,0,5401000,5}</v>
      </c>
      <c r="AD29" s="62" t="str">
        <f ca="1" t="shared" si="4"/>
        <v>{progress_rate_roll,0,480,9,1}</v>
      </c>
      <c r="AE29" s="62" t="str">
        <f ca="1" t="shared" si="4"/>
        <v>{progress_rate_roll,0,0,30,1}</v>
      </c>
      <c r="AG29" s="17">
        <v>21300</v>
      </c>
      <c r="AH29" s="17">
        <v>21315</v>
      </c>
      <c r="AI29">
        <v>5401000</v>
      </c>
      <c r="AJ29">
        <v>1</v>
      </c>
      <c r="AK29" s="68" t="str">
        <f>"{"&amp;AJ29&amp;","&amp;"[{"&amp;AG29&amp;",1}]}"</f>
        <v>{1,[{21300,1}]}</v>
      </c>
      <c r="AL29" t="str">
        <f>"{10000,["&amp;_xlfn.TEXTJOIN(",",1,AK29:AK43)&amp;"]}"</f>
        <v>{10000,[{1,[{21300,1}]},{2,[{21301,1}]},{3,[{21302,1}]},{4,[{21303,1}]},{5,[{21304,1}]},{6,[{21305,1}]},{7,[{21306,1}]},{8,[{21307,1}]},{9,[{21308,1}]},{10,[{21309,1}]},{11,[{21310,1}]},{12,[{21311,1}]},{13,[{21312,1}]},{14,[{21313,1}]},{15,[{21314,1}]}]}</v>
      </c>
      <c r="AM29" s="68" t="str">
        <f>"{"&amp;AJ29&amp;","&amp;"[{"&amp;AH29&amp;",1}]}"</f>
        <v>{1,[{21315,1}]}</v>
      </c>
      <c r="AN29" t="str">
        <f>"{10000,["&amp;_xlfn.TEXTJOIN(",",1,AM29:AM43)&amp;"]}"</f>
        <v>{10000,[{1,[{21315,1}]},{2,[{21316,1}]},{3,[{21317,1}]},{4,[{21318,1}]},{5,[{21319,1}]},{6,[{21320,1}]},{7,[{21321,1}]},{8,[{21322,1}]},{9,[{21323,1}]},{10,[{21324,1}]},{11,[{21325,1}]},{12,[{21326,1}]},{13,[{21327,1}]},{14,[{21328,1}]},{15,[{21329,1}]}]}</v>
      </c>
    </row>
    <row r="30" ht="14.25" spans="2:40">
      <c r="B30">
        <v>2</v>
      </c>
      <c r="C30" t="str">
        <f ca="1" t="shared" ref="C30:K30" si="5">SUBSTITUTE(IF(C$11="","{progress_rate,"&amp;C$4&amp;","&amp;C13&amp;"}",IF(C13&gt;=1,"{progress,"&amp;C$11*100&amp;","&amp;C$4&amp;","&amp;C13&amp;"}","{progress_rate_roll,"&amp;C$11*100&amp;","&amp;INT(C13*10000)&amp;","&amp;C$4&amp;","&amp;1&amp;"}")),C$4,IF(ISNUMBER(C$4),C$4,OFFSET($AG30,0,MATCH(C$4,$AG$28:$AI$28,0)-1)))</f>
        <v>{progress_rate,2,84}</v>
      </c>
      <c r="D30" t="str">
        <f ca="1" t="shared" si="5"/>
        <v>{progress,0,2,336}</v>
      </c>
      <c r="E30" t="str">
        <f ca="1" t="shared" si="5"/>
        <v>{progress_rate,5103002,20}</v>
      </c>
      <c r="F30" t="str">
        <f ca="1" t="shared" si="5"/>
        <v>{progress,0,5103002,20}</v>
      </c>
      <c r="G30" t="str">
        <f ca="1" t="shared" si="5"/>
        <v>{progress_rate,5303001,4}</v>
      </c>
      <c r="H30" t="str">
        <f ca="1" t="shared" si="5"/>
        <v>{progress,0,5103002,40}</v>
      </c>
      <c r="I30" t="str">
        <f ca="1" t="shared" si="5"/>
        <v>{progress_rate,5203001,10}</v>
      </c>
      <c r="J30" t="str">
        <f ca="1" t="shared" si="5"/>
        <v>{progress_rate,50026,8}</v>
      </c>
      <c r="K30" t="str">
        <f ca="1" t="shared" si="5"/>
        <v>{progress,0,50026,8}</v>
      </c>
      <c r="L30" t="str">
        <f ca="1" t="shared" ref="L30:L43" si="6">SUBSTITUTE(IF(L$11="","{progress_rate,"&amp;L$4&amp;","&amp;L13&amp;"}",IF(L13&gt;=1,"{progress,"&amp;L$11*100&amp;","&amp;L$4&amp;","&amp;L13&amp;"}","{progress_rate_roll,"&amp;L$11*100&amp;","&amp;INT(L13*10000)&amp;","&amp;L$4&amp;","&amp;1&amp;"}")),L$4,IF(ISNUMBER(L$4),L$4,OFFSET($AG30,0,MATCH(L$4,$AG$28:$AI$28,0)-1)))</f>
        <v>{progress_rate,5204001,2}</v>
      </c>
      <c r="N30" s="13" t="str">
        <f ca="1" t="shared" ref="N30:AE30" si="7">SUBSTITUTE(IF(N$11="","{progress_rate,"&amp;N$4&amp;","&amp;N13&amp;"}",IF(N13&gt;=1,"{progress,"&amp;N$11*100&amp;","&amp;N$4&amp;","&amp;N13&amp;"}","{progress_rate_roll,"&amp;N$11*100&amp;","&amp;INT(N13*10000)&amp;","&amp;N$4&amp;","&amp;1&amp;"}")),N$4,IF(ISNUMBER(N$4),N$4,OFFSET($AG30,0,MATCH(N$4,$AG$28:$AI$28,0)-1)))</f>
        <v>{progress_rate,21316,1}</v>
      </c>
      <c r="O30" s="13" t="str">
        <f ca="1" t="shared" si="7"/>
        <v>{progress,0,5401000,1}</v>
      </c>
      <c r="P30" s="61" t="str">
        <f ca="1" t="shared" si="7"/>
        <v>{progress_rate_roll,0,0,21301,1}</v>
      </c>
      <c r="Q30" s="61" t="str">
        <f ca="1" t="shared" si="7"/>
        <v>{progress,0,21316,2}</v>
      </c>
      <c r="R30" s="61" t="str">
        <f ca="1" t="shared" si="7"/>
        <v>{progress,0,5401000,2}</v>
      </c>
      <c r="S30" s="62" t="str">
        <f ca="1" t="shared" si="7"/>
        <v>{progress_rate,21301,0}</v>
      </c>
      <c r="T30" s="62" t="str">
        <f ca="1" t="shared" si="7"/>
        <v>{progress,0,21316,2}</v>
      </c>
      <c r="U30" s="62" t="str">
        <f ca="1" t="shared" si="7"/>
        <v>{progress,0,5401000,3}</v>
      </c>
      <c r="V30" s="63" t="str">
        <f ca="1" t="shared" si="7"/>
        <v>{progress_rate_roll,0,0,21301,1}</v>
      </c>
      <c r="W30" s="63" t="str">
        <f ca="1" t="shared" si="7"/>
        <v>{progress,0,21316,2}</v>
      </c>
      <c r="X30" s="63" t="str">
        <f ca="1" t="shared" si="7"/>
        <v>{progress,0,5401000,4}</v>
      </c>
      <c r="Y30" s="63" t="str">
        <f ca="1" t="shared" si="7"/>
        <v>{progress_rate_roll,0,360,9,1}</v>
      </c>
      <c r="Z30" s="63" t="str">
        <f ca="1" t="shared" si="7"/>
        <v>{progress_rate_roll,0,0,30,1}</v>
      </c>
      <c r="AA30" s="62" t="str">
        <f ca="1" t="shared" si="7"/>
        <v>{progress_rate_roll,0,0,21301,1}</v>
      </c>
      <c r="AB30" s="62" t="str">
        <f ca="1" t="shared" si="7"/>
        <v>{progress,0,21316,3}</v>
      </c>
      <c r="AC30" s="62" t="str">
        <f ca="1" t="shared" si="7"/>
        <v>{progress,0,5401000,5}</v>
      </c>
      <c r="AD30" s="62" t="str">
        <f ca="1" t="shared" si="7"/>
        <v>{progress_rate_roll,0,480,9,1}</v>
      </c>
      <c r="AE30" s="62" t="str">
        <f ca="1" t="shared" si="7"/>
        <v>{progress_rate_roll,0,0,30,1}</v>
      </c>
      <c r="AG30" s="17">
        <v>21301</v>
      </c>
      <c r="AH30" s="17">
        <v>21316</v>
      </c>
      <c r="AI30">
        <v>5401000</v>
      </c>
      <c r="AJ30">
        <v>2</v>
      </c>
      <c r="AK30" s="68" t="str">
        <f t="shared" ref="AK30:AK43" si="8">"{"&amp;AJ30&amp;","&amp;"[{"&amp;AG30&amp;",1}]}"</f>
        <v>{2,[{21301,1}]}</v>
      </c>
      <c r="AM30" s="68" t="str">
        <f t="shared" ref="AM30:AM43" si="9">"{"&amp;AJ30&amp;","&amp;"[{"&amp;AH30&amp;",1}]}"</f>
        <v>{2,[{21316,1}]}</v>
      </c>
    </row>
    <row r="31" ht="14.25" spans="2:40">
      <c r="B31">
        <v>3</v>
      </c>
      <c r="C31" t="str">
        <f ca="1" t="shared" ref="C31:K31" si="10">SUBSTITUTE(IF(C$11="","{progress_rate,"&amp;C$4&amp;","&amp;C14&amp;"}",IF(C14&gt;=1,"{progress,"&amp;C$11*100&amp;","&amp;C$4&amp;","&amp;C14&amp;"}","{progress_rate_roll,"&amp;C$11*100&amp;","&amp;INT(C14*10000)&amp;","&amp;C$4&amp;","&amp;1&amp;"}")),C$4,IF(ISNUMBER(C$4),C$4,OFFSET($AG31,0,MATCH(C$4,$AG$28:$AI$28,0)-1)))</f>
        <v>{progress_rate,2,89}</v>
      </c>
      <c r="D31" t="str">
        <f ca="1" t="shared" si="10"/>
        <v>{progress,0,2,356}</v>
      </c>
      <c r="E31" t="str">
        <f ca="1" t="shared" si="10"/>
        <v>{progress_rate,5103002,20}</v>
      </c>
      <c r="F31" t="str">
        <f ca="1" t="shared" si="10"/>
        <v>{progress,0,5103002,20}</v>
      </c>
      <c r="G31" t="str">
        <f ca="1" t="shared" si="10"/>
        <v>{progress_rate,5303001,4}</v>
      </c>
      <c r="H31" t="str">
        <f ca="1" t="shared" si="10"/>
        <v>{progress,0,5103002,40}</v>
      </c>
      <c r="I31" t="str">
        <f ca="1" t="shared" si="10"/>
        <v>{progress_rate,5203001,10}</v>
      </c>
      <c r="J31" t="str">
        <f ca="1" t="shared" si="10"/>
        <v>{progress_rate,50026,8}</v>
      </c>
      <c r="K31" t="str">
        <f ca="1" t="shared" si="10"/>
        <v>{progress,0,50026,8}</v>
      </c>
      <c r="L31" t="str">
        <f ca="1" t="shared" si="6"/>
        <v>{progress_rate,5204001,2}</v>
      </c>
      <c r="N31" s="13" t="str">
        <f ca="1" t="shared" ref="N31:AE31" si="11">SUBSTITUTE(IF(N$11="","{progress_rate,"&amp;N$4&amp;","&amp;N14&amp;"}",IF(N14&gt;=1,"{progress,"&amp;N$11*100&amp;","&amp;N$4&amp;","&amp;N14&amp;"}","{progress_rate_roll,"&amp;N$11*100&amp;","&amp;INT(N14*10000)&amp;","&amp;N$4&amp;","&amp;1&amp;"}")),N$4,IF(ISNUMBER(N$4),N$4,OFFSET($AG31,0,MATCH(N$4,$AG$28:$AI$28,0)-1)))</f>
        <v>{progress_rate,21317,1}</v>
      </c>
      <c r="O31" s="13" t="str">
        <f ca="1" t="shared" si="11"/>
        <v>{progress,0,5401000,1}</v>
      </c>
      <c r="P31" s="61" t="str">
        <f ca="1" t="shared" si="11"/>
        <v>{progress_rate_roll,0,0,21302,1}</v>
      </c>
      <c r="Q31" s="61" t="str">
        <f ca="1" t="shared" si="11"/>
        <v>{progress,0,21317,2}</v>
      </c>
      <c r="R31" s="61" t="str">
        <f ca="1" t="shared" si="11"/>
        <v>{progress,0,5401000,2}</v>
      </c>
      <c r="S31" s="62" t="str">
        <f ca="1" t="shared" si="11"/>
        <v>{progress_rate,21302,0}</v>
      </c>
      <c r="T31" s="62" t="str">
        <f ca="1" t="shared" si="11"/>
        <v>{progress,0,21317,2}</v>
      </c>
      <c r="U31" s="62" t="str">
        <f ca="1" t="shared" si="11"/>
        <v>{progress,0,5401000,3}</v>
      </c>
      <c r="V31" s="63" t="str">
        <f ca="1" t="shared" si="11"/>
        <v>{progress_rate_roll,0,0,21302,1}</v>
      </c>
      <c r="W31" s="63" t="str">
        <f ca="1" t="shared" si="11"/>
        <v>{progress,0,21317,2}</v>
      </c>
      <c r="X31" s="63" t="str">
        <f ca="1" t="shared" si="11"/>
        <v>{progress,0,5401000,4}</v>
      </c>
      <c r="Y31" s="63" t="str">
        <f ca="1" t="shared" si="11"/>
        <v>{progress_rate_roll,0,360,9,1}</v>
      </c>
      <c r="Z31" s="63" t="str">
        <f ca="1" t="shared" si="11"/>
        <v>{progress_rate_roll,0,0,30,1}</v>
      </c>
      <c r="AA31" s="62" t="str">
        <f ca="1" t="shared" si="11"/>
        <v>{progress_rate_roll,0,0,21302,1}</v>
      </c>
      <c r="AB31" s="62" t="str">
        <f ca="1" t="shared" si="11"/>
        <v>{progress,0,21317,3}</v>
      </c>
      <c r="AC31" s="62" t="str">
        <f ca="1" t="shared" si="11"/>
        <v>{progress,0,5401000,5}</v>
      </c>
      <c r="AD31" s="62" t="str">
        <f ca="1" t="shared" si="11"/>
        <v>{progress_rate_roll,0,480,9,1}</v>
      </c>
      <c r="AE31" s="62" t="str">
        <f ca="1" t="shared" si="11"/>
        <v>{progress_rate_roll,0,0,30,1}</v>
      </c>
      <c r="AG31" s="17">
        <v>21302</v>
      </c>
      <c r="AH31" s="17">
        <v>21317</v>
      </c>
      <c r="AI31">
        <v>5401000</v>
      </c>
      <c r="AJ31">
        <v>3</v>
      </c>
      <c r="AK31" s="68" t="str">
        <f t="shared" si="8"/>
        <v>{3,[{21302,1}]}</v>
      </c>
      <c r="AM31" s="68" t="str">
        <f t="shared" si="9"/>
        <v>{3,[{21317,1}]}</v>
      </c>
    </row>
    <row r="32" ht="14.25" spans="2:40">
      <c r="B32">
        <v>4</v>
      </c>
      <c r="C32" t="str">
        <f ca="1" t="shared" ref="C32:K32" si="12">SUBSTITUTE(IF(C$11="","{progress_rate,"&amp;C$4&amp;","&amp;C15&amp;"}",IF(C15&gt;=1,"{progress,"&amp;C$11*100&amp;","&amp;C$4&amp;","&amp;C15&amp;"}","{progress_rate_roll,"&amp;C$11*100&amp;","&amp;INT(C15*10000)&amp;","&amp;C$4&amp;","&amp;1&amp;"}")),C$4,IF(ISNUMBER(C$4),C$4,OFFSET($AG32,0,MATCH(C$4,$AG$28:$AI$28,0)-1)))</f>
        <v>{progress_rate,2,94}</v>
      </c>
      <c r="D32" t="str">
        <f ca="1" t="shared" si="12"/>
        <v>{progress,0,2,376}</v>
      </c>
      <c r="E32" t="str">
        <f ca="1" t="shared" si="12"/>
        <v>{progress_rate,5103002,20}</v>
      </c>
      <c r="F32" t="str">
        <f ca="1" t="shared" si="12"/>
        <v>{progress,0,5103002,20}</v>
      </c>
      <c r="G32" t="str">
        <f ca="1" t="shared" si="12"/>
        <v>{progress_rate,5303001,4}</v>
      </c>
      <c r="H32" t="str">
        <f ca="1" t="shared" si="12"/>
        <v>{progress,0,5103002,40}</v>
      </c>
      <c r="I32" t="str">
        <f ca="1" t="shared" si="12"/>
        <v>{progress_rate,5203001,10}</v>
      </c>
      <c r="J32" t="str">
        <f ca="1" t="shared" si="12"/>
        <v>{progress_rate,50026,8}</v>
      </c>
      <c r="K32" t="str">
        <f ca="1" t="shared" si="12"/>
        <v>{progress,0,50026,8}</v>
      </c>
      <c r="L32" t="str">
        <f ca="1" t="shared" si="6"/>
        <v>{progress_rate,5204001,2}</v>
      </c>
      <c r="N32" s="13" t="str">
        <f ca="1" t="shared" ref="N32:AE32" si="13">SUBSTITUTE(IF(N$11="","{progress_rate,"&amp;N$4&amp;","&amp;N15&amp;"}",IF(N15&gt;=1,"{progress,"&amp;N$11*100&amp;","&amp;N$4&amp;","&amp;N15&amp;"}","{progress_rate_roll,"&amp;N$11*100&amp;","&amp;INT(N15*10000)&amp;","&amp;N$4&amp;","&amp;1&amp;"}")),N$4,IF(ISNUMBER(N$4),N$4,OFFSET($AG32,0,MATCH(N$4,$AG$28:$AI$28,0)-1)))</f>
        <v>{progress_rate,21318,1}</v>
      </c>
      <c r="O32" s="13" t="str">
        <f ca="1" t="shared" si="13"/>
        <v>{progress,0,5401000,1}</v>
      </c>
      <c r="P32" s="61" t="str">
        <f ca="1" t="shared" si="13"/>
        <v>{progress_rate_roll,0,0,21303,1}</v>
      </c>
      <c r="Q32" s="61" t="str">
        <f ca="1" t="shared" si="13"/>
        <v>{progress,0,21318,2}</v>
      </c>
      <c r="R32" s="61" t="str">
        <f ca="1" t="shared" si="13"/>
        <v>{progress,0,5401000,2}</v>
      </c>
      <c r="S32" s="62" t="str">
        <f ca="1" t="shared" si="13"/>
        <v>{progress_rate,21303,0}</v>
      </c>
      <c r="T32" s="62" t="str">
        <f ca="1" t="shared" si="13"/>
        <v>{progress,0,21318,2}</v>
      </c>
      <c r="U32" s="62" t="str">
        <f ca="1" t="shared" si="13"/>
        <v>{progress,0,5401000,3}</v>
      </c>
      <c r="V32" s="63" t="str">
        <f ca="1" t="shared" si="13"/>
        <v>{progress_rate_roll,0,0,21303,1}</v>
      </c>
      <c r="W32" s="63" t="str">
        <f ca="1" t="shared" si="13"/>
        <v>{progress,0,21318,2}</v>
      </c>
      <c r="X32" s="63" t="str">
        <f ca="1" t="shared" si="13"/>
        <v>{progress,0,5401000,4}</v>
      </c>
      <c r="Y32" s="63" t="str">
        <f ca="1" t="shared" si="13"/>
        <v>{progress_rate_roll,0,360,9,1}</v>
      </c>
      <c r="Z32" s="63" t="str">
        <f ca="1" t="shared" si="13"/>
        <v>{progress_rate_roll,0,0,30,1}</v>
      </c>
      <c r="AA32" s="62" t="str">
        <f ca="1" t="shared" si="13"/>
        <v>{progress_rate_roll,0,0,21303,1}</v>
      </c>
      <c r="AB32" s="62" t="str">
        <f ca="1" t="shared" si="13"/>
        <v>{progress,0,21318,3}</v>
      </c>
      <c r="AC32" s="62" t="str">
        <f ca="1" t="shared" si="13"/>
        <v>{progress,0,5401000,5}</v>
      </c>
      <c r="AD32" s="62" t="str">
        <f ca="1" t="shared" si="13"/>
        <v>{progress_rate_roll,0,480,9,1}</v>
      </c>
      <c r="AE32" s="62" t="str">
        <f ca="1" t="shared" si="13"/>
        <v>{progress_rate_roll,0,0,30,1}</v>
      </c>
      <c r="AG32" s="17">
        <v>21303</v>
      </c>
      <c r="AH32" s="17">
        <v>21318</v>
      </c>
      <c r="AI32">
        <v>5401000</v>
      </c>
      <c r="AJ32">
        <v>4</v>
      </c>
      <c r="AK32" s="68" t="str">
        <f t="shared" si="8"/>
        <v>{4,[{21303,1}]}</v>
      </c>
      <c r="AM32" s="68" t="str">
        <f t="shared" si="9"/>
        <v>{4,[{21318,1}]}</v>
      </c>
    </row>
    <row r="33" ht="14.25" spans="2:39">
      <c r="B33">
        <v>5</v>
      </c>
      <c r="C33" t="str">
        <f ca="1" t="shared" ref="C33:K33" si="14">SUBSTITUTE(IF(C$11="","{progress_rate,"&amp;C$4&amp;","&amp;C16&amp;"}",IF(C16&gt;=1,"{progress,"&amp;C$11*100&amp;","&amp;C$4&amp;","&amp;C16&amp;"}","{progress_rate_roll,"&amp;C$11*100&amp;","&amp;INT(C16*10000)&amp;","&amp;C$4&amp;","&amp;1&amp;"}")),C$4,IF(ISNUMBER(C$4),C$4,OFFSET($AG33,0,MATCH(C$4,$AG$28:$AI$28,0)-1)))</f>
        <v>{progress_rate,2,99}</v>
      </c>
      <c r="D33" t="str">
        <f ca="1" t="shared" si="14"/>
        <v>{progress,0,2,396}</v>
      </c>
      <c r="E33" t="str">
        <f ca="1" t="shared" si="14"/>
        <v>{progress_rate,5103002,20}</v>
      </c>
      <c r="F33" t="str">
        <f ca="1" t="shared" si="14"/>
        <v>{progress,0,5103002,20}</v>
      </c>
      <c r="G33" t="str">
        <f ca="1" t="shared" si="14"/>
        <v>{progress_rate,5303001,4}</v>
      </c>
      <c r="H33" t="str">
        <f ca="1" t="shared" si="14"/>
        <v>{progress,0,5103002,40}</v>
      </c>
      <c r="I33" t="str">
        <f ca="1" t="shared" si="14"/>
        <v>{progress_rate,5203001,10}</v>
      </c>
      <c r="J33" t="str">
        <f ca="1" t="shared" si="14"/>
        <v>{progress_rate,50026,8}</v>
      </c>
      <c r="K33" t="str">
        <f ca="1" t="shared" si="14"/>
        <v>{progress,0,50026,8}</v>
      </c>
      <c r="L33" t="str">
        <f ca="1" t="shared" si="6"/>
        <v>{progress_rate,5204001,2}</v>
      </c>
      <c r="N33" s="13" t="str">
        <f ca="1" t="shared" ref="N33:AE33" si="15">SUBSTITUTE(IF(N$11="","{progress_rate,"&amp;N$4&amp;","&amp;N16&amp;"}",IF(N16&gt;=1,"{progress,"&amp;N$11*100&amp;","&amp;N$4&amp;","&amp;N16&amp;"}","{progress_rate_roll,"&amp;N$11*100&amp;","&amp;INT(N16*10000)&amp;","&amp;N$4&amp;","&amp;1&amp;"}")),N$4,IF(ISNUMBER(N$4),N$4,OFFSET($AG33,0,MATCH(N$4,$AG$28:$AI$28,0)-1)))</f>
        <v>{progress_rate,21319,1}</v>
      </c>
      <c r="O33" s="13" t="str">
        <f ca="1" t="shared" si="15"/>
        <v>{progress,0,5401000,1}</v>
      </c>
      <c r="P33" s="61" t="str">
        <f ca="1" t="shared" si="15"/>
        <v>{progress_rate_roll,0,0,21304,1}</v>
      </c>
      <c r="Q33" s="61" t="str">
        <f ca="1" t="shared" si="15"/>
        <v>{progress,0,21319,2}</v>
      </c>
      <c r="R33" s="61" t="str">
        <f ca="1" t="shared" si="15"/>
        <v>{progress,0,5401000,2}</v>
      </c>
      <c r="S33" s="62" t="str">
        <f ca="1" t="shared" si="15"/>
        <v>{progress_rate,21304,0}</v>
      </c>
      <c r="T33" s="62" t="str">
        <f ca="1" t="shared" si="15"/>
        <v>{progress,0,21319,2}</v>
      </c>
      <c r="U33" s="62" t="str">
        <f ca="1" t="shared" si="15"/>
        <v>{progress,0,5401000,3}</v>
      </c>
      <c r="V33" s="63" t="str">
        <f ca="1" t="shared" si="15"/>
        <v>{progress_rate_roll,0,0,21304,1}</v>
      </c>
      <c r="W33" s="63" t="str">
        <f ca="1" t="shared" si="15"/>
        <v>{progress,0,21319,2}</v>
      </c>
      <c r="X33" s="63" t="str">
        <f ca="1" t="shared" si="15"/>
        <v>{progress,0,5401000,4}</v>
      </c>
      <c r="Y33" s="63" t="str">
        <f ca="1" t="shared" si="15"/>
        <v>{progress_rate_roll,0,360,9,1}</v>
      </c>
      <c r="Z33" s="63" t="str">
        <f ca="1" t="shared" si="15"/>
        <v>{progress_rate_roll,0,0,30,1}</v>
      </c>
      <c r="AA33" s="62" t="str">
        <f ca="1" t="shared" si="15"/>
        <v>{progress_rate_roll,0,0,21304,1}</v>
      </c>
      <c r="AB33" s="62" t="str">
        <f ca="1" t="shared" si="15"/>
        <v>{progress,0,21319,3}</v>
      </c>
      <c r="AC33" s="62" t="str">
        <f ca="1" t="shared" si="15"/>
        <v>{progress,0,5401000,5}</v>
      </c>
      <c r="AD33" s="62" t="str">
        <f ca="1" t="shared" si="15"/>
        <v>{progress_rate_roll,0,480,9,1}</v>
      </c>
      <c r="AE33" s="62" t="str">
        <f ca="1" t="shared" si="15"/>
        <v>{progress_rate_roll,0,0,30,1}</v>
      </c>
      <c r="AG33" s="17">
        <v>21304</v>
      </c>
      <c r="AH33" s="17">
        <v>21319</v>
      </c>
      <c r="AI33">
        <v>5401000</v>
      </c>
      <c r="AJ33">
        <v>5</v>
      </c>
      <c r="AK33" s="68" t="str">
        <f t="shared" si="8"/>
        <v>{5,[{21304,1}]}</v>
      </c>
      <c r="AM33" s="68" t="str">
        <f t="shared" si="9"/>
        <v>{5,[{21319,1}]}</v>
      </c>
    </row>
    <row r="34" ht="14.25" spans="2:39">
      <c r="B34">
        <v>6</v>
      </c>
      <c r="C34" t="str">
        <f ca="1" t="shared" ref="C34:K34" si="16">SUBSTITUTE(IF(C$11="","{progress_rate,"&amp;C$4&amp;","&amp;C17&amp;"}",IF(C17&gt;=1,"{progress,"&amp;C$11*100&amp;","&amp;C$4&amp;","&amp;C17&amp;"}","{progress_rate_roll,"&amp;C$11*100&amp;","&amp;INT(C17*10000)&amp;","&amp;C$4&amp;","&amp;1&amp;"}")),C$4,IF(ISNUMBER(C$4),C$4,OFFSET($AG34,0,MATCH(C$4,$AG$28:$AI$28,0)-1)))</f>
        <v>{progress_rate,2,104}</v>
      </c>
      <c r="D34" t="str">
        <f ca="1" t="shared" si="16"/>
        <v>{progress,0,2,416}</v>
      </c>
      <c r="E34" t="str">
        <f ca="1" t="shared" si="16"/>
        <v>{progress_rate,5103002,20}</v>
      </c>
      <c r="F34" t="str">
        <f ca="1" t="shared" si="16"/>
        <v>{progress,0,5103002,20}</v>
      </c>
      <c r="G34" t="str">
        <f ca="1" t="shared" si="16"/>
        <v>{progress_rate,5303001,4}</v>
      </c>
      <c r="H34" t="str">
        <f ca="1" t="shared" si="16"/>
        <v>{progress,0,5103002,40}</v>
      </c>
      <c r="I34" t="str">
        <f ca="1" t="shared" si="16"/>
        <v>{progress_rate,5203001,10}</v>
      </c>
      <c r="J34" t="str">
        <f ca="1" t="shared" si="16"/>
        <v>{progress_rate,50026,8}</v>
      </c>
      <c r="K34" t="str">
        <f ca="1" t="shared" si="16"/>
        <v>{progress,0,50026,8}</v>
      </c>
      <c r="L34" t="str">
        <f ca="1" t="shared" si="6"/>
        <v>{progress_rate,5204001,2}</v>
      </c>
      <c r="N34" s="13" t="str">
        <f ca="1" t="shared" ref="N34:AE34" si="17">SUBSTITUTE(IF(N$11="","{progress_rate,"&amp;N$4&amp;","&amp;N17&amp;"}",IF(N17&gt;=1,"{progress,"&amp;N$11*100&amp;","&amp;N$4&amp;","&amp;N17&amp;"}","{progress_rate_roll,"&amp;N$11*100&amp;","&amp;INT(N17*10000)&amp;","&amp;N$4&amp;","&amp;1&amp;"}")),N$4,IF(ISNUMBER(N$4),N$4,OFFSET($AG34,0,MATCH(N$4,$AG$28:$AI$28,0)-1)))</f>
        <v>{progress_rate,21320,1}</v>
      </c>
      <c r="O34" s="13" t="str">
        <f ca="1" t="shared" si="17"/>
        <v>{progress,0,5401000,1}</v>
      </c>
      <c r="P34" s="61" t="str">
        <f ca="1" t="shared" si="17"/>
        <v>{progress_rate_roll,0,0,21305,1}</v>
      </c>
      <c r="Q34" s="61" t="str">
        <f ca="1" t="shared" si="17"/>
        <v>{progress,0,21320,2}</v>
      </c>
      <c r="R34" s="61" t="str">
        <f ca="1" t="shared" si="17"/>
        <v>{progress,0,5401000,2}</v>
      </c>
      <c r="S34" s="62" t="str">
        <f ca="1" t="shared" si="17"/>
        <v>{progress_rate,21305,0}</v>
      </c>
      <c r="T34" s="62" t="str">
        <f ca="1" t="shared" si="17"/>
        <v>{progress,0,21320,2}</v>
      </c>
      <c r="U34" s="62" t="str">
        <f ca="1" t="shared" si="17"/>
        <v>{progress,0,5401000,3}</v>
      </c>
      <c r="V34" s="63" t="str">
        <f ca="1" t="shared" si="17"/>
        <v>{progress_rate_roll,0,0,21305,1}</v>
      </c>
      <c r="W34" s="63" t="str">
        <f ca="1" t="shared" si="17"/>
        <v>{progress,0,21320,2}</v>
      </c>
      <c r="X34" s="63" t="str">
        <f ca="1" t="shared" si="17"/>
        <v>{progress,0,5401000,4}</v>
      </c>
      <c r="Y34" s="63" t="str">
        <f ca="1" t="shared" si="17"/>
        <v>{progress_rate_roll,0,360,9,1}</v>
      </c>
      <c r="Z34" s="63" t="str">
        <f ca="1" t="shared" si="17"/>
        <v>{progress_rate_roll,0,0,30,1}</v>
      </c>
      <c r="AA34" s="62" t="str">
        <f ca="1" t="shared" si="17"/>
        <v>{progress_rate_roll,0,0,21305,1}</v>
      </c>
      <c r="AB34" s="62" t="str">
        <f ca="1" t="shared" si="17"/>
        <v>{progress,0,21320,3}</v>
      </c>
      <c r="AC34" s="62" t="str">
        <f ca="1" t="shared" si="17"/>
        <v>{progress,0,5401000,5}</v>
      </c>
      <c r="AD34" s="62" t="str">
        <f ca="1" t="shared" si="17"/>
        <v>{progress_rate_roll,0,480,9,1}</v>
      </c>
      <c r="AE34" s="62" t="str">
        <f ca="1" t="shared" si="17"/>
        <v>{progress_rate_roll,0,0,30,1}</v>
      </c>
      <c r="AG34" s="17">
        <v>21305</v>
      </c>
      <c r="AH34" s="17">
        <v>21320</v>
      </c>
      <c r="AI34">
        <v>5401000</v>
      </c>
      <c r="AJ34">
        <v>6</v>
      </c>
      <c r="AK34" s="68" t="str">
        <f t="shared" si="8"/>
        <v>{6,[{21305,1}]}</v>
      </c>
      <c r="AM34" s="68" t="str">
        <f t="shared" si="9"/>
        <v>{6,[{21320,1}]}</v>
      </c>
    </row>
    <row r="35" ht="14.25" spans="2:39">
      <c r="B35">
        <v>7</v>
      </c>
      <c r="C35" t="str">
        <f ca="1" t="shared" ref="C35:K35" si="18">SUBSTITUTE(IF(C$11="","{progress_rate,"&amp;C$4&amp;","&amp;C18&amp;"}",IF(C18&gt;=1,"{progress,"&amp;C$11*100&amp;","&amp;C$4&amp;","&amp;C18&amp;"}","{progress_rate_roll,"&amp;C$11*100&amp;","&amp;INT(C18*10000)&amp;","&amp;C$4&amp;","&amp;1&amp;"}")),C$4,IF(ISNUMBER(C$4),C$4,OFFSET($AG35,0,MATCH(C$4,$AG$28:$AI$28,0)-1)))</f>
        <v>{progress_rate,2,109}</v>
      </c>
      <c r="D35" t="str">
        <f ca="1" t="shared" si="18"/>
        <v>{progress,0,2,436}</v>
      </c>
      <c r="E35" t="str">
        <f ca="1" t="shared" si="18"/>
        <v>{progress_rate,5103002,20}</v>
      </c>
      <c r="F35" t="str">
        <f ca="1" t="shared" si="18"/>
        <v>{progress,0,5103002,20}</v>
      </c>
      <c r="G35" t="str">
        <f ca="1" t="shared" si="18"/>
        <v>{progress_rate,5303001,4}</v>
      </c>
      <c r="H35" t="str">
        <f ca="1" t="shared" si="18"/>
        <v>{progress,0,5103002,40}</v>
      </c>
      <c r="I35" t="str">
        <f ca="1" t="shared" si="18"/>
        <v>{progress_rate,5203001,10}</v>
      </c>
      <c r="J35" t="str">
        <f ca="1" t="shared" si="18"/>
        <v>{progress_rate,50026,8}</v>
      </c>
      <c r="K35" t="str">
        <f ca="1" t="shared" si="18"/>
        <v>{progress,0,50026,8}</v>
      </c>
      <c r="L35" t="str">
        <f ca="1" t="shared" si="6"/>
        <v>{progress_rate,5204001,2}</v>
      </c>
      <c r="N35" s="13" t="str">
        <f ca="1" t="shared" ref="N35:AE35" si="19">SUBSTITUTE(IF(N$11="","{progress_rate,"&amp;N$4&amp;","&amp;N18&amp;"}",IF(N18&gt;=1,"{progress,"&amp;N$11*100&amp;","&amp;N$4&amp;","&amp;N18&amp;"}","{progress_rate_roll,"&amp;N$11*100&amp;","&amp;INT(N18*10000)&amp;","&amp;N$4&amp;","&amp;1&amp;"}")),N$4,IF(ISNUMBER(N$4),N$4,OFFSET($AG35,0,MATCH(N$4,$AG$28:$AI$28,0)-1)))</f>
        <v>{progress_rate,21321,1}</v>
      </c>
      <c r="O35" s="13" t="str">
        <f ca="1" t="shared" si="19"/>
        <v>{progress,0,5401000,1}</v>
      </c>
      <c r="P35" s="61" t="str">
        <f ca="1" t="shared" si="19"/>
        <v>{progress_rate_roll,0,0,21306,1}</v>
      </c>
      <c r="Q35" s="61" t="str">
        <f ca="1" t="shared" si="19"/>
        <v>{progress,0,21321,2}</v>
      </c>
      <c r="R35" s="61" t="str">
        <f ca="1" t="shared" si="19"/>
        <v>{progress,0,5401000,2}</v>
      </c>
      <c r="S35" s="62" t="str">
        <f ca="1" t="shared" si="19"/>
        <v>{progress_rate,21306,0}</v>
      </c>
      <c r="T35" s="62" t="str">
        <f ca="1" t="shared" si="19"/>
        <v>{progress,0,21321,2}</v>
      </c>
      <c r="U35" s="62" t="str">
        <f ca="1" t="shared" si="19"/>
        <v>{progress,0,5401000,3}</v>
      </c>
      <c r="V35" s="63" t="str">
        <f ca="1" t="shared" si="19"/>
        <v>{progress_rate_roll,0,0,21306,1}</v>
      </c>
      <c r="W35" s="63" t="str">
        <f ca="1" t="shared" si="19"/>
        <v>{progress,0,21321,2}</v>
      </c>
      <c r="X35" s="63" t="str">
        <f ca="1" t="shared" si="19"/>
        <v>{progress,0,5401000,4}</v>
      </c>
      <c r="Y35" s="63" t="str">
        <f ca="1" t="shared" si="19"/>
        <v>{progress_rate_roll,0,360,9,1}</v>
      </c>
      <c r="Z35" s="63" t="str">
        <f ca="1" t="shared" si="19"/>
        <v>{progress_rate_roll,0,0,30,1}</v>
      </c>
      <c r="AA35" s="62" t="str">
        <f ca="1" t="shared" si="19"/>
        <v>{progress_rate_roll,0,0,21306,1}</v>
      </c>
      <c r="AB35" s="62" t="str">
        <f ca="1" t="shared" si="19"/>
        <v>{progress,0,21321,3}</v>
      </c>
      <c r="AC35" s="62" t="str">
        <f ca="1" t="shared" si="19"/>
        <v>{progress,0,5401000,5}</v>
      </c>
      <c r="AD35" s="62" t="str">
        <f ca="1" t="shared" si="19"/>
        <v>{progress_rate_roll,0,480,9,1}</v>
      </c>
      <c r="AE35" s="62" t="str">
        <f ca="1" t="shared" si="19"/>
        <v>{progress_rate_roll,0,0,30,1}</v>
      </c>
      <c r="AG35" s="17">
        <v>21306</v>
      </c>
      <c r="AH35" s="17">
        <v>21321</v>
      </c>
      <c r="AI35">
        <v>5401000</v>
      </c>
      <c r="AJ35">
        <v>7</v>
      </c>
      <c r="AK35" s="68" t="str">
        <f t="shared" si="8"/>
        <v>{7,[{21306,1}]}</v>
      </c>
      <c r="AM35" s="68" t="str">
        <f t="shared" si="9"/>
        <v>{7,[{21321,1}]}</v>
      </c>
    </row>
    <row r="36" ht="14.25" spans="2:39">
      <c r="B36">
        <v>8</v>
      </c>
      <c r="C36" t="str">
        <f ca="1" t="shared" ref="C36:K36" si="20">SUBSTITUTE(IF(C$11="","{progress_rate,"&amp;C$4&amp;","&amp;C19&amp;"}",IF(C19&gt;=1,"{progress,"&amp;C$11*100&amp;","&amp;C$4&amp;","&amp;C19&amp;"}","{progress_rate_roll,"&amp;C$11*100&amp;","&amp;INT(C19*10000)&amp;","&amp;C$4&amp;","&amp;1&amp;"}")),C$4,IF(ISNUMBER(C$4),C$4,OFFSET($AG36,0,MATCH(C$4,$AG$28:$AI$28,0)-1)))</f>
        <v>{progress_rate,2,114}</v>
      </c>
      <c r="D36" t="str">
        <f ca="1" t="shared" si="20"/>
        <v>{progress,0,2,456}</v>
      </c>
      <c r="E36" t="str">
        <f ca="1" t="shared" si="20"/>
        <v>{progress_rate,5103002,20}</v>
      </c>
      <c r="F36" t="str">
        <f ca="1" t="shared" si="20"/>
        <v>{progress,0,5103002,20}</v>
      </c>
      <c r="G36" t="str">
        <f ca="1" t="shared" si="20"/>
        <v>{progress_rate,5303001,4}</v>
      </c>
      <c r="H36" t="str">
        <f ca="1" t="shared" si="20"/>
        <v>{progress,0,5103002,40}</v>
      </c>
      <c r="I36" t="str">
        <f ca="1" t="shared" si="20"/>
        <v>{progress_rate,5203001,10}</v>
      </c>
      <c r="J36" t="str">
        <f ca="1" t="shared" si="20"/>
        <v>{progress_rate,50026,8}</v>
      </c>
      <c r="K36" t="str">
        <f ca="1" t="shared" si="20"/>
        <v>{progress,0,50026,8}</v>
      </c>
      <c r="L36" t="str">
        <f ca="1" t="shared" si="6"/>
        <v>{progress_rate,5204001,2}</v>
      </c>
      <c r="N36" s="13" t="str">
        <f ca="1" t="shared" ref="N36:AE36" si="21">SUBSTITUTE(IF(N$11="","{progress_rate,"&amp;N$4&amp;","&amp;N19&amp;"}",IF(N19&gt;=1,"{progress,"&amp;N$11*100&amp;","&amp;N$4&amp;","&amp;N19&amp;"}","{progress_rate_roll,"&amp;N$11*100&amp;","&amp;INT(N19*10000)&amp;","&amp;N$4&amp;","&amp;1&amp;"}")),N$4,IF(ISNUMBER(N$4),N$4,OFFSET($AG36,0,MATCH(N$4,$AG$28:$AI$28,0)-1)))</f>
        <v>{progress_rate,21322,1}</v>
      </c>
      <c r="O36" s="13" t="str">
        <f ca="1" t="shared" si="21"/>
        <v>{progress,0,5401000,1}</v>
      </c>
      <c r="P36" s="61" t="str">
        <f ca="1" t="shared" si="21"/>
        <v>{progress_rate_roll,0,0,21307,1}</v>
      </c>
      <c r="Q36" s="61" t="str">
        <f ca="1" t="shared" si="21"/>
        <v>{progress,0,21322,2}</v>
      </c>
      <c r="R36" s="61" t="str">
        <f ca="1" t="shared" si="21"/>
        <v>{progress,0,5401000,2}</v>
      </c>
      <c r="S36" s="62" t="str">
        <f ca="1" t="shared" si="21"/>
        <v>{progress_rate,21307,0}</v>
      </c>
      <c r="T36" s="62" t="str">
        <f ca="1" t="shared" si="21"/>
        <v>{progress,0,21322,2}</v>
      </c>
      <c r="U36" s="62" t="str">
        <f ca="1" t="shared" si="21"/>
        <v>{progress,0,5401000,3}</v>
      </c>
      <c r="V36" s="63" t="str">
        <f ca="1" t="shared" si="21"/>
        <v>{progress_rate_roll,0,0,21307,1}</v>
      </c>
      <c r="W36" s="63" t="str">
        <f ca="1" t="shared" si="21"/>
        <v>{progress,0,21322,2}</v>
      </c>
      <c r="X36" s="63" t="str">
        <f ca="1" t="shared" si="21"/>
        <v>{progress,0,5401000,4}</v>
      </c>
      <c r="Y36" s="63" t="str">
        <f ca="1" t="shared" si="21"/>
        <v>{progress_rate_roll,0,360,9,1}</v>
      </c>
      <c r="Z36" s="63" t="str">
        <f ca="1" t="shared" si="21"/>
        <v>{progress_rate_roll,0,0,30,1}</v>
      </c>
      <c r="AA36" s="62" t="str">
        <f ca="1" t="shared" si="21"/>
        <v>{progress_rate_roll,0,0,21307,1}</v>
      </c>
      <c r="AB36" s="62" t="str">
        <f ca="1" t="shared" si="21"/>
        <v>{progress,0,21322,3}</v>
      </c>
      <c r="AC36" s="62" t="str">
        <f ca="1" t="shared" si="21"/>
        <v>{progress,0,5401000,5}</v>
      </c>
      <c r="AD36" s="62" t="str">
        <f ca="1" t="shared" si="21"/>
        <v>{progress_rate_roll,0,480,9,1}</v>
      </c>
      <c r="AE36" s="62" t="str">
        <f ca="1" t="shared" si="21"/>
        <v>{progress_rate_roll,0,0,30,1}</v>
      </c>
      <c r="AG36" s="17">
        <v>21307</v>
      </c>
      <c r="AH36" s="17">
        <v>21322</v>
      </c>
      <c r="AI36">
        <v>5401000</v>
      </c>
      <c r="AJ36">
        <v>8</v>
      </c>
      <c r="AK36" s="68" t="str">
        <f t="shared" si="8"/>
        <v>{8,[{21307,1}]}</v>
      </c>
      <c r="AM36" s="68" t="str">
        <f t="shared" si="9"/>
        <v>{8,[{21322,1}]}</v>
      </c>
    </row>
    <row r="37" ht="14.25" spans="2:39">
      <c r="B37">
        <v>9</v>
      </c>
      <c r="C37" t="str">
        <f ca="1" t="shared" ref="C37:K37" si="22">SUBSTITUTE(IF(C$11="","{progress_rate,"&amp;C$4&amp;","&amp;C20&amp;"}",IF(C20&gt;=1,"{progress,"&amp;C$11*100&amp;","&amp;C$4&amp;","&amp;C20&amp;"}","{progress_rate_roll,"&amp;C$11*100&amp;","&amp;INT(C20*10000)&amp;","&amp;C$4&amp;","&amp;1&amp;"}")),C$4,IF(ISNUMBER(C$4),C$4,OFFSET($AG37,0,MATCH(C$4,$AG$28:$AI$28,0)-1)))</f>
        <v>{progress_rate,2,119}</v>
      </c>
      <c r="D37" t="str">
        <f ca="1" t="shared" si="22"/>
        <v>{progress,0,2,476}</v>
      </c>
      <c r="E37" t="str">
        <f ca="1" t="shared" si="22"/>
        <v>{progress_rate,5103002,20}</v>
      </c>
      <c r="F37" t="str">
        <f ca="1" t="shared" si="22"/>
        <v>{progress,0,5103002,20}</v>
      </c>
      <c r="G37" t="str">
        <f ca="1" t="shared" si="22"/>
        <v>{progress_rate,5303001,4}</v>
      </c>
      <c r="H37" t="str">
        <f ca="1" t="shared" si="22"/>
        <v>{progress,0,5103002,40}</v>
      </c>
      <c r="I37" t="str">
        <f ca="1" t="shared" si="22"/>
        <v>{progress_rate,5203001,10}</v>
      </c>
      <c r="J37" t="str">
        <f ca="1" t="shared" si="22"/>
        <v>{progress_rate,50026,8}</v>
      </c>
      <c r="K37" t="str">
        <f ca="1" t="shared" si="22"/>
        <v>{progress,0,50026,8}</v>
      </c>
      <c r="L37" t="str">
        <f ca="1" t="shared" si="6"/>
        <v>{progress_rate,5204001,2}</v>
      </c>
      <c r="N37" s="13" t="str">
        <f ca="1" t="shared" ref="N37:AE37" si="23">SUBSTITUTE(IF(N$11="","{progress_rate,"&amp;N$4&amp;","&amp;N20&amp;"}",IF(N20&gt;=1,"{progress,"&amp;N$11*100&amp;","&amp;N$4&amp;","&amp;N20&amp;"}","{progress_rate_roll,"&amp;N$11*100&amp;","&amp;INT(N20*10000)&amp;","&amp;N$4&amp;","&amp;1&amp;"}")),N$4,IF(ISNUMBER(N$4),N$4,OFFSET($AG37,0,MATCH(N$4,$AG$28:$AI$28,0)-1)))</f>
        <v>{progress_rate,21323,1}</v>
      </c>
      <c r="O37" s="13" t="str">
        <f ca="1" t="shared" si="23"/>
        <v>{progress,0,5401000,1}</v>
      </c>
      <c r="P37" s="61" t="str">
        <f ca="1" t="shared" si="23"/>
        <v>{progress_rate_roll,0,0,21308,1}</v>
      </c>
      <c r="Q37" s="61" t="str">
        <f ca="1" t="shared" si="23"/>
        <v>{progress,0,21323,2}</v>
      </c>
      <c r="R37" s="61" t="str">
        <f ca="1" t="shared" si="23"/>
        <v>{progress,0,5401000,2}</v>
      </c>
      <c r="S37" s="62" t="str">
        <f ca="1" t="shared" si="23"/>
        <v>{progress_rate,21308,0}</v>
      </c>
      <c r="T37" s="62" t="str">
        <f ca="1" t="shared" si="23"/>
        <v>{progress,0,21323,2}</v>
      </c>
      <c r="U37" s="62" t="str">
        <f ca="1" t="shared" si="23"/>
        <v>{progress,0,5401000,3}</v>
      </c>
      <c r="V37" s="63" t="str">
        <f ca="1" t="shared" si="23"/>
        <v>{progress_rate_roll,0,0,21308,1}</v>
      </c>
      <c r="W37" s="63" t="str">
        <f ca="1" t="shared" si="23"/>
        <v>{progress,0,21323,2}</v>
      </c>
      <c r="X37" s="63" t="str">
        <f ca="1" t="shared" si="23"/>
        <v>{progress,0,5401000,4}</v>
      </c>
      <c r="Y37" s="63" t="str">
        <f ca="1" t="shared" si="23"/>
        <v>{progress_rate_roll,0,360,9,1}</v>
      </c>
      <c r="Z37" s="63" t="str">
        <f ca="1" t="shared" si="23"/>
        <v>{progress_rate_roll,0,0,30,1}</v>
      </c>
      <c r="AA37" s="62" t="str">
        <f ca="1" t="shared" si="23"/>
        <v>{progress_rate_roll,0,0,21308,1}</v>
      </c>
      <c r="AB37" s="62" t="str">
        <f ca="1" t="shared" si="23"/>
        <v>{progress,0,21323,3}</v>
      </c>
      <c r="AC37" s="62" t="str">
        <f ca="1" t="shared" si="23"/>
        <v>{progress,0,5401000,5}</v>
      </c>
      <c r="AD37" s="62" t="str">
        <f ca="1" t="shared" si="23"/>
        <v>{progress_rate_roll,0,480,9,1}</v>
      </c>
      <c r="AE37" s="62" t="str">
        <f ca="1" t="shared" si="23"/>
        <v>{progress_rate_roll,0,0,30,1}</v>
      </c>
      <c r="AG37" s="17">
        <v>21308</v>
      </c>
      <c r="AH37" s="17">
        <v>21323</v>
      </c>
      <c r="AI37">
        <v>5401000</v>
      </c>
      <c r="AJ37">
        <v>9</v>
      </c>
      <c r="AK37" s="68" t="str">
        <f t="shared" si="8"/>
        <v>{9,[{21308,1}]}</v>
      </c>
      <c r="AM37" s="68" t="str">
        <f t="shared" si="9"/>
        <v>{9,[{21323,1}]}</v>
      </c>
    </row>
    <row r="38" ht="14.25" spans="2:39">
      <c r="B38">
        <v>10</v>
      </c>
      <c r="C38" t="str">
        <f ca="1" t="shared" ref="C38:K38" si="24">SUBSTITUTE(IF(C$11="","{progress_rate,"&amp;C$4&amp;","&amp;C21&amp;"}",IF(C21&gt;=1,"{progress,"&amp;C$11*100&amp;","&amp;C$4&amp;","&amp;C21&amp;"}","{progress_rate_roll,"&amp;C$11*100&amp;","&amp;INT(C21*10000)&amp;","&amp;C$4&amp;","&amp;1&amp;"}")),C$4,IF(ISNUMBER(C$4),C$4,OFFSET($AG38,0,MATCH(C$4,$AG$28:$AI$28,0)-1)))</f>
        <v>{progress_rate,2,124}</v>
      </c>
      <c r="D38" t="str">
        <f ca="1" t="shared" si="24"/>
        <v>{progress,0,2,496}</v>
      </c>
      <c r="E38" t="str">
        <f ca="1" t="shared" si="24"/>
        <v>{progress_rate,5103002,20}</v>
      </c>
      <c r="F38" t="str">
        <f ca="1" t="shared" si="24"/>
        <v>{progress,0,5103002,20}</v>
      </c>
      <c r="G38" t="str">
        <f ca="1" t="shared" si="24"/>
        <v>{progress_rate,5303001,4}</v>
      </c>
      <c r="H38" t="str">
        <f ca="1" t="shared" si="24"/>
        <v>{progress,0,5103002,40}</v>
      </c>
      <c r="I38" t="str">
        <f ca="1" t="shared" si="24"/>
        <v>{progress_rate,5203001,10}</v>
      </c>
      <c r="J38" t="str">
        <f ca="1" t="shared" si="24"/>
        <v>{progress_rate,50026,8}</v>
      </c>
      <c r="K38" t="str">
        <f ca="1" t="shared" si="24"/>
        <v>{progress,0,50026,8}</v>
      </c>
      <c r="L38" t="str">
        <f ca="1" t="shared" si="6"/>
        <v>{progress_rate,5204001,2}</v>
      </c>
      <c r="N38" s="13" t="str">
        <f ca="1" t="shared" ref="N38:AE38" si="25">SUBSTITUTE(IF(N$11="","{progress_rate,"&amp;N$4&amp;","&amp;N21&amp;"}",IF(N21&gt;=1,"{progress,"&amp;N$11*100&amp;","&amp;N$4&amp;","&amp;N21&amp;"}","{progress_rate_roll,"&amp;N$11*100&amp;","&amp;INT(N21*10000)&amp;","&amp;N$4&amp;","&amp;1&amp;"}")),N$4,IF(ISNUMBER(N$4),N$4,OFFSET($AG38,0,MATCH(N$4,$AG$28:$AI$28,0)-1)))</f>
        <v>{progress_rate,21324,1}</v>
      </c>
      <c r="O38" s="13" t="str">
        <f ca="1" t="shared" si="25"/>
        <v>{progress,0,5401000,1}</v>
      </c>
      <c r="P38" s="61" t="str">
        <f ca="1" t="shared" si="25"/>
        <v>{progress_rate_roll,0,0,21309,1}</v>
      </c>
      <c r="Q38" s="61" t="str">
        <f ca="1" t="shared" si="25"/>
        <v>{progress,0,21324,2}</v>
      </c>
      <c r="R38" s="61" t="str">
        <f ca="1" t="shared" si="25"/>
        <v>{progress,0,5401000,2}</v>
      </c>
      <c r="S38" s="62" t="str">
        <f ca="1" t="shared" si="25"/>
        <v>{progress_rate,21309,0}</v>
      </c>
      <c r="T38" s="62" t="str">
        <f ca="1" t="shared" si="25"/>
        <v>{progress,0,21324,2}</v>
      </c>
      <c r="U38" s="62" t="str">
        <f ca="1" t="shared" si="25"/>
        <v>{progress,0,5401000,3}</v>
      </c>
      <c r="V38" s="63" t="str">
        <f ca="1" t="shared" si="25"/>
        <v>{progress_rate_roll,0,0,21309,1}</v>
      </c>
      <c r="W38" s="63" t="str">
        <f ca="1" t="shared" si="25"/>
        <v>{progress,0,21324,2}</v>
      </c>
      <c r="X38" s="63" t="str">
        <f ca="1" t="shared" si="25"/>
        <v>{progress,0,5401000,4}</v>
      </c>
      <c r="Y38" s="63" t="str">
        <f ca="1" t="shared" si="25"/>
        <v>{progress_rate_roll,0,360,9,1}</v>
      </c>
      <c r="Z38" s="63" t="str">
        <f ca="1" t="shared" si="25"/>
        <v>{progress_rate_roll,0,0,30,1}</v>
      </c>
      <c r="AA38" s="62" t="str">
        <f ca="1" t="shared" si="25"/>
        <v>{progress_rate_roll,0,0,21309,1}</v>
      </c>
      <c r="AB38" s="62" t="str">
        <f ca="1" t="shared" si="25"/>
        <v>{progress,0,21324,3}</v>
      </c>
      <c r="AC38" s="62" t="str">
        <f ca="1" t="shared" si="25"/>
        <v>{progress,0,5401000,5}</v>
      </c>
      <c r="AD38" s="62" t="str">
        <f ca="1" t="shared" si="25"/>
        <v>{progress_rate_roll,0,480,9,1}</v>
      </c>
      <c r="AE38" s="62" t="str">
        <f ca="1" t="shared" si="25"/>
        <v>{progress_rate_roll,0,0,30,1}</v>
      </c>
      <c r="AG38" s="17">
        <v>21309</v>
      </c>
      <c r="AH38" s="17">
        <v>21324</v>
      </c>
      <c r="AI38">
        <v>5401000</v>
      </c>
      <c r="AJ38">
        <v>10</v>
      </c>
      <c r="AK38" s="68" t="str">
        <f t="shared" si="8"/>
        <v>{10,[{21309,1}]}</v>
      </c>
      <c r="AM38" s="68" t="str">
        <f t="shared" si="9"/>
        <v>{10,[{21324,1}]}</v>
      </c>
    </row>
    <row r="39" ht="14.25" spans="2:39">
      <c r="B39">
        <v>11</v>
      </c>
      <c r="C39" t="str">
        <f ca="1" t="shared" ref="C39:K39" si="26">SUBSTITUTE(IF(C$11="","{progress_rate,"&amp;C$4&amp;","&amp;C22&amp;"}",IF(C22&gt;=1,"{progress,"&amp;C$11*100&amp;","&amp;C$4&amp;","&amp;C22&amp;"}","{progress_rate_roll,"&amp;C$11*100&amp;","&amp;INT(C22*10000)&amp;","&amp;C$4&amp;","&amp;1&amp;"}")),C$4,IF(ISNUMBER(C$4),C$4,OFFSET($AG39,0,MATCH(C$4,$AG$28:$AI$28,0)-1)))</f>
        <v>{progress_rate,2,129}</v>
      </c>
      <c r="D39" t="str">
        <f ca="1" t="shared" si="26"/>
        <v>{progress,0,2,516}</v>
      </c>
      <c r="E39" t="str">
        <f ca="1" t="shared" si="26"/>
        <v>{progress_rate,5103002,20}</v>
      </c>
      <c r="F39" t="str">
        <f ca="1" t="shared" si="26"/>
        <v>{progress,0,5103002,20}</v>
      </c>
      <c r="G39" t="str">
        <f ca="1" t="shared" si="26"/>
        <v>{progress_rate,5303001,4}</v>
      </c>
      <c r="H39" t="str">
        <f ca="1" t="shared" si="26"/>
        <v>{progress,0,5103002,40}</v>
      </c>
      <c r="I39" t="str">
        <f ca="1" t="shared" si="26"/>
        <v>{progress_rate,5203001,10}</v>
      </c>
      <c r="J39" t="str">
        <f ca="1" t="shared" si="26"/>
        <v>{progress_rate,50026,8}</v>
      </c>
      <c r="K39" t="str">
        <f ca="1" t="shared" si="26"/>
        <v>{progress,0,50026,8}</v>
      </c>
      <c r="L39" t="str">
        <f ca="1" t="shared" si="6"/>
        <v>{progress_rate,5204001,2}</v>
      </c>
      <c r="N39" s="13" t="str">
        <f ca="1" t="shared" ref="N39:AE39" si="27">SUBSTITUTE(IF(N$11="","{progress_rate,"&amp;N$4&amp;","&amp;N22&amp;"}",IF(N22&gt;=1,"{progress,"&amp;N$11*100&amp;","&amp;N$4&amp;","&amp;N22&amp;"}","{progress_rate_roll,"&amp;N$11*100&amp;","&amp;INT(N22*10000)&amp;","&amp;N$4&amp;","&amp;1&amp;"}")),N$4,IF(ISNUMBER(N$4),N$4,OFFSET($AG39,0,MATCH(N$4,$AG$28:$AI$28,0)-1)))</f>
        <v>{progress_rate,21325,1}</v>
      </c>
      <c r="O39" s="13" t="str">
        <f ca="1" t="shared" si="27"/>
        <v>{progress,0,5401000,1}</v>
      </c>
      <c r="P39" s="61" t="str">
        <f ca="1" t="shared" si="27"/>
        <v>{progress_rate_roll,0,0,21310,1}</v>
      </c>
      <c r="Q39" s="61" t="str">
        <f ca="1" t="shared" si="27"/>
        <v>{progress,0,21325,2}</v>
      </c>
      <c r="R39" s="61" t="str">
        <f ca="1" t="shared" si="27"/>
        <v>{progress,0,5401000,2}</v>
      </c>
      <c r="S39" s="62" t="str">
        <f ca="1" t="shared" si="27"/>
        <v>{progress_rate,21310,0}</v>
      </c>
      <c r="T39" s="62" t="str">
        <f ca="1" t="shared" si="27"/>
        <v>{progress,0,21325,2}</v>
      </c>
      <c r="U39" s="62" t="str">
        <f ca="1" t="shared" si="27"/>
        <v>{progress,0,5401000,3}</v>
      </c>
      <c r="V39" s="63" t="str">
        <f ca="1" t="shared" si="27"/>
        <v>{progress_rate_roll,0,0,21310,1}</v>
      </c>
      <c r="W39" s="63" t="str">
        <f ca="1" t="shared" si="27"/>
        <v>{progress,0,21325,2}</v>
      </c>
      <c r="X39" s="63" t="str">
        <f ca="1" t="shared" si="27"/>
        <v>{progress,0,5401000,4}</v>
      </c>
      <c r="Y39" s="63" t="str">
        <f ca="1" t="shared" si="27"/>
        <v>{progress_rate_roll,0,360,9,1}</v>
      </c>
      <c r="Z39" s="63" t="str">
        <f ca="1" t="shared" si="27"/>
        <v>{progress_rate_roll,0,0,30,1}</v>
      </c>
      <c r="AA39" s="62" t="str">
        <f ca="1" t="shared" si="27"/>
        <v>{progress_rate_roll,0,0,21310,1}</v>
      </c>
      <c r="AB39" s="62" t="str">
        <f ca="1" t="shared" si="27"/>
        <v>{progress,0,21325,3}</v>
      </c>
      <c r="AC39" s="62" t="str">
        <f ca="1" t="shared" si="27"/>
        <v>{progress,0,5401000,5}</v>
      </c>
      <c r="AD39" s="62" t="str">
        <f ca="1" t="shared" si="27"/>
        <v>{progress_rate_roll,0,480,9,1}</v>
      </c>
      <c r="AE39" s="62" t="str">
        <f ca="1" t="shared" si="27"/>
        <v>{progress_rate_roll,0,0,30,1}</v>
      </c>
      <c r="AG39" s="17">
        <v>21310</v>
      </c>
      <c r="AH39" s="17">
        <v>21325</v>
      </c>
      <c r="AI39">
        <v>5401000</v>
      </c>
      <c r="AJ39">
        <v>11</v>
      </c>
      <c r="AK39" s="68" t="str">
        <f t="shared" si="8"/>
        <v>{11,[{21310,1}]}</v>
      </c>
      <c r="AM39" s="68" t="str">
        <f t="shared" si="9"/>
        <v>{11,[{21325,1}]}</v>
      </c>
    </row>
    <row r="40" ht="14.25" spans="2:39">
      <c r="B40">
        <v>12</v>
      </c>
      <c r="C40" t="str">
        <f ca="1" t="shared" ref="C40:K40" si="28">SUBSTITUTE(IF(C$11="","{progress_rate,"&amp;C$4&amp;","&amp;C23&amp;"}",IF(C23&gt;=1,"{progress,"&amp;C$11*100&amp;","&amp;C$4&amp;","&amp;C23&amp;"}","{progress_rate_roll,"&amp;C$11*100&amp;","&amp;INT(C23*10000)&amp;","&amp;C$4&amp;","&amp;1&amp;"}")),C$4,IF(ISNUMBER(C$4),C$4,OFFSET($AG40,0,MATCH(C$4,$AG$28:$AI$28,0)-1)))</f>
        <v>{progress_rate,2,134}</v>
      </c>
      <c r="D40" t="str">
        <f ca="1" t="shared" si="28"/>
        <v>{progress,0,2,536}</v>
      </c>
      <c r="E40" t="str">
        <f ca="1" t="shared" si="28"/>
        <v>{progress_rate,5103002,20}</v>
      </c>
      <c r="F40" t="str">
        <f ca="1" t="shared" si="28"/>
        <v>{progress,0,5103002,20}</v>
      </c>
      <c r="G40" t="str">
        <f ca="1" t="shared" si="28"/>
        <v>{progress_rate,5303001,4}</v>
      </c>
      <c r="H40" t="str">
        <f ca="1" t="shared" si="28"/>
        <v>{progress,0,5103002,40}</v>
      </c>
      <c r="I40" t="str">
        <f ca="1" t="shared" si="28"/>
        <v>{progress_rate,5203001,10}</v>
      </c>
      <c r="J40" t="str">
        <f ca="1" t="shared" si="28"/>
        <v>{progress_rate,50026,8}</v>
      </c>
      <c r="K40" t="str">
        <f ca="1" t="shared" si="28"/>
        <v>{progress,0,50026,8}</v>
      </c>
      <c r="L40" t="str">
        <f ca="1" t="shared" si="6"/>
        <v>{progress_rate,5204001,2}</v>
      </c>
      <c r="N40" s="13" t="str">
        <f ca="1" t="shared" ref="N40:AE40" si="29">SUBSTITUTE(IF(N$11="","{progress_rate,"&amp;N$4&amp;","&amp;N23&amp;"}",IF(N23&gt;=1,"{progress,"&amp;N$11*100&amp;","&amp;N$4&amp;","&amp;N23&amp;"}","{progress_rate_roll,"&amp;N$11*100&amp;","&amp;INT(N23*10000)&amp;","&amp;N$4&amp;","&amp;1&amp;"}")),N$4,IF(ISNUMBER(N$4),N$4,OFFSET($AG40,0,MATCH(N$4,$AG$28:$AI$28,0)-1)))</f>
        <v>{progress_rate,21326,1}</v>
      </c>
      <c r="O40" s="13" t="str">
        <f ca="1" t="shared" si="29"/>
        <v>{progress,0,5401000,1}</v>
      </c>
      <c r="P40" s="61" t="str">
        <f ca="1" t="shared" si="29"/>
        <v>{progress_rate_roll,0,0,21311,1}</v>
      </c>
      <c r="Q40" s="61" t="str">
        <f ca="1" t="shared" si="29"/>
        <v>{progress,0,21326,2}</v>
      </c>
      <c r="R40" s="61" t="str">
        <f ca="1" t="shared" si="29"/>
        <v>{progress,0,5401000,2}</v>
      </c>
      <c r="S40" s="62" t="str">
        <f ca="1" t="shared" si="29"/>
        <v>{progress_rate,21311,0}</v>
      </c>
      <c r="T40" s="62" t="str">
        <f ca="1" t="shared" si="29"/>
        <v>{progress,0,21326,2}</v>
      </c>
      <c r="U40" s="62" t="str">
        <f ca="1" t="shared" si="29"/>
        <v>{progress,0,5401000,3}</v>
      </c>
      <c r="V40" s="63" t="str">
        <f ca="1" t="shared" si="29"/>
        <v>{progress_rate_roll,0,0,21311,1}</v>
      </c>
      <c r="W40" s="63" t="str">
        <f ca="1" t="shared" si="29"/>
        <v>{progress,0,21326,2}</v>
      </c>
      <c r="X40" s="63" t="str">
        <f ca="1" t="shared" si="29"/>
        <v>{progress,0,5401000,4}</v>
      </c>
      <c r="Y40" s="63" t="str">
        <f ca="1" t="shared" si="29"/>
        <v>{progress_rate_roll,0,360,9,1}</v>
      </c>
      <c r="Z40" s="63" t="str">
        <f ca="1" t="shared" si="29"/>
        <v>{progress_rate_roll,0,0,30,1}</v>
      </c>
      <c r="AA40" s="62" t="str">
        <f ca="1" t="shared" si="29"/>
        <v>{progress_rate_roll,0,0,21311,1}</v>
      </c>
      <c r="AB40" s="62" t="str">
        <f ca="1" t="shared" si="29"/>
        <v>{progress,0,21326,3}</v>
      </c>
      <c r="AC40" s="62" t="str">
        <f ca="1" t="shared" si="29"/>
        <v>{progress,0,5401000,5}</v>
      </c>
      <c r="AD40" s="62" t="str">
        <f ca="1" t="shared" si="29"/>
        <v>{progress_rate_roll,0,480,9,1}</v>
      </c>
      <c r="AE40" s="62" t="str">
        <f ca="1" t="shared" si="29"/>
        <v>{progress_rate_roll,0,0,30,1}</v>
      </c>
      <c r="AG40" s="17">
        <v>21311</v>
      </c>
      <c r="AH40" s="17">
        <v>21326</v>
      </c>
      <c r="AI40">
        <v>5401000</v>
      </c>
      <c r="AJ40">
        <v>12</v>
      </c>
      <c r="AK40" s="68" t="str">
        <f t="shared" si="8"/>
        <v>{12,[{21311,1}]}</v>
      </c>
      <c r="AM40" s="68" t="str">
        <f t="shared" si="9"/>
        <v>{12,[{21326,1}]}</v>
      </c>
    </row>
    <row r="41" ht="14.25" spans="2:39">
      <c r="B41">
        <v>13</v>
      </c>
      <c r="C41" t="str">
        <f ca="1" t="shared" ref="C41:K41" si="30">SUBSTITUTE(IF(C$11="","{progress_rate,"&amp;C$4&amp;","&amp;C24&amp;"}",IF(C24&gt;=1,"{progress,"&amp;C$11*100&amp;","&amp;C$4&amp;","&amp;C24&amp;"}","{progress_rate_roll,"&amp;C$11*100&amp;","&amp;INT(C24*10000)&amp;","&amp;C$4&amp;","&amp;1&amp;"}")),C$4,IF(ISNUMBER(C$4),C$4,OFFSET($AG41,0,MATCH(C$4,$AG$28:$AI$28,0)-1)))</f>
        <v>{progress_rate,2,139}</v>
      </c>
      <c r="D41" t="str">
        <f ca="1" t="shared" si="30"/>
        <v>{progress,0,2,556}</v>
      </c>
      <c r="E41" t="str">
        <f ca="1" t="shared" si="30"/>
        <v>{progress_rate,5103002,20}</v>
      </c>
      <c r="F41" t="str">
        <f ca="1" t="shared" si="30"/>
        <v>{progress,0,5103002,20}</v>
      </c>
      <c r="G41" t="str">
        <f ca="1" t="shared" si="30"/>
        <v>{progress_rate,5303001,4}</v>
      </c>
      <c r="H41" t="str">
        <f ca="1" t="shared" si="30"/>
        <v>{progress,0,5103002,40}</v>
      </c>
      <c r="I41" t="str">
        <f ca="1" t="shared" si="30"/>
        <v>{progress_rate,5203001,10}</v>
      </c>
      <c r="J41" t="str">
        <f ca="1" t="shared" si="30"/>
        <v>{progress_rate,50026,8}</v>
      </c>
      <c r="K41" t="str">
        <f ca="1" t="shared" si="30"/>
        <v>{progress,0,50026,8}</v>
      </c>
      <c r="L41" t="str">
        <f ca="1" t="shared" si="6"/>
        <v>{progress_rate,5204001,2}</v>
      </c>
      <c r="N41" s="13" t="str">
        <f ca="1" t="shared" ref="N41:AE41" si="31">SUBSTITUTE(IF(N$11="","{progress_rate,"&amp;N$4&amp;","&amp;N24&amp;"}",IF(N24&gt;=1,"{progress,"&amp;N$11*100&amp;","&amp;N$4&amp;","&amp;N24&amp;"}","{progress_rate_roll,"&amp;N$11*100&amp;","&amp;INT(N24*10000)&amp;","&amp;N$4&amp;","&amp;1&amp;"}")),N$4,IF(ISNUMBER(N$4),N$4,OFFSET($AG41,0,MATCH(N$4,$AG$28:$AI$28,0)-1)))</f>
        <v>{progress_rate,21327,1}</v>
      </c>
      <c r="O41" s="13" t="str">
        <f ca="1" t="shared" si="31"/>
        <v>{progress,0,5401000,1}</v>
      </c>
      <c r="P41" s="61" t="str">
        <f ca="1" t="shared" si="31"/>
        <v>{progress_rate_roll,0,0,21312,1}</v>
      </c>
      <c r="Q41" s="61" t="str">
        <f ca="1" t="shared" si="31"/>
        <v>{progress,0,21327,2}</v>
      </c>
      <c r="R41" s="61" t="str">
        <f ca="1" t="shared" si="31"/>
        <v>{progress,0,5401000,2}</v>
      </c>
      <c r="S41" s="62" t="str">
        <f ca="1" t="shared" si="31"/>
        <v>{progress_rate,21312,0}</v>
      </c>
      <c r="T41" s="62" t="str">
        <f ca="1" t="shared" si="31"/>
        <v>{progress,0,21327,2}</v>
      </c>
      <c r="U41" s="62" t="str">
        <f ca="1" t="shared" si="31"/>
        <v>{progress,0,5401000,3}</v>
      </c>
      <c r="V41" s="63" t="str">
        <f ca="1" t="shared" si="31"/>
        <v>{progress_rate_roll,0,0,21312,1}</v>
      </c>
      <c r="W41" s="63" t="str">
        <f ca="1" t="shared" si="31"/>
        <v>{progress,0,21327,2}</v>
      </c>
      <c r="X41" s="63" t="str">
        <f ca="1" t="shared" si="31"/>
        <v>{progress,0,5401000,4}</v>
      </c>
      <c r="Y41" s="63" t="str">
        <f ca="1" t="shared" si="31"/>
        <v>{progress_rate_roll,0,360,9,1}</v>
      </c>
      <c r="Z41" s="63" t="str">
        <f ca="1" t="shared" si="31"/>
        <v>{progress_rate_roll,0,0,30,1}</v>
      </c>
      <c r="AA41" s="62" t="str">
        <f ca="1" t="shared" si="31"/>
        <v>{progress_rate_roll,0,0,21312,1}</v>
      </c>
      <c r="AB41" s="62" t="str">
        <f ca="1" t="shared" si="31"/>
        <v>{progress,0,21327,3}</v>
      </c>
      <c r="AC41" s="62" t="str">
        <f ca="1" t="shared" si="31"/>
        <v>{progress,0,5401000,5}</v>
      </c>
      <c r="AD41" s="62" t="str">
        <f ca="1" t="shared" si="31"/>
        <v>{progress_rate_roll,0,480,9,1}</v>
      </c>
      <c r="AE41" s="62" t="str">
        <f ca="1" t="shared" si="31"/>
        <v>{progress_rate_roll,0,0,30,1}</v>
      </c>
      <c r="AG41" s="17">
        <v>21312</v>
      </c>
      <c r="AH41" s="17">
        <v>21327</v>
      </c>
      <c r="AI41">
        <v>5401000</v>
      </c>
      <c r="AJ41">
        <v>13</v>
      </c>
      <c r="AK41" s="68" t="str">
        <f t="shared" si="8"/>
        <v>{13,[{21312,1}]}</v>
      </c>
      <c r="AM41" s="68" t="str">
        <f t="shared" si="9"/>
        <v>{13,[{21327,1}]}</v>
      </c>
    </row>
    <row r="42" ht="14.25" spans="2:39">
      <c r="B42">
        <v>14</v>
      </c>
      <c r="C42" t="str">
        <f ca="1" t="shared" ref="C42:K42" si="32">SUBSTITUTE(IF(C$11="","{progress_rate,"&amp;C$4&amp;","&amp;C25&amp;"}",IF(C25&gt;=1,"{progress,"&amp;C$11*100&amp;","&amp;C$4&amp;","&amp;C25&amp;"}","{progress_rate_roll,"&amp;C$11*100&amp;","&amp;INT(C25*10000)&amp;","&amp;C$4&amp;","&amp;1&amp;"}")),C$4,IF(ISNUMBER(C$4),C$4,OFFSET($AG42,0,MATCH(C$4,$AG$28:$AI$28,0)-1)))</f>
        <v>{progress_rate,2,144}</v>
      </c>
      <c r="D42" t="str">
        <f ca="1" t="shared" si="32"/>
        <v>{progress,0,2,576}</v>
      </c>
      <c r="E42" t="str">
        <f ca="1" t="shared" si="32"/>
        <v>{progress_rate,5103002,20}</v>
      </c>
      <c r="F42" t="str">
        <f ca="1" t="shared" si="32"/>
        <v>{progress,0,5103002,20}</v>
      </c>
      <c r="G42" t="str">
        <f ca="1" t="shared" si="32"/>
        <v>{progress_rate,5303001,4}</v>
      </c>
      <c r="H42" t="str">
        <f ca="1" t="shared" si="32"/>
        <v>{progress,0,5103002,40}</v>
      </c>
      <c r="I42" t="str">
        <f ca="1" t="shared" si="32"/>
        <v>{progress_rate,5203001,10}</v>
      </c>
      <c r="J42" t="str">
        <f ca="1" t="shared" si="32"/>
        <v>{progress_rate,50026,8}</v>
      </c>
      <c r="K42" t="str">
        <f ca="1" t="shared" si="32"/>
        <v>{progress,0,50026,8}</v>
      </c>
      <c r="L42" t="str">
        <f ca="1" t="shared" si="6"/>
        <v>{progress_rate,5204001,2}</v>
      </c>
      <c r="N42" s="13" t="str">
        <f ca="1" t="shared" ref="N42:AE42" si="33">SUBSTITUTE(IF(N$11="","{progress_rate,"&amp;N$4&amp;","&amp;N25&amp;"}",IF(N25&gt;=1,"{progress,"&amp;N$11*100&amp;","&amp;N$4&amp;","&amp;N25&amp;"}","{progress_rate_roll,"&amp;N$11*100&amp;","&amp;INT(N25*10000)&amp;","&amp;N$4&amp;","&amp;1&amp;"}")),N$4,IF(ISNUMBER(N$4),N$4,OFFSET($AG42,0,MATCH(N$4,$AG$28:$AI$28,0)-1)))</f>
        <v>{progress_rate,21328,1}</v>
      </c>
      <c r="O42" s="13" t="str">
        <f ca="1" t="shared" si="33"/>
        <v>{progress,0,5401000,1}</v>
      </c>
      <c r="P42" s="61" t="str">
        <f ca="1" t="shared" si="33"/>
        <v>{progress_rate_roll,0,0,21313,1}</v>
      </c>
      <c r="Q42" s="61" t="str">
        <f ca="1" t="shared" si="33"/>
        <v>{progress,0,21328,2}</v>
      </c>
      <c r="R42" s="61" t="str">
        <f ca="1" t="shared" si="33"/>
        <v>{progress,0,5401000,2}</v>
      </c>
      <c r="S42" s="62" t="str">
        <f ca="1" t="shared" si="33"/>
        <v>{progress_rate,21313,0}</v>
      </c>
      <c r="T42" s="62" t="str">
        <f ca="1" t="shared" si="33"/>
        <v>{progress,0,21328,2}</v>
      </c>
      <c r="U42" s="62" t="str">
        <f ca="1" t="shared" si="33"/>
        <v>{progress,0,5401000,3}</v>
      </c>
      <c r="V42" s="63" t="str">
        <f ca="1" t="shared" si="33"/>
        <v>{progress_rate_roll,0,0,21313,1}</v>
      </c>
      <c r="W42" s="63" t="str">
        <f ca="1" t="shared" si="33"/>
        <v>{progress,0,21328,2}</v>
      </c>
      <c r="X42" s="63" t="str">
        <f ca="1" t="shared" si="33"/>
        <v>{progress,0,5401000,4}</v>
      </c>
      <c r="Y42" s="63" t="str">
        <f ca="1" t="shared" si="33"/>
        <v>{progress_rate_roll,0,360,9,1}</v>
      </c>
      <c r="Z42" s="63" t="str">
        <f ca="1" t="shared" si="33"/>
        <v>{progress_rate_roll,0,0,30,1}</v>
      </c>
      <c r="AA42" s="62" t="str">
        <f ca="1" t="shared" si="33"/>
        <v>{progress_rate_roll,0,0,21313,1}</v>
      </c>
      <c r="AB42" s="62" t="str">
        <f ca="1" t="shared" si="33"/>
        <v>{progress,0,21328,3}</v>
      </c>
      <c r="AC42" s="62" t="str">
        <f ca="1" t="shared" si="33"/>
        <v>{progress,0,5401000,5}</v>
      </c>
      <c r="AD42" s="62" t="str">
        <f ca="1" t="shared" si="33"/>
        <v>{progress_rate_roll,0,480,9,1}</v>
      </c>
      <c r="AE42" s="62" t="str">
        <f ca="1" t="shared" si="33"/>
        <v>{progress_rate_roll,0,0,30,1}</v>
      </c>
      <c r="AG42" s="17">
        <v>21313</v>
      </c>
      <c r="AH42" s="17">
        <v>21328</v>
      </c>
      <c r="AI42">
        <v>5401000</v>
      </c>
      <c r="AJ42">
        <v>14</v>
      </c>
      <c r="AK42" s="68" t="str">
        <f t="shared" si="8"/>
        <v>{14,[{21313,1}]}</v>
      </c>
      <c r="AM42" s="68" t="str">
        <f t="shared" si="9"/>
        <v>{14,[{21328,1}]}</v>
      </c>
    </row>
    <row r="43" ht="14.25" spans="2:39">
      <c r="B43">
        <v>15</v>
      </c>
      <c r="C43" t="str">
        <f ca="1" t="shared" ref="C43:K43" si="34">SUBSTITUTE(IF(C$11="","{progress_rate,"&amp;C$4&amp;","&amp;C26&amp;"}",IF(C26&gt;=1,"{progress,"&amp;C$11*100&amp;","&amp;C$4&amp;","&amp;C26&amp;"}","{progress_rate_roll,"&amp;C$11*100&amp;","&amp;INT(C26*10000)&amp;","&amp;C$4&amp;","&amp;1&amp;"}")),C$4,IF(ISNUMBER(C$4),C$4,OFFSET($AG43,0,MATCH(C$4,$AG$28:$AI$28,0)-1)))</f>
        <v>{progress_rate,2,149}</v>
      </c>
      <c r="D43" t="str">
        <f ca="1" t="shared" si="34"/>
        <v>{progress,0,2,596}</v>
      </c>
      <c r="E43" t="str">
        <f ca="1" t="shared" si="34"/>
        <v>{progress_rate,5103002,20}</v>
      </c>
      <c r="F43" t="str">
        <f ca="1" t="shared" si="34"/>
        <v>{progress,0,5103002,20}</v>
      </c>
      <c r="G43" t="str">
        <f ca="1" t="shared" si="34"/>
        <v>{progress_rate,5303001,4}</v>
      </c>
      <c r="H43" t="str">
        <f ca="1" t="shared" si="34"/>
        <v>{progress,0,5103002,40}</v>
      </c>
      <c r="I43" t="str">
        <f ca="1" t="shared" si="34"/>
        <v>{progress_rate,5203001,10}</v>
      </c>
      <c r="J43" t="str">
        <f ca="1" t="shared" si="34"/>
        <v>{progress_rate,50026,8}</v>
      </c>
      <c r="K43" t="str">
        <f ca="1" t="shared" si="34"/>
        <v>{progress,0,50026,8}</v>
      </c>
      <c r="L43" t="str">
        <f ca="1" t="shared" si="6"/>
        <v>{progress_rate,5204001,2}</v>
      </c>
      <c r="N43" s="13" t="str">
        <f ca="1" t="shared" ref="N43:AE43" si="35">SUBSTITUTE(IF(N$11="","{progress_rate,"&amp;N$4&amp;","&amp;N26&amp;"}",IF(N26&gt;=1,"{progress,"&amp;N$11*100&amp;","&amp;N$4&amp;","&amp;N26&amp;"}","{progress_rate_roll,"&amp;N$11*100&amp;","&amp;INT(N26*10000)&amp;","&amp;N$4&amp;","&amp;1&amp;"}")),N$4,IF(ISNUMBER(N$4),N$4,OFFSET($AG43,0,MATCH(N$4,$AG$28:$AI$28,0)-1)))</f>
        <v>{progress_rate,21329,1}</v>
      </c>
      <c r="O43" s="13" t="str">
        <f ca="1" t="shared" si="35"/>
        <v>{progress,0,5401000,1}</v>
      </c>
      <c r="P43" s="61" t="str">
        <f ca="1" t="shared" si="35"/>
        <v>{progress_rate_roll,0,0,21314,1}</v>
      </c>
      <c r="Q43" s="61" t="str">
        <f ca="1" t="shared" si="35"/>
        <v>{progress,0,21329,2}</v>
      </c>
      <c r="R43" s="61" t="str">
        <f ca="1" t="shared" si="35"/>
        <v>{progress,0,5401000,2}</v>
      </c>
      <c r="S43" s="62" t="str">
        <f ca="1" t="shared" si="35"/>
        <v>{progress_rate,21314,0}</v>
      </c>
      <c r="T43" s="62" t="str">
        <f ca="1" t="shared" si="35"/>
        <v>{progress,0,21329,2}</v>
      </c>
      <c r="U43" s="62" t="str">
        <f ca="1" t="shared" si="35"/>
        <v>{progress,0,5401000,3}</v>
      </c>
      <c r="V43" s="63" t="str">
        <f ca="1" t="shared" si="35"/>
        <v>{progress_rate_roll,0,0,21314,1}</v>
      </c>
      <c r="W43" s="63" t="str">
        <f ca="1" t="shared" si="35"/>
        <v>{progress,0,21329,2}</v>
      </c>
      <c r="X43" s="63" t="str">
        <f ca="1" t="shared" si="35"/>
        <v>{progress,0,5401000,4}</v>
      </c>
      <c r="Y43" s="63" t="str">
        <f ca="1" t="shared" si="35"/>
        <v>{progress_rate_roll,0,360,9,1}</v>
      </c>
      <c r="Z43" s="63" t="str">
        <f ca="1" t="shared" si="35"/>
        <v>{progress_rate_roll,0,0,30,1}</v>
      </c>
      <c r="AA43" s="62" t="str">
        <f ca="1" t="shared" si="35"/>
        <v>{progress_rate_roll,0,0,21314,1}</v>
      </c>
      <c r="AB43" s="62" t="str">
        <f ca="1" t="shared" si="35"/>
        <v>{progress,0,21329,3}</v>
      </c>
      <c r="AC43" s="62" t="str">
        <f ca="1" t="shared" si="35"/>
        <v>{progress,0,5401000,5}</v>
      </c>
      <c r="AD43" s="62" t="str">
        <f ca="1" t="shared" si="35"/>
        <v>{progress_rate_roll,0,480,9,1}</v>
      </c>
      <c r="AE43" s="62" t="str">
        <f ca="1" t="shared" si="35"/>
        <v>{progress_rate_roll,0,0,30,1}</v>
      </c>
      <c r="AG43" s="17">
        <v>21314</v>
      </c>
      <c r="AH43" s="17">
        <v>21329</v>
      </c>
      <c r="AI43">
        <v>5401000</v>
      </c>
      <c r="AJ43">
        <v>15</v>
      </c>
      <c r="AK43" s="68" t="str">
        <f t="shared" si="8"/>
        <v>{15,[{21314,1}]}</v>
      </c>
      <c r="AM43" s="68" t="str">
        <f t="shared" si="9"/>
        <v>{15,[{21329,1}]}</v>
      </c>
    </row>
    <row r="46" spans="2:39">
      <c r="B46" t="s">
        <v>417</v>
      </c>
      <c r="D46" t="s">
        <v>418</v>
      </c>
      <c r="E46" t="s">
        <v>419</v>
      </c>
      <c r="F46" t="s">
        <v>420</v>
      </c>
      <c r="G46" t="s">
        <v>421</v>
      </c>
      <c r="H46" t="s">
        <v>422</v>
      </c>
    </row>
    <row r="47" spans="2:39">
      <c r="B47">
        <v>1</v>
      </c>
      <c r="C47" t="str">
        <f ca="1">"["&amp;_xlfn.TEXTJOIN(",",1,C29:$L29)</f>
        <v>[{progress_rate,2,79},{progress,0,2,316},{progress_rate,5103002,20},{progress,0,5103002,20},{progress_rate,5303001,4},{progress,0,5103002,40},{progress_rate,5203001,10},{progress_rate,50026,8},{progress,0,50026,8},{progress_rate,5204001,2}</v>
      </c>
      <c r="D47" t="str">
        <f ca="1" t="shared" ref="D47:D61" si="36">$C47&amp;","&amp;_xlfn.TEXTJOIN(",",1,$M29:$O29)&amp;"]"</f>
        <v>[{progress_rate,2,79},{progress,0,2,316},{progress_rate,5103002,20},{progress,0,5103002,20},{progress_rate,5303001,4},{progress,0,5103002,40},{progress_rate,5203001,10},{progress_rate,50026,8},{progress,0,50026,8},{progress_rate,5204001,2},{progress_rate,21315,1},{progress,0,5401000,1}]</v>
      </c>
      <c r="E47" t="str">
        <f ca="1" t="shared" ref="E47:E61" si="37">$C47&amp;","&amp;_xlfn.TEXTJOIN(",",1,$P29:$R29)&amp;"]"</f>
        <v>[{progress_rate,2,79},{progress,0,2,316},{progress_rate,5103002,20},{progress,0,5103002,20},{progress_rate,5303001,4},{progress,0,5103002,40},{progress_rate,5203001,10},{progress_rate,50026,8},{progress,0,50026,8},{progress_rate,5204001,2},{progress_rate_roll,0,0,21300,1},{progress,0,21315,2},{progress,0,5401000,2}]</v>
      </c>
      <c r="F47" t="str">
        <f ca="1" t="shared" ref="F47:F61" si="38">$C47&amp;","&amp;_xlfn.TEXTJOIN(",",1,$S29:$U29)&amp;"]"</f>
        <v>[{progress_rate,2,79},{progress,0,2,316},{progress_rate,5103002,20},{progress,0,5103002,20},{progress_rate,5303001,4},{progress,0,5103002,40},{progress_rate,5203001,10},{progress_rate,50026,8},{progress,0,50026,8},{progress_rate,5204001,2},{progress_rate,21300,0},{progress,0,21315,2},{progress,0,5401000,3}]</v>
      </c>
      <c r="G47" t="str">
        <f ca="1" t="shared" ref="G47:G61" si="39">$C47&amp;","&amp;_xlfn.TEXTJOIN(",",1,$V29:$Z29)&amp;"]"</f>
        <v>[{progress_rate,2,79},{progress,0,2,316},{progress_rate,5103002,20},{progress,0,5103002,20},{progress_rate,5303001,4},{progress,0,5103002,40},{progress_rate,5203001,10},{progress_rate,50026,8},{progress,0,50026,8},{progress_rate,5204001,2},{progress_rate_roll,0,0,21300,1},{progress,0,21315,2},{progress,0,5401000,4},{progress_rate_roll,0,360,9,1},{progress_rate_roll,0,0,30,1}]</v>
      </c>
      <c r="H47" t="str">
        <f ca="1" t="shared" ref="H47:H61" si="40">$C47&amp;","&amp;_xlfn.TEXTJOIN(",",1,$AA29:$AE29)&amp;"]"</f>
        <v>[{progress_rate,2,79},{progress,0,2,316},{progress_rate,5103002,20},{progress,0,5103002,20},{progress_rate,5303001,4},{progress,0,5103002,40},{progress_rate,5203001,10},{progress_rate,50026,8},{progress,0,50026,8},{progress_rate,5204001,2},{progress_rate_roll,0,0,21300,1},{progress,0,21315,3},{progress,0,5401000,5},{progress_rate_roll,0,480,9,1},{progress_rate_roll,0,0,30,1}]</v>
      </c>
    </row>
    <row r="48" spans="2:39">
      <c r="B48">
        <v>2</v>
      </c>
      <c r="C48" t="str">
        <f ca="1">"["&amp;_xlfn.TEXTJOIN(",",1,C30:$L30)</f>
        <v>[{progress_rate,2,84},{progress,0,2,336},{progress_rate,5103002,20},{progress,0,5103002,20},{progress_rate,5303001,4},{progress,0,5103002,40},{progress_rate,5203001,10},{progress_rate,50026,8},{progress,0,50026,8},{progress_rate,5204001,2}</v>
      </c>
      <c r="D48" t="str">
        <f ca="1" t="shared" si="36"/>
        <v>[{progress_rate,2,84},{progress,0,2,336},{progress_rate,5103002,20},{progress,0,5103002,20},{progress_rate,5303001,4},{progress,0,5103002,40},{progress_rate,5203001,10},{progress_rate,50026,8},{progress,0,50026,8},{progress_rate,5204001,2},{progress_rate,21316,1},{progress,0,5401000,1}]</v>
      </c>
      <c r="E48" t="str">
        <f ca="1" t="shared" si="37"/>
        <v>[{progress_rate,2,84},{progress,0,2,336},{progress_rate,5103002,20},{progress,0,5103002,20},{progress_rate,5303001,4},{progress,0,5103002,40},{progress_rate,5203001,10},{progress_rate,50026,8},{progress,0,50026,8},{progress_rate,5204001,2},{progress_rate_roll,0,0,21301,1},{progress,0,21316,2},{progress,0,5401000,2}]</v>
      </c>
      <c r="F48" t="str">
        <f ca="1" t="shared" si="38"/>
        <v>[{progress_rate,2,84},{progress,0,2,336},{progress_rate,5103002,20},{progress,0,5103002,20},{progress_rate,5303001,4},{progress,0,5103002,40},{progress_rate,5203001,10},{progress_rate,50026,8},{progress,0,50026,8},{progress_rate,5204001,2},{progress_rate,21301,0},{progress,0,21316,2},{progress,0,5401000,3}]</v>
      </c>
      <c r="G48" t="str">
        <f ca="1" t="shared" si="39"/>
        <v>[{progress_rate,2,84},{progress,0,2,336},{progress_rate,5103002,20},{progress,0,5103002,20},{progress_rate,5303001,4},{progress,0,5103002,40},{progress_rate,5203001,10},{progress_rate,50026,8},{progress,0,50026,8},{progress_rate,5204001,2},{progress_rate_roll,0,0,21301,1},{progress,0,21316,2},{progress,0,5401000,4},{progress_rate_roll,0,360,9,1},{progress_rate_roll,0,0,30,1}]</v>
      </c>
      <c r="H48" t="str">
        <f ca="1" t="shared" si="40"/>
        <v>[{progress_rate,2,84},{progress,0,2,336},{progress_rate,5103002,20},{progress,0,5103002,20},{progress_rate,5303001,4},{progress,0,5103002,40},{progress_rate,5203001,10},{progress_rate,50026,8},{progress,0,50026,8},{progress_rate,5204001,2},{progress_rate_roll,0,0,21301,1},{progress,0,21316,3},{progress,0,5401000,5},{progress_rate_roll,0,480,9,1},{progress_rate_roll,0,0,30,1}]</v>
      </c>
    </row>
    <row r="49" spans="2:31">
      <c r="B49">
        <v>3</v>
      </c>
      <c r="C49" t="str">
        <f ca="1">"["&amp;_xlfn.TEXTJOIN(",",1,C31:$L31)</f>
        <v>[{progress_rate,2,89},{progress,0,2,356},{progress_rate,5103002,20},{progress,0,5103002,20},{progress_rate,5303001,4},{progress,0,5103002,40},{progress_rate,5203001,10},{progress_rate,50026,8},{progress,0,50026,8},{progress_rate,5204001,2}</v>
      </c>
      <c r="D49" t="str">
        <f ca="1" t="shared" si="36"/>
        <v>[{progress_rate,2,89},{progress,0,2,356},{progress_rate,5103002,20},{progress,0,5103002,20},{progress_rate,5303001,4},{progress,0,5103002,40},{progress_rate,5203001,10},{progress_rate,50026,8},{progress,0,50026,8},{progress_rate,5204001,2},{progress_rate,21317,1},{progress,0,5401000,1}]</v>
      </c>
      <c r="E49" t="str">
        <f ca="1" t="shared" si="37"/>
        <v>[{progress_rate,2,89},{progress,0,2,356},{progress_rate,5103002,20},{progress,0,5103002,20},{progress_rate,5303001,4},{progress,0,5103002,40},{progress_rate,5203001,10},{progress_rate,50026,8},{progress,0,50026,8},{progress_rate,5204001,2},{progress_rate_roll,0,0,21302,1},{progress,0,21317,2},{progress,0,5401000,2}]</v>
      </c>
      <c r="F49" t="str">
        <f ca="1" t="shared" si="38"/>
        <v>[{progress_rate,2,89},{progress,0,2,356},{progress_rate,5103002,20},{progress,0,5103002,20},{progress_rate,5303001,4},{progress,0,5103002,40},{progress_rate,5203001,10},{progress_rate,50026,8},{progress,0,50026,8},{progress_rate,5204001,2},{progress_rate,21302,0},{progress,0,21317,2},{progress,0,5401000,3}]</v>
      </c>
      <c r="G49" t="str">
        <f ca="1" t="shared" si="39"/>
        <v>[{progress_rate,2,89},{progress,0,2,356},{progress_rate,5103002,20},{progress,0,5103002,20},{progress_rate,5303001,4},{progress,0,5103002,40},{progress_rate,5203001,10},{progress_rate,50026,8},{progress,0,50026,8},{progress_rate,5204001,2},{progress_rate_roll,0,0,21302,1},{progress,0,21317,2},{progress,0,5401000,4},{progress_rate_roll,0,360,9,1},{progress_rate_roll,0,0,30,1}]</v>
      </c>
      <c r="H49" t="str">
        <f ca="1" t="shared" si="40"/>
        <v>[{progress_rate,2,89},{progress,0,2,356},{progress_rate,5103002,20},{progress,0,5103002,20},{progress_rate,5303001,4},{progress,0,5103002,40},{progress_rate,5203001,10},{progress_rate,50026,8},{progress,0,50026,8},{progress_rate,5204001,2},{progress_rate_roll,0,0,21302,1},{progress,0,21317,3},{progress,0,5401000,5},{progress_rate_roll,0,480,9,1},{progress_rate_roll,0,0,30,1}]</v>
      </c>
    </row>
    <row r="50" spans="2:31">
      <c r="B50">
        <v>4</v>
      </c>
      <c r="C50" t="str">
        <f ca="1">"["&amp;_xlfn.TEXTJOIN(",",1,C32:$L32)</f>
        <v>[{progress_rate,2,94},{progress,0,2,376},{progress_rate,5103002,20},{progress,0,5103002,20},{progress_rate,5303001,4},{progress,0,5103002,40},{progress_rate,5203001,10},{progress_rate,50026,8},{progress,0,50026,8},{progress_rate,5204001,2}</v>
      </c>
      <c r="D50" t="str">
        <f ca="1" t="shared" si="36"/>
        <v>[{progress_rate,2,94},{progress,0,2,376},{progress_rate,5103002,20},{progress,0,5103002,20},{progress_rate,5303001,4},{progress,0,5103002,40},{progress_rate,5203001,10},{progress_rate,50026,8},{progress,0,50026,8},{progress_rate,5204001,2},{progress_rate,21318,1},{progress,0,5401000,1}]</v>
      </c>
      <c r="E50" t="str">
        <f ca="1" t="shared" si="37"/>
        <v>[{progress_rate,2,94},{progress,0,2,376},{progress_rate,5103002,20},{progress,0,5103002,20},{progress_rate,5303001,4},{progress,0,5103002,40},{progress_rate,5203001,10},{progress_rate,50026,8},{progress,0,50026,8},{progress_rate,5204001,2},{progress_rate_roll,0,0,21303,1},{progress,0,21318,2},{progress,0,5401000,2}]</v>
      </c>
      <c r="F50" t="str">
        <f ca="1" t="shared" si="38"/>
        <v>[{progress_rate,2,94},{progress,0,2,376},{progress_rate,5103002,20},{progress,0,5103002,20},{progress_rate,5303001,4},{progress,0,5103002,40},{progress_rate,5203001,10},{progress_rate,50026,8},{progress,0,50026,8},{progress_rate,5204001,2},{progress_rate,21303,0},{progress,0,21318,2},{progress,0,5401000,3}]</v>
      </c>
      <c r="G50" t="str">
        <f ca="1" t="shared" si="39"/>
        <v>[{progress_rate,2,94},{progress,0,2,376},{progress_rate,5103002,20},{progress,0,5103002,20},{progress_rate,5303001,4},{progress,0,5103002,40},{progress_rate,5203001,10},{progress_rate,50026,8},{progress,0,50026,8},{progress_rate,5204001,2},{progress_rate_roll,0,0,21303,1},{progress,0,21318,2},{progress,0,5401000,4},{progress_rate_roll,0,360,9,1},{progress_rate_roll,0,0,30,1}]</v>
      </c>
      <c r="H50" t="str">
        <f ca="1" t="shared" si="40"/>
        <v>[{progress_rate,2,94},{progress,0,2,376},{progress_rate,5103002,20},{progress,0,5103002,20},{progress_rate,5303001,4},{progress,0,5103002,40},{progress_rate,5203001,10},{progress_rate,50026,8},{progress,0,50026,8},{progress_rate,5204001,2},{progress_rate_roll,0,0,21303,1},{progress,0,21318,3},{progress,0,5401000,5},{progress_rate_roll,0,480,9,1},{progress_rate_roll,0,0,30,1}]</v>
      </c>
    </row>
    <row r="51" spans="2:31">
      <c r="B51">
        <v>5</v>
      </c>
      <c r="C51" t="str">
        <f ca="1">"["&amp;_xlfn.TEXTJOIN(",",1,C33:$L33)</f>
        <v>[{progress_rate,2,99},{progress,0,2,396},{progress_rate,5103002,20},{progress,0,5103002,20},{progress_rate,5303001,4},{progress,0,5103002,40},{progress_rate,5203001,10},{progress_rate,50026,8},{progress,0,50026,8},{progress_rate,5204001,2}</v>
      </c>
      <c r="D51" t="str">
        <f ca="1" t="shared" si="36"/>
        <v>[{progress_rate,2,99},{progress,0,2,396},{progress_rate,5103002,20},{progress,0,5103002,20},{progress_rate,5303001,4},{progress,0,5103002,40},{progress_rate,5203001,10},{progress_rate,50026,8},{progress,0,50026,8},{progress_rate,5204001,2},{progress_rate,21319,1},{progress,0,5401000,1}]</v>
      </c>
      <c r="E51" t="str">
        <f ca="1" t="shared" si="37"/>
        <v>[{progress_rate,2,99},{progress,0,2,396},{progress_rate,5103002,20},{progress,0,5103002,20},{progress_rate,5303001,4},{progress,0,5103002,40},{progress_rate,5203001,10},{progress_rate,50026,8},{progress,0,50026,8},{progress_rate,5204001,2},{progress_rate_roll,0,0,21304,1},{progress,0,21319,2},{progress,0,5401000,2}]</v>
      </c>
      <c r="F51" t="str">
        <f ca="1" t="shared" si="38"/>
        <v>[{progress_rate,2,99},{progress,0,2,396},{progress_rate,5103002,20},{progress,0,5103002,20},{progress_rate,5303001,4},{progress,0,5103002,40},{progress_rate,5203001,10},{progress_rate,50026,8},{progress,0,50026,8},{progress_rate,5204001,2},{progress_rate,21304,0},{progress,0,21319,2},{progress,0,5401000,3}]</v>
      </c>
      <c r="G51" t="str">
        <f ca="1" t="shared" si="39"/>
        <v>[{progress_rate,2,99},{progress,0,2,396},{progress_rate,5103002,20},{progress,0,5103002,20},{progress_rate,5303001,4},{progress,0,5103002,40},{progress_rate,5203001,10},{progress_rate,50026,8},{progress,0,50026,8},{progress_rate,5204001,2},{progress_rate_roll,0,0,21304,1},{progress,0,21319,2},{progress,0,5401000,4},{progress_rate_roll,0,360,9,1},{progress_rate_roll,0,0,30,1}]</v>
      </c>
      <c r="H51" t="str">
        <f ca="1" t="shared" si="40"/>
        <v>[{progress_rate,2,99},{progress,0,2,396},{progress_rate,5103002,20},{progress,0,5103002,20},{progress_rate,5303001,4},{progress,0,5103002,40},{progress_rate,5203001,10},{progress_rate,50026,8},{progress,0,50026,8},{progress_rate,5204001,2},{progress_rate_roll,0,0,21304,1},{progress,0,21319,3},{progress,0,5401000,5},{progress_rate_roll,0,480,9,1},{progress_rate_roll,0,0,30,1}]</v>
      </c>
    </row>
    <row r="52" spans="2:31">
      <c r="B52">
        <v>6</v>
      </c>
      <c r="C52" t="str">
        <f ca="1">"["&amp;_xlfn.TEXTJOIN(",",1,C34:$L34)</f>
        <v>[{progress_rate,2,104},{progress,0,2,416},{progress_rate,5103002,20},{progress,0,5103002,20},{progress_rate,5303001,4},{progress,0,5103002,40},{progress_rate,5203001,10},{progress_rate,50026,8},{progress,0,50026,8},{progress_rate,5204001,2}</v>
      </c>
      <c r="D52" t="str">
        <f ca="1" t="shared" si="36"/>
        <v>[{progress_rate,2,104},{progress,0,2,416},{progress_rate,5103002,20},{progress,0,5103002,20},{progress_rate,5303001,4},{progress,0,5103002,40},{progress_rate,5203001,10},{progress_rate,50026,8},{progress,0,50026,8},{progress_rate,5204001,2},{progress_rate,21320,1},{progress,0,5401000,1}]</v>
      </c>
      <c r="E52" t="str">
        <f ca="1" t="shared" si="37"/>
        <v>[{progress_rate,2,104},{progress,0,2,416},{progress_rate,5103002,20},{progress,0,5103002,20},{progress_rate,5303001,4},{progress,0,5103002,40},{progress_rate,5203001,10},{progress_rate,50026,8},{progress,0,50026,8},{progress_rate,5204001,2},{progress_rate_roll,0,0,21305,1},{progress,0,21320,2},{progress,0,5401000,2}]</v>
      </c>
      <c r="F52" t="str">
        <f ca="1" t="shared" si="38"/>
        <v>[{progress_rate,2,104},{progress,0,2,416},{progress_rate,5103002,20},{progress,0,5103002,20},{progress_rate,5303001,4},{progress,0,5103002,40},{progress_rate,5203001,10},{progress_rate,50026,8},{progress,0,50026,8},{progress_rate,5204001,2},{progress_rate,21305,0},{progress,0,21320,2},{progress,0,5401000,3}]</v>
      </c>
      <c r="G52" t="str">
        <f ca="1" t="shared" si="39"/>
        <v>[{progress_rate,2,104},{progress,0,2,416},{progress_rate,5103002,20},{progress,0,5103002,20},{progress_rate,5303001,4},{progress,0,5103002,40},{progress_rate,5203001,10},{progress_rate,50026,8},{progress,0,50026,8},{progress_rate,5204001,2},{progress_rate_roll,0,0,21305,1},{progress,0,21320,2},{progress,0,5401000,4},{progress_rate_roll,0,360,9,1},{progress_rate_roll,0,0,30,1}]</v>
      </c>
      <c r="H52" t="str">
        <f ca="1" t="shared" si="40"/>
        <v>[{progress_rate,2,104},{progress,0,2,416},{progress_rate,5103002,20},{progress,0,5103002,20},{progress_rate,5303001,4},{progress,0,5103002,40},{progress_rate,5203001,10},{progress_rate,50026,8},{progress,0,50026,8},{progress_rate,5204001,2},{progress_rate_roll,0,0,21305,1},{progress,0,21320,3},{progress,0,5401000,5},{progress_rate_roll,0,480,9,1},{progress_rate_roll,0,0,30,1}]</v>
      </c>
    </row>
    <row r="53" spans="2:31">
      <c r="B53">
        <v>7</v>
      </c>
      <c r="C53" t="str">
        <f ca="1">"["&amp;_xlfn.TEXTJOIN(",",1,C35:$L35)</f>
        <v>[{progress_rate,2,109},{progress,0,2,436},{progress_rate,5103002,20},{progress,0,5103002,20},{progress_rate,5303001,4},{progress,0,5103002,40},{progress_rate,5203001,10},{progress_rate,50026,8},{progress,0,50026,8},{progress_rate,5204001,2}</v>
      </c>
      <c r="D53" t="str">
        <f ca="1" t="shared" si="36"/>
        <v>[{progress_rate,2,109},{progress,0,2,436},{progress_rate,5103002,20},{progress,0,5103002,20},{progress_rate,5303001,4},{progress,0,5103002,40},{progress_rate,5203001,10},{progress_rate,50026,8},{progress,0,50026,8},{progress_rate,5204001,2},{progress_rate,21321,1},{progress,0,5401000,1}]</v>
      </c>
      <c r="E53" t="str">
        <f ca="1" t="shared" si="37"/>
        <v>[{progress_rate,2,109},{progress,0,2,436},{progress_rate,5103002,20},{progress,0,5103002,20},{progress_rate,5303001,4},{progress,0,5103002,40},{progress_rate,5203001,10},{progress_rate,50026,8},{progress,0,50026,8},{progress_rate,5204001,2},{progress_rate_roll,0,0,21306,1},{progress,0,21321,2},{progress,0,5401000,2}]</v>
      </c>
      <c r="F53" t="str">
        <f ca="1" t="shared" si="38"/>
        <v>[{progress_rate,2,109},{progress,0,2,436},{progress_rate,5103002,20},{progress,0,5103002,20},{progress_rate,5303001,4},{progress,0,5103002,40},{progress_rate,5203001,10},{progress_rate,50026,8},{progress,0,50026,8},{progress_rate,5204001,2},{progress_rate,21306,0},{progress,0,21321,2},{progress,0,5401000,3}]</v>
      </c>
      <c r="G53" t="str">
        <f ca="1" t="shared" si="39"/>
        <v>[{progress_rate,2,109},{progress,0,2,436},{progress_rate,5103002,20},{progress,0,5103002,20},{progress_rate,5303001,4},{progress,0,5103002,40},{progress_rate,5203001,10},{progress_rate,50026,8},{progress,0,50026,8},{progress_rate,5204001,2},{progress_rate_roll,0,0,21306,1},{progress,0,21321,2},{progress,0,5401000,4},{progress_rate_roll,0,360,9,1},{progress_rate_roll,0,0,30,1}]</v>
      </c>
      <c r="H53" t="str">
        <f ca="1" t="shared" si="40"/>
        <v>[{progress_rate,2,109},{progress,0,2,436},{progress_rate,5103002,20},{progress,0,5103002,20},{progress_rate,5303001,4},{progress,0,5103002,40},{progress_rate,5203001,10},{progress_rate,50026,8},{progress,0,50026,8},{progress_rate,5204001,2},{progress_rate_roll,0,0,21306,1},{progress,0,21321,3},{progress,0,5401000,5},{progress_rate_roll,0,480,9,1},{progress_rate_roll,0,0,30,1}]</v>
      </c>
    </row>
    <row r="54" spans="2:31">
      <c r="B54">
        <v>8</v>
      </c>
      <c r="C54" t="str">
        <f ca="1">"["&amp;_xlfn.TEXTJOIN(",",1,C36:$L36)</f>
        <v>[{progress_rate,2,114},{progress,0,2,456},{progress_rate,5103002,20},{progress,0,5103002,20},{progress_rate,5303001,4},{progress,0,5103002,40},{progress_rate,5203001,10},{progress_rate,50026,8},{progress,0,50026,8},{progress_rate,5204001,2}</v>
      </c>
      <c r="D54" t="str">
        <f ca="1" t="shared" si="36"/>
        <v>[{progress_rate,2,114},{progress,0,2,456},{progress_rate,5103002,20},{progress,0,5103002,20},{progress_rate,5303001,4},{progress,0,5103002,40},{progress_rate,5203001,10},{progress_rate,50026,8},{progress,0,50026,8},{progress_rate,5204001,2},{progress_rate,21322,1},{progress,0,5401000,1}]</v>
      </c>
      <c r="E54" t="str">
        <f ca="1" t="shared" si="37"/>
        <v>[{progress_rate,2,114},{progress,0,2,456},{progress_rate,5103002,20},{progress,0,5103002,20},{progress_rate,5303001,4},{progress,0,5103002,40},{progress_rate,5203001,10},{progress_rate,50026,8},{progress,0,50026,8},{progress_rate,5204001,2},{progress_rate_roll,0,0,21307,1},{progress,0,21322,2},{progress,0,5401000,2}]</v>
      </c>
      <c r="F54" t="str">
        <f ca="1" t="shared" si="38"/>
        <v>[{progress_rate,2,114},{progress,0,2,456},{progress_rate,5103002,20},{progress,0,5103002,20},{progress_rate,5303001,4},{progress,0,5103002,40},{progress_rate,5203001,10},{progress_rate,50026,8},{progress,0,50026,8},{progress_rate,5204001,2},{progress_rate,21307,0},{progress,0,21322,2},{progress,0,5401000,3}]</v>
      </c>
      <c r="G54" t="str">
        <f ca="1" t="shared" si="39"/>
        <v>[{progress_rate,2,114},{progress,0,2,456},{progress_rate,5103002,20},{progress,0,5103002,20},{progress_rate,5303001,4},{progress,0,5103002,40},{progress_rate,5203001,10},{progress_rate,50026,8},{progress,0,50026,8},{progress_rate,5204001,2},{progress_rate_roll,0,0,21307,1},{progress,0,21322,2},{progress,0,5401000,4},{progress_rate_roll,0,360,9,1},{progress_rate_roll,0,0,30,1}]</v>
      </c>
      <c r="H54" t="str">
        <f ca="1" t="shared" si="40"/>
        <v>[{progress_rate,2,114},{progress,0,2,456},{progress_rate,5103002,20},{progress,0,5103002,20},{progress_rate,5303001,4},{progress,0,5103002,40},{progress_rate,5203001,10},{progress_rate,50026,8},{progress,0,50026,8},{progress_rate,5204001,2},{progress_rate_roll,0,0,21307,1},{progress,0,21322,3},{progress,0,5401000,5},{progress_rate_roll,0,480,9,1},{progress_rate_roll,0,0,30,1}]</v>
      </c>
    </row>
    <row r="55" spans="2:31">
      <c r="B55">
        <v>9</v>
      </c>
      <c r="C55" t="str">
        <f ca="1">"["&amp;_xlfn.TEXTJOIN(",",1,C37:$L37)</f>
        <v>[{progress_rate,2,119},{progress,0,2,476},{progress_rate,5103002,20},{progress,0,5103002,20},{progress_rate,5303001,4},{progress,0,5103002,40},{progress_rate,5203001,10},{progress_rate,50026,8},{progress,0,50026,8},{progress_rate,5204001,2}</v>
      </c>
      <c r="D55" t="str">
        <f ca="1" t="shared" si="36"/>
        <v>[{progress_rate,2,119},{progress,0,2,476},{progress_rate,5103002,20},{progress,0,5103002,20},{progress_rate,5303001,4},{progress,0,5103002,40},{progress_rate,5203001,10},{progress_rate,50026,8},{progress,0,50026,8},{progress_rate,5204001,2},{progress_rate,21323,1},{progress,0,5401000,1}]</v>
      </c>
      <c r="E55" t="str">
        <f ca="1" t="shared" si="37"/>
        <v>[{progress_rate,2,119},{progress,0,2,476},{progress_rate,5103002,20},{progress,0,5103002,20},{progress_rate,5303001,4},{progress,0,5103002,40},{progress_rate,5203001,10},{progress_rate,50026,8},{progress,0,50026,8},{progress_rate,5204001,2},{progress_rate_roll,0,0,21308,1},{progress,0,21323,2},{progress,0,5401000,2}]</v>
      </c>
      <c r="F55" t="str">
        <f ca="1" t="shared" si="38"/>
        <v>[{progress_rate,2,119},{progress,0,2,476},{progress_rate,5103002,20},{progress,0,5103002,20},{progress_rate,5303001,4},{progress,0,5103002,40},{progress_rate,5203001,10},{progress_rate,50026,8},{progress,0,50026,8},{progress_rate,5204001,2},{progress_rate,21308,0},{progress,0,21323,2},{progress,0,5401000,3}]</v>
      </c>
      <c r="G55" t="str">
        <f ca="1" t="shared" si="39"/>
        <v>[{progress_rate,2,119},{progress,0,2,476},{progress_rate,5103002,20},{progress,0,5103002,20},{progress_rate,5303001,4},{progress,0,5103002,40},{progress_rate,5203001,10},{progress_rate,50026,8},{progress,0,50026,8},{progress_rate,5204001,2},{progress_rate_roll,0,0,21308,1},{progress,0,21323,2},{progress,0,5401000,4},{progress_rate_roll,0,360,9,1},{progress_rate_roll,0,0,30,1}]</v>
      </c>
      <c r="H55" t="str">
        <f ca="1" t="shared" si="40"/>
        <v>[{progress_rate,2,119},{progress,0,2,476},{progress_rate,5103002,20},{progress,0,5103002,20},{progress_rate,5303001,4},{progress,0,5103002,40},{progress_rate,5203001,10},{progress_rate,50026,8},{progress,0,50026,8},{progress_rate,5204001,2},{progress_rate_roll,0,0,21308,1},{progress,0,21323,3},{progress,0,5401000,5},{progress_rate_roll,0,480,9,1},{progress_rate_roll,0,0,30,1}]</v>
      </c>
    </row>
    <row r="56" spans="2:31">
      <c r="B56">
        <v>10</v>
      </c>
      <c r="C56" t="str">
        <f ca="1">"["&amp;_xlfn.TEXTJOIN(",",1,C38:$L38)</f>
        <v>[{progress_rate,2,124},{progress,0,2,496},{progress_rate,5103002,20},{progress,0,5103002,20},{progress_rate,5303001,4},{progress,0,5103002,40},{progress_rate,5203001,10},{progress_rate,50026,8},{progress,0,50026,8},{progress_rate,5204001,2}</v>
      </c>
      <c r="D56" t="str">
        <f ca="1" t="shared" si="36"/>
        <v>[{progress_rate,2,124},{progress,0,2,496},{progress_rate,5103002,20},{progress,0,5103002,20},{progress_rate,5303001,4},{progress,0,5103002,40},{progress_rate,5203001,10},{progress_rate,50026,8},{progress,0,50026,8},{progress_rate,5204001,2},{progress_rate,21324,1},{progress,0,5401000,1}]</v>
      </c>
      <c r="E56" t="str">
        <f ca="1" t="shared" si="37"/>
        <v>[{progress_rate,2,124},{progress,0,2,496},{progress_rate,5103002,20},{progress,0,5103002,20},{progress_rate,5303001,4},{progress,0,5103002,40},{progress_rate,5203001,10},{progress_rate,50026,8},{progress,0,50026,8},{progress_rate,5204001,2},{progress_rate_roll,0,0,21309,1},{progress,0,21324,2},{progress,0,5401000,2}]</v>
      </c>
      <c r="F56" t="str">
        <f ca="1" t="shared" si="38"/>
        <v>[{progress_rate,2,124},{progress,0,2,496},{progress_rate,5103002,20},{progress,0,5103002,20},{progress_rate,5303001,4},{progress,0,5103002,40},{progress_rate,5203001,10},{progress_rate,50026,8},{progress,0,50026,8},{progress_rate,5204001,2},{progress_rate,21309,0},{progress,0,21324,2},{progress,0,5401000,3}]</v>
      </c>
      <c r="G56" t="str">
        <f ca="1" t="shared" si="39"/>
        <v>[{progress_rate,2,124},{progress,0,2,496},{progress_rate,5103002,20},{progress,0,5103002,20},{progress_rate,5303001,4},{progress,0,5103002,40},{progress_rate,5203001,10},{progress_rate,50026,8},{progress,0,50026,8},{progress_rate,5204001,2},{progress_rate_roll,0,0,21309,1},{progress,0,21324,2},{progress,0,5401000,4},{progress_rate_roll,0,360,9,1},{progress_rate_roll,0,0,30,1}]</v>
      </c>
      <c r="H56" t="str">
        <f ca="1" t="shared" si="40"/>
        <v>[{progress_rate,2,124},{progress,0,2,496},{progress_rate,5103002,20},{progress,0,5103002,20},{progress_rate,5303001,4},{progress,0,5103002,40},{progress_rate,5203001,10},{progress_rate,50026,8},{progress,0,50026,8},{progress_rate,5204001,2},{progress_rate_roll,0,0,21309,1},{progress,0,21324,3},{progress,0,5401000,5},{progress_rate_roll,0,480,9,1},{progress_rate_roll,0,0,30,1}]</v>
      </c>
    </row>
    <row r="57" spans="2:31">
      <c r="B57">
        <v>11</v>
      </c>
      <c r="C57" t="str">
        <f ca="1">"["&amp;_xlfn.TEXTJOIN(",",1,C39:$L39)</f>
        <v>[{progress_rate,2,129},{progress,0,2,516},{progress_rate,5103002,20},{progress,0,5103002,20},{progress_rate,5303001,4},{progress,0,5103002,40},{progress_rate,5203001,10},{progress_rate,50026,8},{progress,0,50026,8},{progress_rate,5204001,2}</v>
      </c>
      <c r="D57" t="str">
        <f ca="1" t="shared" si="36"/>
        <v>[{progress_rate,2,129},{progress,0,2,516},{progress_rate,5103002,20},{progress,0,5103002,20},{progress_rate,5303001,4},{progress,0,5103002,40},{progress_rate,5203001,10},{progress_rate,50026,8},{progress,0,50026,8},{progress_rate,5204001,2},{progress_rate,21325,1},{progress,0,5401000,1}]</v>
      </c>
      <c r="E57" t="str">
        <f ca="1" t="shared" si="37"/>
        <v>[{progress_rate,2,129},{progress,0,2,516},{progress_rate,5103002,20},{progress,0,5103002,20},{progress_rate,5303001,4},{progress,0,5103002,40},{progress_rate,5203001,10},{progress_rate,50026,8},{progress,0,50026,8},{progress_rate,5204001,2},{progress_rate_roll,0,0,21310,1},{progress,0,21325,2},{progress,0,5401000,2}]</v>
      </c>
      <c r="F57" t="str">
        <f ca="1" t="shared" si="38"/>
        <v>[{progress_rate,2,129},{progress,0,2,516},{progress_rate,5103002,20},{progress,0,5103002,20},{progress_rate,5303001,4},{progress,0,5103002,40},{progress_rate,5203001,10},{progress_rate,50026,8},{progress,0,50026,8},{progress_rate,5204001,2},{progress_rate,21310,0},{progress,0,21325,2},{progress,0,5401000,3}]</v>
      </c>
      <c r="G57" t="str">
        <f ca="1" t="shared" si="39"/>
        <v>[{progress_rate,2,129},{progress,0,2,516},{progress_rate,5103002,20},{progress,0,5103002,20},{progress_rate,5303001,4},{progress,0,5103002,40},{progress_rate,5203001,10},{progress_rate,50026,8},{progress,0,50026,8},{progress_rate,5204001,2},{progress_rate_roll,0,0,21310,1},{progress,0,21325,2},{progress,0,5401000,4},{progress_rate_roll,0,360,9,1},{progress_rate_roll,0,0,30,1}]</v>
      </c>
      <c r="H57" t="str">
        <f ca="1" t="shared" si="40"/>
        <v>[{progress_rate,2,129},{progress,0,2,516},{progress_rate,5103002,20},{progress,0,5103002,20},{progress_rate,5303001,4},{progress,0,5103002,40},{progress_rate,5203001,10},{progress_rate,50026,8},{progress,0,50026,8},{progress_rate,5204001,2},{progress_rate_roll,0,0,21310,1},{progress,0,21325,3},{progress,0,5401000,5},{progress_rate_roll,0,480,9,1},{progress_rate_roll,0,0,30,1}]</v>
      </c>
    </row>
    <row r="58" spans="2:31">
      <c r="B58">
        <v>12</v>
      </c>
      <c r="C58" t="str">
        <f ca="1">"["&amp;_xlfn.TEXTJOIN(",",1,C40:$L40)</f>
        <v>[{progress_rate,2,134},{progress,0,2,536},{progress_rate,5103002,20},{progress,0,5103002,20},{progress_rate,5303001,4},{progress,0,5103002,40},{progress_rate,5203001,10},{progress_rate,50026,8},{progress,0,50026,8},{progress_rate,5204001,2}</v>
      </c>
      <c r="D58" t="str">
        <f ca="1" t="shared" si="36"/>
        <v>[{progress_rate,2,134},{progress,0,2,536},{progress_rate,5103002,20},{progress,0,5103002,20},{progress_rate,5303001,4},{progress,0,5103002,40},{progress_rate,5203001,10},{progress_rate,50026,8},{progress,0,50026,8},{progress_rate,5204001,2},{progress_rate,21326,1},{progress,0,5401000,1}]</v>
      </c>
      <c r="E58" t="str">
        <f ca="1" t="shared" si="37"/>
        <v>[{progress_rate,2,134},{progress,0,2,536},{progress_rate,5103002,20},{progress,0,5103002,20},{progress_rate,5303001,4},{progress,0,5103002,40},{progress_rate,5203001,10},{progress_rate,50026,8},{progress,0,50026,8},{progress_rate,5204001,2},{progress_rate_roll,0,0,21311,1},{progress,0,21326,2},{progress,0,5401000,2}]</v>
      </c>
      <c r="F58" t="str">
        <f ca="1" t="shared" si="38"/>
        <v>[{progress_rate,2,134},{progress,0,2,536},{progress_rate,5103002,20},{progress,0,5103002,20},{progress_rate,5303001,4},{progress,0,5103002,40},{progress_rate,5203001,10},{progress_rate,50026,8},{progress,0,50026,8},{progress_rate,5204001,2},{progress_rate,21311,0},{progress,0,21326,2},{progress,0,5401000,3}]</v>
      </c>
      <c r="G58" t="str">
        <f ca="1" t="shared" si="39"/>
        <v>[{progress_rate,2,134},{progress,0,2,536},{progress_rate,5103002,20},{progress,0,5103002,20},{progress_rate,5303001,4},{progress,0,5103002,40},{progress_rate,5203001,10},{progress_rate,50026,8},{progress,0,50026,8},{progress_rate,5204001,2},{progress_rate_roll,0,0,21311,1},{progress,0,21326,2},{progress,0,5401000,4},{progress_rate_roll,0,360,9,1},{progress_rate_roll,0,0,30,1}]</v>
      </c>
      <c r="H58" t="str">
        <f ca="1" t="shared" si="40"/>
        <v>[{progress_rate,2,134},{progress,0,2,536},{progress_rate,5103002,20},{progress,0,5103002,20},{progress_rate,5303001,4},{progress,0,5103002,40},{progress_rate,5203001,10},{progress_rate,50026,8},{progress,0,50026,8},{progress_rate,5204001,2},{progress_rate_roll,0,0,21311,1},{progress,0,21326,3},{progress,0,5401000,5},{progress_rate_roll,0,480,9,1},{progress_rate_roll,0,0,30,1}]</v>
      </c>
    </row>
    <row r="59" spans="2:31">
      <c r="B59">
        <v>13</v>
      </c>
      <c r="C59" t="str">
        <f ca="1">"["&amp;_xlfn.TEXTJOIN(",",1,C41:$L41)</f>
        <v>[{progress_rate,2,139},{progress,0,2,556},{progress_rate,5103002,20},{progress,0,5103002,20},{progress_rate,5303001,4},{progress,0,5103002,40},{progress_rate,5203001,10},{progress_rate,50026,8},{progress,0,50026,8},{progress_rate,5204001,2}</v>
      </c>
      <c r="D59" t="str">
        <f ca="1" t="shared" si="36"/>
        <v>[{progress_rate,2,139},{progress,0,2,556},{progress_rate,5103002,20},{progress,0,5103002,20},{progress_rate,5303001,4},{progress,0,5103002,40},{progress_rate,5203001,10},{progress_rate,50026,8},{progress,0,50026,8},{progress_rate,5204001,2},{progress_rate,21327,1},{progress,0,5401000,1}]</v>
      </c>
      <c r="E59" t="str">
        <f ca="1" t="shared" si="37"/>
        <v>[{progress_rate,2,139},{progress,0,2,556},{progress_rate,5103002,20},{progress,0,5103002,20},{progress_rate,5303001,4},{progress,0,5103002,40},{progress_rate,5203001,10},{progress_rate,50026,8},{progress,0,50026,8},{progress_rate,5204001,2},{progress_rate_roll,0,0,21312,1},{progress,0,21327,2},{progress,0,5401000,2}]</v>
      </c>
      <c r="F59" t="str">
        <f ca="1" t="shared" si="38"/>
        <v>[{progress_rate,2,139},{progress,0,2,556},{progress_rate,5103002,20},{progress,0,5103002,20},{progress_rate,5303001,4},{progress,0,5103002,40},{progress_rate,5203001,10},{progress_rate,50026,8},{progress,0,50026,8},{progress_rate,5204001,2},{progress_rate,21312,0},{progress,0,21327,2},{progress,0,5401000,3}]</v>
      </c>
      <c r="G59" t="str">
        <f ca="1" t="shared" si="39"/>
        <v>[{progress_rate,2,139},{progress,0,2,556},{progress_rate,5103002,20},{progress,0,5103002,20},{progress_rate,5303001,4},{progress,0,5103002,40},{progress_rate,5203001,10},{progress_rate,50026,8},{progress,0,50026,8},{progress_rate,5204001,2},{progress_rate_roll,0,0,21312,1},{progress,0,21327,2},{progress,0,5401000,4},{progress_rate_roll,0,360,9,1},{progress_rate_roll,0,0,30,1}]</v>
      </c>
      <c r="H59" t="str">
        <f ca="1" t="shared" si="40"/>
        <v>[{progress_rate,2,139},{progress,0,2,556},{progress_rate,5103002,20},{progress,0,5103002,20},{progress_rate,5303001,4},{progress,0,5103002,40},{progress_rate,5203001,10},{progress_rate,50026,8},{progress,0,50026,8},{progress_rate,5204001,2},{progress_rate_roll,0,0,21312,1},{progress,0,21327,3},{progress,0,5401000,5},{progress_rate_roll,0,480,9,1},{progress_rate_roll,0,0,30,1}]</v>
      </c>
    </row>
    <row r="60" spans="2:31">
      <c r="B60">
        <v>14</v>
      </c>
      <c r="C60" t="str">
        <f ca="1">"["&amp;_xlfn.TEXTJOIN(",",1,C42:$L42)</f>
        <v>[{progress_rate,2,144},{progress,0,2,576},{progress_rate,5103002,20},{progress,0,5103002,20},{progress_rate,5303001,4},{progress,0,5103002,40},{progress_rate,5203001,10},{progress_rate,50026,8},{progress,0,50026,8},{progress_rate,5204001,2}</v>
      </c>
      <c r="D60" t="str">
        <f ca="1" t="shared" si="36"/>
        <v>[{progress_rate,2,144},{progress,0,2,576},{progress_rate,5103002,20},{progress,0,5103002,20},{progress_rate,5303001,4},{progress,0,5103002,40},{progress_rate,5203001,10},{progress_rate,50026,8},{progress,0,50026,8},{progress_rate,5204001,2},{progress_rate,21328,1},{progress,0,5401000,1}]</v>
      </c>
      <c r="E60" t="str">
        <f ca="1" t="shared" si="37"/>
        <v>[{progress_rate,2,144},{progress,0,2,576},{progress_rate,5103002,20},{progress,0,5103002,20},{progress_rate,5303001,4},{progress,0,5103002,40},{progress_rate,5203001,10},{progress_rate,50026,8},{progress,0,50026,8},{progress_rate,5204001,2},{progress_rate_roll,0,0,21313,1},{progress,0,21328,2},{progress,0,5401000,2}]</v>
      </c>
      <c r="F60" t="str">
        <f ca="1" t="shared" si="38"/>
        <v>[{progress_rate,2,144},{progress,0,2,576},{progress_rate,5103002,20},{progress,0,5103002,20},{progress_rate,5303001,4},{progress,0,5103002,40},{progress_rate,5203001,10},{progress_rate,50026,8},{progress,0,50026,8},{progress_rate,5204001,2},{progress_rate,21313,0},{progress,0,21328,2},{progress,0,5401000,3}]</v>
      </c>
      <c r="G60" t="str">
        <f ca="1" t="shared" si="39"/>
        <v>[{progress_rate,2,144},{progress,0,2,576},{progress_rate,5103002,20},{progress,0,5103002,20},{progress_rate,5303001,4},{progress,0,5103002,40},{progress_rate,5203001,10},{progress_rate,50026,8},{progress,0,50026,8},{progress_rate,5204001,2},{progress_rate_roll,0,0,21313,1},{progress,0,21328,2},{progress,0,5401000,4},{progress_rate_roll,0,360,9,1},{progress_rate_roll,0,0,30,1}]</v>
      </c>
      <c r="H60" t="str">
        <f ca="1" t="shared" si="40"/>
        <v>[{progress_rate,2,144},{progress,0,2,576},{progress_rate,5103002,20},{progress,0,5103002,20},{progress_rate,5303001,4},{progress,0,5103002,40},{progress_rate,5203001,10},{progress_rate,50026,8},{progress,0,50026,8},{progress_rate,5204001,2},{progress_rate_roll,0,0,21313,1},{progress,0,21328,3},{progress,0,5401000,5},{progress_rate_roll,0,480,9,1},{progress_rate_roll,0,0,30,1}]</v>
      </c>
    </row>
    <row r="61" spans="2:31">
      <c r="B61">
        <v>15</v>
      </c>
      <c r="C61" t="str">
        <f ca="1">"["&amp;_xlfn.TEXTJOIN(",",1,C43:$L43)</f>
        <v>[{progress_rate,2,149},{progress,0,2,596},{progress_rate,5103002,20},{progress,0,5103002,20},{progress_rate,5303001,4},{progress,0,5103002,40},{progress_rate,5203001,10},{progress_rate,50026,8},{progress,0,50026,8},{progress_rate,5204001,2}</v>
      </c>
      <c r="D61" t="str">
        <f ca="1" t="shared" si="36"/>
        <v>[{progress_rate,2,149},{progress,0,2,596},{progress_rate,5103002,20},{progress,0,5103002,20},{progress_rate,5303001,4},{progress,0,5103002,40},{progress_rate,5203001,10},{progress_rate,50026,8},{progress,0,50026,8},{progress_rate,5204001,2},{progress_rate,21329,1},{progress,0,5401000,1}]</v>
      </c>
      <c r="E61" t="str">
        <f ca="1" t="shared" si="37"/>
        <v>[{progress_rate,2,149},{progress,0,2,596},{progress_rate,5103002,20},{progress,0,5103002,20},{progress_rate,5303001,4},{progress,0,5103002,40},{progress_rate,5203001,10},{progress_rate,50026,8},{progress,0,50026,8},{progress_rate,5204001,2},{progress_rate_roll,0,0,21314,1},{progress,0,21329,2},{progress,0,5401000,2}]</v>
      </c>
      <c r="F61" t="str">
        <f ca="1" t="shared" si="38"/>
        <v>[{progress_rate,2,149},{progress,0,2,596},{progress_rate,5103002,20},{progress,0,5103002,20},{progress_rate,5303001,4},{progress,0,5103002,40},{progress_rate,5203001,10},{progress_rate,50026,8},{progress,0,50026,8},{progress_rate,5204001,2},{progress_rate,21314,0},{progress,0,21329,2},{progress,0,5401000,3}]</v>
      </c>
      <c r="G61" t="str">
        <f ca="1" t="shared" si="39"/>
        <v>[{progress_rate,2,149},{progress,0,2,596},{progress_rate,5103002,20},{progress,0,5103002,20},{progress_rate,5303001,4},{progress,0,5103002,40},{progress_rate,5203001,10},{progress_rate,50026,8},{progress,0,50026,8},{progress_rate,5204001,2},{progress_rate_roll,0,0,21314,1},{progress,0,21329,2},{progress,0,5401000,4},{progress_rate_roll,0,360,9,1},{progress_rate_roll,0,0,30,1}]</v>
      </c>
      <c r="H61" t="str">
        <f ca="1" t="shared" si="40"/>
        <v>[{progress_rate,2,149},{progress,0,2,596},{progress_rate,5103002,20},{progress,0,5103002,20},{progress_rate,5303001,4},{progress,0,5103002,40},{progress_rate,5203001,10},{progress_rate,50026,8},{progress,0,50026,8},{progress_rate,5204001,2},{progress_rate_roll,0,0,21314,1},{progress,0,21329,3},{progress,0,5401000,5},{progress_rate_roll,0,480,9,1},{progress_rate_roll,0,0,30,1}]</v>
      </c>
    </row>
    <row r="63" spans="2:31">
      <c r="C63" t="s">
        <v>96</v>
      </c>
      <c r="D63" t="s">
        <v>96</v>
      </c>
      <c r="E63" t="s">
        <v>128</v>
      </c>
      <c r="F63" t="s">
        <v>128</v>
      </c>
      <c r="G63" t="s">
        <v>149</v>
      </c>
      <c r="H63" t="s">
        <v>128</v>
      </c>
      <c r="I63" t="s">
        <v>409</v>
      </c>
      <c r="J63" t="s">
        <v>376</v>
      </c>
      <c r="K63" t="s">
        <v>376</v>
      </c>
      <c r="M63" s="13" t="s">
        <v>410</v>
      </c>
      <c r="N63" s="13" t="s">
        <v>411</v>
      </c>
      <c r="O63" s="13" t="s">
        <v>150</v>
      </c>
      <c r="P63" s="61" t="s">
        <v>410</v>
      </c>
      <c r="Q63" s="61" t="s">
        <v>411</v>
      </c>
      <c r="R63" s="61" t="s">
        <v>150</v>
      </c>
      <c r="S63" s="62" t="s">
        <v>410</v>
      </c>
      <c r="T63" s="62" t="s">
        <v>411</v>
      </c>
      <c r="U63" s="62" t="s">
        <v>150</v>
      </c>
      <c r="V63" s="63" t="s">
        <v>410</v>
      </c>
      <c r="W63" s="63" t="s">
        <v>411</v>
      </c>
      <c r="X63" s="63" t="s">
        <v>150</v>
      </c>
      <c r="Y63" s="63"/>
      <c r="Z63" s="63"/>
      <c r="AA63" s="62" t="s">
        <v>410</v>
      </c>
      <c r="AB63" s="62" t="s">
        <v>411</v>
      </c>
      <c r="AC63" s="62" t="s">
        <v>150</v>
      </c>
      <c r="AD63" s="62"/>
      <c r="AE63" s="62"/>
    </row>
    <row r="64" spans="2:31">
      <c r="B64" t="s">
        <v>127</v>
      </c>
      <c r="C64" s="14"/>
      <c r="D64" s="14">
        <v>0</v>
      </c>
      <c r="E64" s="14"/>
      <c r="F64" s="14">
        <v>0</v>
      </c>
      <c r="G64" s="14"/>
      <c r="H64" s="14">
        <v>0</v>
      </c>
      <c r="I64" s="14"/>
      <c r="J64" s="14"/>
      <c r="K64" s="14">
        <v>0</v>
      </c>
      <c r="L64" s="14"/>
      <c r="M64" s="64">
        <v>0</v>
      </c>
      <c r="N64" s="64"/>
      <c r="O64" s="64">
        <v>0</v>
      </c>
      <c r="P64" s="65">
        <v>0</v>
      </c>
      <c r="Q64" s="65">
        <v>0</v>
      </c>
      <c r="R64" s="65">
        <v>0</v>
      </c>
      <c r="S64" s="66"/>
      <c r="T64" s="66">
        <v>0</v>
      </c>
      <c r="U64" s="66">
        <v>0</v>
      </c>
      <c r="V64" s="67">
        <v>0</v>
      </c>
      <c r="W64" s="67">
        <v>0</v>
      </c>
      <c r="X64" s="67">
        <v>0</v>
      </c>
      <c r="Y64" s="67">
        <v>0</v>
      </c>
      <c r="Z64" s="67">
        <v>0</v>
      </c>
      <c r="AA64" s="66">
        <v>0</v>
      </c>
      <c r="AB64" s="66">
        <v>0</v>
      </c>
      <c r="AC64" s="66">
        <v>0</v>
      </c>
      <c r="AD64" s="67">
        <v>0</v>
      </c>
      <c r="AE64" s="67">
        <v>0</v>
      </c>
    </row>
    <row r="65" spans="2:33">
      <c r="B65" t="s">
        <v>416</v>
      </c>
      <c r="C65">
        <f t="shared" ref="C65:K65" si="41">C12</f>
        <v>79</v>
      </c>
      <c r="D65">
        <f t="shared" si="41"/>
        <v>316</v>
      </c>
      <c r="E65">
        <f t="shared" si="41"/>
        <v>20</v>
      </c>
      <c r="F65">
        <f t="shared" si="41"/>
        <v>20</v>
      </c>
      <c r="G65">
        <f t="shared" si="41"/>
        <v>4</v>
      </c>
      <c r="H65">
        <f t="shared" si="41"/>
        <v>40</v>
      </c>
      <c r="I65">
        <f t="shared" si="41"/>
        <v>10</v>
      </c>
      <c r="J65">
        <f t="shared" si="41"/>
        <v>8</v>
      </c>
      <c r="K65">
        <f t="shared" si="41"/>
        <v>8</v>
      </c>
      <c r="L65">
        <v>2</v>
      </c>
      <c r="M65" s="13">
        <v>0</v>
      </c>
      <c r="N65" s="13">
        <v>1</v>
      </c>
      <c r="O65" s="13">
        <v>1</v>
      </c>
      <c r="P65" s="61">
        <v>0</v>
      </c>
      <c r="Q65" s="61">
        <v>2</v>
      </c>
      <c r="R65" s="61">
        <v>2</v>
      </c>
      <c r="S65" s="62">
        <v>1</v>
      </c>
      <c r="T65" s="62">
        <v>1</v>
      </c>
      <c r="U65" s="62">
        <v>3</v>
      </c>
      <c r="V65" s="63">
        <v>1</v>
      </c>
      <c r="W65" s="63">
        <v>2</v>
      </c>
      <c r="X65" s="63">
        <v>4</v>
      </c>
      <c r="Y65" s="63">
        <v>0.184</v>
      </c>
      <c r="Z65" s="63">
        <v>0.016</v>
      </c>
      <c r="AA65" s="62">
        <v>1</v>
      </c>
      <c r="AB65" s="62">
        <v>2</v>
      </c>
      <c r="AC65" s="62">
        <v>5</v>
      </c>
      <c r="AD65" s="63">
        <v>0.184</v>
      </c>
      <c r="AE65" s="63">
        <v>0.016</v>
      </c>
    </row>
    <row r="66" spans="2:33">
      <c r="C66">
        <f t="shared" ref="C66:K66" si="42">C13</f>
        <v>84</v>
      </c>
      <c r="D66">
        <f t="shared" si="42"/>
        <v>336</v>
      </c>
      <c r="E66">
        <f t="shared" si="42"/>
        <v>20</v>
      </c>
      <c r="F66">
        <f t="shared" si="42"/>
        <v>20</v>
      </c>
      <c r="G66">
        <f t="shared" si="42"/>
        <v>4</v>
      </c>
      <c r="H66">
        <f t="shared" si="42"/>
        <v>40</v>
      </c>
      <c r="I66">
        <f t="shared" si="42"/>
        <v>10</v>
      </c>
      <c r="J66">
        <f t="shared" si="42"/>
        <v>8</v>
      </c>
      <c r="K66">
        <f t="shared" si="42"/>
        <v>8</v>
      </c>
      <c r="L66">
        <v>2</v>
      </c>
      <c r="M66" s="13">
        <v>0</v>
      </c>
      <c r="N66" s="13">
        <v>1</v>
      </c>
      <c r="O66" s="13">
        <v>1</v>
      </c>
      <c r="P66" s="61">
        <v>0</v>
      </c>
      <c r="Q66" s="61">
        <v>2</v>
      </c>
      <c r="R66" s="61">
        <v>2</v>
      </c>
      <c r="S66" s="62">
        <v>1</v>
      </c>
      <c r="T66" s="62">
        <v>1</v>
      </c>
      <c r="U66" s="62">
        <v>3</v>
      </c>
      <c r="V66" s="63">
        <v>1</v>
      </c>
      <c r="W66" s="63">
        <v>2</v>
      </c>
      <c r="X66" s="63">
        <v>4</v>
      </c>
      <c r="Y66" s="63">
        <v>0.184</v>
      </c>
      <c r="Z66" s="63">
        <v>0.016</v>
      </c>
      <c r="AA66" s="62">
        <v>1</v>
      </c>
      <c r="AB66" s="62">
        <v>2</v>
      </c>
      <c r="AC66" s="62">
        <v>5</v>
      </c>
      <c r="AD66" s="63">
        <v>0.184</v>
      </c>
      <c r="AE66" s="63">
        <v>0.016</v>
      </c>
    </row>
    <row r="67" spans="2:33">
      <c r="C67">
        <f t="shared" ref="C67:K67" si="43">C14</f>
        <v>89</v>
      </c>
      <c r="D67">
        <f t="shared" si="43"/>
        <v>356</v>
      </c>
      <c r="E67">
        <f t="shared" si="43"/>
        <v>20</v>
      </c>
      <c r="F67">
        <f t="shared" si="43"/>
        <v>20</v>
      </c>
      <c r="G67">
        <f t="shared" si="43"/>
        <v>4</v>
      </c>
      <c r="H67">
        <f t="shared" si="43"/>
        <v>40</v>
      </c>
      <c r="I67">
        <f t="shared" si="43"/>
        <v>10</v>
      </c>
      <c r="J67">
        <f t="shared" si="43"/>
        <v>8</v>
      </c>
      <c r="K67">
        <f t="shared" si="43"/>
        <v>8</v>
      </c>
      <c r="L67">
        <v>2</v>
      </c>
      <c r="M67" s="13">
        <v>0</v>
      </c>
      <c r="N67" s="13">
        <v>1</v>
      </c>
      <c r="O67" s="13">
        <v>1</v>
      </c>
      <c r="P67" s="61">
        <v>0</v>
      </c>
      <c r="Q67" s="61">
        <v>2</v>
      </c>
      <c r="R67" s="61">
        <v>2</v>
      </c>
      <c r="S67" s="62">
        <v>1</v>
      </c>
      <c r="T67" s="62">
        <v>1</v>
      </c>
      <c r="U67" s="62">
        <v>3</v>
      </c>
      <c r="V67" s="63">
        <v>1</v>
      </c>
      <c r="W67" s="63">
        <v>2</v>
      </c>
      <c r="X67" s="63">
        <v>4</v>
      </c>
      <c r="Y67" s="63">
        <v>0.184</v>
      </c>
      <c r="Z67" s="63">
        <v>0.016</v>
      </c>
      <c r="AA67" s="62">
        <v>1</v>
      </c>
      <c r="AB67" s="62">
        <v>2</v>
      </c>
      <c r="AC67" s="62">
        <v>5</v>
      </c>
      <c r="AD67" s="63">
        <v>0.184</v>
      </c>
      <c r="AE67" s="63">
        <v>0.016</v>
      </c>
    </row>
    <row r="68" spans="2:33">
      <c r="C68">
        <f t="shared" ref="C68:K68" si="44">C15</f>
        <v>94</v>
      </c>
      <c r="D68">
        <f t="shared" si="44"/>
        <v>376</v>
      </c>
      <c r="E68">
        <f t="shared" si="44"/>
        <v>20</v>
      </c>
      <c r="F68">
        <f t="shared" si="44"/>
        <v>20</v>
      </c>
      <c r="G68">
        <f t="shared" si="44"/>
        <v>4</v>
      </c>
      <c r="H68">
        <f t="shared" si="44"/>
        <v>40</v>
      </c>
      <c r="I68">
        <f t="shared" si="44"/>
        <v>10</v>
      </c>
      <c r="J68">
        <f t="shared" si="44"/>
        <v>8</v>
      </c>
      <c r="K68">
        <f t="shared" si="44"/>
        <v>8</v>
      </c>
      <c r="L68">
        <v>2</v>
      </c>
      <c r="M68" s="13">
        <v>0</v>
      </c>
      <c r="N68" s="13">
        <v>1</v>
      </c>
      <c r="O68" s="13">
        <v>1</v>
      </c>
      <c r="P68" s="61">
        <v>0</v>
      </c>
      <c r="Q68" s="61">
        <v>2</v>
      </c>
      <c r="R68" s="61">
        <v>2</v>
      </c>
      <c r="S68" s="62">
        <v>1</v>
      </c>
      <c r="T68" s="62">
        <v>1</v>
      </c>
      <c r="U68" s="62">
        <v>3</v>
      </c>
      <c r="V68" s="63">
        <v>1</v>
      </c>
      <c r="W68" s="63">
        <v>2</v>
      </c>
      <c r="X68" s="63">
        <v>4</v>
      </c>
      <c r="Y68" s="63">
        <v>0.184</v>
      </c>
      <c r="Z68" s="63">
        <v>0.016</v>
      </c>
      <c r="AA68" s="62">
        <v>1</v>
      </c>
      <c r="AB68" s="62">
        <v>2</v>
      </c>
      <c r="AC68" s="62">
        <v>5</v>
      </c>
      <c r="AD68" s="63">
        <v>0.184</v>
      </c>
      <c r="AE68" s="63">
        <v>0.016</v>
      </c>
    </row>
    <row r="69" spans="2:33">
      <c r="C69">
        <f t="shared" ref="C69:K69" si="45">C16</f>
        <v>99</v>
      </c>
      <c r="D69">
        <f t="shared" si="45"/>
        <v>396</v>
      </c>
      <c r="E69">
        <f t="shared" si="45"/>
        <v>20</v>
      </c>
      <c r="F69">
        <f t="shared" si="45"/>
        <v>20</v>
      </c>
      <c r="G69">
        <f t="shared" si="45"/>
        <v>4</v>
      </c>
      <c r="H69">
        <f t="shared" si="45"/>
        <v>40</v>
      </c>
      <c r="I69">
        <f t="shared" si="45"/>
        <v>10</v>
      </c>
      <c r="J69">
        <f t="shared" si="45"/>
        <v>8</v>
      </c>
      <c r="K69">
        <f t="shared" si="45"/>
        <v>8</v>
      </c>
      <c r="L69">
        <v>2</v>
      </c>
      <c r="M69" s="13">
        <v>0</v>
      </c>
      <c r="N69" s="13">
        <v>1</v>
      </c>
      <c r="O69" s="13">
        <v>1</v>
      </c>
      <c r="P69" s="61">
        <v>0</v>
      </c>
      <c r="Q69" s="61">
        <v>2</v>
      </c>
      <c r="R69" s="61">
        <v>2</v>
      </c>
      <c r="S69" s="62">
        <v>1</v>
      </c>
      <c r="T69" s="62">
        <v>1</v>
      </c>
      <c r="U69" s="62">
        <v>3</v>
      </c>
      <c r="V69" s="63">
        <v>1</v>
      </c>
      <c r="W69" s="63">
        <v>2</v>
      </c>
      <c r="X69" s="63">
        <v>4</v>
      </c>
      <c r="Y69" s="63">
        <v>0.184</v>
      </c>
      <c r="Z69" s="63">
        <v>0.016</v>
      </c>
      <c r="AA69" s="62">
        <v>1</v>
      </c>
      <c r="AB69" s="62">
        <v>2</v>
      </c>
      <c r="AC69" s="62">
        <v>5</v>
      </c>
      <c r="AD69" s="63">
        <v>0.184</v>
      </c>
      <c r="AE69" s="63">
        <v>0.016</v>
      </c>
    </row>
    <row r="70" spans="2:33">
      <c r="C70">
        <f t="shared" ref="C70:K70" si="46">C17</f>
        <v>104</v>
      </c>
      <c r="D70">
        <f t="shared" si="46"/>
        <v>416</v>
      </c>
      <c r="E70">
        <f t="shared" si="46"/>
        <v>20</v>
      </c>
      <c r="F70">
        <f t="shared" si="46"/>
        <v>20</v>
      </c>
      <c r="G70">
        <f t="shared" si="46"/>
        <v>4</v>
      </c>
      <c r="H70">
        <f t="shared" si="46"/>
        <v>40</v>
      </c>
      <c r="I70">
        <f t="shared" si="46"/>
        <v>10</v>
      </c>
      <c r="J70">
        <f t="shared" si="46"/>
        <v>8</v>
      </c>
      <c r="K70">
        <f t="shared" si="46"/>
        <v>8</v>
      </c>
      <c r="L70">
        <v>2</v>
      </c>
      <c r="M70" s="13">
        <v>0</v>
      </c>
      <c r="N70" s="13">
        <v>1</v>
      </c>
      <c r="O70" s="13">
        <v>1</v>
      </c>
      <c r="P70" s="61">
        <v>0</v>
      </c>
      <c r="Q70" s="61">
        <v>2</v>
      </c>
      <c r="R70" s="61">
        <v>2</v>
      </c>
      <c r="S70" s="62">
        <v>1</v>
      </c>
      <c r="T70" s="62">
        <v>1</v>
      </c>
      <c r="U70" s="62">
        <v>3</v>
      </c>
      <c r="V70" s="63">
        <v>1</v>
      </c>
      <c r="W70" s="63">
        <v>2</v>
      </c>
      <c r="X70" s="63">
        <v>4</v>
      </c>
      <c r="Y70" s="63">
        <v>0.184</v>
      </c>
      <c r="Z70" s="63">
        <v>0.016</v>
      </c>
      <c r="AA70" s="62">
        <v>1</v>
      </c>
      <c r="AB70" s="62">
        <v>2</v>
      </c>
      <c r="AC70" s="62">
        <v>5</v>
      </c>
      <c r="AD70" s="63">
        <v>0.184</v>
      </c>
      <c r="AE70" s="63">
        <v>0.016</v>
      </c>
      <c r="AG70" t="s">
        <v>423</v>
      </c>
    </row>
    <row r="71" spans="2:33">
      <c r="C71">
        <f t="shared" ref="C71:K71" si="47">C18</f>
        <v>109</v>
      </c>
      <c r="D71">
        <f t="shared" si="47"/>
        <v>436</v>
      </c>
      <c r="E71">
        <f t="shared" si="47"/>
        <v>20</v>
      </c>
      <c r="F71">
        <f t="shared" si="47"/>
        <v>20</v>
      </c>
      <c r="G71">
        <f t="shared" si="47"/>
        <v>4</v>
      </c>
      <c r="H71">
        <f t="shared" si="47"/>
        <v>40</v>
      </c>
      <c r="I71">
        <f t="shared" si="47"/>
        <v>10</v>
      </c>
      <c r="J71">
        <f t="shared" si="47"/>
        <v>8</v>
      </c>
      <c r="K71">
        <f t="shared" si="47"/>
        <v>8</v>
      </c>
      <c r="L71">
        <v>2</v>
      </c>
      <c r="M71" s="13">
        <v>0</v>
      </c>
      <c r="N71" s="13">
        <v>1</v>
      </c>
      <c r="O71" s="13">
        <v>1</v>
      </c>
      <c r="P71" s="61">
        <v>0</v>
      </c>
      <c r="Q71" s="61">
        <v>2</v>
      </c>
      <c r="R71" s="61">
        <v>2</v>
      </c>
      <c r="S71" s="62">
        <v>1</v>
      </c>
      <c r="T71" s="62">
        <v>1</v>
      </c>
      <c r="U71" s="62">
        <v>3</v>
      </c>
      <c r="V71" s="63">
        <v>1</v>
      </c>
      <c r="W71" s="63">
        <v>2</v>
      </c>
      <c r="X71" s="63">
        <v>4</v>
      </c>
      <c r="Y71" s="63">
        <v>0.184</v>
      </c>
      <c r="Z71" s="63">
        <v>0.016</v>
      </c>
      <c r="AA71" s="62">
        <v>1</v>
      </c>
      <c r="AB71" s="62">
        <v>2</v>
      </c>
      <c r="AC71" s="62">
        <v>5</v>
      </c>
      <c r="AD71" s="63">
        <v>0.184</v>
      </c>
      <c r="AE71" s="63">
        <v>0.016</v>
      </c>
    </row>
    <row r="72" spans="2:33">
      <c r="C72">
        <f t="shared" ref="C72:K72" si="48">C19</f>
        <v>114</v>
      </c>
      <c r="D72">
        <f t="shared" si="48"/>
        <v>456</v>
      </c>
      <c r="E72">
        <f t="shared" si="48"/>
        <v>20</v>
      </c>
      <c r="F72">
        <f t="shared" si="48"/>
        <v>20</v>
      </c>
      <c r="G72">
        <f t="shared" si="48"/>
        <v>4</v>
      </c>
      <c r="H72">
        <f t="shared" si="48"/>
        <v>40</v>
      </c>
      <c r="I72">
        <f t="shared" si="48"/>
        <v>10</v>
      </c>
      <c r="J72">
        <f t="shared" si="48"/>
        <v>8</v>
      </c>
      <c r="K72">
        <f t="shared" si="48"/>
        <v>8</v>
      </c>
      <c r="L72">
        <v>2</v>
      </c>
      <c r="M72" s="13">
        <v>0</v>
      </c>
      <c r="N72" s="13">
        <v>1</v>
      </c>
      <c r="O72" s="13">
        <v>1</v>
      </c>
      <c r="P72" s="61">
        <v>0</v>
      </c>
      <c r="Q72" s="61">
        <v>2</v>
      </c>
      <c r="R72" s="61">
        <v>2</v>
      </c>
      <c r="S72" s="62">
        <v>1</v>
      </c>
      <c r="T72" s="62">
        <v>1</v>
      </c>
      <c r="U72" s="62">
        <v>3</v>
      </c>
      <c r="V72" s="63">
        <v>1</v>
      </c>
      <c r="W72" s="63">
        <v>2</v>
      </c>
      <c r="X72" s="63">
        <v>4</v>
      </c>
      <c r="Y72" s="63">
        <v>0.184</v>
      </c>
      <c r="Z72" s="63">
        <v>0.016</v>
      </c>
      <c r="AA72" s="62">
        <v>1</v>
      </c>
      <c r="AB72" s="62">
        <v>2</v>
      </c>
      <c r="AC72" s="62">
        <v>5</v>
      </c>
      <c r="AD72" s="63">
        <v>0.184</v>
      </c>
      <c r="AE72" s="63">
        <v>0.016</v>
      </c>
    </row>
    <row r="73" spans="2:33">
      <c r="C73">
        <f t="shared" ref="C73:K73" si="49">C20</f>
        <v>119</v>
      </c>
      <c r="D73">
        <f t="shared" si="49"/>
        <v>476</v>
      </c>
      <c r="E73">
        <f t="shared" si="49"/>
        <v>20</v>
      </c>
      <c r="F73">
        <f t="shared" si="49"/>
        <v>20</v>
      </c>
      <c r="G73">
        <f t="shared" si="49"/>
        <v>4</v>
      </c>
      <c r="H73">
        <f t="shared" si="49"/>
        <v>40</v>
      </c>
      <c r="I73">
        <f t="shared" si="49"/>
        <v>10</v>
      </c>
      <c r="J73">
        <f t="shared" si="49"/>
        <v>8</v>
      </c>
      <c r="K73">
        <f t="shared" si="49"/>
        <v>8</v>
      </c>
      <c r="L73">
        <v>2</v>
      </c>
      <c r="M73" s="13">
        <v>0</v>
      </c>
      <c r="N73" s="13">
        <v>1</v>
      </c>
      <c r="O73" s="13">
        <v>1</v>
      </c>
      <c r="P73" s="61">
        <v>0</v>
      </c>
      <c r="Q73" s="61">
        <v>2</v>
      </c>
      <c r="R73" s="61">
        <v>2</v>
      </c>
      <c r="S73" s="62">
        <v>1</v>
      </c>
      <c r="T73" s="62">
        <v>1</v>
      </c>
      <c r="U73" s="62">
        <v>3</v>
      </c>
      <c r="V73" s="63">
        <v>1</v>
      </c>
      <c r="W73" s="63">
        <v>2</v>
      </c>
      <c r="X73" s="63">
        <v>4</v>
      </c>
      <c r="Y73" s="63">
        <v>0.184</v>
      </c>
      <c r="Z73" s="63">
        <v>0.016</v>
      </c>
      <c r="AA73" s="62">
        <v>1</v>
      </c>
      <c r="AB73" s="62">
        <v>2</v>
      </c>
      <c r="AC73" s="62">
        <v>5</v>
      </c>
      <c r="AD73" s="63">
        <v>0.184</v>
      </c>
      <c r="AE73" s="63">
        <v>0.016</v>
      </c>
    </row>
    <row r="74" spans="2:33">
      <c r="C74">
        <f t="shared" ref="C74:K74" si="50">C21</f>
        <v>124</v>
      </c>
      <c r="D74">
        <f t="shared" si="50"/>
        <v>496</v>
      </c>
      <c r="E74">
        <f t="shared" si="50"/>
        <v>20</v>
      </c>
      <c r="F74">
        <f t="shared" si="50"/>
        <v>20</v>
      </c>
      <c r="G74">
        <f t="shared" si="50"/>
        <v>4</v>
      </c>
      <c r="H74">
        <f t="shared" si="50"/>
        <v>40</v>
      </c>
      <c r="I74">
        <f t="shared" si="50"/>
        <v>10</v>
      </c>
      <c r="J74">
        <f t="shared" si="50"/>
        <v>8</v>
      </c>
      <c r="K74">
        <f t="shared" si="50"/>
        <v>8</v>
      </c>
      <c r="L74">
        <v>2</v>
      </c>
      <c r="M74" s="13">
        <v>0</v>
      </c>
      <c r="N74" s="13">
        <v>1</v>
      </c>
      <c r="O74" s="13">
        <v>1</v>
      </c>
      <c r="P74" s="61">
        <v>0</v>
      </c>
      <c r="Q74" s="61">
        <v>2</v>
      </c>
      <c r="R74" s="61">
        <v>2</v>
      </c>
      <c r="S74" s="62">
        <v>1</v>
      </c>
      <c r="T74" s="62">
        <v>1</v>
      </c>
      <c r="U74" s="62">
        <v>3</v>
      </c>
      <c r="V74" s="63">
        <v>1</v>
      </c>
      <c r="W74" s="63">
        <v>2</v>
      </c>
      <c r="X74" s="63">
        <v>4</v>
      </c>
      <c r="Y74" s="63">
        <v>0.184</v>
      </c>
      <c r="Z74" s="63">
        <v>0.016</v>
      </c>
      <c r="AA74" s="62">
        <v>1</v>
      </c>
      <c r="AB74" s="62">
        <v>2</v>
      </c>
      <c r="AC74" s="62">
        <v>5</v>
      </c>
      <c r="AD74" s="63">
        <v>0.184</v>
      </c>
      <c r="AE74" s="63">
        <v>0.016</v>
      </c>
    </row>
    <row r="75" spans="2:33">
      <c r="C75">
        <f t="shared" ref="C75:K75" si="51">C22</f>
        <v>129</v>
      </c>
      <c r="D75">
        <f t="shared" si="51"/>
        <v>516</v>
      </c>
      <c r="E75">
        <f t="shared" si="51"/>
        <v>20</v>
      </c>
      <c r="F75">
        <f t="shared" si="51"/>
        <v>20</v>
      </c>
      <c r="G75">
        <f t="shared" si="51"/>
        <v>4</v>
      </c>
      <c r="H75">
        <f t="shared" si="51"/>
        <v>40</v>
      </c>
      <c r="I75">
        <f t="shared" si="51"/>
        <v>10</v>
      </c>
      <c r="J75">
        <f t="shared" si="51"/>
        <v>8</v>
      </c>
      <c r="K75">
        <f t="shared" si="51"/>
        <v>8</v>
      </c>
      <c r="L75">
        <v>2</v>
      </c>
      <c r="M75" s="13">
        <v>0</v>
      </c>
      <c r="N75" s="13">
        <v>1</v>
      </c>
      <c r="O75" s="13">
        <v>1</v>
      </c>
      <c r="P75" s="61">
        <v>0</v>
      </c>
      <c r="Q75" s="61">
        <v>2</v>
      </c>
      <c r="R75" s="61">
        <v>2</v>
      </c>
      <c r="S75" s="62">
        <v>1</v>
      </c>
      <c r="T75" s="62">
        <v>1</v>
      </c>
      <c r="U75" s="62">
        <v>3</v>
      </c>
      <c r="V75" s="63">
        <v>1</v>
      </c>
      <c r="W75" s="63">
        <v>2</v>
      </c>
      <c r="X75" s="63">
        <v>4</v>
      </c>
      <c r="Y75" s="63">
        <v>0.184</v>
      </c>
      <c r="Z75" s="63">
        <v>0.016</v>
      </c>
      <c r="AA75" s="62">
        <v>1</v>
      </c>
      <c r="AB75" s="62">
        <v>2</v>
      </c>
      <c r="AC75" s="62">
        <v>5</v>
      </c>
      <c r="AD75" s="63">
        <v>0.184</v>
      </c>
      <c r="AE75" s="63">
        <v>0.016</v>
      </c>
    </row>
    <row r="76" spans="2:33">
      <c r="C76">
        <f t="shared" ref="C76:K76" si="52">C23</f>
        <v>134</v>
      </c>
      <c r="D76">
        <f t="shared" si="52"/>
        <v>536</v>
      </c>
      <c r="E76">
        <f t="shared" si="52"/>
        <v>20</v>
      </c>
      <c r="F76">
        <f t="shared" si="52"/>
        <v>20</v>
      </c>
      <c r="G76">
        <f t="shared" si="52"/>
        <v>4</v>
      </c>
      <c r="H76">
        <f t="shared" si="52"/>
        <v>40</v>
      </c>
      <c r="I76">
        <f t="shared" si="52"/>
        <v>10</v>
      </c>
      <c r="J76">
        <f t="shared" si="52"/>
        <v>8</v>
      </c>
      <c r="K76">
        <f t="shared" si="52"/>
        <v>8</v>
      </c>
      <c r="L76">
        <v>2</v>
      </c>
      <c r="M76" s="13">
        <v>0</v>
      </c>
      <c r="N76" s="13">
        <v>1</v>
      </c>
      <c r="O76" s="13">
        <v>1</v>
      </c>
      <c r="P76" s="61">
        <v>0</v>
      </c>
      <c r="Q76" s="61">
        <v>2</v>
      </c>
      <c r="R76" s="61">
        <v>2</v>
      </c>
      <c r="S76" s="62">
        <v>1</v>
      </c>
      <c r="T76" s="62">
        <v>1</v>
      </c>
      <c r="U76" s="62">
        <v>3</v>
      </c>
      <c r="V76" s="63">
        <v>1</v>
      </c>
      <c r="W76" s="63">
        <v>2</v>
      </c>
      <c r="X76" s="63">
        <v>4</v>
      </c>
      <c r="Y76" s="63">
        <v>0.184</v>
      </c>
      <c r="Z76" s="63">
        <v>0.016</v>
      </c>
      <c r="AA76" s="62">
        <v>1</v>
      </c>
      <c r="AB76" s="62">
        <v>2</v>
      </c>
      <c r="AC76" s="62">
        <v>5</v>
      </c>
      <c r="AD76" s="63">
        <v>0.184</v>
      </c>
      <c r="AE76" s="63">
        <v>0.016</v>
      </c>
    </row>
    <row r="77" spans="2:33">
      <c r="C77">
        <f t="shared" ref="C77:K77" si="53">C24</f>
        <v>139</v>
      </c>
      <c r="D77">
        <f t="shared" si="53"/>
        <v>556</v>
      </c>
      <c r="E77">
        <f t="shared" si="53"/>
        <v>20</v>
      </c>
      <c r="F77">
        <f t="shared" si="53"/>
        <v>20</v>
      </c>
      <c r="G77">
        <f t="shared" si="53"/>
        <v>4</v>
      </c>
      <c r="H77">
        <f t="shared" si="53"/>
        <v>40</v>
      </c>
      <c r="I77">
        <f t="shared" si="53"/>
        <v>10</v>
      </c>
      <c r="J77">
        <f t="shared" si="53"/>
        <v>8</v>
      </c>
      <c r="K77">
        <f t="shared" si="53"/>
        <v>8</v>
      </c>
      <c r="L77">
        <v>2</v>
      </c>
      <c r="M77" s="13">
        <v>0</v>
      </c>
      <c r="N77" s="13">
        <v>1</v>
      </c>
      <c r="O77" s="13">
        <v>1</v>
      </c>
      <c r="P77" s="61">
        <v>0</v>
      </c>
      <c r="Q77" s="61">
        <v>2</v>
      </c>
      <c r="R77" s="61">
        <v>2</v>
      </c>
      <c r="S77" s="62">
        <v>1</v>
      </c>
      <c r="T77" s="62">
        <v>1</v>
      </c>
      <c r="U77" s="62">
        <v>3</v>
      </c>
      <c r="V77" s="63">
        <v>1</v>
      </c>
      <c r="W77" s="63">
        <v>2</v>
      </c>
      <c r="X77" s="63">
        <v>4</v>
      </c>
      <c r="Y77" s="63">
        <v>0.184</v>
      </c>
      <c r="Z77" s="63">
        <v>0.016</v>
      </c>
      <c r="AA77" s="62">
        <v>1</v>
      </c>
      <c r="AB77" s="62">
        <v>2</v>
      </c>
      <c r="AC77" s="62">
        <v>5</v>
      </c>
      <c r="AD77" s="63">
        <v>0.184</v>
      </c>
      <c r="AE77" s="63">
        <v>0.016</v>
      </c>
    </row>
    <row r="78" spans="2:33">
      <c r="C78">
        <f t="shared" ref="C78:K78" si="54">C25</f>
        <v>144</v>
      </c>
      <c r="D78">
        <f t="shared" si="54"/>
        <v>576</v>
      </c>
      <c r="E78">
        <f t="shared" si="54"/>
        <v>20</v>
      </c>
      <c r="F78">
        <f t="shared" si="54"/>
        <v>20</v>
      </c>
      <c r="G78">
        <f t="shared" si="54"/>
        <v>4</v>
      </c>
      <c r="H78">
        <f t="shared" si="54"/>
        <v>40</v>
      </c>
      <c r="I78">
        <f t="shared" si="54"/>
        <v>10</v>
      </c>
      <c r="J78">
        <f t="shared" si="54"/>
        <v>8</v>
      </c>
      <c r="K78">
        <f t="shared" si="54"/>
        <v>8</v>
      </c>
      <c r="L78">
        <v>2</v>
      </c>
      <c r="M78" s="13">
        <v>0</v>
      </c>
      <c r="N78" s="13">
        <v>1</v>
      </c>
      <c r="O78" s="13">
        <v>1</v>
      </c>
      <c r="P78" s="61">
        <v>0</v>
      </c>
      <c r="Q78" s="61">
        <v>2</v>
      </c>
      <c r="R78" s="61">
        <v>2</v>
      </c>
      <c r="S78" s="62">
        <v>1</v>
      </c>
      <c r="T78" s="62">
        <v>1</v>
      </c>
      <c r="U78" s="62">
        <v>3</v>
      </c>
      <c r="V78" s="63">
        <v>1</v>
      </c>
      <c r="W78" s="63">
        <v>2</v>
      </c>
      <c r="X78" s="63">
        <v>4</v>
      </c>
      <c r="Y78" s="63">
        <v>0.184</v>
      </c>
      <c r="Z78" s="63">
        <v>0.016</v>
      </c>
      <c r="AA78" s="62">
        <v>1</v>
      </c>
      <c r="AB78" s="62">
        <v>2</v>
      </c>
      <c r="AC78" s="62">
        <v>5</v>
      </c>
      <c r="AD78" s="63">
        <v>0.184</v>
      </c>
      <c r="AE78" s="63">
        <v>0.016</v>
      </c>
    </row>
    <row r="79" spans="2:33">
      <c r="C79">
        <f t="shared" ref="C79:K79" si="55">C26</f>
        <v>149</v>
      </c>
      <c r="D79">
        <f t="shared" si="55"/>
        <v>596</v>
      </c>
      <c r="E79">
        <f t="shared" si="55"/>
        <v>20</v>
      </c>
      <c r="F79">
        <f t="shared" si="55"/>
        <v>20</v>
      </c>
      <c r="G79">
        <f t="shared" si="55"/>
        <v>4</v>
      </c>
      <c r="H79">
        <f t="shared" si="55"/>
        <v>40</v>
      </c>
      <c r="I79">
        <f t="shared" si="55"/>
        <v>10</v>
      </c>
      <c r="J79">
        <f t="shared" si="55"/>
        <v>8</v>
      </c>
      <c r="K79">
        <f t="shared" si="55"/>
        <v>8</v>
      </c>
      <c r="L79">
        <v>2</v>
      </c>
      <c r="M79" s="13">
        <v>0</v>
      </c>
      <c r="N79" s="13">
        <v>1</v>
      </c>
      <c r="O79" s="13">
        <v>1</v>
      </c>
      <c r="P79" s="61">
        <v>0</v>
      </c>
      <c r="Q79" s="61">
        <v>2</v>
      </c>
      <c r="R79" s="61">
        <v>2</v>
      </c>
      <c r="S79" s="62">
        <v>1</v>
      </c>
      <c r="T79" s="62">
        <v>1</v>
      </c>
      <c r="U79" s="62">
        <v>3</v>
      </c>
      <c r="V79" s="63">
        <v>1</v>
      </c>
      <c r="W79" s="63">
        <v>2</v>
      </c>
      <c r="X79" s="63">
        <v>4</v>
      </c>
      <c r="Y79" s="63">
        <v>0.184</v>
      </c>
      <c r="Z79" s="63">
        <v>0.016</v>
      </c>
      <c r="AA79" s="62">
        <v>1</v>
      </c>
      <c r="AB79" s="62">
        <v>2</v>
      </c>
      <c r="AC79" s="62">
        <v>5</v>
      </c>
      <c r="AD79" s="63">
        <v>0.184</v>
      </c>
      <c r="AE79" s="63">
        <v>0.016</v>
      </c>
    </row>
    <row r="81" spans="2:37">
      <c r="M81" s="13" t="s">
        <v>404</v>
      </c>
      <c r="N81" s="13" t="s">
        <v>404</v>
      </c>
      <c r="O81" s="13" t="s">
        <v>404</v>
      </c>
      <c r="P81" s="61" t="s">
        <v>405</v>
      </c>
      <c r="Q81" s="61" t="s">
        <v>405</v>
      </c>
      <c r="R81" s="61" t="s">
        <v>405</v>
      </c>
      <c r="S81" s="62" t="s">
        <v>406</v>
      </c>
      <c r="T81" s="62" t="s">
        <v>406</v>
      </c>
      <c r="U81" s="62" t="s">
        <v>406</v>
      </c>
      <c r="V81" s="63" t="s">
        <v>407</v>
      </c>
      <c r="W81" s="63" t="s">
        <v>407</v>
      </c>
      <c r="X81" s="63" t="s">
        <v>407</v>
      </c>
      <c r="Y81" s="63"/>
      <c r="Z81" s="63"/>
      <c r="AA81" s="62" t="s">
        <v>408</v>
      </c>
      <c r="AB81" s="62" t="s">
        <v>408</v>
      </c>
      <c r="AC81" s="62" t="s">
        <v>408</v>
      </c>
      <c r="AD81" s="62"/>
      <c r="AE81" s="62"/>
      <c r="AG81" t="s">
        <v>410</v>
      </c>
      <c r="AH81" t="s">
        <v>411</v>
      </c>
      <c r="AI81" t="s">
        <v>150</v>
      </c>
    </row>
    <row r="82" ht="14.25" spans="2:37">
      <c r="B82">
        <v>1</v>
      </c>
      <c r="C82" t="str">
        <f ca="1" t="shared" ref="C82:L82" si="56">SUBSTITUTE(IF(C$11="","{progress_rate,"&amp;C$4&amp;","&amp;C65&amp;"}",IF(C65&gt;=1,"{progress,"&amp;C$11*100&amp;","&amp;C$4&amp;","&amp;C65&amp;"}","{progress_rate_roll,"&amp;C$11*100&amp;","&amp;INT(C65*10000)&amp;","&amp;C$4&amp;","&amp;1&amp;"}")),C$4,IF(ISNUMBER(C$4),C$4,OFFSET($AG82,0,MATCH(C$4,$AG$28:$AI$28,0)-1)))</f>
        <v>{progress_rate,2,79}</v>
      </c>
      <c r="D82" t="str">
        <f ca="1" t="shared" si="56"/>
        <v>{progress,0,2,316}</v>
      </c>
      <c r="E82" t="str">
        <f ca="1" t="shared" si="56"/>
        <v>{progress_rate,5103002,20}</v>
      </c>
      <c r="F82" t="str">
        <f ca="1" t="shared" si="56"/>
        <v>{progress,0,5103002,20}</v>
      </c>
      <c r="G82" t="str">
        <f ca="1" t="shared" si="56"/>
        <v>{progress_rate,5303001,4}</v>
      </c>
      <c r="H82" t="str">
        <f ca="1" t="shared" si="56"/>
        <v>{progress,0,5103002,40}</v>
      </c>
      <c r="I82" t="str">
        <f ca="1" t="shared" si="56"/>
        <v>{progress_rate,5203001,10}</v>
      </c>
      <c r="J82" t="str">
        <f ca="1" t="shared" si="56"/>
        <v>{progress_rate,50026,8}</v>
      </c>
      <c r="K82" t="str">
        <f ca="1" t="shared" si="56"/>
        <v>{progress,0,50026,8}</v>
      </c>
      <c r="L82" t="str">
        <f ca="1" t="shared" si="56"/>
        <v>{progress_rate,5204001,2}</v>
      </c>
      <c r="N82" s="13" t="str">
        <f ca="1" t="shared" ref="N82:AE82" si="57">SUBSTITUTE(IF(N$11="","{progress_rate,"&amp;N$4&amp;","&amp;N65&amp;"}",IF(N65&gt;=1,"{progress,"&amp;N$11*100&amp;","&amp;N$4&amp;","&amp;N65&amp;"}","{progress_rate_roll,"&amp;N$11*100&amp;","&amp;INT(N65*10000)&amp;","&amp;N$4&amp;","&amp;1&amp;"}")),N$4,IF(ISNUMBER(N$4),N$4,OFFSET($AG82,0,MATCH(N$4,$AG$28:$AI$28,0)-1)))</f>
        <v>{progress_rate,21345,1}</v>
      </c>
      <c r="O82" s="13" t="str">
        <f ca="1" t="shared" si="57"/>
        <v>{progress,0,5401000,1}</v>
      </c>
      <c r="P82" s="61" t="str">
        <f ca="1" t="shared" si="57"/>
        <v>{progress_rate_roll,0,0,21330,1}</v>
      </c>
      <c r="Q82" s="61" t="str">
        <f ca="1" t="shared" si="57"/>
        <v>{progress,0,21345,2}</v>
      </c>
      <c r="R82" s="61" t="str">
        <f ca="1" t="shared" si="57"/>
        <v>{progress,0,5401000,2}</v>
      </c>
      <c r="S82" s="62" t="str">
        <f ca="1" t="shared" si="57"/>
        <v>{progress_rate,21330,1}</v>
      </c>
      <c r="T82" s="62" t="str">
        <f ca="1" t="shared" si="57"/>
        <v>{progress,0,21345,1}</v>
      </c>
      <c r="U82" s="62" t="str">
        <f ca="1" t="shared" si="57"/>
        <v>{progress,0,5401000,3}</v>
      </c>
      <c r="V82" s="63" t="str">
        <f ca="1" t="shared" si="57"/>
        <v>{progress,0,21330,1}</v>
      </c>
      <c r="W82" s="63" t="str">
        <f ca="1" t="shared" si="57"/>
        <v>{progress,0,21345,2}</v>
      </c>
      <c r="X82" s="63" t="str">
        <f ca="1" t="shared" si="57"/>
        <v>{progress,0,5401000,4}</v>
      </c>
      <c r="Y82" s="63" t="str">
        <f ca="1" t="shared" si="57"/>
        <v>{progress_rate_roll,0,1840,9,1}</v>
      </c>
      <c r="Z82" s="63" t="str">
        <f ca="1" t="shared" si="57"/>
        <v>{progress_rate_roll,0,160,30,1}</v>
      </c>
      <c r="AA82" s="62" t="str">
        <f ca="1" t="shared" si="57"/>
        <v>{progress,0,21330,1}</v>
      </c>
      <c r="AB82" s="62" t="str">
        <f ca="1" t="shared" si="57"/>
        <v>{progress,0,21345,2}</v>
      </c>
      <c r="AC82" s="62" t="str">
        <f ca="1" t="shared" si="57"/>
        <v>{progress,0,5401000,5}</v>
      </c>
      <c r="AD82" s="63" t="str">
        <f ca="1" t="shared" si="57"/>
        <v>{progress_rate_roll,0,1840,9,1}</v>
      </c>
      <c r="AE82" s="63" t="str">
        <f ca="1" t="shared" si="57"/>
        <v>{progress_rate_roll,0,160,30,1}</v>
      </c>
      <c r="AG82" s="17">
        <f t="shared" ref="AG82:AG96" si="58">AG29+30</f>
        <v>21330</v>
      </c>
      <c r="AH82" s="17">
        <f t="shared" ref="AH82:AH96" si="59">AH29+30</f>
        <v>21345</v>
      </c>
      <c r="AI82">
        <v>5401000</v>
      </c>
      <c r="AK82" s="17"/>
    </row>
    <row r="83" ht="14.25" spans="2:37">
      <c r="B83">
        <v>2</v>
      </c>
      <c r="C83" t="str">
        <f ca="1" t="shared" ref="C83:L83" si="60">SUBSTITUTE(IF(C$11="","{progress_rate,"&amp;C$4&amp;","&amp;C66&amp;"}",IF(C66&gt;=1,"{progress,"&amp;C$11*100&amp;","&amp;C$4&amp;","&amp;C66&amp;"}","{progress_rate_roll,"&amp;C$11*100&amp;","&amp;INT(C66*10000)&amp;","&amp;C$4&amp;","&amp;1&amp;"}")),C$4,IF(ISNUMBER(C$4),C$4,OFFSET($AG83,0,MATCH(C$4,$AG$28:$AI$28,0)-1)))</f>
        <v>{progress_rate,2,84}</v>
      </c>
      <c r="D83" t="str">
        <f ca="1" t="shared" si="60"/>
        <v>{progress,0,2,336}</v>
      </c>
      <c r="E83" t="str">
        <f ca="1" t="shared" si="60"/>
        <v>{progress_rate,5103002,20}</v>
      </c>
      <c r="F83" t="str">
        <f ca="1" t="shared" si="60"/>
        <v>{progress,0,5103002,20}</v>
      </c>
      <c r="G83" t="str">
        <f ca="1" t="shared" si="60"/>
        <v>{progress_rate,5303001,4}</v>
      </c>
      <c r="H83" t="str">
        <f ca="1" t="shared" si="60"/>
        <v>{progress,0,5103002,40}</v>
      </c>
      <c r="I83" t="str">
        <f ca="1" t="shared" si="60"/>
        <v>{progress_rate,5203001,10}</v>
      </c>
      <c r="J83" t="str">
        <f ca="1" t="shared" si="60"/>
        <v>{progress_rate,50026,8}</v>
      </c>
      <c r="K83" t="str">
        <f ca="1" t="shared" si="60"/>
        <v>{progress,0,50026,8}</v>
      </c>
      <c r="L83" t="str">
        <f ca="1" t="shared" si="60"/>
        <v>{progress_rate,5204001,2}</v>
      </c>
      <c r="N83" s="13" t="str">
        <f ca="1" t="shared" ref="N83:AE83" si="61">SUBSTITUTE(IF(N$11="","{progress_rate,"&amp;N$4&amp;","&amp;N66&amp;"}",IF(N66&gt;=1,"{progress,"&amp;N$11*100&amp;","&amp;N$4&amp;","&amp;N66&amp;"}","{progress_rate_roll,"&amp;N$11*100&amp;","&amp;INT(N66*10000)&amp;","&amp;N$4&amp;","&amp;1&amp;"}")),N$4,IF(ISNUMBER(N$4),N$4,OFFSET($AG83,0,MATCH(N$4,$AG$28:$AI$28,0)-1)))</f>
        <v>{progress_rate,21346,1}</v>
      </c>
      <c r="O83" s="13" t="str">
        <f ca="1" t="shared" si="61"/>
        <v>{progress,0,5401000,1}</v>
      </c>
      <c r="P83" s="61" t="str">
        <f ca="1" t="shared" si="61"/>
        <v>{progress_rate_roll,0,0,21331,1}</v>
      </c>
      <c r="Q83" s="61" t="str">
        <f ca="1" t="shared" si="61"/>
        <v>{progress,0,21346,2}</v>
      </c>
      <c r="R83" s="61" t="str">
        <f ca="1" t="shared" si="61"/>
        <v>{progress,0,5401000,2}</v>
      </c>
      <c r="S83" s="62" t="str">
        <f ca="1" t="shared" si="61"/>
        <v>{progress_rate,21331,1}</v>
      </c>
      <c r="T83" s="62" t="str">
        <f ca="1" t="shared" si="61"/>
        <v>{progress,0,21346,1}</v>
      </c>
      <c r="U83" s="62" t="str">
        <f ca="1" t="shared" si="61"/>
        <v>{progress,0,5401000,3}</v>
      </c>
      <c r="V83" s="63" t="str">
        <f ca="1" t="shared" si="61"/>
        <v>{progress,0,21331,1}</v>
      </c>
      <c r="W83" s="63" t="str">
        <f ca="1" t="shared" si="61"/>
        <v>{progress,0,21346,2}</v>
      </c>
      <c r="X83" s="63" t="str">
        <f ca="1" t="shared" si="61"/>
        <v>{progress,0,5401000,4}</v>
      </c>
      <c r="Y83" s="63" t="str">
        <f ca="1" t="shared" si="61"/>
        <v>{progress_rate_roll,0,1840,9,1}</v>
      </c>
      <c r="Z83" s="63" t="str">
        <f ca="1" t="shared" si="61"/>
        <v>{progress_rate_roll,0,160,30,1}</v>
      </c>
      <c r="AA83" s="62" t="str">
        <f ca="1" t="shared" si="61"/>
        <v>{progress,0,21331,1}</v>
      </c>
      <c r="AB83" s="62" t="str">
        <f ca="1" t="shared" si="61"/>
        <v>{progress,0,21346,2}</v>
      </c>
      <c r="AC83" s="62" t="str">
        <f ca="1" t="shared" si="61"/>
        <v>{progress,0,5401000,5}</v>
      </c>
      <c r="AD83" s="63" t="str">
        <f ca="1" t="shared" si="61"/>
        <v>{progress_rate_roll,0,1840,9,1}</v>
      </c>
      <c r="AE83" s="63" t="str">
        <f ca="1" t="shared" si="61"/>
        <v>{progress_rate_roll,0,160,30,1}</v>
      </c>
      <c r="AG83" s="17">
        <f t="shared" si="58"/>
        <v>21331</v>
      </c>
      <c r="AH83" s="17">
        <f t="shared" si="59"/>
        <v>21346</v>
      </c>
      <c r="AI83">
        <v>5401000</v>
      </c>
      <c r="AK83" s="17"/>
    </row>
    <row r="84" ht="14.25" spans="2:37">
      <c r="B84">
        <v>3</v>
      </c>
      <c r="C84" t="str">
        <f ca="1" t="shared" ref="C84:L84" si="62">SUBSTITUTE(IF(C$11="","{progress_rate,"&amp;C$4&amp;","&amp;C67&amp;"}",IF(C67&gt;=1,"{progress,"&amp;C$11*100&amp;","&amp;C$4&amp;","&amp;C67&amp;"}","{progress_rate_roll,"&amp;C$11*100&amp;","&amp;INT(C67*10000)&amp;","&amp;C$4&amp;","&amp;1&amp;"}")),C$4,IF(ISNUMBER(C$4),C$4,OFFSET($AG84,0,MATCH(C$4,$AG$28:$AI$28,0)-1)))</f>
        <v>{progress_rate,2,89}</v>
      </c>
      <c r="D84" t="str">
        <f ca="1" t="shared" si="62"/>
        <v>{progress,0,2,356}</v>
      </c>
      <c r="E84" t="str">
        <f ca="1" t="shared" si="62"/>
        <v>{progress_rate,5103002,20}</v>
      </c>
      <c r="F84" t="str">
        <f ca="1" t="shared" si="62"/>
        <v>{progress,0,5103002,20}</v>
      </c>
      <c r="G84" t="str">
        <f ca="1" t="shared" si="62"/>
        <v>{progress_rate,5303001,4}</v>
      </c>
      <c r="H84" t="str">
        <f ca="1" t="shared" si="62"/>
        <v>{progress,0,5103002,40}</v>
      </c>
      <c r="I84" t="str">
        <f ca="1" t="shared" si="62"/>
        <v>{progress_rate,5203001,10}</v>
      </c>
      <c r="J84" t="str">
        <f ca="1" t="shared" si="62"/>
        <v>{progress_rate,50026,8}</v>
      </c>
      <c r="K84" t="str">
        <f ca="1" t="shared" si="62"/>
        <v>{progress,0,50026,8}</v>
      </c>
      <c r="L84" t="str">
        <f ca="1" t="shared" si="62"/>
        <v>{progress_rate,5204001,2}</v>
      </c>
      <c r="N84" s="13" t="str">
        <f ca="1" t="shared" ref="N84:AE84" si="63">SUBSTITUTE(IF(N$11="","{progress_rate,"&amp;N$4&amp;","&amp;N67&amp;"}",IF(N67&gt;=1,"{progress,"&amp;N$11*100&amp;","&amp;N$4&amp;","&amp;N67&amp;"}","{progress_rate_roll,"&amp;N$11*100&amp;","&amp;INT(N67*10000)&amp;","&amp;N$4&amp;","&amp;1&amp;"}")),N$4,IF(ISNUMBER(N$4),N$4,OFFSET($AG84,0,MATCH(N$4,$AG$28:$AI$28,0)-1)))</f>
        <v>{progress_rate,21347,1}</v>
      </c>
      <c r="O84" s="13" t="str">
        <f ca="1" t="shared" si="63"/>
        <v>{progress,0,5401000,1}</v>
      </c>
      <c r="P84" s="61" t="str">
        <f ca="1" t="shared" si="63"/>
        <v>{progress_rate_roll,0,0,21332,1}</v>
      </c>
      <c r="Q84" s="61" t="str">
        <f ca="1" t="shared" si="63"/>
        <v>{progress,0,21347,2}</v>
      </c>
      <c r="R84" s="61" t="str">
        <f ca="1" t="shared" si="63"/>
        <v>{progress,0,5401000,2}</v>
      </c>
      <c r="S84" s="62" t="str">
        <f ca="1" t="shared" si="63"/>
        <v>{progress_rate,21332,1}</v>
      </c>
      <c r="T84" s="62" t="str">
        <f ca="1" t="shared" si="63"/>
        <v>{progress,0,21347,1}</v>
      </c>
      <c r="U84" s="62" t="str">
        <f ca="1" t="shared" si="63"/>
        <v>{progress,0,5401000,3}</v>
      </c>
      <c r="V84" s="63" t="str">
        <f ca="1" t="shared" si="63"/>
        <v>{progress,0,21332,1}</v>
      </c>
      <c r="W84" s="63" t="str">
        <f ca="1" t="shared" si="63"/>
        <v>{progress,0,21347,2}</v>
      </c>
      <c r="X84" s="63" t="str">
        <f ca="1" t="shared" si="63"/>
        <v>{progress,0,5401000,4}</v>
      </c>
      <c r="Y84" s="63" t="str">
        <f ca="1" t="shared" si="63"/>
        <v>{progress_rate_roll,0,1840,9,1}</v>
      </c>
      <c r="Z84" s="63" t="str">
        <f ca="1" t="shared" si="63"/>
        <v>{progress_rate_roll,0,160,30,1}</v>
      </c>
      <c r="AA84" s="62" t="str">
        <f ca="1" t="shared" si="63"/>
        <v>{progress,0,21332,1}</v>
      </c>
      <c r="AB84" s="62" t="str">
        <f ca="1" t="shared" si="63"/>
        <v>{progress,0,21347,2}</v>
      </c>
      <c r="AC84" s="62" t="str">
        <f ca="1" t="shared" si="63"/>
        <v>{progress,0,5401000,5}</v>
      </c>
      <c r="AD84" s="63" t="str">
        <f ca="1" t="shared" si="63"/>
        <v>{progress_rate_roll,0,1840,9,1}</v>
      </c>
      <c r="AE84" s="63" t="str">
        <f ca="1" t="shared" si="63"/>
        <v>{progress_rate_roll,0,160,30,1}</v>
      </c>
      <c r="AG84" s="17">
        <f t="shared" si="58"/>
        <v>21332</v>
      </c>
      <c r="AH84" s="17">
        <f t="shared" si="59"/>
        <v>21347</v>
      </c>
      <c r="AI84">
        <v>5401000</v>
      </c>
      <c r="AK84" s="17"/>
    </row>
    <row r="85" ht="14.25" spans="2:37">
      <c r="B85">
        <v>4</v>
      </c>
      <c r="C85" t="str">
        <f ca="1" t="shared" ref="C85:L85" si="64">SUBSTITUTE(IF(C$11="","{progress_rate,"&amp;C$4&amp;","&amp;C68&amp;"}",IF(C68&gt;=1,"{progress,"&amp;C$11*100&amp;","&amp;C$4&amp;","&amp;C68&amp;"}","{progress_rate_roll,"&amp;C$11*100&amp;","&amp;INT(C68*10000)&amp;","&amp;C$4&amp;","&amp;1&amp;"}")),C$4,IF(ISNUMBER(C$4),C$4,OFFSET($AG85,0,MATCH(C$4,$AG$28:$AI$28,0)-1)))</f>
        <v>{progress_rate,2,94}</v>
      </c>
      <c r="D85" t="str">
        <f ca="1" t="shared" si="64"/>
        <v>{progress,0,2,376}</v>
      </c>
      <c r="E85" t="str">
        <f ca="1" t="shared" si="64"/>
        <v>{progress_rate,5103002,20}</v>
      </c>
      <c r="F85" t="str">
        <f ca="1" t="shared" si="64"/>
        <v>{progress,0,5103002,20}</v>
      </c>
      <c r="G85" t="str">
        <f ca="1" t="shared" si="64"/>
        <v>{progress_rate,5303001,4}</v>
      </c>
      <c r="H85" t="str">
        <f ca="1" t="shared" si="64"/>
        <v>{progress,0,5103002,40}</v>
      </c>
      <c r="I85" t="str">
        <f ca="1" t="shared" si="64"/>
        <v>{progress_rate,5203001,10}</v>
      </c>
      <c r="J85" t="str">
        <f ca="1" t="shared" si="64"/>
        <v>{progress_rate,50026,8}</v>
      </c>
      <c r="K85" t="str">
        <f ca="1" t="shared" si="64"/>
        <v>{progress,0,50026,8}</v>
      </c>
      <c r="L85" t="str">
        <f ca="1" t="shared" si="64"/>
        <v>{progress_rate,5204001,2}</v>
      </c>
      <c r="N85" s="13" t="str">
        <f ca="1" t="shared" ref="N85:AE85" si="65">SUBSTITUTE(IF(N$11="","{progress_rate,"&amp;N$4&amp;","&amp;N68&amp;"}",IF(N68&gt;=1,"{progress,"&amp;N$11*100&amp;","&amp;N$4&amp;","&amp;N68&amp;"}","{progress_rate_roll,"&amp;N$11*100&amp;","&amp;INT(N68*10000)&amp;","&amp;N$4&amp;","&amp;1&amp;"}")),N$4,IF(ISNUMBER(N$4),N$4,OFFSET($AG85,0,MATCH(N$4,$AG$28:$AI$28,0)-1)))</f>
        <v>{progress_rate,21348,1}</v>
      </c>
      <c r="O85" s="13" t="str">
        <f ca="1" t="shared" si="65"/>
        <v>{progress,0,5401000,1}</v>
      </c>
      <c r="P85" s="61" t="str">
        <f ca="1" t="shared" si="65"/>
        <v>{progress_rate_roll,0,0,21333,1}</v>
      </c>
      <c r="Q85" s="61" t="str">
        <f ca="1" t="shared" si="65"/>
        <v>{progress,0,21348,2}</v>
      </c>
      <c r="R85" s="61" t="str">
        <f ca="1" t="shared" si="65"/>
        <v>{progress,0,5401000,2}</v>
      </c>
      <c r="S85" s="62" t="str">
        <f ca="1" t="shared" si="65"/>
        <v>{progress_rate,21333,1}</v>
      </c>
      <c r="T85" s="62" t="str">
        <f ca="1" t="shared" si="65"/>
        <v>{progress,0,21348,1}</v>
      </c>
      <c r="U85" s="62" t="str">
        <f ca="1" t="shared" si="65"/>
        <v>{progress,0,5401000,3}</v>
      </c>
      <c r="V85" s="63" t="str">
        <f ca="1" t="shared" si="65"/>
        <v>{progress,0,21333,1}</v>
      </c>
      <c r="W85" s="63" t="str">
        <f ca="1" t="shared" si="65"/>
        <v>{progress,0,21348,2}</v>
      </c>
      <c r="X85" s="63" t="str">
        <f ca="1" t="shared" si="65"/>
        <v>{progress,0,5401000,4}</v>
      </c>
      <c r="Y85" s="63" t="str">
        <f ca="1" t="shared" si="65"/>
        <v>{progress_rate_roll,0,1840,9,1}</v>
      </c>
      <c r="Z85" s="63" t="str">
        <f ca="1" t="shared" si="65"/>
        <v>{progress_rate_roll,0,160,30,1}</v>
      </c>
      <c r="AA85" s="62" t="str">
        <f ca="1" t="shared" si="65"/>
        <v>{progress,0,21333,1}</v>
      </c>
      <c r="AB85" s="62" t="str">
        <f ca="1" t="shared" si="65"/>
        <v>{progress,0,21348,2}</v>
      </c>
      <c r="AC85" s="62" t="str">
        <f ca="1" t="shared" si="65"/>
        <v>{progress,0,5401000,5}</v>
      </c>
      <c r="AD85" s="63" t="str">
        <f ca="1" t="shared" si="65"/>
        <v>{progress_rate_roll,0,1840,9,1}</v>
      </c>
      <c r="AE85" s="63" t="str">
        <f ca="1" t="shared" si="65"/>
        <v>{progress_rate_roll,0,160,30,1}</v>
      </c>
      <c r="AG85" s="17">
        <f t="shared" si="58"/>
        <v>21333</v>
      </c>
      <c r="AH85" s="17">
        <f t="shared" si="59"/>
        <v>21348</v>
      </c>
      <c r="AI85">
        <v>5401000</v>
      </c>
      <c r="AK85" s="17"/>
    </row>
    <row r="86" ht="14.25" spans="2:37">
      <c r="B86">
        <v>5</v>
      </c>
      <c r="C86" t="str">
        <f ca="1" t="shared" ref="C86:L86" si="66">SUBSTITUTE(IF(C$11="","{progress_rate,"&amp;C$4&amp;","&amp;C69&amp;"}",IF(C69&gt;=1,"{progress,"&amp;C$11*100&amp;","&amp;C$4&amp;","&amp;C69&amp;"}","{progress_rate_roll,"&amp;C$11*100&amp;","&amp;INT(C69*10000)&amp;","&amp;C$4&amp;","&amp;1&amp;"}")),C$4,IF(ISNUMBER(C$4),C$4,OFFSET($AG86,0,MATCH(C$4,$AG$28:$AI$28,0)-1)))</f>
        <v>{progress_rate,2,99}</v>
      </c>
      <c r="D86" t="str">
        <f ca="1" t="shared" si="66"/>
        <v>{progress,0,2,396}</v>
      </c>
      <c r="E86" t="str">
        <f ca="1" t="shared" si="66"/>
        <v>{progress_rate,5103002,20}</v>
      </c>
      <c r="F86" t="str">
        <f ca="1" t="shared" si="66"/>
        <v>{progress,0,5103002,20}</v>
      </c>
      <c r="G86" t="str">
        <f ca="1" t="shared" si="66"/>
        <v>{progress_rate,5303001,4}</v>
      </c>
      <c r="H86" t="str">
        <f ca="1" t="shared" si="66"/>
        <v>{progress,0,5103002,40}</v>
      </c>
      <c r="I86" t="str">
        <f ca="1" t="shared" si="66"/>
        <v>{progress_rate,5203001,10}</v>
      </c>
      <c r="J86" t="str">
        <f ca="1" t="shared" si="66"/>
        <v>{progress_rate,50026,8}</v>
      </c>
      <c r="K86" t="str">
        <f ca="1" t="shared" si="66"/>
        <v>{progress,0,50026,8}</v>
      </c>
      <c r="L86" t="str">
        <f ca="1" t="shared" si="66"/>
        <v>{progress_rate,5204001,2}</v>
      </c>
      <c r="N86" s="13" t="str">
        <f ca="1" t="shared" ref="N86:AE86" si="67">SUBSTITUTE(IF(N$11="","{progress_rate,"&amp;N$4&amp;","&amp;N69&amp;"}",IF(N69&gt;=1,"{progress,"&amp;N$11*100&amp;","&amp;N$4&amp;","&amp;N69&amp;"}","{progress_rate_roll,"&amp;N$11*100&amp;","&amp;INT(N69*10000)&amp;","&amp;N$4&amp;","&amp;1&amp;"}")),N$4,IF(ISNUMBER(N$4),N$4,OFFSET($AG86,0,MATCH(N$4,$AG$28:$AI$28,0)-1)))</f>
        <v>{progress_rate,21349,1}</v>
      </c>
      <c r="O86" s="13" t="str">
        <f ca="1" t="shared" si="67"/>
        <v>{progress,0,5401000,1}</v>
      </c>
      <c r="P86" s="61" t="str">
        <f ca="1" t="shared" si="67"/>
        <v>{progress_rate_roll,0,0,21334,1}</v>
      </c>
      <c r="Q86" s="61" t="str">
        <f ca="1" t="shared" si="67"/>
        <v>{progress,0,21349,2}</v>
      </c>
      <c r="R86" s="61" t="str">
        <f ca="1" t="shared" si="67"/>
        <v>{progress,0,5401000,2}</v>
      </c>
      <c r="S86" s="62" t="str">
        <f ca="1" t="shared" si="67"/>
        <v>{progress_rate,21334,1}</v>
      </c>
      <c r="T86" s="62" t="str">
        <f ca="1" t="shared" si="67"/>
        <v>{progress,0,21349,1}</v>
      </c>
      <c r="U86" s="62" t="str">
        <f ca="1" t="shared" si="67"/>
        <v>{progress,0,5401000,3}</v>
      </c>
      <c r="V86" s="63" t="str">
        <f ca="1" t="shared" si="67"/>
        <v>{progress,0,21334,1}</v>
      </c>
      <c r="W86" s="63" t="str">
        <f ca="1" t="shared" si="67"/>
        <v>{progress,0,21349,2}</v>
      </c>
      <c r="X86" s="63" t="str">
        <f ca="1" t="shared" si="67"/>
        <v>{progress,0,5401000,4}</v>
      </c>
      <c r="Y86" s="63" t="str">
        <f ca="1" t="shared" si="67"/>
        <v>{progress_rate_roll,0,1840,9,1}</v>
      </c>
      <c r="Z86" s="63" t="str">
        <f ca="1" t="shared" si="67"/>
        <v>{progress_rate_roll,0,160,30,1}</v>
      </c>
      <c r="AA86" s="62" t="str">
        <f ca="1" t="shared" si="67"/>
        <v>{progress,0,21334,1}</v>
      </c>
      <c r="AB86" s="62" t="str">
        <f ca="1" t="shared" si="67"/>
        <v>{progress,0,21349,2}</v>
      </c>
      <c r="AC86" s="62" t="str">
        <f ca="1" t="shared" si="67"/>
        <v>{progress,0,5401000,5}</v>
      </c>
      <c r="AD86" s="63" t="str">
        <f ca="1" t="shared" si="67"/>
        <v>{progress_rate_roll,0,1840,9,1}</v>
      </c>
      <c r="AE86" s="63" t="str">
        <f ca="1" t="shared" si="67"/>
        <v>{progress_rate_roll,0,160,30,1}</v>
      </c>
      <c r="AG86" s="17">
        <f t="shared" si="58"/>
        <v>21334</v>
      </c>
      <c r="AH86" s="17">
        <f t="shared" si="59"/>
        <v>21349</v>
      </c>
      <c r="AI86">
        <v>5401000</v>
      </c>
      <c r="AK86" s="17"/>
    </row>
    <row r="87" ht="14.25" spans="2:37">
      <c r="B87">
        <v>6</v>
      </c>
      <c r="C87" t="str">
        <f ca="1" t="shared" ref="C87:L87" si="68">SUBSTITUTE(IF(C$11="","{progress_rate,"&amp;C$4&amp;","&amp;C70&amp;"}",IF(C70&gt;=1,"{progress,"&amp;C$11*100&amp;","&amp;C$4&amp;","&amp;C70&amp;"}","{progress_rate_roll,"&amp;C$11*100&amp;","&amp;INT(C70*10000)&amp;","&amp;C$4&amp;","&amp;1&amp;"}")),C$4,IF(ISNUMBER(C$4),C$4,OFFSET($AG87,0,MATCH(C$4,$AG$28:$AI$28,0)-1)))</f>
        <v>{progress_rate,2,104}</v>
      </c>
      <c r="D87" t="str">
        <f ca="1" t="shared" si="68"/>
        <v>{progress,0,2,416}</v>
      </c>
      <c r="E87" t="str">
        <f ca="1" t="shared" si="68"/>
        <v>{progress_rate,5103002,20}</v>
      </c>
      <c r="F87" t="str">
        <f ca="1" t="shared" si="68"/>
        <v>{progress,0,5103002,20}</v>
      </c>
      <c r="G87" t="str">
        <f ca="1" t="shared" si="68"/>
        <v>{progress_rate,5303001,4}</v>
      </c>
      <c r="H87" t="str">
        <f ca="1" t="shared" si="68"/>
        <v>{progress,0,5103002,40}</v>
      </c>
      <c r="I87" t="str">
        <f ca="1" t="shared" si="68"/>
        <v>{progress_rate,5203001,10}</v>
      </c>
      <c r="J87" t="str">
        <f ca="1" t="shared" si="68"/>
        <v>{progress_rate,50026,8}</v>
      </c>
      <c r="K87" t="str">
        <f ca="1" t="shared" si="68"/>
        <v>{progress,0,50026,8}</v>
      </c>
      <c r="L87" t="str">
        <f ca="1" t="shared" si="68"/>
        <v>{progress_rate,5204001,2}</v>
      </c>
      <c r="N87" s="13" t="str">
        <f ca="1" t="shared" ref="N87:AE87" si="69">SUBSTITUTE(IF(N$11="","{progress_rate,"&amp;N$4&amp;","&amp;N70&amp;"}",IF(N70&gt;=1,"{progress,"&amp;N$11*100&amp;","&amp;N$4&amp;","&amp;N70&amp;"}","{progress_rate_roll,"&amp;N$11*100&amp;","&amp;INT(N70*10000)&amp;","&amp;N$4&amp;","&amp;1&amp;"}")),N$4,IF(ISNUMBER(N$4),N$4,OFFSET($AG87,0,MATCH(N$4,$AG$28:$AI$28,0)-1)))</f>
        <v>{progress_rate,21350,1}</v>
      </c>
      <c r="O87" s="13" t="str">
        <f ca="1" t="shared" si="69"/>
        <v>{progress,0,5401000,1}</v>
      </c>
      <c r="P87" s="61" t="str">
        <f ca="1" t="shared" si="69"/>
        <v>{progress_rate_roll,0,0,21335,1}</v>
      </c>
      <c r="Q87" s="61" t="str">
        <f ca="1" t="shared" si="69"/>
        <v>{progress,0,21350,2}</v>
      </c>
      <c r="R87" s="61" t="str">
        <f ca="1" t="shared" si="69"/>
        <v>{progress,0,5401000,2}</v>
      </c>
      <c r="S87" s="62" t="str">
        <f ca="1" t="shared" si="69"/>
        <v>{progress_rate,21335,1}</v>
      </c>
      <c r="T87" s="62" t="str">
        <f ca="1" t="shared" si="69"/>
        <v>{progress,0,21350,1}</v>
      </c>
      <c r="U87" s="62" t="str">
        <f ca="1" t="shared" si="69"/>
        <v>{progress,0,5401000,3}</v>
      </c>
      <c r="V87" s="63" t="str">
        <f ca="1" t="shared" si="69"/>
        <v>{progress,0,21335,1}</v>
      </c>
      <c r="W87" s="63" t="str">
        <f ca="1" t="shared" si="69"/>
        <v>{progress,0,21350,2}</v>
      </c>
      <c r="X87" s="63" t="str">
        <f ca="1" t="shared" si="69"/>
        <v>{progress,0,5401000,4}</v>
      </c>
      <c r="Y87" s="63" t="str">
        <f ca="1" t="shared" si="69"/>
        <v>{progress_rate_roll,0,1840,9,1}</v>
      </c>
      <c r="Z87" s="63" t="str">
        <f ca="1" t="shared" si="69"/>
        <v>{progress_rate_roll,0,160,30,1}</v>
      </c>
      <c r="AA87" s="62" t="str">
        <f ca="1" t="shared" si="69"/>
        <v>{progress,0,21335,1}</v>
      </c>
      <c r="AB87" s="62" t="str">
        <f ca="1" t="shared" si="69"/>
        <v>{progress,0,21350,2}</v>
      </c>
      <c r="AC87" s="62" t="str">
        <f ca="1" t="shared" si="69"/>
        <v>{progress,0,5401000,5}</v>
      </c>
      <c r="AD87" s="63" t="str">
        <f ca="1" t="shared" si="69"/>
        <v>{progress_rate_roll,0,1840,9,1}</v>
      </c>
      <c r="AE87" s="63" t="str">
        <f ca="1" t="shared" si="69"/>
        <v>{progress_rate_roll,0,160,30,1}</v>
      </c>
      <c r="AG87" s="17">
        <f t="shared" si="58"/>
        <v>21335</v>
      </c>
      <c r="AH87" s="17">
        <f t="shared" si="59"/>
        <v>21350</v>
      </c>
      <c r="AI87">
        <v>5401000</v>
      </c>
      <c r="AK87" s="17"/>
    </row>
    <row r="88" ht="14.25" spans="2:37">
      <c r="B88">
        <v>7</v>
      </c>
      <c r="C88" t="str">
        <f ca="1" t="shared" ref="C88:L88" si="70">SUBSTITUTE(IF(C$11="","{progress_rate,"&amp;C$4&amp;","&amp;C71&amp;"}",IF(C71&gt;=1,"{progress,"&amp;C$11*100&amp;","&amp;C$4&amp;","&amp;C71&amp;"}","{progress_rate_roll,"&amp;C$11*100&amp;","&amp;INT(C71*10000)&amp;","&amp;C$4&amp;","&amp;1&amp;"}")),C$4,IF(ISNUMBER(C$4),C$4,OFFSET($AG88,0,MATCH(C$4,$AG$28:$AI$28,0)-1)))</f>
        <v>{progress_rate,2,109}</v>
      </c>
      <c r="D88" t="str">
        <f ca="1" t="shared" si="70"/>
        <v>{progress,0,2,436}</v>
      </c>
      <c r="E88" t="str">
        <f ca="1" t="shared" si="70"/>
        <v>{progress_rate,5103002,20}</v>
      </c>
      <c r="F88" t="str">
        <f ca="1" t="shared" si="70"/>
        <v>{progress,0,5103002,20}</v>
      </c>
      <c r="G88" t="str">
        <f ca="1" t="shared" si="70"/>
        <v>{progress_rate,5303001,4}</v>
      </c>
      <c r="H88" t="str">
        <f ca="1" t="shared" si="70"/>
        <v>{progress,0,5103002,40}</v>
      </c>
      <c r="I88" t="str">
        <f ca="1" t="shared" si="70"/>
        <v>{progress_rate,5203001,10}</v>
      </c>
      <c r="J88" t="str">
        <f ca="1" t="shared" si="70"/>
        <v>{progress_rate,50026,8}</v>
      </c>
      <c r="K88" t="str">
        <f ca="1" t="shared" si="70"/>
        <v>{progress,0,50026,8}</v>
      </c>
      <c r="L88" t="str">
        <f ca="1" t="shared" si="70"/>
        <v>{progress_rate,5204001,2}</v>
      </c>
      <c r="N88" s="13" t="str">
        <f ca="1" t="shared" ref="N88:AE88" si="71">SUBSTITUTE(IF(N$11="","{progress_rate,"&amp;N$4&amp;","&amp;N71&amp;"}",IF(N71&gt;=1,"{progress,"&amp;N$11*100&amp;","&amp;N$4&amp;","&amp;N71&amp;"}","{progress_rate_roll,"&amp;N$11*100&amp;","&amp;INT(N71*10000)&amp;","&amp;N$4&amp;","&amp;1&amp;"}")),N$4,IF(ISNUMBER(N$4),N$4,OFFSET($AG88,0,MATCH(N$4,$AG$28:$AI$28,0)-1)))</f>
        <v>{progress_rate,21351,1}</v>
      </c>
      <c r="O88" s="13" t="str">
        <f ca="1" t="shared" si="71"/>
        <v>{progress,0,5401000,1}</v>
      </c>
      <c r="P88" s="61" t="str">
        <f ca="1" t="shared" si="71"/>
        <v>{progress_rate_roll,0,0,21336,1}</v>
      </c>
      <c r="Q88" s="61" t="str">
        <f ca="1" t="shared" si="71"/>
        <v>{progress,0,21351,2}</v>
      </c>
      <c r="R88" s="61" t="str">
        <f ca="1" t="shared" si="71"/>
        <v>{progress,0,5401000,2}</v>
      </c>
      <c r="S88" s="62" t="str">
        <f ca="1" t="shared" si="71"/>
        <v>{progress_rate,21336,1}</v>
      </c>
      <c r="T88" s="62" t="str">
        <f ca="1" t="shared" si="71"/>
        <v>{progress,0,21351,1}</v>
      </c>
      <c r="U88" s="62" t="str">
        <f ca="1" t="shared" si="71"/>
        <v>{progress,0,5401000,3}</v>
      </c>
      <c r="V88" s="63" t="str">
        <f ca="1" t="shared" si="71"/>
        <v>{progress,0,21336,1}</v>
      </c>
      <c r="W88" s="63" t="str">
        <f ca="1" t="shared" si="71"/>
        <v>{progress,0,21351,2}</v>
      </c>
      <c r="X88" s="63" t="str">
        <f ca="1" t="shared" si="71"/>
        <v>{progress,0,5401000,4}</v>
      </c>
      <c r="Y88" s="63" t="str">
        <f ca="1" t="shared" si="71"/>
        <v>{progress_rate_roll,0,1840,9,1}</v>
      </c>
      <c r="Z88" s="63" t="str">
        <f ca="1" t="shared" si="71"/>
        <v>{progress_rate_roll,0,160,30,1}</v>
      </c>
      <c r="AA88" s="62" t="str">
        <f ca="1" t="shared" si="71"/>
        <v>{progress,0,21336,1}</v>
      </c>
      <c r="AB88" s="62" t="str">
        <f ca="1" t="shared" si="71"/>
        <v>{progress,0,21351,2}</v>
      </c>
      <c r="AC88" s="62" t="str">
        <f ca="1" t="shared" si="71"/>
        <v>{progress,0,5401000,5}</v>
      </c>
      <c r="AD88" s="63" t="str">
        <f ca="1" t="shared" si="71"/>
        <v>{progress_rate_roll,0,1840,9,1}</v>
      </c>
      <c r="AE88" s="63" t="str">
        <f ca="1" t="shared" si="71"/>
        <v>{progress_rate_roll,0,160,30,1}</v>
      </c>
      <c r="AG88" s="17">
        <f t="shared" si="58"/>
        <v>21336</v>
      </c>
      <c r="AH88" s="17">
        <f t="shared" si="59"/>
        <v>21351</v>
      </c>
      <c r="AI88">
        <v>5401000</v>
      </c>
      <c r="AK88" s="17"/>
    </row>
    <row r="89" ht="14.25" spans="2:37">
      <c r="B89">
        <v>8</v>
      </c>
      <c r="C89" t="str">
        <f ca="1" t="shared" ref="C89:L89" si="72">SUBSTITUTE(IF(C$11="","{progress_rate,"&amp;C$4&amp;","&amp;C72&amp;"}",IF(C72&gt;=1,"{progress,"&amp;C$11*100&amp;","&amp;C$4&amp;","&amp;C72&amp;"}","{progress_rate_roll,"&amp;C$11*100&amp;","&amp;INT(C72*10000)&amp;","&amp;C$4&amp;","&amp;1&amp;"}")),C$4,IF(ISNUMBER(C$4),C$4,OFFSET($AG89,0,MATCH(C$4,$AG$28:$AI$28,0)-1)))</f>
        <v>{progress_rate,2,114}</v>
      </c>
      <c r="D89" t="str">
        <f ca="1" t="shared" si="72"/>
        <v>{progress,0,2,456}</v>
      </c>
      <c r="E89" t="str">
        <f ca="1" t="shared" si="72"/>
        <v>{progress_rate,5103002,20}</v>
      </c>
      <c r="F89" t="str">
        <f ca="1" t="shared" si="72"/>
        <v>{progress,0,5103002,20}</v>
      </c>
      <c r="G89" t="str">
        <f ca="1" t="shared" si="72"/>
        <v>{progress_rate,5303001,4}</v>
      </c>
      <c r="H89" t="str">
        <f ca="1" t="shared" si="72"/>
        <v>{progress,0,5103002,40}</v>
      </c>
      <c r="I89" t="str">
        <f ca="1" t="shared" si="72"/>
        <v>{progress_rate,5203001,10}</v>
      </c>
      <c r="J89" t="str">
        <f ca="1" t="shared" si="72"/>
        <v>{progress_rate,50026,8}</v>
      </c>
      <c r="K89" t="str">
        <f ca="1" t="shared" si="72"/>
        <v>{progress,0,50026,8}</v>
      </c>
      <c r="L89" t="str">
        <f ca="1" t="shared" si="72"/>
        <v>{progress_rate,5204001,2}</v>
      </c>
      <c r="N89" s="13" t="str">
        <f ca="1" t="shared" ref="N89:AE89" si="73">SUBSTITUTE(IF(N$11="","{progress_rate,"&amp;N$4&amp;","&amp;N72&amp;"}",IF(N72&gt;=1,"{progress,"&amp;N$11*100&amp;","&amp;N$4&amp;","&amp;N72&amp;"}","{progress_rate_roll,"&amp;N$11*100&amp;","&amp;INT(N72*10000)&amp;","&amp;N$4&amp;","&amp;1&amp;"}")),N$4,IF(ISNUMBER(N$4),N$4,OFFSET($AG89,0,MATCH(N$4,$AG$28:$AI$28,0)-1)))</f>
        <v>{progress_rate,21352,1}</v>
      </c>
      <c r="O89" s="13" t="str">
        <f ca="1" t="shared" si="73"/>
        <v>{progress,0,5401000,1}</v>
      </c>
      <c r="P89" s="61" t="str">
        <f ca="1" t="shared" si="73"/>
        <v>{progress_rate_roll,0,0,21337,1}</v>
      </c>
      <c r="Q89" s="61" t="str">
        <f ca="1" t="shared" si="73"/>
        <v>{progress,0,21352,2}</v>
      </c>
      <c r="R89" s="61" t="str">
        <f ca="1" t="shared" si="73"/>
        <v>{progress,0,5401000,2}</v>
      </c>
      <c r="S89" s="62" t="str">
        <f ca="1" t="shared" si="73"/>
        <v>{progress_rate,21337,1}</v>
      </c>
      <c r="T89" s="62" t="str">
        <f ca="1" t="shared" si="73"/>
        <v>{progress,0,21352,1}</v>
      </c>
      <c r="U89" s="62" t="str">
        <f ca="1" t="shared" si="73"/>
        <v>{progress,0,5401000,3}</v>
      </c>
      <c r="V89" s="63" t="str">
        <f ca="1" t="shared" si="73"/>
        <v>{progress,0,21337,1}</v>
      </c>
      <c r="W89" s="63" t="str">
        <f ca="1" t="shared" si="73"/>
        <v>{progress,0,21352,2}</v>
      </c>
      <c r="X89" s="63" t="str">
        <f ca="1" t="shared" si="73"/>
        <v>{progress,0,5401000,4}</v>
      </c>
      <c r="Y89" s="63" t="str">
        <f ca="1" t="shared" si="73"/>
        <v>{progress_rate_roll,0,1840,9,1}</v>
      </c>
      <c r="Z89" s="63" t="str">
        <f ca="1" t="shared" si="73"/>
        <v>{progress_rate_roll,0,160,30,1}</v>
      </c>
      <c r="AA89" s="62" t="str">
        <f ca="1" t="shared" si="73"/>
        <v>{progress,0,21337,1}</v>
      </c>
      <c r="AB89" s="62" t="str">
        <f ca="1" t="shared" si="73"/>
        <v>{progress,0,21352,2}</v>
      </c>
      <c r="AC89" s="62" t="str">
        <f ca="1" t="shared" si="73"/>
        <v>{progress,0,5401000,5}</v>
      </c>
      <c r="AD89" s="63" t="str">
        <f ca="1" t="shared" si="73"/>
        <v>{progress_rate_roll,0,1840,9,1}</v>
      </c>
      <c r="AE89" s="63" t="str">
        <f ca="1" t="shared" si="73"/>
        <v>{progress_rate_roll,0,160,30,1}</v>
      </c>
      <c r="AG89" s="17">
        <f t="shared" si="58"/>
        <v>21337</v>
      </c>
      <c r="AH89" s="17">
        <f t="shared" si="59"/>
        <v>21352</v>
      </c>
      <c r="AI89">
        <v>5401000</v>
      </c>
      <c r="AK89" s="17"/>
    </row>
    <row r="90" ht="14.25" spans="2:37">
      <c r="B90">
        <v>9</v>
      </c>
      <c r="C90" t="str">
        <f ca="1" t="shared" ref="C90:L90" si="74">SUBSTITUTE(IF(C$11="","{progress_rate,"&amp;C$4&amp;","&amp;C73&amp;"}",IF(C73&gt;=1,"{progress,"&amp;C$11*100&amp;","&amp;C$4&amp;","&amp;C73&amp;"}","{progress_rate_roll,"&amp;C$11*100&amp;","&amp;INT(C73*10000)&amp;","&amp;C$4&amp;","&amp;1&amp;"}")),C$4,IF(ISNUMBER(C$4),C$4,OFFSET($AG90,0,MATCH(C$4,$AG$28:$AI$28,0)-1)))</f>
        <v>{progress_rate,2,119}</v>
      </c>
      <c r="D90" t="str">
        <f ca="1" t="shared" si="74"/>
        <v>{progress,0,2,476}</v>
      </c>
      <c r="E90" t="str">
        <f ca="1" t="shared" si="74"/>
        <v>{progress_rate,5103002,20}</v>
      </c>
      <c r="F90" t="str">
        <f ca="1" t="shared" si="74"/>
        <v>{progress,0,5103002,20}</v>
      </c>
      <c r="G90" t="str">
        <f ca="1" t="shared" si="74"/>
        <v>{progress_rate,5303001,4}</v>
      </c>
      <c r="H90" t="str">
        <f ca="1" t="shared" si="74"/>
        <v>{progress,0,5103002,40}</v>
      </c>
      <c r="I90" t="str">
        <f ca="1" t="shared" si="74"/>
        <v>{progress_rate,5203001,10}</v>
      </c>
      <c r="J90" t="str">
        <f ca="1" t="shared" si="74"/>
        <v>{progress_rate,50026,8}</v>
      </c>
      <c r="K90" t="str">
        <f ca="1" t="shared" si="74"/>
        <v>{progress,0,50026,8}</v>
      </c>
      <c r="L90" t="str">
        <f ca="1" t="shared" si="74"/>
        <v>{progress_rate,5204001,2}</v>
      </c>
      <c r="N90" s="13" t="str">
        <f ca="1" t="shared" ref="N90:AE90" si="75">SUBSTITUTE(IF(N$11="","{progress_rate,"&amp;N$4&amp;","&amp;N73&amp;"}",IF(N73&gt;=1,"{progress,"&amp;N$11*100&amp;","&amp;N$4&amp;","&amp;N73&amp;"}","{progress_rate_roll,"&amp;N$11*100&amp;","&amp;INT(N73*10000)&amp;","&amp;N$4&amp;","&amp;1&amp;"}")),N$4,IF(ISNUMBER(N$4),N$4,OFFSET($AG90,0,MATCH(N$4,$AG$28:$AI$28,0)-1)))</f>
        <v>{progress_rate,21353,1}</v>
      </c>
      <c r="O90" s="13" t="str">
        <f ca="1" t="shared" si="75"/>
        <v>{progress,0,5401000,1}</v>
      </c>
      <c r="P90" s="61" t="str">
        <f ca="1" t="shared" si="75"/>
        <v>{progress_rate_roll,0,0,21338,1}</v>
      </c>
      <c r="Q90" s="61" t="str">
        <f ca="1" t="shared" si="75"/>
        <v>{progress,0,21353,2}</v>
      </c>
      <c r="R90" s="61" t="str">
        <f ca="1" t="shared" si="75"/>
        <v>{progress,0,5401000,2}</v>
      </c>
      <c r="S90" s="62" t="str">
        <f ca="1" t="shared" si="75"/>
        <v>{progress_rate,21338,1}</v>
      </c>
      <c r="T90" s="62" t="str">
        <f ca="1" t="shared" si="75"/>
        <v>{progress,0,21353,1}</v>
      </c>
      <c r="U90" s="62" t="str">
        <f ca="1" t="shared" si="75"/>
        <v>{progress,0,5401000,3}</v>
      </c>
      <c r="V90" s="63" t="str">
        <f ca="1" t="shared" si="75"/>
        <v>{progress,0,21338,1}</v>
      </c>
      <c r="W90" s="63" t="str">
        <f ca="1" t="shared" si="75"/>
        <v>{progress,0,21353,2}</v>
      </c>
      <c r="X90" s="63" t="str">
        <f ca="1" t="shared" si="75"/>
        <v>{progress,0,5401000,4}</v>
      </c>
      <c r="Y90" s="63" t="str">
        <f ca="1" t="shared" si="75"/>
        <v>{progress_rate_roll,0,1840,9,1}</v>
      </c>
      <c r="Z90" s="63" t="str">
        <f ca="1" t="shared" si="75"/>
        <v>{progress_rate_roll,0,160,30,1}</v>
      </c>
      <c r="AA90" s="62" t="str">
        <f ca="1" t="shared" si="75"/>
        <v>{progress,0,21338,1}</v>
      </c>
      <c r="AB90" s="62" t="str">
        <f ca="1" t="shared" si="75"/>
        <v>{progress,0,21353,2}</v>
      </c>
      <c r="AC90" s="62" t="str">
        <f ca="1" t="shared" si="75"/>
        <v>{progress,0,5401000,5}</v>
      </c>
      <c r="AD90" s="63" t="str">
        <f ca="1" t="shared" si="75"/>
        <v>{progress_rate_roll,0,1840,9,1}</v>
      </c>
      <c r="AE90" s="63" t="str">
        <f ca="1" t="shared" si="75"/>
        <v>{progress_rate_roll,0,160,30,1}</v>
      </c>
      <c r="AG90" s="17">
        <f t="shared" si="58"/>
        <v>21338</v>
      </c>
      <c r="AH90" s="17">
        <f t="shared" si="59"/>
        <v>21353</v>
      </c>
      <c r="AI90">
        <v>5401000</v>
      </c>
      <c r="AK90" s="17"/>
    </row>
    <row r="91" ht="14.25" spans="2:37">
      <c r="B91">
        <v>10</v>
      </c>
      <c r="C91" t="str">
        <f ca="1" t="shared" ref="C91:L91" si="76">SUBSTITUTE(IF(C$11="","{progress_rate,"&amp;C$4&amp;","&amp;C74&amp;"}",IF(C74&gt;=1,"{progress,"&amp;C$11*100&amp;","&amp;C$4&amp;","&amp;C74&amp;"}","{progress_rate_roll,"&amp;C$11*100&amp;","&amp;INT(C74*10000)&amp;","&amp;C$4&amp;","&amp;1&amp;"}")),C$4,IF(ISNUMBER(C$4),C$4,OFFSET($AG91,0,MATCH(C$4,$AG$28:$AI$28,0)-1)))</f>
        <v>{progress_rate,2,124}</v>
      </c>
      <c r="D91" t="str">
        <f ca="1" t="shared" si="76"/>
        <v>{progress,0,2,496}</v>
      </c>
      <c r="E91" t="str">
        <f ca="1" t="shared" si="76"/>
        <v>{progress_rate,5103002,20}</v>
      </c>
      <c r="F91" t="str">
        <f ca="1" t="shared" si="76"/>
        <v>{progress,0,5103002,20}</v>
      </c>
      <c r="G91" t="str">
        <f ca="1" t="shared" si="76"/>
        <v>{progress_rate,5303001,4}</v>
      </c>
      <c r="H91" t="str">
        <f ca="1" t="shared" si="76"/>
        <v>{progress,0,5103002,40}</v>
      </c>
      <c r="I91" t="str">
        <f ca="1" t="shared" si="76"/>
        <v>{progress_rate,5203001,10}</v>
      </c>
      <c r="J91" t="str">
        <f ca="1" t="shared" si="76"/>
        <v>{progress_rate,50026,8}</v>
      </c>
      <c r="K91" t="str">
        <f ca="1" t="shared" si="76"/>
        <v>{progress,0,50026,8}</v>
      </c>
      <c r="L91" t="str">
        <f ca="1" t="shared" si="76"/>
        <v>{progress_rate,5204001,2}</v>
      </c>
      <c r="N91" s="13" t="str">
        <f ca="1" t="shared" ref="N91:AE91" si="77">SUBSTITUTE(IF(N$11="","{progress_rate,"&amp;N$4&amp;","&amp;N74&amp;"}",IF(N74&gt;=1,"{progress,"&amp;N$11*100&amp;","&amp;N$4&amp;","&amp;N74&amp;"}","{progress_rate_roll,"&amp;N$11*100&amp;","&amp;INT(N74*10000)&amp;","&amp;N$4&amp;","&amp;1&amp;"}")),N$4,IF(ISNUMBER(N$4),N$4,OFFSET($AG91,0,MATCH(N$4,$AG$28:$AI$28,0)-1)))</f>
        <v>{progress_rate,21354,1}</v>
      </c>
      <c r="O91" s="13" t="str">
        <f ca="1" t="shared" si="77"/>
        <v>{progress,0,5401000,1}</v>
      </c>
      <c r="P91" s="61" t="str">
        <f ca="1" t="shared" si="77"/>
        <v>{progress_rate_roll,0,0,21339,1}</v>
      </c>
      <c r="Q91" s="61" t="str">
        <f ca="1" t="shared" si="77"/>
        <v>{progress,0,21354,2}</v>
      </c>
      <c r="R91" s="61" t="str">
        <f ca="1" t="shared" si="77"/>
        <v>{progress,0,5401000,2}</v>
      </c>
      <c r="S91" s="62" t="str">
        <f ca="1" t="shared" si="77"/>
        <v>{progress_rate,21339,1}</v>
      </c>
      <c r="T91" s="62" t="str">
        <f ca="1" t="shared" si="77"/>
        <v>{progress,0,21354,1}</v>
      </c>
      <c r="U91" s="62" t="str">
        <f ca="1" t="shared" si="77"/>
        <v>{progress,0,5401000,3}</v>
      </c>
      <c r="V91" s="63" t="str">
        <f ca="1" t="shared" si="77"/>
        <v>{progress,0,21339,1}</v>
      </c>
      <c r="W91" s="63" t="str">
        <f ca="1" t="shared" si="77"/>
        <v>{progress,0,21354,2}</v>
      </c>
      <c r="X91" s="63" t="str">
        <f ca="1" t="shared" si="77"/>
        <v>{progress,0,5401000,4}</v>
      </c>
      <c r="Y91" s="63" t="str">
        <f ca="1" t="shared" si="77"/>
        <v>{progress_rate_roll,0,1840,9,1}</v>
      </c>
      <c r="Z91" s="63" t="str">
        <f ca="1" t="shared" si="77"/>
        <v>{progress_rate_roll,0,160,30,1}</v>
      </c>
      <c r="AA91" s="62" t="str">
        <f ca="1" t="shared" si="77"/>
        <v>{progress,0,21339,1}</v>
      </c>
      <c r="AB91" s="62" t="str">
        <f ca="1" t="shared" si="77"/>
        <v>{progress,0,21354,2}</v>
      </c>
      <c r="AC91" s="62" t="str">
        <f ca="1" t="shared" si="77"/>
        <v>{progress,0,5401000,5}</v>
      </c>
      <c r="AD91" s="63" t="str">
        <f ca="1" t="shared" si="77"/>
        <v>{progress_rate_roll,0,1840,9,1}</v>
      </c>
      <c r="AE91" s="63" t="str">
        <f ca="1" t="shared" si="77"/>
        <v>{progress_rate_roll,0,160,30,1}</v>
      </c>
      <c r="AG91" s="17">
        <f t="shared" si="58"/>
        <v>21339</v>
      </c>
      <c r="AH91" s="17">
        <f t="shared" si="59"/>
        <v>21354</v>
      </c>
      <c r="AI91">
        <v>5401000</v>
      </c>
      <c r="AK91" s="17"/>
    </row>
    <row r="92" ht="14.25" spans="2:37">
      <c r="B92">
        <v>11</v>
      </c>
      <c r="C92" t="str">
        <f ca="1" t="shared" ref="C92:L92" si="78">SUBSTITUTE(IF(C$11="","{progress_rate,"&amp;C$4&amp;","&amp;C75&amp;"}",IF(C75&gt;=1,"{progress,"&amp;C$11*100&amp;","&amp;C$4&amp;","&amp;C75&amp;"}","{progress_rate_roll,"&amp;C$11*100&amp;","&amp;INT(C75*10000)&amp;","&amp;C$4&amp;","&amp;1&amp;"}")),C$4,IF(ISNUMBER(C$4),C$4,OFFSET($AG92,0,MATCH(C$4,$AG$28:$AI$28,0)-1)))</f>
        <v>{progress_rate,2,129}</v>
      </c>
      <c r="D92" t="str">
        <f ca="1" t="shared" si="78"/>
        <v>{progress,0,2,516}</v>
      </c>
      <c r="E92" t="str">
        <f ca="1" t="shared" si="78"/>
        <v>{progress_rate,5103002,20}</v>
      </c>
      <c r="F92" t="str">
        <f ca="1" t="shared" si="78"/>
        <v>{progress,0,5103002,20}</v>
      </c>
      <c r="G92" t="str">
        <f ca="1" t="shared" si="78"/>
        <v>{progress_rate,5303001,4}</v>
      </c>
      <c r="H92" t="str">
        <f ca="1" t="shared" si="78"/>
        <v>{progress,0,5103002,40}</v>
      </c>
      <c r="I92" t="str">
        <f ca="1" t="shared" si="78"/>
        <v>{progress_rate,5203001,10}</v>
      </c>
      <c r="J92" t="str">
        <f ca="1" t="shared" si="78"/>
        <v>{progress_rate,50026,8}</v>
      </c>
      <c r="K92" t="str">
        <f ca="1" t="shared" si="78"/>
        <v>{progress,0,50026,8}</v>
      </c>
      <c r="L92" t="str">
        <f ca="1" t="shared" si="78"/>
        <v>{progress_rate,5204001,2}</v>
      </c>
      <c r="N92" s="13" t="str">
        <f ca="1" t="shared" ref="N92:AE92" si="79">SUBSTITUTE(IF(N$11="","{progress_rate,"&amp;N$4&amp;","&amp;N75&amp;"}",IF(N75&gt;=1,"{progress,"&amp;N$11*100&amp;","&amp;N$4&amp;","&amp;N75&amp;"}","{progress_rate_roll,"&amp;N$11*100&amp;","&amp;INT(N75*10000)&amp;","&amp;N$4&amp;","&amp;1&amp;"}")),N$4,IF(ISNUMBER(N$4),N$4,OFFSET($AG92,0,MATCH(N$4,$AG$28:$AI$28,0)-1)))</f>
        <v>{progress_rate,21355,1}</v>
      </c>
      <c r="O92" s="13" t="str">
        <f ca="1" t="shared" si="79"/>
        <v>{progress,0,5401000,1}</v>
      </c>
      <c r="P92" s="61" t="str">
        <f ca="1" t="shared" si="79"/>
        <v>{progress_rate_roll,0,0,21340,1}</v>
      </c>
      <c r="Q92" s="61" t="str">
        <f ca="1" t="shared" si="79"/>
        <v>{progress,0,21355,2}</v>
      </c>
      <c r="R92" s="61" t="str">
        <f ca="1" t="shared" si="79"/>
        <v>{progress,0,5401000,2}</v>
      </c>
      <c r="S92" s="62" t="str">
        <f ca="1" t="shared" si="79"/>
        <v>{progress_rate,21340,1}</v>
      </c>
      <c r="T92" s="62" t="str">
        <f ca="1" t="shared" si="79"/>
        <v>{progress,0,21355,1}</v>
      </c>
      <c r="U92" s="62" t="str">
        <f ca="1" t="shared" si="79"/>
        <v>{progress,0,5401000,3}</v>
      </c>
      <c r="V92" s="63" t="str">
        <f ca="1" t="shared" si="79"/>
        <v>{progress,0,21340,1}</v>
      </c>
      <c r="W92" s="63" t="str">
        <f ca="1" t="shared" si="79"/>
        <v>{progress,0,21355,2}</v>
      </c>
      <c r="X92" s="63" t="str">
        <f ca="1" t="shared" si="79"/>
        <v>{progress,0,5401000,4}</v>
      </c>
      <c r="Y92" s="63" t="str">
        <f ca="1" t="shared" si="79"/>
        <v>{progress_rate_roll,0,1840,9,1}</v>
      </c>
      <c r="Z92" s="63" t="str">
        <f ca="1" t="shared" si="79"/>
        <v>{progress_rate_roll,0,160,30,1}</v>
      </c>
      <c r="AA92" s="62" t="str">
        <f ca="1" t="shared" si="79"/>
        <v>{progress,0,21340,1}</v>
      </c>
      <c r="AB92" s="62" t="str">
        <f ca="1" t="shared" si="79"/>
        <v>{progress,0,21355,2}</v>
      </c>
      <c r="AC92" s="62" t="str">
        <f ca="1" t="shared" si="79"/>
        <v>{progress,0,5401000,5}</v>
      </c>
      <c r="AD92" s="63" t="str">
        <f ca="1" t="shared" si="79"/>
        <v>{progress_rate_roll,0,1840,9,1}</v>
      </c>
      <c r="AE92" s="63" t="str">
        <f ca="1" t="shared" si="79"/>
        <v>{progress_rate_roll,0,160,30,1}</v>
      </c>
      <c r="AG92" s="17">
        <f t="shared" si="58"/>
        <v>21340</v>
      </c>
      <c r="AH92" s="17">
        <f t="shared" si="59"/>
        <v>21355</v>
      </c>
      <c r="AI92">
        <v>5401000</v>
      </c>
      <c r="AK92" s="17"/>
    </row>
    <row r="93" ht="14.25" spans="2:37">
      <c r="B93">
        <v>12</v>
      </c>
      <c r="C93" t="str">
        <f ca="1" t="shared" ref="C93:L93" si="80">SUBSTITUTE(IF(C$11="","{progress_rate,"&amp;C$4&amp;","&amp;C76&amp;"}",IF(C76&gt;=1,"{progress,"&amp;C$11*100&amp;","&amp;C$4&amp;","&amp;C76&amp;"}","{progress_rate_roll,"&amp;C$11*100&amp;","&amp;INT(C76*10000)&amp;","&amp;C$4&amp;","&amp;1&amp;"}")),C$4,IF(ISNUMBER(C$4),C$4,OFFSET($AG93,0,MATCH(C$4,$AG$28:$AI$28,0)-1)))</f>
        <v>{progress_rate,2,134}</v>
      </c>
      <c r="D93" t="str">
        <f ca="1" t="shared" si="80"/>
        <v>{progress,0,2,536}</v>
      </c>
      <c r="E93" t="str">
        <f ca="1" t="shared" si="80"/>
        <v>{progress_rate,5103002,20}</v>
      </c>
      <c r="F93" t="str">
        <f ca="1" t="shared" si="80"/>
        <v>{progress,0,5103002,20}</v>
      </c>
      <c r="G93" t="str">
        <f ca="1" t="shared" si="80"/>
        <v>{progress_rate,5303001,4}</v>
      </c>
      <c r="H93" t="str">
        <f ca="1" t="shared" si="80"/>
        <v>{progress,0,5103002,40}</v>
      </c>
      <c r="I93" t="str">
        <f ca="1" t="shared" si="80"/>
        <v>{progress_rate,5203001,10}</v>
      </c>
      <c r="J93" t="str">
        <f ca="1" t="shared" si="80"/>
        <v>{progress_rate,50026,8}</v>
      </c>
      <c r="K93" t="str">
        <f ca="1" t="shared" si="80"/>
        <v>{progress,0,50026,8}</v>
      </c>
      <c r="L93" t="str">
        <f ca="1" t="shared" si="80"/>
        <v>{progress_rate,5204001,2}</v>
      </c>
      <c r="N93" s="13" t="str">
        <f ca="1" t="shared" ref="N93:AE93" si="81">SUBSTITUTE(IF(N$11="","{progress_rate,"&amp;N$4&amp;","&amp;N76&amp;"}",IF(N76&gt;=1,"{progress,"&amp;N$11*100&amp;","&amp;N$4&amp;","&amp;N76&amp;"}","{progress_rate_roll,"&amp;N$11*100&amp;","&amp;INT(N76*10000)&amp;","&amp;N$4&amp;","&amp;1&amp;"}")),N$4,IF(ISNUMBER(N$4),N$4,OFFSET($AG93,0,MATCH(N$4,$AG$28:$AI$28,0)-1)))</f>
        <v>{progress_rate,21356,1}</v>
      </c>
      <c r="O93" s="13" t="str">
        <f ca="1" t="shared" si="81"/>
        <v>{progress,0,5401000,1}</v>
      </c>
      <c r="P93" s="61" t="str">
        <f ca="1" t="shared" si="81"/>
        <v>{progress_rate_roll,0,0,21341,1}</v>
      </c>
      <c r="Q93" s="61" t="str">
        <f ca="1" t="shared" si="81"/>
        <v>{progress,0,21356,2}</v>
      </c>
      <c r="R93" s="61" t="str">
        <f ca="1" t="shared" si="81"/>
        <v>{progress,0,5401000,2}</v>
      </c>
      <c r="S93" s="62" t="str">
        <f ca="1" t="shared" si="81"/>
        <v>{progress_rate,21341,1}</v>
      </c>
      <c r="T93" s="62" t="str">
        <f ca="1" t="shared" si="81"/>
        <v>{progress,0,21356,1}</v>
      </c>
      <c r="U93" s="62" t="str">
        <f ca="1" t="shared" si="81"/>
        <v>{progress,0,5401000,3}</v>
      </c>
      <c r="V93" s="63" t="str">
        <f ca="1" t="shared" si="81"/>
        <v>{progress,0,21341,1}</v>
      </c>
      <c r="W93" s="63" t="str">
        <f ca="1" t="shared" si="81"/>
        <v>{progress,0,21356,2}</v>
      </c>
      <c r="X93" s="63" t="str">
        <f ca="1" t="shared" si="81"/>
        <v>{progress,0,5401000,4}</v>
      </c>
      <c r="Y93" s="63" t="str">
        <f ca="1" t="shared" si="81"/>
        <v>{progress_rate_roll,0,1840,9,1}</v>
      </c>
      <c r="Z93" s="63" t="str">
        <f ca="1" t="shared" si="81"/>
        <v>{progress_rate_roll,0,160,30,1}</v>
      </c>
      <c r="AA93" s="62" t="str">
        <f ca="1" t="shared" si="81"/>
        <v>{progress,0,21341,1}</v>
      </c>
      <c r="AB93" s="62" t="str">
        <f ca="1" t="shared" si="81"/>
        <v>{progress,0,21356,2}</v>
      </c>
      <c r="AC93" s="62" t="str">
        <f ca="1" t="shared" si="81"/>
        <v>{progress,0,5401000,5}</v>
      </c>
      <c r="AD93" s="63" t="str">
        <f ca="1" t="shared" si="81"/>
        <v>{progress_rate_roll,0,1840,9,1}</v>
      </c>
      <c r="AE93" s="63" t="str">
        <f ca="1" t="shared" si="81"/>
        <v>{progress_rate_roll,0,160,30,1}</v>
      </c>
      <c r="AG93" s="17">
        <f t="shared" si="58"/>
        <v>21341</v>
      </c>
      <c r="AH93" s="17">
        <f t="shared" si="59"/>
        <v>21356</v>
      </c>
      <c r="AI93">
        <v>5401000</v>
      </c>
      <c r="AK93" s="17"/>
    </row>
    <row r="94" ht="14.25" spans="2:37">
      <c r="B94">
        <v>13</v>
      </c>
      <c r="C94" t="str">
        <f ca="1" t="shared" ref="C94:L94" si="82">SUBSTITUTE(IF(C$11="","{progress_rate,"&amp;C$4&amp;","&amp;C77&amp;"}",IF(C77&gt;=1,"{progress,"&amp;C$11*100&amp;","&amp;C$4&amp;","&amp;C77&amp;"}","{progress_rate_roll,"&amp;C$11*100&amp;","&amp;INT(C77*10000)&amp;","&amp;C$4&amp;","&amp;1&amp;"}")),C$4,IF(ISNUMBER(C$4),C$4,OFFSET($AG94,0,MATCH(C$4,$AG$28:$AI$28,0)-1)))</f>
        <v>{progress_rate,2,139}</v>
      </c>
      <c r="D94" t="str">
        <f ca="1" t="shared" si="82"/>
        <v>{progress,0,2,556}</v>
      </c>
      <c r="E94" t="str">
        <f ca="1" t="shared" si="82"/>
        <v>{progress_rate,5103002,20}</v>
      </c>
      <c r="F94" t="str">
        <f ca="1" t="shared" si="82"/>
        <v>{progress,0,5103002,20}</v>
      </c>
      <c r="G94" t="str">
        <f ca="1" t="shared" si="82"/>
        <v>{progress_rate,5303001,4}</v>
      </c>
      <c r="H94" t="str">
        <f ca="1" t="shared" si="82"/>
        <v>{progress,0,5103002,40}</v>
      </c>
      <c r="I94" t="str">
        <f ca="1" t="shared" si="82"/>
        <v>{progress_rate,5203001,10}</v>
      </c>
      <c r="J94" t="str">
        <f ca="1" t="shared" si="82"/>
        <v>{progress_rate,50026,8}</v>
      </c>
      <c r="K94" t="str">
        <f ca="1" t="shared" si="82"/>
        <v>{progress,0,50026,8}</v>
      </c>
      <c r="L94" t="str">
        <f ca="1" t="shared" si="82"/>
        <v>{progress_rate,5204001,2}</v>
      </c>
      <c r="N94" s="13" t="str">
        <f ca="1" t="shared" ref="N94:AE94" si="83">SUBSTITUTE(IF(N$11="","{progress_rate,"&amp;N$4&amp;","&amp;N77&amp;"}",IF(N77&gt;=1,"{progress,"&amp;N$11*100&amp;","&amp;N$4&amp;","&amp;N77&amp;"}","{progress_rate_roll,"&amp;N$11*100&amp;","&amp;INT(N77*10000)&amp;","&amp;N$4&amp;","&amp;1&amp;"}")),N$4,IF(ISNUMBER(N$4),N$4,OFFSET($AG94,0,MATCH(N$4,$AG$28:$AI$28,0)-1)))</f>
        <v>{progress_rate,21357,1}</v>
      </c>
      <c r="O94" s="13" t="str">
        <f ca="1" t="shared" si="83"/>
        <v>{progress,0,5401000,1}</v>
      </c>
      <c r="P94" s="61" t="str">
        <f ca="1" t="shared" si="83"/>
        <v>{progress_rate_roll,0,0,21342,1}</v>
      </c>
      <c r="Q94" s="61" t="str">
        <f ca="1" t="shared" si="83"/>
        <v>{progress,0,21357,2}</v>
      </c>
      <c r="R94" s="61" t="str">
        <f ca="1" t="shared" si="83"/>
        <v>{progress,0,5401000,2}</v>
      </c>
      <c r="S94" s="62" t="str">
        <f ca="1" t="shared" si="83"/>
        <v>{progress_rate,21342,1}</v>
      </c>
      <c r="T94" s="62" t="str">
        <f ca="1" t="shared" si="83"/>
        <v>{progress,0,21357,1}</v>
      </c>
      <c r="U94" s="62" t="str">
        <f ca="1" t="shared" si="83"/>
        <v>{progress,0,5401000,3}</v>
      </c>
      <c r="V94" s="63" t="str">
        <f ca="1" t="shared" si="83"/>
        <v>{progress,0,21342,1}</v>
      </c>
      <c r="W94" s="63" t="str">
        <f ca="1" t="shared" si="83"/>
        <v>{progress,0,21357,2}</v>
      </c>
      <c r="X94" s="63" t="str">
        <f ca="1" t="shared" si="83"/>
        <v>{progress,0,5401000,4}</v>
      </c>
      <c r="Y94" s="63" t="str">
        <f ca="1" t="shared" si="83"/>
        <v>{progress_rate_roll,0,1840,9,1}</v>
      </c>
      <c r="Z94" s="63" t="str">
        <f ca="1" t="shared" si="83"/>
        <v>{progress_rate_roll,0,160,30,1}</v>
      </c>
      <c r="AA94" s="62" t="str">
        <f ca="1" t="shared" si="83"/>
        <v>{progress,0,21342,1}</v>
      </c>
      <c r="AB94" s="62" t="str">
        <f ca="1" t="shared" si="83"/>
        <v>{progress,0,21357,2}</v>
      </c>
      <c r="AC94" s="62" t="str">
        <f ca="1" t="shared" si="83"/>
        <v>{progress,0,5401000,5}</v>
      </c>
      <c r="AD94" s="63" t="str">
        <f ca="1" t="shared" si="83"/>
        <v>{progress_rate_roll,0,1840,9,1}</v>
      </c>
      <c r="AE94" s="63" t="str">
        <f ca="1" t="shared" si="83"/>
        <v>{progress_rate_roll,0,160,30,1}</v>
      </c>
      <c r="AG94" s="17">
        <f t="shared" si="58"/>
        <v>21342</v>
      </c>
      <c r="AH94" s="17">
        <f t="shared" si="59"/>
        <v>21357</v>
      </c>
      <c r="AI94">
        <v>5401000</v>
      </c>
      <c r="AK94" s="17"/>
    </row>
    <row r="95" ht="14.25" spans="2:37">
      <c r="B95">
        <v>14</v>
      </c>
      <c r="C95" t="str">
        <f ca="1" t="shared" ref="C95:L95" si="84">SUBSTITUTE(IF(C$11="","{progress_rate,"&amp;C$4&amp;","&amp;C78&amp;"}",IF(C78&gt;=1,"{progress,"&amp;C$11*100&amp;","&amp;C$4&amp;","&amp;C78&amp;"}","{progress_rate_roll,"&amp;C$11*100&amp;","&amp;INT(C78*10000)&amp;","&amp;C$4&amp;","&amp;1&amp;"}")),C$4,IF(ISNUMBER(C$4),C$4,OFFSET($AG95,0,MATCH(C$4,$AG$28:$AI$28,0)-1)))</f>
        <v>{progress_rate,2,144}</v>
      </c>
      <c r="D95" t="str">
        <f ca="1" t="shared" si="84"/>
        <v>{progress,0,2,576}</v>
      </c>
      <c r="E95" t="str">
        <f ca="1" t="shared" si="84"/>
        <v>{progress_rate,5103002,20}</v>
      </c>
      <c r="F95" t="str">
        <f ca="1" t="shared" si="84"/>
        <v>{progress,0,5103002,20}</v>
      </c>
      <c r="G95" t="str">
        <f ca="1" t="shared" si="84"/>
        <v>{progress_rate,5303001,4}</v>
      </c>
      <c r="H95" t="str">
        <f ca="1" t="shared" si="84"/>
        <v>{progress,0,5103002,40}</v>
      </c>
      <c r="I95" t="str">
        <f ca="1" t="shared" si="84"/>
        <v>{progress_rate,5203001,10}</v>
      </c>
      <c r="J95" t="str">
        <f ca="1" t="shared" si="84"/>
        <v>{progress_rate,50026,8}</v>
      </c>
      <c r="K95" t="str">
        <f ca="1" t="shared" si="84"/>
        <v>{progress,0,50026,8}</v>
      </c>
      <c r="L95" t="str">
        <f ca="1" t="shared" si="84"/>
        <v>{progress_rate,5204001,2}</v>
      </c>
      <c r="N95" s="13" t="str">
        <f ca="1" t="shared" ref="N95:AE95" si="85">SUBSTITUTE(IF(N$11="","{progress_rate,"&amp;N$4&amp;","&amp;N78&amp;"}",IF(N78&gt;=1,"{progress,"&amp;N$11*100&amp;","&amp;N$4&amp;","&amp;N78&amp;"}","{progress_rate_roll,"&amp;N$11*100&amp;","&amp;INT(N78*10000)&amp;","&amp;N$4&amp;","&amp;1&amp;"}")),N$4,IF(ISNUMBER(N$4),N$4,OFFSET($AG95,0,MATCH(N$4,$AG$28:$AI$28,0)-1)))</f>
        <v>{progress_rate,21358,1}</v>
      </c>
      <c r="O95" s="13" t="str">
        <f ca="1" t="shared" si="85"/>
        <v>{progress,0,5401000,1}</v>
      </c>
      <c r="P95" s="61" t="str">
        <f ca="1" t="shared" si="85"/>
        <v>{progress_rate_roll,0,0,21343,1}</v>
      </c>
      <c r="Q95" s="61" t="str">
        <f ca="1" t="shared" si="85"/>
        <v>{progress,0,21358,2}</v>
      </c>
      <c r="R95" s="61" t="str">
        <f ca="1" t="shared" si="85"/>
        <v>{progress,0,5401000,2}</v>
      </c>
      <c r="S95" s="62" t="str">
        <f ca="1" t="shared" si="85"/>
        <v>{progress_rate,21343,1}</v>
      </c>
      <c r="T95" s="62" t="str">
        <f ca="1" t="shared" si="85"/>
        <v>{progress,0,21358,1}</v>
      </c>
      <c r="U95" s="62" t="str">
        <f ca="1" t="shared" si="85"/>
        <v>{progress,0,5401000,3}</v>
      </c>
      <c r="V95" s="63" t="str">
        <f ca="1" t="shared" si="85"/>
        <v>{progress,0,21343,1}</v>
      </c>
      <c r="W95" s="63" t="str">
        <f ca="1" t="shared" si="85"/>
        <v>{progress,0,21358,2}</v>
      </c>
      <c r="X95" s="63" t="str">
        <f ca="1" t="shared" si="85"/>
        <v>{progress,0,5401000,4}</v>
      </c>
      <c r="Y95" s="63" t="str">
        <f ca="1" t="shared" si="85"/>
        <v>{progress_rate_roll,0,1840,9,1}</v>
      </c>
      <c r="Z95" s="63" t="str">
        <f ca="1" t="shared" si="85"/>
        <v>{progress_rate_roll,0,160,30,1}</v>
      </c>
      <c r="AA95" s="62" t="str">
        <f ca="1" t="shared" si="85"/>
        <v>{progress,0,21343,1}</v>
      </c>
      <c r="AB95" s="62" t="str">
        <f ca="1" t="shared" si="85"/>
        <v>{progress,0,21358,2}</v>
      </c>
      <c r="AC95" s="62" t="str">
        <f ca="1" t="shared" si="85"/>
        <v>{progress,0,5401000,5}</v>
      </c>
      <c r="AD95" s="63" t="str">
        <f ca="1" t="shared" si="85"/>
        <v>{progress_rate_roll,0,1840,9,1}</v>
      </c>
      <c r="AE95" s="63" t="str">
        <f ca="1" t="shared" si="85"/>
        <v>{progress_rate_roll,0,160,30,1}</v>
      </c>
      <c r="AG95" s="17">
        <f t="shared" si="58"/>
        <v>21343</v>
      </c>
      <c r="AH95" s="17">
        <f t="shared" si="59"/>
        <v>21358</v>
      </c>
      <c r="AI95">
        <v>5401000</v>
      </c>
      <c r="AK95" s="17"/>
    </row>
    <row r="96" ht="14.25" spans="2:37">
      <c r="B96">
        <v>15</v>
      </c>
      <c r="C96" t="str">
        <f ca="1" t="shared" ref="C96:L96" si="86">SUBSTITUTE(IF(C$11="","{progress_rate,"&amp;C$4&amp;","&amp;C79&amp;"}",IF(C79&gt;=1,"{progress,"&amp;C$11*100&amp;","&amp;C$4&amp;","&amp;C79&amp;"}","{progress_rate_roll,"&amp;C$11*100&amp;","&amp;INT(C79*10000)&amp;","&amp;C$4&amp;","&amp;1&amp;"}")),C$4,IF(ISNUMBER(C$4),C$4,OFFSET($AG96,0,MATCH(C$4,$AG$28:$AI$28,0)-1)))</f>
        <v>{progress_rate,2,149}</v>
      </c>
      <c r="D96" t="str">
        <f ca="1" t="shared" si="86"/>
        <v>{progress,0,2,596}</v>
      </c>
      <c r="E96" t="str">
        <f ca="1" t="shared" si="86"/>
        <v>{progress_rate,5103002,20}</v>
      </c>
      <c r="F96" t="str">
        <f ca="1" t="shared" si="86"/>
        <v>{progress,0,5103002,20}</v>
      </c>
      <c r="G96" t="str">
        <f ca="1" t="shared" si="86"/>
        <v>{progress_rate,5303001,4}</v>
      </c>
      <c r="H96" t="str">
        <f ca="1" t="shared" si="86"/>
        <v>{progress,0,5103002,40}</v>
      </c>
      <c r="I96" t="str">
        <f ca="1" t="shared" si="86"/>
        <v>{progress_rate,5203001,10}</v>
      </c>
      <c r="J96" t="str">
        <f ca="1" t="shared" si="86"/>
        <v>{progress_rate,50026,8}</v>
      </c>
      <c r="K96" t="str">
        <f ca="1" t="shared" si="86"/>
        <v>{progress,0,50026,8}</v>
      </c>
      <c r="L96" t="str">
        <f ca="1" t="shared" si="86"/>
        <v>{progress_rate,5204001,2}</v>
      </c>
      <c r="N96" s="13" t="str">
        <f ca="1" t="shared" ref="N96:AE96" si="87">SUBSTITUTE(IF(N$11="","{progress_rate,"&amp;N$4&amp;","&amp;N79&amp;"}",IF(N79&gt;=1,"{progress,"&amp;N$11*100&amp;","&amp;N$4&amp;","&amp;N79&amp;"}","{progress_rate_roll,"&amp;N$11*100&amp;","&amp;INT(N79*10000)&amp;","&amp;N$4&amp;","&amp;1&amp;"}")),N$4,IF(ISNUMBER(N$4),N$4,OFFSET($AG96,0,MATCH(N$4,$AG$28:$AI$28,0)-1)))</f>
        <v>{progress_rate,21359,1}</v>
      </c>
      <c r="O96" s="13" t="str">
        <f ca="1" t="shared" si="87"/>
        <v>{progress,0,5401000,1}</v>
      </c>
      <c r="P96" s="61" t="str">
        <f ca="1" t="shared" si="87"/>
        <v>{progress_rate_roll,0,0,21344,1}</v>
      </c>
      <c r="Q96" s="61" t="str">
        <f ca="1" t="shared" si="87"/>
        <v>{progress,0,21359,2}</v>
      </c>
      <c r="R96" s="61" t="str">
        <f ca="1" t="shared" si="87"/>
        <v>{progress,0,5401000,2}</v>
      </c>
      <c r="S96" s="62" t="str">
        <f ca="1" t="shared" si="87"/>
        <v>{progress_rate,21344,1}</v>
      </c>
      <c r="T96" s="62" t="str">
        <f ca="1" t="shared" si="87"/>
        <v>{progress,0,21359,1}</v>
      </c>
      <c r="U96" s="62" t="str">
        <f ca="1" t="shared" si="87"/>
        <v>{progress,0,5401000,3}</v>
      </c>
      <c r="V96" s="63" t="str">
        <f ca="1" t="shared" si="87"/>
        <v>{progress,0,21344,1}</v>
      </c>
      <c r="W96" s="63" t="str">
        <f ca="1" t="shared" si="87"/>
        <v>{progress,0,21359,2}</v>
      </c>
      <c r="X96" s="63" t="str">
        <f ca="1" t="shared" si="87"/>
        <v>{progress,0,5401000,4}</v>
      </c>
      <c r="Y96" s="63" t="str">
        <f ca="1" t="shared" si="87"/>
        <v>{progress_rate_roll,0,1840,9,1}</v>
      </c>
      <c r="Z96" s="63" t="str">
        <f ca="1" t="shared" si="87"/>
        <v>{progress_rate_roll,0,160,30,1}</v>
      </c>
      <c r="AA96" s="62" t="str">
        <f ca="1" t="shared" si="87"/>
        <v>{progress,0,21344,1}</v>
      </c>
      <c r="AB96" s="62" t="str">
        <f ca="1" t="shared" si="87"/>
        <v>{progress,0,21359,2}</v>
      </c>
      <c r="AC96" s="62" t="str">
        <f ca="1" t="shared" si="87"/>
        <v>{progress,0,5401000,5}</v>
      </c>
      <c r="AD96" s="63" t="str">
        <f ca="1" t="shared" si="87"/>
        <v>{progress_rate_roll,0,1840,9,1}</v>
      </c>
      <c r="AE96" s="63" t="str">
        <f ca="1" t="shared" si="87"/>
        <v>{progress_rate_roll,0,160,30,1}</v>
      </c>
      <c r="AG96" s="17">
        <f t="shared" si="58"/>
        <v>21344</v>
      </c>
      <c r="AH96" s="17">
        <f t="shared" si="59"/>
        <v>21359</v>
      </c>
      <c r="AI96">
        <v>5401000</v>
      </c>
      <c r="AK96" s="17"/>
    </row>
    <row r="99" spans="2:8">
      <c r="B99" t="s">
        <v>424</v>
      </c>
      <c r="D99" t="s">
        <v>418</v>
      </c>
      <c r="E99" t="s">
        <v>419</v>
      </c>
      <c r="F99" t="s">
        <v>420</v>
      </c>
      <c r="G99" t="s">
        <v>421</v>
      </c>
      <c r="H99" t="s">
        <v>422</v>
      </c>
    </row>
    <row r="100" spans="2:8">
      <c r="B100">
        <v>1</v>
      </c>
      <c r="C100" t="str">
        <f ca="1">"["&amp;_xlfn.TEXTJOIN(",",1,C82:$L82)</f>
        <v>[{progress_rate,2,79},{progress,0,2,316},{progress_rate,5103002,20},{progress,0,5103002,20},{progress_rate,5303001,4},{progress,0,5103002,40},{progress_rate,5203001,10},{progress_rate,50026,8},{progress,0,50026,8},{progress_rate,5204001,2}</v>
      </c>
      <c r="D100" t="str">
        <f ca="1" t="shared" ref="D100:D114" si="88">$C100&amp;","&amp;_xlfn.TEXTJOIN(",",1,$M82:$O82)&amp;"]"</f>
        <v>[{progress_rate,2,79},{progress,0,2,316},{progress_rate,5103002,20},{progress,0,5103002,20},{progress_rate,5303001,4},{progress,0,5103002,40},{progress_rate,5203001,10},{progress_rate,50026,8},{progress,0,50026,8},{progress_rate,5204001,2},{progress_rate,21345,1},{progress,0,5401000,1}]</v>
      </c>
      <c r="E100" t="str">
        <f ca="1" t="shared" ref="E100:E114" si="89">$C100&amp;","&amp;_xlfn.TEXTJOIN(",",1,$P82:$R82)&amp;"]"</f>
        <v>[{progress_rate,2,79},{progress,0,2,316},{progress_rate,5103002,20},{progress,0,5103002,20},{progress_rate,5303001,4},{progress,0,5103002,40},{progress_rate,5203001,10},{progress_rate,50026,8},{progress,0,50026,8},{progress_rate,5204001,2},{progress_rate_roll,0,0,21330,1},{progress,0,21345,2},{progress,0,5401000,2}]</v>
      </c>
      <c r="F100" t="str">
        <f ca="1" t="shared" ref="F100:F114" si="90">$C100&amp;","&amp;_xlfn.TEXTJOIN(",",1,$S82:$U82)&amp;"]"</f>
        <v>[{progress_rate,2,79},{progress,0,2,316},{progress_rate,5103002,20},{progress,0,5103002,20},{progress_rate,5303001,4},{progress,0,5103002,40},{progress_rate,5203001,10},{progress_rate,50026,8},{progress,0,50026,8},{progress_rate,5204001,2},{progress_rate,21330,1},{progress,0,21345,1},{progress,0,5401000,3}]</v>
      </c>
      <c r="G100" t="str">
        <f ca="1" t="shared" ref="G100:G114" si="91">$C100&amp;","&amp;_xlfn.TEXTJOIN(",",1,$V82:$Z82)&amp;"]"</f>
        <v>[{progress_rate,2,79},{progress,0,2,316},{progress_rate,5103002,20},{progress,0,5103002,20},{progress_rate,5303001,4},{progress,0,5103002,40},{progress_rate,5203001,10},{progress_rate,50026,8},{progress,0,50026,8},{progress_rate,5204001,2},{progress,0,21330,1},{progress,0,21345,2},{progress,0,5401000,4},{progress_rate_roll,0,1840,9,1},{progress_rate_roll,0,160,30,1}]</v>
      </c>
      <c r="H100" t="str">
        <f ca="1" t="shared" ref="H100:H114" si="92">$C100&amp;","&amp;_xlfn.TEXTJOIN(",",1,$AA82:$AE82)&amp;"]"</f>
        <v>[{progress_rate,2,79},{progress,0,2,316},{progress_rate,5103002,20},{progress,0,5103002,20},{progress_rate,5303001,4},{progress,0,5103002,40},{progress_rate,5203001,10},{progress_rate,50026,8},{progress,0,50026,8},{progress_rate,5204001,2},{progress,0,21330,1},{progress,0,21345,2},{progress,0,5401000,5},{progress_rate_roll,0,1840,9,1},{progress_rate_roll,0,160,30,1}]</v>
      </c>
    </row>
    <row r="101" spans="2:8">
      <c r="B101">
        <v>2</v>
      </c>
      <c r="C101" t="str">
        <f ca="1">"["&amp;_xlfn.TEXTJOIN(",",1,C83:$L83)</f>
        <v>[{progress_rate,2,84},{progress,0,2,336},{progress_rate,5103002,20},{progress,0,5103002,20},{progress_rate,5303001,4},{progress,0,5103002,40},{progress_rate,5203001,10},{progress_rate,50026,8},{progress,0,50026,8},{progress_rate,5204001,2}</v>
      </c>
      <c r="D101" t="str">
        <f ca="1" t="shared" si="88"/>
        <v>[{progress_rate,2,84},{progress,0,2,336},{progress_rate,5103002,20},{progress,0,5103002,20},{progress_rate,5303001,4},{progress,0,5103002,40},{progress_rate,5203001,10},{progress_rate,50026,8},{progress,0,50026,8},{progress_rate,5204001,2},{progress_rate,21346,1},{progress,0,5401000,1}]</v>
      </c>
      <c r="E101" t="str">
        <f ca="1" t="shared" si="89"/>
        <v>[{progress_rate,2,84},{progress,0,2,336},{progress_rate,5103002,20},{progress,0,5103002,20},{progress_rate,5303001,4},{progress,0,5103002,40},{progress_rate,5203001,10},{progress_rate,50026,8},{progress,0,50026,8},{progress_rate,5204001,2},{progress_rate_roll,0,0,21331,1},{progress,0,21346,2},{progress,0,5401000,2}]</v>
      </c>
      <c r="F101" t="str">
        <f ca="1" t="shared" si="90"/>
        <v>[{progress_rate,2,84},{progress,0,2,336},{progress_rate,5103002,20},{progress,0,5103002,20},{progress_rate,5303001,4},{progress,0,5103002,40},{progress_rate,5203001,10},{progress_rate,50026,8},{progress,0,50026,8},{progress_rate,5204001,2},{progress_rate,21331,1},{progress,0,21346,1},{progress,0,5401000,3}]</v>
      </c>
      <c r="G101" t="str">
        <f ca="1" t="shared" si="91"/>
        <v>[{progress_rate,2,84},{progress,0,2,336},{progress_rate,5103002,20},{progress,0,5103002,20},{progress_rate,5303001,4},{progress,0,5103002,40},{progress_rate,5203001,10},{progress_rate,50026,8},{progress,0,50026,8},{progress_rate,5204001,2},{progress,0,21331,1},{progress,0,21346,2},{progress,0,5401000,4},{progress_rate_roll,0,1840,9,1},{progress_rate_roll,0,160,30,1}]</v>
      </c>
      <c r="H101" t="str">
        <f ca="1" t="shared" si="92"/>
        <v>[{progress_rate,2,84},{progress,0,2,336},{progress_rate,5103002,20},{progress,0,5103002,20},{progress_rate,5303001,4},{progress,0,5103002,40},{progress_rate,5203001,10},{progress_rate,50026,8},{progress,0,50026,8},{progress_rate,5204001,2},{progress,0,21331,1},{progress,0,21346,2},{progress,0,5401000,5},{progress_rate_roll,0,1840,9,1},{progress_rate_roll,0,160,30,1}]</v>
      </c>
    </row>
    <row r="102" spans="2:8">
      <c r="B102">
        <v>3</v>
      </c>
      <c r="C102" t="str">
        <f ca="1">"["&amp;_xlfn.TEXTJOIN(",",1,C84:$L84)</f>
        <v>[{progress_rate,2,89},{progress,0,2,356},{progress_rate,5103002,20},{progress,0,5103002,20},{progress_rate,5303001,4},{progress,0,5103002,40},{progress_rate,5203001,10},{progress_rate,50026,8},{progress,0,50026,8},{progress_rate,5204001,2}</v>
      </c>
      <c r="D102" t="str">
        <f ca="1" t="shared" si="88"/>
        <v>[{progress_rate,2,89},{progress,0,2,356},{progress_rate,5103002,20},{progress,0,5103002,20},{progress_rate,5303001,4},{progress,0,5103002,40},{progress_rate,5203001,10},{progress_rate,50026,8},{progress,0,50026,8},{progress_rate,5204001,2},{progress_rate,21347,1},{progress,0,5401000,1}]</v>
      </c>
      <c r="E102" t="str">
        <f ca="1" t="shared" si="89"/>
        <v>[{progress_rate,2,89},{progress,0,2,356},{progress_rate,5103002,20},{progress,0,5103002,20},{progress_rate,5303001,4},{progress,0,5103002,40},{progress_rate,5203001,10},{progress_rate,50026,8},{progress,0,50026,8},{progress_rate,5204001,2},{progress_rate_roll,0,0,21332,1},{progress,0,21347,2},{progress,0,5401000,2}]</v>
      </c>
      <c r="F102" t="str">
        <f ca="1" t="shared" si="90"/>
        <v>[{progress_rate,2,89},{progress,0,2,356},{progress_rate,5103002,20},{progress,0,5103002,20},{progress_rate,5303001,4},{progress,0,5103002,40},{progress_rate,5203001,10},{progress_rate,50026,8},{progress,0,50026,8},{progress_rate,5204001,2},{progress_rate,21332,1},{progress,0,21347,1},{progress,0,5401000,3}]</v>
      </c>
      <c r="G102" t="str">
        <f ca="1" t="shared" si="91"/>
        <v>[{progress_rate,2,89},{progress,0,2,356},{progress_rate,5103002,20},{progress,0,5103002,20},{progress_rate,5303001,4},{progress,0,5103002,40},{progress_rate,5203001,10},{progress_rate,50026,8},{progress,0,50026,8},{progress_rate,5204001,2},{progress,0,21332,1},{progress,0,21347,2},{progress,0,5401000,4},{progress_rate_roll,0,1840,9,1},{progress_rate_roll,0,160,30,1}]</v>
      </c>
      <c r="H102" t="str">
        <f ca="1" t="shared" si="92"/>
        <v>[{progress_rate,2,89},{progress,0,2,356},{progress_rate,5103002,20},{progress,0,5103002,20},{progress_rate,5303001,4},{progress,0,5103002,40},{progress_rate,5203001,10},{progress_rate,50026,8},{progress,0,50026,8},{progress_rate,5204001,2},{progress,0,21332,1},{progress,0,21347,2},{progress,0,5401000,5},{progress_rate_roll,0,1840,9,1},{progress_rate_roll,0,160,30,1}]</v>
      </c>
    </row>
    <row r="103" spans="2:8">
      <c r="B103">
        <v>4</v>
      </c>
      <c r="C103" t="str">
        <f ca="1">"["&amp;_xlfn.TEXTJOIN(",",1,C85:$L85)</f>
        <v>[{progress_rate,2,94},{progress,0,2,376},{progress_rate,5103002,20},{progress,0,5103002,20},{progress_rate,5303001,4},{progress,0,5103002,40},{progress_rate,5203001,10},{progress_rate,50026,8},{progress,0,50026,8},{progress_rate,5204001,2}</v>
      </c>
      <c r="D103" t="str">
        <f ca="1" t="shared" si="88"/>
        <v>[{progress_rate,2,94},{progress,0,2,376},{progress_rate,5103002,20},{progress,0,5103002,20},{progress_rate,5303001,4},{progress,0,5103002,40},{progress_rate,5203001,10},{progress_rate,50026,8},{progress,0,50026,8},{progress_rate,5204001,2},{progress_rate,21348,1},{progress,0,5401000,1}]</v>
      </c>
      <c r="E103" t="str">
        <f ca="1" t="shared" si="89"/>
        <v>[{progress_rate,2,94},{progress,0,2,376},{progress_rate,5103002,20},{progress,0,5103002,20},{progress_rate,5303001,4},{progress,0,5103002,40},{progress_rate,5203001,10},{progress_rate,50026,8},{progress,0,50026,8},{progress_rate,5204001,2},{progress_rate_roll,0,0,21333,1},{progress,0,21348,2},{progress,0,5401000,2}]</v>
      </c>
      <c r="F103" t="str">
        <f ca="1" t="shared" si="90"/>
        <v>[{progress_rate,2,94},{progress,0,2,376},{progress_rate,5103002,20},{progress,0,5103002,20},{progress_rate,5303001,4},{progress,0,5103002,40},{progress_rate,5203001,10},{progress_rate,50026,8},{progress,0,50026,8},{progress_rate,5204001,2},{progress_rate,21333,1},{progress,0,21348,1},{progress,0,5401000,3}]</v>
      </c>
      <c r="G103" t="str">
        <f ca="1" t="shared" si="91"/>
        <v>[{progress_rate,2,94},{progress,0,2,376},{progress_rate,5103002,20},{progress,0,5103002,20},{progress_rate,5303001,4},{progress,0,5103002,40},{progress_rate,5203001,10},{progress_rate,50026,8},{progress,0,50026,8},{progress_rate,5204001,2},{progress,0,21333,1},{progress,0,21348,2},{progress,0,5401000,4},{progress_rate_roll,0,1840,9,1},{progress_rate_roll,0,160,30,1}]</v>
      </c>
      <c r="H103" t="str">
        <f ca="1" t="shared" si="92"/>
        <v>[{progress_rate,2,94},{progress,0,2,376},{progress_rate,5103002,20},{progress,0,5103002,20},{progress_rate,5303001,4},{progress,0,5103002,40},{progress_rate,5203001,10},{progress_rate,50026,8},{progress,0,50026,8},{progress_rate,5204001,2},{progress,0,21333,1},{progress,0,21348,2},{progress,0,5401000,5},{progress_rate_roll,0,1840,9,1},{progress_rate_roll,0,160,30,1}]</v>
      </c>
    </row>
    <row r="104" spans="2:8">
      <c r="B104">
        <v>5</v>
      </c>
      <c r="C104" t="str">
        <f ca="1">"["&amp;_xlfn.TEXTJOIN(",",1,C86:$L86)</f>
        <v>[{progress_rate,2,99},{progress,0,2,396},{progress_rate,5103002,20},{progress,0,5103002,20},{progress_rate,5303001,4},{progress,0,5103002,40},{progress_rate,5203001,10},{progress_rate,50026,8},{progress,0,50026,8},{progress_rate,5204001,2}</v>
      </c>
      <c r="D104" t="str">
        <f ca="1" t="shared" si="88"/>
        <v>[{progress_rate,2,99},{progress,0,2,396},{progress_rate,5103002,20},{progress,0,5103002,20},{progress_rate,5303001,4},{progress,0,5103002,40},{progress_rate,5203001,10},{progress_rate,50026,8},{progress,0,50026,8},{progress_rate,5204001,2},{progress_rate,21349,1},{progress,0,5401000,1}]</v>
      </c>
      <c r="E104" t="str">
        <f ca="1" t="shared" si="89"/>
        <v>[{progress_rate,2,99},{progress,0,2,396},{progress_rate,5103002,20},{progress,0,5103002,20},{progress_rate,5303001,4},{progress,0,5103002,40},{progress_rate,5203001,10},{progress_rate,50026,8},{progress,0,50026,8},{progress_rate,5204001,2},{progress_rate_roll,0,0,21334,1},{progress,0,21349,2},{progress,0,5401000,2}]</v>
      </c>
      <c r="F104" t="str">
        <f ca="1" t="shared" si="90"/>
        <v>[{progress_rate,2,99},{progress,0,2,396},{progress_rate,5103002,20},{progress,0,5103002,20},{progress_rate,5303001,4},{progress,0,5103002,40},{progress_rate,5203001,10},{progress_rate,50026,8},{progress,0,50026,8},{progress_rate,5204001,2},{progress_rate,21334,1},{progress,0,21349,1},{progress,0,5401000,3}]</v>
      </c>
      <c r="G104" t="str">
        <f ca="1" t="shared" si="91"/>
        <v>[{progress_rate,2,99},{progress,0,2,396},{progress_rate,5103002,20},{progress,0,5103002,20},{progress_rate,5303001,4},{progress,0,5103002,40},{progress_rate,5203001,10},{progress_rate,50026,8},{progress,0,50026,8},{progress_rate,5204001,2},{progress,0,21334,1},{progress,0,21349,2},{progress,0,5401000,4},{progress_rate_roll,0,1840,9,1},{progress_rate_roll,0,160,30,1}]</v>
      </c>
      <c r="H104" t="str">
        <f ca="1" t="shared" si="92"/>
        <v>[{progress_rate,2,99},{progress,0,2,396},{progress_rate,5103002,20},{progress,0,5103002,20},{progress_rate,5303001,4},{progress,0,5103002,40},{progress_rate,5203001,10},{progress_rate,50026,8},{progress,0,50026,8},{progress_rate,5204001,2},{progress,0,21334,1},{progress,0,21349,2},{progress,0,5401000,5},{progress_rate_roll,0,1840,9,1},{progress_rate_roll,0,160,30,1}]</v>
      </c>
    </row>
    <row r="105" spans="2:8">
      <c r="B105">
        <v>6</v>
      </c>
      <c r="C105" t="str">
        <f ca="1">"["&amp;_xlfn.TEXTJOIN(",",1,C87:$L87)</f>
        <v>[{progress_rate,2,104},{progress,0,2,416},{progress_rate,5103002,20},{progress,0,5103002,20},{progress_rate,5303001,4},{progress,0,5103002,40},{progress_rate,5203001,10},{progress_rate,50026,8},{progress,0,50026,8},{progress_rate,5204001,2}</v>
      </c>
      <c r="D105" t="str">
        <f ca="1" t="shared" si="88"/>
        <v>[{progress_rate,2,104},{progress,0,2,416},{progress_rate,5103002,20},{progress,0,5103002,20},{progress_rate,5303001,4},{progress,0,5103002,40},{progress_rate,5203001,10},{progress_rate,50026,8},{progress,0,50026,8},{progress_rate,5204001,2},{progress_rate,21350,1},{progress,0,5401000,1}]</v>
      </c>
      <c r="E105" t="str">
        <f ca="1" t="shared" si="89"/>
        <v>[{progress_rate,2,104},{progress,0,2,416},{progress_rate,5103002,20},{progress,0,5103002,20},{progress_rate,5303001,4},{progress,0,5103002,40},{progress_rate,5203001,10},{progress_rate,50026,8},{progress,0,50026,8},{progress_rate,5204001,2},{progress_rate_roll,0,0,21335,1},{progress,0,21350,2},{progress,0,5401000,2}]</v>
      </c>
      <c r="F105" t="str">
        <f ca="1" t="shared" si="90"/>
        <v>[{progress_rate,2,104},{progress,0,2,416},{progress_rate,5103002,20},{progress,0,5103002,20},{progress_rate,5303001,4},{progress,0,5103002,40},{progress_rate,5203001,10},{progress_rate,50026,8},{progress,0,50026,8},{progress_rate,5204001,2},{progress_rate,21335,1},{progress,0,21350,1},{progress,0,5401000,3}]</v>
      </c>
      <c r="G105" t="str">
        <f ca="1" t="shared" si="91"/>
        <v>[{progress_rate,2,104},{progress,0,2,416},{progress_rate,5103002,20},{progress,0,5103002,20},{progress_rate,5303001,4},{progress,0,5103002,40},{progress_rate,5203001,10},{progress_rate,50026,8},{progress,0,50026,8},{progress_rate,5204001,2},{progress,0,21335,1},{progress,0,21350,2},{progress,0,5401000,4},{progress_rate_roll,0,1840,9,1},{progress_rate_roll,0,160,30,1}]</v>
      </c>
      <c r="H105" t="str">
        <f ca="1" t="shared" si="92"/>
        <v>[{progress_rate,2,104},{progress,0,2,416},{progress_rate,5103002,20},{progress,0,5103002,20},{progress_rate,5303001,4},{progress,0,5103002,40},{progress_rate,5203001,10},{progress_rate,50026,8},{progress,0,50026,8},{progress_rate,5204001,2},{progress,0,21335,1},{progress,0,21350,2},{progress,0,5401000,5},{progress_rate_roll,0,1840,9,1},{progress_rate_roll,0,160,30,1}]</v>
      </c>
    </row>
    <row r="106" spans="2:8">
      <c r="B106">
        <v>7</v>
      </c>
      <c r="C106" t="str">
        <f ca="1">"["&amp;_xlfn.TEXTJOIN(",",1,C88:$L88)</f>
        <v>[{progress_rate,2,109},{progress,0,2,436},{progress_rate,5103002,20},{progress,0,5103002,20},{progress_rate,5303001,4},{progress,0,5103002,40},{progress_rate,5203001,10},{progress_rate,50026,8},{progress,0,50026,8},{progress_rate,5204001,2}</v>
      </c>
      <c r="D106" t="str">
        <f ca="1" t="shared" si="88"/>
        <v>[{progress_rate,2,109},{progress,0,2,436},{progress_rate,5103002,20},{progress,0,5103002,20},{progress_rate,5303001,4},{progress,0,5103002,40},{progress_rate,5203001,10},{progress_rate,50026,8},{progress,0,50026,8},{progress_rate,5204001,2},{progress_rate,21351,1},{progress,0,5401000,1}]</v>
      </c>
      <c r="E106" t="str">
        <f ca="1" t="shared" si="89"/>
        <v>[{progress_rate,2,109},{progress,0,2,436},{progress_rate,5103002,20},{progress,0,5103002,20},{progress_rate,5303001,4},{progress,0,5103002,40},{progress_rate,5203001,10},{progress_rate,50026,8},{progress,0,50026,8},{progress_rate,5204001,2},{progress_rate_roll,0,0,21336,1},{progress,0,21351,2},{progress,0,5401000,2}]</v>
      </c>
      <c r="F106" t="str">
        <f ca="1" t="shared" si="90"/>
        <v>[{progress_rate,2,109},{progress,0,2,436},{progress_rate,5103002,20},{progress,0,5103002,20},{progress_rate,5303001,4},{progress,0,5103002,40},{progress_rate,5203001,10},{progress_rate,50026,8},{progress,0,50026,8},{progress_rate,5204001,2},{progress_rate,21336,1},{progress,0,21351,1},{progress,0,5401000,3}]</v>
      </c>
      <c r="G106" t="str">
        <f ca="1" t="shared" si="91"/>
        <v>[{progress_rate,2,109},{progress,0,2,436},{progress_rate,5103002,20},{progress,0,5103002,20},{progress_rate,5303001,4},{progress,0,5103002,40},{progress_rate,5203001,10},{progress_rate,50026,8},{progress,0,50026,8},{progress_rate,5204001,2},{progress,0,21336,1},{progress,0,21351,2},{progress,0,5401000,4},{progress_rate_roll,0,1840,9,1},{progress_rate_roll,0,160,30,1}]</v>
      </c>
      <c r="H106" t="str">
        <f ca="1" t="shared" si="92"/>
        <v>[{progress_rate,2,109},{progress,0,2,436},{progress_rate,5103002,20},{progress,0,5103002,20},{progress_rate,5303001,4},{progress,0,5103002,40},{progress_rate,5203001,10},{progress_rate,50026,8},{progress,0,50026,8},{progress_rate,5204001,2},{progress,0,21336,1},{progress,0,21351,2},{progress,0,5401000,5},{progress_rate_roll,0,1840,9,1},{progress_rate_roll,0,160,30,1}]</v>
      </c>
    </row>
    <row r="107" spans="2:8">
      <c r="B107">
        <v>8</v>
      </c>
      <c r="C107" t="str">
        <f ca="1">"["&amp;_xlfn.TEXTJOIN(",",1,C89:$L89)</f>
        <v>[{progress_rate,2,114},{progress,0,2,456},{progress_rate,5103002,20},{progress,0,5103002,20},{progress_rate,5303001,4},{progress,0,5103002,40},{progress_rate,5203001,10},{progress_rate,50026,8},{progress,0,50026,8},{progress_rate,5204001,2}</v>
      </c>
      <c r="D107" t="str">
        <f ca="1" t="shared" si="88"/>
        <v>[{progress_rate,2,114},{progress,0,2,456},{progress_rate,5103002,20},{progress,0,5103002,20},{progress_rate,5303001,4},{progress,0,5103002,40},{progress_rate,5203001,10},{progress_rate,50026,8},{progress,0,50026,8},{progress_rate,5204001,2},{progress_rate,21352,1},{progress,0,5401000,1}]</v>
      </c>
      <c r="E107" t="str">
        <f ca="1" t="shared" si="89"/>
        <v>[{progress_rate,2,114},{progress,0,2,456},{progress_rate,5103002,20},{progress,0,5103002,20},{progress_rate,5303001,4},{progress,0,5103002,40},{progress_rate,5203001,10},{progress_rate,50026,8},{progress,0,50026,8},{progress_rate,5204001,2},{progress_rate_roll,0,0,21337,1},{progress,0,21352,2},{progress,0,5401000,2}]</v>
      </c>
      <c r="F107" t="str">
        <f ca="1" t="shared" si="90"/>
        <v>[{progress_rate,2,114},{progress,0,2,456},{progress_rate,5103002,20},{progress,0,5103002,20},{progress_rate,5303001,4},{progress,0,5103002,40},{progress_rate,5203001,10},{progress_rate,50026,8},{progress,0,50026,8},{progress_rate,5204001,2},{progress_rate,21337,1},{progress,0,21352,1},{progress,0,5401000,3}]</v>
      </c>
      <c r="G107" t="str">
        <f ca="1" t="shared" si="91"/>
        <v>[{progress_rate,2,114},{progress,0,2,456},{progress_rate,5103002,20},{progress,0,5103002,20},{progress_rate,5303001,4},{progress,0,5103002,40},{progress_rate,5203001,10},{progress_rate,50026,8},{progress,0,50026,8},{progress_rate,5204001,2},{progress,0,21337,1},{progress,0,21352,2},{progress,0,5401000,4},{progress_rate_roll,0,1840,9,1},{progress_rate_roll,0,160,30,1}]</v>
      </c>
      <c r="H107" t="str">
        <f ca="1" t="shared" si="92"/>
        <v>[{progress_rate,2,114},{progress,0,2,456},{progress_rate,5103002,20},{progress,0,5103002,20},{progress_rate,5303001,4},{progress,0,5103002,40},{progress_rate,5203001,10},{progress_rate,50026,8},{progress,0,50026,8},{progress_rate,5204001,2},{progress,0,21337,1},{progress,0,21352,2},{progress,0,5401000,5},{progress_rate_roll,0,1840,9,1},{progress_rate_roll,0,160,30,1}]</v>
      </c>
    </row>
    <row r="108" spans="2:8">
      <c r="B108">
        <v>9</v>
      </c>
      <c r="C108" t="str">
        <f ca="1">"["&amp;_xlfn.TEXTJOIN(",",1,C90:$L90)</f>
        <v>[{progress_rate,2,119},{progress,0,2,476},{progress_rate,5103002,20},{progress,0,5103002,20},{progress_rate,5303001,4},{progress,0,5103002,40},{progress_rate,5203001,10},{progress_rate,50026,8},{progress,0,50026,8},{progress_rate,5204001,2}</v>
      </c>
      <c r="D108" t="str">
        <f ca="1" t="shared" si="88"/>
        <v>[{progress_rate,2,119},{progress,0,2,476},{progress_rate,5103002,20},{progress,0,5103002,20},{progress_rate,5303001,4},{progress,0,5103002,40},{progress_rate,5203001,10},{progress_rate,50026,8},{progress,0,50026,8},{progress_rate,5204001,2},{progress_rate,21353,1},{progress,0,5401000,1}]</v>
      </c>
      <c r="E108" t="str">
        <f ca="1" t="shared" si="89"/>
        <v>[{progress_rate,2,119},{progress,0,2,476},{progress_rate,5103002,20},{progress,0,5103002,20},{progress_rate,5303001,4},{progress,0,5103002,40},{progress_rate,5203001,10},{progress_rate,50026,8},{progress,0,50026,8},{progress_rate,5204001,2},{progress_rate_roll,0,0,21338,1},{progress,0,21353,2},{progress,0,5401000,2}]</v>
      </c>
      <c r="F108" t="str">
        <f ca="1" t="shared" si="90"/>
        <v>[{progress_rate,2,119},{progress,0,2,476},{progress_rate,5103002,20},{progress,0,5103002,20},{progress_rate,5303001,4},{progress,0,5103002,40},{progress_rate,5203001,10},{progress_rate,50026,8},{progress,0,50026,8},{progress_rate,5204001,2},{progress_rate,21338,1},{progress,0,21353,1},{progress,0,5401000,3}]</v>
      </c>
      <c r="G108" t="str">
        <f ca="1" t="shared" si="91"/>
        <v>[{progress_rate,2,119},{progress,0,2,476},{progress_rate,5103002,20},{progress,0,5103002,20},{progress_rate,5303001,4},{progress,0,5103002,40},{progress_rate,5203001,10},{progress_rate,50026,8},{progress,0,50026,8},{progress_rate,5204001,2},{progress,0,21338,1},{progress,0,21353,2},{progress,0,5401000,4},{progress_rate_roll,0,1840,9,1},{progress_rate_roll,0,160,30,1}]</v>
      </c>
      <c r="H108" t="str">
        <f ca="1" t="shared" si="92"/>
        <v>[{progress_rate,2,119},{progress,0,2,476},{progress_rate,5103002,20},{progress,0,5103002,20},{progress_rate,5303001,4},{progress,0,5103002,40},{progress_rate,5203001,10},{progress_rate,50026,8},{progress,0,50026,8},{progress_rate,5204001,2},{progress,0,21338,1},{progress,0,21353,2},{progress,0,5401000,5},{progress_rate_roll,0,1840,9,1},{progress_rate_roll,0,160,30,1}]</v>
      </c>
    </row>
    <row r="109" spans="2:8">
      <c r="B109">
        <v>10</v>
      </c>
      <c r="C109" t="str">
        <f ca="1">"["&amp;_xlfn.TEXTJOIN(",",1,C91:$L91)</f>
        <v>[{progress_rate,2,124},{progress,0,2,496},{progress_rate,5103002,20},{progress,0,5103002,20},{progress_rate,5303001,4},{progress,0,5103002,40},{progress_rate,5203001,10},{progress_rate,50026,8},{progress,0,50026,8},{progress_rate,5204001,2}</v>
      </c>
      <c r="D109" t="str">
        <f ca="1" t="shared" si="88"/>
        <v>[{progress_rate,2,124},{progress,0,2,496},{progress_rate,5103002,20},{progress,0,5103002,20},{progress_rate,5303001,4},{progress,0,5103002,40},{progress_rate,5203001,10},{progress_rate,50026,8},{progress,0,50026,8},{progress_rate,5204001,2},{progress_rate,21354,1},{progress,0,5401000,1}]</v>
      </c>
      <c r="E109" t="str">
        <f ca="1" t="shared" si="89"/>
        <v>[{progress_rate,2,124},{progress,0,2,496},{progress_rate,5103002,20},{progress,0,5103002,20},{progress_rate,5303001,4},{progress,0,5103002,40},{progress_rate,5203001,10},{progress_rate,50026,8},{progress,0,50026,8},{progress_rate,5204001,2},{progress_rate_roll,0,0,21339,1},{progress,0,21354,2},{progress,0,5401000,2}]</v>
      </c>
      <c r="F109" t="str">
        <f ca="1" t="shared" si="90"/>
        <v>[{progress_rate,2,124},{progress,0,2,496},{progress_rate,5103002,20},{progress,0,5103002,20},{progress_rate,5303001,4},{progress,0,5103002,40},{progress_rate,5203001,10},{progress_rate,50026,8},{progress,0,50026,8},{progress_rate,5204001,2},{progress_rate,21339,1},{progress,0,21354,1},{progress,0,5401000,3}]</v>
      </c>
      <c r="G109" t="str">
        <f ca="1" t="shared" si="91"/>
        <v>[{progress_rate,2,124},{progress,0,2,496},{progress_rate,5103002,20},{progress,0,5103002,20},{progress_rate,5303001,4},{progress,0,5103002,40},{progress_rate,5203001,10},{progress_rate,50026,8},{progress,0,50026,8},{progress_rate,5204001,2},{progress,0,21339,1},{progress,0,21354,2},{progress,0,5401000,4},{progress_rate_roll,0,1840,9,1},{progress_rate_roll,0,160,30,1}]</v>
      </c>
      <c r="H109" t="str">
        <f ca="1" t="shared" si="92"/>
        <v>[{progress_rate,2,124},{progress,0,2,496},{progress_rate,5103002,20},{progress,0,5103002,20},{progress_rate,5303001,4},{progress,0,5103002,40},{progress_rate,5203001,10},{progress_rate,50026,8},{progress,0,50026,8},{progress_rate,5204001,2},{progress,0,21339,1},{progress,0,21354,2},{progress,0,5401000,5},{progress_rate_roll,0,1840,9,1},{progress_rate_roll,0,160,30,1}]</v>
      </c>
    </row>
    <row r="110" spans="2:8">
      <c r="B110">
        <v>11</v>
      </c>
      <c r="C110" t="str">
        <f ca="1">"["&amp;_xlfn.TEXTJOIN(",",1,C92:$L92)</f>
        <v>[{progress_rate,2,129},{progress,0,2,516},{progress_rate,5103002,20},{progress,0,5103002,20},{progress_rate,5303001,4},{progress,0,5103002,40},{progress_rate,5203001,10},{progress_rate,50026,8},{progress,0,50026,8},{progress_rate,5204001,2}</v>
      </c>
      <c r="D110" t="str">
        <f ca="1" t="shared" si="88"/>
        <v>[{progress_rate,2,129},{progress,0,2,516},{progress_rate,5103002,20},{progress,0,5103002,20},{progress_rate,5303001,4},{progress,0,5103002,40},{progress_rate,5203001,10},{progress_rate,50026,8},{progress,0,50026,8},{progress_rate,5204001,2},{progress_rate,21355,1},{progress,0,5401000,1}]</v>
      </c>
      <c r="E110" t="str">
        <f ca="1" t="shared" si="89"/>
        <v>[{progress_rate,2,129},{progress,0,2,516},{progress_rate,5103002,20},{progress,0,5103002,20},{progress_rate,5303001,4},{progress,0,5103002,40},{progress_rate,5203001,10},{progress_rate,50026,8},{progress,0,50026,8},{progress_rate,5204001,2},{progress_rate_roll,0,0,21340,1},{progress,0,21355,2},{progress,0,5401000,2}]</v>
      </c>
      <c r="F110" t="str">
        <f ca="1" t="shared" si="90"/>
        <v>[{progress_rate,2,129},{progress,0,2,516},{progress_rate,5103002,20},{progress,0,5103002,20},{progress_rate,5303001,4},{progress,0,5103002,40},{progress_rate,5203001,10},{progress_rate,50026,8},{progress,0,50026,8},{progress_rate,5204001,2},{progress_rate,21340,1},{progress,0,21355,1},{progress,0,5401000,3}]</v>
      </c>
      <c r="G110" t="str">
        <f ca="1" t="shared" si="91"/>
        <v>[{progress_rate,2,129},{progress,0,2,516},{progress_rate,5103002,20},{progress,0,5103002,20},{progress_rate,5303001,4},{progress,0,5103002,40},{progress_rate,5203001,10},{progress_rate,50026,8},{progress,0,50026,8},{progress_rate,5204001,2},{progress,0,21340,1},{progress,0,21355,2},{progress,0,5401000,4},{progress_rate_roll,0,1840,9,1},{progress_rate_roll,0,160,30,1}]</v>
      </c>
      <c r="H110" t="str">
        <f ca="1" t="shared" si="92"/>
        <v>[{progress_rate,2,129},{progress,0,2,516},{progress_rate,5103002,20},{progress,0,5103002,20},{progress_rate,5303001,4},{progress,0,5103002,40},{progress_rate,5203001,10},{progress_rate,50026,8},{progress,0,50026,8},{progress_rate,5204001,2},{progress,0,21340,1},{progress,0,21355,2},{progress,0,5401000,5},{progress_rate_roll,0,1840,9,1},{progress_rate_roll,0,160,30,1}]</v>
      </c>
    </row>
    <row r="111" spans="2:8">
      <c r="B111">
        <v>12</v>
      </c>
      <c r="C111" t="str">
        <f ca="1">"["&amp;_xlfn.TEXTJOIN(",",1,C93:$L93)</f>
        <v>[{progress_rate,2,134},{progress,0,2,536},{progress_rate,5103002,20},{progress,0,5103002,20},{progress_rate,5303001,4},{progress,0,5103002,40},{progress_rate,5203001,10},{progress_rate,50026,8},{progress,0,50026,8},{progress_rate,5204001,2}</v>
      </c>
      <c r="D111" t="str">
        <f ca="1" t="shared" si="88"/>
        <v>[{progress_rate,2,134},{progress,0,2,536},{progress_rate,5103002,20},{progress,0,5103002,20},{progress_rate,5303001,4},{progress,0,5103002,40},{progress_rate,5203001,10},{progress_rate,50026,8},{progress,0,50026,8},{progress_rate,5204001,2},{progress_rate,21356,1},{progress,0,5401000,1}]</v>
      </c>
      <c r="E111" t="str">
        <f ca="1" t="shared" si="89"/>
        <v>[{progress_rate,2,134},{progress,0,2,536},{progress_rate,5103002,20},{progress,0,5103002,20},{progress_rate,5303001,4},{progress,0,5103002,40},{progress_rate,5203001,10},{progress_rate,50026,8},{progress,0,50026,8},{progress_rate,5204001,2},{progress_rate_roll,0,0,21341,1},{progress,0,21356,2},{progress,0,5401000,2}]</v>
      </c>
      <c r="F111" t="str">
        <f ca="1" t="shared" si="90"/>
        <v>[{progress_rate,2,134},{progress,0,2,536},{progress_rate,5103002,20},{progress,0,5103002,20},{progress_rate,5303001,4},{progress,0,5103002,40},{progress_rate,5203001,10},{progress_rate,50026,8},{progress,0,50026,8},{progress_rate,5204001,2},{progress_rate,21341,1},{progress,0,21356,1},{progress,0,5401000,3}]</v>
      </c>
      <c r="G111" t="str">
        <f ca="1" t="shared" si="91"/>
        <v>[{progress_rate,2,134},{progress,0,2,536},{progress_rate,5103002,20},{progress,0,5103002,20},{progress_rate,5303001,4},{progress,0,5103002,40},{progress_rate,5203001,10},{progress_rate,50026,8},{progress,0,50026,8},{progress_rate,5204001,2},{progress,0,21341,1},{progress,0,21356,2},{progress,0,5401000,4},{progress_rate_roll,0,1840,9,1},{progress_rate_roll,0,160,30,1}]</v>
      </c>
      <c r="H111" t="str">
        <f ca="1" t="shared" si="92"/>
        <v>[{progress_rate,2,134},{progress,0,2,536},{progress_rate,5103002,20},{progress,0,5103002,20},{progress_rate,5303001,4},{progress,0,5103002,40},{progress_rate,5203001,10},{progress_rate,50026,8},{progress,0,50026,8},{progress_rate,5204001,2},{progress,0,21341,1},{progress,0,21356,2},{progress,0,5401000,5},{progress_rate_roll,0,1840,9,1},{progress_rate_roll,0,160,30,1}]</v>
      </c>
    </row>
    <row r="112" spans="2:8">
      <c r="B112">
        <v>13</v>
      </c>
      <c r="C112" t="str">
        <f ca="1">"["&amp;_xlfn.TEXTJOIN(",",1,C94:$L94)</f>
        <v>[{progress_rate,2,139},{progress,0,2,556},{progress_rate,5103002,20},{progress,0,5103002,20},{progress_rate,5303001,4},{progress,0,5103002,40},{progress_rate,5203001,10},{progress_rate,50026,8},{progress,0,50026,8},{progress_rate,5204001,2}</v>
      </c>
      <c r="D112" t="str">
        <f ca="1" t="shared" si="88"/>
        <v>[{progress_rate,2,139},{progress,0,2,556},{progress_rate,5103002,20},{progress,0,5103002,20},{progress_rate,5303001,4},{progress,0,5103002,40},{progress_rate,5203001,10},{progress_rate,50026,8},{progress,0,50026,8},{progress_rate,5204001,2},{progress_rate,21357,1},{progress,0,5401000,1}]</v>
      </c>
      <c r="E112" t="str">
        <f ca="1" t="shared" si="89"/>
        <v>[{progress_rate,2,139},{progress,0,2,556},{progress_rate,5103002,20},{progress,0,5103002,20},{progress_rate,5303001,4},{progress,0,5103002,40},{progress_rate,5203001,10},{progress_rate,50026,8},{progress,0,50026,8},{progress_rate,5204001,2},{progress_rate_roll,0,0,21342,1},{progress,0,21357,2},{progress,0,5401000,2}]</v>
      </c>
      <c r="F112" t="str">
        <f ca="1" t="shared" si="90"/>
        <v>[{progress_rate,2,139},{progress,0,2,556},{progress_rate,5103002,20},{progress,0,5103002,20},{progress_rate,5303001,4},{progress,0,5103002,40},{progress_rate,5203001,10},{progress_rate,50026,8},{progress,0,50026,8},{progress_rate,5204001,2},{progress_rate,21342,1},{progress,0,21357,1},{progress,0,5401000,3}]</v>
      </c>
      <c r="G112" t="str">
        <f ca="1" t="shared" si="91"/>
        <v>[{progress_rate,2,139},{progress,0,2,556},{progress_rate,5103002,20},{progress,0,5103002,20},{progress_rate,5303001,4},{progress,0,5103002,40},{progress_rate,5203001,10},{progress_rate,50026,8},{progress,0,50026,8},{progress_rate,5204001,2},{progress,0,21342,1},{progress,0,21357,2},{progress,0,5401000,4},{progress_rate_roll,0,1840,9,1},{progress_rate_roll,0,160,30,1}]</v>
      </c>
      <c r="H112" t="str">
        <f ca="1" t="shared" si="92"/>
        <v>[{progress_rate,2,139},{progress,0,2,556},{progress_rate,5103002,20},{progress,0,5103002,20},{progress_rate,5303001,4},{progress,0,5103002,40},{progress_rate,5203001,10},{progress_rate,50026,8},{progress,0,50026,8},{progress_rate,5204001,2},{progress,0,21342,1},{progress,0,21357,2},{progress,0,5401000,5},{progress_rate_roll,0,1840,9,1},{progress_rate_roll,0,160,30,1}]</v>
      </c>
    </row>
    <row r="113" spans="2:8">
      <c r="B113">
        <v>14</v>
      </c>
      <c r="C113" t="str">
        <f ca="1">"["&amp;_xlfn.TEXTJOIN(",",1,C95:$L95)</f>
        <v>[{progress_rate,2,144},{progress,0,2,576},{progress_rate,5103002,20},{progress,0,5103002,20},{progress_rate,5303001,4},{progress,0,5103002,40},{progress_rate,5203001,10},{progress_rate,50026,8},{progress,0,50026,8},{progress_rate,5204001,2}</v>
      </c>
      <c r="D113" t="str">
        <f ca="1" t="shared" si="88"/>
        <v>[{progress_rate,2,144},{progress,0,2,576},{progress_rate,5103002,20},{progress,0,5103002,20},{progress_rate,5303001,4},{progress,0,5103002,40},{progress_rate,5203001,10},{progress_rate,50026,8},{progress,0,50026,8},{progress_rate,5204001,2},{progress_rate,21358,1},{progress,0,5401000,1}]</v>
      </c>
      <c r="E113" t="str">
        <f ca="1" t="shared" si="89"/>
        <v>[{progress_rate,2,144},{progress,0,2,576},{progress_rate,5103002,20},{progress,0,5103002,20},{progress_rate,5303001,4},{progress,0,5103002,40},{progress_rate,5203001,10},{progress_rate,50026,8},{progress,0,50026,8},{progress_rate,5204001,2},{progress_rate_roll,0,0,21343,1},{progress,0,21358,2},{progress,0,5401000,2}]</v>
      </c>
      <c r="F113" t="str">
        <f ca="1" t="shared" si="90"/>
        <v>[{progress_rate,2,144},{progress,0,2,576},{progress_rate,5103002,20},{progress,0,5103002,20},{progress_rate,5303001,4},{progress,0,5103002,40},{progress_rate,5203001,10},{progress_rate,50026,8},{progress,0,50026,8},{progress_rate,5204001,2},{progress_rate,21343,1},{progress,0,21358,1},{progress,0,5401000,3}]</v>
      </c>
      <c r="G113" t="str">
        <f ca="1" t="shared" si="91"/>
        <v>[{progress_rate,2,144},{progress,0,2,576},{progress_rate,5103002,20},{progress,0,5103002,20},{progress_rate,5303001,4},{progress,0,5103002,40},{progress_rate,5203001,10},{progress_rate,50026,8},{progress,0,50026,8},{progress_rate,5204001,2},{progress,0,21343,1},{progress,0,21358,2},{progress,0,5401000,4},{progress_rate_roll,0,1840,9,1},{progress_rate_roll,0,160,30,1}]</v>
      </c>
      <c r="H113" t="str">
        <f ca="1" t="shared" si="92"/>
        <v>[{progress_rate,2,144},{progress,0,2,576},{progress_rate,5103002,20},{progress,0,5103002,20},{progress_rate,5303001,4},{progress,0,5103002,40},{progress_rate,5203001,10},{progress_rate,50026,8},{progress,0,50026,8},{progress_rate,5204001,2},{progress,0,21343,1},{progress,0,21358,2},{progress,0,5401000,5},{progress_rate_roll,0,1840,9,1},{progress_rate_roll,0,160,30,1}]</v>
      </c>
    </row>
    <row r="114" spans="2:8">
      <c r="B114">
        <v>15</v>
      </c>
      <c r="C114" t="str">
        <f ca="1">"["&amp;_xlfn.TEXTJOIN(",",1,C96:$L96)</f>
        <v>[{progress_rate,2,149},{progress,0,2,596},{progress_rate,5103002,20},{progress,0,5103002,20},{progress_rate,5303001,4},{progress,0,5103002,40},{progress_rate,5203001,10},{progress_rate,50026,8},{progress,0,50026,8},{progress_rate,5204001,2}</v>
      </c>
      <c r="D114" t="str">
        <f ca="1" t="shared" si="88"/>
        <v>[{progress_rate,2,149},{progress,0,2,596},{progress_rate,5103002,20},{progress,0,5103002,20},{progress_rate,5303001,4},{progress,0,5103002,40},{progress_rate,5203001,10},{progress_rate,50026,8},{progress,0,50026,8},{progress_rate,5204001,2},{progress_rate,21359,1},{progress,0,5401000,1}]</v>
      </c>
      <c r="E114" t="str">
        <f ca="1" t="shared" si="89"/>
        <v>[{progress_rate,2,149},{progress,0,2,596},{progress_rate,5103002,20},{progress,0,5103002,20},{progress_rate,5303001,4},{progress,0,5103002,40},{progress_rate,5203001,10},{progress_rate,50026,8},{progress,0,50026,8},{progress_rate,5204001,2},{progress_rate_roll,0,0,21344,1},{progress,0,21359,2},{progress,0,5401000,2}]</v>
      </c>
      <c r="F114" t="str">
        <f ca="1" t="shared" si="90"/>
        <v>[{progress_rate,2,149},{progress,0,2,596},{progress_rate,5103002,20},{progress,0,5103002,20},{progress_rate,5303001,4},{progress,0,5103002,40},{progress_rate,5203001,10},{progress_rate,50026,8},{progress,0,50026,8},{progress_rate,5204001,2},{progress_rate,21344,1},{progress,0,21359,1},{progress,0,5401000,3}]</v>
      </c>
      <c r="G114" t="str">
        <f ca="1" t="shared" si="91"/>
        <v>[{progress_rate,2,149},{progress,0,2,596},{progress_rate,5103002,20},{progress,0,5103002,20},{progress_rate,5303001,4},{progress,0,5103002,40},{progress_rate,5203001,10},{progress_rate,50026,8},{progress,0,50026,8},{progress_rate,5204001,2},{progress,0,21344,1},{progress,0,21359,2},{progress,0,5401000,4},{progress_rate_roll,0,1840,9,1},{progress_rate_roll,0,160,30,1}]</v>
      </c>
      <c r="H114" t="str">
        <f ca="1" t="shared" si="92"/>
        <v>[{progress_rate,2,149},{progress,0,2,596},{progress_rate,5103002,20},{progress,0,5103002,20},{progress_rate,5303001,4},{progress,0,5103002,40},{progress_rate,5203001,10},{progress_rate,50026,8},{progress,0,50026,8},{progress_rate,5204001,2},{progress,0,21344,1},{progress,0,21359,2},{progress,0,5401000,5},{progress_rate_roll,0,1840,9,1},{progress_rate_roll,0,160,30,1}]</v>
      </c>
    </row>
  </sheetData>
  <conditionalFormatting sqref="I4">
    <cfRule type="duplicateValues" dxfId="30" priority="9"/>
    <cfRule type="duplicateValues" dxfId="29" priority="8"/>
    <cfRule type="duplicateValues" dxfId="29" priority="7"/>
  </conditionalFormatting>
  <conditionalFormatting sqref="AG29:AG43">
    <cfRule type="duplicateValues" dxfId="30" priority="4"/>
  </conditionalFormatting>
  <conditionalFormatting sqref="AH29:AH43">
    <cfRule type="duplicateValues" dxfId="30" priority="5"/>
  </conditionalFormatting>
  <conditionalFormatting sqref="AK29:AK43">
    <cfRule type="duplicateValues" dxfId="30" priority="6"/>
  </conditionalFormatting>
  <conditionalFormatting sqref="AK82:AK96">
    <cfRule type="duplicateValues" dxfId="30" priority="3"/>
  </conditionalFormatting>
  <conditionalFormatting sqref="AM29:AM43">
    <cfRule type="duplicateValues" dxfId="30" priority="1"/>
  </conditionalFormatting>
  <conditionalFormatting sqref="AG82:AH96">
    <cfRule type="duplicateValues" dxfId="30" priority="2"/>
  </conditionalFormatting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>
    <tabColor theme="4"/>
  </sheetPr>
  <dimension ref="B1:R313"/>
  <sheetViews>
    <sheetView zoomScale="80" zoomScaleNormal="80" workbookViewId="0">
      <selection activeCell="AG65" sqref="AG65"/>
    </sheetView>
  </sheetViews>
  <sheetFormatPr defaultColWidth="9" defaultRowHeight="13.5"/>
  <cols>
    <col min="3" max="3" width="15.625" customWidth="1"/>
    <col min="4" max="5" width="15" customWidth="1"/>
  </cols>
  <sheetData>
    <row r="1" spans="2:18">
      <c r="B1" t="s">
        <v>72</v>
      </c>
    </row>
    <row r="2" spans="2:18">
      <c r="B2" s="23" t="s">
        <v>48</v>
      </c>
      <c r="C2" s="23" t="s">
        <v>96</v>
      </c>
      <c r="D2" s="51" t="s">
        <v>130</v>
      </c>
      <c r="E2" t="s">
        <v>202</v>
      </c>
      <c r="F2" s="51" t="s">
        <v>283</v>
      </c>
      <c r="G2" t="s">
        <v>129</v>
      </c>
      <c r="H2" t="s">
        <v>128</v>
      </c>
      <c r="I2" t="s">
        <v>203</v>
      </c>
      <c r="J2" t="s">
        <v>238</v>
      </c>
      <c r="K2" t="s">
        <v>214</v>
      </c>
      <c r="L2" t="s">
        <v>132</v>
      </c>
    </row>
    <row r="3" spans="2:18">
      <c r="B3" s="23">
        <v>1</v>
      </c>
      <c r="C3" s="48">
        <f>5500+1800+2100+2700+2000</f>
        <v>14100</v>
      </c>
      <c r="D3">
        <v>15</v>
      </c>
      <c r="E3">
        <v>30</v>
      </c>
      <c r="F3">
        <v>500</v>
      </c>
      <c r="G3">
        <v>110</v>
      </c>
      <c r="H3">
        <v>750</v>
      </c>
      <c r="I3">
        <v>3</v>
      </c>
      <c r="J3">
        <v>1</v>
      </c>
      <c r="K3">
        <v>5</v>
      </c>
      <c r="L3">
        <v>60</v>
      </c>
    </row>
    <row r="7" spans="2:18">
      <c r="B7" t="s">
        <v>429</v>
      </c>
      <c r="I7" t="s">
        <v>43</v>
      </c>
    </row>
    <row r="8" spans="2:18">
      <c r="B8" s="23" t="s">
        <v>48</v>
      </c>
      <c r="C8" s="23" t="s">
        <v>96</v>
      </c>
      <c r="D8" t="s">
        <v>430</v>
      </c>
      <c r="I8" s="23" t="s">
        <v>48</v>
      </c>
      <c r="J8" s="23" t="s">
        <v>96</v>
      </c>
    </row>
    <row r="9" spans="2:18">
      <c r="B9" s="23">
        <v>1</v>
      </c>
      <c r="C9" s="48">
        <v>500</v>
      </c>
      <c r="D9">
        <v>2</v>
      </c>
      <c r="I9" s="23">
        <v>1</v>
      </c>
      <c r="J9" s="48">
        <v>2000</v>
      </c>
    </row>
    <row r="10" spans="2:18">
      <c r="B10" s="23">
        <v>2</v>
      </c>
      <c r="C10" s="23">
        <v>1000</v>
      </c>
      <c r="D10">
        <v>2</v>
      </c>
    </row>
    <row r="13" spans="2:18">
      <c r="B13" s="23" t="s">
        <v>77</v>
      </c>
      <c r="C13" s="23" t="s">
        <v>129</v>
      </c>
      <c r="D13" s="51" t="s">
        <v>130</v>
      </c>
      <c r="E13" t="s">
        <v>355</v>
      </c>
      <c r="I13" s="52" t="s">
        <v>75</v>
      </c>
      <c r="J13" s="53" t="s">
        <v>355</v>
      </c>
      <c r="K13" s="54" t="s">
        <v>431</v>
      </c>
      <c r="L13" s="46" t="s">
        <v>129</v>
      </c>
      <c r="M13" s="55" t="s">
        <v>130</v>
      </c>
      <c r="N13" s="23" t="s">
        <v>374</v>
      </c>
      <c r="O13" s="23" t="s">
        <v>366</v>
      </c>
      <c r="P13" s="23" t="s">
        <v>432</v>
      </c>
      <c r="Q13" s="52" t="s">
        <v>77</v>
      </c>
      <c r="R13" s="52" t="s">
        <v>78</v>
      </c>
    </row>
    <row r="14" spans="2:18">
      <c r="B14" s="23">
        <v>1</v>
      </c>
      <c r="C14" s="48">
        <f>IFERROR(_xlfn.XLOOKUP($B14,$Q$13:$Q$18,$L$13:$L$18),0)</f>
        <v>0</v>
      </c>
      <c r="D14" s="48">
        <f t="shared" ref="D14:D77" si="0">IFERROR(_xlfn.XLOOKUP($B14,$Q$13:$Q$18,$M$13:$M$18),0)</f>
        <v>0</v>
      </c>
      <c r="E14" s="48">
        <f t="shared" ref="E14:E77" si="1">IFERROR(_xlfn.XLOOKUP($B14,$Q$13:$Q$18,$J$13:$J$18),0)</f>
        <v>0</v>
      </c>
      <c r="I14" s="52">
        <v>1</v>
      </c>
      <c r="J14" s="23">
        <v>400</v>
      </c>
      <c r="K14" s="23"/>
      <c r="L14" s="23">
        <v>120</v>
      </c>
      <c r="M14" s="23">
        <v>30</v>
      </c>
      <c r="N14" s="23"/>
      <c r="O14" s="23"/>
      <c r="P14" s="23"/>
      <c r="Q14" s="52">
        <v>4</v>
      </c>
      <c r="R14" s="52">
        <f ca="1">IFERROR(MATCH(Q14,图纸产出设计!$C$29:$C$328,1)+1,1)</f>
        <v>1</v>
      </c>
    </row>
    <row r="15" spans="2:18">
      <c r="B15" s="23">
        <v>2</v>
      </c>
      <c r="C15" s="48">
        <f t="shared" ref="C15:C78" si="2">IFERROR(_xlfn.XLOOKUP($B15,$Q$13:$Q$18,$L$13:$L$18),0)</f>
        <v>0</v>
      </c>
      <c r="D15" s="48">
        <f t="shared" si="0"/>
        <v>0</v>
      </c>
      <c r="E15" s="48">
        <f t="shared" si="1"/>
        <v>0</v>
      </c>
      <c r="I15" s="52">
        <v>2</v>
      </c>
      <c r="J15" s="23">
        <v>600</v>
      </c>
      <c r="K15" s="23"/>
      <c r="L15" s="23">
        <v>200</v>
      </c>
      <c r="M15" s="23"/>
      <c r="N15" s="23"/>
      <c r="O15" s="23"/>
      <c r="P15" s="23"/>
      <c r="Q15" s="52">
        <v>8</v>
      </c>
      <c r="R15" s="52">
        <f ca="1">IFERROR(MATCH(Q15,图纸产出设计!$C$29:$C$328,1)+1,1)</f>
        <v>1</v>
      </c>
    </row>
    <row r="16" spans="2:18">
      <c r="B16" s="23">
        <v>3</v>
      </c>
      <c r="C16" s="48">
        <f t="shared" si="2"/>
        <v>0</v>
      </c>
      <c r="D16" s="48">
        <f t="shared" si="0"/>
        <v>0</v>
      </c>
      <c r="E16" s="48">
        <f t="shared" si="1"/>
        <v>0</v>
      </c>
      <c r="I16" s="52">
        <v>3</v>
      </c>
      <c r="J16" s="23">
        <v>800</v>
      </c>
      <c r="K16" s="23"/>
      <c r="L16" s="23">
        <v>240</v>
      </c>
      <c r="M16" s="23">
        <v>50</v>
      </c>
      <c r="N16" s="23"/>
      <c r="O16" s="23"/>
      <c r="P16" s="23"/>
      <c r="Q16" s="52">
        <v>10</v>
      </c>
      <c r="R16" s="52">
        <f ca="1">IFERROR(MATCH(Q16,图纸产出设计!$C$29:$C$328,1)+1,1)</f>
        <v>1</v>
      </c>
    </row>
    <row r="17" spans="2:18">
      <c r="B17" s="23">
        <v>4</v>
      </c>
      <c r="C17" s="48">
        <f t="shared" si="2"/>
        <v>120</v>
      </c>
      <c r="D17" s="48">
        <f t="shared" si="0"/>
        <v>30</v>
      </c>
      <c r="E17" s="48">
        <f t="shared" si="1"/>
        <v>400</v>
      </c>
      <c r="I17" s="52">
        <v>4</v>
      </c>
      <c r="J17" s="23">
        <v>1000</v>
      </c>
      <c r="K17" s="23"/>
      <c r="L17" s="23">
        <v>280</v>
      </c>
      <c r="M17" s="23">
        <v>80</v>
      </c>
      <c r="N17" s="23"/>
      <c r="O17" s="23"/>
      <c r="P17" s="23"/>
      <c r="Q17" s="52">
        <v>15</v>
      </c>
      <c r="R17" s="52">
        <f ca="1">IFERROR(MATCH(Q17,图纸产出设计!$C$29:$C$328,1)+1,1)</f>
        <v>1</v>
      </c>
    </row>
    <row r="18" spans="2:18">
      <c r="B18" s="23">
        <v>5</v>
      </c>
      <c r="C18" s="48">
        <f t="shared" si="2"/>
        <v>0</v>
      </c>
      <c r="D18" s="48">
        <f t="shared" si="0"/>
        <v>0</v>
      </c>
      <c r="E18" s="48">
        <f t="shared" si="1"/>
        <v>0</v>
      </c>
      <c r="I18" s="52">
        <v>5</v>
      </c>
      <c r="J18" s="23">
        <v>1200</v>
      </c>
      <c r="K18" s="23"/>
      <c r="L18" s="23">
        <v>350</v>
      </c>
      <c r="M18" s="23">
        <v>100</v>
      </c>
      <c r="N18" s="23"/>
      <c r="O18" s="23"/>
      <c r="P18" s="23"/>
      <c r="Q18" s="52">
        <v>20</v>
      </c>
      <c r="R18" s="52">
        <f ca="1">IFERROR(MATCH(Q18,图纸产出设计!$C$29:$C$328,1)+1,1)</f>
        <v>1</v>
      </c>
    </row>
    <row r="19" spans="2:18">
      <c r="B19" s="23">
        <v>6</v>
      </c>
      <c r="C19" s="48">
        <f t="shared" si="2"/>
        <v>0</v>
      </c>
      <c r="D19" s="48">
        <f t="shared" si="0"/>
        <v>0</v>
      </c>
      <c r="E19" s="48">
        <f t="shared" si="1"/>
        <v>0</v>
      </c>
      <c r="I19" s="52">
        <v>6</v>
      </c>
      <c r="J19" s="23"/>
      <c r="K19" s="23">
        <v>6</v>
      </c>
      <c r="L19" s="23">
        <v>400</v>
      </c>
      <c r="M19" s="23"/>
      <c r="N19" s="23">
        <v>20</v>
      </c>
      <c r="O19" s="23"/>
      <c r="P19" s="23"/>
      <c r="Q19" s="52">
        <v>24</v>
      </c>
      <c r="R19" s="52">
        <f ca="1">IFERROR(MATCH(Q19,图纸产出设计!$C$29:$C$328,1)+1,1)</f>
        <v>1</v>
      </c>
    </row>
    <row r="20" spans="2:18">
      <c r="B20" s="23">
        <v>7</v>
      </c>
      <c r="C20" s="48">
        <f t="shared" si="2"/>
        <v>0</v>
      </c>
      <c r="D20" s="48">
        <f t="shared" si="0"/>
        <v>0</v>
      </c>
      <c r="E20" s="48">
        <f t="shared" si="1"/>
        <v>0</v>
      </c>
      <c r="I20" s="52">
        <v>7</v>
      </c>
      <c r="J20" s="23"/>
      <c r="K20" s="23">
        <v>12</v>
      </c>
      <c r="L20" s="23">
        <v>500</v>
      </c>
      <c r="M20" s="23"/>
      <c r="N20" s="23"/>
      <c r="O20" s="23">
        <v>1</v>
      </c>
      <c r="P20" s="23"/>
      <c r="Q20" s="52">
        <v>28</v>
      </c>
      <c r="R20" s="52">
        <f ca="1">IFERROR(MATCH(Q20,图纸产出设计!$C$29:$C$328,1)+1,1)</f>
        <v>1</v>
      </c>
    </row>
    <row r="21" spans="2:18">
      <c r="B21" s="23">
        <v>8</v>
      </c>
      <c r="C21" s="48">
        <f t="shared" si="2"/>
        <v>200</v>
      </c>
      <c r="D21" s="48">
        <f t="shared" si="0"/>
        <v>0</v>
      </c>
      <c r="E21" s="48">
        <f t="shared" si="1"/>
        <v>600</v>
      </c>
      <c r="I21" s="52">
        <v>8</v>
      </c>
      <c r="J21" s="23"/>
      <c r="K21" s="23">
        <v>24</v>
      </c>
      <c r="L21" s="23">
        <v>600</v>
      </c>
      <c r="M21" s="23"/>
      <c r="N21" s="23"/>
      <c r="O21" s="23">
        <v>2</v>
      </c>
      <c r="P21" s="23"/>
      <c r="Q21" s="52">
        <v>32</v>
      </c>
      <c r="R21" s="52">
        <f ca="1">IFERROR(MATCH(Q21,图纸产出设计!$C$29:$C$328,1)+1,1)</f>
        <v>2</v>
      </c>
    </row>
    <row r="22" spans="2:18">
      <c r="B22" s="23">
        <v>9</v>
      </c>
      <c r="C22" s="48">
        <f t="shared" si="2"/>
        <v>0</v>
      </c>
      <c r="D22" s="48">
        <f t="shared" si="0"/>
        <v>0</v>
      </c>
      <c r="E22" s="48">
        <f t="shared" si="1"/>
        <v>0</v>
      </c>
      <c r="I22" s="52">
        <v>9</v>
      </c>
      <c r="J22" s="23">
        <v>2000</v>
      </c>
      <c r="K22" s="23"/>
      <c r="L22" s="23">
        <v>1200</v>
      </c>
      <c r="M22" s="23"/>
      <c r="N22" s="23"/>
      <c r="O22" s="23"/>
      <c r="P22" s="23">
        <v>1</v>
      </c>
      <c r="Q22" s="52">
        <v>36</v>
      </c>
      <c r="R22" s="52">
        <f ca="1">IFERROR(MATCH(Q22,图纸产出设计!$C$29:$C$328,1)+1,1)</f>
        <v>3</v>
      </c>
    </row>
    <row r="23" spans="2:18">
      <c r="B23" s="23">
        <v>10</v>
      </c>
      <c r="C23" s="48">
        <f t="shared" si="2"/>
        <v>240</v>
      </c>
      <c r="D23" s="48">
        <f t="shared" si="0"/>
        <v>50</v>
      </c>
      <c r="E23" s="48">
        <f t="shared" si="1"/>
        <v>800</v>
      </c>
    </row>
    <row r="24" spans="2:18">
      <c r="B24" s="23">
        <v>11</v>
      </c>
      <c r="C24" s="48">
        <f t="shared" si="2"/>
        <v>0</v>
      </c>
      <c r="D24" s="48">
        <f t="shared" si="0"/>
        <v>0</v>
      </c>
      <c r="E24" s="48">
        <f t="shared" si="1"/>
        <v>0</v>
      </c>
    </row>
    <row r="25" spans="2:18">
      <c r="B25" s="23">
        <v>12</v>
      </c>
      <c r="C25" s="48">
        <f t="shared" si="2"/>
        <v>0</v>
      </c>
      <c r="D25" s="48">
        <f t="shared" si="0"/>
        <v>0</v>
      </c>
      <c r="E25" s="48">
        <f t="shared" si="1"/>
        <v>0</v>
      </c>
    </row>
    <row r="26" spans="2:18">
      <c r="B26" s="23">
        <v>13</v>
      </c>
      <c r="C26" s="48">
        <f t="shared" si="2"/>
        <v>0</v>
      </c>
      <c r="D26" s="48">
        <f t="shared" si="0"/>
        <v>0</v>
      </c>
      <c r="E26" s="48">
        <f t="shared" si="1"/>
        <v>0</v>
      </c>
    </row>
    <row r="27" spans="2:18">
      <c r="B27" s="23">
        <v>14</v>
      </c>
      <c r="C27" s="48">
        <f t="shared" si="2"/>
        <v>0</v>
      </c>
      <c r="D27" s="48">
        <f t="shared" si="0"/>
        <v>0</v>
      </c>
      <c r="E27" s="48">
        <f t="shared" si="1"/>
        <v>0</v>
      </c>
    </row>
    <row r="28" spans="2:18">
      <c r="B28" s="23">
        <v>15</v>
      </c>
      <c r="C28" s="48">
        <f t="shared" si="2"/>
        <v>280</v>
      </c>
      <c r="D28" s="48">
        <f t="shared" si="0"/>
        <v>80</v>
      </c>
      <c r="E28" s="48">
        <f t="shared" si="1"/>
        <v>1000</v>
      </c>
    </row>
    <row r="29" spans="2:18">
      <c r="B29" s="23">
        <v>16</v>
      </c>
      <c r="C29" s="48">
        <f t="shared" si="2"/>
        <v>0</v>
      </c>
      <c r="D29" s="48">
        <f t="shared" si="0"/>
        <v>0</v>
      </c>
      <c r="E29" s="48">
        <f t="shared" si="1"/>
        <v>0</v>
      </c>
    </row>
    <row r="30" spans="2:18">
      <c r="B30" s="23">
        <v>17</v>
      </c>
      <c r="C30" s="48">
        <f t="shared" si="2"/>
        <v>0</v>
      </c>
      <c r="D30" s="48">
        <f t="shared" si="0"/>
        <v>0</v>
      </c>
      <c r="E30" s="48">
        <f t="shared" si="1"/>
        <v>0</v>
      </c>
    </row>
    <row r="31" spans="2:18">
      <c r="B31" s="23">
        <v>18</v>
      </c>
      <c r="C31" s="48">
        <f t="shared" si="2"/>
        <v>0</v>
      </c>
      <c r="D31" s="48">
        <f t="shared" si="0"/>
        <v>0</v>
      </c>
      <c r="E31" s="48">
        <f t="shared" si="1"/>
        <v>0</v>
      </c>
    </row>
    <row r="32" spans="2:18">
      <c r="B32" s="23">
        <v>19</v>
      </c>
      <c r="C32" s="48">
        <f t="shared" si="2"/>
        <v>0</v>
      </c>
      <c r="D32" s="48">
        <f t="shared" si="0"/>
        <v>0</v>
      </c>
      <c r="E32" s="48">
        <f t="shared" si="1"/>
        <v>0</v>
      </c>
    </row>
    <row r="33" spans="2:5">
      <c r="B33" s="23">
        <v>20</v>
      </c>
      <c r="C33" s="48">
        <f t="shared" si="2"/>
        <v>350</v>
      </c>
      <c r="D33" s="48">
        <f t="shared" si="0"/>
        <v>100</v>
      </c>
      <c r="E33" s="48">
        <f t="shared" si="1"/>
        <v>1200</v>
      </c>
    </row>
    <row r="34" spans="2:5">
      <c r="B34" s="23">
        <v>21</v>
      </c>
      <c r="C34" s="48">
        <f t="shared" si="2"/>
        <v>0</v>
      </c>
      <c r="D34" s="48">
        <f t="shared" si="0"/>
        <v>0</v>
      </c>
      <c r="E34" s="48">
        <f t="shared" si="1"/>
        <v>0</v>
      </c>
    </row>
    <row r="35" spans="2:5">
      <c r="B35" s="23">
        <v>22</v>
      </c>
      <c r="C35" s="48">
        <f t="shared" si="2"/>
        <v>0</v>
      </c>
      <c r="D35" s="48">
        <f t="shared" si="0"/>
        <v>0</v>
      </c>
      <c r="E35" s="48">
        <f t="shared" si="1"/>
        <v>0</v>
      </c>
    </row>
    <row r="36" spans="2:5">
      <c r="B36" s="23">
        <v>23</v>
      </c>
      <c r="C36" s="48">
        <f t="shared" si="2"/>
        <v>0</v>
      </c>
      <c r="D36" s="48">
        <f t="shared" si="0"/>
        <v>0</v>
      </c>
      <c r="E36" s="48">
        <f t="shared" si="1"/>
        <v>0</v>
      </c>
    </row>
    <row r="37" spans="2:5">
      <c r="B37" s="23">
        <v>24</v>
      </c>
      <c r="C37" s="48">
        <f t="shared" si="2"/>
        <v>0</v>
      </c>
      <c r="D37" s="48">
        <f t="shared" si="0"/>
        <v>0</v>
      </c>
      <c r="E37" s="48">
        <f t="shared" si="1"/>
        <v>0</v>
      </c>
    </row>
    <row r="38" spans="2:5">
      <c r="B38" s="23">
        <v>25</v>
      </c>
      <c r="C38" s="48">
        <f t="shared" si="2"/>
        <v>0</v>
      </c>
      <c r="D38" s="48">
        <f t="shared" si="0"/>
        <v>0</v>
      </c>
      <c r="E38" s="48">
        <f t="shared" si="1"/>
        <v>0</v>
      </c>
    </row>
    <row r="39" spans="2:5">
      <c r="B39" s="23">
        <v>26</v>
      </c>
      <c r="C39" s="48">
        <f t="shared" si="2"/>
        <v>0</v>
      </c>
      <c r="D39" s="48">
        <f t="shared" si="0"/>
        <v>0</v>
      </c>
      <c r="E39" s="48">
        <f t="shared" si="1"/>
        <v>0</v>
      </c>
    </row>
    <row r="40" spans="2:5">
      <c r="B40" s="23">
        <v>27</v>
      </c>
      <c r="C40" s="48">
        <f t="shared" si="2"/>
        <v>0</v>
      </c>
      <c r="D40" s="48">
        <f t="shared" si="0"/>
        <v>0</v>
      </c>
      <c r="E40" s="48">
        <f t="shared" si="1"/>
        <v>0</v>
      </c>
    </row>
    <row r="41" spans="2:5">
      <c r="B41" s="23">
        <v>28</v>
      </c>
      <c r="C41" s="48">
        <f t="shared" si="2"/>
        <v>0</v>
      </c>
      <c r="D41" s="48">
        <f t="shared" si="0"/>
        <v>0</v>
      </c>
      <c r="E41" s="48">
        <f t="shared" si="1"/>
        <v>0</v>
      </c>
    </row>
    <row r="42" spans="2:5">
      <c r="B42" s="23">
        <v>29</v>
      </c>
      <c r="C42" s="48">
        <f t="shared" si="2"/>
        <v>0</v>
      </c>
      <c r="D42" s="48">
        <f t="shared" si="0"/>
        <v>0</v>
      </c>
      <c r="E42" s="48">
        <f t="shared" si="1"/>
        <v>0</v>
      </c>
    </row>
    <row r="43" spans="2:5">
      <c r="B43" s="23">
        <v>30</v>
      </c>
      <c r="C43" s="48">
        <f t="shared" si="2"/>
        <v>0</v>
      </c>
      <c r="D43" s="48">
        <f t="shared" si="0"/>
        <v>0</v>
      </c>
      <c r="E43" s="48">
        <f t="shared" si="1"/>
        <v>0</v>
      </c>
    </row>
    <row r="44" spans="2:5">
      <c r="B44" s="23">
        <v>31</v>
      </c>
      <c r="C44" s="48">
        <f t="shared" si="2"/>
        <v>0</v>
      </c>
      <c r="D44" s="48">
        <f t="shared" si="0"/>
        <v>0</v>
      </c>
      <c r="E44" s="48">
        <f t="shared" si="1"/>
        <v>0</v>
      </c>
    </row>
    <row r="45" spans="2:5">
      <c r="B45" s="23">
        <v>32</v>
      </c>
      <c r="C45" s="48">
        <f t="shared" si="2"/>
        <v>0</v>
      </c>
      <c r="D45" s="48">
        <f t="shared" si="0"/>
        <v>0</v>
      </c>
      <c r="E45" s="48">
        <f t="shared" si="1"/>
        <v>0</v>
      </c>
    </row>
    <row r="46" spans="2:5">
      <c r="B46" s="23">
        <v>33</v>
      </c>
      <c r="C46" s="48">
        <f t="shared" si="2"/>
        <v>0</v>
      </c>
      <c r="D46" s="48">
        <f t="shared" si="0"/>
        <v>0</v>
      </c>
      <c r="E46" s="48">
        <f t="shared" si="1"/>
        <v>0</v>
      </c>
    </row>
    <row r="47" spans="2:5">
      <c r="B47" s="23">
        <v>34</v>
      </c>
      <c r="C47" s="48">
        <f t="shared" si="2"/>
        <v>0</v>
      </c>
      <c r="D47" s="48">
        <f t="shared" si="0"/>
        <v>0</v>
      </c>
      <c r="E47" s="48">
        <f t="shared" si="1"/>
        <v>0</v>
      </c>
    </row>
    <row r="48" spans="2:5">
      <c r="B48" s="23">
        <v>35</v>
      </c>
      <c r="C48" s="48">
        <f t="shared" si="2"/>
        <v>0</v>
      </c>
      <c r="D48" s="48">
        <f t="shared" si="0"/>
        <v>0</v>
      </c>
      <c r="E48" s="48">
        <f t="shared" si="1"/>
        <v>0</v>
      </c>
    </row>
    <row r="49" spans="2:5">
      <c r="B49" s="23">
        <v>36</v>
      </c>
      <c r="C49" s="48">
        <f t="shared" si="2"/>
        <v>0</v>
      </c>
      <c r="D49" s="48">
        <f t="shared" si="0"/>
        <v>0</v>
      </c>
      <c r="E49" s="48">
        <f t="shared" si="1"/>
        <v>0</v>
      </c>
    </row>
    <row r="50" spans="2:5">
      <c r="B50" s="23">
        <v>37</v>
      </c>
      <c r="C50" s="48">
        <f t="shared" si="2"/>
        <v>0</v>
      </c>
      <c r="D50" s="48">
        <f t="shared" si="0"/>
        <v>0</v>
      </c>
      <c r="E50" s="48">
        <f t="shared" si="1"/>
        <v>0</v>
      </c>
    </row>
    <row r="51" spans="2:5">
      <c r="B51" s="23">
        <v>38</v>
      </c>
      <c r="C51" s="48">
        <f t="shared" si="2"/>
        <v>0</v>
      </c>
      <c r="D51" s="48">
        <f t="shared" si="0"/>
        <v>0</v>
      </c>
      <c r="E51" s="48">
        <f t="shared" si="1"/>
        <v>0</v>
      </c>
    </row>
    <row r="52" spans="2:5">
      <c r="B52" s="23">
        <v>39</v>
      </c>
      <c r="C52" s="48">
        <f t="shared" si="2"/>
        <v>0</v>
      </c>
      <c r="D52" s="48">
        <f t="shared" si="0"/>
        <v>0</v>
      </c>
      <c r="E52" s="48">
        <f t="shared" si="1"/>
        <v>0</v>
      </c>
    </row>
    <row r="53" spans="2:5">
      <c r="B53" s="23">
        <v>40</v>
      </c>
      <c r="C53" s="48">
        <f t="shared" si="2"/>
        <v>0</v>
      </c>
      <c r="D53" s="48">
        <f t="shared" si="0"/>
        <v>0</v>
      </c>
      <c r="E53" s="48">
        <f t="shared" si="1"/>
        <v>0</v>
      </c>
    </row>
    <row r="54" spans="2:5">
      <c r="B54" s="23">
        <v>41</v>
      </c>
      <c r="C54" s="48">
        <f t="shared" si="2"/>
        <v>0</v>
      </c>
      <c r="D54" s="48">
        <f t="shared" si="0"/>
        <v>0</v>
      </c>
      <c r="E54" s="48">
        <f t="shared" si="1"/>
        <v>0</v>
      </c>
    </row>
    <row r="55" spans="2:5">
      <c r="B55" s="23">
        <v>42</v>
      </c>
      <c r="C55" s="48">
        <f t="shared" si="2"/>
        <v>0</v>
      </c>
      <c r="D55" s="48">
        <f t="shared" si="0"/>
        <v>0</v>
      </c>
      <c r="E55" s="48">
        <f t="shared" si="1"/>
        <v>0</v>
      </c>
    </row>
    <row r="56" spans="2:5">
      <c r="B56" s="23">
        <v>43</v>
      </c>
      <c r="C56" s="48">
        <f t="shared" si="2"/>
        <v>0</v>
      </c>
      <c r="D56" s="48">
        <f t="shared" si="0"/>
        <v>0</v>
      </c>
      <c r="E56" s="48">
        <f t="shared" si="1"/>
        <v>0</v>
      </c>
    </row>
    <row r="57" spans="2:5">
      <c r="B57" s="23">
        <v>44</v>
      </c>
      <c r="C57" s="48">
        <f t="shared" si="2"/>
        <v>0</v>
      </c>
      <c r="D57" s="48">
        <f t="shared" si="0"/>
        <v>0</v>
      </c>
      <c r="E57" s="48">
        <f t="shared" si="1"/>
        <v>0</v>
      </c>
    </row>
    <row r="58" spans="2:5">
      <c r="B58" s="23">
        <v>45</v>
      </c>
      <c r="C58" s="48">
        <f t="shared" si="2"/>
        <v>0</v>
      </c>
      <c r="D58" s="48">
        <f t="shared" si="0"/>
        <v>0</v>
      </c>
      <c r="E58" s="48">
        <f t="shared" si="1"/>
        <v>0</v>
      </c>
    </row>
    <row r="59" spans="2:5">
      <c r="B59" s="23">
        <v>46</v>
      </c>
      <c r="C59" s="48">
        <f t="shared" si="2"/>
        <v>0</v>
      </c>
      <c r="D59" s="48">
        <f t="shared" si="0"/>
        <v>0</v>
      </c>
      <c r="E59" s="48">
        <f t="shared" si="1"/>
        <v>0</v>
      </c>
    </row>
    <row r="60" spans="2:5">
      <c r="B60" s="23">
        <v>47</v>
      </c>
      <c r="C60" s="48">
        <f t="shared" si="2"/>
        <v>0</v>
      </c>
      <c r="D60" s="48">
        <f t="shared" si="0"/>
        <v>0</v>
      </c>
      <c r="E60" s="48">
        <f t="shared" si="1"/>
        <v>0</v>
      </c>
    </row>
    <row r="61" spans="2:5">
      <c r="B61" s="23">
        <v>48</v>
      </c>
      <c r="C61" s="48">
        <f t="shared" si="2"/>
        <v>0</v>
      </c>
      <c r="D61" s="48">
        <f t="shared" si="0"/>
        <v>0</v>
      </c>
      <c r="E61" s="48">
        <f t="shared" si="1"/>
        <v>0</v>
      </c>
    </row>
    <row r="62" spans="2:5">
      <c r="B62" s="23">
        <v>49</v>
      </c>
      <c r="C62" s="48">
        <f t="shared" si="2"/>
        <v>0</v>
      </c>
      <c r="D62" s="48">
        <f t="shared" si="0"/>
        <v>0</v>
      </c>
      <c r="E62" s="48">
        <f t="shared" si="1"/>
        <v>0</v>
      </c>
    </row>
    <row r="63" spans="2:5">
      <c r="B63" s="23">
        <v>50</v>
      </c>
      <c r="C63" s="48">
        <f t="shared" si="2"/>
        <v>0</v>
      </c>
      <c r="D63" s="48">
        <f t="shared" si="0"/>
        <v>0</v>
      </c>
      <c r="E63" s="48">
        <f t="shared" si="1"/>
        <v>0</v>
      </c>
    </row>
    <row r="64" spans="2:5">
      <c r="B64" s="23">
        <v>51</v>
      </c>
      <c r="C64" s="48">
        <f t="shared" si="2"/>
        <v>0</v>
      </c>
      <c r="D64" s="48">
        <f t="shared" si="0"/>
        <v>0</v>
      </c>
      <c r="E64" s="48">
        <f t="shared" si="1"/>
        <v>0</v>
      </c>
    </row>
    <row r="65" spans="2:5">
      <c r="B65" s="23">
        <v>52</v>
      </c>
      <c r="C65" s="48">
        <f t="shared" si="2"/>
        <v>0</v>
      </c>
      <c r="D65" s="48">
        <f t="shared" si="0"/>
        <v>0</v>
      </c>
      <c r="E65" s="48">
        <f t="shared" si="1"/>
        <v>0</v>
      </c>
    </row>
    <row r="66" spans="2:5">
      <c r="B66" s="23">
        <v>53</v>
      </c>
      <c r="C66" s="48">
        <f t="shared" si="2"/>
        <v>0</v>
      </c>
      <c r="D66" s="48">
        <f t="shared" si="0"/>
        <v>0</v>
      </c>
      <c r="E66" s="48">
        <f t="shared" si="1"/>
        <v>0</v>
      </c>
    </row>
    <row r="67" spans="2:5">
      <c r="B67" s="23">
        <v>54</v>
      </c>
      <c r="C67" s="48">
        <f t="shared" si="2"/>
        <v>0</v>
      </c>
      <c r="D67" s="48">
        <f t="shared" si="0"/>
        <v>0</v>
      </c>
      <c r="E67" s="48">
        <f t="shared" si="1"/>
        <v>0</v>
      </c>
    </row>
    <row r="68" spans="2:5">
      <c r="B68" s="23">
        <v>55</v>
      </c>
      <c r="C68" s="48">
        <f t="shared" si="2"/>
        <v>0</v>
      </c>
      <c r="D68" s="48">
        <f t="shared" si="0"/>
        <v>0</v>
      </c>
      <c r="E68" s="48">
        <f t="shared" si="1"/>
        <v>0</v>
      </c>
    </row>
    <row r="69" spans="2:5">
      <c r="B69" s="23">
        <v>56</v>
      </c>
      <c r="C69" s="48">
        <f t="shared" si="2"/>
        <v>0</v>
      </c>
      <c r="D69" s="48">
        <f t="shared" si="0"/>
        <v>0</v>
      </c>
      <c r="E69" s="48">
        <f t="shared" si="1"/>
        <v>0</v>
      </c>
    </row>
    <row r="70" spans="2:5">
      <c r="B70" s="23">
        <v>57</v>
      </c>
      <c r="C70" s="48">
        <f t="shared" si="2"/>
        <v>0</v>
      </c>
      <c r="D70" s="48">
        <f t="shared" si="0"/>
        <v>0</v>
      </c>
      <c r="E70" s="48">
        <f t="shared" si="1"/>
        <v>0</v>
      </c>
    </row>
    <row r="71" spans="2:5">
      <c r="B71" s="23">
        <v>58</v>
      </c>
      <c r="C71" s="48">
        <f t="shared" si="2"/>
        <v>0</v>
      </c>
      <c r="D71" s="48">
        <f t="shared" si="0"/>
        <v>0</v>
      </c>
      <c r="E71" s="48">
        <f t="shared" si="1"/>
        <v>0</v>
      </c>
    </row>
    <row r="72" spans="2:5">
      <c r="B72" s="23">
        <v>59</v>
      </c>
      <c r="C72" s="48">
        <f t="shared" si="2"/>
        <v>0</v>
      </c>
      <c r="D72" s="48">
        <f t="shared" si="0"/>
        <v>0</v>
      </c>
      <c r="E72" s="48">
        <f t="shared" si="1"/>
        <v>0</v>
      </c>
    </row>
    <row r="73" spans="2:5">
      <c r="B73" s="23">
        <v>60</v>
      </c>
      <c r="C73" s="48">
        <f t="shared" si="2"/>
        <v>0</v>
      </c>
      <c r="D73" s="48">
        <f t="shared" si="0"/>
        <v>0</v>
      </c>
      <c r="E73" s="48">
        <f t="shared" si="1"/>
        <v>0</v>
      </c>
    </row>
    <row r="74" spans="2:5">
      <c r="B74" s="23">
        <v>61</v>
      </c>
      <c r="C74" s="48">
        <f t="shared" si="2"/>
        <v>0</v>
      </c>
      <c r="D74" s="48">
        <f t="shared" si="0"/>
        <v>0</v>
      </c>
      <c r="E74" s="48">
        <f t="shared" si="1"/>
        <v>0</v>
      </c>
    </row>
    <row r="75" spans="2:5">
      <c r="B75" s="23">
        <v>62</v>
      </c>
      <c r="C75" s="48">
        <f t="shared" si="2"/>
        <v>0</v>
      </c>
      <c r="D75" s="48">
        <f t="shared" si="0"/>
        <v>0</v>
      </c>
      <c r="E75" s="48">
        <f t="shared" si="1"/>
        <v>0</v>
      </c>
    </row>
    <row r="76" spans="2:5">
      <c r="B76" s="23">
        <v>63</v>
      </c>
      <c r="C76" s="48">
        <f t="shared" si="2"/>
        <v>0</v>
      </c>
      <c r="D76" s="48">
        <f t="shared" si="0"/>
        <v>0</v>
      </c>
      <c r="E76" s="48">
        <f t="shared" si="1"/>
        <v>0</v>
      </c>
    </row>
    <row r="77" spans="2:5">
      <c r="B77" s="23">
        <v>64</v>
      </c>
      <c r="C77" s="48">
        <f t="shared" si="2"/>
        <v>0</v>
      </c>
      <c r="D77" s="48">
        <f t="shared" si="0"/>
        <v>0</v>
      </c>
      <c r="E77" s="48">
        <f t="shared" si="1"/>
        <v>0</v>
      </c>
    </row>
    <row r="78" spans="2:5">
      <c r="B78" s="23">
        <v>65</v>
      </c>
      <c r="C78" s="48">
        <f t="shared" si="2"/>
        <v>0</v>
      </c>
      <c r="D78" s="48">
        <f t="shared" ref="D78:D141" si="3">IFERROR(_xlfn.XLOOKUP($B78,$Q$13:$Q$18,$M$13:$M$18),0)</f>
        <v>0</v>
      </c>
      <c r="E78" s="48">
        <f t="shared" ref="E78:E141" si="4">IFERROR(_xlfn.XLOOKUP($B78,$Q$13:$Q$18,$J$13:$J$18),0)</f>
        <v>0</v>
      </c>
    </row>
    <row r="79" spans="2:5">
      <c r="B79" s="23">
        <v>66</v>
      </c>
      <c r="C79" s="48">
        <f t="shared" ref="C79:C142" si="5">IFERROR(_xlfn.XLOOKUP($B79,$Q$13:$Q$18,$L$13:$L$18),0)</f>
        <v>0</v>
      </c>
      <c r="D79" s="48">
        <f t="shared" si="3"/>
        <v>0</v>
      </c>
      <c r="E79" s="48">
        <f t="shared" si="4"/>
        <v>0</v>
      </c>
    </row>
    <row r="80" spans="2:5">
      <c r="B80" s="23">
        <v>67</v>
      </c>
      <c r="C80" s="48">
        <f t="shared" si="5"/>
        <v>0</v>
      </c>
      <c r="D80" s="48">
        <f t="shared" si="3"/>
        <v>0</v>
      </c>
      <c r="E80" s="48">
        <f t="shared" si="4"/>
        <v>0</v>
      </c>
    </row>
    <row r="81" spans="2:5">
      <c r="B81" s="23">
        <v>68</v>
      </c>
      <c r="C81" s="48">
        <f t="shared" si="5"/>
        <v>0</v>
      </c>
      <c r="D81" s="48">
        <f t="shared" si="3"/>
        <v>0</v>
      </c>
      <c r="E81" s="48">
        <f t="shared" si="4"/>
        <v>0</v>
      </c>
    </row>
    <row r="82" spans="2:5">
      <c r="B82" s="23">
        <v>69</v>
      </c>
      <c r="C82" s="48">
        <f t="shared" si="5"/>
        <v>0</v>
      </c>
      <c r="D82" s="48">
        <f t="shared" si="3"/>
        <v>0</v>
      </c>
      <c r="E82" s="48">
        <f t="shared" si="4"/>
        <v>0</v>
      </c>
    </row>
    <row r="83" spans="2:5">
      <c r="B83" s="23">
        <v>70</v>
      </c>
      <c r="C83" s="48">
        <f t="shared" si="5"/>
        <v>0</v>
      </c>
      <c r="D83" s="48">
        <f t="shared" si="3"/>
        <v>0</v>
      </c>
      <c r="E83" s="48">
        <f t="shared" si="4"/>
        <v>0</v>
      </c>
    </row>
    <row r="84" spans="2:5">
      <c r="B84" s="23">
        <v>71</v>
      </c>
      <c r="C84" s="48">
        <f t="shared" si="5"/>
        <v>0</v>
      </c>
      <c r="D84" s="48">
        <f t="shared" si="3"/>
        <v>0</v>
      </c>
      <c r="E84" s="48">
        <f t="shared" si="4"/>
        <v>0</v>
      </c>
    </row>
    <row r="85" spans="2:5">
      <c r="B85" s="23">
        <v>72</v>
      </c>
      <c r="C85" s="48">
        <f t="shared" si="5"/>
        <v>0</v>
      </c>
      <c r="D85" s="48">
        <f t="shared" si="3"/>
        <v>0</v>
      </c>
      <c r="E85" s="48">
        <f t="shared" si="4"/>
        <v>0</v>
      </c>
    </row>
    <row r="86" spans="2:5">
      <c r="B86" s="23">
        <v>73</v>
      </c>
      <c r="C86" s="48">
        <f t="shared" si="5"/>
        <v>0</v>
      </c>
      <c r="D86" s="48">
        <f t="shared" si="3"/>
        <v>0</v>
      </c>
      <c r="E86" s="48">
        <f t="shared" si="4"/>
        <v>0</v>
      </c>
    </row>
    <row r="87" spans="2:5">
      <c r="B87" s="23">
        <v>74</v>
      </c>
      <c r="C87" s="48">
        <f t="shared" si="5"/>
        <v>0</v>
      </c>
      <c r="D87" s="48">
        <f t="shared" si="3"/>
        <v>0</v>
      </c>
      <c r="E87" s="48">
        <f t="shared" si="4"/>
        <v>0</v>
      </c>
    </row>
    <row r="88" spans="2:5">
      <c r="B88" s="23">
        <v>75</v>
      </c>
      <c r="C88" s="48">
        <f t="shared" si="5"/>
        <v>0</v>
      </c>
      <c r="D88" s="48">
        <f t="shared" si="3"/>
        <v>0</v>
      </c>
      <c r="E88" s="48">
        <f t="shared" si="4"/>
        <v>0</v>
      </c>
    </row>
    <row r="89" spans="2:5">
      <c r="B89" s="23">
        <v>76</v>
      </c>
      <c r="C89" s="48">
        <f t="shared" si="5"/>
        <v>0</v>
      </c>
      <c r="D89" s="48">
        <f t="shared" si="3"/>
        <v>0</v>
      </c>
      <c r="E89" s="48">
        <f t="shared" si="4"/>
        <v>0</v>
      </c>
    </row>
    <row r="90" spans="2:5">
      <c r="B90" s="23">
        <v>77</v>
      </c>
      <c r="C90" s="48">
        <f t="shared" si="5"/>
        <v>0</v>
      </c>
      <c r="D90" s="48">
        <f t="shared" si="3"/>
        <v>0</v>
      </c>
      <c r="E90" s="48">
        <f t="shared" si="4"/>
        <v>0</v>
      </c>
    </row>
    <row r="91" spans="2:5">
      <c r="B91" s="23">
        <v>78</v>
      </c>
      <c r="C91" s="48">
        <f t="shared" si="5"/>
        <v>0</v>
      </c>
      <c r="D91" s="48">
        <f t="shared" si="3"/>
        <v>0</v>
      </c>
      <c r="E91" s="48">
        <f t="shared" si="4"/>
        <v>0</v>
      </c>
    </row>
    <row r="92" spans="2:5">
      <c r="B92" s="23">
        <v>79</v>
      </c>
      <c r="C92" s="48">
        <f t="shared" si="5"/>
        <v>0</v>
      </c>
      <c r="D92" s="48">
        <f t="shared" si="3"/>
        <v>0</v>
      </c>
      <c r="E92" s="48">
        <f t="shared" si="4"/>
        <v>0</v>
      </c>
    </row>
    <row r="93" spans="2:5">
      <c r="B93" s="23">
        <v>80</v>
      </c>
      <c r="C93" s="48">
        <f t="shared" si="5"/>
        <v>0</v>
      </c>
      <c r="D93" s="48">
        <f t="shared" si="3"/>
        <v>0</v>
      </c>
      <c r="E93" s="48">
        <f t="shared" si="4"/>
        <v>0</v>
      </c>
    </row>
    <row r="94" spans="2:5">
      <c r="B94" s="23">
        <v>81</v>
      </c>
      <c r="C94" s="48">
        <f t="shared" si="5"/>
        <v>0</v>
      </c>
      <c r="D94" s="48">
        <f t="shared" si="3"/>
        <v>0</v>
      </c>
      <c r="E94" s="48">
        <f t="shared" si="4"/>
        <v>0</v>
      </c>
    </row>
    <row r="95" spans="2:5">
      <c r="B95" s="23">
        <v>82</v>
      </c>
      <c r="C95" s="48">
        <f t="shared" si="5"/>
        <v>0</v>
      </c>
      <c r="D95" s="48">
        <f t="shared" si="3"/>
        <v>0</v>
      </c>
      <c r="E95" s="48">
        <f t="shared" si="4"/>
        <v>0</v>
      </c>
    </row>
    <row r="96" spans="2:5">
      <c r="B96" s="23">
        <v>83</v>
      </c>
      <c r="C96" s="48">
        <f t="shared" si="5"/>
        <v>0</v>
      </c>
      <c r="D96" s="48">
        <f t="shared" si="3"/>
        <v>0</v>
      </c>
      <c r="E96" s="48">
        <f t="shared" si="4"/>
        <v>0</v>
      </c>
    </row>
    <row r="97" spans="2:5">
      <c r="B97" s="23">
        <v>84</v>
      </c>
      <c r="C97" s="48">
        <f t="shared" si="5"/>
        <v>0</v>
      </c>
      <c r="D97" s="48">
        <f t="shared" si="3"/>
        <v>0</v>
      </c>
      <c r="E97" s="48">
        <f t="shared" si="4"/>
        <v>0</v>
      </c>
    </row>
    <row r="98" spans="2:5">
      <c r="B98" s="23">
        <v>85</v>
      </c>
      <c r="C98" s="48">
        <f t="shared" si="5"/>
        <v>0</v>
      </c>
      <c r="D98" s="48">
        <f t="shared" si="3"/>
        <v>0</v>
      </c>
      <c r="E98" s="48">
        <f t="shared" si="4"/>
        <v>0</v>
      </c>
    </row>
    <row r="99" spans="2:5">
      <c r="B99" s="23">
        <v>86</v>
      </c>
      <c r="C99" s="48">
        <f t="shared" si="5"/>
        <v>0</v>
      </c>
      <c r="D99" s="48">
        <f t="shared" si="3"/>
        <v>0</v>
      </c>
      <c r="E99" s="48">
        <f t="shared" si="4"/>
        <v>0</v>
      </c>
    </row>
    <row r="100" spans="2:5">
      <c r="B100" s="23">
        <v>87</v>
      </c>
      <c r="C100" s="48">
        <f t="shared" si="5"/>
        <v>0</v>
      </c>
      <c r="D100" s="48">
        <f t="shared" si="3"/>
        <v>0</v>
      </c>
      <c r="E100" s="48">
        <f t="shared" si="4"/>
        <v>0</v>
      </c>
    </row>
    <row r="101" spans="2:5">
      <c r="B101" s="23">
        <v>88</v>
      </c>
      <c r="C101" s="48">
        <f t="shared" si="5"/>
        <v>0</v>
      </c>
      <c r="D101" s="48">
        <f t="shared" si="3"/>
        <v>0</v>
      </c>
      <c r="E101" s="48">
        <f t="shared" si="4"/>
        <v>0</v>
      </c>
    </row>
    <row r="102" spans="2:5">
      <c r="B102" s="23">
        <v>89</v>
      </c>
      <c r="C102" s="48">
        <f t="shared" si="5"/>
        <v>0</v>
      </c>
      <c r="D102" s="48">
        <f t="shared" si="3"/>
        <v>0</v>
      </c>
      <c r="E102" s="48">
        <f t="shared" si="4"/>
        <v>0</v>
      </c>
    </row>
    <row r="103" spans="2:5">
      <c r="B103" s="23">
        <v>90</v>
      </c>
      <c r="C103" s="48">
        <f t="shared" si="5"/>
        <v>0</v>
      </c>
      <c r="D103" s="48">
        <f t="shared" si="3"/>
        <v>0</v>
      </c>
      <c r="E103" s="48">
        <f t="shared" si="4"/>
        <v>0</v>
      </c>
    </row>
    <row r="104" spans="2:5">
      <c r="B104" s="23">
        <v>91</v>
      </c>
      <c r="C104" s="48">
        <f t="shared" si="5"/>
        <v>0</v>
      </c>
      <c r="D104" s="48">
        <f t="shared" si="3"/>
        <v>0</v>
      </c>
      <c r="E104" s="48">
        <f t="shared" si="4"/>
        <v>0</v>
      </c>
    </row>
    <row r="105" spans="2:5">
      <c r="B105" s="23">
        <v>92</v>
      </c>
      <c r="C105" s="48">
        <f t="shared" si="5"/>
        <v>0</v>
      </c>
      <c r="D105" s="48">
        <f t="shared" si="3"/>
        <v>0</v>
      </c>
      <c r="E105" s="48">
        <f t="shared" si="4"/>
        <v>0</v>
      </c>
    </row>
    <row r="106" spans="2:5">
      <c r="B106" s="23">
        <v>93</v>
      </c>
      <c r="C106" s="48">
        <f t="shared" si="5"/>
        <v>0</v>
      </c>
      <c r="D106" s="48">
        <f t="shared" si="3"/>
        <v>0</v>
      </c>
      <c r="E106" s="48">
        <f t="shared" si="4"/>
        <v>0</v>
      </c>
    </row>
    <row r="107" spans="2:5">
      <c r="B107" s="23">
        <v>94</v>
      </c>
      <c r="C107" s="48">
        <f t="shared" si="5"/>
        <v>0</v>
      </c>
      <c r="D107" s="48">
        <f t="shared" si="3"/>
        <v>0</v>
      </c>
      <c r="E107" s="48">
        <f t="shared" si="4"/>
        <v>0</v>
      </c>
    </row>
    <row r="108" spans="2:5">
      <c r="B108" s="23">
        <v>95</v>
      </c>
      <c r="C108" s="48">
        <f t="shared" si="5"/>
        <v>0</v>
      </c>
      <c r="D108" s="48">
        <f t="shared" si="3"/>
        <v>0</v>
      </c>
      <c r="E108" s="48">
        <f t="shared" si="4"/>
        <v>0</v>
      </c>
    </row>
    <row r="109" spans="2:5">
      <c r="B109" s="23">
        <v>96</v>
      </c>
      <c r="C109" s="48">
        <f t="shared" si="5"/>
        <v>0</v>
      </c>
      <c r="D109" s="48">
        <f t="shared" si="3"/>
        <v>0</v>
      </c>
      <c r="E109" s="48">
        <f t="shared" si="4"/>
        <v>0</v>
      </c>
    </row>
    <row r="110" spans="2:5">
      <c r="B110" s="23">
        <v>97</v>
      </c>
      <c r="C110" s="48">
        <f t="shared" si="5"/>
        <v>0</v>
      </c>
      <c r="D110" s="48">
        <f t="shared" si="3"/>
        <v>0</v>
      </c>
      <c r="E110" s="48">
        <f t="shared" si="4"/>
        <v>0</v>
      </c>
    </row>
    <row r="111" spans="2:5">
      <c r="B111" s="23">
        <v>98</v>
      </c>
      <c r="C111" s="48">
        <f t="shared" si="5"/>
        <v>0</v>
      </c>
      <c r="D111" s="48">
        <f t="shared" si="3"/>
        <v>0</v>
      </c>
      <c r="E111" s="48">
        <f t="shared" si="4"/>
        <v>0</v>
      </c>
    </row>
    <row r="112" spans="2:5">
      <c r="B112" s="23">
        <v>99</v>
      </c>
      <c r="C112" s="48">
        <f t="shared" si="5"/>
        <v>0</v>
      </c>
      <c r="D112" s="48">
        <f t="shared" si="3"/>
        <v>0</v>
      </c>
      <c r="E112" s="48">
        <f t="shared" si="4"/>
        <v>0</v>
      </c>
    </row>
    <row r="113" spans="2:5">
      <c r="B113" s="23">
        <v>100</v>
      </c>
      <c r="C113" s="48">
        <f t="shared" si="5"/>
        <v>0</v>
      </c>
      <c r="D113" s="48">
        <f t="shared" si="3"/>
        <v>0</v>
      </c>
      <c r="E113" s="48">
        <f t="shared" si="4"/>
        <v>0</v>
      </c>
    </row>
    <row r="114" spans="2:5">
      <c r="B114" s="23">
        <v>101</v>
      </c>
      <c r="C114" s="48">
        <f t="shared" si="5"/>
        <v>0</v>
      </c>
      <c r="D114" s="48">
        <f t="shared" si="3"/>
        <v>0</v>
      </c>
      <c r="E114" s="48">
        <f t="shared" si="4"/>
        <v>0</v>
      </c>
    </row>
    <row r="115" spans="2:5">
      <c r="B115" s="23">
        <v>102</v>
      </c>
      <c r="C115" s="48">
        <f t="shared" si="5"/>
        <v>0</v>
      </c>
      <c r="D115" s="48">
        <f t="shared" si="3"/>
        <v>0</v>
      </c>
      <c r="E115" s="48">
        <f t="shared" si="4"/>
        <v>0</v>
      </c>
    </row>
    <row r="116" spans="2:5">
      <c r="B116" s="23">
        <v>103</v>
      </c>
      <c r="C116" s="48">
        <f t="shared" si="5"/>
        <v>0</v>
      </c>
      <c r="D116" s="48">
        <f t="shared" si="3"/>
        <v>0</v>
      </c>
      <c r="E116" s="48">
        <f t="shared" si="4"/>
        <v>0</v>
      </c>
    </row>
    <row r="117" spans="2:5">
      <c r="B117" s="23">
        <v>104</v>
      </c>
      <c r="C117" s="48">
        <f t="shared" si="5"/>
        <v>0</v>
      </c>
      <c r="D117" s="48">
        <f t="shared" si="3"/>
        <v>0</v>
      </c>
      <c r="E117" s="48">
        <f t="shared" si="4"/>
        <v>0</v>
      </c>
    </row>
    <row r="118" spans="2:5">
      <c r="B118" s="23">
        <v>105</v>
      </c>
      <c r="C118" s="48">
        <f t="shared" si="5"/>
        <v>0</v>
      </c>
      <c r="D118" s="48">
        <f t="shared" si="3"/>
        <v>0</v>
      </c>
      <c r="E118" s="48">
        <f t="shared" si="4"/>
        <v>0</v>
      </c>
    </row>
    <row r="119" spans="2:5">
      <c r="B119" s="23">
        <v>106</v>
      </c>
      <c r="C119" s="48">
        <f t="shared" si="5"/>
        <v>0</v>
      </c>
      <c r="D119" s="48">
        <f t="shared" si="3"/>
        <v>0</v>
      </c>
      <c r="E119" s="48">
        <f t="shared" si="4"/>
        <v>0</v>
      </c>
    </row>
    <row r="120" spans="2:5">
      <c r="B120" s="23">
        <v>107</v>
      </c>
      <c r="C120" s="48">
        <f t="shared" si="5"/>
        <v>0</v>
      </c>
      <c r="D120" s="48">
        <f t="shared" si="3"/>
        <v>0</v>
      </c>
      <c r="E120" s="48">
        <f t="shared" si="4"/>
        <v>0</v>
      </c>
    </row>
    <row r="121" spans="2:5">
      <c r="B121" s="23">
        <v>108</v>
      </c>
      <c r="C121" s="48">
        <f t="shared" si="5"/>
        <v>0</v>
      </c>
      <c r="D121" s="48">
        <f t="shared" si="3"/>
        <v>0</v>
      </c>
      <c r="E121" s="48">
        <f t="shared" si="4"/>
        <v>0</v>
      </c>
    </row>
    <row r="122" spans="2:5">
      <c r="B122" s="23">
        <v>109</v>
      </c>
      <c r="C122" s="48">
        <f t="shared" si="5"/>
        <v>0</v>
      </c>
      <c r="D122" s="48">
        <f t="shared" si="3"/>
        <v>0</v>
      </c>
      <c r="E122" s="48">
        <f t="shared" si="4"/>
        <v>0</v>
      </c>
    </row>
    <row r="123" spans="2:5">
      <c r="B123" s="23">
        <v>110</v>
      </c>
      <c r="C123" s="48">
        <f t="shared" si="5"/>
        <v>0</v>
      </c>
      <c r="D123" s="48">
        <f t="shared" si="3"/>
        <v>0</v>
      </c>
      <c r="E123" s="48">
        <f t="shared" si="4"/>
        <v>0</v>
      </c>
    </row>
    <row r="124" spans="2:5">
      <c r="B124" s="23">
        <v>111</v>
      </c>
      <c r="C124" s="48">
        <f t="shared" si="5"/>
        <v>0</v>
      </c>
      <c r="D124" s="48">
        <f t="shared" si="3"/>
        <v>0</v>
      </c>
      <c r="E124" s="48">
        <f t="shared" si="4"/>
        <v>0</v>
      </c>
    </row>
    <row r="125" spans="2:5">
      <c r="B125" s="23">
        <v>112</v>
      </c>
      <c r="C125" s="48">
        <f t="shared" si="5"/>
        <v>0</v>
      </c>
      <c r="D125" s="48">
        <f t="shared" si="3"/>
        <v>0</v>
      </c>
      <c r="E125" s="48">
        <f t="shared" si="4"/>
        <v>0</v>
      </c>
    </row>
    <row r="126" spans="2:5">
      <c r="B126" s="23">
        <v>113</v>
      </c>
      <c r="C126" s="48">
        <f t="shared" si="5"/>
        <v>0</v>
      </c>
      <c r="D126" s="48">
        <f t="shared" si="3"/>
        <v>0</v>
      </c>
      <c r="E126" s="48">
        <f t="shared" si="4"/>
        <v>0</v>
      </c>
    </row>
    <row r="127" spans="2:5">
      <c r="B127" s="23">
        <v>114</v>
      </c>
      <c r="C127" s="48">
        <f t="shared" si="5"/>
        <v>0</v>
      </c>
      <c r="D127" s="48">
        <f t="shared" si="3"/>
        <v>0</v>
      </c>
      <c r="E127" s="48">
        <f t="shared" si="4"/>
        <v>0</v>
      </c>
    </row>
    <row r="128" spans="2:5">
      <c r="B128" s="23">
        <v>115</v>
      </c>
      <c r="C128" s="48">
        <f t="shared" si="5"/>
        <v>0</v>
      </c>
      <c r="D128" s="48">
        <f t="shared" si="3"/>
        <v>0</v>
      </c>
      <c r="E128" s="48">
        <f t="shared" si="4"/>
        <v>0</v>
      </c>
    </row>
    <row r="129" spans="2:5">
      <c r="B129" s="23">
        <v>116</v>
      </c>
      <c r="C129" s="48">
        <f t="shared" si="5"/>
        <v>0</v>
      </c>
      <c r="D129" s="48">
        <f t="shared" si="3"/>
        <v>0</v>
      </c>
      <c r="E129" s="48">
        <f t="shared" si="4"/>
        <v>0</v>
      </c>
    </row>
    <row r="130" spans="2:5">
      <c r="B130" s="23">
        <v>117</v>
      </c>
      <c r="C130" s="48">
        <f t="shared" si="5"/>
        <v>0</v>
      </c>
      <c r="D130" s="48">
        <f t="shared" si="3"/>
        <v>0</v>
      </c>
      <c r="E130" s="48">
        <f t="shared" si="4"/>
        <v>0</v>
      </c>
    </row>
    <row r="131" spans="2:5">
      <c r="B131" s="23">
        <v>118</v>
      </c>
      <c r="C131" s="48">
        <f t="shared" si="5"/>
        <v>0</v>
      </c>
      <c r="D131" s="48">
        <f t="shared" si="3"/>
        <v>0</v>
      </c>
      <c r="E131" s="48">
        <f t="shared" si="4"/>
        <v>0</v>
      </c>
    </row>
    <row r="132" spans="2:5">
      <c r="B132" s="23">
        <v>119</v>
      </c>
      <c r="C132" s="48">
        <f t="shared" si="5"/>
        <v>0</v>
      </c>
      <c r="D132" s="48">
        <f t="shared" si="3"/>
        <v>0</v>
      </c>
      <c r="E132" s="48">
        <f t="shared" si="4"/>
        <v>0</v>
      </c>
    </row>
    <row r="133" spans="2:5">
      <c r="B133" s="23">
        <v>120</v>
      </c>
      <c r="C133" s="48">
        <f t="shared" si="5"/>
        <v>0</v>
      </c>
      <c r="D133" s="48">
        <f t="shared" si="3"/>
        <v>0</v>
      </c>
      <c r="E133" s="48">
        <f t="shared" si="4"/>
        <v>0</v>
      </c>
    </row>
    <row r="134" spans="2:5">
      <c r="B134" s="23">
        <v>121</v>
      </c>
      <c r="C134" s="48">
        <f t="shared" si="5"/>
        <v>0</v>
      </c>
      <c r="D134" s="48">
        <f t="shared" si="3"/>
        <v>0</v>
      </c>
      <c r="E134" s="48">
        <f t="shared" si="4"/>
        <v>0</v>
      </c>
    </row>
    <row r="135" spans="2:5">
      <c r="B135" s="23">
        <v>122</v>
      </c>
      <c r="C135" s="48">
        <f t="shared" si="5"/>
        <v>0</v>
      </c>
      <c r="D135" s="48">
        <f t="shared" si="3"/>
        <v>0</v>
      </c>
      <c r="E135" s="48">
        <f t="shared" si="4"/>
        <v>0</v>
      </c>
    </row>
    <row r="136" spans="2:5">
      <c r="B136" s="23">
        <v>123</v>
      </c>
      <c r="C136" s="48">
        <f t="shared" si="5"/>
        <v>0</v>
      </c>
      <c r="D136" s="48">
        <f t="shared" si="3"/>
        <v>0</v>
      </c>
      <c r="E136" s="48">
        <f t="shared" si="4"/>
        <v>0</v>
      </c>
    </row>
    <row r="137" spans="2:5">
      <c r="B137" s="23">
        <v>124</v>
      </c>
      <c r="C137" s="48">
        <f t="shared" si="5"/>
        <v>0</v>
      </c>
      <c r="D137" s="48">
        <f t="shared" si="3"/>
        <v>0</v>
      </c>
      <c r="E137" s="48">
        <f t="shared" si="4"/>
        <v>0</v>
      </c>
    </row>
    <row r="138" spans="2:5">
      <c r="B138" s="23">
        <v>125</v>
      </c>
      <c r="C138" s="48">
        <f t="shared" si="5"/>
        <v>0</v>
      </c>
      <c r="D138" s="48">
        <f t="shared" si="3"/>
        <v>0</v>
      </c>
      <c r="E138" s="48">
        <f t="shared" si="4"/>
        <v>0</v>
      </c>
    </row>
    <row r="139" spans="2:5">
      <c r="B139" s="23">
        <v>126</v>
      </c>
      <c r="C139" s="48">
        <f t="shared" si="5"/>
        <v>0</v>
      </c>
      <c r="D139" s="48">
        <f t="shared" si="3"/>
        <v>0</v>
      </c>
      <c r="E139" s="48">
        <f t="shared" si="4"/>
        <v>0</v>
      </c>
    </row>
    <row r="140" spans="2:5">
      <c r="B140" s="23">
        <v>127</v>
      </c>
      <c r="C140" s="48">
        <f t="shared" si="5"/>
        <v>0</v>
      </c>
      <c r="D140" s="48">
        <f t="shared" si="3"/>
        <v>0</v>
      </c>
      <c r="E140" s="48">
        <f t="shared" si="4"/>
        <v>0</v>
      </c>
    </row>
    <row r="141" spans="2:5">
      <c r="B141" s="23">
        <v>128</v>
      </c>
      <c r="C141" s="48">
        <f t="shared" si="5"/>
        <v>0</v>
      </c>
      <c r="D141" s="48">
        <f t="shared" si="3"/>
        <v>0</v>
      </c>
      <c r="E141" s="48">
        <f t="shared" si="4"/>
        <v>0</v>
      </c>
    </row>
    <row r="142" spans="2:5">
      <c r="B142" s="23">
        <v>129</v>
      </c>
      <c r="C142" s="48">
        <f t="shared" si="5"/>
        <v>0</v>
      </c>
      <c r="D142" s="48">
        <f t="shared" ref="D142:D205" si="6">IFERROR(_xlfn.XLOOKUP($B142,$Q$13:$Q$18,$M$13:$M$18),0)</f>
        <v>0</v>
      </c>
      <c r="E142" s="48">
        <f t="shared" ref="E142:E205" si="7">IFERROR(_xlfn.XLOOKUP($B142,$Q$13:$Q$18,$J$13:$J$18),0)</f>
        <v>0</v>
      </c>
    </row>
    <row r="143" spans="2:5">
      <c r="B143" s="23">
        <v>130</v>
      </c>
      <c r="C143" s="48">
        <f t="shared" ref="C143:C206" si="8">IFERROR(_xlfn.XLOOKUP($B143,$Q$13:$Q$18,$L$13:$L$18),0)</f>
        <v>0</v>
      </c>
      <c r="D143" s="48">
        <f t="shared" si="6"/>
        <v>0</v>
      </c>
      <c r="E143" s="48">
        <f t="shared" si="7"/>
        <v>0</v>
      </c>
    </row>
    <row r="144" spans="2:5">
      <c r="B144" s="23">
        <v>131</v>
      </c>
      <c r="C144" s="48">
        <f t="shared" si="8"/>
        <v>0</v>
      </c>
      <c r="D144" s="48">
        <f t="shared" si="6"/>
        <v>0</v>
      </c>
      <c r="E144" s="48">
        <f t="shared" si="7"/>
        <v>0</v>
      </c>
    </row>
    <row r="145" spans="2:5">
      <c r="B145" s="23">
        <v>132</v>
      </c>
      <c r="C145" s="48">
        <f t="shared" si="8"/>
        <v>0</v>
      </c>
      <c r="D145" s="48">
        <f t="shared" si="6"/>
        <v>0</v>
      </c>
      <c r="E145" s="48">
        <f t="shared" si="7"/>
        <v>0</v>
      </c>
    </row>
    <row r="146" spans="2:5">
      <c r="B146" s="23">
        <v>133</v>
      </c>
      <c r="C146" s="48">
        <f t="shared" si="8"/>
        <v>0</v>
      </c>
      <c r="D146" s="48">
        <f t="shared" si="6"/>
        <v>0</v>
      </c>
      <c r="E146" s="48">
        <f t="shared" si="7"/>
        <v>0</v>
      </c>
    </row>
    <row r="147" spans="2:5">
      <c r="B147" s="23">
        <v>134</v>
      </c>
      <c r="C147" s="48">
        <f t="shared" si="8"/>
        <v>0</v>
      </c>
      <c r="D147" s="48">
        <f t="shared" si="6"/>
        <v>0</v>
      </c>
      <c r="E147" s="48">
        <f t="shared" si="7"/>
        <v>0</v>
      </c>
    </row>
    <row r="148" spans="2:5">
      <c r="B148" s="23">
        <v>135</v>
      </c>
      <c r="C148" s="48">
        <f t="shared" si="8"/>
        <v>0</v>
      </c>
      <c r="D148" s="48">
        <f t="shared" si="6"/>
        <v>0</v>
      </c>
      <c r="E148" s="48">
        <f t="shared" si="7"/>
        <v>0</v>
      </c>
    </row>
    <row r="149" spans="2:5">
      <c r="B149" s="23">
        <v>136</v>
      </c>
      <c r="C149" s="48">
        <f t="shared" si="8"/>
        <v>0</v>
      </c>
      <c r="D149" s="48">
        <f t="shared" si="6"/>
        <v>0</v>
      </c>
      <c r="E149" s="48">
        <f t="shared" si="7"/>
        <v>0</v>
      </c>
    </row>
    <row r="150" spans="2:5">
      <c r="B150" s="23">
        <v>137</v>
      </c>
      <c r="C150" s="48">
        <f t="shared" si="8"/>
        <v>0</v>
      </c>
      <c r="D150" s="48">
        <f t="shared" si="6"/>
        <v>0</v>
      </c>
      <c r="E150" s="48">
        <f t="shared" si="7"/>
        <v>0</v>
      </c>
    </row>
    <row r="151" spans="2:5">
      <c r="B151" s="23">
        <v>138</v>
      </c>
      <c r="C151" s="48">
        <f t="shared" si="8"/>
        <v>0</v>
      </c>
      <c r="D151" s="48">
        <f t="shared" si="6"/>
        <v>0</v>
      </c>
      <c r="E151" s="48">
        <f t="shared" si="7"/>
        <v>0</v>
      </c>
    </row>
    <row r="152" spans="2:5">
      <c r="B152" s="23">
        <v>139</v>
      </c>
      <c r="C152" s="48">
        <f t="shared" si="8"/>
        <v>0</v>
      </c>
      <c r="D152" s="48">
        <f t="shared" si="6"/>
        <v>0</v>
      </c>
      <c r="E152" s="48">
        <f t="shared" si="7"/>
        <v>0</v>
      </c>
    </row>
    <row r="153" spans="2:5">
      <c r="B153" s="23">
        <v>140</v>
      </c>
      <c r="C153" s="48">
        <f t="shared" si="8"/>
        <v>0</v>
      </c>
      <c r="D153" s="48">
        <f t="shared" si="6"/>
        <v>0</v>
      </c>
      <c r="E153" s="48">
        <f t="shared" si="7"/>
        <v>0</v>
      </c>
    </row>
    <row r="154" spans="2:5">
      <c r="B154" s="23">
        <v>141</v>
      </c>
      <c r="C154" s="48">
        <f t="shared" si="8"/>
        <v>0</v>
      </c>
      <c r="D154" s="48">
        <f t="shared" si="6"/>
        <v>0</v>
      </c>
      <c r="E154" s="48">
        <f t="shared" si="7"/>
        <v>0</v>
      </c>
    </row>
    <row r="155" spans="2:5">
      <c r="B155" s="23">
        <v>142</v>
      </c>
      <c r="C155" s="48">
        <f t="shared" si="8"/>
        <v>0</v>
      </c>
      <c r="D155" s="48">
        <f t="shared" si="6"/>
        <v>0</v>
      </c>
      <c r="E155" s="48">
        <f t="shared" si="7"/>
        <v>0</v>
      </c>
    </row>
    <row r="156" spans="2:5">
      <c r="B156" s="23">
        <v>143</v>
      </c>
      <c r="C156" s="48">
        <f t="shared" si="8"/>
        <v>0</v>
      </c>
      <c r="D156" s="48">
        <f t="shared" si="6"/>
        <v>0</v>
      </c>
      <c r="E156" s="48">
        <f t="shared" si="7"/>
        <v>0</v>
      </c>
    </row>
    <row r="157" spans="2:5">
      <c r="B157" s="23">
        <v>144</v>
      </c>
      <c r="C157" s="48">
        <f t="shared" si="8"/>
        <v>0</v>
      </c>
      <c r="D157" s="48">
        <f t="shared" si="6"/>
        <v>0</v>
      </c>
      <c r="E157" s="48">
        <f t="shared" si="7"/>
        <v>0</v>
      </c>
    </row>
    <row r="158" spans="2:5">
      <c r="B158" s="23">
        <v>145</v>
      </c>
      <c r="C158" s="48">
        <f t="shared" si="8"/>
        <v>0</v>
      </c>
      <c r="D158" s="48">
        <f t="shared" si="6"/>
        <v>0</v>
      </c>
      <c r="E158" s="48">
        <f t="shared" si="7"/>
        <v>0</v>
      </c>
    </row>
    <row r="159" spans="2:5">
      <c r="B159" s="23">
        <v>146</v>
      </c>
      <c r="C159" s="48">
        <f t="shared" si="8"/>
        <v>0</v>
      </c>
      <c r="D159" s="48">
        <f t="shared" si="6"/>
        <v>0</v>
      </c>
      <c r="E159" s="48">
        <f t="shared" si="7"/>
        <v>0</v>
      </c>
    </row>
    <row r="160" spans="2:5">
      <c r="B160" s="23">
        <v>147</v>
      </c>
      <c r="C160" s="48">
        <f t="shared" si="8"/>
        <v>0</v>
      </c>
      <c r="D160" s="48">
        <f t="shared" si="6"/>
        <v>0</v>
      </c>
      <c r="E160" s="48">
        <f t="shared" si="7"/>
        <v>0</v>
      </c>
    </row>
    <row r="161" spans="2:5">
      <c r="B161" s="23">
        <v>148</v>
      </c>
      <c r="C161" s="48">
        <f t="shared" si="8"/>
        <v>0</v>
      </c>
      <c r="D161" s="48">
        <f t="shared" si="6"/>
        <v>0</v>
      </c>
      <c r="E161" s="48">
        <f t="shared" si="7"/>
        <v>0</v>
      </c>
    </row>
    <row r="162" spans="2:5">
      <c r="B162" s="23">
        <v>149</v>
      </c>
      <c r="C162" s="48">
        <f t="shared" si="8"/>
        <v>0</v>
      </c>
      <c r="D162" s="48">
        <f t="shared" si="6"/>
        <v>0</v>
      </c>
      <c r="E162" s="48">
        <f t="shared" si="7"/>
        <v>0</v>
      </c>
    </row>
    <row r="163" spans="2:5">
      <c r="B163" s="23">
        <v>150</v>
      </c>
      <c r="C163" s="48">
        <f t="shared" si="8"/>
        <v>0</v>
      </c>
      <c r="D163" s="48">
        <f t="shared" si="6"/>
        <v>0</v>
      </c>
      <c r="E163" s="48">
        <f t="shared" si="7"/>
        <v>0</v>
      </c>
    </row>
    <row r="164" spans="2:5">
      <c r="B164" s="23">
        <v>151</v>
      </c>
      <c r="C164" s="48">
        <f t="shared" si="8"/>
        <v>0</v>
      </c>
      <c r="D164" s="48">
        <f t="shared" si="6"/>
        <v>0</v>
      </c>
      <c r="E164" s="48">
        <f t="shared" si="7"/>
        <v>0</v>
      </c>
    </row>
    <row r="165" spans="2:5">
      <c r="B165" s="23">
        <v>152</v>
      </c>
      <c r="C165" s="48">
        <f t="shared" si="8"/>
        <v>0</v>
      </c>
      <c r="D165" s="48">
        <f t="shared" si="6"/>
        <v>0</v>
      </c>
      <c r="E165" s="48">
        <f t="shared" si="7"/>
        <v>0</v>
      </c>
    </row>
    <row r="166" spans="2:5">
      <c r="B166" s="23">
        <v>153</v>
      </c>
      <c r="C166" s="48">
        <f t="shared" si="8"/>
        <v>0</v>
      </c>
      <c r="D166" s="48">
        <f t="shared" si="6"/>
        <v>0</v>
      </c>
      <c r="E166" s="48">
        <f t="shared" si="7"/>
        <v>0</v>
      </c>
    </row>
    <row r="167" spans="2:5">
      <c r="B167" s="23">
        <v>154</v>
      </c>
      <c r="C167" s="48">
        <f t="shared" si="8"/>
        <v>0</v>
      </c>
      <c r="D167" s="48">
        <f t="shared" si="6"/>
        <v>0</v>
      </c>
      <c r="E167" s="48">
        <f t="shared" si="7"/>
        <v>0</v>
      </c>
    </row>
    <row r="168" spans="2:5">
      <c r="B168" s="23">
        <v>155</v>
      </c>
      <c r="C168" s="48">
        <f t="shared" si="8"/>
        <v>0</v>
      </c>
      <c r="D168" s="48">
        <f t="shared" si="6"/>
        <v>0</v>
      </c>
      <c r="E168" s="48">
        <f t="shared" si="7"/>
        <v>0</v>
      </c>
    </row>
    <row r="169" spans="2:5">
      <c r="B169" s="23">
        <v>156</v>
      </c>
      <c r="C169" s="48">
        <f t="shared" si="8"/>
        <v>0</v>
      </c>
      <c r="D169" s="48">
        <f t="shared" si="6"/>
        <v>0</v>
      </c>
      <c r="E169" s="48">
        <f t="shared" si="7"/>
        <v>0</v>
      </c>
    </row>
    <row r="170" spans="2:5">
      <c r="B170" s="23">
        <v>157</v>
      </c>
      <c r="C170" s="48">
        <f t="shared" si="8"/>
        <v>0</v>
      </c>
      <c r="D170" s="48">
        <f t="shared" si="6"/>
        <v>0</v>
      </c>
      <c r="E170" s="48">
        <f t="shared" si="7"/>
        <v>0</v>
      </c>
    </row>
    <row r="171" spans="2:5">
      <c r="B171" s="23">
        <v>158</v>
      </c>
      <c r="C171" s="48">
        <f t="shared" si="8"/>
        <v>0</v>
      </c>
      <c r="D171" s="48">
        <f t="shared" si="6"/>
        <v>0</v>
      </c>
      <c r="E171" s="48">
        <f t="shared" si="7"/>
        <v>0</v>
      </c>
    </row>
    <row r="172" spans="2:5">
      <c r="B172" s="23">
        <v>159</v>
      </c>
      <c r="C172" s="48">
        <f t="shared" si="8"/>
        <v>0</v>
      </c>
      <c r="D172" s="48">
        <f t="shared" si="6"/>
        <v>0</v>
      </c>
      <c r="E172" s="48">
        <f t="shared" si="7"/>
        <v>0</v>
      </c>
    </row>
    <row r="173" spans="2:5">
      <c r="B173" s="23">
        <v>160</v>
      </c>
      <c r="C173" s="48">
        <f t="shared" si="8"/>
        <v>0</v>
      </c>
      <c r="D173" s="48">
        <f t="shared" si="6"/>
        <v>0</v>
      </c>
      <c r="E173" s="48">
        <f t="shared" si="7"/>
        <v>0</v>
      </c>
    </row>
    <row r="174" spans="2:5">
      <c r="B174" s="23">
        <v>161</v>
      </c>
      <c r="C174" s="48">
        <f t="shared" si="8"/>
        <v>0</v>
      </c>
      <c r="D174" s="48">
        <f t="shared" si="6"/>
        <v>0</v>
      </c>
      <c r="E174" s="48">
        <f t="shared" si="7"/>
        <v>0</v>
      </c>
    </row>
    <row r="175" spans="2:5">
      <c r="B175" s="23">
        <v>162</v>
      </c>
      <c r="C175" s="48">
        <f t="shared" si="8"/>
        <v>0</v>
      </c>
      <c r="D175" s="48">
        <f t="shared" si="6"/>
        <v>0</v>
      </c>
      <c r="E175" s="48">
        <f t="shared" si="7"/>
        <v>0</v>
      </c>
    </row>
    <row r="176" spans="2:5">
      <c r="B176" s="23">
        <v>163</v>
      </c>
      <c r="C176" s="48">
        <f t="shared" si="8"/>
        <v>0</v>
      </c>
      <c r="D176" s="48">
        <f t="shared" si="6"/>
        <v>0</v>
      </c>
      <c r="E176" s="48">
        <f t="shared" si="7"/>
        <v>0</v>
      </c>
    </row>
    <row r="177" spans="2:5">
      <c r="B177" s="23">
        <v>164</v>
      </c>
      <c r="C177" s="48">
        <f t="shared" si="8"/>
        <v>0</v>
      </c>
      <c r="D177" s="48">
        <f t="shared" si="6"/>
        <v>0</v>
      </c>
      <c r="E177" s="48">
        <f t="shared" si="7"/>
        <v>0</v>
      </c>
    </row>
    <row r="178" spans="2:5">
      <c r="B178" s="23">
        <v>165</v>
      </c>
      <c r="C178" s="48">
        <f t="shared" si="8"/>
        <v>0</v>
      </c>
      <c r="D178" s="48">
        <f t="shared" si="6"/>
        <v>0</v>
      </c>
      <c r="E178" s="48">
        <f t="shared" si="7"/>
        <v>0</v>
      </c>
    </row>
    <row r="179" spans="2:5">
      <c r="B179" s="23">
        <v>166</v>
      </c>
      <c r="C179" s="48">
        <f t="shared" si="8"/>
        <v>0</v>
      </c>
      <c r="D179" s="48">
        <f t="shared" si="6"/>
        <v>0</v>
      </c>
      <c r="E179" s="48">
        <f t="shared" si="7"/>
        <v>0</v>
      </c>
    </row>
    <row r="180" spans="2:5">
      <c r="B180" s="23">
        <v>167</v>
      </c>
      <c r="C180" s="48">
        <f t="shared" si="8"/>
        <v>0</v>
      </c>
      <c r="D180" s="48">
        <f t="shared" si="6"/>
        <v>0</v>
      </c>
      <c r="E180" s="48">
        <f t="shared" si="7"/>
        <v>0</v>
      </c>
    </row>
    <row r="181" spans="2:5">
      <c r="B181" s="23">
        <v>168</v>
      </c>
      <c r="C181" s="48">
        <f t="shared" si="8"/>
        <v>0</v>
      </c>
      <c r="D181" s="48">
        <f t="shared" si="6"/>
        <v>0</v>
      </c>
      <c r="E181" s="48">
        <f t="shared" si="7"/>
        <v>0</v>
      </c>
    </row>
    <row r="182" spans="2:5">
      <c r="B182" s="23">
        <v>169</v>
      </c>
      <c r="C182" s="48">
        <f t="shared" si="8"/>
        <v>0</v>
      </c>
      <c r="D182" s="48">
        <f t="shared" si="6"/>
        <v>0</v>
      </c>
      <c r="E182" s="48">
        <f t="shared" si="7"/>
        <v>0</v>
      </c>
    </row>
    <row r="183" spans="2:5">
      <c r="B183" s="23">
        <v>170</v>
      </c>
      <c r="C183" s="48">
        <f t="shared" si="8"/>
        <v>0</v>
      </c>
      <c r="D183" s="48">
        <f t="shared" si="6"/>
        <v>0</v>
      </c>
      <c r="E183" s="48">
        <f t="shared" si="7"/>
        <v>0</v>
      </c>
    </row>
    <row r="184" spans="2:5">
      <c r="B184" s="23">
        <v>171</v>
      </c>
      <c r="C184" s="48">
        <f t="shared" si="8"/>
        <v>0</v>
      </c>
      <c r="D184" s="48">
        <f t="shared" si="6"/>
        <v>0</v>
      </c>
      <c r="E184" s="48">
        <f t="shared" si="7"/>
        <v>0</v>
      </c>
    </row>
    <row r="185" spans="2:5">
      <c r="B185" s="23">
        <v>172</v>
      </c>
      <c r="C185" s="48">
        <f t="shared" si="8"/>
        <v>0</v>
      </c>
      <c r="D185" s="48">
        <f t="shared" si="6"/>
        <v>0</v>
      </c>
      <c r="E185" s="48">
        <f t="shared" si="7"/>
        <v>0</v>
      </c>
    </row>
    <row r="186" spans="2:5">
      <c r="B186" s="23">
        <v>173</v>
      </c>
      <c r="C186" s="48">
        <f t="shared" si="8"/>
        <v>0</v>
      </c>
      <c r="D186" s="48">
        <f t="shared" si="6"/>
        <v>0</v>
      </c>
      <c r="E186" s="48">
        <f t="shared" si="7"/>
        <v>0</v>
      </c>
    </row>
    <row r="187" spans="2:5">
      <c r="B187" s="23">
        <v>174</v>
      </c>
      <c r="C187" s="48">
        <f t="shared" si="8"/>
        <v>0</v>
      </c>
      <c r="D187" s="48">
        <f t="shared" si="6"/>
        <v>0</v>
      </c>
      <c r="E187" s="48">
        <f t="shared" si="7"/>
        <v>0</v>
      </c>
    </row>
    <row r="188" spans="2:5">
      <c r="B188" s="23">
        <v>175</v>
      </c>
      <c r="C188" s="48">
        <f t="shared" si="8"/>
        <v>0</v>
      </c>
      <c r="D188" s="48">
        <f t="shared" si="6"/>
        <v>0</v>
      </c>
      <c r="E188" s="48">
        <f t="shared" si="7"/>
        <v>0</v>
      </c>
    </row>
    <row r="189" spans="2:5">
      <c r="B189" s="23">
        <v>176</v>
      </c>
      <c r="C189" s="48">
        <f t="shared" si="8"/>
        <v>0</v>
      </c>
      <c r="D189" s="48">
        <f t="shared" si="6"/>
        <v>0</v>
      </c>
      <c r="E189" s="48">
        <f t="shared" si="7"/>
        <v>0</v>
      </c>
    </row>
    <row r="190" spans="2:5">
      <c r="B190" s="23">
        <v>177</v>
      </c>
      <c r="C190" s="48">
        <f t="shared" si="8"/>
        <v>0</v>
      </c>
      <c r="D190" s="48">
        <f t="shared" si="6"/>
        <v>0</v>
      </c>
      <c r="E190" s="48">
        <f t="shared" si="7"/>
        <v>0</v>
      </c>
    </row>
    <row r="191" spans="2:5">
      <c r="B191" s="23">
        <v>178</v>
      </c>
      <c r="C191" s="48">
        <f t="shared" si="8"/>
        <v>0</v>
      </c>
      <c r="D191" s="48">
        <f t="shared" si="6"/>
        <v>0</v>
      </c>
      <c r="E191" s="48">
        <f t="shared" si="7"/>
        <v>0</v>
      </c>
    </row>
    <row r="192" spans="2:5">
      <c r="B192" s="23">
        <v>179</v>
      </c>
      <c r="C192" s="48">
        <f t="shared" si="8"/>
        <v>0</v>
      </c>
      <c r="D192" s="48">
        <f t="shared" si="6"/>
        <v>0</v>
      </c>
      <c r="E192" s="48">
        <f t="shared" si="7"/>
        <v>0</v>
      </c>
    </row>
    <row r="193" spans="2:5">
      <c r="B193" s="23">
        <v>180</v>
      </c>
      <c r="C193" s="48">
        <f t="shared" si="8"/>
        <v>0</v>
      </c>
      <c r="D193" s="48">
        <f t="shared" si="6"/>
        <v>0</v>
      </c>
      <c r="E193" s="48">
        <f t="shared" si="7"/>
        <v>0</v>
      </c>
    </row>
    <row r="194" spans="2:5">
      <c r="B194" s="23">
        <v>181</v>
      </c>
      <c r="C194" s="48">
        <f t="shared" si="8"/>
        <v>0</v>
      </c>
      <c r="D194" s="48">
        <f t="shared" si="6"/>
        <v>0</v>
      </c>
      <c r="E194" s="48">
        <f t="shared" si="7"/>
        <v>0</v>
      </c>
    </row>
    <row r="195" spans="2:5">
      <c r="B195" s="23">
        <v>182</v>
      </c>
      <c r="C195" s="48">
        <f t="shared" si="8"/>
        <v>0</v>
      </c>
      <c r="D195" s="48">
        <f t="shared" si="6"/>
        <v>0</v>
      </c>
      <c r="E195" s="48">
        <f t="shared" si="7"/>
        <v>0</v>
      </c>
    </row>
    <row r="196" spans="2:5">
      <c r="B196" s="23">
        <v>183</v>
      </c>
      <c r="C196" s="48">
        <f t="shared" si="8"/>
        <v>0</v>
      </c>
      <c r="D196" s="48">
        <f t="shared" si="6"/>
        <v>0</v>
      </c>
      <c r="E196" s="48">
        <f t="shared" si="7"/>
        <v>0</v>
      </c>
    </row>
    <row r="197" spans="2:5">
      <c r="B197" s="23">
        <v>184</v>
      </c>
      <c r="C197" s="48">
        <f t="shared" si="8"/>
        <v>0</v>
      </c>
      <c r="D197" s="48">
        <f t="shared" si="6"/>
        <v>0</v>
      </c>
      <c r="E197" s="48">
        <f t="shared" si="7"/>
        <v>0</v>
      </c>
    </row>
    <row r="198" spans="2:5">
      <c r="B198" s="23">
        <v>185</v>
      </c>
      <c r="C198" s="48">
        <f t="shared" si="8"/>
        <v>0</v>
      </c>
      <c r="D198" s="48">
        <f t="shared" si="6"/>
        <v>0</v>
      </c>
      <c r="E198" s="48">
        <f t="shared" si="7"/>
        <v>0</v>
      </c>
    </row>
    <row r="199" spans="2:5">
      <c r="B199" s="23">
        <v>186</v>
      </c>
      <c r="C199" s="48">
        <f t="shared" si="8"/>
        <v>0</v>
      </c>
      <c r="D199" s="48">
        <f t="shared" si="6"/>
        <v>0</v>
      </c>
      <c r="E199" s="48">
        <f t="shared" si="7"/>
        <v>0</v>
      </c>
    </row>
    <row r="200" spans="2:5">
      <c r="B200" s="23">
        <v>187</v>
      </c>
      <c r="C200" s="48">
        <f t="shared" si="8"/>
        <v>0</v>
      </c>
      <c r="D200" s="48">
        <f t="shared" si="6"/>
        <v>0</v>
      </c>
      <c r="E200" s="48">
        <f t="shared" si="7"/>
        <v>0</v>
      </c>
    </row>
    <row r="201" spans="2:5">
      <c r="B201" s="23">
        <v>188</v>
      </c>
      <c r="C201" s="48">
        <f t="shared" si="8"/>
        <v>0</v>
      </c>
      <c r="D201" s="48">
        <f t="shared" si="6"/>
        <v>0</v>
      </c>
      <c r="E201" s="48">
        <f t="shared" si="7"/>
        <v>0</v>
      </c>
    </row>
    <row r="202" spans="2:5">
      <c r="B202" s="23">
        <v>189</v>
      </c>
      <c r="C202" s="48">
        <f t="shared" si="8"/>
        <v>0</v>
      </c>
      <c r="D202" s="48">
        <f t="shared" si="6"/>
        <v>0</v>
      </c>
      <c r="E202" s="48">
        <f t="shared" si="7"/>
        <v>0</v>
      </c>
    </row>
    <row r="203" spans="2:5">
      <c r="B203" s="23">
        <v>190</v>
      </c>
      <c r="C203" s="48">
        <f t="shared" si="8"/>
        <v>0</v>
      </c>
      <c r="D203" s="48">
        <f t="shared" si="6"/>
        <v>0</v>
      </c>
      <c r="E203" s="48">
        <f t="shared" si="7"/>
        <v>0</v>
      </c>
    </row>
    <row r="204" spans="2:5">
      <c r="B204" s="23">
        <v>191</v>
      </c>
      <c r="C204" s="48">
        <f t="shared" si="8"/>
        <v>0</v>
      </c>
      <c r="D204" s="48">
        <f t="shared" si="6"/>
        <v>0</v>
      </c>
      <c r="E204" s="48">
        <f t="shared" si="7"/>
        <v>0</v>
      </c>
    </row>
    <row r="205" spans="2:5">
      <c r="B205" s="23">
        <v>192</v>
      </c>
      <c r="C205" s="48">
        <f t="shared" si="8"/>
        <v>0</v>
      </c>
      <c r="D205" s="48">
        <f t="shared" si="6"/>
        <v>0</v>
      </c>
      <c r="E205" s="48">
        <f t="shared" si="7"/>
        <v>0</v>
      </c>
    </row>
    <row r="206" spans="2:5">
      <c r="B206" s="23">
        <v>193</v>
      </c>
      <c r="C206" s="48">
        <f t="shared" si="8"/>
        <v>0</v>
      </c>
      <c r="D206" s="48">
        <f t="shared" ref="D206:D269" si="9">IFERROR(_xlfn.XLOOKUP($B206,$Q$13:$Q$18,$M$13:$M$18),0)</f>
        <v>0</v>
      </c>
      <c r="E206" s="48">
        <f t="shared" ref="E206:E269" si="10">IFERROR(_xlfn.XLOOKUP($B206,$Q$13:$Q$18,$J$13:$J$18),0)</f>
        <v>0</v>
      </c>
    </row>
    <row r="207" spans="2:5">
      <c r="B207" s="23">
        <v>194</v>
      </c>
      <c r="C207" s="48">
        <f t="shared" ref="C207:C270" si="11">IFERROR(_xlfn.XLOOKUP($B207,$Q$13:$Q$18,$L$13:$L$18),0)</f>
        <v>0</v>
      </c>
      <c r="D207" s="48">
        <f t="shared" si="9"/>
        <v>0</v>
      </c>
      <c r="E207" s="48">
        <f t="shared" si="10"/>
        <v>0</v>
      </c>
    </row>
    <row r="208" spans="2:5">
      <c r="B208" s="23">
        <v>195</v>
      </c>
      <c r="C208" s="48">
        <f t="shared" si="11"/>
        <v>0</v>
      </c>
      <c r="D208" s="48">
        <f t="shared" si="9"/>
        <v>0</v>
      </c>
      <c r="E208" s="48">
        <f t="shared" si="10"/>
        <v>0</v>
      </c>
    </row>
    <row r="209" spans="2:5">
      <c r="B209" s="23">
        <v>196</v>
      </c>
      <c r="C209" s="48">
        <f t="shared" si="11"/>
        <v>0</v>
      </c>
      <c r="D209" s="48">
        <f t="shared" si="9"/>
        <v>0</v>
      </c>
      <c r="E209" s="48">
        <f t="shared" si="10"/>
        <v>0</v>
      </c>
    </row>
    <row r="210" spans="2:5">
      <c r="B210" s="23">
        <v>197</v>
      </c>
      <c r="C210" s="48">
        <f t="shared" si="11"/>
        <v>0</v>
      </c>
      <c r="D210" s="48">
        <f t="shared" si="9"/>
        <v>0</v>
      </c>
      <c r="E210" s="48">
        <f t="shared" si="10"/>
        <v>0</v>
      </c>
    </row>
    <row r="211" spans="2:5">
      <c r="B211" s="23">
        <v>198</v>
      </c>
      <c r="C211" s="48">
        <f t="shared" si="11"/>
        <v>0</v>
      </c>
      <c r="D211" s="48">
        <f t="shared" si="9"/>
        <v>0</v>
      </c>
      <c r="E211" s="48">
        <f t="shared" si="10"/>
        <v>0</v>
      </c>
    </row>
    <row r="212" spans="2:5">
      <c r="B212" s="23">
        <v>199</v>
      </c>
      <c r="C212" s="48">
        <f t="shared" si="11"/>
        <v>0</v>
      </c>
      <c r="D212" s="48">
        <f t="shared" si="9"/>
        <v>0</v>
      </c>
      <c r="E212" s="48">
        <f t="shared" si="10"/>
        <v>0</v>
      </c>
    </row>
    <row r="213" spans="2:5">
      <c r="B213" s="23">
        <v>200</v>
      </c>
      <c r="C213" s="48">
        <f t="shared" si="11"/>
        <v>0</v>
      </c>
      <c r="D213" s="48">
        <f t="shared" si="9"/>
        <v>0</v>
      </c>
      <c r="E213" s="48">
        <f t="shared" si="10"/>
        <v>0</v>
      </c>
    </row>
    <row r="214" spans="2:5">
      <c r="B214" s="23">
        <v>201</v>
      </c>
      <c r="C214" s="48">
        <f t="shared" si="11"/>
        <v>0</v>
      </c>
      <c r="D214" s="48">
        <f t="shared" si="9"/>
        <v>0</v>
      </c>
      <c r="E214" s="48">
        <f t="shared" si="10"/>
        <v>0</v>
      </c>
    </row>
    <row r="215" spans="2:5">
      <c r="B215" s="23">
        <v>202</v>
      </c>
      <c r="C215" s="48">
        <f t="shared" si="11"/>
        <v>0</v>
      </c>
      <c r="D215" s="48">
        <f t="shared" si="9"/>
        <v>0</v>
      </c>
      <c r="E215" s="48">
        <f t="shared" si="10"/>
        <v>0</v>
      </c>
    </row>
    <row r="216" spans="2:5">
      <c r="B216" s="23">
        <v>203</v>
      </c>
      <c r="C216" s="48">
        <f t="shared" si="11"/>
        <v>0</v>
      </c>
      <c r="D216" s="48">
        <f t="shared" si="9"/>
        <v>0</v>
      </c>
      <c r="E216" s="48">
        <f t="shared" si="10"/>
        <v>0</v>
      </c>
    </row>
    <row r="217" spans="2:5">
      <c r="B217" s="23">
        <v>204</v>
      </c>
      <c r="C217" s="48">
        <f t="shared" si="11"/>
        <v>0</v>
      </c>
      <c r="D217" s="48">
        <f t="shared" si="9"/>
        <v>0</v>
      </c>
      <c r="E217" s="48">
        <f t="shared" si="10"/>
        <v>0</v>
      </c>
    </row>
    <row r="218" spans="2:5">
      <c r="B218" s="23">
        <v>205</v>
      </c>
      <c r="C218" s="48">
        <f t="shared" si="11"/>
        <v>0</v>
      </c>
      <c r="D218" s="48">
        <f t="shared" si="9"/>
        <v>0</v>
      </c>
      <c r="E218" s="48">
        <f t="shared" si="10"/>
        <v>0</v>
      </c>
    </row>
    <row r="219" spans="2:5">
      <c r="B219" s="23">
        <v>206</v>
      </c>
      <c r="C219" s="48">
        <f t="shared" si="11"/>
        <v>0</v>
      </c>
      <c r="D219" s="48">
        <f t="shared" si="9"/>
        <v>0</v>
      </c>
      <c r="E219" s="48">
        <f t="shared" si="10"/>
        <v>0</v>
      </c>
    </row>
    <row r="220" spans="2:5">
      <c r="B220" s="23">
        <v>207</v>
      </c>
      <c r="C220" s="48">
        <f t="shared" si="11"/>
        <v>0</v>
      </c>
      <c r="D220" s="48">
        <f t="shared" si="9"/>
        <v>0</v>
      </c>
      <c r="E220" s="48">
        <f t="shared" si="10"/>
        <v>0</v>
      </c>
    </row>
    <row r="221" spans="2:5">
      <c r="B221" s="23">
        <v>208</v>
      </c>
      <c r="C221" s="48">
        <f t="shared" si="11"/>
        <v>0</v>
      </c>
      <c r="D221" s="48">
        <f t="shared" si="9"/>
        <v>0</v>
      </c>
      <c r="E221" s="48">
        <f t="shared" si="10"/>
        <v>0</v>
      </c>
    </row>
    <row r="222" spans="2:5">
      <c r="B222" s="23">
        <v>209</v>
      </c>
      <c r="C222" s="48">
        <f t="shared" si="11"/>
        <v>0</v>
      </c>
      <c r="D222" s="48">
        <f t="shared" si="9"/>
        <v>0</v>
      </c>
      <c r="E222" s="48">
        <f t="shared" si="10"/>
        <v>0</v>
      </c>
    </row>
    <row r="223" spans="2:5">
      <c r="B223" s="23">
        <v>210</v>
      </c>
      <c r="C223" s="48">
        <f t="shared" si="11"/>
        <v>0</v>
      </c>
      <c r="D223" s="48">
        <f t="shared" si="9"/>
        <v>0</v>
      </c>
      <c r="E223" s="48">
        <f t="shared" si="10"/>
        <v>0</v>
      </c>
    </row>
    <row r="224" spans="2:5">
      <c r="B224" s="23">
        <v>211</v>
      </c>
      <c r="C224" s="48">
        <f t="shared" si="11"/>
        <v>0</v>
      </c>
      <c r="D224" s="48">
        <f t="shared" si="9"/>
        <v>0</v>
      </c>
      <c r="E224" s="48">
        <f t="shared" si="10"/>
        <v>0</v>
      </c>
    </row>
    <row r="225" spans="2:5">
      <c r="B225" s="23">
        <v>212</v>
      </c>
      <c r="C225" s="48">
        <f t="shared" si="11"/>
        <v>0</v>
      </c>
      <c r="D225" s="48">
        <f t="shared" si="9"/>
        <v>0</v>
      </c>
      <c r="E225" s="48">
        <f t="shared" si="10"/>
        <v>0</v>
      </c>
    </row>
    <row r="226" spans="2:5">
      <c r="B226" s="23">
        <v>213</v>
      </c>
      <c r="C226" s="48">
        <f t="shared" si="11"/>
        <v>0</v>
      </c>
      <c r="D226" s="48">
        <f t="shared" si="9"/>
        <v>0</v>
      </c>
      <c r="E226" s="48">
        <f t="shared" si="10"/>
        <v>0</v>
      </c>
    </row>
    <row r="227" spans="2:5">
      <c r="B227" s="23">
        <v>214</v>
      </c>
      <c r="C227" s="48">
        <f t="shared" si="11"/>
        <v>0</v>
      </c>
      <c r="D227" s="48">
        <f t="shared" si="9"/>
        <v>0</v>
      </c>
      <c r="E227" s="48">
        <f t="shared" si="10"/>
        <v>0</v>
      </c>
    </row>
    <row r="228" spans="2:5">
      <c r="B228" s="23">
        <v>215</v>
      </c>
      <c r="C228" s="48">
        <f t="shared" si="11"/>
        <v>0</v>
      </c>
      <c r="D228" s="48">
        <f t="shared" si="9"/>
        <v>0</v>
      </c>
      <c r="E228" s="48">
        <f t="shared" si="10"/>
        <v>0</v>
      </c>
    </row>
    <row r="229" spans="2:5">
      <c r="B229" s="23">
        <v>216</v>
      </c>
      <c r="C229" s="48">
        <f t="shared" si="11"/>
        <v>0</v>
      </c>
      <c r="D229" s="48">
        <f t="shared" si="9"/>
        <v>0</v>
      </c>
      <c r="E229" s="48">
        <f t="shared" si="10"/>
        <v>0</v>
      </c>
    </row>
    <row r="230" spans="2:5">
      <c r="B230" s="23">
        <v>217</v>
      </c>
      <c r="C230" s="48">
        <f t="shared" si="11"/>
        <v>0</v>
      </c>
      <c r="D230" s="48">
        <f t="shared" si="9"/>
        <v>0</v>
      </c>
      <c r="E230" s="48">
        <f t="shared" si="10"/>
        <v>0</v>
      </c>
    </row>
    <row r="231" spans="2:5">
      <c r="B231" s="23">
        <v>218</v>
      </c>
      <c r="C231" s="48">
        <f t="shared" si="11"/>
        <v>0</v>
      </c>
      <c r="D231" s="48">
        <f t="shared" si="9"/>
        <v>0</v>
      </c>
      <c r="E231" s="48">
        <f t="shared" si="10"/>
        <v>0</v>
      </c>
    </row>
    <row r="232" spans="2:5">
      <c r="B232" s="23">
        <v>219</v>
      </c>
      <c r="C232" s="48">
        <f t="shared" si="11"/>
        <v>0</v>
      </c>
      <c r="D232" s="48">
        <f t="shared" si="9"/>
        <v>0</v>
      </c>
      <c r="E232" s="48">
        <f t="shared" si="10"/>
        <v>0</v>
      </c>
    </row>
    <row r="233" spans="2:5">
      <c r="B233" s="23">
        <v>220</v>
      </c>
      <c r="C233" s="48">
        <f t="shared" si="11"/>
        <v>0</v>
      </c>
      <c r="D233" s="48">
        <f t="shared" si="9"/>
        <v>0</v>
      </c>
      <c r="E233" s="48">
        <f t="shared" si="10"/>
        <v>0</v>
      </c>
    </row>
    <row r="234" spans="2:5">
      <c r="B234" s="23">
        <v>221</v>
      </c>
      <c r="C234" s="48">
        <f t="shared" si="11"/>
        <v>0</v>
      </c>
      <c r="D234" s="48">
        <f t="shared" si="9"/>
        <v>0</v>
      </c>
      <c r="E234" s="48">
        <f t="shared" si="10"/>
        <v>0</v>
      </c>
    </row>
    <row r="235" spans="2:5">
      <c r="B235" s="23">
        <v>222</v>
      </c>
      <c r="C235" s="48">
        <f t="shared" si="11"/>
        <v>0</v>
      </c>
      <c r="D235" s="48">
        <f t="shared" si="9"/>
        <v>0</v>
      </c>
      <c r="E235" s="48">
        <f t="shared" si="10"/>
        <v>0</v>
      </c>
    </row>
    <row r="236" spans="2:5">
      <c r="B236" s="23">
        <v>223</v>
      </c>
      <c r="C236" s="48">
        <f t="shared" si="11"/>
        <v>0</v>
      </c>
      <c r="D236" s="48">
        <f t="shared" si="9"/>
        <v>0</v>
      </c>
      <c r="E236" s="48">
        <f t="shared" si="10"/>
        <v>0</v>
      </c>
    </row>
    <row r="237" spans="2:5">
      <c r="B237" s="23">
        <v>224</v>
      </c>
      <c r="C237" s="48">
        <f t="shared" si="11"/>
        <v>0</v>
      </c>
      <c r="D237" s="48">
        <f t="shared" si="9"/>
        <v>0</v>
      </c>
      <c r="E237" s="48">
        <f t="shared" si="10"/>
        <v>0</v>
      </c>
    </row>
    <row r="238" spans="2:5">
      <c r="B238" s="23">
        <v>225</v>
      </c>
      <c r="C238" s="48">
        <f t="shared" si="11"/>
        <v>0</v>
      </c>
      <c r="D238" s="48">
        <f t="shared" si="9"/>
        <v>0</v>
      </c>
      <c r="E238" s="48">
        <f t="shared" si="10"/>
        <v>0</v>
      </c>
    </row>
    <row r="239" spans="2:5">
      <c r="B239" s="23">
        <v>226</v>
      </c>
      <c r="C239" s="48">
        <f t="shared" si="11"/>
        <v>0</v>
      </c>
      <c r="D239" s="48">
        <f t="shared" si="9"/>
        <v>0</v>
      </c>
      <c r="E239" s="48">
        <f t="shared" si="10"/>
        <v>0</v>
      </c>
    </row>
    <row r="240" spans="2:5">
      <c r="B240" s="23">
        <v>227</v>
      </c>
      <c r="C240" s="48">
        <f t="shared" si="11"/>
        <v>0</v>
      </c>
      <c r="D240" s="48">
        <f t="shared" si="9"/>
        <v>0</v>
      </c>
      <c r="E240" s="48">
        <f t="shared" si="10"/>
        <v>0</v>
      </c>
    </row>
    <row r="241" spans="2:5">
      <c r="B241" s="23">
        <v>228</v>
      </c>
      <c r="C241" s="48">
        <f t="shared" si="11"/>
        <v>0</v>
      </c>
      <c r="D241" s="48">
        <f t="shared" si="9"/>
        <v>0</v>
      </c>
      <c r="E241" s="48">
        <f t="shared" si="10"/>
        <v>0</v>
      </c>
    </row>
    <row r="242" spans="2:5">
      <c r="B242" s="23">
        <v>229</v>
      </c>
      <c r="C242" s="48">
        <f t="shared" si="11"/>
        <v>0</v>
      </c>
      <c r="D242" s="48">
        <f t="shared" si="9"/>
        <v>0</v>
      </c>
      <c r="E242" s="48">
        <f t="shared" si="10"/>
        <v>0</v>
      </c>
    </row>
    <row r="243" spans="2:5">
      <c r="B243" s="23">
        <v>230</v>
      </c>
      <c r="C243" s="48">
        <f t="shared" si="11"/>
        <v>0</v>
      </c>
      <c r="D243" s="48">
        <f t="shared" si="9"/>
        <v>0</v>
      </c>
      <c r="E243" s="48">
        <f t="shared" si="10"/>
        <v>0</v>
      </c>
    </row>
    <row r="244" spans="2:5">
      <c r="B244" s="23">
        <v>231</v>
      </c>
      <c r="C244" s="48">
        <f t="shared" si="11"/>
        <v>0</v>
      </c>
      <c r="D244" s="48">
        <f t="shared" si="9"/>
        <v>0</v>
      </c>
      <c r="E244" s="48">
        <f t="shared" si="10"/>
        <v>0</v>
      </c>
    </row>
    <row r="245" spans="2:5">
      <c r="B245" s="23">
        <v>232</v>
      </c>
      <c r="C245" s="48">
        <f t="shared" si="11"/>
        <v>0</v>
      </c>
      <c r="D245" s="48">
        <f t="shared" si="9"/>
        <v>0</v>
      </c>
      <c r="E245" s="48">
        <f t="shared" si="10"/>
        <v>0</v>
      </c>
    </row>
    <row r="246" spans="2:5">
      <c r="B246" s="23">
        <v>233</v>
      </c>
      <c r="C246" s="48">
        <f t="shared" si="11"/>
        <v>0</v>
      </c>
      <c r="D246" s="48">
        <f t="shared" si="9"/>
        <v>0</v>
      </c>
      <c r="E246" s="48">
        <f t="shared" si="10"/>
        <v>0</v>
      </c>
    </row>
    <row r="247" spans="2:5">
      <c r="B247" s="23">
        <v>234</v>
      </c>
      <c r="C247" s="48">
        <f t="shared" si="11"/>
        <v>0</v>
      </c>
      <c r="D247" s="48">
        <f t="shared" si="9"/>
        <v>0</v>
      </c>
      <c r="E247" s="48">
        <f t="shared" si="10"/>
        <v>0</v>
      </c>
    </row>
    <row r="248" spans="2:5">
      <c r="B248" s="23">
        <v>235</v>
      </c>
      <c r="C248" s="48">
        <f t="shared" si="11"/>
        <v>0</v>
      </c>
      <c r="D248" s="48">
        <f t="shared" si="9"/>
        <v>0</v>
      </c>
      <c r="E248" s="48">
        <f t="shared" si="10"/>
        <v>0</v>
      </c>
    </row>
    <row r="249" spans="2:5">
      <c r="B249" s="23">
        <v>236</v>
      </c>
      <c r="C249" s="48">
        <f t="shared" si="11"/>
        <v>0</v>
      </c>
      <c r="D249" s="48">
        <f t="shared" si="9"/>
        <v>0</v>
      </c>
      <c r="E249" s="48">
        <f t="shared" si="10"/>
        <v>0</v>
      </c>
    </row>
    <row r="250" spans="2:5">
      <c r="B250" s="23">
        <v>237</v>
      </c>
      <c r="C250" s="48">
        <f t="shared" si="11"/>
        <v>0</v>
      </c>
      <c r="D250" s="48">
        <f t="shared" si="9"/>
        <v>0</v>
      </c>
      <c r="E250" s="48">
        <f t="shared" si="10"/>
        <v>0</v>
      </c>
    </row>
    <row r="251" spans="2:5">
      <c r="B251" s="23">
        <v>238</v>
      </c>
      <c r="C251" s="48">
        <f t="shared" si="11"/>
        <v>0</v>
      </c>
      <c r="D251" s="48">
        <f t="shared" si="9"/>
        <v>0</v>
      </c>
      <c r="E251" s="48">
        <f t="shared" si="10"/>
        <v>0</v>
      </c>
    </row>
    <row r="252" spans="2:5">
      <c r="B252" s="23">
        <v>239</v>
      </c>
      <c r="C252" s="48">
        <f t="shared" si="11"/>
        <v>0</v>
      </c>
      <c r="D252" s="48">
        <f t="shared" si="9"/>
        <v>0</v>
      </c>
      <c r="E252" s="48">
        <f t="shared" si="10"/>
        <v>0</v>
      </c>
    </row>
    <row r="253" spans="2:5">
      <c r="B253" s="23">
        <v>240</v>
      </c>
      <c r="C253" s="48">
        <f t="shared" si="11"/>
        <v>0</v>
      </c>
      <c r="D253" s="48">
        <f t="shared" si="9"/>
        <v>0</v>
      </c>
      <c r="E253" s="48">
        <f t="shared" si="10"/>
        <v>0</v>
      </c>
    </row>
    <row r="254" spans="2:5">
      <c r="B254" s="23">
        <v>241</v>
      </c>
      <c r="C254" s="48">
        <f t="shared" si="11"/>
        <v>0</v>
      </c>
      <c r="D254" s="48">
        <f t="shared" si="9"/>
        <v>0</v>
      </c>
      <c r="E254" s="48">
        <f t="shared" si="10"/>
        <v>0</v>
      </c>
    </row>
    <row r="255" spans="2:5">
      <c r="B255" s="23">
        <v>242</v>
      </c>
      <c r="C255" s="48">
        <f t="shared" si="11"/>
        <v>0</v>
      </c>
      <c r="D255" s="48">
        <f t="shared" si="9"/>
        <v>0</v>
      </c>
      <c r="E255" s="48">
        <f t="shared" si="10"/>
        <v>0</v>
      </c>
    </row>
    <row r="256" spans="2:5">
      <c r="B256" s="23">
        <v>243</v>
      </c>
      <c r="C256" s="48">
        <f t="shared" si="11"/>
        <v>0</v>
      </c>
      <c r="D256" s="48">
        <f t="shared" si="9"/>
        <v>0</v>
      </c>
      <c r="E256" s="48">
        <f t="shared" si="10"/>
        <v>0</v>
      </c>
    </row>
    <row r="257" spans="2:5">
      <c r="B257" s="23">
        <v>244</v>
      </c>
      <c r="C257" s="48">
        <f t="shared" si="11"/>
        <v>0</v>
      </c>
      <c r="D257" s="48">
        <f t="shared" si="9"/>
        <v>0</v>
      </c>
      <c r="E257" s="48">
        <f t="shared" si="10"/>
        <v>0</v>
      </c>
    </row>
    <row r="258" spans="2:5">
      <c r="B258" s="23">
        <v>245</v>
      </c>
      <c r="C258" s="48">
        <f t="shared" si="11"/>
        <v>0</v>
      </c>
      <c r="D258" s="48">
        <f t="shared" si="9"/>
        <v>0</v>
      </c>
      <c r="E258" s="48">
        <f t="shared" si="10"/>
        <v>0</v>
      </c>
    </row>
    <row r="259" spans="2:5">
      <c r="B259" s="23">
        <v>246</v>
      </c>
      <c r="C259" s="48">
        <f t="shared" si="11"/>
        <v>0</v>
      </c>
      <c r="D259" s="48">
        <f t="shared" si="9"/>
        <v>0</v>
      </c>
      <c r="E259" s="48">
        <f t="shared" si="10"/>
        <v>0</v>
      </c>
    </row>
    <row r="260" spans="2:5">
      <c r="B260" s="23">
        <v>247</v>
      </c>
      <c r="C260" s="48">
        <f t="shared" si="11"/>
        <v>0</v>
      </c>
      <c r="D260" s="48">
        <f t="shared" si="9"/>
        <v>0</v>
      </c>
      <c r="E260" s="48">
        <f t="shared" si="10"/>
        <v>0</v>
      </c>
    </row>
    <row r="261" spans="2:5">
      <c r="B261" s="23">
        <v>248</v>
      </c>
      <c r="C261" s="48">
        <f t="shared" si="11"/>
        <v>0</v>
      </c>
      <c r="D261" s="48">
        <f t="shared" si="9"/>
        <v>0</v>
      </c>
      <c r="E261" s="48">
        <f t="shared" si="10"/>
        <v>0</v>
      </c>
    </row>
    <row r="262" spans="2:5">
      <c r="B262" s="23">
        <v>249</v>
      </c>
      <c r="C262" s="48">
        <f t="shared" si="11"/>
        <v>0</v>
      </c>
      <c r="D262" s="48">
        <f t="shared" si="9"/>
        <v>0</v>
      </c>
      <c r="E262" s="48">
        <f t="shared" si="10"/>
        <v>0</v>
      </c>
    </row>
    <row r="263" spans="2:5">
      <c r="B263" s="23">
        <v>250</v>
      </c>
      <c r="C263" s="48">
        <f t="shared" si="11"/>
        <v>0</v>
      </c>
      <c r="D263" s="48">
        <f t="shared" si="9"/>
        <v>0</v>
      </c>
      <c r="E263" s="48">
        <f t="shared" si="10"/>
        <v>0</v>
      </c>
    </row>
    <row r="264" spans="2:5">
      <c r="B264" s="23">
        <v>251</v>
      </c>
      <c r="C264" s="48">
        <f t="shared" si="11"/>
        <v>0</v>
      </c>
      <c r="D264" s="48">
        <f t="shared" si="9"/>
        <v>0</v>
      </c>
      <c r="E264" s="48">
        <f t="shared" si="10"/>
        <v>0</v>
      </c>
    </row>
    <row r="265" spans="2:5">
      <c r="B265" s="23">
        <v>252</v>
      </c>
      <c r="C265" s="48">
        <f t="shared" si="11"/>
        <v>0</v>
      </c>
      <c r="D265" s="48">
        <f t="shared" si="9"/>
        <v>0</v>
      </c>
      <c r="E265" s="48">
        <f t="shared" si="10"/>
        <v>0</v>
      </c>
    </row>
    <row r="266" spans="2:5">
      <c r="B266" s="23">
        <v>253</v>
      </c>
      <c r="C266" s="48">
        <f t="shared" si="11"/>
        <v>0</v>
      </c>
      <c r="D266" s="48">
        <f t="shared" si="9"/>
        <v>0</v>
      </c>
      <c r="E266" s="48">
        <f t="shared" si="10"/>
        <v>0</v>
      </c>
    </row>
    <row r="267" spans="2:5">
      <c r="B267" s="23">
        <v>254</v>
      </c>
      <c r="C267" s="48">
        <f t="shared" si="11"/>
        <v>0</v>
      </c>
      <c r="D267" s="48">
        <f t="shared" si="9"/>
        <v>0</v>
      </c>
      <c r="E267" s="48">
        <f t="shared" si="10"/>
        <v>0</v>
      </c>
    </row>
    <row r="268" spans="2:5">
      <c r="B268" s="23">
        <v>255</v>
      </c>
      <c r="C268" s="48">
        <f t="shared" si="11"/>
        <v>0</v>
      </c>
      <c r="D268" s="48">
        <f t="shared" si="9"/>
        <v>0</v>
      </c>
      <c r="E268" s="48">
        <f t="shared" si="10"/>
        <v>0</v>
      </c>
    </row>
    <row r="269" spans="2:5">
      <c r="B269" s="23">
        <v>256</v>
      </c>
      <c r="C269" s="48">
        <f t="shared" si="11"/>
        <v>0</v>
      </c>
      <c r="D269" s="48">
        <f t="shared" si="9"/>
        <v>0</v>
      </c>
      <c r="E269" s="48">
        <f t="shared" si="10"/>
        <v>0</v>
      </c>
    </row>
    <row r="270" spans="2:5">
      <c r="B270" s="23">
        <v>257</v>
      </c>
      <c r="C270" s="48">
        <f t="shared" si="11"/>
        <v>0</v>
      </c>
      <c r="D270" s="48">
        <f t="shared" ref="D270:D313" si="12">IFERROR(_xlfn.XLOOKUP($B270,$Q$13:$Q$18,$M$13:$M$18),0)</f>
        <v>0</v>
      </c>
      <c r="E270" s="48">
        <f t="shared" ref="E270:E313" si="13">IFERROR(_xlfn.XLOOKUP($B270,$Q$13:$Q$18,$J$13:$J$18),0)</f>
        <v>0</v>
      </c>
    </row>
    <row r="271" spans="2:5">
      <c r="B271" s="23">
        <v>258</v>
      </c>
      <c r="C271" s="48">
        <f t="shared" ref="C271:C313" si="14">IFERROR(_xlfn.XLOOKUP($B271,$Q$13:$Q$18,$L$13:$L$18),0)</f>
        <v>0</v>
      </c>
      <c r="D271" s="48">
        <f t="shared" si="12"/>
        <v>0</v>
      </c>
      <c r="E271" s="48">
        <f t="shared" si="13"/>
        <v>0</v>
      </c>
    </row>
    <row r="272" spans="2:5">
      <c r="B272" s="23">
        <v>259</v>
      </c>
      <c r="C272" s="48">
        <f t="shared" si="14"/>
        <v>0</v>
      </c>
      <c r="D272" s="48">
        <f t="shared" si="12"/>
        <v>0</v>
      </c>
      <c r="E272" s="48">
        <f t="shared" si="13"/>
        <v>0</v>
      </c>
    </row>
    <row r="273" spans="2:5">
      <c r="B273" s="23">
        <v>260</v>
      </c>
      <c r="C273" s="48">
        <f t="shared" si="14"/>
        <v>0</v>
      </c>
      <c r="D273" s="48">
        <f t="shared" si="12"/>
        <v>0</v>
      </c>
      <c r="E273" s="48">
        <f t="shared" si="13"/>
        <v>0</v>
      </c>
    </row>
    <row r="274" spans="2:5">
      <c r="B274" s="23">
        <v>261</v>
      </c>
      <c r="C274" s="48">
        <f t="shared" si="14"/>
        <v>0</v>
      </c>
      <c r="D274" s="48">
        <f t="shared" si="12"/>
        <v>0</v>
      </c>
      <c r="E274" s="48">
        <f t="shared" si="13"/>
        <v>0</v>
      </c>
    </row>
    <row r="275" spans="2:5">
      <c r="B275" s="23">
        <v>262</v>
      </c>
      <c r="C275" s="48">
        <f t="shared" si="14"/>
        <v>0</v>
      </c>
      <c r="D275" s="48">
        <f t="shared" si="12"/>
        <v>0</v>
      </c>
      <c r="E275" s="48">
        <f t="shared" si="13"/>
        <v>0</v>
      </c>
    </row>
    <row r="276" spans="2:5">
      <c r="B276" s="23">
        <v>263</v>
      </c>
      <c r="C276" s="48">
        <f t="shared" si="14"/>
        <v>0</v>
      </c>
      <c r="D276" s="48">
        <f t="shared" si="12"/>
        <v>0</v>
      </c>
      <c r="E276" s="48">
        <f t="shared" si="13"/>
        <v>0</v>
      </c>
    </row>
    <row r="277" spans="2:5">
      <c r="B277" s="23">
        <v>264</v>
      </c>
      <c r="C277" s="48">
        <f t="shared" si="14"/>
        <v>0</v>
      </c>
      <c r="D277" s="48">
        <f t="shared" si="12"/>
        <v>0</v>
      </c>
      <c r="E277" s="48">
        <f t="shared" si="13"/>
        <v>0</v>
      </c>
    </row>
    <row r="278" spans="2:5">
      <c r="B278" s="23">
        <v>265</v>
      </c>
      <c r="C278" s="48">
        <f t="shared" si="14"/>
        <v>0</v>
      </c>
      <c r="D278" s="48">
        <f t="shared" si="12"/>
        <v>0</v>
      </c>
      <c r="E278" s="48">
        <f t="shared" si="13"/>
        <v>0</v>
      </c>
    </row>
    <row r="279" spans="2:5">
      <c r="B279" s="23">
        <v>266</v>
      </c>
      <c r="C279" s="48">
        <f t="shared" si="14"/>
        <v>0</v>
      </c>
      <c r="D279" s="48">
        <f t="shared" si="12"/>
        <v>0</v>
      </c>
      <c r="E279" s="48">
        <f t="shared" si="13"/>
        <v>0</v>
      </c>
    </row>
    <row r="280" spans="2:5">
      <c r="B280" s="23">
        <v>267</v>
      </c>
      <c r="C280" s="48">
        <f t="shared" si="14"/>
        <v>0</v>
      </c>
      <c r="D280" s="48">
        <f t="shared" si="12"/>
        <v>0</v>
      </c>
      <c r="E280" s="48">
        <f t="shared" si="13"/>
        <v>0</v>
      </c>
    </row>
    <row r="281" spans="2:5">
      <c r="B281" s="23">
        <v>268</v>
      </c>
      <c r="C281" s="48">
        <f t="shared" si="14"/>
        <v>0</v>
      </c>
      <c r="D281" s="48">
        <f t="shared" si="12"/>
        <v>0</v>
      </c>
      <c r="E281" s="48">
        <f t="shared" si="13"/>
        <v>0</v>
      </c>
    </row>
    <row r="282" spans="2:5">
      <c r="B282" s="23">
        <v>269</v>
      </c>
      <c r="C282" s="48">
        <f t="shared" si="14"/>
        <v>0</v>
      </c>
      <c r="D282" s="48">
        <f t="shared" si="12"/>
        <v>0</v>
      </c>
      <c r="E282" s="48">
        <f t="shared" si="13"/>
        <v>0</v>
      </c>
    </row>
    <row r="283" spans="2:5">
      <c r="B283" s="23">
        <v>270</v>
      </c>
      <c r="C283" s="48">
        <f t="shared" si="14"/>
        <v>0</v>
      </c>
      <c r="D283" s="48">
        <f t="shared" si="12"/>
        <v>0</v>
      </c>
      <c r="E283" s="48">
        <f t="shared" si="13"/>
        <v>0</v>
      </c>
    </row>
    <row r="284" spans="2:5">
      <c r="B284" s="23">
        <v>271</v>
      </c>
      <c r="C284" s="48">
        <f t="shared" si="14"/>
        <v>0</v>
      </c>
      <c r="D284" s="48">
        <f t="shared" si="12"/>
        <v>0</v>
      </c>
      <c r="E284" s="48">
        <f t="shared" si="13"/>
        <v>0</v>
      </c>
    </row>
    <row r="285" spans="2:5">
      <c r="B285" s="23">
        <v>272</v>
      </c>
      <c r="C285" s="48">
        <f t="shared" si="14"/>
        <v>0</v>
      </c>
      <c r="D285" s="48">
        <f t="shared" si="12"/>
        <v>0</v>
      </c>
      <c r="E285" s="48">
        <f t="shared" si="13"/>
        <v>0</v>
      </c>
    </row>
    <row r="286" spans="2:5">
      <c r="B286" s="23">
        <v>273</v>
      </c>
      <c r="C286" s="48">
        <f t="shared" si="14"/>
        <v>0</v>
      </c>
      <c r="D286" s="48">
        <f t="shared" si="12"/>
        <v>0</v>
      </c>
      <c r="E286" s="48">
        <f t="shared" si="13"/>
        <v>0</v>
      </c>
    </row>
    <row r="287" spans="2:5">
      <c r="B287" s="23">
        <v>274</v>
      </c>
      <c r="C287" s="48">
        <f t="shared" si="14"/>
        <v>0</v>
      </c>
      <c r="D287" s="48">
        <f t="shared" si="12"/>
        <v>0</v>
      </c>
      <c r="E287" s="48">
        <f t="shared" si="13"/>
        <v>0</v>
      </c>
    </row>
    <row r="288" spans="2:5">
      <c r="B288" s="23">
        <v>275</v>
      </c>
      <c r="C288" s="48">
        <f t="shared" si="14"/>
        <v>0</v>
      </c>
      <c r="D288" s="48">
        <f t="shared" si="12"/>
        <v>0</v>
      </c>
      <c r="E288" s="48">
        <f t="shared" si="13"/>
        <v>0</v>
      </c>
    </row>
    <row r="289" spans="2:5">
      <c r="B289" s="23">
        <v>276</v>
      </c>
      <c r="C289" s="48">
        <f t="shared" si="14"/>
        <v>0</v>
      </c>
      <c r="D289" s="48">
        <f t="shared" si="12"/>
        <v>0</v>
      </c>
      <c r="E289" s="48">
        <f t="shared" si="13"/>
        <v>0</v>
      </c>
    </row>
    <row r="290" spans="2:5">
      <c r="B290" s="23">
        <v>277</v>
      </c>
      <c r="C290" s="48">
        <f t="shared" si="14"/>
        <v>0</v>
      </c>
      <c r="D290" s="48">
        <f t="shared" si="12"/>
        <v>0</v>
      </c>
      <c r="E290" s="48">
        <f t="shared" si="13"/>
        <v>0</v>
      </c>
    </row>
    <row r="291" spans="2:5">
      <c r="B291" s="23">
        <v>278</v>
      </c>
      <c r="C291" s="48">
        <f t="shared" si="14"/>
        <v>0</v>
      </c>
      <c r="D291" s="48">
        <f t="shared" si="12"/>
        <v>0</v>
      </c>
      <c r="E291" s="48">
        <f t="shared" si="13"/>
        <v>0</v>
      </c>
    </row>
    <row r="292" spans="2:5">
      <c r="B292" s="23">
        <v>279</v>
      </c>
      <c r="C292" s="48">
        <f t="shared" si="14"/>
        <v>0</v>
      </c>
      <c r="D292" s="48">
        <f t="shared" si="12"/>
        <v>0</v>
      </c>
      <c r="E292" s="48">
        <f t="shared" si="13"/>
        <v>0</v>
      </c>
    </row>
    <row r="293" spans="2:5">
      <c r="B293" s="23">
        <v>280</v>
      </c>
      <c r="C293" s="48">
        <f t="shared" si="14"/>
        <v>0</v>
      </c>
      <c r="D293" s="48">
        <f t="shared" si="12"/>
        <v>0</v>
      </c>
      <c r="E293" s="48">
        <f t="shared" si="13"/>
        <v>0</v>
      </c>
    </row>
    <row r="294" spans="2:5">
      <c r="B294" s="23">
        <v>281</v>
      </c>
      <c r="C294" s="48">
        <f t="shared" si="14"/>
        <v>0</v>
      </c>
      <c r="D294" s="48">
        <f t="shared" si="12"/>
        <v>0</v>
      </c>
      <c r="E294" s="48">
        <f t="shared" si="13"/>
        <v>0</v>
      </c>
    </row>
    <row r="295" spans="2:5">
      <c r="B295" s="23">
        <v>282</v>
      </c>
      <c r="C295" s="48">
        <f t="shared" si="14"/>
        <v>0</v>
      </c>
      <c r="D295" s="48">
        <f t="shared" si="12"/>
        <v>0</v>
      </c>
      <c r="E295" s="48">
        <f t="shared" si="13"/>
        <v>0</v>
      </c>
    </row>
    <row r="296" spans="2:5">
      <c r="B296" s="23">
        <v>283</v>
      </c>
      <c r="C296" s="48">
        <f t="shared" si="14"/>
        <v>0</v>
      </c>
      <c r="D296" s="48">
        <f t="shared" si="12"/>
        <v>0</v>
      </c>
      <c r="E296" s="48">
        <f t="shared" si="13"/>
        <v>0</v>
      </c>
    </row>
    <row r="297" spans="2:5">
      <c r="B297" s="23">
        <v>284</v>
      </c>
      <c r="C297" s="48">
        <f t="shared" si="14"/>
        <v>0</v>
      </c>
      <c r="D297" s="48">
        <f t="shared" si="12"/>
        <v>0</v>
      </c>
      <c r="E297" s="48">
        <f t="shared" si="13"/>
        <v>0</v>
      </c>
    </row>
    <row r="298" spans="2:5">
      <c r="B298" s="23">
        <v>285</v>
      </c>
      <c r="C298" s="48">
        <f t="shared" si="14"/>
        <v>0</v>
      </c>
      <c r="D298" s="48">
        <f t="shared" si="12"/>
        <v>0</v>
      </c>
      <c r="E298" s="48">
        <f t="shared" si="13"/>
        <v>0</v>
      </c>
    </row>
    <row r="299" spans="2:5">
      <c r="B299" s="23">
        <v>286</v>
      </c>
      <c r="C299" s="48">
        <f t="shared" si="14"/>
        <v>0</v>
      </c>
      <c r="D299" s="48">
        <f t="shared" si="12"/>
        <v>0</v>
      </c>
      <c r="E299" s="48">
        <f t="shared" si="13"/>
        <v>0</v>
      </c>
    </row>
    <row r="300" spans="2:5">
      <c r="B300" s="23">
        <v>287</v>
      </c>
      <c r="C300" s="48">
        <f t="shared" si="14"/>
        <v>0</v>
      </c>
      <c r="D300" s="48">
        <f t="shared" si="12"/>
        <v>0</v>
      </c>
      <c r="E300" s="48">
        <f t="shared" si="13"/>
        <v>0</v>
      </c>
    </row>
    <row r="301" spans="2:5">
      <c r="B301" s="23">
        <v>288</v>
      </c>
      <c r="C301" s="48">
        <f t="shared" si="14"/>
        <v>0</v>
      </c>
      <c r="D301" s="48">
        <f t="shared" si="12"/>
        <v>0</v>
      </c>
      <c r="E301" s="48">
        <f t="shared" si="13"/>
        <v>0</v>
      </c>
    </row>
    <row r="302" spans="2:5">
      <c r="B302" s="23">
        <v>289</v>
      </c>
      <c r="C302" s="48">
        <f t="shared" si="14"/>
        <v>0</v>
      </c>
      <c r="D302" s="48">
        <f t="shared" si="12"/>
        <v>0</v>
      </c>
      <c r="E302" s="48">
        <f t="shared" si="13"/>
        <v>0</v>
      </c>
    </row>
    <row r="303" spans="2:5">
      <c r="B303" s="23">
        <v>290</v>
      </c>
      <c r="C303" s="48">
        <f t="shared" si="14"/>
        <v>0</v>
      </c>
      <c r="D303" s="48">
        <f t="shared" si="12"/>
        <v>0</v>
      </c>
      <c r="E303" s="48">
        <f t="shared" si="13"/>
        <v>0</v>
      </c>
    </row>
    <row r="304" spans="2:5">
      <c r="B304" s="23">
        <v>291</v>
      </c>
      <c r="C304" s="48">
        <f t="shared" si="14"/>
        <v>0</v>
      </c>
      <c r="D304" s="48">
        <f t="shared" si="12"/>
        <v>0</v>
      </c>
      <c r="E304" s="48">
        <f t="shared" si="13"/>
        <v>0</v>
      </c>
    </row>
    <row r="305" spans="2:5">
      <c r="B305" s="23">
        <v>292</v>
      </c>
      <c r="C305" s="48">
        <f t="shared" si="14"/>
        <v>0</v>
      </c>
      <c r="D305" s="48">
        <f t="shared" si="12"/>
        <v>0</v>
      </c>
      <c r="E305" s="48">
        <f t="shared" si="13"/>
        <v>0</v>
      </c>
    </row>
    <row r="306" spans="2:5">
      <c r="B306" s="23">
        <v>293</v>
      </c>
      <c r="C306" s="48">
        <f t="shared" si="14"/>
        <v>0</v>
      </c>
      <c r="D306" s="48">
        <f t="shared" si="12"/>
        <v>0</v>
      </c>
      <c r="E306" s="48">
        <f t="shared" si="13"/>
        <v>0</v>
      </c>
    </row>
    <row r="307" spans="2:5">
      <c r="B307" s="23">
        <v>294</v>
      </c>
      <c r="C307" s="48">
        <f t="shared" si="14"/>
        <v>0</v>
      </c>
      <c r="D307" s="48">
        <f t="shared" si="12"/>
        <v>0</v>
      </c>
      <c r="E307" s="48">
        <f t="shared" si="13"/>
        <v>0</v>
      </c>
    </row>
    <row r="308" spans="2:5">
      <c r="B308" s="23">
        <v>295</v>
      </c>
      <c r="C308" s="48">
        <f t="shared" si="14"/>
        <v>0</v>
      </c>
      <c r="D308" s="48">
        <f t="shared" si="12"/>
        <v>0</v>
      </c>
      <c r="E308" s="48">
        <f t="shared" si="13"/>
        <v>0</v>
      </c>
    </row>
    <row r="309" spans="2:5">
      <c r="B309" s="23">
        <v>296</v>
      </c>
      <c r="C309" s="48">
        <f t="shared" si="14"/>
        <v>0</v>
      </c>
      <c r="D309" s="48">
        <f t="shared" si="12"/>
        <v>0</v>
      </c>
      <c r="E309" s="48">
        <f t="shared" si="13"/>
        <v>0</v>
      </c>
    </row>
    <row r="310" spans="2:5">
      <c r="B310" s="23">
        <v>297</v>
      </c>
      <c r="C310" s="48">
        <f t="shared" si="14"/>
        <v>0</v>
      </c>
      <c r="D310" s="48">
        <f t="shared" si="12"/>
        <v>0</v>
      </c>
      <c r="E310" s="48">
        <f t="shared" si="13"/>
        <v>0</v>
      </c>
    </row>
    <row r="311" spans="2:5">
      <c r="B311" s="23">
        <v>298</v>
      </c>
      <c r="C311" s="48">
        <f t="shared" si="14"/>
        <v>0</v>
      </c>
      <c r="D311" s="48">
        <f t="shared" si="12"/>
        <v>0</v>
      </c>
      <c r="E311" s="48">
        <f t="shared" si="13"/>
        <v>0</v>
      </c>
    </row>
    <row r="312" spans="2:5">
      <c r="B312" s="23">
        <v>299</v>
      </c>
      <c r="C312" s="48">
        <f t="shared" si="14"/>
        <v>0</v>
      </c>
      <c r="D312" s="48">
        <f t="shared" si="12"/>
        <v>0</v>
      </c>
      <c r="E312" s="48">
        <f t="shared" si="13"/>
        <v>0</v>
      </c>
    </row>
    <row r="313" spans="2:5">
      <c r="B313" s="23">
        <v>300</v>
      </c>
      <c r="C313" s="48">
        <f t="shared" si="14"/>
        <v>0</v>
      </c>
      <c r="D313" s="48">
        <f t="shared" si="12"/>
        <v>0</v>
      </c>
      <c r="E313" s="48">
        <f t="shared" si="13"/>
        <v>0</v>
      </c>
    </row>
  </sheetData>
  <pageMargins left="0.75" right="0.75" top="1" bottom="1" header="0.5" footer="0.5"/>
  <headerFooter/>
  <tableParts count="4">
    <tablePart r:id="rId1"/>
    <tablePart r:id="rId2"/>
    <tablePart r:id="rId3"/>
    <tablePart r:id="rId4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>
    <tabColor theme="6"/>
  </sheetPr>
  <dimension ref="B2:AB302"/>
  <sheetViews>
    <sheetView workbookViewId="0">
      <selection activeCell="AG65" sqref="AG65"/>
    </sheetView>
  </sheetViews>
  <sheetFormatPr defaultColWidth="9" defaultRowHeight="13.5"/>
  <sheetData>
    <row r="2" ht="16.5" spans="2:28">
      <c r="B2" s="23" t="s">
        <v>433</v>
      </c>
      <c r="C2" s="23" t="s">
        <v>96</v>
      </c>
      <c r="D2" s="23" t="s">
        <v>202</v>
      </c>
      <c r="E2" s="23" t="s">
        <v>130</v>
      </c>
      <c r="F2" s="23" t="s">
        <v>434</v>
      </c>
      <c r="G2" s="23" t="s">
        <v>203</v>
      </c>
      <c r="H2" s="23" t="s">
        <v>355</v>
      </c>
      <c r="I2" s="23" t="s">
        <v>250</v>
      </c>
      <c r="J2" s="23" t="s">
        <v>240</v>
      </c>
      <c r="L2" s="46" t="s">
        <v>435</v>
      </c>
      <c r="M2" s="46" t="s">
        <v>130</v>
      </c>
      <c r="O2" s="47" t="s">
        <v>436</v>
      </c>
      <c r="P2" s="47" t="s">
        <v>437</v>
      </c>
      <c r="R2" s="23"/>
      <c r="S2" s="38" t="s">
        <v>96</v>
      </c>
      <c r="T2" s="38" t="s">
        <v>202</v>
      </c>
      <c r="U2" s="38" t="s">
        <v>130</v>
      </c>
      <c r="V2" s="38" t="s">
        <v>434</v>
      </c>
      <c r="W2" s="38" t="s">
        <v>203</v>
      </c>
      <c r="X2" s="38" t="s">
        <v>355</v>
      </c>
      <c r="Y2" s="38" t="s">
        <v>250</v>
      </c>
      <c r="Z2" s="38" t="s">
        <v>240</v>
      </c>
      <c r="AA2" s="38" t="s">
        <v>238</v>
      </c>
      <c r="AB2" s="38" t="s">
        <v>438</v>
      </c>
    </row>
    <row r="3" ht="16.5" spans="2:28">
      <c r="B3" s="23">
        <v>1</v>
      </c>
      <c r="C3" s="48">
        <f ca="1">IFERROR(_xlfn.XLOOKUP(B3,$O$2:$O$27,$P$2:$P$27),0)+OFFSET($R$2,MIN(8,$B3),MATCH(C$2,$S$2:$AB$2,0))</f>
        <v>4000</v>
      </c>
      <c r="D3" s="48">
        <f ca="1" t="shared" ref="D3:J3" si="0">IFERROR(_xlfn.XLOOKUP(C3,$O$2:$O$27,$P$2:$P$27),0)+OFFSET($R$2,MIN(8,$B3),MATCH(D$2,$S$2:$AB$2,0))</f>
        <v>200</v>
      </c>
      <c r="E3" s="48">
        <f ca="1">IFERROR(_xlfn.XLOOKUP(D3,$O$2:$O$27,$P$2:$P$27),0)+OFFSET($R$2,MIN(8,$B3),MATCH(E$2,$S$2:$AB$2,0))+IFERROR(_xlfn.XLOOKUP(B3,$L$3:$L$9,$M$3:$M$9),0)</f>
        <v>30</v>
      </c>
      <c r="F3" s="48">
        <f ca="1" t="shared" si="0"/>
        <v>0</v>
      </c>
      <c r="G3" s="48">
        <f ca="1" t="shared" si="0"/>
        <v>1</v>
      </c>
      <c r="H3" s="48">
        <f ca="1" t="shared" si="0"/>
        <v>500</v>
      </c>
      <c r="I3" s="48">
        <f ca="1" t="shared" si="0"/>
        <v>0</v>
      </c>
      <c r="J3" s="48">
        <f ca="1" t="shared" si="0"/>
        <v>0</v>
      </c>
      <c r="L3" s="23">
        <v>1</v>
      </c>
      <c r="M3" s="23"/>
      <c r="O3" s="12">
        <v>4</v>
      </c>
      <c r="P3" s="49">
        <v>500</v>
      </c>
      <c r="R3" s="50" t="s">
        <v>439</v>
      </c>
      <c r="S3" s="23">
        <v>4000</v>
      </c>
      <c r="T3" s="23">
        <v>200</v>
      </c>
      <c r="U3" s="23">
        <v>30</v>
      </c>
      <c r="V3" s="23">
        <v>0</v>
      </c>
      <c r="W3" s="23">
        <v>1</v>
      </c>
      <c r="X3" s="23">
        <v>500</v>
      </c>
      <c r="Y3" s="23">
        <v>0</v>
      </c>
    </row>
    <row r="4" ht="16.5" spans="2:28">
      <c r="B4" s="23">
        <v>2</v>
      </c>
      <c r="C4" s="48">
        <f ca="1" t="shared" ref="C4:C67" si="1">IFERROR(_xlfn.XLOOKUP(B4,$O$2:$O$27,$P$2:$P$27),0)+OFFSET($R$2,MIN(8,$B4),MATCH(C$2,$S$2:$AB$2,0))</f>
        <v>0</v>
      </c>
      <c r="D4" s="48">
        <f ca="1" t="shared" ref="D4:D67" si="2">IFERROR(_xlfn.XLOOKUP(C4,$O$2:$O$27,$P$2:$P$27),0)+OFFSET($R$2,MIN(8,$B4),MATCH(D$2,$S$2:$AB$2,0))</f>
        <v>200</v>
      </c>
      <c r="E4" s="48">
        <f ca="1" t="shared" ref="E4:E67" si="3">IFERROR(_xlfn.XLOOKUP(D4,$O$2:$O$27,$P$2:$P$27),0)+OFFSET($R$2,MIN(8,$B4),MATCH(E$2,$S$2:$AB$2,0))+IFERROR(_xlfn.XLOOKUP(B4,$L$3:$L$9,$M$3:$M$9),0)</f>
        <v>20</v>
      </c>
      <c r="F4" s="48">
        <f ca="1" t="shared" ref="F4:F67" si="4">IFERROR(_xlfn.XLOOKUP(E4,$O$2:$O$27,$P$2:$P$27),0)+OFFSET($R$2,MIN(8,$B4),MATCH(F$2,$S$2:$AB$2,0))</f>
        <v>0</v>
      </c>
      <c r="G4" s="48">
        <f ca="1" t="shared" ref="G4:G67" si="5">IFERROR(_xlfn.XLOOKUP(F4,$O$2:$O$27,$P$2:$P$27),0)+OFFSET($R$2,MIN(8,$B4),MATCH(G$2,$S$2:$AB$2,0))</f>
        <v>1</v>
      </c>
      <c r="H4" s="48">
        <f ca="1" t="shared" ref="H4:H67" si="6">IFERROR(_xlfn.XLOOKUP(G4,$O$2:$O$27,$P$2:$P$27),0)+OFFSET($R$2,MIN(8,$B4),MATCH(H$2,$S$2:$AB$2,0))</f>
        <v>700</v>
      </c>
      <c r="I4" s="48">
        <f ca="1" t="shared" ref="I4:I67" si="7">IFERROR(_xlfn.XLOOKUP(H4,$O$2:$O$27,$P$2:$P$27),0)+OFFSET($R$2,MIN(8,$B4),MATCH(I$2,$S$2:$AB$2,0))</f>
        <v>0</v>
      </c>
      <c r="J4" s="48">
        <f ca="1" t="shared" ref="J4:J67" si="8">IFERROR(_xlfn.XLOOKUP(I4,$O$2:$O$27,$P$2:$P$27),0)+OFFSET($R$2,MIN(8,$B4),MATCH(J$2,$S$2:$AB$2,0))</f>
        <v>1</v>
      </c>
      <c r="L4" s="23">
        <v>2</v>
      </c>
      <c r="M4" s="23"/>
      <c r="O4" s="12">
        <v>8</v>
      </c>
      <c r="P4" s="49">
        <v>500</v>
      </c>
      <c r="R4" s="50" t="s">
        <v>440</v>
      </c>
      <c r="S4" s="23">
        <v>0</v>
      </c>
      <c r="T4" s="23">
        <v>200</v>
      </c>
      <c r="U4" s="23">
        <v>20</v>
      </c>
      <c r="V4" s="23">
        <v>0</v>
      </c>
      <c r="W4" s="23">
        <v>1</v>
      </c>
      <c r="X4" s="23">
        <v>700</v>
      </c>
      <c r="Y4" s="23">
        <v>0</v>
      </c>
      <c r="Z4" s="23">
        <v>1</v>
      </c>
    </row>
    <row r="5" ht="16.5" spans="2:28">
      <c r="B5" s="23">
        <v>3</v>
      </c>
      <c r="C5" s="48">
        <f ca="1" t="shared" si="1"/>
        <v>0</v>
      </c>
      <c r="D5" s="48">
        <f ca="1" t="shared" si="2"/>
        <v>200</v>
      </c>
      <c r="E5" s="48">
        <f ca="1" t="shared" si="3"/>
        <v>30</v>
      </c>
      <c r="F5" s="48">
        <f ca="1" t="shared" si="4"/>
        <v>0</v>
      </c>
      <c r="G5" s="48">
        <f ca="1" t="shared" si="5"/>
        <v>10</v>
      </c>
      <c r="H5" s="48">
        <f ca="1" t="shared" si="6"/>
        <v>300</v>
      </c>
      <c r="I5" s="48">
        <f ca="1" t="shared" si="7"/>
        <v>0</v>
      </c>
      <c r="J5" s="48">
        <f ca="1" t="shared" si="8"/>
        <v>0</v>
      </c>
      <c r="L5" s="23">
        <v>3</v>
      </c>
      <c r="M5" s="23">
        <v>20</v>
      </c>
      <c r="O5" s="12">
        <v>12</v>
      </c>
      <c r="P5" s="49">
        <v>500</v>
      </c>
      <c r="R5" s="50" t="s">
        <v>441</v>
      </c>
      <c r="S5" s="23">
        <v>0</v>
      </c>
      <c r="T5" s="23">
        <v>200</v>
      </c>
      <c r="U5" s="23">
        <v>10</v>
      </c>
      <c r="V5" s="23">
        <v>0</v>
      </c>
      <c r="W5" s="23">
        <v>10</v>
      </c>
      <c r="X5" s="23">
        <v>300</v>
      </c>
      <c r="Y5" s="23">
        <v>0</v>
      </c>
      <c r="AA5" s="23">
        <v>5</v>
      </c>
      <c r="AB5" s="23"/>
    </row>
    <row r="6" ht="16.5" spans="2:28">
      <c r="B6" s="23">
        <v>4</v>
      </c>
      <c r="C6" s="48">
        <f ca="1" t="shared" si="1"/>
        <v>500</v>
      </c>
      <c r="D6" s="48">
        <f ca="1" t="shared" si="2"/>
        <v>200</v>
      </c>
      <c r="E6" s="48">
        <f ca="1" t="shared" si="3"/>
        <v>20</v>
      </c>
      <c r="F6" s="48">
        <f ca="1" t="shared" si="4"/>
        <v>0</v>
      </c>
      <c r="G6" s="48">
        <f ca="1" t="shared" si="5"/>
        <v>1</v>
      </c>
      <c r="H6" s="48">
        <f ca="1" t="shared" si="6"/>
        <v>900</v>
      </c>
      <c r="I6" s="48">
        <f ca="1" t="shared" si="7"/>
        <v>6</v>
      </c>
      <c r="J6" s="48">
        <f ca="1" t="shared" si="8"/>
        <v>0</v>
      </c>
      <c r="L6" s="23">
        <v>4</v>
      </c>
      <c r="M6" s="23"/>
      <c r="O6" s="12">
        <v>16</v>
      </c>
      <c r="P6" s="49">
        <v>500</v>
      </c>
      <c r="R6" s="50" t="s">
        <v>442</v>
      </c>
      <c r="S6" s="23">
        <v>0</v>
      </c>
      <c r="T6" s="23">
        <v>200</v>
      </c>
      <c r="U6" s="23">
        <v>20</v>
      </c>
      <c r="V6" s="23">
        <v>0</v>
      </c>
      <c r="W6" s="23">
        <v>1</v>
      </c>
      <c r="X6" s="23">
        <v>900</v>
      </c>
      <c r="Y6" s="23">
        <v>6</v>
      </c>
    </row>
    <row r="7" ht="16.5" spans="2:28">
      <c r="B7" s="23">
        <v>5</v>
      </c>
      <c r="C7" s="48">
        <f ca="1" t="shared" si="1"/>
        <v>0</v>
      </c>
      <c r="D7" s="48">
        <f ca="1" t="shared" si="2"/>
        <v>1000</v>
      </c>
      <c r="E7" s="48">
        <f ca="1" t="shared" si="3"/>
        <v>40</v>
      </c>
      <c r="F7" s="48">
        <f ca="1" t="shared" si="4"/>
        <v>0</v>
      </c>
      <c r="G7" s="48">
        <f ca="1" t="shared" si="5"/>
        <v>10</v>
      </c>
      <c r="H7" s="48">
        <f ca="1" t="shared" si="6"/>
        <v>300</v>
      </c>
      <c r="I7" s="48">
        <f ca="1" t="shared" si="7"/>
        <v>0</v>
      </c>
      <c r="J7" s="48">
        <f ca="1" t="shared" si="8"/>
        <v>0</v>
      </c>
      <c r="L7" s="23">
        <v>5</v>
      </c>
      <c r="M7" s="23">
        <v>30</v>
      </c>
      <c r="O7" s="12">
        <v>20</v>
      </c>
      <c r="P7" s="49"/>
      <c r="R7" s="50" t="s">
        <v>443</v>
      </c>
      <c r="S7" s="23">
        <v>0</v>
      </c>
      <c r="T7" s="23">
        <v>1000</v>
      </c>
      <c r="U7" s="23">
        <v>10</v>
      </c>
      <c r="V7" s="23">
        <v>0</v>
      </c>
      <c r="W7" s="23">
        <v>10</v>
      </c>
      <c r="X7" s="23">
        <v>300</v>
      </c>
      <c r="Y7" s="23">
        <v>0</v>
      </c>
    </row>
    <row r="8" ht="16.5" spans="2:28">
      <c r="B8" s="23">
        <v>6</v>
      </c>
      <c r="C8" s="48">
        <f ca="1" t="shared" si="1"/>
        <v>0</v>
      </c>
      <c r="D8" s="48">
        <f ca="1" t="shared" si="2"/>
        <v>200</v>
      </c>
      <c r="E8" s="48">
        <f ca="1" t="shared" si="3"/>
        <v>20</v>
      </c>
      <c r="F8" s="48">
        <f ca="1" t="shared" si="4"/>
        <v>0</v>
      </c>
      <c r="G8" s="48">
        <f ca="1" t="shared" si="5"/>
        <v>1</v>
      </c>
      <c r="H8" s="48">
        <f ca="1" t="shared" si="6"/>
        <v>1400</v>
      </c>
      <c r="I8" s="48">
        <f ca="1" t="shared" si="7"/>
        <v>0</v>
      </c>
      <c r="J8" s="48">
        <f ca="1" t="shared" si="8"/>
        <v>0</v>
      </c>
      <c r="L8" s="23">
        <v>6</v>
      </c>
      <c r="M8" s="23"/>
      <c r="O8" s="12">
        <v>24</v>
      </c>
      <c r="P8" s="49">
        <v>1000</v>
      </c>
      <c r="R8" s="50" t="s">
        <v>444</v>
      </c>
      <c r="S8" s="23">
        <v>0</v>
      </c>
      <c r="T8" s="23">
        <v>200</v>
      </c>
      <c r="U8" s="23">
        <v>20</v>
      </c>
      <c r="V8" s="23">
        <v>0</v>
      </c>
      <c r="W8" s="23">
        <v>1</v>
      </c>
      <c r="X8" s="23">
        <v>1400</v>
      </c>
      <c r="Y8" s="23">
        <v>0</v>
      </c>
    </row>
    <row r="9" ht="16.5" spans="2:28">
      <c r="B9" s="23">
        <v>7</v>
      </c>
      <c r="C9" s="48">
        <f ca="1" t="shared" si="1"/>
        <v>0</v>
      </c>
      <c r="D9" s="48">
        <f ca="1" t="shared" si="2"/>
        <v>200</v>
      </c>
      <c r="E9" s="48">
        <f ca="1" t="shared" si="3"/>
        <v>10</v>
      </c>
      <c r="F9" s="48">
        <f ca="1" t="shared" si="4"/>
        <v>0</v>
      </c>
      <c r="G9" s="48">
        <f ca="1" t="shared" si="5"/>
        <v>0</v>
      </c>
      <c r="H9" s="48">
        <f ca="1" t="shared" si="6"/>
        <v>0</v>
      </c>
      <c r="I9" s="48">
        <f ca="1" t="shared" si="7"/>
        <v>39</v>
      </c>
      <c r="J9" s="48">
        <f ca="1" t="shared" si="8"/>
        <v>0</v>
      </c>
      <c r="L9" s="23">
        <v>7</v>
      </c>
      <c r="M9" s="23"/>
      <c r="O9" s="12">
        <v>28</v>
      </c>
      <c r="P9" s="49">
        <v>1000</v>
      </c>
      <c r="R9" s="50" t="s">
        <v>445</v>
      </c>
      <c r="S9" s="23">
        <v>0</v>
      </c>
      <c r="T9" s="23">
        <v>200</v>
      </c>
      <c r="U9" s="23">
        <v>10</v>
      </c>
      <c r="V9" s="23">
        <v>0</v>
      </c>
      <c r="W9" s="23">
        <v>0</v>
      </c>
      <c r="X9" s="23">
        <v>0</v>
      </c>
      <c r="Y9" s="23">
        <v>39</v>
      </c>
      <c r="AB9" s="23">
        <v>1</v>
      </c>
    </row>
    <row r="10" ht="16.5" spans="2:28">
      <c r="B10" s="23">
        <v>8</v>
      </c>
      <c r="C10" s="48">
        <f ca="1" t="shared" si="1"/>
        <v>500</v>
      </c>
      <c r="D10" s="48">
        <f ca="1" t="shared" si="2"/>
        <v>0</v>
      </c>
      <c r="E10" s="48">
        <f ca="1" t="shared" si="3"/>
        <v>0</v>
      </c>
      <c r="F10" s="48">
        <f ca="1" t="shared" si="4"/>
        <v>0</v>
      </c>
      <c r="G10" s="48">
        <f ca="1" t="shared" si="5"/>
        <v>0</v>
      </c>
      <c r="H10" s="48">
        <f ca="1" t="shared" si="6"/>
        <v>0</v>
      </c>
      <c r="I10" s="48">
        <f ca="1" t="shared" si="7"/>
        <v>0</v>
      </c>
      <c r="J10" s="48">
        <f ca="1" t="shared" si="8"/>
        <v>0</v>
      </c>
      <c r="O10" s="12">
        <v>32</v>
      </c>
      <c r="P10" s="49">
        <v>1000</v>
      </c>
      <c r="R10" s="50" t="s">
        <v>445</v>
      </c>
      <c r="S10" s="23">
        <v>0</v>
      </c>
      <c r="T10" s="23">
        <v>0</v>
      </c>
      <c r="U10" s="23">
        <v>0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0</v>
      </c>
      <c r="AB10" s="23">
        <v>0</v>
      </c>
    </row>
    <row r="11" ht="16.5" spans="2:28">
      <c r="B11" s="23">
        <v>9</v>
      </c>
      <c r="C11" s="48">
        <f ca="1" t="shared" si="1"/>
        <v>0</v>
      </c>
      <c r="D11" s="48">
        <f ca="1" t="shared" si="2"/>
        <v>0</v>
      </c>
      <c r="E11" s="48">
        <f ca="1" t="shared" si="3"/>
        <v>0</v>
      </c>
      <c r="F11" s="48">
        <f ca="1" t="shared" si="4"/>
        <v>0</v>
      </c>
      <c r="G11" s="48">
        <f ca="1" t="shared" si="5"/>
        <v>0</v>
      </c>
      <c r="H11" s="48">
        <f ca="1" t="shared" si="6"/>
        <v>0</v>
      </c>
      <c r="I11" s="48">
        <f ca="1" t="shared" si="7"/>
        <v>0</v>
      </c>
      <c r="J11" s="48">
        <f ca="1" t="shared" si="8"/>
        <v>0</v>
      </c>
      <c r="O11" s="12">
        <v>36</v>
      </c>
      <c r="P11" s="49">
        <v>1000</v>
      </c>
    </row>
    <row r="12" ht="16.5" spans="2:28">
      <c r="B12" s="23">
        <v>10</v>
      </c>
      <c r="C12" s="48">
        <f ca="1" t="shared" si="1"/>
        <v>0</v>
      </c>
      <c r="D12" s="48">
        <f ca="1" t="shared" si="2"/>
        <v>0</v>
      </c>
      <c r="E12" s="48">
        <f ca="1" t="shared" si="3"/>
        <v>0</v>
      </c>
      <c r="F12" s="48">
        <f ca="1" t="shared" si="4"/>
        <v>0</v>
      </c>
      <c r="G12" s="48">
        <f ca="1" t="shared" si="5"/>
        <v>0</v>
      </c>
      <c r="H12" s="48">
        <f ca="1" t="shared" si="6"/>
        <v>0</v>
      </c>
      <c r="I12" s="48">
        <f ca="1" t="shared" si="7"/>
        <v>0</v>
      </c>
      <c r="J12" s="48">
        <f ca="1" t="shared" si="8"/>
        <v>0</v>
      </c>
      <c r="O12" s="12">
        <v>40</v>
      </c>
      <c r="P12" s="49"/>
    </row>
    <row r="13" ht="16.5" spans="2:28">
      <c r="B13" s="23">
        <v>11</v>
      </c>
      <c r="C13" s="48">
        <f ca="1" t="shared" si="1"/>
        <v>0</v>
      </c>
      <c r="D13" s="48">
        <f ca="1" t="shared" si="2"/>
        <v>0</v>
      </c>
      <c r="E13" s="48">
        <f ca="1" t="shared" si="3"/>
        <v>0</v>
      </c>
      <c r="F13" s="48">
        <f ca="1" t="shared" si="4"/>
        <v>0</v>
      </c>
      <c r="G13" s="48">
        <f ca="1" t="shared" si="5"/>
        <v>0</v>
      </c>
      <c r="H13" s="48">
        <f ca="1" t="shared" si="6"/>
        <v>0</v>
      </c>
      <c r="I13" s="48">
        <f ca="1" t="shared" si="7"/>
        <v>0</v>
      </c>
      <c r="J13" s="48">
        <f ca="1" t="shared" si="8"/>
        <v>0</v>
      </c>
      <c r="O13" s="12">
        <v>44</v>
      </c>
      <c r="P13" s="49">
        <v>1500</v>
      </c>
    </row>
    <row r="14" ht="16.5" spans="2:28">
      <c r="B14" s="23">
        <v>12</v>
      </c>
      <c r="C14" s="48">
        <f ca="1" t="shared" si="1"/>
        <v>500</v>
      </c>
      <c r="D14" s="48">
        <f ca="1" t="shared" si="2"/>
        <v>0</v>
      </c>
      <c r="E14" s="48">
        <f ca="1" t="shared" si="3"/>
        <v>0</v>
      </c>
      <c r="F14" s="48">
        <f ca="1" t="shared" si="4"/>
        <v>0</v>
      </c>
      <c r="G14" s="48">
        <f ca="1" t="shared" si="5"/>
        <v>0</v>
      </c>
      <c r="H14" s="48">
        <f ca="1" t="shared" si="6"/>
        <v>0</v>
      </c>
      <c r="I14" s="48">
        <f ca="1" t="shared" si="7"/>
        <v>0</v>
      </c>
      <c r="J14" s="48">
        <f ca="1" t="shared" si="8"/>
        <v>0</v>
      </c>
      <c r="O14" s="12">
        <v>48</v>
      </c>
      <c r="P14" s="49">
        <v>1500</v>
      </c>
    </row>
    <row r="15" ht="16.5" spans="2:28">
      <c r="B15" s="23">
        <v>13</v>
      </c>
      <c r="C15" s="48">
        <f ca="1" t="shared" si="1"/>
        <v>0</v>
      </c>
      <c r="D15" s="48">
        <f ca="1" t="shared" si="2"/>
        <v>0</v>
      </c>
      <c r="E15" s="48">
        <f ca="1" t="shared" si="3"/>
        <v>0</v>
      </c>
      <c r="F15" s="48">
        <f ca="1" t="shared" si="4"/>
        <v>0</v>
      </c>
      <c r="G15" s="48">
        <f ca="1" t="shared" si="5"/>
        <v>0</v>
      </c>
      <c r="H15" s="48">
        <f ca="1" t="shared" si="6"/>
        <v>0</v>
      </c>
      <c r="I15" s="48">
        <f ca="1" t="shared" si="7"/>
        <v>0</v>
      </c>
      <c r="J15" s="48">
        <f ca="1" t="shared" si="8"/>
        <v>0</v>
      </c>
      <c r="O15" s="12">
        <v>52</v>
      </c>
      <c r="P15" s="49">
        <v>1500</v>
      </c>
    </row>
    <row r="16" ht="16.5" spans="2:28">
      <c r="B16" s="23">
        <v>14</v>
      </c>
      <c r="C16" s="48">
        <f ca="1" t="shared" si="1"/>
        <v>0</v>
      </c>
      <c r="D16" s="48">
        <f ca="1" t="shared" si="2"/>
        <v>0</v>
      </c>
      <c r="E16" s="48">
        <f ca="1" t="shared" si="3"/>
        <v>0</v>
      </c>
      <c r="F16" s="48">
        <f ca="1" t="shared" si="4"/>
        <v>0</v>
      </c>
      <c r="G16" s="48">
        <f ca="1" t="shared" si="5"/>
        <v>0</v>
      </c>
      <c r="H16" s="48">
        <f ca="1" t="shared" si="6"/>
        <v>0</v>
      </c>
      <c r="I16" s="48">
        <f ca="1" t="shared" si="7"/>
        <v>0</v>
      </c>
      <c r="J16" s="48">
        <f ca="1" t="shared" si="8"/>
        <v>0</v>
      </c>
      <c r="O16" s="12">
        <v>56</v>
      </c>
      <c r="P16" s="49">
        <v>1500</v>
      </c>
    </row>
    <row r="17" ht="16.5" spans="2:16">
      <c r="B17" s="23">
        <v>15</v>
      </c>
      <c r="C17" s="48">
        <f ca="1" t="shared" si="1"/>
        <v>0</v>
      </c>
      <c r="D17" s="48">
        <f ca="1" t="shared" si="2"/>
        <v>0</v>
      </c>
      <c r="E17" s="48">
        <f ca="1" t="shared" si="3"/>
        <v>0</v>
      </c>
      <c r="F17" s="48">
        <f ca="1" t="shared" si="4"/>
        <v>0</v>
      </c>
      <c r="G17" s="48">
        <f ca="1" t="shared" si="5"/>
        <v>0</v>
      </c>
      <c r="H17" s="48">
        <f ca="1" t="shared" si="6"/>
        <v>0</v>
      </c>
      <c r="I17" s="48">
        <f ca="1" t="shared" si="7"/>
        <v>0</v>
      </c>
      <c r="J17" s="48">
        <f ca="1" t="shared" si="8"/>
        <v>0</v>
      </c>
      <c r="O17" s="12">
        <v>60</v>
      </c>
      <c r="P17" s="49"/>
    </row>
    <row r="18" ht="16.5" spans="2:16">
      <c r="B18" s="23">
        <v>16</v>
      </c>
      <c r="C18" s="48">
        <f ca="1" t="shared" si="1"/>
        <v>500</v>
      </c>
      <c r="D18" s="48">
        <f ca="1" t="shared" si="2"/>
        <v>0</v>
      </c>
      <c r="E18" s="48">
        <f ca="1" t="shared" si="3"/>
        <v>0</v>
      </c>
      <c r="F18" s="48">
        <f ca="1" t="shared" si="4"/>
        <v>0</v>
      </c>
      <c r="G18" s="48">
        <f ca="1" t="shared" si="5"/>
        <v>0</v>
      </c>
      <c r="H18" s="48">
        <f ca="1" t="shared" si="6"/>
        <v>0</v>
      </c>
      <c r="I18" s="48">
        <f ca="1" t="shared" si="7"/>
        <v>0</v>
      </c>
      <c r="J18" s="48">
        <f ca="1" t="shared" si="8"/>
        <v>0</v>
      </c>
      <c r="O18" s="12">
        <v>64</v>
      </c>
      <c r="P18" s="49">
        <v>2000</v>
      </c>
    </row>
    <row r="19" ht="16.5" spans="2:16">
      <c r="B19" s="23">
        <v>17</v>
      </c>
      <c r="C19" s="48">
        <f ca="1" t="shared" si="1"/>
        <v>0</v>
      </c>
      <c r="D19" s="48">
        <f ca="1" t="shared" si="2"/>
        <v>0</v>
      </c>
      <c r="E19" s="48">
        <f ca="1" t="shared" si="3"/>
        <v>0</v>
      </c>
      <c r="F19" s="48">
        <f ca="1" t="shared" si="4"/>
        <v>0</v>
      </c>
      <c r="G19" s="48">
        <f ca="1" t="shared" si="5"/>
        <v>0</v>
      </c>
      <c r="H19" s="48">
        <f ca="1" t="shared" si="6"/>
        <v>0</v>
      </c>
      <c r="I19" s="48">
        <f ca="1" t="shared" si="7"/>
        <v>0</v>
      </c>
      <c r="J19" s="48">
        <f ca="1" t="shared" si="8"/>
        <v>0</v>
      </c>
      <c r="O19" s="12">
        <v>68</v>
      </c>
      <c r="P19" s="49">
        <v>2000</v>
      </c>
    </row>
    <row r="20" ht="16.5" spans="2:16">
      <c r="B20" s="23">
        <v>18</v>
      </c>
      <c r="C20" s="48">
        <f ca="1" t="shared" si="1"/>
        <v>0</v>
      </c>
      <c r="D20" s="48">
        <f ca="1" t="shared" si="2"/>
        <v>0</v>
      </c>
      <c r="E20" s="48">
        <f ca="1" t="shared" si="3"/>
        <v>0</v>
      </c>
      <c r="F20" s="48">
        <f ca="1" t="shared" si="4"/>
        <v>0</v>
      </c>
      <c r="G20" s="48">
        <f ca="1" t="shared" si="5"/>
        <v>0</v>
      </c>
      <c r="H20" s="48">
        <f ca="1" t="shared" si="6"/>
        <v>0</v>
      </c>
      <c r="I20" s="48">
        <f ca="1" t="shared" si="7"/>
        <v>0</v>
      </c>
      <c r="J20" s="48">
        <f ca="1" t="shared" si="8"/>
        <v>0</v>
      </c>
      <c r="O20" s="12">
        <v>72</v>
      </c>
      <c r="P20" s="49">
        <v>2000</v>
      </c>
    </row>
    <row r="21" ht="16.5" spans="2:16">
      <c r="B21" s="23">
        <v>19</v>
      </c>
      <c r="C21" s="48">
        <f ca="1" t="shared" si="1"/>
        <v>0</v>
      </c>
      <c r="D21" s="48">
        <f ca="1" t="shared" si="2"/>
        <v>0</v>
      </c>
      <c r="E21" s="48">
        <f ca="1" t="shared" si="3"/>
        <v>0</v>
      </c>
      <c r="F21" s="48">
        <f ca="1" t="shared" si="4"/>
        <v>0</v>
      </c>
      <c r="G21" s="48">
        <f ca="1" t="shared" si="5"/>
        <v>0</v>
      </c>
      <c r="H21" s="48">
        <f ca="1" t="shared" si="6"/>
        <v>0</v>
      </c>
      <c r="I21" s="48">
        <f ca="1" t="shared" si="7"/>
        <v>0</v>
      </c>
      <c r="J21" s="48">
        <f ca="1" t="shared" si="8"/>
        <v>0</v>
      </c>
      <c r="O21" s="12">
        <v>76</v>
      </c>
      <c r="P21" s="49">
        <v>2000</v>
      </c>
    </row>
    <row r="22" ht="16.5" spans="2:16">
      <c r="B22" s="23">
        <v>20</v>
      </c>
      <c r="C22" s="48">
        <f ca="1" t="shared" si="1"/>
        <v>0</v>
      </c>
      <c r="D22" s="48">
        <f ca="1" t="shared" si="2"/>
        <v>0</v>
      </c>
      <c r="E22" s="48">
        <f ca="1" t="shared" si="3"/>
        <v>0</v>
      </c>
      <c r="F22" s="48">
        <f ca="1" t="shared" si="4"/>
        <v>0</v>
      </c>
      <c r="G22" s="48">
        <f ca="1" t="shared" si="5"/>
        <v>0</v>
      </c>
      <c r="H22" s="48">
        <f ca="1" t="shared" si="6"/>
        <v>0</v>
      </c>
      <c r="I22" s="48">
        <f ca="1" t="shared" si="7"/>
        <v>0</v>
      </c>
      <c r="J22" s="48">
        <f ca="1" t="shared" si="8"/>
        <v>0</v>
      </c>
      <c r="O22" s="12">
        <v>80</v>
      </c>
      <c r="P22" s="49"/>
    </row>
    <row r="23" ht="16.5" spans="2:16">
      <c r="B23" s="23">
        <v>21</v>
      </c>
      <c r="C23" s="48">
        <f ca="1" t="shared" si="1"/>
        <v>0</v>
      </c>
      <c r="D23" s="48">
        <f ca="1" t="shared" si="2"/>
        <v>0</v>
      </c>
      <c r="E23" s="48">
        <f ca="1" t="shared" si="3"/>
        <v>0</v>
      </c>
      <c r="F23" s="48">
        <f ca="1" t="shared" si="4"/>
        <v>0</v>
      </c>
      <c r="G23" s="48">
        <f ca="1" t="shared" si="5"/>
        <v>0</v>
      </c>
      <c r="H23" s="48">
        <f ca="1" t="shared" si="6"/>
        <v>0</v>
      </c>
      <c r="I23" s="48">
        <f ca="1" t="shared" si="7"/>
        <v>0</v>
      </c>
      <c r="J23" s="48">
        <f ca="1" t="shared" si="8"/>
        <v>0</v>
      </c>
      <c r="O23" s="12">
        <v>84</v>
      </c>
      <c r="P23" s="49">
        <v>2500</v>
      </c>
    </row>
    <row r="24" ht="16.5" spans="2:16">
      <c r="B24" s="23">
        <v>22</v>
      </c>
      <c r="C24" s="48">
        <f ca="1" t="shared" si="1"/>
        <v>0</v>
      </c>
      <c r="D24" s="48">
        <f ca="1" t="shared" si="2"/>
        <v>0</v>
      </c>
      <c r="E24" s="48">
        <f ca="1" t="shared" si="3"/>
        <v>0</v>
      </c>
      <c r="F24" s="48">
        <f ca="1" t="shared" si="4"/>
        <v>0</v>
      </c>
      <c r="G24" s="48">
        <f ca="1" t="shared" si="5"/>
        <v>0</v>
      </c>
      <c r="H24" s="48">
        <f ca="1" t="shared" si="6"/>
        <v>0</v>
      </c>
      <c r="I24" s="48">
        <f ca="1" t="shared" si="7"/>
        <v>0</v>
      </c>
      <c r="J24" s="48">
        <f ca="1" t="shared" si="8"/>
        <v>0</v>
      </c>
      <c r="O24" s="12">
        <v>88</v>
      </c>
      <c r="P24" s="49">
        <v>2500</v>
      </c>
    </row>
    <row r="25" ht="16.5" spans="2:16">
      <c r="B25" s="23">
        <v>23</v>
      </c>
      <c r="C25" s="48">
        <f ca="1" t="shared" si="1"/>
        <v>0</v>
      </c>
      <c r="D25" s="48">
        <f ca="1" t="shared" si="2"/>
        <v>0</v>
      </c>
      <c r="E25" s="48">
        <f ca="1" t="shared" si="3"/>
        <v>0</v>
      </c>
      <c r="F25" s="48">
        <f ca="1" t="shared" si="4"/>
        <v>0</v>
      </c>
      <c r="G25" s="48">
        <f ca="1" t="shared" si="5"/>
        <v>0</v>
      </c>
      <c r="H25" s="48">
        <f ca="1" t="shared" si="6"/>
        <v>0</v>
      </c>
      <c r="I25" s="48">
        <f ca="1" t="shared" si="7"/>
        <v>0</v>
      </c>
      <c r="J25" s="48">
        <f ca="1" t="shared" si="8"/>
        <v>0</v>
      </c>
      <c r="O25" s="12">
        <v>92</v>
      </c>
      <c r="P25" s="49">
        <v>2500</v>
      </c>
    </row>
    <row r="26" ht="16.5" spans="2:16">
      <c r="B26" s="23">
        <v>24</v>
      </c>
      <c r="C26" s="48">
        <f ca="1" t="shared" si="1"/>
        <v>1000</v>
      </c>
      <c r="D26" s="48">
        <f ca="1" t="shared" si="2"/>
        <v>0</v>
      </c>
      <c r="E26" s="48">
        <f ca="1" t="shared" si="3"/>
        <v>0</v>
      </c>
      <c r="F26" s="48">
        <f ca="1" t="shared" si="4"/>
        <v>0</v>
      </c>
      <c r="G26" s="48">
        <f ca="1" t="shared" si="5"/>
        <v>0</v>
      </c>
      <c r="H26" s="48">
        <f ca="1" t="shared" si="6"/>
        <v>0</v>
      </c>
      <c r="I26" s="48">
        <f ca="1" t="shared" si="7"/>
        <v>0</v>
      </c>
      <c r="J26" s="48">
        <f ca="1" t="shared" si="8"/>
        <v>0</v>
      </c>
      <c r="O26" s="12">
        <v>96</v>
      </c>
      <c r="P26" s="49">
        <v>2500</v>
      </c>
    </row>
    <row r="27" ht="16.5" spans="2:16">
      <c r="B27" s="23">
        <v>25</v>
      </c>
      <c r="C27" s="48">
        <f ca="1" t="shared" si="1"/>
        <v>0</v>
      </c>
      <c r="D27" s="48">
        <f ca="1" t="shared" si="2"/>
        <v>0</v>
      </c>
      <c r="E27" s="48">
        <f ca="1" t="shared" si="3"/>
        <v>0</v>
      </c>
      <c r="F27" s="48">
        <f ca="1" t="shared" si="4"/>
        <v>0</v>
      </c>
      <c r="G27" s="48">
        <f ca="1" t="shared" si="5"/>
        <v>0</v>
      </c>
      <c r="H27" s="48">
        <f ca="1" t="shared" si="6"/>
        <v>0</v>
      </c>
      <c r="I27" s="48">
        <f ca="1" t="shared" si="7"/>
        <v>0</v>
      </c>
      <c r="J27" s="48">
        <f ca="1" t="shared" si="8"/>
        <v>0</v>
      </c>
      <c r="O27" s="12">
        <v>100</v>
      </c>
      <c r="P27" s="49"/>
    </row>
    <row r="28" spans="2:16">
      <c r="B28" s="23">
        <v>26</v>
      </c>
      <c r="C28" s="48">
        <f ca="1" t="shared" si="1"/>
        <v>0</v>
      </c>
      <c r="D28" s="48">
        <f ca="1" t="shared" si="2"/>
        <v>0</v>
      </c>
      <c r="E28" s="48">
        <f ca="1" t="shared" si="3"/>
        <v>0</v>
      </c>
      <c r="F28" s="48">
        <f ca="1" t="shared" si="4"/>
        <v>0</v>
      </c>
      <c r="G28" s="48">
        <f ca="1" t="shared" si="5"/>
        <v>0</v>
      </c>
      <c r="H28" s="48">
        <f ca="1" t="shared" si="6"/>
        <v>0</v>
      </c>
      <c r="I28" s="48">
        <f ca="1" t="shared" si="7"/>
        <v>0</v>
      </c>
      <c r="J28" s="48">
        <f ca="1" t="shared" si="8"/>
        <v>0</v>
      </c>
    </row>
    <row r="29" spans="2:16">
      <c r="B29" s="23">
        <v>27</v>
      </c>
      <c r="C29" s="48">
        <f ca="1" t="shared" si="1"/>
        <v>0</v>
      </c>
      <c r="D29" s="48">
        <f ca="1" t="shared" si="2"/>
        <v>0</v>
      </c>
      <c r="E29" s="48">
        <f ca="1" t="shared" si="3"/>
        <v>0</v>
      </c>
      <c r="F29" s="48">
        <f ca="1" t="shared" si="4"/>
        <v>0</v>
      </c>
      <c r="G29" s="48">
        <f ca="1" t="shared" si="5"/>
        <v>0</v>
      </c>
      <c r="H29" s="48">
        <f ca="1" t="shared" si="6"/>
        <v>0</v>
      </c>
      <c r="I29" s="48">
        <f ca="1" t="shared" si="7"/>
        <v>0</v>
      </c>
      <c r="J29" s="48">
        <f ca="1" t="shared" si="8"/>
        <v>0</v>
      </c>
    </row>
    <row r="30" spans="2:16">
      <c r="B30" s="23">
        <v>28</v>
      </c>
      <c r="C30" s="48">
        <f ca="1" t="shared" si="1"/>
        <v>1000</v>
      </c>
      <c r="D30" s="48">
        <f ca="1" t="shared" si="2"/>
        <v>0</v>
      </c>
      <c r="E30" s="48">
        <f ca="1" t="shared" si="3"/>
        <v>0</v>
      </c>
      <c r="F30" s="48">
        <f ca="1" t="shared" si="4"/>
        <v>0</v>
      </c>
      <c r="G30" s="48">
        <f ca="1" t="shared" si="5"/>
        <v>0</v>
      </c>
      <c r="H30" s="48">
        <f ca="1" t="shared" si="6"/>
        <v>0</v>
      </c>
      <c r="I30" s="48">
        <f ca="1" t="shared" si="7"/>
        <v>0</v>
      </c>
      <c r="J30" s="48">
        <f ca="1" t="shared" si="8"/>
        <v>0</v>
      </c>
    </row>
    <row r="31" spans="2:16">
      <c r="B31" s="23">
        <v>29</v>
      </c>
      <c r="C31" s="48">
        <f ca="1" t="shared" si="1"/>
        <v>0</v>
      </c>
      <c r="D31" s="48">
        <f ca="1" t="shared" si="2"/>
        <v>0</v>
      </c>
      <c r="E31" s="48">
        <f ca="1" t="shared" si="3"/>
        <v>0</v>
      </c>
      <c r="F31" s="48">
        <f ca="1" t="shared" si="4"/>
        <v>0</v>
      </c>
      <c r="G31" s="48">
        <f ca="1" t="shared" si="5"/>
        <v>0</v>
      </c>
      <c r="H31" s="48">
        <f ca="1" t="shared" si="6"/>
        <v>0</v>
      </c>
      <c r="I31" s="48">
        <f ca="1" t="shared" si="7"/>
        <v>0</v>
      </c>
      <c r="J31" s="48">
        <f ca="1" t="shared" si="8"/>
        <v>0</v>
      </c>
    </row>
    <row r="32" spans="2:16">
      <c r="B32" s="23">
        <v>30</v>
      </c>
      <c r="C32" s="48">
        <f ca="1" t="shared" si="1"/>
        <v>0</v>
      </c>
      <c r="D32" s="48">
        <f ca="1" t="shared" si="2"/>
        <v>0</v>
      </c>
      <c r="E32" s="48">
        <f ca="1" t="shared" si="3"/>
        <v>0</v>
      </c>
      <c r="F32" s="48">
        <f ca="1" t="shared" si="4"/>
        <v>0</v>
      </c>
      <c r="G32" s="48">
        <f ca="1" t="shared" si="5"/>
        <v>0</v>
      </c>
      <c r="H32" s="48">
        <f ca="1" t="shared" si="6"/>
        <v>0</v>
      </c>
      <c r="I32" s="48">
        <f ca="1" t="shared" si="7"/>
        <v>0</v>
      </c>
      <c r="J32" s="48">
        <f ca="1" t="shared" si="8"/>
        <v>0</v>
      </c>
    </row>
    <row r="33" spans="2:10">
      <c r="B33" s="23">
        <v>31</v>
      </c>
      <c r="C33" s="48">
        <f ca="1" t="shared" si="1"/>
        <v>0</v>
      </c>
      <c r="D33" s="48">
        <f ca="1" t="shared" si="2"/>
        <v>0</v>
      </c>
      <c r="E33" s="48">
        <f ca="1" t="shared" si="3"/>
        <v>0</v>
      </c>
      <c r="F33" s="48">
        <f ca="1" t="shared" si="4"/>
        <v>0</v>
      </c>
      <c r="G33" s="48">
        <f ca="1" t="shared" si="5"/>
        <v>0</v>
      </c>
      <c r="H33" s="48">
        <f ca="1" t="shared" si="6"/>
        <v>0</v>
      </c>
      <c r="I33" s="48">
        <f ca="1" t="shared" si="7"/>
        <v>0</v>
      </c>
      <c r="J33" s="48">
        <f ca="1" t="shared" si="8"/>
        <v>0</v>
      </c>
    </row>
    <row r="34" spans="2:10">
      <c r="B34" s="23">
        <v>32</v>
      </c>
      <c r="C34" s="48">
        <f ca="1" t="shared" si="1"/>
        <v>1000</v>
      </c>
      <c r="D34" s="48">
        <f ca="1" t="shared" si="2"/>
        <v>0</v>
      </c>
      <c r="E34" s="48">
        <f ca="1" t="shared" si="3"/>
        <v>0</v>
      </c>
      <c r="F34" s="48">
        <f ca="1" t="shared" si="4"/>
        <v>0</v>
      </c>
      <c r="G34" s="48">
        <f ca="1" t="shared" si="5"/>
        <v>0</v>
      </c>
      <c r="H34" s="48">
        <f ca="1" t="shared" si="6"/>
        <v>0</v>
      </c>
      <c r="I34" s="48">
        <f ca="1" t="shared" si="7"/>
        <v>0</v>
      </c>
      <c r="J34" s="48">
        <f ca="1" t="shared" si="8"/>
        <v>0</v>
      </c>
    </row>
    <row r="35" spans="2:10">
      <c r="B35" s="23">
        <v>33</v>
      </c>
      <c r="C35" s="48">
        <f ca="1" t="shared" si="1"/>
        <v>0</v>
      </c>
      <c r="D35" s="48">
        <f ca="1" t="shared" si="2"/>
        <v>0</v>
      </c>
      <c r="E35" s="48">
        <f ca="1" t="shared" si="3"/>
        <v>0</v>
      </c>
      <c r="F35" s="48">
        <f ca="1" t="shared" si="4"/>
        <v>0</v>
      </c>
      <c r="G35" s="48">
        <f ca="1" t="shared" si="5"/>
        <v>0</v>
      </c>
      <c r="H35" s="48">
        <f ca="1" t="shared" si="6"/>
        <v>0</v>
      </c>
      <c r="I35" s="48">
        <f ca="1" t="shared" si="7"/>
        <v>0</v>
      </c>
      <c r="J35" s="48">
        <f ca="1" t="shared" si="8"/>
        <v>0</v>
      </c>
    </row>
    <row r="36" spans="2:10">
      <c r="B36" s="23">
        <v>34</v>
      </c>
      <c r="C36" s="48">
        <f ca="1" t="shared" si="1"/>
        <v>0</v>
      </c>
      <c r="D36" s="48">
        <f ca="1" t="shared" si="2"/>
        <v>0</v>
      </c>
      <c r="E36" s="48">
        <f ca="1" t="shared" si="3"/>
        <v>0</v>
      </c>
      <c r="F36" s="48">
        <f ca="1" t="shared" si="4"/>
        <v>0</v>
      </c>
      <c r="G36" s="48">
        <f ca="1" t="shared" si="5"/>
        <v>0</v>
      </c>
      <c r="H36" s="48">
        <f ca="1" t="shared" si="6"/>
        <v>0</v>
      </c>
      <c r="I36" s="48">
        <f ca="1" t="shared" si="7"/>
        <v>0</v>
      </c>
      <c r="J36" s="48">
        <f ca="1" t="shared" si="8"/>
        <v>0</v>
      </c>
    </row>
    <row r="37" spans="2:10">
      <c r="B37" s="23">
        <v>35</v>
      </c>
      <c r="C37" s="48">
        <f ca="1" t="shared" si="1"/>
        <v>0</v>
      </c>
      <c r="D37" s="48">
        <f ca="1" t="shared" si="2"/>
        <v>0</v>
      </c>
      <c r="E37" s="48">
        <f ca="1" t="shared" si="3"/>
        <v>0</v>
      </c>
      <c r="F37" s="48">
        <f ca="1" t="shared" si="4"/>
        <v>0</v>
      </c>
      <c r="G37" s="48">
        <f ca="1" t="shared" si="5"/>
        <v>0</v>
      </c>
      <c r="H37" s="48">
        <f ca="1" t="shared" si="6"/>
        <v>0</v>
      </c>
      <c r="I37" s="48">
        <f ca="1" t="shared" si="7"/>
        <v>0</v>
      </c>
      <c r="J37" s="48">
        <f ca="1" t="shared" si="8"/>
        <v>0</v>
      </c>
    </row>
    <row r="38" spans="2:10">
      <c r="B38" s="23">
        <v>36</v>
      </c>
      <c r="C38" s="48">
        <f ca="1" t="shared" si="1"/>
        <v>1000</v>
      </c>
      <c r="D38" s="48">
        <f ca="1" t="shared" si="2"/>
        <v>0</v>
      </c>
      <c r="E38" s="48">
        <f ca="1" t="shared" si="3"/>
        <v>0</v>
      </c>
      <c r="F38" s="48">
        <f ca="1" t="shared" si="4"/>
        <v>0</v>
      </c>
      <c r="G38" s="48">
        <f ca="1" t="shared" si="5"/>
        <v>0</v>
      </c>
      <c r="H38" s="48">
        <f ca="1" t="shared" si="6"/>
        <v>0</v>
      </c>
      <c r="I38" s="48">
        <f ca="1" t="shared" si="7"/>
        <v>0</v>
      </c>
      <c r="J38" s="48">
        <f ca="1" t="shared" si="8"/>
        <v>0</v>
      </c>
    </row>
    <row r="39" spans="2:10">
      <c r="B39" s="23">
        <v>37</v>
      </c>
      <c r="C39" s="48">
        <f ca="1" t="shared" si="1"/>
        <v>0</v>
      </c>
      <c r="D39" s="48">
        <f ca="1" t="shared" si="2"/>
        <v>0</v>
      </c>
      <c r="E39" s="48">
        <f ca="1" t="shared" si="3"/>
        <v>0</v>
      </c>
      <c r="F39" s="48">
        <f ca="1" t="shared" si="4"/>
        <v>0</v>
      </c>
      <c r="G39" s="48">
        <f ca="1" t="shared" si="5"/>
        <v>0</v>
      </c>
      <c r="H39" s="48">
        <f ca="1" t="shared" si="6"/>
        <v>0</v>
      </c>
      <c r="I39" s="48">
        <f ca="1" t="shared" si="7"/>
        <v>0</v>
      </c>
      <c r="J39" s="48">
        <f ca="1" t="shared" si="8"/>
        <v>0</v>
      </c>
    </row>
    <row r="40" spans="2:10">
      <c r="B40" s="23">
        <v>38</v>
      </c>
      <c r="C40" s="48">
        <f ca="1" t="shared" si="1"/>
        <v>0</v>
      </c>
      <c r="D40" s="48">
        <f ca="1" t="shared" si="2"/>
        <v>0</v>
      </c>
      <c r="E40" s="48">
        <f ca="1" t="shared" si="3"/>
        <v>0</v>
      </c>
      <c r="F40" s="48">
        <f ca="1" t="shared" si="4"/>
        <v>0</v>
      </c>
      <c r="G40" s="48">
        <f ca="1" t="shared" si="5"/>
        <v>0</v>
      </c>
      <c r="H40" s="48">
        <f ca="1" t="shared" si="6"/>
        <v>0</v>
      </c>
      <c r="I40" s="48">
        <f ca="1" t="shared" si="7"/>
        <v>0</v>
      </c>
      <c r="J40" s="48">
        <f ca="1" t="shared" si="8"/>
        <v>0</v>
      </c>
    </row>
    <row r="41" spans="2:10">
      <c r="B41" s="23">
        <v>39</v>
      </c>
      <c r="C41" s="48">
        <f ca="1" t="shared" si="1"/>
        <v>0</v>
      </c>
      <c r="D41" s="48">
        <f ca="1" t="shared" si="2"/>
        <v>0</v>
      </c>
      <c r="E41" s="48">
        <f ca="1" t="shared" si="3"/>
        <v>0</v>
      </c>
      <c r="F41" s="48">
        <f ca="1" t="shared" si="4"/>
        <v>0</v>
      </c>
      <c r="G41" s="48">
        <f ca="1" t="shared" si="5"/>
        <v>0</v>
      </c>
      <c r="H41" s="48">
        <f ca="1" t="shared" si="6"/>
        <v>0</v>
      </c>
      <c r="I41" s="48">
        <f ca="1" t="shared" si="7"/>
        <v>0</v>
      </c>
      <c r="J41" s="48">
        <f ca="1" t="shared" si="8"/>
        <v>0</v>
      </c>
    </row>
    <row r="42" spans="2:10">
      <c r="B42" s="23">
        <v>40</v>
      </c>
      <c r="C42" s="48">
        <f ca="1" t="shared" si="1"/>
        <v>0</v>
      </c>
      <c r="D42" s="48">
        <f ca="1" t="shared" si="2"/>
        <v>0</v>
      </c>
      <c r="E42" s="48">
        <f ca="1" t="shared" si="3"/>
        <v>0</v>
      </c>
      <c r="F42" s="48">
        <f ca="1" t="shared" si="4"/>
        <v>0</v>
      </c>
      <c r="G42" s="48">
        <f ca="1" t="shared" si="5"/>
        <v>0</v>
      </c>
      <c r="H42" s="48">
        <f ca="1" t="shared" si="6"/>
        <v>0</v>
      </c>
      <c r="I42" s="48">
        <f ca="1" t="shared" si="7"/>
        <v>0</v>
      </c>
      <c r="J42" s="48">
        <f ca="1" t="shared" si="8"/>
        <v>0</v>
      </c>
    </row>
    <row r="43" spans="2:10">
      <c r="B43" s="23">
        <v>41</v>
      </c>
      <c r="C43" s="48">
        <f ca="1" t="shared" si="1"/>
        <v>0</v>
      </c>
      <c r="D43" s="48">
        <f ca="1" t="shared" si="2"/>
        <v>0</v>
      </c>
      <c r="E43" s="48">
        <f ca="1" t="shared" si="3"/>
        <v>0</v>
      </c>
      <c r="F43" s="48">
        <f ca="1" t="shared" si="4"/>
        <v>0</v>
      </c>
      <c r="G43" s="48">
        <f ca="1" t="shared" si="5"/>
        <v>0</v>
      </c>
      <c r="H43" s="48">
        <f ca="1" t="shared" si="6"/>
        <v>0</v>
      </c>
      <c r="I43" s="48">
        <f ca="1" t="shared" si="7"/>
        <v>0</v>
      </c>
      <c r="J43" s="48">
        <f ca="1" t="shared" si="8"/>
        <v>0</v>
      </c>
    </row>
    <row r="44" spans="2:10">
      <c r="B44" s="23">
        <v>42</v>
      </c>
      <c r="C44" s="48">
        <f ca="1" t="shared" si="1"/>
        <v>0</v>
      </c>
      <c r="D44" s="48">
        <f ca="1" t="shared" si="2"/>
        <v>0</v>
      </c>
      <c r="E44" s="48">
        <f ca="1" t="shared" si="3"/>
        <v>0</v>
      </c>
      <c r="F44" s="48">
        <f ca="1" t="shared" si="4"/>
        <v>0</v>
      </c>
      <c r="G44" s="48">
        <f ca="1" t="shared" si="5"/>
        <v>0</v>
      </c>
      <c r="H44" s="48">
        <f ca="1" t="shared" si="6"/>
        <v>0</v>
      </c>
      <c r="I44" s="48">
        <f ca="1" t="shared" si="7"/>
        <v>0</v>
      </c>
      <c r="J44" s="48">
        <f ca="1" t="shared" si="8"/>
        <v>0</v>
      </c>
    </row>
    <row r="45" spans="2:10">
      <c r="B45" s="23">
        <v>43</v>
      </c>
      <c r="C45" s="48">
        <f ca="1" t="shared" si="1"/>
        <v>0</v>
      </c>
      <c r="D45" s="48">
        <f ca="1" t="shared" si="2"/>
        <v>0</v>
      </c>
      <c r="E45" s="48">
        <f ca="1" t="shared" si="3"/>
        <v>0</v>
      </c>
      <c r="F45" s="48">
        <f ca="1" t="shared" si="4"/>
        <v>0</v>
      </c>
      <c r="G45" s="48">
        <f ca="1" t="shared" si="5"/>
        <v>0</v>
      </c>
      <c r="H45" s="48">
        <f ca="1" t="shared" si="6"/>
        <v>0</v>
      </c>
      <c r="I45" s="48">
        <f ca="1" t="shared" si="7"/>
        <v>0</v>
      </c>
      <c r="J45" s="48">
        <f ca="1" t="shared" si="8"/>
        <v>0</v>
      </c>
    </row>
    <row r="46" spans="2:10">
      <c r="B46" s="23">
        <v>44</v>
      </c>
      <c r="C46" s="48">
        <f ca="1" t="shared" si="1"/>
        <v>1500</v>
      </c>
      <c r="D46" s="48">
        <f ca="1" t="shared" si="2"/>
        <v>0</v>
      </c>
      <c r="E46" s="48">
        <f ca="1" t="shared" si="3"/>
        <v>0</v>
      </c>
      <c r="F46" s="48">
        <f ca="1" t="shared" si="4"/>
        <v>0</v>
      </c>
      <c r="G46" s="48">
        <f ca="1" t="shared" si="5"/>
        <v>0</v>
      </c>
      <c r="H46" s="48">
        <f ca="1" t="shared" si="6"/>
        <v>0</v>
      </c>
      <c r="I46" s="48">
        <f ca="1" t="shared" si="7"/>
        <v>0</v>
      </c>
      <c r="J46" s="48">
        <f ca="1" t="shared" si="8"/>
        <v>0</v>
      </c>
    </row>
    <row r="47" spans="2:10">
      <c r="B47" s="23">
        <v>45</v>
      </c>
      <c r="C47" s="48">
        <f ca="1" t="shared" si="1"/>
        <v>0</v>
      </c>
      <c r="D47" s="48">
        <f ca="1" t="shared" si="2"/>
        <v>0</v>
      </c>
      <c r="E47" s="48">
        <f ca="1" t="shared" si="3"/>
        <v>0</v>
      </c>
      <c r="F47" s="48">
        <f ca="1" t="shared" si="4"/>
        <v>0</v>
      </c>
      <c r="G47" s="48">
        <f ca="1" t="shared" si="5"/>
        <v>0</v>
      </c>
      <c r="H47" s="48">
        <f ca="1" t="shared" si="6"/>
        <v>0</v>
      </c>
      <c r="I47" s="48">
        <f ca="1" t="shared" si="7"/>
        <v>0</v>
      </c>
      <c r="J47" s="48">
        <f ca="1" t="shared" si="8"/>
        <v>0</v>
      </c>
    </row>
    <row r="48" spans="2:10">
      <c r="B48" s="23">
        <v>46</v>
      </c>
      <c r="C48" s="48">
        <f ca="1" t="shared" si="1"/>
        <v>0</v>
      </c>
      <c r="D48" s="48">
        <f ca="1" t="shared" si="2"/>
        <v>0</v>
      </c>
      <c r="E48" s="48">
        <f ca="1" t="shared" si="3"/>
        <v>0</v>
      </c>
      <c r="F48" s="48">
        <f ca="1" t="shared" si="4"/>
        <v>0</v>
      </c>
      <c r="G48" s="48">
        <f ca="1" t="shared" si="5"/>
        <v>0</v>
      </c>
      <c r="H48" s="48">
        <f ca="1" t="shared" si="6"/>
        <v>0</v>
      </c>
      <c r="I48" s="48">
        <f ca="1" t="shared" si="7"/>
        <v>0</v>
      </c>
      <c r="J48" s="48">
        <f ca="1" t="shared" si="8"/>
        <v>0</v>
      </c>
    </row>
    <row r="49" spans="2:10">
      <c r="B49" s="23">
        <v>47</v>
      </c>
      <c r="C49" s="48">
        <f ca="1" t="shared" si="1"/>
        <v>0</v>
      </c>
      <c r="D49" s="48">
        <f ca="1" t="shared" si="2"/>
        <v>0</v>
      </c>
      <c r="E49" s="48">
        <f ca="1" t="shared" si="3"/>
        <v>0</v>
      </c>
      <c r="F49" s="48">
        <f ca="1" t="shared" si="4"/>
        <v>0</v>
      </c>
      <c r="G49" s="48">
        <f ca="1" t="shared" si="5"/>
        <v>0</v>
      </c>
      <c r="H49" s="48">
        <f ca="1" t="shared" si="6"/>
        <v>0</v>
      </c>
      <c r="I49" s="48">
        <f ca="1" t="shared" si="7"/>
        <v>0</v>
      </c>
      <c r="J49" s="48">
        <f ca="1" t="shared" si="8"/>
        <v>0</v>
      </c>
    </row>
    <row r="50" spans="2:10">
      <c r="B50" s="23">
        <v>48</v>
      </c>
      <c r="C50" s="48">
        <f ca="1" t="shared" si="1"/>
        <v>1500</v>
      </c>
      <c r="D50" s="48">
        <f ca="1" t="shared" si="2"/>
        <v>0</v>
      </c>
      <c r="E50" s="48">
        <f ca="1" t="shared" si="3"/>
        <v>0</v>
      </c>
      <c r="F50" s="48">
        <f ca="1" t="shared" si="4"/>
        <v>0</v>
      </c>
      <c r="G50" s="48">
        <f ca="1" t="shared" si="5"/>
        <v>0</v>
      </c>
      <c r="H50" s="48">
        <f ca="1" t="shared" si="6"/>
        <v>0</v>
      </c>
      <c r="I50" s="48">
        <f ca="1" t="shared" si="7"/>
        <v>0</v>
      </c>
      <c r="J50" s="48">
        <f ca="1" t="shared" si="8"/>
        <v>0</v>
      </c>
    </row>
    <row r="51" spans="2:10">
      <c r="B51" s="23">
        <v>49</v>
      </c>
      <c r="C51" s="48">
        <f ca="1" t="shared" si="1"/>
        <v>0</v>
      </c>
      <c r="D51" s="48">
        <f ca="1" t="shared" si="2"/>
        <v>0</v>
      </c>
      <c r="E51" s="48">
        <f ca="1" t="shared" si="3"/>
        <v>0</v>
      </c>
      <c r="F51" s="48">
        <f ca="1" t="shared" si="4"/>
        <v>0</v>
      </c>
      <c r="G51" s="48">
        <f ca="1" t="shared" si="5"/>
        <v>0</v>
      </c>
      <c r="H51" s="48">
        <f ca="1" t="shared" si="6"/>
        <v>0</v>
      </c>
      <c r="I51" s="48">
        <f ca="1" t="shared" si="7"/>
        <v>0</v>
      </c>
      <c r="J51" s="48">
        <f ca="1" t="shared" si="8"/>
        <v>0</v>
      </c>
    </row>
    <row r="52" spans="2:10">
      <c r="B52" s="23">
        <v>50</v>
      </c>
      <c r="C52" s="48">
        <f ca="1" t="shared" si="1"/>
        <v>0</v>
      </c>
      <c r="D52" s="48">
        <f ca="1" t="shared" si="2"/>
        <v>0</v>
      </c>
      <c r="E52" s="48">
        <f ca="1" t="shared" si="3"/>
        <v>0</v>
      </c>
      <c r="F52" s="48">
        <f ca="1" t="shared" si="4"/>
        <v>0</v>
      </c>
      <c r="G52" s="48">
        <f ca="1" t="shared" si="5"/>
        <v>0</v>
      </c>
      <c r="H52" s="48">
        <f ca="1" t="shared" si="6"/>
        <v>0</v>
      </c>
      <c r="I52" s="48">
        <f ca="1" t="shared" si="7"/>
        <v>0</v>
      </c>
      <c r="J52" s="48">
        <f ca="1" t="shared" si="8"/>
        <v>0</v>
      </c>
    </row>
    <row r="53" spans="2:10">
      <c r="B53" s="23">
        <v>51</v>
      </c>
      <c r="C53" s="48">
        <f ca="1" t="shared" si="1"/>
        <v>0</v>
      </c>
      <c r="D53" s="48">
        <f ca="1" t="shared" si="2"/>
        <v>0</v>
      </c>
      <c r="E53" s="48">
        <f ca="1" t="shared" si="3"/>
        <v>0</v>
      </c>
      <c r="F53" s="48">
        <f ca="1" t="shared" si="4"/>
        <v>0</v>
      </c>
      <c r="G53" s="48">
        <f ca="1" t="shared" si="5"/>
        <v>0</v>
      </c>
      <c r="H53" s="48">
        <f ca="1" t="shared" si="6"/>
        <v>0</v>
      </c>
      <c r="I53" s="48">
        <f ca="1" t="shared" si="7"/>
        <v>0</v>
      </c>
      <c r="J53" s="48">
        <f ca="1" t="shared" si="8"/>
        <v>0</v>
      </c>
    </row>
    <row r="54" spans="2:10">
      <c r="B54" s="23">
        <v>52</v>
      </c>
      <c r="C54" s="48">
        <f ca="1" t="shared" si="1"/>
        <v>1500</v>
      </c>
      <c r="D54" s="48">
        <f ca="1" t="shared" si="2"/>
        <v>0</v>
      </c>
      <c r="E54" s="48">
        <f ca="1" t="shared" si="3"/>
        <v>0</v>
      </c>
      <c r="F54" s="48">
        <f ca="1" t="shared" si="4"/>
        <v>0</v>
      </c>
      <c r="G54" s="48">
        <f ca="1" t="shared" si="5"/>
        <v>0</v>
      </c>
      <c r="H54" s="48">
        <f ca="1" t="shared" si="6"/>
        <v>0</v>
      </c>
      <c r="I54" s="48">
        <f ca="1" t="shared" si="7"/>
        <v>0</v>
      </c>
      <c r="J54" s="48">
        <f ca="1" t="shared" si="8"/>
        <v>0</v>
      </c>
    </row>
    <row r="55" spans="2:10">
      <c r="B55" s="23">
        <v>53</v>
      </c>
      <c r="C55" s="48">
        <f ca="1" t="shared" si="1"/>
        <v>0</v>
      </c>
      <c r="D55" s="48">
        <f ca="1" t="shared" si="2"/>
        <v>0</v>
      </c>
      <c r="E55" s="48">
        <f ca="1" t="shared" si="3"/>
        <v>0</v>
      </c>
      <c r="F55" s="48">
        <f ca="1" t="shared" si="4"/>
        <v>0</v>
      </c>
      <c r="G55" s="48">
        <f ca="1" t="shared" si="5"/>
        <v>0</v>
      </c>
      <c r="H55" s="48">
        <f ca="1" t="shared" si="6"/>
        <v>0</v>
      </c>
      <c r="I55" s="48">
        <f ca="1" t="shared" si="7"/>
        <v>0</v>
      </c>
      <c r="J55" s="48">
        <f ca="1" t="shared" si="8"/>
        <v>0</v>
      </c>
    </row>
    <row r="56" spans="2:10">
      <c r="B56" s="23">
        <v>54</v>
      </c>
      <c r="C56" s="48">
        <f ca="1" t="shared" si="1"/>
        <v>0</v>
      </c>
      <c r="D56" s="48">
        <f ca="1" t="shared" si="2"/>
        <v>0</v>
      </c>
      <c r="E56" s="48">
        <f ca="1" t="shared" si="3"/>
        <v>0</v>
      </c>
      <c r="F56" s="48">
        <f ca="1" t="shared" si="4"/>
        <v>0</v>
      </c>
      <c r="G56" s="48">
        <f ca="1" t="shared" si="5"/>
        <v>0</v>
      </c>
      <c r="H56" s="48">
        <f ca="1" t="shared" si="6"/>
        <v>0</v>
      </c>
      <c r="I56" s="48">
        <f ca="1" t="shared" si="7"/>
        <v>0</v>
      </c>
      <c r="J56" s="48">
        <f ca="1" t="shared" si="8"/>
        <v>0</v>
      </c>
    </row>
    <row r="57" spans="2:10">
      <c r="B57" s="23">
        <v>55</v>
      </c>
      <c r="C57" s="48">
        <f ca="1" t="shared" si="1"/>
        <v>0</v>
      </c>
      <c r="D57" s="48">
        <f ca="1" t="shared" si="2"/>
        <v>0</v>
      </c>
      <c r="E57" s="48">
        <f ca="1" t="shared" si="3"/>
        <v>0</v>
      </c>
      <c r="F57" s="48">
        <f ca="1" t="shared" si="4"/>
        <v>0</v>
      </c>
      <c r="G57" s="48">
        <f ca="1" t="shared" si="5"/>
        <v>0</v>
      </c>
      <c r="H57" s="48">
        <f ca="1" t="shared" si="6"/>
        <v>0</v>
      </c>
      <c r="I57" s="48">
        <f ca="1" t="shared" si="7"/>
        <v>0</v>
      </c>
      <c r="J57" s="48">
        <f ca="1" t="shared" si="8"/>
        <v>0</v>
      </c>
    </row>
    <row r="58" spans="2:10">
      <c r="B58" s="23">
        <v>56</v>
      </c>
      <c r="C58" s="48">
        <f ca="1" t="shared" si="1"/>
        <v>1500</v>
      </c>
      <c r="D58" s="48">
        <f ca="1" t="shared" si="2"/>
        <v>0</v>
      </c>
      <c r="E58" s="48">
        <f ca="1" t="shared" si="3"/>
        <v>0</v>
      </c>
      <c r="F58" s="48">
        <f ca="1" t="shared" si="4"/>
        <v>0</v>
      </c>
      <c r="G58" s="48">
        <f ca="1" t="shared" si="5"/>
        <v>0</v>
      </c>
      <c r="H58" s="48">
        <f ca="1" t="shared" si="6"/>
        <v>0</v>
      </c>
      <c r="I58" s="48">
        <f ca="1" t="shared" si="7"/>
        <v>0</v>
      </c>
      <c r="J58" s="48">
        <f ca="1" t="shared" si="8"/>
        <v>0</v>
      </c>
    </row>
    <row r="59" spans="2:10">
      <c r="B59" s="23">
        <v>57</v>
      </c>
      <c r="C59" s="48">
        <f ca="1" t="shared" si="1"/>
        <v>0</v>
      </c>
      <c r="D59" s="48">
        <f ca="1" t="shared" si="2"/>
        <v>0</v>
      </c>
      <c r="E59" s="48">
        <f ca="1" t="shared" si="3"/>
        <v>0</v>
      </c>
      <c r="F59" s="48">
        <f ca="1" t="shared" si="4"/>
        <v>0</v>
      </c>
      <c r="G59" s="48">
        <f ca="1" t="shared" si="5"/>
        <v>0</v>
      </c>
      <c r="H59" s="48">
        <f ca="1" t="shared" si="6"/>
        <v>0</v>
      </c>
      <c r="I59" s="48">
        <f ca="1" t="shared" si="7"/>
        <v>0</v>
      </c>
      <c r="J59" s="48">
        <f ca="1" t="shared" si="8"/>
        <v>0</v>
      </c>
    </row>
    <row r="60" spans="2:10">
      <c r="B60" s="23">
        <v>58</v>
      </c>
      <c r="C60" s="48">
        <f ca="1" t="shared" si="1"/>
        <v>0</v>
      </c>
      <c r="D60" s="48">
        <f ca="1" t="shared" si="2"/>
        <v>0</v>
      </c>
      <c r="E60" s="48">
        <f ca="1" t="shared" si="3"/>
        <v>0</v>
      </c>
      <c r="F60" s="48">
        <f ca="1" t="shared" si="4"/>
        <v>0</v>
      </c>
      <c r="G60" s="48">
        <f ca="1" t="shared" si="5"/>
        <v>0</v>
      </c>
      <c r="H60" s="48">
        <f ca="1" t="shared" si="6"/>
        <v>0</v>
      </c>
      <c r="I60" s="48">
        <f ca="1" t="shared" si="7"/>
        <v>0</v>
      </c>
      <c r="J60" s="48">
        <f ca="1" t="shared" si="8"/>
        <v>0</v>
      </c>
    </row>
    <row r="61" spans="2:10">
      <c r="B61" s="23">
        <v>59</v>
      </c>
      <c r="C61" s="48">
        <f ca="1" t="shared" si="1"/>
        <v>0</v>
      </c>
      <c r="D61" s="48">
        <f ca="1" t="shared" si="2"/>
        <v>0</v>
      </c>
      <c r="E61" s="48">
        <f ca="1" t="shared" si="3"/>
        <v>0</v>
      </c>
      <c r="F61" s="48">
        <f ca="1" t="shared" si="4"/>
        <v>0</v>
      </c>
      <c r="G61" s="48">
        <f ca="1" t="shared" si="5"/>
        <v>0</v>
      </c>
      <c r="H61" s="48">
        <f ca="1" t="shared" si="6"/>
        <v>0</v>
      </c>
      <c r="I61" s="48">
        <f ca="1" t="shared" si="7"/>
        <v>0</v>
      </c>
      <c r="J61" s="48">
        <f ca="1" t="shared" si="8"/>
        <v>0</v>
      </c>
    </row>
    <row r="62" spans="2:10">
      <c r="B62" s="23">
        <v>60</v>
      </c>
      <c r="C62" s="48">
        <f ca="1" t="shared" si="1"/>
        <v>0</v>
      </c>
      <c r="D62" s="48">
        <f ca="1" t="shared" si="2"/>
        <v>0</v>
      </c>
      <c r="E62" s="48">
        <f ca="1" t="shared" si="3"/>
        <v>0</v>
      </c>
      <c r="F62" s="48">
        <f ca="1" t="shared" si="4"/>
        <v>0</v>
      </c>
      <c r="G62" s="48">
        <f ca="1" t="shared" si="5"/>
        <v>0</v>
      </c>
      <c r="H62" s="48">
        <f ca="1" t="shared" si="6"/>
        <v>0</v>
      </c>
      <c r="I62" s="48">
        <f ca="1" t="shared" si="7"/>
        <v>0</v>
      </c>
      <c r="J62" s="48">
        <f ca="1" t="shared" si="8"/>
        <v>0</v>
      </c>
    </row>
    <row r="63" spans="2:10">
      <c r="B63" s="23">
        <v>61</v>
      </c>
      <c r="C63" s="48">
        <f ca="1" t="shared" si="1"/>
        <v>0</v>
      </c>
      <c r="D63" s="48">
        <f ca="1" t="shared" si="2"/>
        <v>0</v>
      </c>
      <c r="E63" s="48">
        <f ca="1" t="shared" si="3"/>
        <v>0</v>
      </c>
      <c r="F63" s="48">
        <f ca="1" t="shared" si="4"/>
        <v>0</v>
      </c>
      <c r="G63" s="48">
        <f ca="1" t="shared" si="5"/>
        <v>0</v>
      </c>
      <c r="H63" s="48">
        <f ca="1" t="shared" si="6"/>
        <v>0</v>
      </c>
      <c r="I63" s="48">
        <f ca="1" t="shared" si="7"/>
        <v>0</v>
      </c>
      <c r="J63" s="48">
        <f ca="1" t="shared" si="8"/>
        <v>0</v>
      </c>
    </row>
    <row r="64" spans="2:10">
      <c r="B64" s="23">
        <v>62</v>
      </c>
      <c r="C64" s="48">
        <f ca="1" t="shared" si="1"/>
        <v>0</v>
      </c>
      <c r="D64" s="48">
        <f ca="1" t="shared" si="2"/>
        <v>0</v>
      </c>
      <c r="E64" s="48">
        <f ca="1" t="shared" si="3"/>
        <v>0</v>
      </c>
      <c r="F64" s="48">
        <f ca="1" t="shared" si="4"/>
        <v>0</v>
      </c>
      <c r="G64" s="48">
        <f ca="1" t="shared" si="5"/>
        <v>0</v>
      </c>
      <c r="H64" s="48">
        <f ca="1" t="shared" si="6"/>
        <v>0</v>
      </c>
      <c r="I64" s="48">
        <f ca="1" t="shared" si="7"/>
        <v>0</v>
      </c>
      <c r="J64" s="48">
        <f ca="1" t="shared" si="8"/>
        <v>0</v>
      </c>
    </row>
    <row r="65" spans="2:10">
      <c r="B65" s="23">
        <v>63</v>
      </c>
      <c r="C65" s="48">
        <f ca="1" t="shared" si="1"/>
        <v>0</v>
      </c>
      <c r="D65" s="48">
        <f ca="1" t="shared" si="2"/>
        <v>0</v>
      </c>
      <c r="E65" s="48">
        <f ca="1" t="shared" si="3"/>
        <v>0</v>
      </c>
      <c r="F65" s="48">
        <f ca="1" t="shared" si="4"/>
        <v>0</v>
      </c>
      <c r="G65" s="48">
        <f ca="1" t="shared" si="5"/>
        <v>0</v>
      </c>
      <c r="H65" s="48">
        <f ca="1" t="shared" si="6"/>
        <v>0</v>
      </c>
      <c r="I65" s="48">
        <f ca="1" t="shared" si="7"/>
        <v>0</v>
      </c>
      <c r="J65" s="48">
        <f ca="1" t="shared" si="8"/>
        <v>0</v>
      </c>
    </row>
    <row r="66" spans="2:10">
      <c r="B66" s="23">
        <v>64</v>
      </c>
      <c r="C66" s="48">
        <f ca="1" t="shared" si="1"/>
        <v>2000</v>
      </c>
      <c r="D66" s="48">
        <f ca="1" t="shared" si="2"/>
        <v>0</v>
      </c>
      <c r="E66" s="48">
        <f ca="1" t="shared" si="3"/>
        <v>0</v>
      </c>
      <c r="F66" s="48">
        <f ca="1" t="shared" si="4"/>
        <v>0</v>
      </c>
      <c r="G66" s="48">
        <f ca="1" t="shared" si="5"/>
        <v>0</v>
      </c>
      <c r="H66" s="48">
        <f ca="1" t="shared" si="6"/>
        <v>0</v>
      </c>
      <c r="I66" s="48">
        <f ca="1" t="shared" si="7"/>
        <v>0</v>
      </c>
      <c r="J66" s="48">
        <f ca="1" t="shared" si="8"/>
        <v>0</v>
      </c>
    </row>
    <row r="67" spans="2:10">
      <c r="B67" s="23">
        <v>65</v>
      </c>
      <c r="C67" s="48">
        <f ca="1" t="shared" si="1"/>
        <v>0</v>
      </c>
      <c r="D67" s="48">
        <f ca="1" t="shared" si="2"/>
        <v>0</v>
      </c>
      <c r="E67" s="48">
        <f ca="1" t="shared" si="3"/>
        <v>0</v>
      </c>
      <c r="F67" s="48">
        <f ca="1" t="shared" si="4"/>
        <v>0</v>
      </c>
      <c r="G67" s="48">
        <f ca="1" t="shared" si="5"/>
        <v>0</v>
      </c>
      <c r="H67" s="48">
        <f ca="1" t="shared" si="6"/>
        <v>0</v>
      </c>
      <c r="I67" s="48">
        <f ca="1" t="shared" si="7"/>
        <v>0</v>
      </c>
      <c r="J67" s="48">
        <f ca="1" t="shared" si="8"/>
        <v>0</v>
      </c>
    </row>
    <row r="68" spans="2:10">
      <c r="B68" s="23">
        <v>66</v>
      </c>
      <c r="C68" s="48">
        <f ca="1" t="shared" ref="C68:C131" si="9">IFERROR(_xlfn.XLOOKUP(B68,$O$2:$O$27,$P$2:$P$27),0)+OFFSET($R$2,MIN(8,$B68),MATCH(C$2,$S$2:$AB$2,0))</f>
        <v>0</v>
      </c>
      <c r="D68" s="48">
        <f ca="1" t="shared" ref="D68:D131" si="10">IFERROR(_xlfn.XLOOKUP(C68,$O$2:$O$27,$P$2:$P$27),0)+OFFSET($R$2,MIN(8,$B68),MATCH(D$2,$S$2:$AB$2,0))</f>
        <v>0</v>
      </c>
      <c r="E68" s="48">
        <f ca="1" t="shared" ref="E68:E131" si="11">IFERROR(_xlfn.XLOOKUP(D68,$O$2:$O$27,$P$2:$P$27),0)+OFFSET($R$2,MIN(8,$B68),MATCH(E$2,$S$2:$AB$2,0))+IFERROR(_xlfn.XLOOKUP(B68,$L$3:$L$9,$M$3:$M$9),0)</f>
        <v>0</v>
      </c>
      <c r="F68" s="48">
        <f ca="1" t="shared" ref="F68:F131" si="12">IFERROR(_xlfn.XLOOKUP(E68,$O$2:$O$27,$P$2:$P$27),0)+OFFSET($R$2,MIN(8,$B68),MATCH(F$2,$S$2:$AB$2,0))</f>
        <v>0</v>
      </c>
      <c r="G68" s="48">
        <f ca="1" t="shared" ref="G68:G131" si="13">IFERROR(_xlfn.XLOOKUP(F68,$O$2:$O$27,$P$2:$P$27),0)+OFFSET($R$2,MIN(8,$B68),MATCH(G$2,$S$2:$AB$2,0))</f>
        <v>0</v>
      </c>
      <c r="H68" s="48">
        <f ca="1" t="shared" ref="H68:H131" si="14">IFERROR(_xlfn.XLOOKUP(G68,$O$2:$O$27,$P$2:$P$27),0)+OFFSET($R$2,MIN(8,$B68),MATCH(H$2,$S$2:$AB$2,0))</f>
        <v>0</v>
      </c>
      <c r="I68" s="48">
        <f ca="1" t="shared" ref="I68:I131" si="15">IFERROR(_xlfn.XLOOKUP(H68,$O$2:$O$27,$P$2:$P$27),0)+OFFSET($R$2,MIN(8,$B68),MATCH(I$2,$S$2:$AB$2,0))</f>
        <v>0</v>
      </c>
      <c r="J68" s="48">
        <f ca="1" t="shared" ref="J68:J131" si="16">IFERROR(_xlfn.XLOOKUP(I68,$O$2:$O$27,$P$2:$P$27),0)+OFFSET($R$2,MIN(8,$B68),MATCH(J$2,$S$2:$AB$2,0))</f>
        <v>0</v>
      </c>
    </row>
    <row r="69" spans="2:10">
      <c r="B69" s="23">
        <v>67</v>
      </c>
      <c r="C69" s="48">
        <f ca="1" t="shared" si="9"/>
        <v>0</v>
      </c>
      <c r="D69" s="48">
        <f ca="1" t="shared" si="10"/>
        <v>0</v>
      </c>
      <c r="E69" s="48">
        <f ca="1" t="shared" si="11"/>
        <v>0</v>
      </c>
      <c r="F69" s="48">
        <f ca="1" t="shared" si="12"/>
        <v>0</v>
      </c>
      <c r="G69" s="48">
        <f ca="1" t="shared" si="13"/>
        <v>0</v>
      </c>
      <c r="H69" s="48">
        <f ca="1" t="shared" si="14"/>
        <v>0</v>
      </c>
      <c r="I69" s="48">
        <f ca="1" t="shared" si="15"/>
        <v>0</v>
      </c>
      <c r="J69" s="48">
        <f ca="1" t="shared" si="16"/>
        <v>0</v>
      </c>
    </row>
    <row r="70" spans="2:10">
      <c r="B70" s="23">
        <v>68</v>
      </c>
      <c r="C70" s="48">
        <f ca="1" t="shared" si="9"/>
        <v>2000</v>
      </c>
      <c r="D70" s="48">
        <f ca="1" t="shared" si="10"/>
        <v>0</v>
      </c>
      <c r="E70" s="48">
        <f ca="1" t="shared" si="11"/>
        <v>0</v>
      </c>
      <c r="F70" s="48">
        <f ca="1" t="shared" si="12"/>
        <v>0</v>
      </c>
      <c r="G70" s="48">
        <f ca="1" t="shared" si="13"/>
        <v>0</v>
      </c>
      <c r="H70" s="48">
        <f ca="1" t="shared" si="14"/>
        <v>0</v>
      </c>
      <c r="I70" s="48">
        <f ca="1" t="shared" si="15"/>
        <v>0</v>
      </c>
      <c r="J70" s="48">
        <f ca="1" t="shared" si="16"/>
        <v>0</v>
      </c>
    </row>
    <row r="71" spans="2:10">
      <c r="B71" s="23">
        <v>69</v>
      </c>
      <c r="C71" s="48">
        <f ca="1" t="shared" si="9"/>
        <v>0</v>
      </c>
      <c r="D71" s="48">
        <f ca="1" t="shared" si="10"/>
        <v>0</v>
      </c>
      <c r="E71" s="48">
        <f ca="1" t="shared" si="11"/>
        <v>0</v>
      </c>
      <c r="F71" s="48">
        <f ca="1" t="shared" si="12"/>
        <v>0</v>
      </c>
      <c r="G71" s="48">
        <f ca="1" t="shared" si="13"/>
        <v>0</v>
      </c>
      <c r="H71" s="48">
        <f ca="1" t="shared" si="14"/>
        <v>0</v>
      </c>
      <c r="I71" s="48">
        <f ca="1" t="shared" si="15"/>
        <v>0</v>
      </c>
      <c r="J71" s="48">
        <f ca="1" t="shared" si="16"/>
        <v>0</v>
      </c>
    </row>
    <row r="72" spans="2:10">
      <c r="B72" s="23">
        <v>70</v>
      </c>
      <c r="C72" s="48">
        <f ca="1" t="shared" si="9"/>
        <v>0</v>
      </c>
      <c r="D72" s="48">
        <f ca="1" t="shared" si="10"/>
        <v>0</v>
      </c>
      <c r="E72" s="48">
        <f ca="1" t="shared" si="11"/>
        <v>0</v>
      </c>
      <c r="F72" s="48">
        <f ca="1" t="shared" si="12"/>
        <v>0</v>
      </c>
      <c r="G72" s="48">
        <f ca="1" t="shared" si="13"/>
        <v>0</v>
      </c>
      <c r="H72" s="48">
        <f ca="1" t="shared" si="14"/>
        <v>0</v>
      </c>
      <c r="I72" s="48">
        <f ca="1" t="shared" si="15"/>
        <v>0</v>
      </c>
      <c r="J72" s="48">
        <f ca="1" t="shared" si="16"/>
        <v>0</v>
      </c>
    </row>
    <row r="73" spans="2:10">
      <c r="B73" s="23">
        <v>71</v>
      </c>
      <c r="C73" s="48">
        <f ca="1" t="shared" si="9"/>
        <v>0</v>
      </c>
      <c r="D73" s="48">
        <f ca="1" t="shared" si="10"/>
        <v>0</v>
      </c>
      <c r="E73" s="48">
        <f ca="1" t="shared" si="11"/>
        <v>0</v>
      </c>
      <c r="F73" s="48">
        <f ca="1" t="shared" si="12"/>
        <v>0</v>
      </c>
      <c r="G73" s="48">
        <f ca="1" t="shared" si="13"/>
        <v>0</v>
      </c>
      <c r="H73" s="48">
        <f ca="1" t="shared" si="14"/>
        <v>0</v>
      </c>
      <c r="I73" s="48">
        <f ca="1" t="shared" si="15"/>
        <v>0</v>
      </c>
      <c r="J73" s="48">
        <f ca="1" t="shared" si="16"/>
        <v>0</v>
      </c>
    </row>
    <row r="74" spans="2:10">
      <c r="B74" s="23">
        <v>72</v>
      </c>
      <c r="C74" s="48">
        <f ca="1" t="shared" si="9"/>
        <v>2000</v>
      </c>
      <c r="D74" s="48">
        <f ca="1" t="shared" si="10"/>
        <v>0</v>
      </c>
      <c r="E74" s="48">
        <f ca="1" t="shared" si="11"/>
        <v>0</v>
      </c>
      <c r="F74" s="48">
        <f ca="1" t="shared" si="12"/>
        <v>0</v>
      </c>
      <c r="G74" s="48">
        <f ca="1" t="shared" si="13"/>
        <v>0</v>
      </c>
      <c r="H74" s="48">
        <f ca="1" t="shared" si="14"/>
        <v>0</v>
      </c>
      <c r="I74" s="48">
        <f ca="1" t="shared" si="15"/>
        <v>0</v>
      </c>
      <c r="J74" s="48">
        <f ca="1" t="shared" si="16"/>
        <v>0</v>
      </c>
    </row>
    <row r="75" spans="2:10">
      <c r="B75" s="23">
        <v>73</v>
      </c>
      <c r="C75" s="48">
        <f ca="1" t="shared" si="9"/>
        <v>0</v>
      </c>
      <c r="D75" s="48">
        <f ca="1" t="shared" si="10"/>
        <v>0</v>
      </c>
      <c r="E75" s="48">
        <f ca="1" t="shared" si="11"/>
        <v>0</v>
      </c>
      <c r="F75" s="48">
        <f ca="1" t="shared" si="12"/>
        <v>0</v>
      </c>
      <c r="G75" s="48">
        <f ca="1" t="shared" si="13"/>
        <v>0</v>
      </c>
      <c r="H75" s="48">
        <f ca="1" t="shared" si="14"/>
        <v>0</v>
      </c>
      <c r="I75" s="48">
        <f ca="1" t="shared" si="15"/>
        <v>0</v>
      </c>
      <c r="J75" s="48">
        <f ca="1" t="shared" si="16"/>
        <v>0</v>
      </c>
    </row>
    <row r="76" spans="2:10">
      <c r="B76" s="23">
        <v>74</v>
      </c>
      <c r="C76" s="48">
        <f ca="1" t="shared" si="9"/>
        <v>0</v>
      </c>
      <c r="D76" s="48">
        <f ca="1" t="shared" si="10"/>
        <v>0</v>
      </c>
      <c r="E76" s="48">
        <f ca="1" t="shared" si="11"/>
        <v>0</v>
      </c>
      <c r="F76" s="48">
        <f ca="1" t="shared" si="12"/>
        <v>0</v>
      </c>
      <c r="G76" s="48">
        <f ca="1" t="shared" si="13"/>
        <v>0</v>
      </c>
      <c r="H76" s="48">
        <f ca="1" t="shared" si="14"/>
        <v>0</v>
      </c>
      <c r="I76" s="48">
        <f ca="1" t="shared" si="15"/>
        <v>0</v>
      </c>
      <c r="J76" s="48">
        <f ca="1" t="shared" si="16"/>
        <v>0</v>
      </c>
    </row>
    <row r="77" spans="2:10">
      <c r="B77" s="23">
        <v>75</v>
      </c>
      <c r="C77" s="48">
        <f ca="1" t="shared" si="9"/>
        <v>0</v>
      </c>
      <c r="D77" s="48">
        <f ca="1" t="shared" si="10"/>
        <v>0</v>
      </c>
      <c r="E77" s="48">
        <f ca="1" t="shared" si="11"/>
        <v>0</v>
      </c>
      <c r="F77" s="48">
        <f ca="1" t="shared" si="12"/>
        <v>0</v>
      </c>
      <c r="G77" s="48">
        <f ca="1" t="shared" si="13"/>
        <v>0</v>
      </c>
      <c r="H77" s="48">
        <f ca="1" t="shared" si="14"/>
        <v>0</v>
      </c>
      <c r="I77" s="48">
        <f ca="1" t="shared" si="15"/>
        <v>0</v>
      </c>
      <c r="J77" s="48">
        <f ca="1" t="shared" si="16"/>
        <v>0</v>
      </c>
    </row>
    <row r="78" spans="2:10">
      <c r="B78" s="23">
        <v>76</v>
      </c>
      <c r="C78" s="48">
        <f ca="1" t="shared" si="9"/>
        <v>2000</v>
      </c>
      <c r="D78" s="48">
        <f ca="1" t="shared" si="10"/>
        <v>0</v>
      </c>
      <c r="E78" s="48">
        <f ca="1" t="shared" si="11"/>
        <v>0</v>
      </c>
      <c r="F78" s="48">
        <f ca="1" t="shared" si="12"/>
        <v>0</v>
      </c>
      <c r="G78" s="48">
        <f ca="1" t="shared" si="13"/>
        <v>0</v>
      </c>
      <c r="H78" s="48">
        <f ca="1" t="shared" si="14"/>
        <v>0</v>
      </c>
      <c r="I78" s="48">
        <f ca="1" t="shared" si="15"/>
        <v>0</v>
      </c>
      <c r="J78" s="48">
        <f ca="1" t="shared" si="16"/>
        <v>0</v>
      </c>
    </row>
    <row r="79" spans="2:10">
      <c r="B79" s="23">
        <v>77</v>
      </c>
      <c r="C79" s="48">
        <f ca="1" t="shared" si="9"/>
        <v>0</v>
      </c>
      <c r="D79" s="48">
        <f ca="1" t="shared" si="10"/>
        <v>0</v>
      </c>
      <c r="E79" s="48">
        <f ca="1" t="shared" si="11"/>
        <v>0</v>
      </c>
      <c r="F79" s="48">
        <f ca="1" t="shared" si="12"/>
        <v>0</v>
      </c>
      <c r="G79" s="48">
        <f ca="1" t="shared" si="13"/>
        <v>0</v>
      </c>
      <c r="H79" s="48">
        <f ca="1" t="shared" si="14"/>
        <v>0</v>
      </c>
      <c r="I79" s="48">
        <f ca="1" t="shared" si="15"/>
        <v>0</v>
      </c>
      <c r="J79" s="48">
        <f ca="1" t="shared" si="16"/>
        <v>0</v>
      </c>
    </row>
    <row r="80" spans="2:10">
      <c r="B80" s="23">
        <v>78</v>
      </c>
      <c r="C80" s="48">
        <f ca="1" t="shared" si="9"/>
        <v>0</v>
      </c>
      <c r="D80" s="48">
        <f ca="1" t="shared" si="10"/>
        <v>0</v>
      </c>
      <c r="E80" s="48">
        <f ca="1" t="shared" si="11"/>
        <v>0</v>
      </c>
      <c r="F80" s="48">
        <f ca="1" t="shared" si="12"/>
        <v>0</v>
      </c>
      <c r="G80" s="48">
        <f ca="1" t="shared" si="13"/>
        <v>0</v>
      </c>
      <c r="H80" s="48">
        <f ca="1" t="shared" si="14"/>
        <v>0</v>
      </c>
      <c r="I80" s="48">
        <f ca="1" t="shared" si="15"/>
        <v>0</v>
      </c>
      <c r="J80" s="48">
        <f ca="1" t="shared" si="16"/>
        <v>0</v>
      </c>
    </row>
    <row r="81" spans="2:10">
      <c r="B81" s="23">
        <v>79</v>
      </c>
      <c r="C81" s="48">
        <f ca="1" t="shared" si="9"/>
        <v>0</v>
      </c>
      <c r="D81" s="48">
        <f ca="1" t="shared" si="10"/>
        <v>0</v>
      </c>
      <c r="E81" s="48">
        <f ca="1" t="shared" si="11"/>
        <v>0</v>
      </c>
      <c r="F81" s="48">
        <f ca="1" t="shared" si="12"/>
        <v>0</v>
      </c>
      <c r="G81" s="48">
        <f ca="1" t="shared" si="13"/>
        <v>0</v>
      </c>
      <c r="H81" s="48">
        <f ca="1" t="shared" si="14"/>
        <v>0</v>
      </c>
      <c r="I81" s="48">
        <f ca="1" t="shared" si="15"/>
        <v>0</v>
      </c>
      <c r="J81" s="48">
        <f ca="1" t="shared" si="16"/>
        <v>0</v>
      </c>
    </row>
    <row r="82" spans="2:10">
      <c r="B82" s="23">
        <v>80</v>
      </c>
      <c r="C82" s="48">
        <f ca="1" t="shared" si="9"/>
        <v>0</v>
      </c>
      <c r="D82" s="48">
        <f ca="1" t="shared" si="10"/>
        <v>0</v>
      </c>
      <c r="E82" s="48">
        <f ca="1" t="shared" si="11"/>
        <v>0</v>
      </c>
      <c r="F82" s="48">
        <f ca="1" t="shared" si="12"/>
        <v>0</v>
      </c>
      <c r="G82" s="48">
        <f ca="1" t="shared" si="13"/>
        <v>0</v>
      </c>
      <c r="H82" s="48">
        <f ca="1" t="shared" si="14"/>
        <v>0</v>
      </c>
      <c r="I82" s="48">
        <f ca="1" t="shared" si="15"/>
        <v>0</v>
      </c>
      <c r="J82" s="48">
        <f ca="1" t="shared" si="16"/>
        <v>0</v>
      </c>
    </row>
    <row r="83" spans="2:10">
      <c r="B83" s="23">
        <v>81</v>
      </c>
      <c r="C83" s="48">
        <f ca="1" t="shared" si="9"/>
        <v>0</v>
      </c>
      <c r="D83" s="48">
        <f ca="1" t="shared" si="10"/>
        <v>0</v>
      </c>
      <c r="E83" s="48">
        <f ca="1" t="shared" si="11"/>
        <v>0</v>
      </c>
      <c r="F83" s="48">
        <f ca="1" t="shared" si="12"/>
        <v>0</v>
      </c>
      <c r="G83" s="48">
        <f ca="1" t="shared" si="13"/>
        <v>0</v>
      </c>
      <c r="H83" s="48">
        <f ca="1" t="shared" si="14"/>
        <v>0</v>
      </c>
      <c r="I83" s="48">
        <f ca="1" t="shared" si="15"/>
        <v>0</v>
      </c>
      <c r="J83" s="48">
        <f ca="1" t="shared" si="16"/>
        <v>0</v>
      </c>
    </row>
    <row r="84" spans="2:10">
      <c r="B84" s="23">
        <v>82</v>
      </c>
      <c r="C84" s="48">
        <f ca="1" t="shared" si="9"/>
        <v>0</v>
      </c>
      <c r="D84" s="48">
        <f ca="1" t="shared" si="10"/>
        <v>0</v>
      </c>
      <c r="E84" s="48">
        <f ca="1" t="shared" si="11"/>
        <v>0</v>
      </c>
      <c r="F84" s="48">
        <f ca="1" t="shared" si="12"/>
        <v>0</v>
      </c>
      <c r="G84" s="48">
        <f ca="1" t="shared" si="13"/>
        <v>0</v>
      </c>
      <c r="H84" s="48">
        <f ca="1" t="shared" si="14"/>
        <v>0</v>
      </c>
      <c r="I84" s="48">
        <f ca="1" t="shared" si="15"/>
        <v>0</v>
      </c>
      <c r="J84" s="48">
        <f ca="1" t="shared" si="16"/>
        <v>0</v>
      </c>
    </row>
    <row r="85" spans="2:10">
      <c r="B85" s="23">
        <v>83</v>
      </c>
      <c r="C85" s="48">
        <f ca="1" t="shared" si="9"/>
        <v>0</v>
      </c>
      <c r="D85" s="48">
        <f ca="1" t="shared" si="10"/>
        <v>0</v>
      </c>
      <c r="E85" s="48">
        <f ca="1" t="shared" si="11"/>
        <v>0</v>
      </c>
      <c r="F85" s="48">
        <f ca="1" t="shared" si="12"/>
        <v>0</v>
      </c>
      <c r="G85" s="48">
        <f ca="1" t="shared" si="13"/>
        <v>0</v>
      </c>
      <c r="H85" s="48">
        <f ca="1" t="shared" si="14"/>
        <v>0</v>
      </c>
      <c r="I85" s="48">
        <f ca="1" t="shared" si="15"/>
        <v>0</v>
      </c>
      <c r="J85" s="48">
        <f ca="1" t="shared" si="16"/>
        <v>0</v>
      </c>
    </row>
    <row r="86" spans="2:10">
      <c r="B86" s="23">
        <v>84</v>
      </c>
      <c r="C86" s="48">
        <f ca="1" t="shared" si="9"/>
        <v>2500</v>
      </c>
      <c r="D86" s="48">
        <f ca="1" t="shared" si="10"/>
        <v>0</v>
      </c>
      <c r="E86" s="48">
        <f ca="1" t="shared" si="11"/>
        <v>0</v>
      </c>
      <c r="F86" s="48">
        <f ca="1" t="shared" si="12"/>
        <v>0</v>
      </c>
      <c r="G86" s="48">
        <f ca="1" t="shared" si="13"/>
        <v>0</v>
      </c>
      <c r="H86" s="48">
        <f ca="1" t="shared" si="14"/>
        <v>0</v>
      </c>
      <c r="I86" s="48">
        <f ca="1" t="shared" si="15"/>
        <v>0</v>
      </c>
      <c r="J86" s="48">
        <f ca="1" t="shared" si="16"/>
        <v>0</v>
      </c>
    </row>
    <row r="87" spans="2:10">
      <c r="B87" s="23">
        <v>85</v>
      </c>
      <c r="C87" s="48">
        <f ca="1" t="shared" si="9"/>
        <v>0</v>
      </c>
      <c r="D87" s="48">
        <f ca="1" t="shared" si="10"/>
        <v>0</v>
      </c>
      <c r="E87" s="48">
        <f ca="1" t="shared" si="11"/>
        <v>0</v>
      </c>
      <c r="F87" s="48">
        <f ca="1" t="shared" si="12"/>
        <v>0</v>
      </c>
      <c r="G87" s="48">
        <f ca="1" t="shared" si="13"/>
        <v>0</v>
      </c>
      <c r="H87" s="48">
        <f ca="1" t="shared" si="14"/>
        <v>0</v>
      </c>
      <c r="I87" s="48">
        <f ca="1" t="shared" si="15"/>
        <v>0</v>
      </c>
      <c r="J87" s="48">
        <f ca="1" t="shared" si="16"/>
        <v>0</v>
      </c>
    </row>
    <row r="88" spans="2:10">
      <c r="B88" s="23">
        <v>86</v>
      </c>
      <c r="C88" s="48">
        <f ca="1" t="shared" si="9"/>
        <v>0</v>
      </c>
      <c r="D88" s="48">
        <f ca="1" t="shared" si="10"/>
        <v>0</v>
      </c>
      <c r="E88" s="48">
        <f ca="1" t="shared" si="11"/>
        <v>0</v>
      </c>
      <c r="F88" s="48">
        <f ca="1" t="shared" si="12"/>
        <v>0</v>
      </c>
      <c r="G88" s="48">
        <f ca="1" t="shared" si="13"/>
        <v>0</v>
      </c>
      <c r="H88" s="48">
        <f ca="1" t="shared" si="14"/>
        <v>0</v>
      </c>
      <c r="I88" s="48">
        <f ca="1" t="shared" si="15"/>
        <v>0</v>
      </c>
      <c r="J88" s="48">
        <f ca="1" t="shared" si="16"/>
        <v>0</v>
      </c>
    </row>
    <row r="89" spans="2:10">
      <c r="B89" s="23">
        <v>87</v>
      </c>
      <c r="C89" s="48">
        <f ca="1" t="shared" si="9"/>
        <v>0</v>
      </c>
      <c r="D89" s="48">
        <f ca="1" t="shared" si="10"/>
        <v>0</v>
      </c>
      <c r="E89" s="48">
        <f ca="1" t="shared" si="11"/>
        <v>0</v>
      </c>
      <c r="F89" s="48">
        <f ca="1" t="shared" si="12"/>
        <v>0</v>
      </c>
      <c r="G89" s="48">
        <f ca="1" t="shared" si="13"/>
        <v>0</v>
      </c>
      <c r="H89" s="48">
        <f ca="1" t="shared" si="14"/>
        <v>0</v>
      </c>
      <c r="I89" s="48">
        <f ca="1" t="shared" si="15"/>
        <v>0</v>
      </c>
      <c r="J89" s="48">
        <f ca="1" t="shared" si="16"/>
        <v>0</v>
      </c>
    </row>
    <row r="90" spans="2:10">
      <c r="B90" s="23">
        <v>88</v>
      </c>
      <c r="C90" s="48">
        <f ca="1" t="shared" si="9"/>
        <v>2500</v>
      </c>
      <c r="D90" s="48">
        <f ca="1" t="shared" si="10"/>
        <v>0</v>
      </c>
      <c r="E90" s="48">
        <f ca="1" t="shared" si="11"/>
        <v>0</v>
      </c>
      <c r="F90" s="48">
        <f ca="1" t="shared" si="12"/>
        <v>0</v>
      </c>
      <c r="G90" s="48">
        <f ca="1" t="shared" si="13"/>
        <v>0</v>
      </c>
      <c r="H90" s="48">
        <f ca="1" t="shared" si="14"/>
        <v>0</v>
      </c>
      <c r="I90" s="48">
        <f ca="1" t="shared" si="15"/>
        <v>0</v>
      </c>
      <c r="J90" s="48">
        <f ca="1" t="shared" si="16"/>
        <v>0</v>
      </c>
    </row>
    <row r="91" spans="2:10">
      <c r="B91" s="23">
        <v>89</v>
      </c>
      <c r="C91" s="48">
        <f ca="1" t="shared" si="9"/>
        <v>0</v>
      </c>
      <c r="D91" s="48">
        <f ca="1" t="shared" si="10"/>
        <v>0</v>
      </c>
      <c r="E91" s="48">
        <f ca="1" t="shared" si="11"/>
        <v>0</v>
      </c>
      <c r="F91" s="48">
        <f ca="1" t="shared" si="12"/>
        <v>0</v>
      </c>
      <c r="G91" s="48">
        <f ca="1" t="shared" si="13"/>
        <v>0</v>
      </c>
      <c r="H91" s="48">
        <f ca="1" t="shared" si="14"/>
        <v>0</v>
      </c>
      <c r="I91" s="48">
        <f ca="1" t="shared" si="15"/>
        <v>0</v>
      </c>
      <c r="J91" s="48">
        <f ca="1" t="shared" si="16"/>
        <v>0</v>
      </c>
    </row>
    <row r="92" spans="2:10">
      <c r="B92" s="23">
        <v>90</v>
      </c>
      <c r="C92" s="48">
        <f ca="1" t="shared" si="9"/>
        <v>0</v>
      </c>
      <c r="D92" s="48">
        <f ca="1" t="shared" si="10"/>
        <v>0</v>
      </c>
      <c r="E92" s="48">
        <f ca="1" t="shared" si="11"/>
        <v>0</v>
      </c>
      <c r="F92" s="48">
        <f ca="1" t="shared" si="12"/>
        <v>0</v>
      </c>
      <c r="G92" s="48">
        <f ca="1" t="shared" si="13"/>
        <v>0</v>
      </c>
      <c r="H92" s="48">
        <f ca="1" t="shared" si="14"/>
        <v>0</v>
      </c>
      <c r="I92" s="48">
        <f ca="1" t="shared" si="15"/>
        <v>0</v>
      </c>
      <c r="J92" s="48">
        <f ca="1" t="shared" si="16"/>
        <v>0</v>
      </c>
    </row>
    <row r="93" spans="2:10">
      <c r="B93" s="23">
        <v>91</v>
      </c>
      <c r="C93" s="48">
        <f ca="1" t="shared" si="9"/>
        <v>0</v>
      </c>
      <c r="D93" s="48">
        <f ca="1" t="shared" si="10"/>
        <v>0</v>
      </c>
      <c r="E93" s="48">
        <f ca="1" t="shared" si="11"/>
        <v>0</v>
      </c>
      <c r="F93" s="48">
        <f ca="1" t="shared" si="12"/>
        <v>0</v>
      </c>
      <c r="G93" s="48">
        <f ca="1" t="shared" si="13"/>
        <v>0</v>
      </c>
      <c r="H93" s="48">
        <f ca="1" t="shared" si="14"/>
        <v>0</v>
      </c>
      <c r="I93" s="48">
        <f ca="1" t="shared" si="15"/>
        <v>0</v>
      </c>
      <c r="J93" s="48">
        <f ca="1" t="shared" si="16"/>
        <v>0</v>
      </c>
    </row>
    <row r="94" spans="2:10">
      <c r="B94" s="23">
        <v>92</v>
      </c>
      <c r="C94" s="48">
        <f ca="1" t="shared" si="9"/>
        <v>2500</v>
      </c>
      <c r="D94" s="48">
        <f ca="1" t="shared" si="10"/>
        <v>0</v>
      </c>
      <c r="E94" s="48">
        <f ca="1" t="shared" si="11"/>
        <v>0</v>
      </c>
      <c r="F94" s="48">
        <f ca="1" t="shared" si="12"/>
        <v>0</v>
      </c>
      <c r="G94" s="48">
        <f ca="1" t="shared" si="13"/>
        <v>0</v>
      </c>
      <c r="H94" s="48">
        <f ca="1" t="shared" si="14"/>
        <v>0</v>
      </c>
      <c r="I94" s="48">
        <f ca="1" t="shared" si="15"/>
        <v>0</v>
      </c>
      <c r="J94" s="48">
        <f ca="1" t="shared" si="16"/>
        <v>0</v>
      </c>
    </row>
    <row r="95" spans="2:10">
      <c r="B95" s="23">
        <v>93</v>
      </c>
      <c r="C95" s="48">
        <f ca="1" t="shared" si="9"/>
        <v>0</v>
      </c>
      <c r="D95" s="48">
        <f ca="1" t="shared" si="10"/>
        <v>0</v>
      </c>
      <c r="E95" s="48">
        <f ca="1" t="shared" si="11"/>
        <v>0</v>
      </c>
      <c r="F95" s="48">
        <f ca="1" t="shared" si="12"/>
        <v>0</v>
      </c>
      <c r="G95" s="48">
        <f ca="1" t="shared" si="13"/>
        <v>0</v>
      </c>
      <c r="H95" s="48">
        <f ca="1" t="shared" si="14"/>
        <v>0</v>
      </c>
      <c r="I95" s="48">
        <f ca="1" t="shared" si="15"/>
        <v>0</v>
      </c>
      <c r="J95" s="48">
        <f ca="1" t="shared" si="16"/>
        <v>0</v>
      </c>
    </row>
    <row r="96" spans="2:10">
      <c r="B96" s="23">
        <v>94</v>
      </c>
      <c r="C96" s="48">
        <f ca="1" t="shared" si="9"/>
        <v>0</v>
      </c>
      <c r="D96" s="48">
        <f ca="1" t="shared" si="10"/>
        <v>0</v>
      </c>
      <c r="E96" s="48">
        <f ca="1" t="shared" si="11"/>
        <v>0</v>
      </c>
      <c r="F96" s="48">
        <f ca="1" t="shared" si="12"/>
        <v>0</v>
      </c>
      <c r="G96" s="48">
        <f ca="1" t="shared" si="13"/>
        <v>0</v>
      </c>
      <c r="H96" s="48">
        <f ca="1" t="shared" si="14"/>
        <v>0</v>
      </c>
      <c r="I96" s="48">
        <f ca="1" t="shared" si="15"/>
        <v>0</v>
      </c>
      <c r="J96" s="48">
        <f ca="1" t="shared" si="16"/>
        <v>0</v>
      </c>
    </row>
    <row r="97" spans="2:10">
      <c r="B97" s="23">
        <v>95</v>
      </c>
      <c r="C97" s="48">
        <f ca="1" t="shared" si="9"/>
        <v>0</v>
      </c>
      <c r="D97" s="48">
        <f ca="1" t="shared" si="10"/>
        <v>0</v>
      </c>
      <c r="E97" s="48">
        <f ca="1" t="shared" si="11"/>
        <v>0</v>
      </c>
      <c r="F97" s="48">
        <f ca="1" t="shared" si="12"/>
        <v>0</v>
      </c>
      <c r="G97" s="48">
        <f ca="1" t="shared" si="13"/>
        <v>0</v>
      </c>
      <c r="H97" s="48">
        <f ca="1" t="shared" si="14"/>
        <v>0</v>
      </c>
      <c r="I97" s="48">
        <f ca="1" t="shared" si="15"/>
        <v>0</v>
      </c>
      <c r="J97" s="48">
        <f ca="1" t="shared" si="16"/>
        <v>0</v>
      </c>
    </row>
    <row r="98" spans="2:10">
      <c r="B98" s="23">
        <v>96</v>
      </c>
      <c r="C98" s="48">
        <f ca="1" t="shared" si="9"/>
        <v>2500</v>
      </c>
      <c r="D98" s="48">
        <f ca="1" t="shared" si="10"/>
        <v>0</v>
      </c>
      <c r="E98" s="48">
        <f ca="1" t="shared" si="11"/>
        <v>0</v>
      </c>
      <c r="F98" s="48">
        <f ca="1" t="shared" si="12"/>
        <v>0</v>
      </c>
      <c r="G98" s="48">
        <f ca="1" t="shared" si="13"/>
        <v>0</v>
      </c>
      <c r="H98" s="48">
        <f ca="1" t="shared" si="14"/>
        <v>0</v>
      </c>
      <c r="I98" s="48">
        <f ca="1" t="shared" si="15"/>
        <v>0</v>
      </c>
      <c r="J98" s="48">
        <f ca="1" t="shared" si="16"/>
        <v>0</v>
      </c>
    </row>
    <row r="99" spans="2:10">
      <c r="B99" s="23">
        <v>97</v>
      </c>
      <c r="C99" s="48">
        <f ca="1" t="shared" si="9"/>
        <v>0</v>
      </c>
      <c r="D99" s="48">
        <f ca="1" t="shared" si="10"/>
        <v>0</v>
      </c>
      <c r="E99" s="48">
        <f ca="1" t="shared" si="11"/>
        <v>0</v>
      </c>
      <c r="F99" s="48">
        <f ca="1" t="shared" si="12"/>
        <v>0</v>
      </c>
      <c r="G99" s="48">
        <f ca="1" t="shared" si="13"/>
        <v>0</v>
      </c>
      <c r="H99" s="48">
        <f ca="1" t="shared" si="14"/>
        <v>0</v>
      </c>
      <c r="I99" s="48">
        <f ca="1" t="shared" si="15"/>
        <v>0</v>
      </c>
      <c r="J99" s="48">
        <f ca="1" t="shared" si="16"/>
        <v>0</v>
      </c>
    </row>
    <row r="100" spans="2:10">
      <c r="B100" s="23">
        <v>98</v>
      </c>
      <c r="C100" s="48">
        <f ca="1" t="shared" si="9"/>
        <v>0</v>
      </c>
      <c r="D100" s="48">
        <f ca="1" t="shared" si="10"/>
        <v>0</v>
      </c>
      <c r="E100" s="48">
        <f ca="1" t="shared" si="11"/>
        <v>0</v>
      </c>
      <c r="F100" s="48">
        <f ca="1" t="shared" si="12"/>
        <v>0</v>
      </c>
      <c r="G100" s="48">
        <f ca="1" t="shared" si="13"/>
        <v>0</v>
      </c>
      <c r="H100" s="48">
        <f ca="1" t="shared" si="14"/>
        <v>0</v>
      </c>
      <c r="I100" s="48">
        <f ca="1" t="shared" si="15"/>
        <v>0</v>
      </c>
      <c r="J100" s="48">
        <f ca="1" t="shared" si="16"/>
        <v>0</v>
      </c>
    </row>
    <row r="101" spans="2:10">
      <c r="B101" s="23">
        <v>99</v>
      </c>
      <c r="C101" s="48">
        <f ca="1" t="shared" si="9"/>
        <v>0</v>
      </c>
      <c r="D101" s="48">
        <f ca="1" t="shared" si="10"/>
        <v>0</v>
      </c>
      <c r="E101" s="48">
        <f ca="1" t="shared" si="11"/>
        <v>0</v>
      </c>
      <c r="F101" s="48">
        <f ca="1" t="shared" si="12"/>
        <v>0</v>
      </c>
      <c r="G101" s="48">
        <f ca="1" t="shared" si="13"/>
        <v>0</v>
      </c>
      <c r="H101" s="48">
        <f ca="1" t="shared" si="14"/>
        <v>0</v>
      </c>
      <c r="I101" s="48">
        <f ca="1" t="shared" si="15"/>
        <v>0</v>
      </c>
      <c r="J101" s="48">
        <f ca="1" t="shared" si="16"/>
        <v>0</v>
      </c>
    </row>
    <row r="102" spans="2:10">
      <c r="B102" s="23">
        <v>100</v>
      </c>
      <c r="C102" s="48">
        <f ca="1" t="shared" si="9"/>
        <v>0</v>
      </c>
      <c r="D102" s="48">
        <f ca="1" t="shared" si="10"/>
        <v>0</v>
      </c>
      <c r="E102" s="48">
        <f ca="1" t="shared" si="11"/>
        <v>0</v>
      </c>
      <c r="F102" s="48">
        <f ca="1" t="shared" si="12"/>
        <v>0</v>
      </c>
      <c r="G102" s="48">
        <f ca="1" t="shared" si="13"/>
        <v>0</v>
      </c>
      <c r="H102" s="48">
        <f ca="1" t="shared" si="14"/>
        <v>0</v>
      </c>
      <c r="I102" s="48">
        <f ca="1" t="shared" si="15"/>
        <v>0</v>
      </c>
      <c r="J102" s="48">
        <f ca="1" t="shared" si="16"/>
        <v>0</v>
      </c>
    </row>
    <row r="103" spans="2:10">
      <c r="B103" s="23">
        <v>101</v>
      </c>
      <c r="C103" s="48">
        <f ca="1" t="shared" si="9"/>
        <v>0</v>
      </c>
      <c r="D103" s="48">
        <f ca="1" t="shared" si="10"/>
        <v>0</v>
      </c>
      <c r="E103" s="48">
        <f ca="1" t="shared" si="11"/>
        <v>0</v>
      </c>
      <c r="F103" s="48">
        <f ca="1" t="shared" si="12"/>
        <v>0</v>
      </c>
      <c r="G103" s="48">
        <f ca="1" t="shared" si="13"/>
        <v>0</v>
      </c>
      <c r="H103" s="48">
        <f ca="1" t="shared" si="14"/>
        <v>0</v>
      </c>
      <c r="I103" s="48">
        <f ca="1" t="shared" si="15"/>
        <v>0</v>
      </c>
      <c r="J103" s="48">
        <f ca="1" t="shared" si="16"/>
        <v>0</v>
      </c>
    </row>
    <row r="104" spans="2:10">
      <c r="B104" s="23">
        <v>102</v>
      </c>
      <c r="C104" s="48">
        <f ca="1" t="shared" si="9"/>
        <v>0</v>
      </c>
      <c r="D104" s="48">
        <f ca="1" t="shared" si="10"/>
        <v>0</v>
      </c>
      <c r="E104" s="48">
        <f ca="1" t="shared" si="11"/>
        <v>0</v>
      </c>
      <c r="F104" s="48">
        <f ca="1" t="shared" si="12"/>
        <v>0</v>
      </c>
      <c r="G104" s="48">
        <f ca="1" t="shared" si="13"/>
        <v>0</v>
      </c>
      <c r="H104" s="48">
        <f ca="1" t="shared" si="14"/>
        <v>0</v>
      </c>
      <c r="I104" s="48">
        <f ca="1" t="shared" si="15"/>
        <v>0</v>
      </c>
      <c r="J104" s="48">
        <f ca="1" t="shared" si="16"/>
        <v>0</v>
      </c>
    </row>
    <row r="105" spans="2:10">
      <c r="B105" s="23">
        <v>103</v>
      </c>
      <c r="C105" s="48">
        <f ca="1" t="shared" si="9"/>
        <v>0</v>
      </c>
      <c r="D105" s="48">
        <f ca="1" t="shared" si="10"/>
        <v>0</v>
      </c>
      <c r="E105" s="48">
        <f ca="1" t="shared" si="11"/>
        <v>0</v>
      </c>
      <c r="F105" s="48">
        <f ca="1" t="shared" si="12"/>
        <v>0</v>
      </c>
      <c r="G105" s="48">
        <f ca="1" t="shared" si="13"/>
        <v>0</v>
      </c>
      <c r="H105" s="48">
        <f ca="1" t="shared" si="14"/>
        <v>0</v>
      </c>
      <c r="I105" s="48">
        <f ca="1" t="shared" si="15"/>
        <v>0</v>
      </c>
      <c r="J105" s="48">
        <f ca="1" t="shared" si="16"/>
        <v>0</v>
      </c>
    </row>
    <row r="106" spans="2:10">
      <c r="B106" s="23">
        <v>104</v>
      </c>
      <c r="C106" s="48">
        <f ca="1" t="shared" si="9"/>
        <v>0</v>
      </c>
      <c r="D106" s="48">
        <f ca="1" t="shared" si="10"/>
        <v>0</v>
      </c>
      <c r="E106" s="48">
        <f ca="1" t="shared" si="11"/>
        <v>0</v>
      </c>
      <c r="F106" s="48">
        <f ca="1" t="shared" si="12"/>
        <v>0</v>
      </c>
      <c r="G106" s="48">
        <f ca="1" t="shared" si="13"/>
        <v>0</v>
      </c>
      <c r="H106" s="48">
        <f ca="1" t="shared" si="14"/>
        <v>0</v>
      </c>
      <c r="I106" s="48">
        <f ca="1" t="shared" si="15"/>
        <v>0</v>
      </c>
      <c r="J106" s="48">
        <f ca="1" t="shared" si="16"/>
        <v>0</v>
      </c>
    </row>
    <row r="107" spans="2:10">
      <c r="B107" s="23">
        <v>105</v>
      </c>
      <c r="C107" s="48">
        <f ca="1" t="shared" si="9"/>
        <v>0</v>
      </c>
      <c r="D107" s="48">
        <f ca="1" t="shared" si="10"/>
        <v>0</v>
      </c>
      <c r="E107" s="48">
        <f ca="1" t="shared" si="11"/>
        <v>0</v>
      </c>
      <c r="F107" s="48">
        <f ca="1" t="shared" si="12"/>
        <v>0</v>
      </c>
      <c r="G107" s="48">
        <f ca="1" t="shared" si="13"/>
        <v>0</v>
      </c>
      <c r="H107" s="48">
        <f ca="1" t="shared" si="14"/>
        <v>0</v>
      </c>
      <c r="I107" s="48">
        <f ca="1" t="shared" si="15"/>
        <v>0</v>
      </c>
      <c r="J107" s="48">
        <f ca="1" t="shared" si="16"/>
        <v>0</v>
      </c>
    </row>
    <row r="108" spans="2:10">
      <c r="B108" s="23">
        <v>106</v>
      </c>
      <c r="C108" s="48">
        <f ca="1" t="shared" si="9"/>
        <v>0</v>
      </c>
      <c r="D108" s="48">
        <f ca="1" t="shared" si="10"/>
        <v>0</v>
      </c>
      <c r="E108" s="48">
        <f ca="1" t="shared" si="11"/>
        <v>0</v>
      </c>
      <c r="F108" s="48">
        <f ca="1" t="shared" si="12"/>
        <v>0</v>
      </c>
      <c r="G108" s="48">
        <f ca="1" t="shared" si="13"/>
        <v>0</v>
      </c>
      <c r="H108" s="48">
        <f ca="1" t="shared" si="14"/>
        <v>0</v>
      </c>
      <c r="I108" s="48">
        <f ca="1" t="shared" si="15"/>
        <v>0</v>
      </c>
      <c r="J108" s="48">
        <f ca="1" t="shared" si="16"/>
        <v>0</v>
      </c>
    </row>
    <row r="109" spans="2:10">
      <c r="B109" s="23">
        <v>107</v>
      </c>
      <c r="C109" s="48">
        <f ca="1" t="shared" si="9"/>
        <v>0</v>
      </c>
      <c r="D109" s="48">
        <f ca="1" t="shared" si="10"/>
        <v>0</v>
      </c>
      <c r="E109" s="48">
        <f ca="1" t="shared" si="11"/>
        <v>0</v>
      </c>
      <c r="F109" s="48">
        <f ca="1" t="shared" si="12"/>
        <v>0</v>
      </c>
      <c r="G109" s="48">
        <f ca="1" t="shared" si="13"/>
        <v>0</v>
      </c>
      <c r="H109" s="48">
        <f ca="1" t="shared" si="14"/>
        <v>0</v>
      </c>
      <c r="I109" s="48">
        <f ca="1" t="shared" si="15"/>
        <v>0</v>
      </c>
      <c r="J109" s="48">
        <f ca="1" t="shared" si="16"/>
        <v>0</v>
      </c>
    </row>
    <row r="110" spans="2:10">
      <c r="B110" s="23">
        <v>108</v>
      </c>
      <c r="C110" s="48">
        <f ca="1" t="shared" si="9"/>
        <v>0</v>
      </c>
      <c r="D110" s="48">
        <f ca="1" t="shared" si="10"/>
        <v>0</v>
      </c>
      <c r="E110" s="48">
        <f ca="1" t="shared" si="11"/>
        <v>0</v>
      </c>
      <c r="F110" s="48">
        <f ca="1" t="shared" si="12"/>
        <v>0</v>
      </c>
      <c r="G110" s="48">
        <f ca="1" t="shared" si="13"/>
        <v>0</v>
      </c>
      <c r="H110" s="48">
        <f ca="1" t="shared" si="14"/>
        <v>0</v>
      </c>
      <c r="I110" s="48">
        <f ca="1" t="shared" si="15"/>
        <v>0</v>
      </c>
      <c r="J110" s="48">
        <f ca="1" t="shared" si="16"/>
        <v>0</v>
      </c>
    </row>
    <row r="111" spans="2:10">
      <c r="B111" s="23">
        <v>109</v>
      </c>
      <c r="C111" s="48">
        <f ca="1" t="shared" si="9"/>
        <v>0</v>
      </c>
      <c r="D111" s="48">
        <f ca="1" t="shared" si="10"/>
        <v>0</v>
      </c>
      <c r="E111" s="48">
        <f ca="1" t="shared" si="11"/>
        <v>0</v>
      </c>
      <c r="F111" s="48">
        <f ca="1" t="shared" si="12"/>
        <v>0</v>
      </c>
      <c r="G111" s="48">
        <f ca="1" t="shared" si="13"/>
        <v>0</v>
      </c>
      <c r="H111" s="48">
        <f ca="1" t="shared" si="14"/>
        <v>0</v>
      </c>
      <c r="I111" s="48">
        <f ca="1" t="shared" si="15"/>
        <v>0</v>
      </c>
      <c r="J111" s="48">
        <f ca="1" t="shared" si="16"/>
        <v>0</v>
      </c>
    </row>
    <row r="112" spans="2:10">
      <c r="B112" s="23">
        <v>110</v>
      </c>
      <c r="C112" s="48">
        <f ca="1" t="shared" si="9"/>
        <v>0</v>
      </c>
      <c r="D112" s="48">
        <f ca="1" t="shared" si="10"/>
        <v>0</v>
      </c>
      <c r="E112" s="48">
        <f ca="1" t="shared" si="11"/>
        <v>0</v>
      </c>
      <c r="F112" s="48">
        <f ca="1" t="shared" si="12"/>
        <v>0</v>
      </c>
      <c r="G112" s="48">
        <f ca="1" t="shared" si="13"/>
        <v>0</v>
      </c>
      <c r="H112" s="48">
        <f ca="1" t="shared" si="14"/>
        <v>0</v>
      </c>
      <c r="I112" s="48">
        <f ca="1" t="shared" si="15"/>
        <v>0</v>
      </c>
      <c r="J112" s="48">
        <f ca="1" t="shared" si="16"/>
        <v>0</v>
      </c>
    </row>
    <row r="113" spans="2:10">
      <c r="B113" s="23">
        <v>111</v>
      </c>
      <c r="C113" s="48">
        <f ca="1" t="shared" si="9"/>
        <v>0</v>
      </c>
      <c r="D113" s="48">
        <f ca="1" t="shared" si="10"/>
        <v>0</v>
      </c>
      <c r="E113" s="48">
        <f ca="1" t="shared" si="11"/>
        <v>0</v>
      </c>
      <c r="F113" s="48">
        <f ca="1" t="shared" si="12"/>
        <v>0</v>
      </c>
      <c r="G113" s="48">
        <f ca="1" t="shared" si="13"/>
        <v>0</v>
      </c>
      <c r="H113" s="48">
        <f ca="1" t="shared" si="14"/>
        <v>0</v>
      </c>
      <c r="I113" s="48">
        <f ca="1" t="shared" si="15"/>
        <v>0</v>
      </c>
      <c r="J113" s="48">
        <f ca="1" t="shared" si="16"/>
        <v>0</v>
      </c>
    </row>
    <row r="114" spans="2:10">
      <c r="B114" s="23">
        <v>112</v>
      </c>
      <c r="C114" s="48">
        <f ca="1" t="shared" si="9"/>
        <v>0</v>
      </c>
      <c r="D114" s="48">
        <f ca="1" t="shared" si="10"/>
        <v>0</v>
      </c>
      <c r="E114" s="48">
        <f ca="1" t="shared" si="11"/>
        <v>0</v>
      </c>
      <c r="F114" s="48">
        <f ca="1" t="shared" si="12"/>
        <v>0</v>
      </c>
      <c r="G114" s="48">
        <f ca="1" t="shared" si="13"/>
        <v>0</v>
      </c>
      <c r="H114" s="48">
        <f ca="1" t="shared" si="14"/>
        <v>0</v>
      </c>
      <c r="I114" s="48">
        <f ca="1" t="shared" si="15"/>
        <v>0</v>
      </c>
      <c r="J114" s="48">
        <f ca="1" t="shared" si="16"/>
        <v>0</v>
      </c>
    </row>
    <row r="115" spans="2:10">
      <c r="B115" s="23">
        <v>113</v>
      </c>
      <c r="C115" s="48">
        <f ca="1" t="shared" si="9"/>
        <v>0</v>
      </c>
      <c r="D115" s="48">
        <f ca="1" t="shared" si="10"/>
        <v>0</v>
      </c>
      <c r="E115" s="48">
        <f ca="1" t="shared" si="11"/>
        <v>0</v>
      </c>
      <c r="F115" s="48">
        <f ca="1" t="shared" si="12"/>
        <v>0</v>
      </c>
      <c r="G115" s="48">
        <f ca="1" t="shared" si="13"/>
        <v>0</v>
      </c>
      <c r="H115" s="48">
        <f ca="1" t="shared" si="14"/>
        <v>0</v>
      </c>
      <c r="I115" s="48">
        <f ca="1" t="shared" si="15"/>
        <v>0</v>
      </c>
      <c r="J115" s="48">
        <f ca="1" t="shared" si="16"/>
        <v>0</v>
      </c>
    </row>
    <row r="116" spans="2:10">
      <c r="B116" s="23">
        <v>114</v>
      </c>
      <c r="C116" s="48">
        <f ca="1" t="shared" si="9"/>
        <v>0</v>
      </c>
      <c r="D116" s="48">
        <f ca="1" t="shared" si="10"/>
        <v>0</v>
      </c>
      <c r="E116" s="48">
        <f ca="1" t="shared" si="11"/>
        <v>0</v>
      </c>
      <c r="F116" s="48">
        <f ca="1" t="shared" si="12"/>
        <v>0</v>
      </c>
      <c r="G116" s="48">
        <f ca="1" t="shared" si="13"/>
        <v>0</v>
      </c>
      <c r="H116" s="48">
        <f ca="1" t="shared" si="14"/>
        <v>0</v>
      </c>
      <c r="I116" s="48">
        <f ca="1" t="shared" si="15"/>
        <v>0</v>
      </c>
      <c r="J116" s="48">
        <f ca="1" t="shared" si="16"/>
        <v>0</v>
      </c>
    </row>
    <row r="117" spans="2:10">
      <c r="B117" s="23">
        <v>115</v>
      </c>
      <c r="C117" s="48">
        <f ca="1" t="shared" si="9"/>
        <v>0</v>
      </c>
      <c r="D117" s="48">
        <f ca="1" t="shared" si="10"/>
        <v>0</v>
      </c>
      <c r="E117" s="48">
        <f ca="1" t="shared" si="11"/>
        <v>0</v>
      </c>
      <c r="F117" s="48">
        <f ca="1" t="shared" si="12"/>
        <v>0</v>
      </c>
      <c r="G117" s="48">
        <f ca="1" t="shared" si="13"/>
        <v>0</v>
      </c>
      <c r="H117" s="48">
        <f ca="1" t="shared" si="14"/>
        <v>0</v>
      </c>
      <c r="I117" s="48">
        <f ca="1" t="shared" si="15"/>
        <v>0</v>
      </c>
      <c r="J117" s="48">
        <f ca="1" t="shared" si="16"/>
        <v>0</v>
      </c>
    </row>
    <row r="118" spans="2:10">
      <c r="B118" s="23">
        <v>116</v>
      </c>
      <c r="C118" s="48">
        <f ca="1" t="shared" si="9"/>
        <v>0</v>
      </c>
      <c r="D118" s="48">
        <f ca="1" t="shared" si="10"/>
        <v>0</v>
      </c>
      <c r="E118" s="48">
        <f ca="1" t="shared" si="11"/>
        <v>0</v>
      </c>
      <c r="F118" s="48">
        <f ca="1" t="shared" si="12"/>
        <v>0</v>
      </c>
      <c r="G118" s="48">
        <f ca="1" t="shared" si="13"/>
        <v>0</v>
      </c>
      <c r="H118" s="48">
        <f ca="1" t="shared" si="14"/>
        <v>0</v>
      </c>
      <c r="I118" s="48">
        <f ca="1" t="shared" si="15"/>
        <v>0</v>
      </c>
      <c r="J118" s="48">
        <f ca="1" t="shared" si="16"/>
        <v>0</v>
      </c>
    </row>
    <row r="119" spans="2:10">
      <c r="B119" s="23">
        <v>117</v>
      </c>
      <c r="C119" s="48">
        <f ca="1" t="shared" si="9"/>
        <v>0</v>
      </c>
      <c r="D119" s="48">
        <f ca="1" t="shared" si="10"/>
        <v>0</v>
      </c>
      <c r="E119" s="48">
        <f ca="1" t="shared" si="11"/>
        <v>0</v>
      </c>
      <c r="F119" s="48">
        <f ca="1" t="shared" si="12"/>
        <v>0</v>
      </c>
      <c r="G119" s="48">
        <f ca="1" t="shared" si="13"/>
        <v>0</v>
      </c>
      <c r="H119" s="48">
        <f ca="1" t="shared" si="14"/>
        <v>0</v>
      </c>
      <c r="I119" s="48">
        <f ca="1" t="shared" si="15"/>
        <v>0</v>
      </c>
      <c r="J119" s="48">
        <f ca="1" t="shared" si="16"/>
        <v>0</v>
      </c>
    </row>
    <row r="120" spans="2:10">
      <c r="B120" s="23">
        <v>118</v>
      </c>
      <c r="C120" s="48">
        <f ca="1" t="shared" si="9"/>
        <v>0</v>
      </c>
      <c r="D120" s="48">
        <f ca="1" t="shared" si="10"/>
        <v>0</v>
      </c>
      <c r="E120" s="48">
        <f ca="1" t="shared" si="11"/>
        <v>0</v>
      </c>
      <c r="F120" s="48">
        <f ca="1" t="shared" si="12"/>
        <v>0</v>
      </c>
      <c r="G120" s="48">
        <f ca="1" t="shared" si="13"/>
        <v>0</v>
      </c>
      <c r="H120" s="48">
        <f ca="1" t="shared" si="14"/>
        <v>0</v>
      </c>
      <c r="I120" s="48">
        <f ca="1" t="shared" si="15"/>
        <v>0</v>
      </c>
      <c r="J120" s="48">
        <f ca="1" t="shared" si="16"/>
        <v>0</v>
      </c>
    </row>
    <row r="121" spans="2:10">
      <c r="B121" s="23">
        <v>119</v>
      </c>
      <c r="C121" s="48">
        <f ca="1" t="shared" si="9"/>
        <v>0</v>
      </c>
      <c r="D121" s="48">
        <f ca="1" t="shared" si="10"/>
        <v>0</v>
      </c>
      <c r="E121" s="48">
        <f ca="1" t="shared" si="11"/>
        <v>0</v>
      </c>
      <c r="F121" s="48">
        <f ca="1" t="shared" si="12"/>
        <v>0</v>
      </c>
      <c r="G121" s="48">
        <f ca="1" t="shared" si="13"/>
        <v>0</v>
      </c>
      <c r="H121" s="48">
        <f ca="1" t="shared" si="14"/>
        <v>0</v>
      </c>
      <c r="I121" s="48">
        <f ca="1" t="shared" si="15"/>
        <v>0</v>
      </c>
      <c r="J121" s="48">
        <f ca="1" t="shared" si="16"/>
        <v>0</v>
      </c>
    </row>
    <row r="122" spans="2:10">
      <c r="B122" s="23">
        <v>120</v>
      </c>
      <c r="C122" s="48">
        <f ca="1" t="shared" si="9"/>
        <v>0</v>
      </c>
      <c r="D122" s="48">
        <f ca="1" t="shared" si="10"/>
        <v>0</v>
      </c>
      <c r="E122" s="48">
        <f ca="1" t="shared" si="11"/>
        <v>0</v>
      </c>
      <c r="F122" s="48">
        <f ca="1" t="shared" si="12"/>
        <v>0</v>
      </c>
      <c r="G122" s="48">
        <f ca="1" t="shared" si="13"/>
        <v>0</v>
      </c>
      <c r="H122" s="48">
        <f ca="1" t="shared" si="14"/>
        <v>0</v>
      </c>
      <c r="I122" s="48">
        <f ca="1" t="shared" si="15"/>
        <v>0</v>
      </c>
      <c r="J122" s="48">
        <f ca="1" t="shared" si="16"/>
        <v>0</v>
      </c>
    </row>
    <row r="123" spans="2:10">
      <c r="B123" s="23">
        <v>121</v>
      </c>
      <c r="C123" s="48">
        <f ca="1" t="shared" si="9"/>
        <v>0</v>
      </c>
      <c r="D123" s="48">
        <f ca="1" t="shared" si="10"/>
        <v>0</v>
      </c>
      <c r="E123" s="48">
        <f ca="1" t="shared" si="11"/>
        <v>0</v>
      </c>
      <c r="F123" s="48">
        <f ca="1" t="shared" si="12"/>
        <v>0</v>
      </c>
      <c r="G123" s="48">
        <f ca="1" t="shared" si="13"/>
        <v>0</v>
      </c>
      <c r="H123" s="48">
        <f ca="1" t="shared" si="14"/>
        <v>0</v>
      </c>
      <c r="I123" s="48">
        <f ca="1" t="shared" si="15"/>
        <v>0</v>
      </c>
      <c r="J123" s="48">
        <f ca="1" t="shared" si="16"/>
        <v>0</v>
      </c>
    </row>
    <row r="124" spans="2:10">
      <c r="B124" s="23">
        <v>122</v>
      </c>
      <c r="C124" s="48">
        <f ca="1" t="shared" si="9"/>
        <v>0</v>
      </c>
      <c r="D124" s="48">
        <f ca="1" t="shared" si="10"/>
        <v>0</v>
      </c>
      <c r="E124" s="48">
        <f ca="1" t="shared" si="11"/>
        <v>0</v>
      </c>
      <c r="F124" s="48">
        <f ca="1" t="shared" si="12"/>
        <v>0</v>
      </c>
      <c r="G124" s="48">
        <f ca="1" t="shared" si="13"/>
        <v>0</v>
      </c>
      <c r="H124" s="48">
        <f ca="1" t="shared" si="14"/>
        <v>0</v>
      </c>
      <c r="I124" s="48">
        <f ca="1" t="shared" si="15"/>
        <v>0</v>
      </c>
      <c r="J124" s="48">
        <f ca="1" t="shared" si="16"/>
        <v>0</v>
      </c>
    </row>
    <row r="125" spans="2:10">
      <c r="B125" s="23">
        <v>123</v>
      </c>
      <c r="C125" s="48">
        <f ca="1" t="shared" si="9"/>
        <v>0</v>
      </c>
      <c r="D125" s="48">
        <f ca="1" t="shared" si="10"/>
        <v>0</v>
      </c>
      <c r="E125" s="48">
        <f ca="1" t="shared" si="11"/>
        <v>0</v>
      </c>
      <c r="F125" s="48">
        <f ca="1" t="shared" si="12"/>
        <v>0</v>
      </c>
      <c r="G125" s="48">
        <f ca="1" t="shared" si="13"/>
        <v>0</v>
      </c>
      <c r="H125" s="48">
        <f ca="1" t="shared" si="14"/>
        <v>0</v>
      </c>
      <c r="I125" s="48">
        <f ca="1" t="shared" si="15"/>
        <v>0</v>
      </c>
      <c r="J125" s="48">
        <f ca="1" t="shared" si="16"/>
        <v>0</v>
      </c>
    </row>
    <row r="126" spans="2:10">
      <c r="B126" s="23">
        <v>124</v>
      </c>
      <c r="C126" s="48">
        <f ca="1" t="shared" si="9"/>
        <v>0</v>
      </c>
      <c r="D126" s="48">
        <f ca="1" t="shared" si="10"/>
        <v>0</v>
      </c>
      <c r="E126" s="48">
        <f ca="1" t="shared" si="11"/>
        <v>0</v>
      </c>
      <c r="F126" s="48">
        <f ca="1" t="shared" si="12"/>
        <v>0</v>
      </c>
      <c r="G126" s="48">
        <f ca="1" t="shared" si="13"/>
        <v>0</v>
      </c>
      <c r="H126" s="48">
        <f ca="1" t="shared" si="14"/>
        <v>0</v>
      </c>
      <c r="I126" s="48">
        <f ca="1" t="shared" si="15"/>
        <v>0</v>
      </c>
      <c r="J126" s="48">
        <f ca="1" t="shared" si="16"/>
        <v>0</v>
      </c>
    </row>
    <row r="127" spans="2:10">
      <c r="B127" s="23">
        <v>125</v>
      </c>
      <c r="C127" s="48">
        <f ca="1" t="shared" si="9"/>
        <v>0</v>
      </c>
      <c r="D127" s="48">
        <f ca="1" t="shared" si="10"/>
        <v>0</v>
      </c>
      <c r="E127" s="48">
        <f ca="1" t="shared" si="11"/>
        <v>0</v>
      </c>
      <c r="F127" s="48">
        <f ca="1" t="shared" si="12"/>
        <v>0</v>
      </c>
      <c r="G127" s="48">
        <f ca="1" t="shared" si="13"/>
        <v>0</v>
      </c>
      <c r="H127" s="48">
        <f ca="1" t="shared" si="14"/>
        <v>0</v>
      </c>
      <c r="I127" s="48">
        <f ca="1" t="shared" si="15"/>
        <v>0</v>
      </c>
      <c r="J127" s="48">
        <f ca="1" t="shared" si="16"/>
        <v>0</v>
      </c>
    </row>
    <row r="128" spans="2:10">
      <c r="B128" s="23">
        <v>126</v>
      </c>
      <c r="C128" s="48">
        <f ca="1" t="shared" si="9"/>
        <v>0</v>
      </c>
      <c r="D128" s="48">
        <f ca="1" t="shared" si="10"/>
        <v>0</v>
      </c>
      <c r="E128" s="48">
        <f ca="1" t="shared" si="11"/>
        <v>0</v>
      </c>
      <c r="F128" s="48">
        <f ca="1" t="shared" si="12"/>
        <v>0</v>
      </c>
      <c r="G128" s="48">
        <f ca="1" t="shared" si="13"/>
        <v>0</v>
      </c>
      <c r="H128" s="48">
        <f ca="1" t="shared" si="14"/>
        <v>0</v>
      </c>
      <c r="I128" s="48">
        <f ca="1" t="shared" si="15"/>
        <v>0</v>
      </c>
      <c r="J128" s="48">
        <f ca="1" t="shared" si="16"/>
        <v>0</v>
      </c>
    </row>
    <row r="129" spans="2:10">
      <c r="B129" s="23">
        <v>127</v>
      </c>
      <c r="C129" s="48">
        <f ca="1" t="shared" si="9"/>
        <v>0</v>
      </c>
      <c r="D129" s="48">
        <f ca="1" t="shared" si="10"/>
        <v>0</v>
      </c>
      <c r="E129" s="48">
        <f ca="1" t="shared" si="11"/>
        <v>0</v>
      </c>
      <c r="F129" s="48">
        <f ca="1" t="shared" si="12"/>
        <v>0</v>
      </c>
      <c r="G129" s="48">
        <f ca="1" t="shared" si="13"/>
        <v>0</v>
      </c>
      <c r="H129" s="48">
        <f ca="1" t="shared" si="14"/>
        <v>0</v>
      </c>
      <c r="I129" s="48">
        <f ca="1" t="shared" si="15"/>
        <v>0</v>
      </c>
      <c r="J129" s="48">
        <f ca="1" t="shared" si="16"/>
        <v>0</v>
      </c>
    </row>
    <row r="130" spans="2:10">
      <c r="B130" s="23">
        <v>128</v>
      </c>
      <c r="C130" s="48">
        <f ca="1" t="shared" si="9"/>
        <v>0</v>
      </c>
      <c r="D130" s="48">
        <f ca="1" t="shared" si="10"/>
        <v>0</v>
      </c>
      <c r="E130" s="48">
        <f ca="1" t="shared" si="11"/>
        <v>0</v>
      </c>
      <c r="F130" s="48">
        <f ca="1" t="shared" si="12"/>
        <v>0</v>
      </c>
      <c r="G130" s="48">
        <f ca="1" t="shared" si="13"/>
        <v>0</v>
      </c>
      <c r="H130" s="48">
        <f ca="1" t="shared" si="14"/>
        <v>0</v>
      </c>
      <c r="I130" s="48">
        <f ca="1" t="shared" si="15"/>
        <v>0</v>
      </c>
      <c r="J130" s="48">
        <f ca="1" t="shared" si="16"/>
        <v>0</v>
      </c>
    </row>
    <row r="131" spans="2:10">
      <c r="B131" s="23">
        <v>129</v>
      </c>
      <c r="C131" s="48">
        <f ca="1" t="shared" si="9"/>
        <v>0</v>
      </c>
      <c r="D131" s="48">
        <f ca="1" t="shared" si="10"/>
        <v>0</v>
      </c>
      <c r="E131" s="48">
        <f ca="1" t="shared" si="11"/>
        <v>0</v>
      </c>
      <c r="F131" s="48">
        <f ca="1" t="shared" si="12"/>
        <v>0</v>
      </c>
      <c r="G131" s="48">
        <f ca="1" t="shared" si="13"/>
        <v>0</v>
      </c>
      <c r="H131" s="48">
        <f ca="1" t="shared" si="14"/>
        <v>0</v>
      </c>
      <c r="I131" s="48">
        <f ca="1" t="shared" si="15"/>
        <v>0</v>
      </c>
      <c r="J131" s="48">
        <f ca="1" t="shared" si="16"/>
        <v>0</v>
      </c>
    </row>
    <row r="132" spans="2:10">
      <c r="B132" s="23">
        <v>130</v>
      </c>
      <c r="C132" s="48">
        <f ca="1" t="shared" ref="C132:C195" si="17">IFERROR(_xlfn.XLOOKUP(B132,$O$2:$O$27,$P$2:$P$27),0)+OFFSET($R$2,MIN(8,$B132),MATCH(C$2,$S$2:$AB$2,0))</f>
        <v>0</v>
      </c>
      <c r="D132" s="48">
        <f ca="1" t="shared" ref="D132:D195" si="18">IFERROR(_xlfn.XLOOKUP(C132,$O$2:$O$27,$P$2:$P$27),0)+OFFSET($R$2,MIN(8,$B132),MATCH(D$2,$S$2:$AB$2,0))</f>
        <v>0</v>
      </c>
      <c r="E132" s="48">
        <f ca="1" t="shared" ref="E132:E195" si="19">IFERROR(_xlfn.XLOOKUP(D132,$O$2:$O$27,$P$2:$P$27),0)+OFFSET($R$2,MIN(8,$B132),MATCH(E$2,$S$2:$AB$2,0))+IFERROR(_xlfn.XLOOKUP(B132,$L$3:$L$9,$M$3:$M$9),0)</f>
        <v>0</v>
      </c>
      <c r="F132" s="48">
        <f ca="1" t="shared" ref="F132:F195" si="20">IFERROR(_xlfn.XLOOKUP(E132,$O$2:$O$27,$P$2:$P$27),0)+OFFSET($R$2,MIN(8,$B132),MATCH(F$2,$S$2:$AB$2,0))</f>
        <v>0</v>
      </c>
      <c r="G132" s="48">
        <f ca="1" t="shared" ref="G132:G195" si="21">IFERROR(_xlfn.XLOOKUP(F132,$O$2:$O$27,$P$2:$P$27),0)+OFFSET($R$2,MIN(8,$B132),MATCH(G$2,$S$2:$AB$2,0))</f>
        <v>0</v>
      </c>
      <c r="H132" s="48">
        <f ca="1" t="shared" ref="H132:H195" si="22">IFERROR(_xlfn.XLOOKUP(G132,$O$2:$O$27,$P$2:$P$27),0)+OFFSET($R$2,MIN(8,$B132),MATCH(H$2,$S$2:$AB$2,0))</f>
        <v>0</v>
      </c>
      <c r="I132" s="48">
        <f ca="1" t="shared" ref="I132:I195" si="23">IFERROR(_xlfn.XLOOKUP(H132,$O$2:$O$27,$P$2:$P$27),0)+OFFSET($R$2,MIN(8,$B132),MATCH(I$2,$S$2:$AB$2,0))</f>
        <v>0</v>
      </c>
      <c r="J132" s="48">
        <f ca="1" t="shared" ref="J132:J195" si="24">IFERROR(_xlfn.XLOOKUP(I132,$O$2:$O$27,$P$2:$P$27),0)+OFFSET($R$2,MIN(8,$B132),MATCH(J$2,$S$2:$AB$2,0))</f>
        <v>0</v>
      </c>
    </row>
    <row r="133" spans="2:10">
      <c r="B133" s="23">
        <v>131</v>
      </c>
      <c r="C133" s="48">
        <f ca="1" t="shared" si="17"/>
        <v>0</v>
      </c>
      <c r="D133" s="48">
        <f ca="1" t="shared" si="18"/>
        <v>0</v>
      </c>
      <c r="E133" s="48">
        <f ca="1" t="shared" si="19"/>
        <v>0</v>
      </c>
      <c r="F133" s="48">
        <f ca="1" t="shared" si="20"/>
        <v>0</v>
      </c>
      <c r="G133" s="48">
        <f ca="1" t="shared" si="21"/>
        <v>0</v>
      </c>
      <c r="H133" s="48">
        <f ca="1" t="shared" si="22"/>
        <v>0</v>
      </c>
      <c r="I133" s="48">
        <f ca="1" t="shared" si="23"/>
        <v>0</v>
      </c>
      <c r="J133" s="48">
        <f ca="1" t="shared" si="24"/>
        <v>0</v>
      </c>
    </row>
    <row r="134" spans="2:10">
      <c r="B134" s="23">
        <v>132</v>
      </c>
      <c r="C134" s="48">
        <f ca="1" t="shared" si="17"/>
        <v>0</v>
      </c>
      <c r="D134" s="48">
        <f ca="1" t="shared" si="18"/>
        <v>0</v>
      </c>
      <c r="E134" s="48">
        <f ca="1" t="shared" si="19"/>
        <v>0</v>
      </c>
      <c r="F134" s="48">
        <f ca="1" t="shared" si="20"/>
        <v>0</v>
      </c>
      <c r="G134" s="48">
        <f ca="1" t="shared" si="21"/>
        <v>0</v>
      </c>
      <c r="H134" s="48">
        <f ca="1" t="shared" si="22"/>
        <v>0</v>
      </c>
      <c r="I134" s="48">
        <f ca="1" t="shared" si="23"/>
        <v>0</v>
      </c>
      <c r="J134" s="48">
        <f ca="1" t="shared" si="24"/>
        <v>0</v>
      </c>
    </row>
    <row r="135" spans="2:10">
      <c r="B135" s="23">
        <v>133</v>
      </c>
      <c r="C135" s="48">
        <f ca="1" t="shared" si="17"/>
        <v>0</v>
      </c>
      <c r="D135" s="48">
        <f ca="1" t="shared" si="18"/>
        <v>0</v>
      </c>
      <c r="E135" s="48">
        <f ca="1" t="shared" si="19"/>
        <v>0</v>
      </c>
      <c r="F135" s="48">
        <f ca="1" t="shared" si="20"/>
        <v>0</v>
      </c>
      <c r="G135" s="48">
        <f ca="1" t="shared" si="21"/>
        <v>0</v>
      </c>
      <c r="H135" s="48">
        <f ca="1" t="shared" si="22"/>
        <v>0</v>
      </c>
      <c r="I135" s="48">
        <f ca="1" t="shared" si="23"/>
        <v>0</v>
      </c>
      <c r="J135" s="48">
        <f ca="1" t="shared" si="24"/>
        <v>0</v>
      </c>
    </row>
    <row r="136" spans="2:10">
      <c r="B136" s="23">
        <v>134</v>
      </c>
      <c r="C136" s="48">
        <f ca="1" t="shared" si="17"/>
        <v>0</v>
      </c>
      <c r="D136" s="48">
        <f ca="1" t="shared" si="18"/>
        <v>0</v>
      </c>
      <c r="E136" s="48">
        <f ca="1" t="shared" si="19"/>
        <v>0</v>
      </c>
      <c r="F136" s="48">
        <f ca="1" t="shared" si="20"/>
        <v>0</v>
      </c>
      <c r="G136" s="48">
        <f ca="1" t="shared" si="21"/>
        <v>0</v>
      </c>
      <c r="H136" s="48">
        <f ca="1" t="shared" si="22"/>
        <v>0</v>
      </c>
      <c r="I136" s="48">
        <f ca="1" t="shared" si="23"/>
        <v>0</v>
      </c>
      <c r="J136" s="48">
        <f ca="1" t="shared" si="24"/>
        <v>0</v>
      </c>
    </row>
    <row r="137" spans="2:10">
      <c r="B137" s="23">
        <v>135</v>
      </c>
      <c r="C137" s="48">
        <f ca="1" t="shared" si="17"/>
        <v>0</v>
      </c>
      <c r="D137" s="48">
        <f ca="1" t="shared" si="18"/>
        <v>0</v>
      </c>
      <c r="E137" s="48">
        <f ca="1" t="shared" si="19"/>
        <v>0</v>
      </c>
      <c r="F137" s="48">
        <f ca="1" t="shared" si="20"/>
        <v>0</v>
      </c>
      <c r="G137" s="48">
        <f ca="1" t="shared" si="21"/>
        <v>0</v>
      </c>
      <c r="H137" s="48">
        <f ca="1" t="shared" si="22"/>
        <v>0</v>
      </c>
      <c r="I137" s="48">
        <f ca="1" t="shared" si="23"/>
        <v>0</v>
      </c>
      <c r="J137" s="48">
        <f ca="1" t="shared" si="24"/>
        <v>0</v>
      </c>
    </row>
    <row r="138" spans="2:10">
      <c r="B138" s="23">
        <v>136</v>
      </c>
      <c r="C138" s="48">
        <f ca="1" t="shared" si="17"/>
        <v>0</v>
      </c>
      <c r="D138" s="48">
        <f ca="1" t="shared" si="18"/>
        <v>0</v>
      </c>
      <c r="E138" s="48">
        <f ca="1" t="shared" si="19"/>
        <v>0</v>
      </c>
      <c r="F138" s="48">
        <f ca="1" t="shared" si="20"/>
        <v>0</v>
      </c>
      <c r="G138" s="48">
        <f ca="1" t="shared" si="21"/>
        <v>0</v>
      </c>
      <c r="H138" s="48">
        <f ca="1" t="shared" si="22"/>
        <v>0</v>
      </c>
      <c r="I138" s="48">
        <f ca="1" t="shared" si="23"/>
        <v>0</v>
      </c>
      <c r="J138" s="48">
        <f ca="1" t="shared" si="24"/>
        <v>0</v>
      </c>
    </row>
    <row r="139" spans="2:10">
      <c r="B139" s="23">
        <v>137</v>
      </c>
      <c r="C139" s="48">
        <f ca="1" t="shared" si="17"/>
        <v>0</v>
      </c>
      <c r="D139" s="48">
        <f ca="1" t="shared" si="18"/>
        <v>0</v>
      </c>
      <c r="E139" s="48">
        <f ca="1" t="shared" si="19"/>
        <v>0</v>
      </c>
      <c r="F139" s="48">
        <f ca="1" t="shared" si="20"/>
        <v>0</v>
      </c>
      <c r="G139" s="48">
        <f ca="1" t="shared" si="21"/>
        <v>0</v>
      </c>
      <c r="H139" s="48">
        <f ca="1" t="shared" si="22"/>
        <v>0</v>
      </c>
      <c r="I139" s="48">
        <f ca="1" t="shared" si="23"/>
        <v>0</v>
      </c>
      <c r="J139" s="48">
        <f ca="1" t="shared" si="24"/>
        <v>0</v>
      </c>
    </row>
    <row r="140" spans="2:10">
      <c r="B140" s="23">
        <v>138</v>
      </c>
      <c r="C140" s="48">
        <f ca="1" t="shared" si="17"/>
        <v>0</v>
      </c>
      <c r="D140" s="48">
        <f ca="1" t="shared" si="18"/>
        <v>0</v>
      </c>
      <c r="E140" s="48">
        <f ca="1" t="shared" si="19"/>
        <v>0</v>
      </c>
      <c r="F140" s="48">
        <f ca="1" t="shared" si="20"/>
        <v>0</v>
      </c>
      <c r="G140" s="48">
        <f ca="1" t="shared" si="21"/>
        <v>0</v>
      </c>
      <c r="H140" s="48">
        <f ca="1" t="shared" si="22"/>
        <v>0</v>
      </c>
      <c r="I140" s="48">
        <f ca="1" t="shared" si="23"/>
        <v>0</v>
      </c>
      <c r="J140" s="48">
        <f ca="1" t="shared" si="24"/>
        <v>0</v>
      </c>
    </row>
    <row r="141" spans="2:10">
      <c r="B141" s="23">
        <v>139</v>
      </c>
      <c r="C141" s="48">
        <f ca="1" t="shared" si="17"/>
        <v>0</v>
      </c>
      <c r="D141" s="48">
        <f ca="1" t="shared" si="18"/>
        <v>0</v>
      </c>
      <c r="E141" s="48">
        <f ca="1" t="shared" si="19"/>
        <v>0</v>
      </c>
      <c r="F141" s="48">
        <f ca="1" t="shared" si="20"/>
        <v>0</v>
      </c>
      <c r="G141" s="48">
        <f ca="1" t="shared" si="21"/>
        <v>0</v>
      </c>
      <c r="H141" s="48">
        <f ca="1" t="shared" si="22"/>
        <v>0</v>
      </c>
      <c r="I141" s="48">
        <f ca="1" t="shared" si="23"/>
        <v>0</v>
      </c>
      <c r="J141" s="48">
        <f ca="1" t="shared" si="24"/>
        <v>0</v>
      </c>
    </row>
    <row r="142" spans="2:10">
      <c r="B142" s="23">
        <v>140</v>
      </c>
      <c r="C142" s="48">
        <f ca="1" t="shared" si="17"/>
        <v>0</v>
      </c>
      <c r="D142" s="48">
        <f ca="1" t="shared" si="18"/>
        <v>0</v>
      </c>
      <c r="E142" s="48">
        <f ca="1" t="shared" si="19"/>
        <v>0</v>
      </c>
      <c r="F142" s="48">
        <f ca="1" t="shared" si="20"/>
        <v>0</v>
      </c>
      <c r="G142" s="48">
        <f ca="1" t="shared" si="21"/>
        <v>0</v>
      </c>
      <c r="H142" s="48">
        <f ca="1" t="shared" si="22"/>
        <v>0</v>
      </c>
      <c r="I142" s="48">
        <f ca="1" t="shared" si="23"/>
        <v>0</v>
      </c>
      <c r="J142" s="48">
        <f ca="1" t="shared" si="24"/>
        <v>0</v>
      </c>
    </row>
    <row r="143" spans="2:10">
      <c r="B143" s="23">
        <v>141</v>
      </c>
      <c r="C143" s="48">
        <f ca="1" t="shared" si="17"/>
        <v>0</v>
      </c>
      <c r="D143" s="48">
        <f ca="1" t="shared" si="18"/>
        <v>0</v>
      </c>
      <c r="E143" s="48">
        <f ca="1" t="shared" si="19"/>
        <v>0</v>
      </c>
      <c r="F143" s="48">
        <f ca="1" t="shared" si="20"/>
        <v>0</v>
      </c>
      <c r="G143" s="48">
        <f ca="1" t="shared" si="21"/>
        <v>0</v>
      </c>
      <c r="H143" s="48">
        <f ca="1" t="shared" si="22"/>
        <v>0</v>
      </c>
      <c r="I143" s="48">
        <f ca="1" t="shared" si="23"/>
        <v>0</v>
      </c>
      <c r="J143" s="48">
        <f ca="1" t="shared" si="24"/>
        <v>0</v>
      </c>
    </row>
    <row r="144" spans="2:10">
      <c r="B144" s="23">
        <v>142</v>
      </c>
      <c r="C144" s="48">
        <f ca="1" t="shared" si="17"/>
        <v>0</v>
      </c>
      <c r="D144" s="48">
        <f ca="1" t="shared" si="18"/>
        <v>0</v>
      </c>
      <c r="E144" s="48">
        <f ca="1" t="shared" si="19"/>
        <v>0</v>
      </c>
      <c r="F144" s="48">
        <f ca="1" t="shared" si="20"/>
        <v>0</v>
      </c>
      <c r="G144" s="48">
        <f ca="1" t="shared" si="21"/>
        <v>0</v>
      </c>
      <c r="H144" s="48">
        <f ca="1" t="shared" si="22"/>
        <v>0</v>
      </c>
      <c r="I144" s="48">
        <f ca="1" t="shared" si="23"/>
        <v>0</v>
      </c>
      <c r="J144" s="48">
        <f ca="1" t="shared" si="24"/>
        <v>0</v>
      </c>
    </row>
    <row r="145" spans="2:10">
      <c r="B145" s="23">
        <v>143</v>
      </c>
      <c r="C145" s="48">
        <f ca="1" t="shared" si="17"/>
        <v>0</v>
      </c>
      <c r="D145" s="48">
        <f ca="1" t="shared" si="18"/>
        <v>0</v>
      </c>
      <c r="E145" s="48">
        <f ca="1" t="shared" si="19"/>
        <v>0</v>
      </c>
      <c r="F145" s="48">
        <f ca="1" t="shared" si="20"/>
        <v>0</v>
      </c>
      <c r="G145" s="48">
        <f ca="1" t="shared" si="21"/>
        <v>0</v>
      </c>
      <c r="H145" s="48">
        <f ca="1" t="shared" si="22"/>
        <v>0</v>
      </c>
      <c r="I145" s="48">
        <f ca="1" t="shared" si="23"/>
        <v>0</v>
      </c>
      <c r="J145" s="48">
        <f ca="1" t="shared" si="24"/>
        <v>0</v>
      </c>
    </row>
    <row r="146" spans="2:10">
      <c r="B146" s="23">
        <v>144</v>
      </c>
      <c r="C146" s="48">
        <f ca="1" t="shared" si="17"/>
        <v>0</v>
      </c>
      <c r="D146" s="48">
        <f ca="1" t="shared" si="18"/>
        <v>0</v>
      </c>
      <c r="E146" s="48">
        <f ca="1" t="shared" si="19"/>
        <v>0</v>
      </c>
      <c r="F146" s="48">
        <f ca="1" t="shared" si="20"/>
        <v>0</v>
      </c>
      <c r="G146" s="48">
        <f ca="1" t="shared" si="21"/>
        <v>0</v>
      </c>
      <c r="H146" s="48">
        <f ca="1" t="shared" si="22"/>
        <v>0</v>
      </c>
      <c r="I146" s="48">
        <f ca="1" t="shared" si="23"/>
        <v>0</v>
      </c>
      <c r="J146" s="48">
        <f ca="1" t="shared" si="24"/>
        <v>0</v>
      </c>
    </row>
    <row r="147" spans="2:10">
      <c r="B147" s="23">
        <v>145</v>
      </c>
      <c r="C147" s="48">
        <f ca="1" t="shared" si="17"/>
        <v>0</v>
      </c>
      <c r="D147" s="48">
        <f ca="1" t="shared" si="18"/>
        <v>0</v>
      </c>
      <c r="E147" s="48">
        <f ca="1" t="shared" si="19"/>
        <v>0</v>
      </c>
      <c r="F147" s="48">
        <f ca="1" t="shared" si="20"/>
        <v>0</v>
      </c>
      <c r="G147" s="48">
        <f ca="1" t="shared" si="21"/>
        <v>0</v>
      </c>
      <c r="H147" s="48">
        <f ca="1" t="shared" si="22"/>
        <v>0</v>
      </c>
      <c r="I147" s="48">
        <f ca="1" t="shared" si="23"/>
        <v>0</v>
      </c>
      <c r="J147" s="48">
        <f ca="1" t="shared" si="24"/>
        <v>0</v>
      </c>
    </row>
    <row r="148" spans="2:10">
      <c r="B148" s="23">
        <v>146</v>
      </c>
      <c r="C148" s="48">
        <f ca="1" t="shared" si="17"/>
        <v>0</v>
      </c>
      <c r="D148" s="48">
        <f ca="1" t="shared" si="18"/>
        <v>0</v>
      </c>
      <c r="E148" s="48">
        <f ca="1" t="shared" si="19"/>
        <v>0</v>
      </c>
      <c r="F148" s="48">
        <f ca="1" t="shared" si="20"/>
        <v>0</v>
      </c>
      <c r="G148" s="48">
        <f ca="1" t="shared" si="21"/>
        <v>0</v>
      </c>
      <c r="H148" s="48">
        <f ca="1" t="shared" si="22"/>
        <v>0</v>
      </c>
      <c r="I148" s="48">
        <f ca="1" t="shared" si="23"/>
        <v>0</v>
      </c>
      <c r="J148" s="48">
        <f ca="1" t="shared" si="24"/>
        <v>0</v>
      </c>
    </row>
    <row r="149" spans="2:10">
      <c r="B149" s="23">
        <v>147</v>
      </c>
      <c r="C149" s="48">
        <f ca="1" t="shared" si="17"/>
        <v>0</v>
      </c>
      <c r="D149" s="48">
        <f ca="1" t="shared" si="18"/>
        <v>0</v>
      </c>
      <c r="E149" s="48">
        <f ca="1" t="shared" si="19"/>
        <v>0</v>
      </c>
      <c r="F149" s="48">
        <f ca="1" t="shared" si="20"/>
        <v>0</v>
      </c>
      <c r="G149" s="48">
        <f ca="1" t="shared" si="21"/>
        <v>0</v>
      </c>
      <c r="H149" s="48">
        <f ca="1" t="shared" si="22"/>
        <v>0</v>
      </c>
      <c r="I149" s="48">
        <f ca="1" t="shared" si="23"/>
        <v>0</v>
      </c>
      <c r="J149" s="48">
        <f ca="1" t="shared" si="24"/>
        <v>0</v>
      </c>
    </row>
    <row r="150" spans="2:10">
      <c r="B150" s="23">
        <v>148</v>
      </c>
      <c r="C150" s="48">
        <f ca="1" t="shared" si="17"/>
        <v>0</v>
      </c>
      <c r="D150" s="48">
        <f ca="1" t="shared" si="18"/>
        <v>0</v>
      </c>
      <c r="E150" s="48">
        <f ca="1" t="shared" si="19"/>
        <v>0</v>
      </c>
      <c r="F150" s="48">
        <f ca="1" t="shared" si="20"/>
        <v>0</v>
      </c>
      <c r="G150" s="48">
        <f ca="1" t="shared" si="21"/>
        <v>0</v>
      </c>
      <c r="H150" s="48">
        <f ca="1" t="shared" si="22"/>
        <v>0</v>
      </c>
      <c r="I150" s="48">
        <f ca="1" t="shared" si="23"/>
        <v>0</v>
      </c>
      <c r="J150" s="48">
        <f ca="1" t="shared" si="24"/>
        <v>0</v>
      </c>
    </row>
    <row r="151" spans="2:10">
      <c r="B151" s="23">
        <v>149</v>
      </c>
      <c r="C151" s="48">
        <f ca="1" t="shared" si="17"/>
        <v>0</v>
      </c>
      <c r="D151" s="48">
        <f ca="1" t="shared" si="18"/>
        <v>0</v>
      </c>
      <c r="E151" s="48">
        <f ca="1" t="shared" si="19"/>
        <v>0</v>
      </c>
      <c r="F151" s="48">
        <f ca="1" t="shared" si="20"/>
        <v>0</v>
      </c>
      <c r="G151" s="48">
        <f ca="1" t="shared" si="21"/>
        <v>0</v>
      </c>
      <c r="H151" s="48">
        <f ca="1" t="shared" si="22"/>
        <v>0</v>
      </c>
      <c r="I151" s="48">
        <f ca="1" t="shared" si="23"/>
        <v>0</v>
      </c>
      <c r="J151" s="48">
        <f ca="1" t="shared" si="24"/>
        <v>0</v>
      </c>
    </row>
    <row r="152" spans="2:10">
      <c r="B152" s="23">
        <v>150</v>
      </c>
      <c r="C152" s="48">
        <f ca="1" t="shared" si="17"/>
        <v>0</v>
      </c>
      <c r="D152" s="48">
        <f ca="1" t="shared" si="18"/>
        <v>0</v>
      </c>
      <c r="E152" s="48">
        <f ca="1" t="shared" si="19"/>
        <v>0</v>
      </c>
      <c r="F152" s="48">
        <f ca="1" t="shared" si="20"/>
        <v>0</v>
      </c>
      <c r="G152" s="48">
        <f ca="1" t="shared" si="21"/>
        <v>0</v>
      </c>
      <c r="H152" s="48">
        <f ca="1" t="shared" si="22"/>
        <v>0</v>
      </c>
      <c r="I152" s="48">
        <f ca="1" t="shared" si="23"/>
        <v>0</v>
      </c>
      <c r="J152" s="48">
        <f ca="1" t="shared" si="24"/>
        <v>0</v>
      </c>
    </row>
    <row r="153" spans="2:10">
      <c r="B153" s="23">
        <v>151</v>
      </c>
      <c r="C153" s="48">
        <f ca="1" t="shared" si="17"/>
        <v>0</v>
      </c>
      <c r="D153" s="48">
        <f ca="1" t="shared" si="18"/>
        <v>0</v>
      </c>
      <c r="E153" s="48">
        <f ca="1" t="shared" si="19"/>
        <v>0</v>
      </c>
      <c r="F153" s="48">
        <f ca="1" t="shared" si="20"/>
        <v>0</v>
      </c>
      <c r="G153" s="48">
        <f ca="1" t="shared" si="21"/>
        <v>0</v>
      </c>
      <c r="H153" s="48">
        <f ca="1" t="shared" si="22"/>
        <v>0</v>
      </c>
      <c r="I153" s="48">
        <f ca="1" t="shared" si="23"/>
        <v>0</v>
      </c>
      <c r="J153" s="48">
        <f ca="1" t="shared" si="24"/>
        <v>0</v>
      </c>
    </row>
    <row r="154" spans="2:10">
      <c r="B154" s="23">
        <v>152</v>
      </c>
      <c r="C154" s="48">
        <f ca="1" t="shared" si="17"/>
        <v>0</v>
      </c>
      <c r="D154" s="48">
        <f ca="1" t="shared" si="18"/>
        <v>0</v>
      </c>
      <c r="E154" s="48">
        <f ca="1" t="shared" si="19"/>
        <v>0</v>
      </c>
      <c r="F154" s="48">
        <f ca="1" t="shared" si="20"/>
        <v>0</v>
      </c>
      <c r="G154" s="48">
        <f ca="1" t="shared" si="21"/>
        <v>0</v>
      </c>
      <c r="H154" s="48">
        <f ca="1" t="shared" si="22"/>
        <v>0</v>
      </c>
      <c r="I154" s="48">
        <f ca="1" t="shared" si="23"/>
        <v>0</v>
      </c>
      <c r="J154" s="48">
        <f ca="1" t="shared" si="24"/>
        <v>0</v>
      </c>
    </row>
    <row r="155" spans="2:10">
      <c r="B155" s="23">
        <v>153</v>
      </c>
      <c r="C155" s="48">
        <f ca="1" t="shared" si="17"/>
        <v>0</v>
      </c>
      <c r="D155" s="48">
        <f ca="1" t="shared" si="18"/>
        <v>0</v>
      </c>
      <c r="E155" s="48">
        <f ca="1" t="shared" si="19"/>
        <v>0</v>
      </c>
      <c r="F155" s="48">
        <f ca="1" t="shared" si="20"/>
        <v>0</v>
      </c>
      <c r="G155" s="48">
        <f ca="1" t="shared" si="21"/>
        <v>0</v>
      </c>
      <c r="H155" s="48">
        <f ca="1" t="shared" si="22"/>
        <v>0</v>
      </c>
      <c r="I155" s="48">
        <f ca="1" t="shared" si="23"/>
        <v>0</v>
      </c>
      <c r="J155" s="48">
        <f ca="1" t="shared" si="24"/>
        <v>0</v>
      </c>
    </row>
    <row r="156" spans="2:10">
      <c r="B156" s="23">
        <v>154</v>
      </c>
      <c r="C156" s="48">
        <f ca="1" t="shared" si="17"/>
        <v>0</v>
      </c>
      <c r="D156" s="48">
        <f ca="1" t="shared" si="18"/>
        <v>0</v>
      </c>
      <c r="E156" s="48">
        <f ca="1" t="shared" si="19"/>
        <v>0</v>
      </c>
      <c r="F156" s="48">
        <f ca="1" t="shared" si="20"/>
        <v>0</v>
      </c>
      <c r="G156" s="48">
        <f ca="1" t="shared" si="21"/>
        <v>0</v>
      </c>
      <c r="H156" s="48">
        <f ca="1" t="shared" si="22"/>
        <v>0</v>
      </c>
      <c r="I156" s="48">
        <f ca="1" t="shared" si="23"/>
        <v>0</v>
      </c>
      <c r="J156" s="48">
        <f ca="1" t="shared" si="24"/>
        <v>0</v>
      </c>
    </row>
    <row r="157" spans="2:10">
      <c r="B157" s="23">
        <v>155</v>
      </c>
      <c r="C157" s="48">
        <f ca="1" t="shared" si="17"/>
        <v>0</v>
      </c>
      <c r="D157" s="48">
        <f ca="1" t="shared" si="18"/>
        <v>0</v>
      </c>
      <c r="E157" s="48">
        <f ca="1" t="shared" si="19"/>
        <v>0</v>
      </c>
      <c r="F157" s="48">
        <f ca="1" t="shared" si="20"/>
        <v>0</v>
      </c>
      <c r="G157" s="48">
        <f ca="1" t="shared" si="21"/>
        <v>0</v>
      </c>
      <c r="H157" s="48">
        <f ca="1" t="shared" si="22"/>
        <v>0</v>
      </c>
      <c r="I157" s="48">
        <f ca="1" t="shared" si="23"/>
        <v>0</v>
      </c>
      <c r="J157" s="48">
        <f ca="1" t="shared" si="24"/>
        <v>0</v>
      </c>
    </row>
    <row r="158" spans="2:10">
      <c r="B158" s="23">
        <v>156</v>
      </c>
      <c r="C158" s="48">
        <f ca="1" t="shared" si="17"/>
        <v>0</v>
      </c>
      <c r="D158" s="48">
        <f ca="1" t="shared" si="18"/>
        <v>0</v>
      </c>
      <c r="E158" s="48">
        <f ca="1" t="shared" si="19"/>
        <v>0</v>
      </c>
      <c r="F158" s="48">
        <f ca="1" t="shared" si="20"/>
        <v>0</v>
      </c>
      <c r="G158" s="48">
        <f ca="1" t="shared" si="21"/>
        <v>0</v>
      </c>
      <c r="H158" s="48">
        <f ca="1" t="shared" si="22"/>
        <v>0</v>
      </c>
      <c r="I158" s="48">
        <f ca="1" t="shared" si="23"/>
        <v>0</v>
      </c>
      <c r="J158" s="48">
        <f ca="1" t="shared" si="24"/>
        <v>0</v>
      </c>
    </row>
    <row r="159" spans="2:10">
      <c r="B159" s="23">
        <v>157</v>
      </c>
      <c r="C159" s="48">
        <f ca="1" t="shared" si="17"/>
        <v>0</v>
      </c>
      <c r="D159" s="48">
        <f ca="1" t="shared" si="18"/>
        <v>0</v>
      </c>
      <c r="E159" s="48">
        <f ca="1" t="shared" si="19"/>
        <v>0</v>
      </c>
      <c r="F159" s="48">
        <f ca="1" t="shared" si="20"/>
        <v>0</v>
      </c>
      <c r="G159" s="48">
        <f ca="1" t="shared" si="21"/>
        <v>0</v>
      </c>
      <c r="H159" s="48">
        <f ca="1" t="shared" si="22"/>
        <v>0</v>
      </c>
      <c r="I159" s="48">
        <f ca="1" t="shared" si="23"/>
        <v>0</v>
      </c>
      <c r="J159" s="48">
        <f ca="1" t="shared" si="24"/>
        <v>0</v>
      </c>
    </row>
    <row r="160" spans="2:10">
      <c r="B160" s="23">
        <v>158</v>
      </c>
      <c r="C160" s="48">
        <f ca="1" t="shared" si="17"/>
        <v>0</v>
      </c>
      <c r="D160" s="48">
        <f ca="1" t="shared" si="18"/>
        <v>0</v>
      </c>
      <c r="E160" s="48">
        <f ca="1" t="shared" si="19"/>
        <v>0</v>
      </c>
      <c r="F160" s="48">
        <f ca="1" t="shared" si="20"/>
        <v>0</v>
      </c>
      <c r="G160" s="48">
        <f ca="1" t="shared" si="21"/>
        <v>0</v>
      </c>
      <c r="H160" s="48">
        <f ca="1" t="shared" si="22"/>
        <v>0</v>
      </c>
      <c r="I160" s="48">
        <f ca="1" t="shared" si="23"/>
        <v>0</v>
      </c>
      <c r="J160" s="48">
        <f ca="1" t="shared" si="24"/>
        <v>0</v>
      </c>
    </row>
    <row r="161" spans="2:10">
      <c r="B161" s="23">
        <v>159</v>
      </c>
      <c r="C161" s="48">
        <f ca="1" t="shared" si="17"/>
        <v>0</v>
      </c>
      <c r="D161" s="48">
        <f ca="1" t="shared" si="18"/>
        <v>0</v>
      </c>
      <c r="E161" s="48">
        <f ca="1" t="shared" si="19"/>
        <v>0</v>
      </c>
      <c r="F161" s="48">
        <f ca="1" t="shared" si="20"/>
        <v>0</v>
      </c>
      <c r="G161" s="48">
        <f ca="1" t="shared" si="21"/>
        <v>0</v>
      </c>
      <c r="H161" s="48">
        <f ca="1" t="shared" si="22"/>
        <v>0</v>
      </c>
      <c r="I161" s="48">
        <f ca="1" t="shared" si="23"/>
        <v>0</v>
      </c>
      <c r="J161" s="48">
        <f ca="1" t="shared" si="24"/>
        <v>0</v>
      </c>
    </row>
    <row r="162" spans="2:10">
      <c r="B162" s="23">
        <v>160</v>
      </c>
      <c r="C162" s="48">
        <f ca="1" t="shared" si="17"/>
        <v>0</v>
      </c>
      <c r="D162" s="48">
        <f ca="1" t="shared" si="18"/>
        <v>0</v>
      </c>
      <c r="E162" s="48">
        <f ca="1" t="shared" si="19"/>
        <v>0</v>
      </c>
      <c r="F162" s="48">
        <f ca="1" t="shared" si="20"/>
        <v>0</v>
      </c>
      <c r="G162" s="48">
        <f ca="1" t="shared" si="21"/>
        <v>0</v>
      </c>
      <c r="H162" s="48">
        <f ca="1" t="shared" si="22"/>
        <v>0</v>
      </c>
      <c r="I162" s="48">
        <f ca="1" t="shared" si="23"/>
        <v>0</v>
      </c>
      <c r="J162" s="48">
        <f ca="1" t="shared" si="24"/>
        <v>0</v>
      </c>
    </row>
    <row r="163" spans="2:10">
      <c r="B163" s="23">
        <v>161</v>
      </c>
      <c r="C163" s="48">
        <f ca="1" t="shared" si="17"/>
        <v>0</v>
      </c>
      <c r="D163" s="48">
        <f ca="1" t="shared" si="18"/>
        <v>0</v>
      </c>
      <c r="E163" s="48">
        <f ca="1" t="shared" si="19"/>
        <v>0</v>
      </c>
      <c r="F163" s="48">
        <f ca="1" t="shared" si="20"/>
        <v>0</v>
      </c>
      <c r="G163" s="48">
        <f ca="1" t="shared" si="21"/>
        <v>0</v>
      </c>
      <c r="H163" s="48">
        <f ca="1" t="shared" si="22"/>
        <v>0</v>
      </c>
      <c r="I163" s="48">
        <f ca="1" t="shared" si="23"/>
        <v>0</v>
      </c>
      <c r="J163" s="48">
        <f ca="1" t="shared" si="24"/>
        <v>0</v>
      </c>
    </row>
    <row r="164" spans="2:10">
      <c r="B164" s="23">
        <v>162</v>
      </c>
      <c r="C164" s="48">
        <f ca="1" t="shared" si="17"/>
        <v>0</v>
      </c>
      <c r="D164" s="48">
        <f ca="1" t="shared" si="18"/>
        <v>0</v>
      </c>
      <c r="E164" s="48">
        <f ca="1" t="shared" si="19"/>
        <v>0</v>
      </c>
      <c r="F164" s="48">
        <f ca="1" t="shared" si="20"/>
        <v>0</v>
      </c>
      <c r="G164" s="48">
        <f ca="1" t="shared" si="21"/>
        <v>0</v>
      </c>
      <c r="H164" s="48">
        <f ca="1" t="shared" si="22"/>
        <v>0</v>
      </c>
      <c r="I164" s="48">
        <f ca="1" t="shared" si="23"/>
        <v>0</v>
      </c>
      <c r="J164" s="48">
        <f ca="1" t="shared" si="24"/>
        <v>0</v>
      </c>
    </row>
    <row r="165" spans="2:10">
      <c r="B165" s="23">
        <v>163</v>
      </c>
      <c r="C165" s="48">
        <f ca="1" t="shared" si="17"/>
        <v>0</v>
      </c>
      <c r="D165" s="48">
        <f ca="1" t="shared" si="18"/>
        <v>0</v>
      </c>
      <c r="E165" s="48">
        <f ca="1" t="shared" si="19"/>
        <v>0</v>
      </c>
      <c r="F165" s="48">
        <f ca="1" t="shared" si="20"/>
        <v>0</v>
      </c>
      <c r="G165" s="48">
        <f ca="1" t="shared" si="21"/>
        <v>0</v>
      </c>
      <c r="H165" s="48">
        <f ca="1" t="shared" si="22"/>
        <v>0</v>
      </c>
      <c r="I165" s="48">
        <f ca="1" t="shared" si="23"/>
        <v>0</v>
      </c>
      <c r="J165" s="48">
        <f ca="1" t="shared" si="24"/>
        <v>0</v>
      </c>
    </row>
    <row r="166" spans="2:10">
      <c r="B166" s="23">
        <v>164</v>
      </c>
      <c r="C166" s="48">
        <f ca="1" t="shared" si="17"/>
        <v>0</v>
      </c>
      <c r="D166" s="48">
        <f ca="1" t="shared" si="18"/>
        <v>0</v>
      </c>
      <c r="E166" s="48">
        <f ca="1" t="shared" si="19"/>
        <v>0</v>
      </c>
      <c r="F166" s="48">
        <f ca="1" t="shared" si="20"/>
        <v>0</v>
      </c>
      <c r="G166" s="48">
        <f ca="1" t="shared" si="21"/>
        <v>0</v>
      </c>
      <c r="H166" s="48">
        <f ca="1" t="shared" si="22"/>
        <v>0</v>
      </c>
      <c r="I166" s="48">
        <f ca="1" t="shared" si="23"/>
        <v>0</v>
      </c>
      <c r="J166" s="48">
        <f ca="1" t="shared" si="24"/>
        <v>0</v>
      </c>
    </row>
    <row r="167" spans="2:10">
      <c r="B167" s="23">
        <v>165</v>
      </c>
      <c r="C167" s="48">
        <f ca="1" t="shared" si="17"/>
        <v>0</v>
      </c>
      <c r="D167" s="48">
        <f ca="1" t="shared" si="18"/>
        <v>0</v>
      </c>
      <c r="E167" s="48">
        <f ca="1" t="shared" si="19"/>
        <v>0</v>
      </c>
      <c r="F167" s="48">
        <f ca="1" t="shared" si="20"/>
        <v>0</v>
      </c>
      <c r="G167" s="48">
        <f ca="1" t="shared" si="21"/>
        <v>0</v>
      </c>
      <c r="H167" s="48">
        <f ca="1" t="shared" si="22"/>
        <v>0</v>
      </c>
      <c r="I167" s="48">
        <f ca="1" t="shared" si="23"/>
        <v>0</v>
      </c>
      <c r="J167" s="48">
        <f ca="1" t="shared" si="24"/>
        <v>0</v>
      </c>
    </row>
    <row r="168" spans="2:10">
      <c r="B168" s="23">
        <v>166</v>
      </c>
      <c r="C168" s="48">
        <f ca="1" t="shared" si="17"/>
        <v>0</v>
      </c>
      <c r="D168" s="48">
        <f ca="1" t="shared" si="18"/>
        <v>0</v>
      </c>
      <c r="E168" s="48">
        <f ca="1" t="shared" si="19"/>
        <v>0</v>
      </c>
      <c r="F168" s="48">
        <f ca="1" t="shared" si="20"/>
        <v>0</v>
      </c>
      <c r="G168" s="48">
        <f ca="1" t="shared" si="21"/>
        <v>0</v>
      </c>
      <c r="H168" s="48">
        <f ca="1" t="shared" si="22"/>
        <v>0</v>
      </c>
      <c r="I168" s="48">
        <f ca="1" t="shared" si="23"/>
        <v>0</v>
      </c>
      <c r="J168" s="48">
        <f ca="1" t="shared" si="24"/>
        <v>0</v>
      </c>
    </row>
    <row r="169" spans="2:10">
      <c r="B169" s="23">
        <v>167</v>
      </c>
      <c r="C169" s="48">
        <f ca="1" t="shared" si="17"/>
        <v>0</v>
      </c>
      <c r="D169" s="48">
        <f ca="1" t="shared" si="18"/>
        <v>0</v>
      </c>
      <c r="E169" s="48">
        <f ca="1" t="shared" si="19"/>
        <v>0</v>
      </c>
      <c r="F169" s="48">
        <f ca="1" t="shared" si="20"/>
        <v>0</v>
      </c>
      <c r="G169" s="48">
        <f ca="1" t="shared" si="21"/>
        <v>0</v>
      </c>
      <c r="H169" s="48">
        <f ca="1" t="shared" si="22"/>
        <v>0</v>
      </c>
      <c r="I169" s="48">
        <f ca="1" t="shared" si="23"/>
        <v>0</v>
      </c>
      <c r="J169" s="48">
        <f ca="1" t="shared" si="24"/>
        <v>0</v>
      </c>
    </row>
    <row r="170" spans="2:10">
      <c r="B170" s="23">
        <v>168</v>
      </c>
      <c r="C170" s="48">
        <f ca="1" t="shared" si="17"/>
        <v>0</v>
      </c>
      <c r="D170" s="48">
        <f ca="1" t="shared" si="18"/>
        <v>0</v>
      </c>
      <c r="E170" s="48">
        <f ca="1" t="shared" si="19"/>
        <v>0</v>
      </c>
      <c r="F170" s="48">
        <f ca="1" t="shared" si="20"/>
        <v>0</v>
      </c>
      <c r="G170" s="48">
        <f ca="1" t="shared" si="21"/>
        <v>0</v>
      </c>
      <c r="H170" s="48">
        <f ca="1" t="shared" si="22"/>
        <v>0</v>
      </c>
      <c r="I170" s="48">
        <f ca="1" t="shared" si="23"/>
        <v>0</v>
      </c>
      <c r="J170" s="48">
        <f ca="1" t="shared" si="24"/>
        <v>0</v>
      </c>
    </row>
    <row r="171" spans="2:10">
      <c r="B171" s="23">
        <v>169</v>
      </c>
      <c r="C171" s="48">
        <f ca="1" t="shared" si="17"/>
        <v>0</v>
      </c>
      <c r="D171" s="48">
        <f ca="1" t="shared" si="18"/>
        <v>0</v>
      </c>
      <c r="E171" s="48">
        <f ca="1" t="shared" si="19"/>
        <v>0</v>
      </c>
      <c r="F171" s="48">
        <f ca="1" t="shared" si="20"/>
        <v>0</v>
      </c>
      <c r="G171" s="48">
        <f ca="1" t="shared" si="21"/>
        <v>0</v>
      </c>
      <c r="H171" s="48">
        <f ca="1" t="shared" si="22"/>
        <v>0</v>
      </c>
      <c r="I171" s="48">
        <f ca="1" t="shared" si="23"/>
        <v>0</v>
      </c>
      <c r="J171" s="48">
        <f ca="1" t="shared" si="24"/>
        <v>0</v>
      </c>
    </row>
    <row r="172" spans="2:10">
      <c r="B172" s="23">
        <v>170</v>
      </c>
      <c r="C172" s="48">
        <f ca="1" t="shared" si="17"/>
        <v>0</v>
      </c>
      <c r="D172" s="48">
        <f ca="1" t="shared" si="18"/>
        <v>0</v>
      </c>
      <c r="E172" s="48">
        <f ca="1" t="shared" si="19"/>
        <v>0</v>
      </c>
      <c r="F172" s="48">
        <f ca="1" t="shared" si="20"/>
        <v>0</v>
      </c>
      <c r="G172" s="48">
        <f ca="1" t="shared" si="21"/>
        <v>0</v>
      </c>
      <c r="H172" s="48">
        <f ca="1" t="shared" si="22"/>
        <v>0</v>
      </c>
      <c r="I172" s="48">
        <f ca="1" t="shared" si="23"/>
        <v>0</v>
      </c>
      <c r="J172" s="48">
        <f ca="1" t="shared" si="24"/>
        <v>0</v>
      </c>
    </row>
    <row r="173" spans="2:10">
      <c r="B173" s="23">
        <v>171</v>
      </c>
      <c r="C173" s="48">
        <f ca="1" t="shared" si="17"/>
        <v>0</v>
      </c>
      <c r="D173" s="48">
        <f ca="1" t="shared" si="18"/>
        <v>0</v>
      </c>
      <c r="E173" s="48">
        <f ca="1" t="shared" si="19"/>
        <v>0</v>
      </c>
      <c r="F173" s="48">
        <f ca="1" t="shared" si="20"/>
        <v>0</v>
      </c>
      <c r="G173" s="48">
        <f ca="1" t="shared" si="21"/>
        <v>0</v>
      </c>
      <c r="H173" s="48">
        <f ca="1" t="shared" si="22"/>
        <v>0</v>
      </c>
      <c r="I173" s="48">
        <f ca="1" t="shared" si="23"/>
        <v>0</v>
      </c>
      <c r="J173" s="48">
        <f ca="1" t="shared" si="24"/>
        <v>0</v>
      </c>
    </row>
    <row r="174" spans="2:10">
      <c r="B174" s="23">
        <v>172</v>
      </c>
      <c r="C174" s="48">
        <f ca="1" t="shared" si="17"/>
        <v>0</v>
      </c>
      <c r="D174" s="48">
        <f ca="1" t="shared" si="18"/>
        <v>0</v>
      </c>
      <c r="E174" s="48">
        <f ca="1" t="shared" si="19"/>
        <v>0</v>
      </c>
      <c r="F174" s="48">
        <f ca="1" t="shared" si="20"/>
        <v>0</v>
      </c>
      <c r="G174" s="48">
        <f ca="1" t="shared" si="21"/>
        <v>0</v>
      </c>
      <c r="H174" s="48">
        <f ca="1" t="shared" si="22"/>
        <v>0</v>
      </c>
      <c r="I174" s="48">
        <f ca="1" t="shared" si="23"/>
        <v>0</v>
      </c>
      <c r="J174" s="48">
        <f ca="1" t="shared" si="24"/>
        <v>0</v>
      </c>
    </row>
    <row r="175" spans="2:10">
      <c r="B175" s="23">
        <v>173</v>
      </c>
      <c r="C175" s="48">
        <f ca="1" t="shared" si="17"/>
        <v>0</v>
      </c>
      <c r="D175" s="48">
        <f ca="1" t="shared" si="18"/>
        <v>0</v>
      </c>
      <c r="E175" s="48">
        <f ca="1" t="shared" si="19"/>
        <v>0</v>
      </c>
      <c r="F175" s="48">
        <f ca="1" t="shared" si="20"/>
        <v>0</v>
      </c>
      <c r="G175" s="48">
        <f ca="1" t="shared" si="21"/>
        <v>0</v>
      </c>
      <c r="H175" s="48">
        <f ca="1" t="shared" si="22"/>
        <v>0</v>
      </c>
      <c r="I175" s="48">
        <f ca="1" t="shared" si="23"/>
        <v>0</v>
      </c>
      <c r="J175" s="48">
        <f ca="1" t="shared" si="24"/>
        <v>0</v>
      </c>
    </row>
    <row r="176" spans="2:10">
      <c r="B176" s="23">
        <v>174</v>
      </c>
      <c r="C176" s="48">
        <f ca="1" t="shared" si="17"/>
        <v>0</v>
      </c>
      <c r="D176" s="48">
        <f ca="1" t="shared" si="18"/>
        <v>0</v>
      </c>
      <c r="E176" s="48">
        <f ca="1" t="shared" si="19"/>
        <v>0</v>
      </c>
      <c r="F176" s="48">
        <f ca="1" t="shared" si="20"/>
        <v>0</v>
      </c>
      <c r="G176" s="48">
        <f ca="1" t="shared" si="21"/>
        <v>0</v>
      </c>
      <c r="H176" s="48">
        <f ca="1" t="shared" si="22"/>
        <v>0</v>
      </c>
      <c r="I176" s="48">
        <f ca="1" t="shared" si="23"/>
        <v>0</v>
      </c>
      <c r="J176" s="48">
        <f ca="1" t="shared" si="24"/>
        <v>0</v>
      </c>
    </row>
    <row r="177" spans="2:10">
      <c r="B177" s="23">
        <v>175</v>
      </c>
      <c r="C177" s="48">
        <f ca="1" t="shared" si="17"/>
        <v>0</v>
      </c>
      <c r="D177" s="48">
        <f ca="1" t="shared" si="18"/>
        <v>0</v>
      </c>
      <c r="E177" s="48">
        <f ca="1" t="shared" si="19"/>
        <v>0</v>
      </c>
      <c r="F177" s="48">
        <f ca="1" t="shared" si="20"/>
        <v>0</v>
      </c>
      <c r="G177" s="48">
        <f ca="1" t="shared" si="21"/>
        <v>0</v>
      </c>
      <c r="H177" s="48">
        <f ca="1" t="shared" si="22"/>
        <v>0</v>
      </c>
      <c r="I177" s="48">
        <f ca="1" t="shared" si="23"/>
        <v>0</v>
      </c>
      <c r="J177" s="48">
        <f ca="1" t="shared" si="24"/>
        <v>0</v>
      </c>
    </row>
    <row r="178" spans="2:10">
      <c r="B178" s="23">
        <v>176</v>
      </c>
      <c r="C178" s="48">
        <f ca="1" t="shared" si="17"/>
        <v>0</v>
      </c>
      <c r="D178" s="48">
        <f ca="1" t="shared" si="18"/>
        <v>0</v>
      </c>
      <c r="E178" s="48">
        <f ca="1" t="shared" si="19"/>
        <v>0</v>
      </c>
      <c r="F178" s="48">
        <f ca="1" t="shared" si="20"/>
        <v>0</v>
      </c>
      <c r="G178" s="48">
        <f ca="1" t="shared" si="21"/>
        <v>0</v>
      </c>
      <c r="H178" s="48">
        <f ca="1" t="shared" si="22"/>
        <v>0</v>
      </c>
      <c r="I178" s="48">
        <f ca="1" t="shared" si="23"/>
        <v>0</v>
      </c>
      <c r="J178" s="48">
        <f ca="1" t="shared" si="24"/>
        <v>0</v>
      </c>
    </row>
    <row r="179" spans="2:10">
      <c r="B179" s="23">
        <v>177</v>
      </c>
      <c r="C179" s="48">
        <f ca="1" t="shared" si="17"/>
        <v>0</v>
      </c>
      <c r="D179" s="48">
        <f ca="1" t="shared" si="18"/>
        <v>0</v>
      </c>
      <c r="E179" s="48">
        <f ca="1" t="shared" si="19"/>
        <v>0</v>
      </c>
      <c r="F179" s="48">
        <f ca="1" t="shared" si="20"/>
        <v>0</v>
      </c>
      <c r="G179" s="48">
        <f ca="1" t="shared" si="21"/>
        <v>0</v>
      </c>
      <c r="H179" s="48">
        <f ca="1" t="shared" si="22"/>
        <v>0</v>
      </c>
      <c r="I179" s="48">
        <f ca="1" t="shared" si="23"/>
        <v>0</v>
      </c>
      <c r="J179" s="48">
        <f ca="1" t="shared" si="24"/>
        <v>0</v>
      </c>
    </row>
    <row r="180" spans="2:10">
      <c r="B180" s="23">
        <v>178</v>
      </c>
      <c r="C180" s="48">
        <f ca="1" t="shared" si="17"/>
        <v>0</v>
      </c>
      <c r="D180" s="48">
        <f ca="1" t="shared" si="18"/>
        <v>0</v>
      </c>
      <c r="E180" s="48">
        <f ca="1" t="shared" si="19"/>
        <v>0</v>
      </c>
      <c r="F180" s="48">
        <f ca="1" t="shared" si="20"/>
        <v>0</v>
      </c>
      <c r="G180" s="48">
        <f ca="1" t="shared" si="21"/>
        <v>0</v>
      </c>
      <c r="H180" s="48">
        <f ca="1" t="shared" si="22"/>
        <v>0</v>
      </c>
      <c r="I180" s="48">
        <f ca="1" t="shared" si="23"/>
        <v>0</v>
      </c>
      <c r="J180" s="48">
        <f ca="1" t="shared" si="24"/>
        <v>0</v>
      </c>
    </row>
    <row r="181" spans="2:10">
      <c r="B181" s="23">
        <v>179</v>
      </c>
      <c r="C181" s="48">
        <f ca="1" t="shared" si="17"/>
        <v>0</v>
      </c>
      <c r="D181" s="48">
        <f ca="1" t="shared" si="18"/>
        <v>0</v>
      </c>
      <c r="E181" s="48">
        <f ca="1" t="shared" si="19"/>
        <v>0</v>
      </c>
      <c r="F181" s="48">
        <f ca="1" t="shared" si="20"/>
        <v>0</v>
      </c>
      <c r="G181" s="48">
        <f ca="1" t="shared" si="21"/>
        <v>0</v>
      </c>
      <c r="H181" s="48">
        <f ca="1" t="shared" si="22"/>
        <v>0</v>
      </c>
      <c r="I181" s="48">
        <f ca="1" t="shared" si="23"/>
        <v>0</v>
      </c>
      <c r="J181" s="48">
        <f ca="1" t="shared" si="24"/>
        <v>0</v>
      </c>
    </row>
    <row r="182" spans="2:10">
      <c r="B182" s="23">
        <v>180</v>
      </c>
      <c r="C182" s="48">
        <f ca="1" t="shared" si="17"/>
        <v>0</v>
      </c>
      <c r="D182" s="48">
        <f ca="1" t="shared" si="18"/>
        <v>0</v>
      </c>
      <c r="E182" s="48">
        <f ca="1" t="shared" si="19"/>
        <v>0</v>
      </c>
      <c r="F182" s="48">
        <f ca="1" t="shared" si="20"/>
        <v>0</v>
      </c>
      <c r="G182" s="48">
        <f ca="1" t="shared" si="21"/>
        <v>0</v>
      </c>
      <c r="H182" s="48">
        <f ca="1" t="shared" si="22"/>
        <v>0</v>
      </c>
      <c r="I182" s="48">
        <f ca="1" t="shared" si="23"/>
        <v>0</v>
      </c>
      <c r="J182" s="48">
        <f ca="1" t="shared" si="24"/>
        <v>0</v>
      </c>
    </row>
    <row r="183" spans="2:10">
      <c r="B183" s="23">
        <v>181</v>
      </c>
      <c r="C183" s="48">
        <f ca="1" t="shared" si="17"/>
        <v>0</v>
      </c>
      <c r="D183" s="48">
        <f ca="1" t="shared" si="18"/>
        <v>0</v>
      </c>
      <c r="E183" s="48">
        <f ca="1" t="shared" si="19"/>
        <v>0</v>
      </c>
      <c r="F183" s="48">
        <f ca="1" t="shared" si="20"/>
        <v>0</v>
      </c>
      <c r="G183" s="48">
        <f ca="1" t="shared" si="21"/>
        <v>0</v>
      </c>
      <c r="H183" s="48">
        <f ca="1" t="shared" si="22"/>
        <v>0</v>
      </c>
      <c r="I183" s="48">
        <f ca="1" t="shared" si="23"/>
        <v>0</v>
      </c>
      <c r="J183" s="48">
        <f ca="1" t="shared" si="24"/>
        <v>0</v>
      </c>
    </row>
    <row r="184" spans="2:10">
      <c r="B184" s="23">
        <v>182</v>
      </c>
      <c r="C184" s="48">
        <f ca="1" t="shared" si="17"/>
        <v>0</v>
      </c>
      <c r="D184" s="48">
        <f ca="1" t="shared" si="18"/>
        <v>0</v>
      </c>
      <c r="E184" s="48">
        <f ca="1" t="shared" si="19"/>
        <v>0</v>
      </c>
      <c r="F184" s="48">
        <f ca="1" t="shared" si="20"/>
        <v>0</v>
      </c>
      <c r="G184" s="48">
        <f ca="1" t="shared" si="21"/>
        <v>0</v>
      </c>
      <c r="H184" s="48">
        <f ca="1" t="shared" si="22"/>
        <v>0</v>
      </c>
      <c r="I184" s="48">
        <f ca="1" t="shared" si="23"/>
        <v>0</v>
      </c>
      <c r="J184" s="48">
        <f ca="1" t="shared" si="24"/>
        <v>0</v>
      </c>
    </row>
    <row r="185" spans="2:10">
      <c r="B185" s="23">
        <v>183</v>
      </c>
      <c r="C185" s="48">
        <f ca="1" t="shared" si="17"/>
        <v>0</v>
      </c>
      <c r="D185" s="48">
        <f ca="1" t="shared" si="18"/>
        <v>0</v>
      </c>
      <c r="E185" s="48">
        <f ca="1" t="shared" si="19"/>
        <v>0</v>
      </c>
      <c r="F185" s="48">
        <f ca="1" t="shared" si="20"/>
        <v>0</v>
      </c>
      <c r="G185" s="48">
        <f ca="1" t="shared" si="21"/>
        <v>0</v>
      </c>
      <c r="H185" s="48">
        <f ca="1" t="shared" si="22"/>
        <v>0</v>
      </c>
      <c r="I185" s="48">
        <f ca="1" t="shared" si="23"/>
        <v>0</v>
      </c>
      <c r="J185" s="48">
        <f ca="1" t="shared" si="24"/>
        <v>0</v>
      </c>
    </row>
    <row r="186" spans="2:10">
      <c r="B186" s="23">
        <v>184</v>
      </c>
      <c r="C186" s="48">
        <f ca="1" t="shared" si="17"/>
        <v>0</v>
      </c>
      <c r="D186" s="48">
        <f ca="1" t="shared" si="18"/>
        <v>0</v>
      </c>
      <c r="E186" s="48">
        <f ca="1" t="shared" si="19"/>
        <v>0</v>
      </c>
      <c r="F186" s="48">
        <f ca="1" t="shared" si="20"/>
        <v>0</v>
      </c>
      <c r="G186" s="48">
        <f ca="1" t="shared" si="21"/>
        <v>0</v>
      </c>
      <c r="H186" s="48">
        <f ca="1" t="shared" si="22"/>
        <v>0</v>
      </c>
      <c r="I186" s="48">
        <f ca="1" t="shared" si="23"/>
        <v>0</v>
      </c>
      <c r="J186" s="48">
        <f ca="1" t="shared" si="24"/>
        <v>0</v>
      </c>
    </row>
    <row r="187" spans="2:10">
      <c r="B187" s="23">
        <v>185</v>
      </c>
      <c r="C187" s="48">
        <f ca="1" t="shared" si="17"/>
        <v>0</v>
      </c>
      <c r="D187" s="48">
        <f ca="1" t="shared" si="18"/>
        <v>0</v>
      </c>
      <c r="E187" s="48">
        <f ca="1" t="shared" si="19"/>
        <v>0</v>
      </c>
      <c r="F187" s="48">
        <f ca="1" t="shared" si="20"/>
        <v>0</v>
      </c>
      <c r="G187" s="48">
        <f ca="1" t="shared" si="21"/>
        <v>0</v>
      </c>
      <c r="H187" s="48">
        <f ca="1" t="shared" si="22"/>
        <v>0</v>
      </c>
      <c r="I187" s="48">
        <f ca="1" t="shared" si="23"/>
        <v>0</v>
      </c>
      <c r="J187" s="48">
        <f ca="1" t="shared" si="24"/>
        <v>0</v>
      </c>
    </row>
    <row r="188" spans="2:10">
      <c r="B188" s="23">
        <v>186</v>
      </c>
      <c r="C188" s="48">
        <f ca="1" t="shared" si="17"/>
        <v>0</v>
      </c>
      <c r="D188" s="48">
        <f ca="1" t="shared" si="18"/>
        <v>0</v>
      </c>
      <c r="E188" s="48">
        <f ca="1" t="shared" si="19"/>
        <v>0</v>
      </c>
      <c r="F188" s="48">
        <f ca="1" t="shared" si="20"/>
        <v>0</v>
      </c>
      <c r="G188" s="48">
        <f ca="1" t="shared" si="21"/>
        <v>0</v>
      </c>
      <c r="H188" s="48">
        <f ca="1" t="shared" si="22"/>
        <v>0</v>
      </c>
      <c r="I188" s="48">
        <f ca="1" t="shared" si="23"/>
        <v>0</v>
      </c>
      <c r="J188" s="48">
        <f ca="1" t="shared" si="24"/>
        <v>0</v>
      </c>
    </row>
    <row r="189" spans="2:10">
      <c r="B189" s="23">
        <v>187</v>
      </c>
      <c r="C189" s="48">
        <f ca="1" t="shared" si="17"/>
        <v>0</v>
      </c>
      <c r="D189" s="48">
        <f ca="1" t="shared" si="18"/>
        <v>0</v>
      </c>
      <c r="E189" s="48">
        <f ca="1" t="shared" si="19"/>
        <v>0</v>
      </c>
      <c r="F189" s="48">
        <f ca="1" t="shared" si="20"/>
        <v>0</v>
      </c>
      <c r="G189" s="48">
        <f ca="1" t="shared" si="21"/>
        <v>0</v>
      </c>
      <c r="H189" s="48">
        <f ca="1" t="shared" si="22"/>
        <v>0</v>
      </c>
      <c r="I189" s="48">
        <f ca="1" t="shared" si="23"/>
        <v>0</v>
      </c>
      <c r="J189" s="48">
        <f ca="1" t="shared" si="24"/>
        <v>0</v>
      </c>
    </row>
    <row r="190" spans="2:10">
      <c r="B190" s="23">
        <v>188</v>
      </c>
      <c r="C190" s="48">
        <f ca="1" t="shared" si="17"/>
        <v>0</v>
      </c>
      <c r="D190" s="48">
        <f ca="1" t="shared" si="18"/>
        <v>0</v>
      </c>
      <c r="E190" s="48">
        <f ca="1" t="shared" si="19"/>
        <v>0</v>
      </c>
      <c r="F190" s="48">
        <f ca="1" t="shared" si="20"/>
        <v>0</v>
      </c>
      <c r="G190" s="48">
        <f ca="1" t="shared" si="21"/>
        <v>0</v>
      </c>
      <c r="H190" s="48">
        <f ca="1" t="shared" si="22"/>
        <v>0</v>
      </c>
      <c r="I190" s="48">
        <f ca="1" t="shared" si="23"/>
        <v>0</v>
      </c>
      <c r="J190" s="48">
        <f ca="1" t="shared" si="24"/>
        <v>0</v>
      </c>
    </row>
    <row r="191" spans="2:10">
      <c r="B191" s="23">
        <v>189</v>
      </c>
      <c r="C191" s="48">
        <f ca="1" t="shared" si="17"/>
        <v>0</v>
      </c>
      <c r="D191" s="48">
        <f ca="1" t="shared" si="18"/>
        <v>0</v>
      </c>
      <c r="E191" s="48">
        <f ca="1" t="shared" si="19"/>
        <v>0</v>
      </c>
      <c r="F191" s="48">
        <f ca="1" t="shared" si="20"/>
        <v>0</v>
      </c>
      <c r="G191" s="48">
        <f ca="1" t="shared" si="21"/>
        <v>0</v>
      </c>
      <c r="H191" s="48">
        <f ca="1" t="shared" si="22"/>
        <v>0</v>
      </c>
      <c r="I191" s="48">
        <f ca="1" t="shared" si="23"/>
        <v>0</v>
      </c>
      <c r="J191" s="48">
        <f ca="1" t="shared" si="24"/>
        <v>0</v>
      </c>
    </row>
    <row r="192" spans="2:10">
      <c r="B192" s="23">
        <v>190</v>
      </c>
      <c r="C192" s="48">
        <f ca="1" t="shared" si="17"/>
        <v>0</v>
      </c>
      <c r="D192" s="48">
        <f ca="1" t="shared" si="18"/>
        <v>0</v>
      </c>
      <c r="E192" s="48">
        <f ca="1" t="shared" si="19"/>
        <v>0</v>
      </c>
      <c r="F192" s="48">
        <f ca="1" t="shared" si="20"/>
        <v>0</v>
      </c>
      <c r="G192" s="48">
        <f ca="1" t="shared" si="21"/>
        <v>0</v>
      </c>
      <c r="H192" s="48">
        <f ca="1" t="shared" si="22"/>
        <v>0</v>
      </c>
      <c r="I192" s="48">
        <f ca="1" t="shared" si="23"/>
        <v>0</v>
      </c>
      <c r="J192" s="48">
        <f ca="1" t="shared" si="24"/>
        <v>0</v>
      </c>
    </row>
    <row r="193" spans="2:10">
      <c r="B193" s="23">
        <v>191</v>
      </c>
      <c r="C193" s="48">
        <f ca="1" t="shared" si="17"/>
        <v>0</v>
      </c>
      <c r="D193" s="48">
        <f ca="1" t="shared" si="18"/>
        <v>0</v>
      </c>
      <c r="E193" s="48">
        <f ca="1" t="shared" si="19"/>
        <v>0</v>
      </c>
      <c r="F193" s="48">
        <f ca="1" t="shared" si="20"/>
        <v>0</v>
      </c>
      <c r="G193" s="48">
        <f ca="1" t="shared" si="21"/>
        <v>0</v>
      </c>
      <c r="H193" s="48">
        <f ca="1" t="shared" si="22"/>
        <v>0</v>
      </c>
      <c r="I193" s="48">
        <f ca="1" t="shared" si="23"/>
        <v>0</v>
      </c>
      <c r="J193" s="48">
        <f ca="1" t="shared" si="24"/>
        <v>0</v>
      </c>
    </row>
    <row r="194" spans="2:10">
      <c r="B194" s="23">
        <v>192</v>
      </c>
      <c r="C194" s="48">
        <f ca="1" t="shared" si="17"/>
        <v>0</v>
      </c>
      <c r="D194" s="48">
        <f ca="1" t="shared" si="18"/>
        <v>0</v>
      </c>
      <c r="E194" s="48">
        <f ca="1" t="shared" si="19"/>
        <v>0</v>
      </c>
      <c r="F194" s="48">
        <f ca="1" t="shared" si="20"/>
        <v>0</v>
      </c>
      <c r="G194" s="48">
        <f ca="1" t="shared" si="21"/>
        <v>0</v>
      </c>
      <c r="H194" s="48">
        <f ca="1" t="shared" si="22"/>
        <v>0</v>
      </c>
      <c r="I194" s="48">
        <f ca="1" t="shared" si="23"/>
        <v>0</v>
      </c>
      <c r="J194" s="48">
        <f ca="1" t="shared" si="24"/>
        <v>0</v>
      </c>
    </row>
    <row r="195" spans="2:10">
      <c r="B195" s="23">
        <v>193</v>
      </c>
      <c r="C195" s="48">
        <f ca="1" t="shared" si="17"/>
        <v>0</v>
      </c>
      <c r="D195" s="48">
        <f ca="1" t="shared" si="18"/>
        <v>0</v>
      </c>
      <c r="E195" s="48">
        <f ca="1" t="shared" si="19"/>
        <v>0</v>
      </c>
      <c r="F195" s="48">
        <f ca="1" t="shared" si="20"/>
        <v>0</v>
      </c>
      <c r="G195" s="48">
        <f ca="1" t="shared" si="21"/>
        <v>0</v>
      </c>
      <c r="H195" s="48">
        <f ca="1" t="shared" si="22"/>
        <v>0</v>
      </c>
      <c r="I195" s="48">
        <f ca="1" t="shared" si="23"/>
        <v>0</v>
      </c>
      <c r="J195" s="48">
        <f ca="1" t="shared" si="24"/>
        <v>0</v>
      </c>
    </row>
    <row r="196" spans="2:10">
      <c r="B196" s="23">
        <v>194</v>
      </c>
      <c r="C196" s="48">
        <f ca="1" t="shared" ref="C196:C259" si="25">IFERROR(_xlfn.XLOOKUP(B196,$O$2:$O$27,$P$2:$P$27),0)+OFFSET($R$2,MIN(8,$B196),MATCH(C$2,$S$2:$AB$2,0))</f>
        <v>0</v>
      </c>
      <c r="D196" s="48">
        <f ca="1" t="shared" ref="D196:D259" si="26">IFERROR(_xlfn.XLOOKUP(C196,$O$2:$O$27,$P$2:$P$27),0)+OFFSET($R$2,MIN(8,$B196),MATCH(D$2,$S$2:$AB$2,0))</f>
        <v>0</v>
      </c>
      <c r="E196" s="48">
        <f ca="1" t="shared" ref="E196:E259" si="27">IFERROR(_xlfn.XLOOKUP(D196,$O$2:$O$27,$P$2:$P$27),0)+OFFSET($R$2,MIN(8,$B196),MATCH(E$2,$S$2:$AB$2,0))+IFERROR(_xlfn.XLOOKUP(B196,$L$3:$L$9,$M$3:$M$9),0)</f>
        <v>0</v>
      </c>
      <c r="F196" s="48">
        <f ca="1" t="shared" ref="F196:F259" si="28">IFERROR(_xlfn.XLOOKUP(E196,$O$2:$O$27,$P$2:$P$27),0)+OFFSET($R$2,MIN(8,$B196),MATCH(F$2,$S$2:$AB$2,0))</f>
        <v>0</v>
      </c>
      <c r="G196" s="48">
        <f ca="1" t="shared" ref="G196:G259" si="29">IFERROR(_xlfn.XLOOKUP(F196,$O$2:$O$27,$P$2:$P$27),0)+OFFSET($R$2,MIN(8,$B196),MATCH(G$2,$S$2:$AB$2,0))</f>
        <v>0</v>
      </c>
      <c r="H196" s="48">
        <f ca="1" t="shared" ref="H196:H259" si="30">IFERROR(_xlfn.XLOOKUP(G196,$O$2:$O$27,$P$2:$P$27),0)+OFFSET($R$2,MIN(8,$B196),MATCH(H$2,$S$2:$AB$2,0))</f>
        <v>0</v>
      </c>
      <c r="I196" s="48">
        <f ca="1" t="shared" ref="I196:I259" si="31">IFERROR(_xlfn.XLOOKUP(H196,$O$2:$O$27,$P$2:$P$27),0)+OFFSET($R$2,MIN(8,$B196),MATCH(I$2,$S$2:$AB$2,0))</f>
        <v>0</v>
      </c>
      <c r="J196" s="48">
        <f ca="1" t="shared" ref="J196:J259" si="32">IFERROR(_xlfn.XLOOKUP(I196,$O$2:$O$27,$P$2:$P$27),0)+OFFSET($R$2,MIN(8,$B196),MATCH(J$2,$S$2:$AB$2,0))</f>
        <v>0</v>
      </c>
    </row>
    <row r="197" spans="2:10">
      <c r="B197" s="23">
        <v>195</v>
      </c>
      <c r="C197" s="48">
        <f ca="1" t="shared" si="25"/>
        <v>0</v>
      </c>
      <c r="D197" s="48">
        <f ca="1" t="shared" si="26"/>
        <v>0</v>
      </c>
      <c r="E197" s="48">
        <f ca="1" t="shared" si="27"/>
        <v>0</v>
      </c>
      <c r="F197" s="48">
        <f ca="1" t="shared" si="28"/>
        <v>0</v>
      </c>
      <c r="G197" s="48">
        <f ca="1" t="shared" si="29"/>
        <v>0</v>
      </c>
      <c r="H197" s="48">
        <f ca="1" t="shared" si="30"/>
        <v>0</v>
      </c>
      <c r="I197" s="48">
        <f ca="1" t="shared" si="31"/>
        <v>0</v>
      </c>
      <c r="J197" s="48">
        <f ca="1" t="shared" si="32"/>
        <v>0</v>
      </c>
    </row>
    <row r="198" spans="2:10">
      <c r="B198" s="23">
        <v>196</v>
      </c>
      <c r="C198" s="48">
        <f ca="1" t="shared" si="25"/>
        <v>0</v>
      </c>
      <c r="D198" s="48">
        <f ca="1" t="shared" si="26"/>
        <v>0</v>
      </c>
      <c r="E198" s="48">
        <f ca="1" t="shared" si="27"/>
        <v>0</v>
      </c>
      <c r="F198" s="48">
        <f ca="1" t="shared" si="28"/>
        <v>0</v>
      </c>
      <c r="G198" s="48">
        <f ca="1" t="shared" si="29"/>
        <v>0</v>
      </c>
      <c r="H198" s="48">
        <f ca="1" t="shared" si="30"/>
        <v>0</v>
      </c>
      <c r="I198" s="48">
        <f ca="1" t="shared" si="31"/>
        <v>0</v>
      </c>
      <c r="J198" s="48">
        <f ca="1" t="shared" si="32"/>
        <v>0</v>
      </c>
    </row>
    <row r="199" spans="2:10">
      <c r="B199" s="23">
        <v>197</v>
      </c>
      <c r="C199" s="48">
        <f ca="1" t="shared" si="25"/>
        <v>0</v>
      </c>
      <c r="D199" s="48">
        <f ca="1" t="shared" si="26"/>
        <v>0</v>
      </c>
      <c r="E199" s="48">
        <f ca="1" t="shared" si="27"/>
        <v>0</v>
      </c>
      <c r="F199" s="48">
        <f ca="1" t="shared" si="28"/>
        <v>0</v>
      </c>
      <c r="G199" s="48">
        <f ca="1" t="shared" si="29"/>
        <v>0</v>
      </c>
      <c r="H199" s="48">
        <f ca="1" t="shared" si="30"/>
        <v>0</v>
      </c>
      <c r="I199" s="48">
        <f ca="1" t="shared" si="31"/>
        <v>0</v>
      </c>
      <c r="J199" s="48">
        <f ca="1" t="shared" si="32"/>
        <v>0</v>
      </c>
    </row>
    <row r="200" spans="2:10">
      <c r="B200" s="23">
        <v>198</v>
      </c>
      <c r="C200" s="48">
        <f ca="1" t="shared" si="25"/>
        <v>0</v>
      </c>
      <c r="D200" s="48">
        <f ca="1" t="shared" si="26"/>
        <v>0</v>
      </c>
      <c r="E200" s="48">
        <f ca="1" t="shared" si="27"/>
        <v>0</v>
      </c>
      <c r="F200" s="48">
        <f ca="1" t="shared" si="28"/>
        <v>0</v>
      </c>
      <c r="G200" s="48">
        <f ca="1" t="shared" si="29"/>
        <v>0</v>
      </c>
      <c r="H200" s="48">
        <f ca="1" t="shared" si="30"/>
        <v>0</v>
      </c>
      <c r="I200" s="48">
        <f ca="1" t="shared" si="31"/>
        <v>0</v>
      </c>
      <c r="J200" s="48">
        <f ca="1" t="shared" si="32"/>
        <v>0</v>
      </c>
    </row>
    <row r="201" spans="2:10">
      <c r="B201" s="23">
        <v>199</v>
      </c>
      <c r="C201" s="48">
        <f ca="1" t="shared" si="25"/>
        <v>0</v>
      </c>
      <c r="D201" s="48">
        <f ca="1" t="shared" si="26"/>
        <v>0</v>
      </c>
      <c r="E201" s="48">
        <f ca="1" t="shared" si="27"/>
        <v>0</v>
      </c>
      <c r="F201" s="48">
        <f ca="1" t="shared" si="28"/>
        <v>0</v>
      </c>
      <c r="G201" s="48">
        <f ca="1" t="shared" si="29"/>
        <v>0</v>
      </c>
      <c r="H201" s="48">
        <f ca="1" t="shared" si="30"/>
        <v>0</v>
      </c>
      <c r="I201" s="48">
        <f ca="1" t="shared" si="31"/>
        <v>0</v>
      </c>
      <c r="J201" s="48">
        <f ca="1" t="shared" si="32"/>
        <v>0</v>
      </c>
    </row>
    <row r="202" spans="2:10">
      <c r="B202" s="23">
        <v>200</v>
      </c>
      <c r="C202" s="48">
        <f ca="1" t="shared" si="25"/>
        <v>0</v>
      </c>
      <c r="D202" s="48">
        <f ca="1" t="shared" si="26"/>
        <v>0</v>
      </c>
      <c r="E202" s="48">
        <f ca="1" t="shared" si="27"/>
        <v>0</v>
      </c>
      <c r="F202" s="48">
        <f ca="1" t="shared" si="28"/>
        <v>0</v>
      </c>
      <c r="G202" s="48">
        <f ca="1" t="shared" si="29"/>
        <v>0</v>
      </c>
      <c r="H202" s="48">
        <f ca="1" t="shared" si="30"/>
        <v>0</v>
      </c>
      <c r="I202" s="48">
        <f ca="1" t="shared" si="31"/>
        <v>0</v>
      </c>
      <c r="J202" s="48">
        <f ca="1" t="shared" si="32"/>
        <v>0</v>
      </c>
    </row>
    <row r="203" spans="2:10">
      <c r="B203" s="23">
        <v>201</v>
      </c>
      <c r="C203" s="48">
        <f ca="1" t="shared" si="25"/>
        <v>0</v>
      </c>
      <c r="D203" s="48">
        <f ca="1" t="shared" si="26"/>
        <v>0</v>
      </c>
      <c r="E203" s="48">
        <f ca="1" t="shared" si="27"/>
        <v>0</v>
      </c>
      <c r="F203" s="48">
        <f ca="1" t="shared" si="28"/>
        <v>0</v>
      </c>
      <c r="G203" s="48">
        <f ca="1" t="shared" si="29"/>
        <v>0</v>
      </c>
      <c r="H203" s="48">
        <f ca="1" t="shared" si="30"/>
        <v>0</v>
      </c>
      <c r="I203" s="48">
        <f ca="1" t="shared" si="31"/>
        <v>0</v>
      </c>
      <c r="J203" s="48">
        <f ca="1" t="shared" si="32"/>
        <v>0</v>
      </c>
    </row>
    <row r="204" spans="2:10">
      <c r="B204" s="23">
        <v>202</v>
      </c>
      <c r="C204" s="48">
        <f ca="1" t="shared" si="25"/>
        <v>0</v>
      </c>
      <c r="D204" s="48">
        <f ca="1" t="shared" si="26"/>
        <v>0</v>
      </c>
      <c r="E204" s="48">
        <f ca="1" t="shared" si="27"/>
        <v>0</v>
      </c>
      <c r="F204" s="48">
        <f ca="1" t="shared" si="28"/>
        <v>0</v>
      </c>
      <c r="G204" s="48">
        <f ca="1" t="shared" si="29"/>
        <v>0</v>
      </c>
      <c r="H204" s="48">
        <f ca="1" t="shared" si="30"/>
        <v>0</v>
      </c>
      <c r="I204" s="48">
        <f ca="1" t="shared" si="31"/>
        <v>0</v>
      </c>
      <c r="J204" s="48">
        <f ca="1" t="shared" si="32"/>
        <v>0</v>
      </c>
    </row>
    <row r="205" spans="2:10">
      <c r="B205" s="23">
        <v>203</v>
      </c>
      <c r="C205" s="48">
        <f ca="1" t="shared" si="25"/>
        <v>0</v>
      </c>
      <c r="D205" s="48">
        <f ca="1" t="shared" si="26"/>
        <v>0</v>
      </c>
      <c r="E205" s="48">
        <f ca="1" t="shared" si="27"/>
        <v>0</v>
      </c>
      <c r="F205" s="48">
        <f ca="1" t="shared" si="28"/>
        <v>0</v>
      </c>
      <c r="G205" s="48">
        <f ca="1" t="shared" si="29"/>
        <v>0</v>
      </c>
      <c r="H205" s="48">
        <f ca="1" t="shared" si="30"/>
        <v>0</v>
      </c>
      <c r="I205" s="48">
        <f ca="1" t="shared" si="31"/>
        <v>0</v>
      </c>
      <c r="J205" s="48">
        <f ca="1" t="shared" si="32"/>
        <v>0</v>
      </c>
    </row>
    <row r="206" spans="2:10">
      <c r="B206" s="23">
        <v>204</v>
      </c>
      <c r="C206" s="48">
        <f ca="1" t="shared" si="25"/>
        <v>0</v>
      </c>
      <c r="D206" s="48">
        <f ca="1" t="shared" si="26"/>
        <v>0</v>
      </c>
      <c r="E206" s="48">
        <f ca="1" t="shared" si="27"/>
        <v>0</v>
      </c>
      <c r="F206" s="48">
        <f ca="1" t="shared" si="28"/>
        <v>0</v>
      </c>
      <c r="G206" s="48">
        <f ca="1" t="shared" si="29"/>
        <v>0</v>
      </c>
      <c r="H206" s="48">
        <f ca="1" t="shared" si="30"/>
        <v>0</v>
      </c>
      <c r="I206" s="48">
        <f ca="1" t="shared" si="31"/>
        <v>0</v>
      </c>
      <c r="J206" s="48">
        <f ca="1" t="shared" si="32"/>
        <v>0</v>
      </c>
    </row>
    <row r="207" spans="2:10">
      <c r="B207" s="23">
        <v>205</v>
      </c>
      <c r="C207" s="48">
        <f ca="1" t="shared" si="25"/>
        <v>0</v>
      </c>
      <c r="D207" s="48">
        <f ca="1" t="shared" si="26"/>
        <v>0</v>
      </c>
      <c r="E207" s="48">
        <f ca="1" t="shared" si="27"/>
        <v>0</v>
      </c>
      <c r="F207" s="48">
        <f ca="1" t="shared" si="28"/>
        <v>0</v>
      </c>
      <c r="G207" s="48">
        <f ca="1" t="shared" si="29"/>
        <v>0</v>
      </c>
      <c r="H207" s="48">
        <f ca="1" t="shared" si="30"/>
        <v>0</v>
      </c>
      <c r="I207" s="48">
        <f ca="1" t="shared" si="31"/>
        <v>0</v>
      </c>
      <c r="J207" s="48">
        <f ca="1" t="shared" si="32"/>
        <v>0</v>
      </c>
    </row>
    <row r="208" spans="2:10">
      <c r="B208" s="23">
        <v>206</v>
      </c>
      <c r="C208" s="48">
        <f ca="1" t="shared" si="25"/>
        <v>0</v>
      </c>
      <c r="D208" s="48">
        <f ca="1" t="shared" si="26"/>
        <v>0</v>
      </c>
      <c r="E208" s="48">
        <f ca="1" t="shared" si="27"/>
        <v>0</v>
      </c>
      <c r="F208" s="48">
        <f ca="1" t="shared" si="28"/>
        <v>0</v>
      </c>
      <c r="G208" s="48">
        <f ca="1" t="shared" si="29"/>
        <v>0</v>
      </c>
      <c r="H208" s="48">
        <f ca="1" t="shared" si="30"/>
        <v>0</v>
      </c>
      <c r="I208" s="48">
        <f ca="1" t="shared" si="31"/>
        <v>0</v>
      </c>
      <c r="J208" s="48">
        <f ca="1" t="shared" si="32"/>
        <v>0</v>
      </c>
    </row>
    <row r="209" spans="2:10">
      <c r="B209" s="23">
        <v>207</v>
      </c>
      <c r="C209" s="48">
        <f ca="1" t="shared" si="25"/>
        <v>0</v>
      </c>
      <c r="D209" s="48">
        <f ca="1" t="shared" si="26"/>
        <v>0</v>
      </c>
      <c r="E209" s="48">
        <f ca="1" t="shared" si="27"/>
        <v>0</v>
      </c>
      <c r="F209" s="48">
        <f ca="1" t="shared" si="28"/>
        <v>0</v>
      </c>
      <c r="G209" s="48">
        <f ca="1" t="shared" si="29"/>
        <v>0</v>
      </c>
      <c r="H209" s="48">
        <f ca="1" t="shared" si="30"/>
        <v>0</v>
      </c>
      <c r="I209" s="48">
        <f ca="1" t="shared" si="31"/>
        <v>0</v>
      </c>
      <c r="J209" s="48">
        <f ca="1" t="shared" si="32"/>
        <v>0</v>
      </c>
    </row>
    <row r="210" spans="2:10">
      <c r="B210" s="23">
        <v>208</v>
      </c>
      <c r="C210" s="48">
        <f ca="1" t="shared" si="25"/>
        <v>0</v>
      </c>
      <c r="D210" s="48">
        <f ca="1" t="shared" si="26"/>
        <v>0</v>
      </c>
      <c r="E210" s="48">
        <f ca="1" t="shared" si="27"/>
        <v>0</v>
      </c>
      <c r="F210" s="48">
        <f ca="1" t="shared" si="28"/>
        <v>0</v>
      </c>
      <c r="G210" s="48">
        <f ca="1" t="shared" si="29"/>
        <v>0</v>
      </c>
      <c r="H210" s="48">
        <f ca="1" t="shared" si="30"/>
        <v>0</v>
      </c>
      <c r="I210" s="48">
        <f ca="1" t="shared" si="31"/>
        <v>0</v>
      </c>
      <c r="J210" s="48">
        <f ca="1" t="shared" si="32"/>
        <v>0</v>
      </c>
    </row>
    <row r="211" spans="2:10">
      <c r="B211" s="23">
        <v>209</v>
      </c>
      <c r="C211" s="48">
        <f ca="1" t="shared" si="25"/>
        <v>0</v>
      </c>
      <c r="D211" s="48">
        <f ca="1" t="shared" si="26"/>
        <v>0</v>
      </c>
      <c r="E211" s="48">
        <f ca="1" t="shared" si="27"/>
        <v>0</v>
      </c>
      <c r="F211" s="48">
        <f ca="1" t="shared" si="28"/>
        <v>0</v>
      </c>
      <c r="G211" s="48">
        <f ca="1" t="shared" si="29"/>
        <v>0</v>
      </c>
      <c r="H211" s="48">
        <f ca="1" t="shared" si="30"/>
        <v>0</v>
      </c>
      <c r="I211" s="48">
        <f ca="1" t="shared" si="31"/>
        <v>0</v>
      </c>
      <c r="J211" s="48">
        <f ca="1" t="shared" si="32"/>
        <v>0</v>
      </c>
    </row>
    <row r="212" spans="2:10">
      <c r="B212" s="23">
        <v>210</v>
      </c>
      <c r="C212" s="48">
        <f ca="1" t="shared" si="25"/>
        <v>0</v>
      </c>
      <c r="D212" s="48">
        <f ca="1" t="shared" si="26"/>
        <v>0</v>
      </c>
      <c r="E212" s="48">
        <f ca="1" t="shared" si="27"/>
        <v>0</v>
      </c>
      <c r="F212" s="48">
        <f ca="1" t="shared" si="28"/>
        <v>0</v>
      </c>
      <c r="G212" s="48">
        <f ca="1" t="shared" si="29"/>
        <v>0</v>
      </c>
      <c r="H212" s="48">
        <f ca="1" t="shared" si="30"/>
        <v>0</v>
      </c>
      <c r="I212" s="48">
        <f ca="1" t="shared" si="31"/>
        <v>0</v>
      </c>
      <c r="J212" s="48">
        <f ca="1" t="shared" si="32"/>
        <v>0</v>
      </c>
    </row>
    <row r="213" spans="2:10">
      <c r="B213" s="23">
        <v>211</v>
      </c>
      <c r="C213" s="48">
        <f ca="1" t="shared" si="25"/>
        <v>0</v>
      </c>
      <c r="D213" s="48">
        <f ca="1" t="shared" si="26"/>
        <v>0</v>
      </c>
      <c r="E213" s="48">
        <f ca="1" t="shared" si="27"/>
        <v>0</v>
      </c>
      <c r="F213" s="48">
        <f ca="1" t="shared" si="28"/>
        <v>0</v>
      </c>
      <c r="G213" s="48">
        <f ca="1" t="shared" si="29"/>
        <v>0</v>
      </c>
      <c r="H213" s="48">
        <f ca="1" t="shared" si="30"/>
        <v>0</v>
      </c>
      <c r="I213" s="48">
        <f ca="1" t="shared" si="31"/>
        <v>0</v>
      </c>
      <c r="J213" s="48">
        <f ca="1" t="shared" si="32"/>
        <v>0</v>
      </c>
    </row>
    <row r="214" spans="2:10">
      <c r="B214" s="23">
        <v>212</v>
      </c>
      <c r="C214" s="48">
        <f ca="1" t="shared" si="25"/>
        <v>0</v>
      </c>
      <c r="D214" s="48">
        <f ca="1" t="shared" si="26"/>
        <v>0</v>
      </c>
      <c r="E214" s="48">
        <f ca="1" t="shared" si="27"/>
        <v>0</v>
      </c>
      <c r="F214" s="48">
        <f ca="1" t="shared" si="28"/>
        <v>0</v>
      </c>
      <c r="G214" s="48">
        <f ca="1" t="shared" si="29"/>
        <v>0</v>
      </c>
      <c r="H214" s="48">
        <f ca="1" t="shared" si="30"/>
        <v>0</v>
      </c>
      <c r="I214" s="48">
        <f ca="1" t="shared" si="31"/>
        <v>0</v>
      </c>
      <c r="J214" s="48">
        <f ca="1" t="shared" si="32"/>
        <v>0</v>
      </c>
    </row>
    <row r="215" spans="2:10">
      <c r="B215" s="23">
        <v>213</v>
      </c>
      <c r="C215" s="48">
        <f ca="1" t="shared" si="25"/>
        <v>0</v>
      </c>
      <c r="D215" s="48">
        <f ca="1" t="shared" si="26"/>
        <v>0</v>
      </c>
      <c r="E215" s="48">
        <f ca="1" t="shared" si="27"/>
        <v>0</v>
      </c>
      <c r="F215" s="48">
        <f ca="1" t="shared" si="28"/>
        <v>0</v>
      </c>
      <c r="G215" s="48">
        <f ca="1" t="shared" si="29"/>
        <v>0</v>
      </c>
      <c r="H215" s="48">
        <f ca="1" t="shared" si="30"/>
        <v>0</v>
      </c>
      <c r="I215" s="48">
        <f ca="1" t="shared" si="31"/>
        <v>0</v>
      </c>
      <c r="J215" s="48">
        <f ca="1" t="shared" si="32"/>
        <v>0</v>
      </c>
    </row>
    <row r="216" spans="2:10">
      <c r="B216" s="23">
        <v>214</v>
      </c>
      <c r="C216" s="48">
        <f ca="1" t="shared" si="25"/>
        <v>0</v>
      </c>
      <c r="D216" s="48">
        <f ca="1" t="shared" si="26"/>
        <v>0</v>
      </c>
      <c r="E216" s="48">
        <f ca="1" t="shared" si="27"/>
        <v>0</v>
      </c>
      <c r="F216" s="48">
        <f ca="1" t="shared" si="28"/>
        <v>0</v>
      </c>
      <c r="G216" s="48">
        <f ca="1" t="shared" si="29"/>
        <v>0</v>
      </c>
      <c r="H216" s="48">
        <f ca="1" t="shared" si="30"/>
        <v>0</v>
      </c>
      <c r="I216" s="48">
        <f ca="1" t="shared" si="31"/>
        <v>0</v>
      </c>
      <c r="J216" s="48">
        <f ca="1" t="shared" si="32"/>
        <v>0</v>
      </c>
    </row>
    <row r="217" spans="2:10">
      <c r="B217" s="23">
        <v>215</v>
      </c>
      <c r="C217" s="48">
        <f ca="1" t="shared" si="25"/>
        <v>0</v>
      </c>
      <c r="D217" s="48">
        <f ca="1" t="shared" si="26"/>
        <v>0</v>
      </c>
      <c r="E217" s="48">
        <f ca="1" t="shared" si="27"/>
        <v>0</v>
      </c>
      <c r="F217" s="48">
        <f ca="1" t="shared" si="28"/>
        <v>0</v>
      </c>
      <c r="G217" s="48">
        <f ca="1" t="shared" si="29"/>
        <v>0</v>
      </c>
      <c r="H217" s="48">
        <f ca="1" t="shared" si="30"/>
        <v>0</v>
      </c>
      <c r="I217" s="48">
        <f ca="1" t="shared" si="31"/>
        <v>0</v>
      </c>
      <c r="J217" s="48">
        <f ca="1" t="shared" si="32"/>
        <v>0</v>
      </c>
    </row>
    <row r="218" spans="2:10">
      <c r="B218" s="23">
        <v>216</v>
      </c>
      <c r="C218" s="48">
        <f ca="1" t="shared" si="25"/>
        <v>0</v>
      </c>
      <c r="D218" s="48">
        <f ca="1" t="shared" si="26"/>
        <v>0</v>
      </c>
      <c r="E218" s="48">
        <f ca="1" t="shared" si="27"/>
        <v>0</v>
      </c>
      <c r="F218" s="48">
        <f ca="1" t="shared" si="28"/>
        <v>0</v>
      </c>
      <c r="G218" s="48">
        <f ca="1" t="shared" si="29"/>
        <v>0</v>
      </c>
      <c r="H218" s="48">
        <f ca="1" t="shared" si="30"/>
        <v>0</v>
      </c>
      <c r="I218" s="48">
        <f ca="1" t="shared" si="31"/>
        <v>0</v>
      </c>
      <c r="J218" s="48">
        <f ca="1" t="shared" si="32"/>
        <v>0</v>
      </c>
    </row>
    <row r="219" spans="2:10">
      <c r="B219" s="23">
        <v>217</v>
      </c>
      <c r="C219" s="48">
        <f ca="1" t="shared" si="25"/>
        <v>0</v>
      </c>
      <c r="D219" s="48">
        <f ca="1" t="shared" si="26"/>
        <v>0</v>
      </c>
      <c r="E219" s="48">
        <f ca="1" t="shared" si="27"/>
        <v>0</v>
      </c>
      <c r="F219" s="48">
        <f ca="1" t="shared" si="28"/>
        <v>0</v>
      </c>
      <c r="G219" s="48">
        <f ca="1" t="shared" si="29"/>
        <v>0</v>
      </c>
      <c r="H219" s="48">
        <f ca="1" t="shared" si="30"/>
        <v>0</v>
      </c>
      <c r="I219" s="48">
        <f ca="1" t="shared" si="31"/>
        <v>0</v>
      </c>
      <c r="J219" s="48">
        <f ca="1" t="shared" si="32"/>
        <v>0</v>
      </c>
    </row>
    <row r="220" spans="2:10">
      <c r="B220" s="23">
        <v>218</v>
      </c>
      <c r="C220" s="48">
        <f ca="1" t="shared" si="25"/>
        <v>0</v>
      </c>
      <c r="D220" s="48">
        <f ca="1" t="shared" si="26"/>
        <v>0</v>
      </c>
      <c r="E220" s="48">
        <f ca="1" t="shared" si="27"/>
        <v>0</v>
      </c>
      <c r="F220" s="48">
        <f ca="1" t="shared" si="28"/>
        <v>0</v>
      </c>
      <c r="G220" s="48">
        <f ca="1" t="shared" si="29"/>
        <v>0</v>
      </c>
      <c r="H220" s="48">
        <f ca="1" t="shared" si="30"/>
        <v>0</v>
      </c>
      <c r="I220" s="48">
        <f ca="1" t="shared" si="31"/>
        <v>0</v>
      </c>
      <c r="J220" s="48">
        <f ca="1" t="shared" si="32"/>
        <v>0</v>
      </c>
    </row>
    <row r="221" spans="2:10">
      <c r="B221" s="23">
        <v>219</v>
      </c>
      <c r="C221" s="48">
        <f ca="1" t="shared" si="25"/>
        <v>0</v>
      </c>
      <c r="D221" s="48">
        <f ca="1" t="shared" si="26"/>
        <v>0</v>
      </c>
      <c r="E221" s="48">
        <f ca="1" t="shared" si="27"/>
        <v>0</v>
      </c>
      <c r="F221" s="48">
        <f ca="1" t="shared" si="28"/>
        <v>0</v>
      </c>
      <c r="G221" s="48">
        <f ca="1" t="shared" si="29"/>
        <v>0</v>
      </c>
      <c r="H221" s="48">
        <f ca="1" t="shared" si="30"/>
        <v>0</v>
      </c>
      <c r="I221" s="48">
        <f ca="1" t="shared" si="31"/>
        <v>0</v>
      </c>
      <c r="J221" s="48">
        <f ca="1" t="shared" si="32"/>
        <v>0</v>
      </c>
    </row>
    <row r="222" spans="2:10">
      <c r="B222" s="23">
        <v>220</v>
      </c>
      <c r="C222" s="48">
        <f ca="1" t="shared" si="25"/>
        <v>0</v>
      </c>
      <c r="D222" s="48">
        <f ca="1" t="shared" si="26"/>
        <v>0</v>
      </c>
      <c r="E222" s="48">
        <f ca="1" t="shared" si="27"/>
        <v>0</v>
      </c>
      <c r="F222" s="48">
        <f ca="1" t="shared" si="28"/>
        <v>0</v>
      </c>
      <c r="G222" s="48">
        <f ca="1" t="shared" si="29"/>
        <v>0</v>
      </c>
      <c r="H222" s="48">
        <f ca="1" t="shared" si="30"/>
        <v>0</v>
      </c>
      <c r="I222" s="48">
        <f ca="1" t="shared" si="31"/>
        <v>0</v>
      </c>
      <c r="J222" s="48">
        <f ca="1" t="shared" si="32"/>
        <v>0</v>
      </c>
    </row>
    <row r="223" spans="2:10">
      <c r="B223" s="23">
        <v>221</v>
      </c>
      <c r="C223" s="48">
        <f ca="1" t="shared" si="25"/>
        <v>0</v>
      </c>
      <c r="D223" s="48">
        <f ca="1" t="shared" si="26"/>
        <v>0</v>
      </c>
      <c r="E223" s="48">
        <f ca="1" t="shared" si="27"/>
        <v>0</v>
      </c>
      <c r="F223" s="48">
        <f ca="1" t="shared" si="28"/>
        <v>0</v>
      </c>
      <c r="G223" s="48">
        <f ca="1" t="shared" si="29"/>
        <v>0</v>
      </c>
      <c r="H223" s="48">
        <f ca="1" t="shared" si="30"/>
        <v>0</v>
      </c>
      <c r="I223" s="48">
        <f ca="1" t="shared" si="31"/>
        <v>0</v>
      </c>
      <c r="J223" s="48">
        <f ca="1" t="shared" si="32"/>
        <v>0</v>
      </c>
    </row>
    <row r="224" spans="2:10">
      <c r="B224" s="23">
        <v>222</v>
      </c>
      <c r="C224" s="48">
        <f ca="1" t="shared" si="25"/>
        <v>0</v>
      </c>
      <c r="D224" s="48">
        <f ca="1" t="shared" si="26"/>
        <v>0</v>
      </c>
      <c r="E224" s="48">
        <f ca="1" t="shared" si="27"/>
        <v>0</v>
      </c>
      <c r="F224" s="48">
        <f ca="1" t="shared" si="28"/>
        <v>0</v>
      </c>
      <c r="G224" s="48">
        <f ca="1" t="shared" si="29"/>
        <v>0</v>
      </c>
      <c r="H224" s="48">
        <f ca="1" t="shared" si="30"/>
        <v>0</v>
      </c>
      <c r="I224" s="48">
        <f ca="1" t="shared" si="31"/>
        <v>0</v>
      </c>
      <c r="J224" s="48">
        <f ca="1" t="shared" si="32"/>
        <v>0</v>
      </c>
    </row>
    <row r="225" spans="2:10">
      <c r="B225" s="23">
        <v>223</v>
      </c>
      <c r="C225" s="48">
        <f ca="1" t="shared" si="25"/>
        <v>0</v>
      </c>
      <c r="D225" s="48">
        <f ca="1" t="shared" si="26"/>
        <v>0</v>
      </c>
      <c r="E225" s="48">
        <f ca="1" t="shared" si="27"/>
        <v>0</v>
      </c>
      <c r="F225" s="48">
        <f ca="1" t="shared" si="28"/>
        <v>0</v>
      </c>
      <c r="G225" s="48">
        <f ca="1" t="shared" si="29"/>
        <v>0</v>
      </c>
      <c r="H225" s="48">
        <f ca="1" t="shared" si="30"/>
        <v>0</v>
      </c>
      <c r="I225" s="48">
        <f ca="1" t="shared" si="31"/>
        <v>0</v>
      </c>
      <c r="J225" s="48">
        <f ca="1" t="shared" si="32"/>
        <v>0</v>
      </c>
    </row>
    <row r="226" spans="2:10">
      <c r="B226" s="23">
        <v>224</v>
      </c>
      <c r="C226" s="48">
        <f ca="1" t="shared" si="25"/>
        <v>0</v>
      </c>
      <c r="D226" s="48">
        <f ca="1" t="shared" si="26"/>
        <v>0</v>
      </c>
      <c r="E226" s="48">
        <f ca="1" t="shared" si="27"/>
        <v>0</v>
      </c>
      <c r="F226" s="48">
        <f ca="1" t="shared" si="28"/>
        <v>0</v>
      </c>
      <c r="G226" s="48">
        <f ca="1" t="shared" si="29"/>
        <v>0</v>
      </c>
      <c r="H226" s="48">
        <f ca="1" t="shared" si="30"/>
        <v>0</v>
      </c>
      <c r="I226" s="48">
        <f ca="1" t="shared" si="31"/>
        <v>0</v>
      </c>
      <c r="J226" s="48">
        <f ca="1" t="shared" si="32"/>
        <v>0</v>
      </c>
    </row>
    <row r="227" spans="2:10">
      <c r="B227" s="23">
        <v>225</v>
      </c>
      <c r="C227" s="48">
        <f ca="1" t="shared" si="25"/>
        <v>0</v>
      </c>
      <c r="D227" s="48">
        <f ca="1" t="shared" si="26"/>
        <v>0</v>
      </c>
      <c r="E227" s="48">
        <f ca="1" t="shared" si="27"/>
        <v>0</v>
      </c>
      <c r="F227" s="48">
        <f ca="1" t="shared" si="28"/>
        <v>0</v>
      </c>
      <c r="G227" s="48">
        <f ca="1" t="shared" si="29"/>
        <v>0</v>
      </c>
      <c r="H227" s="48">
        <f ca="1" t="shared" si="30"/>
        <v>0</v>
      </c>
      <c r="I227" s="48">
        <f ca="1" t="shared" si="31"/>
        <v>0</v>
      </c>
      <c r="J227" s="48">
        <f ca="1" t="shared" si="32"/>
        <v>0</v>
      </c>
    </row>
    <row r="228" spans="2:10">
      <c r="B228" s="23">
        <v>226</v>
      </c>
      <c r="C228" s="48">
        <f ca="1" t="shared" si="25"/>
        <v>0</v>
      </c>
      <c r="D228" s="48">
        <f ca="1" t="shared" si="26"/>
        <v>0</v>
      </c>
      <c r="E228" s="48">
        <f ca="1" t="shared" si="27"/>
        <v>0</v>
      </c>
      <c r="F228" s="48">
        <f ca="1" t="shared" si="28"/>
        <v>0</v>
      </c>
      <c r="G228" s="48">
        <f ca="1" t="shared" si="29"/>
        <v>0</v>
      </c>
      <c r="H228" s="48">
        <f ca="1" t="shared" si="30"/>
        <v>0</v>
      </c>
      <c r="I228" s="48">
        <f ca="1" t="shared" si="31"/>
        <v>0</v>
      </c>
      <c r="J228" s="48">
        <f ca="1" t="shared" si="32"/>
        <v>0</v>
      </c>
    </row>
    <row r="229" spans="2:10">
      <c r="B229" s="23">
        <v>227</v>
      </c>
      <c r="C229" s="48">
        <f ca="1" t="shared" si="25"/>
        <v>0</v>
      </c>
      <c r="D229" s="48">
        <f ca="1" t="shared" si="26"/>
        <v>0</v>
      </c>
      <c r="E229" s="48">
        <f ca="1" t="shared" si="27"/>
        <v>0</v>
      </c>
      <c r="F229" s="48">
        <f ca="1" t="shared" si="28"/>
        <v>0</v>
      </c>
      <c r="G229" s="48">
        <f ca="1" t="shared" si="29"/>
        <v>0</v>
      </c>
      <c r="H229" s="48">
        <f ca="1" t="shared" si="30"/>
        <v>0</v>
      </c>
      <c r="I229" s="48">
        <f ca="1" t="shared" si="31"/>
        <v>0</v>
      </c>
      <c r="J229" s="48">
        <f ca="1" t="shared" si="32"/>
        <v>0</v>
      </c>
    </row>
    <row r="230" spans="2:10">
      <c r="B230" s="23">
        <v>228</v>
      </c>
      <c r="C230" s="48">
        <f ca="1" t="shared" si="25"/>
        <v>0</v>
      </c>
      <c r="D230" s="48">
        <f ca="1" t="shared" si="26"/>
        <v>0</v>
      </c>
      <c r="E230" s="48">
        <f ca="1" t="shared" si="27"/>
        <v>0</v>
      </c>
      <c r="F230" s="48">
        <f ca="1" t="shared" si="28"/>
        <v>0</v>
      </c>
      <c r="G230" s="48">
        <f ca="1" t="shared" si="29"/>
        <v>0</v>
      </c>
      <c r="H230" s="48">
        <f ca="1" t="shared" si="30"/>
        <v>0</v>
      </c>
      <c r="I230" s="48">
        <f ca="1" t="shared" si="31"/>
        <v>0</v>
      </c>
      <c r="J230" s="48">
        <f ca="1" t="shared" si="32"/>
        <v>0</v>
      </c>
    </row>
    <row r="231" spans="2:10">
      <c r="B231" s="23">
        <v>229</v>
      </c>
      <c r="C231" s="48">
        <f ca="1" t="shared" si="25"/>
        <v>0</v>
      </c>
      <c r="D231" s="48">
        <f ca="1" t="shared" si="26"/>
        <v>0</v>
      </c>
      <c r="E231" s="48">
        <f ca="1" t="shared" si="27"/>
        <v>0</v>
      </c>
      <c r="F231" s="48">
        <f ca="1" t="shared" si="28"/>
        <v>0</v>
      </c>
      <c r="G231" s="48">
        <f ca="1" t="shared" si="29"/>
        <v>0</v>
      </c>
      <c r="H231" s="48">
        <f ca="1" t="shared" si="30"/>
        <v>0</v>
      </c>
      <c r="I231" s="48">
        <f ca="1" t="shared" si="31"/>
        <v>0</v>
      </c>
      <c r="J231" s="48">
        <f ca="1" t="shared" si="32"/>
        <v>0</v>
      </c>
    </row>
    <row r="232" spans="2:10">
      <c r="B232" s="23">
        <v>230</v>
      </c>
      <c r="C232" s="48">
        <f ca="1" t="shared" si="25"/>
        <v>0</v>
      </c>
      <c r="D232" s="48">
        <f ca="1" t="shared" si="26"/>
        <v>0</v>
      </c>
      <c r="E232" s="48">
        <f ca="1" t="shared" si="27"/>
        <v>0</v>
      </c>
      <c r="F232" s="48">
        <f ca="1" t="shared" si="28"/>
        <v>0</v>
      </c>
      <c r="G232" s="48">
        <f ca="1" t="shared" si="29"/>
        <v>0</v>
      </c>
      <c r="H232" s="48">
        <f ca="1" t="shared" si="30"/>
        <v>0</v>
      </c>
      <c r="I232" s="48">
        <f ca="1" t="shared" si="31"/>
        <v>0</v>
      </c>
      <c r="J232" s="48">
        <f ca="1" t="shared" si="32"/>
        <v>0</v>
      </c>
    </row>
    <row r="233" spans="2:10">
      <c r="B233" s="23">
        <v>231</v>
      </c>
      <c r="C233" s="48">
        <f ca="1" t="shared" si="25"/>
        <v>0</v>
      </c>
      <c r="D233" s="48">
        <f ca="1" t="shared" si="26"/>
        <v>0</v>
      </c>
      <c r="E233" s="48">
        <f ca="1" t="shared" si="27"/>
        <v>0</v>
      </c>
      <c r="F233" s="48">
        <f ca="1" t="shared" si="28"/>
        <v>0</v>
      </c>
      <c r="G233" s="48">
        <f ca="1" t="shared" si="29"/>
        <v>0</v>
      </c>
      <c r="H233" s="48">
        <f ca="1" t="shared" si="30"/>
        <v>0</v>
      </c>
      <c r="I233" s="48">
        <f ca="1" t="shared" si="31"/>
        <v>0</v>
      </c>
      <c r="J233" s="48">
        <f ca="1" t="shared" si="32"/>
        <v>0</v>
      </c>
    </row>
    <row r="234" spans="2:10">
      <c r="B234" s="23">
        <v>232</v>
      </c>
      <c r="C234" s="48">
        <f ca="1" t="shared" si="25"/>
        <v>0</v>
      </c>
      <c r="D234" s="48">
        <f ca="1" t="shared" si="26"/>
        <v>0</v>
      </c>
      <c r="E234" s="48">
        <f ca="1" t="shared" si="27"/>
        <v>0</v>
      </c>
      <c r="F234" s="48">
        <f ca="1" t="shared" si="28"/>
        <v>0</v>
      </c>
      <c r="G234" s="48">
        <f ca="1" t="shared" si="29"/>
        <v>0</v>
      </c>
      <c r="H234" s="48">
        <f ca="1" t="shared" si="30"/>
        <v>0</v>
      </c>
      <c r="I234" s="48">
        <f ca="1" t="shared" si="31"/>
        <v>0</v>
      </c>
      <c r="J234" s="48">
        <f ca="1" t="shared" si="32"/>
        <v>0</v>
      </c>
    </row>
    <row r="235" spans="2:10">
      <c r="B235" s="23">
        <v>233</v>
      </c>
      <c r="C235" s="48">
        <f ca="1" t="shared" si="25"/>
        <v>0</v>
      </c>
      <c r="D235" s="48">
        <f ca="1" t="shared" si="26"/>
        <v>0</v>
      </c>
      <c r="E235" s="48">
        <f ca="1" t="shared" si="27"/>
        <v>0</v>
      </c>
      <c r="F235" s="48">
        <f ca="1" t="shared" si="28"/>
        <v>0</v>
      </c>
      <c r="G235" s="48">
        <f ca="1" t="shared" si="29"/>
        <v>0</v>
      </c>
      <c r="H235" s="48">
        <f ca="1" t="shared" si="30"/>
        <v>0</v>
      </c>
      <c r="I235" s="48">
        <f ca="1" t="shared" si="31"/>
        <v>0</v>
      </c>
      <c r="J235" s="48">
        <f ca="1" t="shared" si="32"/>
        <v>0</v>
      </c>
    </row>
    <row r="236" spans="2:10">
      <c r="B236" s="23">
        <v>234</v>
      </c>
      <c r="C236" s="48">
        <f ca="1" t="shared" si="25"/>
        <v>0</v>
      </c>
      <c r="D236" s="48">
        <f ca="1" t="shared" si="26"/>
        <v>0</v>
      </c>
      <c r="E236" s="48">
        <f ca="1" t="shared" si="27"/>
        <v>0</v>
      </c>
      <c r="F236" s="48">
        <f ca="1" t="shared" si="28"/>
        <v>0</v>
      </c>
      <c r="G236" s="48">
        <f ca="1" t="shared" si="29"/>
        <v>0</v>
      </c>
      <c r="H236" s="48">
        <f ca="1" t="shared" si="30"/>
        <v>0</v>
      </c>
      <c r="I236" s="48">
        <f ca="1" t="shared" si="31"/>
        <v>0</v>
      </c>
      <c r="J236" s="48">
        <f ca="1" t="shared" si="32"/>
        <v>0</v>
      </c>
    </row>
    <row r="237" spans="2:10">
      <c r="B237" s="23">
        <v>235</v>
      </c>
      <c r="C237" s="48">
        <f ca="1" t="shared" si="25"/>
        <v>0</v>
      </c>
      <c r="D237" s="48">
        <f ca="1" t="shared" si="26"/>
        <v>0</v>
      </c>
      <c r="E237" s="48">
        <f ca="1" t="shared" si="27"/>
        <v>0</v>
      </c>
      <c r="F237" s="48">
        <f ca="1" t="shared" si="28"/>
        <v>0</v>
      </c>
      <c r="G237" s="48">
        <f ca="1" t="shared" si="29"/>
        <v>0</v>
      </c>
      <c r="H237" s="48">
        <f ca="1" t="shared" si="30"/>
        <v>0</v>
      </c>
      <c r="I237" s="48">
        <f ca="1" t="shared" si="31"/>
        <v>0</v>
      </c>
      <c r="J237" s="48">
        <f ca="1" t="shared" si="32"/>
        <v>0</v>
      </c>
    </row>
    <row r="238" spans="2:10">
      <c r="B238" s="23">
        <v>236</v>
      </c>
      <c r="C238" s="48">
        <f ca="1" t="shared" si="25"/>
        <v>0</v>
      </c>
      <c r="D238" s="48">
        <f ca="1" t="shared" si="26"/>
        <v>0</v>
      </c>
      <c r="E238" s="48">
        <f ca="1" t="shared" si="27"/>
        <v>0</v>
      </c>
      <c r="F238" s="48">
        <f ca="1" t="shared" si="28"/>
        <v>0</v>
      </c>
      <c r="G238" s="48">
        <f ca="1" t="shared" si="29"/>
        <v>0</v>
      </c>
      <c r="H238" s="48">
        <f ca="1" t="shared" si="30"/>
        <v>0</v>
      </c>
      <c r="I238" s="48">
        <f ca="1" t="shared" si="31"/>
        <v>0</v>
      </c>
      <c r="J238" s="48">
        <f ca="1" t="shared" si="32"/>
        <v>0</v>
      </c>
    </row>
    <row r="239" spans="2:10">
      <c r="B239" s="23">
        <v>237</v>
      </c>
      <c r="C239" s="48">
        <f ca="1" t="shared" si="25"/>
        <v>0</v>
      </c>
      <c r="D239" s="48">
        <f ca="1" t="shared" si="26"/>
        <v>0</v>
      </c>
      <c r="E239" s="48">
        <f ca="1" t="shared" si="27"/>
        <v>0</v>
      </c>
      <c r="F239" s="48">
        <f ca="1" t="shared" si="28"/>
        <v>0</v>
      </c>
      <c r="G239" s="48">
        <f ca="1" t="shared" si="29"/>
        <v>0</v>
      </c>
      <c r="H239" s="48">
        <f ca="1" t="shared" si="30"/>
        <v>0</v>
      </c>
      <c r="I239" s="48">
        <f ca="1" t="shared" si="31"/>
        <v>0</v>
      </c>
      <c r="J239" s="48">
        <f ca="1" t="shared" si="32"/>
        <v>0</v>
      </c>
    </row>
    <row r="240" spans="2:10">
      <c r="B240" s="23">
        <v>238</v>
      </c>
      <c r="C240" s="48">
        <f ca="1" t="shared" si="25"/>
        <v>0</v>
      </c>
      <c r="D240" s="48">
        <f ca="1" t="shared" si="26"/>
        <v>0</v>
      </c>
      <c r="E240" s="48">
        <f ca="1" t="shared" si="27"/>
        <v>0</v>
      </c>
      <c r="F240" s="48">
        <f ca="1" t="shared" si="28"/>
        <v>0</v>
      </c>
      <c r="G240" s="48">
        <f ca="1" t="shared" si="29"/>
        <v>0</v>
      </c>
      <c r="H240" s="48">
        <f ca="1" t="shared" si="30"/>
        <v>0</v>
      </c>
      <c r="I240" s="48">
        <f ca="1" t="shared" si="31"/>
        <v>0</v>
      </c>
      <c r="J240" s="48">
        <f ca="1" t="shared" si="32"/>
        <v>0</v>
      </c>
    </row>
    <row r="241" spans="2:10">
      <c r="B241" s="23">
        <v>239</v>
      </c>
      <c r="C241" s="48">
        <f ca="1" t="shared" si="25"/>
        <v>0</v>
      </c>
      <c r="D241" s="48">
        <f ca="1" t="shared" si="26"/>
        <v>0</v>
      </c>
      <c r="E241" s="48">
        <f ca="1" t="shared" si="27"/>
        <v>0</v>
      </c>
      <c r="F241" s="48">
        <f ca="1" t="shared" si="28"/>
        <v>0</v>
      </c>
      <c r="G241" s="48">
        <f ca="1" t="shared" si="29"/>
        <v>0</v>
      </c>
      <c r="H241" s="48">
        <f ca="1" t="shared" si="30"/>
        <v>0</v>
      </c>
      <c r="I241" s="48">
        <f ca="1" t="shared" si="31"/>
        <v>0</v>
      </c>
      <c r="J241" s="48">
        <f ca="1" t="shared" si="32"/>
        <v>0</v>
      </c>
    </row>
    <row r="242" spans="2:10">
      <c r="B242" s="23">
        <v>240</v>
      </c>
      <c r="C242" s="48">
        <f ca="1" t="shared" si="25"/>
        <v>0</v>
      </c>
      <c r="D242" s="48">
        <f ca="1" t="shared" si="26"/>
        <v>0</v>
      </c>
      <c r="E242" s="48">
        <f ca="1" t="shared" si="27"/>
        <v>0</v>
      </c>
      <c r="F242" s="48">
        <f ca="1" t="shared" si="28"/>
        <v>0</v>
      </c>
      <c r="G242" s="48">
        <f ca="1" t="shared" si="29"/>
        <v>0</v>
      </c>
      <c r="H242" s="48">
        <f ca="1" t="shared" si="30"/>
        <v>0</v>
      </c>
      <c r="I242" s="48">
        <f ca="1" t="shared" si="31"/>
        <v>0</v>
      </c>
      <c r="J242" s="48">
        <f ca="1" t="shared" si="32"/>
        <v>0</v>
      </c>
    </row>
    <row r="243" spans="2:10">
      <c r="B243" s="23">
        <v>241</v>
      </c>
      <c r="C243" s="48">
        <f ca="1" t="shared" si="25"/>
        <v>0</v>
      </c>
      <c r="D243" s="48">
        <f ca="1" t="shared" si="26"/>
        <v>0</v>
      </c>
      <c r="E243" s="48">
        <f ca="1" t="shared" si="27"/>
        <v>0</v>
      </c>
      <c r="F243" s="48">
        <f ca="1" t="shared" si="28"/>
        <v>0</v>
      </c>
      <c r="G243" s="48">
        <f ca="1" t="shared" si="29"/>
        <v>0</v>
      </c>
      <c r="H243" s="48">
        <f ca="1" t="shared" si="30"/>
        <v>0</v>
      </c>
      <c r="I243" s="48">
        <f ca="1" t="shared" si="31"/>
        <v>0</v>
      </c>
      <c r="J243" s="48">
        <f ca="1" t="shared" si="32"/>
        <v>0</v>
      </c>
    </row>
    <row r="244" spans="2:10">
      <c r="B244" s="23">
        <v>242</v>
      </c>
      <c r="C244" s="48">
        <f ca="1" t="shared" si="25"/>
        <v>0</v>
      </c>
      <c r="D244" s="48">
        <f ca="1" t="shared" si="26"/>
        <v>0</v>
      </c>
      <c r="E244" s="48">
        <f ca="1" t="shared" si="27"/>
        <v>0</v>
      </c>
      <c r="F244" s="48">
        <f ca="1" t="shared" si="28"/>
        <v>0</v>
      </c>
      <c r="G244" s="48">
        <f ca="1" t="shared" si="29"/>
        <v>0</v>
      </c>
      <c r="H244" s="48">
        <f ca="1" t="shared" si="30"/>
        <v>0</v>
      </c>
      <c r="I244" s="48">
        <f ca="1" t="shared" si="31"/>
        <v>0</v>
      </c>
      <c r="J244" s="48">
        <f ca="1" t="shared" si="32"/>
        <v>0</v>
      </c>
    </row>
    <row r="245" spans="2:10">
      <c r="B245" s="23">
        <v>243</v>
      </c>
      <c r="C245" s="48">
        <f ca="1" t="shared" si="25"/>
        <v>0</v>
      </c>
      <c r="D245" s="48">
        <f ca="1" t="shared" si="26"/>
        <v>0</v>
      </c>
      <c r="E245" s="48">
        <f ca="1" t="shared" si="27"/>
        <v>0</v>
      </c>
      <c r="F245" s="48">
        <f ca="1" t="shared" si="28"/>
        <v>0</v>
      </c>
      <c r="G245" s="48">
        <f ca="1" t="shared" si="29"/>
        <v>0</v>
      </c>
      <c r="H245" s="48">
        <f ca="1" t="shared" si="30"/>
        <v>0</v>
      </c>
      <c r="I245" s="48">
        <f ca="1" t="shared" si="31"/>
        <v>0</v>
      </c>
      <c r="J245" s="48">
        <f ca="1" t="shared" si="32"/>
        <v>0</v>
      </c>
    </row>
    <row r="246" spans="2:10">
      <c r="B246" s="23">
        <v>244</v>
      </c>
      <c r="C246" s="48">
        <f ca="1" t="shared" si="25"/>
        <v>0</v>
      </c>
      <c r="D246" s="48">
        <f ca="1" t="shared" si="26"/>
        <v>0</v>
      </c>
      <c r="E246" s="48">
        <f ca="1" t="shared" si="27"/>
        <v>0</v>
      </c>
      <c r="F246" s="48">
        <f ca="1" t="shared" si="28"/>
        <v>0</v>
      </c>
      <c r="G246" s="48">
        <f ca="1" t="shared" si="29"/>
        <v>0</v>
      </c>
      <c r="H246" s="48">
        <f ca="1" t="shared" si="30"/>
        <v>0</v>
      </c>
      <c r="I246" s="48">
        <f ca="1" t="shared" si="31"/>
        <v>0</v>
      </c>
      <c r="J246" s="48">
        <f ca="1" t="shared" si="32"/>
        <v>0</v>
      </c>
    </row>
    <row r="247" spans="2:10">
      <c r="B247" s="23">
        <v>245</v>
      </c>
      <c r="C247" s="48">
        <f ca="1" t="shared" si="25"/>
        <v>0</v>
      </c>
      <c r="D247" s="48">
        <f ca="1" t="shared" si="26"/>
        <v>0</v>
      </c>
      <c r="E247" s="48">
        <f ca="1" t="shared" si="27"/>
        <v>0</v>
      </c>
      <c r="F247" s="48">
        <f ca="1" t="shared" si="28"/>
        <v>0</v>
      </c>
      <c r="G247" s="48">
        <f ca="1" t="shared" si="29"/>
        <v>0</v>
      </c>
      <c r="H247" s="48">
        <f ca="1" t="shared" si="30"/>
        <v>0</v>
      </c>
      <c r="I247" s="48">
        <f ca="1" t="shared" si="31"/>
        <v>0</v>
      </c>
      <c r="J247" s="48">
        <f ca="1" t="shared" si="32"/>
        <v>0</v>
      </c>
    </row>
    <row r="248" spans="2:10">
      <c r="B248" s="23">
        <v>246</v>
      </c>
      <c r="C248" s="48">
        <f ca="1" t="shared" si="25"/>
        <v>0</v>
      </c>
      <c r="D248" s="48">
        <f ca="1" t="shared" si="26"/>
        <v>0</v>
      </c>
      <c r="E248" s="48">
        <f ca="1" t="shared" si="27"/>
        <v>0</v>
      </c>
      <c r="F248" s="48">
        <f ca="1" t="shared" si="28"/>
        <v>0</v>
      </c>
      <c r="G248" s="48">
        <f ca="1" t="shared" si="29"/>
        <v>0</v>
      </c>
      <c r="H248" s="48">
        <f ca="1" t="shared" si="30"/>
        <v>0</v>
      </c>
      <c r="I248" s="48">
        <f ca="1" t="shared" si="31"/>
        <v>0</v>
      </c>
      <c r="J248" s="48">
        <f ca="1" t="shared" si="32"/>
        <v>0</v>
      </c>
    </row>
    <row r="249" spans="2:10">
      <c r="B249" s="23">
        <v>247</v>
      </c>
      <c r="C249" s="48">
        <f ca="1" t="shared" si="25"/>
        <v>0</v>
      </c>
      <c r="D249" s="48">
        <f ca="1" t="shared" si="26"/>
        <v>0</v>
      </c>
      <c r="E249" s="48">
        <f ca="1" t="shared" si="27"/>
        <v>0</v>
      </c>
      <c r="F249" s="48">
        <f ca="1" t="shared" si="28"/>
        <v>0</v>
      </c>
      <c r="G249" s="48">
        <f ca="1" t="shared" si="29"/>
        <v>0</v>
      </c>
      <c r="H249" s="48">
        <f ca="1" t="shared" si="30"/>
        <v>0</v>
      </c>
      <c r="I249" s="48">
        <f ca="1" t="shared" si="31"/>
        <v>0</v>
      </c>
      <c r="J249" s="48">
        <f ca="1" t="shared" si="32"/>
        <v>0</v>
      </c>
    </row>
    <row r="250" spans="2:10">
      <c r="B250" s="23">
        <v>248</v>
      </c>
      <c r="C250" s="48">
        <f ca="1" t="shared" si="25"/>
        <v>0</v>
      </c>
      <c r="D250" s="48">
        <f ca="1" t="shared" si="26"/>
        <v>0</v>
      </c>
      <c r="E250" s="48">
        <f ca="1" t="shared" si="27"/>
        <v>0</v>
      </c>
      <c r="F250" s="48">
        <f ca="1" t="shared" si="28"/>
        <v>0</v>
      </c>
      <c r="G250" s="48">
        <f ca="1" t="shared" si="29"/>
        <v>0</v>
      </c>
      <c r="H250" s="48">
        <f ca="1" t="shared" si="30"/>
        <v>0</v>
      </c>
      <c r="I250" s="48">
        <f ca="1" t="shared" si="31"/>
        <v>0</v>
      </c>
      <c r="J250" s="48">
        <f ca="1" t="shared" si="32"/>
        <v>0</v>
      </c>
    </row>
    <row r="251" spans="2:10">
      <c r="B251" s="23">
        <v>249</v>
      </c>
      <c r="C251" s="48">
        <f ca="1" t="shared" si="25"/>
        <v>0</v>
      </c>
      <c r="D251" s="48">
        <f ca="1" t="shared" si="26"/>
        <v>0</v>
      </c>
      <c r="E251" s="48">
        <f ca="1" t="shared" si="27"/>
        <v>0</v>
      </c>
      <c r="F251" s="48">
        <f ca="1" t="shared" si="28"/>
        <v>0</v>
      </c>
      <c r="G251" s="48">
        <f ca="1" t="shared" si="29"/>
        <v>0</v>
      </c>
      <c r="H251" s="48">
        <f ca="1" t="shared" si="30"/>
        <v>0</v>
      </c>
      <c r="I251" s="48">
        <f ca="1" t="shared" si="31"/>
        <v>0</v>
      </c>
      <c r="J251" s="48">
        <f ca="1" t="shared" si="32"/>
        <v>0</v>
      </c>
    </row>
    <row r="252" spans="2:10">
      <c r="B252" s="23">
        <v>250</v>
      </c>
      <c r="C252" s="48">
        <f ca="1" t="shared" si="25"/>
        <v>0</v>
      </c>
      <c r="D252" s="48">
        <f ca="1" t="shared" si="26"/>
        <v>0</v>
      </c>
      <c r="E252" s="48">
        <f ca="1" t="shared" si="27"/>
        <v>0</v>
      </c>
      <c r="F252" s="48">
        <f ca="1" t="shared" si="28"/>
        <v>0</v>
      </c>
      <c r="G252" s="48">
        <f ca="1" t="shared" si="29"/>
        <v>0</v>
      </c>
      <c r="H252" s="48">
        <f ca="1" t="shared" si="30"/>
        <v>0</v>
      </c>
      <c r="I252" s="48">
        <f ca="1" t="shared" si="31"/>
        <v>0</v>
      </c>
      <c r="J252" s="48">
        <f ca="1" t="shared" si="32"/>
        <v>0</v>
      </c>
    </row>
    <row r="253" spans="2:10">
      <c r="B253" s="23">
        <v>251</v>
      </c>
      <c r="C253" s="48">
        <f ca="1" t="shared" si="25"/>
        <v>0</v>
      </c>
      <c r="D253" s="48">
        <f ca="1" t="shared" si="26"/>
        <v>0</v>
      </c>
      <c r="E253" s="48">
        <f ca="1" t="shared" si="27"/>
        <v>0</v>
      </c>
      <c r="F253" s="48">
        <f ca="1" t="shared" si="28"/>
        <v>0</v>
      </c>
      <c r="G253" s="48">
        <f ca="1" t="shared" si="29"/>
        <v>0</v>
      </c>
      <c r="H253" s="48">
        <f ca="1" t="shared" si="30"/>
        <v>0</v>
      </c>
      <c r="I253" s="48">
        <f ca="1" t="shared" si="31"/>
        <v>0</v>
      </c>
      <c r="J253" s="48">
        <f ca="1" t="shared" si="32"/>
        <v>0</v>
      </c>
    </row>
    <row r="254" spans="2:10">
      <c r="B254" s="23">
        <v>252</v>
      </c>
      <c r="C254" s="48">
        <f ca="1" t="shared" si="25"/>
        <v>0</v>
      </c>
      <c r="D254" s="48">
        <f ca="1" t="shared" si="26"/>
        <v>0</v>
      </c>
      <c r="E254" s="48">
        <f ca="1" t="shared" si="27"/>
        <v>0</v>
      </c>
      <c r="F254" s="48">
        <f ca="1" t="shared" si="28"/>
        <v>0</v>
      </c>
      <c r="G254" s="48">
        <f ca="1" t="shared" si="29"/>
        <v>0</v>
      </c>
      <c r="H254" s="48">
        <f ca="1" t="shared" si="30"/>
        <v>0</v>
      </c>
      <c r="I254" s="48">
        <f ca="1" t="shared" si="31"/>
        <v>0</v>
      </c>
      <c r="J254" s="48">
        <f ca="1" t="shared" si="32"/>
        <v>0</v>
      </c>
    </row>
    <row r="255" spans="2:10">
      <c r="B255" s="23">
        <v>253</v>
      </c>
      <c r="C255" s="48">
        <f ca="1" t="shared" si="25"/>
        <v>0</v>
      </c>
      <c r="D255" s="48">
        <f ca="1" t="shared" si="26"/>
        <v>0</v>
      </c>
      <c r="E255" s="48">
        <f ca="1" t="shared" si="27"/>
        <v>0</v>
      </c>
      <c r="F255" s="48">
        <f ca="1" t="shared" si="28"/>
        <v>0</v>
      </c>
      <c r="G255" s="48">
        <f ca="1" t="shared" si="29"/>
        <v>0</v>
      </c>
      <c r="H255" s="48">
        <f ca="1" t="shared" si="30"/>
        <v>0</v>
      </c>
      <c r="I255" s="48">
        <f ca="1" t="shared" si="31"/>
        <v>0</v>
      </c>
      <c r="J255" s="48">
        <f ca="1" t="shared" si="32"/>
        <v>0</v>
      </c>
    </row>
    <row r="256" spans="2:10">
      <c r="B256" s="23">
        <v>254</v>
      </c>
      <c r="C256" s="48">
        <f ca="1" t="shared" si="25"/>
        <v>0</v>
      </c>
      <c r="D256" s="48">
        <f ca="1" t="shared" si="26"/>
        <v>0</v>
      </c>
      <c r="E256" s="48">
        <f ca="1" t="shared" si="27"/>
        <v>0</v>
      </c>
      <c r="F256" s="48">
        <f ca="1" t="shared" si="28"/>
        <v>0</v>
      </c>
      <c r="G256" s="48">
        <f ca="1" t="shared" si="29"/>
        <v>0</v>
      </c>
      <c r="H256" s="48">
        <f ca="1" t="shared" si="30"/>
        <v>0</v>
      </c>
      <c r="I256" s="48">
        <f ca="1" t="shared" si="31"/>
        <v>0</v>
      </c>
      <c r="J256" s="48">
        <f ca="1" t="shared" si="32"/>
        <v>0</v>
      </c>
    </row>
    <row r="257" spans="2:10">
      <c r="B257" s="23">
        <v>255</v>
      </c>
      <c r="C257" s="48">
        <f ca="1" t="shared" si="25"/>
        <v>0</v>
      </c>
      <c r="D257" s="48">
        <f ca="1" t="shared" si="26"/>
        <v>0</v>
      </c>
      <c r="E257" s="48">
        <f ca="1" t="shared" si="27"/>
        <v>0</v>
      </c>
      <c r="F257" s="48">
        <f ca="1" t="shared" si="28"/>
        <v>0</v>
      </c>
      <c r="G257" s="48">
        <f ca="1" t="shared" si="29"/>
        <v>0</v>
      </c>
      <c r="H257" s="48">
        <f ca="1" t="shared" si="30"/>
        <v>0</v>
      </c>
      <c r="I257" s="48">
        <f ca="1" t="shared" si="31"/>
        <v>0</v>
      </c>
      <c r="J257" s="48">
        <f ca="1" t="shared" si="32"/>
        <v>0</v>
      </c>
    </row>
    <row r="258" spans="2:10">
      <c r="B258" s="23">
        <v>256</v>
      </c>
      <c r="C258" s="48">
        <f ca="1" t="shared" si="25"/>
        <v>0</v>
      </c>
      <c r="D258" s="48">
        <f ca="1" t="shared" si="26"/>
        <v>0</v>
      </c>
      <c r="E258" s="48">
        <f ca="1" t="shared" si="27"/>
        <v>0</v>
      </c>
      <c r="F258" s="48">
        <f ca="1" t="shared" si="28"/>
        <v>0</v>
      </c>
      <c r="G258" s="48">
        <f ca="1" t="shared" si="29"/>
        <v>0</v>
      </c>
      <c r="H258" s="48">
        <f ca="1" t="shared" si="30"/>
        <v>0</v>
      </c>
      <c r="I258" s="48">
        <f ca="1" t="shared" si="31"/>
        <v>0</v>
      </c>
      <c r="J258" s="48">
        <f ca="1" t="shared" si="32"/>
        <v>0</v>
      </c>
    </row>
    <row r="259" spans="2:10">
      <c r="B259" s="23">
        <v>257</v>
      </c>
      <c r="C259" s="48">
        <f ca="1" t="shared" si="25"/>
        <v>0</v>
      </c>
      <c r="D259" s="48">
        <f ca="1" t="shared" si="26"/>
        <v>0</v>
      </c>
      <c r="E259" s="48">
        <f ca="1" t="shared" si="27"/>
        <v>0</v>
      </c>
      <c r="F259" s="48">
        <f ca="1" t="shared" si="28"/>
        <v>0</v>
      </c>
      <c r="G259" s="48">
        <f ca="1" t="shared" si="29"/>
        <v>0</v>
      </c>
      <c r="H259" s="48">
        <f ca="1" t="shared" si="30"/>
        <v>0</v>
      </c>
      <c r="I259" s="48">
        <f ca="1" t="shared" si="31"/>
        <v>0</v>
      </c>
      <c r="J259" s="48">
        <f ca="1" t="shared" si="32"/>
        <v>0</v>
      </c>
    </row>
    <row r="260" spans="2:10">
      <c r="B260" s="23">
        <v>258</v>
      </c>
      <c r="C260" s="48">
        <f ca="1" t="shared" ref="C260:C302" si="33">IFERROR(_xlfn.XLOOKUP(B260,$O$2:$O$27,$P$2:$P$27),0)+OFFSET($R$2,MIN(8,$B260),MATCH(C$2,$S$2:$AB$2,0))</f>
        <v>0</v>
      </c>
      <c r="D260" s="48">
        <f ca="1" t="shared" ref="D260:D302" si="34">IFERROR(_xlfn.XLOOKUP(C260,$O$2:$O$27,$P$2:$P$27),0)+OFFSET($R$2,MIN(8,$B260),MATCH(D$2,$S$2:$AB$2,0))</f>
        <v>0</v>
      </c>
      <c r="E260" s="48">
        <f ca="1" t="shared" ref="E260:E302" si="35">IFERROR(_xlfn.XLOOKUP(D260,$O$2:$O$27,$P$2:$P$27),0)+OFFSET($R$2,MIN(8,$B260),MATCH(E$2,$S$2:$AB$2,0))+IFERROR(_xlfn.XLOOKUP(B260,$L$3:$L$9,$M$3:$M$9),0)</f>
        <v>0</v>
      </c>
      <c r="F260" s="48">
        <f ca="1" t="shared" ref="F260:F302" si="36">IFERROR(_xlfn.XLOOKUP(E260,$O$2:$O$27,$P$2:$P$27),0)+OFFSET($R$2,MIN(8,$B260),MATCH(F$2,$S$2:$AB$2,0))</f>
        <v>0</v>
      </c>
      <c r="G260" s="48">
        <f ca="1" t="shared" ref="G260:G302" si="37">IFERROR(_xlfn.XLOOKUP(F260,$O$2:$O$27,$P$2:$P$27),0)+OFFSET($R$2,MIN(8,$B260),MATCH(G$2,$S$2:$AB$2,0))</f>
        <v>0</v>
      </c>
      <c r="H260" s="48">
        <f ca="1" t="shared" ref="H260:H302" si="38">IFERROR(_xlfn.XLOOKUP(G260,$O$2:$O$27,$P$2:$P$27),0)+OFFSET($R$2,MIN(8,$B260),MATCH(H$2,$S$2:$AB$2,0))</f>
        <v>0</v>
      </c>
      <c r="I260" s="48">
        <f ca="1" t="shared" ref="I260:I302" si="39">IFERROR(_xlfn.XLOOKUP(H260,$O$2:$O$27,$P$2:$P$27),0)+OFFSET($R$2,MIN(8,$B260),MATCH(I$2,$S$2:$AB$2,0))</f>
        <v>0</v>
      </c>
      <c r="J260" s="48">
        <f ca="1" t="shared" ref="J260:J302" si="40">IFERROR(_xlfn.XLOOKUP(I260,$O$2:$O$27,$P$2:$P$27),0)+OFFSET($R$2,MIN(8,$B260),MATCH(J$2,$S$2:$AB$2,0))</f>
        <v>0</v>
      </c>
    </row>
    <row r="261" spans="2:10">
      <c r="B261" s="23">
        <v>259</v>
      </c>
      <c r="C261" s="48">
        <f ca="1" t="shared" si="33"/>
        <v>0</v>
      </c>
      <c r="D261" s="48">
        <f ca="1" t="shared" si="34"/>
        <v>0</v>
      </c>
      <c r="E261" s="48">
        <f ca="1" t="shared" si="35"/>
        <v>0</v>
      </c>
      <c r="F261" s="48">
        <f ca="1" t="shared" si="36"/>
        <v>0</v>
      </c>
      <c r="G261" s="48">
        <f ca="1" t="shared" si="37"/>
        <v>0</v>
      </c>
      <c r="H261" s="48">
        <f ca="1" t="shared" si="38"/>
        <v>0</v>
      </c>
      <c r="I261" s="48">
        <f ca="1" t="shared" si="39"/>
        <v>0</v>
      </c>
      <c r="J261" s="48">
        <f ca="1" t="shared" si="40"/>
        <v>0</v>
      </c>
    </row>
    <row r="262" spans="2:10">
      <c r="B262" s="23">
        <v>260</v>
      </c>
      <c r="C262" s="48">
        <f ca="1" t="shared" si="33"/>
        <v>0</v>
      </c>
      <c r="D262" s="48">
        <f ca="1" t="shared" si="34"/>
        <v>0</v>
      </c>
      <c r="E262" s="48">
        <f ca="1" t="shared" si="35"/>
        <v>0</v>
      </c>
      <c r="F262" s="48">
        <f ca="1" t="shared" si="36"/>
        <v>0</v>
      </c>
      <c r="G262" s="48">
        <f ca="1" t="shared" si="37"/>
        <v>0</v>
      </c>
      <c r="H262" s="48">
        <f ca="1" t="shared" si="38"/>
        <v>0</v>
      </c>
      <c r="I262" s="48">
        <f ca="1" t="shared" si="39"/>
        <v>0</v>
      </c>
      <c r="J262" s="48">
        <f ca="1" t="shared" si="40"/>
        <v>0</v>
      </c>
    </row>
    <row r="263" spans="2:10">
      <c r="B263" s="23">
        <v>261</v>
      </c>
      <c r="C263" s="48">
        <f ca="1" t="shared" si="33"/>
        <v>0</v>
      </c>
      <c r="D263" s="48">
        <f ca="1" t="shared" si="34"/>
        <v>0</v>
      </c>
      <c r="E263" s="48">
        <f ca="1" t="shared" si="35"/>
        <v>0</v>
      </c>
      <c r="F263" s="48">
        <f ca="1" t="shared" si="36"/>
        <v>0</v>
      </c>
      <c r="G263" s="48">
        <f ca="1" t="shared" si="37"/>
        <v>0</v>
      </c>
      <c r="H263" s="48">
        <f ca="1" t="shared" si="38"/>
        <v>0</v>
      </c>
      <c r="I263" s="48">
        <f ca="1" t="shared" si="39"/>
        <v>0</v>
      </c>
      <c r="J263" s="48">
        <f ca="1" t="shared" si="40"/>
        <v>0</v>
      </c>
    </row>
    <row r="264" spans="2:10">
      <c r="B264" s="23">
        <v>262</v>
      </c>
      <c r="C264" s="48">
        <f ca="1" t="shared" si="33"/>
        <v>0</v>
      </c>
      <c r="D264" s="48">
        <f ca="1" t="shared" si="34"/>
        <v>0</v>
      </c>
      <c r="E264" s="48">
        <f ca="1" t="shared" si="35"/>
        <v>0</v>
      </c>
      <c r="F264" s="48">
        <f ca="1" t="shared" si="36"/>
        <v>0</v>
      </c>
      <c r="G264" s="48">
        <f ca="1" t="shared" si="37"/>
        <v>0</v>
      </c>
      <c r="H264" s="48">
        <f ca="1" t="shared" si="38"/>
        <v>0</v>
      </c>
      <c r="I264" s="48">
        <f ca="1" t="shared" si="39"/>
        <v>0</v>
      </c>
      <c r="J264" s="48">
        <f ca="1" t="shared" si="40"/>
        <v>0</v>
      </c>
    </row>
    <row r="265" spans="2:10">
      <c r="B265" s="23">
        <v>263</v>
      </c>
      <c r="C265" s="48">
        <f ca="1" t="shared" si="33"/>
        <v>0</v>
      </c>
      <c r="D265" s="48">
        <f ca="1" t="shared" si="34"/>
        <v>0</v>
      </c>
      <c r="E265" s="48">
        <f ca="1" t="shared" si="35"/>
        <v>0</v>
      </c>
      <c r="F265" s="48">
        <f ca="1" t="shared" si="36"/>
        <v>0</v>
      </c>
      <c r="G265" s="48">
        <f ca="1" t="shared" si="37"/>
        <v>0</v>
      </c>
      <c r="H265" s="48">
        <f ca="1" t="shared" si="38"/>
        <v>0</v>
      </c>
      <c r="I265" s="48">
        <f ca="1" t="shared" si="39"/>
        <v>0</v>
      </c>
      <c r="J265" s="48">
        <f ca="1" t="shared" si="40"/>
        <v>0</v>
      </c>
    </row>
    <row r="266" spans="2:10">
      <c r="B266" s="23">
        <v>264</v>
      </c>
      <c r="C266" s="48">
        <f ca="1" t="shared" si="33"/>
        <v>0</v>
      </c>
      <c r="D266" s="48">
        <f ca="1" t="shared" si="34"/>
        <v>0</v>
      </c>
      <c r="E266" s="48">
        <f ca="1" t="shared" si="35"/>
        <v>0</v>
      </c>
      <c r="F266" s="48">
        <f ca="1" t="shared" si="36"/>
        <v>0</v>
      </c>
      <c r="G266" s="48">
        <f ca="1" t="shared" si="37"/>
        <v>0</v>
      </c>
      <c r="H266" s="48">
        <f ca="1" t="shared" si="38"/>
        <v>0</v>
      </c>
      <c r="I266" s="48">
        <f ca="1" t="shared" si="39"/>
        <v>0</v>
      </c>
      <c r="J266" s="48">
        <f ca="1" t="shared" si="40"/>
        <v>0</v>
      </c>
    </row>
    <row r="267" spans="2:10">
      <c r="B267" s="23">
        <v>265</v>
      </c>
      <c r="C267" s="48">
        <f ca="1" t="shared" si="33"/>
        <v>0</v>
      </c>
      <c r="D267" s="48">
        <f ca="1" t="shared" si="34"/>
        <v>0</v>
      </c>
      <c r="E267" s="48">
        <f ca="1" t="shared" si="35"/>
        <v>0</v>
      </c>
      <c r="F267" s="48">
        <f ca="1" t="shared" si="36"/>
        <v>0</v>
      </c>
      <c r="G267" s="48">
        <f ca="1" t="shared" si="37"/>
        <v>0</v>
      </c>
      <c r="H267" s="48">
        <f ca="1" t="shared" si="38"/>
        <v>0</v>
      </c>
      <c r="I267" s="48">
        <f ca="1" t="shared" si="39"/>
        <v>0</v>
      </c>
      <c r="J267" s="48">
        <f ca="1" t="shared" si="40"/>
        <v>0</v>
      </c>
    </row>
    <row r="268" spans="2:10">
      <c r="B268" s="23">
        <v>266</v>
      </c>
      <c r="C268" s="48">
        <f ca="1" t="shared" si="33"/>
        <v>0</v>
      </c>
      <c r="D268" s="48">
        <f ca="1" t="shared" si="34"/>
        <v>0</v>
      </c>
      <c r="E268" s="48">
        <f ca="1" t="shared" si="35"/>
        <v>0</v>
      </c>
      <c r="F268" s="48">
        <f ca="1" t="shared" si="36"/>
        <v>0</v>
      </c>
      <c r="G268" s="48">
        <f ca="1" t="shared" si="37"/>
        <v>0</v>
      </c>
      <c r="H268" s="48">
        <f ca="1" t="shared" si="38"/>
        <v>0</v>
      </c>
      <c r="I268" s="48">
        <f ca="1" t="shared" si="39"/>
        <v>0</v>
      </c>
      <c r="J268" s="48">
        <f ca="1" t="shared" si="40"/>
        <v>0</v>
      </c>
    </row>
    <row r="269" spans="2:10">
      <c r="B269" s="23">
        <v>267</v>
      </c>
      <c r="C269" s="48">
        <f ca="1" t="shared" si="33"/>
        <v>0</v>
      </c>
      <c r="D269" s="48">
        <f ca="1" t="shared" si="34"/>
        <v>0</v>
      </c>
      <c r="E269" s="48">
        <f ca="1" t="shared" si="35"/>
        <v>0</v>
      </c>
      <c r="F269" s="48">
        <f ca="1" t="shared" si="36"/>
        <v>0</v>
      </c>
      <c r="G269" s="48">
        <f ca="1" t="shared" si="37"/>
        <v>0</v>
      </c>
      <c r="H269" s="48">
        <f ca="1" t="shared" si="38"/>
        <v>0</v>
      </c>
      <c r="I269" s="48">
        <f ca="1" t="shared" si="39"/>
        <v>0</v>
      </c>
      <c r="J269" s="48">
        <f ca="1" t="shared" si="40"/>
        <v>0</v>
      </c>
    </row>
    <row r="270" spans="2:10">
      <c r="B270" s="23">
        <v>268</v>
      </c>
      <c r="C270" s="48">
        <f ca="1" t="shared" si="33"/>
        <v>0</v>
      </c>
      <c r="D270" s="48">
        <f ca="1" t="shared" si="34"/>
        <v>0</v>
      </c>
      <c r="E270" s="48">
        <f ca="1" t="shared" si="35"/>
        <v>0</v>
      </c>
      <c r="F270" s="48">
        <f ca="1" t="shared" si="36"/>
        <v>0</v>
      </c>
      <c r="G270" s="48">
        <f ca="1" t="shared" si="37"/>
        <v>0</v>
      </c>
      <c r="H270" s="48">
        <f ca="1" t="shared" si="38"/>
        <v>0</v>
      </c>
      <c r="I270" s="48">
        <f ca="1" t="shared" si="39"/>
        <v>0</v>
      </c>
      <c r="J270" s="48">
        <f ca="1" t="shared" si="40"/>
        <v>0</v>
      </c>
    </row>
    <row r="271" spans="2:10">
      <c r="B271" s="23">
        <v>269</v>
      </c>
      <c r="C271" s="48">
        <f ca="1" t="shared" si="33"/>
        <v>0</v>
      </c>
      <c r="D271" s="48">
        <f ca="1" t="shared" si="34"/>
        <v>0</v>
      </c>
      <c r="E271" s="48">
        <f ca="1" t="shared" si="35"/>
        <v>0</v>
      </c>
      <c r="F271" s="48">
        <f ca="1" t="shared" si="36"/>
        <v>0</v>
      </c>
      <c r="G271" s="48">
        <f ca="1" t="shared" si="37"/>
        <v>0</v>
      </c>
      <c r="H271" s="48">
        <f ca="1" t="shared" si="38"/>
        <v>0</v>
      </c>
      <c r="I271" s="48">
        <f ca="1" t="shared" si="39"/>
        <v>0</v>
      </c>
      <c r="J271" s="48">
        <f ca="1" t="shared" si="40"/>
        <v>0</v>
      </c>
    </row>
    <row r="272" spans="2:10">
      <c r="B272" s="23">
        <v>270</v>
      </c>
      <c r="C272" s="48">
        <f ca="1" t="shared" si="33"/>
        <v>0</v>
      </c>
      <c r="D272" s="48">
        <f ca="1" t="shared" si="34"/>
        <v>0</v>
      </c>
      <c r="E272" s="48">
        <f ca="1" t="shared" si="35"/>
        <v>0</v>
      </c>
      <c r="F272" s="48">
        <f ca="1" t="shared" si="36"/>
        <v>0</v>
      </c>
      <c r="G272" s="48">
        <f ca="1" t="shared" si="37"/>
        <v>0</v>
      </c>
      <c r="H272" s="48">
        <f ca="1" t="shared" si="38"/>
        <v>0</v>
      </c>
      <c r="I272" s="48">
        <f ca="1" t="shared" si="39"/>
        <v>0</v>
      </c>
      <c r="J272" s="48">
        <f ca="1" t="shared" si="40"/>
        <v>0</v>
      </c>
    </row>
    <row r="273" spans="2:10">
      <c r="B273" s="23">
        <v>271</v>
      </c>
      <c r="C273" s="48">
        <f ca="1" t="shared" si="33"/>
        <v>0</v>
      </c>
      <c r="D273" s="48">
        <f ca="1" t="shared" si="34"/>
        <v>0</v>
      </c>
      <c r="E273" s="48">
        <f ca="1" t="shared" si="35"/>
        <v>0</v>
      </c>
      <c r="F273" s="48">
        <f ca="1" t="shared" si="36"/>
        <v>0</v>
      </c>
      <c r="G273" s="48">
        <f ca="1" t="shared" si="37"/>
        <v>0</v>
      </c>
      <c r="H273" s="48">
        <f ca="1" t="shared" si="38"/>
        <v>0</v>
      </c>
      <c r="I273" s="48">
        <f ca="1" t="shared" si="39"/>
        <v>0</v>
      </c>
      <c r="J273" s="48">
        <f ca="1" t="shared" si="40"/>
        <v>0</v>
      </c>
    </row>
    <row r="274" spans="2:10">
      <c r="B274" s="23">
        <v>272</v>
      </c>
      <c r="C274" s="48">
        <f ca="1" t="shared" si="33"/>
        <v>0</v>
      </c>
      <c r="D274" s="48">
        <f ca="1" t="shared" si="34"/>
        <v>0</v>
      </c>
      <c r="E274" s="48">
        <f ca="1" t="shared" si="35"/>
        <v>0</v>
      </c>
      <c r="F274" s="48">
        <f ca="1" t="shared" si="36"/>
        <v>0</v>
      </c>
      <c r="G274" s="48">
        <f ca="1" t="shared" si="37"/>
        <v>0</v>
      </c>
      <c r="H274" s="48">
        <f ca="1" t="shared" si="38"/>
        <v>0</v>
      </c>
      <c r="I274" s="48">
        <f ca="1" t="shared" si="39"/>
        <v>0</v>
      </c>
      <c r="J274" s="48">
        <f ca="1" t="shared" si="40"/>
        <v>0</v>
      </c>
    </row>
    <row r="275" spans="2:10">
      <c r="B275" s="23">
        <v>273</v>
      </c>
      <c r="C275" s="48">
        <f ca="1" t="shared" si="33"/>
        <v>0</v>
      </c>
      <c r="D275" s="48">
        <f ca="1" t="shared" si="34"/>
        <v>0</v>
      </c>
      <c r="E275" s="48">
        <f ca="1" t="shared" si="35"/>
        <v>0</v>
      </c>
      <c r="F275" s="48">
        <f ca="1" t="shared" si="36"/>
        <v>0</v>
      </c>
      <c r="G275" s="48">
        <f ca="1" t="shared" si="37"/>
        <v>0</v>
      </c>
      <c r="H275" s="48">
        <f ca="1" t="shared" si="38"/>
        <v>0</v>
      </c>
      <c r="I275" s="48">
        <f ca="1" t="shared" si="39"/>
        <v>0</v>
      </c>
      <c r="J275" s="48">
        <f ca="1" t="shared" si="40"/>
        <v>0</v>
      </c>
    </row>
    <row r="276" spans="2:10">
      <c r="B276" s="23">
        <v>274</v>
      </c>
      <c r="C276" s="48">
        <f ca="1" t="shared" si="33"/>
        <v>0</v>
      </c>
      <c r="D276" s="48">
        <f ca="1" t="shared" si="34"/>
        <v>0</v>
      </c>
      <c r="E276" s="48">
        <f ca="1" t="shared" si="35"/>
        <v>0</v>
      </c>
      <c r="F276" s="48">
        <f ca="1" t="shared" si="36"/>
        <v>0</v>
      </c>
      <c r="G276" s="48">
        <f ca="1" t="shared" si="37"/>
        <v>0</v>
      </c>
      <c r="H276" s="48">
        <f ca="1" t="shared" si="38"/>
        <v>0</v>
      </c>
      <c r="I276" s="48">
        <f ca="1" t="shared" si="39"/>
        <v>0</v>
      </c>
      <c r="J276" s="48">
        <f ca="1" t="shared" si="40"/>
        <v>0</v>
      </c>
    </row>
    <row r="277" spans="2:10">
      <c r="B277" s="23">
        <v>275</v>
      </c>
      <c r="C277" s="48">
        <f ca="1" t="shared" si="33"/>
        <v>0</v>
      </c>
      <c r="D277" s="48">
        <f ca="1" t="shared" si="34"/>
        <v>0</v>
      </c>
      <c r="E277" s="48">
        <f ca="1" t="shared" si="35"/>
        <v>0</v>
      </c>
      <c r="F277" s="48">
        <f ca="1" t="shared" si="36"/>
        <v>0</v>
      </c>
      <c r="G277" s="48">
        <f ca="1" t="shared" si="37"/>
        <v>0</v>
      </c>
      <c r="H277" s="48">
        <f ca="1" t="shared" si="38"/>
        <v>0</v>
      </c>
      <c r="I277" s="48">
        <f ca="1" t="shared" si="39"/>
        <v>0</v>
      </c>
      <c r="J277" s="48">
        <f ca="1" t="shared" si="40"/>
        <v>0</v>
      </c>
    </row>
    <row r="278" spans="2:10">
      <c r="B278" s="23">
        <v>276</v>
      </c>
      <c r="C278" s="48">
        <f ca="1" t="shared" si="33"/>
        <v>0</v>
      </c>
      <c r="D278" s="48">
        <f ca="1" t="shared" si="34"/>
        <v>0</v>
      </c>
      <c r="E278" s="48">
        <f ca="1" t="shared" si="35"/>
        <v>0</v>
      </c>
      <c r="F278" s="48">
        <f ca="1" t="shared" si="36"/>
        <v>0</v>
      </c>
      <c r="G278" s="48">
        <f ca="1" t="shared" si="37"/>
        <v>0</v>
      </c>
      <c r="H278" s="48">
        <f ca="1" t="shared" si="38"/>
        <v>0</v>
      </c>
      <c r="I278" s="48">
        <f ca="1" t="shared" si="39"/>
        <v>0</v>
      </c>
      <c r="J278" s="48">
        <f ca="1" t="shared" si="40"/>
        <v>0</v>
      </c>
    </row>
    <row r="279" spans="2:10">
      <c r="B279" s="23">
        <v>277</v>
      </c>
      <c r="C279" s="48">
        <f ca="1" t="shared" si="33"/>
        <v>0</v>
      </c>
      <c r="D279" s="48">
        <f ca="1" t="shared" si="34"/>
        <v>0</v>
      </c>
      <c r="E279" s="48">
        <f ca="1" t="shared" si="35"/>
        <v>0</v>
      </c>
      <c r="F279" s="48">
        <f ca="1" t="shared" si="36"/>
        <v>0</v>
      </c>
      <c r="G279" s="48">
        <f ca="1" t="shared" si="37"/>
        <v>0</v>
      </c>
      <c r="H279" s="48">
        <f ca="1" t="shared" si="38"/>
        <v>0</v>
      </c>
      <c r="I279" s="48">
        <f ca="1" t="shared" si="39"/>
        <v>0</v>
      </c>
      <c r="J279" s="48">
        <f ca="1" t="shared" si="40"/>
        <v>0</v>
      </c>
    </row>
    <row r="280" spans="2:10">
      <c r="B280" s="23">
        <v>278</v>
      </c>
      <c r="C280" s="48">
        <f ca="1" t="shared" si="33"/>
        <v>0</v>
      </c>
      <c r="D280" s="48">
        <f ca="1" t="shared" si="34"/>
        <v>0</v>
      </c>
      <c r="E280" s="48">
        <f ca="1" t="shared" si="35"/>
        <v>0</v>
      </c>
      <c r="F280" s="48">
        <f ca="1" t="shared" si="36"/>
        <v>0</v>
      </c>
      <c r="G280" s="48">
        <f ca="1" t="shared" si="37"/>
        <v>0</v>
      </c>
      <c r="H280" s="48">
        <f ca="1" t="shared" si="38"/>
        <v>0</v>
      </c>
      <c r="I280" s="48">
        <f ca="1" t="shared" si="39"/>
        <v>0</v>
      </c>
      <c r="J280" s="48">
        <f ca="1" t="shared" si="40"/>
        <v>0</v>
      </c>
    </row>
    <row r="281" spans="2:10">
      <c r="B281" s="23">
        <v>279</v>
      </c>
      <c r="C281" s="48">
        <f ca="1" t="shared" si="33"/>
        <v>0</v>
      </c>
      <c r="D281" s="48">
        <f ca="1" t="shared" si="34"/>
        <v>0</v>
      </c>
      <c r="E281" s="48">
        <f ca="1" t="shared" si="35"/>
        <v>0</v>
      </c>
      <c r="F281" s="48">
        <f ca="1" t="shared" si="36"/>
        <v>0</v>
      </c>
      <c r="G281" s="48">
        <f ca="1" t="shared" si="37"/>
        <v>0</v>
      </c>
      <c r="H281" s="48">
        <f ca="1" t="shared" si="38"/>
        <v>0</v>
      </c>
      <c r="I281" s="48">
        <f ca="1" t="shared" si="39"/>
        <v>0</v>
      </c>
      <c r="J281" s="48">
        <f ca="1" t="shared" si="40"/>
        <v>0</v>
      </c>
    </row>
    <row r="282" spans="2:10">
      <c r="B282" s="23">
        <v>280</v>
      </c>
      <c r="C282" s="48">
        <f ca="1" t="shared" si="33"/>
        <v>0</v>
      </c>
      <c r="D282" s="48">
        <f ca="1" t="shared" si="34"/>
        <v>0</v>
      </c>
      <c r="E282" s="48">
        <f ca="1" t="shared" si="35"/>
        <v>0</v>
      </c>
      <c r="F282" s="48">
        <f ca="1" t="shared" si="36"/>
        <v>0</v>
      </c>
      <c r="G282" s="48">
        <f ca="1" t="shared" si="37"/>
        <v>0</v>
      </c>
      <c r="H282" s="48">
        <f ca="1" t="shared" si="38"/>
        <v>0</v>
      </c>
      <c r="I282" s="48">
        <f ca="1" t="shared" si="39"/>
        <v>0</v>
      </c>
      <c r="J282" s="48">
        <f ca="1" t="shared" si="40"/>
        <v>0</v>
      </c>
    </row>
    <row r="283" spans="2:10">
      <c r="B283" s="23">
        <v>281</v>
      </c>
      <c r="C283" s="48">
        <f ca="1" t="shared" si="33"/>
        <v>0</v>
      </c>
      <c r="D283" s="48">
        <f ca="1" t="shared" si="34"/>
        <v>0</v>
      </c>
      <c r="E283" s="48">
        <f ca="1" t="shared" si="35"/>
        <v>0</v>
      </c>
      <c r="F283" s="48">
        <f ca="1" t="shared" si="36"/>
        <v>0</v>
      </c>
      <c r="G283" s="48">
        <f ca="1" t="shared" si="37"/>
        <v>0</v>
      </c>
      <c r="H283" s="48">
        <f ca="1" t="shared" si="38"/>
        <v>0</v>
      </c>
      <c r="I283" s="48">
        <f ca="1" t="shared" si="39"/>
        <v>0</v>
      </c>
      <c r="J283" s="48">
        <f ca="1" t="shared" si="40"/>
        <v>0</v>
      </c>
    </row>
    <row r="284" spans="2:10">
      <c r="B284" s="23">
        <v>282</v>
      </c>
      <c r="C284" s="48">
        <f ca="1" t="shared" si="33"/>
        <v>0</v>
      </c>
      <c r="D284" s="48">
        <f ca="1" t="shared" si="34"/>
        <v>0</v>
      </c>
      <c r="E284" s="48">
        <f ca="1" t="shared" si="35"/>
        <v>0</v>
      </c>
      <c r="F284" s="48">
        <f ca="1" t="shared" si="36"/>
        <v>0</v>
      </c>
      <c r="G284" s="48">
        <f ca="1" t="shared" si="37"/>
        <v>0</v>
      </c>
      <c r="H284" s="48">
        <f ca="1" t="shared" si="38"/>
        <v>0</v>
      </c>
      <c r="I284" s="48">
        <f ca="1" t="shared" si="39"/>
        <v>0</v>
      </c>
      <c r="J284" s="48">
        <f ca="1" t="shared" si="40"/>
        <v>0</v>
      </c>
    </row>
    <row r="285" spans="2:10">
      <c r="B285" s="23">
        <v>283</v>
      </c>
      <c r="C285" s="48">
        <f ca="1" t="shared" si="33"/>
        <v>0</v>
      </c>
      <c r="D285" s="48">
        <f ca="1" t="shared" si="34"/>
        <v>0</v>
      </c>
      <c r="E285" s="48">
        <f ca="1" t="shared" si="35"/>
        <v>0</v>
      </c>
      <c r="F285" s="48">
        <f ca="1" t="shared" si="36"/>
        <v>0</v>
      </c>
      <c r="G285" s="48">
        <f ca="1" t="shared" si="37"/>
        <v>0</v>
      </c>
      <c r="H285" s="48">
        <f ca="1" t="shared" si="38"/>
        <v>0</v>
      </c>
      <c r="I285" s="48">
        <f ca="1" t="shared" si="39"/>
        <v>0</v>
      </c>
      <c r="J285" s="48">
        <f ca="1" t="shared" si="40"/>
        <v>0</v>
      </c>
    </row>
    <row r="286" spans="2:10">
      <c r="B286" s="23">
        <v>284</v>
      </c>
      <c r="C286" s="48">
        <f ca="1" t="shared" si="33"/>
        <v>0</v>
      </c>
      <c r="D286" s="48">
        <f ca="1" t="shared" si="34"/>
        <v>0</v>
      </c>
      <c r="E286" s="48">
        <f ca="1" t="shared" si="35"/>
        <v>0</v>
      </c>
      <c r="F286" s="48">
        <f ca="1" t="shared" si="36"/>
        <v>0</v>
      </c>
      <c r="G286" s="48">
        <f ca="1" t="shared" si="37"/>
        <v>0</v>
      </c>
      <c r="H286" s="48">
        <f ca="1" t="shared" si="38"/>
        <v>0</v>
      </c>
      <c r="I286" s="48">
        <f ca="1" t="shared" si="39"/>
        <v>0</v>
      </c>
      <c r="J286" s="48">
        <f ca="1" t="shared" si="40"/>
        <v>0</v>
      </c>
    </row>
    <row r="287" spans="2:10">
      <c r="B287" s="23">
        <v>285</v>
      </c>
      <c r="C287" s="48">
        <f ca="1" t="shared" si="33"/>
        <v>0</v>
      </c>
      <c r="D287" s="48">
        <f ca="1" t="shared" si="34"/>
        <v>0</v>
      </c>
      <c r="E287" s="48">
        <f ca="1" t="shared" si="35"/>
        <v>0</v>
      </c>
      <c r="F287" s="48">
        <f ca="1" t="shared" si="36"/>
        <v>0</v>
      </c>
      <c r="G287" s="48">
        <f ca="1" t="shared" si="37"/>
        <v>0</v>
      </c>
      <c r="H287" s="48">
        <f ca="1" t="shared" si="38"/>
        <v>0</v>
      </c>
      <c r="I287" s="48">
        <f ca="1" t="shared" si="39"/>
        <v>0</v>
      </c>
      <c r="J287" s="48">
        <f ca="1" t="shared" si="40"/>
        <v>0</v>
      </c>
    </row>
    <row r="288" spans="2:10">
      <c r="B288" s="23">
        <v>286</v>
      </c>
      <c r="C288" s="48">
        <f ca="1" t="shared" si="33"/>
        <v>0</v>
      </c>
      <c r="D288" s="48">
        <f ca="1" t="shared" si="34"/>
        <v>0</v>
      </c>
      <c r="E288" s="48">
        <f ca="1" t="shared" si="35"/>
        <v>0</v>
      </c>
      <c r="F288" s="48">
        <f ca="1" t="shared" si="36"/>
        <v>0</v>
      </c>
      <c r="G288" s="48">
        <f ca="1" t="shared" si="37"/>
        <v>0</v>
      </c>
      <c r="H288" s="48">
        <f ca="1" t="shared" si="38"/>
        <v>0</v>
      </c>
      <c r="I288" s="48">
        <f ca="1" t="shared" si="39"/>
        <v>0</v>
      </c>
      <c r="J288" s="48">
        <f ca="1" t="shared" si="40"/>
        <v>0</v>
      </c>
    </row>
    <row r="289" spans="2:10">
      <c r="B289" s="23">
        <v>287</v>
      </c>
      <c r="C289" s="48">
        <f ca="1" t="shared" si="33"/>
        <v>0</v>
      </c>
      <c r="D289" s="48">
        <f ca="1" t="shared" si="34"/>
        <v>0</v>
      </c>
      <c r="E289" s="48">
        <f ca="1" t="shared" si="35"/>
        <v>0</v>
      </c>
      <c r="F289" s="48">
        <f ca="1" t="shared" si="36"/>
        <v>0</v>
      </c>
      <c r="G289" s="48">
        <f ca="1" t="shared" si="37"/>
        <v>0</v>
      </c>
      <c r="H289" s="48">
        <f ca="1" t="shared" si="38"/>
        <v>0</v>
      </c>
      <c r="I289" s="48">
        <f ca="1" t="shared" si="39"/>
        <v>0</v>
      </c>
      <c r="J289" s="48">
        <f ca="1" t="shared" si="40"/>
        <v>0</v>
      </c>
    </row>
    <row r="290" spans="2:10">
      <c r="B290" s="23">
        <v>288</v>
      </c>
      <c r="C290" s="48">
        <f ca="1" t="shared" si="33"/>
        <v>0</v>
      </c>
      <c r="D290" s="48">
        <f ca="1" t="shared" si="34"/>
        <v>0</v>
      </c>
      <c r="E290" s="48">
        <f ca="1" t="shared" si="35"/>
        <v>0</v>
      </c>
      <c r="F290" s="48">
        <f ca="1" t="shared" si="36"/>
        <v>0</v>
      </c>
      <c r="G290" s="48">
        <f ca="1" t="shared" si="37"/>
        <v>0</v>
      </c>
      <c r="H290" s="48">
        <f ca="1" t="shared" si="38"/>
        <v>0</v>
      </c>
      <c r="I290" s="48">
        <f ca="1" t="shared" si="39"/>
        <v>0</v>
      </c>
      <c r="J290" s="48">
        <f ca="1" t="shared" si="40"/>
        <v>0</v>
      </c>
    </row>
    <row r="291" spans="2:10">
      <c r="B291" s="23">
        <v>289</v>
      </c>
      <c r="C291" s="48">
        <f ca="1" t="shared" si="33"/>
        <v>0</v>
      </c>
      <c r="D291" s="48">
        <f ca="1" t="shared" si="34"/>
        <v>0</v>
      </c>
      <c r="E291" s="48">
        <f ca="1" t="shared" si="35"/>
        <v>0</v>
      </c>
      <c r="F291" s="48">
        <f ca="1" t="shared" si="36"/>
        <v>0</v>
      </c>
      <c r="G291" s="48">
        <f ca="1" t="shared" si="37"/>
        <v>0</v>
      </c>
      <c r="H291" s="48">
        <f ca="1" t="shared" si="38"/>
        <v>0</v>
      </c>
      <c r="I291" s="48">
        <f ca="1" t="shared" si="39"/>
        <v>0</v>
      </c>
      <c r="J291" s="48">
        <f ca="1" t="shared" si="40"/>
        <v>0</v>
      </c>
    </row>
    <row r="292" spans="2:10">
      <c r="B292" s="23">
        <v>290</v>
      </c>
      <c r="C292" s="48">
        <f ca="1" t="shared" si="33"/>
        <v>0</v>
      </c>
      <c r="D292" s="48">
        <f ca="1" t="shared" si="34"/>
        <v>0</v>
      </c>
      <c r="E292" s="48">
        <f ca="1" t="shared" si="35"/>
        <v>0</v>
      </c>
      <c r="F292" s="48">
        <f ca="1" t="shared" si="36"/>
        <v>0</v>
      </c>
      <c r="G292" s="48">
        <f ca="1" t="shared" si="37"/>
        <v>0</v>
      </c>
      <c r="H292" s="48">
        <f ca="1" t="shared" si="38"/>
        <v>0</v>
      </c>
      <c r="I292" s="48">
        <f ca="1" t="shared" si="39"/>
        <v>0</v>
      </c>
      <c r="J292" s="48">
        <f ca="1" t="shared" si="40"/>
        <v>0</v>
      </c>
    </row>
    <row r="293" spans="2:10">
      <c r="B293" s="23">
        <v>291</v>
      </c>
      <c r="C293" s="48">
        <f ca="1" t="shared" si="33"/>
        <v>0</v>
      </c>
      <c r="D293" s="48">
        <f ca="1" t="shared" si="34"/>
        <v>0</v>
      </c>
      <c r="E293" s="48">
        <f ca="1" t="shared" si="35"/>
        <v>0</v>
      </c>
      <c r="F293" s="48">
        <f ca="1" t="shared" si="36"/>
        <v>0</v>
      </c>
      <c r="G293" s="48">
        <f ca="1" t="shared" si="37"/>
        <v>0</v>
      </c>
      <c r="H293" s="48">
        <f ca="1" t="shared" si="38"/>
        <v>0</v>
      </c>
      <c r="I293" s="48">
        <f ca="1" t="shared" si="39"/>
        <v>0</v>
      </c>
      <c r="J293" s="48">
        <f ca="1" t="shared" si="40"/>
        <v>0</v>
      </c>
    </row>
    <row r="294" spans="2:10">
      <c r="B294" s="23">
        <v>292</v>
      </c>
      <c r="C294" s="48">
        <f ca="1" t="shared" si="33"/>
        <v>0</v>
      </c>
      <c r="D294" s="48">
        <f ca="1" t="shared" si="34"/>
        <v>0</v>
      </c>
      <c r="E294" s="48">
        <f ca="1" t="shared" si="35"/>
        <v>0</v>
      </c>
      <c r="F294" s="48">
        <f ca="1" t="shared" si="36"/>
        <v>0</v>
      </c>
      <c r="G294" s="48">
        <f ca="1" t="shared" si="37"/>
        <v>0</v>
      </c>
      <c r="H294" s="48">
        <f ca="1" t="shared" si="38"/>
        <v>0</v>
      </c>
      <c r="I294" s="48">
        <f ca="1" t="shared" si="39"/>
        <v>0</v>
      </c>
      <c r="J294" s="48">
        <f ca="1" t="shared" si="40"/>
        <v>0</v>
      </c>
    </row>
    <row r="295" spans="2:10">
      <c r="B295" s="23">
        <v>293</v>
      </c>
      <c r="C295" s="48">
        <f ca="1" t="shared" si="33"/>
        <v>0</v>
      </c>
      <c r="D295" s="48">
        <f ca="1" t="shared" si="34"/>
        <v>0</v>
      </c>
      <c r="E295" s="48">
        <f ca="1" t="shared" si="35"/>
        <v>0</v>
      </c>
      <c r="F295" s="48">
        <f ca="1" t="shared" si="36"/>
        <v>0</v>
      </c>
      <c r="G295" s="48">
        <f ca="1" t="shared" si="37"/>
        <v>0</v>
      </c>
      <c r="H295" s="48">
        <f ca="1" t="shared" si="38"/>
        <v>0</v>
      </c>
      <c r="I295" s="48">
        <f ca="1" t="shared" si="39"/>
        <v>0</v>
      </c>
      <c r="J295" s="48">
        <f ca="1" t="shared" si="40"/>
        <v>0</v>
      </c>
    </row>
    <row r="296" spans="2:10">
      <c r="B296" s="23">
        <v>294</v>
      </c>
      <c r="C296" s="48">
        <f ca="1" t="shared" si="33"/>
        <v>0</v>
      </c>
      <c r="D296" s="48">
        <f ca="1" t="shared" si="34"/>
        <v>0</v>
      </c>
      <c r="E296" s="48">
        <f ca="1" t="shared" si="35"/>
        <v>0</v>
      </c>
      <c r="F296" s="48">
        <f ca="1" t="shared" si="36"/>
        <v>0</v>
      </c>
      <c r="G296" s="48">
        <f ca="1" t="shared" si="37"/>
        <v>0</v>
      </c>
      <c r="H296" s="48">
        <f ca="1" t="shared" si="38"/>
        <v>0</v>
      </c>
      <c r="I296" s="48">
        <f ca="1" t="shared" si="39"/>
        <v>0</v>
      </c>
      <c r="J296" s="48">
        <f ca="1" t="shared" si="40"/>
        <v>0</v>
      </c>
    </row>
    <row r="297" spans="2:10">
      <c r="B297" s="23">
        <v>295</v>
      </c>
      <c r="C297" s="48">
        <f ca="1" t="shared" si="33"/>
        <v>0</v>
      </c>
      <c r="D297" s="48">
        <f ca="1" t="shared" si="34"/>
        <v>0</v>
      </c>
      <c r="E297" s="48">
        <f ca="1" t="shared" si="35"/>
        <v>0</v>
      </c>
      <c r="F297" s="48">
        <f ca="1" t="shared" si="36"/>
        <v>0</v>
      </c>
      <c r="G297" s="48">
        <f ca="1" t="shared" si="37"/>
        <v>0</v>
      </c>
      <c r="H297" s="48">
        <f ca="1" t="shared" si="38"/>
        <v>0</v>
      </c>
      <c r="I297" s="48">
        <f ca="1" t="shared" si="39"/>
        <v>0</v>
      </c>
      <c r="J297" s="48">
        <f ca="1" t="shared" si="40"/>
        <v>0</v>
      </c>
    </row>
    <row r="298" spans="2:10">
      <c r="B298" s="23">
        <v>296</v>
      </c>
      <c r="C298" s="48">
        <f ca="1" t="shared" si="33"/>
        <v>0</v>
      </c>
      <c r="D298" s="48">
        <f ca="1" t="shared" si="34"/>
        <v>0</v>
      </c>
      <c r="E298" s="48">
        <f ca="1" t="shared" si="35"/>
        <v>0</v>
      </c>
      <c r="F298" s="48">
        <f ca="1" t="shared" si="36"/>
        <v>0</v>
      </c>
      <c r="G298" s="48">
        <f ca="1" t="shared" si="37"/>
        <v>0</v>
      </c>
      <c r="H298" s="48">
        <f ca="1" t="shared" si="38"/>
        <v>0</v>
      </c>
      <c r="I298" s="48">
        <f ca="1" t="shared" si="39"/>
        <v>0</v>
      </c>
      <c r="J298" s="48">
        <f ca="1" t="shared" si="40"/>
        <v>0</v>
      </c>
    </row>
    <row r="299" spans="2:10">
      <c r="B299" s="23">
        <v>297</v>
      </c>
      <c r="C299" s="48">
        <f ca="1" t="shared" si="33"/>
        <v>0</v>
      </c>
      <c r="D299" s="48">
        <f ca="1" t="shared" si="34"/>
        <v>0</v>
      </c>
      <c r="E299" s="48">
        <f ca="1" t="shared" si="35"/>
        <v>0</v>
      </c>
      <c r="F299" s="48">
        <f ca="1" t="shared" si="36"/>
        <v>0</v>
      </c>
      <c r="G299" s="48">
        <f ca="1" t="shared" si="37"/>
        <v>0</v>
      </c>
      <c r="H299" s="48">
        <f ca="1" t="shared" si="38"/>
        <v>0</v>
      </c>
      <c r="I299" s="48">
        <f ca="1" t="shared" si="39"/>
        <v>0</v>
      </c>
      <c r="J299" s="48">
        <f ca="1" t="shared" si="40"/>
        <v>0</v>
      </c>
    </row>
    <row r="300" spans="2:10">
      <c r="B300" s="23">
        <v>298</v>
      </c>
      <c r="C300" s="48">
        <f ca="1" t="shared" si="33"/>
        <v>0</v>
      </c>
      <c r="D300" s="48">
        <f ca="1" t="shared" si="34"/>
        <v>0</v>
      </c>
      <c r="E300" s="48">
        <f ca="1" t="shared" si="35"/>
        <v>0</v>
      </c>
      <c r="F300" s="48">
        <f ca="1" t="shared" si="36"/>
        <v>0</v>
      </c>
      <c r="G300" s="48">
        <f ca="1" t="shared" si="37"/>
        <v>0</v>
      </c>
      <c r="H300" s="48">
        <f ca="1" t="shared" si="38"/>
        <v>0</v>
      </c>
      <c r="I300" s="48">
        <f ca="1" t="shared" si="39"/>
        <v>0</v>
      </c>
      <c r="J300" s="48">
        <f ca="1" t="shared" si="40"/>
        <v>0</v>
      </c>
    </row>
    <row r="301" spans="2:10">
      <c r="B301" s="23">
        <v>299</v>
      </c>
      <c r="C301" s="48">
        <f ca="1" t="shared" si="33"/>
        <v>0</v>
      </c>
      <c r="D301" s="48">
        <f ca="1" t="shared" si="34"/>
        <v>0</v>
      </c>
      <c r="E301" s="48">
        <f ca="1" t="shared" si="35"/>
        <v>0</v>
      </c>
      <c r="F301" s="48">
        <f ca="1" t="shared" si="36"/>
        <v>0</v>
      </c>
      <c r="G301" s="48">
        <f ca="1" t="shared" si="37"/>
        <v>0</v>
      </c>
      <c r="H301" s="48">
        <f ca="1" t="shared" si="38"/>
        <v>0</v>
      </c>
      <c r="I301" s="48">
        <f ca="1" t="shared" si="39"/>
        <v>0</v>
      </c>
      <c r="J301" s="48">
        <f ca="1" t="shared" si="40"/>
        <v>0</v>
      </c>
    </row>
    <row r="302" spans="2:10">
      <c r="B302" s="23">
        <v>300</v>
      </c>
      <c r="C302" s="48">
        <f ca="1" t="shared" si="33"/>
        <v>0</v>
      </c>
      <c r="D302" s="48">
        <f ca="1" t="shared" si="34"/>
        <v>0</v>
      </c>
      <c r="E302" s="48">
        <f ca="1" t="shared" si="35"/>
        <v>0</v>
      </c>
      <c r="F302" s="48">
        <f ca="1" t="shared" si="36"/>
        <v>0</v>
      </c>
      <c r="G302" s="48">
        <f ca="1" t="shared" si="37"/>
        <v>0</v>
      </c>
      <c r="H302" s="48">
        <f ca="1" t="shared" si="38"/>
        <v>0</v>
      </c>
      <c r="I302" s="48">
        <f ca="1" t="shared" si="39"/>
        <v>0</v>
      </c>
      <c r="J302" s="48">
        <f ca="1" t="shared" si="40"/>
        <v>0</v>
      </c>
    </row>
  </sheetData>
  <dataValidations count="1">
    <dataValidation type="textLength" operator="between" allowBlank="1" showInputMessage="1" showErrorMessage="1" errorTitle="输入有误" error="文本内容大长(0 ~ 9999999999)" sqref="R3:R10">
      <formula1>0</formula1>
      <formula2>65535</formula2>
    </dataValidation>
  </dataValidations>
  <pageMargins left="0.75" right="0.75" top="1" bottom="1" header="0.5" footer="0.5"/>
  <headerFooter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617">
    <tabColor theme="6"/>
  </sheetPr>
  <dimension ref="A8:S131"/>
  <sheetViews>
    <sheetView workbookViewId="0">
      <selection activeCell="AG65" sqref="AG65"/>
    </sheetView>
  </sheetViews>
  <sheetFormatPr defaultColWidth="9" defaultRowHeight="13.5"/>
  <cols>
    <col min="11" max="11" width="24.25" customWidth="1"/>
    <col min="12" max="12" width="9.375"/>
  </cols>
  <sheetData>
    <row r="8" spans="1:18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</row>
    <row r="9" ht="16.5" spans="1:18">
      <c r="A9" s="37"/>
      <c r="B9" s="38" t="s">
        <v>446</v>
      </c>
      <c r="C9" s="39" t="s">
        <v>447</v>
      </c>
      <c r="D9" s="40" t="s">
        <v>448</v>
      </c>
      <c r="E9" s="40" t="s">
        <v>449</v>
      </c>
      <c r="F9" s="38" t="s">
        <v>450</v>
      </c>
      <c r="G9" s="40" t="s">
        <v>451</v>
      </c>
      <c r="H9" s="40" t="s">
        <v>452</v>
      </c>
      <c r="I9" s="40" t="s">
        <v>453</v>
      </c>
      <c r="J9" s="40" t="s">
        <v>454</v>
      </c>
      <c r="K9" s="38" t="s">
        <v>455</v>
      </c>
      <c r="L9" s="37"/>
      <c r="M9" s="37"/>
      <c r="N9" s="37"/>
      <c r="O9" s="40" t="s">
        <v>451</v>
      </c>
      <c r="P9" s="37"/>
      <c r="Q9" s="37"/>
      <c r="R9" s="37"/>
    </row>
    <row r="10" ht="16.5" hidden="1" spans="1:18">
      <c r="A10" s="37"/>
      <c r="B10" s="41">
        <v>31101</v>
      </c>
      <c r="C10" s="42" t="s">
        <v>456</v>
      </c>
      <c r="D10" s="41">
        <v>311</v>
      </c>
      <c r="E10" s="41" t="str">
        <f t="shared" ref="E10:E73" si="0">RIGHT(LEFT(G10,3),1)</f>
        <v>2</v>
      </c>
      <c r="F10" s="43">
        <v>0</v>
      </c>
      <c r="G10" s="42" t="s">
        <v>457</v>
      </c>
      <c r="H10" s="37"/>
      <c r="I10" s="42" t="s">
        <v>458</v>
      </c>
      <c r="J10" s="42" t="s">
        <v>459</v>
      </c>
      <c r="K10" s="42" t="s">
        <v>460</v>
      </c>
      <c r="L10" s="44" t="s">
        <v>130</v>
      </c>
      <c r="M10" s="41">
        <v>5</v>
      </c>
      <c r="N10" s="41">
        <v>150</v>
      </c>
      <c r="O10" s="41">
        <v>2</v>
      </c>
      <c r="P10" s="41">
        <v>6000</v>
      </c>
      <c r="Q10" s="42"/>
      <c r="R10" s="41">
        <v>2</v>
      </c>
    </row>
    <row r="11" ht="16.5" hidden="1" spans="1:18">
      <c r="A11" s="37"/>
      <c r="B11" s="41">
        <v>31102</v>
      </c>
      <c r="C11" s="42" t="s">
        <v>461</v>
      </c>
      <c r="D11" s="41">
        <v>311</v>
      </c>
      <c r="E11" s="41" t="str">
        <f t="shared" si="0"/>
        <v>2</v>
      </c>
      <c r="F11" s="43">
        <v>0</v>
      </c>
      <c r="G11" s="42" t="s">
        <v>462</v>
      </c>
      <c r="H11" s="37"/>
      <c r="I11" s="42" t="s">
        <v>458</v>
      </c>
      <c r="J11" s="42" t="s">
        <v>459</v>
      </c>
      <c r="K11" s="42" t="s">
        <v>463</v>
      </c>
      <c r="L11" s="44" t="s">
        <v>130</v>
      </c>
      <c r="M11" s="41">
        <v>10</v>
      </c>
      <c r="N11" s="41">
        <v>300</v>
      </c>
      <c r="O11" s="41">
        <v>2</v>
      </c>
      <c r="P11" s="41">
        <v>12000</v>
      </c>
      <c r="Q11" s="42"/>
      <c r="R11" s="41">
        <v>2</v>
      </c>
    </row>
    <row r="12" ht="16.5" hidden="1" spans="1:18">
      <c r="A12" s="37"/>
      <c r="B12" s="41">
        <v>31103</v>
      </c>
      <c r="C12" s="42" t="s">
        <v>464</v>
      </c>
      <c r="D12" s="41">
        <v>311</v>
      </c>
      <c r="E12" s="41" t="str">
        <f t="shared" si="0"/>
        <v>2</v>
      </c>
      <c r="F12" s="43">
        <v>0</v>
      </c>
      <c r="G12" s="42" t="s">
        <v>465</v>
      </c>
      <c r="H12" s="37"/>
      <c r="I12" s="42" t="s">
        <v>458</v>
      </c>
      <c r="J12" s="42" t="s">
        <v>459</v>
      </c>
      <c r="K12" s="42" t="s">
        <v>466</v>
      </c>
      <c r="L12" s="44" t="s">
        <v>130</v>
      </c>
      <c r="M12" s="41">
        <v>20</v>
      </c>
      <c r="N12" s="41">
        <v>600</v>
      </c>
      <c r="O12" s="41">
        <v>2</v>
      </c>
      <c r="P12" s="41">
        <v>24000</v>
      </c>
      <c r="Q12" s="42"/>
      <c r="R12" s="41">
        <v>2</v>
      </c>
    </row>
    <row r="13" ht="16.5" hidden="1" spans="1:18">
      <c r="A13" s="37"/>
      <c r="B13" s="41">
        <v>31104</v>
      </c>
      <c r="C13" s="42" t="s">
        <v>456</v>
      </c>
      <c r="D13" s="41">
        <v>311</v>
      </c>
      <c r="E13" s="41" t="str">
        <f t="shared" si="0"/>
        <v>1</v>
      </c>
      <c r="F13" s="41">
        <v>600</v>
      </c>
      <c r="G13" s="42" t="s">
        <v>467</v>
      </c>
      <c r="H13" s="37"/>
      <c r="I13" s="42" t="s">
        <v>458</v>
      </c>
      <c r="J13" s="42" t="s">
        <v>459</v>
      </c>
      <c r="K13" s="42" t="s">
        <v>460</v>
      </c>
      <c r="L13" s="44" t="s">
        <v>130</v>
      </c>
      <c r="M13" s="41">
        <v>5</v>
      </c>
      <c r="N13" s="41">
        <v>150</v>
      </c>
      <c r="O13" s="41">
        <v>1</v>
      </c>
      <c r="P13" s="41">
        <v>120</v>
      </c>
      <c r="Q13" s="41">
        <v>0.8</v>
      </c>
      <c r="R13" s="42"/>
    </row>
    <row r="14" ht="16.5" hidden="1" spans="1:18">
      <c r="A14" s="37"/>
      <c r="B14" s="41">
        <v>31105</v>
      </c>
      <c r="C14" s="42" t="s">
        <v>461</v>
      </c>
      <c r="D14" s="41">
        <v>311</v>
      </c>
      <c r="E14" s="41" t="str">
        <f t="shared" si="0"/>
        <v>1</v>
      </c>
      <c r="F14" s="41">
        <v>400</v>
      </c>
      <c r="G14" s="42" t="s">
        <v>468</v>
      </c>
      <c r="H14" s="37"/>
      <c r="I14" s="42" t="s">
        <v>458</v>
      </c>
      <c r="J14" s="42" t="s">
        <v>459</v>
      </c>
      <c r="K14" s="42" t="s">
        <v>463</v>
      </c>
      <c r="L14" s="44" t="s">
        <v>130</v>
      </c>
      <c r="M14" s="41">
        <v>10</v>
      </c>
      <c r="N14" s="41">
        <v>300</v>
      </c>
      <c r="O14" s="41">
        <v>1</v>
      </c>
      <c r="P14" s="41">
        <v>240</v>
      </c>
      <c r="Q14" s="41">
        <v>0.8</v>
      </c>
      <c r="R14" s="42"/>
    </row>
    <row r="15" ht="16.5" hidden="1" spans="1:18">
      <c r="A15" s="37"/>
      <c r="B15" s="41">
        <v>31106</v>
      </c>
      <c r="C15" s="42" t="s">
        <v>464</v>
      </c>
      <c r="D15" s="41">
        <v>311</v>
      </c>
      <c r="E15" s="41" t="str">
        <f t="shared" si="0"/>
        <v>1</v>
      </c>
      <c r="F15" s="41">
        <v>200</v>
      </c>
      <c r="G15" s="42" t="s">
        <v>469</v>
      </c>
      <c r="H15" s="37"/>
      <c r="I15" s="42" t="s">
        <v>458</v>
      </c>
      <c r="J15" s="42" t="s">
        <v>459</v>
      </c>
      <c r="K15" s="42" t="s">
        <v>466</v>
      </c>
      <c r="L15" s="44" t="s">
        <v>130</v>
      </c>
      <c r="M15" s="41">
        <v>20</v>
      </c>
      <c r="N15" s="41">
        <v>600</v>
      </c>
      <c r="O15" s="41">
        <v>1</v>
      </c>
      <c r="P15" s="41">
        <v>480</v>
      </c>
      <c r="Q15" s="41">
        <v>0.8</v>
      </c>
      <c r="R15" s="42"/>
    </row>
    <row r="16" ht="16.5" hidden="1" spans="1:18">
      <c r="A16" s="37"/>
      <c r="B16" s="41">
        <v>31107</v>
      </c>
      <c r="C16" s="42" t="s">
        <v>456</v>
      </c>
      <c r="D16" s="41">
        <v>311</v>
      </c>
      <c r="E16" s="41" t="str">
        <f t="shared" si="0"/>
        <v>2</v>
      </c>
      <c r="F16" s="41">
        <v>200</v>
      </c>
      <c r="G16" s="42" t="s">
        <v>457</v>
      </c>
      <c r="H16" s="37"/>
      <c r="I16" s="42" t="s">
        <v>470</v>
      </c>
      <c r="J16" s="42" t="s">
        <v>459</v>
      </c>
      <c r="K16" s="42" t="s">
        <v>460</v>
      </c>
      <c r="L16" s="44" t="s">
        <v>130</v>
      </c>
      <c r="M16" s="41">
        <v>5</v>
      </c>
      <c r="N16" s="41">
        <v>150</v>
      </c>
      <c r="O16" s="41">
        <v>2</v>
      </c>
      <c r="P16" s="41">
        <v>6000</v>
      </c>
      <c r="Q16" s="42"/>
      <c r="R16" s="41">
        <v>2</v>
      </c>
    </row>
    <row r="17" ht="16.5" hidden="1" spans="1:18">
      <c r="A17" s="37"/>
      <c r="B17" s="41">
        <v>31108</v>
      </c>
      <c r="C17" s="42" t="s">
        <v>461</v>
      </c>
      <c r="D17" s="41">
        <v>311</v>
      </c>
      <c r="E17" s="41" t="str">
        <f t="shared" si="0"/>
        <v>2</v>
      </c>
      <c r="F17" s="43">
        <v>0</v>
      </c>
      <c r="G17" s="42" t="s">
        <v>462</v>
      </c>
      <c r="H17" s="37"/>
      <c r="I17" s="42" t="s">
        <v>470</v>
      </c>
      <c r="J17" s="42" t="s">
        <v>459</v>
      </c>
      <c r="K17" s="42" t="s">
        <v>463</v>
      </c>
      <c r="L17" s="44" t="s">
        <v>130</v>
      </c>
      <c r="M17" s="41">
        <v>10</v>
      </c>
      <c r="N17" s="41">
        <v>300</v>
      </c>
      <c r="O17" s="41">
        <v>2</v>
      </c>
      <c r="P17" s="41">
        <v>12000</v>
      </c>
      <c r="Q17" s="42"/>
      <c r="R17" s="41">
        <v>2</v>
      </c>
    </row>
    <row r="18" ht="16.5" hidden="1" spans="1:18">
      <c r="A18" s="37"/>
      <c r="B18" s="41">
        <v>31109</v>
      </c>
      <c r="C18" s="42" t="s">
        <v>464</v>
      </c>
      <c r="D18" s="41">
        <v>311</v>
      </c>
      <c r="E18" s="41" t="str">
        <f t="shared" si="0"/>
        <v>2</v>
      </c>
      <c r="F18" s="43">
        <v>0</v>
      </c>
      <c r="G18" s="42" t="s">
        <v>465</v>
      </c>
      <c r="H18" s="37"/>
      <c r="I18" s="42" t="s">
        <v>470</v>
      </c>
      <c r="J18" s="42" t="s">
        <v>459</v>
      </c>
      <c r="K18" s="42" t="s">
        <v>466</v>
      </c>
      <c r="L18" s="44" t="s">
        <v>130</v>
      </c>
      <c r="M18" s="41">
        <v>20</v>
      </c>
      <c r="N18" s="41">
        <v>600</v>
      </c>
      <c r="O18" s="41">
        <v>2</v>
      </c>
      <c r="P18" s="41">
        <v>24000</v>
      </c>
      <c r="Q18" s="42"/>
      <c r="R18" s="41">
        <v>2</v>
      </c>
    </row>
    <row r="19" ht="16.5" hidden="1" spans="1:18">
      <c r="A19" s="37"/>
      <c r="B19" s="41">
        <v>31110</v>
      </c>
      <c r="C19" s="42" t="s">
        <v>456</v>
      </c>
      <c r="D19" s="41">
        <v>311</v>
      </c>
      <c r="E19" s="41" t="str">
        <f t="shared" si="0"/>
        <v>1</v>
      </c>
      <c r="F19" s="41">
        <v>500</v>
      </c>
      <c r="G19" s="42" t="s">
        <v>467</v>
      </c>
      <c r="H19" s="37"/>
      <c r="I19" s="42" t="s">
        <v>470</v>
      </c>
      <c r="J19" s="42" t="s">
        <v>459</v>
      </c>
      <c r="K19" s="42" t="s">
        <v>460</v>
      </c>
      <c r="L19" s="44" t="s">
        <v>130</v>
      </c>
      <c r="M19" s="41">
        <v>5</v>
      </c>
      <c r="N19" s="41">
        <v>150</v>
      </c>
      <c r="O19" s="41">
        <v>1</v>
      </c>
      <c r="P19" s="41">
        <v>120</v>
      </c>
      <c r="Q19" s="41">
        <v>0.8</v>
      </c>
      <c r="R19" s="42"/>
    </row>
    <row r="20" ht="16.5" hidden="1" spans="1:18">
      <c r="A20" s="37"/>
      <c r="B20" s="41">
        <v>31111</v>
      </c>
      <c r="C20" s="42" t="s">
        <v>461</v>
      </c>
      <c r="D20" s="41">
        <v>311</v>
      </c>
      <c r="E20" s="41" t="str">
        <f t="shared" si="0"/>
        <v>1</v>
      </c>
      <c r="F20" s="41">
        <v>300</v>
      </c>
      <c r="G20" s="42" t="s">
        <v>468</v>
      </c>
      <c r="H20" s="37"/>
      <c r="I20" s="42" t="s">
        <v>470</v>
      </c>
      <c r="J20" s="42" t="s">
        <v>459</v>
      </c>
      <c r="K20" s="42" t="s">
        <v>463</v>
      </c>
      <c r="L20" s="44" t="s">
        <v>130</v>
      </c>
      <c r="M20" s="41">
        <v>10</v>
      </c>
      <c r="N20" s="41">
        <v>300</v>
      </c>
      <c r="O20" s="41">
        <v>1</v>
      </c>
      <c r="P20" s="41">
        <v>240</v>
      </c>
      <c r="Q20" s="41">
        <v>0.8</v>
      </c>
      <c r="R20" s="42"/>
    </row>
    <row r="21" ht="16.5" hidden="1" spans="1:18">
      <c r="A21" s="37"/>
      <c r="B21" s="41">
        <v>31112</v>
      </c>
      <c r="C21" s="42" t="s">
        <v>464</v>
      </c>
      <c r="D21" s="41">
        <v>311</v>
      </c>
      <c r="E21" s="41" t="str">
        <f t="shared" si="0"/>
        <v>1</v>
      </c>
      <c r="F21" s="41">
        <v>200</v>
      </c>
      <c r="G21" s="42" t="s">
        <v>469</v>
      </c>
      <c r="H21" s="37"/>
      <c r="I21" s="42" t="s">
        <v>470</v>
      </c>
      <c r="J21" s="42" t="s">
        <v>459</v>
      </c>
      <c r="K21" s="42" t="s">
        <v>466</v>
      </c>
      <c r="L21" s="44" t="s">
        <v>130</v>
      </c>
      <c r="M21" s="41">
        <v>20</v>
      </c>
      <c r="N21" s="41">
        <v>600</v>
      </c>
      <c r="O21" s="41">
        <v>1</v>
      </c>
      <c r="P21" s="41">
        <v>480</v>
      </c>
      <c r="Q21" s="41">
        <v>0.8</v>
      </c>
      <c r="R21" s="42"/>
    </row>
    <row r="22" ht="16.5" spans="1:18">
      <c r="A22" s="37"/>
      <c r="B22" s="41">
        <v>31113</v>
      </c>
      <c r="C22" s="42" t="s">
        <v>456</v>
      </c>
      <c r="D22" s="41">
        <v>311</v>
      </c>
      <c r="E22" s="41" t="str">
        <f t="shared" si="0"/>
        <v>2</v>
      </c>
      <c r="F22" s="41">
        <v>150</v>
      </c>
      <c r="G22" s="42" t="s">
        <v>457</v>
      </c>
      <c r="H22" s="37"/>
      <c r="I22" s="42" t="s">
        <v>471</v>
      </c>
      <c r="J22" s="42" t="s">
        <v>459</v>
      </c>
      <c r="K22" s="42" t="s">
        <v>460</v>
      </c>
      <c r="L22" s="44" t="s">
        <v>130</v>
      </c>
      <c r="M22" s="41">
        <v>5</v>
      </c>
      <c r="N22" s="41">
        <v>150</v>
      </c>
      <c r="O22" s="41">
        <v>2</v>
      </c>
      <c r="P22" s="41">
        <v>6000</v>
      </c>
      <c r="Q22" s="42"/>
      <c r="R22" s="41">
        <v>2</v>
      </c>
    </row>
    <row r="23" ht="16.5" spans="1:18">
      <c r="A23" s="37"/>
      <c r="B23" s="41">
        <v>31114</v>
      </c>
      <c r="C23" s="42" t="s">
        <v>461</v>
      </c>
      <c r="D23" s="41">
        <v>311</v>
      </c>
      <c r="E23" s="41" t="str">
        <f t="shared" si="0"/>
        <v>2</v>
      </c>
      <c r="F23" s="41">
        <v>100</v>
      </c>
      <c r="G23" s="42" t="s">
        <v>462</v>
      </c>
      <c r="H23" s="37"/>
      <c r="I23" s="42" t="s">
        <v>471</v>
      </c>
      <c r="J23" s="42" t="s">
        <v>459</v>
      </c>
      <c r="K23" s="42" t="s">
        <v>463</v>
      </c>
      <c r="L23" s="44" t="s">
        <v>130</v>
      </c>
      <c r="M23" s="41">
        <v>10</v>
      </c>
      <c r="N23" s="41">
        <v>300</v>
      </c>
      <c r="O23" s="41">
        <v>2</v>
      </c>
      <c r="P23" s="41">
        <v>12000</v>
      </c>
      <c r="Q23" s="42"/>
      <c r="R23" s="41">
        <v>2</v>
      </c>
    </row>
    <row r="24" ht="16.5" spans="1:18">
      <c r="A24" s="37"/>
      <c r="B24" s="41">
        <v>31115</v>
      </c>
      <c r="C24" s="42" t="s">
        <v>464</v>
      </c>
      <c r="D24" s="41">
        <v>311</v>
      </c>
      <c r="E24" s="41" t="str">
        <f t="shared" si="0"/>
        <v>2</v>
      </c>
      <c r="F24" s="41">
        <v>50</v>
      </c>
      <c r="G24" s="42" t="s">
        <v>465</v>
      </c>
      <c r="H24" s="37"/>
      <c r="I24" s="42" t="s">
        <v>471</v>
      </c>
      <c r="J24" s="42" t="s">
        <v>459</v>
      </c>
      <c r="K24" s="42" t="s">
        <v>466</v>
      </c>
      <c r="L24" s="44" t="s">
        <v>130</v>
      </c>
      <c r="M24" s="41">
        <v>20</v>
      </c>
      <c r="N24" s="41">
        <v>600</v>
      </c>
      <c r="O24" s="41">
        <v>2</v>
      </c>
      <c r="P24" s="41">
        <v>24000</v>
      </c>
      <c r="Q24" s="42"/>
      <c r="R24" s="41">
        <v>2</v>
      </c>
    </row>
    <row r="25" ht="16.5" hidden="1" spans="1:18">
      <c r="A25" s="37"/>
      <c r="B25" s="41">
        <v>31116</v>
      </c>
      <c r="C25" s="42" t="s">
        <v>456</v>
      </c>
      <c r="D25" s="41">
        <v>311</v>
      </c>
      <c r="E25" s="41" t="str">
        <f t="shared" si="0"/>
        <v>1</v>
      </c>
      <c r="F25" s="41">
        <v>400</v>
      </c>
      <c r="G25" s="42" t="s">
        <v>467</v>
      </c>
      <c r="H25" s="37"/>
      <c r="I25" s="42" t="s">
        <v>471</v>
      </c>
      <c r="J25" s="42" t="s">
        <v>459</v>
      </c>
      <c r="K25" s="42" t="s">
        <v>460</v>
      </c>
      <c r="L25" s="44" t="s">
        <v>130</v>
      </c>
      <c r="M25" s="41">
        <v>5</v>
      </c>
      <c r="N25" s="41">
        <v>150</v>
      </c>
      <c r="O25" s="41">
        <v>1</v>
      </c>
      <c r="P25" s="41">
        <v>120</v>
      </c>
      <c r="Q25" s="41">
        <v>0.8</v>
      </c>
      <c r="R25" s="42"/>
    </row>
    <row r="26" ht="16.5" hidden="1" spans="1:18">
      <c r="A26" s="37"/>
      <c r="B26" s="41">
        <v>31117</v>
      </c>
      <c r="C26" s="42" t="s">
        <v>461</v>
      </c>
      <c r="D26" s="41">
        <v>311</v>
      </c>
      <c r="E26" s="41" t="str">
        <f t="shared" si="0"/>
        <v>1</v>
      </c>
      <c r="F26" s="41">
        <v>300</v>
      </c>
      <c r="G26" s="42" t="s">
        <v>468</v>
      </c>
      <c r="H26" s="37"/>
      <c r="I26" s="42" t="s">
        <v>471</v>
      </c>
      <c r="J26" s="42" t="s">
        <v>459</v>
      </c>
      <c r="K26" s="42" t="s">
        <v>463</v>
      </c>
      <c r="L26" s="44" t="s">
        <v>130</v>
      </c>
      <c r="M26" s="41">
        <v>10</v>
      </c>
      <c r="N26" s="41">
        <v>300</v>
      </c>
      <c r="O26" s="41">
        <v>1</v>
      </c>
      <c r="P26" s="41">
        <v>240</v>
      </c>
      <c r="Q26" s="41">
        <v>0.8</v>
      </c>
      <c r="R26" s="42"/>
    </row>
    <row r="27" ht="16.5" hidden="1" spans="1:18">
      <c r="A27" s="37"/>
      <c r="B27" s="41">
        <v>31118</v>
      </c>
      <c r="C27" s="42" t="s">
        <v>464</v>
      </c>
      <c r="D27" s="41">
        <v>311</v>
      </c>
      <c r="E27" s="41" t="str">
        <f t="shared" si="0"/>
        <v>1</v>
      </c>
      <c r="F27" s="41">
        <v>200</v>
      </c>
      <c r="G27" s="42" t="s">
        <v>469</v>
      </c>
      <c r="H27" s="37"/>
      <c r="I27" s="42" t="s">
        <v>471</v>
      </c>
      <c r="J27" s="42" t="s">
        <v>459</v>
      </c>
      <c r="K27" s="42" t="s">
        <v>466</v>
      </c>
      <c r="L27" s="44" t="s">
        <v>130</v>
      </c>
      <c r="M27" s="41">
        <v>20</v>
      </c>
      <c r="N27" s="41">
        <v>600</v>
      </c>
      <c r="O27" s="41">
        <v>1</v>
      </c>
      <c r="P27" s="41">
        <v>480</v>
      </c>
      <c r="Q27" s="41">
        <v>0.8</v>
      </c>
      <c r="R27" s="42"/>
    </row>
    <row r="28" ht="16.5" spans="1:18">
      <c r="A28" s="37"/>
      <c r="B28" s="41">
        <v>31119</v>
      </c>
      <c r="C28" s="42" t="s">
        <v>472</v>
      </c>
      <c r="D28" s="41">
        <v>311</v>
      </c>
      <c r="E28" s="41" t="str">
        <f t="shared" si="0"/>
        <v>2</v>
      </c>
      <c r="F28" s="41">
        <v>600</v>
      </c>
      <c r="G28" s="42" t="s">
        <v>473</v>
      </c>
      <c r="H28" s="37"/>
      <c r="I28" s="37"/>
      <c r="J28" s="37"/>
      <c r="K28" s="42" t="s">
        <v>474</v>
      </c>
      <c r="L28" s="44" t="s">
        <v>128</v>
      </c>
      <c r="M28" s="41">
        <v>50</v>
      </c>
      <c r="N28" s="41">
        <v>50</v>
      </c>
      <c r="O28" s="41">
        <v>2</v>
      </c>
      <c r="P28" s="41">
        <v>2000</v>
      </c>
      <c r="Q28" s="42"/>
      <c r="R28" s="41">
        <v>2</v>
      </c>
    </row>
    <row r="29" ht="16.5" hidden="1" spans="1:18">
      <c r="A29" s="37"/>
      <c r="B29" s="41">
        <v>31120</v>
      </c>
      <c r="C29" s="42" t="s">
        <v>475</v>
      </c>
      <c r="D29" s="41">
        <v>311</v>
      </c>
      <c r="E29" s="41" t="str">
        <f t="shared" si="0"/>
        <v>2</v>
      </c>
      <c r="F29" s="41">
        <v>600</v>
      </c>
      <c r="G29" s="42" t="s">
        <v>476</v>
      </c>
      <c r="H29" s="37"/>
      <c r="I29" s="42" t="s">
        <v>458</v>
      </c>
      <c r="J29" s="37"/>
      <c r="K29" s="42" t="s">
        <v>477</v>
      </c>
      <c r="L29" s="44" t="s">
        <v>128</v>
      </c>
      <c r="M29" s="41">
        <v>100</v>
      </c>
      <c r="N29" s="41">
        <v>100</v>
      </c>
      <c r="O29" s="41">
        <v>2</v>
      </c>
      <c r="P29" s="41">
        <v>4000</v>
      </c>
      <c r="Q29" s="42"/>
      <c r="R29" s="41">
        <v>2</v>
      </c>
    </row>
    <row r="30" ht="16.5" spans="1:18">
      <c r="A30" s="37"/>
      <c r="B30" s="41">
        <v>31121</v>
      </c>
      <c r="C30" s="42" t="s">
        <v>475</v>
      </c>
      <c r="D30" s="41">
        <v>311</v>
      </c>
      <c r="E30" s="41" t="str">
        <f t="shared" si="0"/>
        <v>2</v>
      </c>
      <c r="F30" s="41">
        <v>400</v>
      </c>
      <c r="G30" s="42" t="s">
        <v>476</v>
      </c>
      <c r="H30" s="37"/>
      <c r="I30" s="42" t="s">
        <v>478</v>
      </c>
      <c r="J30" s="37"/>
      <c r="K30" s="42" t="s">
        <v>477</v>
      </c>
      <c r="L30" s="44" t="s">
        <v>128</v>
      </c>
      <c r="M30" s="41">
        <v>100</v>
      </c>
      <c r="N30" s="41">
        <v>100</v>
      </c>
      <c r="O30" s="41">
        <v>2</v>
      </c>
      <c r="P30" s="41">
        <v>4000</v>
      </c>
      <c r="Q30" s="42"/>
      <c r="R30" s="41">
        <v>2</v>
      </c>
    </row>
    <row r="31" ht="16.5" spans="1:18">
      <c r="A31" s="37"/>
      <c r="B31" s="41">
        <v>31122</v>
      </c>
      <c r="C31" s="42" t="s">
        <v>479</v>
      </c>
      <c r="D31" s="41">
        <v>311</v>
      </c>
      <c r="E31" s="41" t="str">
        <f t="shared" si="0"/>
        <v>2</v>
      </c>
      <c r="F31" s="41">
        <v>200</v>
      </c>
      <c r="G31" s="42" t="s">
        <v>480</v>
      </c>
      <c r="H31" s="37"/>
      <c r="I31" s="42" t="s">
        <v>478</v>
      </c>
      <c r="J31" s="37"/>
      <c r="K31" s="42" t="s">
        <v>481</v>
      </c>
      <c r="L31" s="44" t="s">
        <v>128</v>
      </c>
      <c r="M31" s="41">
        <v>200</v>
      </c>
      <c r="N31" s="41">
        <v>200</v>
      </c>
      <c r="O31" s="41">
        <v>2</v>
      </c>
      <c r="P31" s="41">
        <v>8000</v>
      </c>
      <c r="Q31" s="42"/>
      <c r="R31" s="41">
        <v>2</v>
      </c>
    </row>
    <row r="32" ht="16.5" hidden="1" spans="1:18">
      <c r="A32" s="37"/>
      <c r="B32" s="41">
        <v>31123</v>
      </c>
      <c r="C32" s="42" t="s">
        <v>472</v>
      </c>
      <c r="D32" s="41">
        <v>311</v>
      </c>
      <c r="E32" s="41" t="str">
        <f t="shared" si="0"/>
        <v>1</v>
      </c>
      <c r="F32" s="41">
        <v>600</v>
      </c>
      <c r="G32" s="42" t="s">
        <v>482</v>
      </c>
      <c r="H32" s="37"/>
      <c r="I32" s="37"/>
      <c r="J32" s="37"/>
      <c r="K32" s="42" t="s">
        <v>474</v>
      </c>
      <c r="L32" s="44" t="s">
        <v>128</v>
      </c>
      <c r="M32" s="41">
        <v>50</v>
      </c>
      <c r="N32" s="41">
        <v>50</v>
      </c>
      <c r="O32" s="41">
        <v>1</v>
      </c>
      <c r="P32" s="41">
        <v>35</v>
      </c>
      <c r="Q32" s="41">
        <v>0.7</v>
      </c>
      <c r="R32" s="42"/>
    </row>
    <row r="33" ht="16.5" hidden="1" spans="1:19">
      <c r="A33" s="37"/>
      <c r="B33" s="41">
        <v>31124</v>
      </c>
      <c r="C33" s="42" t="s">
        <v>475</v>
      </c>
      <c r="D33" s="41">
        <v>311</v>
      </c>
      <c r="E33" s="41" t="str">
        <f t="shared" si="0"/>
        <v>1</v>
      </c>
      <c r="F33" s="41">
        <v>600</v>
      </c>
      <c r="G33" s="42" t="s">
        <v>483</v>
      </c>
      <c r="H33" s="37"/>
      <c r="I33" s="42" t="s">
        <v>458</v>
      </c>
      <c r="J33" s="37"/>
      <c r="K33" s="42" t="s">
        <v>477</v>
      </c>
      <c r="L33" s="44" t="s">
        <v>128</v>
      </c>
      <c r="M33" s="41">
        <v>100</v>
      </c>
      <c r="N33" s="41">
        <v>100</v>
      </c>
      <c r="O33" s="41">
        <v>1</v>
      </c>
      <c r="P33" s="41">
        <v>70</v>
      </c>
      <c r="Q33" s="41">
        <v>0.7</v>
      </c>
      <c r="R33" s="42"/>
    </row>
    <row r="34" ht="16.5" hidden="1" spans="1:19">
      <c r="A34" s="37"/>
      <c r="B34" s="41">
        <v>31125</v>
      </c>
      <c r="C34" s="42" t="s">
        <v>475</v>
      </c>
      <c r="D34" s="41">
        <v>311</v>
      </c>
      <c r="E34" s="41" t="str">
        <f t="shared" si="0"/>
        <v>1</v>
      </c>
      <c r="F34" s="41">
        <v>400</v>
      </c>
      <c r="G34" s="42" t="s">
        <v>483</v>
      </c>
      <c r="H34" s="37"/>
      <c r="I34" s="42" t="s">
        <v>478</v>
      </c>
      <c r="J34" s="37"/>
      <c r="K34" s="42" t="s">
        <v>477</v>
      </c>
      <c r="L34" s="44" t="s">
        <v>128</v>
      </c>
      <c r="M34" s="41">
        <v>100</v>
      </c>
      <c r="N34" s="41">
        <v>100</v>
      </c>
      <c r="O34" s="41">
        <v>1</v>
      </c>
      <c r="P34" s="41">
        <v>70</v>
      </c>
      <c r="Q34" s="41">
        <v>0.7</v>
      </c>
      <c r="R34" s="42"/>
    </row>
    <row r="35" ht="16.5" hidden="1" spans="1:19">
      <c r="A35" s="37"/>
      <c r="B35" s="41">
        <v>31126</v>
      </c>
      <c r="C35" s="42" t="s">
        <v>479</v>
      </c>
      <c r="D35" s="41">
        <v>311</v>
      </c>
      <c r="E35" s="41" t="str">
        <f t="shared" si="0"/>
        <v>1</v>
      </c>
      <c r="F35" s="41">
        <v>200</v>
      </c>
      <c r="G35" s="42" t="s">
        <v>484</v>
      </c>
      <c r="H35" s="37"/>
      <c r="I35" s="42" t="s">
        <v>478</v>
      </c>
      <c r="J35" s="37"/>
      <c r="K35" s="42" t="s">
        <v>481</v>
      </c>
      <c r="L35" s="44" t="s">
        <v>128</v>
      </c>
      <c r="M35" s="41">
        <v>200</v>
      </c>
      <c r="N35" s="41">
        <v>200</v>
      </c>
      <c r="O35" s="41">
        <v>1</v>
      </c>
      <c r="P35" s="41">
        <v>140</v>
      </c>
      <c r="Q35" s="41">
        <v>0.7</v>
      </c>
      <c r="R35" s="42"/>
    </row>
    <row r="36" ht="16.5" spans="1:19">
      <c r="A36" s="37"/>
      <c r="B36" s="41">
        <v>31127</v>
      </c>
      <c r="C36" s="42" t="s">
        <v>485</v>
      </c>
      <c r="D36" s="41">
        <v>311</v>
      </c>
      <c r="E36" s="41" t="str">
        <f t="shared" si="0"/>
        <v>2</v>
      </c>
      <c r="F36" s="41">
        <v>66</v>
      </c>
      <c r="G36" s="42" t="s">
        <v>486</v>
      </c>
      <c r="H36" s="37"/>
      <c r="I36" s="37"/>
      <c r="J36" s="37"/>
      <c r="K36" s="42" t="s">
        <v>487</v>
      </c>
      <c r="L36" s="44" t="s">
        <v>129</v>
      </c>
      <c r="M36" s="41">
        <v>10</v>
      </c>
      <c r="N36" s="41">
        <v>30</v>
      </c>
      <c r="O36" s="41">
        <v>2</v>
      </c>
      <c r="P36" s="41">
        <v>1000</v>
      </c>
      <c r="Q36" s="42"/>
      <c r="R36" s="41">
        <v>1.666666667</v>
      </c>
      <c r="S36">
        <f>SUMPRODUCT(M36:M68,F36:F68)/10000*6*7</f>
        <v>213.444</v>
      </c>
    </row>
    <row r="37" ht="16.5" spans="1:19">
      <c r="A37" s="37"/>
      <c r="B37" s="41">
        <v>31128</v>
      </c>
      <c r="C37" s="42" t="s">
        <v>488</v>
      </c>
      <c r="D37" s="41">
        <v>311</v>
      </c>
      <c r="E37" s="41" t="str">
        <f t="shared" si="0"/>
        <v>2</v>
      </c>
      <c r="F37" s="41">
        <v>66</v>
      </c>
      <c r="G37" s="42" t="s">
        <v>473</v>
      </c>
      <c r="H37" s="37"/>
      <c r="I37" s="37"/>
      <c r="J37" s="37"/>
      <c r="K37" s="42" t="s">
        <v>489</v>
      </c>
      <c r="L37" s="44" t="s">
        <v>129</v>
      </c>
      <c r="M37" s="41">
        <v>20</v>
      </c>
      <c r="N37" s="41">
        <v>60</v>
      </c>
      <c r="O37" s="41">
        <v>2</v>
      </c>
      <c r="P37" s="41">
        <v>2000</v>
      </c>
      <c r="Q37" s="42"/>
      <c r="R37" s="41">
        <v>1.666666667</v>
      </c>
    </row>
    <row r="38" ht="16.5" spans="1:19">
      <c r="A38" s="37"/>
      <c r="B38" s="41">
        <v>31129</v>
      </c>
      <c r="C38" s="42" t="s">
        <v>490</v>
      </c>
      <c r="D38" s="41">
        <v>311</v>
      </c>
      <c r="E38" s="41" t="str">
        <f t="shared" si="0"/>
        <v>2</v>
      </c>
      <c r="F38" s="41">
        <v>66</v>
      </c>
      <c r="G38" s="42" t="s">
        <v>476</v>
      </c>
      <c r="H38" s="37"/>
      <c r="I38" s="37"/>
      <c r="J38" s="37"/>
      <c r="K38" s="42" t="s">
        <v>491</v>
      </c>
      <c r="L38" s="44" t="s">
        <v>129</v>
      </c>
      <c r="M38" s="41">
        <v>40</v>
      </c>
      <c r="N38" s="41">
        <v>120</v>
      </c>
      <c r="O38" s="41">
        <v>2</v>
      </c>
      <c r="P38" s="41">
        <v>4000</v>
      </c>
      <c r="Q38" s="42"/>
      <c r="R38" s="41">
        <v>1.666666667</v>
      </c>
    </row>
    <row r="39" ht="16.5" hidden="1" spans="1:19">
      <c r="A39" s="37"/>
      <c r="B39" s="41">
        <v>31130</v>
      </c>
      <c r="C39" s="42" t="s">
        <v>485</v>
      </c>
      <c r="D39" s="41">
        <v>311</v>
      </c>
      <c r="E39" s="41" t="str">
        <f t="shared" si="0"/>
        <v>1</v>
      </c>
      <c r="F39" s="41">
        <v>66</v>
      </c>
      <c r="G39" s="42" t="s">
        <v>492</v>
      </c>
      <c r="H39" s="37"/>
      <c r="I39" s="37"/>
      <c r="J39" s="37"/>
      <c r="K39" s="42" t="s">
        <v>487</v>
      </c>
      <c r="L39" s="44" t="s">
        <v>129</v>
      </c>
      <c r="M39" s="41">
        <v>10</v>
      </c>
      <c r="N39" s="41">
        <v>30</v>
      </c>
      <c r="O39" s="41">
        <v>1</v>
      </c>
      <c r="P39" s="41">
        <v>25</v>
      </c>
      <c r="Q39" s="41">
        <v>0.833333333</v>
      </c>
      <c r="R39" s="42"/>
    </row>
    <row r="40" ht="16.5" hidden="1" spans="1:19">
      <c r="A40" s="37"/>
      <c r="B40" s="41">
        <v>31131</v>
      </c>
      <c r="C40" s="42" t="s">
        <v>488</v>
      </c>
      <c r="D40" s="41">
        <v>311</v>
      </c>
      <c r="E40" s="41" t="str">
        <f t="shared" si="0"/>
        <v>1</v>
      </c>
      <c r="F40" s="41">
        <v>66</v>
      </c>
      <c r="G40" s="42" t="s">
        <v>493</v>
      </c>
      <c r="H40" s="37"/>
      <c r="I40" s="37"/>
      <c r="J40" s="37"/>
      <c r="K40" s="42" t="s">
        <v>489</v>
      </c>
      <c r="L40" s="44" t="s">
        <v>129</v>
      </c>
      <c r="M40" s="41">
        <v>20</v>
      </c>
      <c r="N40" s="41">
        <v>60</v>
      </c>
      <c r="O40" s="41">
        <v>1</v>
      </c>
      <c r="P40" s="41">
        <v>50</v>
      </c>
      <c r="Q40" s="41">
        <v>0.833333333</v>
      </c>
      <c r="R40" s="42"/>
    </row>
    <row r="41" ht="16.5" hidden="1" spans="1:19">
      <c r="A41" s="37"/>
      <c r="B41" s="41">
        <v>31132</v>
      </c>
      <c r="C41" s="42" t="s">
        <v>490</v>
      </c>
      <c r="D41" s="41">
        <v>311</v>
      </c>
      <c r="E41" s="41" t="str">
        <f t="shared" si="0"/>
        <v>1</v>
      </c>
      <c r="F41" s="41">
        <v>66</v>
      </c>
      <c r="G41" s="42" t="s">
        <v>494</v>
      </c>
      <c r="H41" s="37"/>
      <c r="I41" s="37"/>
      <c r="J41" s="37"/>
      <c r="K41" s="42" t="s">
        <v>491</v>
      </c>
      <c r="L41" s="44" t="s">
        <v>129</v>
      </c>
      <c r="M41" s="41">
        <v>40</v>
      </c>
      <c r="N41" s="41">
        <v>120</v>
      </c>
      <c r="O41" s="41">
        <v>1</v>
      </c>
      <c r="P41" s="41">
        <v>100</v>
      </c>
      <c r="Q41" s="41">
        <v>0.833333333</v>
      </c>
      <c r="R41" s="42"/>
    </row>
    <row r="42" ht="16.5" spans="1:19">
      <c r="A42" s="37"/>
      <c r="B42" s="41">
        <v>31133</v>
      </c>
      <c r="C42" s="42" t="s">
        <v>495</v>
      </c>
      <c r="D42" s="41">
        <v>311</v>
      </c>
      <c r="E42" s="41" t="str">
        <f t="shared" si="0"/>
        <v>2</v>
      </c>
      <c r="F42" s="41">
        <v>66</v>
      </c>
      <c r="G42" s="42" t="s">
        <v>486</v>
      </c>
      <c r="H42" s="37"/>
      <c r="I42" s="37"/>
      <c r="J42" s="37"/>
      <c r="K42" s="42" t="s">
        <v>496</v>
      </c>
      <c r="L42" s="44" t="s">
        <v>129</v>
      </c>
      <c r="M42" s="41">
        <v>10</v>
      </c>
      <c r="N42" s="41">
        <v>30</v>
      </c>
      <c r="O42" s="41">
        <v>2</v>
      </c>
      <c r="P42" s="41">
        <v>1000</v>
      </c>
      <c r="Q42" s="42"/>
      <c r="R42" s="41">
        <v>1.666666667</v>
      </c>
    </row>
    <row r="43" ht="16.5" spans="1:19">
      <c r="A43" s="37"/>
      <c r="B43" s="41">
        <v>31134</v>
      </c>
      <c r="C43" s="42" t="s">
        <v>497</v>
      </c>
      <c r="D43" s="41">
        <v>311</v>
      </c>
      <c r="E43" s="41" t="str">
        <f t="shared" si="0"/>
        <v>2</v>
      </c>
      <c r="F43" s="41">
        <v>66</v>
      </c>
      <c r="G43" s="42" t="s">
        <v>473</v>
      </c>
      <c r="H43" s="37"/>
      <c r="I43" s="37"/>
      <c r="J43" s="37"/>
      <c r="K43" s="42" t="s">
        <v>498</v>
      </c>
      <c r="L43" s="44" t="s">
        <v>129</v>
      </c>
      <c r="M43" s="41">
        <v>20</v>
      </c>
      <c r="N43" s="41">
        <v>60</v>
      </c>
      <c r="O43" s="41">
        <v>2</v>
      </c>
      <c r="P43" s="41">
        <v>2000</v>
      </c>
      <c r="Q43" s="42"/>
      <c r="R43" s="41">
        <v>1.666666667</v>
      </c>
    </row>
    <row r="44" ht="16.5" spans="1:19">
      <c r="A44" s="37"/>
      <c r="B44" s="41">
        <v>31135</v>
      </c>
      <c r="C44" s="42" t="s">
        <v>499</v>
      </c>
      <c r="D44" s="41">
        <v>311</v>
      </c>
      <c r="E44" s="41" t="str">
        <f t="shared" si="0"/>
        <v>2</v>
      </c>
      <c r="F44" s="41">
        <v>66</v>
      </c>
      <c r="G44" s="42" t="s">
        <v>476</v>
      </c>
      <c r="H44" s="37"/>
      <c r="I44" s="37"/>
      <c r="J44" s="37"/>
      <c r="K44" s="42" t="s">
        <v>500</v>
      </c>
      <c r="L44" s="44" t="s">
        <v>129</v>
      </c>
      <c r="M44" s="41">
        <v>40</v>
      </c>
      <c r="N44" s="41">
        <v>120</v>
      </c>
      <c r="O44" s="41">
        <v>2</v>
      </c>
      <c r="P44" s="41">
        <v>4000</v>
      </c>
      <c r="Q44" s="42"/>
      <c r="R44" s="41">
        <v>1.666666667</v>
      </c>
    </row>
    <row r="45" ht="16.5" hidden="1" spans="1:19">
      <c r="A45" s="37"/>
      <c r="B45" s="41">
        <v>31136</v>
      </c>
      <c r="C45" s="42" t="s">
        <v>495</v>
      </c>
      <c r="D45" s="41">
        <v>311</v>
      </c>
      <c r="E45" s="41" t="str">
        <f t="shared" si="0"/>
        <v>1</v>
      </c>
      <c r="F45" s="41">
        <v>66</v>
      </c>
      <c r="G45" s="42" t="s">
        <v>492</v>
      </c>
      <c r="H45" s="37"/>
      <c r="I45" s="37"/>
      <c r="J45" s="37"/>
      <c r="K45" s="42" t="s">
        <v>496</v>
      </c>
      <c r="L45" s="44" t="s">
        <v>129</v>
      </c>
      <c r="M45" s="41">
        <v>10</v>
      </c>
      <c r="N45" s="41">
        <v>30</v>
      </c>
      <c r="O45" s="41">
        <v>1</v>
      </c>
      <c r="P45" s="41">
        <v>40</v>
      </c>
      <c r="Q45" s="41">
        <v>1.333333333</v>
      </c>
      <c r="R45" s="42"/>
    </row>
    <row r="46" ht="16.5" hidden="1" spans="1:19">
      <c r="A46" s="37"/>
      <c r="B46" s="41">
        <v>31137</v>
      </c>
      <c r="C46" s="42" t="s">
        <v>497</v>
      </c>
      <c r="D46" s="41">
        <v>311</v>
      </c>
      <c r="E46" s="41" t="str">
        <f t="shared" si="0"/>
        <v>1</v>
      </c>
      <c r="F46" s="41">
        <v>66</v>
      </c>
      <c r="G46" s="42" t="s">
        <v>493</v>
      </c>
      <c r="H46" s="37"/>
      <c r="I46" s="37"/>
      <c r="J46" s="37"/>
      <c r="K46" s="42" t="s">
        <v>498</v>
      </c>
      <c r="L46" s="44" t="s">
        <v>129</v>
      </c>
      <c r="M46" s="41">
        <v>20</v>
      </c>
      <c r="N46" s="41">
        <v>60</v>
      </c>
      <c r="O46" s="41">
        <v>1</v>
      </c>
      <c r="P46" s="41">
        <v>80</v>
      </c>
      <c r="Q46" s="41">
        <v>1.333333333</v>
      </c>
      <c r="R46" s="42"/>
    </row>
    <row r="47" ht="16.5" hidden="1" spans="1:19">
      <c r="A47" s="37"/>
      <c r="B47" s="41">
        <v>31138</v>
      </c>
      <c r="C47" s="42" t="s">
        <v>499</v>
      </c>
      <c r="D47" s="41">
        <v>311</v>
      </c>
      <c r="E47" s="41" t="str">
        <f t="shared" si="0"/>
        <v>1</v>
      </c>
      <c r="F47" s="41">
        <v>66</v>
      </c>
      <c r="G47" s="42" t="s">
        <v>494</v>
      </c>
      <c r="H47" s="37"/>
      <c r="I47" s="37"/>
      <c r="J47" s="37"/>
      <c r="K47" s="42" t="s">
        <v>500</v>
      </c>
      <c r="L47" s="44" t="s">
        <v>129</v>
      </c>
      <c r="M47" s="41">
        <v>40</v>
      </c>
      <c r="N47" s="41">
        <v>120</v>
      </c>
      <c r="O47" s="41">
        <v>1</v>
      </c>
      <c r="P47" s="41">
        <v>160</v>
      </c>
      <c r="Q47" s="41">
        <v>1.333333333</v>
      </c>
      <c r="R47" s="42"/>
    </row>
    <row r="48" ht="16.5" spans="1:19">
      <c r="A48" s="37"/>
      <c r="B48" s="41">
        <v>31139</v>
      </c>
      <c r="C48" s="42" t="s">
        <v>501</v>
      </c>
      <c r="D48" s="41">
        <v>311</v>
      </c>
      <c r="E48" s="41" t="str">
        <f t="shared" si="0"/>
        <v>2</v>
      </c>
      <c r="F48" s="41">
        <v>66</v>
      </c>
      <c r="G48" s="42" t="s">
        <v>486</v>
      </c>
      <c r="H48" s="37"/>
      <c r="I48" s="37"/>
      <c r="J48" s="37"/>
      <c r="K48" s="42" t="s">
        <v>502</v>
      </c>
      <c r="L48" s="44" t="s">
        <v>129</v>
      </c>
      <c r="M48" s="41">
        <v>10</v>
      </c>
      <c r="N48" s="41">
        <v>30</v>
      </c>
      <c r="O48" s="41">
        <v>2</v>
      </c>
      <c r="P48" s="41">
        <v>1000</v>
      </c>
      <c r="Q48" s="42"/>
      <c r="R48" s="41">
        <v>1.666666667</v>
      </c>
    </row>
    <row r="49" ht="16.5" spans="1:18">
      <c r="A49" s="37"/>
      <c r="B49" s="41">
        <v>31140</v>
      </c>
      <c r="C49" s="42" t="s">
        <v>503</v>
      </c>
      <c r="D49" s="41">
        <v>311</v>
      </c>
      <c r="E49" s="41" t="str">
        <f t="shared" si="0"/>
        <v>2</v>
      </c>
      <c r="F49" s="41">
        <v>66</v>
      </c>
      <c r="G49" s="42" t="s">
        <v>473</v>
      </c>
      <c r="H49" s="37"/>
      <c r="I49" s="37"/>
      <c r="J49" s="37"/>
      <c r="K49" s="42" t="s">
        <v>504</v>
      </c>
      <c r="L49" s="44" t="s">
        <v>129</v>
      </c>
      <c r="M49" s="41">
        <v>20</v>
      </c>
      <c r="N49" s="41">
        <v>60</v>
      </c>
      <c r="O49" s="41">
        <v>2</v>
      </c>
      <c r="P49" s="41">
        <v>2000</v>
      </c>
      <c r="Q49" s="42"/>
      <c r="R49" s="41">
        <v>1.666666667</v>
      </c>
    </row>
    <row r="50" ht="16.5" spans="1:18">
      <c r="A50" s="37"/>
      <c r="B50" s="41">
        <v>31141</v>
      </c>
      <c r="C50" s="42" t="s">
        <v>505</v>
      </c>
      <c r="D50" s="41">
        <v>311</v>
      </c>
      <c r="E50" s="41" t="str">
        <f t="shared" si="0"/>
        <v>2</v>
      </c>
      <c r="F50" s="41">
        <v>66</v>
      </c>
      <c r="G50" s="42" t="s">
        <v>476</v>
      </c>
      <c r="H50" s="37"/>
      <c r="I50" s="37"/>
      <c r="J50" s="37"/>
      <c r="K50" s="42" t="s">
        <v>506</v>
      </c>
      <c r="L50" s="44" t="s">
        <v>129</v>
      </c>
      <c r="M50" s="41">
        <v>40</v>
      </c>
      <c r="N50" s="41">
        <v>120</v>
      </c>
      <c r="O50" s="41">
        <v>2</v>
      </c>
      <c r="P50" s="41">
        <v>4000</v>
      </c>
      <c r="Q50" s="42"/>
      <c r="R50" s="41">
        <v>1.666666667</v>
      </c>
    </row>
    <row r="51" ht="16.5" hidden="1" spans="1:18">
      <c r="A51" s="37"/>
      <c r="B51" s="41">
        <v>31142</v>
      </c>
      <c r="C51" s="42" t="s">
        <v>501</v>
      </c>
      <c r="D51" s="41">
        <v>311</v>
      </c>
      <c r="E51" s="41" t="str">
        <f t="shared" si="0"/>
        <v>1</v>
      </c>
      <c r="F51" s="41">
        <v>66</v>
      </c>
      <c r="G51" s="42" t="s">
        <v>492</v>
      </c>
      <c r="H51" s="37"/>
      <c r="I51" s="37"/>
      <c r="J51" s="37"/>
      <c r="K51" s="42" t="s">
        <v>502</v>
      </c>
      <c r="L51" s="44" t="s">
        <v>129</v>
      </c>
      <c r="M51" s="41">
        <v>10</v>
      </c>
      <c r="N51" s="41">
        <v>30</v>
      </c>
      <c r="O51" s="41">
        <v>1</v>
      </c>
      <c r="P51" s="41">
        <v>40</v>
      </c>
      <c r="Q51" s="41">
        <v>1.333333333</v>
      </c>
      <c r="R51" s="42"/>
    </row>
    <row r="52" ht="16.5" hidden="1" spans="1:18">
      <c r="A52" s="37"/>
      <c r="B52" s="41">
        <v>31143</v>
      </c>
      <c r="C52" s="42" t="s">
        <v>503</v>
      </c>
      <c r="D52" s="41">
        <v>311</v>
      </c>
      <c r="E52" s="41" t="str">
        <f t="shared" si="0"/>
        <v>1</v>
      </c>
      <c r="F52" s="41">
        <v>66</v>
      </c>
      <c r="G52" s="42" t="s">
        <v>493</v>
      </c>
      <c r="H52" s="37"/>
      <c r="I52" s="37"/>
      <c r="J52" s="37"/>
      <c r="K52" s="42" t="s">
        <v>504</v>
      </c>
      <c r="L52" s="44" t="s">
        <v>129</v>
      </c>
      <c r="M52" s="41">
        <v>20</v>
      </c>
      <c r="N52" s="41">
        <v>60</v>
      </c>
      <c r="O52" s="41">
        <v>1</v>
      </c>
      <c r="P52" s="41">
        <v>80</v>
      </c>
      <c r="Q52" s="41">
        <v>1.333333333</v>
      </c>
      <c r="R52" s="42"/>
    </row>
    <row r="53" ht="16.5" hidden="1" spans="1:18">
      <c r="A53" s="37"/>
      <c r="B53" s="41">
        <v>31144</v>
      </c>
      <c r="C53" s="42" t="s">
        <v>505</v>
      </c>
      <c r="D53" s="41">
        <v>311</v>
      </c>
      <c r="E53" s="41" t="str">
        <f t="shared" si="0"/>
        <v>1</v>
      </c>
      <c r="F53" s="41">
        <v>66</v>
      </c>
      <c r="G53" s="42" t="s">
        <v>494</v>
      </c>
      <c r="H53" s="37"/>
      <c r="I53" s="37"/>
      <c r="J53" s="37"/>
      <c r="K53" s="42" t="s">
        <v>506</v>
      </c>
      <c r="L53" s="44" t="s">
        <v>129</v>
      </c>
      <c r="M53" s="41">
        <v>40</v>
      </c>
      <c r="N53" s="41">
        <v>120</v>
      </c>
      <c r="O53" s="41">
        <v>1</v>
      </c>
      <c r="P53" s="41">
        <v>160</v>
      </c>
      <c r="Q53" s="41">
        <v>1.333333333</v>
      </c>
      <c r="R53" s="42"/>
    </row>
    <row r="54" ht="16.5" spans="1:18">
      <c r="A54" s="37"/>
      <c r="B54" s="41">
        <v>31145</v>
      </c>
      <c r="C54" s="42" t="s">
        <v>507</v>
      </c>
      <c r="D54" s="41">
        <v>311</v>
      </c>
      <c r="E54" s="41" t="str">
        <f t="shared" si="0"/>
        <v>2</v>
      </c>
      <c r="F54" s="41">
        <v>66</v>
      </c>
      <c r="G54" s="42" t="s">
        <v>486</v>
      </c>
      <c r="H54" s="37"/>
      <c r="I54" s="37"/>
      <c r="J54" s="37"/>
      <c r="K54" s="42" t="s">
        <v>508</v>
      </c>
      <c r="L54" s="44" t="s">
        <v>129</v>
      </c>
      <c r="M54" s="41">
        <v>10</v>
      </c>
      <c r="N54" s="41">
        <v>30</v>
      </c>
      <c r="O54" s="41">
        <v>2</v>
      </c>
      <c r="P54" s="41">
        <v>1000</v>
      </c>
      <c r="Q54" s="42"/>
      <c r="R54" s="41">
        <v>1.666666667</v>
      </c>
    </row>
    <row r="55" ht="16.5" spans="1:18">
      <c r="A55" s="37"/>
      <c r="B55" s="41">
        <v>31146</v>
      </c>
      <c r="C55" s="42" t="s">
        <v>509</v>
      </c>
      <c r="D55" s="41">
        <v>311</v>
      </c>
      <c r="E55" s="41" t="str">
        <f t="shared" si="0"/>
        <v>2</v>
      </c>
      <c r="F55" s="41">
        <v>66</v>
      </c>
      <c r="G55" s="42" t="s">
        <v>473</v>
      </c>
      <c r="H55" s="37"/>
      <c r="I55" s="37"/>
      <c r="J55" s="37"/>
      <c r="K55" s="42" t="s">
        <v>510</v>
      </c>
      <c r="L55" s="44" t="s">
        <v>129</v>
      </c>
      <c r="M55" s="41">
        <v>20</v>
      </c>
      <c r="N55" s="41">
        <v>60</v>
      </c>
      <c r="O55" s="41">
        <v>2</v>
      </c>
      <c r="P55" s="41">
        <v>2000</v>
      </c>
      <c r="Q55" s="42"/>
      <c r="R55" s="41">
        <v>1.666666667</v>
      </c>
    </row>
    <row r="56" ht="16.5" spans="1:18">
      <c r="A56" s="37"/>
      <c r="B56" s="41">
        <v>31147</v>
      </c>
      <c r="C56" s="42" t="s">
        <v>511</v>
      </c>
      <c r="D56" s="41">
        <v>311</v>
      </c>
      <c r="E56" s="41" t="str">
        <f t="shared" si="0"/>
        <v>2</v>
      </c>
      <c r="F56" s="41">
        <v>66</v>
      </c>
      <c r="G56" s="42" t="s">
        <v>476</v>
      </c>
      <c r="H56" s="37"/>
      <c r="I56" s="37"/>
      <c r="J56" s="37"/>
      <c r="K56" s="42" t="s">
        <v>512</v>
      </c>
      <c r="L56" s="44" t="s">
        <v>129</v>
      </c>
      <c r="M56" s="41">
        <v>40</v>
      </c>
      <c r="N56" s="41">
        <v>120</v>
      </c>
      <c r="O56" s="41">
        <v>2</v>
      </c>
      <c r="P56" s="41">
        <v>4000</v>
      </c>
      <c r="Q56" s="42"/>
      <c r="R56" s="41">
        <v>1.666666667</v>
      </c>
    </row>
    <row r="57" ht="16.5" hidden="1" spans="1:18">
      <c r="A57" s="37"/>
      <c r="B57" s="41">
        <v>31148</v>
      </c>
      <c r="C57" s="42" t="s">
        <v>507</v>
      </c>
      <c r="D57" s="41">
        <v>311</v>
      </c>
      <c r="E57" s="41" t="str">
        <f t="shared" si="0"/>
        <v>1</v>
      </c>
      <c r="F57" s="41">
        <v>66</v>
      </c>
      <c r="G57" s="42" t="s">
        <v>492</v>
      </c>
      <c r="H57" s="37"/>
      <c r="I57" s="37"/>
      <c r="J57" s="37"/>
      <c r="K57" s="42" t="s">
        <v>508</v>
      </c>
      <c r="L57" s="44" t="s">
        <v>129</v>
      </c>
      <c r="M57" s="41">
        <v>10</v>
      </c>
      <c r="N57" s="41">
        <v>30</v>
      </c>
      <c r="O57" s="41">
        <v>1</v>
      </c>
      <c r="P57" s="41">
        <v>40</v>
      </c>
      <c r="Q57" s="41">
        <v>1.333333333</v>
      </c>
      <c r="R57" s="42"/>
    </row>
    <row r="58" ht="16.5" hidden="1" spans="1:18">
      <c r="A58" s="37"/>
      <c r="B58" s="41">
        <v>31149</v>
      </c>
      <c r="C58" s="42" t="s">
        <v>509</v>
      </c>
      <c r="D58" s="41">
        <v>311</v>
      </c>
      <c r="E58" s="41" t="str">
        <f t="shared" si="0"/>
        <v>1</v>
      </c>
      <c r="F58" s="41">
        <v>66</v>
      </c>
      <c r="G58" s="42" t="s">
        <v>493</v>
      </c>
      <c r="H58" s="37"/>
      <c r="I58" s="37"/>
      <c r="J58" s="37"/>
      <c r="K58" s="42" t="s">
        <v>510</v>
      </c>
      <c r="L58" s="44" t="s">
        <v>129</v>
      </c>
      <c r="M58" s="41">
        <v>20</v>
      </c>
      <c r="N58" s="41">
        <v>60</v>
      </c>
      <c r="O58" s="41">
        <v>1</v>
      </c>
      <c r="P58" s="41">
        <v>80</v>
      </c>
      <c r="Q58" s="41">
        <v>1.333333333</v>
      </c>
      <c r="R58" s="42"/>
    </row>
    <row r="59" ht="16.5" hidden="1" spans="1:18">
      <c r="A59" s="37"/>
      <c r="B59" s="41">
        <v>31150</v>
      </c>
      <c r="C59" s="42" t="s">
        <v>511</v>
      </c>
      <c r="D59" s="41">
        <v>311</v>
      </c>
      <c r="E59" s="41" t="str">
        <f t="shared" si="0"/>
        <v>1</v>
      </c>
      <c r="F59" s="41">
        <v>66</v>
      </c>
      <c r="G59" s="42" t="s">
        <v>494</v>
      </c>
      <c r="H59" s="37"/>
      <c r="I59" s="37"/>
      <c r="J59" s="37"/>
      <c r="K59" s="42" t="s">
        <v>512</v>
      </c>
      <c r="L59" s="44" t="s">
        <v>129</v>
      </c>
      <c r="M59" s="41">
        <v>40</v>
      </c>
      <c r="N59" s="41">
        <v>120</v>
      </c>
      <c r="O59" s="41">
        <v>1</v>
      </c>
      <c r="P59" s="41">
        <v>160</v>
      </c>
      <c r="Q59" s="41">
        <v>1.333333333</v>
      </c>
      <c r="R59" s="42"/>
    </row>
    <row r="60" ht="16.5" spans="1:18">
      <c r="A60" s="37"/>
      <c r="B60" s="41">
        <v>31151</v>
      </c>
      <c r="C60" s="42" t="s">
        <v>513</v>
      </c>
      <c r="D60" s="41">
        <v>311</v>
      </c>
      <c r="E60" s="41" t="str">
        <f t="shared" si="0"/>
        <v>2</v>
      </c>
      <c r="F60" s="41">
        <v>66</v>
      </c>
      <c r="G60" s="42" t="s">
        <v>486</v>
      </c>
      <c r="H60" s="37"/>
      <c r="I60" s="37"/>
      <c r="J60" s="37"/>
      <c r="K60" s="42" t="s">
        <v>514</v>
      </c>
      <c r="L60" s="44" t="s">
        <v>129</v>
      </c>
      <c r="M60" s="41">
        <v>10</v>
      </c>
      <c r="N60" s="41">
        <v>30</v>
      </c>
      <c r="O60" s="41">
        <v>2</v>
      </c>
      <c r="P60" s="41">
        <v>1000</v>
      </c>
      <c r="Q60" s="42"/>
      <c r="R60" s="41">
        <v>1.666666667</v>
      </c>
    </row>
    <row r="61" ht="16.5" spans="1:18">
      <c r="A61" s="37"/>
      <c r="B61" s="41">
        <v>31152</v>
      </c>
      <c r="C61" s="42" t="s">
        <v>515</v>
      </c>
      <c r="D61" s="41">
        <v>311</v>
      </c>
      <c r="E61" s="41" t="str">
        <f t="shared" si="0"/>
        <v>2</v>
      </c>
      <c r="F61" s="41">
        <v>66</v>
      </c>
      <c r="G61" s="42" t="s">
        <v>473</v>
      </c>
      <c r="H61" s="37"/>
      <c r="I61" s="37"/>
      <c r="J61" s="37"/>
      <c r="K61" s="42" t="s">
        <v>516</v>
      </c>
      <c r="L61" s="44" t="s">
        <v>129</v>
      </c>
      <c r="M61" s="41">
        <v>20</v>
      </c>
      <c r="N61" s="41">
        <v>60</v>
      </c>
      <c r="O61" s="41">
        <v>2</v>
      </c>
      <c r="P61" s="41">
        <v>2000</v>
      </c>
      <c r="Q61" s="42"/>
      <c r="R61" s="41">
        <v>1.666666667</v>
      </c>
    </row>
    <row r="62" ht="16.5" spans="1:18">
      <c r="A62" s="37"/>
      <c r="B62" s="41">
        <v>31153</v>
      </c>
      <c r="C62" s="42" t="s">
        <v>517</v>
      </c>
      <c r="D62" s="41">
        <v>311</v>
      </c>
      <c r="E62" s="41" t="str">
        <f t="shared" si="0"/>
        <v>2</v>
      </c>
      <c r="F62" s="41">
        <v>66</v>
      </c>
      <c r="G62" s="42" t="s">
        <v>476</v>
      </c>
      <c r="H62" s="37"/>
      <c r="I62" s="37"/>
      <c r="J62" s="37"/>
      <c r="K62" s="42" t="s">
        <v>518</v>
      </c>
      <c r="L62" s="44" t="s">
        <v>129</v>
      </c>
      <c r="M62" s="41">
        <v>40</v>
      </c>
      <c r="N62" s="41">
        <v>120</v>
      </c>
      <c r="O62" s="41">
        <v>2</v>
      </c>
      <c r="P62" s="41">
        <v>4000</v>
      </c>
      <c r="Q62" s="42"/>
      <c r="R62" s="41">
        <v>1.666666667</v>
      </c>
    </row>
    <row r="63" ht="16.5" hidden="1" spans="1:18">
      <c r="A63" s="37"/>
      <c r="B63" s="41">
        <v>31154</v>
      </c>
      <c r="C63" s="42" t="s">
        <v>513</v>
      </c>
      <c r="D63" s="41">
        <v>311</v>
      </c>
      <c r="E63" s="41" t="str">
        <f t="shared" si="0"/>
        <v>1</v>
      </c>
      <c r="F63" s="41">
        <v>66</v>
      </c>
      <c r="G63" s="42" t="s">
        <v>492</v>
      </c>
      <c r="H63" s="37"/>
      <c r="I63" s="37"/>
      <c r="J63" s="37"/>
      <c r="K63" s="42" t="s">
        <v>514</v>
      </c>
      <c r="L63" s="44" t="s">
        <v>129</v>
      </c>
      <c r="M63" s="41">
        <v>10</v>
      </c>
      <c r="N63" s="41">
        <v>30</v>
      </c>
      <c r="O63" s="41">
        <v>1</v>
      </c>
      <c r="P63" s="41">
        <v>40</v>
      </c>
      <c r="Q63" s="41">
        <v>1.333333333</v>
      </c>
      <c r="R63" s="42"/>
    </row>
    <row r="64" ht="16.5" hidden="1" spans="1:18">
      <c r="A64" s="37"/>
      <c r="B64" s="41">
        <v>31155</v>
      </c>
      <c r="C64" s="42" t="s">
        <v>515</v>
      </c>
      <c r="D64" s="41">
        <v>311</v>
      </c>
      <c r="E64" s="41" t="str">
        <f t="shared" si="0"/>
        <v>1</v>
      </c>
      <c r="F64" s="41">
        <v>66</v>
      </c>
      <c r="G64" s="42" t="s">
        <v>493</v>
      </c>
      <c r="H64" s="37"/>
      <c r="I64" s="37"/>
      <c r="J64" s="37"/>
      <c r="K64" s="42" t="s">
        <v>516</v>
      </c>
      <c r="L64" s="44" t="s">
        <v>129</v>
      </c>
      <c r="M64" s="41">
        <v>20</v>
      </c>
      <c r="N64" s="41">
        <v>60</v>
      </c>
      <c r="O64" s="41">
        <v>1</v>
      </c>
      <c r="P64" s="41">
        <v>80</v>
      </c>
      <c r="Q64" s="41">
        <v>1.333333333</v>
      </c>
      <c r="R64" s="42"/>
    </row>
    <row r="65" ht="16.5" hidden="1" spans="1:18">
      <c r="A65" s="37"/>
      <c r="B65" s="41">
        <v>31156</v>
      </c>
      <c r="C65" s="42" t="s">
        <v>517</v>
      </c>
      <c r="D65" s="41">
        <v>311</v>
      </c>
      <c r="E65" s="41" t="str">
        <f t="shared" si="0"/>
        <v>1</v>
      </c>
      <c r="F65" s="41">
        <v>66</v>
      </c>
      <c r="G65" s="42" t="s">
        <v>494</v>
      </c>
      <c r="H65" s="37"/>
      <c r="I65" s="37"/>
      <c r="J65" s="37"/>
      <c r="K65" s="42" t="s">
        <v>518</v>
      </c>
      <c r="L65" s="44" t="s">
        <v>129</v>
      </c>
      <c r="M65" s="41">
        <v>40</v>
      </c>
      <c r="N65" s="41">
        <v>120</v>
      </c>
      <c r="O65" s="41">
        <v>1</v>
      </c>
      <c r="P65" s="41">
        <v>160</v>
      </c>
      <c r="Q65" s="41">
        <v>1.333333333</v>
      </c>
      <c r="R65" s="42"/>
    </row>
    <row r="66" ht="16.5" spans="1:18">
      <c r="A66" s="37"/>
      <c r="B66" s="41">
        <v>31157</v>
      </c>
      <c r="C66" s="42" t="s">
        <v>519</v>
      </c>
      <c r="D66" s="41">
        <v>311</v>
      </c>
      <c r="E66" s="41" t="str">
        <f t="shared" si="0"/>
        <v>2</v>
      </c>
      <c r="F66" s="41">
        <v>66</v>
      </c>
      <c r="G66" s="42" t="s">
        <v>486</v>
      </c>
      <c r="H66" s="37"/>
      <c r="I66" s="37"/>
      <c r="J66" s="37"/>
      <c r="K66" s="42" t="s">
        <v>520</v>
      </c>
      <c r="L66" s="44" t="s">
        <v>129</v>
      </c>
      <c r="M66" s="41">
        <v>10</v>
      </c>
      <c r="N66" s="41">
        <v>30</v>
      </c>
      <c r="O66" s="41">
        <v>2</v>
      </c>
      <c r="P66" s="41">
        <v>1000</v>
      </c>
      <c r="Q66" s="42"/>
      <c r="R66" s="41">
        <v>1.666666667</v>
      </c>
    </row>
    <row r="67" ht="16.5" spans="1:18">
      <c r="A67" s="37"/>
      <c r="B67" s="41">
        <v>31158</v>
      </c>
      <c r="C67" s="42" t="s">
        <v>521</v>
      </c>
      <c r="D67" s="41">
        <v>311</v>
      </c>
      <c r="E67" s="41" t="str">
        <f t="shared" si="0"/>
        <v>2</v>
      </c>
      <c r="F67" s="41">
        <v>66</v>
      </c>
      <c r="G67" s="42" t="s">
        <v>473</v>
      </c>
      <c r="H67" s="37"/>
      <c r="I67" s="37"/>
      <c r="J67" s="37"/>
      <c r="K67" s="42" t="s">
        <v>522</v>
      </c>
      <c r="L67" s="44" t="s">
        <v>129</v>
      </c>
      <c r="M67" s="41">
        <v>20</v>
      </c>
      <c r="N67" s="41">
        <v>60</v>
      </c>
      <c r="O67" s="41">
        <v>2</v>
      </c>
      <c r="P67" s="41">
        <v>2000</v>
      </c>
      <c r="Q67" s="42"/>
      <c r="R67" s="41">
        <v>1.666666667</v>
      </c>
    </row>
    <row r="68" ht="16.5" spans="1:18">
      <c r="A68" s="37"/>
      <c r="B68" s="41">
        <v>31159</v>
      </c>
      <c r="C68" s="42" t="s">
        <v>523</v>
      </c>
      <c r="D68" s="41">
        <v>311</v>
      </c>
      <c r="E68" s="41" t="str">
        <f t="shared" si="0"/>
        <v>2</v>
      </c>
      <c r="F68" s="41">
        <v>66</v>
      </c>
      <c r="G68" s="42" t="s">
        <v>476</v>
      </c>
      <c r="H68" s="37"/>
      <c r="I68" s="37"/>
      <c r="J68" s="37"/>
      <c r="K68" s="42" t="s">
        <v>524</v>
      </c>
      <c r="L68" s="44" t="s">
        <v>129</v>
      </c>
      <c r="M68" s="41">
        <v>40</v>
      </c>
      <c r="N68" s="41">
        <v>120</v>
      </c>
      <c r="O68" s="41">
        <v>2</v>
      </c>
      <c r="P68" s="41">
        <v>4000</v>
      </c>
      <c r="Q68" s="42"/>
      <c r="R68" s="41">
        <v>1.666666667</v>
      </c>
    </row>
    <row r="69" ht="16.5" hidden="1" spans="1:18">
      <c r="A69" s="37"/>
      <c r="B69" s="41">
        <v>31160</v>
      </c>
      <c r="C69" s="42" t="s">
        <v>519</v>
      </c>
      <c r="D69" s="41">
        <v>311</v>
      </c>
      <c r="E69" s="41" t="str">
        <f t="shared" si="0"/>
        <v>1</v>
      </c>
      <c r="F69" s="41">
        <v>66</v>
      </c>
      <c r="G69" s="42" t="s">
        <v>492</v>
      </c>
      <c r="H69" s="37"/>
      <c r="I69" s="37"/>
      <c r="J69" s="37"/>
      <c r="K69" s="42" t="s">
        <v>520</v>
      </c>
      <c r="L69" s="44" t="s">
        <v>129</v>
      </c>
      <c r="M69" s="41">
        <v>10</v>
      </c>
      <c r="N69" s="41">
        <v>30</v>
      </c>
      <c r="O69" s="41">
        <v>1</v>
      </c>
      <c r="P69" s="41">
        <v>40</v>
      </c>
      <c r="Q69" s="41">
        <v>1.333333333</v>
      </c>
      <c r="R69" s="42"/>
    </row>
    <row r="70" ht="16.5" hidden="1" spans="1:18">
      <c r="A70" s="37"/>
      <c r="B70" s="41">
        <v>31161</v>
      </c>
      <c r="C70" s="42" t="s">
        <v>521</v>
      </c>
      <c r="D70" s="41">
        <v>311</v>
      </c>
      <c r="E70" s="41" t="str">
        <f t="shared" si="0"/>
        <v>1</v>
      </c>
      <c r="F70" s="41">
        <v>66</v>
      </c>
      <c r="G70" s="42" t="s">
        <v>493</v>
      </c>
      <c r="H70" s="37"/>
      <c r="I70" s="37"/>
      <c r="J70" s="37"/>
      <c r="K70" s="42" t="s">
        <v>522</v>
      </c>
      <c r="L70" s="44" t="s">
        <v>129</v>
      </c>
      <c r="M70" s="41">
        <v>20</v>
      </c>
      <c r="N70" s="41">
        <v>60</v>
      </c>
      <c r="O70" s="41">
        <v>1</v>
      </c>
      <c r="P70" s="41">
        <v>80</v>
      </c>
      <c r="Q70" s="41">
        <v>1.333333333</v>
      </c>
      <c r="R70" s="42"/>
    </row>
    <row r="71" ht="16.5" hidden="1" spans="1:18">
      <c r="A71" s="37"/>
      <c r="B71" s="41">
        <v>31162</v>
      </c>
      <c r="C71" s="42" t="s">
        <v>523</v>
      </c>
      <c r="D71" s="41">
        <v>311</v>
      </c>
      <c r="E71" s="41" t="str">
        <f t="shared" si="0"/>
        <v>1</v>
      </c>
      <c r="F71" s="41">
        <v>66</v>
      </c>
      <c r="G71" s="42" t="s">
        <v>494</v>
      </c>
      <c r="H71" s="37"/>
      <c r="I71" s="37"/>
      <c r="J71" s="37"/>
      <c r="K71" s="42" t="s">
        <v>524</v>
      </c>
      <c r="L71" s="44" t="s">
        <v>129</v>
      </c>
      <c r="M71" s="41">
        <v>40</v>
      </c>
      <c r="N71" s="41">
        <v>120</v>
      </c>
      <c r="O71" s="41">
        <v>1</v>
      </c>
      <c r="P71" s="41">
        <v>160</v>
      </c>
      <c r="Q71" s="41">
        <v>1.333333333</v>
      </c>
      <c r="R71" s="42"/>
    </row>
    <row r="72" ht="16.5" hidden="1" spans="1:18">
      <c r="A72" s="37"/>
      <c r="B72" s="41">
        <v>31163</v>
      </c>
      <c r="C72" s="42" t="s">
        <v>525</v>
      </c>
      <c r="D72" s="41">
        <v>311</v>
      </c>
      <c r="E72" s="41" t="str">
        <f t="shared" si="0"/>
        <v>1</v>
      </c>
      <c r="F72" s="41">
        <v>600</v>
      </c>
      <c r="G72" s="42" t="s">
        <v>492</v>
      </c>
      <c r="H72" s="37"/>
      <c r="I72" s="42" t="s">
        <v>526</v>
      </c>
      <c r="J72" s="37"/>
      <c r="K72" s="37"/>
      <c r="L72" s="44" t="s">
        <v>203</v>
      </c>
      <c r="M72" s="41">
        <v>1</v>
      </c>
      <c r="N72" s="41">
        <v>50</v>
      </c>
      <c r="O72" s="41">
        <v>1</v>
      </c>
      <c r="P72" s="41">
        <v>40</v>
      </c>
      <c r="Q72" s="41">
        <v>0.8</v>
      </c>
      <c r="R72" s="42"/>
    </row>
    <row r="73" ht="16.5" hidden="1" spans="1:18">
      <c r="A73" s="37"/>
      <c r="B73" s="41">
        <v>31164</v>
      </c>
      <c r="C73" s="42" t="s">
        <v>527</v>
      </c>
      <c r="D73" s="41">
        <v>311</v>
      </c>
      <c r="E73" s="41" t="str">
        <f t="shared" si="0"/>
        <v>1</v>
      </c>
      <c r="F73" s="41">
        <v>600</v>
      </c>
      <c r="G73" s="42" t="s">
        <v>528</v>
      </c>
      <c r="H73" s="37"/>
      <c r="I73" s="42" t="s">
        <v>526</v>
      </c>
      <c r="J73" s="37"/>
      <c r="K73" s="37"/>
      <c r="L73" s="45" t="s">
        <v>238</v>
      </c>
      <c r="M73" s="41">
        <v>1</v>
      </c>
      <c r="N73" s="41">
        <v>280</v>
      </c>
      <c r="O73" s="41">
        <v>1</v>
      </c>
      <c r="P73" s="41">
        <v>224</v>
      </c>
      <c r="Q73" s="41">
        <v>0.8</v>
      </c>
      <c r="R73" s="42"/>
    </row>
    <row r="74" ht="16.5" hidden="1" spans="1:18">
      <c r="A74" s="37"/>
      <c r="B74" s="41">
        <v>31165</v>
      </c>
      <c r="C74" s="42" t="s">
        <v>525</v>
      </c>
      <c r="D74" s="41">
        <v>311</v>
      </c>
      <c r="E74" s="41" t="str">
        <f t="shared" ref="E74:E129" si="1">RIGHT(LEFT(G74,3),1)</f>
        <v>1</v>
      </c>
      <c r="F74" s="41">
        <v>300</v>
      </c>
      <c r="G74" s="42" t="s">
        <v>492</v>
      </c>
      <c r="H74" s="37"/>
      <c r="I74" s="42" t="s">
        <v>471</v>
      </c>
      <c r="J74" s="37"/>
      <c r="K74" s="37"/>
      <c r="L74" s="44" t="s">
        <v>203</v>
      </c>
      <c r="M74" s="41">
        <v>1</v>
      </c>
      <c r="N74" s="41">
        <v>50</v>
      </c>
      <c r="O74" s="41">
        <v>1</v>
      </c>
      <c r="P74" s="41">
        <v>40</v>
      </c>
      <c r="Q74" s="41">
        <v>0.8</v>
      </c>
      <c r="R74" s="42"/>
    </row>
    <row r="75" ht="16.5" hidden="1" spans="1:18">
      <c r="A75" s="37"/>
      <c r="B75" s="41">
        <v>31166</v>
      </c>
      <c r="C75" s="42" t="s">
        <v>527</v>
      </c>
      <c r="D75" s="41">
        <v>311</v>
      </c>
      <c r="E75" s="41" t="str">
        <f t="shared" si="1"/>
        <v>1</v>
      </c>
      <c r="F75" s="41">
        <v>300</v>
      </c>
      <c r="G75" s="42" t="s">
        <v>528</v>
      </c>
      <c r="H75" s="37"/>
      <c r="I75" s="42" t="s">
        <v>471</v>
      </c>
      <c r="J75" s="37"/>
      <c r="K75" s="37"/>
      <c r="L75" s="45" t="s">
        <v>238</v>
      </c>
      <c r="M75" s="41">
        <v>1</v>
      </c>
      <c r="N75" s="41">
        <v>280</v>
      </c>
      <c r="O75" s="41">
        <v>1</v>
      </c>
      <c r="P75" s="41">
        <v>224</v>
      </c>
      <c r="Q75" s="41">
        <v>0.8</v>
      </c>
      <c r="R75" s="42"/>
    </row>
    <row r="76" ht="16.5" spans="1:18">
      <c r="A76" s="37"/>
      <c r="B76" s="41">
        <v>31167</v>
      </c>
      <c r="C76" s="42" t="s">
        <v>525</v>
      </c>
      <c r="D76" s="41">
        <v>311</v>
      </c>
      <c r="E76" s="41" t="str">
        <f t="shared" si="1"/>
        <v>2</v>
      </c>
      <c r="F76" s="41">
        <v>300</v>
      </c>
      <c r="G76" s="42" t="s">
        <v>473</v>
      </c>
      <c r="H76" s="37"/>
      <c r="I76" s="42" t="s">
        <v>471</v>
      </c>
      <c r="J76" s="37"/>
      <c r="K76" s="37"/>
      <c r="L76" s="44" t="s">
        <v>203</v>
      </c>
      <c r="M76" s="41">
        <v>1</v>
      </c>
      <c r="N76" s="41">
        <v>50</v>
      </c>
      <c r="O76" s="41">
        <v>2</v>
      </c>
      <c r="P76" s="41">
        <v>2000</v>
      </c>
      <c r="Q76" s="42"/>
      <c r="R76" s="41">
        <v>2</v>
      </c>
    </row>
    <row r="77" ht="16.5" spans="1:18">
      <c r="A77" s="37"/>
      <c r="B77" s="41">
        <v>31168</v>
      </c>
      <c r="C77" s="42" t="s">
        <v>527</v>
      </c>
      <c r="D77" s="41">
        <v>311</v>
      </c>
      <c r="E77" s="41" t="str">
        <f t="shared" si="1"/>
        <v>2</v>
      </c>
      <c r="F77" s="41">
        <v>300</v>
      </c>
      <c r="G77" s="42" t="s">
        <v>529</v>
      </c>
      <c r="H77" s="37"/>
      <c r="I77" s="42" t="s">
        <v>471</v>
      </c>
      <c r="J77" s="37"/>
      <c r="K77" s="37"/>
      <c r="L77" s="45" t="s">
        <v>238</v>
      </c>
      <c r="M77" s="41">
        <v>1</v>
      </c>
      <c r="N77" s="41">
        <v>280</v>
      </c>
      <c r="O77" s="41">
        <v>2</v>
      </c>
      <c r="P77" s="41">
        <v>11200</v>
      </c>
      <c r="Q77" s="42"/>
      <c r="R77" s="41">
        <v>2</v>
      </c>
    </row>
    <row r="78" ht="16.5" hidden="1" spans="1:18">
      <c r="A78" s="37"/>
      <c r="B78" s="41">
        <v>31169</v>
      </c>
      <c r="C78" s="42" t="s">
        <v>456</v>
      </c>
      <c r="D78" s="41">
        <v>311</v>
      </c>
      <c r="E78" s="41" t="str">
        <f t="shared" si="1"/>
        <v>1</v>
      </c>
      <c r="F78" s="41">
        <v>200</v>
      </c>
      <c r="G78" s="42" t="s">
        <v>467</v>
      </c>
      <c r="H78" s="37"/>
      <c r="I78" s="42" t="s">
        <v>526</v>
      </c>
      <c r="J78" s="37"/>
      <c r="K78" s="37"/>
      <c r="L78" s="44" t="s">
        <v>130</v>
      </c>
      <c r="M78" s="41">
        <v>5</v>
      </c>
      <c r="N78" s="41">
        <v>150</v>
      </c>
      <c r="O78" s="41">
        <v>1</v>
      </c>
      <c r="P78" s="41">
        <v>120</v>
      </c>
      <c r="Q78" s="41">
        <v>0.8</v>
      </c>
      <c r="R78" s="42"/>
    </row>
    <row r="79" ht="16.5" hidden="1" spans="1:18">
      <c r="A79" s="37"/>
      <c r="B79" s="41">
        <v>31170</v>
      </c>
      <c r="C79" s="42" t="s">
        <v>525</v>
      </c>
      <c r="D79" s="41">
        <v>311</v>
      </c>
      <c r="E79" s="41" t="str">
        <f t="shared" si="1"/>
        <v>1</v>
      </c>
      <c r="F79" s="41">
        <v>200</v>
      </c>
      <c r="G79" s="42" t="s">
        <v>492</v>
      </c>
      <c r="H79" s="37"/>
      <c r="I79" s="42" t="s">
        <v>526</v>
      </c>
      <c r="J79" s="37"/>
      <c r="K79" s="37"/>
      <c r="L79" s="44" t="s">
        <v>203</v>
      </c>
      <c r="M79" s="41">
        <v>1</v>
      </c>
      <c r="N79" s="41">
        <v>50</v>
      </c>
      <c r="O79" s="41">
        <v>1</v>
      </c>
      <c r="P79" s="41">
        <v>40</v>
      </c>
      <c r="Q79" s="41">
        <v>0.8</v>
      </c>
      <c r="R79" s="42"/>
    </row>
    <row r="80" ht="16.5" hidden="1" spans="1:18">
      <c r="A80" s="37"/>
      <c r="B80" s="41">
        <v>31171</v>
      </c>
      <c r="C80" s="42" t="s">
        <v>530</v>
      </c>
      <c r="D80" s="41">
        <v>311</v>
      </c>
      <c r="E80" s="41" t="str">
        <f t="shared" si="1"/>
        <v>1</v>
      </c>
      <c r="F80" s="41">
        <v>400</v>
      </c>
      <c r="G80" s="42" t="s">
        <v>531</v>
      </c>
      <c r="H80" s="37"/>
      <c r="I80" s="42" t="s">
        <v>471</v>
      </c>
      <c r="J80" s="37"/>
      <c r="K80" s="42" t="s">
        <v>532</v>
      </c>
      <c r="L80" s="44" t="s">
        <v>250</v>
      </c>
      <c r="M80" s="41">
        <v>1</v>
      </c>
      <c r="N80" s="41">
        <v>60</v>
      </c>
      <c r="O80" s="41">
        <v>1</v>
      </c>
      <c r="P80" s="41">
        <v>48</v>
      </c>
      <c r="Q80" s="41">
        <v>0.8</v>
      </c>
      <c r="R80" s="42"/>
    </row>
    <row r="81" ht="16.5" spans="1:18">
      <c r="A81" s="37"/>
      <c r="B81" s="41">
        <v>31172</v>
      </c>
      <c r="C81" s="42" t="s">
        <v>530</v>
      </c>
      <c r="D81" s="41">
        <v>311</v>
      </c>
      <c r="E81" s="41" t="str">
        <f t="shared" si="1"/>
        <v>2</v>
      </c>
      <c r="F81" s="43">
        <v>0</v>
      </c>
      <c r="G81" s="42" t="s">
        <v>465</v>
      </c>
      <c r="H81" s="37"/>
      <c r="I81" s="42" t="s">
        <v>471</v>
      </c>
      <c r="J81" s="37"/>
      <c r="K81" s="42" t="s">
        <v>532</v>
      </c>
      <c r="L81" s="44" t="s">
        <v>250</v>
      </c>
      <c r="M81" s="41">
        <v>1</v>
      </c>
      <c r="N81" s="41">
        <v>60</v>
      </c>
      <c r="O81" s="41">
        <v>2</v>
      </c>
      <c r="P81" s="41">
        <v>2000</v>
      </c>
      <c r="Q81" s="42"/>
      <c r="R81" s="41">
        <v>1.666666667</v>
      </c>
    </row>
    <row r="82" ht="16.5" hidden="1" spans="1:18">
      <c r="A82" s="37"/>
      <c r="B82" s="41">
        <v>31173</v>
      </c>
      <c r="C82" s="42" t="s">
        <v>533</v>
      </c>
      <c r="D82" s="41">
        <v>311</v>
      </c>
      <c r="E82" s="41" t="str">
        <f t="shared" si="1"/>
        <v>2</v>
      </c>
      <c r="F82" s="41">
        <v>200</v>
      </c>
      <c r="G82" s="42" t="s">
        <v>534</v>
      </c>
      <c r="H82" s="37"/>
      <c r="I82" s="42" t="s">
        <v>458</v>
      </c>
      <c r="J82" s="37"/>
      <c r="K82" s="42" t="s">
        <v>535</v>
      </c>
      <c r="L82" s="44" t="s">
        <v>536</v>
      </c>
      <c r="M82" s="41">
        <v>3</v>
      </c>
      <c r="N82" s="41">
        <v>18</v>
      </c>
      <c r="O82" s="41">
        <v>2</v>
      </c>
      <c r="P82" s="41">
        <v>600</v>
      </c>
      <c r="Q82" s="42"/>
      <c r="R82" s="41">
        <v>1.666666667</v>
      </c>
    </row>
    <row r="83" ht="16.5" hidden="1" spans="1:18">
      <c r="A83" s="37"/>
      <c r="B83" s="41">
        <v>31174</v>
      </c>
      <c r="C83" s="42" t="s">
        <v>537</v>
      </c>
      <c r="D83" s="41">
        <v>311</v>
      </c>
      <c r="E83" s="41" t="str">
        <f t="shared" si="1"/>
        <v>2</v>
      </c>
      <c r="F83" s="41">
        <v>200</v>
      </c>
      <c r="G83" s="42" t="s">
        <v>534</v>
      </c>
      <c r="H83" s="37"/>
      <c r="I83" s="42" t="s">
        <v>458</v>
      </c>
      <c r="J83" s="37"/>
      <c r="K83" s="42" t="s">
        <v>538</v>
      </c>
      <c r="L83" s="44" t="s">
        <v>536</v>
      </c>
      <c r="M83" s="41">
        <v>3</v>
      </c>
      <c r="N83" s="41">
        <v>18</v>
      </c>
      <c r="O83" s="41">
        <v>2</v>
      </c>
      <c r="P83" s="41">
        <v>600</v>
      </c>
      <c r="Q83" s="42"/>
      <c r="R83" s="41">
        <v>1.666666667</v>
      </c>
    </row>
    <row r="84" ht="16.5" hidden="1" spans="1:18">
      <c r="A84" s="37"/>
      <c r="B84" s="41">
        <v>31175</v>
      </c>
      <c r="C84" s="42" t="s">
        <v>539</v>
      </c>
      <c r="D84" s="41">
        <v>311</v>
      </c>
      <c r="E84" s="41" t="str">
        <f t="shared" si="1"/>
        <v>2</v>
      </c>
      <c r="F84" s="41">
        <v>200</v>
      </c>
      <c r="G84" s="42" t="s">
        <v>534</v>
      </c>
      <c r="H84" s="37"/>
      <c r="I84" s="42" t="s">
        <v>458</v>
      </c>
      <c r="J84" s="37"/>
      <c r="K84" s="42" t="s">
        <v>540</v>
      </c>
      <c r="L84" s="44" t="s">
        <v>536</v>
      </c>
      <c r="M84" s="41">
        <v>3</v>
      </c>
      <c r="N84" s="41">
        <v>18</v>
      </c>
      <c r="O84" s="41">
        <v>2</v>
      </c>
      <c r="P84" s="41">
        <v>600</v>
      </c>
      <c r="Q84" s="42"/>
      <c r="R84" s="41">
        <v>1.666666667</v>
      </c>
    </row>
    <row r="85" ht="16.5" hidden="1" spans="1:18">
      <c r="A85" s="37"/>
      <c r="B85" s="41">
        <v>31176</v>
      </c>
      <c r="C85" s="42" t="s">
        <v>541</v>
      </c>
      <c r="D85" s="41">
        <v>311</v>
      </c>
      <c r="E85" s="41" t="str">
        <f t="shared" si="1"/>
        <v>2</v>
      </c>
      <c r="F85" s="41">
        <v>200</v>
      </c>
      <c r="G85" s="42" t="s">
        <v>542</v>
      </c>
      <c r="H85" s="37"/>
      <c r="I85" s="42" t="s">
        <v>458</v>
      </c>
      <c r="J85" s="37"/>
      <c r="K85" s="42" t="s">
        <v>543</v>
      </c>
      <c r="L85" s="44" t="s">
        <v>544</v>
      </c>
      <c r="M85" s="41">
        <v>2</v>
      </c>
      <c r="N85" s="41">
        <v>24</v>
      </c>
      <c r="O85" s="41">
        <v>2</v>
      </c>
      <c r="P85" s="41">
        <v>640</v>
      </c>
      <c r="Q85" s="42"/>
      <c r="R85" s="41">
        <v>1.333333333</v>
      </c>
    </row>
    <row r="86" ht="16.5" hidden="1" spans="1:18">
      <c r="A86" s="37"/>
      <c r="B86" s="41">
        <v>31177</v>
      </c>
      <c r="C86" s="42" t="s">
        <v>545</v>
      </c>
      <c r="D86" s="41">
        <v>311</v>
      </c>
      <c r="E86" s="41" t="str">
        <f t="shared" si="1"/>
        <v>2</v>
      </c>
      <c r="F86" s="41">
        <v>200</v>
      </c>
      <c r="G86" s="42" t="s">
        <v>542</v>
      </c>
      <c r="H86" s="37"/>
      <c r="I86" s="42" t="s">
        <v>458</v>
      </c>
      <c r="J86" s="37"/>
      <c r="K86" s="42" t="s">
        <v>546</v>
      </c>
      <c r="L86" s="44" t="s">
        <v>544</v>
      </c>
      <c r="M86" s="41">
        <v>2</v>
      </c>
      <c r="N86" s="41">
        <v>24</v>
      </c>
      <c r="O86" s="41">
        <v>2</v>
      </c>
      <c r="P86" s="41">
        <v>640</v>
      </c>
      <c r="Q86" s="42"/>
      <c r="R86" s="41">
        <v>1.333333333</v>
      </c>
    </row>
    <row r="87" ht="16.5" hidden="1" spans="1:18">
      <c r="A87" s="37"/>
      <c r="B87" s="41">
        <v>31178</v>
      </c>
      <c r="C87" s="42" t="s">
        <v>547</v>
      </c>
      <c r="D87" s="41">
        <v>311</v>
      </c>
      <c r="E87" s="41" t="str">
        <f t="shared" si="1"/>
        <v>2</v>
      </c>
      <c r="F87" s="41">
        <v>80</v>
      </c>
      <c r="G87" s="42" t="s">
        <v>542</v>
      </c>
      <c r="H87" s="37"/>
      <c r="I87" s="42" t="s">
        <v>548</v>
      </c>
      <c r="J87" s="37"/>
      <c r="K87" s="42" t="s">
        <v>549</v>
      </c>
      <c r="L87" s="44" t="s">
        <v>544</v>
      </c>
      <c r="M87" s="41">
        <v>2</v>
      </c>
      <c r="N87" s="41">
        <v>24</v>
      </c>
      <c r="O87" s="41">
        <v>2</v>
      </c>
      <c r="P87" s="41">
        <v>640</v>
      </c>
      <c r="Q87" s="42"/>
      <c r="R87" s="41">
        <v>1.333333333</v>
      </c>
    </row>
    <row r="88" ht="16.5" hidden="1" spans="1:18">
      <c r="A88" s="37"/>
      <c r="B88" s="41">
        <v>31179</v>
      </c>
      <c r="C88" s="42" t="s">
        <v>550</v>
      </c>
      <c r="D88" s="41">
        <v>311</v>
      </c>
      <c r="E88" s="41" t="str">
        <f t="shared" si="1"/>
        <v>2</v>
      </c>
      <c r="F88" s="41">
        <v>80</v>
      </c>
      <c r="G88" s="42" t="s">
        <v>542</v>
      </c>
      <c r="H88" s="37"/>
      <c r="I88" s="42" t="s">
        <v>551</v>
      </c>
      <c r="J88" s="37"/>
      <c r="K88" s="42" t="s">
        <v>552</v>
      </c>
      <c r="L88" s="44" t="s">
        <v>544</v>
      </c>
      <c r="M88" s="41">
        <v>2</v>
      </c>
      <c r="N88" s="41">
        <v>24</v>
      </c>
      <c r="O88" s="41">
        <v>2</v>
      </c>
      <c r="P88" s="41">
        <v>640</v>
      </c>
      <c r="Q88" s="42"/>
      <c r="R88" s="41">
        <v>1.333333333</v>
      </c>
    </row>
    <row r="89" ht="16.5" hidden="1" spans="1:18">
      <c r="A89" s="37"/>
      <c r="B89" s="41">
        <v>31180</v>
      </c>
      <c r="C89" s="42" t="s">
        <v>553</v>
      </c>
      <c r="D89" s="41">
        <v>311</v>
      </c>
      <c r="E89" s="41" t="str">
        <f t="shared" si="1"/>
        <v>2</v>
      </c>
      <c r="F89" s="41">
        <v>80</v>
      </c>
      <c r="G89" s="42" t="s">
        <v>542</v>
      </c>
      <c r="H89" s="37"/>
      <c r="I89" s="42" t="s">
        <v>554</v>
      </c>
      <c r="J89" s="37"/>
      <c r="K89" s="42" t="s">
        <v>555</v>
      </c>
      <c r="L89" s="44" t="s">
        <v>544</v>
      </c>
      <c r="M89" s="41">
        <v>2</v>
      </c>
      <c r="N89" s="41">
        <v>24</v>
      </c>
      <c r="O89" s="41">
        <v>2</v>
      </c>
      <c r="P89" s="41">
        <v>640</v>
      </c>
      <c r="Q89" s="42"/>
      <c r="R89" s="41">
        <v>1.333333333</v>
      </c>
    </row>
    <row r="90" ht="16.5" hidden="1" spans="1:18">
      <c r="A90" s="37"/>
      <c r="B90" s="41">
        <v>31181</v>
      </c>
      <c r="C90" s="42" t="s">
        <v>556</v>
      </c>
      <c r="D90" s="41">
        <v>311</v>
      </c>
      <c r="E90" s="41" t="str">
        <f t="shared" si="1"/>
        <v>2</v>
      </c>
      <c r="F90" s="41">
        <v>80</v>
      </c>
      <c r="G90" s="42" t="s">
        <v>542</v>
      </c>
      <c r="H90" s="37"/>
      <c r="I90" s="42" t="s">
        <v>554</v>
      </c>
      <c r="J90" s="37"/>
      <c r="K90" s="42" t="s">
        <v>557</v>
      </c>
      <c r="L90" s="44" t="s">
        <v>544</v>
      </c>
      <c r="M90" s="41">
        <v>2</v>
      </c>
      <c r="N90" s="41">
        <v>24</v>
      </c>
      <c r="O90" s="41">
        <v>2</v>
      </c>
      <c r="P90" s="41">
        <v>640</v>
      </c>
      <c r="Q90" s="42"/>
      <c r="R90" s="41">
        <v>1.333333333</v>
      </c>
    </row>
    <row r="91" ht="16.5" hidden="1" spans="1:18">
      <c r="A91" s="37"/>
      <c r="B91" s="41">
        <v>31182</v>
      </c>
      <c r="C91" s="42" t="s">
        <v>533</v>
      </c>
      <c r="D91" s="41">
        <v>311</v>
      </c>
      <c r="E91" s="41" t="str">
        <f t="shared" si="1"/>
        <v>1</v>
      </c>
      <c r="F91" s="41">
        <v>200</v>
      </c>
      <c r="G91" s="42" t="s">
        <v>558</v>
      </c>
      <c r="H91" s="37"/>
      <c r="I91" s="42" t="s">
        <v>458</v>
      </c>
      <c r="J91" s="37"/>
      <c r="K91" s="42" t="s">
        <v>535</v>
      </c>
      <c r="L91" s="44" t="s">
        <v>536</v>
      </c>
      <c r="M91" s="41">
        <v>3</v>
      </c>
      <c r="N91" s="41">
        <v>18</v>
      </c>
      <c r="O91" s="41">
        <v>1</v>
      </c>
      <c r="P91" s="41">
        <v>15</v>
      </c>
      <c r="Q91" s="41">
        <v>0.833333333</v>
      </c>
      <c r="R91" s="42"/>
    </row>
    <row r="92" ht="16.5" hidden="1" spans="1:18">
      <c r="A92" s="37"/>
      <c r="B92" s="41">
        <v>31183</v>
      </c>
      <c r="C92" s="42" t="s">
        <v>537</v>
      </c>
      <c r="D92" s="41">
        <v>311</v>
      </c>
      <c r="E92" s="41" t="str">
        <f t="shared" si="1"/>
        <v>1</v>
      </c>
      <c r="F92" s="41">
        <v>200</v>
      </c>
      <c r="G92" s="42" t="s">
        <v>558</v>
      </c>
      <c r="H92" s="37"/>
      <c r="I92" s="42" t="s">
        <v>458</v>
      </c>
      <c r="J92" s="37"/>
      <c r="K92" s="42" t="s">
        <v>538</v>
      </c>
      <c r="L92" s="44" t="s">
        <v>536</v>
      </c>
      <c r="M92" s="41">
        <v>3</v>
      </c>
      <c r="N92" s="41">
        <v>18</v>
      </c>
      <c r="O92" s="41">
        <v>1</v>
      </c>
      <c r="P92" s="41">
        <v>15</v>
      </c>
      <c r="Q92" s="41">
        <v>0.833333333</v>
      </c>
      <c r="R92" s="42"/>
    </row>
    <row r="93" ht="16.5" hidden="1" spans="1:18">
      <c r="A93" s="37"/>
      <c r="B93" s="41">
        <v>31184</v>
      </c>
      <c r="C93" s="42" t="s">
        <v>539</v>
      </c>
      <c r="D93" s="41">
        <v>311</v>
      </c>
      <c r="E93" s="41" t="str">
        <f t="shared" si="1"/>
        <v>1</v>
      </c>
      <c r="F93" s="41">
        <v>200</v>
      </c>
      <c r="G93" s="42" t="s">
        <v>558</v>
      </c>
      <c r="H93" s="37"/>
      <c r="I93" s="42" t="s">
        <v>458</v>
      </c>
      <c r="J93" s="37"/>
      <c r="K93" s="42" t="s">
        <v>540</v>
      </c>
      <c r="L93" s="44" t="s">
        <v>536</v>
      </c>
      <c r="M93" s="41">
        <v>3</v>
      </c>
      <c r="N93" s="41">
        <v>18</v>
      </c>
      <c r="O93" s="41">
        <v>1</v>
      </c>
      <c r="P93" s="41">
        <v>15</v>
      </c>
      <c r="Q93" s="41">
        <v>0.833333333</v>
      </c>
      <c r="R93" s="42"/>
    </row>
    <row r="94" ht="16.5" hidden="1" spans="1:18">
      <c r="A94" s="37"/>
      <c r="B94" s="41">
        <v>31185</v>
      </c>
      <c r="C94" s="42" t="s">
        <v>541</v>
      </c>
      <c r="D94" s="41">
        <v>311</v>
      </c>
      <c r="E94" s="41" t="str">
        <f t="shared" si="1"/>
        <v>1</v>
      </c>
      <c r="F94" s="41">
        <v>200</v>
      </c>
      <c r="G94" s="42" t="s">
        <v>559</v>
      </c>
      <c r="H94" s="37"/>
      <c r="I94" s="42" t="s">
        <v>458</v>
      </c>
      <c r="J94" s="37"/>
      <c r="K94" s="42" t="s">
        <v>543</v>
      </c>
      <c r="L94" s="44" t="s">
        <v>544</v>
      </c>
      <c r="M94" s="41">
        <v>2</v>
      </c>
      <c r="N94" s="41">
        <v>24</v>
      </c>
      <c r="O94" s="41">
        <v>1</v>
      </c>
      <c r="P94" s="41">
        <v>18</v>
      </c>
      <c r="Q94" s="41">
        <v>0.75</v>
      </c>
      <c r="R94" s="42"/>
    </row>
    <row r="95" ht="16.5" hidden="1" spans="1:18">
      <c r="A95" s="37"/>
      <c r="B95" s="41">
        <v>31186</v>
      </c>
      <c r="C95" s="42" t="s">
        <v>545</v>
      </c>
      <c r="D95" s="41">
        <v>311</v>
      </c>
      <c r="E95" s="41" t="str">
        <f t="shared" si="1"/>
        <v>1</v>
      </c>
      <c r="F95" s="41">
        <v>200</v>
      </c>
      <c r="G95" s="42" t="s">
        <v>559</v>
      </c>
      <c r="H95" s="37"/>
      <c r="I95" s="42" t="s">
        <v>458</v>
      </c>
      <c r="J95" s="37"/>
      <c r="K95" s="42" t="s">
        <v>546</v>
      </c>
      <c r="L95" s="44" t="s">
        <v>544</v>
      </c>
      <c r="M95" s="41">
        <v>2</v>
      </c>
      <c r="N95" s="41">
        <v>24</v>
      </c>
      <c r="O95" s="41">
        <v>1</v>
      </c>
      <c r="P95" s="41">
        <v>18</v>
      </c>
      <c r="Q95" s="41">
        <v>0.75</v>
      </c>
      <c r="R95" s="42"/>
    </row>
    <row r="96" ht="16.5" hidden="1" spans="1:18">
      <c r="A96" s="37"/>
      <c r="B96" s="41">
        <v>31187</v>
      </c>
      <c r="C96" s="42" t="s">
        <v>547</v>
      </c>
      <c r="D96" s="41">
        <v>311</v>
      </c>
      <c r="E96" s="41" t="str">
        <f t="shared" si="1"/>
        <v>1</v>
      </c>
      <c r="F96" s="41">
        <v>80</v>
      </c>
      <c r="G96" s="42" t="s">
        <v>559</v>
      </c>
      <c r="H96" s="37"/>
      <c r="I96" s="42" t="s">
        <v>548</v>
      </c>
      <c r="J96" s="37"/>
      <c r="K96" s="42" t="s">
        <v>549</v>
      </c>
      <c r="L96" s="44" t="s">
        <v>544</v>
      </c>
      <c r="M96" s="41">
        <v>2</v>
      </c>
      <c r="N96" s="41">
        <v>24</v>
      </c>
      <c r="O96" s="41">
        <v>1</v>
      </c>
      <c r="P96" s="41">
        <v>18</v>
      </c>
      <c r="Q96" s="41">
        <v>0.75</v>
      </c>
      <c r="R96" s="42"/>
    </row>
    <row r="97" ht="16.5" hidden="1" spans="1:18">
      <c r="A97" s="37"/>
      <c r="B97" s="41">
        <v>31188</v>
      </c>
      <c r="C97" s="42" t="s">
        <v>550</v>
      </c>
      <c r="D97" s="41">
        <v>311</v>
      </c>
      <c r="E97" s="41" t="str">
        <f t="shared" si="1"/>
        <v>1</v>
      </c>
      <c r="F97" s="41">
        <v>80</v>
      </c>
      <c r="G97" s="42" t="s">
        <v>559</v>
      </c>
      <c r="H97" s="37"/>
      <c r="I97" s="42" t="s">
        <v>551</v>
      </c>
      <c r="J97" s="37"/>
      <c r="K97" s="42" t="s">
        <v>552</v>
      </c>
      <c r="L97" s="44" t="s">
        <v>544</v>
      </c>
      <c r="M97" s="41">
        <v>2</v>
      </c>
      <c r="N97" s="41">
        <v>24</v>
      </c>
      <c r="O97" s="41">
        <v>1</v>
      </c>
      <c r="P97" s="41">
        <v>18</v>
      </c>
      <c r="Q97" s="41">
        <v>0.75</v>
      </c>
      <c r="R97" s="42"/>
    </row>
    <row r="98" ht="16.5" hidden="1" spans="1:18">
      <c r="A98" s="37"/>
      <c r="B98" s="41">
        <v>31189</v>
      </c>
      <c r="C98" s="42" t="s">
        <v>553</v>
      </c>
      <c r="D98" s="41">
        <v>311</v>
      </c>
      <c r="E98" s="41" t="str">
        <f t="shared" si="1"/>
        <v>1</v>
      </c>
      <c r="F98" s="41">
        <v>80</v>
      </c>
      <c r="G98" s="42" t="s">
        <v>559</v>
      </c>
      <c r="H98" s="37"/>
      <c r="I98" s="42" t="s">
        <v>554</v>
      </c>
      <c r="J98" s="37"/>
      <c r="K98" s="42" t="s">
        <v>555</v>
      </c>
      <c r="L98" s="44" t="s">
        <v>544</v>
      </c>
      <c r="M98" s="41">
        <v>2</v>
      </c>
      <c r="N98" s="41">
        <v>24</v>
      </c>
      <c r="O98" s="41">
        <v>1</v>
      </c>
      <c r="P98" s="41">
        <v>18</v>
      </c>
      <c r="Q98" s="41">
        <v>0.75</v>
      </c>
      <c r="R98" s="42"/>
    </row>
    <row r="99" ht="16.5" hidden="1" spans="1:18">
      <c r="A99" s="37"/>
      <c r="B99" s="41">
        <v>31190</v>
      </c>
      <c r="C99" s="42" t="s">
        <v>556</v>
      </c>
      <c r="D99" s="41">
        <v>311</v>
      </c>
      <c r="E99" s="41" t="str">
        <f t="shared" si="1"/>
        <v>1</v>
      </c>
      <c r="F99" s="41">
        <v>80</v>
      </c>
      <c r="G99" s="42" t="s">
        <v>559</v>
      </c>
      <c r="H99" s="37"/>
      <c r="I99" s="42" t="s">
        <v>554</v>
      </c>
      <c r="J99" s="37"/>
      <c r="K99" s="42" t="s">
        <v>557</v>
      </c>
      <c r="L99" s="44" t="s">
        <v>544</v>
      </c>
      <c r="M99" s="41">
        <v>2</v>
      </c>
      <c r="N99" s="41">
        <v>24</v>
      </c>
      <c r="O99" s="41">
        <v>1</v>
      </c>
      <c r="P99" s="41">
        <v>18</v>
      </c>
      <c r="Q99" s="41">
        <v>0.75</v>
      </c>
      <c r="R99" s="42"/>
    </row>
    <row r="100" ht="16.5" spans="1:18">
      <c r="A100" s="37"/>
      <c r="B100" s="41">
        <v>31191</v>
      </c>
      <c r="C100" s="42" t="s">
        <v>560</v>
      </c>
      <c r="D100" s="41">
        <v>311</v>
      </c>
      <c r="E100" s="41" t="str">
        <f t="shared" si="1"/>
        <v>2</v>
      </c>
      <c r="F100" s="41">
        <v>120</v>
      </c>
      <c r="G100" s="42" t="s">
        <v>561</v>
      </c>
      <c r="H100" s="37"/>
      <c r="I100" s="42" t="s">
        <v>471</v>
      </c>
      <c r="J100" s="37"/>
      <c r="K100" s="42" t="s">
        <v>535</v>
      </c>
      <c r="L100" s="44" t="s">
        <v>536</v>
      </c>
      <c r="M100" s="41">
        <v>5</v>
      </c>
      <c r="N100" s="41">
        <v>30</v>
      </c>
      <c r="O100" s="41">
        <v>2</v>
      </c>
      <c r="P100" s="41">
        <v>800</v>
      </c>
      <c r="Q100" s="42"/>
      <c r="R100" s="41">
        <v>1.333333333</v>
      </c>
    </row>
    <row r="101" ht="16.5" spans="1:18">
      <c r="A101" s="37"/>
      <c r="B101" s="41">
        <v>31192</v>
      </c>
      <c r="C101" s="42" t="s">
        <v>562</v>
      </c>
      <c r="D101" s="41">
        <v>311</v>
      </c>
      <c r="E101" s="41" t="str">
        <f t="shared" si="1"/>
        <v>2</v>
      </c>
      <c r="F101" s="41">
        <v>120</v>
      </c>
      <c r="G101" s="42" t="s">
        <v>561</v>
      </c>
      <c r="H101" s="37"/>
      <c r="I101" s="42" t="s">
        <v>471</v>
      </c>
      <c r="J101" s="37"/>
      <c r="K101" s="42" t="s">
        <v>538</v>
      </c>
      <c r="L101" s="44" t="s">
        <v>536</v>
      </c>
      <c r="M101" s="41">
        <v>5</v>
      </c>
      <c r="N101" s="41">
        <v>30</v>
      </c>
      <c r="O101" s="41">
        <v>2</v>
      </c>
      <c r="P101" s="41">
        <v>800</v>
      </c>
      <c r="Q101" s="42"/>
      <c r="R101" s="41">
        <v>1.333333333</v>
      </c>
    </row>
    <row r="102" ht="16.5" spans="1:18">
      <c r="A102" s="37"/>
      <c r="B102" s="41">
        <v>31193</v>
      </c>
      <c r="C102" s="42" t="s">
        <v>563</v>
      </c>
      <c r="D102" s="41">
        <v>311</v>
      </c>
      <c r="E102" s="41" t="str">
        <f t="shared" si="1"/>
        <v>2</v>
      </c>
      <c r="F102" s="41">
        <v>120</v>
      </c>
      <c r="G102" s="42" t="s">
        <v>561</v>
      </c>
      <c r="H102" s="37"/>
      <c r="I102" s="42" t="s">
        <v>471</v>
      </c>
      <c r="J102" s="37"/>
      <c r="K102" s="42" t="s">
        <v>540</v>
      </c>
      <c r="L102" s="44" t="s">
        <v>536</v>
      </c>
      <c r="M102" s="41">
        <v>5</v>
      </c>
      <c r="N102" s="41">
        <v>30</v>
      </c>
      <c r="O102" s="41">
        <v>2</v>
      </c>
      <c r="P102" s="41">
        <v>800</v>
      </c>
      <c r="Q102" s="42"/>
      <c r="R102" s="41">
        <v>1.333333333</v>
      </c>
    </row>
    <row r="103" ht="16.5" spans="1:18">
      <c r="A103" s="37"/>
      <c r="B103" s="41">
        <v>31194</v>
      </c>
      <c r="C103" s="42" t="s">
        <v>564</v>
      </c>
      <c r="D103" s="41">
        <v>311</v>
      </c>
      <c r="E103" s="41" t="str">
        <f t="shared" si="1"/>
        <v>2</v>
      </c>
      <c r="F103" s="41">
        <v>120</v>
      </c>
      <c r="G103" s="42" t="s">
        <v>565</v>
      </c>
      <c r="H103" s="37"/>
      <c r="I103" s="42" t="s">
        <v>471</v>
      </c>
      <c r="J103" s="37"/>
      <c r="K103" s="42" t="s">
        <v>543</v>
      </c>
      <c r="L103" s="44" t="s">
        <v>544</v>
      </c>
      <c r="M103" s="41">
        <v>3</v>
      </c>
      <c r="N103" s="41">
        <v>36</v>
      </c>
      <c r="O103" s="41">
        <v>2</v>
      </c>
      <c r="P103" s="41">
        <v>960</v>
      </c>
      <c r="Q103" s="42"/>
      <c r="R103" s="41">
        <v>1.333333333</v>
      </c>
    </row>
    <row r="104" ht="16.5" spans="1:18">
      <c r="A104" s="37"/>
      <c r="B104" s="41">
        <v>31195</v>
      </c>
      <c r="C104" s="42" t="s">
        <v>566</v>
      </c>
      <c r="D104" s="41">
        <v>311</v>
      </c>
      <c r="E104" s="41" t="str">
        <f t="shared" si="1"/>
        <v>2</v>
      </c>
      <c r="F104" s="41">
        <v>120</v>
      </c>
      <c r="G104" s="42" t="s">
        <v>565</v>
      </c>
      <c r="H104" s="37"/>
      <c r="I104" s="42" t="s">
        <v>471</v>
      </c>
      <c r="J104" s="37"/>
      <c r="K104" s="42" t="s">
        <v>546</v>
      </c>
      <c r="L104" s="44" t="s">
        <v>544</v>
      </c>
      <c r="M104" s="41">
        <v>3</v>
      </c>
      <c r="N104" s="41">
        <v>36</v>
      </c>
      <c r="O104" s="41">
        <v>2</v>
      </c>
      <c r="P104" s="41">
        <v>960</v>
      </c>
      <c r="Q104" s="42"/>
      <c r="R104" s="41">
        <v>1.333333333</v>
      </c>
    </row>
    <row r="105" ht="16.5" spans="1:18">
      <c r="A105" s="37"/>
      <c r="B105" s="41">
        <v>31196</v>
      </c>
      <c r="C105" s="42" t="s">
        <v>567</v>
      </c>
      <c r="D105" s="41">
        <v>311</v>
      </c>
      <c r="E105" s="41" t="str">
        <f t="shared" si="1"/>
        <v>2</v>
      </c>
      <c r="F105" s="41">
        <v>120</v>
      </c>
      <c r="G105" s="42" t="s">
        <v>565</v>
      </c>
      <c r="H105" s="37"/>
      <c r="I105" s="42" t="s">
        <v>471</v>
      </c>
      <c r="J105" s="37"/>
      <c r="K105" s="42" t="s">
        <v>549</v>
      </c>
      <c r="L105" s="44" t="s">
        <v>544</v>
      </c>
      <c r="M105" s="41">
        <v>3</v>
      </c>
      <c r="N105" s="41">
        <v>36</v>
      </c>
      <c r="O105" s="41">
        <v>2</v>
      </c>
      <c r="P105" s="41">
        <v>960</v>
      </c>
      <c r="Q105" s="42"/>
      <c r="R105" s="41">
        <v>1.333333333</v>
      </c>
    </row>
    <row r="106" ht="16.5" spans="1:18">
      <c r="A106" s="37"/>
      <c r="B106" s="41">
        <v>31197</v>
      </c>
      <c r="C106" s="42" t="s">
        <v>568</v>
      </c>
      <c r="D106" s="41">
        <v>311</v>
      </c>
      <c r="E106" s="41" t="str">
        <f t="shared" si="1"/>
        <v>2</v>
      </c>
      <c r="F106" s="41">
        <v>120</v>
      </c>
      <c r="G106" s="42" t="s">
        <v>565</v>
      </c>
      <c r="H106" s="37"/>
      <c r="I106" s="42" t="s">
        <v>471</v>
      </c>
      <c r="J106" s="37"/>
      <c r="K106" s="42" t="s">
        <v>552</v>
      </c>
      <c r="L106" s="44" t="s">
        <v>544</v>
      </c>
      <c r="M106" s="41">
        <v>3</v>
      </c>
      <c r="N106" s="41">
        <v>36</v>
      </c>
      <c r="O106" s="41">
        <v>2</v>
      </c>
      <c r="P106" s="41">
        <v>960</v>
      </c>
      <c r="Q106" s="42"/>
      <c r="R106" s="41">
        <v>1.333333333</v>
      </c>
    </row>
    <row r="107" ht="16.5" spans="1:18">
      <c r="A107" s="37"/>
      <c r="B107" s="41">
        <v>31198</v>
      </c>
      <c r="C107" s="42" t="s">
        <v>569</v>
      </c>
      <c r="D107" s="41">
        <v>311</v>
      </c>
      <c r="E107" s="41" t="str">
        <f t="shared" si="1"/>
        <v>2</v>
      </c>
      <c r="F107" s="41">
        <v>120</v>
      </c>
      <c r="G107" s="42" t="s">
        <v>565</v>
      </c>
      <c r="H107" s="37"/>
      <c r="I107" s="42" t="s">
        <v>471</v>
      </c>
      <c r="J107" s="37"/>
      <c r="K107" s="42" t="s">
        <v>555</v>
      </c>
      <c r="L107" s="44" t="s">
        <v>544</v>
      </c>
      <c r="M107" s="41">
        <v>3</v>
      </c>
      <c r="N107" s="41">
        <v>36</v>
      </c>
      <c r="O107" s="41">
        <v>2</v>
      </c>
      <c r="P107" s="41">
        <v>960</v>
      </c>
      <c r="Q107" s="42"/>
      <c r="R107" s="41">
        <v>1.333333333</v>
      </c>
    </row>
    <row r="108" ht="16.5" spans="1:18">
      <c r="A108" s="37"/>
      <c r="B108" s="41">
        <v>31199</v>
      </c>
      <c r="C108" s="42" t="s">
        <v>570</v>
      </c>
      <c r="D108" s="41">
        <v>311</v>
      </c>
      <c r="E108" s="41" t="str">
        <f t="shared" si="1"/>
        <v>2</v>
      </c>
      <c r="F108" s="41">
        <v>120</v>
      </c>
      <c r="G108" s="42" t="s">
        <v>565</v>
      </c>
      <c r="H108" s="37"/>
      <c r="I108" s="42" t="s">
        <v>471</v>
      </c>
      <c r="J108" s="37"/>
      <c r="K108" s="42" t="s">
        <v>557</v>
      </c>
      <c r="L108" s="44" t="s">
        <v>544</v>
      </c>
      <c r="M108" s="41">
        <v>3</v>
      </c>
      <c r="N108" s="41">
        <v>36</v>
      </c>
      <c r="O108" s="41">
        <v>2</v>
      </c>
      <c r="P108" s="41">
        <v>960</v>
      </c>
      <c r="Q108" s="42"/>
      <c r="R108" s="41">
        <v>1.333333333</v>
      </c>
    </row>
    <row r="109" ht="16.5" spans="1:18">
      <c r="A109" s="37"/>
      <c r="B109" s="41">
        <v>31200</v>
      </c>
      <c r="C109" s="42" t="s">
        <v>571</v>
      </c>
      <c r="D109" s="41">
        <v>311</v>
      </c>
      <c r="E109" s="41" t="str">
        <f t="shared" si="1"/>
        <v>2</v>
      </c>
      <c r="F109" s="41">
        <v>80</v>
      </c>
      <c r="G109" s="42" t="s">
        <v>572</v>
      </c>
      <c r="H109" s="37"/>
      <c r="I109" s="42" t="s">
        <v>573</v>
      </c>
      <c r="J109" s="37"/>
      <c r="K109" s="42" t="s">
        <v>574</v>
      </c>
      <c r="L109" s="44" t="s">
        <v>575</v>
      </c>
      <c r="M109" s="41">
        <v>2</v>
      </c>
      <c r="N109" s="41">
        <v>48</v>
      </c>
      <c r="O109" s="41">
        <v>2</v>
      </c>
      <c r="P109" s="41">
        <v>1200</v>
      </c>
      <c r="Q109" s="42"/>
      <c r="R109" s="41">
        <v>1.25</v>
      </c>
    </row>
    <row r="110" ht="16.5" spans="1:18">
      <c r="A110" s="37"/>
      <c r="B110" s="41">
        <v>31201</v>
      </c>
      <c r="C110" s="42" t="s">
        <v>576</v>
      </c>
      <c r="D110" s="41">
        <v>311</v>
      </c>
      <c r="E110" s="41" t="str">
        <f t="shared" si="1"/>
        <v>2</v>
      </c>
      <c r="F110" s="41">
        <v>80</v>
      </c>
      <c r="G110" s="42" t="s">
        <v>572</v>
      </c>
      <c r="H110" s="37"/>
      <c r="I110" s="42" t="s">
        <v>577</v>
      </c>
      <c r="J110" s="37"/>
      <c r="K110" s="42" t="s">
        <v>578</v>
      </c>
      <c r="L110" s="44" t="s">
        <v>575</v>
      </c>
      <c r="M110" s="41">
        <v>2</v>
      </c>
      <c r="N110" s="41">
        <v>48</v>
      </c>
      <c r="O110" s="41">
        <v>2</v>
      </c>
      <c r="P110" s="41">
        <v>1200</v>
      </c>
      <c r="Q110" s="42"/>
      <c r="R110" s="41">
        <v>1.25</v>
      </c>
    </row>
    <row r="111" ht="16.5" spans="1:18">
      <c r="A111" s="37"/>
      <c r="B111" s="41">
        <v>31202</v>
      </c>
      <c r="C111" s="42" t="s">
        <v>579</v>
      </c>
      <c r="D111" s="41">
        <v>311</v>
      </c>
      <c r="E111" s="41" t="str">
        <f t="shared" si="1"/>
        <v>2</v>
      </c>
      <c r="F111" s="41">
        <v>80</v>
      </c>
      <c r="G111" s="42" t="s">
        <v>572</v>
      </c>
      <c r="H111" s="37"/>
      <c r="I111" s="42" t="s">
        <v>580</v>
      </c>
      <c r="J111" s="37"/>
      <c r="K111" s="42" t="s">
        <v>581</v>
      </c>
      <c r="L111" s="44" t="s">
        <v>575</v>
      </c>
      <c r="M111" s="41">
        <v>2</v>
      </c>
      <c r="N111" s="41">
        <v>48</v>
      </c>
      <c r="O111" s="41">
        <v>2</v>
      </c>
      <c r="P111" s="41">
        <v>1200</v>
      </c>
      <c r="Q111" s="42"/>
      <c r="R111" s="41">
        <v>1.25</v>
      </c>
    </row>
    <row r="112" ht="16.5" spans="1:18">
      <c r="A112" s="37"/>
      <c r="B112" s="41">
        <v>31203</v>
      </c>
      <c r="C112" s="42" t="s">
        <v>582</v>
      </c>
      <c r="D112" s="41">
        <v>311</v>
      </c>
      <c r="E112" s="41" t="str">
        <f t="shared" si="1"/>
        <v>2</v>
      </c>
      <c r="F112" s="41">
        <v>80</v>
      </c>
      <c r="G112" s="42" t="s">
        <v>572</v>
      </c>
      <c r="H112" s="37"/>
      <c r="I112" s="42" t="s">
        <v>583</v>
      </c>
      <c r="J112" s="37"/>
      <c r="K112" s="42" t="s">
        <v>584</v>
      </c>
      <c r="L112" s="44" t="s">
        <v>575</v>
      </c>
      <c r="M112" s="41">
        <v>2</v>
      </c>
      <c r="N112" s="41">
        <v>48</v>
      </c>
      <c r="O112" s="41">
        <v>2</v>
      </c>
      <c r="P112" s="41">
        <v>1200</v>
      </c>
      <c r="Q112" s="42"/>
      <c r="R112" s="41">
        <v>1.25</v>
      </c>
    </row>
    <row r="113" ht="16.5" spans="1:18">
      <c r="A113" s="37"/>
      <c r="B113" s="41">
        <v>31204</v>
      </c>
      <c r="C113" s="42" t="s">
        <v>585</v>
      </c>
      <c r="D113" s="41">
        <v>311</v>
      </c>
      <c r="E113" s="41" t="str">
        <f t="shared" si="1"/>
        <v>2</v>
      </c>
      <c r="F113" s="41">
        <v>80</v>
      </c>
      <c r="G113" s="42" t="s">
        <v>572</v>
      </c>
      <c r="H113" s="37"/>
      <c r="I113" s="42" t="s">
        <v>586</v>
      </c>
      <c r="J113" s="37"/>
      <c r="K113" s="42" t="s">
        <v>587</v>
      </c>
      <c r="L113" s="44" t="s">
        <v>575</v>
      </c>
      <c r="M113" s="41">
        <v>2</v>
      </c>
      <c r="N113" s="41">
        <v>48</v>
      </c>
      <c r="O113" s="41">
        <v>2</v>
      </c>
      <c r="P113" s="41">
        <v>1200</v>
      </c>
      <c r="Q113" s="42"/>
      <c r="R113" s="41">
        <v>1.25</v>
      </c>
    </row>
    <row r="114" ht="16.5" spans="1:18">
      <c r="A114" s="37"/>
      <c r="B114" s="41">
        <v>31205</v>
      </c>
      <c r="C114" s="42" t="s">
        <v>588</v>
      </c>
      <c r="D114" s="41">
        <v>311</v>
      </c>
      <c r="E114" s="41" t="str">
        <f t="shared" si="1"/>
        <v>2</v>
      </c>
      <c r="F114" s="41">
        <v>80</v>
      </c>
      <c r="G114" s="42" t="s">
        <v>572</v>
      </c>
      <c r="H114" s="37"/>
      <c r="I114" s="42" t="s">
        <v>589</v>
      </c>
      <c r="J114" s="37"/>
      <c r="K114" s="42" t="s">
        <v>590</v>
      </c>
      <c r="L114" s="44" t="s">
        <v>575</v>
      </c>
      <c r="M114" s="41">
        <v>2</v>
      </c>
      <c r="N114" s="41">
        <v>48</v>
      </c>
      <c r="O114" s="41">
        <v>2</v>
      </c>
      <c r="P114" s="41">
        <v>1200</v>
      </c>
      <c r="Q114" s="42"/>
      <c r="R114" s="41">
        <v>1.25</v>
      </c>
    </row>
    <row r="115" ht="16.5" hidden="1" spans="1:18">
      <c r="A115" s="37"/>
      <c r="B115" s="41">
        <v>31206</v>
      </c>
      <c r="C115" s="42" t="s">
        <v>560</v>
      </c>
      <c r="D115" s="41">
        <v>311</v>
      </c>
      <c r="E115" s="41" t="str">
        <f t="shared" si="1"/>
        <v>1</v>
      </c>
      <c r="F115" s="41">
        <v>120</v>
      </c>
      <c r="G115" s="42" t="s">
        <v>591</v>
      </c>
      <c r="H115" s="37"/>
      <c r="I115" s="42" t="s">
        <v>471</v>
      </c>
      <c r="J115" s="37"/>
      <c r="K115" s="42" t="s">
        <v>592</v>
      </c>
      <c r="L115" s="44" t="s">
        <v>536</v>
      </c>
      <c r="M115" s="41">
        <v>5</v>
      </c>
      <c r="N115" s="41">
        <v>30</v>
      </c>
      <c r="O115" s="41">
        <v>1</v>
      </c>
      <c r="P115" s="41">
        <v>25</v>
      </c>
      <c r="Q115" s="41">
        <v>0.833333333</v>
      </c>
      <c r="R115" s="42"/>
    </row>
    <row r="116" ht="16.5" hidden="1" spans="1:18">
      <c r="A116" s="37"/>
      <c r="B116" s="41">
        <v>31207</v>
      </c>
      <c r="C116" s="42" t="s">
        <v>562</v>
      </c>
      <c r="D116" s="41">
        <v>311</v>
      </c>
      <c r="E116" s="41" t="str">
        <f t="shared" si="1"/>
        <v>1</v>
      </c>
      <c r="F116" s="41">
        <v>120</v>
      </c>
      <c r="G116" s="42" t="s">
        <v>591</v>
      </c>
      <c r="H116" s="37"/>
      <c r="I116" s="42" t="s">
        <v>471</v>
      </c>
      <c r="J116" s="37"/>
      <c r="K116" s="42" t="s">
        <v>593</v>
      </c>
      <c r="L116" s="44" t="s">
        <v>536</v>
      </c>
      <c r="M116" s="41">
        <v>5</v>
      </c>
      <c r="N116" s="41">
        <v>30</v>
      </c>
      <c r="O116" s="41">
        <v>1</v>
      </c>
      <c r="P116" s="41">
        <v>25</v>
      </c>
      <c r="Q116" s="41">
        <v>0.833333333</v>
      </c>
      <c r="R116" s="42"/>
    </row>
    <row r="117" ht="16.5" hidden="1" spans="1:18">
      <c r="A117" s="37"/>
      <c r="B117" s="41">
        <v>31208</v>
      </c>
      <c r="C117" s="42" t="s">
        <v>563</v>
      </c>
      <c r="D117" s="41">
        <v>311</v>
      </c>
      <c r="E117" s="41" t="str">
        <f t="shared" si="1"/>
        <v>1</v>
      </c>
      <c r="F117" s="41">
        <v>120</v>
      </c>
      <c r="G117" s="42" t="s">
        <v>591</v>
      </c>
      <c r="H117" s="37"/>
      <c r="I117" s="42" t="s">
        <v>471</v>
      </c>
      <c r="J117" s="37"/>
      <c r="K117" s="42" t="s">
        <v>594</v>
      </c>
      <c r="L117" s="44" t="s">
        <v>536</v>
      </c>
      <c r="M117" s="41">
        <v>5</v>
      </c>
      <c r="N117" s="41">
        <v>30</v>
      </c>
      <c r="O117" s="41">
        <v>1</v>
      </c>
      <c r="P117" s="41">
        <v>25</v>
      </c>
      <c r="Q117" s="41">
        <v>0.833333333</v>
      </c>
      <c r="R117" s="42"/>
    </row>
    <row r="118" ht="16.5" hidden="1" spans="1:18">
      <c r="A118" s="37"/>
      <c r="B118" s="41">
        <v>31209</v>
      </c>
      <c r="C118" s="42" t="s">
        <v>564</v>
      </c>
      <c r="D118" s="41">
        <v>311</v>
      </c>
      <c r="E118" s="41" t="str">
        <f t="shared" si="1"/>
        <v>1</v>
      </c>
      <c r="F118" s="41">
        <v>120</v>
      </c>
      <c r="G118" s="42" t="s">
        <v>595</v>
      </c>
      <c r="H118" s="37"/>
      <c r="I118" s="42" t="s">
        <v>471</v>
      </c>
      <c r="J118" s="37"/>
      <c r="K118" s="42" t="s">
        <v>596</v>
      </c>
      <c r="L118" s="44" t="s">
        <v>544</v>
      </c>
      <c r="M118" s="41">
        <v>3</v>
      </c>
      <c r="N118" s="41">
        <v>36</v>
      </c>
      <c r="O118" s="41">
        <v>1</v>
      </c>
      <c r="P118" s="41">
        <v>27</v>
      </c>
      <c r="Q118" s="41">
        <v>0.75</v>
      </c>
      <c r="R118" s="42"/>
    </row>
    <row r="119" ht="16.5" hidden="1" spans="1:18">
      <c r="A119" s="37"/>
      <c r="B119" s="41">
        <v>31210</v>
      </c>
      <c r="C119" s="42" t="s">
        <v>566</v>
      </c>
      <c r="D119" s="41">
        <v>311</v>
      </c>
      <c r="E119" s="41" t="str">
        <f t="shared" si="1"/>
        <v>1</v>
      </c>
      <c r="F119" s="41">
        <v>120</v>
      </c>
      <c r="G119" s="42" t="s">
        <v>595</v>
      </c>
      <c r="H119" s="37"/>
      <c r="I119" s="42" t="s">
        <v>471</v>
      </c>
      <c r="J119" s="37"/>
      <c r="K119" s="42" t="s">
        <v>597</v>
      </c>
      <c r="L119" s="44" t="s">
        <v>544</v>
      </c>
      <c r="M119" s="41">
        <v>3</v>
      </c>
      <c r="N119" s="41">
        <v>36</v>
      </c>
      <c r="O119" s="41">
        <v>1</v>
      </c>
      <c r="P119" s="41">
        <v>27</v>
      </c>
      <c r="Q119" s="41">
        <v>0.75</v>
      </c>
      <c r="R119" s="42"/>
    </row>
    <row r="120" ht="16.5" hidden="1" spans="1:18">
      <c r="A120" s="37"/>
      <c r="B120" s="41">
        <v>31211</v>
      </c>
      <c r="C120" s="42" t="s">
        <v>567</v>
      </c>
      <c r="D120" s="41">
        <v>311</v>
      </c>
      <c r="E120" s="41" t="str">
        <f t="shared" si="1"/>
        <v>1</v>
      </c>
      <c r="F120" s="41">
        <v>120</v>
      </c>
      <c r="G120" s="42" t="s">
        <v>595</v>
      </c>
      <c r="H120" s="37"/>
      <c r="I120" s="42" t="s">
        <v>471</v>
      </c>
      <c r="J120" s="37"/>
      <c r="K120" s="42" t="s">
        <v>598</v>
      </c>
      <c r="L120" s="44" t="s">
        <v>544</v>
      </c>
      <c r="M120" s="41">
        <v>3</v>
      </c>
      <c r="N120" s="41">
        <v>36</v>
      </c>
      <c r="O120" s="41">
        <v>1</v>
      </c>
      <c r="P120" s="41">
        <v>27</v>
      </c>
      <c r="Q120" s="41">
        <v>0.75</v>
      </c>
      <c r="R120" s="42"/>
    </row>
    <row r="121" ht="16.5" hidden="1" spans="1:18">
      <c r="A121" s="37"/>
      <c r="B121" s="41">
        <v>31212</v>
      </c>
      <c r="C121" s="42" t="s">
        <v>568</v>
      </c>
      <c r="D121" s="41">
        <v>311</v>
      </c>
      <c r="E121" s="41" t="str">
        <f t="shared" si="1"/>
        <v>1</v>
      </c>
      <c r="F121" s="41">
        <v>120</v>
      </c>
      <c r="G121" s="42" t="s">
        <v>595</v>
      </c>
      <c r="H121" s="37"/>
      <c r="I121" s="42" t="s">
        <v>471</v>
      </c>
      <c r="J121" s="37"/>
      <c r="K121" s="42" t="s">
        <v>599</v>
      </c>
      <c r="L121" s="44" t="s">
        <v>544</v>
      </c>
      <c r="M121" s="41">
        <v>3</v>
      </c>
      <c r="N121" s="41">
        <v>36</v>
      </c>
      <c r="O121" s="41">
        <v>1</v>
      </c>
      <c r="P121" s="41">
        <v>27</v>
      </c>
      <c r="Q121" s="41">
        <v>0.75</v>
      </c>
      <c r="R121" s="42"/>
    </row>
    <row r="122" ht="16.5" hidden="1" spans="1:18">
      <c r="A122" s="37"/>
      <c r="B122" s="41">
        <v>31213</v>
      </c>
      <c r="C122" s="42" t="s">
        <v>569</v>
      </c>
      <c r="D122" s="41">
        <v>311</v>
      </c>
      <c r="E122" s="41" t="str">
        <f t="shared" si="1"/>
        <v>1</v>
      </c>
      <c r="F122" s="41">
        <v>120</v>
      </c>
      <c r="G122" s="42" t="s">
        <v>595</v>
      </c>
      <c r="H122" s="37"/>
      <c r="I122" s="42" t="s">
        <v>471</v>
      </c>
      <c r="J122" s="37"/>
      <c r="K122" s="42" t="s">
        <v>600</v>
      </c>
      <c r="L122" s="44" t="s">
        <v>544</v>
      </c>
      <c r="M122" s="41">
        <v>3</v>
      </c>
      <c r="N122" s="41">
        <v>36</v>
      </c>
      <c r="O122" s="41">
        <v>1</v>
      </c>
      <c r="P122" s="41">
        <v>27</v>
      </c>
      <c r="Q122" s="41">
        <v>0.75</v>
      </c>
      <c r="R122" s="42"/>
    </row>
    <row r="123" ht="16.5" hidden="1" spans="1:18">
      <c r="A123" s="37"/>
      <c r="B123" s="41">
        <v>31214</v>
      </c>
      <c r="C123" s="42" t="s">
        <v>570</v>
      </c>
      <c r="D123" s="41">
        <v>311</v>
      </c>
      <c r="E123" s="41" t="str">
        <f t="shared" si="1"/>
        <v>1</v>
      </c>
      <c r="F123" s="41">
        <v>120</v>
      </c>
      <c r="G123" s="42" t="s">
        <v>595</v>
      </c>
      <c r="H123" s="37"/>
      <c r="I123" s="42" t="s">
        <v>471</v>
      </c>
      <c r="J123" s="37"/>
      <c r="K123" s="42" t="s">
        <v>601</v>
      </c>
      <c r="L123" s="44" t="s">
        <v>544</v>
      </c>
      <c r="M123" s="41">
        <v>3</v>
      </c>
      <c r="N123" s="41">
        <v>36</v>
      </c>
      <c r="O123" s="41">
        <v>1</v>
      </c>
      <c r="P123" s="41">
        <v>27</v>
      </c>
      <c r="Q123" s="41">
        <v>0.75</v>
      </c>
      <c r="R123" s="42"/>
    </row>
    <row r="124" ht="16.5" hidden="1" spans="1:18">
      <c r="A124" s="37"/>
      <c r="B124" s="41">
        <v>31215</v>
      </c>
      <c r="C124" s="42" t="s">
        <v>571</v>
      </c>
      <c r="D124" s="41">
        <v>311</v>
      </c>
      <c r="E124" s="41" t="str">
        <f t="shared" si="1"/>
        <v>1</v>
      </c>
      <c r="F124" s="41">
        <v>80</v>
      </c>
      <c r="G124" s="42" t="s">
        <v>602</v>
      </c>
      <c r="H124" s="37"/>
      <c r="I124" s="42" t="s">
        <v>573</v>
      </c>
      <c r="J124" s="37"/>
      <c r="K124" s="42" t="s">
        <v>603</v>
      </c>
      <c r="L124" s="44" t="s">
        <v>575</v>
      </c>
      <c r="M124" s="41">
        <v>2</v>
      </c>
      <c r="N124" s="41">
        <v>48</v>
      </c>
      <c r="O124" s="41">
        <v>1</v>
      </c>
      <c r="P124" s="41">
        <v>30</v>
      </c>
      <c r="Q124" s="41">
        <v>0.625</v>
      </c>
      <c r="R124" s="42"/>
    </row>
    <row r="125" ht="16.5" hidden="1" spans="1:18">
      <c r="A125" s="37"/>
      <c r="B125" s="41">
        <v>31216</v>
      </c>
      <c r="C125" s="42" t="s">
        <v>576</v>
      </c>
      <c r="D125" s="41">
        <v>311</v>
      </c>
      <c r="E125" s="41" t="str">
        <f t="shared" si="1"/>
        <v>1</v>
      </c>
      <c r="F125" s="41">
        <v>80</v>
      </c>
      <c r="G125" s="42" t="s">
        <v>602</v>
      </c>
      <c r="H125" s="37"/>
      <c r="I125" s="42" t="s">
        <v>577</v>
      </c>
      <c r="J125" s="37"/>
      <c r="K125" s="42" t="s">
        <v>604</v>
      </c>
      <c r="L125" s="44" t="s">
        <v>575</v>
      </c>
      <c r="M125" s="41">
        <v>2</v>
      </c>
      <c r="N125" s="41">
        <v>48</v>
      </c>
      <c r="O125" s="41">
        <v>1</v>
      </c>
      <c r="P125" s="41">
        <v>30</v>
      </c>
      <c r="Q125" s="41">
        <v>0.625</v>
      </c>
      <c r="R125" s="42"/>
    </row>
    <row r="126" ht="16.5" hidden="1" spans="1:18">
      <c r="A126" s="37"/>
      <c r="B126" s="41">
        <v>31217</v>
      </c>
      <c r="C126" s="42" t="s">
        <v>579</v>
      </c>
      <c r="D126" s="41">
        <v>311</v>
      </c>
      <c r="E126" s="41" t="str">
        <f t="shared" si="1"/>
        <v>1</v>
      </c>
      <c r="F126" s="41">
        <v>80</v>
      </c>
      <c r="G126" s="42" t="s">
        <v>602</v>
      </c>
      <c r="H126" s="37"/>
      <c r="I126" s="42" t="s">
        <v>580</v>
      </c>
      <c r="J126" s="37"/>
      <c r="K126" s="42" t="s">
        <v>605</v>
      </c>
      <c r="L126" s="44" t="s">
        <v>575</v>
      </c>
      <c r="M126" s="41">
        <v>2</v>
      </c>
      <c r="N126" s="41">
        <v>48</v>
      </c>
      <c r="O126" s="41">
        <v>1</v>
      </c>
      <c r="P126" s="41">
        <v>30</v>
      </c>
      <c r="Q126" s="41">
        <v>0.625</v>
      </c>
      <c r="R126" s="42"/>
    </row>
    <row r="127" ht="16.5" hidden="1" spans="1:18">
      <c r="A127" s="37"/>
      <c r="B127" s="41">
        <v>31218</v>
      </c>
      <c r="C127" s="42" t="s">
        <v>582</v>
      </c>
      <c r="D127" s="41">
        <v>311</v>
      </c>
      <c r="E127" s="41" t="str">
        <f t="shared" si="1"/>
        <v>1</v>
      </c>
      <c r="F127" s="41">
        <v>80</v>
      </c>
      <c r="G127" s="42" t="s">
        <v>602</v>
      </c>
      <c r="H127" s="37"/>
      <c r="I127" s="42" t="s">
        <v>583</v>
      </c>
      <c r="J127" s="37"/>
      <c r="K127" s="42" t="s">
        <v>606</v>
      </c>
      <c r="L127" s="44" t="s">
        <v>575</v>
      </c>
      <c r="M127" s="41">
        <v>2</v>
      </c>
      <c r="N127" s="41">
        <v>48</v>
      </c>
      <c r="O127" s="41">
        <v>1</v>
      </c>
      <c r="P127" s="41">
        <v>30</v>
      </c>
      <c r="Q127" s="41">
        <v>0.625</v>
      </c>
      <c r="R127" s="42"/>
    </row>
    <row r="128" ht="16.5" hidden="1" spans="1:18">
      <c r="A128" s="37"/>
      <c r="B128" s="41">
        <v>31219</v>
      </c>
      <c r="C128" s="42" t="s">
        <v>585</v>
      </c>
      <c r="D128" s="41">
        <v>311</v>
      </c>
      <c r="E128" s="41" t="str">
        <f t="shared" si="1"/>
        <v>1</v>
      </c>
      <c r="F128" s="41">
        <v>80</v>
      </c>
      <c r="G128" s="42" t="s">
        <v>602</v>
      </c>
      <c r="H128" s="37"/>
      <c r="I128" s="42" t="s">
        <v>586</v>
      </c>
      <c r="J128" s="37"/>
      <c r="K128" s="42" t="s">
        <v>607</v>
      </c>
      <c r="L128" s="44" t="s">
        <v>575</v>
      </c>
      <c r="M128" s="41">
        <v>2</v>
      </c>
      <c r="N128" s="41">
        <v>48</v>
      </c>
      <c r="O128" s="41">
        <v>1</v>
      </c>
      <c r="P128" s="41">
        <v>30</v>
      </c>
      <c r="Q128" s="41">
        <v>0.625</v>
      </c>
      <c r="R128" s="42"/>
    </row>
    <row r="129" ht="16.5" hidden="1" spans="1:18">
      <c r="A129" s="37"/>
      <c r="B129" s="41">
        <v>31220</v>
      </c>
      <c r="C129" s="42" t="s">
        <v>588</v>
      </c>
      <c r="D129" s="41">
        <v>311</v>
      </c>
      <c r="E129" s="41" t="str">
        <f t="shared" si="1"/>
        <v>1</v>
      </c>
      <c r="F129" s="41">
        <v>80</v>
      </c>
      <c r="G129" s="42" t="s">
        <v>602</v>
      </c>
      <c r="H129" s="37"/>
      <c r="I129" s="42" t="s">
        <v>589</v>
      </c>
      <c r="J129" s="37"/>
      <c r="K129" s="42" t="s">
        <v>608</v>
      </c>
      <c r="L129" s="44" t="s">
        <v>575</v>
      </c>
      <c r="M129" s="41">
        <v>2</v>
      </c>
      <c r="N129" s="41">
        <v>48</v>
      </c>
      <c r="O129" s="41">
        <v>1</v>
      </c>
      <c r="P129" s="41">
        <v>30</v>
      </c>
      <c r="Q129" s="41">
        <v>0.625</v>
      </c>
      <c r="R129" s="42"/>
    </row>
    <row r="131" spans="1:18">
      <c r="L131">
        <f>SUMPRODUCT(P22:P81,F22:F81)/10000</f>
        <v>1755.975</v>
      </c>
    </row>
  </sheetData>
  <autoFilter xmlns:etc="http://www.wps.cn/officeDocument/2017/etCustomData" ref="B9:S129" etc:filterBottomFollowUsedRange="0">
    <filterColumn colId="3">
      <customFilters>
        <customFilter operator="equal" val="2"/>
      </customFilters>
    </filterColumn>
    <filterColumn colId="7">
      <customFilters>
        <customFilter operator="equal" val="[{server_open_day,3},{unit,1210300,1}]"/>
      </customFilters>
    </filterColumn>
    <extLst/>
  </autoFilter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B5:Z85"/>
  <sheetViews>
    <sheetView topLeftCell="A14" workbookViewId="0">
      <selection activeCell="AG65" sqref="AG65"/>
    </sheetView>
  </sheetViews>
  <sheetFormatPr defaultColWidth="9" defaultRowHeight="13.5"/>
  <cols>
    <col min="17" max="17" width="9.375"/>
  </cols>
  <sheetData>
    <row r="5" ht="16.5" spans="2:26">
      <c r="B5" s="28"/>
      <c r="C5" s="28"/>
      <c r="D5" s="28"/>
      <c r="E5" s="28"/>
      <c r="F5" s="28"/>
      <c r="G5" s="28"/>
      <c r="H5" s="29" t="s">
        <v>609</v>
      </c>
      <c r="I5" s="30"/>
      <c r="J5" s="30"/>
      <c r="K5" s="30"/>
      <c r="L5" s="30"/>
      <c r="P5" s="28"/>
      <c r="Q5" s="28"/>
      <c r="R5" s="28"/>
      <c r="S5" s="28"/>
      <c r="T5" s="28"/>
      <c r="U5" s="28"/>
      <c r="V5" s="29" t="s">
        <v>609</v>
      </c>
      <c r="W5" s="30"/>
      <c r="X5" s="30"/>
      <c r="Y5" s="30"/>
      <c r="Z5" s="30"/>
    </row>
    <row r="6" ht="16.5" spans="2:26">
      <c r="B6" s="31" t="s">
        <v>610</v>
      </c>
      <c r="C6" s="31" t="s">
        <v>611</v>
      </c>
      <c r="D6" s="31" t="s">
        <v>612</v>
      </c>
      <c r="E6" s="29" t="s">
        <v>613</v>
      </c>
      <c r="F6" s="29" t="s">
        <v>614</v>
      </c>
      <c r="G6" s="29" t="s">
        <v>615</v>
      </c>
      <c r="H6" s="29" t="s">
        <v>616</v>
      </c>
      <c r="I6" s="29" t="s">
        <v>617</v>
      </c>
      <c r="J6" s="29" t="s">
        <v>618</v>
      </c>
      <c r="K6" s="29" t="s">
        <v>619</v>
      </c>
      <c r="L6" s="29" t="s">
        <v>620</v>
      </c>
      <c r="P6" s="31" t="s">
        <v>610</v>
      </c>
      <c r="Q6" s="31" t="s">
        <v>611</v>
      </c>
      <c r="R6" s="31" t="s">
        <v>612</v>
      </c>
      <c r="S6" s="29" t="s">
        <v>613</v>
      </c>
      <c r="T6" s="29" t="s">
        <v>614</v>
      </c>
      <c r="U6" s="29" t="s">
        <v>615</v>
      </c>
      <c r="V6" s="29" t="s">
        <v>616</v>
      </c>
      <c r="W6" s="29" t="s">
        <v>617</v>
      </c>
      <c r="X6" s="29" t="s">
        <v>618</v>
      </c>
      <c r="Y6" s="29" t="s">
        <v>619</v>
      </c>
      <c r="Z6" s="29" t="s">
        <v>620</v>
      </c>
    </row>
    <row r="7" ht="16.5" spans="2:26">
      <c r="B7" s="32">
        <v>1</v>
      </c>
      <c r="C7" s="32">
        <v>1</v>
      </c>
      <c r="D7" s="32" t="s">
        <v>202</v>
      </c>
      <c r="E7" s="32" t="s">
        <v>621</v>
      </c>
      <c r="F7" s="32">
        <v>1</v>
      </c>
      <c r="G7" s="32"/>
      <c r="H7" s="32" t="s">
        <v>622</v>
      </c>
      <c r="I7" s="32" t="s">
        <v>623</v>
      </c>
      <c r="J7" s="32">
        <v>5</v>
      </c>
      <c r="K7" s="32"/>
      <c r="L7" s="32" t="s">
        <v>624</v>
      </c>
      <c r="P7" s="32">
        <v>3</v>
      </c>
      <c r="Q7" s="32">
        <v>2</v>
      </c>
      <c r="R7" s="32" t="s">
        <v>96</v>
      </c>
      <c r="S7" s="32"/>
      <c r="T7" s="32">
        <v>0.05</v>
      </c>
      <c r="U7" s="32"/>
      <c r="V7" s="32" t="s">
        <v>625</v>
      </c>
      <c r="W7" s="32"/>
      <c r="X7" s="32">
        <v>5</v>
      </c>
      <c r="Y7" s="32"/>
      <c r="Z7" s="32"/>
    </row>
    <row r="8" ht="16.5" spans="2:26">
      <c r="B8" s="32">
        <v>2</v>
      </c>
      <c r="C8" s="32">
        <v>13</v>
      </c>
      <c r="D8" s="32" t="s">
        <v>434</v>
      </c>
      <c r="E8" s="32"/>
      <c r="F8" s="32">
        <v>2</v>
      </c>
      <c r="G8" s="32"/>
      <c r="H8" s="32" t="s">
        <v>626</v>
      </c>
      <c r="I8" s="32"/>
      <c r="J8" s="32">
        <v>7</v>
      </c>
      <c r="K8" s="32"/>
      <c r="L8" s="32"/>
      <c r="P8" s="32"/>
      <c r="Q8" s="32">
        <v>50</v>
      </c>
      <c r="R8" s="33" t="s">
        <v>315</v>
      </c>
      <c r="S8" s="32"/>
      <c r="T8" s="33">
        <v>0.1</v>
      </c>
      <c r="U8" s="33"/>
      <c r="V8" s="32"/>
      <c r="W8" s="33"/>
      <c r="X8" s="32"/>
      <c r="Y8" s="33"/>
      <c r="Z8" s="33"/>
    </row>
    <row r="9" ht="16.5" spans="2:26">
      <c r="B9" s="32">
        <v>3</v>
      </c>
      <c r="C9" s="32">
        <v>2</v>
      </c>
      <c r="D9" s="32" t="s">
        <v>96</v>
      </c>
      <c r="E9" s="32"/>
      <c r="F9" s="32">
        <v>0.05</v>
      </c>
      <c r="G9" s="32"/>
      <c r="H9" s="32" t="s">
        <v>625</v>
      </c>
      <c r="I9" s="32"/>
      <c r="J9" s="32">
        <v>5</v>
      </c>
      <c r="K9" s="32"/>
      <c r="L9" s="32"/>
      <c r="P9" s="32">
        <v>28</v>
      </c>
      <c r="Q9" s="32">
        <v>50001</v>
      </c>
      <c r="R9" s="32" t="s">
        <v>283</v>
      </c>
      <c r="S9" s="32"/>
      <c r="T9" s="32">
        <v>0.1</v>
      </c>
      <c r="U9" s="33"/>
      <c r="V9" s="33" t="s">
        <v>627</v>
      </c>
      <c r="W9" s="33"/>
      <c r="X9" s="33">
        <v>5</v>
      </c>
      <c r="Y9" s="33" t="s">
        <v>628</v>
      </c>
      <c r="Z9" s="33" t="s">
        <v>629</v>
      </c>
    </row>
    <row r="10" ht="16.5" spans="2:26">
      <c r="B10" s="32">
        <v>4</v>
      </c>
      <c r="C10" s="32">
        <v>44</v>
      </c>
      <c r="D10" s="32" t="s">
        <v>237</v>
      </c>
      <c r="E10" s="32"/>
      <c r="F10" s="32">
        <v>10</v>
      </c>
      <c r="G10" s="32"/>
      <c r="H10" s="32" t="s">
        <v>630</v>
      </c>
      <c r="I10" s="32" t="s">
        <v>631</v>
      </c>
      <c r="J10" s="32">
        <v>2</v>
      </c>
      <c r="K10" s="32"/>
      <c r="L10" s="34" t="s">
        <v>632</v>
      </c>
      <c r="P10" s="32"/>
      <c r="Q10" s="32">
        <v>5523001</v>
      </c>
      <c r="R10" s="33" t="s">
        <v>316</v>
      </c>
      <c r="S10" s="32"/>
      <c r="T10" s="33">
        <v>0.33</v>
      </c>
      <c r="U10" s="33"/>
      <c r="V10" s="32"/>
      <c r="W10" s="33"/>
      <c r="X10" s="32"/>
      <c r="Y10" s="33"/>
      <c r="Z10" s="33"/>
    </row>
    <row r="11" ht="16.5" spans="2:26">
      <c r="B11" s="32">
        <v>5</v>
      </c>
      <c r="C11" s="32">
        <v>20003</v>
      </c>
      <c r="D11" s="32" t="s">
        <v>633</v>
      </c>
      <c r="E11" s="32"/>
      <c r="F11" s="32">
        <v>30</v>
      </c>
      <c r="G11" s="32"/>
      <c r="H11" s="32"/>
      <c r="I11" s="32"/>
      <c r="J11" s="32"/>
      <c r="K11" s="32"/>
      <c r="L11" s="34"/>
      <c r="P11" s="32">
        <v>53</v>
      </c>
      <c r="Q11" s="32">
        <v>5525002</v>
      </c>
      <c r="R11" s="32" t="s">
        <v>311</v>
      </c>
      <c r="S11" s="32" t="s">
        <v>634</v>
      </c>
      <c r="T11" s="32">
        <v>0.33</v>
      </c>
      <c r="U11" s="32"/>
      <c r="V11" s="32" t="s">
        <v>635</v>
      </c>
      <c r="W11" s="32"/>
      <c r="X11" s="32"/>
      <c r="Y11" s="32"/>
      <c r="Z11" s="32"/>
    </row>
    <row r="12" ht="16.5" spans="2:26">
      <c r="B12" s="32">
        <v>6</v>
      </c>
      <c r="C12" s="32">
        <v>20033</v>
      </c>
      <c r="D12" s="32" t="s">
        <v>636</v>
      </c>
      <c r="E12" s="32"/>
      <c r="F12" s="32">
        <v>40</v>
      </c>
      <c r="G12" s="32"/>
      <c r="H12" s="32"/>
      <c r="I12" s="32"/>
      <c r="J12" s="32"/>
      <c r="K12" s="32"/>
      <c r="L12" s="32"/>
      <c r="P12" s="32"/>
      <c r="Q12" s="32">
        <v>47</v>
      </c>
      <c r="R12" s="33" t="s">
        <v>317</v>
      </c>
      <c r="S12" s="32"/>
      <c r="T12" s="33">
        <v>0.688</v>
      </c>
      <c r="U12" s="33"/>
      <c r="V12" s="32"/>
      <c r="W12" s="33"/>
      <c r="X12" s="32"/>
      <c r="Y12" s="33"/>
      <c r="Z12" s="33"/>
    </row>
    <row r="13" ht="16.5" spans="2:26">
      <c r="B13" s="32">
        <v>7</v>
      </c>
      <c r="C13" s="32">
        <v>5800004</v>
      </c>
      <c r="D13" s="32" t="s">
        <v>312</v>
      </c>
      <c r="E13" s="32"/>
      <c r="F13" s="32">
        <v>30</v>
      </c>
      <c r="G13" s="32"/>
      <c r="H13" s="32"/>
      <c r="I13" s="32"/>
      <c r="J13" s="32"/>
      <c r="K13" s="32"/>
      <c r="L13" s="32"/>
      <c r="P13" s="32">
        <v>1</v>
      </c>
      <c r="Q13" s="32">
        <v>1</v>
      </c>
      <c r="R13" s="32" t="s">
        <v>202</v>
      </c>
      <c r="S13" s="32" t="s">
        <v>621</v>
      </c>
      <c r="T13" s="32">
        <v>1</v>
      </c>
      <c r="U13" s="32"/>
      <c r="V13" s="32" t="s">
        <v>622</v>
      </c>
      <c r="W13" s="32" t="s">
        <v>623</v>
      </c>
      <c r="X13" s="32">
        <v>5</v>
      </c>
      <c r="Y13" s="32"/>
      <c r="Z13" s="32" t="s">
        <v>624</v>
      </c>
    </row>
    <row r="14" ht="16.5" spans="2:26">
      <c r="B14" s="32">
        <v>8</v>
      </c>
      <c r="C14" s="32">
        <v>5800005</v>
      </c>
      <c r="D14" s="32" t="s">
        <v>637</v>
      </c>
      <c r="E14" s="32"/>
      <c r="F14" s="32">
        <v>50</v>
      </c>
      <c r="G14" s="32"/>
      <c r="H14" s="32"/>
      <c r="I14" s="32"/>
      <c r="J14" s="32"/>
      <c r="K14" s="32"/>
      <c r="L14" s="32"/>
      <c r="P14" s="32">
        <v>13</v>
      </c>
      <c r="Q14" s="32">
        <v>5103001</v>
      </c>
      <c r="R14" s="32" t="s">
        <v>128</v>
      </c>
      <c r="S14" s="32" t="s">
        <v>638</v>
      </c>
      <c r="T14" s="32">
        <v>1</v>
      </c>
      <c r="U14" s="32"/>
      <c r="V14" s="32" t="s">
        <v>627</v>
      </c>
      <c r="W14" s="32"/>
      <c r="X14" s="32">
        <v>5</v>
      </c>
      <c r="Y14" s="32"/>
      <c r="Z14" s="32" t="s">
        <v>629</v>
      </c>
    </row>
    <row r="15" ht="16.5" spans="2:26">
      <c r="B15" s="32">
        <v>9</v>
      </c>
      <c r="C15" s="32">
        <v>20034</v>
      </c>
      <c r="D15" s="32" t="s">
        <v>639</v>
      </c>
      <c r="E15" s="32"/>
      <c r="F15" s="32">
        <v>250</v>
      </c>
      <c r="G15" s="32"/>
      <c r="H15" s="32"/>
      <c r="I15" s="32"/>
      <c r="J15" s="32"/>
      <c r="K15" s="32"/>
      <c r="L15" s="32"/>
      <c r="P15" s="32">
        <v>2</v>
      </c>
      <c r="Q15" s="32">
        <v>13</v>
      </c>
      <c r="R15" s="32" t="s">
        <v>434</v>
      </c>
      <c r="S15" s="32"/>
      <c r="T15" s="32">
        <v>2</v>
      </c>
      <c r="U15" s="32"/>
      <c r="V15" s="32" t="s">
        <v>626</v>
      </c>
      <c r="W15" s="32"/>
      <c r="X15" s="32">
        <v>7</v>
      </c>
      <c r="Y15" s="32"/>
      <c r="Z15" s="32"/>
    </row>
    <row r="16" ht="16.5" spans="2:26">
      <c r="B16" s="32">
        <v>10</v>
      </c>
      <c r="C16" s="32">
        <v>20035</v>
      </c>
      <c r="D16" s="32" t="s">
        <v>640</v>
      </c>
      <c r="E16" s="32"/>
      <c r="F16" s="32">
        <v>700</v>
      </c>
      <c r="G16" s="32"/>
      <c r="H16" s="32"/>
      <c r="I16" s="32"/>
      <c r="J16" s="32"/>
      <c r="K16" s="32"/>
      <c r="L16" s="32"/>
      <c r="P16" s="32">
        <v>12</v>
      </c>
      <c r="Q16" s="32">
        <v>5104001</v>
      </c>
      <c r="R16" s="32" t="s">
        <v>355</v>
      </c>
      <c r="S16" s="32"/>
      <c r="T16" s="32">
        <v>2</v>
      </c>
      <c r="U16" s="32"/>
      <c r="V16" s="32"/>
      <c r="W16" s="32"/>
      <c r="X16" s="32"/>
      <c r="Y16" s="32"/>
      <c r="Z16" s="32"/>
    </row>
    <row r="17" ht="16.5" spans="2:26">
      <c r="B17" s="32">
        <v>11</v>
      </c>
      <c r="C17" s="32">
        <v>28</v>
      </c>
      <c r="D17" s="32" t="s">
        <v>313</v>
      </c>
      <c r="E17" s="32"/>
      <c r="F17" s="32">
        <v>200</v>
      </c>
      <c r="G17" s="32"/>
      <c r="H17" s="32"/>
      <c r="I17" s="32"/>
      <c r="J17" s="32"/>
      <c r="K17" s="32"/>
      <c r="L17" s="32"/>
      <c r="P17" s="32">
        <v>27</v>
      </c>
      <c r="Q17" s="32">
        <v>50002</v>
      </c>
      <c r="R17" s="32" t="s">
        <v>129</v>
      </c>
      <c r="S17" s="32" t="s">
        <v>641</v>
      </c>
      <c r="T17" s="32">
        <v>3</v>
      </c>
      <c r="U17" s="33"/>
      <c r="V17" s="33" t="s">
        <v>627</v>
      </c>
      <c r="W17" s="33"/>
      <c r="X17" s="33">
        <v>8</v>
      </c>
      <c r="Y17" s="33"/>
      <c r="Z17" s="33" t="s">
        <v>642</v>
      </c>
    </row>
    <row r="18" ht="16.5" spans="2:26">
      <c r="B18" s="32">
        <v>12</v>
      </c>
      <c r="C18" s="32">
        <v>5104001</v>
      </c>
      <c r="D18" s="32" t="s">
        <v>355</v>
      </c>
      <c r="E18" s="32"/>
      <c r="F18" s="32">
        <v>2</v>
      </c>
      <c r="G18" s="32"/>
      <c r="H18" s="32"/>
      <c r="I18" s="32"/>
      <c r="J18" s="32"/>
      <c r="K18" s="32"/>
      <c r="L18" s="32"/>
      <c r="P18" s="32">
        <v>50</v>
      </c>
      <c r="Q18" s="32">
        <v>5203001</v>
      </c>
      <c r="R18" s="32" t="s">
        <v>131</v>
      </c>
      <c r="S18" s="32" t="s">
        <v>643</v>
      </c>
      <c r="T18" s="32">
        <v>3</v>
      </c>
      <c r="U18" s="32"/>
      <c r="V18" s="32" t="s">
        <v>627</v>
      </c>
      <c r="W18" s="32"/>
      <c r="X18" s="32">
        <v>6</v>
      </c>
      <c r="Y18" s="32" t="s">
        <v>644</v>
      </c>
      <c r="Z18" s="32" t="s">
        <v>624</v>
      </c>
    </row>
    <row r="19" ht="16.5" spans="2:26">
      <c r="B19" s="32">
        <v>13</v>
      </c>
      <c r="C19" s="32">
        <v>5103001</v>
      </c>
      <c r="D19" s="32" t="s">
        <v>128</v>
      </c>
      <c r="E19" s="32" t="s">
        <v>638</v>
      </c>
      <c r="F19" s="32">
        <v>1</v>
      </c>
      <c r="G19" s="32"/>
      <c r="H19" s="32" t="s">
        <v>627</v>
      </c>
      <c r="I19" s="32"/>
      <c r="J19" s="32">
        <v>5</v>
      </c>
      <c r="K19" s="32"/>
      <c r="L19" s="32" t="s">
        <v>629</v>
      </c>
      <c r="P19" s="32">
        <v>40</v>
      </c>
      <c r="Q19" s="32">
        <v>5303001</v>
      </c>
      <c r="R19" s="32" t="s">
        <v>132</v>
      </c>
      <c r="S19" s="32"/>
      <c r="T19" s="32">
        <v>5</v>
      </c>
      <c r="U19" s="32"/>
      <c r="V19" s="32" t="s">
        <v>627</v>
      </c>
      <c r="W19" s="32"/>
      <c r="X19" s="32">
        <v>8</v>
      </c>
      <c r="Y19" s="32" t="s">
        <v>645</v>
      </c>
      <c r="Z19" s="32"/>
    </row>
    <row r="20" ht="16.5" spans="2:26">
      <c r="B20" s="32">
        <v>14</v>
      </c>
      <c r="C20" s="32">
        <v>11</v>
      </c>
      <c r="D20" s="32" t="s">
        <v>130</v>
      </c>
      <c r="E20" s="32"/>
      <c r="F20" s="32">
        <v>30</v>
      </c>
      <c r="G20" s="32"/>
      <c r="H20" s="32" t="s">
        <v>646</v>
      </c>
      <c r="I20" s="32" t="s">
        <v>647</v>
      </c>
      <c r="J20" s="32">
        <v>6</v>
      </c>
      <c r="K20" s="32"/>
      <c r="L20" s="34" t="s">
        <v>648</v>
      </c>
      <c r="P20" s="32">
        <v>52</v>
      </c>
      <c r="Q20" s="32">
        <v>5204001</v>
      </c>
      <c r="R20" s="32" t="s">
        <v>214</v>
      </c>
      <c r="S20" s="32"/>
      <c r="T20" s="32">
        <v>5</v>
      </c>
      <c r="U20" s="32"/>
      <c r="V20" s="32" t="s">
        <v>627</v>
      </c>
      <c r="W20" s="32"/>
      <c r="X20" s="32"/>
      <c r="Y20" s="32"/>
      <c r="Z20" s="32" t="s">
        <v>649</v>
      </c>
    </row>
    <row r="21" ht="16.5" spans="2:26">
      <c r="B21" s="32">
        <v>15</v>
      </c>
      <c r="C21" s="32">
        <v>35</v>
      </c>
      <c r="D21" s="32" t="s">
        <v>240</v>
      </c>
      <c r="E21" s="32"/>
      <c r="F21" s="32">
        <v>100</v>
      </c>
      <c r="G21" s="32"/>
      <c r="H21" s="32" t="s">
        <v>650</v>
      </c>
      <c r="I21" s="32"/>
      <c r="J21" s="32"/>
      <c r="K21" s="32" t="s">
        <v>651</v>
      </c>
      <c r="L21" s="32"/>
      <c r="P21" s="32">
        <v>22</v>
      </c>
      <c r="Q21" s="33">
        <v>13101001</v>
      </c>
      <c r="R21" s="32" t="s">
        <v>536</v>
      </c>
      <c r="S21" s="33"/>
      <c r="T21" s="33">
        <v>6</v>
      </c>
      <c r="U21" s="33"/>
      <c r="V21" s="32" t="s">
        <v>652</v>
      </c>
      <c r="W21" s="33"/>
      <c r="X21" s="32">
        <v>8</v>
      </c>
      <c r="Y21" s="33"/>
      <c r="Z21" s="33"/>
    </row>
    <row r="22" ht="16.5" spans="2:26">
      <c r="B22" s="32">
        <v>16</v>
      </c>
      <c r="C22" s="32"/>
      <c r="D22" s="32" t="s">
        <v>653</v>
      </c>
      <c r="E22" s="32"/>
      <c r="F22" s="32">
        <v>100</v>
      </c>
      <c r="G22" s="32"/>
      <c r="H22" s="32" t="s">
        <v>647</v>
      </c>
      <c r="I22" s="32"/>
      <c r="J22" s="32">
        <v>10</v>
      </c>
      <c r="K22" s="32" t="s">
        <v>654</v>
      </c>
      <c r="L22" s="34" t="s">
        <v>655</v>
      </c>
      <c r="P22" s="32">
        <v>4</v>
      </c>
      <c r="Q22" s="32">
        <v>44</v>
      </c>
      <c r="R22" s="32" t="s">
        <v>237</v>
      </c>
      <c r="S22" s="32"/>
      <c r="T22" s="32">
        <v>10</v>
      </c>
      <c r="U22" s="32"/>
      <c r="V22" s="32" t="s">
        <v>630</v>
      </c>
      <c r="W22" s="32" t="s">
        <v>631</v>
      </c>
      <c r="X22" s="32">
        <v>2</v>
      </c>
      <c r="Y22" s="32"/>
      <c r="Z22" s="34" t="s">
        <v>632</v>
      </c>
    </row>
    <row r="23" ht="16.5" spans="2:26">
      <c r="B23" s="32">
        <v>17</v>
      </c>
      <c r="C23" s="32">
        <v>1310100</v>
      </c>
      <c r="D23" s="32" t="s">
        <v>656</v>
      </c>
      <c r="E23" s="32"/>
      <c r="F23" s="32">
        <v>60</v>
      </c>
      <c r="G23" s="32"/>
      <c r="H23" s="32" t="s">
        <v>652</v>
      </c>
      <c r="I23" s="32"/>
      <c r="J23" s="32">
        <v>8</v>
      </c>
      <c r="K23" s="32"/>
      <c r="L23" s="32"/>
      <c r="P23" s="32">
        <v>23</v>
      </c>
      <c r="Q23" s="33">
        <v>14202001</v>
      </c>
      <c r="R23" s="33" t="s">
        <v>544</v>
      </c>
      <c r="S23" s="33"/>
      <c r="T23" s="33">
        <v>12</v>
      </c>
      <c r="U23" s="33"/>
      <c r="V23" s="32" t="s">
        <v>652</v>
      </c>
      <c r="W23" s="33"/>
      <c r="X23" s="32">
        <v>8</v>
      </c>
      <c r="Y23" s="33"/>
      <c r="Z23" s="33"/>
    </row>
    <row r="24" ht="16.5" spans="2:26">
      <c r="B24" s="32">
        <v>18</v>
      </c>
      <c r="C24" s="32">
        <v>1420200</v>
      </c>
      <c r="D24" s="33" t="s">
        <v>657</v>
      </c>
      <c r="E24" s="32"/>
      <c r="F24" s="32">
        <v>120</v>
      </c>
      <c r="G24" s="32"/>
      <c r="H24" s="32" t="s">
        <v>652</v>
      </c>
      <c r="I24" s="32"/>
      <c r="J24" s="32">
        <v>8</v>
      </c>
      <c r="K24" s="32"/>
      <c r="L24" s="32"/>
      <c r="P24" s="32">
        <v>29</v>
      </c>
      <c r="Q24" s="32"/>
      <c r="R24" s="32" t="s">
        <v>658</v>
      </c>
      <c r="S24" s="32"/>
      <c r="T24" s="35">
        <v>15</v>
      </c>
      <c r="U24" s="33"/>
      <c r="V24" s="33" t="s">
        <v>627</v>
      </c>
      <c r="W24" s="33"/>
      <c r="X24" s="33"/>
      <c r="Y24" s="33"/>
      <c r="Z24" s="33"/>
    </row>
    <row r="25" ht="16.5" spans="2:26">
      <c r="B25" s="32">
        <v>19</v>
      </c>
      <c r="C25" s="32">
        <v>1130100</v>
      </c>
      <c r="D25" s="33" t="s">
        <v>659</v>
      </c>
      <c r="E25" s="32"/>
      <c r="F25" s="32">
        <v>250</v>
      </c>
      <c r="G25" s="32"/>
      <c r="H25" s="32" t="s">
        <v>652</v>
      </c>
      <c r="I25" s="32"/>
      <c r="J25" s="32">
        <v>8</v>
      </c>
      <c r="K25" s="32"/>
      <c r="L25" s="32"/>
      <c r="P25" s="32"/>
      <c r="Q25" s="32"/>
      <c r="R25" s="32" t="s">
        <v>213</v>
      </c>
      <c r="S25" s="32"/>
      <c r="T25" s="32">
        <v>15</v>
      </c>
      <c r="U25" s="33"/>
      <c r="V25" s="33" t="s">
        <v>627</v>
      </c>
      <c r="W25" s="33"/>
      <c r="X25" s="33"/>
      <c r="Y25" s="33"/>
      <c r="Z25" s="33"/>
    </row>
    <row r="26" ht="16.5" spans="2:26">
      <c r="B26" s="32">
        <v>20</v>
      </c>
      <c r="C26" s="33"/>
      <c r="D26" s="33" t="s">
        <v>660</v>
      </c>
      <c r="E26" s="33"/>
      <c r="F26" s="32">
        <v>1000</v>
      </c>
      <c r="G26" s="32"/>
      <c r="H26" s="32" t="s">
        <v>652</v>
      </c>
      <c r="I26" s="33"/>
      <c r="J26" s="32">
        <v>8</v>
      </c>
      <c r="K26" s="33"/>
      <c r="L26" s="33"/>
      <c r="P26" s="32">
        <v>42</v>
      </c>
      <c r="Q26" s="32">
        <v>5301000</v>
      </c>
      <c r="R26" s="32" t="s">
        <v>133</v>
      </c>
      <c r="S26" s="32"/>
      <c r="T26" s="32">
        <v>16</v>
      </c>
      <c r="U26" s="32"/>
      <c r="V26" s="32" t="s">
        <v>627</v>
      </c>
      <c r="W26" s="32"/>
      <c r="X26" s="32"/>
      <c r="Y26" s="32" t="s">
        <v>661</v>
      </c>
      <c r="Z26" s="32"/>
    </row>
    <row r="27" ht="16.5" spans="2:26">
      <c r="B27" s="32">
        <v>21</v>
      </c>
      <c r="C27" s="33"/>
      <c r="D27" s="33" t="s">
        <v>662</v>
      </c>
      <c r="E27" s="33"/>
      <c r="F27" s="32">
        <v>320</v>
      </c>
      <c r="G27" s="32"/>
      <c r="H27" s="32" t="s">
        <v>652</v>
      </c>
      <c r="I27" s="33"/>
      <c r="J27" s="32">
        <v>8</v>
      </c>
      <c r="K27" s="33"/>
      <c r="L27" s="33"/>
      <c r="P27" s="32">
        <v>49</v>
      </c>
      <c r="Q27" s="32">
        <v>5401000</v>
      </c>
      <c r="R27" s="32" t="s">
        <v>134</v>
      </c>
      <c r="S27" s="32"/>
      <c r="T27" s="32">
        <v>17.728</v>
      </c>
      <c r="U27" s="32"/>
      <c r="V27" s="32"/>
      <c r="W27" s="32"/>
      <c r="X27" s="32"/>
      <c r="Y27" s="32"/>
      <c r="Z27" s="32"/>
    </row>
    <row r="28" ht="16.5" spans="2:26">
      <c r="B28" s="32">
        <v>22</v>
      </c>
      <c r="C28" s="33">
        <v>13101001</v>
      </c>
      <c r="D28" s="32" t="s">
        <v>536</v>
      </c>
      <c r="E28" s="33"/>
      <c r="F28" s="33">
        <v>6</v>
      </c>
      <c r="G28" s="33"/>
      <c r="H28" s="32" t="s">
        <v>652</v>
      </c>
      <c r="I28" s="33"/>
      <c r="J28" s="32">
        <v>8</v>
      </c>
      <c r="K28" s="33"/>
      <c r="L28" s="33"/>
      <c r="P28" s="32">
        <v>17</v>
      </c>
      <c r="Q28" s="32">
        <v>1310100</v>
      </c>
      <c r="R28" s="32" t="s">
        <v>656</v>
      </c>
      <c r="S28" s="32"/>
      <c r="T28" s="32">
        <v>60</v>
      </c>
      <c r="U28" s="32"/>
      <c r="V28" s="32" t="s">
        <v>652</v>
      </c>
      <c r="W28" s="32"/>
      <c r="X28" s="32">
        <v>8</v>
      </c>
      <c r="Y28" s="32"/>
      <c r="Z28" s="32"/>
    </row>
    <row r="29" ht="16.5" spans="2:26">
      <c r="B29" s="32">
        <v>23</v>
      </c>
      <c r="C29" s="33">
        <v>14202001</v>
      </c>
      <c r="D29" s="33" t="s">
        <v>544</v>
      </c>
      <c r="E29" s="33"/>
      <c r="F29" s="33">
        <v>12</v>
      </c>
      <c r="G29" s="33"/>
      <c r="H29" s="32" t="s">
        <v>652</v>
      </c>
      <c r="I29" s="33"/>
      <c r="J29" s="32">
        <v>8</v>
      </c>
      <c r="K29" s="33"/>
      <c r="L29" s="33"/>
      <c r="P29" s="32">
        <v>24</v>
      </c>
      <c r="Q29" s="32">
        <v>11301001</v>
      </c>
      <c r="R29" s="33" t="s">
        <v>575</v>
      </c>
      <c r="S29" s="32"/>
      <c r="T29" s="33">
        <v>25</v>
      </c>
      <c r="U29" s="32"/>
      <c r="V29" s="32" t="s">
        <v>652</v>
      </c>
      <c r="W29" s="32"/>
      <c r="X29" s="32">
        <v>8</v>
      </c>
      <c r="Y29" s="32"/>
      <c r="Z29" s="32"/>
    </row>
    <row r="30" ht="16.5" spans="2:26">
      <c r="B30" s="32">
        <v>24</v>
      </c>
      <c r="C30" s="32">
        <v>11301001</v>
      </c>
      <c r="D30" s="33" t="s">
        <v>575</v>
      </c>
      <c r="E30" s="32"/>
      <c r="F30" s="33">
        <v>25</v>
      </c>
      <c r="G30" s="32"/>
      <c r="H30" s="32" t="s">
        <v>652</v>
      </c>
      <c r="I30" s="32"/>
      <c r="J30" s="32">
        <v>8</v>
      </c>
      <c r="K30" s="32"/>
      <c r="L30" s="32"/>
      <c r="P30" s="32">
        <v>5</v>
      </c>
      <c r="Q30" s="32">
        <v>20003</v>
      </c>
      <c r="R30" s="32" t="s">
        <v>633</v>
      </c>
      <c r="S30" s="32"/>
      <c r="T30" s="32">
        <v>30</v>
      </c>
      <c r="U30" s="32"/>
      <c r="V30" s="32"/>
      <c r="W30" s="32"/>
      <c r="X30" s="32"/>
      <c r="Y30" s="32"/>
      <c r="Z30" s="34"/>
    </row>
    <row r="31" ht="16.5" spans="2:26">
      <c r="B31" s="32">
        <v>25</v>
      </c>
      <c r="C31" s="32"/>
      <c r="D31" s="33" t="s">
        <v>663</v>
      </c>
      <c r="E31" s="32"/>
      <c r="F31" s="33">
        <v>100</v>
      </c>
      <c r="G31" s="33"/>
      <c r="H31" s="32" t="s">
        <v>652</v>
      </c>
      <c r="I31" s="33"/>
      <c r="J31" s="32">
        <v>8</v>
      </c>
      <c r="K31" s="33"/>
      <c r="L31" s="33"/>
      <c r="P31" s="32">
        <v>7</v>
      </c>
      <c r="Q31" s="32">
        <v>5800004</v>
      </c>
      <c r="R31" s="32" t="s">
        <v>312</v>
      </c>
      <c r="S31" s="32"/>
      <c r="T31" s="32">
        <v>30</v>
      </c>
      <c r="U31" s="32"/>
      <c r="V31" s="32"/>
      <c r="W31" s="32"/>
      <c r="X31" s="32"/>
      <c r="Y31" s="32"/>
      <c r="Z31" s="32"/>
    </row>
    <row r="32" ht="16.5" spans="2:26">
      <c r="B32" s="32">
        <v>26</v>
      </c>
      <c r="C32" s="32"/>
      <c r="D32" s="33" t="s">
        <v>664</v>
      </c>
      <c r="E32" s="32"/>
      <c r="F32" s="33">
        <v>96</v>
      </c>
      <c r="G32" s="33"/>
      <c r="H32" s="32" t="s">
        <v>652</v>
      </c>
      <c r="I32" s="33"/>
      <c r="J32" s="32">
        <v>8</v>
      </c>
      <c r="K32" s="33"/>
      <c r="L32" s="33"/>
      <c r="P32" s="32">
        <v>14</v>
      </c>
      <c r="Q32" s="32">
        <v>11</v>
      </c>
      <c r="R32" s="32" t="s">
        <v>130</v>
      </c>
      <c r="S32" s="32"/>
      <c r="T32" s="32">
        <v>30</v>
      </c>
      <c r="U32" s="32"/>
      <c r="V32" s="32" t="s">
        <v>646</v>
      </c>
      <c r="W32" s="32" t="s">
        <v>647</v>
      </c>
      <c r="X32" s="32">
        <v>6</v>
      </c>
      <c r="Y32" s="32"/>
      <c r="Z32" s="34" t="s">
        <v>648</v>
      </c>
    </row>
    <row r="33" ht="16.5" spans="2:26">
      <c r="B33" s="32"/>
      <c r="C33" s="32">
        <v>5401019</v>
      </c>
      <c r="D33" s="33" t="s">
        <v>134</v>
      </c>
      <c r="E33" s="32"/>
      <c r="F33" s="33">
        <v>17.728</v>
      </c>
      <c r="G33" s="33"/>
      <c r="H33" s="32"/>
      <c r="I33" s="33"/>
      <c r="J33" s="32"/>
      <c r="K33" s="33"/>
      <c r="L33" s="33"/>
      <c r="P33" s="32">
        <v>6</v>
      </c>
      <c r="Q33" s="32">
        <v>20033</v>
      </c>
      <c r="R33" s="32" t="s">
        <v>636</v>
      </c>
      <c r="S33" s="32"/>
      <c r="T33" s="32">
        <v>40</v>
      </c>
      <c r="U33" s="32"/>
      <c r="V33" s="32"/>
      <c r="W33" s="32"/>
      <c r="X33" s="32"/>
      <c r="Y33" s="32"/>
      <c r="Z33" s="32"/>
    </row>
    <row r="34" ht="16.5" spans="2:26">
      <c r="B34" s="32"/>
      <c r="C34" s="32">
        <v>50</v>
      </c>
      <c r="D34" s="33" t="s">
        <v>315</v>
      </c>
      <c r="E34" s="32"/>
      <c r="F34" s="33">
        <v>0.1</v>
      </c>
      <c r="G34" s="33"/>
      <c r="H34" s="32"/>
      <c r="I34" s="33"/>
      <c r="J34" s="32"/>
      <c r="K34" s="33"/>
      <c r="L34" s="33"/>
      <c r="P34" s="32">
        <v>18</v>
      </c>
      <c r="Q34" s="32">
        <v>1420200</v>
      </c>
      <c r="R34" s="33" t="s">
        <v>657</v>
      </c>
      <c r="S34" s="32"/>
      <c r="T34" s="32">
        <v>120</v>
      </c>
      <c r="U34" s="32"/>
      <c r="V34" s="32" t="s">
        <v>652</v>
      </c>
      <c r="W34" s="32"/>
      <c r="X34" s="32">
        <v>8</v>
      </c>
      <c r="Y34" s="32"/>
      <c r="Z34" s="32"/>
    </row>
    <row r="35" ht="16.5" spans="2:26">
      <c r="B35" s="32"/>
      <c r="C35" s="32">
        <v>5523001</v>
      </c>
      <c r="D35" s="33" t="s">
        <v>316</v>
      </c>
      <c r="E35" s="32"/>
      <c r="F35" s="33">
        <v>0.33</v>
      </c>
      <c r="G35" s="33"/>
      <c r="H35" s="32"/>
      <c r="I35" s="33"/>
      <c r="J35" s="32"/>
      <c r="K35" s="33"/>
      <c r="L35" s="33"/>
      <c r="P35" s="32">
        <v>25</v>
      </c>
      <c r="Q35" s="32"/>
      <c r="R35" s="33" t="s">
        <v>663</v>
      </c>
      <c r="S35" s="32"/>
      <c r="T35" s="33">
        <v>100</v>
      </c>
      <c r="U35" s="33"/>
      <c r="V35" s="32" t="s">
        <v>652</v>
      </c>
      <c r="W35" s="33"/>
      <c r="X35" s="32">
        <v>8</v>
      </c>
      <c r="Y35" s="33"/>
      <c r="Z35" s="33"/>
    </row>
    <row r="36" ht="16.5" spans="2:26">
      <c r="B36" s="32"/>
      <c r="C36" s="32">
        <v>47</v>
      </c>
      <c r="D36" s="33" t="s">
        <v>317</v>
      </c>
      <c r="E36" s="32"/>
      <c r="F36" s="33">
        <v>0.688</v>
      </c>
      <c r="G36" s="33"/>
      <c r="H36" s="32"/>
      <c r="I36" s="33"/>
      <c r="J36" s="32"/>
      <c r="K36" s="33"/>
      <c r="L36" s="33"/>
      <c r="P36" s="32">
        <v>8</v>
      </c>
      <c r="Q36" s="32">
        <v>5800005</v>
      </c>
      <c r="R36" s="32" t="s">
        <v>637</v>
      </c>
      <c r="S36" s="32"/>
      <c r="T36" s="32">
        <v>50</v>
      </c>
      <c r="U36" s="32"/>
      <c r="V36" s="32"/>
      <c r="W36" s="32"/>
      <c r="X36" s="32"/>
      <c r="Y36" s="32"/>
      <c r="Z36" s="32"/>
    </row>
    <row r="37" ht="16.5" spans="2:26">
      <c r="B37" s="32"/>
      <c r="C37" s="32"/>
      <c r="D37" s="33"/>
      <c r="E37" s="32"/>
      <c r="F37" s="33"/>
      <c r="G37" s="33"/>
      <c r="H37" s="32"/>
      <c r="I37" s="33"/>
      <c r="J37" s="32"/>
      <c r="K37" s="33"/>
      <c r="L37" s="33"/>
      <c r="P37" s="32">
        <v>30</v>
      </c>
      <c r="Q37" s="32"/>
      <c r="R37" s="32" t="s">
        <v>212</v>
      </c>
      <c r="S37" s="32"/>
      <c r="T37" s="35">
        <v>50</v>
      </c>
      <c r="U37" s="33"/>
      <c r="V37" s="33" t="s">
        <v>627</v>
      </c>
      <c r="W37" s="33"/>
      <c r="X37" s="33"/>
      <c r="Y37" s="33"/>
      <c r="Z37" s="33"/>
    </row>
    <row r="38" ht="16.5" spans="2:26">
      <c r="B38" s="32"/>
      <c r="C38" s="32"/>
      <c r="D38" s="33"/>
      <c r="E38" s="32"/>
      <c r="F38" s="32"/>
      <c r="G38" s="33"/>
      <c r="H38" s="33"/>
      <c r="I38" s="33"/>
      <c r="J38" s="33"/>
      <c r="K38" s="33"/>
      <c r="L38" s="33"/>
      <c r="P38" s="32">
        <v>38</v>
      </c>
      <c r="Q38" s="32">
        <v>9</v>
      </c>
      <c r="R38" s="36" t="s">
        <v>203</v>
      </c>
      <c r="S38" s="32" t="s">
        <v>665</v>
      </c>
      <c r="T38" s="32">
        <v>50</v>
      </c>
      <c r="U38" s="32"/>
      <c r="V38" s="32" t="s">
        <v>647</v>
      </c>
      <c r="W38" s="32"/>
      <c r="X38" s="32"/>
      <c r="Y38" s="32" t="s">
        <v>666</v>
      </c>
      <c r="Z38" s="32"/>
    </row>
    <row r="39" ht="16.5" spans="2:26">
      <c r="B39" s="32">
        <v>27</v>
      </c>
      <c r="C39" s="32">
        <v>50002</v>
      </c>
      <c r="D39" s="32" t="s">
        <v>129</v>
      </c>
      <c r="E39" s="32" t="s">
        <v>641</v>
      </c>
      <c r="F39" s="32">
        <v>3</v>
      </c>
      <c r="G39" s="33"/>
      <c r="H39" s="33" t="s">
        <v>627</v>
      </c>
      <c r="I39" s="33"/>
      <c r="J39" s="33">
        <v>8</v>
      </c>
      <c r="K39" s="33"/>
      <c r="L39" s="33" t="s">
        <v>642</v>
      </c>
      <c r="P39" s="32">
        <v>41</v>
      </c>
      <c r="Q39" s="32">
        <v>5305001</v>
      </c>
      <c r="R39" s="32" t="s">
        <v>250</v>
      </c>
      <c r="S39" s="32"/>
      <c r="T39" s="32">
        <v>60</v>
      </c>
      <c r="U39" s="32"/>
      <c r="V39" s="32" t="s">
        <v>647</v>
      </c>
      <c r="W39" s="32"/>
      <c r="X39" s="32">
        <v>5</v>
      </c>
      <c r="Y39" s="32" t="s">
        <v>667</v>
      </c>
      <c r="Z39" s="32" t="s">
        <v>668</v>
      </c>
    </row>
    <row r="40" ht="16.5" spans="2:26">
      <c r="B40" s="32">
        <v>28</v>
      </c>
      <c r="C40" s="32">
        <v>50001</v>
      </c>
      <c r="D40" s="32" t="s">
        <v>283</v>
      </c>
      <c r="E40" s="32"/>
      <c r="F40" s="32">
        <v>0.1</v>
      </c>
      <c r="G40" s="33"/>
      <c r="H40" s="33" t="s">
        <v>627</v>
      </c>
      <c r="I40" s="33"/>
      <c r="J40" s="33">
        <v>5</v>
      </c>
      <c r="K40" s="33" t="s">
        <v>628</v>
      </c>
      <c r="L40" s="33" t="s">
        <v>629</v>
      </c>
      <c r="P40" s="32">
        <v>43</v>
      </c>
      <c r="Q40" s="32">
        <v>5302000</v>
      </c>
      <c r="R40" s="32" t="s">
        <v>669</v>
      </c>
      <c r="S40" s="32"/>
      <c r="T40" s="32">
        <v>64</v>
      </c>
      <c r="U40" s="32"/>
      <c r="V40" s="32" t="s">
        <v>627</v>
      </c>
      <c r="W40" s="32"/>
      <c r="X40" s="32"/>
      <c r="Y40" s="32" t="s">
        <v>670</v>
      </c>
      <c r="Z40" s="32"/>
    </row>
    <row r="41" ht="16.5" spans="2:26">
      <c r="B41" s="32">
        <v>29</v>
      </c>
      <c r="C41" s="32"/>
      <c r="D41" s="32" t="s">
        <v>658</v>
      </c>
      <c r="E41" s="32"/>
      <c r="F41" s="35">
        <v>15</v>
      </c>
      <c r="G41" s="33"/>
      <c r="H41" s="33" t="s">
        <v>627</v>
      </c>
      <c r="I41" s="33"/>
      <c r="J41" s="33"/>
      <c r="K41" s="33"/>
      <c r="L41" s="33"/>
      <c r="P41" s="32">
        <v>19</v>
      </c>
      <c r="Q41" s="32">
        <v>1130100</v>
      </c>
      <c r="R41" s="33" t="s">
        <v>659</v>
      </c>
      <c r="S41" s="32"/>
      <c r="T41" s="32">
        <v>250</v>
      </c>
      <c r="U41" s="32"/>
      <c r="V41" s="32" t="s">
        <v>652</v>
      </c>
      <c r="W41" s="32"/>
      <c r="X41" s="32">
        <v>8</v>
      </c>
      <c r="Y41" s="32"/>
      <c r="Z41" s="32"/>
    </row>
    <row r="42" ht="16.5" spans="2:26">
      <c r="B42" s="32">
        <v>30</v>
      </c>
      <c r="C42" s="32"/>
      <c r="D42" s="32" t="s">
        <v>212</v>
      </c>
      <c r="E42" s="32"/>
      <c r="F42" s="35">
        <v>50</v>
      </c>
      <c r="G42" s="33"/>
      <c r="H42" s="33" t="s">
        <v>627</v>
      </c>
      <c r="I42" s="33"/>
      <c r="J42" s="33"/>
      <c r="K42" s="33"/>
      <c r="L42" s="33"/>
      <c r="P42" s="32">
        <v>26</v>
      </c>
      <c r="Q42" s="32"/>
      <c r="R42" s="33" t="s">
        <v>664</v>
      </c>
      <c r="S42" s="32"/>
      <c r="T42" s="33">
        <v>96</v>
      </c>
      <c r="U42" s="33"/>
      <c r="V42" s="32" t="s">
        <v>652</v>
      </c>
      <c r="W42" s="33"/>
      <c r="X42" s="32">
        <v>8</v>
      </c>
      <c r="Y42" s="33"/>
      <c r="Z42" s="33"/>
    </row>
    <row r="43" ht="16.5" spans="2:26">
      <c r="B43" s="32"/>
      <c r="C43" s="32"/>
      <c r="D43" s="32" t="s">
        <v>213</v>
      </c>
      <c r="E43" s="32"/>
      <c r="F43" s="32">
        <v>15</v>
      </c>
      <c r="G43" s="33"/>
      <c r="H43" s="33" t="s">
        <v>627</v>
      </c>
      <c r="I43" s="33"/>
      <c r="J43" s="33"/>
      <c r="K43" s="33"/>
      <c r="L43" s="33"/>
      <c r="P43" s="32">
        <v>15</v>
      </c>
      <c r="Q43" s="32">
        <v>35</v>
      </c>
      <c r="R43" s="32" t="s">
        <v>240</v>
      </c>
      <c r="S43" s="32"/>
      <c r="T43" s="32">
        <v>100</v>
      </c>
      <c r="U43" s="32"/>
      <c r="V43" s="32" t="s">
        <v>650</v>
      </c>
      <c r="W43" s="32"/>
      <c r="X43" s="32"/>
      <c r="Y43" s="32" t="s">
        <v>651</v>
      </c>
      <c r="Z43" s="32"/>
    </row>
    <row r="44" ht="16.5" spans="2:26">
      <c r="B44" s="32">
        <v>31</v>
      </c>
      <c r="C44" s="32"/>
      <c r="D44" s="32" t="s">
        <v>217</v>
      </c>
      <c r="E44" s="32"/>
      <c r="F44" s="32"/>
      <c r="G44" s="33"/>
      <c r="H44" s="33" t="s">
        <v>627</v>
      </c>
      <c r="I44" s="33"/>
      <c r="J44" s="33"/>
      <c r="K44" s="33"/>
      <c r="L44" s="33"/>
      <c r="P44" s="32">
        <v>53</v>
      </c>
      <c r="Q44" s="32"/>
      <c r="R44" s="32" t="s">
        <v>671</v>
      </c>
      <c r="S44" s="32"/>
      <c r="T44" s="32">
        <v>100</v>
      </c>
      <c r="U44" s="32"/>
      <c r="V44" s="32" t="s">
        <v>672</v>
      </c>
      <c r="W44" s="32"/>
      <c r="X44" s="32"/>
      <c r="Y44" s="32"/>
      <c r="Z44" s="32"/>
    </row>
    <row r="45" ht="16.5" spans="2:26">
      <c r="B45" s="32">
        <v>32</v>
      </c>
      <c r="C45" s="32"/>
      <c r="D45" s="32" t="s">
        <v>218</v>
      </c>
      <c r="E45" s="32"/>
      <c r="F45" s="32"/>
      <c r="G45" s="33"/>
      <c r="H45" s="33" t="s">
        <v>627</v>
      </c>
      <c r="I45" s="33"/>
      <c r="J45" s="33"/>
      <c r="K45" s="33"/>
      <c r="L45" s="33"/>
      <c r="P45" s="32">
        <v>16</v>
      </c>
      <c r="Q45" s="32"/>
      <c r="R45" s="32" t="s">
        <v>653</v>
      </c>
      <c r="S45" s="32"/>
      <c r="T45" s="32">
        <v>100</v>
      </c>
      <c r="U45" s="32"/>
      <c r="V45" s="32" t="s">
        <v>647</v>
      </c>
      <c r="W45" s="32"/>
      <c r="X45" s="32">
        <v>10</v>
      </c>
      <c r="Y45" s="32" t="s">
        <v>654</v>
      </c>
      <c r="Z45" s="34" t="s">
        <v>655</v>
      </c>
    </row>
    <row r="46" ht="16.5" spans="2:26">
      <c r="B46" s="32">
        <v>33</v>
      </c>
      <c r="C46" s="32"/>
      <c r="D46" s="32" t="s">
        <v>219</v>
      </c>
      <c r="E46" s="32"/>
      <c r="F46" s="32"/>
      <c r="G46" s="33"/>
      <c r="H46" s="33" t="s">
        <v>627</v>
      </c>
      <c r="I46" s="33"/>
      <c r="J46" s="33"/>
      <c r="K46" s="33"/>
      <c r="L46" s="33"/>
      <c r="P46" s="32">
        <v>20</v>
      </c>
      <c r="Q46" s="33"/>
      <c r="R46" s="33" t="s">
        <v>660</v>
      </c>
      <c r="S46" s="33"/>
      <c r="T46" s="32">
        <v>1000</v>
      </c>
      <c r="U46" s="32"/>
      <c r="V46" s="32" t="s">
        <v>652</v>
      </c>
      <c r="W46" s="33"/>
      <c r="X46" s="32">
        <v>8</v>
      </c>
      <c r="Y46" s="33"/>
      <c r="Z46" s="33"/>
    </row>
    <row r="47" ht="16.5" spans="2:26">
      <c r="B47" s="32">
        <v>34</v>
      </c>
      <c r="C47" s="32"/>
      <c r="D47" s="32" t="s">
        <v>220</v>
      </c>
      <c r="E47" s="32"/>
      <c r="F47" s="32"/>
      <c r="G47" s="33"/>
      <c r="H47" s="33" t="s">
        <v>627</v>
      </c>
      <c r="I47" s="33"/>
      <c r="J47" s="33"/>
      <c r="K47" s="33"/>
      <c r="L47" s="33"/>
      <c r="P47" s="32">
        <v>11</v>
      </c>
      <c r="Q47" s="32">
        <v>28</v>
      </c>
      <c r="R47" s="32" t="s">
        <v>313</v>
      </c>
      <c r="S47" s="32"/>
      <c r="T47" s="32">
        <v>200</v>
      </c>
      <c r="U47" s="32"/>
      <c r="V47" s="32"/>
      <c r="W47" s="32"/>
      <c r="X47" s="32"/>
      <c r="Y47" s="32"/>
      <c r="Z47" s="32"/>
    </row>
    <row r="48" ht="16.5" spans="2:26">
      <c r="B48" s="32">
        <v>35</v>
      </c>
      <c r="C48" s="32"/>
      <c r="D48" s="32" t="s">
        <v>221</v>
      </c>
      <c r="E48" s="32"/>
      <c r="F48" s="32"/>
      <c r="G48" s="33"/>
      <c r="H48" s="33" t="s">
        <v>627</v>
      </c>
      <c r="I48" s="33"/>
      <c r="J48" s="33"/>
      <c r="K48" s="33"/>
      <c r="L48" s="33"/>
      <c r="P48" s="32">
        <v>9</v>
      </c>
      <c r="Q48" s="32">
        <v>20034</v>
      </c>
      <c r="R48" s="32" t="s">
        <v>639</v>
      </c>
      <c r="S48" s="32"/>
      <c r="T48" s="32">
        <v>250</v>
      </c>
      <c r="U48" s="32"/>
      <c r="V48" s="32"/>
      <c r="W48" s="32"/>
      <c r="X48" s="32"/>
      <c r="Y48" s="32"/>
      <c r="Z48" s="32"/>
    </row>
    <row r="49" ht="16.5" spans="2:26">
      <c r="B49" s="32">
        <v>36</v>
      </c>
      <c r="C49" s="32"/>
      <c r="D49" s="32" t="s">
        <v>222</v>
      </c>
      <c r="E49" s="32"/>
      <c r="F49" s="32"/>
      <c r="G49" s="33"/>
      <c r="H49" s="33" t="s">
        <v>627</v>
      </c>
      <c r="I49" s="33"/>
      <c r="J49" s="33"/>
      <c r="K49" s="33"/>
      <c r="L49" s="33"/>
      <c r="P49" s="32">
        <v>44</v>
      </c>
      <c r="Q49" s="32">
        <v>5303000</v>
      </c>
      <c r="R49" s="32" t="s">
        <v>673</v>
      </c>
      <c r="S49" s="32"/>
      <c r="T49" s="32">
        <v>256</v>
      </c>
      <c r="U49" s="32"/>
      <c r="V49" s="32" t="s">
        <v>627</v>
      </c>
      <c r="W49" s="32"/>
      <c r="X49" s="32"/>
      <c r="Y49" s="32" t="s">
        <v>674</v>
      </c>
      <c r="Z49" s="32"/>
    </row>
    <row r="50" ht="16.5" spans="2:26">
      <c r="B50" s="32">
        <v>37</v>
      </c>
      <c r="C50" s="32"/>
      <c r="D50" s="32" t="s">
        <v>223</v>
      </c>
      <c r="E50" s="32"/>
      <c r="F50" s="32"/>
      <c r="G50" s="33"/>
      <c r="H50" s="33" t="s">
        <v>627</v>
      </c>
      <c r="I50" s="33"/>
      <c r="J50" s="33"/>
      <c r="K50" s="33"/>
      <c r="L50" s="33"/>
      <c r="P50" s="32">
        <v>39</v>
      </c>
      <c r="Q50" s="32">
        <v>30</v>
      </c>
      <c r="R50" s="32" t="s">
        <v>238</v>
      </c>
      <c r="S50" s="32"/>
      <c r="T50" s="32">
        <v>280</v>
      </c>
      <c r="U50" s="32"/>
      <c r="V50" s="32" t="s">
        <v>647</v>
      </c>
      <c r="W50" s="32"/>
      <c r="X50" s="32">
        <v>5</v>
      </c>
      <c r="Y50" s="32" t="s">
        <v>675</v>
      </c>
      <c r="Z50" s="32"/>
    </row>
    <row r="51" ht="16.5" spans="2:26">
      <c r="B51" s="32"/>
      <c r="C51" s="32"/>
      <c r="D51" s="32"/>
      <c r="E51" s="32"/>
      <c r="F51" s="32"/>
      <c r="G51" s="33"/>
      <c r="H51" s="33"/>
      <c r="I51" s="33"/>
      <c r="J51" s="33"/>
      <c r="K51" s="33"/>
      <c r="L51" s="33"/>
      <c r="P51" s="32">
        <v>21</v>
      </c>
      <c r="Q51" s="33"/>
      <c r="R51" s="33" t="s">
        <v>662</v>
      </c>
      <c r="S51" s="33"/>
      <c r="T51" s="32">
        <v>320</v>
      </c>
      <c r="U51" s="32"/>
      <c r="V51" s="32" t="s">
        <v>652</v>
      </c>
      <c r="W51" s="33"/>
      <c r="X51" s="32">
        <v>8</v>
      </c>
      <c r="Y51" s="33"/>
      <c r="Z51" s="33"/>
    </row>
    <row r="52" ht="16.5" spans="2:26"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P52" s="32">
        <v>51</v>
      </c>
      <c r="Q52" s="32">
        <v>5205001</v>
      </c>
      <c r="R52" s="32" t="s">
        <v>373</v>
      </c>
      <c r="S52" s="32"/>
      <c r="T52" s="32">
        <v>500</v>
      </c>
      <c r="U52" s="32"/>
      <c r="V52" s="32" t="s">
        <v>676</v>
      </c>
      <c r="W52" s="32"/>
      <c r="X52" s="32"/>
      <c r="Y52" s="32" t="s">
        <v>677</v>
      </c>
      <c r="Z52" s="34"/>
    </row>
    <row r="53" ht="16.5" spans="2:26">
      <c r="B53" s="32">
        <v>38</v>
      </c>
      <c r="C53" s="32">
        <v>9</v>
      </c>
      <c r="D53" s="36" t="s">
        <v>203</v>
      </c>
      <c r="E53" s="32" t="s">
        <v>665</v>
      </c>
      <c r="F53" s="32">
        <v>50</v>
      </c>
      <c r="G53" s="32"/>
      <c r="H53" s="32" t="s">
        <v>647</v>
      </c>
      <c r="I53" s="32"/>
      <c r="J53" s="32"/>
      <c r="K53" s="32" t="s">
        <v>666</v>
      </c>
      <c r="L53" s="32"/>
      <c r="P53" s="32">
        <v>10</v>
      </c>
      <c r="Q53" s="32">
        <v>20035</v>
      </c>
      <c r="R53" s="32" t="s">
        <v>640</v>
      </c>
      <c r="S53" s="32"/>
      <c r="T53" s="32">
        <v>700</v>
      </c>
      <c r="U53" s="32"/>
      <c r="V53" s="32"/>
      <c r="W53" s="32"/>
      <c r="X53" s="32"/>
      <c r="Y53" s="32"/>
      <c r="Z53" s="32"/>
    </row>
    <row r="54" ht="16.5" spans="2:26">
      <c r="B54" s="32">
        <v>39</v>
      </c>
      <c r="C54" s="32">
        <v>30</v>
      </c>
      <c r="D54" s="32" t="s">
        <v>238</v>
      </c>
      <c r="E54" s="32"/>
      <c r="F54" s="32">
        <v>280</v>
      </c>
      <c r="G54" s="32"/>
      <c r="H54" s="32" t="s">
        <v>647</v>
      </c>
      <c r="I54" s="32"/>
      <c r="J54" s="32">
        <v>5</v>
      </c>
      <c r="K54" s="32" t="s">
        <v>675</v>
      </c>
      <c r="L54" s="32"/>
      <c r="P54" s="32">
        <v>45</v>
      </c>
      <c r="Q54" s="32">
        <v>5304000</v>
      </c>
      <c r="R54" s="32" t="s">
        <v>678</v>
      </c>
      <c r="S54" s="32"/>
      <c r="T54" s="32">
        <v>1024</v>
      </c>
      <c r="U54" s="32"/>
      <c r="V54" s="32" t="s">
        <v>627</v>
      </c>
      <c r="W54" s="32"/>
      <c r="X54" s="32"/>
      <c r="Y54" s="32" t="s">
        <v>679</v>
      </c>
      <c r="Z54" s="32"/>
    </row>
    <row r="55" ht="16.5" spans="2:26">
      <c r="B55" s="32">
        <v>40</v>
      </c>
      <c r="C55" s="32">
        <v>5303001</v>
      </c>
      <c r="D55" s="32" t="s">
        <v>132</v>
      </c>
      <c r="E55" s="32"/>
      <c r="F55" s="32">
        <v>5</v>
      </c>
      <c r="G55" s="32"/>
      <c r="H55" s="32" t="s">
        <v>627</v>
      </c>
      <c r="I55" s="32"/>
      <c r="J55" s="32">
        <v>8</v>
      </c>
      <c r="K55" s="32" t="s">
        <v>645</v>
      </c>
      <c r="L55" s="32"/>
      <c r="P55" s="32">
        <v>54</v>
      </c>
      <c r="Q55" s="32"/>
      <c r="R55" s="32" t="s">
        <v>680</v>
      </c>
      <c r="S55" s="32"/>
      <c r="T55" s="32">
        <v>1500</v>
      </c>
      <c r="U55" s="32">
        <v>30</v>
      </c>
      <c r="V55" s="32" t="s">
        <v>672</v>
      </c>
      <c r="W55" s="32"/>
      <c r="X55" s="32"/>
      <c r="Y55" s="32"/>
      <c r="Z55" s="32"/>
    </row>
    <row r="56" ht="16.5" spans="2:26">
      <c r="B56" s="32">
        <v>41</v>
      </c>
      <c r="C56" s="32">
        <v>5305001</v>
      </c>
      <c r="D56" s="32" t="s">
        <v>250</v>
      </c>
      <c r="E56" s="32"/>
      <c r="F56" s="32">
        <v>60</v>
      </c>
      <c r="G56" s="32"/>
      <c r="H56" s="32" t="s">
        <v>647</v>
      </c>
      <c r="I56" s="32"/>
      <c r="J56" s="32">
        <v>5</v>
      </c>
      <c r="K56" s="32" t="s">
        <v>667</v>
      </c>
      <c r="L56" s="32" t="s">
        <v>668</v>
      </c>
      <c r="P56" s="32">
        <v>46</v>
      </c>
      <c r="Q56" s="32">
        <v>5305000</v>
      </c>
      <c r="R56" s="32" t="s">
        <v>438</v>
      </c>
      <c r="S56" s="32"/>
      <c r="T56" s="32">
        <v>4096</v>
      </c>
      <c r="U56" s="32"/>
      <c r="V56" s="32" t="s">
        <v>627</v>
      </c>
      <c r="W56" s="32"/>
      <c r="X56" s="32"/>
      <c r="Y56" s="32" t="s">
        <v>681</v>
      </c>
      <c r="Z56" s="32" t="s">
        <v>668</v>
      </c>
    </row>
    <row r="57" ht="16.5" spans="2:26">
      <c r="B57" s="32">
        <v>42</v>
      </c>
      <c r="C57" s="32">
        <v>5301000</v>
      </c>
      <c r="D57" s="32" t="s">
        <v>133</v>
      </c>
      <c r="E57" s="32"/>
      <c r="F57" s="32">
        <v>16</v>
      </c>
      <c r="G57" s="32"/>
      <c r="H57" s="32" t="s">
        <v>627</v>
      </c>
      <c r="I57" s="32"/>
      <c r="J57" s="32"/>
      <c r="K57" s="32" t="s">
        <v>661</v>
      </c>
      <c r="L57" s="32"/>
      <c r="P57" s="32">
        <v>53</v>
      </c>
      <c r="Q57" s="32"/>
      <c r="R57" s="32" t="s">
        <v>682</v>
      </c>
      <c r="S57" s="32"/>
      <c r="T57" s="32">
        <v>4000</v>
      </c>
      <c r="U57" s="32">
        <v>128</v>
      </c>
      <c r="V57" s="32" t="s">
        <v>672</v>
      </c>
      <c r="W57" s="32"/>
      <c r="X57" s="32"/>
      <c r="Y57" s="32"/>
      <c r="Z57" s="32"/>
    </row>
    <row r="58" ht="16.5" spans="2:26">
      <c r="B58" s="32">
        <v>43</v>
      </c>
      <c r="C58" s="32">
        <v>5302000</v>
      </c>
      <c r="D58" s="32" t="s">
        <v>669</v>
      </c>
      <c r="E58" s="32"/>
      <c r="F58" s="32">
        <v>64</v>
      </c>
      <c r="G58" s="32"/>
      <c r="H58" s="32" t="s">
        <v>627</v>
      </c>
      <c r="I58" s="32"/>
      <c r="J58" s="32"/>
      <c r="K58" s="32" t="s">
        <v>670</v>
      </c>
      <c r="L58" s="32"/>
      <c r="P58" s="32">
        <v>55</v>
      </c>
      <c r="Q58" s="32"/>
      <c r="R58" s="32" t="s">
        <v>683</v>
      </c>
      <c r="S58" s="32"/>
      <c r="T58" s="32">
        <v>8000</v>
      </c>
      <c r="U58" s="32">
        <v>198</v>
      </c>
      <c r="V58" s="32" t="s">
        <v>672</v>
      </c>
      <c r="W58" s="32"/>
      <c r="X58" s="32"/>
      <c r="Y58" s="32"/>
      <c r="Z58" s="32"/>
    </row>
    <row r="59" ht="16.5" spans="2:26">
      <c r="B59" s="32">
        <v>44</v>
      </c>
      <c r="C59" s="32">
        <v>5303000</v>
      </c>
      <c r="D59" s="32" t="s">
        <v>673</v>
      </c>
      <c r="E59" s="32"/>
      <c r="F59" s="32">
        <v>256</v>
      </c>
      <c r="G59" s="32"/>
      <c r="H59" s="32" t="s">
        <v>627</v>
      </c>
      <c r="I59" s="32"/>
      <c r="J59" s="32"/>
      <c r="K59" s="32" t="s">
        <v>674</v>
      </c>
      <c r="L59" s="32"/>
      <c r="P59" s="32">
        <v>47</v>
      </c>
      <c r="Q59" s="32">
        <v>5306000</v>
      </c>
      <c r="R59" s="32" t="s">
        <v>684</v>
      </c>
      <c r="S59" s="32"/>
      <c r="T59" s="32">
        <v>16384</v>
      </c>
      <c r="U59" s="32"/>
      <c r="V59" s="32" t="s">
        <v>627</v>
      </c>
      <c r="W59" s="32"/>
      <c r="X59" s="32"/>
      <c r="Y59" s="32" t="s">
        <v>685</v>
      </c>
      <c r="Z59" s="34" t="s">
        <v>686</v>
      </c>
    </row>
    <row r="60" ht="16.5" spans="2:26">
      <c r="B60" s="32">
        <v>45</v>
      </c>
      <c r="C60" s="32">
        <v>5304000</v>
      </c>
      <c r="D60" s="32" t="s">
        <v>678</v>
      </c>
      <c r="E60" s="32"/>
      <c r="F60" s="32">
        <v>1024</v>
      </c>
      <c r="G60" s="32"/>
      <c r="H60" s="32" t="s">
        <v>627</v>
      </c>
      <c r="I60" s="32"/>
      <c r="J60" s="32"/>
      <c r="K60" s="32" t="s">
        <v>679</v>
      </c>
      <c r="L60" s="32"/>
      <c r="P60" s="32">
        <v>48</v>
      </c>
      <c r="Q60" s="32">
        <v>5307000</v>
      </c>
      <c r="R60" s="32" t="s">
        <v>687</v>
      </c>
      <c r="S60" s="32"/>
      <c r="T60" s="32">
        <v>65536</v>
      </c>
      <c r="U60" s="32"/>
      <c r="V60" s="32" t="s">
        <v>627</v>
      </c>
      <c r="W60" s="32"/>
      <c r="X60" s="32"/>
      <c r="Y60" s="32" t="s">
        <v>688</v>
      </c>
      <c r="Z60" s="32" t="s">
        <v>689</v>
      </c>
    </row>
    <row r="61" ht="16.5" spans="2:26">
      <c r="B61" s="32">
        <v>46</v>
      </c>
      <c r="C61" s="32">
        <v>5305000</v>
      </c>
      <c r="D61" s="32" t="s">
        <v>438</v>
      </c>
      <c r="E61" s="32"/>
      <c r="F61" s="32">
        <v>4096</v>
      </c>
      <c r="G61" s="32"/>
      <c r="H61" s="32" t="s">
        <v>627</v>
      </c>
      <c r="I61" s="32"/>
      <c r="J61" s="32"/>
      <c r="K61" s="32" t="s">
        <v>681</v>
      </c>
      <c r="L61" s="32" t="s">
        <v>668</v>
      </c>
      <c r="P61" s="32"/>
      <c r="Q61" s="32"/>
      <c r="R61" s="33"/>
      <c r="S61" s="32"/>
      <c r="T61" s="33"/>
      <c r="U61" s="33"/>
      <c r="V61" s="32"/>
      <c r="W61" s="33"/>
      <c r="X61" s="32"/>
      <c r="Y61" s="33"/>
      <c r="Z61" s="33"/>
    </row>
    <row r="62" ht="16.5" spans="2:26">
      <c r="B62" s="32">
        <v>47</v>
      </c>
      <c r="C62" s="32">
        <v>5306000</v>
      </c>
      <c r="D62" s="32" t="s">
        <v>684</v>
      </c>
      <c r="E62" s="32"/>
      <c r="F62" s="32">
        <v>16384</v>
      </c>
      <c r="G62" s="32"/>
      <c r="H62" s="32" t="s">
        <v>627</v>
      </c>
      <c r="I62" s="32"/>
      <c r="J62" s="32"/>
      <c r="K62" s="32" t="s">
        <v>685</v>
      </c>
      <c r="L62" s="34" t="s">
        <v>686</v>
      </c>
      <c r="P62" s="32"/>
      <c r="Q62" s="32"/>
      <c r="R62" s="33"/>
      <c r="S62" s="32"/>
      <c r="T62" s="33"/>
      <c r="U62" s="33"/>
      <c r="V62" s="32"/>
      <c r="W62" s="33"/>
      <c r="X62" s="32"/>
      <c r="Y62" s="33"/>
      <c r="Z62" s="33"/>
    </row>
    <row r="63" ht="16.5" spans="2:26">
      <c r="B63" s="32">
        <v>48</v>
      </c>
      <c r="C63" s="32">
        <v>5307000</v>
      </c>
      <c r="D63" s="32" t="s">
        <v>687</v>
      </c>
      <c r="E63" s="32"/>
      <c r="F63" s="32">
        <v>65536</v>
      </c>
      <c r="G63" s="32"/>
      <c r="H63" s="32" t="s">
        <v>627</v>
      </c>
      <c r="I63" s="32"/>
      <c r="J63" s="32"/>
      <c r="K63" s="32" t="s">
        <v>688</v>
      </c>
      <c r="L63" s="32" t="s">
        <v>689</v>
      </c>
      <c r="P63" s="32"/>
      <c r="Q63" s="32"/>
      <c r="R63" s="33"/>
      <c r="S63" s="32"/>
      <c r="T63" s="32"/>
      <c r="U63" s="33"/>
      <c r="V63" s="33"/>
      <c r="W63" s="33"/>
      <c r="X63" s="33"/>
      <c r="Y63" s="33"/>
      <c r="Z63" s="33"/>
    </row>
    <row r="64" ht="16.5" spans="2:26">
      <c r="B64" s="32">
        <v>49</v>
      </c>
      <c r="C64" s="32">
        <v>5401000</v>
      </c>
      <c r="D64" s="32" t="s">
        <v>134</v>
      </c>
      <c r="E64" s="32"/>
      <c r="F64" s="32">
        <v>17.728</v>
      </c>
      <c r="G64" s="32"/>
      <c r="H64" s="32"/>
      <c r="I64" s="32"/>
      <c r="J64" s="32"/>
      <c r="K64" s="32"/>
      <c r="L64" s="32"/>
      <c r="P64" s="32">
        <v>31</v>
      </c>
      <c r="Q64" s="32"/>
      <c r="R64" s="32" t="s">
        <v>217</v>
      </c>
      <c r="S64" s="32"/>
      <c r="T64" s="32"/>
      <c r="U64" s="33"/>
      <c r="V64" s="33" t="s">
        <v>627</v>
      </c>
      <c r="W64" s="33"/>
      <c r="X64" s="33"/>
      <c r="Y64" s="33"/>
      <c r="Z64" s="33"/>
    </row>
    <row r="65" ht="16.5" spans="2:26">
      <c r="B65" s="32">
        <v>50</v>
      </c>
      <c r="C65" s="32">
        <v>5203001</v>
      </c>
      <c r="D65" s="32" t="s">
        <v>131</v>
      </c>
      <c r="E65" s="32" t="s">
        <v>643</v>
      </c>
      <c r="F65" s="32">
        <v>3</v>
      </c>
      <c r="G65" s="32"/>
      <c r="H65" s="32" t="s">
        <v>627</v>
      </c>
      <c r="I65" s="32"/>
      <c r="J65" s="32">
        <v>6</v>
      </c>
      <c r="K65" s="32" t="s">
        <v>644</v>
      </c>
      <c r="L65" s="32" t="s">
        <v>624</v>
      </c>
      <c r="P65" s="32">
        <v>32</v>
      </c>
      <c r="Q65" s="32"/>
      <c r="R65" s="32" t="s">
        <v>218</v>
      </c>
      <c r="S65" s="32"/>
      <c r="T65" s="32"/>
      <c r="U65" s="33"/>
      <c r="V65" s="33" t="s">
        <v>627</v>
      </c>
      <c r="W65" s="33"/>
      <c r="X65" s="33"/>
      <c r="Y65" s="33"/>
      <c r="Z65" s="33"/>
    </row>
    <row r="66" ht="16.5" spans="2:26">
      <c r="B66" s="32">
        <v>51</v>
      </c>
      <c r="C66" s="32">
        <v>5205001</v>
      </c>
      <c r="D66" s="32" t="s">
        <v>373</v>
      </c>
      <c r="E66" s="32"/>
      <c r="F66" s="32">
        <v>500</v>
      </c>
      <c r="G66" s="32"/>
      <c r="H66" s="32" t="s">
        <v>676</v>
      </c>
      <c r="I66" s="32"/>
      <c r="J66" s="32"/>
      <c r="K66" s="32" t="s">
        <v>677</v>
      </c>
      <c r="L66" s="34"/>
      <c r="P66" s="32">
        <v>33</v>
      </c>
      <c r="Q66" s="32"/>
      <c r="R66" s="32" t="s">
        <v>219</v>
      </c>
      <c r="S66" s="32"/>
      <c r="T66" s="32"/>
      <c r="U66" s="33"/>
      <c r="V66" s="33" t="s">
        <v>627</v>
      </c>
      <c r="W66" s="33"/>
      <c r="X66" s="33"/>
      <c r="Y66" s="33"/>
      <c r="Z66" s="33"/>
    </row>
    <row r="67" ht="16.5" spans="2:26">
      <c r="B67" s="32">
        <v>52</v>
      </c>
      <c r="C67" s="32">
        <v>5204001</v>
      </c>
      <c r="D67" s="32" t="s">
        <v>214</v>
      </c>
      <c r="E67" s="32"/>
      <c r="F67" s="32">
        <v>5</v>
      </c>
      <c r="G67" s="32"/>
      <c r="H67" s="32" t="s">
        <v>627</v>
      </c>
      <c r="I67" s="32"/>
      <c r="J67" s="32"/>
      <c r="K67" s="32"/>
      <c r="L67" s="32" t="s">
        <v>649</v>
      </c>
      <c r="P67" s="32">
        <v>34</v>
      </c>
      <c r="Q67" s="32"/>
      <c r="R67" s="32" t="s">
        <v>220</v>
      </c>
      <c r="S67" s="32"/>
      <c r="T67" s="32"/>
      <c r="U67" s="33"/>
      <c r="V67" s="33" t="s">
        <v>627</v>
      </c>
      <c r="W67" s="33"/>
      <c r="X67" s="33"/>
      <c r="Y67" s="33"/>
      <c r="Z67" s="33"/>
    </row>
    <row r="68" ht="16.5" spans="2:26"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P68" s="32">
        <v>35</v>
      </c>
      <c r="Q68" s="32"/>
      <c r="R68" s="32" t="s">
        <v>221</v>
      </c>
      <c r="S68" s="32"/>
      <c r="T68" s="32"/>
      <c r="U68" s="33"/>
      <c r="V68" s="33" t="s">
        <v>627</v>
      </c>
      <c r="W68" s="33"/>
      <c r="X68" s="33"/>
      <c r="Y68" s="33"/>
      <c r="Z68" s="33"/>
    </row>
    <row r="69" ht="16.5" spans="2:26">
      <c r="B69" s="32">
        <v>53</v>
      </c>
      <c r="C69" s="32">
        <v>5525002</v>
      </c>
      <c r="D69" s="32" t="s">
        <v>311</v>
      </c>
      <c r="E69" s="32" t="s">
        <v>634</v>
      </c>
      <c r="F69" s="32">
        <v>0.33</v>
      </c>
      <c r="G69" s="32"/>
      <c r="H69" s="32" t="s">
        <v>635</v>
      </c>
      <c r="I69" s="32"/>
      <c r="J69" s="32"/>
      <c r="K69" s="32"/>
      <c r="L69" s="32"/>
      <c r="P69" s="32">
        <v>36</v>
      </c>
      <c r="Q69" s="32"/>
      <c r="R69" s="32" t="s">
        <v>222</v>
      </c>
      <c r="S69" s="32"/>
      <c r="T69" s="32"/>
      <c r="U69" s="33"/>
      <c r="V69" s="33" t="s">
        <v>627</v>
      </c>
      <c r="W69" s="33"/>
      <c r="X69" s="33"/>
      <c r="Y69" s="33"/>
      <c r="Z69" s="33"/>
    </row>
    <row r="70" ht="16.5" spans="2:26"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P70" s="32">
        <v>37</v>
      </c>
      <c r="Q70" s="32"/>
      <c r="R70" s="32" t="s">
        <v>223</v>
      </c>
      <c r="S70" s="32"/>
      <c r="T70" s="32"/>
      <c r="U70" s="33"/>
      <c r="V70" s="33" t="s">
        <v>627</v>
      </c>
      <c r="W70" s="33"/>
      <c r="X70" s="33"/>
      <c r="Y70" s="33"/>
      <c r="Z70" s="33"/>
    </row>
    <row r="71" ht="16.5" spans="2:26"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P71" s="32"/>
      <c r="Q71" s="32"/>
      <c r="R71" s="32"/>
      <c r="S71" s="32"/>
      <c r="T71" s="32"/>
      <c r="U71" s="33"/>
      <c r="V71" s="33"/>
      <c r="W71" s="33"/>
      <c r="X71" s="33"/>
      <c r="Y71" s="33"/>
      <c r="Z71" s="33"/>
    </row>
    <row r="72" ht="16.5" spans="2:26">
      <c r="B72" s="32">
        <v>53</v>
      </c>
      <c r="C72" s="32"/>
      <c r="D72" s="32" t="s">
        <v>671</v>
      </c>
      <c r="E72" s="32"/>
      <c r="F72" s="32">
        <v>100</v>
      </c>
      <c r="G72" s="32"/>
      <c r="H72" s="32" t="s">
        <v>672</v>
      </c>
      <c r="I72" s="32"/>
      <c r="J72" s="32"/>
      <c r="K72" s="32"/>
      <c r="L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6.5" spans="2:26"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6.5" spans="2:26">
      <c r="B74" s="32">
        <v>54</v>
      </c>
      <c r="C74" s="32"/>
      <c r="D74" s="32" t="s">
        <v>680</v>
      </c>
      <c r="E74" s="32"/>
      <c r="F74" s="32">
        <v>1500</v>
      </c>
      <c r="G74" s="32">
        <v>30</v>
      </c>
      <c r="H74" s="32" t="s">
        <v>672</v>
      </c>
      <c r="I74" s="32"/>
      <c r="J74" s="32"/>
      <c r="K74" s="32"/>
      <c r="L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6.5" spans="2:26">
      <c r="B75" s="32">
        <v>53</v>
      </c>
      <c r="C75" s="32"/>
      <c r="D75" s="32" t="s">
        <v>682</v>
      </c>
      <c r="E75" s="32"/>
      <c r="F75" s="32">
        <v>4000</v>
      </c>
      <c r="G75" s="32">
        <v>128</v>
      </c>
      <c r="H75" s="32" t="s">
        <v>672</v>
      </c>
      <c r="I75" s="32"/>
      <c r="J75" s="32"/>
      <c r="K75" s="32"/>
      <c r="L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6.5" spans="2:26">
      <c r="B76" s="32">
        <v>55</v>
      </c>
      <c r="C76" s="32"/>
      <c r="D76" s="32" t="s">
        <v>683</v>
      </c>
      <c r="E76" s="32"/>
      <c r="F76" s="32">
        <v>8000</v>
      </c>
      <c r="G76" s="32">
        <v>198</v>
      </c>
      <c r="H76" s="32" t="s">
        <v>672</v>
      </c>
      <c r="I76" s="32"/>
      <c r="J76" s="32"/>
      <c r="K76" s="32"/>
      <c r="L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6.5" spans="2:26"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6.5" spans="2:26">
      <c r="B78" s="32">
        <v>56</v>
      </c>
      <c r="C78" s="32"/>
      <c r="D78" s="32" t="s">
        <v>690</v>
      </c>
      <c r="E78" s="32"/>
      <c r="F78" s="32">
        <v>4000</v>
      </c>
      <c r="G78" s="32">
        <v>128</v>
      </c>
      <c r="H78" s="32"/>
      <c r="I78" s="32"/>
      <c r="J78" s="32"/>
      <c r="K78" s="32"/>
      <c r="L78" s="32"/>
      <c r="P78" s="32">
        <v>56</v>
      </c>
      <c r="Q78" s="32"/>
      <c r="R78" s="32" t="s">
        <v>690</v>
      </c>
      <c r="S78" s="32"/>
      <c r="T78" s="32">
        <v>4000</v>
      </c>
      <c r="U78" s="32">
        <v>128</v>
      </c>
      <c r="V78" s="32"/>
      <c r="W78" s="32"/>
      <c r="X78" s="32"/>
      <c r="Y78" s="32"/>
      <c r="Z78" s="32"/>
    </row>
    <row r="79" ht="16.5" spans="2:26">
      <c r="B79" s="32">
        <v>57</v>
      </c>
      <c r="C79" s="32"/>
      <c r="D79" s="32" t="s">
        <v>691</v>
      </c>
      <c r="E79" s="32"/>
      <c r="F79" s="32">
        <v>8000</v>
      </c>
      <c r="G79" s="32">
        <v>168</v>
      </c>
      <c r="H79" s="32"/>
      <c r="I79" s="32"/>
      <c r="J79" s="32"/>
      <c r="K79" s="32"/>
      <c r="L79" s="32"/>
      <c r="P79" s="32">
        <v>57</v>
      </c>
      <c r="Q79" s="32"/>
      <c r="R79" s="32" t="s">
        <v>691</v>
      </c>
      <c r="S79" s="32"/>
      <c r="T79" s="32">
        <v>8000</v>
      </c>
      <c r="U79" s="32">
        <v>168</v>
      </c>
      <c r="V79" s="32"/>
      <c r="W79" s="32"/>
      <c r="X79" s="32"/>
      <c r="Y79" s="32"/>
      <c r="Z79" s="32"/>
    </row>
    <row r="80" ht="16.5" spans="2:26"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6.5" spans="2:26">
      <c r="B81" s="32">
        <v>58</v>
      </c>
      <c r="C81" s="32"/>
      <c r="D81" s="32" t="s">
        <v>692</v>
      </c>
      <c r="E81" s="32"/>
      <c r="F81" s="32">
        <v>7000</v>
      </c>
      <c r="G81" s="32">
        <v>266</v>
      </c>
      <c r="H81" s="32"/>
      <c r="I81" s="32"/>
      <c r="J81" s="32"/>
      <c r="K81" s="32"/>
      <c r="L81" s="32" t="s">
        <v>693</v>
      </c>
      <c r="P81" s="32">
        <v>58</v>
      </c>
      <c r="Q81" s="32"/>
      <c r="R81" s="32" t="s">
        <v>692</v>
      </c>
      <c r="S81" s="32"/>
      <c r="T81" s="32">
        <v>7000</v>
      </c>
      <c r="U81" s="32">
        <v>266</v>
      </c>
      <c r="V81" s="32"/>
      <c r="W81" s="32"/>
      <c r="X81" s="32"/>
      <c r="Y81" s="32"/>
      <c r="Z81" s="32" t="s">
        <v>693</v>
      </c>
    </row>
    <row r="82" ht="16.5" spans="2:26">
      <c r="B82" s="32">
        <v>59</v>
      </c>
      <c r="C82" s="32"/>
      <c r="D82" s="32" t="s">
        <v>694</v>
      </c>
      <c r="E82" s="32"/>
      <c r="F82" s="32">
        <v>12000</v>
      </c>
      <c r="G82" s="32">
        <v>328</v>
      </c>
      <c r="H82" s="32"/>
      <c r="I82" s="32"/>
      <c r="J82" s="32"/>
      <c r="K82" s="32"/>
      <c r="L82" s="32" t="s">
        <v>693</v>
      </c>
      <c r="P82" s="32">
        <v>59</v>
      </c>
      <c r="Q82" s="32"/>
      <c r="R82" s="32" t="s">
        <v>694</v>
      </c>
      <c r="S82" s="32"/>
      <c r="T82" s="32">
        <v>12000</v>
      </c>
      <c r="U82" s="32">
        <v>328</v>
      </c>
      <c r="V82" s="32"/>
      <c r="W82" s="32"/>
      <c r="X82" s="32"/>
      <c r="Y82" s="32"/>
      <c r="Z82" s="32" t="s">
        <v>693</v>
      </c>
    </row>
    <row r="83" ht="16.5" spans="2:26"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6.5" spans="2:26">
      <c r="B84" s="32">
        <v>60</v>
      </c>
      <c r="C84" s="32"/>
      <c r="D84" s="32" t="s">
        <v>695</v>
      </c>
      <c r="E84" s="32"/>
      <c r="F84" s="32"/>
      <c r="G84" s="32">
        <v>328</v>
      </c>
      <c r="H84" s="32"/>
      <c r="I84" s="32"/>
      <c r="J84" s="32"/>
      <c r="K84" s="32"/>
      <c r="L84" s="32" t="s">
        <v>693</v>
      </c>
      <c r="P84" s="32">
        <v>60</v>
      </c>
      <c r="Q84" s="32"/>
      <c r="R84" s="32" t="s">
        <v>695</v>
      </c>
      <c r="S84" s="32"/>
      <c r="T84" s="32"/>
      <c r="U84" s="32">
        <v>328</v>
      </c>
      <c r="V84" s="32"/>
      <c r="W84" s="32"/>
      <c r="X84" s="32"/>
      <c r="Y84" s="32"/>
      <c r="Z84" s="32" t="s">
        <v>693</v>
      </c>
    </row>
    <row r="85" spans="2:26">
      <c r="B85">
        <v>61</v>
      </c>
      <c r="D85" t="s">
        <v>696</v>
      </c>
      <c r="G85">
        <v>648</v>
      </c>
      <c r="L85" t="s">
        <v>693</v>
      </c>
      <c r="P85">
        <v>61</v>
      </c>
      <c r="R85" t="s">
        <v>696</v>
      </c>
      <c r="U85">
        <v>648</v>
      </c>
      <c r="Z85" t="s">
        <v>693</v>
      </c>
    </row>
  </sheetData>
  <sortState ref="P7:Z85">
    <sortCondition ref="T7"/>
  </sortState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20"/>
  <dimension ref="A2:AP145"/>
  <sheetViews>
    <sheetView topLeftCell="B1" workbookViewId="0">
      <selection activeCell="AG65" sqref="AG65"/>
    </sheetView>
  </sheetViews>
  <sheetFormatPr defaultColWidth="9" defaultRowHeight="13.5"/>
  <cols>
    <col min="1" max="1" width="9" style="19"/>
    <col min="2" max="2" width="2.625" style="19" customWidth="1"/>
    <col min="3" max="4" width="9" style="19"/>
    <col min="5" max="5" width="12.625" style="19"/>
    <col min="6" max="6" width="12.375" style="19" customWidth="1"/>
    <col min="7" max="7" width="11.875" style="19" customWidth="1"/>
    <col min="8" max="9" width="9" style="19"/>
    <col min="10" max="10" width="14.875" style="19"/>
    <col min="11" max="11" width="13.75" style="19"/>
    <col min="12" max="13" width="9.375" style="19"/>
    <col min="14" max="15" width="9" style="19"/>
    <col min="16" max="16" width="9.375" style="19"/>
    <col min="17" max="17" width="12.5" style="19" customWidth="1"/>
    <col min="18" max="18" width="9" style="19"/>
    <col min="19" max="19" width="12.625" style="19"/>
    <col min="20" max="28" width="9" style="19"/>
    <col min="29" max="29" width="12.625" style="19"/>
    <col min="30" max="35" width="9" style="19"/>
    <col min="36" max="36" width="12.625" style="19"/>
    <col min="37" max="37" width="9" style="19"/>
    <col min="38" max="38" width="12.625" style="19"/>
    <col min="39" max="41" width="9" style="19"/>
    <col min="42" max="42" width="12.625" style="19"/>
  </cols>
  <sheetData>
    <row r="2" ht="16.5" spans="1:38">
      <c r="A2" s="20"/>
      <c r="B2" s="21"/>
      <c r="C2" s="22" t="s">
        <v>697</v>
      </c>
    </row>
    <row r="3" spans="1:38">
      <c r="D3" s="23" t="s">
        <v>698</v>
      </c>
    </row>
    <row r="4" spans="1:38">
      <c r="D4" s="23" t="s">
        <v>16</v>
      </c>
      <c r="E4" s="20" t="s">
        <v>699</v>
      </c>
      <c r="F4" s="20" t="s">
        <v>700</v>
      </c>
      <c r="G4" s="23" t="s">
        <v>701</v>
      </c>
    </row>
    <row r="5" spans="1:38">
      <c r="D5" s="23" t="s">
        <v>38</v>
      </c>
      <c r="E5" s="23">
        <f ca="1">SUM($P$19:$R$78)</f>
        <v>1001819.2</v>
      </c>
      <c r="F5" s="23">
        <v>41664</v>
      </c>
      <c r="G5" s="24"/>
      <c r="H5" s="23" t="s">
        <v>702</v>
      </c>
    </row>
    <row r="6" spans="1:38">
      <c r="D6" s="23" t="s">
        <v>703</v>
      </c>
      <c r="E6" s="23">
        <f>SUM($S$19:$S$78)</f>
        <v>153600</v>
      </c>
      <c r="F6" s="23">
        <v>4320</v>
      </c>
      <c r="G6" s="24"/>
    </row>
    <row r="7" spans="1:38">
      <c r="D7" s="23" t="s">
        <v>48</v>
      </c>
      <c r="E7" s="23">
        <f>INT(1600*60+13*500/7*60)</f>
        <v>151714</v>
      </c>
      <c r="F7" s="25">
        <v>2657.14285714286</v>
      </c>
      <c r="G7" s="24"/>
    </row>
    <row r="8" spans="1:38">
      <c r="D8" s="23" t="s">
        <v>704</v>
      </c>
      <c r="F8" s="25">
        <v>3300</v>
      </c>
      <c r="G8" s="23"/>
      <c r="J8" s="23">
        <f ca="1">E14*0.05+F14*3</f>
        <v>314380.088571429</v>
      </c>
    </row>
    <row r="9" spans="1:38">
      <c r="D9" s="23" t="s">
        <v>23</v>
      </c>
      <c r="E9" s="23">
        <v>460000</v>
      </c>
      <c r="G9" s="24"/>
    </row>
    <row r="10" spans="1:38">
      <c r="D10" s="23" t="s">
        <v>705</v>
      </c>
      <c r="G10" s="24"/>
    </row>
    <row r="11" spans="1:38">
      <c r="D11" s="23" t="s">
        <v>706</v>
      </c>
      <c r="E11" s="23">
        <v>600000</v>
      </c>
      <c r="F11" s="23">
        <v>9000</v>
      </c>
      <c r="G11" s="24"/>
    </row>
    <row r="12" spans="1:38">
      <c r="D12" s="26" t="s">
        <v>68</v>
      </c>
      <c r="E12" s="26"/>
      <c r="G12" s="24"/>
    </row>
    <row r="13" spans="1:38">
      <c r="D13" s="23" t="s">
        <v>707</v>
      </c>
      <c r="E13" s="23">
        <f>200*10*60+24*100*60</f>
        <v>264000</v>
      </c>
      <c r="G13" s="24"/>
      <c r="J13" s="25">
        <f ca="1">J14*0.05/10</f>
        <v>219.2611</v>
      </c>
      <c r="K13" s="25">
        <f>K14*3/10</f>
        <v>304.705714285714</v>
      </c>
    </row>
    <row r="14" spans="1:38">
      <c r="D14" s="23" t="s">
        <v>104</v>
      </c>
      <c r="E14" s="23">
        <f ca="1">SUM(E5:E13)</f>
        <v>2631133.2</v>
      </c>
      <c r="F14" s="23">
        <f>SUM(F5:F13)</f>
        <v>60941.1428571429</v>
      </c>
      <c r="G14" s="24">
        <f ca="1">SUM(E5:E13)/SUM(F5:F13)</f>
        <v>43.1749894511801</v>
      </c>
      <c r="J14" s="25">
        <f ca="1">E14/60</f>
        <v>43852.22</v>
      </c>
      <c r="K14" s="25">
        <f>F14/60</f>
        <v>1015.68571428571</v>
      </c>
    </row>
    <row r="16" spans="1:38">
      <c r="E16" s="23" t="s">
        <v>708</v>
      </c>
      <c r="F16" s="23" t="s">
        <v>709</v>
      </c>
      <c r="G16" s="23" t="s">
        <v>710</v>
      </c>
      <c r="H16" s="23" t="s">
        <v>711</v>
      </c>
      <c r="P16" s="23" t="s">
        <v>708</v>
      </c>
      <c r="Q16" s="23" t="s">
        <v>709</v>
      </c>
      <c r="R16" s="23" t="s">
        <v>710</v>
      </c>
      <c r="S16" s="23" t="s">
        <v>711</v>
      </c>
      <c r="Z16" s="23" t="s">
        <v>708</v>
      </c>
      <c r="AA16" s="23" t="s">
        <v>709</v>
      </c>
      <c r="AB16" s="23" t="s">
        <v>710</v>
      </c>
      <c r="AC16" s="23" t="s">
        <v>711</v>
      </c>
      <c r="AI16" s="23" t="s">
        <v>708</v>
      </c>
      <c r="AJ16" s="23" t="s">
        <v>709</v>
      </c>
      <c r="AK16" s="23" t="s">
        <v>710</v>
      </c>
      <c r="AL16" s="23" t="s">
        <v>711</v>
      </c>
    </row>
    <row r="17" spans="4:42">
      <c r="D17" s="23" t="s">
        <v>119</v>
      </c>
      <c r="E17" s="23">
        <v>40</v>
      </c>
      <c r="F17" s="23">
        <v>1</v>
      </c>
      <c r="G17" s="23">
        <v>100</v>
      </c>
      <c r="H17" s="23">
        <v>1</v>
      </c>
      <c r="O17" s="23" t="s">
        <v>120</v>
      </c>
      <c r="P17" s="23">
        <v>46</v>
      </c>
      <c r="Q17" s="23">
        <v>1.3</v>
      </c>
      <c r="R17" s="23">
        <v>130</v>
      </c>
      <c r="S17" s="23">
        <f>5/3</f>
        <v>1.66666666666667</v>
      </c>
      <c r="Y17" s="23" t="s">
        <v>106</v>
      </c>
      <c r="Z17" s="23">
        <v>46</v>
      </c>
      <c r="AA17" s="23">
        <v>1.3</v>
      </c>
      <c r="AB17" s="23">
        <v>208</v>
      </c>
      <c r="AC17" s="23">
        <f>5/3</f>
        <v>1.66666666666667</v>
      </c>
      <c r="AH17" s="23" t="s">
        <v>121</v>
      </c>
      <c r="AI17" s="23">
        <v>71</v>
      </c>
      <c r="AJ17" s="23">
        <v>1.3</v>
      </c>
      <c r="AK17" s="23">
        <v>275</v>
      </c>
      <c r="AL17" s="23">
        <f>5/3</f>
        <v>1.66666666666667</v>
      </c>
    </row>
    <row r="18" spans="4:42">
      <c r="D18" s="23" t="s">
        <v>21</v>
      </c>
      <c r="E18" s="23" t="s">
        <v>35</v>
      </c>
      <c r="F18" s="23" t="s">
        <v>200</v>
      </c>
      <c r="G18" s="23" t="s">
        <v>712</v>
      </c>
      <c r="H18" s="23" t="s">
        <v>173</v>
      </c>
      <c r="I18" s="23" t="s">
        <v>48</v>
      </c>
      <c r="J18" s="23" t="s">
        <v>707</v>
      </c>
      <c r="K18" s="23" t="s">
        <v>23</v>
      </c>
      <c r="L18" s="23" t="s">
        <v>713</v>
      </c>
      <c r="O18" s="23" t="s">
        <v>21</v>
      </c>
      <c r="P18" s="23" t="s">
        <v>35</v>
      </c>
      <c r="Q18" s="23" t="s">
        <v>200</v>
      </c>
      <c r="R18" s="23" t="s">
        <v>712</v>
      </c>
      <c r="S18" s="23" t="s">
        <v>173</v>
      </c>
      <c r="T18" s="23" t="s">
        <v>48</v>
      </c>
      <c r="U18" s="23" t="s">
        <v>707</v>
      </c>
      <c r="V18" s="23" t="s">
        <v>23</v>
      </c>
      <c r="W18" s="23" t="s">
        <v>706</v>
      </c>
      <c r="Y18" s="23" t="s">
        <v>21</v>
      </c>
      <c r="Z18" s="23" t="s">
        <v>35</v>
      </c>
      <c r="AA18" s="23" t="s">
        <v>200</v>
      </c>
      <c r="AB18" s="23" t="s">
        <v>37</v>
      </c>
      <c r="AC18" s="23" t="s">
        <v>173</v>
      </c>
      <c r="AD18" s="23" t="s">
        <v>48</v>
      </c>
      <c r="AE18" s="23" t="s">
        <v>707</v>
      </c>
      <c r="AF18" s="23" t="s">
        <v>23</v>
      </c>
      <c r="AH18" s="23" t="s">
        <v>21</v>
      </c>
      <c r="AI18" s="23" t="s">
        <v>35</v>
      </c>
      <c r="AJ18" s="23" t="s">
        <v>200</v>
      </c>
      <c r="AK18" s="23" t="s">
        <v>37</v>
      </c>
      <c r="AL18" s="23" t="s">
        <v>173</v>
      </c>
      <c r="AM18" s="23" t="s">
        <v>48</v>
      </c>
      <c r="AN18" s="23" t="s">
        <v>707</v>
      </c>
      <c r="AO18" s="23" t="s">
        <v>23</v>
      </c>
    </row>
    <row r="19" spans="4:42">
      <c r="D19" s="23">
        <v>1</v>
      </c>
      <c r="E19" s="23">
        <f ca="1">OFFSET(金币产出!S$6,MATCH($D19,金币产出!$D$7:$D$306,1),0)*$F$17</f>
        <v>4228</v>
      </c>
      <c r="F19" s="23">
        <f ca="1">OFFSET(金币产出!T$6,MATCH($D19,金币产出!$D$7:$D$306,1),0)*$E$17</f>
        <v>6040</v>
      </c>
      <c r="G19" s="23">
        <f ca="1">OFFSET(金币产出!U$6,MATCH($D19,金币产出!$D$7:$D$306,1),0)</f>
        <v>0</v>
      </c>
      <c r="H19" s="23">
        <f>SUMIF(金币产出!$D$7:$D$306,$D19,金币产出!$X$7:$X$306)</f>
        <v>18600</v>
      </c>
      <c r="I19" s="23">
        <f t="shared" ref="I19:I78" si="0">INT(1600+2600/7)</f>
        <v>1971</v>
      </c>
      <c r="J19" s="23">
        <f t="shared" ref="J19:J78" si="1">44*$G$17</f>
        <v>4400</v>
      </c>
      <c r="K19" s="25">
        <f ca="1">VLOOKUP(D19,金币产出!$Y$6:$AG$67,8,0)*($E$17-$H$17*2)+VLOOKUP(D19,金币产出!$Y$6:$AG$67,9,0)</f>
        <v>1673.08</v>
      </c>
      <c r="L19" s="27">
        <f ca="1" t="shared" ref="L19:L78" si="2">K19/SUM(E19:K19)</f>
        <v>0.0453260829517058</v>
      </c>
      <c r="M19" s="27"/>
      <c r="O19" s="23">
        <v>1</v>
      </c>
      <c r="P19" s="23">
        <f ca="1">OFFSET(金币产出!S$6,MATCH($D19,金币产出!$D$7:$D$306,1),0)*$Q$17</f>
        <v>5496.4</v>
      </c>
      <c r="Q19" s="23">
        <f ca="1">OFFSET(金币产出!T$6,MATCH($D19,金币产出!$D$7:$D$306,1),0)*$P$17</f>
        <v>6946</v>
      </c>
      <c r="R19" s="23">
        <f ca="1">OFFSET(金币产出!U$6,MATCH($D19,金币产出!$D$7:$D$306,1),0)</f>
        <v>0</v>
      </c>
      <c r="S19" s="23">
        <f>SUMIF(金币产出!$D$7:$D$306,$D19,金币产出!$X$7:$X$306)</f>
        <v>18600</v>
      </c>
      <c r="T19" s="23">
        <f t="shared" ref="T19:T78" si="3">INT(1600+2600/7)</f>
        <v>1971</v>
      </c>
      <c r="U19" s="23">
        <f t="shared" ref="U19:U78" si="4">44*$R$17</f>
        <v>5720</v>
      </c>
      <c r="V19" s="25">
        <f ca="1">VLOOKUP(O19,金币产出!$Y$6:$AG$67,8,0)*($P$17-$S$17*2)+VLOOKUP(O19,金币产出!$Y$6:$AG$67,9,0)*$S$17</f>
        <v>2455.73333333334</v>
      </c>
      <c r="W19" s="25">
        <f t="shared" ref="W19:W78" si="5">10000</f>
        <v>10000</v>
      </c>
      <c r="Y19" s="23">
        <v>1</v>
      </c>
      <c r="Z19" s="23">
        <f ca="1">OFFSET(金币产出!S$6,MATCH($D19,金币产出!$D$7:$D$306,1),0)*$Q$17</f>
        <v>5496.4</v>
      </c>
      <c r="AA19" s="23">
        <f ca="1">OFFSET(金币产出!T$6,MATCH($D19,金币产出!$D$7:$D$306,1),0)*$Z$17</f>
        <v>6946</v>
      </c>
      <c r="AB19" s="23">
        <f ca="1">OFFSET(金币产出!U$6,MATCH($D19,金币产出!$D$7:$D$306,1),0)</f>
        <v>0</v>
      </c>
      <c r="AC19" s="23">
        <f>SUMIF(金币产出!$E$7:$E$306,$D19,金币产出!$X$7:$X$306)</f>
        <v>33000</v>
      </c>
      <c r="AD19" s="23">
        <f t="shared" ref="AD19:AD78" si="6">INT(1600+2600/7)</f>
        <v>1971</v>
      </c>
      <c r="AE19" s="23">
        <f t="shared" ref="AE19:AE78" si="7">44*$AB$17</f>
        <v>9152</v>
      </c>
      <c r="AF19" s="25">
        <f ca="1">VLOOKUP(Y19,金币产出!$Y$6:$AI$67,10,0)*($Z$17-$AC$17*2)+VLOOKUP(Y19,金币产出!$Y$6:$AI$67,11,0)*$AC$17</f>
        <v>2699.66666666667</v>
      </c>
      <c r="AH19" s="23">
        <v>1</v>
      </c>
      <c r="AI19" s="23">
        <f ca="1">OFFSET(金币产出!S$6,MATCH($D19,金币产出!$D$7:$D$306,1),0)*$AJ$17</f>
        <v>5496.4</v>
      </c>
      <c r="AJ19" s="23">
        <f ca="1">OFFSET(金币产出!T$6,MATCH($D19,金币产出!$D$7:$D$306,1),0)*$AI$17</f>
        <v>10721</v>
      </c>
      <c r="AK19" s="23">
        <f ca="1">OFFSET(金币产出!U$6,MATCH($D19,金币产出!$D$7:$D$306,1),0)</f>
        <v>0</v>
      </c>
      <c r="AL19" s="23">
        <f>SUMIF(金币产出!$E$7:$E$306,$D19,金币产出!$X$7:$X$306)</f>
        <v>33000</v>
      </c>
      <c r="AM19" s="23">
        <f t="shared" ref="AM19:AM78" si="8">INT(1600+2600/7)</f>
        <v>1971</v>
      </c>
      <c r="AN19" s="23">
        <f t="shared" ref="AN19:AN78" si="9">44*$AK$17</f>
        <v>12100</v>
      </c>
      <c r="AO19" s="25">
        <f ca="1">VLOOKUP(AH19,金币产出!$Y$6:$AI$67,10,0)*($AI$17-$AL$17*2)+VLOOKUP(AH19,金币产出!$Y$6:$AI$67,11,0)*$AL$17</f>
        <v>3159.66666666667</v>
      </c>
      <c r="AP19" s="23">
        <f ca="1" t="shared" ref="AP19:AP78" si="10">AO19/SUM(AI19:AO19)</f>
        <v>0.0475509194649256</v>
      </c>
    </row>
    <row r="20" spans="4:42">
      <c r="D20" s="23">
        <v>2</v>
      </c>
      <c r="E20" s="23">
        <f ca="1">OFFSET(金币产出!S$6,MATCH($D20,金币产出!$D$7:$D$306,1),0)*$F$17</f>
        <v>4396</v>
      </c>
      <c r="F20" s="23">
        <f ca="1">OFFSET(金币产出!T$6,MATCH($D20,金币产出!$D$7:$D$306,1),0)*$E$17</f>
        <v>6280</v>
      </c>
      <c r="G20" s="23">
        <f ca="1">OFFSET(金币产出!U$6,MATCH($D20,金币产出!$D$7:$D$306,1),0)</f>
        <v>0</v>
      </c>
      <c r="H20" s="23">
        <f>SUMIF(金币产出!$D$7:$D$306,$D20,金币产出!$X$7:$X$306)</f>
        <v>10800</v>
      </c>
      <c r="I20" s="23">
        <f t="shared" si="0"/>
        <v>1971</v>
      </c>
      <c r="J20" s="23">
        <f t="shared" si="1"/>
        <v>4400</v>
      </c>
      <c r="K20" s="25">
        <f ca="1">VLOOKUP(D20,金币产出!$Y$6:$AG$67,8,0)*($E$17-$H$17*2)+VLOOKUP(D20,金币产出!$Y$6:$AG$67,9,0)</f>
        <v>1673.08</v>
      </c>
      <c r="L20" s="27">
        <f ca="1" t="shared" si="2"/>
        <v>0.0566759981680266</v>
      </c>
      <c r="M20" s="27"/>
      <c r="O20" s="23">
        <v>2</v>
      </c>
      <c r="P20" s="23">
        <f ca="1">OFFSET(金币产出!S$6,MATCH($D20,金币产出!$D$7:$D$306,1),0)*$Q$17</f>
        <v>5714.8</v>
      </c>
      <c r="Q20" s="23">
        <f ca="1">OFFSET(金币产出!T$6,MATCH($D20,金币产出!$D$7:$D$306,1),0)*$P$17</f>
        <v>7222</v>
      </c>
      <c r="R20" s="23">
        <f ca="1">OFFSET(金币产出!U$6,MATCH($D20,金币产出!$D$7:$D$306,1),0)</f>
        <v>0</v>
      </c>
      <c r="S20" s="23">
        <f>SUMIF(金币产出!$D$7:$D$306,$D20,金币产出!$X$7:$X$306)</f>
        <v>10800</v>
      </c>
      <c r="T20" s="23">
        <f t="shared" si="3"/>
        <v>1971</v>
      </c>
      <c r="U20" s="23">
        <f t="shared" si="4"/>
        <v>5720</v>
      </c>
      <c r="V20" s="25">
        <f ca="1">VLOOKUP(O20,金币产出!$Y$6:$AG$67,8,0)*($P$17-$S$17*2)+VLOOKUP(O20,金币产出!$Y$6:$AG$67,9,0)*$S$17</f>
        <v>2455.73333333334</v>
      </c>
      <c r="W20" s="25">
        <f t="shared" si="5"/>
        <v>10000</v>
      </c>
      <c r="Y20" s="23">
        <v>2</v>
      </c>
      <c r="Z20" s="23">
        <f ca="1">OFFSET(金币产出!S$6,MATCH($D20,金币产出!$D$7:$D$306,1),0)*$Q$17</f>
        <v>5714.8</v>
      </c>
      <c r="AA20" s="23">
        <f ca="1">OFFSET(金币产出!T$6,MATCH($D20,金币产出!$D$7:$D$306,1),0)*$Z$17</f>
        <v>7222</v>
      </c>
      <c r="AB20" s="23">
        <f ca="1">OFFSET(金币产出!U$6,MATCH($D20,金币产出!$D$7:$D$306,1),0)</f>
        <v>0</v>
      </c>
      <c r="AC20" s="23">
        <f>SUMIF(金币产出!$E$7:$E$306,$D20,金币产出!$X$7:$X$306)</f>
        <v>18000</v>
      </c>
      <c r="AD20" s="23">
        <f t="shared" si="6"/>
        <v>1971</v>
      </c>
      <c r="AE20" s="23">
        <f t="shared" si="7"/>
        <v>9152</v>
      </c>
      <c r="AF20" s="25">
        <f ca="1">VLOOKUP(Y20,金币产出!$Y$6:$AI$67,10,0)*($Z$17-$AC$17*2)+VLOOKUP(Y20,金币产出!$Y$6:$AI$67,11,0)*$AC$17</f>
        <v>2699.66666666667</v>
      </c>
      <c r="AH20" s="23">
        <v>2</v>
      </c>
      <c r="AI20" s="23">
        <f ca="1">OFFSET(金币产出!S$6,MATCH($D20,金币产出!$D$7:$D$306,1),0)*$Q$17</f>
        <v>5714.8</v>
      </c>
      <c r="AJ20" s="23">
        <f ca="1">OFFSET(金币产出!T$6,MATCH($D20,金币产出!$D$7:$D$306,1),0)*$AI$17</f>
        <v>11147</v>
      </c>
      <c r="AK20" s="23">
        <f ca="1">OFFSET(金币产出!U$6,MATCH($D20,金币产出!$D$7:$D$306,1),0)</f>
        <v>0</v>
      </c>
      <c r="AL20" s="23">
        <f>SUMIF(金币产出!$E$7:$E$306,$D20,金币产出!$X$7:$X$306)</f>
        <v>18000</v>
      </c>
      <c r="AM20" s="23">
        <f t="shared" si="8"/>
        <v>1971</v>
      </c>
      <c r="AN20" s="23">
        <f t="shared" si="9"/>
        <v>12100</v>
      </c>
      <c r="AO20" s="25">
        <f ca="1">VLOOKUP(AH20,金币产出!$Y$6:$AI$67,10,0)*($AI$17-$AL$17*2)+VLOOKUP(AH20,金币产出!$Y$6:$AI$67,11,0)*$AL$17</f>
        <v>3159.66666666667</v>
      </c>
      <c r="AP20" s="23">
        <f ca="1" t="shared" si="10"/>
        <v>0.0606549635455927</v>
      </c>
    </row>
    <row r="21" spans="4:42">
      <c r="D21" s="23">
        <v>3</v>
      </c>
      <c r="E21" s="23">
        <f ca="1">OFFSET(金币产出!S$6,MATCH($D21,金币产出!$D$7:$D$306,1),0)*$F$17</f>
        <v>4536</v>
      </c>
      <c r="F21" s="23">
        <f ca="1">OFFSET(金币产出!T$6,MATCH($D21,金币产出!$D$7:$D$306,1),0)*$E$17</f>
        <v>6480</v>
      </c>
      <c r="G21" s="23">
        <f ca="1">OFFSET(金币产出!U$6,MATCH($D21,金币产出!$D$7:$D$306,1),0)</f>
        <v>0</v>
      </c>
      <c r="H21" s="23">
        <f>SUMIF(金币产出!$D$7:$D$306,$D21,金币产出!$X$7:$X$306)</f>
        <v>9000</v>
      </c>
      <c r="I21" s="23">
        <f t="shared" si="0"/>
        <v>1971</v>
      </c>
      <c r="J21" s="23">
        <f t="shared" si="1"/>
        <v>4400</v>
      </c>
      <c r="K21" s="25">
        <f ca="1">VLOOKUP(D21,金币产出!$Y$6:$AG$67,8,0)*($E$17-$H$17*2)+VLOOKUP(D21,金币产出!$Y$6:$AG$67,9,0)</f>
        <v>1847.96</v>
      </c>
      <c r="L21" s="27">
        <f ca="1" t="shared" si="2"/>
        <v>0.0654493578174008</v>
      </c>
      <c r="M21" s="27"/>
      <c r="O21" s="23">
        <v>3</v>
      </c>
      <c r="P21" s="23">
        <f ca="1">OFFSET(金币产出!S$6,MATCH($D21,金币产出!$D$7:$D$306,1),0)*$Q$17</f>
        <v>5896.8</v>
      </c>
      <c r="Q21" s="23">
        <f ca="1">OFFSET(金币产出!T$6,MATCH($D21,金币产出!$D$7:$D$306,1),0)*$P$17</f>
        <v>7452</v>
      </c>
      <c r="R21" s="23">
        <f ca="1">OFFSET(金币产出!U$6,MATCH($D21,金币产出!$D$7:$D$306,1),0)</f>
        <v>0</v>
      </c>
      <c r="S21" s="23">
        <f>SUMIF(金币产出!$D$7:$D$306,$D21,金币产出!$X$7:$X$306)</f>
        <v>9000</v>
      </c>
      <c r="T21" s="23">
        <f t="shared" si="3"/>
        <v>1971</v>
      </c>
      <c r="U21" s="23">
        <f t="shared" si="4"/>
        <v>5720</v>
      </c>
      <c r="V21" s="25">
        <f ca="1">VLOOKUP(O21,金币产出!$Y$6:$AG$67,8,0)*($P$17-$S$17*2)+VLOOKUP(O21,金币产出!$Y$6:$AG$67,9,0)*$S$17</f>
        <v>2699.66666666667</v>
      </c>
      <c r="W21" s="25">
        <f t="shared" si="5"/>
        <v>10000</v>
      </c>
      <c r="Y21" s="23">
        <v>3</v>
      </c>
      <c r="Z21" s="23">
        <f ca="1">OFFSET(金币产出!S$6,MATCH($D21,金币产出!$D$7:$D$306,1),0)*$Q$17</f>
        <v>5896.8</v>
      </c>
      <c r="AA21" s="23">
        <f ca="1">OFFSET(金币产出!T$6,MATCH($D21,金币产出!$D$7:$D$306,1),0)*$Z$17</f>
        <v>7452</v>
      </c>
      <c r="AB21" s="23">
        <f ca="1">OFFSET(金币产出!U$6,MATCH($D21,金币产出!$D$7:$D$306,1),0)</f>
        <v>0</v>
      </c>
      <c r="AC21" s="23">
        <f>SUMIF(金币产出!$E$7:$E$306,$D21,金币产出!$X$7:$X$306)</f>
        <v>9000</v>
      </c>
      <c r="AD21" s="23">
        <f t="shared" si="6"/>
        <v>1971</v>
      </c>
      <c r="AE21" s="23">
        <f t="shared" si="7"/>
        <v>9152</v>
      </c>
      <c r="AF21" s="25">
        <f ca="1">VLOOKUP(Y21,金币产出!$Y$6:$AI$67,10,0)*($Z$17-$AC$17*2)+VLOOKUP(Y21,金币产出!$Y$6:$AI$67,11,0)*$AC$17</f>
        <v>4289.40000000001</v>
      </c>
      <c r="AH21" s="23">
        <v>3</v>
      </c>
      <c r="AI21" s="23">
        <f ca="1">OFFSET(金币产出!S$6,MATCH($D21,金币产出!$D$7:$D$306,1),0)*$Q$17</f>
        <v>5896.8</v>
      </c>
      <c r="AJ21" s="23">
        <f ca="1">OFFSET(金币产出!T$6,MATCH($D21,金币产出!$D$7:$D$306,1),0)*$AI$17</f>
        <v>11502</v>
      </c>
      <c r="AK21" s="23">
        <f ca="1">OFFSET(金币产出!U$6,MATCH($D21,金币产出!$D$7:$D$306,1),0)</f>
        <v>0</v>
      </c>
      <c r="AL21" s="23">
        <f>SUMIF(金币产出!$E$7:$E$306,$D21,金币产出!$X$7:$X$306)</f>
        <v>9000</v>
      </c>
      <c r="AM21" s="23">
        <f t="shared" si="8"/>
        <v>1971</v>
      </c>
      <c r="AN21" s="23">
        <f t="shared" si="9"/>
        <v>12100</v>
      </c>
      <c r="AO21" s="25">
        <f ca="1">VLOOKUP(AH21,金币产出!$Y$6:$AI$67,10,0)*($AI$17-$AL$17*2)+VLOOKUP(AH21,金币产出!$Y$6:$AI$67,11,0)*$AL$17</f>
        <v>4806.90000000001</v>
      </c>
      <c r="AP21" s="23">
        <f ca="1" t="shared" si="10"/>
        <v>0.106167189746603</v>
      </c>
    </row>
    <row r="22" spans="4:42">
      <c r="D22" s="23">
        <v>4</v>
      </c>
      <c r="E22" s="23">
        <f ca="1">OFFSET(金币产出!S$6,MATCH($D22,金币产出!$D$7:$D$306,1),0)*$F$17</f>
        <v>4648</v>
      </c>
      <c r="F22" s="23">
        <f ca="1">OFFSET(金币产出!T$6,MATCH($D22,金币产出!$D$7:$D$306,1),0)*$E$17</f>
        <v>6640</v>
      </c>
      <c r="G22" s="23">
        <f ca="1">OFFSET(金币产出!U$6,MATCH($D22,金币产出!$D$7:$D$306,1),0)</f>
        <v>0</v>
      </c>
      <c r="H22" s="23">
        <f>SUMIF(金币产出!$D$7:$D$306,$D22,金币产出!$X$7:$X$306)</f>
        <v>7200</v>
      </c>
      <c r="I22" s="23">
        <f t="shared" si="0"/>
        <v>1971</v>
      </c>
      <c r="J22" s="23">
        <f t="shared" si="1"/>
        <v>4400</v>
      </c>
      <c r="K22" s="25">
        <f ca="1">VLOOKUP(D22,金币产出!$Y$6:$AG$67,8,0)*($E$17-$H$17*2)+VLOOKUP(D22,金币产出!$Y$6:$AG$67,9,0)</f>
        <v>1847.96</v>
      </c>
      <c r="L22" s="27">
        <f ca="1" t="shared" si="2"/>
        <v>0.0691939479446556</v>
      </c>
      <c r="M22" s="27"/>
      <c r="O22" s="23">
        <v>4</v>
      </c>
      <c r="P22" s="23">
        <f ca="1">OFFSET(金币产出!S$6,MATCH($D22,金币产出!$D$7:$D$306,1),0)*$Q$17</f>
        <v>6042.4</v>
      </c>
      <c r="Q22" s="23">
        <f ca="1">OFFSET(金币产出!T$6,MATCH($D22,金币产出!$D$7:$D$306,1),0)*$P$17</f>
        <v>7636</v>
      </c>
      <c r="R22" s="23">
        <f ca="1">OFFSET(金币产出!U$6,MATCH($D22,金币产出!$D$7:$D$306,1),0)</f>
        <v>0</v>
      </c>
      <c r="S22" s="23">
        <f>SUMIF(金币产出!$D$7:$D$306,$D22,金币产出!$X$7:$X$306)</f>
        <v>7200</v>
      </c>
      <c r="T22" s="23">
        <f t="shared" si="3"/>
        <v>1971</v>
      </c>
      <c r="U22" s="23">
        <f t="shared" si="4"/>
        <v>5720</v>
      </c>
      <c r="V22" s="25">
        <f ca="1">VLOOKUP(O22,金币产出!$Y$6:$AG$67,8,0)*($P$17-$S$17*2)+VLOOKUP(O22,金币产出!$Y$6:$AG$67,9,0)*$S$17</f>
        <v>2699.66666666667</v>
      </c>
      <c r="W22" s="25">
        <f t="shared" si="5"/>
        <v>10000</v>
      </c>
      <c r="Y22" s="23">
        <v>4</v>
      </c>
      <c r="Z22" s="23">
        <f ca="1">OFFSET(金币产出!S$6,MATCH($D22,金币产出!$D$7:$D$306,1),0)*$Q$17</f>
        <v>6042.4</v>
      </c>
      <c r="AA22" s="23">
        <f ca="1">OFFSET(金币产出!T$6,MATCH($D22,金币产出!$D$7:$D$306,1),0)*$Z$17</f>
        <v>7636</v>
      </c>
      <c r="AB22" s="23">
        <f ca="1">OFFSET(金币产出!U$6,MATCH($D22,金币产出!$D$7:$D$306,1),0)</f>
        <v>0</v>
      </c>
      <c r="AC22" s="23">
        <f>SUMIF(金币产出!$E$7:$E$306,$D22,金币产出!$X$7:$X$306)</f>
        <v>12600</v>
      </c>
      <c r="AD22" s="23">
        <f t="shared" si="6"/>
        <v>1971</v>
      </c>
      <c r="AE22" s="23">
        <f t="shared" si="7"/>
        <v>9152</v>
      </c>
      <c r="AF22" s="25">
        <f ca="1">VLOOKUP(Y22,金币产出!$Y$6:$AI$67,10,0)*($Z$17-$AC$17*2)+VLOOKUP(Y22,金币产出!$Y$6:$AI$67,11,0)*$AC$17</f>
        <v>4289.40000000001</v>
      </c>
      <c r="AH22" s="23">
        <v>4</v>
      </c>
      <c r="AI22" s="23">
        <f ca="1">OFFSET(金币产出!S$6,MATCH($D22,金币产出!$D$7:$D$306,1),0)*$Q$17</f>
        <v>6042.4</v>
      </c>
      <c r="AJ22" s="23">
        <f ca="1">OFFSET(金币产出!T$6,MATCH($D22,金币产出!$D$7:$D$306,1),0)*$AI$17</f>
        <v>11786</v>
      </c>
      <c r="AK22" s="23">
        <f ca="1">OFFSET(金币产出!U$6,MATCH($D22,金币产出!$D$7:$D$306,1),0)</f>
        <v>0</v>
      </c>
      <c r="AL22" s="23">
        <f>SUMIF(金币产出!$E$7:$E$306,$D22,金币产出!$X$7:$X$306)</f>
        <v>12600</v>
      </c>
      <c r="AM22" s="23">
        <f t="shared" si="8"/>
        <v>1971</v>
      </c>
      <c r="AN22" s="23">
        <f t="shared" si="9"/>
        <v>12100</v>
      </c>
      <c r="AO22" s="25">
        <f ca="1">VLOOKUP(AH22,金币产出!$Y$6:$AI$67,10,0)*($AI$17-$AL$17*2)+VLOOKUP(AH22,金币产出!$Y$6:$AI$67,11,0)*$AL$17</f>
        <v>4806.90000000001</v>
      </c>
      <c r="AP22" s="23">
        <f ca="1" t="shared" si="10"/>
        <v>0.097490584367515</v>
      </c>
    </row>
    <row r="23" spans="4:42">
      <c r="D23" s="23">
        <v>5</v>
      </c>
      <c r="E23" s="23">
        <f ca="1">OFFSET(金币产出!S$6,MATCH($D23,金币产出!$D$7:$D$306,1),0)*$F$17</f>
        <v>4732</v>
      </c>
      <c r="F23" s="23">
        <f ca="1">OFFSET(金币产出!T$6,MATCH($D23,金币产出!$D$7:$D$306,1),0)*$E$17</f>
        <v>6760</v>
      </c>
      <c r="G23" s="23">
        <f ca="1">OFFSET(金币产出!U$6,MATCH($D23,金币产出!$D$7:$D$306,1),0)</f>
        <v>0</v>
      </c>
      <c r="H23" s="23">
        <f>SUMIF(金币产出!$D$7:$D$306,$D23,金币产出!$X$7:$X$306)</f>
        <v>5400</v>
      </c>
      <c r="I23" s="23">
        <f t="shared" si="0"/>
        <v>1971</v>
      </c>
      <c r="J23" s="23">
        <f t="shared" si="1"/>
        <v>4400</v>
      </c>
      <c r="K23" s="25">
        <f ca="1">VLOOKUP(D23,金币产出!$Y$6:$AG$67,8,0)*($E$17-$H$17*2)+VLOOKUP(D23,金币产出!$Y$6:$AG$67,9,0)</f>
        <v>2830.32</v>
      </c>
      <c r="L23" s="27">
        <f ca="1" t="shared" si="2"/>
        <v>0.10846914076093</v>
      </c>
      <c r="M23" s="27"/>
      <c r="O23" s="23">
        <v>5</v>
      </c>
      <c r="P23" s="23">
        <f ca="1">OFFSET(金币产出!S$6,MATCH($D23,金币产出!$D$7:$D$306,1),0)*$Q$17</f>
        <v>6151.6</v>
      </c>
      <c r="Q23" s="23">
        <f ca="1">OFFSET(金币产出!T$6,MATCH($D23,金币产出!$D$7:$D$306,1),0)*$P$17</f>
        <v>7774</v>
      </c>
      <c r="R23" s="23">
        <f ca="1">OFFSET(金币产出!U$6,MATCH($D23,金币产出!$D$7:$D$306,1),0)</f>
        <v>0</v>
      </c>
      <c r="S23" s="23">
        <f>SUMIF(金币产出!$D$7:$D$306,$D23,金币产出!$X$7:$X$306)</f>
        <v>5400</v>
      </c>
      <c r="T23" s="23">
        <f t="shared" si="3"/>
        <v>1971</v>
      </c>
      <c r="U23" s="23">
        <f t="shared" si="4"/>
        <v>5720</v>
      </c>
      <c r="V23" s="25">
        <f ca="1">VLOOKUP(O23,金币产出!$Y$6:$AG$67,8,0)*($P$17-$S$17*2)+VLOOKUP(O23,金币产出!$Y$6:$AG$67,9,0)*$S$17</f>
        <v>4289.40000000001</v>
      </c>
      <c r="W23" s="25">
        <f t="shared" si="5"/>
        <v>10000</v>
      </c>
      <c r="Y23" s="23">
        <v>5</v>
      </c>
      <c r="Z23" s="23">
        <f ca="1">OFFSET(金币产出!S$6,MATCH($D23,金币产出!$D$7:$D$306,1),0)*$Q$17</f>
        <v>6151.6</v>
      </c>
      <c r="AA23" s="23">
        <f ca="1">OFFSET(金币产出!T$6,MATCH($D23,金币产出!$D$7:$D$306,1),0)*$Z$17</f>
        <v>7774</v>
      </c>
      <c r="AB23" s="23">
        <f ca="1">OFFSET(金币产出!U$6,MATCH($D23,金币产出!$D$7:$D$306,1),0)</f>
        <v>0</v>
      </c>
      <c r="AC23" s="23">
        <f>SUMIF(金币产出!$E$7:$E$306,$D23,金币产出!$X$7:$X$306)</f>
        <v>7200</v>
      </c>
      <c r="AD23" s="23">
        <f t="shared" si="6"/>
        <v>1971</v>
      </c>
      <c r="AE23" s="23">
        <f t="shared" si="7"/>
        <v>9152</v>
      </c>
      <c r="AF23" s="25">
        <f ca="1">VLOOKUP(Y23,金币产出!$Y$6:$AI$67,10,0)*($Z$17-$AC$17*2)+VLOOKUP(Y23,金币产出!$Y$6:$AI$67,11,0)*$AC$17</f>
        <v>6808.53333333335</v>
      </c>
      <c r="AH23" s="23">
        <v>5</v>
      </c>
      <c r="AI23" s="23">
        <f ca="1">OFFSET(金币产出!S$6,MATCH($D23,金币产出!$D$7:$D$306,1),0)*$Q$17</f>
        <v>6151.6</v>
      </c>
      <c r="AJ23" s="23">
        <f ca="1">OFFSET(金币产出!T$6,MATCH($D23,金币产出!$D$7:$D$306,1),0)*$AI$17</f>
        <v>11999</v>
      </c>
      <c r="AK23" s="23">
        <f ca="1">OFFSET(金币产出!U$6,MATCH($D23,金币产出!$D$7:$D$306,1),0)</f>
        <v>0</v>
      </c>
      <c r="AL23" s="23">
        <f>SUMIF(金币产出!$E$7:$E$306,$D23,金币产出!$X$7:$X$306)</f>
        <v>7200</v>
      </c>
      <c r="AM23" s="23">
        <f t="shared" si="8"/>
        <v>1971</v>
      </c>
      <c r="AN23" s="23">
        <f t="shared" si="9"/>
        <v>12100</v>
      </c>
      <c r="AO23" s="25">
        <f ca="1">VLOOKUP(AH23,金币产出!$Y$6:$AI$67,10,0)*($AI$17-$AL$17*2)+VLOOKUP(AH23,金币产出!$Y$6:$AI$67,11,0)*$AL$17</f>
        <v>7383.53333333335</v>
      </c>
      <c r="AP23" s="23">
        <f ca="1" t="shared" si="10"/>
        <v>0.15775050314994</v>
      </c>
    </row>
    <row r="24" spans="4:42">
      <c r="D24" s="23">
        <v>6</v>
      </c>
      <c r="E24" s="23">
        <f ca="1">OFFSET(金币产出!S$6,MATCH($D24,金币产出!$D$7:$D$306,1),0)*$F$17</f>
        <v>4816</v>
      </c>
      <c r="F24" s="23">
        <f ca="1">OFFSET(金币产出!T$6,MATCH($D24,金币产出!$D$7:$D$306,1),0)*$E$17</f>
        <v>6880</v>
      </c>
      <c r="G24" s="23">
        <f ca="1">OFFSET(金币产出!U$6,MATCH($D24,金币产出!$D$7:$D$306,1),0)</f>
        <v>0</v>
      </c>
      <c r="H24" s="23">
        <f>SUMIF(金币产出!$D$7:$D$306,$D24,金币产出!$X$7:$X$306)</f>
        <v>5400</v>
      </c>
      <c r="I24" s="23">
        <f t="shared" si="0"/>
        <v>1971</v>
      </c>
      <c r="J24" s="23">
        <f t="shared" si="1"/>
        <v>4400</v>
      </c>
      <c r="K24" s="25">
        <f ca="1">VLOOKUP(D24,金币产出!$Y$6:$AG$67,8,0)*($E$17-$H$17*2)+VLOOKUP(D24,金币产出!$Y$6:$AG$67,9,0)</f>
        <v>2830.32</v>
      </c>
      <c r="L24" s="27">
        <f ca="1" t="shared" si="2"/>
        <v>0.107627697423159</v>
      </c>
      <c r="M24" s="27"/>
      <c r="O24" s="23">
        <v>6</v>
      </c>
      <c r="P24" s="23">
        <f ca="1">OFFSET(金币产出!S$6,MATCH($D24,金币产出!$D$7:$D$306,1),0)*$Q$17</f>
        <v>6260.8</v>
      </c>
      <c r="Q24" s="23">
        <f ca="1">OFFSET(金币产出!T$6,MATCH($D24,金币产出!$D$7:$D$306,1),0)*$P$17</f>
        <v>7912</v>
      </c>
      <c r="R24" s="23">
        <f ca="1">OFFSET(金币产出!U$6,MATCH($D24,金币产出!$D$7:$D$306,1),0)</f>
        <v>0</v>
      </c>
      <c r="S24" s="23">
        <f>SUMIF(金币产出!$D$7:$D$306,$D24,金币产出!$X$7:$X$306)</f>
        <v>5400</v>
      </c>
      <c r="T24" s="23">
        <f t="shared" si="3"/>
        <v>1971</v>
      </c>
      <c r="U24" s="23">
        <f t="shared" si="4"/>
        <v>5720</v>
      </c>
      <c r="V24" s="25">
        <f ca="1">VLOOKUP(O24,金币产出!$Y$6:$AG$67,8,0)*($P$17-$S$17*2)+VLOOKUP(O24,金币产出!$Y$6:$AG$67,9,0)*$S$17</f>
        <v>4289.40000000001</v>
      </c>
      <c r="W24" s="25">
        <f t="shared" si="5"/>
        <v>10000</v>
      </c>
      <c r="Y24" s="23">
        <v>6</v>
      </c>
      <c r="Z24" s="23">
        <f ca="1">OFFSET(金币产出!S$6,MATCH($D24,金币产出!$D$7:$D$306,1),0)*$Q$17</f>
        <v>6260.8</v>
      </c>
      <c r="AA24" s="23">
        <f ca="1">OFFSET(金币产出!T$6,MATCH($D24,金币产出!$D$7:$D$306,1),0)*$Z$17</f>
        <v>7912</v>
      </c>
      <c r="AB24" s="23">
        <f ca="1">OFFSET(金币产出!U$6,MATCH($D24,金币产出!$D$7:$D$306,1),0)</f>
        <v>0</v>
      </c>
      <c r="AC24" s="23">
        <f>SUMIF(金币产出!$E$7:$E$306,$D24,金币产出!$X$7:$X$306)</f>
        <v>5400</v>
      </c>
      <c r="AD24" s="23">
        <f t="shared" si="6"/>
        <v>1971</v>
      </c>
      <c r="AE24" s="23">
        <f t="shared" si="7"/>
        <v>9152</v>
      </c>
      <c r="AF24" s="25">
        <f ca="1">VLOOKUP(Y24,金币产出!$Y$6:$AI$67,10,0)*($Z$17-$AC$17*2)+VLOOKUP(Y24,金币产出!$Y$6:$AI$67,11,0)*$AC$17</f>
        <v>6808.53333333335</v>
      </c>
      <c r="AH24" s="23">
        <v>6</v>
      </c>
      <c r="AI24" s="23">
        <f ca="1">OFFSET(金币产出!S$6,MATCH($D24,金币产出!$D$7:$D$306,1),0)*$Q$17</f>
        <v>6260.8</v>
      </c>
      <c r="AJ24" s="23">
        <f ca="1">OFFSET(金币产出!T$6,MATCH($D24,金币产出!$D$7:$D$306,1),0)*$AI$17</f>
        <v>12212</v>
      </c>
      <c r="AK24" s="23">
        <f ca="1">OFFSET(金币产出!U$6,MATCH($D24,金币产出!$D$7:$D$306,1),0)</f>
        <v>0</v>
      </c>
      <c r="AL24" s="23">
        <f>SUMIF(金币产出!$E$7:$E$306,$D24,金币产出!$X$7:$X$306)</f>
        <v>5400</v>
      </c>
      <c r="AM24" s="23">
        <f t="shared" si="8"/>
        <v>1971</v>
      </c>
      <c r="AN24" s="23">
        <f t="shared" si="9"/>
        <v>12100</v>
      </c>
      <c r="AO24" s="25">
        <f ca="1">VLOOKUP(AH24,金币产出!$Y$6:$AI$67,10,0)*($AI$17-$AL$17*2)+VLOOKUP(AH24,金币产出!$Y$6:$AI$67,11,0)*$AL$17</f>
        <v>7383.53333333335</v>
      </c>
      <c r="AP24" s="23">
        <f ca="1" t="shared" si="10"/>
        <v>0.162893618273007</v>
      </c>
    </row>
    <row r="25" spans="4:42">
      <c r="D25" s="23">
        <v>7</v>
      </c>
      <c r="E25" s="23">
        <f ca="1">OFFSET(金币产出!S$6,MATCH($D25,金币产出!$D$7:$D$306,1),0)*$F$17</f>
        <v>4900</v>
      </c>
      <c r="F25" s="23">
        <f ca="1">OFFSET(金币产出!T$6,MATCH($D25,金币产出!$D$7:$D$306,1),0)*$E$17</f>
        <v>7000</v>
      </c>
      <c r="G25" s="23">
        <f ca="1">OFFSET(金币产出!U$6,MATCH($D25,金币产出!$D$7:$D$306,1),0)</f>
        <v>0</v>
      </c>
      <c r="H25" s="23">
        <f>SUMIF(金币产出!$D$7:$D$306,$D25,金币产出!$X$7:$X$306)</f>
        <v>5400</v>
      </c>
      <c r="I25" s="23">
        <f t="shared" si="0"/>
        <v>1971</v>
      </c>
      <c r="J25" s="23">
        <f t="shared" si="1"/>
        <v>4400</v>
      </c>
      <c r="K25" s="25">
        <f ca="1">VLOOKUP(D25,金币产出!$Y$6:$AG$67,8,0)*($E$17-$H$17*2)+VLOOKUP(D25,金币产出!$Y$6:$AG$67,9,0)</f>
        <v>2917.72</v>
      </c>
      <c r="L25" s="27">
        <f ca="1" t="shared" si="2"/>
        <v>0.109735256153737</v>
      </c>
      <c r="M25" s="27"/>
      <c r="O25" s="23">
        <v>7</v>
      </c>
      <c r="P25" s="23">
        <f ca="1">OFFSET(金币产出!S$6,MATCH($D25,金币产出!$D$7:$D$306,1),0)*$Q$17</f>
        <v>6370</v>
      </c>
      <c r="Q25" s="23">
        <f ca="1">OFFSET(金币产出!T$6,MATCH($D25,金币产出!$D$7:$D$306,1),0)*$P$17</f>
        <v>8050</v>
      </c>
      <c r="R25" s="23">
        <f ca="1">OFFSET(金币产出!U$6,MATCH($D25,金币产出!$D$7:$D$306,1),0)</f>
        <v>0</v>
      </c>
      <c r="S25" s="23">
        <f>SUMIF(金币产出!$D$7:$D$306,$D25,金币产出!$X$7:$X$306)</f>
        <v>5400</v>
      </c>
      <c r="T25" s="23">
        <f t="shared" si="3"/>
        <v>1971</v>
      </c>
      <c r="U25" s="23">
        <f t="shared" si="4"/>
        <v>5720</v>
      </c>
      <c r="V25" s="25">
        <f ca="1">VLOOKUP(O25,金币产出!$Y$6:$AG$67,8,0)*($P$17-$S$17*2)+VLOOKUP(O25,金币产出!$Y$6:$AG$67,9,0)*$S$17</f>
        <v>4387.53333333334</v>
      </c>
      <c r="W25" s="25">
        <f t="shared" si="5"/>
        <v>10000</v>
      </c>
      <c r="Y25" s="23">
        <v>7</v>
      </c>
      <c r="Z25" s="23">
        <f ca="1">OFFSET(金币产出!S$6,MATCH($D25,金币产出!$D$7:$D$306,1),0)*$Q$17</f>
        <v>6370</v>
      </c>
      <c r="AA25" s="23">
        <f ca="1">OFFSET(金币产出!T$6,MATCH($D25,金币产出!$D$7:$D$306,1),0)*$Z$17</f>
        <v>8050</v>
      </c>
      <c r="AB25" s="23">
        <f ca="1">OFFSET(金币产出!U$6,MATCH($D25,金币产出!$D$7:$D$306,1),0)</f>
        <v>0</v>
      </c>
      <c r="AC25" s="23">
        <f>SUMIF(金币产出!$E$7:$E$306,$D25,金币产出!$X$7:$X$306)</f>
        <v>5400</v>
      </c>
      <c r="AD25" s="23">
        <f t="shared" si="6"/>
        <v>1971</v>
      </c>
      <c r="AE25" s="23">
        <f t="shared" si="7"/>
        <v>9152</v>
      </c>
      <c r="AF25" s="25">
        <f ca="1">VLOOKUP(Y25,金币产出!$Y$6:$AI$67,10,0)*($Z$17-$AC$17*2)+VLOOKUP(Y25,金币产出!$Y$6:$AI$67,11,0)*$AC$17</f>
        <v>7004.80000000001</v>
      </c>
      <c r="AH25" s="23">
        <v>7</v>
      </c>
      <c r="AI25" s="23">
        <f ca="1">OFFSET(金币产出!S$6,MATCH($D25,金币产出!$D$7:$D$306,1),0)*$Q$17</f>
        <v>6370</v>
      </c>
      <c r="AJ25" s="23">
        <f ca="1">OFFSET(金币产出!T$6,MATCH($D25,金币产出!$D$7:$D$306,1),0)*$AI$17</f>
        <v>12425</v>
      </c>
      <c r="AK25" s="23">
        <f ca="1">OFFSET(金币产出!U$6,MATCH($D25,金币产出!$D$7:$D$306,1),0)</f>
        <v>0</v>
      </c>
      <c r="AL25" s="23">
        <f>SUMIF(金币产出!$E$7:$E$306,$D25,金币产出!$X$7:$X$306)</f>
        <v>5400</v>
      </c>
      <c r="AM25" s="23">
        <f t="shared" si="8"/>
        <v>1971</v>
      </c>
      <c r="AN25" s="23">
        <f t="shared" si="9"/>
        <v>12100</v>
      </c>
      <c r="AO25" s="25">
        <f ca="1">VLOOKUP(AH25,金币产出!$Y$6:$AI$67,10,0)*($AI$17-$AL$17*2)+VLOOKUP(AH25,金币产出!$Y$6:$AI$67,11,0)*$AL$17</f>
        <v>7694.80000000001</v>
      </c>
      <c r="AP25" s="23">
        <f ca="1" t="shared" si="10"/>
        <v>0.167420932620842</v>
      </c>
    </row>
    <row r="26" spans="4:42">
      <c r="D26" s="23">
        <v>8</v>
      </c>
      <c r="E26" s="23">
        <f ca="1">OFFSET(金币产出!S$6,MATCH($D26,金币产出!$D$7:$D$306,1),0)*$F$17</f>
        <v>4984</v>
      </c>
      <c r="F26" s="23">
        <f ca="1">OFFSET(金币产出!T$6,MATCH($D26,金币产出!$D$7:$D$306,1),0)*$E$17</f>
        <v>7120</v>
      </c>
      <c r="G26" s="23">
        <f ca="1">OFFSET(金币产出!U$6,MATCH($D26,金币产出!$D$7:$D$306,1),0)</f>
        <v>0</v>
      </c>
      <c r="H26" s="23">
        <f>SUMIF(金币产出!$D$7:$D$306,$D26,金币产出!$X$7:$X$306)</f>
        <v>5400</v>
      </c>
      <c r="I26" s="23">
        <f t="shared" si="0"/>
        <v>1971</v>
      </c>
      <c r="J26" s="23">
        <f t="shared" si="1"/>
        <v>4400</v>
      </c>
      <c r="K26" s="25">
        <f ca="1">VLOOKUP(D26,金币产出!$Y$6:$AG$67,8,0)*($E$17-$H$17*2)+VLOOKUP(D26,金币产出!$Y$6:$AG$67,9,0)</f>
        <v>2917.72</v>
      </c>
      <c r="L26" s="27">
        <f ca="1" t="shared" si="2"/>
        <v>0.108899730971697</v>
      </c>
      <c r="M26" s="27"/>
      <c r="O26" s="23">
        <v>8</v>
      </c>
      <c r="P26" s="23">
        <f ca="1">OFFSET(金币产出!S$6,MATCH($D26,金币产出!$D$7:$D$306,1),0)*$Q$17</f>
        <v>6479.2</v>
      </c>
      <c r="Q26" s="23">
        <f ca="1">OFFSET(金币产出!T$6,MATCH($D26,金币产出!$D$7:$D$306,1),0)*$P$17</f>
        <v>8188</v>
      </c>
      <c r="R26" s="23">
        <f ca="1">OFFSET(金币产出!U$6,MATCH($D26,金币产出!$D$7:$D$306,1),0)</f>
        <v>0</v>
      </c>
      <c r="S26" s="23">
        <f>SUMIF(金币产出!$D$7:$D$306,$D26,金币产出!$X$7:$X$306)</f>
        <v>5400</v>
      </c>
      <c r="T26" s="23">
        <f t="shared" si="3"/>
        <v>1971</v>
      </c>
      <c r="U26" s="23">
        <f t="shared" si="4"/>
        <v>5720</v>
      </c>
      <c r="V26" s="25">
        <f ca="1">VLOOKUP(O26,金币产出!$Y$6:$AG$67,8,0)*($P$17-$S$17*2)+VLOOKUP(O26,金币产出!$Y$6:$AG$67,9,0)*$S$17</f>
        <v>4387.53333333334</v>
      </c>
      <c r="W26" s="25">
        <f t="shared" si="5"/>
        <v>10000</v>
      </c>
      <c r="Y26" s="23">
        <v>8</v>
      </c>
      <c r="Z26" s="23">
        <f ca="1">OFFSET(金币产出!S$6,MATCH($D26,金币产出!$D$7:$D$306,1),0)*$Q$17</f>
        <v>6479.2</v>
      </c>
      <c r="AA26" s="23">
        <f ca="1">OFFSET(金币产出!T$6,MATCH($D26,金币产出!$D$7:$D$306,1),0)*$Z$17</f>
        <v>8188</v>
      </c>
      <c r="AB26" s="23">
        <f ca="1">OFFSET(金币产出!U$6,MATCH($D26,金币产出!$D$7:$D$306,1),0)</f>
        <v>0</v>
      </c>
      <c r="AC26" s="23">
        <f>SUMIF(金币产出!$E$7:$E$306,$D26,金币产出!$X$7:$X$306)</f>
        <v>5400</v>
      </c>
      <c r="AD26" s="23">
        <f t="shared" si="6"/>
        <v>1971</v>
      </c>
      <c r="AE26" s="23">
        <f t="shared" si="7"/>
        <v>9152</v>
      </c>
      <c r="AF26" s="25">
        <f ca="1">VLOOKUP(Y26,金币产出!$Y$6:$AI$67,10,0)*($Z$17-$AC$17*2)+VLOOKUP(Y26,金币产出!$Y$6:$AI$67,11,0)*$AC$17</f>
        <v>7004.80000000001</v>
      </c>
      <c r="AH26" s="23">
        <v>8</v>
      </c>
      <c r="AI26" s="23">
        <f ca="1">OFFSET(金币产出!S$6,MATCH($D26,金币产出!$D$7:$D$306,1),0)*$Q$17</f>
        <v>6479.2</v>
      </c>
      <c r="AJ26" s="23">
        <f ca="1">OFFSET(金币产出!T$6,MATCH($D26,金币产出!$D$7:$D$306,1),0)*$AI$17</f>
        <v>12638</v>
      </c>
      <c r="AK26" s="23">
        <f ca="1">OFFSET(金币产出!U$6,MATCH($D26,金币产出!$D$7:$D$306,1),0)</f>
        <v>0</v>
      </c>
      <c r="AL26" s="23">
        <f>SUMIF(金币产出!$E$7:$E$306,$D26,金币产出!$X$7:$X$306)</f>
        <v>5400</v>
      </c>
      <c r="AM26" s="23">
        <f t="shared" si="8"/>
        <v>1971</v>
      </c>
      <c r="AN26" s="23">
        <f t="shared" si="9"/>
        <v>12100</v>
      </c>
      <c r="AO26" s="25">
        <f ca="1">VLOOKUP(AH26,金币产出!$Y$6:$AI$67,10,0)*($AI$17-$AL$17*2)+VLOOKUP(AH26,金币产出!$Y$6:$AI$67,11,0)*$AL$17</f>
        <v>7694.80000000001</v>
      </c>
      <c r="AP26" s="23">
        <f ca="1" t="shared" si="10"/>
        <v>0.166255428559082</v>
      </c>
    </row>
    <row r="27" spans="4:42">
      <c r="D27" s="23">
        <v>9</v>
      </c>
      <c r="E27" s="23">
        <f ca="1">OFFSET(金币产出!S$6,MATCH($D27,金币产出!$D$7:$D$306,1),0)*$F$17</f>
        <v>5040</v>
      </c>
      <c r="F27" s="23">
        <f ca="1">OFFSET(金币产出!T$6,MATCH($D27,金币产出!$D$7:$D$306,1),0)*$E$17</f>
        <v>7200</v>
      </c>
      <c r="G27" s="23">
        <f ca="1">OFFSET(金币产出!U$6,MATCH($D27,金币产出!$D$7:$D$306,1),0)</f>
        <v>0</v>
      </c>
      <c r="H27" s="23">
        <f>SUMIF(金币产出!$D$7:$D$306,$D27,金币产出!$X$7:$X$306)</f>
        <v>3600</v>
      </c>
      <c r="I27" s="23">
        <f t="shared" si="0"/>
        <v>1971</v>
      </c>
      <c r="J27" s="23">
        <f t="shared" si="1"/>
        <v>4400</v>
      </c>
      <c r="K27" s="25">
        <f ca="1">VLOOKUP(D27,金币产出!$Y$6:$AG$67,8,0)*($E$17-$H$17*2)+VLOOKUP(D27,金币产出!$Y$6:$AG$67,9,0)</f>
        <v>4370.32</v>
      </c>
      <c r="L27" s="27">
        <f ca="1" t="shared" si="2"/>
        <v>0.164413204460877</v>
      </c>
      <c r="M27" s="27"/>
      <c r="O27" s="23">
        <v>9</v>
      </c>
      <c r="P27" s="23">
        <f ca="1">OFFSET(金币产出!S$6,MATCH($D27,金币产出!$D$7:$D$306,1),0)*$Q$17</f>
        <v>6552</v>
      </c>
      <c r="Q27" s="23">
        <f ca="1">OFFSET(金币产出!T$6,MATCH($D27,金币产出!$D$7:$D$306,1),0)*$P$17</f>
        <v>8280</v>
      </c>
      <c r="R27" s="23">
        <f ca="1">OFFSET(金币产出!U$6,MATCH($D27,金币产出!$D$7:$D$306,1),0)</f>
        <v>0</v>
      </c>
      <c r="S27" s="23">
        <f>SUMIF(金币产出!$D$7:$D$306,$D27,金币产出!$X$7:$X$306)</f>
        <v>3600</v>
      </c>
      <c r="T27" s="23">
        <f t="shared" si="3"/>
        <v>1971</v>
      </c>
      <c r="U27" s="23">
        <f t="shared" si="4"/>
        <v>5720</v>
      </c>
      <c r="V27" s="25">
        <f ca="1">VLOOKUP(O27,金币产出!$Y$6:$AG$67,8,0)*($P$17-$S$17*2)+VLOOKUP(O27,金币产出!$Y$6:$AG$67,9,0)*$S$17</f>
        <v>6808.53333333335</v>
      </c>
      <c r="W27" s="25">
        <f t="shared" si="5"/>
        <v>10000</v>
      </c>
      <c r="Y27" s="23">
        <v>9</v>
      </c>
      <c r="Z27" s="23">
        <f ca="1">OFFSET(金币产出!S$6,MATCH($D27,金币产出!$D$7:$D$306,1),0)*$Q$17</f>
        <v>6552</v>
      </c>
      <c r="AA27" s="23">
        <f ca="1">OFFSET(金币产出!T$6,MATCH($D27,金币产出!$D$7:$D$306,1),0)*$Z$17</f>
        <v>8280</v>
      </c>
      <c r="AB27" s="23">
        <f ca="1">OFFSET(金币产出!U$6,MATCH($D27,金币产出!$D$7:$D$306,1),0)</f>
        <v>0</v>
      </c>
      <c r="AC27" s="23">
        <f>SUMIF(金币产出!$E$7:$E$306,$D27,金币产出!$X$7:$X$306)</f>
        <v>5400</v>
      </c>
      <c r="AD27" s="23">
        <f t="shared" si="6"/>
        <v>1971</v>
      </c>
      <c r="AE27" s="23">
        <f t="shared" si="7"/>
        <v>9152</v>
      </c>
      <c r="AF27" s="25">
        <f ca="1">VLOOKUP(Y27,金币产出!$Y$6:$AI$67,10,0)*($Z$17-$AC$17*2)+VLOOKUP(Y27,金币产出!$Y$6:$AI$67,11,0)*$AC$17</f>
        <v>9559.60000000002</v>
      </c>
      <c r="AH27" s="23">
        <v>9</v>
      </c>
      <c r="AI27" s="23">
        <f ca="1">OFFSET(金币产出!S$6,MATCH($D27,金币产出!$D$7:$D$306,1),0)*$Q$17</f>
        <v>6552</v>
      </c>
      <c r="AJ27" s="23">
        <f ca="1">OFFSET(金币产出!T$6,MATCH($D27,金币产出!$D$7:$D$306,1),0)*$AI$17</f>
        <v>12780</v>
      </c>
      <c r="AK27" s="23">
        <f ca="1">OFFSET(金币产出!U$6,MATCH($D27,金币产出!$D$7:$D$306,1),0)</f>
        <v>0</v>
      </c>
      <c r="AL27" s="23">
        <f>SUMIF(金币产出!$E$7:$E$306,$D27,金币产出!$X$7:$X$306)</f>
        <v>5400</v>
      </c>
      <c r="AM27" s="23">
        <f t="shared" si="8"/>
        <v>1971</v>
      </c>
      <c r="AN27" s="23">
        <f t="shared" si="9"/>
        <v>12100</v>
      </c>
      <c r="AO27" s="25">
        <f ca="1">VLOOKUP(AH27,金币产出!$Y$6:$AI$67,10,0)*($AI$17-$AL$17*2)+VLOOKUP(AH27,金币产出!$Y$6:$AI$67,11,0)*$AL$17</f>
        <v>10249.6</v>
      </c>
      <c r="AP27" s="23">
        <f ca="1" t="shared" si="10"/>
        <v>0.208951207479318</v>
      </c>
    </row>
    <row r="28" spans="4:42">
      <c r="D28" s="23">
        <v>10</v>
      </c>
      <c r="E28" s="23">
        <f ca="1">OFFSET(金币产出!S$6,MATCH($D28,金币产出!$D$7:$D$306,1),0)*$F$17</f>
        <v>5096</v>
      </c>
      <c r="F28" s="23">
        <f ca="1">OFFSET(金币产出!T$6,MATCH($D28,金币产出!$D$7:$D$306,1),0)*$E$17</f>
        <v>7280</v>
      </c>
      <c r="G28" s="23">
        <f ca="1">OFFSET(金币产出!U$6,MATCH($D28,金币产出!$D$7:$D$306,1),0)</f>
        <v>0</v>
      </c>
      <c r="H28" s="23">
        <f>SUMIF(金币产出!$D$7:$D$306,$D28,金币产出!$X$7:$X$306)</f>
        <v>3600</v>
      </c>
      <c r="I28" s="23">
        <f t="shared" si="0"/>
        <v>1971</v>
      </c>
      <c r="J28" s="23">
        <f t="shared" si="1"/>
        <v>4400</v>
      </c>
      <c r="K28" s="25">
        <f ca="1">VLOOKUP(D28,金币产出!$Y$6:$AG$67,8,0)*($E$17-$H$17*2)+VLOOKUP(D28,金币产出!$Y$6:$AG$67,9,0)</f>
        <v>4370.32</v>
      </c>
      <c r="L28" s="27">
        <f ca="1" t="shared" si="2"/>
        <v>0.163576286843141</v>
      </c>
      <c r="M28" s="27"/>
      <c r="O28" s="23">
        <v>10</v>
      </c>
      <c r="P28" s="23">
        <f ca="1">OFFSET(金币产出!S$6,MATCH($D28,金币产出!$D$7:$D$306,1),0)*$Q$17</f>
        <v>6624.8</v>
      </c>
      <c r="Q28" s="23">
        <f ca="1">OFFSET(金币产出!T$6,MATCH($D28,金币产出!$D$7:$D$306,1),0)*$P$17</f>
        <v>8372</v>
      </c>
      <c r="R28" s="23">
        <f ca="1">OFFSET(金币产出!U$6,MATCH($D28,金币产出!$D$7:$D$306,1),0)</f>
        <v>0</v>
      </c>
      <c r="S28" s="23">
        <f>SUMIF(金币产出!$D$7:$D$306,$D28,金币产出!$X$7:$X$306)</f>
        <v>3600</v>
      </c>
      <c r="T28" s="23">
        <f t="shared" si="3"/>
        <v>1971</v>
      </c>
      <c r="U28" s="23">
        <f t="shared" si="4"/>
        <v>5720</v>
      </c>
      <c r="V28" s="25">
        <f ca="1">VLOOKUP(O28,金币产出!$Y$6:$AG$67,8,0)*($P$17-$S$17*2)+VLOOKUP(O28,金币产出!$Y$6:$AG$67,9,0)*$S$17</f>
        <v>6808.53333333335</v>
      </c>
      <c r="W28" s="25">
        <f t="shared" si="5"/>
        <v>10000</v>
      </c>
      <c r="Y28" s="23">
        <v>10</v>
      </c>
      <c r="Z28" s="23">
        <f ca="1">OFFSET(金币产出!S$6,MATCH($D28,金币产出!$D$7:$D$306,1),0)*$Q$17</f>
        <v>6624.8</v>
      </c>
      <c r="AA28" s="23">
        <f ca="1">OFFSET(金币产出!T$6,MATCH($D28,金币产出!$D$7:$D$306,1),0)*$Z$17</f>
        <v>8372</v>
      </c>
      <c r="AB28" s="23">
        <f ca="1">OFFSET(金币产出!U$6,MATCH($D28,金币产出!$D$7:$D$306,1),0)</f>
        <v>0</v>
      </c>
      <c r="AC28" s="23">
        <f>SUMIF(金币产出!$E$7:$E$306,$D28,金币产出!$X$7:$X$306)</f>
        <v>5400</v>
      </c>
      <c r="AD28" s="23">
        <f t="shared" si="6"/>
        <v>1971</v>
      </c>
      <c r="AE28" s="23">
        <f t="shared" si="7"/>
        <v>9152</v>
      </c>
      <c r="AF28" s="25">
        <f ca="1">VLOOKUP(Y28,金币产出!$Y$6:$AI$67,10,0)*($Z$17-$AC$17*2)+VLOOKUP(Y28,金币产出!$Y$6:$AI$67,11,0)*$AC$17</f>
        <v>9559.60000000002</v>
      </c>
      <c r="AH28" s="23">
        <v>10</v>
      </c>
      <c r="AI28" s="23">
        <f ca="1">OFFSET(金币产出!S$6,MATCH($D28,金币产出!$D$7:$D$306,1),0)*$Q$17</f>
        <v>6624.8</v>
      </c>
      <c r="AJ28" s="23">
        <f ca="1">OFFSET(金币产出!T$6,MATCH($D28,金币产出!$D$7:$D$306,1),0)*$AI$17</f>
        <v>12922</v>
      </c>
      <c r="AK28" s="23">
        <f ca="1">OFFSET(金币产出!U$6,MATCH($D28,金币产出!$D$7:$D$306,1),0)</f>
        <v>0</v>
      </c>
      <c r="AL28" s="23">
        <f>SUMIF(金币产出!$E$7:$E$306,$D28,金币产出!$X$7:$X$306)</f>
        <v>5400</v>
      </c>
      <c r="AM28" s="23">
        <f t="shared" si="8"/>
        <v>1971</v>
      </c>
      <c r="AN28" s="23">
        <f t="shared" si="9"/>
        <v>12100</v>
      </c>
      <c r="AO28" s="25">
        <f ca="1">VLOOKUP(AH28,金币产出!$Y$6:$AI$67,10,0)*($AI$17-$AL$17*2)+VLOOKUP(AH28,金币产出!$Y$6:$AI$67,11,0)*$AL$17</f>
        <v>10249.6</v>
      </c>
      <c r="AP28" s="23">
        <f ca="1" t="shared" si="10"/>
        <v>0.208040205084904</v>
      </c>
    </row>
    <row r="29" spans="4:42">
      <c r="D29" s="23">
        <v>11</v>
      </c>
      <c r="E29" s="23">
        <f ca="1">OFFSET(金币产出!S$6,MATCH($D29,金币产出!$D$7:$D$306,1),0)*$F$17</f>
        <v>5152</v>
      </c>
      <c r="F29" s="23">
        <f ca="1">OFFSET(金币产出!T$6,MATCH($D29,金币产出!$D$7:$D$306,1),0)*$E$17</f>
        <v>7360</v>
      </c>
      <c r="G29" s="23">
        <f ca="1">OFFSET(金币产出!U$6,MATCH($D29,金币产出!$D$7:$D$306,1),0)</f>
        <v>0</v>
      </c>
      <c r="H29" s="23">
        <f>SUMIF(金币产出!$D$7:$D$306,$D29,金币产出!$X$7:$X$306)</f>
        <v>3600</v>
      </c>
      <c r="I29" s="23">
        <f t="shared" si="0"/>
        <v>1971</v>
      </c>
      <c r="J29" s="23">
        <f t="shared" si="1"/>
        <v>4400</v>
      </c>
      <c r="K29" s="25">
        <f ca="1">VLOOKUP(D29,金币产出!$Y$6:$AG$67,8,0)*($E$17-$H$17*2)+VLOOKUP(D29,金币产出!$Y$6:$AG$67,9,0)</f>
        <v>4545.12</v>
      </c>
      <c r="L29" s="27">
        <f ca="1" t="shared" si="2"/>
        <v>0.168162639502859</v>
      </c>
      <c r="M29" s="27"/>
      <c r="O29" s="23">
        <v>11</v>
      </c>
      <c r="P29" s="23">
        <f ca="1">OFFSET(金币产出!S$6,MATCH($D29,金币产出!$D$7:$D$306,1),0)*$Q$17</f>
        <v>6697.6</v>
      </c>
      <c r="Q29" s="23">
        <f ca="1">OFFSET(金币产出!T$6,MATCH($D29,金币产出!$D$7:$D$306,1),0)*$P$17</f>
        <v>8464</v>
      </c>
      <c r="R29" s="23">
        <f ca="1">OFFSET(金币产出!U$6,MATCH($D29,金币产出!$D$7:$D$306,1),0)</f>
        <v>0</v>
      </c>
      <c r="S29" s="23">
        <f>SUMIF(金币产出!$D$7:$D$306,$D29,金币产出!$X$7:$X$306)</f>
        <v>3600</v>
      </c>
      <c r="T29" s="23">
        <f t="shared" si="3"/>
        <v>1971</v>
      </c>
      <c r="U29" s="23">
        <f t="shared" si="4"/>
        <v>5720</v>
      </c>
      <c r="V29" s="25">
        <f ca="1">VLOOKUP(O29,金币产出!$Y$6:$AG$67,8,0)*($P$17-$S$17*2)+VLOOKUP(O29,金币产出!$Y$6:$AG$67,9,0)*$S$17</f>
        <v>7004.80000000001</v>
      </c>
      <c r="W29" s="25">
        <f t="shared" si="5"/>
        <v>10000</v>
      </c>
      <c r="Y29" s="23">
        <v>11</v>
      </c>
      <c r="Z29" s="23">
        <f ca="1">OFFSET(金币产出!S$6,MATCH($D29,金币产出!$D$7:$D$306,1),0)*$Q$17</f>
        <v>6697.6</v>
      </c>
      <c r="AA29" s="23">
        <f ca="1">OFFSET(金币产出!T$6,MATCH($D29,金币产出!$D$7:$D$306,1),0)*$Z$17</f>
        <v>8464</v>
      </c>
      <c r="AB29" s="23">
        <f ca="1">OFFSET(金币产出!U$6,MATCH($D29,金币产出!$D$7:$D$306,1),0)</f>
        <v>0</v>
      </c>
      <c r="AC29" s="23">
        <f>SUMIF(金币产出!$E$7:$E$306,$D29,金币产出!$X$7:$X$306)</f>
        <v>5400</v>
      </c>
      <c r="AD29" s="23">
        <f t="shared" si="6"/>
        <v>1971</v>
      </c>
      <c r="AE29" s="23">
        <f t="shared" si="7"/>
        <v>9152</v>
      </c>
      <c r="AF29" s="25">
        <f ca="1">VLOOKUP(Y29,金币产出!$Y$6:$AI$67,10,0)*($Z$17-$AC$17*2)+VLOOKUP(Y29,金币产出!$Y$6:$AI$67,11,0)*$AC$17</f>
        <v>9755.86666666668</v>
      </c>
      <c r="AH29" s="23">
        <v>11</v>
      </c>
      <c r="AI29" s="23">
        <f ca="1">OFFSET(金币产出!S$6,MATCH($D29,金币产出!$D$7:$D$306,1),0)*$Q$17</f>
        <v>6697.6</v>
      </c>
      <c r="AJ29" s="23">
        <f ca="1">OFFSET(金币产出!T$6,MATCH($D29,金币产出!$D$7:$D$306,1),0)*$AI$17</f>
        <v>13064</v>
      </c>
      <c r="AK29" s="23">
        <f ca="1">OFFSET(金币产出!U$6,MATCH($D29,金币产出!$D$7:$D$306,1),0)</f>
        <v>0</v>
      </c>
      <c r="AL29" s="23">
        <f>SUMIF(金币产出!$E$7:$E$306,$D29,金币产出!$X$7:$X$306)</f>
        <v>5400</v>
      </c>
      <c r="AM29" s="23">
        <f t="shared" si="8"/>
        <v>1971</v>
      </c>
      <c r="AN29" s="23">
        <f t="shared" si="9"/>
        <v>12100</v>
      </c>
      <c r="AO29" s="25">
        <f ca="1">VLOOKUP(AH29,金币产出!$Y$6:$AI$67,10,0)*($AI$17-$AL$17*2)+VLOOKUP(AH29,金币产出!$Y$6:$AI$67,11,0)*$AL$17</f>
        <v>10560.8666666667</v>
      </c>
      <c r="AP29" s="23">
        <f ca="1" t="shared" si="10"/>
        <v>0.212093420555843</v>
      </c>
    </row>
    <row r="30" spans="4:42">
      <c r="D30" s="23">
        <v>12</v>
      </c>
      <c r="E30" s="23">
        <f ca="1">OFFSET(金币产出!S$6,MATCH($D30,金币产出!$D$7:$D$306,1),0)*$F$17</f>
        <v>5208</v>
      </c>
      <c r="F30" s="23">
        <f ca="1">OFFSET(金币产出!T$6,MATCH($D30,金币产出!$D$7:$D$306,1),0)*$E$17</f>
        <v>7440</v>
      </c>
      <c r="G30" s="23">
        <f ca="1">OFFSET(金币产出!U$6,MATCH($D30,金币产出!$D$7:$D$306,1),0)</f>
        <v>0</v>
      </c>
      <c r="H30" s="23">
        <f>SUMIF(金币产出!$D$7:$D$306,$D30,金币产出!$X$7:$X$306)</f>
        <v>3600</v>
      </c>
      <c r="I30" s="23">
        <f t="shared" si="0"/>
        <v>1971</v>
      </c>
      <c r="J30" s="23">
        <f t="shared" si="1"/>
        <v>4400</v>
      </c>
      <c r="K30" s="25">
        <f ca="1">VLOOKUP(D30,金币产出!$Y$6:$AG$67,8,0)*($E$17-$H$17*2)+VLOOKUP(D30,金币产出!$Y$6:$AG$67,9,0)</f>
        <v>4545.12</v>
      </c>
      <c r="L30" s="27">
        <f ca="1" t="shared" si="2"/>
        <v>0.16732071570881</v>
      </c>
      <c r="M30" s="27"/>
      <c r="O30" s="23">
        <v>12</v>
      </c>
      <c r="P30" s="23">
        <f ca="1">OFFSET(金币产出!S$6,MATCH($D30,金币产出!$D$7:$D$306,1),0)*$Q$17</f>
        <v>6770.4</v>
      </c>
      <c r="Q30" s="23">
        <f ca="1">OFFSET(金币产出!T$6,MATCH($D30,金币产出!$D$7:$D$306,1),0)*$P$17</f>
        <v>8556</v>
      </c>
      <c r="R30" s="23">
        <f ca="1">OFFSET(金币产出!U$6,MATCH($D30,金币产出!$D$7:$D$306,1),0)</f>
        <v>0</v>
      </c>
      <c r="S30" s="23">
        <f>SUMIF(金币产出!$D$7:$D$306,$D30,金币产出!$X$7:$X$306)</f>
        <v>3600</v>
      </c>
      <c r="T30" s="23">
        <f t="shared" si="3"/>
        <v>1971</v>
      </c>
      <c r="U30" s="23">
        <f t="shared" si="4"/>
        <v>5720</v>
      </c>
      <c r="V30" s="25">
        <f ca="1">VLOOKUP(O30,金币产出!$Y$6:$AG$67,8,0)*($P$17-$S$17*2)+VLOOKUP(O30,金币产出!$Y$6:$AG$67,9,0)*$S$17</f>
        <v>7004.80000000001</v>
      </c>
      <c r="W30" s="25">
        <f t="shared" si="5"/>
        <v>10000</v>
      </c>
      <c r="Y30" s="23">
        <v>12</v>
      </c>
      <c r="Z30" s="23">
        <f ca="1">OFFSET(金币产出!S$6,MATCH($D30,金币产出!$D$7:$D$306,1),0)*$Q$17</f>
        <v>6770.4</v>
      </c>
      <c r="AA30" s="23">
        <f ca="1">OFFSET(金币产出!T$6,MATCH($D30,金币产出!$D$7:$D$306,1),0)*$Z$17</f>
        <v>8556</v>
      </c>
      <c r="AB30" s="23">
        <f ca="1">OFFSET(金币产出!U$6,MATCH($D30,金币产出!$D$7:$D$306,1),0)</f>
        <v>0</v>
      </c>
      <c r="AC30" s="23">
        <f>SUMIF(金币产出!$E$7:$E$306,$D30,金币产出!$X$7:$X$306)</f>
        <v>3600</v>
      </c>
      <c r="AD30" s="23">
        <f t="shared" si="6"/>
        <v>1971</v>
      </c>
      <c r="AE30" s="23">
        <f t="shared" si="7"/>
        <v>9152</v>
      </c>
      <c r="AF30" s="25">
        <f ca="1">VLOOKUP(Y30,金币产出!$Y$6:$AI$67,10,0)*($Z$17-$AC$17*2)+VLOOKUP(Y30,金币产出!$Y$6:$AI$67,11,0)*$AC$17</f>
        <v>9755.86666666668</v>
      </c>
      <c r="AH30" s="23">
        <v>12</v>
      </c>
      <c r="AI30" s="23">
        <f ca="1">OFFSET(金币产出!S$6,MATCH($D30,金币产出!$D$7:$D$306,1),0)*$Q$17</f>
        <v>6770.4</v>
      </c>
      <c r="AJ30" s="23">
        <f ca="1">OFFSET(金币产出!T$6,MATCH($D30,金币产出!$D$7:$D$306,1),0)*$AI$17</f>
        <v>13206</v>
      </c>
      <c r="AK30" s="23">
        <f ca="1">OFFSET(金币产出!U$6,MATCH($D30,金币产出!$D$7:$D$306,1),0)</f>
        <v>0</v>
      </c>
      <c r="AL30" s="23">
        <f>SUMIF(金币产出!$E$7:$E$306,$D30,金币产出!$X$7:$X$306)</f>
        <v>3600</v>
      </c>
      <c r="AM30" s="23">
        <f t="shared" si="8"/>
        <v>1971</v>
      </c>
      <c r="AN30" s="23">
        <f t="shared" si="9"/>
        <v>12100</v>
      </c>
      <c r="AO30" s="25">
        <f ca="1">VLOOKUP(AH30,金币产出!$Y$6:$AI$67,10,0)*($AI$17-$AL$17*2)+VLOOKUP(AH30,金币产出!$Y$6:$AI$67,11,0)*$AL$17</f>
        <v>10560.8666666667</v>
      </c>
      <c r="AP30" s="23">
        <f ca="1" t="shared" si="10"/>
        <v>0.219067545815103</v>
      </c>
    </row>
    <row r="31" spans="4:42">
      <c r="D31" s="23">
        <v>13</v>
      </c>
      <c r="E31" s="23">
        <f ca="1">OFFSET(金币产出!S$6,MATCH($D31,金币产出!$D$7:$D$306,1),0)*$F$17</f>
        <v>5236</v>
      </c>
      <c r="F31" s="23">
        <f ca="1">OFFSET(金币产出!T$6,MATCH($D31,金币产出!$D$7:$D$306,1),0)*$E$17</f>
        <v>7480</v>
      </c>
      <c r="G31" s="23">
        <f ca="1">OFFSET(金币产出!U$6,MATCH($D31,金币产出!$D$7:$D$306,1),0)</f>
        <v>0</v>
      </c>
      <c r="H31" s="23">
        <f>SUMIF(金币产出!$D$7:$D$306,$D31,金币产出!$X$7:$X$306)</f>
        <v>1800</v>
      </c>
      <c r="I31" s="23">
        <f t="shared" si="0"/>
        <v>1971</v>
      </c>
      <c r="J31" s="23">
        <f t="shared" si="1"/>
        <v>4400</v>
      </c>
      <c r="K31" s="25">
        <f ca="1">VLOOKUP(D31,金币产出!$Y$6:$AG$67,8,0)*($E$17-$H$17*2)+VLOOKUP(D31,金币产出!$Y$6:$AG$67,9,0)</f>
        <v>4545.12</v>
      </c>
      <c r="L31" s="27">
        <f ca="1" t="shared" si="2"/>
        <v>0.178715734276183</v>
      </c>
      <c r="M31" s="27"/>
      <c r="O31" s="23">
        <v>13</v>
      </c>
      <c r="P31" s="23">
        <f ca="1">OFFSET(金币产出!S$6,MATCH($D31,金币产出!$D$7:$D$306,1),0)*$Q$17</f>
        <v>6806.8</v>
      </c>
      <c r="Q31" s="23">
        <f ca="1">OFFSET(金币产出!T$6,MATCH($D31,金币产出!$D$7:$D$306,1),0)*$P$17</f>
        <v>8602</v>
      </c>
      <c r="R31" s="23">
        <f ca="1">OFFSET(金币产出!U$6,MATCH($D31,金币产出!$D$7:$D$306,1),0)</f>
        <v>0</v>
      </c>
      <c r="S31" s="23">
        <f>SUMIF(金币产出!$D$7:$D$306,$D31,金币产出!$X$7:$X$306)</f>
        <v>1800</v>
      </c>
      <c r="T31" s="23">
        <f t="shared" si="3"/>
        <v>1971</v>
      </c>
      <c r="U31" s="23">
        <f t="shared" si="4"/>
        <v>5720</v>
      </c>
      <c r="V31" s="25">
        <f ca="1">VLOOKUP(O31,金币产出!$Y$6:$AG$67,8,0)*($P$17-$S$17*2)+VLOOKUP(O31,金币产出!$Y$6:$AG$67,9,0)*$S$17</f>
        <v>7004.80000000001</v>
      </c>
      <c r="W31" s="25">
        <f t="shared" si="5"/>
        <v>10000</v>
      </c>
      <c r="Y31" s="23">
        <v>13</v>
      </c>
      <c r="Z31" s="23">
        <f ca="1">OFFSET(金币产出!S$6,MATCH($D31,金币产出!$D$7:$D$306,1),0)*$Q$17</f>
        <v>6806.8</v>
      </c>
      <c r="AA31" s="23">
        <f ca="1">OFFSET(金币产出!T$6,MATCH($D31,金币产出!$D$7:$D$306,1),0)*$Z$17</f>
        <v>8602</v>
      </c>
      <c r="AB31" s="23">
        <f ca="1">OFFSET(金币产出!U$6,MATCH($D31,金币产出!$D$7:$D$306,1),0)</f>
        <v>0</v>
      </c>
      <c r="AC31" s="23">
        <f>SUMIF(金币产出!$E$7:$E$306,$D31,金币产出!$X$7:$X$306)</f>
        <v>3600</v>
      </c>
      <c r="AD31" s="23">
        <f t="shared" si="6"/>
        <v>1971</v>
      </c>
      <c r="AE31" s="23">
        <f t="shared" si="7"/>
        <v>9152</v>
      </c>
      <c r="AF31" s="25">
        <f ca="1">VLOOKUP(Y31,金币产出!$Y$6:$AI$67,10,0)*($Z$17-$AC$17*2)+VLOOKUP(Y31,金币产出!$Y$6:$AI$67,11,0)*$AC$17</f>
        <v>9755.86666666668</v>
      </c>
      <c r="AH31" s="23">
        <v>13</v>
      </c>
      <c r="AI31" s="23">
        <f ca="1">OFFSET(金币产出!S$6,MATCH($D31,金币产出!$D$7:$D$306,1),0)*$Q$17</f>
        <v>6806.8</v>
      </c>
      <c r="AJ31" s="23">
        <f ca="1">OFFSET(金币产出!T$6,MATCH($D31,金币产出!$D$7:$D$306,1),0)*$AI$17</f>
        <v>13277</v>
      </c>
      <c r="AK31" s="23">
        <f ca="1">OFFSET(金币产出!U$6,MATCH($D31,金币产出!$D$7:$D$306,1),0)</f>
        <v>0</v>
      </c>
      <c r="AL31" s="23">
        <f>SUMIF(金币产出!$E$7:$E$306,$D31,金币产出!$X$7:$X$306)</f>
        <v>3600</v>
      </c>
      <c r="AM31" s="23">
        <f t="shared" si="8"/>
        <v>1971</v>
      </c>
      <c r="AN31" s="23">
        <f t="shared" si="9"/>
        <v>12100</v>
      </c>
      <c r="AO31" s="25">
        <f ca="1">VLOOKUP(AH31,金币产出!$Y$6:$AI$67,10,0)*($AI$17-$AL$17*2)+VLOOKUP(AH31,金币产出!$Y$6:$AI$67,11,0)*$AL$17</f>
        <v>10560.8666666667</v>
      </c>
      <c r="AP31" s="23">
        <f ca="1" t="shared" si="10"/>
        <v>0.218580584627485</v>
      </c>
    </row>
    <row r="32" spans="4:42">
      <c r="D32" s="23">
        <v>14</v>
      </c>
      <c r="E32" s="23">
        <f ca="1">OFFSET(金币产出!S$6,MATCH($D32,金币产出!$D$7:$D$306,1),0)*$F$17</f>
        <v>5292</v>
      </c>
      <c r="F32" s="23">
        <f ca="1">OFFSET(金币产出!T$6,MATCH($D32,金币产出!$D$7:$D$306,1),0)*$E$17</f>
        <v>7560</v>
      </c>
      <c r="G32" s="23">
        <f ca="1">OFFSET(金币产出!U$6,MATCH($D32,金币产出!$D$7:$D$306,1),0)</f>
        <v>0</v>
      </c>
      <c r="H32" s="23">
        <f>SUMIF(金币产出!$D$7:$D$306,$D32,金币产出!$X$7:$X$306)</f>
        <v>3600</v>
      </c>
      <c r="I32" s="23">
        <f t="shared" si="0"/>
        <v>1971</v>
      </c>
      <c r="J32" s="23">
        <f t="shared" si="1"/>
        <v>4400</v>
      </c>
      <c r="K32" s="25">
        <f ca="1">VLOOKUP(D32,金币产出!$Y$6:$AG$67,8,0)*($E$17-$H$17*2)+VLOOKUP(D32,金币产出!$Y$6:$AG$67,9,0)</f>
        <v>6078</v>
      </c>
      <c r="L32" s="27">
        <f ca="1" t="shared" si="2"/>
        <v>0.2103041417252</v>
      </c>
      <c r="M32" s="27"/>
      <c r="O32" s="23">
        <v>14</v>
      </c>
      <c r="P32" s="23">
        <f ca="1">OFFSET(金币产出!S$6,MATCH($D32,金币产出!$D$7:$D$306,1),0)*$Q$17</f>
        <v>6879.6</v>
      </c>
      <c r="Q32" s="23">
        <f ca="1">OFFSET(金币产出!T$6,MATCH($D32,金币产出!$D$7:$D$306,1),0)*$P$17</f>
        <v>8694</v>
      </c>
      <c r="R32" s="23">
        <f ca="1">OFFSET(金币产出!U$6,MATCH($D32,金币产出!$D$7:$D$306,1),0)</f>
        <v>0</v>
      </c>
      <c r="S32" s="23">
        <f>SUMIF(金币产出!$D$7:$D$306,$D32,金币产出!$X$7:$X$306)</f>
        <v>3600</v>
      </c>
      <c r="T32" s="23">
        <f t="shared" si="3"/>
        <v>1971</v>
      </c>
      <c r="U32" s="23">
        <f t="shared" si="4"/>
        <v>5720</v>
      </c>
      <c r="V32" s="25">
        <f ca="1">VLOOKUP(O32,金币产出!$Y$6:$AG$67,8,0)*($P$17-$S$17*2)+VLOOKUP(O32,金币产出!$Y$6:$AG$67,9,0)*$S$17</f>
        <v>9559.60000000002</v>
      </c>
      <c r="W32" s="25">
        <f t="shared" si="5"/>
        <v>10000</v>
      </c>
      <c r="Y32" s="23">
        <v>14</v>
      </c>
      <c r="Z32" s="23">
        <f ca="1">OFFSET(金币产出!S$6,MATCH($D32,金币产出!$D$7:$D$306,1),0)*$Q$17</f>
        <v>6879.6</v>
      </c>
      <c r="AA32" s="23">
        <f ca="1">OFFSET(金币产出!T$6,MATCH($D32,金币产出!$D$7:$D$306,1),0)*$Z$17</f>
        <v>8694</v>
      </c>
      <c r="AB32" s="23">
        <f ca="1">OFFSET(金币产出!U$6,MATCH($D32,金币产出!$D$7:$D$306,1),0)</f>
        <v>0</v>
      </c>
      <c r="AC32" s="23">
        <f>SUMIF(金币产出!$E$7:$E$306,$D32,金币产出!$X$7:$X$306)</f>
        <v>3600</v>
      </c>
      <c r="AD32" s="23">
        <f t="shared" si="6"/>
        <v>1971</v>
      </c>
      <c r="AE32" s="23">
        <f t="shared" si="7"/>
        <v>9152</v>
      </c>
      <c r="AF32" s="25">
        <f ca="1">VLOOKUP(Y32,金币产出!$Y$6:$AI$67,10,0)*($Z$17-$AC$17*2)+VLOOKUP(Y32,金币产出!$Y$6:$AI$67,11,0)*$AC$17</f>
        <v>10438.6666666667</v>
      </c>
      <c r="AH32" s="23">
        <v>14</v>
      </c>
      <c r="AI32" s="23">
        <f ca="1">OFFSET(金币产出!S$6,MATCH($D32,金币产出!$D$7:$D$306,1),0)*$Q$17</f>
        <v>6879.6</v>
      </c>
      <c r="AJ32" s="23">
        <f ca="1">OFFSET(金币产出!T$6,MATCH($D32,金币产出!$D$7:$D$306,1),0)*$AI$17</f>
        <v>13419</v>
      </c>
      <c r="AK32" s="23">
        <f ca="1">OFFSET(金币产出!U$6,MATCH($D32,金币产出!$D$7:$D$306,1),0)</f>
        <v>0</v>
      </c>
      <c r="AL32" s="23">
        <f>SUMIF(金币产出!$E$7:$E$306,$D32,金币产出!$X$7:$X$306)</f>
        <v>3600</v>
      </c>
      <c r="AM32" s="23">
        <f t="shared" si="8"/>
        <v>1971</v>
      </c>
      <c r="AN32" s="23">
        <f t="shared" si="9"/>
        <v>12100</v>
      </c>
      <c r="AO32" s="25">
        <f ca="1">VLOOKUP(AH32,金币产出!$Y$6:$AI$67,10,0)*($AI$17-$AL$17*2)+VLOOKUP(AH32,金币产出!$Y$6:$AI$67,11,0)*$AL$17</f>
        <v>11243.6666666667</v>
      </c>
      <c r="AP32" s="23">
        <f ca="1" t="shared" si="10"/>
        <v>0.228468204373076</v>
      </c>
    </row>
    <row r="33" spans="4:42">
      <c r="D33" s="23">
        <v>15</v>
      </c>
      <c r="E33" s="23">
        <f ca="1">OFFSET(金币产出!S$6,MATCH($D33,金币产出!$D$7:$D$306,1),0)*$F$17</f>
        <v>5320</v>
      </c>
      <c r="F33" s="23">
        <f ca="1">OFFSET(金币产出!T$6,MATCH($D33,金币产出!$D$7:$D$306,1),0)*$E$17</f>
        <v>7600</v>
      </c>
      <c r="G33" s="23">
        <f ca="1">OFFSET(金币产出!U$6,MATCH($D33,金币产出!$D$7:$D$306,1),0)</f>
        <v>0</v>
      </c>
      <c r="H33" s="23">
        <f>SUMIF(金币产出!$D$7:$D$306,$D33,金币产出!$X$7:$X$306)</f>
        <v>1800</v>
      </c>
      <c r="I33" s="23">
        <f t="shared" si="0"/>
        <v>1971</v>
      </c>
      <c r="J33" s="23">
        <f t="shared" si="1"/>
        <v>4400</v>
      </c>
      <c r="K33" s="25">
        <f ca="1">VLOOKUP(D33,金币产出!$Y$6:$AG$67,8,0)*($E$17-$H$17*2)+VLOOKUP(D33,金币产出!$Y$6:$AG$67,9,0)</f>
        <v>6078</v>
      </c>
      <c r="L33" s="27">
        <f ca="1" t="shared" si="2"/>
        <v>0.223710846921123</v>
      </c>
      <c r="M33" s="27"/>
      <c r="O33" s="23">
        <v>15</v>
      </c>
      <c r="P33" s="23">
        <f ca="1">OFFSET(金币产出!S$6,MATCH($D33,金币产出!$D$7:$D$306,1),0)*$Q$17</f>
        <v>6916</v>
      </c>
      <c r="Q33" s="23">
        <f ca="1">OFFSET(金币产出!T$6,MATCH($D33,金币产出!$D$7:$D$306,1),0)*$P$17</f>
        <v>8740</v>
      </c>
      <c r="R33" s="23">
        <f ca="1">OFFSET(金币产出!U$6,MATCH($D33,金币产出!$D$7:$D$306,1),0)</f>
        <v>0</v>
      </c>
      <c r="S33" s="23">
        <f>SUMIF(金币产出!$D$7:$D$306,$D33,金币产出!$X$7:$X$306)</f>
        <v>1800</v>
      </c>
      <c r="T33" s="23">
        <f t="shared" si="3"/>
        <v>1971</v>
      </c>
      <c r="U33" s="23">
        <f t="shared" si="4"/>
        <v>5720</v>
      </c>
      <c r="V33" s="25">
        <f ca="1">VLOOKUP(O33,金币产出!$Y$6:$AG$67,8,0)*($P$17-$S$17*2)+VLOOKUP(O33,金币产出!$Y$6:$AG$67,9,0)*$S$17</f>
        <v>9559.60000000002</v>
      </c>
      <c r="W33" s="25">
        <f t="shared" si="5"/>
        <v>10000</v>
      </c>
      <c r="Y33" s="23">
        <v>15</v>
      </c>
      <c r="Z33" s="23">
        <f ca="1">OFFSET(金币产出!S$6,MATCH($D33,金币产出!$D$7:$D$306,1),0)*$Q$17</f>
        <v>6916</v>
      </c>
      <c r="AA33" s="23">
        <f ca="1">OFFSET(金币产出!T$6,MATCH($D33,金币产出!$D$7:$D$306,1),0)*$Z$17</f>
        <v>8740</v>
      </c>
      <c r="AB33" s="23">
        <f ca="1">OFFSET(金币产出!U$6,MATCH($D33,金币产出!$D$7:$D$306,1),0)</f>
        <v>0</v>
      </c>
      <c r="AC33" s="23">
        <f>SUMIF(金币产出!$E$7:$E$306,$D33,金币产出!$X$7:$X$306)</f>
        <v>1800</v>
      </c>
      <c r="AD33" s="23">
        <f t="shared" si="6"/>
        <v>1971</v>
      </c>
      <c r="AE33" s="23">
        <f t="shared" si="7"/>
        <v>9152</v>
      </c>
      <c r="AF33" s="25">
        <f ca="1">VLOOKUP(Y33,金币产出!$Y$6:$AI$67,10,0)*($Z$17-$AC$17*2)+VLOOKUP(Y33,金币产出!$Y$6:$AI$67,11,0)*$AC$17</f>
        <v>10438.6666666667</v>
      </c>
      <c r="AH33" s="23">
        <v>15</v>
      </c>
      <c r="AI33" s="23">
        <f ca="1">OFFSET(金币产出!S$6,MATCH($D33,金币产出!$D$7:$D$306,1),0)*$Q$17</f>
        <v>6916</v>
      </c>
      <c r="AJ33" s="23">
        <f ca="1">OFFSET(金币产出!T$6,MATCH($D33,金币产出!$D$7:$D$306,1),0)*$AI$17</f>
        <v>13490</v>
      </c>
      <c r="AK33" s="23">
        <f ca="1">OFFSET(金币产出!U$6,MATCH($D33,金币产出!$D$7:$D$306,1),0)</f>
        <v>0</v>
      </c>
      <c r="AL33" s="23">
        <f>SUMIF(金币产出!$E$7:$E$306,$D33,金币产出!$X$7:$X$306)</f>
        <v>1800</v>
      </c>
      <c r="AM33" s="23">
        <f t="shared" si="8"/>
        <v>1971</v>
      </c>
      <c r="AN33" s="23">
        <f t="shared" si="9"/>
        <v>12100</v>
      </c>
      <c r="AO33" s="25">
        <f ca="1">VLOOKUP(AH33,金币产出!$Y$6:$AI$67,10,0)*($AI$17-$AL$17*2)+VLOOKUP(AH33,金币产出!$Y$6:$AI$67,11,0)*$AL$17</f>
        <v>11243.6666666667</v>
      </c>
      <c r="AP33" s="23">
        <f ca="1" t="shared" si="10"/>
        <v>0.236605827639904</v>
      </c>
    </row>
    <row r="34" spans="4:42">
      <c r="D34" s="23">
        <v>16</v>
      </c>
      <c r="E34" s="23">
        <f ca="1">OFFSET(金币产出!S$6,MATCH($D34,金币产出!$D$7:$D$306,1),0)*$F$17</f>
        <v>5376</v>
      </c>
      <c r="F34" s="23">
        <f ca="1">OFFSET(金币产出!T$6,MATCH($D34,金币产出!$D$7:$D$306,1),0)*$E$17</f>
        <v>7680</v>
      </c>
      <c r="G34" s="23">
        <f ca="1">OFFSET(金币产出!U$6,MATCH($D34,金币产出!$D$7:$D$306,1),0)</f>
        <v>0</v>
      </c>
      <c r="H34" s="23">
        <f>SUMIF(金币产出!$D$7:$D$306,$D34,金币产出!$X$7:$X$306)</f>
        <v>3600</v>
      </c>
      <c r="I34" s="23">
        <f t="shared" si="0"/>
        <v>1971</v>
      </c>
      <c r="J34" s="23">
        <f t="shared" si="1"/>
        <v>4400</v>
      </c>
      <c r="K34" s="25">
        <f ca="1">VLOOKUP(D34,金币产出!$Y$6:$AG$67,8,0)*($E$17-$H$17*2)+VLOOKUP(D34,金币产出!$Y$6:$AG$67,9,0)</f>
        <v>6078</v>
      </c>
      <c r="L34" s="27">
        <f ca="1" t="shared" si="2"/>
        <v>0.208830097921319</v>
      </c>
      <c r="M34" s="27"/>
      <c r="O34" s="23">
        <v>16</v>
      </c>
      <c r="P34" s="23">
        <f ca="1">OFFSET(金币产出!S$6,MATCH($D34,金币产出!$D$7:$D$306,1),0)*$Q$17</f>
        <v>6988.8</v>
      </c>
      <c r="Q34" s="23">
        <f ca="1">OFFSET(金币产出!T$6,MATCH($D34,金币产出!$D$7:$D$306,1),0)*$P$17</f>
        <v>8832</v>
      </c>
      <c r="R34" s="23">
        <f ca="1">OFFSET(金币产出!U$6,MATCH($D34,金币产出!$D$7:$D$306,1),0)</f>
        <v>0</v>
      </c>
      <c r="S34" s="23">
        <f>SUMIF(金币产出!$D$7:$D$306,$D34,金币产出!$X$7:$X$306)</f>
        <v>3600</v>
      </c>
      <c r="T34" s="23">
        <f t="shared" si="3"/>
        <v>1971</v>
      </c>
      <c r="U34" s="23">
        <f t="shared" si="4"/>
        <v>5720</v>
      </c>
      <c r="V34" s="25">
        <f ca="1">VLOOKUP(O34,金币产出!$Y$6:$AG$67,8,0)*($P$17-$S$17*2)+VLOOKUP(O34,金币产出!$Y$6:$AG$67,9,0)*$S$17</f>
        <v>9559.60000000002</v>
      </c>
      <c r="W34" s="25">
        <f t="shared" si="5"/>
        <v>10000</v>
      </c>
      <c r="Y34" s="23">
        <v>16</v>
      </c>
      <c r="Z34" s="23">
        <f ca="1">OFFSET(金币产出!S$6,MATCH($D34,金币产出!$D$7:$D$306,1),0)*$Q$17</f>
        <v>6988.8</v>
      </c>
      <c r="AA34" s="23">
        <f ca="1">OFFSET(金币产出!T$6,MATCH($D34,金币产出!$D$7:$D$306,1),0)*$Z$17</f>
        <v>8832</v>
      </c>
      <c r="AB34" s="23">
        <f ca="1">OFFSET(金币产出!U$6,MATCH($D34,金币产出!$D$7:$D$306,1),0)</f>
        <v>0</v>
      </c>
      <c r="AC34" s="23">
        <f>SUMIF(金币产出!$E$7:$E$306,$D34,金币产出!$X$7:$X$306)</f>
        <v>1800</v>
      </c>
      <c r="AD34" s="23">
        <f t="shared" si="6"/>
        <v>1971</v>
      </c>
      <c r="AE34" s="23">
        <f t="shared" si="7"/>
        <v>9152</v>
      </c>
      <c r="AF34" s="25">
        <f ca="1">VLOOKUP(Y34,金币产出!$Y$6:$AI$67,10,0)*($Z$17-$AC$17*2)+VLOOKUP(Y34,金币产出!$Y$6:$AI$67,11,0)*$AC$17</f>
        <v>10438.6666666667</v>
      </c>
      <c r="AH34" s="23">
        <v>16</v>
      </c>
      <c r="AI34" s="23">
        <f ca="1">OFFSET(金币产出!S$6,MATCH($D34,金币产出!$D$7:$D$306,1),0)*$Q$17</f>
        <v>6988.8</v>
      </c>
      <c r="AJ34" s="23">
        <f ca="1">OFFSET(金币产出!T$6,MATCH($D34,金币产出!$D$7:$D$306,1),0)*$AI$17</f>
        <v>13632</v>
      </c>
      <c r="AK34" s="23">
        <f ca="1">OFFSET(金币产出!U$6,MATCH($D34,金币产出!$D$7:$D$306,1),0)</f>
        <v>0</v>
      </c>
      <c r="AL34" s="23">
        <f>SUMIF(金币产出!$E$7:$E$306,$D34,金币产出!$X$7:$X$306)</f>
        <v>1800</v>
      </c>
      <c r="AM34" s="23">
        <f t="shared" si="8"/>
        <v>1971</v>
      </c>
      <c r="AN34" s="23">
        <f t="shared" si="9"/>
        <v>12100</v>
      </c>
      <c r="AO34" s="25">
        <f ca="1">VLOOKUP(AH34,金币产出!$Y$6:$AI$67,10,0)*($AI$17-$AL$17*2)+VLOOKUP(AH34,金币产出!$Y$6:$AI$67,11,0)*$AL$17</f>
        <v>11243.6666666667</v>
      </c>
      <c r="AP34" s="23">
        <f ca="1" t="shared" si="10"/>
        <v>0.235541148998928</v>
      </c>
    </row>
    <row r="35" spans="4:42">
      <c r="D35" s="23">
        <v>17</v>
      </c>
      <c r="E35" s="23">
        <f ca="1">OFFSET(金币产出!S$6,MATCH($D35,金币产出!$D$7:$D$306,1),0)*$F$17</f>
        <v>5404</v>
      </c>
      <c r="F35" s="23">
        <f ca="1">OFFSET(金币产出!T$6,MATCH($D35,金币产出!$D$7:$D$306,1),0)*$E$17</f>
        <v>7720</v>
      </c>
      <c r="G35" s="23">
        <f ca="1">OFFSET(金币产出!U$6,MATCH($D35,金币产出!$D$7:$D$306,1),0)</f>
        <v>0</v>
      </c>
      <c r="H35" s="23">
        <f>SUMIF(金币产出!$D$7:$D$306,$D35,金币产出!$X$7:$X$306)</f>
        <v>1800</v>
      </c>
      <c r="I35" s="23">
        <f t="shared" si="0"/>
        <v>1971</v>
      </c>
      <c r="J35" s="23">
        <f t="shared" si="1"/>
        <v>4400</v>
      </c>
      <c r="K35" s="25">
        <f ca="1">VLOOKUP(D35,金币产出!$Y$6:$AG$67,8,0)*($E$17-$H$17*2)+VLOOKUP(D35,金币产出!$Y$6:$AG$67,9,0)</f>
        <v>6078</v>
      </c>
      <c r="L35" s="27">
        <f ca="1" t="shared" si="2"/>
        <v>0.222043619625178</v>
      </c>
      <c r="M35" s="27"/>
      <c r="O35" s="23">
        <v>17</v>
      </c>
      <c r="P35" s="23">
        <f ca="1">OFFSET(金币产出!S$6,MATCH($D35,金币产出!$D$7:$D$306,1),0)*$Q$17</f>
        <v>7025.2</v>
      </c>
      <c r="Q35" s="23">
        <f ca="1">OFFSET(金币产出!T$6,MATCH($D35,金币产出!$D$7:$D$306,1),0)*$P$17</f>
        <v>8878</v>
      </c>
      <c r="R35" s="23">
        <f ca="1">OFFSET(金币产出!U$6,MATCH($D35,金币产出!$D$7:$D$306,1),0)</f>
        <v>0</v>
      </c>
      <c r="S35" s="23">
        <f>SUMIF(金币产出!$D$7:$D$306,$D35,金币产出!$X$7:$X$306)</f>
        <v>1800</v>
      </c>
      <c r="T35" s="23">
        <f t="shared" si="3"/>
        <v>1971</v>
      </c>
      <c r="U35" s="23">
        <f t="shared" si="4"/>
        <v>5720</v>
      </c>
      <c r="V35" s="25">
        <f ca="1">VLOOKUP(O35,金币产出!$Y$6:$AG$67,8,0)*($P$17-$S$17*2)+VLOOKUP(O35,金币产出!$Y$6:$AG$67,9,0)*$S$17</f>
        <v>9559.60000000002</v>
      </c>
      <c r="W35" s="25">
        <f t="shared" si="5"/>
        <v>10000</v>
      </c>
      <c r="Y35" s="23">
        <v>17</v>
      </c>
      <c r="Z35" s="23">
        <f ca="1">OFFSET(金币产出!S$6,MATCH($D35,金币产出!$D$7:$D$306,1),0)*$Q$17</f>
        <v>7025.2</v>
      </c>
      <c r="AA35" s="23">
        <f ca="1">OFFSET(金币产出!T$6,MATCH($D35,金币产出!$D$7:$D$306,1),0)*$Z$17</f>
        <v>8878</v>
      </c>
      <c r="AB35" s="23">
        <f ca="1">OFFSET(金币产出!U$6,MATCH($D35,金币产出!$D$7:$D$306,1),0)</f>
        <v>0</v>
      </c>
      <c r="AC35" s="23">
        <f>SUMIF(金币产出!$E$7:$E$306,$D35,金币产出!$X$7:$X$306)</f>
        <v>1800</v>
      </c>
      <c r="AD35" s="23">
        <f t="shared" si="6"/>
        <v>1971</v>
      </c>
      <c r="AE35" s="23">
        <f t="shared" si="7"/>
        <v>9152</v>
      </c>
      <c r="AF35" s="25">
        <f ca="1">VLOOKUP(Y35,金币产出!$Y$6:$AI$67,10,0)*($Z$17-$AC$17*2)+VLOOKUP(Y35,金币产出!$Y$6:$AI$67,11,0)*$AC$17</f>
        <v>10438.6666666667</v>
      </c>
      <c r="AH35" s="23">
        <v>17</v>
      </c>
      <c r="AI35" s="23">
        <f ca="1">OFFSET(金币产出!S$6,MATCH($D35,金币产出!$D$7:$D$306,1),0)*$Q$17</f>
        <v>7025.2</v>
      </c>
      <c r="AJ35" s="23">
        <f ca="1">OFFSET(金币产出!T$6,MATCH($D35,金币产出!$D$7:$D$306,1),0)*$AI$17</f>
        <v>13703</v>
      </c>
      <c r="AK35" s="23">
        <f ca="1">OFFSET(金币产出!U$6,MATCH($D35,金币产出!$D$7:$D$306,1),0)</f>
        <v>0</v>
      </c>
      <c r="AL35" s="23">
        <f>SUMIF(金币产出!$E$7:$E$306,$D35,金币产出!$X$7:$X$306)</f>
        <v>1800</v>
      </c>
      <c r="AM35" s="23">
        <f t="shared" si="8"/>
        <v>1971</v>
      </c>
      <c r="AN35" s="23">
        <f t="shared" si="9"/>
        <v>12100</v>
      </c>
      <c r="AO35" s="25">
        <f ca="1">VLOOKUP(AH35,金币产出!$Y$6:$AI$67,10,0)*($AI$17-$AL$17*2)+VLOOKUP(AH35,金币产出!$Y$6:$AI$67,11,0)*$AL$17</f>
        <v>11243.6666666667</v>
      </c>
      <c r="AP35" s="23">
        <f ca="1" t="shared" si="10"/>
        <v>0.235012394742233</v>
      </c>
    </row>
    <row r="36" spans="4:42">
      <c r="D36" s="23">
        <v>18</v>
      </c>
      <c r="E36" s="23">
        <f ca="1">OFFSET(金币产出!S$6,MATCH($D36,金币产出!$D$7:$D$306,1),0)*$F$17</f>
        <v>5432</v>
      </c>
      <c r="F36" s="23">
        <f ca="1">OFFSET(金币产出!T$6,MATCH($D36,金币产出!$D$7:$D$306,1),0)*$E$17</f>
        <v>7760</v>
      </c>
      <c r="G36" s="23">
        <f ca="1">OFFSET(金币产出!U$6,MATCH($D36,金币产出!$D$7:$D$306,1),0)</f>
        <v>0</v>
      </c>
      <c r="H36" s="23">
        <f>SUMIF(金币产出!$D$7:$D$306,$D36,金币产出!$X$7:$X$306)</f>
        <v>1800</v>
      </c>
      <c r="I36" s="23">
        <f t="shared" si="0"/>
        <v>1971</v>
      </c>
      <c r="J36" s="23">
        <f t="shared" si="1"/>
        <v>4400</v>
      </c>
      <c r="K36" s="25">
        <f ca="1">VLOOKUP(D36,金币产出!$Y$6:$AG$67,8,0)*($E$17-$H$17*2)+VLOOKUP(D36,金币产出!$Y$6:$AG$67,9,0)</f>
        <v>6252.8</v>
      </c>
      <c r="L36" s="27">
        <f ca="1" t="shared" si="2"/>
        <v>0.226421106757726</v>
      </c>
      <c r="M36" s="27"/>
      <c r="O36" s="23">
        <v>18</v>
      </c>
      <c r="P36" s="23">
        <f ca="1">OFFSET(金币产出!S$6,MATCH($D36,金币产出!$D$7:$D$306,1),0)*$Q$17</f>
        <v>7061.6</v>
      </c>
      <c r="Q36" s="23">
        <f ca="1">OFFSET(金币产出!T$6,MATCH($D36,金币产出!$D$7:$D$306,1),0)*$P$17</f>
        <v>8924</v>
      </c>
      <c r="R36" s="23">
        <f ca="1">OFFSET(金币产出!U$6,MATCH($D36,金币产出!$D$7:$D$306,1),0)</f>
        <v>0</v>
      </c>
      <c r="S36" s="23">
        <f>SUMIF(金币产出!$D$7:$D$306,$D36,金币产出!$X$7:$X$306)</f>
        <v>1800</v>
      </c>
      <c r="T36" s="23">
        <f t="shared" si="3"/>
        <v>1971</v>
      </c>
      <c r="U36" s="23">
        <f t="shared" si="4"/>
        <v>5720</v>
      </c>
      <c r="V36" s="25">
        <f ca="1">VLOOKUP(O36,金币产出!$Y$6:$AG$67,8,0)*($P$17-$S$17*2)+VLOOKUP(O36,金币产出!$Y$6:$AG$67,9,0)*$S$17</f>
        <v>9755.86666666668</v>
      </c>
      <c r="W36" s="25">
        <f t="shared" si="5"/>
        <v>10000</v>
      </c>
      <c r="Y36" s="23">
        <v>18</v>
      </c>
      <c r="Z36" s="23">
        <f ca="1">OFFSET(金币产出!S$6,MATCH($D36,金币产出!$D$7:$D$306,1),0)*$Q$17</f>
        <v>7061.6</v>
      </c>
      <c r="AA36" s="23">
        <f ca="1">OFFSET(金币产出!T$6,MATCH($D36,金币产出!$D$7:$D$306,1),0)*$Z$17</f>
        <v>8924</v>
      </c>
      <c r="AB36" s="23">
        <f ca="1">OFFSET(金币产出!U$6,MATCH($D36,金币产出!$D$7:$D$306,1),0)</f>
        <v>0</v>
      </c>
      <c r="AC36" s="23">
        <f>SUMIF(金币产出!$E$7:$E$306,$D36,金币产出!$X$7:$X$306)</f>
        <v>1800</v>
      </c>
      <c r="AD36" s="23">
        <f t="shared" si="6"/>
        <v>1971</v>
      </c>
      <c r="AE36" s="23">
        <f t="shared" si="7"/>
        <v>9152</v>
      </c>
      <c r="AF36" s="25">
        <f ca="1">VLOOKUP(Y36,金币产出!$Y$6:$AI$67,10,0)*($Z$17-$AC$17*2)+VLOOKUP(Y36,金币产出!$Y$6:$AI$67,11,0)*$AC$17</f>
        <v>10634.9333333334</v>
      </c>
      <c r="AH36" s="23">
        <v>18</v>
      </c>
      <c r="AI36" s="23">
        <f ca="1">OFFSET(金币产出!S$6,MATCH($D36,金币产出!$D$7:$D$306,1),0)*$Q$17</f>
        <v>7061.6</v>
      </c>
      <c r="AJ36" s="23">
        <f ca="1">OFFSET(金币产出!T$6,MATCH($D36,金币产出!$D$7:$D$306,1),0)*$AI$17</f>
        <v>13774</v>
      </c>
      <c r="AK36" s="23">
        <f ca="1">OFFSET(金币产出!U$6,MATCH($D36,金币产出!$D$7:$D$306,1),0)</f>
        <v>0</v>
      </c>
      <c r="AL36" s="23">
        <f>SUMIF(金币产出!$E$7:$E$306,$D36,金币产出!$X$7:$X$306)</f>
        <v>1800</v>
      </c>
      <c r="AM36" s="23">
        <f t="shared" si="8"/>
        <v>1971</v>
      </c>
      <c r="AN36" s="23">
        <f t="shared" si="9"/>
        <v>12100</v>
      </c>
      <c r="AO36" s="25">
        <f ca="1">VLOOKUP(AH36,金币产出!$Y$6:$AI$67,10,0)*($AI$17-$AL$17*2)+VLOOKUP(AH36,金币产出!$Y$6:$AI$67,11,0)*$AL$17</f>
        <v>11554.9333333334</v>
      </c>
      <c r="AP36" s="23">
        <f ca="1" t="shared" si="10"/>
        <v>0.239423253578074</v>
      </c>
    </row>
    <row r="37" spans="4:42">
      <c r="D37" s="23">
        <v>19</v>
      </c>
      <c r="E37" s="23">
        <f ca="1">OFFSET(金币产出!S$6,MATCH($D37,金币产出!$D$7:$D$306,1),0)*$F$17</f>
        <v>5460</v>
      </c>
      <c r="F37" s="23">
        <f ca="1">OFFSET(金币产出!T$6,MATCH($D37,金币产出!$D$7:$D$306,1),0)*$E$17</f>
        <v>7800</v>
      </c>
      <c r="G37" s="23">
        <f ca="1">OFFSET(金币产出!U$6,MATCH($D37,金币产出!$D$7:$D$306,1),0)</f>
        <v>0</v>
      </c>
      <c r="H37" s="23">
        <f>SUMIF(金币产出!$D$7:$D$306,$D37,金币产出!$X$7:$X$306)</f>
        <v>1800</v>
      </c>
      <c r="I37" s="23">
        <f t="shared" si="0"/>
        <v>1971</v>
      </c>
      <c r="J37" s="23">
        <f t="shared" si="1"/>
        <v>4400</v>
      </c>
      <c r="K37" s="25">
        <f ca="1">VLOOKUP(D37,金币产出!$Y$6:$AG$67,8,0)*($E$17-$H$17*2)+VLOOKUP(D37,金币产出!$Y$6:$AG$67,9,0)</f>
        <v>6252.8</v>
      </c>
      <c r="L37" s="27">
        <f ca="1" t="shared" si="2"/>
        <v>0.225864946286276</v>
      </c>
      <c r="M37" s="27"/>
      <c r="O37" s="23">
        <v>19</v>
      </c>
      <c r="P37" s="23">
        <f ca="1">OFFSET(金币产出!S$6,MATCH($D37,金币产出!$D$7:$D$306,1),0)*$Q$17</f>
        <v>7098</v>
      </c>
      <c r="Q37" s="23">
        <f ca="1">OFFSET(金币产出!T$6,MATCH($D37,金币产出!$D$7:$D$306,1),0)*$P$17</f>
        <v>8970</v>
      </c>
      <c r="R37" s="23">
        <f ca="1">OFFSET(金币产出!U$6,MATCH($D37,金币产出!$D$7:$D$306,1),0)</f>
        <v>0</v>
      </c>
      <c r="S37" s="23">
        <f>SUMIF(金币产出!$D$7:$D$306,$D37,金币产出!$X$7:$X$306)</f>
        <v>1800</v>
      </c>
      <c r="T37" s="23">
        <f t="shared" si="3"/>
        <v>1971</v>
      </c>
      <c r="U37" s="23">
        <f t="shared" si="4"/>
        <v>5720</v>
      </c>
      <c r="V37" s="25">
        <f ca="1">VLOOKUP(O37,金币产出!$Y$6:$AG$67,8,0)*($P$17-$S$17*2)+VLOOKUP(O37,金币产出!$Y$6:$AG$67,9,0)*$S$17</f>
        <v>9755.86666666668</v>
      </c>
      <c r="W37" s="25">
        <f t="shared" si="5"/>
        <v>10000</v>
      </c>
      <c r="Y37" s="23">
        <v>19</v>
      </c>
      <c r="Z37" s="23">
        <f ca="1">OFFSET(金币产出!S$6,MATCH($D37,金币产出!$D$7:$D$306,1),0)*$Q$17</f>
        <v>7098</v>
      </c>
      <c r="AA37" s="23">
        <f ca="1">OFFSET(金币产出!T$6,MATCH($D37,金币产出!$D$7:$D$306,1),0)*$Z$17</f>
        <v>8970</v>
      </c>
      <c r="AB37" s="23">
        <f ca="1">OFFSET(金币产出!U$6,MATCH($D37,金币产出!$D$7:$D$306,1),0)</f>
        <v>0</v>
      </c>
      <c r="AC37" s="23">
        <f>SUMIF(金币产出!$E$7:$E$306,$D37,金币产出!$X$7:$X$306)</f>
        <v>1800</v>
      </c>
      <c r="AD37" s="23">
        <f t="shared" si="6"/>
        <v>1971</v>
      </c>
      <c r="AE37" s="23">
        <f t="shared" si="7"/>
        <v>9152</v>
      </c>
      <c r="AF37" s="25">
        <f ca="1">VLOOKUP(Y37,金币产出!$Y$6:$AI$67,10,0)*($Z$17-$AC$17*2)+VLOOKUP(Y37,金币产出!$Y$6:$AI$67,11,0)*$AC$17</f>
        <v>10634.9333333334</v>
      </c>
      <c r="AH37" s="23">
        <v>19</v>
      </c>
      <c r="AI37" s="23">
        <f ca="1">OFFSET(金币产出!S$6,MATCH($D37,金币产出!$D$7:$D$306,1),0)*$Q$17</f>
        <v>7098</v>
      </c>
      <c r="AJ37" s="23">
        <f ca="1">OFFSET(金币产出!T$6,MATCH($D37,金币产出!$D$7:$D$306,1),0)*$AI$17</f>
        <v>13845</v>
      </c>
      <c r="AK37" s="23">
        <f ca="1">OFFSET(金币产出!U$6,MATCH($D37,金币产出!$D$7:$D$306,1),0)</f>
        <v>0</v>
      </c>
      <c r="AL37" s="23">
        <f>SUMIF(金币产出!$E$7:$E$306,$D37,金币产出!$X$7:$X$306)</f>
        <v>1800</v>
      </c>
      <c r="AM37" s="23">
        <f t="shared" si="8"/>
        <v>1971</v>
      </c>
      <c r="AN37" s="23">
        <f t="shared" si="9"/>
        <v>12100</v>
      </c>
      <c r="AO37" s="25">
        <f ca="1">VLOOKUP(AH37,金币产出!$Y$6:$AI$67,10,0)*($AI$17-$AL$17*2)+VLOOKUP(AH37,金币产出!$Y$6:$AI$67,11,0)*$AL$17</f>
        <v>11554.9333333334</v>
      </c>
      <c r="AP37" s="23">
        <f ca="1" t="shared" si="10"/>
        <v>0.238891630164817</v>
      </c>
    </row>
    <row r="38" spans="4:42">
      <c r="D38" s="23">
        <v>20</v>
      </c>
      <c r="E38" s="23">
        <f ca="1">OFFSET(金币产出!S$6,MATCH($D38,金币产出!$D$7:$D$306,1),0)*$F$17</f>
        <v>5488</v>
      </c>
      <c r="F38" s="23">
        <f ca="1">OFFSET(金币产出!T$6,MATCH($D38,金币产出!$D$7:$D$306,1),0)*$E$17</f>
        <v>7840</v>
      </c>
      <c r="G38" s="23">
        <f ca="1">OFFSET(金币产出!U$6,MATCH($D38,金币产出!$D$7:$D$306,1),0)</f>
        <v>0</v>
      </c>
      <c r="H38" s="23">
        <f>SUMIF(金币产出!$D$7:$D$306,$D38,金币产出!$X$7:$X$306)</f>
        <v>1800</v>
      </c>
      <c r="I38" s="23">
        <f t="shared" si="0"/>
        <v>1971</v>
      </c>
      <c r="J38" s="23">
        <f t="shared" si="1"/>
        <v>4400</v>
      </c>
      <c r="K38" s="25">
        <f ca="1">VLOOKUP(D38,金币产出!$Y$6:$AG$67,8,0)*($E$17-$H$17*2)+VLOOKUP(D38,金币产出!$Y$6:$AG$67,9,0)</f>
        <v>6252.8</v>
      </c>
      <c r="L38" s="27">
        <f ca="1" t="shared" si="2"/>
        <v>0.225311511325392</v>
      </c>
      <c r="M38" s="27"/>
      <c r="O38" s="23">
        <v>20</v>
      </c>
      <c r="P38" s="23">
        <f ca="1">OFFSET(金币产出!S$6,MATCH($D38,金币产出!$D$7:$D$306,1),0)*$Q$17</f>
        <v>7134.4</v>
      </c>
      <c r="Q38" s="23">
        <f ca="1">OFFSET(金币产出!T$6,MATCH($D38,金币产出!$D$7:$D$306,1),0)*$P$17</f>
        <v>9016</v>
      </c>
      <c r="R38" s="23">
        <f ca="1">OFFSET(金币产出!U$6,MATCH($D38,金币产出!$D$7:$D$306,1),0)</f>
        <v>0</v>
      </c>
      <c r="S38" s="23">
        <f>SUMIF(金币产出!$D$7:$D$306,$D38,金币产出!$X$7:$X$306)</f>
        <v>1800</v>
      </c>
      <c r="T38" s="23">
        <f t="shared" si="3"/>
        <v>1971</v>
      </c>
      <c r="U38" s="23">
        <f t="shared" si="4"/>
        <v>5720</v>
      </c>
      <c r="V38" s="25">
        <f ca="1">VLOOKUP(O38,金币产出!$Y$6:$AG$67,8,0)*($P$17-$S$17*2)+VLOOKUP(O38,金币产出!$Y$6:$AG$67,9,0)*$S$17</f>
        <v>9755.86666666668</v>
      </c>
      <c r="W38" s="25">
        <f t="shared" si="5"/>
        <v>10000</v>
      </c>
      <c r="Y38" s="23">
        <v>20</v>
      </c>
      <c r="Z38" s="23">
        <f ca="1">OFFSET(金币产出!S$6,MATCH($D38,金币产出!$D$7:$D$306,1),0)*$Q$17</f>
        <v>7134.4</v>
      </c>
      <c r="AA38" s="23">
        <f ca="1">OFFSET(金币产出!T$6,MATCH($D38,金币产出!$D$7:$D$306,1),0)*$Z$17</f>
        <v>9016</v>
      </c>
      <c r="AB38" s="23">
        <f ca="1">OFFSET(金币产出!U$6,MATCH($D38,金币产出!$D$7:$D$306,1),0)</f>
        <v>0</v>
      </c>
      <c r="AC38" s="23">
        <f>SUMIF(金币产出!$E$7:$E$306,$D38,金币产出!$X$7:$X$306)</f>
        <v>1800</v>
      </c>
      <c r="AD38" s="23">
        <f t="shared" si="6"/>
        <v>1971</v>
      </c>
      <c r="AE38" s="23">
        <f t="shared" si="7"/>
        <v>9152</v>
      </c>
      <c r="AF38" s="25">
        <f ca="1">VLOOKUP(Y38,金币产出!$Y$6:$AI$67,10,0)*($Z$17-$AC$17*2)+VLOOKUP(Y38,金币产出!$Y$6:$AI$67,11,0)*$AC$17</f>
        <v>10634.9333333334</v>
      </c>
      <c r="AH38" s="23">
        <v>20</v>
      </c>
      <c r="AI38" s="23">
        <f ca="1">OFFSET(金币产出!S$6,MATCH($D38,金币产出!$D$7:$D$306,1),0)*$Q$17</f>
        <v>7134.4</v>
      </c>
      <c r="AJ38" s="23">
        <f ca="1">OFFSET(金币产出!T$6,MATCH($D38,金币产出!$D$7:$D$306,1),0)*$AI$17</f>
        <v>13916</v>
      </c>
      <c r="AK38" s="23">
        <f ca="1">OFFSET(金币产出!U$6,MATCH($D38,金币产出!$D$7:$D$306,1),0)</f>
        <v>0</v>
      </c>
      <c r="AL38" s="23">
        <f>SUMIF(金币产出!$E$7:$E$306,$D38,金币产出!$X$7:$X$306)</f>
        <v>1800</v>
      </c>
      <c r="AM38" s="23">
        <f t="shared" si="8"/>
        <v>1971</v>
      </c>
      <c r="AN38" s="23">
        <f t="shared" si="9"/>
        <v>12100</v>
      </c>
      <c r="AO38" s="25">
        <f ca="1">VLOOKUP(AH38,金币产出!$Y$6:$AI$67,10,0)*($AI$17-$AL$17*2)+VLOOKUP(AH38,金币产出!$Y$6:$AI$67,11,0)*$AL$17</f>
        <v>11554.9333333334</v>
      </c>
      <c r="AP38" s="23">
        <f ca="1" t="shared" si="10"/>
        <v>0.238362362389895</v>
      </c>
    </row>
    <row r="39" spans="4:42">
      <c r="D39" s="23">
        <v>21</v>
      </c>
      <c r="E39" s="23">
        <f ca="1">OFFSET(金币产出!S$6,MATCH($D39,金币产出!$D$7:$D$306,1),0)*$F$17</f>
        <v>5516</v>
      </c>
      <c r="F39" s="23">
        <f ca="1">OFFSET(金币产出!T$6,MATCH($D39,金币产出!$D$7:$D$306,1),0)*$E$17</f>
        <v>7880</v>
      </c>
      <c r="G39" s="23">
        <f ca="1">OFFSET(金币产出!U$6,MATCH($D39,金币产出!$D$7:$D$306,1),0)</f>
        <v>0</v>
      </c>
      <c r="H39" s="23">
        <f>SUMIF(金币产出!$D$7:$D$306,$D39,金币产出!$X$7:$X$306)</f>
        <v>1800</v>
      </c>
      <c r="I39" s="23">
        <f t="shared" si="0"/>
        <v>1971</v>
      </c>
      <c r="J39" s="23">
        <f t="shared" si="1"/>
        <v>4400</v>
      </c>
      <c r="K39" s="25">
        <f ca="1">VLOOKUP(D39,金币产出!$Y$6:$AG$67,8,0)*($E$17-$H$17*2)+VLOOKUP(D39,金币产出!$Y$6:$AG$67,9,0)</f>
        <v>6252.8</v>
      </c>
      <c r="L39" s="27">
        <f ca="1" t="shared" si="2"/>
        <v>0.224760781889158</v>
      </c>
      <c r="M39" s="27"/>
      <c r="O39" s="23">
        <v>21</v>
      </c>
      <c r="P39" s="23">
        <f ca="1">OFFSET(金币产出!S$6,MATCH($D39,金币产出!$D$7:$D$306,1),0)*$Q$17</f>
        <v>7170.8</v>
      </c>
      <c r="Q39" s="23">
        <f ca="1">OFFSET(金币产出!T$6,MATCH($D39,金币产出!$D$7:$D$306,1),0)*$P$17</f>
        <v>9062</v>
      </c>
      <c r="R39" s="23">
        <f ca="1">OFFSET(金币产出!U$6,MATCH($D39,金币产出!$D$7:$D$306,1),0)</f>
        <v>0</v>
      </c>
      <c r="S39" s="23">
        <f>SUMIF(金币产出!$D$7:$D$306,$D39,金币产出!$X$7:$X$306)</f>
        <v>1800</v>
      </c>
      <c r="T39" s="23">
        <f t="shared" si="3"/>
        <v>1971</v>
      </c>
      <c r="U39" s="23">
        <f t="shared" si="4"/>
        <v>5720</v>
      </c>
      <c r="V39" s="25">
        <f ca="1">VLOOKUP(O39,金币产出!$Y$6:$AG$67,8,0)*($P$17-$S$17*2)+VLOOKUP(O39,金币产出!$Y$6:$AG$67,9,0)*$S$17</f>
        <v>9755.86666666668</v>
      </c>
      <c r="W39" s="25">
        <f t="shared" si="5"/>
        <v>10000</v>
      </c>
      <c r="Y39" s="23">
        <v>21</v>
      </c>
      <c r="Z39" s="23">
        <f ca="1">OFFSET(金币产出!S$6,MATCH($D39,金币产出!$D$7:$D$306,1),0)*$Q$17</f>
        <v>7170.8</v>
      </c>
      <c r="AA39" s="23">
        <f ca="1">OFFSET(金币产出!T$6,MATCH($D39,金币产出!$D$7:$D$306,1),0)*$Z$17</f>
        <v>9062</v>
      </c>
      <c r="AB39" s="23">
        <f ca="1">OFFSET(金币产出!U$6,MATCH($D39,金币产出!$D$7:$D$306,1),0)</f>
        <v>0</v>
      </c>
      <c r="AC39" s="23">
        <f>SUMIF(金币产出!$E$7:$E$306,$D39,金币产出!$X$7:$X$306)</f>
        <v>1800</v>
      </c>
      <c r="AD39" s="23">
        <f t="shared" si="6"/>
        <v>1971</v>
      </c>
      <c r="AE39" s="23">
        <f t="shared" si="7"/>
        <v>9152</v>
      </c>
      <c r="AF39" s="25">
        <f ca="1">VLOOKUP(Y39,金币产出!$Y$6:$AI$67,10,0)*($Z$17-$AC$17*2)+VLOOKUP(Y39,金币产出!$Y$6:$AI$67,11,0)*$AC$17</f>
        <v>10634.9333333334</v>
      </c>
      <c r="AH39" s="23">
        <v>21</v>
      </c>
      <c r="AI39" s="23">
        <f ca="1">OFFSET(金币产出!S$6,MATCH($D39,金币产出!$D$7:$D$306,1),0)*$Q$17</f>
        <v>7170.8</v>
      </c>
      <c r="AJ39" s="23">
        <f ca="1">OFFSET(金币产出!T$6,MATCH($D39,金币产出!$D$7:$D$306,1),0)*$AI$17</f>
        <v>13987</v>
      </c>
      <c r="AK39" s="23">
        <f ca="1">OFFSET(金币产出!U$6,MATCH($D39,金币产出!$D$7:$D$306,1),0)</f>
        <v>0</v>
      </c>
      <c r="AL39" s="23">
        <f>SUMIF(金币产出!$E$7:$E$306,$D39,金币产出!$X$7:$X$306)</f>
        <v>1800</v>
      </c>
      <c r="AM39" s="23">
        <f t="shared" si="8"/>
        <v>1971</v>
      </c>
      <c r="AN39" s="23">
        <f t="shared" si="9"/>
        <v>12100</v>
      </c>
      <c r="AO39" s="25">
        <f ca="1">VLOOKUP(AH39,金币产出!$Y$6:$AI$67,10,0)*($AI$17-$AL$17*2)+VLOOKUP(AH39,金币产出!$Y$6:$AI$67,11,0)*$AL$17</f>
        <v>11554.9333333334</v>
      </c>
      <c r="AP39" s="23">
        <f ca="1" t="shared" si="10"/>
        <v>0.23783543463107</v>
      </c>
    </row>
    <row r="40" spans="4:42">
      <c r="D40" s="23">
        <v>22</v>
      </c>
      <c r="E40" s="23">
        <f ca="1">OFFSET(金币产出!S$6,MATCH($D40,金币产出!$D$7:$D$306,1),0)*$F$17</f>
        <v>5544</v>
      </c>
      <c r="F40" s="23">
        <f ca="1">OFFSET(金币产出!T$6,MATCH($D40,金币产出!$D$7:$D$306,1),0)*$E$17</f>
        <v>7920</v>
      </c>
      <c r="G40" s="23">
        <f ca="1">OFFSET(金币产出!U$6,MATCH($D40,金币产出!$D$7:$D$306,1),0)</f>
        <v>0</v>
      </c>
      <c r="H40" s="23">
        <f>SUMIF(金币产出!$D$7:$D$306,$D40,金币产出!$X$7:$X$306)</f>
        <v>1800</v>
      </c>
      <c r="I40" s="23">
        <f t="shared" si="0"/>
        <v>1971</v>
      </c>
      <c r="J40" s="23">
        <f t="shared" si="1"/>
        <v>4400</v>
      </c>
      <c r="K40" s="25">
        <f ca="1">VLOOKUP(D40,金币产出!$Y$6:$AG$67,8,0)*($E$17-$H$17*2)+VLOOKUP(D40,金币产出!$Y$6:$AG$67,9,0)</f>
        <v>6252.8</v>
      </c>
      <c r="L40" s="27">
        <f ca="1" t="shared" si="2"/>
        <v>0.224212738186591</v>
      </c>
      <c r="M40" s="27"/>
      <c r="O40" s="23">
        <v>22</v>
      </c>
      <c r="P40" s="23">
        <f ca="1">OFFSET(金币产出!S$6,MATCH($D40,金币产出!$D$7:$D$306,1),0)*$Q$17</f>
        <v>7207.2</v>
      </c>
      <c r="Q40" s="23">
        <f ca="1">OFFSET(金币产出!T$6,MATCH($D40,金币产出!$D$7:$D$306,1),0)*$P$17</f>
        <v>9108</v>
      </c>
      <c r="R40" s="23">
        <f ca="1">OFFSET(金币产出!U$6,MATCH($D40,金币产出!$D$7:$D$306,1),0)</f>
        <v>0</v>
      </c>
      <c r="S40" s="23">
        <f>SUMIF(金币产出!$D$7:$D$306,$D40,金币产出!$X$7:$X$306)</f>
        <v>1800</v>
      </c>
      <c r="T40" s="23">
        <f t="shared" si="3"/>
        <v>1971</v>
      </c>
      <c r="U40" s="23">
        <f t="shared" si="4"/>
        <v>5720</v>
      </c>
      <c r="V40" s="25">
        <f ca="1">VLOOKUP(O40,金币产出!$Y$6:$AG$67,8,0)*($P$17-$S$17*2)+VLOOKUP(O40,金币产出!$Y$6:$AG$67,9,0)*$S$17</f>
        <v>9755.86666666668</v>
      </c>
      <c r="W40" s="25">
        <f t="shared" si="5"/>
        <v>10000</v>
      </c>
      <c r="Y40" s="23">
        <v>22</v>
      </c>
      <c r="Z40" s="23">
        <f ca="1">OFFSET(金币产出!S$6,MATCH($D40,金币产出!$D$7:$D$306,1),0)*$Q$17</f>
        <v>7207.2</v>
      </c>
      <c r="AA40" s="23">
        <f ca="1">OFFSET(金币产出!T$6,MATCH($D40,金币产出!$D$7:$D$306,1),0)*$Z$17</f>
        <v>9108</v>
      </c>
      <c r="AB40" s="23">
        <f ca="1">OFFSET(金币产出!U$6,MATCH($D40,金币产出!$D$7:$D$306,1),0)</f>
        <v>0</v>
      </c>
      <c r="AC40" s="23">
        <f>SUMIF(金币产出!$E$7:$E$306,$D40,金币产出!$X$7:$X$306)</f>
        <v>1800</v>
      </c>
      <c r="AD40" s="23">
        <f t="shared" si="6"/>
        <v>1971</v>
      </c>
      <c r="AE40" s="23">
        <f t="shared" si="7"/>
        <v>9152</v>
      </c>
      <c r="AF40" s="25">
        <f ca="1">VLOOKUP(Y40,金币产出!$Y$6:$AI$67,10,0)*($Z$17-$AC$17*2)+VLOOKUP(Y40,金币产出!$Y$6:$AI$67,11,0)*$AC$17</f>
        <v>10634.9333333334</v>
      </c>
      <c r="AH40" s="23">
        <v>22</v>
      </c>
      <c r="AI40" s="23">
        <f ca="1">OFFSET(金币产出!S$6,MATCH($D40,金币产出!$D$7:$D$306,1),0)*$Q$17</f>
        <v>7207.2</v>
      </c>
      <c r="AJ40" s="23">
        <f ca="1">OFFSET(金币产出!T$6,MATCH($D40,金币产出!$D$7:$D$306,1),0)*$AI$17</f>
        <v>14058</v>
      </c>
      <c r="AK40" s="23">
        <f ca="1">OFFSET(金币产出!U$6,MATCH($D40,金币产出!$D$7:$D$306,1),0)</f>
        <v>0</v>
      </c>
      <c r="AL40" s="23">
        <f>SUMIF(金币产出!$E$7:$E$306,$D40,金币产出!$X$7:$X$306)</f>
        <v>1800</v>
      </c>
      <c r="AM40" s="23">
        <f t="shared" si="8"/>
        <v>1971</v>
      </c>
      <c r="AN40" s="23">
        <f t="shared" si="9"/>
        <v>12100</v>
      </c>
      <c r="AO40" s="25">
        <f ca="1">VLOOKUP(AH40,金币产出!$Y$6:$AI$67,10,0)*($AI$17-$AL$17*2)+VLOOKUP(AH40,金币产出!$Y$6:$AI$67,11,0)*$AL$17</f>
        <v>11554.9333333334</v>
      </c>
      <c r="AP40" s="23">
        <f ca="1" t="shared" si="10"/>
        <v>0.237310831403938</v>
      </c>
    </row>
    <row r="41" spans="4:42">
      <c r="D41" s="23">
        <v>23</v>
      </c>
      <c r="E41" s="23">
        <f ca="1">OFFSET(金币产出!S$6,MATCH($D41,金币产出!$D$7:$D$306,1),0)*$F$17</f>
        <v>5572</v>
      </c>
      <c r="F41" s="23">
        <f ca="1">OFFSET(金币产出!T$6,MATCH($D41,金币产出!$D$7:$D$306,1),0)*$E$17</f>
        <v>7960</v>
      </c>
      <c r="G41" s="23">
        <f ca="1">OFFSET(金币产出!U$6,MATCH($D41,金币产出!$D$7:$D$306,1),0)</f>
        <v>0</v>
      </c>
      <c r="H41" s="23">
        <f>SUMIF(金币产出!$D$7:$D$306,$D41,金币产出!$X$7:$X$306)</f>
        <v>1800</v>
      </c>
      <c r="I41" s="23">
        <f t="shared" si="0"/>
        <v>1971</v>
      </c>
      <c r="J41" s="23">
        <f t="shared" si="1"/>
        <v>4400</v>
      </c>
      <c r="K41" s="25">
        <f ca="1">VLOOKUP(D41,金币产出!$Y$6:$AG$67,8,0)*($E$17-$H$17*2)+VLOOKUP(D41,金币产出!$Y$6:$AG$67,9,0)</f>
        <v>6662.48</v>
      </c>
      <c r="L41" s="27">
        <f ca="1" t="shared" si="2"/>
        <v>0.234879861014162</v>
      </c>
      <c r="M41" s="27"/>
      <c r="O41" s="23">
        <v>23</v>
      </c>
      <c r="P41" s="23">
        <f ca="1">OFFSET(金币产出!S$6,MATCH($D41,金币产出!$D$7:$D$306,1),0)*$Q$17</f>
        <v>7243.6</v>
      </c>
      <c r="Q41" s="23">
        <f ca="1">OFFSET(金币产出!T$6,MATCH($D41,金币产出!$D$7:$D$306,1),0)*$P$17</f>
        <v>9154</v>
      </c>
      <c r="R41" s="23">
        <f ca="1">OFFSET(金币产出!U$6,MATCH($D41,金币产出!$D$7:$D$306,1),0)</f>
        <v>0</v>
      </c>
      <c r="S41" s="23">
        <f>SUMIF(金币产出!$D$7:$D$306,$D41,金币产出!$X$7:$X$306)</f>
        <v>1800</v>
      </c>
      <c r="T41" s="23">
        <f t="shared" si="3"/>
        <v>1971</v>
      </c>
      <c r="U41" s="23">
        <f t="shared" si="4"/>
        <v>5720</v>
      </c>
      <c r="V41" s="25">
        <f ca="1">VLOOKUP(O41,金币产出!$Y$6:$AG$67,8,0)*($P$17-$S$17*2)+VLOOKUP(O41,金币产出!$Y$6:$AG$67,9,0)*$S$17</f>
        <v>10438.6666666667</v>
      </c>
      <c r="W41" s="25">
        <f t="shared" si="5"/>
        <v>10000</v>
      </c>
      <c r="Y41" s="23">
        <v>23</v>
      </c>
      <c r="Z41" s="23">
        <f ca="1">OFFSET(金币产出!S$6,MATCH($D41,金币产出!$D$7:$D$306,1),0)*$Q$17</f>
        <v>7243.6</v>
      </c>
      <c r="AA41" s="23">
        <f ca="1">OFFSET(金币产出!T$6,MATCH($D41,金币产出!$D$7:$D$306,1),0)*$Z$17</f>
        <v>9154</v>
      </c>
      <c r="AB41" s="23">
        <f ca="1">OFFSET(金币产出!U$6,MATCH($D41,金币产出!$D$7:$D$306,1),0)</f>
        <v>0</v>
      </c>
      <c r="AC41" s="23">
        <f>SUMIF(金币产出!$E$7:$E$306,$D41,金币产出!$X$7:$X$306)</f>
        <v>1800</v>
      </c>
      <c r="AD41" s="23">
        <f t="shared" si="6"/>
        <v>1971</v>
      </c>
      <c r="AE41" s="23">
        <f t="shared" si="7"/>
        <v>9152</v>
      </c>
      <c r="AF41" s="25">
        <f ca="1">VLOOKUP(Y41,金币产出!$Y$6:$AI$67,10,0)*($Z$17-$AC$17*2)+VLOOKUP(Y41,金币产出!$Y$6:$AI$67,11,0)*$AC$17</f>
        <v>12404.3333333334</v>
      </c>
      <c r="AH41" s="23">
        <v>23</v>
      </c>
      <c r="AI41" s="23">
        <f ca="1">OFFSET(金币产出!S$6,MATCH($D41,金币产出!$D$7:$D$306,1),0)*$Q$17</f>
        <v>7243.6</v>
      </c>
      <c r="AJ41" s="23">
        <f ca="1">OFFSET(金币产出!T$6,MATCH($D41,金币产出!$D$7:$D$306,1),0)*$AI$17</f>
        <v>14129</v>
      </c>
      <c r="AK41" s="23">
        <f ca="1">OFFSET(金币产出!U$6,MATCH($D41,金币产出!$D$7:$D$306,1),0)</f>
        <v>0</v>
      </c>
      <c r="AL41" s="23">
        <f>SUMIF(金币产出!$E$7:$E$306,$D41,金币产出!$X$7:$X$306)</f>
        <v>1800</v>
      </c>
      <c r="AM41" s="23">
        <f t="shared" si="8"/>
        <v>1971</v>
      </c>
      <c r="AN41" s="23">
        <f t="shared" si="9"/>
        <v>12100</v>
      </c>
      <c r="AO41" s="25">
        <f ca="1">VLOOKUP(AH41,金币产出!$Y$6:$AI$67,10,0)*($AI$17-$AL$17*2)+VLOOKUP(AH41,金币产出!$Y$6:$AI$67,11,0)*$AL$17</f>
        <v>13324.3333333334</v>
      </c>
      <c r="AP41" s="23">
        <f ca="1" t="shared" si="10"/>
        <v>0.263493729227614</v>
      </c>
    </row>
    <row r="42" spans="4:42">
      <c r="D42" s="23">
        <v>24</v>
      </c>
      <c r="E42" s="23">
        <f ca="1">OFFSET(金币产出!S$6,MATCH($D42,金币产出!$D$7:$D$306,1),0)*$F$17</f>
        <v>5600</v>
      </c>
      <c r="F42" s="23">
        <f ca="1">OFFSET(金币产出!T$6,MATCH($D42,金币产出!$D$7:$D$306,1),0)*$E$17</f>
        <v>8000</v>
      </c>
      <c r="G42" s="23">
        <f ca="1">OFFSET(金币产出!U$6,MATCH($D42,金币产出!$D$7:$D$306,1),0)</f>
        <v>0</v>
      </c>
      <c r="H42" s="23">
        <f>SUMIF(金币产出!$D$7:$D$306,$D42,金币产出!$X$7:$X$306)</f>
        <v>1800</v>
      </c>
      <c r="I42" s="23">
        <f t="shared" si="0"/>
        <v>1971</v>
      </c>
      <c r="J42" s="23">
        <f t="shared" si="1"/>
        <v>4400</v>
      </c>
      <c r="K42" s="25">
        <f ca="1">VLOOKUP(D42,金币产出!$Y$6:$AG$67,8,0)*($E$17-$H$17*2)+VLOOKUP(D42,金币产出!$Y$6:$AG$67,9,0)</f>
        <v>6662.48</v>
      </c>
      <c r="L42" s="27">
        <f ca="1" t="shared" si="2"/>
        <v>0.234318134818531</v>
      </c>
      <c r="M42" s="27"/>
      <c r="O42" s="23">
        <v>24</v>
      </c>
      <c r="P42" s="23">
        <f ca="1">OFFSET(金币产出!S$6,MATCH($D42,金币产出!$D$7:$D$306,1),0)*$Q$17</f>
        <v>7280</v>
      </c>
      <c r="Q42" s="23">
        <f ca="1">OFFSET(金币产出!T$6,MATCH($D42,金币产出!$D$7:$D$306,1),0)*$P$17</f>
        <v>9200</v>
      </c>
      <c r="R42" s="23">
        <f ca="1">OFFSET(金币产出!U$6,MATCH($D42,金币产出!$D$7:$D$306,1),0)</f>
        <v>0</v>
      </c>
      <c r="S42" s="23">
        <f>SUMIF(金币产出!$D$7:$D$306,$D42,金币产出!$X$7:$X$306)</f>
        <v>1800</v>
      </c>
      <c r="T42" s="23">
        <f t="shared" si="3"/>
        <v>1971</v>
      </c>
      <c r="U42" s="23">
        <f t="shared" si="4"/>
        <v>5720</v>
      </c>
      <c r="V42" s="25">
        <f ca="1">VLOOKUP(O42,金币产出!$Y$6:$AG$67,8,0)*($P$17-$S$17*2)+VLOOKUP(O42,金币产出!$Y$6:$AG$67,9,0)*$S$17</f>
        <v>10438.6666666667</v>
      </c>
      <c r="W42" s="25">
        <f t="shared" si="5"/>
        <v>10000</v>
      </c>
      <c r="Y42" s="23">
        <v>24</v>
      </c>
      <c r="Z42" s="23">
        <f ca="1">OFFSET(金币产出!S$6,MATCH($D42,金币产出!$D$7:$D$306,1),0)*$Q$17</f>
        <v>7280</v>
      </c>
      <c r="AA42" s="23">
        <f ca="1">OFFSET(金币产出!T$6,MATCH($D42,金币产出!$D$7:$D$306,1),0)*$Z$17</f>
        <v>9200</v>
      </c>
      <c r="AB42" s="23">
        <f ca="1">OFFSET(金币产出!U$6,MATCH($D42,金币产出!$D$7:$D$306,1),0)</f>
        <v>0</v>
      </c>
      <c r="AC42" s="23">
        <f>SUMIF(金币产出!$E$7:$E$306,$D42,金币产出!$X$7:$X$306)</f>
        <v>1800</v>
      </c>
      <c r="AD42" s="23">
        <f t="shared" si="6"/>
        <v>1971</v>
      </c>
      <c r="AE42" s="23">
        <f t="shared" si="7"/>
        <v>9152</v>
      </c>
      <c r="AF42" s="25">
        <f ca="1">VLOOKUP(Y42,金币产出!$Y$6:$AI$67,10,0)*($Z$17-$AC$17*2)+VLOOKUP(Y42,金币产出!$Y$6:$AI$67,11,0)*$AC$17</f>
        <v>12404.3333333334</v>
      </c>
      <c r="AH42" s="23">
        <v>24</v>
      </c>
      <c r="AI42" s="23">
        <f ca="1">OFFSET(金币产出!S$6,MATCH($D42,金币产出!$D$7:$D$306,1),0)*$Q$17</f>
        <v>7280</v>
      </c>
      <c r="AJ42" s="23">
        <f ca="1">OFFSET(金币产出!T$6,MATCH($D42,金币产出!$D$7:$D$306,1),0)*$AI$17</f>
        <v>14200</v>
      </c>
      <c r="AK42" s="23">
        <f ca="1">OFFSET(金币产出!U$6,MATCH($D42,金币产出!$D$7:$D$306,1),0)</f>
        <v>0</v>
      </c>
      <c r="AL42" s="23">
        <f>SUMIF(金币产出!$E$7:$E$306,$D42,金币产出!$X$7:$X$306)</f>
        <v>1800</v>
      </c>
      <c r="AM42" s="23">
        <f t="shared" si="8"/>
        <v>1971</v>
      </c>
      <c r="AN42" s="23">
        <f t="shared" si="9"/>
        <v>12100</v>
      </c>
      <c r="AO42" s="25">
        <f ca="1">VLOOKUP(AH42,金币产出!$Y$6:$AI$67,10,0)*($AI$17-$AL$17*2)+VLOOKUP(AH42,金币产出!$Y$6:$AI$67,11,0)*$AL$17</f>
        <v>13324.3333333334</v>
      </c>
      <c r="AP42" s="23">
        <f ca="1" t="shared" si="10"/>
        <v>0.262935287385053</v>
      </c>
    </row>
    <row r="43" spans="4:42">
      <c r="D43" s="23">
        <v>25</v>
      </c>
      <c r="E43" s="23">
        <f ca="1">OFFSET(金币产出!S$6,MATCH($D43,金币产出!$D$7:$D$306,1),0)*$F$17</f>
        <v>5628</v>
      </c>
      <c r="F43" s="23">
        <f ca="1">OFFSET(金币产出!T$6,MATCH($D43,金币产出!$D$7:$D$306,1),0)*$E$17</f>
        <v>8040</v>
      </c>
      <c r="G43" s="23">
        <f ca="1">OFFSET(金币产出!U$6,MATCH($D43,金币产出!$D$7:$D$306,1),0)</f>
        <v>0</v>
      </c>
      <c r="H43" s="23">
        <f>SUMIF(金币产出!$D$7:$D$306,$D43,金币产出!$X$7:$X$306)</f>
        <v>1800</v>
      </c>
      <c r="I43" s="23">
        <f t="shared" si="0"/>
        <v>1971</v>
      </c>
      <c r="J43" s="23">
        <f t="shared" si="1"/>
        <v>4400</v>
      </c>
      <c r="K43" s="25">
        <f ca="1">VLOOKUP(D43,金币产出!$Y$6:$AG$67,8,0)*($E$17-$H$17*2)+VLOOKUP(D43,金币产出!$Y$6:$AG$67,9,0)</f>
        <v>6662.48</v>
      </c>
      <c r="L43" s="27">
        <f ca="1" t="shared" si="2"/>
        <v>0.233759089001694</v>
      </c>
      <c r="M43" s="27"/>
      <c r="O43" s="23">
        <v>25</v>
      </c>
      <c r="P43" s="23">
        <f ca="1">OFFSET(金币产出!S$6,MATCH($D43,金币产出!$D$7:$D$306,1),0)*$Q$17</f>
        <v>7316.4</v>
      </c>
      <c r="Q43" s="23">
        <f ca="1">OFFSET(金币产出!T$6,MATCH($D43,金币产出!$D$7:$D$306,1),0)*$P$17</f>
        <v>9246</v>
      </c>
      <c r="R43" s="23">
        <f ca="1">OFFSET(金币产出!U$6,MATCH($D43,金币产出!$D$7:$D$306,1),0)</f>
        <v>0</v>
      </c>
      <c r="S43" s="23">
        <f>SUMIF(金币产出!$D$7:$D$306,$D43,金币产出!$X$7:$X$306)</f>
        <v>1800</v>
      </c>
      <c r="T43" s="23">
        <f t="shared" si="3"/>
        <v>1971</v>
      </c>
      <c r="U43" s="23">
        <f t="shared" si="4"/>
        <v>5720</v>
      </c>
      <c r="V43" s="25">
        <f ca="1">VLOOKUP(O43,金币产出!$Y$6:$AG$67,8,0)*($P$17-$S$17*2)+VLOOKUP(O43,金币产出!$Y$6:$AG$67,9,0)*$S$17</f>
        <v>10438.6666666667</v>
      </c>
      <c r="W43" s="25">
        <f t="shared" si="5"/>
        <v>10000</v>
      </c>
      <c r="Y43" s="23">
        <v>25</v>
      </c>
      <c r="Z43" s="23">
        <f ca="1">OFFSET(金币产出!S$6,MATCH($D43,金币产出!$D$7:$D$306,1),0)*$Q$17</f>
        <v>7316.4</v>
      </c>
      <c r="AA43" s="23">
        <f ca="1">OFFSET(金币产出!T$6,MATCH($D43,金币产出!$D$7:$D$306,1),0)*$Z$17</f>
        <v>9246</v>
      </c>
      <c r="AB43" s="23">
        <f ca="1">OFFSET(金币产出!U$6,MATCH($D43,金币产出!$D$7:$D$306,1),0)</f>
        <v>0</v>
      </c>
      <c r="AC43" s="23">
        <f>SUMIF(金币产出!$E$7:$E$306,$D43,金币产出!$X$7:$X$306)</f>
        <v>1800</v>
      </c>
      <c r="AD43" s="23">
        <f t="shared" si="6"/>
        <v>1971</v>
      </c>
      <c r="AE43" s="23">
        <f t="shared" si="7"/>
        <v>9152</v>
      </c>
      <c r="AF43" s="25">
        <f ca="1">VLOOKUP(Y43,金币产出!$Y$6:$AI$67,10,0)*($Z$17-$AC$17*2)+VLOOKUP(Y43,金币产出!$Y$6:$AI$67,11,0)*$AC$17</f>
        <v>12404.3333333334</v>
      </c>
      <c r="AH43" s="23">
        <v>25</v>
      </c>
      <c r="AI43" s="23">
        <f ca="1">OFFSET(金币产出!S$6,MATCH($D43,金币产出!$D$7:$D$306,1),0)*$Q$17</f>
        <v>7316.4</v>
      </c>
      <c r="AJ43" s="23">
        <f ca="1">OFFSET(金币产出!T$6,MATCH($D43,金币产出!$D$7:$D$306,1),0)*$AI$17</f>
        <v>14271</v>
      </c>
      <c r="AK43" s="23">
        <f ca="1">OFFSET(金币产出!U$6,MATCH($D43,金币产出!$D$7:$D$306,1),0)</f>
        <v>0</v>
      </c>
      <c r="AL43" s="23">
        <f>SUMIF(金币产出!$E$7:$E$306,$D43,金币产出!$X$7:$X$306)</f>
        <v>1800</v>
      </c>
      <c r="AM43" s="23">
        <f t="shared" si="8"/>
        <v>1971</v>
      </c>
      <c r="AN43" s="23">
        <f t="shared" si="9"/>
        <v>12100</v>
      </c>
      <c r="AO43" s="25">
        <f ca="1">VLOOKUP(AH43,金币产出!$Y$6:$AI$67,10,0)*($AI$17-$AL$17*2)+VLOOKUP(AH43,金币产出!$Y$6:$AI$67,11,0)*$AL$17</f>
        <v>13324.3333333334</v>
      </c>
      <c r="AP43" s="23">
        <f ca="1" t="shared" si="10"/>
        <v>0.26237920763094</v>
      </c>
    </row>
    <row r="44" spans="4:42">
      <c r="D44" s="23">
        <v>26</v>
      </c>
      <c r="E44" s="23">
        <f ca="1">OFFSET(金币产出!S$6,MATCH($D44,金币产出!$D$7:$D$306,1),0)*$F$17</f>
        <v>5656</v>
      </c>
      <c r="F44" s="23">
        <f ca="1">OFFSET(金币产出!T$6,MATCH($D44,金币产出!$D$7:$D$306,1),0)*$E$17</f>
        <v>8080</v>
      </c>
      <c r="G44" s="23">
        <f ca="1">OFFSET(金币产出!U$6,MATCH($D44,金币产出!$D$7:$D$306,1),0)</f>
        <v>0</v>
      </c>
      <c r="H44" s="23">
        <f>SUMIF(金币产出!$D$7:$D$306,$D44,金币产出!$X$7:$X$306)</f>
        <v>1800</v>
      </c>
      <c r="I44" s="23">
        <f t="shared" si="0"/>
        <v>1971</v>
      </c>
      <c r="J44" s="23">
        <f t="shared" si="1"/>
        <v>4400</v>
      </c>
      <c r="K44" s="25">
        <f ca="1">VLOOKUP(D44,金币产出!$Y$6:$AG$67,8,0)*($E$17-$H$17*2)+VLOOKUP(D44,金币产出!$Y$6:$AG$67,9,0)</f>
        <v>6662.48</v>
      </c>
      <c r="L44" s="27">
        <f ca="1" t="shared" si="2"/>
        <v>0.233202704424442</v>
      </c>
      <c r="M44" s="27"/>
      <c r="O44" s="23">
        <v>26</v>
      </c>
      <c r="P44" s="23">
        <f ca="1">OFFSET(金币产出!S$6,MATCH($D44,金币产出!$D$7:$D$306,1),0)*$Q$17</f>
        <v>7352.8</v>
      </c>
      <c r="Q44" s="23">
        <f ca="1">OFFSET(金币产出!T$6,MATCH($D44,金币产出!$D$7:$D$306,1),0)*$P$17</f>
        <v>9292</v>
      </c>
      <c r="R44" s="23">
        <f ca="1">OFFSET(金币产出!U$6,MATCH($D44,金币产出!$D$7:$D$306,1),0)</f>
        <v>0</v>
      </c>
      <c r="S44" s="23">
        <f>SUMIF(金币产出!$D$7:$D$306,$D44,金币产出!$X$7:$X$306)</f>
        <v>1800</v>
      </c>
      <c r="T44" s="23">
        <f t="shared" si="3"/>
        <v>1971</v>
      </c>
      <c r="U44" s="23">
        <f t="shared" si="4"/>
        <v>5720</v>
      </c>
      <c r="V44" s="25">
        <f ca="1">VLOOKUP(O44,金币产出!$Y$6:$AG$67,8,0)*($P$17-$S$17*2)+VLOOKUP(O44,金币产出!$Y$6:$AG$67,9,0)*$S$17</f>
        <v>10438.6666666667</v>
      </c>
      <c r="W44" s="25">
        <f t="shared" si="5"/>
        <v>10000</v>
      </c>
      <c r="Y44" s="23">
        <v>26</v>
      </c>
      <c r="Z44" s="23">
        <f ca="1">OFFSET(金币产出!S$6,MATCH($D44,金币产出!$D$7:$D$306,1),0)*$Q$17</f>
        <v>7352.8</v>
      </c>
      <c r="AA44" s="23">
        <f ca="1">OFFSET(金币产出!T$6,MATCH($D44,金币产出!$D$7:$D$306,1),0)*$Z$17</f>
        <v>9292</v>
      </c>
      <c r="AB44" s="23">
        <f ca="1">OFFSET(金币产出!U$6,MATCH($D44,金币产出!$D$7:$D$306,1),0)</f>
        <v>0</v>
      </c>
      <c r="AC44" s="23">
        <f>SUMIF(金币产出!$E$7:$E$306,$D44,金币产出!$X$7:$X$306)</f>
        <v>1800</v>
      </c>
      <c r="AD44" s="23">
        <f t="shared" si="6"/>
        <v>1971</v>
      </c>
      <c r="AE44" s="23">
        <f t="shared" si="7"/>
        <v>9152</v>
      </c>
      <c r="AF44" s="25">
        <f ca="1">VLOOKUP(Y44,金币产出!$Y$6:$AI$67,10,0)*($Z$17-$AC$17*2)+VLOOKUP(Y44,金币产出!$Y$6:$AI$67,11,0)*$AC$17</f>
        <v>12404.3333333334</v>
      </c>
      <c r="AH44" s="23">
        <v>26</v>
      </c>
      <c r="AI44" s="23">
        <f ca="1">OFFSET(金币产出!S$6,MATCH($D44,金币产出!$D$7:$D$306,1),0)*$Q$17</f>
        <v>7352.8</v>
      </c>
      <c r="AJ44" s="23">
        <f ca="1">OFFSET(金币产出!T$6,MATCH($D44,金币产出!$D$7:$D$306,1),0)*$AI$17</f>
        <v>14342</v>
      </c>
      <c r="AK44" s="23">
        <f ca="1">OFFSET(金币产出!U$6,MATCH($D44,金币产出!$D$7:$D$306,1),0)</f>
        <v>0</v>
      </c>
      <c r="AL44" s="23">
        <f>SUMIF(金币产出!$E$7:$E$306,$D44,金币产出!$X$7:$X$306)</f>
        <v>1800</v>
      </c>
      <c r="AM44" s="23">
        <f t="shared" si="8"/>
        <v>1971</v>
      </c>
      <c r="AN44" s="23">
        <f t="shared" si="9"/>
        <v>12100</v>
      </c>
      <c r="AO44" s="25">
        <f ca="1">VLOOKUP(AH44,金币产出!$Y$6:$AI$67,10,0)*($AI$17-$AL$17*2)+VLOOKUP(AH44,金币产出!$Y$6:$AI$67,11,0)*$AL$17</f>
        <v>13324.3333333334</v>
      </c>
      <c r="AP44" s="23">
        <f ca="1" t="shared" si="10"/>
        <v>0.261825475010218</v>
      </c>
    </row>
    <row r="45" spans="4:42">
      <c r="D45" s="23">
        <v>27</v>
      </c>
      <c r="E45" s="23">
        <f ca="1">OFFSET(金币产出!S$6,MATCH($D45,金币产出!$D$7:$D$306,1),0)*$F$17</f>
        <v>5684</v>
      </c>
      <c r="F45" s="23">
        <f ca="1">OFFSET(金币产出!T$6,MATCH($D45,金币产出!$D$7:$D$306,1),0)*$E$17</f>
        <v>8120</v>
      </c>
      <c r="G45" s="23">
        <f ca="1">OFFSET(金币产出!U$6,MATCH($D45,金币产出!$D$7:$D$306,1),0)</f>
        <v>0</v>
      </c>
      <c r="H45" s="23">
        <f>SUMIF(金币产出!$D$7:$D$306,$D45,金币产出!$X$7:$X$306)</f>
        <v>1800</v>
      </c>
      <c r="I45" s="23">
        <f t="shared" si="0"/>
        <v>1971</v>
      </c>
      <c r="J45" s="23">
        <f t="shared" si="1"/>
        <v>4400</v>
      </c>
      <c r="K45" s="25">
        <f ca="1">VLOOKUP(D45,金币产出!$Y$6:$AG$67,8,0)*($E$17-$H$17*2)+VLOOKUP(D45,金币产出!$Y$6:$AG$67,9,0)</f>
        <v>6662.48</v>
      </c>
      <c r="L45" s="27">
        <f ca="1" t="shared" si="2"/>
        <v>0.232648962129349</v>
      </c>
      <c r="M45" s="27"/>
      <c r="O45" s="23">
        <v>27</v>
      </c>
      <c r="P45" s="23">
        <f ca="1">OFFSET(金币产出!S$6,MATCH($D45,金币产出!$D$7:$D$306,1),0)*$Q$17</f>
        <v>7389.2</v>
      </c>
      <c r="Q45" s="23">
        <f ca="1">OFFSET(金币产出!T$6,MATCH($D45,金币产出!$D$7:$D$306,1),0)*$P$17</f>
        <v>9338</v>
      </c>
      <c r="R45" s="23">
        <f ca="1">OFFSET(金币产出!U$6,MATCH($D45,金币产出!$D$7:$D$306,1),0)</f>
        <v>0</v>
      </c>
      <c r="S45" s="23">
        <f>SUMIF(金币产出!$D$7:$D$306,$D45,金币产出!$X$7:$X$306)</f>
        <v>1800</v>
      </c>
      <c r="T45" s="23">
        <f t="shared" si="3"/>
        <v>1971</v>
      </c>
      <c r="U45" s="23">
        <f t="shared" si="4"/>
        <v>5720</v>
      </c>
      <c r="V45" s="25">
        <f ca="1">VLOOKUP(O45,金币产出!$Y$6:$AG$67,8,0)*($P$17-$S$17*2)+VLOOKUP(O45,金币产出!$Y$6:$AG$67,9,0)*$S$17</f>
        <v>10438.6666666667</v>
      </c>
      <c r="W45" s="25">
        <f t="shared" si="5"/>
        <v>10000</v>
      </c>
      <c r="Y45" s="23">
        <v>27</v>
      </c>
      <c r="Z45" s="23">
        <f ca="1">OFFSET(金币产出!S$6,MATCH($D45,金币产出!$D$7:$D$306,1),0)*$Q$17</f>
        <v>7389.2</v>
      </c>
      <c r="AA45" s="23">
        <f ca="1">OFFSET(金币产出!T$6,MATCH($D45,金币产出!$D$7:$D$306,1),0)*$Z$17</f>
        <v>9338</v>
      </c>
      <c r="AB45" s="23">
        <f ca="1">OFFSET(金币产出!U$6,MATCH($D45,金币产出!$D$7:$D$306,1),0)</f>
        <v>0</v>
      </c>
      <c r="AC45" s="23">
        <f>SUMIF(金币产出!$E$7:$E$306,$D45,金币产出!$X$7:$X$306)</f>
        <v>1800</v>
      </c>
      <c r="AD45" s="23">
        <f t="shared" si="6"/>
        <v>1971</v>
      </c>
      <c r="AE45" s="23">
        <f t="shared" si="7"/>
        <v>9152</v>
      </c>
      <c r="AF45" s="25">
        <f ca="1">VLOOKUP(Y45,金币产出!$Y$6:$AI$67,10,0)*($Z$17-$AC$17*2)+VLOOKUP(Y45,金币产出!$Y$6:$AI$67,11,0)*$AC$17</f>
        <v>12404.3333333334</v>
      </c>
      <c r="AH45" s="23">
        <v>27</v>
      </c>
      <c r="AI45" s="23">
        <f ca="1">OFFSET(金币产出!S$6,MATCH($D45,金币产出!$D$7:$D$306,1),0)*$Q$17</f>
        <v>7389.2</v>
      </c>
      <c r="AJ45" s="23">
        <f ca="1">OFFSET(金币产出!T$6,MATCH($D45,金币产出!$D$7:$D$306,1),0)*$AI$17</f>
        <v>14413</v>
      </c>
      <c r="AK45" s="23">
        <f ca="1">OFFSET(金币产出!U$6,MATCH($D45,金币产出!$D$7:$D$306,1),0)</f>
        <v>0</v>
      </c>
      <c r="AL45" s="23">
        <f>SUMIF(金币产出!$E$7:$E$306,$D45,金币产出!$X$7:$X$306)</f>
        <v>1800</v>
      </c>
      <c r="AM45" s="23">
        <f t="shared" si="8"/>
        <v>1971</v>
      </c>
      <c r="AN45" s="23">
        <f t="shared" si="9"/>
        <v>12100</v>
      </c>
      <c r="AO45" s="25">
        <f ca="1">VLOOKUP(AH45,金币产出!$Y$6:$AI$67,10,0)*($AI$17-$AL$17*2)+VLOOKUP(AH45,金币产出!$Y$6:$AI$67,11,0)*$AL$17</f>
        <v>13324.3333333334</v>
      </c>
      <c r="AP45" s="23">
        <f ca="1" t="shared" si="10"/>
        <v>0.261274074693809</v>
      </c>
    </row>
    <row r="46" spans="4:42">
      <c r="D46" s="23">
        <v>28</v>
      </c>
      <c r="E46" s="23">
        <f ca="1">OFFSET(金币产出!S$6,MATCH($D46,金币产出!$D$7:$D$306,1),0)*$F$17</f>
        <v>5712</v>
      </c>
      <c r="F46" s="23">
        <f ca="1">OFFSET(金币产出!T$6,MATCH($D46,金币产出!$D$7:$D$306,1),0)*$E$17</f>
        <v>8160</v>
      </c>
      <c r="G46" s="23">
        <f ca="1">OFFSET(金币产出!U$6,MATCH($D46,金币产出!$D$7:$D$306,1),0)</f>
        <v>0</v>
      </c>
      <c r="H46" s="23">
        <f>SUMIF(金币产出!$D$7:$D$306,$D46,金币产出!$X$7:$X$306)</f>
        <v>1800</v>
      </c>
      <c r="I46" s="23">
        <f t="shared" si="0"/>
        <v>1971</v>
      </c>
      <c r="J46" s="23">
        <f t="shared" si="1"/>
        <v>4400</v>
      </c>
      <c r="K46" s="25">
        <f ca="1">VLOOKUP(D46,金币产出!$Y$6:$AG$67,8,0)*($E$17-$H$17*2)+VLOOKUP(D46,金币产出!$Y$6:$AG$67,9,0)</f>
        <v>6837.28</v>
      </c>
      <c r="L46" s="27">
        <f ca="1" t="shared" si="2"/>
        <v>0.236745627119959</v>
      </c>
      <c r="M46" s="27"/>
      <c r="O46" s="23">
        <v>28</v>
      </c>
      <c r="P46" s="23">
        <f ca="1">OFFSET(金币产出!S$6,MATCH($D46,金币产出!$D$7:$D$306,1),0)*$Q$17</f>
        <v>7425.6</v>
      </c>
      <c r="Q46" s="23">
        <f ca="1">OFFSET(金币产出!T$6,MATCH($D46,金币产出!$D$7:$D$306,1),0)*$P$17</f>
        <v>9384</v>
      </c>
      <c r="R46" s="23">
        <f ca="1">OFFSET(金币产出!U$6,MATCH($D46,金币产出!$D$7:$D$306,1),0)</f>
        <v>0</v>
      </c>
      <c r="S46" s="23">
        <f>SUMIF(金币产出!$D$7:$D$306,$D46,金币产出!$X$7:$X$306)</f>
        <v>1800</v>
      </c>
      <c r="T46" s="23">
        <f t="shared" si="3"/>
        <v>1971</v>
      </c>
      <c r="U46" s="23">
        <f t="shared" si="4"/>
        <v>5720</v>
      </c>
      <c r="V46" s="25">
        <f ca="1">VLOOKUP(O46,金币产出!$Y$6:$AG$67,8,0)*($P$17-$S$17*2)+VLOOKUP(O46,金币产出!$Y$6:$AG$67,9,0)*$S$17</f>
        <v>10634.9333333334</v>
      </c>
      <c r="W46" s="25">
        <f t="shared" si="5"/>
        <v>10000</v>
      </c>
      <c r="Y46" s="23">
        <v>28</v>
      </c>
      <c r="Z46" s="23">
        <f ca="1">OFFSET(金币产出!S$6,MATCH($D46,金币产出!$D$7:$D$306,1),0)*$Q$17</f>
        <v>7425.6</v>
      </c>
      <c r="AA46" s="23">
        <f ca="1">OFFSET(金币产出!T$6,MATCH($D46,金币产出!$D$7:$D$306,1),0)*$Z$17</f>
        <v>9384</v>
      </c>
      <c r="AB46" s="23">
        <f ca="1">OFFSET(金币产出!U$6,MATCH($D46,金币产出!$D$7:$D$306,1),0)</f>
        <v>0</v>
      </c>
      <c r="AC46" s="23">
        <f>SUMIF(金币产出!$E$7:$E$306,$D46,金币产出!$X$7:$X$306)</f>
        <v>1800</v>
      </c>
      <c r="AD46" s="23">
        <f t="shared" si="6"/>
        <v>1971</v>
      </c>
      <c r="AE46" s="23">
        <f t="shared" si="7"/>
        <v>9152</v>
      </c>
      <c r="AF46" s="25">
        <f ca="1">VLOOKUP(Y46,金币产出!$Y$6:$AI$67,10,0)*($Z$17-$AC$17*2)+VLOOKUP(Y46,金币产出!$Y$6:$AI$67,11,0)*$AC$17</f>
        <v>12600.6</v>
      </c>
      <c r="AH46" s="23">
        <v>28</v>
      </c>
      <c r="AI46" s="23">
        <f ca="1">OFFSET(金币产出!S$6,MATCH($D46,金币产出!$D$7:$D$306,1),0)*$Q$17</f>
        <v>7425.6</v>
      </c>
      <c r="AJ46" s="23">
        <f ca="1">OFFSET(金币产出!T$6,MATCH($D46,金币产出!$D$7:$D$306,1),0)*$AI$17</f>
        <v>14484</v>
      </c>
      <c r="AK46" s="23">
        <f ca="1">OFFSET(金币产出!U$6,MATCH($D46,金币产出!$D$7:$D$306,1),0)</f>
        <v>0</v>
      </c>
      <c r="AL46" s="23">
        <f>SUMIF(金币产出!$E$7:$E$306,$D46,金币产出!$X$7:$X$306)</f>
        <v>1800</v>
      </c>
      <c r="AM46" s="23">
        <f t="shared" si="8"/>
        <v>1971</v>
      </c>
      <c r="AN46" s="23">
        <f t="shared" si="9"/>
        <v>12100</v>
      </c>
      <c r="AO46" s="25">
        <f ca="1">VLOOKUP(AH46,金币产出!$Y$6:$AI$67,10,0)*($AI$17-$AL$17*2)+VLOOKUP(AH46,金币产出!$Y$6:$AI$67,11,0)*$AL$17</f>
        <v>13635.6</v>
      </c>
      <c r="AP46" s="23">
        <f ca="1" t="shared" si="10"/>
        <v>0.265200462111164</v>
      </c>
    </row>
    <row r="47" spans="4:42">
      <c r="D47" s="23">
        <v>29</v>
      </c>
      <c r="E47" s="23">
        <f ca="1">OFFSET(金币产出!S$6,MATCH($D47,金币产出!$D$7:$D$306,1),0)*$F$17</f>
        <v>5740</v>
      </c>
      <c r="F47" s="23">
        <f ca="1">OFFSET(金币产出!T$6,MATCH($D47,金币产出!$D$7:$D$306,1),0)*$E$17</f>
        <v>8200</v>
      </c>
      <c r="G47" s="23">
        <f ca="1">OFFSET(金币产出!U$6,MATCH($D47,金币产出!$D$7:$D$306,1),0)</f>
        <v>0</v>
      </c>
      <c r="H47" s="23">
        <f>SUMIF(金币产出!$D$7:$D$306,$D47,金币产出!$X$7:$X$306)</f>
        <v>1800</v>
      </c>
      <c r="I47" s="23">
        <f t="shared" si="0"/>
        <v>1971</v>
      </c>
      <c r="J47" s="23">
        <f t="shared" si="1"/>
        <v>4400</v>
      </c>
      <c r="K47" s="25">
        <f ca="1">VLOOKUP(D47,金币产出!$Y$6:$AG$67,8,0)*($E$17-$H$17*2)+VLOOKUP(D47,金币产出!$Y$6:$AG$67,9,0)</f>
        <v>6837.28</v>
      </c>
      <c r="L47" s="27">
        <f ca="1" t="shared" si="2"/>
        <v>0.236189507632232</v>
      </c>
      <c r="M47" s="27"/>
      <c r="O47" s="23">
        <v>29</v>
      </c>
      <c r="P47" s="23">
        <f ca="1">OFFSET(金币产出!S$6,MATCH($D47,金币产出!$D$7:$D$306,1),0)*$Q$17</f>
        <v>7462</v>
      </c>
      <c r="Q47" s="23">
        <f ca="1">OFFSET(金币产出!T$6,MATCH($D47,金币产出!$D$7:$D$306,1),0)*$P$17</f>
        <v>9430</v>
      </c>
      <c r="R47" s="23">
        <f ca="1">OFFSET(金币产出!U$6,MATCH($D47,金币产出!$D$7:$D$306,1),0)</f>
        <v>0</v>
      </c>
      <c r="S47" s="23">
        <f>SUMIF(金币产出!$D$7:$D$306,$D47,金币产出!$X$7:$X$306)</f>
        <v>1800</v>
      </c>
      <c r="T47" s="23">
        <f t="shared" si="3"/>
        <v>1971</v>
      </c>
      <c r="U47" s="23">
        <f t="shared" si="4"/>
        <v>5720</v>
      </c>
      <c r="V47" s="25">
        <f ca="1">VLOOKUP(O47,金币产出!$Y$6:$AG$67,8,0)*($P$17-$S$17*2)+VLOOKUP(O47,金币产出!$Y$6:$AG$67,9,0)*$S$17</f>
        <v>10634.9333333334</v>
      </c>
      <c r="W47" s="25">
        <f t="shared" si="5"/>
        <v>10000</v>
      </c>
      <c r="Y47" s="23">
        <v>29</v>
      </c>
      <c r="Z47" s="23">
        <f ca="1">OFFSET(金币产出!S$6,MATCH($D47,金币产出!$D$7:$D$306,1),0)*$Q$17</f>
        <v>7462</v>
      </c>
      <c r="AA47" s="23">
        <f ca="1">OFFSET(金币产出!T$6,MATCH($D47,金币产出!$D$7:$D$306,1),0)*$Z$17</f>
        <v>9430</v>
      </c>
      <c r="AB47" s="23">
        <f ca="1">OFFSET(金币产出!U$6,MATCH($D47,金币产出!$D$7:$D$306,1),0)</f>
        <v>0</v>
      </c>
      <c r="AC47" s="23">
        <f>SUMIF(金币产出!$E$7:$E$306,$D47,金币产出!$X$7:$X$306)</f>
        <v>1800</v>
      </c>
      <c r="AD47" s="23">
        <f t="shared" si="6"/>
        <v>1971</v>
      </c>
      <c r="AE47" s="23">
        <f t="shared" si="7"/>
        <v>9152</v>
      </c>
      <c r="AF47" s="25">
        <f ca="1">VLOOKUP(Y47,金币产出!$Y$6:$AI$67,10,0)*($Z$17-$AC$17*2)+VLOOKUP(Y47,金币产出!$Y$6:$AI$67,11,0)*$AC$17</f>
        <v>12600.6</v>
      </c>
      <c r="AH47" s="23">
        <v>29</v>
      </c>
      <c r="AI47" s="23">
        <f ca="1">OFFSET(金币产出!S$6,MATCH($D47,金币产出!$D$7:$D$306,1),0)*$Q$17</f>
        <v>7462</v>
      </c>
      <c r="AJ47" s="23">
        <f ca="1">OFFSET(金币产出!T$6,MATCH($D47,金币产出!$D$7:$D$306,1),0)*$AI$17</f>
        <v>14555</v>
      </c>
      <c r="AK47" s="23">
        <f ca="1">OFFSET(金币产出!U$6,MATCH($D47,金币产出!$D$7:$D$306,1),0)</f>
        <v>0</v>
      </c>
      <c r="AL47" s="23">
        <f>SUMIF(金币产出!$E$7:$E$306,$D47,金币产出!$X$7:$X$306)</f>
        <v>1800</v>
      </c>
      <c r="AM47" s="23">
        <f t="shared" si="8"/>
        <v>1971</v>
      </c>
      <c r="AN47" s="23">
        <f t="shared" si="9"/>
        <v>12100</v>
      </c>
      <c r="AO47" s="25">
        <f ca="1">VLOOKUP(AH47,金币产出!$Y$6:$AI$67,10,0)*($AI$17-$AL$17*2)+VLOOKUP(AH47,金币产出!$Y$6:$AI$67,11,0)*$AL$17</f>
        <v>13635.6</v>
      </c>
      <c r="AP47" s="23">
        <f ca="1" t="shared" si="10"/>
        <v>0.264647656607846</v>
      </c>
    </row>
    <row r="48" spans="4:42">
      <c r="D48" s="23">
        <v>30</v>
      </c>
      <c r="E48" s="23">
        <f ca="1">OFFSET(金币产出!S$6,MATCH($D48,金币产出!$D$7:$D$306,1),0)*$F$17</f>
        <v>5768</v>
      </c>
      <c r="F48" s="23">
        <f ca="1">OFFSET(金币产出!T$6,MATCH($D48,金币产出!$D$7:$D$306,1),0)*$E$17</f>
        <v>8240</v>
      </c>
      <c r="G48" s="23">
        <f ca="1">OFFSET(金币产出!U$6,MATCH($D48,金币产出!$D$7:$D$306,1),0)</f>
        <v>0</v>
      </c>
      <c r="H48" s="23">
        <f>SUMIF(金币产出!$D$7:$D$306,$D48,金币产出!$X$7:$X$306)</f>
        <v>1800</v>
      </c>
      <c r="I48" s="23">
        <f t="shared" si="0"/>
        <v>1971</v>
      </c>
      <c r="J48" s="23">
        <f t="shared" si="1"/>
        <v>4400</v>
      </c>
      <c r="K48" s="25">
        <f ca="1">VLOOKUP(D48,金币产出!$Y$6:$AG$67,8,0)*($E$17-$H$17*2)+VLOOKUP(D48,金币产出!$Y$6:$AG$67,9,0)</f>
        <v>6837.28</v>
      </c>
      <c r="L48" s="27">
        <f ca="1" t="shared" si="2"/>
        <v>0.235635994689878</v>
      </c>
      <c r="M48" s="27"/>
      <c r="O48" s="23">
        <v>30</v>
      </c>
      <c r="P48" s="23">
        <f ca="1">OFFSET(金币产出!S$6,MATCH($D48,金币产出!$D$7:$D$306,1),0)*$Q$17</f>
        <v>7498.4</v>
      </c>
      <c r="Q48" s="23">
        <f ca="1">OFFSET(金币产出!T$6,MATCH($D48,金币产出!$D$7:$D$306,1),0)*$P$17</f>
        <v>9476</v>
      </c>
      <c r="R48" s="23">
        <f ca="1">OFFSET(金币产出!U$6,MATCH($D48,金币产出!$D$7:$D$306,1),0)</f>
        <v>0</v>
      </c>
      <c r="S48" s="23">
        <f>SUMIF(金币产出!$D$7:$D$306,$D48,金币产出!$X$7:$X$306)</f>
        <v>1800</v>
      </c>
      <c r="T48" s="23">
        <f t="shared" si="3"/>
        <v>1971</v>
      </c>
      <c r="U48" s="23">
        <f t="shared" si="4"/>
        <v>5720</v>
      </c>
      <c r="V48" s="25">
        <f ca="1">VLOOKUP(O48,金币产出!$Y$6:$AG$67,8,0)*($P$17-$S$17*2)+VLOOKUP(O48,金币产出!$Y$6:$AG$67,9,0)*$S$17</f>
        <v>10634.9333333334</v>
      </c>
      <c r="W48" s="25">
        <f t="shared" si="5"/>
        <v>10000</v>
      </c>
      <c r="Y48" s="23">
        <v>30</v>
      </c>
      <c r="Z48" s="23">
        <f ca="1">OFFSET(金币产出!S$6,MATCH($D48,金币产出!$D$7:$D$306,1),0)*$Q$17</f>
        <v>7498.4</v>
      </c>
      <c r="AA48" s="23">
        <f ca="1">OFFSET(金币产出!T$6,MATCH($D48,金币产出!$D$7:$D$306,1),0)*$Z$17</f>
        <v>9476</v>
      </c>
      <c r="AB48" s="23">
        <f ca="1">OFFSET(金币产出!U$6,MATCH($D48,金币产出!$D$7:$D$306,1),0)</f>
        <v>0</v>
      </c>
      <c r="AC48" s="23">
        <f>SUMIF(金币产出!$E$7:$E$306,$D48,金币产出!$X$7:$X$306)</f>
        <v>1800</v>
      </c>
      <c r="AD48" s="23">
        <f t="shared" si="6"/>
        <v>1971</v>
      </c>
      <c r="AE48" s="23">
        <f t="shared" si="7"/>
        <v>9152</v>
      </c>
      <c r="AF48" s="25">
        <f ca="1">VLOOKUP(Y48,金币产出!$Y$6:$AI$67,10,0)*($Z$17-$AC$17*2)+VLOOKUP(Y48,金币产出!$Y$6:$AI$67,11,0)*$AC$17</f>
        <v>12600.6</v>
      </c>
      <c r="AH48" s="23">
        <v>30</v>
      </c>
      <c r="AI48" s="23">
        <f ca="1">OFFSET(金币产出!S$6,MATCH($D48,金币产出!$D$7:$D$306,1),0)*$Q$17</f>
        <v>7498.4</v>
      </c>
      <c r="AJ48" s="23">
        <f ca="1">OFFSET(金币产出!T$6,MATCH($D48,金币产出!$D$7:$D$306,1),0)*$AI$17</f>
        <v>14626</v>
      </c>
      <c r="AK48" s="23">
        <f ca="1">OFFSET(金币产出!U$6,MATCH($D48,金币产出!$D$7:$D$306,1),0)</f>
        <v>0</v>
      </c>
      <c r="AL48" s="23">
        <f>SUMIF(金币产出!$E$7:$E$306,$D48,金币产出!$X$7:$X$306)</f>
        <v>1800</v>
      </c>
      <c r="AM48" s="23">
        <f t="shared" si="8"/>
        <v>1971</v>
      </c>
      <c r="AN48" s="23">
        <f t="shared" si="9"/>
        <v>12100</v>
      </c>
      <c r="AO48" s="25">
        <f ca="1">VLOOKUP(AH48,金币产出!$Y$6:$AI$67,10,0)*($AI$17-$AL$17*2)+VLOOKUP(AH48,金币产出!$Y$6:$AI$67,11,0)*$AL$17</f>
        <v>13635.6</v>
      </c>
      <c r="AP48" s="23">
        <f ca="1" t="shared" si="10"/>
        <v>0.264097150936453</v>
      </c>
    </row>
    <row r="49" spans="4:42">
      <c r="D49" s="23">
        <v>31</v>
      </c>
      <c r="E49" s="23">
        <f ca="1">OFFSET(金币产出!S$6,MATCH($D49,金币产出!$D$7:$D$306,1),0)*$F$17</f>
        <v>5796</v>
      </c>
      <c r="F49" s="23">
        <f ca="1">OFFSET(金币产出!T$6,MATCH($D49,金币产出!$D$7:$D$306,1),0)*$E$17</f>
        <v>8280</v>
      </c>
      <c r="G49" s="23">
        <f ca="1">OFFSET(金币产出!U$6,MATCH($D49,金币产出!$D$7:$D$306,1),0)</f>
        <v>0</v>
      </c>
      <c r="H49" s="23">
        <f>SUMIF(金币产出!$D$7:$D$306,$D49,金币产出!$X$7:$X$306)</f>
        <v>1800</v>
      </c>
      <c r="I49" s="23">
        <f t="shared" si="0"/>
        <v>1971</v>
      </c>
      <c r="J49" s="23">
        <f t="shared" si="1"/>
        <v>4400</v>
      </c>
      <c r="K49" s="25">
        <f ca="1">VLOOKUP(D49,金币产出!$Y$6:$AG$67,8,0)*($E$17-$H$17*2)+VLOOKUP(D49,金币产出!$Y$6:$AG$67,9,0)</f>
        <v>6837.28</v>
      </c>
      <c r="L49" s="27">
        <f ca="1" t="shared" si="2"/>
        <v>0.235085070010329</v>
      </c>
      <c r="M49" s="27"/>
      <c r="O49" s="23">
        <v>31</v>
      </c>
      <c r="P49" s="23">
        <f ca="1">OFFSET(金币产出!S$6,MATCH($D49,金币产出!$D$7:$D$306,1),0)*$Q$17</f>
        <v>7534.8</v>
      </c>
      <c r="Q49" s="23">
        <f ca="1">OFFSET(金币产出!T$6,MATCH($D49,金币产出!$D$7:$D$306,1),0)*$P$17</f>
        <v>9522</v>
      </c>
      <c r="R49" s="23">
        <f ca="1">OFFSET(金币产出!U$6,MATCH($D49,金币产出!$D$7:$D$306,1),0)</f>
        <v>0</v>
      </c>
      <c r="S49" s="23">
        <f>SUMIF(金币产出!$D$7:$D$306,$D49,金币产出!$X$7:$X$306)</f>
        <v>1800</v>
      </c>
      <c r="T49" s="23">
        <f t="shared" si="3"/>
        <v>1971</v>
      </c>
      <c r="U49" s="23">
        <f t="shared" si="4"/>
        <v>5720</v>
      </c>
      <c r="V49" s="25">
        <f ca="1">VLOOKUP(O49,金币产出!$Y$6:$AG$67,8,0)*($P$17-$S$17*2)+VLOOKUP(O49,金币产出!$Y$6:$AG$67,9,0)*$S$17</f>
        <v>10634.9333333334</v>
      </c>
      <c r="W49" s="25">
        <f t="shared" si="5"/>
        <v>10000</v>
      </c>
      <c r="Y49" s="23">
        <v>31</v>
      </c>
      <c r="Z49" s="23">
        <f ca="1">OFFSET(金币产出!S$6,MATCH($D49,金币产出!$D$7:$D$306,1),0)*$Q$17</f>
        <v>7534.8</v>
      </c>
      <c r="AA49" s="23">
        <f ca="1">OFFSET(金币产出!T$6,MATCH($D49,金币产出!$D$7:$D$306,1),0)*$Z$17</f>
        <v>9522</v>
      </c>
      <c r="AB49" s="23">
        <f ca="1">OFFSET(金币产出!U$6,MATCH($D49,金币产出!$D$7:$D$306,1),0)</f>
        <v>0</v>
      </c>
      <c r="AC49" s="23">
        <f>SUMIF(金币产出!$E$7:$E$306,$D49,金币产出!$X$7:$X$306)</f>
        <v>1800</v>
      </c>
      <c r="AD49" s="23">
        <f t="shared" si="6"/>
        <v>1971</v>
      </c>
      <c r="AE49" s="23">
        <f t="shared" si="7"/>
        <v>9152</v>
      </c>
      <c r="AF49" s="25">
        <f ca="1">VLOOKUP(Y49,金币产出!$Y$6:$AI$67,10,0)*($Z$17-$AC$17*2)+VLOOKUP(Y49,金币产出!$Y$6:$AI$67,11,0)*$AC$17</f>
        <v>12600.6</v>
      </c>
      <c r="AH49" s="23">
        <v>31</v>
      </c>
      <c r="AI49" s="23">
        <f ca="1">OFFSET(金币产出!S$6,MATCH($D49,金币产出!$D$7:$D$306,1),0)*$Q$17</f>
        <v>7534.8</v>
      </c>
      <c r="AJ49" s="23">
        <f ca="1">OFFSET(金币产出!T$6,MATCH($D49,金币产出!$D$7:$D$306,1),0)*$AI$17</f>
        <v>14697</v>
      </c>
      <c r="AK49" s="23">
        <f ca="1">OFFSET(金币产出!U$6,MATCH($D49,金币产出!$D$7:$D$306,1),0)</f>
        <v>0</v>
      </c>
      <c r="AL49" s="23">
        <f>SUMIF(金币产出!$E$7:$E$306,$D49,金币产出!$X$7:$X$306)</f>
        <v>1800</v>
      </c>
      <c r="AM49" s="23">
        <f t="shared" si="8"/>
        <v>1971</v>
      </c>
      <c r="AN49" s="23">
        <f t="shared" si="9"/>
        <v>12100</v>
      </c>
      <c r="AO49" s="25">
        <f ca="1">VLOOKUP(AH49,金币产出!$Y$6:$AI$67,10,0)*($AI$17-$AL$17*2)+VLOOKUP(AH49,金币产出!$Y$6:$AI$67,11,0)*$AL$17</f>
        <v>13635.6</v>
      </c>
      <c r="AP49" s="23">
        <f ca="1" t="shared" si="10"/>
        <v>0.263548930774821</v>
      </c>
    </row>
    <row r="50" spans="4:42">
      <c r="D50" s="23">
        <v>32</v>
      </c>
      <c r="E50" s="23">
        <f ca="1">OFFSET(金币产出!S$6,MATCH($D50,金币产出!$D$7:$D$306,1),0)*$F$17</f>
        <v>5824</v>
      </c>
      <c r="F50" s="23">
        <f ca="1">OFFSET(金币产出!T$6,MATCH($D50,金币产出!$D$7:$D$306,1),0)*$E$17</f>
        <v>8320</v>
      </c>
      <c r="G50" s="23">
        <f ca="1">OFFSET(金币产出!U$6,MATCH($D50,金币产出!$D$7:$D$306,1),0)</f>
        <v>0</v>
      </c>
      <c r="H50" s="23">
        <f>SUMIF(金币产出!$D$7:$D$306,$D50,金币产出!$X$7:$X$306)</f>
        <v>1800</v>
      </c>
      <c r="I50" s="23">
        <f t="shared" si="0"/>
        <v>1971</v>
      </c>
      <c r="J50" s="23">
        <f t="shared" si="1"/>
        <v>4400</v>
      </c>
      <c r="K50" s="25">
        <f ca="1">VLOOKUP(D50,金币产出!$Y$6:$AG$67,8,0)*($E$17-$H$17*2)+VLOOKUP(D50,金币产出!$Y$6:$AG$67,9,0)</f>
        <v>6837.28</v>
      </c>
      <c r="L50" s="27">
        <f ca="1" t="shared" si="2"/>
        <v>0.234536715481602</v>
      </c>
      <c r="M50" s="27"/>
      <c r="O50" s="23">
        <v>32</v>
      </c>
      <c r="P50" s="23">
        <f ca="1">OFFSET(金币产出!S$6,MATCH($D50,金币产出!$D$7:$D$306,1),0)*$Q$17</f>
        <v>7571.2</v>
      </c>
      <c r="Q50" s="23">
        <f ca="1">OFFSET(金币产出!T$6,MATCH($D50,金币产出!$D$7:$D$306,1),0)*$P$17</f>
        <v>9568</v>
      </c>
      <c r="R50" s="23">
        <f ca="1">OFFSET(金币产出!U$6,MATCH($D50,金币产出!$D$7:$D$306,1),0)</f>
        <v>0</v>
      </c>
      <c r="S50" s="23">
        <f>SUMIF(金币产出!$D$7:$D$306,$D50,金币产出!$X$7:$X$306)</f>
        <v>1800</v>
      </c>
      <c r="T50" s="23">
        <f t="shared" si="3"/>
        <v>1971</v>
      </c>
      <c r="U50" s="23">
        <f t="shared" si="4"/>
        <v>5720</v>
      </c>
      <c r="V50" s="25">
        <f ca="1">VLOOKUP(O50,金币产出!$Y$6:$AG$67,8,0)*($P$17-$S$17*2)+VLOOKUP(O50,金币产出!$Y$6:$AG$67,9,0)*$S$17</f>
        <v>10634.9333333334</v>
      </c>
      <c r="W50" s="25">
        <f t="shared" si="5"/>
        <v>10000</v>
      </c>
      <c r="Y50" s="23">
        <v>32</v>
      </c>
      <c r="Z50" s="23">
        <f ca="1">OFFSET(金币产出!S$6,MATCH($D50,金币产出!$D$7:$D$306,1),0)*$Q$17</f>
        <v>7571.2</v>
      </c>
      <c r="AA50" s="23">
        <f ca="1">OFFSET(金币产出!T$6,MATCH($D50,金币产出!$D$7:$D$306,1),0)*$Z$17</f>
        <v>9568</v>
      </c>
      <c r="AB50" s="23">
        <f ca="1">OFFSET(金币产出!U$6,MATCH($D50,金币产出!$D$7:$D$306,1),0)</f>
        <v>0</v>
      </c>
      <c r="AC50" s="23">
        <f>SUMIF(金币产出!$E$7:$E$306,$D50,金币产出!$X$7:$X$306)</f>
        <v>1800</v>
      </c>
      <c r="AD50" s="23">
        <f t="shared" si="6"/>
        <v>1971</v>
      </c>
      <c r="AE50" s="23">
        <f t="shared" si="7"/>
        <v>9152</v>
      </c>
      <c r="AF50" s="25">
        <f ca="1">VLOOKUP(Y50,金币产出!$Y$6:$AI$67,10,0)*($Z$17-$AC$17*2)+VLOOKUP(Y50,金币产出!$Y$6:$AI$67,11,0)*$AC$17</f>
        <v>12600.6</v>
      </c>
      <c r="AH50" s="23">
        <v>32</v>
      </c>
      <c r="AI50" s="23">
        <f ca="1">OFFSET(金币产出!S$6,MATCH($D50,金币产出!$D$7:$D$306,1),0)*$Q$17</f>
        <v>7571.2</v>
      </c>
      <c r="AJ50" s="23">
        <f ca="1">OFFSET(金币产出!T$6,MATCH($D50,金币产出!$D$7:$D$306,1),0)*$AI$17</f>
        <v>14768</v>
      </c>
      <c r="AK50" s="23">
        <f ca="1">OFFSET(金币产出!U$6,MATCH($D50,金币产出!$D$7:$D$306,1),0)</f>
        <v>0</v>
      </c>
      <c r="AL50" s="23">
        <f>SUMIF(金币产出!$E$7:$E$306,$D50,金币产出!$X$7:$X$306)</f>
        <v>1800</v>
      </c>
      <c r="AM50" s="23">
        <f t="shared" si="8"/>
        <v>1971</v>
      </c>
      <c r="AN50" s="23">
        <f t="shared" si="9"/>
        <v>12100</v>
      </c>
      <c r="AO50" s="25">
        <f ca="1">VLOOKUP(AH50,金币产出!$Y$6:$AI$67,10,0)*($AI$17-$AL$17*2)+VLOOKUP(AH50,金币产出!$Y$6:$AI$67,11,0)*$AL$17</f>
        <v>13635.6</v>
      </c>
      <c r="AP50" s="23">
        <f ca="1" t="shared" si="10"/>
        <v>0.263002981919462</v>
      </c>
    </row>
    <row r="51" spans="4:42">
      <c r="D51" s="23">
        <v>33</v>
      </c>
      <c r="E51" s="23">
        <f ca="1">OFFSET(金币产出!S$6,MATCH($D51,金币产出!$D$7:$D$306,1),0)*$F$17</f>
        <v>5852</v>
      </c>
      <c r="F51" s="23">
        <f ca="1">OFFSET(金币产出!T$6,MATCH($D51,金币产出!$D$7:$D$306,1),0)*$E$17</f>
        <v>8360</v>
      </c>
      <c r="G51" s="23">
        <f ca="1">OFFSET(金币产出!U$6,MATCH($D51,金币产出!$D$7:$D$306,1),0)</f>
        <v>0</v>
      </c>
      <c r="H51" s="23">
        <f>SUMIF(金币产出!$D$7:$D$306,$D51,金币产出!$X$7:$X$306)</f>
        <v>1800</v>
      </c>
      <c r="I51" s="23">
        <f t="shared" si="0"/>
        <v>1971</v>
      </c>
      <c r="J51" s="23">
        <f t="shared" si="1"/>
        <v>4400</v>
      </c>
      <c r="K51" s="25">
        <f ca="1">VLOOKUP(D51,金币产出!$Y$6:$AG$67,8,0)*($E$17-$H$17*2)+VLOOKUP(D51,金币产出!$Y$6:$AG$67,9,0)</f>
        <v>7898.92</v>
      </c>
      <c r="L51" s="27">
        <f ca="1" t="shared" si="2"/>
        <v>0.260846075810252</v>
      </c>
      <c r="M51" s="27"/>
      <c r="O51" s="23">
        <v>33</v>
      </c>
      <c r="P51" s="23">
        <f ca="1">OFFSET(金币产出!S$6,MATCH($D51,金币产出!$D$7:$D$306,1),0)*$Q$17</f>
        <v>7607.6</v>
      </c>
      <c r="Q51" s="23">
        <f ca="1">OFFSET(金币产出!T$6,MATCH($D51,金币产出!$D$7:$D$306,1),0)*$P$17</f>
        <v>9614</v>
      </c>
      <c r="R51" s="23">
        <f ca="1">OFFSET(金币产出!U$6,MATCH($D51,金币产出!$D$7:$D$306,1),0)</f>
        <v>0</v>
      </c>
      <c r="S51" s="23">
        <f>SUMIF(金币产出!$D$7:$D$306,$D51,金币产出!$X$7:$X$306)</f>
        <v>1800</v>
      </c>
      <c r="T51" s="23">
        <f t="shared" si="3"/>
        <v>1971</v>
      </c>
      <c r="U51" s="23">
        <f t="shared" si="4"/>
        <v>5720</v>
      </c>
      <c r="V51" s="25">
        <f ca="1">VLOOKUP(O51,金币产出!$Y$6:$AG$67,8,0)*($P$17-$S$17*2)+VLOOKUP(O51,金币产出!$Y$6:$AG$67,9,0)*$S$17</f>
        <v>12404.3333333334</v>
      </c>
      <c r="W51" s="25">
        <f t="shared" si="5"/>
        <v>10000</v>
      </c>
      <c r="Y51" s="23">
        <v>33</v>
      </c>
      <c r="Z51" s="23">
        <f ca="1">OFFSET(金币产出!S$6,MATCH($D51,金币产出!$D$7:$D$306,1),0)*$Q$17</f>
        <v>7607.6</v>
      </c>
      <c r="AA51" s="23">
        <f ca="1">OFFSET(金币产出!T$6,MATCH($D51,金币产出!$D$7:$D$306,1),0)*$Z$17</f>
        <v>9614</v>
      </c>
      <c r="AB51" s="23">
        <f ca="1">OFFSET(金币产出!U$6,MATCH($D51,金币产出!$D$7:$D$306,1),0)</f>
        <v>0</v>
      </c>
      <c r="AC51" s="23">
        <f>SUMIF(金币产出!$E$7:$E$306,$D51,金币产出!$X$7:$X$306)</f>
        <v>1800</v>
      </c>
      <c r="AD51" s="23">
        <f t="shared" si="6"/>
        <v>1971</v>
      </c>
      <c r="AE51" s="23">
        <f t="shared" si="7"/>
        <v>9152</v>
      </c>
      <c r="AF51" s="25">
        <f ca="1">VLOOKUP(Y51,金币产出!$Y$6:$AI$67,10,0)*($Z$17-$AC$17*2)+VLOOKUP(Y51,金币产出!$Y$6:$AI$67,11,0)*$AC$17</f>
        <v>14252.16</v>
      </c>
      <c r="AH51" s="23">
        <v>33</v>
      </c>
      <c r="AI51" s="23">
        <f ca="1">OFFSET(金币产出!S$6,MATCH($D51,金币产出!$D$7:$D$306,1),0)*$Q$17</f>
        <v>7607.6</v>
      </c>
      <c r="AJ51" s="23">
        <f ca="1">OFFSET(金币产出!T$6,MATCH($D51,金币产出!$D$7:$D$306,1),0)*$AI$17</f>
        <v>14839</v>
      </c>
      <c r="AK51" s="23">
        <f ca="1">OFFSET(金币产出!U$6,MATCH($D51,金币产出!$D$7:$D$306,1),0)</f>
        <v>0</v>
      </c>
      <c r="AL51" s="23">
        <f>SUMIF(金币产出!$E$7:$E$306,$D51,金币产出!$X$7:$X$306)</f>
        <v>1800</v>
      </c>
      <c r="AM51" s="23">
        <f t="shared" si="8"/>
        <v>1971</v>
      </c>
      <c r="AN51" s="23">
        <f t="shared" si="9"/>
        <v>12100</v>
      </c>
      <c r="AO51" s="25">
        <f ca="1">VLOOKUP(AH51,金币产出!$Y$6:$AI$67,10,0)*($AI$17-$AL$17*2)+VLOOKUP(AH51,金币产出!$Y$6:$AI$67,11,0)*$AL$17</f>
        <v>15287.16</v>
      </c>
      <c r="AP51" s="23">
        <f ca="1" t="shared" si="10"/>
        <v>0.285182883012628</v>
      </c>
    </row>
    <row r="52" spans="4:42">
      <c r="D52" s="23">
        <v>34</v>
      </c>
      <c r="E52" s="23">
        <f ca="1">OFFSET(金币产出!S$6,MATCH($D52,金币产出!$D$7:$D$306,1),0)*$F$17</f>
        <v>5880</v>
      </c>
      <c r="F52" s="23">
        <f ca="1">OFFSET(金币产出!T$6,MATCH($D52,金币产出!$D$7:$D$306,1),0)*$E$17</f>
        <v>8400</v>
      </c>
      <c r="G52" s="23">
        <f ca="1">OFFSET(金币产出!U$6,MATCH($D52,金币产出!$D$7:$D$306,1),0)</f>
        <v>0</v>
      </c>
      <c r="H52" s="23">
        <f>SUMIF(金币产出!$D$7:$D$306,$D52,金币产出!$X$7:$X$306)</f>
        <v>1800</v>
      </c>
      <c r="I52" s="23">
        <f t="shared" si="0"/>
        <v>1971</v>
      </c>
      <c r="J52" s="23">
        <f t="shared" si="1"/>
        <v>4400</v>
      </c>
      <c r="K52" s="25">
        <f ca="1">VLOOKUP(D52,金币产出!$Y$6:$AG$67,8,0)*($E$17-$H$17*2)+VLOOKUP(D52,金币产出!$Y$6:$AG$67,9,0)</f>
        <v>7898.92</v>
      </c>
      <c r="L52" s="27">
        <f ca="1" t="shared" si="2"/>
        <v>0.260261641546337</v>
      </c>
      <c r="M52" s="27"/>
      <c r="O52" s="23">
        <v>34</v>
      </c>
      <c r="P52" s="23">
        <f ca="1">OFFSET(金币产出!S$6,MATCH($D52,金币产出!$D$7:$D$306,1),0)*$Q$17</f>
        <v>7644</v>
      </c>
      <c r="Q52" s="23">
        <f ca="1">OFFSET(金币产出!T$6,MATCH($D52,金币产出!$D$7:$D$306,1),0)*$P$17</f>
        <v>9660</v>
      </c>
      <c r="R52" s="23">
        <f ca="1">OFFSET(金币产出!U$6,MATCH($D52,金币产出!$D$7:$D$306,1),0)</f>
        <v>0</v>
      </c>
      <c r="S52" s="23">
        <f>SUMIF(金币产出!$D$7:$D$306,$D52,金币产出!$X$7:$X$306)</f>
        <v>1800</v>
      </c>
      <c r="T52" s="23">
        <f t="shared" si="3"/>
        <v>1971</v>
      </c>
      <c r="U52" s="23">
        <f t="shared" si="4"/>
        <v>5720</v>
      </c>
      <c r="V52" s="25">
        <f ca="1">VLOOKUP(O52,金币产出!$Y$6:$AG$67,8,0)*($P$17-$S$17*2)+VLOOKUP(O52,金币产出!$Y$6:$AG$67,9,0)*$S$17</f>
        <v>12404.3333333334</v>
      </c>
      <c r="W52" s="25">
        <f t="shared" si="5"/>
        <v>10000</v>
      </c>
      <c r="Y52" s="23">
        <v>34</v>
      </c>
      <c r="Z52" s="23">
        <f ca="1">OFFSET(金币产出!S$6,MATCH($D52,金币产出!$D$7:$D$306,1),0)*$Q$17</f>
        <v>7644</v>
      </c>
      <c r="AA52" s="23">
        <f ca="1">OFFSET(金币产出!T$6,MATCH($D52,金币产出!$D$7:$D$306,1),0)*$Z$17</f>
        <v>9660</v>
      </c>
      <c r="AB52" s="23">
        <f ca="1">OFFSET(金币产出!U$6,MATCH($D52,金币产出!$D$7:$D$306,1),0)</f>
        <v>0</v>
      </c>
      <c r="AC52" s="23">
        <f>SUMIF(金币产出!$E$7:$E$306,$D52,金币产出!$X$7:$X$306)</f>
        <v>1800</v>
      </c>
      <c r="AD52" s="23">
        <f t="shared" si="6"/>
        <v>1971</v>
      </c>
      <c r="AE52" s="23">
        <f t="shared" si="7"/>
        <v>9152</v>
      </c>
      <c r="AF52" s="25">
        <f ca="1">VLOOKUP(Y52,金币产出!$Y$6:$AI$67,10,0)*($Z$17-$AC$17*2)+VLOOKUP(Y52,金币产出!$Y$6:$AI$67,11,0)*$AC$17</f>
        <v>14252.16</v>
      </c>
      <c r="AH52" s="23">
        <v>34</v>
      </c>
      <c r="AI52" s="23">
        <f ca="1">OFFSET(金币产出!S$6,MATCH($D52,金币产出!$D$7:$D$306,1),0)*$Q$17</f>
        <v>7644</v>
      </c>
      <c r="AJ52" s="23">
        <f ca="1">OFFSET(金币产出!T$6,MATCH($D52,金币产出!$D$7:$D$306,1),0)*$AI$17</f>
        <v>14910</v>
      </c>
      <c r="AK52" s="23">
        <f ca="1">OFFSET(金币产出!U$6,MATCH($D52,金币产出!$D$7:$D$306,1),0)</f>
        <v>0</v>
      </c>
      <c r="AL52" s="23">
        <f>SUMIF(金币产出!$E$7:$E$306,$D52,金币产出!$X$7:$X$306)</f>
        <v>1800</v>
      </c>
      <c r="AM52" s="23">
        <f t="shared" si="8"/>
        <v>1971</v>
      </c>
      <c r="AN52" s="23">
        <f t="shared" si="9"/>
        <v>12100</v>
      </c>
      <c r="AO52" s="25">
        <f ca="1">VLOOKUP(AH52,金币产出!$Y$6:$AI$67,10,0)*($AI$17-$AL$17*2)+VLOOKUP(AH52,金币产出!$Y$6:$AI$67,11,0)*$AL$17</f>
        <v>15287.16</v>
      </c>
      <c r="AP52" s="23">
        <f ca="1" t="shared" si="10"/>
        <v>0.284612646372814</v>
      </c>
    </row>
    <row r="53" spans="4:42">
      <c r="D53" s="23">
        <v>35</v>
      </c>
      <c r="E53" s="23">
        <f ca="1">OFFSET(金币产出!S$6,MATCH($D53,金币产出!$D$7:$D$306,1),0)*$F$17</f>
        <v>5908</v>
      </c>
      <c r="F53" s="23">
        <f ca="1">OFFSET(金币产出!T$6,MATCH($D53,金币产出!$D$7:$D$306,1),0)*$E$17</f>
        <v>8440</v>
      </c>
      <c r="G53" s="23">
        <f ca="1">OFFSET(金币产出!U$6,MATCH($D53,金币产出!$D$7:$D$306,1),0)</f>
        <v>0</v>
      </c>
      <c r="H53" s="23">
        <f>SUMIF(金币产出!$D$7:$D$306,$D53,金币产出!$X$7:$X$306)</f>
        <v>1800</v>
      </c>
      <c r="I53" s="23">
        <f t="shared" si="0"/>
        <v>1971</v>
      </c>
      <c r="J53" s="23">
        <f t="shared" si="1"/>
        <v>4400</v>
      </c>
      <c r="K53" s="25">
        <f ca="1">VLOOKUP(D53,金币产出!$Y$6:$AG$67,8,0)*($E$17-$H$17*2)+VLOOKUP(D53,金币产出!$Y$6:$AG$67,9,0)</f>
        <v>7898.92</v>
      </c>
      <c r="L53" s="27">
        <f ca="1" t="shared" si="2"/>
        <v>0.259679820316445</v>
      </c>
      <c r="M53" s="27"/>
      <c r="O53" s="23">
        <v>35</v>
      </c>
      <c r="P53" s="23">
        <f ca="1">OFFSET(金币产出!S$6,MATCH($D53,金币产出!$D$7:$D$306,1),0)*$Q$17</f>
        <v>7680.4</v>
      </c>
      <c r="Q53" s="23">
        <f ca="1">OFFSET(金币产出!T$6,MATCH($D53,金币产出!$D$7:$D$306,1),0)*$P$17</f>
        <v>9706</v>
      </c>
      <c r="R53" s="23">
        <f ca="1">OFFSET(金币产出!U$6,MATCH($D53,金币产出!$D$7:$D$306,1),0)</f>
        <v>0</v>
      </c>
      <c r="S53" s="23">
        <f>SUMIF(金币产出!$D$7:$D$306,$D53,金币产出!$X$7:$X$306)</f>
        <v>1800</v>
      </c>
      <c r="T53" s="23">
        <f t="shared" si="3"/>
        <v>1971</v>
      </c>
      <c r="U53" s="23">
        <f t="shared" si="4"/>
        <v>5720</v>
      </c>
      <c r="V53" s="25">
        <f ca="1">VLOOKUP(O53,金币产出!$Y$6:$AG$67,8,0)*($P$17-$S$17*2)+VLOOKUP(O53,金币产出!$Y$6:$AG$67,9,0)*$S$17</f>
        <v>12404.3333333334</v>
      </c>
      <c r="W53" s="25">
        <f t="shared" si="5"/>
        <v>10000</v>
      </c>
      <c r="Y53" s="23">
        <v>35</v>
      </c>
      <c r="Z53" s="23">
        <f ca="1">OFFSET(金币产出!S$6,MATCH($D53,金币产出!$D$7:$D$306,1),0)*$Q$17</f>
        <v>7680.4</v>
      </c>
      <c r="AA53" s="23">
        <f ca="1">OFFSET(金币产出!T$6,MATCH($D53,金币产出!$D$7:$D$306,1),0)*$Z$17</f>
        <v>9706</v>
      </c>
      <c r="AB53" s="23">
        <f ca="1">OFFSET(金币产出!U$6,MATCH($D53,金币产出!$D$7:$D$306,1),0)</f>
        <v>0</v>
      </c>
      <c r="AC53" s="23">
        <f>SUMIF(金币产出!$E$7:$E$306,$D53,金币产出!$X$7:$X$306)</f>
        <v>1800</v>
      </c>
      <c r="AD53" s="23">
        <f t="shared" si="6"/>
        <v>1971</v>
      </c>
      <c r="AE53" s="23">
        <f t="shared" si="7"/>
        <v>9152</v>
      </c>
      <c r="AF53" s="25">
        <f ca="1">VLOOKUP(Y53,金币产出!$Y$6:$AI$67,10,0)*($Z$17-$AC$17*2)+VLOOKUP(Y53,金币产出!$Y$6:$AI$67,11,0)*$AC$17</f>
        <v>14252.16</v>
      </c>
      <c r="AH53" s="23">
        <v>35</v>
      </c>
      <c r="AI53" s="23">
        <f ca="1">OFFSET(金币产出!S$6,MATCH($D53,金币产出!$D$7:$D$306,1),0)*$Q$17</f>
        <v>7680.4</v>
      </c>
      <c r="AJ53" s="23">
        <f ca="1">OFFSET(金币产出!T$6,MATCH($D53,金币产出!$D$7:$D$306,1),0)*$AI$17</f>
        <v>14981</v>
      </c>
      <c r="AK53" s="23">
        <f ca="1">OFFSET(金币产出!U$6,MATCH($D53,金币产出!$D$7:$D$306,1),0)</f>
        <v>0</v>
      </c>
      <c r="AL53" s="23">
        <f>SUMIF(金币产出!$E$7:$E$306,$D53,金币产出!$X$7:$X$306)</f>
        <v>1800</v>
      </c>
      <c r="AM53" s="23">
        <f t="shared" si="8"/>
        <v>1971</v>
      </c>
      <c r="AN53" s="23">
        <f t="shared" si="9"/>
        <v>12100</v>
      </c>
      <c r="AO53" s="25">
        <f ca="1">VLOOKUP(AH53,金币产出!$Y$6:$AI$67,10,0)*($AI$17-$AL$17*2)+VLOOKUP(AH53,金币产出!$Y$6:$AI$67,11,0)*$AL$17</f>
        <v>15287.16</v>
      </c>
      <c r="AP53" s="23">
        <f ca="1" t="shared" si="10"/>
        <v>0.284044685612443</v>
      </c>
    </row>
    <row r="54" spans="4:42">
      <c r="D54" s="23">
        <v>36</v>
      </c>
      <c r="E54" s="23">
        <f ca="1">OFFSET(金币产出!S$6,MATCH($D54,金币产出!$D$7:$D$306,1),0)*$F$17</f>
        <v>5936</v>
      </c>
      <c r="F54" s="23">
        <f ca="1">OFFSET(金币产出!T$6,MATCH($D54,金币产出!$D$7:$D$306,1),0)*$E$17</f>
        <v>8480</v>
      </c>
      <c r="G54" s="23">
        <f ca="1">OFFSET(金币产出!U$6,MATCH($D54,金币产出!$D$7:$D$306,1),0)</f>
        <v>0</v>
      </c>
      <c r="H54" s="23">
        <f>SUMIF(金币产出!$D$7:$D$306,$D54,金币产出!$X$7:$X$306)</f>
        <v>1800</v>
      </c>
      <c r="I54" s="23">
        <f t="shared" si="0"/>
        <v>1971</v>
      </c>
      <c r="J54" s="23">
        <f t="shared" si="1"/>
        <v>4400</v>
      </c>
      <c r="K54" s="25">
        <f ca="1">VLOOKUP(D54,金币产出!$Y$6:$AG$67,8,0)*($E$17-$H$17*2)+VLOOKUP(D54,金币产出!$Y$6:$AG$67,9,0)</f>
        <v>7898.92</v>
      </c>
      <c r="L54" s="27">
        <f ca="1" t="shared" si="2"/>
        <v>0.259100594635163</v>
      </c>
      <c r="M54" s="27"/>
      <c r="O54" s="23">
        <v>36</v>
      </c>
      <c r="P54" s="23">
        <f ca="1">OFFSET(金币产出!S$6,MATCH($D54,金币产出!$D$7:$D$306,1),0)*$Q$17</f>
        <v>7716.8</v>
      </c>
      <c r="Q54" s="23">
        <f ca="1">OFFSET(金币产出!T$6,MATCH($D54,金币产出!$D$7:$D$306,1),0)*$P$17</f>
        <v>9752</v>
      </c>
      <c r="R54" s="23">
        <f ca="1">OFFSET(金币产出!U$6,MATCH($D54,金币产出!$D$7:$D$306,1),0)</f>
        <v>0</v>
      </c>
      <c r="S54" s="23">
        <f>SUMIF(金币产出!$D$7:$D$306,$D54,金币产出!$X$7:$X$306)</f>
        <v>1800</v>
      </c>
      <c r="T54" s="23">
        <f t="shared" si="3"/>
        <v>1971</v>
      </c>
      <c r="U54" s="23">
        <f t="shared" si="4"/>
        <v>5720</v>
      </c>
      <c r="V54" s="25">
        <f ca="1">VLOOKUP(O54,金币产出!$Y$6:$AG$67,8,0)*($P$17-$S$17*2)+VLOOKUP(O54,金币产出!$Y$6:$AG$67,9,0)*$S$17</f>
        <v>12404.3333333334</v>
      </c>
      <c r="W54" s="25">
        <f t="shared" si="5"/>
        <v>10000</v>
      </c>
      <c r="Y54" s="23">
        <v>36</v>
      </c>
      <c r="Z54" s="23">
        <f ca="1">OFFSET(金币产出!S$6,MATCH($D54,金币产出!$D$7:$D$306,1),0)*$Q$17</f>
        <v>7716.8</v>
      </c>
      <c r="AA54" s="23">
        <f ca="1">OFFSET(金币产出!T$6,MATCH($D54,金币产出!$D$7:$D$306,1),0)*$Z$17</f>
        <v>9752</v>
      </c>
      <c r="AB54" s="23">
        <f ca="1">OFFSET(金币产出!U$6,MATCH($D54,金币产出!$D$7:$D$306,1),0)</f>
        <v>0</v>
      </c>
      <c r="AC54" s="23">
        <f>SUMIF(金币产出!$E$7:$E$306,$D54,金币产出!$X$7:$X$306)</f>
        <v>1800</v>
      </c>
      <c r="AD54" s="23">
        <f t="shared" si="6"/>
        <v>1971</v>
      </c>
      <c r="AE54" s="23">
        <f t="shared" si="7"/>
        <v>9152</v>
      </c>
      <c r="AF54" s="25">
        <f ca="1">VLOOKUP(Y54,金币产出!$Y$6:$AI$67,10,0)*($Z$17-$AC$17*2)+VLOOKUP(Y54,金币产出!$Y$6:$AI$67,11,0)*$AC$17</f>
        <v>14252.16</v>
      </c>
      <c r="AH54" s="23">
        <v>36</v>
      </c>
      <c r="AI54" s="23">
        <f ca="1">OFFSET(金币产出!S$6,MATCH($D54,金币产出!$D$7:$D$306,1),0)*$Q$17</f>
        <v>7716.8</v>
      </c>
      <c r="AJ54" s="23">
        <f ca="1">OFFSET(金币产出!T$6,MATCH($D54,金币产出!$D$7:$D$306,1),0)*$AI$17</f>
        <v>15052</v>
      </c>
      <c r="AK54" s="23">
        <f ca="1">OFFSET(金币产出!U$6,MATCH($D54,金币产出!$D$7:$D$306,1),0)</f>
        <v>0</v>
      </c>
      <c r="AL54" s="23">
        <f>SUMIF(金币产出!$E$7:$E$306,$D54,金币产出!$X$7:$X$306)</f>
        <v>1800</v>
      </c>
      <c r="AM54" s="23">
        <f t="shared" si="8"/>
        <v>1971</v>
      </c>
      <c r="AN54" s="23">
        <f t="shared" si="9"/>
        <v>12100</v>
      </c>
      <c r="AO54" s="25">
        <f ca="1">VLOOKUP(AH54,金币产出!$Y$6:$AI$67,10,0)*($AI$17-$AL$17*2)+VLOOKUP(AH54,金币产出!$Y$6:$AI$67,11,0)*$AL$17</f>
        <v>15287.16</v>
      </c>
      <c r="AP54" s="23">
        <f ca="1" t="shared" si="10"/>
        <v>0.283478987133709</v>
      </c>
    </row>
    <row r="55" spans="4:42">
      <c r="D55" s="23">
        <v>37</v>
      </c>
      <c r="E55" s="23">
        <f ca="1">OFFSET(金币产出!S$6,MATCH($D55,金币产出!$D$7:$D$306,1),0)*$F$17</f>
        <v>5964</v>
      </c>
      <c r="F55" s="23">
        <f ca="1">OFFSET(金币产出!T$6,MATCH($D55,金币产出!$D$7:$D$306,1),0)*$E$17</f>
        <v>8520</v>
      </c>
      <c r="G55" s="23">
        <f ca="1">OFFSET(金币产出!U$6,MATCH($D55,金币产出!$D$7:$D$306,1),0)</f>
        <v>0</v>
      </c>
      <c r="H55" s="23">
        <f>SUMIF(金币产出!$D$7:$D$306,$D55,金币产出!$X$7:$X$306)</f>
        <v>1800</v>
      </c>
      <c r="I55" s="23">
        <f t="shared" si="0"/>
        <v>1971</v>
      </c>
      <c r="J55" s="23">
        <f t="shared" si="1"/>
        <v>4400</v>
      </c>
      <c r="K55" s="25">
        <f ca="1">VLOOKUP(D55,金币产出!$Y$6:$AG$67,8,0)*($E$17-$H$17*2)+VLOOKUP(D55,金币产出!$Y$6:$AG$67,9,0)</f>
        <v>7898.92</v>
      </c>
      <c r="L55" s="27">
        <f ca="1" t="shared" si="2"/>
        <v>0.258523947172736</v>
      </c>
      <c r="M55" s="27"/>
      <c r="O55" s="23">
        <v>37</v>
      </c>
      <c r="P55" s="23">
        <f ca="1">OFFSET(金币产出!S$6,MATCH($D55,金币产出!$D$7:$D$306,1),0)*$Q$17</f>
        <v>7753.2</v>
      </c>
      <c r="Q55" s="23">
        <f ca="1">OFFSET(金币产出!T$6,MATCH($D55,金币产出!$D$7:$D$306,1),0)*$P$17</f>
        <v>9798</v>
      </c>
      <c r="R55" s="23">
        <f ca="1">OFFSET(金币产出!U$6,MATCH($D55,金币产出!$D$7:$D$306,1),0)</f>
        <v>0</v>
      </c>
      <c r="S55" s="23">
        <f>SUMIF(金币产出!$D$7:$D$306,$D55,金币产出!$X$7:$X$306)</f>
        <v>1800</v>
      </c>
      <c r="T55" s="23">
        <f t="shared" si="3"/>
        <v>1971</v>
      </c>
      <c r="U55" s="23">
        <f t="shared" si="4"/>
        <v>5720</v>
      </c>
      <c r="V55" s="25">
        <f ca="1">VLOOKUP(O55,金币产出!$Y$6:$AG$67,8,0)*($P$17-$S$17*2)+VLOOKUP(O55,金币产出!$Y$6:$AG$67,9,0)*$S$17</f>
        <v>12404.3333333334</v>
      </c>
      <c r="W55" s="25">
        <f t="shared" si="5"/>
        <v>10000</v>
      </c>
      <c r="Y55" s="23">
        <v>37</v>
      </c>
      <c r="Z55" s="23">
        <f ca="1">OFFSET(金币产出!S$6,MATCH($D55,金币产出!$D$7:$D$306,1),0)*$Q$17</f>
        <v>7753.2</v>
      </c>
      <c r="AA55" s="23">
        <f ca="1">OFFSET(金币产出!T$6,MATCH($D55,金币产出!$D$7:$D$306,1),0)*$Z$17</f>
        <v>9798</v>
      </c>
      <c r="AB55" s="23">
        <f ca="1">OFFSET(金币产出!U$6,MATCH($D55,金币产出!$D$7:$D$306,1),0)</f>
        <v>0</v>
      </c>
      <c r="AC55" s="23">
        <f>SUMIF(金币产出!$E$7:$E$306,$D55,金币产出!$X$7:$X$306)</f>
        <v>1800</v>
      </c>
      <c r="AD55" s="23">
        <f t="shared" si="6"/>
        <v>1971</v>
      </c>
      <c r="AE55" s="23">
        <f t="shared" si="7"/>
        <v>9152</v>
      </c>
      <c r="AF55" s="25">
        <f ca="1">VLOOKUP(Y55,金币产出!$Y$6:$AI$67,10,0)*($Z$17-$AC$17*2)+VLOOKUP(Y55,金币产出!$Y$6:$AI$67,11,0)*$AC$17</f>
        <v>14252.16</v>
      </c>
      <c r="AH55" s="23">
        <v>37</v>
      </c>
      <c r="AI55" s="23">
        <f ca="1">OFFSET(金币产出!S$6,MATCH($D55,金币产出!$D$7:$D$306,1),0)*$Q$17</f>
        <v>7753.2</v>
      </c>
      <c r="AJ55" s="23">
        <f ca="1">OFFSET(金币产出!T$6,MATCH($D55,金币产出!$D$7:$D$306,1),0)*$AI$17</f>
        <v>15123</v>
      </c>
      <c r="AK55" s="23">
        <f ca="1">OFFSET(金币产出!U$6,MATCH($D55,金币产出!$D$7:$D$306,1),0)</f>
        <v>0</v>
      </c>
      <c r="AL55" s="23">
        <f>SUMIF(金币产出!$E$7:$E$306,$D55,金币产出!$X$7:$X$306)</f>
        <v>1800</v>
      </c>
      <c r="AM55" s="23">
        <f t="shared" si="8"/>
        <v>1971</v>
      </c>
      <c r="AN55" s="23">
        <f t="shared" si="9"/>
        <v>12100</v>
      </c>
      <c r="AO55" s="25">
        <f ca="1">VLOOKUP(AH55,金币产出!$Y$6:$AI$67,10,0)*($AI$17-$AL$17*2)+VLOOKUP(AH55,金币产出!$Y$6:$AI$67,11,0)*$AL$17</f>
        <v>15287.16</v>
      </c>
      <c r="AP55" s="23">
        <f ca="1" t="shared" si="10"/>
        <v>0.282915537446914</v>
      </c>
    </row>
    <row r="56" spans="4:42">
      <c r="D56" s="23">
        <v>38</v>
      </c>
      <c r="E56" s="23">
        <f ca="1">OFFSET(金币产出!S$6,MATCH($D56,金币产出!$D$7:$D$306,1),0)*$F$17</f>
        <v>5992</v>
      </c>
      <c r="F56" s="23">
        <f ca="1">OFFSET(金币产出!T$6,MATCH($D56,金币产出!$D$7:$D$306,1),0)*$E$17</f>
        <v>8560</v>
      </c>
      <c r="G56" s="23">
        <f ca="1">OFFSET(金币产出!U$6,MATCH($D56,金币产出!$D$7:$D$306,1),0)</f>
        <v>0</v>
      </c>
      <c r="H56" s="23">
        <f>SUMIF(金币产出!$D$7:$D$306,$D56,金币产出!$X$7:$X$306)</f>
        <v>1800</v>
      </c>
      <c r="I56" s="23">
        <f t="shared" si="0"/>
        <v>1971</v>
      </c>
      <c r="J56" s="23">
        <f t="shared" si="1"/>
        <v>4400</v>
      </c>
      <c r="K56" s="25">
        <f ca="1">VLOOKUP(D56,金币产出!$Y$6:$AG$67,8,0)*($E$17-$H$17*2)+VLOOKUP(D56,金币产出!$Y$6:$AG$67,9,0)</f>
        <v>7898.92</v>
      </c>
      <c r="L56" s="27">
        <f ca="1" t="shared" si="2"/>
        <v>0.257949860753343</v>
      </c>
      <c r="M56" s="27"/>
      <c r="O56" s="23">
        <v>38</v>
      </c>
      <c r="P56" s="23">
        <f ca="1">OFFSET(金币产出!S$6,MATCH($D56,金币产出!$D$7:$D$306,1),0)*$Q$17</f>
        <v>7789.6</v>
      </c>
      <c r="Q56" s="23">
        <f ca="1">OFFSET(金币产出!T$6,MATCH($D56,金币产出!$D$7:$D$306,1),0)*$P$17</f>
        <v>9844</v>
      </c>
      <c r="R56" s="23">
        <f ca="1">OFFSET(金币产出!U$6,MATCH($D56,金币产出!$D$7:$D$306,1),0)</f>
        <v>0</v>
      </c>
      <c r="S56" s="23">
        <f>SUMIF(金币产出!$D$7:$D$306,$D56,金币产出!$X$7:$X$306)</f>
        <v>1800</v>
      </c>
      <c r="T56" s="23">
        <f t="shared" si="3"/>
        <v>1971</v>
      </c>
      <c r="U56" s="23">
        <f t="shared" si="4"/>
        <v>5720</v>
      </c>
      <c r="V56" s="25">
        <f ca="1">VLOOKUP(O56,金币产出!$Y$6:$AG$67,8,0)*($P$17-$S$17*2)+VLOOKUP(O56,金币产出!$Y$6:$AG$67,9,0)*$S$17</f>
        <v>12404.3333333334</v>
      </c>
      <c r="W56" s="25">
        <f t="shared" si="5"/>
        <v>10000</v>
      </c>
      <c r="Y56" s="23">
        <v>38</v>
      </c>
      <c r="Z56" s="23">
        <f ca="1">OFFSET(金币产出!S$6,MATCH($D56,金币产出!$D$7:$D$306,1),0)*$Q$17</f>
        <v>7789.6</v>
      </c>
      <c r="AA56" s="23">
        <f ca="1">OFFSET(金币产出!T$6,MATCH($D56,金币产出!$D$7:$D$306,1),0)*$Z$17</f>
        <v>9844</v>
      </c>
      <c r="AB56" s="23">
        <f ca="1">OFFSET(金币产出!U$6,MATCH($D56,金币产出!$D$7:$D$306,1),0)</f>
        <v>0</v>
      </c>
      <c r="AC56" s="23">
        <f>SUMIF(金币产出!$E$7:$E$306,$D56,金币产出!$X$7:$X$306)</f>
        <v>1800</v>
      </c>
      <c r="AD56" s="23">
        <f t="shared" si="6"/>
        <v>1971</v>
      </c>
      <c r="AE56" s="23">
        <f t="shared" si="7"/>
        <v>9152</v>
      </c>
      <c r="AF56" s="25">
        <f ca="1">VLOOKUP(Y56,金币产出!$Y$6:$AI$67,10,0)*($Z$17-$AC$17*2)+VLOOKUP(Y56,金币产出!$Y$6:$AI$67,11,0)*$AC$17</f>
        <v>14252.16</v>
      </c>
      <c r="AH56" s="23">
        <v>38</v>
      </c>
      <c r="AI56" s="23">
        <f ca="1">OFFSET(金币产出!S$6,MATCH($D56,金币产出!$D$7:$D$306,1),0)*$Q$17</f>
        <v>7789.6</v>
      </c>
      <c r="AJ56" s="23">
        <f ca="1">OFFSET(金币产出!T$6,MATCH($D56,金币产出!$D$7:$D$306,1),0)*$AI$17</f>
        <v>15194</v>
      </c>
      <c r="AK56" s="23">
        <f ca="1">OFFSET(金币产出!U$6,MATCH($D56,金币产出!$D$7:$D$306,1),0)</f>
        <v>0</v>
      </c>
      <c r="AL56" s="23">
        <f>SUMIF(金币产出!$E$7:$E$306,$D56,金币产出!$X$7:$X$306)</f>
        <v>1800</v>
      </c>
      <c r="AM56" s="23">
        <f t="shared" si="8"/>
        <v>1971</v>
      </c>
      <c r="AN56" s="23">
        <f t="shared" si="9"/>
        <v>12100</v>
      </c>
      <c r="AO56" s="25">
        <f ca="1">VLOOKUP(AH56,金币产出!$Y$6:$AI$67,10,0)*($AI$17-$AL$17*2)+VLOOKUP(AH56,金币产出!$Y$6:$AI$67,11,0)*$AL$17</f>
        <v>15287.16</v>
      </c>
      <c r="AP56" s="23">
        <f ca="1" t="shared" si="10"/>
        <v>0.282354323169399</v>
      </c>
    </row>
    <row r="57" spans="4:42">
      <c r="D57" s="23">
        <v>39</v>
      </c>
      <c r="E57" s="23">
        <f ca="1">OFFSET(金币产出!S$6,MATCH($D57,金币产出!$D$7:$D$306,1),0)*$F$17</f>
        <v>6020</v>
      </c>
      <c r="F57" s="23">
        <f ca="1">OFFSET(金币产出!T$6,MATCH($D57,金币产出!$D$7:$D$306,1),0)*$E$17</f>
        <v>8600</v>
      </c>
      <c r="G57" s="23">
        <f ca="1">OFFSET(金币产出!U$6,MATCH($D57,金币产出!$D$7:$D$306,1),0)</f>
        <v>0</v>
      </c>
      <c r="H57" s="23">
        <f>SUMIF(金币产出!$D$7:$D$306,$D57,金币产出!$X$7:$X$306)</f>
        <v>1800</v>
      </c>
      <c r="I57" s="23">
        <f t="shared" si="0"/>
        <v>1971</v>
      </c>
      <c r="J57" s="23">
        <f t="shared" si="1"/>
        <v>4400</v>
      </c>
      <c r="K57" s="25">
        <f ca="1">VLOOKUP(D57,金币产出!$Y$6:$AG$67,8,0)*($E$17-$H$17*2)+VLOOKUP(D57,金币产出!$Y$6:$AG$67,9,0)</f>
        <v>7898.92</v>
      </c>
      <c r="L57" s="27">
        <f ca="1" t="shared" si="2"/>
        <v>0.257378318353388</v>
      </c>
      <c r="M57" s="27"/>
      <c r="O57" s="23">
        <v>39</v>
      </c>
      <c r="P57" s="23">
        <f ca="1">OFFSET(金币产出!S$6,MATCH($D57,金币产出!$D$7:$D$306,1),0)*$Q$17</f>
        <v>7826</v>
      </c>
      <c r="Q57" s="23">
        <f ca="1">OFFSET(金币产出!T$6,MATCH($D57,金币产出!$D$7:$D$306,1),0)*$P$17</f>
        <v>9890</v>
      </c>
      <c r="R57" s="23">
        <f ca="1">OFFSET(金币产出!U$6,MATCH($D57,金币产出!$D$7:$D$306,1),0)</f>
        <v>0</v>
      </c>
      <c r="S57" s="23">
        <f>SUMIF(金币产出!$D$7:$D$306,$D57,金币产出!$X$7:$X$306)</f>
        <v>1800</v>
      </c>
      <c r="T57" s="23">
        <f t="shared" si="3"/>
        <v>1971</v>
      </c>
      <c r="U57" s="23">
        <f t="shared" si="4"/>
        <v>5720</v>
      </c>
      <c r="V57" s="25">
        <f ca="1">VLOOKUP(O57,金币产出!$Y$6:$AG$67,8,0)*($P$17-$S$17*2)+VLOOKUP(O57,金币产出!$Y$6:$AG$67,9,0)*$S$17</f>
        <v>12404.3333333334</v>
      </c>
      <c r="W57" s="25">
        <f t="shared" si="5"/>
        <v>10000</v>
      </c>
      <c r="Y57" s="23">
        <v>39</v>
      </c>
      <c r="Z57" s="23">
        <f ca="1">OFFSET(金币产出!S$6,MATCH($D57,金币产出!$D$7:$D$306,1),0)*$Q$17</f>
        <v>7826</v>
      </c>
      <c r="AA57" s="23">
        <f ca="1">OFFSET(金币产出!T$6,MATCH($D57,金币产出!$D$7:$D$306,1),0)*$Z$17</f>
        <v>9890</v>
      </c>
      <c r="AB57" s="23">
        <f ca="1">OFFSET(金币产出!U$6,MATCH($D57,金币产出!$D$7:$D$306,1),0)</f>
        <v>0</v>
      </c>
      <c r="AC57" s="23">
        <f>SUMIF(金币产出!$E$7:$E$306,$D57,金币产出!$X$7:$X$306)</f>
        <v>1800</v>
      </c>
      <c r="AD57" s="23">
        <f t="shared" si="6"/>
        <v>1971</v>
      </c>
      <c r="AE57" s="23">
        <f t="shared" si="7"/>
        <v>9152</v>
      </c>
      <c r="AF57" s="25">
        <f ca="1">VLOOKUP(Y57,金币产出!$Y$6:$AI$67,10,0)*($Z$17-$AC$17*2)+VLOOKUP(Y57,金币产出!$Y$6:$AI$67,11,0)*$AC$17</f>
        <v>14252.16</v>
      </c>
      <c r="AH57" s="23">
        <v>39</v>
      </c>
      <c r="AI57" s="23">
        <f ca="1">OFFSET(金币产出!S$6,MATCH($D57,金币产出!$D$7:$D$306,1),0)*$Q$17</f>
        <v>7826</v>
      </c>
      <c r="AJ57" s="23">
        <f ca="1">OFFSET(金币产出!T$6,MATCH($D57,金币产出!$D$7:$D$306,1),0)*$AI$17</f>
        <v>15265</v>
      </c>
      <c r="AK57" s="23">
        <f ca="1">OFFSET(金币产出!U$6,MATCH($D57,金币产出!$D$7:$D$306,1),0)</f>
        <v>0</v>
      </c>
      <c r="AL57" s="23">
        <f>SUMIF(金币产出!$E$7:$E$306,$D57,金币产出!$X$7:$X$306)</f>
        <v>1800</v>
      </c>
      <c r="AM57" s="23">
        <f t="shared" si="8"/>
        <v>1971</v>
      </c>
      <c r="AN57" s="23">
        <f t="shared" si="9"/>
        <v>12100</v>
      </c>
      <c r="AO57" s="25">
        <f ca="1">VLOOKUP(AH57,金币产出!$Y$6:$AI$67,10,0)*($AI$17-$AL$17*2)+VLOOKUP(AH57,金币产出!$Y$6:$AI$67,11,0)*$AL$17</f>
        <v>15287.16</v>
      </c>
      <c r="AP57" s="23">
        <f ca="1" t="shared" si="10"/>
        <v>0.281795331024481</v>
      </c>
    </row>
    <row r="58" spans="4:42">
      <c r="D58" s="23">
        <v>40</v>
      </c>
      <c r="E58" s="23">
        <f ca="1">OFFSET(金币产出!S$6,MATCH($D58,金币产出!$D$7:$D$306,1),0)*$F$17</f>
        <v>6048</v>
      </c>
      <c r="F58" s="23">
        <f ca="1">OFFSET(金币产出!T$6,MATCH($D58,金币产出!$D$7:$D$306,1),0)*$E$17</f>
        <v>8640</v>
      </c>
      <c r="G58" s="23">
        <f ca="1">OFFSET(金币产出!U$6,MATCH($D58,金币产出!$D$7:$D$306,1),0)</f>
        <v>0</v>
      </c>
      <c r="H58" s="23">
        <f>SUMIF(金币产出!$D$7:$D$306,$D58,金币产出!$X$7:$X$306)</f>
        <v>1800</v>
      </c>
      <c r="I58" s="23">
        <f t="shared" si="0"/>
        <v>1971</v>
      </c>
      <c r="J58" s="23">
        <f t="shared" si="1"/>
        <v>4400</v>
      </c>
      <c r="K58" s="25">
        <f ca="1">VLOOKUP(D58,金币产出!$Y$6:$AG$67,8,0)*($E$17-$H$17*2)+VLOOKUP(D58,金币产出!$Y$6:$AG$67,9,0)</f>
        <v>7898.92</v>
      </c>
      <c r="L58" s="27">
        <f ca="1" t="shared" si="2"/>
        <v>0.25680930309982</v>
      </c>
      <c r="M58" s="27"/>
      <c r="O58" s="23">
        <v>40</v>
      </c>
      <c r="P58" s="23">
        <f ca="1">OFFSET(金币产出!S$6,MATCH($D58,金币产出!$D$7:$D$306,1),0)*$Q$17</f>
        <v>7862.4</v>
      </c>
      <c r="Q58" s="23">
        <f ca="1">OFFSET(金币产出!T$6,MATCH($D58,金币产出!$D$7:$D$306,1),0)*$P$17</f>
        <v>9936</v>
      </c>
      <c r="R58" s="23">
        <f ca="1">OFFSET(金币产出!U$6,MATCH($D58,金币产出!$D$7:$D$306,1),0)</f>
        <v>0</v>
      </c>
      <c r="S58" s="23">
        <f>SUMIF(金币产出!$D$7:$D$306,$D58,金币产出!$X$7:$X$306)</f>
        <v>1800</v>
      </c>
      <c r="T58" s="23">
        <f t="shared" si="3"/>
        <v>1971</v>
      </c>
      <c r="U58" s="23">
        <f t="shared" si="4"/>
        <v>5720</v>
      </c>
      <c r="V58" s="25">
        <f ca="1">VLOOKUP(O58,金币产出!$Y$6:$AG$67,8,0)*($P$17-$S$17*2)+VLOOKUP(O58,金币产出!$Y$6:$AG$67,9,0)*$S$17</f>
        <v>12404.3333333334</v>
      </c>
      <c r="W58" s="25">
        <f t="shared" si="5"/>
        <v>10000</v>
      </c>
      <c r="Y58" s="23">
        <v>40</v>
      </c>
      <c r="Z58" s="23">
        <f ca="1">OFFSET(金币产出!S$6,MATCH($D58,金币产出!$D$7:$D$306,1),0)*$Q$17</f>
        <v>7862.4</v>
      </c>
      <c r="AA58" s="23">
        <f ca="1">OFFSET(金币产出!T$6,MATCH($D58,金币产出!$D$7:$D$306,1),0)*$Z$17</f>
        <v>9936</v>
      </c>
      <c r="AB58" s="23">
        <f ca="1">OFFSET(金币产出!U$6,MATCH($D58,金币产出!$D$7:$D$306,1),0)</f>
        <v>0</v>
      </c>
      <c r="AC58" s="23">
        <f>SUMIF(金币产出!$E$7:$E$306,$D58,金币产出!$X$7:$X$306)</f>
        <v>1800</v>
      </c>
      <c r="AD58" s="23">
        <f t="shared" si="6"/>
        <v>1971</v>
      </c>
      <c r="AE58" s="23">
        <f t="shared" si="7"/>
        <v>9152</v>
      </c>
      <c r="AF58" s="25">
        <f ca="1">VLOOKUP(Y58,金币产出!$Y$6:$AI$67,10,0)*($Z$17-$AC$17*2)+VLOOKUP(Y58,金币产出!$Y$6:$AI$67,11,0)*$AC$17</f>
        <v>14252.16</v>
      </c>
      <c r="AH58" s="23">
        <v>40</v>
      </c>
      <c r="AI58" s="23">
        <f ca="1">OFFSET(金币产出!S$6,MATCH($D58,金币产出!$D$7:$D$306,1),0)*$Q$17</f>
        <v>7862.4</v>
      </c>
      <c r="AJ58" s="23">
        <f ca="1">OFFSET(金币产出!T$6,MATCH($D58,金币产出!$D$7:$D$306,1),0)*$AI$17</f>
        <v>15336</v>
      </c>
      <c r="AK58" s="23">
        <f ca="1">OFFSET(金币产出!U$6,MATCH($D58,金币产出!$D$7:$D$306,1),0)</f>
        <v>0</v>
      </c>
      <c r="AL58" s="23">
        <f>SUMIF(金币产出!$E$7:$E$306,$D58,金币产出!$X$7:$X$306)</f>
        <v>1800</v>
      </c>
      <c r="AM58" s="23">
        <f t="shared" si="8"/>
        <v>1971</v>
      </c>
      <c r="AN58" s="23">
        <f t="shared" si="9"/>
        <v>12100</v>
      </c>
      <c r="AO58" s="25">
        <f ca="1">VLOOKUP(AH58,金币产出!$Y$6:$AI$67,10,0)*($AI$17-$AL$17*2)+VLOOKUP(AH58,金币产出!$Y$6:$AI$67,11,0)*$AL$17</f>
        <v>15287.16</v>
      </c>
      <c r="AP58" s="23">
        <f ca="1" t="shared" si="10"/>
        <v>0.281238547840408</v>
      </c>
    </row>
    <row r="59" spans="4:42">
      <c r="D59" s="23">
        <v>41</v>
      </c>
      <c r="E59" s="23">
        <f ca="1">OFFSET(金币产出!S$6,MATCH($D59,金币产出!$D$7:$D$306,1),0)*$F$17</f>
        <v>6076</v>
      </c>
      <c r="F59" s="23">
        <f ca="1">OFFSET(金币产出!T$6,MATCH($D59,金币产出!$D$7:$D$306,1),0)*$E$17</f>
        <v>8680</v>
      </c>
      <c r="G59" s="23">
        <f ca="1">OFFSET(金币产出!U$6,MATCH($D59,金币产出!$D$7:$D$306,1),0)</f>
        <v>0</v>
      </c>
      <c r="H59" s="23">
        <f>SUMIF(金币产出!$D$7:$D$306,$D59,金币产出!$X$7:$X$306)</f>
        <v>1800</v>
      </c>
      <c r="I59" s="23">
        <f t="shared" si="0"/>
        <v>1971</v>
      </c>
      <c r="J59" s="23">
        <f t="shared" si="1"/>
        <v>4400</v>
      </c>
      <c r="K59" s="25">
        <f ca="1">VLOOKUP(D59,金币产出!$Y$6:$AG$67,8,0)*($E$17-$H$17*2)+VLOOKUP(D59,金币产出!$Y$6:$AG$67,9,0)</f>
        <v>7898.92</v>
      </c>
      <c r="L59" s="27">
        <f ca="1" t="shared" si="2"/>
        <v>0.25624279826847</v>
      </c>
      <c r="M59" s="27"/>
      <c r="O59" s="23">
        <v>41</v>
      </c>
      <c r="P59" s="23">
        <f ca="1">OFFSET(金币产出!S$6,MATCH($D59,金币产出!$D$7:$D$306,1),0)*$Q$17</f>
        <v>7898.8</v>
      </c>
      <c r="Q59" s="23">
        <f ca="1">OFFSET(金币产出!T$6,MATCH($D59,金币产出!$D$7:$D$306,1),0)*$P$17</f>
        <v>9982</v>
      </c>
      <c r="R59" s="23">
        <f ca="1">OFFSET(金币产出!U$6,MATCH($D59,金币产出!$D$7:$D$306,1),0)</f>
        <v>0</v>
      </c>
      <c r="S59" s="23">
        <f>SUMIF(金币产出!$D$7:$D$306,$D59,金币产出!$X$7:$X$306)</f>
        <v>1800</v>
      </c>
      <c r="T59" s="23">
        <f t="shared" si="3"/>
        <v>1971</v>
      </c>
      <c r="U59" s="23">
        <f t="shared" si="4"/>
        <v>5720</v>
      </c>
      <c r="V59" s="25">
        <f ca="1">VLOOKUP(O59,金币产出!$Y$6:$AG$67,8,0)*($P$17-$S$17*2)+VLOOKUP(O59,金币产出!$Y$6:$AG$67,9,0)*$S$17</f>
        <v>12404.3333333334</v>
      </c>
      <c r="W59" s="25">
        <f t="shared" si="5"/>
        <v>10000</v>
      </c>
      <c r="Y59" s="23">
        <v>41</v>
      </c>
      <c r="Z59" s="23">
        <f ca="1">OFFSET(金币产出!S$6,MATCH($D59,金币产出!$D$7:$D$306,1),0)*$Q$17</f>
        <v>7898.8</v>
      </c>
      <c r="AA59" s="23">
        <f ca="1">OFFSET(金币产出!T$6,MATCH($D59,金币产出!$D$7:$D$306,1),0)*$Z$17</f>
        <v>9982</v>
      </c>
      <c r="AB59" s="23">
        <f ca="1">OFFSET(金币产出!U$6,MATCH($D59,金币产出!$D$7:$D$306,1),0)</f>
        <v>0</v>
      </c>
      <c r="AC59" s="23">
        <f>SUMIF(金币产出!$E$7:$E$306,$D59,金币产出!$X$7:$X$306)</f>
        <v>1800</v>
      </c>
      <c r="AD59" s="23">
        <f t="shared" si="6"/>
        <v>1971</v>
      </c>
      <c r="AE59" s="23">
        <f t="shared" si="7"/>
        <v>9152</v>
      </c>
      <c r="AF59" s="25">
        <f ca="1">VLOOKUP(Y59,金币产出!$Y$6:$AI$67,10,0)*($Z$17-$AC$17*2)+VLOOKUP(Y59,金币产出!$Y$6:$AI$67,11,0)*$AC$17</f>
        <v>14252.16</v>
      </c>
      <c r="AH59" s="23">
        <v>41</v>
      </c>
      <c r="AI59" s="23">
        <f ca="1">OFFSET(金币产出!S$6,MATCH($D59,金币产出!$D$7:$D$306,1),0)*$Q$17</f>
        <v>7898.8</v>
      </c>
      <c r="AJ59" s="23">
        <f ca="1">OFFSET(金币产出!T$6,MATCH($D59,金币产出!$D$7:$D$306,1),0)*$AI$17</f>
        <v>15407</v>
      </c>
      <c r="AK59" s="23">
        <f ca="1">OFFSET(金币产出!U$6,MATCH($D59,金币产出!$D$7:$D$306,1),0)</f>
        <v>0</v>
      </c>
      <c r="AL59" s="23">
        <f>SUMIF(金币产出!$E$7:$E$306,$D59,金币产出!$X$7:$X$306)</f>
        <v>1800</v>
      </c>
      <c r="AM59" s="23">
        <f t="shared" si="8"/>
        <v>1971</v>
      </c>
      <c r="AN59" s="23">
        <f t="shared" si="9"/>
        <v>12100</v>
      </c>
      <c r="AO59" s="25">
        <f ca="1">VLOOKUP(AH59,金币产出!$Y$6:$AI$67,10,0)*($AI$17-$AL$17*2)+VLOOKUP(AH59,金币产出!$Y$6:$AI$67,11,0)*$AL$17</f>
        <v>15287.16</v>
      </c>
      <c r="AP59" s="23">
        <f ca="1" t="shared" si="10"/>
        <v>0.280683960549325</v>
      </c>
    </row>
    <row r="60" spans="4:42">
      <c r="D60" s="23">
        <v>42</v>
      </c>
      <c r="E60" s="23">
        <f ca="1">OFFSET(金币产出!S$6,MATCH($D60,金币产出!$D$7:$D$306,1),0)*$F$17</f>
        <v>6076</v>
      </c>
      <c r="F60" s="23">
        <f ca="1">OFFSET(金币产出!T$6,MATCH($D60,金币产出!$D$7:$D$306,1),0)*$E$17</f>
        <v>8680</v>
      </c>
      <c r="G60" s="23">
        <f ca="1">OFFSET(金币产出!U$6,MATCH($D60,金币产出!$D$7:$D$306,1),0)</f>
        <v>0</v>
      </c>
      <c r="H60" s="23">
        <f>SUMIF(金币产出!$D$7:$D$306,$D60,金币产出!$X$7:$X$306)</f>
        <v>0</v>
      </c>
      <c r="I60" s="23">
        <f t="shared" si="0"/>
        <v>1971</v>
      </c>
      <c r="J60" s="23">
        <f t="shared" si="1"/>
        <v>4400</v>
      </c>
      <c r="K60" s="25">
        <f ca="1">VLOOKUP(D60,金币产出!$Y$6:$AG$67,8,0)*($E$17-$H$17*2)+VLOOKUP(D60,金币产出!$Y$6:$AG$67,9,0)</f>
        <v>8073.72</v>
      </c>
      <c r="L60" s="27">
        <f ca="1" t="shared" si="2"/>
        <v>0.276490442701413</v>
      </c>
      <c r="M60" s="27"/>
      <c r="O60" s="23">
        <v>42</v>
      </c>
      <c r="P60" s="23">
        <f ca="1">OFFSET(金币产出!S$6,MATCH($D60,金币产出!$D$7:$D$306,1),0)*$Q$17</f>
        <v>7898.8</v>
      </c>
      <c r="Q60" s="23">
        <f ca="1">OFFSET(金币产出!T$6,MATCH($D60,金币产出!$D$7:$D$306,1),0)*$P$17</f>
        <v>9982</v>
      </c>
      <c r="R60" s="23">
        <f ca="1">OFFSET(金币产出!U$6,MATCH($D60,金币产出!$D$7:$D$306,1),0)</f>
        <v>0</v>
      </c>
      <c r="S60" s="23">
        <f>SUMIF(金币产出!$D$7:$D$306,$D60,金币产出!$X$7:$X$306)</f>
        <v>0</v>
      </c>
      <c r="T60" s="23">
        <f t="shared" si="3"/>
        <v>1971</v>
      </c>
      <c r="U60" s="23">
        <f t="shared" si="4"/>
        <v>5720</v>
      </c>
      <c r="V60" s="25">
        <f ca="1">VLOOKUP(O60,金币产出!$Y$6:$AG$67,8,0)*($P$17-$S$17*2)+VLOOKUP(O60,金币产出!$Y$6:$AG$67,9,0)*$S$17</f>
        <v>12600.6</v>
      </c>
      <c r="W60" s="25">
        <f t="shared" si="5"/>
        <v>10000</v>
      </c>
      <c r="Y60" s="23">
        <v>42</v>
      </c>
      <c r="Z60" s="23">
        <f ca="1">OFFSET(金币产出!S$6,MATCH($D60,金币产出!$D$7:$D$306,1),0)*$Q$17</f>
        <v>7898.8</v>
      </c>
      <c r="AA60" s="23">
        <f ca="1">OFFSET(金币产出!T$6,MATCH($D60,金币产出!$D$7:$D$306,1),0)*$Z$17</f>
        <v>9982</v>
      </c>
      <c r="AB60" s="23">
        <f ca="1">OFFSET(金币产出!U$6,MATCH($D60,金币产出!$D$7:$D$306,1),0)</f>
        <v>0</v>
      </c>
      <c r="AC60" s="23">
        <f>SUMIF(金币产出!$E$7:$E$306,$D60,金币产出!$X$7:$X$306)</f>
        <v>1800</v>
      </c>
      <c r="AD60" s="23">
        <f t="shared" si="6"/>
        <v>1971</v>
      </c>
      <c r="AE60" s="23">
        <f t="shared" si="7"/>
        <v>9152</v>
      </c>
      <c r="AF60" s="25">
        <f ca="1">VLOOKUP(Y60,金币产出!$Y$6:$AI$67,10,0)*($Z$17-$AC$17*2)+VLOOKUP(Y60,金币产出!$Y$6:$AI$67,11,0)*$AC$17</f>
        <v>14448.4266666667</v>
      </c>
      <c r="AH60" s="23">
        <v>42</v>
      </c>
      <c r="AI60" s="23">
        <f ca="1">OFFSET(金币产出!S$6,MATCH($D60,金币产出!$D$7:$D$306,1),0)*$Q$17</f>
        <v>7898.8</v>
      </c>
      <c r="AJ60" s="23">
        <f ca="1">OFFSET(金币产出!T$6,MATCH($D60,金币产出!$D$7:$D$306,1),0)*$AI$17</f>
        <v>15407</v>
      </c>
      <c r="AK60" s="23">
        <f ca="1">OFFSET(金币产出!U$6,MATCH($D60,金币产出!$D$7:$D$306,1),0)</f>
        <v>0</v>
      </c>
      <c r="AL60" s="23">
        <f>SUMIF(金币产出!$E$7:$E$306,$D60,金币产出!$X$7:$X$306)</f>
        <v>1800</v>
      </c>
      <c r="AM60" s="23">
        <f t="shared" si="8"/>
        <v>1971</v>
      </c>
      <c r="AN60" s="23">
        <f t="shared" si="9"/>
        <v>12100</v>
      </c>
      <c r="AO60" s="25">
        <f ca="1">VLOOKUP(AH60,金币产出!$Y$6:$AI$67,10,0)*($AI$17-$AL$17*2)+VLOOKUP(AH60,金币产出!$Y$6:$AI$67,11,0)*$AL$17</f>
        <v>15598.4266666667</v>
      </c>
      <c r="AP60" s="23">
        <f ca="1" t="shared" si="10"/>
        <v>0.284771558529379</v>
      </c>
    </row>
    <row r="61" spans="4:42">
      <c r="D61" s="23">
        <v>43</v>
      </c>
      <c r="E61" s="23">
        <f ca="1">OFFSET(金币产出!S$6,MATCH($D61,金币产出!$D$7:$D$306,1),0)*$F$17</f>
        <v>6104</v>
      </c>
      <c r="F61" s="23">
        <f ca="1">OFFSET(金币产出!T$6,MATCH($D61,金币产出!$D$7:$D$306,1),0)*$E$17</f>
        <v>8720</v>
      </c>
      <c r="G61" s="23">
        <f ca="1">OFFSET(金币产出!U$6,MATCH($D61,金币产出!$D$7:$D$306,1),0)</f>
        <v>0</v>
      </c>
      <c r="H61" s="23">
        <f>SUMIF(金币产出!$D$7:$D$306,$D61,金币产出!$X$7:$X$306)</f>
        <v>1800</v>
      </c>
      <c r="I61" s="23">
        <f t="shared" si="0"/>
        <v>1971</v>
      </c>
      <c r="J61" s="23">
        <f t="shared" si="1"/>
        <v>4400</v>
      </c>
      <c r="K61" s="25">
        <f ca="1">VLOOKUP(D61,金币产出!$Y$6:$AG$67,8,0)*($E$17-$H$17*2)+VLOOKUP(D61,金币产出!$Y$6:$AG$67,9,0)</f>
        <v>8073.72</v>
      </c>
      <c r="L61" s="27">
        <f ca="1" t="shared" si="2"/>
        <v>0.259866515260365</v>
      </c>
      <c r="M61" s="27"/>
      <c r="O61" s="23">
        <v>43</v>
      </c>
      <c r="P61" s="23">
        <f ca="1">OFFSET(金币产出!S$6,MATCH($D61,金币产出!$D$7:$D$306,1),0)*$Q$17</f>
        <v>7935.2</v>
      </c>
      <c r="Q61" s="23">
        <f ca="1">OFFSET(金币产出!T$6,MATCH($D61,金币产出!$D$7:$D$306,1),0)*$P$17</f>
        <v>10028</v>
      </c>
      <c r="R61" s="23">
        <f ca="1">OFFSET(金币产出!U$6,MATCH($D61,金币产出!$D$7:$D$306,1),0)</f>
        <v>0</v>
      </c>
      <c r="S61" s="23">
        <f>SUMIF(金币产出!$D$7:$D$306,$D61,金币产出!$X$7:$X$306)</f>
        <v>1800</v>
      </c>
      <c r="T61" s="23">
        <f t="shared" si="3"/>
        <v>1971</v>
      </c>
      <c r="U61" s="23">
        <f t="shared" si="4"/>
        <v>5720</v>
      </c>
      <c r="V61" s="25">
        <f ca="1">VLOOKUP(O61,金币产出!$Y$6:$AG$67,8,0)*($P$17-$S$17*2)+VLOOKUP(O61,金币产出!$Y$6:$AG$67,9,0)*$S$17</f>
        <v>12600.6</v>
      </c>
      <c r="W61" s="25">
        <f t="shared" si="5"/>
        <v>10000</v>
      </c>
      <c r="Y61" s="23">
        <v>43</v>
      </c>
      <c r="Z61" s="23">
        <f ca="1">OFFSET(金币产出!S$6,MATCH($D61,金币产出!$D$7:$D$306,1),0)*$Q$17</f>
        <v>7935.2</v>
      </c>
      <c r="AA61" s="23">
        <f ca="1">OFFSET(金币产出!T$6,MATCH($D61,金币产出!$D$7:$D$306,1),0)*$Z$17</f>
        <v>10028</v>
      </c>
      <c r="AB61" s="23">
        <f ca="1">OFFSET(金币产出!U$6,MATCH($D61,金币产出!$D$7:$D$306,1),0)</f>
        <v>0</v>
      </c>
      <c r="AC61" s="23">
        <f>SUMIF(金币产出!$E$7:$E$306,$D61,金币产出!$X$7:$X$306)</f>
        <v>1800</v>
      </c>
      <c r="AD61" s="23">
        <f t="shared" si="6"/>
        <v>1971</v>
      </c>
      <c r="AE61" s="23">
        <f t="shared" si="7"/>
        <v>9152</v>
      </c>
      <c r="AF61" s="25">
        <f ca="1">VLOOKUP(Y61,金币产出!$Y$6:$AI$67,10,0)*($Z$17-$AC$17*2)+VLOOKUP(Y61,金币产出!$Y$6:$AI$67,11,0)*$AC$17</f>
        <v>14448.4266666667</v>
      </c>
      <c r="AH61" s="23">
        <v>43</v>
      </c>
      <c r="AI61" s="23">
        <f ca="1">OFFSET(金币产出!S$6,MATCH($D61,金币产出!$D$7:$D$306,1),0)*$Q$17</f>
        <v>7935.2</v>
      </c>
      <c r="AJ61" s="23">
        <f ca="1">OFFSET(金币产出!T$6,MATCH($D61,金币产出!$D$7:$D$306,1),0)*$AI$17</f>
        <v>15478</v>
      </c>
      <c r="AK61" s="23">
        <f ca="1">OFFSET(金币产出!U$6,MATCH($D61,金币产出!$D$7:$D$306,1),0)</f>
        <v>0</v>
      </c>
      <c r="AL61" s="23">
        <f>SUMIF(金币产出!$E$7:$E$306,$D61,金币产出!$X$7:$X$306)</f>
        <v>1800</v>
      </c>
      <c r="AM61" s="23">
        <f t="shared" si="8"/>
        <v>1971</v>
      </c>
      <c r="AN61" s="23">
        <f t="shared" si="9"/>
        <v>12100</v>
      </c>
      <c r="AO61" s="25">
        <f ca="1">VLOOKUP(AH61,金币产出!$Y$6:$AI$67,10,0)*($AI$17-$AL$17*2)+VLOOKUP(AH61,金币产出!$Y$6:$AI$67,11,0)*$AL$17</f>
        <v>15598.4266666667</v>
      </c>
      <c r="AP61" s="23">
        <f ca="1" t="shared" si="10"/>
        <v>0.284214288091654</v>
      </c>
    </row>
    <row r="62" spans="4:42">
      <c r="D62" s="23">
        <v>44</v>
      </c>
      <c r="E62" s="23">
        <f ca="1">OFFSET(金币产出!S$6,MATCH($D62,金币产出!$D$7:$D$306,1),0)*$F$17</f>
        <v>6104</v>
      </c>
      <c r="F62" s="23">
        <f ca="1">OFFSET(金币产出!T$6,MATCH($D62,金币产出!$D$7:$D$306,1),0)*$E$17</f>
        <v>8720</v>
      </c>
      <c r="G62" s="23">
        <f ca="1">OFFSET(金币产出!U$6,MATCH($D62,金币产出!$D$7:$D$306,1),0)</f>
        <v>0</v>
      </c>
      <c r="H62" s="23">
        <f>SUMIF(金币产出!$D$7:$D$306,$D62,金币产出!$X$7:$X$306)</f>
        <v>0</v>
      </c>
      <c r="I62" s="23">
        <f t="shared" si="0"/>
        <v>1971</v>
      </c>
      <c r="J62" s="23">
        <f t="shared" si="1"/>
        <v>4400</v>
      </c>
      <c r="K62" s="25">
        <f ca="1">VLOOKUP(D62,金币产出!$Y$6:$AG$67,8,0)*($E$17-$H$17*2)+VLOOKUP(D62,金币产出!$Y$6:$AG$67,9,0)</f>
        <v>8073.72</v>
      </c>
      <c r="L62" s="27">
        <f ca="1" t="shared" si="2"/>
        <v>0.27584807261814</v>
      </c>
      <c r="M62" s="27"/>
      <c r="O62" s="23">
        <v>44</v>
      </c>
      <c r="P62" s="23">
        <f ca="1">OFFSET(金币产出!S$6,MATCH($D62,金币产出!$D$7:$D$306,1),0)*$Q$17</f>
        <v>7935.2</v>
      </c>
      <c r="Q62" s="23">
        <f ca="1">OFFSET(金币产出!T$6,MATCH($D62,金币产出!$D$7:$D$306,1),0)*$P$17</f>
        <v>10028</v>
      </c>
      <c r="R62" s="23">
        <f ca="1">OFFSET(金币产出!U$6,MATCH($D62,金币产出!$D$7:$D$306,1),0)</f>
        <v>0</v>
      </c>
      <c r="S62" s="23">
        <f>SUMIF(金币产出!$D$7:$D$306,$D62,金币产出!$X$7:$X$306)</f>
        <v>0</v>
      </c>
      <c r="T62" s="23">
        <f t="shared" si="3"/>
        <v>1971</v>
      </c>
      <c r="U62" s="23">
        <f t="shared" si="4"/>
        <v>5720</v>
      </c>
      <c r="V62" s="25">
        <f ca="1">VLOOKUP(O62,金币产出!$Y$6:$AG$67,8,0)*($P$17-$S$17*2)+VLOOKUP(O62,金币产出!$Y$6:$AG$67,9,0)*$S$17</f>
        <v>12600.6</v>
      </c>
      <c r="W62" s="25">
        <f t="shared" si="5"/>
        <v>10000</v>
      </c>
      <c r="Y62" s="23">
        <v>44</v>
      </c>
      <c r="Z62" s="23">
        <f ca="1">OFFSET(金币产出!S$6,MATCH($D62,金币产出!$D$7:$D$306,1),0)*$Q$17</f>
        <v>7935.2</v>
      </c>
      <c r="AA62" s="23">
        <f ca="1">OFFSET(金币产出!T$6,MATCH($D62,金币产出!$D$7:$D$306,1),0)*$Z$17</f>
        <v>10028</v>
      </c>
      <c r="AB62" s="23">
        <f ca="1">OFFSET(金币产出!U$6,MATCH($D62,金币产出!$D$7:$D$306,1),0)</f>
        <v>0</v>
      </c>
      <c r="AC62" s="23">
        <f>SUMIF(金币产出!$E$7:$E$306,$D62,金币产出!$X$7:$X$306)</f>
        <v>1800</v>
      </c>
      <c r="AD62" s="23">
        <f t="shared" si="6"/>
        <v>1971</v>
      </c>
      <c r="AE62" s="23">
        <f t="shared" si="7"/>
        <v>9152</v>
      </c>
      <c r="AF62" s="25">
        <f ca="1">VLOOKUP(Y62,金币产出!$Y$6:$AI$67,10,0)*($Z$17-$AC$17*2)+VLOOKUP(Y62,金币产出!$Y$6:$AI$67,11,0)*$AC$17</f>
        <v>14448.4266666667</v>
      </c>
      <c r="AH62" s="23">
        <v>44</v>
      </c>
      <c r="AI62" s="23">
        <f ca="1">OFFSET(金币产出!S$6,MATCH($D62,金币产出!$D$7:$D$306,1),0)*$Q$17</f>
        <v>7935.2</v>
      </c>
      <c r="AJ62" s="23">
        <f ca="1">OFFSET(金币产出!T$6,MATCH($D62,金币产出!$D$7:$D$306,1),0)*$AI$17</f>
        <v>15478</v>
      </c>
      <c r="AK62" s="23">
        <f ca="1">OFFSET(金币产出!U$6,MATCH($D62,金币产出!$D$7:$D$306,1),0)</f>
        <v>0</v>
      </c>
      <c r="AL62" s="23">
        <f>SUMIF(金币产出!$E$7:$E$306,$D62,金币产出!$X$7:$X$306)</f>
        <v>1800</v>
      </c>
      <c r="AM62" s="23">
        <f t="shared" si="8"/>
        <v>1971</v>
      </c>
      <c r="AN62" s="23">
        <f t="shared" si="9"/>
        <v>12100</v>
      </c>
      <c r="AO62" s="25">
        <f ca="1">VLOOKUP(AH62,金币产出!$Y$6:$AI$67,10,0)*($AI$17-$AL$17*2)+VLOOKUP(AH62,金币产出!$Y$6:$AI$67,11,0)*$AL$17</f>
        <v>15598.4266666667</v>
      </c>
      <c r="AP62" s="23">
        <f ca="1" t="shared" si="10"/>
        <v>0.284214288091654</v>
      </c>
    </row>
    <row r="63" spans="4:42">
      <c r="D63" s="23">
        <v>45</v>
      </c>
      <c r="E63" s="23">
        <f ca="1">OFFSET(金币产出!S$6,MATCH($D63,金币产出!$D$7:$D$306,1),0)*$F$17</f>
        <v>6132</v>
      </c>
      <c r="F63" s="23">
        <f ca="1">OFFSET(金币产出!T$6,MATCH($D63,金币产出!$D$7:$D$306,1),0)*$E$17</f>
        <v>8760</v>
      </c>
      <c r="G63" s="23">
        <f ca="1">OFFSET(金币产出!U$6,MATCH($D63,金币产出!$D$7:$D$306,1),0)</f>
        <v>0</v>
      </c>
      <c r="H63" s="23">
        <f>SUMIF(金币产出!$D$7:$D$306,$D63,金币产出!$X$7:$X$306)</f>
        <v>1800</v>
      </c>
      <c r="I63" s="23">
        <f t="shared" si="0"/>
        <v>1971</v>
      </c>
      <c r="J63" s="23">
        <f t="shared" si="1"/>
        <v>4400</v>
      </c>
      <c r="K63" s="25">
        <f ca="1">VLOOKUP(D63,金币产出!$Y$6:$AG$67,8,0)*($E$17-$H$17*2)+VLOOKUP(D63,金币产出!$Y$6:$AG$67,9,0)</f>
        <v>9064.656</v>
      </c>
      <c r="L63" s="27">
        <f ca="1" t="shared" si="2"/>
        <v>0.282144953245266</v>
      </c>
      <c r="M63" s="27"/>
      <c r="O63" s="23">
        <v>45</v>
      </c>
      <c r="P63" s="23">
        <f ca="1">OFFSET(金币产出!S$6,MATCH($D63,金币产出!$D$7:$D$306,1),0)*$Q$17</f>
        <v>7971.6</v>
      </c>
      <c r="Q63" s="23">
        <f ca="1">OFFSET(金币产出!T$6,MATCH($D63,金币产出!$D$7:$D$306,1),0)*$P$17</f>
        <v>10074</v>
      </c>
      <c r="R63" s="23">
        <f ca="1">OFFSET(金币产出!U$6,MATCH($D63,金币产出!$D$7:$D$306,1),0)</f>
        <v>0</v>
      </c>
      <c r="S63" s="23">
        <f>SUMIF(金币产出!$D$7:$D$306,$D63,金币产出!$X$7:$X$306)</f>
        <v>1800</v>
      </c>
      <c r="T63" s="23">
        <f t="shared" si="3"/>
        <v>1971</v>
      </c>
      <c r="U63" s="23">
        <f t="shared" si="4"/>
        <v>5720</v>
      </c>
      <c r="V63" s="25">
        <f ca="1">VLOOKUP(O63,金币产出!$Y$6:$AG$67,8,0)*($P$17-$S$17*2)+VLOOKUP(O63,金币产出!$Y$6:$AG$67,9,0)*$S$17</f>
        <v>14252.16</v>
      </c>
      <c r="W63" s="25">
        <f t="shared" si="5"/>
        <v>10000</v>
      </c>
      <c r="Y63" s="23">
        <v>45</v>
      </c>
      <c r="Z63" s="23">
        <f ca="1">OFFSET(金币产出!S$6,MATCH($D63,金币产出!$D$7:$D$306,1),0)*$Q$17</f>
        <v>7971.6</v>
      </c>
      <c r="AA63" s="23">
        <f ca="1">OFFSET(金币产出!T$6,MATCH($D63,金币产出!$D$7:$D$306,1),0)*$Z$17</f>
        <v>10074</v>
      </c>
      <c r="AB63" s="23">
        <f ca="1">OFFSET(金币产出!U$6,MATCH($D63,金币产出!$D$7:$D$306,1),0)</f>
        <v>0</v>
      </c>
      <c r="AC63" s="23">
        <f>SUMIF(金币产出!$E$7:$E$306,$D63,金币产出!$X$7:$X$306)</f>
        <v>1800</v>
      </c>
      <c r="AD63" s="23">
        <f t="shared" si="6"/>
        <v>1971</v>
      </c>
      <c r="AE63" s="23">
        <f t="shared" si="7"/>
        <v>9152</v>
      </c>
      <c r="AF63" s="25">
        <f ca="1">VLOOKUP(Y63,金币产出!$Y$6:$AI$67,10,0)*($Z$17-$AC$17*2)+VLOOKUP(Y63,金币产出!$Y$6:$AI$67,11,0)*$AC$17</f>
        <v>16463.4666666667</v>
      </c>
      <c r="AH63" s="23">
        <v>45</v>
      </c>
      <c r="AI63" s="23">
        <f ca="1">OFFSET(金币产出!S$6,MATCH($D63,金币产出!$D$7:$D$306,1),0)*$Q$17</f>
        <v>7971.6</v>
      </c>
      <c r="AJ63" s="23">
        <f ca="1">OFFSET(金币产出!T$6,MATCH($D63,金币产出!$D$7:$D$306,1),0)*$AI$17</f>
        <v>15549</v>
      </c>
      <c r="AK63" s="23">
        <f ca="1">OFFSET(金币产出!U$6,MATCH($D63,金币产出!$D$7:$D$306,1),0)</f>
        <v>0</v>
      </c>
      <c r="AL63" s="23">
        <f>SUMIF(金币产出!$E$7:$E$306,$D63,金币产出!$X$7:$X$306)</f>
        <v>1800</v>
      </c>
      <c r="AM63" s="23">
        <f t="shared" si="8"/>
        <v>1971</v>
      </c>
      <c r="AN63" s="23">
        <f t="shared" si="9"/>
        <v>12100</v>
      </c>
      <c r="AO63" s="25">
        <f ca="1">VLOOKUP(AH63,金币产出!$Y$6:$AI$67,10,0)*($AI$17-$AL$17*2)+VLOOKUP(AH63,金币产出!$Y$6:$AI$67,11,0)*$AL$17</f>
        <v>17613.4666666667</v>
      </c>
      <c r="AP63" s="23">
        <f ca="1" t="shared" si="10"/>
        <v>0.30898072218142</v>
      </c>
    </row>
    <row r="64" spans="4:42">
      <c r="D64" s="23">
        <v>46</v>
      </c>
      <c r="E64" s="23">
        <f ca="1">OFFSET(金币产出!S$6,MATCH($D64,金币产出!$D$7:$D$306,1),0)*$F$17</f>
        <v>6132</v>
      </c>
      <c r="F64" s="23">
        <f ca="1">OFFSET(金币产出!T$6,MATCH($D64,金币产出!$D$7:$D$306,1),0)*$E$17</f>
        <v>8760</v>
      </c>
      <c r="G64" s="23">
        <f ca="1">OFFSET(金币产出!U$6,MATCH($D64,金币产出!$D$7:$D$306,1),0)</f>
        <v>0</v>
      </c>
      <c r="H64" s="23">
        <f>SUMIF(金币产出!$D$7:$D$306,$D64,金币产出!$X$7:$X$306)</f>
        <v>0</v>
      </c>
      <c r="I64" s="23">
        <f t="shared" si="0"/>
        <v>1971</v>
      </c>
      <c r="J64" s="23">
        <f t="shared" si="1"/>
        <v>4400</v>
      </c>
      <c r="K64" s="25">
        <f ca="1">VLOOKUP(D64,金币产出!$Y$6:$AG$67,8,0)*($E$17-$H$17*2)+VLOOKUP(D64,金币产出!$Y$6:$AG$67,9,0)</f>
        <v>9064.656</v>
      </c>
      <c r="L64" s="27">
        <f ca="1" t="shared" si="2"/>
        <v>0.29889075502571</v>
      </c>
      <c r="M64" s="27"/>
      <c r="O64" s="23">
        <v>46</v>
      </c>
      <c r="P64" s="23">
        <f ca="1">OFFSET(金币产出!S$6,MATCH($D64,金币产出!$D$7:$D$306,1),0)*$Q$17</f>
        <v>7971.6</v>
      </c>
      <c r="Q64" s="23">
        <f ca="1">OFFSET(金币产出!T$6,MATCH($D64,金币产出!$D$7:$D$306,1),0)*$P$17</f>
        <v>10074</v>
      </c>
      <c r="R64" s="23">
        <f ca="1">OFFSET(金币产出!U$6,MATCH($D64,金币产出!$D$7:$D$306,1),0)</f>
        <v>0</v>
      </c>
      <c r="S64" s="23">
        <f>SUMIF(金币产出!$D$7:$D$306,$D64,金币产出!$X$7:$X$306)</f>
        <v>0</v>
      </c>
      <c r="T64" s="23">
        <f t="shared" si="3"/>
        <v>1971</v>
      </c>
      <c r="U64" s="23">
        <f t="shared" si="4"/>
        <v>5720</v>
      </c>
      <c r="V64" s="25">
        <f ca="1">VLOOKUP(O64,金币产出!$Y$6:$AG$67,8,0)*($P$17-$S$17*2)+VLOOKUP(O64,金币产出!$Y$6:$AG$67,9,0)*$S$17</f>
        <v>14252.16</v>
      </c>
      <c r="W64" s="25">
        <f t="shared" si="5"/>
        <v>10000</v>
      </c>
      <c r="Y64" s="23">
        <v>46</v>
      </c>
      <c r="Z64" s="23">
        <f ca="1">OFFSET(金币产出!S$6,MATCH($D64,金币产出!$D$7:$D$306,1),0)*$Q$17</f>
        <v>7971.6</v>
      </c>
      <c r="AA64" s="23">
        <f ca="1">OFFSET(金币产出!T$6,MATCH($D64,金币产出!$D$7:$D$306,1),0)*$Z$17</f>
        <v>10074</v>
      </c>
      <c r="AB64" s="23">
        <f ca="1">OFFSET(金币产出!U$6,MATCH($D64,金币产出!$D$7:$D$306,1),0)</f>
        <v>0</v>
      </c>
      <c r="AC64" s="23">
        <f>SUMIF(金币产出!$E$7:$E$306,$D64,金币产出!$X$7:$X$306)</f>
        <v>1800</v>
      </c>
      <c r="AD64" s="23">
        <f t="shared" si="6"/>
        <v>1971</v>
      </c>
      <c r="AE64" s="23">
        <f t="shared" si="7"/>
        <v>9152</v>
      </c>
      <c r="AF64" s="25">
        <f ca="1">VLOOKUP(Y64,金币产出!$Y$6:$AI$67,10,0)*($Z$17-$AC$17*2)+VLOOKUP(Y64,金币产出!$Y$6:$AI$67,11,0)*$AC$17</f>
        <v>16463.4666666667</v>
      </c>
      <c r="AH64" s="23">
        <v>46</v>
      </c>
      <c r="AI64" s="23">
        <f ca="1">OFFSET(金币产出!S$6,MATCH($D64,金币产出!$D$7:$D$306,1),0)*$Q$17</f>
        <v>7971.6</v>
      </c>
      <c r="AJ64" s="23">
        <f ca="1">OFFSET(金币产出!T$6,MATCH($D64,金币产出!$D$7:$D$306,1),0)*$AI$17</f>
        <v>15549</v>
      </c>
      <c r="AK64" s="23">
        <f ca="1">OFFSET(金币产出!U$6,MATCH($D64,金币产出!$D$7:$D$306,1),0)</f>
        <v>0</v>
      </c>
      <c r="AL64" s="23">
        <f>SUMIF(金币产出!$E$7:$E$306,$D64,金币产出!$X$7:$X$306)</f>
        <v>1800</v>
      </c>
      <c r="AM64" s="23">
        <f t="shared" si="8"/>
        <v>1971</v>
      </c>
      <c r="AN64" s="23">
        <f t="shared" si="9"/>
        <v>12100</v>
      </c>
      <c r="AO64" s="25">
        <f ca="1">VLOOKUP(AH64,金币产出!$Y$6:$AI$67,10,0)*($AI$17-$AL$17*2)+VLOOKUP(AH64,金币产出!$Y$6:$AI$67,11,0)*$AL$17</f>
        <v>17613.4666666667</v>
      </c>
      <c r="AP64" s="23">
        <f ca="1" t="shared" si="10"/>
        <v>0.30898072218142</v>
      </c>
    </row>
    <row r="65" spans="4:42">
      <c r="D65" s="23">
        <v>47</v>
      </c>
      <c r="E65" s="23">
        <f ca="1">OFFSET(金币产出!S$6,MATCH($D65,金币产出!$D$7:$D$306,1),0)*$F$17</f>
        <v>6160</v>
      </c>
      <c r="F65" s="23">
        <f ca="1">OFFSET(金币产出!T$6,MATCH($D65,金币产出!$D$7:$D$306,1),0)*$E$17</f>
        <v>8800</v>
      </c>
      <c r="G65" s="23">
        <f ca="1">OFFSET(金币产出!U$6,MATCH($D65,金币产出!$D$7:$D$306,1),0)</f>
        <v>0</v>
      </c>
      <c r="H65" s="23">
        <f>SUMIF(金币产出!$D$7:$D$306,$D65,金币产出!$X$7:$X$306)</f>
        <v>1800</v>
      </c>
      <c r="I65" s="23">
        <f t="shared" si="0"/>
        <v>1971</v>
      </c>
      <c r="J65" s="23">
        <f t="shared" si="1"/>
        <v>4400</v>
      </c>
      <c r="K65" s="25">
        <f ca="1">VLOOKUP(D65,金币产出!$Y$6:$AG$67,8,0)*($E$17-$H$17*2)+VLOOKUP(D65,金币产出!$Y$6:$AG$67,9,0)</f>
        <v>9064.656</v>
      </c>
      <c r="L65" s="27">
        <f ca="1" t="shared" si="2"/>
        <v>0.281549038789581</v>
      </c>
      <c r="M65" s="27"/>
      <c r="O65" s="23">
        <v>47</v>
      </c>
      <c r="P65" s="23">
        <f ca="1">OFFSET(金币产出!S$6,MATCH($D65,金币产出!$D$7:$D$306,1),0)*$Q$17</f>
        <v>8008</v>
      </c>
      <c r="Q65" s="23">
        <f ca="1">OFFSET(金币产出!T$6,MATCH($D65,金币产出!$D$7:$D$306,1),0)*$P$17</f>
        <v>10120</v>
      </c>
      <c r="R65" s="23">
        <f ca="1">OFFSET(金币产出!U$6,MATCH($D65,金币产出!$D$7:$D$306,1),0)</f>
        <v>0</v>
      </c>
      <c r="S65" s="23">
        <f>SUMIF(金币产出!$D$7:$D$306,$D65,金币产出!$X$7:$X$306)</f>
        <v>1800</v>
      </c>
      <c r="T65" s="23">
        <f t="shared" si="3"/>
        <v>1971</v>
      </c>
      <c r="U65" s="23">
        <f t="shared" si="4"/>
        <v>5720</v>
      </c>
      <c r="V65" s="25">
        <f ca="1">VLOOKUP(O65,金币产出!$Y$6:$AG$67,8,0)*($P$17-$S$17*2)+VLOOKUP(O65,金币产出!$Y$6:$AG$67,9,0)*$S$17</f>
        <v>14252.16</v>
      </c>
      <c r="W65" s="25">
        <f t="shared" si="5"/>
        <v>10000</v>
      </c>
      <c r="Y65" s="23">
        <v>47</v>
      </c>
      <c r="Z65" s="23">
        <f ca="1">OFFSET(金币产出!S$6,MATCH($D65,金币产出!$D$7:$D$306,1),0)*$Q$17</f>
        <v>8008</v>
      </c>
      <c r="AA65" s="23">
        <f ca="1">OFFSET(金币产出!T$6,MATCH($D65,金币产出!$D$7:$D$306,1),0)*$Z$17</f>
        <v>10120</v>
      </c>
      <c r="AB65" s="23">
        <f ca="1">OFFSET(金币产出!U$6,MATCH($D65,金币产出!$D$7:$D$306,1),0)</f>
        <v>0</v>
      </c>
      <c r="AC65" s="23">
        <f>SUMIF(金币产出!$E$7:$E$306,$D65,金币产出!$X$7:$X$306)</f>
        <v>1800</v>
      </c>
      <c r="AD65" s="23">
        <f t="shared" si="6"/>
        <v>1971</v>
      </c>
      <c r="AE65" s="23">
        <f t="shared" si="7"/>
        <v>9152</v>
      </c>
      <c r="AF65" s="25">
        <f ca="1">VLOOKUP(Y65,金币产出!$Y$6:$AI$67,10,0)*($Z$17-$AC$17*2)+VLOOKUP(Y65,金币产出!$Y$6:$AI$67,11,0)*$AC$17</f>
        <v>16463.4666666667</v>
      </c>
      <c r="AH65" s="23">
        <v>47</v>
      </c>
      <c r="AI65" s="23">
        <f ca="1">OFFSET(金币产出!S$6,MATCH($D65,金币产出!$D$7:$D$306,1),0)*$Q$17</f>
        <v>8008</v>
      </c>
      <c r="AJ65" s="23">
        <f ca="1">OFFSET(金币产出!T$6,MATCH($D65,金币产出!$D$7:$D$306,1),0)*$AI$17</f>
        <v>15620</v>
      </c>
      <c r="AK65" s="23">
        <f ca="1">OFFSET(金币产出!U$6,MATCH($D65,金币产出!$D$7:$D$306,1),0)</f>
        <v>0</v>
      </c>
      <c r="AL65" s="23">
        <f>SUMIF(金币产出!$E$7:$E$306,$D65,金币产出!$X$7:$X$306)</f>
        <v>1800</v>
      </c>
      <c r="AM65" s="23">
        <f t="shared" si="8"/>
        <v>1971</v>
      </c>
      <c r="AN65" s="23">
        <f t="shared" si="9"/>
        <v>12100</v>
      </c>
      <c r="AO65" s="25">
        <f ca="1">VLOOKUP(AH65,金币产出!$Y$6:$AI$67,10,0)*($AI$17-$AL$17*2)+VLOOKUP(AH65,金币产出!$Y$6:$AI$67,11,0)*$AL$17</f>
        <v>17613.4666666667</v>
      </c>
      <c r="AP65" s="23">
        <f ca="1" t="shared" si="10"/>
        <v>0.308399683898554</v>
      </c>
    </row>
    <row r="66" spans="4:42">
      <c r="D66" s="23">
        <v>48</v>
      </c>
      <c r="E66" s="23">
        <f ca="1">OFFSET(金币产出!S$6,MATCH($D66,金币产出!$D$7:$D$306,1),0)*$F$17</f>
        <v>6160</v>
      </c>
      <c r="F66" s="23">
        <f ca="1">OFFSET(金币产出!T$6,MATCH($D66,金币产出!$D$7:$D$306,1),0)*$E$17</f>
        <v>8800</v>
      </c>
      <c r="G66" s="23">
        <f ca="1">OFFSET(金币产出!U$6,MATCH($D66,金币产出!$D$7:$D$306,1),0)</f>
        <v>0</v>
      </c>
      <c r="H66" s="23">
        <f>SUMIF(金币产出!$D$7:$D$306,$D66,金币产出!$X$7:$X$306)</f>
        <v>0</v>
      </c>
      <c r="I66" s="23">
        <f t="shared" si="0"/>
        <v>1971</v>
      </c>
      <c r="J66" s="23">
        <f t="shared" si="1"/>
        <v>4400</v>
      </c>
      <c r="K66" s="25">
        <f ca="1">VLOOKUP(D66,金币产出!$Y$6:$AG$67,8,0)*($E$17-$H$17*2)+VLOOKUP(D66,金币产出!$Y$6:$AG$67,9,0)</f>
        <v>9064.656</v>
      </c>
      <c r="L66" s="27">
        <f ca="1" t="shared" si="2"/>
        <v>0.298222088051003</v>
      </c>
      <c r="M66" s="27"/>
      <c r="O66" s="23">
        <v>48</v>
      </c>
      <c r="P66" s="23">
        <f ca="1">OFFSET(金币产出!S$6,MATCH($D66,金币产出!$D$7:$D$306,1),0)*$Q$17</f>
        <v>8008</v>
      </c>
      <c r="Q66" s="23">
        <f ca="1">OFFSET(金币产出!T$6,MATCH($D66,金币产出!$D$7:$D$306,1),0)*$P$17</f>
        <v>10120</v>
      </c>
      <c r="R66" s="23">
        <f ca="1">OFFSET(金币产出!U$6,MATCH($D66,金币产出!$D$7:$D$306,1),0)</f>
        <v>0</v>
      </c>
      <c r="S66" s="23">
        <f>SUMIF(金币产出!$D$7:$D$306,$D66,金币产出!$X$7:$X$306)</f>
        <v>0</v>
      </c>
      <c r="T66" s="23">
        <f t="shared" si="3"/>
        <v>1971</v>
      </c>
      <c r="U66" s="23">
        <f t="shared" si="4"/>
        <v>5720</v>
      </c>
      <c r="V66" s="25">
        <f ca="1">VLOOKUP(O66,金币产出!$Y$6:$AG$67,8,0)*($P$17-$S$17*2)+VLOOKUP(O66,金币产出!$Y$6:$AG$67,9,0)*$S$17</f>
        <v>14252.16</v>
      </c>
      <c r="W66" s="25">
        <f t="shared" si="5"/>
        <v>10000</v>
      </c>
      <c r="Y66" s="23">
        <v>48</v>
      </c>
      <c r="Z66" s="23">
        <f ca="1">OFFSET(金币产出!S$6,MATCH($D66,金币产出!$D$7:$D$306,1),0)*$Q$17</f>
        <v>8008</v>
      </c>
      <c r="AA66" s="23">
        <f ca="1">OFFSET(金币产出!T$6,MATCH($D66,金币产出!$D$7:$D$306,1),0)*$Z$17</f>
        <v>10120</v>
      </c>
      <c r="AB66" s="23">
        <f ca="1">OFFSET(金币产出!U$6,MATCH($D66,金币产出!$D$7:$D$306,1),0)</f>
        <v>0</v>
      </c>
      <c r="AC66" s="23">
        <f>SUMIF(金币产出!$E$7:$E$306,$D66,金币产出!$X$7:$X$306)</f>
        <v>1800</v>
      </c>
      <c r="AD66" s="23">
        <f t="shared" si="6"/>
        <v>1971</v>
      </c>
      <c r="AE66" s="23">
        <f t="shared" si="7"/>
        <v>9152</v>
      </c>
      <c r="AF66" s="25">
        <f ca="1">VLOOKUP(Y66,金币产出!$Y$6:$AI$67,10,0)*($Z$17-$AC$17*2)+VLOOKUP(Y66,金币产出!$Y$6:$AI$67,11,0)*$AC$17</f>
        <v>16463.4666666667</v>
      </c>
      <c r="AH66" s="23">
        <v>48</v>
      </c>
      <c r="AI66" s="23">
        <f ca="1">OFFSET(金币产出!S$6,MATCH($D66,金币产出!$D$7:$D$306,1),0)*$Q$17</f>
        <v>8008</v>
      </c>
      <c r="AJ66" s="23">
        <f ca="1">OFFSET(金币产出!T$6,MATCH($D66,金币产出!$D$7:$D$306,1),0)*$AI$17</f>
        <v>15620</v>
      </c>
      <c r="AK66" s="23">
        <f ca="1">OFFSET(金币产出!U$6,MATCH($D66,金币产出!$D$7:$D$306,1),0)</f>
        <v>0</v>
      </c>
      <c r="AL66" s="23">
        <f>SUMIF(金币产出!$E$7:$E$306,$D66,金币产出!$X$7:$X$306)</f>
        <v>1800</v>
      </c>
      <c r="AM66" s="23">
        <f t="shared" si="8"/>
        <v>1971</v>
      </c>
      <c r="AN66" s="23">
        <f t="shared" si="9"/>
        <v>12100</v>
      </c>
      <c r="AO66" s="25">
        <f ca="1">VLOOKUP(AH66,金币产出!$Y$6:$AI$67,10,0)*($AI$17-$AL$17*2)+VLOOKUP(AH66,金币产出!$Y$6:$AI$67,11,0)*$AL$17</f>
        <v>17613.4666666667</v>
      </c>
      <c r="AP66" s="23">
        <f ca="1" t="shared" si="10"/>
        <v>0.308399683898554</v>
      </c>
    </row>
    <row r="67" spans="4:42">
      <c r="D67" s="23">
        <v>49</v>
      </c>
      <c r="E67" s="23">
        <f ca="1">OFFSET(金币产出!S$6,MATCH($D67,金币产出!$D$7:$D$306,1),0)*$F$17</f>
        <v>6188</v>
      </c>
      <c r="F67" s="23">
        <f ca="1">OFFSET(金币产出!T$6,MATCH($D67,金币产出!$D$7:$D$306,1),0)*$E$17</f>
        <v>8840</v>
      </c>
      <c r="G67" s="23">
        <f ca="1">OFFSET(金币产出!U$6,MATCH($D67,金币产出!$D$7:$D$306,1),0)</f>
        <v>0</v>
      </c>
      <c r="H67" s="23">
        <f>SUMIF(金币产出!$D$7:$D$306,$D67,金币产出!$X$7:$X$306)</f>
        <v>1800</v>
      </c>
      <c r="I67" s="23">
        <f t="shared" si="0"/>
        <v>1971</v>
      </c>
      <c r="J67" s="23">
        <f t="shared" si="1"/>
        <v>4400</v>
      </c>
      <c r="K67" s="25">
        <f ca="1">VLOOKUP(D67,金币产出!$Y$6:$AG$67,8,0)*($E$17-$H$17*2)+VLOOKUP(D67,金币产出!$Y$6:$AG$67,9,0)</f>
        <v>9064.656</v>
      </c>
      <c r="L67" s="27">
        <f ca="1" t="shared" si="2"/>
        <v>0.280955636273831</v>
      </c>
      <c r="M67" s="27"/>
      <c r="O67" s="23">
        <v>49</v>
      </c>
      <c r="P67" s="23">
        <f ca="1">OFFSET(金币产出!S$6,MATCH($D67,金币产出!$D$7:$D$306,1),0)*$Q$17</f>
        <v>8044.4</v>
      </c>
      <c r="Q67" s="23">
        <f ca="1">OFFSET(金币产出!T$6,MATCH($D67,金币产出!$D$7:$D$306,1),0)*$P$17</f>
        <v>10166</v>
      </c>
      <c r="R67" s="23">
        <f ca="1">OFFSET(金币产出!U$6,MATCH($D67,金币产出!$D$7:$D$306,1),0)</f>
        <v>0</v>
      </c>
      <c r="S67" s="23">
        <f>SUMIF(金币产出!$D$7:$D$306,$D67,金币产出!$X$7:$X$306)</f>
        <v>1800</v>
      </c>
      <c r="T67" s="23">
        <f t="shared" si="3"/>
        <v>1971</v>
      </c>
      <c r="U67" s="23">
        <f t="shared" si="4"/>
        <v>5720</v>
      </c>
      <c r="V67" s="25">
        <f ca="1">VLOOKUP(O67,金币产出!$Y$6:$AG$67,8,0)*($P$17-$S$17*2)+VLOOKUP(O67,金币产出!$Y$6:$AG$67,9,0)*$S$17</f>
        <v>14252.16</v>
      </c>
      <c r="W67" s="25">
        <f t="shared" si="5"/>
        <v>10000</v>
      </c>
      <c r="Y67" s="23">
        <v>49</v>
      </c>
      <c r="Z67" s="23">
        <f ca="1">OFFSET(金币产出!S$6,MATCH($D67,金币产出!$D$7:$D$306,1),0)*$Q$17</f>
        <v>8044.4</v>
      </c>
      <c r="AA67" s="23">
        <f ca="1">OFFSET(金币产出!T$6,MATCH($D67,金币产出!$D$7:$D$306,1),0)*$Z$17</f>
        <v>10166</v>
      </c>
      <c r="AB67" s="23">
        <f ca="1">OFFSET(金币产出!U$6,MATCH($D67,金币产出!$D$7:$D$306,1),0)</f>
        <v>0</v>
      </c>
      <c r="AC67" s="23">
        <f>SUMIF(金币产出!$E$7:$E$306,$D67,金币产出!$X$7:$X$306)</f>
        <v>1800</v>
      </c>
      <c r="AD67" s="23">
        <f t="shared" si="6"/>
        <v>1971</v>
      </c>
      <c r="AE67" s="23">
        <f t="shared" si="7"/>
        <v>9152</v>
      </c>
      <c r="AF67" s="25">
        <f ca="1">VLOOKUP(Y67,金币产出!$Y$6:$AI$67,10,0)*($Z$17-$AC$17*2)+VLOOKUP(Y67,金币产出!$Y$6:$AI$67,11,0)*$AC$17</f>
        <v>16463.4666666667</v>
      </c>
      <c r="AH67" s="23">
        <v>49</v>
      </c>
      <c r="AI67" s="23">
        <f ca="1">OFFSET(金币产出!S$6,MATCH($D67,金币产出!$D$7:$D$306,1),0)*$Q$17</f>
        <v>8044.4</v>
      </c>
      <c r="AJ67" s="23">
        <f ca="1">OFFSET(金币产出!T$6,MATCH($D67,金币产出!$D$7:$D$306,1),0)*$AI$17</f>
        <v>15691</v>
      </c>
      <c r="AK67" s="23">
        <f ca="1">OFFSET(金币产出!U$6,MATCH($D67,金币产出!$D$7:$D$306,1),0)</f>
        <v>0</v>
      </c>
      <c r="AL67" s="23">
        <f>SUMIF(金币产出!$E$7:$E$306,$D67,金币产出!$X$7:$X$306)</f>
        <v>1800</v>
      </c>
      <c r="AM67" s="23">
        <f t="shared" si="8"/>
        <v>1971</v>
      </c>
      <c r="AN67" s="23">
        <f t="shared" si="9"/>
        <v>12100</v>
      </c>
      <c r="AO67" s="25">
        <f ca="1">VLOOKUP(AH67,金币产出!$Y$6:$AI$67,10,0)*($AI$17-$AL$17*2)+VLOOKUP(AH67,金币产出!$Y$6:$AI$67,11,0)*$AL$17</f>
        <v>17613.4666666667</v>
      </c>
      <c r="AP67" s="23">
        <f ca="1" t="shared" si="10"/>
        <v>0.307820826799084</v>
      </c>
    </row>
    <row r="68" spans="4:42">
      <c r="D68" s="23">
        <v>50</v>
      </c>
      <c r="E68" s="23">
        <f ca="1">OFFSET(金币产出!S$6,MATCH($D68,金币产出!$D$7:$D$306,1),0)*$F$17</f>
        <v>6188</v>
      </c>
      <c r="F68" s="23">
        <f ca="1">OFFSET(金币产出!T$6,MATCH($D68,金币产出!$D$7:$D$306,1),0)*$E$17</f>
        <v>8840</v>
      </c>
      <c r="G68" s="23">
        <f ca="1">OFFSET(金币产出!U$6,MATCH($D68,金币产出!$D$7:$D$306,1),0)</f>
        <v>0</v>
      </c>
      <c r="H68" s="23">
        <f>SUMIF(金币产出!$D$7:$D$306,$D68,金币产出!$X$7:$X$306)</f>
        <v>0</v>
      </c>
      <c r="I68" s="23">
        <f t="shared" si="0"/>
        <v>1971</v>
      </c>
      <c r="J68" s="23">
        <f t="shared" si="1"/>
        <v>4400</v>
      </c>
      <c r="K68" s="25">
        <f ca="1">VLOOKUP(D68,金币产出!$Y$6:$AG$67,8,0)*($E$17-$H$17*2)+VLOOKUP(D68,金币产出!$Y$6:$AG$67,9,0)</f>
        <v>9064.656</v>
      </c>
      <c r="L68" s="27">
        <f ca="1" t="shared" si="2"/>
        <v>0.297556406230428</v>
      </c>
      <c r="M68" s="27"/>
      <c r="O68" s="23">
        <v>50</v>
      </c>
      <c r="P68" s="23">
        <f ca="1">OFFSET(金币产出!S$6,MATCH($D68,金币产出!$D$7:$D$306,1),0)*$Q$17</f>
        <v>8044.4</v>
      </c>
      <c r="Q68" s="23">
        <f ca="1">OFFSET(金币产出!T$6,MATCH($D68,金币产出!$D$7:$D$306,1),0)*$P$17</f>
        <v>10166</v>
      </c>
      <c r="R68" s="23">
        <f ca="1">OFFSET(金币产出!U$6,MATCH($D68,金币产出!$D$7:$D$306,1),0)</f>
        <v>0</v>
      </c>
      <c r="S68" s="23">
        <f>SUMIF(金币产出!$D$7:$D$306,$D68,金币产出!$X$7:$X$306)</f>
        <v>0</v>
      </c>
      <c r="T68" s="23">
        <f t="shared" si="3"/>
        <v>1971</v>
      </c>
      <c r="U68" s="23">
        <f t="shared" si="4"/>
        <v>5720</v>
      </c>
      <c r="V68" s="25">
        <f ca="1">VLOOKUP(O68,金币产出!$Y$6:$AG$67,8,0)*($P$17-$S$17*2)+VLOOKUP(O68,金币产出!$Y$6:$AG$67,9,0)*$S$17</f>
        <v>14252.16</v>
      </c>
      <c r="W68" s="25">
        <f t="shared" si="5"/>
        <v>10000</v>
      </c>
      <c r="Y68" s="23">
        <v>50</v>
      </c>
      <c r="Z68" s="23">
        <f ca="1">OFFSET(金币产出!S$6,MATCH($D68,金币产出!$D$7:$D$306,1),0)*$Q$17</f>
        <v>8044.4</v>
      </c>
      <c r="AA68" s="23">
        <f ca="1">OFFSET(金币产出!T$6,MATCH($D68,金币产出!$D$7:$D$306,1),0)*$Z$17</f>
        <v>10166</v>
      </c>
      <c r="AB68" s="23">
        <f ca="1">OFFSET(金币产出!U$6,MATCH($D68,金币产出!$D$7:$D$306,1),0)</f>
        <v>0</v>
      </c>
      <c r="AC68" s="23">
        <f>SUMIF(金币产出!$E$7:$E$306,$D68,金币产出!$X$7:$X$306)</f>
        <v>1800</v>
      </c>
      <c r="AD68" s="23">
        <f t="shared" si="6"/>
        <v>1971</v>
      </c>
      <c r="AE68" s="23">
        <f t="shared" si="7"/>
        <v>9152</v>
      </c>
      <c r="AF68" s="25">
        <f ca="1">VLOOKUP(Y68,金币产出!$Y$6:$AI$67,10,0)*($Z$17-$AC$17*2)+VLOOKUP(Y68,金币产出!$Y$6:$AI$67,11,0)*$AC$17</f>
        <v>16463.4666666667</v>
      </c>
      <c r="AH68" s="23">
        <v>50</v>
      </c>
      <c r="AI68" s="23">
        <f ca="1">OFFSET(金币产出!S$6,MATCH($D68,金币产出!$D$7:$D$306,1),0)*$Q$17</f>
        <v>8044.4</v>
      </c>
      <c r="AJ68" s="23">
        <f ca="1">OFFSET(金币产出!T$6,MATCH($D68,金币产出!$D$7:$D$306,1),0)*$AI$17</f>
        <v>15691</v>
      </c>
      <c r="AK68" s="23">
        <f ca="1">OFFSET(金币产出!U$6,MATCH($D68,金币产出!$D$7:$D$306,1),0)</f>
        <v>0</v>
      </c>
      <c r="AL68" s="23">
        <f>SUMIF(金币产出!$E$7:$E$306,$D68,金币产出!$X$7:$X$306)</f>
        <v>1800</v>
      </c>
      <c r="AM68" s="23">
        <f t="shared" si="8"/>
        <v>1971</v>
      </c>
      <c r="AN68" s="23">
        <f t="shared" si="9"/>
        <v>12100</v>
      </c>
      <c r="AO68" s="25">
        <f ca="1">VLOOKUP(AH68,金币产出!$Y$6:$AI$67,10,0)*($AI$17-$AL$17*2)+VLOOKUP(AH68,金币产出!$Y$6:$AI$67,11,0)*$AL$17</f>
        <v>17613.4666666667</v>
      </c>
      <c r="AP68" s="23">
        <f ca="1" t="shared" si="10"/>
        <v>0.307820826799084</v>
      </c>
    </row>
    <row r="69" spans="4:42">
      <c r="D69" s="23">
        <v>51</v>
      </c>
      <c r="E69" s="23">
        <f ca="1">OFFSET(金币产出!S$6,MATCH($D69,金币产出!$D$7:$D$306,1),0)*$F$17</f>
        <v>6216</v>
      </c>
      <c r="F69" s="23">
        <f ca="1">OFFSET(金币产出!T$6,MATCH($D69,金币产出!$D$7:$D$306,1),0)*$E$17</f>
        <v>8880</v>
      </c>
      <c r="G69" s="23">
        <f ca="1">OFFSET(金币产出!U$6,MATCH($D69,金币产出!$D$7:$D$306,1),0)</f>
        <v>0</v>
      </c>
      <c r="H69" s="23">
        <f>SUMIF(金币产出!$D$7:$D$306,$D69,金币产出!$X$7:$X$306)</f>
        <v>1800</v>
      </c>
      <c r="I69" s="23">
        <f t="shared" si="0"/>
        <v>1971</v>
      </c>
      <c r="J69" s="23">
        <f t="shared" si="1"/>
        <v>4400</v>
      </c>
      <c r="K69" s="25">
        <f ca="1">VLOOKUP(D69,金币产出!$Y$6:$AG$67,8,0)*($E$17-$H$17*2)+VLOOKUP(D69,金币产出!$Y$6:$AG$67,9,0)</f>
        <v>9064.656</v>
      </c>
      <c r="L69" s="27">
        <f ca="1" t="shared" si="2"/>
        <v>0.280364729848666</v>
      </c>
      <c r="M69" s="27"/>
      <c r="O69" s="23">
        <v>51</v>
      </c>
      <c r="P69" s="23">
        <f ca="1">OFFSET(金币产出!S$6,MATCH($D69,金币产出!$D$7:$D$306,1),0)*$Q$17</f>
        <v>8080.8</v>
      </c>
      <c r="Q69" s="23">
        <f ca="1">OFFSET(金币产出!T$6,MATCH($D69,金币产出!$D$7:$D$306,1),0)*$P$17</f>
        <v>10212</v>
      </c>
      <c r="R69" s="23">
        <f ca="1">OFFSET(金币产出!U$6,MATCH($D69,金币产出!$D$7:$D$306,1),0)</f>
        <v>0</v>
      </c>
      <c r="S69" s="23">
        <f>SUMIF(金币产出!$D$7:$D$306,$D69,金币产出!$X$7:$X$306)</f>
        <v>1800</v>
      </c>
      <c r="T69" s="23">
        <f t="shared" si="3"/>
        <v>1971</v>
      </c>
      <c r="U69" s="23">
        <f t="shared" si="4"/>
        <v>5720</v>
      </c>
      <c r="V69" s="25">
        <f ca="1">VLOOKUP(O69,金币产出!$Y$6:$AG$67,8,0)*($P$17-$S$17*2)+VLOOKUP(O69,金币产出!$Y$6:$AG$67,9,0)*$S$17</f>
        <v>14252.16</v>
      </c>
      <c r="W69" s="25">
        <f t="shared" si="5"/>
        <v>10000</v>
      </c>
      <c r="Y69" s="23">
        <v>51</v>
      </c>
      <c r="Z69" s="23">
        <f ca="1">OFFSET(金币产出!S$6,MATCH($D69,金币产出!$D$7:$D$306,1),0)*$Q$17</f>
        <v>8080.8</v>
      </c>
      <c r="AA69" s="23">
        <f ca="1">OFFSET(金币产出!T$6,MATCH($D69,金币产出!$D$7:$D$306,1),0)*$Z$17</f>
        <v>10212</v>
      </c>
      <c r="AB69" s="23">
        <f ca="1">OFFSET(金币产出!U$6,MATCH($D69,金币产出!$D$7:$D$306,1),0)</f>
        <v>0</v>
      </c>
      <c r="AC69" s="23">
        <f>SUMIF(金币产出!$E$7:$E$306,$D69,金币产出!$X$7:$X$306)</f>
        <v>1800</v>
      </c>
      <c r="AD69" s="23">
        <f t="shared" si="6"/>
        <v>1971</v>
      </c>
      <c r="AE69" s="23">
        <f t="shared" si="7"/>
        <v>9152</v>
      </c>
      <c r="AF69" s="25">
        <f ca="1">VLOOKUP(Y69,金币产出!$Y$6:$AI$67,10,0)*($Z$17-$AC$17*2)+VLOOKUP(Y69,金币产出!$Y$6:$AI$67,11,0)*$AC$17</f>
        <v>16463.4666666667</v>
      </c>
      <c r="AH69" s="23">
        <v>51</v>
      </c>
      <c r="AI69" s="23">
        <f ca="1">OFFSET(金币产出!S$6,MATCH($D69,金币产出!$D$7:$D$306,1),0)*$Q$17</f>
        <v>8080.8</v>
      </c>
      <c r="AJ69" s="23">
        <f ca="1">OFFSET(金币产出!T$6,MATCH($D69,金币产出!$D$7:$D$306,1),0)*$AI$17</f>
        <v>15762</v>
      </c>
      <c r="AK69" s="23">
        <f ca="1">OFFSET(金币产出!U$6,MATCH($D69,金币产出!$D$7:$D$306,1),0)</f>
        <v>0</v>
      </c>
      <c r="AL69" s="23">
        <f>SUMIF(金币产出!$E$7:$E$306,$D69,金币产出!$X$7:$X$306)</f>
        <v>1800</v>
      </c>
      <c r="AM69" s="23">
        <f t="shared" si="8"/>
        <v>1971</v>
      </c>
      <c r="AN69" s="23">
        <f t="shared" si="9"/>
        <v>12100</v>
      </c>
      <c r="AO69" s="25">
        <f ca="1">VLOOKUP(AH69,金币产出!$Y$6:$AI$67,10,0)*($AI$17-$AL$17*2)+VLOOKUP(AH69,金币产出!$Y$6:$AI$67,11,0)*$AL$17</f>
        <v>17613.4666666667</v>
      </c>
      <c r="AP69" s="23">
        <f ca="1" t="shared" si="10"/>
        <v>0.307244138623971</v>
      </c>
    </row>
    <row r="70" spans="4:42">
      <c r="D70" s="23">
        <v>52</v>
      </c>
      <c r="E70" s="23">
        <f ca="1">OFFSET(金币产出!S$6,MATCH($D70,金币产出!$D$7:$D$306,1),0)*$F$17</f>
        <v>6216</v>
      </c>
      <c r="F70" s="23">
        <f ca="1">OFFSET(金币产出!T$6,MATCH($D70,金币产出!$D$7:$D$306,1),0)*$E$17</f>
        <v>8880</v>
      </c>
      <c r="G70" s="23">
        <f ca="1">OFFSET(金币产出!U$6,MATCH($D70,金币产出!$D$7:$D$306,1),0)</f>
        <v>0</v>
      </c>
      <c r="H70" s="23">
        <f>SUMIF(金币产出!$D$7:$D$306,$D70,金币产出!$X$7:$X$306)</f>
        <v>0</v>
      </c>
      <c r="I70" s="23">
        <f t="shared" si="0"/>
        <v>1971</v>
      </c>
      <c r="J70" s="23">
        <f t="shared" si="1"/>
        <v>4400</v>
      </c>
      <c r="K70" s="25">
        <f ca="1">VLOOKUP(D70,金币产出!$Y$6:$AG$67,8,0)*($E$17-$H$17*2)+VLOOKUP(D70,金币产出!$Y$6:$AG$67,9,0)</f>
        <v>9064.656</v>
      </c>
      <c r="L70" s="27">
        <f ca="1" t="shared" si="2"/>
        <v>0.296893689618408</v>
      </c>
      <c r="M70" s="27"/>
      <c r="O70" s="23">
        <v>52</v>
      </c>
      <c r="P70" s="23">
        <f ca="1">OFFSET(金币产出!S$6,MATCH($D70,金币产出!$D$7:$D$306,1),0)*$Q$17</f>
        <v>8080.8</v>
      </c>
      <c r="Q70" s="23">
        <f ca="1">OFFSET(金币产出!T$6,MATCH($D70,金币产出!$D$7:$D$306,1),0)*$P$17</f>
        <v>10212</v>
      </c>
      <c r="R70" s="23">
        <f ca="1">OFFSET(金币产出!U$6,MATCH($D70,金币产出!$D$7:$D$306,1),0)</f>
        <v>0</v>
      </c>
      <c r="S70" s="23">
        <f>SUMIF(金币产出!$D$7:$D$306,$D70,金币产出!$X$7:$X$306)</f>
        <v>0</v>
      </c>
      <c r="T70" s="23">
        <f t="shared" si="3"/>
        <v>1971</v>
      </c>
      <c r="U70" s="23">
        <f t="shared" si="4"/>
        <v>5720</v>
      </c>
      <c r="V70" s="25">
        <f ca="1">VLOOKUP(O70,金币产出!$Y$6:$AG$67,8,0)*($P$17-$S$17*2)+VLOOKUP(O70,金币产出!$Y$6:$AG$67,9,0)*$S$17</f>
        <v>14252.16</v>
      </c>
      <c r="W70" s="25">
        <f t="shared" si="5"/>
        <v>10000</v>
      </c>
      <c r="Y70" s="23">
        <v>52</v>
      </c>
      <c r="Z70" s="23">
        <f ca="1">OFFSET(金币产出!S$6,MATCH($D70,金币产出!$D$7:$D$306,1),0)*$Q$17</f>
        <v>8080.8</v>
      </c>
      <c r="AA70" s="23">
        <f ca="1">OFFSET(金币产出!T$6,MATCH($D70,金币产出!$D$7:$D$306,1),0)*$Z$17</f>
        <v>10212</v>
      </c>
      <c r="AB70" s="23">
        <f ca="1">OFFSET(金币产出!U$6,MATCH($D70,金币产出!$D$7:$D$306,1),0)</f>
        <v>0</v>
      </c>
      <c r="AC70" s="23">
        <f>SUMIF(金币产出!$E$7:$E$306,$D70,金币产出!$X$7:$X$306)</f>
        <v>1800</v>
      </c>
      <c r="AD70" s="23">
        <f t="shared" si="6"/>
        <v>1971</v>
      </c>
      <c r="AE70" s="23">
        <f t="shared" si="7"/>
        <v>9152</v>
      </c>
      <c r="AF70" s="25">
        <f ca="1">VLOOKUP(Y70,金币产出!$Y$6:$AI$67,10,0)*($Z$17-$AC$17*2)+VLOOKUP(Y70,金币产出!$Y$6:$AI$67,11,0)*$AC$17</f>
        <v>16463.4666666667</v>
      </c>
      <c r="AH70" s="23">
        <v>52</v>
      </c>
      <c r="AI70" s="23">
        <f ca="1">OFFSET(金币产出!S$6,MATCH($D70,金币产出!$D$7:$D$306,1),0)*$Q$17</f>
        <v>8080.8</v>
      </c>
      <c r="AJ70" s="23">
        <f ca="1">OFFSET(金币产出!T$6,MATCH($D70,金币产出!$D$7:$D$306,1),0)*$AI$17</f>
        <v>15762</v>
      </c>
      <c r="AK70" s="23">
        <f ca="1">OFFSET(金币产出!U$6,MATCH($D70,金币产出!$D$7:$D$306,1),0)</f>
        <v>0</v>
      </c>
      <c r="AL70" s="23">
        <f>SUMIF(金币产出!$E$7:$E$306,$D70,金币产出!$X$7:$X$306)</f>
        <v>1800</v>
      </c>
      <c r="AM70" s="23">
        <f t="shared" si="8"/>
        <v>1971</v>
      </c>
      <c r="AN70" s="23">
        <f t="shared" si="9"/>
        <v>12100</v>
      </c>
      <c r="AO70" s="25">
        <f ca="1">VLOOKUP(AH70,金币产出!$Y$6:$AI$67,10,0)*($AI$17-$AL$17*2)+VLOOKUP(AH70,金币产出!$Y$6:$AI$67,11,0)*$AL$17</f>
        <v>17613.4666666667</v>
      </c>
      <c r="AP70" s="23">
        <f ca="1" t="shared" si="10"/>
        <v>0.307244138623971</v>
      </c>
    </row>
    <row r="71" spans="4:42">
      <c r="D71" s="23">
        <v>53</v>
      </c>
      <c r="E71" s="23">
        <f ca="1">OFFSET(金币产出!S$6,MATCH($D71,金币产出!$D$7:$D$306,1),0)*$F$17</f>
        <v>6244</v>
      </c>
      <c r="F71" s="23">
        <f ca="1">OFFSET(金币产出!T$6,MATCH($D71,金币产出!$D$7:$D$306,1),0)*$E$17</f>
        <v>8920</v>
      </c>
      <c r="G71" s="23">
        <f ca="1">OFFSET(金币产出!U$6,MATCH($D71,金币产出!$D$7:$D$306,1),0)</f>
        <v>0</v>
      </c>
      <c r="H71" s="23">
        <f>SUMIF(金币产出!$D$7:$D$306,$D71,金币产出!$X$7:$X$306)</f>
        <v>1800</v>
      </c>
      <c r="I71" s="23">
        <f t="shared" si="0"/>
        <v>1971</v>
      </c>
      <c r="J71" s="23">
        <f t="shared" si="1"/>
        <v>4400</v>
      </c>
      <c r="K71" s="25">
        <f ca="1">VLOOKUP(D71,金币产出!$Y$6:$AG$67,8,0)*($E$17-$H$17*2)+VLOOKUP(D71,金币产出!$Y$6:$AG$67,9,0)</f>
        <v>9064.656</v>
      </c>
      <c r="L71" s="27">
        <f ca="1" t="shared" si="2"/>
        <v>0.279776303797793</v>
      </c>
      <c r="M71" s="27"/>
      <c r="O71" s="23">
        <v>53</v>
      </c>
      <c r="P71" s="23">
        <f ca="1">OFFSET(金币产出!S$6,MATCH($D71,金币产出!$D$7:$D$306,1),0)*$Q$17</f>
        <v>8117.2</v>
      </c>
      <c r="Q71" s="23">
        <f ca="1">OFFSET(金币产出!T$6,MATCH($D71,金币产出!$D$7:$D$306,1),0)*$P$17</f>
        <v>10258</v>
      </c>
      <c r="R71" s="23">
        <f ca="1">OFFSET(金币产出!U$6,MATCH($D71,金币产出!$D$7:$D$306,1),0)</f>
        <v>0</v>
      </c>
      <c r="S71" s="23">
        <f>SUMIF(金币产出!$D$7:$D$306,$D71,金币产出!$X$7:$X$306)</f>
        <v>1800</v>
      </c>
      <c r="T71" s="23">
        <f t="shared" si="3"/>
        <v>1971</v>
      </c>
      <c r="U71" s="23">
        <f t="shared" si="4"/>
        <v>5720</v>
      </c>
      <c r="V71" s="25">
        <f ca="1">VLOOKUP(O71,金币产出!$Y$6:$AG$67,8,0)*($P$17-$S$17*2)+VLOOKUP(O71,金币产出!$Y$6:$AG$67,9,0)*$S$17</f>
        <v>14252.16</v>
      </c>
      <c r="W71" s="25">
        <f t="shared" si="5"/>
        <v>10000</v>
      </c>
      <c r="Y71" s="23">
        <v>53</v>
      </c>
      <c r="Z71" s="23">
        <f ca="1">OFFSET(金币产出!S$6,MATCH($D71,金币产出!$D$7:$D$306,1),0)*$Q$17</f>
        <v>8117.2</v>
      </c>
      <c r="AA71" s="23">
        <f ca="1">OFFSET(金币产出!T$6,MATCH($D71,金币产出!$D$7:$D$306,1),0)*$Z$17</f>
        <v>10258</v>
      </c>
      <c r="AB71" s="23">
        <f ca="1">OFFSET(金币产出!U$6,MATCH($D71,金币产出!$D$7:$D$306,1),0)</f>
        <v>0</v>
      </c>
      <c r="AC71" s="23">
        <f>SUMIF(金币产出!$E$7:$E$306,$D71,金币产出!$X$7:$X$306)</f>
        <v>1800</v>
      </c>
      <c r="AD71" s="23">
        <f t="shared" si="6"/>
        <v>1971</v>
      </c>
      <c r="AE71" s="23">
        <f t="shared" si="7"/>
        <v>9152</v>
      </c>
      <c r="AF71" s="25">
        <f ca="1">VLOOKUP(Y71,金币产出!$Y$6:$AI$67,10,0)*($Z$17-$AC$17*2)+VLOOKUP(Y71,金币产出!$Y$6:$AI$67,11,0)*$AC$17</f>
        <v>16463.4666666667</v>
      </c>
      <c r="AH71" s="23">
        <v>53</v>
      </c>
      <c r="AI71" s="23">
        <f ca="1">OFFSET(金币产出!S$6,MATCH($D71,金币产出!$D$7:$D$306,1),0)*$Q$17</f>
        <v>8117.2</v>
      </c>
      <c r="AJ71" s="23">
        <f ca="1">OFFSET(金币产出!T$6,MATCH($D71,金币产出!$D$7:$D$306,1),0)*$AI$17</f>
        <v>15833</v>
      </c>
      <c r="AK71" s="23">
        <f ca="1">OFFSET(金币产出!U$6,MATCH($D71,金币产出!$D$7:$D$306,1),0)</f>
        <v>0</v>
      </c>
      <c r="AL71" s="23">
        <f>SUMIF(金币产出!$E$7:$E$306,$D71,金币产出!$X$7:$X$306)</f>
        <v>1800</v>
      </c>
      <c r="AM71" s="23">
        <f t="shared" si="8"/>
        <v>1971</v>
      </c>
      <c r="AN71" s="23">
        <f t="shared" si="9"/>
        <v>12100</v>
      </c>
      <c r="AO71" s="25">
        <f ca="1">VLOOKUP(AH71,金币产出!$Y$6:$AI$67,10,0)*($AI$17-$AL$17*2)+VLOOKUP(AH71,金币产出!$Y$6:$AI$67,11,0)*$AL$17</f>
        <v>17613.4666666667</v>
      </c>
      <c r="AP71" s="23">
        <f ca="1" t="shared" si="10"/>
        <v>0.306669607205869</v>
      </c>
    </row>
    <row r="72" spans="4:42">
      <c r="D72" s="23">
        <v>54</v>
      </c>
      <c r="E72" s="23">
        <f ca="1">OFFSET(金币产出!S$6,MATCH($D72,金币产出!$D$7:$D$306,1),0)*$F$17</f>
        <v>6244</v>
      </c>
      <c r="F72" s="23">
        <f ca="1">OFFSET(金币产出!T$6,MATCH($D72,金币产出!$D$7:$D$306,1),0)*$E$17</f>
        <v>8920</v>
      </c>
      <c r="G72" s="23">
        <f ca="1">OFFSET(金币产出!U$6,MATCH($D72,金币产出!$D$7:$D$306,1),0)</f>
        <v>0</v>
      </c>
      <c r="H72" s="23">
        <f>SUMIF(金币产出!$D$7:$D$306,$D72,金币产出!$X$7:$X$306)</f>
        <v>0</v>
      </c>
      <c r="I72" s="23">
        <f t="shared" si="0"/>
        <v>1971</v>
      </c>
      <c r="J72" s="23">
        <f t="shared" si="1"/>
        <v>4400</v>
      </c>
      <c r="K72" s="25">
        <f ca="1">VLOOKUP(D72,金币产出!$Y$6:$AG$67,8,0)*($E$17-$H$17*2)+VLOOKUP(D72,金币产出!$Y$6:$AG$67,9,0)</f>
        <v>9064.656</v>
      </c>
      <c r="L72" s="27">
        <f ca="1" t="shared" si="2"/>
        <v>0.296233918446665</v>
      </c>
      <c r="M72" s="27"/>
      <c r="O72" s="23">
        <v>54</v>
      </c>
      <c r="P72" s="23">
        <f ca="1">OFFSET(金币产出!S$6,MATCH($D72,金币产出!$D$7:$D$306,1),0)*$Q$17</f>
        <v>8117.2</v>
      </c>
      <c r="Q72" s="23">
        <f ca="1">OFFSET(金币产出!T$6,MATCH($D72,金币产出!$D$7:$D$306,1),0)*$P$17</f>
        <v>10258</v>
      </c>
      <c r="R72" s="23">
        <f ca="1">OFFSET(金币产出!U$6,MATCH($D72,金币产出!$D$7:$D$306,1),0)</f>
        <v>0</v>
      </c>
      <c r="S72" s="23">
        <f>SUMIF(金币产出!$D$7:$D$306,$D72,金币产出!$X$7:$X$306)</f>
        <v>0</v>
      </c>
      <c r="T72" s="23">
        <f t="shared" si="3"/>
        <v>1971</v>
      </c>
      <c r="U72" s="23">
        <f t="shared" si="4"/>
        <v>5720</v>
      </c>
      <c r="V72" s="25">
        <f ca="1">VLOOKUP(O72,金币产出!$Y$6:$AG$67,8,0)*($P$17-$S$17*2)+VLOOKUP(O72,金币产出!$Y$6:$AG$67,9,0)*$S$17</f>
        <v>14252.16</v>
      </c>
      <c r="W72" s="25">
        <f t="shared" si="5"/>
        <v>10000</v>
      </c>
      <c r="Y72" s="23">
        <v>54</v>
      </c>
      <c r="Z72" s="23">
        <f ca="1">OFFSET(金币产出!S$6,MATCH($D72,金币产出!$D$7:$D$306,1),0)*$Q$17</f>
        <v>8117.2</v>
      </c>
      <c r="AA72" s="23">
        <f ca="1">OFFSET(金币产出!T$6,MATCH($D72,金币产出!$D$7:$D$306,1),0)*$Z$17</f>
        <v>10258</v>
      </c>
      <c r="AB72" s="23">
        <f ca="1">OFFSET(金币产出!U$6,MATCH($D72,金币产出!$D$7:$D$306,1),0)</f>
        <v>0</v>
      </c>
      <c r="AC72" s="23">
        <f>SUMIF(金币产出!$E$7:$E$306,$D72,金币产出!$X$7:$X$306)</f>
        <v>1800</v>
      </c>
      <c r="AD72" s="23">
        <f t="shared" si="6"/>
        <v>1971</v>
      </c>
      <c r="AE72" s="23">
        <f t="shared" si="7"/>
        <v>9152</v>
      </c>
      <c r="AF72" s="25">
        <f ca="1">VLOOKUP(Y72,金币产出!$Y$6:$AI$67,10,0)*($Z$17-$AC$17*2)+VLOOKUP(Y72,金币产出!$Y$6:$AI$67,11,0)*$AC$17</f>
        <v>16463.4666666667</v>
      </c>
      <c r="AH72" s="23">
        <v>54</v>
      </c>
      <c r="AI72" s="23">
        <f ca="1">OFFSET(金币产出!S$6,MATCH($D72,金币产出!$D$7:$D$306,1),0)*$Q$17</f>
        <v>8117.2</v>
      </c>
      <c r="AJ72" s="23">
        <f ca="1">OFFSET(金币产出!T$6,MATCH($D72,金币产出!$D$7:$D$306,1),0)*$AI$17</f>
        <v>15833</v>
      </c>
      <c r="AK72" s="23">
        <f ca="1">OFFSET(金币产出!U$6,MATCH($D72,金币产出!$D$7:$D$306,1),0)</f>
        <v>0</v>
      </c>
      <c r="AL72" s="23">
        <f>SUMIF(金币产出!$E$7:$E$306,$D72,金币产出!$X$7:$X$306)</f>
        <v>1800</v>
      </c>
      <c r="AM72" s="23">
        <f t="shared" si="8"/>
        <v>1971</v>
      </c>
      <c r="AN72" s="23">
        <f t="shared" si="9"/>
        <v>12100</v>
      </c>
      <c r="AO72" s="25">
        <f ca="1">VLOOKUP(AH72,金币产出!$Y$6:$AI$67,10,0)*($AI$17-$AL$17*2)+VLOOKUP(AH72,金币产出!$Y$6:$AI$67,11,0)*$AL$17</f>
        <v>17613.4666666667</v>
      </c>
      <c r="AP72" s="23">
        <f ca="1" t="shared" si="10"/>
        <v>0.306669607205869</v>
      </c>
    </row>
    <row r="73" spans="4:42">
      <c r="D73" s="23">
        <v>55</v>
      </c>
      <c r="E73" s="23">
        <f ca="1">OFFSET(金币产出!S$6,MATCH($D73,金币产出!$D$7:$D$306,1),0)*$F$17</f>
        <v>6272</v>
      </c>
      <c r="F73" s="23">
        <f ca="1">OFFSET(金币产出!T$6,MATCH($D73,金币产出!$D$7:$D$306,1),0)*$E$17</f>
        <v>8960</v>
      </c>
      <c r="G73" s="23">
        <f ca="1">OFFSET(金币产出!U$6,MATCH($D73,金币产出!$D$7:$D$306,1),0)</f>
        <v>0</v>
      </c>
      <c r="H73" s="23">
        <f>SUMIF(金币产出!$D$7:$D$306,$D73,金币产出!$X$7:$X$306)</f>
        <v>1800</v>
      </c>
      <c r="I73" s="23">
        <f t="shared" si="0"/>
        <v>1971</v>
      </c>
      <c r="J73" s="23">
        <f t="shared" si="1"/>
        <v>4400</v>
      </c>
      <c r="K73" s="25">
        <f ca="1">VLOOKUP(D73,金币产出!$Y$6:$AG$67,8,0)*($E$17-$H$17*2)+VLOOKUP(D73,金币产出!$Y$6:$AG$67,9,0)</f>
        <v>9064.656</v>
      </c>
      <c r="L73" s="27">
        <f ca="1" t="shared" si="2"/>
        <v>0.279190342536585</v>
      </c>
      <c r="M73" s="27"/>
      <c r="O73" s="23">
        <v>55</v>
      </c>
      <c r="P73" s="23">
        <f ca="1">OFFSET(金币产出!S$6,MATCH($D73,金币产出!$D$7:$D$306,1),0)*$Q$17</f>
        <v>8153.6</v>
      </c>
      <c r="Q73" s="23">
        <f ca="1">OFFSET(金币产出!T$6,MATCH($D73,金币产出!$D$7:$D$306,1),0)*$P$17</f>
        <v>10304</v>
      </c>
      <c r="R73" s="23">
        <f ca="1">OFFSET(金币产出!U$6,MATCH($D73,金币产出!$D$7:$D$306,1),0)</f>
        <v>0</v>
      </c>
      <c r="S73" s="23">
        <f>SUMIF(金币产出!$D$7:$D$306,$D73,金币产出!$X$7:$X$306)</f>
        <v>1800</v>
      </c>
      <c r="T73" s="23">
        <f t="shared" si="3"/>
        <v>1971</v>
      </c>
      <c r="U73" s="23">
        <f t="shared" si="4"/>
        <v>5720</v>
      </c>
      <c r="V73" s="25">
        <f ca="1">VLOOKUP(O73,金币产出!$Y$6:$AG$67,8,0)*($P$17-$S$17*2)+VLOOKUP(O73,金币产出!$Y$6:$AG$67,9,0)*$S$17</f>
        <v>14252.16</v>
      </c>
      <c r="W73" s="25">
        <f t="shared" si="5"/>
        <v>10000</v>
      </c>
      <c r="Y73" s="23">
        <v>55</v>
      </c>
      <c r="Z73" s="23">
        <f ca="1">OFFSET(金币产出!S$6,MATCH($D73,金币产出!$D$7:$D$306,1),0)*$Q$17</f>
        <v>8153.6</v>
      </c>
      <c r="AA73" s="23">
        <f ca="1">OFFSET(金币产出!T$6,MATCH($D73,金币产出!$D$7:$D$306,1),0)*$Z$17</f>
        <v>10304</v>
      </c>
      <c r="AB73" s="23">
        <f ca="1">OFFSET(金币产出!U$6,MATCH($D73,金币产出!$D$7:$D$306,1),0)</f>
        <v>0</v>
      </c>
      <c r="AC73" s="23">
        <f>SUMIF(金币产出!$E$7:$E$306,$D73,金币产出!$X$7:$X$306)</f>
        <v>1800</v>
      </c>
      <c r="AD73" s="23">
        <f t="shared" si="6"/>
        <v>1971</v>
      </c>
      <c r="AE73" s="23">
        <f t="shared" si="7"/>
        <v>9152</v>
      </c>
      <c r="AF73" s="25">
        <f ca="1">VLOOKUP(Y73,金币产出!$Y$6:$AI$67,10,0)*($Z$17-$AC$17*2)+VLOOKUP(Y73,金币产出!$Y$6:$AI$67,11,0)*$AC$17</f>
        <v>16463.4666666667</v>
      </c>
      <c r="AH73" s="23">
        <v>55</v>
      </c>
      <c r="AI73" s="23">
        <f ca="1">OFFSET(金币产出!S$6,MATCH($D73,金币产出!$D$7:$D$306,1),0)*$Q$17</f>
        <v>8153.6</v>
      </c>
      <c r="AJ73" s="23">
        <f ca="1">OFFSET(金币产出!T$6,MATCH($D73,金币产出!$D$7:$D$306,1),0)*$AI$17</f>
        <v>15904</v>
      </c>
      <c r="AK73" s="23">
        <f ca="1">OFFSET(金币产出!U$6,MATCH($D73,金币产出!$D$7:$D$306,1),0)</f>
        <v>0</v>
      </c>
      <c r="AL73" s="23">
        <f>SUMIF(金币产出!$E$7:$E$306,$D73,金币产出!$X$7:$X$306)</f>
        <v>1800</v>
      </c>
      <c r="AM73" s="23">
        <f t="shared" si="8"/>
        <v>1971</v>
      </c>
      <c r="AN73" s="23">
        <f t="shared" si="9"/>
        <v>12100</v>
      </c>
      <c r="AO73" s="25">
        <f ca="1">VLOOKUP(AH73,金币产出!$Y$6:$AI$67,10,0)*($AI$17-$AL$17*2)+VLOOKUP(AH73,金币产出!$Y$6:$AI$67,11,0)*$AL$17</f>
        <v>17613.4666666667</v>
      </c>
      <c r="AP73" s="23">
        <f ca="1" t="shared" si="10"/>
        <v>0.306097220468272</v>
      </c>
    </row>
    <row r="74" spans="4:42">
      <c r="D74" s="23">
        <v>56</v>
      </c>
      <c r="E74" s="23">
        <f ca="1">OFFSET(金币产出!S$6,MATCH($D74,金币产出!$D$7:$D$306,1),0)*$F$17</f>
        <v>6272</v>
      </c>
      <c r="F74" s="23">
        <f ca="1">OFFSET(金币产出!T$6,MATCH($D74,金币产出!$D$7:$D$306,1),0)*$E$17</f>
        <v>8960</v>
      </c>
      <c r="G74" s="23">
        <f ca="1">OFFSET(金币产出!U$6,MATCH($D74,金币产出!$D$7:$D$306,1),0)</f>
        <v>0</v>
      </c>
      <c r="H74" s="23">
        <f>SUMIF(金币产出!$D$7:$D$306,$D74,金币产出!$X$7:$X$306)</f>
        <v>0</v>
      </c>
      <c r="I74" s="23">
        <f t="shared" si="0"/>
        <v>1971</v>
      </c>
      <c r="J74" s="23">
        <f t="shared" si="1"/>
        <v>4400</v>
      </c>
      <c r="K74" s="25">
        <f ca="1">VLOOKUP(D74,金币产出!$Y$6:$AG$67,8,0)*($E$17-$H$17*2)+VLOOKUP(D74,金币产出!$Y$6:$AG$67,9,0)</f>
        <v>9064.656</v>
      </c>
      <c r="L74" s="27">
        <f ca="1" t="shared" si="2"/>
        <v>0.29557707312225</v>
      </c>
      <c r="M74" s="27"/>
      <c r="O74" s="23">
        <v>56</v>
      </c>
      <c r="P74" s="23">
        <f ca="1">OFFSET(金币产出!S$6,MATCH($D74,金币产出!$D$7:$D$306,1),0)*$Q$17</f>
        <v>8153.6</v>
      </c>
      <c r="Q74" s="23">
        <f ca="1">OFFSET(金币产出!T$6,MATCH($D74,金币产出!$D$7:$D$306,1),0)*$P$17</f>
        <v>10304</v>
      </c>
      <c r="R74" s="23">
        <f ca="1">OFFSET(金币产出!U$6,MATCH($D74,金币产出!$D$7:$D$306,1),0)</f>
        <v>0</v>
      </c>
      <c r="S74" s="23">
        <f>SUMIF(金币产出!$D$7:$D$306,$D74,金币产出!$X$7:$X$306)</f>
        <v>0</v>
      </c>
      <c r="T74" s="23">
        <f t="shared" si="3"/>
        <v>1971</v>
      </c>
      <c r="U74" s="23">
        <f t="shared" si="4"/>
        <v>5720</v>
      </c>
      <c r="V74" s="25">
        <f ca="1">VLOOKUP(O74,金币产出!$Y$6:$AG$67,8,0)*($P$17-$S$17*2)+VLOOKUP(O74,金币产出!$Y$6:$AG$67,9,0)*$S$17</f>
        <v>14252.16</v>
      </c>
      <c r="W74" s="25">
        <f t="shared" si="5"/>
        <v>10000</v>
      </c>
      <c r="Y74" s="23">
        <v>56</v>
      </c>
      <c r="Z74" s="23">
        <f ca="1">OFFSET(金币产出!S$6,MATCH($D74,金币产出!$D$7:$D$306,1),0)*$Q$17</f>
        <v>8153.6</v>
      </c>
      <c r="AA74" s="23">
        <f ca="1">OFFSET(金币产出!T$6,MATCH($D74,金币产出!$D$7:$D$306,1),0)*$Z$17</f>
        <v>10304</v>
      </c>
      <c r="AB74" s="23">
        <f ca="1">OFFSET(金币产出!U$6,MATCH($D74,金币产出!$D$7:$D$306,1),0)</f>
        <v>0</v>
      </c>
      <c r="AC74" s="23">
        <f>SUMIF(金币产出!$E$7:$E$306,$D74,金币产出!$X$7:$X$306)</f>
        <v>1800</v>
      </c>
      <c r="AD74" s="23">
        <f t="shared" si="6"/>
        <v>1971</v>
      </c>
      <c r="AE74" s="23">
        <f t="shared" si="7"/>
        <v>9152</v>
      </c>
      <c r="AF74" s="25">
        <f ca="1">VLOOKUP(Y74,金币产出!$Y$6:$AI$67,10,0)*($Z$17-$AC$17*2)+VLOOKUP(Y74,金币产出!$Y$6:$AI$67,11,0)*$AC$17</f>
        <v>16463.4666666667</v>
      </c>
      <c r="AH74" s="23">
        <v>56</v>
      </c>
      <c r="AI74" s="23">
        <f ca="1">OFFSET(金币产出!S$6,MATCH($D74,金币产出!$D$7:$D$306,1),0)*$Q$17</f>
        <v>8153.6</v>
      </c>
      <c r="AJ74" s="23">
        <f ca="1">OFFSET(金币产出!T$6,MATCH($D74,金币产出!$D$7:$D$306,1),0)*$AI$17</f>
        <v>15904</v>
      </c>
      <c r="AK74" s="23">
        <f ca="1">OFFSET(金币产出!U$6,MATCH($D74,金币产出!$D$7:$D$306,1),0)</f>
        <v>0</v>
      </c>
      <c r="AL74" s="23">
        <f>SUMIF(金币产出!$E$7:$E$306,$D74,金币产出!$X$7:$X$306)</f>
        <v>1800</v>
      </c>
      <c r="AM74" s="23">
        <f t="shared" si="8"/>
        <v>1971</v>
      </c>
      <c r="AN74" s="23">
        <f t="shared" si="9"/>
        <v>12100</v>
      </c>
      <c r="AO74" s="25">
        <f ca="1">VLOOKUP(AH74,金币产出!$Y$6:$AI$67,10,0)*($AI$17-$AL$17*2)+VLOOKUP(AH74,金币产出!$Y$6:$AI$67,11,0)*$AL$17</f>
        <v>17613.4666666667</v>
      </c>
      <c r="AP74" s="23">
        <f ca="1" t="shared" si="10"/>
        <v>0.306097220468272</v>
      </c>
    </row>
    <row r="75" spans="4:42">
      <c r="D75" s="23">
        <v>57</v>
      </c>
      <c r="E75" s="23">
        <f ca="1">OFFSET(金币产出!S$6,MATCH($D75,金币产出!$D$7:$D$306,1),0)*$F$17</f>
        <v>6300</v>
      </c>
      <c r="F75" s="23">
        <f ca="1">OFFSET(金币产出!T$6,MATCH($D75,金币产出!$D$7:$D$306,1),0)*$E$17</f>
        <v>9000</v>
      </c>
      <c r="G75" s="23">
        <f ca="1">OFFSET(金币产出!U$6,MATCH($D75,金币产出!$D$7:$D$306,1),0)</f>
        <v>0</v>
      </c>
      <c r="H75" s="23">
        <f>SUMIF(金币产出!$D$7:$D$306,$D75,金币产出!$X$7:$X$306)</f>
        <v>1800</v>
      </c>
      <c r="I75" s="23">
        <f t="shared" si="0"/>
        <v>1971</v>
      </c>
      <c r="J75" s="23">
        <f t="shared" si="1"/>
        <v>4400</v>
      </c>
      <c r="K75" s="25">
        <f ca="1">VLOOKUP(D75,金币产出!$Y$6:$AG$67,8,0)*($E$17-$H$17*2)+VLOOKUP(D75,金币产出!$Y$6:$AG$67,9,0)</f>
        <v>9239.456</v>
      </c>
      <c r="L75" s="27">
        <f ca="1" t="shared" si="2"/>
        <v>0.282461852564819</v>
      </c>
      <c r="M75" s="27"/>
      <c r="O75" s="23">
        <v>57</v>
      </c>
      <c r="P75" s="23">
        <f ca="1">OFFSET(金币产出!S$6,MATCH($D75,金币产出!$D$7:$D$306,1),0)*$Q$17</f>
        <v>8190</v>
      </c>
      <c r="Q75" s="23">
        <f ca="1">OFFSET(金币产出!T$6,MATCH($D75,金币产出!$D$7:$D$306,1),0)*$P$17</f>
        <v>10350</v>
      </c>
      <c r="R75" s="23">
        <f ca="1">OFFSET(金币产出!U$6,MATCH($D75,金币产出!$D$7:$D$306,1),0)</f>
        <v>0</v>
      </c>
      <c r="S75" s="23">
        <f>SUMIF(金币产出!$D$7:$D$306,$D75,金币产出!$X$7:$X$306)</f>
        <v>1800</v>
      </c>
      <c r="T75" s="23">
        <f t="shared" si="3"/>
        <v>1971</v>
      </c>
      <c r="U75" s="23">
        <f t="shared" si="4"/>
        <v>5720</v>
      </c>
      <c r="V75" s="25">
        <f ca="1">VLOOKUP(O75,金币产出!$Y$6:$AG$67,8,0)*($P$17-$S$17*2)+VLOOKUP(O75,金币产出!$Y$6:$AG$67,9,0)*$S$17</f>
        <v>14448.4266666667</v>
      </c>
      <c r="W75" s="25">
        <f t="shared" si="5"/>
        <v>10000</v>
      </c>
      <c r="Y75" s="23">
        <v>57</v>
      </c>
      <c r="Z75" s="23">
        <f ca="1">OFFSET(金币产出!S$6,MATCH($D75,金币产出!$D$7:$D$306,1),0)*$Q$17</f>
        <v>8190</v>
      </c>
      <c r="AA75" s="23">
        <f ca="1">OFFSET(金币产出!T$6,MATCH($D75,金币产出!$D$7:$D$306,1),0)*$Z$17</f>
        <v>10350</v>
      </c>
      <c r="AB75" s="23">
        <f ca="1">OFFSET(金币产出!U$6,MATCH($D75,金币产出!$D$7:$D$306,1),0)</f>
        <v>0</v>
      </c>
      <c r="AC75" s="23">
        <f>SUMIF(金币产出!$E$7:$E$306,$D75,金币产出!$X$7:$X$306)</f>
        <v>1800</v>
      </c>
      <c r="AD75" s="23">
        <f t="shared" si="6"/>
        <v>1971</v>
      </c>
      <c r="AE75" s="23">
        <f t="shared" si="7"/>
        <v>9152</v>
      </c>
      <c r="AF75" s="25">
        <f ca="1">VLOOKUP(Y75,金币产出!$Y$6:$AI$67,10,0)*($Z$17-$AC$17*2)+VLOOKUP(Y75,金币产出!$Y$6:$AI$67,11,0)*$AC$17</f>
        <v>16856</v>
      </c>
      <c r="AH75" s="23">
        <v>57</v>
      </c>
      <c r="AI75" s="23">
        <f ca="1">OFFSET(金币产出!S$6,MATCH($D75,金币产出!$D$7:$D$306,1),0)*$Q$17</f>
        <v>8190</v>
      </c>
      <c r="AJ75" s="23">
        <f ca="1">OFFSET(金币产出!T$6,MATCH($D75,金币产出!$D$7:$D$306,1),0)*$AI$17</f>
        <v>15975</v>
      </c>
      <c r="AK75" s="23">
        <f ca="1">OFFSET(金币产出!U$6,MATCH($D75,金币产出!$D$7:$D$306,1),0)</f>
        <v>0</v>
      </c>
      <c r="AL75" s="23">
        <f>SUMIF(金币产出!$E$7:$E$306,$D75,金币产出!$X$7:$X$306)</f>
        <v>1800</v>
      </c>
      <c r="AM75" s="23">
        <f t="shared" si="8"/>
        <v>1971</v>
      </c>
      <c r="AN75" s="23">
        <f t="shared" si="9"/>
        <v>12100</v>
      </c>
      <c r="AO75" s="25">
        <f ca="1">VLOOKUP(AH75,金币产出!$Y$6:$AI$67,10,0)*($AI$17-$AL$17*2)+VLOOKUP(AH75,金币产出!$Y$6:$AI$67,11,0)*$AL$17</f>
        <v>18236</v>
      </c>
      <c r="AP75" s="23">
        <f ca="1" t="shared" si="10"/>
        <v>0.312946183415706</v>
      </c>
    </row>
    <row r="76" spans="4:42">
      <c r="D76" s="23">
        <v>58</v>
      </c>
      <c r="E76" s="23">
        <f ca="1">OFFSET(金币产出!S$6,MATCH($D76,金币产出!$D$7:$D$306,1),0)*$F$17</f>
        <v>6300</v>
      </c>
      <c r="F76" s="23">
        <f ca="1">OFFSET(金币产出!T$6,MATCH($D76,金币产出!$D$7:$D$306,1),0)*$E$17</f>
        <v>9000</v>
      </c>
      <c r="G76" s="23">
        <f ca="1">OFFSET(金币产出!U$6,MATCH($D76,金币产出!$D$7:$D$306,1),0)</f>
        <v>0</v>
      </c>
      <c r="H76" s="23">
        <f>SUMIF(金币产出!$D$7:$D$306,$D76,金币产出!$X$7:$X$306)</f>
        <v>0</v>
      </c>
      <c r="I76" s="23">
        <f t="shared" si="0"/>
        <v>1971</v>
      </c>
      <c r="J76" s="23">
        <f t="shared" si="1"/>
        <v>4400</v>
      </c>
      <c r="K76" s="25">
        <f ca="1">VLOOKUP(D76,金币产出!$Y$6:$AG$67,8,0)*($E$17-$H$17*2)+VLOOKUP(D76,金币产出!$Y$6:$AG$67,9,0)</f>
        <v>9239.456</v>
      </c>
      <c r="L76" s="27">
        <f ca="1" t="shared" si="2"/>
        <v>0.298910375181783</v>
      </c>
      <c r="M76" s="27"/>
      <c r="O76" s="23">
        <v>58</v>
      </c>
      <c r="P76" s="23">
        <f ca="1">OFFSET(金币产出!S$6,MATCH($D76,金币产出!$D$7:$D$306,1),0)*$Q$17</f>
        <v>8190</v>
      </c>
      <c r="Q76" s="23">
        <f ca="1">OFFSET(金币产出!T$6,MATCH($D76,金币产出!$D$7:$D$306,1),0)*$P$17</f>
        <v>10350</v>
      </c>
      <c r="R76" s="23">
        <f ca="1">OFFSET(金币产出!U$6,MATCH($D76,金币产出!$D$7:$D$306,1),0)</f>
        <v>0</v>
      </c>
      <c r="S76" s="23">
        <f>SUMIF(金币产出!$D$7:$D$306,$D76,金币产出!$X$7:$X$306)</f>
        <v>0</v>
      </c>
      <c r="T76" s="23">
        <f t="shared" si="3"/>
        <v>1971</v>
      </c>
      <c r="U76" s="23">
        <f t="shared" si="4"/>
        <v>5720</v>
      </c>
      <c r="V76" s="25">
        <f ca="1">VLOOKUP(O76,金币产出!$Y$6:$AG$67,8,0)*($P$17-$S$17*2)+VLOOKUP(O76,金币产出!$Y$6:$AG$67,9,0)*$S$17</f>
        <v>14448.4266666667</v>
      </c>
      <c r="W76" s="25">
        <f t="shared" si="5"/>
        <v>10000</v>
      </c>
      <c r="Y76" s="23">
        <v>58</v>
      </c>
      <c r="Z76" s="23">
        <f ca="1">OFFSET(金币产出!S$6,MATCH($D76,金币产出!$D$7:$D$306,1),0)*$Q$17</f>
        <v>8190</v>
      </c>
      <c r="AA76" s="23">
        <f ca="1">OFFSET(金币产出!T$6,MATCH($D76,金币产出!$D$7:$D$306,1),0)*$Z$17</f>
        <v>10350</v>
      </c>
      <c r="AB76" s="23">
        <f ca="1">OFFSET(金币产出!U$6,MATCH($D76,金币产出!$D$7:$D$306,1),0)</f>
        <v>0</v>
      </c>
      <c r="AC76" s="23">
        <f>SUMIF(金币产出!$E$7:$E$306,$D76,金币产出!$X$7:$X$306)</f>
        <v>1800</v>
      </c>
      <c r="AD76" s="23">
        <f t="shared" si="6"/>
        <v>1971</v>
      </c>
      <c r="AE76" s="23">
        <f t="shared" si="7"/>
        <v>9152</v>
      </c>
      <c r="AF76" s="25">
        <f ca="1">VLOOKUP(Y76,金币产出!$Y$6:$AI$67,10,0)*($Z$17-$AC$17*2)+VLOOKUP(Y76,金币产出!$Y$6:$AI$67,11,0)*$AC$17</f>
        <v>16856</v>
      </c>
      <c r="AH76" s="23">
        <v>58</v>
      </c>
      <c r="AI76" s="23">
        <f ca="1">OFFSET(金币产出!S$6,MATCH($D76,金币产出!$D$7:$D$306,1),0)*$Q$17</f>
        <v>8190</v>
      </c>
      <c r="AJ76" s="23">
        <f ca="1">OFFSET(金币产出!T$6,MATCH($D76,金币产出!$D$7:$D$306,1),0)*$AI$17</f>
        <v>15975</v>
      </c>
      <c r="AK76" s="23">
        <f ca="1">OFFSET(金币产出!U$6,MATCH($D76,金币产出!$D$7:$D$306,1),0)</f>
        <v>0</v>
      </c>
      <c r="AL76" s="23">
        <f>SUMIF(金币产出!$E$7:$E$306,$D76,金币产出!$X$7:$X$306)</f>
        <v>1800</v>
      </c>
      <c r="AM76" s="23">
        <f t="shared" si="8"/>
        <v>1971</v>
      </c>
      <c r="AN76" s="23">
        <f t="shared" si="9"/>
        <v>12100</v>
      </c>
      <c r="AO76" s="25">
        <f ca="1">VLOOKUP(AH76,金币产出!$Y$6:$AI$67,10,0)*($AI$17-$AL$17*2)+VLOOKUP(AH76,金币产出!$Y$6:$AI$67,11,0)*$AL$17</f>
        <v>18236</v>
      </c>
      <c r="AP76" s="23">
        <f ca="1" t="shared" si="10"/>
        <v>0.312946183415706</v>
      </c>
    </row>
    <row r="77" spans="4:42">
      <c r="D77" s="23">
        <v>59</v>
      </c>
      <c r="E77" s="23">
        <f ca="1">OFFSET(金币产出!S$6,MATCH($D77,金币产出!$D$7:$D$306,1),0)*$F$17</f>
        <v>6328</v>
      </c>
      <c r="F77" s="23">
        <f ca="1">OFFSET(金币产出!T$6,MATCH($D77,金币产出!$D$7:$D$306,1),0)*$E$17</f>
        <v>9040</v>
      </c>
      <c r="G77" s="23">
        <f ca="1">OFFSET(金币产出!U$6,MATCH($D77,金币产出!$D$7:$D$306,1),0)</f>
        <v>0</v>
      </c>
      <c r="H77" s="23">
        <f>SUMIF(金币产出!$D$7:$D$306,$D77,金币产出!$X$7:$X$306)</f>
        <v>1800</v>
      </c>
      <c r="I77" s="23">
        <f t="shared" si="0"/>
        <v>1971</v>
      </c>
      <c r="J77" s="23">
        <f t="shared" si="1"/>
        <v>4400</v>
      </c>
      <c r="K77" s="25">
        <f ca="1">VLOOKUP(D77,金币产出!$Y$6:$AG$67,8,0)*($E$17-$H$17*2)+VLOOKUP(D77,金币产出!$Y$6:$AG$67,9,0)</f>
        <v>9239.456</v>
      </c>
      <c r="L77" s="27">
        <f ca="1" t="shared" si="2"/>
        <v>0.281875876032721</v>
      </c>
      <c r="M77" s="27"/>
      <c r="O77" s="23">
        <v>59</v>
      </c>
      <c r="P77" s="23">
        <f ca="1">OFFSET(金币产出!S$6,MATCH($D77,金币产出!$D$7:$D$306,1),0)*$Q$17</f>
        <v>8226.4</v>
      </c>
      <c r="Q77" s="23">
        <f ca="1">OFFSET(金币产出!T$6,MATCH($D77,金币产出!$D$7:$D$306,1),0)*$P$17</f>
        <v>10396</v>
      </c>
      <c r="R77" s="23">
        <f ca="1">OFFSET(金币产出!U$6,MATCH($D77,金币产出!$D$7:$D$306,1),0)</f>
        <v>0</v>
      </c>
      <c r="S77" s="23">
        <f>SUMIF(金币产出!$D$7:$D$306,$D77,金币产出!$X$7:$X$306)</f>
        <v>1800</v>
      </c>
      <c r="T77" s="23">
        <f t="shared" si="3"/>
        <v>1971</v>
      </c>
      <c r="U77" s="23">
        <f t="shared" si="4"/>
        <v>5720</v>
      </c>
      <c r="V77" s="25">
        <f ca="1">VLOOKUP(O77,金币产出!$Y$6:$AG$67,8,0)*($P$17-$S$17*2)+VLOOKUP(O77,金币产出!$Y$6:$AG$67,9,0)*$S$17</f>
        <v>14448.4266666667</v>
      </c>
      <c r="W77" s="25">
        <f t="shared" si="5"/>
        <v>10000</v>
      </c>
      <c r="Y77" s="23">
        <v>59</v>
      </c>
      <c r="Z77" s="23">
        <f ca="1">OFFSET(金币产出!S$6,MATCH($D77,金币产出!$D$7:$D$306,1),0)*$Q$17</f>
        <v>8226.4</v>
      </c>
      <c r="AA77" s="23">
        <f ca="1">OFFSET(金币产出!T$6,MATCH($D77,金币产出!$D$7:$D$306,1),0)*$Z$17</f>
        <v>10396</v>
      </c>
      <c r="AB77" s="23">
        <f ca="1">OFFSET(金币产出!U$6,MATCH($D77,金币产出!$D$7:$D$306,1),0)</f>
        <v>0</v>
      </c>
      <c r="AC77" s="23">
        <f>SUMIF(金币产出!$E$7:$E$306,$D77,金币产出!$X$7:$X$306)</f>
        <v>1800</v>
      </c>
      <c r="AD77" s="23">
        <f t="shared" si="6"/>
        <v>1971</v>
      </c>
      <c r="AE77" s="23">
        <f t="shared" si="7"/>
        <v>9152</v>
      </c>
      <c r="AF77" s="25">
        <f ca="1">VLOOKUP(Y77,金币产出!$Y$6:$AI$67,10,0)*($Z$17-$AC$17*2)+VLOOKUP(Y77,金币产出!$Y$6:$AI$67,11,0)*$AC$17</f>
        <v>16856</v>
      </c>
      <c r="AH77" s="23">
        <v>59</v>
      </c>
      <c r="AI77" s="23">
        <f ca="1">OFFSET(金币产出!S$6,MATCH($D77,金币产出!$D$7:$D$306,1),0)*$Q$17</f>
        <v>8226.4</v>
      </c>
      <c r="AJ77" s="23">
        <f ca="1">OFFSET(金币产出!T$6,MATCH($D77,金币产出!$D$7:$D$306,1),0)*$AI$17</f>
        <v>16046</v>
      </c>
      <c r="AK77" s="23">
        <f ca="1">OFFSET(金币产出!U$6,MATCH($D77,金币产出!$D$7:$D$306,1),0)</f>
        <v>0</v>
      </c>
      <c r="AL77" s="23">
        <f>SUMIF(金币产出!$E$7:$E$306,$D77,金币产出!$X$7:$X$306)</f>
        <v>1800</v>
      </c>
      <c r="AM77" s="23">
        <f t="shared" si="8"/>
        <v>1971</v>
      </c>
      <c r="AN77" s="23">
        <f t="shared" si="9"/>
        <v>12100</v>
      </c>
      <c r="AO77" s="25">
        <f ca="1">VLOOKUP(AH77,金币产出!$Y$6:$AI$67,10,0)*($AI$17-$AL$17*2)+VLOOKUP(AH77,金币产出!$Y$6:$AI$67,11,0)*$AL$17</f>
        <v>18236</v>
      </c>
      <c r="AP77" s="23">
        <f ca="1" t="shared" si="10"/>
        <v>0.312370459442886</v>
      </c>
    </row>
    <row r="78" spans="4:42">
      <c r="D78" s="23">
        <v>60</v>
      </c>
      <c r="E78" s="23">
        <f ca="1">OFFSET(金币产出!S$6,MATCH($D78,金币产出!$D$7:$D$306,1),0)*$F$17</f>
        <v>6328</v>
      </c>
      <c r="F78" s="23">
        <f ca="1">OFFSET(金币产出!T$6,MATCH($D78,金币产出!$D$7:$D$306,1),0)*$E$17</f>
        <v>9040</v>
      </c>
      <c r="G78" s="23">
        <f ca="1">OFFSET(金币产出!U$6,MATCH($D78,金币产出!$D$7:$D$306,1),0)</f>
        <v>0</v>
      </c>
      <c r="H78" s="23">
        <f>SUMIF(金币产出!$D$7:$D$306,$D78,金币产出!$X$7:$X$306)</f>
        <v>0</v>
      </c>
      <c r="I78" s="23">
        <f t="shared" si="0"/>
        <v>1971</v>
      </c>
      <c r="J78" s="23">
        <f t="shared" si="1"/>
        <v>4400</v>
      </c>
      <c r="K78" s="25">
        <f ca="1">VLOOKUP(D78,金币产出!$Y$6:$AG$67,8,0)*($E$17-$H$17*2)+VLOOKUP(D78,金币产出!$Y$6:$AG$67,9,0)</f>
        <v>9239.456</v>
      </c>
      <c r="L78" s="27">
        <f ca="1" t="shared" si="2"/>
        <v>0.298254244820981</v>
      </c>
      <c r="M78" s="27"/>
      <c r="O78" s="23">
        <v>60</v>
      </c>
      <c r="P78" s="23">
        <f ca="1">OFFSET(金币产出!S$6,MATCH($D78,金币产出!$D$7:$D$306,1),0)*$Q$17</f>
        <v>8226.4</v>
      </c>
      <c r="Q78" s="23">
        <f ca="1">OFFSET(金币产出!T$6,MATCH($D78,金币产出!$D$7:$D$306,1),0)*$P$17</f>
        <v>10396</v>
      </c>
      <c r="R78" s="23">
        <f ca="1">OFFSET(金币产出!U$6,MATCH($D78,金币产出!$D$7:$D$306,1),0)</f>
        <v>0</v>
      </c>
      <c r="S78" s="23">
        <f>SUMIF(金币产出!$D$7:$D$306,$D78,金币产出!$X$7:$X$306)</f>
        <v>0</v>
      </c>
      <c r="T78" s="23">
        <f t="shared" si="3"/>
        <v>1971</v>
      </c>
      <c r="U78" s="23">
        <f t="shared" si="4"/>
        <v>5720</v>
      </c>
      <c r="V78" s="25">
        <f ca="1">VLOOKUP(O78,金币产出!$Y$6:$AG$67,8,0)*($P$17-$S$17*2)+VLOOKUP(O78,金币产出!$Y$6:$AG$67,9,0)*$S$17</f>
        <v>14448.4266666667</v>
      </c>
      <c r="W78" s="25">
        <f t="shared" si="5"/>
        <v>10000</v>
      </c>
      <c r="Y78" s="23">
        <v>60</v>
      </c>
      <c r="Z78" s="23">
        <f ca="1">OFFSET(金币产出!S$6,MATCH($D78,金币产出!$D$7:$D$306,1),0)*$Q$17</f>
        <v>8226.4</v>
      </c>
      <c r="AA78" s="23">
        <f ca="1">OFFSET(金币产出!T$6,MATCH($D78,金币产出!$D$7:$D$306,1),0)*$Z$17</f>
        <v>10396</v>
      </c>
      <c r="AB78" s="23">
        <f ca="1">OFFSET(金币产出!U$6,MATCH($D78,金币产出!$D$7:$D$306,1),0)</f>
        <v>0</v>
      </c>
      <c r="AC78" s="23">
        <f>SUMIF(金币产出!$E$7:$E$306,$D78,金币产出!$X$7:$X$306)</f>
        <v>1800</v>
      </c>
      <c r="AD78" s="23">
        <f t="shared" si="6"/>
        <v>1971</v>
      </c>
      <c r="AE78" s="23">
        <f t="shared" si="7"/>
        <v>9152</v>
      </c>
      <c r="AF78" s="25">
        <f ca="1">VLOOKUP(Y78,金币产出!$Y$6:$AI$67,10,0)*($Z$17-$AC$17*2)+VLOOKUP(Y78,金币产出!$Y$6:$AI$67,11,0)*$AC$17</f>
        <v>16856</v>
      </c>
      <c r="AH78" s="23">
        <v>60</v>
      </c>
      <c r="AI78" s="23">
        <f ca="1">OFFSET(金币产出!S$6,MATCH($D78,金币产出!$D$7:$D$306,1),0)*$Q$17</f>
        <v>8226.4</v>
      </c>
      <c r="AJ78" s="23">
        <f ca="1">OFFSET(金币产出!T$6,MATCH($D78,金币产出!$D$7:$D$306,1),0)*$AI$17</f>
        <v>16046</v>
      </c>
      <c r="AK78" s="23">
        <f ca="1">OFFSET(金币产出!U$6,MATCH($D78,金币产出!$D$7:$D$306,1),0)</f>
        <v>0</v>
      </c>
      <c r="AL78" s="23">
        <f>SUMIF(金币产出!$E$7:$E$306,$D78,金币产出!$X$7:$X$306)</f>
        <v>1800</v>
      </c>
      <c r="AM78" s="23">
        <f t="shared" si="8"/>
        <v>1971</v>
      </c>
      <c r="AN78" s="23">
        <f t="shared" si="9"/>
        <v>12100</v>
      </c>
      <c r="AO78" s="25">
        <f ca="1">VLOOKUP(AH78,金币产出!$Y$6:$AI$67,10,0)*($AI$17-$AL$17*2)+VLOOKUP(AH78,金币产出!$Y$6:$AI$67,11,0)*$AL$17</f>
        <v>18236</v>
      </c>
      <c r="AP78" s="23">
        <f ca="1" t="shared" si="10"/>
        <v>0.312370459442886</v>
      </c>
    </row>
    <row r="81" ht="16.5" spans="2:8">
      <c r="B81" s="21"/>
      <c r="C81" s="22" t="s">
        <v>714</v>
      </c>
    </row>
    <row r="82" spans="2:8">
      <c r="D82" s="23" t="s">
        <v>715</v>
      </c>
      <c r="E82" s="23">
        <v>6000</v>
      </c>
    </row>
    <row r="84" spans="2:8">
      <c r="E84" s="23" t="s">
        <v>83</v>
      </c>
    </row>
    <row r="85" spans="2:8">
      <c r="D85" s="23" t="s">
        <v>21</v>
      </c>
      <c r="E85" s="23" t="s">
        <v>119</v>
      </c>
      <c r="F85" s="23" t="s">
        <v>120</v>
      </c>
      <c r="G85" s="23" t="s">
        <v>106</v>
      </c>
      <c r="H85" s="23" t="s">
        <v>121</v>
      </c>
    </row>
    <row r="86" spans="2:8">
      <c r="D86" s="23">
        <v>1</v>
      </c>
      <c r="E86" s="23">
        <f ca="1">MATCH(SUM($E$19:$K19)+$E$82,金币消耗!$K$3:$K$302,1)</f>
        <v>7</v>
      </c>
      <c r="F86" s="23">
        <f ca="1">MATCH(SUM($P$19:$V19)+$E$82,金币消耗!$K$3:$K$302,1)</f>
        <v>7</v>
      </c>
      <c r="G86" s="23">
        <f ca="1">MATCH(SUM($Z$19:AF19)+$E$82,金币消耗!$K$3:$K$302,1)</f>
        <v>9</v>
      </c>
      <c r="H86" s="23">
        <f ca="1">MATCH(SUM($AI$19:$AO19)+$E$82,金币消耗!$K$3:$K$302,1)</f>
        <v>10</v>
      </c>
    </row>
    <row r="87" spans="2:8">
      <c r="D87" s="23">
        <v>2</v>
      </c>
      <c r="E87" s="23">
        <f ca="1">MATCH(SUM($E$19:$K20)+$E$82,金币消耗!$K$3:$K$302,1)</f>
        <v>10</v>
      </c>
      <c r="F87" s="23">
        <f ca="1">MATCH(SUM($P$19:$V20)+$E$82,金币消耗!$K$3:$K$302,1)</f>
        <v>10</v>
      </c>
      <c r="G87" s="23">
        <f ca="1">MATCH(SUM($Z$19:AF20)+$E$82,金币消耗!$K$3:$K$302,1)</f>
        <v>12</v>
      </c>
      <c r="H87" s="23">
        <f ca="1">MATCH(SUM($AI$19:$AO20)+$E$82,金币消耗!$K$3:$K$302,1)</f>
        <v>13</v>
      </c>
    </row>
    <row r="88" spans="2:8">
      <c r="D88" s="23">
        <v>3</v>
      </c>
      <c r="E88" s="23">
        <f ca="1">MATCH(SUM($E$19:$K21)+$E$82,金币消耗!$K$3:$K$302,1)</f>
        <v>12</v>
      </c>
      <c r="F88" s="23">
        <f ca="1">MATCH(SUM($P$19:$V21)+$E$82,金币消耗!$K$3:$K$302,1)</f>
        <v>13</v>
      </c>
      <c r="G88" s="23">
        <f ca="1">MATCH(SUM($Z$19:AF21)+$E$82,金币消耗!$K$3:$K$302,1)</f>
        <v>15</v>
      </c>
      <c r="H88" s="23">
        <f ca="1">MATCH(SUM($AI$19:$AO21)+$E$82,金币消耗!$K$3:$K$302,1)</f>
        <v>16</v>
      </c>
    </row>
    <row r="89" spans="2:8">
      <c r="D89" s="23">
        <v>4</v>
      </c>
      <c r="E89" s="23">
        <f ca="1">MATCH(SUM($E$19:$K22)+$E$82,金币消耗!$K$3:$K$302,1)</f>
        <v>14</v>
      </c>
      <c r="F89" s="23">
        <f ca="1">MATCH(SUM($P$19:$V22)+$E$82,金币消耗!$K$3:$K$302,1)</f>
        <v>15</v>
      </c>
      <c r="G89" s="23">
        <f ca="1">MATCH(SUM($Z$19:AF22)+$E$82,金币消耗!$K$3:$K$302,1)</f>
        <v>17</v>
      </c>
      <c r="H89" s="23">
        <f ca="1">MATCH(SUM($AI$19:$AO22)+$E$82,金币消耗!$K$3:$K$302,1)</f>
        <v>19</v>
      </c>
    </row>
    <row r="90" spans="2:8">
      <c r="D90" s="23">
        <v>5</v>
      </c>
      <c r="E90" s="23">
        <f ca="1">MATCH(SUM($E$19:$K23)+$E$82,金币消耗!$K$3:$K$302,1)</f>
        <v>15</v>
      </c>
      <c r="F90" s="23">
        <f ca="1">MATCH(SUM($P$19:$V23)+$E$82,金币消耗!$K$3:$K$302,1)</f>
        <v>16</v>
      </c>
      <c r="G90" s="23">
        <f ca="1">MATCH(SUM($Z$19:AF23)+$E$82,金币消耗!$K$3:$K$302,1)</f>
        <v>19</v>
      </c>
      <c r="H90" s="23">
        <f ca="1">MATCH(SUM($AI$19:$AO23)+$E$82,金币消耗!$K$3:$K$302,1)</f>
        <v>21</v>
      </c>
    </row>
    <row r="91" spans="2:8">
      <c r="D91" s="23">
        <v>6</v>
      </c>
      <c r="E91" s="23">
        <f ca="1">MATCH(SUM($E$19:$K24)+$E$82,金币消耗!$K$3:$K$302,1)</f>
        <v>17</v>
      </c>
      <c r="F91" s="23">
        <f ca="1">MATCH(SUM($P$19:$V24)+$E$82,金币消耗!$K$3:$K$302,1)</f>
        <v>18</v>
      </c>
      <c r="G91" s="23">
        <f ca="1">MATCH(SUM($Z$19:AF24)+$E$82,金币消耗!$K$3:$K$302,1)</f>
        <v>21</v>
      </c>
      <c r="H91" s="23">
        <f ca="1">MATCH(SUM($AI$19:$AO24)+$E$82,金币消耗!$K$3:$K$302,1)</f>
        <v>23</v>
      </c>
    </row>
    <row r="92" spans="2:8">
      <c r="D92" s="23">
        <v>7</v>
      </c>
      <c r="E92" s="23">
        <f ca="1">MATCH(SUM($E$19:$K25)+$E$82,金币消耗!$K$3:$K$302,1)</f>
        <v>18</v>
      </c>
      <c r="F92" s="23">
        <f ca="1">MATCH(SUM($P$19:$V25)+$E$82,金币消耗!$K$3:$K$302,1)</f>
        <v>20</v>
      </c>
      <c r="G92" s="23">
        <f ca="1">MATCH(SUM($Z$19:AF25)+$E$82,金币消耗!$K$3:$K$302,1)</f>
        <v>23</v>
      </c>
      <c r="H92" s="23">
        <f ca="1">MATCH(SUM($AI$19:$AO25)+$E$82,金币消耗!$K$3:$K$302,1)</f>
        <v>26</v>
      </c>
    </row>
    <row r="93" spans="2:8">
      <c r="D93" s="23">
        <v>8</v>
      </c>
      <c r="E93" s="23">
        <f ca="1">MATCH(SUM($E$19:$K26)+$E$82,金币消耗!$K$3:$K$302,1)</f>
        <v>20</v>
      </c>
      <c r="F93" s="23">
        <f ca="1">MATCH(SUM($P$19:$V26)+$E$82,金币消耗!$K$3:$K$302,1)</f>
        <v>22</v>
      </c>
      <c r="G93" s="23">
        <f ca="1">MATCH(SUM($Z$19:AF26)+$E$82,金币消耗!$K$3:$K$302,1)</f>
        <v>25</v>
      </c>
      <c r="H93" s="23">
        <f ca="1">MATCH(SUM($AI$19:$AO26)+$E$82,金币消耗!$K$3:$K$302,1)</f>
        <v>28</v>
      </c>
    </row>
    <row r="94" spans="2:8">
      <c r="D94" s="23">
        <v>9</v>
      </c>
      <c r="E94" s="23">
        <f ca="1">MATCH(SUM($E$19:$K27)+$E$82,金币消耗!$K$3:$K$302,1)</f>
        <v>21</v>
      </c>
      <c r="F94" s="23">
        <f ca="1">MATCH(SUM($P$19:$V27)+$E$82,金币消耗!$K$3:$K$302,1)</f>
        <v>23</v>
      </c>
      <c r="G94" s="23">
        <f ca="1">MATCH(SUM($Z$19:AF27)+$E$82,金币消耗!$K$3:$K$302,1)</f>
        <v>27</v>
      </c>
      <c r="H94" s="23">
        <f ca="1">MATCH(SUM($AI$19:$AO27)+$E$82,金币消耗!$K$3:$K$302,1)</f>
        <v>29</v>
      </c>
    </row>
    <row r="95" spans="2:8">
      <c r="D95" s="23">
        <v>10</v>
      </c>
      <c r="E95" s="23">
        <f ca="1">MATCH(SUM($E$19:$K28)+$E$82,金币消耗!$K$3:$K$302,1)</f>
        <v>22</v>
      </c>
      <c r="F95" s="23">
        <f ca="1">MATCH(SUM($P$19:$V28)+$E$82,金币消耗!$K$3:$K$302,1)</f>
        <v>25</v>
      </c>
      <c r="G95" s="23">
        <f ca="1">MATCH(SUM($Z$19:AF28)+$E$82,金币消耗!$K$3:$K$302,1)</f>
        <v>28</v>
      </c>
      <c r="H95" s="23">
        <f ca="1">MATCH(SUM($AI$19:$AO28)+$E$82,金币消耗!$K$3:$K$302,1)</f>
        <v>31</v>
      </c>
    </row>
    <row r="96" spans="2:8">
      <c r="D96" s="23">
        <v>11</v>
      </c>
      <c r="E96" s="23">
        <f ca="1">MATCH(SUM($E$19:$K29)+$E$82,金币消耗!$K$3:$K$302,1)</f>
        <v>24</v>
      </c>
      <c r="F96" s="23">
        <f ca="1">MATCH(SUM($P$19:$V29)+$E$82,金币消耗!$K$3:$K$302,1)</f>
        <v>26</v>
      </c>
      <c r="G96" s="23">
        <f ca="1">MATCH(SUM($Z$19:AF29)+$E$82,金币消耗!$K$3:$K$302,1)</f>
        <v>30</v>
      </c>
      <c r="H96" s="23">
        <f ca="1">MATCH(SUM($AI$19:$AO29)+$E$82,金币消耗!$K$3:$K$302,1)</f>
        <v>33</v>
      </c>
    </row>
    <row r="97" spans="4:8">
      <c r="D97" s="23">
        <v>12</v>
      </c>
      <c r="E97" s="23">
        <f ca="1">MATCH(SUM($E$19:$K30)+$E$82,金币消耗!$K$3:$K$302,1)</f>
        <v>25</v>
      </c>
      <c r="F97" s="23">
        <f ca="1">MATCH(SUM($P$19:$V30)+$E$82,金币消耗!$K$3:$K$302,1)</f>
        <v>28</v>
      </c>
      <c r="G97" s="23">
        <f ca="1">MATCH(SUM($Z$19:AF30)+$E$82,金币消耗!$K$3:$K$302,1)</f>
        <v>32</v>
      </c>
      <c r="H97" s="23">
        <f ca="1">MATCH(SUM($AI$19:$AO30)+$E$82,金币消耗!$K$3:$K$302,1)</f>
        <v>35</v>
      </c>
    </row>
    <row r="98" spans="4:8">
      <c r="D98" s="23">
        <v>13</v>
      </c>
      <c r="E98" s="23">
        <f ca="1">MATCH(SUM($E$19:$K31)+$E$82,金币消耗!$K$3:$K$302,1)</f>
        <v>26</v>
      </c>
      <c r="F98" s="23">
        <f ca="1">MATCH(SUM($P$19:$V31)+$E$82,金币消耗!$K$3:$K$302,1)</f>
        <v>29</v>
      </c>
      <c r="G98" s="23">
        <f ca="1">MATCH(SUM($Z$19:AF31)+$E$82,金币消耗!$K$3:$K$302,1)</f>
        <v>33</v>
      </c>
      <c r="H98" s="23">
        <f ca="1">MATCH(SUM($AI$19:$AO31)+$E$82,金币消耗!$K$3:$K$302,1)</f>
        <v>36</v>
      </c>
    </row>
    <row r="99" spans="4:8">
      <c r="D99" s="23">
        <v>14</v>
      </c>
      <c r="E99" s="23">
        <f ca="1">MATCH(SUM($E$19:$K32)+$E$82,金币消耗!$K$3:$K$302,1)</f>
        <v>27</v>
      </c>
      <c r="F99" s="23">
        <f ca="1">MATCH(SUM($P$19:$V32)+$E$82,金币消耗!$K$3:$K$302,1)</f>
        <v>30</v>
      </c>
      <c r="G99" s="23">
        <f ca="1">MATCH(SUM($Z$19:AF32)+$E$82,金币消耗!$K$3:$K$302,1)</f>
        <v>34</v>
      </c>
      <c r="H99" s="23">
        <f ca="1">MATCH(SUM($AI$19:$AO32)+$E$82,金币消耗!$K$3:$K$302,1)</f>
        <v>38</v>
      </c>
    </row>
    <row r="100" spans="4:8">
      <c r="D100" s="23">
        <v>15</v>
      </c>
      <c r="E100" s="23">
        <f ca="1">MATCH(SUM($E$19:$K33)+$E$82,金币消耗!$K$3:$K$302,1)</f>
        <v>28</v>
      </c>
      <c r="F100" s="23">
        <f ca="1">MATCH(SUM($P$19:$V33)+$E$82,金币消耗!$K$3:$K$302,1)</f>
        <v>32</v>
      </c>
      <c r="G100" s="23">
        <f ca="1">MATCH(SUM($Z$19:AF33)+$E$82,金币消耗!$K$3:$K$302,1)</f>
        <v>36</v>
      </c>
      <c r="H100" s="23">
        <f ca="1">MATCH(SUM($AI$19:$AO33)+$E$82,金币消耗!$K$3:$K$302,1)</f>
        <v>39</v>
      </c>
    </row>
    <row r="101" spans="4:8">
      <c r="D101" s="23">
        <v>16</v>
      </c>
      <c r="E101" s="23">
        <f ca="1">MATCH(SUM($E$19:$K34)+$E$82,金币消耗!$K$3:$K$302,1)</f>
        <v>29</v>
      </c>
      <c r="F101" s="23">
        <f ca="1">MATCH(SUM($P$19:$V34)+$E$82,金币消耗!$K$3:$K$302,1)</f>
        <v>33</v>
      </c>
      <c r="G101" s="23">
        <f ca="1">MATCH(SUM($Z$19:AF34)+$E$82,金币消耗!$K$3:$K$302,1)</f>
        <v>37</v>
      </c>
      <c r="H101" s="23">
        <f ca="1">MATCH(SUM($AI$19:$AO34)+$E$82,金币消耗!$K$3:$K$302,1)</f>
        <v>41</v>
      </c>
    </row>
    <row r="102" spans="4:8">
      <c r="D102" s="23">
        <v>17</v>
      </c>
      <c r="E102" s="23">
        <f ca="1">MATCH(SUM($E$19:$K35)+$E$82,金币消耗!$K$3:$K$302,1)</f>
        <v>30</v>
      </c>
      <c r="F102" s="23">
        <f ca="1">MATCH(SUM($P$19:$V35)+$E$82,金币消耗!$K$3:$K$302,1)</f>
        <v>34</v>
      </c>
      <c r="G102" s="23">
        <f ca="1">MATCH(SUM($Z$19:AF35)+$E$82,金币消耗!$K$3:$K$302,1)</f>
        <v>38</v>
      </c>
      <c r="H102" s="23">
        <f ca="1">MATCH(SUM($AI$19:$AO35)+$E$82,金币消耗!$K$3:$K$302,1)</f>
        <v>42</v>
      </c>
    </row>
    <row r="103" spans="4:8">
      <c r="D103" s="23">
        <v>18</v>
      </c>
      <c r="E103" s="23">
        <f ca="1">MATCH(SUM($E$19:$K36)+$E$82,金币消耗!$K$3:$K$302,1)</f>
        <v>32</v>
      </c>
      <c r="F103" s="23">
        <f ca="1">MATCH(SUM($P$19:$V36)+$E$82,金币消耗!$K$3:$K$302,1)</f>
        <v>35</v>
      </c>
      <c r="G103" s="23">
        <f ca="1">MATCH(SUM($Z$19:AF36)+$E$82,金币消耗!$K$3:$K$302,1)</f>
        <v>39</v>
      </c>
      <c r="H103" s="23">
        <f ca="1">MATCH(SUM($AI$19:$AO36)+$E$82,金币消耗!$K$3:$K$302,1)</f>
        <v>43</v>
      </c>
    </row>
    <row r="104" spans="4:8">
      <c r="D104" s="23">
        <v>19</v>
      </c>
      <c r="E104" s="23">
        <f ca="1">MATCH(SUM($E$19:$K37)+$E$82,金币消耗!$K$3:$K$302,1)</f>
        <v>33</v>
      </c>
      <c r="F104" s="23">
        <f ca="1">MATCH(SUM($P$19:$V37)+$E$82,金币消耗!$K$3:$K$302,1)</f>
        <v>36</v>
      </c>
      <c r="G104" s="23">
        <f ca="1">MATCH(SUM($Z$19:AF37)+$E$82,金币消耗!$K$3:$K$302,1)</f>
        <v>40</v>
      </c>
      <c r="H104" s="23">
        <f ca="1">MATCH(SUM($AI$19:$AO37)+$E$82,金币消耗!$K$3:$K$302,1)</f>
        <v>45</v>
      </c>
    </row>
    <row r="105" spans="4:8">
      <c r="D105" s="23">
        <v>20</v>
      </c>
      <c r="E105" s="23">
        <f ca="1">MATCH(SUM($E$19:$K38)+$E$82,金币消耗!$K$3:$K$302,1)</f>
        <v>34</v>
      </c>
      <c r="F105" s="23">
        <f ca="1">MATCH(SUM($P$19:$V38)+$E$82,金币消耗!$K$3:$K$302,1)</f>
        <v>38</v>
      </c>
      <c r="G105" s="23">
        <f ca="1">MATCH(SUM($Z$19:AF38)+$E$82,金币消耗!$K$3:$K$302,1)</f>
        <v>42</v>
      </c>
      <c r="H105" s="23">
        <f ca="1">MATCH(SUM($AI$19:$AO38)+$E$82,金币消耗!$K$3:$K$302,1)</f>
        <v>46</v>
      </c>
    </row>
    <row r="106" spans="4:8">
      <c r="D106" s="23">
        <v>21</v>
      </c>
      <c r="E106" s="23">
        <f ca="1">MATCH(SUM($E$19:$K39)+$E$82,金币消耗!$K$3:$K$302,1)</f>
        <v>34</v>
      </c>
      <c r="F106" s="23">
        <f ca="1">MATCH(SUM($P$19:$V39)+$E$82,金币消耗!$K$3:$K$302,1)</f>
        <v>39</v>
      </c>
      <c r="G106" s="23">
        <f ca="1">MATCH(SUM($Z$19:AF39)+$E$82,金币消耗!$K$3:$K$302,1)</f>
        <v>43</v>
      </c>
      <c r="H106" s="23">
        <f ca="1">MATCH(SUM($AI$19:$AO39)+$E$82,金币消耗!$K$3:$K$302,1)</f>
        <v>47</v>
      </c>
    </row>
    <row r="107" spans="4:8">
      <c r="D107" s="23">
        <v>22</v>
      </c>
      <c r="E107" s="23">
        <f ca="1">MATCH(SUM($E$19:$K40)+$E$82,金币消耗!$K$3:$K$302,1)</f>
        <v>35</v>
      </c>
      <c r="F107" s="23">
        <f ca="1">MATCH(SUM($P$19:$V40)+$E$82,金币消耗!$K$3:$K$302,1)</f>
        <v>40</v>
      </c>
      <c r="G107" s="23">
        <f ca="1">MATCH(SUM($Z$19:AF40)+$E$82,金币消耗!$K$3:$K$302,1)</f>
        <v>44</v>
      </c>
      <c r="H107" s="23">
        <f ca="1">MATCH(SUM($AI$19:$AO40)+$E$82,金币消耗!$K$3:$K$302,1)</f>
        <v>48</v>
      </c>
    </row>
    <row r="108" spans="4:8">
      <c r="D108" s="23">
        <v>23</v>
      </c>
      <c r="E108" s="23">
        <f ca="1">MATCH(SUM($E$19:$K41)+$E$82,金币消耗!$K$3:$K$302,1)</f>
        <v>36</v>
      </c>
      <c r="F108" s="23">
        <f ca="1">MATCH(SUM($P$19:$V41)+$E$82,金币消耗!$K$3:$K$302,1)</f>
        <v>41</v>
      </c>
      <c r="G108" s="23">
        <f ca="1">MATCH(SUM($Z$19:AF41)+$E$82,金币消耗!$K$3:$K$302,1)</f>
        <v>45</v>
      </c>
      <c r="H108" s="23">
        <f ca="1">MATCH(SUM($AI$19:$AO41)+$E$82,金币消耗!$K$3:$K$302,1)</f>
        <v>49</v>
      </c>
    </row>
    <row r="109" spans="4:8">
      <c r="D109" s="23">
        <v>24</v>
      </c>
      <c r="E109" s="23">
        <f ca="1">MATCH(SUM($E$19:$K42)+$E$82,金币消耗!$K$3:$K$302,1)</f>
        <v>37</v>
      </c>
      <c r="F109" s="23">
        <f ca="1">MATCH(SUM($P$19:$V42)+$E$82,金币消耗!$K$3:$K$302,1)</f>
        <v>42</v>
      </c>
      <c r="G109" s="23">
        <f ca="1">MATCH(SUM($Z$19:AF42)+$E$82,金币消耗!$K$3:$K$302,1)</f>
        <v>46</v>
      </c>
      <c r="H109" s="23">
        <f ca="1">MATCH(SUM($AI$19:$AO42)+$E$82,金币消耗!$K$3:$K$302,1)</f>
        <v>50</v>
      </c>
    </row>
    <row r="110" spans="4:8">
      <c r="D110" s="23">
        <v>25</v>
      </c>
      <c r="E110" s="23">
        <f ca="1">MATCH(SUM($E$19:$K43)+$E$82,金币消耗!$K$3:$K$302,1)</f>
        <v>38</v>
      </c>
      <c r="F110" s="23">
        <f ca="1">MATCH(SUM($P$19:$V43)+$E$82,金币消耗!$K$3:$K$302,1)</f>
        <v>43</v>
      </c>
      <c r="G110" s="23">
        <f ca="1">MATCH(SUM($Z$19:AF43)+$E$82,金币消耗!$K$3:$K$302,1)</f>
        <v>47</v>
      </c>
      <c r="H110" s="23">
        <f ca="1">MATCH(SUM($AI$19:$AO43)+$E$82,金币消耗!$K$3:$K$302,1)</f>
        <v>51</v>
      </c>
    </row>
    <row r="111" spans="4:8">
      <c r="D111" s="23">
        <v>26</v>
      </c>
      <c r="E111" s="23">
        <f ca="1">MATCH(SUM($E$19:$K44)+$E$82,金币消耗!$K$3:$K$302,1)</f>
        <v>39</v>
      </c>
      <c r="F111" s="23">
        <f ca="1">MATCH(SUM($P$19:$V44)+$E$82,金币消耗!$K$3:$K$302,1)</f>
        <v>44</v>
      </c>
      <c r="G111" s="23">
        <f ca="1">MATCH(SUM($Z$19:AF44)+$E$82,金币消耗!$K$3:$K$302,1)</f>
        <v>48</v>
      </c>
      <c r="H111" s="23">
        <f ca="1">MATCH(SUM($AI$19:$AO44)+$E$82,金币消耗!$K$3:$K$302,1)</f>
        <v>52</v>
      </c>
    </row>
    <row r="112" spans="4:8">
      <c r="D112" s="23">
        <v>27</v>
      </c>
      <c r="E112" s="23">
        <f ca="1">MATCH(SUM($E$19:$K45)+$E$82,金币消耗!$K$3:$K$302,1)</f>
        <v>40</v>
      </c>
      <c r="F112" s="23">
        <f ca="1">MATCH(SUM($P$19:$V45)+$E$82,金币消耗!$K$3:$K$302,1)</f>
        <v>45</v>
      </c>
      <c r="G112" s="23">
        <f ca="1">MATCH(SUM($Z$19:AF45)+$E$82,金币消耗!$K$3:$K$302,1)</f>
        <v>49</v>
      </c>
      <c r="H112" s="23">
        <f ca="1">MATCH(SUM($AI$19:$AO45)+$E$82,金币消耗!$K$3:$K$302,1)</f>
        <v>53</v>
      </c>
    </row>
    <row r="113" spans="4:8">
      <c r="D113" s="23">
        <v>28</v>
      </c>
      <c r="E113" s="23">
        <f ca="1">MATCH(SUM($E$19:$K46)+$E$82,金币消耗!$K$3:$K$302,1)</f>
        <v>41</v>
      </c>
      <c r="F113" s="23">
        <f ca="1">MATCH(SUM($P$19:$V46)+$E$82,金币消耗!$K$3:$K$302,1)</f>
        <v>46</v>
      </c>
      <c r="G113" s="23">
        <f ca="1">MATCH(SUM($Z$19:AF46)+$E$82,金币消耗!$K$3:$K$302,1)</f>
        <v>50</v>
      </c>
      <c r="H113" s="23">
        <f ca="1">MATCH(SUM($AI$19:$AO46)+$E$82,金币消耗!$K$3:$K$302,1)</f>
        <v>54</v>
      </c>
    </row>
    <row r="114" spans="4:8">
      <c r="D114" s="23">
        <v>29</v>
      </c>
      <c r="E114" s="23">
        <f ca="1">MATCH(SUM($E$19:$K47)+$E$82,金币消耗!$K$3:$K$302,1)</f>
        <v>41</v>
      </c>
      <c r="F114" s="23">
        <f ca="1">MATCH(SUM($P$19:$V47)+$E$82,金币消耗!$K$3:$K$302,1)</f>
        <v>46</v>
      </c>
      <c r="G114" s="23">
        <f ca="1">MATCH(SUM($Z$19:AF47)+$E$82,金币消耗!$K$3:$K$302,1)</f>
        <v>50</v>
      </c>
      <c r="H114" s="23">
        <f ca="1">MATCH(SUM($AI$19:$AO47)+$E$82,金币消耗!$K$3:$K$302,1)</f>
        <v>55</v>
      </c>
    </row>
    <row r="115" spans="4:8">
      <c r="D115" s="23">
        <v>30</v>
      </c>
      <c r="E115" s="23">
        <f ca="1">MATCH(SUM($E$19:$K48)+$E$82,金币消耗!$K$3:$K$302,1)</f>
        <v>42</v>
      </c>
      <c r="F115" s="23">
        <f ca="1">MATCH(SUM($P$19:$V48)+$E$82,金币消耗!$K$3:$K$302,1)</f>
        <v>47</v>
      </c>
      <c r="G115" s="23">
        <f ca="1">MATCH(SUM($Z$19:AF48)+$E$82,金币消耗!$K$3:$K$302,1)</f>
        <v>51</v>
      </c>
      <c r="H115" s="23">
        <f ca="1">MATCH(SUM($AI$19:$AO48)+$E$82,金币消耗!$K$3:$K$302,1)</f>
        <v>56</v>
      </c>
    </row>
    <row r="116" spans="4:8">
      <c r="D116" s="23">
        <v>31</v>
      </c>
      <c r="E116" s="23">
        <f ca="1">MATCH(SUM($E$19:$K49)+$E$82,金币消耗!$K$3:$K$302,1)</f>
        <v>43</v>
      </c>
      <c r="F116" s="23">
        <f ca="1">MATCH(SUM($P$19:$V49)+$E$82,金币消耗!$K$3:$K$302,1)</f>
        <v>48</v>
      </c>
      <c r="G116" s="23">
        <f ca="1">MATCH(SUM($Z$19:AF49)+$E$82,金币消耗!$K$3:$K$302,1)</f>
        <v>52</v>
      </c>
      <c r="H116" s="23">
        <f ca="1">MATCH(SUM($AI$19:$AO49)+$E$82,金币消耗!$K$3:$K$302,1)</f>
        <v>57</v>
      </c>
    </row>
    <row r="117" spans="4:8">
      <c r="D117" s="23">
        <v>32</v>
      </c>
      <c r="E117" s="23">
        <f ca="1">MATCH(SUM($E$19:$K50)+$E$82,金币消耗!$K$3:$K$302,1)</f>
        <v>44</v>
      </c>
      <c r="F117" s="23">
        <f ca="1">MATCH(SUM($P$19:$V50)+$E$82,金币消耗!$K$3:$K$302,1)</f>
        <v>49</v>
      </c>
      <c r="G117" s="23">
        <f ca="1">MATCH(SUM($Z$19:AF50)+$E$82,金币消耗!$K$3:$K$302,1)</f>
        <v>53</v>
      </c>
      <c r="H117" s="23">
        <f ca="1">MATCH(SUM($AI$19:$AO50)+$E$82,金币消耗!$K$3:$K$302,1)</f>
        <v>58</v>
      </c>
    </row>
    <row r="118" spans="4:8">
      <c r="D118" s="23">
        <v>33</v>
      </c>
      <c r="E118" s="23">
        <f ca="1">MATCH(SUM($E$19:$K51)+$E$82,金币消耗!$K$3:$K$302,1)</f>
        <v>44</v>
      </c>
      <c r="F118" s="23">
        <f ca="1">MATCH(SUM($P$19:$V51)+$E$82,金币消耗!$K$3:$K$302,1)</f>
        <v>50</v>
      </c>
      <c r="G118" s="23">
        <f ca="1">MATCH(SUM($Z$19:AF51)+$E$82,金币消耗!$K$3:$K$302,1)</f>
        <v>54</v>
      </c>
      <c r="H118" s="23">
        <f ca="1">MATCH(SUM($AI$19:$AO51)+$E$82,金币消耗!$K$3:$K$302,1)</f>
        <v>59</v>
      </c>
    </row>
    <row r="119" spans="4:8">
      <c r="D119" s="23">
        <v>34</v>
      </c>
      <c r="E119" s="23">
        <f ca="1">MATCH(SUM($E$19:$K52)+$E$82,金币消耗!$K$3:$K$302,1)</f>
        <v>45</v>
      </c>
      <c r="F119" s="23">
        <f ca="1">MATCH(SUM($P$19:$V52)+$E$82,金币消耗!$K$3:$K$302,1)</f>
        <v>51</v>
      </c>
      <c r="G119" s="23">
        <f ca="1">MATCH(SUM($Z$19:AF52)+$E$82,金币消耗!$K$3:$K$302,1)</f>
        <v>55</v>
      </c>
      <c r="H119" s="23">
        <f ca="1">MATCH(SUM($AI$19:$AO52)+$E$82,金币消耗!$K$3:$K$302,1)</f>
        <v>60</v>
      </c>
    </row>
    <row r="120" spans="4:8">
      <c r="D120" s="23">
        <v>35</v>
      </c>
      <c r="E120" s="23">
        <f ca="1">MATCH(SUM($E$19:$K53)+$E$82,金币消耗!$K$3:$K$302,1)</f>
        <v>46</v>
      </c>
      <c r="F120" s="23">
        <f ca="1">MATCH(SUM($P$19:$V53)+$E$82,金币消耗!$K$3:$K$302,1)</f>
        <v>51</v>
      </c>
      <c r="G120" s="23">
        <f ca="1">MATCH(SUM($Z$19:AF53)+$E$82,金币消耗!$K$3:$K$302,1)</f>
        <v>56</v>
      </c>
      <c r="H120" s="23">
        <f ca="1">MATCH(SUM($AI$19:$AO53)+$E$82,金币消耗!$K$3:$K$302,1)</f>
        <v>61</v>
      </c>
    </row>
    <row r="121" spans="4:8">
      <c r="D121" s="23">
        <v>36</v>
      </c>
      <c r="E121" s="23">
        <f ca="1">MATCH(SUM($E$19:$K54)+$E$82,金币消耗!$K$3:$K$302,1)</f>
        <v>47</v>
      </c>
      <c r="F121" s="23">
        <f ca="1">MATCH(SUM($P$19:$V54)+$E$82,金币消耗!$K$3:$K$302,1)</f>
        <v>52</v>
      </c>
      <c r="G121" s="23">
        <f ca="1">MATCH(SUM($Z$19:AF54)+$E$82,金币消耗!$K$3:$K$302,1)</f>
        <v>56</v>
      </c>
      <c r="H121" s="23">
        <f ca="1">MATCH(SUM($AI$19:$AO54)+$E$82,金币消耗!$K$3:$K$302,1)</f>
        <v>62</v>
      </c>
    </row>
    <row r="122" spans="4:8">
      <c r="D122" s="23">
        <v>37</v>
      </c>
      <c r="E122" s="23">
        <f ca="1">MATCH(SUM($E$19:$K55)+$E$82,金币消耗!$K$3:$K$302,1)</f>
        <v>47</v>
      </c>
      <c r="F122" s="23">
        <f ca="1">MATCH(SUM($P$19:$V55)+$E$82,金币消耗!$K$3:$K$302,1)</f>
        <v>53</v>
      </c>
      <c r="G122" s="23">
        <f ca="1">MATCH(SUM($Z$19:AF55)+$E$82,金币消耗!$K$3:$K$302,1)</f>
        <v>57</v>
      </c>
      <c r="H122" s="23">
        <f ca="1">MATCH(SUM($AI$19:$AO55)+$E$82,金币消耗!$K$3:$K$302,1)</f>
        <v>63</v>
      </c>
    </row>
    <row r="123" spans="4:8">
      <c r="D123" s="23">
        <v>38</v>
      </c>
      <c r="E123" s="23">
        <f ca="1">MATCH(SUM($E$19:$K56)+$E$82,金币消耗!$K$3:$K$302,1)</f>
        <v>48</v>
      </c>
      <c r="F123" s="23">
        <f ca="1">MATCH(SUM($P$19:$V56)+$E$82,金币消耗!$K$3:$K$302,1)</f>
        <v>54</v>
      </c>
      <c r="G123" s="23">
        <f ca="1">MATCH(SUM($Z$19:AF56)+$E$82,金币消耗!$K$3:$K$302,1)</f>
        <v>58</v>
      </c>
      <c r="H123" s="23">
        <f ca="1">MATCH(SUM($AI$19:$AO56)+$E$82,金币消耗!$K$3:$K$302,1)</f>
        <v>64</v>
      </c>
    </row>
    <row r="124" spans="4:8">
      <c r="D124" s="23">
        <v>39</v>
      </c>
      <c r="E124" s="23">
        <f ca="1">MATCH(SUM($E$19:$K57)+$E$82,金币消耗!$K$3:$K$302,1)</f>
        <v>49</v>
      </c>
      <c r="F124" s="23">
        <f ca="1">MATCH(SUM($P$19:$V57)+$E$82,金币消耗!$K$3:$K$302,1)</f>
        <v>55</v>
      </c>
      <c r="G124" s="23">
        <f ca="1">MATCH(SUM($Z$19:AF57)+$E$82,金币消耗!$K$3:$K$302,1)</f>
        <v>59</v>
      </c>
      <c r="H124" s="23">
        <f ca="1">MATCH(SUM($AI$19:$AO57)+$E$82,金币消耗!$K$3:$K$302,1)</f>
        <v>64</v>
      </c>
    </row>
    <row r="125" spans="4:8">
      <c r="D125" s="23">
        <v>40</v>
      </c>
      <c r="E125" s="23">
        <f ca="1">MATCH(SUM($E$19:$K58)+$E$82,金币消耗!$K$3:$K$302,1)</f>
        <v>49</v>
      </c>
      <c r="F125" s="23">
        <f ca="1">MATCH(SUM($P$19:$V58)+$E$82,金币消耗!$K$3:$K$302,1)</f>
        <v>55</v>
      </c>
      <c r="G125" s="23">
        <f ca="1">MATCH(SUM($Z$19:AF58)+$E$82,金币消耗!$K$3:$K$302,1)</f>
        <v>60</v>
      </c>
      <c r="H125" s="23">
        <f ca="1">MATCH(SUM($AI$19:$AO58)+$E$82,金币消耗!$K$3:$K$302,1)</f>
        <v>65</v>
      </c>
    </row>
    <row r="126" spans="4:8">
      <c r="D126" s="23">
        <v>41</v>
      </c>
      <c r="E126" s="23">
        <f ca="1">MATCH(SUM($E$19:$K59)+$E$82,金币消耗!$K$3:$K$302,1)</f>
        <v>50</v>
      </c>
      <c r="F126" s="23">
        <f ca="1">MATCH(SUM($P$19:$V59)+$E$82,金币消耗!$K$3:$K$302,1)</f>
        <v>56</v>
      </c>
      <c r="G126" s="23">
        <f ca="1">MATCH(SUM($Z$19:AF59)+$E$82,金币消耗!$K$3:$K$302,1)</f>
        <v>60</v>
      </c>
      <c r="H126" s="23">
        <f ca="1">MATCH(SUM($AI$19:$AO59)+$E$82,金币消耗!$K$3:$K$302,1)</f>
        <v>66</v>
      </c>
    </row>
    <row r="127" spans="4:8">
      <c r="D127" s="23">
        <v>42</v>
      </c>
      <c r="E127" s="23">
        <f ca="1">MATCH(SUM($E$19:$K60)+$E$82,金币消耗!$K$3:$K$302,1)</f>
        <v>51</v>
      </c>
      <c r="F127" s="23">
        <f ca="1">MATCH(SUM($P$19:$V60)+$E$82,金币消耗!$K$3:$K$302,1)</f>
        <v>57</v>
      </c>
      <c r="G127" s="23">
        <f ca="1">MATCH(SUM($Z$19:AF60)+$E$82,金币消耗!$K$3:$K$302,1)</f>
        <v>61</v>
      </c>
      <c r="H127" s="23">
        <f ca="1">MATCH(SUM($AI$19:$AO60)+$E$82,金币消耗!$K$3:$K$302,1)</f>
        <v>67</v>
      </c>
    </row>
    <row r="128" spans="4:8">
      <c r="D128" s="23">
        <v>43</v>
      </c>
      <c r="E128" s="23">
        <f ca="1">MATCH(SUM($E$19:$K61)+$E$82,金币消耗!$K$3:$K$302,1)</f>
        <v>51</v>
      </c>
      <c r="F128" s="23">
        <f ca="1">MATCH(SUM($P$19:$V61)+$E$82,金币消耗!$K$3:$K$302,1)</f>
        <v>57</v>
      </c>
      <c r="G128" s="23">
        <f ca="1">MATCH(SUM($Z$19:AF61)+$E$82,金币消耗!$K$3:$K$302,1)</f>
        <v>62</v>
      </c>
      <c r="H128" s="23">
        <f ca="1">MATCH(SUM($AI$19:$AO61)+$E$82,金币消耗!$K$3:$K$302,1)</f>
        <v>68</v>
      </c>
    </row>
    <row r="129" spans="4:8">
      <c r="D129" s="23">
        <v>44</v>
      </c>
      <c r="E129" s="23">
        <f ca="1">MATCH(SUM($E$19:$K62)+$E$82,金币消耗!$K$3:$K$302,1)</f>
        <v>52</v>
      </c>
      <c r="F129" s="23">
        <f ca="1">MATCH(SUM($P$19:$V62)+$E$82,金币消耗!$K$3:$K$302,1)</f>
        <v>58</v>
      </c>
      <c r="G129" s="23">
        <f ca="1">MATCH(SUM($Z$19:AF62)+$E$82,金币消耗!$K$3:$K$302,1)</f>
        <v>63</v>
      </c>
      <c r="H129" s="23">
        <f ca="1">MATCH(SUM($AI$19:$AO62)+$E$82,金币消耗!$K$3:$K$302,1)</f>
        <v>68</v>
      </c>
    </row>
    <row r="130" spans="4:8">
      <c r="D130" s="23">
        <v>45</v>
      </c>
      <c r="E130" s="23">
        <f ca="1">MATCH(SUM($E$19:$K63)+$E$82,金币消耗!$K$3:$K$302,1)</f>
        <v>53</v>
      </c>
      <c r="F130" s="23">
        <f ca="1">MATCH(SUM($P$19:$V63)+$E$82,金币消耗!$K$3:$K$302,1)</f>
        <v>59</v>
      </c>
      <c r="G130" s="23">
        <f ca="1">MATCH(SUM($Z$19:AF63)+$E$82,金币消耗!$K$3:$K$302,1)</f>
        <v>63</v>
      </c>
      <c r="H130" s="23">
        <f ca="1">MATCH(SUM($AI$19:$AO63)+$E$82,金币消耗!$K$3:$K$302,1)</f>
        <v>69</v>
      </c>
    </row>
    <row r="131" spans="4:8">
      <c r="D131" s="23">
        <v>46</v>
      </c>
      <c r="E131" s="23">
        <f ca="1">MATCH(SUM($E$19:$K64)+$E$82,金币消耗!$K$3:$K$302,1)</f>
        <v>53</v>
      </c>
      <c r="F131" s="23">
        <f ca="1">MATCH(SUM($P$19:$V64)+$E$82,金币消耗!$K$3:$K$302,1)</f>
        <v>60</v>
      </c>
      <c r="G131" s="23">
        <f ca="1">MATCH(SUM($Z$19:AF64)+$E$82,金币消耗!$K$3:$K$302,1)</f>
        <v>64</v>
      </c>
      <c r="H131" s="23">
        <f ca="1">MATCH(SUM($AI$19:$AO64)+$E$82,金币消耗!$K$3:$K$302,1)</f>
        <v>70</v>
      </c>
    </row>
    <row r="132" spans="4:8">
      <c r="D132" s="23">
        <v>47</v>
      </c>
      <c r="E132" s="23">
        <f ca="1">MATCH(SUM($E$19:$K65)+$E$82,金币消耗!$K$3:$K$302,1)</f>
        <v>54</v>
      </c>
      <c r="F132" s="23">
        <f ca="1">MATCH(SUM($P$19:$V65)+$E$82,金币消耗!$K$3:$K$302,1)</f>
        <v>60</v>
      </c>
      <c r="G132" s="23">
        <f ca="1">MATCH(SUM($Z$19:AF65)+$E$82,金币消耗!$K$3:$K$302,1)</f>
        <v>65</v>
      </c>
      <c r="H132" s="23">
        <f ca="1">MATCH(SUM($AI$19:$AO65)+$E$82,金币消耗!$K$3:$K$302,1)</f>
        <v>71</v>
      </c>
    </row>
    <row r="133" spans="4:8">
      <c r="D133" s="23">
        <v>48</v>
      </c>
      <c r="E133" s="23">
        <f ca="1">MATCH(SUM($E$19:$K66)+$E$82,金币消耗!$K$3:$K$302,1)</f>
        <v>54</v>
      </c>
      <c r="F133" s="23">
        <f ca="1">MATCH(SUM($P$19:$V66)+$E$82,金币消耗!$K$3:$K$302,1)</f>
        <v>61</v>
      </c>
      <c r="G133" s="23">
        <f ca="1">MATCH(SUM($Z$19:AF66)+$E$82,金币消耗!$K$3:$K$302,1)</f>
        <v>66</v>
      </c>
      <c r="H133" s="23">
        <f ca="1">MATCH(SUM($AI$19:$AO66)+$E$82,金币消耗!$K$3:$K$302,1)</f>
        <v>72</v>
      </c>
    </row>
    <row r="134" spans="4:8">
      <c r="D134" s="23">
        <v>49</v>
      </c>
      <c r="E134" s="23">
        <f ca="1">MATCH(SUM($E$19:$K67)+$E$82,金币消耗!$K$3:$K$302,1)</f>
        <v>55</v>
      </c>
      <c r="F134" s="23">
        <f ca="1">MATCH(SUM($P$19:$V67)+$E$82,金币消耗!$K$3:$K$302,1)</f>
        <v>62</v>
      </c>
      <c r="G134" s="23">
        <f ca="1">MATCH(SUM($Z$19:AF67)+$E$82,金币消耗!$K$3:$K$302,1)</f>
        <v>66</v>
      </c>
      <c r="H134" s="23">
        <f ca="1">MATCH(SUM($AI$19:$AO67)+$E$82,金币消耗!$K$3:$K$302,1)</f>
        <v>73</v>
      </c>
    </row>
    <row r="135" spans="4:8">
      <c r="D135" s="23">
        <v>50</v>
      </c>
      <c r="E135" s="23">
        <f ca="1">MATCH(SUM($E$19:$K68)+$E$82,金币消耗!$K$3:$K$302,1)</f>
        <v>56</v>
      </c>
      <c r="F135" s="23">
        <f ca="1">MATCH(SUM($P$19:$V68)+$E$82,金币消耗!$K$3:$K$302,1)</f>
        <v>62</v>
      </c>
      <c r="G135" s="23">
        <f ca="1">MATCH(SUM($Z$19:AF68)+$E$82,金币消耗!$K$3:$K$302,1)</f>
        <v>67</v>
      </c>
      <c r="H135" s="23">
        <f ca="1">MATCH(SUM($AI$19:$AO68)+$E$82,金币消耗!$K$3:$K$302,1)</f>
        <v>73</v>
      </c>
    </row>
    <row r="136" spans="4:8">
      <c r="D136" s="23">
        <v>51</v>
      </c>
      <c r="E136" s="23">
        <f ca="1">MATCH(SUM($E$19:$K69)+$E$82,金币消耗!$K$3:$K$302,1)</f>
        <v>56</v>
      </c>
      <c r="F136" s="23">
        <f ca="1">MATCH(SUM($P$19:$V69)+$E$82,金币消耗!$K$3:$K$302,1)</f>
        <v>63</v>
      </c>
      <c r="G136" s="23">
        <f ca="1">MATCH(SUM($Z$19:AF69)+$E$82,金币消耗!$K$3:$K$302,1)</f>
        <v>68</v>
      </c>
      <c r="H136" s="23">
        <f ca="1">MATCH(SUM($AI$19:$AO69)+$E$82,金币消耗!$K$3:$K$302,1)</f>
        <v>74</v>
      </c>
    </row>
    <row r="137" spans="4:8">
      <c r="D137" s="23">
        <v>52</v>
      </c>
      <c r="E137" s="23">
        <f ca="1">MATCH(SUM($E$19:$K70)+$E$82,金币消耗!$K$3:$K$302,1)</f>
        <v>57</v>
      </c>
      <c r="F137" s="23">
        <f ca="1">MATCH(SUM($P$19:$V70)+$E$82,金币消耗!$K$3:$K$302,1)</f>
        <v>64</v>
      </c>
      <c r="G137" s="23">
        <f ca="1">MATCH(SUM($Z$19:AF70)+$E$82,金币消耗!$K$3:$K$302,1)</f>
        <v>68</v>
      </c>
      <c r="H137" s="23">
        <f ca="1">MATCH(SUM($AI$19:$AO70)+$E$82,金币消耗!$K$3:$K$302,1)</f>
        <v>75</v>
      </c>
    </row>
    <row r="138" spans="4:8">
      <c r="D138" s="23">
        <v>53</v>
      </c>
      <c r="E138" s="23">
        <f ca="1">MATCH(SUM($E$19:$K71)+$E$82,金币消耗!$K$3:$K$302,1)</f>
        <v>57</v>
      </c>
      <c r="F138" s="23">
        <f ca="1">MATCH(SUM($P$19:$V71)+$E$82,金币消耗!$K$3:$K$302,1)</f>
        <v>64</v>
      </c>
      <c r="G138" s="23">
        <f ca="1">MATCH(SUM($Z$19:AF71)+$E$82,金币消耗!$K$3:$K$302,1)</f>
        <v>69</v>
      </c>
      <c r="H138" s="23">
        <f ca="1">MATCH(SUM($AI$19:$AO71)+$E$82,金币消耗!$K$3:$K$302,1)</f>
        <v>76</v>
      </c>
    </row>
    <row r="139" spans="4:8">
      <c r="D139" s="23">
        <v>54</v>
      </c>
      <c r="E139" s="23">
        <f ca="1">MATCH(SUM($E$19:$K72)+$E$82,金币消耗!$K$3:$K$302,1)</f>
        <v>58</v>
      </c>
      <c r="F139" s="23">
        <f ca="1">MATCH(SUM($P$19:$V72)+$E$82,金币消耗!$K$3:$K$302,1)</f>
        <v>65</v>
      </c>
      <c r="G139" s="23">
        <f ca="1">MATCH(SUM($Z$19:AF72)+$E$82,金币消耗!$K$3:$K$302,1)</f>
        <v>70</v>
      </c>
      <c r="H139" s="23">
        <f ca="1">MATCH(SUM($AI$19:$AO72)+$E$82,金币消耗!$K$3:$K$302,1)</f>
        <v>76</v>
      </c>
    </row>
    <row r="140" spans="4:8">
      <c r="D140" s="23">
        <v>55</v>
      </c>
      <c r="E140" s="23">
        <f ca="1">MATCH(SUM($E$19:$K73)+$E$82,金币消耗!$K$3:$K$302,1)</f>
        <v>58</v>
      </c>
      <c r="F140" s="23">
        <f ca="1">MATCH(SUM($P$19:$V73)+$E$82,金币消耗!$K$3:$K$302,1)</f>
        <v>66</v>
      </c>
      <c r="G140" s="23">
        <f ca="1">MATCH(SUM($Z$19:AF73)+$E$82,金币消耗!$K$3:$K$302,1)</f>
        <v>70</v>
      </c>
      <c r="H140" s="23">
        <f ca="1">MATCH(SUM($AI$19:$AO73)+$E$82,金币消耗!$K$3:$K$302,1)</f>
        <v>77</v>
      </c>
    </row>
    <row r="141" spans="4:8">
      <c r="D141" s="23">
        <v>56</v>
      </c>
      <c r="E141" s="23">
        <f ca="1">MATCH(SUM($E$19:$K74)+$E$82,金币消耗!$K$3:$K$302,1)</f>
        <v>59</v>
      </c>
      <c r="F141" s="23">
        <f ca="1">MATCH(SUM($P$19:$V74)+$E$82,金币消耗!$K$3:$K$302,1)</f>
        <v>66</v>
      </c>
      <c r="G141" s="23">
        <f ca="1">MATCH(SUM($Z$19:AF74)+$E$82,金币消耗!$K$3:$K$302,1)</f>
        <v>71</v>
      </c>
      <c r="H141" s="23">
        <f ca="1">MATCH(SUM($AI$19:$AO74)+$E$82,金币消耗!$K$3:$K$302,1)</f>
        <v>78</v>
      </c>
    </row>
    <row r="142" spans="4:8">
      <c r="D142" s="23">
        <v>57</v>
      </c>
      <c r="E142" s="23">
        <f ca="1">MATCH(SUM($E$19:$K75)+$E$82,金币消耗!$K$3:$K$302,1)</f>
        <v>60</v>
      </c>
      <c r="F142" s="23">
        <f ca="1">MATCH(SUM($P$19:$V75)+$E$82,金币消耗!$K$3:$K$302,1)</f>
        <v>67</v>
      </c>
      <c r="G142" s="23">
        <f ca="1">MATCH(SUM($Z$19:AF75)+$E$82,金币消耗!$K$3:$K$302,1)</f>
        <v>72</v>
      </c>
      <c r="H142" s="23">
        <f ca="1">MATCH(SUM($AI$19:$AO75)+$E$82,金币消耗!$K$3:$K$302,1)</f>
        <v>78</v>
      </c>
    </row>
    <row r="143" spans="4:8">
      <c r="D143" s="23">
        <v>58</v>
      </c>
      <c r="E143" s="23">
        <f ca="1">MATCH(SUM($E$19:$K76)+$E$82,金币消耗!$K$3:$K$302,1)</f>
        <v>60</v>
      </c>
      <c r="F143" s="23">
        <f ca="1">MATCH(SUM($P$19:$V76)+$E$82,金币消耗!$K$3:$K$302,1)</f>
        <v>67</v>
      </c>
      <c r="G143" s="23">
        <f ca="1">MATCH(SUM($Z$19:AF76)+$E$82,金币消耗!$K$3:$K$302,1)</f>
        <v>72</v>
      </c>
      <c r="H143" s="23">
        <f ca="1">MATCH(SUM($AI$19:$AO76)+$E$82,金币消耗!$K$3:$K$302,1)</f>
        <v>79</v>
      </c>
    </row>
    <row r="144" spans="4:8">
      <c r="D144" s="23">
        <v>59</v>
      </c>
      <c r="E144" s="23">
        <f ca="1">MATCH(SUM($E$19:$K77)+$E$82,金币消耗!$K$3:$K$302,1)</f>
        <v>61</v>
      </c>
      <c r="F144" s="23">
        <f ca="1">MATCH(SUM($P$19:$V77)+$E$82,金币消耗!$K$3:$K$302,1)</f>
        <v>68</v>
      </c>
      <c r="G144" s="23">
        <f ca="1">MATCH(SUM($Z$19:AF77)+$E$82,金币消耗!$K$3:$K$302,1)</f>
        <v>73</v>
      </c>
      <c r="H144" s="23">
        <f ca="1">MATCH(SUM($AI$19:$AO77)+$E$82,金币消耗!$K$3:$K$302,1)</f>
        <v>80</v>
      </c>
    </row>
    <row r="145" spans="4:8">
      <c r="D145" s="23">
        <v>60</v>
      </c>
      <c r="E145" s="23">
        <f ca="1">MATCH(SUM($E$19:$K78)+$E$82,金币消耗!$K$3:$K$302,1)</f>
        <v>61</v>
      </c>
      <c r="F145" s="23">
        <f ca="1">MATCH(SUM($P$19:$V78)+$E$82,金币消耗!$K$3:$K$302,1)</f>
        <v>69</v>
      </c>
      <c r="G145" s="23">
        <f ca="1">MATCH(SUM($Z$19:AF78)+$E$82,金币消耗!$K$3:$K$302,1)</f>
        <v>74</v>
      </c>
      <c r="H145" s="23">
        <f ca="1">MATCH(SUM($AI$19:$AO78)+$E$82,金币消耗!$K$3:$K$302,1)</f>
        <v>81</v>
      </c>
    </row>
  </sheetData>
  <pageMargins left="0.75" right="0.75" top="1" bottom="1" header="0.5" footer="0.5"/>
  <headerFooter/>
  <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22"/>
  <dimension ref="B5:AS370"/>
  <sheetViews>
    <sheetView workbookViewId="0">
      <selection activeCell="AG65" sqref="AG65"/>
    </sheetView>
  </sheetViews>
  <sheetFormatPr defaultColWidth="9" defaultRowHeight="13.5"/>
  <cols>
    <col min="1" max="3" width="12.625"/>
    <col min="23" max="23" width="12.625"/>
    <col min="29" max="30" width="12.625"/>
    <col min="33" max="35" width="9.375"/>
  </cols>
  <sheetData>
    <row r="5" spans="2:45">
      <c r="J5" t="s">
        <v>754</v>
      </c>
      <c r="M5" t="s">
        <v>755</v>
      </c>
      <c r="N5" t="s">
        <v>204</v>
      </c>
      <c r="R5" t="s">
        <v>756</v>
      </c>
    </row>
    <row r="6" ht="18" spans="2:45">
      <c r="C6" t="s">
        <v>757</v>
      </c>
      <c r="D6" t="s">
        <v>758</v>
      </c>
      <c r="E6" t="s">
        <v>759</v>
      </c>
      <c r="F6" t="s">
        <v>96</v>
      </c>
      <c r="G6" t="s">
        <v>128</v>
      </c>
      <c r="H6" t="s">
        <v>760</v>
      </c>
      <c r="I6" t="s">
        <v>430</v>
      </c>
      <c r="J6" t="s">
        <v>109</v>
      </c>
      <c r="K6" t="s">
        <v>149</v>
      </c>
      <c r="L6" t="s">
        <v>761</v>
      </c>
      <c r="M6" t="s">
        <v>762</v>
      </c>
      <c r="N6" t="s">
        <v>763</v>
      </c>
      <c r="O6" t="s">
        <v>246</v>
      </c>
      <c r="P6" t="s">
        <v>764</v>
      </c>
      <c r="Q6" t="s">
        <v>765</v>
      </c>
      <c r="R6" t="s">
        <v>766</v>
      </c>
      <c r="S6" t="s">
        <v>767</v>
      </c>
      <c r="V6" t="s">
        <v>768</v>
      </c>
      <c r="Y6" t="s">
        <v>21</v>
      </c>
      <c r="Z6" t="s">
        <v>77</v>
      </c>
      <c r="AA6" t="s">
        <v>96</v>
      </c>
      <c r="AB6" t="s">
        <v>769</v>
      </c>
      <c r="AE6" t="s">
        <v>770</v>
      </c>
      <c r="AJ6" s="1" t="s">
        <v>347</v>
      </c>
      <c r="AK6" s="1" t="s">
        <v>771</v>
      </c>
      <c r="AL6" s="1" t="s">
        <v>772</v>
      </c>
      <c r="AP6">
        <v>0.7</v>
      </c>
      <c r="AQ6">
        <v>0.15</v>
      </c>
      <c r="AR6">
        <v>0.05</v>
      </c>
      <c r="AS6">
        <v>0</v>
      </c>
    </row>
    <row r="7" ht="18" spans="2:45">
      <c r="C7">
        <v>1</v>
      </c>
      <c r="D7">
        <v>1</v>
      </c>
      <c r="E7">
        <v>1</v>
      </c>
      <c r="F7">
        <v>140</v>
      </c>
      <c r="G7">
        <v>40</v>
      </c>
      <c r="H7">
        <v>8</v>
      </c>
      <c r="I7">
        <v>0.5</v>
      </c>
      <c r="N7">
        <v>21315</v>
      </c>
      <c r="O7">
        <v>1.5</v>
      </c>
      <c r="P7">
        <f t="shared" ref="P7:P70" si="0">F7</f>
        <v>140</v>
      </c>
      <c r="Q7">
        <v>12</v>
      </c>
      <c r="R7">
        <f t="shared" ref="R7:R70" si="1">P7*28*1.3+F7*40+U7</f>
        <v>10696</v>
      </c>
      <c r="S7">
        <f t="shared" ref="S7:S70" si="2">P7*28</f>
        <v>3920</v>
      </c>
      <c r="T7">
        <f t="shared" ref="T7:T70" si="3">F7</f>
        <v>140</v>
      </c>
      <c r="U7">
        <v>0</v>
      </c>
      <c r="V7">
        <f t="shared" ref="V7:V70" si="4">Q7*28*1.3+H7*40</f>
        <v>756.8</v>
      </c>
      <c r="W7" s="6">
        <f t="shared" ref="W7:W70" si="5">R7/V7</f>
        <v>14.1331923890063</v>
      </c>
      <c r="X7">
        <v>1200</v>
      </c>
      <c r="Y7">
        <v>1</v>
      </c>
      <c r="Z7">
        <v>12</v>
      </c>
      <c r="AA7">
        <f t="shared" ref="AA7:AA66" si="6">_xlfn.XLOOKUP(Z7,C:C,R:R)</f>
        <v>11536.4</v>
      </c>
      <c r="AB7">
        <f t="shared" ref="AB7:AB66" si="7">Q7*28*1.3+H7*40</f>
        <v>756.8</v>
      </c>
      <c r="AC7">
        <f ca="1" t="shared" ref="AC7:AC66" si="8">(AG7+AA7)/AB7</f>
        <v>16.6459830866808</v>
      </c>
      <c r="AD7">
        <f t="shared" ref="AD7:AD70" si="9">P7*2</f>
        <v>280</v>
      </c>
      <c r="AE7">
        <v>12</v>
      </c>
      <c r="AF7">
        <f t="shared" ref="AF7:AF70" si="10">VLOOKUP(INT(AE7/10)+1,$AN$8:$AO$33,2,0)</f>
        <v>16.1</v>
      </c>
      <c r="AG7">
        <f ca="1" t="shared" ref="AG7:AG70" si="11">OFFSET($AK$6,MATCH(Y7,$AL$7:$AL$21,1),0)</f>
        <v>1061.28</v>
      </c>
      <c r="AH7">
        <f t="shared" ref="AH7:AH70" si="12">VLOOKUP(INT(AE7/10)+2,$AN$8:$AO$33,2,0)</f>
        <v>18.4</v>
      </c>
      <c r="AI7">
        <f ca="1" t="shared" ref="AI7:AI70" si="13">OFFSET($AK$6,1+MATCH(Y7,$AL$7:$AL$21,1),0)</f>
        <v>1148.76</v>
      </c>
      <c r="AJ7" s="7">
        <v>1</v>
      </c>
      <c r="AK7" s="7">
        <v>1061.28</v>
      </c>
      <c r="AL7" s="8">
        <f t="shared" ref="AL7:AL21" si="14">_xlfn.XLOOKUP(AJ7*10,C:C,D:D)</f>
        <v>1</v>
      </c>
      <c r="AN7" s="9" t="s">
        <v>23</v>
      </c>
      <c r="AO7" s="9" t="s">
        <v>773</v>
      </c>
      <c r="AP7" s="9" t="s">
        <v>774</v>
      </c>
      <c r="AQ7" s="9" t="s">
        <v>775</v>
      </c>
      <c r="AR7" s="9" t="s">
        <v>776</v>
      </c>
      <c r="AS7" s="9" t="s">
        <v>777</v>
      </c>
    </row>
    <row r="8" ht="18" spans="2:45">
      <c r="B8">
        <f t="shared" ref="B8:B71" si="15">F8/$F$7</f>
        <v>1.00714285714286</v>
      </c>
      <c r="C8">
        <v>2</v>
      </c>
      <c r="D8">
        <v>1</v>
      </c>
      <c r="E8">
        <v>1</v>
      </c>
      <c r="F8">
        <v>141</v>
      </c>
      <c r="G8">
        <v>40</v>
      </c>
      <c r="H8">
        <v>8</v>
      </c>
      <c r="I8">
        <v>0.5</v>
      </c>
      <c r="N8">
        <v>21315</v>
      </c>
      <c r="O8">
        <v>1.5</v>
      </c>
      <c r="P8">
        <f t="shared" si="0"/>
        <v>141</v>
      </c>
      <c r="Q8">
        <v>12</v>
      </c>
      <c r="R8">
        <f t="shared" si="1"/>
        <v>10772.4</v>
      </c>
      <c r="S8">
        <f t="shared" si="2"/>
        <v>3948</v>
      </c>
      <c r="T8">
        <f t="shared" si="3"/>
        <v>141</v>
      </c>
      <c r="U8">
        <v>0</v>
      </c>
      <c r="V8">
        <f t="shared" si="4"/>
        <v>756.8</v>
      </c>
      <c r="W8" s="6">
        <f t="shared" si="5"/>
        <v>14.2341437632135</v>
      </c>
      <c r="X8">
        <v>1200</v>
      </c>
      <c r="Y8">
        <v>2</v>
      </c>
      <c r="Z8">
        <v>20</v>
      </c>
      <c r="AA8">
        <f t="shared" si="6"/>
        <v>12147.6</v>
      </c>
      <c r="AB8">
        <f t="shared" si="7"/>
        <v>756.8</v>
      </c>
      <c r="AC8">
        <f ca="1" t="shared" si="8"/>
        <v>17.4535940803383</v>
      </c>
      <c r="AD8">
        <f t="shared" si="9"/>
        <v>282</v>
      </c>
      <c r="AE8">
        <v>18</v>
      </c>
      <c r="AF8">
        <f t="shared" si="10"/>
        <v>16.1</v>
      </c>
      <c r="AG8">
        <f ca="1" t="shared" si="11"/>
        <v>1061.28</v>
      </c>
      <c r="AH8">
        <f t="shared" si="12"/>
        <v>18.4</v>
      </c>
      <c r="AI8">
        <f ca="1" t="shared" si="13"/>
        <v>1148.76</v>
      </c>
      <c r="AJ8" s="7">
        <v>2</v>
      </c>
      <c r="AK8" s="7">
        <v>1148.76</v>
      </c>
      <c r="AL8" s="8">
        <f t="shared" si="14"/>
        <v>3</v>
      </c>
      <c r="AN8" s="10">
        <v>0</v>
      </c>
      <c r="AO8" s="10">
        <f t="shared" ref="AO8:AO33" si="16">SUMPRODUCT(AP$6:AS$6,AP8:AS8)</f>
        <v>11.5</v>
      </c>
      <c r="AP8" s="10">
        <v>10</v>
      </c>
      <c r="AQ8" s="11">
        <v>20</v>
      </c>
      <c r="AR8" s="11">
        <v>30</v>
      </c>
      <c r="AS8" s="11">
        <v>39.9999999999999</v>
      </c>
    </row>
    <row r="9" ht="18" spans="2:45">
      <c r="B9">
        <f t="shared" si="15"/>
        <v>1.01428571428571</v>
      </c>
      <c r="C9">
        <v>3</v>
      </c>
      <c r="D9">
        <v>1</v>
      </c>
      <c r="E9">
        <v>1</v>
      </c>
      <c r="F9">
        <v>142</v>
      </c>
      <c r="G9">
        <v>40</v>
      </c>
      <c r="H9">
        <v>8</v>
      </c>
      <c r="I9">
        <v>0.5</v>
      </c>
      <c r="N9">
        <v>21315</v>
      </c>
      <c r="O9">
        <v>1.5</v>
      </c>
      <c r="P9">
        <f t="shared" si="0"/>
        <v>142</v>
      </c>
      <c r="Q9">
        <v>12</v>
      </c>
      <c r="R9">
        <f t="shared" si="1"/>
        <v>10848.8</v>
      </c>
      <c r="S9">
        <f t="shared" si="2"/>
        <v>3976</v>
      </c>
      <c r="T9">
        <f t="shared" si="3"/>
        <v>142</v>
      </c>
      <c r="U9">
        <v>0</v>
      </c>
      <c r="V9">
        <f t="shared" si="4"/>
        <v>756.8</v>
      </c>
      <c r="W9" s="6">
        <f t="shared" si="5"/>
        <v>14.3350951374207</v>
      </c>
      <c r="X9">
        <v>1200</v>
      </c>
      <c r="Y9">
        <v>3</v>
      </c>
      <c r="Z9">
        <v>26</v>
      </c>
      <c r="AA9">
        <f t="shared" si="6"/>
        <v>12606</v>
      </c>
      <c r="AB9">
        <f t="shared" si="7"/>
        <v>756.8</v>
      </c>
      <c r="AC9">
        <f ca="1" t="shared" si="8"/>
        <v>18.1748942917548</v>
      </c>
      <c r="AD9">
        <f t="shared" si="9"/>
        <v>284</v>
      </c>
      <c r="AE9">
        <v>24</v>
      </c>
      <c r="AF9">
        <f t="shared" si="10"/>
        <v>18.4</v>
      </c>
      <c r="AG9">
        <f ca="1" t="shared" si="11"/>
        <v>1148.76</v>
      </c>
      <c r="AH9">
        <f t="shared" si="12"/>
        <v>20.7</v>
      </c>
      <c r="AI9">
        <f ca="1" t="shared" si="13"/>
        <v>2043.72</v>
      </c>
      <c r="AJ9" s="7">
        <v>3</v>
      </c>
      <c r="AK9" s="7">
        <v>2043.72</v>
      </c>
      <c r="AL9" s="8">
        <f t="shared" si="14"/>
        <v>5</v>
      </c>
      <c r="AN9" s="10">
        <v>1</v>
      </c>
      <c r="AO9" s="10">
        <f t="shared" si="16"/>
        <v>13.8</v>
      </c>
      <c r="AP9" s="10">
        <v>12</v>
      </c>
      <c r="AQ9" s="11">
        <v>24</v>
      </c>
      <c r="AR9" s="11">
        <v>36</v>
      </c>
      <c r="AS9" s="11">
        <v>47.9999999999999</v>
      </c>
    </row>
    <row r="10" ht="18" spans="2:45">
      <c r="B10">
        <f t="shared" si="15"/>
        <v>1.02142857142857</v>
      </c>
      <c r="C10">
        <v>4</v>
      </c>
      <c r="D10">
        <v>1</v>
      </c>
      <c r="E10">
        <v>1</v>
      </c>
      <c r="F10">
        <v>143</v>
      </c>
      <c r="G10">
        <v>40</v>
      </c>
      <c r="H10">
        <v>8</v>
      </c>
      <c r="I10">
        <v>0.5</v>
      </c>
      <c r="K10">
        <v>2</v>
      </c>
      <c r="N10">
        <v>21315</v>
      </c>
      <c r="O10">
        <v>1.5</v>
      </c>
      <c r="P10">
        <f t="shared" si="0"/>
        <v>143</v>
      </c>
      <c r="Q10">
        <v>12</v>
      </c>
      <c r="R10">
        <f t="shared" si="1"/>
        <v>10925.2</v>
      </c>
      <c r="S10">
        <f t="shared" si="2"/>
        <v>4004</v>
      </c>
      <c r="T10">
        <f t="shared" si="3"/>
        <v>143</v>
      </c>
      <c r="U10">
        <v>0</v>
      </c>
      <c r="V10">
        <f t="shared" si="4"/>
        <v>756.8</v>
      </c>
      <c r="W10" s="6">
        <f t="shared" si="5"/>
        <v>14.4360465116279</v>
      </c>
      <c r="X10">
        <v>1200</v>
      </c>
      <c r="Y10">
        <v>4</v>
      </c>
      <c r="Z10">
        <v>31</v>
      </c>
      <c r="AA10">
        <f t="shared" si="6"/>
        <v>12988</v>
      </c>
      <c r="AB10">
        <f t="shared" si="7"/>
        <v>756.8</v>
      </c>
      <c r="AC10">
        <f ca="1" t="shared" si="8"/>
        <v>18.6796511627907</v>
      </c>
      <c r="AD10">
        <f t="shared" si="9"/>
        <v>286</v>
      </c>
      <c r="AE10">
        <v>29</v>
      </c>
      <c r="AF10">
        <f t="shared" si="10"/>
        <v>18.4</v>
      </c>
      <c r="AG10">
        <f ca="1" t="shared" si="11"/>
        <v>1148.76</v>
      </c>
      <c r="AH10">
        <f t="shared" si="12"/>
        <v>20.7</v>
      </c>
      <c r="AI10">
        <f ca="1" t="shared" si="13"/>
        <v>2043.72</v>
      </c>
      <c r="AJ10" s="7">
        <v>4</v>
      </c>
      <c r="AK10" s="7">
        <v>3496.32</v>
      </c>
      <c r="AL10" s="8">
        <f t="shared" si="14"/>
        <v>9</v>
      </c>
      <c r="AN10" s="10">
        <v>2</v>
      </c>
      <c r="AO10" s="10">
        <f t="shared" si="16"/>
        <v>16.1</v>
      </c>
      <c r="AP10" s="10">
        <v>14</v>
      </c>
      <c r="AQ10" s="11">
        <v>28</v>
      </c>
      <c r="AR10" s="11">
        <v>42</v>
      </c>
      <c r="AS10" s="11">
        <v>55.9999999999999</v>
      </c>
    </row>
    <row r="11" ht="18" spans="2:45">
      <c r="B11">
        <f t="shared" si="15"/>
        <v>1.02857142857143</v>
      </c>
      <c r="C11">
        <v>5</v>
      </c>
      <c r="D11">
        <v>1</v>
      </c>
      <c r="E11">
        <v>1</v>
      </c>
      <c r="F11">
        <v>144</v>
      </c>
      <c r="G11">
        <v>40</v>
      </c>
      <c r="H11">
        <v>8</v>
      </c>
      <c r="I11">
        <v>0.5</v>
      </c>
      <c r="K11">
        <v>2</v>
      </c>
      <c r="L11">
        <v>1</v>
      </c>
      <c r="M11">
        <v>0.1</v>
      </c>
      <c r="N11">
        <v>21315</v>
      </c>
      <c r="O11">
        <v>1.5</v>
      </c>
      <c r="P11">
        <f t="shared" si="0"/>
        <v>144</v>
      </c>
      <c r="Q11">
        <v>12</v>
      </c>
      <c r="R11">
        <f t="shared" si="1"/>
        <v>11001.6</v>
      </c>
      <c r="S11">
        <f t="shared" si="2"/>
        <v>4032</v>
      </c>
      <c r="T11">
        <f t="shared" si="3"/>
        <v>144</v>
      </c>
      <c r="U11">
        <v>0</v>
      </c>
      <c r="V11">
        <f t="shared" si="4"/>
        <v>756.8</v>
      </c>
      <c r="W11" s="6">
        <f t="shared" si="5"/>
        <v>14.5369978858351</v>
      </c>
      <c r="X11">
        <v>1200</v>
      </c>
      <c r="Y11">
        <v>5</v>
      </c>
      <c r="Z11">
        <v>35</v>
      </c>
      <c r="AA11">
        <f t="shared" si="6"/>
        <v>13293.6</v>
      </c>
      <c r="AB11">
        <f t="shared" si="7"/>
        <v>756.8</v>
      </c>
      <c r="AC11">
        <f ca="1" t="shared" si="8"/>
        <v>20.2660147991543</v>
      </c>
      <c r="AD11">
        <f t="shared" si="9"/>
        <v>288</v>
      </c>
      <c r="AE11">
        <v>33</v>
      </c>
      <c r="AF11">
        <f t="shared" si="10"/>
        <v>20.7</v>
      </c>
      <c r="AG11">
        <f ca="1" t="shared" si="11"/>
        <v>2043.72</v>
      </c>
      <c r="AH11">
        <f t="shared" si="12"/>
        <v>23</v>
      </c>
      <c r="AI11">
        <f ca="1" t="shared" si="13"/>
        <v>3496.32</v>
      </c>
      <c r="AJ11" s="7">
        <v>5</v>
      </c>
      <c r="AK11" s="7">
        <v>5029.2</v>
      </c>
      <c r="AL11" s="8">
        <f t="shared" si="14"/>
        <v>14</v>
      </c>
      <c r="AN11" s="10">
        <v>3</v>
      </c>
      <c r="AO11" s="10">
        <f t="shared" si="16"/>
        <v>18.4</v>
      </c>
      <c r="AP11" s="10">
        <v>16</v>
      </c>
      <c r="AQ11" s="11">
        <v>32</v>
      </c>
      <c r="AR11" s="11">
        <v>48</v>
      </c>
      <c r="AS11" s="11">
        <v>63.9999999999998</v>
      </c>
    </row>
    <row r="12" ht="18" spans="2:45">
      <c r="B12">
        <f t="shared" si="15"/>
        <v>1.03571428571429</v>
      </c>
      <c r="C12">
        <v>6</v>
      </c>
      <c r="D12">
        <v>1</v>
      </c>
      <c r="E12">
        <v>1</v>
      </c>
      <c r="F12">
        <v>145</v>
      </c>
      <c r="G12">
        <v>40</v>
      </c>
      <c r="H12">
        <v>8</v>
      </c>
      <c r="I12">
        <v>0.5</v>
      </c>
      <c r="K12">
        <v>2</v>
      </c>
      <c r="L12">
        <v>1</v>
      </c>
      <c r="M12">
        <v>0.1</v>
      </c>
      <c r="N12">
        <v>21315</v>
      </c>
      <c r="O12">
        <v>1.5</v>
      </c>
      <c r="P12">
        <f t="shared" si="0"/>
        <v>145</v>
      </c>
      <c r="Q12">
        <v>12</v>
      </c>
      <c r="R12">
        <f t="shared" si="1"/>
        <v>11078</v>
      </c>
      <c r="S12">
        <f t="shared" si="2"/>
        <v>4060</v>
      </c>
      <c r="T12">
        <f t="shared" si="3"/>
        <v>145</v>
      </c>
      <c r="U12">
        <v>0</v>
      </c>
      <c r="V12">
        <f t="shared" si="4"/>
        <v>756.8</v>
      </c>
      <c r="W12" s="6">
        <f t="shared" si="5"/>
        <v>14.6379492600423</v>
      </c>
      <c r="X12">
        <v>1800</v>
      </c>
      <c r="Y12">
        <v>6</v>
      </c>
      <c r="Z12">
        <v>39</v>
      </c>
      <c r="AA12">
        <f t="shared" si="6"/>
        <v>13599.2</v>
      </c>
      <c r="AB12">
        <f t="shared" si="7"/>
        <v>756.8</v>
      </c>
      <c r="AC12">
        <f ca="1" t="shared" si="8"/>
        <v>20.6698202959831</v>
      </c>
      <c r="AD12">
        <f t="shared" si="9"/>
        <v>290</v>
      </c>
      <c r="AE12">
        <v>37</v>
      </c>
      <c r="AF12">
        <f t="shared" si="10"/>
        <v>20.7</v>
      </c>
      <c r="AG12">
        <f ca="1" t="shared" si="11"/>
        <v>2043.72</v>
      </c>
      <c r="AH12">
        <f t="shared" si="12"/>
        <v>23</v>
      </c>
      <c r="AI12">
        <f ca="1" t="shared" si="13"/>
        <v>3496.32</v>
      </c>
      <c r="AJ12" s="7">
        <v>6</v>
      </c>
      <c r="AK12" s="7">
        <v>5438.88</v>
      </c>
      <c r="AL12" s="8">
        <f t="shared" si="14"/>
        <v>23</v>
      </c>
      <c r="AN12" s="10">
        <v>4</v>
      </c>
      <c r="AO12" s="10">
        <f t="shared" si="16"/>
        <v>20.7</v>
      </c>
      <c r="AP12" s="10">
        <v>18</v>
      </c>
      <c r="AQ12" s="11">
        <v>36</v>
      </c>
      <c r="AR12" s="11">
        <v>54</v>
      </c>
      <c r="AS12" s="11">
        <v>71.9999999999998</v>
      </c>
    </row>
    <row r="13" ht="18" spans="2:45">
      <c r="B13">
        <f t="shared" si="15"/>
        <v>1.04285714285714</v>
      </c>
      <c r="C13">
        <v>7</v>
      </c>
      <c r="D13">
        <v>1</v>
      </c>
      <c r="E13">
        <v>1</v>
      </c>
      <c r="F13">
        <v>146</v>
      </c>
      <c r="G13">
        <v>40</v>
      </c>
      <c r="H13">
        <v>8</v>
      </c>
      <c r="I13">
        <v>0.5</v>
      </c>
      <c r="J13">
        <v>5</v>
      </c>
      <c r="K13">
        <v>2</v>
      </c>
      <c r="L13">
        <v>1</v>
      </c>
      <c r="M13">
        <v>0.1</v>
      </c>
      <c r="N13">
        <v>21315</v>
      </c>
      <c r="O13">
        <v>1.5</v>
      </c>
      <c r="P13">
        <f t="shared" si="0"/>
        <v>146</v>
      </c>
      <c r="Q13">
        <v>12</v>
      </c>
      <c r="R13">
        <f t="shared" si="1"/>
        <v>11154.4</v>
      </c>
      <c r="S13">
        <f t="shared" si="2"/>
        <v>4088</v>
      </c>
      <c r="T13">
        <f t="shared" si="3"/>
        <v>146</v>
      </c>
      <c r="U13">
        <v>0</v>
      </c>
      <c r="V13">
        <f t="shared" si="4"/>
        <v>756.8</v>
      </c>
      <c r="W13" s="6">
        <f t="shared" si="5"/>
        <v>14.7389006342495</v>
      </c>
      <c r="X13">
        <v>1800</v>
      </c>
      <c r="Y13">
        <v>7</v>
      </c>
      <c r="Z13">
        <v>42</v>
      </c>
      <c r="AA13">
        <f t="shared" si="6"/>
        <v>13828.4</v>
      </c>
      <c r="AB13">
        <f t="shared" si="7"/>
        <v>756.8</v>
      </c>
      <c r="AC13">
        <f ca="1" t="shared" si="8"/>
        <v>20.9726744186047</v>
      </c>
      <c r="AD13">
        <f t="shared" si="9"/>
        <v>292</v>
      </c>
      <c r="AE13">
        <v>40</v>
      </c>
      <c r="AF13">
        <f t="shared" si="10"/>
        <v>23</v>
      </c>
      <c r="AG13">
        <f ca="1" t="shared" si="11"/>
        <v>2043.72</v>
      </c>
      <c r="AH13">
        <f t="shared" si="12"/>
        <v>27.6</v>
      </c>
      <c r="AI13">
        <f ca="1" t="shared" si="13"/>
        <v>3496.32</v>
      </c>
      <c r="AJ13" s="7">
        <v>7</v>
      </c>
      <c r="AK13" s="7">
        <v>6500.52</v>
      </c>
      <c r="AL13" s="8">
        <f t="shared" si="14"/>
        <v>33</v>
      </c>
      <c r="AN13" s="10">
        <v>5</v>
      </c>
      <c r="AO13" s="10">
        <f t="shared" si="16"/>
        <v>23</v>
      </c>
      <c r="AP13" s="10">
        <v>20</v>
      </c>
      <c r="AQ13" s="11">
        <v>40</v>
      </c>
      <c r="AR13" s="11">
        <v>60</v>
      </c>
      <c r="AS13" s="11">
        <v>79.9999999999998</v>
      </c>
    </row>
    <row r="14" ht="18" spans="2:45">
      <c r="B14">
        <f t="shared" si="15"/>
        <v>1.05</v>
      </c>
      <c r="C14">
        <v>8</v>
      </c>
      <c r="D14">
        <v>1</v>
      </c>
      <c r="E14">
        <v>1</v>
      </c>
      <c r="F14">
        <v>147</v>
      </c>
      <c r="G14">
        <v>40</v>
      </c>
      <c r="H14">
        <v>8</v>
      </c>
      <c r="I14">
        <v>0.5</v>
      </c>
      <c r="J14">
        <v>5</v>
      </c>
      <c r="K14">
        <v>2</v>
      </c>
      <c r="L14">
        <v>1</v>
      </c>
      <c r="M14">
        <v>0.1</v>
      </c>
      <c r="N14">
        <v>21315</v>
      </c>
      <c r="O14">
        <v>1.5</v>
      </c>
      <c r="P14">
        <f t="shared" si="0"/>
        <v>147</v>
      </c>
      <c r="Q14">
        <v>12</v>
      </c>
      <c r="R14">
        <f t="shared" si="1"/>
        <v>11230.8</v>
      </c>
      <c r="S14">
        <f t="shared" si="2"/>
        <v>4116</v>
      </c>
      <c r="T14">
        <f t="shared" si="3"/>
        <v>147</v>
      </c>
      <c r="U14">
        <v>0</v>
      </c>
      <c r="V14">
        <f t="shared" si="4"/>
        <v>756.8</v>
      </c>
      <c r="W14" s="6">
        <f t="shared" si="5"/>
        <v>14.8398520084567</v>
      </c>
      <c r="X14">
        <v>1800</v>
      </c>
      <c r="Y14">
        <v>8</v>
      </c>
      <c r="Z14">
        <v>45</v>
      </c>
      <c r="AA14">
        <f t="shared" si="6"/>
        <v>14057.6</v>
      </c>
      <c r="AB14">
        <f t="shared" si="7"/>
        <v>756.8</v>
      </c>
      <c r="AC14">
        <f ca="1" t="shared" si="8"/>
        <v>21.2755285412262</v>
      </c>
      <c r="AD14">
        <f t="shared" si="9"/>
        <v>294</v>
      </c>
      <c r="AE14">
        <v>43</v>
      </c>
      <c r="AF14">
        <f t="shared" si="10"/>
        <v>23</v>
      </c>
      <c r="AG14">
        <f ca="1" t="shared" si="11"/>
        <v>2043.72</v>
      </c>
      <c r="AH14">
        <f t="shared" si="12"/>
        <v>27.6</v>
      </c>
      <c r="AI14">
        <f ca="1" t="shared" si="13"/>
        <v>3496.32</v>
      </c>
      <c r="AJ14" s="7">
        <v>8</v>
      </c>
      <c r="AK14" s="7">
        <v>7491.456</v>
      </c>
      <c r="AL14" s="8">
        <f t="shared" si="14"/>
        <v>45</v>
      </c>
      <c r="AN14" s="10">
        <v>6</v>
      </c>
      <c r="AO14" s="10">
        <f t="shared" si="16"/>
        <v>27.6</v>
      </c>
      <c r="AP14" s="10">
        <v>24</v>
      </c>
      <c r="AQ14" s="11">
        <v>48</v>
      </c>
      <c r="AR14" s="11">
        <v>72</v>
      </c>
      <c r="AS14" s="11">
        <v>95.9999999999998</v>
      </c>
    </row>
    <row r="15" ht="18" spans="2:45">
      <c r="B15">
        <f t="shared" si="15"/>
        <v>1.05714285714286</v>
      </c>
      <c r="C15">
        <v>9</v>
      </c>
      <c r="D15">
        <v>1</v>
      </c>
      <c r="E15">
        <v>1</v>
      </c>
      <c r="F15">
        <v>148</v>
      </c>
      <c r="G15">
        <v>40</v>
      </c>
      <c r="H15">
        <v>8</v>
      </c>
      <c r="I15">
        <v>0.5</v>
      </c>
      <c r="J15">
        <v>5</v>
      </c>
      <c r="K15">
        <v>2</v>
      </c>
      <c r="L15">
        <v>1</v>
      </c>
      <c r="M15">
        <v>0.1</v>
      </c>
      <c r="N15">
        <v>21315</v>
      </c>
      <c r="O15">
        <v>1.5</v>
      </c>
      <c r="P15">
        <f t="shared" si="0"/>
        <v>148</v>
      </c>
      <c r="Q15">
        <v>12</v>
      </c>
      <c r="R15">
        <f t="shared" si="1"/>
        <v>11307.2</v>
      </c>
      <c r="S15">
        <f t="shared" si="2"/>
        <v>4144</v>
      </c>
      <c r="T15">
        <f t="shared" si="3"/>
        <v>148</v>
      </c>
      <c r="U15">
        <v>0</v>
      </c>
      <c r="V15">
        <f t="shared" si="4"/>
        <v>756.8</v>
      </c>
      <c r="W15" s="6">
        <f t="shared" si="5"/>
        <v>14.9408033826638</v>
      </c>
      <c r="X15">
        <v>1800</v>
      </c>
      <c r="Y15">
        <v>9</v>
      </c>
      <c r="Z15">
        <v>47</v>
      </c>
      <c r="AA15">
        <f t="shared" si="6"/>
        <v>14210.4</v>
      </c>
      <c r="AB15">
        <f t="shared" si="7"/>
        <v>756.8</v>
      </c>
      <c r="AC15">
        <f ca="1" t="shared" si="8"/>
        <v>23.3968287526427</v>
      </c>
      <c r="AD15">
        <f t="shared" si="9"/>
        <v>296</v>
      </c>
      <c r="AE15">
        <v>46</v>
      </c>
      <c r="AF15">
        <f t="shared" si="10"/>
        <v>23</v>
      </c>
      <c r="AG15">
        <f ca="1" t="shared" si="11"/>
        <v>3496.32</v>
      </c>
      <c r="AH15">
        <f t="shared" si="12"/>
        <v>27.6</v>
      </c>
      <c r="AI15">
        <f ca="1" t="shared" si="13"/>
        <v>5029.2</v>
      </c>
      <c r="AJ15" s="7">
        <v>9</v>
      </c>
      <c r="AK15" s="7">
        <v>8700.48</v>
      </c>
      <c r="AL15" s="8">
        <f t="shared" si="14"/>
        <v>65</v>
      </c>
      <c r="AN15" s="10">
        <v>7</v>
      </c>
      <c r="AO15" s="10">
        <f t="shared" si="16"/>
        <v>32.2</v>
      </c>
      <c r="AP15" s="10">
        <v>28</v>
      </c>
      <c r="AQ15" s="11">
        <v>56</v>
      </c>
      <c r="AR15" s="11">
        <v>84</v>
      </c>
      <c r="AS15" s="11">
        <v>112</v>
      </c>
    </row>
    <row r="16" ht="18" spans="2:45">
      <c r="B16">
        <f t="shared" si="15"/>
        <v>1.06428571428571</v>
      </c>
      <c r="C16">
        <v>10</v>
      </c>
      <c r="D16">
        <v>1</v>
      </c>
      <c r="E16">
        <v>1</v>
      </c>
      <c r="F16">
        <v>149</v>
      </c>
      <c r="G16">
        <v>40</v>
      </c>
      <c r="H16">
        <v>8</v>
      </c>
      <c r="I16">
        <v>0.5</v>
      </c>
      <c r="J16">
        <v>5</v>
      </c>
      <c r="K16">
        <v>2</v>
      </c>
      <c r="L16">
        <v>1</v>
      </c>
      <c r="M16">
        <v>0.1</v>
      </c>
      <c r="N16">
        <v>21315</v>
      </c>
      <c r="O16">
        <v>1.5</v>
      </c>
      <c r="P16">
        <f t="shared" si="0"/>
        <v>149</v>
      </c>
      <c r="Q16">
        <v>12</v>
      </c>
      <c r="R16">
        <f t="shared" si="1"/>
        <v>11383.6</v>
      </c>
      <c r="S16">
        <f t="shared" si="2"/>
        <v>4172</v>
      </c>
      <c r="T16">
        <f t="shared" si="3"/>
        <v>149</v>
      </c>
      <c r="U16">
        <v>0</v>
      </c>
      <c r="V16">
        <f t="shared" si="4"/>
        <v>756.8</v>
      </c>
      <c r="W16" s="6">
        <f t="shared" si="5"/>
        <v>15.041754756871</v>
      </c>
      <c r="X16">
        <v>1800</v>
      </c>
      <c r="Y16">
        <v>10</v>
      </c>
      <c r="Z16">
        <v>49</v>
      </c>
      <c r="AA16">
        <f t="shared" si="6"/>
        <v>14363.2</v>
      </c>
      <c r="AB16">
        <f t="shared" si="7"/>
        <v>756.8</v>
      </c>
      <c r="AC16">
        <f ca="1" t="shared" si="8"/>
        <v>23.5987315010571</v>
      </c>
      <c r="AD16">
        <f t="shared" si="9"/>
        <v>298</v>
      </c>
      <c r="AE16">
        <v>49</v>
      </c>
      <c r="AF16">
        <f t="shared" si="10"/>
        <v>23</v>
      </c>
      <c r="AG16">
        <f ca="1" t="shared" si="11"/>
        <v>3496.32</v>
      </c>
      <c r="AH16">
        <f t="shared" si="12"/>
        <v>27.6</v>
      </c>
      <c r="AI16">
        <f ca="1" t="shared" si="13"/>
        <v>5029.2</v>
      </c>
      <c r="AJ16" s="7">
        <v>10</v>
      </c>
      <c r="AK16" s="7">
        <v>8752.752</v>
      </c>
      <c r="AL16" s="8">
        <f t="shared" si="14"/>
        <v>85</v>
      </c>
      <c r="AN16" s="10">
        <v>8</v>
      </c>
      <c r="AO16" s="10">
        <f t="shared" si="16"/>
        <v>36.8</v>
      </c>
      <c r="AP16" s="10">
        <v>32</v>
      </c>
      <c r="AQ16" s="11">
        <v>64</v>
      </c>
      <c r="AR16" s="11">
        <v>96</v>
      </c>
      <c r="AS16" s="11">
        <v>128</v>
      </c>
    </row>
    <row r="17" ht="18" spans="2:45">
      <c r="B17">
        <f t="shared" si="15"/>
        <v>1.07142857142857</v>
      </c>
      <c r="C17">
        <v>11</v>
      </c>
      <c r="D17">
        <v>1</v>
      </c>
      <c r="E17">
        <v>1</v>
      </c>
      <c r="F17">
        <v>150</v>
      </c>
      <c r="G17">
        <v>40</v>
      </c>
      <c r="H17">
        <v>8</v>
      </c>
      <c r="I17">
        <v>0.5</v>
      </c>
      <c r="J17">
        <v>5</v>
      </c>
      <c r="K17">
        <v>2</v>
      </c>
      <c r="L17">
        <v>1</v>
      </c>
      <c r="M17">
        <v>0.1</v>
      </c>
      <c r="N17">
        <v>21315</v>
      </c>
      <c r="O17">
        <v>1.5</v>
      </c>
      <c r="P17">
        <f t="shared" si="0"/>
        <v>150</v>
      </c>
      <c r="Q17">
        <v>12</v>
      </c>
      <c r="R17">
        <f t="shared" si="1"/>
        <v>11460</v>
      </c>
      <c r="S17">
        <f t="shared" si="2"/>
        <v>4200</v>
      </c>
      <c r="T17">
        <f t="shared" si="3"/>
        <v>150</v>
      </c>
      <c r="U17">
        <v>0</v>
      </c>
      <c r="V17">
        <f t="shared" si="4"/>
        <v>756.8</v>
      </c>
      <c r="W17" s="6">
        <f t="shared" si="5"/>
        <v>15.1427061310782</v>
      </c>
      <c r="X17">
        <v>1800</v>
      </c>
      <c r="Y17">
        <v>11</v>
      </c>
      <c r="Z17">
        <v>51</v>
      </c>
      <c r="AA17">
        <f t="shared" si="6"/>
        <v>14516</v>
      </c>
      <c r="AB17">
        <f t="shared" si="7"/>
        <v>756.8</v>
      </c>
      <c r="AC17">
        <f ca="1" t="shared" si="8"/>
        <v>23.8006342494715</v>
      </c>
      <c r="AD17">
        <f t="shared" si="9"/>
        <v>300</v>
      </c>
      <c r="AE17">
        <v>51</v>
      </c>
      <c r="AF17">
        <f t="shared" si="10"/>
        <v>27.6</v>
      </c>
      <c r="AG17">
        <f ca="1" t="shared" si="11"/>
        <v>3496.32</v>
      </c>
      <c r="AH17">
        <f t="shared" si="12"/>
        <v>32.2</v>
      </c>
      <c r="AI17">
        <f ca="1" t="shared" si="13"/>
        <v>5029.2</v>
      </c>
      <c r="AJ17" s="7">
        <v>11</v>
      </c>
      <c r="AK17" s="7">
        <v>10026.9</v>
      </c>
      <c r="AL17" s="8">
        <f t="shared" si="14"/>
        <v>105</v>
      </c>
      <c r="AN17" s="10">
        <v>9</v>
      </c>
      <c r="AO17" s="10">
        <f t="shared" si="16"/>
        <v>41.4</v>
      </c>
      <c r="AP17" s="10">
        <v>36</v>
      </c>
      <c r="AQ17" s="11">
        <v>72</v>
      </c>
      <c r="AR17" s="11">
        <v>108</v>
      </c>
      <c r="AS17" s="11">
        <v>144</v>
      </c>
    </row>
    <row r="18" ht="18" spans="2:45">
      <c r="B18">
        <f t="shared" si="15"/>
        <v>1.07857142857143</v>
      </c>
      <c r="C18">
        <v>12</v>
      </c>
      <c r="D18">
        <v>1</v>
      </c>
      <c r="E18">
        <v>1</v>
      </c>
      <c r="F18">
        <v>151</v>
      </c>
      <c r="G18">
        <v>40</v>
      </c>
      <c r="H18">
        <v>8</v>
      </c>
      <c r="I18">
        <v>0.5</v>
      </c>
      <c r="J18">
        <v>5</v>
      </c>
      <c r="K18">
        <v>2</v>
      </c>
      <c r="L18">
        <v>1</v>
      </c>
      <c r="M18">
        <v>0.1</v>
      </c>
      <c r="N18">
        <v>21315</v>
      </c>
      <c r="O18">
        <v>1.5</v>
      </c>
      <c r="P18">
        <f t="shared" si="0"/>
        <v>151</v>
      </c>
      <c r="Q18">
        <v>12</v>
      </c>
      <c r="R18">
        <f t="shared" si="1"/>
        <v>11536.4</v>
      </c>
      <c r="S18">
        <f t="shared" si="2"/>
        <v>4228</v>
      </c>
      <c r="T18">
        <f t="shared" si="3"/>
        <v>151</v>
      </c>
      <c r="U18">
        <v>0</v>
      </c>
      <c r="V18">
        <f t="shared" si="4"/>
        <v>756.8</v>
      </c>
      <c r="W18" s="6">
        <f t="shared" si="5"/>
        <v>15.2436575052854</v>
      </c>
      <c r="X18">
        <v>1800</v>
      </c>
      <c r="Y18">
        <v>12</v>
      </c>
      <c r="Z18">
        <v>53</v>
      </c>
      <c r="AA18">
        <f t="shared" si="6"/>
        <v>14668.8</v>
      </c>
      <c r="AB18">
        <f t="shared" si="7"/>
        <v>756.8</v>
      </c>
      <c r="AC18">
        <f ca="1" t="shared" si="8"/>
        <v>24.0025369978858</v>
      </c>
      <c r="AD18">
        <f t="shared" si="9"/>
        <v>302</v>
      </c>
      <c r="AE18">
        <v>53</v>
      </c>
      <c r="AF18">
        <f t="shared" si="10"/>
        <v>27.6</v>
      </c>
      <c r="AG18">
        <f ca="1" t="shared" si="11"/>
        <v>3496.32</v>
      </c>
      <c r="AH18">
        <f t="shared" si="12"/>
        <v>32.2</v>
      </c>
      <c r="AI18">
        <f ca="1" t="shared" si="13"/>
        <v>5029.2</v>
      </c>
      <c r="AJ18" s="7">
        <v>12</v>
      </c>
      <c r="AK18" s="7">
        <v>11878.632</v>
      </c>
      <c r="AL18" s="8">
        <f t="shared" si="14"/>
        <v>125</v>
      </c>
      <c r="AN18" s="10">
        <v>10</v>
      </c>
      <c r="AO18" s="10">
        <f t="shared" si="16"/>
        <v>46</v>
      </c>
      <c r="AP18" s="10">
        <v>40</v>
      </c>
      <c r="AQ18" s="11">
        <v>80</v>
      </c>
      <c r="AR18" s="11">
        <v>120</v>
      </c>
      <c r="AS18" s="11">
        <v>160</v>
      </c>
    </row>
    <row r="19" ht="18" spans="2:45">
      <c r="B19">
        <f t="shared" si="15"/>
        <v>1.08571428571429</v>
      </c>
      <c r="C19">
        <v>13</v>
      </c>
      <c r="D19">
        <v>2</v>
      </c>
      <c r="E19">
        <v>1</v>
      </c>
      <c r="F19">
        <v>152</v>
      </c>
      <c r="G19">
        <v>40</v>
      </c>
      <c r="H19">
        <v>8</v>
      </c>
      <c r="I19">
        <v>0.5</v>
      </c>
      <c r="J19">
        <v>5</v>
      </c>
      <c r="K19">
        <v>2</v>
      </c>
      <c r="L19">
        <v>1</v>
      </c>
      <c r="M19">
        <v>0.1</v>
      </c>
      <c r="N19">
        <v>21315</v>
      </c>
      <c r="O19">
        <v>1.5</v>
      </c>
      <c r="P19">
        <f t="shared" si="0"/>
        <v>152</v>
      </c>
      <c r="Q19">
        <v>12</v>
      </c>
      <c r="R19">
        <f t="shared" si="1"/>
        <v>11612.8</v>
      </c>
      <c r="S19">
        <f t="shared" si="2"/>
        <v>4256</v>
      </c>
      <c r="T19">
        <f t="shared" si="3"/>
        <v>152</v>
      </c>
      <c r="U19">
        <v>0</v>
      </c>
      <c r="V19">
        <f t="shared" si="4"/>
        <v>756.8</v>
      </c>
      <c r="W19" s="6">
        <f t="shared" si="5"/>
        <v>15.3446088794926</v>
      </c>
      <c r="X19">
        <v>1800</v>
      </c>
      <c r="Y19">
        <v>13</v>
      </c>
      <c r="Z19">
        <v>55</v>
      </c>
      <c r="AA19">
        <f t="shared" si="6"/>
        <v>14821.6</v>
      </c>
      <c r="AB19">
        <f t="shared" si="7"/>
        <v>756.8</v>
      </c>
      <c r="AC19">
        <f ca="1" t="shared" si="8"/>
        <v>24.2044397463002</v>
      </c>
      <c r="AD19">
        <f t="shared" si="9"/>
        <v>304</v>
      </c>
      <c r="AE19">
        <v>55</v>
      </c>
      <c r="AF19">
        <f t="shared" si="10"/>
        <v>27.6</v>
      </c>
      <c r="AG19">
        <f ca="1" t="shared" si="11"/>
        <v>3496.32</v>
      </c>
      <c r="AH19">
        <f t="shared" si="12"/>
        <v>32.2</v>
      </c>
      <c r="AI19">
        <f ca="1" t="shared" si="13"/>
        <v>5029.2</v>
      </c>
      <c r="AJ19" s="7">
        <v>13</v>
      </c>
      <c r="AK19" s="7">
        <v>13900.428</v>
      </c>
      <c r="AL19" s="8">
        <f t="shared" si="14"/>
        <v>145</v>
      </c>
      <c r="AN19" s="10">
        <v>11</v>
      </c>
      <c r="AO19" s="10">
        <f t="shared" si="16"/>
        <v>55.2</v>
      </c>
      <c r="AP19" s="10">
        <v>48</v>
      </c>
      <c r="AQ19" s="11">
        <v>96</v>
      </c>
      <c r="AR19" s="11">
        <v>144</v>
      </c>
      <c r="AS19" s="11">
        <v>192</v>
      </c>
    </row>
    <row r="20" ht="18" spans="2:45">
      <c r="B20">
        <f t="shared" si="15"/>
        <v>1.09285714285714</v>
      </c>
      <c r="C20">
        <v>14</v>
      </c>
      <c r="D20">
        <v>2</v>
      </c>
      <c r="E20">
        <v>1</v>
      </c>
      <c r="F20">
        <v>153</v>
      </c>
      <c r="G20">
        <v>40</v>
      </c>
      <c r="H20">
        <v>8</v>
      </c>
      <c r="I20">
        <v>0.5</v>
      </c>
      <c r="J20">
        <v>5</v>
      </c>
      <c r="K20">
        <v>2</v>
      </c>
      <c r="L20">
        <v>1</v>
      </c>
      <c r="M20">
        <v>0.1</v>
      </c>
      <c r="N20">
        <v>21315</v>
      </c>
      <c r="O20">
        <v>1.5</v>
      </c>
      <c r="P20">
        <f t="shared" si="0"/>
        <v>153</v>
      </c>
      <c r="Q20">
        <v>12</v>
      </c>
      <c r="R20">
        <f t="shared" si="1"/>
        <v>11689.2</v>
      </c>
      <c r="S20">
        <f t="shared" si="2"/>
        <v>4284</v>
      </c>
      <c r="T20">
        <f t="shared" si="3"/>
        <v>153</v>
      </c>
      <c r="U20">
        <v>0</v>
      </c>
      <c r="V20">
        <f t="shared" si="4"/>
        <v>756.8</v>
      </c>
      <c r="W20" s="6">
        <f t="shared" si="5"/>
        <v>15.4455602536998</v>
      </c>
      <c r="X20">
        <v>1800</v>
      </c>
      <c r="Y20">
        <v>14</v>
      </c>
      <c r="Z20">
        <v>57</v>
      </c>
      <c r="AA20">
        <f t="shared" si="6"/>
        <v>14974.4</v>
      </c>
      <c r="AB20">
        <f t="shared" si="7"/>
        <v>756.8</v>
      </c>
      <c r="AC20">
        <f ca="1" t="shared" si="8"/>
        <v>26.4318181818182</v>
      </c>
      <c r="AD20">
        <f t="shared" si="9"/>
        <v>306</v>
      </c>
      <c r="AE20">
        <v>56</v>
      </c>
      <c r="AF20">
        <f t="shared" si="10"/>
        <v>27.6</v>
      </c>
      <c r="AG20">
        <f ca="1" t="shared" si="11"/>
        <v>5029.2</v>
      </c>
      <c r="AH20">
        <f t="shared" si="12"/>
        <v>32.2</v>
      </c>
      <c r="AI20">
        <f ca="1" t="shared" si="13"/>
        <v>5438.88</v>
      </c>
      <c r="AJ20" s="7">
        <v>14</v>
      </c>
      <c r="AK20" s="7">
        <v>15695.064</v>
      </c>
      <c r="AL20" s="8">
        <f t="shared" si="14"/>
        <v>173</v>
      </c>
      <c r="AN20" s="10">
        <v>12</v>
      </c>
      <c r="AO20" s="10">
        <f t="shared" si="16"/>
        <v>64.4</v>
      </c>
      <c r="AP20" s="10">
        <v>56</v>
      </c>
      <c r="AQ20" s="11">
        <v>112</v>
      </c>
      <c r="AR20" s="11">
        <v>168</v>
      </c>
      <c r="AS20" s="11">
        <v>223.999999999999</v>
      </c>
    </row>
    <row r="21" ht="18" spans="2:45">
      <c r="B21">
        <f t="shared" si="15"/>
        <v>1.1</v>
      </c>
      <c r="C21">
        <v>15</v>
      </c>
      <c r="D21">
        <v>2</v>
      </c>
      <c r="E21">
        <v>1</v>
      </c>
      <c r="F21">
        <v>154</v>
      </c>
      <c r="G21">
        <v>40</v>
      </c>
      <c r="H21">
        <v>8</v>
      </c>
      <c r="I21">
        <v>0.5</v>
      </c>
      <c r="J21">
        <v>5</v>
      </c>
      <c r="K21">
        <v>2</v>
      </c>
      <c r="L21">
        <v>1</v>
      </c>
      <c r="M21">
        <v>0.1</v>
      </c>
      <c r="N21">
        <v>21315</v>
      </c>
      <c r="O21">
        <v>1.5</v>
      </c>
      <c r="P21">
        <f t="shared" si="0"/>
        <v>154</v>
      </c>
      <c r="Q21">
        <v>12</v>
      </c>
      <c r="R21">
        <f t="shared" si="1"/>
        <v>11765.6</v>
      </c>
      <c r="S21">
        <f t="shared" si="2"/>
        <v>4312</v>
      </c>
      <c r="T21">
        <f t="shared" si="3"/>
        <v>154</v>
      </c>
      <c r="U21">
        <v>0</v>
      </c>
      <c r="V21">
        <f t="shared" si="4"/>
        <v>756.8</v>
      </c>
      <c r="W21" s="6">
        <f t="shared" si="5"/>
        <v>15.546511627907</v>
      </c>
      <c r="X21">
        <v>1800</v>
      </c>
      <c r="Y21">
        <v>15</v>
      </c>
      <c r="Z21">
        <v>59</v>
      </c>
      <c r="AA21">
        <f t="shared" si="6"/>
        <v>15127.2</v>
      </c>
      <c r="AB21">
        <f t="shared" si="7"/>
        <v>756.8</v>
      </c>
      <c r="AC21">
        <f ca="1" t="shared" si="8"/>
        <v>26.6337209302326</v>
      </c>
      <c r="AD21">
        <f t="shared" si="9"/>
        <v>308</v>
      </c>
      <c r="AE21">
        <v>57</v>
      </c>
      <c r="AF21">
        <f t="shared" si="10"/>
        <v>27.6</v>
      </c>
      <c r="AG21">
        <f ca="1" t="shared" si="11"/>
        <v>5029.2</v>
      </c>
      <c r="AH21">
        <f t="shared" si="12"/>
        <v>32.2</v>
      </c>
      <c r="AI21">
        <f ca="1" t="shared" si="13"/>
        <v>5438.88</v>
      </c>
      <c r="AJ21" s="7">
        <v>15</v>
      </c>
      <c r="AK21" s="7">
        <v>17267.4</v>
      </c>
      <c r="AL21" s="8">
        <f t="shared" si="14"/>
        <v>203</v>
      </c>
      <c r="AN21" s="10">
        <v>13</v>
      </c>
      <c r="AO21" s="10">
        <f t="shared" si="16"/>
        <v>73.6</v>
      </c>
      <c r="AP21" s="10">
        <v>64</v>
      </c>
      <c r="AQ21" s="11">
        <v>128</v>
      </c>
      <c r="AR21" s="11">
        <v>192</v>
      </c>
      <c r="AS21" s="11">
        <v>255.999999999999</v>
      </c>
    </row>
    <row r="22" ht="16.5" spans="2:45">
      <c r="B22">
        <f t="shared" si="15"/>
        <v>1.10714285714286</v>
      </c>
      <c r="C22">
        <v>16</v>
      </c>
      <c r="D22">
        <v>2</v>
      </c>
      <c r="E22">
        <v>1</v>
      </c>
      <c r="F22">
        <v>155</v>
      </c>
      <c r="G22">
        <v>40</v>
      </c>
      <c r="H22">
        <v>8</v>
      </c>
      <c r="I22">
        <v>0.5</v>
      </c>
      <c r="J22">
        <v>5</v>
      </c>
      <c r="K22">
        <v>2</v>
      </c>
      <c r="L22">
        <v>1</v>
      </c>
      <c r="M22">
        <v>0.1</v>
      </c>
      <c r="N22">
        <v>21315</v>
      </c>
      <c r="O22">
        <v>1.5</v>
      </c>
      <c r="P22">
        <f t="shared" si="0"/>
        <v>155</v>
      </c>
      <c r="Q22">
        <v>12</v>
      </c>
      <c r="R22">
        <f t="shared" si="1"/>
        <v>11842</v>
      </c>
      <c r="S22">
        <f t="shared" si="2"/>
        <v>4340</v>
      </c>
      <c r="T22">
        <f t="shared" si="3"/>
        <v>155</v>
      </c>
      <c r="U22">
        <v>0</v>
      </c>
      <c r="V22">
        <f t="shared" si="4"/>
        <v>756.8</v>
      </c>
      <c r="W22" s="6">
        <f t="shared" si="5"/>
        <v>15.6474630021142</v>
      </c>
      <c r="X22">
        <v>1800</v>
      </c>
      <c r="Y22">
        <v>16</v>
      </c>
      <c r="Z22">
        <v>61</v>
      </c>
      <c r="AA22">
        <f t="shared" si="6"/>
        <v>15280</v>
      </c>
      <c r="AB22">
        <f t="shared" si="7"/>
        <v>756.8</v>
      </c>
      <c r="AC22">
        <f ca="1" t="shared" si="8"/>
        <v>26.8356236786469</v>
      </c>
      <c r="AD22">
        <f t="shared" si="9"/>
        <v>310</v>
      </c>
      <c r="AE22">
        <v>58</v>
      </c>
      <c r="AF22">
        <f t="shared" si="10"/>
        <v>27.6</v>
      </c>
      <c r="AG22">
        <f ca="1" t="shared" si="11"/>
        <v>5029.2</v>
      </c>
      <c r="AH22">
        <f t="shared" si="12"/>
        <v>32.2</v>
      </c>
      <c r="AI22">
        <f ca="1" t="shared" si="13"/>
        <v>5438.88</v>
      </c>
      <c r="AN22" s="10">
        <v>14</v>
      </c>
      <c r="AO22" s="10">
        <f t="shared" si="16"/>
        <v>82.8</v>
      </c>
      <c r="AP22" s="10">
        <v>72</v>
      </c>
      <c r="AQ22" s="11">
        <v>144</v>
      </c>
      <c r="AR22" s="11">
        <v>216</v>
      </c>
      <c r="AS22" s="11">
        <v>287.999999999999</v>
      </c>
    </row>
    <row r="23" ht="16.5" spans="2:45">
      <c r="B23">
        <f t="shared" si="15"/>
        <v>1.11428571428571</v>
      </c>
      <c r="C23">
        <v>17</v>
      </c>
      <c r="D23">
        <v>2</v>
      </c>
      <c r="E23">
        <v>1</v>
      </c>
      <c r="F23">
        <v>156</v>
      </c>
      <c r="G23">
        <v>40</v>
      </c>
      <c r="H23">
        <v>8</v>
      </c>
      <c r="I23">
        <v>0.5</v>
      </c>
      <c r="J23">
        <v>5</v>
      </c>
      <c r="K23">
        <v>2</v>
      </c>
      <c r="L23">
        <v>1</v>
      </c>
      <c r="M23">
        <v>0.1</v>
      </c>
      <c r="N23">
        <v>21315</v>
      </c>
      <c r="O23">
        <v>1.5</v>
      </c>
      <c r="P23">
        <f t="shared" si="0"/>
        <v>156</v>
      </c>
      <c r="Q23">
        <v>12</v>
      </c>
      <c r="R23">
        <f t="shared" si="1"/>
        <v>11918.4</v>
      </c>
      <c r="S23">
        <f t="shared" si="2"/>
        <v>4368</v>
      </c>
      <c r="T23">
        <f t="shared" si="3"/>
        <v>156</v>
      </c>
      <c r="U23">
        <v>0</v>
      </c>
      <c r="V23">
        <f t="shared" si="4"/>
        <v>756.8</v>
      </c>
      <c r="W23" s="6">
        <f t="shared" si="5"/>
        <v>15.7484143763214</v>
      </c>
      <c r="X23">
        <v>1800</v>
      </c>
      <c r="Y23">
        <v>17</v>
      </c>
      <c r="Z23">
        <v>63</v>
      </c>
      <c r="AA23">
        <f t="shared" si="6"/>
        <v>15432.8</v>
      </c>
      <c r="AB23">
        <f t="shared" si="7"/>
        <v>756.8</v>
      </c>
      <c r="AC23">
        <f ca="1" t="shared" si="8"/>
        <v>27.0375264270613</v>
      </c>
      <c r="AD23">
        <f t="shared" si="9"/>
        <v>312</v>
      </c>
      <c r="AE23">
        <v>59</v>
      </c>
      <c r="AF23">
        <f t="shared" si="10"/>
        <v>27.6</v>
      </c>
      <c r="AG23">
        <f ca="1" t="shared" si="11"/>
        <v>5029.2</v>
      </c>
      <c r="AH23">
        <f t="shared" si="12"/>
        <v>32.2</v>
      </c>
      <c r="AI23">
        <f ca="1" t="shared" si="13"/>
        <v>5438.88</v>
      </c>
      <c r="AN23" s="10">
        <v>15</v>
      </c>
      <c r="AO23" s="10">
        <f t="shared" si="16"/>
        <v>92</v>
      </c>
      <c r="AP23" s="10">
        <v>80</v>
      </c>
      <c r="AQ23" s="11">
        <v>160</v>
      </c>
      <c r="AR23" s="11">
        <v>240</v>
      </c>
      <c r="AS23" s="11">
        <v>319.999999999999</v>
      </c>
    </row>
    <row r="24" ht="16.5" spans="2:45">
      <c r="B24">
        <f t="shared" si="15"/>
        <v>1.12142857142857</v>
      </c>
      <c r="C24">
        <v>18</v>
      </c>
      <c r="D24">
        <v>2</v>
      </c>
      <c r="E24">
        <v>1</v>
      </c>
      <c r="F24">
        <v>157</v>
      </c>
      <c r="G24">
        <v>40</v>
      </c>
      <c r="H24">
        <v>8</v>
      </c>
      <c r="I24">
        <v>0.5</v>
      </c>
      <c r="J24">
        <v>5</v>
      </c>
      <c r="K24">
        <v>2</v>
      </c>
      <c r="L24">
        <v>1</v>
      </c>
      <c r="M24">
        <v>0.1</v>
      </c>
      <c r="N24">
        <v>21315</v>
      </c>
      <c r="O24">
        <v>1.5</v>
      </c>
      <c r="P24">
        <f t="shared" si="0"/>
        <v>157</v>
      </c>
      <c r="Q24">
        <v>12</v>
      </c>
      <c r="R24">
        <f t="shared" si="1"/>
        <v>11994.8</v>
      </c>
      <c r="S24">
        <f t="shared" si="2"/>
        <v>4396</v>
      </c>
      <c r="T24">
        <f t="shared" si="3"/>
        <v>157</v>
      </c>
      <c r="U24">
        <v>0</v>
      </c>
      <c r="V24">
        <f t="shared" si="4"/>
        <v>756.8</v>
      </c>
      <c r="W24" s="6">
        <f t="shared" si="5"/>
        <v>15.8493657505285</v>
      </c>
      <c r="X24">
        <v>1800</v>
      </c>
      <c r="Y24">
        <v>18</v>
      </c>
      <c r="Z24">
        <v>65</v>
      </c>
      <c r="AA24">
        <f t="shared" si="6"/>
        <v>15585.6</v>
      </c>
      <c r="AB24">
        <f t="shared" si="7"/>
        <v>756.8</v>
      </c>
      <c r="AC24">
        <f ca="1" t="shared" si="8"/>
        <v>27.2394291754757</v>
      </c>
      <c r="AD24">
        <f t="shared" si="9"/>
        <v>314</v>
      </c>
      <c r="AE24">
        <v>60</v>
      </c>
      <c r="AF24">
        <f t="shared" si="10"/>
        <v>32.2</v>
      </c>
      <c r="AG24">
        <f ca="1" t="shared" si="11"/>
        <v>5029.2</v>
      </c>
      <c r="AH24">
        <f t="shared" si="12"/>
        <v>36.8</v>
      </c>
      <c r="AI24">
        <f ca="1" t="shared" si="13"/>
        <v>5438.88</v>
      </c>
      <c r="AN24" s="10">
        <v>16</v>
      </c>
      <c r="AO24" s="10">
        <f t="shared" si="16"/>
        <v>110.4</v>
      </c>
      <c r="AP24" s="10">
        <v>96</v>
      </c>
      <c r="AQ24" s="11">
        <v>192</v>
      </c>
      <c r="AR24" s="11">
        <v>288</v>
      </c>
      <c r="AS24" s="11">
        <v>383.999999999999</v>
      </c>
    </row>
    <row r="25" ht="16.5" spans="2:45">
      <c r="B25">
        <f t="shared" si="15"/>
        <v>1.12857142857143</v>
      </c>
      <c r="C25">
        <v>19</v>
      </c>
      <c r="D25">
        <v>3</v>
      </c>
      <c r="E25">
        <v>1</v>
      </c>
      <c r="F25">
        <v>158</v>
      </c>
      <c r="G25">
        <v>40</v>
      </c>
      <c r="H25">
        <v>8</v>
      </c>
      <c r="I25">
        <v>0.5</v>
      </c>
      <c r="J25">
        <v>5</v>
      </c>
      <c r="K25">
        <v>2</v>
      </c>
      <c r="L25">
        <v>1</v>
      </c>
      <c r="M25">
        <v>0.1</v>
      </c>
      <c r="N25">
        <v>21315</v>
      </c>
      <c r="O25">
        <v>1.5</v>
      </c>
      <c r="P25">
        <f t="shared" si="0"/>
        <v>158</v>
      </c>
      <c r="Q25">
        <v>12</v>
      </c>
      <c r="R25">
        <f t="shared" si="1"/>
        <v>12071.2</v>
      </c>
      <c r="S25">
        <f t="shared" si="2"/>
        <v>4424</v>
      </c>
      <c r="T25">
        <f t="shared" si="3"/>
        <v>158</v>
      </c>
      <c r="U25">
        <v>0</v>
      </c>
      <c r="V25">
        <f t="shared" si="4"/>
        <v>756.8</v>
      </c>
      <c r="W25" s="6">
        <f t="shared" si="5"/>
        <v>15.9503171247357</v>
      </c>
      <c r="X25">
        <v>1800</v>
      </c>
      <c r="Y25">
        <v>19</v>
      </c>
      <c r="Z25">
        <v>67</v>
      </c>
      <c r="AA25">
        <f t="shared" si="6"/>
        <v>15738.4</v>
      </c>
      <c r="AB25">
        <f t="shared" si="7"/>
        <v>756.8</v>
      </c>
      <c r="AC25">
        <f ca="1" t="shared" si="8"/>
        <v>27.4413319238901</v>
      </c>
      <c r="AD25">
        <f t="shared" si="9"/>
        <v>316</v>
      </c>
      <c r="AE25">
        <v>61</v>
      </c>
      <c r="AF25">
        <f t="shared" si="10"/>
        <v>32.2</v>
      </c>
      <c r="AG25">
        <f ca="1" t="shared" si="11"/>
        <v>5029.2</v>
      </c>
      <c r="AH25">
        <f t="shared" si="12"/>
        <v>36.8</v>
      </c>
      <c r="AI25">
        <f ca="1" t="shared" si="13"/>
        <v>5438.88</v>
      </c>
      <c r="AN25" s="10">
        <v>17</v>
      </c>
      <c r="AO25" s="10">
        <f t="shared" si="16"/>
        <v>128.8</v>
      </c>
      <c r="AP25" s="10">
        <v>112</v>
      </c>
      <c r="AQ25" s="11">
        <v>224</v>
      </c>
      <c r="AR25" s="11">
        <v>336</v>
      </c>
      <c r="AS25" s="11">
        <v>447.999999999999</v>
      </c>
    </row>
    <row r="26" ht="16.5" spans="2:45">
      <c r="B26">
        <f t="shared" si="15"/>
        <v>1.13571428571429</v>
      </c>
      <c r="C26">
        <v>20</v>
      </c>
      <c r="D26">
        <v>3</v>
      </c>
      <c r="E26">
        <v>1</v>
      </c>
      <c r="F26">
        <v>159</v>
      </c>
      <c r="G26">
        <v>40</v>
      </c>
      <c r="H26">
        <v>8</v>
      </c>
      <c r="I26">
        <v>0.5</v>
      </c>
      <c r="J26">
        <v>5</v>
      </c>
      <c r="K26">
        <v>2</v>
      </c>
      <c r="L26">
        <v>1</v>
      </c>
      <c r="M26">
        <v>0.1</v>
      </c>
      <c r="N26">
        <v>21315</v>
      </c>
      <c r="O26">
        <v>1.5</v>
      </c>
      <c r="P26">
        <f t="shared" si="0"/>
        <v>159</v>
      </c>
      <c r="Q26">
        <v>12</v>
      </c>
      <c r="R26">
        <f t="shared" si="1"/>
        <v>12147.6</v>
      </c>
      <c r="S26">
        <f t="shared" si="2"/>
        <v>4452</v>
      </c>
      <c r="T26">
        <f t="shared" si="3"/>
        <v>159</v>
      </c>
      <c r="U26">
        <v>0</v>
      </c>
      <c r="V26">
        <f t="shared" si="4"/>
        <v>756.8</v>
      </c>
      <c r="W26" s="6">
        <f t="shared" si="5"/>
        <v>16.0512684989429</v>
      </c>
      <c r="X26">
        <v>1800</v>
      </c>
      <c r="Y26">
        <v>20</v>
      </c>
      <c r="Z26">
        <v>68</v>
      </c>
      <c r="AA26">
        <f t="shared" si="6"/>
        <v>15814.8</v>
      </c>
      <c r="AB26">
        <f t="shared" si="7"/>
        <v>756.8</v>
      </c>
      <c r="AC26">
        <f ca="1" t="shared" si="8"/>
        <v>27.5422832980973</v>
      </c>
      <c r="AD26">
        <f t="shared" si="9"/>
        <v>318</v>
      </c>
      <c r="AE26">
        <v>62</v>
      </c>
      <c r="AF26">
        <f t="shared" si="10"/>
        <v>32.2</v>
      </c>
      <c r="AG26">
        <f ca="1" t="shared" si="11"/>
        <v>5029.2</v>
      </c>
      <c r="AH26">
        <f t="shared" si="12"/>
        <v>36.8</v>
      </c>
      <c r="AI26">
        <f ca="1" t="shared" si="13"/>
        <v>5438.88</v>
      </c>
      <c r="AN26" s="10">
        <v>18</v>
      </c>
      <c r="AO26" s="10">
        <f t="shared" si="16"/>
        <v>147.2</v>
      </c>
      <c r="AP26" s="10">
        <v>128</v>
      </c>
      <c r="AQ26" s="11">
        <v>256</v>
      </c>
      <c r="AR26" s="11">
        <v>384</v>
      </c>
      <c r="AS26" s="11">
        <v>511.999999999999</v>
      </c>
    </row>
    <row r="27" ht="16.5" spans="2:45">
      <c r="B27">
        <f t="shared" si="15"/>
        <v>1.14285714285714</v>
      </c>
      <c r="C27">
        <v>21</v>
      </c>
      <c r="D27">
        <v>3</v>
      </c>
      <c r="E27">
        <v>2</v>
      </c>
      <c r="F27">
        <v>160</v>
      </c>
      <c r="G27">
        <v>40</v>
      </c>
      <c r="H27">
        <v>8</v>
      </c>
      <c r="I27">
        <v>0.5</v>
      </c>
      <c r="J27">
        <v>5</v>
      </c>
      <c r="K27">
        <v>2</v>
      </c>
      <c r="L27">
        <v>1</v>
      </c>
      <c r="M27">
        <v>0.1</v>
      </c>
      <c r="N27">
        <v>21315</v>
      </c>
      <c r="O27">
        <v>1.5</v>
      </c>
      <c r="P27">
        <f t="shared" si="0"/>
        <v>160</v>
      </c>
      <c r="Q27">
        <v>12</v>
      </c>
      <c r="R27">
        <f t="shared" si="1"/>
        <v>12224</v>
      </c>
      <c r="S27">
        <f t="shared" si="2"/>
        <v>4480</v>
      </c>
      <c r="T27">
        <f t="shared" si="3"/>
        <v>160</v>
      </c>
      <c r="U27">
        <v>0</v>
      </c>
      <c r="V27">
        <f t="shared" si="4"/>
        <v>756.8</v>
      </c>
      <c r="W27" s="6">
        <f t="shared" si="5"/>
        <v>16.1522198731501</v>
      </c>
      <c r="X27">
        <v>1800</v>
      </c>
      <c r="Y27">
        <v>21</v>
      </c>
      <c r="Z27">
        <v>69</v>
      </c>
      <c r="AA27">
        <f t="shared" si="6"/>
        <v>15891.2</v>
      </c>
      <c r="AB27">
        <f t="shared" si="7"/>
        <v>756.8</v>
      </c>
      <c r="AC27">
        <f ca="1" t="shared" si="8"/>
        <v>27.6432346723044</v>
      </c>
      <c r="AD27">
        <f t="shared" si="9"/>
        <v>320</v>
      </c>
      <c r="AE27">
        <v>63</v>
      </c>
      <c r="AF27">
        <f t="shared" si="10"/>
        <v>32.2</v>
      </c>
      <c r="AG27">
        <f ca="1" t="shared" si="11"/>
        <v>5029.2</v>
      </c>
      <c r="AH27">
        <f t="shared" si="12"/>
        <v>36.8</v>
      </c>
      <c r="AI27">
        <f ca="1" t="shared" si="13"/>
        <v>5438.88</v>
      </c>
      <c r="AN27" s="10">
        <v>19</v>
      </c>
      <c r="AO27" s="10">
        <f t="shared" si="16"/>
        <v>165.6</v>
      </c>
      <c r="AP27" s="10">
        <v>144</v>
      </c>
      <c r="AQ27" s="11">
        <v>288</v>
      </c>
      <c r="AR27" s="11">
        <v>432</v>
      </c>
      <c r="AS27" s="11">
        <v>575.999999999999</v>
      </c>
    </row>
    <row r="28" ht="16.5" spans="2:45">
      <c r="B28">
        <f t="shared" si="15"/>
        <v>1.15</v>
      </c>
      <c r="C28">
        <v>22</v>
      </c>
      <c r="D28">
        <v>3</v>
      </c>
      <c r="E28">
        <v>2</v>
      </c>
      <c r="F28">
        <v>161</v>
      </c>
      <c r="G28">
        <v>40</v>
      </c>
      <c r="H28">
        <v>8</v>
      </c>
      <c r="I28">
        <v>0.5</v>
      </c>
      <c r="J28">
        <v>5</v>
      </c>
      <c r="K28">
        <v>2</v>
      </c>
      <c r="L28">
        <v>1</v>
      </c>
      <c r="M28">
        <v>0.1</v>
      </c>
      <c r="N28">
        <v>21315</v>
      </c>
      <c r="O28">
        <v>1.5</v>
      </c>
      <c r="P28">
        <f t="shared" si="0"/>
        <v>161</v>
      </c>
      <c r="Q28">
        <v>12</v>
      </c>
      <c r="R28">
        <f t="shared" si="1"/>
        <v>12300.4</v>
      </c>
      <c r="S28">
        <f t="shared" si="2"/>
        <v>4508</v>
      </c>
      <c r="T28">
        <f t="shared" si="3"/>
        <v>161</v>
      </c>
      <c r="U28">
        <v>0</v>
      </c>
      <c r="V28">
        <f t="shared" si="4"/>
        <v>756.8</v>
      </c>
      <c r="W28" s="6">
        <f t="shared" si="5"/>
        <v>16.2531712473573</v>
      </c>
      <c r="X28">
        <v>1800</v>
      </c>
      <c r="Y28">
        <v>22</v>
      </c>
      <c r="Z28">
        <v>70</v>
      </c>
      <c r="AA28">
        <f t="shared" si="6"/>
        <v>15967.6</v>
      </c>
      <c r="AB28">
        <f t="shared" si="7"/>
        <v>756.8</v>
      </c>
      <c r="AC28">
        <f ca="1" t="shared" si="8"/>
        <v>27.7441860465116</v>
      </c>
      <c r="AD28">
        <f t="shared" si="9"/>
        <v>322</v>
      </c>
      <c r="AE28">
        <v>64</v>
      </c>
      <c r="AF28">
        <f t="shared" si="10"/>
        <v>32.2</v>
      </c>
      <c r="AG28">
        <f ca="1" t="shared" si="11"/>
        <v>5029.2</v>
      </c>
      <c r="AH28">
        <f t="shared" si="12"/>
        <v>36.8</v>
      </c>
      <c r="AI28">
        <f ca="1" t="shared" si="13"/>
        <v>5438.88</v>
      </c>
      <c r="AN28" s="10">
        <v>20</v>
      </c>
      <c r="AO28" s="10">
        <f t="shared" si="16"/>
        <v>184</v>
      </c>
      <c r="AP28" s="10">
        <v>160</v>
      </c>
      <c r="AQ28" s="11">
        <v>320</v>
      </c>
      <c r="AR28" s="11">
        <v>480</v>
      </c>
      <c r="AS28" s="11">
        <v>639.999999999998</v>
      </c>
    </row>
    <row r="29" ht="16.5" spans="2:45">
      <c r="B29">
        <f t="shared" si="15"/>
        <v>1.15714285714286</v>
      </c>
      <c r="C29">
        <v>23</v>
      </c>
      <c r="D29">
        <v>3</v>
      </c>
      <c r="E29">
        <v>2</v>
      </c>
      <c r="F29">
        <v>162</v>
      </c>
      <c r="G29">
        <v>40</v>
      </c>
      <c r="H29">
        <v>8</v>
      </c>
      <c r="I29">
        <v>0.5</v>
      </c>
      <c r="J29">
        <v>5</v>
      </c>
      <c r="K29">
        <v>2</v>
      </c>
      <c r="L29">
        <v>1</v>
      </c>
      <c r="M29">
        <v>0.1</v>
      </c>
      <c r="N29">
        <v>21315</v>
      </c>
      <c r="O29">
        <v>1.5</v>
      </c>
      <c r="P29">
        <f t="shared" si="0"/>
        <v>162</v>
      </c>
      <c r="Q29">
        <v>12</v>
      </c>
      <c r="R29">
        <f t="shared" si="1"/>
        <v>12376.8</v>
      </c>
      <c r="S29">
        <f t="shared" si="2"/>
        <v>4536</v>
      </c>
      <c r="T29">
        <f t="shared" si="3"/>
        <v>162</v>
      </c>
      <c r="U29">
        <v>0</v>
      </c>
      <c r="V29">
        <f t="shared" si="4"/>
        <v>756.8</v>
      </c>
      <c r="W29" s="6">
        <f t="shared" si="5"/>
        <v>16.3541226215645</v>
      </c>
      <c r="X29">
        <v>1800</v>
      </c>
      <c r="Y29">
        <v>23</v>
      </c>
      <c r="Z29">
        <v>71</v>
      </c>
      <c r="AA29">
        <f t="shared" si="6"/>
        <v>16044</v>
      </c>
      <c r="AB29">
        <f t="shared" si="7"/>
        <v>756.8</v>
      </c>
      <c r="AC29">
        <f ca="1" t="shared" si="8"/>
        <v>28.3864693446089</v>
      </c>
      <c r="AD29">
        <f t="shared" si="9"/>
        <v>324</v>
      </c>
      <c r="AE29">
        <v>65</v>
      </c>
      <c r="AF29">
        <f t="shared" si="10"/>
        <v>32.2</v>
      </c>
      <c r="AG29">
        <f ca="1" t="shared" si="11"/>
        <v>5438.88</v>
      </c>
      <c r="AH29">
        <f t="shared" si="12"/>
        <v>36.8</v>
      </c>
      <c r="AI29">
        <f ca="1" t="shared" si="13"/>
        <v>6500.52</v>
      </c>
      <c r="AN29" s="10">
        <v>21</v>
      </c>
      <c r="AO29" s="10">
        <f t="shared" si="16"/>
        <v>202.4</v>
      </c>
      <c r="AP29" s="10">
        <v>176</v>
      </c>
      <c r="AQ29" s="11">
        <v>352</v>
      </c>
      <c r="AR29" s="11">
        <v>528</v>
      </c>
      <c r="AS29" s="11">
        <v>703.999999999998</v>
      </c>
    </row>
    <row r="30" ht="16.5" spans="2:45">
      <c r="B30">
        <f t="shared" si="15"/>
        <v>1.16428571428571</v>
      </c>
      <c r="C30">
        <v>24</v>
      </c>
      <c r="D30">
        <v>4</v>
      </c>
      <c r="E30">
        <v>2</v>
      </c>
      <c r="F30">
        <v>163</v>
      </c>
      <c r="G30">
        <v>40</v>
      </c>
      <c r="H30">
        <v>8</v>
      </c>
      <c r="I30">
        <v>0.5</v>
      </c>
      <c r="J30">
        <v>5</v>
      </c>
      <c r="K30">
        <v>2</v>
      </c>
      <c r="L30">
        <v>1</v>
      </c>
      <c r="M30">
        <v>0.1</v>
      </c>
      <c r="N30">
        <v>21315</v>
      </c>
      <c r="O30">
        <v>1.5</v>
      </c>
      <c r="P30">
        <f t="shared" si="0"/>
        <v>163</v>
      </c>
      <c r="Q30">
        <v>12</v>
      </c>
      <c r="R30">
        <f t="shared" si="1"/>
        <v>12453.2</v>
      </c>
      <c r="S30">
        <f t="shared" si="2"/>
        <v>4564</v>
      </c>
      <c r="T30">
        <f t="shared" si="3"/>
        <v>163</v>
      </c>
      <c r="U30">
        <v>0</v>
      </c>
      <c r="V30">
        <f t="shared" si="4"/>
        <v>756.8</v>
      </c>
      <c r="W30" s="6">
        <f t="shared" si="5"/>
        <v>16.4550739957717</v>
      </c>
      <c r="X30">
        <v>1800</v>
      </c>
      <c r="Y30">
        <v>24</v>
      </c>
      <c r="Z30">
        <v>72</v>
      </c>
      <c r="AA30">
        <f t="shared" si="6"/>
        <v>16120.4</v>
      </c>
      <c r="AB30">
        <f t="shared" si="7"/>
        <v>756.8</v>
      </c>
      <c r="AC30">
        <f ca="1" t="shared" si="8"/>
        <v>28.4874207188161</v>
      </c>
      <c r="AD30">
        <f t="shared" si="9"/>
        <v>326</v>
      </c>
      <c r="AE30">
        <v>66</v>
      </c>
      <c r="AF30">
        <f t="shared" si="10"/>
        <v>32.2</v>
      </c>
      <c r="AG30">
        <f ca="1" t="shared" si="11"/>
        <v>5438.88</v>
      </c>
      <c r="AH30">
        <f t="shared" si="12"/>
        <v>36.8</v>
      </c>
      <c r="AI30">
        <f ca="1" t="shared" si="13"/>
        <v>6500.52</v>
      </c>
      <c r="AN30" s="10">
        <v>22</v>
      </c>
      <c r="AO30" s="10">
        <f t="shared" si="16"/>
        <v>220.8</v>
      </c>
      <c r="AP30" s="10">
        <v>192</v>
      </c>
      <c r="AQ30" s="11">
        <v>384</v>
      </c>
      <c r="AR30" s="11">
        <v>576</v>
      </c>
      <c r="AS30" s="11">
        <v>767.999999999998</v>
      </c>
    </row>
    <row r="31" ht="16.5" spans="2:45">
      <c r="B31">
        <f t="shared" si="15"/>
        <v>1.17142857142857</v>
      </c>
      <c r="C31">
        <v>25</v>
      </c>
      <c r="D31">
        <v>4</v>
      </c>
      <c r="E31">
        <v>2</v>
      </c>
      <c r="F31">
        <v>164</v>
      </c>
      <c r="G31">
        <v>40</v>
      </c>
      <c r="H31">
        <v>8</v>
      </c>
      <c r="I31">
        <v>0.5</v>
      </c>
      <c r="J31">
        <v>5</v>
      </c>
      <c r="K31">
        <v>2</v>
      </c>
      <c r="L31">
        <v>1</v>
      </c>
      <c r="M31">
        <v>0.1</v>
      </c>
      <c r="N31">
        <v>21315</v>
      </c>
      <c r="O31">
        <v>1.5</v>
      </c>
      <c r="P31">
        <f t="shared" si="0"/>
        <v>164</v>
      </c>
      <c r="Q31">
        <v>12</v>
      </c>
      <c r="R31">
        <f t="shared" si="1"/>
        <v>12529.6</v>
      </c>
      <c r="S31">
        <f t="shared" si="2"/>
        <v>4592</v>
      </c>
      <c r="T31">
        <f t="shared" si="3"/>
        <v>164</v>
      </c>
      <c r="U31">
        <v>0</v>
      </c>
      <c r="V31">
        <f t="shared" si="4"/>
        <v>756.8</v>
      </c>
      <c r="W31" s="6">
        <f t="shared" si="5"/>
        <v>16.5560253699789</v>
      </c>
      <c r="X31">
        <v>1800</v>
      </c>
      <c r="Y31">
        <v>25</v>
      </c>
      <c r="Z31">
        <v>73</v>
      </c>
      <c r="AA31">
        <f t="shared" si="6"/>
        <v>16196.8</v>
      </c>
      <c r="AB31">
        <f t="shared" si="7"/>
        <v>756.8</v>
      </c>
      <c r="AC31">
        <f ca="1" t="shared" si="8"/>
        <v>28.5883720930233</v>
      </c>
      <c r="AD31">
        <f t="shared" si="9"/>
        <v>328</v>
      </c>
      <c r="AE31">
        <v>67</v>
      </c>
      <c r="AF31">
        <f t="shared" si="10"/>
        <v>32.2</v>
      </c>
      <c r="AG31">
        <f ca="1" t="shared" si="11"/>
        <v>5438.88</v>
      </c>
      <c r="AH31">
        <f t="shared" si="12"/>
        <v>36.8</v>
      </c>
      <c r="AI31">
        <f ca="1" t="shared" si="13"/>
        <v>6500.52</v>
      </c>
      <c r="AN31" s="10">
        <v>23</v>
      </c>
      <c r="AO31" s="10">
        <f t="shared" si="16"/>
        <v>239.2</v>
      </c>
      <c r="AP31" s="10">
        <v>208</v>
      </c>
      <c r="AQ31" s="11">
        <v>416</v>
      </c>
      <c r="AR31" s="11">
        <v>624</v>
      </c>
      <c r="AS31" s="11">
        <v>831.999999999998</v>
      </c>
    </row>
    <row r="32" ht="16.5" spans="2:45">
      <c r="B32">
        <f t="shared" si="15"/>
        <v>1.17857142857143</v>
      </c>
      <c r="C32">
        <v>26</v>
      </c>
      <c r="D32">
        <v>4</v>
      </c>
      <c r="E32">
        <v>2</v>
      </c>
      <c r="F32">
        <v>165</v>
      </c>
      <c r="G32">
        <v>40</v>
      </c>
      <c r="H32">
        <v>8</v>
      </c>
      <c r="I32">
        <v>0.5</v>
      </c>
      <c r="J32">
        <v>5</v>
      </c>
      <c r="K32">
        <v>2</v>
      </c>
      <c r="L32">
        <v>1</v>
      </c>
      <c r="M32">
        <v>0.1</v>
      </c>
      <c r="N32">
        <v>21315</v>
      </c>
      <c r="O32">
        <v>1.5</v>
      </c>
      <c r="P32">
        <f t="shared" si="0"/>
        <v>165</v>
      </c>
      <c r="Q32">
        <v>12</v>
      </c>
      <c r="R32">
        <f t="shared" si="1"/>
        <v>12606</v>
      </c>
      <c r="S32">
        <f t="shared" si="2"/>
        <v>4620</v>
      </c>
      <c r="T32">
        <f t="shared" si="3"/>
        <v>165</v>
      </c>
      <c r="U32">
        <v>0</v>
      </c>
      <c r="V32">
        <f t="shared" si="4"/>
        <v>756.8</v>
      </c>
      <c r="W32" s="6">
        <f t="shared" si="5"/>
        <v>16.656976744186</v>
      </c>
      <c r="X32">
        <v>1800</v>
      </c>
      <c r="Y32">
        <v>26</v>
      </c>
      <c r="Z32">
        <v>74</v>
      </c>
      <c r="AA32">
        <f t="shared" si="6"/>
        <v>16273.2</v>
      </c>
      <c r="AB32">
        <f t="shared" si="7"/>
        <v>756.8</v>
      </c>
      <c r="AC32">
        <f ca="1" t="shared" si="8"/>
        <v>28.6893234672304</v>
      </c>
      <c r="AD32">
        <f t="shared" si="9"/>
        <v>330</v>
      </c>
      <c r="AE32">
        <v>68</v>
      </c>
      <c r="AF32">
        <f t="shared" si="10"/>
        <v>32.2</v>
      </c>
      <c r="AG32">
        <f ca="1" t="shared" si="11"/>
        <v>5438.88</v>
      </c>
      <c r="AH32">
        <f t="shared" si="12"/>
        <v>36.8</v>
      </c>
      <c r="AI32">
        <f ca="1" t="shared" si="13"/>
        <v>6500.52</v>
      </c>
      <c r="AN32" s="10">
        <v>24</v>
      </c>
      <c r="AO32" s="10">
        <f t="shared" si="16"/>
        <v>257.6</v>
      </c>
      <c r="AP32" s="10">
        <v>224</v>
      </c>
      <c r="AQ32" s="11">
        <v>448</v>
      </c>
      <c r="AR32" s="11">
        <v>672</v>
      </c>
      <c r="AS32" s="11">
        <v>895.999999999998</v>
      </c>
    </row>
    <row r="33" ht="16.5" spans="2:45">
      <c r="B33">
        <f t="shared" si="15"/>
        <v>1.18571428571429</v>
      </c>
      <c r="C33">
        <v>27</v>
      </c>
      <c r="D33">
        <v>4</v>
      </c>
      <c r="E33">
        <v>2</v>
      </c>
      <c r="F33">
        <v>166</v>
      </c>
      <c r="G33">
        <v>40</v>
      </c>
      <c r="H33">
        <v>8</v>
      </c>
      <c r="I33">
        <v>0.5</v>
      </c>
      <c r="J33">
        <v>5</v>
      </c>
      <c r="K33">
        <v>2</v>
      </c>
      <c r="L33">
        <v>1</v>
      </c>
      <c r="M33">
        <v>0.1</v>
      </c>
      <c r="N33">
        <v>21315</v>
      </c>
      <c r="O33">
        <v>1.5</v>
      </c>
      <c r="P33">
        <f t="shared" si="0"/>
        <v>166</v>
      </c>
      <c r="Q33">
        <v>12</v>
      </c>
      <c r="R33">
        <f t="shared" si="1"/>
        <v>12682.4</v>
      </c>
      <c r="S33">
        <f t="shared" si="2"/>
        <v>4648</v>
      </c>
      <c r="T33">
        <f t="shared" si="3"/>
        <v>166</v>
      </c>
      <c r="U33">
        <v>0</v>
      </c>
      <c r="V33">
        <f t="shared" si="4"/>
        <v>756.8</v>
      </c>
      <c r="W33" s="6">
        <f t="shared" si="5"/>
        <v>16.7579281183932</v>
      </c>
      <c r="X33">
        <v>1800</v>
      </c>
      <c r="Y33">
        <v>27</v>
      </c>
      <c r="Z33">
        <v>75</v>
      </c>
      <c r="AA33">
        <f t="shared" si="6"/>
        <v>16349.6</v>
      </c>
      <c r="AB33">
        <f t="shared" si="7"/>
        <v>756.8</v>
      </c>
      <c r="AC33">
        <f ca="1" t="shared" si="8"/>
        <v>28.7902748414376</v>
      </c>
      <c r="AD33">
        <f t="shared" si="9"/>
        <v>332</v>
      </c>
      <c r="AE33">
        <v>69</v>
      </c>
      <c r="AF33">
        <f t="shared" si="10"/>
        <v>32.2</v>
      </c>
      <c r="AG33">
        <f ca="1" t="shared" si="11"/>
        <v>5438.88</v>
      </c>
      <c r="AH33">
        <f t="shared" si="12"/>
        <v>36.8</v>
      </c>
      <c r="AI33">
        <f ca="1" t="shared" si="13"/>
        <v>6500.52</v>
      </c>
      <c r="AN33" s="10">
        <v>25</v>
      </c>
      <c r="AO33" s="10">
        <f t="shared" si="16"/>
        <v>276</v>
      </c>
      <c r="AP33" s="10">
        <v>240</v>
      </c>
      <c r="AQ33" s="11">
        <v>480</v>
      </c>
      <c r="AR33" s="11">
        <v>720</v>
      </c>
      <c r="AS33" s="11">
        <v>959.999999999998</v>
      </c>
    </row>
    <row r="34" spans="2:45">
      <c r="B34">
        <f t="shared" si="15"/>
        <v>1.19285714285714</v>
      </c>
      <c r="C34">
        <v>28</v>
      </c>
      <c r="D34">
        <v>5</v>
      </c>
      <c r="E34">
        <v>2</v>
      </c>
      <c r="F34">
        <v>167</v>
      </c>
      <c r="G34">
        <v>40</v>
      </c>
      <c r="H34">
        <v>8</v>
      </c>
      <c r="I34">
        <v>0.5</v>
      </c>
      <c r="J34">
        <v>5</v>
      </c>
      <c r="K34">
        <v>2</v>
      </c>
      <c r="L34">
        <v>1</v>
      </c>
      <c r="M34">
        <v>0.1</v>
      </c>
      <c r="N34">
        <v>21315</v>
      </c>
      <c r="O34">
        <v>1.5</v>
      </c>
      <c r="P34">
        <f t="shared" si="0"/>
        <v>167</v>
      </c>
      <c r="Q34">
        <v>12</v>
      </c>
      <c r="R34">
        <f t="shared" si="1"/>
        <v>12758.8</v>
      </c>
      <c r="S34">
        <f t="shared" si="2"/>
        <v>4676</v>
      </c>
      <c r="T34">
        <f t="shared" si="3"/>
        <v>167</v>
      </c>
      <c r="U34">
        <v>0</v>
      </c>
      <c r="V34">
        <f t="shared" si="4"/>
        <v>756.8</v>
      </c>
      <c r="W34" s="6">
        <f t="shared" si="5"/>
        <v>16.8588794926004</v>
      </c>
      <c r="X34">
        <v>1800</v>
      </c>
      <c r="Y34">
        <v>28</v>
      </c>
      <c r="Z34">
        <v>76</v>
      </c>
      <c r="AA34">
        <f t="shared" si="6"/>
        <v>16426</v>
      </c>
      <c r="AB34">
        <f t="shared" si="7"/>
        <v>756.8</v>
      </c>
      <c r="AC34">
        <f ca="1" t="shared" si="8"/>
        <v>28.8912262156448</v>
      </c>
      <c r="AD34">
        <f t="shared" si="9"/>
        <v>334</v>
      </c>
      <c r="AE34">
        <v>70</v>
      </c>
      <c r="AF34">
        <f t="shared" si="10"/>
        <v>36.8</v>
      </c>
      <c r="AG34">
        <f ca="1" t="shared" si="11"/>
        <v>5438.88</v>
      </c>
      <c r="AH34">
        <f t="shared" si="12"/>
        <v>41.4</v>
      </c>
      <c r="AI34">
        <f ca="1" t="shared" si="13"/>
        <v>6500.52</v>
      </c>
    </row>
    <row r="35" spans="2:45">
      <c r="B35">
        <f t="shared" si="15"/>
        <v>1.2</v>
      </c>
      <c r="C35">
        <v>29</v>
      </c>
      <c r="D35">
        <v>5</v>
      </c>
      <c r="E35">
        <v>2</v>
      </c>
      <c r="F35">
        <v>168</v>
      </c>
      <c r="G35">
        <v>40</v>
      </c>
      <c r="H35">
        <v>8</v>
      </c>
      <c r="I35">
        <v>0.5</v>
      </c>
      <c r="J35">
        <v>5</v>
      </c>
      <c r="K35">
        <v>2</v>
      </c>
      <c r="L35">
        <v>1</v>
      </c>
      <c r="M35">
        <v>0.1</v>
      </c>
      <c r="N35">
        <v>21315</v>
      </c>
      <c r="O35">
        <v>1.5</v>
      </c>
      <c r="P35">
        <f t="shared" si="0"/>
        <v>168</v>
      </c>
      <c r="Q35">
        <v>12</v>
      </c>
      <c r="R35">
        <f t="shared" si="1"/>
        <v>12835.2</v>
      </c>
      <c r="S35">
        <f t="shared" si="2"/>
        <v>4704</v>
      </c>
      <c r="T35">
        <f t="shared" si="3"/>
        <v>168</v>
      </c>
      <c r="U35">
        <v>0</v>
      </c>
      <c r="V35">
        <f t="shared" si="4"/>
        <v>756.8</v>
      </c>
      <c r="W35" s="6">
        <f t="shared" si="5"/>
        <v>16.9598308668076</v>
      </c>
      <c r="X35">
        <v>1800</v>
      </c>
      <c r="Y35">
        <v>29</v>
      </c>
      <c r="Z35">
        <v>77</v>
      </c>
      <c r="AA35">
        <f t="shared" si="6"/>
        <v>16502.4</v>
      </c>
      <c r="AB35">
        <f t="shared" si="7"/>
        <v>756.8</v>
      </c>
      <c r="AC35">
        <f ca="1" t="shared" si="8"/>
        <v>28.992177589852</v>
      </c>
      <c r="AD35">
        <f t="shared" si="9"/>
        <v>336</v>
      </c>
      <c r="AE35">
        <v>71</v>
      </c>
      <c r="AF35">
        <f t="shared" si="10"/>
        <v>36.8</v>
      </c>
      <c r="AG35">
        <f ca="1" t="shared" si="11"/>
        <v>5438.88</v>
      </c>
      <c r="AH35">
        <f t="shared" si="12"/>
        <v>41.4</v>
      </c>
      <c r="AI35">
        <f ca="1" t="shared" si="13"/>
        <v>6500.52</v>
      </c>
    </row>
    <row r="36" spans="2:45">
      <c r="B36">
        <f t="shared" si="15"/>
        <v>1.20714285714286</v>
      </c>
      <c r="C36">
        <v>30</v>
      </c>
      <c r="D36">
        <v>5</v>
      </c>
      <c r="E36">
        <v>2</v>
      </c>
      <c r="F36">
        <v>169</v>
      </c>
      <c r="G36">
        <v>40</v>
      </c>
      <c r="H36">
        <v>8</v>
      </c>
      <c r="I36">
        <v>0.5</v>
      </c>
      <c r="J36">
        <v>5</v>
      </c>
      <c r="K36">
        <v>2</v>
      </c>
      <c r="L36">
        <v>1</v>
      </c>
      <c r="M36">
        <v>0.1</v>
      </c>
      <c r="N36">
        <v>21315</v>
      </c>
      <c r="O36">
        <v>1.5</v>
      </c>
      <c r="P36">
        <f t="shared" si="0"/>
        <v>169</v>
      </c>
      <c r="Q36">
        <v>12</v>
      </c>
      <c r="R36">
        <f t="shared" si="1"/>
        <v>12911.6</v>
      </c>
      <c r="S36">
        <f t="shared" si="2"/>
        <v>4732</v>
      </c>
      <c r="T36">
        <f t="shared" si="3"/>
        <v>169</v>
      </c>
      <c r="U36">
        <v>0</v>
      </c>
      <c r="V36">
        <f t="shared" si="4"/>
        <v>756.8</v>
      </c>
      <c r="W36" s="6">
        <f t="shared" si="5"/>
        <v>17.0607822410148</v>
      </c>
      <c r="X36">
        <v>1800</v>
      </c>
      <c r="Y36">
        <v>30</v>
      </c>
      <c r="Z36">
        <v>78</v>
      </c>
      <c r="AA36">
        <f t="shared" si="6"/>
        <v>16578.8</v>
      </c>
      <c r="AB36">
        <f t="shared" si="7"/>
        <v>756.8</v>
      </c>
      <c r="AC36">
        <f ca="1" t="shared" si="8"/>
        <v>29.0931289640592</v>
      </c>
      <c r="AD36">
        <f t="shared" si="9"/>
        <v>338</v>
      </c>
      <c r="AE36">
        <v>72</v>
      </c>
      <c r="AF36">
        <f t="shared" si="10"/>
        <v>36.8</v>
      </c>
      <c r="AG36">
        <f ca="1" t="shared" si="11"/>
        <v>5438.88</v>
      </c>
      <c r="AH36">
        <f t="shared" si="12"/>
        <v>41.4</v>
      </c>
      <c r="AI36">
        <f ca="1" t="shared" si="13"/>
        <v>6500.52</v>
      </c>
    </row>
    <row r="37" spans="2:45">
      <c r="B37">
        <f t="shared" si="15"/>
        <v>1.21428571428571</v>
      </c>
      <c r="C37">
        <v>31</v>
      </c>
      <c r="D37">
        <v>6</v>
      </c>
      <c r="E37">
        <v>3</v>
      </c>
      <c r="F37">
        <v>170</v>
      </c>
      <c r="G37">
        <v>40</v>
      </c>
      <c r="H37">
        <v>8</v>
      </c>
      <c r="I37">
        <v>0.5</v>
      </c>
      <c r="J37">
        <v>5</v>
      </c>
      <c r="K37">
        <v>2</v>
      </c>
      <c r="L37">
        <v>1</v>
      </c>
      <c r="M37">
        <v>0.1</v>
      </c>
      <c r="N37">
        <v>21316</v>
      </c>
      <c r="O37">
        <v>1.5</v>
      </c>
      <c r="P37">
        <f t="shared" si="0"/>
        <v>170</v>
      </c>
      <c r="Q37">
        <v>12</v>
      </c>
      <c r="R37">
        <f t="shared" si="1"/>
        <v>12988</v>
      </c>
      <c r="S37">
        <f t="shared" si="2"/>
        <v>4760</v>
      </c>
      <c r="T37">
        <f t="shared" si="3"/>
        <v>170</v>
      </c>
      <c r="U37">
        <v>0</v>
      </c>
      <c r="V37">
        <f t="shared" si="4"/>
        <v>756.8</v>
      </c>
      <c r="W37" s="6">
        <f t="shared" si="5"/>
        <v>17.161733615222</v>
      </c>
      <c r="X37">
        <v>1800</v>
      </c>
      <c r="Y37">
        <v>31</v>
      </c>
      <c r="Z37">
        <v>79</v>
      </c>
      <c r="AA37">
        <f t="shared" si="6"/>
        <v>16655.2</v>
      </c>
      <c r="AB37">
        <f t="shared" si="7"/>
        <v>756.8</v>
      </c>
      <c r="AC37">
        <f ca="1" t="shared" si="8"/>
        <v>29.1940803382664</v>
      </c>
      <c r="AD37">
        <f t="shared" si="9"/>
        <v>340</v>
      </c>
      <c r="AE37">
        <v>72.6666666666667</v>
      </c>
      <c r="AF37">
        <f t="shared" si="10"/>
        <v>36.8</v>
      </c>
      <c r="AG37">
        <f ca="1" t="shared" si="11"/>
        <v>5438.88</v>
      </c>
      <c r="AH37">
        <f t="shared" si="12"/>
        <v>41.4</v>
      </c>
      <c r="AI37">
        <f ca="1" t="shared" si="13"/>
        <v>6500.52</v>
      </c>
    </row>
    <row r="38" spans="2:45">
      <c r="B38">
        <f t="shared" si="15"/>
        <v>1.22142857142857</v>
      </c>
      <c r="C38">
        <v>32</v>
      </c>
      <c r="D38">
        <v>6</v>
      </c>
      <c r="E38">
        <v>3</v>
      </c>
      <c r="F38">
        <v>171</v>
      </c>
      <c r="G38">
        <v>40</v>
      </c>
      <c r="H38">
        <v>8</v>
      </c>
      <c r="I38">
        <v>0.5</v>
      </c>
      <c r="J38">
        <v>5</v>
      </c>
      <c r="K38">
        <v>2</v>
      </c>
      <c r="L38">
        <v>1</v>
      </c>
      <c r="M38">
        <v>0.1</v>
      </c>
      <c r="N38">
        <v>21316</v>
      </c>
      <c r="O38">
        <v>1.5</v>
      </c>
      <c r="P38">
        <f t="shared" si="0"/>
        <v>171</v>
      </c>
      <c r="Q38">
        <v>12</v>
      </c>
      <c r="R38">
        <f t="shared" si="1"/>
        <v>13064.4</v>
      </c>
      <c r="S38">
        <f t="shared" si="2"/>
        <v>4788</v>
      </c>
      <c r="T38">
        <f t="shared" si="3"/>
        <v>171</v>
      </c>
      <c r="U38">
        <v>0</v>
      </c>
      <c r="V38">
        <f t="shared" si="4"/>
        <v>756.8</v>
      </c>
      <c r="W38" s="6">
        <f t="shared" si="5"/>
        <v>17.2626849894292</v>
      </c>
      <c r="X38">
        <v>1800</v>
      </c>
      <c r="Y38">
        <v>32</v>
      </c>
      <c r="Z38">
        <v>80</v>
      </c>
      <c r="AA38">
        <f t="shared" si="6"/>
        <v>16731.6</v>
      </c>
      <c r="AB38">
        <f t="shared" si="7"/>
        <v>756.8</v>
      </c>
      <c r="AC38">
        <f ca="1" t="shared" si="8"/>
        <v>29.2950317124736</v>
      </c>
      <c r="AD38">
        <f t="shared" si="9"/>
        <v>342</v>
      </c>
      <c r="AE38">
        <v>73.3333333333333</v>
      </c>
      <c r="AF38">
        <f t="shared" si="10"/>
        <v>36.8</v>
      </c>
      <c r="AG38">
        <f ca="1" t="shared" si="11"/>
        <v>5438.88</v>
      </c>
      <c r="AH38">
        <f t="shared" si="12"/>
        <v>41.4</v>
      </c>
      <c r="AI38">
        <f ca="1" t="shared" si="13"/>
        <v>6500.52</v>
      </c>
    </row>
    <row r="39" spans="2:45">
      <c r="B39">
        <f t="shared" si="15"/>
        <v>1.22857142857143</v>
      </c>
      <c r="C39">
        <v>33</v>
      </c>
      <c r="D39">
        <v>6</v>
      </c>
      <c r="E39">
        <v>3</v>
      </c>
      <c r="F39">
        <v>172</v>
      </c>
      <c r="G39">
        <v>40</v>
      </c>
      <c r="H39">
        <v>8</v>
      </c>
      <c r="I39">
        <v>0.5</v>
      </c>
      <c r="J39">
        <v>5</v>
      </c>
      <c r="K39">
        <v>2</v>
      </c>
      <c r="L39">
        <v>1</v>
      </c>
      <c r="M39">
        <v>0.1</v>
      </c>
      <c r="N39">
        <v>21316</v>
      </c>
      <c r="O39">
        <v>1.5</v>
      </c>
      <c r="P39">
        <f t="shared" si="0"/>
        <v>172</v>
      </c>
      <c r="Q39">
        <v>12</v>
      </c>
      <c r="R39">
        <f t="shared" si="1"/>
        <v>13140.8</v>
      </c>
      <c r="S39">
        <f t="shared" si="2"/>
        <v>4816</v>
      </c>
      <c r="T39">
        <f t="shared" si="3"/>
        <v>172</v>
      </c>
      <c r="U39">
        <v>0</v>
      </c>
      <c r="V39">
        <f t="shared" si="4"/>
        <v>756.8</v>
      </c>
      <c r="W39" s="6">
        <f t="shared" si="5"/>
        <v>17.3636363636364</v>
      </c>
      <c r="X39">
        <v>1800</v>
      </c>
      <c r="Y39">
        <v>33</v>
      </c>
      <c r="Z39">
        <v>81</v>
      </c>
      <c r="AA39">
        <f t="shared" si="6"/>
        <v>16808</v>
      </c>
      <c r="AB39">
        <f t="shared" si="7"/>
        <v>756.8</v>
      </c>
      <c r="AC39">
        <f ca="1" t="shared" si="8"/>
        <v>30.7987843551797</v>
      </c>
      <c r="AD39">
        <f t="shared" si="9"/>
        <v>344</v>
      </c>
      <c r="AE39">
        <v>74</v>
      </c>
      <c r="AF39">
        <f t="shared" si="10"/>
        <v>36.8</v>
      </c>
      <c r="AG39">
        <f ca="1" t="shared" si="11"/>
        <v>6500.52</v>
      </c>
      <c r="AH39">
        <f t="shared" si="12"/>
        <v>41.4</v>
      </c>
      <c r="AI39">
        <f ca="1" t="shared" si="13"/>
        <v>7491.456</v>
      </c>
    </row>
    <row r="40" spans="2:45">
      <c r="B40">
        <f t="shared" si="15"/>
        <v>1.23571428571429</v>
      </c>
      <c r="C40">
        <v>34</v>
      </c>
      <c r="D40">
        <v>7</v>
      </c>
      <c r="E40">
        <v>3</v>
      </c>
      <c r="F40">
        <v>173</v>
      </c>
      <c r="G40">
        <v>40</v>
      </c>
      <c r="H40">
        <v>8</v>
      </c>
      <c r="I40">
        <v>0.5</v>
      </c>
      <c r="J40">
        <v>5</v>
      </c>
      <c r="K40">
        <v>2</v>
      </c>
      <c r="L40">
        <v>1</v>
      </c>
      <c r="M40">
        <v>0.1</v>
      </c>
      <c r="N40">
        <v>21316</v>
      </c>
      <c r="O40">
        <v>1.5</v>
      </c>
      <c r="P40">
        <f t="shared" si="0"/>
        <v>173</v>
      </c>
      <c r="Q40">
        <v>12</v>
      </c>
      <c r="R40">
        <f t="shared" si="1"/>
        <v>13217.2</v>
      </c>
      <c r="S40">
        <f t="shared" si="2"/>
        <v>4844</v>
      </c>
      <c r="T40">
        <f t="shared" si="3"/>
        <v>173</v>
      </c>
      <c r="U40">
        <v>0</v>
      </c>
      <c r="V40">
        <f t="shared" si="4"/>
        <v>756.8</v>
      </c>
      <c r="W40" s="6">
        <f t="shared" si="5"/>
        <v>17.4645877378436</v>
      </c>
      <c r="X40">
        <v>1800</v>
      </c>
      <c r="Y40">
        <v>34</v>
      </c>
      <c r="Z40">
        <v>82</v>
      </c>
      <c r="AA40">
        <f t="shared" si="6"/>
        <v>16884.4</v>
      </c>
      <c r="AB40">
        <f t="shared" si="7"/>
        <v>756.8</v>
      </c>
      <c r="AC40">
        <f ca="1" t="shared" si="8"/>
        <v>30.8997357293869</v>
      </c>
      <c r="AD40">
        <f t="shared" si="9"/>
        <v>346</v>
      </c>
      <c r="AE40">
        <v>74.6666666666667</v>
      </c>
      <c r="AF40">
        <f t="shared" si="10"/>
        <v>36.8</v>
      </c>
      <c r="AG40">
        <f ca="1" t="shared" si="11"/>
        <v>6500.52</v>
      </c>
      <c r="AH40">
        <f t="shared" si="12"/>
        <v>41.4</v>
      </c>
      <c r="AI40">
        <f ca="1" t="shared" si="13"/>
        <v>7491.456</v>
      </c>
    </row>
    <row r="41" spans="2:45">
      <c r="B41">
        <f t="shared" si="15"/>
        <v>1.24285714285714</v>
      </c>
      <c r="C41">
        <v>35</v>
      </c>
      <c r="D41">
        <v>7</v>
      </c>
      <c r="E41">
        <v>3</v>
      </c>
      <c r="F41">
        <v>174</v>
      </c>
      <c r="G41">
        <v>40</v>
      </c>
      <c r="H41">
        <v>8</v>
      </c>
      <c r="I41">
        <v>0.5</v>
      </c>
      <c r="J41">
        <v>5</v>
      </c>
      <c r="K41">
        <v>2</v>
      </c>
      <c r="L41">
        <v>1</v>
      </c>
      <c r="M41">
        <v>0.1</v>
      </c>
      <c r="N41">
        <v>21316</v>
      </c>
      <c r="O41">
        <v>1.5</v>
      </c>
      <c r="P41">
        <f t="shared" si="0"/>
        <v>174</v>
      </c>
      <c r="Q41">
        <v>12</v>
      </c>
      <c r="R41">
        <f t="shared" si="1"/>
        <v>13293.6</v>
      </c>
      <c r="S41">
        <f t="shared" si="2"/>
        <v>4872</v>
      </c>
      <c r="T41">
        <f t="shared" si="3"/>
        <v>174</v>
      </c>
      <c r="U41">
        <v>0</v>
      </c>
      <c r="V41">
        <f t="shared" si="4"/>
        <v>756.8</v>
      </c>
      <c r="W41" s="6">
        <f t="shared" si="5"/>
        <v>17.5655391120507</v>
      </c>
      <c r="X41">
        <v>1800</v>
      </c>
      <c r="Y41">
        <v>35</v>
      </c>
      <c r="Z41">
        <v>83</v>
      </c>
      <c r="AA41">
        <f t="shared" si="6"/>
        <v>16960.8</v>
      </c>
      <c r="AB41">
        <f t="shared" si="7"/>
        <v>756.8</v>
      </c>
      <c r="AC41">
        <f ca="1" t="shared" si="8"/>
        <v>31.0006871035941</v>
      </c>
      <c r="AD41">
        <f t="shared" si="9"/>
        <v>348</v>
      </c>
      <c r="AE41">
        <v>75.3333333333334</v>
      </c>
      <c r="AF41">
        <f t="shared" si="10"/>
        <v>36.8</v>
      </c>
      <c r="AG41">
        <f ca="1" t="shared" si="11"/>
        <v>6500.52</v>
      </c>
      <c r="AH41">
        <f t="shared" si="12"/>
        <v>41.4</v>
      </c>
      <c r="AI41">
        <f ca="1" t="shared" si="13"/>
        <v>7491.456</v>
      </c>
    </row>
    <row r="42" spans="2:45">
      <c r="B42">
        <f t="shared" si="15"/>
        <v>1.25</v>
      </c>
      <c r="C42">
        <v>36</v>
      </c>
      <c r="D42">
        <v>7</v>
      </c>
      <c r="E42">
        <v>4</v>
      </c>
      <c r="F42">
        <v>175</v>
      </c>
      <c r="G42">
        <v>40</v>
      </c>
      <c r="H42">
        <v>8</v>
      </c>
      <c r="I42">
        <v>0.5</v>
      </c>
      <c r="J42">
        <v>5</v>
      </c>
      <c r="K42">
        <v>2</v>
      </c>
      <c r="L42">
        <v>1</v>
      </c>
      <c r="M42">
        <v>0.1</v>
      </c>
      <c r="N42">
        <v>21316</v>
      </c>
      <c r="O42">
        <v>1.5</v>
      </c>
      <c r="P42">
        <f t="shared" si="0"/>
        <v>175</v>
      </c>
      <c r="Q42">
        <v>12</v>
      </c>
      <c r="R42">
        <f t="shared" si="1"/>
        <v>13370</v>
      </c>
      <c r="S42">
        <f t="shared" si="2"/>
        <v>4900</v>
      </c>
      <c r="T42">
        <f t="shared" si="3"/>
        <v>175</v>
      </c>
      <c r="U42">
        <v>0</v>
      </c>
      <c r="V42">
        <f t="shared" si="4"/>
        <v>756.8</v>
      </c>
      <c r="W42" s="6">
        <f t="shared" si="5"/>
        <v>17.6664904862579</v>
      </c>
      <c r="X42">
        <v>1800</v>
      </c>
      <c r="Y42">
        <v>36</v>
      </c>
      <c r="Z42">
        <v>84</v>
      </c>
      <c r="AA42">
        <f t="shared" si="6"/>
        <v>17037.2</v>
      </c>
      <c r="AB42">
        <f t="shared" si="7"/>
        <v>756.8</v>
      </c>
      <c r="AC42">
        <f ca="1" t="shared" si="8"/>
        <v>31.1016384778013</v>
      </c>
      <c r="AD42">
        <f t="shared" si="9"/>
        <v>350</v>
      </c>
      <c r="AE42">
        <v>76</v>
      </c>
      <c r="AF42">
        <f t="shared" si="10"/>
        <v>36.8</v>
      </c>
      <c r="AG42">
        <f ca="1" t="shared" si="11"/>
        <v>6500.52</v>
      </c>
      <c r="AH42">
        <f t="shared" si="12"/>
        <v>41.4</v>
      </c>
      <c r="AI42">
        <f ca="1" t="shared" si="13"/>
        <v>7491.456</v>
      </c>
    </row>
    <row r="43" spans="2:45">
      <c r="B43">
        <f t="shared" si="15"/>
        <v>1.25714285714286</v>
      </c>
      <c r="C43">
        <v>37</v>
      </c>
      <c r="D43">
        <v>8</v>
      </c>
      <c r="E43">
        <v>4</v>
      </c>
      <c r="F43">
        <v>176</v>
      </c>
      <c r="G43">
        <v>40</v>
      </c>
      <c r="H43">
        <v>8</v>
      </c>
      <c r="I43">
        <v>0.5</v>
      </c>
      <c r="J43">
        <v>5</v>
      </c>
      <c r="K43">
        <v>2</v>
      </c>
      <c r="L43">
        <v>1</v>
      </c>
      <c r="M43">
        <v>0.1</v>
      </c>
      <c r="N43">
        <v>21316</v>
      </c>
      <c r="O43">
        <v>1.5</v>
      </c>
      <c r="P43">
        <f t="shared" si="0"/>
        <v>176</v>
      </c>
      <c r="Q43">
        <v>12</v>
      </c>
      <c r="R43">
        <f t="shared" si="1"/>
        <v>13446.4</v>
      </c>
      <c r="S43">
        <f t="shared" si="2"/>
        <v>4928</v>
      </c>
      <c r="T43">
        <f t="shared" si="3"/>
        <v>176</v>
      </c>
      <c r="U43">
        <v>0</v>
      </c>
      <c r="V43">
        <f t="shared" si="4"/>
        <v>756.8</v>
      </c>
      <c r="W43" s="6">
        <f t="shared" si="5"/>
        <v>17.7674418604651</v>
      </c>
      <c r="X43">
        <v>1800</v>
      </c>
      <c r="Y43">
        <v>37</v>
      </c>
      <c r="Z43">
        <v>85</v>
      </c>
      <c r="AA43">
        <f t="shared" si="6"/>
        <v>17113.6</v>
      </c>
      <c r="AB43">
        <f t="shared" si="7"/>
        <v>756.8</v>
      </c>
      <c r="AC43">
        <f ca="1" t="shared" si="8"/>
        <v>31.2025898520085</v>
      </c>
      <c r="AD43">
        <f t="shared" si="9"/>
        <v>352</v>
      </c>
      <c r="AE43">
        <v>76.6666666666667</v>
      </c>
      <c r="AF43">
        <f t="shared" si="10"/>
        <v>36.8</v>
      </c>
      <c r="AG43">
        <f ca="1" t="shared" si="11"/>
        <v>6500.52</v>
      </c>
      <c r="AH43">
        <f t="shared" si="12"/>
        <v>41.4</v>
      </c>
      <c r="AI43">
        <f ca="1" t="shared" si="13"/>
        <v>7491.456</v>
      </c>
    </row>
    <row r="44" spans="2:45">
      <c r="B44">
        <f t="shared" si="15"/>
        <v>1.26428571428571</v>
      </c>
      <c r="C44">
        <v>38</v>
      </c>
      <c r="D44">
        <v>8</v>
      </c>
      <c r="E44">
        <v>4</v>
      </c>
      <c r="F44">
        <v>177</v>
      </c>
      <c r="G44">
        <v>40</v>
      </c>
      <c r="H44">
        <v>8</v>
      </c>
      <c r="I44">
        <v>0.5</v>
      </c>
      <c r="J44">
        <v>5</v>
      </c>
      <c r="K44">
        <v>2</v>
      </c>
      <c r="L44">
        <v>1</v>
      </c>
      <c r="M44">
        <v>0.1</v>
      </c>
      <c r="N44">
        <v>21316</v>
      </c>
      <c r="O44">
        <v>1.5</v>
      </c>
      <c r="P44">
        <f t="shared" si="0"/>
        <v>177</v>
      </c>
      <c r="Q44">
        <v>12</v>
      </c>
      <c r="R44">
        <f t="shared" si="1"/>
        <v>13522.8</v>
      </c>
      <c r="S44">
        <f t="shared" si="2"/>
        <v>4956</v>
      </c>
      <c r="T44">
        <f t="shared" si="3"/>
        <v>177</v>
      </c>
      <c r="U44">
        <v>0</v>
      </c>
      <c r="V44">
        <f t="shared" si="4"/>
        <v>756.8</v>
      </c>
      <c r="W44" s="6">
        <f t="shared" si="5"/>
        <v>17.8683932346723</v>
      </c>
      <c r="X44">
        <v>1800</v>
      </c>
      <c r="Y44">
        <v>38</v>
      </c>
      <c r="Z44">
        <v>86</v>
      </c>
      <c r="AA44">
        <f t="shared" si="6"/>
        <v>17190</v>
      </c>
      <c r="AB44">
        <f t="shared" si="7"/>
        <v>756.8</v>
      </c>
      <c r="AC44">
        <f ca="1" t="shared" si="8"/>
        <v>31.3035412262156</v>
      </c>
      <c r="AD44">
        <f t="shared" si="9"/>
        <v>354</v>
      </c>
      <c r="AE44">
        <v>77.3333333333334</v>
      </c>
      <c r="AF44">
        <f t="shared" si="10"/>
        <v>36.8</v>
      </c>
      <c r="AG44">
        <f ca="1" t="shared" si="11"/>
        <v>6500.52</v>
      </c>
      <c r="AH44">
        <f t="shared" si="12"/>
        <v>41.4</v>
      </c>
      <c r="AI44">
        <f ca="1" t="shared" si="13"/>
        <v>7491.456</v>
      </c>
    </row>
    <row r="45" spans="2:45">
      <c r="B45">
        <f t="shared" si="15"/>
        <v>1.27142857142857</v>
      </c>
      <c r="C45">
        <v>39</v>
      </c>
      <c r="D45">
        <v>8</v>
      </c>
      <c r="E45">
        <v>4</v>
      </c>
      <c r="F45">
        <v>178</v>
      </c>
      <c r="G45">
        <v>40</v>
      </c>
      <c r="H45">
        <v>8</v>
      </c>
      <c r="I45">
        <v>0.5</v>
      </c>
      <c r="J45">
        <v>5</v>
      </c>
      <c r="K45">
        <v>2</v>
      </c>
      <c r="L45">
        <v>1</v>
      </c>
      <c r="M45">
        <v>0.1</v>
      </c>
      <c r="N45">
        <v>21316</v>
      </c>
      <c r="O45">
        <v>1.5</v>
      </c>
      <c r="P45">
        <f t="shared" si="0"/>
        <v>178</v>
      </c>
      <c r="Q45">
        <v>12</v>
      </c>
      <c r="R45">
        <f t="shared" si="1"/>
        <v>13599.2</v>
      </c>
      <c r="S45">
        <f t="shared" si="2"/>
        <v>4984</v>
      </c>
      <c r="T45">
        <f t="shared" si="3"/>
        <v>178</v>
      </c>
      <c r="U45">
        <v>0</v>
      </c>
      <c r="V45">
        <f t="shared" si="4"/>
        <v>756.8</v>
      </c>
      <c r="W45" s="6">
        <f t="shared" si="5"/>
        <v>17.9693446088795</v>
      </c>
      <c r="X45">
        <v>1800</v>
      </c>
      <c r="Y45">
        <v>39</v>
      </c>
      <c r="Z45">
        <v>87</v>
      </c>
      <c r="AA45">
        <f t="shared" si="6"/>
        <v>17266.4</v>
      </c>
      <c r="AB45">
        <f t="shared" si="7"/>
        <v>756.8</v>
      </c>
      <c r="AC45">
        <f ca="1" t="shared" si="8"/>
        <v>31.4044926004228</v>
      </c>
      <c r="AD45">
        <f t="shared" si="9"/>
        <v>356</v>
      </c>
      <c r="AE45">
        <v>78</v>
      </c>
      <c r="AF45">
        <f t="shared" si="10"/>
        <v>36.8</v>
      </c>
      <c r="AG45">
        <f ca="1" t="shared" si="11"/>
        <v>6500.52</v>
      </c>
      <c r="AH45">
        <f t="shared" si="12"/>
        <v>41.4</v>
      </c>
      <c r="AI45">
        <f ca="1" t="shared" si="13"/>
        <v>7491.456</v>
      </c>
    </row>
    <row r="46" spans="2:45">
      <c r="B46">
        <f t="shared" si="15"/>
        <v>1.27857142857143</v>
      </c>
      <c r="C46">
        <v>40</v>
      </c>
      <c r="D46">
        <v>9</v>
      </c>
      <c r="E46">
        <v>4</v>
      </c>
      <c r="F46">
        <v>179</v>
      </c>
      <c r="G46">
        <v>40</v>
      </c>
      <c r="H46">
        <v>8</v>
      </c>
      <c r="I46">
        <v>0.5</v>
      </c>
      <c r="J46">
        <v>5</v>
      </c>
      <c r="K46">
        <v>2</v>
      </c>
      <c r="L46">
        <v>1</v>
      </c>
      <c r="M46">
        <v>0.1</v>
      </c>
      <c r="N46">
        <v>21316</v>
      </c>
      <c r="O46">
        <v>1.5</v>
      </c>
      <c r="P46">
        <f t="shared" si="0"/>
        <v>179</v>
      </c>
      <c r="Q46">
        <v>12</v>
      </c>
      <c r="R46">
        <f t="shared" si="1"/>
        <v>13675.6</v>
      </c>
      <c r="S46">
        <f t="shared" si="2"/>
        <v>5012</v>
      </c>
      <c r="T46">
        <f t="shared" si="3"/>
        <v>179</v>
      </c>
      <c r="U46">
        <v>0</v>
      </c>
      <c r="V46">
        <f t="shared" si="4"/>
        <v>756.8</v>
      </c>
      <c r="W46" s="6">
        <f t="shared" si="5"/>
        <v>18.0702959830867</v>
      </c>
      <c r="X46">
        <v>1800</v>
      </c>
      <c r="Y46">
        <v>40</v>
      </c>
      <c r="Z46">
        <v>88</v>
      </c>
      <c r="AA46">
        <f t="shared" si="6"/>
        <v>17342.8</v>
      </c>
      <c r="AB46">
        <f t="shared" si="7"/>
        <v>756.8</v>
      </c>
      <c r="AC46">
        <f ca="1" t="shared" si="8"/>
        <v>31.50544397463</v>
      </c>
      <c r="AD46">
        <f t="shared" si="9"/>
        <v>358</v>
      </c>
      <c r="AE46">
        <v>78.6666666666667</v>
      </c>
      <c r="AF46">
        <f t="shared" si="10"/>
        <v>36.8</v>
      </c>
      <c r="AG46">
        <f ca="1" t="shared" si="11"/>
        <v>6500.52</v>
      </c>
      <c r="AH46">
        <f t="shared" si="12"/>
        <v>41.4</v>
      </c>
      <c r="AI46">
        <f ca="1" t="shared" si="13"/>
        <v>7491.456</v>
      </c>
    </row>
    <row r="47" spans="2:45">
      <c r="B47">
        <f t="shared" si="15"/>
        <v>1.28571428571429</v>
      </c>
      <c r="C47">
        <v>41</v>
      </c>
      <c r="D47">
        <v>9</v>
      </c>
      <c r="E47">
        <v>4</v>
      </c>
      <c r="F47">
        <v>180</v>
      </c>
      <c r="G47">
        <v>40</v>
      </c>
      <c r="H47">
        <v>8</v>
      </c>
      <c r="I47">
        <v>0.5</v>
      </c>
      <c r="J47">
        <v>5</v>
      </c>
      <c r="K47">
        <v>2</v>
      </c>
      <c r="L47">
        <v>1</v>
      </c>
      <c r="M47">
        <v>0.1</v>
      </c>
      <c r="N47">
        <v>21316</v>
      </c>
      <c r="O47">
        <v>1.5</v>
      </c>
      <c r="P47">
        <f t="shared" si="0"/>
        <v>180</v>
      </c>
      <c r="Q47">
        <v>12</v>
      </c>
      <c r="R47">
        <f t="shared" si="1"/>
        <v>13752</v>
      </c>
      <c r="S47">
        <f t="shared" si="2"/>
        <v>5040</v>
      </c>
      <c r="T47">
        <f t="shared" si="3"/>
        <v>180</v>
      </c>
      <c r="U47">
        <v>0</v>
      </c>
      <c r="V47">
        <f t="shared" si="4"/>
        <v>756.8</v>
      </c>
      <c r="W47" s="6">
        <f t="shared" si="5"/>
        <v>18.1712473572939</v>
      </c>
      <c r="X47">
        <v>1800</v>
      </c>
      <c r="Y47">
        <v>41</v>
      </c>
      <c r="Z47">
        <v>89</v>
      </c>
      <c r="AA47">
        <f t="shared" si="6"/>
        <v>17419.2</v>
      </c>
      <c r="AB47">
        <f t="shared" si="7"/>
        <v>756.8</v>
      </c>
      <c r="AC47">
        <f ca="1" t="shared" si="8"/>
        <v>31.6063953488372</v>
      </c>
      <c r="AD47">
        <f t="shared" si="9"/>
        <v>360</v>
      </c>
      <c r="AE47">
        <v>79.3333333333334</v>
      </c>
      <c r="AF47">
        <f t="shared" si="10"/>
        <v>36.8</v>
      </c>
      <c r="AG47">
        <f ca="1" t="shared" si="11"/>
        <v>6500.52</v>
      </c>
      <c r="AH47">
        <f t="shared" si="12"/>
        <v>41.4</v>
      </c>
      <c r="AI47">
        <f ca="1" t="shared" si="13"/>
        <v>7491.456</v>
      </c>
    </row>
    <row r="48" spans="2:45">
      <c r="B48">
        <f t="shared" si="15"/>
        <v>1.29285714285714</v>
      </c>
      <c r="C48">
        <v>42</v>
      </c>
      <c r="D48">
        <v>10</v>
      </c>
      <c r="E48">
        <v>4</v>
      </c>
      <c r="F48">
        <v>181</v>
      </c>
      <c r="G48">
        <v>40</v>
      </c>
      <c r="H48">
        <v>8</v>
      </c>
      <c r="I48">
        <v>0.5</v>
      </c>
      <c r="J48">
        <v>5</v>
      </c>
      <c r="K48">
        <v>2</v>
      </c>
      <c r="L48">
        <v>1</v>
      </c>
      <c r="M48">
        <v>0.1</v>
      </c>
      <c r="N48">
        <v>21316</v>
      </c>
      <c r="O48">
        <v>1.5</v>
      </c>
      <c r="P48">
        <f t="shared" si="0"/>
        <v>181</v>
      </c>
      <c r="Q48">
        <v>12</v>
      </c>
      <c r="R48">
        <f t="shared" si="1"/>
        <v>13828.4</v>
      </c>
      <c r="S48">
        <f t="shared" si="2"/>
        <v>5068</v>
      </c>
      <c r="T48">
        <f t="shared" si="3"/>
        <v>181</v>
      </c>
      <c r="U48">
        <v>0</v>
      </c>
      <c r="V48">
        <f t="shared" si="4"/>
        <v>756.8</v>
      </c>
      <c r="W48" s="6">
        <f t="shared" si="5"/>
        <v>18.2721987315011</v>
      </c>
      <c r="X48">
        <v>1800</v>
      </c>
      <c r="Y48">
        <v>42</v>
      </c>
      <c r="Z48">
        <v>90</v>
      </c>
      <c r="AA48">
        <f t="shared" si="6"/>
        <v>17495.6</v>
      </c>
      <c r="AB48">
        <f t="shared" si="7"/>
        <v>756.8</v>
      </c>
      <c r="AC48">
        <f ca="1" t="shared" si="8"/>
        <v>31.7073467230444</v>
      </c>
      <c r="AD48">
        <f t="shared" si="9"/>
        <v>362</v>
      </c>
      <c r="AE48">
        <v>80.0000000000001</v>
      </c>
      <c r="AF48">
        <f t="shared" si="10"/>
        <v>41.4</v>
      </c>
      <c r="AG48">
        <f ca="1" t="shared" si="11"/>
        <v>6500.52</v>
      </c>
      <c r="AH48">
        <f t="shared" si="12"/>
        <v>46</v>
      </c>
      <c r="AI48">
        <f ca="1" t="shared" si="13"/>
        <v>7491.456</v>
      </c>
    </row>
    <row r="49" spans="2:35">
      <c r="B49">
        <f t="shared" si="15"/>
        <v>1.3</v>
      </c>
      <c r="C49">
        <v>43</v>
      </c>
      <c r="D49">
        <v>10</v>
      </c>
      <c r="E49">
        <v>5</v>
      </c>
      <c r="F49">
        <v>182</v>
      </c>
      <c r="G49">
        <v>40</v>
      </c>
      <c r="H49">
        <v>8</v>
      </c>
      <c r="I49">
        <v>0.5</v>
      </c>
      <c r="J49">
        <v>5</v>
      </c>
      <c r="K49">
        <v>2</v>
      </c>
      <c r="L49">
        <v>1</v>
      </c>
      <c r="M49">
        <v>0.1</v>
      </c>
      <c r="N49">
        <v>21316</v>
      </c>
      <c r="O49">
        <v>1.5</v>
      </c>
      <c r="P49">
        <f t="shared" si="0"/>
        <v>182</v>
      </c>
      <c r="Q49">
        <v>12</v>
      </c>
      <c r="R49">
        <f t="shared" si="1"/>
        <v>13904.8</v>
      </c>
      <c r="S49">
        <f t="shared" si="2"/>
        <v>5096</v>
      </c>
      <c r="T49">
        <f t="shared" si="3"/>
        <v>182</v>
      </c>
      <c r="U49">
        <v>0</v>
      </c>
      <c r="V49">
        <f t="shared" si="4"/>
        <v>756.8</v>
      </c>
      <c r="W49" s="6">
        <f t="shared" si="5"/>
        <v>18.3731501057082</v>
      </c>
      <c r="X49">
        <v>1800</v>
      </c>
      <c r="Y49">
        <v>43</v>
      </c>
      <c r="Z49">
        <v>91</v>
      </c>
      <c r="AA49">
        <f t="shared" si="6"/>
        <v>17572</v>
      </c>
      <c r="AB49">
        <f t="shared" si="7"/>
        <v>756.8</v>
      </c>
      <c r="AC49">
        <f ca="1" t="shared" si="8"/>
        <v>31.8082980972516</v>
      </c>
      <c r="AD49">
        <f t="shared" si="9"/>
        <v>364</v>
      </c>
      <c r="AE49">
        <v>80.6666666666667</v>
      </c>
      <c r="AF49">
        <f t="shared" si="10"/>
        <v>41.4</v>
      </c>
      <c r="AG49">
        <f ca="1" t="shared" si="11"/>
        <v>6500.52</v>
      </c>
      <c r="AH49">
        <f t="shared" si="12"/>
        <v>46</v>
      </c>
      <c r="AI49">
        <f ca="1" t="shared" si="13"/>
        <v>7491.456</v>
      </c>
    </row>
    <row r="50" spans="2:35">
      <c r="B50">
        <f t="shared" si="15"/>
        <v>1.30714285714286</v>
      </c>
      <c r="C50">
        <v>44</v>
      </c>
      <c r="D50">
        <v>11</v>
      </c>
      <c r="E50">
        <v>5</v>
      </c>
      <c r="F50">
        <v>183</v>
      </c>
      <c r="G50">
        <v>40</v>
      </c>
      <c r="H50">
        <v>8</v>
      </c>
      <c r="I50">
        <v>0.5</v>
      </c>
      <c r="J50">
        <v>5</v>
      </c>
      <c r="K50">
        <v>2</v>
      </c>
      <c r="L50">
        <v>1</v>
      </c>
      <c r="M50">
        <v>0.1</v>
      </c>
      <c r="N50">
        <v>21316</v>
      </c>
      <c r="O50">
        <v>1.5</v>
      </c>
      <c r="P50">
        <f t="shared" si="0"/>
        <v>183</v>
      </c>
      <c r="Q50">
        <v>12</v>
      </c>
      <c r="R50">
        <f t="shared" si="1"/>
        <v>13981.2</v>
      </c>
      <c r="S50">
        <f t="shared" si="2"/>
        <v>5124</v>
      </c>
      <c r="T50">
        <f t="shared" si="3"/>
        <v>183</v>
      </c>
      <c r="U50">
        <v>0</v>
      </c>
      <c r="V50">
        <f t="shared" si="4"/>
        <v>756.8</v>
      </c>
      <c r="W50" s="6">
        <f t="shared" si="5"/>
        <v>18.4741014799154</v>
      </c>
      <c r="X50">
        <v>1800</v>
      </c>
      <c r="Y50">
        <v>44</v>
      </c>
      <c r="Z50">
        <v>92</v>
      </c>
      <c r="AA50">
        <f t="shared" si="6"/>
        <v>17648.4</v>
      </c>
      <c r="AB50">
        <f t="shared" si="7"/>
        <v>756.8</v>
      </c>
      <c r="AC50">
        <f ca="1" t="shared" si="8"/>
        <v>31.9092494714588</v>
      </c>
      <c r="AD50">
        <f t="shared" si="9"/>
        <v>366</v>
      </c>
      <c r="AE50">
        <v>81.3333333333334</v>
      </c>
      <c r="AF50">
        <f t="shared" si="10"/>
        <v>41.4</v>
      </c>
      <c r="AG50">
        <f ca="1" t="shared" si="11"/>
        <v>6500.52</v>
      </c>
      <c r="AH50">
        <f t="shared" si="12"/>
        <v>46</v>
      </c>
      <c r="AI50">
        <f ca="1" t="shared" si="13"/>
        <v>7491.456</v>
      </c>
    </row>
    <row r="51" spans="2:35">
      <c r="B51">
        <f t="shared" si="15"/>
        <v>1.31428571428571</v>
      </c>
      <c r="C51">
        <v>45</v>
      </c>
      <c r="D51">
        <v>11</v>
      </c>
      <c r="E51">
        <v>5</v>
      </c>
      <c r="F51">
        <v>184</v>
      </c>
      <c r="G51">
        <v>40</v>
      </c>
      <c r="H51">
        <v>8</v>
      </c>
      <c r="I51">
        <v>0.5</v>
      </c>
      <c r="J51">
        <v>5</v>
      </c>
      <c r="K51">
        <v>2</v>
      </c>
      <c r="L51">
        <v>1</v>
      </c>
      <c r="M51">
        <v>0.1</v>
      </c>
      <c r="N51">
        <v>21316</v>
      </c>
      <c r="O51">
        <v>1.5</v>
      </c>
      <c r="P51">
        <f t="shared" si="0"/>
        <v>184</v>
      </c>
      <c r="Q51">
        <v>12</v>
      </c>
      <c r="R51">
        <f t="shared" si="1"/>
        <v>14057.6</v>
      </c>
      <c r="S51">
        <f t="shared" si="2"/>
        <v>5152</v>
      </c>
      <c r="T51">
        <f t="shared" si="3"/>
        <v>184</v>
      </c>
      <c r="U51">
        <v>0</v>
      </c>
      <c r="V51">
        <f t="shared" si="4"/>
        <v>756.8</v>
      </c>
      <c r="W51" s="6">
        <f t="shared" si="5"/>
        <v>18.5750528541226</v>
      </c>
      <c r="X51">
        <v>1800</v>
      </c>
      <c r="Y51">
        <v>45</v>
      </c>
      <c r="Z51">
        <v>93</v>
      </c>
      <c r="AA51">
        <f t="shared" si="6"/>
        <v>17724.8</v>
      </c>
      <c r="AB51">
        <f t="shared" si="7"/>
        <v>756.8</v>
      </c>
      <c r="AC51">
        <f ca="1" t="shared" si="8"/>
        <v>33.319577167019</v>
      </c>
      <c r="AD51">
        <f t="shared" si="9"/>
        <v>368</v>
      </c>
      <c r="AE51">
        <v>82.0000000000001</v>
      </c>
      <c r="AF51">
        <f t="shared" si="10"/>
        <v>41.4</v>
      </c>
      <c r="AG51">
        <f ca="1" t="shared" si="11"/>
        <v>7491.456</v>
      </c>
      <c r="AH51">
        <f t="shared" si="12"/>
        <v>46</v>
      </c>
      <c r="AI51">
        <f ca="1" t="shared" si="13"/>
        <v>8700.48</v>
      </c>
    </row>
    <row r="52" spans="2:35">
      <c r="B52">
        <f t="shared" si="15"/>
        <v>1.32142857142857</v>
      </c>
      <c r="C52">
        <v>46</v>
      </c>
      <c r="D52">
        <v>12</v>
      </c>
      <c r="E52">
        <v>5</v>
      </c>
      <c r="F52">
        <v>185</v>
      </c>
      <c r="G52">
        <v>40</v>
      </c>
      <c r="H52">
        <v>8</v>
      </c>
      <c r="I52">
        <v>0.5</v>
      </c>
      <c r="J52">
        <v>5</v>
      </c>
      <c r="K52">
        <v>2</v>
      </c>
      <c r="L52">
        <v>1</v>
      </c>
      <c r="M52">
        <v>0.1</v>
      </c>
      <c r="N52">
        <v>21316</v>
      </c>
      <c r="O52">
        <v>1.5</v>
      </c>
      <c r="P52">
        <f t="shared" si="0"/>
        <v>185</v>
      </c>
      <c r="Q52">
        <v>12</v>
      </c>
      <c r="R52">
        <f t="shared" si="1"/>
        <v>14134</v>
      </c>
      <c r="S52">
        <f t="shared" si="2"/>
        <v>5180</v>
      </c>
      <c r="T52">
        <f t="shared" si="3"/>
        <v>185</v>
      </c>
      <c r="U52">
        <v>0</v>
      </c>
      <c r="V52">
        <f t="shared" si="4"/>
        <v>756.8</v>
      </c>
      <c r="W52" s="6">
        <f t="shared" si="5"/>
        <v>18.6760042283298</v>
      </c>
      <c r="X52">
        <v>1800</v>
      </c>
      <c r="Y52">
        <v>46</v>
      </c>
      <c r="Z52">
        <v>94</v>
      </c>
      <c r="AA52">
        <f t="shared" si="6"/>
        <v>17801.2</v>
      </c>
      <c r="AB52">
        <f t="shared" si="7"/>
        <v>756.8</v>
      </c>
      <c r="AC52">
        <f ca="1" t="shared" si="8"/>
        <v>33.4205285412262</v>
      </c>
      <c r="AD52">
        <f t="shared" si="9"/>
        <v>370</v>
      </c>
      <c r="AE52">
        <v>82.6666666666667</v>
      </c>
      <c r="AF52">
        <f t="shared" si="10"/>
        <v>41.4</v>
      </c>
      <c r="AG52">
        <f ca="1" t="shared" si="11"/>
        <v>7491.456</v>
      </c>
      <c r="AH52">
        <f t="shared" si="12"/>
        <v>46</v>
      </c>
      <c r="AI52">
        <f ca="1" t="shared" si="13"/>
        <v>8700.48</v>
      </c>
    </row>
    <row r="53" spans="2:35">
      <c r="B53">
        <f t="shared" si="15"/>
        <v>1.32857142857143</v>
      </c>
      <c r="C53">
        <v>47</v>
      </c>
      <c r="D53">
        <v>12</v>
      </c>
      <c r="E53">
        <v>6</v>
      </c>
      <c r="F53">
        <v>186</v>
      </c>
      <c r="G53">
        <v>40</v>
      </c>
      <c r="H53">
        <v>8</v>
      </c>
      <c r="I53">
        <v>0.5</v>
      </c>
      <c r="J53">
        <v>5</v>
      </c>
      <c r="K53">
        <v>2</v>
      </c>
      <c r="L53">
        <v>1</v>
      </c>
      <c r="M53">
        <v>0.1</v>
      </c>
      <c r="N53">
        <v>21316</v>
      </c>
      <c r="O53">
        <v>1.5</v>
      </c>
      <c r="P53">
        <f t="shared" si="0"/>
        <v>186</v>
      </c>
      <c r="Q53">
        <v>12</v>
      </c>
      <c r="R53">
        <f t="shared" si="1"/>
        <v>14210.4</v>
      </c>
      <c r="S53">
        <f t="shared" si="2"/>
        <v>5208</v>
      </c>
      <c r="T53">
        <f t="shared" si="3"/>
        <v>186</v>
      </c>
      <c r="U53">
        <v>0</v>
      </c>
      <c r="V53">
        <f t="shared" si="4"/>
        <v>756.8</v>
      </c>
      <c r="W53" s="6">
        <f t="shared" si="5"/>
        <v>18.776955602537</v>
      </c>
      <c r="X53">
        <v>1800</v>
      </c>
      <c r="Y53">
        <v>47</v>
      </c>
      <c r="Z53">
        <v>95</v>
      </c>
      <c r="AA53">
        <f t="shared" si="6"/>
        <v>17877.6</v>
      </c>
      <c r="AB53">
        <f t="shared" si="7"/>
        <v>756.8</v>
      </c>
      <c r="AC53">
        <f ca="1" t="shared" si="8"/>
        <v>33.5214799154334</v>
      </c>
      <c r="AD53">
        <f t="shared" si="9"/>
        <v>372</v>
      </c>
      <c r="AE53">
        <v>83.3333333333334</v>
      </c>
      <c r="AF53">
        <f t="shared" si="10"/>
        <v>41.4</v>
      </c>
      <c r="AG53">
        <f ca="1" t="shared" si="11"/>
        <v>7491.456</v>
      </c>
      <c r="AH53">
        <f t="shared" si="12"/>
        <v>46</v>
      </c>
      <c r="AI53">
        <f ca="1" t="shared" si="13"/>
        <v>8700.48</v>
      </c>
    </row>
    <row r="54" spans="2:35">
      <c r="B54">
        <f t="shared" si="15"/>
        <v>1.33571428571429</v>
      </c>
      <c r="C54">
        <v>48</v>
      </c>
      <c r="D54">
        <v>13</v>
      </c>
      <c r="E54">
        <v>6</v>
      </c>
      <c r="F54">
        <v>187</v>
      </c>
      <c r="G54">
        <v>40</v>
      </c>
      <c r="H54">
        <v>8</v>
      </c>
      <c r="I54">
        <v>0.5</v>
      </c>
      <c r="J54">
        <v>5</v>
      </c>
      <c r="K54">
        <v>2</v>
      </c>
      <c r="L54">
        <v>1</v>
      </c>
      <c r="M54">
        <v>0.1</v>
      </c>
      <c r="N54">
        <v>21316</v>
      </c>
      <c r="O54">
        <v>1.5</v>
      </c>
      <c r="P54">
        <f t="shared" si="0"/>
        <v>187</v>
      </c>
      <c r="Q54">
        <v>12</v>
      </c>
      <c r="R54">
        <f t="shared" si="1"/>
        <v>14286.8</v>
      </c>
      <c r="S54">
        <f t="shared" si="2"/>
        <v>5236</v>
      </c>
      <c r="T54">
        <f t="shared" si="3"/>
        <v>187</v>
      </c>
      <c r="U54">
        <v>0</v>
      </c>
      <c r="V54">
        <f t="shared" si="4"/>
        <v>756.8</v>
      </c>
      <c r="W54" s="6">
        <f t="shared" si="5"/>
        <v>18.8779069767442</v>
      </c>
      <c r="X54">
        <v>1800</v>
      </c>
      <c r="Y54">
        <v>48</v>
      </c>
      <c r="Z54">
        <v>96</v>
      </c>
      <c r="AA54">
        <f t="shared" si="6"/>
        <v>17954</v>
      </c>
      <c r="AB54">
        <f t="shared" si="7"/>
        <v>756.8</v>
      </c>
      <c r="AC54">
        <f ca="1" t="shared" si="8"/>
        <v>33.6224312896406</v>
      </c>
      <c r="AD54">
        <f t="shared" si="9"/>
        <v>374</v>
      </c>
      <c r="AE54">
        <v>84.0000000000001</v>
      </c>
      <c r="AF54">
        <f t="shared" si="10"/>
        <v>41.4</v>
      </c>
      <c r="AG54">
        <f ca="1" t="shared" si="11"/>
        <v>7491.456</v>
      </c>
      <c r="AH54">
        <f t="shared" si="12"/>
        <v>46</v>
      </c>
      <c r="AI54">
        <f ca="1" t="shared" si="13"/>
        <v>8700.48</v>
      </c>
    </row>
    <row r="55" spans="2:35">
      <c r="B55">
        <f t="shared" si="15"/>
        <v>1.34285714285714</v>
      </c>
      <c r="C55">
        <v>49</v>
      </c>
      <c r="D55">
        <v>14</v>
      </c>
      <c r="E55">
        <v>6</v>
      </c>
      <c r="F55">
        <v>188</v>
      </c>
      <c r="G55">
        <v>40</v>
      </c>
      <c r="H55">
        <v>8</v>
      </c>
      <c r="I55">
        <v>0.5</v>
      </c>
      <c r="J55">
        <v>5</v>
      </c>
      <c r="K55">
        <v>2</v>
      </c>
      <c r="L55">
        <v>1</v>
      </c>
      <c r="M55">
        <v>0.1</v>
      </c>
      <c r="N55">
        <v>21316</v>
      </c>
      <c r="O55">
        <v>1.5</v>
      </c>
      <c r="P55">
        <f t="shared" si="0"/>
        <v>188</v>
      </c>
      <c r="Q55">
        <v>12</v>
      </c>
      <c r="R55">
        <f t="shared" si="1"/>
        <v>14363.2</v>
      </c>
      <c r="S55">
        <f t="shared" si="2"/>
        <v>5264</v>
      </c>
      <c r="T55">
        <f t="shared" si="3"/>
        <v>188</v>
      </c>
      <c r="U55">
        <v>0</v>
      </c>
      <c r="V55">
        <f t="shared" si="4"/>
        <v>756.8</v>
      </c>
      <c r="W55" s="6">
        <f t="shared" si="5"/>
        <v>18.9788583509514</v>
      </c>
      <c r="X55">
        <v>1800</v>
      </c>
      <c r="Y55">
        <v>49</v>
      </c>
      <c r="Z55">
        <v>97</v>
      </c>
      <c r="AA55">
        <f t="shared" si="6"/>
        <v>18030.4</v>
      </c>
      <c r="AB55">
        <f t="shared" si="7"/>
        <v>756.8</v>
      </c>
      <c r="AC55">
        <f ca="1" t="shared" si="8"/>
        <v>33.7233826638478</v>
      </c>
      <c r="AD55">
        <f t="shared" si="9"/>
        <v>376</v>
      </c>
      <c r="AE55">
        <v>84.6666666666668</v>
      </c>
      <c r="AF55">
        <f t="shared" si="10"/>
        <v>41.4</v>
      </c>
      <c r="AG55">
        <f ca="1" t="shared" si="11"/>
        <v>7491.456</v>
      </c>
      <c r="AH55">
        <f t="shared" si="12"/>
        <v>46</v>
      </c>
      <c r="AI55">
        <f ca="1" t="shared" si="13"/>
        <v>8700.48</v>
      </c>
    </row>
    <row r="56" spans="2:35">
      <c r="B56">
        <f t="shared" si="15"/>
        <v>1.35</v>
      </c>
      <c r="C56">
        <v>50</v>
      </c>
      <c r="D56">
        <v>14</v>
      </c>
      <c r="E56">
        <v>7</v>
      </c>
      <c r="F56">
        <v>189</v>
      </c>
      <c r="G56">
        <v>40</v>
      </c>
      <c r="H56">
        <v>8</v>
      </c>
      <c r="I56">
        <v>0.5</v>
      </c>
      <c r="J56">
        <v>5</v>
      </c>
      <c r="K56">
        <v>2</v>
      </c>
      <c r="L56">
        <v>1</v>
      </c>
      <c r="M56">
        <v>0.1</v>
      </c>
      <c r="N56">
        <v>21316</v>
      </c>
      <c r="O56">
        <v>1.5</v>
      </c>
      <c r="P56">
        <f t="shared" si="0"/>
        <v>189</v>
      </c>
      <c r="Q56">
        <v>12</v>
      </c>
      <c r="R56">
        <f t="shared" si="1"/>
        <v>14439.6</v>
      </c>
      <c r="S56">
        <f t="shared" si="2"/>
        <v>5292</v>
      </c>
      <c r="T56">
        <f t="shared" si="3"/>
        <v>189</v>
      </c>
      <c r="U56">
        <v>0</v>
      </c>
      <c r="V56">
        <f t="shared" si="4"/>
        <v>756.8</v>
      </c>
      <c r="W56" s="6">
        <f t="shared" si="5"/>
        <v>19.0798097251586</v>
      </c>
      <c r="X56">
        <v>1800</v>
      </c>
      <c r="Y56">
        <v>50</v>
      </c>
      <c r="Z56">
        <v>98</v>
      </c>
      <c r="AA56">
        <f t="shared" si="6"/>
        <v>18106.8</v>
      </c>
      <c r="AB56">
        <f t="shared" si="7"/>
        <v>756.8</v>
      </c>
      <c r="AC56">
        <f ca="1" t="shared" si="8"/>
        <v>33.824334038055</v>
      </c>
      <c r="AD56">
        <f t="shared" si="9"/>
        <v>378</v>
      </c>
      <c r="AE56">
        <v>85.3333333333334</v>
      </c>
      <c r="AF56">
        <f t="shared" si="10"/>
        <v>41.4</v>
      </c>
      <c r="AG56">
        <f ca="1" t="shared" si="11"/>
        <v>7491.456</v>
      </c>
      <c r="AH56">
        <f t="shared" si="12"/>
        <v>46</v>
      </c>
      <c r="AI56">
        <f ca="1" t="shared" si="13"/>
        <v>8700.48</v>
      </c>
    </row>
    <row r="57" spans="2:35">
      <c r="B57">
        <f t="shared" si="15"/>
        <v>1.35714285714286</v>
      </c>
      <c r="C57">
        <v>51</v>
      </c>
      <c r="D57">
        <v>15</v>
      </c>
      <c r="E57">
        <v>7</v>
      </c>
      <c r="F57">
        <v>190</v>
      </c>
      <c r="G57">
        <v>40</v>
      </c>
      <c r="H57">
        <v>8</v>
      </c>
      <c r="I57">
        <v>0.5</v>
      </c>
      <c r="J57">
        <v>5</v>
      </c>
      <c r="K57">
        <v>2</v>
      </c>
      <c r="L57">
        <v>1</v>
      </c>
      <c r="M57">
        <v>0.1</v>
      </c>
      <c r="N57">
        <v>21316</v>
      </c>
      <c r="O57">
        <v>1.5</v>
      </c>
      <c r="P57">
        <f t="shared" si="0"/>
        <v>190</v>
      </c>
      <c r="Q57">
        <v>12</v>
      </c>
      <c r="R57">
        <f t="shared" si="1"/>
        <v>14516</v>
      </c>
      <c r="S57">
        <f t="shared" si="2"/>
        <v>5320</v>
      </c>
      <c r="T57">
        <f t="shared" si="3"/>
        <v>190</v>
      </c>
      <c r="U57">
        <v>0</v>
      </c>
      <c r="V57">
        <f t="shared" si="4"/>
        <v>756.8</v>
      </c>
      <c r="W57" s="6">
        <f t="shared" si="5"/>
        <v>19.1807610993658</v>
      </c>
      <c r="X57">
        <v>1800</v>
      </c>
      <c r="Y57">
        <v>51</v>
      </c>
      <c r="Z57">
        <v>99</v>
      </c>
      <c r="AA57">
        <f t="shared" si="6"/>
        <v>18183.2</v>
      </c>
      <c r="AB57">
        <f t="shared" si="7"/>
        <v>756.8</v>
      </c>
      <c r="AC57">
        <f ca="1" t="shared" si="8"/>
        <v>33.9252854122622</v>
      </c>
      <c r="AD57">
        <f t="shared" si="9"/>
        <v>380</v>
      </c>
      <c r="AE57">
        <v>86.0000000000001</v>
      </c>
      <c r="AF57">
        <f t="shared" si="10"/>
        <v>41.4</v>
      </c>
      <c r="AG57">
        <f ca="1" t="shared" si="11"/>
        <v>7491.456</v>
      </c>
      <c r="AH57">
        <f t="shared" si="12"/>
        <v>46</v>
      </c>
      <c r="AI57">
        <f ca="1" t="shared" si="13"/>
        <v>8700.48</v>
      </c>
    </row>
    <row r="58" spans="2:35">
      <c r="B58">
        <f t="shared" si="15"/>
        <v>1.36428571428571</v>
      </c>
      <c r="C58">
        <v>52</v>
      </c>
      <c r="D58">
        <v>16</v>
      </c>
      <c r="E58">
        <v>7</v>
      </c>
      <c r="F58">
        <v>191</v>
      </c>
      <c r="G58">
        <v>40</v>
      </c>
      <c r="H58">
        <v>8</v>
      </c>
      <c r="I58">
        <v>0.5</v>
      </c>
      <c r="J58">
        <v>5</v>
      </c>
      <c r="K58">
        <v>2</v>
      </c>
      <c r="L58">
        <v>1</v>
      </c>
      <c r="M58">
        <v>0.1</v>
      </c>
      <c r="N58">
        <v>21316</v>
      </c>
      <c r="O58">
        <v>1.5</v>
      </c>
      <c r="P58">
        <f t="shared" si="0"/>
        <v>191</v>
      </c>
      <c r="Q58">
        <v>12</v>
      </c>
      <c r="R58">
        <f t="shared" si="1"/>
        <v>14592.4</v>
      </c>
      <c r="S58">
        <f t="shared" si="2"/>
        <v>5348</v>
      </c>
      <c r="T58">
        <f t="shared" si="3"/>
        <v>191</v>
      </c>
      <c r="U58">
        <v>0</v>
      </c>
      <c r="V58">
        <f t="shared" si="4"/>
        <v>756.8</v>
      </c>
      <c r="W58" s="6">
        <f t="shared" si="5"/>
        <v>19.2817124735729</v>
      </c>
      <c r="X58">
        <v>1800</v>
      </c>
      <c r="Y58">
        <v>52</v>
      </c>
      <c r="Z58">
        <v>100</v>
      </c>
      <c r="AA58">
        <f t="shared" si="6"/>
        <v>18259.6</v>
      </c>
      <c r="AB58">
        <f t="shared" si="7"/>
        <v>756.8</v>
      </c>
      <c r="AC58">
        <f ca="1" t="shared" si="8"/>
        <v>34.0262367864693</v>
      </c>
      <c r="AD58">
        <f t="shared" si="9"/>
        <v>382</v>
      </c>
      <c r="AE58">
        <v>86.6666666666668</v>
      </c>
      <c r="AF58">
        <f t="shared" si="10"/>
        <v>41.4</v>
      </c>
      <c r="AG58">
        <f ca="1" t="shared" si="11"/>
        <v>7491.456</v>
      </c>
      <c r="AH58">
        <f t="shared" si="12"/>
        <v>46</v>
      </c>
      <c r="AI58">
        <f ca="1" t="shared" si="13"/>
        <v>8700.48</v>
      </c>
    </row>
    <row r="59" spans="2:35">
      <c r="B59">
        <f t="shared" si="15"/>
        <v>1.37142857142857</v>
      </c>
      <c r="C59">
        <v>53</v>
      </c>
      <c r="D59">
        <v>16</v>
      </c>
      <c r="E59">
        <v>8</v>
      </c>
      <c r="F59">
        <v>192</v>
      </c>
      <c r="G59">
        <v>40</v>
      </c>
      <c r="H59">
        <v>8</v>
      </c>
      <c r="I59">
        <v>0.5</v>
      </c>
      <c r="J59">
        <v>5</v>
      </c>
      <c r="K59">
        <v>2</v>
      </c>
      <c r="L59">
        <v>1</v>
      </c>
      <c r="M59">
        <v>0.1</v>
      </c>
      <c r="N59">
        <v>21316</v>
      </c>
      <c r="O59">
        <v>1.5</v>
      </c>
      <c r="P59">
        <f t="shared" si="0"/>
        <v>192</v>
      </c>
      <c r="Q59">
        <v>12</v>
      </c>
      <c r="R59">
        <f t="shared" si="1"/>
        <v>14668.8</v>
      </c>
      <c r="S59">
        <f t="shared" si="2"/>
        <v>5376</v>
      </c>
      <c r="T59">
        <f t="shared" si="3"/>
        <v>192</v>
      </c>
      <c r="U59">
        <v>0</v>
      </c>
      <c r="V59">
        <f t="shared" si="4"/>
        <v>756.8</v>
      </c>
      <c r="W59" s="6">
        <f t="shared" si="5"/>
        <v>19.3826638477801</v>
      </c>
      <c r="X59">
        <v>1800</v>
      </c>
      <c r="Y59">
        <v>53</v>
      </c>
      <c r="Z59">
        <v>101</v>
      </c>
      <c r="AA59">
        <f t="shared" si="6"/>
        <v>18336</v>
      </c>
      <c r="AB59">
        <f t="shared" si="7"/>
        <v>756.8</v>
      </c>
      <c r="AC59">
        <f ca="1" t="shared" si="8"/>
        <v>34.1271881606765</v>
      </c>
      <c r="AD59">
        <f t="shared" si="9"/>
        <v>384</v>
      </c>
      <c r="AE59">
        <v>87.3333333333334</v>
      </c>
      <c r="AF59">
        <f t="shared" si="10"/>
        <v>41.4</v>
      </c>
      <c r="AG59">
        <f ca="1" t="shared" si="11"/>
        <v>7491.456</v>
      </c>
      <c r="AH59">
        <f t="shared" si="12"/>
        <v>46</v>
      </c>
      <c r="AI59">
        <f ca="1" t="shared" si="13"/>
        <v>8700.48</v>
      </c>
    </row>
    <row r="60" spans="2:35">
      <c r="B60">
        <f t="shared" si="15"/>
        <v>1.37857142857143</v>
      </c>
      <c r="C60">
        <v>54</v>
      </c>
      <c r="D60">
        <v>17</v>
      </c>
      <c r="E60">
        <v>8</v>
      </c>
      <c r="F60">
        <v>193</v>
      </c>
      <c r="G60">
        <v>40</v>
      </c>
      <c r="H60">
        <v>8</v>
      </c>
      <c r="I60">
        <v>0.5</v>
      </c>
      <c r="J60">
        <v>5</v>
      </c>
      <c r="K60">
        <v>2</v>
      </c>
      <c r="L60">
        <v>1</v>
      </c>
      <c r="M60">
        <v>0.1</v>
      </c>
      <c r="N60">
        <v>21316</v>
      </c>
      <c r="O60">
        <v>1.5</v>
      </c>
      <c r="P60">
        <f t="shared" si="0"/>
        <v>193</v>
      </c>
      <c r="Q60">
        <v>12</v>
      </c>
      <c r="R60">
        <f t="shared" si="1"/>
        <v>14745.2</v>
      </c>
      <c r="S60">
        <f t="shared" si="2"/>
        <v>5404</v>
      </c>
      <c r="T60">
        <f t="shared" si="3"/>
        <v>193</v>
      </c>
      <c r="U60">
        <v>0</v>
      </c>
      <c r="V60">
        <f t="shared" si="4"/>
        <v>756.8</v>
      </c>
      <c r="W60" s="6">
        <f t="shared" si="5"/>
        <v>19.4836152219873</v>
      </c>
      <c r="X60">
        <v>1800</v>
      </c>
      <c r="Y60">
        <v>54</v>
      </c>
      <c r="Z60">
        <v>102</v>
      </c>
      <c r="AA60">
        <f t="shared" si="6"/>
        <v>18412.4</v>
      </c>
      <c r="AB60">
        <f t="shared" si="7"/>
        <v>756.8</v>
      </c>
      <c r="AC60">
        <f ca="1" t="shared" si="8"/>
        <v>34.2281395348837</v>
      </c>
      <c r="AD60">
        <f t="shared" si="9"/>
        <v>386</v>
      </c>
      <c r="AE60">
        <v>88.0000000000001</v>
      </c>
      <c r="AF60">
        <f t="shared" si="10"/>
        <v>41.4</v>
      </c>
      <c r="AG60">
        <f ca="1" t="shared" si="11"/>
        <v>7491.456</v>
      </c>
      <c r="AH60">
        <f t="shared" si="12"/>
        <v>46</v>
      </c>
      <c r="AI60">
        <f ca="1" t="shared" si="13"/>
        <v>8700.48</v>
      </c>
    </row>
    <row r="61" spans="2:35">
      <c r="B61">
        <f t="shared" si="15"/>
        <v>1.38571428571429</v>
      </c>
      <c r="C61">
        <v>55</v>
      </c>
      <c r="D61">
        <v>18</v>
      </c>
      <c r="E61">
        <v>8</v>
      </c>
      <c r="F61">
        <v>194</v>
      </c>
      <c r="G61">
        <v>40</v>
      </c>
      <c r="H61">
        <v>8</v>
      </c>
      <c r="I61">
        <v>0.5</v>
      </c>
      <c r="J61">
        <v>5</v>
      </c>
      <c r="K61">
        <v>2</v>
      </c>
      <c r="L61">
        <v>1</v>
      </c>
      <c r="M61">
        <v>0.1</v>
      </c>
      <c r="N61">
        <v>21316</v>
      </c>
      <c r="O61">
        <v>1.5</v>
      </c>
      <c r="P61">
        <f t="shared" si="0"/>
        <v>194</v>
      </c>
      <c r="Q61">
        <v>12</v>
      </c>
      <c r="R61">
        <f t="shared" si="1"/>
        <v>14821.6</v>
      </c>
      <c r="S61">
        <f t="shared" si="2"/>
        <v>5432</v>
      </c>
      <c r="T61">
        <f t="shared" si="3"/>
        <v>194</v>
      </c>
      <c r="U61">
        <v>0</v>
      </c>
      <c r="V61">
        <f t="shared" si="4"/>
        <v>756.8</v>
      </c>
      <c r="W61" s="6">
        <f t="shared" si="5"/>
        <v>19.5845665961945</v>
      </c>
      <c r="X61">
        <v>1800</v>
      </c>
      <c r="Y61">
        <v>55</v>
      </c>
      <c r="Z61">
        <v>103</v>
      </c>
      <c r="AA61">
        <f t="shared" si="6"/>
        <v>18488.8</v>
      </c>
      <c r="AB61">
        <f t="shared" si="7"/>
        <v>756.8</v>
      </c>
      <c r="AC61">
        <f ca="1" t="shared" si="8"/>
        <v>34.3290909090909</v>
      </c>
      <c r="AD61">
        <f t="shared" si="9"/>
        <v>388</v>
      </c>
      <c r="AE61">
        <v>88.6666666666668</v>
      </c>
      <c r="AF61">
        <f t="shared" si="10"/>
        <v>41.4</v>
      </c>
      <c r="AG61">
        <f ca="1" t="shared" si="11"/>
        <v>7491.456</v>
      </c>
      <c r="AH61">
        <f t="shared" si="12"/>
        <v>46</v>
      </c>
      <c r="AI61">
        <f ca="1" t="shared" si="13"/>
        <v>8700.48</v>
      </c>
    </row>
    <row r="62" spans="2:35">
      <c r="B62">
        <f t="shared" si="15"/>
        <v>1.39285714285714</v>
      </c>
      <c r="C62">
        <v>56</v>
      </c>
      <c r="D62">
        <v>19</v>
      </c>
      <c r="E62">
        <v>9</v>
      </c>
      <c r="F62">
        <v>195</v>
      </c>
      <c r="G62">
        <v>40</v>
      </c>
      <c r="H62">
        <v>8</v>
      </c>
      <c r="I62">
        <v>0.5</v>
      </c>
      <c r="J62">
        <v>5</v>
      </c>
      <c r="K62">
        <v>2</v>
      </c>
      <c r="L62">
        <v>1</v>
      </c>
      <c r="M62">
        <v>0.1</v>
      </c>
      <c r="N62">
        <v>21316</v>
      </c>
      <c r="O62">
        <v>1.5</v>
      </c>
      <c r="P62">
        <f t="shared" si="0"/>
        <v>195</v>
      </c>
      <c r="Q62">
        <v>12</v>
      </c>
      <c r="R62">
        <f t="shared" si="1"/>
        <v>14898</v>
      </c>
      <c r="S62">
        <f t="shared" si="2"/>
        <v>5460</v>
      </c>
      <c r="T62">
        <f t="shared" si="3"/>
        <v>195</v>
      </c>
      <c r="U62">
        <v>0</v>
      </c>
      <c r="V62">
        <f t="shared" si="4"/>
        <v>756.8</v>
      </c>
      <c r="W62" s="6">
        <f t="shared" si="5"/>
        <v>19.6855179704017</v>
      </c>
      <c r="X62">
        <v>1800</v>
      </c>
      <c r="Y62">
        <v>56</v>
      </c>
      <c r="Z62">
        <v>104</v>
      </c>
      <c r="AA62">
        <f t="shared" si="6"/>
        <v>18565.2</v>
      </c>
      <c r="AB62">
        <f t="shared" si="7"/>
        <v>756.8</v>
      </c>
      <c r="AC62">
        <f ca="1" t="shared" si="8"/>
        <v>34.4300422832981</v>
      </c>
      <c r="AD62">
        <f t="shared" si="9"/>
        <v>390</v>
      </c>
      <c r="AE62">
        <v>89.3333333333335</v>
      </c>
      <c r="AF62">
        <f t="shared" si="10"/>
        <v>41.4</v>
      </c>
      <c r="AG62">
        <f ca="1" t="shared" si="11"/>
        <v>7491.456</v>
      </c>
      <c r="AH62">
        <f t="shared" si="12"/>
        <v>46</v>
      </c>
      <c r="AI62">
        <f ca="1" t="shared" si="13"/>
        <v>8700.48</v>
      </c>
    </row>
    <row r="63" spans="2:35">
      <c r="B63">
        <f t="shared" si="15"/>
        <v>1.4</v>
      </c>
      <c r="C63">
        <v>57</v>
      </c>
      <c r="D63">
        <v>20</v>
      </c>
      <c r="E63">
        <v>9</v>
      </c>
      <c r="F63">
        <v>196</v>
      </c>
      <c r="G63">
        <v>40</v>
      </c>
      <c r="H63">
        <v>8</v>
      </c>
      <c r="I63">
        <v>0.5</v>
      </c>
      <c r="J63">
        <v>5</v>
      </c>
      <c r="K63">
        <v>2</v>
      </c>
      <c r="L63">
        <v>1</v>
      </c>
      <c r="M63">
        <v>0.1</v>
      </c>
      <c r="N63">
        <v>21316</v>
      </c>
      <c r="O63">
        <v>1.5</v>
      </c>
      <c r="P63">
        <f t="shared" si="0"/>
        <v>196</v>
      </c>
      <c r="Q63">
        <v>12</v>
      </c>
      <c r="R63">
        <f t="shared" si="1"/>
        <v>14974.4</v>
      </c>
      <c r="S63">
        <f t="shared" si="2"/>
        <v>5488</v>
      </c>
      <c r="T63">
        <f t="shared" si="3"/>
        <v>196</v>
      </c>
      <c r="U63">
        <v>0</v>
      </c>
      <c r="V63">
        <f t="shared" si="4"/>
        <v>756.8</v>
      </c>
      <c r="W63" s="6">
        <f t="shared" si="5"/>
        <v>19.7864693446089</v>
      </c>
      <c r="X63">
        <v>1800</v>
      </c>
      <c r="Y63">
        <v>57</v>
      </c>
      <c r="Z63">
        <v>105</v>
      </c>
      <c r="AA63">
        <f t="shared" si="6"/>
        <v>18641.6</v>
      </c>
      <c r="AB63">
        <f t="shared" si="7"/>
        <v>756.8</v>
      </c>
      <c r="AC63">
        <f ca="1" t="shared" si="8"/>
        <v>34.5309936575053</v>
      </c>
      <c r="AD63">
        <f t="shared" si="9"/>
        <v>392</v>
      </c>
      <c r="AE63">
        <v>90.0000000000001</v>
      </c>
      <c r="AF63">
        <f t="shared" si="10"/>
        <v>46</v>
      </c>
      <c r="AG63">
        <f ca="1" t="shared" si="11"/>
        <v>7491.456</v>
      </c>
      <c r="AH63">
        <f t="shared" si="12"/>
        <v>55.2</v>
      </c>
      <c r="AI63">
        <f ca="1" t="shared" si="13"/>
        <v>8700.48</v>
      </c>
    </row>
    <row r="64" spans="2:35">
      <c r="B64">
        <f t="shared" si="15"/>
        <v>1.40714285714286</v>
      </c>
      <c r="C64">
        <v>58</v>
      </c>
      <c r="D64">
        <v>21</v>
      </c>
      <c r="E64">
        <v>9</v>
      </c>
      <c r="F64">
        <v>197</v>
      </c>
      <c r="G64">
        <v>40</v>
      </c>
      <c r="H64">
        <v>8</v>
      </c>
      <c r="I64">
        <v>0.5</v>
      </c>
      <c r="J64">
        <v>5</v>
      </c>
      <c r="K64">
        <v>2</v>
      </c>
      <c r="L64">
        <v>1</v>
      </c>
      <c r="M64">
        <v>0.1</v>
      </c>
      <c r="N64">
        <v>21316</v>
      </c>
      <c r="O64">
        <v>1.5</v>
      </c>
      <c r="P64">
        <f t="shared" si="0"/>
        <v>197</v>
      </c>
      <c r="Q64">
        <v>12</v>
      </c>
      <c r="R64">
        <f t="shared" si="1"/>
        <v>15050.8</v>
      </c>
      <c r="S64">
        <f t="shared" si="2"/>
        <v>5516</v>
      </c>
      <c r="T64">
        <f t="shared" si="3"/>
        <v>197</v>
      </c>
      <c r="U64">
        <v>0</v>
      </c>
      <c r="V64">
        <f t="shared" si="4"/>
        <v>756.8</v>
      </c>
      <c r="W64" s="6">
        <f t="shared" si="5"/>
        <v>19.8874207188161</v>
      </c>
      <c r="X64">
        <v>1800</v>
      </c>
      <c r="Y64">
        <v>58</v>
      </c>
      <c r="Z64">
        <v>106</v>
      </c>
      <c r="AA64">
        <f t="shared" si="6"/>
        <v>18718</v>
      </c>
      <c r="AB64">
        <f t="shared" si="7"/>
        <v>756.8</v>
      </c>
      <c r="AC64">
        <f ca="1" t="shared" si="8"/>
        <v>34.6319450317125</v>
      </c>
      <c r="AD64">
        <f t="shared" si="9"/>
        <v>394</v>
      </c>
      <c r="AE64">
        <v>90.6666666666668</v>
      </c>
      <c r="AF64">
        <f t="shared" si="10"/>
        <v>46</v>
      </c>
      <c r="AG64">
        <f ca="1" t="shared" si="11"/>
        <v>7491.456</v>
      </c>
      <c r="AH64">
        <f t="shared" si="12"/>
        <v>55.2</v>
      </c>
      <c r="AI64">
        <f ca="1" t="shared" si="13"/>
        <v>8700.48</v>
      </c>
    </row>
    <row r="65" spans="2:35">
      <c r="B65">
        <f t="shared" si="15"/>
        <v>1.41428571428571</v>
      </c>
      <c r="C65">
        <v>59</v>
      </c>
      <c r="D65">
        <v>22</v>
      </c>
      <c r="E65">
        <v>10</v>
      </c>
      <c r="F65">
        <v>198</v>
      </c>
      <c r="G65">
        <v>40</v>
      </c>
      <c r="H65">
        <v>8</v>
      </c>
      <c r="I65">
        <v>0.5</v>
      </c>
      <c r="J65">
        <v>5</v>
      </c>
      <c r="K65">
        <v>2</v>
      </c>
      <c r="L65">
        <v>1</v>
      </c>
      <c r="M65">
        <v>0.1</v>
      </c>
      <c r="N65">
        <v>21316</v>
      </c>
      <c r="O65">
        <v>1.5</v>
      </c>
      <c r="P65">
        <f t="shared" si="0"/>
        <v>198</v>
      </c>
      <c r="Q65">
        <v>12</v>
      </c>
      <c r="R65">
        <f t="shared" si="1"/>
        <v>15127.2</v>
      </c>
      <c r="S65">
        <f t="shared" si="2"/>
        <v>5544</v>
      </c>
      <c r="T65">
        <f t="shared" si="3"/>
        <v>198</v>
      </c>
      <c r="U65">
        <v>0</v>
      </c>
      <c r="V65">
        <f t="shared" si="4"/>
        <v>756.8</v>
      </c>
      <c r="W65" s="6">
        <f t="shared" si="5"/>
        <v>19.9883720930233</v>
      </c>
      <c r="X65">
        <v>1800</v>
      </c>
      <c r="Y65">
        <v>59</v>
      </c>
      <c r="Z65">
        <v>107</v>
      </c>
      <c r="AA65">
        <f t="shared" si="6"/>
        <v>18794.4</v>
      </c>
      <c r="AB65">
        <f t="shared" si="7"/>
        <v>756.8</v>
      </c>
      <c r="AC65">
        <f ca="1" t="shared" si="8"/>
        <v>34.7328964059197</v>
      </c>
      <c r="AD65">
        <f t="shared" si="9"/>
        <v>396</v>
      </c>
      <c r="AE65">
        <v>91.3333333333335</v>
      </c>
      <c r="AF65">
        <f t="shared" si="10"/>
        <v>46</v>
      </c>
      <c r="AG65">
        <f ca="1" t="shared" si="11"/>
        <v>7491.456</v>
      </c>
      <c r="AH65">
        <f t="shared" si="12"/>
        <v>55.2</v>
      </c>
      <c r="AI65">
        <f ca="1" t="shared" si="13"/>
        <v>8700.48</v>
      </c>
    </row>
    <row r="66" spans="2:35">
      <c r="B66">
        <f t="shared" si="15"/>
        <v>1.42142857142857</v>
      </c>
      <c r="C66">
        <v>60</v>
      </c>
      <c r="D66">
        <v>23</v>
      </c>
      <c r="E66">
        <v>10</v>
      </c>
      <c r="F66">
        <v>199</v>
      </c>
      <c r="G66">
        <v>40</v>
      </c>
      <c r="H66">
        <v>8</v>
      </c>
      <c r="I66">
        <v>0.5</v>
      </c>
      <c r="J66">
        <v>5</v>
      </c>
      <c r="K66">
        <v>2</v>
      </c>
      <c r="L66">
        <v>1</v>
      </c>
      <c r="M66">
        <v>0.1</v>
      </c>
      <c r="N66">
        <v>21316</v>
      </c>
      <c r="O66">
        <v>1.5</v>
      </c>
      <c r="P66">
        <f t="shared" si="0"/>
        <v>199</v>
      </c>
      <c r="Q66">
        <v>12</v>
      </c>
      <c r="R66">
        <f t="shared" si="1"/>
        <v>15203.6</v>
      </c>
      <c r="S66">
        <f t="shared" si="2"/>
        <v>5572</v>
      </c>
      <c r="T66">
        <f t="shared" si="3"/>
        <v>199</v>
      </c>
      <c r="U66">
        <v>0</v>
      </c>
      <c r="V66">
        <f t="shared" si="4"/>
        <v>756.8</v>
      </c>
      <c r="W66" s="6">
        <f t="shared" si="5"/>
        <v>20.0893234672304</v>
      </c>
      <c r="X66">
        <v>1800</v>
      </c>
      <c r="Y66">
        <v>60</v>
      </c>
      <c r="Z66">
        <v>108</v>
      </c>
      <c r="AA66">
        <f t="shared" si="6"/>
        <v>18870.8</v>
      </c>
      <c r="AB66">
        <f t="shared" si="7"/>
        <v>756.8</v>
      </c>
      <c r="AC66">
        <f ca="1" t="shared" si="8"/>
        <v>34.8338477801269</v>
      </c>
      <c r="AD66">
        <f t="shared" si="9"/>
        <v>398</v>
      </c>
      <c r="AE66">
        <v>92.0000000000001</v>
      </c>
      <c r="AF66">
        <f t="shared" si="10"/>
        <v>46</v>
      </c>
      <c r="AG66">
        <f ca="1" t="shared" si="11"/>
        <v>7491.456</v>
      </c>
      <c r="AH66">
        <f t="shared" si="12"/>
        <v>55.2</v>
      </c>
      <c r="AI66">
        <f ca="1" t="shared" si="13"/>
        <v>8700.48</v>
      </c>
    </row>
    <row r="67" spans="2:35">
      <c r="B67">
        <f t="shared" si="15"/>
        <v>1.42857142857143</v>
      </c>
      <c r="C67">
        <v>61</v>
      </c>
      <c r="D67">
        <v>24</v>
      </c>
      <c r="E67">
        <v>10</v>
      </c>
      <c r="F67">
        <v>200</v>
      </c>
      <c r="G67">
        <v>40</v>
      </c>
      <c r="H67">
        <v>8</v>
      </c>
      <c r="I67">
        <v>0.5</v>
      </c>
      <c r="J67">
        <v>5</v>
      </c>
      <c r="K67">
        <v>2</v>
      </c>
      <c r="L67">
        <v>1</v>
      </c>
      <c r="M67">
        <v>0.1</v>
      </c>
      <c r="N67">
        <v>21317</v>
      </c>
      <c r="O67">
        <v>1.5</v>
      </c>
      <c r="P67">
        <f t="shared" si="0"/>
        <v>200</v>
      </c>
      <c r="Q67">
        <v>12</v>
      </c>
      <c r="R67">
        <f t="shared" si="1"/>
        <v>15280</v>
      </c>
      <c r="S67">
        <f t="shared" si="2"/>
        <v>5600</v>
      </c>
      <c r="T67">
        <f t="shared" si="3"/>
        <v>200</v>
      </c>
      <c r="U67">
        <v>0</v>
      </c>
      <c r="V67">
        <f t="shared" si="4"/>
        <v>756.8</v>
      </c>
      <c r="W67" s="6">
        <f t="shared" si="5"/>
        <v>20.1902748414376</v>
      </c>
      <c r="X67">
        <v>1800</v>
      </c>
      <c r="Y67">
        <v>61</v>
      </c>
      <c r="AD67">
        <f t="shared" si="9"/>
        <v>400</v>
      </c>
      <c r="AF67">
        <f t="shared" si="10"/>
        <v>13.8</v>
      </c>
      <c r="AG67">
        <f ca="1" t="shared" si="11"/>
        <v>7491.456</v>
      </c>
      <c r="AH67">
        <f t="shared" si="12"/>
        <v>16.1</v>
      </c>
      <c r="AI67">
        <f ca="1" t="shared" si="13"/>
        <v>8700.48</v>
      </c>
    </row>
    <row r="68" spans="2:35">
      <c r="B68">
        <f t="shared" si="15"/>
        <v>1.43571428571429</v>
      </c>
      <c r="C68">
        <v>62</v>
      </c>
      <c r="D68">
        <v>25</v>
      </c>
      <c r="E68">
        <v>11</v>
      </c>
      <c r="F68">
        <v>201</v>
      </c>
      <c r="G68">
        <v>40</v>
      </c>
      <c r="H68">
        <v>8</v>
      </c>
      <c r="I68">
        <v>0.5</v>
      </c>
      <c r="J68">
        <v>5</v>
      </c>
      <c r="K68">
        <v>2</v>
      </c>
      <c r="L68">
        <v>1</v>
      </c>
      <c r="M68">
        <v>0.1</v>
      </c>
      <c r="N68">
        <v>21317</v>
      </c>
      <c r="O68">
        <v>1.5</v>
      </c>
      <c r="P68">
        <f t="shared" si="0"/>
        <v>201</v>
      </c>
      <c r="Q68">
        <v>12</v>
      </c>
      <c r="R68">
        <f t="shared" si="1"/>
        <v>15356.4</v>
      </c>
      <c r="S68">
        <f t="shared" si="2"/>
        <v>5628</v>
      </c>
      <c r="T68">
        <f t="shared" si="3"/>
        <v>201</v>
      </c>
      <c r="U68">
        <v>0</v>
      </c>
      <c r="V68">
        <f t="shared" si="4"/>
        <v>756.8</v>
      </c>
      <c r="W68" s="6">
        <f t="shared" si="5"/>
        <v>20.2912262156448</v>
      </c>
      <c r="X68">
        <v>1800</v>
      </c>
      <c r="AD68">
        <f t="shared" si="9"/>
        <v>402</v>
      </c>
      <c r="AF68">
        <f t="shared" si="10"/>
        <v>13.8</v>
      </c>
      <c r="AG68" t="e">
        <f ca="1" t="shared" si="11"/>
        <v>#N/A</v>
      </c>
      <c r="AH68">
        <f t="shared" si="12"/>
        <v>16.1</v>
      </c>
      <c r="AI68" t="e">
        <f ca="1" t="shared" si="13"/>
        <v>#N/A</v>
      </c>
    </row>
    <row r="69" spans="2:35">
      <c r="B69">
        <f t="shared" si="15"/>
        <v>1.44285714285714</v>
      </c>
      <c r="C69">
        <v>63</v>
      </c>
      <c r="D69">
        <v>26</v>
      </c>
      <c r="E69">
        <v>11</v>
      </c>
      <c r="F69">
        <v>202</v>
      </c>
      <c r="G69">
        <v>40</v>
      </c>
      <c r="H69">
        <v>8</v>
      </c>
      <c r="I69">
        <v>0.5</v>
      </c>
      <c r="J69">
        <v>5</v>
      </c>
      <c r="K69">
        <v>2</v>
      </c>
      <c r="L69">
        <v>1</v>
      </c>
      <c r="M69">
        <v>0.1</v>
      </c>
      <c r="N69">
        <v>21317</v>
      </c>
      <c r="O69">
        <v>1.5</v>
      </c>
      <c r="P69">
        <f t="shared" si="0"/>
        <v>202</v>
      </c>
      <c r="Q69">
        <v>12</v>
      </c>
      <c r="R69">
        <f t="shared" si="1"/>
        <v>15432.8</v>
      </c>
      <c r="S69">
        <f t="shared" si="2"/>
        <v>5656</v>
      </c>
      <c r="T69">
        <f t="shared" si="3"/>
        <v>202</v>
      </c>
      <c r="U69">
        <v>0</v>
      </c>
      <c r="V69">
        <f t="shared" si="4"/>
        <v>756.8</v>
      </c>
      <c r="W69" s="6">
        <f t="shared" si="5"/>
        <v>20.392177589852</v>
      </c>
      <c r="X69">
        <v>1800</v>
      </c>
      <c r="AD69">
        <f t="shared" si="9"/>
        <v>404</v>
      </c>
      <c r="AF69">
        <f t="shared" si="10"/>
        <v>13.8</v>
      </c>
      <c r="AG69" t="e">
        <f ca="1" t="shared" si="11"/>
        <v>#N/A</v>
      </c>
      <c r="AH69">
        <f t="shared" si="12"/>
        <v>16.1</v>
      </c>
      <c r="AI69" t="e">
        <f ca="1" t="shared" si="13"/>
        <v>#N/A</v>
      </c>
    </row>
    <row r="70" spans="2:35">
      <c r="B70">
        <f t="shared" si="15"/>
        <v>1.45</v>
      </c>
      <c r="C70">
        <v>64</v>
      </c>
      <c r="D70">
        <v>27</v>
      </c>
      <c r="E70">
        <v>11</v>
      </c>
      <c r="F70">
        <v>203</v>
      </c>
      <c r="G70">
        <v>40</v>
      </c>
      <c r="H70">
        <v>8</v>
      </c>
      <c r="I70">
        <v>0.5</v>
      </c>
      <c r="J70">
        <v>5</v>
      </c>
      <c r="K70">
        <v>2</v>
      </c>
      <c r="L70">
        <v>1</v>
      </c>
      <c r="M70">
        <v>0.1</v>
      </c>
      <c r="N70">
        <v>21317</v>
      </c>
      <c r="O70">
        <v>1.5</v>
      </c>
      <c r="P70">
        <f t="shared" si="0"/>
        <v>203</v>
      </c>
      <c r="Q70">
        <v>12</v>
      </c>
      <c r="R70">
        <f t="shared" si="1"/>
        <v>15509.2</v>
      </c>
      <c r="S70">
        <f t="shared" si="2"/>
        <v>5684</v>
      </c>
      <c r="T70">
        <f t="shared" si="3"/>
        <v>203</v>
      </c>
      <c r="U70">
        <v>0</v>
      </c>
      <c r="V70">
        <f t="shared" si="4"/>
        <v>756.8</v>
      </c>
      <c r="W70" s="6">
        <f t="shared" si="5"/>
        <v>20.4931289640592</v>
      </c>
      <c r="X70">
        <v>1800</v>
      </c>
      <c r="AD70">
        <f t="shared" si="9"/>
        <v>406</v>
      </c>
      <c r="AF70">
        <f t="shared" si="10"/>
        <v>13.8</v>
      </c>
      <c r="AG70" t="e">
        <f ca="1" t="shared" si="11"/>
        <v>#N/A</v>
      </c>
      <c r="AH70">
        <f t="shared" si="12"/>
        <v>16.1</v>
      </c>
      <c r="AI70" t="e">
        <f ca="1" t="shared" si="13"/>
        <v>#N/A</v>
      </c>
    </row>
    <row r="71" spans="2:35">
      <c r="B71">
        <f t="shared" si="15"/>
        <v>1.45714285714286</v>
      </c>
      <c r="C71">
        <v>65</v>
      </c>
      <c r="D71">
        <v>28</v>
      </c>
      <c r="E71">
        <v>12</v>
      </c>
      <c r="F71">
        <v>204</v>
      </c>
      <c r="G71">
        <v>40</v>
      </c>
      <c r="H71">
        <v>8</v>
      </c>
      <c r="I71">
        <v>0.5</v>
      </c>
      <c r="J71">
        <v>5</v>
      </c>
      <c r="K71">
        <v>2</v>
      </c>
      <c r="L71">
        <v>1</v>
      </c>
      <c r="M71">
        <v>0.1</v>
      </c>
      <c r="N71">
        <v>21317</v>
      </c>
      <c r="O71">
        <v>1.5</v>
      </c>
      <c r="P71">
        <f t="shared" ref="P71:P134" si="17">F71</f>
        <v>204</v>
      </c>
      <c r="Q71">
        <v>12</v>
      </c>
      <c r="R71">
        <f t="shared" ref="R71:R134" si="18">P71*28*1.3+F71*40+U71</f>
        <v>15585.6</v>
      </c>
      <c r="S71">
        <f t="shared" ref="S71:S134" si="19">P71*28</f>
        <v>5712</v>
      </c>
      <c r="T71">
        <f t="shared" ref="T71:T134" si="20">F71</f>
        <v>204</v>
      </c>
      <c r="U71">
        <v>0</v>
      </c>
      <c r="V71">
        <f t="shared" ref="V71:V134" si="21">Q71*28*1.3+H71*40</f>
        <v>756.8</v>
      </c>
      <c r="W71" s="6">
        <f t="shared" ref="W71:W134" si="22">R71/V71</f>
        <v>20.5940803382664</v>
      </c>
      <c r="X71">
        <v>1800</v>
      </c>
      <c r="AD71">
        <f t="shared" ref="AD71:AD134" si="23">P71*2</f>
        <v>408</v>
      </c>
      <c r="AF71">
        <f t="shared" ref="AF71:AF134" si="24">VLOOKUP(INT(AE71/10)+1,$AN$8:$AO$33,2,0)</f>
        <v>13.8</v>
      </c>
      <c r="AG71" t="e">
        <f ca="1" t="shared" ref="AG71:AG134" si="25">OFFSET($AK$6,MATCH(Y71,$AL$7:$AL$21,1),0)</f>
        <v>#N/A</v>
      </c>
      <c r="AH71">
        <f t="shared" ref="AH71:AH134" si="26">VLOOKUP(INT(AE71/10)+2,$AN$8:$AO$33,2,0)</f>
        <v>16.1</v>
      </c>
      <c r="AI71" t="e">
        <f ca="1" t="shared" ref="AI71:AI134" si="27">OFFSET($AK$6,1+MATCH(Y71,$AL$7:$AL$21,1),0)</f>
        <v>#N/A</v>
      </c>
    </row>
    <row r="72" spans="2:35">
      <c r="B72">
        <f t="shared" ref="B72:B135" si="28">F72/$F$7</f>
        <v>1.46428571428571</v>
      </c>
      <c r="C72">
        <v>66</v>
      </c>
      <c r="D72">
        <v>29</v>
      </c>
      <c r="E72">
        <v>12</v>
      </c>
      <c r="F72">
        <v>205</v>
      </c>
      <c r="G72">
        <v>40</v>
      </c>
      <c r="H72">
        <v>8</v>
      </c>
      <c r="I72">
        <v>0.5</v>
      </c>
      <c r="J72">
        <v>5</v>
      </c>
      <c r="K72">
        <v>2</v>
      </c>
      <c r="L72">
        <v>1</v>
      </c>
      <c r="M72">
        <v>0.1</v>
      </c>
      <c r="N72">
        <v>21317</v>
      </c>
      <c r="O72">
        <v>1.5</v>
      </c>
      <c r="P72">
        <f t="shared" si="17"/>
        <v>205</v>
      </c>
      <c r="Q72">
        <v>12</v>
      </c>
      <c r="R72">
        <f t="shared" si="18"/>
        <v>15662</v>
      </c>
      <c r="S72">
        <f t="shared" si="19"/>
        <v>5740</v>
      </c>
      <c r="T72">
        <f t="shared" si="20"/>
        <v>205</v>
      </c>
      <c r="U72">
        <v>0</v>
      </c>
      <c r="V72">
        <f t="shared" si="21"/>
        <v>756.8</v>
      </c>
      <c r="W72" s="6">
        <f t="shared" si="22"/>
        <v>20.6950317124736</v>
      </c>
      <c r="X72">
        <v>1800</v>
      </c>
      <c r="AD72">
        <f t="shared" si="23"/>
        <v>410</v>
      </c>
      <c r="AF72">
        <f t="shared" si="24"/>
        <v>13.8</v>
      </c>
      <c r="AG72" t="e">
        <f ca="1" t="shared" si="25"/>
        <v>#N/A</v>
      </c>
      <c r="AH72">
        <f t="shared" si="26"/>
        <v>16.1</v>
      </c>
      <c r="AI72" t="e">
        <f ca="1" t="shared" si="27"/>
        <v>#N/A</v>
      </c>
    </row>
    <row r="73" spans="2:35">
      <c r="B73">
        <f t="shared" si="28"/>
        <v>1.47142857142857</v>
      </c>
      <c r="C73">
        <v>67</v>
      </c>
      <c r="D73">
        <v>30</v>
      </c>
      <c r="E73">
        <v>13</v>
      </c>
      <c r="F73">
        <v>206</v>
      </c>
      <c r="G73">
        <v>40</v>
      </c>
      <c r="H73">
        <v>8</v>
      </c>
      <c r="I73">
        <v>0.5</v>
      </c>
      <c r="J73">
        <v>5</v>
      </c>
      <c r="K73">
        <v>2</v>
      </c>
      <c r="L73">
        <v>1</v>
      </c>
      <c r="M73">
        <v>0.1</v>
      </c>
      <c r="N73">
        <v>21317</v>
      </c>
      <c r="O73">
        <v>1.5</v>
      </c>
      <c r="P73">
        <f t="shared" si="17"/>
        <v>206</v>
      </c>
      <c r="Q73">
        <v>12</v>
      </c>
      <c r="R73">
        <f t="shared" si="18"/>
        <v>15738.4</v>
      </c>
      <c r="S73">
        <f t="shared" si="19"/>
        <v>5768</v>
      </c>
      <c r="T73">
        <f t="shared" si="20"/>
        <v>206</v>
      </c>
      <c r="U73">
        <v>0</v>
      </c>
      <c r="V73">
        <f t="shared" si="21"/>
        <v>756.8</v>
      </c>
      <c r="W73" s="6">
        <f t="shared" si="22"/>
        <v>20.7959830866808</v>
      </c>
      <c r="X73">
        <v>1800</v>
      </c>
      <c r="AD73">
        <f t="shared" si="23"/>
        <v>412</v>
      </c>
      <c r="AF73">
        <f t="shared" si="24"/>
        <v>13.8</v>
      </c>
      <c r="AG73" t="e">
        <f ca="1" t="shared" si="25"/>
        <v>#N/A</v>
      </c>
      <c r="AH73">
        <f t="shared" si="26"/>
        <v>16.1</v>
      </c>
      <c r="AI73" t="e">
        <f ca="1" t="shared" si="27"/>
        <v>#N/A</v>
      </c>
    </row>
    <row r="74" spans="2:35">
      <c r="B74">
        <f t="shared" si="28"/>
        <v>1.47857142857143</v>
      </c>
      <c r="C74">
        <v>68</v>
      </c>
      <c r="D74">
        <v>31</v>
      </c>
      <c r="E74">
        <v>13</v>
      </c>
      <c r="F74">
        <v>207</v>
      </c>
      <c r="G74">
        <v>40</v>
      </c>
      <c r="H74">
        <v>8</v>
      </c>
      <c r="I74">
        <v>0.5</v>
      </c>
      <c r="J74">
        <v>5</v>
      </c>
      <c r="K74">
        <v>2</v>
      </c>
      <c r="L74">
        <v>1</v>
      </c>
      <c r="M74">
        <v>0.1</v>
      </c>
      <c r="N74">
        <v>21317</v>
      </c>
      <c r="O74">
        <v>1.5</v>
      </c>
      <c r="P74">
        <f t="shared" si="17"/>
        <v>207</v>
      </c>
      <c r="Q74">
        <v>12</v>
      </c>
      <c r="R74">
        <f t="shared" si="18"/>
        <v>15814.8</v>
      </c>
      <c r="S74">
        <f t="shared" si="19"/>
        <v>5796</v>
      </c>
      <c r="T74">
        <f t="shared" si="20"/>
        <v>207</v>
      </c>
      <c r="U74">
        <v>0</v>
      </c>
      <c r="V74">
        <f t="shared" si="21"/>
        <v>756.8</v>
      </c>
      <c r="W74" s="6">
        <f t="shared" si="22"/>
        <v>20.8969344608879</v>
      </c>
      <c r="X74">
        <v>1800</v>
      </c>
      <c r="AD74">
        <f t="shared" si="23"/>
        <v>414</v>
      </c>
      <c r="AF74">
        <f t="shared" si="24"/>
        <v>13.8</v>
      </c>
      <c r="AG74" t="e">
        <f ca="1" t="shared" si="25"/>
        <v>#N/A</v>
      </c>
      <c r="AH74">
        <f t="shared" si="26"/>
        <v>16.1</v>
      </c>
      <c r="AI74" t="e">
        <f ca="1" t="shared" si="27"/>
        <v>#N/A</v>
      </c>
    </row>
    <row r="75" spans="2:35">
      <c r="B75">
        <f t="shared" si="28"/>
        <v>1.48571428571429</v>
      </c>
      <c r="C75">
        <v>69</v>
      </c>
      <c r="D75">
        <v>32</v>
      </c>
      <c r="E75">
        <v>14</v>
      </c>
      <c r="F75">
        <v>208</v>
      </c>
      <c r="G75">
        <v>40</v>
      </c>
      <c r="H75">
        <v>8</v>
      </c>
      <c r="I75">
        <v>0.5</v>
      </c>
      <c r="J75">
        <v>5</v>
      </c>
      <c r="K75">
        <v>2</v>
      </c>
      <c r="L75">
        <v>1</v>
      </c>
      <c r="M75">
        <v>0.1</v>
      </c>
      <c r="N75">
        <v>21317</v>
      </c>
      <c r="O75">
        <v>1.5</v>
      </c>
      <c r="P75">
        <f t="shared" si="17"/>
        <v>208</v>
      </c>
      <c r="Q75">
        <v>12</v>
      </c>
      <c r="R75">
        <f t="shared" si="18"/>
        <v>15891.2</v>
      </c>
      <c r="S75">
        <f t="shared" si="19"/>
        <v>5824</v>
      </c>
      <c r="T75">
        <f t="shared" si="20"/>
        <v>208</v>
      </c>
      <c r="U75">
        <v>0</v>
      </c>
      <c r="V75">
        <f t="shared" si="21"/>
        <v>756.8</v>
      </c>
      <c r="W75" s="6">
        <f t="shared" si="22"/>
        <v>20.9978858350951</v>
      </c>
      <c r="X75">
        <v>1800</v>
      </c>
      <c r="AD75">
        <f t="shared" si="23"/>
        <v>416</v>
      </c>
      <c r="AF75">
        <f t="shared" si="24"/>
        <v>13.8</v>
      </c>
      <c r="AG75" t="e">
        <f ca="1" t="shared" si="25"/>
        <v>#N/A</v>
      </c>
      <c r="AH75">
        <f t="shared" si="26"/>
        <v>16.1</v>
      </c>
      <c r="AI75" t="e">
        <f ca="1" t="shared" si="27"/>
        <v>#N/A</v>
      </c>
    </row>
    <row r="76" spans="2:35">
      <c r="B76">
        <f t="shared" si="28"/>
        <v>1.49285714285714</v>
      </c>
      <c r="C76">
        <v>70</v>
      </c>
      <c r="D76">
        <v>33</v>
      </c>
      <c r="E76">
        <v>14</v>
      </c>
      <c r="F76">
        <v>209</v>
      </c>
      <c r="G76">
        <v>40</v>
      </c>
      <c r="H76">
        <v>8</v>
      </c>
      <c r="I76">
        <v>0.5</v>
      </c>
      <c r="J76">
        <v>5</v>
      </c>
      <c r="K76">
        <v>2</v>
      </c>
      <c r="L76">
        <v>1</v>
      </c>
      <c r="M76">
        <v>0.1</v>
      </c>
      <c r="N76">
        <v>21317</v>
      </c>
      <c r="O76">
        <v>1.5</v>
      </c>
      <c r="P76">
        <f t="shared" si="17"/>
        <v>209</v>
      </c>
      <c r="Q76">
        <v>12</v>
      </c>
      <c r="R76">
        <f t="shared" si="18"/>
        <v>15967.6</v>
      </c>
      <c r="S76">
        <f t="shared" si="19"/>
        <v>5852</v>
      </c>
      <c r="T76">
        <f t="shared" si="20"/>
        <v>209</v>
      </c>
      <c r="U76">
        <v>0</v>
      </c>
      <c r="V76">
        <f t="shared" si="21"/>
        <v>756.8</v>
      </c>
      <c r="W76" s="6">
        <f t="shared" si="22"/>
        <v>21.0988372093023</v>
      </c>
      <c r="X76">
        <v>1800</v>
      </c>
      <c r="AD76">
        <f t="shared" si="23"/>
        <v>418</v>
      </c>
      <c r="AF76">
        <f t="shared" si="24"/>
        <v>13.8</v>
      </c>
      <c r="AG76" t="e">
        <f ca="1" t="shared" si="25"/>
        <v>#N/A</v>
      </c>
      <c r="AH76">
        <f t="shared" si="26"/>
        <v>16.1</v>
      </c>
      <c r="AI76" t="e">
        <f ca="1" t="shared" si="27"/>
        <v>#N/A</v>
      </c>
    </row>
    <row r="77" spans="2:35">
      <c r="B77">
        <f t="shared" si="28"/>
        <v>1.5</v>
      </c>
      <c r="C77">
        <v>71</v>
      </c>
      <c r="D77">
        <v>34</v>
      </c>
      <c r="E77">
        <f t="shared" ref="E77:E126" si="29">E76+1</f>
        <v>15</v>
      </c>
      <c r="F77">
        <v>210</v>
      </c>
      <c r="G77">
        <v>40</v>
      </c>
      <c r="H77">
        <v>8</v>
      </c>
      <c r="I77">
        <v>0.5</v>
      </c>
      <c r="J77">
        <v>5</v>
      </c>
      <c r="K77">
        <v>2</v>
      </c>
      <c r="L77">
        <v>1</v>
      </c>
      <c r="M77">
        <v>0.1</v>
      </c>
      <c r="N77">
        <v>21317</v>
      </c>
      <c r="O77">
        <v>1.5</v>
      </c>
      <c r="P77">
        <f t="shared" si="17"/>
        <v>210</v>
      </c>
      <c r="Q77">
        <v>12</v>
      </c>
      <c r="R77">
        <f t="shared" si="18"/>
        <v>16044</v>
      </c>
      <c r="S77">
        <f t="shared" si="19"/>
        <v>5880</v>
      </c>
      <c r="T77">
        <f t="shared" si="20"/>
        <v>210</v>
      </c>
      <c r="U77">
        <v>0</v>
      </c>
      <c r="V77">
        <f t="shared" si="21"/>
        <v>756.8</v>
      </c>
      <c r="W77" s="6">
        <f t="shared" si="22"/>
        <v>21.1997885835095</v>
      </c>
      <c r="X77">
        <v>1800</v>
      </c>
      <c r="AD77">
        <f t="shared" si="23"/>
        <v>420</v>
      </c>
      <c r="AF77">
        <f t="shared" si="24"/>
        <v>13.8</v>
      </c>
      <c r="AG77" t="e">
        <f ca="1" t="shared" si="25"/>
        <v>#N/A</v>
      </c>
      <c r="AH77">
        <f t="shared" si="26"/>
        <v>16.1</v>
      </c>
      <c r="AI77" t="e">
        <f ca="1" t="shared" si="27"/>
        <v>#N/A</v>
      </c>
    </row>
    <row r="78" spans="2:35">
      <c r="B78">
        <f t="shared" si="28"/>
        <v>1.50714285714286</v>
      </c>
      <c r="C78">
        <v>72</v>
      </c>
      <c r="D78">
        <v>35</v>
      </c>
      <c r="E78">
        <f t="shared" si="29"/>
        <v>16</v>
      </c>
      <c r="F78">
        <v>211</v>
      </c>
      <c r="G78">
        <v>40</v>
      </c>
      <c r="H78">
        <v>8</v>
      </c>
      <c r="I78">
        <v>0.5</v>
      </c>
      <c r="J78">
        <v>5</v>
      </c>
      <c r="K78">
        <v>2</v>
      </c>
      <c r="L78">
        <v>1</v>
      </c>
      <c r="M78">
        <v>0.1</v>
      </c>
      <c r="N78">
        <v>21317</v>
      </c>
      <c r="O78">
        <v>1.5</v>
      </c>
      <c r="P78">
        <f t="shared" si="17"/>
        <v>211</v>
      </c>
      <c r="Q78">
        <v>12</v>
      </c>
      <c r="R78">
        <f t="shared" si="18"/>
        <v>16120.4</v>
      </c>
      <c r="S78">
        <f t="shared" si="19"/>
        <v>5908</v>
      </c>
      <c r="T78">
        <f t="shared" si="20"/>
        <v>211</v>
      </c>
      <c r="U78">
        <v>0</v>
      </c>
      <c r="V78">
        <f t="shared" si="21"/>
        <v>756.8</v>
      </c>
      <c r="W78" s="6">
        <f t="shared" si="22"/>
        <v>21.3007399577167</v>
      </c>
      <c r="X78">
        <v>1800</v>
      </c>
      <c r="AD78">
        <f t="shared" si="23"/>
        <v>422</v>
      </c>
      <c r="AF78">
        <f t="shared" si="24"/>
        <v>13.8</v>
      </c>
      <c r="AG78" t="e">
        <f ca="1" t="shared" si="25"/>
        <v>#N/A</v>
      </c>
      <c r="AH78">
        <f t="shared" si="26"/>
        <v>16.1</v>
      </c>
      <c r="AI78" t="e">
        <f ca="1" t="shared" si="27"/>
        <v>#N/A</v>
      </c>
    </row>
    <row r="79" spans="2:35">
      <c r="B79">
        <f t="shared" si="28"/>
        <v>1.51428571428571</v>
      </c>
      <c r="C79">
        <v>73</v>
      </c>
      <c r="D79">
        <v>36</v>
      </c>
      <c r="E79">
        <f t="shared" si="29"/>
        <v>17</v>
      </c>
      <c r="F79">
        <v>212</v>
      </c>
      <c r="G79">
        <v>40</v>
      </c>
      <c r="H79">
        <v>8</v>
      </c>
      <c r="I79">
        <v>0.5</v>
      </c>
      <c r="J79">
        <v>5</v>
      </c>
      <c r="K79">
        <v>2</v>
      </c>
      <c r="L79">
        <v>1</v>
      </c>
      <c r="M79">
        <v>0.1</v>
      </c>
      <c r="N79">
        <v>21317</v>
      </c>
      <c r="O79">
        <v>1.5</v>
      </c>
      <c r="P79">
        <f t="shared" si="17"/>
        <v>212</v>
      </c>
      <c r="Q79">
        <v>12</v>
      </c>
      <c r="R79">
        <f t="shared" si="18"/>
        <v>16196.8</v>
      </c>
      <c r="S79">
        <f t="shared" si="19"/>
        <v>5936</v>
      </c>
      <c r="T79">
        <f t="shared" si="20"/>
        <v>212</v>
      </c>
      <c r="U79">
        <v>0</v>
      </c>
      <c r="V79">
        <f t="shared" si="21"/>
        <v>756.8</v>
      </c>
      <c r="W79" s="6">
        <f t="shared" si="22"/>
        <v>21.4016913319239</v>
      </c>
      <c r="X79">
        <v>1800</v>
      </c>
      <c r="AD79">
        <f t="shared" si="23"/>
        <v>424</v>
      </c>
      <c r="AF79">
        <f t="shared" si="24"/>
        <v>13.8</v>
      </c>
      <c r="AG79" t="e">
        <f ca="1" t="shared" si="25"/>
        <v>#N/A</v>
      </c>
      <c r="AH79">
        <f t="shared" si="26"/>
        <v>16.1</v>
      </c>
      <c r="AI79" t="e">
        <f ca="1" t="shared" si="27"/>
        <v>#N/A</v>
      </c>
    </row>
    <row r="80" spans="2:35">
      <c r="B80">
        <f t="shared" si="28"/>
        <v>1.52142857142857</v>
      </c>
      <c r="C80">
        <v>74</v>
      </c>
      <c r="D80">
        <v>37</v>
      </c>
      <c r="E80">
        <f t="shared" si="29"/>
        <v>18</v>
      </c>
      <c r="F80">
        <v>213</v>
      </c>
      <c r="G80">
        <v>40</v>
      </c>
      <c r="H80">
        <v>8</v>
      </c>
      <c r="I80">
        <v>0.5</v>
      </c>
      <c r="J80">
        <v>5</v>
      </c>
      <c r="K80">
        <v>2</v>
      </c>
      <c r="L80">
        <v>1</v>
      </c>
      <c r="M80">
        <v>0.1</v>
      </c>
      <c r="N80">
        <v>21317</v>
      </c>
      <c r="O80">
        <v>1.5</v>
      </c>
      <c r="P80">
        <f t="shared" si="17"/>
        <v>213</v>
      </c>
      <c r="Q80">
        <v>12</v>
      </c>
      <c r="R80">
        <f t="shared" si="18"/>
        <v>16273.2</v>
      </c>
      <c r="S80">
        <f t="shared" si="19"/>
        <v>5964</v>
      </c>
      <c r="T80">
        <f t="shared" si="20"/>
        <v>213</v>
      </c>
      <c r="U80">
        <v>0</v>
      </c>
      <c r="V80">
        <f t="shared" si="21"/>
        <v>756.8</v>
      </c>
      <c r="W80" s="6">
        <f t="shared" si="22"/>
        <v>21.5026427061311</v>
      </c>
      <c r="X80">
        <v>1800</v>
      </c>
      <c r="AD80">
        <f t="shared" si="23"/>
        <v>426</v>
      </c>
      <c r="AF80">
        <f t="shared" si="24"/>
        <v>13.8</v>
      </c>
      <c r="AG80" t="e">
        <f ca="1" t="shared" si="25"/>
        <v>#N/A</v>
      </c>
      <c r="AH80">
        <f t="shared" si="26"/>
        <v>16.1</v>
      </c>
      <c r="AI80" t="e">
        <f ca="1" t="shared" si="27"/>
        <v>#N/A</v>
      </c>
    </row>
    <row r="81" spans="2:35">
      <c r="B81">
        <f t="shared" si="28"/>
        <v>1.52857142857143</v>
      </c>
      <c r="C81">
        <v>75</v>
      </c>
      <c r="D81">
        <v>38</v>
      </c>
      <c r="E81">
        <f t="shared" si="29"/>
        <v>19</v>
      </c>
      <c r="F81">
        <v>214</v>
      </c>
      <c r="G81">
        <v>40</v>
      </c>
      <c r="H81">
        <v>8</v>
      </c>
      <c r="I81">
        <v>0.5</v>
      </c>
      <c r="J81">
        <v>5</v>
      </c>
      <c r="K81">
        <v>2</v>
      </c>
      <c r="L81">
        <v>1</v>
      </c>
      <c r="M81">
        <v>0.1</v>
      </c>
      <c r="N81">
        <v>21317</v>
      </c>
      <c r="O81">
        <v>1.5</v>
      </c>
      <c r="P81">
        <f t="shared" si="17"/>
        <v>214</v>
      </c>
      <c r="Q81">
        <v>12</v>
      </c>
      <c r="R81">
        <f t="shared" si="18"/>
        <v>16349.6</v>
      </c>
      <c r="S81">
        <f t="shared" si="19"/>
        <v>5992</v>
      </c>
      <c r="T81">
        <f t="shared" si="20"/>
        <v>214</v>
      </c>
      <c r="U81">
        <v>0</v>
      </c>
      <c r="V81">
        <f t="shared" si="21"/>
        <v>756.8</v>
      </c>
      <c r="W81" s="6">
        <f t="shared" si="22"/>
        <v>21.6035940803383</v>
      </c>
      <c r="X81">
        <v>1800</v>
      </c>
      <c r="AD81">
        <f t="shared" si="23"/>
        <v>428</v>
      </c>
      <c r="AF81">
        <f t="shared" si="24"/>
        <v>13.8</v>
      </c>
      <c r="AG81" t="e">
        <f ca="1" t="shared" si="25"/>
        <v>#N/A</v>
      </c>
      <c r="AH81">
        <f t="shared" si="26"/>
        <v>16.1</v>
      </c>
      <c r="AI81" t="e">
        <f ca="1" t="shared" si="27"/>
        <v>#N/A</v>
      </c>
    </row>
    <row r="82" spans="2:35">
      <c r="B82">
        <f t="shared" si="28"/>
        <v>1.53571428571429</v>
      </c>
      <c r="C82">
        <v>76</v>
      </c>
      <c r="D82">
        <v>39</v>
      </c>
      <c r="E82">
        <f t="shared" si="29"/>
        <v>20</v>
      </c>
      <c r="F82">
        <v>215</v>
      </c>
      <c r="G82">
        <v>40</v>
      </c>
      <c r="H82">
        <v>8</v>
      </c>
      <c r="I82">
        <v>0.5</v>
      </c>
      <c r="J82">
        <v>5</v>
      </c>
      <c r="K82">
        <v>2</v>
      </c>
      <c r="L82">
        <v>1</v>
      </c>
      <c r="M82">
        <v>0.1</v>
      </c>
      <c r="N82">
        <v>21317</v>
      </c>
      <c r="O82">
        <v>1.5</v>
      </c>
      <c r="P82">
        <f t="shared" si="17"/>
        <v>215</v>
      </c>
      <c r="Q82">
        <v>12</v>
      </c>
      <c r="R82">
        <f t="shared" si="18"/>
        <v>16426</v>
      </c>
      <c r="S82">
        <f t="shared" si="19"/>
        <v>6020</v>
      </c>
      <c r="T82">
        <f t="shared" si="20"/>
        <v>215</v>
      </c>
      <c r="U82">
        <v>0</v>
      </c>
      <c r="V82">
        <f t="shared" si="21"/>
        <v>756.8</v>
      </c>
      <c r="W82" s="6">
        <f t="shared" si="22"/>
        <v>21.7045454545455</v>
      </c>
      <c r="X82">
        <v>1800</v>
      </c>
      <c r="AD82">
        <f t="shared" si="23"/>
        <v>430</v>
      </c>
      <c r="AF82">
        <f t="shared" si="24"/>
        <v>13.8</v>
      </c>
      <c r="AG82" t="e">
        <f ca="1" t="shared" si="25"/>
        <v>#N/A</v>
      </c>
      <c r="AH82">
        <f t="shared" si="26"/>
        <v>16.1</v>
      </c>
      <c r="AI82" t="e">
        <f ca="1" t="shared" si="27"/>
        <v>#N/A</v>
      </c>
    </row>
    <row r="83" spans="2:35">
      <c r="B83">
        <f t="shared" si="28"/>
        <v>1.54285714285714</v>
      </c>
      <c r="C83">
        <v>77</v>
      </c>
      <c r="D83">
        <v>40</v>
      </c>
      <c r="E83">
        <f t="shared" si="29"/>
        <v>21</v>
      </c>
      <c r="F83">
        <v>216</v>
      </c>
      <c r="G83">
        <v>40</v>
      </c>
      <c r="H83">
        <v>8</v>
      </c>
      <c r="I83">
        <v>0.5</v>
      </c>
      <c r="J83">
        <v>5</v>
      </c>
      <c r="K83">
        <v>2</v>
      </c>
      <c r="L83">
        <v>1</v>
      </c>
      <c r="M83">
        <v>0.1</v>
      </c>
      <c r="N83">
        <v>21317</v>
      </c>
      <c r="O83">
        <v>1.5</v>
      </c>
      <c r="P83">
        <f t="shared" si="17"/>
        <v>216</v>
      </c>
      <c r="Q83">
        <v>12</v>
      </c>
      <c r="R83">
        <f t="shared" si="18"/>
        <v>16502.4</v>
      </c>
      <c r="S83">
        <f t="shared" si="19"/>
        <v>6048</v>
      </c>
      <c r="T83">
        <f t="shared" si="20"/>
        <v>216</v>
      </c>
      <c r="U83">
        <v>0</v>
      </c>
      <c r="V83">
        <f t="shared" si="21"/>
        <v>756.8</v>
      </c>
      <c r="W83" s="6">
        <f t="shared" si="22"/>
        <v>21.8054968287526</v>
      </c>
      <c r="X83">
        <v>1800</v>
      </c>
      <c r="AD83">
        <f t="shared" si="23"/>
        <v>432</v>
      </c>
      <c r="AF83">
        <f t="shared" si="24"/>
        <v>13.8</v>
      </c>
      <c r="AG83" t="e">
        <f ca="1" t="shared" si="25"/>
        <v>#N/A</v>
      </c>
      <c r="AH83">
        <f t="shared" si="26"/>
        <v>16.1</v>
      </c>
      <c r="AI83" t="e">
        <f ca="1" t="shared" si="27"/>
        <v>#N/A</v>
      </c>
    </row>
    <row r="84" spans="2:35">
      <c r="B84">
        <f t="shared" si="28"/>
        <v>1.55</v>
      </c>
      <c r="C84">
        <v>78</v>
      </c>
      <c r="D84">
        <v>41</v>
      </c>
      <c r="E84">
        <f t="shared" si="29"/>
        <v>22</v>
      </c>
      <c r="F84">
        <v>217</v>
      </c>
      <c r="G84">
        <v>40</v>
      </c>
      <c r="H84">
        <v>8</v>
      </c>
      <c r="I84">
        <v>0.5</v>
      </c>
      <c r="J84">
        <v>5</v>
      </c>
      <c r="K84">
        <v>2</v>
      </c>
      <c r="L84">
        <v>1</v>
      </c>
      <c r="M84">
        <v>0.1</v>
      </c>
      <c r="N84">
        <v>21317</v>
      </c>
      <c r="O84">
        <v>1.5</v>
      </c>
      <c r="P84">
        <f t="shared" si="17"/>
        <v>217</v>
      </c>
      <c r="Q84">
        <v>12</v>
      </c>
      <c r="R84">
        <f t="shared" si="18"/>
        <v>16578.8</v>
      </c>
      <c r="S84">
        <f t="shared" si="19"/>
        <v>6076</v>
      </c>
      <c r="T84">
        <f t="shared" si="20"/>
        <v>217</v>
      </c>
      <c r="U84">
        <v>0</v>
      </c>
      <c r="V84">
        <f t="shared" si="21"/>
        <v>756.8</v>
      </c>
      <c r="W84" s="6">
        <f t="shared" si="22"/>
        <v>21.9064482029598</v>
      </c>
      <c r="X84">
        <v>1800</v>
      </c>
      <c r="AD84">
        <f t="shared" si="23"/>
        <v>434</v>
      </c>
      <c r="AF84">
        <f t="shared" si="24"/>
        <v>13.8</v>
      </c>
      <c r="AG84" t="e">
        <f ca="1" t="shared" si="25"/>
        <v>#N/A</v>
      </c>
      <c r="AH84">
        <f t="shared" si="26"/>
        <v>16.1</v>
      </c>
      <c r="AI84" t="e">
        <f ca="1" t="shared" si="27"/>
        <v>#N/A</v>
      </c>
    </row>
    <row r="85" spans="2:35">
      <c r="B85">
        <f t="shared" si="28"/>
        <v>1.55714285714286</v>
      </c>
      <c r="C85">
        <v>79</v>
      </c>
      <c r="D85">
        <v>43</v>
      </c>
      <c r="E85">
        <f t="shared" si="29"/>
        <v>23</v>
      </c>
      <c r="F85">
        <v>218</v>
      </c>
      <c r="G85">
        <v>40</v>
      </c>
      <c r="H85">
        <v>8</v>
      </c>
      <c r="I85">
        <v>0.5</v>
      </c>
      <c r="J85">
        <v>5</v>
      </c>
      <c r="K85">
        <v>2</v>
      </c>
      <c r="L85">
        <v>1</v>
      </c>
      <c r="M85">
        <v>0.1</v>
      </c>
      <c r="N85">
        <v>21317</v>
      </c>
      <c r="O85">
        <v>1.5</v>
      </c>
      <c r="P85">
        <f t="shared" si="17"/>
        <v>218</v>
      </c>
      <c r="Q85">
        <v>12</v>
      </c>
      <c r="R85">
        <f t="shared" si="18"/>
        <v>16655.2</v>
      </c>
      <c r="S85">
        <f t="shared" si="19"/>
        <v>6104</v>
      </c>
      <c r="T85">
        <f t="shared" si="20"/>
        <v>218</v>
      </c>
      <c r="U85">
        <v>0</v>
      </c>
      <c r="V85">
        <f t="shared" si="21"/>
        <v>756.8</v>
      </c>
      <c r="W85" s="6">
        <f t="shared" si="22"/>
        <v>22.007399577167</v>
      </c>
      <c r="X85">
        <v>1800</v>
      </c>
      <c r="AD85">
        <f t="shared" si="23"/>
        <v>436</v>
      </c>
      <c r="AF85">
        <f t="shared" si="24"/>
        <v>13.8</v>
      </c>
      <c r="AG85" t="e">
        <f ca="1" t="shared" si="25"/>
        <v>#N/A</v>
      </c>
      <c r="AH85">
        <f t="shared" si="26"/>
        <v>16.1</v>
      </c>
      <c r="AI85" t="e">
        <f ca="1" t="shared" si="27"/>
        <v>#N/A</v>
      </c>
    </row>
    <row r="86" spans="2:35">
      <c r="B86">
        <f t="shared" si="28"/>
        <v>1.56428571428571</v>
      </c>
      <c r="C86">
        <v>80</v>
      </c>
      <c r="D86">
        <v>45</v>
      </c>
      <c r="E86">
        <f t="shared" si="29"/>
        <v>24</v>
      </c>
      <c r="F86">
        <v>219</v>
      </c>
      <c r="G86">
        <v>40</v>
      </c>
      <c r="H86">
        <v>8</v>
      </c>
      <c r="I86">
        <v>0.5</v>
      </c>
      <c r="J86">
        <v>5</v>
      </c>
      <c r="K86">
        <v>2</v>
      </c>
      <c r="L86">
        <v>1</v>
      </c>
      <c r="M86">
        <v>0.1</v>
      </c>
      <c r="N86">
        <v>21317</v>
      </c>
      <c r="O86">
        <v>1.5</v>
      </c>
      <c r="P86">
        <f t="shared" si="17"/>
        <v>219</v>
      </c>
      <c r="Q86">
        <v>12</v>
      </c>
      <c r="R86">
        <f t="shared" si="18"/>
        <v>16731.6</v>
      </c>
      <c r="S86">
        <f t="shared" si="19"/>
        <v>6132</v>
      </c>
      <c r="T86">
        <f t="shared" si="20"/>
        <v>219</v>
      </c>
      <c r="U86">
        <v>0</v>
      </c>
      <c r="V86">
        <f t="shared" si="21"/>
        <v>756.8</v>
      </c>
      <c r="W86" s="6">
        <f t="shared" si="22"/>
        <v>22.1083509513742</v>
      </c>
      <c r="X86">
        <v>1800</v>
      </c>
      <c r="AD86">
        <f t="shared" si="23"/>
        <v>438</v>
      </c>
      <c r="AF86">
        <f t="shared" si="24"/>
        <v>13.8</v>
      </c>
      <c r="AG86" t="e">
        <f ca="1" t="shared" si="25"/>
        <v>#N/A</v>
      </c>
      <c r="AH86">
        <f t="shared" si="26"/>
        <v>16.1</v>
      </c>
      <c r="AI86" t="e">
        <f ca="1" t="shared" si="27"/>
        <v>#N/A</v>
      </c>
    </row>
    <row r="87" spans="2:35">
      <c r="B87">
        <f t="shared" si="28"/>
        <v>1.57142857142857</v>
      </c>
      <c r="C87">
        <v>81</v>
      </c>
      <c r="D87">
        <v>47</v>
      </c>
      <c r="E87">
        <f t="shared" si="29"/>
        <v>25</v>
      </c>
      <c r="F87">
        <v>220</v>
      </c>
      <c r="G87">
        <v>40</v>
      </c>
      <c r="H87">
        <v>8</v>
      </c>
      <c r="I87">
        <v>0.5</v>
      </c>
      <c r="J87">
        <v>5</v>
      </c>
      <c r="K87">
        <v>2</v>
      </c>
      <c r="L87">
        <v>1</v>
      </c>
      <c r="M87">
        <v>0.1</v>
      </c>
      <c r="N87">
        <v>21317</v>
      </c>
      <c r="O87">
        <v>1.5</v>
      </c>
      <c r="P87">
        <f t="shared" si="17"/>
        <v>220</v>
      </c>
      <c r="Q87">
        <v>12</v>
      </c>
      <c r="R87">
        <f t="shared" si="18"/>
        <v>16808</v>
      </c>
      <c r="S87">
        <f t="shared" si="19"/>
        <v>6160</v>
      </c>
      <c r="T87">
        <f t="shared" si="20"/>
        <v>220</v>
      </c>
      <c r="U87">
        <v>0</v>
      </c>
      <c r="V87">
        <f t="shared" si="21"/>
        <v>756.8</v>
      </c>
      <c r="W87" s="6">
        <f t="shared" si="22"/>
        <v>22.2093023255814</v>
      </c>
      <c r="X87">
        <v>1800</v>
      </c>
      <c r="AD87">
        <f t="shared" si="23"/>
        <v>440</v>
      </c>
      <c r="AF87">
        <f t="shared" si="24"/>
        <v>13.8</v>
      </c>
      <c r="AG87" t="e">
        <f ca="1" t="shared" si="25"/>
        <v>#N/A</v>
      </c>
      <c r="AH87">
        <f t="shared" si="26"/>
        <v>16.1</v>
      </c>
      <c r="AI87" t="e">
        <f ca="1" t="shared" si="27"/>
        <v>#N/A</v>
      </c>
    </row>
    <row r="88" spans="2:35">
      <c r="B88">
        <f t="shared" si="28"/>
        <v>1.57857142857143</v>
      </c>
      <c r="C88">
        <v>82</v>
      </c>
      <c r="D88">
        <v>49</v>
      </c>
      <c r="E88">
        <f t="shared" si="29"/>
        <v>26</v>
      </c>
      <c r="F88">
        <v>221</v>
      </c>
      <c r="G88">
        <v>40</v>
      </c>
      <c r="H88">
        <v>8</v>
      </c>
      <c r="I88">
        <v>0.5</v>
      </c>
      <c r="J88">
        <v>5</v>
      </c>
      <c r="K88">
        <v>2</v>
      </c>
      <c r="L88">
        <v>1</v>
      </c>
      <c r="M88">
        <v>0.1</v>
      </c>
      <c r="N88">
        <v>21317</v>
      </c>
      <c r="O88">
        <v>1.5</v>
      </c>
      <c r="P88">
        <f t="shared" si="17"/>
        <v>221</v>
      </c>
      <c r="Q88">
        <v>12</v>
      </c>
      <c r="R88">
        <f t="shared" si="18"/>
        <v>16884.4</v>
      </c>
      <c r="S88">
        <f t="shared" si="19"/>
        <v>6188</v>
      </c>
      <c r="T88">
        <f t="shared" si="20"/>
        <v>221</v>
      </c>
      <c r="U88">
        <v>0</v>
      </c>
      <c r="V88">
        <f t="shared" si="21"/>
        <v>756.8</v>
      </c>
      <c r="W88" s="6">
        <f t="shared" si="22"/>
        <v>22.3102536997886</v>
      </c>
      <c r="X88">
        <v>1800</v>
      </c>
      <c r="AD88">
        <f t="shared" si="23"/>
        <v>442</v>
      </c>
      <c r="AF88">
        <f t="shared" si="24"/>
        <v>13.8</v>
      </c>
      <c r="AG88" t="e">
        <f ca="1" t="shared" si="25"/>
        <v>#N/A</v>
      </c>
      <c r="AH88">
        <f t="shared" si="26"/>
        <v>16.1</v>
      </c>
      <c r="AI88" t="e">
        <f ca="1" t="shared" si="27"/>
        <v>#N/A</v>
      </c>
    </row>
    <row r="89" spans="2:35">
      <c r="B89">
        <f t="shared" si="28"/>
        <v>1.58571428571429</v>
      </c>
      <c r="C89">
        <v>83</v>
      </c>
      <c r="D89">
        <v>51</v>
      </c>
      <c r="E89">
        <f t="shared" si="29"/>
        <v>27</v>
      </c>
      <c r="F89">
        <v>222</v>
      </c>
      <c r="G89">
        <v>40</v>
      </c>
      <c r="H89">
        <v>8</v>
      </c>
      <c r="I89">
        <v>0.5</v>
      </c>
      <c r="J89">
        <v>5</v>
      </c>
      <c r="K89">
        <v>2</v>
      </c>
      <c r="L89">
        <v>1</v>
      </c>
      <c r="M89">
        <v>0.1</v>
      </c>
      <c r="N89">
        <v>21317</v>
      </c>
      <c r="O89">
        <v>1.5</v>
      </c>
      <c r="P89">
        <f t="shared" si="17"/>
        <v>222</v>
      </c>
      <c r="Q89">
        <v>12</v>
      </c>
      <c r="R89">
        <f t="shared" si="18"/>
        <v>16960.8</v>
      </c>
      <c r="S89">
        <f t="shared" si="19"/>
        <v>6216</v>
      </c>
      <c r="T89">
        <f t="shared" si="20"/>
        <v>222</v>
      </c>
      <c r="U89">
        <v>0</v>
      </c>
      <c r="V89">
        <f t="shared" si="21"/>
        <v>756.8</v>
      </c>
      <c r="W89" s="6">
        <f t="shared" si="22"/>
        <v>22.4112050739958</v>
      </c>
      <c r="X89">
        <v>1800</v>
      </c>
      <c r="AD89">
        <f t="shared" si="23"/>
        <v>444</v>
      </c>
      <c r="AF89">
        <f t="shared" si="24"/>
        <v>13.8</v>
      </c>
      <c r="AG89" t="e">
        <f ca="1" t="shared" si="25"/>
        <v>#N/A</v>
      </c>
      <c r="AH89">
        <f t="shared" si="26"/>
        <v>16.1</v>
      </c>
      <c r="AI89" t="e">
        <f ca="1" t="shared" si="27"/>
        <v>#N/A</v>
      </c>
    </row>
    <row r="90" spans="2:35">
      <c r="B90">
        <f t="shared" si="28"/>
        <v>1.59285714285714</v>
      </c>
      <c r="C90">
        <v>84</v>
      </c>
      <c r="D90">
        <v>53</v>
      </c>
      <c r="E90">
        <f t="shared" si="29"/>
        <v>28</v>
      </c>
      <c r="F90">
        <v>223</v>
      </c>
      <c r="G90">
        <v>40</v>
      </c>
      <c r="H90">
        <v>8</v>
      </c>
      <c r="I90">
        <v>0.5</v>
      </c>
      <c r="J90">
        <v>5</v>
      </c>
      <c r="K90">
        <v>2</v>
      </c>
      <c r="L90">
        <v>1</v>
      </c>
      <c r="M90">
        <v>0.1</v>
      </c>
      <c r="N90">
        <v>21317</v>
      </c>
      <c r="O90">
        <v>1.5</v>
      </c>
      <c r="P90">
        <f t="shared" si="17"/>
        <v>223</v>
      </c>
      <c r="Q90">
        <v>12</v>
      </c>
      <c r="R90">
        <f t="shared" si="18"/>
        <v>17037.2</v>
      </c>
      <c r="S90">
        <f t="shared" si="19"/>
        <v>6244</v>
      </c>
      <c r="T90">
        <f t="shared" si="20"/>
        <v>223</v>
      </c>
      <c r="U90">
        <v>0</v>
      </c>
      <c r="V90">
        <f t="shared" si="21"/>
        <v>756.8</v>
      </c>
      <c r="W90" s="6">
        <f t="shared" si="22"/>
        <v>22.512156448203</v>
      </c>
      <c r="X90">
        <v>1800</v>
      </c>
      <c r="AD90">
        <f t="shared" si="23"/>
        <v>446</v>
      </c>
      <c r="AF90">
        <f t="shared" si="24"/>
        <v>13.8</v>
      </c>
      <c r="AG90" t="e">
        <f ca="1" t="shared" si="25"/>
        <v>#N/A</v>
      </c>
      <c r="AH90">
        <f t="shared" si="26"/>
        <v>16.1</v>
      </c>
      <c r="AI90" t="e">
        <f ca="1" t="shared" si="27"/>
        <v>#N/A</v>
      </c>
    </row>
    <row r="91" spans="2:35">
      <c r="B91">
        <f t="shared" si="28"/>
        <v>1.6</v>
      </c>
      <c r="C91">
        <v>85</v>
      </c>
      <c r="D91">
        <v>55</v>
      </c>
      <c r="E91">
        <f t="shared" si="29"/>
        <v>29</v>
      </c>
      <c r="F91">
        <v>224</v>
      </c>
      <c r="G91">
        <v>40</v>
      </c>
      <c r="H91">
        <v>8</v>
      </c>
      <c r="I91">
        <v>0.5</v>
      </c>
      <c r="J91">
        <v>5</v>
      </c>
      <c r="K91">
        <v>2</v>
      </c>
      <c r="L91">
        <v>1</v>
      </c>
      <c r="M91">
        <v>0.1</v>
      </c>
      <c r="N91">
        <v>21317</v>
      </c>
      <c r="O91">
        <v>1.5</v>
      </c>
      <c r="P91">
        <f t="shared" si="17"/>
        <v>224</v>
      </c>
      <c r="Q91">
        <v>12</v>
      </c>
      <c r="R91">
        <f t="shared" si="18"/>
        <v>17113.6</v>
      </c>
      <c r="S91">
        <f t="shared" si="19"/>
        <v>6272</v>
      </c>
      <c r="T91">
        <f t="shared" si="20"/>
        <v>224</v>
      </c>
      <c r="U91">
        <v>0</v>
      </c>
      <c r="V91">
        <f t="shared" si="21"/>
        <v>756.8</v>
      </c>
      <c r="W91" s="6">
        <f t="shared" si="22"/>
        <v>22.6131078224101</v>
      </c>
      <c r="X91">
        <v>1800</v>
      </c>
      <c r="AD91">
        <f t="shared" si="23"/>
        <v>448</v>
      </c>
      <c r="AF91">
        <f t="shared" si="24"/>
        <v>13.8</v>
      </c>
      <c r="AG91" t="e">
        <f ca="1" t="shared" si="25"/>
        <v>#N/A</v>
      </c>
      <c r="AH91">
        <f t="shared" si="26"/>
        <v>16.1</v>
      </c>
      <c r="AI91" t="e">
        <f ca="1" t="shared" si="27"/>
        <v>#N/A</v>
      </c>
    </row>
    <row r="92" spans="2:35">
      <c r="B92">
        <f t="shared" si="28"/>
        <v>1.60714285714286</v>
      </c>
      <c r="C92">
        <v>86</v>
      </c>
      <c r="D92">
        <v>57</v>
      </c>
      <c r="E92">
        <f t="shared" si="29"/>
        <v>30</v>
      </c>
      <c r="F92">
        <v>225</v>
      </c>
      <c r="G92">
        <v>40</v>
      </c>
      <c r="H92">
        <v>8</v>
      </c>
      <c r="I92">
        <v>0.5</v>
      </c>
      <c r="J92">
        <v>5</v>
      </c>
      <c r="K92">
        <v>2</v>
      </c>
      <c r="L92">
        <v>1</v>
      </c>
      <c r="M92">
        <v>0.1</v>
      </c>
      <c r="N92">
        <v>21317</v>
      </c>
      <c r="O92">
        <v>1.5</v>
      </c>
      <c r="P92">
        <f t="shared" si="17"/>
        <v>225</v>
      </c>
      <c r="Q92">
        <v>12</v>
      </c>
      <c r="R92">
        <f t="shared" si="18"/>
        <v>17190</v>
      </c>
      <c r="S92">
        <f t="shared" si="19"/>
        <v>6300</v>
      </c>
      <c r="T92">
        <f t="shared" si="20"/>
        <v>225</v>
      </c>
      <c r="U92">
        <v>0</v>
      </c>
      <c r="V92">
        <f t="shared" si="21"/>
        <v>756.8</v>
      </c>
      <c r="W92" s="6">
        <f t="shared" si="22"/>
        <v>22.7140591966173</v>
      </c>
      <c r="X92">
        <v>1800</v>
      </c>
      <c r="AD92">
        <f t="shared" si="23"/>
        <v>450</v>
      </c>
      <c r="AF92">
        <f t="shared" si="24"/>
        <v>13.8</v>
      </c>
      <c r="AG92" t="e">
        <f ca="1" t="shared" si="25"/>
        <v>#N/A</v>
      </c>
      <c r="AH92">
        <f t="shared" si="26"/>
        <v>16.1</v>
      </c>
      <c r="AI92" t="e">
        <f ca="1" t="shared" si="27"/>
        <v>#N/A</v>
      </c>
    </row>
    <row r="93" spans="2:35">
      <c r="B93">
        <f t="shared" si="28"/>
        <v>1.61428571428571</v>
      </c>
      <c r="C93">
        <v>87</v>
      </c>
      <c r="D93">
        <v>59</v>
      </c>
      <c r="E93">
        <f t="shared" si="29"/>
        <v>31</v>
      </c>
      <c r="F93">
        <v>226</v>
      </c>
      <c r="G93">
        <v>40</v>
      </c>
      <c r="H93">
        <v>8</v>
      </c>
      <c r="I93">
        <v>0.5</v>
      </c>
      <c r="J93">
        <v>5</v>
      </c>
      <c r="K93">
        <v>2</v>
      </c>
      <c r="L93">
        <v>1</v>
      </c>
      <c r="M93">
        <v>0.1</v>
      </c>
      <c r="N93">
        <v>21317</v>
      </c>
      <c r="O93">
        <v>1.5</v>
      </c>
      <c r="P93">
        <f t="shared" si="17"/>
        <v>226</v>
      </c>
      <c r="Q93">
        <v>12</v>
      </c>
      <c r="R93">
        <f t="shared" si="18"/>
        <v>17266.4</v>
      </c>
      <c r="S93">
        <f t="shared" si="19"/>
        <v>6328</v>
      </c>
      <c r="T93">
        <f t="shared" si="20"/>
        <v>226</v>
      </c>
      <c r="U93">
        <v>0</v>
      </c>
      <c r="V93">
        <f t="shared" si="21"/>
        <v>756.8</v>
      </c>
      <c r="W93" s="6">
        <f t="shared" si="22"/>
        <v>22.8150105708245</v>
      </c>
      <c r="X93">
        <v>1800</v>
      </c>
      <c r="AD93">
        <f t="shared" si="23"/>
        <v>452</v>
      </c>
      <c r="AF93">
        <f t="shared" si="24"/>
        <v>13.8</v>
      </c>
      <c r="AG93" t="e">
        <f ca="1" t="shared" si="25"/>
        <v>#N/A</v>
      </c>
      <c r="AH93">
        <f t="shared" si="26"/>
        <v>16.1</v>
      </c>
      <c r="AI93" t="e">
        <f ca="1" t="shared" si="27"/>
        <v>#N/A</v>
      </c>
    </row>
    <row r="94" spans="2:35">
      <c r="B94">
        <f t="shared" si="28"/>
        <v>1.62142857142857</v>
      </c>
      <c r="C94">
        <v>88</v>
      </c>
      <c r="D94">
        <v>61</v>
      </c>
      <c r="E94">
        <f t="shared" si="29"/>
        <v>32</v>
      </c>
      <c r="F94">
        <v>227</v>
      </c>
      <c r="G94">
        <v>40</v>
      </c>
      <c r="H94">
        <v>8</v>
      </c>
      <c r="I94">
        <v>0.5</v>
      </c>
      <c r="J94">
        <v>5</v>
      </c>
      <c r="K94">
        <v>2</v>
      </c>
      <c r="L94">
        <v>1</v>
      </c>
      <c r="M94">
        <v>0.1</v>
      </c>
      <c r="N94">
        <v>21317</v>
      </c>
      <c r="O94">
        <v>1.5</v>
      </c>
      <c r="P94">
        <f t="shared" si="17"/>
        <v>227</v>
      </c>
      <c r="Q94">
        <v>12</v>
      </c>
      <c r="R94">
        <f t="shared" si="18"/>
        <v>17342.8</v>
      </c>
      <c r="S94">
        <f t="shared" si="19"/>
        <v>6356</v>
      </c>
      <c r="T94">
        <f t="shared" si="20"/>
        <v>227</v>
      </c>
      <c r="U94">
        <v>0</v>
      </c>
      <c r="V94">
        <f t="shared" si="21"/>
        <v>756.8</v>
      </c>
      <c r="W94" s="6">
        <f t="shared" si="22"/>
        <v>22.9159619450317</v>
      </c>
      <c r="X94">
        <v>1800</v>
      </c>
      <c r="AD94">
        <f t="shared" si="23"/>
        <v>454</v>
      </c>
      <c r="AF94">
        <f t="shared" si="24"/>
        <v>13.8</v>
      </c>
      <c r="AG94" t="e">
        <f ca="1" t="shared" si="25"/>
        <v>#N/A</v>
      </c>
      <c r="AH94">
        <f t="shared" si="26"/>
        <v>16.1</v>
      </c>
      <c r="AI94" t="e">
        <f ca="1" t="shared" si="27"/>
        <v>#N/A</v>
      </c>
    </row>
    <row r="95" spans="2:35">
      <c r="B95">
        <f t="shared" si="28"/>
        <v>1.62857142857143</v>
      </c>
      <c r="C95">
        <v>89</v>
      </c>
      <c r="D95">
        <v>63</v>
      </c>
      <c r="E95">
        <f t="shared" si="29"/>
        <v>33</v>
      </c>
      <c r="F95">
        <v>228</v>
      </c>
      <c r="G95">
        <v>40</v>
      </c>
      <c r="H95">
        <v>8</v>
      </c>
      <c r="I95">
        <v>0.5</v>
      </c>
      <c r="J95">
        <v>5</v>
      </c>
      <c r="K95">
        <v>2</v>
      </c>
      <c r="L95">
        <v>1</v>
      </c>
      <c r="M95">
        <v>0.1</v>
      </c>
      <c r="N95">
        <v>21317</v>
      </c>
      <c r="O95">
        <v>1.5</v>
      </c>
      <c r="P95">
        <f t="shared" si="17"/>
        <v>228</v>
      </c>
      <c r="Q95">
        <v>12</v>
      </c>
      <c r="R95">
        <f t="shared" si="18"/>
        <v>17419.2</v>
      </c>
      <c r="S95">
        <f t="shared" si="19"/>
        <v>6384</v>
      </c>
      <c r="T95">
        <f t="shared" si="20"/>
        <v>228</v>
      </c>
      <c r="U95">
        <v>0</v>
      </c>
      <c r="V95">
        <f t="shared" si="21"/>
        <v>756.8</v>
      </c>
      <c r="W95" s="6">
        <f t="shared" si="22"/>
        <v>23.0169133192389</v>
      </c>
      <c r="X95">
        <v>1800</v>
      </c>
      <c r="AD95">
        <f t="shared" si="23"/>
        <v>456</v>
      </c>
      <c r="AF95">
        <f t="shared" si="24"/>
        <v>13.8</v>
      </c>
      <c r="AG95" t="e">
        <f ca="1" t="shared" si="25"/>
        <v>#N/A</v>
      </c>
      <c r="AH95">
        <f t="shared" si="26"/>
        <v>16.1</v>
      </c>
      <c r="AI95" t="e">
        <f ca="1" t="shared" si="27"/>
        <v>#N/A</v>
      </c>
    </row>
    <row r="96" spans="2:35">
      <c r="B96">
        <f t="shared" si="28"/>
        <v>1.63571428571429</v>
      </c>
      <c r="C96">
        <v>90</v>
      </c>
      <c r="D96">
        <v>65</v>
      </c>
      <c r="E96">
        <f t="shared" si="29"/>
        <v>34</v>
      </c>
      <c r="F96">
        <v>229</v>
      </c>
      <c r="G96">
        <v>40</v>
      </c>
      <c r="H96">
        <v>8</v>
      </c>
      <c r="I96">
        <v>0.5</v>
      </c>
      <c r="J96">
        <v>5</v>
      </c>
      <c r="K96">
        <v>2</v>
      </c>
      <c r="L96">
        <v>1</v>
      </c>
      <c r="M96">
        <v>0.1</v>
      </c>
      <c r="N96">
        <v>21317</v>
      </c>
      <c r="O96">
        <v>1.5</v>
      </c>
      <c r="P96">
        <f t="shared" si="17"/>
        <v>229</v>
      </c>
      <c r="Q96">
        <v>12</v>
      </c>
      <c r="R96">
        <f t="shared" si="18"/>
        <v>17495.6</v>
      </c>
      <c r="S96">
        <f t="shared" si="19"/>
        <v>6412</v>
      </c>
      <c r="T96">
        <f t="shared" si="20"/>
        <v>229</v>
      </c>
      <c r="U96">
        <v>0</v>
      </c>
      <c r="V96">
        <f t="shared" si="21"/>
        <v>756.8</v>
      </c>
      <c r="W96" s="6">
        <f t="shared" si="22"/>
        <v>23.1178646934461</v>
      </c>
      <c r="X96">
        <v>1800</v>
      </c>
      <c r="AD96">
        <f t="shared" si="23"/>
        <v>458</v>
      </c>
      <c r="AF96">
        <f t="shared" si="24"/>
        <v>13.8</v>
      </c>
      <c r="AG96" t="e">
        <f ca="1" t="shared" si="25"/>
        <v>#N/A</v>
      </c>
      <c r="AH96">
        <f t="shared" si="26"/>
        <v>16.1</v>
      </c>
      <c r="AI96" t="e">
        <f ca="1" t="shared" si="27"/>
        <v>#N/A</v>
      </c>
    </row>
    <row r="97" spans="2:35">
      <c r="B97">
        <f t="shared" si="28"/>
        <v>1.64285714285714</v>
      </c>
      <c r="C97">
        <v>91</v>
      </c>
      <c r="D97">
        <v>67</v>
      </c>
      <c r="E97">
        <f t="shared" si="29"/>
        <v>35</v>
      </c>
      <c r="F97">
        <v>230</v>
      </c>
      <c r="G97">
        <v>40</v>
      </c>
      <c r="H97">
        <v>8</v>
      </c>
      <c r="I97">
        <v>0.5</v>
      </c>
      <c r="J97">
        <v>5</v>
      </c>
      <c r="K97">
        <v>2</v>
      </c>
      <c r="L97">
        <v>1</v>
      </c>
      <c r="M97">
        <v>0.1</v>
      </c>
      <c r="N97">
        <v>21318</v>
      </c>
      <c r="O97">
        <v>1.5</v>
      </c>
      <c r="P97">
        <f t="shared" si="17"/>
        <v>230</v>
      </c>
      <c r="Q97">
        <v>12</v>
      </c>
      <c r="R97">
        <f t="shared" si="18"/>
        <v>17572</v>
      </c>
      <c r="S97">
        <f t="shared" si="19"/>
        <v>6440</v>
      </c>
      <c r="T97">
        <f t="shared" si="20"/>
        <v>230</v>
      </c>
      <c r="U97">
        <v>0</v>
      </c>
      <c r="V97">
        <f t="shared" si="21"/>
        <v>756.8</v>
      </c>
      <c r="W97" s="6">
        <f t="shared" si="22"/>
        <v>23.2188160676533</v>
      </c>
      <c r="X97">
        <v>1800</v>
      </c>
      <c r="AD97">
        <f t="shared" si="23"/>
        <v>460</v>
      </c>
      <c r="AF97">
        <f t="shared" si="24"/>
        <v>13.8</v>
      </c>
      <c r="AG97" t="e">
        <f ca="1" t="shared" si="25"/>
        <v>#N/A</v>
      </c>
      <c r="AH97">
        <f t="shared" si="26"/>
        <v>16.1</v>
      </c>
      <c r="AI97" t="e">
        <f ca="1" t="shared" si="27"/>
        <v>#N/A</v>
      </c>
    </row>
    <row r="98" spans="2:35">
      <c r="B98">
        <f t="shared" si="28"/>
        <v>1.65</v>
      </c>
      <c r="C98">
        <v>92</v>
      </c>
      <c r="D98">
        <v>69</v>
      </c>
      <c r="E98">
        <f t="shared" si="29"/>
        <v>36</v>
      </c>
      <c r="F98">
        <v>231</v>
      </c>
      <c r="G98">
        <v>40</v>
      </c>
      <c r="H98">
        <v>8</v>
      </c>
      <c r="I98">
        <v>0.5</v>
      </c>
      <c r="J98">
        <v>5</v>
      </c>
      <c r="K98">
        <v>2</v>
      </c>
      <c r="L98">
        <v>1</v>
      </c>
      <c r="M98">
        <v>0.1</v>
      </c>
      <c r="N98">
        <v>21318</v>
      </c>
      <c r="O98">
        <v>1.5</v>
      </c>
      <c r="P98">
        <f t="shared" si="17"/>
        <v>231</v>
      </c>
      <c r="Q98">
        <v>12</v>
      </c>
      <c r="R98">
        <f t="shared" si="18"/>
        <v>17648.4</v>
      </c>
      <c r="S98">
        <f t="shared" si="19"/>
        <v>6468</v>
      </c>
      <c r="T98">
        <f t="shared" si="20"/>
        <v>231</v>
      </c>
      <c r="U98">
        <v>0</v>
      </c>
      <c r="V98">
        <f t="shared" si="21"/>
        <v>756.8</v>
      </c>
      <c r="W98" s="6">
        <f t="shared" si="22"/>
        <v>23.3197674418605</v>
      </c>
      <c r="X98">
        <v>1800</v>
      </c>
      <c r="AD98">
        <f t="shared" si="23"/>
        <v>462</v>
      </c>
      <c r="AF98">
        <f t="shared" si="24"/>
        <v>13.8</v>
      </c>
      <c r="AG98" t="e">
        <f ca="1" t="shared" si="25"/>
        <v>#N/A</v>
      </c>
      <c r="AH98">
        <f t="shared" si="26"/>
        <v>16.1</v>
      </c>
      <c r="AI98" t="e">
        <f ca="1" t="shared" si="27"/>
        <v>#N/A</v>
      </c>
    </row>
    <row r="99" spans="2:35">
      <c r="B99">
        <f t="shared" si="28"/>
        <v>1.65714285714286</v>
      </c>
      <c r="C99">
        <v>93</v>
      </c>
      <c r="D99">
        <v>71</v>
      </c>
      <c r="E99">
        <f t="shared" si="29"/>
        <v>37</v>
      </c>
      <c r="F99">
        <v>232</v>
      </c>
      <c r="G99">
        <v>40</v>
      </c>
      <c r="H99">
        <v>8</v>
      </c>
      <c r="I99">
        <v>0.5</v>
      </c>
      <c r="J99">
        <v>5</v>
      </c>
      <c r="K99">
        <v>2</v>
      </c>
      <c r="L99">
        <v>1</v>
      </c>
      <c r="M99">
        <v>0.1</v>
      </c>
      <c r="N99">
        <v>21318</v>
      </c>
      <c r="O99">
        <v>1.5</v>
      </c>
      <c r="P99">
        <f t="shared" si="17"/>
        <v>232</v>
      </c>
      <c r="Q99">
        <v>12</v>
      </c>
      <c r="R99">
        <f t="shared" si="18"/>
        <v>17724.8</v>
      </c>
      <c r="S99">
        <f t="shared" si="19"/>
        <v>6496</v>
      </c>
      <c r="T99">
        <f t="shared" si="20"/>
        <v>232</v>
      </c>
      <c r="U99">
        <v>0</v>
      </c>
      <c r="V99">
        <f t="shared" si="21"/>
        <v>756.8</v>
      </c>
      <c r="W99" s="6">
        <f t="shared" si="22"/>
        <v>23.4207188160677</v>
      </c>
      <c r="X99">
        <v>1800</v>
      </c>
      <c r="AD99">
        <f t="shared" si="23"/>
        <v>464</v>
      </c>
      <c r="AF99">
        <f t="shared" si="24"/>
        <v>13.8</v>
      </c>
      <c r="AG99" t="e">
        <f ca="1" t="shared" si="25"/>
        <v>#N/A</v>
      </c>
      <c r="AH99">
        <f t="shared" si="26"/>
        <v>16.1</v>
      </c>
      <c r="AI99" t="e">
        <f ca="1" t="shared" si="27"/>
        <v>#N/A</v>
      </c>
    </row>
    <row r="100" spans="2:35">
      <c r="B100">
        <f t="shared" si="28"/>
        <v>1.66428571428571</v>
      </c>
      <c r="C100">
        <v>94</v>
      </c>
      <c r="D100">
        <v>73</v>
      </c>
      <c r="E100">
        <f t="shared" si="29"/>
        <v>38</v>
      </c>
      <c r="F100">
        <v>233</v>
      </c>
      <c r="G100">
        <v>40</v>
      </c>
      <c r="H100">
        <v>8</v>
      </c>
      <c r="I100">
        <v>0.5</v>
      </c>
      <c r="J100">
        <v>5</v>
      </c>
      <c r="K100">
        <v>2</v>
      </c>
      <c r="L100">
        <v>1</v>
      </c>
      <c r="M100">
        <v>0.1</v>
      </c>
      <c r="N100">
        <v>21318</v>
      </c>
      <c r="O100">
        <v>1.5</v>
      </c>
      <c r="P100">
        <f t="shared" si="17"/>
        <v>233</v>
      </c>
      <c r="Q100">
        <v>12</v>
      </c>
      <c r="R100">
        <f t="shared" si="18"/>
        <v>17801.2</v>
      </c>
      <c r="S100">
        <f t="shared" si="19"/>
        <v>6524</v>
      </c>
      <c r="T100">
        <f t="shared" si="20"/>
        <v>233</v>
      </c>
      <c r="U100">
        <v>0</v>
      </c>
      <c r="V100">
        <f t="shared" si="21"/>
        <v>756.8</v>
      </c>
      <c r="W100" s="6">
        <f t="shared" si="22"/>
        <v>23.5216701902748</v>
      </c>
      <c r="X100">
        <v>1800</v>
      </c>
      <c r="AD100">
        <f t="shared" si="23"/>
        <v>466</v>
      </c>
      <c r="AF100">
        <f t="shared" si="24"/>
        <v>13.8</v>
      </c>
      <c r="AG100" t="e">
        <f ca="1" t="shared" si="25"/>
        <v>#N/A</v>
      </c>
      <c r="AH100">
        <f t="shared" si="26"/>
        <v>16.1</v>
      </c>
      <c r="AI100" t="e">
        <f ca="1" t="shared" si="27"/>
        <v>#N/A</v>
      </c>
    </row>
    <row r="101" spans="2:35">
      <c r="B101">
        <f t="shared" si="28"/>
        <v>1.67142857142857</v>
      </c>
      <c r="C101">
        <v>95</v>
      </c>
      <c r="D101">
        <v>75</v>
      </c>
      <c r="E101">
        <f t="shared" si="29"/>
        <v>39</v>
      </c>
      <c r="F101">
        <v>234</v>
      </c>
      <c r="G101">
        <v>40</v>
      </c>
      <c r="H101">
        <v>8</v>
      </c>
      <c r="I101">
        <v>0.5</v>
      </c>
      <c r="J101">
        <v>5</v>
      </c>
      <c r="K101">
        <v>2</v>
      </c>
      <c r="L101">
        <v>1</v>
      </c>
      <c r="M101">
        <v>0.1</v>
      </c>
      <c r="N101">
        <v>21318</v>
      </c>
      <c r="O101">
        <v>1.5</v>
      </c>
      <c r="P101">
        <f t="shared" si="17"/>
        <v>234</v>
      </c>
      <c r="Q101">
        <v>12</v>
      </c>
      <c r="R101">
        <f t="shared" si="18"/>
        <v>17877.6</v>
      </c>
      <c r="S101">
        <f t="shared" si="19"/>
        <v>6552</v>
      </c>
      <c r="T101">
        <f t="shared" si="20"/>
        <v>234</v>
      </c>
      <c r="U101">
        <v>0</v>
      </c>
      <c r="V101">
        <f t="shared" si="21"/>
        <v>756.8</v>
      </c>
      <c r="W101" s="6">
        <f t="shared" si="22"/>
        <v>23.622621564482</v>
      </c>
      <c r="X101">
        <v>1800</v>
      </c>
      <c r="AD101">
        <f t="shared" si="23"/>
        <v>468</v>
      </c>
      <c r="AF101">
        <f t="shared" si="24"/>
        <v>13.8</v>
      </c>
      <c r="AG101" t="e">
        <f ca="1" t="shared" si="25"/>
        <v>#N/A</v>
      </c>
      <c r="AH101">
        <f t="shared" si="26"/>
        <v>16.1</v>
      </c>
      <c r="AI101" t="e">
        <f ca="1" t="shared" si="27"/>
        <v>#N/A</v>
      </c>
    </row>
    <row r="102" spans="2:35">
      <c r="B102">
        <f t="shared" si="28"/>
        <v>1.67857142857143</v>
      </c>
      <c r="C102">
        <v>96</v>
      </c>
      <c r="D102">
        <v>77</v>
      </c>
      <c r="E102">
        <f t="shared" si="29"/>
        <v>40</v>
      </c>
      <c r="F102">
        <v>235</v>
      </c>
      <c r="G102">
        <v>40</v>
      </c>
      <c r="H102">
        <v>8</v>
      </c>
      <c r="I102">
        <v>0.5</v>
      </c>
      <c r="J102">
        <v>5</v>
      </c>
      <c r="K102">
        <v>2</v>
      </c>
      <c r="L102">
        <v>1</v>
      </c>
      <c r="M102">
        <v>0.1</v>
      </c>
      <c r="N102">
        <v>21318</v>
      </c>
      <c r="O102">
        <v>1.5</v>
      </c>
      <c r="P102">
        <f t="shared" si="17"/>
        <v>235</v>
      </c>
      <c r="Q102">
        <v>12</v>
      </c>
      <c r="R102">
        <f t="shared" si="18"/>
        <v>17954</v>
      </c>
      <c r="S102">
        <f t="shared" si="19"/>
        <v>6580</v>
      </c>
      <c r="T102">
        <f t="shared" si="20"/>
        <v>235</v>
      </c>
      <c r="U102">
        <v>0</v>
      </c>
      <c r="V102">
        <f t="shared" si="21"/>
        <v>756.8</v>
      </c>
      <c r="W102" s="6">
        <f t="shared" si="22"/>
        <v>23.7235729386892</v>
      </c>
      <c r="X102">
        <v>1800</v>
      </c>
      <c r="AD102">
        <f t="shared" si="23"/>
        <v>470</v>
      </c>
      <c r="AF102">
        <f t="shared" si="24"/>
        <v>13.8</v>
      </c>
      <c r="AG102" t="e">
        <f ca="1" t="shared" si="25"/>
        <v>#N/A</v>
      </c>
      <c r="AH102">
        <f t="shared" si="26"/>
        <v>16.1</v>
      </c>
      <c r="AI102" t="e">
        <f ca="1" t="shared" si="27"/>
        <v>#N/A</v>
      </c>
    </row>
    <row r="103" spans="2:35">
      <c r="B103">
        <f t="shared" si="28"/>
        <v>1.68571428571429</v>
      </c>
      <c r="C103">
        <v>97</v>
      </c>
      <c r="D103">
        <v>79</v>
      </c>
      <c r="E103">
        <f t="shared" si="29"/>
        <v>41</v>
      </c>
      <c r="F103">
        <v>236</v>
      </c>
      <c r="G103">
        <v>40</v>
      </c>
      <c r="H103">
        <v>8</v>
      </c>
      <c r="I103">
        <v>0.5</v>
      </c>
      <c r="J103">
        <v>5</v>
      </c>
      <c r="K103">
        <v>2</v>
      </c>
      <c r="L103">
        <v>1</v>
      </c>
      <c r="M103">
        <v>0.1</v>
      </c>
      <c r="N103">
        <v>21318</v>
      </c>
      <c r="O103">
        <v>1.5</v>
      </c>
      <c r="P103">
        <f t="shared" si="17"/>
        <v>236</v>
      </c>
      <c r="Q103">
        <v>12</v>
      </c>
      <c r="R103">
        <f t="shared" si="18"/>
        <v>18030.4</v>
      </c>
      <c r="S103">
        <f t="shared" si="19"/>
        <v>6608</v>
      </c>
      <c r="T103">
        <f t="shared" si="20"/>
        <v>236</v>
      </c>
      <c r="U103">
        <v>0</v>
      </c>
      <c r="V103">
        <f t="shared" si="21"/>
        <v>756.8</v>
      </c>
      <c r="W103" s="6">
        <f t="shared" si="22"/>
        <v>23.8245243128964</v>
      </c>
      <c r="X103">
        <v>1800</v>
      </c>
      <c r="AD103">
        <f t="shared" si="23"/>
        <v>472</v>
      </c>
      <c r="AF103">
        <f t="shared" si="24"/>
        <v>13.8</v>
      </c>
      <c r="AG103" t="e">
        <f ca="1" t="shared" si="25"/>
        <v>#N/A</v>
      </c>
      <c r="AH103">
        <f t="shared" si="26"/>
        <v>16.1</v>
      </c>
      <c r="AI103" t="e">
        <f ca="1" t="shared" si="27"/>
        <v>#N/A</v>
      </c>
    </row>
    <row r="104" spans="2:35">
      <c r="B104">
        <f t="shared" si="28"/>
        <v>1.69285714285714</v>
      </c>
      <c r="C104">
        <v>98</v>
      </c>
      <c r="D104">
        <v>81</v>
      </c>
      <c r="E104">
        <f t="shared" si="29"/>
        <v>42</v>
      </c>
      <c r="F104">
        <v>237</v>
      </c>
      <c r="G104">
        <v>40</v>
      </c>
      <c r="H104">
        <v>8</v>
      </c>
      <c r="I104">
        <v>0.5</v>
      </c>
      <c r="J104">
        <v>5</v>
      </c>
      <c r="K104">
        <v>2</v>
      </c>
      <c r="L104">
        <v>1</v>
      </c>
      <c r="M104">
        <v>0.1</v>
      </c>
      <c r="N104">
        <v>21318</v>
      </c>
      <c r="O104">
        <v>1.5</v>
      </c>
      <c r="P104">
        <f t="shared" si="17"/>
        <v>237</v>
      </c>
      <c r="Q104">
        <v>12</v>
      </c>
      <c r="R104">
        <f t="shared" si="18"/>
        <v>18106.8</v>
      </c>
      <c r="S104">
        <f t="shared" si="19"/>
        <v>6636</v>
      </c>
      <c r="T104">
        <f t="shared" si="20"/>
        <v>237</v>
      </c>
      <c r="U104">
        <v>0</v>
      </c>
      <c r="V104">
        <f t="shared" si="21"/>
        <v>756.8</v>
      </c>
      <c r="W104" s="6">
        <f t="shared" si="22"/>
        <v>23.9254756871036</v>
      </c>
      <c r="X104">
        <v>1800</v>
      </c>
      <c r="AD104">
        <f t="shared" si="23"/>
        <v>474</v>
      </c>
      <c r="AF104">
        <f t="shared" si="24"/>
        <v>13.8</v>
      </c>
      <c r="AG104" t="e">
        <f ca="1" t="shared" si="25"/>
        <v>#N/A</v>
      </c>
      <c r="AH104">
        <f t="shared" si="26"/>
        <v>16.1</v>
      </c>
      <c r="AI104" t="e">
        <f ca="1" t="shared" si="27"/>
        <v>#N/A</v>
      </c>
    </row>
    <row r="105" spans="2:35">
      <c r="B105">
        <f t="shared" si="28"/>
        <v>1.7</v>
      </c>
      <c r="C105">
        <v>99</v>
      </c>
      <c r="D105">
        <v>83</v>
      </c>
      <c r="E105">
        <f t="shared" si="29"/>
        <v>43</v>
      </c>
      <c r="F105">
        <v>238</v>
      </c>
      <c r="G105">
        <v>40</v>
      </c>
      <c r="H105">
        <v>8</v>
      </c>
      <c r="I105">
        <v>0.5</v>
      </c>
      <c r="J105">
        <v>5</v>
      </c>
      <c r="K105">
        <v>2</v>
      </c>
      <c r="L105">
        <v>1</v>
      </c>
      <c r="M105">
        <v>0.1</v>
      </c>
      <c r="N105">
        <v>21318</v>
      </c>
      <c r="O105">
        <v>1.5</v>
      </c>
      <c r="P105">
        <f t="shared" si="17"/>
        <v>238</v>
      </c>
      <c r="Q105">
        <v>12</v>
      </c>
      <c r="R105">
        <f t="shared" si="18"/>
        <v>18183.2</v>
      </c>
      <c r="S105">
        <f t="shared" si="19"/>
        <v>6664</v>
      </c>
      <c r="T105">
        <f t="shared" si="20"/>
        <v>238</v>
      </c>
      <c r="U105">
        <v>0</v>
      </c>
      <c r="V105">
        <f t="shared" si="21"/>
        <v>756.8</v>
      </c>
      <c r="W105" s="6">
        <f t="shared" si="22"/>
        <v>24.0264270613108</v>
      </c>
      <c r="X105">
        <v>1800</v>
      </c>
      <c r="AD105">
        <f t="shared" si="23"/>
        <v>476</v>
      </c>
      <c r="AF105">
        <f t="shared" si="24"/>
        <v>13.8</v>
      </c>
      <c r="AG105" t="e">
        <f ca="1" t="shared" si="25"/>
        <v>#N/A</v>
      </c>
      <c r="AH105">
        <f t="shared" si="26"/>
        <v>16.1</v>
      </c>
      <c r="AI105" t="e">
        <f ca="1" t="shared" si="27"/>
        <v>#N/A</v>
      </c>
    </row>
    <row r="106" spans="2:35">
      <c r="B106">
        <f t="shared" si="28"/>
        <v>1.70714285714286</v>
      </c>
      <c r="C106">
        <v>100</v>
      </c>
      <c r="D106">
        <v>85</v>
      </c>
      <c r="E106">
        <f t="shared" si="29"/>
        <v>44</v>
      </c>
      <c r="F106">
        <v>239</v>
      </c>
      <c r="G106">
        <v>40</v>
      </c>
      <c r="H106">
        <v>8</v>
      </c>
      <c r="I106">
        <v>0.5</v>
      </c>
      <c r="J106">
        <v>5</v>
      </c>
      <c r="K106">
        <v>2</v>
      </c>
      <c r="L106">
        <v>1</v>
      </c>
      <c r="M106">
        <v>0.1</v>
      </c>
      <c r="N106">
        <v>21318</v>
      </c>
      <c r="O106">
        <v>1.5</v>
      </c>
      <c r="P106">
        <f t="shared" si="17"/>
        <v>239</v>
      </c>
      <c r="Q106">
        <v>12</v>
      </c>
      <c r="R106">
        <f t="shared" si="18"/>
        <v>18259.6</v>
      </c>
      <c r="S106">
        <f t="shared" si="19"/>
        <v>6692</v>
      </c>
      <c r="T106">
        <f t="shared" si="20"/>
        <v>239</v>
      </c>
      <c r="U106">
        <v>0</v>
      </c>
      <c r="V106">
        <f t="shared" si="21"/>
        <v>756.8</v>
      </c>
      <c r="W106" s="6">
        <f t="shared" si="22"/>
        <v>24.127378435518</v>
      </c>
      <c r="X106">
        <v>1800</v>
      </c>
      <c r="AD106">
        <f t="shared" si="23"/>
        <v>478</v>
      </c>
      <c r="AF106">
        <f t="shared" si="24"/>
        <v>13.8</v>
      </c>
      <c r="AG106" t="e">
        <f ca="1" t="shared" si="25"/>
        <v>#N/A</v>
      </c>
      <c r="AH106">
        <f t="shared" si="26"/>
        <v>16.1</v>
      </c>
      <c r="AI106" t="e">
        <f ca="1" t="shared" si="27"/>
        <v>#N/A</v>
      </c>
    </row>
    <row r="107" spans="2:35">
      <c r="B107">
        <f t="shared" si="28"/>
        <v>1.71428571428571</v>
      </c>
      <c r="C107">
        <v>101</v>
      </c>
      <c r="D107">
        <v>87</v>
      </c>
      <c r="E107">
        <f t="shared" si="29"/>
        <v>45</v>
      </c>
      <c r="F107">
        <v>240</v>
      </c>
      <c r="G107">
        <v>40</v>
      </c>
      <c r="H107">
        <v>8</v>
      </c>
      <c r="I107">
        <v>0.5</v>
      </c>
      <c r="J107">
        <v>5</v>
      </c>
      <c r="K107">
        <v>2</v>
      </c>
      <c r="L107">
        <v>1</v>
      </c>
      <c r="M107">
        <v>0.1</v>
      </c>
      <c r="N107">
        <v>21318</v>
      </c>
      <c r="O107">
        <v>1.5</v>
      </c>
      <c r="P107">
        <f t="shared" si="17"/>
        <v>240</v>
      </c>
      <c r="Q107">
        <v>12</v>
      </c>
      <c r="R107">
        <f t="shared" si="18"/>
        <v>18336</v>
      </c>
      <c r="S107">
        <f t="shared" si="19"/>
        <v>6720</v>
      </c>
      <c r="T107">
        <f t="shared" si="20"/>
        <v>240</v>
      </c>
      <c r="U107">
        <v>0</v>
      </c>
      <c r="V107">
        <f t="shared" si="21"/>
        <v>756.8</v>
      </c>
      <c r="W107" s="6">
        <f t="shared" si="22"/>
        <v>24.2283298097252</v>
      </c>
      <c r="X107">
        <v>1800</v>
      </c>
      <c r="AD107">
        <f t="shared" si="23"/>
        <v>480</v>
      </c>
      <c r="AF107">
        <f t="shared" si="24"/>
        <v>13.8</v>
      </c>
      <c r="AG107" t="e">
        <f ca="1" t="shared" si="25"/>
        <v>#N/A</v>
      </c>
      <c r="AH107">
        <f t="shared" si="26"/>
        <v>16.1</v>
      </c>
      <c r="AI107" t="e">
        <f ca="1" t="shared" si="27"/>
        <v>#N/A</v>
      </c>
    </row>
    <row r="108" spans="2:35">
      <c r="B108">
        <f t="shared" si="28"/>
        <v>1.72142857142857</v>
      </c>
      <c r="C108">
        <v>102</v>
      </c>
      <c r="D108">
        <v>89</v>
      </c>
      <c r="E108">
        <f t="shared" si="29"/>
        <v>46</v>
      </c>
      <c r="F108">
        <v>241</v>
      </c>
      <c r="G108">
        <v>40</v>
      </c>
      <c r="H108">
        <v>8</v>
      </c>
      <c r="I108">
        <v>0.5</v>
      </c>
      <c r="J108">
        <v>5</v>
      </c>
      <c r="K108">
        <v>2</v>
      </c>
      <c r="L108">
        <v>1</v>
      </c>
      <c r="M108">
        <v>0.1</v>
      </c>
      <c r="N108">
        <v>21318</v>
      </c>
      <c r="O108">
        <v>1.5</v>
      </c>
      <c r="P108">
        <f t="shared" si="17"/>
        <v>241</v>
      </c>
      <c r="Q108">
        <v>12</v>
      </c>
      <c r="R108">
        <f t="shared" si="18"/>
        <v>18412.4</v>
      </c>
      <c r="S108">
        <f t="shared" si="19"/>
        <v>6748</v>
      </c>
      <c r="T108">
        <f t="shared" si="20"/>
        <v>241</v>
      </c>
      <c r="U108">
        <v>0</v>
      </c>
      <c r="V108">
        <f t="shared" si="21"/>
        <v>756.8</v>
      </c>
      <c r="W108" s="6">
        <f t="shared" si="22"/>
        <v>24.3292811839323</v>
      </c>
      <c r="X108">
        <v>1800</v>
      </c>
      <c r="AD108">
        <f t="shared" si="23"/>
        <v>482</v>
      </c>
      <c r="AF108">
        <f t="shared" si="24"/>
        <v>13.8</v>
      </c>
      <c r="AG108" t="e">
        <f ca="1" t="shared" si="25"/>
        <v>#N/A</v>
      </c>
      <c r="AH108">
        <f t="shared" si="26"/>
        <v>16.1</v>
      </c>
      <c r="AI108" t="e">
        <f ca="1" t="shared" si="27"/>
        <v>#N/A</v>
      </c>
    </row>
    <row r="109" spans="2:35">
      <c r="B109">
        <f t="shared" si="28"/>
        <v>1.72857142857143</v>
      </c>
      <c r="C109">
        <v>103</v>
      </c>
      <c r="D109">
        <v>91</v>
      </c>
      <c r="E109">
        <f t="shared" si="29"/>
        <v>47</v>
      </c>
      <c r="F109">
        <v>242</v>
      </c>
      <c r="G109">
        <v>40</v>
      </c>
      <c r="H109">
        <v>8</v>
      </c>
      <c r="I109">
        <v>0.5</v>
      </c>
      <c r="J109">
        <v>5</v>
      </c>
      <c r="K109">
        <v>2</v>
      </c>
      <c r="L109">
        <v>1</v>
      </c>
      <c r="M109">
        <v>0.1</v>
      </c>
      <c r="N109">
        <v>21318</v>
      </c>
      <c r="O109">
        <v>1.5</v>
      </c>
      <c r="P109">
        <f t="shared" si="17"/>
        <v>242</v>
      </c>
      <c r="Q109">
        <v>12</v>
      </c>
      <c r="R109">
        <f t="shared" si="18"/>
        <v>18488.8</v>
      </c>
      <c r="S109">
        <f t="shared" si="19"/>
        <v>6776</v>
      </c>
      <c r="T109">
        <f t="shared" si="20"/>
        <v>242</v>
      </c>
      <c r="U109">
        <v>0</v>
      </c>
      <c r="V109">
        <f t="shared" si="21"/>
        <v>756.8</v>
      </c>
      <c r="W109" s="6">
        <f t="shared" si="22"/>
        <v>24.4302325581395</v>
      </c>
      <c r="X109">
        <v>1800</v>
      </c>
      <c r="AD109">
        <f t="shared" si="23"/>
        <v>484</v>
      </c>
      <c r="AF109">
        <f t="shared" si="24"/>
        <v>13.8</v>
      </c>
      <c r="AG109" t="e">
        <f ca="1" t="shared" si="25"/>
        <v>#N/A</v>
      </c>
      <c r="AH109">
        <f t="shared" si="26"/>
        <v>16.1</v>
      </c>
      <c r="AI109" t="e">
        <f ca="1" t="shared" si="27"/>
        <v>#N/A</v>
      </c>
    </row>
    <row r="110" spans="2:35">
      <c r="B110">
        <f t="shared" si="28"/>
        <v>1.73571428571429</v>
      </c>
      <c r="C110">
        <v>104</v>
      </c>
      <c r="D110">
        <v>93</v>
      </c>
      <c r="E110">
        <f t="shared" si="29"/>
        <v>48</v>
      </c>
      <c r="F110">
        <v>243</v>
      </c>
      <c r="G110">
        <v>40</v>
      </c>
      <c r="H110">
        <v>8</v>
      </c>
      <c r="I110">
        <v>0.5</v>
      </c>
      <c r="J110">
        <v>5</v>
      </c>
      <c r="K110">
        <v>2</v>
      </c>
      <c r="L110">
        <v>1</v>
      </c>
      <c r="M110">
        <v>0.1</v>
      </c>
      <c r="N110">
        <v>21318</v>
      </c>
      <c r="O110">
        <v>1.5</v>
      </c>
      <c r="P110">
        <f t="shared" si="17"/>
        <v>243</v>
      </c>
      <c r="Q110">
        <v>12</v>
      </c>
      <c r="R110">
        <f t="shared" si="18"/>
        <v>18565.2</v>
      </c>
      <c r="S110">
        <f t="shared" si="19"/>
        <v>6804</v>
      </c>
      <c r="T110">
        <f t="shared" si="20"/>
        <v>243</v>
      </c>
      <c r="U110">
        <v>0</v>
      </c>
      <c r="V110">
        <f t="shared" si="21"/>
        <v>756.8</v>
      </c>
      <c r="W110" s="6">
        <f t="shared" si="22"/>
        <v>24.5311839323467</v>
      </c>
      <c r="X110">
        <v>1800</v>
      </c>
      <c r="AD110">
        <f t="shared" si="23"/>
        <v>486</v>
      </c>
      <c r="AF110">
        <f t="shared" si="24"/>
        <v>13.8</v>
      </c>
      <c r="AG110" t="e">
        <f ca="1" t="shared" si="25"/>
        <v>#N/A</v>
      </c>
      <c r="AH110">
        <f t="shared" si="26"/>
        <v>16.1</v>
      </c>
      <c r="AI110" t="e">
        <f ca="1" t="shared" si="27"/>
        <v>#N/A</v>
      </c>
    </row>
    <row r="111" spans="2:35">
      <c r="B111">
        <f t="shared" si="28"/>
        <v>1.74285714285714</v>
      </c>
      <c r="C111">
        <v>105</v>
      </c>
      <c r="D111">
        <v>95</v>
      </c>
      <c r="E111">
        <f t="shared" si="29"/>
        <v>49</v>
      </c>
      <c r="F111">
        <v>244</v>
      </c>
      <c r="G111">
        <v>40</v>
      </c>
      <c r="H111">
        <v>8</v>
      </c>
      <c r="I111">
        <v>0.5</v>
      </c>
      <c r="J111">
        <v>5</v>
      </c>
      <c r="K111">
        <v>2</v>
      </c>
      <c r="L111">
        <v>1</v>
      </c>
      <c r="M111">
        <v>0.1</v>
      </c>
      <c r="N111">
        <v>21318</v>
      </c>
      <c r="O111">
        <v>1.5</v>
      </c>
      <c r="P111">
        <f t="shared" si="17"/>
        <v>244</v>
      </c>
      <c r="Q111">
        <v>12</v>
      </c>
      <c r="R111">
        <f t="shared" si="18"/>
        <v>18641.6</v>
      </c>
      <c r="S111">
        <f t="shared" si="19"/>
        <v>6832</v>
      </c>
      <c r="T111">
        <f t="shared" si="20"/>
        <v>244</v>
      </c>
      <c r="U111">
        <v>0</v>
      </c>
      <c r="V111">
        <f t="shared" si="21"/>
        <v>756.8</v>
      </c>
      <c r="W111" s="6">
        <f t="shared" si="22"/>
        <v>24.6321353065539</v>
      </c>
      <c r="X111">
        <v>1800</v>
      </c>
      <c r="AD111">
        <f t="shared" si="23"/>
        <v>488</v>
      </c>
      <c r="AF111">
        <f t="shared" si="24"/>
        <v>13.8</v>
      </c>
      <c r="AG111" t="e">
        <f ca="1" t="shared" si="25"/>
        <v>#N/A</v>
      </c>
      <c r="AH111">
        <f t="shared" si="26"/>
        <v>16.1</v>
      </c>
      <c r="AI111" t="e">
        <f ca="1" t="shared" si="27"/>
        <v>#N/A</v>
      </c>
    </row>
    <row r="112" spans="2:35">
      <c r="B112">
        <f t="shared" si="28"/>
        <v>1.75</v>
      </c>
      <c r="C112">
        <v>106</v>
      </c>
      <c r="D112">
        <v>97</v>
      </c>
      <c r="E112">
        <f t="shared" si="29"/>
        <v>50</v>
      </c>
      <c r="F112">
        <v>245</v>
      </c>
      <c r="G112">
        <v>40</v>
      </c>
      <c r="H112">
        <v>8</v>
      </c>
      <c r="I112">
        <v>0.5</v>
      </c>
      <c r="J112">
        <v>5</v>
      </c>
      <c r="K112">
        <v>2</v>
      </c>
      <c r="L112">
        <v>1</v>
      </c>
      <c r="M112">
        <v>0.1</v>
      </c>
      <c r="N112">
        <v>21318</v>
      </c>
      <c r="O112">
        <v>1.5</v>
      </c>
      <c r="P112">
        <f t="shared" si="17"/>
        <v>245</v>
      </c>
      <c r="Q112">
        <v>12</v>
      </c>
      <c r="R112">
        <f t="shared" si="18"/>
        <v>18718</v>
      </c>
      <c r="S112">
        <f t="shared" si="19"/>
        <v>6860</v>
      </c>
      <c r="T112">
        <f t="shared" si="20"/>
        <v>245</v>
      </c>
      <c r="U112">
        <v>0</v>
      </c>
      <c r="V112">
        <f t="shared" si="21"/>
        <v>756.8</v>
      </c>
      <c r="W112" s="6">
        <f t="shared" si="22"/>
        <v>24.7330866807611</v>
      </c>
      <c r="X112">
        <v>1800</v>
      </c>
      <c r="AD112">
        <f t="shared" si="23"/>
        <v>490</v>
      </c>
      <c r="AF112">
        <f t="shared" si="24"/>
        <v>13.8</v>
      </c>
      <c r="AG112" t="e">
        <f ca="1" t="shared" si="25"/>
        <v>#N/A</v>
      </c>
      <c r="AH112">
        <f t="shared" si="26"/>
        <v>16.1</v>
      </c>
      <c r="AI112" t="e">
        <f ca="1" t="shared" si="27"/>
        <v>#N/A</v>
      </c>
    </row>
    <row r="113" spans="2:35">
      <c r="B113">
        <f t="shared" si="28"/>
        <v>1.75714285714286</v>
      </c>
      <c r="C113">
        <v>107</v>
      </c>
      <c r="D113">
        <v>99</v>
      </c>
      <c r="E113">
        <f t="shared" si="29"/>
        <v>51</v>
      </c>
      <c r="F113">
        <v>246</v>
      </c>
      <c r="G113">
        <v>40</v>
      </c>
      <c r="H113">
        <v>8</v>
      </c>
      <c r="I113">
        <v>0.5</v>
      </c>
      <c r="J113">
        <v>5</v>
      </c>
      <c r="K113">
        <v>2</v>
      </c>
      <c r="L113">
        <v>1</v>
      </c>
      <c r="M113">
        <v>0.1</v>
      </c>
      <c r="N113">
        <v>21318</v>
      </c>
      <c r="O113">
        <v>1.5</v>
      </c>
      <c r="P113">
        <f t="shared" si="17"/>
        <v>246</v>
      </c>
      <c r="Q113">
        <v>12</v>
      </c>
      <c r="R113">
        <f t="shared" si="18"/>
        <v>18794.4</v>
      </c>
      <c r="S113">
        <f t="shared" si="19"/>
        <v>6888</v>
      </c>
      <c r="T113">
        <f t="shared" si="20"/>
        <v>246</v>
      </c>
      <c r="U113">
        <v>0</v>
      </c>
      <c r="V113">
        <f t="shared" si="21"/>
        <v>756.8</v>
      </c>
      <c r="W113" s="6">
        <f t="shared" si="22"/>
        <v>24.8340380549683</v>
      </c>
      <c r="X113">
        <v>1800</v>
      </c>
      <c r="AD113">
        <f t="shared" si="23"/>
        <v>492</v>
      </c>
      <c r="AF113">
        <f t="shared" si="24"/>
        <v>13.8</v>
      </c>
      <c r="AG113" t="e">
        <f ca="1" t="shared" si="25"/>
        <v>#N/A</v>
      </c>
      <c r="AH113">
        <f t="shared" si="26"/>
        <v>16.1</v>
      </c>
      <c r="AI113" t="e">
        <f ca="1" t="shared" si="27"/>
        <v>#N/A</v>
      </c>
    </row>
    <row r="114" spans="2:35">
      <c r="B114">
        <f t="shared" si="28"/>
        <v>1.76428571428571</v>
      </c>
      <c r="C114">
        <v>108</v>
      </c>
      <c r="D114">
        <v>101</v>
      </c>
      <c r="E114">
        <f t="shared" si="29"/>
        <v>52</v>
      </c>
      <c r="F114">
        <v>247</v>
      </c>
      <c r="G114">
        <v>40</v>
      </c>
      <c r="H114">
        <v>8</v>
      </c>
      <c r="I114">
        <v>0.5</v>
      </c>
      <c r="J114">
        <v>5</v>
      </c>
      <c r="K114">
        <v>2</v>
      </c>
      <c r="L114">
        <v>1</v>
      </c>
      <c r="M114">
        <v>0.1</v>
      </c>
      <c r="N114">
        <v>21318</v>
      </c>
      <c r="O114">
        <v>1.5</v>
      </c>
      <c r="P114">
        <f t="shared" si="17"/>
        <v>247</v>
      </c>
      <c r="Q114">
        <v>12</v>
      </c>
      <c r="R114">
        <f t="shared" si="18"/>
        <v>18870.8</v>
      </c>
      <c r="S114">
        <f t="shared" si="19"/>
        <v>6916</v>
      </c>
      <c r="T114">
        <f t="shared" si="20"/>
        <v>247</v>
      </c>
      <c r="U114">
        <v>0</v>
      </c>
      <c r="V114">
        <f t="shared" si="21"/>
        <v>756.8</v>
      </c>
      <c r="W114" s="6">
        <f t="shared" si="22"/>
        <v>24.9349894291755</v>
      </c>
      <c r="X114">
        <v>1800</v>
      </c>
      <c r="AD114">
        <f t="shared" si="23"/>
        <v>494</v>
      </c>
      <c r="AF114">
        <f t="shared" si="24"/>
        <v>13.8</v>
      </c>
      <c r="AG114" t="e">
        <f ca="1" t="shared" si="25"/>
        <v>#N/A</v>
      </c>
      <c r="AH114">
        <f t="shared" si="26"/>
        <v>16.1</v>
      </c>
      <c r="AI114" t="e">
        <f ca="1" t="shared" si="27"/>
        <v>#N/A</v>
      </c>
    </row>
    <row r="115" spans="2:35">
      <c r="B115">
        <f t="shared" si="28"/>
        <v>1.77142857142857</v>
      </c>
      <c r="C115">
        <v>109</v>
      </c>
      <c r="D115">
        <v>103</v>
      </c>
      <c r="E115">
        <f t="shared" si="29"/>
        <v>53</v>
      </c>
      <c r="F115">
        <v>248</v>
      </c>
      <c r="G115">
        <v>40</v>
      </c>
      <c r="H115">
        <v>8</v>
      </c>
      <c r="I115">
        <v>0.5</v>
      </c>
      <c r="J115">
        <v>5</v>
      </c>
      <c r="K115">
        <v>2</v>
      </c>
      <c r="L115">
        <v>1</v>
      </c>
      <c r="M115">
        <v>0.1</v>
      </c>
      <c r="N115">
        <v>21318</v>
      </c>
      <c r="O115">
        <v>1.5</v>
      </c>
      <c r="P115">
        <f t="shared" si="17"/>
        <v>248</v>
      </c>
      <c r="Q115">
        <v>12</v>
      </c>
      <c r="R115">
        <f t="shared" si="18"/>
        <v>18947.2</v>
      </c>
      <c r="S115">
        <f t="shared" si="19"/>
        <v>6944</v>
      </c>
      <c r="T115">
        <f t="shared" si="20"/>
        <v>248</v>
      </c>
      <c r="U115">
        <v>0</v>
      </c>
      <c r="V115">
        <f t="shared" si="21"/>
        <v>756.8</v>
      </c>
      <c r="W115" s="6">
        <f t="shared" si="22"/>
        <v>25.0359408033827</v>
      </c>
      <c r="X115">
        <v>1800</v>
      </c>
      <c r="AD115">
        <f t="shared" si="23"/>
        <v>496</v>
      </c>
      <c r="AF115">
        <f t="shared" si="24"/>
        <v>13.8</v>
      </c>
      <c r="AG115" t="e">
        <f ca="1" t="shared" si="25"/>
        <v>#N/A</v>
      </c>
      <c r="AH115">
        <f t="shared" si="26"/>
        <v>16.1</v>
      </c>
      <c r="AI115" t="e">
        <f ca="1" t="shared" si="27"/>
        <v>#N/A</v>
      </c>
    </row>
    <row r="116" spans="2:35">
      <c r="B116">
        <f t="shared" si="28"/>
        <v>1.77857142857143</v>
      </c>
      <c r="C116">
        <v>110</v>
      </c>
      <c r="D116">
        <v>105</v>
      </c>
      <c r="E116">
        <f t="shared" si="29"/>
        <v>54</v>
      </c>
      <c r="F116">
        <v>249</v>
      </c>
      <c r="G116">
        <v>40</v>
      </c>
      <c r="H116">
        <v>8</v>
      </c>
      <c r="I116">
        <v>0.5</v>
      </c>
      <c r="J116">
        <v>5</v>
      </c>
      <c r="K116">
        <v>2</v>
      </c>
      <c r="L116">
        <v>1</v>
      </c>
      <c r="M116">
        <v>0.1</v>
      </c>
      <c r="N116">
        <v>21318</v>
      </c>
      <c r="O116">
        <v>1.5</v>
      </c>
      <c r="P116">
        <f t="shared" si="17"/>
        <v>249</v>
      </c>
      <c r="Q116">
        <v>12</v>
      </c>
      <c r="R116">
        <f t="shared" si="18"/>
        <v>19023.6</v>
      </c>
      <c r="S116">
        <f t="shared" si="19"/>
        <v>6972</v>
      </c>
      <c r="T116">
        <f t="shared" si="20"/>
        <v>249</v>
      </c>
      <c r="U116">
        <v>0</v>
      </c>
      <c r="V116">
        <f t="shared" si="21"/>
        <v>756.8</v>
      </c>
      <c r="W116" s="6">
        <f t="shared" si="22"/>
        <v>25.1368921775898</v>
      </c>
      <c r="X116">
        <v>1800</v>
      </c>
      <c r="AD116">
        <f t="shared" si="23"/>
        <v>498</v>
      </c>
      <c r="AF116">
        <f t="shared" si="24"/>
        <v>13.8</v>
      </c>
      <c r="AG116" t="e">
        <f ca="1" t="shared" si="25"/>
        <v>#N/A</v>
      </c>
      <c r="AH116">
        <f t="shared" si="26"/>
        <v>16.1</v>
      </c>
      <c r="AI116" t="e">
        <f ca="1" t="shared" si="27"/>
        <v>#N/A</v>
      </c>
    </row>
    <row r="117" spans="2:35">
      <c r="B117">
        <f t="shared" si="28"/>
        <v>1.78571428571429</v>
      </c>
      <c r="C117">
        <v>111</v>
      </c>
      <c r="D117">
        <v>107</v>
      </c>
      <c r="E117">
        <f t="shared" si="29"/>
        <v>55</v>
      </c>
      <c r="F117">
        <v>250</v>
      </c>
      <c r="G117">
        <v>40</v>
      </c>
      <c r="H117">
        <v>8</v>
      </c>
      <c r="I117">
        <v>0.5</v>
      </c>
      <c r="J117">
        <v>5</v>
      </c>
      <c r="K117">
        <v>2</v>
      </c>
      <c r="L117">
        <v>1</v>
      </c>
      <c r="M117">
        <v>0.1</v>
      </c>
      <c r="N117">
        <v>21318</v>
      </c>
      <c r="O117">
        <v>1.5</v>
      </c>
      <c r="P117">
        <f t="shared" si="17"/>
        <v>250</v>
      </c>
      <c r="Q117">
        <v>12</v>
      </c>
      <c r="R117">
        <f t="shared" si="18"/>
        <v>19100</v>
      </c>
      <c r="S117">
        <f t="shared" si="19"/>
        <v>7000</v>
      </c>
      <c r="T117">
        <f t="shared" si="20"/>
        <v>250</v>
      </c>
      <c r="U117">
        <v>0</v>
      </c>
      <c r="V117">
        <f t="shared" si="21"/>
        <v>756.8</v>
      </c>
      <c r="W117" s="6">
        <f t="shared" si="22"/>
        <v>25.237843551797</v>
      </c>
      <c r="X117">
        <v>1800</v>
      </c>
      <c r="AD117">
        <f t="shared" si="23"/>
        <v>500</v>
      </c>
      <c r="AF117">
        <f t="shared" si="24"/>
        <v>13.8</v>
      </c>
      <c r="AG117" t="e">
        <f ca="1" t="shared" si="25"/>
        <v>#N/A</v>
      </c>
      <c r="AH117">
        <f t="shared" si="26"/>
        <v>16.1</v>
      </c>
      <c r="AI117" t="e">
        <f ca="1" t="shared" si="27"/>
        <v>#N/A</v>
      </c>
    </row>
    <row r="118" spans="2:35">
      <c r="B118">
        <f t="shared" si="28"/>
        <v>1.79285714285714</v>
      </c>
      <c r="C118">
        <v>112</v>
      </c>
      <c r="D118">
        <v>109</v>
      </c>
      <c r="E118">
        <f t="shared" si="29"/>
        <v>56</v>
      </c>
      <c r="F118">
        <v>251</v>
      </c>
      <c r="G118">
        <v>40</v>
      </c>
      <c r="H118">
        <v>8</v>
      </c>
      <c r="I118">
        <v>0.5</v>
      </c>
      <c r="J118">
        <v>5</v>
      </c>
      <c r="K118">
        <v>2</v>
      </c>
      <c r="L118">
        <v>1</v>
      </c>
      <c r="M118">
        <v>0.1</v>
      </c>
      <c r="N118">
        <v>21318</v>
      </c>
      <c r="O118">
        <v>1.5</v>
      </c>
      <c r="P118">
        <f t="shared" si="17"/>
        <v>251</v>
      </c>
      <c r="Q118">
        <v>12</v>
      </c>
      <c r="R118">
        <f t="shared" si="18"/>
        <v>19176.4</v>
      </c>
      <c r="S118">
        <f t="shared" si="19"/>
        <v>7028</v>
      </c>
      <c r="T118">
        <f t="shared" si="20"/>
        <v>251</v>
      </c>
      <c r="U118">
        <v>0</v>
      </c>
      <c r="V118">
        <f t="shared" si="21"/>
        <v>756.8</v>
      </c>
      <c r="W118" s="6">
        <f t="shared" si="22"/>
        <v>25.3387949260042</v>
      </c>
      <c r="X118">
        <v>1800</v>
      </c>
      <c r="AD118">
        <f t="shared" si="23"/>
        <v>502</v>
      </c>
      <c r="AF118">
        <f t="shared" si="24"/>
        <v>13.8</v>
      </c>
      <c r="AG118" t="e">
        <f ca="1" t="shared" si="25"/>
        <v>#N/A</v>
      </c>
      <c r="AH118">
        <f t="shared" si="26"/>
        <v>16.1</v>
      </c>
      <c r="AI118" t="e">
        <f ca="1" t="shared" si="27"/>
        <v>#N/A</v>
      </c>
    </row>
    <row r="119" spans="2:35">
      <c r="B119">
        <f t="shared" si="28"/>
        <v>1.8</v>
      </c>
      <c r="C119">
        <v>113</v>
      </c>
      <c r="D119">
        <v>111</v>
      </c>
      <c r="E119">
        <f t="shared" si="29"/>
        <v>57</v>
      </c>
      <c r="F119">
        <v>252</v>
      </c>
      <c r="G119">
        <v>40</v>
      </c>
      <c r="H119">
        <v>8</v>
      </c>
      <c r="I119">
        <v>0.5</v>
      </c>
      <c r="J119">
        <v>5</v>
      </c>
      <c r="K119">
        <v>2</v>
      </c>
      <c r="L119">
        <v>1</v>
      </c>
      <c r="M119">
        <v>0.1</v>
      </c>
      <c r="N119">
        <v>21318</v>
      </c>
      <c r="O119">
        <v>1.5</v>
      </c>
      <c r="P119">
        <f t="shared" si="17"/>
        <v>252</v>
      </c>
      <c r="Q119">
        <v>12</v>
      </c>
      <c r="R119">
        <f t="shared" si="18"/>
        <v>19252.8</v>
      </c>
      <c r="S119">
        <f t="shared" si="19"/>
        <v>7056</v>
      </c>
      <c r="T119">
        <f t="shared" si="20"/>
        <v>252</v>
      </c>
      <c r="U119">
        <v>0</v>
      </c>
      <c r="V119">
        <f t="shared" si="21"/>
        <v>756.8</v>
      </c>
      <c r="W119" s="6">
        <f t="shared" si="22"/>
        <v>25.4397463002114</v>
      </c>
      <c r="X119">
        <v>1800</v>
      </c>
      <c r="AD119">
        <f t="shared" si="23"/>
        <v>504</v>
      </c>
      <c r="AF119">
        <f t="shared" si="24"/>
        <v>13.8</v>
      </c>
      <c r="AG119" t="e">
        <f ca="1" t="shared" si="25"/>
        <v>#N/A</v>
      </c>
      <c r="AH119">
        <f t="shared" si="26"/>
        <v>16.1</v>
      </c>
      <c r="AI119" t="e">
        <f ca="1" t="shared" si="27"/>
        <v>#N/A</v>
      </c>
    </row>
    <row r="120" spans="2:35">
      <c r="B120">
        <f t="shared" si="28"/>
        <v>1.80714285714286</v>
      </c>
      <c r="C120">
        <v>114</v>
      </c>
      <c r="D120">
        <v>113</v>
      </c>
      <c r="E120">
        <f t="shared" si="29"/>
        <v>58</v>
      </c>
      <c r="F120">
        <v>253</v>
      </c>
      <c r="G120">
        <v>40</v>
      </c>
      <c r="H120">
        <v>8</v>
      </c>
      <c r="I120">
        <v>0.5</v>
      </c>
      <c r="J120">
        <v>5</v>
      </c>
      <c r="K120">
        <v>2</v>
      </c>
      <c r="L120">
        <v>1</v>
      </c>
      <c r="M120">
        <v>0.1</v>
      </c>
      <c r="N120">
        <v>21318</v>
      </c>
      <c r="O120">
        <v>1.5</v>
      </c>
      <c r="P120">
        <f t="shared" si="17"/>
        <v>253</v>
      </c>
      <c r="Q120">
        <v>12</v>
      </c>
      <c r="R120">
        <f t="shared" si="18"/>
        <v>19329.2</v>
      </c>
      <c r="S120">
        <f t="shared" si="19"/>
        <v>7084</v>
      </c>
      <c r="T120">
        <f t="shared" si="20"/>
        <v>253</v>
      </c>
      <c r="U120">
        <v>0</v>
      </c>
      <c r="V120">
        <f t="shared" si="21"/>
        <v>756.8</v>
      </c>
      <c r="W120" s="6">
        <f t="shared" si="22"/>
        <v>25.5406976744186</v>
      </c>
      <c r="X120">
        <v>1800</v>
      </c>
      <c r="AD120">
        <f t="shared" si="23"/>
        <v>506</v>
      </c>
      <c r="AF120">
        <f t="shared" si="24"/>
        <v>13.8</v>
      </c>
      <c r="AG120" t="e">
        <f ca="1" t="shared" si="25"/>
        <v>#N/A</v>
      </c>
      <c r="AH120">
        <f t="shared" si="26"/>
        <v>16.1</v>
      </c>
      <c r="AI120" t="e">
        <f ca="1" t="shared" si="27"/>
        <v>#N/A</v>
      </c>
    </row>
    <row r="121" spans="2:35">
      <c r="B121">
        <f t="shared" si="28"/>
        <v>1.81428571428571</v>
      </c>
      <c r="C121">
        <v>115</v>
      </c>
      <c r="D121">
        <v>115</v>
      </c>
      <c r="E121">
        <f t="shared" si="29"/>
        <v>59</v>
      </c>
      <c r="F121">
        <v>254</v>
      </c>
      <c r="G121">
        <v>40</v>
      </c>
      <c r="H121">
        <v>8</v>
      </c>
      <c r="I121">
        <v>0.5</v>
      </c>
      <c r="J121">
        <v>5</v>
      </c>
      <c r="K121">
        <v>2</v>
      </c>
      <c r="L121">
        <v>1</v>
      </c>
      <c r="M121">
        <v>0.1</v>
      </c>
      <c r="N121">
        <v>21318</v>
      </c>
      <c r="O121">
        <v>1.5</v>
      </c>
      <c r="P121">
        <f t="shared" si="17"/>
        <v>254</v>
      </c>
      <c r="Q121">
        <v>12</v>
      </c>
      <c r="R121">
        <f t="shared" si="18"/>
        <v>19405.6</v>
      </c>
      <c r="S121">
        <f t="shared" si="19"/>
        <v>7112</v>
      </c>
      <c r="T121">
        <f t="shared" si="20"/>
        <v>254</v>
      </c>
      <c r="U121">
        <v>0</v>
      </c>
      <c r="V121">
        <f t="shared" si="21"/>
        <v>756.8</v>
      </c>
      <c r="W121" s="6">
        <f t="shared" si="22"/>
        <v>25.6416490486258</v>
      </c>
      <c r="X121">
        <v>1800</v>
      </c>
      <c r="AD121">
        <f t="shared" si="23"/>
        <v>508</v>
      </c>
      <c r="AF121">
        <f t="shared" si="24"/>
        <v>13.8</v>
      </c>
      <c r="AG121" t="e">
        <f ca="1" t="shared" si="25"/>
        <v>#N/A</v>
      </c>
      <c r="AH121">
        <f t="shared" si="26"/>
        <v>16.1</v>
      </c>
      <c r="AI121" t="e">
        <f ca="1" t="shared" si="27"/>
        <v>#N/A</v>
      </c>
    </row>
    <row r="122" spans="2:35">
      <c r="B122">
        <f t="shared" si="28"/>
        <v>1.82142857142857</v>
      </c>
      <c r="C122">
        <v>116</v>
      </c>
      <c r="D122">
        <v>117</v>
      </c>
      <c r="E122">
        <f t="shared" si="29"/>
        <v>60</v>
      </c>
      <c r="F122">
        <v>255</v>
      </c>
      <c r="G122">
        <v>40</v>
      </c>
      <c r="H122">
        <v>8</v>
      </c>
      <c r="I122">
        <v>0.5</v>
      </c>
      <c r="J122">
        <v>5</v>
      </c>
      <c r="K122">
        <v>2</v>
      </c>
      <c r="L122">
        <v>1</v>
      </c>
      <c r="M122">
        <v>0.1</v>
      </c>
      <c r="N122">
        <v>21318</v>
      </c>
      <c r="O122">
        <v>1.5</v>
      </c>
      <c r="P122">
        <f t="shared" si="17"/>
        <v>255</v>
      </c>
      <c r="Q122">
        <v>12</v>
      </c>
      <c r="R122">
        <f t="shared" si="18"/>
        <v>19482</v>
      </c>
      <c r="S122">
        <f t="shared" si="19"/>
        <v>7140</v>
      </c>
      <c r="T122">
        <f t="shared" si="20"/>
        <v>255</v>
      </c>
      <c r="U122">
        <v>0</v>
      </c>
      <c r="V122">
        <f t="shared" si="21"/>
        <v>756.8</v>
      </c>
      <c r="W122" s="6">
        <f t="shared" si="22"/>
        <v>25.742600422833</v>
      </c>
      <c r="X122">
        <v>1800</v>
      </c>
      <c r="AD122">
        <f t="shared" si="23"/>
        <v>510</v>
      </c>
      <c r="AF122">
        <f t="shared" si="24"/>
        <v>13.8</v>
      </c>
      <c r="AG122" t="e">
        <f ca="1" t="shared" si="25"/>
        <v>#N/A</v>
      </c>
      <c r="AH122">
        <f t="shared" si="26"/>
        <v>16.1</v>
      </c>
      <c r="AI122" t="e">
        <f ca="1" t="shared" si="27"/>
        <v>#N/A</v>
      </c>
    </row>
    <row r="123" spans="2:35">
      <c r="B123">
        <f t="shared" si="28"/>
        <v>1.82857142857143</v>
      </c>
      <c r="C123">
        <v>117</v>
      </c>
      <c r="D123">
        <v>119</v>
      </c>
      <c r="E123">
        <f t="shared" si="29"/>
        <v>61</v>
      </c>
      <c r="F123">
        <v>256</v>
      </c>
      <c r="G123">
        <v>40</v>
      </c>
      <c r="H123">
        <v>8</v>
      </c>
      <c r="I123">
        <v>0.5</v>
      </c>
      <c r="J123">
        <v>5</v>
      </c>
      <c r="K123">
        <v>2</v>
      </c>
      <c r="L123">
        <v>1</v>
      </c>
      <c r="M123">
        <v>0.1</v>
      </c>
      <c r="N123">
        <v>21318</v>
      </c>
      <c r="O123">
        <v>1.5</v>
      </c>
      <c r="P123">
        <f t="shared" si="17"/>
        <v>256</v>
      </c>
      <c r="Q123">
        <v>12</v>
      </c>
      <c r="R123">
        <f t="shared" si="18"/>
        <v>19558.4</v>
      </c>
      <c r="S123">
        <f t="shared" si="19"/>
        <v>7168</v>
      </c>
      <c r="T123">
        <f t="shared" si="20"/>
        <v>256</v>
      </c>
      <c r="U123">
        <v>0</v>
      </c>
      <c r="V123">
        <f t="shared" si="21"/>
        <v>756.8</v>
      </c>
      <c r="W123" s="6">
        <f t="shared" si="22"/>
        <v>25.8435517970402</v>
      </c>
      <c r="X123">
        <v>1800</v>
      </c>
      <c r="AD123">
        <f t="shared" si="23"/>
        <v>512</v>
      </c>
      <c r="AF123">
        <f t="shared" si="24"/>
        <v>13.8</v>
      </c>
      <c r="AG123" t="e">
        <f ca="1" t="shared" si="25"/>
        <v>#N/A</v>
      </c>
      <c r="AH123">
        <f t="shared" si="26"/>
        <v>16.1</v>
      </c>
      <c r="AI123" t="e">
        <f ca="1" t="shared" si="27"/>
        <v>#N/A</v>
      </c>
    </row>
    <row r="124" spans="2:35">
      <c r="B124">
        <f t="shared" si="28"/>
        <v>1.83571428571429</v>
      </c>
      <c r="C124">
        <v>118</v>
      </c>
      <c r="D124">
        <v>121</v>
      </c>
      <c r="E124">
        <f t="shared" si="29"/>
        <v>62</v>
      </c>
      <c r="F124">
        <v>257</v>
      </c>
      <c r="G124">
        <v>40</v>
      </c>
      <c r="H124">
        <v>8</v>
      </c>
      <c r="I124">
        <v>0.5</v>
      </c>
      <c r="J124">
        <v>5</v>
      </c>
      <c r="K124">
        <v>2</v>
      </c>
      <c r="L124">
        <v>1</v>
      </c>
      <c r="M124">
        <v>0.1</v>
      </c>
      <c r="N124">
        <v>21318</v>
      </c>
      <c r="O124">
        <v>1.5</v>
      </c>
      <c r="P124">
        <f t="shared" si="17"/>
        <v>257</v>
      </c>
      <c r="Q124">
        <v>12</v>
      </c>
      <c r="R124">
        <f t="shared" si="18"/>
        <v>19634.8</v>
      </c>
      <c r="S124">
        <f t="shared" si="19"/>
        <v>7196</v>
      </c>
      <c r="T124">
        <f t="shared" si="20"/>
        <v>257</v>
      </c>
      <c r="U124">
        <v>0</v>
      </c>
      <c r="V124">
        <f t="shared" si="21"/>
        <v>756.8</v>
      </c>
      <c r="W124" s="6">
        <f t="shared" si="22"/>
        <v>25.9445031712474</v>
      </c>
      <c r="X124">
        <v>1800</v>
      </c>
      <c r="AD124">
        <f t="shared" si="23"/>
        <v>514</v>
      </c>
      <c r="AF124">
        <f t="shared" si="24"/>
        <v>13.8</v>
      </c>
      <c r="AG124" t="e">
        <f ca="1" t="shared" si="25"/>
        <v>#N/A</v>
      </c>
      <c r="AH124">
        <f t="shared" si="26"/>
        <v>16.1</v>
      </c>
      <c r="AI124" t="e">
        <f ca="1" t="shared" si="27"/>
        <v>#N/A</v>
      </c>
    </row>
    <row r="125" spans="2:35">
      <c r="B125">
        <f t="shared" si="28"/>
        <v>1.84285714285714</v>
      </c>
      <c r="C125">
        <v>119</v>
      </c>
      <c r="D125">
        <v>123</v>
      </c>
      <c r="E125">
        <f t="shared" si="29"/>
        <v>63</v>
      </c>
      <c r="F125">
        <v>258</v>
      </c>
      <c r="G125">
        <v>40</v>
      </c>
      <c r="H125">
        <v>8</v>
      </c>
      <c r="I125">
        <v>0.5</v>
      </c>
      <c r="J125">
        <v>5</v>
      </c>
      <c r="K125">
        <v>2</v>
      </c>
      <c r="L125">
        <v>1</v>
      </c>
      <c r="M125">
        <v>0.1</v>
      </c>
      <c r="N125">
        <v>21318</v>
      </c>
      <c r="O125">
        <v>1.5</v>
      </c>
      <c r="P125">
        <f t="shared" si="17"/>
        <v>258</v>
      </c>
      <c r="Q125">
        <v>12</v>
      </c>
      <c r="R125">
        <f t="shared" si="18"/>
        <v>19711.2</v>
      </c>
      <c r="S125">
        <f t="shared" si="19"/>
        <v>7224</v>
      </c>
      <c r="T125">
        <f t="shared" si="20"/>
        <v>258</v>
      </c>
      <c r="U125">
        <v>0</v>
      </c>
      <c r="V125">
        <f t="shared" si="21"/>
        <v>756.8</v>
      </c>
      <c r="W125" s="6">
        <f t="shared" si="22"/>
        <v>26.0454545454545</v>
      </c>
      <c r="X125">
        <v>1800</v>
      </c>
      <c r="AD125">
        <f t="shared" si="23"/>
        <v>516</v>
      </c>
      <c r="AF125">
        <f t="shared" si="24"/>
        <v>13.8</v>
      </c>
      <c r="AG125" t="e">
        <f ca="1" t="shared" si="25"/>
        <v>#N/A</v>
      </c>
      <c r="AH125">
        <f t="shared" si="26"/>
        <v>16.1</v>
      </c>
      <c r="AI125" t="e">
        <f ca="1" t="shared" si="27"/>
        <v>#N/A</v>
      </c>
    </row>
    <row r="126" spans="2:35">
      <c r="B126">
        <f t="shared" si="28"/>
        <v>1.85</v>
      </c>
      <c r="C126">
        <v>120</v>
      </c>
      <c r="D126">
        <v>125</v>
      </c>
      <c r="E126">
        <f t="shared" si="29"/>
        <v>64</v>
      </c>
      <c r="F126">
        <v>259</v>
      </c>
      <c r="G126">
        <v>40</v>
      </c>
      <c r="H126">
        <v>8</v>
      </c>
      <c r="I126">
        <v>0.5</v>
      </c>
      <c r="J126">
        <v>5</v>
      </c>
      <c r="K126">
        <v>2</v>
      </c>
      <c r="L126">
        <v>1</v>
      </c>
      <c r="M126">
        <v>0.1</v>
      </c>
      <c r="N126">
        <v>21318</v>
      </c>
      <c r="O126">
        <v>1.5</v>
      </c>
      <c r="P126">
        <f t="shared" si="17"/>
        <v>259</v>
      </c>
      <c r="Q126">
        <v>12</v>
      </c>
      <c r="R126">
        <f t="shared" si="18"/>
        <v>19787.6</v>
      </c>
      <c r="S126">
        <f t="shared" si="19"/>
        <v>7252</v>
      </c>
      <c r="T126">
        <f t="shared" si="20"/>
        <v>259</v>
      </c>
      <c r="U126">
        <v>0</v>
      </c>
      <c r="V126">
        <f t="shared" si="21"/>
        <v>756.8</v>
      </c>
      <c r="W126" s="6">
        <f t="shared" si="22"/>
        <v>26.1464059196617</v>
      </c>
      <c r="X126">
        <v>1800</v>
      </c>
      <c r="AD126">
        <f t="shared" si="23"/>
        <v>518</v>
      </c>
      <c r="AF126">
        <f t="shared" si="24"/>
        <v>13.8</v>
      </c>
      <c r="AG126" t="e">
        <f ca="1" t="shared" si="25"/>
        <v>#N/A</v>
      </c>
      <c r="AH126">
        <f t="shared" si="26"/>
        <v>16.1</v>
      </c>
      <c r="AI126" t="e">
        <f ca="1" t="shared" si="27"/>
        <v>#N/A</v>
      </c>
    </row>
    <row r="127" spans="2:35">
      <c r="B127">
        <f t="shared" si="28"/>
        <v>1.85714285714286</v>
      </c>
      <c r="C127">
        <v>121</v>
      </c>
      <c r="D127">
        <v>127</v>
      </c>
      <c r="E127">
        <f t="shared" ref="E127:E190" si="30">E126+2</f>
        <v>66</v>
      </c>
      <c r="F127">
        <v>260</v>
      </c>
      <c r="G127">
        <v>40</v>
      </c>
      <c r="H127">
        <v>8</v>
      </c>
      <c r="I127">
        <v>0.5</v>
      </c>
      <c r="J127">
        <v>5</v>
      </c>
      <c r="K127">
        <v>2</v>
      </c>
      <c r="L127">
        <v>1</v>
      </c>
      <c r="M127">
        <v>0.1</v>
      </c>
      <c r="N127">
        <v>21318</v>
      </c>
      <c r="O127">
        <v>1.5</v>
      </c>
      <c r="P127">
        <f t="shared" si="17"/>
        <v>260</v>
      </c>
      <c r="Q127">
        <v>12</v>
      </c>
      <c r="R127">
        <f t="shared" si="18"/>
        <v>19864</v>
      </c>
      <c r="S127">
        <f t="shared" si="19"/>
        <v>7280</v>
      </c>
      <c r="T127">
        <f t="shared" si="20"/>
        <v>260</v>
      </c>
      <c r="U127">
        <v>0</v>
      </c>
      <c r="V127">
        <f t="shared" si="21"/>
        <v>756.8</v>
      </c>
      <c r="W127" s="6">
        <f t="shared" si="22"/>
        <v>26.2473572938689</v>
      </c>
      <c r="X127">
        <v>1800</v>
      </c>
      <c r="AD127">
        <f t="shared" si="23"/>
        <v>520</v>
      </c>
      <c r="AF127">
        <f t="shared" si="24"/>
        <v>13.8</v>
      </c>
      <c r="AG127" t="e">
        <f ca="1" t="shared" si="25"/>
        <v>#N/A</v>
      </c>
      <c r="AH127">
        <f t="shared" si="26"/>
        <v>16.1</v>
      </c>
      <c r="AI127" t="e">
        <f ca="1" t="shared" si="27"/>
        <v>#N/A</v>
      </c>
    </row>
    <row r="128" spans="2:35">
      <c r="B128">
        <f t="shared" si="28"/>
        <v>1.86428571428571</v>
      </c>
      <c r="C128">
        <v>122</v>
      </c>
      <c r="D128">
        <v>129</v>
      </c>
      <c r="E128">
        <f t="shared" si="30"/>
        <v>68</v>
      </c>
      <c r="F128">
        <v>261</v>
      </c>
      <c r="G128">
        <v>40</v>
      </c>
      <c r="H128">
        <v>8</v>
      </c>
      <c r="I128">
        <v>0.5</v>
      </c>
      <c r="J128">
        <v>5</v>
      </c>
      <c r="K128">
        <v>2</v>
      </c>
      <c r="L128">
        <v>1</v>
      </c>
      <c r="M128">
        <v>0.1</v>
      </c>
      <c r="N128">
        <v>21318</v>
      </c>
      <c r="O128">
        <v>1.5</v>
      </c>
      <c r="P128">
        <f t="shared" si="17"/>
        <v>261</v>
      </c>
      <c r="Q128">
        <v>12</v>
      </c>
      <c r="R128">
        <f t="shared" si="18"/>
        <v>19940.4</v>
      </c>
      <c r="S128">
        <f t="shared" si="19"/>
        <v>7308</v>
      </c>
      <c r="T128">
        <f t="shared" si="20"/>
        <v>261</v>
      </c>
      <c r="U128">
        <v>0</v>
      </c>
      <c r="V128">
        <f t="shared" si="21"/>
        <v>756.8</v>
      </c>
      <c r="W128" s="6">
        <f t="shared" si="22"/>
        <v>26.3483086680761</v>
      </c>
      <c r="X128">
        <v>1800</v>
      </c>
      <c r="AD128">
        <f t="shared" si="23"/>
        <v>522</v>
      </c>
      <c r="AF128">
        <f t="shared" si="24"/>
        <v>13.8</v>
      </c>
      <c r="AG128" t="e">
        <f ca="1" t="shared" si="25"/>
        <v>#N/A</v>
      </c>
      <c r="AH128">
        <f t="shared" si="26"/>
        <v>16.1</v>
      </c>
      <c r="AI128" t="e">
        <f ca="1" t="shared" si="27"/>
        <v>#N/A</v>
      </c>
    </row>
    <row r="129" spans="2:35">
      <c r="B129">
        <f t="shared" si="28"/>
        <v>1.87142857142857</v>
      </c>
      <c r="C129">
        <v>123</v>
      </c>
      <c r="D129">
        <v>131</v>
      </c>
      <c r="E129">
        <f t="shared" si="30"/>
        <v>70</v>
      </c>
      <c r="F129">
        <v>262</v>
      </c>
      <c r="G129">
        <v>40</v>
      </c>
      <c r="H129">
        <v>8</v>
      </c>
      <c r="I129">
        <v>0.5</v>
      </c>
      <c r="J129">
        <v>5</v>
      </c>
      <c r="K129">
        <v>2</v>
      </c>
      <c r="L129">
        <v>1</v>
      </c>
      <c r="M129">
        <v>0.1</v>
      </c>
      <c r="N129">
        <v>21318</v>
      </c>
      <c r="O129">
        <v>1.5</v>
      </c>
      <c r="P129">
        <f t="shared" si="17"/>
        <v>262</v>
      </c>
      <c r="Q129">
        <v>12</v>
      </c>
      <c r="R129">
        <f t="shared" si="18"/>
        <v>20016.8</v>
      </c>
      <c r="S129">
        <f t="shared" si="19"/>
        <v>7336</v>
      </c>
      <c r="T129">
        <f t="shared" si="20"/>
        <v>262</v>
      </c>
      <c r="U129">
        <v>0</v>
      </c>
      <c r="V129">
        <f t="shared" si="21"/>
        <v>756.8</v>
      </c>
      <c r="W129" s="6">
        <f t="shared" si="22"/>
        <v>26.4492600422833</v>
      </c>
      <c r="X129">
        <v>1800</v>
      </c>
      <c r="AD129">
        <f t="shared" si="23"/>
        <v>524</v>
      </c>
      <c r="AF129">
        <f t="shared" si="24"/>
        <v>13.8</v>
      </c>
      <c r="AG129" t="e">
        <f ca="1" t="shared" si="25"/>
        <v>#N/A</v>
      </c>
      <c r="AH129">
        <f t="shared" si="26"/>
        <v>16.1</v>
      </c>
      <c r="AI129" t="e">
        <f ca="1" t="shared" si="27"/>
        <v>#N/A</v>
      </c>
    </row>
    <row r="130" spans="2:35">
      <c r="B130">
        <f t="shared" si="28"/>
        <v>1.87857142857143</v>
      </c>
      <c r="C130">
        <v>124</v>
      </c>
      <c r="D130">
        <v>133</v>
      </c>
      <c r="E130">
        <f t="shared" si="30"/>
        <v>72</v>
      </c>
      <c r="F130">
        <v>263</v>
      </c>
      <c r="G130">
        <v>40</v>
      </c>
      <c r="H130">
        <v>8</v>
      </c>
      <c r="I130">
        <v>0.5</v>
      </c>
      <c r="J130">
        <v>5</v>
      </c>
      <c r="K130">
        <v>2</v>
      </c>
      <c r="L130">
        <v>1</v>
      </c>
      <c r="M130">
        <v>0.1</v>
      </c>
      <c r="N130">
        <v>21318</v>
      </c>
      <c r="O130">
        <v>1.5</v>
      </c>
      <c r="P130">
        <f t="shared" si="17"/>
        <v>263</v>
      </c>
      <c r="Q130">
        <v>12</v>
      </c>
      <c r="R130">
        <f t="shared" si="18"/>
        <v>20093.2</v>
      </c>
      <c r="S130">
        <f t="shared" si="19"/>
        <v>7364</v>
      </c>
      <c r="T130">
        <f t="shared" si="20"/>
        <v>263</v>
      </c>
      <c r="U130">
        <v>0</v>
      </c>
      <c r="V130">
        <f t="shared" si="21"/>
        <v>756.8</v>
      </c>
      <c r="W130" s="6">
        <f t="shared" si="22"/>
        <v>26.5502114164905</v>
      </c>
      <c r="X130">
        <v>1800</v>
      </c>
      <c r="AD130">
        <f t="shared" si="23"/>
        <v>526</v>
      </c>
      <c r="AF130">
        <f t="shared" si="24"/>
        <v>13.8</v>
      </c>
      <c r="AG130" t="e">
        <f ca="1" t="shared" si="25"/>
        <v>#N/A</v>
      </c>
      <c r="AH130">
        <f t="shared" si="26"/>
        <v>16.1</v>
      </c>
      <c r="AI130" t="e">
        <f ca="1" t="shared" si="27"/>
        <v>#N/A</v>
      </c>
    </row>
    <row r="131" spans="2:35">
      <c r="B131">
        <f t="shared" si="28"/>
        <v>1.88571428571429</v>
      </c>
      <c r="C131">
        <v>125</v>
      </c>
      <c r="D131">
        <v>135</v>
      </c>
      <c r="E131">
        <f t="shared" si="30"/>
        <v>74</v>
      </c>
      <c r="F131">
        <v>264</v>
      </c>
      <c r="G131">
        <v>40</v>
      </c>
      <c r="H131">
        <v>8</v>
      </c>
      <c r="I131">
        <v>0.5</v>
      </c>
      <c r="J131">
        <v>5</v>
      </c>
      <c r="K131">
        <v>2</v>
      </c>
      <c r="L131">
        <v>1</v>
      </c>
      <c r="M131">
        <v>0.1</v>
      </c>
      <c r="N131">
        <v>21318</v>
      </c>
      <c r="O131">
        <v>1.5</v>
      </c>
      <c r="P131">
        <f t="shared" si="17"/>
        <v>264</v>
      </c>
      <c r="Q131">
        <v>12</v>
      </c>
      <c r="R131">
        <f t="shared" si="18"/>
        <v>20169.6</v>
      </c>
      <c r="S131">
        <f t="shared" si="19"/>
        <v>7392</v>
      </c>
      <c r="T131">
        <f t="shared" si="20"/>
        <v>264</v>
      </c>
      <c r="U131">
        <v>0</v>
      </c>
      <c r="V131">
        <f t="shared" si="21"/>
        <v>756.8</v>
      </c>
      <c r="W131" s="6">
        <f t="shared" si="22"/>
        <v>26.6511627906977</v>
      </c>
      <c r="X131">
        <v>1800</v>
      </c>
      <c r="AD131">
        <f t="shared" si="23"/>
        <v>528</v>
      </c>
      <c r="AF131">
        <f t="shared" si="24"/>
        <v>13.8</v>
      </c>
      <c r="AG131" t="e">
        <f ca="1" t="shared" si="25"/>
        <v>#N/A</v>
      </c>
      <c r="AH131">
        <f t="shared" si="26"/>
        <v>16.1</v>
      </c>
      <c r="AI131" t="e">
        <f ca="1" t="shared" si="27"/>
        <v>#N/A</v>
      </c>
    </row>
    <row r="132" spans="2:35">
      <c r="B132">
        <f t="shared" si="28"/>
        <v>1.89285714285714</v>
      </c>
      <c r="C132">
        <v>126</v>
      </c>
      <c r="D132">
        <v>137</v>
      </c>
      <c r="E132">
        <f t="shared" si="30"/>
        <v>76</v>
      </c>
      <c r="F132">
        <v>265</v>
      </c>
      <c r="G132">
        <v>40</v>
      </c>
      <c r="H132">
        <v>8</v>
      </c>
      <c r="I132">
        <v>0.5</v>
      </c>
      <c r="J132">
        <v>5</v>
      </c>
      <c r="K132">
        <v>2</v>
      </c>
      <c r="L132">
        <v>1</v>
      </c>
      <c r="M132">
        <v>0.1</v>
      </c>
      <c r="N132">
        <v>21318</v>
      </c>
      <c r="O132">
        <v>1.5</v>
      </c>
      <c r="P132">
        <f t="shared" si="17"/>
        <v>265</v>
      </c>
      <c r="Q132">
        <v>12</v>
      </c>
      <c r="R132">
        <f t="shared" si="18"/>
        <v>20246</v>
      </c>
      <c r="S132">
        <f t="shared" si="19"/>
        <v>7420</v>
      </c>
      <c r="T132">
        <f t="shared" si="20"/>
        <v>265</v>
      </c>
      <c r="U132">
        <v>0</v>
      </c>
      <c r="V132">
        <f t="shared" si="21"/>
        <v>756.8</v>
      </c>
      <c r="W132" s="6">
        <f t="shared" si="22"/>
        <v>26.7521141649049</v>
      </c>
      <c r="X132">
        <v>1800</v>
      </c>
      <c r="AD132">
        <f t="shared" si="23"/>
        <v>530</v>
      </c>
      <c r="AF132">
        <f t="shared" si="24"/>
        <v>13.8</v>
      </c>
      <c r="AG132" t="e">
        <f ca="1" t="shared" si="25"/>
        <v>#N/A</v>
      </c>
      <c r="AH132">
        <f t="shared" si="26"/>
        <v>16.1</v>
      </c>
      <c r="AI132" t="e">
        <f ca="1" t="shared" si="27"/>
        <v>#N/A</v>
      </c>
    </row>
    <row r="133" spans="2:35">
      <c r="B133">
        <f t="shared" si="28"/>
        <v>1.9</v>
      </c>
      <c r="C133">
        <v>127</v>
      </c>
      <c r="D133">
        <v>139</v>
      </c>
      <c r="E133">
        <f t="shared" si="30"/>
        <v>78</v>
      </c>
      <c r="F133">
        <v>266</v>
      </c>
      <c r="G133">
        <v>40</v>
      </c>
      <c r="H133">
        <v>8</v>
      </c>
      <c r="I133">
        <v>0.5</v>
      </c>
      <c r="J133">
        <v>5</v>
      </c>
      <c r="K133">
        <v>2</v>
      </c>
      <c r="L133">
        <v>1</v>
      </c>
      <c r="M133">
        <v>0.1</v>
      </c>
      <c r="N133">
        <v>21318</v>
      </c>
      <c r="O133">
        <v>1.5</v>
      </c>
      <c r="P133">
        <f t="shared" si="17"/>
        <v>266</v>
      </c>
      <c r="Q133">
        <v>12</v>
      </c>
      <c r="R133">
        <f t="shared" si="18"/>
        <v>20322.4</v>
      </c>
      <c r="S133">
        <f t="shared" si="19"/>
        <v>7448</v>
      </c>
      <c r="T133">
        <f t="shared" si="20"/>
        <v>266</v>
      </c>
      <c r="U133">
        <v>0</v>
      </c>
      <c r="V133">
        <f t="shared" si="21"/>
        <v>756.8</v>
      </c>
      <c r="W133" s="6">
        <f t="shared" si="22"/>
        <v>26.8530655391121</v>
      </c>
      <c r="X133">
        <v>1800</v>
      </c>
      <c r="AD133">
        <f t="shared" si="23"/>
        <v>532</v>
      </c>
      <c r="AF133">
        <f t="shared" si="24"/>
        <v>13.8</v>
      </c>
      <c r="AG133" t="e">
        <f ca="1" t="shared" si="25"/>
        <v>#N/A</v>
      </c>
      <c r="AH133">
        <f t="shared" si="26"/>
        <v>16.1</v>
      </c>
      <c r="AI133" t="e">
        <f ca="1" t="shared" si="27"/>
        <v>#N/A</v>
      </c>
    </row>
    <row r="134" spans="2:35">
      <c r="B134">
        <f t="shared" si="28"/>
        <v>1.90714285714286</v>
      </c>
      <c r="C134">
        <v>128</v>
      </c>
      <c r="D134">
        <v>141</v>
      </c>
      <c r="E134">
        <f t="shared" si="30"/>
        <v>80</v>
      </c>
      <c r="F134">
        <v>267</v>
      </c>
      <c r="G134">
        <v>40</v>
      </c>
      <c r="H134">
        <v>8</v>
      </c>
      <c r="I134">
        <v>0.5</v>
      </c>
      <c r="J134">
        <v>5</v>
      </c>
      <c r="K134">
        <v>2</v>
      </c>
      <c r="L134">
        <v>1</v>
      </c>
      <c r="M134">
        <v>0.1</v>
      </c>
      <c r="N134">
        <v>21318</v>
      </c>
      <c r="O134">
        <v>1.5</v>
      </c>
      <c r="P134">
        <f t="shared" si="17"/>
        <v>267</v>
      </c>
      <c r="Q134">
        <v>12</v>
      </c>
      <c r="R134">
        <f t="shared" si="18"/>
        <v>20398.8</v>
      </c>
      <c r="S134">
        <f t="shared" si="19"/>
        <v>7476</v>
      </c>
      <c r="T134">
        <f t="shared" si="20"/>
        <v>267</v>
      </c>
      <c r="U134">
        <v>0</v>
      </c>
      <c r="V134">
        <f t="shared" si="21"/>
        <v>756.8</v>
      </c>
      <c r="W134" s="6">
        <f t="shared" si="22"/>
        <v>26.9540169133192</v>
      </c>
      <c r="X134">
        <v>1800</v>
      </c>
      <c r="AD134">
        <f t="shared" si="23"/>
        <v>534</v>
      </c>
      <c r="AF134">
        <f t="shared" si="24"/>
        <v>13.8</v>
      </c>
      <c r="AG134" t="e">
        <f ca="1" t="shared" si="25"/>
        <v>#N/A</v>
      </c>
      <c r="AH134">
        <f t="shared" si="26"/>
        <v>16.1</v>
      </c>
      <c r="AI134" t="e">
        <f ca="1" t="shared" si="27"/>
        <v>#N/A</v>
      </c>
    </row>
    <row r="135" spans="2:35">
      <c r="B135">
        <f t="shared" si="28"/>
        <v>1.91428571428571</v>
      </c>
      <c r="C135">
        <v>129</v>
      </c>
      <c r="D135">
        <v>143</v>
      </c>
      <c r="E135">
        <f t="shared" si="30"/>
        <v>82</v>
      </c>
      <c r="F135">
        <v>268</v>
      </c>
      <c r="G135">
        <v>40</v>
      </c>
      <c r="H135">
        <v>8</v>
      </c>
      <c r="I135">
        <v>0.5</v>
      </c>
      <c r="J135">
        <v>5</v>
      </c>
      <c r="K135">
        <v>2</v>
      </c>
      <c r="L135">
        <v>1</v>
      </c>
      <c r="M135">
        <v>0.1</v>
      </c>
      <c r="N135">
        <v>21318</v>
      </c>
      <c r="O135">
        <v>1.5</v>
      </c>
      <c r="P135">
        <f t="shared" ref="P135:P198" si="31">F135</f>
        <v>268</v>
      </c>
      <c r="Q135">
        <v>12</v>
      </c>
      <c r="R135">
        <f t="shared" ref="R135:R198" si="32">P135*28*1.3+F135*40+U135</f>
        <v>20475.2</v>
      </c>
      <c r="S135">
        <f t="shared" ref="S135:S198" si="33">P135*28</f>
        <v>7504</v>
      </c>
      <c r="T135">
        <f t="shared" ref="T135:T198" si="34">F135</f>
        <v>268</v>
      </c>
      <c r="U135">
        <v>0</v>
      </c>
      <c r="V135">
        <f t="shared" ref="V135:V198" si="35">Q135*28*1.3+H135*40</f>
        <v>756.8</v>
      </c>
      <c r="W135" s="6">
        <f t="shared" ref="W135:W198" si="36">R135/V135</f>
        <v>27.0549682875264</v>
      </c>
      <c r="X135">
        <v>1800</v>
      </c>
      <c r="AD135">
        <f t="shared" ref="AD135:AD198" si="37">P135*2</f>
        <v>536</v>
      </c>
      <c r="AF135">
        <f t="shared" ref="AF135:AF198" si="38">VLOOKUP(INT(AE135/10)+1,$AN$8:$AO$33,2,0)</f>
        <v>13.8</v>
      </c>
      <c r="AG135" t="e">
        <f ca="1" t="shared" ref="AG135:AG198" si="39">OFFSET($AK$6,MATCH(Y135,$AL$7:$AL$21,1),0)</f>
        <v>#N/A</v>
      </c>
      <c r="AH135">
        <f t="shared" ref="AH135:AH198" si="40">VLOOKUP(INT(AE135/10)+2,$AN$8:$AO$33,2,0)</f>
        <v>16.1</v>
      </c>
      <c r="AI135" t="e">
        <f ca="1" t="shared" ref="AI135:AI198" si="41">OFFSET($AK$6,1+MATCH(Y135,$AL$7:$AL$21,1),0)</f>
        <v>#N/A</v>
      </c>
    </row>
    <row r="136" spans="2:35">
      <c r="B136">
        <f t="shared" ref="B136:B199" si="42">F136/$F$7</f>
        <v>1.92142857142857</v>
      </c>
      <c r="C136">
        <v>130</v>
      </c>
      <c r="D136">
        <v>145</v>
      </c>
      <c r="E136">
        <f t="shared" si="30"/>
        <v>84</v>
      </c>
      <c r="F136">
        <v>269</v>
      </c>
      <c r="G136">
        <v>40</v>
      </c>
      <c r="H136">
        <v>8</v>
      </c>
      <c r="I136">
        <v>0.5</v>
      </c>
      <c r="J136">
        <v>5</v>
      </c>
      <c r="K136">
        <v>2</v>
      </c>
      <c r="L136">
        <v>1</v>
      </c>
      <c r="M136">
        <v>0.1</v>
      </c>
      <c r="N136">
        <v>21318</v>
      </c>
      <c r="O136">
        <v>1.5</v>
      </c>
      <c r="P136">
        <f t="shared" si="31"/>
        <v>269</v>
      </c>
      <c r="Q136">
        <v>12</v>
      </c>
      <c r="R136">
        <f t="shared" si="32"/>
        <v>20551.6</v>
      </c>
      <c r="S136">
        <f t="shared" si="33"/>
        <v>7532</v>
      </c>
      <c r="T136">
        <f t="shared" si="34"/>
        <v>269</v>
      </c>
      <c r="U136">
        <v>0</v>
      </c>
      <c r="V136">
        <f t="shared" si="35"/>
        <v>756.8</v>
      </c>
      <c r="W136" s="6">
        <f t="shared" si="36"/>
        <v>27.1559196617336</v>
      </c>
      <c r="X136">
        <v>1800</v>
      </c>
      <c r="AD136">
        <f t="shared" si="37"/>
        <v>538</v>
      </c>
      <c r="AF136">
        <f t="shared" si="38"/>
        <v>13.8</v>
      </c>
      <c r="AG136" t="e">
        <f ca="1" t="shared" si="39"/>
        <v>#N/A</v>
      </c>
      <c r="AH136">
        <f t="shared" si="40"/>
        <v>16.1</v>
      </c>
      <c r="AI136" t="e">
        <f ca="1" t="shared" si="41"/>
        <v>#N/A</v>
      </c>
    </row>
    <row r="137" spans="2:35">
      <c r="B137">
        <f t="shared" si="42"/>
        <v>1.92857142857143</v>
      </c>
      <c r="C137">
        <v>131</v>
      </c>
      <c r="D137">
        <v>147</v>
      </c>
      <c r="E137">
        <f t="shared" si="30"/>
        <v>86</v>
      </c>
      <c r="F137">
        <v>270</v>
      </c>
      <c r="G137">
        <v>40</v>
      </c>
      <c r="H137">
        <v>8</v>
      </c>
      <c r="I137">
        <v>0.5</v>
      </c>
      <c r="J137">
        <v>5</v>
      </c>
      <c r="K137">
        <v>2</v>
      </c>
      <c r="L137">
        <v>1</v>
      </c>
      <c r="M137">
        <v>0.1</v>
      </c>
      <c r="N137">
        <v>21318</v>
      </c>
      <c r="O137">
        <v>1.5</v>
      </c>
      <c r="P137">
        <f t="shared" si="31"/>
        <v>270</v>
      </c>
      <c r="Q137">
        <v>12</v>
      </c>
      <c r="R137">
        <f t="shared" si="32"/>
        <v>20628</v>
      </c>
      <c r="S137">
        <f t="shared" si="33"/>
        <v>7560</v>
      </c>
      <c r="T137">
        <f t="shared" si="34"/>
        <v>270</v>
      </c>
      <c r="U137">
        <v>0</v>
      </c>
      <c r="V137">
        <f t="shared" si="35"/>
        <v>756.8</v>
      </c>
      <c r="W137" s="6">
        <f t="shared" si="36"/>
        <v>27.2568710359408</v>
      </c>
      <c r="X137">
        <v>1800</v>
      </c>
      <c r="AD137">
        <f t="shared" si="37"/>
        <v>540</v>
      </c>
      <c r="AF137">
        <f t="shared" si="38"/>
        <v>13.8</v>
      </c>
      <c r="AG137" t="e">
        <f ca="1" t="shared" si="39"/>
        <v>#N/A</v>
      </c>
      <c r="AH137">
        <f t="shared" si="40"/>
        <v>16.1</v>
      </c>
      <c r="AI137" t="e">
        <f ca="1" t="shared" si="41"/>
        <v>#N/A</v>
      </c>
    </row>
    <row r="138" spans="2:35">
      <c r="B138">
        <f t="shared" si="42"/>
        <v>1.93571428571429</v>
      </c>
      <c r="C138">
        <v>132</v>
      </c>
      <c r="D138">
        <v>149</v>
      </c>
      <c r="E138">
        <f t="shared" si="30"/>
        <v>88</v>
      </c>
      <c r="F138">
        <v>271</v>
      </c>
      <c r="G138">
        <v>40</v>
      </c>
      <c r="H138">
        <v>8</v>
      </c>
      <c r="I138">
        <v>0.5</v>
      </c>
      <c r="J138">
        <v>5</v>
      </c>
      <c r="K138">
        <v>2</v>
      </c>
      <c r="L138">
        <v>1</v>
      </c>
      <c r="M138">
        <v>0.1</v>
      </c>
      <c r="N138">
        <v>21318</v>
      </c>
      <c r="O138">
        <v>1.5</v>
      </c>
      <c r="P138">
        <f t="shared" si="31"/>
        <v>271</v>
      </c>
      <c r="Q138">
        <v>12</v>
      </c>
      <c r="R138">
        <f t="shared" si="32"/>
        <v>20704.4</v>
      </c>
      <c r="S138">
        <f t="shared" si="33"/>
        <v>7588</v>
      </c>
      <c r="T138">
        <f t="shared" si="34"/>
        <v>271</v>
      </c>
      <c r="U138">
        <v>0</v>
      </c>
      <c r="V138">
        <f t="shared" si="35"/>
        <v>756.8</v>
      </c>
      <c r="W138" s="6">
        <f t="shared" si="36"/>
        <v>27.357822410148</v>
      </c>
      <c r="X138">
        <v>1800</v>
      </c>
      <c r="AD138">
        <f t="shared" si="37"/>
        <v>542</v>
      </c>
      <c r="AF138">
        <f t="shared" si="38"/>
        <v>13.8</v>
      </c>
      <c r="AG138" t="e">
        <f ca="1" t="shared" si="39"/>
        <v>#N/A</v>
      </c>
      <c r="AH138">
        <f t="shared" si="40"/>
        <v>16.1</v>
      </c>
      <c r="AI138" t="e">
        <f ca="1" t="shared" si="41"/>
        <v>#N/A</v>
      </c>
    </row>
    <row r="139" spans="2:35">
      <c r="B139">
        <f t="shared" si="42"/>
        <v>1.94285714285714</v>
      </c>
      <c r="C139">
        <v>133</v>
      </c>
      <c r="D139">
        <v>151</v>
      </c>
      <c r="E139">
        <f t="shared" si="30"/>
        <v>90</v>
      </c>
      <c r="F139">
        <v>272</v>
      </c>
      <c r="G139">
        <v>40</v>
      </c>
      <c r="H139">
        <v>8</v>
      </c>
      <c r="I139">
        <v>0.5</v>
      </c>
      <c r="J139">
        <v>5</v>
      </c>
      <c r="K139">
        <v>2</v>
      </c>
      <c r="L139">
        <v>1</v>
      </c>
      <c r="M139">
        <v>0.1</v>
      </c>
      <c r="N139">
        <v>21318</v>
      </c>
      <c r="O139">
        <v>1.5</v>
      </c>
      <c r="P139">
        <f t="shared" si="31"/>
        <v>272</v>
      </c>
      <c r="Q139">
        <v>12</v>
      </c>
      <c r="R139">
        <f t="shared" si="32"/>
        <v>20780.8</v>
      </c>
      <c r="S139">
        <f t="shared" si="33"/>
        <v>7616</v>
      </c>
      <c r="T139">
        <f t="shared" si="34"/>
        <v>272</v>
      </c>
      <c r="U139">
        <v>0</v>
      </c>
      <c r="V139">
        <f t="shared" si="35"/>
        <v>756.8</v>
      </c>
      <c r="W139" s="6">
        <f t="shared" si="36"/>
        <v>27.4587737843552</v>
      </c>
      <c r="X139">
        <v>1800</v>
      </c>
      <c r="AD139">
        <f t="shared" si="37"/>
        <v>544</v>
      </c>
      <c r="AF139">
        <f t="shared" si="38"/>
        <v>13.8</v>
      </c>
      <c r="AG139" t="e">
        <f ca="1" t="shared" si="39"/>
        <v>#N/A</v>
      </c>
      <c r="AH139">
        <f t="shared" si="40"/>
        <v>16.1</v>
      </c>
      <c r="AI139" t="e">
        <f ca="1" t="shared" si="41"/>
        <v>#N/A</v>
      </c>
    </row>
    <row r="140" spans="2:35">
      <c r="B140">
        <f t="shared" si="42"/>
        <v>1.95</v>
      </c>
      <c r="C140">
        <v>134</v>
      </c>
      <c r="D140">
        <v>154</v>
      </c>
      <c r="E140">
        <f t="shared" si="30"/>
        <v>92</v>
      </c>
      <c r="F140">
        <v>273</v>
      </c>
      <c r="G140">
        <v>40</v>
      </c>
      <c r="H140">
        <v>8</v>
      </c>
      <c r="I140">
        <v>0.5</v>
      </c>
      <c r="J140">
        <v>5</v>
      </c>
      <c r="K140">
        <v>2</v>
      </c>
      <c r="L140">
        <v>1</v>
      </c>
      <c r="M140">
        <v>0.1</v>
      </c>
      <c r="N140">
        <v>21318</v>
      </c>
      <c r="O140">
        <v>1.5</v>
      </c>
      <c r="P140">
        <f t="shared" si="31"/>
        <v>273</v>
      </c>
      <c r="Q140">
        <v>12</v>
      </c>
      <c r="R140">
        <f t="shared" si="32"/>
        <v>20857.2</v>
      </c>
      <c r="S140">
        <f t="shared" si="33"/>
        <v>7644</v>
      </c>
      <c r="T140">
        <f t="shared" si="34"/>
        <v>273</v>
      </c>
      <c r="U140">
        <v>0</v>
      </c>
      <c r="V140">
        <f t="shared" si="35"/>
        <v>756.8</v>
      </c>
      <c r="W140" s="6">
        <f t="shared" si="36"/>
        <v>27.5597251585624</v>
      </c>
      <c r="X140">
        <v>1800</v>
      </c>
      <c r="AD140">
        <f t="shared" si="37"/>
        <v>546</v>
      </c>
      <c r="AF140">
        <f t="shared" si="38"/>
        <v>13.8</v>
      </c>
      <c r="AG140" t="e">
        <f ca="1" t="shared" si="39"/>
        <v>#N/A</v>
      </c>
      <c r="AH140">
        <f t="shared" si="40"/>
        <v>16.1</v>
      </c>
      <c r="AI140" t="e">
        <f ca="1" t="shared" si="41"/>
        <v>#N/A</v>
      </c>
    </row>
    <row r="141" spans="2:35">
      <c r="B141">
        <f t="shared" si="42"/>
        <v>1.95714285714286</v>
      </c>
      <c r="C141">
        <v>135</v>
      </c>
      <c r="D141">
        <v>157</v>
      </c>
      <c r="E141">
        <f t="shared" si="30"/>
        <v>94</v>
      </c>
      <c r="F141">
        <v>274</v>
      </c>
      <c r="G141">
        <v>40</v>
      </c>
      <c r="H141">
        <v>8</v>
      </c>
      <c r="I141">
        <v>0.5</v>
      </c>
      <c r="J141">
        <v>5</v>
      </c>
      <c r="K141">
        <v>2</v>
      </c>
      <c r="L141">
        <v>1</v>
      </c>
      <c r="M141">
        <v>0.1</v>
      </c>
      <c r="N141">
        <v>21318</v>
      </c>
      <c r="O141">
        <v>1.5</v>
      </c>
      <c r="P141">
        <f t="shared" si="31"/>
        <v>274</v>
      </c>
      <c r="Q141">
        <v>12</v>
      </c>
      <c r="R141">
        <f t="shared" si="32"/>
        <v>20933.6</v>
      </c>
      <c r="S141">
        <f t="shared" si="33"/>
        <v>7672</v>
      </c>
      <c r="T141">
        <f t="shared" si="34"/>
        <v>274</v>
      </c>
      <c r="U141">
        <v>0</v>
      </c>
      <c r="V141">
        <f t="shared" si="35"/>
        <v>756.8</v>
      </c>
      <c r="W141" s="6">
        <f t="shared" si="36"/>
        <v>27.6606765327696</v>
      </c>
      <c r="X141">
        <v>1800</v>
      </c>
      <c r="AD141">
        <f t="shared" si="37"/>
        <v>548</v>
      </c>
      <c r="AF141">
        <f t="shared" si="38"/>
        <v>13.8</v>
      </c>
      <c r="AG141" t="e">
        <f ca="1" t="shared" si="39"/>
        <v>#N/A</v>
      </c>
      <c r="AH141">
        <f t="shared" si="40"/>
        <v>16.1</v>
      </c>
      <c r="AI141" t="e">
        <f ca="1" t="shared" si="41"/>
        <v>#N/A</v>
      </c>
    </row>
    <row r="142" spans="2:35">
      <c r="B142">
        <f t="shared" si="42"/>
        <v>1.96428571428571</v>
      </c>
      <c r="C142">
        <v>136</v>
      </c>
      <c r="D142">
        <v>161</v>
      </c>
      <c r="E142">
        <f t="shared" si="30"/>
        <v>96</v>
      </c>
      <c r="F142">
        <v>275</v>
      </c>
      <c r="G142">
        <v>40</v>
      </c>
      <c r="H142">
        <v>8</v>
      </c>
      <c r="I142">
        <v>0.5</v>
      </c>
      <c r="J142">
        <v>5</v>
      </c>
      <c r="K142">
        <v>2</v>
      </c>
      <c r="L142">
        <v>1</v>
      </c>
      <c r="M142">
        <v>0.1</v>
      </c>
      <c r="N142">
        <v>21318</v>
      </c>
      <c r="O142">
        <v>1.5</v>
      </c>
      <c r="P142">
        <f t="shared" si="31"/>
        <v>275</v>
      </c>
      <c r="Q142">
        <v>12</v>
      </c>
      <c r="R142">
        <f t="shared" si="32"/>
        <v>21010</v>
      </c>
      <c r="S142">
        <f t="shared" si="33"/>
        <v>7700</v>
      </c>
      <c r="T142">
        <f t="shared" si="34"/>
        <v>275</v>
      </c>
      <c r="U142">
        <v>0</v>
      </c>
      <c r="V142">
        <f t="shared" si="35"/>
        <v>756.8</v>
      </c>
      <c r="W142" s="6">
        <f t="shared" si="36"/>
        <v>27.7616279069767</v>
      </c>
      <c r="X142">
        <v>1800</v>
      </c>
      <c r="AD142">
        <f t="shared" si="37"/>
        <v>550</v>
      </c>
      <c r="AF142">
        <f t="shared" si="38"/>
        <v>13.8</v>
      </c>
      <c r="AG142" t="e">
        <f ca="1" t="shared" si="39"/>
        <v>#N/A</v>
      </c>
      <c r="AH142">
        <f t="shared" si="40"/>
        <v>16.1</v>
      </c>
      <c r="AI142" t="e">
        <f ca="1" t="shared" si="41"/>
        <v>#N/A</v>
      </c>
    </row>
    <row r="143" spans="2:35">
      <c r="B143">
        <f t="shared" si="42"/>
        <v>1.97142857142857</v>
      </c>
      <c r="C143">
        <v>137</v>
      </c>
      <c r="D143">
        <v>164</v>
      </c>
      <c r="E143">
        <f t="shared" si="30"/>
        <v>98</v>
      </c>
      <c r="F143">
        <v>276</v>
      </c>
      <c r="G143">
        <v>40</v>
      </c>
      <c r="H143">
        <v>8</v>
      </c>
      <c r="I143">
        <v>0.5</v>
      </c>
      <c r="J143">
        <v>5</v>
      </c>
      <c r="K143">
        <v>2</v>
      </c>
      <c r="L143">
        <v>1</v>
      </c>
      <c r="M143">
        <v>0.1</v>
      </c>
      <c r="N143">
        <v>21318</v>
      </c>
      <c r="O143">
        <v>1.5</v>
      </c>
      <c r="P143">
        <f t="shared" si="31"/>
        <v>276</v>
      </c>
      <c r="Q143">
        <v>12</v>
      </c>
      <c r="R143">
        <f t="shared" si="32"/>
        <v>21086.4</v>
      </c>
      <c r="S143">
        <f t="shared" si="33"/>
        <v>7728</v>
      </c>
      <c r="T143">
        <f t="shared" si="34"/>
        <v>276</v>
      </c>
      <c r="U143">
        <v>0</v>
      </c>
      <c r="V143">
        <f t="shared" si="35"/>
        <v>756.8</v>
      </c>
      <c r="W143" s="6">
        <f t="shared" si="36"/>
        <v>27.8625792811839</v>
      </c>
      <c r="X143">
        <v>1800</v>
      </c>
      <c r="AD143">
        <f t="shared" si="37"/>
        <v>552</v>
      </c>
      <c r="AF143">
        <f t="shared" si="38"/>
        <v>13.8</v>
      </c>
      <c r="AG143" t="e">
        <f ca="1" t="shared" si="39"/>
        <v>#N/A</v>
      </c>
      <c r="AH143">
        <f t="shared" si="40"/>
        <v>16.1</v>
      </c>
      <c r="AI143" t="e">
        <f ca="1" t="shared" si="41"/>
        <v>#N/A</v>
      </c>
    </row>
    <row r="144" spans="2:35">
      <c r="B144">
        <f t="shared" si="42"/>
        <v>1.97857142857143</v>
      </c>
      <c r="C144">
        <v>138</v>
      </c>
      <c r="D144">
        <v>167</v>
      </c>
      <c r="E144">
        <f t="shared" si="30"/>
        <v>100</v>
      </c>
      <c r="F144">
        <v>277</v>
      </c>
      <c r="G144">
        <v>40</v>
      </c>
      <c r="H144">
        <v>8</v>
      </c>
      <c r="I144">
        <v>0.5</v>
      </c>
      <c r="J144">
        <v>5</v>
      </c>
      <c r="K144">
        <v>2</v>
      </c>
      <c r="L144">
        <v>1</v>
      </c>
      <c r="M144">
        <v>0.1</v>
      </c>
      <c r="N144">
        <v>21318</v>
      </c>
      <c r="O144">
        <v>1.5</v>
      </c>
      <c r="P144">
        <f t="shared" si="31"/>
        <v>277</v>
      </c>
      <c r="Q144">
        <v>12</v>
      </c>
      <c r="R144">
        <f t="shared" si="32"/>
        <v>21162.8</v>
      </c>
      <c r="S144">
        <f t="shared" si="33"/>
        <v>7756</v>
      </c>
      <c r="T144">
        <f t="shared" si="34"/>
        <v>277</v>
      </c>
      <c r="U144">
        <v>0</v>
      </c>
      <c r="V144">
        <f t="shared" si="35"/>
        <v>756.8</v>
      </c>
      <c r="W144" s="6">
        <f t="shared" si="36"/>
        <v>27.9635306553911</v>
      </c>
      <c r="X144">
        <v>1800</v>
      </c>
      <c r="AD144">
        <f t="shared" si="37"/>
        <v>554</v>
      </c>
      <c r="AF144">
        <f t="shared" si="38"/>
        <v>13.8</v>
      </c>
      <c r="AG144" t="e">
        <f ca="1" t="shared" si="39"/>
        <v>#N/A</v>
      </c>
      <c r="AH144">
        <f t="shared" si="40"/>
        <v>16.1</v>
      </c>
      <c r="AI144" t="e">
        <f ca="1" t="shared" si="41"/>
        <v>#N/A</v>
      </c>
    </row>
    <row r="145" spans="2:35">
      <c r="B145">
        <f t="shared" si="42"/>
        <v>1.98571428571429</v>
      </c>
      <c r="C145">
        <v>139</v>
      </c>
      <c r="D145">
        <v>170</v>
      </c>
      <c r="E145">
        <f t="shared" si="30"/>
        <v>102</v>
      </c>
      <c r="F145">
        <v>278</v>
      </c>
      <c r="G145">
        <v>40</v>
      </c>
      <c r="H145">
        <v>8</v>
      </c>
      <c r="I145">
        <v>0.5</v>
      </c>
      <c r="J145">
        <v>5</v>
      </c>
      <c r="K145">
        <v>2</v>
      </c>
      <c r="L145">
        <v>1</v>
      </c>
      <c r="M145">
        <v>0.1</v>
      </c>
      <c r="N145">
        <v>21318</v>
      </c>
      <c r="O145">
        <v>1.5</v>
      </c>
      <c r="P145">
        <f t="shared" si="31"/>
        <v>278</v>
      </c>
      <c r="Q145">
        <v>12</v>
      </c>
      <c r="R145">
        <f t="shared" si="32"/>
        <v>21239.2</v>
      </c>
      <c r="S145">
        <f t="shared" si="33"/>
        <v>7784</v>
      </c>
      <c r="T145">
        <f t="shared" si="34"/>
        <v>278</v>
      </c>
      <c r="U145">
        <v>0</v>
      </c>
      <c r="V145">
        <f t="shared" si="35"/>
        <v>756.8</v>
      </c>
      <c r="W145" s="6">
        <f t="shared" si="36"/>
        <v>28.0644820295983</v>
      </c>
      <c r="X145">
        <v>1800</v>
      </c>
      <c r="AD145">
        <f t="shared" si="37"/>
        <v>556</v>
      </c>
      <c r="AF145">
        <f t="shared" si="38"/>
        <v>13.8</v>
      </c>
      <c r="AG145" t="e">
        <f ca="1" t="shared" si="39"/>
        <v>#N/A</v>
      </c>
      <c r="AH145">
        <f t="shared" si="40"/>
        <v>16.1</v>
      </c>
      <c r="AI145" t="e">
        <f ca="1" t="shared" si="41"/>
        <v>#N/A</v>
      </c>
    </row>
    <row r="146" spans="2:35">
      <c r="B146">
        <f t="shared" si="42"/>
        <v>1.99285714285714</v>
      </c>
      <c r="C146">
        <v>140</v>
      </c>
      <c r="D146">
        <v>173</v>
      </c>
      <c r="E146">
        <f t="shared" si="30"/>
        <v>104</v>
      </c>
      <c r="F146">
        <v>279</v>
      </c>
      <c r="G146">
        <v>40</v>
      </c>
      <c r="H146">
        <v>8</v>
      </c>
      <c r="I146">
        <v>0.5</v>
      </c>
      <c r="J146">
        <v>5</v>
      </c>
      <c r="K146">
        <v>2</v>
      </c>
      <c r="L146">
        <v>1</v>
      </c>
      <c r="M146">
        <v>0.1</v>
      </c>
      <c r="N146">
        <v>21318</v>
      </c>
      <c r="O146">
        <v>1.5</v>
      </c>
      <c r="P146">
        <f t="shared" si="31"/>
        <v>279</v>
      </c>
      <c r="Q146">
        <v>12</v>
      </c>
      <c r="R146">
        <f t="shared" si="32"/>
        <v>21315.6</v>
      </c>
      <c r="S146">
        <f t="shared" si="33"/>
        <v>7812</v>
      </c>
      <c r="T146">
        <f t="shared" si="34"/>
        <v>279</v>
      </c>
      <c r="U146">
        <v>0</v>
      </c>
      <c r="V146">
        <f t="shared" si="35"/>
        <v>756.8</v>
      </c>
      <c r="W146" s="6">
        <f t="shared" si="36"/>
        <v>28.1654334038055</v>
      </c>
      <c r="X146">
        <v>1800</v>
      </c>
      <c r="AD146">
        <f t="shared" si="37"/>
        <v>558</v>
      </c>
      <c r="AF146">
        <f t="shared" si="38"/>
        <v>13.8</v>
      </c>
      <c r="AG146" t="e">
        <f ca="1" t="shared" si="39"/>
        <v>#N/A</v>
      </c>
      <c r="AH146">
        <f t="shared" si="40"/>
        <v>16.1</v>
      </c>
      <c r="AI146" t="e">
        <f ca="1" t="shared" si="41"/>
        <v>#N/A</v>
      </c>
    </row>
    <row r="147" spans="2:35">
      <c r="B147">
        <f t="shared" si="42"/>
        <v>2</v>
      </c>
      <c r="C147">
        <v>141</v>
      </c>
      <c r="D147">
        <v>176</v>
      </c>
      <c r="E147">
        <f t="shared" si="30"/>
        <v>106</v>
      </c>
      <c r="F147">
        <v>280</v>
      </c>
      <c r="G147">
        <v>40</v>
      </c>
      <c r="H147">
        <v>8</v>
      </c>
      <c r="I147">
        <v>0.5</v>
      </c>
      <c r="J147">
        <v>5</v>
      </c>
      <c r="K147">
        <v>2</v>
      </c>
      <c r="L147">
        <v>1</v>
      </c>
      <c r="M147">
        <v>0.1</v>
      </c>
      <c r="N147">
        <v>21318</v>
      </c>
      <c r="O147">
        <v>1.5</v>
      </c>
      <c r="P147">
        <f t="shared" si="31"/>
        <v>280</v>
      </c>
      <c r="Q147">
        <v>12</v>
      </c>
      <c r="R147">
        <f t="shared" si="32"/>
        <v>21392</v>
      </c>
      <c r="S147">
        <f t="shared" si="33"/>
        <v>7840</v>
      </c>
      <c r="T147">
        <f t="shared" si="34"/>
        <v>280</v>
      </c>
      <c r="U147">
        <v>0</v>
      </c>
      <c r="V147">
        <f t="shared" si="35"/>
        <v>756.8</v>
      </c>
      <c r="W147" s="6">
        <f t="shared" si="36"/>
        <v>28.2663847780127</v>
      </c>
      <c r="X147">
        <v>1800</v>
      </c>
      <c r="AD147">
        <f t="shared" si="37"/>
        <v>560</v>
      </c>
      <c r="AF147">
        <f t="shared" si="38"/>
        <v>13.8</v>
      </c>
      <c r="AG147" t="e">
        <f ca="1" t="shared" si="39"/>
        <v>#N/A</v>
      </c>
      <c r="AH147">
        <f t="shared" si="40"/>
        <v>16.1</v>
      </c>
      <c r="AI147" t="e">
        <f ca="1" t="shared" si="41"/>
        <v>#N/A</v>
      </c>
    </row>
    <row r="148" spans="2:35">
      <c r="B148">
        <f t="shared" si="42"/>
        <v>2.00714285714286</v>
      </c>
      <c r="C148">
        <v>142</v>
      </c>
      <c r="D148">
        <v>179</v>
      </c>
      <c r="E148">
        <f t="shared" si="30"/>
        <v>108</v>
      </c>
      <c r="F148">
        <v>281</v>
      </c>
      <c r="G148">
        <v>40</v>
      </c>
      <c r="H148">
        <v>8</v>
      </c>
      <c r="I148">
        <v>0.5</v>
      </c>
      <c r="J148">
        <v>5</v>
      </c>
      <c r="K148">
        <v>2</v>
      </c>
      <c r="L148">
        <v>1</v>
      </c>
      <c r="M148">
        <v>0.1</v>
      </c>
      <c r="N148">
        <v>21318</v>
      </c>
      <c r="O148">
        <v>1.5</v>
      </c>
      <c r="P148">
        <f t="shared" si="31"/>
        <v>281</v>
      </c>
      <c r="Q148">
        <v>12</v>
      </c>
      <c r="R148">
        <f t="shared" si="32"/>
        <v>21468.4</v>
      </c>
      <c r="S148">
        <f t="shared" si="33"/>
        <v>7868</v>
      </c>
      <c r="T148">
        <f t="shared" si="34"/>
        <v>281</v>
      </c>
      <c r="U148">
        <v>0</v>
      </c>
      <c r="V148">
        <f t="shared" si="35"/>
        <v>756.8</v>
      </c>
      <c r="W148" s="6">
        <f t="shared" si="36"/>
        <v>28.3673361522199</v>
      </c>
      <c r="X148">
        <v>1800</v>
      </c>
      <c r="AD148">
        <f t="shared" si="37"/>
        <v>562</v>
      </c>
      <c r="AF148">
        <f t="shared" si="38"/>
        <v>13.8</v>
      </c>
      <c r="AG148" t="e">
        <f ca="1" t="shared" si="39"/>
        <v>#N/A</v>
      </c>
      <c r="AH148">
        <f t="shared" si="40"/>
        <v>16.1</v>
      </c>
      <c r="AI148" t="e">
        <f ca="1" t="shared" si="41"/>
        <v>#N/A</v>
      </c>
    </row>
    <row r="149" spans="2:35">
      <c r="B149">
        <f t="shared" si="42"/>
        <v>2.01428571428571</v>
      </c>
      <c r="C149">
        <v>143</v>
      </c>
      <c r="D149">
        <v>182</v>
      </c>
      <c r="E149">
        <f t="shared" si="30"/>
        <v>110</v>
      </c>
      <c r="F149">
        <v>282</v>
      </c>
      <c r="G149">
        <v>40</v>
      </c>
      <c r="H149">
        <v>8</v>
      </c>
      <c r="I149">
        <v>0.5</v>
      </c>
      <c r="J149">
        <v>5</v>
      </c>
      <c r="K149">
        <v>2</v>
      </c>
      <c r="L149">
        <v>1</v>
      </c>
      <c r="M149">
        <v>0.1</v>
      </c>
      <c r="N149">
        <v>21318</v>
      </c>
      <c r="O149">
        <v>1.5</v>
      </c>
      <c r="P149">
        <f t="shared" si="31"/>
        <v>282</v>
      </c>
      <c r="Q149">
        <v>12</v>
      </c>
      <c r="R149">
        <f t="shared" si="32"/>
        <v>21544.8</v>
      </c>
      <c r="S149">
        <f t="shared" si="33"/>
        <v>7896</v>
      </c>
      <c r="T149">
        <f t="shared" si="34"/>
        <v>282</v>
      </c>
      <c r="U149">
        <v>0</v>
      </c>
      <c r="V149">
        <f t="shared" si="35"/>
        <v>756.8</v>
      </c>
      <c r="W149" s="6">
        <f t="shared" si="36"/>
        <v>28.4682875264271</v>
      </c>
      <c r="X149">
        <v>1800</v>
      </c>
      <c r="AD149">
        <f t="shared" si="37"/>
        <v>564</v>
      </c>
      <c r="AF149">
        <f t="shared" si="38"/>
        <v>13.8</v>
      </c>
      <c r="AG149" t="e">
        <f ca="1" t="shared" si="39"/>
        <v>#N/A</v>
      </c>
      <c r="AH149">
        <f t="shared" si="40"/>
        <v>16.1</v>
      </c>
      <c r="AI149" t="e">
        <f ca="1" t="shared" si="41"/>
        <v>#N/A</v>
      </c>
    </row>
    <row r="150" spans="2:35">
      <c r="B150">
        <f t="shared" si="42"/>
        <v>2.02142857142857</v>
      </c>
      <c r="C150">
        <v>144</v>
      </c>
      <c r="D150">
        <v>185</v>
      </c>
      <c r="E150">
        <f t="shared" si="30"/>
        <v>112</v>
      </c>
      <c r="F150">
        <v>283</v>
      </c>
      <c r="G150">
        <v>40</v>
      </c>
      <c r="H150">
        <v>8</v>
      </c>
      <c r="I150">
        <v>0.5</v>
      </c>
      <c r="J150">
        <v>5</v>
      </c>
      <c r="K150">
        <v>2</v>
      </c>
      <c r="L150">
        <v>1</v>
      </c>
      <c r="M150">
        <v>0.1</v>
      </c>
      <c r="N150">
        <v>21318</v>
      </c>
      <c r="O150">
        <v>1.5</v>
      </c>
      <c r="P150">
        <f t="shared" si="31"/>
        <v>283</v>
      </c>
      <c r="Q150">
        <v>12</v>
      </c>
      <c r="R150">
        <f t="shared" si="32"/>
        <v>21621.2</v>
      </c>
      <c r="S150">
        <f t="shared" si="33"/>
        <v>7924</v>
      </c>
      <c r="T150">
        <f t="shared" si="34"/>
        <v>283</v>
      </c>
      <c r="U150">
        <v>0</v>
      </c>
      <c r="V150">
        <f t="shared" si="35"/>
        <v>756.8</v>
      </c>
      <c r="W150" s="6">
        <f t="shared" si="36"/>
        <v>28.5692389006343</v>
      </c>
      <c r="X150">
        <v>1800</v>
      </c>
      <c r="AD150">
        <f t="shared" si="37"/>
        <v>566</v>
      </c>
      <c r="AF150">
        <f t="shared" si="38"/>
        <v>13.8</v>
      </c>
      <c r="AG150" t="e">
        <f ca="1" t="shared" si="39"/>
        <v>#N/A</v>
      </c>
      <c r="AH150">
        <f t="shared" si="40"/>
        <v>16.1</v>
      </c>
      <c r="AI150" t="e">
        <f ca="1" t="shared" si="41"/>
        <v>#N/A</v>
      </c>
    </row>
    <row r="151" spans="2:35">
      <c r="B151">
        <f t="shared" si="42"/>
        <v>2.02857142857143</v>
      </c>
      <c r="C151">
        <v>145</v>
      </c>
      <c r="D151">
        <v>188</v>
      </c>
      <c r="E151">
        <f t="shared" si="30"/>
        <v>114</v>
      </c>
      <c r="F151">
        <v>284</v>
      </c>
      <c r="G151">
        <v>40</v>
      </c>
      <c r="H151">
        <v>8</v>
      </c>
      <c r="I151">
        <v>0.5</v>
      </c>
      <c r="J151">
        <v>5</v>
      </c>
      <c r="K151">
        <v>2</v>
      </c>
      <c r="L151">
        <v>1</v>
      </c>
      <c r="M151">
        <v>0.1</v>
      </c>
      <c r="N151">
        <v>21318</v>
      </c>
      <c r="O151">
        <v>1.5</v>
      </c>
      <c r="P151">
        <f t="shared" si="31"/>
        <v>284</v>
      </c>
      <c r="Q151">
        <v>12</v>
      </c>
      <c r="R151">
        <f t="shared" si="32"/>
        <v>21697.6</v>
      </c>
      <c r="S151">
        <f t="shared" si="33"/>
        <v>7952</v>
      </c>
      <c r="T151">
        <f t="shared" si="34"/>
        <v>284</v>
      </c>
      <c r="U151">
        <v>0</v>
      </c>
      <c r="V151">
        <f t="shared" si="35"/>
        <v>756.8</v>
      </c>
      <c r="W151" s="6">
        <f t="shared" si="36"/>
        <v>28.6701902748414</v>
      </c>
      <c r="X151">
        <v>1800</v>
      </c>
      <c r="AD151">
        <f t="shared" si="37"/>
        <v>568</v>
      </c>
      <c r="AF151">
        <f t="shared" si="38"/>
        <v>13.8</v>
      </c>
      <c r="AG151" t="e">
        <f ca="1" t="shared" si="39"/>
        <v>#N/A</v>
      </c>
      <c r="AH151">
        <f t="shared" si="40"/>
        <v>16.1</v>
      </c>
      <c r="AI151" t="e">
        <f ca="1" t="shared" si="41"/>
        <v>#N/A</v>
      </c>
    </row>
    <row r="152" spans="2:35">
      <c r="B152">
        <f t="shared" si="42"/>
        <v>2.03571428571429</v>
      </c>
      <c r="C152">
        <v>146</v>
      </c>
      <c r="D152">
        <v>191</v>
      </c>
      <c r="E152">
        <f t="shared" si="30"/>
        <v>116</v>
      </c>
      <c r="F152">
        <v>285</v>
      </c>
      <c r="G152">
        <v>40</v>
      </c>
      <c r="H152">
        <v>8</v>
      </c>
      <c r="I152">
        <v>0.5</v>
      </c>
      <c r="J152">
        <v>5</v>
      </c>
      <c r="K152">
        <v>2</v>
      </c>
      <c r="L152">
        <v>1</v>
      </c>
      <c r="M152">
        <v>0.1</v>
      </c>
      <c r="N152">
        <v>21318</v>
      </c>
      <c r="O152">
        <v>1.5</v>
      </c>
      <c r="P152">
        <f t="shared" si="31"/>
        <v>285</v>
      </c>
      <c r="Q152">
        <v>12</v>
      </c>
      <c r="R152">
        <f t="shared" si="32"/>
        <v>21774</v>
      </c>
      <c r="S152">
        <f t="shared" si="33"/>
        <v>7980</v>
      </c>
      <c r="T152">
        <f t="shared" si="34"/>
        <v>285</v>
      </c>
      <c r="U152">
        <v>0</v>
      </c>
      <c r="V152">
        <f t="shared" si="35"/>
        <v>756.8</v>
      </c>
      <c r="W152" s="6">
        <f t="shared" si="36"/>
        <v>28.7711416490486</v>
      </c>
      <c r="X152">
        <v>1800</v>
      </c>
      <c r="AD152">
        <f t="shared" si="37"/>
        <v>570</v>
      </c>
      <c r="AF152">
        <f t="shared" si="38"/>
        <v>13.8</v>
      </c>
      <c r="AG152" t="e">
        <f ca="1" t="shared" si="39"/>
        <v>#N/A</v>
      </c>
      <c r="AH152">
        <f t="shared" si="40"/>
        <v>16.1</v>
      </c>
      <c r="AI152" t="e">
        <f ca="1" t="shared" si="41"/>
        <v>#N/A</v>
      </c>
    </row>
    <row r="153" spans="2:35">
      <c r="B153">
        <f t="shared" si="42"/>
        <v>2.04285714285714</v>
      </c>
      <c r="C153">
        <v>147</v>
      </c>
      <c r="D153">
        <v>194</v>
      </c>
      <c r="E153">
        <f t="shared" si="30"/>
        <v>118</v>
      </c>
      <c r="F153">
        <v>286</v>
      </c>
      <c r="G153">
        <v>40</v>
      </c>
      <c r="H153">
        <v>8</v>
      </c>
      <c r="I153">
        <v>0.5</v>
      </c>
      <c r="J153">
        <v>5</v>
      </c>
      <c r="K153">
        <v>2</v>
      </c>
      <c r="L153">
        <v>1</v>
      </c>
      <c r="M153">
        <v>0.1</v>
      </c>
      <c r="N153">
        <v>21318</v>
      </c>
      <c r="O153">
        <v>1.5</v>
      </c>
      <c r="P153">
        <f t="shared" si="31"/>
        <v>286</v>
      </c>
      <c r="Q153">
        <v>12</v>
      </c>
      <c r="R153">
        <f t="shared" si="32"/>
        <v>21850.4</v>
      </c>
      <c r="S153">
        <f t="shared" si="33"/>
        <v>8008</v>
      </c>
      <c r="T153">
        <f t="shared" si="34"/>
        <v>286</v>
      </c>
      <c r="U153">
        <v>0</v>
      </c>
      <c r="V153">
        <f t="shared" si="35"/>
        <v>756.8</v>
      </c>
      <c r="W153" s="6">
        <f t="shared" si="36"/>
        <v>28.8720930232558</v>
      </c>
      <c r="X153">
        <v>1800</v>
      </c>
      <c r="AD153">
        <f t="shared" si="37"/>
        <v>572</v>
      </c>
      <c r="AF153">
        <f t="shared" si="38"/>
        <v>13.8</v>
      </c>
      <c r="AG153" t="e">
        <f ca="1" t="shared" si="39"/>
        <v>#N/A</v>
      </c>
      <c r="AH153">
        <f t="shared" si="40"/>
        <v>16.1</v>
      </c>
      <c r="AI153" t="e">
        <f ca="1" t="shared" si="41"/>
        <v>#N/A</v>
      </c>
    </row>
    <row r="154" spans="2:35">
      <c r="B154">
        <f t="shared" si="42"/>
        <v>2.05</v>
      </c>
      <c r="C154">
        <v>148</v>
      </c>
      <c r="D154">
        <v>197</v>
      </c>
      <c r="E154">
        <f t="shared" si="30"/>
        <v>120</v>
      </c>
      <c r="F154">
        <v>287</v>
      </c>
      <c r="G154">
        <v>40</v>
      </c>
      <c r="H154">
        <v>8</v>
      </c>
      <c r="I154">
        <v>0.5</v>
      </c>
      <c r="J154">
        <v>5</v>
      </c>
      <c r="K154">
        <v>2</v>
      </c>
      <c r="L154">
        <v>1</v>
      </c>
      <c r="M154">
        <v>0.1</v>
      </c>
      <c r="N154">
        <v>21318</v>
      </c>
      <c r="O154">
        <v>1.5</v>
      </c>
      <c r="P154">
        <f t="shared" si="31"/>
        <v>287</v>
      </c>
      <c r="Q154">
        <v>12</v>
      </c>
      <c r="R154">
        <f t="shared" si="32"/>
        <v>21926.8</v>
      </c>
      <c r="S154">
        <f t="shared" si="33"/>
        <v>8036</v>
      </c>
      <c r="T154">
        <f t="shared" si="34"/>
        <v>287</v>
      </c>
      <c r="U154">
        <v>0</v>
      </c>
      <c r="V154">
        <f t="shared" si="35"/>
        <v>756.8</v>
      </c>
      <c r="W154" s="6">
        <f t="shared" si="36"/>
        <v>28.973044397463</v>
      </c>
      <c r="X154">
        <v>1800</v>
      </c>
      <c r="AD154">
        <f t="shared" si="37"/>
        <v>574</v>
      </c>
      <c r="AF154">
        <f t="shared" si="38"/>
        <v>13.8</v>
      </c>
      <c r="AG154" t="e">
        <f ca="1" t="shared" si="39"/>
        <v>#N/A</v>
      </c>
      <c r="AH154">
        <f t="shared" si="40"/>
        <v>16.1</v>
      </c>
      <c r="AI154" t="e">
        <f ca="1" t="shared" si="41"/>
        <v>#N/A</v>
      </c>
    </row>
    <row r="155" spans="2:35">
      <c r="B155">
        <f t="shared" si="42"/>
        <v>2.05714285714286</v>
      </c>
      <c r="C155">
        <v>149</v>
      </c>
      <c r="D155">
        <v>200</v>
      </c>
      <c r="E155">
        <f t="shared" si="30"/>
        <v>122</v>
      </c>
      <c r="F155">
        <v>288</v>
      </c>
      <c r="G155">
        <v>40</v>
      </c>
      <c r="H155">
        <v>8</v>
      </c>
      <c r="I155">
        <v>0.5</v>
      </c>
      <c r="J155">
        <v>5</v>
      </c>
      <c r="K155">
        <v>2</v>
      </c>
      <c r="L155">
        <v>1</v>
      </c>
      <c r="M155">
        <v>0.1</v>
      </c>
      <c r="N155">
        <v>21318</v>
      </c>
      <c r="O155">
        <v>1.5</v>
      </c>
      <c r="P155">
        <f t="shared" si="31"/>
        <v>288</v>
      </c>
      <c r="Q155">
        <v>12</v>
      </c>
      <c r="R155">
        <f t="shared" si="32"/>
        <v>22003.2</v>
      </c>
      <c r="S155">
        <f t="shared" si="33"/>
        <v>8064</v>
      </c>
      <c r="T155">
        <f t="shared" si="34"/>
        <v>288</v>
      </c>
      <c r="U155">
        <v>0</v>
      </c>
      <c r="V155">
        <f t="shared" si="35"/>
        <v>756.8</v>
      </c>
      <c r="W155" s="6">
        <f t="shared" si="36"/>
        <v>29.0739957716702</v>
      </c>
      <c r="X155">
        <v>1800</v>
      </c>
      <c r="AD155">
        <f t="shared" si="37"/>
        <v>576</v>
      </c>
      <c r="AF155">
        <f t="shared" si="38"/>
        <v>13.8</v>
      </c>
      <c r="AG155" t="e">
        <f ca="1" t="shared" si="39"/>
        <v>#N/A</v>
      </c>
      <c r="AH155">
        <f t="shared" si="40"/>
        <v>16.1</v>
      </c>
      <c r="AI155" t="e">
        <f ca="1" t="shared" si="41"/>
        <v>#N/A</v>
      </c>
    </row>
    <row r="156" spans="2:35">
      <c r="B156">
        <f t="shared" si="42"/>
        <v>2.06428571428571</v>
      </c>
      <c r="C156">
        <v>150</v>
      </c>
      <c r="D156">
        <v>203</v>
      </c>
      <c r="E156">
        <f t="shared" si="30"/>
        <v>124</v>
      </c>
      <c r="F156">
        <v>289</v>
      </c>
      <c r="G156">
        <v>40</v>
      </c>
      <c r="H156">
        <v>8</v>
      </c>
      <c r="I156">
        <v>0.5</v>
      </c>
      <c r="J156">
        <v>5</v>
      </c>
      <c r="K156">
        <v>2</v>
      </c>
      <c r="L156">
        <v>1</v>
      </c>
      <c r="M156">
        <v>0.1</v>
      </c>
      <c r="N156">
        <v>21318</v>
      </c>
      <c r="O156">
        <v>1.5</v>
      </c>
      <c r="P156">
        <f t="shared" si="31"/>
        <v>289</v>
      </c>
      <c r="Q156">
        <v>12</v>
      </c>
      <c r="R156">
        <f t="shared" si="32"/>
        <v>22079.6</v>
      </c>
      <c r="S156">
        <f t="shared" si="33"/>
        <v>8092</v>
      </c>
      <c r="T156">
        <f t="shared" si="34"/>
        <v>289</v>
      </c>
      <c r="U156">
        <v>0</v>
      </c>
      <c r="V156">
        <f t="shared" si="35"/>
        <v>756.8</v>
      </c>
      <c r="W156" s="6">
        <f t="shared" si="36"/>
        <v>29.1749471458774</v>
      </c>
      <c r="X156">
        <v>1800</v>
      </c>
      <c r="AD156">
        <f t="shared" si="37"/>
        <v>578</v>
      </c>
      <c r="AF156">
        <f t="shared" si="38"/>
        <v>13.8</v>
      </c>
      <c r="AG156" t="e">
        <f ca="1" t="shared" si="39"/>
        <v>#N/A</v>
      </c>
      <c r="AH156">
        <f t="shared" si="40"/>
        <v>16.1</v>
      </c>
      <c r="AI156" t="e">
        <f ca="1" t="shared" si="41"/>
        <v>#N/A</v>
      </c>
    </row>
    <row r="157" spans="2:35">
      <c r="B157">
        <f t="shared" si="42"/>
        <v>2.07142857142857</v>
      </c>
      <c r="C157">
        <v>151</v>
      </c>
      <c r="D157">
        <v>206</v>
      </c>
      <c r="E157">
        <f t="shared" si="30"/>
        <v>126</v>
      </c>
      <c r="F157">
        <v>290</v>
      </c>
      <c r="G157">
        <v>40</v>
      </c>
      <c r="H157">
        <v>8</v>
      </c>
      <c r="I157">
        <v>0.5</v>
      </c>
      <c r="J157">
        <v>5</v>
      </c>
      <c r="K157">
        <v>2</v>
      </c>
      <c r="L157">
        <v>1</v>
      </c>
      <c r="M157">
        <v>0.1</v>
      </c>
      <c r="N157">
        <v>21318</v>
      </c>
      <c r="O157">
        <v>1.5</v>
      </c>
      <c r="P157">
        <f t="shared" si="31"/>
        <v>290</v>
      </c>
      <c r="Q157">
        <v>12</v>
      </c>
      <c r="R157">
        <f t="shared" si="32"/>
        <v>22156</v>
      </c>
      <c r="S157">
        <f t="shared" si="33"/>
        <v>8120</v>
      </c>
      <c r="T157">
        <f t="shared" si="34"/>
        <v>290</v>
      </c>
      <c r="U157">
        <v>0</v>
      </c>
      <c r="V157">
        <f t="shared" si="35"/>
        <v>756.8</v>
      </c>
      <c r="W157" s="6">
        <f t="shared" si="36"/>
        <v>29.2758985200846</v>
      </c>
      <c r="X157">
        <v>1800</v>
      </c>
      <c r="AD157">
        <f t="shared" si="37"/>
        <v>580</v>
      </c>
      <c r="AF157">
        <f t="shared" si="38"/>
        <v>13.8</v>
      </c>
      <c r="AG157" t="e">
        <f ca="1" t="shared" si="39"/>
        <v>#N/A</v>
      </c>
      <c r="AH157">
        <f t="shared" si="40"/>
        <v>16.1</v>
      </c>
      <c r="AI157" t="e">
        <f ca="1" t="shared" si="41"/>
        <v>#N/A</v>
      </c>
    </row>
    <row r="158" spans="2:35">
      <c r="B158">
        <f t="shared" si="42"/>
        <v>2.07857142857143</v>
      </c>
      <c r="C158">
        <v>152</v>
      </c>
      <c r="D158">
        <v>209</v>
      </c>
      <c r="E158">
        <f t="shared" si="30"/>
        <v>128</v>
      </c>
      <c r="F158">
        <v>291</v>
      </c>
      <c r="G158">
        <v>40</v>
      </c>
      <c r="H158">
        <v>8</v>
      </c>
      <c r="I158">
        <v>0.5</v>
      </c>
      <c r="J158">
        <v>5</v>
      </c>
      <c r="K158">
        <v>2</v>
      </c>
      <c r="L158">
        <v>1</v>
      </c>
      <c r="M158">
        <v>0.1</v>
      </c>
      <c r="N158">
        <v>21318</v>
      </c>
      <c r="O158">
        <v>1.5</v>
      </c>
      <c r="P158">
        <f t="shared" si="31"/>
        <v>291</v>
      </c>
      <c r="Q158">
        <v>12</v>
      </c>
      <c r="R158">
        <f t="shared" si="32"/>
        <v>22232.4</v>
      </c>
      <c r="S158">
        <f t="shared" si="33"/>
        <v>8148</v>
      </c>
      <c r="T158">
        <f t="shared" si="34"/>
        <v>291</v>
      </c>
      <c r="U158">
        <v>0</v>
      </c>
      <c r="V158">
        <f t="shared" si="35"/>
        <v>756.8</v>
      </c>
      <c r="W158" s="6">
        <f t="shared" si="36"/>
        <v>29.3768498942918</v>
      </c>
      <c r="X158">
        <v>1800</v>
      </c>
      <c r="AD158">
        <f t="shared" si="37"/>
        <v>582</v>
      </c>
      <c r="AF158">
        <f t="shared" si="38"/>
        <v>13.8</v>
      </c>
      <c r="AG158" t="e">
        <f ca="1" t="shared" si="39"/>
        <v>#N/A</v>
      </c>
      <c r="AH158">
        <f t="shared" si="40"/>
        <v>16.1</v>
      </c>
      <c r="AI158" t="e">
        <f ca="1" t="shared" si="41"/>
        <v>#N/A</v>
      </c>
    </row>
    <row r="159" spans="2:35">
      <c r="B159">
        <f t="shared" si="42"/>
        <v>2.08571428571429</v>
      </c>
      <c r="C159">
        <v>153</v>
      </c>
      <c r="D159">
        <v>212</v>
      </c>
      <c r="E159">
        <f t="shared" si="30"/>
        <v>130</v>
      </c>
      <c r="F159">
        <v>292</v>
      </c>
      <c r="G159">
        <v>40</v>
      </c>
      <c r="H159">
        <v>8</v>
      </c>
      <c r="I159">
        <v>0.5</v>
      </c>
      <c r="J159">
        <v>5</v>
      </c>
      <c r="K159">
        <v>2</v>
      </c>
      <c r="L159">
        <v>1</v>
      </c>
      <c r="M159">
        <v>0.1</v>
      </c>
      <c r="N159">
        <v>21318</v>
      </c>
      <c r="O159">
        <v>1.5</v>
      </c>
      <c r="P159">
        <f t="shared" si="31"/>
        <v>292</v>
      </c>
      <c r="Q159">
        <v>12</v>
      </c>
      <c r="R159">
        <f t="shared" si="32"/>
        <v>22308.8</v>
      </c>
      <c r="S159">
        <f t="shared" si="33"/>
        <v>8176</v>
      </c>
      <c r="T159">
        <f t="shared" si="34"/>
        <v>292</v>
      </c>
      <c r="U159">
        <v>0</v>
      </c>
      <c r="V159">
        <f t="shared" si="35"/>
        <v>756.8</v>
      </c>
      <c r="W159" s="6">
        <f t="shared" si="36"/>
        <v>29.4778012684989</v>
      </c>
      <c r="X159">
        <v>1800</v>
      </c>
      <c r="AD159">
        <f t="shared" si="37"/>
        <v>584</v>
      </c>
      <c r="AF159">
        <f t="shared" si="38"/>
        <v>13.8</v>
      </c>
      <c r="AG159" t="e">
        <f ca="1" t="shared" si="39"/>
        <v>#N/A</v>
      </c>
      <c r="AH159">
        <f t="shared" si="40"/>
        <v>16.1</v>
      </c>
      <c r="AI159" t="e">
        <f ca="1" t="shared" si="41"/>
        <v>#N/A</v>
      </c>
    </row>
    <row r="160" spans="2:35">
      <c r="B160">
        <f t="shared" si="42"/>
        <v>2.09285714285714</v>
      </c>
      <c r="C160">
        <v>154</v>
      </c>
      <c r="D160">
        <v>215</v>
      </c>
      <c r="E160">
        <f t="shared" si="30"/>
        <v>132</v>
      </c>
      <c r="F160">
        <v>293</v>
      </c>
      <c r="G160">
        <v>40</v>
      </c>
      <c r="H160">
        <v>8</v>
      </c>
      <c r="I160">
        <v>0.5</v>
      </c>
      <c r="J160">
        <v>5</v>
      </c>
      <c r="K160">
        <v>2</v>
      </c>
      <c r="L160">
        <v>1</v>
      </c>
      <c r="M160">
        <v>0.1</v>
      </c>
      <c r="N160">
        <v>21318</v>
      </c>
      <c r="O160">
        <v>1.5</v>
      </c>
      <c r="P160">
        <f t="shared" si="31"/>
        <v>293</v>
      </c>
      <c r="Q160">
        <v>12</v>
      </c>
      <c r="R160">
        <f t="shared" si="32"/>
        <v>22385.2</v>
      </c>
      <c r="S160">
        <f t="shared" si="33"/>
        <v>8204</v>
      </c>
      <c r="T160">
        <f t="shared" si="34"/>
        <v>293</v>
      </c>
      <c r="U160">
        <v>0</v>
      </c>
      <c r="V160">
        <f t="shared" si="35"/>
        <v>756.8</v>
      </c>
      <c r="W160" s="6">
        <f t="shared" si="36"/>
        <v>29.5787526427061</v>
      </c>
      <c r="X160">
        <v>1800</v>
      </c>
      <c r="AD160">
        <f t="shared" si="37"/>
        <v>586</v>
      </c>
      <c r="AF160">
        <f t="shared" si="38"/>
        <v>13.8</v>
      </c>
      <c r="AG160" t="e">
        <f ca="1" t="shared" si="39"/>
        <v>#N/A</v>
      </c>
      <c r="AH160">
        <f t="shared" si="40"/>
        <v>16.1</v>
      </c>
      <c r="AI160" t="e">
        <f ca="1" t="shared" si="41"/>
        <v>#N/A</v>
      </c>
    </row>
    <row r="161" spans="2:35">
      <c r="B161">
        <f t="shared" si="42"/>
        <v>2.1</v>
      </c>
      <c r="C161">
        <v>155</v>
      </c>
      <c r="D161">
        <v>218</v>
      </c>
      <c r="E161">
        <f t="shared" si="30"/>
        <v>134</v>
      </c>
      <c r="F161">
        <v>294</v>
      </c>
      <c r="G161">
        <v>40</v>
      </c>
      <c r="H161">
        <v>8</v>
      </c>
      <c r="I161">
        <v>0.5</v>
      </c>
      <c r="J161">
        <v>5</v>
      </c>
      <c r="K161">
        <v>2</v>
      </c>
      <c r="L161">
        <v>1</v>
      </c>
      <c r="M161">
        <v>0.1</v>
      </c>
      <c r="N161">
        <v>21318</v>
      </c>
      <c r="O161">
        <v>1.5</v>
      </c>
      <c r="P161">
        <f t="shared" si="31"/>
        <v>294</v>
      </c>
      <c r="Q161">
        <v>12</v>
      </c>
      <c r="R161">
        <f t="shared" si="32"/>
        <v>22461.6</v>
      </c>
      <c r="S161">
        <f t="shared" si="33"/>
        <v>8232</v>
      </c>
      <c r="T161">
        <f t="shared" si="34"/>
        <v>294</v>
      </c>
      <c r="U161">
        <v>0</v>
      </c>
      <c r="V161">
        <f t="shared" si="35"/>
        <v>756.8</v>
      </c>
      <c r="W161" s="6">
        <f t="shared" si="36"/>
        <v>29.6797040169133</v>
      </c>
      <c r="X161">
        <v>1800</v>
      </c>
      <c r="AD161">
        <f t="shared" si="37"/>
        <v>588</v>
      </c>
      <c r="AF161">
        <f t="shared" si="38"/>
        <v>13.8</v>
      </c>
      <c r="AG161" t="e">
        <f ca="1" t="shared" si="39"/>
        <v>#N/A</v>
      </c>
      <c r="AH161">
        <f t="shared" si="40"/>
        <v>16.1</v>
      </c>
      <c r="AI161" t="e">
        <f ca="1" t="shared" si="41"/>
        <v>#N/A</v>
      </c>
    </row>
    <row r="162" spans="2:35">
      <c r="B162">
        <f t="shared" si="42"/>
        <v>2.10714285714286</v>
      </c>
      <c r="C162">
        <v>156</v>
      </c>
      <c r="D162">
        <v>221</v>
      </c>
      <c r="E162">
        <f t="shared" si="30"/>
        <v>136</v>
      </c>
      <c r="F162">
        <v>295</v>
      </c>
      <c r="G162">
        <v>40</v>
      </c>
      <c r="H162">
        <v>8</v>
      </c>
      <c r="I162">
        <v>0.5</v>
      </c>
      <c r="J162">
        <v>5</v>
      </c>
      <c r="K162">
        <v>2</v>
      </c>
      <c r="L162">
        <v>1</v>
      </c>
      <c r="M162">
        <v>0.1</v>
      </c>
      <c r="N162">
        <v>21318</v>
      </c>
      <c r="O162">
        <v>1.5</v>
      </c>
      <c r="P162">
        <f t="shared" si="31"/>
        <v>295</v>
      </c>
      <c r="Q162">
        <v>12</v>
      </c>
      <c r="R162">
        <f t="shared" si="32"/>
        <v>22538</v>
      </c>
      <c r="S162">
        <f t="shared" si="33"/>
        <v>8260</v>
      </c>
      <c r="T162">
        <f t="shared" si="34"/>
        <v>295</v>
      </c>
      <c r="U162">
        <v>0</v>
      </c>
      <c r="V162">
        <f t="shared" si="35"/>
        <v>756.8</v>
      </c>
      <c r="W162" s="6">
        <f t="shared" si="36"/>
        <v>29.7806553911205</v>
      </c>
      <c r="X162">
        <v>1800</v>
      </c>
      <c r="AD162">
        <f t="shared" si="37"/>
        <v>590</v>
      </c>
      <c r="AF162">
        <f t="shared" si="38"/>
        <v>13.8</v>
      </c>
      <c r="AG162" t="e">
        <f ca="1" t="shared" si="39"/>
        <v>#N/A</v>
      </c>
      <c r="AH162">
        <f t="shared" si="40"/>
        <v>16.1</v>
      </c>
      <c r="AI162" t="e">
        <f ca="1" t="shared" si="41"/>
        <v>#N/A</v>
      </c>
    </row>
    <row r="163" spans="2:35">
      <c r="B163">
        <f t="shared" si="42"/>
        <v>2.11428571428571</v>
      </c>
      <c r="C163">
        <v>157</v>
      </c>
      <c r="D163">
        <v>224</v>
      </c>
      <c r="E163">
        <f t="shared" si="30"/>
        <v>138</v>
      </c>
      <c r="F163">
        <v>296</v>
      </c>
      <c r="G163">
        <v>40</v>
      </c>
      <c r="H163">
        <v>8</v>
      </c>
      <c r="I163">
        <v>0.5</v>
      </c>
      <c r="J163">
        <v>5</v>
      </c>
      <c r="K163">
        <v>2</v>
      </c>
      <c r="L163">
        <v>1</v>
      </c>
      <c r="M163">
        <v>0.1</v>
      </c>
      <c r="N163">
        <v>21318</v>
      </c>
      <c r="O163">
        <v>1.5</v>
      </c>
      <c r="P163">
        <f t="shared" si="31"/>
        <v>296</v>
      </c>
      <c r="Q163">
        <v>12</v>
      </c>
      <c r="R163">
        <f t="shared" si="32"/>
        <v>22614.4</v>
      </c>
      <c r="S163">
        <f t="shared" si="33"/>
        <v>8288</v>
      </c>
      <c r="T163">
        <f t="shared" si="34"/>
        <v>296</v>
      </c>
      <c r="U163">
        <v>0</v>
      </c>
      <c r="V163">
        <f t="shared" si="35"/>
        <v>756.8</v>
      </c>
      <c r="W163" s="6">
        <f t="shared" si="36"/>
        <v>29.8816067653277</v>
      </c>
      <c r="X163">
        <v>1800</v>
      </c>
      <c r="AD163">
        <f t="shared" si="37"/>
        <v>592</v>
      </c>
      <c r="AF163">
        <f t="shared" si="38"/>
        <v>13.8</v>
      </c>
      <c r="AG163" t="e">
        <f ca="1" t="shared" si="39"/>
        <v>#N/A</v>
      </c>
      <c r="AH163">
        <f t="shared" si="40"/>
        <v>16.1</v>
      </c>
      <c r="AI163" t="e">
        <f ca="1" t="shared" si="41"/>
        <v>#N/A</v>
      </c>
    </row>
    <row r="164" spans="2:35">
      <c r="B164">
        <f t="shared" si="42"/>
        <v>2.12142857142857</v>
      </c>
      <c r="C164">
        <v>158</v>
      </c>
      <c r="D164">
        <v>227</v>
      </c>
      <c r="E164">
        <f t="shared" si="30"/>
        <v>140</v>
      </c>
      <c r="F164">
        <v>297</v>
      </c>
      <c r="G164">
        <v>40</v>
      </c>
      <c r="H164">
        <v>8</v>
      </c>
      <c r="I164">
        <v>0.5</v>
      </c>
      <c r="J164">
        <v>5</v>
      </c>
      <c r="K164">
        <v>2</v>
      </c>
      <c r="L164">
        <v>1</v>
      </c>
      <c r="M164">
        <v>0.1</v>
      </c>
      <c r="N164">
        <v>21318</v>
      </c>
      <c r="O164">
        <v>1.5</v>
      </c>
      <c r="P164">
        <f t="shared" si="31"/>
        <v>297</v>
      </c>
      <c r="Q164">
        <v>12</v>
      </c>
      <c r="R164">
        <f t="shared" si="32"/>
        <v>22690.8</v>
      </c>
      <c r="S164">
        <f t="shared" si="33"/>
        <v>8316</v>
      </c>
      <c r="T164">
        <f t="shared" si="34"/>
        <v>297</v>
      </c>
      <c r="U164">
        <v>0</v>
      </c>
      <c r="V164">
        <f t="shared" si="35"/>
        <v>756.8</v>
      </c>
      <c r="W164" s="6">
        <f t="shared" si="36"/>
        <v>29.9825581395349</v>
      </c>
      <c r="X164">
        <v>1800</v>
      </c>
      <c r="AD164">
        <f t="shared" si="37"/>
        <v>594</v>
      </c>
      <c r="AF164">
        <f t="shared" si="38"/>
        <v>13.8</v>
      </c>
      <c r="AG164" t="e">
        <f ca="1" t="shared" si="39"/>
        <v>#N/A</v>
      </c>
      <c r="AH164">
        <f t="shared" si="40"/>
        <v>16.1</v>
      </c>
      <c r="AI164" t="e">
        <f ca="1" t="shared" si="41"/>
        <v>#N/A</v>
      </c>
    </row>
    <row r="165" spans="2:35">
      <c r="B165">
        <f t="shared" si="42"/>
        <v>2.12857142857143</v>
      </c>
      <c r="C165">
        <v>159</v>
      </c>
      <c r="D165">
        <v>230</v>
      </c>
      <c r="E165">
        <f t="shared" si="30"/>
        <v>142</v>
      </c>
      <c r="F165">
        <v>298</v>
      </c>
      <c r="G165">
        <v>40</v>
      </c>
      <c r="H165">
        <v>8</v>
      </c>
      <c r="I165">
        <v>0.5</v>
      </c>
      <c r="J165">
        <v>5</v>
      </c>
      <c r="K165">
        <v>2</v>
      </c>
      <c r="L165">
        <v>1</v>
      </c>
      <c r="M165">
        <v>0.1</v>
      </c>
      <c r="N165">
        <v>21318</v>
      </c>
      <c r="O165">
        <v>1.5</v>
      </c>
      <c r="P165">
        <f t="shared" si="31"/>
        <v>298</v>
      </c>
      <c r="Q165">
        <v>12</v>
      </c>
      <c r="R165">
        <f t="shared" si="32"/>
        <v>22767.2</v>
      </c>
      <c r="S165">
        <f t="shared" si="33"/>
        <v>8344</v>
      </c>
      <c r="T165">
        <f t="shared" si="34"/>
        <v>298</v>
      </c>
      <c r="U165">
        <v>0</v>
      </c>
      <c r="V165">
        <f t="shared" si="35"/>
        <v>756.8</v>
      </c>
      <c r="W165" s="6">
        <f t="shared" si="36"/>
        <v>30.0835095137421</v>
      </c>
      <c r="X165">
        <v>1800</v>
      </c>
      <c r="AD165">
        <f t="shared" si="37"/>
        <v>596</v>
      </c>
      <c r="AF165">
        <f t="shared" si="38"/>
        <v>13.8</v>
      </c>
      <c r="AG165" t="e">
        <f ca="1" t="shared" si="39"/>
        <v>#N/A</v>
      </c>
      <c r="AH165">
        <f t="shared" si="40"/>
        <v>16.1</v>
      </c>
      <c r="AI165" t="e">
        <f ca="1" t="shared" si="41"/>
        <v>#N/A</v>
      </c>
    </row>
    <row r="166" spans="2:35">
      <c r="B166">
        <f t="shared" si="42"/>
        <v>2.13571428571429</v>
      </c>
      <c r="C166">
        <v>160</v>
      </c>
      <c r="D166">
        <v>233</v>
      </c>
      <c r="E166">
        <f t="shared" si="30"/>
        <v>144</v>
      </c>
      <c r="F166">
        <v>299</v>
      </c>
      <c r="G166">
        <v>40</v>
      </c>
      <c r="H166">
        <v>8</v>
      </c>
      <c r="I166">
        <v>0.5</v>
      </c>
      <c r="J166">
        <v>5</v>
      </c>
      <c r="K166">
        <v>2</v>
      </c>
      <c r="L166">
        <v>1</v>
      </c>
      <c r="M166">
        <v>0.1</v>
      </c>
      <c r="N166">
        <v>21318</v>
      </c>
      <c r="O166">
        <v>1.5</v>
      </c>
      <c r="P166">
        <f t="shared" si="31"/>
        <v>299</v>
      </c>
      <c r="Q166">
        <v>12</v>
      </c>
      <c r="R166">
        <f t="shared" si="32"/>
        <v>22843.6</v>
      </c>
      <c r="S166">
        <f t="shared" si="33"/>
        <v>8372</v>
      </c>
      <c r="T166">
        <f t="shared" si="34"/>
        <v>299</v>
      </c>
      <c r="U166">
        <v>0</v>
      </c>
      <c r="V166">
        <f t="shared" si="35"/>
        <v>756.8</v>
      </c>
      <c r="W166" s="6">
        <f t="shared" si="36"/>
        <v>30.1844608879493</v>
      </c>
      <c r="X166">
        <v>1800</v>
      </c>
      <c r="AD166">
        <f t="shared" si="37"/>
        <v>598</v>
      </c>
      <c r="AF166">
        <f t="shared" si="38"/>
        <v>13.8</v>
      </c>
      <c r="AG166" t="e">
        <f ca="1" t="shared" si="39"/>
        <v>#N/A</v>
      </c>
      <c r="AH166">
        <f t="shared" si="40"/>
        <v>16.1</v>
      </c>
      <c r="AI166" t="e">
        <f ca="1" t="shared" si="41"/>
        <v>#N/A</v>
      </c>
    </row>
    <row r="167" spans="2:35">
      <c r="B167">
        <f t="shared" si="42"/>
        <v>2.14285714285714</v>
      </c>
      <c r="C167">
        <v>161</v>
      </c>
      <c r="D167">
        <v>236</v>
      </c>
      <c r="E167">
        <f t="shared" si="30"/>
        <v>146</v>
      </c>
      <c r="F167">
        <v>300</v>
      </c>
      <c r="G167">
        <v>40</v>
      </c>
      <c r="H167">
        <v>8</v>
      </c>
      <c r="I167">
        <v>0.5</v>
      </c>
      <c r="J167">
        <v>5</v>
      </c>
      <c r="K167">
        <v>2</v>
      </c>
      <c r="L167">
        <v>1</v>
      </c>
      <c r="M167">
        <v>0.1</v>
      </c>
      <c r="N167">
        <v>21318</v>
      </c>
      <c r="O167">
        <v>1.5</v>
      </c>
      <c r="P167">
        <f t="shared" si="31"/>
        <v>300</v>
      </c>
      <c r="Q167">
        <v>12</v>
      </c>
      <c r="R167">
        <f t="shared" si="32"/>
        <v>22920</v>
      </c>
      <c r="S167">
        <f t="shared" si="33"/>
        <v>8400</v>
      </c>
      <c r="T167">
        <f t="shared" si="34"/>
        <v>300</v>
      </c>
      <c r="U167">
        <v>0</v>
      </c>
      <c r="V167">
        <f t="shared" si="35"/>
        <v>756.8</v>
      </c>
      <c r="W167" s="6">
        <f t="shared" si="36"/>
        <v>30.2854122621564</v>
      </c>
      <c r="X167">
        <v>1800</v>
      </c>
      <c r="AD167">
        <f t="shared" si="37"/>
        <v>600</v>
      </c>
      <c r="AF167">
        <f t="shared" si="38"/>
        <v>13.8</v>
      </c>
      <c r="AG167" t="e">
        <f ca="1" t="shared" si="39"/>
        <v>#N/A</v>
      </c>
      <c r="AH167">
        <f t="shared" si="40"/>
        <v>16.1</v>
      </c>
      <c r="AI167" t="e">
        <f ca="1" t="shared" si="41"/>
        <v>#N/A</v>
      </c>
    </row>
    <row r="168" spans="2:35">
      <c r="B168">
        <f t="shared" si="42"/>
        <v>2.15</v>
      </c>
      <c r="C168">
        <v>162</v>
      </c>
      <c r="D168">
        <v>239</v>
      </c>
      <c r="E168">
        <f t="shared" si="30"/>
        <v>148</v>
      </c>
      <c r="F168">
        <v>301</v>
      </c>
      <c r="G168">
        <v>40</v>
      </c>
      <c r="H168">
        <v>8</v>
      </c>
      <c r="I168">
        <v>0.5</v>
      </c>
      <c r="J168">
        <v>5</v>
      </c>
      <c r="K168">
        <v>2</v>
      </c>
      <c r="L168">
        <v>1</v>
      </c>
      <c r="M168">
        <v>0.1</v>
      </c>
      <c r="N168">
        <v>21318</v>
      </c>
      <c r="O168">
        <v>1.5</v>
      </c>
      <c r="P168">
        <f t="shared" si="31"/>
        <v>301</v>
      </c>
      <c r="Q168">
        <v>12</v>
      </c>
      <c r="R168">
        <f t="shared" si="32"/>
        <v>22996.4</v>
      </c>
      <c r="S168">
        <f t="shared" si="33"/>
        <v>8428</v>
      </c>
      <c r="T168">
        <f t="shared" si="34"/>
        <v>301</v>
      </c>
      <c r="U168">
        <v>0</v>
      </c>
      <c r="V168">
        <f t="shared" si="35"/>
        <v>756.8</v>
      </c>
      <c r="W168" s="6">
        <f t="shared" si="36"/>
        <v>30.3863636363636</v>
      </c>
      <c r="X168">
        <v>1800</v>
      </c>
      <c r="AD168">
        <f t="shared" si="37"/>
        <v>602</v>
      </c>
      <c r="AF168">
        <f t="shared" si="38"/>
        <v>13.8</v>
      </c>
      <c r="AG168" t="e">
        <f ca="1" t="shared" si="39"/>
        <v>#N/A</v>
      </c>
      <c r="AH168">
        <f t="shared" si="40"/>
        <v>16.1</v>
      </c>
      <c r="AI168" t="e">
        <f ca="1" t="shared" si="41"/>
        <v>#N/A</v>
      </c>
    </row>
    <row r="169" spans="2:35">
      <c r="B169">
        <f t="shared" si="42"/>
        <v>2.15714285714286</v>
      </c>
      <c r="C169">
        <v>163</v>
      </c>
      <c r="D169">
        <v>242</v>
      </c>
      <c r="E169">
        <f t="shared" si="30"/>
        <v>150</v>
      </c>
      <c r="F169">
        <v>302</v>
      </c>
      <c r="G169">
        <v>40</v>
      </c>
      <c r="H169">
        <v>8</v>
      </c>
      <c r="I169">
        <v>0.5</v>
      </c>
      <c r="J169">
        <v>5</v>
      </c>
      <c r="K169">
        <v>2</v>
      </c>
      <c r="L169">
        <v>1</v>
      </c>
      <c r="M169">
        <v>0.1</v>
      </c>
      <c r="N169">
        <v>21318</v>
      </c>
      <c r="O169">
        <v>1.5</v>
      </c>
      <c r="P169">
        <f t="shared" si="31"/>
        <v>302</v>
      </c>
      <c r="Q169">
        <v>12</v>
      </c>
      <c r="R169">
        <f t="shared" si="32"/>
        <v>23072.8</v>
      </c>
      <c r="S169">
        <f t="shared" si="33"/>
        <v>8456</v>
      </c>
      <c r="T169">
        <f t="shared" si="34"/>
        <v>302</v>
      </c>
      <c r="U169">
        <v>0</v>
      </c>
      <c r="V169">
        <f t="shared" si="35"/>
        <v>756.8</v>
      </c>
      <c r="W169" s="6">
        <f t="shared" si="36"/>
        <v>30.4873150105708</v>
      </c>
      <c r="X169">
        <v>1800</v>
      </c>
      <c r="AD169">
        <f t="shared" si="37"/>
        <v>604</v>
      </c>
      <c r="AF169">
        <f t="shared" si="38"/>
        <v>13.8</v>
      </c>
      <c r="AG169" t="e">
        <f ca="1" t="shared" si="39"/>
        <v>#N/A</v>
      </c>
      <c r="AH169">
        <f t="shared" si="40"/>
        <v>16.1</v>
      </c>
      <c r="AI169" t="e">
        <f ca="1" t="shared" si="41"/>
        <v>#N/A</v>
      </c>
    </row>
    <row r="170" spans="2:35">
      <c r="B170">
        <f t="shared" si="42"/>
        <v>2.16428571428571</v>
      </c>
      <c r="C170">
        <v>164</v>
      </c>
      <c r="D170">
        <v>245</v>
      </c>
      <c r="E170">
        <f t="shared" si="30"/>
        <v>152</v>
      </c>
      <c r="F170">
        <v>303</v>
      </c>
      <c r="G170">
        <v>40</v>
      </c>
      <c r="H170">
        <v>8</v>
      </c>
      <c r="I170">
        <v>0.5</v>
      </c>
      <c r="J170">
        <v>5</v>
      </c>
      <c r="K170">
        <v>2</v>
      </c>
      <c r="L170">
        <v>1</v>
      </c>
      <c r="M170">
        <v>0.1</v>
      </c>
      <c r="N170">
        <v>21318</v>
      </c>
      <c r="O170">
        <v>1.5</v>
      </c>
      <c r="P170">
        <f t="shared" si="31"/>
        <v>303</v>
      </c>
      <c r="Q170">
        <v>12</v>
      </c>
      <c r="R170">
        <f t="shared" si="32"/>
        <v>23149.2</v>
      </c>
      <c r="S170">
        <f t="shared" si="33"/>
        <v>8484</v>
      </c>
      <c r="T170">
        <f t="shared" si="34"/>
        <v>303</v>
      </c>
      <c r="U170">
        <v>0</v>
      </c>
      <c r="V170">
        <f t="shared" si="35"/>
        <v>756.8</v>
      </c>
      <c r="W170" s="6">
        <f t="shared" si="36"/>
        <v>30.588266384778</v>
      </c>
      <c r="X170">
        <v>1800</v>
      </c>
      <c r="AD170">
        <f t="shared" si="37"/>
        <v>606</v>
      </c>
      <c r="AF170">
        <f t="shared" si="38"/>
        <v>13.8</v>
      </c>
      <c r="AG170" t="e">
        <f ca="1" t="shared" si="39"/>
        <v>#N/A</v>
      </c>
      <c r="AH170">
        <f t="shared" si="40"/>
        <v>16.1</v>
      </c>
      <c r="AI170" t="e">
        <f ca="1" t="shared" si="41"/>
        <v>#N/A</v>
      </c>
    </row>
    <row r="171" spans="2:35">
      <c r="B171">
        <f t="shared" si="42"/>
        <v>2.17142857142857</v>
      </c>
      <c r="C171">
        <v>165</v>
      </c>
      <c r="D171">
        <v>248</v>
      </c>
      <c r="E171">
        <f t="shared" si="30"/>
        <v>154</v>
      </c>
      <c r="F171">
        <v>304</v>
      </c>
      <c r="G171">
        <v>40</v>
      </c>
      <c r="H171">
        <v>8</v>
      </c>
      <c r="I171">
        <v>0.5</v>
      </c>
      <c r="J171">
        <v>5</v>
      </c>
      <c r="K171">
        <v>2</v>
      </c>
      <c r="L171">
        <v>1</v>
      </c>
      <c r="M171">
        <v>0.1</v>
      </c>
      <c r="N171">
        <v>21318</v>
      </c>
      <c r="O171">
        <v>1.5</v>
      </c>
      <c r="P171">
        <f t="shared" si="31"/>
        <v>304</v>
      </c>
      <c r="Q171">
        <v>12</v>
      </c>
      <c r="R171">
        <f t="shared" si="32"/>
        <v>23225.6</v>
      </c>
      <c r="S171">
        <f t="shared" si="33"/>
        <v>8512</v>
      </c>
      <c r="T171">
        <f t="shared" si="34"/>
        <v>304</v>
      </c>
      <c r="U171">
        <v>0</v>
      </c>
      <c r="V171">
        <f t="shared" si="35"/>
        <v>756.8</v>
      </c>
      <c r="W171" s="6">
        <f t="shared" si="36"/>
        <v>30.6892177589852</v>
      </c>
      <c r="X171">
        <v>1800</v>
      </c>
      <c r="AD171">
        <f t="shared" si="37"/>
        <v>608</v>
      </c>
      <c r="AF171">
        <f t="shared" si="38"/>
        <v>13.8</v>
      </c>
      <c r="AG171" t="e">
        <f ca="1" t="shared" si="39"/>
        <v>#N/A</v>
      </c>
      <c r="AH171">
        <f t="shared" si="40"/>
        <v>16.1</v>
      </c>
      <c r="AI171" t="e">
        <f ca="1" t="shared" si="41"/>
        <v>#N/A</v>
      </c>
    </row>
    <row r="172" spans="2:35">
      <c r="B172">
        <f t="shared" si="42"/>
        <v>2.17857142857143</v>
      </c>
      <c r="C172">
        <v>166</v>
      </c>
      <c r="D172">
        <v>251</v>
      </c>
      <c r="E172">
        <f t="shared" si="30"/>
        <v>156</v>
      </c>
      <c r="F172">
        <v>305</v>
      </c>
      <c r="G172">
        <v>40</v>
      </c>
      <c r="H172">
        <v>8</v>
      </c>
      <c r="I172">
        <v>0.5</v>
      </c>
      <c r="J172">
        <v>5</v>
      </c>
      <c r="K172">
        <v>2</v>
      </c>
      <c r="L172">
        <v>1</v>
      </c>
      <c r="M172">
        <v>0.1</v>
      </c>
      <c r="N172">
        <v>21318</v>
      </c>
      <c r="O172">
        <v>1.5</v>
      </c>
      <c r="P172">
        <f t="shared" si="31"/>
        <v>305</v>
      </c>
      <c r="Q172">
        <v>12</v>
      </c>
      <c r="R172">
        <f t="shared" si="32"/>
        <v>23302</v>
      </c>
      <c r="S172">
        <f t="shared" si="33"/>
        <v>8540</v>
      </c>
      <c r="T172">
        <f t="shared" si="34"/>
        <v>305</v>
      </c>
      <c r="U172">
        <v>0</v>
      </c>
      <c r="V172">
        <f t="shared" si="35"/>
        <v>756.8</v>
      </c>
      <c r="W172" s="6">
        <f t="shared" si="36"/>
        <v>30.7901691331924</v>
      </c>
      <c r="X172">
        <v>1800</v>
      </c>
      <c r="AD172">
        <f t="shared" si="37"/>
        <v>610</v>
      </c>
      <c r="AF172">
        <f t="shared" si="38"/>
        <v>13.8</v>
      </c>
      <c r="AG172" t="e">
        <f ca="1" t="shared" si="39"/>
        <v>#N/A</v>
      </c>
      <c r="AH172">
        <f t="shared" si="40"/>
        <v>16.1</v>
      </c>
      <c r="AI172" t="e">
        <f ca="1" t="shared" si="41"/>
        <v>#N/A</v>
      </c>
    </row>
    <row r="173" spans="2:35">
      <c r="B173">
        <f t="shared" si="42"/>
        <v>2.18571428571429</v>
      </c>
      <c r="C173">
        <v>167</v>
      </c>
      <c r="D173">
        <v>254</v>
      </c>
      <c r="E173">
        <f t="shared" si="30"/>
        <v>158</v>
      </c>
      <c r="F173">
        <v>306</v>
      </c>
      <c r="G173">
        <v>40</v>
      </c>
      <c r="H173">
        <v>8</v>
      </c>
      <c r="I173">
        <v>0.5</v>
      </c>
      <c r="J173">
        <v>5</v>
      </c>
      <c r="K173">
        <v>2</v>
      </c>
      <c r="L173">
        <v>1</v>
      </c>
      <c r="M173">
        <v>0.1</v>
      </c>
      <c r="N173">
        <v>21318</v>
      </c>
      <c r="O173">
        <v>1.5</v>
      </c>
      <c r="P173">
        <f t="shared" si="31"/>
        <v>306</v>
      </c>
      <c r="Q173">
        <v>12</v>
      </c>
      <c r="R173">
        <f t="shared" si="32"/>
        <v>23378.4</v>
      </c>
      <c r="S173">
        <f t="shared" si="33"/>
        <v>8568</v>
      </c>
      <c r="T173">
        <f t="shared" si="34"/>
        <v>306</v>
      </c>
      <c r="U173">
        <v>0</v>
      </c>
      <c r="V173">
        <f t="shared" si="35"/>
        <v>756.8</v>
      </c>
      <c r="W173" s="6">
        <f t="shared" si="36"/>
        <v>30.8911205073996</v>
      </c>
      <c r="X173">
        <v>1800</v>
      </c>
      <c r="AD173">
        <f t="shared" si="37"/>
        <v>612</v>
      </c>
      <c r="AF173">
        <f t="shared" si="38"/>
        <v>13.8</v>
      </c>
      <c r="AG173" t="e">
        <f ca="1" t="shared" si="39"/>
        <v>#N/A</v>
      </c>
      <c r="AH173">
        <f t="shared" si="40"/>
        <v>16.1</v>
      </c>
      <c r="AI173" t="e">
        <f ca="1" t="shared" si="41"/>
        <v>#N/A</v>
      </c>
    </row>
    <row r="174" spans="2:35">
      <c r="B174">
        <f t="shared" si="42"/>
        <v>2.19285714285714</v>
      </c>
      <c r="C174">
        <v>168</v>
      </c>
      <c r="D174">
        <v>257</v>
      </c>
      <c r="E174">
        <f t="shared" si="30"/>
        <v>160</v>
      </c>
      <c r="F174">
        <v>307</v>
      </c>
      <c r="G174">
        <v>40</v>
      </c>
      <c r="H174">
        <v>8</v>
      </c>
      <c r="I174">
        <v>0.5</v>
      </c>
      <c r="J174">
        <v>5</v>
      </c>
      <c r="K174">
        <v>2</v>
      </c>
      <c r="L174">
        <v>1</v>
      </c>
      <c r="M174">
        <v>0.1</v>
      </c>
      <c r="N174">
        <v>21318</v>
      </c>
      <c r="O174">
        <v>1.5</v>
      </c>
      <c r="P174">
        <f t="shared" si="31"/>
        <v>307</v>
      </c>
      <c r="Q174">
        <v>12</v>
      </c>
      <c r="R174">
        <f t="shared" si="32"/>
        <v>23454.8</v>
      </c>
      <c r="S174">
        <f t="shared" si="33"/>
        <v>8596</v>
      </c>
      <c r="T174">
        <f t="shared" si="34"/>
        <v>307</v>
      </c>
      <c r="U174">
        <v>0</v>
      </c>
      <c r="V174">
        <f t="shared" si="35"/>
        <v>756.8</v>
      </c>
      <c r="W174" s="6">
        <f t="shared" si="36"/>
        <v>30.9920718816068</v>
      </c>
      <c r="X174">
        <v>1800</v>
      </c>
      <c r="AD174">
        <f t="shared" si="37"/>
        <v>614</v>
      </c>
      <c r="AF174">
        <f t="shared" si="38"/>
        <v>13.8</v>
      </c>
      <c r="AG174" t="e">
        <f ca="1" t="shared" si="39"/>
        <v>#N/A</v>
      </c>
      <c r="AH174">
        <f t="shared" si="40"/>
        <v>16.1</v>
      </c>
      <c r="AI174" t="e">
        <f ca="1" t="shared" si="41"/>
        <v>#N/A</v>
      </c>
    </row>
    <row r="175" spans="2:35">
      <c r="B175">
        <f t="shared" si="42"/>
        <v>2.2</v>
      </c>
      <c r="C175">
        <v>169</v>
      </c>
      <c r="D175">
        <v>261</v>
      </c>
      <c r="E175">
        <f t="shared" si="30"/>
        <v>162</v>
      </c>
      <c r="F175">
        <v>308</v>
      </c>
      <c r="G175">
        <v>40</v>
      </c>
      <c r="H175">
        <v>8</v>
      </c>
      <c r="I175">
        <v>0.5</v>
      </c>
      <c r="J175">
        <v>5</v>
      </c>
      <c r="K175">
        <v>2</v>
      </c>
      <c r="L175">
        <v>1</v>
      </c>
      <c r="M175">
        <v>0.1</v>
      </c>
      <c r="N175">
        <v>21318</v>
      </c>
      <c r="O175">
        <v>1.5</v>
      </c>
      <c r="P175">
        <f t="shared" si="31"/>
        <v>308</v>
      </c>
      <c r="Q175">
        <v>12</v>
      </c>
      <c r="R175">
        <f t="shared" si="32"/>
        <v>23531.2</v>
      </c>
      <c r="S175">
        <f t="shared" si="33"/>
        <v>8624</v>
      </c>
      <c r="T175">
        <f t="shared" si="34"/>
        <v>308</v>
      </c>
      <c r="U175">
        <v>0</v>
      </c>
      <c r="V175">
        <f t="shared" si="35"/>
        <v>756.8</v>
      </c>
      <c r="W175" s="6">
        <f t="shared" si="36"/>
        <v>31.093023255814</v>
      </c>
      <c r="X175">
        <v>1800</v>
      </c>
      <c r="AD175">
        <f t="shared" si="37"/>
        <v>616</v>
      </c>
      <c r="AF175">
        <f t="shared" si="38"/>
        <v>13.8</v>
      </c>
      <c r="AG175" t="e">
        <f ca="1" t="shared" si="39"/>
        <v>#N/A</v>
      </c>
      <c r="AH175">
        <f t="shared" si="40"/>
        <v>16.1</v>
      </c>
      <c r="AI175" t="e">
        <f ca="1" t="shared" si="41"/>
        <v>#N/A</v>
      </c>
    </row>
    <row r="176" spans="2:35">
      <c r="B176">
        <f t="shared" si="42"/>
        <v>2.20714285714286</v>
      </c>
      <c r="C176">
        <v>170</v>
      </c>
      <c r="D176">
        <v>264</v>
      </c>
      <c r="E176">
        <f t="shared" si="30"/>
        <v>164</v>
      </c>
      <c r="F176">
        <v>309</v>
      </c>
      <c r="G176">
        <v>40</v>
      </c>
      <c r="H176">
        <v>8</v>
      </c>
      <c r="I176">
        <v>0.5</v>
      </c>
      <c r="J176">
        <v>5</v>
      </c>
      <c r="K176">
        <v>2</v>
      </c>
      <c r="L176">
        <v>1</v>
      </c>
      <c r="M176">
        <v>0.1</v>
      </c>
      <c r="N176">
        <v>21318</v>
      </c>
      <c r="O176">
        <v>1.5</v>
      </c>
      <c r="P176">
        <f t="shared" si="31"/>
        <v>309</v>
      </c>
      <c r="Q176">
        <v>12</v>
      </c>
      <c r="R176">
        <f t="shared" si="32"/>
        <v>23607.6</v>
      </c>
      <c r="S176">
        <f t="shared" si="33"/>
        <v>8652</v>
      </c>
      <c r="T176">
        <f t="shared" si="34"/>
        <v>309</v>
      </c>
      <c r="U176">
        <v>0</v>
      </c>
      <c r="V176">
        <f t="shared" si="35"/>
        <v>756.8</v>
      </c>
      <c r="W176" s="6">
        <f t="shared" si="36"/>
        <v>31.1939746300211</v>
      </c>
      <c r="X176">
        <v>1800</v>
      </c>
      <c r="AD176">
        <f t="shared" si="37"/>
        <v>618</v>
      </c>
      <c r="AF176">
        <f t="shared" si="38"/>
        <v>13.8</v>
      </c>
      <c r="AG176" t="e">
        <f ca="1" t="shared" si="39"/>
        <v>#N/A</v>
      </c>
      <c r="AH176">
        <f t="shared" si="40"/>
        <v>16.1</v>
      </c>
      <c r="AI176" t="e">
        <f ca="1" t="shared" si="41"/>
        <v>#N/A</v>
      </c>
    </row>
    <row r="177" spans="2:35">
      <c r="B177">
        <f t="shared" si="42"/>
        <v>2.21428571428571</v>
      </c>
      <c r="C177">
        <v>171</v>
      </c>
      <c r="D177">
        <v>267</v>
      </c>
      <c r="E177">
        <f t="shared" si="30"/>
        <v>166</v>
      </c>
      <c r="F177">
        <v>310</v>
      </c>
      <c r="G177">
        <v>40</v>
      </c>
      <c r="H177">
        <v>8</v>
      </c>
      <c r="I177">
        <v>0.5</v>
      </c>
      <c r="J177">
        <v>5</v>
      </c>
      <c r="K177">
        <v>2</v>
      </c>
      <c r="L177">
        <v>1</v>
      </c>
      <c r="M177">
        <v>0.1</v>
      </c>
      <c r="N177">
        <v>21318</v>
      </c>
      <c r="O177">
        <v>1.5</v>
      </c>
      <c r="P177">
        <f t="shared" si="31"/>
        <v>310</v>
      </c>
      <c r="Q177">
        <v>12</v>
      </c>
      <c r="R177">
        <f t="shared" si="32"/>
        <v>23684</v>
      </c>
      <c r="S177">
        <f t="shared" si="33"/>
        <v>8680</v>
      </c>
      <c r="T177">
        <f t="shared" si="34"/>
        <v>310</v>
      </c>
      <c r="U177">
        <v>0</v>
      </c>
      <c r="V177">
        <f t="shared" si="35"/>
        <v>756.8</v>
      </c>
      <c r="W177" s="6">
        <f t="shared" si="36"/>
        <v>31.2949260042283</v>
      </c>
      <c r="X177">
        <v>1800</v>
      </c>
      <c r="AD177">
        <f t="shared" si="37"/>
        <v>620</v>
      </c>
      <c r="AF177">
        <f t="shared" si="38"/>
        <v>13.8</v>
      </c>
      <c r="AG177" t="e">
        <f ca="1" t="shared" si="39"/>
        <v>#N/A</v>
      </c>
      <c r="AH177">
        <f t="shared" si="40"/>
        <v>16.1</v>
      </c>
      <c r="AI177" t="e">
        <f ca="1" t="shared" si="41"/>
        <v>#N/A</v>
      </c>
    </row>
    <row r="178" spans="2:35">
      <c r="B178">
        <f t="shared" si="42"/>
        <v>2.22142857142857</v>
      </c>
      <c r="C178">
        <v>172</v>
      </c>
      <c r="D178">
        <v>270</v>
      </c>
      <c r="E178">
        <f t="shared" si="30"/>
        <v>168</v>
      </c>
      <c r="F178">
        <v>311</v>
      </c>
      <c r="G178">
        <v>40</v>
      </c>
      <c r="H178">
        <v>8</v>
      </c>
      <c r="I178">
        <v>0.5</v>
      </c>
      <c r="J178">
        <v>5</v>
      </c>
      <c r="K178">
        <v>2</v>
      </c>
      <c r="L178">
        <v>1</v>
      </c>
      <c r="M178">
        <v>0.1</v>
      </c>
      <c r="N178">
        <v>21318</v>
      </c>
      <c r="O178">
        <v>1.5</v>
      </c>
      <c r="P178">
        <f t="shared" si="31"/>
        <v>311</v>
      </c>
      <c r="Q178">
        <v>12</v>
      </c>
      <c r="R178">
        <f t="shared" si="32"/>
        <v>23760.4</v>
      </c>
      <c r="S178">
        <f t="shared" si="33"/>
        <v>8708</v>
      </c>
      <c r="T178">
        <f t="shared" si="34"/>
        <v>311</v>
      </c>
      <c r="U178">
        <v>0</v>
      </c>
      <c r="V178">
        <f t="shared" si="35"/>
        <v>756.8</v>
      </c>
      <c r="W178" s="6">
        <f t="shared" si="36"/>
        <v>31.3958773784355</v>
      </c>
      <c r="X178">
        <v>1800</v>
      </c>
      <c r="AD178">
        <f t="shared" si="37"/>
        <v>622</v>
      </c>
      <c r="AF178">
        <f t="shared" si="38"/>
        <v>13.8</v>
      </c>
      <c r="AG178" t="e">
        <f ca="1" t="shared" si="39"/>
        <v>#N/A</v>
      </c>
      <c r="AH178">
        <f t="shared" si="40"/>
        <v>16.1</v>
      </c>
      <c r="AI178" t="e">
        <f ca="1" t="shared" si="41"/>
        <v>#N/A</v>
      </c>
    </row>
    <row r="179" spans="2:35">
      <c r="B179">
        <f t="shared" si="42"/>
        <v>2.22857142857143</v>
      </c>
      <c r="C179">
        <v>173</v>
      </c>
      <c r="D179">
        <v>273</v>
      </c>
      <c r="E179">
        <f t="shared" si="30"/>
        <v>170</v>
      </c>
      <c r="F179">
        <v>312</v>
      </c>
      <c r="G179">
        <v>40</v>
      </c>
      <c r="H179">
        <v>8</v>
      </c>
      <c r="I179">
        <v>0.5</v>
      </c>
      <c r="J179">
        <v>5</v>
      </c>
      <c r="K179">
        <v>2</v>
      </c>
      <c r="L179">
        <v>1</v>
      </c>
      <c r="M179">
        <v>0.1</v>
      </c>
      <c r="N179">
        <v>21318</v>
      </c>
      <c r="O179">
        <v>1.5</v>
      </c>
      <c r="P179">
        <f t="shared" si="31"/>
        <v>312</v>
      </c>
      <c r="Q179">
        <v>12</v>
      </c>
      <c r="R179">
        <f t="shared" si="32"/>
        <v>23836.8</v>
      </c>
      <c r="S179">
        <f t="shared" si="33"/>
        <v>8736</v>
      </c>
      <c r="T179">
        <f t="shared" si="34"/>
        <v>312</v>
      </c>
      <c r="U179">
        <v>0</v>
      </c>
      <c r="V179">
        <f t="shared" si="35"/>
        <v>756.8</v>
      </c>
      <c r="W179" s="6">
        <f t="shared" si="36"/>
        <v>31.4968287526427</v>
      </c>
      <c r="X179">
        <v>1800</v>
      </c>
      <c r="AD179">
        <f t="shared" si="37"/>
        <v>624</v>
      </c>
      <c r="AF179">
        <f t="shared" si="38"/>
        <v>13.8</v>
      </c>
      <c r="AG179" t="e">
        <f ca="1" t="shared" si="39"/>
        <v>#N/A</v>
      </c>
      <c r="AH179">
        <f t="shared" si="40"/>
        <v>16.1</v>
      </c>
      <c r="AI179" t="e">
        <f ca="1" t="shared" si="41"/>
        <v>#N/A</v>
      </c>
    </row>
    <row r="180" spans="2:35">
      <c r="B180">
        <f t="shared" si="42"/>
        <v>2.23571428571429</v>
      </c>
      <c r="C180">
        <v>174</v>
      </c>
      <c r="D180">
        <v>276</v>
      </c>
      <c r="E180">
        <f t="shared" si="30"/>
        <v>172</v>
      </c>
      <c r="F180">
        <v>313</v>
      </c>
      <c r="G180">
        <v>40</v>
      </c>
      <c r="H180">
        <v>8</v>
      </c>
      <c r="I180">
        <v>0.5</v>
      </c>
      <c r="J180">
        <v>5</v>
      </c>
      <c r="K180">
        <v>2</v>
      </c>
      <c r="L180">
        <v>1</v>
      </c>
      <c r="M180">
        <v>0.1</v>
      </c>
      <c r="N180">
        <v>21318</v>
      </c>
      <c r="O180">
        <v>1.5</v>
      </c>
      <c r="P180">
        <f t="shared" si="31"/>
        <v>313</v>
      </c>
      <c r="Q180">
        <v>12</v>
      </c>
      <c r="R180">
        <f t="shared" si="32"/>
        <v>23913.2</v>
      </c>
      <c r="S180">
        <f t="shared" si="33"/>
        <v>8764</v>
      </c>
      <c r="T180">
        <f t="shared" si="34"/>
        <v>313</v>
      </c>
      <c r="U180">
        <v>0</v>
      </c>
      <c r="V180">
        <f t="shared" si="35"/>
        <v>756.8</v>
      </c>
      <c r="W180" s="6">
        <f t="shared" si="36"/>
        <v>31.5977801268499</v>
      </c>
      <c r="X180">
        <v>1800</v>
      </c>
      <c r="AD180">
        <f t="shared" si="37"/>
        <v>626</v>
      </c>
      <c r="AF180">
        <f t="shared" si="38"/>
        <v>13.8</v>
      </c>
      <c r="AG180" t="e">
        <f ca="1" t="shared" si="39"/>
        <v>#N/A</v>
      </c>
      <c r="AH180">
        <f t="shared" si="40"/>
        <v>16.1</v>
      </c>
      <c r="AI180" t="e">
        <f ca="1" t="shared" si="41"/>
        <v>#N/A</v>
      </c>
    </row>
    <row r="181" spans="2:35">
      <c r="B181">
        <f t="shared" si="42"/>
        <v>2.24285714285714</v>
      </c>
      <c r="C181">
        <v>175</v>
      </c>
      <c r="D181">
        <v>279</v>
      </c>
      <c r="E181">
        <f t="shared" si="30"/>
        <v>174</v>
      </c>
      <c r="F181">
        <v>314</v>
      </c>
      <c r="G181">
        <v>40</v>
      </c>
      <c r="H181">
        <v>8</v>
      </c>
      <c r="I181">
        <v>0.5</v>
      </c>
      <c r="J181">
        <v>5</v>
      </c>
      <c r="K181">
        <v>2</v>
      </c>
      <c r="L181">
        <v>1</v>
      </c>
      <c r="M181">
        <v>0.1</v>
      </c>
      <c r="N181">
        <v>21318</v>
      </c>
      <c r="O181">
        <v>1.5</v>
      </c>
      <c r="P181">
        <f t="shared" si="31"/>
        <v>314</v>
      </c>
      <c r="Q181">
        <v>12</v>
      </c>
      <c r="R181">
        <f t="shared" si="32"/>
        <v>23989.6</v>
      </c>
      <c r="S181">
        <f t="shared" si="33"/>
        <v>8792</v>
      </c>
      <c r="T181">
        <f t="shared" si="34"/>
        <v>314</v>
      </c>
      <c r="U181">
        <v>0</v>
      </c>
      <c r="V181">
        <f t="shared" si="35"/>
        <v>756.8</v>
      </c>
      <c r="W181" s="6">
        <f t="shared" si="36"/>
        <v>31.6987315010571</v>
      </c>
      <c r="X181">
        <v>1800</v>
      </c>
      <c r="AD181">
        <f t="shared" si="37"/>
        <v>628</v>
      </c>
      <c r="AF181">
        <f t="shared" si="38"/>
        <v>13.8</v>
      </c>
      <c r="AG181" t="e">
        <f ca="1" t="shared" si="39"/>
        <v>#N/A</v>
      </c>
      <c r="AH181">
        <f t="shared" si="40"/>
        <v>16.1</v>
      </c>
      <c r="AI181" t="e">
        <f ca="1" t="shared" si="41"/>
        <v>#N/A</v>
      </c>
    </row>
    <row r="182" spans="2:35">
      <c r="B182">
        <f t="shared" si="42"/>
        <v>2.25</v>
      </c>
      <c r="C182">
        <v>176</v>
      </c>
      <c r="D182">
        <v>282</v>
      </c>
      <c r="E182">
        <f t="shared" si="30"/>
        <v>176</v>
      </c>
      <c r="F182">
        <v>315</v>
      </c>
      <c r="G182">
        <v>40</v>
      </c>
      <c r="H182">
        <v>8</v>
      </c>
      <c r="I182">
        <v>0.5</v>
      </c>
      <c r="J182">
        <v>5</v>
      </c>
      <c r="K182">
        <v>2</v>
      </c>
      <c r="L182">
        <v>1</v>
      </c>
      <c r="M182">
        <v>0.1</v>
      </c>
      <c r="N182">
        <v>21318</v>
      </c>
      <c r="O182">
        <v>1.5</v>
      </c>
      <c r="P182">
        <f t="shared" si="31"/>
        <v>315</v>
      </c>
      <c r="Q182">
        <v>12</v>
      </c>
      <c r="R182">
        <f t="shared" si="32"/>
        <v>24066</v>
      </c>
      <c r="S182">
        <f t="shared" si="33"/>
        <v>8820</v>
      </c>
      <c r="T182">
        <f t="shared" si="34"/>
        <v>315</v>
      </c>
      <c r="U182">
        <v>0</v>
      </c>
      <c r="V182">
        <f t="shared" si="35"/>
        <v>756.8</v>
      </c>
      <c r="W182" s="6">
        <f t="shared" si="36"/>
        <v>31.7996828752643</v>
      </c>
      <c r="X182">
        <v>1800</v>
      </c>
      <c r="AD182">
        <f t="shared" si="37"/>
        <v>630</v>
      </c>
      <c r="AF182">
        <f t="shared" si="38"/>
        <v>13.8</v>
      </c>
      <c r="AG182" t="e">
        <f ca="1" t="shared" si="39"/>
        <v>#N/A</v>
      </c>
      <c r="AH182">
        <f t="shared" si="40"/>
        <v>16.1</v>
      </c>
      <c r="AI182" t="e">
        <f ca="1" t="shared" si="41"/>
        <v>#N/A</v>
      </c>
    </row>
    <row r="183" spans="2:35">
      <c r="B183">
        <f t="shared" si="42"/>
        <v>2.25714285714286</v>
      </c>
      <c r="C183">
        <v>177</v>
      </c>
      <c r="D183">
        <v>285</v>
      </c>
      <c r="E183">
        <f t="shared" si="30"/>
        <v>178</v>
      </c>
      <c r="F183">
        <v>316</v>
      </c>
      <c r="G183">
        <v>40</v>
      </c>
      <c r="H183">
        <v>8</v>
      </c>
      <c r="I183">
        <v>0.5</v>
      </c>
      <c r="J183">
        <v>5</v>
      </c>
      <c r="K183">
        <v>2</v>
      </c>
      <c r="L183">
        <v>1</v>
      </c>
      <c r="M183">
        <v>0.1</v>
      </c>
      <c r="N183">
        <v>21318</v>
      </c>
      <c r="O183">
        <v>1.5</v>
      </c>
      <c r="P183">
        <f t="shared" si="31"/>
        <v>316</v>
      </c>
      <c r="Q183">
        <v>12</v>
      </c>
      <c r="R183">
        <f t="shared" si="32"/>
        <v>24142.4</v>
      </c>
      <c r="S183">
        <f t="shared" si="33"/>
        <v>8848</v>
      </c>
      <c r="T183">
        <f t="shared" si="34"/>
        <v>316</v>
      </c>
      <c r="U183">
        <v>0</v>
      </c>
      <c r="V183">
        <f t="shared" si="35"/>
        <v>756.8</v>
      </c>
      <c r="W183" s="6">
        <f t="shared" si="36"/>
        <v>31.9006342494715</v>
      </c>
      <c r="X183">
        <v>1800</v>
      </c>
      <c r="AD183">
        <f t="shared" si="37"/>
        <v>632</v>
      </c>
      <c r="AF183">
        <f t="shared" si="38"/>
        <v>13.8</v>
      </c>
      <c r="AG183" t="e">
        <f ca="1" t="shared" si="39"/>
        <v>#N/A</v>
      </c>
      <c r="AH183">
        <f t="shared" si="40"/>
        <v>16.1</v>
      </c>
      <c r="AI183" t="e">
        <f ca="1" t="shared" si="41"/>
        <v>#N/A</v>
      </c>
    </row>
    <row r="184" spans="2:35">
      <c r="B184">
        <f t="shared" si="42"/>
        <v>2.26428571428571</v>
      </c>
      <c r="C184">
        <v>178</v>
      </c>
      <c r="D184">
        <v>288</v>
      </c>
      <c r="E184">
        <f t="shared" si="30"/>
        <v>180</v>
      </c>
      <c r="F184">
        <v>317</v>
      </c>
      <c r="G184">
        <v>40</v>
      </c>
      <c r="H184">
        <v>8</v>
      </c>
      <c r="I184">
        <v>0.5</v>
      </c>
      <c r="J184">
        <v>5</v>
      </c>
      <c r="K184">
        <v>2</v>
      </c>
      <c r="L184">
        <v>1</v>
      </c>
      <c r="M184">
        <v>0.1</v>
      </c>
      <c r="N184">
        <v>21318</v>
      </c>
      <c r="O184">
        <v>1.5</v>
      </c>
      <c r="P184">
        <f t="shared" si="31"/>
        <v>317</v>
      </c>
      <c r="Q184">
        <v>12</v>
      </c>
      <c r="R184">
        <f t="shared" si="32"/>
        <v>24218.8</v>
      </c>
      <c r="S184">
        <f t="shared" si="33"/>
        <v>8876</v>
      </c>
      <c r="T184">
        <f t="shared" si="34"/>
        <v>317</v>
      </c>
      <c r="U184">
        <v>0</v>
      </c>
      <c r="V184">
        <f t="shared" si="35"/>
        <v>756.8</v>
      </c>
      <c r="W184" s="6">
        <f t="shared" si="36"/>
        <v>32.0015856236787</v>
      </c>
      <c r="X184">
        <v>1800</v>
      </c>
      <c r="AD184">
        <f t="shared" si="37"/>
        <v>634</v>
      </c>
      <c r="AF184">
        <f t="shared" si="38"/>
        <v>13.8</v>
      </c>
      <c r="AG184" t="e">
        <f ca="1" t="shared" si="39"/>
        <v>#N/A</v>
      </c>
      <c r="AH184">
        <f t="shared" si="40"/>
        <v>16.1</v>
      </c>
      <c r="AI184" t="e">
        <f ca="1" t="shared" si="41"/>
        <v>#N/A</v>
      </c>
    </row>
    <row r="185" spans="2:35">
      <c r="B185">
        <f t="shared" si="42"/>
        <v>2.27142857142857</v>
      </c>
      <c r="C185">
        <v>179</v>
      </c>
      <c r="D185">
        <v>291</v>
      </c>
      <c r="E185">
        <f t="shared" si="30"/>
        <v>182</v>
      </c>
      <c r="F185">
        <v>318</v>
      </c>
      <c r="G185">
        <v>40</v>
      </c>
      <c r="H185">
        <v>8</v>
      </c>
      <c r="I185">
        <v>0.5</v>
      </c>
      <c r="J185">
        <v>5</v>
      </c>
      <c r="K185">
        <v>2</v>
      </c>
      <c r="L185">
        <v>1</v>
      </c>
      <c r="M185">
        <v>0.1</v>
      </c>
      <c r="N185">
        <v>21318</v>
      </c>
      <c r="O185">
        <v>1.5</v>
      </c>
      <c r="P185">
        <f t="shared" si="31"/>
        <v>318</v>
      </c>
      <c r="Q185">
        <v>12</v>
      </c>
      <c r="R185">
        <f t="shared" si="32"/>
        <v>24295.2</v>
      </c>
      <c r="S185">
        <f t="shared" si="33"/>
        <v>8904</v>
      </c>
      <c r="T185">
        <f t="shared" si="34"/>
        <v>318</v>
      </c>
      <c r="U185">
        <v>0</v>
      </c>
      <c r="V185">
        <f t="shared" si="35"/>
        <v>756.8</v>
      </c>
      <c r="W185" s="6">
        <f t="shared" si="36"/>
        <v>32.1025369978858</v>
      </c>
      <c r="X185">
        <v>1800</v>
      </c>
      <c r="AD185">
        <f t="shared" si="37"/>
        <v>636</v>
      </c>
      <c r="AF185">
        <f t="shared" si="38"/>
        <v>13.8</v>
      </c>
      <c r="AG185" t="e">
        <f ca="1" t="shared" si="39"/>
        <v>#N/A</v>
      </c>
      <c r="AH185">
        <f t="shared" si="40"/>
        <v>16.1</v>
      </c>
      <c r="AI185" t="e">
        <f ca="1" t="shared" si="41"/>
        <v>#N/A</v>
      </c>
    </row>
    <row r="186" spans="2:35">
      <c r="B186">
        <f t="shared" si="42"/>
        <v>2.27857142857143</v>
      </c>
      <c r="C186">
        <v>180</v>
      </c>
      <c r="D186">
        <v>294</v>
      </c>
      <c r="E186">
        <f t="shared" si="30"/>
        <v>184</v>
      </c>
      <c r="F186">
        <v>319</v>
      </c>
      <c r="G186">
        <v>40</v>
      </c>
      <c r="H186">
        <v>8</v>
      </c>
      <c r="I186">
        <v>0.5</v>
      </c>
      <c r="J186">
        <v>5</v>
      </c>
      <c r="K186">
        <v>2</v>
      </c>
      <c r="L186">
        <v>1</v>
      </c>
      <c r="M186">
        <v>0.1</v>
      </c>
      <c r="N186">
        <v>21318</v>
      </c>
      <c r="O186">
        <v>1.5</v>
      </c>
      <c r="P186">
        <f t="shared" si="31"/>
        <v>319</v>
      </c>
      <c r="Q186">
        <v>12</v>
      </c>
      <c r="R186">
        <f t="shared" si="32"/>
        <v>24371.6</v>
      </c>
      <c r="S186">
        <f t="shared" si="33"/>
        <v>8932</v>
      </c>
      <c r="T186">
        <f t="shared" si="34"/>
        <v>319</v>
      </c>
      <c r="U186">
        <v>0</v>
      </c>
      <c r="V186">
        <f t="shared" si="35"/>
        <v>756.8</v>
      </c>
      <c r="W186" s="6">
        <f t="shared" si="36"/>
        <v>32.203488372093</v>
      </c>
      <c r="X186">
        <v>1800</v>
      </c>
      <c r="AD186">
        <f t="shared" si="37"/>
        <v>638</v>
      </c>
      <c r="AF186">
        <f t="shared" si="38"/>
        <v>13.8</v>
      </c>
      <c r="AG186" t="e">
        <f ca="1" t="shared" si="39"/>
        <v>#N/A</v>
      </c>
      <c r="AH186">
        <f t="shared" si="40"/>
        <v>16.1</v>
      </c>
      <c r="AI186" t="e">
        <f ca="1" t="shared" si="41"/>
        <v>#N/A</v>
      </c>
    </row>
    <row r="187" spans="2:35">
      <c r="B187">
        <f t="shared" si="42"/>
        <v>2.28571428571429</v>
      </c>
      <c r="C187">
        <v>181</v>
      </c>
      <c r="D187">
        <v>297</v>
      </c>
      <c r="E187">
        <f t="shared" si="30"/>
        <v>186</v>
      </c>
      <c r="F187">
        <v>320</v>
      </c>
      <c r="G187">
        <v>40</v>
      </c>
      <c r="H187">
        <v>8</v>
      </c>
      <c r="I187">
        <v>0.5</v>
      </c>
      <c r="J187">
        <v>5</v>
      </c>
      <c r="K187">
        <v>2</v>
      </c>
      <c r="L187">
        <v>1</v>
      </c>
      <c r="M187">
        <v>0.1</v>
      </c>
      <c r="N187">
        <v>21318</v>
      </c>
      <c r="O187">
        <v>1.5</v>
      </c>
      <c r="P187">
        <f t="shared" si="31"/>
        <v>320</v>
      </c>
      <c r="Q187">
        <v>12</v>
      </c>
      <c r="R187">
        <f t="shared" si="32"/>
        <v>24448</v>
      </c>
      <c r="S187">
        <f t="shared" si="33"/>
        <v>8960</v>
      </c>
      <c r="T187">
        <f t="shared" si="34"/>
        <v>320</v>
      </c>
      <c r="U187">
        <v>0</v>
      </c>
      <c r="V187">
        <f t="shared" si="35"/>
        <v>756.8</v>
      </c>
      <c r="W187" s="6">
        <f t="shared" si="36"/>
        <v>32.3044397463002</v>
      </c>
      <c r="X187">
        <v>1800</v>
      </c>
      <c r="AD187">
        <f t="shared" si="37"/>
        <v>640</v>
      </c>
      <c r="AF187">
        <f t="shared" si="38"/>
        <v>13.8</v>
      </c>
      <c r="AG187" t="e">
        <f ca="1" t="shared" si="39"/>
        <v>#N/A</v>
      </c>
      <c r="AH187">
        <f t="shared" si="40"/>
        <v>16.1</v>
      </c>
      <c r="AI187" t="e">
        <f ca="1" t="shared" si="41"/>
        <v>#N/A</v>
      </c>
    </row>
    <row r="188" spans="2:35">
      <c r="B188">
        <f t="shared" si="42"/>
        <v>2.29285714285714</v>
      </c>
      <c r="C188">
        <v>182</v>
      </c>
      <c r="D188">
        <v>300</v>
      </c>
      <c r="E188">
        <f t="shared" si="30"/>
        <v>188</v>
      </c>
      <c r="F188">
        <v>321</v>
      </c>
      <c r="G188">
        <v>40</v>
      </c>
      <c r="H188">
        <v>8</v>
      </c>
      <c r="I188">
        <v>0.5</v>
      </c>
      <c r="J188">
        <v>5</v>
      </c>
      <c r="K188">
        <v>2</v>
      </c>
      <c r="L188">
        <v>1</v>
      </c>
      <c r="M188">
        <v>0.1</v>
      </c>
      <c r="N188">
        <v>21318</v>
      </c>
      <c r="O188">
        <v>1.5</v>
      </c>
      <c r="P188">
        <f t="shared" si="31"/>
        <v>321</v>
      </c>
      <c r="Q188">
        <v>12</v>
      </c>
      <c r="R188">
        <f t="shared" si="32"/>
        <v>24524.4</v>
      </c>
      <c r="S188">
        <f t="shared" si="33"/>
        <v>8988</v>
      </c>
      <c r="T188">
        <f t="shared" si="34"/>
        <v>321</v>
      </c>
      <c r="U188">
        <v>0</v>
      </c>
      <c r="V188">
        <f t="shared" si="35"/>
        <v>756.8</v>
      </c>
      <c r="W188" s="6">
        <f t="shared" si="36"/>
        <v>32.4053911205074</v>
      </c>
      <c r="X188">
        <v>1800</v>
      </c>
      <c r="AD188">
        <f t="shared" si="37"/>
        <v>642</v>
      </c>
      <c r="AF188">
        <f t="shared" si="38"/>
        <v>13.8</v>
      </c>
      <c r="AG188" t="e">
        <f ca="1" t="shared" si="39"/>
        <v>#N/A</v>
      </c>
      <c r="AH188">
        <f t="shared" si="40"/>
        <v>16.1</v>
      </c>
      <c r="AI188" t="e">
        <f ca="1" t="shared" si="41"/>
        <v>#N/A</v>
      </c>
    </row>
    <row r="189" spans="2:35">
      <c r="B189">
        <f t="shared" si="42"/>
        <v>2.3</v>
      </c>
      <c r="C189">
        <v>183</v>
      </c>
      <c r="D189">
        <v>303</v>
      </c>
      <c r="E189">
        <f t="shared" si="30"/>
        <v>190</v>
      </c>
      <c r="F189">
        <v>322</v>
      </c>
      <c r="G189">
        <v>40</v>
      </c>
      <c r="H189">
        <v>8</v>
      </c>
      <c r="I189">
        <v>0.5</v>
      </c>
      <c r="J189">
        <v>5</v>
      </c>
      <c r="K189">
        <v>2</v>
      </c>
      <c r="L189">
        <v>1</v>
      </c>
      <c r="M189">
        <v>0.1</v>
      </c>
      <c r="N189">
        <v>21318</v>
      </c>
      <c r="O189">
        <v>1.5</v>
      </c>
      <c r="P189">
        <f t="shared" si="31"/>
        <v>322</v>
      </c>
      <c r="Q189">
        <v>12</v>
      </c>
      <c r="R189">
        <f t="shared" si="32"/>
        <v>24600.8</v>
      </c>
      <c r="S189">
        <f t="shared" si="33"/>
        <v>9016</v>
      </c>
      <c r="T189">
        <f t="shared" si="34"/>
        <v>322</v>
      </c>
      <c r="U189">
        <v>0</v>
      </c>
      <c r="V189">
        <f t="shared" si="35"/>
        <v>756.8</v>
      </c>
      <c r="W189" s="6">
        <f t="shared" si="36"/>
        <v>32.5063424947146</v>
      </c>
      <c r="X189">
        <v>1800</v>
      </c>
      <c r="AD189">
        <f t="shared" si="37"/>
        <v>644</v>
      </c>
      <c r="AF189">
        <f t="shared" si="38"/>
        <v>13.8</v>
      </c>
      <c r="AG189" t="e">
        <f ca="1" t="shared" si="39"/>
        <v>#N/A</v>
      </c>
      <c r="AH189">
        <f t="shared" si="40"/>
        <v>16.1</v>
      </c>
      <c r="AI189" t="e">
        <f ca="1" t="shared" si="41"/>
        <v>#N/A</v>
      </c>
    </row>
    <row r="190" spans="2:35">
      <c r="B190">
        <f t="shared" si="42"/>
        <v>2.30714285714286</v>
      </c>
      <c r="C190">
        <v>184</v>
      </c>
      <c r="D190">
        <v>306</v>
      </c>
      <c r="E190">
        <f t="shared" si="30"/>
        <v>192</v>
      </c>
      <c r="F190">
        <v>323</v>
      </c>
      <c r="G190">
        <v>40</v>
      </c>
      <c r="H190">
        <v>8</v>
      </c>
      <c r="I190">
        <v>0.5</v>
      </c>
      <c r="J190">
        <v>5</v>
      </c>
      <c r="K190">
        <v>2</v>
      </c>
      <c r="L190">
        <v>1</v>
      </c>
      <c r="M190">
        <v>0.1</v>
      </c>
      <c r="N190">
        <v>21318</v>
      </c>
      <c r="O190">
        <v>1.5</v>
      </c>
      <c r="P190">
        <f t="shared" si="31"/>
        <v>323</v>
      </c>
      <c r="Q190">
        <v>12</v>
      </c>
      <c r="R190">
        <f t="shared" si="32"/>
        <v>24677.2</v>
      </c>
      <c r="S190">
        <f t="shared" si="33"/>
        <v>9044</v>
      </c>
      <c r="T190">
        <f t="shared" si="34"/>
        <v>323</v>
      </c>
      <c r="U190">
        <v>0</v>
      </c>
      <c r="V190">
        <f t="shared" si="35"/>
        <v>756.8</v>
      </c>
      <c r="W190" s="6">
        <f t="shared" si="36"/>
        <v>32.6072938689218</v>
      </c>
      <c r="X190">
        <v>1800</v>
      </c>
      <c r="AD190">
        <f t="shared" si="37"/>
        <v>646</v>
      </c>
      <c r="AF190">
        <f t="shared" si="38"/>
        <v>13.8</v>
      </c>
      <c r="AG190" t="e">
        <f ca="1" t="shared" si="39"/>
        <v>#N/A</v>
      </c>
      <c r="AH190">
        <f t="shared" si="40"/>
        <v>16.1</v>
      </c>
      <c r="AI190" t="e">
        <f ca="1" t="shared" si="41"/>
        <v>#N/A</v>
      </c>
    </row>
    <row r="191" spans="2:35">
      <c r="B191">
        <f t="shared" si="42"/>
        <v>2.31428571428571</v>
      </c>
      <c r="C191">
        <v>185</v>
      </c>
      <c r="D191">
        <v>309</v>
      </c>
      <c r="E191">
        <f t="shared" ref="E191:E254" si="43">E190+2</f>
        <v>194</v>
      </c>
      <c r="F191">
        <v>324</v>
      </c>
      <c r="G191">
        <v>40</v>
      </c>
      <c r="H191">
        <v>8</v>
      </c>
      <c r="I191">
        <v>0.5</v>
      </c>
      <c r="J191">
        <v>5</v>
      </c>
      <c r="K191">
        <v>2</v>
      </c>
      <c r="L191">
        <v>1</v>
      </c>
      <c r="M191">
        <v>0.1</v>
      </c>
      <c r="N191">
        <v>21318</v>
      </c>
      <c r="O191">
        <v>1.5</v>
      </c>
      <c r="P191">
        <f t="shared" si="31"/>
        <v>324</v>
      </c>
      <c r="Q191">
        <v>12</v>
      </c>
      <c r="R191">
        <f t="shared" si="32"/>
        <v>24753.6</v>
      </c>
      <c r="S191">
        <f t="shared" si="33"/>
        <v>9072</v>
      </c>
      <c r="T191">
        <f t="shared" si="34"/>
        <v>324</v>
      </c>
      <c r="U191">
        <v>0</v>
      </c>
      <c r="V191">
        <f t="shared" si="35"/>
        <v>756.8</v>
      </c>
      <c r="W191" s="6">
        <f t="shared" si="36"/>
        <v>32.708245243129</v>
      </c>
      <c r="X191">
        <v>1800</v>
      </c>
      <c r="AD191">
        <f t="shared" si="37"/>
        <v>648</v>
      </c>
      <c r="AF191">
        <f t="shared" si="38"/>
        <v>13.8</v>
      </c>
      <c r="AG191" t="e">
        <f ca="1" t="shared" si="39"/>
        <v>#N/A</v>
      </c>
      <c r="AH191">
        <f t="shared" si="40"/>
        <v>16.1</v>
      </c>
      <c r="AI191" t="e">
        <f ca="1" t="shared" si="41"/>
        <v>#N/A</v>
      </c>
    </row>
    <row r="192" spans="2:35">
      <c r="B192">
        <f t="shared" si="42"/>
        <v>2.32142857142857</v>
      </c>
      <c r="C192">
        <v>186</v>
      </c>
      <c r="D192">
        <v>312</v>
      </c>
      <c r="E192">
        <f t="shared" si="43"/>
        <v>196</v>
      </c>
      <c r="F192">
        <v>325</v>
      </c>
      <c r="G192">
        <v>40</v>
      </c>
      <c r="H192">
        <v>8</v>
      </c>
      <c r="I192">
        <v>0.5</v>
      </c>
      <c r="J192">
        <v>5</v>
      </c>
      <c r="K192">
        <v>2</v>
      </c>
      <c r="L192">
        <v>1</v>
      </c>
      <c r="M192">
        <v>0.1</v>
      </c>
      <c r="N192">
        <v>21318</v>
      </c>
      <c r="O192">
        <v>1.5</v>
      </c>
      <c r="P192">
        <f t="shared" si="31"/>
        <v>325</v>
      </c>
      <c r="Q192">
        <v>12</v>
      </c>
      <c r="R192">
        <f t="shared" si="32"/>
        <v>24830</v>
      </c>
      <c r="S192">
        <f t="shared" si="33"/>
        <v>9100</v>
      </c>
      <c r="T192">
        <f t="shared" si="34"/>
        <v>325</v>
      </c>
      <c r="U192">
        <v>0</v>
      </c>
      <c r="V192">
        <f t="shared" si="35"/>
        <v>756.8</v>
      </c>
      <c r="W192" s="6">
        <f t="shared" si="36"/>
        <v>32.8091966173362</v>
      </c>
      <c r="X192">
        <v>1800</v>
      </c>
      <c r="AD192">
        <f t="shared" si="37"/>
        <v>650</v>
      </c>
      <c r="AF192">
        <f t="shared" si="38"/>
        <v>13.8</v>
      </c>
      <c r="AG192" t="e">
        <f ca="1" t="shared" si="39"/>
        <v>#N/A</v>
      </c>
      <c r="AH192">
        <f t="shared" si="40"/>
        <v>16.1</v>
      </c>
      <c r="AI192" t="e">
        <f ca="1" t="shared" si="41"/>
        <v>#N/A</v>
      </c>
    </row>
    <row r="193" spans="2:35">
      <c r="B193">
        <f t="shared" si="42"/>
        <v>2.32857142857143</v>
      </c>
      <c r="C193">
        <v>187</v>
      </c>
      <c r="D193">
        <v>315</v>
      </c>
      <c r="E193">
        <f t="shared" si="43"/>
        <v>198</v>
      </c>
      <c r="F193">
        <v>326</v>
      </c>
      <c r="G193">
        <v>40</v>
      </c>
      <c r="H193">
        <v>8</v>
      </c>
      <c r="I193">
        <v>0.5</v>
      </c>
      <c r="J193">
        <v>5</v>
      </c>
      <c r="K193">
        <v>2</v>
      </c>
      <c r="L193">
        <v>1</v>
      </c>
      <c r="M193">
        <v>0.1</v>
      </c>
      <c r="N193">
        <v>21318</v>
      </c>
      <c r="O193">
        <v>1.5</v>
      </c>
      <c r="P193">
        <f t="shared" si="31"/>
        <v>326</v>
      </c>
      <c r="Q193">
        <v>12</v>
      </c>
      <c r="R193">
        <f t="shared" si="32"/>
        <v>24906.4</v>
      </c>
      <c r="S193">
        <f t="shared" si="33"/>
        <v>9128</v>
      </c>
      <c r="T193">
        <f t="shared" si="34"/>
        <v>326</v>
      </c>
      <c r="U193">
        <v>0</v>
      </c>
      <c r="V193">
        <f t="shared" si="35"/>
        <v>756.8</v>
      </c>
      <c r="W193" s="6">
        <f t="shared" si="36"/>
        <v>32.9101479915433</v>
      </c>
      <c r="X193">
        <v>1800</v>
      </c>
      <c r="AD193">
        <f t="shared" si="37"/>
        <v>652</v>
      </c>
      <c r="AF193">
        <f t="shared" si="38"/>
        <v>13.8</v>
      </c>
      <c r="AG193" t="e">
        <f ca="1" t="shared" si="39"/>
        <v>#N/A</v>
      </c>
      <c r="AH193">
        <f t="shared" si="40"/>
        <v>16.1</v>
      </c>
      <c r="AI193" t="e">
        <f ca="1" t="shared" si="41"/>
        <v>#N/A</v>
      </c>
    </row>
    <row r="194" spans="2:35">
      <c r="B194">
        <f t="shared" si="42"/>
        <v>2.33571428571429</v>
      </c>
      <c r="C194">
        <v>188</v>
      </c>
      <c r="D194">
        <v>318</v>
      </c>
      <c r="E194">
        <f t="shared" si="43"/>
        <v>200</v>
      </c>
      <c r="F194">
        <v>327</v>
      </c>
      <c r="G194">
        <v>40</v>
      </c>
      <c r="H194">
        <v>8</v>
      </c>
      <c r="I194">
        <v>0.5</v>
      </c>
      <c r="J194">
        <v>5</v>
      </c>
      <c r="K194">
        <v>2</v>
      </c>
      <c r="L194">
        <v>1</v>
      </c>
      <c r="M194">
        <v>0.1</v>
      </c>
      <c r="N194">
        <v>21318</v>
      </c>
      <c r="O194">
        <v>1.5</v>
      </c>
      <c r="P194">
        <f t="shared" si="31"/>
        <v>327</v>
      </c>
      <c r="Q194">
        <v>12</v>
      </c>
      <c r="R194">
        <f t="shared" si="32"/>
        <v>24982.8</v>
      </c>
      <c r="S194">
        <f t="shared" si="33"/>
        <v>9156</v>
      </c>
      <c r="T194">
        <f t="shared" si="34"/>
        <v>327</v>
      </c>
      <c r="U194">
        <v>0</v>
      </c>
      <c r="V194">
        <f t="shared" si="35"/>
        <v>756.8</v>
      </c>
      <c r="W194" s="6">
        <f t="shared" si="36"/>
        <v>33.0110993657505</v>
      </c>
      <c r="X194">
        <v>1800</v>
      </c>
      <c r="AD194">
        <f t="shared" si="37"/>
        <v>654</v>
      </c>
      <c r="AF194">
        <f t="shared" si="38"/>
        <v>13.8</v>
      </c>
      <c r="AG194" t="e">
        <f ca="1" t="shared" si="39"/>
        <v>#N/A</v>
      </c>
      <c r="AH194">
        <f t="shared" si="40"/>
        <v>16.1</v>
      </c>
      <c r="AI194" t="e">
        <f ca="1" t="shared" si="41"/>
        <v>#N/A</v>
      </c>
    </row>
    <row r="195" spans="2:35">
      <c r="B195">
        <f t="shared" si="42"/>
        <v>2.34285714285714</v>
      </c>
      <c r="C195">
        <v>189</v>
      </c>
      <c r="D195">
        <v>321</v>
      </c>
      <c r="E195">
        <f t="shared" si="43"/>
        <v>202</v>
      </c>
      <c r="F195">
        <v>328</v>
      </c>
      <c r="G195">
        <v>40</v>
      </c>
      <c r="H195">
        <v>8</v>
      </c>
      <c r="I195">
        <v>0.5</v>
      </c>
      <c r="J195">
        <v>5</v>
      </c>
      <c r="K195">
        <v>2</v>
      </c>
      <c r="L195">
        <v>1</v>
      </c>
      <c r="M195">
        <v>0.1</v>
      </c>
      <c r="N195">
        <v>21318</v>
      </c>
      <c r="O195">
        <v>1.5</v>
      </c>
      <c r="P195">
        <f t="shared" si="31"/>
        <v>328</v>
      </c>
      <c r="Q195">
        <v>12</v>
      </c>
      <c r="R195">
        <f t="shared" si="32"/>
        <v>25059.2</v>
      </c>
      <c r="S195">
        <f t="shared" si="33"/>
        <v>9184</v>
      </c>
      <c r="T195">
        <f t="shared" si="34"/>
        <v>328</v>
      </c>
      <c r="U195">
        <v>0</v>
      </c>
      <c r="V195">
        <f t="shared" si="35"/>
        <v>756.8</v>
      </c>
      <c r="W195" s="6">
        <f t="shared" si="36"/>
        <v>33.1120507399577</v>
      </c>
      <c r="X195">
        <v>1800</v>
      </c>
      <c r="AD195">
        <f t="shared" si="37"/>
        <v>656</v>
      </c>
      <c r="AF195">
        <f t="shared" si="38"/>
        <v>13.8</v>
      </c>
      <c r="AG195" t="e">
        <f ca="1" t="shared" si="39"/>
        <v>#N/A</v>
      </c>
      <c r="AH195">
        <f t="shared" si="40"/>
        <v>16.1</v>
      </c>
      <c r="AI195" t="e">
        <f ca="1" t="shared" si="41"/>
        <v>#N/A</v>
      </c>
    </row>
    <row r="196" spans="2:35">
      <c r="B196">
        <f t="shared" si="42"/>
        <v>2.35</v>
      </c>
      <c r="C196">
        <v>190</v>
      </c>
      <c r="D196">
        <v>324</v>
      </c>
      <c r="E196">
        <f t="shared" si="43"/>
        <v>204</v>
      </c>
      <c r="F196">
        <v>329</v>
      </c>
      <c r="G196">
        <v>40</v>
      </c>
      <c r="H196">
        <v>8</v>
      </c>
      <c r="I196">
        <v>0.5</v>
      </c>
      <c r="J196">
        <v>5</v>
      </c>
      <c r="K196">
        <v>2</v>
      </c>
      <c r="L196">
        <v>1</v>
      </c>
      <c r="M196">
        <v>0.1</v>
      </c>
      <c r="N196">
        <v>21318</v>
      </c>
      <c r="O196">
        <v>1.5</v>
      </c>
      <c r="P196">
        <f t="shared" si="31"/>
        <v>329</v>
      </c>
      <c r="Q196">
        <v>12</v>
      </c>
      <c r="R196">
        <f t="shared" si="32"/>
        <v>25135.6</v>
      </c>
      <c r="S196">
        <f t="shared" si="33"/>
        <v>9212</v>
      </c>
      <c r="T196">
        <f t="shared" si="34"/>
        <v>329</v>
      </c>
      <c r="U196">
        <v>0</v>
      </c>
      <c r="V196">
        <f t="shared" si="35"/>
        <v>756.8</v>
      </c>
      <c r="W196" s="6">
        <f t="shared" si="36"/>
        <v>33.2130021141649</v>
      </c>
      <c r="X196">
        <v>1800</v>
      </c>
      <c r="AD196">
        <f t="shared" si="37"/>
        <v>658</v>
      </c>
      <c r="AF196">
        <f t="shared" si="38"/>
        <v>13.8</v>
      </c>
      <c r="AG196" t="e">
        <f ca="1" t="shared" si="39"/>
        <v>#N/A</v>
      </c>
      <c r="AH196">
        <f t="shared" si="40"/>
        <v>16.1</v>
      </c>
      <c r="AI196" t="e">
        <f ca="1" t="shared" si="41"/>
        <v>#N/A</v>
      </c>
    </row>
    <row r="197" spans="2:35">
      <c r="B197">
        <f t="shared" si="42"/>
        <v>2.35714285714286</v>
      </c>
      <c r="C197">
        <v>191</v>
      </c>
      <c r="D197">
        <v>327</v>
      </c>
      <c r="E197">
        <f t="shared" si="43"/>
        <v>206</v>
      </c>
      <c r="F197">
        <v>330</v>
      </c>
      <c r="G197">
        <v>40</v>
      </c>
      <c r="H197">
        <v>8</v>
      </c>
      <c r="I197">
        <v>0.5</v>
      </c>
      <c r="J197">
        <v>5</v>
      </c>
      <c r="K197">
        <v>2</v>
      </c>
      <c r="L197">
        <v>1</v>
      </c>
      <c r="M197">
        <v>0.1</v>
      </c>
      <c r="N197">
        <v>21318</v>
      </c>
      <c r="O197">
        <v>1.5</v>
      </c>
      <c r="P197">
        <f t="shared" si="31"/>
        <v>330</v>
      </c>
      <c r="Q197">
        <v>12</v>
      </c>
      <c r="R197">
        <f t="shared" si="32"/>
        <v>25212</v>
      </c>
      <c r="S197">
        <f t="shared" si="33"/>
        <v>9240</v>
      </c>
      <c r="T197">
        <f t="shared" si="34"/>
        <v>330</v>
      </c>
      <c r="U197">
        <v>0</v>
      </c>
      <c r="V197">
        <f t="shared" si="35"/>
        <v>756.8</v>
      </c>
      <c r="W197" s="6">
        <f t="shared" si="36"/>
        <v>33.3139534883721</v>
      </c>
      <c r="X197">
        <v>1800</v>
      </c>
      <c r="AD197">
        <f t="shared" si="37"/>
        <v>660</v>
      </c>
      <c r="AF197">
        <f t="shared" si="38"/>
        <v>13.8</v>
      </c>
      <c r="AG197" t="e">
        <f ca="1" t="shared" si="39"/>
        <v>#N/A</v>
      </c>
      <c r="AH197">
        <f t="shared" si="40"/>
        <v>16.1</v>
      </c>
      <c r="AI197" t="e">
        <f ca="1" t="shared" si="41"/>
        <v>#N/A</v>
      </c>
    </row>
    <row r="198" spans="2:35">
      <c r="B198">
        <f t="shared" si="42"/>
        <v>2.36428571428571</v>
      </c>
      <c r="C198">
        <v>192</v>
      </c>
      <c r="D198">
        <v>330</v>
      </c>
      <c r="E198">
        <f t="shared" si="43"/>
        <v>208</v>
      </c>
      <c r="F198">
        <v>331</v>
      </c>
      <c r="G198">
        <v>40</v>
      </c>
      <c r="H198">
        <v>8</v>
      </c>
      <c r="I198">
        <v>0.5</v>
      </c>
      <c r="J198">
        <v>5</v>
      </c>
      <c r="K198">
        <v>2</v>
      </c>
      <c r="L198">
        <v>1</v>
      </c>
      <c r="M198">
        <v>0.1</v>
      </c>
      <c r="N198">
        <v>21318</v>
      </c>
      <c r="O198">
        <v>1.5</v>
      </c>
      <c r="P198">
        <f t="shared" si="31"/>
        <v>331</v>
      </c>
      <c r="Q198">
        <v>12</v>
      </c>
      <c r="R198">
        <f t="shared" si="32"/>
        <v>25288.4</v>
      </c>
      <c r="S198">
        <f t="shared" si="33"/>
        <v>9268</v>
      </c>
      <c r="T198">
        <f t="shared" si="34"/>
        <v>331</v>
      </c>
      <c r="U198">
        <v>0</v>
      </c>
      <c r="V198">
        <f t="shared" si="35"/>
        <v>756.8</v>
      </c>
      <c r="W198" s="6">
        <f t="shared" si="36"/>
        <v>33.4149048625793</v>
      </c>
      <c r="X198">
        <v>1800</v>
      </c>
      <c r="AD198">
        <f t="shared" si="37"/>
        <v>662</v>
      </c>
      <c r="AF198">
        <f t="shared" si="38"/>
        <v>13.8</v>
      </c>
      <c r="AG198" t="e">
        <f ca="1" t="shared" si="39"/>
        <v>#N/A</v>
      </c>
      <c r="AH198">
        <f t="shared" si="40"/>
        <v>16.1</v>
      </c>
      <c r="AI198" t="e">
        <f ca="1" t="shared" si="41"/>
        <v>#N/A</v>
      </c>
    </row>
    <row r="199" spans="2:35">
      <c r="B199">
        <f t="shared" si="42"/>
        <v>2.37142857142857</v>
      </c>
      <c r="C199">
        <v>193</v>
      </c>
      <c r="D199">
        <v>333</v>
      </c>
      <c r="E199">
        <f t="shared" si="43"/>
        <v>210</v>
      </c>
      <c r="F199">
        <v>332</v>
      </c>
      <c r="G199">
        <v>40</v>
      </c>
      <c r="H199">
        <v>8</v>
      </c>
      <c r="I199">
        <v>0.5</v>
      </c>
      <c r="J199">
        <v>5</v>
      </c>
      <c r="K199">
        <v>2</v>
      </c>
      <c r="L199">
        <v>1</v>
      </c>
      <c r="M199">
        <v>0.1</v>
      </c>
      <c r="N199">
        <v>21318</v>
      </c>
      <c r="O199">
        <v>1.5</v>
      </c>
      <c r="P199">
        <f t="shared" ref="P199:P262" si="44">F199</f>
        <v>332</v>
      </c>
      <c r="Q199">
        <v>12</v>
      </c>
      <c r="R199">
        <f t="shared" ref="R199:R262" si="45">P199*28*1.3+F199*40+U199</f>
        <v>25364.8</v>
      </c>
      <c r="S199">
        <f t="shared" ref="S199:S262" si="46">P199*28</f>
        <v>9296</v>
      </c>
      <c r="T199">
        <f t="shared" ref="T199:T262" si="47">F199</f>
        <v>332</v>
      </c>
      <c r="U199">
        <v>0</v>
      </c>
      <c r="V199">
        <f t="shared" ref="V199:V262" si="48">Q199*28*1.3+H199*40</f>
        <v>756.8</v>
      </c>
      <c r="W199" s="6">
        <f t="shared" ref="W199:W262" si="49">R199/V199</f>
        <v>33.5158562367865</v>
      </c>
      <c r="X199">
        <v>1800</v>
      </c>
      <c r="AD199">
        <f t="shared" ref="AD199:AD262" si="50">P199*2</f>
        <v>664</v>
      </c>
      <c r="AF199">
        <f t="shared" ref="AF199:AF262" si="51">VLOOKUP(INT(AE199/10)+1,$AN$8:$AO$33,2,0)</f>
        <v>13.8</v>
      </c>
      <c r="AG199" t="e">
        <f ca="1" t="shared" ref="AG199:AG262" si="52">OFFSET($AK$6,MATCH(Y199,$AL$7:$AL$21,1),0)</f>
        <v>#N/A</v>
      </c>
      <c r="AH199">
        <f t="shared" ref="AH199:AH262" si="53">VLOOKUP(INT(AE199/10)+2,$AN$8:$AO$33,2,0)</f>
        <v>16.1</v>
      </c>
      <c r="AI199" t="e">
        <f ca="1" t="shared" ref="AI199:AI262" si="54">OFFSET($AK$6,1+MATCH(Y199,$AL$7:$AL$21,1),0)</f>
        <v>#N/A</v>
      </c>
    </row>
    <row r="200" spans="2:35">
      <c r="B200">
        <f t="shared" ref="B200:B263" si="55">F200/$F$7</f>
        <v>2.37857142857143</v>
      </c>
      <c r="C200">
        <v>194</v>
      </c>
      <c r="D200">
        <v>336</v>
      </c>
      <c r="E200">
        <f t="shared" si="43"/>
        <v>212</v>
      </c>
      <c r="F200">
        <v>333</v>
      </c>
      <c r="G200">
        <v>40</v>
      </c>
      <c r="H200">
        <v>8</v>
      </c>
      <c r="I200">
        <v>0.5</v>
      </c>
      <c r="J200">
        <v>5</v>
      </c>
      <c r="K200">
        <v>2</v>
      </c>
      <c r="L200">
        <v>1</v>
      </c>
      <c r="M200">
        <v>0.1</v>
      </c>
      <c r="N200">
        <v>21318</v>
      </c>
      <c r="O200">
        <v>1.5</v>
      </c>
      <c r="P200">
        <f t="shared" si="44"/>
        <v>333</v>
      </c>
      <c r="Q200">
        <v>12</v>
      </c>
      <c r="R200">
        <f t="shared" si="45"/>
        <v>25441.2</v>
      </c>
      <c r="S200">
        <f t="shared" si="46"/>
        <v>9324</v>
      </c>
      <c r="T200">
        <f t="shared" si="47"/>
        <v>333</v>
      </c>
      <c r="U200">
        <v>0</v>
      </c>
      <c r="V200">
        <f t="shared" si="48"/>
        <v>756.8</v>
      </c>
      <c r="W200" s="6">
        <f t="shared" si="49"/>
        <v>33.6168076109937</v>
      </c>
      <c r="X200">
        <v>1800</v>
      </c>
      <c r="AD200">
        <f t="shared" si="50"/>
        <v>666</v>
      </c>
      <c r="AF200">
        <f t="shared" si="51"/>
        <v>13.8</v>
      </c>
      <c r="AG200" t="e">
        <f ca="1" t="shared" si="52"/>
        <v>#N/A</v>
      </c>
      <c r="AH200">
        <f t="shared" si="53"/>
        <v>16.1</v>
      </c>
      <c r="AI200" t="e">
        <f ca="1" t="shared" si="54"/>
        <v>#N/A</v>
      </c>
    </row>
    <row r="201" spans="2:35">
      <c r="B201">
        <f t="shared" si="55"/>
        <v>2.38571428571429</v>
      </c>
      <c r="C201">
        <v>195</v>
      </c>
      <c r="D201">
        <v>339</v>
      </c>
      <c r="E201">
        <f t="shared" si="43"/>
        <v>214</v>
      </c>
      <c r="F201">
        <v>334</v>
      </c>
      <c r="G201">
        <v>40</v>
      </c>
      <c r="H201">
        <v>8</v>
      </c>
      <c r="I201">
        <v>0.5</v>
      </c>
      <c r="J201">
        <v>5</v>
      </c>
      <c r="K201">
        <v>2</v>
      </c>
      <c r="L201">
        <v>1</v>
      </c>
      <c r="M201">
        <v>0.1</v>
      </c>
      <c r="N201">
        <v>21318</v>
      </c>
      <c r="O201">
        <v>1.5</v>
      </c>
      <c r="P201">
        <f t="shared" si="44"/>
        <v>334</v>
      </c>
      <c r="Q201">
        <v>12</v>
      </c>
      <c r="R201">
        <f t="shared" si="45"/>
        <v>25517.6</v>
      </c>
      <c r="S201">
        <f t="shared" si="46"/>
        <v>9352</v>
      </c>
      <c r="T201">
        <f t="shared" si="47"/>
        <v>334</v>
      </c>
      <c r="U201">
        <v>0</v>
      </c>
      <c r="V201">
        <f t="shared" si="48"/>
        <v>756.8</v>
      </c>
      <c r="W201" s="6">
        <f t="shared" si="49"/>
        <v>33.7177589852008</v>
      </c>
      <c r="X201">
        <v>1800</v>
      </c>
      <c r="AD201">
        <f t="shared" si="50"/>
        <v>668</v>
      </c>
      <c r="AF201">
        <f t="shared" si="51"/>
        <v>13.8</v>
      </c>
      <c r="AG201" t="e">
        <f ca="1" t="shared" si="52"/>
        <v>#N/A</v>
      </c>
      <c r="AH201">
        <f t="shared" si="53"/>
        <v>16.1</v>
      </c>
      <c r="AI201" t="e">
        <f ca="1" t="shared" si="54"/>
        <v>#N/A</v>
      </c>
    </row>
    <row r="202" spans="2:35">
      <c r="B202">
        <f t="shared" si="55"/>
        <v>2.39285714285714</v>
      </c>
      <c r="C202">
        <v>196</v>
      </c>
      <c r="D202">
        <v>342</v>
      </c>
      <c r="E202">
        <f t="shared" si="43"/>
        <v>216</v>
      </c>
      <c r="F202">
        <v>335</v>
      </c>
      <c r="G202">
        <v>40</v>
      </c>
      <c r="H202">
        <v>8</v>
      </c>
      <c r="I202">
        <v>0.5</v>
      </c>
      <c r="J202">
        <v>5</v>
      </c>
      <c r="K202">
        <v>2</v>
      </c>
      <c r="L202">
        <v>1</v>
      </c>
      <c r="M202">
        <v>0.1</v>
      </c>
      <c r="N202">
        <v>21318</v>
      </c>
      <c r="O202">
        <v>1.5</v>
      </c>
      <c r="P202">
        <f t="shared" si="44"/>
        <v>335</v>
      </c>
      <c r="Q202">
        <v>12</v>
      </c>
      <c r="R202">
        <f t="shared" si="45"/>
        <v>25594</v>
      </c>
      <c r="S202">
        <f t="shared" si="46"/>
        <v>9380</v>
      </c>
      <c r="T202">
        <f t="shared" si="47"/>
        <v>335</v>
      </c>
      <c r="U202">
        <v>0</v>
      </c>
      <c r="V202">
        <f t="shared" si="48"/>
        <v>756.8</v>
      </c>
      <c r="W202" s="6">
        <f t="shared" si="49"/>
        <v>33.818710359408</v>
      </c>
      <c r="X202">
        <v>1800</v>
      </c>
      <c r="AD202">
        <f t="shared" si="50"/>
        <v>670</v>
      </c>
      <c r="AF202">
        <f t="shared" si="51"/>
        <v>13.8</v>
      </c>
      <c r="AG202" t="e">
        <f ca="1" t="shared" si="52"/>
        <v>#N/A</v>
      </c>
      <c r="AH202">
        <f t="shared" si="53"/>
        <v>16.1</v>
      </c>
      <c r="AI202" t="e">
        <f ca="1" t="shared" si="54"/>
        <v>#N/A</v>
      </c>
    </row>
    <row r="203" spans="2:35">
      <c r="B203">
        <f t="shared" si="55"/>
        <v>2.4</v>
      </c>
      <c r="C203">
        <v>197</v>
      </c>
      <c r="D203">
        <v>345</v>
      </c>
      <c r="E203">
        <f t="shared" si="43"/>
        <v>218</v>
      </c>
      <c r="F203">
        <v>336</v>
      </c>
      <c r="G203">
        <v>40</v>
      </c>
      <c r="H203">
        <v>8</v>
      </c>
      <c r="I203">
        <v>0.5</v>
      </c>
      <c r="J203">
        <v>5</v>
      </c>
      <c r="K203">
        <v>2</v>
      </c>
      <c r="L203">
        <v>1</v>
      </c>
      <c r="M203">
        <v>0.1</v>
      </c>
      <c r="N203">
        <v>21318</v>
      </c>
      <c r="O203">
        <v>1.5</v>
      </c>
      <c r="P203">
        <f t="shared" si="44"/>
        <v>336</v>
      </c>
      <c r="Q203">
        <v>12</v>
      </c>
      <c r="R203">
        <f t="shared" si="45"/>
        <v>25670.4</v>
      </c>
      <c r="S203">
        <f t="shared" si="46"/>
        <v>9408</v>
      </c>
      <c r="T203">
        <f t="shared" si="47"/>
        <v>336</v>
      </c>
      <c r="U203">
        <v>0</v>
      </c>
      <c r="V203">
        <f t="shared" si="48"/>
        <v>756.8</v>
      </c>
      <c r="W203" s="6">
        <f t="shared" si="49"/>
        <v>33.9196617336152</v>
      </c>
      <c r="X203">
        <v>1800</v>
      </c>
      <c r="AD203">
        <f t="shared" si="50"/>
        <v>672</v>
      </c>
      <c r="AF203">
        <f t="shared" si="51"/>
        <v>13.8</v>
      </c>
      <c r="AG203" t="e">
        <f ca="1" t="shared" si="52"/>
        <v>#N/A</v>
      </c>
      <c r="AH203">
        <f t="shared" si="53"/>
        <v>16.1</v>
      </c>
      <c r="AI203" t="e">
        <f ca="1" t="shared" si="54"/>
        <v>#N/A</v>
      </c>
    </row>
    <row r="204" spans="2:35">
      <c r="B204">
        <f t="shared" si="55"/>
        <v>2.40714285714286</v>
      </c>
      <c r="C204">
        <v>198</v>
      </c>
      <c r="D204">
        <v>348</v>
      </c>
      <c r="E204">
        <f t="shared" si="43"/>
        <v>220</v>
      </c>
      <c r="F204">
        <v>337</v>
      </c>
      <c r="G204">
        <v>40</v>
      </c>
      <c r="H204">
        <v>8</v>
      </c>
      <c r="I204">
        <v>0.5</v>
      </c>
      <c r="J204">
        <v>5</v>
      </c>
      <c r="K204">
        <v>2</v>
      </c>
      <c r="L204">
        <v>1</v>
      </c>
      <c r="M204">
        <v>0.1</v>
      </c>
      <c r="N204">
        <v>21318</v>
      </c>
      <c r="O204">
        <v>1.5</v>
      </c>
      <c r="P204">
        <f t="shared" si="44"/>
        <v>337</v>
      </c>
      <c r="Q204">
        <v>12</v>
      </c>
      <c r="R204">
        <f t="shared" si="45"/>
        <v>25746.8</v>
      </c>
      <c r="S204">
        <f t="shared" si="46"/>
        <v>9436</v>
      </c>
      <c r="T204">
        <f t="shared" si="47"/>
        <v>337</v>
      </c>
      <c r="U204">
        <v>0</v>
      </c>
      <c r="V204">
        <f t="shared" si="48"/>
        <v>756.8</v>
      </c>
      <c r="W204" s="6">
        <f t="shared" si="49"/>
        <v>34.0206131078224</v>
      </c>
      <c r="X204">
        <v>1800</v>
      </c>
      <c r="AD204">
        <f t="shared" si="50"/>
        <v>674</v>
      </c>
      <c r="AF204">
        <f t="shared" si="51"/>
        <v>13.8</v>
      </c>
      <c r="AG204" t="e">
        <f ca="1" t="shared" si="52"/>
        <v>#N/A</v>
      </c>
      <c r="AH204">
        <f t="shared" si="53"/>
        <v>16.1</v>
      </c>
      <c r="AI204" t="e">
        <f ca="1" t="shared" si="54"/>
        <v>#N/A</v>
      </c>
    </row>
    <row r="205" spans="2:35">
      <c r="B205">
        <f t="shared" si="55"/>
        <v>2.41428571428571</v>
      </c>
      <c r="C205">
        <v>199</v>
      </c>
      <c r="D205">
        <v>351</v>
      </c>
      <c r="E205">
        <f t="shared" si="43"/>
        <v>222</v>
      </c>
      <c r="F205">
        <v>338</v>
      </c>
      <c r="G205">
        <v>40</v>
      </c>
      <c r="H205">
        <v>8</v>
      </c>
      <c r="I205">
        <v>0.5</v>
      </c>
      <c r="J205">
        <v>5</v>
      </c>
      <c r="K205">
        <v>2</v>
      </c>
      <c r="L205">
        <v>1</v>
      </c>
      <c r="M205">
        <v>0.1</v>
      </c>
      <c r="N205">
        <v>21318</v>
      </c>
      <c r="O205">
        <v>1.5</v>
      </c>
      <c r="P205">
        <f t="shared" si="44"/>
        <v>338</v>
      </c>
      <c r="Q205">
        <v>12</v>
      </c>
      <c r="R205">
        <f t="shared" si="45"/>
        <v>25823.2</v>
      </c>
      <c r="S205">
        <f t="shared" si="46"/>
        <v>9464</v>
      </c>
      <c r="T205">
        <f t="shared" si="47"/>
        <v>338</v>
      </c>
      <c r="U205">
        <v>0</v>
      </c>
      <c r="V205">
        <f t="shared" si="48"/>
        <v>756.8</v>
      </c>
      <c r="W205" s="6">
        <f t="shared" si="49"/>
        <v>34.1215644820296</v>
      </c>
      <c r="X205">
        <v>1800</v>
      </c>
      <c r="AD205">
        <f t="shared" si="50"/>
        <v>676</v>
      </c>
      <c r="AF205">
        <f t="shared" si="51"/>
        <v>13.8</v>
      </c>
      <c r="AG205" t="e">
        <f ca="1" t="shared" si="52"/>
        <v>#N/A</v>
      </c>
      <c r="AH205">
        <f t="shared" si="53"/>
        <v>16.1</v>
      </c>
      <c r="AI205" t="e">
        <f ca="1" t="shared" si="54"/>
        <v>#N/A</v>
      </c>
    </row>
    <row r="206" spans="2:35">
      <c r="B206">
        <f t="shared" si="55"/>
        <v>2.42142857142857</v>
      </c>
      <c r="C206">
        <v>200</v>
      </c>
      <c r="D206">
        <v>354</v>
      </c>
      <c r="E206">
        <f t="shared" si="43"/>
        <v>224</v>
      </c>
      <c r="F206">
        <v>339</v>
      </c>
      <c r="G206">
        <v>40</v>
      </c>
      <c r="H206">
        <v>8</v>
      </c>
      <c r="I206">
        <v>0.5</v>
      </c>
      <c r="J206">
        <v>5</v>
      </c>
      <c r="K206">
        <v>2</v>
      </c>
      <c r="L206">
        <v>1</v>
      </c>
      <c r="M206">
        <v>0.1</v>
      </c>
      <c r="N206">
        <v>21318</v>
      </c>
      <c r="O206">
        <v>1.5</v>
      </c>
      <c r="P206">
        <f t="shared" si="44"/>
        <v>339</v>
      </c>
      <c r="Q206">
        <v>12</v>
      </c>
      <c r="R206">
        <f t="shared" si="45"/>
        <v>25899.6</v>
      </c>
      <c r="S206">
        <f t="shared" si="46"/>
        <v>9492</v>
      </c>
      <c r="T206">
        <f t="shared" si="47"/>
        <v>339</v>
      </c>
      <c r="U206">
        <v>0</v>
      </c>
      <c r="V206">
        <f t="shared" si="48"/>
        <v>756.8</v>
      </c>
      <c r="W206" s="6">
        <f t="shared" si="49"/>
        <v>34.2225158562368</v>
      </c>
      <c r="X206">
        <v>1800</v>
      </c>
      <c r="AD206">
        <f t="shared" si="50"/>
        <v>678</v>
      </c>
      <c r="AF206">
        <f t="shared" si="51"/>
        <v>13.8</v>
      </c>
      <c r="AG206" t="e">
        <f ca="1" t="shared" si="52"/>
        <v>#N/A</v>
      </c>
      <c r="AH206">
        <f t="shared" si="53"/>
        <v>16.1</v>
      </c>
      <c r="AI206" t="e">
        <f ca="1" t="shared" si="54"/>
        <v>#N/A</v>
      </c>
    </row>
    <row r="207" spans="2:35">
      <c r="B207">
        <f t="shared" si="55"/>
        <v>2.42857142857143</v>
      </c>
      <c r="C207">
        <v>201</v>
      </c>
      <c r="D207">
        <v>357</v>
      </c>
      <c r="E207">
        <f t="shared" si="43"/>
        <v>226</v>
      </c>
      <c r="F207">
        <v>340</v>
      </c>
      <c r="G207">
        <v>40</v>
      </c>
      <c r="H207">
        <v>8</v>
      </c>
      <c r="I207">
        <v>0.5</v>
      </c>
      <c r="J207">
        <v>5</v>
      </c>
      <c r="K207">
        <v>2</v>
      </c>
      <c r="L207">
        <v>1</v>
      </c>
      <c r="M207">
        <v>0.1</v>
      </c>
      <c r="N207">
        <v>21318</v>
      </c>
      <c r="O207">
        <v>1.5</v>
      </c>
      <c r="P207">
        <f t="shared" si="44"/>
        <v>340</v>
      </c>
      <c r="Q207">
        <v>12</v>
      </c>
      <c r="R207">
        <f t="shared" si="45"/>
        <v>25976</v>
      </c>
      <c r="S207">
        <f t="shared" si="46"/>
        <v>9520</v>
      </c>
      <c r="T207">
        <f t="shared" si="47"/>
        <v>340</v>
      </c>
      <c r="U207">
        <v>0</v>
      </c>
      <c r="V207">
        <f t="shared" si="48"/>
        <v>756.8</v>
      </c>
      <c r="W207" s="6">
        <f t="shared" si="49"/>
        <v>34.323467230444</v>
      </c>
      <c r="X207">
        <v>1800</v>
      </c>
      <c r="AD207">
        <f t="shared" si="50"/>
        <v>680</v>
      </c>
      <c r="AF207">
        <f t="shared" si="51"/>
        <v>13.8</v>
      </c>
      <c r="AG207" t="e">
        <f ca="1" t="shared" si="52"/>
        <v>#N/A</v>
      </c>
      <c r="AH207">
        <f t="shared" si="53"/>
        <v>16.1</v>
      </c>
      <c r="AI207" t="e">
        <f ca="1" t="shared" si="54"/>
        <v>#N/A</v>
      </c>
    </row>
    <row r="208" spans="2:35">
      <c r="B208">
        <f t="shared" si="55"/>
        <v>2.43571428571429</v>
      </c>
      <c r="C208">
        <v>202</v>
      </c>
      <c r="D208">
        <v>361</v>
      </c>
      <c r="E208">
        <f t="shared" si="43"/>
        <v>228</v>
      </c>
      <c r="F208">
        <v>341</v>
      </c>
      <c r="G208">
        <v>40</v>
      </c>
      <c r="H208">
        <v>8</v>
      </c>
      <c r="I208">
        <v>0.5</v>
      </c>
      <c r="J208">
        <v>5</v>
      </c>
      <c r="K208">
        <v>2</v>
      </c>
      <c r="L208">
        <v>1</v>
      </c>
      <c r="M208">
        <v>0.1</v>
      </c>
      <c r="N208">
        <v>21318</v>
      </c>
      <c r="O208">
        <v>1.5</v>
      </c>
      <c r="P208">
        <f t="shared" si="44"/>
        <v>341</v>
      </c>
      <c r="Q208">
        <v>12</v>
      </c>
      <c r="R208">
        <f t="shared" si="45"/>
        <v>26052.4</v>
      </c>
      <c r="S208">
        <f t="shared" si="46"/>
        <v>9548</v>
      </c>
      <c r="T208">
        <f t="shared" si="47"/>
        <v>341</v>
      </c>
      <c r="U208">
        <v>0</v>
      </c>
      <c r="V208">
        <f t="shared" si="48"/>
        <v>756.8</v>
      </c>
      <c r="W208" s="6">
        <f t="shared" si="49"/>
        <v>34.4244186046512</v>
      </c>
      <c r="X208">
        <v>1800</v>
      </c>
      <c r="AD208">
        <f t="shared" si="50"/>
        <v>682</v>
      </c>
      <c r="AF208">
        <f t="shared" si="51"/>
        <v>13.8</v>
      </c>
      <c r="AG208" t="e">
        <f ca="1" t="shared" si="52"/>
        <v>#N/A</v>
      </c>
      <c r="AH208">
        <f t="shared" si="53"/>
        <v>16.1</v>
      </c>
      <c r="AI208" t="e">
        <f ca="1" t="shared" si="54"/>
        <v>#N/A</v>
      </c>
    </row>
    <row r="209" spans="2:35">
      <c r="B209">
        <f t="shared" si="55"/>
        <v>2.44285714285714</v>
      </c>
      <c r="C209">
        <v>203</v>
      </c>
      <c r="D209">
        <v>364</v>
      </c>
      <c r="E209">
        <f t="shared" si="43"/>
        <v>230</v>
      </c>
      <c r="F209">
        <v>342</v>
      </c>
      <c r="G209">
        <v>40</v>
      </c>
      <c r="H209">
        <v>8</v>
      </c>
      <c r="I209">
        <v>0.5</v>
      </c>
      <c r="J209">
        <v>5</v>
      </c>
      <c r="K209">
        <v>2</v>
      </c>
      <c r="L209">
        <v>1</v>
      </c>
      <c r="M209">
        <v>0.1</v>
      </c>
      <c r="N209">
        <v>21318</v>
      </c>
      <c r="O209">
        <v>1.5</v>
      </c>
      <c r="P209">
        <f t="shared" si="44"/>
        <v>342</v>
      </c>
      <c r="Q209">
        <v>12</v>
      </c>
      <c r="R209">
        <f t="shared" si="45"/>
        <v>26128.8</v>
      </c>
      <c r="S209">
        <f t="shared" si="46"/>
        <v>9576</v>
      </c>
      <c r="T209">
        <f t="shared" si="47"/>
        <v>342</v>
      </c>
      <c r="U209">
        <v>0</v>
      </c>
      <c r="V209">
        <f t="shared" si="48"/>
        <v>756.8</v>
      </c>
      <c r="W209" s="6">
        <f t="shared" si="49"/>
        <v>34.5253699788584</v>
      </c>
      <c r="X209">
        <v>1800</v>
      </c>
      <c r="AD209">
        <f t="shared" si="50"/>
        <v>684</v>
      </c>
      <c r="AF209">
        <f t="shared" si="51"/>
        <v>13.8</v>
      </c>
      <c r="AG209" t="e">
        <f ca="1" t="shared" si="52"/>
        <v>#N/A</v>
      </c>
      <c r="AH209">
        <f t="shared" si="53"/>
        <v>16.1</v>
      </c>
      <c r="AI209" t="e">
        <f ca="1" t="shared" si="54"/>
        <v>#N/A</v>
      </c>
    </row>
    <row r="210" spans="2:35">
      <c r="B210">
        <f t="shared" si="55"/>
        <v>2.45</v>
      </c>
      <c r="C210">
        <v>204</v>
      </c>
      <c r="D210">
        <v>367</v>
      </c>
      <c r="E210">
        <f t="shared" si="43"/>
        <v>232</v>
      </c>
      <c r="F210">
        <v>343</v>
      </c>
      <c r="G210">
        <v>40</v>
      </c>
      <c r="H210">
        <v>8</v>
      </c>
      <c r="I210">
        <v>0.5</v>
      </c>
      <c r="J210">
        <v>5</v>
      </c>
      <c r="K210">
        <v>2</v>
      </c>
      <c r="L210">
        <v>1</v>
      </c>
      <c r="M210">
        <v>0.1</v>
      </c>
      <c r="N210">
        <v>21318</v>
      </c>
      <c r="O210">
        <v>1.5</v>
      </c>
      <c r="P210">
        <f t="shared" si="44"/>
        <v>343</v>
      </c>
      <c r="Q210">
        <v>12</v>
      </c>
      <c r="R210">
        <f t="shared" si="45"/>
        <v>26205.2</v>
      </c>
      <c r="S210">
        <f t="shared" si="46"/>
        <v>9604</v>
      </c>
      <c r="T210">
        <f t="shared" si="47"/>
        <v>343</v>
      </c>
      <c r="U210">
        <v>0</v>
      </c>
      <c r="V210">
        <f t="shared" si="48"/>
        <v>756.8</v>
      </c>
      <c r="W210" s="6">
        <f t="shared" si="49"/>
        <v>34.6263213530655</v>
      </c>
      <c r="X210">
        <v>1800</v>
      </c>
      <c r="AD210">
        <f t="shared" si="50"/>
        <v>686</v>
      </c>
      <c r="AF210">
        <f t="shared" si="51"/>
        <v>13.8</v>
      </c>
      <c r="AG210" t="e">
        <f ca="1" t="shared" si="52"/>
        <v>#N/A</v>
      </c>
      <c r="AH210">
        <f t="shared" si="53"/>
        <v>16.1</v>
      </c>
      <c r="AI210" t="e">
        <f ca="1" t="shared" si="54"/>
        <v>#N/A</v>
      </c>
    </row>
    <row r="211" spans="2:35">
      <c r="B211">
        <f t="shared" si="55"/>
        <v>2.45714285714286</v>
      </c>
      <c r="C211">
        <v>205</v>
      </c>
      <c r="D211">
        <v>370</v>
      </c>
      <c r="E211">
        <f t="shared" si="43"/>
        <v>234</v>
      </c>
      <c r="F211">
        <v>344</v>
      </c>
      <c r="G211">
        <v>40</v>
      </c>
      <c r="H211">
        <v>8</v>
      </c>
      <c r="I211">
        <v>0.5</v>
      </c>
      <c r="J211">
        <v>5</v>
      </c>
      <c r="K211">
        <v>2</v>
      </c>
      <c r="L211">
        <v>1</v>
      </c>
      <c r="M211">
        <v>0.1</v>
      </c>
      <c r="N211">
        <v>21318</v>
      </c>
      <c r="O211">
        <v>1.5</v>
      </c>
      <c r="P211">
        <f t="shared" si="44"/>
        <v>344</v>
      </c>
      <c r="Q211">
        <v>12</v>
      </c>
      <c r="R211">
        <f t="shared" si="45"/>
        <v>26281.6</v>
      </c>
      <c r="S211">
        <f t="shared" si="46"/>
        <v>9632</v>
      </c>
      <c r="T211">
        <f t="shared" si="47"/>
        <v>344</v>
      </c>
      <c r="U211">
        <v>0</v>
      </c>
      <c r="V211">
        <f t="shared" si="48"/>
        <v>756.8</v>
      </c>
      <c r="W211" s="6">
        <f t="shared" si="49"/>
        <v>34.7272727272727</v>
      </c>
      <c r="X211">
        <v>1800</v>
      </c>
      <c r="AD211">
        <f t="shared" si="50"/>
        <v>688</v>
      </c>
      <c r="AF211">
        <f t="shared" si="51"/>
        <v>13.8</v>
      </c>
      <c r="AG211" t="e">
        <f ca="1" t="shared" si="52"/>
        <v>#N/A</v>
      </c>
      <c r="AH211">
        <f t="shared" si="53"/>
        <v>16.1</v>
      </c>
      <c r="AI211" t="e">
        <f ca="1" t="shared" si="54"/>
        <v>#N/A</v>
      </c>
    </row>
    <row r="212" spans="2:35">
      <c r="B212">
        <f t="shared" si="55"/>
        <v>2.46428571428571</v>
      </c>
      <c r="C212">
        <v>206</v>
      </c>
      <c r="D212">
        <v>373</v>
      </c>
      <c r="E212">
        <f t="shared" si="43"/>
        <v>236</v>
      </c>
      <c r="F212">
        <v>345</v>
      </c>
      <c r="G212">
        <v>40</v>
      </c>
      <c r="H212">
        <v>8</v>
      </c>
      <c r="I212">
        <v>0.5</v>
      </c>
      <c r="J212">
        <v>5</v>
      </c>
      <c r="K212">
        <v>2</v>
      </c>
      <c r="L212">
        <v>1</v>
      </c>
      <c r="M212">
        <v>0.1</v>
      </c>
      <c r="N212">
        <v>21318</v>
      </c>
      <c r="O212">
        <v>1.5</v>
      </c>
      <c r="P212">
        <f t="shared" si="44"/>
        <v>345</v>
      </c>
      <c r="Q212">
        <v>12</v>
      </c>
      <c r="R212">
        <f t="shared" si="45"/>
        <v>26358</v>
      </c>
      <c r="S212">
        <f t="shared" si="46"/>
        <v>9660</v>
      </c>
      <c r="T212">
        <f t="shared" si="47"/>
        <v>345</v>
      </c>
      <c r="U212">
        <v>0</v>
      </c>
      <c r="V212">
        <f t="shared" si="48"/>
        <v>756.8</v>
      </c>
      <c r="W212" s="6">
        <f t="shared" si="49"/>
        <v>34.8282241014799</v>
      </c>
      <c r="X212">
        <v>1800</v>
      </c>
      <c r="AD212">
        <f t="shared" si="50"/>
        <v>690</v>
      </c>
      <c r="AF212">
        <f t="shared" si="51"/>
        <v>13.8</v>
      </c>
      <c r="AG212" t="e">
        <f ca="1" t="shared" si="52"/>
        <v>#N/A</v>
      </c>
      <c r="AH212">
        <f t="shared" si="53"/>
        <v>16.1</v>
      </c>
      <c r="AI212" t="e">
        <f ca="1" t="shared" si="54"/>
        <v>#N/A</v>
      </c>
    </row>
    <row r="213" spans="2:35">
      <c r="B213">
        <f t="shared" si="55"/>
        <v>2.47142857142857</v>
      </c>
      <c r="C213">
        <v>207</v>
      </c>
      <c r="D213">
        <v>376</v>
      </c>
      <c r="E213">
        <f t="shared" si="43"/>
        <v>238</v>
      </c>
      <c r="F213">
        <v>346</v>
      </c>
      <c r="G213">
        <v>40</v>
      </c>
      <c r="H213">
        <v>8</v>
      </c>
      <c r="I213">
        <v>0.5</v>
      </c>
      <c r="J213">
        <v>5</v>
      </c>
      <c r="K213">
        <v>2</v>
      </c>
      <c r="L213">
        <v>1</v>
      </c>
      <c r="M213">
        <v>0.1</v>
      </c>
      <c r="N213">
        <v>21318</v>
      </c>
      <c r="O213">
        <v>1.5</v>
      </c>
      <c r="P213">
        <f t="shared" si="44"/>
        <v>346</v>
      </c>
      <c r="Q213">
        <v>12</v>
      </c>
      <c r="R213">
        <f t="shared" si="45"/>
        <v>26434.4</v>
      </c>
      <c r="S213">
        <f t="shared" si="46"/>
        <v>9688</v>
      </c>
      <c r="T213">
        <f t="shared" si="47"/>
        <v>346</v>
      </c>
      <c r="U213">
        <v>0</v>
      </c>
      <c r="V213">
        <f t="shared" si="48"/>
        <v>756.8</v>
      </c>
      <c r="W213" s="6">
        <f t="shared" si="49"/>
        <v>34.9291754756871</v>
      </c>
      <c r="X213">
        <v>1800</v>
      </c>
      <c r="AD213">
        <f t="shared" si="50"/>
        <v>692</v>
      </c>
      <c r="AF213">
        <f t="shared" si="51"/>
        <v>13.8</v>
      </c>
      <c r="AG213" t="e">
        <f ca="1" t="shared" si="52"/>
        <v>#N/A</v>
      </c>
      <c r="AH213">
        <f t="shared" si="53"/>
        <v>16.1</v>
      </c>
      <c r="AI213" t="e">
        <f ca="1" t="shared" si="54"/>
        <v>#N/A</v>
      </c>
    </row>
    <row r="214" spans="2:35">
      <c r="B214">
        <f t="shared" si="55"/>
        <v>2.47857142857143</v>
      </c>
      <c r="C214">
        <v>208</v>
      </c>
      <c r="D214">
        <v>379</v>
      </c>
      <c r="E214">
        <f t="shared" si="43"/>
        <v>240</v>
      </c>
      <c r="F214">
        <v>347</v>
      </c>
      <c r="G214">
        <v>40</v>
      </c>
      <c r="H214">
        <v>8</v>
      </c>
      <c r="I214">
        <v>0.5</v>
      </c>
      <c r="J214">
        <v>5</v>
      </c>
      <c r="K214">
        <v>2</v>
      </c>
      <c r="L214">
        <v>1</v>
      </c>
      <c r="M214">
        <v>0.1</v>
      </c>
      <c r="N214">
        <v>21318</v>
      </c>
      <c r="O214">
        <v>1.5</v>
      </c>
      <c r="P214">
        <f t="shared" si="44"/>
        <v>347</v>
      </c>
      <c r="Q214">
        <v>12</v>
      </c>
      <c r="R214">
        <f t="shared" si="45"/>
        <v>26510.8</v>
      </c>
      <c r="S214">
        <f t="shared" si="46"/>
        <v>9716</v>
      </c>
      <c r="T214">
        <f t="shared" si="47"/>
        <v>347</v>
      </c>
      <c r="U214">
        <v>0</v>
      </c>
      <c r="V214">
        <f t="shared" si="48"/>
        <v>756.8</v>
      </c>
      <c r="W214" s="6">
        <f t="shared" si="49"/>
        <v>35.0301268498943</v>
      </c>
      <c r="X214">
        <v>1800</v>
      </c>
      <c r="AD214">
        <f t="shared" si="50"/>
        <v>694</v>
      </c>
      <c r="AF214">
        <f t="shared" si="51"/>
        <v>13.8</v>
      </c>
      <c r="AG214" t="e">
        <f ca="1" t="shared" si="52"/>
        <v>#N/A</v>
      </c>
      <c r="AH214">
        <f t="shared" si="53"/>
        <v>16.1</v>
      </c>
      <c r="AI214" t="e">
        <f ca="1" t="shared" si="54"/>
        <v>#N/A</v>
      </c>
    </row>
    <row r="215" spans="2:35">
      <c r="B215">
        <f t="shared" si="55"/>
        <v>2.48571428571429</v>
      </c>
      <c r="C215">
        <v>209</v>
      </c>
      <c r="D215">
        <v>382</v>
      </c>
      <c r="E215">
        <f t="shared" si="43"/>
        <v>242</v>
      </c>
      <c r="F215">
        <v>348</v>
      </c>
      <c r="G215">
        <v>40</v>
      </c>
      <c r="H215">
        <v>8</v>
      </c>
      <c r="I215">
        <v>0.5</v>
      </c>
      <c r="J215">
        <v>5</v>
      </c>
      <c r="K215">
        <v>2</v>
      </c>
      <c r="L215">
        <v>1</v>
      </c>
      <c r="M215">
        <v>0.1</v>
      </c>
      <c r="N215">
        <v>21318</v>
      </c>
      <c r="O215">
        <v>1.5</v>
      </c>
      <c r="P215">
        <f t="shared" si="44"/>
        <v>348</v>
      </c>
      <c r="Q215">
        <v>12</v>
      </c>
      <c r="R215">
        <f t="shared" si="45"/>
        <v>26587.2</v>
      </c>
      <c r="S215">
        <f t="shared" si="46"/>
        <v>9744</v>
      </c>
      <c r="T215">
        <f t="shared" si="47"/>
        <v>348</v>
      </c>
      <c r="U215">
        <v>0</v>
      </c>
      <c r="V215">
        <f t="shared" si="48"/>
        <v>756.8</v>
      </c>
      <c r="W215" s="6">
        <f t="shared" si="49"/>
        <v>35.1310782241015</v>
      </c>
      <c r="X215">
        <v>1800</v>
      </c>
      <c r="AD215">
        <f t="shared" si="50"/>
        <v>696</v>
      </c>
      <c r="AF215">
        <f t="shared" si="51"/>
        <v>13.8</v>
      </c>
      <c r="AG215" t="e">
        <f ca="1" t="shared" si="52"/>
        <v>#N/A</v>
      </c>
      <c r="AH215">
        <f t="shared" si="53"/>
        <v>16.1</v>
      </c>
      <c r="AI215" t="e">
        <f ca="1" t="shared" si="54"/>
        <v>#N/A</v>
      </c>
    </row>
    <row r="216" spans="2:35">
      <c r="B216">
        <f t="shared" si="55"/>
        <v>2.49285714285714</v>
      </c>
      <c r="C216">
        <v>210</v>
      </c>
      <c r="D216">
        <v>385</v>
      </c>
      <c r="E216">
        <f t="shared" si="43"/>
        <v>244</v>
      </c>
      <c r="F216">
        <v>349</v>
      </c>
      <c r="G216">
        <v>40</v>
      </c>
      <c r="H216">
        <v>8</v>
      </c>
      <c r="I216">
        <v>0.5</v>
      </c>
      <c r="J216">
        <v>5</v>
      </c>
      <c r="K216">
        <v>2</v>
      </c>
      <c r="L216">
        <v>1</v>
      </c>
      <c r="M216">
        <v>0.1</v>
      </c>
      <c r="N216">
        <v>21318</v>
      </c>
      <c r="O216">
        <v>1.5</v>
      </c>
      <c r="P216">
        <f t="shared" si="44"/>
        <v>349</v>
      </c>
      <c r="Q216">
        <v>12</v>
      </c>
      <c r="R216">
        <f t="shared" si="45"/>
        <v>26663.6</v>
      </c>
      <c r="S216">
        <f t="shared" si="46"/>
        <v>9772</v>
      </c>
      <c r="T216">
        <f t="shared" si="47"/>
        <v>349</v>
      </c>
      <c r="U216">
        <v>0</v>
      </c>
      <c r="V216">
        <f t="shared" si="48"/>
        <v>756.8</v>
      </c>
      <c r="W216" s="6">
        <f t="shared" si="49"/>
        <v>35.2320295983087</v>
      </c>
      <c r="X216">
        <v>1800</v>
      </c>
      <c r="AD216">
        <f t="shared" si="50"/>
        <v>698</v>
      </c>
      <c r="AF216">
        <f t="shared" si="51"/>
        <v>13.8</v>
      </c>
      <c r="AG216" t="e">
        <f ca="1" t="shared" si="52"/>
        <v>#N/A</v>
      </c>
      <c r="AH216">
        <f t="shared" si="53"/>
        <v>16.1</v>
      </c>
      <c r="AI216" t="e">
        <f ca="1" t="shared" si="54"/>
        <v>#N/A</v>
      </c>
    </row>
    <row r="217" spans="2:35">
      <c r="B217">
        <f t="shared" si="55"/>
        <v>2.5</v>
      </c>
      <c r="C217">
        <v>211</v>
      </c>
      <c r="D217">
        <v>388</v>
      </c>
      <c r="E217">
        <f t="shared" si="43"/>
        <v>246</v>
      </c>
      <c r="F217">
        <v>350</v>
      </c>
      <c r="G217">
        <v>40</v>
      </c>
      <c r="H217">
        <v>8</v>
      </c>
      <c r="I217">
        <v>0.5</v>
      </c>
      <c r="J217">
        <v>5</v>
      </c>
      <c r="K217">
        <v>2</v>
      </c>
      <c r="L217">
        <v>1</v>
      </c>
      <c r="M217">
        <v>0.1</v>
      </c>
      <c r="N217">
        <v>21318</v>
      </c>
      <c r="O217">
        <v>1.5</v>
      </c>
      <c r="P217">
        <f t="shared" si="44"/>
        <v>350</v>
      </c>
      <c r="Q217">
        <v>12</v>
      </c>
      <c r="R217">
        <f t="shared" si="45"/>
        <v>26740</v>
      </c>
      <c r="S217">
        <f t="shared" si="46"/>
        <v>9800</v>
      </c>
      <c r="T217">
        <f t="shared" si="47"/>
        <v>350</v>
      </c>
      <c r="U217">
        <v>0</v>
      </c>
      <c r="V217">
        <f t="shared" si="48"/>
        <v>756.8</v>
      </c>
      <c r="W217" s="6">
        <f t="shared" si="49"/>
        <v>35.3329809725159</v>
      </c>
      <c r="X217">
        <v>1800</v>
      </c>
      <c r="AD217">
        <f t="shared" si="50"/>
        <v>700</v>
      </c>
      <c r="AF217">
        <f t="shared" si="51"/>
        <v>13.8</v>
      </c>
      <c r="AG217" t="e">
        <f ca="1" t="shared" si="52"/>
        <v>#N/A</v>
      </c>
      <c r="AH217">
        <f t="shared" si="53"/>
        <v>16.1</v>
      </c>
      <c r="AI217" t="e">
        <f ca="1" t="shared" si="54"/>
        <v>#N/A</v>
      </c>
    </row>
    <row r="218" spans="2:35">
      <c r="B218">
        <f t="shared" si="55"/>
        <v>2.50714285714286</v>
      </c>
      <c r="C218">
        <v>212</v>
      </c>
      <c r="D218">
        <v>391</v>
      </c>
      <c r="E218">
        <f t="shared" si="43"/>
        <v>248</v>
      </c>
      <c r="F218">
        <v>351</v>
      </c>
      <c r="G218">
        <v>40</v>
      </c>
      <c r="H218">
        <v>8</v>
      </c>
      <c r="I218">
        <v>0.5</v>
      </c>
      <c r="J218">
        <v>5</v>
      </c>
      <c r="K218">
        <v>2</v>
      </c>
      <c r="L218">
        <v>1</v>
      </c>
      <c r="M218">
        <v>0.1</v>
      </c>
      <c r="N218">
        <v>21318</v>
      </c>
      <c r="O218">
        <v>1.5</v>
      </c>
      <c r="P218">
        <f t="shared" si="44"/>
        <v>351</v>
      </c>
      <c r="Q218">
        <v>12</v>
      </c>
      <c r="R218">
        <f t="shared" si="45"/>
        <v>26816.4</v>
      </c>
      <c r="S218">
        <f t="shared" si="46"/>
        <v>9828</v>
      </c>
      <c r="T218">
        <f t="shared" si="47"/>
        <v>351</v>
      </c>
      <c r="U218">
        <v>0</v>
      </c>
      <c r="V218">
        <f t="shared" si="48"/>
        <v>756.8</v>
      </c>
      <c r="W218" s="6">
        <f t="shared" si="49"/>
        <v>35.433932346723</v>
      </c>
      <c r="X218">
        <v>1800</v>
      </c>
      <c r="AD218">
        <f t="shared" si="50"/>
        <v>702</v>
      </c>
      <c r="AF218">
        <f t="shared" si="51"/>
        <v>13.8</v>
      </c>
      <c r="AG218" t="e">
        <f ca="1" t="shared" si="52"/>
        <v>#N/A</v>
      </c>
      <c r="AH218">
        <f t="shared" si="53"/>
        <v>16.1</v>
      </c>
      <c r="AI218" t="e">
        <f ca="1" t="shared" si="54"/>
        <v>#N/A</v>
      </c>
    </row>
    <row r="219" spans="2:35">
      <c r="B219">
        <f t="shared" si="55"/>
        <v>2.51428571428571</v>
      </c>
      <c r="C219">
        <v>213</v>
      </c>
      <c r="D219">
        <v>394</v>
      </c>
      <c r="E219">
        <f t="shared" si="43"/>
        <v>250</v>
      </c>
      <c r="F219">
        <v>352</v>
      </c>
      <c r="G219">
        <v>40</v>
      </c>
      <c r="H219">
        <v>8</v>
      </c>
      <c r="I219">
        <v>0.5</v>
      </c>
      <c r="J219">
        <v>5</v>
      </c>
      <c r="K219">
        <v>2</v>
      </c>
      <c r="L219">
        <v>1</v>
      </c>
      <c r="M219">
        <v>0.1</v>
      </c>
      <c r="N219">
        <v>21318</v>
      </c>
      <c r="O219">
        <v>1.5</v>
      </c>
      <c r="P219">
        <f t="shared" si="44"/>
        <v>352</v>
      </c>
      <c r="Q219">
        <v>12</v>
      </c>
      <c r="R219">
        <f t="shared" si="45"/>
        <v>26892.8</v>
      </c>
      <c r="S219">
        <f t="shared" si="46"/>
        <v>9856</v>
      </c>
      <c r="T219">
        <f t="shared" si="47"/>
        <v>352</v>
      </c>
      <c r="U219">
        <v>0</v>
      </c>
      <c r="V219">
        <f t="shared" si="48"/>
        <v>756.8</v>
      </c>
      <c r="W219" s="6">
        <f t="shared" si="49"/>
        <v>35.5348837209302</v>
      </c>
      <c r="X219">
        <v>1800</v>
      </c>
      <c r="AD219">
        <f t="shared" si="50"/>
        <v>704</v>
      </c>
      <c r="AF219">
        <f t="shared" si="51"/>
        <v>13.8</v>
      </c>
      <c r="AG219" t="e">
        <f ca="1" t="shared" si="52"/>
        <v>#N/A</v>
      </c>
      <c r="AH219">
        <f t="shared" si="53"/>
        <v>16.1</v>
      </c>
      <c r="AI219" t="e">
        <f ca="1" t="shared" si="54"/>
        <v>#N/A</v>
      </c>
    </row>
    <row r="220" spans="2:35">
      <c r="B220">
        <f t="shared" si="55"/>
        <v>2.52142857142857</v>
      </c>
      <c r="C220">
        <v>214</v>
      </c>
      <c r="D220">
        <v>397</v>
      </c>
      <c r="E220">
        <f t="shared" si="43"/>
        <v>252</v>
      </c>
      <c r="F220">
        <v>353</v>
      </c>
      <c r="G220">
        <v>40</v>
      </c>
      <c r="H220">
        <v>8</v>
      </c>
      <c r="I220">
        <v>0.5</v>
      </c>
      <c r="J220">
        <v>5</v>
      </c>
      <c r="K220">
        <v>2</v>
      </c>
      <c r="L220">
        <v>1</v>
      </c>
      <c r="M220">
        <v>0.1</v>
      </c>
      <c r="N220">
        <v>21318</v>
      </c>
      <c r="O220">
        <v>1.5</v>
      </c>
      <c r="P220">
        <f t="shared" si="44"/>
        <v>353</v>
      </c>
      <c r="Q220">
        <v>12</v>
      </c>
      <c r="R220">
        <f t="shared" si="45"/>
        <v>26969.2</v>
      </c>
      <c r="S220">
        <f t="shared" si="46"/>
        <v>9884</v>
      </c>
      <c r="T220">
        <f t="shared" si="47"/>
        <v>353</v>
      </c>
      <c r="U220">
        <v>0</v>
      </c>
      <c r="V220">
        <f t="shared" si="48"/>
        <v>756.8</v>
      </c>
      <c r="W220" s="6">
        <f t="shared" si="49"/>
        <v>35.6358350951374</v>
      </c>
      <c r="X220">
        <v>1800</v>
      </c>
      <c r="AD220">
        <f t="shared" si="50"/>
        <v>706</v>
      </c>
      <c r="AF220">
        <f t="shared" si="51"/>
        <v>13.8</v>
      </c>
      <c r="AG220" t="e">
        <f ca="1" t="shared" si="52"/>
        <v>#N/A</v>
      </c>
      <c r="AH220">
        <f t="shared" si="53"/>
        <v>16.1</v>
      </c>
      <c r="AI220" t="e">
        <f ca="1" t="shared" si="54"/>
        <v>#N/A</v>
      </c>
    </row>
    <row r="221" spans="2:35">
      <c r="B221">
        <f t="shared" si="55"/>
        <v>2.52857142857143</v>
      </c>
      <c r="C221">
        <v>215</v>
      </c>
      <c r="D221">
        <v>400</v>
      </c>
      <c r="E221">
        <f t="shared" si="43"/>
        <v>254</v>
      </c>
      <c r="F221">
        <v>354</v>
      </c>
      <c r="G221">
        <v>40</v>
      </c>
      <c r="H221">
        <v>8</v>
      </c>
      <c r="I221">
        <v>0.5</v>
      </c>
      <c r="J221">
        <v>5</v>
      </c>
      <c r="K221">
        <v>2</v>
      </c>
      <c r="L221">
        <v>1</v>
      </c>
      <c r="M221">
        <v>0.1</v>
      </c>
      <c r="N221">
        <v>21318</v>
      </c>
      <c r="O221">
        <v>1.5</v>
      </c>
      <c r="P221">
        <f t="shared" si="44"/>
        <v>354</v>
      </c>
      <c r="Q221">
        <v>12</v>
      </c>
      <c r="R221">
        <f t="shared" si="45"/>
        <v>27045.6</v>
      </c>
      <c r="S221">
        <f t="shared" si="46"/>
        <v>9912</v>
      </c>
      <c r="T221">
        <f t="shared" si="47"/>
        <v>354</v>
      </c>
      <c r="U221">
        <v>0</v>
      </c>
      <c r="V221">
        <f t="shared" si="48"/>
        <v>756.8</v>
      </c>
      <c r="W221" s="6">
        <f t="shared" si="49"/>
        <v>35.7367864693446</v>
      </c>
      <c r="X221">
        <v>1800</v>
      </c>
      <c r="AD221">
        <f t="shared" si="50"/>
        <v>708</v>
      </c>
      <c r="AF221">
        <f t="shared" si="51"/>
        <v>13.8</v>
      </c>
      <c r="AG221" t="e">
        <f ca="1" t="shared" si="52"/>
        <v>#N/A</v>
      </c>
      <c r="AH221">
        <f t="shared" si="53"/>
        <v>16.1</v>
      </c>
      <c r="AI221" t="e">
        <f ca="1" t="shared" si="54"/>
        <v>#N/A</v>
      </c>
    </row>
    <row r="222" spans="2:35">
      <c r="B222">
        <f t="shared" si="55"/>
        <v>2.53571428571429</v>
      </c>
      <c r="C222">
        <v>216</v>
      </c>
      <c r="D222">
        <v>403</v>
      </c>
      <c r="E222">
        <f t="shared" si="43"/>
        <v>256</v>
      </c>
      <c r="F222">
        <v>355</v>
      </c>
      <c r="G222">
        <v>40</v>
      </c>
      <c r="H222">
        <v>8</v>
      </c>
      <c r="I222">
        <v>0.5</v>
      </c>
      <c r="J222">
        <v>5</v>
      </c>
      <c r="K222">
        <v>2</v>
      </c>
      <c r="L222">
        <v>1</v>
      </c>
      <c r="M222">
        <v>0.1</v>
      </c>
      <c r="N222">
        <v>21318</v>
      </c>
      <c r="O222">
        <v>1.5</v>
      </c>
      <c r="P222">
        <f t="shared" si="44"/>
        <v>355</v>
      </c>
      <c r="Q222">
        <v>12</v>
      </c>
      <c r="R222">
        <f t="shared" si="45"/>
        <v>27122</v>
      </c>
      <c r="S222">
        <f t="shared" si="46"/>
        <v>9940</v>
      </c>
      <c r="T222">
        <f t="shared" si="47"/>
        <v>355</v>
      </c>
      <c r="U222">
        <v>0</v>
      </c>
      <c r="V222">
        <f t="shared" si="48"/>
        <v>756.8</v>
      </c>
      <c r="W222" s="6">
        <f t="shared" si="49"/>
        <v>35.8377378435518</v>
      </c>
      <c r="X222">
        <v>1800</v>
      </c>
      <c r="AD222">
        <f t="shared" si="50"/>
        <v>710</v>
      </c>
      <c r="AF222">
        <f t="shared" si="51"/>
        <v>13.8</v>
      </c>
      <c r="AG222" t="e">
        <f ca="1" t="shared" si="52"/>
        <v>#N/A</v>
      </c>
      <c r="AH222">
        <f t="shared" si="53"/>
        <v>16.1</v>
      </c>
      <c r="AI222" t="e">
        <f ca="1" t="shared" si="54"/>
        <v>#N/A</v>
      </c>
    </row>
    <row r="223" spans="2:35">
      <c r="B223">
        <f t="shared" si="55"/>
        <v>2.54285714285714</v>
      </c>
      <c r="C223">
        <v>217</v>
      </c>
      <c r="D223">
        <v>406</v>
      </c>
      <c r="E223">
        <f t="shared" si="43"/>
        <v>258</v>
      </c>
      <c r="F223">
        <v>356</v>
      </c>
      <c r="G223">
        <v>40</v>
      </c>
      <c r="H223">
        <v>8</v>
      </c>
      <c r="I223">
        <v>0.5</v>
      </c>
      <c r="J223">
        <v>5</v>
      </c>
      <c r="K223">
        <v>2</v>
      </c>
      <c r="L223">
        <v>1</v>
      </c>
      <c r="M223">
        <v>0.1</v>
      </c>
      <c r="N223">
        <v>21318</v>
      </c>
      <c r="O223">
        <v>1.5</v>
      </c>
      <c r="P223">
        <f t="shared" si="44"/>
        <v>356</v>
      </c>
      <c r="Q223">
        <v>12</v>
      </c>
      <c r="R223">
        <f t="shared" si="45"/>
        <v>27198.4</v>
      </c>
      <c r="S223">
        <f t="shared" si="46"/>
        <v>9968</v>
      </c>
      <c r="T223">
        <f t="shared" si="47"/>
        <v>356</v>
      </c>
      <c r="U223">
        <v>0</v>
      </c>
      <c r="V223">
        <f t="shared" si="48"/>
        <v>756.8</v>
      </c>
      <c r="W223" s="6">
        <f t="shared" si="49"/>
        <v>35.938689217759</v>
      </c>
      <c r="X223">
        <v>1800</v>
      </c>
      <c r="AD223">
        <f t="shared" si="50"/>
        <v>712</v>
      </c>
      <c r="AF223">
        <f t="shared" si="51"/>
        <v>13.8</v>
      </c>
      <c r="AG223" t="e">
        <f ca="1" t="shared" si="52"/>
        <v>#N/A</v>
      </c>
      <c r="AH223">
        <f t="shared" si="53"/>
        <v>16.1</v>
      </c>
      <c r="AI223" t="e">
        <f ca="1" t="shared" si="54"/>
        <v>#N/A</v>
      </c>
    </row>
    <row r="224" spans="2:35">
      <c r="B224">
        <f t="shared" si="55"/>
        <v>2.55</v>
      </c>
      <c r="C224">
        <v>218</v>
      </c>
      <c r="D224">
        <v>409</v>
      </c>
      <c r="E224">
        <f t="shared" si="43"/>
        <v>260</v>
      </c>
      <c r="F224">
        <v>357</v>
      </c>
      <c r="G224">
        <v>40</v>
      </c>
      <c r="H224">
        <v>8</v>
      </c>
      <c r="I224">
        <v>0.5</v>
      </c>
      <c r="J224">
        <v>5</v>
      </c>
      <c r="K224">
        <v>2</v>
      </c>
      <c r="L224">
        <v>1</v>
      </c>
      <c r="M224">
        <v>0.1</v>
      </c>
      <c r="N224">
        <v>21318</v>
      </c>
      <c r="O224">
        <v>1.5</v>
      </c>
      <c r="P224">
        <f t="shared" si="44"/>
        <v>357</v>
      </c>
      <c r="Q224">
        <v>12</v>
      </c>
      <c r="R224">
        <f t="shared" si="45"/>
        <v>27274.8</v>
      </c>
      <c r="S224">
        <f t="shared" si="46"/>
        <v>9996</v>
      </c>
      <c r="T224">
        <f t="shared" si="47"/>
        <v>357</v>
      </c>
      <c r="U224">
        <v>0</v>
      </c>
      <c r="V224">
        <f t="shared" si="48"/>
        <v>756.8</v>
      </c>
      <c r="W224" s="6">
        <f t="shared" si="49"/>
        <v>36.0396405919662</v>
      </c>
      <c r="X224">
        <v>1800</v>
      </c>
      <c r="AD224">
        <f t="shared" si="50"/>
        <v>714</v>
      </c>
      <c r="AF224">
        <f t="shared" si="51"/>
        <v>13.8</v>
      </c>
      <c r="AG224" t="e">
        <f ca="1" t="shared" si="52"/>
        <v>#N/A</v>
      </c>
      <c r="AH224">
        <f t="shared" si="53"/>
        <v>16.1</v>
      </c>
      <c r="AI224" t="e">
        <f ca="1" t="shared" si="54"/>
        <v>#N/A</v>
      </c>
    </row>
    <row r="225" spans="2:35">
      <c r="B225">
        <f t="shared" si="55"/>
        <v>2.55714285714286</v>
      </c>
      <c r="C225">
        <v>219</v>
      </c>
      <c r="D225">
        <v>412</v>
      </c>
      <c r="E225">
        <f t="shared" si="43"/>
        <v>262</v>
      </c>
      <c r="F225">
        <v>358</v>
      </c>
      <c r="G225">
        <v>40</v>
      </c>
      <c r="H225">
        <v>8</v>
      </c>
      <c r="I225">
        <v>0.5</v>
      </c>
      <c r="J225">
        <v>5</v>
      </c>
      <c r="K225">
        <v>2</v>
      </c>
      <c r="L225">
        <v>1</v>
      </c>
      <c r="M225">
        <v>0.1</v>
      </c>
      <c r="N225">
        <v>21318</v>
      </c>
      <c r="O225">
        <v>1.5</v>
      </c>
      <c r="P225">
        <f t="shared" si="44"/>
        <v>358</v>
      </c>
      <c r="Q225">
        <v>12</v>
      </c>
      <c r="R225">
        <f t="shared" si="45"/>
        <v>27351.2</v>
      </c>
      <c r="S225">
        <f t="shared" si="46"/>
        <v>10024</v>
      </c>
      <c r="T225">
        <f t="shared" si="47"/>
        <v>358</v>
      </c>
      <c r="U225">
        <v>0</v>
      </c>
      <c r="V225">
        <f t="shared" si="48"/>
        <v>756.8</v>
      </c>
      <c r="W225" s="6">
        <f t="shared" si="49"/>
        <v>36.1405919661734</v>
      </c>
      <c r="X225">
        <v>1800</v>
      </c>
      <c r="AD225">
        <f t="shared" si="50"/>
        <v>716</v>
      </c>
      <c r="AF225">
        <f t="shared" si="51"/>
        <v>13.8</v>
      </c>
      <c r="AG225" t="e">
        <f ca="1" t="shared" si="52"/>
        <v>#N/A</v>
      </c>
      <c r="AH225">
        <f t="shared" si="53"/>
        <v>16.1</v>
      </c>
      <c r="AI225" t="e">
        <f ca="1" t="shared" si="54"/>
        <v>#N/A</v>
      </c>
    </row>
    <row r="226" spans="2:35">
      <c r="B226">
        <f t="shared" si="55"/>
        <v>2.56428571428571</v>
      </c>
      <c r="C226">
        <v>220</v>
      </c>
      <c r="D226">
        <v>415</v>
      </c>
      <c r="E226">
        <f t="shared" si="43"/>
        <v>264</v>
      </c>
      <c r="F226">
        <v>359</v>
      </c>
      <c r="G226">
        <v>40</v>
      </c>
      <c r="H226">
        <v>8</v>
      </c>
      <c r="I226">
        <v>0.5</v>
      </c>
      <c r="J226">
        <v>5</v>
      </c>
      <c r="K226">
        <v>2</v>
      </c>
      <c r="L226">
        <v>1</v>
      </c>
      <c r="M226">
        <v>0.1</v>
      </c>
      <c r="N226">
        <v>21318</v>
      </c>
      <c r="O226">
        <v>1.5</v>
      </c>
      <c r="P226">
        <f t="shared" si="44"/>
        <v>359</v>
      </c>
      <c r="Q226">
        <v>12</v>
      </c>
      <c r="R226">
        <f t="shared" si="45"/>
        <v>27427.6</v>
      </c>
      <c r="S226">
        <f t="shared" si="46"/>
        <v>10052</v>
      </c>
      <c r="T226">
        <f t="shared" si="47"/>
        <v>359</v>
      </c>
      <c r="U226">
        <v>0</v>
      </c>
      <c r="V226">
        <f t="shared" si="48"/>
        <v>756.8</v>
      </c>
      <c r="W226" s="6">
        <f t="shared" si="49"/>
        <v>36.2415433403806</v>
      </c>
      <c r="X226">
        <v>1800</v>
      </c>
      <c r="AD226">
        <f t="shared" si="50"/>
        <v>718</v>
      </c>
      <c r="AF226">
        <f t="shared" si="51"/>
        <v>13.8</v>
      </c>
      <c r="AG226" t="e">
        <f ca="1" t="shared" si="52"/>
        <v>#N/A</v>
      </c>
      <c r="AH226">
        <f t="shared" si="53"/>
        <v>16.1</v>
      </c>
      <c r="AI226" t="e">
        <f ca="1" t="shared" si="54"/>
        <v>#N/A</v>
      </c>
    </row>
    <row r="227" spans="2:35">
      <c r="B227">
        <f t="shared" si="55"/>
        <v>2.57142857142857</v>
      </c>
      <c r="C227">
        <v>221</v>
      </c>
      <c r="D227">
        <v>418</v>
      </c>
      <c r="E227">
        <f t="shared" si="43"/>
        <v>266</v>
      </c>
      <c r="F227">
        <v>360</v>
      </c>
      <c r="G227">
        <v>40</v>
      </c>
      <c r="H227">
        <v>8</v>
      </c>
      <c r="I227">
        <v>0.5</v>
      </c>
      <c r="J227">
        <v>5</v>
      </c>
      <c r="K227">
        <v>2</v>
      </c>
      <c r="L227">
        <v>1</v>
      </c>
      <c r="M227">
        <v>0.1</v>
      </c>
      <c r="N227">
        <v>21318</v>
      </c>
      <c r="O227">
        <v>1.5</v>
      </c>
      <c r="P227">
        <f t="shared" si="44"/>
        <v>360</v>
      </c>
      <c r="Q227">
        <v>12</v>
      </c>
      <c r="R227">
        <f t="shared" si="45"/>
        <v>27504</v>
      </c>
      <c r="S227">
        <f t="shared" si="46"/>
        <v>10080</v>
      </c>
      <c r="T227">
        <f t="shared" si="47"/>
        <v>360</v>
      </c>
      <c r="U227">
        <v>0</v>
      </c>
      <c r="V227">
        <f t="shared" si="48"/>
        <v>756.8</v>
      </c>
      <c r="W227" s="6">
        <f t="shared" si="49"/>
        <v>36.3424947145877</v>
      </c>
      <c r="X227">
        <v>1800</v>
      </c>
      <c r="AD227">
        <f t="shared" si="50"/>
        <v>720</v>
      </c>
      <c r="AF227">
        <f t="shared" si="51"/>
        <v>13.8</v>
      </c>
      <c r="AG227" t="e">
        <f ca="1" t="shared" si="52"/>
        <v>#N/A</v>
      </c>
      <c r="AH227">
        <f t="shared" si="53"/>
        <v>16.1</v>
      </c>
      <c r="AI227" t="e">
        <f ca="1" t="shared" si="54"/>
        <v>#N/A</v>
      </c>
    </row>
    <row r="228" spans="2:35">
      <c r="B228">
        <f t="shared" si="55"/>
        <v>2.57857142857143</v>
      </c>
      <c r="C228">
        <v>222</v>
      </c>
      <c r="D228">
        <v>421</v>
      </c>
      <c r="E228">
        <f t="shared" si="43"/>
        <v>268</v>
      </c>
      <c r="F228">
        <v>361</v>
      </c>
      <c r="G228">
        <v>40</v>
      </c>
      <c r="H228">
        <v>8</v>
      </c>
      <c r="I228">
        <v>0.5</v>
      </c>
      <c r="J228">
        <v>5</v>
      </c>
      <c r="K228">
        <v>2</v>
      </c>
      <c r="L228">
        <v>1</v>
      </c>
      <c r="M228">
        <v>0.1</v>
      </c>
      <c r="N228">
        <v>21318</v>
      </c>
      <c r="O228">
        <v>1.5</v>
      </c>
      <c r="P228">
        <f t="shared" si="44"/>
        <v>361</v>
      </c>
      <c r="Q228">
        <v>12</v>
      </c>
      <c r="R228">
        <f t="shared" si="45"/>
        <v>27580.4</v>
      </c>
      <c r="S228">
        <f t="shared" si="46"/>
        <v>10108</v>
      </c>
      <c r="T228">
        <f t="shared" si="47"/>
        <v>361</v>
      </c>
      <c r="U228">
        <v>0</v>
      </c>
      <c r="V228">
        <f t="shared" si="48"/>
        <v>756.8</v>
      </c>
      <c r="W228" s="6">
        <f t="shared" si="49"/>
        <v>36.4434460887949</v>
      </c>
      <c r="X228">
        <v>1800</v>
      </c>
      <c r="AD228">
        <f t="shared" si="50"/>
        <v>722</v>
      </c>
      <c r="AF228">
        <f t="shared" si="51"/>
        <v>13.8</v>
      </c>
      <c r="AG228" t="e">
        <f ca="1" t="shared" si="52"/>
        <v>#N/A</v>
      </c>
      <c r="AH228">
        <f t="shared" si="53"/>
        <v>16.1</v>
      </c>
      <c r="AI228" t="e">
        <f ca="1" t="shared" si="54"/>
        <v>#N/A</v>
      </c>
    </row>
    <row r="229" spans="2:35">
      <c r="B229">
        <f t="shared" si="55"/>
        <v>2.58571428571429</v>
      </c>
      <c r="C229">
        <v>223</v>
      </c>
      <c r="D229">
        <v>424</v>
      </c>
      <c r="E229">
        <f t="shared" si="43"/>
        <v>270</v>
      </c>
      <c r="F229">
        <v>362</v>
      </c>
      <c r="G229">
        <v>40</v>
      </c>
      <c r="H229">
        <v>8</v>
      </c>
      <c r="I229">
        <v>0.5</v>
      </c>
      <c r="J229">
        <v>5</v>
      </c>
      <c r="K229">
        <v>2</v>
      </c>
      <c r="L229">
        <v>1</v>
      </c>
      <c r="M229">
        <v>0.1</v>
      </c>
      <c r="N229">
        <v>21318</v>
      </c>
      <c r="O229">
        <v>1.5</v>
      </c>
      <c r="P229">
        <f t="shared" si="44"/>
        <v>362</v>
      </c>
      <c r="Q229">
        <v>12</v>
      </c>
      <c r="R229">
        <f t="shared" si="45"/>
        <v>27656.8</v>
      </c>
      <c r="S229">
        <f t="shared" si="46"/>
        <v>10136</v>
      </c>
      <c r="T229">
        <f t="shared" si="47"/>
        <v>362</v>
      </c>
      <c r="U229">
        <v>0</v>
      </c>
      <c r="V229">
        <f t="shared" si="48"/>
        <v>756.8</v>
      </c>
      <c r="W229" s="6">
        <f t="shared" si="49"/>
        <v>36.5443974630021</v>
      </c>
      <c r="X229">
        <v>1800</v>
      </c>
      <c r="AD229">
        <f t="shared" si="50"/>
        <v>724</v>
      </c>
      <c r="AF229">
        <f t="shared" si="51"/>
        <v>13.8</v>
      </c>
      <c r="AG229" t="e">
        <f ca="1" t="shared" si="52"/>
        <v>#N/A</v>
      </c>
      <c r="AH229">
        <f t="shared" si="53"/>
        <v>16.1</v>
      </c>
      <c r="AI229" t="e">
        <f ca="1" t="shared" si="54"/>
        <v>#N/A</v>
      </c>
    </row>
    <row r="230" spans="2:35">
      <c r="B230">
        <f t="shared" si="55"/>
        <v>2.59285714285714</v>
      </c>
      <c r="C230">
        <v>224</v>
      </c>
      <c r="D230">
        <v>427</v>
      </c>
      <c r="E230">
        <f t="shared" si="43"/>
        <v>272</v>
      </c>
      <c r="F230">
        <v>363</v>
      </c>
      <c r="G230">
        <v>40</v>
      </c>
      <c r="H230">
        <v>8</v>
      </c>
      <c r="I230">
        <v>0.5</v>
      </c>
      <c r="J230">
        <v>5</v>
      </c>
      <c r="K230">
        <v>2</v>
      </c>
      <c r="L230">
        <v>1</v>
      </c>
      <c r="M230">
        <v>0.1</v>
      </c>
      <c r="N230">
        <v>21318</v>
      </c>
      <c r="O230">
        <v>1.5</v>
      </c>
      <c r="P230">
        <f t="shared" si="44"/>
        <v>363</v>
      </c>
      <c r="Q230">
        <v>12</v>
      </c>
      <c r="R230">
        <f t="shared" si="45"/>
        <v>27733.2</v>
      </c>
      <c r="S230">
        <f t="shared" si="46"/>
        <v>10164</v>
      </c>
      <c r="T230">
        <f t="shared" si="47"/>
        <v>363</v>
      </c>
      <c r="U230">
        <v>0</v>
      </c>
      <c r="V230">
        <f t="shared" si="48"/>
        <v>756.8</v>
      </c>
      <c r="W230" s="6">
        <f t="shared" si="49"/>
        <v>36.6453488372093</v>
      </c>
      <c r="X230">
        <v>1800</v>
      </c>
      <c r="AD230">
        <f t="shared" si="50"/>
        <v>726</v>
      </c>
      <c r="AF230">
        <f t="shared" si="51"/>
        <v>13.8</v>
      </c>
      <c r="AG230" t="e">
        <f ca="1" t="shared" si="52"/>
        <v>#N/A</v>
      </c>
      <c r="AH230">
        <f t="shared" si="53"/>
        <v>16.1</v>
      </c>
      <c r="AI230" t="e">
        <f ca="1" t="shared" si="54"/>
        <v>#N/A</v>
      </c>
    </row>
    <row r="231" spans="2:35">
      <c r="B231">
        <f t="shared" si="55"/>
        <v>2.6</v>
      </c>
      <c r="C231">
        <v>225</v>
      </c>
      <c r="D231">
        <v>430</v>
      </c>
      <c r="E231">
        <f t="shared" si="43"/>
        <v>274</v>
      </c>
      <c r="F231">
        <v>364</v>
      </c>
      <c r="G231">
        <v>40</v>
      </c>
      <c r="H231">
        <v>8</v>
      </c>
      <c r="I231">
        <v>0.5</v>
      </c>
      <c r="J231">
        <v>5</v>
      </c>
      <c r="K231">
        <v>2</v>
      </c>
      <c r="L231">
        <v>1</v>
      </c>
      <c r="M231">
        <v>0.1</v>
      </c>
      <c r="N231">
        <v>21318</v>
      </c>
      <c r="O231">
        <v>1.5</v>
      </c>
      <c r="P231">
        <f t="shared" si="44"/>
        <v>364</v>
      </c>
      <c r="Q231">
        <v>12</v>
      </c>
      <c r="R231">
        <f t="shared" si="45"/>
        <v>27809.6</v>
      </c>
      <c r="S231">
        <f t="shared" si="46"/>
        <v>10192</v>
      </c>
      <c r="T231">
        <f t="shared" si="47"/>
        <v>364</v>
      </c>
      <c r="U231">
        <v>0</v>
      </c>
      <c r="V231">
        <f t="shared" si="48"/>
        <v>756.8</v>
      </c>
      <c r="W231" s="6">
        <f t="shared" si="49"/>
        <v>36.7463002114165</v>
      </c>
      <c r="X231">
        <v>1800</v>
      </c>
      <c r="AD231">
        <f t="shared" si="50"/>
        <v>728</v>
      </c>
      <c r="AF231">
        <f t="shared" si="51"/>
        <v>13.8</v>
      </c>
      <c r="AG231" t="e">
        <f ca="1" t="shared" si="52"/>
        <v>#N/A</v>
      </c>
      <c r="AH231">
        <f t="shared" si="53"/>
        <v>16.1</v>
      </c>
      <c r="AI231" t="e">
        <f ca="1" t="shared" si="54"/>
        <v>#N/A</v>
      </c>
    </row>
    <row r="232" spans="2:35">
      <c r="B232">
        <f t="shared" si="55"/>
        <v>2.60714285714286</v>
      </c>
      <c r="C232">
        <v>226</v>
      </c>
      <c r="D232">
        <v>433</v>
      </c>
      <c r="E232">
        <f t="shared" si="43"/>
        <v>276</v>
      </c>
      <c r="F232">
        <v>365</v>
      </c>
      <c r="G232">
        <v>40</v>
      </c>
      <c r="H232">
        <v>8</v>
      </c>
      <c r="I232">
        <v>0.5</v>
      </c>
      <c r="J232">
        <v>5</v>
      </c>
      <c r="K232">
        <v>2</v>
      </c>
      <c r="L232">
        <v>1</v>
      </c>
      <c r="M232">
        <v>0.1</v>
      </c>
      <c r="N232">
        <v>21318</v>
      </c>
      <c r="O232">
        <v>1.5</v>
      </c>
      <c r="P232">
        <f t="shared" si="44"/>
        <v>365</v>
      </c>
      <c r="Q232">
        <v>12</v>
      </c>
      <c r="R232">
        <f t="shared" si="45"/>
        <v>27886</v>
      </c>
      <c r="S232">
        <f t="shared" si="46"/>
        <v>10220</v>
      </c>
      <c r="T232">
        <f t="shared" si="47"/>
        <v>365</v>
      </c>
      <c r="U232">
        <v>0</v>
      </c>
      <c r="V232">
        <f t="shared" si="48"/>
        <v>756.8</v>
      </c>
      <c r="W232" s="6">
        <f t="shared" si="49"/>
        <v>36.8472515856237</v>
      </c>
      <c r="X232">
        <v>1800</v>
      </c>
      <c r="AD232">
        <f t="shared" si="50"/>
        <v>730</v>
      </c>
      <c r="AF232">
        <f t="shared" si="51"/>
        <v>13.8</v>
      </c>
      <c r="AG232" t="e">
        <f ca="1" t="shared" si="52"/>
        <v>#N/A</v>
      </c>
      <c r="AH232">
        <f t="shared" si="53"/>
        <v>16.1</v>
      </c>
      <c r="AI232" t="e">
        <f ca="1" t="shared" si="54"/>
        <v>#N/A</v>
      </c>
    </row>
    <row r="233" spans="2:35">
      <c r="B233">
        <f t="shared" si="55"/>
        <v>2.61428571428571</v>
      </c>
      <c r="C233">
        <v>227</v>
      </c>
      <c r="D233">
        <v>436</v>
      </c>
      <c r="E233">
        <f t="shared" si="43"/>
        <v>278</v>
      </c>
      <c r="F233">
        <v>366</v>
      </c>
      <c r="G233">
        <v>40</v>
      </c>
      <c r="H233">
        <v>8</v>
      </c>
      <c r="I233">
        <v>0.5</v>
      </c>
      <c r="J233">
        <v>5</v>
      </c>
      <c r="K233">
        <v>2</v>
      </c>
      <c r="L233">
        <v>1</v>
      </c>
      <c r="M233">
        <v>0.1</v>
      </c>
      <c r="N233">
        <v>21318</v>
      </c>
      <c r="O233">
        <v>1.5</v>
      </c>
      <c r="P233">
        <f t="shared" si="44"/>
        <v>366</v>
      </c>
      <c r="Q233">
        <v>12</v>
      </c>
      <c r="R233">
        <f t="shared" si="45"/>
        <v>27962.4</v>
      </c>
      <c r="S233">
        <f t="shared" si="46"/>
        <v>10248</v>
      </c>
      <c r="T233">
        <f t="shared" si="47"/>
        <v>366</v>
      </c>
      <c r="U233">
        <v>0</v>
      </c>
      <c r="V233">
        <f t="shared" si="48"/>
        <v>756.8</v>
      </c>
      <c r="W233" s="6">
        <f t="shared" si="49"/>
        <v>36.9482029598309</v>
      </c>
      <c r="X233">
        <v>1800</v>
      </c>
      <c r="AD233">
        <f t="shared" si="50"/>
        <v>732</v>
      </c>
      <c r="AF233">
        <f t="shared" si="51"/>
        <v>13.8</v>
      </c>
      <c r="AG233" t="e">
        <f ca="1" t="shared" si="52"/>
        <v>#N/A</v>
      </c>
      <c r="AH233">
        <f t="shared" si="53"/>
        <v>16.1</v>
      </c>
      <c r="AI233" t="e">
        <f ca="1" t="shared" si="54"/>
        <v>#N/A</v>
      </c>
    </row>
    <row r="234" spans="2:35">
      <c r="B234">
        <f t="shared" si="55"/>
        <v>2.62142857142857</v>
      </c>
      <c r="C234">
        <v>228</v>
      </c>
      <c r="D234">
        <v>439</v>
      </c>
      <c r="E234">
        <f t="shared" si="43"/>
        <v>280</v>
      </c>
      <c r="F234">
        <v>367</v>
      </c>
      <c r="G234">
        <v>40</v>
      </c>
      <c r="H234">
        <v>8</v>
      </c>
      <c r="I234">
        <v>0.5</v>
      </c>
      <c r="J234">
        <v>5</v>
      </c>
      <c r="K234">
        <v>2</v>
      </c>
      <c r="L234">
        <v>1</v>
      </c>
      <c r="M234">
        <v>0.1</v>
      </c>
      <c r="N234">
        <v>21318</v>
      </c>
      <c r="O234">
        <v>1.5</v>
      </c>
      <c r="P234">
        <f t="shared" si="44"/>
        <v>367</v>
      </c>
      <c r="Q234">
        <v>12</v>
      </c>
      <c r="R234">
        <f t="shared" si="45"/>
        <v>28038.8</v>
      </c>
      <c r="S234">
        <f t="shared" si="46"/>
        <v>10276</v>
      </c>
      <c r="T234">
        <f t="shared" si="47"/>
        <v>367</v>
      </c>
      <c r="U234">
        <v>0</v>
      </c>
      <c r="V234">
        <f t="shared" si="48"/>
        <v>756.8</v>
      </c>
      <c r="W234" s="6">
        <f t="shared" si="49"/>
        <v>37.0491543340381</v>
      </c>
      <c r="X234">
        <v>1800</v>
      </c>
      <c r="AD234">
        <f t="shared" si="50"/>
        <v>734</v>
      </c>
      <c r="AF234">
        <f t="shared" si="51"/>
        <v>13.8</v>
      </c>
      <c r="AG234" t="e">
        <f ca="1" t="shared" si="52"/>
        <v>#N/A</v>
      </c>
      <c r="AH234">
        <f t="shared" si="53"/>
        <v>16.1</v>
      </c>
      <c r="AI234" t="e">
        <f ca="1" t="shared" si="54"/>
        <v>#N/A</v>
      </c>
    </row>
    <row r="235" spans="2:35">
      <c r="B235">
        <f t="shared" si="55"/>
        <v>2.62857142857143</v>
      </c>
      <c r="C235">
        <v>229</v>
      </c>
      <c r="D235">
        <v>442</v>
      </c>
      <c r="E235">
        <f t="shared" si="43"/>
        <v>282</v>
      </c>
      <c r="F235">
        <v>368</v>
      </c>
      <c r="G235">
        <v>40</v>
      </c>
      <c r="H235">
        <v>8</v>
      </c>
      <c r="I235">
        <v>0.5</v>
      </c>
      <c r="J235">
        <v>5</v>
      </c>
      <c r="K235">
        <v>2</v>
      </c>
      <c r="L235">
        <v>1</v>
      </c>
      <c r="M235">
        <v>0.1</v>
      </c>
      <c r="N235">
        <v>21318</v>
      </c>
      <c r="O235">
        <v>1.5</v>
      </c>
      <c r="P235">
        <f t="shared" si="44"/>
        <v>368</v>
      </c>
      <c r="Q235">
        <v>12</v>
      </c>
      <c r="R235">
        <f t="shared" si="45"/>
        <v>28115.2</v>
      </c>
      <c r="S235">
        <f t="shared" si="46"/>
        <v>10304</v>
      </c>
      <c r="T235">
        <f t="shared" si="47"/>
        <v>368</v>
      </c>
      <c r="U235">
        <v>0</v>
      </c>
      <c r="V235">
        <f t="shared" si="48"/>
        <v>756.8</v>
      </c>
      <c r="W235" s="6">
        <f t="shared" si="49"/>
        <v>37.1501057082452</v>
      </c>
      <c r="X235">
        <v>1800</v>
      </c>
      <c r="AD235">
        <f t="shared" si="50"/>
        <v>736</v>
      </c>
      <c r="AF235">
        <f t="shared" si="51"/>
        <v>13.8</v>
      </c>
      <c r="AG235" t="e">
        <f ca="1" t="shared" si="52"/>
        <v>#N/A</v>
      </c>
      <c r="AH235">
        <f t="shared" si="53"/>
        <v>16.1</v>
      </c>
      <c r="AI235" t="e">
        <f ca="1" t="shared" si="54"/>
        <v>#N/A</v>
      </c>
    </row>
    <row r="236" spans="2:35">
      <c r="B236">
        <f t="shared" si="55"/>
        <v>2.63571428571429</v>
      </c>
      <c r="C236">
        <v>230</v>
      </c>
      <c r="D236">
        <v>445</v>
      </c>
      <c r="E236">
        <f t="shared" si="43"/>
        <v>284</v>
      </c>
      <c r="F236">
        <v>369</v>
      </c>
      <c r="G236">
        <v>40</v>
      </c>
      <c r="H236">
        <v>8</v>
      </c>
      <c r="I236">
        <v>0.5</v>
      </c>
      <c r="J236">
        <v>5</v>
      </c>
      <c r="K236">
        <v>2</v>
      </c>
      <c r="L236">
        <v>1</v>
      </c>
      <c r="M236">
        <v>0.1</v>
      </c>
      <c r="N236">
        <v>21318</v>
      </c>
      <c r="O236">
        <v>1.5</v>
      </c>
      <c r="P236">
        <f t="shared" si="44"/>
        <v>369</v>
      </c>
      <c r="Q236">
        <v>12</v>
      </c>
      <c r="R236">
        <f t="shared" si="45"/>
        <v>28191.6</v>
      </c>
      <c r="S236">
        <f t="shared" si="46"/>
        <v>10332</v>
      </c>
      <c r="T236">
        <f t="shared" si="47"/>
        <v>369</v>
      </c>
      <c r="U236">
        <v>0</v>
      </c>
      <c r="V236">
        <f t="shared" si="48"/>
        <v>756.8</v>
      </c>
      <c r="W236" s="6">
        <f t="shared" si="49"/>
        <v>37.2510570824524</v>
      </c>
      <c r="X236">
        <v>1800</v>
      </c>
      <c r="AD236">
        <f t="shared" si="50"/>
        <v>738</v>
      </c>
      <c r="AF236">
        <f t="shared" si="51"/>
        <v>13.8</v>
      </c>
      <c r="AG236" t="e">
        <f ca="1" t="shared" si="52"/>
        <v>#N/A</v>
      </c>
      <c r="AH236">
        <f t="shared" si="53"/>
        <v>16.1</v>
      </c>
      <c r="AI236" t="e">
        <f ca="1" t="shared" si="54"/>
        <v>#N/A</v>
      </c>
    </row>
    <row r="237" spans="2:35">
      <c r="B237">
        <f t="shared" si="55"/>
        <v>2.64285714285714</v>
      </c>
      <c r="C237">
        <v>231</v>
      </c>
      <c r="D237">
        <v>448</v>
      </c>
      <c r="E237">
        <f t="shared" si="43"/>
        <v>286</v>
      </c>
      <c r="F237">
        <v>370</v>
      </c>
      <c r="G237">
        <v>40</v>
      </c>
      <c r="H237">
        <v>8</v>
      </c>
      <c r="I237">
        <v>0.5</v>
      </c>
      <c r="J237">
        <v>5</v>
      </c>
      <c r="K237">
        <v>2</v>
      </c>
      <c r="L237">
        <v>1</v>
      </c>
      <c r="M237">
        <v>0.1</v>
      </c>
      <c r="N237">
        <v>21318</v>
      </c>
      <c r="O237">
        <v>1.5</v>
      </c>
      <c r="P237">
        <f t="shared" si="44"/>
        <v>370</v>
      </c>
      <c r="Q237">
        <v>12</v>
      </c>
      <c r="R237">
        <f t="shared" si="45"/>
        <v>28268</v>
      </c>
      <c r="S237">
        <f t="shared" si="46"/>
        <v>10360</v>
      </c>
      <c r="T237">
        <f t="shared" si="47"/>
        <v>370</v>
      </c>
      <c r="U237">
        <v>0</v>
      </c>
      <c r="V237">
        <f t="shared" si="48"/>
        <v>756.8</v>
      </c>
      <c r="W237" s="6">
        <f t="shared" si="49"/>
        <v>37.3520084566596</v>
      </c>
      <c r="X237">
        <v>1800</v>
      </c>
      <c r="AD237">
        <f t="shared" si="50"/>
        <v>740</v>
      </c>
      <c r="AF237">
        <f t="shared" si="51"/>
        <v>13.8</v>
      </c>
      <c r="AG237" t="e">
        <f ca="1" t="shared" si="52"/>
        <v>#N/A</v>
      </c>
      <c r="AH237">
        <f t="shared" si="53"/>
        <v>16.1</v>
      </c>
      <c r="AI237" t="e">
        <f ca="1" t="shared" si="54"/>
        <v>#N/A</v>
      </c>
    </row>
    <row r="238" spans="2:35">
      <c r="B238">
        <f t="shared" si="55"/>
        <v>2.65</v>
      </c>
      <c r="C238">
        <v>232</v>
      </c>
      <c r="D238">
        <v>451</v>
      </c>
      <c r="E238">
        <f t="shared" si="43"/>
        <v>288</v>
      </c>
      <c r="F238">
        <v>371</v>
      </c>
      <c r="G238">
        <v>40</v>
      </c>
      <c r="H238">
        <v>8</v>
      </c>
      <c r="I238">
        <v>0.5</v>
      </c>
      <c r="J238">
        <v>5</v>
      </c>
      <c r="K238">
        <v>2</v>
      </c>
      <c r="L238">
        <v>1</v>
      </c>
      <c r="M238">
        <v>0.1</v>
      </c>
      <c r="N238">
        <v>21318</v>
      </c>
      <c r="O238">
        <v>1.5</v>
      </c>
      <c r="P238">
        <f t="shared" si="44"/>
        <v>371</v>
      </c>
      <c r="Q238">
        <v>12</v>
      </c>
      <c r="R238">
        <f t="shared" si="45"/>
        <v>28344.4</v>
      </c>
      <c r="S238">
        <f t="shared" si="46"/>
        <v>10388</v>
      </c>
      <c r="T238">
        <f t="shared" si="47"/>
        <v>371</v>
      </c>
      <c r="U238">
        <v>0</v>
      </c>
      <c r="V238">
        <f t="shared" si="48"/>
        <v>756.8</v>
      </c>
      <c r="W238" s="6">
        <f t="shared" si="49"/>
        <v>37.4529598308668</v>
      </c>
      <c r="X238">
        <v>1800</v>
      </c>
      <c r="AD238">
        <f t="shared" si="50"/>
        <v>742</v>
      </c>
      <c r="AF238">
        <f t="shared" si="51"/>
        <v>13.8</v>
      </c>
      <c r="AG238" t="e">
        <f ca="1" t="shared" si="52"/>
        <v>#N/A</v>
      </c>
      <c r="AH238">
        <f t="shared" si="53"/>
        <v>16.1</v>
      </c>
      <c r="AI238" t="e">
        <f ca="1" t="shared" si="54"/>
        <v>#N/A</v>
      </c>
    </row>
    <row r="239" spans="2:35">
      <c r="B239">
        <f t="shared" si="55"/>
        <v>2.65714285714286</v>
      </c>
      <c r="C239">
        <v>233</v>
      </c>
      <c r="D239">
        <v>454</v>
      </c>
      <c r="E239">
        <f t="shared" si="43"/>
        <v>290</v>
      </c>
      <c r="F239">
        <v>372</v>
      </c>
      <c r="G239">
        <v>40</v>
      </c>
      <c r="H239">
        <v>8</v>
      </c>
      <c r="I239">
        <v>0.5</v>
      </c>
      <c r="J239">
        <v>5</v>
      </c>
      <c r="K239">
        <v>2</v>
      </c>
      <c r="L239">
        <v>1</v>
      </c>
      <c r="M239">
        <v>0.1</v>
      </c>
      <c r="N239">
        <v>21318</v>
      </c>
      <c r="O239">
        <v>1.5</v>
      </c>
      <c r="P239">
        <f t="shared" si="44"/>
        <v>372</v>
      </c>
      <c r="Q239">
        <v>12</v>
      </c>
      <c r="R239">
        <f t="shared" si="45"/>
        <v>28420.8</v>
      </c>
      <c r="S239">
        <f t="shared" si="46"/>
        <v>10416</v>
      </c>
      <c r="T239">
        <f t="shared" si="47"/>
        <v>372</v>
      </c>
      <c r="U239">
        <v>0</v>
      </c>
      <c r="V239">
        <f t="shared" si="48"/>
        <v>756.8</v>
      </c>
      <c r="W239" s="6">
        <f t="shared" si="49"/>
        <v>37.553911205074</v>
      </c>
      <c r="X239">
        <v>1800</v>
      </c>
      <c r="AD239">
        <f t="shared" si="50"/>
        <v>744</v>
      </c>
      <c r="AF239">
        <f t="shared" si="51"/>
        <v>13.8</v>
      </c>
      <c r="AG239" t="e">
        <f ca="1" t="shared" si="52"/>
        <v>#N/A</v>
      </c>
      <c r="AH239">
        <f t="shared" si="53"/>
        <v>16.1</v>
      </c>
      <c r="AI239" t="e">
        <f ca="1" t="shared" si="54"/>
        <v>#N/A</v>
      </c>
    </row>
    <row r="240" spans="2:35">
      <c r="B240">
        <f t="shared" si="55"/>
        <v>2.66428571428571</v>
      </c>
      <c r="C240">
        <v>234</v>
      </c>
      <c r="D240">
        <v>457</v>
      </c>
      <c r="E240">
        <f t="shared" si="43"/>
        <v>292</v>
      </c>
      <c r="F240">
        <v>373</v>
      </c>
      <c r="G240">
        <v>40</v>
      </c>
      <c r="H240">
        <v>8</v>
      </c>
      <c r="I240">
        <v>0.5</v>
      </c>
      <c r="J240">
        <v>5</v>
      </c>
      <c r="K240">
        <v>2</v>
      </c>
      <c r="L240">
        <v>1</v>
      </c>
      <c r="M240">
        <v>0.1</v>
      </c>
      <c r="N240">
        <v>21318</v>
      </c>
      <c r="O240">
        <v>1.5</v>
      </c>
      <c r="P240">
        <f t="shared" si="44"/>
        <v>373</v>
      </c>
      <c r="Q240">
        <v>12</v>
      </c>
      <c r="R240">
        <f t="shared" si="45"/>
        <v>28497.2</v>
      </c>
      <c r="S240">
        <f t="shared" si="46"/>
        <v>10444</v>
      </c>
      <c r="T240">
        <f t="shared" si="47"/>
        <v>373</v>
      </c>
      <c r="U240">
        <v>0</v>
      </c>
      <c r="V240">
        <f t="shared" si="48"/>
        <v>756.8</v>
      </c>
      <c r="W240" s="6">
        <f t="shared" si="49"/>
        <v>37.6548625792812</v>
      </c>
      <c r="X240">
        <v>1800</v>
      </c>
      <c r="AD240">
        <f t="shared" si="50"/>
        <v>746</v>
      </c>
      <c r="AF240">
        <f t="shared" si="51"/>
        <v>13.8</v>
      </c>
      <c r="AG240" t="e">
        <f ca="1" t="shared" si="52"/>
        <v>#N/A</v>
      </c>
      <c r="AH240">
        <f t="shared" si="53"/>
        <v>16.1</v>
      </c>
      <c r="AI240" t="e">
        <f ca="1" t="shared" si="54"/>
        <v>#N/A</v>
      </c>
    </row>
    <row r="241" spans="2:35">
      <c r="B241">
        <f t="shared" si="55"/>
        <v>2.67142857142857</v>
      </c>
      <c r="C241">
        <v>235</v>
      </c>
      <c r="D241">
        <v>461</v>
      </c>
      <c r="E241">
        <f t="shared" si="43"/>
        <v>294</v>
      </c>
      <c r="F241">
        <v>374</v>
      </c>
      <c r="G241">
        <v>40</v>
      </c>
      <c r="H241">
        <v>8</v>
      </c>
      <c r="I241">
        <v>0.5</v>
      </c>
      <c r="J241">
        <v>5</v>
      </c>
      <c r="K241">
        <v>2</v>
      </c>
      <c r="L241">
        <v>1</v>
      </c>
      <c r="M241">
        <v>0.1</v>
      </c>
      <c r="N241">
        <v>21318</v>
      </c>
      <c r="O241">
        <v>1.5</v>
      </c>
      <c r="P241">
        <f t="shared" si="44"/>
        <v>374</v>
      </c>
      <c r="Q241">
        <v>12</v>
      </c>
      <c r="R241">
        <f t="shared" si="45"/>
        <v>28573.6</v>
      </c>
      <c r="S241">
        <f t="shared" si="46"/>
        <v>10472</v>
      </c>
      <c r="T241">
        <f t="shared" si="47"/>
        <v>374</v>
      </c>
      <c r="U241">
        <v>0</v>
      </c>
      <c r="V241">
        <f t="shared" si="48"/>
        <v>756.8</v>
      </c>
      <c r="W241" s="6">
        <f t="shared" si="49"/>
        <v>37.7558139534884</v>
      </c>
      <c r="X241">
        <v>1800</v>
      </c>
      <c r="AD241">
        <f t="shared" si="50"/>
        <v>748</v>
      </c>
      <c r="AF241">
        <f t="shared" si="51"/>
        <v>13.8</v>
      </c>
      <c r="AG241" t="e">
        <f ca="1" t="shared" si="52"/>
        <v>#N/A</v>
      </c>
      <c r="AH241">
        <f t="shared" si="53"/>
        <v>16.1</v>
      </c>
      <c r="AI241" t="e">
        <f ca="1" t="shared" si="54"/>
        <v>#N/A</v>
      </c>
    </row>
    <row r="242" spans="2:35">
      <c r="B242">
        <f t="shared" si="55"/>
        <v>2.67857142857143</v>
      </c>
      <c r="C242">
        <v>236</v>
      </c>
      <c r="D242">
        <v>464</v>
      </c>
      <c r="E242">
        <f t="shared" si="43"/>
        <v>296</v>
      </c>
      <c r="F242">
        <v>375</v>
      </c>
      <c r="G242">
        <v>40</v>
      </c>
      <c r="H242">
        <v>8</v>
      </c>
      <c r="I242">
        <v>0.5</v>
      </c>
      <c r="J242">
        <v>5</v>
      </c>
      <c r="K242">
        <v>2</v>
      </c>
      <c r="L242">
        <v>1</v>
      </c>
      <c r="M242">
        <v>0.1</v>
      </c>
      <c r="N242">
        <v>21318</v>
      </c>
      <c r="O242">
        <v>1.5</v>
      </c>
      <c r="P242">
        <f t="shared" si="44"/>
        <v>375</v>
      </c>
      <c r="Q242">
        <v>12</v>
      </c>
      <c r="R242">
        <f t="shared" si="45"/>
        <v>28650</v>
      </c>
      <c r="S242">
        <f t="shared" si="46"/>
        <v>10500</v>
      </c>
      <c r="T242">
        <f t="shared" si="47"/>
        <v>375</v>
      </c>
      <c r="U242">
        <v>0</v>
      </c>
      <c r="V242">
        <f t="shared" si="48"/>
        <v>756.8</v>
      </c>
      <c r="W242" s="6">
        <f t="shared" si="49"/>
        <v>37.8567653276956</v>
      </c>
      <c r="X242">
        <v>1800</v>
      </c>
      <c r="AD242">
        <f t="shared" si="50"/>
        <v>750</v>
      </c>
      <c r="AF242">
        <f t="shared" si="51"/>
        <v>13.8</v>
      </c>
      <c r="AG242" t="e">
        <f ca="1" t="shared" si="52"/>
        <v>#N/A</v>
      </c>
      <c r="AH242">
        <f t="shared" si="53"/>
        <v>16.1</v>
      </c>
      <c r="AI242" t="e">
        <f ca="1" t="shared" si="54"/>
        <v>#N/A</v>
      </c>
    </row>
    <row r="243" spans="2:35">
      <c r="B243">
        <f t="shared" si="55"/>
        <v>2.68571428571429</v>
      </c>
      <c r="C243">
        <v>237</v>
      </c>
      <c r="D243">
        <v>467</v>
      </c>
      <c r="E243">
        <f t="shared" si="43"/>
        <v>298</v>
      </c>
      <c r="F243">
        <v>376</v>
      </c>
      <c r="G243">
        <v>40</v>
      </c>
      <c r="H243">
        <v>8</v>
      </c>
      <c r="I243">
        <v>0.5</v>
      </c>
      <c r="J243">
        <v>5</v>
      </c>
      <c r="K243">
        <v>2</v>
      </c>
      <c r="L243">
        <v>1</v>
      </c>
      <c r="M243">
        <v>0.1</v>
      </c>
      <c r="N243">
        <v>21318</v>
      </c>
      <c r="O243">
        <v>1.5</v>
      </c>
      <c r="P243">
        <f t="shared" si="44"/>
        <v>376</v>
      </c>
      <c r="Q243">
        <v>12</v>
      </c>
      <c r="R243">
        <f t="shared" si="45"/>
        <v>28726.4</v>
      </c>
      <c r="S243">
        <f t="shared" si="46"/>
        <v>10528</v>
      </c>
      <c r="T243">
        <f t="shared" si="47"/>
        <v>376</v>
      </c>
      <c r="U243">
        <v>0</v>
      </c>
      <c r="V243">
        <f t="shared" si="48"/>
        <v>756.8</v>
      </c>
      <c r="W243" s="6">
        <f t="shared" si="49"/>
        <v>37.9577167019028</v>
      </c>
      <c r="X243">
        <v>1800</v>
      </c>
      <c r="AD243">
        <f t="shared" si="50"/>
        <v>752</v>
      </c>
      <c r="AF243">
        <f t="shared" si="51"/>
        <v>13.8</v>
      </c>
      <c r="AG243" t="e">
        <f ca="1" t="shared" si="52"/>
        <v>#N/A</v>
      </c>
      <c r="AH243">
        <f t="shared" si="53"/>
        <v>16.1</v>
      </c>
      <c r="AI243" t="e">
        <f ca="1" t="shared" si="54"/>
        <v>#N/A</v>
      </c>
    </row>
    <row r="244" spans="2:35">
      <c r="B244">
        <f t="shared" si="55"/>
        <v>2.69285714285714</v>
      </c>
      <c r="C244">
        <v>238</v>
      </c>
      <c r="D244">
        <v>470</v>
      </c>
      <c r="E244">
        <f t="shared" si="43"/>
        <v>300</v>
      </c>
      <c r="F244">
        <v>377</v>
      </c>
      <c r="G244">
        <v>40</v>
      </c>
      <c r="H244">
        <v>8</v>
      </c>
      <c r="I244">
        <v>0.5</v>
      </c>
      <c r="J244">
        <v>5</v>
      </c>
      <c r="K244">
        <v>2</v>
      </c>
      <c r="L244">
        <v>1</v>
      </c>
      <c r="M244">
        <v>0.1</v>
      </c>
      <c r="N244">
        <v>21318</v>
      </c>
      <c r="O244">
        <v>1.5</v>
      </c>
      <c r="P244">
        <f t="shared" si="44"/>
        <v>377</v>
      </c>
      <c r="Q244">
        <v>12</v>
      </c>
      <c r="R244">
        <f t="shared" si="45"/>
        <v>28802.8</v>
      </c>
      <c r="S244">
        <f t="shared" si="46"/>
        <v>10556</v>
      </c>
      <c r="T244">
        <f t="shared" si="47"/>
        <v>377</v>
      </c>
      <c r="U244">
        <v>0</v>
      </c>
      <c r="V244">
        <f t="shared" si="48"/>
        <v>756.8</v>
      </c>
      <c r="W244" s="6">
        <f t="shared" si="49"/>
        <v>38.0586680761099</v>
      </c>
      <c r="X244">
        <v>1800</v>
      </c>
      <c r="AD244">
        <f t="shared" si="50"/>
        <v>754</v>
      </c>
      <c r="AF244">
        <f t="shared" si="51"/>
        <v>13.8</v>
      </c>
      <c r="AG244" t="e">
        <f ca="1" t="shared" si="52"/>
        <v>#N/A</v>
      </c>
      <c r="AH244">
        <f t="shared" si="53"/>
        <v>16.1</v>
      </c>
      <c r="AI244" t="e">
        <f ca="1" t="shared" si="54"/>
        <v>#N/A</v>
      </c>
    </row>
    <row r="245" spans="2:35">
      <c r="B245">
        <f t="shared" si="55"/>
        <v>2.7</v>
      </c>
      <c r="C245">
        <v>239</v>
      </c>
      <c r="D245">
        <v>473</v>
      </c>
      <c r="E245">
        <f t="shared" si="43"/>
        <v>302</v>
      </c>
      <c r="F245">
        <v>378</v>
      </c>
      <c r="G245">
        <v>40</v>
      </c>
      <c r="H245">
        <v>8</v>
      </c>
      <c r="I245">
        <v>0.5</v>
      </c>
      <c r="J245">
        <v>5</v>
      </c>
      <c r="K245">
        <v>2</v>
      </c>
      <c r="L245">
        <v>1</v>
      </c>
      <c r="M245">
        <v>0.1</v>
      </c>
      <c r="N245">
        <v>21318</v>
      </c>
      <c r="O245">
        <v>1.5</v>
      </c>
      <c r="P245">
        <f t="shared" si="44"/>
        <v>378</v>
      </c>
      <c r="Q245">
        <v>12</v>
      </c>
      <c r="R245">
        <f t="shared" si="45"/>
        <v>28879.2</v>
      </c>
      <c r="S245">
        <f t="shared" si="46"/>
        <v>10584</v>
      </c>
      <c r="T245">
        <f t="shared" si="47"/>
        <v>378</v>
      </c>
      <c r="U245">
        <v>0</v>
      </c>
      <c r="V245">
        <f t="shared" si="48"/>
        <v>756.8</v>
      </c>
      <c r="W245" s="6">
        <f t="shared" si="49"/>
        <v>38.1596194503171</v>
      </c>
      <c r="X245">
        <v>1800</v>
      </c>
      <c r="AD245">
        <f t="shared" si="50"/>
        <v>756</v>
      </c>
      <c r="AF245">
        <f t="shared" si="51"/>
        <v>13.8</v>
      </c>
      <c r="AG245" t="e">
        <f ca="1" t="shared" si="52"/>
        <v>#N/A</v>
      </c>
      <c r="AH245">
        <f t="shared" si="53"/>
        <v>16.1</v>
      </c>
      <c r="AI245" t="e">
        <f ca="1" t="shared" si="54"/>
        <v>#N/A</v>
      </c>
    </row>
    <row r="246" spans="2:35">
      <c r="B246">
        <f t="shared" si="55"/>
        <v>2.70714285714286</v>
      </c>
      <c r="C246">
        <v>240</v>
      </c>
      <c r="D246">
        <v>476</v>
      </c>
      <c r="E246">
        <f t="shared" si="43"/>
        <v>304</v>
      </c>
      <c r="F246">
        <v>379</v>
      </c>
      <c r="G246">
        <v>40</v>
      </c>
      <c r="H246">
        <v>8</v>
      </c>
      <c r="I246">
        <v>0.5</v>
      </c>
      <c r="J246">
        <v>5</v>
      </c>
      <c r="K246">
        <v>2</v>
      </c>
      <c r="L246">
        <v>1</v>
      </c>
      <c r="M246">
        <v>0.1</v>
      </c>
      <c r="N246">
        <v>21318</v>
      </c>
      <c r="O246">
        <v>1.5</v>
      </c>
      <c r="P246">
        <f t="shared" si="44"/>
        <v>379</v>
      </c>
      <c r="Q246">
        <v>12</v>
      </c>
      <c r="R246">
        <f t="shared" si="45"/>
        <v>28955.6</v>
      </c>
      <c r="S246">
        <f t="shared" si="46"/>
        <v>10612</v>
      </c>
      <c r="T246">
        <f t="shared" si="47"/>
        <v>379</v>
      </c>
      <c r="U246">
        <v>0</v>
      </c>
      <c r="V246">
        <f t="shared" si="48"/>
        <v>756.8</v>
      </c>
      <c r="W246" s="6">
        <f t="shared" si="49"/>
        <v>38.2605708245243</v>
      </c>
      <c r="X246">
        <v>1800</v>
      </c>
      <c r="AD246">
        <f t="shared" si="50"/>
        <v>758</v>
      </c>
      <c r="AF246">
        <f t="shared" si="51"/>
        <v>13.8</v>
      </c>
      <c r="AG246" t="e">
        <f ca="1" t="shared" si="52"/>
        <v>#N/A</v>
      </c>
      <c r="AH246">
        <f t="shared" si="53"/>
        <v>16.1</v>
      </c>
      <c r="AI246" t="e">
        <f ca="1" t="shared" si="54"/>
        <v>#N/A</v>
      </c>
    </row>
    <row r="247" spans="2:35">
      <c r="B247">
        <f t="shared" si="55"/>
        <v>2.71428571428571</v>
      </c>
      <c r="C247">
        <v>241</v>
      </c>
      <c r="D247">
        <v>479</v>
      </c>
      <c r="E247">
        <f t="shared" si="43"/>
        <v>306</v>
      </c>
      <c r="F247">
        <v>380</v>
      </c>
      <c r="G247">
        <v>40</v>
      </c>
      <c r="H247">
        <v>8</v>
      </c>
      <c r="I247">
        <v>0.5</v>
      </c>
      <c r="J247">
        <v>5</v>
      </c>
      <c r="K247">
        <v>2</v>
      </c>
      <c r="L247">
        <v>1</v>
      </c>
      <c r="M247">
        <v>0.1</v>
      </c>
      <c r="N247">
        <v>21318</v>
      </c>
      <c r="O247">
        <v>1.5</v>
      </c>
      <c r="P247">
        <f t="shared" si="44"/>
        <v>380</v>
      </c>
      <c r="Q247">
        <v>12</v>
      </c>
      <c r="R247">
        <f t="shared" si="45"/>
        <v>29032</v>
      </c>
      <c r="S247">
        <f t="shared" si="46"/>
        <v>10640</v>
      </c>
      <c r="T247">
        <f t="shared" si="47"/>
        <v>380</v>
      </c>
      <c r="U247">
        <v>0</v>
      </c>
      <c r="V247">
        <f t="shared" si="48"/>
        <v>756.8</v>
      </c>
      <c r="W247" s="6">
        <f t="shared" si="49"/>
        <v>38.3615221987315</v>
      </c>
      <c r="X247">
        <v>1800</v>
      </c>
      <c r="AD247">
        <f t="shared" si="50"/>
        <v>760</v>
      </c>
      <c r="AF247">
        <f t="shared" si="51"/>
        <v>13.8</v>
      </c>
      <c r="AG247" t="e">
        <f ca="1" t="shared" si="52"/>
        <v>#N/A</v>
      </c>
      <c r="AH247">
        <f t="shared" si="53"/>
        <v>16.1</v>
      </c>
      <c r="AI247" t="e">
        <f ca="1" t="shared" si="54"/>
        <v>#N/A</v>
      </c>
    </row>
    <row r="248" spans="2:35">
      <c r="B248">
        <f t="shared" si="55"/>
        <v>2.72142857142857</v>
      </c>
      <c r="C248">
        <v>242</v>
      </c>
      <c r="D248">
        <v>482</v>
      </c>
      <c r="E248">
        <f t="shared" si="43"/>
        <v>308</v>
      </c>
      <c r="F248">
        <v>381</v>
      </c>
      <c r="G248">
        <v>40</v>
      </c>
      <c r="H248">
        <v>8</v>
      </c>
      <c r="I248">
        <v>0.5</v>
      </c>
      <c r="J248">
        <v>5</v>
      </c>
      <c r="K248">
        <v>2</v>
      </c>
      <c r="L248">
        <v>1</v>
      </c>
      <c r="M248">
        <v>0.1</v>
      </c>
      <c r="N248">
        <v>21318</v>
      </c>
      <c r="O248">
        <v>1.5</v>
      </c>
      <c r="P248">
        <f t="shared" si="44"/>
        <v>381</v>
      </c>
      <c r="Q248">
        <v>12</v>
      </c>
      <c r="R248">
        <f t="shared" si="45"/>
        <v>29108.4</v>
      </c>
      <c r="S248">
        <f t="shared" si="46"/>
        <v>10668</v>
      </c>
      <c r="T248">
        <f t="shared" si="47"/>
        <v>381</v>
      </c>
      <c r="U248">
        <v>0</v>
      </c>
      <c r="V248">
        <f t="shared" si="48"/>
        <v>756.8</v>
      </c>
      <c r="W248" s="6">
        <f t="shared" si="49"/>
        <v>38.4624735729387</v>
      </c>
      <c r="X248">
        <v>1800</v>
      </c>
      <c r="AD248">
        <f t="shared" si="50"/>
        <v>762</v>
      </c>
      <c r="AF248">
        <f t="shared" si="51"/>
        <v>13.8</v>
      </c>
      <c r="AG248" t="e">
        <f ca="1" t="shared" si="52"/>
        <v>#N/A</v>
      </c>
      <c r="AH248">
        <f t="shared" si="53"/>
        <v>16.1</v>
      </c>
      <c r="AI248" t="e">
        <f ca="1" t="shared" si="54"/>
        <v>#N/A</v>
      </c>
    </row>
    <row r="249" spans="2:35">
      <c r="B249">
        <f t="shared" si="55"/>
        <v>2.72857142857143</v>
      </c>
      <c r="C249">
        <v>243</v>
      </c>
      <c r="D249">
        <v>485</v>
      </c>
      <c r="E249">
        <f t="shared" si="43"/>
        <v>310</v>
      </c>
      <c r="F249">
        <v>382</v>
      </c>
      <c r="G249">
        <v>40</v>
      </c>
      <c r="H249">
        <v>8</v>
      </c>
      <c r="I249">
        <v>0.5</v>
      </c>
      <c r="J249">
        <v>5</v>
      </c>
      <c r="K249">
        <v>2</v>
      </c>
      <c r="L249">
        <v>1</v>
      </c>
      <c r="M249">
        <v>0.1</v>
      </c>
      <c r="N249">
        <v>21318</v>
      </c>
      <c r="O249">
        <v>1.5</v>
      </c>
      <c r="P249">
        <f t="shared" si="44"/>
        <v>382</v>
      </c>
      <c r="Q249">
        <v>12</v>
      </c>
      <c r="R249">
        <f t="shared" si="45"/>
        <v>29184.8</v>
      </c>
      <c r="S249">
        <f t="shared" si="46"/>
        <v>10696</v>
      </c>
      <c r="T249">
        <f t="shared" si="47"/>
        <v>382</v>
      </c>
      <c r="U249">
        <v>0</v>
      </c>
      <c r="V249">
        <f t="shared" si="48"/>
        <v>756.8</v>
      </c>
      <c r="W249" s="6">
        <f t="shared" si="49"/>
        <v>38.5634249471459</v>
      </c>
      <c r="X249">
        <v>1800</v>
      </c>
      <c r="AD249">
        <f t="shared" si="50"/>
        <v>764</v>
      </c>
      <c r="AF249">
        <f t="shared" si="51"/>
        <v>13.8</v>
      </c>
      <c r="AG249" t="e">
        <f ca="1" t="shared" si="52"/>
        <v>#N/A</v>
      </c>
      <c r="AH249">
        <f t="shared" si="53"/>
        <v>16.1</v>
      </c>
      <c r="AI249" t="e">
        <f ca="1" t="shared" si="54"/>
        <v>#N/A</v>
      </c>
    </row>
    <row r="250" spans="2:35">
      <c r="B250">
        <f t="shared" si="55"/>
        <v>2.73571428571429</v>
      </c>
      <c r="C250">
        <v>244</v>
      </c>
      <c r="D250">
        <v>488</v>
      </c>
      <c r="E250">
        <f t="shared" si="43"/>
        <v>312</v>
      </c>
      <c r="F250">
        <v>383</v>
      </c>
      <c r="G250">
        <v>40</v>
      </c>
      <c r="H250">
        <v>8</v>
      </c>
      <c r="I250">
        <v>0.5</v>
      </c>
      <c r="J250">
        <v>5</v>
      </c>
      <c r="K250">
        <v>2</v>
      </c>
      <c r="L250">
        <v>1</v>
      </c>
      <c r="M250">
        <v>0.1</v>
      </c>
      <c r="N250">
        <v>21318</v>
      </c>
      <c r="O250">
        <v>1.5</v>
      </c>
      <c r="P250">
        <f t="shared" si="44"/>
        <v>383</v>
      </c>
      <c r="Q250">
        <v>12</v>
      </c>
      <c r="R250">
        <f t="shared" si="45"/>
        <v>29261.2</v>
      </c>
      <c r="S250">
        <f t="shared" si="46"/>
        <v>10724</v>
      </c>
      <c r="T250">
        <f t="shared" si="47"/>
        <v>383</v>
      </c>
      <c r="U250">
        <v>0</v>
      </c>
      <c r="V250">
        <f t="shared" si="48"/>
        <v>756.8</v>
      </c>
      <c r="W250" s="6">
        <f t="shared" si="49"/>
        <v>38.6643763213531</v>
      </c>
      <c r="X250">
        <v>1800</v>
      </c>
      <c r="AD250">
        <f t="shared" si="50"/>
        <v>766</v>
      </c>
      <c r="AF250">
        <f t="shared" si="51"/>
        <v>13.8</v>
      </c>
      <c r="AG250" t="e">
        <f ca="1" t="shared" si="52"/>
        <v>#N/A</v>
      </c>
      <c r="AH250">
        <f t="shared" si="53"/>
        <v>16.1</v>
      </c>
      <c r="AI250" t="e">
        <f ca="1" t="shared" si="54"/>
        <v>#N/A</v>
      </c>
    </row>
    <row r="251" spans="2:35">
      <c r="B251">
        <f t="shared" si="55"/>
        <v>2.74285714285714</v>
      </c>
      <c r="C251">
        <v>245</v>
      </c>
      <c r="D251">
        <v>491</v>
      </c>
      <c r="E251">
        <f t="shared" si="43"/>
        <v>314</v>
      </c>
      <c r="F251">
        <v>384</v>
      </c>
      <c r="G251">
        <v>40</v>
      </c>
      <c r="H251">
        <v>8</v>
      </c>
      <c r="I251">
        <v>0.5</v>
      </c>
      <c r="J251">
        <v>5</v>
      </c>
      <c r="K251">
        <v>2</v>
      </c>
      <c r="L251">
        <v>1</v>
      </c>
      <c r="M251">
        <v>0.1</v>
      </c>
      <c r="N251">
        <v>21318</v>
      </c>
      <c r="O251">
        <v>1.5</v>
      </c>
      <c r="P251">
        <f t="shared" si="44"/>
        <v>384</v>
      </c>
      <c r="Q251">
        <v>12</v>
      </c>
      <c r="R251">
        <f t="shared" si="45"/>
        <v>29337.6</v>
      </c>
      <c r="S251">
        <f t="shared" si="46"/>
        <v>10752</v>
      </c>
      <c r="T251">
        <f t="shared" si="47"/>
        <v>384</v>
      </c>
      <c r="U251">
        <v>0</v>
      </c>
      <c r="V251">
        <f t="shared" si="48"/>
        <v>756.8</v>
      </c>
      <c r="W251" s="6">
        <f t="shared" si="49"/>
        <v>38.7653276955603</v>
      </c>
      <c r="X251">
        <v>1800</v>
      </c>
      <c r="AD251">
        <f t="shared" si="50"/>
        <v>768</v>
      </c>
      <c r="AF251">
        <f t="shared" si="51"/>
        <v>13.8</v>
      </c>
      <c r="AG251" t="e">
        <f ca="1" t="shared" si="52"/>
        <v>#N/A</v>
      </c>
      <c r="AH251">
        <f t="shared" si="53"/>
        <v>16.1</v>
      </c>
      <c r="AI251" t="e">
        <f ca="1" t="shared" si="54"/>
        <v>#N/A</v>
      </c>
    </row>
    <row r="252" spans="2:35">
      <c r="B252">
        <f t="shared" si="55"/>
        <v>2.75</v>
      </c>
      <c r="C252">
        <v>246</v>
      </c>
      <c r="D252">
        <v>494</v>
      </c>
      <c r="E252">
        <f t="shared" si="43"/>
        <v>316</v>
      </c>
      <c r="F252">
        <v>385</v>
      </c>
      <c r="G252">
        <v>40</v>
      </c>
      <c r="H252">
        <v>8</v>
      </c>
      <c r="I252">
        <v>0.5</v>
      </c>
      <c r="J252">
        <v>5</v>
      </c>
      <c r="K252">
        <v>2</v>
      </c>
      <c r="L252">
        <v>1</v>
      </c>
      <c r="M252">
        <v>0.1</v>
      </c>
      <c r="N252">
        <v>21318</v>
      </c>
      <c r="O252">
        <v>1.5</v>
      </c>
      <c r="P252">
        <f t="shared" si="44"/>
        <v>385</v>
      </c>
      <c r="Q252">
        <v>12</v>
      </c>
      <c r="R252">
        <f t="shared" si="45"/>
        <v>29414</v>
      </c>
      <c r="S252">
        <f t="shared" si="46"/>
        <v>10780</v>
      </c>
      <c r="T252">
        <f t="shared" si="47"/>
        <v>385</v>
      </c>
      <c r="U252">
        <v>0</v>
      </c>
      <c r="V252">
        <f t="shared" si="48"/>
        <v>756.8</v>
      </c>
      <c r="W252" s="6">
        <f t="shared" si="49"/>
        <v>38.8662790697674</v>
      </c>
      <c r="X252">
        <v>1800</v>
      </c>
      <c r="AD252">
        <f t="shared" si="50"/>
        <v>770</v>
      </c>
      <c r="AF252">
        <f t="shared" si="51"/>
        <v>13.8</v>
      </c>
      <c r="AG252" t="e">
        <f ca="1" t="shared" si="52"/>
        <v>#N/A</v>
      </c>
      <c r="AH252">
        <f t="shared" si="53"/>
        <v>16.1</v>
      </c>
      <c r="AI252" t="e">
        <f ca="1" t="shared" si="54"/>
        <v>#N/A</v>
      </c>
    </row>
    <row r="253" spans="2:35">
      <c r="B253">
        <f t="shared" si="55"/>
        <v>2.75714285714286</v>
      </c>
      <c r="C253">
        <v>247</v>
      </c>
      <c r="D253">
        <v>497</v>
      </c>
      <c r="E253">
        <f t="shared" si="43"/>
        <v>318</v>
      </c>
      <c r="F253">
        <v>386</v>
      </c>
      <c r="G253">
        <v>40</v>
      </c>
      <c r="H253">
        <v>8</v>
      </c>
      <c r="I253">
        <v>0.5</v>
      </c>
      <c r="J253">
        <v>5</v>
      </c>
      <c r="K253">
        <v>2</v>
      </c>
      <c r="L253">
        <v>1</v>
      </c>
      <c r="M253">
        <v>0.1</v>
      </c>
      <c r="N253">
        <v>21318</v>
      </c>
      <c r="O253">
        <v>1.5</v>
      </c>
      <c r="P253">
        <f t="shared" si="44"/>
        <v>386</v>
      </c>
      <c r="Q253">
        <v>12</v>
      </c>
      <c r="R253">
        <f t="shared" si="45"/>
        <v>29490.4</v>
      </c>
      <c r="S253">
        <f t="shared" si="46"/>
        <v>10808</v>
      </c>
      <c r="T253">
        <f t="shared" si="47"/>
        <v>386</v>
      </c>
      <c r="U253">
        <v>0</v>
      </c>
      <c r="V253">
        <f t="shared" si="48"/>
        <v>756.8</v>
      </c>
      <c r="W253" s="6">
        <f t="shared" si="49"/>
        <v>38.9672304439746</v>
      </c>
      <c r="X253">
        <v>1800</v>
      </c>
      <c r="AD253">
        <f t="shared" si="50"/>
        <v>772</v>
      </c>
      <c r="AF253">
        <f t="shared" si="51"/>
        <v>13.8</v>
      </c>
      <c r="AG253" t="e">
        <f ca="1" t="shared" si="52"/>
        <v>#N/A</v>
      </c>
      <c r="AH253">
        <f t="shared" si="53"/>
        <v>16.1</v>
      </c>
      <c r="AI253" t="e">
        <f ca="1" t="shared" si="54"/>
        <v>#N/A</v>
      </c>
    </row>
    <row r="254" spans="2:35">
      <c r="B254">
        <f t="shared" si="55"/>
        <v>2.76428571428571</v>
      </c>
      <c r="C254">
        <v>248</v>
      </c>
      <c r="D254">
        <v>500</v>
      </c>
      <c r="E254">
        <f t="shared" si="43"/>
        <v>320</v>
      </c>
      <c r="F254">
        <v>387</v>
      </c>
      <c r="G254">
        <v>40</v>
      </c>
      <c r="H254">
        <v>8</v>
      </c>
      <c r="I254">
        <v>0.5</v>
      </c>
      <c r="J254">
        <v>5</v>
      </c>
      <c r="K254">
        <v>2</v>
      </c>
      <c r="L254">
        <v>1</v>
      </c>
      <c r="M254">
        <v>0.1</v>
      </c>
      <c r="N254">
        <v>21318</v>
      </c>
      <c r="O254">
        <v>1.5</v>
      </c>
      <c r="P254">
        <f t="shared" si="44"/>
        <v>387</v>
      </c>
      <c r="Q254">
        <v>12</v>
      </c>
      <c r="R254">
        <f t="shared" si="45"/>
        <v>29566.8</v>
      </c>
      <c r="S254">
        <f t="shared" si="46"/>
        <v>10836</v>
      </c>
      <c r="T254">
        <f t="shared" si="47"/>
        <v>387</v>
      </c>
      <c r="U254">
        <v>0</v>
      </c>
      <c r="V254">
        <f t="shared" si="48"/>
        <v>756.8</v>
      </c>
      <c r="W254" s="6">
        <f t="shared" si="49"/>
        <v>39.0681818181818</v>
      </c>
      <c r="X254">
        <v>1800</v>
      </c>
      <c r="AD254">
        <f t="shared" si="50"/>
        <v>774</v>
      </c>
      <c r="AF254">
        <f t="shared" si="51"/>
        <v>13.8</v>
      </c>
      <c r="AG254" t="e">
        <f ca="1" t="shared" si="52"/>
        <v>#N/A</v>
      </c>
      <c r="AH254">
        <f t="shared" si="53"/>
        <v>16.1</v>
      </c>
      <c r="AI254" t="e">
        <f ca="1" t="shared" si="54"/>
        <v>#N/A</v>
      </c>
    </row>
    <row r="255" spans="2:35">
      <c r="B255">
        <f t="shared" si="55"/>
        <v>2.77142857142857</v>
      </c>
      <c r="C255">
        <v>249</v>
      </c>
      <c r="D255">
        <v>503</v>
      </c>
      <c r="E255">
        <f t="shared" ref="E255:E306" si="56">E254+2</f>
        <v>322</v>
      </c>
      <c r="F255">
        <v>388</v>
      </c>
      <c r="G255">
        <v>40</v>
      </c>
      <c r="H255">
        <v>8</v>
      </c>
      <c r="I255">
        <v>0.5</v>
      </c>
      <c r="J255">
        <v>5</v>
      </c>
      <c r="K255">
        <v>2</v>
      </c>
      <c r="L255">
        <v>1</v>
      </c>
      <c r="M255">
        <v>0.1</v>
      </c>
      <c r="N255">
        <v>21318</v>
      </c>
      <c r="O255">
        <v>1.5</v>
      </c>
      <c r="P255">
        <f t="shared" si="44"/>
        <v>388</v>
      </c>
      <c r="Q255">
        <v>12</v>
      </c>
      <c r="R255">
        <f t="shared" si="45"/>
        <v>29643.2</v>
      </c>
      <c r="S255">
        <f t="shared" si="46"/>
        <v>10864</v>
      </c>
      <c r="T255">
        <f t="shared" si="47"/>
        <v>388</v>
      </c>
      <c r="U255">
        <v>0</v>
      </c>
      <c r="V255">
        <f t="shared" si="48"/>
        <v>756.8</v>
      </c>
      <c r="W255" s="6">
        <f t="shared" si="49"/>
        <v>39.169133192389</v>
      </c>
      <c r="X255">
        <v>1800</v>
      </c>
      <c r="AD255">
        <f t="shared" si="50"/>
        <v>776</v>
      </c>
      <c r="AF255">
        <f t="shared" si="51"/>
        <v>13.8</v>
      </c>
      <c r="AG255" t="e">
        <f ca="1" t="shared" si="52"/>
        <v>#N/A</v>
      </c>
      <c r="AH255">
        <f t="shared" si="53"/>
        <v>16.1</v>
      </c>
      <c r="AI255" t="e">
        <f ca="1" t="shared" si="54"/>
        <v>#N/A</v>
      </c>
    </row>
    <row r="256" spans="2:35">
      <c r="B256">
        <f t="shared" si="55"/>
        <v>2.77857142857143</v>
      </c>
      <c r="C256">
        <v>250</v>
      </c>
      <c r="D256">
        <v>506</v>
      </c>
      <c r="E256">
        <f t="shared" si="56"/>
        <v>324</v>
      </c>
      <c r="F256">
        <v>389</v>
      </c>
      <c r="G256">
        <v>40</v>
      </c>
      <c r="H256">
        <v>8</v>
      </c>
      <c r="I256">
        <v>0.5</v>
      </c>
      <c r="J256">
        <v>5</v>
      </c>
      <c r="K256">
        <v>2</v>
      </c>
      <c r="L256">
        <v>1</v>
      </c>
      <c r="M256">
        <v>0.1</v>
      </c>
      <c r="N256">
        <v>21318</v>
      </c>
      <c r="O256">
        <v>1.5</v>
      </c>
      <c r="P256">
        <f t="shared" si="44"/>
        <v>389</v>
      </c>
      <c r="Q256">
        <v>12</v>
      </c>
      <c r="R256">
        <f t="shared" si="45"/>
        <v>29719.6</v>
      </c>
      <c r="S256">
        <f t="shared" si="46"/>
        <v>10892</v>
      </c>
      <c r="T256">
        <f t="shared" si="47"/>
        <v>389</v>
      </c>
      <c r="U256">
        <v>0</v>
      </c>
      <c r="V256">
        <f t="shared" si="48"/>
        <v>756.8</v>
      </c>
      <c r="W256" s="6">
        <f t="shared" si="49"/>
        <v>39.2700845665962</v>
      </c>
      <c r="X256">
        <v>1800</v>
      </c>
      <c r="AD256">
        <f t="shared" si="50"/>
        <v>778</v>
      </c>
      <c r="AF256">
        <f t="shared" si="51"/>
        <v>13.8</v>
      </c>
      <c r="AG256" t="e">
        <f ca="1" t="shared" si="52"/>
        <v>#N/A</v>
      </c>
      <c r="AH256">
        <f t="shared" si="53"/>
        <v>16.1</v>
      </c>
      <c r="AI256" t="e">
        <f ca="1" t="shared" si="54"/>
        <v>#N/A</v>
      </c>
    </row>
    <row r="257" spans="2:35">
      <c r="B257">
        <f t="shared" si="55"/>
        <v>2.78571428571429</v>
      </c>
      <c r="C257">
        <v>251</v>
      </c>
      <c r="D257">
        <v>509</v>
      </c>
      <c r="E257">
        <f t="shared" si="56"/>
        <v>326</v>
      </c>
      <c r="F257">
        <v>390</v>
      </c>
      <c r="G257">
        <v>40</v>
      </c>
      <c r="H257">
        <v>8</v>
      </c>
      <c r="I257">
        <v>0.5</v>
      </c>
      <c r="J257">
        <v>5</v>
      </c>
      <c r="K257">
        <v>2</v>
      </c>
      <c r="L257">
        <v>1</v>
      </c>
      <c r="M257">
        <v>0.1</v>
      </c>
      <c r="N257">
        <v>21318</v>
      </c>
      <c r="O257">
        <v>1.5</v>
      </c>
      <c r="P257">
        <f t="shared" si="44"/>
        <v>390</v>
      </c>
      <c r="Q257">
        <v>12</v>
      </c>
      <c r="R257">
        <f t="shared" si="45"/>
        <v>29796</v>
      </c>
      <c r="S257">
        <f t="shared" si="46"/>
        <v>10920</v>
      </c>
      <c r="T257">
        <f t="shared" si="47"/>
        <v>390</v>
      </c>
      <c r="U257">
        <v>0</v>
      </c>
      <c r="V257">
        <f t="shared" si="48"/>
        <v>756.8</v>
      </c>
      <c r="W257" s="6">
        <f t="shared" si="49"/>
        <v>39.3710359408034</v>
      </c>
      <c r="X257">
        <v>1800</v>
      </c>
      <c r="AD257">
        <f t="shared" si="50"/>
        <v>780</v>
      </c>
      <c r="AF257">
        <f t="shared" si="51"/>
        <v>13.8</v>
      </c>
      <c r="AG257" t="e">
        <f ca="1" t="shared" si="52"/>
        <v>#N/A</v>
      </c>
      <c r="AH257">
        <f t="shared" si="53"/>
        <v>16.1</v>
      </c>
      <c r="AI257" t="e">
        <f ca="1" t="shared" si="54"/>
        <v>#N/A</v>
      </c>
    </row>
    <row r="258" spans="2:35">
      <c r="B258">
        <f t="shared" si="55"/>
        <v>2.79285714285714</v>
      </c>
      <c r="C258">
        <v>252</v>
      </c>
      <c r="D258">
        <v>512</v>
      </c>
      <c r="E258">
        <f t="shared" si="56"/>
        <v>328</v>
      </c>
      <c r="F258">
        <v>391</v>
      </c>
      <c r="G258">
        <v>40</v>
      </c>
      <c r="H258">
        <v>8</v>
      </c>
      <c r="I258">
        <v>0.5</v>
      </c>
      <c r="J258">
        <v>5</v>
      </c>
      <c r="K258">
        <v>2</v>
      </c>
      <c r="L258">
        <v>1</v>
      </c>
      <c r="M258">
        <v>0.1</v>
      </c>
      <c r="N258">
        <v>21318</v>
      </c>
      <c r="O258">
        <v>1.5</v>
      </c>
      <c r="P258">
        <f t="shared" si="44"/>
        <v>391</v>
      </c>
      <c r="Q258">
        <v>12</v>
      </c>
      <c r="R258">
        <f t="shared" si="45"/>
        <v>29872.4</v>
      </c>
      <c r="S258">
        <f t="shared" si="46"/>
        <v>10948</v>
      </c>
      <c r="T258">
        <f t="shared" si="47"/>
        <v>391</v>
      </c>
      <c r="U258">
        <v>0</v>
      </c>
      <c r="V258">
        <f t="shared" si="48"/>
        <v>756.8</v>
      </c>
      <c r="W258" s="6">
        <f t="shared" si="49"/>
        <v>39.4719873150106</v>
      </c>
      <c r="X258">
        <v>1800</v>
      </c>
      <c r="AD258">
        <f t="shared" si="50"/>
        <v>782</v>
      </c>
      <c r="AF258">
        <f t="shared" si="51"/>
        <v>13.8</v>
      </c>
      <c r="AG258" t="e">
        <f ca="1" t="shared" si="52"/>
        <v>#N/A</v>
      </c>
      <c r="AH258">
        <f t="shared" si="53"/>
        <v>16.1</v>
      </c>
      <c r="AI258" t="e">
        <f ca="1" t="shared" si="54"/>
        <v>#N/A</v>
      </c>
    </row>
    <row r="259" spans="2:35">
      <c r="B259">
        <f t="shared" si="55"/>
        <v>2.8</v>
      </c>
      <c r="C259">
        <v>253</v>
      </c>
      <c r="D259">
        <v>515</v>
      </c>
      <c r="E259">
        <f t="shared" si="56"/>
        <v>330</v>
      </c>
      <c r="F259">
        <v>392</v>
      </c>
      <c r="G259">
        <v>40</v>
      </c>
      <c r="H259">
        <v>8</v>
      </c>
      <c r="I259">
        <v>0.5</v>
      </c>
      <c r="J259">
        <v>5</v>
      </c>
      <c r="K259">
        <v>2</v>
      </c>
      <c r="L259">
        <v>1</v>
      </c>
      <c r="M259">
        <v>0.1</v>
      </c>
      <c r="N259">
        <v>21318</v>
      </c>
      <c r="O259">
        <v>1.5</v>
      </c>
      <c r="P259">
        <f t="shared" si="44"/>
        <v>392</v>
      </c>
      <c r="Q259">
        <v>12</v>
      </c>
      <c r="R259">
        <f t="shared" si="45"/>
        <v>29948.8</v>
      </c>
      <c r="S259">
        <f t="shared" si="46"/>
        <v>10976</v>
      </c>
      <c r="T259">
        <f t="shared" si="47"/>
        <v>392</v>
      </c>
      <c r="U259">
        <v>0</v>
      </c>
      <c r="V259">
        <f t="shared" si="48"/>
        <v>756.8</v>
      </c>
      <c r="W259" s="6">
        <f t="shared" si="49"/>
        <v>39.5729386892178</v>
      </c>
      <c r="X259">
        <v>1800</v>
      </c>
      <c r="AD259">
        <f t="shared" si="50"/>
        <v>784</v>
      </c>
      <c r="AF259">
        <f t="shared" si="51"/>
        <v>13.8</v>
      </c>
      <c r="AG259" t="e">
        <f ca="1" t="shared" si="52"/>
        <v>#N/A</v>
      </c>
      <c r="AH259">
        <f t="shared" si="53"/>
        <v>16.1</v>
      </c>
      <c r="AI259" t="e">
        <f ca="1" t="shared" si="54"/>
        <v>#N/A</v>
      </c>
    </row>
    <row r="260" spans="2:35">
      <c r="B260">
        <f t="shared" si="55"/>
        <v>2.80714285714286</v>
      </c>
      <c r="C260">
        <v>254</v>
      </c>
      <c r="D260">
        <v>518</v>
      </c>
      <c r="E260">
        <f t="shared" si="56"/>
        <v>332</v>
      </c>
      <c r="F260">
        <v>393</v>
      </c>
      <c r="G260">
        <v>40</v>
      </c>
      <c r="H260">
        <v>8</v>
      </c>
      <c r="I260">
        <v>0.5</v>
      </c>
      <c r="J260">
        <v>5</v>
      </c>
      <c r="K260">
        <v>2</v>
      </c>
      <c r="L260">
        <v>1</v>
      </c>
      <c r="M260">
        <v>0.1</v>
      </c>
      <c r="N260">
        <v>21318</v>
      </c>
      <c r="O260">
        <v>1.5</v>
      </c>
      <c r="P260">
        <f t="shared" si="44"/>
        <v>393</v>
      </c>
      <c r="Q260">
        <v>12</v>
      </c>
      <c r="R260">
        <f t="shared" si="45"/>
        <v>30025.2</v>
      </c>
      <c r="S260">
        <f t="shared" si="46"/>
        <v>11004</v>
      </c>
      <c r="T260">
        <f t="shared" si="47"/>
        <v>393</v>
      </c>
      <c r="U260">
        <v>0</v>
      </c>
      <c r="V260">
        <f t="shared" si="48"/>
        <v>756.8</v>
      </c>
      <c r="W260" s="6">
        <f t="shared" si="49"/>
        <v>39.6738900634249</v>
      </c>
      <c r="X260">
        <v>1800</v>
      </c>
      <c r="AD260">
        <f t="shared" si="50"/>
        <v>786</v>
      </c>
      <c r="AF260">
        <f t="shared" si="51"/>
        <v>13.8</v>
      </c>
      <c r="AG260" t="e">
        <f ca="1" t="shared" si="52"/>
        <v>#N/A</v>
      </c>
      <c r="AH260">
        <f t="shared" si="53"/>
        <v>16.1</v>
      </c>
      <c r="AI260" t="e">
        <f ca="1" t="shared" si="54"/>
        <v>#N/A</v>
      </c>
    </row>
    <row r="261" spans="2:35">
      <c r="B261">
        <f t="shared" si="55"/>
        <v>2.81428571428571</v>
      </c>
      <c r="C261">
        <v>255</v>
      </c>
      <c r="D261">
        <v>521</v>
      </c>
      <c r="E261">
        <f t="shared" si="56"/>
        <v>334</v>
      </c>
      <c r="F261">
        <v>394</v>
      </c>
      <c r="G261">
        <v>40</v>
      </c>
      <c r="H261">
        <v>8</v>
      </c>
      <c r="I261">
        <v>0.5</v>
      </c>
      <c r="J261">
        <v>5</v>
      </c>
      <c r="K261">
        <v>2</v>
      </c>
      <c r="L261">
        <v>1</v>
      </c>
      <c r="M261">
        <v>0.1</v>
      </c>
      <c r="N261">
        <v>21318</v>
      </c>
      <c r="O261">
        <v>1.5</v>
      </c>
      <c r="P261">
        <f t="shared" si="44"/>
        <v>394</v>
      </c>
      <c r="Q261">
        <v>12</v>
      </c>
      <c r="R261">
        <f t="shared" si="45"/>
        <v>30101.6</v>
      </c>
      <c r="S261">
        <f t="shared" si="46"/>
        <v>11032</v>
      </c>
      <c r="T261">
        <f t="shared" si="47"/>
        <v>394</v>
      </c>
      <c r="U261">
        <v>0</v>
      </c>
      <c r="V261">
        <f t="shared" si="48"/>
        <v>756.8</v>
      </c>
      <c r="W261" s="6">
        <f t="shared" si="49"/>
        <v>39.7748414376321</v>
      </c>
      <c r="X261">
        <v>1800</v>
      </c>
      <c r="AD261">
        <f t="shared" si="50"/>
        <v>788</v>
      </c>
      <c r="AF261">
        <f t="shared" si="51"/>
        <v>13.8</v>
      </c>
      <c r="AG261" t="e">
        <f ca="1" t="shared" si="52"/>
        <v>#N/A</v>
      </c>
      <c r="AH261">
        <f t="shared" si="53"/>
        <v>16.1</v>
      </c>
      <c r="AI261" t="e">
        <f ca="1" t="shared" si="54"/>
        <v>#N/A</v>
      </c>
    </row>
    <row r="262" spans="2:35">
      <c r="B262">
        <f t="shared" si="55"/>
        <v>2.82142857142857</v>
      </c>
      <c r="C262">
        <v>256</v>
      </c>
      <c r="D262">
        <f t="shared" ref="D262:D306" si="57">D261+3</f>
        <v>524</v>
      </c>
      <c r="E262">
        <f t="shared" si="56"/>
        <v>336</v>
      </c>
      <c r="F262">
        <v>395</v>
      </c>
      <c r="G262">
        <v>40</v>
      </c>
      <c r="H262">
        <v>8</v>
      </c>
      <c r="I262">
        <v>0.5</v>
      </c>
      <c r="J262">
        <v>5</v>
      </c>
      <c r="K262">
        <v>2</v>
      </c>
      <c r="L262">
        <v>1</v>
      </c>
      <c r="M262">
        <v>0.1</v>
      </c>
      <c r="N262">
        <v>21318</v>
      </c>
      <c r="O262">
        <v>1.5</v>
      </c>
      <c r="P262">
        <f t="shared" si="44"/>
        <v>395</v>
      </c>
      <c r="Q262">
        <v>12</v>
      </c>
      <c r="R262">
        <f t="shared" si="45"/>
        <v>30178</v>
      </c>
      <c r="S262">
        <f t="shared" si="46"/>
        <v>11060</v>
      </c>
      <c r="T262">
        <f t="shared" si="47"/>
        <v>395</v>
      </c>
      <c r="U262">
        <v>0</v>
      </c>
      <c r="V262">
        <f t="shared" si="48"/>
        <v>756.8</v>
      </c>
      <c r="W262" s="6">
        <f t="shared" si="49"/>
        <v>39.8757928118393</v>
      </c>
      <c r="X262">
        <v>1800</v>
      </c>
      <c r="AD262">
        <f t="shared" si="50"/>
        <v>790</v>
      </c>
      <c r="AF262">
        <f t="shared" si="51"/>
        <v>13.8</v>
      </c>
      <c r="AG262" t="e">
        <f ca="1" t="shared" si="52"/>
        <v>#N/A</v>
      </c>
      <c r="AH262">
        <f t="shared" si="53"/>
        <v>16.1</v>
      </c>
      <c r="AI262" t="e">
        <f ca="1" t="shared" si="54"/>
        <v>#N/A</v>
      </c>
    </row>
    <row r="263" spans="2:35">
      <c r="B263">
        <f t="shared" si="55"/>
        <v>2.82857142857143</v>
      </c>
      <c r="C263">
        <v>257</v>
      </c>
      <c r="D263">
        <f t="shared" si="57"/>
        <v>527</v>
      </c>
      <c r="E263">
        <f t="shared" si="56"/>
        <v>338</v>
      </c>
      <c r="F263">
        <v>396</v>
      </c>
      <c r="G263">
        <v>40</v>
      </c>
      <c r="H263">
        <v>8</v>
      </c>
      <c r="I263">
        <v>0.5</v>
      </c>
      <c r="J263">
        <v>5</v>
      </c>
      <c r="K263">
        <v>2</v>
      </c>
      <c r="L263">
        <v>1</v>
      </c>
      <c r="M263">
        <v>0.1</v>
      </c>
      <c r="N263">
        <v>21318</v>
      </c>
      <c r="O263">
        <v>1.5</v>
      </c>
      <c r="P263">
        <f t="shared" ref="P263:P306" si="58">F263</f>
        <v>396</v>
      </c>
      <c r="Q263">
        <v>12</v>
      </c>
      <c r="R263">
        <f t="shared" ref="R263:R306" si="59">P263*28*1.3+F263*40+U263</f>
        <v>30254.4</v>
      </c>
      <c r="S263">
        <f t="shared" ref="S263:S306" si="60">P263*28</f>
        <v>11088</v>
      </c>
      <c r="T263">
        <f t="shared" ref="T263:T306" si="61">F263</f>
        <v>396</v>
      </c>
      <c r="U263">
        <v>0</v>
      </c>
      <c r="V263">
        <f t="shared" ref="V263:V306" si="62">Q263*28*1.3+H263*40</f>
        <v>756.8</v>
      </c>
      <c r="W263" s="6">
        <f t="shared" ref="W263:W306" si="63">R263/V263</f>
        <v>39.9767441860465</v>
      </c>
      <c r="X263">
        <v>1800</v>
      </c>
      <c r="AD263">
        <f t="shared" ref="AD263:AD306" si="64">P263*2</f>
        <v>792</v>
      </c>
      <c r="AF263">
        <f t="shared" ref="AF263:AF306" si="65">VLOOKUP(INT(AE263/10)+1,$AN$8:$AO$33,2,0)</f>
        <v>13.8</v>
      </c>
      <c r="AG263" t="e">
        <f ca="1" t="shared" ref="AG263:AG306" si="66">OFFSET($AK$6,MATCH(Y263,$AL$7:$AL$21,1),0)</f>
        <v>#N/A</v>
      </c>
      <c r="AH263">
        <f t="shared" ref="AH263:AH306" si="67">VLOOKUP(INT(AE263/10)+2,$AN$8:$AO$33,2,0)</f>
        <v>16.1</v>
      </c>
      <c r="AI263" t="e">
        <f ca="1" t="shared" ref="AI263:AI306" si="68">OFFSET($AK$6,1+MATCH(Y263,$AL$7:$AL$21,1),0)</f>
        <v>#N/A</v>
      </c>
    </row>
    <row r="264" spans="2:35">
      <c r="B264">
        <f t="shared" ref="B264:B306" si="69">F264/$F$7</f>
        <v>2.83571428571429</v>
      </c>
      <c r="C264">
        <v>258</v>
      </c>
      <c r="D264">
        <f t="shared" si="57"/>
        <v>530</v>
      </c>
      <c r="E264">
        <f t="shared" si="56"/>
        <v>340</v>
      </c>
      <c r="F264">
        <v>397</v>
      </c>
      <c r="G264">
        <v>40</v>
      </c>
      <c r="H264">
        <v>8</v>
      </c>
      <c r="I264">
        <v>0.5</v>
      </c>
      <c r="J264">
        <v>5</v>
      </c>
      <c r="K264">
        <v>2</v>
      </c>
      <c r="L264">
        <v>1</v>
      </c>
      <c r="M264">
        <v>0.1</v>
      </c>
      <c r="N264">
        <v>21318</v>
      </c>
      <c r="O264">
        <v>1.5</v>
      </c>
      <c r="P264">
        <f t="shared" si="58"/>
        <v>397</v>
      </c>
      <c r="Q264">
        <v>12</v>
      </c>
      <c r="R264">
        <f t="shared" si="59"/>
        <v>30330.8</v>
      </c>
      <c r="S264">
        <f t="shared" si="60"/>
        <v>11116</v>
      </c>
      <c r="T264">
        <f t="shared" si="61"/>
        <v>397</v>
      </c>
      <c r="U264">
        <v>0</v>
      </c>
      <c r="V264">
        <f t="shared" si="62"/>
        <v>756.8</v>
      </c>
      <c r="W264" s="6">
        <f t="shared" si="63"/>
        <v>40.0776955602537</v>
      </c>
      <c r="X264">
        <v>1800</v>
      </c>
      <c r="AD264">
        <f t="shared" si="64"/>
        <v>794</v>
      </c>
      <c r="AF264">
        <f t="shared" si="65"/>
        <v>13.8</v>
      </c>
      <c r="AG264" t="e">
        <f ca="1" t="shared" si="66"/>
        <v>#N/A</v>
      </c>
      <c r="AH264">
        <f t="shared" si="67"/>
        <v>16.1</v>
      </c>
      <c r="AI264" t="e">
        <f ca="1" t="shared" si="68"/>
        <v>#N/A</v>
      </c>
    </row>
    <row r="265" spans="2:35">
      <c r="B265">
        <f t="shared" si="69"/>
        <v>2.84285714285714</v>
      </c>
      <c r="C265">
        <v>259</v>
      </c>
      <c r="D265">
        <f t="shared" si="57"/>
        <v>533</v>
      </c>
      <c r="E265">
        <f t="shared" si="56"/>
        <v>342</v>
      </c>
      <c r="F265">
        <v>398</v>
      </c>
      <c r="G265">
        <v>40</v>
      </c>
      <c r="H265">
        <v>8</v>
      </c>
      <c r="I265">
        <v>0.5</v>
      </c>
      <c r="J265">
        <v>5</v>
      </c>
      <c r="K265">
        <v>2</v>
      </c>
      <c r="L265">
        <v>1</v>
      </c>
      <c r="M265">
        <v>0.1</v>
      </c>
      <c r="N265">
        <v>21318</v>
      </c>
      <c r="O265">
        <v>1.5</v>
      </c>
      <c r="P265">
        <f t="shared" si="58"/>
        <v>398</v>
      </c>
      <c r="Q265">
        <v>12</v>
      </c>
      <c r="R265">
        <f t="shared" si="59"/>
        <v>30407.2</v>
      </c>
      <c r="S265">
        <f t="shared" si="60"/>
        <v>11144</v>
      </c>
      <c r="T265">
        <f t="shared" si="61"/>
        <v>398</v>
      </c>
      <c r="U265">
        <v>0</v>
      </c>
      <c r="V265">
        <f t="shared" si="62"/>
        <v>756.8</v>
      </c>
      <c r="W265" s="6">
        <f t="shared" si="63"/>
        <v>40.1786469344609</v>
      </c>
      <c r="X265">
        <v>1800</v>
      </c>
      <c r="AD265">
        <f t="shared" si="64"/>
        <v>796</v>
      </c>
      <c r="AF265">
        <f t="shared" si="65"/>
        <v>13.8</v>
      </c>
      <c r="AG265" t="e">
        <f ca="1" t="shared" si="66"/>
        <v>#N/A</v>
      </c>
      <c r="AH265">
        <f t="shared" si="67"/>
        <v>16.1</v>
      </c>
      <c r="AI265" t="e">
        <f ca="1" t="shared" si="68"/>
        <v>#N/A</v>
      </c>
    </row>
    <row r="266" spans="2:35">
      <c r="B266">
        <f t="shared" si="69"/>
        <v>2.85</v>
      </c>
      <c r="C266">
        <v>260</v>
      </c>
      <c r="D266">
        <f t="shared" si="57"/>
        <v>536</v>
      </c>
      <c r="E266">
        <f t="shared" si="56"/>
        <v>344</v>
      </c>
      <c r="F266">
        <v>399</v>
      </c>
      <c r="G266">
        <v>40</v>
      </c>
      <c r="H266">
        <v>8</v>
      </c>
      <c r="I266">
        <v>0.5</v>
      </c>
      <c r="J266">
        <v>5</v>
      </c>
      <c r="K266">
        <v>2</v>
      </c>
      <c r="L266">
        <v>1</v>
      </c>
      <c r="M266">
        <v>0.1</v>
      </c>
      <c r="N266">
        <v>21318</v>
      </c>
      <c r="O266">
        <v>1.5</v>
      </c>
      <c r="P266">
        <f t="shared" si="58"/>
        <v>399</v>
      </c>
      <c r="Q266">
        <v>12</v>
      </c>
      <c r="R266">
        <f t="shared" si="59"/>
        <v>30483.6</v>
      </c>
      <c r="S266">
        <f t="shared" si="60"/>
        <v>11172</v>
      </c>
      <c r="T266">
        <f t="shared" si="61"/>
        <v>399</v>
      </c>
      <c r="U266">
        <v>0</v>
      </c>
      <c r="V266">
        <f t="shared" si="62"/>
        <v>756.8</v>
      </c>
      <c r="W266" s="6">
        <f t="shared" si="63"/>
        <v>40.2795983086681</v>
      </c>
      <c r="X266">
        <v>1800</v>
      </c>
      <c r="AD266">
        <f t="shared" si="64"/>
        <v>798</v>
      </c>
      <c r="AF266">
        <f t="shared" si="65"/>
        <v>13.8</v>
      </c>
      <c r="AG266" t="e">
        <f ca="1" t="shared" si="66"/>
        <v>#N/A</v>
      </c>
      <c r="AH266">
        <f t="shared" si="67"/>
        <v>16.1</v>
      </c>
      <c r="AI266" t="e">
        <f ca="1" t="shared" si="68"/>
        <v>#N/A</v>
      </c>
    </row>
    <row r="267" spans="2:35">
      <c r="B267">
        <f t="shared" si="69"/>
        <v>2.85714285714286</v>
      </c>
      <c r="C267">
        <v>261</v>
      </c>
      <c r="D267">
        <f t="shared" si="57"/>
        <v>539</v>
      </c>
      <c r="E267">
        <f t="shared" si="56"/>
        <v>346</v>
      </c>
      <c r="F267">
        <v>400</v>
      </c>
      <c r="G267">
        <v>40</v>
      </c>
      <c r="H267">
        <v>8</v>
      </c>
      <c r="I267">
        <v>0.5</v>
      </c>
      <c r="J267">
        <v>5</v>
      </c>
      <c r="K267">
        <v>2</v>
      </c>
      <c r="L267">
        <v>1</v>
      </c>
      <c r="M267">
        <v>0.1</v>
      </c>
      <c r="N267">
        <v>21318</v>
      </c>
      <c r="O267">
        <v>1.5</v>
      </c>
      <c r="P267">
        <f t="shared" si="58"/>
        <v>400</v>
      </c>
      <c r="Q267">
        <v>12</v>
      </c>
      <c r="R267">
        <f t="shared" si="59"/>
        <v>30560</v>
      </c>
      <c r="S267">
        <f t="shared" si="60"/>
        <v>11200</v>
      </c>
      <c r="T267">
        <f t="shared" si="61"/>
        <v>400</v>
      </c>
      <c r="U267">
        <v>0</v>
      </c>
      <c r="V267">
        <f t="shared" si="62"/>
        <v>756.8</v>
      </c>
      <c r="W267" s="6">
        <f t="shared" si="63"/>
        <v>40.3805496828753</v>
      </c>
      <c r="X267">
        <v>1800</v>
      </c>
      <c r="AD267">
        <f t="shared" si="64"/>
        <v>800</v>
      </c>
      <c r="AF267">
        <f t="shared" si="65"/>
        <v>13.8</v>
      </c>
      <c r="AG267" t="e">
        <f ca="1" t="shared" si="66"/>
        <v>#N/A</v>
      </c>
      <c r="AH267">
        <f t="shared" si="67"/>
        <v>16.1</v>
      </c>
      <c r="AI267" t="e">
        <f ca="1" t="shared" si="68"/>
        <v>#N/A</v>
      </c>
    </row>
    <row r="268" spans="2:35">
      <c r="B268">
        <f t="shared" si="69"/>
        <v>2.86428571428571</v>
      </c>
      <c r="C268">
        <v>262</v>
      </c>
      <c r="D268">
        <f t="shared" si="57"/>
        <v>542</v>
      </c>
      <c r="E268">
        <f t="shared" si="56"/>
        <v>348</v>
      </c>
      <c r="F268">
        <v>401</v>
      </c>
      <c r="G268">
        <v>40</v>
      </c>
      <c r="H268">
        <v>8</v>
      </c>
      <c r="I268">
        <v>0.5</v>
      </c>
      <c r="J268">
        <v>5</v>
      </c>
      <c r="K268">
        <v>2</v>
      </c>
      <c r="L268">
        <v>1</v>
      </c>
      <c r="M268">
        <v>0.1</v>
      </c>
      <c r="N268">
        <v>21318</v>
      </c>
      <c r="O268">
        <v>1.5</v>
      </c>
      <c r="P268">
        <f t="shared" si="58"/>
        <v>401</v>
      </c>
      <c r="Q268">
        <v>12</v>
      </c>
      <c r="R268">
        <f t="shared" si="59"/>
        <v>30636.4</v>
      </c>
      <c r="S268">
        <f t="shared" si="60"/>
        <v>11228</v>
      </c>
      <c r="T268">
        <f t="shared" si="61"/>
        <v>401</v>
      </c>
      <c r="U268">
        <v>0</v>
      </c>
      <c r="V268">
        <f t="shared" si="62"/>
        <v>756.8</v>
      </c>
      <c r="W268" s="6">
        <f t="shared" si="63"/>
        <v>40.4815010570825</v>
      </c>
      <c r="X268">
        <v>1800</v>
      </c>
      <c r="AD268">
        <f t="shared" si="64"/>
        <v>802</v>
      </c>
      <c r="AF268">
        <f t="shared" si="65"/>
        <v>13.8</v>
      </c>
      <c r="AG268" t="e">
        <f ca="1" t="shared" si="66"/>
        <v>#N/A</v>
      </c>
      <c r="AH268">
        <f t="shared" si="67"/>
        <v>16.1</v>
      </c>
      <c r="AI268" t="e">
        <f ca="1" t="shared" si="68"/>
        <v>#N/A</v>
      </c>
    </row>
    <row r="269" spans="2:35">
      <c r="B269">
        <f t="shared" si="69"/>
        <v>2.87142857142857</v>
      </c>
      <c r="C269">
        <v>263</v>
      </c>
      <c r="D269">
        <f t="shared" si="57"/>
        <v>545</v>
      </c>
      <c r="E269">
        <f t="shared" si="56"/>
        <v>350</v>
      </c>
      <c r="F269">
        <v>402</v>
      </c>
      <c r="G269">
        <v>40</v>
      </c>
      <c r="H269">
        <v>8</v>
      </c>
      <c r="I269">
        <v>0.5</v>
      </c>
      <c r="J269">
        <v>5</v>
      </c>
      <c r="K269">
        <v>2</v>
      </c>
      <c r="L269">
        <v>1</v>
      </c>
      <c r="M269">
        <v>0.1</v>
      </c>
      <c r="N269">
        <v>21318</v>
      </c>
      <c r="O269">
        <v>1.5</v>
      </c>
      <c r="P269">
        <f t="shared" si="58"/>
        <v>402</v>
      </c>
      <c r="Q269">
        <v>12</v>
      </c>
      <c r="R269">
        <f t="shared" si="59"/>
        <v>30712.8</v>
      </c>
      <c r="S269">
        <f t="shared" si="60"/>
        <v>11256</v>
      </c>
      <c r="T269">
        <f t="shared" si="61"/>
        <v>402</v>
      </c>
      <c r="U269">
        <v>0</v>
      </c>
      <c r="V269">
        <f t="shared" si="62"/>
        <v>756.8</v>
      </c>
      <c r="W269" s="6">
        <f t="shared" si="63"/>
        <v>40.5824524312896</v>
      </c>
      <c r="X269">
        <v>1800</v>
      </c>
      <c r="AD269">
        <f t="shared" si="64"/>
        <v>804</v>
      </c>
      <c r="AF269">
        <f t="shared" si="65"/>
        <v>13.8</v>
      </c>
      <c r="AG269" t="e">
        <f ca="1" t="shared" si="66"/>
        <v>#N/A</v>
      </c>
      <c r="AH269">
        <f t="shared" si="67"/>
        <v>16.1</v>
      </c>
      <c r="AI269" t="e">
        <f ca="1" t="shared" si="68"/>
        <v>#N/A</v>
      </c>
    </row>
    <row r="270" spans="2:35">
      <c r="B270">
        <f t="shared" si="69"/>
        <v>2.87857142857143</v>
      </c>
      <c r="C270">
        <v>264</v>
      </c>
      <c r="D270">
        <f t="shared" si="57"/>
        <v>548</v>
      </c>
      <c r="E270">
        <f t="shared" si="56"/>
        <v>352</v>
      </c>
      <c r="F270">
        <v>403</v>
      </c>
      <c r="G270">
        <v>40</v>
      </c>
      <c r="H270">
        <v>8</v>
      </c>
      <c r="I270">
        <v>0.5</v>
      </c>
      <c r="J270">
        <v>5</v>
      </c>
      <c r="K270">
        <v>2</v>
      </c>
      <c r="L270">
        <v>1</v>
      </c>
      <c r="M270">
        <v>0.1</v>
      </c>
      <c r="N270">
        <v>21318</v>
      </c>
      <c r="O270">
        <v>1.5</v>
      </c>
      <c r="P270">
        <f t="shared" si="58"/>
        <v>403</v>
      </c>
      <c r="Q270">
        <v>12</v>
      </c>
      <c r="R270">
        <f t="shared" si="59"/>
        <v>30789.2</v>
      </c>
      <c r="S270">
        <f t="shared" si="60"/>
        <v>11284</v>
      </c>
      <c r="T270">
        <f t="shared" si="61"/>
        <v>403</v>
      </c>
      <c r="U270">
        <v>0</v>
      </c>
      <c r="V270">
        <f t="shared" si="62"/>
        <v>756.8</v>
      </c>
      <c r="W270" s="6">
        <f t="shared" si="63"/>
        <v>40.6834038054968</v>
      </c>
      <c r="X270">
        <v>1800</v>
      </c>
      <c r="AD270">
        <f t="shared" si="64"/>
        <v>806</v>
      </c>
      <c r="AF270">
        <f t="shared" si="65"/>
        <v>13.8</v>
      </c>
      <c r="AG270" t="e">
        <f ca="1" t="shared" si="66"/>
        <v>#N/A</v>
      </c>
      <c r="AH270">
        <f t="shared" si="67"/>
        <v>16.1</v>
      </c>
      <c r="AI270" t="e">
        <f ca="1" t="shared" si="68"/>
        <v>#N/A</v>
      </c>
    </row>
    <row r="271" spans="2:35">
      <c r="B271">
        <f t="shared" si="69"/>
        <v>2.88571428571429</v>
      </c>
      <c r="C271">
        <v>265</v>
      </c>
      <c r="D271">
        <f t="shared" si="57"/>
        <v>551</v>
      </c>
      <c r="E271">
        <f t="shared" si="56"/>
        <v>354</v>
      </c>
      <c r="F271">
        <v>404</v>
      </c>
      <c r="G271">
        <v>40</v>
      </c>
      <c r="H271">
        <v>8</v>
      </c>
      <c r="I271">
        <v>0.5</v>
      </c>
      <c r="J271">
        <v>5</v>
      </c>
      <c r="K271">
        <v>2</v>
      </c>
      <c r="L271">
        <v>1</v>
      </c>
      <c r="M271">
        <v>0.1</v>
      </c>
      <c r="N271">
        <v>21318</v>
      </c>
      <c r="O271">
        <v>1.5</v>
      </c>
      <c r="P271">
        <f t="shared" si="58"/>
        <v>404</v>
      </c>
      <c r="Q271">
        <v>12</v>
      </c>
      <c r="R271">
        <f t="shared" si="59"/>
        <v>30865.6</v>
      </c>
      <c r="S271">
        <f t="shared" si="60"/>
        <v>11312</v>
      </c>
      <c r="T271">
        <f t="shared" si="61"/>
        <v>404</v>
      </c>
      <c r="U271">
        <v>0</v>
      </c>
      <c r="V271">
        <f t="shared" si="62"/>
        <v>756.8</v>
      </c>
      <c r="W271" s="6">
        <f t="shared" si="63"/>
        <v>40.784355179704</v>
      </c>
      <c r="X271">
        <v>1800</v>
      </c>
      <c r="AD271">
        <f t="shared" si="64"/>
        <v>808</v>
      </c>
      <c r="AF271">
        <f t="shared" si="65"/>
        <v>13.8</v>
      </c>
      <c r="AG271" t="e">
        <f ca="1" t="shared" si="66"/>
        <v>#N/A</v>
      </c>
      <c r="AH271">
        <f t="shared" si="67"/>
        <v>16.1</v>
      </c>
      <c r="AI271" t="e">
        <f ca="1" t="shared" si="68"/>
        <v>#N/A</v>
      </c>
    </row>
    <row r="272" spans="2:35">
      <c r="B272">
        <f t="shared" si="69"/>
        <v>2.89285714285714</v>
      </c>
      <c r="C272">
        <v>266</v>
      </c>
      <c r="D272">
        <f t="shared" si="57"/>
        <v>554</v>
      </c>
      <c r="E272">
        <f t="shared" si="56"/>
        <v>356</v>
      </c>
      <c r="F272">
        <v>405</v>
      </c>
      <c r="G272">
        <v>40</v>
      </c>
      <c r="H272">
        <v>8</v>
      </c>
      <c r="I272">
        <v>0.5</v>
      </c>
      <c r="J272">
        <v>5</v>
      </c>
      <c r="K272">
        <v>2</v>
      </c>
      <c r="L272">
        <v>1</v>
      </c>
      <c r="M272">
        <v>0.1</v>
      </c>
      <c r="N272">
        <v>21318</v>
      </c>
      <c r="O272">
        <v>1.5</v>
      </c>
      <c r="P272">
        <f t="shared" si="58"/>
        <v>405</v>
      </c>
      <c r="Q272">
        <v>12</v>
      </c>
      <c r="R272">
        <f t="shared" si="59"/>
        <v>30942</v>
      </c>
      <c r="S272">
        <f t="shared" si="60"/>
        <v>11340</v>
      </c>
      <c r="T272">
        <f t="shared" si="61"/>
        <v>405</v>
      </c>
      <c r="U272">
        <v>0</v>
      </c>
      <c r="V272">
        <f t="shared" si="62"/>
        <v>756.8</v>
      </c>
      <c r="W272" s="6">
        <f t="shared" si="63"/>
        <v>40.8853065539112</v>
      </c>
      <c r="X272">
        <v>1800</v>
      </c>
      <c r="AD272">
        <f t="shared" si="64"/>
        <v>810</v>
      </c>
      <c r="AF272">
        <f t="shared" si="65"/>
        <v>13.8</v>
      </c>
      <c r="AG272" t="e">
        <f ca="1" t="shared" si="66"/>
        <v>#N/A</v>
      </c>
      <c r="AH272">
        <f t="shared" si="67"/>
        <v>16.1</v>
      </c>
      <c r="AI272" t="e">
        <f ca="1" t="shared" si="68"/>
        <v>#N/A</v>
      </c>
    </row>
    <row r="273" spans="2:35">
      <c r="B273">
        <f t="shared" si="69"/>
        <v>2.9</v>
      </c>
      <c r="C273">
        <v>267</v>
      </c>
      <c r="D273">
        <f t="shared" si="57"/>
        <v>557</v>
      </c>
      <c r="E273">
        <f t="shared" si="56"/>
        <v>358</v>
      </c>
      <c r="F273">
        <v>406</v>
      </c>
      <c r="G273">
        <v>40</v>
      </c>
      <c r="H273">
        <v>8</v>
      </c>
      <c r="I273">
        <v>0.5</v>
      </c>
      <c r="J273">
        <v>5</v>
      </c>
      <c r="K273">
        <v>2</v>
      </c>
      <c r="L273">
        <v>1</v>
      </c>
      <c r="M273">
        <v>0.1</v>
      </c>
      <c r="N273">
        <v>21318</v>
      </c>
      <c r="O273">
        <v>1.5</v>
      </c>
      <c r="P273">
        <f t="shared" si="58"/>
        <v>406</v>
      </c>
      <c r="Q273">
        <v>12</v>
      </c>
      <c r="R273">
        <f t="shared" si="59"/>
        <v>31018.4</v>
      </c>
      <c r="S273">
        <f t="shared" si="60"/>
        <v>11368</v>
      </c>
      <c r="T273">
        <f t="shared" si="61"/>
        <v>406</v>
      </c>
      <c r="U273">
        <v>0</v>
      </c>
      <c r="V273">
        <f t="shared" si="62"/>
        <v>756.8</v>
      </c>
      <c r="W273" s="6">
        <f t="shared" si="63"/>
        <v>40.9862579281184</v>
      </c>
      <c r="X273">
        <v>1800</v>
      </c>
      <c r="AD273">
        <f t="shared" si="64"/>
        <v>812</v>
      </c>
      <c r="AF273">
        <f t="shared" si="65"/>
        <v>13.8</v>
      </c>
      <c r="AG273" t="e">
        <f ca="1" t="shared" si="66"/>
        <v>#N/A</v>
      </c>
      <c r="AH273">
        <f t="shared" si="67"/>
        <v>16.1</v>
      </c>
      <c r="AI273" t="e">
        <f ca="1" t="shared" si="68"/>
        <v>#N/A</v>
      </c>
    </row>
    <row r="274" spans="2:35">
      <c r="B274">
        <f t="shared" si="69"/>
        <v>2.90714285714286</v>
      </c>
      <c r="C274">
        <v>268</v>
      </c>
      <c r="D274">
        <f t="shared" si="57"/>
        <v>560</v>
      </c>
      <c r="E274">
        <f t="shared" si="56"/>
        <v>360</v>
      </c>
      <c r="F274">
        <v>407</v>
      </c>
      <c r="G274">
        <v>40</v>
      </c>
      <c r="H274">
        <v>8</v>
      </c>
      <c r="I274">
        <v>0.5</v>
      </c>
      <c r="J274">
        <v>5</v>
      </c>
      <c r="K274">
        <v>2</v>
      </c>
      <c r="L274">
        <v>1</v>
      </c>
      <c r="M274">
        <v>0.1</v>
      </c>
      <c r="N274">
        <v>21318</v>
      </c>
      <c r="O274">
        <v>1.5</v>
      </c>
      <c r="P274">
        <f t="shared" si="58"/>
        <v>407</v>
      </c>
      <c r="Q274">
        <v>12</v>
      </c>
      <c r="R274">
        <f t="shared" si="59"/>
        <v>31094.8</v>
      </c>
      <c r="S274">
        <f t="shared" si="60"/>
        <v>11396</v>
      </c>
      <c r="T274">
        <f t="shared" si="61"/>
        <v>407</v>
      </c>
      <c r="U274">
        <v>0</v>
      </c>
      <c r="V274">
        <f t="shared" si="62"/>
        <v>756.8</v>
      </c>
      <c r="W274" s="6">
        <f t="shared" si="63"/>
        <v>41.0872093023256</v>
      </c>
      <c r="X274">
        <v>1800</v>
      </c>
      <c r="AD274">
        <f t="shared" si="64"/>
        <v>814</v>
      </c>
      <c r="AF274">
        <f t="shared" si="65"/>
        <v>13.8</v>
      </c>
      <c r="AG274" t="e">
        <f ca="1" t="shared" si="66"/>
        <v>#N/A</v>
      </c>
      <c r="AH274">
        <f t="shared" si="67"/>
        <v>16.1</v>
      </c>
      <c r="AI274" t="e">
        <f ca="1" t="shared" si="68"/>
        <v>#N/A</v>
      </c>
    </row>
    <row r="275" spans="2:35">
      <c r="B275">
        <f t="shared" si="69"/>
        <v>2.91428571428571</v>
      </c>
      <c r="C275">
        <v>269</v>
      </c>
      <c r="D275">
        <f t="shared" si="57"/>
        <v>563</v>
      </c>
      <c r="E275">
        <f t="shared" si="56"/>
        <v>362</v>
      </c>
      <c r="F275">
        <v>408</v>
      </c>
      <c r="G275">
        <v>40</v>
      </c>
      <c r="H275">
        <v>8</v>
      </c>
      <c r="I275">
        <v>0.5</v>
      </c>
      <c r="J275">
        <v>5</v>
      </c>
      <c r="K275">
        <v>2</v>
      </c>
      <c r="L275">
        <v>1</v>
      </c>
      <c r="M275">
        <v>0.1</v>
      </c>
      <c r="N275">
        <v>21318</v>
      </c>
      <c r="O275">
        <v>1.5</v>
      </c>
      <c r="P275">
        <f t="shared" si="58"/>
        <v>408</v>
      </c>
      <c r="Q275">
        <v>12</v>
      </c>
      <c r="R275">
        <f t="shared" si="59"/>
        <v>31171.2</v>
      </c>
      <c r="S275">
        <f t="shared" si="60"/>
        <v>11424</v>
      </c>
      <c r="T275">
        <f t="shared" si="61"/>
        <v>408</v>
      </c>
      <c r="U275">
        <v>0</v>
      </c>
      <c r="V275">
        <f t="shared" si="62"/>
        <v>756.8</v>
      </c>
      <c r="W275" s="6">
        <f t="shared" si="63"/>
        <v>41.1881606765328</v>
      </c>
      <c r="X275">
        <v>1800</v>
      </c>
      <c r="AD275">
        <f t="shared" si="64"/>
        <v>816</v>
      </c>
      <c r="AF275">
        <f t="shared" si="65"/>
        <v>13.8</v>
      </c>
      <c r="AG275" t="e">
        <f ca="1" t="shared" si="66"/>
        <v>#N/A</v>
      </c>
      <c r="AH275">
        <f t="shared" si="67"/>
        <v>16.1</v>
      </c>
      <c r="AI275" t="e">
        <f ca="1" t="shared" si="68"/>
        <v>#N/A</v>
      </c>
    </row>
    <row r="276" spans="2:35">
      <c r="B276">
        <f t="shared" si="69"/>
        <v>2.92142857142857</v>
      </c>
      <c r="C276">
        <v>270</v>
      </c>
      <c r="D276">
        <f t="shared" si="57"/>
        <v>566</v>
      </c>
      <c r="E276">
        <f t="shared" si="56"/>
        <v>364</v>
      </c>
      <c r="F276">
        <v>409</v>
      </c>
      <c r="G276">
        <v>40</v>
      </c>
      <c r="H276">
        <v>8</v>
      </c>
      <c r="I276">
        <v>0.5</v>
      </c>
      <c r="J276">
        <v>5</v>
      </c>
      <c r="K276">
        <v>2</v>
      </c>
      <c r="L276">
        <v>1</v>
      </c>
      <c r="M276">
        <v>0.1</v>
      </c>
      <c r="N276">
        <v>21318</v>
      </c>
      <c r="O276">
        <v>1.5</v>
      </c>
      <c r="P276">
        <f t="shared" si="58"/>
        <v>409</v>
      </c>
      <c r="Q276">
        <v>12</v>
      </c>
      <c r="R276">
        <f t="shared" si="59"/>
        <v>31247.6</v>
      </c>
      <c r="S276">
        <f t="shared" si="60"/>
        <v>11452</v>
      </c>
      <c r="T276">
        <f t="shared" si="61"/>
        <v>409</v>
      </c>
      <c r="U276">
        <v>0</v>
      </c>
      <c r="V276">
        <f t="shared" si="62"/>
        <v>756.8</v>
      </c>
      <c r="W276" s="6">
        <f t="shared" si="63"/>
        <v>41.28911205074</v>
      </c>
      <c r="X276">
        <v>1800</v>
      </c>
      <c r="AD276">
        <f t="shared" si="64"/>
        <v>818</v>
      </c>
      <c r="AF276">
        <f t="shared" si="65"/>
        <v>13.8</v>
      </c>
      <c r="AG276" t="e">
        <f ca="1" t="shared" si="66"/>
        <v>#N/A</v>
      </c>
      <c r="AH276">
        <f t="shared" si="67"/>
        <v>16.1</v>
      </c>
      <c r="AI276" t="e">
        <f ca="1" t="shared" si="68"/>
        <v>#N/A</v>
      </c>
    </row>
    <row r="277" spans="2:35">
      <c r="B277">
        <f t="shared" si="69"/>
        <v>2.92857142857143</v>
      </c>
      <c r="C277">
        <v>271</v>
      </c>
      <c r="D277">
        <f t="shared" si="57"/>
        <v>569</v>
      </c>
      <c r="E277">
        <f t="shared" si="56"/>
        <v>366</v>
      </c>
      <c r="F277">
        <v>410</v>
      </c>
      <c r="G277">
        <v>40</v>
      </c>
      <c r="H277">
        <v>8</v>
      </c>
      <c r="I277">
        <v>0.5</v>
      </c>
      <c r="J277">
        <v>5</v>
      </c>
      <c r="K277">
        <v>2</v>
      </c>
      <c r="L277">
        <v>1</v>
      </c>
      <c r="M277">
        <v>0.1</v>
      </c>
      <c r="N277">
        <v>21318</v>
      </c>
      <c r="O277">
        <v>1.5</v>
      </c>
      <c r="P277">
        <f t="shared" si="58"/>
        <v>410</v>
      </c>
      <c r="Q277">
        <v>12</v>
      </c>
      <c r="R277">
        <f t="shared" si="59"/>
        <v>31324</v>
      </c>
      <c r="S277">
        <f t="shared" si="60"/>
        <v>11480</v>
      </c>
      <c r="T277">
        <f t="shared" si="61"/>
        <v>410</v>
      </c>
      <c r="U277">
        <v>0</v>
      </c>
      <c r="V277">
        <f t="shared" si="62"/>
        <v>756.8</v>
      </c>
      <c r="W277" s="6">
        <f t="shared" si="63"/>
        <v>41.3900634249472</v>
      </c>
      <c r="X277">
        <v>1800</v>
      </c>
      <c r="AD277">
        <f t="shared" si="64"/>
        <v>820</v>
      </c>
      <c r="AF277">
        <f t="shared" si="65"/>
        <v>13.8</v>
      </c>
      <c r="AG277" t="e">
        <f ca="1" t="shared" si="66"/>
        <v>#N/A</v>
      </c>
      <c r="AH277">
        <f t="shared" si="67"/>
        <v>16.1</v>
      </c>
      <c r="AI277" t="e">
        <f ca="1" t="shared" si="68"/>
        <v>#N/A</v>
      </c>
    </row>
    <row r="278" spans="2:35">
      <c r="B278">
        <f t="shared" si="69"/>
        <v>2.93571428571429</v>
      </c>
      <c r="C278">
        <v>272</v>
      </c>
      <c r="D278">
        <f t="shared" si="57"/>
        <v>572</v>
      </c>
      <c r="E278">
        <f t="shared" si="56"/>
        <v>368</v>
      </c>
      <c r="F278">
        <v>411</v>
      </c>
      <c r="G278">
        <v>40</v>
      </c>
      <c r="H278">
        <v>8</v>
      </c>
      <c r="I278">
        <v>0.5</v>
      </c>
      <c r="J278">
        <v>5</v>
      </c>
      <c r="K278">
        <v>2</v>
      </c>
      <c r="L278">
        <v>1</v>
      </c>
      <c r="M278">
        <v>0.1</v>
      </c>
      <c r="N278">
        <v>21318</v>
      </c>
      <c r="O278">
        <v>1.5</v>
      </c>
      <c r="P278">
        <f t="shared" si="58"/>
        <v>411</v>
      </c>
      <c r="Q278">
        <v>12</v>
      </c>
      <c r="R278">
        <f t="shared" si="59"/>
        <v>31400.4</v>
      </c>
      <c r="S278">
        <f t="shared" si="60"/>
        <v>11508</v>
      </c>
      <c r="T278">
        <f t="shared" si="61"/>
        <v>411</v>
      </c>
      <c r="U278">
        <v>0</v>
      </c>
      <c r="V278">
        <f t="shared" si="62"/>
        <v>756.8</v>
      </c>
      <c r="W278" s="6">
        <f t="shared" si="63"/>
        <v>41.4910147991543</v>
      </c>
      <c r="X278">
        <v>1800</v>
      </c>
      <c r="AD278">
        <f t="shared" si="64"/>
        <v>822</v>
      </c>
      <c r="AF278">
        <f t="shared" si="65"/>
        <v>13.8</v>
      </c>
      <c r="AG278" t="e">
        <f ca="1" t="shared" si="66"/>
        <v>#N/A</v>
      </c>
      <c r="AH278">
        <f t="shared" si="67"/>
        <v>16.1</v>
      </c>
      <c r="AI278" t="e">
        <f ca="1" t="shared" si="68"/>
        <v>#N/A</v>
      </c>
    </row>
    <row r="279" spans="2:35">
      <c r="B279">
        <f t="shared" si="69"/>
        <v>2.94285714285714</v>
      </c>
      <c r="C279">
        <v>273</v>
      </c>
      <c r="D279">
        <f t="shared" si="57"/>
        <v>575</v>
      </c>
      <c r="E279">
        <f t="shared" si="56"/>
        <v>370</v>
      </c>
      <c r="F279">
        <v>412</v>
      </c>
      <c r="G279">
        <v>40</v>
      </c>
      <c r="H279">
        <v>8</v>
      </c>
      <c r="I279">
        <v>0.5</v>
      </c>
      <c r="J279">
        <v>5</v>
      </c>
      <c r="K279">
        <v>2</v>
      </c>
      <c r="L279">
        <v>1</v>
      </c>
      <c r="M279">
        <v>0.1</v>
      </c>
      <c r="N279">
        <v>21318</v>
      </c>
      <c r="O279">
        <v>1.5</v>
      </c>
      <c r="P279">
        <f t="shared" si="58"/>
        <v>412</v>
      </c>
      <c r="Q279">
        <v>12</v>
      </c>
      <c r="R279">
        <f t="shared" si="59"/>
        <v>31476.8</v>
      </c>
      <c r="S279">
        <f t="shared" si="60"/>
        <v>11536</v>
      </c>
      <c r="T279">
        <f t="shared" si="61"/>
        <v>412</v>
      </c>
      <c r="U279">
        <v>0</v>
      </c>
      <c r="V279">
        <f t="shared" si="62"/>
        <v>756.8</v>
      </c>
      <c r="W279" s="6">
        <f t="shared" si="63"/>
        <v>41.5919661733615</v>
      </c>
      <c r="X279">
        <v>1800</v>
      </c>
      <c r="AD279">
        <f t="shared" si="64"/>
        <v>824</v>
      </c>
      <c r="AF279">
        <f t="shared" si="65"/>
        <v>13.8</v>
      </c>
      <c r="AG279" t="e">
        <f ca="1" t="shared" si="66"/>
        <v>#N/A</v>
      </c>
      <c r="AH279">
        <f t="shared" si="67"/>
        <v>16.1</v>
      </c>
      <c r="AI279" t="e">
        <f ca="1" t="shared" si="68"/>
        <v>#N/A</v>
      </c>
    </row>
    <row r="280" spans="2:35">
      <c r="B280">
        <f t="shared" si="69"/>
        <v>2.95</v>
      </c>
      <c r="C280">
        <v>274</v>
      </c>
      <c r="D280">
        <f t="shared" si="57"/>
        <v>578</v>
      </c>
      <c r="E280">
        <f t="shared" si="56"/>
        <v>372</v>
      </c>
      <c r="F280">
        <v>413</v>
      </c>
      <c r="G280">
        <v>40</v>
      </c>
      <c r="H280">
        <v>8</v>
      </c>
      <c r="I280">
        <v>0.5</v>
      </c>
      <c r="J280">
        <v>5</v>
      </c>
      <c r="K280">
        <v>2</v>
      </c>
      <c r="L280">
        <v>1</v>
      </c>
      <c r="M280">
        <v>0.1</v>
      </c>
      <c r="N280">
        <v>21318</v>
      </c>
      <c r="O280">
        <v>1.5</v>
      </c>
      <c r="P280">
        <f t="shared" si="58"/>
        <v>413</v>
      </c>
      <c r="Q280">
        <v>12</v>
      </c>
      <c r="R280">
        <f t="shared" si="59"/>
        <v>31553.2</v>
      </c>
      <c r="S280">
        <f t="shared" si="60"/>
        <v>11564</v>
      </c>
      <c r="T280">
        <f t="shared" si="61"/>
        <v>413</v>
      </c>
      <c r="U280">
        <v>0</v>
      </c>
      <c r="V280">
        <f t="shared" si="62"/>
        <v>756.8</v>
      </c>
      <c r="W280" s="6">
        <f t="shared" si="63"/>
        <v>41.6929175475687</v>
      </c>
      <c r="X280">
        <v>1800</v>
      </c>
      <c r="AD280">
        <f t="shared" si="64"/>
        <v>826</v>
      </c>
      <c r="AF280">
        <f t="shared" si="65"/>
        <v>13.8</v>
      </c>
      <c r="AG280" t="e">
        <f ca="1" t="shared" si="66"/>
        <v>#N/A</v>
      </c>
      <c r="AH280">
        <f t="shared" si="67"/>
        <v>16.1</v>
      </c>
      <c r="AI280" t="e">
        <f ca="1" t="shared" si="68"/>
        <v>#N/A</v>
      </c>
    </row>
    <row r="281" spans="2:35">
      <c r="B281">
        <f t="shared" si="69"/>
        <v>2.95714285714286</v>
      </c>
      <c r="C281">
        <v>275</v>
      </c>
      <c r="D281">
        <f t="shared" si="57"/>
        <v>581</v>
      </c>
      <c r="E281">
        <f t="shared" si="56"/>
        <v>374</v>
      </c>
      <c r="F281">
        <v>414</v>
      </c>
      <c r="G281">
        <v>40</v>
      </c>
      <c r="H281">
        <v>8</v>
      </c>
      <c r="I281">
        <v>0.5</v>
      </c>
      <c r="J281">
        <v>5</v>
      </c>
      <c r="K281">
        <v>2</v>
      </c>
      <c r="L281">
        <v>1</v>
      </c>
      <c r="M281">
        <v>0.1</v>
      </c>
      <c r="N281">
        <v>21318</v>
      </c>
      <c r="O281">
        <v>1.5</v>
      </c>
      <c r="P281">
        <f t="shared" si="58"/>
        <v>414</v>
      </c>
      <c r="Q281">
        <v>12</v>
      </c>
      <c r="R281">
        <f t="shared" si="59"/>
        <v>31629.6</v>
      </c>
      <c r="S281">
        <f t="shared" si="60"/>
        <v>11592</v>
      </c>
      <c r="T281">
        <f t="shared" si="61"/>
        <v>414</v>
      </c>
      <c r="U281">
        <v>0</v>
      </c>
      <c r="V281">
        <f t="shared" si="62"/>
        <v>756.8</v>
      </c>
      <c r="W281" s="6">
        <f t="shared" si="63"/>
        <v>41.7938689217759</v>
      </c>
      <c r="X281">
        <v>1800</v>
      </c>
      <c r="AD281">
        <f t="shared" si="64"/>
        <v>828</v>
      </c>
      <c r="AF281">
        <f t="shared" si="65"/>
        <v>13.8</v>
      </c>
      <c r="AG281" t="e">
        <f ca="1" t="shared" si="66"/>
        <v>#N/A</v>
      </c>
      <c r="AH281">
        <f t="shared" si="67"/>
        <v>16.1</v>
      </c>
      <c r="AI281" t="e">
        <f ca="1" t="shared" si="68"/>
        <v>#N/A</v>
      </c>
    </row>
    <row r="282" spans="2:35">
      <c r="B282">
        <f t="shared" si="69"/>
        <v>2.96428571428571</v>
      </c>
      <c r="C282">
        <v>276</v>
      </c>
      <c r="D282">
        <f t="shared" si="57"/>
        <v>584</v>
      </c>
      <c r="E282">
        <f t="shared" si="56"/>
        <v>376</v>
      </c>
      <c r="F282">
        <v>415</v>
      </c>
      <c r="G282">
        <v>40</v>
      </c>
      <c r="H282">
        <v>8</v>
      </c>
      <c r="I282">
        <v>0.5</v>
      </c>
      <c r="J282">
        <v>5</v>
      </c>
      <c r="K282">
        <v>2</v>
      </c>
      <c r="L282">
        <v>1</v>
      </c>
      <c r="M282">
        <v>0.1</v>
      </c>
      <c r="N282">
        <v>21318</v>
      </c>
      <c r="O282">
        <v>1.5</v>
      </c>
      <c r="P282">
        <f t="shared" si="58"/>
        <v>415</v>
      </c>
      <c r="Q282">
        <v>12</v>
      </c>
      <c r="R282">
        <f t="shared" si="59"/>
        <v>31706</v>
      </c>
      <c r="S282">
        <f t="shared" si="60"/>
        <v>11620</v>
      </c>
      <c r="T282">
        <f t="shared" si="61"/>
        <v>415</v>
      </c>
      <c r="U282">
        <v>0</v>
      </c>
      <c r="V282">
        <f t="shared" si="62"/>
        <v>756.8</v>
      </c>
      <c r="W282" s="6">
        <f t="shared" si="63"/>
        <v>41.8948202959831</v>
      </c>
      <c r="X282">
        <v>1800</v>
      </c>
      <c r="AD282">
        <f t="shared" si="64"/>
        <v>830</v>
      </c>
      <c r="AF282">
        <f t="shared" si="65"/>
        <v>13.8</v>
      </c>
      <c r="AG282" t="e">
        <f ca="1" t="shared" si="66"/>
        <v>#N/A</v>
      </c>
      <c r="AH282">
        <f t="shared" si="67"/>
        <v>16.1</v>
      </c>
      <c r="AI282" t="e">
        <f ca="1" t="shared" si="68"/>
        <v>#N/A</v>
      </c>
    </row>
    <row r="283" spans="2:35">
      <c r="B283">
        <f t="shared" si="69"/>
        <v>2.97142857142857</v>
      </c>
      <c r="C283">
        <v>277</v>
      </c>
      <c r="D283">
        <f t="shared" si="57"/>
        <v>587</v>
      </c>
      <c r="E283">
        <f t="shared" si="56"/>
        <v>378</v>
      </c>
      <c r="F283">
        <v>416</v>
      </c>
      <c r="G283">
        <v>40</v>
      </c>
      <c r="H283">
        <v>8</v>
      </c>
      <c r="I283">
        <v>0.5</v>
      </c>
      <c r="J283">
        <v>5</v>
      </c>
      <c r="K283">
        <v>2</v>
      </c>
      <c r="L283">
        <v>1</v>
      </c>
      <c r="M283">
        <v>0.1</v>
      </c>
      <c r="N283">
        <v>21318</v>
      </c>
      <c r="O283">
        <v>1.5</v>
      </c>
      <c r="P283">
        <f t="shared" si="58"/>
        <v>416</v>
      </c>
      <c r="Q283">
        <v>12</v>
      </c>
      <c r="R283">
        <f t="shared" si="59"/>
        <v>31782.4</v>
      </c>
      <c r="S283">
        <f t="shared" si="60"/>
        <v>11648</v>
      </c>
      <c r="T283">
        <f t="shared" si="61"/>
        <v>416</v>
      </c>
      <c r="U283">
        <v>0</v>
      </c>
      <c r="V283">
        <f t="shared" si="62"/>
        <v>756.8</v>
      </c>
      <c r="W283" s="6">
        <f t="shared" si="63"/>
        <v>41.9957716701903</v>
      </c>
      <c r="X283">
        <v>1800</v>
      </c>
      <c r="AD283">
        <f t="shared" si="64"/>
        <v>832</v>
      </c>
      <c r="AF283">
        <f t="shared" si="65"/>
        <v>13.8</v>
      </c>
      <c r="AG283" t="e">
        <f ca="1" t="shared" si="66"/>
        <v>#N/A</v>
      </c>
      <c r="AH283">
        <f t="shared" si="67"/>
        <v>16.1</v>
      </c>
      <c r="AI283" t="e">
        <f ca="1" t="shared" si="68"/>
        <v>#N/A</v>
      </c>
    </row>
    <row r="284" spans="2:35">
      <c r="B284">
        <f t="shared" si="69"/>
        <v>2.97857142857143</v>
      </c>
      <c r="C284">
        <v>278</v>
      </c>
      <c r="D284">
        <f t="shared" si="57"/>
        <v>590</v>
      </c>
      <c r="E284">
        <f t="shared" si="56"/>
        <v>380</v>
      </c>
      <c r="F284">
        <v>417</v>
      </c>
      <c r="G284">
        <v>40</v>
      </c>
      <c r="H284">
        <v>8</v>
      </c>
      <c r="I284">
        <v>0.5</v>
      </c>
      <c r="J284">
        <v>5</v>
      </c>
      <c r="K284">
        <v>2</v>
      </c>
      <c r="L284">
        <v>1</v>
      </c>
      <c r="M284">
        <v>0.1</v>
      </c>
      <c r="N284">
        <v>21318</v>
      </c>
      <c r="O284">
        <v>1.5</v>
      </c>
      <c r="P284">
        <f t="shared" si="58"/>
        <v>417</v>
      </c>
      <c r="Q284">
        <v>12</v>
      </c>
      <c r="R284">
        <f t="shared" si="59"/>
        <v>31858.8</v>
      </c>
      <c r="S284">
        <f t="shared" si="60"/>
        <v>11676</v>
      </c>
      <c r="T284">
        <f t="shared" si="61"/>
        <v>417</v>
      </c>
      <c r="U284">
        <v>0</v>
      </c>
      <c r="V284">
        <f t="shared" si="62"/>
        <v>756.8</v>
      </c>
      <c r="W284" s="6">
        <f t="shared" si="63"/>
        <v>42.0967230443975</v>
      </c>
      <c r="X284">
        <v>1800</v>
      </c>
      <c r="AD284">
        <f t="shared" si="64"/>
        <v>834</v>
      </c>
      <c r="AF284">
        <f t="shared" si="65"/>
        <v>13.8</v>
      </c>
      <c r="AG284" t="e">
        <f ca="1" t="shared" si="66"/>
        <v>#N/A</v>
      </c>
      <c r="AH284">
        <f t="shared" si="67"/>
        <v>16.1</v>
      </c>
      <c r="AI284" t="e">
        <f ca="1" t="shared" si="68"/>
        <v>#N/A</v>
      </c>
    </row>
    <row r="285" spans="2:35">
      <c r="B285">
        <f t="shared" si="69"/>
        <v>2.98571428571429</v>
      </c>
      <c r="C285">
        <v>279</v>
      </c>
      <c r="D285">
        <f t="shared" si="57"/>
        <v>593</v>
      </c>
      <c r="E285">
        <f t="shared" si="56"/>
        <v>382</v>
      </c>
      <c r="F285">
        <v>418</v>
      </c>
      <c r="G285">
        <v>40</v>
      </c>
      <c r="H285">
        <v>8</v>
      </c>
      <c r="I285">
        <v>0.5</v>
      </c>
      <c r="J285">
        <v>5</v>
      </c>
      <c r="K285">
        <v>2</v>
      </c>
      <c r="L285">
        <v>1</v>
      </c>
      <c r="M285">
        <v>0.1</v>
      </c>
      <c r="N285">
        <v>21318</v>
      </c>
      <c r="O285">
        <v>1.5</v>
      </c>
      <c r="P285">
        <f t="shared" si="58"/>
        <v>418</v>
      </c>
      <c r="Q285">
        <v>12</v>
      </c>
      <c r="R285">
        <f t="shared" si="59"/>
        <v>31935.2</v>
      </c>
      <c r="S285">
        <f t="shared" si="60"/>
        <v>11704</v>
      </c>
      <c r="T285">
        <f t="shared" si="61"/>
        <v>418</v>
      </c>
      <c r="U285">
        <v>0</v>
      </c>
      <c r="V285">
        <f t="shared" si="62"/>
        <v>756.8</v>
      </c>
      <c r="W285" s="6">
        <f t="shared" si="63"/>
        <v>42.1976744186047</v>
      </c>
      <c r="X285">
        <v>1800</v>
      </c>
      <c r="AD285">
        <f t="shared" si="64"/>
        <v>836</v>
      </c>
      <c r="AF285">
        <f t="shared" si="65"/>
        <v>13.8</v>
      </c>
      <c r="AG285" t="e">
        <f ca="1" t="shared" si="66"/>
        <v>#N/A</v>
      </c>
      <c r="AH285">
        <f t="shared" si="67"/>
        <v>16.1</v>
      </c>
      <c r="AI285" t="e">
        <f ca="1" t="shared" si="68"/>
        <v>#N/A</v>
      </c>
    </row>
    <row r="286" spans="2:35">
      <c r="B286">
        <f t="shared" si="69"/>
        <v>2.99285714285714</v>
      </c>
      <c r="C286">
        <v>280</v>
      </c>
      <c r="D286">
        <f t="shared" si="57"/>
        <v>596</v>
      </c>
      <c r="E286">
        <f t="shared" si="56"/>
        <v>384</v>
      </c>
      <c r="F286">
        <v>419</v>
      </c>
      <c r="G286">
        <v>40</v>
      </c>
      <c r="H286">
        <v>8</v>
      </c>
      <c r="I286">
        <v>0.5</v>
      </c>
      <c r="J286">
        <v>5</v>
      </c>
      <c r="K286">
        <v>2</v>
      </c>
      <c r="L286">
        <v>1</v>
      </c>
      <c r="M286">
        <v>0.1</v>
      </c>
      <c r="N286">
        <v>21318</v>
      </c>
      <c r="O286">
        <v>1.5</v>
      </c>
      <c r="P286">
        <f t="shared" si="58"/>
        <v>419</v>
      </c>
      <c r="Q286">
        <v>12</v>
      </c>
      <c r="R286">
        <f t="shared" si="59"/>
        <v>32011.6</v>
      </c>
      <c r="S286">
        <f t="shared" si="60"/>
        <v>11732</v>
      </c>
      <c r="T286">
        <f t="shared" si="61"/>
        <v>419</v>
      </c>
      <c r="U286">
        <v>0</v>
      </c>
      <c r="V286">
        <f t="shared" si="62"/>
        <v>756.8</v>
      </c>
      <c r="W286" s="6">
        <f t="shared" si="63"/>
        <v>42.2986257928118</v>
      </c>
      <c r="X286">
        <v>1800</v>
      </c>
      <c r="AD286">
        <f t="shared" si="64"/>
        <v>838</v>
      </c>
      <c r="AF286">
        <f t="shared" si="65"/>
        <v>13.8</v>
      </c>
      <c r="AG286" t="e">
        <f ca="1" t="shared" si="66"/>
        <v>#N/A</v>
      </c>
      <c r="AH286">
        <f t="shared" si="67"/>
        <v>16.1</v>
      </c>
      <c r="AI286" t="e">
        <f ca="1" t="shared" si="68"/>
        <v>#N/A</v>
      </c>
    </row>
    <row r="287" spans="2:35">
      <c r="B287">
        <f t="shared" si="69"/>
        <v>3</v>
      </c>
      <c r="C287">
        <v>281</v>
      </c>
      <c r="D287">
        <f t="shared" si="57"/>
        <v>599</v>
      </c>
      <c r="E287">
        <f t="shared" si="56"/>
        <v>386</v>
      </c>
      <c r="F287">
        <v>420</v>
      </c>
      <c r="G287">
        <v>40</v>
      </c>
      <c r="H287">
        <v>8</v>
      </c>
      <c r="I287">
        <v>0.5</v>
      </c>
      <c r="J287">
        <v>5</v>
      </c>
      <c r="K287">
        <v>2</v>
      </c>
      <c r="L287">
        <v>1</v>
      </c>
      <c r="M287">
        <v>0.1</v>
      </c>
      <c r="N287">
        <v>21318</v>
      </c>
      <c r="O287">
        <v>1.5</v>
      </c>
      <c r="P287">
        <f t="shared" si="58"/>
        <v>420</v>
      </c>
      <c r="Q287">
        <v>12</v>
      </c>
      <c r="R287">
        <f t="shared" si="59"/>
        <v>32088</v>
      </c>
      <c r="S287">
        <f t="shared" si="60"/>
        <v>11760</v>
      </c>
      <c r="T287">
        <f t="shared" si="61"/>
        <v>420</v>
      </c>
      <c r="U287">
        <v>0</v>
      </c>
      <c r="V287">
        <f t="shared" si="62"/>
        <v>756.8</v>
      </c>
      <c r="W287" s="6">
        <f t="shared" si="63"/>
        <v>42.399577167019</v>
      </c>
      <c r="X287">
        <v>1800</v>
      </c>
      <c r="AD287">
        <f t="shared" si="64"/>
        <v>840</v>
      </c>
      <c r="AF287">
        <f t="shared" si="65"/>
        <v>13.8</v>
      </c>
      <c r="AG287" t="e">
        <f ca="1" t="shared" si="66"/>
        <v>#N/A</v>
      </c>
      <c r="AH287">
        <f t="shared" si="67"/>
        <v>16.1</v>
      </c>
      <c r="AI287" t="e">
        <f ca="1" t="shared" si="68"/>
        <v>#N/A</v>
      </c>
    </row>
    <row r="288" spans="2:35">
      <c r="B288">
        <f t="shared" si="69"/>
        <v>3.00714285714286</v>
      </c>
      <c r="C288">
        <v>282</v>
      </c>
      <c r="D288">
        <f t="shared" si="57"/>
        <v>602</v>
      </c>
      <c r="E288">
        <f t="shared" si="56"/>
        <v>388</v>
      </c>
      <c r="F288">
        <v>421</v>
      </c>
      <c r="G288">
        <v>40</v>
      </c>
      <c r="H288">
        <v>8</v>
      </c>
      <c r="I288">
        <v>0.5</v>
      </c>
      <c r="J288">
        <v>5</v>
      </c>
      <c r="K288">
        <v>2</v>
      </c>
      <c r="L288">
        <v>1</v>
      </c>
      <c r="M288">
        <v>0.1</v>
      </c>
      <c r="N288">
        <v>21318</v>
      </c>
      <c r="O288">
        <v>1.5</v>
      </c>
      <c r="P288">
        <f t="shared" si="58"/>
        <v>421</v>
      </c>
      <c r="Q288">
        <v>12</v>
      </c>
      <c r="R288">
        <f t="shared" si="59"/>
        <v>32164.4</v>
      </c>
      <c r="S288">
        <f t="shared" si="60"/>
        <v>11788</v>
      </c>
      <c r="T288">
        <f t="shared" si="61"/>
        <v>421</v>
      </c>
      <c r="U288">
        <v>0</v>
      </c>
      <c r="V288">
        <f t="shared" si="62"/>
        <v>756.8</v>
      </c>
      <c r="W288" s="6">
        <f t="shared" si="63"/>
        <v>42.5005285412262</v>
      </c>
      <c r="X288">
        <v>1800</v>
      </c>
      <c r="AD288">
        <f t="shared" si="64"/>
        <v>842</v>
      </c>
      <c r="AF288">
        <f t="shared" si="65"/>
        <v>13.8</v>
      </c>
      <c r="AG288" t="e">
        <f ca="1" t="shared" si="66"/>
        <v>#N/A</v>
      </c>
      <c r="AH288">
        <f t="shared" si="67"/>
        <v>16.1</v>
      </c>
      <c r="AI288" t="e">
        <f ca="1" t="shared" si="68"/>
        <v>#N/A</v>
      </c>
    </row>
    <row r="289" spans="2:35">
      <c r="B289">
        <f t="shared" si="69"/>
        <v>3.01428571428571</v>
      </c>
      <c r="C289">
        <v>283</v>
      </c>
      <c r="D289">
        <f t="shared" si="57"/>
        <v>605</v>
      </c>
      <c r="E289">
        <f t="shared" si="56"/>
        <v>390</v>
      </c>
      <c r="F289">
        <v>422</v>
      </c>
      <c r="G289">
        <v>40</v>
      </c>
      <c r="H289">
        <v>8</v>
      </c>
      <c r="I289">
        <v>0.5</v>
      </c>
      <c r="J289">
        <v>5</v>
      </c>
      <c r="K289">
        <v>2</v>
      </c>
      <c r="L289">
        <v>1</v>
      </c>
      <c r="M289">
        <v>0.1</v>
      </c>
      <c r="N289">
        <v>21318</v>
      </c>
      <c r="O289">
        <v>1.5</v>
      </c>
      <c r="P289">
        <f t="shared" si="58"/>
        <v>422</v>
      </c>
      <c r="Q289">
        <v>12</v>
      </c>
      <c r="R289">
        <f t="shared" si="59"/>
        <v>32240.8</v>
      </c>
      <c r="S289">
        <f t="shared" si="60"/>
        <v>11816</v>
      </c>
      <c r="T289">
        <f t="shared" si="61"/>
        <v>422</v>
      </c>
      <c r="U289">
        <v>0</v>
      </c>
      <c r="V289">
        <f t="shared" si="62"/>
        <v>756.8</v>
      </c>
      <c r="W289" s="6">
        <f t="shared" si="63"/>
        <v>42.6014799154334</v>
      </c>
      <c r="X289">
        <v>1800</v>
      </c>
      <c r="AD289">
        <f t="shared" si="64"/>
        <v>844</v>
      </c>
      <c r="AF289">
        <f t="shared" si="65"/>
        <v>13.8</v>
      </c>
      <c r="AG289" t="e">
        <f ca="1" t="shared" si="66"/>
        <v>#N/A</v>
      </c>
      <c r="AH289">
        <f t="shared" si="67"/>
        <v>16.1</v>
      </c>
      <c r="AI289" t="e">
        <f ca="1" t="shared" si="68"/>
        <v>#N/A</v>
      </c>
    </row>
    <row r="290" spans="2:35">
      <c r="B290">
        <f t="shared" si="69"/>
        <v>3.02142857142857</v>
      </c>
      <c r="C290">
        <v>284</v>
      </c>
      <c r="D290">
        <f t="shared" si="57"/>
        <v>608</v>
      </c>
      <c r="E290">
        <f t="shared" si="56"/>
        <v>392</v>
      </c>
      <c r="F290">
        <v>423</v>
      </c>
      <c r="G290">
        <v>40</v>
      </c>
      <c r="H290">
        <v>8</v>
      </c>
      <c r="I290">
        <v>0.5</v>
      </c>
      <c r="J290">
        <v>5</v>
      </c>
      <c r="K290">
        <v>2</v>
      </c>
      <c r="L290">
        <v>1</v>
      </c>
      <c r="M290">
        <v>0.1</v>
      </c>
      <c r="N290">
        <v>21318</v>
      </c>
      <c r="O290">
        <v>1.5</v>
      </c>
      <c r="P290">
        <f t="shared" si="58"/>
        <v>423</v>
      </c>
      <c r="Q290">
        <v>12</v>
      </c>
      <c r="R290">
        <f t="shared" si="59"/>
        <v>32317.2</v>
      </c>
      <c r="S290">
        <f t="shared" si="60"/>
        <v>11844</v>
      </c>
      <c r="T290">
        <f t="shared" si="61"/>
        <v>423</v>
      </c>
      <c r="U290">
        <v>0</v>
      </c>
      <c r="V290">
        <f t="shared" si="62"/>
        <v>756.8</v>
      </c>
      <c r="W290" s="6">
        <f t="shared" si="63"/>
        <v>42.7024312896406</v>
      </c>
      <c r="X290">
        <v>1800</v>
      </c>
      <c r="AD290">
        <f t="shared" si="64"/>
        <v>846</v>
      </c>
      <c r="AF290">
        <f t="shared" si="65"/>
        <v>13.8</v>
      </c>
      <c r="AG290" t="e">
        <f ca="1" t="shared" si="66"/>
        <v>#N/A</v>
      </c>
      <c r="AH290">
        <f t="shared" si="67"/>
        <v>16.1</v>
      </c>
      <c r="AI290" t="e">
        <f ca="1" t="shared" si="68"/>
        <v>#N/A</v>
      </c>
    </row>
    <row r="291" spans="2:35">
      <c r="B291">
        <f t="shared" si="69"/>
        <v>3.02857142857143</v>
      </c>
      <c r="C291">
        <v>285</v>
      </c>
      <c r="D291">
        <f t="shared" si="57"/>
        <v>611</v>
      </c>
      <c r="E291">
        <f t="shared" si="56"/>
        <v>394</v>
      </c>
      <c r="F291">
        <v>424</v>
      </c>
      <c r="G291">
        <v>40</v>
      </c>
      <c r="H291">
        <v>8</v>
      </c>
      <c r="I291">
        <v>0.5</v>
      </c>
      <c r="J291">
        <v>5</v>
      </c>
      <c r="K291">
        <v>2</v>
      </c>
      <c r="L291">
        <v>1</v>
      </c>
      <c r="M291">
        <v>0.1</v>
      </c>
      <c r="N291">
        <v>21318</v>
      </c>
      <c r="O291">
        <v>1.5</v>
      </c>
      <c r="P291">
        <f t="shared" si="58"/>
        <v>424</v>
      </c>
      <c r="Q291">
        <v>12</v>
      </c>
      <c r="R291">
        <f t="shared" si="59"/>
        <v>32393.6</v>
      </c>
      <c r="S291">
        <f t="shared" si="60"/>
        <v>11872</v>
      </c>
      <c r="T291">
        <f t="shared" si="61"/>
        <v>424</v>
      </c>
      <c r="U291">
        <v>0</v>
      </c>
      <c r="V291">
        <f t="shared" si="62"/>
        <v>756.8</v>
      </c>
      <c r="W291" s="6">
        <f t="shared" si="63"/>
        <v>42.8033826638478</v>
      </c>
      <c r="X291">
        <v>1800</v>
      </c>
      <c r="AD291">
        <f t="shared" si="64"/>
        <v>848</v>
      </c>
      <c r="AF291">
        <f t="shared" si="65"/>
        <v>13.8</v>
      </c>
      <c r="AG291" t="e">
        <f ca="1" t="shared" si="66"/>
        <v>#N/A</v>
      </c>
      <c r="AH291">
        <f t="shared" si="67"/>
        <v>16.1</v>
      </c>
      <c r="AI291" t="e">
        <f ca="1" t="shared" si="68"/>
        <v>#N/A</v>
      </c>
    </row>
    <row r="292" spans="2:35">
      <c r="B292">
        <f t="shared" si="69"/>
        <v>3.03571428571429</v>
      </c>
      <c r="C292">
        <v>286</v>
      </c>
      <c r="D292">
        <f t="shared" si="57"/>
        <v>614</v>
      </c>
      <c r="E292">
        <f t="shared" si="56"/>
        <v>396</v>
      </c>
      <c r="F292">
        <v>425</v>
      </c>
      <c r="G292">
        <v>40</v>
      </c>
      <c r="H292">
        <v>8</v>
      </c>
      <c r="I292">
        <v>0.5</v>
      </c>
      <c r="J292">
        <v>5</v>
      </c>
      <c r="K292">
        <v>2</v>
      </c>
      <c r="L292">
        <v>1</v>
      </c>
      <c r="M292">
        <v>0.1</v>
      </c>
      <c r="N292">
        <v>21318</v>
      </c>
      <c r="O292">
        <v>1.5</v>
      </c>
      <c r="P292">
        <f t="shared" si="58"/>
        <v>425</v>
      </c>
      <c r="Q292">
        <v>12</v>
      </c>
      <c r="R292">
        <f t="shared" si="59"/>
        <v>32470</v>
      </c>
      <c r="S292">
        <f t="shared" si="60"/>
        <v>11900</v>
      </c>
      <c r="T292">
        <f t="shared" si="61"/>
        <v>425</v>
      </c>
      <c r="U292">
        <v>0</v>
      </c>
      <c r="V292">
        <f t="shared" si="62"/>
        <v>756.8</v>
      </c>
      <c r="W292" s="6">
        <f t="shared" si="63"/>
        <v>42.904334038055</v>
      </c>
      <c r="X292">
        <v>1800</v>
      </c>
      <c r="AD292">
        <f t="shared" si="64"/>
        <v>850</v>
      </c>
      <c r="AF292">
        <f t="shared" si="65"/>
        <v>13.8</v>
      </c>
      <c r="AG292" t="e">
        <f ca="1" t="shared" si="66"/>
        <v>#N/A</v>
      </c>
      <c r="AH292">
        <f t="shared" si="67"/>
        <v>16.1</v>
      </c>
      <c r="AI292" t="e">
        <f ca="1" t="shared" si="68"/>
        <v>#N/A</v>
      </c>
    </row>
    <row r="293" spans="2:35">
      <c r="B293">
        <f t="shared" si="69"/>
        <v>3.04285714285714</v>
      </c>
      <c r="C293">
        <v>287</v>
      </c>
      <c r="D293">
        <f t="shared" si="57"/>
        <v>617</v>
      </c>
      <c r="E293">
        <f t="shared" si="56"/>
        <v>398</v>
      </c>
      <c r="F293">
        <v>426</v>
      </c>
      <c r="G293">
        <v>40</v>
      </c>
      <c r="H293">
        <v>8</v>
      </c>
      <c r="I293">
        <v>0.5</v>
      </c>
      <c r="J293">
        <v>5</v>
      </c>
      <c r="K293">
        <v>2</v>
      </c>
      <c r="L293">
        <v>1</v>
      </c>
      <c r="M293">
        <v>0.1</v>
      </c>
      <c r="N293">
        <v>21318</v>
      </c>
      <c r="O293">
        <v>1.5</v>
      </c>
      <c r="P293">
        <f t="shared" si="58"/>
        <v>426</v>
      </c>
      <c r="Q293">
        <v>12</v>
      </c>
      <c r="R293">
        <f t="shared" si="59"/>
        <v>32546.4</v>
      </c>
      <c r="S293">
        <f t="shared" si="60"/>
        <v>11928</v>
      </c>
      <c r="T293">
        <f t="shared" si="61"/>
        <v>426</v>
      </c>
      <c r="U293">
        <v>0</v>
      </c>
      <c r="V293">
        <f t="shared" si="62"/>
        <v>756.8</v>
      </c>
      <c r="W293" s="6">
        <f t="shared" si="63"/>
        <v>43.0052854122622</v>
      </c>
      <c r="X293">
        <v>1800</v>
      </c>
      <c r="AD293">
        <f t="shared" si="64"/>
        <v>852</v>
      </c>
      <c r="AF293">
        <f t="shared" si="65"/>
        <v>13.8</v>
      </c>
      <c r="AG293" t="e">
        <f ca="1" t="shared" si="66"/>
        <v>#N/A</v>
      </c>
      <c r="AH293">
        <f t="shared" si="67"/>
        <v>16.1</v>
      </c>
      <c r="AI293" t="e">
        <f ca="1" t="shared" si="68"/>
        <v>#N/A</v>
      </c>
    </row>
    <row r="294" spans="2:35">
      <c r="B294">
        <f t="shared" si="69"/>
        <v>3.05</v>
      </c>
      <c r="C294">
        <v>288</v>
      </c>
      <c r="D294">
        <f t="shared" si="57"/>
        <v>620</v>
      </c>
      <c r="E294">
        <f t="shared" si="56"/>
        <v>400</v>
      </c>
      <c r="F294">
        <v>427</v>
      </c>
      <c r="G294">
        <v>40</v>
      </c>
      <c r="H294">
        <v>8</v>
      </c>
      <c r="I294">
        <v>0.5</v>
      </c>
      <c r="J294">
        <v>5</v>
      </c>
      <c r="K294">
        <v>2</v>
      </c>
      <c r="L294">
        <v>1</v>
      </c>
      <c r="M294">
        <v>0.1</v>
      </c>
      <c r="N294">
        <v>21318</v>
      </c>
      <c r="O294">
        <v>1.5</v>
      </c>
      <c r="P294">
        <f t="shared" si="58"/>
        <v>427</v>
      </c>
      <c r="Q294">
        <v>12</v>
      </c>
      <c r="R294">
        <f t="shared" si="59"/>
        <v>32622.8</v>
      </c>
      <c r="S294">
        <f t="shared" si="60"/>
        <v>11956</v>
      </c>
      <c r="T294">
        <f t="shared" si="61"/>
        <v>427</v>
      </c>
      <c r="U294">
        <v>0</v>
      </c>
      <c r="V294">
        <f t="shared" si="62"/>
        <v>756.8</v>
      </c>
      <c r="W294" s="6">
        <f t="shared" si="63"/>
        <v>43.1062367864694</v>
      </c>
      <c r="X294">
        <v>1800</v>
      </c>
      <c r="AD294">
        <f t="shared" si="64"/>
        <v>854</v>
      </c>
      <c r="AF294">
        <f t="shared" si="65"/>
        <v>13.8</v>
      </c>
      <c r="AG294" t="e">
        <f ca="1" t="shared" si="66"/>
        <v>#N/A</v>
      </c>
      <c r="AH294">
        <f t="shared" si="67"/>
        <v>16.1</v>
      </c>
      <c r="AI294" t="e">
        <f ca="1" t="shared" si="68"/>
        <v>#N/A</v>
      </c>
    </row>
    <row r="295" spans="2:35">
      <c r="B295">
        <f t="shared" si="69"/>
        <v>3.05714285714286</v>
      </c>
      <c r="C295">
        <v>289</v>
      </c>
      <c r="D295">
        <f t="shared" si="57"/>
        <v>623</v>
      </c>
      <c r="E295">
        <f t="shared" si="56"/>
        <v>402</v>
      </c>
      <c r="F295">
        <v>428</v>
      </c>
      <c r="G295">
        <v>40</v>
      </c>
      <c r="H295">
        <v>8</v>
      </c>
      <c r="I295">
        <v>0.5</v>
      </c>
      <c r="J295">
        <v>5</v>
      </c>
      <c r="K295">
        <v>2</v>
      </c>
      <c r="L295">
        <v>1</v>
      </c>
      <c r="M295">
        <v>0.1</v>
      </c>
      <c r="N295">
        <v>21318</v>
      </c>
      <c r="O295">
        <v>1.5</v>
      </c>
      <c r="P295">
        <f t="shared" si="58"/>
        <v>428</v>
      </c>
      <c r="Q295">
        <v>12</v>
      </c>
      <c r="R295">
        <f t="shared" si="59"/>
        <v>32699.2</v>
      </c>
      <c r="S295">
        <f t="shared" si="60"/>
        <v>11984</v>
      </c>
      <c r="T295">
        <f t="shared" si="61"/>
        <v>428</v>
      </c>
      <c r="U295">
        <v>0</v>
      </c>
      <c r="V295">
        <f t="shared" si="62"/>
        <v>756.8</v>
      </c>
      <c r="W295" s="6">
        <f t="shared" si="63"/>
        <v>43.2071881606765</v>
      </c>
      <c r="X295">
        <v>1800</v>
      </c>
      <c r="AD295">
        <f t="shared" si="64"/>
        <v>856</v>
      </c>
      <c r="AF295">
        <f t="shared" si="65"/>
        <v>13.8</v>
      </c>
      <c r="AG295" t="e">
        <f ca="1" t="shared" si="66"/>
        <v>#N/A</v>
      </c>
      <c r="AH295">
        <f t="shared" si="67"/>
        <v>16.1</v>
      </c>
      <c r="AI295" t="e">
        <f ca="1" t="shared" si="68"/>
        <v>#N/A</v>
      </c>
    </row>
    <row r="296" spans="2:35">
      <c r="B296">
        <f t="shared" si="69"/>
        <v>3.06428571428571</v>
      </c>
      <c r="C296">
        <v>290</v>
      </c>
      <c r="D296">
        <f t="shared" si="57"/>
        <v>626</v>
      </c>
      <c r="E296">
        <f t="shared" si="56"/>
        <v>404</v>
      </c>
      <c r="F296">
        <v>429</v>
      </c>
      <c r="G296">
        <v>40</v>
      </c>
      <c r="H296">
        <v>8</v>
      </c>
      <c r="I296">
        <v>0.5</v>
      </c>
      <c r="J296">
        <v>5</v>
      </c>
      <c r="K296">
        <v>2</v>
      </c>
      <c r="L296">
        <v>1</v>
      </c>
      <c r="M296">
        <v>0.1</v>
      </c>
      <c r="N296">
        <v>21318</v>
      </c>
      <c r="O296">
        <v>1.5</v>
      </c>
      <c r="P296">
        <f t="shared" si="58"/>
        <v>429</v>
      </c>
      <c r="Q296">
        <v>12</v>
      </c>
      <c r="R296">
        <f t="shared" si="59"/>
        <v>32775.6</v>
      </c>
      <c r="S296">
        <f t="shared" si="60"/>
        <v>12012</v>
      </c>
      <c r="T296">
        <f t="shared" si="61"/>
        <v>429</v>
      </c>
      <c r="U296">
        <v>0</v>
      </c>
      <c r="V296">
        <f t="shared" si="62"/>
        <v>756.8</v>
      </c>
      <c r="W296" s="6">
        <f t="shared" si="63"/>
        <v>43.3081395348837</v>
      </c>
      <c r="X296">
        <v>1800</v>
      </c>
      <c r="AD296">
        <f t="shared" si="64"/>
        <v>858</v>
      </c>
      <c r="AF296">
        <f t="shared" si="65"/>
        <v>13.8</v>
      </c>
      <c r="AG296" t="e">
        <f ca="1" t="shared" si="66"/>
        <v>#N/A</v>
      </c>
      <c r="AH296">
        <f t="shared" si="67"/>
        <v>16.1</v>
      </c>
      <c r="AI296" t="e">
        <f ca="1" t="shared" si="68"/>
        <v>#N/A</v>
      </c>
    </row>
    <row r="297" spans="2:35">
      <c r="B297">
        <f t="shared" si="69"/>
        <v>3.07142857142857</v>
      </c>
      <c r="C297">
        <v>291</v>
      </c>
      <c r="D297">
        <f t="shared" si="57"/>
        <v>629</v>
      </c>
      <c r="E297">
        <f t="shared" si="56"/>
        <v>406</v>
      </c>
      <c r="F297">
        <v>430</v>
      </c>
      <c r="G297">
        <v>40</v>
      </c>
      <c r="H297">
        <v>8</v>
      </c>
      <c r="I297">
        <v>0.5</v>
      </c>
      <c r="J297">
        <v>5</v>
      </c>
      <c r="K297">
        <v>2</v>
      </c>
      <c r="L297">
        <v>1</v>
      </c>
      <c r="M297">
        <v>0.1</v>
      </c>
      <c r="N297">
        <v>21318</v>
      </c>
      <c r="O297">
        <v>1.5</v>
      </c>
      <c r="P297">
        <f t="shared" si="58"/>
        <v>430</v>
      </c>
      <c r="Q297">
        <v>12</v>
      </c>
      <c r="R297">
        <f t="shared" si="59"/>
        <v>32852</v>
      </c>
      <c r="S297">
        <f t="shared" si="60"/>
        <v>12040</v>
      </c>
      <c r="T297">
        <f t="shared" si="61"/>
        <v>430</v>
      </c>
      <c r="U297">
        <v>0</v>
      </c>
      <c r="V297">
        <f t="shared" si="62"/>
        <v>756.8</v>
      </c>
      <c r="W297" s="6">
        <f t="shared" si="63"/>
        <v>43.4090909090909</v>
      </c>
      <c r="X297">
        <v>1800</v>
      </c>
      <c r="AD297">
        <f t="shared" si="64"/>
        <v>860</v>
      </c>
      <c r="AF297">
        <f t="shared" si="65"/>
        <v>13.8</v>
      </c>
      <c r="AG297" t="e">
        <f ca="1" t="shared" si="66"/>
        <v>#N/A</v>
      </c>
      <c r="AH297">
        <f t="shared" si="67"/>
        <v>16.1</v>
      </c>
      <c r="AI297" t="e">
        <f ca="1" t="shared" si="68"/>
        <v>#N/A</v>
      </c>
    </row>
    <row r="298" spans="2:35">
      <c r="B298">
        <f t="shared" si="69"/>
        <v>3.07857142857143</v>
      </c>
      <c r="C298">
        <v>292</v>
      </c>
      <c r="D298">
        <f t="shared" si="57"/>
        <v>632</v>
      </c>
      <c r="E298">
        <f t="shared" si="56"/>
        <v>408</v>
      </c>
      <c r="F298">
        <v>431</v>
      </c>
      <c r="G298">
        <v>40</v>
      </c>
      <c r="H298">
        <v>8</v>
      </c>
      <c r="I298">
        <v>0.5</v>
      </c>
      <c r="J298">
        <v>5</v>
      </c>
      <c r="K298">
        <v>2</v>
      </c>
      <c r="L298">
        <v>1</v>
      </c>
      <c r="M298">
        <v>0.1</v>
      </c>
      <c r="N298">
        <v>21318</v>
      </c>
      <c r="O298">
        <v>1.5</v>
      </c>
      <c r="P298">
        <f t="shared" si="58"/>
        <v>431</v>
      </c>
      <c r="Q298">
        <v>12</v>
      </c>
      <c r="R298">
        <f t="shared" si="59"/>
        <v>32928.4</v>
      </c>
      <c r="S298">
        <f t="shared" si="60"/>
        <v>12068</v>
      </c>
      <c r="T298">
        <f t="shared" si="61"/>
        <v>431</v>
      </c>
      <c r="U298">
        <v>0</v>
      </c>
      <c r="V298">
        <f t="shared" si="62"/>
        <v>756.8</v>
      </c>
      <c r="W298" s="6">
        <f t="shared" si="63"/>
        <v>43.5100422832981</v>
      </c>
      <c r="X298">
        <v>1800</v>
      </c>
      <c r="AD298">
        <f t="shared" si="64"/>
        <v>862</v>
      </c>
      <c r="AF298">
        <f t="shared" si="65"/>
        <v>13.8</v>
      </c>
      <c r="AG298" t="e">
        <f ca="1" t="shared" si="66"/>
        <v>#N/A</v>
      </c>
      <c r="AH298">
        <f t="shared" si="67"/>
        <v>16.1</v>
      </c>
      <c r="AI298" t="e">
        <f ca="1" t="shared" si="68"/>
        <v>#N/A</v>
      </c>
    </row>
    <row r="299" spans="2:35">
      <c r="B299">
        <f t="shared" si="69"/>
        <v>3.08571428571429</v>
      </c>
      <c r="C299">
        <v>293</v>
      </c>
      <c r="D299">
        <f t="shared" si="57"/>
        <v>635</v>
      </c>
      <c r="E299">
        <f t="shared" si="56"/>
        <v>410</v>
      </c>
      <c r="F299">
        <v>432</v>
      </c>
      <c r="G299">
        <v>40</v>
      </c>
      <c r="H299">
        <v>8</v>
      </c>
      <c r="I299">
        <v>0.5</v>
      </c>
      <c r="J299">
        <v>5</v>
      </c>
      <c r="K299">
        <v>2</v>
      </c>
      <c r="L299">
        <v>1</v>
      </c>
      <c r="M299">
        <v>0.1</v>
      </c>
      <c r="N299">
        <v>21318</v>
      </c>
      <c r="O299">
        <v>1.5</v>
      </c>
      <c r="P299">
        <f t="shared" si="58"/>
        <v>432</v>
      </c>
      <c r="Q299">
        <v>12</v>
      </c>
      <c r="R299">
        <f t="shared" si="59"/>
        <v>33004.8</v>
      </c>
      <c r="S299">
        <f t="shared" si="60"/>
        <v>12096</v>
      </c>
      <c r="T299">
        <f t="shared" si="61"/>
        <v>432</v>
      </c>
      <c r="U299">
        <v>0</v>
      </c>
      <c r="V299">
        <f t="shared" si="62"/>
        <v>756.8</v>
      </c>
      <c r="W299" s="6">
        <f t="shared" si="63"/>
        <v>43.6109936575053</v>
      </c>
      <c r="X299">
        <v>1800</v>
      </c>
      <c r="AD299">
        <f t="shared" si="64"/>
        <v>864</v>
      </c>
      <c r="AF299">
        <f t="shared" si="65"/>
        <v>13.8</v>
      </c>
      <c r="AG299" t="e">
        <f ca="1" t="shared" si="66"/>
        <v>#N/A</v>
      </c>
      <c r="AH299">
        <f t="shared" si="67"/>
        <v>16.1</v>
      </c>
      <c r="AI299" t="e">
        <f ca="1" t="shared" si="68"/>
        <v>#N/A</v>
      </c>
    </row>
    <row r="300" spans="2:35">
      <c r="B300">
        <f t="shared" si="69"/>
        <v>3.09285714285714</v>
      </c>
      <c r="C300">
        <v>294</v>
      </c>
      <c r="D300">
        <f t="shared" si="57"/>
        <v>638</v>
      </c>
      <c r="E300">
        <f t="shared" si="56"/>
        <v>412</v>
      </c>
      <c r="F300">
        <v>433</v>
      </c>
      <c r="G300">
        <v>40</v>
      </c>
      <c r="H300">
        <v>8</v>
      </c>
      <c r="I300">
        <v>0.5</v>
      </c>
      <c r="J300">
        <v>5</v>
      </c>
      <c r="K300">
        <v>2</v>
      </c>
      <c r="L300">
        <v>1</v>
      </c>
      <c r="M300">
        <v>0.1</v>
      </c>
      <c r="N300">
        <v>21318</v>
      </c>
      <c r="O300">
        <v>1.5</v>
      </c>
      <c r="P300">
        <f t="shared" si="58"/>
        <v>433</v>
      </c>
      <c r="Q300">
        <v>12</v>
      </c>
      <c r="R300">
        <f t="shared" si="59"/>
        <v>33081.2</v>
      </c>
      <c r="S300">
        <f t="shared" si="60"/>
        <v>12124</v>
      </c>
      <c r="T300">
        <f t="shared" si="61"/>
        <v>433</v>
      </c>
      <c r="U300">
        <v>0</v>
      </c>
      <c r="V300">
        <f t="shared" si="62"/>
        <v>756.8</v>
      </c>
      <c r="W300" s="6">
        <f t="shared" si="63"/>
        <v>43.7119450317125</v>
      </c>
      <c r="X300">
        <v>1800</v>
      </c>
      <c r="AD300">
        <f t="shared" si="64"/>
        <v>866</v>
      </c>
      <c r="AF300">
        <f t="shared" si="65"/>
        <v>13.8</v>
      </c>
      <c r="AG300" t="e">
        <f ca="1" t="shared" si="66"/>
        <v>#N/A</v>
      </c>
      <c r="AH300">
        <f t="shared" si="67"/>
        <v>16.1</v>
      </c>
      <c r="AI300" t="e">
        <f ca="1" t="shared" si="68"/>
        <v>#N/A</v>
      </c>
    </row>
    <row r="301" spans="2:35">
      <c r="B301">
        <f t="shared" si="69"/>
        <v>3.1</v>
      </c>
      <c r="C301">
        <v>295</v>
      </c>
      <c r="D301">
        <f t="shared" si="57"/>
        <v>641</v>
      </c>
      <c r="E301">
        <f t="shared" si="56"/>
        <v>414</v>
      </c>
      <c r="F301">
        <v>434</v>
      </c>
      <c r="G301">
        <v>40</v>
      </c>
      <c r="H301">
        <v>8</v>
      </c>
      <c r="I301">
        <v>0.5</v>
      </c>
      <c r="J301">
        <v>5</v>
      </c>
      <c r="K301">
        <v>2</v>
      </c>
      <c r="L301">
        <v>1</v>
      </c>
      <c r="M301">
        <v>0.1</v>
      </c>
      <c r="N301">
        <v>21318</v>
      </c>
      <c r="O301">
        <v>1.5</v>
      </c>
      <c r="P301">
        <f t="shared" si="58"/>
        <v>434</v>
      </c>
      <c r="Q301">
        <v>12</v>
      </c>
      <c r="R301">
        <f t="shared" si="59"/>
        <v>33157.6</v>
      </c>
      <c r="S301">
        <f t="shared" si="60"/>
        <v>12152</v>
      </c>
      <c r="T301">
        <f t="shared" si="61"/>
        <v>434</v>
      </c>
      <c r="U301">
        <v>0</v>
      </c>
      <c r="V301">
        <f t="shared" si="62"/>
        <v>756.8</v>
      </c>
      <c r="W301" s="6">
        <f t="shared" si="63"/>
        <v>43.8128964059197</v>
      </c>
      <c r="X301">
        <v>1800</v>
      </c>
      <c r="AD301">
        <f t="shared" si="64"/>
        <v>868</v>
      </c>
      <c r="AF301">
        <f t="shared" si="65"/>
        <v>13.8</v>
      </c>
      <c r="AG301" t="e">
        <f ca="1" t="shared" si="66"/>
        <v>#N/A</v>
      </c>
      <c r="AH301">
        <f t="shared" si="67"/>
        <v>16.1</v>
      </c>
      <c r="AI301" t="e">
        <f ca="1" t="shared" si="68"/>
        <v>#N/A</v>
      </c>
    </row>
    <row r="302" spans="2:35">
      <c r="B302">
        <f t="shared" si="69"/>
        <v>3.10714285714286</v>
      </c>
      <c r="C302">
        <v>296</v>
      </c>
      <c r="D302">
        <f t="shared" si="57"/>
        <v>644</v>
      </c>
      <c r="E302">
        <f t="shared" si="56"/>
        <v>416</v>
      </c>
      <c r="F302">
        <v>435</v>
      </c>
      <c r="G302">
        <v>40</v>
      </c>
      <c r="H302">
        <v>8</v>
      </c>
      <c r="I302">
        <v>0.5</v>
      </c>
      <c r="J302">
        <v>5</v>
      </c>
      <c r="K302">
        <v>2</v>
      </c>
      <c r="L302">
        <v>1</v>
      </c>
      <c r="M302">
        <v>0.1</v>
      </c>
      <c r="N302">
        <v>21318</v>
      </c>
      <c r="O302">
        <v>1.5</v>
      </c>
      <c r="P302">
        <f t="shared" si="58"/>
        <v>435</v>
      </c>
      <c r="Q302">
        <v>12</v>
      </c>
      <c r="R302">
        <f t="shared" si="59"/>
        <v>33234</v>
      </c>
      <c r="S302">
        <f t="shared" si="60"/>
        <v>12180</v>
      </c>
      <c r="T302">
        <f t="shared" si="61"/>
        <v>435</v>
      </c>
      <c r="U302">
        <v>0</v>
      </c>
      <c r="V302">
        <f t="shared" si="62"/>
        <v>756.8</v>
      </c>
      <c r="W302" s="6">
        <f t="shared" si="63"/>
        <v>43.9138477801269</v>
      </c>
      <c r="X302">
        <v>1800</v>
      </c>
      <c r="AD302">
        <f t="shared" si="64"/>
        <v>870</v>
      </c>
      <c r="AF302">
        <f t="shared" si="65"/>
        <v>13.8</v>
      </c>
      <c r="AG302" t="e">
        <f ca="1" t="shared" si="66"/>
        <v>#N/A</v>
      </c>
      <c r="AH302">
        <f t="shared" si="67"/>
        <v>16.1</v>
      </c>
      <c r="AI302" t="e">
        <f ca="1" t="shared" si="68"/>
        <v>#N/A</v>
      </c>
    </row>
    <row r="303" spans="2:35">
      <c r="B303">
        <f t="shared" si="69"/>
        <v>3.11428571428571</v>
      </c>
      <c r="C303">
        <v>297</v>
      </c>
      <c r="D303">
        <f t="shared" si="57"/>
        <v>647</v>
      </c>
      <c r="E303">
        <f t="shared" si="56"/>
        <v>418</v>
      </c>
      <c r="F303">
        <v>436</v>
      </c>
      <c r="G303">
        <v>40</v>
      </c>
      <c r="H303">
        <v>8</v>
      </c>
      <c r="I303">
        <v>0.5</v>
      </c>
      <c r="J303">
        <v>5</v>
      </c>
      <c r="K303">
        <v>2</v>
      </c>
      <c r="L303">
        <v>1</v>
      </c>
      <c r="M303">
        <v>0.1</v>
      </c>
      <c r="N303">
        <v>21318</v>
      </c>
      <c r="O303">
        <v>1.5</v>
      </c>
      <c r="P303">
        <f t="shared" si="58"/>
        <v>436</v>
      </c>
      <c r="Q303">
        <v>12</v>
      </c>
      <c r="R303">
        <f t="shared" si="59"/>
        <v>33310.4</v>
      </c>
      <c r="S303">
        <f t="shared" si="60"/>
        <v>12208</v>
      </c>
      <c r="T303">
        <f t="shared" si="61"/>
        <v>436</v>
      </c>
      <c r="U303">
        <v>0</v>
      </c>
      <c r="V303">
        <f t="shared" si="62"/>
        <v>756.8</v>
      </c>
      <c r="W303" s="6">
        <f t="shared" si="63"/>
        <v>44.014799154334</v>
      </c>
      <c r="X303">
        <v>1800</v>
      </c>
      <c r="AD303">
        <f t="shared" si="64"/>
        <v>872</v>
      </c>
      <c r="AF303">
        <f t="shared" si="65"/>
        <v>13.8</v>
      </c>
      <c r="AG303" t="e">
        <f ca="1" t="shared" si="66"/>
        <v>#N/A</v>
      </c>
      <c r="AH303">
        <f t="shared" si="67"/>
        <v>16.1</v>
      </c>
      <c r="AI303" t="e">
        <f ca="1" t="shared" si="68"/>
        <v>#N/A</v>
      </c>
    </row>
    <row r="304" spans="2:35">
      <c r="B304">
        <f t="shared" si="69"/>
        <v>3.12142857142857</v>
      </c>
      <c r="C304">
        <v>298</v>
      </c>
      <c r="D304">
        <f t="shared" si="57"/>
        <v>650</v>
      </c>
      <c r="E304">
        <f t="shared" si="56"/>
        <v>420</v>
      </c>
      <c r="F304">
        <v>437</v>
      </c>
      <c r="G304">
        <v>40</v>
      </c>
      <c r="H304">
        <v>8</v>
      </c>
      <c r="I304">
        <v>0.5</v>
      </c>
      <c r="J304">
        <v>5</v>
      </c>
      <c r="K304">
        <v>2</v>
      </c>
      <c r="L304">
        <v>1</v>
      </c>
      <c r="M304">
        <v>0.1</v>
      </c>
      <c r="N304">
        <v>21318</v>
      </c>
      <c r="O304">
        <v>1.5</v>
      </c>
      <c r="P304">
        <f t="shared" si="58"/>
        <v>437</v>
      </c>
      <c r="Q304">
        <v>12</v>
      </c>
      <c r="R304">
        <f t="shared" si="59"/>
        <v>33386.8</v>
      </c>
      <c r="S304">
        <f t="shared" si="60"/>
        <v>12236</v>
      </c>
      <c r="T304">
        <f t="shared" si="61"/>
        <v>437</v>
      </c>
      <c r="U304">
        <v>0</v>
      </c>
      <c r="V304">
        <f t="shared" si="62"/>
        <v>756.8</v>
      </c>
      <c r="W304" s="6">
        <f t="shared" si="63"/>
        <v>44.1157505285412</v>
      </c>
      <c r="X304">
        <v>1800</v>
      </c>
      <c r="AD304">
        <f t="shared" si="64"/>
        <v>874</v>
      </c>
      <c r="AF304">
        <f t="shared" si="65"/>
        <v>13.8</v>
      </c>
      <c r="AG304" t="e">
        <f ca="1" t="shared" si="66"/>
        <v>#N/A</v>
      </c>
      <c r="AH304">
        <f t="shared" si="67"/>
        <v>16.1</v>
      </c>
      <c r="AI304" t="e">
        <f ca="1" t="shared" si="68"/>
        <v>#N/A</v>
      </c>
    </row>
    <row r="305" spans="2:35">
      <c r="B305">
        <f t="shared" si="69"/>
        <v>3.12857142857143</v>
      </c>
      <c r="C305">
        <v>299</v>
      </c>
      <c r="D305">
        <f t="shared" si="57"/>
        <v>653</v>
      </c>
      <c r="E305">
        <f t="shared" si="56"/>
        <v>422</v>
      </c>
      <c r="F305">
        <v>438</v>
      </c>
      <c r="G305">
        <v>40</v>
      </c>
      <c r="H305">
        <v>8</v>
      </c>
      <c r="I305">
        <v>0.5</v>
      </c>
      <c r="J305">
        <v>5</v>
      </c>
      <c r="K305">
        <v>2</v>
      </c>
      <c r="L305">
        <v>1</v>
      </c>
      <c r="M305">
        <v>0.1</v>
      </c>
      <c r="N305">
        <v>21318</v>
      </c>
      <c r="O305">
        <v>1.5</v>
      </c>
      <c r="P305">
        <f t="shared" si="58"/>
        <v>438</v>
      </c>
      <c r="Q305">
        <v>12</v>
      </c>
      <c r="R305">
        <f t="shared" si="59"/>
        <v>33463.2</v>
      </c>
      <c r="S305">
        <f t="shared" si="60"/>
        <v>12264</v>
      </c>
      <c r="T305">
        <f t="shared" si="61"/>
        <v>438</v>
      </c>
      <c r="U305">
        <v>0</v>
      </c>
      <c r="V305">
        <f t="shared" si="62"/>
        <v>756.8</v>
      </c>
      <c r="W305" s="6">
        <f t="shared" si="63"/>
        <v>44.2167019027484</v>
      </c>
      <c r="X305">
        <v>1800</v>
      </c>
      <c r="AD305">
        <f t="shared" si="64"/>
        <v>876</v>
      </c>
      <c r="AF305">
        <f t="shared" si="65"/>
        <v>13.8</v>
      </c>
      <c r="AG305" t="e">
        <f ca="1" t="shared" si="66"/>
        <v>#N/A</v>
      </c>
      <c r="AH305">
        <f t="shared" si="67"/>
        <v>16.1</v>
      </c>
      <c r="AI305" t="e">
        <f ca="1" t="shared" si="68"/>
        <v>#N/A</v>
      </c>
    </row>
    <row r="306" spans="2:35">
      <c r="B306">
        <f t="shared" si="69"/>
        <v>3.13571428571429</v>
      </c>
      <c r="C306">
        <v>300</v>
      </c>
      <c r="D306">
        <f t="shared" si="57"/>
        <v>656</v>
      </c>
      <c r="E306">
        <f t="shared" si="56"/>
        <v>424</v>
      </c>
      <c r="F306">
        <v>439</v>
      </c>
      <c r="G306">
        <v>40</v>
      </c>
      <c r="H306">
        <v>8</v>
      </c>
      <c r="I306">
        <v>0.5</v>
      </c>
      <c r="J306">
        <v>5</v>
      </c>
      <c r="K306">
        <v>2</v>
      </c>
      <c r="L306">
        <v>1</v>
      </c>
      <c r="M306">
        <v>0.1</v>
      </c>
      <c r="N306">
        <v>21318</v>
      </c>
      <c r="O306">
        <v>1.5</v>
      </c>
      <c r="P306">
        <f t="shared" si="58"/>
        <v>439</v>
      </c>
      <c r="Q306">
        <v>12</v>
      </c>
      <c r="R306">
        <f t="shared" si="59"/>
        <v>33539.6</v>
      </c>
      <c r="S306">
        <f t="shared" si="60"/>
        <v>12292</v>
      </c>
      <c r="T306">
        <f t="shared" si="61"/>
        <v>439</v>
      </c>
      <c r="U306">
        <v>0</v>
      </c>
      <c r="V306">
        <f t="shared" si="62"/>
        <v>756.8</v>
      </c>
      <c r="W306" s="6">
        <f t="shared" si="63"/>
        <v>44.3176532769556</v>
      </c>
      <c r="X306">
        <v>1800</v>
      </c>
      <c r="AD306">
        <f t="shared" si="64"/>
        <v>878</v>
      </c>
      <c r="AF306">
        <f t="shared" si="65"/>
        <v>13.8</v>
      </c>
      <c r="AG306" t="e">
        <f ca="1" t="shared" si="66"/>
        <v>#N/A</v>
      </c>
      <c r="AH306">
        <f t="shared" si="67"/>
        <v>16.1</v>
      </c>
      <c r="AI306" t="e">
        <f ca="1" t="shared" si="68"/>
        <v>#N/A</v>
      </c>
    </row>
    <row r="311" spans="2:35">
      <c r="B311">
        <v>1</v>
      </c>
      <c r="C311">
        <v>1</v>
      </c>
    </row>
    <row r="312" spans="2:35">
      <c r="B312">
        <v>2</v>
      </c>
      <c r="C312">
        <f t="shared" ref="C312:C370" si="70">IFERROR(_xlfn.XLOOKUP(B312,$D$7:$D$306,$B$7:$B$306),C311)</f>
        <v>1.08571428571429</v>
      </c>
    </row>
    <row r="313" spans="2:35">
      <c r="B313">
        <v>3</v>
      </c>
      <c r="C313">
        <f t="shared" si="70"/>
        <v>1.12857142857143</v>
      </c>
    </row>
    <row r="314" spans="2:35">
      <c r="B314">
        <v>4</v>
      </c>
      <c r="C314">
        <f t="shared" si="70"/>
        <v>1.16428571428571</v>
      </c>
    </row>
    <row r="315" spans="2:35">
      <c r="B315">
        <v>5</v>
      </c>
      <c r="C315">
        <f t="shared" si="70"/>
        <v>1.19285714285714</v>
      </c>
    </row>
    <row r="316" spans="2:35">
      <c r="B316">
        <v>6</v>
      </c>
      <c r="C316">
        <f t="shared" si="70"/>
        <v>1.21428571428571</v>
      </c>
    </row>
    <row r="317" spans="2:35">
      <c r="B317">
        <v>7</v>
      </c>
      <c r="C317">
        <f t="shared" si="70"/>
        <v>1.23571428571429</v>
      </c>
    </row>
    <row r="318" spans="2:35">
      <c r="B318">
        <v>8</v>
      </c>
      <c r="C318">
        <f t="shared" si="70"/>
        <v>1.25714285714286</v>
      </c>
    </row>
    <row r="319" spans="2:35">
      <c r="B319">
        <v>9</v>
      </c>
      <c r="C319">
        <f t="shared" si="70"/>
        <v>1.27857142857143</v>
      </c>
    </row>
    <row r="320" spans="2:35">
      <c r="B320">
        <v>10</v>
      </c>
      <c r="C320">
        <f t="shared" si="70"/>
        <v>1.29285714285714</v>
      </c>
    </row>
    <row r="321" spans="2:3">
      <c r="B321">
        <v>11</v>
      </c>
      <c r="C321">
        <f t="shared" si="70"/>
        <v>1.30714285714286</v>
      </c>
    </row>
    <row r="322" spans="2:3">
      <c r="B322">
        <v>12</v>
      </c>
      <c r="C322">
        <f t="shared" si="70"/>
        <v>1.32142857142857</v>
      </c>
    </row>
    <row r="323" spans="2:3">
      <c r="B323">
        <v>13</v>
      </c>
      <c r="C323">
        <f t="shared" si="70"/>
        <v>1.33571428571429</v>
      </c>
    </row>
    <row r="324" spans="2:3">
      <c r="B324">
        <v>14</v>
      </c>
      <c r="C324">
        <f t="shared" si="70"/>
        <v>1.34285714285714</v>
      </c>
    </row>
    <row r="325" spans="2:3">
      <c r="B325">
        <v>15</v>
      </c>
      <c r="C325">
        <f t="shared" si="70"/>
        <v>1.35714285714286</v>
      </c>
    </row>
    <row r="326" spans="2:3">
      <c r="B326">
        <v>16</v>
      </c>
      <c r="C326">
        <f t="shared" si="70"/>
        <v>1.36428571428571</v>
      </c>
    </row>
    <row r="327" spans="2:3">
      <c r="B327">
        <v>17</v>
      </c>
      <c r="C327">
        <f t="shared" si="70"/>
        <v>1.37857142857143</v>
      </c>
    </row>
    <row r="328" spans="2:3">
      <c r="B328">
        <v>18</v>
      </c>
      <c r="C328">
        <f t="shared" si="70"/>
        <v>1.38571428571429</v>
      </c>
    </row>
    <row r="329" spans="2:3">
      <c r="B329">
        <v>19</v>
      </c>
      <c r="C329">
        <f t="shared" si="70"/>
        <v>1.39285714285714</v>
      </c>
    </row>
    <row r="330" spans="2:3">
      <c r="B330">
        <v>20</v>
      </c>
      <c r="C330">
        <f t="shared" si="70"/>
        <v>1.4</v>
      </c>
    </row>
    <row r="331" spans="2:3">
      <c r="B331">
        <v>21</v>
      </c>
      <c r="C331">
        <f t="shared" si="70"/>
        <v>1.40714285714286</v>
      </c>
    </row>
    <row r="332" spans="2:3">
      <c r="B332">
        <v>22</v>
      </c>
      <c r="C332">
        <f t="shared" si="70"/>
        <v>1.41428571428571</v>
      </c>
    </row>
    <row r="333" spans="2:3">
      <c r="B333">
        <v>23</v>
      </c>
      <c r="C333">
        <f t="shared" si="70"/>
        <v>1.42142857142857</v>
      </c>
    </row>
    <row r="334" spans="2:3">
      <c r="B334">
        <v>24</v>
      </c>
      <c r="C334">
        <f t="shared" si="70"/>
        <v>1.42857142857143</v>
      </c>
    </row>
    <row r="335" spans="2:3">
      <c r="B335">
        <v>25</v>
      </c>
      <c r="C335">
        <f t="shared" si="70"/>
        <v>1.43571428571429</v>
      </c>
    </row>
    <row r="336" spans="2:3">
      <c r="B336">
        <v>26</v>
      </c>
      <c r="C336">
        <f t="shared" si="70"/>
        <v>1.44285714285714</v>
      </c>
    </row>
    <row r="337" spans="2:3">
      <c r="B337">
        <v>27</v>
      </c>
      <c r="C337">
        <f t="shared" si="70"/>
        <v>1.45</v>
      </c>
    </row>
    <row r="338" spans="2:3">
      <c r="B338">
        <v>28</v>
      </c>
      <c r="C338">
        <f t="shared" si="70"/>
        <v>1.45714285714286</v>
      </c>
    </row>
    <row r="339" spans="2:3">
      <c r="B339">
        <v>29</v>
      </c>
      <c r="C339">
        <f t="shared" si="70"/>
        <v>1.46428571428571</v>
      </c>
    </row>
    <row r="340" spans="2:3">
      <c r="B340">
        <v>30</v>
      </c>
      <c r="C340">
        <f t="shared" si="70"/>
        <v>1.47142857142857</v>
      </c>
    </row>
    <row r="341" spans="2:3">
      <c r="B341">
        <v>31</v>
      </c>
      <c r="C341">
        <f t="shared" si="70"/>
        <v>1.47857142857143</v>
      </c>
    </row>
    <row r="342" spans="2:3">
      <c r="B342">
        <v>32</v>
      </c>
      <c r="C342">
        <f t="shared" si="70"/>
        <v>1.48571428571429</v>
      </c>
    </row>
    <row r="343" spans="2:3">
      <c r="B343">
        <v>33</v>
      </c>
      <c r="C343">
        <f t="shared" si="70"/>
        <v>1.49285714285714</v>
      </c>
    </row>
    <row r="344" spans="2:3">
      <c r="B344">
        <v>34</v>
      </c>
      <c r="C344">
        <f t="shared" si="70"/>
        <v>1.5</v>
      </c>
    </row>
    <row r="345" spans="2:3">
      <c r="B345">
        <v>35</v>
      </c>
      <c r="C345">
        <f t="shared" si="70"/>
        <v>1.50714285714286</v>
      </c>
    </row>
    <row r="346" spans="2:3">
      <c r="B346">
        <v>36</v>
      </c>
      <c r="C346">
        <f t="shared" si="70"/>
        <v>1.51428571428571</v>
      </c>
    </row>
    <row r="347" spans="2:3">
      <c r="B347">
        <v>37</v>
      </c>
      <c r="C347">
        <f t="shared" si="70"/>
        <v>1.52142857142857</v>
      </c>
    </row>
    <row r="348" spans="2:3">
      <c r="B348">
        <v>38</v>
      </c>
      <c r="C348">
        <f t="shared" si="70"/>
        <v>1.52857142857143</v>
      </c>
    </row>
    <row r="349" spans="2:3">
      <c r="B349">
        <v>39</v>
      </c>
      <c r="C349">
        <f t="shared" si="70"/>
        <v>1.53571428571429</v>
      </c>
    </row>
    <row r="350" spans="2:3">
      <c r="B350">
        <v>40</v>
      </c>
      <c r="C350">
        <f t="shared" si="70"/>
        <v>1.54285714285714</v>
      </c>
    </row>
    <row r="351" spans="2:3">
      <c r="B351">
        <v>41</v>
      </c>
      <c r="C351">
        <f t="shared" si="70"/>
        <v>1.55</v>
      </c>
    </row>
    <row r="352" spans="2:3">
      <c r="B352">
        <v>42</v>
      </c>
      <c r="C352">
        <f t="shared" si="70"/>
        <v>1.55</v>
      </c>
    </row>
    <row r="353" spans="2:3">
      <c r="B353">
        <v>43</v>
      </c>
      <c r="C353">
        <f t="shared" si="70"/>
        <v>1.55714285714286</v>
      </c>
    </row>
    <row r="354" spans="2:3">
      <c r="B354">
        <v>44</v>
      </c>
      <c r="C354">
        <f t="shared" si="70"/>
        <v>1.55714285714286</v>
      </c>
    </row>
    <row r="355" spans="2:3">
      <c r="B355">
        <v>45</v>
      </c>
      <c r="C355">
        <f t="shared" si="70"/>
        <v>1.56428571428571</v>
      </c>
    </row>
    <row r="356" spans="2:3">
      <c r="B356">
        <v>46</v>
      </c>
      <c r="C356">
        <f t="shared" si="70"/>
        <v>1.56428571428571</v>
      </c>
    </row>
    <row r="357" spans="2:3">
      <c r="B357">
        <v>47</v>
      </c>
      <c r="C357">
        <f t="shared" si="70"/>
        <v>1.57142857142857</v>
      </c>
    </row>
    <row r="358" spans="2:3">
      <c r="B358">
        <v>48</v>
      </c>
      <c r="C358">
        <f t="shared" si="70"/>
        <v>1.57142857142857</v>
      </c>
    </row>
    <row r="359" spans="2:3">
      <c r="B359">
        <v>49</v>
      </c>
      <c r="C359">
        <f t="shared" si="70"/>
        <v>1.57857142857143</v>
      </c>
    </row>
    <row r="360" spans="2:3">
      <c r="B360">
        <v>50</v>
      </c>
      <c r="C360">
        <f t="shared" si="70"/>
        <v>1.57857142857143</v>
      </c>
    </row>
    <row r="361" spans="2:3">
      <c r="B361">
        <v>51</v>
      </c>
      <c r="C361">
        <f t="shared" si="70"/>
        <v>1.58571428571429</v>
      </c>
    </row>
    <row r="362" spans="2:3">
      <c r="B362">
        <v>52</v>
      </c>
      <c r="C362">
        <f t="shared" si="70"/>
        <v>1.58571428571429</v>
      </c>
    </row>
    <row r="363" spans="2:3">
      <c r="B363">
        <v>53</v>
      </c>
      <c r="C363">
        <f t="shared" si="70"/>
        <v>1.59285714285714</v>
      </c>
    </row>
    <row r="364" spans="2:3">
      <c r="B364">
        <v>54</v>
      </c>
      <c r="C364">
        <f t="shared" si="70"/>
        <v>1.59285714285714</v>
      </c>
    </row>
    <row r="365" spans="2:3">
      <c r="B365">
        <v>55</v>
      </c>
      <c r="C365">
        <f t="shared" si="70"/>
        <v>1.6</v>
      </c>
    </row>
    <row r="366" spans="2:3">
      <c r="B366">
        <v>56</v>
      </c>
      <c r="C366">
        <f t="shared" si="70"/>
        <v>1.6</v>
      </c>
    </row>
    <row r="367" spans="2:3">
      <c r="B367">
        <v>57</v>
      </c>
      <c r="C367">
        <f t="shared" si="70"/>
        <v>1.60714285714286</v>
      </c>
    </row>
    <row r="368" spans="2:3">
      <c r="B368">
        <v>58</v>
      </c>
      <c r="C368">
        <f t="shared" si="70"/>
        <v>1.60714285714286</v>
      </c>
    </row>
    <row r="369" spans="2:3">
      <c r="B369">
        <v>59</v>
      </c>
      <c r="C369">
        <f t="shared" si="70"/>
        <v>1.61428571428571</v>
      </c>
    </row>
    <row r="370" spans="2:3">
      <c r="B370">
        <v>60</v>
      </c>
      <c r="C370">
        <f t="shared" si="70"/>
        <v>1.61428571428571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23"/>
  <dimension ref="B2:K302"/>
  <sheetViews>
    <sheetView workbookViewId="0">
      <selection activeCell="AG65" sqref="AG65"/>
    </sheetView>
  </sheetViews>
  <sheetFormatPr defaultColWidth="9" defaultRowHeight="13.5"/>
  <cols>
    <col min="4" max="4" width="12.625"/>
    <col min="7" max="7" width="13.75"/>
  </cols>
  <sheetData>
    <row r="2" ht="18" spans="2:11">
      <c r="B2" s="1" t="s">
        <v>83</v>
      </c>
      <c r="C2" s="1" t="s">
        <v>93</v>
      </c>
      <c r="D2" s="1" t="s">
        <v>94</v>
      </c>
      <c r="E2" s="1"/>
      <c r="F2" s="1" t="s">
        <v>82</v>
      </c>
      <c r="G2" s="1" t="s">
        <v>95</v>
      </c>
      <c r="H2" s="1" t="s">
        <v>96</v>
      </c>
      <c r="I2" s="1" t="s">
        <v>97</v>
      </c>
      <c r="J2" s="1" t="s">
        <v>98</v>
      </c>
      <c r="K2" s="1" t="s">
        <v>778</v>
      </c>
    </row>
    <row r="3" ht="17.25" spans="2:11">
      <c r="B3" s="2">
        <v>1</v>
      </c>
      <c r="C3" s="3">
        <v>1</v>
      </c>
      <c r="D3" s="4">
        <v>24.7222222222222</v>
      </c>
      <c r="E3" s="4"/>
      <c r="F3" s="2">
        <v>5</v>
      </c>
      <c r="G3" s="5">
        <v>0.797752808988764</v>
      </c>
      <c r="H3" s="2">
        <v>600</v>
      </c>
      <c r="I3" s="2">
        <v>5</v>
      </c>
      <c r="J3" s="2">
        <v>600</v>
      </c>
      <c r="K3" s="2">
        <f t="shared" ref="K3:K66" si="0">J3*6</f>
        <v>3600</v>
      </c>
    </row>
    <row r="4" ht="17.25" spans="2:11">
      <c r="B4" s="2">
        <v>2</v>
      </c>
      <c r="C4" s="3">
        <v>1</v>
      </c>
      <c r="D4" s="4">
        <v>24.7222222222222</v>
      </c>
      <c r="E4" s="4">
        <v>3</v>
      </c>
      <c r="F4" s="2">
        <v>8</v>
      </c>
      <c r="G4" s="5">
        <v>0.737078651685393</v>
      </c>
      <c r="H4" s="2">
        <v>600</v>
      </c>
      <c r="I4" s="2">
        <v>13</v>
      </c>
      <c r="J4" s="2">
        <v>1200</v>
      </c>
      <c r="K4" s="2">
        <f t="shared" si="0"/>
        <v>7200</v>
      </c>
    </row>
    <row r="5" ht="17.25" spans="2:11">
      <c r="B5" s="2">
        <v>3</v>
      </c>
      <c r="C5" s="3">
        <v>1</v>
      </c>
      <c r="D5" s="4">
        <v>24.7222222222222</v>
      </c>
      <c r="E5" s="4">
        <v>3</v>
      </c>
      <c r="F5" s="2">
        <v>11</v>
      </c>
      <c r="G5" s="5">
        <v>0.676404494382023</v>
      </c>
      <c r="H5" s="2">
        <v>600</v>
      </c>
      <c r="I5" s="2">
        <v>24</v>
      </c>
      <c r="J5" s="2">
        <v>1800</v>
      </c>
      <c r="K5" s="2">
        <f t="shared" si="0"/>
        <v>10800</v>
      </c>
    </row>
    <row r="6" ht="17.25" spans="2:11">
      <c r="B6" s="2">
        <v>4</v>
      </c>
      <c r="C6" s="3">
        <v>1</v>
      </c>
      <c r="D6" s="4">
        <v>24.7222222222222</v>
      </c>
      <c r="E6" s="4">
        <v>3</v>
      </c>
      <c r="F6" s="2">
        <v>14</v>
      </c>
      <c r="G6" s="5">
        <v>0.615730337078652</v>
      </c>
      <c r="H6" s="2">
        <v>1200</v>
      </c>
      <c r="I6" s="2">
        <v>38</v>
      </c>
      <c r="J6" s="2">
        <v>3000</v>
      </c>
      <c r="K6" s="2">
        <f t="shared" si="0"/>
        <v>18000</v>
      </c>
    </row>
    <row r="7" ht="17.25" spans="2:11">
      <c r="B7" s="2">
        <v>5</v>
      </c>
      <c r="C7" s="3">
        <v>1</v>
      </c>
      <c r="D7" s="4">
        <v>24.7222222222222</v>
      </c>
      <c r="E7" s="4">
        <v>3</v>
      </c>
      <c r="F7" s="2">
        <v>17</v>
      </c>
      <c r="G7" s="5">
        <v>0.555056179775281</v>
      </c>
      <c r="H7" s="2">
        <v>1200</v>
      </c>
      <c r="I7" s="2">
        <v>55</v>
      </c>
      <c r="J7" s="2">
        <v>4200</v>
      </c>
      <c r="K7" s="2">
        <f t="shared" si="0"/>
        <v>25200</v>
      </c>
    </row>
    <row r="8" ht="17.25" spans="2:11">
      <c r="B8" s="2">
        <v>6</v>
      </c>
      <c r="C8" s="3">
        <v>1</v>
      </c>
      <c r="D8" s="4">
        <v>24.7222222222222</v>
      </c>
      <c r="E8" s="4">
        <v>3</v>
      </c>
      <c r="F8" s="2">
        <v>20</v>
      </c>
      <c r="G8" s="5">
        <v>0.49438202247191</v>
      </c>
      <c r="H8" s="2">
        <v>1200</v>
      </c>
      <c r="I8" s="2">
        <v>75</v>
      </c>
      <c r="J8" s="2">
        <v>5400</v>
      </c>
      <c r="K8" s="2">
        <f t="shared" si="0"/>
        <v>32400</v>
      </c>
    </row>
    <row r="9" ht="17.25" spans="2:11">
      <c r="B9" s="2">
        <v>7</v>
      </c>
      <c r="C9" s="3">
        <v>1</v>
      </c>
      <c r="D9" s="4">
        <v>24.7222222222222</v>
      </c>
      <c r="E9" s="4">
        <v>3</v>
      </c>
      <c r="F9" s="2">
        <v>23</v>
      </c>
      <c r="G9" s="5">
        <v>0.433707865168539</v>
      </c>
      <c r="H9" s="2">
        <v>1200</v>
      </c>
      <c r="I9" s="2">
        <v>98</v>
      </c>
      <c r="J9" s="2">
        <v>6600</v>
      </c>
      <c r="K9" s="2">
        <f t="shared" si="0"/>
        <v>39600</v>
      </c>
    </row>
    <row r="10" ht="17.25" spans="2:11">
      <c r="B10" s="2">
        <v>8</v>
      </c>
      <c r="C10" s="3">
        <v>1</v>
      </c>
      <c r="D10" s="4">
        <v>24.7222222222222</v>
      </c>
      <c r="E10" s="4">
        <v>3</v>
      </c>
      <c r="F10" s="2">
        <v>26</v>
      </c>
      <c r="G10" s="5">
        <v>0.373033707865169</v>
      </c>
      <c r="H10" s="2">
        <v>1800</v>
      </c>
      <c r="I10" s="2">
        <v>124</v>
      </c>
      <c r="J10" s="2">
        <v>8400</v>
      </c>
      <c r="K10" s="2">
        <f t="shared" si="0"/>
        <v>50400</v>
      </c>
    </row>
    <row r="11" ht="17.25" spans="2:11">
      <c r="B11" s="2">
        <v>9</v>
      </c>
      <c r="C11" s="3">
        <v>1</v>
      </c>
      <c r="D11" s="4">
        <v>24.7222222222222</v>
      </c>
      <c r="E11" s="4">
        <v>3</v>
      </c>
      <c r="F11" s="2">
        <v>29</v>
      </c>
      <c r="G11" s="5">
        <v>0.312359550561798</v>
      </c>
      <c r="H11" s="2">
        <v>1800</v>
      </c>
      <c r="I11" s="2">
        <v>153</v>
      </c>
      <c r="J11" s="2">
        <v>10200</v>
      </c>
      <c r="K11" s="2">
        <f t="shared" si="0"/>
        <v>61200</v>
      </c>
    </row>
    <row r="12" ht="17.25" spans="2:11">
      <c r="B12" s="2">
        <v>10</v>
      </c>
      <c r="C12" s="3">
        <v>1</v>
      </c>
      <c r="D12" s="4">
        <v>24.7222222222222</v>
      </c>
      <c r="E12" s="4">
        <v>3</v>
      </c>
      <c r="F12" s="2">
        <v>32</v>
      </c>
      <c r="G12" s="5">
        <v>0.251685393258427</v>
      </c>
      <c r="H12" s="2">
        <v>1800</v>
      </c>
      <c r="I12" s="2">
        <v>185</v>
      </c>
      <c r="J12" s="2">
        <v>12000</v>
      </c>
      <c r="K12" s="2">
        <f t="shared" si="0"/>
        <v>72000</v>
      </c>
    </row>
    <row r="13" ht="17.25" spans="2:11">
      <c r="B13" s="2">
        <v>11</v>
      </c>
      <c r="C13" s="3">
        <v>1</v>
      </c>
      <c r="D13" s="4">
        <v>24.7222222222222</v>
      </c>
      <c r="E13" s="4">
        <v>3</v>
      </c>
      <c r="F13" s="2">
        <v>35</v>
      </c>
      <c r="G13" s="5">
        <v>0.191011235955056</v>
      </c>
      <c r="H13" s="2">
        <v>1800</v>
      </c>
      <c r="I13" s="2">
        <v>220</v>
      </c>
      <c r="J13" s="2">
        <v>13800</v>
      </c>
      <c r="K13" s="2">
        <f t="shared" si="0"/>
        <v>82800</v>
      </c>
    </row>
    <row r="14" ht="17.25" spans="2:11">
      <c r="B14" s="2">
        <v>12</v>
      </c>
      <c r="C14" s="3">
        <v>1</v>
      </c>
      <c r="D14" s="4">
        <v>24.7222222222222</v>
      </c>
      <c r="E14" s="4">
        <v>3</v>
      </c>
      <c r="F14" s="2">
        <v>38</v>
      </c>
      <c r="G14" s="5">
        <v>0.130337078651685</v>
      </c>
      <c r="H14" s="2">
        <v>2400</v>
      </c>
      <c r="I14" s="2">
        <v>258</v>
      </c>
      <c r="J14" s="2">
        <v>16200</v>
      </c>
      <c r="K14" s="2">
        <f t="shared" si="0"/>
        <v>97200</v>
      </c>
    </row>
    <row r="15" ht="17.25" spans="2:11">
      <c r="B15" s="2">
        <v>13</v>
      </c>
      <c r="C15" s="3">
        <v>2</v>
      </c>
      <c r="D15" s="4">
        <v>33.75</v>
      </c>
      <c r="E15" s="4">
        <v>3</v>
      </c>
      <c r="F15" s="2">
        <v>41</v>
      </c>
      <c r="G15" s="5">
        <v>0.095081967213115</v>
      </c>
      <c r="H15" s="2">
        <v>2400</v>
      </c>
      <c r="I15" s="2">
        <v>299</v>
      </c>
      <c r="J15" s="2">
        <v>18600</v>
      </c>
      <c r="K15" s="2">
        <f t="shared" si="0"/>
        <v>111600</v>
      </c>
    </row>
    <row r="16" ht="17.25" spans="2:11">
      <c r="B16" s="2">
        <v>14</v>
      </c>
      <c r="C16" s="3">
        <v>2</v>
      </c>
      <c r="D16" s="4">
        <v>33.75</v>
      </c>
      <c r="E16" s="4">
        <v>3</v>
      </c>
      <c r="F16" s="2">
        <v>44</v>
      </c>
      <c r="G16" s="5">
        <v>0.05812356979405</v>
      </c>
      <c r="H16" s="2">
        <v>2400</v>
      </c>
      <c r="I16" s="2">
        <v>343</v>
      </c>
      <c r="J16" s="2">
        <v>21000</v>
      </c>
      <c r="K16" s="2">
        <f t="shared" si="0"/>
        <v>126000</v>
      </c>
    </row>
    <row r="17" ht="17.25" spans="2:11">
      <c r="B17" s="2">
        <v>15</v>
      </c>
      <c r="C17" s="3">
        <v>2</v>
      </c>
      <c r="D17" s="4">
        <v>33.75</v>
      </c>
      <c r="E17" s="4">
        <v>3</v>
      </c>
      <c r="F17" s="2">
        <v>47</v>
      </c>
      <c r="G17" s="5">
        <v>0.019895287958115</v>
      </c>
      <c r="H17" s="2">
        <v>2400</v>
      </c>
      <c r="I17" s="2">
        <v>390</v>
      </c>
      <c r="J17" s="2">
        <v>23400</v>
      </c>
      <c r="K17" s="2">
        <f t="shared" si="0"/>
        <v>140400</v>
      </c>
    </row>
    <row r="18" ht="17.25" spans="2:11">
      <c r="B18" s="2">
        <v>16</v>
      </c>
      <c r="C18" s="3">
        <v>2</v>
      </c>
      <c r="D18" s="4">
        <v>33.75</v>
      </c>
      <c r="E18" s="4">
        <v>2</v>
      </c>
      <c r="F18" s="2">
        <v>49</v>
      </c>
      <c r="G18" s="5">
        <v>-0.016988416988417</v>
      </c>
      <c r="H18" s="2">
        <v>3000</v>
      </c>
      <c r="I18" s="2">
        <v>439</v>
      </c>
      <c r="J18" s="2">
        <v>26400</v>
      </c>
      <c r="K18" s="2">
        <f t="shared" si="0"/>
        <v>158400</v>
      </c>
    </row>
    <row r="19" ht="17.25" spans="2:11">
      <c r="B19" s="2">
        <v>17</v>
      </c>
      <c r="C19" s="3">
        <v>2</v>
      </c>
      <c r="D19" s="4">
        <v>33.75</v>
      </c>
      <c r="E19" s="4">
        <v>2</v>
      </c>
      <c r="F19" s="2">
        <v>51</v>
      </c>
      <c r="G19" s="5">
        <v>-0.052820053715309</v>
      </c>
      <c r="H19" s="2">
        <v>3000</v>
      </c>
      <c r="I19" s="2">
        <v>490</v>
      </c>
      <c r="J19" s="2">
        <v>29400</v>
      </c>
      <c r="K19" s="2">
        <f t="shared" si="0"/>
        <v>176400</v>
      </c>
    </row>
    <row r="20" ht="17.25" spans="2:11">
      <c r="B20" s="2">
        <v>18</v>
      </c>
      <c r="C20" s="3">
        <v>2</v>
      </c>
      <c r="D20" s="4">
        <v>33.75</v>
      </c>
      <c r="E20" s="4">
        <v>2</v>
      </c>
      <c r="F20" s="2">
        <v>53</v>
      </c>
      <c r="G20" s="5">
        <v>-0.087813021702838</v>
      </c>
      <c r="H20" s="2">
        <v>3000</v>
      </c>
      <c r="I20" s="2">
        <v>543</v>
      </c>
      <c r="J20" s="2">
        <v>32400</v>
      </c>
      <c r="K20" s="2">
        <f t="shared" si="0"/>
        <v>194400</v>
      </c>
    </row>
    <row r="21" ht="17.25" spans="2:11">
      <c r="B21" s="2">
        <v>19</v>
      </c>
      <c r="C21" s="3">
        <v>2</v>
      </c>
      <c r="D21" s="4">
        <v>33.75</v>
      </c>
      <c r="E21" s="4">
        <v>2</v>
      </c>
      <c r="F21" s="2">
        <v>55</v>
      </c>
      <c r="G21" s="5">
        <v>-0.122126661454261</v>
      </c>
      <c r="H21" s="2">
        <v>3000</v>
      </c>
      <c r="I21" s="2">
        <v>598</v>
      </c>
      <c r="J21" s="2">
        <v>35400</v>
      </c>
      <c r="K21" s="2">
        <f t="shared" si="0"/>
        <v>212400</v>
      </c>
    </row>
    <row r="22" ht="17.25" spans="2:11">
      <c r="B22" s="2">
        <v>20</v>
      </c>
      <c r="C22" s="3">
        <v>2</v>
      </c>
      <c r="D22" s="4">
        <v>33.75</v>
      </c>
      <c r="E22" s="4">
        <v>2</v>
      </c>
      <c r="F22" s="2">
        <v>57</v>
      </c>
      <c r="G22" s="5">
        <v>-0.155882352941176</v>
      </c>
      <c r="H22" s="2">
        <v>3000</v>
      </c>
      <c r="I22" s="2">
        <v>655</v>
      </c>
      <c r="J22" s="2">
        <v>38400</v>
      </c>
      <c r="K22" s="2">
        <f t="shared" si="0"/>
        <v>230400</v>
      </c>
    </row>
    <row r="23" ht="17.25" spans="2:11">
      <c r="B23" s="2">
        <v>21</v>
      </c>
      <c r="C23" s="3">
        <v>3</v>
      </c>
      <c r="D23" s="4">
        <v>64.1666666666667</v>
      </c>
      <c r="E23" s="4">
        <v>2</v>
      </c>
      <c r="F23" s="2">
        <v>59</v>
      </c>
      <c r="G23" s="5">
        <v>-0.131836195508586</v>
      </c>
      <c r="H23" s="2">
        <v>3000</v>
      </c>
      <c r="I23" s="2">
        <v>714</v>
      </c>
      <c r="J23" s="2">
        <v>41400</v>
      </c>
      <c r="K23" s="2">
        <f t="shared" si="0"/>
        <v>248400</v>
      </c>
    </row>
    <row r="24" ht="17.25" spans="2:11">
      <c r="B24" s="2">
        <v>22</v>
      </c>
      <c r="C24" s="3">
        <v>3</v>
      </c>
      <c r="D24" s="4">
        <v>64.1666666666667</v>
      </c>
      <c r="E24" s="4">
        <v>2</v>
      </c>
      <c r="F24" s="2">
        <v>61</v>
      </c>
      <c r="G24" s="5">
        <v>-0.115107913669065</v>
      </c>
      <c r="H24" s="2">
        <v>3600</v>
      </c>
      <c r="I24" s="2">
        <v>775</v>
      </c>
      <c r="J24" s="2">
        <v>45000</v>
      </c>
      <c r="K24" s="2">
        <f t="shared" si="0"/>
        <v>270000</v>
      </c>
    </row>
    <row r="25" ht="17.25" spans="2:11">
      <c r="B25" s="2">
        <v>23</v>
      </c>
      <c r="C25" s="3">
        <v>3</v>
      </c>
      <c r="D25" s="4">
        <v>64.1666666666667</v>
      </c>
      <c r="E25" s="4">
        <v>2</v>
      </c>
      <c r="F25" s="2">
        <v>63</v>
      </c>
      <c r="G25" s="5">
        <v>-0.10384193194292</v>
      </c>
      <c r="H25" s="2">
        <v>3600</v>
      </c>
      <c r="I25" s="2">
        <v>838</v>
      </c>
      <c r="J25" s="2">
        <v>48600</v>
      </c>
      <c r="K25" s="2">
        <f t="shared" si="0"/>
        <v>291600</v>
      </c>
    </row>
    <row r="26" ht="17.25" spans="2:11">
      <c r="B26" s="2">
        <v>24</v>
      </c>
      <c r="C26" s="3">
        <v>3</v>
      </c>
      <c r="D26" s="4">
        <v>64.1666666666667</v>
      </c>
      <c r="E26" s="4">
        <v>2</v>
      </c>
      <c r="F26" s="2">
        <v>65</v>
      </c>
      <c r="G26" s="5">
        <v>-0.096761133603239</v>
      </c>
      <c r="H26" s="2">
        <v>3600</v>
      </c>
      <c r="I26" s="2">
        <v>903</v>
      </c>
      <c r="J26" s="2">
        <v>52200</v>
      </c>
      <c r="K26" s="2">
        <f t="shared" si="0"/>
        <v>313200</v>
      </c>
    </row>
    <row r="27" ht="17.25" spans="2:11">
      <c r="B27" s="2">
        <v>25</v>
      </c>
      <c r="C27" s="3">
        <v>4</v>
      </c>
      <c r="D27" s="4">
        <v>62.5</v>
      </c>
      <c r="E27" s="4">
        <v>2</v>
      </c>
      <c r="F27" s="2">
        <v>67</v>
      </c>
      <c r="G27" s="5">
        <v>-0.095014111006585</v>
      </c>
      <c r="H27" s="2">
        <v>3600</v>
      </c>
      <c r="I27" s="2">
        <v>970</v>
      </c>
      <c r="J27" s="2">
        <v>55800</v>
      </c>
      <c r="K27" s="2">
        <f t="shared" si="0"/>
        <v>334800</v>
      </c>
    </row>
    <row r="28" ht="17.25" spans="2:11">
      <c r="B28" s="2">
        <v>26</v>
      </c>
      <c r="C28" s="3">
        <v>4</v>
      </c>
      <c r="D28" s="4">
        <v>62.5</v>
      </c>
      <c r="E28" s="4">
        <v>2</v>
      </c>
      <c r="F28" s="2">
        <v>69</v>
      </c>
      <c r="G28" s="5">
        <v>-0.09560632688928</v>
      </c>
      <c r="H28" s="2">
        <v>3600</v>
      </c>
      <c r="I28" s="2">
        <v>1039</v>
      </c>
      <c r="J28" s="2">
        <v>59400</v>
      </c>
      <c r="K28" s="2">
        <f t="shared" si="0"/>
        <v>356400</v>
      </c>
    </row>
    <row r="29" ht="17.25" spans="2:11">
      <c r="B29" s="2">
        <v>27</v>
      </c>
      <c r="C29" s="3">
        <v>4</v>
      </c>
      <c r="D29" s="4">
        <v>62.5</v>
      </c>
      <c r="E29" s="4">
        <v>2</v>
      </c>
      <c r="F29" s="2">
        <v>71</v>
      </c>
      <c r="G29" s="5">
        <v>-0.098103874690849</v>
      </c>
      <c r="H29" s="2">
        <v>3600</v>
      </c>
      <c r="I29" s="2">
        <v>1110</v>
      </c>
      <c r="J29" s="2">
        <v>63000</v>
      </c>
      <c r="K29" s="2">
        <f t="shared" si="0"/>
        <v>378000</v>
      </c>
    </row>
    <row r="30" ht="17.25" spans="2:11">
      <c r="B30" s="2">
        <v>28</v>
      </c>
      <c r="C30" s="3">
        <v>4</v>
      </c>
      <c r="D30" s="4">
        <v>62.5</v>
      </c>
      <c r="E30" s="4">
        <v>2</v>
      </c>
      <c r="F30" s="2">
        <v>73</v>
      </c>
      <c r="G30" s="5">
        <v>-0.102173913043478</v>
      </c>
      <c r="H30" s="2">
        <v>4200</v>
      </c>
      <c r="I30" s="2">
        <v>1183</v>
      </c>
      <c r="J30" s="2">
        <v>67200</v>
      </c>
      <c r="K30" s="2">
        <f t="shared" si="0"/>
        <v>403200</v>
      </c>
    </row>
    <row r="31" ht="17.25" spans="2:11">
      <c r="B31" s="2">
        <v>29</v>
      </c>
      <c r="C31" s="3">
        <v>5</v>
      </c>
      <c r="D31" s="4">
        <v>60.8333333333333</v>
      </c>
      <c r="E31" s="4">
        <v>2</v>
      </c>
      <c r="F31" s="2">
        <v>75</v>
      </c>
      <c r="G31" s="5">
        <v>-0.109184423218222</v>
      </c>
      <c r="H31" s="2">
        <v>4200</v>
      </c>
      <c r="I31" s="2">
        <v>1258</v>
      </c>
      <c r="J31" s="2">
        <v>71400</v>
      </c>
      <c r="K31" s="2">
        <f t="shared" si="0"/>
        <v>428400</v>
      </c>
    </row>
    <row r="32" ht="17.25" spans="2:11">
      <c r="B32" s="2">
        <v>30</v>
      </c>
      <c r="C32" s="3">
        <v>5</v>
      </c>
      <c r="D32" s="4">
        <v>60.8333333333333</v>
      </c>
      <c r="E32" s="4">
        <v>3</v>
      </c>
      <c r="F32" s="2">
        <v>78</v>
      </c>
      <c r="G32" s="5">
        <v>-0.117991631799163</v>
      </c>
      <c r="H32" s="2">
        <v>4200</v>
      </c>
      <c r="I32" s="2">
        <v>1336</v>
      </c>
      <c r="J32" s="2">
        <v>75600</v>
      </c>
      <c r="K32" s="2">
        <f t="shared" si="0"/>
        <v>453600</v>
      </c>
    </row>
    <row r="33" ht="17.25" spans="2:11">
      <c r="B33" s="2">
        <v>31</v>
      </c>
      <c r="C33" s="3">
        <v>5</v>
      </c>
      <c r="D33" s="4">
        <v>60.8333333333333</v>
      </c>
      <c r="E33" s="4">
        <v>3</v>
      </c>
      <c r="F33" s="2">
        <v>81</v>
      </c>
      <c r="G33" s="5">
        <v>-0.128334439283345</v>
      </c>
      <c r="H33" s="2">
        <v>4200</v>
      </c>
      <c r="I33" s="2">
        <v>1417</v>
      </c>
      <c r="J33" s="2">
        <v>79800</v>
      </c>
      <c r="K33" s="2">
        <f t="shared" si="0"/>
        <v>478800</v>
      </c>
    </row>
    <row r="34" ht="17.25" spans="2:11">
      <c r="B34" s="2">
        <v>32</v>
      </c>
      <c r="C34" s="3">
        <v>5</v>
      </c>
      <c r="D34" s="4">
        <v>60.8333333333333</v>
      </c>
      <c r="E34" s="4">
        <v>3</v>
      </c>
      <c r="F34" s="2">
        <v>84</v>
      </c>
      <c r="G34" s="5">
        <v>-0.14</v>
      </c>
      <c r="H34" s="2">
        <v>4200</v>
      </c>
      <c r="I34" s="2">
        <v>1501</v>
      </c>
      <c r="J34" s="2">
        <v>84000</v>
      </c>
      <c r="K34" s="2">
        <f t="shared" si="0"/>
        <v>504000</v>
      </c>
    </row>
    <row r="35" ht="17.25" spans="2:11">
      <c r="B35" s="2">
        <v>33</v>
      </c>
      <c r="C35" s="3">
        <v>6</v>
      </c>
      <c r="D35" s="4">
        <v>60.8333333333333</v>
      </c>
      <c r="E35" s="4">
        <v>3</v>
      </c>
      <c r="F35" s="2">
        <v>87</v>
      </c>
      <c r="G35" s="5">
        <v>-0.152813067150636</v>
      </c>
      <c r="H35" s="2">
        <v>4800</v>
      </c>
      <c r="I35" s="2">
        <v>1588</v>
      </c>
      <c r="J35" s="2">
        <v>88800</v>
      </c>
      <c r="K35" s="2">
        <f t="shared" si="0"/>
        <v>532800</v>
      </c>
    </row>
    <row r="36" ht="17.25" spans="2:11">
      <c r="B36" s="2">
        <v>34</v>
      </c>
      <c r="C36" s="3">
        <v>6</v>
      </c>
      <c r="D36" s="4">
        <v>60.8333333333333</v>
      </c>
      <c r="E36" s="4">
        <v>3</v>
      </c>
      <c r="F36" s="2">
        <v>90</v>
      </c>
      <c r="G36" s="5">
        <v>-0.166628041714948</v>
      </c>
      <c r="H36" s="2">
        <v>4800</v>
      </c>
      <c r="I36" s="2">
        <v>1678</v>
      </c>
      <c r="J36" s="2">
        <v>93600</v>
      </c>
      <c r="K36" s="2">
        <f t="shared" si="0"/>
        <v>561600</v>
      </c>
    </row>
    <row r="37" ht="17.25" spans="2:11">
      <c r="B37" s="2">
        <v>35</v>
      </c>
      <c r="C37" s="3">
        <v>6</v>
      </c>
      <c r="D37" s="4">
        <v>60.8333333333333</v>
      </c>
      <c r="E37" s="4">
        <v>3</v>
      </c>
      <c r="F37" s="2">
        <v>93</v>
      </c>
      <c r="G37" s="5">
        <v>-0.181322957198444</v>
      </c>
      <c r="H37" s="2">
        <v>4800</v>
      </c>
      <c r="I37" s="2">
        <v>1771</v>
      </c>
      <c r="J37" s="2">
        <v>98400</v>
      </c>
      <c r="K37" s="2">
        <f t="shared" si="0"/>
        <v>590400</v>
      </c>
    </row>
    <row r="38" ht="17.25" spans="2:11">
      <c r="B38" s="2">
        <v>36</v>
      </c>
      <c r="C38" s="3">
        <v>6</v>
      </c>
      <c r="D38" s="4">
        <v>60.8333333333333</v>
      </c>
      <c r="E38" s="4">
        <v>3</v>
      </c>
      <c r="F38" s="2">
        <v>96</v>
      </c>
      <c r="G38" s="5">
        <v>-0.196794871794872</v>
      </c>
      <c r="H38" s="2">
        <v>4800</v>
      </c>
      <c r="I38" s="2">
        <v>1867</v>
      </c>
      <c r="J38" s="2">
        <v>103200</v>
      </c>
      <c r="K38" s="2">
        <f t="shared" si="0"/>
        <v>619200</v>
      </c>
    </row>
    <row r="39" ht="17.25" spans="2:11">
      <c r="B39" s="2">
        <v>37</v>
      </c>
      <c r="C39" s="3">
        <v>7</v>
      </c>
      <c r="D39" s="4">
        <v>78.8888888888889</v>
      </c>
      <c r="E39" s="4">
        <v>3</v>
      </c>
      <c r="F39" s="2">
        <v>99</v>
      </c>
      <c r="G39" s="5">
        <v>-0.199593220338984</v>
      </c>
      <c r="H39" s="2">
        <v>5400</v>
      </c>
      <c r="I39" s="2">
        <v>1966</v>
      </c>
      <c r="J39" s="2">
        <v>108600</v>
      </c>
      <c r="K39" s="2">
        <f t="shared" si="0"/>
        <v>651600</v>
      </c>
    </row>
    <row r="40" ht="17.25" spans="2:11">
      <c r="B40" s="2">
        <v>38</v>
      </c>
      <c r="C40" s="3">
        <v>7</v>
      </c>
      <c r="D40" s="4">
        <v>78.8888888888889</v>
      </c>
      <c r="E40" s="4">
        <v>3</v>
      </c>
      <c r="F40" s="2">
        <v>102</v>
      </c>
      <c r="G40" s="5">
        <v>-0.203880983182407</v>
      </c>
      <c r="H40" s="2">
        <v>5400</v>
      </c>
      <c r="I40" s="2">
        <v>2068</v>
      </c>
      <c r="J40" s="2">
        <v>114000</v>
      </c>
      <c r="K40" s="2">
        <f t="shared" si="0"/>
        <v>684000</v>
      </c>
    </row>
    <row r="41" ht="17.25" spans="2:11">
      <c r="B41" s="2">
        <v>39</v>
      </c>
      <c r="C41" s="3">
        <v>7</v>
      </c>
      <c r="D41" s="4">
        <v>78.8888888888889</v>
      </c>
      <c r="E41" s="4">
        <v>3</v>
      </c>
      <c r="F41" s="2">
        <v>105</v>
      </c>
      <c r="G41" s="5">
        <v>-0.209461966604824</v>
      </c>
      <c r="H41" s="2">
        <v>5400</v>
      </c>
      <c r="I41" s="2">
        <v>2173</v>
      </c>
      <c r="J41" s="2">
        <v>119400</v>
      </c>
      <c r="K41" s="2">
        <f t="shared" si="0"/>
        <v>716400</v>
      </c>
    </row>
    <row r="42" ht="17.25" spans="2:11">
      <c r="B42" s="2">
        <v>40</v>
      </c>
      <c r="C42" s="3">
        <v>8</v>
      </c>
      <c r="D42" s="4">
        <v>118.333333333333</v>
      </c>
      <c r="E42" s="4">
        <v>3</v>
      </c>
      <c r="F42" s="2">
        <v>108</v>
      </c>
      <c r="G42" s="5">
        <v>-0.1911227154047</v>
      </c>
      <c r="H42" s="2">
        <v>5400</v>
      </c>
      <c r="I42" s="2">
        <v>2281</v>
      </c>
      <c r="J42" s="2">
        <v>124800</v>
      </c>
      <c r="K42" s="2">
        <f t="shared" si="0"/>
        <v>748800</v>
      </c>
    </row>
    <row r="43" ht="17.25" spans="2:11">
      <c r="B43" s="2">
        <v>41</v>
      </c>
      <c r="C43" s="3">
        <v>8</v>
      </c>
      <c r="D43" s="4">
        <v>118.333333333333</v>
      </c>
      <c r="E43" s="4">
        <v>4</v>
      </c>
      <c r="F43" s="2">
        <v>112</v>
      </c>
      <c r="G43" s="5">
        <v>-0.17688524590164</v>
      </c>
      <c r="H43" s="2">
        <v>6000</v>
      </c>
      <c r="I43" s="2">
        <v>2393</v>
      </c>
      <c r="J43" s="2">
        <v>130800</v>
      </c>
      <c r="K43" s="2">
        <f t="shared" si="0"/>
        <v>784800</v>
      </c>
    </row>
    <row r="44" ht="17.25" spans="2:11">
      <c r="B44" s="2">
        <v>42</v>
      </c>
      <c r="C44" s="3">
        <v>9</v>
      </c>
      <c r="D44" s="4">
        <v>115</v>
      </c>
      <c r="E44" s="4">
        <v>4</v>
      </c>
      <c r="F44" s="2">
        <v>116</v>
      </c>
      <c r="G44" s="5">
        <v>-0.16788207913111</v>
      </c>
      <c r="H44" s="2">
        <v>6000</v>
      </c>
      <c r="I44" s="2">
        <v>2509</v>
      </c>
      <c r="J44" s="2">
        <v>136800</v>
      </c>
      <c r="K44" s="2">
        <f t="shared" si="0"/>
        <v>820800</v>
      </c>
    </row>
    <row r="45" ht="17.25" spans="2:11">
      <c r="B45" s="2">
        <v>43</v>
      </c>
      <c r="C45" s="3">
        <v>9</v>
      </c>
      <c r="D45" s="4">
        <v>115</v>
      </c>
      <c r="E45" s="4">
        <v>4</v>
      </c>
      <c r="F45" s="2">
        <v>120</v>
      </c>
      <c r="G45" s="5">
        <v>-0.161561119293078</v>
      </c>
      <c r="H45" s="2">
        <v>6000</v>
      </c>
      <c r="I45" s="2">
        <v>2629</v>
      </c>
      <c r="J45" s="2">
        <v>142800</v>
      </c>
      <c r="K45" s="2">
        <f t="shared" si="0"/>
        <v>856800</v>
      </c>
    </row>
    <row r="46" ht="17.25" spans="2:11">
      <c r="B46" s="2">
        <v>44</v>
      </c>
      <c r="C46" s="3">
        <v>10</v>
      </c>
      <c r="D46" s="4">
        <v>76.6666666666667</v>
      </c>
      <c r="E46" s="4">
        <v>4</v>
      </c>
      <c r="F46" s="2">
        <v>124</v>
      </c>
      <c r="G46" s="5">
        <v>-0.176495726495727</v>
      </c>
      <c r="H46" s="2">
        <v>6600</v>
      </c>
      <c r="I46" s="2">
        <v>2753</v>
      </c>
      <c r="J46" s="2">
        <v>149400</v>
      </c>
      <c r="K46" s="2">
        <f t="shared" si="0"/>
        <v>896400</v>
      </c>
    </row>
    <row r="47" ht="17.25" spans="2:11">
      <c r="B47" s="2">
        <v>45</v>
      </c>
      <c r="C47" s="3">
        <v>10</v>
      </c>
      <c r="D47" s="4">
        <v>76.6666666666667</v>
      </c>
      <c r="E47" s="4">
        <v>4</v>
      </c>
      <c r="F47" s="2">
        <v>128</v>
      </c>
      <c r="G47" s="5">
        <v>-0.192137931034483</v>
      </c>
      <c r="H47" s="2">
        <v>6600</v>
      </c>
      <c r="I47" s="2">
        <v>2881</v>
      </c>
      <c r="J47" s="2">
        <v>156000</v>
      </c>
      <c r="K47" s="2">
        <f t="shared" si="0"/>
        <v>936000</v>
      </c>
    </row>
    <row r="48" ht="17.25" spans="2:11">
      <c r="B48" s="2">
        <v>46</v>
      </c>
      <c r="C48" s="3">
        <v>10</v>
      </c>
      <c r="D48" s="4">
        <v>76.6666666666667</v>
      </c>
      <c r="E48" s="4">
        <v>4</v>
      </c>
      <c r="F48" s="2">
        <v>132</v>
      </c>
      <c r="G48" s="5">
        <v>-0.208422459893049</v>
      </c>
      <c r="H48" s="2">
        <v>6600</v>
      </c>
      <c r="I48" s="2">
        <v>3013</v>
      </c>
      <c r="J48" s="2">
        <v>162600</v>
      </c>
      <c r="K48" s="2">
        <f t="shared" si="0"/>
        <v>975600</v>
      </c>
    </row>
    <row r="49" ht="17.25" spans="2:11">
      <c r="B49" s="2">
        <v>47</v>
      </c>
      <c r="C49" s="3">
        <v>11</v>
      </c>
      <c r="D49" s="4">
        <v>115</v>
      </c>
      <c r="E49" s="4">
        <v>4</v>
      </c>
      <c r="F49" s="2">
        <v>136</v>
      </c>
      <c r="G49" s="5">
        <v>-0.207284345047924</v>
      </c>
      <c r="H49" s="2">
        <v>7200</v>
      </c>
      <c r="I49" s="2">
        <v>3149</v>
      </c>
      <c r="J49" s="2">
        <v>169800</v>
      </c>
      <c r="K49" s="2">
        <f t="shared" si="0"/>
        <v>1018800</v>
      </c>
    </row>
    <row r="50" ht="17.25" spans="2:11">
      <c r="B50" s="2">
        <v>48</v>
      </c>
      <c r="C50" s="3">
        <v>11</v>
      </c>
      <c r="D50" s="4">
        <v>115</v>
      </c>
      <c r="E50" s="4">
        <v>4</v>
      </c>
      <c r="F50" s="2">
        <v>140</v>
      </c>
      <c r="G50" s="5">
        <v>-0.207711138310894</v>
      </c>
      <c r="H50" s="2">
        <v>7200</v>
      </c>
      <c r="I50" s="2">
        <v>3289</v>
      </c>
      <c r="J50" s="2">
        <v>177000</v>
      </c>
      <c r="K50" s="2">
        <f t="shared" si="0"/>
        <v>1062000</v>
      </c>
    </row>
    <row r="51" ht="17.25" spans="2:11">
      <c r="B51" s="2">
        <v>49</v>
      </c>
      <c r="C51" s="3">
        <v>12</v>
      </c>
      <c r="D51" s="4">
        <v>115</v>
      </c>
      <c r="E51" s="4">
        <v>4</v>
      </c>
      <c r="F51" s="2">
        <v>144</v>
      </c>
      <c r="G51" s="5">
        <v>-0.209512624779801</v>
      </c>
      <c r="H51" s="2">
        <v>7200</v>
      </c>
      <c r="I51" s="2">
        <v>3433</v>
      </c>
      <c r="J51" s="2">
        <v>184200</v>
      </c>
      <c r="K51" s="2">
        <f t="shared" si="0"/>
        <v>1105200</v>
      </c>
    </row>
    <row r="52" ht="17.25" spans="2:11">
      <c r="B52" s="2">
        <v>50</v>
      </c>
      <c r="C52" s="3">
        <v>12</v>
      </c>
      <c r="D52" s="4">
        <v>115</v>
      </c>
      <c r="E52" s="4">
        <v>4</v>
      </c>
      <c r="F52" s="2">
        <v>148</v>
      </c>
      <c r="G52" s="5">
        <v>-0.212528216704289</v>
      </c>
      <c r="H52" s="2">
        <v>7800</v>
      </c>
      <c r="I52" s="2">
        <v>3581</v>
      </c>
      <c r="J52" s="2">
        <v>192000</v>
      </c>
      <c r="K52" s="2">
        <f t="shared" si="0"/>
        <v>1152000</v>
      </c>
    </row>
    <row r="53" ht="17.25" spans="2:11">
      <c r="B53" s="2">
        <v>51</v>
      </c>
      <c r="C53" s="3">
        <v>13</v>
      </c>
      <c r="D53" s="4">
        <v>115</v>
      </c>
      <c r="E53" s="4">
        <v>4</v>
      </c>
      <c r="F53" s="2">
        <v>152</v>
      </c>
      <c r="G53" s="5">
        <v>-0.216621401412276</v>
      </c>
      <c r="H53" s="2">
        <v>7800</v>
      </c>
      <c r="I53" s="2">
        <v>3733</v>
      </c>
      <c r="J53" s="2">
        <v>199800</v>
      </c>
      <c r="K53" s="2">
        <f t="shared" si="0"/>
        <v>1198800</v>
      </c>
    </row>
    <row r="54" ht="17.25" spans="2:11">
      <c r="B54" s="2">
        <v>52</v>
      </c>
      <c r="C54" s="3">
        <v>13</v>
      </c>
      <c r="D54" s="4">
        <v>115</v>
      </c>
      <c r="E54" s="4">
        <v>4</v>
      </c>
      <c r="F54" s="2">
        <v>156</v>
      </c>
      <c r="G54" s="5">
        <v>-0.221675392670158</v>
      </c>
      <c r="H54" s="2">
        <v>7800</v>
      </c>
      <c r="I54" s="2">
        <v>3889</v>
      </c>
      <c r="J54" s="2">
        <v>207600</v>
      </c>
      <c r="K54" s="2">
        <f t="shared" si="0"/>
        <v>1245600</v>
      </c>
    </row>
    <row r="55" ht="17.25" spans="2:11">
      <c r="B55" s="2">
        <v>53</v>
      </c>
      <c r="C55" s="3">
        <v>14</v>
      </c>
      <c r="D55" s="4">
        <v>230</v>
      </c>
      <c r="E55" s="4">
        <v>4</v>
      </c>
      <c r="F55" s="2">
        <v>160</v>
      </c>
      <c r="G55" s="5">
        <v>-0.18623046875</v>
      </c>
      <c r="H55" s="2">
        <v>8400</v>
      </c>
      <c r="I55" s="2">
        <v>4049</v>
      </c>
      <c r="J55" s="2">
        <v>216000</v>
      </c>
      <c r="K55" s="2">
        <f t="shared" si="0"/>
        <v>1296000</v>
      </c>
    </row>
    <row r="56" ht="17.25" spans="2:11">
      <c r="B56" s="2">
        <v>54</v>
      </c>
      <c r="C56" s="3">
        <v>15</v>
      </c>
      <c r="D56" s="4">
        <v>230</v>
      </c>
      <c r="E56" s="4">
        <v>4</v>
      </c>
      <c r="F56" s="2">
        <v>164</v>
      </c>
      <c r="G56" s="5">
        <v>-0.156358645928637</v>
      </c>
      <c r="H56" s="2">
        <v>8400</v>
      </c>
      <c r="I56" s="2">
        <v>4213</v>
      </c>
      <c r="J56" s="2">
        <v>224400</v>
      </c>
      <c r="K56" s="2">
        <f t="shared" si="0"/>
        <v>1346400</v>
      </c>
    </row>
    <row r="57" ht="17.25" spans="2:11">
      <c r="B57" s="2">
        <v>55</v>
      </c>
      <c r="C57" s="3">
        <v>16</v>
      </c>
      <c r="D57" s="4">
        <v>230</v>
      </c>
      <c r="E57" s="4">
        <v>4</v>
      </c>
      <c r="F57" s="2">
        <v>168</v>
      </c>
      <c r="G57" s="5">
        <v>-0.131067125645439</v>
      </c>
      <c r="H57" s="2">
        <v>8400</v>
      </c>
      <c r="I57" s="2">
        <v>4381</v>
      </c>
      <c r="J57" s="2">
        <v>232800</v>
      </c>
      <c r="K57" s="2">
        <f t="shared" si="0"/>
        <v>1396800</v>
      </c>
    </row>
    <row r="58" ht="17.25" spans="2:11">
      <c r="B58" s="2">
        <v>56</v>
      </c>
      <c r="C58" s="3">
        <v>20</v>
      </c>
      <c r="D58" s="4">
        <v>180.833333333333</v>
      </c>
      <c r="E58" s="4">
        <v>4</v>
      </c>
      <c r="F58" s="2">
        <v>172</v>
      </c>
      <c r="G58" s="5">
        <v>-0.123042137718397</v>
      </c>
      <c r="H58" s="2">
        <v>9000</v>
      </c>
      <c r="I58" s="2">
        <v>4553</v>
      </c>
      <c r="J58" s="2">
        <v>241800</v>
      </c>
      <c r="K58" s="2">
        <f t="shared" si="0"/>
        <v>1450800</v>
      </c>
    </row>
    <row r="59" ht="17.25" spans="2:11">
      <c r="B59" s="2">
        <v>57</v>
      </c>
      <c r="C59" s="3">
        <v>20</v>
      </c>
      <c r="D59" s="4">
        <v>180.833333333333</v>
      </c>
      <c r="E59" s="4">
        <v>4</v>
      </c>
      <c r="F59" s="2">
        <v>176</v>
      </c>
      <c r="G59" s="5">
        <v>-0.116646989374262</v>
      </c>
      <c r="H59" s="2">
        <v>9000</v>
      </c>
      <c r="I59" s="2">
        <v>4729</v>
      </c>
      <c r="J59" s="2">
        <v>250800</v>
      </c>
      <c r="K59" s="2">
        <f t="shared" si="0"/>
        <v>1504800</v>
      </c>
    </row>
    <row r="60" ht="17.25" spans="2:11">
      <c r="B60" s="2">
        <v>58</v>
      </c>
      <c r="C60" s="3">
        <v>20</v>
      </c>
      <c r="D60" s="4">
        <v>180.833333333333</v>
      </c>
      <c r="E60" s="4">
        <v>4</v>
      </c>
      <c r="F60" s="2">
        <v>180</v>
      </c>
      <c r="G60" s="5">
        <v>-0.111681449330063</v>
      </c>
      <c r="H60" s="2">
        <v>9000</v>
      </c>
      <c r="I60" s="2">
        <v>4909</v>
      </c>
      <c r="J60" s="2">
        <v>259800</v>
      </c>
      <c r="K60" s="2">
        <f t="shared" si="0"/>
        <v>1558800</v>
      </c>
    </row>
    <row r="61" ht="17.25" spans="2:11">
      <c r="B61" s="2">
        <v>59</v>
      </c>
      <c r="C61" s="3">
        <v>20</v>
      </c>
      <c r="D61" s="4">
        <v>180.833333333333</v>
      </c>
      <c r="E61" s="4">
        <v>4</v>
      </c>
      <c r="F61" s="2">
        <v>184</v>
      </c>
      <c r="G61" s="5">
        <v>-0.107976794778826</v>
      </c>
      <c r="H61" s="2">
        <v>9600</v>
      </c>
      <c r="I61" s="2">
        <v>5093</v>
      </c>
      <c r="J61" s="2">
        <v>269400</v>
      </c>
      <c r="K61" s="2">
        <f t="shared" si="0"/>
        <v>1616400</v>
      </c>
    </row>
    <row r="62" ht="17.25" spans="2:11">
      <c r="B62" s="2">
        <v>60</v>
      </c>
      <c r="C62" s="3">
        <v>27</v>
      </c>
      <c r="D62" s="4">
        <v>174.761904761905</v>
      </c>
      <c r="E62" s="4">
        <v>4</v>
      </c>
      <c r="F62" s="2">
        <v>188</v>
      </c>
      <c r="G62" s="5">
        <v>-0.106796407185629</v>
      </c>
      <c r="H62" s="2">
        <v>9600</v>
      </c>
      <c r="I62" s="2">
        <v>5281</v>
      </c>
      <c r="J62" s="2">
        <v>279000</v>
      </c>
      <c r="K62" s="2">
        <f t="shared" si="0"/>
        <v>1674000</v>
      </c>
    </row>
    <row r="63" ht="17.25" spans="2:11">
      <c r="B63" s="2">
        <v>61</v>
      </c>
      <c r="C63" s="3">
        <v>27</v>
      </c>
      <c r="D63" s="4">
        <v>174.761904761905</v>
      </c>
      <c r="E63" s="4">
        <v>4</v>
      </c>
      <c r="F63" s="2">
        <v>192</v>
      </c>
      <c r="G63" s="5">
        <v>-0.106508135168962</v>
      </c>
      <c r="H63" s="2">
        <v>9600</v>
      </c>
      <c r="I63" s="2">
        <v>5473</v>
      </c>
      <c r="J63" s="2">
        <v>288600</v>
      </c>
      <c r="K63" s="2">
        <f t="shared" si="0"/>
        <v>1731600</v>
      </c>
    </row>
    <row r="64" ht="17.25" spans="2:11">
      <c r="B64" s="2">
        <v>62</v>
      </c>
      <c r="C64" s="3">
        <v>27</v>
      </c>
      <c r="D64" s="4">
        <v>174.761904761905</v>
      </c>
      <c r="E64" s="4">
        <v>4</v>
      </c>
      <c r="F64" s="2">
        <v>196</v>
      </c>
      <c r="G64" s="5">
        <v>-0.107020643481496</v>
      </c>
      <c r="H64" s="2">
        <v>10200</v>
      </c>
      <c r="I64" s="2">
        <v>5669</v>
      </c>
      <c r="J64" s="2">
        <v>298800</v>
      </c>
      <c r="K64" s="2">
        <f t="shared" si="0"/>
        <v>1792800</v>
      </c>
    </row>
    <row r="65" ht="17.25" spans="2:11">
      <c r="B65" s="2">
        <v>63</v>
      </c>
      <c r="C65" s="3">
        <v>27</v>
      </c>
      <c r="D65" s="4">
        <v>174.761904761905</v>
      </c>
      <c r="E65" s="4">
        <v>4</v>
      </c>
      <c r="F65" s="2">
        <v>200</v>
      </c>
      <c r="G65" s="5">
        <v>-0.108254653358511</v>
      </c>
      <c r="H65" s="2">
        <v>10200</v>
      </c>
      <c r="I65" s="2">
        <v>5869</v>
      </c>
      <c r="J65" s="2">
        <v>309000</v>
      </c>
      <c r="K65" s="2">
        <f t="shared" si="0"/>
        <v>1854000</v>
      </c>
    </row>
    <row r="66" ht="17.25" spans="2:11">
      <c r="B66" s="2">
        <v>64</v>
      </c>
      <c r="C66" s="3">
        <v>27</v>
      </c>
      <c r="D66" s="4">
        <v>174.761904761905</v>
      </c>
      <c r="E66" s="4">
        <v>4</v>
      </c>
      <c r="F66" s="2">
        <v>204</v>
      </c>
      <c r="G66" s="5">
        <v>-0.110141016713092</v>
      </c>
      <c r="H66" s="2">
        <v>10200</v>
      </c>
      <c r="I66" s="2">
        <v>6073</v>
      </c>
      <c r="J66" s="2">
        <v>319200</v>
      </c>
      <c r="K66" s="2">
        <f t="shared" si="0"/>
        <v>1915200</v>
      </c>
    </row>
    <row r="67" ht="17.25" spans="2:11">
      <c r="B67" s="2">
        <v>65</v>
      </c>
      <c r="C67" s="3">
        <v>27</v>
      </c>
      <c r="D67" s="4">
        <v>174.761904761905</v>
      </c>
      <c r="E67" s="4">
        <v>4</v>
      </c>
      <c r="F67" s="2">
        <v>208</v>
      </c>
      <c r="G67" s="5">
        <v>-0.112619148038803</v>
      </c>
      <c r="H67" s="2">
        <v>10800</v>
      </c>
      <c r="I67" s="2">
        <v>6281</v>
      </c>
      <c r="J67" s="2">
        <v>330000</v>
      </c>
      <c r="K67" s="2">
        <f t="shared" ref="K67:K130" si="1">J67*6</f>
        <v>1980000</v>
      </c>
    </row>
    <row r="68" ht="17.25" spans="2:11">
      <c r="B68" s="2">
        <v>66</v>
      </c>
      <c r="C68" s="3">
        <v>27</v>
      </c>
      <c r="D68" s="4">
        <v>174.761904761905</v>
      </c>
      <c r="E68" s="4">
        <v>4</v>
      </c>
      <c r="F68" s="2">
        <v>212</v>
      </c>
      <c r="G68" s="5">
        <v>-0.115635738831616</v>
      </c>
      <c r="H68" s="2">
        <v>10800</v>
      </c>
      <c r="I68" s="2">
        <v>6493</v>
      </c>
      <c r="J68" s="2">
        <v>340800</v>
      </c>
      <c r="K68" s="2">
        <f t="shared" si="1"/>
        <v>2044800</v>
      </c>
    </row>
    <row r="69" ht="17.25" spans="2:11">
      <c r="B69" s="2">
        <v>67</v>
      </c>
      <c r="C69" s="3">
        <v>34</v>
      </c>
      <c r="D69" s="4">
        <v>244.666666666667</v>
      </c>
      <c r="E69" s="4">
        <v>4</v>
      </c>
      <c r="F69" s="2">
        <v>216</v>
      </c>
      <c r="G69" s="5">
        <v>-0.10624381664285</v>
      </c>
      <c r="H69" s="2">
        <v>10800</v>
      </c>
      <c r="I69" s="2">
        <v>6709</v>
      </c>
      <c r="J69" s="2">
        <v>351600</v>
      </c>
      <c r="K69" s="2">
        <f t="shared" si="1"/>
        <v>2109600</v>
      </c>
    </row>
    <row r="70" ht="17.25" spans="2:11">
      <c r="B70" s="2">
        <v>68</v>
      </c>
      <c r="C70" s="3">
        <v>34</v>
      </c>
      <c r="D70" s="4">
        <v>244.666666666667</v>
      </c>
      <c r="E70" s="4">
        <v>4</v>
      </c>
      <c r="F70" s="2">
        <v>220</v>
      </c>
      <c r="G70" s="5">
        <v>-0.098214285714286</v>
      </c>
      <c r="H70" s="2">
        <v>11400</v>
      </c>
      <c r="I70" s="2">
        <v>6929</v>
      </c>
      <c r="J70" s="2">
        <v>363000</v>
      </c>
      <c r="K70" s="2">
        <f t="shared" si="1"/>
        <v>2178000</v>
      </c>
    </row>
    <row r="71" ht="17.25" spans="2:11">
      <c r="B71" s="2">
        <v>69</v>
      </c>
      <c r="C71" s="3">
        <v>34</v>
      </c>
      <c r="D71" s="4">
        <v>244.666666666667</v>
      </c>
      <c r="E71" s="4">
        <v>4</v>
      </c>
      <c r="F71" s="2">
        <v>224</v>
      </c>
      <c r="G71" s="5">
        <v>-0.091394568202625</v>
      </c>
      <c r="H71" s="2">
        <v>11400</v>
      </c>
      <c r="I71" s="2">
        <v>7153</v>
      </c>
      <c r="J71" s="2">
        <v>374400</v>
      </c>
      <c r="K71" s="2">
        <f t="shared" si="1"/>
        <v>2246400</v>
      </c>
    </row>
    <row r="72" ht="17.25" spans="2:11">
      <c r="B72" s="2">
        <v>70</v>
      </c>
      <c r="C72" s="3">
        <v>34</v>
      </c>
      <c r="D72" s="4">
        <v>244.666666666667</v>
      </c>
      <c r="E72" s="4">
        <v>4</v>
      </c>
      <c r="F72" s="2">
        <v>228</v>
      </c>
      <c r="G72" s="5">
        <v>-0.085654049813689</v>
      </c>
      <c r="H72" s="2">
        <v>11400</v>
      </c>
      <c r="I72" s="2">
        <v>7381</v>
      </c>
      <c r="J72" s="2">
        <v>385800</v>
      </c>
      <c r="K72" s="2">
        <f t="shared" si="1"/>
        <v>2314800</v>
      </c>
    </row>
    <row r="73" ht="17.25" spans="2:11">
      <c r="B73" s="2">
        <v>71</v>
      </c>
      <c r="C73" s="3">
        <v>34</v>
      </c>
      <c r="D73" s="4">
        <v>244.666666666667</v>
      </c>
      <c r="E73" s="4">
        <v>4</v>
      </c>
      <c r="F73" s="2">
        <v>232</v>
      </c>
      <c r="G73" s="5">
        <v>-0.08088026502603</v>
      </c>
      <c r="H73" s="2">
        <v>12000</v>
      </c>
      <c r="I73" s="2">
        <v>7613</v>
      </c>
      <c r="J73" s="2">
        <v>397800</v>
      </c>
      <c r="K73" s="2">
        <f t="shared" si="1"/>
        <v>2386800</v>
      </c>
    </row>
    <row r="74" ht="17.25" spans="2:11">
      <c r="B74" s="2">
        <v>72</v>
      </c>
      <c r="C74" s="3">
        <v>41</v>
      </c>
      <c r="D74" s="4">
        <v>244.666666666667</v>
      </c>
      <c r="E74" s="4">
        <v>4</v>
      </c>
      <c r="F74" s="2">
        <v>236</v>
      </c>
      <c r="G74" s="5">
        <v>-0.076975850713502</v>
      </c>
      <c r="H74" s="2">
        <v>12000</v>
      </c>
      <c r="I74" s="2">
        <v>7849</v>
      </c>
      <c r="J74" s="2">
        <v>409800</v>
      </c>
      <c r="K74" s="2">
        <f t="shared" si="1"/>
        <v>2458800</v>
      </c>
    </row>
    <row r="75" ht="17.25" spans="2:11">
      <c r="B75" s="2">
        <v>73</v>
      </c>
      <c r="C75" s="3">
        <v>41</v>
      </c>
      <c r="D75" s="4">
        <v>244.666666666667</v>
      </c>
      <c r="E75" s="4">
        <v>4</v>
      </c>
      <c r="F75" s="2">
        <v>240</v>
      </c>
      <c r="G75" s="5">
        <v>-0.073856093459598</v>
      </c>
      <c r="H75" s="2">
        <v>12000</v>
      </c>
      <c r="I75" s="2">
        <v>8089</v>
      </c>
      <c r="J75" s="2">
        <v>421800</v>
      </c>
      <c r="K75" s="2">
        <f t="shared" si="1"/>
        <v>2530800</v>
      </c>
    </row>
    <row r="76" ht="17.25" spans="2:11">
      <c r="B76" s="2">
        <v>74</v>
      </c>
      <c r="C76" s="3">
        <v>41</v>
      </c>
      <c r="D76" s="4">
        <v>244.666666666667</v>
      </c>
      <c r="E76" s="4">
        <v>4</v>
      </c>
      <c r="F76" s="2">
        <v>244</v>
      </c>
      <c r="G76" s="5">
        <v>-0.071446939825133</v>
      </c>
      <c r="H76" s="2">
        <v>12600</v>
      </c>
      <c r="I76" s="2">
        <v>8333</v>
      </c>
      <c r="J76" s="2">
        <v>434400</v>
      </c>
      <c r="K76" s="2">
        <f t="shared" si="1"/>
        <v>2606400</v>
      </c>
    </row>
    <row r="77" ht="17.25" spans="2:11">
      <c r="B77" s="2">
        <v>75</v>
      </c>
      <c r="C77" s="3">
        <v>41</v>
      </c>
      <c r="D77" s="4">
        <v>244.666666666667</v>
      </c>
      <c r="E77" s="4">
        <v>4</v>
      </c>
      <c r="F77" s="2">
        <v>248</v>
      </c>
      <c r="G77" s="5">
        <v>-0.069683370730491</v>
      </c>
      <c r="H77" s="2">
        <v>12600</v>
      </c>
      <c r="I77" s="2">
        <v>8581</v>
      </c>
      <c r="J77" s="2">
        <v>447000</v>
      </c>
      <c r="K77" s="2">
        <f t="shared" si="1"/>
        <v>2682000</v>
      </c>
    </row>
    <row r="78" ht="17.25" spans="2:11">
      <c r="B78" s="2">
        <v>76</v>
      </c>
      <c r="C78" s="3">
        <v>41</v>
      </c>
      <c r="D78" s="4">
        <v>244.666666666667</v>
      </c>
      <c r="E78" s="4">
        <v>4</v>
      </c>
      <c r="F78" s="2">
        <v>252</v>
      </c>
      <c r="G78" s="5">
        <v>-0.068508064516129</v>
      </c>
      <c r="H78" s="2">
        <v>12600</v>
      </c>
      <c r="I78" s="2">
        <v>8833</v>
      </c>
      <c r="J78" s="2">
        <v>459600</v>
      </c>
      <c r="K78" s="2">
        <f t="shared" si="1"/>
        <v>2757600</v>
      </c>
    </row>
    <row r="79" ht="17.25" spans="2:11">
      <c r="B79" s="2">
        <v>77</v>
      </c>
      <c r="C79" s="3">
        <v>48</v>
      </c>
      <c r="D79" s="4">
        <v>244.666666666667</v>
      </c>
      <c r="E79" s="4">
        <v>4</v>
      </c>
      <c r="F79" s="2">
        <v>256</v>
      </c>
      <c r="G79" s="5">
        <v>-0.067870290592935</v>
      </c>
      <c r="H79" s="2">
        <v>13200</v>
      </c>
      <c r="I79" s="2">
        <v>9089</v>
      </c>
      <c r="J79" s="2">
        <v>472800</v>
      </c>
      <c r="K79" s="2">
        <f t="shared" si="1"/>
        <v>2836800</v>
      </c>
    </row>
    <row r="80" ht="17.25" spans="2:11">
      <c r="B80" s="2">
        <v>78</v>
      </c>
      <c r="C80" s="3">
        <v>48</v>
      </c>
      <c r="D80" s="4">
        <v>244.666666666667</v>
      </c>
      <c r="E80" s="4">
        <v>4</v>
      </c>
      <c r="F80" s="2">
        <v>260</v>
      </c>
      <c r="G80" s="5">
        <v>-0.06772498857926</v>
      </c>
      <c r="H80" s="2">
        <v>13200</v>
      </c>
      <c r="I80" s="2">
        <v>9349</v>
      </c>
      <c r="J80" s="2">
        <v>486000</v>
      </c>
      <c r="K80" s="2">
        <f t="shared" si="1"/>
        <v>2916000</v>
      </c>
    </row>
    <row r="81" ht="17.25" spans="2:11">
      <c r="B81" s="2">
        <v>79</v>
      </c>
      <c r="C81" s="3">
        <v>48</v>
      </c>
      <c r="D81" s="4">
        <v>244.666666666667</v>
      </c>
      <c r="E81" s="4">
        <v>4</v>
      </c>
      <c r="F81" s="2">
        <v>264</v>
      </c>
      <c r="G81" s="5">
        <v>-0.068031997629806</v>
      </c>
      <c r="H81" s="2">
        <v>13200</v>
      </c>
      <c r="I81" s="2">
        <v>9613</v>
      </c>
      <c r="J81" s="2">
        <v>499200</v>
      </c>
      <c r="K81" s="2">
        <f t="shared" si="1"/>
        <v>2995200</v>
      </c>
    </row>
    <row r="82" ht="17.25" spans="2:11">
      <c r="B82" s="2">
        <v>80</v>
      </c>
      <c r="C82" s="3">
        <v>48</v>
      </c>
      <c r="D82" s="4">
        <v>244.666666666667</v>
      </c>
      <c r="E82" s="4">
        <v>4</v>
      </c>
      <c r="F82" s="2">
        <v>268</v>
      </c>
      <c r="G82" s="5">
        <v>-0.068755408133834</v>
      </c>
      <c r="H82" s="2">
        <v>13800</v>
      </c>
      <c r="I82" s="2">
        <v>9881</v>
      </c>
      <c r="J82" s="2">
        <v>513000</v>
      </c>
      <c r="K82" s="2">
        <f t="shared" si="1"/>
        <v>3078000</v>
      </c>
    </row>
    <row r="83" ht="17.25" spans="2:11">
      <c r="B83" s="2">
        <v>81</v>
      </c>
      <c r="C83" s="3">
        <v>48</v>
      </c>
      <c r="D83" s="4">
        <v>244.666666666667</v>
      </c>
      <c r="E83" s="4">
        <v>4</v>
      </c>
      <c r="F83" s="2">
        <v>272</v>
      </c>
      <c r="G83" s="5">
        <v>-0.069863013698631</v>
      </c>
      <c r="H83" s="2">
        <v>13800</v>
      </c>
      <c r="I83" s="2">
        <v>10153</v>
      </c>
      <c r="J83" s="2">
        <v>526800</v>
      </c>
      <c r="K83" s="2">
        <f t="shared" si="1"/>
        <v>3160800</v>
      </c>
    </row>
    <row r="84" ht="17.25" spans="2:11">
      <c r="B84" s="2">
        <v>82</v>
      </c>
      <c r="C84" s="3">
        <v>55</v>
      </c>
      <c r="D84" s="4">
        <v>244.666666666667</v>
      </c>
      <c r="E84" s="4">
        <v>4</v>
      </c>
      <c r="F84" s="2">
        <v>276</v>
      </c>
      <c r="G84" s="5">
        <v>-0.071325845774552</v>
      </c>
      <c r="H84" s="2">
        <v>13800</v>
      </c>
      <c r="I84" s="2">
        <v>10429</v>
      </c>
      <c r="J84" s="2">
        <v>540600</v>
      </c>
      <c r="K84" s="2">
        <f t="shared" si="1"/>
        <v>3243600</v>
      </c>
    </row>
    <row r="85" ht="17.25" spans="2:11">
      <c r="B85" s="2">
        <v>83</v>
      </c>
      <c r="C85" s="3">
        <v>55</v>
      </c>
      <c r="D85" s="4">
        <v>244.666666666667</v>
      </c>
      <c r="E85" s="4">
        <v>4</v>
      </c>
      <c r="F85" s="2">
        <v>280</v>
      </c>
      <c r="G85" s="5">
        <v>-0.073117776738594</v>
      </c>
      <c r="H85" s="2">
        <v>14400</v>
      </c>
      <c r="I85" s="2">
        <v>10709</v>
      </c>
      <c r="J85" s="2">
        <v>555000</v>
      </c>
      <c r="K85" s="2">
        <f t="shared" si="1"/>
        <v>3330000</v>
      </c>
    </row>
    <row r="86" ht="17.25" spans="2:11">
      <c r="B86" s="2">
        <v>84</v>
      </c>
      <c r="C86" s="3">
        <v>55</v>
      </c>
      <c r="D86" s="4">
        <v>244.666666666667</v>
      </c>
      <c r="E86" s="4">
        <v>4</v>
      </c>
      <c r="F86" s="2">
        <v>284</v>
      </c>
      <c r="G86" s="5">
        <v>-0.075215179968702</v>
      </c>
      <c r="H86" s="2">
        <v>14400</v>
      </c>
      <c r="I86" s="2">
        <v>10993</v>
      </c>
      <c r="J86" s="2">
        <v>569400</v>
      </c>
      <c r="K86" s="2">
        <f t="shared" si="1"/>
        <v>3416400</v>
      </c>
    </row>
    <row r="87" ht="17.25" spans="2:11">
      <c r="B87" s="2">
        <v>85</v>
      </c>
      <c r="C87" s="3">
        <v>55</v>
      </c>
      <c r="D87" s="4">
        <v>244.666666666667</v>
      </c>
      <c r="E87" s="4">
        <v>4</v>
      </c>
      <c r="F87" s="2">
        <v>288</v>
      </c>
      <c r="G87" s="5">
        <v>-0.077596637585175</v>
      </c>
      <c r="H87" s="2">
        <v>14400</v>
      </c>
      <c r="I87" s="2">
        <v>11281</v>
      </c>
      <c r="J87" s="2">
        <v>583800</v>
      </c>
      <c r="K87" s="2">
        <f t="shared" si="1"/>
        <v>3502800</v>
      </c>
    </row>
    <row r="88" ht="17.25" spans="2:11">
      <c r="B88" s="2">
        <v>86</v>
      </c>
      <c r="C88" s="3">
        <v>55</v>
      </c>
      <c r="D88" s="4">
        <v>244.666666666667</v>
      </c>
      <c r="E88" s="4">
        <v>5</v>
      </c>
      <c r="F88" s="2">
        <v>293</v>
      </c>
      <c r="G88" s="5">
        <v>-0.080336029869322</v>
      </c>
      <c r="H88" s="2">
        <v>15000</v>
      </c>
      <c r="I88" s="2">
        <v>11574</v>
      </c>
      <c r="J88" s="2">
        <v>598800</v>
      </c>
      <c r="K88" s="2">
        <f t="shared" si="1"/>
        <v>3592800</v>
      </c>
    </row>
    <row r="89" ht="17.25" spans="2:11">
      <c r="B89" s="2">
        <v>87</v>
      </c>
      <c r="C89" s="3">
        <v>62</v>
      </c>
      <c r="D89" s="4">
        <v>405.555555555556</v>
      </c>
      <c r="E89" s="4">
        <v>5</v>
      </c>
      <c r="F89" s="2">
        <v>298</v>
      </c>
      <c r="G89" s="5">
        <v>-0.067732587188968</v>
      </c>
      <c r="H89" s="2">
        <v>15000</v>
      </c>
      <c r="I89" s="2">
        <v>11872</v>
      </c>
      <c r="J89" s="2">
        <v>613800</v>
      </c>
      <c r="K89" s="2">
        <f t="shared" si="1"/>
        <v>3682800</v>
      </c>
    </row>
    <row r="90" ht="17.25" spans="2:11">
      <c r="B90" s="2">
        <v>88</v>
      </c>
      <c r="C90" s="3">
        <v>62</v>
      </c>
      <c r="D90" s="4">
        <v>405.555555555556</v>
      </c>
      <c r="E90" s="4">
        <v>5</v>
      </c>
      <c r="F90" s="2">
        <v>303</v>
      </c>
      <c r="G90" s="5">
        <v>-0.056450057848053</v>
      </c>
      <c r="H90" s="2">
        <v>15600</v>
      </c>
      <c r="I90" s="2">
        <v>12175</v>
      </c>
      <c r="J90" s="2">
        <v>629400</v>
      </c>
      <c r="K90" s="2">
        <f t="shared" si="1"/>
        <v>3776400</v>
      </c>
    </row>
    <row r="91" ht="17.25" spans="2:11">
      <c r="B91" s="2">
        <v>89</v>
      </c>
      <c r="C91" s="3">
        <v>62</v>
      </c>
      <c r="D91" s="4">
        <v>405.555555555556</v>
      </c>
      <c r="E91" s="4">
        <v>5</v>
      </c>
      <c r="F91" s="2">
        <v>308</v>
      </c>
      <c r="G91" s="5">
        <v>-0.046353730092205</v>
      </c>
      <c r="H91" s="2">
        <v>15600</v>
      </c>
      <c r="I91" s="2">
        <v>12483</v>
      </c>
      <c r="J91" s="2">
        <v>645000</v>
      </c>
      <c r="K91" s="2">
        <f t="shared" si="1"/>
        <v>3870000</v>
      </c>
    </row>
    <row r="92" ht="17.25" spans="2:11">
      <c r="B92" s="2">
        <v>90</v>
      </c>
      <c r="C92" s="3">
        <v>90</v>
      </c>
      <c r="D92" s="4">
        <v>428.787878787879</v>
      </c>
      <c r="E92" s="4">
        <v>8</v>
      </c>
      <c r="F92" s="2">
        <v>316</v>
      </c>
      <c r="G92" s="5">
        <v>-0.035619360533543</v>
      </c>
      <c r="H92" s="2">
        <v>16200</v>
      </c>
      <c r="I92" s="2">
        <v>12799</v>
      </c>
      <c r="J92" s="2">
        <v>661200</v>
      </c>
      <c r="K92" s="2">
        <f t="shared" si="1"/>
        <v>3967200</v>
      </c>
    </row>
    <row r="93" ht="17.25" spans="2:11">
      <c r="B93" s="2">
        <v>91</v>
      </c>
      <c r="C93" s="3">
        <v>90</v>
      </c>
      <c r="D93" s="4">
        <v>428.787878787879</v>
      </c>
      <c r="E93" s="4">
        <v>8</v>
      </c>
      <c r="F93" s="2">
        <v>324</v>
      </c>
      <c r="G93" s="5">
        <v>-0.026230479395247</v>
      </c>
      <c r="H93" s="2">
        <v>16200</v>
      </c>
      <c r="I93" s="2">
        <v>13123</v>
      </c>
      <c r="J93" s="2">
        <v>677400</v>
      </c>
      <c r="K93" s="2">
        <f t="shared" si="1"/>
        <v>4064400</v>
      </c>
    </row>
    <row r="94" ht="17.25" spans="2:11">
      <c r="B94" s="2">
        <v>92</v>
      </c>
      <c r="C94" s="3">
        <v>90</v>
      </c>
      <c r="D94" s="4">
        <v>428.787878787879</v>
      </c>
      <c r="E94" s="4">
        <v>8</v>
      </c>
      <c r="F94" s="2">
        <v>332</v>
      </c>
      <c r="G94" s="5">
        <v>-0.018056128765993</v>
      </c>
      <c r="H94" s="2">
        <v>16800</v>
      </c>
      <c r="I94" s="2">
        <v>13455</v>
      </c>
      <c r="J94" s="2">
        <v>694200</v>
      </c>
      <c r="K94" s="2">
        <f t="shared" si="1"/>
        <v>4165200</v>
      </c>
    </row>
    <row r="95" ht="17.25" spans="2:11">
      <c r="B95" s="2">
        <v>93</v>
      </c>
      <c r="C95" s="3">
        <v>90</v>
      </c>
      <c r="D95" s="4">
        <v>428.787878787879</v>
      </c>
      <c r="E95" s="4">
        <v>8</v>
      </c>
      <c r="F95" s="2">
        <v>340</v>
      </c>
      <c r="G95" s="5">
        <v>-0.010981811721336</v>
      </c>
      <c r="H95" s="2">
        <v>17400</v>
      </c>
      <c r="I95" s="2">
        <v>13795</v>
      </c>
      <c r="J95" s="2">
        <v>711600</v>
      </c>
      <c r="K95" s="2">
        <f t="shared" si="1"/>
        <v>4269600</v>
      </c>
    </row>
    <row r="96" ht="17.25" spans="2:11">
      <c r="B96" s="2">
        <v>94</v>
      </c>
      <c r="C96" s="3">
        <v>90</v>
      </c>
      <c r="D96" s="4">
        <v>428.787878787879</v>
      </c>
      <c r="E96" s="4">
        <v>8</v>
      </c>
      <c r="F96" s="2">
        <v>348</v>
      </c>
      <c r="G96" s="5">
        <v>-0.004906984755836</v>
      </c>
      <c r="H96" s="2">
        <v>17400</v>
      </c>
      <c r="I96" s="2">
        <v>14143</v>
      </c>
      <c r="J96" s="2">
        <v>729000</v>
      </c>
      <c r="K96" s="2">
        <f t="shared" si="1"/>
        <v>4374000</v>
      </c>
    </row>
    <row r="97" ht="17.25" spans="2:11">
      <c r="B97" s="2">
        <v>95</v>
      </c>
      <c r="C97" s="3">
        <v>90</v>
      </c>
      <c r="D97" s="4">
        <v>428.787878787879</v>
      </c>
      <c r="E97" s="4">
        <v>8</v>
      </c>
      <c r="F97" s="2">
        <v>356</v>
      </c>
      <c r="G97" s="5">
        <v>0.000257004952046</v>
      </c>
      <c r="H97" s="2">
        <v>18000</v>
      </c>
      <c r="I97" s="2">
        <v>14499</v>
      </c>
      <c r="J97" s="2">
        <v>747000</v>
      </c>
      <c r="K97" s="2">
        <f t="shared" si="1"/>
        <v>4482000</v>
      </c>
    </row>
    <row r="98" ht="17.25" spans="2:11">
      <c r="B98" s="2">
        <v>96</v>
      </c>
      <c r="C98" s="3">
        <v>90</v>
      </c>
      <c r="D98" s="4">
        <v>428.787878787879</v>
      </c>
      <c r="E98" s="4">
        <v>8</v>
      </c>
      <c r="F98" s="2">
        <v>364</v>
      </c>
      <c r="G98" s="5">
        <v>0.004588626862036</v>
      </c>
      <c r="H98" s="2">
        <v>18600</v>
      </c>
      <c r="I98" s="2">
        <v>14863</v>
      </c>
      <c r="J98" s="2">
        <v>765600</v>
      </c>
      <c r="K98" s="2">
        <f t="shared" si="1"/>
        <v>4593600</v>
      </c>
    </row>
    <row r="99" ht="17.25" spans="2:11">
      <c r="B99" s="2">
        <v>97</v>
      </c>
      <c r="C99" s="3">
        <v>90</v>
      </c>
      <c r="D99" s="4">
        <v>428.787878787879</v>
      </c>
      <c r="E99" s="4">
        <v>8</v>
      </c>
      <c r="F99" s="2">
        <v>372</v>
      </c>
      <c r="G99" s="5">
        <v>0.008157588431414</v>
      </c>
      <c r="H99" s="2">
        <v>18600</v>
      </c>
      <c r="I99" s="2">
        <v>15235</v>
      </c>
      <c r="J99" s="2">
        <v>784200</v>
      </c>
      <c r="K99" s="2">
        <f t="shared" si="1"/>
        <v>4705200</v>
      </c>
    </row>
    <row r="100" ht="17.25" spans="2:11">
      <c r="B100" s="2">
        <v>98</v>
      </c>
      <c r="C100" s="3">
        <v>90</v>
      </c>
      <c r="D100" s="4">
        <v>428.787878787879</v>
      </c>
      <c r="E100" s="4">
        <v>8</v>
      </c>
      <c r="F100" s="2">
        <v>380</v>
      </c>
      <c r="G100" s="5">
        <v>0.011026024873329</v>
      </c>
      <c r="H100" s="2">
        <v>19200</v>
      </c>
      <c r="I100" s="2">
        <v>15615</v>
      </c>
      <c r="J100" s="2">
        <v>803400</v>
      </c>
      <c r="K100" s="2">
        <f t="shared" si="1"/>
        <v>4820400</v>
      </c>
    </row>
    <row r="101" ht="17.25" spans="2:11">
      <c r="B101" s="2">
        <v>99</v>
      </c>
      <c r="C101" s="3">
        <v>90</v>
      </c>
      <c r="D101" s="4">
        <v>428.787878787879</v>
      </c>
      <c r="E101" s="4">
        <v>8</v>
      </c>
      <c r="F101" s="2">
        <v>388</v>
      </c>
      <c r="G101" s="5">
        <v>0.013249500177506</v>
      </c>
      <c r="H101" s="2">
        <v>19800</v>
      </c>
      <c r="I101" s="2">
        <v>16003</v>
      </c>
      <c r="J101" s="2">
        <v>823200</v>
      </c>
      <c r="K101" s="2">
        <f t="shared" si="1"/>
        <v>4939200</v>
      </c>
    </row>
    <row r="102" ht="17.25" spans="2:11">
      <c r="B102" s="2">
        <v>100</v>
      </c>
      <c r="C102" s="3">
        <v>90</v>
      </c>
      <c r="D102" s="4">
        <v>428.787878787879</v>
      </c>
      <c r="E102" s="4">
        <v>8</v>
      </c>
      <c r="F102" s="2">
        <v>396</v>
      </c>
      <c r="G102" s="5">
        <v>0.014877853424108</v>
      </c>
      <c r="H102" s="2">
        <v>19800</v>
      </c>
      <c r="I102" s="2">
        <v>16399</v>
      </c>
      <c r="J102" s="2">
        <v>843000</v>
      </c>
      <c r="K102" s="2">
        <f t="shared" si="1"/>
        <v>5058000</v>
      </c>
    </row>
    <row r="103" ht="17.25" spans="2:11">
      <c r="B103" s="2">
        <v>101</v>
      </c>
      <c r="C103" s="3">
        <v>120</v>
      </c>
      <c r="D103" s="4">
        <v>841.666666666667</v>
      </c>
      <c r="E103" s="4">
        <v>8</v>
      </c>
      <c r="F103" s="2">
        <v>404</v>
      </c>
      <c r="G103" s="5">
        <v>0.039188030115314</v>
      </c>
      <c r="H103" s="2">
        <v>20400</v>
      </c>
      <c r="I103" s="2">
        <v>16803</v>
      </c>
      <c r="J103" s="2">
        <v>863400</v>
      </c>
      <c r="K103" s="2">
        <f t="shared" si="1"/>
        <v>5180400</v>
      </c>
    </row>
    <row r="104" ht="17.25" spans="2:11">
      <c r="B104" s="2">
        <v>102</v>
      </c>
      <c r="C104" s="3">
        <v>120</v>
      </c>
      <c r="D104" s="4">
        <v>841.666666666667</v>
      </c>
      <c r="E104" s="4">
        <v>8</v>
      </c>
      <c r="F104" s="2">
        <v>412</v>
      </c>
      <c r="G104" s="5">
        <v>0.060829241680305</v>
      </c>
      <c r="H104" s="2">
        <v>21000</v>
      </c>
      <c r="I104" s="2">
        <v>17215</v>
      </c>
      <c r="J104" s="2">
        <v>884400</v>
      </c>
      <c r="K104" s="2">
        <f t="shared" si="1"/>
        <v>5306400</v>
      </c>
    </row>
    <row r="105" ht="17.25" spans="2:11">
      <c r="B105" s="2">
        <v>103</v>
      </c>
      <c r="C105" s="3">
        <v>120</v>
      </c>
      <c r="D105" s="4">
        <v>841.666666666667</v>
      </c>
      <c r="E105" s="4">
        <v>8</v>
      </c>
      <c r="F105" s="2">
        <v>420</v>
      </c>
      <c r="G105" s="5">
        <v>0.080153003564287</v>
      </c>
      <c r="H105" s="2">
        <v>21000</v>
      </c>
      <c r="I105" s="2">
        <v>17635</v>
      </c>
      <c r="J105" s="2">
        <v>905400</v>
      </c>
      <c r="K105" s="2">
        <f t="shared" si="1"/>
        <v>5432400</v>
      </c>
    </row>
    <row r="106" ht="17.25" spans="2:11">
      <c r="B106" s="2">
        <v>104</v>
      </c>
      <c r="C106" s="3">
        <v>120</v>
      </c>
      <c r="D106" s="4">
        <v>841.666666666667</v>
      </c>
      <c r="E106" s="4">
        <v>8</v>
      </c>
      <c r="F106" s="2">
        <v>428</v>
      </c>
      <c r="G106" s="5">
        <v>0.097451698867421</v>
      </c>
      <c r="H106" s="2">
        <v>21600</v>
      </c>
      <c r="I106" s="2">
        <v>18063</v>
      </c>
      <c r="J106" s="2">
        <v>927000</v>
      </c>
      <c r="K106" s="2">
        <f t="shared" si="1"/>
        <v>5562000</v>
      </c>
    </row>
    <row r="107" ht="17.25" spans="2:11">
      <c r="B107" s="2">
        <v>105</v>
      </c>
      <c r="C107" s="3">
        <v>120</v>
      </c>
      <c r="D107" s="4">
        <v>841.666666666667</v>
      </c>
      <c r="E107" s="4">
        <v>8</v>
      </c>
      <c r="F107" s="2">
        <v>436</v>
      </c>
      <c r="G107" s="5">
        <v>0.112970510668904</v>
      </c>
      <c r="H107" s="2">
        <v>22200</v>
      </c>
      <c r="I107" s="2">
        <v>18499</v>
      </c>
      <c r="J107" s="2">
        <v>949200</v>
      </c>
      <c r="K107" s="2">
        <f t="shared" si="1"/>
        <v>5695200</v>
      </c>
    </row>
    <row r="108" ht="17.25" spans="2:11">
      <c r="B108" s="2">
        <v>106</v>
      </c>
      <c r="C108" s="3">
        <v>120</v>
      </c>
      <c r="D108" s="4">
        <v>841.666666666667</v>
      </c>
      <c r="E108" s="4">
        <v>8</v>
      </c>
      <c r="F108" s="2">
        <v>444</v>
      </c>
      <c r="G108" s="5">
        <v>0.126916577047165</v>
      </c>
      <c r="H108" s="2">
        <v>22200</v>
      </c>
      <c r="I108" s="2">
        <v>18943</v>
      </c>
      <c r="J108" s="2">
        <v>971400</v>
      </c>
      <c r="K108" s="2">
        <f t="shared" si="1"/>
        <v>5828400</v>
      </c>
    </row>
    <row r="109" ht="17.25" spans="2:11">
      <c r="B109" s="2">
        <v>107</v>
      </c>
      <c r="C109" s="3">
        <v>150</v>
      </c>
      <c r="D109" s="4">
        <v>841.666666666667</v>
      </c>
      <c r="E109" s="4">
        <v>8</v>
      </c>
      <c r="F109" s="2">
        <v>452</v>
      </c>
      <c r="G109" s="5">
        <v>0.139466094801449</v>
      </c>
      <c r="H109" s="2">
        <v>22800</v>
      </c>
      <c r="I109" s="2">
        <v>19395</v>
      </c>
      <c r="J109" s="2">
        <v>994200</v>
      </c>
      <c r="K109" s="2">
        <f t="shared" si="1"/>
        <v>5965200</v>
      </c>
    </row>
    <row r="110" ht="17.25" spans="2:11">
      <c r="B110" s="2">
        <v>108</v>
      </c>
      <c r="C110" s="3">
        <v>150</v>
      </c>
      <c r="D110" s="4">
        <v>833.333333333333</v>
      </c>
      <c r="E110" s="4">
        <v>8</v>
      </c>
      <c r="F110" s="2">
        <v>460</v>
      </c>
      <c r="G110" s="5">
        <v>0.150467089781074</v>
      </c>
      <c r="H110" s="2">
        <v>23400</v>
      </c>
      <c r="I110" s="2">
        <v>19855</v>
      </c>
      <c r="J110" s="2">
        <v>1017600</v>
      </c>
      <c r="K110" s="2">
        <f t="shared" si="1"/>
        <v>6105600</v>
      </c>
    </row>
    <row r="111" ht="17.25" spans="2:11">
      <c r="B111" s="2">
        <v>109</v>
      </c>
      <c r="C111" s="3">
        <v>150</v>
      </c>
      <c r="D111" s="4">
        <v>833.333333333333</v>
      </c>
      <c r="E111" s="4">
        <v>8</v>
      </c>
      <c r="F111" s="2">
        <v>468</v>
      </c>
      <c r="G111" s="5">
        <v>0.160380086758934</v>
      </c>
      <c r="H111" s="2">
        <v>23400</v>
      </c>
      <c r="I111" s="2">
        <v>20323</v>
      </c>
      <c r="J111" s="2">
        <v>1041000</v>
      </c>
      <c r="K111" s="2">
        <f t="shared" si="1"/>
        <v>6246000</v>
      </c>
    </row>
    <row r="112" ht="17.25" spans="2:11">
      <c r="B112" s="2">
        <v>110</v>
      </c>
      <c r="C112" s="3">
        <v>150</v>
      </c>
      <c r="D112" s="4">
        <v>833.333333333333</v>
      </c>
      <c r="E112" s="4">
        <v>8</v>
      </c>
      <c r="F112" s="2">
        <v>476</v>
      </c>
      <c r="G112" s="5">
        <v>0.169313718964254</v>
      </c>
      <c r="H112" s="2">
        <v>24000</v>
      </c>
      <c r="I112" s="2">
        <v>20799</v>
      </c>
      <c r="J112" s="2">
        <v>1065000</v>
      </c>
      <c r="K112" s="2">
        <f t="shared" si="1"/>
        <v>6390000</v>
      </c>
    </row>
    <row r="113" ht="17.25" spans="2:11">
      <c r="B113" s="2">
        <v>111</v>
      </c>
      <c r="C113" s="3">
        <v>150</v>
      </c>
      <c r="D113" s="4">
        <v>833.333333333333</v>
      </c>
      <c r="E113" s="4">
        <v>8</v>
      </c>
      <c r="F113" s="2">
        <v>484</v>
      </c>
      <c r="G113" s="5">
        <v>0.177362623204277</v>
      </c>
      <c r="H113" s="2">
        <v>24600</v>
      </c>
      <c r="I113" s="2">
        <v>21283</v>
      </c>
      <c r="J113" s="2">
        <v>1089600</v>
      </c>
      <c r="K113" s="2">
        <f t="shared" si="1"/>
        <v>6537600</v>
      </c>
    </row>
    <row r="114" ht="17.25" spans="2:11">
      <c r="B114" s="2">
        <v>112</v>
      </c>
      <c r="C114" s="3">
        <v>150</v>
      </c>
      <c r="D114" s="4">
        <v>833.333333333333</v>
      </c>
      <c r="E114" s="4">
        <v>8</v>
      </c>
      <c r="F114" s="2">
        <v>492</v>
      </c>
      <c r="G114" s="5">
        <v>0.18460962366598</v>
      </c>
      <c r="H114" s="2">
        <v>24600</v>
      </c>
      <c r="I114" s="2">
        <v>21775</v>
      </c>
      <c r="J114" s="2">
        <v>1114200</v>
      </c>
      <c r="K114" s="2">
        <f t="shared" si="1"/>
        <v>6685200</v>
      </c>
    </row>
    <row r="115" ht="17.25" spans="2:11">
      <c r="B115" s="2">
        <v>113</v>
      </c>
      <c r="C115" s="3">
        <v>190</v>
      </c>
      <c r="D115" s="4">
        <v>833.333333333333</v>
      </c>
      <c r="E115" s="4">
        <v>8</v>
      </c>
      <c r="F115" s="2">
        <v>500</v>
      </c>
      <c r="G115" s="5">
        <v>0.191127519215638</v>
      </c>
      <c r="H115" s="2">
        <v>25200</v>
      </c>
      <c r="I115" s="2">
        <v>22275</v>
      </c>
      <c r="J115" s="2">
        <v>1139400</v>
      </c>
      <c r="K115" s="2">
        <f t="shared" si="1"/>
        <v>6836400</v>
      </c>
    </row>
    <row r="116" ht="17.25" spans="2:11">
      <c r="B116" s="2">
        <v>114</v>
      </c>
      <c r="C116" s="3">
        <v>190</v>
      </c>
      <c r="D116" s="4">
        <v>833.333333333333</v>
      </c>
      <c r="E116" s="4">
        <v>8</v>
      </c>
      <c r="F116" s="2">
        <v>508</v>
      </c>
      <c r="G116" s="5">
        <v>0.196980555718733</v>
      </c>
      <c r="H116" s="2">
        <v>25800</v>
      </c>
      <c r="I116" s="2">
        <v>22783</v>
      </c>
      <c r="J116" s="2">
        <v>1165200</v>
      </c>
      <c r="K116" s="2">
        <f t="shared" si="1"/>
        <v>6991200</v>
      </c>
    </row>
    <row r="117" ht="17.25" spans="2:11">
      <c r="B117" s="2">
        <v>115</v>
      </c>
      <c r="C117" s="3">
        <v>190</v>
      </c>
      <c r="D117" s="4">
        <v>833.333333333333</v>
      </c>
      <c r="E117" s="4">
        <v>8</v>
      </c>
      <c r="F117" s="2">
        <v>516</v>
      </c>
      <c r="G117" s="5">
        <v>0.202225646293442</v>
      </c>
      <c r="H117" s="2">
        <v>25800</v>
      </c>
      <c r="I117" s="2">
        <v>23299</v>
      </c>
      <c r="J117" s="2">
        <v>1191000</v>
      </c>
      <c r="K117" s="2">
        <f t="shared" si="1"/>
        <v>7146000</v>
      </c>
    </row>
    <row r="118" ht="17.25" spans="2:11">
      <c r="B118" s="2">
        <v>116</v>
      </c>
      <c r="C118" s="3">
        <v>190</v>
      </c>
      <c r="D118" s="4">
        <v>833.333333333333</v>
      </c>
      <c r="E118" s="4">
        <v>8</v>
      </c>
      <c r="F118" s="2">
        <v>524</v>
      </c>
      <c r="G118" s="5">
        <v>0.206913388448094</v>
      </c>
      <c r="H118" s="2">
        <v>26400</v>
      </c>
      <c r="I118" s="2">
        <v>23823</v>
      </c>
      <c r="J118" s="2">
        <v>1217400</v>
      </c>
      <c r="K118" s="2">
        <f t="shared" si="1"/>
        <v>7304400</v>
      </c>
    </row>
    <row r="119" ht="17.25" spans="2:11">
      <c r="B119" s="2">
        <v>117</v>
      </c>
      <c r="C119" s="3">
        <v>190</v>
      </c>
      <c r="D119" s="4">
        <v>833.333333333333</v>
      </c>
      <c r="E119" s="4">
        <v>8</v>
      </c>
      <c r="F119" s="2">
        <v>532</v>
      </c>
      <c r="G119" s="5">
        <v>0.211088916482211</v>
      </c>
      <c r="H119" s="2">
        <v>27000</v>
      </c>
      <c r="I119" s="2">
        <v>24355</v>
      </c>
      <c r="J119" s="2">
        <v>1244400</v>
      </c>
      <c r="K119" s="2">
        <f t="shared" si="1"/>
        <v>7466400</v>
      </c>
    </row>
    <row r="120" ht="17.25" spans="2:11">
      <c r="B120" s="2">
        <v>118</v>
      </c>
      <c r="C120" s="3">
        <v>190</v>
      </c>
      <c r="D120" s="4">
        <v>833.333333333333</v>
      </c>
      <c r="E120" s="4">
        <v>8</v>
      </c>
      <c r="F120" s="2">
        <v>540</v>
      </c>
      <c r="G120" s="5">
        <v>0.214792619460652</v>
      </c>
      <c r="H120" s="2">
        <v>27000</v>
      </c>
      <c r="I120" s="2">
        <v>24895</v>
      </c>
      <c r="J120" s="2">
        <v>1271400</v>
      </c>
      <c r="K120" s="2">
        <f t="shared" si="1"/>
        <v>7628400</v>
      </c>
    </row>
    <row r="121" ht="17.25" spans="2:11">
      <c r="B121" s="2">
        <v>119</v>
      </c>
      <c r="C121" s="3">
        <v>190</v>
      </c>
      <c r="D121" s="4">
        <v>833.333333333333</v>
      </c>
      <c r="E121" s="4">
        <v>8</v>
      </c>
      <c r="F121" s="2">
        <v>548</v>
      </c>
      <c r="G121" s="5">
        <v>0.218060748860318</v>
      </c>
      <c r="H121" s="2">
        <v>27600</v>
      </c>
      <c r="I121" s="2">
        <v>25443</v>
      </c>
      <c r="J121" s="2">
        <v>1299000</v>
      </c>
      <c r="K121" s="2">
        <f t="shared" si="1"/>
        <v>7794000</v>
      </c>
    </row>
    <row r="122" ht="17.25" spans="2:11">
      <c r="B122" s="2">
        <v>120</v>
      </c>
      <c r="C122" s="3">
        <v>190</v>
      </c>
      <c r="D122" s="4">
        <v>833.333333333333</v>
      </c>
      <c r="E122" s="4">
        <v>8</v>
      </c>
      <c r="F122" s="2">
        <v>556</v>
      </c>
      <c r="G122" s="5">
        <v>0.220925935174549</v>
      </c>
      <c r="H122" s="2">
        <v>28200</v>
      </c>
      <c r="I122" s="2">
        <v>25999</v>
      </c>
      <c r="J122" s="2">
        <v>1327200</v>
      </c>
      <c r="K122" s="2">
        <f t="shared" si="1"/>
        <v>7963200</v>
      </c>
    </row>
    <row r="123" ht="17.25" spans="2:11">
      <c r="B123" s="2">
        <v>121</v>
      </c>
      <c r="C123" s="3">
        <v>250</v>
      </c>
      <c r="D123" s="4">
        <v>833.333333333333</v>
      </c>
      <c r="E123" s="4">
        <v>8</v>
      </c>
      <c r="F123" s="2">
        <v>564</v>
      </c>
      <c r="G123" s="5">
        <v>0.223417629001607</v>
      </c>
      <c r="H123" s="2">
        <v>28200</v>
      </c>
      <c r="I123" s="2">
        <v>26563</v>
      </c>
      <c r="J123" s="2">
        <v>1355400</v>
      </c>
      <c r="K123" s="2">
        <f t="shared" si="1"/>
        <v>8132400</v>
      </c>
    </row>
    <row r="124" ht="17.25" spans="2:11">
      <c r="B124" s="2">
        <v>122</v>
      </c>
      <c r="C124" s="3">
        <v>250</v>
      </c>
      <c r="D124" s="4">
        <v>833.333333333333</v>
      </c>
      <c r="E124" s="4">
        <v>8</v>
      </c>
      <c r="F124" s="2">
        <v>572</v>
      </c>
      <c r="G124" s="5">
        <v>0.225562479189459</v>
      </c>
      <c r="H124" s="2">
        <v>28800</v>
      </c>
      <c r="I124" s="2">
        <v>27135</v>
      </c>
      <c r="J124" s="2">
        <v>1384200</v>
      </c>
      <c r="K124" s="2">
        <f t="shared" si="1"/>
        <v>8305200</v>
      </c>
    </row>
    <row r="125" ht="17.25" spans="2:11">
      <c r="B125" s="2">
        <v>123</v>
      </c>
      <c r="C125" s="3">
        <v>250</v>
      </c>
      <c r="D125" s="4">
        <v>833.333333333333</v>
      </c>
      <c r="E125" s="4">
        <v>8</v>
      </c>
      <c r="F125" s="2">
        <v>580</v>
      </c>
      <c r="G125" s="5">
        <v>0.227384658272545</v>
      </c>
      <c r="H125" s="2">
        <v>29400</v>
      </c>
      <c r="I125" s="2">
        <v>27715</v>
      </c>
      <c r="J125" s="2">
        <v>1413600</v>
      </c>
      <c r="K125" s="2">
        <f t="shared" si="1"/>
        <v>8481600</v>
      </c>
    </row>
    <row r="126" ht="17.25" spans="2:11">
      <c r="B126" s="2">
        <v>124</v>
      </c>
      <c r="C126" s="3">
        <v>250</v>
      </c>
      <c r="D126" s="4">
        <v>833.333333333333</v>
      </c>
      <c r="E126" s="4">
        <v>8</v>
      </c>
      <c r="F126" s="2">
        <v>588</v>
      </c>
      <c r="G126" s="5">
        <v>0.228906143577169</v>
      </c>
      <c r="H126" s="2">
        <v>29400</v>
      </c>
      <c r="I126" s="2">
        <v>28303</v>
      </c>
      <c r="J126" s="2">
        <v>1443000</v>
      </c>
      <c r="K126" s="2">
        <f t="shared" si="1"/>
        <v>8658000</v>
      </c>
    </row>
    <row r="127" ht="17.25" spans="2:11">
      <c r="B127" s="2">
        <v>125</v>
      </c>
      <c r="C127" s="3">
        <v>250</v>
      </c>
      <c r="D127" s="4">
        <v>833.333333333333</v>
      </c>
      <c r="E127" s="4">
        <v>8</v>
      </c>
      <c r="F127" s="2">
        <v>596</v>
      </c>
      <c r="G127" s="5">
        <v>0.230146960884429</v>
      </c>
      <c r="H127" s="2">
        <v>30000</v>
      </c>
      <c r="I127" s="2">
        <v>28899</v>
      </c>
      <c r="J127" s="2">
        <v>1473000</v>
      </c>
      <c r="K127" s="2">
        <f t="shared" si="1"/>
        <v>8838000</v>
      </c>
    </row>
    <row r="128" ht="17.25" spans="2:11">
      <c r="B128" s="2">
        <v>126</v>
      </c>
      <c r="C128" s="3">
        <v>250</v>
      </c>
      <c r="D128" s="4">
        <v>833.333333333333</v>
      </c>
      <c r="E128" s="4">
        <v>8</v>
      </c>
      <c r="F128" s="2">
        <v>604</v>
      </c>
      <c r="G128" s="5">
        <v>0.231125396342787</v>
      </c>
      <c r="H128" s="2">
        <v>30600</v>
      </c>
      <c r="I128" s="2">
        <v>29503</v>
      </c>
      <c r="J128" s="2">
        <v>1503600</v>
      </c>
      <c r="K128" s="2">
        <f t="shared" si="1"/>
        <v>9021600</v>
      </c>
    </row>
    <row r="129" ht="17.25" spans="2:11">
      <c r="B129" s="2">
        <v>127</v>
      </c>
      <c r="C129" s="3">
        <v>250</v>
      </c>
      <c r="D129" s="4">
        <v>833.333333333333</v>
      </c>
      <c r="E129" s="4">
        <v>8</v>
      </c>
      <c r="F129" s="2">
        <v>612</v>
      </c>
      <c r="G129" s="5">
        <v>0.231858181354419</v>
      </c>
      <c r="H129" s="2">
        <v>30600</v>
      </c>
      <c r="I129" s="2">
        <v>30115</v>
      </c>
      <c r="J129" s="2">
        <v>1534200</v>
      </c>
      <c r="K129" s="2">
        <f t="shared" si="1"/>
        <v>9205200</v>
      </c>
    </row>
    <row r="130" ht="17.25" spans="2:11">
      <c r="B130" s="2">
        <v>128</v>
      </c>
      <c r="C130" s="3">
        <v>250</v>
      </c>
      <c r="D130" s="4">
        <v>833.333333333333</v>
      </c>
      <c r="E130" s="4">
        <v>8</v>
      </c>
      <c r="F130" s="2">
        <v>620</v>
      </c>
      <c r="G130" s="5">
        <v>0.232360654372893</v>
      </c>
      <c r="H130" s="2">
        <v>31200</v>
      </c>
      <c r="I130" s="2">
        <v>30735</v>
      </c>
      <c r="J130" s="2">
        <v>1565400</v>
      </c>
      <c r="K130" s="2">
        <f t="shared" si="1"/>
        <v>9392400</v>
      </c>
    </row>
    <row r="131" ht="17.25" spans="2:11">
      <c r="B131" s="2">
        <v>129</v>
      </c>
      <c r="C131" s="3">
        <v>250</v>
      </c>
      <c r="D131" s="4">
        <v>833.333333333333</v>
      </c>
      <c r="E131" s="4">
        <v>8</v>
      </c>
      <c r="F131" s="2">
        <v>628</v>
      </c>
      <c r="G131" s="5">
        <v>0.232646902907475</v>
      </c>
      <c r="H131" s="2">
        <v>31800</v>
      </c>
      <c r="I131" s="2">
        <v>31363</v>
      </c>
      <c r="J131" s="2">
        <v>1597200</v>
      </c>
      <c r="K131" s="2">
        <f t="shared" ref="K131:K194" si="2">J131*6</f>
        <v>9583200</v>
      </c>
    </row>
    <row r="132" ht="17.25" spans="2:11">
      <c r="B132" s="2">
        <v>130</v>
      </c>
      <c r="C132" s="3">
        <v>250</v>
      </c>
      <c r="D132" s="4">
        <v>833.333333333333</v>
      </c>
      <c r="E132" s="4">
        <v>8</v>
      </c>
      <c r="F132" s="2">
        <v>636</v>
      </c>
      <c r="G132" s="5">
        <v>0.232729888502578</v>
      </c>
      <c r="H132" s="2">
        <v>31800</v>
      </c>
      <c r="I132" s="2">
        <v>31999</v>
      </c>
      <c r="J132" s="2">
        <v>1629000</v>
      </c>
      <c r="K132" s="2">
        <f t="shared" si="2"/>
        <v>9774000</v>
      </c>
    </row>
    <row r="133" ht="17.25" spans="2:11">
      <c r="B133" s="2">
        <v>131</v>
      </c>
      <c r="C133" s="3">
        <v>250</v>
      </c>
      <c r="D133" s="4">
        <v>833.333333333333</v>
      </c>
      <c r="E133" s="4">
        <v>8</v>
      </c>
      <c r="F133" s="2">
        <v>644</v>
      </c>
      <c r="G133" s="5">
        <v>0.232621557026995</v>
      </c>
      <c r="H133" s="2">
        <v>32400</v>
      </c>
      <c r="I133" s="2">
        <v>32643</v>
      </c>
      <c r="J133" s="2">
        <v>1661400</v>
      </c>
      <c r="K133" s="2">
        <f t="shared" si="2"/>
        <v>9968400</v>
      </c>
    </row>
    <row r="134" ht="17.25" spans="2:11">
      <c r="B134" s="2">
        <v>132</v>
      </c>
      <c r="C134" s="3">
        <v>250</v>
      </c>
      <c r="D134" s="4">
        <v>833.333333333333</v>
      </c>
      <c r="E134" s="4">
        <v>8</v>
      </c>
      <c r="F134" s="2">
        <v>652</v>
      </c>
      <c r="G134" s="5">
        <v>0.232332936248703</v>
      </c>
      <c r="H134" s="2">
        <v>33000</v>
      </c>
      <c r="I134" s="2">
        <v>33295</v>
      </c>
      <c r="J134" s="2">
        <v>1694400</v>
      </c>
      <c r="K134" s="2">
        <f t="shared" si="2"/>
        <v>10166400</v>
      </c>
    </row>
    <row r="135" ht="17.25" spans="2:11">
      <c r="B135" s="2">
        <v>133</v>
      </c>
      <c r="C135" s="3">
        <v>310</v>
      </c>
      <c r="D135" s="4">
        <v>833.333333333333</v>
      </c>
      <c r="E135" s="4">
        <v>8</v>
      </c>
      <c r="F135" s="2">
        <v>660</v>
      </c>
      <c r="G135" s="5">
        <v>0.231874222373035</v>
      </c>
      <c r="H135" s="2">
        <v>33000</v>
      </c>
      <c r="I135" s="2">
        <v>33955</v>
      </c>
      <c r="J135" s="2">
        <v>1727400</v>
      </c>
      <c r="K135" s="2">
        <f t="shared" si="2"/>
        <v>10364400</v>
      </c>
    </row>
    <row r="136" ht="17.25" spans="2:11">
      <c r="B136" s="2">
        <v>134</v>
      </c>
      <c r="C136" s="3">
        <v>310</v>
      </c>
      <c r="D136" s="4">
        <v>833.333333333333</v>
      </c>
      <c r="E136" s="4">
        <v>8</v>
      </c>
      <c r="F136" s="2">
        <v>668</v>
      </c>
      <c r="G136" s="5">
        <v>0.231254856973689</v>
      </c>
      <c r="H136" s="2">
        <v>33600</v>
      </c>
      <c r="I136" s="2">
        <v>34623</v>
      </c>
      <c r="J136" s="2">
        <v>1761000</v>
      </c>
      <c r="K136" s="2">
        <f t="shared" si="2"/>
        <v>10566000</v>
      </c>
    </row>
    <row r="137" ht="17.25" spans="2:11">
      <c r="B137" s="2">
        <v>135</v>
      </c>
      <c r="C137" s="3">
        <v>310</v>
      </c>
      <c r="D137" s="4">
        <v>833.333333333333</v>
      </c>
      <c r="E137" s="4">
        <v>8</v>
      </c>
      <c r="F137" s="2">
        <v>676</v>
      </c>
      <c r="G137" s="5">
        <v>0.230483595538277</v>
      </c>
      <c r="H137" s="2">
        <v>34200</v>
      </c>
      <c r="I137" s="2">
        <v>35299</v>
      </c>
      <c r="J137" s="2">
        <v>1795200</v>
      </c>
      <c r="K137" s="2">
        <f t="shared" si="2"/>
        <v>10771200</v>
      </c>
    </row>
    <row r="138" ht="17.25" spans="2:11">
      <c r="B138" s="2">
        <v>136</v>
      </c>
      <c r="C138" s="3">
        <v>310</v>
      </c>
      <c r="D138" s="4">
        <v>833.333333333333</v>
      </c>
      <c r="E138" s="4">
        <v>8</v>
      </c>
      <c r="F138" s="2">
        <v>684</v>
      </c>
      <c r="G138" s="5">
        <v>0.229568568675731</v>
      </c>
      <c r="H138" s="2">
        <v>34200</v>
      </c>
      <c r="I138" s="2">
        <v>35983</v>
      </c>
      <c r="J138" s="2">
        <v>1829400</v>
      </c>
      <c r="K138" s="2">
        <f t="shared" si="2"/>
        <v>10976400</v>
      </c>
    </row>
    <row r="139" ht="17.25" spans="2:11">
      <c r="B139" s="2">
        <v>137</v>
      </c>
      <c r="C139" s="3">
        <v>310</v>
      </c>
      <c r="D139" s="4">
        <v>833.333333333333</v>
      </c>
      <c r="E139" s="4">
        <v>8</v>
      </c>
      <c r="F139" s="2">
        <v>692</v>
      </c>
      <c r="G139" s="5">
        <v>0.228517336886022</v>
      </c>
      <c r="H139" s="2">
        <v>34800</v>
      </c>
      <c r="I139" s="2">
        <v>36675</v>
      </c>
      <c r="J139" s="2">
        <v>1864200</v>
      </c>
      <c r="K139" s="2">
        <f t="shared" si="2"/>
        <v>11185200</v>
      </c>
    </row>
    <row r="140" ht="17.25" spans="2:11">
      <c r="B140" s="2">
        <v>138</v>
      </c>
      <c r="C140" s="3">
        <v>310</v>
      </c>
      <c r="D140" s="4">
        <v>833.333333333333</v>
      </c>
      <c r="E140" s="4">
        <v>8</v>
      </c>
      <c r="F140" s="2">
        <v>700</v>
      </c>
      <c r="G140" s="5">
        <v>0.227336939668539</v>
      </c>
      <c r="H140" s="2">
        <v>35400</v>
      </c>
      <c r="I140" s="2">
        <v>37375</v>
      </c>
      <c r="J140" s="2">
        <v>1899600</v>
      </c>
      <c r="K140" s="2">
        <f t="shared" si="2"/>
        <v>11397600</v>
      </c>
    </row>
    <row r="141" ht="17.25" spans="2:11">
      <c r="B141" s="2">
        <v>139</v>
      </c>
      <c r="C141" s="3">
        <v>310</v>
      </c>
      <c r="D141" s="4">
        <v>833.333333333333</v>
      </c>
      <c r="E141" s="4">
        <v>8</v>
      </c>
      <c r="F141" s="2">
        <v>708</v>
      </c>
      <c r="G141" s="5">
        <v>0.226033939640281</v>
      </c>
      <c r="H141" s="2">
        <v>35400</v>
      </c>
      <c r="I141" s="2">
        <v>38083</v>
      </c>
      <c r="J141" s="2">
        <v>1935000</v>
      </c>
      <c r="K141" s="2">
        <f t="shared" si="2"/>
        <v>11610000</v>
      </c>
    </row>
    <row r="142" ht="17.25" spans="2:11">
      <c r="B142" s="2">
        <v>140</v>
      </c>
      <c r="C142" s="3">
        <v>310</v>
      </c>
      <c r="D142" s="4">
        <v>833.333333333333</v>
      </c>
      <c r="E142" s="4">
        <v>8</v>
      </c>
      <c r="F142" s="2">
        <v>716</v>
      </c>
      <c r="G142" s="5">
        <v>0.224614462245612</v>
      </c>
      <c r="H142" s="2">
        <v>36000</v>
      </c>
      <c r="I142" s="2">
        <v>38799</v>
      </c>
      <c r="J142" s="2">
        <v>1971000</v>
      </c>
      <c r="K142" s="2">
        <f t="shared" si="2"/>
        <v>11826000</v>
      </c>
    </row>
    <row r="143" ht="17.25" spans="2:11">
      <c r="B143" s="2">
        <v>141</v>
      </c>
      <c r="C143" s="3">
        <v>310</v>
      </c>
      <c r="D143" s="4">
        <v>833.333333333333</v>
      </c>
      <c r="E143" s="4">
        <v>8</v>
      </c>
      <c r="F143" s="2">
        <v>724</v>
      </c>
      <c r="G143" s="5">
        <v>0.223084231563084</v>
      </c>
      <c r="H143" s="2">
        <v>36600</v>
      </c>
      <c r="I143" s="2">
        <v>39523</v>
      </c>
      <c r="J143" s="2">
        <v>2007600</v>
      </c>
      <c r="K143" s="2">
        <f t="shared" si="2"/>
        <v>12045600</v>
      </c>
    </row>
    <row r="144" ht="17.25" spans="2:11">
      <c r="B144" s="2">
        <v>142</v>
      </c>
      <c r="C144" s="3">
        <v>310</v>
      </c>
      <c r="D144" s="4">
        <v>833.333333333333</v>
      </c>
      <c r="E144" s="4">
        <v>8</v>
      </c>
      <c r="F144" s="2">
        <v>732</v>
      </c>
      <c r="G144" s="5">
        <v>0.221448602649647</v>
      </c>
      <c r="H144" s="2">
        <v>36600</v>
      </c>
      <c r="I144" s="2">
        <v>40255</v>
      </c>
      <c r="J144" s="2">
        <v>2044200</v>
      </c>
      <c r="K144" s="2">
        <f t="shared" si="2"/>
        <v>12265200</v>
      </c>
    </row>
    <row r="145" ht="17.25" spans="2:11">
      <c r="B145" s="2">
        <v>143</v>
      </c>
      <c r="C145" s="3">
        <v>310</v>
      </c>
      <c r="D145" s="4">
        <v>833.333333333333</v>
      </c>
      <c r="E145" s="4">
        <v>8</v>
      </c>
      <c r="F145" s="2">
        <v>740</v>
      </c>
      <c r="G145" s="5">
        <v>0.219712590806713</v>
      </c>
      <c r="H145" s="2">
        <v>37200</v>
      </c>
      <c r="I145" s="2">
        <v>40995</v>
      </c>
      <c r="J145" s="2">
        <v>2081400</v>
      </c>
      <c r="K145" s="2">
        <f t="shared" si="2"/>
        <v>12488400</v>
      </c>
    </row>
    <row r="146" ht="17.25" spans="2:11">
      <c r="B146" s="2">
        <v>144</v>
      </c>
      <c r="C146" s="3">
        <v>310</v>
      </c>
      <c r="D146" s="4">
        <v>833.333333333333</v>
      </c>
      <c r="E146" s="4">
        <v>8</v>
      </c>
      <c r="F146" s="2">
        <v>748</v>
      </c>
      <c r="G146" s="5">
        <v>0.217880898104488</v>
      </c>
      <c r="H146" s="2">
        <v>37800</v>
      </c>
      <c r="I146" s="2">
        <v>41743</v>
      </c>
      <c r="J146" s="2">
        <v>2119200</v>
      </c>
      <c r="K146" s="2">
        <f t="shared" si="2"/>
        <v>12715200</v>
      </c>
    </row>
    <row r="147" ht="17.25" spans="2:11">
      <c r="B147" s="2">
        <v>145</v>
      </c>
      <c r="C147" s="3">
        <v>370</v>
      </c>
      <c r="D147" s="4">
        <v>833.333333333333</v>
      </c>
      <c r="E147" s="4">
        <v>8</v>
      </c>
      <c r="F147" s="2">
        <v>756</v>
      </c>
      <c r="G147" s="5">
        <v>0.215957937459644</v>
      </c>
      <c r="H147" s="2">
        <v>37800</v>
      </c>
      <c r="I147" s="2">
        <v>42499</v>
      </c>
      <c r="J147" s="2">
        <v>2157000</v>
      </c>
      <c r="K147" s="2">
        <f t="shared" si="2"/>
        <v>12942000</v>
      </c>
    </row>
    <row r="148" ht="17.25" spans="2:11">
      <c r="B148" s="2">
        <v>146</v>
      </c>
      <c r="C148" s="3">
        <v>370</v>
      </c>
      <c r="D148" s="4">
        <v>833.333333333333</v>
      </c>
      <c r="E148" s="4">
        <v>8</v>
      </c>
      <c r="F148" s="2">
        <v>764</v>
      </c>
      <c r="G148" s="5">
        <v>0.213947854525634</v>
      </c>
      <c r="H148" s="2">
        <v>38400</v>
      </c>
      <c r="I148" s="2">
        <v>43263</v>
      </c>
      <c r="J148" s="2">
        <v>2195400</v>
      </c>
      <c r="K148" s="2">
        <f t="shared" si="2"/>
        <v>13172400</v>
      </c>
    </row>
    <row r="149" ht="17.25" spans="2:11">
      <c r="B149" s="2">
        <v>147</v>
      </c>
      <c r="C149" s="3">
        <v>370</v>
      </c>
      <c r="D149" s="4">
        <v>833.333333333333</v>
      </c>
      <c r="E149" s="4">
        <v>8</v>
      </c>
      <c r="F149" s="2">
        <v>772</v>
      </c>
      <c r="G149" s="5">
        <v>0.21185454762402</v>
      </c>
      <c r="H149" s="2">
        <v>39000</v>
      </c>
      <c r="I149" s="2">
        <v>44035</v>
      </c>
      <c r="J149" s="2">
        <v>2234400</v>
      </c>
      <c r="K149" s="2">
        <f t="shared" si="2"/>
        <v>13406400</v>
      </c>
    </row>
    <row r="150" ht="17.25" spans="2:11">
      <c r="B150" s="2">
        <v>148</v>
      </c>
      <c r="C150" s="3">
        <v>370</v>
      </c>
      <c r="D150" s="4">
        <v>833.333333333333</v>
      </c>
      <c r="E150" s="4">
        <v>8</v>
      </c>
      <c r="F150" s="2">
        <v>780</v>
      </c>
      <c r="G150" s="5">
        <v>0.20968168591835</v>
      </c>
      <c r="H150" s="2">
        <v>39000</v>
      </c>
      <c r="I150" s="2">
        <v>44815</v>
      </c>
      <c r="J150" s="2">
        <v>2273400</v>
      </c>
      <c r="K150" s="2">
        <f t="shared" si="2"/>
        <v>13640400</v>
      </c>
    </row>
    <row r="151" ht="17.25" spans="2:11">
      <c r="B151" s="2">
        <v>149</v>
      </c>
      <c r="C151" s="3">
        <v>370</v>
      </c>
      <c r="D151" s="4">
        <v>833.333333333333</v>
      </c>
      <c r="E151" s="4">
        <v>8</v>
      </c>
      <c r="F151" s="2">
        <v>788</v>
      </c>
      <c r="G151" s="5">
        <v>0.207432726008748</v>
      </c>
      <c r="H151" s="2">
        <v>39600</v>
      </c>
      <c r="I151" s="2">
        <v>45603</v>
      </c>
      <c r="J151" s="2">
        <v>2313000</v>
      </c>
      <c r="K151" s="2">
        <f t="shared" si="2"/>
        <v>13878000</v>
      </c>
    </row>
    <row r="152" ht="17.25" spans="2:11">
      <c r="B152" s="2">
        <v>150</v>
      </c>
      <c r="C152" s="3">
        <v>370</v>
      </c>
      <c r="D152" s="4">
        <v>833.333333333333</v>
      </c>
      <c r="E152" s="4">
        <v>8</v>
      </c>
      <c r="F152" s="2">
        <v>796</v>
      </c>
      <c r="G152" s="5">
        <v>0.205110927105046</v>
      </c>
      <c r="H152" s="2">
        <v>40200</v>
      </c>
      <c r="I152" s="2">
        <v>46399</v>
      </c>
      <c r="J152" s="2">
        <v>2353200</v>
      </c>
      <c r="K152" s="2">
        <f t="shared" si="2"/>
        <v>14119200</v>
      </c>
    </row>
    <row r="153" ht="17.25" spans="2:11">
      <c r="B153" s="2">
        <v>151</v>
      </c>
      <c r="C153" s="3">
        <v>370</v>
      </c>
      <c r="D153" s="4">
        <v>833.333333333333</v>
      </c>
      <c r="E153" s="4">
        <v>8</v>
      </c>
      <c r="F153" s="2">
        <v>804</v>
      </c>
      <c r="G153" s="5">
        <v>0.202719364918504</v>
      </c>
      <c r="H153" s="2">
        <v>40200</v>
      </c>
      <c r="I153" s="2">
        <v>47203</v>
      </c>
      <c r="J153" s="2">
        <v>2393400</v>
      </c>
      <c r="K153" s="2">
        <f t="shared" si="2"/>
        <v>14360400</v>
      </c>
    </row>
    <row r="154" ht="17.25" spans="2:11">
      <c r="B154" s="2">
        <v>152</v>
      </c>
      <c r="C154" s="3">
        <v>370</v>
      </c>
      <c r="D154" s="4">
        <v>833.333333333333</v>
      </c>
      <c r="E154" s="4">
        <v>8</v>
      </c>
      <c r="F154" s="2">
        <v>812</v>
      </c>
      <c r="G154" s="5">
        <v>0.200260944396636</v>
      </c>
      <c r="H154" s="2">
        <v>40800</v>
      </c>
      <c r="I154" s="2">
        <v>48015</v>
      </c>
      <c r="J154" s="2">
        <v>2434200</v>
      </c>
      <c r="K154" s="2">
        <f t="shared" si="2"/>
        <v>14605200</v>
      </c>
    </row>
    <row r="155" ht="17.25" spans="2:11">
      <c r="B155" s="2">
        <v>153</v>
      </c>
      <c r="C155" s="3">
        <v>370</v>
      </c>
      <c r="D155" s="4">
        <v>833.333333333333</v>
      </c>
      <c r="E155" s="4">
        <v>8</v>
      </c>
      <c r="F155" s="2">
        <v>820</v>
      </c>
      <c r="G155" s="5">
        <v>0.197738411411988</v>
      </c>
      <c r="H155" s="2">
        <v>41400</v>
      </c>
      <c r="I155" s="2">
        <v>48835</v>
      </c>
      <c r="J155" s="2">
        <v>2475600</v>
      </c>
      <c r="K155" s="2">
        <f t="shared" si="2"/>
        <v>14853600</v>
      </c>
    </row>
    <row r="156" ht="17.25" spans="2:11">
      <c r="B156" s="2">
        <v>154</v>
      </c>
      <c r="C156" s="3">
        <v>370</v>
      </c>
      <c r="D156" s="4">
        <v>833.333333333333</v>
      </c>
      <c r="E156" s="4">
        <v>8</v>
      </c>
      <c r="F156" s="2">
        <v>828</v>
      </c>
      <c r="G156" s="5">
        <v>0.195154363503769</v>
      </c>
      <c r="H156" s="2">
        <v>41400</v>
      </c>
      <c r="I156" s="2">
        <v>49663</v>
      </c>
      <c r="J156" s="2">
        <v>2517000</v>
      </c>
      <c r="K156" s="2">
        <f t="shared" si="2"/>
        <v>15102000</v>
      </c>
    </row>
    <row r="157" ht="17.25" spans="2:11">
      <c r="B157" s="2">
        <v>155</v>
      </c>
      <c r="C157" s="3">
        <v>370</v>
      </c>
      <c r="D157" s="4">
        <v>833.333333333333</v>
      </c>
      <c r="E157" s="4">
        <v>8</v>
      </c>
      <c r="F157" s="2">
        <v>836</v>
      </c>
      <c r="G157" s="5">
        <v>0.192511259760681</v>
      </c>
      <c r="H157" s="2">
        <v>42000</v>
      </c>
      <c r="I157" s="2">
        <v>50499</v>
      </c>
      <c r="J157" s="2">
        <v>2559000</v>
      </c>
      <c r="K157" s="2">
        <f t="shared" si="2"/>
        <v>15354000</v>
      </c>
    </row>
    <row r="158" ht="17.25" spans="2:11">
      <c r="B158" s="2">
        <v>156</v>
      </c>
      <c r="C158" s="3">
        <v>370</v>
      </c>
      <c r="D158" s="4">
        <v>833.333333333333</v>
      </c>
      <c r="E158" s="4">
        <v>8</v>
      </c>
      <c r="F158" s="2">
        <v>844</v>
      </c>
      <c r="G158" s="5">
        <v>0.189811429923994</v>
      </c>
      <c r="H158" s="2">
        <v>42600</v>
      </c>
      <c r="I158" s="2">
        <v>51343</v>
      </c>
      <c r="J158" s="2">
        <v>2601600</v>
      </c>
      <c r="K158" s="2">
        <f t="shared" si="2"/>
        <v>15609600</v>
      </c>
    </row>
    <row r="159" ht="17.25" spans="2:11">
      <c r="B159" s="2">
        <v>157</v>
      </c>
      <c r="C159" s="3">
        <v>430</v>
      </c>
      <c r="D159" s="4">
        <v>833.333333333333</v>
      </c>
      <c r="E159" s="4">
        <v>8</v>
      </c>
      <c r="F159" s="2">
        <v>852</v>
      </c>
      <c r="G159" s="5">
        <v>0.187057082781716</v>
      </c>
      <c r="H159" s="2">
        <v>42600</v>
      </c>
      <c r="I159" s="2">
        <v>52195</v>
      </c>
      <c r="J159" s="2">
        <v>2644200</v>
      </c>
      <c r="K159" s="2">
        <f t="shared" si="2"/>
        <v>15865200</v>
      </c>
    </row>
    <row r="160" ht="17.25" spans="2:11">
      <c r="B160" s="2">
        <v>158</v>
      </c>
      <c r="C160" s="3">
        <v>430</v>
      </c>
      <c r="D160" s="4">
        <v>833.333333333333</v>
      </c>
      <c r="E160" s="4">
        <v>8</v>
      </c>
      <c r="F160" s="2">
        <v>860</v>
      </c>
      <c r="G160" s="5">
        <v>0.184250313917434</v>
      </c>
      <c r="H160" s="2">
        <v>43200</v>
      </c>
      <c r="I160" s="2">
        <v>53055</v>
      </c>
      <c r="J160" s="2">
        <v>2687400</v>
      </c>
      <c r="K160" s="2">
        <f t="shared" si="2"/>
        <v>16124400</v>
      </c>
    </row>
    <row r="161" ht="17.25" spans="2:11">
      <c r="B161" s="2">
        <v>159</v>
      </c>
      <c r="C161" s="3">
        <v>430</v>
      </c>
      <c r="D161" s="4">
        <v>833.333333333333</v>
      </c>
      <c r="E161" s="4">
        <v>8</v>
      </c>
      <c r="F161" s="2">
        <v>868</v>
      </c>
      <c r="G161" s="5">
        <v>0.181393112870987</v>
      </c>
      <c r="H161" s="2">
        <v>43800</v>
      </c>
      <c r="I161" s="2">
        <v>53923</v>
      </c>
      <c r="J161" s="2">
        <v>2731200</v>
      </c>
      <c r="K161" s="2">
        <f t="shared" si="2"/>
        <v>16387200</v>
      </c>
    </row>
    <row r="162" ht="17.25" spans="2:11">
      <c r="B162" s="2">
        <v>160</v>
      </c>
      <c r="C162" s="3">
        <v>430</v>
      </c>
      <c r="D162" s="4">
        <v>833.333333333333</v>
      </c>
      <c r="E162" s="4">
        <v>8</v>
      </c>
      <c r="F162" s="2">
        <v>876</v>
      </c>
      <c r="G162" s="5">
        <v>0.178487369762387</v>
      </c>
      <c r="H162" s="2">
        <v>43800</v>
      </c>
      <c r="I162" s="2">
        <v>54799</v>
      </c>
      <c r="J162" s="2">
        <v>2775000</v>
      </c>
      <c r="K162" s="2">
        <f t="shared" si="2"/>
        <v>16650000</v>
      </c>
    </row>
    <row r="163" ht="17.25" spans="2:11">
      <c r="B163" s="2">
        <v>161</v>
      </c>
      <c r="C163" s="3">
        <v>430</v>
      </c>
      <c r="D163" s="4">
        <v>833.333333333333</v>
      </c>
      <c r="E163" s="4">
        <v>8</v>
      </c>
      <c r="F163" s="2">
        <v>884</v>
      </c>
      <c r="G163" s="5">
        <v>0.175534881425364</v>
      </c>
      <c r="H163" s="2">
        <v>44400</v>
      </c>
      <c r="I163" s="2">
        <v>55683</v>
      </c>
      <c r="J163" s="2">
        <v>2819400</v>
      </c>
      <c r="K163" s="2">
        <f t="shared" si="2"/>
        <v>16916400</v>
      </c>
    </row>
    <row r="164" ht="17.25" spans="2:11">
      <c r="B164" s="2">
        <v>162</v>
      </c>
      <c r="C164" s="3">
        <v>430</v>
      </c>
      <c r="D164" s="4">
        <v>833.333333333333</v>
      </c>
      <c r="E164" s="4">
        <v>8</v>
      </c>
      <c r="F164" s="2">
        <v>892</v>
      </c>
      <c r="G164" s="5">
        <v>0.172537357092363</v>
      </c>
      <c r="H164" s="2">
        <v>45000</v>
      </c>
      <c r="I164" s="2">
        <v>56575</v>
      </c>
      <c r="J164" s="2">
        <v>2864400</v>
      </c>
      <c r="K164" s="2">
        <f t="shared" si="2"/>
        <v>17186400</v>
      </c>
    </row>
    <row r="165" ht="17.25" spans="2:11">
      <c r="B165" s="2">
        <v>163</v>
      </c>
      <c r="C165" s="3">
        <v>430</v>
      </c>
      <c r="D165" s="4">
        <v>833.333333333333</v>
      </c>
      <c r="E165" s="4">
        <v>8</v>
      </c>
      <c r="F165" s="2">
        <v>900</v>
      </c>
      <c r="G165" s="5">
        <v>0.169496423668811</v>
      </c>
      <c r="H165" s="2">
        <v>45000</v>
      </c>
      <c r="I165" s="2">
        <v>57475</v>
      </c>
      <c r="J165" s="2">
        <v>2909400</v>
      </c>
      <c r="K165" s="2">
        <f t="shared" si="2"/>
        <v>17456400</v>
      </c>
    </row>
    <row r="166" ht="17.25" spans="2:11">
      <c r="B166" s="2">
        <v>164</v>
      </c>
      <c r="C166" s="3">
        <v>430</v>
      </c>
      <c r="D166" s="4">
        <v>833.333333333333</v>
      </c>
      <c r="E166" s="4">
        <v>8</v>
      </c>
      <c r="F166" s="2">
        <v>908</v>
      </c>
      <c r="G166" s="5">
        <v>0.166413630630845</v>
      </c>
      <c r="H166" s="2">
        <v>45600</v>
      </c>
      <c r="I166" s="2">
        <v>58383</v>
      </c>
      <c r="J166" s="2">
        <v>2955000</v>
      </c>
      <c r="K166" s="2">
        <f t="shared" si="2"/>
        <v>17730000</v>
      </c>
    </row>
    <row r="167" ht="17.25" spans="2:11">
      <c r="B167" s="2">
        <v>165</v>
      </c>
      <c r="C167" s="3">
        <v>430</v>
      </c>
      <c r="D167" s="4">
        <v>833.333333333333</v>
      </c>
      <c r="E167" s="4">
        <v>8</v>
      </c>
      <c r="F167" s="2">
        <v>916</v>
      </c>
      <c r="G167" s="5">
        <v>0.163290454577523</v>
      </c>
      <c r="H167" s="2">
        <v>46200</v>
      </c>
      <c r="I167" s="2">
        <v>59299</v>
      </c>
      <c r="J167" s="2">
        <v>3001200</v>
      </c>
      <c r="K167" s="2">
        <f t="shared" si="2"/>
        <v>18007200</v>
      </c>
    </row>
    <row r="168" ht="17.25" spans="2:11">
      <c r="B168" s="2">
        <v>166</v>
      </c>
      <c r="C168" s="3">
        <v>430</v>
      </c>
      <c r="D168" s="4">
        <v>833.333333333333</v>
      </c>
      <c r="E168" s="4">
        <v>8</v>
      </c>
      <c r="F168" s="2">
        <v>924</v>
      </c>
      <c r="G168" s="5">
        <v>0.160128303465589</v>
      </c>
      <c r="H168" s="2">
        <v>46200</v>
      </c>
      <c r="I168" s="2">
        <v>60223</v>
      </c>
      <c r="J168" s="2">
        <v>3047400</v>
      </c>
      <c r="K168" s="2">
        <f t="shared" si="2"/>
        <v>18284400</v>
      </c>
    </row>
    <row r="169" ht="17.25" spans="2:11">
      <c r="B169" s="2">
        <v>167</v>
      </c>
      <c r="C169" s="3">
        <v>430</v>
      </c>
      <c r="D169" s="4">
        <v>833.333333333333</v>
      </c>
      <c r="E169" s="4">
        <v>8</v>
      </c>
      <c r="F169" s="2">
        <v>932</v>
      </c>
      <c r="G169" s="5">
        <v>0.156928520552352</v>
      </c>
      <c r="H169" s="2">
        <v>46800</v>
      </c>
      <c r="I169" s="2">
        <v>61155</v>
      </c>
      <c r="J169" s="2">
        <v>3094200</v>
      </c>
      <c r="K169" s="2">
        <f t="shared" si="2"/>
        <v>18565200</v>
      </c>
    </row>
    <row r="170" ht="17.25" spans="2:11">
      <c r="B170" s="2">
        <v>168</v>
      </c>
      <c r="C170" s="3">
        <v>430</v>
      </c>
      <c r="D170" s="4">
        <v>833.333333333333</v>
      </c>
      <c r="E170" s="4">
        <v>8</v>
      </c>
      <c r="F170" s="2">
        <v>940</v>
      </c>
      <c r="G170" s="5">
        <v>0.153692388069873</v>
      </c>
      <c r="H170" s="2">
        <v>47400</v>
      </c>
      <c r="I170" s="2">
        <v>62095</v>
      </c>
      <c r="J170" s="2">
        <v>3141600</v>
      </c>
      <c r="K170" s="2">
        <f t="shared" si="2"/>
        <v>18849600</v>
      </c>
    </row>
    <row r="171" ht="17.25" spans="2:11">
      <c r="B171" s="2">
        <v>169</v>
      </c>
      <c r="C171" s="3">
        <v>520</v>
      </c>
      <c r="D171" s="4">
        <v>833.333333333333</v>
      </c>
      <c r="E171" s="4">
        <v>8</v>
      </c>
      <c r="F171" s="2">
        <v>948</v>
      </c>
      <c r="G171" s="5">
        <v>0.150421130651574</v>
      </c>
      <c r="H171" s="2">
        <v>47400</v>
      </c>
      <c r="I171" s="2">
        <v>63043</v>
      </c>
      <c r="J171" s="2">
        <v>3189000</v>
      </c>
      <c r="K171" s="2">
        <f t="shared" si="2"/>
        <v>19134000</v>
      </c>
    </row>
    <row r="172" ht="17.25" spans="2:11">
      <c r="B172" s="2">
        <v>170</v>
      </c>
      <c r="C172" s="3">
        <v>520</v>
      </c>
      <c r="D172" s="4">
        <v>833.333333333333</v>
      </c>
      <c r="E172" s="4">
        <v>8</v>
      </c>
      <c r="F172" s="2">
        <v>956</v>
      </c>
      <c r="G172" s="5">
        <v>0.147115918530529</v>
      </c>
      <c r="H172" s="2">
        <v>48000</v>
      </c>
      <c r="I172" s="2">
        <v>63999</v>
      </c>
      <c r="J172" s="2">
        <v>3237000</v>
      </c>
      <c r="K172" s="2">
        <f t="shared" si="2"/>
        <v>19422000</v>
      </c>
    </row>
    <row r="173" ht="17.25" spans="2:11">
      <c r="B173" s="2">
        <v>171</v>
      </c>
      <c r="C173" s="3">
        <v>520</v>
      </c>
      <c r="D173" s="4">
        <v>833.333333333333</v>
      </c>
      <c r="E173" s="4">
        <v>8</v>
      </c>
      <c r="F173" s="2">
        <v>964</v>
      </c>
      <c r="G173" s="5">
        <v>0.143777870526986</v>
      </c>
      <c r="H173" s="2">
        <v>48600</v>
      </c>
      <c r="I173" s="2">
        <v>64963</v>
      </c>
      <c r="J173" s="2">
        <v>3285600</v>
      </c>
      <c r="K173" s="2">
        <f t="shared" si="2"/>
        <v>19713600</v>
      </c>
    </row>
    <row r="174" ht="17.25" spans="2:11">
      <c r="B174" s="2">
        <v>172</v>
      </c>
      <c r="C174" s="3">
        <v>520</v>
      </c>
      <c r="D174" s="4">
        <v>833.333333333333</v>
      </c>
      <c r="E174" s="4">
        <v>8</v>
      </c>
      <c r="F174" s="2">
        <v>972</v>
      </c>
      <c r="G174" s="5">
        <v>0.140408056841145</v>
      </c>
      <c r="H174" s="2">
        <v>48600</v>
      </c>
      <c r="I174" s="2">
        <v>65935</v>
      </c>
      <c r="J174" s="2">
        <v>3334200</v>
      </c>
      <c r="K174" s="2">
        <f t="shared" si="2"/>
        <v>20005200</v>
      </c>
    </row>
    <row r="175" ht="17.25" spans="2:11">
      <c r="B175" s="2">
        <v>173</v>
      </c>
      <c r="C175" s="3">
        <v>520</v>
      </c>
      <c r="D175" s="4">
        <v>833.333333333333</v>
      </c>
      <c r="E175" s="4">
        <v>8</v>
      </c>
      <c r="F175" s="2">
        <v>980</v>
      </c>
      <c r="G175" s="5">
        <v>0.137007501665843</v>
      </c>
      <c r="H175" s="2">
        <v>49200</v>
      </c>
      <c r="I175" s="2">
        <v>66915</v>
      </c>
      <c r="J175" s="2">
        <v>3383400</v>
      </c>
      <c r="K175" s="2">
        <f t="shared" si="2"/>
        <v>20300400</v>
      </c>
    </row>
    <row r="176" ht="17.25" spans="2:11">
      <c r="B176" s="2">
        <v>174</v>
      </c>
      <c r="C176" s="3">
        <v>520</v>
      </c>
      <c r="D176" s="4">
        <v>833.333333333333</v>
      </c>
      <c r="E176" s="4">
        <v>8</v>
      </c>
      <c r="F176" s="2">
        <v>988</v>
      </c>
      <c r="G176" s="5">
        <v>0.133577185632563</v>
      </c>
      <c r="H176" s="2">
        <v>49800</v>
      </c>
      <c r="I176" s="2">
        <v>67903</v>
      </c>
      <c r="J176" s="2">
        <v>3433200</v>
      </c>
      <c r="K176" s="2">
        <f t="shared" si="2"/>
        <v>20599200</v>
      </c>
    </row>
    <row r="177" ht="17.25" spans="2:11">
      <c r="B177" s="2">
        <v>175</v>
      </c>
      <c r="C177" s="3">
        <v>520</v>
      </c>
      <c r="D177" s="4">
        <v>833.333333333333</v>
      </c>
      <c r="E177" s="4">
        <v>8</v>
      </c>
      <c r="F177" s="2">
        <v>996</v>
      </c>
      <c r="G177" s="5">
        <v>0.130118048103024</v>
      </c>
      <c r="H177" s="2">
        <v>49800</v>
      </c>
      <c r="I177" s="2">
        <v>68899</v>
      </c>
      <c r="J177" s="2">
        <v>3483000</v>
      </c>
      <c r="K177" s="2">
        <f t="shared" si="2"/>
        <v>20898000</v>
      </c>
    </row>
    <row r="178" ht="17.25" spans="2:11">
      <c r="B178" s="2">
        <v>176</v>
      </c>
      <c r="C178" s="3">
        <v>520</v>
      </c>
      <c r="D178" s="4">
        <v>833.333333333333</v>
      </c>
      <c r="E178" s="4">
        <v>8</v>
      </c>
      <c r="F178" s="2">
        <v>1004</v>
      </c>
      <c r="G178" s="5">
        <v>0.126630989317618</v>
      </c>
      <c r="H178" s="2">
        <v>50400</v>
      </c>
      <c r="I178" s="2">
        <v>69903</v>
      </c>
      <c r="J178" s="2">
        <v>3533400</v>
      </c>
      <c r="K178" s="2">
        <f t="shared" si="2"/>
        <v>21200400</v>
      </c>
    </row>
    <row r="179" ht="17.25" spans="2:11">
      <c r="B179" s="2">
        <v>177</v>
      </c>
      <c r="C179" s="3">
        <v>520</v>
      </c>
      <c r="D179" s="4">
        <v>833.333333333333</v>
      </c>
      <c r="E179" s="4">
        <v>8</v>
      </c>
      <c r="F179" s="2">
        <v>1012</v>
      </c>
      <c r="G179" s="5">
        <v>0.123116872411021</v>
      </c>
      <c r="H179" s="2">
        <v>51000</v>
      </c>
      <c r="I179" s="2">
        <v>70915</v>
      </c>
      <c r="J179" s="2">
        <v>3584400</v>
      </c>
      <c r="K179" s="2">
        <f t="shared" si="2"/>
        <v>21506400</v>
      </c>
    </row>
    <row r="180" ht="17.25" spans="2:11">
      <c r="B180" s="2">
        <v>178</v>
      </c>
      <c r="C180" s="3">
        <v>520</v>
      </c>
      <c r="D180" s="4">
        <v>833.333333333333</v>
      </c>
      <c r="E180" s="4">
        <v>8</v>
      </c>
      <c r="F180" s="2">
        <v>1020</v>
      </c>
      <c r="G180" s="5">
        <v>0.119576525304449</v>
      </c>
      <c r="H180" s="2">
        <v>51000</v>
      </c>
      <c r="I180" s="2">
        <v>71935</v>
      </c>
      <c r="J180" s="2">
        <v>3635400</v>
      </c>
      <c r="K180" s="2">
        <f t="shared" si="2"/>
        <v>21812400</v>
      </c>
    </row>
    <row r="181" ht="17.25" spans="2:11">
      <c r="B181" s="2">
        <v>179</v>
      </c>
      <c r="C181" s="3">
        <v>520</v>
      </c>
      <c r="D181" s="4">
        <v>833.333333333333</v>
      </c>
      <c r="E181" s="4">
        <v>8</v>
      </c>
      <c r="F181" s="2">
        <v>1028</v>
      </c>
      <c r="G181" s="5">
        <v>0.11601074248329</v>
      </c>
      <c r="H181" s="2">
        <v>51600</v>
      </c>
      <c r="I181" s="2">
        <v>72963</v>
      </c>
      <c r="J181" s="2">
        <v>3687000</v>
      </c>
      <c r="K181" s="2">
        <f t="shared" si="2"/>
        <v>22122000</v>
      </c>
    </row>
    <row r="182" ht="17.25" spans="2:11">
      <c r="B182" s="2">
        <v>180</v>
      </c>
      <c r="C182" s="3">
        <v>520</v>
      </c>
      <c r="D182" s="4">
        <v>833.333333333333</v>
      </c>
      <c r="E182" s="4">
        <v>8</v>
      </c>
      <c r="F182" s="2">
        <v>1036</v>
      </c>
      <c r="G182" s="5">
        <v>0.112420286668132</v>
      </c>
      <c r="H182" s="2">
        <v>52200</v>
      </c>
      <c r="I182" s="2">
        <v>73999</v>
      </c>
      <c r="J182" s="2">
        <v>3739200</v>
      </c>
      <c r="K182" s="2">
        <f t="shared" si="2"/>
        <v>22435200</v>
      </c>
    </row>
    <row r="183" ht="17.25" spans="2:11">
      <c r="B183" s="2">
        <v>181</v>
      </c>
      <c r="C183" s="3">
        <v>520</v>
      </c>
      <c r="D183" s="4">
        <v>833.333333333333</v>
      </c>
      <c r="E183" s="4">
        <v>8</v>
      </c>
      <c r="F183" s="2">
        <v>1044</v>
      </c>
      <c r="G183" s="5">
        <v>0.108805890386556</v>
      </c>
      <c r="H183" s="2">
        <v>52200</v>
      </c>
      <c r="I183" s="2">
        <v>75043</v>
      </c>
      <c r="J183" s="2">
        <v>3791400</v>
      </c>
      <c r="K183" s="2">
        <f t="shared" si="2"/>
        <v>22748400</v>
      </c>
    </row>
    <row r="184" ht="17.25" spans="2:11">
      <c r="B184" s="2">
        <v>182</v>
      </c>
      <c r="C184" s="3">
        <v>520</v>
      </c>
      <c r="D184" s="4">
        <v>833.333333333333</v>
      </c>
      <c r="E184" s="4">
        <v>8</v>
      </c>
      <c r="F184" s="2">
        <v>1052</v>
      </c>
      <c r="G184" s="5">
        <v>0.105168257452521</v>
      </c>
      <c r="H184" s="2">
        <v>52800</v>
      </c>
      <c r="I184" s="2">
        <v>76095</v>
      </c>
      <c r="J184" s="2">
        <v>3844200</v>
      </c>
      <c r="K184" s="2">
        <f t="shared" si="2"/>
        <v>23065200</v>
      </c>
    </row>
    <row r="185" ht="17.25" spans="2:11">
      <c r="B185" s="2">
        <v>183</v>
      </c>
      <c r="C185" s="3">
        <v>520</v>
      </c>
      <c r="D185" s="4">
        <v>833.333333333333</v>
      </c>
      <c r="E185" s="4">
        <v>8</v>
      </c>
      <c r="F185" s="2">
        <v>1060</v>
      </c>
      <c r="G185" s="5">
        <v>0.101508064359606</v>
      </c>
      <c r="H185" s="2">
        <v>53400</v>
      </c>
      <c r="I185" s="2">
        <v>77155</v>
      </c>
      <c r="J185" s="2">
        <v>3897600</v>
      </c>
      <c r="K185" s="2">
        <f t="shared" si="2"/>
        <v>23385600</v>
      </c>
    </row>
    <row r="186" ht="17.25" spans="2:11">
      <c r="B186" s="2">
        <v>184</v>
      </c>
      <c r="C186" s="3">
        <v>520</v>
      </c>
      <c r="D186" s="4">
        <v>833.333333333333</v>
      </c>
      <c r="E186" s="4">
        <v>8</v>
      </c>
      <c r="F186" s="2">
        <v>1068</v>
      </c>
      <c r="G186" s="5">
        <v>0.09782596159391</v>
      </c>
      <c r="H186" s="2">
        <v>53400</v>
      </c>
      <c r="I186" s="2">
        <v>78223</v>
      </c>
      <c r="J186" s="2">
        <v>3951000</v>
      </c>
      <c r="K186" s="2">
        <f t="shared" si="2"/>
        <v>23706000</v>
      </c>
    </row>
    <row r="187" ht="17.25" spans="2:11">
      <c r="B187" s="2">
        <v>185</v>
      </c>
      <c r="C187" s="3">
        <v>520</v>
      </c>
      <c r="D187" s="4">
        <v>833.333333333333</v>
      </c>
      <c r="E187" s="4">
        <v>8</v>
      </c>
      <c r="F187" s="2">
        <v>1076</v>
      </c>
      <c r="G187" s="5">
        <v>0.09412257487196</v>
      </c>
      <c r="H187" s="2">
        <v>54000</v>
      </c>
      <c r="I187" s="2">
        <v>79299</v>
      </c>
      <c r="J187" s="2">
        <v>4005000</v>
      </c>
      <c r="K187" s="2">
        <f t="shared" si="2"/>
        <v>24030000</v>
      </c>
    </row>
    <row r="188" ht="17.25" spans="2:11">
      <c r="B188" s="2">
        <v>186</v>
      </c>
      <c r="C188" s="3">
        <v>520</v>
      </c>
      <c r="D188" s="4">
        <v>833.333333333333</v>
      </c>
      <c r="E188" s="4">
        <v>8</v>
      </c>
      <c r="F188" s="2">
        <v>1084</v>
      </c>
      <c r="G188" s="5">
        <v>0.090398506308582</v>
      </c>
      <c r="H188" s="2">
        <v>54600</v>
      </c>
      <c r="I188" s="2">
        <v>80383</v>
      </c>
      <c r="J188" s="2">
        <v>4059600</v>
      </c>
      <c r="K188" s="2">
        <f t="shared" si="2"/>
        <v>24357600</v>
      </c>
    </row>
    <row r="189" ht="17.25" spans="2:11">
      <c r="B189" s="2">
        <v>187</v>
      </c>
      <c r="C189" s="3">
        <v>1304.00000000003</v>
      </c>
      <c r="D189" s="4">
        <v>1146.1988304094</v>
      </c>
      <c r="E189" s="4">
        <v>8</v>
      </c>
      <c r="F189" s="2">
        <v>1092</v>
      </c>
      <c r="G189" s="5">
        <v>0.089846484301379</v>
      </c>
      <c r="H189" s="2">
        <v>54600</v>
      </c>
      <c r="I189" s="2">
        <v>81475</v>
      </c>
      <c r="J189" s="2">
        <v>4114200</v>
      </c>
      <c r="K189" s="2">
        <f t="shared" si="2"/>
        <v>24685200</v>
      </c>
    </row>
    <row r="190" ht="17.25" spans="2:11">
      <c r="B190" s="2">
        <v>188</v>
      </c>
      <c r="C190" s="3">
        <v>1304.00000000003</v>
      </c>
      <c r="D190" s="4">
        <v>1146.1988304094</v>
      </c>
      <c r="E190" s="4">
        <v>8</v>
      </c>
      <c r="F190" s="2">
        <v>1100</v>
      </c>
      <c r="G190" s="5">
        <v>0.08922018208082</v>
      </c>
      <c r="H190" s="2">
        <v>55200</v>
      </c>
      <c r="I190" s="2">
        <v>82575</v>
      </c>
      <c r="J190" s="2">
        <v>4169400</v>
      </c>
      <c r="K190" s="2">
        <f t="shared" si="2"/>
        <v>25016400</v>
      </c>
    </row>
    <row r="191" ht="17.25" spans="2:11">
      <c r="B191" s="2">
        <v>189</v>
      </c>
      <c r="C191" s="3">
        <v>1304.00000000003</v>
      </c>
      <c r="D191" s="4">
        <v>1146.1988304094</v>
      </c>
      <c r="E191" s="4">
        <v>8</v>
      </c>
      <c r="F191" s="2">
        <v>1108</v>
      </c>
      <c r="G191" s="5">
        <v>0.088522381685341</v>
      </c>
      <c r="H191" s="2">
        <v>55800</v>
      </c>
      <c r="I191" s="2">
        <v>83683</v>
      </c>
      <c r="J191" s="2">
        <v>4225200</v>
      </c>
      <c r="K191" s="2">
        <f t="shared" si="2"/>
        <v>25351200</v>
      </c>
    </row>
    <row r="192" ht="17.25" spans="2:11">
      <c r="B192" s="2">
        <v>190</v>
      </c>
      <c r="C192" s="3">
        <v>1304.00000000003</v>
      </c>
      <c r="D192" s="4">
        <v>1146.1988304094</v>
      </c>
      <c r="E192" s="4">
        <v>8</v>
      </c>
      <c r="F192" s="2">
        <v>1116</v>
      </c>
      <c r="G192" s="5">
        <v>0.08775572793778</v>
      </c>
      <c r="H192" s="2">
        <v>55800</v>
      </c>
      <c r="I192" s="2">
        <v>84799</v>
      </c>
      <c r="J192" s="2">
        <v>4281000</v>
      </c>
      <c r="K192" s="2">
        <f t="shared" si="2"/>
        <v>25686000</v>
      </c>
    </row>
    <row r="193" ht="17.25" spans="2:11">
      <c r="B193" s="2">
        <v>191</v>
      </c>
      <c r="C193" s="3">
        <v>1304.00000000003</v>
      </c>
      <c r="D193" s="4">
        <v>1146.1988304094</v>
      </c>
      <c r="E193" s="4">
        <v>8</v>
      </c>
      <c r="F193" s="2">
        <v>1124</v>
      </c>
      <c r="G193" s="5">
        <v>0.086922736802007</v>
      </c>
      <c r="H193" s="2">
        <v>56400</v>
      </c>
      <c r="I193" s="2">
        <v>85923</v>
      </c>
      <c r="J193" s="2">
        <v>4337400</v>
      </c>
      <c r="K193" s="2">
        <f t="shared" si="2"/>
        <v>26024400</v>
      </c>
    </row>
    <row r="194" ht="17.25" spans="2:11">
      <c r="B194" s="2">
        <v>192</v>
      </c>
      <c r="C194" s="3">
        <v>1304.00000000003</v>
      </c>
      <c r="D194" s="4">
        <v>1146.1988304094</v>
      </c>
      <c r="E194" s="4">
        <v>8</v>
      </c>
      <c r="F194" s="2">
        <v>1132</v>
      </c>
      <c r="G194" s="5">
        <v>0.0860258031362</v>
      </c>
      <c r="H194" s="2">
        <v>57000</v>
      </c>
      <c r="I194" s="2">
        <v>87055</v>
      </c>
      <c r="J194" s="2">
        <v>4394400</v>
      </c>
      <c r="K194" s="2">
        <f t="shared" si="2"/>
        <v>26366400</v>
      </c>
    </row>
    <row r="195" ht="17.25" spans="2:11">
      <c r="B195" s="2">
        <v>193</v>
      </c>
      <c r="C195" s="3">
        <v>1304.00000000003</v>
      </c>
      <c r="D195" s="4">
        <v>1146.1988304094</v>
      </c>
      <c r="E195" s="4">
        <v>8</v>
      </c>
      <c r="F195" s="2">
        <v>1140</v>
      </c>
      <c r="G195" s="5">
        <v>0.08506720789296</v>
      </c>
      <c r="H195" s="2">
        <v>57000</v>
      </c>
      <c r="I195" s="2">
        <v>88195</v>
      </c>
      <c r="J195" s="2">
        <v>4451400</v>
      </c>
      <c r="K195" s="2">
        <f t="shared" ref="K195:K258" si="3">J195*6</f>
        <v>26708400</v>
      </c>
    </row>
    <row r="196" ht="17.25" spans="2:11">
      <c r="B196" s="2">
        <v>194</v>
      </c>
      <c r="C196" s="3">
        <v>1304.00000000003</v>
      </c>
      <c r="D196" s="4">
        <v>1146.1988304094</v>
      </c>
      <c r="E196" s="4">
        <v>8</v>
      </c>
      <c r="F196" s="2">
        <v>1148</v>
      </c>
      <c r="G196" s="5">
        <v>0.084049124811786</v>
      </c>
      <c r="H196" s="2">
        <v>57600</v>
      </c>
      <c r="I196" s="2">
        <v>89343</v>
      </c>
      <c r="J196" s="2">
        <v>4509000</v>
      </c>
      <c r="K196" s="2">
        <f t="shared" si="3"/>
        <v>27054000</v>
      </c>
    </row>
    <row r="197" ht="17.25" spans="2:11">
      <c r="B197" s="2">
        <v>195</v>
      </c>
      <c r="C197" s="3">
        <v>1304.00000000003</v>
      </c>
      <c r="D197" s="4">
        <v>1146.1988304094</v>
      </c>
      <c r="E197" s="4">
        <v>8</v>
      </c>
      <c r="F197" s="2">
        <v>1156</v>
      </c>
      <c r="G197" s="5">
        <v>0.082973626645171</v>
      </c>
      <c r="H197" s="2">
        <v>58200</v>
      </c>
      <c r="I197" s="2">
        <v>90499</v>
      </c>
      <c r="J197" s="2">
        <v>4567200</v>
      </c>
      <c r="K197" s="2">
        <f t="shared" si="3"/>
        <v>27403200</v>
      </c>
    </row>
    <row r="198" ht="17.25" spans="2:11">
      <c r="B198" s="2">
        <v>196</v>
      </c>
      <c r="C198" s="3">
        <v>1304.00000000003</v>
      </c>
      <c r="D198" s="4">
        <v>1146.1988304094</v>
      </c>
      <c r="E198" s="4">
        <v>8</v>
      </c>
      <c r="F198" s="2">
        <v>1164</v>
      </c>
      <c r="G198" s="5">
        <v>0.081842690955807</v>
      </c>
      <c r="H198" s="2">
        <v>58200</v>
      </c>
      <c r="I198" s="2">
        <v>91663</v>
      </c>
      <c r="J198" s="2">
        <v>4625400</v>
      </c>
      <c r="K198" s="2">
        <f t="shared" si="3"/>
        <v>27752400</v>
      </c>
    </row>
    <row r="199" ht="17.25" spans="2:11">
      <c r="B199" s="2">
        <v>197</v>
      </c>
      <c r="C199" s="3">
        <v>1304.00000000003</v>
      </c>
      <c r="D199" s="4">
        <v>1146.1988304094</v>
      </c>
      <c r="E199" s="4">
        <v>8</v>
      </c>
      <c r="F199" s="2">
        <v>1172</v>
      </c>
      <c r="G199" s="5">
        <v>0.080658205518967</v>
      </c>
      <c r="H199" s="2">
        <v>58800</v>
      </c>
      <c r="I199" s="2">
        <v>92835</v>
      </c>
      <c r="J199" s="2">
        <v>4684200</v>
      </c>
      <c r="K199" s="2">
        <f t="shared" si="3"/>
        <v>28105200</v>
      </c>
    </row>
    <row r="200" ht="17.25" spans="2:11">
      <c r="B200" s="2">
        <v>198</v>
      </c>
      <c r="C200" s="3">
        <v>1304.00000000003</v>
      </c>
      <c r="D200" s="4">
        <v>1146.1988304094</v>
      </c>
      <c r="E200" s="4">
        <v>8</v>
      </c>
      <c r="F200" s="2">
        <v>1180</v>
      </c>
      <c r="G200" s="5">
        <v>0.079421973361098</v>
      </c>
      <c r="H200" s="2">
        <v>59400</v>
      </c>
      <c r="I200" s="2">
        <v>94015</v>
      </c>
      <c r="J200" s="2">
        <v>4743600</v>
      </c>
      <c r="K200" s="2">
        <f t="shared" si="3"/>
        <v>28461600</v>
      </c>
    </row>
    <row r="201" ht="17.25" spans="2:11">
      <c r="B201" s="2">
        <v>199</v>
      </c>
      <c r="C201" s="3">
        <v>1304.00000000003</v>
      </c>
      <c r="D201" s="4">
        <v>1146.1988304094</v>
      </c>
      <c r="E201" s="4">
        <v>8</v>
      </c>
      <c r="F201" s="2">
        <v>1188</v>
      </c>
      <c r="G201" s="5">
        <v>0.078135717462873</v>
      </c>
      <c r="H201" s="2">
        <v>59400</v>
      </c>
      <c r="I201" s="2">
        <v>95203</v>
      </c>
      <c r="J201" s="2">
        <v>4803000</v>
      </c>
      <c r="K201" s="2">
        <f t="shared" si="3"/>
        <v>28818000</v>
      </c>
    </row>
    <row r="202" ht="17.25" spans="2:11">
      <c r="B202" s="2">
        <v>200</v>
      </c>
      <c r="C202" s="3">
        <v>1304.00000000003</v>
      </c>
      <c r="D202" s="4">
        <v>1146.1988304094</v>
      </c>
      <c r="E202" s="4">
        <v>8</v>
      </c>
      <c r="F202" s="2">
        <v>1196</v>
      </c>
      <c r="G202" s="5">
        <v>0.076801085152496</v>
      </c>
      <c r="H202" s="2">
        <v>60000</v>
      </c>
      <c r="I202" s="2">
        <v>96399</v>
      </c>
      <c r="J202" s="2">
        <v>4863000</v>
      </c>
      <c r="K202" s="2">
        <f t="shared" si="3"/>
        <v>29178000</v>
      </c>
    </row>
    <row r="203" ht="17.25" spans="2:11">
      <c r="B203" s="2">
        <v>201</v>
      </c>
      <c r="C203" s="3">
        <v>1304.00000000003</v>
      </c>
      <c r="D203" s="4">
        <v>1146.1988304094</v>
      </c>
      <c r="E203" s="4">
        <v>8</v>
      </c>
      <c r="F203" s="2">
        <v>1204</v>
      </c>
      <c r="G203" s="5">
        <v>0.075419652212792</v>
      </c>
      <c r="H203" s="2">
        <v>60600</v>
      </c>
      <c r="I203" s="2">
        <v>97603</v>
      </c>
      <c r="J203" s="2">
        <v>4923600</v>
      </c>
      <c r="K203" s="2">
        <f t="shared" si="3"/>
        <v>29541600</v>
      </c>
    </row>
    <row r="204" ht="17.25" spans="2:11">
      <c r="B204" s="2">
        <v>202</v>
      </c>
      <c r="C204" s="3">
        <v>1304.00000000003</v>
      </c>
      <c r="D204" s="4">
        <v>1146.1988304094</v>
      </c>
      <c r="E204" s="4">
        <v>8</v>
      </c>
      <c r="F204" s="2">
        <v>1212</v>
      </c>
      <c r="G204" s="5">
        <v>0.073992926723613</v>
      </c>
      <c r="H204" s="2">
        <v>60600</v>
      </c>
      <c r="I204" s="2">
        <v>98815</v>
      </c>
      <c r="J204" s="2">
        <v>4984200</v>
      </c>
      <c r="K204" s="2">
        <f t="shared" si="3"/>
        <v>29905200</v>
      </c>
    </row>
    <row r="205" ht="17.25" spans="2:11">
      <c r="B205" s="2">
        <v>203</v>
      </c>
      <c r="C205" s="3">
        <v>1304.00000000003</v>
      </c>
      <c r="D205" s="4">
        <v>1146.1988304094</v>
      </c>
      <c r="E205" s="4">
        <v>8</v>
      </c>
      <c r="F205" s="2">
        <v>1220</v>
      </c>
      <c r="G205" s="5">
        <v>0.072522352659241</v>
      </c>
      <c r="H205" s="2">
        <v>61200</v>
      </c>
      <c r="I205" s="2">
        <v>100035</v>
      </c>
      <c r="J205" s="2">
        <v>5045400</v>
      </c>
      <c r="K205" s="2">
        <f t="shared" si="3"/>
        <v>30272400</v>
      </c>
    </row>
    <row r="206" ht="17.25" spans="2:11">
      <c r="B206" s="2">
        <v>204</v>
      </c>
      <c r="C206" s="3">
        <v>1304.00000000003</v>
      </c>
      <c r="D206" s="4">
        <v>1146.1988304094</v>
      </c>
      <c r="E206" s="4">
        <v>8</v>
      </c>
      <c r="F206" s="2">
        <v>1228</v>
      </c>
      <c r="G206" s="5">
        <v>0.071009313258825</v>
      </c>
      <c r="H206" s="2">
        <v>61800</v>
      </c>
      <c r="I206" s="2">
        <v>101263</v>
      </c>
      <c r="J206" s="2">
        <v>5107200</v>
      </c>
      <c r="K206" s="2">
        <f t="shared" si="3"/>
        <v>30643200</v>
      </c>
    </row>
    <row r="207" ht="17.25" spans="2:11">
      <c r="B207" s="2">
        <v>205</v>
      </c>
      <c r="C207" s="3">
        <v>1304.00000000003</v>
      </c>
      <c r="D207" s="4">
        <v>1146.1988304094</v>
      </c>
      <c r="E207" s="4">
        <v>8</v>
      </c>
      <c r="F207" s="2">
        <v>1236</v>
      </c>
      <c r="G207" s="5">
        <v>0.069455134186389</v>
      </c>
      <c r="H207" s="2">
        <v>61800</v>
      </c>
      <c r="I207" s="2">
        <v>102499</v>
      </c>
      <c r="J207" s="2">
        <v>5169000</v>
      </c>
      <c r="K207" s="2">
        <f t="shared" si="3"/>
        <v>31014000</v>
      </c>
    </row>
    <row r="208" ht="17.25" spans="2:11">
      <c r="B208" s="2">
        <v>206</v>
      </c>
      <c r="C208" s="3">
        <v>1304.00000000003</v>
      </c>
      <c r="D208" s="4">
        <v>1146.1988304094</v>
      </c>
      <c r="E208" s="4">
        <v>8</v>
      </c>
      <c r="F208" s="2">
        <v>1244</v>
      </c>
      <c r="G208" s="5">
        <v>0.067861086495566</v>
      </c>
      <c r="H208" s="2">
        <v>62400</v>
      </c>
      <c r="I208" s="2">
        <v>103743</v>
      </c>
      <c r="J208" s="2">
        <v>5231400</v>
      </c>
      <c r="K208" s="2">
        <f t="shared" si="3"/>
        <v>31388400</v>
      </c>
    </row>
    <row r="209" ht="17.25" spans="2:11">
      <c r="B209" s="2">
        <v>207</v>
      </c>
      <c r="C209" s="3">
        <v>1304.00000000003</v>
      </c>
      <c r="D209" s="4">
        <v>1146.1988304094</v>
      </c>
      <c r="E209" s="4">
        <v>8</v>
      </c>
      <c r="F209" s="2">
        <v>1252</v>
      </c>
      <c r="G209" s="5">
        <v>0.066228389413013</v>
      </c>
      <c r="H209" s="2">
        <v>63000</v>
      </c>
      <c r="I209" s="2">
        <v>104995</v>
      </c>
      <c r="J209" s="2">
        <v>5294400</v>
      </c>
      <c r="K209" s="2">
        <f t="shared" si="3"/>
        <v>31766400</v>
      </c>
    </row>
    <row r="210" ht="17.25" spans="2:11">
      <c r="B210" s="2">
        <v>208</v>
      </c>
      <c r="C210" s="3">
        <v>1304.00000000003</v>
      </c>
      <c r="D210" s="4">
        <v>1146.1988304094</v>
      </c>
      <c r="E210" s="4">
        <v>8</v>
      </c>
      <c r="F210" s="2">
        <v>1260</v>
      </c>
      <c r="G210" s="5">
        <v>0.0645582129533</v>
      </c>
      <c r="H210" s="2">
        <v>63000</v>
      </c>
      <c r="I210" s="2">
        <v>106255</v>
      </c>
      <c r="J210" s="2">
        <v>5357400</v>
      </c>
      <c r="K210" s="2">
        <f t="shared" si="3"/>
        <v>32144400</v>
      </c>
    </row>
    <row r="211" ht="17.25" spans="2:11">
      <c r="B211" s="2">
        <v>209</v>
      </c>
      <c r="C211" s="3">
        <v>1304.00000000003</v>
      </c>
      <c r="D211" s="4">
        <v>1146.1988304094</v>
      </c>
      <c r="E211" s="4">
        <v>8</v>
      </c>
      <c r="F211" s="2">
        <v>1268</v>
      </c>
      <c r="G211" s="5">
        <v>0.06285168037706</v>
      </c>
      <c r="H211" s="2">
        <v>63600</v>
      </c>
      <c r="I211" s="2">
        <v>107523</v>
      </c>
      <c r="J211" s="2">
        <v>5421000</v>
      </c>
      <c r="K211" s="2">
        <f t="shared" si="3"/>
        <v>32526000</v>
      </c>
    </row>
    <row r="212" ht="17.25" spans="2:11">
      <c r="B212" s="2">
        <v>210</v>
      </c>
      <c r="C212" s="3">
        <v>1304.00000000003</v>
      </c>
      <c r="D212" s="4">
        <v>1146.1988304094</v>
      </c>
      <c r="E212" s="4">
        <v>8</v>
      </c>
      <c r="F212" s="2">
        <v>1276</v>
      </c>
      <c r="G212" s="5">
        <v>0.061109870503256</v>
      </c>
      <c r="H212" s="2">
        <v>64200</v>
      </c>
      <c r="I212" s="2">
        <v>108799</v>
      </c>
      <c r="J212" s="2">
        <v>5485200</v>
      </c>
      <c r="K212" s="2">
        <f t="shared" si="3"/>
        <v>32911200</v>
      </c>
    </row>
    <row r="213" ht="17.25" spans="2:11">
      <c r="B213" s="2">
        <v>211</v>
      </c>
      <c r="C213" s="3">
        <v>1304.00000000003</v>
      </c>
      <c r="D213" s="4">
        <v>1146.1988304094</v>
      </c>
      <c r="E213" s="4">
        <v>8</v>
      </c>
      <c r="F213" s="2">
        <v>1284</v>
      </c>
      <c r="G213" s="5">
        <v>0.059333819885569</v>
      </c>
      <c r="H213" s="2">
        <v>64200</v>
      </c>
      <c r="I213" s="2">
        <v>110083</v>
      </c>
      <c r="J213" s="2">
        <v>5549400</v>
      </c>
      <c r="K213" s="2">
        <f t="shared" si="3"/>
        <v>33296400</v>
      </c>
    </row>
    <row r="214" ht="17.25" spans="2:11">
      <c r="B214" s="2">
        <v>212</v>
      </c>
      <c r="C214" s="3">
        <v>1304.00000000003</v>
      </c>
      <c r="D214" s="4">
        <v>1146.1988304094</v>
      </c>
      <c r="E214" s="4">
        <v>8</v>
      </c>
      <c r="F214" s="2">
        <v>1292</v>
      </c>
      <c r="G214" s="5">
        <v>0.05752452486212</v>
      </c>
      <c r="H214" s="2">
        <v>64800</v>
      </c>
      <c r="I214" s="2">
        <v>111375</v>
      </c>
      <c r="J214" s="2">
        <v>5614200</v>
      </c>
      <c r="K214" s="2">
        <f t="shared" si="3"/>
        <v>33685200</v>
      </c>
    </row>
    <row r="215" ht="17.25" spans="2:11">
      <c r="B215" s="2">
        <v>213</v>
      </c>
      <c r="C215" s="3">
        <v>1304.00000000003</v>
      </c>
      <c r="D215" s="4">
        <v>1146.1988304094</v>
      </c>
      <c r="E215" s="4">
        <v>8</v>
      </c>
      <c r="F215" s="2">
        <v>1300</v>
      </c>
      <c r="G215" s="5">
        <v>0.055682943487062</v>
      </c>
      <c r="H215" s="2">
        <v>65400</v>
      </c>
      <c r="I215" s="2">
        <v>112675</v>
      </c>
      <c r="J215" s="2">
        <v>5679600</v>
      </c>
      <c r="K215" s="2">
        <f t="shared" si="3"/>
        <v>34077600</v>
      </c>
    </row>
    <row r="216" ht="17.25" spans="2:11">
      <c r="B216" s="2">
        <v>214</v>
      </c>
      <c r="C216" s="3">
        <v>1304.00000000003</v>
      </c>
      <c r="D216" s="4">
        <v>1146.1988304094</v>
      </c>
      <c r="E216" s="4">
        <v>8</v>
      </c>
      <c r="F216" s="2">
        <v>1308</v>
      </c>
      <c r="G216" s="5">
        <v>0.053809997351893</v>
      </c>
      <c r="H216" s="2">
        <v>65400</v>
      </c>
      <c r="I216" s="2">
        <v>113983</v>
      </c>
      <c r="J216" s="2">
        <v>5745000</v>
      </c>
      <c r="K216" s="2">
        <f t="shared" si="3"/>
        <v>34470000</v>
      </c>
    </row>
    <row r="217" ht="17.25" spans="2:11">
      <c r="B217" s="2">
        <v>215</v>
      </c>
      <c r="C217" s="3">
        <v>1304.00000000003</v>
      </c>
      <c r="D217" s="4">
        <v>1146.1988304094</v>
      </c>
      <c r="E217" s="4">
        <v>8</v>
      </c>
      <c r="F217" s="2">
        <v>1316</v>
      </c>
      <c r="G217" s="5">
        <v>0.051906573303775</v>
      </c>
      <c r="H217" s="2">
        <v>66000</v>
      </c>
      <c r="I217" s="2">
        <v>115299</v>
      </c>
      <c r="J217" s="2">
        <v>5811000</v>
      </c>
      <c r="K217" s="2">
        <f t="shared" si="3"/>
        <v>34866000</v>
      </c>
    </row>
    <row r="218" ht="17.25" spans="2:11">
      <c r="B218" s="2">
        <v>216</v>
      </c>
      <c r="C218" s="3">
        <v>1304.00000000003</v>
      </c>
      <c r="D218" s="4">
        <v>1146.1988304094</v>
      </c>
      <c r="E218" s="4">
        <v>8</v>
      </c>
      <c r="F218" s="2">
        <v>1324</v>
      </c>
      <c r="G218" s="5">
        <v>0.04997352506759</v>
      </c>
      <c r="H218" s="2">
        <v>66600</v>
      </c>
      <c r="I218" s="2">
        <v>116623</v>
      </c>
      <c r="J218" s="2">
        <v>5877600</v>
      </c>
      <c r="K218" s="2">
        <f t="shared" si="3"/>
        <v>35265600</v>
      </c>
    </row>
    <row r="219" ht="17.25" spans="2:11">
      <c r="B219" s="2">
        <v>217</v>
      </c>
      <c r="C219" s="3">
        <v>1304.00000000003</v>
      </c>
      <c r="D219" s="4">
        <v>1146.1988304094</v>
      </c>
      <c r="E219" s="4">
        <v>8</v>
      </c>
      <c r="F219" s="2">
        <v>1332</v>
      </c>
      <c r="G219" s="5">
        <v>0.048011674777963</v>
      </c>
      <c r="H219" s="2">
        <v>66600</v>
      </c>
      <c r="I219" s="2">
        <v>117955</v>
      </c>
      <c r="J219" s="2">
        <v>5944200</v>
      </c>
      <c r="K219" s="2">
        <f t="shared" si="3"/>
        <v>35665200</v>
      </c>
    </row>
    <row r="220" ht="17.25" spans="2:11">
      <c r="B220" s="2">
        <v>218</v>
      </c>
      <c r="C220" s="3">
        <v>1304.00000000003</v>
      </c>
      <c r="D220" s="4">
        <v>1146.1988304094</v>
      </c>
      <c r="E220" s="4">
        <v>8</v>
      </c>
      <c r="F220" s="2">
        <v>1340</v>
      </c>
      <c r="G220" s="5">
        <v>0.046021814427031</v>
      </c>
      <c r="H220" s="2">
        <v>67200</v>
      </c>
      <c r="I220" s="2">
        <v>119295</v>
      </c>
      <c r="J220" s="2">
        <v>6011400</v>
      </c>
      <c r="K220" s="2">
        <f t="shared" si="3"/>
        <v>36068400</v>
      </c>
    </row>
    <row r="221" ht="17.25" spans="2:11">
      <c r="B221" s="2">
        <v>219</v>
      </c>
      <c r="C221" s="3">
        <v>1304.00000000003</v>
      </c>
      <c r="D221" s="4">
        <v>1146.1988304094</v>
      </c>
      <c r="E221" s="4">
        <v>8</v>
      </c>
      <c r="F221" s="2">
        <v>1348</v>
      </c>
      <c r="G221" s="5">
        <v>0.044004707233315</v>
      </c>
      <c r="H221" s="2">
        <v>67800</v>
      </c>
      <c r="I221" s="2">
        <v>120643</v>
      </c>
      <c r="J221" s="2">
        <v>6079200</v>
      </c>
      <c r="K221" s="2">
        <f t="shared" si="3"/>
        <v>36475200</v>
      </c>
    </row>
    <row r="222" ht="17.25" spans="2:11">
      <c r="B222" s="2">
        <v>220</v>
      </c>
      <c r="C222" s="3">
        <v>1304.00000000003</v>
      </c>
      <c r="D222" s="4">
        <v>1146.1988304094</v>
      </c>
      <c r="E222" s="4">
        <v>8</v>
      </c>
      <c r="F222" s="2">
        <v>1356</v>
      </c>
      <c r="G222" s="5">
        <v>0.041961088936664</v>
      </c>
      <c r="H222" s="2">
        <v>67800</v>
      </c>
      <c r="I222" s="2">
        <v>121999</v>
      </c>
      <c r="J222" s="2">
        <v>6147000</v>
      </c>
      <c r="K222" s="2">
        <f t="shared" si="3"/>
        <v>36882000</v>
      </c>
    </row>
    <row r="223" ht="17.25" spans="2:11">
      <c r="B223" s="2">
        <v>221</v>
      </c>
      <c r="C223" s="3">
        <v>1304.00000000003</v>
      </c>
      <c r="D223" s="4">
        <v>1146.1988304094</v>
      </c>
      <c r="E223" s="4">
        <v>8</v>
      </c>
      <c r="F223" s="2">
        <v>1364</v>
      </c>
      <c r="G223" s="5">
        <v>0.039891669023891</v>
      </c>
      <c r="H223" s="2">
        <v>68400</v>
      </c>
      <c r="I223" s="2">
        <v>123363</v>
      </c>
      <c r="J223" s="2">
        <v>6215400</v>
      </c>
      <c r="K223" s="2">
        <f t="shared" si="3"/>
        <v>37292400</v>
      </c>
    </row>
    <row r="224" ht="17.25" spans="2:11">
      <c r="B224" s="2">
        <v>222</v>
      </c>
      <c r="C224" s="3">
        <v>1304.00000000003</v>
      </c>
      <c r="D224" s="4">
        <v>1146.1988304094</v>
      </c>
      <c r="E224" s="4">
        <v>8</v>
      </c>
      <c r="F224" s="2">
        <v>1372</v>
      </c>
      <c r="G224" s="5">
        <v>0.037797131889387</v>
      </c>
      <c r="H224" s="2">
        <v>69000</v>
      </c>
      <c r="I224" s="2">
        <v>124735</v>
      </c>
      <c r="J224" s="2">
        <v>6284400</v>
      </c>
      <c r="K224" s="2">
        <f t="shared" si="3"/>
        <v>37706400</v>
      </c>
    </row>
    <row r="225" ht="17.25" spans="2:11">
      <c r="B225" s="2">
        <v>223</v>
      </c>
      <c r="C225" s="3">
        <v>1304.00000000003</v>
      </c>
      <c r="D225" s="4">
        <v>1146.1988304094</v>
      </c>
      <c r="E225" s="4">
        <v>8</v>
      </c>
      <c r="F225" s="2">
        <v>1380</v>
      </c>
      <c r="G225" s="5">
        <v>0.035678137934699</v>
      </c>
      <c r="H225" s="2">
        <v>69000</v>
      </c>
      <c r="I225" s="2">
        <v>126115</v>
      </c>
      <c r="J225" s="2">
        <v>6353400</v>
      </c>
      <c r="K225" s="2">
        <f t="shared" si="3"/>
        <v>38120400</v>
      </c>
    </row>
    <row r="226" ht="17.25" spans="2:11">
      <c r="B226" s="2">
        <v>224</v>
      </c>
      <c r="C226" s="3">
        <v>1304.00000000003</v>
      </c>
      <c r="D226" s="4">
        <v>1146.1988304094</v>
      </c>
      <c r="E226" s="4">
        <v>8</v>
      </c>
      <c r="F226" s="2">
        <v>1388</v>
      </c>
      <c r="G226" s="5">
        <v>0.033535324610802</v>
      </c>
      <c r="H226" s="2">
        <v>69600</v>
      </c>
      <c r="I226" s="2">
        <v>127503</v>
      </c>
      <c r="J226" s="2">
        <v>6423000</v>
      </c>
      <c r="K226" s="2">
        <f t="shared" si="3"/>
        <v>38538000</v>
      </c>
    </row>
    <row r="227" ht="17.25" spans="2:11">
      <c r="B227" s="2">
        <v>225</v>
      </c>
      <c r="C227" s="3">
        <v>1304.00000000003</v>
      </c>
      <c r="D227" s="4">
        <v>1146.1988304094</v>
      </c>
      <c r="E227" s="4">
        <v>8</v>
      </c>
      <c r="F227" s="2">
        <v>1396</v>
      </c>
      <c r="G227" s="5">
        <v>0.031369307406488</v>
      </c>
      <c r="H227" s="2">
        <v>70200</v>
      </c>
      <c r="I227" s="2">
        <v>128899</v>
      </c>
      <c r="J227" s="2">
        <v>6493200</v>
      </c>
      <c r="K227" s="2">
        <f t="shared" si="3"/>
        <v>38959200</v>
      </c>
    </row>
    <row r="228" ht="17.25" spans="2:11">
      <c r="B228" s="2">
        <v>226</v>
      </c>
      <c r="C228" s="3">
        <v>1304.00000000003</v>
      </c>
      <c r="D228" s="4">
        <v>1146.1988304094</v>
      </c>
      <c r="E228" s="4">
        <v>8</v>
      </c>
      <c r="F228" s="2">
        <v>1404</v>
      </c>
      <c r="G228" s="5">
        <v>0.029180680786128</v>
      </c>
      <c r="H228" s="2">
        <v>70200</v>
      </c>
      <c r="I228" s="2">
        <v>130303</v>
      </c>
      <c r="J228" s="2">
        <v>6563400</v>
      </c>
      <c r="K228" s="2">
        <f t="shared" si="3"/>
        <v>39380400</v>
      </c>
    </row>
    <row r="229" ht="17.25" spans="2:11">
      <c r="B229" s="2">
        <v>227</v>
      </c>
      <c r="C229" s="3">
        <v>1304.00000000003</v>
      </c>
      <c r="D229" s="4">
        <v>1146.1988304094</v>
      </c>
      <c r="E229" s="4">
        <v>8</v>
      </c>
      <c r="F229" s="2">
        <v>1412</v>
      </c>
      <c r="G229" s="5">
        <v>0.026970019079781</v>
      </c>
      <c r="H229" s="2">
        <v>70800</v>
      </c>
      <c r="I229" s="2">
        <v>131715</v>
      </c>
      <c r="J229" s="2">
        <v>6634200</v>
      </c>
      <c r="K229" s="2">
        <f t="shared" si="3"/>
        <v>39805200</v>
      </c>
    </row>
    <row r="230" ht="17.25" spans="2:11">
      <c r="B230" s="2">
        <v>228</v>
      </c>
      <c r="C230" s="3">
        <v>1304.00000000003</v>
      </c>
      <c r="D230" s="4">
        <v>1146.1988304094</v>
      </c>
      <c r="E230" s="4">
        <v>8</v>
      </c>
      <c r="F230" s="2">
        <v>1420</v>
      </c>
      <c r="G230" s="5">
        <v>0.024737877328465</v>
      </c>
      <c r="H230" s="2">
        <v>71400</v>
      </c>
      <c r="I230" s="2">
        <v>133135</v>
      </c>
      <c r="J230" s="2">
        <v>6705600</v>
      </c>
      <c r="K230" s="2">
        <f t="shared" si="3"/>
        <v>40233600</v>
      </c>
    </row>
    <row r="231" ht="17.25" spans="2:11">
      <c r="B231" s="2">
        <v>229</v>
      </c>
      <c r="C231" s="3">
        <v>1304.00000000003</v>
      </c>
      <c r="D231" s="4">
        <v>1146.1988304094</v>
      </c>
      <c r="E231" s="4">
        <v>8</v>
      </c>
      <c r="F231" s="2">
        <v>1428</v>
      </c>
      <c r="G231" s="5">
        <v>0.022484792087204</v>
      </c>
      <c r="H231" s="2">
        <v>71400</v>
      </c>
      <c r="I231" s="2">
        <v>134563</v>
      </c>
      <c r="J231" s="2">
        <v>6777000</v>
      </c>
      <c r="K231" s="2">
        <f t="shared" si="3"/>
        <v>40662000</v>
      </c>
    </row>
    <row r="232" ht="17.25" spans="2:11">
      <c r="B232" s="2">
        <v>230</v>
      </c>
      <c r="C232" s="3">
        <v>1304.00000000003</v>
      </c>
      <c r="D232" s="4">
        <v>1146.1988304094</v>
      </c>
      <c r="E232" s="4">
        <v>8</v>
      </c>
      <c r="F232" s="2">
        <v>1436</v>
      </c>
      <c r="G232" s="5">
        <v>0.020211282188274</v>
      </c>
      <c r="H232" s="2">
        <v>72000</v>
      </c>
      <c r="I232" s="2">
        <v>135999</v>
      </c>
      <c r="J232" s="2">
        <v>6849000</v>
      </c>
      <c r="K232" s="2">
        <f t="shared" si="3"/>
        <v>41094000</v>
      </c>
    </row>
    <row r="233" ht="17.25" spans="2:11">
      <c r="B233" s="2">
        <v>231</v>
      </c>
      <c r="C233" s="3">
        <v>1304.00000000003</v>
      </c>
      <c r="D233" s="4">
        <v>1146.1988304094</v>
      </c>
      <c r="E233" s="4">
        <v>8</v>
      </c>
      <c r="F233" s="2">
        <v>1444</v>
      </c>
      <c r="G233" s="5">
        <v>0.017917849466962</v>
      </c>
      <c r="H233" s="2">
        <v>72600</v>
      </c>
      <c r="I233" s="2">
        <v>137443</v>
      </c>
      <c r="J233" s="2">
        <v>6921600</v>
      </c>
      <c r="K233" s="2">
        <f t="shared" si="3"/>
        <v>41529600</v>
      </c>
    </row>
    <row r="234" ht="17.25" spans="2:11">
      <c r="B234" s="2">
        <v>232</v>
      </c>
      <c r="C234" s="3">
        <v>1304.00000000003</v>
      </c>
      <c r="D234" s="4">
        <v>1146.1988304094</v>
      </c>
      <c r="E234" s="4">
        <v>8</v>
      </c>
      <c r="F234" s="2">
        <v>1452</v>
      </c>
      <c r="G234" s="5">
        <v>0.015604979451931</v>
      </c>
      <c r="H234" s="2">
        <v>72600</v>
      </c>
      <c r="I234" s="2">
        <v>138895</v>
      </c>
      <c r="J234" s="2">
        <v>6994200</v>
      </c>
      <c r="K234" s="2">
        <f t="shared" si="3"/>
        <v>41965200</v>
      </c>
    </row>
    <row r="235" ht="17.25" spans="2:11">
      <c r="B235" s="2">
        <v>233</v>
      </c>
      <c r="C235" s="3">
        <v>1304.00000000003</v>
      </c>
      <c r="D235" s="4">
        <v>1146.1988304094</v>
      </c>
      <c r="E235" s="4">
        <v>8</v>
      </c>
      <c r="F235" s="2">
        <v>1460</v>
      </c>
      <c r="G235" s="5">
        <v>0.013273142022222</v>
      </c>
      <c r="H235" s="2">
        <v>73200</v>
      </c>
      <c r="I235" s="2">
        <v>140355</v>
      </c>
      <c r="J235" s="2">
        <v>7067400</v>
      </c>
      <c r="K235" s="2">
        <f t="shared" si="3"/>
        <v>42404400</v>
      </c>
    </row>
    <row r="236" ht="17.25" spans="2:11">
      <c r="B236" s="2">
        <v>234</v>
      </c>
      <c r="C236" s="3">
        <v>1304.00000000003</v>
      </c>
      <c r="D236" s="4">
        <v>1146.1988304094</v>
      </c>
      <c r="E236" s="4">
        <v>8</v>
      </c>
      <c r="F236" s="2">
        <v>1468</v>
      </c>
      <c r="G236" s="5">
        <v>0.010922792032741</v>
      </c>
      <c r="H236" s="2">
        <v>73800</v>
      </c>
      <c r="I236" s="2">
        <v>141823</v>
      </c>
      <c r="J236" s="2">
        <v>7141200</v>
      </c>
      <c r="K236" s="2">
        <f t="shared" si="3"/>
        <v>42847200</v>
      </c>
    </row>
    <row r="237" ht="17.25" spans="2:11">
      <c r="B237" s="2">
        <v>235</v>
      </c>
      <c r="C237" s="3">
        <v>1304.00000000003</v>
      </c>
      <c r="D237" s="4">
        <v>1146.1988304094</v>
      </c>
      <c r="E237" s="4">
        <v>8</v>
      </c>
      <c r="F237" s="2">
        <v>1476</v>
      </c>
      <c r="G237" s="5">
        <v>0.008554369909976</v>
      </c>
      <c r="H237" s="2">
        <v>73800</v>
      </c>
      <c r="I237" s="2">
        <v>143299</v>
      </c>
      <c r="J237" s="2">
        <v>7215000</v>
      </c>
      <c r="K237" s="2">
        <f t="shared" si="3"/>
        <v>43290000</v>
      </c>
    </row>
    <row r="238" ht="17.25" spans="2:11">
      <c r="B238" s="2">
        <v>236</v>
      </c>
      <c r="C238" s="3">
        <v>1304.00000000003</v>
      </c>
      <c r="D238" s="4">
        <v>1146.1988304094</v>
      </c>
      <c r="E238" s="4">
        <v>8</v>
      </c>
      <c r="F238" s="2">
        <v>1484</v>
      </c>
      <c r="G238" s="5">
        <v>0.006168302219607</v>
      </c>
      <c r="H238" s="2">
        <v>74400</v>
      </c>
      <c r="I238" s="2">
        <v>144783</v>
      </c>
      <c r="J238" s="2">
        <v>7289400</v>
      </c>
      <c r="K238" s="2">
        <f t="shared" si="3"/>
        <v>43736400</v>
      </c>
    </row>
    <row r="239" ht="17.25" spans="2:11">
      <c r="B239" s="2">
        <v>237</v>
      </c>
      <c r="C239" s="3">
        <v>1304.00000000003</v>
      </c>
      <c r="D239" s="4">
        <v>1146.1988304094</v>
      </c>
      <c r="E239" s="4">
        <v>8</v>
      </c>
      <c r="F239" s="2">
        <v>1492</v>
      </c>
      <c r="G239" s="5">
        <v>0.003765002207518</v>
      </c>
      <c r="H239" s="2">
        <v>75000</v>
      </c>
      <c r="I239" s="2">
        <v>146275</v>
      </c>
      <c r="J239" s="2">
        <v>7364400</v>
      </c>
      <c r="K239" s="2">
        <f t="shared" si="3"/>
        <v>44186400</v>
      </c>
    </row>
    <row r="240" ht="17.25" spans="2:11">
      <c r="B240" s="2">
        <v>238</v>
      </c>
      <c r="C240" s="3">
        <v>1304.00000000003</v>
      </c>
      <c r="D240" s="4">
        <v>1146.1988304094</v>
      </c>
      <c r="E240" s="4">
        <v>8</v>
      </c>
      <c r="F240" s="2">
        <v>1500</v>
      </c>
      <c r="G240" s="5">
        <v>0.001344870315669</v>
      </c>
      <c r="H240" s="2">
        <v>75000</v>
      </c>
      <c r="I240" s="2">
        <v>147775</v>
      </c>
      <c r="J240" s="2">
        <v>7439400</v>
      </c>
      <c r="K240" s="2">
        <f t="shared" si="3"/>
        <v>44636400</v>
      </c>
    </row>
    <row r="241" ht="17.25" spans="2:11">
      <c r="B241" s="2">
        <v>239</v>
      </c>
      <c r="C241" s="3">
        <v>1304.00000000003</v>
      </c>
      <c r="D241" s="4">
        <v>1146.1988304094</v>
      </c>
      <c r="E241" s="4">
        <v>8</v>
      </c>
      <c r="F241" s="2">
        <v>1508</v>
      </c>
      <c r="G241" s="5">
        <v>-0.001091705325823</v>
      </c>
      <c r="H241" s="2">
        <v>75600</v>
      </c>
      <c r="I241" s="2">
        <v>149283</v>
      </c>
      <c r="J241" s="2">
        <v>7515000</v>
      </c>
      <c r="K241" s="2">
        <f t="shared" si="3"/>
        <v>45090000</v>
      </c>
    </row>
    <row r="242" ht="17.25" spans="2:11">
      <c r="B242" s="2">
        <v>240</v>
      </c>
      <c r="C242" s="3">
        <v>1304.00000000003</v>
      </c>
      <c r="D242" s="4">
        <v>1146.1988304094</v>
      </c>
      <c r="E242" s="4">
        <v>8</v>
      </c>
      <c r="F242" s="2">
        <v>1516</v>
      </c>
      <c r="G242" s="5">
        <v>-0.003544348429119</v>
      </c>
      <c r="H242" s="2">
        <v>76200</v>
      </c>
      <c r="I242" s="2">
        <v>150799</v>
      </c>
      <c r="J242" s="2">
        <v>7591200</v>
      </c>
      <c r="K242" s="2">
        <f t="shared" si="3"/>
        <v>45547200</v>
      </c>
    </row>
    <row r="243" ht="17.25" spans="2:11">
      <c r="B243" s="2">
        <v>241</v>
      </c>
      <c r="C243" s="3">
        <v>1304.00000000003</v>
      </c>
      <c r="D243" s="4">
        <v>1146.1988304094</v>
      </c>
      <c r="E243" s="4">
        <v>8</v>
      </c>
      <c r="F243" s="2">
        <v>1524</v>
      </c>
      <c r="G243" s="5">
        <v>-0.006012694100435</v>
      </c>
      <c r="H243" s="2">
        <v>76200</v>
      </c>
      <c r="I243" s="2">
        <v>152323</v>
      </c>
      <c r="J243" s="2">
        <v>7667400</v>
      </c>
      <c r="K243" s="2">
        <f t="shared" si="3"/>
        <v>46004400</v>
      </c>
    </row>
    <row r="244" ht="17.25" spans="2:11">
      <c r="B244" s="2">
        <v>242</v>
      </c>
      <c r="C244" s="3">
        <v>1304.00000000003</v>
      </c>
      <c r="D244" s="4">
        <v>1146.1988304094</v>
      </c>
      <c r="E244" s="4">
        <v>8</v>
      </c>
      <c r="F244" s="2">
        <v>1532</v>
      </c>
      <c r="G244" s="5">
        <v>-0.008496388412006</v>
      </c>
      <c r="H244" s="2">
        <v>76800</v>
      </c>
      <c r="I244" s="2">
        <v>153855</v>
      </c>
      <c r="J244" s="2">
        <v>7744200</v>
      </c>
      <c r="K244" s="2">
        <f t="shared" si="3"/>
        <v>46465200</v>
      </c>
    </row>
    <row r="245" ht="17.25" spans="2:11">
      <c r="B245" s="2">
        <v>243</v>
      </c>
      <c r="C245" s="3">
        <v>1304.00000000003</v>
      </c>
      <c r="D245" s="4">
        <v>1146.1988304094</v>
      </c>
      <c r="E245" s="4">
        <v>8</v>
      </c>
      <c r="F245" s="2">
        <v>1540</v>
      </c>
      <c r="G245" s="5">
        <v>-0.010995087993217</v>
      </c>
      <c r="H245" s="2">
        <v>77400</v>
      </c>
      <c r="I245" s="2">
        <v>155395</v>
      </c>
      <c r="J245" s="2">
        <v>7821600</v>
      </c>
      <c r="K245" s="2">
        <f t="shared" si="3"/>
        <v>46929600</v>
      </c>
    </row>
    <row r="246" ht="17.25" spans="2:11">
      <c r="B246" s="2">
        <v>244</v>
      </c>
      <c r="C246" s="3">
        <v>1304.00000000003</v>
      </c>
      <c r="D246" s="4">
        <v>1146.1988304094</v>
      </c>
      <c r="E246" s="4">
        <v>8</v>
      </c>
      <c r="F246" s="2">
        <v>1548</v>
      </c>
      <c r="G246" s="5">
        <v>-0.013508459639883</v>
      </c>
      <c r="H246" s="2">
        <v>77400</v>
      </c>
      <c r="I246" s="2">
        <v>156943</v>
      </c>
      <c r="J246" s="2">
        <v>7899000</v>
      </c>
      <c r="K246" s="2">
        <f t="shared" si="3"/>
        <v>47394000</v>
      </c>
    </row>
    <row r="247" ht="17.25" spans="2:11">
      <c r="B247" s="2">
        <v>245</v>
      </c>
      <c r="C247" s="3">
        <v>1304.00000000003</v>
      </c>
      <c r="D247" s="4">
        <v>1146.1988304094</v>
      </c>
      <c r="E247" s="4">
        <v>8</v>
      </c>
      <c r="F247" s="2">
        <v>1556</v>
      </c>
      <c r="G247" s="5">
        <v>-0.016036179940756</v>
      </c>
      <c r="H247" s="2">
        <v>78000</v>
      </c>
      <c r="I247" s="2">
        <v>158499</v>
      </c>
      <c r="J247" s="2">
        <v>7977000</v>
      </c>
      <c r="K247" s="2">
        <f t="shared" si="3"/>
        <v>47862000</v>
      </c>
    </row>
    <row r="248" ht="17.25" spans="2:11">
      <c r="B248" s="2">
        <v>246</v>
      </c>
      <c r="C248" s="3">
        <v>1304.00000000003</v>
      </c>
      <c r="D248" s="4">
        <v>1146.1988304094</v>
      </c>
      <c r="E248" s="4">
        <v>8</v>
      </c>
      <c r="F248" s="2">
        <v>1564</v>
      </c>
      <c r="G248" s="5">
        <v>-0.018577934920384</v>
      </c>
      <c r="H248" s="2">
        <v>78600</v>
      </c>
      <c r="I248" s="2">
        <v>160063</v>
      </c>
      <c r="J248" s="2">
        <v>8055600</v>
      </c>
      <c r="K248" s="2">
        <f t="shared" si="3"/>
        <v>48333600</v>
      </c>
    </row>
    <row r="249" ht="17.25" spans="2:11">
      <c r="B249" s="2">
        <v>247</v>
      </c>
      <c r="C249" s="3">
        <v>1304.00000000003</v>
      </c>
      <c r="D249" s="4">
        <v>1146.1988304094</v>
      </c>
      <c r="E249" s="4">
        <v>8</v>
      </c>
      <c r="F249" s="2">
        <v>1572</v>
      </c>
      <c r="G249" s="5">
        <v>-0.021133419697476</v>
      </c>
      <c r="H249" s="2">
        <v>78600</v>
      </c>
      <c r="I249" s="2">
        <v>161635</v>
      </c>
      <c r="J249" s="2">
        <v>8134200</v>
      </c>
      <c r="K249" s="2">
        <f t="shared" si="3"/>
        <v>48805200</v>
      </c>
    </row>
    <row r="250" ht="17.25" spans="2:11">
      <c r="B250" s="2">
        <v>248</v>
      </c>
      <c r="C250" s="3">
        <v>1304.00000000003</v>
      </c>
      <c r="D250" s="4">
        <v>1146.1988304094</v>
      </c>
      <c r="E250" s="4">
        <v>8</v>
      </c>
      <c r="F250" s="2">
        <v>1580</v>
      </c>
      <c r="G250" s="5">
        <v>-0.02370233815801</v>
      </c>
      <c r="H250" s="2">
        <v>79200</v>
      </c>
      <c r="I250" s="2">
        <v>163215</v>
      </c>
      <c r="J250" s="2">
        <v>8213400</v>
      </c>
      <c r="K250" s="2">
        <f t="shared" si="3"/>
        <v>49280400</v>
      </c>
    </row>
    <row r="251" ht="17.25" spans="2:11">
      <c r="B251" s="2">
        <v>249</v>
      </c>
      <c r="C251" s="3">
        <v>1304.00000000003</v>
      </c>
      <c r="D251" s="4">
        <v>1146.1988304094</v>
      </c>
      <c r="E251" s="4">
        <v>8</v>
      </c>
      <c r="F251" s="2">
        <v>1588</v>
      </c>
      <c r="G251" s="5">
        <v>-0.026284402642341</v>
      </c>
      <c r="H251" s="2">
        <v>79800</v>
      </c>
      <c r="I251" s="2">
        <v>164803</v>
      </c>
      <c r="J251" s="2">
        <v>8293200</v>
      </c>
      <c r="K251" s="2">
        <f t="shared" si="3"/>
        <v>49759200</v>
      </c>
    </row>
    <row r="252" ht="17.25" spans="2:11">
      <c r="B252" s="2">
        <v>250</v>
      </c>
      <c r="C252" s="3">
        <v>1304.00000000003</v>
      </c>
      <c r="D252" s="4">
        <v>1146.1988304094</v>
      </c>
      <c r="E252" s="4">
        <v>8</v>
      </c>
      <c r="F252" s="2">
        <v>1596</v>
      </c>
      <c r="G252" s="5">
        <v>-0.028879333645609</v>
      </c>
      <c r="H252" s="2">
        <v>79800</v>
      </c>
      <c r="I252" s="2">
        <v>166399</v>
      </c>
      <c r="J252" s="2">
        <v>8373000</v>
      </c>
      <c r="K252" s="2">
        <f t="shared" si="3"/>
        <v>50238000</v>
      </c>
    </row>
    <row r="253" ht="17.25" spans="2:11">
      <c r="B253" s="2">
        <v>251</v>
      </c>
      <c r="C253" s="3">
        <v>1304.00000000003</v>
      </c>
      <c r="D253" s="4">
        <v>1146.1988304094</v>
      </c>
      <c r="E253" s="4">
        <v>8</v>
      </c>
      <c r="F253" s="2">
        <v>1604</v>
      </c>
      <c r="G253" s="5">
        <v>-0.031486859530805</v>
      </c>
      <c r="H253" s="2">
        <v>80400</v>
      </c>
      <c r="I253" s="2">
        <v>168003</v>
      </c>
      <c r="J253" s="2">
        <v>8453400</v>
      </c>
      <c r="K253" s="2">
        <f t="shared" si="3"/>
        <v>50720400</v>
      </c>
    </row>
    <row r="254" ht="17.25" spans="2:11">
      <c r="B254" s="2">
        <v>252</v>
      </c>
      <c r="C254" s="3">
        <v>1304.00000000003</v>
      </c>
      <c r="D254" s="4">
        <v>1146.1988304094</v>
      </c>
      <c r="E254" s="4">
        <v>8</v>
      </c>
      <c r="F254" s="2">
        <v>1612</v>
      </c>
      <c r="G254" s="5">
        <v>-0.034106716253858</v>
      </c>
      <c r="H254" s="2">
        <v>81000</v>
      </c>
      <c r="I254" s="2">
        <v>169615</v>
      </c>
      <c r="J254" s="2">
        <v>8534400</v>
      </c>
      <c r="K254" s="2">
        <f t="shared" si="3"/>
        <v>51206400</v>
      </c>
    </row>
    <row r="255" ht="17.25" spans="2:11">
      <c r="B255" s="2">
        <v>253</v>
      </c>
      <c r="C255" s="3">
        <v>1304.00000000003</v>
      </c>
      <c r="D255" s="4">
        <v>1146.1988304094</v>
      </c>
      <c r="E255" s="4">
        <v>8</v>
      </c>
      <c r="F255" s="2">
        <v>1620</v>
      </c>
      <c r="G255" s="5">
        <v>-0.036738647100178</v>
      </c>
      <c r="H255" s="2">
        <v>81000</v>
      </c>
      <c r="I255" s="2">
        <v>171235</v>
      </c>
      <c r="J255" s="2">
        <v>8615400</v>
      </c>
      <c r="K255" s="2">
        <f t="shared" si="3"/>
        <v>51692400</v>
      </c>
    </row>
    <row r="256" ht="17.25" spans="2:11">
      <c r="B256" s="2">
        <v>254</v>
      </c>
      <c r="C256" s="3">
        <v>1304.00000000003</v>
      </c>
      <c r="D256" s="4">
        <v>1146.1988304094</v>
      </c>
      <c r="E256" s="4">
        <v>8</v>
      </c>
      <c r="F256" s="2">
        <v>1628</v>
      </c>
      <c r="G256" s="5">
        <v>-0.039382402432086</v>
      </c>
      <c r="H256" s="2">
        <v>81600</v>
      </c>
      <c r="I256" s="2">
        <v>172863</v>
      </c>
      <c r="J256" s="2">
        <v>8697000</v>
      </c>
      <c r="K256" s="2">
        <f t="shared" si="3"/>
        <v>52182000</v>
      </c>
    </row>
    <row r="257" ht="17.25" spans="2:11">
      <c r="B257" s="2">
        <v>255</v>
      </c>
      <c r="C257" s="3">
        <v>1304.00000000003</v>
      </c>
      <c r="D257" s="4">
        <v>1146.1988304094</v>
      </c>
      <c r="E257" s="4">
        <v>8</v>
      </c>
      <c r="F257" s="2">
        <v>1636</v>
      </c>
      <c r="G257" s="5">
        <v>-0.042037739446623</v>
      </c>
      <c r="H257" s="2">
        <v>82200</v>
      </c>
      <c r="I257" s="2">
        <v>174499</v>
      </c>
      <c r="J257" s="2">
        <v>8779200</v>
      </c>
      <c r="K257" s="2">
        <f t="shared" si="3"/>
        <v>52675200</v>
      </c>
    </row>
    <row r="258" ht="17.25" spans="2:11">
      <c r="B258" s="2">
        <v>256</v>
      </c>
      <c r="C258" s="3">
        <v>1304.00000000003</v>
      </c>
      <c r="D258" s="4">
        <v>1146.1988304094</v>
      </c>
      <c r="E258" s="4">
        <v>8</v>
      </c>
      <c r="F258" s="2">
        <v>1644</v>
      </c>
      <c r="G258" s="5">
        <v>-0.044704421943229</v>
      </c>
      <c r="H258" s="2">
        <v>82200</v>
      </c>
      <c r="I258" s="2">
        <v>176143</v>
      </c>
      <c r="J258" s="2">
        <v>8861400</v>
      </c>
      <c r="K258" s="2">
        <f t="shared" si="3"/>
        <v>53168400</v>
      </c>
    </row>
    <row r="259" ht="17.25" spans="2:11">
      <c r="B259" s="2">
        <v>257</v>
      </c>
      <c r="C259" s="3">
        <v>1304.00000000003</v>
      </c>
      <c r="D259" s="4">
        <v>1146.1988304094</v>
      </c>
      <c r="E259" s="4">
        <v>8</v>
      </c>
      <c r="F259" s="2">
        <v>1652</v>
      </c>
      <c r="G259" s="5">
        <v>-0.047382220100846</v>
      </c>
      <c r="H259" s="2">
        <v>82800</v>
      </c>
      <c r="I259" s="2">
        <v>177795</v>
      </c>
      <c r="J259" s="2">
        <v>8944200</v>
      </c>
      <c r="K259" s="2">
        <f t="shared" ref="K259:K302" si="4">J259*6</f>
        <v>53665200</v>
      </c>
    </row>
    <row r="260" ht="17.25" spans="2:11">
      <c r="B260" s="2">
        <v>258</v>
      </c>
      <c r="C260" s="3">
        <v>1304.00000000003</v>
      </c>
      <c r="D260" s="4">
        <v>1146.1988304094</v>
      </c>
      <c r="E260" s="4">
        <v>8</v>
      </c>
      <c r="F260" s="2">
        <v>1660</v>
      </c>
      <c r="G260" s="5">
        <v>-0.050070910263977</v>
      </c>
      <c r="H260" s="2">
        <v>83400</v>
      </c>
      <c r="I260" s="2">
        <v>179455</v>
      </c>
      <c r="J260" s="2">
        <v>9027600</v>
      </c>
      <c r="K260" s="2">
        <f t="shared" si="4"/>
        <v>54165600</v>
      </c>
    </row>
    <row r="261" ht="17.25" spans="2:11">
      <c r="B261" s="2">
        <v>259</v>
      </c>
      <c r="C261" s="3">
        <v>1304.00000000003</v>
      </c>
      <c r="D261" s="4">
        <v>1146.1988304094</v>
      </c>
      <c r="E261" s="4">
        <v>8</v>
      </c>
      <c r="F261" s="2">
        <v>1668</v>
      </c>
      <c r="G261" s="5">
        <v>-0.052770274737309</v>
      </c>
      <c r="H261" s="2">
        <v>83400</v>
      </c>
      <c r="I261" s="2">
        <v>181123</v>
      </c>
      <c r="J261" s="2">
        <v>9111000</v>
      </c>
      <c r="K261" s="2">
        <f t="shared" si="4"/>
        <v>54666000</v>
      </c>
    </row>
    <row r="262" ht="17.25" spans="2:11">
      <c r="B262" s="2">
        <v>260</v>
      </c>
      <c r="C262" s="3">
        <v>1304.00000000003</v>
      </c>
      <c r="D262" s="4">
        <v>1146.1988304094</v>
      </c>
      <c r="E262" s="4">
        <v>8</v>
      </c>
      <c r="F262" s="2">
        <v>1676</v>
      </c>
      <c r="G262" s="5">
        <v>-0.055480101588485</v>
      </c>
      <c r="H262" s="2">
        <v>84000</v>
      </c>
      <c r="I262" s="2">
        <v>182799</v>
      </c>
      <c r="J262" s="2">
        <v>9195000</v>
      </c>
      <c r="K262" s="2">
        <f t="shared" si="4"/>
        <v>55170000</v>
      </c>
    </row>
    <row r="263" ht="17.25" spans="2:11">
      <c r="B263" s="2">
        <v>261</v>
      </c>
      <c r="C263" s="3">
        <v>1304.00000000003</v>
      </c>
      <c r="D263" s="4">
        <v>1146.1988304094</v>
      </c>
      <c r="E263" s="4">
        <v>8</v>
      </c>
      <c r="F263" s="2">
        <v>1684</v>
      </c>
      <c r="G263" s="5">
        <v>-0.058200184458656</v>
      </c>
      <c r="H263" s="2">
        <v>84600</v>
      </c>
      <c r="I263" s="2">
        <v>184483</v>
      </c>
      <c r="J263" s="2">
        <v>9279600</v>
      </c>
      <c r="K263" s="2">
        <f t="shared" si="4"/>
        <v>55677600</v>
      </c>
    </row>
    <row r="264" ht="17.25" spans="2:11">
      <c r="B264" s="2">
        <v>262</v>
      </c>
      <c r="C264" s="3">
        <v>1304.00000000003</v>
      </c>
      <c r="D264" s="4">
        <v>1146.1988304094</v>
      </c>
      <c r="E264" s="4">
        <v>8</v>
      </c>
      <c r="F264" s="2">
        <v>1692</v>
      </c>
      <c r="G264" s="5">
        <v>-0.060930322380459</v>
      </c>
      <c r="H264" s="2">
        <v>84600</v>
      </c>
      <c r="I264" s="2">
        <v>186175</v>
      </c>
      <c r="J264" s="2">
        <v>9364200</v>
      </c>
      <c r="K264" s="2">
        <f t="shared" si="4"/>
        <v>56185200</v>
      </c>
    </row>
    <row r="265" ht="17.25" spans="2:11">
      <c r="B265" s="2">
        <v>263</v>
      </c>
      <c r="C265" s="3">
        <v>1304.00000000003</v>
      </c>
      <c r="D265" s="4">
        <v>1146.1988304094</v>
      </c>
      <c r="E265" s="4">
        <v>8</v>
      </c>
      <c r="F265" s="2">
        <v>1700</v>
      </c>
      <c r="G265" s="5">
        <v>-0.063670319603084</v>
      </c>
      <c r="H265" s="2">
        <v>85200</v>
      </c>
      <c r="I265" s="2">
        <v>187875</v>
      </c>
      <c r="J265" s="2">
        <v>9449400</v>
      </c>
      <c r="K265" s="2">
        <f t="shared" si="4"/>
        <v>56696400</v>
      </c>
    </row>
    <row r="266" ht="17.25" spans="2:11">
      <c r="B266" s="2">
        <v>264</v>
      </c>
      <c r="C266" s="3">
        <v>1304.00000000003</v>
      </c>
      <c r="D266" s="4">
        <v>1146.1988304094</v>
      </c>
      <c r="E266" s="4">
        <v>8</v>
      </c>
      <c r="F266" s="2">
        <v>1708</v>
      </c>
      <c r="G266" s="5">
        <v>-0.066419985424107</v>
      </c>
      <c r="H266" s="2">
        <v>85800</v>
      </c>
      <c r="I266" s="2">
        <v>189583</v>
      </c>
      <c r="J266" s="2">
        <v>9535200</v>
      </c>
      <c r="K266" s="2">
        <f t="shared" si="4"/>
        <v>57211200</v>
      </c>
    </row>
    <row r="267" ht="17.25" spans="2:11">
      <c r="B267" s="2">
        <v>265</v>
      </c>
      <c r="C267" s="3">
        <v>1304.00000000003</v>
      </c>
      <c r="D267" s="4">
        <v>1146.1988304094</v>
      </c>
      <c r="E267" s="4">
        <v>8</v>
      </c>
      <c r="F267" s="2">
        <v>1716</v>
      </c>
      <c r="G267" s="5">
        <v>-0.06917913402778</v>
      </c>
      <c r="H267" s="2">
        <v>85800</v>
      </c>
      <c r="I267" s="2">
        <v>191299</v>
      </c>
      <c r="J267" s="2">
        <v>9621000</v>
      </c>
      <c r="K267" s="2">
        <f t="shared" si="4"/>
        <v>57726000</v>
      </c>
    </row>
    <row r="268" ht="17.25" spans="2:11">
      <c r="B268" s="2">
        <v>266</v>
      </c>
      <c r="C268" s="3">
        <v>1304.00000000003</v>
      </c>
      <c r="D268" s="4">
        <v>1146.1988304094</v>
      </c>
      <c r="E268" s="4">
        <v>8</v>
      </c>
      <c r="F268" s="2">
        <v>1724</v>
      </c>
      <c r="G268" s="5">
        <v>-0.071947584329512</v>
      </c>
      <c r="H268" s="2">
        <v>86400</v>
      </c>
      <c r="I268" s="2">
        <v>193023</v>
      </c>
      <c r="J268" s="2">
        <v>9707400</v>
      </c>
      <c r="K268" s="2">
        <f t="shared" si="4"/>
        <v>58244400</v>
      </c>
    </row>
    <row r="269" ht="17.25" spans="2:11">
      <c r="B269" s="2">
        <v>267</v>
      </c>
      <c r="C269" s="3">
        <v>1304.00000000003</v>
      </c>
      <c r="D269" s="4">
        <v>1146.1988304094</v>
      </c>
      <c r="E269" s="4">
        <v>8</v>
      </c>
      <c r="F269" s="2">
        <v>1732</v>
      </c>
      <c r="G269" s="5">
        <v>-0.074725159826236</v>
      </c>
      <c r="H269" s="2">
        <v>87000</v>
      </c>
      <c r="I269" s="2">
        <v>194755</v>
      </c>
      <c r="J269" s="2">
        <v>9794400</v>
      </c>
      <c r="K269" s="2">
        <f t="shared" si="4"/>
        <v>58766400</v>
      </c>
    </row>
    <row r="270" ht="17.25" spans="2:11">
      <c r="B270" s="2">
        <v>268</v>
      </c>
      <c r="C270" s="3">
        <v>1304.00000000003</v>
      </c>
      <c r="D270" s="4">
        <v>1146.1988304094</v>
      </c>
      <c r="E270" s="4">
        <v>8</v>
      </c>
      <c r="F270" s="2">
        <v>1740</v>
      </c>
      <c r="G270" s="5">
        <v>-0.077511688452432</v>
      </c>
      <c r="H270" s="2">
        <v>87000</v>
      </c>
      <c r="I270" s="2">
        <v>196495</v>
      </c>
      <c r="J270" s="2">
        <v>9881400</v>
      </c>
      <c r="K270" s="2">
        <f t="shared" si="4"/>
        <v>59288400</v>
      </c>
    </row>
    <row r="271" ht="17.25" spans="2:11">
      <c r="B271" s="2">
        <v>269</v>
      </c>
      <c r="C271" s="3">
        <v>1304.00000000003</v>
      </c>
      <c r="D271" s="4">
        <v>1146.1988304094</v>
      </c>
      <c r="E271" s="4">
        <v>8</v>
      </c>
      <c r="F271" s="2">
        <v>1748</v>
      </c>
      <c r="G271" s="5">
        <v>-0.080307002441535</v>
      </c>
      <c r="H271" s="2">
        <v>87600</v>
      </c>
      <c r="I271" s="2">
        <v>198243</v>
      </c>
      <c r="J271" s="2">
        <v>9969000</v>
      </c>
      <c r="K271" s="2">
        <f t="shared" si="4"/>
        <v>59814000</v>
      </c>
    </row>
    <row r="272" ht="17.25" spans="2:11">
      <c r="B272" s="2">
        <v>270</v>
      </c>
      <c r="C272" s="3">
        <v>1304.00000000003</v>
      </c>
      <c r="D272" s="4">
        <v>1146.1988304094</v>
      </c>
      <c r="E272" s="4">
        <v>8</v>
      </c>
      <c r="F272" s="2">
        <v>1756</v>
      </c>
      <c r="G272" s="5">
        <v>-0.083110938192512</v>
      </c>
      <c r="H272" s="2">
        <v>88200</v>
      </c>
      <c r="I272" s="2">
        <v>199999</v>
      </c>
      <c r="J272" s="2">
        <v>10057200</v>
      </c>
      <c r="K272" s="2">
        <f t="shared" si="4"/>
        <v>60343200</v>
      </c>
    </row>
    <row r="273" ht="17.25" spans="2:11">
      <c r="B273" s="2">
        <v>271</v>
      </c>
      <c r="C273" s="3">
        <v>1304.00000000003</v>
      </c>
      <c r="D273" s="4">
        <v>1146.1988304094</v>
      </c>
      <c r="E273" s="4">
        <v>8</v>
      </c>
      <c r="F273" s="2">
        <v>1764</v>
      </c>
      <c r="G273" s="5">
        <v>-0.085923336141377</v>
      </c>
      <c r="H273" s="2">
        <v>88200</v>
      </c>
      <c r="I273" s="2">
        <v>201763</v>
      </c>
      <c r="J273" s="2">
        <v>10145400</v>
      </c>
      <c r="K273" s="2">
        <f t="shared" si="4"/>
        <v>60872400</v>
      </c>
    </row>
    <row r="274" ht="17.25" spans="2:11">
      <c r="B274" s="2">
        <v>272</v>
      </c>
      <c r="C274" s="3">
        <v>1304.00000000003</v>
      </c>
      <c r="D274" s="4">
        <v>1146.1988304094</v>
      </c>
      <c r="E274" s="4">
        <v>8</v>
      </c>
      <c r="F274" s="2">
        <v>1772</v>
      </c>
      <c r="G274" s="5">
        <v>-0.088744040637429</v>
      </c>
      <c r="H274" s="2">
        <v>88800</v>
      </c>
      <c r="I274" s="2">
        <v>203535</v>
      </c>
      <c r="J274" s="2">
        <v>10234200</v>
      </c>
      <c r="K274" s="2">
        <f t="shared" si="4"/>
        <v>61405200</v>
      </c>
    </row>
    <row r="275" ht="17.25" spans="2:11">
      <c r="B275" s="2">
        <v>273</v>
      </c>
      <c r="C275" s="3">
        <v>1304.00000000003</v>
      </c>
      <c r="D275" s="4">
        <v>1146.1988304094</v>
      </c>
      <c r="E275" s="4">
        <v>8</v>
      </c>
      <c r="F275" s="2">
        <v>1780</v>
      </c>
      <c r="G275" s="5">
        <v>-0.091572899824016</v>
      </c>
      <c r="H275" s="2">
        <v>89400</v>
      </c>
      <c r="I275" s="2">
        <v>205315</v>
      </c>
      <c r="J275" s="2">
        <v>10323600</v>
      </c>
      <c r="K275" s="2">
        <f t="shared" si="4"/>
        <v>61941600</v>
      </c>
    </row>
    <row r="276" ht="17.25" spans="2:11">
      <c r="B276" s="2">
        <v>274</v>
      </c>
      <c r="C276" s="3">
        <v>1304.00000000003</v>
      </c>
      <c r="D276" s="4">
        <v>1146.1988304094</v>
      </c>
      <c r="E276" s="4">
        <v>8</v>
      </c>
      <c r="F276" s="2">
        <v>1788</v>
      </c>
      <c r="G276" s="5">
        <v>-0.094409765523636</v>
      </c>
      <c r="H276" s="2">
        <v>89400</v>
      </c>
      <c r="I276" s="2">
        <v>207103</v>
      </c>
      <c r="J276" s="2">
        <v>10413000</v>
      </c>
      <c r="K276" s="2">
        <f t="shared" si="4"/>
        <v>62478000</v>
      </c>
    </row>
    <row r="277" ht="17.25" spans="2:11">
      <c r="B277" s="2">
        <v>275</v>
      </c>
      <c r="C277" s="3">
        <v>1304.00000000003</v>
      </c>
      <c r="D277" s="4">
        <v>1146.1988304094</v>
      </c>
      <c r="E277" s="4">
        <v>8</v>
      </c>
      <c r="F277" s="2">
        <v>1796</v>
      </c>
      <c r="G277" s="5">
        <v>-0.097254493127185</v>
      </c>
      <c r="H277" s="2">
        <v>90000</v>
      </c>
      <c r="I277" s="2">
        <v>208899</v>
      </c>
      <c r="J277" s="2">
        <v>10503000</v>
      </c>
      <c r="K277" s="2">
        <f t="shared" si="4"/>
        <v>63018000</v>
      </c>
    </row>
    <row r="278" ht="17.25" spans="2:11">
      <c r="B278" s="2">
        <v>276</v>
      </c>
      <c r="C278" s="3">
        <v>1304.00000000003</v>
      </c>
      <c r="D278" s="4">
        <v>1146.1988304094</v>
      </c>
      <c r="E278" s="4">
        <v>8</v>
      </c>
      <c r="F278" s="2">
        <v>1804</v>
      </c>
      <c r="G278" s="5">
        <v>-0.100106941487181</v>
      </c>
      <c r="H278" s="2">
        <v>90600</v>
      </c>
      <c r="I278" s="2">
        <v>210703</v>
      </c>
      <c r="J278" s="2">
        <v>10593600</v>
      </c>
      <c r="K278" s="2">
        <f t="shared" si="4"/>
        <v>63561600</v>
      </c>
    </row>
    <row r="279" ht="17.25" spans="2:11">
      <c r="B279" s="2">
        <v>277</v>
      </c>
      <c r="C279" s="3">
        <v>1304.00000000003</v>
      </c>
      <c r="D279" s="4">
        <v>1146.1988304094</v>
      </c>
      <c r="E279" s="4">
        <v>8</v>
      </c>
      <c r="F279" s="2">
        <v>1812</v>
      </c>
      <c r="G279" s="5">
        <v>-0.102966972814801</v>
      </c>
      <c r="H279" s="2">
        <v>90600</v>
      </c>
      <c r="I279" s="2">
        <v>212515</v>
      </c>
      <c r="J279" s="2">
        <v>10684200</v>
      </c>
      <c r="K279" s="2">
        <f t="shared" si="4"/>
        <v>64105200</v>
      </c>
    </row>
    <row r="280" ht="17.25" spans="2:11">
      <c r="B280" s="2">
        <v>278</v>
      </c>
      <c r="C280" s="3">
        <v>1304.00000000003</v>
      </c>
      <c r="D280" s="4">
        <v>1146.1988304094</v>
      </c>
      <c r="E280" s="4">
        <v>8</v>
      </c>
      <c r="F280" s="2">
        <v>1820</v>
      </c>
      <c r="G280" s="5">
        <v>-0.105834452580574</v>
      </c>
      <c r="H280" s="2">
        <v>91200</v>
      </c>
      <c r="I280" s="2">
        <v>214335</v>
      </c>
      <c r="J280" s="2">
        <v>10775400</v>
      </c>
      <c r="K280" s="2">
        <f t="shared" si="4"/>
        <v>64652400</v>
      </c>
    </row>
    <row r="281" ht="17.25" spans="2:11">
      <c r="B281" s="2">
        <v>279</v>
      </c>
      <c r="C281" s="3">
        <v>1304.00000000003</v>
      </c>
      <c r="D281" s="4">
        <v>1146.1988304094</v>
      </c>
      <c r="E281" s="4">
        <v>8</v>
      </c>
      <c r="F281" s="2">
        <v>1828</v>
      </c>
      <c r="G281" s="5">
        <v>-0.10870924941857</v>
      </c>
      <c r="H281" s="2">
        <v>91800</v>
      </c>
      <c r="I281" s="2">
        <v>216163</v>
      </c>
      <c r="J281" s="2">
        <v>10867200</v>
      </c>
      <c r="K281" s="2">
        <f t="shared" si="4"/>
        <v>65203200</v>
      </c>
    </row>
    <row r="282" ht="17.25" spans="2:11">
      <c r="B282" s="2">
        <v>280</v>
      </c>
      <c r="C282" s="3">
        <v>1304.00000000003</v>
      </c>
      <c r="D282" s="4">
        <v>1146.1988304094</v>
      </c>
      <c r="E282" s="4">
        <v>8</v>
      </c>
      <c r="F282" s="2">
        <v>1836</v>
      </c>
      <c r="G282" s="5">
        <v>-0.111591235033955</v>
      </c>
      <c r="H282" s="2">
        <v>91800</v>
      </c>
      <c r="I282" s="2">
        <v>217999</v>
      </c>
      <c r="J282" s="2">
        <v>10959000</v>
      </c>
      <c r="K282" s="2">
        <f t="shared" si="4"/>
        <v>65754000</v>
      </c>
    </row>
    <row r="283" ht="17.25" spans="2:11">
      <c r="B283" s="2">
        <v>281</v>
      </c>
      <c r="C283" s="3">
        <v>1304.00000000003</v>
      </c>
      <c r="D283" s="4">
        <v>1146.1988304094</v>
      </c>
      <c r="E283" s="4">
        <v>8</v>
      </c>
      <c r="F283" s="2">
        <v>1844</v>
      </c>
      <c r="G283" s="5">
        <v>-0.114480284113766</v>
      </c>
      <c r="H283" s="2">
        <v>92400</v>
      </c>
      <c r="I283" s="2">
        <v>219843</v>
      </c>
      <c r="J283" s="2">
        <v>11051400</v>
      </c>
      <c r="K283" s="2">
        <f t="shared" si="4"/>
        <v>66308400</v>
      </c>
    </row>
    <row r="284" ht="17.25" spans="2:11">
      <c r="B284" s="2">
        <v>282</v>
      </c>
      <c r="C284" s="3">
        <v>1304.00000000003</v>
      </c>
      <c r="D284" s="4">
        <v>1146.1988304094</v>
      </c>
      <c r="E284" s="4">
        <v>8</v>
      </c>
      <c r="F284" s="2">
        <v>1852</v>
      </c>
      <c r="G284" s="5">
        <v>-0.117376274240779</v>
      </c>
      <c r="H284" s="2">
        <v>93000</v>
      </c>
      <c r="I284" s="2">
        <v>221695</v>
      </c>
      <c r="J284" s="2">
        <v>11144400</v>
      </c>
      <c r="K284" s="2">
        <f t="shared" si="4"/>
        <v>66866400</v>
      </c>
    </row>
    <row r="285" ht="17.25" spans="2:11">
      <c r="B285" s="2">
        <v>283</v>
      </c>
      <c r="C285" s="3">
        <v>1304.00000000003</v>
      </c>
      <c r="D285" s="4">
        <v>1146.1988304094</v>
      </c>
      <c r="E285" s="4">
        <v>8</v>
      </c>
      <c r="F285" s="2">
        <v>1860</v>
      </c>
      <c r="G285" s="5">
        <v>-0.120279085810347</v>
      </c>
      <c r="H285" s="2">
        <v>93000</v>
      </c>
      <c r="I285" s="2">
        <v>223555</v>
      </c>
      <c r="J285" s="2">
        <v>11237400</v>
      </c>
      <c r="K285" s="2">
        <f t="shared" si="4"/>
        <v>67424400</v>
      </c>
    </row>
    <row r="286" ht="17.25" spans="2:11">
      <c r="B286" s="2">
        <v>284</v>
      </c>
      <c r="C286" s="3">
        <v>1304.00000000003</v>
      </c>
      <c r="D286" s="4">
        <v>1146.1988304094</v>
      </c>
      <c r="E286" s="4">
        <v>8</v>
      </c>
      <c r="F286" s="2">
        <v>1868</v>
      </c>
      <c r="G286" s="5">
        <v>-0.123188601950086</v>
      </c>
      <c r="H286" s="2">
        <v>93600</v>
      </c>
      <c r="I286" s="2">
        <v>225423</v>
      </c>
      <c r="J286" s="2">
        <v>11331000</v>
      </c>
      <c r="K286" s="2">
        <f t="shared" si="4"/>
        <v>67986000</v>
      </c>
    </row>
    <row r="287" ht="17.25" spans="2:11">
      <c r="B287" s="2">
        <v>285</v>
      </c>
      <c r="C287" s="3">
        <v>1304.00000000003</v>
      </c>
      <c r="D287" s="4">
        <v>1146.1988304094</v>
      </c>
      <c r="E287" s="4">
        <v>8</v>
      </c>
      <c r="F287" s="2">
        <v>1876</v>
      </c>
      <c r="G287" s="5">
        <v>-0.126104708442297</v>
      </c>
      <c r="H287" s="2">
        <v>94200</v>
      </c>
      <c r="I287" s="2">
        <v>227299</v>
      </c>
      <c r="J287" s="2">
        <v>11425200</v>
      </c>
      <c r="K287" s="2">
        <f t="shared" si="4"/>
        <v>68551200</v>
      </c>
    </row>
    <row r="288" ht="17.25" spans="2:11">
      <c r="B288" s="2">
        <v>286</v>
      </c>
      <c r="C288" s="3">
        <v>1304.00000000003</v>
      </c>
      <c r="D288" s="4">
        <v>1146.1988304094</v>
      </c>
      <c r="E288" s="4">
        <v>8</v>
      </c>
      <c r="F288" s="2">
        <v>1884</v>
      </c>
      <c r="G288" s="5">
        <v>-0.129027293649018</v>
      </c>
      <c r="H288" s="2">
        <v>94200</v>
      </c>
      <c r="I288" s="2">
        <v>229183</v>
      </c>
      <c r="J288" s="2">
        <v>11519400</v>
      </c>
      <c r="K288" s="2">
        <f t="shared" si="4"/>
        <v>69116400</v>
      </c>
    </row>
    <row r="289" ht="17.25" spans="2:11">
      <c r="B289" s="2">
        <v>287</v>
      </c>
      <c r="C289" s="3">
        <v>1304.00000000003</v>
      </c>
      <c r="D289" s="4">
        <v>1146.1988304094</v>
      </c>
      <c r="E289" s="4">
        <v>8</v>
      </c>
      <c r="F289" s="2">
        <v>1892</v>
      </c>
      <c r="G289" s="5">
        <v>-0.131956248439601</v>
      </c>
      <c r="H289" s="2">
        <v>94800</v>
      </c>
      <c r="I289" s="2">
        <v>231075</v>
      </c>
      <c r="J289" s="2">
        <v>11614200</v>
      </c>
      <c r="K289" s="2">
        <f t="shared" si="4"/>
        <v>69685200</v>
      </c>
    </row>
    <row r="290" ht="17.25" spans="2:11">
      <c r="B290" s="2">
        <v>288</v>
      </c>
      <c r="C290" s="3">
        <v>1304.00000000003</v>
      </c>
      <c r="D290" s="4">
        <v>1146.1988304094</v>
      </c>
      <c r="E290" s="4">
        <v>8</v>
      </c>
      <c r="F290" s="2">
        <v>1900</v>
      </c>
      <c r="G290" s="5">
        <v>-0.134891466120711</v>
      </c>
      <c r="H290" s="2">
        <v>95400</v>
      </c>
      <c r="I290" s="2">
        <v>232975</v>
      </c>
      <c r="J290" s="2">
        <v>11709600</v>
      </c>
      <c r="K290" s="2">
        <f t="shared" si="4"/>
        <v>70257600</v>
      </c>
    </row>
    <row r="291" ht="17.25" spans="2:11">
      <c r="B291" s="2">
        <v>289</v>
      </c>
      <c r="C291" s="3">
        <v>1304.00000000003</v>
      </c>
      <c r="D291" s="4">
        <v>1146.1988304094</v>
      </c>
      <c r="E291" s="4">
        <v>8</v>
      </c>
      <c r="F291" s="2">
        <v>1908</v>
      </c>
      <c r="G291" s="5">
        <v>-0.137832842368665</v>
      </c>
      <c r="H291" s="2">
        <v>95400</v>
      </c>
      <c r="I291" s="2">
        <v>234883</v>
      </c>
      <c r="J291" s="2">
        <v>11805000</v>
      </c>
      <c r="K291" s="2">
        <f t="shared" si="4"/>
        <v>70830000</v>
      </c>
    </row>
    <row r="292" ht="17.25" spans="2:11">
      <c r="B292" s="2">
        <v>290</v>
      </c>
      <c r="C292" s="3">
        <v>1304.00000000003</v>
      </c>
      <c r="D292" s="4">
        <v>1146.1988304094</v>
      </c>
      <c r="E292" s="4">
        <v>8</v>
      </c>
      <c r="F292" s="2">
        <v>1916</v>
      </c>
      <c r="G292" s="5">
        <v>-0.140780275164003</v>
      </c>
      <c r="H292" s="2">
        <v>96000</v>
      </c>
      <c r="I292" s="2">
        <v>236799</v>
      </c>
      <c r="J292" s="2">
        <v>11901000</v>
      </c>
      <c r="K292" s="2">
        <f t="shared" si="4"/>
        <v>71406000</v>
      </c>
    </row>
    <row r="293" ht="17.25" spans="2:11">
      <c r="B293" s="2">
        <v>291</v>
      </c>
      <c r="C293" s="3">
        <v>1304.00000000003</v>
      </c>
      <c r="D293" s="4">
        <v>1146.1988304094</v>
      </c>
      <c r="E293" s="4">
        <v>8</v>
      </c>
      <c r="F293" s="2">
        <v>1924</v>
      </c>
      <c r="G293" s="5">
        <v>-0.143733664728225</v>
      </c>
      <c r="H293" s="2">
        <v>96600</v>
      </c>
      <c r="I293" s="2">
        <v>238723</v>
      </c>
      <c r="J293" s="2">
        <v>11997600</v>
      </c>
      <c r="K293" s="2">
        <f t="shared" si="4"/>
        <v>71985600</v>
      </c>
    </row>
    <row r="294" ht="17.25" spans="2:11">
      <c r="B294" s="2">
        <v>292</v>
      </c>
      <c r="C294" s="3">
        <v>1304.00000000003</v>
      </c>
      <c r="D294" s="4">
        <v>1146.1988304094</v>
      </c>
      <c r="E294" s="4">
        <v>8</v>
      </c>
      <c r="F294" s="2">
        <v>1932</v>
      </c>
      <c r="G294" s="5">
        <v>-0.146692913462591</v>
      </c>
      <c r="H294" s="2">
        <v>96600</v>
      </c>
      <c r="I294" s="2">
        <v>240655</v>
      </c>
      <c r="J294" s="2">
        <v>12094200</v>
      </c>
      <c r="K294" s="2">
        <f t="shared" si="4"/>
        <v>72565200</v>
      </c>
    </row>
    <row r="295" ht="17.25" spans="2:11">
      <c r="B295" s="2">
        <v>293</v>
      </c>
      <c r="C295" s="3">
        <v>1304.00000000003</v>
      </c>
      <c r="D295" s="4">
        <v>1146.1988304094</v>
      </c>
      <c r="E295" s="4">
        <v>8</v>
      </c>
      <c r="F295" s="2">
        <v>1940</v>
      </c>
      <c r="G295" s="5">
        <v>-0.149657925888925</v>
      </c>
      <c r="H295" s="2">
        <v>97200</v>
      </c>
      <c r="I295" s="2">
        <v>242595</v>
      </c>
      <c r="J295" s="2">
        <v>12191400</v>
      </c>
      <c r="K295" s="2">
        <f t="shared" si="4"/>
        <v>73148400</v>
      </c>
    </row>
    <row r="296" ht="17.25" spans="2:11">
      <c r="B296" s="2">
        <v>294</v>
      </c>
      <c r="C296" s="3">
        <v>1304.00000000003</v>
      </c>
      <c r="D296" s="4">
        <v>1146.1988304094</v>
      </c>
      <c r="E296" s="4">
        <v>8</v>
      </c>
      <c r="F296" s="2">
        <v>1948</v>
      </c>
      <c r="G296" s="5">
        <v>-0.152628608592331</v>
      </c>
      <c r="H296" s="2">
        <v>97800</v>
      </c>
      <c r="I296" s="2">
        <v>244543</v>
      </c>
      <c r="J296" s="2">
        <v>12289200</v>
      </c>
      <c r="K296" s="2">
        <f t="shared" si="4"/>
        <v>73735200</v>
      </c>
    </row>
    <row r="297" ht="17.25" spans="2:11">
      <c r="B297" s="2">
        <v>295</v>
      </c>
      <c r="C297" s="3">
        <v>1304.00000000003</v>
      </c>
      <c r="D297" s="4">
        <v>1146.1988304094</v>
      </c>
      <c r="E297" s="4">
        <v>8</v>
      </c>
      <c r="F297" s="2">
        <v>1956</v>
      </c>
      <c r="G297" s="5">
        <v>-0.155604870165757</v>
      </c>
      <c r="H297" s="2">
        <v>97800</v>
      </c>
      <c r="I297" s="2">
        <v>246499</v>
      </c>
      <c r="J297" s="2">
        <v>12387000</v>
      </c>
      <c r="K297" s="2">
        <f t="shared" si="4"/>
        <v>74322000</v>
      </c>
    </row>
    <row r="298" ht="17.25" spans="2:11">
      <c r="B298" s="2">
        <v>296</v>
      </c>
      <c r="C298" s="3">
        <v>1304.00000000003</v>
      </c>
      <c r="D298" s="4">
        <v>1146.1988304094</v>
      </c>
      <c r="E298" s="4">
        <v>8</v>
      </c>
      <c r="F298" s="2">
        <v>1964</v>
      </c>
      <c r="G298" s="5">
        <v>-0.158586621156341</v>
      </c>
      <c r="H298" s="2">
        <v>98400</v>
      </c>
      <c r="I298" s="2">
        <v>248463</v>
      </c>
      <c r="J298" s="2">
        <v>12485400</v>
      </c>
      <c r="K298" s="2">
        <f t="shared" si="4"/>
        <v>74912400</v>
      </c>
    </row>
    <row r="299" ht="17.25" spans="2:11">
      <c r="B299" s="2">
        <v>297</v>
      </c>
      <c r="C299" s="3">
        <v>1304.00000000003</v>
      </c>
      <c r="D299" s="4">
        <v>1146.1988304094</v>
      </c>
      <c r="E299" s="4">
        <v>8</v>
      </c>
      <c r="F299" s="2">
        <v>1972</v>
      </c>
      <c r="G299" s="5">
        <v>-0.161573774013463</v>
      </c>
      <c r="H299" s="2">
        <v>99000</v>
      </c>
      <c r="I299" s="2">
        <v>250435</v>
      </c>
      <c r="J299" s="2">
        <v>12584400</v>
      </c>
      <c r="K299" s="2">
        <f t="shared" si="4"/>
        <v>75506400</v>
      </c>
    </row>
    <row r="300" ht="17.25" spans="2:11">
      <c r="B300" s="2">
        <v>298</v>
      </c>
      <c r="C300" s="3">
        <v>1304.00000000003</v>
      </c>
      <c r="D300" s="4">
        <v>1146.1988304094</v>
      </c>
      <c r="E300" s="4">
        <v>8</v>
      </c>
      <c r="F300" s="2">
        <v>1980</v>
      </c>
      <c r="G300" s="5">
        <v>-0.164566243038448</v>
      </c>
      <c r="H300" s="2">
        <v>99000</v>
      </c>
      <c r="I300" s="2">
        <v>252415</v>
      </c>
      <c r="J300" s="2">
        <v>12683400</v>
      </c>
      <c r="K300" s="2">
        <f t="shared" si="4"/>
        <v>76100400</v>
      </c>
    </row>
    <row r="301" ht="17.25" spans="2:11">
      <c r="B301" s="2">
        <v>299</v>
      </c>
      <c r="C301" s="3">
        <v>1304.00000000003</v>
      </c>
      <c r="D301" s="4">
        <v>1146.1988304094</v>
      </c>
      <c r="E301" s="4">
        <v>8</v>
      </c>
      <c r="F301" s="2">
        <v>1988</v>
      </c>
      <c r="G301" s="5">
        <v>-0.167563944335859</v>
      </c>
      <c r="H301" s="2">
        <v>99600</v>
      </c>
      <c r="I301" s="2">
        <v>254403</v>
      </c>
      <c r="J301" s="2">
        <v>12783000</v>
      </c>
      <c r="K301" s="2">
        <f t="shared" si="4"/>
        <v>76698000</v>
      </c>
    </row>
    <row r="302" ht="17.25" spans="2:11">
      <c r="B302" s="2">
        <v>300</v>
      </c>
      <c r="C302" s="3">
        <v>1304.00000000003</v>
      </c>
      <c r="D302" s="4">
        <v>1146.1988304094</v>
      </c>
      <c r="E302" s="4">
        <v>8</v>
      </c>
      <c r="F302" s="2">
        <v>1996</v>
      </c>
      <c r="G302" s="5">
        <v>-0.170566795766312</v>
      </c>
      <c r="H302" s="2">
        <v>100200</v>
      </c>
      <c r="I302" s="2">
        <v>256399</v>
      </c>
      <c r="J302" s="2">
        <v>12883200</v>
      </c>
      <c r="K302" s="2">
        <f t="shared" si="4"/>
        <v>77299200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版本日志</vt:lpstr>
      <vt:lpstr>设计思路</vt:lpstr>
      <vt:lpstr>金币平衡</vt:lpstr>
      <vt:lpstr>图纸产出设计</vt:lpstr>
      <vt:lpstr>装备强化</vt:lpstr>
      <vt:lpstr>基因平衡</vt:lpstr>
      <vt:lpstr>产销汇总</vt:lpstr>
      <vt:lpstr>主线推图</vt:lpstr>
      <vt:lpstr>巡逻产出</vt:lpstr>
      <vt:lpstr>组队产出</vt:lpstr>
      <vt:lpstr>竞技场</vt:lpstr>
      <vt:lpstr>任务</vt:lpstr>
      <vt:lpstr>公会</vt:lpstr>
      <vt:lpstr>协力宝箱</vt:lpstr>
      <vt:lpstr>金币本</vt:lpstr>
      <vt:lpstr>主线宝箱</vt:lpstr>
      <vt:lpstr>组队配置</vt:lpstr>
      <vt:lpstr>组队配置50</vt:lpstr>
      <vt:lpstr>其他产出</vt:lpstr>
      <vt:lpstr>运营活动</vt:lpstr>
      <vt:lpstr>商店</vt:lpstr>
      <vt:lpstr>价值表</vt:lpstr>
      <vt:lpstr>装备线产销核算</vt:lpstr>
      <vt:lpstr>金币产出</vt:lpstr>
      <vt:lpstr>金币消耗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2026-02-06T16:13:00Z</dcterms:created>
  <dcterms:modified xsi:type="dcterms:W3CDTF">2026-10-20T07:56:15Z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CEA47AAE2170413896726DAC9ECAFBEC_12</vt:lpwstr>
  </property>
  <property fmtid="{D5CDD505-2E9C-101B-9397-08002B2CF9AE}" pid="3" name="KSOProductBuildVer">
    <vt:lpwstr>2052-12.1.0.29158</vt:lpwstr>
  </property>
  <property fmtid="{D5CDD505-2E9C-101B-9397-08002B2CF9AE}" pid="4" name="CalculationRule">
    <vt:i4>0</vt:i4>
  </property>
</Properties>
</file>